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gozalid\OneDrive - Queensland University of Technology\Sentosa_DSG\Research\Thesis\Codes\8_Deterministic_Scheduling\eRoSB_Final\CPLEX-MIP\MIP-Data\"/>
    </mc:Choice>
  </mc:AlternateContent>
  <xr:revisionPtr revIDLastSave="0" documentId="13_ncr:1_{1CB9CE41-F52C-40A5-88C0-400FA3AF0E5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in" sheetId="1" r:id="rId1"/>
    <sheet name="gamma" sheetId="2" r:id="rId2"/>
    <sheet name="delta" sheetId="3" r:id="rId3"/>
    <sheet name="phi" sheetId="4" r:id="rId4"/>
    <sheet name="zeta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" i="1" l="1"/>
  <c r="D3" i="5" l="1"/>
  <c r="E3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/>
  <c r="AJ3" i="5"/>
  <c r="AK3" i="5"/>
  <c r="AL3" i="5"/>
  <c r="AM3" i="5"/>
  <c r="AN3" i="5"/>
  <c r="AO3" i="5"/>
  <c r="AP3" i="5"/>
  <c r="AQ3" i="5"/>
  <c r="AR3" i="5"/>
  <c r="AS3" i="5"/>
  <c r="AT3" i="5"/>
  <c r="AU3" i="5"/>
  <c r="AV3" i="5"/>
  <c r="AW3" i="5"/>
  <c r="AX3" i="5"/>
  <c r="AY3" i="5"/>
  <c r="AZ3" i="5"/>
  <c r="BA3" i="5"/>
  <c r="BB3" i="5"/>
  <c r="BC3" i="5"/>
  <c r="BD3" i="5"/>
  <c r="BE3" i="5"/>
  <c r="BF3" i="5"/>
  <c r="BG3" i="5"/>
  <c r="BH3" i="5"/>
  <c r="BI3" i="5"/>
  <c r="BJ3" i="5"/>
  <c r="BK3" i="5"/>
  <c r="BL3" i="5"/>
  <c r="BM3" i="5"/>
  <c r="BN3" i="5"/>
  <c r="BO3" i="5"/>
  <c r="BP3" i="5"/>
  <c r="BQ3" i="5"/>
  <c r="BR3" i="5"/>
  <c r="BS3" i="5"/>
  <c r="BT3" i="5"/>
  <c r="BU3" i="5"/>
  <c r="BV3" i="5"/>
  <c r="BW3" i="5"/>
  <c r="BX3" i="5"/>
  <c r="BY3" i="5"/>
  <c r="BZ3" i="5"/>
  <c r="CA3" i="5"/>
  <c r="CB3" i="5"/>
  <c r="CC3" i="5"/>
  <c r="CD3" i="5"/>
  <c r="CE3" i="5"/>
  <c r="CF3" i="5"/>
  <c r="CG3" i="5"/>
  <c r="CH3" i="5"/>
  <c r="CI3" i="5"/>
  <c r="CJ3" i="5"/>
  <c r="CK3" i="5"/>
  <c r="CL3" i="5"/>
  <c r="CM3" i="5"/>
  <c r="CN3" i="5"/>
  <c r="CO3" i="5"/>
  <c r="CP3" i="5"/>
  <c r="CQ3" i="5"/>
  <c r="CR3" i="5"/>
  <c r="CS3" i="5"/>
  <c r="CT3" i="5"/>
  <c r="CU3" i="5"/>
  <c r="CV3" i="5"/>
  <c r="CW3" i="5"/>
  <c r="CX3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AK4" i="5"/>
  <c r="AL4" i="5"/>
  <c r="AM4" i="5"/>
  <c r="AN4" i="5"/>
  <c r="AO4" i="5"/>
  <c r="AP4" i="5"/>
  <c r="AQ4" i="5"/>
  <c r="AR4" i="5"/>
  <c r="AS4" i="5"/>
  <c r="AT4" i="5"/>
  <c r="AU4" i="5"/>
  <c r="AV4" i="5"/>
  <c r="AW4" i="5"/>
  <c r="AX4" i="5"/>
  <c r="AY4" i="5"/>
  <c r="AZ4" i="5"/>
  <c r="BA4" i="5"/>
  <c r="BB4" i="5"/>
  <c r="BC4" i="5"/>
  <c r="BD4" i="5"/>
  <c r="BE4" i="5"/>
  <c r="BF4" i="5"/>
  <c r="BG4" i="5"/>
  <c r="BH4" i="5"/>
  <c r="BI4" i="5"/>
  <c r="BJ4" i="5"/>
  <c r="BK4" i="5"/>
  <c r="BL4" i="5"/>
  <c r="BM4" i="5"/>
  <c r="BN4" i="5"/>
  <c r="BO4" i="5"/>
  <c r="BP4" i="5"/>
  <c r="BQ4" i="5"/>
  <c r="BR4" i="5"/>
  <c r="BS4" i="5"/>
  <c r="BT4" i="5"/>
  <c r="BU4" i="5"/>
  <c r="BV4" i="5"/>
  <c r="BW4" i="5"/>
  <c r="BX4" i="5"/>
  <c r="BY4" i="5"/>
  <c r="BZ4" i="5"/>
  <c r="CA4" i="5"/>
  <c r="CB4" i="5"/>
  <c r="CC4" i="5"/>
  <c r="CD4" i="5"/>
  <c r="CE4" i="5"/>
  <c r="CF4" i="5"/>
  <c r="CG4" i="5"/>
  <c r="CH4" i="5"/>
  <c r="CI4" i="5"/>
  <c r="CJ4" i="5"/>
  <c r="CK4" i="5"/>
  <c r="CL4" i="5"/>
  <c r="CM4" i="5"/>
  <c r="CN4" i="5"/>
  <c r="CO4" i="5"/>
  <c r="CP4" i="5"/>
  <c r="CQ4" i="5"/>
  <c r="CR4" i="5"/>
  <c r="CS4" i="5"/>
  <c r="CT4" i="5"/>
  <c r="CU4" i="5"/>
  <c r="CV4" i="5"/>
  <c r="CW4" i="5"/>
  <c r="CX4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AQ5" i="5"/>
  <c r="AR5" i="5"/>
  <c r="AS5" i="5"/>
  <c r="AT5" i="5"/>
  <c r="AU5" i="5"/>
  <c r="AV5" i="5"/>
  <c r="AW5" i="5"/>
  <c r="AX5" i="5"/>
  <c r="AY5" i="5"/>
  <c r="AZ5" i="5"/>
  <c r="BA5" i="5"/>
  <c r="BB5" i="5"/>
  <c r="BC5" i="5"/>
  <c r="BD5" i="5"/>
  <c r="BE5" i="5"/>
  <c r="BF5" i="5"/>
  <c r="BG5" i="5"/>
  <c r="BH5" i="5"/>
  <c r="BI5" i="5"/>
  <c r="BJ5" i="5"/>
  <c r="BK5" i="5"/>
  <c r="BL5" i="5"/>
  <c r="BM5" i="5"/>
  <c r="BN5" i="5"/>
  <c r="BO5" i="5"/>
  <c r="BP5" i="5"/>
  <c r="BQ5" i="5"/>
  <c r="BR5" i="5"/>
  <c r="BS5" i="5"/>
  <c r="BT5" i="5"/>
  <c r="BU5" i="5"/>
  <c r="BV5" i="5"/>
  <c r="BW5" i="5"/>
  <c r="BX5" i="5"/>
  <c r="BY5" i="5"/>
  <c r="BZ5" i="5"/>
  <c r="CA5" i="5"/>
  <c r="CB5" i="5"/>
  <c r="CC5" i="5"/>
  <c r="CD5" i="5"/>
  <c r="CE5" i="5"/>
  <c r="CF5" i="5"/>
  <c r="CG5" i="5"/>
  <c r="CH5" i="5"/>
  <c r="CI5" i="5"/>
  <c r="CJ5" i="5"/>
  <c r="CK5" i="5"/>
  <c r="CL5" i="5"/>
  <c r="CM5" i="5"/>
  <c r="CN5" i="5"/>
  <c r="CO5" i="5"/>
  <c r="CP5" i="5"/>
  <c r="CQ5" i="5"/>
  <c r="CR5" i="5"/>
  <c r="CS5" i="5"/>
  <c r="CT5" i="5"/>
  <c r="CU5" i="5"/>
  <c r="CV5" i="5"/>
  <c r="CW5" i="5"/>
  <c r="CX5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AK6" i="5"/>
  <c r="AL6" i="5"/>
  <c r="AM6" i="5"/>
  <c r="AN6" i="5"/>
  <c r="AO6" i="5"/>
  <c r="AP6" i="5"/>
  <c r="AQ6" i="5"/>
  <c r="AR6" i="5"/>
  <c r="AS6" i="5"/>
  <c r="AT6" i="5"/>
  <c r="AU6" i="5"/>
  <c r="AV6" i="5"/>
  <c r="AW6" i="5"/>
  <c r="AX6" i="5"/>
  <c r="AY6" i="5"/>
  <c r="AZ6" i="5"/>
  <c r="BA6" i="5"/>
  <c r="BB6" i="5"/>
  <c r="BC6" i="5"/>
  <c r="BD6" i="5"/>
  <c r="BE6" i="5"/>
  <c r="BF6" i="5"/>
  <c r="BG6" i="5"/>
  <c r="BH6" i="5"/>
  <c r="BI6" i="5"/>
  <c r="BJ6" i="5"/>
  <c r="BK6" i="5"/>
  <c r="BL6" i="5"/>
  <c r="BM6" i="5"/>
  <c r="BN6" i="5"/>
  <c r="BO6" i="5"/>
  <c r="BP6" i="5"/>
  <c r="BQ6" i="5"/>
  <c r="BR6" i="5"/>
  <c r="BS6" i="5"/>
  <c r="BT6" i="5"/>
  <c r="BU6" i="5"/>
  <c r="BV6" i="5"/>
  <c r="BW6" i="5"/>
  <c r="BX6" i="5"/>
  <c r="BY6" i="5"/>
  <c r="BZ6" i="5"/>
  <c r="CA6" i="5"/>
  <c r="CB6" i="5"/>
  <c r="CC6" i="5"/>
  <c r="CD6" i="5"/>
  <c r="CE6" i="5"/>
  <c r="CF6" i="5"/>
  <c r="CG6" i="5"/>
  <c r="CH6" i="5"/>
  <c r="CI6" i="5"/>
  <c r="CJ6" i="5"/>
  <c r="CK6" i="5"/>
  <c r="CL6" i="5"/>
  <c r="CM6" i="5"/>
  <c r="CN6" i="5"/>
  <c r="CO6" i="5"/>
  <c r="CP6" i="5"/>
  <c r="CQ6" i="5"/>
  <c r="CR6" i="5"/>
  <c r="CS6" i="5"/>
  <c r="CT6" i="5"/>
  <c r="CU6" i="5"/>
  <c r="CV6" i="5"/>
  <c r="CW6" i="5"/>
  <c r="CX6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AR7" i="5"/>
  <c r="AS7" i="5"/>
  <c r="AT7" i="5"/>
  <c r="AU7" i="5"/>
  <c r="AV7" i="5"/>
  <c r="AW7" i="5"/>
  <c r="AX7" i="5"/>
  <c r="AY7" i="5"/>
  <c r="AZ7" i="5"/>
  <c r="BA7" i="5"/>
  <c r="BB7" i="5"/>
  <c r="BC7" i="5"/>
  <c r="BD7" i="5"/>
  <c r="BE7" i="5"/>
  <c r="BF7" i="5"/>
  <c r="BG7" i="5"/>
  <c r="BH7" i="5"/>
  <c r="BI7" i="5"/>
  <c r="BJ7" i="5"/>
  <c r="BK7" i="5"/>
  <c r="BL7" i="5"/>
  <c r="BM7" i="5"/>
  <c r="BN7" i="5"/>
  <c r="BO7" i="5"/>
  <c r="BP7" i="5"/>
  <c r="BQ7" i="5"/>
  <c r="BR7" i="5"/>
  <c r="BS7" i="5"/>
  <c r="BT7" i="5"/>
  <c r="BU7" i="5"/>
  <c r="BV7" i="5"/>
  <c r="BW7" i="5"/>
  <c r="BX7" i="5"/>
  <c r="BY7" i="5"/>
  <c r="BZ7" i="5"/>
  <c r="CA7" i="5"/>
  <c r="CB7" i="5"/>
  <c r="CC7" i="5"/>
  <c r="CD7" i="5"/>
  <c r="CE7" i="5"/>
  <c r="CF7" i="5"/>
  <c r="CG7" i="5"/>
  <c r="CH7" i="5"/>
  <c r="CI7" i="5"/>
  <c r="CJ7" i="5"/>
  <c r="CK7" i="5"/>
  <c r="CL7" i="5"/>
  <c r="CM7" i="5"/>
  <c r="CN7" i="5"/>
  <c r="CO7" i="5"/>
  <c r="CP7" i="5"/>
  <c r="CQ7" i="5"/>
  <c r="CR7" i="5"/>
  <c r="CS7" i="5"/>
  <c r="CT7" i="5"/>
  <c r="CU7" i="5"/>
  <c r="CV7" i="5"/>
  <c r="CW7" i="5"/>
  <c r="CX7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AS8" i="5"/>
  <c r="AT8" i="5"/>
  <c r="AU8" i="5"/>
  <c r="AV8" i="5"/>
  <c r="AW8" i="5"/>
  <c r="AX8" i="5"/>
  <c r="AY8" i="5"/>
  <c r="AZ8" i="5"/>
  <c r="BA8" i="5"/>
  <c r="BB8" i="5"/>
  <c r="BC8" i="5"/>
  <c r="BD8" i="5"/>
  <c r="BE8" i="5"/>
  <c r="BF8" i="5"/>
  <c r="BG8" i="5"/>
  <c r="BH8" i="5"/>
  <c r="BI8" i="5"/>
  <c r="BJ8" i="5"/>
  <c r="BK8" i="5"/>
  <c r="BL8" i="5"/>
  <c r="BM8" i="5"/>
  <c r="BN8" i="5"/>
  <c r="BO8" i="5"/>
  <c r="BP8" i="5"/>
  <c r="BQ8" i="5"/>
  <c r="BR8" i="5"/>
  <c r="BS8" i="5"/>
  <c r="BT8" i="5"/>
  <c r="BU8" i="5"/>
  <c r="BV8" i="5"/>
  <c r="BW8" i="5"/>
  <c r="BX8" i="5"/>
  <c r="BY8" i="5"/>
  <c r="BZ8" i="5"/>
  <c r="CA8" i="5"/>
  <c r="CB8" i="5"/>
  <c r="CC8" i="5"/>
  <c r="CD8" i="5"/>
  <c r="CE8" i="5"/>
  <c r="CF8" i="5"/>
  <c r="CG8" i="5"/>
  <c r="CH8" i="5"/>
  <c r="CI8" i="5"/>
  <c r="CJ8" i="5"/>
  <c r="CK8" i="5"/>
  <c r="CL8" i="5"/>
  <c r="CM8" i="5"/>
  <c r="CN8" i="5"/>
  <c r="CO8" i="5"/>
  <c r="CP8" i="5"/>
  <c r="CQ8" i="5"/>
  <c r="CR8" i="5"/>
  <c r="CS8" i="5"/>
  <c r="CT8" i="5"/>
  <c r="CU8" i="5"/>
  <c r="CV8" i="5"/>
  <c r="CW8" i="5"/>
  <c r="CX8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AO9" i="5"/>
  <c r="AP9" i="5"/>
  <c r="AQ9" i="5"/>
  <c r="AR9" i="5"/>
  <c r="AS9" i="5"/>
  <c r="AT9" i="5"/>
  <c r="AU9" i="5"/>
  <c r="AV9" i="5"/>
  <c r="AW9" i="5"/>
  <c r="AX9" i="5"/>
  <c r="AY9" i="5"/>
  <c r="AZ9" i="5"/>
  <c r="BA9" i="5"/>
  <c r="BB9" i="5"/>
  <c r="BC9" i="5"/>
  <c r="BD9" i="5"/>
  <c r="BE9" i="5"/>
  <c r="BF9" i="5"/>
  <c r="BG9" i="5"/>
  <c r="BH9" i="5"/>
  <c r="BI9" i="5"/>
  <c r="BJ9" i="5"/>
  <c r="BK9" i="5"/>
  <c r="BL9" i="5"/>
  <c r="BM9" i="5"/>
  <c r="BN9" i="5"/>
  <c r="BO9" i="5"/>
  <c r="BP9" i="5"/>
  <c r="BQ9" i="5"/>
  <c r="BR9" i="5"/>
  <c r="BS9" i="5"/>
  <c r="BT9" i="5"/>
  <c r="BU9" i="5"/>
  <c r="BV9" i="5"/>
  <c r="BW9" i="5"/>
  <c r="BX9" i="5"/>
  <c r="BY9" i="5"/>
  <c r="BZ9" i="5"/>
  <c r="CA9" i="5"/>
  <c r="CB9" i="5"/>
  <c r="CC9" i="5"/>
  <c r="CD9" i="5"/>
  <c r="CE9" i="5"/>
  <c r="CF9" i="5"/>
  <c r="CG9" i="5"/>
  <c r="CH9" i="5"/>
  <c r="CI9" i="5"/>
  <c r="CJ9" i="5"/>
  <c r="CK9" i="5"/>
  <c r="CL9" i="5"/>
  <c r="CM9" i="5"/>
  <c r="CN9" i="5"/>
  <c r="CO9" i="5"/>
  <c r="CP9" i="5"/>
  <c r="CQ9" i="5"/>
  <c r="CR9" i="5"/>
  <c r="CS9" i="5"/>
  <c r="CT9" i="5"/>
  <c r="CU9" i="5"/>
  <c r="CV9" i="5"/>
  <c r="CW9" i="5"/>
  <c r="CX9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AJ10" i="5"/>
  <c r="AK10" i="5"/>
  <c r="AL10" i="5"/>
  <c r="AM10" i="5"/>
  <c r="AN10" i="5"/>
  <c r="AO10" i="5"/>
  <c r="AP10" i="5"/>
  <c r="AQ10" i="5"/>
  <c r="AR10" i="5"/>
  <c r="AS10" i="5"/>
  <c r="AT10" i="5"/>
  <c r="AU10" i="5"/>
  <c r="AV10" i="5"/>
  <c r="AW10" i="5"/>
  <c r="AX10" i="5"/>
  <c r="AY10" i="5"/>
  <c r="AZ10" i="5"/>
  <c r="BA10" i="5"/>
  <c r="BB10" i="5"/>
  <c r="BC10" i="5"/>
  <c r="BD10" i="5"/>
  <c r="BE10" i="5"/>
  <c r="BF10" i="5"/>
  <c r="BG10" i="5"/>
  <c r="BH10" i="5"/>
  <c r="BI10" i="5"/>
  <c r="BJ10" i="5"/>
  <c r="BK10" i="5"/>
  <c r="BL10" i="5"/>
  <c r="BM10" i="5"/>
  <c r="BN10" i="5"/>
  <c r="BO10" i="5"/>
  <c r="BP10" i="5"/>
  <c r="BQ10" i="5"/>
  <c r="BR10" i="5"/>
  <c r="BS10" i="5"/>
  <c r="BT10" i="5"/>
  <c r="BU10" i="5"/>
  <c r="BV10" i="5"/>
  <c r="BW10" i="5"/>
  <c r="BX10" i="5"/>
  <c r="BY10" i="5"/>
  <c r="BZ10" i="5"/>
  <c r="CA10" i="5"/>
  <c r="CB10" i="5"/>
  <c r="CC10" i="5"/>
  <c r="CD10" i="5"/>
  <c r="CE10" i="5"/>
  <c r="CF10" i="5"/>
  <c r="CG10" i="5"/>
  <c r="CH10" i="5"/>
  <c r="CI10" i="5"/>
  <c r="CJ10" i="5"/>
  <c r="CK10" i="5"/>
  <c r="CL10" i="5"/>
  <c r="CM10" i="5"/>
  <c r="CN10" i="5"/>
  <c r="CO10" i="5"/>
  <c r="CP10" i="5"/>
  <c r="CQ10" i="5"/>
  <c r="CR10" i="5"/>
  <c r="CS10" i="5"/>
  <c r="CT10" i="5"/>
  <c r="CU10" i="5"/>
  <c r="CV10" i="5"/>
  <c r="CW10" i="5"/>
  <c r="CX10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AJ11" i="5"/>
  <c r="AK11" i="5"/>
  <c r="AL11" i="5"/>
  <c r="AM11" i="5"/>
  <c r="AN11" i="5"/>
  <c r="AO11" i="5"/>
  <c r="AP11" i="5"/>
  <c r="AQ11" i="5"/>
  <c r="AR11" i="5"/>
  <c r="AS11" i="5"/>
  <c r="AT11" i="5"/>
  <c r="AU11" i="5"/>
  <c r="AV11" i="5"/>
  <c r="AW11" i="5"/>
  <c r="AX11" i="5"/>
  <c r="AY11" i="5"/>
  <c r="AZ11" i="5"/>
  <c r="BA11" i="5"/>
  <c r="BB11" i="5"/>
  <c r="BC11" i="5"/>
  <c r="BD11" i="5"/>
  <c r="BE11" i="5"/>
  <c r="BF11" i="5"/>
  <c r="BG11" i="5"/>
  <c r="BH11" i="5"/>
  <c r="BI11" i="5"/>
  <c r="BJ11" i="5"/>
  <c r="BK11" i="5"/>
  <c r="BL11" i="5"/>
  <c r="BM11" i="5"/>
  <c r="BN11" i="5"/>
  <c r="BO11" i="5"/>
  <c r="BP11" i="5"/>
  <c r="BQ11" i="5"/>
  <c r="BR11" i="5"/>
  <c r="BS11" i="5"/>
  <c r="BT11" i="5"/>
  <c r="BU11" i="5"/>
  <c r="BV11" i="5"/>
  <c r="BW11" i="5"/>
  <c r="BX11" i="5"/>
  <c r="BY11" i="5"/>
  <c r="BZ11" i="5"/>
  <c r="CA11" i="5"/>
  <c r="CB11" i="5"/>
  <c r="CC11" i="5"/>
  <c r="CD11" i="5"/>
  <c r="CE11" i="5"/>
  <c r="CF11" i="5"/>
  <c r="CG11" i="5"/>
  <c r="CH11" i="5"/>
  <c r="CI11" i="5"/>
  <c r="CJ11" i="5"/>
  <c r="CK11" i="5"/>
  <c r="CL11" i="5"/>
  <c r="CM11" i="5"/>
  <c r="CN11" i="5"/>
  <c r="CO11" i="5"/>
  <c r="CP11" i="5"/>
  <c r="CQ11" i="5"/>
  <c r="CR11" i="5"/>
  <c r="CS11" i="5"/>
  <c r="CT11" i="5"/>
  <c r="CU11" i="5"/>
  <c r="CV11" i="5"/>
  <c r="CW11" i="5"/>
  <c r="CX11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AJ12" i="5"/>
  <c r="AK12" i="5"/>
  <c r="AL12" i="5"/>
  <c r="AM12" i="5"/>
  <c r="AN12" i="5"/>
  <c r="AO12" i="5"/>
  <c r="AP12" i="5"/>
  <c r="AQ12" i="5"/>
  <c r="AR12" i="5"/>
  <c r="AS12" i="5"/>
  <c r="AT12" i="5"/>
  <c r="AU12" i="5"/>
  <c r="AV12" i="5"/>
  <c r="AW12" i="5"/>
  <c r="AX12" i="5"/>
  <c r="AY12" i="5"/>
  <c r="AZ12" i="5"/>
  <c r="BA12" i="5"/>
  <c r="BB12" i="5"/>
  <c r="BC12" i="5"/>
  <c r="BD12" i="5"/>
  <c r="BE12" i="5"/>
  <c r="BF12" i="5"/>
  <c r="BG12" i="5"/>
  <c r="BH12" i="5"/>
  <c r="BI12" i="5"/>
  <c r="BJ12" i="5"/>
  <c r="BK12" i="5"/>
  <c r="BL12" i="5"/>
  <c r="BM12" i="5"/>
  <c r="BN12" i="5"/>
  <c r="BO12" i="5"/>
  <c r="BP12" i="5"/>
  <c r="BQ12" i="5"/>
  <c r="BR12" i="5"/>
  <c r="BS12" i="5"/>
  <c r="BT12" i="5"/>
  <c r="BU12" i="5"/>
  <c r="BV12" i="5"/>
  <c r="BW12" i="5"/>
  <c r="BX12" i="5"/>
  <c r="BY12" i="5"/>
  <c r="BZ12" i="5"/>
  <c r="CA12" i="5"/>
  <c r="CB12" i="5"/>
  <c r="CC12" i="5"/>
  <c r="CD12" i="5"/>
  <c r="CE12" i="5"/>
  <c r="CF12" i="5"/>
  <c r="CG12" i="5"/>
  <c r="CH12" i="5"/>
  <c r="CI12" i="5"/>
  <c r="CJ12" i="5"/>
  <c r="CK12" i="5"/>
  <c r="CL12" i="5"/>
  <c r="CM12" i="5"/>
  <c r="CN12" i="5"/>
  <c r="CO12" i="5"/>
  <c r="CP12" i="5"/>
  <c r="CQ12" i="5"/>
  <c r="CR12" i="5"/>
  <c r="CS12" i="5"/>
  <c r="CT12" i="5"/>
  <c r="CU12" i="5"/>
  <c r="CV12" i="5"/>
  <c r="CW12" i="5"/>
  <c r="CX12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AJ13" i="5"/>
  <c r="AK13" i="5"/>
  <c r="AL13" i="5"/>
  <c r="AM13" i="5"/>
  <c r="AN13" i="5"/>
  <c r="AO13" i="5"/>
  <c r="AP13" i="5"/>
  <c r="AQ13" i="5"/>
  <c r="AR13" i="5"/>
  <c r="AS13" i="5"/>
  <c r="AT13" i="5"/>
  <c r="AU13" i="5"/>
  <c r="AV13" i="5"/>
  <c r="AW13" i="5"/>
  <c r="AX13" i="5"/>
  <c r="AY13" i="5"/>
  <c r="AZ13" i="5"/>
  <c r="BA13" i="5"/>
  <c r="BB13" i="5"/>
  <c r="BC13" i="5"/>
  <c r="BD13" i="5"/>
  <c r="BE13" i="5"/>
  <c r="BF13" i="5"/>
  <c r="BG13" i="5"/>
  <c r="BH13" i="5"/>
  <c r="BI13" i="5"/>
  <c r="BJ13" i="5"/>
  <c r="BK13" i="5"/>
  <c r="BL13" i="5"/>
  <c r="BM13" i="5"/>
  <c r="BN13" i="5"/>
  <c r="BO13" i="5"/>
  <c r="BP13" i="5"/>
  <c r="BQ13" i="5"/>
  <c r="BR13" i="5"/>
  <c r="BS13" i="5"/>
  <c r="BT13" i="5"/>
  <c r="BU13" i="5"/>
  <c r="BV13" i="5"/>
  <c r="BW13" i="5"/>
  <c r="BX13" i="5"/>
  <c r="BY13" i="5"/>
  <c r="BZ13" i="5"/>
  <c r="CA13" i="5"/>
  <c r="CB13" i="5"/>
  <c r="CC13" i="5"/>
  <c r="CD13" i="5"/>
  <c r="CE13" i="5"/>
  <c r="CF13" i="5"/>
  <c r="CG13" i="5"/>
  <c r="CH13" i="5"/>
  <c r="CI13" i="5"/>
  <c r="CJ13" i="5"/>
  <c r="CK13" i="5"/>
  <c r="CL13" i="5"/>
  <c r="CM13" i="5"/>
  <c r="CN13" i="5"/>
  <c r="CO13" i="5"/>
  <c r="CP13" i="5"/>
  <c r="CQ13" i="5"/>
  <c r="CR13" i="5"/>
  <c r="CS13" i="5"/>
  <c r="CT13" i="5"/>
  <c r="CU13" i="5"/>
  <c r="CV13" i="5"/>
  <c r="CW13" i="5"/>
  <c r="CX13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AJ14" i="5"/>
  <c r="AK14" i="5"/>
  <c r="AL14" i="5"/>
  <c r="AM14" i="5"/>
  <c r="AN14" i="5"/>
  <c r="AO14" i="5"/>
  <c r="AP14" i="5"/>
  <c r="AQ14" i="5"/>
  <c r="AR14" i="5"/>
  <c r="AS14" i="5"/>
  <c r="AT14" i="5"/>
  <c r="AU14" i="5"/>
  <c r="AV14" i="5"/>
  <c r="AW14" i="5"/>
  <c r="AX14" i="5"/>
  <c r="AY14" i="5"/>
  <c r="AZ14" i="5"/>
  <c r="BA14" i="5"/>
  <c r="BB14" i="5"/>
  <c r="BC14" i="5"/>
  <c r="BD14" i="5"/>
  <c r="BE14" i="5"/>
  <c r="BF14" i="5"/>
  <c r="BG14" i="5"/>
  <c r="BH14" i="5"/>
  <c r="BI14" i="5"/>
  <c r="BJ14" i="5"/>
  <c r="BK14" i="5"/>
  <c r="BL14" i="5"/>
  <c r="BM14" i="5"/>
  <c r="BN14" i="5"/>
  <c r="BO14" i="5"/>
  <c r="BP14" i="5"/>
  <c r="BQ14" i="5"/>
  <c r="BR14" i="5"/>
  <c r="BS14" i="5"/>
  <c r="BT14" i="5"/>
  <c r="BU14" i="5"/>
  <c r="BV14" i="5"/>
  <c r="BW14" i="5"/>
  <c r="BX14" i="5"/>
  <c r="BY14" i="5"/>
  <c r="BZ14" i="5"/>
  <c r="CA14" i="5"/>
  <c r="CB14" i="5"/>
  <c r="CC14" i="5"/>
  <c r="CD14" i="5"/>
  <c r="CE14" i="5"/>
  <c r="CF14" i="5"/>
  <c r="CG14" i="5"/>
  <c r="CH14" i="5"/>
  <c r="CI14" i="5"/>
  <c r="CJ14" i="5"/>
  <c r="CK14" i="5"/>
  <c r="CL14" i="5"/>
  <c r="CM14" i="5"/>
  <c r="CN14" i="5"/>
  <c r="CO14" i="5"/>
  <c r="CP14" i="5"/>
  <c r="CQ14" i="5"/>
  <c r="CR14" i="5"/>
  <c r="CS14" i="5"/>
  <c r="CT14" i="5"/>
  <c r="CU14" i="5"/>
  <c r="CV14" i="5"/>
  <c r="CW14" i="5"/>
  <c r="CX14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AJ15" i="5"/>
  <c r="AK15" i="5"/>
  <c r="AL15" i="5"/>
  <c r="AM15" i="5"/>
  <c r="AN15" i="5"/>
  <c r="AO15" i="5"/>
  <c r="AP15" i="5"/>
  <c r="AQ15" i="5"/>
  <c r="AR15" i="5"/>
  <c r="AS15" i="5"/>
  <c r="AT15" i="5"/>
  <c r="AU15" i="5"/>
  <c r="AV15" i="5"/>
  <c r="AW15" i="5"/>
  <c r="AX15" i="5"/>
  <c r="AY15" i="5"/>
  <c r="AZ15" i="5"/>
  <c r="BA15" i="5"/>
  <c r="BB15" i="5"/>
  <c r="BC15" i="5"/>
  <c r="BD15" i="5"/>
  <c r="BE15" i="5"/>
  <c r="BF15" i="5"/>
  <c r="BG15" i="5"/>
  <c r="BH15" i="5"/>
  <c r="BI15" i="5"/>
  <c r="BJ15" i="5"/>
  <c r="BK15" i="5"/>
  <c r="BL15" i="5"/>
  <c r="BM15" i="5"/>
  <c r="BN15" i="5"/>
  <c r="BO15" i="5"/>
  <c r="BP15" i="5"/>
  <c r="BQ15" i="5"/>
  <c r="BR15" i="5"/>
  <c r="BS15" i="5"/>
  <c r="BT15" i="5"/>
  <c r="BU15" i="5"/>
  <c r="BV15" i="5"/>
  <c r="BW15" i="5"/>
  <c r="BX15" i="5"/>
  <c r="BY15" i="5"/>
  <c r="BZ15" i="5"/>
  <c r="CA15" i="5"/>
  <c r="CB15" i="5"/>
  <c r="CC15" i="5"/>
  <c r="CD15" i="5"/>
  <c r="CE15" i="5"/>
  <c r="CF15" i="5"/>
  <c r="CG15" i="5"/>
  <c r="CH15" i="5"/>
  <c r="CI15" i="5"/>
  <c r="CJ15" i="5"/>
  <c r="CK15" i="5"/>
  <c r="CL15" i="5"/>
  <c r="CM15" i="5"/>
  <c r="CN15" i="5"/>
  <c r="CO15" i="5"/>
  <c r="CP15" i="5"/>
  <c r="CQ15" i="5"/>
  <c r="CR15" i="5"/>
  <c r="CS15" i="5"/>
  <c r="CT15" i="5"/>
  <c r="CU15" i="5"/>
  <c r="CV15" i="5"/>
  <c r="CW15" i="5"/>
  <c r="CX15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AJ16" i="5"/>
  <c r="AK16" i="5"/>
  <c r="AL16" i="5"/>
  <c r="AM16" i="5"/>
  <c r="AN16" i="5"/>
  <c r="AO16" i="5"/>
  <c r="AP16" i="5"/>
  <c r="AQ16" i="5"/>
  <c r="AR16" i="5"/>
  <c r="AS16" i="5"/>
  <c r="AT16" i="5"/>
  <c r="AU16" i="5"/>
  <c r="AV16" i="5"/>
  <c r="AW16" i="5"/>
  <c r="AX16" i="5"/>
  <c r="AY16" i="5"/>
  <c r="AZ16" i="5"/>
  <c r="BA16" i="5"/>
  <c r="BB16" i="5"/>
  <c r="BC16" i="5"/>
  <c r="BD16" i="5"/>
  <c r="BE16" i="5"/>
  <c r="BF16" i="5"/>
  <c r="BG16" i="5"/>
  <c r="BH16" i="5"/>
  <c r="BI16" i="5"/>
  <c r="BJ16" i="5"/>
  <c r="BK16" i="5"/>
  <c r="BL16" i="5"/>
  <c r="BM16" i="5"/>
  <c r="BN16" i="5"/>
  <c r="BO16" i="5"/>
  <c r="BP16" i="5"/>
  <c r="BQ16" i="5"/>
  <c r="BR16" i="5"/>
  <c r="BS16" i="5"/>
  <c r="BT16" i="5"/>
  <c r="BU16" i="5"/>
  <c r="BV16" i="5"/>
  <c r="BW16" i="5"/>
  <c r="BX16" i="5"/>
  <c r="BY16" i="5"/>
  <c r="BZ16" i="5"/>
  <c r="CA16" i="5"/>
  <c r="CB16" i="5"/>
  <c r="CC16" i="5"/>
  <c r="CD16" i="5"/>
  <c r="CE16" i="5"/>
  <c r="CF16" i="5"/>
  <c r="CG16" i="5"/>
  <c r="CH16" i="5"/>
  <c r="CI16" i="5"/>
  <c r="CJ16" i="5"/>
  <c r="CK16" i="5"/>
  <c r="CL16" i="5"/>
  <c r="CM16" i="5"/>
  <c r="CN16" i="5"/>
  <c r="CO16" i="5"/>
  <c r="CP16" i="5"/>
  <c r="CQ16" i="5"/>
  <c r="CR16" i="5"/>
  <c r="CS16" i="5"/>
  <c r="CT16" i="5"/>
  <c r="CU16" i="5"/>
  <c r="CV16" i="5"/>
  <c r="CW16" i="5"/>
  <c r="CX16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N17" i="5"/>
  <c r="AO17" i="5"/>
  <c r="AP17" i="5"/>
  <c r="AQ17" i="5"/>
  <c r="AR17" i="5"/>
  <c r="AS17" i="5"/>
  <c r="AT17" i="5"/>
  <c r="AU17" i="5"/>
  <c r="AV17" i="5"/>
  <c r="AW17" i="5"/>
  <c r="AX17" i="5"/>
  <c r="AY17" i="5"/>
  <c r="AZ17" i="5"/>
  <c r="BA17" i="5"/>
  <c r="BB17" i="5"/>
  <c r="BC17" i="5"/>
  <c r="BD17" i="5"/>
  <c r="BE17" i="5"/>
  <c r="BF17" i="5"/>
  <c r="BG17" i="5"/>
  <c r="BH17" i="5"/>
  <c r="BI17" i="5"/>
  <c r="BJ17" i="5"/>
  <c r="BK17" i="5"/>
  <c r="BL17" i="5"/>
  <c r="BM17" i="5"/>
  <c r="BN17" i="5"/>
  <c r="BO17" i="5"/>
  <c r="BP17" i="5"/>
  <c r="BQ17" i="5"/>
  <c r="BR17" i="5"/>
  <c r="BS17" i="5"/>
  <c r="BT17" i="5"/>
  <c r="BU17" i="5"/>
  <c r="BV17" i="5"/>
  <c r="BW17" i="5"/>
  <c r="BX17" i="5"/>
  <c r="BY17" i="5"/>
  <c r="BZ17" i="5"/>
  <c r="CA17" i="5"/>
  <c r="CB17" i="5"/>
  <c r="CC17" i="5"/>
  <c r="CD17" i="5"/>
  <c r="CE17" i="5"/>
  <c r="CF17" i="5"/>
  <c r="CG17" i="5"/>
  <c r="CH17" i="5"/>
  <c r="CI17" i="5"/>
  <c r="CJ17" i="5"/>
  <c r="CK17" i="5"/>
  <c r="CL17" i="5"/>
  <c r="CM17" i="5"/>
  <c r="CN17" i="5"/>
  <c r="CO17" i="5"/>
  <c r="CP17" i="5"/>
  <c r="CQ17" i="5"/>
  <c r="CR17" i="5"/>
  <c r="CS17" i="5"/>
  <c r="CT17" i="5"/>
  <c r="CU17" i="5"/>
  <c r="CV17" i="5"/>
  <c r="CW17" i="5"/>
  <c r="CX17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AL18" i="5"/>
  <c r="AM18" i="5"/>
  <c r="AN18" i="5"/>
  <c r="AO18" i="5"/>
  <c r="AP18" i="5"/>
  <c r="AQ18" i="5"/>
  <c r="AR18" i="5"/>
  <c r="AS18" i="5"/>
  <c r="AT18" i="5"/>
  <c r="AU18" i="5"/>
  <c r="AV18" i="5"/>
  <c r="AW18" i="5"/>
  <c r="AX18" i="5"/>
  <c r="AY18" i="5"/>
  <c r="AZ18" i="5"/>
  <c r="BA18" i="5"/>
  <c r="BB18" i="5"/>
  <c r="BC18" i="5"/>
  <c r="BD18" i="5"/>
  <c r="BE18" i="5"/>
  <c r="BF18" i="5"/>
  <c r="BG18" i="5"/>
  <c r="BH18" i="5"/>
  <c r="BI18" i="5"/>
  <c r="BJ18" i="5"/>
  <c r="BK18" i="5"/>
  <c r="BL18" i="5"/>
  <c r="BM18" i="5"/>
  <c r="BN18" i="5"/>
  <c r="BO18" i="5"/>
  <c r="BP18" i="5"/>
  <c r="BQ18" i="5"/>
  <c r="BR18" i="5"/>
  <c r="BS18" i="5"/>
  <c r="BT18" i="5"/>
  <c r="BU18" i="5"/>
  <c r="BV18" i="5"/>
  <c r="BW18" i="5"/>
  <c r="BX18" i="5"/>
  <c r="BY18" i="5"/>
  <c r="BZ18" i="5"/>
  <c r="CA18" i="5"/>
  <c r="CB18" i="5"/>
  <c r="CC18" i="5"/>
  <c r="CD18" i="5"/>
  <c r="CE18" i="5"/>
  <c r="CF18" i="5"/>
  <c r="CG18" i="5"/>
  <c r="CH18" i="5"/>
  <c r="CI18" i="5"/>
  <c r="CJ18" i="5"/>
  <c r="CK18" i="5"/>
  <c r="CL18" i="5"/>
  <c r="CM18" i="5"/>
  <c r="CN18" i="5"/>
  <c r="CO18" i="5"/>
  <c r="CP18" i="5"/>
  <c r="CQ18" i="5"/>
  <c r="CR18" i="5"/>
  <c r="CS18" i="5"/>
  <c r="CT18" i="5"/>
  <c r="CU18" i="5"/>
  <c r="CV18" i="5"/>
  <c r="CW18" i="5"/>
  <c r="CX18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9" i="5"/>
  <c r="AK19" i="5"/>
  <c r="AL19" i="5"/>
  <c r="AM19" i="5"/>
  <c r="AN19" i="5"/>
  <c r="AO19" i="5"/>
  <c r="AP19" i="5"/>
  <c r="AQ19" i="5"/>
  <c r="AR19" i="5"/>
  <c r="AS19" i="5"/>
  <c r="AT19" i="5"/>
  <c r="AU19" i="5"/>
  <c r="AV19" i="5"/>
  <c r="AW19" i="5"/>
  <c r="AX19" i="5"/>
  <c r="AY19" i="5"/>
  <c r="AZ19" i="5"/>
  <c r="BA19" i="5"/>
  <c r="BB19" i="5"/>
  <c r="BC19" i="5"/>
  <c r="BD19" i="5"/>
  <c r="BE19" i="5"/>
  <c r="BF19" i="5"/>
  <c r="BG19" i="5"/>
  <c r="BH19" i="5"/>
  <c r="BI19" i="5"/>
  <c r="BJ19" i="5"/>
  <c r="BK19" i="5"/>
  <c r="BL19" i="5"/>
  <c r="BM19" i="5"/>
  <c r="BN19" i="5"/>
  <c r="BO19" i="5"/>
  <c r="BP19" i="5"/>
  <c r="BQ19" i="5"/>
  <c r="BR19" i="5"/>
  <c r="BS19" i="5"/>
  <c r="BT19" i="5"/>
  <c r="BU19" i="5"/>
  <c r="BV19" i="5"/>
  <c r="BW19" i="5"/>
  <c r="BX19" i="5"/>
  <c r="BY19" i="5"/>
  <c r="BZ19" i="5"/>
  <c r="CA19" i="5"/>
  <c r="CB19" i="5"/>
  <c r="CC19" i="5"/>
  <c r="CD19" i="5"/>
  <c r="CE19" i="5"/>
  <c r="CF19" i="5"/>
  <c r="CG19" i="5"/>
  <c r="CH19" i="5"/>
  <c r="CI19" i="5"/>
  <c r="CJ19" i="5"/>
  <c r="CK19" i="5"/>
  <c r="CL19" i="5"/>
  <c r="CM19" i="5"/>
  <c r="CN19" i="5"/>
  <c r="CO19" i="5"/>
  <c r="CP19" i="5"/>
  <c r="CQ19" i="5"/>
  <c r="CR19" i="5"/>
  <c r="CS19" i="5"/>
  <c r="CT19" i="5"/>
  <c r="CU19" i="5"/>
  <c r="CV19" i="5"/>
  <c r="CW19" i="5"/>
  <c r="CX19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AJ20" i="5"/>
  <c r="AK20" i="5"/>
  <c r="AL20" i="5"/>
  <c r="AM20" i="5"/>
  <c r="AN20" i="5"/>
  <c r="AO20" i="5"/>
  <c r="AP20" i="5"/>
  <c r="AQ20" i="5"/>
  <c r="AR20" i="5"/>
  <c r="AS20" i="5"/>
  <c r="AT20" i="5"/>
  <c r="AU20" i="5"/>
  <c r="AV20" i="5"/>
  <c r="AW20" i="5"/>
  <c r="AX20" i="5"/>
  <c r="AY20" i="5"/>
  <c r="AZ20" i="5"/>
  <c r="BA20" i="5"/>
  <c r="BB20" i="5"/>
  <c r="BC20" i="5"/>
  <c r="BD20" i="5"/>
  <c r="BE20" i="5"/>
  <c r="BF20" i="5"/>
  <c r="BG20" i="5"/>
  <c r="BH20" i="5"/>
  <c r="BI20" i="5"/>
  <c r="BJ20" i="5"/>
  <c r="BK20" i="5"/>
  <c r="BL20" i="5"/>
  <c r="BM20" i="5"/>
  <c r="BN20" i="5"/>
  <c r="BO20" i="5"/>
  <c r="BP20" i="5"/>
  <c r="BQ20" i="5"/>
  <c r="BR20" i="5"/>
  <c r="BS20" i="5"/>
  <c r="BT20" i="5"/>
  <c r="BU20" i="5"/>
  <c r="BV20" i="5"/>
  <c r="BW20" i="5"/>
  <c r="BX20" i="5"/>
  <c r="BY20" i="5"/>
  <c r="BZ20" i="5"/>
  <c r="CA20" i="5"/>
  <c r="CB20" i="5"/>
  <c r="CC20" i="5"/>
  <c r="CD20" i="5"/>
  <c r="CE20" i="5"/>
  <c r="CF20" i="5"/>
  <c r="CG20" i="5"/>
  <c r="CH20" i="5"/>
  <c r="CI20" i="5"/>
  <c r="CJ20" i="5"/>
  <c r="CK20" i="5"/>
  <c r="CL20" i="5"/>
  <c r="CM20" i="5"/>
  <c r="CN20" i="5"/>
  <c r="CO20" i="5"/>
  <c r="CP20" i="5"/>
  <c r="CQ20" i="5"/>
  <c r="CR20" i="5"/>
  <c r="CS20" i="5"/>
  <c r="CT20" i="5"/>
  <c r="CU20" i="5"/>
  <c r="CV20" i="5"/>
  <c r="CW20" i="5"/>
  <c r="CX20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AJ21" i="5"/>
  <c r="AK21" i="5"/>
  <c r="AL21" i="5"/>
  <c r="AM21" i="5"/>
  <c r="AN21" i="5"/>
  <c r="AO21" i="5"/>
  <c r="AP21" i="5"/>
  <c r="AQ21" i="5"/>
  <c r="AR21" i="5"/>
  <c r="AS21" i="5"/>
  <c r="AT21" i="5"/>
  <c r="AU21" i="5"/>
  <c r="AV21" i="5"/>
  <c r="AW21" i="5"/>
  <c r="AX21" i="5"/>
  <c r="AY21" i="5"/>
  <c r="AZ21" i="5"/>
  <c r="BA21" i="5"/>
  <c r="BB21" i="5"/>
  <c r="BC21" i="5"/>
  <c r="BD21" i="5"/>
  <c r="BE21" i="5"/>
  <c r="BF21" i="5"/>
  <c r="BG21" i="5"/>
  <c r="BH21" i="5"/>
  <c r="BI21" i="5"/>
  <c r="BJ21" i="5"/>
  <c r="BK21" i="5"/>
  <c r="BL21" i="5"/>
  <c r="BM21" i="5"/>
  <c r="BN21" i="5"/>
  <c r="BO21" i="5"/>
  <c r="BP21" i="5"/>
  <c r="BQ21" i="5"/>
  <c r="BR21" i="5"/>
  <c r="BS21" i="5"/>
  <c r="BT21" i="5"/>
  <c r="BU21" i="5"/>
  <c r="BV21" i="5"/>
  <c r="BW21" i="5"/>
  <c r="BX21" i="5"/>
  <c r="BY21" i="5"/>
  <c r="BZ21" i="5"/>
  <c r="CA21" i="5"/>
  <c r="CB21" i="5"/>
  <c r="CC21" i="5"/>
  <c r="CD21" i="5"/>
  <c r="CE21" i="5"/>
  <c r="CF21" i="5"/>
  <c r="CG21" i="5"/>
  <c r="CH21" i="5"/>
  <c r="CI21" i="5"/>
  <c r="CJ21" i="5"/>
  <c r="CK21" i="5"/>
  <c r="CL21" i="5"/>
  <c r="CM21" i="5"/>
  <c r="CN21" i="5"/>
  <c r="CO21" i="5"/>
  <c r="CP21" i="5"/>
  <c r="CQ21" i="5"/>
  <c r="CR21" i="5"/>
  <c r="CS21" i="5"/>
  <c r="CT21" i="5"/>
  <c r="CU21" i="5"/>
  <c r="CV21" i="5"/>
  <c r="CW21" i="5"/>
  <c r="CX21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AJ22" i="5"/>
  <c r="AK22" i="5"/>
  <c r="AL22" i="5"/>
  <c r="AM22" i="5"/>
  <c r="AN22" i="5"/>
  <c r="AO22" i="5"/>
  <c r="AP22" i="5"/>
  <c r="AQ22" i="5"/>
  <c r="AR22" i="5"/>
  <c r="AS22" i="5"/>
  <c r="AT22" i="5"/>
  <c r="AU22" i="5"/>
  <c r="AV22" i="5"/>
  <c r="AW22" i="5"/>
  <c r="AX22" i="5"/>
  <c r="AY22" i="5"/>
  <c r="AZ22" i="5"/>
  <c r="BA22" i="5"/>
  <c r="BB22" i="5"/>
  <c r="BC22" i="5"/>
  <c r="BD22" i="5"/>
  <c r="BE22" i="5"/>
  <c r="BF22" i="5"/>
  <c r="BG22" i="5"/>
  <c r="BH22" i="5"/>
  <c r="BI22" i="5"/>
  <c r="BJ22" i="5"/>
  <c r="BK22" i="5"/>
  <c r="BL22" i="5"/>
  <c r="BM22" i="5"/>
  <c r="BN22" i="5"/>
  <c r="BO22" i="5"/>
  <c r="BP22" i="5"/>
  <c r="BQ22" i="5"/>
  <c r="BR22" i="5"/>
  <c r="BS22" i="5"/>
  <c r="BT22" i="5"/>
  <c r="BU22" i="5"/>
  <c r="BV22" i="5"/>
  <c r="BW22" i="5"/>
  <c r="BX22" i="5"/>
  <c r="BY22" i="5"/>
  <c r="BZ22" i="5"/>
  <c r="CA22" i="5"/>
  <c r="CB22" i="5"/>
  <c r="CC22" i="5"/>
  <c r="CD22" i="5"/>
  <c r="CE22" i="5"/>
  <c r="CF22" i="5"/>
  <c r="CG22" i="5"/>
  <c r="CH22" i="5"/>
  <c r="CI22" i="5"/>
  <c r="CJ22" i="5"/>
  <c r="CK22" i="5"/>
  <c r="CL22" i="5"/>
  <c r="CM22" i="5"/>
  <c r="CN22" i="5"/>
  <c r="CO22" i="5"/>
  <c r="CP22" i="5"/>
  <c r="CQ22" i="5"/>
  <c r="CR22" i="5"/>
  <c r="CS22" i="5"/>
  <c r="CT22" i="5"/>
  <c r="CU22" i="5"/>
  <c r="CV22" i="5"/>
  <c r="CW22" i="5"/>
  <c r="CX22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AJ23" i="5"/>
  <c r="AK23" i="5"/>
  <c r="AL23" i="5"/>
  <c r="AM23" i="5"/>
  <c r="AN23" i="5"/>
  <c r="AO23" i="5"/>
  <c r="AP23" i="5"/>
  <c r="AQ23" i="5"/>
  <c r="AR23" i="5"/>
  <c r="AS23" i="5"/>
  <c r="AT23" i="5"/>
  <c r="AU23" i="5"/>
  <c r="AV23" i="5"/>
  <c r="AW23" i="5"/>
  <c r="AX23" i="5"/>
  <c r="AY23" i="5"/>
  <c r="AZ23" i="5"/>
  <c r="BA23" i="5"/>
  <c r="BB23" i="5"/>
  <c r="BC23" i="5"/>
  <c r="BD23" i="5"/>
  <c r="BE23" i="5"/>
  <c r="BF23" i="5"/>
  <c r="BG23" i="5"/>
  <c r="BH23" i="5"/>
  <c r="BI23" i="5"/>
  <c r="BJ23" i="5"/>
  <c r="BK23" i="5"/>
  <c r="BL23" i="5"/>
  <c r="BM23" i="5"/>
  <c r="BN23" i="5"/>
  <c r="BO23" i="5"/>
  <c r="BP23" i="5"/>
  <c r="BQ23" i="5"/>
  <c r="BR23" i="5"/>
  <c r="BS23" i="5"/>
  <c r="BT23" i="5"/>
  <c r="BU23" i="5"/>
  <c r="BV23" i="5"/>
  <c r="BW23" i="5"/>
  <c r="BX23" i="5"/>
  <c r="BY23" i="5"/>
  <c r="BZ23" i="5"/>
  <c r="CA23" i="5"/>
  <c r="CB23" i="5"/>
  <c r="CC23" i="5"/>
  <c r="CD23" i="5"/>
  <c r="CE23" i="5"/>
  <c r="CF23" i="5"/>
  <c r="CG23" i="5"/>
  <c r="CH23" i="5"/>
  <c r="CI23" i="5"/>
  <c r="CJ23" i="5"/>
  <c r="CK23" i="5"/>
  <c r="CL23" i="5"/>
  <c r="CM23" i="5"/>
  <c r="CN23" i="5"/>
  <c r="CO23" i="5"/>
  <c r="CP23" i="5"/>
  <c r="CQ23" i="5"/>
  <c r="CR23" i="5"/>
  <c r="CS23" i="5"/>
  <c r="CT23" i="5"/>
  <c r="CU23" i="5"/>
  <c r="CV23" i="5"/>
  <c r="CW23" i="5"/>
  <c r="CX23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AJ24" i="5"/>
  <c r="AK24" i="5"/>
  <c r="AL24" i="5"/>
  <c r="AM24" i="5"/>
  <c r="AN24" i="5"/>
  <c r="AO24" i="5"/>
  <c r="AP24" i="5"/>
  <c r="AQ24" i="5"/>
  <c r="AR24" i="5"/>
  <c r="AS24" i="5"/>
  <c r="AT24" i="5"/>
  <c r="AU24" i="5"/>
  <c r="AV24" i="5"/>
  <c r="AW24" i="5"/>
  <c r="AX24" i="5"/>
  <c r="AY24" i="5"/>
  <c r="AZ24" i="5"/>
  <c r="BA24" i="5"/>
  <c r="BB24" i="5"/>
  <c r="BC24" i="5"/>
  <c r="BD24" i="5"/>
  <c r="BE24" i="5"/>
  <c r="BF24" i="5"/>
  <c r="BG24" i="5"/>
  <c r="BH24" i="5"/>
  <c r="BI24" i="5"/>
  <c r="BJ24" i="5"/>
  <c r="BK24" i="5"/>
  <c r="BL24" i="5"/>
  <c r="BM24" i="5"/>
  <c r="BN24" i="5"/>
  <c r="BO24" i="5"/>
  <c r="BP24" i="5"/>
  <c r="BQ24" i="5"/>
  <c r="BR24" i="5"/>
  <c r="BS24" i="5"/>
  <c r="BT24" i="5"/>
  <c r="BU24" i="5"/>
  <c r="BV24" i="5"/>
  <c r="BW24" i="5"/>
  <c r="BX24" i="5"/>
  <c r="BY24" i="5"/>
  <c r="BZ24" i="5"/>
  <c r="CA24" i="5"/>
  <c r="CB24" i="5"/>
  <c r="CC24" i="5"/>
  <c r="CD24" i="5"/>
  <c r="CE24" i="5"/>
  <c r="CF24" i="5"/>
  <c r="CG24" i="5"/>
  <c r="CH24" i="5"/>
  <c r="CI24" i="5"/>
  <c r="CJ24" i="5"/>
  <c r="CK24" i="5"/>
  <c r="CL24" i="5"/>
  <c r="CM24" i="5"/>
  <c r="CN24" i="5"/>
  <c r="CO24" i="5"/>
  <c r="CP24" i="5"/>
  <c r="CQ24" i="5"/>
  <c r="CR24" i="5"/>
  <c r="CS24" i="5"/>
  <c r="CT24" i="5"/>
  <c r="CU24" i="5"/>
  <c r="CV24" i="5"/>
  <c r="CW24" i="5"/>
  <c r="CX24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AJ25" i="5"/>
  <c r="AK25" i="5"/>
  <c r="AL25" i="5"/>
  <c r="AM25" i="5"/>
  <c r="AN25" i="5"/>
  <c r="AO25" i="5"/>
  <c r="AP25" i="5"/>
  <c r="AQ25" i="5"/>
  <c r="AR25" i="5"/>
  <c r="AS25" i="5"/>
  <c r="AT25" i="5"/>
  <c r="AU25" i="5"/>
  <c r="AV25" i="5"/>
  <c r="AW25" i="5"/>
  <c r="AX25" i="5"/>
  <c r="AY25" i="5"/>
  <c r="AZ25" i="5"/>
  <c r="BA25" i="5"/>
  <c r="BB25" i="5"/>
  <c r="BC25" i="5"/>
  <c r="BD25" i="5"/>
  <c r="BE25" i="5"/>
  <c r="BF25" i="5"/>
  <c r="BG25" i="5"/>
  <c r="BH25" i="5"/>
  <c r="BI25" i="5"/>
  <c r="BJ25" i="5"/>
  <c r="BK25" i="5"/>
  <c r="BL25" i="5"/>
  <c r="BM25" i="5"/>
  <c r="BN25" i="5"/>
  <c r="BO25" i="5"/>
  <c r="BP25" i="5"/>
  <c r="BQ25" i="5"/>
  <c r="BR25" i="5"/>
  <c r="BS25" i="5"/>
  <c r="BT25" i="5"/>
  <c r="BU25" i="5"/>
  <c r="BV25" i="5"/>
  <c r="BW25" i="5"/>
  <c r="BX25" i="5"/>
  <c r="BY25" i="5"/>
  <c r="BZ25" i="5"/>
  <c r="CA25" i="5"/>
  <c r="CB25" i="5"/>
  <c r="CC25" i="5"/>
  <c r="CD25" i="5"/>
  <c r="CE25" i="5"/>
  <c r="CF25" i="5"/>
  <c r="CG25" i="5"/>
  <c r="CH25" i="5"/>
  <c r="CI25" i="5"/>
  <c r="CJ25" i="5"/>
  <c r="CK25" i="5"/>
  <c r="CL25" i="5"/>
  <c r="CM25" i="5"/>
  <c r="CN25" i="5"/>
  <c r="CO25" i="5"/>
  <c r="CP25" i="5"/>
  <c r="CQ25" i="5"/>
  <c r="CR25" i="5"/>
  <c r="CS25" i="5"/>
  <c r="CT25" i="5"/>
  <c r="CU25" i="5"/>
  <c r="CV25" i="5"/>
  <c r="CW25" i="5"/>
  <c r="CX25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AJ26" i="5"/>
  <c r="AK26" i="5"/>
  <c r="AL26" i="5"/>
  <c r="AM26" i="5"/>
  <c r="AN26" i="5"/>
  <c r="AO26" i="5"/>
  <c r="AP26" i="5"/>
  <c r="AQ26" i="5"/>
  <c r="AR26" i="5"/>
  <c r="AS26" i="5"/>
  <c r="AT26" i="5"/>
  <c r="AU26" i="5"/>
  <c r="AV26" i="5"/>
  <c r="AW26" i="5"/>
  <c r="AX26" i="5"/>
  <c r="AY26" i="5"/>
  <c r="AZ26" i="5"/>
  <c r="BA26" i="5"/>
  <c r="BB26" i="5"/>
  <c r="BC26" i="5"/>
  <c r="BD26" i="5"/>
  <c r="BE26" i="5"/>
  <c r="BF26" i="5"/>
  <c r="BG26" i="5"/>
  <c r="BH26" i="5"/>
  <c r="BI26" i="5"/>
  <c r="BJ26" i="5"/>
  <c r="BK26" i="5"/>
  <c r="BL26" i="5"/>
  <c r="BM26" i="5"/>
  <c r="BN26" i="5"/>
  <c r="BO26" i="5"/>
  <c r="BP26" i="5"/>
  <c r="BQ26" i="5"/>
  <c r="BR26" i="5"/>
  <c r="BS26" i="5"/>
  <c r="BT26" i="5"/>
  <c r="BU26" i="5"/>
  <c r="BV26" i="5"/>
  <c r="BW26" i="5"/>
  <c r="BX26" i="5"/>
  <c r="BY26" i="5"/>
  <c r="BZ26" i="5"/>
  <c r="CA26" i="5"/>
  <c r="CB26" i="5"/>
  <c r="CC26" i="5"/>
  <c r="CD26" i="5"/>
  <c r="CE26" i="5"/>
  <c r="CF26" i="5"/>
  <c r="CG26" i="5"/>
  <c r="CH26" i="5"/>
  <c r="CI26" i="5"/>
  <c r="CJ26" i="5"/>
  <c r="CK26" i="5"/>
  <c r="CL26" i="5"/>
  <c r="CM26" i="5"/>
  <c r="CN26" i="5"/>
  <c r="CO26" i="5"/>
  <c r="CP26" i="5"/>
  <c r="CQ26" i="5"/>
  <c r="CR26" i="5"/>
  <c r="CS26" i="5"/>
  <c r="CT26" i="5"/>
  <c r="CU26" i="5"/>
  <c r="CV26" i="5"/>
  <c r="CW26" i="5"/>
  <c r="CX26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AJ27" i="5"/>
  <c r="AK27" i="5"/>
  <c r="AL27" i="5"/>
  <c r="AM27" i="5"/>
  <c r="AN27" i="5"/>
  <c r="AO27" i="5"/>
  <c r="AP27" i="5"/>
  <c r="AQ27" i="5"/>
  <c r="AR27" i="5"/>
  <c r="AS27" i="5"/>
  <c r="AT27" i="5"/>
  <c r="AU27" i="5"/>
  <c r="AV27" i="5"/>
  <c r="AW27" i="5"/>
  <c r="AX27" i="5"/>
  <c r="AY27" i="5"/>
  <c r="AZ27" i="5"/>
  <c r="BA27" i="5"/>
  <c r="BB27" i="5"/>
  <c r="BC27" i="5"/>
  <c r="BD27" i="5"/>
  <c r="BE27" i="5"/>
  <c r="BF27" i="5"/>
  <c r="BG27" i="5"/>
  <c r="BH27" i="5"/>
  <c r="BI27" i="5"/>
  <c r="BJ27" i="5"/>
  <c r="BK27" i="5"/>
  <c r="BL27" i="5"/>
  <c r="BM27" i="5"/>
  <c r="BN27" i="5"/>
  <c r="BO27" i="5"/>
  <c r="BP27" i="5"/>
  <c r="BQ27" i="5"/>
  <c r="BR27" i="5"/>
  <c r="BS27" i="5"/>
  <c r="BT27" i="5"/>
  <c r="BU27" i="5"/>
  <c r="BV27" i="5"/>
  <c r="BW27" i="5"/>
  <c r="BX27" i="5"/>
  <c r="BY27" i="5"/>
  <c r="BZ27" i="5"/>
  <c r="CA27" i="5"/>
  <c r="CB27" i="5"/>
  <c r="CC27" i="5"/>
  <c r="CD27" i="5"/>
  <c r="CE27" i="5"/>
  <c r="CF27" i="5"/>
  <c r="CG27" i="5"/>
  <c r="CH27" i="5"/>
  <c r="CI27" i="5"/>
  <c r="CJ27" i="5"/>
  <c r="CK27" i="5"/>
  <c r="CL27" i="5"/>
  <c r="CM27" i="5"/>
  <c r="CN27" i="5"/>
  <c r="CO27" i="5"/>
  <c r="CP27" i="5"/>
  <c r="CQ27" i="5"/>
  <c r="CR27" i="5"/>
  <c r="CS27" i="5"/>
  <c r="CT27" i="5"/>
  <c r="CU27" i="5"/>
  <c r="CV27" i="5"/>
  <c r="CW27" i="5"/>
  <c r="CX27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AJ28" i="5"/>
  <c r="AK28" i="5"/>
  <c r="AL28" i="5"/>
  <c r="AM28" i="5"/>
  <c r="AN28" i="5"/>
  <c r="AO28" i="5"/>
  <c r="AP28" i="5"/>
  <c r="AQ28" i="5"/>
  <c r="AR28" i="5"/>
  <c r="AS28" i="5"/>
  <c r="AT28" i="5"/>
  <c r="AU28" i="5"/>
  <c r="AV28" i="5"/>
  <c r="AW28" i="5"/>
  <c r="AX28" i="5"/>
  <c r="AY28" i="5"/>
  <c r="AZ28" i="5"/>
  <c r="BA28" i="5"/>
  <c r="BB28" i="5"/>
  <c r="BC28" i="5"/>
  <c r="BD28" i="5"/>
  <c r="BE28" i="5"/>
  <c r="BF28" i="5"/>
  <c r="BG28" i="5"/>
  <c r="BH28" i="5"/>
  <c r="BI28" i="5"/>
  <c r="BJ28" i="5"/>
  <c r="BK28" i="5"/>
  <c r="BL28" i="5"/>
  <c r="BM28" i="5"/>
  <c r="BN28" i="5"/>
  <c r="BO28" i="5"/>
  <c r="BP28" i="5"/>
  <c r="BQ28" i="5"/>
  <c r="BR28" i="5"/>
  <c r="BS28" i="5"/>
  <c r="BT28" i="5"/>
  <c r="BU28" i="5"/>
  <c r="BV28" i="5"/>
  <c r="BW28" i="5"/>
  <c r="BX28" i="5"/>
  <c r="BY28" i="5"/>
  <c r="BZ28" i="5"/>
  <c r="CA28" i="5"/>
  <c r="CB28" i="5"/>
  <c r="CC28" i="5"/>
  <c r="CD28" i="5"/>
  <c r="CE28" i="5"/>
  <c r="CF28" i="5"/>
  <c r="CG28" i="5"/>
  <c r="CH28" i="5"/>
  <c r="CI28" i="5"/>
  <c r="CJ28" i="5"/>
  <c r="CK28" i="5"/>
  <c r="CL28" i="5"/>
  <c r="CM28" i="5"/>
  <c r="CN28" i="5"/>
  <c r="CO28" i="5"/>
  <c r="CP28" i="5"/>
  <c r="CQ28" i="5"/>
  <c r="CR28" i="5"/>
  <c r="CS28" i="5"/>
  <c r="CT28" i="5"/>
  <c r="CU28" i="5"/>
  <c r="CV28" i="5"/>
  <c r="CW28" i="5"/>
  <c r="CX28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AJ29" i="5"/>
  <c r="AK29" i="5"/>
  <c r="AL29" i="5"/>
  <c r="AM29" i="5"/>
  <c r="AN29" i="5"/>
  <c r="AO29" i="5"/>
  <c r="AP29" i="5"/>
  <c r="AQ29" i="5"/>
  <c r="AR29" i="5"/>
  <c r="AS29" i="5"/>
  <c r="AT29" i="5"/>
  <c r="AU29" i="5"/>
  <c r="AV29" i="5"/>
  <c r="AW29" i="5"/>
  <c r="AX29" i="5"/>
  <c r="AY29" i="5"/>
  <c r="AZ29" i="5"/>
  <c r="BA29" i="5"/>
  <c r="BB29" i="5"/>
  <c r="BC29" i="5"/>
  <c r="BD29" i="5"/>
  <c r="BE29" i="5"/>
  <c r="BF29" i="5"/>
  <c r="BG29" i="5"/>
  <c r="BH29" i="5"/>
  <c r="BI29" i="5"/>
  <c r="BJ29" i="5"/>
  <c r="BK29" i="5"/>
  <c r="BL29" i="5"/>
  <c r="BM29" i="5"/>
  <c r="BN29" i="5"/>
  <c r="BO29" i="5"/>
  <c r="BP29" i="5"/>
  <c r="BQ29" i="5"/>
  <c r="BR29" i="5"/>
  <c r="BS29" i="5"/>
  <c r="BT29" i="5"/>
  <c r="BU29" i="5"/>
  <c r="BV29" i="5"/>
  <c r="BW29" i="5"/>
  <c r="BX29" i="5"/>
  <c r="BY29" i="5"/>
  <c r="BZ29" i="5"/>
  <c r="CA29" i="5"/>
  <c r="CB29" i="5"/>
  <c r="CC29" i="5"/>
  <c r="CD29" i="5"/>
  <c r="CE29" i="5"/>
  <c r="CF29" i="5"/>
  <c r="CG29" i="5"/>
  <c r="CH29" i="5"/>
  <c r="CI29" i="5"/>
  <c r="CJ29" i="5"/>
  <c r="CK29" i="5"/>
  <c r="CL29" i="5"/>
  <c r="CM29" i="5"/>
  <c r="CN29" i="5"/>
  <c r="CO29" i="5"/>
  <c r="CP29" i="5"/>
  <c r="CQ29" i="5"/>
  <c r="CR29" i="5"/>
  <c r="CS29" i="5"/>
  <c r="CT29" i="5"/>
  <c r="CU29" i="5"/>
  <c r="CV29" i="5"/>
  <c r="CW29" i="5"/>
  <c r="CX29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AJ30" i="5"/>
  <c r="AK30" i="5"/>
  <c r="AL30" i="5"/>
  <c r="AM30" i="5"/>
  <c r="AN30" i="5"/>
  <c r="AO30" i="5"/>
  <c r="AP30" i="5"/>
  <c r="AQ30" i="5"/>
  <c r="AR30" i="5"/>
  <c r="AS30" i="5"/>
  <c r="AT30" i="5"/>
  <c r="AU30" i="5"/>
  <c r="AV30" i="5"/>
  <c r="AW30" i="5"/>
  <c r="AX30" i="5"/>
  <c r="AY30" i="5"/>
  <c r="AZ30" i="5"/>
  <c r="BA30" i="5"/>
  <c r="BB30" i="5"/>
  <c r="BC30" i="5"/>
  <c r="BD30" i="5"/>
  <c r="BE30" i="5"/>
  <c r="BF30" i="5"/>
  <c r="BG30" i="5"/>
  <c r="BH30" i="5"/>
  <c r="BI30" i="5"/>
  <c r="BJ30" i="5"/>
  <c r="BK30" i="5"/>
  <c r="BL30" i="5"/>
  <c r="BM30" i="5"/>
  <c r="BN30" i="5"/>
  <c r="BO30" i="5"/>
  <c r="BP30" i="5"/>
  <c r="BQ30" i="5"/>
  <c r="BR30" i="5"/>
  <c r="BS30" i="5"/>
  <c r="BT30" i="5"/>
  <c r="BU30" i="5"/>
  <c r="BV30" i="5"/>
  <c r="BW30" i="5"/>
  <c r="BX30" i="5"/>
  <c r="BY30" i="5"/>
  <c r="BZ30" i="5"/>
  <c r="CA30" i="5"/>
  <c r="CB30" i="5"/>
  <c r="CC30" i="5"/>
  <c r="CD30" i="5"/>
  <c r="CE30" i="5"/>
  <c r="CF30" i="5"/>
  <c r="CG30" i="5"/>
  <c r="CH30" i="5"/>
  <c r="CI30" i="5"/>
  <c r="CJ30" i="5"/>
  <c r="CK30" i="5"/>
  <c r="CL30" i="5"/>
  <c r="CM30" i="5"/>
  <c r="CN30" i="5"/>
  <c r="CO30" i="5"/>
  <c r="CP30" i="5"/>
  <c r="CQ30" i="5"/>
  <c r="CR30" i="5"/>
  <c r="CS30" i="5"/>
  <c r="CT30" i="5"/>
  <c r="CU30" i="5"/>
  <c r="CV30" i="5"/>
  <c r="CW30" i="5"/>
  <c r="CX30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AJ31" i="5"/>
  <c r="AK31" i="5"/>
  <c r="AL31" i="5"/>
  <c r="AM31" i="5"/>
  <c r="AN31" i="5"/>
  <c r="AO31" i="5"/>
  <c r="AP31" i="5"/>
  <c r="AQ31" i="5"/>
  <c r="AR31" i="5"/>
  <c r="AS31" i="5"/>
  <c r="AT31" i="5"/>
  <c r="AU31" i="5"/>
  <c r="AV31" i="5"/>
  <c r="AW31" i="5"/>
  <c r="AX31" i="5"/>
  <c r="AY31" i="5"/>
  <c r="AZ31" i="5"/>
  <c r="BA31" i="5"/>
  <c r="BB31" i="5"/>
  <c r="BC31" i="5"/>
  <c r="BD31" i="5"/>
  <c r="BE31" i="5"/>
  <c r="BF31" i="5"/>
  <c r="BG31" i="5"/>
  <c r="BH31" i="5"/>
  <c r="BI31" i="5"/>
  <c r="BJ31" i="5"/>
  <c r="BK31" i="5"/>
  <c r="BL31" i="5"/>
  <c r="BM31" i="5"/>
  <c r="BN31" i="5"/>
  <c r="BO31" i="5"/>
  <c r="BP31" i="5"/>
  <c r="BQ31" i="5"/>
  <c r="BR31" i="5"/>
  <c r="BS31" i="5"/>
  <c r="BT31" i="5"/>
  <c r="BU31" i="5"/>
  <c r="BV31" i="5"/>
  <c r="BW31" i="5"/>
  <c r="BX31" i="5"/>
  <c r="BY31" i="5"/>
  <c r="BZ31" i="5"/>
  <c r="CA31" i="5"/>
  <c r="CB31" i="5"/>
  <c r="CC31" i="5"/>
  <c r="CD31" i="5"/>
  <c r="CE31" i="5"/>
  <c r="CF31" i="5"/>
  <c r="CG31" i="5"/>
  <c r="CH31" i="5"/>
  <c r="CI31" i="5"/>
  <c r="CJ31" i="5"/>
  <c r="CK31" i="5"/>
  <c r="CL31" i="5"/>
  <c r="CM31" i="5"/>
  <c r="CN31" i="5"/>
  <c r="CO31" i="5"/>
  <c r="CP31" i="5"/>
  <c r="CQ31" i="5"/>
  <c r="CR31" i="5"/>
  <c r="CS31" i="5"/>
  <c r="CT31" i="5"/>
  <c r="CU31" i="5"/>
  <c r="CV31" i="5"/>
  <c r="CW31" i="5"/>
  <c r="CX31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AJ32" i="5"/>
  <c r="AK32" i="5"/>
  <c r="AL32" i="5"/>
  <c r="AM32" i="5"/>
  <c r="AN32" i="5"/>
  <c r="AO32" i="5"/>
  <c r="AP32" i="5"/>
  <c r="AQ32" i="5"/>
  <c r="AR32" i="5"/>
  <c r="AS32" i="5"/>
  <c r="AT32" i="5"/>
  <c r="AU32" i="5"/>
  <c r="AV32" i="5"/>
  <c r="AW32" i="5"/>
  <c r="AX32" i="5"/>
  <c r="AY32" i="5"/>
  <c r="AZ32" i="5"/>
  <c r="BA32" i="5"/>
  <c r="BB32" i="5"/>
  <c r="BC32" i="5"/>
  <c r="BD32" i="5"/>
  <c r="BE32" i="5"/>
  <c r="BF32" i="5"/>
  <c r="BG32" i="5"/>
  <c r="BH32" i="5"/>
  <c r="BI32" i="5"/>
  <c r="BJ32" i="5"/>
  <c r="BK32" i="5"/>
  <c r="BL32" i="5"/>
  <c r="BM32" i="5"/>
  <c r="BN32" i="5"/>
  <c r="BO32" i="5"/>
  <c r="BP32" i="5"/>
  <c r="BQ32" i="5"/>
  <c r="BR32" i="5"/>
  <c r="BS32" i="5"/>
  <c r="BT32" i="5"/>
  <c r="BU32" i="5"/>
  <c r="BV32" i="5"/>
  <c r="BW32" i="5"/>
  <c r="BX32" i="5"/>
  <c r="BY32" i="5"/>
  <c r="BZ32" i="5"/>
  <c r="CA32" i="5"/>
  <c r="CB32" i="5"/>
  <c r="CC32" i="5"/>
  <c r="CD32" i="5"/>
  <c r="CE32" i="5"/>
  <c r="CF32" i="5"/>
  <c r="CG32" i="5"/>
  <c r="CH32" i="5"/>
  <c r="CI32" i="5"/>
  <c r="CJ32" i="5"/>
  <c r="CK32" i="5"/>
  <c r="CL32" i="5"/>
  <c r="CM32" i="5"/>
  <c r="CN32" i="5"/>
  <c r="CO32" i="5"/>
  <c r="CP32" i="5"/>
  <c r="CQ32" i="5"/>
  <c r="CR32" i="5"/>
  <c r="CS32" i="5"/>
  <c r="CT32" i="5"/>
  <c r="CU32" i="5"/>
  <c r="CV32" i="5"/>
  <c r="CW32" i="5"/>
  <c r="CX32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AJ33" i="5"/>
  <c r="AK33" i="5"/>
  <c r="AL33" i="5"/>
  <c r="AM33" i="5"/>
  <c r="AN33" i="5"/>
  <c r="AO33" i="5"/>
  <c r="AP33" i="5"/>
  <c r="AQ33" i="5"/>
  <c r="AR33" i="5"/>
  <c r="AS33" i="5"/>
  <c r="AT33" i="5"/>
  <c r="AU33" i="5"/>
  <c r="AV33" i="5"/>
  <c r="AW33" i="5"/>
  <c r="AX33" i="5"/>
  <c r="AY33" i="5"/>
  <c r="AZ33" i="5"/>
  <c r="BA33" i="5"/>
  <c r="BB33" i="5"/>
  <c r="BC33" i="5"/>
  <c r="BD33" i="5"/>
  <c r="BE33" i="5"/>
  <c r="BF33" i="5"/>
  <c r="BG33" i="5"/>
  <c r="BH33" i="5"/>
  <c r="BI33" i="5"/>
  <c r="BJ33" i="5"/>
  <c r="BK33" i="5"/>
  <c r="BL33" i="5"/>
  <c r="BM33" i="5"/>
  <c r="BN33" i="5"/>
  <c r="BO33" i="5"/>
  <c r="BP33" i="5"/>
  <c r="BQ33" i="5"/>
  <c r="BR33" i="5"/>
  <c r="BS33" i="5"/>
  <c r="BT33" i="5"/>
  <c r="BU33" i="5"/>
  <c r="BV33" i="5"/>
  <c r="BW33" i="5"/>
  <c r="BX33" i="5"/>
  <c r="BY33" i="5"/>
  <c r="BZ33" i="5"/>
  <c r="CA33" i="5"/>
  <c r="CB33" i="5"/>
  <c r="CC33" i="5"/>
  <c r="CD33" i="5"/>
  <c r="CE33" i="5"/>
  <c r="CF33" i="5"/>
  <c r="CG33" i="5"/>
  <c r="CH33" i="5"/>
  <c r="CI33" i="5"/>
  <c r="CJ33" i="5"/>
  <c r="CK33" i="5"/>
  <c r="CL33" i="5"/>
  <c r="CM33" i="5"/>
  <c r="CN33" i="5"/>
  <c r="CO33" i="5"/>
  <c r="CP33" i="5"/>
  <c r="CQ33" i="5"/>
  <c r="CR33" i="5"/>
  <c r="CS33" i="5"/>
  <c r="CT33" i="5"/>
  <c r="CU33" i="5"/>
  <c r="CV33" i="5"/>
  <c r="CW33" i="5"/>
  <c r="CX33" i="5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AJ34" i="5"/>
  <c r="AK34" i="5"/>
  <c r="AL34" i="5"/>
  <c r="AM34" i="5"/>
  <c r="AN34" i="5"/>
  <c r="AO34" i="5"/>
  <c r="AP34" i="5"/>
  <c r="AQ34" i="5"/>
  <c r="AR34" i="5"/>
  <c r="AS34" i="5"/>
  <c r="AT34" i="5"/>
  <c r="AU34" i="5"/>
  <c r="AV34" i="5"/>
  <c r="AW34" i="5"/>
  <c r="AX34" i="5"/>
  <c r="AY34" i="5"/>
  <c r="AZ34" i="5"/>
  <c r="BA34" i="5"/>
  <c r="BB34" i="5"/>
  <c r="BC34" i="5"/>
  <c r="BD34" i="5"/>
  <c r="BE34" i="5"/>
  <c r="BF34" i="5"/>
  <c r="BG34" i="5"/>
  <c r="BH34" i="5"/>
  <c r="BI34" i="5"/>
  <c r="BJ34" i="5"/>
  <c r="BK34" i="5"/>
  <c r="BL34" i="5"/>
  <c r="BM34" i="5"/>
  <c r="BN34" i="5"/>
  <c r="BO34" i="5"/>
  <c r="BP34" i="5"/>
  <c r="BQ34" i="5"/>
  <c r="BR34" i="5"/>
  <c r="BS34" i="5"/>
  <c r="BT34" i="5"/>
  <c r="BU34" i="5"/>
  <c r="BV34" i="5"/>
  <c r="BW34" i="5"/>
  <c r="BX34" i="5"/>
  <c r="BY34" i="5"/>
  <c r="BZ34" i="5"/>
  <c r="CA34" i="5"/>
  <c r="CB34" i="5"/>
  <c r="CC34" i="5"/>
  <c r="CD34" i="5"/>
  <c r="CE34" i="5"/>
  <c r="CF34" i="5"/>
  <c r="CG34" i="5"/>
  <c r="CH34" i="5"/>
  <c r="CI34" i="5"/>
  <c r="CJ34" i="5"/>
  <c r="CK34" i="5"/>
  <c r="CL34" i="5"/>
  <c r="CM34" i="5"/>
  <c r="CN34" i="5"/>
  <c r="CO34" i="5"/>
  <c r="CP34" i="5"/>
  <c r="CQ34" i="5"/>
  <c r="CR34" i="5"/>
  <c r="CS34" i="5"/>
  <c r="CT34" i="5"/>
  <c r="CU34" i="5"/>
  <c r="CV34" i="5"/>
  <c r="CW34" i="5"/>
  <c r="CX34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AJ35" i="5"/>
  <c r="AK35" i="5"/>
  <c r="AL35" i="5"/>
  <c r="AM35" i="5"/>
  <c r="AN35" i="5"/>
  <c r="AO35" i="5"/>
  <c r="AP35" i="5"/>
  <c r="AQ35" i="5"/>
  <c r="AR35" i="5"/>
  <c r="AS35" i="5"/>
  <c r="AT35" i="5"/>
  <c r="AU35" i="5"/>
  <c r="AV35" i="5"/>
  <c r="AW35" i="5"/>
  <c r="AX35" i="5"/>
  <c r="AY35" i="5"/>
  <c r="AZ35" i="5"/>
  <c r="BA35" i="5"/>
  <c r="BB35" i="5"/>
  <c r="BC35" i="5"/>
  <c r="BD35" i="5"/>
  <c r="BE35" i="5"/>
  <c r="BF35" i="5"/>
  <c r="BG35" i="5"/>
  <c r="BH35" i="5"/>
  <c r="BI35" i="5"/>
  <c r="BJ35" i="5"/>
  <c r="BK35" i="5"/>
  <c r="BL35" i="5"/>
  <c r="BM35" i="5"/>
  <c r="BN35" i="5"/>
  <c r="BO35" i="5"/>
  <c r="BP35" i="5"/>
  <c r="BQ35" i="5"/>
  <c r="BR35" i="5"/>
  <c r="BS35" i="5"/>
  <c r="BT35" i="5"/>
  <c r="BU35" i="5"/>
  <c r="BV35" i="5"/>
  <c r="BW35" i="5"/>
  <c r="BX35" i="5"/>
  <c r="BY35" i="5"/>
  <c r="BZ35" i="5"/>
  <c r="CA35" i="5"/>
  <c r="CB35" i="5"/>
  <c r="CC35" i="5"/>
  <c r="CD35" i="5"/>
  <c r="CE35" i="5"/>
  <c r="CF35" i="5"/>
  <c r="CG35" i="5"/>
  <c r="CH35" i="5"/>
  <c r="CI35" i="5"/>
  <c r="CJ35" i="5"/>
  <c r="CK35" i="5"/>
  <c r="CL35" i="5"/>
  <c r="CM35" i="5"/>
  <c r="CN35" i="5"/>
  <c r="CO35" i="5"/>
  <c r="CP35" i="5"/>
  <c r="CQ35" i="5"/>
  <c r="CR35" i="5"/>
  <c r="CS35" i="5"/>
  <c r="CT35" i="5"/>
  <c r="CU35" i="5"/>
  <c r="CV35" i="5"/>
  <c r="CW35" i="5"/>
  <c r="CX35" i="5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AJ36" i="5"/>
  <c r="AK36" i="5"/>
  <c r="AL36" i="5"/>
  <c r="AM36" i="5"/>
  <c r="AN36" i="5"/>
  <c r="AO36" i="5"/>
  <c r="AP36" i="5"/>
  <c r="AQ36" i="5"/>
  <c r="AR36" i="5"/>
  <c r="AS36" i="5"/>
  <c r="AT36" i="5"/>
  <c r="AU36" i="5"/>
  <c r="AV36" i="5"/>
  <c r="AW36" i="5"/>
  <c r="AX36" i="5"/>
  <c r="AY36" i="5"/>
  <c r="AZ36" i="5"/>
  <c r="BA36" i="5"/>
  <c r="BB36" i="5"/>
  <c r="BC36" i="5"/>
  <c r="BD36" i="5"/>
  <c r="BE36" i="5"/>
  <c r="BF36" i="5"/>
  <c r="BG36" i="5"/>
  <c r="BH36" i="5"/>
  <c r="BI36" i="5"/>
  <c r="BJ36" i="5"/>
  <c r="BK36" i="5"/>
  <c r="BL36" i="5"/>
  <c r="BM36" i="5"/>
  <c r="BN36" i="5"/>
  <c r="BO36" i="5"/>
  <c r="BP36" i="5"/>
  <c r="BQ36" i="5"/>
  <c r="BR36" i="5"/>
  <c r="BS36" i="5"/>
  <c r="BT36" i="5"/>
  <c r="BU36" i="5"/>
  <c r="BV36" i="5"/>
  <c r="BW36" i="5"/>
  <c r="BX36" i="5"/>
  <c r="BY36" i="5"/>
  <c r="BZ36" i="5"/>
  <c r="CA36" i="5"/>
  <c r="CB36" i="5"/>
  <c r="CC36" i="5"/>
  <c r="CD36" i="5"/>
  <c r="CE36" i="5"/>
  <c r="CF36" i="5"/>
  <c r="CG36" i="5"/>
  <c r="CH36" i="5"/>
  <c r="CI36" i="5"/>
  <c r="CJ36" i="5"/>
  <c r="CK36" i="5"/>
  <c r="CL36" i="5"/>
  <c r="CM36" i="5"/>
  <c r="CN36" i="5"/>
  <c r="CO36" i="5"/>
  <c r="CP36" i="5"/>
  <c r="CQ36" i="5"/>
  <c r="CR36" i="5"/>
  <c r="CS36" i="5"/>
  <c r="CT36" i="5"/>
  <c r="CU36" i="5"/>
  <c r="CV36" i="5"/>
  <c r="CW36" i="5"/>
  <c r="CX36" i="5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AJ37" i="5"/>
  <c r="AK37" i="5"/>
  <c r="AL37" i="5"/>
  <c r="AM37" i="5"/>
  <c r="AN37" i="5"/>
  <c r="AO37" i="5"/>
  <c r="AP37" i="5"/>
  <c r="AQ37" i="5"/>
  <c r="AR37" i="5"/>
  <c r="AS37" i="5"/>
  <c r="AT37" i="5"/>
  <c r="AU37" i="5"/>
  <c r="AV37" i="5"/>
  <c r="AW37" i="5"/>
  <c r="AX37" i="5"/>
  <c r="AY37" i="5"/>
  <c r="AZ37" i="5"/>
  <c r="BA37" i="5"/>
  <c r="BB37" i="5"/>
  <c r="BC37" i="5"/>
  <c r="BD37" i="5"/>
  <c r="BE37" i="5"/>
  <c r="BF37" i="5"/>
  <c r="BG37" i="5"/>
  <c r="BH37" i="5"/>
  <c r="BI37" i="5"/>
  <c r="BJ37" i="5"/>
  <c r="BK37" i="5"/>
  <c r="BL37" i="5"/>
  <c r="BM37" i="5"/>
  <c r="BN37" i="5"/>
  <c r="BO37" i="5"/>
  <c r="BP37" i="5"/>
  <c r="BQ37" i="5"/>
  <c r="BR37" i="5"/>
  <c r="BS37" i="5"/>
  <c r="BT37" i="5"/>
  <c r="BU37" i="5"/>
  <c r="BV37" i="5"/>
  <c r="BW37" i="5"/>
  <c r="BX37" i="5"/>
  <c r="BY37" i="5"/>
  <c r="BZ37" i="5"/>
  <c r="CA37" i="5"/>
  <c r="CB37" i="5"/>
  <c r="CC37" i="5"/>
  <c r="CD37" i="5"/>
  <c r="CE37" i="5"/>
  <c r="CF37" i="5"/>
  <c r="CG37" i="5"/>
  <c r="CH37" i="5"/>
  <c r="CI37" i="5"/>
  <c r="CJ37" i="5"/>
  <c r="CK37" i="5"/>
  <c r="CL37" i="5"/>
  <c r="CM37" i="5"/>
  <c r="CN37" i="5"/>
  <c r="CO37" i="5"/>
  <c r="CP37" i="5"/>
  <c r="CQ37" i="5"/>
  <c r="CR37" i="5"/>
  <c r="CS37" i="5"/>
  <c r="CT37" i="5"/>
  <c r="CU37" i="5"/>
  <c r="CV37" i="5"/>
  <c r="CW37" i="5"/>
  <c r="CX37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AJ38" i="5"/>
  <c r="AK38" i="5"/>
  <c r="AL38" i="5"/>
  <c r="AM38" i="5"/>
  <c r="AN38" i="5"/>
  <c r="AO38" i="5"/>
  <c r="AP38" i="5"/>
  <c r="AQ38" i="5"/>
  <c r="AR38" i="5"/>
  <c r="AS38" i="5"/>
  <c r="AT38" i="5"/>
  <c r="AU38" i="5"/>
  <c r="AV38" i="5"/>
  <c r="AW38" i="5"/>
  <c r="AX38" i="5"/>
  <c r="AY38" i="5"/>
  <c r="AZ38" i="5"/>
  <c r="BA38" i="5"/>
  <c r="BB38" i="5"/>
  <c r="BC38" i="5"/>
  <c r="BD38" i="5"/>
  <c r="BE38" i="5"/>
  <c r="BF38" i="5"/>
  <c r="BG38" i="5"/>
  <c r="BH38" i="5"/>
  <c r="BI38" i="5"/>
  <c r="BJ38" i="5"/>
  <c r="BK38" i="5"/>
  <c r="BL38" i="5"/>
  <c r="BM38" i="5"/>
  <c r="BN38" i="5"/>
  <c r="BO38" i="5"/>
  <c r="BP38" i="5"/>
  <c r="BQ38" i="5"/>
  <c r="BR38" i="5"/>
  <c r="BS38" i="5"/>
  <c r="BT38" i="5"/>
  <c r="BU38" i="5"/>
  <c r="BV38" i="5"/>
  <c r="BW38" i="5"/>
  <c r="BX38" i="5"/>
  <c r="BY38" i="5"/>
  <c r="BZ38" i="5"/>
  <c r="CA38" i="5"/>
  <c r="CB38" i="5"/>
  <c r="CC38" i="5"/>
  <c r="CD38" i="5"/>
  <c r="CE38" i="5"/>
  <c r="CF38" i="5"/>
  <c r="CG38" i="5"/>
  <c r="CH38" i="5"/>
  <c r="CI38" i="5"/>
  <c r="CJ38" i="5"/>
  <c r="CK38" i="5"/>
  <c r="CL38" i="5"/>
  <c r="CM38" i="5"/>
  <c r="CN38" i="5"/>
  <c r="CO38" i="5"/>
  <c r="CP38" i="5"/>
  <c r="CQ38" i="5"/>
  <c r="CR38" i="5"/>
  <c r="CS38" i="5"/>
  <c r="CT38" i="5"/>
  <c r="CU38" i="5"/>
  <c r="CV38" i="5"/>
  <c r="CW38" i="5"/>
  <c r="CX38" i="5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AJ39" i="5"/>
  <c r="AK39" i="5"/>
  <c r="AL39" i="5"/>
  <c r="AM39" i="5"/>
  <c r="AN39" i="5"/>
  <c r="AO39" i="5"/>
  <c r="AP39" i="5"/>
  <c r="AQ39" i="5"/>
  <c r="AR39" i="5"/>
  <c r="AS39" i="5"/>
  <c r="AT39" i="5"/>
  <c r="AU39" i="5"/>
  <c r="AV39" i="5"/>
  <c r="AW39" i="5"/>
  <c r="AX39" i="5"/>
  <c r="AY39" i="5"/>
  <c r="AZ39" i="5"/>
  <c r="BA39" i="5"/>
  <c r="BB39" i="5"/>
  <c r="BC39" i="5"/>
  <c r="BD39" i="5"/>
  <c r="BE39" i="5"/>
  <c r="BF39" i="5"/>
  <c r="BG39" i="5"/>
  <c r="BH39" i="5"/>
  <c r="BI39" i="5"/>
  <c r="BJ39" i="5"/>
  <c r="BK39" i="5"/>
  <c r="BL39" i="5"/>
  <c r="BM39" i="5"/>
  <c r="BN39" i="5"/>
  <c r="BO39" i="5"/>
  <c r="BP39" i="5"/>
  <c r="BQ39" i="5"/>
  <c r="BR39" i="5"/>
  <c r="BS39" i="5"/>
  <c r="BT39" i="5"/>
  <c r="BU39" i="5"/>
  <c r="BV39" i="5"/>
  <c r="BW39" i="5"/>
  <c r="BX39" i="5"/>
  <c r="BY39" i="5"/>
  <c r="BZ39" i="5"/>
  <c r="CA39" i="5"/>
  <c r="CB39" i="5"/>
  <c r="CC39" i="5"/>
  <c r="CD39" i="5"/>
  <c r="CE39" i="5"/>
  <c r="CF39" i="5"/>
  <c r="CG39" i="5"/>
  <c r="CH39" i="5"/>
  <c r="CI39" i="5"/>
  <c r="CJ39" i="5"/>
  <c r="CK39" i="5"/>
  <c r="CL39" i="5"/>
  <c r="CM39" i="5"/>
  <c r="CN39" i="5"/>
  <c r="CO39" i="5"/>
  <c r="CP39" i="5"/>
  <c r="CQ39" i="5"/>
  <c r="CR39" i="5"/>
  <c r="CS39" i="5"/>
  <c r="CT39" i="5"/>
  <c r="CU39" i="5"/>
  <c r="CV39" i="5"/>
  <c r="CW39" i="5"/>
  <c r="CX39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AJ40" i="5"/>
  <c r="AK40" i="5"/>
  <c r="AL40" i="5"/>
  <c r="AM40" i="5"/>
  <c r="AN40" i="5"/>
  <c r="AO40" i="5"/>
  <c r="AP40" i="5"/>
  <c r="AQ40" i="5"/>
  <c r="AR40" i="5"/>
  <c r="AS40" i="5"/>
  <c r="AT40" i="5"/>
  <c r="AU40" i="5"/>
  <c r="AV40" i="5"/>
  <c r="AW40" i="5"/>
  <c r="AX40" i="5"/>
  <c r="AY40" i="5"/>
  <c r="AZ40" i="5"/>
  <c r="BA40" i="5"/>
  <c r="BB40" i="5"/>
  <c r="BC40" i="5"/>
  <c r="BD40" i="5"/>
  <c r="BE40" i="5"/>
  <c r="BF40" i="5"/>
  <c r="BG40" i="5"/>
  <c r="BH40" i="5"/>
  <c r="BI40" i="5"/>
  <c r="BJ40" i="5"/>
  <c r="BK40" i="5"/>
  <c r="BL40" i="5"/>
  <c r="BM40" i="5"/>
  <c r="BN40" i="5"/>
  <c r="BO40" i="5"/>
  <c r="BP40" i="5"/>
  <c r="BQ40" i="5"/>
  <c r="BR40" i="5"/>
  <c r="BS40" i="5"/>
  <c r="BT40" i="5"/>
  <c r="BU40" i="5"/>
  <c r="BV40" i="5"/>
  <c r="BW40" i="5"/>
  <c r="BX40" i="5"/>
  <c r="BY40" i="5"/>
  <c r="BZ40" i="5"/>
  <c r="CA40" i="5"/>
  <c r="CB40" i="5"/>
  <c r="CC40" i="5"/>
  <c r="CD40" i="5"/>
  <c r="CE40" i="5"/>
  <c r="CF40" i="5"/>
  <c r="CG40" i="5"/>
  <c r="CH40" i="5"/>
  <c r="CI40" i="5"/>
  <c r="CJ40" i="5"/>
  <c r="CK40" i="5"/>
  <c r="CL40" i="5"/>
  <c r="CM40" i="5"/>
  <c r="CN40" i="5"/>
  <c r="CO40" i="5"/>
  <c r="CP40" i="5"/>
  <c r="CQ40" i="5"/>
  <c r="CR40" i="5"/>
  <c r="CS40" i="5"/>
  <c r="CT40" i="5"/>
  <c r="CU40" i="5"/>
  <c r="CV40" i="5"/>
  <c r="CW40" i="5"/>
  <c r="CX40" i="5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AJ41" i="5"/>
  <c r="AK41" i="5"/>
  <c r="AL41" i="5"/>
  <c r="AM41" i="5"/>
  <c r="AN41" i="5"/>
  <c r="AO41" i="5"/>
  <c r="AP41" i="5"/>
  <c r="AQ41" i="5"/>
  <c r="AR41" i="5"/>
  <c r="AS41" i="5"/>
  <c r="AT41" i="5"/>
  <c r="AU41" i="5"/>
  <c r="AV41" i="5"/>
  <c r="AW41" i="5"/>
  <c r="AX41" i="5"/>
  <c r="AY41" i="5"/>
  <c r="AZ41" i="5"/>
  <c r="BA41" i="5"/>
  <c r="BB41" i="5"/>
  <c r="BC41" i="5"/>
  <c r="BD41" i="5"/>
  <c r="BE41" i="5"/>
  <c r="BF41" i="5"/>
  <c r="BG41" i="5"/>
  <c r="BH41" i="5"/>
  <c r="BI41" i="5"/>
  <c r="BJ41" i="5"/>
  <c r="BK41" i="5"/>
  <c r="BL41" i="5"/>
  <c r="BM41" i="5"/>
  <c r="BN41" i="5"/>
  <c r="BO41" i="5"/>
  <c r="BP41" i="5"/>
  <c r="BQ41" i="5"/>
  <c r="BR41" i="5"/>
  <c r="BS41" i="5"/>
  <c r="BT41" i="5"/>
  <c r="BU41" i="5"/>
  <c r="BV41" i="5"/>
  <c r="BW41" i="5"/>
  <c r="BX41" i="5"/>
  <c r="BY41" i="5"/>
  <c r="BZ41" i="5"/>
  <c r="CA41" i="5"/>
  <c r="CB41" i="5"/>
  <c r="CC41" i="5"/>
  <c r="CD41" i="5"/>
  <c r="CE41" i="5"/>
  <c r="CF41" i="5"/>
  <c r="CG41" i="5"/>
  <c r="CH41" i="5"/>
  <c r="CI41" i="5"/>
  <c r="CJ41" i="5"/>
  <c r="CK41" i="5"/>
  <c r="CL41" i="5"/>
  <c r="CM41" i="5"/>
  <c r="CN41" i="5"/>
  <c r="CO41" i="5"/>
  <c r="CP41" i="5"/>
  <c r="CQ41" i="5"/>
  <c r="CR41" i="5"/>
  <c r="CS41" i="5"/>
  <c r="CT41" i="5"/>
  <c r="CU41" i="5"/>
  <c r="CV41" i="5"/>
  <c r="CW41" i="5"/>
  <c r="CX41" i="5"/>
  <c r="D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S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AJ42" i="5"/>
  <c r="AK42" i="5"/>
  <c r="AL42" i="5"/>
  <c r="AM42" i="5"/>
  <c r="AN42" i="5"/>
  <c r="AO42" i="5"/>
  <c r="AP42" i="5"/>
  <c r="AQ42" i="5"/>
  <c r="AR42" i="5"/>
  <c r="AS42" i="5"/>
  <c r="AT42" i="5"/>
  <c r="AU42" i="5"/>
  <c r="AV42" i="5"/>
  <c r="AW42" i="5"/>
  <c r="AX42" i="5"/>
  <c r="AY42" i="5"/>
  <c r="AZ42" i="5"/>
  <c r="BA42" i="5"/>
  <c r="BB42" i="5"/>
  <c r="BC42" i="5"/>
  <c r="BD42" i="5"/>
  <c r="BE42" i="5"/>
  <c r="BF42" i="5"/>
  <c r="BG42" i="5"/>
  <c r="BH42" i="5"/>
  <c r="BI42" i="5"/>
  <c r="BJ42" i="5"/>
  <c r="BK42" i="5"/>
  <c r="BL42" i="5"/>
  <c r="BM42" i="5"/>
  <c r="BN42" i="5"/>
  <c r="BO42" i="5"/>
  <c r="BP42" i="5"/>
  <c r="BQ42" i="5"/>
  <c r="BR42" i="5"/>
  <c r="BS42" i="5"/>
  <c r="BT42" i="5"/>
  <c r="BU42" i="5"/>
  <c r="BV42" i="5"/>
  <c r="BW42" i="5"/>
  <c r="BX42" i="5"/>
  <c r="BY42" i="5"/>
  <c r="BZ42" i="5"/>
  <c r="CA42" i="5"/>
  <c r="CB42" i="5"/>
  <c r="CC42" i="5"/>
  <c r="CD42" i="5"/>
  <c r="CE42" i="5"/>
  <c r="CF42" i="5"/>
  <c r="CG42" i="5"/>
  <c r="CH42" i="5"/>
  <c r="CI42" i="5"/>
  <c r="CJ42" i="5"/>
  <c r="CK42" i="5"/>
  <c r="CL42" i="5"/>
  <c r="CM42" i="5"/>
  <c r="CN42" i="5"/>
  <c r="CO42" i="5"/>
  <c r="CP42" i="5"/>
  <c r="CQ42" i="5"/>
  <c r="CR42" i="5"/>
  <c r="CS42" i="5"/>
  <c r="CT42" i="5"/>
  <c r="CU42" i="5"/>
  <c r="CV42" i="5"/>
  <c r="CW42" i="5"/>
  <c r="CX42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AJ43" i="5"/>
  <c r="AK43" i="5"/>
  <c r="AL43" i="5"/>
  <c r="AM43" i="5"/>
  <c r="AN43" i="5"/>
  <c r="AO43" i="5"/>
  <c r="AP43" i="5"/>
  <c r="AQ43" i="5"/>
  <c r="AR43" i="5"/>
  <c r="AS43" i="5"/>
  <c r="AT43" i="5"/>
  <c r="AU43" i="5"/>
  <c r="AV43" i="5"/>
  <c r="AW43" i="5"/>
  <c r="AX43" i="5"/>
  <c r="AY43" i="5"/>
  <c r="AZ43" i="5"/>
  <c r="BA43" i="5"/>
  <c r="BB43" i="5"/>
  <c r="BC43" i="5"/>
  <c r="BD43" i="5"/>
  <c r="BE43" i="5"/>
  <c r="BF43" i="5"/>
  <c r="BG43" i="5"/>
  <c r="BH43" i="5"/>
  <c r="BI43" i="5"/>
  <c r="BJ43" i="5"/>
  <c r="BK43" i="5"/>
  <c r="BL43" i="5"/>
  <c r="BM43" i="5"/>
  <c r="BN43" i="5"/>
  <c r="BO43" i="5"/>
  <c r="BP43" i="5"/>
  <c r="BQ43" i="5"/>
  <c r="BR43" i="5"/>
  <c r="BS43" i="5"/>
  <c r="BT43" i="5"/>
  <c r="BU43" i="5"/>
  <c r="BV43" i="5"/>
  <c r="BW43" i="5"/>
  <c r="BX43" i="5"/>
  <c r="BY43" i="5"/>
  <c r="BZ43" i="5"/>
  <c r="CA43" i="5"/>
  <c r="CB43" i="5"/>
  <c r="CC43" i="5"/>
  <c r="CD43" i="5"/>
  <c r="CE43" i="5"/>
  <c r="CF43" i="5"/>
  <c r="CG43" i="5"/>
  <c r="CH43" i="5"/>
  <c r="CI43" i="5"/>
  <c r="CJ43" i="5"/>
  <c r="CK43" i="5"/>
  <c r="CL43" i="5"/>
  <c r="CM43" i="5"/>
  <c r="CN43" i="5"/>
  <c r="CO43" i="5"/>
  <c r="CP43" i="5"/>
  <c r="CQ43" i="5"/>
  <c r="CR43" i="5"/>
  <c r="CS43" i="5"/>
  <c r="CT43" i="5"/>
  <c r="CU43" i="5"/>
  <c r="CV43" i="5"/>
  <c r="CW43" i="5"/>
  <c r="CX43" i="5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AJ44" i="5"/>
  <c r="AK44" i="5"/>
  <c r="AL44" i="5"/>
  <c r="AM44" i="5"/>
  <c r="AN44" i="5"/>
  <c r="AO44" i="5"/>
  <c r="AP44" i="5"/>
  <c r="AQ44" i="5"/>
  <c r="AR44" i="5"/>
  <c r="AS44" i="5"/>
  <c r="AT44" i="5"/>
  <c r="AU44" i="5"/>
  <c r="AV44" i="5"/>
  <c r="AW44" i="5"/>
  <c r="AX44" i="5"/>
  <c r="AY44" i="5"/>
  <c r="AZ44" i="5"/>
  <c r="BA44" i="5"/>
  <c r="BB44" i="5"/>
  <c r="BC44" i="5"/>
  <c r="BD44" i="5"/>
  <c r="BE44" i="5"/>
  <c r="BF44" i="5"/>
  <c r="BG44" i="5"/>
  <c r="BH44" i="5"/>
  <c r="BI44" i="5"/>
  <c r="BJ44" i="5"/>
  <c r="BK44" i="5"/>
  <c r="BL44" i="5"/>
  <c r="BM44" i="5"/>
  <c r="BN44" i="5"/>
  <c r="BO44" i="5"/>
  <c r="BP44" i="5"/>
  <c r="BQ44" i="5"/>
  <c r="BR44" i="5"/>
  <c r="BS44" i="5"/>
  <c r="BT44" i="5"/>
  <c r="BU44" i="5"/>
  <c r="BV44" i="5"/>
  <c r="BW44" i="5"/>
  <c r="BX44" i="5"/>
  <c r="BY44" i="5"/>
  <c r="BZ44" i="5"/>
  <c r="CA44" i="5"/>
  <c r="CB44" i="5"/>
  <c r="CC44" i="5"/>
  <c r="CD44" i="5"/>
  <c r="CE44" i="5"/>
  <c r="CF44" i="5"/>
  <c r="CG44" i="5"/>
  <c r="CH44" i="5"/>
  <c r="CI44" i="5"/>
  <c r="CJ44" i="5"/>
  <c r="CK44" i="5"/>
  <c r="CL44" i="5"/>
  <c r="CM44" i="5"/>
  <c r="CN44" i="5"/>
  <c r="CO44" i="5"/>
  <c r="CP44" i="5"/>
  <c r="CQ44" i="5"/>
  <c r="CR44" i="5"/>
  <c r="CS44" i="5"/>
  <c r="CT44" i="5"/>
  <c r="CU44" i="5"/>
  <c r="CV44" i="5"/>
  <c r="CW44" i="5"/>
  <c r="CX44" i="5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AG45" i="5"/>
  <c r="AH45" i="5"/>
  <c r="AI45" i="5"/>
  <c r="AJ45" i="5"/>
  <c r="AK45" i="5"/>
  <c r="AL45" i="5"/>
  <c r="AM45" i="5"/>
  <c r="AN45" i="5"/>
  <c r="AO45" i="5"/>
  <c r="AP45" i="5"/>
  <c r="AQ45" i="5"/>
  <c r="AR45" i="5"/>
  <c r="AS45" i="5"/>
  <c r="AT45" i="5"/>
  <c r="AU45" i="5"/>
  <c r="AV45" i="5"/>
  <c r="AW45" i="5"/>
  <c r="AX45" i="5"/>
  <c r="AY45" i="5"/>
  <c r="AZ45" i="5"/>
  <c r="BA45" i="5"/>
  <c r="BB45" i="5"/>
  <c r="BC45" i="5"/>
  <c r="BD45" i="5"/>
  <c r="BE45" i="5"/>
  <c r="BF45" i="5"/>
  <c r="BG45" i="5"/>
  <c r="BH45" i="5"/>
  <c r="BI45" i="5"/>
  <c r="BJ45" i="5"/>
  <c r="BK45" i="5"/>
  <c r="BL45" i="5"/>
  <c r="BM45" i="5"/>
  <c r="BN45" i="5"/>
  <c r="BO45" i="5"/>
  <c r="BP45" i="5"/>
  <c r="BQ45" i="5"/>
  <c r="BR45" i="5"/>
  <c r="BS45" i="5"/>
  <c r="BT45" i="5"/>
  <c r="BU45" i="5"/>
  <c r="BV45" i="5"/>
  <c r="BW45" i="5"/>
  <c r="BX45" i="5"/>
  <c r="BY45" i="5"/>
  <c r="BZ45" i="5"/>
  <c r="CA45" i="5"/>
  <c r="CB45" i="5"/>
  <c r="CC45" i="5"/>
  <c r="CD45" i="5"/>
  <c r="CE45" i="5"/>
  <c r="CF45" i="5"/>
  <c r="CG45" i="5"/>
  <c r="CH45" i="5"/>
  <c r="CI45" i="5"/>
  <c r="CJ45" i="5"/>
  <c r="CK45" i="5"/>
  <c r="CL45" i="5"/>
  <c r="CM45" i="5"/>
  <c r="CN45" i="5"/>
  <c r="CO45" i="5"/>
  <c r="CP45" i="5"/>
  <c r="CQ45" i="5"/>
  <c r="CR45" i="5"/>
  <c r="CS45" i="5"/>
  <c r="CT45" i="5"/>
  <c r="CU45" i="5"/>
  <c r="CV45" i="5"/>
  <c r="CW45" i="5"/>
  <c r="CX45" i="5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AG46" i="5"/>
  <c r="AH46" i="5"/>
  <c r="AI46" i="5"/>
  <c r="AJ46" i="5"/>
  <c r="AK46" i="5"/>
  <c r="AL46" i="5"/>
  <c r="AM46" i="5"/>
  <c r="AN46" i="5"/>
  <c r="AO46" i="5"/>
  <c r="AP46" i="5"/>
  <c r="AQ46" i="5"/>
  <c r="AR46" i="5"/>
  <c r="AS46" i="5"/>
  <c r="AT46" i="5"/>
  <c r="AU46" i="5"/>
  <c r="AV46" i="5"/>
  <c r="AW46" i="5"/>
  <c r="AX46" i="5"/>
  <c r="AY46" i="5"/>
  <c r="AZ46" i="5"/>
  <c r="BA46" i="5"/>
  <c r="BB46" i="5"/>
  <c r="BC46" i="5"/>
  <c r="BD46" i="5"/>
  <c r="BE46" i="5"/>
  <c r="BF46" i="5"/>
  <c r="BG46" i="5"/>
  <c r="BH46" i="5"/>
  <c r="BI46" i="5"/>
  <c r="BJ46" i="5"/>
  <c r="BK46" i="5"/>
  <c r="BL46" i="5"/>
  <c r="BM46" i="5"/>
  <c r="BN46" i="5"/>
  <c r="BO46" i="5"/>
  <c r="BP46" i="5"/>
  <c r="BQ46" i="5"/>
  <c r="BR46" i="5"/>
  <c r="BS46" i="5"/>
  <c r="BT46" i="5"/>
  <c r="BU46" i="5"/>
  <c r="BV46" i="5"/>
  <c r="BW46" i="5"/>
  <c r="BX46" i="5"/>
  <c r="BY46" i="5"/>
  <c r="BZ46" i="5"/>
  <c r="CA46" i="5"/>
  <c r="CB46" i="5"/>
  <c r="CC46" i="5"/>
  <c r="CD46" i="5"/>
  <c r="CE46" i="5"/>
  <c r="CF46" i="5"/>
  <c r="CG46" i="5"/>
  <c r="CH46" i="5"/>
  <c r="CI46" i="5"/>
  <c r="CJ46" i="5"/>
  <c r="CK46" i="5"/>
  <c r="CL46" i="5"/>
  <c r="CM46" i="5"/>
  <c r="CN46" i="5"/>
  <c r="CO46" i="5"/>
  <c r="CP46" i="5"/>
  <c r="CQ46" i="5"/>
  <c r="CR46" i="5"/>
  <c r="CS46" i="5"/>
  <c r="CT46" i="5"/>
  <c r="CU46" i="5"/>
  <c r="CV46" i="5"/>
  <c r="CW46" i="5"/>
  <c r="CX46" i="5"/>
  <c r="D47" i="5"/>
  <c r="E47" i="5"/>
  <c r="F47" i="5"/>
  <c r="G47" i="5"/>
  <c r="H47" i="5"/>
  <c r="I47" i="5"/>
  <c r="J47" i="5"/>
  <c r="K47" i="5"/>
  <c r="L47" i="5"/>
  <c r="M47" i="5"/>
  <c r="N47" i="5"/>
  <c r="O47" i="5"/>
  <c r="P47" i="5"/>
  <c r="Q47" i="5"/>
  <c r="R47" i="5"/>
  <c r="S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AG47" i="5"/>
  <c r="AH47" i="5"/>
  <c r="AI47" i="5"/>
  <c r="AJ47" i="5"/>
  <c r="AK47" i="5"/>
  <c r="AL47" i="5"/>
  <c r="AM47" i="5"/>
  <c r="AN47" i="5"/>
  <c r="AO47" i="5"/>
  <c r="AP47" i="5"/>
  <c r="AQ47" i="5"/>
  <c r="AR47" i="5"/>
  <c r="AS47" i="5"/>
  <c r="AT47" i="5"/>
  <c r="AU47" i="5"/>
  <c r="AV47" i="5"/>
  <c r="AW47" i="5"/>
  <c r="AX47" i="5"/>
  <c r="AY47" i="5"/>
  <c r="AZ47" i="5"/>
  <c r="BA47" i="5"/>
  <c r="BB47" i="5"/>
  <c r="BC47" i="5"/>
  <c r="BD47" i="5"/>
  <c r="BE47" i="5"/>
  <c r="BF47" i="5"/>
  <c r="BG47" i="5"/>
  <c r="BH47" i="5"/>
  <c r="BI47" i="5"/>
  <c r="BJ47" i="5"/>
  <c r="BK47" i="5"/>
  <c r="BL47" i="5"/>
  <c r="BM47" i="5"/>
  <c r="BN47" i="5"/>
  <c r="BO47" i="5"/>
  <c r="BP47" i="5"/>
  <c r="BQ47" i="5"/>
  <c r="BR47" i="5"/>
  <c r="BS47" i="5"/>
  <c r="BT47" i="5"/>
  <c r="BU47" i="5"/>
  <c r="BV47" i="5"/>
  <c r="BW47" i="5"/>
  <c r="BX47" i="5"/>
  <c r="BY47" i="5"/>
  <c r="BZ47" i="5"/>
  <c r="CA47" i="5"/>
  <c r="CB47" i="5"/>
  <c r="CC47" i="5"/>
  <c r="CD47" i="5"/>
  <c r="CE47" i="5"/>
  <c r="CF47" i="5"/>
  <c r="CG47" i="5"/>
  <c r="CH47" i="5"/>
  <c r="CI47" i="5"/>
  <c r="CJ47" i="5"/>
  <c r="CK47" i="5"/>
  <c r="CL47" i="5"/>
  <c r="CM47" i="5"/>
  <c r="CN47" i="5"/>
  <c r="CO47" i="5"/>
  <c r="CP47" i="5"/>
  <c r="CQ47" i="5"/>
  <c r="CR47" i="5"/>
  <c r="CS47" i="5"/>
  <c r="CT47" i="5"/>
  <c r="CU47" i="5"/>
  <c r="CV47" i="5"/>
  <c r="CW47" i="5"/>
  <c r="CX47" i="5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AG48" i="5"/>
  <c r="AH48" i="5"/>
  <c r="AI48" i="5"/>
  <c r="AJ48" i="5"/>
  <c r="AK48" i="5"/>
  <c r="AL48" i="5"/>
  <c r="AM48" i="5"/>
  <c r="AN48" i="5"/>
  <c r="AO48" i="5"/>
  <c r="AP48" i="5"/>
  <c r="AQ48" i="5"/>
  <c r="AR48" i="5"/>
  <c r="AS48" i="5"/>
  <c r="AT48" i="5"/>
  <c r="AU48" i="5"/>
  <c r="AV48" i="5"/>
  <c r="AW48" i="5"/>
  <c r="AX48" i="5"/>
  <c r="AY48" i="5"/>
  <c r="AZ48" i="5"/>
  <c r="BA48" i="5"/>
  <c r="BB48" i="5"/>
  <c r="BC48" i="5"/>
  <c r="BD48" i="5"/>
  <c r="BE48" i="5"/>
  <c r="BF48" i="5"/>
  <c r="BG48" i="5"/>
  <c r="BH48" i="5"/>
  <c r="BI48" i="5"/>
  <c r="BJ48" i="5"/>
  <c r="BK48" i="5"/>
  <c r="BL48" i="5"/>
  <c r="BM48" i="5"/>
  <c r="BN48" i="5"/>
  <c r="BO48" i="5"/>
  <c r="BP48" i="5"/>
  <c r="BQ48" i="5"/>
  <c r="BR48" i="5"/>
  <c r="BS48" i="5"/>
  <c r="BT48" i="5"/>
  <c r="BU48" i="5"/>
  <c r="BV48" i="5"/>
  <c r="BW48" i="5"/>
  <c r="BX48" i="5"/>
  <c r="BY48" i="5"/>
  <c r="BZ48" i="5"/>
  <c r="CA48" i="5"/>
  <c r="CB48" i="5"/>
  <c r="CC48" i="5"/>
  <c r="CD48" i="5"/>
  <c r="CE48" i="5"/>
  <c r="CF48" i="5"/>
  <c r="CG48" i="5"/>
  <c r="CH48" i="5"/>
  <c r="CI48" i="5"/>
  <c r="CJ48" i="5"/>
  <c r="CK48" i="5"/>
  <c r="CL48" i="5"/>
  <c r="CM48" i="5"/>
  <c r="CN48" i="5"/>
  <c r="CO48" i="5"/>
  <c r="CP48" i="5"/>
  <c r="CQ48" i="5"/>
  <c r="CR48" i="5"/>
  <c r="CS48" i="5"/>
  <c r="CT48" i="5"/>
  <c r="CU48" i="5"/>
  <c r="CV48" i="5"/>
  <c r="CW48" i="5"/>
  <c r="CX48" i="5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AG49" i="5"/>
  <c r="AH49" i="5"/>
  <c r="AI49" i="5"/>
  <c r="AJ49" i="5"/>
  <c r="AK49" i="5"/>
  <c r="AL49" i="5"/>
  <c r="AM49" i="5"/>
  <c r="AN49" i="5"/>
  <c r="AO49" i="5"/>
  <c r="AP49" i="5"/>
  <c r="AQ49" i="5"/>
  <c r="AR49" i="5"/>
  <c r="AS49" i="5"/>
  <c r="AT49" i="5"/>
  <c r="AU49" i="5"/>
  <c r="AV49" i="5"/>
  <c r="AW49" i="5"/>
  <c r="AX49" i="5"/>
  <c r="AY49" i="5"/>
  <c r="AZ49" i="5"/>
  <c r="BA49" i="5"/>
  <c r="BB49" i="5"/>
  <c r="BC49" i="5"/>
  <c r="BD49" i="5"/>
  <c r="BE49" i="5"/>
  <c r="BF49" i="5"/>
  <c r="BG49" i="5"/>
  <c r="BH49" i="5"/>
  <c r="BI49" i="5"/>
  <c r="BJ49" i="5"/>
  <c r="BK49" i="5"/>
  <c r="BL49" i="5"/>
  <c r="BM49" i="5"/>
  <c r="BN49" i="5"/>
  <c r="BO49" i="5"/>
  <c r="BP49" i="5"/>
  <c r="BQ49" i="5"/>
  <c r="BR49" i="5"/>
  <c r="BS49" i="5"/>
  <c r="BT49" i="5"/>
  <c r="BU49" i="5"/>
  <c r="BV49" i="5"/>
  <c r="BW49" i="5"/>
  <c r="BX49" i="5"/>
  <c r="BY49" i="5"/>
  <c r="BZ49" i="5"/>
  <c r="CA49" i="5"/>
  <c r="CB49" i="5"/>
  <c r="CC49" i="5"/>
  <c r="CD49" i="5"/>
  <c r="CE49" i="5"/>
  <c r="CF49" i="5"/>
  <c r="CG49" i="5"/>
  <c r="CH49" i="5"/>
  <c r="CI49" i="5"/>
  <c r="CJ49" i="5"/>
  <c r="CK49" i="5"/>
  <c r="CL49" i="5"/>
  <c r="CM49" i="5"/>
  <c r="CN49" i="5"/>
  <c r="CO49" i="5"/>
  <c r="CP49" i="5"/>
  <c r="CQ49" i="5"/>
  <c r="CR49" i="5"/>
  <c r="CS49" i="5"/>
  <c r="CT49" i="5"/>
  <c r="CU49" i="5"/>
  <c r="CV49" i="5"/>
  <c r="CW49" i="5"/>
  <c r="CX49" i="5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AG50" i="5"/>
  <c r="AH50" i="5"/>
  <c r="AI50" i="5"/>
  <c r="AJ50" i="5"/>
  <c r="AK50" i="5"/>
  <c r="AL50" i="5"/>
  <c r="AM50" i="5"/>
  <c r="AN50" i="5"/>
  <c r="AO50" i="5"/>
  <c r="AP50" i="5"/>
  <c r="AQ50" i="5"/>
  <c r="AR50" i="5"/>
  <c r="AS50" i="5"/>
  <c r="AT50" i="5"/>
  <c r="AU50" i="5"/>
  <c r="AV50" i="5"/>
  <c r="AW50" i="5"/>
  <c r="AX50" i="5"/>
  <c r="AY50" i="5"/>
  <c r="AZ50" i="5"/>
  <c r="BA50" i="5"/>
  <c r="BB50" i="5"/>
  <c r="BC50" i="5"/>
  <c r="BD50" i="5"/>
  <c r="BE50" i="5"/>
  <c r="BF50" i="5"/>
  <c r="BG50" i="5"/>
  <c r="BH50" i="5"/>
  <c r="BI50" i="5"/>
  <c r="BJ50" i="5"/>
  <c r="BK50" i="5"/>
  <c r="BL50" i="5"/>
  <c r="BM50" i="5"/>
  <c r="BN50" i="5"/>
  <c r="BO50" i="5"/>
  <c r="BP50" i="5"/>
  <c r="BQ50" i="5"/>
  <c r="BR50" i="5"/>
  <c r="BS50" i="5"/>
  <c r="BT50" i="5"/>
  <c r="BU50" i="5"/>
  <c r="BV50" i="5"/>
  <c r="BW50" i="5"/>
  <c r="BX50" i="5"/>
  <c r="BY50" i="5"/>
  <c r="BZ50" i="5"/>
  <c r="CA50" i="5"/>
  <c r="CB50" i="5"/>
  <c r="CC50" i="5"/>
  <c r="CD50" i="5"/>
  <c r="CE50" i="5"/>
  <c r="CF50" i="5"/>
  <c r="CG50" i="5"/>
  <c r="CH50" i="5"/>
  <c r="CI50" i="5"/>
  <c r="CJ50" i="5"/>
  <c r="CK50" i="5"/>
  <c r="CL50" i="5"/>
  <c r="CM50" i="5"/>
  <c r="CN50" i="5"/>
  <c r="CO50" i="5"/>
  <c r="CP50" i="5"/>
  <c r="CQ50" i="5"/>
  <c r="CR50" i="5"/>
  <c r="CS50" i="5"/>
  <c r="CT50" i="5"/>
  <c r="CU50" i="5"/>
  <c r="CV50" i="5"/>
  <c r="CW50" i="5"/>
  <c r="CX50" i="5"/>
  <c r="D51" i="5"/>
  <c r="E51" i="5"/>
  <c r="F51" i="5"/>
  <c r="G51" i="5"/>
  <c r="H51" i="5"/>
  <c r="I51" i="5"/>
  <c r="J51" i="5"/>
  <c r="K51" i="5"/>
  <c r="L51" i="5"/>
  <c r="M51" i="5"/>
  <c r="N51" i="5"/>
  <c r="O51" i="5"/>
  <c r="P51" i="5"/>
  <c r="Q51" i="5"/>
  <c r="R51" i="5"/>
  <c r="S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AG51" i="5"/>
  <c r="AH51" i="5"/>
  <c r="AI51" i="5"/>
  <c r="AJ51" i="5"/>
  <c r="AK51" i="5"/>
  <c r="AL51" i="5"/>
  <c r="AM51" i="5"/>
  <c r="AN51" i="5"/>
  <c r="AO51" i="5"/>
  <c r="AP51" i="5"/>
  <c r="AQ51" i="5"/>
  <c r="AR51" i="5"/>
  <c r="AS51" i="5"/>
  <c r="AT51" i="5"/>
  <c r="AU51" i="5"/>
  <c r="AV51" i="5"/>
  <c r="AW51" i="5"/>
  <c r="AX51" i="5"/>
  <c r="AY51" i="5"/>
  <c r="AZ51" i="5"/>
  <c r="BA51" i="5"/>
  <c r="BB51" i="5"/>
  <c r="BC51" i="5"/>
  <c r="BD51" i="5"/>
  <c r="BE51" i="5"/>
  <c r="BF51" i="5"/>
  <c r="BG51" i="5"/>
  <c r="BH51" i="5"/>
  <c r="BI51" i="5"/>
  <c r="BJ51" i="5"/>
  <c r="BK51" i="5"/>
  <c r="BL51" i="5"/>
  <c r="BM51" i="5"/>
  <c r="BN51" i="5"/>
  <c r="BO51" i="5"/>
  <c r="BP51" i="5"/>
  <c r="BQ51" i="5"/>
  <c r="BR51" i="5"/>
  <c r="BS51" i="5"/>
  <c r="BT51" i="5"/>
  <c r="BU51" i="5"/>
  <c r="BV51" i="5"/>
  <c r="BW51" i="5"/>
  <c r="BX51" i="5"/>
  <c r="BY51" i="5"/>
  <c r="BZ51" i="5"/>
  <c r="CA51" i="5"/>
  <c r="CB51" i="5"/>
  <c r="CC51" i="5"/>
  <c r="CD51" i="5"/>
  <c r="CE51" i="5"/>
  <c r="CF51" i="5"/>
  <c r="CG51" i="5"/>
  <c r="CH51" i="5"/>
  <c r="CI51" i="5"/>
  <c r="CJ51" i="5"/>
  <c r="CK51" i="5"/>
  <c r="CL51" i="5"/>
  <c r="CM51" i="5"/>
  <c r="CN51" i="5"/>
  <c r="CO51" i="5"/>
  <c r="CP51" i="5"/>
  <c r="CQ51" i="5"/>
  <c r="CR51" i="5"/>
  <c r="CS51" i="5"/>
  <c r="CT51" i="5"/>
  <c r="CU51" i="5"/>
  <c r="CV51" i="5"/>
  <c r="CW51" i="5"/>
  <c r="CX51" i="5"/>
  <c r="D52" i="5"/>
  <c r="E52" i="5"/>
  <c r="F52" i="5"/>
  <c r="G52" i="5"/>
  <c r="H52" i="5"/>
  <c r="I52" i="5"/>
  <c r="J52" i="5"/>
  <c r="K52" i="5"/>
  <c r="L52" i="5"/>
  <c r="M52" i="5"/>
  <c r="N52" i="5"/>
  <c r="O52" i="5"/>
  <c r="P52" i="5"/>
  <c r="Q52" i="5"/>
  <c r="R52" i="5"/>
  <c r="S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AG52" i="5"/>
  <c r="AH52" i="5"/>
  <c r="AI52" i="5"/>
  <c r="AJ52" i="5"/>
  <c r="AK52" i="5"/>
  <c r="AL52" i="5"/>
  <c r="AM52" i="5"/>
  <c r="AN52" i="5"/>
  <c r="AO52" i="5"/>
  <c r="AP52" i="5"/>
  <c r="AQ52" i="5"/>
  <c r="AR52" i="5"/>
  <c r="AS52" i="5"/>
  <c r="AT52" i="5"/>
  <c r="AU52" i="5"/>
  <c r="AV52" i="5"/>
  <c r="AW52" i="5"/>
  <c r="AX52" i="5"/>
  <c r="AY52" i="5"/>
  <c r="AZ52" i="5"/>
  <c r="BA52" i="5"/>
  <c r="BB52" i="5"/>
  <c r="BC52" i="5"/>
  <c r="BD52" i="5"/>
  <c r="BE52" i="5"/>
  <c r="BF52" i="5"/>
  <c r="BG52" i="5"/>
  <c r="BH52" i="5"/>
  <c r="BI52" i="5"/>
  <c r="BJ52" i="5"/>
  <c r="BK52" i="5"/>
  <c r="BL52" i="5"/>
  <c r="BM52" i="5"/>
  <c r="BN52" i="5"/>
  <c r="BO52" i="5"/>
  <c r="BP52" i="5"/>
  <c r="BQ52" i="5"/>
  <c r="BR52" i="5"/>
  <c r="BS52" i="5"/>
  <c r="BT52" i="5"/>
  <c r="BU52" i="5"/>
  <c r="BV52" i="5"/>
  <c r="BW52" i="5"/>
  <c r="BX52" i="5"/>
  <c r="BY52" i="5"/>
  <c r="BZ52" i="5"/>
  <c r="CA52" i="5"/>
  <c r="CB52" i="5"/>
  <c r="CC52" i="5"/>
  <c r="CD52" i="5"/>
  <c r="CE52" i="5"/>
  <c r="CF52" i="5"/>
  <c r="CG52" i="5"/>
  <c r="CH52" i="5"/>
  <c r="CI52" i="5"/>
  <c r="CJ52" i="5"/>
  <c r="CK52" i="5"/>
  <c r="CL52" i="5"/>
  <c r="CM52" i="5"/>
  <c r="CN52" i="5"/>
  <c r="CO52" i="5"/>
  <c r="CP52" i="5"/>
  <c r="CQ52" i="5"/>
  <c r="CR52" i="5"/>
  <c r="CS52" i="5"/>
  <c r="CT52" i="5"/>
  <c r="CU52" i="5"/>
  <c r="CV52" i="5"/>
  <c r="CW52" i="5"/>
  <c r="CX52" i="5"/>
  <c r="D53" i="5"/>
  <c r="E53" i="5"/>
  <c r="F53" i="5"/>
  <c r="G53" i="5"/>
  <c r="H53" i="5"/>
  <c r="I53" i="5"/>
  <c r="J53" i="5"/>
  <c r="K53" i="5"/>
  <c r="L53" i="5"/>
  <c r="M53" i="5"/>
  <c r="N53" i="5"/>
  <c r="O53" i="5"/>
  <c r="P53" i="5"/>
  <c r="Q53" i="5"/>
  <c r="R53" i="5"/>
  <c r="S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AG53" i="5"/>
  <c r="AH53" i="5"/>
  <c r="AI53" i="5"/>
  <c r="AJ53" i="5"/>
  <c r="AK53" i="5"/>
  <c r="AL53" i="5"/>
  <c r="AM53" i="5"/>
  <c r="AN53" i="5"/>
  <c r="AO53" i="5"/>
  <c r="AP53" i="5"/>
  <c r="AQ53" i="5"/>
  <c r="AR53" i="5"/>
  <c r="AS53" i="5"/>
  <c r="AT53" i="5"/>
  <c r="AU53" i="5"/>
  <c r="AV53" i="5"/>
  <c r="AW53" i="5"/>
  <c r="AX53" i="5"/>
  <c r="AY53" i="5"/>
  <c r="AZ53" i="5"/>
  <c r="BA53" i="5"/>
  <c r="BB53" i="5"/>
  <c r="BC53" i="5"/>
  <c r="BD53" i="5"/>
  <c r="BE53" i="5"/>
  <c r="BF53" i="5"/>
  <c r="BG53" i="5"/>
  <c r="BH53" i="5"/>
  <c r="BI53" i="5"/>
  <c r="BJ53" i="5"/>
  <c r="BK53" i="5"/>
  <c r="BL53" i="5"/>
  <c r="BM53" i="5"/>
  <c r="BN53" i="5"/>
  <c r="BO53" i="5"/>
  <c r="BP53" i="5"/>
  <c r="BQ53" i="5"/>
  <c r="BR53" i="5"/>
  <c r="BS53" i="5"/>
  <c r="BT53" i="5"/>
  <c r="BU53" i="5"/>
  <c r="BV53" i="5"/>
  <c r="BW53" i="5"/>
  <c r="BX53" i="5"/>
  <c r="BY53" i="5"/>
  <c r="BZ53" i="5"/>
  <c r="CA53" i="5"/>
  <c r="CB53" i="5"/>
  <c r="CC53" i="5"/>
  <c r="CD53" i="5"/>
  <c r="CE53" i="5"/>
  <c r="CF53" i="5"/>
  <c r="CG53" i="5"/>
  <c r="CH53" i="5"/>
  <c r="CI53" i="5"/>
  <c r="CJ53" i="5"/>
  <c r="CK53" i="5"/>
  <c r="CL53" i="5"/>
  <c r="CM53" i="5"/>
  <c r="CN53" i="5"/>
  <c r="CO53" i="5"/>
  <c r="CP53" i="5"/>
  <c r="CQ53" i="5"/>
  <c r="CR53" i="5"/>
  <c r="CS53" i="5"/>
  <c r="CT53" i="5"/>
  <c r="CU53" i="5"/>
  <c r="CV53" i="5"/>
  <c r="CW53" i="5"/>
  <c r="CX53" i="5"/>
  <c r="D54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AG54" i="5"/>
  <c r="AH54" i="5"/>
  <c r="AI54" i="5"/>
  <c r="AJ54" i="5"/>
  <c r="AK54" i="5"/>
  <c r="AL54" i="5"/>
  <c r="AM54" i="5"/>
  <c r="AN54" i="5"/>
  <c r="AO54" i="5"/>
  <c r="AP54" i="5"/>
  <c r="AQ54" i="5"/>
  <c r="AR54" i="5"/>
  <c r="AS54" i="5"/>
  <c r="AT54" i="5"/>
  <c r="AU54" i="5"/>
  <c r="AV54" i="5"/>
  <c r="AW54" i="5"/>
  <c r="AX54" i="5"/>
  <c r="AY54" i="5"/>
  <c r="AZ54" i="5"/>
  <c r="BA54" i="5"/>
  <c r="BB54" i="5"/>
  <c r="BC54" i="5"/>
  <c r="BD54" i="5"/>
  <c r="BE54" i="5"/>
  <c r="BF54" i="5"/>
  <c r="BG54" i="5"/>
  <c r="BH54" i="5"/>
  <c r="BI54" i="5"/>
  <c r="BJ54" i="5"/>
  <c r="BK54" i="5"/>
  <c r="BL54" i="5"/>
  <c r="BM54" i="5"/>
  <c r="BN54" i="5"/>
  <c r="BO54" i="5"/>
  <c r="BP54" i="5"/>
  <c r="BQ54" i="5"/>
  <c r="BR54" i="5"/>
  <c r="BS54" i="5"/>
  <c r="BT54" i="5"/>
  <c r="BU54" i="5"/>
  <c r="BV54" i="5"/>
  <c r="BW54" i="5"/>
  <c r="BX54" i="5"/>
  <c r="BY54" i="5"/>
  <c r="BZ54" i="5"/>
  <c r="CA54" i="5"/>
  <c r="CB54" i="5"/>
  <c r="CC54" i="5"/>
  <c r="CD54" i="5"/>
  <c r="CE54" i="5"/>
  <c r="CF54" i="5"/>
  <c r="CG54" i="5"/>
  <c r="CH54" i="5"/>
  <c r="CI54" i="5"/>
  <c r="CJ54" i="5"/>
  <c r="CK54" i="5"/>
  <c r="CL54" i="5"/>
  <c r="CM54" i="5"/>
  <c r="CN54" i="5"/>
  <c r="CO54" i="5"/>
  <c r="CP54" i="5"/>
  <c r="CQ54" i="5"/>
  <c r="CR54" i="5"/>
  <c r="CS54" i="5"/>
  <c r="CT54" i="5"/>
  <c r="CU54" i="5"/>
  <c r="CV54" i="5"/>
  <c r="CW54" i="5"/>
  <c r="CX54" i="5"/>
  <c r="D55" i="5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R55" i="5"/>
  <c r="S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AG55" i="5"/>
  <c r="AH55" i="5"/>
  <c r="AI55" i="5"/>
  <c r="AJ55" i="5"/>
  <c r="AK55" i="5"/>
  <c r="AL55" i="5"/>
  <c r="AM55" i="5"/>
  <c r="AN55" i="5"/>
  <c r="AO55" i="5"/>
  <c r="AP55" i="5"/>
  <c r="AQ55" i="5"/>
  <c r="AR55" i="5"/>
  <c r="AS55" i="5"/>
  <c r="AT55" i="5"/>
  <c r="AU55" i="5"/>
  <c r="AV55" i="5"/>
  <c r="AW55" i="5"/>
  <c r="AX55" i="5"/>
  <c r="AY55" i="5"/>
  <c r="AZ55" i="5"/>
  <c r="BA55" i="5"/>
  <c r="BB55" i="5"/>
  <c r="BC55" i="5"/>
  <c r="BD55" i="5"/>
  <c r="BE55" i="5"/>
  <c r="BF55" i="5"/>
  <c r="BG55" i="5"/>
  <c r="BH55" i="5"/>
  <c r="BI55" i="5"/>
  <c r="BJ55" i="5"/>
  <c r="BK55" i="5"/>
  <c r="BL55" i="5"/>
  <c r="BM55" i="5"/>
  <c r="BN55" i="5"/>
  <c r="BO55" i="5"/>
  <c r="BP55" i="5"/>
  <c r="BQ55" i="5"/>
  <c r="BR55" i="5"/>
  <c r="BS55" i="5"/>
  <c r="BT55" i="5"/>
  <c r="BU55" i="5"/>
  <c r="BV55" i="5"/>
  <c r="BW55" i="5"/>
  <c r="BX55" i="5"/>
  <c r="BY55" i="5"/>
  <c r="BZ55" i="5"/>
  <c r="CA55" i="5"/>
  <c r="CB55" i="5"/>
  <c r="CC55" i="5"/>
  <c r="CD55" i="5"/>
  <c r="CE55" i="5"/>
  <c r="CF55" i="5"/>
  <c r="CG55" i="5"/>
  <c r="CH55" i="5"/>
  <c r="CI55" i="5"/>
  <c r="CJ55" i="5"/>
  <c r="CK55" i="5"/>
  <c r="CL55" i="5"/>
  <c r="CM55" i="5"/>
  <c r="CN55" i="5"/>
  <c r="CO55" i="5"/>
  <c r="CP55" i="5"/>
  <c r="CQ55" i="5"/>
  <c r="CR55" i="5"/>
  <c r="CS55" i="5"/>
  <c r="CT55" i="5"/>
  <c r="CU55" i="5"/>
  <c r="CV55" i="5"/>
  <c r="CW55" i="5"/>
  <c r="CX55" i="5"/>
  <c r="D56" i="5"/>
  <c r="E56" i="5"/>
  <c r="F56" i="5"/>
  <c r="G56" i="5"/>
  <c r="H56" i="5"/>
  <c r="I56" i="5"/>
  <c r="J56" i="5"/>
  <c r="K56" i="5"/>
  <c r="L56" i="5"/>
  <c r="M56" i="5"/>
  <c r="N56" i="5"/>
  <c r="O56" i="5"/>
  <c r="P56" i="5"/>
  <c r="Q56" i="5"/>
  <c r="R56" i="5"/>
  <c r="S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AG56" i="5"/>
  <c r="AH56" i="5"/>
  <c r="AI56" i="5"/>
  <c r="AJ56" i="5"/>
  <c r="AK56" i="5"/>
  <c r="AL56" i="5"/>
  <c r="AM56" i="5"/>
  <c r="AN56" i="5"/>
  <c r="AO56" i="5"/>
  <c r="AP56" i="5"/>
  <c r="AQ56" i="5"/>
  <c r="AR56" i="5"/>
  <c r="AS56" i="5"/>
  <c r="AT56" i="5"/>
  <c r="AU56" i="5"/>
  <c r="AV56" i="5"/>
  <c r="AW56" i="5"/>
  <c r="AX56" i="5"/>
  <c r="AY56" i="5"/>
  <c r="AZ56" i="5"/>
  <c r="BA56" i="5"/>
  <c r="BB56" i="5"/>
  <c r="BC56" i="5"/>
  <c r="BD56" i="5"/>
  <c r="BE56" i="5"/>
  <c r="BF56" i="5"/>
  <c r="BG56" i="5"/>
  <c r="BH56" i="5"/>
  <c r="BI56" i="5"/>
  <c r="BJ56" i="5"/>
  <c r="BK56" i="5"/>
  <c r="BL56" i="5"/>
  <c r="BM56" i="5"/>
  <c r="BN56" i="5"/>
  <c r="BO56" i="5"/>
  <c r="BP56" i="5"/>
  <c r="BQ56" i="5"/>
  <c r="BR56" i="5"/>
  <c r="BS56" i="5"/>
  <c r="BT56" i="5"/>
  <c r="BU56" i="5"/>
  <c r="BV56" i="5"/>
  <c r="BW56" i="5"/>
  <c r="BX56" i="5"/>
  <c r="BY56" i="5"/>
  <c r="BZ56" i="5"/>
  <c r="CA56" i="5"/>
  <c r="CB56" i="5"/>
  <c r="CC56" i="5"/>
  <c r="CD56" i="5"/>
  <c r="CE56" i="5"/>
  <c r="CF56" i="5"/>
  <c r="CG56" i="5"/>
  <c r="CH56" i="5"/>
  <c r="CI56" i="5"/>
  <c r="CJ56" i="5"/>
  <c r="CK56" i="5"/>
  <c r="CL56" i="5"/>
  <c r="CM56" i="5"/>
  <c r="CN56" i="5"/>
  <c r="CO56" i="5"/>
  <c r="CP56" i="5"/>
  <c r="CQ56" i="5"/>
  <c r="CR56" i="5"/>
  <c r="CS56" i="5"/>
  <c r="CT56" i="5"/>
  <c r="CU56" i="5"/>
  <c r="CV56" i="5"/>
  <c r="CW56" i="5"/>
  <c r="CX56" i="5"/>
  <c r="D57" i="5"/>
  <c r="E57" i="5"/>
  <c r="F57" i="5"/>
  <c r="G57" i="5"/>
  <c r="H57" i="5"/>
  <c r="I57" i="5"/>
  <c r="J57" i="5"/>
  <c r="K57" i="5"/>
  <c r="L57" i="5"/>
  <c r="M57" i="5"/>
  <c r="N57" i="5"/>
  <c r="O57" i="5"/>
  <c r="P57" i="5"/>
  <c r="Q57" i="5"/>
  <c r="R57" i="5"/>
  <c r="S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AG57" i="5"/>
  <c r="AH57" i="5"/>
  <c r="AI57" i="5"/>
  <c r="AJ57" i="5"/>
  <c r="AK57" i="5"/>
  <c r="AL57" i="5"/>
  <c r="AM57" i="5"/>
  <c r="AN57" i="5"/>
  <c r="AO57" i="5"/>
  <c r="AP57" i="5"/>
  <c r="AQ57" i="5"/>
  <c r="AR57" i="5"/>
  <c r="AS57" i="5"/>
  <c r="AT57" i="5"/>
  <c r="AU57" i="5"/>
  <c r="AV57" i="5"/>
  <c r="AW57" i="5"/>
  <c r="AX57" i="5"/>
  <c r="AY57" i="5"/>
  <c r="AZ57" i="5"/>
  <c r="BA57" i="5"/>
  <c r="BB57" i="5"/>
  <c r="BC57" i="5"/>
  <c r="BD57" i="5"/>
  <c r="BE57" i="5"/>
  <c r="BF57" i="5"/>
  <c r="BG57" i="5"/>
  <c r="BH57" i="5"/>
  <c r="BI57" i="5"/>
  <c r="BJ57" i="5"/>
  <c r="BK57" i="5"/>
  <c r="BL57" i="5"/>
  <c r="BM57" i="5"/>
  <c r="BN57" i="5"/>
  <c r="BO57" i="5"/>
  <c r="BP57" i="5"/>
  <c r="BQ57" i="5"/>
  <c r="BR57" i="5"/>
  <c r="BS57" i="5"/>
  <c r="BT57" i="5"/>
  <c r="BU57" i="5"/>
  <c r="BV57" i="5"/>
  <c r="BW57" i="5"/>
  <c r="BX57" i="5"/>
  <c r="BY57" i="5"/>
  <c r="BZ57" i="5"/>
  <c r="CA57" i="5"/>
  <c r="CB57" i="5"/>
  <c r="CC57" i="5"/>
  <c r="CD57" i="5"/>
  <c r="CE57" i="5"/>
  <c r="CF57" i="5"/>
  <c r="CG57" i="5"/>
  <c r="CH57" i="5"/>
  <c r="CI57" i="5"/>
  <c r="CJ57" i="5"/>
  <c r="CK57" i="5"/>
  <c r="CL57" i="5"/>
  <c r="CM57" i="5"/>
  <c r="CN57" i="5"/>
  <c r="CO57" i="5"/>
  <c r="CP57" i="5"/>
  <c r="CQ57" i="5"/>
  <c r="CR57" i="5"/>
  <c r="CS57" i="5"/>
  <c r="CT57" i="5"/>
  <c r="CU57" i="5"/>
  <c r="CV57" i="5"/>
  <c r="CW57" i="5"/>
  <c r="CX57" i="5"/>
  <c r="D58" i="5"/>
  <c r="E58" i="5"/>
  <c r="F58" i="5"/>
  <c r="G58" i="5"/>
  <c r="H58" i="5"/>
  <c r="I58" i="5"/>
  <c r="J58" i="5"/>
  <c r="K58" i="5"/>
  <c r="L58" i="5"/>
  <c r="M58" i="5"/>
  <c r="N58" i="5"/>
  <c r="O58" i="5"/>
  <c r="P58" i="5"/>
  <c r="Q58" i="5"/>
  <c r="R58" i="5"/>
  <c r="S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AG58" i="5"/>
  <c r="AH58" i="5"/>
  <c r="AI58" i="5"/>
  <c r="AJ58" i="5"/>
  <c r="AK58" i="5"/>
  <c r="AL58" i="5"/>
  <c r="AM58" i="5"/>
  <c r="AN58" i="5"/>
  <c r="AO58" i="5"/>
  <c r="AP58" i="5"/>
  <c r="AQ58" i="5"/>
  <c r="AR58" i="5"/>
  <c r="AS58" i="5"/>
  <c r="AT58" i="5"/>
  <c r="AU58" i="5"/>
  <c r="AV58" i="5"/>
  <c r="AW58" i="5"/>
  <c r="AX58" i="5"/>
  <c r="AY58" i="5"/>
  <c r="AZ58" i="5"/>
  <c r="BA58" i="5"/>
  <c r="BB58" i="5"/>
  <c r="BC58" i="5"/>
  <c r="BD58" i="5"/>
  <c r="BE58" i="5"/>
  <c r="BF58" i="5"/>
  <c r="BG58" i="5"/>
  <c r="BH58" i="5"/>
  <c r="BI58" i="5"/>
  <c r="BJ58" i="5"/>
  <c r="BK58" i="5"/>
  <c r="BL58" i="5"/>
  <c r="BM58" i="5"/>
  <c r="BN58" i="5"/>
  <c r="BO58" i="5"/>
  <c r="BP58" i="5"/>
  <c r="BQ58" i="5"/>
  <c r="BR58" i="5"/>
  <c r="BS58" i="5"/>
  <c r="BT58" i="5"/>
  <c r="BU58" i="5"/>
  <c r="BV58" i="5"/>
  <c r="BW58" i="5"/>
  <c r="BX58" i="5"/>
  <c r="BY58" i="5"/>
  <c r="BZ58" i="5"/>
  <c r="CA58" i="5"/>
  <c r="CB58" i="5"/>
  <c r="CC58" i="5"/>
  <c r="CD58" i="5"/>
  <c r="CE58" i="5"/>
  <c r="CF58" i="5"/>
  <c r="CG58" i="5"/>
  <c r="CH58" i="5"/>
  <c r="CI58" i="5"/>
  <c r="CJ58" i="5"/>
  <c r="CK58" i="5"/>
  <c r="CL58" i="5"/>
  <c r="CM58" i="5"/>
  <c r="CN58" i="5"/>
  <c r="CO58" i="5"/>
  <c r="CP58" i="5"/>
  <c r="CQ58" i="5"/>
  <c r="CR58" i="5"/>
  <c r="CS58" i="5"/>
  <c r="CT58" i="5"/>
  <c r="CU58" i="5"/>
  <c r="CV58" i="5"/>
  <c r="CW58" i="5"/>
  <c r="CX58" i="5"/>
  <c r="D59" i="5"/>
  <c r="E59" i="5"/>
  <c r="F59" i="5"/>
  <c r="G59" i="5"/>
  <c r="H59" i="5"/>
  <c r="I59" i="5"/>
  <c r="J59" i="5"/>
  <c r="K59" i="5"/>
  <c r="L59" i="5"/>
  <c r="M59" i="5"/>
  <c r="N59" i="5"/>
  <c r="O59" i="5"/>
  <c r="P59" i="5"/>
  <c r="Q59" i="5"/>
  <c r="R59" i="5"/>
  <c r="S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AG59" i="5"/>
  <c r="AH59" i="5"/>
  <c r="AI59" i="5"/>
  <c r="AJ59" i="5"/>
  <c r="AK59" i="5"/>
  <c r="AL59" i="5"/>
  <c r="AM59" i="5"/>
  <c r="AN59" i="5"/>
  <c r="AO59" i="5"/>
  <c r="AP59" i="5"/>
  <c r="AQ59" i="5"/>
  <c r="AR59" i="5"/>
  <c r="AS59" i="5"/>
  <c r="AT59" i="5"/>
  <c r="AU59" i="5"/>
  <c r="AV59" i="5"/>
  <c r="AW59" i="5"/>
  <c r="AX59" i="5"/>
  <c r="AY59" i="5"/>
  <c r="AZ59" i="5"/>
  <c r="BA59" i="5"/>
  <c r="BB59" i="5"/>
  <c r="BC59" i="5"/>
  <c r="BD59" i="5"/>
  <c r="BE59" i="5"/>
  <c r="BF59" i="5"/>
  <c r="BG59" i="5"/>
  <c r="BH59" i="5"/>
  <c r="BI59" i="5"/>
  <c r="BJ59" i="5"/>
  <c r="BK59" i="5"/>
  <c r="BL59" i="5"/>
  <c r="BM59" i="5"/>
  <c r="BN59" i="5"/>
  <c r="BO59" i="5"/>
  <c r="BP59" i="5"/>
  <c r="BQ59" i="5"/>
  <c r="BR59" i="5"/>
  <c r="BS59" i="5"/>
  <c r="BT59" i="5"/>
  <c r="BU59" i="5"/>
  <c r="BV59" i="5"/>
  <c r="BW59" i="5"/>
  <c r="BX59" i="5"/>
  <c r="BY59" i="5"/>
  <c r="BZ59" i="5"/>
  <c r="CA59" i="5"/>
  <c r="CB59" i="5"/>
  <c r="CC59" i="5"/>
  <c r="CD59" i="5"/>
  <c r="CE59" i="5"/>
  <c r="CF59" i="5"/>
  <c r="CG59" i="5"/>
  <c r="CH59" i="5"/>
  <c r="CI59" i="5"/>
  <c r="CJ59" i="5"/>
  <c r="CK59" i="5"/>
  <c r="CL59" i="5"/>
  <c r="CM59" i="5"/>
  <c r="CN59" i="5"/>
  <c r="CO59" i="5"/>
  <c r="CP59" i="5"/>
  <c r="CQ59" i="5"/>
  <c r="CR59" i="5"/>
  <c r="CS59" i="5"/>
  <c r="CT59" i="5"/>
  <c r="CU59" i="5"/>
  <c r="CV59" i="5"/>
  <c r="CW59" i="5"/>
  <c r="CX59" i="5"/>
  <c r="D60" i="5"/>
  <c r="E60" i="5"/>
  <c r="F60" i="5"/>
  <c r="G60" i="5"/>
  <c r="H60" i="5"/>
  <c r="I60" i="5"/>
  <c r="J60" i="5"/>
  <c r="K60" i="5"/>
  <c r="L60" i="5"/>
  <c r="M60" i="5"/>
  <c r="N60" i="5"/>
  <c r="O60" i="5"/>
  <c r="P60" i="5"/>
  <c r="Q60" i="5"/>
  <c r="R60" i="5"/>
  <c r="S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AG60" i="5"/>
  <c r="AH60" i="5"/>
  <c r="AI60" i="5"/>
  <c r="AJ60" i="5"/>
  <c r="AK60" i="5"/>
  <c r="AL60" i="5"/>
  <c r="AM60" i="5"/>
  <c r="AN60" i="5"/>
  <c r="AO60" i="5"/>
  <c r="AP60" i="5"/>
  <c r="AQ60" i="5"/>
  <c r="AR60" i="5"/>
  <c r="AS60" i="5"/>
  <c r="AT60" i="5"/>
  <c r="AU60" i="5"/>
  <c r="AV60" i="5"/>
  <c r="AW60" i="5"/>
  <c r="AX60" i="5"/>
  <c r="AY60" i="5"/>
  <c r="AZ60" i="5"/>
  <c r="BA60" i="5"/>
  <c r="BB60" i="5"/>
  <c r="BC60" i="5"/>
  <c r="BD60" i="5"/>
  <c r="BE60" i="5"/>
  <c r="BF60" i="5"/>
  <c r="BG60" i="5"/>
  <c r="BH60" i="5"/>
  <c r="BI60" i="5"/>
  <c r="BJ60" i="5"/>
  <c r="BK60" i="5"/>
  <c r="BL60" i="5"/>
  <c r="BM60" i="5"/>
  <c r="BN60" i="5"/>
  <c r="BO60" i="5"/>
  <c r="BP60" i="5"/>
  <c r="BQ60" i="5"/>
  <c r="BR60" i="5"/>
  <c r="BS60" i="5"/>
  <c r="BT60" i="5"/>
  <c r="BU60" i="5"/>
  <c r="BV60" i="5"/>
  <c r="BW60" i="5"/>
  <c r="BX60" i="5"/>
  <c r="BY60" i="5"/>
  <c r="BZ60" i="5"/>
  <c r="CA60" i="5"/>
  <c r="CB60" i="5"/>
  <c r="CC60" i="5"/>
  <c r="CD60" i="5"/>
  <c r="CE60" i="5"/>
  <c r="CF60" i="5"/>
  <c r="CG60" i="5"/>
  <c r="CH60" i="5"/>
  <c r="CI60" i="5"/>
  <c r="CJ60" i="5"/>
  <c r="CK60" i="5"/>
  <c r="CL60" i="5"/>
  <c r="CM60" i="5"/>
  <c r="CN60" i="5"/>
  <c r="CO60" i="5"/>
  <c r="CP60" i="5"/>
  <c r="CQ60" i="5"/>
  <c r="CR60" i="5"/>
  <c r="CS60" i="5"/>
  <c r="CT60" i="5"/>
  <c r="CU60" i="5"/>
  <c r="CV60" i="5"/>
  <c r="CW60" i="5"/>
  <c r="CX60" i="5"/>
  <c r="D61" i="5"/>
  <c r="E61" i="5"/>
  <c r="F61" i="5"/>
  <c r="G61" i="5"/>
  <c r="H61" i="5"/>
  <c r="I61" i="5"/>
  <c r="J61" i="5"/>
  <c r="K61" i="5"/>
  <c r="L61" i="5"/>
  <c r="M61" i="5"/>
  <c r="N61" i="5"/>
  <c r="O61" i="5"/>
  <c r="P61" i="5"/>
  <c r="Q61" i="5"/>
  <c r="R61" i="5"/>
  <c r="S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AG61" i="5"/>
  <c r="AH61" i="5"/>
  <c r="AI61" i="5"/>
  <c r="AJ61" i="5"/>
  <c r="AK61" i="5"/>
  <c r="AL61" i="5"/>
  <c r="AM61" i="5"/>
  <c r="AN61" i="5"/>
  <c r="AO61" i="5"/>
  <c r="AP61" i="5"/>
  <c r="AQ61" i="5"/>
  <c r="AR61" i="5"/>
  <c r="AS61" i="5"/>
  <c r="AT61" i="5"/>
  <c r="AU61" i="5"/>
  <c r="AV61" i="5"/>
  <c r="AW61" i="5"/>
  <c r="AX61" i="5"/>
  <c r="AY61" i="5"/>
  <c r="AZ61" i="5"/>
  <c r="BA61" i="5"/>
  <c r="BB61" i="5"/>
  <c r="BC61" i="5"/>
  <c r="BD61" i="5"/>
  <c r="BE61" i="5"/>
  <c r="BF61" i="5"/>
  <c r="BG61" i="5"/>
  <c r="BH61" i="5"/>
  <c r="BI61" i="5"/>
  <c r="BJ61" i="5"/>
  <c r="BK61" i="5"/>
  <c r="BL61" i="5"/>
  <c r="BM61" i="5"/>
  <c r="BN61" i="5"/>
  <c r="BO61" i="5"/>
  <c r="BP61" i="5"/>
  <c r="BQ61" i="5"/>
  <c r="BR61" i="5"/>
  <c r="BS61" i="5"/>
  <c r="BT61" i="5"/>
  <c r="BU61" i="5"/>
  <c r="BV61" i="5"/>
  <c r="BW61" i="5"/>
  <c r="BX61" i="5"/>
  <c r="BY61" i="5"/>
  <c r="BZ61" i="5"/>
  <c r="CA61" i="5"/>
  <c r="CB61" i="5"/>
  <c r="CC61" i="5"/>
  <c r="CD61" i="5"/>
  <c r="CE61" i="5"/>
  <c r="CF61" i="5"/>
  <c r="CG61" i="5"/>
  <c r="CH61" i="5"/>
  <c r="CI61" i="5"/>
  <c r="CJ61" i="5"/>
  <c r="CK61" i="5"/>
  <c r="CL61" i="5"/>
  <c r="CM61" i="5"/>
  <c r="CN61" i="5"/>
  <c r="CO61" i="5"/>
  <c r="CP61" i="5"/>
  <c r="CQ61" i="5"/>
  <c r="CR61" i="5"/>
  <c r="CS61" i="5"/>
  <c r="CT61" i="5"/>
  <c r="CU61" i="5"/>
  <c r="CV61" i="5"/>
  <c r="CW61" i="5"/>
  <c r="CX61" i="5"/>
  <c r="D62" i="5"/>
  <c r="E62" i="5"/>
  <c r="F62" i="5"/>
  <c r="G62" i="5"/>
  <c r="H62" i="5"/>
  <c r="I62" i="5"/>
  <c r="J62" i="5"/>
  <c r="K62" i="5"/>
  <c r="L62" i="5"/>
  <c r="M62" i="5"/>
  <c r="N62" i="5"/>
  <c r="O62" i="5"/>
  <c r="P62" i="5"/>
  <c r="Q62" i="5"/>
  <c r="R62" i="5"/>
  <c r="S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AG62" i="5"/>
  <c r="AH62" i="5"/>
  <c r="AI62" i="5"/>
  <c r="AJ62" i="5"/>
  <c r="AK62" i="5"/>
  <c r="AL62" i="5"/>
  <c r="AM62" i="5"/>
  <c r="AN62" i="5"/>
  <c r="AO62" i="5"/>
  <c r="AP62" i="5"/>
  <c r="AQ62" i="5"/>
  <c r="AR62" i="5"/>
  <c r="AS62" i="5"/>
  <c r="AT62" i="5"/>
  <c r="AU62" i="5"/>
  <c r="AV62" i="5"/>
  <c r="AW62" i="5"/>
  <c r="AX62" i="5"/>
  <c r="AY62" i="5"/>
  <c r="AZ62" i="5"/>
  <c r="BA62" i="5"/>
  <c r="BB62" i="5"/>
  <c r="BC62" i="5"/>
  <c r="BD62" i="5"/>
  <c r="BE62" i="5"/>
  <c r="BF62" i="5"/>
  <c r="BG62" i="5"/>
  <c r="BH62" i="5"/>
  <c r="BI62" i="5"/>
  <c r="BJ62" i="5"/>
  <c r="BK62" i="5"/>
  <c r="BL62" i="5"/>
  <c r="BM62" i="5"/>
  <c r="BN62" i="5"/>
  <c r="BO62" i="5"/>
  <c r="BP62" i="5"/>
  <c r="BQ62" i="5"/>
  <c r="BR62" i="5"/>
  <c r="BS62" i="5"/>
  <c r="BT62" i="5"/>
  <c r="BU62" i="5"/>
  <c r="BV62" i="5"/>
  <c r="BW62" i="5"/>
  <c r="BX62" i="5"/>
  <c r="BY62" i="5"/>
  <c r="BZ62" i="5"/>
  <c r="CA62" i="5"/>
  <c r="CB62" i="5"/>
  <c r="CC62" i="5"/>
  <c r="CD62" i="5"/>
  <c r="CE62" i="5"/>
  <c r="CF62" i="5"/>
  <c r="CG62" i="5"/>
  <c r="CH62" i="5"/>
  <c r="CI62" i="5"/>
  <c r="CJ62" i="5"/>
  <c r="CK62" i="5"/>
  <c r="CL62" i="5"/>
  <c r="CM62" i="5"/>
  <c r="CN62" i="5"/>
  <c r="CO62" i="5"/>
  <c r="CP62" i="5"/>
  <c r="CQ62" i="5"/>
  <c r="CR62" i="5"/>
  <c r="CS62" i="5"/>
  <c r="CT62" i="5"/>
  <c r="CU62" i="5"/>
  <c r="CV62" i="5"/>
  <c r="CW62" i="5"/>
  <c r="CX62" i="5"/>
  <c r="D63" i="5"/>
  <c r="E63" i="5"/>
  <c r="F63" i="5"/>
  <c r="G63" i="5"/>
  <c r="H63" i="5"/>
  <c r="I63" i="5"/>
  <c r="J63" i="5"/>
  <c r="K63" i="5"/>
  <c r="L63" i="5"/>
  <c r="M63" i="5"/>
  <c r="N63" i="5"/>
  <c r="O63" i="5"/>
  <c r="P63" i="5"/>
  <c r="Q63" i="5"/>
  <c r="R63" i="5"/>
  <c r="S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AG63" i="5"/>
  <c r="AH63" i="5"/>
  <c r="AI63" i="5"/>
  <c r="AJ63" i="5"/>
  <c r="AK63" i="5"/>
  <c r="AL63" i="5"/>
  <c r="AM63" i="5"/>
  <c r="AN63" i="5"/>
  <c r="AO63" i="5"/>
  <c r="AP63" i="5"/>
  <c r="AQ63" i="5"/>
  <c r="AR63" i="5"/>
  <c r="AS63" i="5"/>
  <c r="AT63" i="5"/>
  <c r="AU63" i="5"/>
  <c r="AV63" i="5"/>
  <c r="AW63" i="5"/>
  <c r="AX63" i="5"/>
  <c r="AY63" i="5"/>
  <c r="AZ63" i="5"/>
  <c r="BA63" i="5"/>
  <c r="BB63" i="5"/>
  <c r="BC63" i="5"/>
  <c r="BD63" i="5"/>
  <c r="BE63" i="5"/>
  <c r="BF63" i="5"/>
  <c r="BG63" i="5"/>
  <c r="BH63" i="5"/>
  <c r="BI63" i="5"/>
  <c r="BJ63" i="5"/>
  <c r="BK63" i="5"/>
  <c r="BL63" i="5"/>
  <c r="BM63" i="5"/>
  <c r="BN63" i="5"/>
  <c r="BO63" i="5"/>
  <c r="BP63" i="5"/>
  <c r="BQ63" i="5"/>
  <c r="BR63" i="5"/>
  <c r="BS63" i="5"/>
  <c r="BT63" i="5"/>
  <c r="BU63" i="5"/>
  <c r="BV63" i="5"/>
  <c r="BW63" i="5"/>
  <c r="BX63" i="5"/>
  <c r="BY63" i="5"/>
  <c r="BZ63" i="5"/>
  <c r="CA63" i="5"/>
  <c r="CB63" i="5"/>
  <c r="CC63" i="5"/>
  <c r="CD63" i="5"/>
  <c r="CE63" i="5"/>
  <c r="CF63" i="5"/>
  <c r="CG63" i="5"/>
  <c r="CH63" i="5"/>
  <c r="CI63" i="5"/>
  <c r="CJ63" i="5"/>
  <c r="CK63" i="5"/>
  <c r="CL63" i="5"/>
  <c r="CM63" i="5"/>
  <c r="CN63" i="5"/>
  <c r="CO63" i="5"/>
  <c r="CP63" i="5"/>
  <c r="CQ63" i="5"/>
  <c r="CR63" i="5"/>
  <c r="CS63" i="5"/>
  <c r="CT63" i="5"/>
  <c r="CU63" i="5"/>
  <c r="CV63" i="5"/>
  <c r="CW63" i="5"/>
  <c r="CX63" i="5"/>
  <c r="D64" i="5"/>
  <c r="E64" i="5"/>
  <c r="F64" i="5"/>
  <c r="G64" i="5"/>
  <c r="H64" i="5"/>
  <c r="I64" i="5"/>
  <c r="J64" i="5"/>
  <c r="K64" i="5"/>
  <c r="L64" i="5"/>
  <c r="M64" i="5"/>
  <c r="N64" i="5"/>
  <c r="O64" i="5"/>
  <c r="P64" i="5"/>
  <c r="Q64" i="5"/>
  <c r="R64" i="5"/>
  <c r="S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AG64" i="5"/>
  <c r="AH64" i="5"/>
  <c r="AI64" i="5"/>
  <c r="AJ64" i="5"/>
  <c r="AK64" i="5"/>
  <c r="AL64" i="5"/>
  <c r="AM64" i="5"/>
  <c r="AN64" i="5"/>
  <c r="AO64" i="5"/>
  <c r="AP64" i="5"/>
  <c r="AQ64" i="5"/>
  <c r="AR64" i="5"/>
  <c r="AS64" i="5"/>
  <c r="AT64" i="5"/>
  <c r="AU64" i="5"/>
  <c r="AV64" i="5"/>
  <c r="AW64" i="5"/>
  <c r="AX64" i="5"/>
  <c r="AY64" i="5"/>
  <c r="AZ64" i="5"/>
  <c r="BA64" i="5"/>
  <c r="BB64" i="5"/>
  <c r="BC64" i="5"/>
  <c r="BD64" i="5"/>
  <c r="BE64" i="5"/>
  <c r="BF64" i="5"/>
  <c r="BG64" i="5"/>
  <c r="BH64" i="5"/>
  <c r="BI64" i="5"/>
  <c r="BJ64" i="5"/>
  <c r="BK64" i="5"/>
  <c r="BL64" i="5"/>
  <c r="BM64" i="5"/>
  <c r="BN64" i="5"/>
  <c r="BO64" i="5"/>
  <c r="BP64" i="5"/>
  <c r="BQ64" i="5"/>
  <c r="BR64" i="5"/>
  <c r="BS64" i="5"/>
  <c r="BT64" i="5"/>
  <c r="BU64" i="5"/>
  <c r="BV64" i="5"/>
  <c r="BW64" i="5"/>
  <c r="BX64" i="5"/>
  <c r="BY64" i="5"/>
  <c r="BZ64" i="5"/>
  <c r="CA64" i="5"/>
  <c r="CB64" i="5"/>
  <c r="CC64" i="5"/>
  <c r="CD64" i="5"/>
  <c r="CE64" i="5"/>
  <c r="CF64" i="5"/>
  <c r="CG64" i="5"/>
  <c r="CH64" i="5"/>
  <c r="CI64" i="5"/>
  <c r="CJ64" i="5"/>
  <c r="CK64" i="5"/>
  <c r="CL64" i="5"/>
  <c r="CM64" i="5"/>
  <c r="CN64" i="5"/>
  <c r="CO64" i="5"/>
  <c r="CP64" i="5"/>
  <c r="CQ64" i="5"/>
  <c r="CR64" i="5"/>
  <c r="CS64" i="5"/>
  <c r="CT64" i="5"/>
  <c r="CU64" i="5"/>
  <c r="CV64" i="5"/>
  <c r="CW64" i="5"/>
  <c r="CX64" i="5"/>
  <c r="D65" i="5"/>
  <c r="E65" i="5"/>
  <c r="F65" i="5"/>
  <c r="G65" i="5"/>
  <c r="H65" i="5"/>
  <c r="I65" i="5"/>
  <c r="J65" i="5"/>
  <c r="K65" i="5"/>
  <c r="L65" i="5"/>
  <c r="M65" i="5"/>
  <c r="N65" i="5"/>
  <c r="O65" i="5"/>
  <c r="P65" i="5"/>
  <c r="Q65" i="5"/>
  <c r="R65" i="5"/>
  <c r="S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AG65" i="5"/>
  <c r="AH65" i="5"/>
  <c r="AI65" i="5"/>
  <c r="AJ65" i="5"/>
  <c r="AK65" i="5"/>
  <c r="AL65" i="5"/>
  <c r="AM65" i="5"/>
  <c r="AN65" i="5"/>
  <c r="AO65" i="5"/>
  <c r="AP65" i="5"/>
  <c r="AQ65" i="5"/>
  <c r="AR65" i="5"/>
  <c r="AS65" i="5"/>
  <c r="AT65" i="5"/>
  <c r="AU65" i="5"/>
  <c r="AV65" i="5"/>
  <c r="AW65" i="5"/>
  <c r="AX65" i="5"/>
  <c r="AY65" i="5"/>
  <c r="AZ65" i="5"/>
  <c r="BA65" i="5"/>
  <c r="BB65" i="5"/>
  <c r="BC65" i="5"/>
  <c r="BD65" i="5"/>
  <c r="BE65" i="5"/>
  <c r="BF65" i="5"/>
  <c r="BG65" i="5"/>
  <c r="BH65" i="5"/>
  <c r="BI65" i="5"/>
  <c r="BJ65" i="5"/>
  <c r="BK65" i="5"/>
  <c r="BL65" i="5"/>
  <c r="BM65" i="5"/>
  <c r="BN65" i="5"/>
  <c r="BO65" i="5"/>
  <c r="BP65" i="5"/>
  <c r="BQ65" i="5"/>
  <c r="BR65" i="5"/>
  <c r="BS65" i="5"/>
  <c r="BT65" i="5"/>
  <c r="BU65" i="5"/>
  <c r="BV65" i="5"/>
  <c r="BW65" i="5"/>
  <c r="BX65" i="5"/>
  <c r="BY65" i="5"/>
  <c r="BZ65" i="5"/>
  <c r="CA65" i="5"/>
  <c r="CB65" i="5"/>
  <c r="CC65" i="5"/>
  <c r="CD65" i="5"/>
  <c r="CE65" i="5"/>
  <c r="CF65" i="5"/>
  <c r="CG65" i="5"/>
  <c r="CH65" i="5"/>
  <c r="CI65" i="5"/>
  <c r="CJ65" i="5"/>
  <c r="CK65" i="5"/>
  <c r="CL65" i="5"/>
  <c r="CM65" i="5"/>
  <c r="CN65" i="5"/>
  <c r="CO65" i="5"/>
  <c r="CP65" i="5"/>
  <c r="CQ65" i="5"/>
  <c r="CR65" i="5"/>
  <c r="CS65" i="5"/>
  <c r="CT65" i="5"/>
  <c r="CU65" i="5"/>
  <c r="CV65" i="5"/>
  <c r="CW65" i="5"/>
  <c r="CX65" i="5"/>
  <c r="D66" i="5"/>
  <c r="E66" i="5"/>
  <c r="F66" i="5"/>
  <c r="G66" i="5"/>
  <c r="H66" i="5"/>
  <c r="I66" i="5"/>
  <c r="J66" i="5"/>
  <c r="K66" i="5"/>
  <c r="L66" i="5"/>
  <c r="M66" i="5"/>
  <c r="N66" i="5"/>
  <c r="O66" i="5"/>
  <c r="P66" i="5"/>
  <c r="Q66" i="5"/>
  <c r="R66" i="5"/>
  <c r="S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AG66" i="5"/>
  <c r="AH66" i="5"/>
  <c r="AI66" i="5"/>
  <c r="AJ66" i="5"/>
  <c r="AK66" i="5"/>
  <c r="AL66" i="5"/>
  <c r="AM66" i="5"/>
  <c r="AN66" i="5"/>
  <c r="AO66" i="5"/>
  <c r="AP66" i="5"/>
  <c r="AQ66" i="5"/>
  <c r="AR66" i="5"/>
  <c r="AS66" i="5"/>
  <c r="AT66" i="5"/>
  <c r="AU66" i="5"/>
  <c r="AV66" i="5"/>
  <c r="AW66" i="5"/>
  <c r="AX66" i="5"/>
  <c r="AY66" i="5"/>
  <c r="AZ66" i="5"/>
  <c r="BA66" i="5"/>
  <c r="BB66" i="5"/>
  <c r="BC66" i="5"/>
  <c r="BD66" i="5"/>
  <c r="BE66" i="5"/>
  <c r="BF66" i="5"/>
  <c r="BG66" i="5"/>
  <c r="BH66" i="5"/>
  <c r="BI66" i="5"/>
  <c r="BJ66" i="5"/>
  <c r="BK66" i="5"/>
  <c r="BL66" i="5"/>
  <c r="BM66" i="5"/>
  <c r="BN66" i="5"/>
  <c r="BO66" i="5"/>
  <c r="BP66" i="5"/>
  <c r="BQ66" i="5"/>
  <c r="BR66" i="5"/>
  <c r="BS66" i="5"/>
  <c r="BT66" i="5"/>
  <c r="BU66" i="5"/>
  <c r="BV66" i="5"/>
  <c r="BW66" i="5"/>
  <c r="BX66" i="5"/>
  <c r="BY66" i="5"/>
  <c r="BZ66" i="5"/>
  <c r="CA66" i="5"/>
  <c r="CB66" i="5"/>
  <c r="CC66" i="5"/>
  <c r="CD66" i="5"/>
  <c r="CE66" i="5"/>
  <c r="CF66" i="5"/>
  <c r="CG66" i="5"/>
  <c r="CH66" i="5"/>
  <c r="CI66" i="5"/>
  <c r="CJ66" i="5"/>
  <c r="CK66" i="5"/>
  <c r="CL66" i="5"/>
  <c r="CM66" i="5"/>
  <c r="CN66" i="5"/>
  <c r="CO66" i="5"/>
  <c r="CP66" i="5"/>
  <c r="CQ66" i="5"/>
  <c r="CR66" i="5"/>
  <c r="CS66" i="5"/>
  <c r="CT66" i="5"/>
  <c r="CU66" i="5"/>
  <c r="CV66" i="5"/>
  <c r="CW66" i="5"/>
  <c r="CX66" i="5"/>
  <c r="D67" i="5"/>
  <c r="E67" i="5"/>
  <c r="F67" i="5"/>
  <c r="G67" i="5"/>
  <c r="H67" i="5"/>
  <c r="I67" i="5"/>
  <c r="J67" i="5"/>
  <c r="K67" i="5"/>
  <c r="L67" i="5"/>
  <c r="M67" i="5"/>
  <c r="N67" i="5"/>
  <c r="O67" i="5"/>
  <c r="P67" i="5"/>
  <c r="Q67" i="5"/>
  <c r="R67" i="5"/>
  <c r="S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AG67" i="5"/>
  <c r="AH67" i="5"/>
  <c r="AI67" i="5"/>
  <c r="AJ67" i="5"/>
  <c r="AK67" i="5"/>
  <c r="AL67" i="5"/>
  <c r="AM67" i="5"/>
  <c r="AN67" i="5"/>
  <c r="AO67" i="5"/>
  <c r="AP67" i="5"/>
  <c r="AQ67" i="5"/>
  <c r="AR67" i="5"/>
  <c r="AS67" i="5"/>
  <c r="AT67" i="5"/>
  <c r="AU67" i="5"/>
  <c r="AV67" i="5"/>
  <c r="AW67" i="5"/>
  <c r="AX67" i="5"/>
  <c r="AY67" i="5"/>
  <c r="AZ67" i="5"/>
  <c r="BA67" i="5"/>
  <c r="BB67" i="5"/>
  <c r="BC67" i="5"/>
  <c r="BD67" i="5"/>
  <c r="BE67" i="5"/>
  <c r="BF67" i="5"/>
  <c r="BG67" i="5"/>
  <c r="BH67" i="5"/>
  <c r="BI67" i="5"/>
  <c r="BJ67" i="5"/>
  <c r="BK67" i="5"/>
  <c r="BL67" i="5"/>
  <c r="BM67" i="5"/>
  <c r="BN67" i="5"/>
  <c r="BO67" i="5"/>
  <c r="BP67" i="5"/>
  <c r="BQ67" i="5"/>
  <c r="BR67" i="5"/>
  <c r="BS67" i="5"/>
  <c r="BT67" i="5"/>
  <c r="BU67" i="5"/>
  <c r="BV67" i="5"/>
  <c r="BW67" i="5"/>
  <c r="BX67" i="5"/>
  <c r="BY67" i="5"/>
  <c r="BZ67" i="5"/>
  <c r="CA67" i="5"/>
  <c r="CB67" i="5"/>
  <c r="CC67" i="5"/>
  <c r="CD67" i="5"/>
  <c r="CE67" i="5"/>
  <c r="CF67" i="5"/>
  <c r="CG67" i="5"/>
  <c r="CH67" i="5"/>
  <c r="CI67" i="5"/>
  <c r="CJ67" i="5"/>
  <c r="CK67" i="5"/>
  <c r="CL67" i="5"/>
  <c r="CM67" i="5"/>
  <c r="CN67" i="5"/>
  <c r="CO67" i="5"/>
  <c r="CP67" i="5"/>
  <c r="CQ67" i="5"/>
  <c r="CR67" i="5"/>
  <c r="CS67" i="5"/>
  <c r="CT67" i="5"/>
  <c r="CU67" i="5"/>
  <c r="CV67" i="5"/>
  <c r="CW67" i="5"/>
  <c r="CX67" i="5"/>
  <c r="D68" i="5"/>
  <c r="E68" i="5"/>
  <c r="F68" i="5"/>
  <c r="G68" i="5"/>
  <c r="H68" i="5"/>
  <c r="I68" i="5"/>
  <c r="J68" i="5"/>
  <c r="K68" i="5"/>
  <c r="L68" i="5"/>
  <c r="M68" i="5"/>
  <c r="N68" i="5"/>
  <c r="O68" i="5"/>
  <c r="P68" i="5"/>
  <c r="Q68" i="5"/>
  <c r="R68" i="5"/>
  <c r="S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AG68" i="5"/>
  <c r="AH68" i="5"/>
  <c r="AI68" i="5"/>
  <c r="AJ68" i="5"/>
  <c r="AK68" i="5"/>
  <c r="AL68" i="5"/>
  <c r="AM68" i="5"/>
  <c r="AN68" i="5"/>
  <c r="AO68" i="5"/>
  <c r="AP68" i="5"/>
  <c r="AQ68" i="5"/>
  <c r="AR68" i="5"/>
  <c r="AS68" i="5"/>
  <c r="AT68" i="5"/>
  <c r="AU68" i="5"/>
  <c r="AV68" i="5"/>
  <c r="AW68" i="5"/>
  <c r="AX68" i="5"/>
  <c r="AY68" i="5"/>
  <c r="AZ68" i="5"/>
  <c r="BA68" i="5"/>
  <c r="BB68" i="5"/>
  <c r="BC68" i="5"/>
  <c r="BD68" i="5"/>
  <c r="BE68" i="5"/>
  <c r="BF68" i="5"/>
  <c r="BG68" i="5"/>
  <c r="BH68" i="5"/>
  <c r="BI68" i="5"/>
  <c r="BJ68" i="5"/>
  <c r="BK68" i="5"/>
  <c r="BL68" i="5"/>
  <c r="BM68" i="5"/>
  <c r="BN68" i="5"/>
  <c r="BO68" i="5"/>
  <c r="BP68" i="5"/>
  <c r="BQ68" i="5"/>
  <c r="BR68" i="5"/>
  <c r="BS68" i="5"/>
  <c r="BT68" i="5"/>
  <c r="BU68" i="5"/>
  <c r="BV68" i="5"/>
  <c r="BW68" i="5"/>
  <c r="BX68" i="5"/>
  <c r="BY68" i="5"/>
  <c r="BZ68" i="5"/>
  <c r="CA68" i="5"/>
  <c r="CB68" i="5"/>
  <c r="CC68" i="5"/>
  <c r="CD68" i="5"/>
  <c r="CE68" i="5"/>
  <c r="CF68" i="5"/>
  <c r="CG68" i="5"/>
  <c r="CH68" i="5"/>
  <c r="CI68" i="5"/>
  <c r="CJ68" i="5"/>
  <c r="CK68" i="5"/>
  <c r="CL68" i="5"/>
  <c r="CM68" i="5"/>
  <c r="CN68" i="5"/>
  <c r="CO68" i="5"/>
  <c r="CP68" i="5"/>
  <c r="CQ68" i="5"/>
  <c r="CR68" i="5"/>
  <c r="CS68" i="5"/>
  <c r="CT68" i="5"/>
  <c r="CU68" i="5"/>
  <c r="CV68" i="5"/>
  <c r="CW68" i="5"/>
  <c r="CX68" i="5"/>
  <c r="D69" i="5"/>
  <c r="E69" i="5"/>
  <c r="F69" i="5"/>
  <c r="G69" i="5"/>
  <c r="H69" i="5"/>
  <c r="I69" i="5"/>
  <c r="J69" i="5"/>
  <c r="K69" i="5"/>
  <c r="L69" i="5"/>
  <c r="M69" i="5"/>
  <c r="N69" i="5"/>
  <c r="O69" i="5"/>
  <c r="P69" i="5"/>
  <c r="Q69" i="5"/>
  <c r="R69" i="5"/>
  <c r="S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AG69" i="5"/>
  <c r="AH69" i="5"/>
  <c r="AI69" i="5"/>
  <c r="AJ69" i="5"/>
  <c r="AK69" i="5"/>
  <c r="AL69" i="5"/>
  <c r="AM69" i="5"/>
  <c r="AN69" i="5"/>
  <c r="AO69" i="5"/>
  <c r="AP69" i="5"/>
  <c r="AQ69" i="5"/>
  <c r="AR69" i="5"/>
  <c r="AS69" i="5"/>
  <c r="AT69" i="5"/>
  <c r="AU69" i="5"/>
  <c r="AV69" i="5"/>
  <c r="AW69" i="5"/>
  <c r="AX69" i="5"/>
  <c r="AY69" i="5"/>
  <c r="AZ69" i="5"/>
  <c r="BA69" i="5"/>
  <c r="BB69" i="5"/>
  <c r="BC69" i="5"/>
  <c r="BD69" i="5"/>
  <c r="BE69" i="5"/>
  <c r="BF69" i="5"/>
  <c r="BG69" i="5"/>
  <c r="BH69" i="5"/>
  <c r="BI69" i="5"/>
  <c r="BJ69" i="5"/>
  <c r="BK69" i="5"/>
  <c r="BL69" i="5"/>
  <c r="BM69" i="5"/>
  <c r="BN69" i="5"/>
  <c r="BO69" i="5"/>
  <c r="BP69" i="5"/>
  <c r="BQ69" i="5"/>
  <c r="BR69" i="5"/>
  <c r="BS69" i="5"/>
  <c r="BT69" i="5"/>
  <c r="BU69" i="5"/>
  <c r="BV69" i="5"/>
  <c r="BW69" i="5"/>
  <c r="BX69" i="5"/>
  <c r="BY69" i="5"/>
  <c r="BZ69" i="5"/>
  <c r="CA69" i="5"/>
  <c r="CB69" i="5"/>
  <c r="CC69" i="5"/>
  <c r="CD69" i="5"/>
  <c r="CE69" i="5"/>
  <c r="CF69" i="5"/>
  <c r="CG69" i="5"/>
  <c r="CH69" i="5"/>
  <c r="CI69" i="5"/>
  <c r="CJ69" i="5"/>
  <c r="CK69" i="5"/>
  <c r="CL69" i="5"/>
  <c r="CM69" i="5"/>
  <c r="CN69" i="5"/>
  <c r="CO69" i="5"/>
  <c r="CP69" i="5"/>
  <c r="CQ69" i="5"/>
  <c r="CR69" i="5"/>
  <c r="CS69" i="5"/>
  <c r="CT69" i="5"/>
  <c r="CU69" i="5"/>
  <c r="CV69" i="5"/>
  <c r="CW69" i="5"/>
  <c r="CX69" i="5"/>
  <c r="D70" i="5"/>
  <c r="E70" i="5"/>
  <c r="F70" i="5"/>
  <c r="G70" i="5"/>
  <c r="H70" i="5"/>
  <c r="I70" i="5"/>
  <c r="J70" i="5"/>
  <c r="K70" i="5"/>
  <c r="L70" i="5"/>
  <c r="M70" i="5"/>
  <c r="N70" i="5"/>
  <c r="O70" i="5"/>
  <c r="P70" i="5"/>
  <c r="Q70" i="5"/>
  <c r="R70" i="5"/>
  <c r="S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AG70" i="5"/>
  <c r="AH70" i="5"/>
  <c r="AI70" i="5"/>
  <c r="AJ70" i="5"/>
  <c r="AK70" i="5"/>
  <c r="AL70" i="5"/>
  <c r="AM70" i="5"/>
  <c r="AN70" i="5"/>
  <c r="AO70" i="5"/>
  <c r="AP70" i="5"/>
  <c r="AQ70" i="5"/>
  <c r="AR70" i="5"/>
  <c r="AS70" i="5"/>
  <c r="AT70" i="5"/>
  <c r="AU70" i="5"/>
  <c r="AV70" i="5"/>
  <c r="AW70" i="5"/>
  <c r="AX70" i="5"/>
  <c r="AY70" i="5"/>
  <c r="AZ70" i="5"/>
  <c r="BA70" i="5"/>
  <c r="BB70" i="5"/>
  <c r="BC70" i="5"/>
  <c r="BD70" i="5"/>
  <c r="BE70" i="5"/>
  <c r="BF70" i="5"/>
  <c r="BG70" i="5"/>
  <c r="BH70" i="5"/>
  <c r="BI70" i="5"/>
  <c r="BJ70" i="5"/>
  <c r="BK70" i="5"/>
  <c r="BL70" i="5"/>
  <c r="BM70" i="5"/>
  <c r="BN70" i="5"/>
  <c r="BO70" i="5"/>
  <c r="BP70" i="5"/>
  <c r="BQ70" i="5"/>
  <c r="BR70" i="5"/>
  <c r="BS70" i="5"/>
  <c r="BT70" i="5"/>
  <c r="BU70" i="5"/>
  <c r="BV70" i="5"/>
  <c r="BW70" i="5"/>
  <c r="BX70" i="5"/>
  <c r="BY70" i="5"/>
  <c r="BZ70" i="5"/>
  <c r="CA70" i="5"/>
  <c r="CB70" i="5"/>
  <c r="CC70" i="5"/>
  <c r="CD70" i="5"/>
  <c r="CE70" i="5"/>
  <c r="CF70" i="5"/>
  <c r="CG70" i="5"/>
  <c r="CH70" i="5"/>
  <c r="CI70" i="5"/>
  <c r="CJ70" i="5"/>
  <c r="CK70" i="5"/>
  <c r="CL70" i="5"/>
  <c r="CM70" i="5"/>
  <c r="CN70" i="5"/>
  <c r="CO70" i="5"/>
  <c r="CP70" i="5"/>
  <c r="CQ70" i="5"/>
  <c r="CR70" i="5"/>
  <c r="CS70" i="5"/>
  <c r="CT70" i="5"/>
  <c r="CU70" i="5"/>
  <c r="CV70" i="5"/>
  <c r="CW70" i="5"/>
  <c r="CX70" i="5"/>
  <c r="D71" i="5"/>
  <c r="E71" i="5"/>
  <c r="F71" i="5"/>
  <c r="G71" i="5"/>
  <c r="H71" i="5"/>
  <c r="I71" i="5"/>
  <c r="J71" i="5"/>
  <c r="K71" i="5"/>
  <c r="L71" i="5"/>
  <c r="M71" i="5"/>
  <c r="N71" i="5"/>
  <c r="O71" i="5"/>
  <c r="P71" i="5"/>
  <c r="Q71" i="5"/>
  <c r="R71" i="5"/>
  <c r="S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AG71" i="5"/>
  <c r="AH71" i="5"/>
  <c r="AI71" i="5"/>
  <c r="AJ71" i="5"/>
  <c r="AK71" i="5"/>
  <c r="AL71" i="5"/>
  <c r="AM71" i="5"/>
  <c r="AN71" i="5"/>
  <c r="AO71" i="5"/>
  <c r="AP71" i="5"/>
  <c r="AQ71" i="5"/>
  <c r="AR71" i="5"/>
  <c r="AS71" i="5"/>
  <c r="AT71" i="5"/>
  <c r="AU71" i="5"/>
  <c r="AV71" i="5"/>
  <c r="AW71" i="5"/>
  <c r="AX71" i="5"/>
  <c r="AY71" i="5"/>
  <c r="AZ71" i="5"/>
  <c r="BA71" i="5"/>
  <c r="BB71" i="5"/>
  <c r="BC71" i="5"/>
  <c r="BD71" i="5"/>
  <c r="BE71" i="5"/>
  <c r="BF71" i="5"/>
  <c r="BG71" i="5"/>
  <c r="BH71" i="5"/>
  <c r="BI71" i="5"/>
  <c r="BJ71" i="5"/>
  <c r="BK71" i="5"/>
  <c r="BL71" i="5"/>
  <c r="BM71" i="5"/>
  <c r="BN71" i="5"/>
  <c r="BO71" i="5"/>
  <c r="BP71" i="5"/>
  <c r="BQ71" i="5"/>
  <c r="BR71" i="5"/>
  <c r="BS71" i="5"/>
  <c r="BT71" i="5"/>
  <c r="BU71" i="5"/>
  <c r="BV71" i="5"/>
  <c r="BW71" i="5"/>
  <c r="BX71" i="5"/>
  <c r="BY71" i="5"/>
  <c r="BZ71" i="5"/>
  <c r="CA71" i="5"/>
  <c r="CB71" i="5"/>
  <c r="CC71" i="5"/>
  <c r="CD71" i="5"/>
  <c r="CE71" i="5"/>
  <c r="CF71" i="5"/>
  <c r="CG71" i="5"/>
  <c r="CH71" i="5"/>
  <c r="CI71" i="5"/>
  <c r="CJ71" i="5"/>
  <c r="CK71" i="5"/>
  <c r="CL71" i="5"/>
  <c r="CM71" i="5"/>
  <c r="CN71" i="5"/>
  <c r="CO71" i="5"/>
  <c r="CP71" i="5"/>
  <c r="CQ71" i="5"/>
  <c r="CR71" i="5"/>
  <c r="CS71" i="5"/>
  <c r="CT71" i="5"/>
  <c r="CU71" i="5"/>
  <c r="CV71" i="5"/>
  <c r="CW71" i="5"/>
  <c r="CX71" i="5"/>
  <c r="D72" i="5"/>
  <c r="E72" i="5"/>
  <c r="F72" i="5"/>
  <c r="G72" i="5"/>
  <c r="H72" i="5"/>
  <c r="I72" i="5"/>
  <c r="J72" i="5"/>
  <c r="K72" i="5"/>
  <c r="L72" i="5"/>
  <c r="M72" i="5"/>
  <c r="N72" i="5"/>
  <c r="O72" i="5"/>
  <c r="P72" i="5"/>
  <c r="Q72" i="5"/>
  <c r="R72" i="5"/>
  <c r="S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AG72" i="5"/>
  <c r="AH72" i="5"/>
  <c r="AI72" i="5"/>
  <c r="AJ72" i="5"/>
  <c r="AK72" i="5"/>
  <c r="AL72" i="5"/>
  <c r="AM72" i="5"/>
  <c r="AN72" i="5"/>
  <c r="AO72" i="5"/>
  <c r="AP72" i="5"/>
  <c r="AQ72" i="5"/>
  <c r="AR72" i="5"/>
  <c r="AS72" i="5"/>
  <c r="AT72" i="5"/>
  <c r="AU72" i="5"/>
  <c r="AV72" i="5"/>
  <c r="AW72" i="5"/>
  <c r="AX72" i="5"/>
  <c r="AY72" i="5"/>
  <c r="AZ72" i="5"/>
  <c r="BA72" i="5"/>
  <c r="BB72" i="5"/>
  <c r="BC72" i="5"/>
  <c r="BD72" i="5"/>
  <c r="BE72" i="5"/>
  <c r="BF72" i="5"/>
  <c r="BG72" i="5"/>
  <c r="BH72" i="5"/>
  <c r="BI72" i="5"/>
  <c r="BJ72" i="5"/>
  <c r="BK72" i="5"/>
  <c r="BL72" i="5"/>
  <c r="BM72" i="5"/>
  <c r="BN72" i="5"/>
  <c r="BO72" i="5"/>
  <c r="BP72" i="5"/>
  <c r="BQ72" i="5"/>
  <c r="BR72" i="5"/>
  <c r="BS72" i="5"/>
  <c r="BT72" i="5"/>
  <c r="BU72" i="5"/>
  <c r="BV72" i="5"/>
  <c r="BW72" i="5"/>
  <c r="BX72" i="5"/>
  <c r="BY72" i="5"/>
  <c r="BZ72" i="5"/>
  <c r="CA72" i="5"/>
  <c r="CB72" i="5"/>
  <c r="CC72" i="5"/>
  <c r="CD72" i="5"/>
  <c r="CE72" i="5"/>
  <c r="CF72" i="5"/>
  <c r="CG72" i="5"/>
  <c r="CH72" i="5"/>
  <c r="CI72" i="5"/>
  <c r="CJ72" i="5"/>
  <c r="CK72" i="5"/>
  <c r="CL72" i="5"/>
  <c r="CM72" i="5"/>
  <c r="CN72" i="5"/>
  <c r="CO72" i="5"/>
  <c r="CP72" i="5"/>
  <c r="CQ72" i="5"/>
  <c r="CR72" i="5"/>
  <c r="CS72" i="5"/>
  <c r="CT72" i="5"/>
  <c r="CU72" i="5"/>
  <c r="CV72" i="5"/>
  <c r="CW72" i="5"/>
  <c r="CX72" i="5"/>
  <c r="D73" i="5"/>
  <c r="E73" i="5"/>
  <c r="F73" i="5"/>
  <c r="G73" i="5"/>
  <c r="H73" i="5"/>
  <c r="I73" i="5"/>
  <c r="J73" i="5"/>
  <c r="K73" i="5"/>
  <c r="L73" i="5"/>
  <c r="M73" i="5"/>
  <c r="N73" i="5"/>
  <c r="O73" i="5"/>
  <c r="P73" i="5"/>
  <c r="Q73" i="5"/>
  <c r="R73" i="5"/>
  <c r="S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AG73" i="5"/>
  <c r="AH73" i="5"/>
  <c r="AI73" i="5"/>
  <c r="AJ73" i="5"/>
  <c r="AK73" i="5"/>
  <c r="AL73" i="5"/>
  <c r="AM73" i="5"/>
  <c r="AN73" i="5"/>
  <c r="AO73" i="5"/>
  <c r="AP73" i="5"/>
  <c r="AQ73" i="5"/>
  <c r="AR73" i="5"/>
  <c r="AS73" i="5"/>
  <c r="AT73" i="5"/>
  <c r="AU73" i="5"/>
  <c r="AV73" i="5"/>
  <c r="AW73" i="5"/>
  <c r="AX73" i="5"/>
  <c r="AY73" i="5"/>
  <c r="AZ73" i="5"/>
  <c r="BA73" i="5"/>
  <c r="BB73" i="5"/>
  <c r="BC73" i="5"/>
  <c r="BD73" i="5"/>
  <c r="BE73" i="5"/>
  <c r="BF73" i="5"/>
  <c r="BG73" i="5"/>
  <c r="BH73" i="5"/>
  <c r="BI73" i="5"/>
  <c r="BJ73" i="5"/>
  <c r="BK73" i="5"/>
  <c r="BL73" i="5"/>
  <c r="BM73" i="5"/>
  <c r="BN73" i="5"/>
  <c r="BO73" i="5"/>
  <c r="BP73" i="5"/>
  <c r="BQ73" i="5"/>
  <c r="BR73" i="5"/>
  <c r="BS73" i="5"/>
  <c r="BT73" i="5"/>
  <c r="BU73" i="5"/>
  <c r="BV73" i="5"/>
  <c r="BW73" i="5"/>
  <c r="BX73" i="5"/>
  <c r="BY73" i="5"/>
  <c r="BZ73" i="5"/>
  <c r="CA73" i="5"/>
  <c r="CB73" i="5"/>
  <c r="CC73" i="5"/>
  <c r="CD73" i="5"/>
  <c r="CE73" i="5"/>
  <c r="CF73" i="5"/>
  <c r="CG73" i="5"/>
  <c r="CH73" i="5"/>
  <c r="CI73" i="5"/>
  <c r="CJ73" i="5"/>
  <c r="CK73" i="5"/>
  <c r="CL73" i="5"/>
  <c r="CM73" i="5"/>
  <c r="CN73" i="5"/>
  <c r="CO73" i="5"/>
  <c r="CP73" i="5"/>
  <c r="CQ73" i="5"/>
  <c r="CR73" i="5"/>
  <c r="CS73" i="5"/>
  <c r="CT73" i="5"/>
  <c r="CU73" i="5"/>
  <c r="CV73" i="5"/>
  <c r="CW73" i="5"/>
  <c r="CX73" i="5"/>
  <c r="D74" i="5"/>
  <c r="E74" i="5"/>
  <c r="F74" i="5"/>
  <c r="G74" i="5"/>
  <c r="H74" i="5"/>
  <c r="I74" i="5"/>
  <c r="J74" i="5"/>
  <c r="K74" i="5"/>
  <c r="L74" i="5"/>
  <c r="M74" i="5"/>
  <c r="N74" i="5"/>
  <c r="O74" i="5"/>
  <c r="P74" i="5"/>
  <c r="Q74" i="5"/>
  <c r="R74" i="5"/>
  <c r="S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AG74" i="5"/>
  <c r="AH74" i="5"/>
  <c r="AI74" i="5"/>
  <c r="AJ74" i="5"/>
  <c r="AK74" i="5"/>
  <c r="AL74" i="5"/>
  <c r="AM74" i="5"/>
  <c r="AN74" i="5"/>
  <c r="AO74" i="5"/>
  <c r="AP74" i="5"/>
  <c r="AQ74" i="5"/>
  <c r="AR74" i="5"/>
  <c r="AS74" i="5"/>
  <c r="AT74" i="5"/>
  <c r="AU74" i="5"/>
  <c r="AV74" i="5"/>
  <c r="AW74" i="5"/>
  <c r="AX74" i="5"/>
  <c r="AY74" i="5"/>
  <c r="AZ74" i="5"/>
  <c r="BA74" i="5"/>
  <c r="BB74" i="5"/>
  <c r="BC74" i="5"/>
  <c r="BD74" i="5"/>
  <c r="BE74" i="5"/>
  <c r="BF74" i="5"/>
  <c r="BG74" i="5"/>
  <c r="BH74" i="5"/>
  <c r="BI74" i="5"/>
  <c r="BJ74" i="5"/>
  <c r="BK74" i="5"/>
  <c r="BL74" i="5"/>
  <c r="BM74" i="5"/>
  <c r="BN74" i="5"/>
  <c r="BO74" i="5"/>
  <c r="BP74" i="5"/>
  <c r="BQ74" i="5"/>
  <c r="BR74" i="5"/>
  <c r="BS74" i="5"/>
  <c r="BT74" i="5"/>
  <c r="BU74" i="5"/>
  <c r="BV74" i="5"/>
  <c r="BW74" i="5"/>
  <c r="BX74" i="5"/>
  <c r="BY74" i="5"/>
  <c r="BZ74" i="5"/>
  <c r="CA74" i="5"/>
  <c r="CB74" i="5"/>
  <c r="CC74" i="5"/>
  <c r="CD74" i="5"/>
  <c r="CE74" i="5"/>
  <c r="CF74" i="5"/>
  <c r="CG74" i="5"/>
  <c r="CH74" i="5"/>
  <c r="CI74" i="5"/>
  <c r="CJ74" i="5"/>
  <c r="CK74" i="5"/>
  <c r="CL74" i="5"/>
  <c r="CM74" i="5"/>
  <c r="CN74" i="5"/>
  <c r="CO74" i="5"/>
  <c r="CP74" i="5"/>
  <c r="CQ74" i="5"/>
  <c r="CR74" i="5"/>
  <c r="CS74" i="5"/>
  <c r="CT74" i="5"/>
  <c r="CU74" i="5"/>
  <c r="CV74" i="5"/>
  <c r="CW74" i="5"/>
  <c r="CX74" i="5"/>
  <c r="D75" i="5"/>
  <c r="E75" i="5"/>
  <c r="F75" i="5"/>
  <c r="G75" i="5"/>
  <c r="H75" i="5"/>
  <c r="I75" i="5"/>
  <c r="J75" i="5"/>
  <c r="K75" i="5"/>
  <c r="L75" i="5"/>
  <c r="M75" i="5"/>
  <c r="N75" i="5"/>
  <c r="O75" i="5"/>
  <c r="P75" i="5"/>
  <c r="Q75" i="5"/>
  <c r="R75" i="5"/>
  <c r="S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AG75" i="5"/>
  <c r="AH75" i="5"/>
  <c r="AI75" i="5"/>
  <c r="AJ75" i="5"/>
  <c r="AK75" i="5"/>
  <c r="AL75" i="5"/>
  <c r="AM75" i="5"/>
  <c r="AN75" i="5"/>
  <c r="AO75" i="5"/>
  <c r="AP75" i="5"/>
  <c r="AQ75" i="5"/>
  <c r="AR75" i="5"/>
  <c r="AS75" i="5"/>
  <c r="AT75" i="5"/>
  <c r="AU75" i="5"/>
  <c r="AV75" i="5"/>
  <c r="AW75" i="5"/>
  <c r="AX75" i="5"/>
  <c r="AY75" i="5"/>
  <c r="AZ75" i="5"/>
  <c r="BA75" i="5"/>
  <c r="BB75" i="5"/>
  <c r="BC75" i="5"/>
  <c r="BD75" i="5"/>
  <c r="BE75" i="5"/>
  <c r="BF75" i="5"/>
  <c r="BG75" i="5"/>
  <c r="BH75" i="5"/>
  <c r="BI75" i="5"/>
  <c r="BJ75" i="5"/>
  <c r="BK75" i="5"/>
  <c r="BL75" i="5"/>
  <c r="BM75" i="5"/>
  <c r="BN75" i="5"/>
  <c r="BO75" i="5"/>
  <c r="BP75" i="5"/>
  <c r="BQ75" i="5"/>
  <c r="BR75" i="5"/>
  <c r="BS75" i="5"/>
  <c r="BT75" i="5"/>
  <c r="BU75" i="5"/>
  <c r="BV75" i="5"/>
  <c r="BW75" i="5"/>
  <c r="BX75" i="5"/>
  <c r="BY75" i="5"/>
  <c r="BZ75" i="5"/>
  <c r="CA75" i="5"/>
  <c r="CB75" i="5"/>
  <c r="CC75" i="5"/>
  <c r="CD75" i="5"/>
  <c r="CE75" i="5"/>
  <c r="CF75" i="5"/>
  <c r="CG75" i="5"/>
  <c r="CH75" i="5"/>
  <c r="CI75" i="5"/>
  <c r="CJ75" i="5"/>
  <c r="CK75" i="5"/>
  <c r="CL75" i="5"/>
  <c r="CM75" i="5"/>
  <c r="CN75" i="5"/>
  <c r="CO75" i="5"/>
  <c r="CP75" i="5"/>
  <c r="CQ75" i="5"/>
  <c r="CR75" i="5"/>
  <c r="CS75" i="5"/>
  <c r="CT75" i="5"/>
  <c r="CU75" i="5"/>
  <c r="CV75" i="5"/>
  <c r="CW75" i="5"/>
  <c r="CX75" i="5"/>
  <c r="D76" i="5"/>
  <c r="E76" i="5"/>
  <c r="F76" i="5"/>
  <c r="G76" i="5"/>
  <c r="H76" i="5"/>
  <c r="I76" i="5"/>
  <c r="J76" i="5"/>
  <c r="K76" i="5"/>
  <c r="L76" i="5"/>
  <c r="M76" i="5"/>
  <c r="N76" i="5"/>
  <c r="O76" i="5"/>
  <c r="P76" i="5"/>
  <c r="Q76" i="5"/>
  <c r="R76" i="5"/>
  <c r="S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AG76" i="5"/>
  <c r="AH76" i="5"/>
  <c r="AI76" i="5"/>
  <c r="AJ76" i="5"/>
  <c r="AK76" i="5"/>
  <c r="AL76" i="5"/>
  <c r="AM76" i="5"/>
  <c r="AN76" i="5"/>
  <c r="AO76" i="5"/>
  <c r="AP76" i="5"/>
  <c r="AQ76" i="5"/>
  <c r="AR76" i="5"/>
  <c r="AS76" i="5"/>
  <c r="AT76" i="5"/>
  <c r="AU76" i="5"/>
  <c r="AV76" i="5"/>
  <c r="AW76" i="5"/>
  <c r="AX76" i="5"/>
  <c r="AY76" i="5"/>
  <c r="AZ76" i="5"/>
  <c r="BA76" i="5"/>
  <c r="BB76" i="5"/>
  <c r="BC76" i="5"/>
  <c r="BD76" i="5"/>
  <c r="BE76" i="5"/>
  <c r="BF76" i="5"/>
  <c r="BG76" i="5"/>
  <c r="BH76" i="5"/>
  <c r="BI76" i="5"/>
  <c r="BJ76" i="5"/>
  <c r="BK76" i="5"/>
  <c r="BL76" i="5"/>
  <c r="BM76" i="5"/>
  <c r="BN76" i="5"/>
  <c r="BO76" i="5"/>
  <c r="BP76" i="5"/>
  <c r="BQ76" i="5"/>
  <c r="BR76" i="5"/>
  <c r="BS76" i="5"/>
  <c r="BT76" i="5"/>
  <c r="BU76" i="5"/>
  <c r="BV76" i="5"/>
  <c r="BW76" i="5"/>
  <c r="BX76" i="5"/>
  <c r="BY76" i="5"/>
  <c r="BZ76" i="5"/>
  <c r="CA76" i="5"/>
  <c r="CB76" i="5"/>
  <c r="CC76" i="5"/>
  <c r="CD76" i="5"/>
  <c r="CE76" i="5"/>
  <c r="CF76" i="5"/>
  <c r="CG76" i="5"/>
  <c r="CH76" i="5"/>
  <c r="CI76" i="5"/>
  <c r="CJ76" i="5"/>
  <c r="CK76" i="5"/>
  <c r="CL76" i="5"/>
  <c r="CM76" i="5"/>
  <c r="CN76" i="5"/>
  <c r="CO76" i="5"/>
  <c r="CP76" i="5"/>
  <c r="CQ76" i="5"/>
  <c r="CR76" i="5"/>
  <c r="CS76" i="5"/>
  <c r="CT76" i="5"/>
  <c r="CU76" i="5"/>
  <c r="CV76" i="5"/>
  <c r="CW76" i="5"/>
  <c r="CX76" i="5"/>
  <c r="D77" i="5"/>
  <c r="E77" i="5"/>
  <c r="F77" i="5"/>
  <c r="G77" i="5"/>
  <c r="H77" i="5"/>
  <c r="I77" i="5"/>
  <c r="J77" i="5"/>
  <c r="K77" i="5"/>
  <c r="L77" i="5"/>
  <c r="M77" i="5"/>
  <c r="N77" i="5"/>
  <c r="O77" i="5"/>
  <c r="P77" i="5"/>
  <c r="Q77" i="5"/>
  <c r="R77" i="5"/>
  <c r="S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AG77" i="5"/>
  <c r="AH77" i="5"/>
  <c r="AI77" i="5"/>
  <c r="AJ77" i="5"/>
  <c r="AK77" i="5"/>
  <c r="AL77" i="5"/>
  <c r="AM77" i="5"/>
  <c r="AN77" i="5"/>
  <c r="AO77" i="5"/>
  <c r="AP77" i="5"/>
  <c r="AQ77" i="5"/>
  <c r="AR77" i="5"/>
  <c r="AS77" i="5"/>
  <c r="AT77" i="5"/>
  <c r="AU77" i="5"/>
  <c r="AV77" i="5"/>
  <c r="AW77" i="5"/>
  <c r="AX77" i="5"/>
  <c r="AY77" i="5"/>
  <c r="AZ77" i="5"/>
  <c r="BA77" i="5"/>
  <c r="BB77" i="5"/>
  <c r="BC77" i="5"/>
  <c r="BD77" i="5"/>
  <c r="BE77" i="5"/>
  <c r="BF77" i="5"/>
  <c r="BG77" i="5"/>
  <c r="BH77" i="5"/>
  <c r="BI77" i="5"/>
  <c r="BJ77" i="5"/>
  <c r="BK77" i="5"/>
  <c r="BL77" i="5"/>
  <c r="BM77" i="5"/>
  <c r="BN77" i="5"/>
  <c r="BO77" i="5"/>
  <c r="BP77" i="5"/>
  <c r="BQ77" i="5"/>
  <c r="BR77" i="5"/>
  <c r="BS77" i="5"/>
  <c r="BT77" i="5"/>
  <c r="BU77" i="5"/>
  <c r="BV77" i="5"/>
  <c r="BW77" i="5"/>
  <c r="BX77" i="5"/>
  <c r="BY77" i="5"/>
  <c r="BZ77" i="5"/>
  <c r="CA77" i="5"/>
  <c r="CB77" i="5"/>
  <c r="CC77" i="5"/>
  <c r="CD77" i="5"/>
  <c r="CE77" i="5"/>
  <c r="CF77" i="5"/>
  <c r="CG77" i="5"/>
  <c r="CH77" i="5"/>
  <c r="CI77" i="5"/>
  <c r="CJ77" i="5"/>
  <c r="CK77" i="5"/>
  <c r="CL77" i="5"/>
  <c r="CM77" i="5"/>
  <c r="CN77" i="5"/>
  <c r="CO77" i="5"/>
  <c r="CP77" i="5"/>
  <c r="CQ77" i="5"/>
  <c r="CR77" i="5"/>
  <c r="CS77" i="5"/>
  <c r="CT77" i="5"/>
  <c r="CU77" i="5"/>
  <c r="CV77" i="5"/>
  <c r="CW77" i="5"/>
  <c r="CX77" i="5"/>
  <c r="D78" i="5"/>
  <c r="E78" i="5"/>
  <c r="F78" i="5"/>
  <c r="G78" i="5"/>
  <c r="H78" i="5"/>
  <c r="I78" i="5"/>
  <c r="J78" i="5"/>
  <c r="K78" i="5"/>
  <c r="L78" i="5"/>
  <c r="M78" i="5"/>
  <c r="N78" i="5"/>
  <c r="O78" i="5"/>
  <c r="P78" i="5"/>
  <c r="Q78" i="5"/>
  <c r="R78" i="5"/>
  <c r="S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AG78" i="5"/>
  <c r="AH78" i="5"/>
  <c r="AI78" i="5"/>
  <c r="AJ78" i="5"/>
  <c r="AK78" i="5"/>
  <c r="AL78" i="5"/>
  <c r="AM78" i="5"/>
  <c r="AN78" i="5"/>
  <c r="AO78" i="5"/>
  <c r="AP78" i="5"/>
  <c r="AQ78" i="5"/>
  <c r="AR78" i="5"/>
  <c r="AS78" i="5"/>
  <c r="AT78" i="5"/>
  <c r="AU78" i="5"/>
  <c r="AV78" i="5"/>
  <c r="AW78" i="5"/>
  <c r="AX78" i="5"/>
  <c r="AY78" i="5"/>
  <c r="AZ78" i="5"/>
  <c r="BA78" i="5"/>
  <c r="BB78" i="5"/>
  <c r="BC78" i="5"/>
  <c r="BD78" i="5"/>
  <c r="BE78" i="5"/>
  <c r="BF78" i="5"/>
  <c r="BG78" i="5"/>
  <c r="BH78" i="5"/>
  <c r="BI78" i="5"/>
  <c r="BJ78" i="5"/>
  <c r="BK78" i="5"/>
  <c r="BL78" i="5"/>
  <c r="BM78" i="5"/>
  <c r="BN78" i="5"/>
  <c r="BO78" i="5"/>
  <c r="BP78" i="5"/>
  <c r="BQ78" i="5"/>
  <c r="BR78" i="5"/>
  <c r="BS78" i="5"/>
  <c r="BT78" i="5"/>
  <c r="BU78" i="5"/>
  <c r="BV78" i="5"/>
  <c r="BW78" i="5"/>
  <c r="BX78" i="5"/>
  <c r="BY78" i="5"/>
  <c r="BZ78" i="5"/>
  <c r="CA78" i="5"/>
  <c r="CB78" i="5"/>
  <c r="CC78" i="5"/>
  <c r="CD78" i="5"/>
  <c r="CE78" i="5"/>
  <c r="CF78" i="5"/>
  <c r="CG78" i="5"/>
  <c r="CH78" i="5"/>
  <c r="CI78" i="5"/>
  <c r="CJ78" i="5"/>
  <c r="CK78" i="5"/>
  <c r="CL78" i="5"/>
  <c r="CM78" i="5"/>
  <c r="CN78" i="5"/>
  <c r="CO78" i="5"/>
  <c r="CP78" i="5"/>
  <c r="CQ78" i="5"/>
  <c r="CR78" i="5"/>
  <c r="CS78" i="5"/>
  <c r="CT78" i="5"/>
  <c r="CU78" i="5"/>
  <c r="CV78" i="5"/>
  <c r="CW78" i="5"/>
  <c r="CX78" i="5"/>
  <c r="D79" i="5"/>
  <c r="E79" i="5"/>
  <c r="F79" i="5"/>
  <c r="G79" i="5"/>
  <c r="H79" i="5"/>
  <c r="I79" i="5"/>
  <c r="J79" i="5"/>
  <c r="K79" i="5"/>
  <c r="L79" i="5"/>
  <c r="M79" i="5"/>
  <c r="N79" i="5"/>
  <c r="O79" i="5"/>
  <c r="P79" i="5"/>
  <c r="Q79" i="5"/>
  <c r="R79" i="5"/>
  <c r="S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AG79" i="5"/>
  <c r="AH79" i="5"/>
  <c r="AI79" i="5"/>
  <c r="AJ79" i="5"/>
  <c r="AK79" i="5"/>
  <c r="AL79" i="5"/>
  <c r="AM79" i="5"/>
  <c r="AN79" i="5"/>
  <c r="AO79" i="5"/>
  <c r="AP79" i="5"/>
  <c r="AQ79" i="5"/>
  <c r="AR79" i="5"/>
  <c r="AS79" i="5"/>
  <c r="AT79" i="5"/>
  <c r="AU79" i="5"/>
  <c r="AV79" i="5"/>
  <c r="AW79" i="5"/>
  <c r="AX79" i="5"/>
  <c r="AY79" i="5"/>
  <c r="AZ79" i="5"/>
  <c r="BA79" i="5"/>
  <c r="BB79" i="5"/>
  <c r="BC79" i="5"/>
  <c r="BD79" i="5"/>
  <c r="BE79" i="5"/>
  <c r="BF79" i="5"/>
  <c r="BG79" i="5"/>
  <c r="BH79" i="5"/>
  <c r="BI79" i="5"/>
  <c r="BJ79" i="5"/>
  <c r="BK79" i="5"/>
  <c r="BL79" i="5"/>
  <c r="BM79" i="5"/>
  <c r="BN79" i="5"/>
  <c r="BO79" i="5"/>
  <c r="BP79" i="5"/>
  <c r="BQ79" i="5"/>
  <c r="BR79" i="5"/>
  <c r="BS79" i="5"/>
  <c r="BT79" i="5"/>
  <c r="BU79" i="5"/>
  <c r="BV79" i="5"/>
  <c r="BW79" i="5"/>
  <c r="BX79" i="5"/>
  <c r="BY79" i="5"/>
  <c r="BZ79" i="5"/>
  <c r="CA79" i="5"/>
  <c r="CB79" i="5"/>
  <c r="CC79" i="5"/>
  <c r="CD79" i="5"/>
  <c r="CE79" i="5"/>
  <c r="CF79" i="5"/>
  <c r="CG79" i="5"/>
  <c r="CH79" i="5"/>
  <c r="CI79" i="5"/>
  <c r="CJ79" i="5"/>
  <c r="CK79" i="5"/>
  <c r="CL79" i="5"/>
  <c r="CM79" i="5"/>
  <c r="CN79" i="5"/>
  <c r="CO79" i="5"/>
  <c r="CP79" i="5"/>
  <c r="CQ79" i="5"/>
  <c r="CR79" i="5"/>
  <c r="CS79" i="5"/>
  <c r="CT79" i="5"/>
  <c r="CU79" i="5"/>
  <c r="CV79" i="5"/>
  <c r="CW79" i="5"/>
  <c r="CX79" i="5"/>
  <c r="D80" i="5"/>
  <c r="E80" i="5"/>
  <c r="F80" i="5"/>
  <c r="G80" i="5"/>
  <c r="H80" i="5"/>
  <c r="I80" i="5"/>
  <c r="J80" i="5"/>
  <c r="K80" i="5"/>
  <c r="L80" i="5"/>
  <c r="M80" i="5"/>
  <c r="N80" i="5"/>
  <c r="O80" i="5"/>
  <c r="P80" i="5"/>
  <c r="Q80" i="5"/>
  <c r="R80" i="5"/>
  <c r="S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AG80" i="5"/>
  <c r="AH80" i="5"/>
  <c r="AI80" i="5"/>
  <c r="AJ80" i="5"/>
  <c r="AK80" i="5"/>
  <c r="AL80" i="5"/>
  <c r="AM80" i="5"/>
  <c r="AN80" i="5"/>
  <c r="AO80" i="5"/>
  <c r="AP80" i="5"/>
  <c r="AQ80" i="5"/>
  <c r="AR80" i="5"/>
  <c r="AS80" i="5"/>
  <c r="AT80" i="5"/>
  <c r="AU80" i="5"/>
  <c r="AV80" i="5"/>
  <c r="AW80" i="5"/>
  <c r="AX80" i="5"/>
  <c r="AY80" i="5"/>
  <c r="AZ80" i="5"/>
  <c r="BA80" i="5"/>
  <c r="BB80" i="5"/>
  <c r="BC80" i="5"/>
  <c r="BD80" i="5"/>
  <c r="BE80" i="5"/>
  <c r="BF80" i="5"/>
  <c r="BG80" i="5"/>
  <c r="BH80" i="5"/>
  <c r="BI80" i="5"/>
  <c r="BJ80" i="5"/>
  <c r="BK80" i="5"/>
  <c r="BL80" i="5"/>
  <c r="BM80" i="5"/>
  <c r="BN80" i="5"/>
  <c r="BO80" i="5"/>
  <c r="BP80" i="5"/>
  <c r="BQ80" i="5"/>
  <c r="BR80" i="5"/>
  <c r="BS80" i="5"/>
  <c r="BT80" i="5"/>
  <c r="BU80" i="5"/>
  <c r="BV80" i="5"/>
  <c r="BW80" i="5"/>
  <c r="BX80" i="5"/>
  <c r="BY80" i="5"/>
  <c r="BZ80" i="5"/>
  <c r="CA80" i="5"/>
  <c r="CB80" i="5"/>
  <c r="CC80" i="5"/>
  <c r="CD80" i="5"/>
  <c r="CE80" i="5"/>
  <c r="CF80" i="5"/>
  <c r="CG80" i="5"/>
  <c r="CH80" i="5"/>
  <c r="CI80" i="5"/>
  <c r="CJ80" i="5"/>
  <c r="CK80" i="5"/>
  <c r="CL80" i="5"/>
  <c r="CM80" i="5"/>
  <c r="CN80" i="5"/>
  <c r="CO80" i="5"/>
  <c r="CP80" i="5"/>
  <c r="CQ80" i="5"/>
  <c r="CR80" i="5"/>
  <c r="CS80" i="5"/>
  <c r="CT80" i="5"/>
  <c r="CU80" i="5"/>
  <c r="CV80" i="5"/>
  <c r="CW80" i="5"/>
  <c r="CX80" i="5"/>
  <c r="D81" i="5"/>
  <c r="E81" i="5"/>
  <c r="F81" i="5"/>
  <c r="G81" i="5"/>
  <c r="H81" i="5"/>
  <c r="I81" i="5"/>
  <c r="J81" i="5"/>
  <c r="K81" i="5"/>
  <c r="L81" i="5"/>
  <c r="M81" i="5"/>
  <c r="N81" i="5"/>
  <c r="O81" i="5"/>
  <c r="P81" i="5"/>
  <c r="Q81" i="5"/>
  <c r="R81" i="5"/>
  <c r="S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AG81" i="5"/>
  <c r="AH81" i="5"/>
  <c r="AI81" i="5"/>
  <c r="AJ81" i="5"/>
  <c r="AK81" i="5"/>
  <c r="AL81" i="5"/>
  <c r="AM81" i="5"/>
  <c r="AN81" i="5"/>
  <c r="AO81" i="5"/>
  <c r="AP81" i="5"/>
  <c r="AQ81" i="5"/>
  <c r="AR81" i="5"/>
  <c r="AS81" i="5"/>
  <c r="AT81" i="5"/>
  <c r="AU81" i="5"/>
  <c r="AV81" i="5"/>
  <c r="AW81" i="5"/>
  <c r="AX81" i="5"/>
  <c r="AY81" i="5"/>
  <c r="AZ81" i="5"/>
  <c r="BA81" i="5"/>
  <c r="BB81" i="5"/>
  <c r="BC81" i="5"/>
  <c r="BD81" i="5"/>
  <c r="BE81" i="5"/>
  <c r="BF81" i="5"/>
  <c r="BG81" i="5"/>
  <c r="BH81" i="5"/>
  <c r="BI81" i="5"/>
  <c r="BJ81" i="5"/>
  <c r="BK81" i="5"/>
  <c r="BL81" i="5"/>
  <c r="BM81" i="5"/>
  <c r="BN81" i="5"/>
  <c r="BO81" i="5"/>
  <c r="BP81" i="5"/>
  <c r="BQ81" i="5"/>
  <c r="BR81" i="5"/>
  <c r="BS81" i="5"/>
  <c r="BT81" i="5"/>
  <c r="BU81" i="5"/>
  <c r="BV81" i="5"/>
  <c r="BW81" i="5"/>
  <c r="BX81" i="5"/>
  <c r="BY81" i="5"/>
  <c r="BZ81" i="5"/>
  <c r="CA81" i="5"/>
  <c r="CB81" i="5"/>
  <c r="CC81" i="5"/>
  <c r="CD81" i="5"/>
  <c r="CE81" i="5"/>
  <c r="CF81" i="5"/>
  <c r="CG81" i="5"/>
  <c r="CH81" i="5"/>
  <c r="CI81" i="5"/>
  <c r="CJ81" i="5"/>
  <c r="CK81" i="5"/>
  <c r="CL81" i="5"/>
  <c r="CM81" i="5"/>
  <c r="CN81" i="5"/>
  <c r="CO81" i="5"/>
  <c r="CP81" i="5"/>
  <c r="CQ81" i="5"/>
  <c r="CR81" i="5"/>
  <c r="CS81" i="5"/>
  <c r="CT81" i="5"/>
  <c r="CU81" i="5"/>
  <c r="CV81" i="5"/>
  <c r="CW81" i="5"/>
  <c r="CX81" i="5"/>
  <c r="D82" i="5"/>
  <c r="E82" i="5"/>
  <c r="F82" i="5"/>
  <c r="G82" i="5"/>
  <c r="H82" i="5"/>
  <c r="I82" i="5"/>
  <c r="J82" i="5"/>
  <c r="K82" i="5"/>
  <c r="L82" i="5"/>
  <c r="M82" i="5"/>
  <c r="N82" i="5"/>
  <c r="O82" i="5"/>
  <c r="P82" i="5"/>
  <c r="Q82" i="5"/>
  <c r="R82" i="5"/>
  <c r="S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AG82" i="5"/>
  <c r="AH82" i="5"/>
  <c r="AI82" i="5"/>
  <c r="AJ82" i="5"/>
  <c r="AK82" i="5"/>
  <c r="AL82" i="5"/>
  <c r="AM82" i="5"/>
  <c r="AN82" i="5"/>
  <c r="AO82" i="5"/>
  <c r="AP82" i="5"/>
  <c r="AQ82" i="5"/>
  <c r="AR82" i="5"/>
  <c r="AS82" i="5"/>
  <c r="AT82" i="5"/>
  <c r="AU82" i="5"/>
  <c r="AV82" i="5"/>
  <c r="AW82" i="5"/>
  <c r="AX82" i="5"/>
  <c r="AY82" i="5"/>
  <c r="AZ82" i="5"/>
  <c r="BA82" i="5"/>
  <c r="BB82" i="5"/>
  <c r="BC82" i="5"/>
  <c r="BD82" i="5"/>
  <c r="BE82" i="5"/>
  <c r="BF82" i="5"/>
  <c r="BG82" i="5"/>
  <c r="BH82" i="5"/>
  <c r="BI82" i="5"/>
  <c r="BJ82" i="5"/>
  <c r="BK82" i="5"/>
  <c r="BL82" i="5"/>
  <c r="BM82" i="5"/>
  <c r="BN82" i="5"/>
  <c r="BO82" i="5"/>
  <c r="BP82" i="5"/>
  <c r="BQ82" i="5"/>
  <c r="BR82" i="5"/>
  <c r="BS82" i="5"/>
  <c r="BT82" i="5"/>
  <c r="BU82" i="5"/>
  <c r="BV82" i="5"/>
  <c r="BW82" i="5"/>
  <c r="BX82" i="5"/>
  <c r="BY82" i="5"/>
  <c r="BZ82" i="5"/>
  <c r="CA82" i="5"/>
  <c r="CB82" i="5"/>
  <c r="CC82" i="5"/>
  <c r="CD82" i="5"/>
  <c r="CE82" i="5"/>
  <c r="CF82" i="5"/>
  <c r="CG82" i="5"/>
  <c r="CH82" i="5"/>
  <c r="CI82" i="5"/>
  <c r="CJ82" i="5"/>
  <c r="CK82" i="5"/>
  <c r="CL82" i="5"/>
  <c r="CM82" i="5"/>
  <c r="CN82" i="5"/>
  <c r="CO82" i="5"/>
  <c r="CP82" i="5"/>
  <c r="CQ82" i="5"/>
  <c r="CR82" i="5"/>
  <c r="CS82" i="5"/>
  <c r="CT82" i="5"/>
  <c r="CU82" i="5"/>
  <c r="CV82" i="5"/>
  <c r="CW82" i="5"/>
  <c r="CX82" i="5"/>
  <c r="D83" i="5"/>
  <c r="E83" i="5"/>
  <c r="F83" i="5"/>
  <c r="G83" i="5"/>
  <c r="H83" i="5"/>
  <c r="I83" i="5"/>
  <c r="J83" i="5"/>
  <c r="K83" i="5"/>
  <c r="L83" i="5"/>
  <c r="M83" i="5"/>
  <c r="N83" i="5"/>
  <c r="O83" i="5"/>
  <c r="P83" i="5"/>
  <c r="Q83" i="5"/>
  <c r="R83" i="5"/>
  <c r="S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AG83" i="5"/>
  <c r="AH83" i="5"/>
  <c r="AI83" i="5"/>
  <c r="AJ83" i="5"/>
  <c r="AK83" i="5"/>
  <c r="AL83" i="5"/>
  <c r="AM83" i="5"/>
  <c r="AN83" i="5"/>
  <c r="AO83" i="5"/>
  <c r="AP83" i="5"/>
  <c r="AQ83" i="5"/>
  <c r="AR83" i="5"/>
  <c r="AS83" i="5"/>
  <c r="AT83" i="5"/>
  <c r="AU83" i="5"/>
  <c r="AV83" i="5"/>
  <c r="AW83" i="5"/>
  <c r="AX83" i="5"/>
  <c r="AY83" i="5"/>
  <c r="AZ83" i="5"/>
  <c r="BA83" i="5"/>
  <c r="BB83" i="5"/>
  <c r="BC83" i="5"/>
  <c r="BD83" i="5"/>
  <c r="BE83" i="5"/>
  <c r="BF83" i="5"/>
  <c r="BG83" i="5"/>
  <c r="BH83" i="5"/>
  <c r="BI83" i="5"/>
  <c r="BJ83" i="5"/>
  <c r="BK83" i="5"/>
  <c r="BL83" i="5"/>
  <c r="BM83" i="5"/>
  <c r="BN83" i="5"/>
  <c r="BO83" i="5"/>
  <c r="BP83" i="5"/>
  <c r="BQ83" i="5"/>
  <c r="BR83" i="5"/>
  <c r="BS83" i="5"/>
  <c r="BT83" i="5"/>
  <c r="BU83" i="5"/>
  <c r="BV83" i="5"/>
  <c r="BW83" i="5"/>
  <c r="BX83" i="5"/>
  <c r="BY83" i="5"/>
  <c r="BZ83" i="5"/>
  <c r="CA83" i="5"/>
  <c r="CB83" i="5"/>
  <c r="CC83" i="5"/>
  <c r="CD83" i="5"/>
  <c r="CE83" i="5"/>
  <c r="CF83" i="5"/>
  <c r="CG83" i="5"/>
  <c r="CH83" i="5"/>
  <c r="CI83" i="5"/>
  <c r="CJ83" i="5"/>
  <c r="CK83" i="5"/>
  <c r="CL83" i="5"/>
  <c r="CM83" i="5"/>
  <c r="CN83" i="5"/>
  <c r="CO83" i="5"/>
  <c r="CP83" i="5"/>
  <c r="CQ83" i="5"/>
  <c r="CR83" i="5"/>
  <c r="CS83" i="5"/>
  <c r="CT83" i="5"/>
  <c r="CU83" i="5"/>
  <c r="CV83" i="5"/>
  <c r="CW83" i="5"/>
  <c r="CX83" i="5"/>
  <c r="D84" i="5"/>
  <c r="E84" i="5"/>
  <c r="F84" i="5"/>
  <c r="G84" i="5"/>
  <c r="H84" i="5"/>
  <c r="I84" i="5"/>
  <c r="J84" i="5"/>
  <c r="K84" i="5"/>
  <c r="L84" i="5"/>
  <c r="M84" i="5"/>
  <c r="N84" i="5"/>
  <c r="O84" i="5"/>
  <c r="P84" i="5"/>
  <c r="Q84" i="5"/>
  <c r="R84" i="5"/>
  <c r="S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AG84" i="5"/>
  <c r="AH84" i="5"/>
  <c r="AI84" i="5"/>
  <c r="AJ84" i="5"/>
  <c r="AK84" i="5"/>
  <c r="AL84" i="5"/>
  <c r="AM84" i="5"/>
  <c r="AN84" i="5"/>
  <c r="AO84" i="5"/>
  <c r="AP84" i="5"/>
  <c r="AQ84" i="5"/>
  <c r="AR84" i="5"/>
  <c r="AS84" i="5"/>
  <c r="AT84" i="5"/>
  <c r="AU84" i="5"/>
  <c r="AV84" i="5"/>
  <c r="AW84" i="5"/>
  <c r="AX84" i="5"/>
  <c r="AY84" i="5"/>
  <c r="AZ84" i="5"/>
  <c r="BA84" i="5"/>
  <c r="BB84" i="5"/>
  <c r="BC84" i="5"/>
  <c r="BD84" i="5"/>
  <c r="BE84" i="5"/>
  <c r="BF84" i="5"/>
  <c r="BG84" i="5"/>
  <c r="BH84" i="5"/>
  <c r="BI84" i="5"/>
  <c r="BJ84" i="5"/>
  <c r="BK84" i="5"/>
  <c r="BL84" i="5"/>
  <c r="BM84" i="5"/>
  <c r="BN84" i="5"/>
  <c r="BO84" i="5"/>
  <c r="BP84" i="5"/>
  <c r="BQ84" i="5"/>
  <c r="BR84" i="5"/>
  <c r="BS84" i="5"/>
  <c r="BT84" i="5"/>
  <c r="BU84" i="5"/>
  <c r="BV84" i="5"/>
  <c r="BW84" i="5"/>
  <c r="BX84" i="5"/>
  <c r="BY84" i="5"/>
  <c r="BZ84" i="5"/>
  <c r="CA84" i="5"/>
  <c r="CB84" i="5"/>
  <c r="CC84" i="5"/>
  <c r="CD84" i="5"/>
  <c r="CE84" i="5"/>
  <c r="CF84" i="5"/>
  <c r="CG84" i="5"/>
  <c r="CH84" i="5"/>
  <c r="CI84" i="5"/>
  <c r="CJ84" i="5"/>
  <c r="CK84" i="5"/>
  <c r="CL84" i="5"/>
  <c r="CM84" i="5"/>
  <c r="CN84" i="5"/>
  <c r="CO84" i="5"/>
  <c r="CP84" i="5"/>
  <c r="CQ84" i="5"/>
  <c r="CR84" i="5"/>
  <c r="CS84" i="5"/>
  <c r="CT84" i="5"/>
  <c r="CU84" i="5"/>
  <c r="CV84" i="5"/>
  <c r="CW84" i="5"/>
  <c r="CX84" i="5"/>
  <c r="D85" i="5"/>
  <c r="E85" i="5"/>
  <c r="F85" i="5"/>
  <c r="G85" i="5"/>
  <c r="H85" i="5"/>
  <c r="I85" i="5"/>
  <c r="J85" i="5"/>
  <c r="K85" i="5"/>
  <c r="L85" i="5"/>
  <c r="M85" i="5"/>
  <c r="N85" i="5"/>
  <c r="O85" i="5"/>
  <c r="P85" i="5"/>
  <c r="Q85" i="5"/>
  <c r="R85" i="5"/>
  <c r="S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AG85" i="5"/>
  <c r="AH85" i="5"/>
  <c r="AI85" i="5"/>
  <c r="AJ85" i="5"/>
  <c r="AK85" i="5"/>
  <c r="AL85" i="5"/>
  <c r="AM85" i="5"/>
  <c r="AN85" i="5"/>
  <c r="AO85" i="5"/>
  <c r="AP85" i="5"/>
  <c r="AQ85" i="5"/>
  <c r="AR85" i="5"/>
  <c r="AS85" i="5"/>
  <c r="AT85" i="5"/>
  <c r="AU85" i="5"/>
  <c r="AV85" i="5"/>
  <c r="AW85" i="5"/>
  <c r="AX85" i="5"/>
  <c r="AY85" i="5"/>
  <c r="AZ85" i="5"/>
  <c r="BA85" i="5"/>
  <c r="BB85" i="5"/>
  <c r="BC85" i="5"/>
  <c r="BD85" i="5"/>
  <c r="BE85" i="5"/>
  <c r="BF85" i="5"/>
  <c r="BG85" i="5"/>
  <c r="BH85" i="5"/>
  <c r="BI85" i="5"/>
  <c r="BJ85" i="5"/>
  <c r="BK85" i="5"/>
  <c r="BL85" i="5"/>
  <c r="BM85" i="5"/>
  <c r="BN85" i="5"/>
  <c r="BO85" i="5"/>
  <c r="BP85" i="5"/>
  <c r="BQ85" i="5"/>
  <c r="BR85" i="5"/>
  <c r="BS85" i="5"/>
  <c r="BT85" i="5"/>
  <c r="BU85" i="5"/>
  <c r="BV85" i="5"/>
  <c r="BW85" i="5"/>
  <c r="BX85" i="5"/>
  <c r="BY85" i="5"/>
  <c r="BZ85" i="5"/>
  <c r="CA85" i="5"/>
  <c r="CB85" i="5"/>
  <c r="CC85" i="5"/>
  <c r="CD85" i="5"/>
  <c r="CE85" i="5"/>
  <c r="CF85" i="5"/>
  <c r="CG85" i="5"/>
  <c r="CH85" i="5"/>
  <c r="CI85" i="5"/>
  <c r="CJ85" i="5"/>
  <c r="CK85" i="5"/>
  <c r="CL85" i="5"/>
  <c r="CM85" i="5"/>
  <c r="CN85" i="5"/>
  <c r="CO85" i="5"/>
  <c r="CP85" i="5"/>
  <c r="CQ85" i="5"/>
  <c r="CR85" i="5"/>
  <c r="CS85" i="5"/>
  <c r="CT85" i="5"/>
  <c r="CU85" i="5"/>
  <c r="CV85" i="5"/>
  <c r="CW85" i="5"/>
  <c r="CX85" i="5"/>
  <c r="D86" i="5"/>
  <c r="E86" i="5"/>
  <c r="F86" i="5"/>
  <c r="G86" i="5"/>
  <c r="H86" i="5"/>
  <c r="I86" i="5"/>
  <c r="J86" i="5"/>
  <c r="K86" i="5"/>
  <c r="L86" i="5"/>
  <c r="M86" i="5"/>
  <c r="N86" i="5"/>
  <c r="O86" i="5"/>
  <c r="P86" i="5"/>
  <c r="Q86" i="5"/>
  <c r="R86" i="5"/>
  <c r="S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AG86" i="5"/>
  <c r="AH86" i="5"/>
  <c r="AI86" i="5"/>
  <c r="AJ86" i="5"/>
  <c r="AK86" i="5"/>
  <c r="AL86" i="5"/>
  <c r="AM86" i="5"/>
  <c r="AN86" i="5"/>
  <c r="AO86" i="5"/>
  <c r="AP86" i="5"/>
  <c r="AQ86" i="5"/>
  <c r="AR86" i="5"/>
  <c r="AS86" i="5"/>
  <c r="AT86" i="5"/>
  <c r="AU86" i="5"/>
  <c r="AV86" i="5"/>
  <c r="AW86" i="5"/>
  <c r="AX86" i="5"/>
  <c r="AY86" i="5"/>
  <c r="AZ86" i="5"/>
  <c r="BA86" i="5"/>
  <c r="BB86" i="5"/>
  <c r="BC86" i="5"/>
  <c r="BD86" i="5"/>
  <c r="BE86" i="5"/>
  <c r="BF86" i="5"/>
  <c r="BG86" i="5"/>
  <c r="BH86" i="5"/>
  <c r="BI86" i="5"/>
  <c r="BJ86" i="5"/>
  <c r="BK86" i="5"/>
  <c r="BL86" i="5"/>
  <c r="BM86" i="5"/>
  <c r="BN86" i="5"/>
  <c r="BO86" i="5"/>
  <c r="BP86" i="5"/>
  <c r="BQ86" i="5"/>
  <c r="BR86" i="5"/>
  <c r="BS86" i="5"/>
  <c r="BT86" i="5"/>
  <c r="BU86" i="5"/>
  <c r="BV86" i="5"/>
  <c r="BW86" i="5"/>
  <c r="BX86" i="5"/>
  <c r="BY86" i="5"/>
  <c r="BZ86" i="5"/>
  <c r="CA86" i="5"/>
  <c r="CB86" i="5"/>
  <c r="CC86" i="5"/>
  <c r="CD86" i="5"/>
  <c r="CE86" i="5"/>
  <c r="CF86" i="5"/>
  <c r="CG86" i="5"/>
  <c r="CH86" i="5"/>
  <c r="CI86" i="5"/>
  <c r="CJ86" i="5"/>
  <c r="CK86" i="5"/>
  <c r="CL86" i="5"/>
  <c r="CM86" i="5"/>
  <c r="CN86" i="5"/>
  <c r="CO86" i="5"/>
  <c r="CP86" i="5"/>
  <c r="CQ86" i="5"/>
  <c r="CR86" i="5"/>
  <c r="CS86" i="5"/>
  <c r="CT86" i="5"/>
  <c r="CU86" i="5"/>
  <c r="CV86" i="5"/>
  <c r="CW86" i="5"/>
  <c r="CX86" i="5"/>
  <c r="D87" i="5"/>
  <c r="E87" i="5"/>
  <c r="F87" i="5"/>
  <c r="G87" i="5"/>
  <c r="H87" i="5"/>
  <c r="I87" i="5"/>
  <c r="J87" i="5"/>
  <c r="K87" i="5"/>
  <c r="L87" i="5"/>
  <c r="M87" i="5"/>
  <c r="N87" i="5"/>
  <c r="O87" i="5"/>
  <c r="P87" i="5"/>
  <c r="Q87" i="5"/>
  <c r="R87" i="5"/>
  <c r="S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AG87" i="5"/>
  <c r="AH87" i="5"/>
  <c r="AI87" i="5"/>
  <c r="AJ87" i="5"/>
  <c r="AK87" i="5"/>
  <c r="AL87" i="5"/>
  <c r="AM87" i="5"/>
  <c r="AN87" i="5"/>
  <c r="AO87" i="5"/>
  <c r="AP87" i="5"/>
  <c r="AQ87" i="5"/>
  <c r="AR87" i="5"/>
  <c r="AS87" i="5"/>
  <c r="AT87" i="5"/>
  <c r="AU87" i="5"/>
  <c r="AV87" i="5"/>
  <c r="AW87" i="5"/>
  <c r="AX87" i="5"/>
  <c r="AY87" i="5"/>
  <c r="AZ87" i="5"/>
  <c r="BA87" i="5"/>
  <c r="BB87" i="5"/>
  <c r="BC87" i="5"/>
  <c r="BD87" i="5"/>
  <c r="BE87" i="5"/>
  <c r="BF87" i="5"/>
  <c r="BG87" i="5"/>
  <c r="BH87" i="5"/>
  <c r="BI87" i="5"/>
  <c r="BJ87" i="5"/>
  <c r="BK87" i="5"/>
  <c r="BL87" i="5"/>
  <c r="BM87" i="5"/>
  <c r="BN87" i="5"/>
  <c r="BO87" i="5"/>
  <c r="BP87" i="5"/>
  <c r="BQ87" i="5"/>
  <c r="BR87" i="5"/>
  <c r="BS87" i="5"/>
  <c r="BT87" i="5"/>
  <c r="BU87" i="5"/>
  <c r="BV87" i="5"/>
  <c r="BW87" i="5"/>
  <c r="BX87" i="5"/>
  <c r="BY87" i="5"/>
  <c r="BZ87" i="5"/>
  <c r="CA87" i="5"/>
  <c r="CB87" i="5"/>
  <c r="CC87" i="5"/>
  <c r="CD87" i="5"/>
  <c r="CE87" i="5"/>
  <c r="CF87" i="5"/>
  <c r="CG87" i="5"/>
  <c r="CH87" i="5"/>
  <c r="CI87" i="5"/>
  <c r="CJ87" i="5"/>
  <c r="CK87" i="5"/>
  <c r="CL87" i="5"/>
  <c r="CM87" i="5"/>
  <c r="CN87" i="5"/>
  <c r="CO87" i="5"/>
  <c r="CP87" i="5"/>
  <c r="CQ87" i="5"/>
  <c r="CR87" i="5"/>
  <c r="CS87" i="5"/>
  <c r="CT87" i="5"/>
  <c r="CU87" i="5"/>
  <c r="CV87" i="5"/>
  <c r="CW87" i="5"/>
  <c r="CX87" i="5"/>
  <c r="D88" i="5"/>
  <c r="E88" i="5"/>
  <c r="F88" i="5"/>
  <c r="G88" i="5"/>
  <c r="H88" i="5"/>
  <c r="I88" i="5"/>
  <c r="J88" i="5"/>
  <c r="K88" i="5"/>
  <c r="L88" i="5"/>
  <c r="M88" i="5"/>
  <c r="N88" i="5"/>
  <c r="O88" i="5"/>
  <c r="P88" i="5"/>
  <c r="Q88" i="5"/>
  <c r="R88" i="5"/>
  <c r="S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AG88" i="5"/>
  <c r="AH88" i="5"/>
  <c r="AI88" i="5"/>
  <c r="AJ88" i="5"/>
  <c r="AK88" i="5"/>
  <c r="AL88" i="5"/>
  <c r="AM88" i="5"/>
  <c r="AN88" i="5"/>
  <c r="AO88" i="5"/>
  <c r="AP88" i="5"/>
  <c r="AQ88" i="5"/>
  <c r="AR88" i="5"/>
  <c r="AS88" i="5"/>
  <c r="AT88" i="5"/>
  <c r="AU88" i="5"/>
  <c r="AV88" i="5"/>
  <c r="AW88" i="5"/>
  <c r="AX88" i="5"/>
  <c r="AY88" i="5"/>
  <c r="AZ88" i="5"/>
  <c r="BA88" i="5"/>
  <c r="BB88" i="5"/>
  <c r="BC88" i="5"/>
  <c r="BD88" i="5"/>
  <c r="BE88" i="5"/>
  <c r="BF88" i="5"/>
  <c r="BG88" i="5"/>
  <c r="BH88" i="5"/>
  <c r="BI88" i="5"/>
  <c r="BJ88" i="5"/>
  <c r="BK88" i="5"/>
  <c r="BL88" i="5"/>
  <c r="BM88" i="5"/>
  <c r="BN88" i="5"/>
  <c r="BO88" i="5"/>
  <c r="BP88" i="5"/>
  <c r="BQ88" i="5"/>
  <c r="BR88" i="5"/>
  <c r="BS88" i="5"/>
  <c r="BT88" i="5"/>
  <c r="BU88" i="5"/>
  <c r="BV88" i="5"/>
  <c r="BW88" i="5"/>
  <c r="BX88" i="5"/>
  <c r="BY88" i="5"/>
  <c r="BZ88" i="5"/>
  <c r="CA88" i="5"/>
  <c r="CB88" i="5"/>
  <c r="CC88" i="5"/>
  <c r="CD88" i="5"/>
  <c r="CE88" i="5"/>
  <c r="CF88" i="5"/>
  <c r="CG88" i="5"/>
  <c r="CH88" i="5"/>
  <c r="CI88" i="5"/>
  <c r="CJ88" i="5"/>
  <c r="CK88" i="5"/>
  <c r="CL88" i="5"/>
  <c r="CM88" i="5"/>
  <c r="CN88" i="5"/>
  <c r="CO88" i="5"/>
  <c r="CP88" i="5"/>
  <c r="CQ88" i="5"/>
  <c r="CR88" i="5"/>
  <c r="CS88" i="5"/>
  <c r="CT88" i="5"/>
  <c r="CU88" i="5"/>
  <c r="CV88" i="5"/>
  <c r="CW88" i="5"/>
  <c r="CX88" i="5"/>
  <c r="D89" i="5"/>
  <c r="E89" i="5"/>
  <c r="F89" i="5"/>
  <c r="G89" i="5"/>
  <c r="H89" i="5"/>
  <c r="I89" i="5"/>
  <c r="J89" i="5"/>
  <c r="K89" i="5"/>
  <c r="L89" i="5"/>
  <c r="M89" i="5"/>
  <c r="N89" i="5"/>
  <c r="O89" i="5"/>
  <c r="P89" i="5"/>
  <c r="Q89" i="5"/>
  <c r="R89" i="5"/>
  <c r="S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AG89" i="5"/>
  <c r="AH89" i="5"/>
  <c r="AI89" i="5"/>
  <c r="AJ89" i="5"/>
  <c r="AK89" i="5"/>
  <c r="AL89" i="5"/>
  <c r="AM89" i="5"/>
  <c r="AN89" i="5"/>
  <c r="AO89" i="5"/>
  <c r="AP89" i="5"/>
  <c r="AQ89" i="5"/>
  <c r="AR89" i="5"/>
  <c r="AS89" i="5"/>
  <c r="AT89" i="5"/>
  <c r="AU89" i="5"/>
  <c r="AV89" i="5"/>
  <c r="AW89" i="5"/>
  <c r="AX89" i="5"/>
  <c r="AY89" i="5"/>
  <c r="AZ89" i="5"/>
  <c r="BA89" i="5"/>
  <c r="BB89" i="5"/>
  <c r="BC89" i="5"/>
  <c r="BD89" i="5"/>
  <c r="BE89" i="5"/>
  <c r="BF89" i="5"/>
  <c r="BG89" i="5"/>
  <c r="BH89" i="5"/>
  <c r="BI89" i="5"/>
  <c r="BJ89" i="5"/>
  <c r="BK89" i="5"/>
  <c r="BL89" i="5"/>
  <c r="BM89" i="5"/>
  <c r="BN89" i="5"/>
  <c r="BO89" i="5"/>
  <c r="BP89" i="5"/>
  <c r="BQ89" i="5"/>
  <c r="BR89" i="5"/>
  <c r="BS89" i="5"/>
  <c r="BT89" i="5"/>
  <c r="BU89" i="5"/>
  <c r="BV89" i="5"/>
  <c r="BW89" i="5"/>
  <c r="BX89" i="5"/>
  <c r="BY89" i="5"/>
  <c r="BZ89" i="5"/>
  <c r="CA89" i="5"/>
  <c r="CB89" i="5"/>
  <c r="CC89" i="5"/>
  <c r="CD89" i="5"/>
  <c r="CE89" i="5"/>
  <c r="CF89" i="5"/>
  <c r="CG89" i="5"/>
  <c r="CH89" i="5"/>
  <c r="CI89" i="5"/>
  <c r="CJ89" i="5"/>
  <c r="CK89" i="5"/>
  <c r="CL89" i="5"/>
  <c r="CM89" i="5"/>
  <c r="CN89" i="5"/>
  <c r="CO89" i="5"/>
  <c r="CP89" i="5"/>
  <c r="CQ89" i="5"/>
  <c r="CR89" i="5"/>
  <c r="CS89" i="5"/>
  <c r="CT89" i="5"/>
  <c r="CU89" i="5"/>
  <c r="CV89" i="5"/>
  <c r="CW89" i="5"/>
  <c r="CX89" i="5"/>
  <c r="D90" i="5"/>
  <c r="E90" i="5"/>
  <c r="F90" i="5"/>
  <c r="G90" i="5"/>
  <c r="H90" i="5"/>
  <c r="I90" i="5"/>
  <c r="J90" i="5"/>
  <c r="K90" i="5"/>
  <c r="L90" i="5"/>
  <c r="M90" i="5"/>
  <c r="N90" i="5"/>
  <c r="O90" i="5"/>
  <c r="P90" i="5"/>
  <c r="Q90" i="5"/>
  <c r="R90" i="5"/>
  <c r="S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AG90" i="5"/>
  <c r="AH90" i="5"/>
  <c r="AI90" i="5"/>
  <c r="AJ90" i="5"/>
  <c r="AK90" i="5"/>
  <c r="AL90" i="5"/>
  <c r="AM90" i="5"/>
  <c r="AN90" i="5"/>
  <c r="AO90" i="5"/>
  <c r="AP90" i="5"/>
  <c r="AQ90" i="5"/>
  <c r="AR90" i="5"/>
  <c r="AS90" i="5"/>
  <c r="AT90" i="5"/>
  <c r="AU90" i="5"/>
  <c r="AV90" i="5"/>
  <c r="AW90" i="5"/>
  <c r="AX90" i="5"/>
  <c r="AY90" i="5"/>
  <c r="AZ90" i="5"/>
  <c r="BA90" i="5"/>
  <c r="BB90" i="5"/>
  <c r="BC90" i="5"/>
  <c r="BD90" i="5"/>
  <c r="BE90" i="5"/>
  <c r="BF90" i="5"/>
  <c r="BG90" i="5"/>
  <c r="BH90" i="5"/>
  <c r="BI90" i="5"/>
  <c r="BJ90" i="5"/>
  <c r="BK90" i="5"/>
  <c r="BL90" i="5"/>
  <c r="BM90" i="5"/>
  <c r="BN90" i="5"/>
  <c r="BO90" i="5"/>
  <c r="BP90" i="5"/>
  <c r="BQ90" i="5"/>
  <c r="BR90" i="5"/>
  <c r="BS90" i="5"/>
  <c r="BT90" i="5"/>
  <c r="BU90" i="5"/>
  <c r="BV90" i="5"/>
  <c r="BW90" i="5"/>
  <c r="BX90" i="5"/>
  <c r="BY90" i="5"/>
  <c r="BZ90" i="5"/>
  <c r="CA90" i="5"/>
  <c r="CB90" i="5"/>
  <c r="CC90" i="5"/>
  <c r="CD90" i="5"/>
  <c r="CE90" i="5"/>
  <c r="CF90" i="5"/>
  <c r="CG90" i="5"/>
  <c r="CH90" i="5"/>
  <c r="CI90" i="5"/>
  <c r="CJ90" i="5"/>
  <c r="CK90" i="5"/>
  <c r="CL90" i="5"/>
  <c r="CM90" i="5"/>
  <c r="CN90" i="5"/>
  <c r="CO90" i="5"/>
  <c r="CP90" i="5"/>
  <c r="CQ90" i="5"/>
  <c r="CR90" i="5"/>
  <c r="CS90" i="5"/>
  <c r="CT90" i="5"/>
  <c r="CU90" i="5"/>
  <c r="CV90" i="5"/>
  <c r="CW90" i="5"/>
  <c r="CX90" i="5"/>
  <c r="D91" i="5"/>
  <c r="E91" i="5"/>
  <c r="F91" i="5"/>
  <c r="G91" i="5"/>
  <c r="H91" i="5"/>
  <c r="I91" i="5"/>
  <c r="J91" i="5"/>
  <c r="K91" i="5"/>
  <c r="L91" i="5"/>
  <c r="M91" i="5"/>
  <c r="N91" i="5"/>
  <c r="O91" i="5"/>
  <c r="P91" i="5"/>
  <c r="Q91" i="5"/>
  <c r="R91" i="5"/>
  <c r="S91" i="5"/>
  <c r="T91" i="5"/>
  <c r="U91" i="5"/>
  <c r="V91" i="5"/>
  <c r="W91" i="5"/>
  <c r="X91" i="5"/>
  <c r="Y91" i="5"/>
  <c r="Z91" i="5"/>
  <c r="AA91" i="5"/>
  <c r="AB91" i="5"/>
  <c r="AC91" i="5"/>
  <c r="AD91" i="5"/>
  <c r="AE91" i="5"/>
  <c r="AF91" i="5"/>
  <c r="AG91" i="5"/>
  <c r="AH91" i="5"/>
  <c r="AI91" i="5"/>
  <c r="AJ91" i="5"/>
  <c r="AK91" i="5"/>
  <c r="AL91" i="5"/>
  <c r="AM91" i="5"/>
  <c r="AN91" i="5"/>
  <c r="AO91" i="5"/>
  <c r="AP91" i="5"/>
  <c r="AQ91" i="5"/>
  <c r="AR91" i="5"/>
  <c r="AS91" i="5"/>
  <c r="AT91" i="5"/>
  <c r="AU91" i="5"/>
  <c r="AV91" i="5"/>
  <c r="AW91" i="5"/>
  <c r="AX91" i="5"/>
  <c r="AY91" i="5"/>
  <c r="AZ91" i="5"/>
  <c r="BA91" i="5"/>
  <c r="BB91" i="5"/>
  <c r="BC91" i="5"/>
  <c r="BD91" i="5"/>
  <c r="BE91" i="5"/>
  <c r="BF91" i="5"/>
  <c r="BG91" i="5"/>
  <c r="BH91" i="5"/>
  <c r="BI91" i="5"/>
  <c r="BJ91" i="5"/>
  <c r="BK91" i="5"/>
  <c r="BL91" i="5"/>
  <c r="BM91" i="5"/>
  <c r="BN91" i="5"/>
  <c r="BO91" i="5"/>
  <c r="BP91" i="5"/>
  <c r="BQ91" i="5"/>
  <c r="BR91" i="5"/>
  <c r="BS91" i="5"/>
  <c r="BT91" i="5"/>
  <c r="BU91" i="5"/>
  <c r="BV91" i="5"/>
  <c r="BW91" i="5"/>
  <c r="BX91" i="5"/>
  <c r="BY91" i="5"/>
  <c r="BZ91" i="5"/>
  <c r="CA91" i="5"/>
  <c r="CB91" i="5"/>
  <c r="CC91" i="5"/>
  <c r="CD91" i="5"/>
  <c r="CE91" i="5"/>
  <c r="CF91" i="5"/>
  <c r="CG91" i="5"/>
  <c r="CH91" i="5"/>
  <c r="CI91" i="5"/>
  <c r="CJ91" i="5"/>
  <c r="CK91" i="5"/>
  <c r="CL91" i="5"/>
  <c r="CM91" i="5"/>
  <c r="CN91" i="5"/>
  <c r="CO91" i="5"/>
  <c r="CP91" i="5"/>
  <c r="CQ91" i="5"/>
  <c r="CR91" i="5"/>
  <c r="CS91" i="5"/>
  <c r="CT91" i="5"/>
  <c r="CU91" i="5"/>
  <c r="CV91" i="5"/>
  <c r="CW91" i="5"/>
  <c r="CX91" i="5"/>
  <c r="D92" i="5"/>
  <c r="E92" i="5"/>
  <c r="F92" i="5"/>
  <c r="G92" i="5"/>
  <c r="H92" i="5"/>
  <c r="I92" i="5"/>
  <c r="J92" i="5"/>
  <c r="K92" i="5"/>
  <c r="L92" i="5"/>
  <c r="M92" i="5"/>
  <c r="N92" i="5"/>
  <c r="O92" i="5"/>
  <c r="P92" i="5"/>
  <c r="Q92" i="5"/>
  <c r="R92" i="5"/>
  <c r="S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AG92" i="5"/>
  <c r="AH92" i="5"/>
  <c r="AI92" i="5"/>
  <c r="AJ92" i="5"/>
  <c r="AK92" i="5"/>
  <c r="AL92" i="5"/>
  <c r="AM92" i="5"/>
  <c r="AN92" i="5"/>
  <c r="AO92" i="5"/>
  <c r="AP92" i="5"/>
  <c r="AQ92" i="5"/>
  <c r="AR92" i="5"/>
  <c r="AS92" i="5"/>
  <c r="AT92" i="5"/>
  <c r="AU92" i="5"/>
  <c r="AV92" i="5"/>
  <c r="AW92" i="5"/>
  <c r="AX92" i="5"/>
  <c r="AY92" i="5"/>
  <c r="AZ92" i="5"/>
  <c r="BA92" i="5"/>
  <c r="BB92" i="5"/>
  <c r="BC92" i="5"/>
  <c r="BD92" i="5"/>
  <c r="BE92" i="5"/>
  <c r="BF92" i="5"/>
  <c r="BG92" i="5"/>
  <c r="BH92" i="5"/>
  <c r="BI92" i="5"/>
  <c r="BJ92" i="5"/>
  <c r="BK92" i="5"/>
  <c r="BL92" i="5"/>
  <c r="BM92" i="5"/>
  <c r="BN92" i="5"/>
  <c r="BO92" i="5"/>
  <c r="BP92" i="5"/>
  <c r="BQ92" i="5"/>
  <c r="BR92" i="5"/>
  <c r="BS92" i="5"/>
  <c r="BT92" i="5"/>
  <c r="BU92" i="5"/>
  <c r="BV92" i="5"/>
  <c r="BW92" i="5"/>
  <c r="BX92" i="5"/>
  <c r="BY92" i="5"/>
  <c r="BZ92" i="5"/>
  <c r="CA92" i="5"/>
  <c r="CB92" i="5"/>
  <c r="CC92" i="5"/>
  <c r="CD92" i="5"/>
  <c r="CE92" i="5"/>
  <c r="CF92" i="5"/>
  <c r="CG92" i="5"/>
  <c r="CH92" i="5"/>
  <c r="CI92" i="5"/>
  <c r="CJ92" i="5"/>
  <c r="CK92" i="5"/>
  <c r="CL92" i="5"/>
  <c r="CM92" i="5"/>
  <c r="CN92" i="5"/>
  <c r="CO92" i="5"/>
  <c r="CP92" i="5"/>
  <c r="CQ92" i="5"/>
  <c r="CR92" i="5"/>
  <c r="CS92" i="5"/>
  <c r="CT92" i="5"/>
  <c r="CU92" i="5"/>
  <c r="CV92" i="5"/>
  <c r="CW92" i="5"/>
  <c r="CX92" i="5"/>
  <c r="D93" i="5"/>
  <c r="E93" i="5"/>
  <c r="F93" i="5"/>
  <c r="G93" i="5"/>
  <c r="H93" i="5"/>
  <c r="I93" i="5"/>
  <c r="J93" i="5"/>
  <c r="K93" i="5"/>
  <c r="L93" i="5"/>
  <c r="M93" i="5"/>
  <c r="N93" i="5"/>
  <c r="O93" i="5"/>
  <c r="P93" i="5"/>
  <c r="Q93" i="5"/>
  <c r="R93" i="5"/>
  <c r="S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AG93" i="5"/>
  <c r="AH93" i="5"/>
  <c r="AI93" i="5"/>
  <c r="AJ93" i="5"/>
  <c r="AK93" i="5"/>
  <c r="AL93" i="5"/>
  <c r="AM93" i="5"/>
  <c r="AN93" i="5"/>
  <c r="AO93" i="5"/>
  <c r="AP93" i="5"/>
  <c r="AQ93" i="5"/>
  <c r="AR93" i="5"/>
  <c r="AS93" i="5"/>
  <c r="AT93" i="5"/>
  <c r="AU93" i="5"/>
  <c r="AV93" i="5"/>
  <c r="AW93" i="5"/>
  <c r="AX93" i="5"/>
  <c r="AY93" i="5"/>
  <c r="AZ93" i="5"/>
  <c r="BA93" i="5"/>
  <c r="BB93" i="5"/>
  <c r="BC93" i="5"/>
  <c r="BD93" i="5"/>
  <c r="BE93" i="5"/>
  <c r="BF93" i="5"/>
  <c r="BG93" i="5"/>
  <c r="BH93" i="5"/>
  <c r="BI93" i="5"/>
  <c r="BJ93" i="5"/>
  <c r="BK93" i="5"/>
  <c r="BL93" i="5"/>
  <c r="BM93" i="5"/>
  <c r="BN93" i="5"/>
  <c r="BO93" i="5"/>
  <c r="BP93" i="5"/>
  <c r="BQ93" i="5"/>
  <c r="BR93" i="5"/>
  <c r="BS93" i="5"/>
  <c r="BT93" i="5"/>
  <c r="BU93" i="5"/>
  <c r="BV93" i="5"/>
  <c r="BW93" i="5"/>
  <c r="BX93" i="5"/>
  <c r="BY93" i="5"/>
  <c r="BZ93" i="5"/>
  <c r="CA93" i="5"/>
  <c r="CB93" i="5"/>
  <c r="CC93" i="5"/>
  <c r="CD93" i="5"/>
  <c r="CE93" i="5"/>
  <c r="CF93" i="5"/>
  <c r="CG93" i="5"/>
  <c r="CH93" i="5"/>
  <c r="CI93" i="5"/>
  <c r="CJ93" i="5"/>
  <c r="CK93" i="5"/>
  <c r="CL93" i="5"/>
  <c r="CM93" i="5"/>
  <c r="CN93" i="5"/>
  <c r="CO93" i="5"/>
  <c r="CP93" i="5"/>
  <c r="CQ93" i="5"/>
  <c r="CR93" i="5"/>
  <c r="CS93" i="5"/>
  <c r="CT93" i="5"/>
  <c r="CU93" i="5"/>
  <c r="CV93" i="5"/>
  <c r="CW93" i="5"/>
  <c r="CX93" i="5"/>
  <c r="D94" i="5"/>
  <c r="E94" i="5"/>
  <c r="F94" i="5"/>
  <c r="G94" i="5"/>
  <c r="H94" i="5"/>
  <c r="I94" i="5"/>
  <c r="J94" i="5"/>
  <c r="K94" i="5"/>
  <c r="L94" i="5"/>
  <c r="M94" i="5"/>
  <c r="N94" i="5"/>
  <c r="O94" i="5"/>
  <c r="P94" i="5"/>
  <c r="Q94" i="5"/>
  <c r="R94" i="5"/>
  <c r="S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AG94" i="5"/>
  <c r="AH94" i="5"/>
  <c r="AI94" i="5"/>
  <c r="AJ94" i="5"/>
  <c r="AK94" i="5"/>
  <c r="AL94" i="5"/>
  <c r="AM94" i="5"/>
  <c r="AN94" i="5"/>
  <c r="AO94" i="5"/>
  <c r="AP94" i="5"/>
  <c r="AQ94" i="5"/>
  <c r="AR94" i="5"/>
  <c r="AS94" i="5"/>
  <c r="AT94" i="5"/>
  <c r="AU94" i="5"/>
  <c r="AV94" i="5"/>
  <c r="AW94" i="5"/>
  <c r="AX94" i="5"/>
  <c r="AY94" i="5"/>
  <c r="AZ94" i="5"/>
  <c r="BA94" i="5"/>
  <c r="BB94" i="5"/>
  <c r="BC94" i="5"/>
  <c r="BD94" i="5"/>
  <c r="BE94" i="5"/>
  <c r="BF94" i="5"/>
  <c r="BG94" i="5"/>
  <c r="BH94" i="5"/>
  <c r="BI94" i="5"/>
  <c r="BJ94" i="5"/>
  <c r="BK94" i="5"/>
  <c r="BL94" i="5"/>
  <c r="BM94" i="5"/>
  <c r="BN94" i="5"/>
  <c r="BO94" i="5"/>
  <c r="BP94" i="5"/>
  <c r="BQ94" i="5"/>
  <c r="BR94" i="5"/>
  <c r="BS94" i="5"/>
  <c r="BT94" i="5"/>
  <c r="BU94" i="5"/>
  <c r="BV94" i="5"/>
  <c r="BW94" i="5"/>
  <c r="BX94" i="5"/>
  <c r="BY94" i="5"/>
  <c r="BZ94" i="5"/>
  <c r="CA94" i="5"/>
  <c r="CB94" i="5"/>
  <c r="CC94" i="5"/>
  <c r="CD94" i="5"/>
  <c r="CE94" i="5"/>
  <c r="CF94" i="5"/>
  <c r="CG94" i="5"/>
  <c r="CH94" i="5"/>
  <c r="CI94" i="5"/>
  <c r="CJ94" i="5"/>
  <c r="CK94" i="5"/>
  <c r="CL94" i="5"/>
  <c r="CM94" i="5"/>
  <c r="CN94" i="5"/>
  <c r="CO94" i="5"/>
  <c r="CP94" i="5"/>
  <c r="CQ94" i="5"/>
  <c r="CR94" i="5"/>
  <c r="CS94" i="5"/>
  <c r="CT94" i="5"/>
  <c r="CU94" i="5"/>
  <c r="CV94" i="5"/>
  <c r="CW94" i="5"/>
  <c r="CX94" i="5"/>
  <c r="D95" i="5"/>
  <c r="E95" i="5"/>
  <c r="F95" i="5"/>
  <c r="G95" i="5"/>
  <c r="H95" i="5"/>
  <c r="I95" i="5"/>
  <c r="J95" i="5"/>
  <c r="K95" i="5"/>
  <c r="L95" i="5"/>
  <c r="M95" i="5"/>
  <c r="N95" i="5"/>
  <c r="O95" i="5"/>
  <c r="P95" i="5"/>
  <c r="Q95" i="5"/>
  <c r="R95" i="5"/>
  <c r="S95" i="5"/>
  <c r="T95" i="5"/>
  <c r="U95" i="5"/>
  <c r="V95" i="5"/>
  <c r="W95" i="5"/>
  <c r="X95" i="5"/>
  <c r="Y95" i="5"/>
  <c r="Z95" i="5"/>
  <c r="AA95" i="5"/>
  <c r="AB95" i="5"/>
  <c r="AC95" i="5"/>
  <c r="AD95" i="5"/>
  <c r="AE95" i="5"/>
  <c r="AF95" i="5"/>
  <c r="AG95" i="5"/>
  <c r="AH95" i="5"/>
  <c r="AI95" i="5"/>
  <c r="AJ95" i="5"/>
  <c r="AK95" i="5"/>
  <c r="AL95" i="5"/>
  <c r="AM95" i="5"/>
  <c r="AN95" i="5"/>
  <c r="AO95" i="5"/>
  <c r="AP95" i="5"/>
  <c r="AQ95" i="5"/>
  <c r="AR95" i="5"/>
  <c r="AS95" i="5"/>
  <c r="AT95" i="5"/>
  <c r="AU95" i="5"/>
  <c r="AV95" i="5"/>
  <c r="AW95" i="5"/>
  <c r="AX95" i="5"/>
  <c r="AY95" i="5"/>
  <c r="AZ95" i="5"/>
  <c r="BA95" i="5"/>
  <c r="BB95" i="5"/>
  <c r="BC95" i="5"/>
  <c r="BD95" i="5"/>
  <c r="BE95" i="5"/>
  <c r="BF95" i="5"/>
  <c r="BG95" i="5"/>
  <c r="BH95" i="5"/>
  <c r="BI95" i="5"/>
  <c r="BJ95" i="5"/>
  <c r="BK95" i="5"/>
  <c r="BL95" i="5"/>
  <c r="BM95" i="5"/>
  <c r="BN95" i="5"/>
  <c r="BO95" i="5"/>
  <c r="BP95" i="5"/>
  <c r="BQ95" i="5"/>
  <c r="BR95" i="5"/>
  <c r="BS95" i="5"/>
  <c r="BT95" i="5"/>
  <c r="BU95" i="5"/>
  <c r="BV95" i="5"/>
  <c r="BW95" i="5"/>
  <c r="BX95" i="5"/>
  <c r="BY95" i="5"/>
  <c r="BZ95" i="5"/>
  <c r="CA95" i="5"/>
  <c r="CB95" i="5"/>
  <c r="CC95" i="5"/>
  <c r="CD95" i="5"/>
  <c r="CE95" i="5"/>
  <c r="CF95" i="5"/>
  <c r="CG95" i="5"/>
  <c r="CH95" i="5"/>
  <c r="CI95" i="5"/>
  <c r="CJ95" i="5"/>
  <c r="CK95" i="5"/>
  <c r="CL95" i="5"/>
  <c r="CM95" i="5"/>
  <c r="CN95" i="5"/>
  <c r="CO95" i="5"/>
  <c r="CP95" i="5"/>
  <c r="CQ95" i="5"/>
  <c r="CR95" i="5"/>
  <c r="CS95" i="5"/>
  <c r="CT95" i="5"/>
  <c r="CU95" i="5"/>
  <c r="CV95" i="5"/>
  <c r="CW95" i="5"/>
  <c r="CX95" i="5"/>
  <c r="D96" i="5"/>
  <c r="E96" i="5"/>
  <c r="F96" i="5"/>
  <c r="G96" i="5"/>
  <c r="H96" i="5"/>
  <c r="I96" i="5"/>
  <c r="J96" i="5"/>
  <c r="K96" i="5"/>
  <c r="L96" i="5"/>
  <c r="M96" i="5"/>
  <c r="N96" i="5"/>
  <c r="O96" i="5"/>
  <c r="P96" i="5"/>
  <c r="Q96" i="5"/>
  <c r="R96" i="5"/>
  <c r="S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AG96" i="5"/>
  <c r="AH96" i="5"/>
  <c r="AI96" i="5"/>
  <c r="AJ96" i="5"/>
  <c r="AK96" i="5"/>
  <c r="AL96" i="5"/>
  <c r="AM96" i="5"/>
  <c r="AN96" i="5"/>
  <c r="AO96" i="5"/>
  <c r="AP96" i="5"/>
  <c r="AQ96" i="5"/>
  <c r="AR96" i="5"/>
  <c r="AS96" i="5"/>
  <c r="AT96" i="5"/>
  <c r="AU96" i="5"/>
  <c r="AV96" i="5"/>
  <c r="AW96" i="5"/>
  <c r="AX96" i="5"/>
  <c r="AY96" i="5"/>
  <c r="AZ96" i="5"/>
  <c r="BA96" i="5"/>
  <c r="BB96" i="5"/>
  <c r="BC96" i="5"/>
  <c r="BD96" i="5"/>
  <c r="BE96" i="5"/>
  <c r="BF96" i="5"/>
  <c r="BG96" i="5"/>
  <c r="BH96" i="5"/>
  <c r="BI96" i="5"/>
  <c r="BJ96" i="5"/>
  <c r="BK96" i="5"/>
  <c r="BL96" i="5"/>
  <c r="BM96" i="5"/>
  <c r="BN96" i="5"/>
  <c r="BO96" i="5"/>
  <c r="BP96" i="5"/>
  <c r="BQ96" i="5"/>
  <c r="BR96" i="5"/>
  <c r="BS96" i="5"/>
  <c r="BT96" i="5"/>
  <c r="BU96" i="5"/>
  <c r="BV96" i="5"/>
  <c r="BW96" i="5"/>
  <c r="BX96" i="5"/>
  <c r="BY96" i="5"/>
  <c r="BZ96" i="5"/>
  <c r="CA96" i="5"/>
  <c r="CB96" i="5"/>
  <c r="CC96" i="5"/>
  <c r="CD96" i="5"/>
  <c r="CE96" i="5"/>
  <c r="CF96" i="5"/>
  <c r="CG96" i="5"/>
  <c r="CH96" i="5"/>
  <c r="CI96" i="5"/>
  <c r="CJ96" i="5"/>
  <c r="CK96" i="5"/>
  <c r="CL96" i="5"/>
  <c r="CM96" i="5"/>
  <c r="CN96" i="5"/>
  <c r="CO96" i="5"/>
  <c r="CP96" i="5"/>
  <c r="CQ96" i="5"/>
  <c r="CR96" i="5"/>
  <c r="CS96" i="5"/>
  <c r="CT96" i="5"/>
  <c r="CU96" i="5"/>
  <c r="CV96" i="5"/>
  <c r="CW96" i="5"/>
  <c r="CX96" i="5"/>
  <c r="D97" i="5"/>
  <c r="E97" i="5"/>
  <c r="F97" i="5"/>
  <c r="G97" i="5"/>
  <c r="H97" i="5"/>
  <c r="I97" i="5"/>
  <c r="J97" i="5"/>
  <c r="K97" i="5"/>
  <c r="L97" i="5"/>
  <c r="M97" i="5"/>
  <c r="N97" i="5"/>
  <c r="O97" i="5"/>
  <c r="P97" i="5"/>
  <c r="Q97" i="5"/>
  <c r="R97" i="5"/>
  <c r="S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AG97" i="5"/>
  <c r="AH97" i="5"/>
  <c r="AI97" i="5"/>
  <c r="AJ97" i="5"/>
  <c r="AK97" i="5"/>
  <c r="AL97" i="5"/>
  <c r="AM97" i="5"/>
  <c r="AN97" i="5"/>
  <c r="AO97" i="5"/>
  <c r="AP97" i="5"/>
  <c r="AQ97" i="5"/>
  <c r="AR97" i="5"/>
  <c r="AS97" i="5"/>
  <c r="AT97" i="5"/>
  <c r="AU97" i="5"/>
  <c r="AV97" i="5"/>
  <c r="AW97" i="5"/>
  <c r="AX97" i="5"/>
  <c r="AY97" i="5"/>
  <c r="AZ97" i="5"/>
  <c r="BA97" i="5"/>
  <c r="BB97" i="5"/>
  <c r="BC97" i="5"/>
  <c r="BD97" i="5"/>
  <c r="BE97" i="5"/>
  <c r="BF97" i="5"/>
  <c r="BG97" i="5"/>
  <c r="BH97" i="5"/>
  <c r="BI97" i="5"/>
  <c r="BJ97" i="5"/>
  <c r="BK97" i="5"/>
  <c r="BL97" i="5"/>
  <c r="BM97" i="5"/>
  <c r="BN97" i="5"/>
  <c r="BO97" i="5"/>
  <c r="BP97" i="5"/>
  <c r="BQ97" i="5"/>
  <c r="BR97" i="5"/>
  <c r="BS97" i="5"/>
  <c r="BT97" i="5"/>
  <c r="BU97" i="5"/>
  <c r="BV97" i="5"/>
  <c r="BW97" i="5"/>
  <c r="BX97" i="5"/>
  <c r="BY97" i="5"/>
  <c r="BZ97" i="5"/>
  <c r="CA97" i="5"/>
  <c r="CB97" i="5"/>
  <c r="CC97" i="5"/>
  <c r="CD97" i="5"/>
  <c r="CE97" i="5"/>
  <c r="CF97" i="5"/>
  <c r="CG97" i="5"/>
  <c r="CH97" i="5"/>
  <c r="CI97" i="5"/>
  <c r="CJ97" i="5"/>
  <c r="CK97" i="5"/>
  <c r="CL97" i="5"/>
  <c r="CM97" i="5"/>
  <c r="CN97" i="5"/>
  <c r="CO97" i="5"/>
  <c r="CP97" i="5"/>
  <c r="CQ97" i="5"/>
  <c r="CR97" i="5"/>
  <c r="CS97" i="5"/>
  <c r="CT97" i="5"/>
  <c r="CU97" i="5"/>
  <c r="CV97" i="5"/>
  <c r="CW97" i="5"/>
  <c r="CX97" i="5"/>
  <c r="D98" i="5"/>
  <c r="E98" i="5"/>
  <c r="F98" i="5"/>
  <c r="G98" i="5"/>
  <c r="H98" i="5"/>
  <c r="I98" i="5"/>
  <c r="J98" i="5"/>
  <c r="K98" i="5"/>
  <c r="L98" i="5"/>
  <c r="M98" i="5"/>
  <c r="N98" i="5"/>
  <c r="O98" i="5"/>
  <c r="P98" i="5"/>
  <c r="Q98" i="5"/>
  <c r="R98" i="5"/>
  <c r="S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AG98" i="5"/>
  <c r="AH98" i="5"/>
  <c r="AI98" i="5"/>
  <c r="AJ98" i="5"/>
  <c r="AK98" i="5"/>
  <c r="AL98" i="5"/>
  <c r="AM98" i="5"/>
  <c r="AN98" i="5"/>
  <c r="AO98" i="5"/>
  <c r="AP98" i="5"/>
  <c r="AQ98" i="5"/>
  <c r="AR98" i="5"/>
  <c r="AS98" i="5"/>
  <c r="AT98" i="5"/>
  <c r="AU98" i="5"/>
  <c r="AV98" i="5"/>
  <c r="AW98" i="5"/>
  <c r="AX98" i="5"/>
  <c r="AY98" i="5"/>
  <c r="AZ98" i="5"/>
  <c r="BA98" i="5"/>
  <c r="BB98" i="5"/>
  <c r="BC98" i="5"/>
  <c r="BD98" i="5"/>
  <c r="BE98" i="5"/>
  <c r="BF98" i="5"/>
  <c r="BG98" i="5"/>
  <c r="BH98" i="5"/>
  <c r="BI98" i="5"/>
  <c r="BJ98" i="5"/>
  <c r="BK98" i="5"/>
  <c r="BL98" i="5"/>
  <c r="BM98" i="5"/>
  <c r="BN98" i="5"/>
  <c r="BO98" i="5"/>
  <c r="BP98" i="5"/>
  <c r="BQ98" i="5"/>
  <c r="BR98" i="5"/>
  <c r="BS98" i="5"/>
  <c r="BT98" i="5"/>
  <c r="BU98" i="5"/>
  <c r="BV98" i="5"/>
  <c r="BW98" i="5"/>
  <c r="BX98" i="5"/>
  <c r="BY98" i="5"/>
  <c r="BZ98" i="5"/>
  <c r="CA98" i="5"/>
  <c r="CB98" i="5"/>
  <c r="CC98" i="5"/>
  <c r="CD98" i="5"/>
  <c r="CE98" i="5"/>
  <c r="CF98" i="5"/>
  <c r="CG98" i="5"/>
  <c r="CH98" i="5"/>
  <c r="CI98" i="5"/>
  <c r="CJ98" i="5"/>
  <c r="CK98" i="5"/>
  <c r="CL98" i="5"/>
  <c r="CM98" i="5"/>
  <c r="CN98" i="5"/>
  <c r="CO98" i="5"/>
  <c r="CP98" i="5"/>
  <c r="CQ98" i="5"/>
  <c r="CR98" i="5"/>
  <c r="CS98" i="5"/>
  <c r="CT98" i="5"/>
  <c r="CU98" i="5"/>
  <c r="CV98" i="5"/>
  <c r="CW98" i="5"/>
  <c r="CX98" i="5"/>
  <c r="D99" i="5"/>
  <c r="E99" i="5"/>
  <c r="F99" i="5"/>
  <c r="G99" i="5"/>
  <c r="H99" i="5"/>
  <c r="I99" i="5"/>
  <c r="J99" i="5"/>
  <c r="K99" i="5"/>
  <c r="L99" i="5"/>
  <c r="M99" i="5"/>
  <c r="N99" i="5"/>
  <c r="O99" i="5"/>
  <c r="P99" i="5"/>
  <c r="Q99" i="5"/>
  <c r="R99" i="5"/>
  <c r="S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AG99" i="5"/>
  <c r="AH99" i="5"/>
  <c r="AI99" i="5"/>
  <c r="AJ99" i="5"/>
  <c r="AK99" i="5"/>
  <c r="AL99" i="5"/>
  <c r="AM99" i="5"/>
  <c r="AN99" i="5"/>
  <c r="AO99" i="5"/>
  <c r="AP99" i="5"/>
  <c r="AQ99" i="5"/>
  <c r="AR99" i="5"/>
  <c r="AS99" i="5"/>
  <c r="AT99" i="5"/>
  <c r="AU99" i="5"/>
  <c r="AV99" i="5"/>
  <c r="AW99" i="5"/>
  <c r="AX99" i="5"/>
  <c r="AY99" i="5"/>
  <c r="AZ99" i="5"/>
  <c r="BA99" i="5"/>
  <c r="BB99" i="5"/>
  <c r="BC99" i="5"/>
  <c r="BD99" i="5"/>
  <c r="BE99" i="5"/>
  <c r="BF99" i="5"/>
  <c r="BG99" i="5"/>
  <c r="BH99" i="5"/>
  <c r="BI99" i="5"/>
  <c r="BJ99" i="5"/>
  <c r="BK99" i="5"/>
  <c r="BL99" i="5"/>
  <c r="BM99" i="5"/>
  <c r="BN99" i="5"/>
  <c r="BO99" i="5"/>
  <c r="BP99" i="5"/>
  <c r="BQ99" i="5"/>
  <c r="BR99" i="5"/>
  <c r="BS99" i="5"/>
  <c r="BT99" i="5"/>
  <c r="BU99" i="5"/>
  <c r="BV99" i="5"/>
  <c r="BW99" i="5"/>
  <c r="BX99" i="5"/>
  <c r="BY99" i="5"/>
  <c r="BZ99" i="5"/>
  <c r="CA99" i="5"/>
  <c r="CB99" i="5"/>
  <c r="CC99" i="5"/>
  <c r="CD99" i="5"/>
  <c r="CE99" i="5"/>
  <c r="CF99" i="5"/>
  <c r="CG99" i="5"/>
  <c r="CH99" i="5"/>
  <c r="CI99" i="5"/>
  <c r="CJ99" i="5"/>
  <c r="CK99" i="5"/>
  <c r="CL99" i="5"/>
  <c r="CM99" i="5"/>
  <c r="CN99" i="5"/>
  <c r="CO99" i="5"/>
  <c r="CP99" i="5"/>
  <c r="CQ99" i="5"/>
  <c r="CR99" i="5"/>
  <c r="CS99" i="5"/>
  <c r="CT99" i="5"/>
  <c r="CU99" i="5"/>
  <c r="CV99" i="5"/>
  <c r="CW99" i="5"/>
  <c r="CX99" i="5"/>
  <c r="D100" i="5"/>
  <c r="E100" i="5"/>
  <c r="F100" i="5"/>
  <c r="G100" i="5"/>
  <c r="H100" i="5"/>
  <c r="I100" i="5"/>
  <c r="J100" i="5"/>
  <c r="K100" i="5"/>
  <c r="L100" i="5"/>
  <c r="M100" i="5"/>
  <c r="N100" i="5"/>
  <c r="O100" i="5"/>
  <c r="P100" i="5"/>
  <c r="Q100" i="5"/>
  <c r="R100" i="5"/>
  <c r="S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AF100" i="5"/>
  <c r="AG100" i="5"/>
  <c r="AH100" i="5"/>
  <c r="AI100" i="5"/>
  <c r="AJ100" i="5"/>
  <c r="AK100" i="5"/>
  <c r="AL100" i="5"/>
  <c r="AM100" i="5"/>
  <c r="AN100" i="5"/>
  <c r="AO100" i="5"/>
  <c r="AP100" i="5"/>
  <c r="AQ100" i="5"/>
  <c r="AR100" i="5"/>
  <c r="AS100" i="5"/>
  <c r="AT100" i="5"/>
  <c r="AU100" i="5"/>
  <c r="AV100" i="5"/>
  <c r="AW100" i="5"/>
  <c r="AX100" i="5"/>
  <c r="AY100" i="5"/>
  <c r="AZ100" i="5"/>
  <c r="BA100" i="5"/>
  <c r="BB100" i="5"/>
  <c r="BC100" i="5"/>
  <c r="BD100" i="5"/>
  <c r="BE100" i="5"/>
  <c r="BF100" i="5"/>
  <c r="BG100" i="5"/>
  <c r="BH100" i="5"/>
  <c r="BI100" i="5"/>
  <c r="BJ100" i="5"/>
  <c r="BK100" i="5"/>
  <c r="BL100" i="5"/>
  <c r="BM100" i="5"/>
  <c r="BN100" i="5"/>
  <c r="BO100" i="5"/>
  <c r="BP100" i="5"/>
  <c r="BQ100" i="5"/>
  <c r="BR100" i="5"/>
  <c r="BS100" i="5"/>
  <c r="BT100" i="5"/>
  <c r="BU100" i="5"/>
  <c r="BV100" i="5"/>
  <c r="BW100" i="5"/>
  <c r="BX100" i="5"/>
  <c r="BY100" i="5"/>
  <c r="BZ100" i="5"/>
  <c r="CA100" i="5"/>
  <c r="CB100" i="5"/>
  <c r="CC100" i="5"/>
  <c r="CD100" i="5"/>
  <c r="CE100" i="5"/>
  <c r="CF100" i="5"/>
  <c r="CG100" i="5"/>
  <c r="CH100" i="5"/>
  <c r="CI100" i="5"/>
  <c r="CJ100" i="5"/>
  <c r="CK100" i="5"/>
  <c r="CL100" i="5"/>
  <c r="CM100" i="5"/>
  <c r="CN100" i="5"/>
  <c r="CO100" i="5"/>
  <c r="CP100" i="5"/>
  <c r="CQ100" i="5"/>
  <c r="CR100" i="5"/>
  <c r="CS100" i="5"/>
  <c r="CT100" i="5"/>
  <c r="CU100" i="5"/>
  <c r="CV100" i="5"/>
  <c r="CW100" i="5"/>
  <c r="CX100" i="5"/>
  <c r="D101" i="5"/>
  <c r="E101" i="5"/>
  <c r="F101" i="5"/>
  <c r="G101" i="5"/>
  <c r="H101" i="5"/>
  <c r="I101" i="5"/>
  <c r="J101" i="5"/>
  <c r="K101" i="5"/>
  <c r="L101" i="5"/>
  <c r="M101" i="5"/>
  <c r="N101" i="5"/>
  <c r="O101" i="5"/>
  <c r="P101" i="5"/>
  <c r="Q101" i="5"/>
  <c r="R101" i="5"/>
  <c r="S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AG101" i="5"/>
  <c r="AH101" i="5"/>
  <c r="AI101" i="5"/>
  <c r="AJ101" i="5"/>
  <c r="AK101" i="5"/>
  <c r="AL101" i="5"/>
  <c r="AM101" i="5"/>
  <c r="AN101" i="5"/>
  <c r="AO101" i="5"/>
  <c r="AP101" i="5"/>
  <c r="AQ101" i="5"/>
  <c r="AR101" i="5"/>
  <c r="AS101" i="5"/>
  <c r="AT101" i="5"/>
  <c r="AU101" i="5"/>
  <c r="AV101" i="5"/>
  <c r="AW101" i="5"/>
  <c r="AX101" i="5"/>
  <c r="AY101" i="5"/>
  <c r="AZ101" i="5"/>
  <c r="BA101" i="5"/>
  <c r="BB101" i="5"/>
  <c r="BC101" i="5"/>
  <c r="BD101" i="5"/>
  <c r="BE101" i="5"/>
  <c r="BF101" i="5"/>
  <c r="BG101" i="5"/>
  <c r="BH101" i="5"/>
  <c r="BI101" i="5"/>
  <c r="BJ101" i="5"/>
  <c r="BK101" i="5"/>
  <c r="BL101" i="5"/>
  <c r="BM101" i="5"/>
  <c r="BN101" i="5"/>
  <c r="BO101" i="5"/>
  <c r="BP101" i="5"/>
  <c r="BQ101" i="5"/>
  <c r="BR101" i="5"/>
  <c r="BS101" i="5"/>
  <c r="BT101" i="5"/>
  <c r="BU101" i="5"/>
  <c r="BV101" i="5"/>
  <c r="BW101" i="5"/>
  <c r="BX101" i="5"/>
  <c r="BY101" i="5"/>
  <c r="BZ101" i="5"/>
  <c r="CA101" i="5"/>
  <c r="CB101" i="5"/>
  <c r="CC101" i="5"/>
  <c r="CD101" i="5"/>
  <c r="CE101" i="5"/>
  <c r="CF101" i="5"/>
  <c r="CG101" i="5"/>
  <c r="CH101" i="5"/>
  <c r="CI101" i="5"/>
  <c r="CJ101" i="5"/>
  <c r="CK101" i="5"/>
  <c r="CL101" i="5"/>
  <c r="CM101" i="5"/>
  <c r="CN101" i="5"/>
  <c r="CO101" i="5"/>
  <c r="CP101" i="5"/>
  <c r="CQ101" i="5"/>
  <c r="CR101" i="5"/>
  <c r="CS101" i="5"/>
  <c r="CT101" i="5"/>
  <c r="CU101" i="5"/>
  <c r="CV101" i="5"/>
  <c r="CW101" i="5"/>
  <c r="CX101" i="5"/>
  <c r="D102" i="5"/>
  <c r="E102" i="5"/>
  <c r="F102" i="5"/>
  <c r="G102" i="5"/>
  <c r="H102" i="5"/>
  <c r="I102" i="5"/>
  <c r="J102" i="5"/>
  <c r="K102" i="5"/>
  <c r="L102" i="5"/>
  <c r="M102" i="5"/>
  <c r="N102" i="5"/>
  <c r="O102" i="5"/>
  <c r="P102" i="5"/>
  <c r="Q102" i="5"/>
  <c r="R102" i="5"/>
  <c r="S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AF102" i="5"/>
  <c r="AG102" i="5"/>
  <c r="AH102" i="5"/>
  <c r="AI102" i="5"/>
  <c r="AJ102" i="5"/>
  <c r="AK102" i="5"/>
  <c r="AL102" i="5"/>
  <c r="AM102" i="5"/>
  <c r="AN102" i="5"/>
  <c r="AO102" i="5"/>
  <c r="AP102" i="5"/>
  <c r="AQ102" i="5"/>
  <c r="AR102" i="5"/>
  <c r="AS102" i="5"/>
  <c r="AT102" i="5"/>
  <c r="AU102" i="5"/>
  <c r="AV102" i="5"/>
  <c r="AW102" i="5"/>
  <c r="AX102" i="5"/>
  <c r="AY102" i="5"/>
  <c r="AZ102" i="5"/>
  <c r="BA102" i="5"/>
  <c r="BB102" i="5"/>
  <c r="BC102" i="5"/>
  <c r="BD102" i="5"/>
  <c r="BE102" i="5"/>
  <c r="BF102" i="5"/>
  <c r="BG102" i="5"/>
  <c r="BH102" i="5"/>
  <c r="BI102" i="5"/>
  <c r="BJ102" i="5"/>
  <c r="BK102" i="5"/>
  <c r="BL102" i="5"/>
  <c r="BM102" i="5"/>
  <c r="BN102" i="5"/>
  <c r="BO102" i="5"/>
  <c r="BP102" i="5"/>
  <c r="BQ102" i="5"/>
  <c r="BR102" i="5"/>
  <c r="BS102" i="5"/>
  <c r="BT102" i="5"/>
  <c r="BU102" i="5"/>
  <c r="BV102" i="5"/>
  <c r="BW102" i="5"/>
  <c r="BX102" i="5"/>
  <c r="BY102" i="5"/>
  <c r="BZ102" i="5"/>
  <c r="CA102" i="5"/>
  <c r="CB102" i="5"/>
  <c r="CC102" i="5"/>
  <c r="CD102" i="5"/>
  <c r="CE102" i="5"/>
  <c r="CF102" i="5"/>
  <c r="CG102" i="5"/>
  <c r="CH102" i="5"/>
  <c r="CI102" i="5"/>
  <c r="CJ102" i="5"/>
  <c r="CK102" i="5"/>
  <c r="CL102" i="5"/>
  <c r="CM102" i="5"/>
  <c r="CN102" i="5"/>
  <c r="CO102" i="5"/>
  <c r="CP102" i="5"/>
  <c r="CQ102" i="5"/>
  <c r="CR102" i="5"/>
  <c r="CS102" i="5"/>
  <c r="CT102" i="5"/>
  <c r="CU102" i="5"/>
  <c r="CV102" i="5"/>
  <c r="CW102" i="5"/>
  <c r="CX102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3" i="5"/>
  <c r="DE136" i="4" l="1"/>
  <c r="DB139" i="4"/>
  <c r="DB138" i="4"/>
  <c r="DB137" i="4"/>
  <c r="DB136" i="4"/>
  <c r="DB135" i="4"/>
  <c r="DB134" i="4"/>
  <c r="DB133" i="4"/>
  <c r="DB148" i="4"/>
  <c r="DB147" i="4"/>
  <c r="DB146" i="4"/>
  <c r="DB145" i="4"/>
  <c r="DB144" i="4"/>
  <c r="DB143" i="4"/>
  <c r="DB142" i="4"/>
  <c r="CZ26" i="4"/>
  <c r="CZ25" i="4"/>
  <c r="CZ24" i="4"/>
  <c r="CZ23" i="4"/>
  <c r="CZ20" i="4"/>
  <c r="CZ19" i="4"/>
  <c r="CZ18" i="4"/>
  <c r="CZ17" i="4"/>
  <c r="CZ15" i="4"/>
  <c r="CZ14" i="4"/>
  <c r="CZ13" i="4"/>
  <c r="CZ12" i="4"/>
  <c r="CZ11" i="4"/>
  <c r="CZ7" i="4"/>
  <c r="CZ6" i="4"/>
  <c r="CZ5" i="4"/>
  <c r="CZ4" i="4"/>
  <c r="CZ3" i="4"/>
  <c r="D205" i="4"/>
  <c r="E205" i="4"/>
  <c r="F205" i="4"/>
  <c r="G205" i="4"/>
  <c r="H205" i="4"/>
  <c r="I205" i="4"/>
  <c r="J205" i="4"/>
  <c r="K205" i="4"/>
  <c r="L205" i="4"/>
  <c r="M205" i="4"/>
  <c r="N205" i="4"/>
  <c r="O205" i="4"/>
  <c r="P205" i="4"/>
  <c r="Q205" i="4"/>
  <c r="R205" i="4"/>
  <c r="S205" i="4"/>
  <c r="T205" i="4"/>
  <c r="U205" i="4"/>
  <c r="V205" i="4"/>
  <c r="W205" i="4"/>
  <c r="X205" i="4"/>
  <c r="Y205" i="4"/>
  <c r="Z205" i="4"/>
  <c r="AA205" i="4"/>
  <c r="AB205" i="4"/>
  <c r="AC205" i="4"/>
  <c r="AD205" i="4"/>
  <c r="AE205" i="4"/>
  <c r="AF205" i="4"/>
  <c r="AG205" i="4"/>
  <c r="AH205" i="4"/>
  <c r="AI205" i="4"/>
  <c r="AJ205" i="4"/>
  <c r="AK205" i="4"/>
  <c r="AL205" i="4"/>
  <c r="AM205" i="4"/>
  <c r="AN205" i="4"/>
  <c r="AO205" i="4"/>
  <c r="AP205" i="4"/>
  <c r="AQ205" i="4"/>
  <c r="AR205" i="4"/>
  <c r="AS205" i="4"/>
  <c r="AT205" i="4"/>
  <c r="AU205" i="4"/>
  <c r="AV205" i="4"/>
  <c r="AW205" i="4"/>
  <c r="AX205" i="4"/>
  <c r="AY205" i="4"/>
  <c r="AZ205" i="4"/>
  <c r="BA205" i="4"/>
  <c r="BB205" i="4"/>
  <c r="BC205" i="4"/>
  <c r="BD205" i="4"/>
  <c r="BE205" i="4"/>
  <c r="BF205" i="4"/>
  <c r="BG205" i="4"/>
  <c r="BH205" i="4"/>
  <c r="BI205" i="4"/>
  <c r="BJ205" i="4"/>
  <c r="BK205" i="4"/>
  <c r="BL205" i="4"/>
  <c r="BM205" i="4"/>
  <c r="BN205" i="4"/>
  <c r="BO205" i="4"/>
  <c r="BP205" i="4"/>
  <c r="BQ205" i="4"/>
  <c r="BR205" i="4"/>
  <c r="BS205" i="4"/>
  <c r="BT205" i="4"/>
  <c r="BU205" i="4"/>
  <c r="BV205" i="4"/>
  <c r="BW205" i="4"/>
  <c r="BX205" i="4"/>
  <c r="BY205" i="4"/>
  <c r="BZ205" i="4"/>
  <c r="CA205" i="4"/>
  <c r="CB205" i="4"/>
  <c r="CC205" i="4"/>
  <c r="CD205" i="4"/>
  <c r="CE205" i="4"/>
  <c r="CF205" i="4"/>
  <c r="CG205" i="4"/>
  <c r="CH205" i="4"/>
  <c r="CI205" i="4"/>
  <c r="CJ205" i="4"/>
  <c r="CK205" i="4"/>
  <c r="CL205" i="4"/>
  <c r="CM205" i="4"/>
  <c r="CN205" i="4"/>
  <c r="CO205" i="4"/>
  <c r="CP205" i="4"/>
  <c r="CQ205" i="4"/>
  <c r="CR205" i="4"/>
  <c r="CS205" i="4"/>
  <c r="CT205" i="4"/>
  <c r="CU205" i="4"/>
  <c r="CV205" i="4"/>
  <c r="CW205" i="4"/>
  <c r="CX205" i="4"/>
  <c r="D206" i="4"/>
  <c r="E206" i="4"/>
  <c r="F206" i="4"/>
  <c r="G206" i="4"/>
  <c r="H206" i="4"/>
  <c r="I206" i="4"/>
  <c r="J206" i="4"/>
  <c r="K206" i="4"/>
  <c r="L206" i="4"/>
  <c r="M206" i="4"/>
  <c r="N206" i="4"/>
  <c r="O206" i="4"/>
  <c r="P206" i="4"/>
  <c r="Q206" i="4"/>
  <c r="R206" i="4"/>
  <c r="S206" i="4"/>
  <c r="T206" i="4"/>
  <c r="U206" i="4"/>
  <c r="V206" i="4"/>
  <c r="W206" i="4"/>
  <c r="X206" i="4"/>
  <c r="Y206" i="4"/>
  <c r="Z206" i="4"/>
  <c r="AA206" i="4"/>
  <c r="AB206" i="4"/>
  <c r="AC206" i="4"/>
  <c r="AD206" i="4"/>
  <c r="AE206" i="4"/>
  <c r="AF206" i="4"/>
  <c r="AG206" i="4"/>
  <c r="AH206" i="4"/>
  <c r="AI206" i="4"/>
  <c r="AJ206" i="4"/>
  <c r="AK206" i="4"/>
  <c r="AL206" i="4"/>
  <c r="AM206" i="4"/>
  <c r="AN206" i="4"/>
  <c r="AO206" i="4"/>
  <c r="AP206" i="4"/>
  <c r="AQ206" i="4"/>
  <c r="AR206" i="4"/>
  <c r="AS206" i="4"/>
  <c r="AT206" i="4"/>
  <c r="AU206" i="4"/>
  <c r="AV206" i="4"/>
  <c r="AW206" i="4"/>
  <c r="AX206" i="4"/>
  <c r="AY206" i="4"/>
  <c r="AZ206" i="4"/>
  <c r="BA206" i="4"/>
  <c r="BB206" i="4"/>
  <c r="BC206" i="4"/>
  <c r="BD206" i="4"/>
  <c r="BE206" i="4"/>
  <c r="BF206" i="4"/>
  <c r="BG206" i="4"/>
  <c r="BH206" i="4"/>
  <c r="BI206" i="4"/>
  <c r="BJ206" i="4"/>
  <c r="BK206" i="4"/>
  <c r="BL206" i="4"/>
  <c r="BM206" i="4"/>
  <c r="BN206" i="4"/>
  <c r="BO206" i="4"/>
  <c r="BP206" i="4"/>
  <c r="BQ206" i="4"/>
  <c r="BR206" i="4"/>
  <c r="BS206" i="4"/>
  <c r="BT206" i="4"/>
  <c r="BU206" i="4"/>
  <c r="BV206" i="4"/>
  <c r="BW206" i="4"/>
  <c r="BX206" i="4"/>
  <c r="BY206" i="4"/>
  <c r="BZ206" i="4"/>
  <c r="CA206" i="4"/>
  <c r="CB206" i="4"/>
  <c r="CC206" i="4"/>
  <c r="CD206" i="4"/>
  <c r="CE206" i="4"/>
  <c r="CF206" i="4"/>
  <c r="CG206" i="4"/>
  <c r="CH206" i="4"/>
  <c r="CI206" i="4"/>
  <c r="CJ206" i="4"/>
  <c r="CK206" i="4"/>
  <c r="CL206" i="4"/>
  <c r="CM206" i="4"/>
  <c r="CN206" i="4"/>
  <c r="CO206" i="4"/>
  <c r="CP206" i="4"/>
  <c r="CQ206" i="4"/>
  <c r="CR206" i="4"/>
  <c r="CS206" i="4"/>
  <c r="CT206" i="4"/>
  <c r="CU206" i="4"/>
  <c r="CV206" i="4"/>
  <c r="CW206" i="4"/>
  <c r="CX206" i="4"/>
  <c r="D207" i="4"/>
  <c r="E207" i="4"/>
  <c r="F207" i="4"/>
  <c r="G207" i="4"/>
  <c r="H207" i="4"/>
  <c r="I207" i="4"/>
  <c r="J207" i="4"/>
  <c r="K207" i="4"/>
  <c r="L207" i="4"/>
  <c r="M207" i="4"/>
  <c r="N207" i="4"/>
  <c r="O207" i="4"/>
  <c r="P207" i="4"/>
  <c r="Q207" i="4"/>
  <c r="R207" i="4"/>
  <c r="S207" i="4"/>
  <c r="T207" i="4"/>
  <c r="U207" i="4"/>
  <c r="V207" i="4"/>
  <c r="W207" i="4"/>
  <c r="X207" i="4"/>
  <c r="Y207" i="4"/>
  <c r="Z207" i="4"/>
  <c r="AA207" i="4"/>
  <c r="AB207" i="4"/>
  <c r="AC207" i="4"/>
  <c r="AD207" i="4"/>
  <c r="AE207" i="4"/>
  <c r="AF207" i="4"/>
  <c r="AG207" i="4"/>
  <c r="AH207" i="4"/>
  <c r="AI207" i="4"/>
  <c r="AJ207" i="4"/>
  <c r="AK207" i="4"/>
  <c r="AL207" i="4"/>
  <c r="AM207" i="4"/>
  <c r="AN207" i="4"/>
  <c r="AO207" i="4"/>
  <c r="AP207" i="4"/>
  <c r="AQ207" i="4"/>
  <c r="AR207" i="4"/>
  <c r="AS207" i="4"/>
  <c r="AT207" i="4"/>
  <c r="AU207" i="4"/>
  <c r="AV207" i="4"/>
  <c r="AW207" i="4"/>
  <c r="AX207" i="4"/>
  <c r="AY207" i="4"/>
  <c r="AZ207" i="4"/>
  <c r="BA207" i="4"/>
  <c r="BB207" i="4"/>
  <c r="BC207" i="4"/>
  <c r="BD207" i="4"/>
  <c r="BE207" i="4"/>
  <c r="BF207" i="4"/>
  <c r="BG207" i="4"/>
  <c r="BH207" i="4"/>
  <c r="BI207" i="4"/>
  <c r="BJ207" i="4"/>
  <c r="BK207" i="4"/>
  <c r="BL207" i="4"/>
  <c r="BM207" i="4"/>
  <c r="BN207" i="4"/>
  <c r="BO207" i="4"/>
  <c r="BP207" i="4"/>
  <c r="BQ207" i="4"/>
  <c r="BR207" i="4"/>
  <c r="BS207" i="4"/>
  <c r="BT207" i="4"/>
  <c r="BU207" i="4"/>
  <c r="BV207" i="4"/>
  <c r="BW207" i="4"/>
  <c r="BX207" i="4"/>
  <c r="BY207" i="4"/>
  <c r="BZ207" i="4"/>
  <c r="CA207" i="4"/>
  <c r="CB207" i="4"/>
  <c r="CC207" i="4"/>
  <c r="CD207" i="4"/>
  <c r="CE207" i="4"/>
  <c r="CF207" i="4"/>
  <c r="CG207" i="4"/>
  <c r="CH207" i="4"/>
  <c r="CI207" i="4"/>
  <c r="CJ207" i="4"/>
  <c r="CK207" i="4"/>
  <c r="CL207" i="4"/>
  <c r="CM207" i="4"/>
  <c r="CN207" i="4"/>
  <c r="CO207" i="4"/>
  <c r="CP207" i="4"/>
  <c r="CQ207" i="4"/>
  <c r="CR207" i="4"/>
  <c r="CS207" i="4"/>
  <c r="CT207" i="4"/>
  <c r="CU207" i="4"/>
  <c r="CV207" i="4"/>
  <c r="CW207" i="4"/>
  <c r="CX207" i="4"/>
  <c r="D208" i="4"/>
  <c r="E208" i="4"/>
  <c r="F208" i="4"/>
  <c r="G208" i="4"/>
  <c r="H208" i="4"/>
  <c r="I208" i="4"/>
  <c r="J208" i="4"/>
  <c r="K208" i="4"/>
  <c r="L208" i="4"/>
  <c r="M208" i="4"/>
  <c r="N208" i="4"/>
  <c r="O208" i="4"/>
  <c r="P208" i="4"/>
  <c r="Q208" i="4"/>
  <c r="R208" i="4"/>
  <c r="S208" i="4"/>
  <c r="T208" i="4"/>
  <c r="U208" i="4"/>
  <c r="V208" i="4"/>
  <c r="W208" i="4"/>
  <c r="X208" i="4"/>
  <c r="Y208" i="4"/>
  <c r="Z208" i="4"/>
  <c r="AA208" i="4"/>
  <c r="AB208" i="4"/>
  <c r="AC208" i="4"/>
  <c r="AD208" i="4"/>
  <c r="AE208" i="4"/>
  <c r="AF208" i="4"/>
  <c r="AG208" i="4"/>
  <c r="AH208" i="4"/>
  <c r="AI208" i="4"/>
  <c r="AJ208" i="4"/>
  <c r="AK208" i="4"/>
  <c r="AL208" i="4"/>
  <c r="AM208" i="4"/>
  <c r="AN208" i="4"/>
  <c r="AO208" i="4"/>
  <c r="AP208" i="4"/>
  <c r="AQ208" i="4"/>
  <c r="AR208" i="4"/>
  <c r="AS208" i="4"/>
  <c r="AT208" i="4"/>
  <c r="AU208" i="4"/>
  <c r="AV208" i="4"/>
  <c r="AW208" i="4"/>
  <c r="AX208" i="4"/>
  <c r="AY208" i="4"/>
  <c r="AZ208" i="4"/>
  <c r="BA208" i="4"/>
  <c r="BB208" i="4"/>
  <c r="BC208" i="4"/>
  <c r="BD208" i="4"/>
  <c r="BE208" i="4"/>
  <c r="BF208" i="4"/>
  <c r="BG208" i="4"/>
  <c r="BH208" i="4"/>
  <c r="BI208" i="4"/>
  <c r="BJ208" i="4"/>
  <c r="BK208" i="4"/>
  <c r="BL208" i="4"/>
  <c r="BM208" i="4"/>
  <c r="BN208" i="4"/>
  <c r="BO208" i="4"/>
  <c r="BP208" i="4"/>
  <c r="BQ208" i="4"/>
  <c r="BR208" i="4"/>
  <c r="BS208" i="4"/>
  <c r="BT208" i="4"/>
  <c r="BU208" i="4"/>
  <c r="BV208" i="4"/>
  <c r="BW208" i="4"/>
  <c r="BX208" i="4"/>
  <c r="BY208" i="4"/>
  <c r="BZ208" i="4"/>
  <c r="CA208" i="4"/>
  <c r="CB208" i="4"/>
  <c r="CC208" i="4"/>
  <c r="CD208" i="4"/>
  <c r="CE208" i="4"/>
  <c r="CF208" i="4"/>
  <c r="CG208" i="4"/>
  <c r="CH208" i="4"/>
  <c r="CI208" i="4"/>
  <c r="CJ208" i="4"/>
  <c r="CK208" i="4"/>
  <c r="CL208" i="4"/>
  <c r="CM208" i="4"/>
  <c r="CN208" i="4"/>
  <c r="CO208" i="4"/>
  <c r="CP208" i="4"/>
  <c r="CQ208" i="4"/>
  <c r="CR208" i="4"/>
  <c r="CS208" i="4"/>
  <c r="CT208" i="4"/>
  <c r="CU208" i="4"/>
  <c r="CV208" i="4"/>
  <c r="CW208" i="4"/>
  <c r="CX208" i="4"/>
  <c r="D209" i="4"/>
  <c r="E209" i="4"/>
  <c r="F209" i="4"/>
  <c r="G209" i="4"/>
  <c r="H209" i="4"/>
  <c r="I209" i="4"/>
  <c r="J209" i="4"/>
  <c r="K209" i="4"/>
  <c r="L209" i="4"/>
  <c r="M209" i="4"/>
  <c r="N209" i="4"/>
  <c r="O209" i="4"/>
  <c r="P209" i="4"/>
  <c r="Q209" i="4"/>
  <c r="R209" i="4"/>
  <c r="S209" i="4"/>
  <c r="T209" i="4"/>
  <c r="U209" i="4"/>
  <c r="V209" i="4"/>
  <c r="W209" i="4"/>
  <c r="X209" i="4"/>
  <c r="Y209" i="4"/>
  <c r="Z209" i="4"/>
  <c r="AA209" i="4"/>
  <c r="AB209" i="4"/>
  <c r="AC209" i="4"/>
  <c r="AD209" i="4"/>
  <c r="AE209" i="4"/>
  <c r="AF209" i="4"/>
  <c r="AG209" i="4"/>
  <c r="AH209" i="4"/>
  <c r="AI209" i="4"/>
  <c r="AJ209" i="4"/>
  <c r="AK209" i="4"/>
  <c r="AL209" i="4"/>
  <c r="AM209" i="4"/>
  <c r="AN209" i="4"/>
  <c r="AO209" i="4"/>
  <c r="AP209" i="4"/>
  <c r="AQ209" i="4"/>
  <c r="AR209" i="4"/>
  <c r="AS209" i="4"/>
  <c r="AT209" i="4"/>
  <c r="AU209" i="4"/>
  <c r="AV209" i="4"/>
  <c r="AW209" i="4"/>
  <c r="AX209" i="4"/>
  <c r="AY209" i="4"/>
  <c r="AZ209" i="4"/>
  <c r="BA209" i="4"/>
  <c r="BB209" i="4"/>
  <c r="BC209" i="4"/>
  <c r="BD209" i="4"/>
  <c r="BE209" i="4"/>
  <c r="BF209" i="4"/>
  <c r="BG209" i="4"/>
  <c r="BH209" i="4"/>
  <c r="BI209" i="4"/>
  <c r="BJ209" i="4"/>
  <c r="BK209" i="4"/>
  <c r="BL209" i="4"/>
  <c r="BM209" i="4"/>
  <c r="BN209" i="4"/>
  <c r="BO209" i="4"/>
  <c r="BP209" i="4"/>
  <c r="BQ209" i="4"/>
  <c r="BR209" i="4"/>
  <c r="BS209" i="4"/>
  <c r="BT209" i="4"/>
  <c r="BU209" i="4"/>
  <c r="BV209" i="4"/>
  <c r="BW209" i="4"/>
  <c r="BX209" i="4"/>
  <c r="BY209" i="4"/>
  <c r="BZ209" i="4"/>
  <c r="CA209" i="4"/>
  <c r="CB209" i="4"/>
  <c r="CC209" i="4"/>
  <c r="CD209" i="4"/>
  <c r="CE209" i="4"/>
  <c r="CF209" i="4"/>
  <c r="CG209" i="4"/>
  <c r="CH209" i="4"/>
  <c r="CI209" i="4"/>
  <c r="CJ209" i="4"/>
  <c r="CK209" i="4"/>
  <c r="CL209" i="4"/>
  <c r="CM209" i="4"/>
  <c r="CN209" i="4"/>
  <c r="CO209" i="4"/>
  <c r="CP209" i="4"/>
  <c r="CQ209" i="4"/>
  <c r="CR209" i="4"/>
  <c r="CS209" i="4"/>
  <c r="CT209" i="4"/>
  <c r="CU209" i="4"/>
  <c r="CV209" i="4"/>
  <c r="CW209" i="4"/>
  <c r="CX209" i="4"/>
  <c r="D210" i="4"/>
  <c r="E210" i="4"/>
  <c r="F210" i="4"/>
  <c r="G210" i="4"/>
  <c r="H210" i="4"/>
  <c r="I210" i="4"/>
  <c r="J210" i="4"/>
  <c r="K210" i="4"/>
  <c r="L210" i="4"/>
  <c r="M210" i="4"/>
  <c r="N210" i="4"/>
  <c r="O210" i="4"/>
  <c r="P210" i="4"/>
  <c r="Q210" i="4"/>
  <c r="R210" i="4"/>
  <c r="S210" i="4"/>
  <c r="T210" i="4"/>
  <c r="U210" i="4"/>
  <c r="V210" i="4"/>
  <c r="W210" i="4"/>
  <c r="X210" i="4"/>
  <c r="Y210" i="4"/>
  <c r="Z210" i="4"/>
  <c r="AA210" i="4"/>
  <c r="AB210" i="4"/>
  <c r="AC210" i="4"/>
  <c r="AD210" i="4"/>
  <c r="AE210" i="4"/>
  <c r="AF210" i="4"/>
  <c r="AG210" i="4"/>
  <c r="AH210" i="4"/>
  <c r="AI210" i="4"/>
  <c r="AJ210" i="4"/>
  <c r="AK210" i="4"/>
  <c r="AL210" i="4"/>
  <c r="AM210" i="4"/>
  <c r="AN210" i="4"/>
  <c r="AO210" i="4"/>
  <c r="AP210" i="4"/>
  <c r="AQ210" i="4"/>
  <c r="AR210" i="4"/>
  <c r="AS210" i="4"/>
  <c r="AT210" i="4"/>
  <c r="AU210" i="4"/>
  <c r="AV210" i="4"/>
  <c r="AW210" i="4"/>
  <c r="AX210" i="4"/>
  <c r="AY210" i="4"/>
  <c r="AZ210" i="4"/>
  <c r="BA210" i="4"/>
  <c r="BB210" i="4"/>
  <c r="BC210" i="4"/>
  <c r="BD210" i="4"/>
  <c r="BE210" i="4"/>
  <c r="BF210" i="4"/>
  <c r="BG210" i="4"/>
  <c r="BH210" i="4"/>
  <c r="BI210" i="4"/>
  <c r="BJ210" i="4"/>
  <c r="BK210" i="4"/>
  <c r="BL210" i="4"/>
  <c r="BM210" i="4"/>
  <c r="BN210" i="4"/>
  <c r="BO210" i="4"/>
  <c r="BP210" i="4"/>
  <c r="BQ210" i="4"/>
  <c r="BR210" i="4"/>
  <c r="BS210" i="4"/>
  <c r="BT210" i="4"/>
  <c r="BU210" i="4"/>
  <c r="BV210" i="4"/>
  <c r="BW210" i="4"/>
  <c r="BX210" i="4"/>
  <c r="BY210" i="4"/>
  <c r="BZ210" i="4"/>
  <c r="CA210" i="4"/>
  <c r="CB210" i="4"/>
  <c r="CC210" i="4"/>
  <c r="CD210" i="4"/>
  <c r="CE210" i="4"/>
  <c r="CF210" i="4"/>
  <c r="CG210" i="4"/>
  <c r="CH210" i="4"/>
  <c r="CI210" i="4"/>
  <c r="CJ210" i="4"/>
  <c r="CK210" i="4"/>
  <c r="CL210" i="4"/>
  <c r="CM210" i="4"/>
  <c r="CN210" i="4"/>
  <c r="CO210" i="4"/>
  <c r="CP210" i="4"/>
  <c r="CQ210" i="4"/>
  <c r="CR210" i="4"/>
  <c r="CS210" i="4"/>
  <c r="CT210" i="4"/>
  <c r="CU210" i="4"/>
  <c r="CV210" i="4"/>
  <c r="CW210" i="4"/>
  <c r="CX210" i="4"/>
  <c r="D211" i="4"/>
  <c r="E211" i="4"/>
  <c r="F211" i="4"/>
  <c r="G211" i="4"/>
  <c r="H211" i="4"/>
  <c r="I211" i="4"/>
  <c r="J211" i="4"/>
  <c r="K211" i="4"/>
  <c r="L211" i="4"/>
  <c r="M211" i="4"/>
  <c r="N211" i="4"/>
  <c r="O211" i="4"/>
  <c r="P211" i="4"/>
  <c r="Q211" i="4"/>
  <c r="R211" i="4"/>
  <c r="S211" i="4"/>
  <c r="T211" i="4"/>
  <c r="U211" i="4"/>
  <c r="V211" i="4"/>
  <c r="W211" i="4"/>
  <c r="X211" i="4"/>
  <c r="Y211" i="4"/>
  <c r="Z211" i="4"/>
  <c r="AA211" i="4"/>
  <c r="AB211" i="4"/>
  <c r="AC211" i="4"/>
  <c r="AD211" i="4"/>
  <c r="AE211" i="4"/>
  <c r="AF211" i="4"/>
  <c r="AG211" i="4"/>
  <c r="AH211" i="4"/>
  <c r="AI211" i="4"/>
  <c r="AJ211" i="4"/>
  <c r="AK211" i="4"/>
  <c r="AL211" i="4"/>
  <c r="AM211" i="4"/>
  <c r="AN211" i="4"/>
  <c r="AO211" i="4"/>
  <c r="AP211" i="4"/>
  <c r="AQ211" i="4"/>
  <c r="AR211" i="4"/>
  <c r="AS211" i="4"/>
  <c r="AT211" i="4"/>
  <c r="AU211" i="4"/>
  <c r="AV211" i="4"/>
  <c r="AW211" i="4"/>
  <c r="AX211" i="4"/>
  <c r="AY211" i="4"/>
  <c r="AZ211" i="4"/>
  <c r="BA211" i="4"/>
  <c r="BB211" i="4"/>
  <c r="BC211" i="4"/>
  <c r="BD211" i="4"/>
  <c r="BE211" i="4"/>
  <c r="BF211" i="4"/>
  <c r="BG211" i="4"/>
  <c r="BH211" i="4"/>
  <c r="BI211" i="4"/>
  <c r="BJ211" i="4"/>
  <c r="BK211" i="4"/>
  <c r="BL211" i="4"/>
  <c r="BM211" i="4"/>
  <c r="BN211" i="4"/>
  <c r="BO211" i="4"/>
  <c r="BP211" i="4"/>
  <c r="BQ211" i="4"/>
  <c r="BR211" i="4"/>
  <c r="BS211" i="4"/>
  <c r="BT211" i="4"/>
  <c r="BU211" i="4"/>
  <c r="BV211" i="4"/>
  <c r="BW211" i="4"/>
  <c r="BX211" i="4"/>
  <c r="BY211" i="4"/>
  <c r="BZ211" i="4"/>
  <c r="CA211" i="4"/>
  <c r="CB211" i="4"/>
  <c r="CC211" i="4"/>
  <c r="CD211" i="4"/>
  <c r="CE211" i="4"/>
  <c r="CF211" i="4"/>
  <c r="CG211" i="4"/>
  <c r="CH211" i="4"/>
  <c r="CI211" i="4"/>
  <c r="CJ211" i="4"/>
  <c r="CK211" i="4"/>
  <c r="CL211" i="4"/>
  <c r="CM211" i="4"/>
  <c r="CN211" i="4"/>
  <c r="CO211" i="4"/>
  <c r="CP211" i="4"/>
  <c r="CQ211" i="4"/>
  <c r="CR211" i="4"/>
  <c r="CS211" i="4"/>
  <c r="CT211" i="4"/>
  <c r="CU211" i="4"/>
  <c r="CV211" i="4"/>
  <c r="CW211" i="4"/>
  <c r="CX211" i="4"/>
  <c r="D212" i="4"/>
  <c r="E212" i="4"/>
  <c r="F212" i="4"/>
  <c r="G212" i="4"/>
  <c r="H212" i="4"/>
  <c r="I212" i="4"/>
  <c r="J212" i="4"/>
  <c r="K212" i="4"/>
  <c r="L212" i="4"/>
  <c r="M212" i="4"/>
  <c r="N212" i="4"/>
  <c r="O212" i="4"/>
  <c r="P212" i="4"/>
  <c r="Q212" i="4"/>
  <c r="R212" i="4"/>
  <c r="S212" i="4"/>
  <c r="T212" i="4"/>
  <c r="U212" i="4"/>
  <c r="V212" i="4"/>
  <c r="W212" i="4"/>
  <c r="X212" i="4"/>
  <c r="Y212" i="4"/>
  <c r="Z212" i="4"/>
  <c r="AA212" i="4"/>
  <c r="AB212" i="4"/>
  <c r="AC212" i="4"/>
  <c r="AD212" i="4"/>
  <c r="AE212" i="4"/>
  <c r="AF212" i="4"/>
  <c r="AG212" i="4"/>
  <c r="AH212" i="4"/>
  <c r="AI212" i="4"/>
  <c r="AJ212" i="4"/>
  <c r="AK212" i="4"/>
  <c r="AL212" i="4"/>
  <c r="AM212" i="4"/>
  <c r="AN212" i="4"/>
  <c r="AO212" i="4"/>
  <c r="AP212" i="4"/>
  <c r="AQ212" i="4"/>
  <c r="AR212" i="4"/>
  <c r="AS212" i="4"/>
  <c r="AT212" i="4"/>
  <c r="AU212" i="4"/>
  <c r="AV212" i="4"/>
  <c r="AW212" i="4"/>
  <c r="AX212" i="4"/>
  <c r="AY212" i="4"/>
  <c r="AZ212" i="4"/>
  <c r="BA212" i="4"/>
  <c r="BB212" i="4"/>
  <c r="BC212" i="4"/>
  <c r="BD212" i="4"/>
  <c r="BE212" i="4"/>
  <c r="BF212" i="4"/>
  <c r="BG212" i="4"/>
  <c r="BH212" i="4"/>
  <c r="BI212" i="4"/>
  <c r="BJ212" i="4"/>
  <c r="BK212" i="4"/>
  <c r="BL212" i="4"/>
  <c r="BM212" i="4"/>
  <c r="BN212" i="4"/>
  <c r="BO212" i="4"/>
  <c r="BP212" i="4"/>
  <c r="BQ212" i="4"/>
  <c r="BR212" i="4"/>
  <c r="BS212" i="4"/>
  <c r="BT212" i="4"/>
  <c r="BU212" i="4"/>
  <c r="BV212" i="4"/>
  <c r="BW212" i="4"/>
  <c r="BX212" i="4"/>
  <c r="BY212" i="4"/>
  <c r="BZ212" i="4"/>
  <c r="CA212" i="4"/>
  <c r="CB212" i="4"/>
  <c r="CC212" i="4"/>
  <c r="CD212" i="4"/>
  <c r="CE212" i="4"/>
  <c r="CF212" i="4"/>
  <c r="CG212" i="4"/>
  <c r="CH212" i="4"/>
  <c r="CI212" i="4"/>
  <c r="CJ212" i="4"/>
  <c r="CK212" i="4"/>
  <c r="CL212" i="4"/>
  <c r="CM212" i="4"/>
  <c r="CN212" i="4"/>
  <c r="CO212" i="4"/>
  <c r="CP212" i="4"/>
  <c r="CQ212" i="4"/>
  <c r="CR212" i="4"/>
  <c r="CS212" i="4"/>
  <c r="CT212" i="4"/>
  <c r="CU212" i="4"/>
  <c r="CV212" i="4"/>
  <c r="CW212" i="4"/>
  <c r="CX212" i="4"/>
  <c r="D213" i="4"/>
  <c r="E213" i="4"/>
  <c r="F213" i="4"/>
  <c r="G213" i="4"/>
  <c r="H213" i="4"/>
  <c r="I213" i="4"/>
  <c r="J213" i="4"/>
  <c r="K213" i="4"/>
  <c r="L213" i="4"/>
  <c r="M213" i="4"/>
  <c r="N213" i="4"/>
  <c r="O213" i="4"/>
  <c r="P213" i="4"/>
  <c r="Q213" i="4"/>
  <c r="R213" i="4"/>
  <c r="S213" i="4"/>
  <c r="T213" i="4"/>
  <c r="U213" i="4"/>
  <c r="V213" i="4"/>
  <c r="W213" i="4"/>
  <c r="X213" i="4"/>
  <c r="Y213" i="4"/>
  <c r="Z213" i="4"/>
  <c r="AA213" i="4"/>
  <c r="AB213" i="4"/>
  <c r="AC213" i="4"/>
  <c r="AD213" i="4"/>
  <c r="AE213" i="4"/>
  <c r="AF213" i="4"/>
  <c r="AG213" i="4"/>
  <c r="AH213" i="4"/>
  <c r="AI213" i="4"/>
  <c r="AJ213" i="4"/>
  <c r="AK213" i="4"/>
  <c r="AL213" i="4"/>
  <c r="AM213" i="4"/>
  <c r="AN213" i="4"/>
  <c r="AO213" i="4"/>
  <c r="AP213" i="4"/>
  <c r="AQ213" i="4"/>
  <c r="AR213" i="4"/>
  <c r="AS213" i="4"/>
  <c r="AT213" i="4"/>
  <c r="AU213" i="4"/>
  <c r="AV213" i="4"/>
  <c r="AW213" i="4"/>
  <c r="AX213" i="4"/>
  <c r="AY213" i="4"/>
  <c r="AZ213" i="4"/>
  <c r="BA213" i="4"/>
  <c r="BB213" i="4"/>
  <c r="BC213" i="4"/>
  <c r="BD213" i="4"/>
  <c r="BE213" i="4"/>
  <c r="BF213" i="4"/>
  <c r="BG213" i="4"/>
  <c r="BH213" i="4"/>
  <c r="BI213" i="4"/>
  <c r="BJ213" i="4"/>
  <c r="BK213" i="4"/>
  <c r="BL213" i="4"/>
  <c r="BM213" i="4"/>
  <c r="BN213" i="4"/>
  <c r="BO213" i="4"/>
  <c r="BP213" i="4"/>
  <c r="BQ213" i="4"/>
  <c r="BR213" i="4"/>
  <c r="BS213" i="4"/>
  <c r="BT213" i="4"/>
  <c r="BU213" i="4"/>
  <c r="BV213" i="4"/>
  <c r="BW213" i="4"/>
  <c r="BX213" i="4"/>
  <c r="BY213" i="4"/>
  <c r="BZ213" i="4"/>
  <c r="CA213" i="4"/>
  <c r="CB213" i="4"/>
  <c r="CC213" i="4"/>
  <c r="CD213" i="4"/>
  <c r="CE213" i="4"/>
  <c r="CF213" i="4"/>
  <c r="CG213" i="4"/>
  <c r="CH213" i="4"/>
  <c r="CI213" i="4"/>
  <c r="CJ213" i="4"/>
  <c r="CK213" i="4"/>
  <c r="CL213" i="4"/>
  <c r="CM213" i="4"/>
  <c r="CN213" i="4"/>
  <c r="CO213" i="4"/>
  <c r="CP213" i="4"/>
  <c r="CQ213" i="4"/>
  <c r="CR213" i="4"/>
  <c r="CS213" i="4"/>
  <c r="CT213" i="4"/>
  <c r="CU213" i="4"/>
  <c r="CV213" i="4"/>
  <c r="CW213" i="4"/>
  <c r="CX213" i="4"/>
  <c r="D214" i="4"/>
  <c r="E214" i="4"/>
  <c r="F214" i="4"/>
  <c r="G214" i="4"/>
  <c r="H214" i="4"/>
  <c r="I214" i="4"/>
  <c r="J214" i="4"/>
  <c r="K214" i="4"/>
  <c r="L214" i="4"/>
  <c r="M214" i="4"/>
  <c r="N214" i="4"/>
  <c r="O214" i="4"/>
  <c r="P214" i="4"/>
  <c r="Q214" i="4"/>
  <c r="R214" i="4"/>
  <c r="S214" i="4"/>
  <c r="T214" i="4"/>
  <c r="U214" i="4"/>
  <c r="V214" i="4"/>
  <c r="W214" i="4"/>
  <c r="X214" i="4"/>
  <c r="Y214" i="4"/>
  <c r="Z214" i="4"/>
  <c r="AA214" i="4"/>
  <c r="AB214" i="4"/>
  <c r="AC214" i="4"/>
  <c r="AD214" i="4"/>
  <c r="AE214" i="4"/>
  <c r="AF214" i="4"/>
  <c r="AG214" i="4"/>
  <c r="AH214" i="4"/>
  <c r="AI214" i="4"/>
  <c r="AJ214" i="4"/>
  <c r="AK214" i="4"/>
  <c r="AL214" i="4"/>
  <c r="AM214" i="4"/>
  <c r="AN214" i="4"/>
  <c r="AO214" i="4"/>
  <c r="AP214" i="4"/>
  <c r="AQ214" i="4"/>
  <c r="AR214" i="4"/>
  <c r="AS214" i="4"/>
  <c r="AT214" i="4"/>
  <c r="AU214" i="4"/>
  <c r="AV214" i="4"/>
  <c r="AW214" i="4"/>
  <c r="AX214" i="4"/>
  <c r="AY214" i="4"/>
  <c r="AZ214" i="4"/>
  <c r="BA214" i="4"/>
  <c r="BB214" i="4"/>
  <c r="BC214" i="4"/>
  <c r="BD214" i="4"/>
  <c r="BE214" i="4"/>
  <c r="BF214" i="4"/>
  <c r="BG214" i="4"/>
  <c r="BH214" i="4"/>
  <c r="BI214" i="4"/>
  <c r="BJ214" i="4"/>
  <c r="BK214" i="4"/>
  <c r="BL214" i="4"/>
  <c r="BM214" i="4"/>
  <c r="BN214" i="4"/>
  <c r="BO214" i="4"/>
  <c r="BP214" i="4"/>
  <c r="BQ214" i="4"/>
  <c r="BR214" i="4"/>
  <c r="BS214" i="4"/>
  <c r="BT214" i="4"/>
  <c r="BU214" i="4"/>
  <c r="BV214" i="4"/>
  <c r="BW214" i="4"/>
  <c r="BX214" i="4"/>
  <c r="BY214" i="4"/>
  <c r="BZ214" i="4"/>
  <c r="CA214" i="4"/>
  <c r="CB214" i="4"/>
  <c r="CC214" i="4"/>
  <c r="CD214" i="4"/>
  <c r="CE214" i="4"/>
  <c r="CF214" i="4"/>
  <c r="CG214" i="4"/>
  <c r="CH214" i="4"/>
  <c r="CI214" i="4"/>
  <c r="CJ214" i="4"/>
  <c r="CK214" i="4"/>
  <c r="CL214" i="4"/>
  <c r="CM214" i="4"/>
  <c r="CN214" i="4"/>
  <c r="CO214" i="4"/>
  <c r="CP214" i="4"/>
  <c r="CQ214" i="4"/>
  <c r="CR214" i="4"/>
  <c r="CS214" i="4"/>
  <c r="CT214" i="4"/>
  <c r="CU214" i="4"/>
  <c r="CV214" i="4"/>
  <c r="CW214" i="4"/>
  <c r="CX214" i="4"/>
  <c r="D215" i="4"/>
  <c r="E215" i="4"/>
  <c r="F215" i="4"/>
  <c r="G215" i="4"/>
  <c r="H215" i="4"/>
  <c r="I215" i="4"/>
  <c r="J215" i="4"/>
  <c r="K215" i="4"/>
  <c r="L215" i="4"/>
  <c r="M215" i="4"/>
  <c r="N215" i="4"/>
  <c r="O215" i="4"/>
  <c r="P215" i="4"/>
  <c r="Q215" i="4"/>
  <c r="R215" i="4"/>
  <c r="S215" i="4"/>
  <c r="T215" i="4"/>
  <c r="U215" i="4"/>
  <c r="V215" i="4"/>
  <c r="W215" i="4"/>
  <c r="X215" i="4"/>
  <c r="Y215" i="4"/>
  <c r="Z215" i="4"/>
  <c r="AA215" i="4"/>
  <c r="AB215" i="4"/>
  <c r="AC215" i="4"/>
  <c r="AD215" i="4"/>
  <c r="AE215" i="4"/>
  <c r="AF215" i="4"/>
  <c r="AG215" i="4"/>
  <c r="AH215" i="4"/>
  <c r="AI215" i="4"/>
  <c r="AJ215" i="4"/>
  <c r="AK215" i="4"/>
  <c r="AL215" i="4"/>
  <c r="AM215" i="4"/>
  <c r="AN215" i="4"/>
  <c r="AO215" i="4"/>
  <c r="AP215" i="4"/>
  <c r="AQ215" i="4"/>
  <c r="AR215" i="4"/>
  <c r="AS215" i="4"/>
  <c r="AT215" i="4"/>
  <c r="AU215" i="4"/>
  <c r="AV215" i="4"/>
  <c r="AW215" i="4"/>
  <c r="AX215" i="4"/>
  <c r="AY215" i="4"/>
  <c r="AZ215" i="4"/>
  <c r="BA215" i="4"/>
  <c r="BB215" i="4"/>
  <c r="BC215" i="4"/>
  <c r="BD215" i="4"/>
  <c r="BE215" i="4"/>
  <c r="BF215" i="4"/>
  <c r="BG215" i="4"/>
  <c r="BH215" i="4"/>
  <c r="BI215" i="4"/>
  <c r="BJ215" i="4"/>
  <c r="BK215" i="4"/>
  <c r="BL215" i="4"/>
  <c r="BM215" i="4"/>
  <c r="BN215" i="4"/>
  <c r="BO215" i="4"/>
  <c r="BP215" i="4"/>
  <c r="BQ215" i="4"/>
  <c r="BR215" i="4"/>
  <c r="BS215" i="4"/>
  <c r="BT215" i="4"/>
  <c r="BU215" i="4"/>
  <c r="BV215" i="4"/>
  <c r="BW215" i="4"/>
  <c r="BX215" i="4"/>
  <c r="BY215" i="4"/>
  <c r="BZ215" i="4"/>
  <c r="CA215" i="4"/>
  <c r="CB215" i="4"/>
  <c r="CC215" i="4"/>
  <c r="CD215" i="4"/>
  <c r="CE215" i="4"/>
  <c r="CF215" i="4"/>
  <c r="CG215" i="4"/>
  <c r="CH215" i="4"/>
  <c r="CI215" i="4"/>
  <c r="CJ215" i="4"/>
  <c r="CK215" i="4"/>
  <c r="CL215" i="4"/>
  <c r="CM215" i="4"/>
  <c r="CN215" i="4"/>
  <c r="CO215" i="4"/>
  <c r="CP215" i="4"/>
  <c r="CQ215" i="4"/>
  <c r="CR215" i="4"/>
  <c r="CS215" i="4"/>
  <c r="CT215" i="4"/>
  <c r="CU215" i="4"/>
  <c r="CV215" i="4"/>
  <c r="CW215" i="4"/>
  <c r="CX215" i="4"/>
  <c r="D216" i="4"/>
  <c r="E216" i="4"/>
  <c r="F216" i="4"/>
  <c r="G216" i="4"/>
  <c r="H216" i="4"/>
  <c r="I216" i="4"/>
  <c r="J216" i="4"/>
  <c r="K216" i="4"/>
  <c r="L216" i="4"/>
  <c r="M216" i="4"/>
  <c r="N216" i="4"/>
  <c r="O216" i="4"/>
  <c r="P216" i="4"/>
  <c r="Q216" i="4"/>
  <c r="R216" i="4"/>
  <c r="S216" i="4"/>
  <c r="T216" i="4"/>
  <c r="U216" i="4"/>
  <c r="V216" i="4"/>
  <c r="W216" i="4"/>
  <c r="X216" i="4"/>
  <c r="Y216" i="4"/>
  <c r="Z216" i="4"/>
  <c r="AA216" i="4"/>
  <c r="AB216" i="4"/>
  <c r="AC216" i="4"/>
  <c r="AD216" i="4"/>
  <c r="AE216" i="4"/>
  <c r="AF216" i="4"/>
  <c r="AG216" i="4"/>
  <c r="AH216" i="4"/>
  <c r="AI216" i="4"/>
  <c r="AJ216" i="4"/>
  <c r="AK216" i="4"/>
  <c r="AL216" i="4"/>
  <c r="AM216" i="4"/>
  <c r="AN216" i="4"/>
  <c r="AO216" i="4"/>
  <c r="AP216" i="4"/>
  <c r="AQ216" i="4"/>
  <c r="AR216" i="4"/>
  <c r="AS216" i="4"/>
  <c r="AT216" i="4"/>
  <c r="AU216" i="4"/>
  <c r="AV216" i="4"/>
  <c r="AW216" i="4"/>
  <c r="AX216" i="4"/>
  <c r="AY216" i="4"/>
  <c r="AZ216" i="4"/>
  <c r="BA216" i="4"/>
  <c r="BB216" i="4"/>
  <c r="BC216" i="4"/>
  <c r="BD216" i="4"/>
  <c r="BE216" i="4"/>
  <c r="BF216" i="4"/>
  <c r="BG216" i="4"/>
  <c r="BH216" i="4"/>
  <c r="BI216" i="4"/>
  <c r="BJ216" i="4"/>
  <c r="BK216" i="4"/>
  <c r="BL216" i="4"/>
  <c r="BM216" i="4"/>
  <c r="BN216" i="4"/>
  <c r="BO216" i="4"/>
  <c r="BP216" i="4"/>
  <c r="BQ216" i="4"/>
  <c r="BR216" i="4"/>
  <c r="BS216" i="4"/>
  <c r="BT216" i="4"/>
  <c r="BU216" i="4"/>
  <c r="BV216" i="4"/>
  <c r="BW216" i="4"/>
  <c r="BX216" i="4"/>
  <c r="BY216" i="4"/>
  <c r="BZ216" i="4"/>
  <c r="CA216" i="4"/>
  <c r="CB216" i="4"/>
  <c r="CC216" i="4"/>
  <c r="CD216" i="4"/>
  <c r="CE216" i="4"/>
  <c r="CF216" i="4"/>
  <c r="CG216" i="4"/>
  <c r="CH216" i="4"/>
  <c r="CI216" i="4"/>
  <c r="CJ216" i="4"/>
  <c r="CK216" i="4"/>
  <c r="CL216" i="4"/>
  <c r="CM216" i="4"/>
  <c r="CN216" i="4"/>
  <c r="CO216" i="4"/>
  <c r="CP216" i="4"/>
  <c r="CQ216" i="4"/>
  <c r="CR216" i="4"/>
  <c r="CS216" i="4"/>
  <c r="CT216" i="4"/>
  <c r="CU216" i="4"/>
  <c r="CV216" i="4"/>
  <c r="CW216" i="4"/>
  <c r="CX216" i="4"/>
  <c r="D217" i="4"/>
  <c r="E217" i="4"/>
  <c r="F217" i="4"/>
  <c r="G217" i="4"/>
  <c r="H217" i="4"/>
  <c r="I217" i="4"/>
  <c r="J217" i="4"/>
  <c r="K217" i="4"/>
  <c r="L217" i="4"/>
  <c r="M217" i="4"/>
  <c r="N217" i="4"/>
  <c r="O217" i="4"/>
  <c r="P217" i="4"/>
  <c r="Q217" i="4"/>
  <c r="R217" i="4"/>
  <c r="S217" i="4"/>
  <c r="T217" i="4"/>
  <c r="U217" i="4"/>
  <c r="V217" i="4"/>
  <c r="W217" i="4"/>
  <c r="X217" i="4"/>
  <c r="Y217" i="4"/>
  <c r="Z217" i="4"/>
  <c r="AA217" i="4"/>
  <c r="AB217" i="4"/>
  <c r="AC217" i="4"/>
  <c r="AD217" i="4"/>
  <c r="AE217" i="4"/>
  <c r="AF217" i="4"/>
  <c r="AG217" i="4"/>
  <c r="AH217" i="4"/>
  <c r="AI217" i="4"/>
  <c r="AJ217" i="4"/>
  <c r="AK217" i="4"/>
  <c r="AL217" i="4"/>
  <c r="AM217" i="4"/>
  <c r="AN217" i="4"/>
  <c r="AO217" i="4"/>
  <c r="AP217" i="4"/>
  <c r="AQ217" i="4"/>
  <c r="AR217" i="4"/>
  <c r="AS217" i="4"/>
  <c r="AT217" i="4"/>
  <c r="AU217" i="4"/>
  <c r="AV217" i="4"/>
  <c r="AW217" i="4"/>
  <c r="AX217" i="4"/>
  <c r="AY217" i="4"/>
  <c r="AZ217" i="4"/>
  <c r="BA217" i="4"/>
  <c r="BB217" i="4"/>
  <c r="BC217" i="4"/>
  <c r="BD217" i="4"/>
  <c r="BE217" i="4"/>
  <c r="BF217" i="4"/>
  <c r="BG217" i="4"/>
  <c r="BH217" i="4"/>
  <c r="BI217" i="4"/>
  <c r="BJ217" i="4"/>
  <c r="BK217" i="4"/>
  <c r="BL217" i="4"/>
  <c r="BM217" i="4"/>
  <c r="BN217" i="4"/>
  <c r="BO217" i="4"/>
  <c r="BP217" i="4"/>
  <c r="BQ217" i="4"/>
  <c r="BR217" i="4"/>
  <c r="BS217" i="4"/>
  <c r="BT217" i="4"/>
  <c r="BU217" i="4"/>
  <c r="BV217" i="4"/>
  <c r="BW217" i="4"/>
  <c r="BX217" i="4"/>
  <c r="BY217" i="4"/>
  <c r="BZ217" i="4"/>
  <c r="CA217" i="4"/>
  <c r="CB217" i="4"/>
  <c r="CC217" i="4"/>
  <c r="CD217" i="4"/>
  <c r="CE217" i="4"/>
  <c r="CF217" i="4"/>
  <c r="CG217" i="4"/>
  <c r="CH217" i="4"/>
  <c r="CI217" i="4"/>
  <c r="CJ217" i="4"/>
  <c r="CK217" i="4"/>
  <c r="CL217" i="4"/>
  <c r="CM217" i="4"/>
  <c r="CN217" i="4"/>
  <c r="CO217" i="4"/>
  <c r="CP217" i="4"/>
  <c r="CQ217" i="4"/>
  <c r="CR217" i="4"/>
  <c r="CS217" i="4"/>
  <c r="CT217" i="4"/>
  <c r="CU217" i="4"/>
  <c r="CV217" i="4"/>
  <c r="CW217" i="4"/>
  <c r="CX217" i="4"/>
  <c r="D218" i="4"/>
  <c r="E218" i="4"/>
  <c r="F218" i="4"/>
  <c r="G218" i="4"/>
  <c r="H218" i="4"/>
  <c r="I218" i="4"/>
  <c r="J218" i="4"/>
  <c r="K218" i="4"/>
  <c r="L218" i="4"/>
  <c r="M218" i="4"/>
  <c r="N218" i="4"/>
  <c r="O218" i="4"/>
  <c r="P218" i="4"/>
  <c r="Q218" i="4"/>
  <c r="R218" i="4"/>
  <c r="S218" i="4"/>
  <c r="T218" i="4"/>
  <c r="U218" i="4"/>
  <c r="V218" i="4"/>
  <c r="W218" i="4"/>
  <c r="X218" i="4"/>
  <c r="Y218" i="4"/>
  <c r="Z218" i="4"/>
  <c r="AA218" i="4"/>
  <c r="AB218" i="4"/>
  <c r="AC218" i="4"/>
  <c r="AD218" i="4"/>
  <c r="AE218" i="4"/>
  <c r="AF218" i="4"/>
  <c r="AG218" i="4"/>
  <c r="AH218" i="4"/>
  <c r="AI218" i="4"/>
  <c r="AJ218" i="4"/>
  <c r="AK218" i="4"/>
  <c r="AL218" i="4"/>
  <c r="AM218" i="4"/>
  <c r="AN218" i="4"/>
  <c r="AO218" i="4"/>
  <c r="AP218" i="4"/>
  <c r="AQ218" i="4"/>
  <c r="AR218" i="4"/>
  <c r="AS218" i="4"/>
  <c r="AT218" i="4"/>
  <c r="AU218" i="4"/>
  <c r="AV218" i="4"/>
  <c r="AW218" i="4"/>
  <c r="AX218" i="4"/>
  <c r="AY218" i="4"/>
  <c r="AZ218" i="4"/>
  <c r="BA218" i="4"/>
  <c r="BB218" i="4"/>
  <c r="BC218" i="4"/>
  <c r="BD218" i="4"/>
  <c r="BE218" i="4"/>
  <c r="BF218" i="4"/>
  <c r="BG218" i="4"/>
  <c r="BH218" i="4"/>
  <c r="BI218" i="4"/>
  <c r="BJ218" i="4"/>
  <c r="BK218" i="4"/>
  <c r="BL218" i="4"/>
  <c r="BM218" i="4"/>
  <c r="BN218" i="4"/>
  <c r="BO218" i="4"/>
  <c r="BP218" i="4"/>
  <c r="BQ218" i="4"/>
  <c r="BR218" i="4"/>
  <c r="BS218" i="4"/>
  <c r="BT218" i="4"/>
  <c r="BU218" i="4"/>
  <c r="BV218" i="4"/>
  <c r="BW218" i="4"/>
  <c r="BX218" i="4"/>
  <c r="BY218" i="4"/>
  <c r="BZ218" i="4"/>
  <c r="CA218" i="4"/>
  <c r="CB218" i="4"/>
  <c r="CC218" i="4"/>
  <c r="CD218" i="4"/>
  <c r="CE218" i="4"/>
  <c r="CF218" i="4"/>
  <c r="CG218" i="4"/>
  <c r="CH218" i="4"/>
  <c r="CI218" i="4"/>
  <c r="CJ218" i="4"/>
  <c r="CK218" i="4"/>
  <c r="CL218" i="4"/>
  <c r="CM218" i="4"/>
  <c r="CN218" i="4"/>
  <c r="CO218" i="4"/>
  <c r="CP218" i="4"/>
  <c r="CQ218" i="4"/>
  <c r="CR218" i="4"/>
  <c r="CS218" i="4"/>
  <c r="CT218" i="4"/>
  <c r="CU218" i="4"/>
  <c r="CV218" i="4"/>
  <c r="CW218" i="4"/>
  <c r="CX218" i="4"/>
  <c r="D219" i="4"/>
  <c r="E219" i="4"/>
  <c r="F219" i="4"/>
  <c r="G219" i="4"/>
  <c r="H219" i="4"/>
  <c r="I219" i="4"/>
  <c r="J219" i="4"/>
  <c r="K219" i="4"/>
  <c r="L219" i="4"/>
  <c r="M219" i="4"/>
  <c r="N219" i="4"/>
  <c r="O219" i="4"/>
  <c r="P219" i="4"/>
  <c r="Q219" i="4"/>
  <c r="R219" i="4"/>
  <c r="S219" i="4"/>
  <c r="T219" i="4"/>
  <c r="U219" i="4"/>
  <c r="V219" i="4"/>
  <c r="W219" i="4"/>
  <c r="X219" i="4"/>
  <c r="Y219" i="4"/>
  <c r="Z219" i="4"/>
  <c r="AA219" i="4"/>
  <c r="AB219" i="4"/>
  <c r="AC219" i="4"/>
  <c r="AD219" i="4"/>
  <c r="AE219" i="4"/>
  <c r="AF219" i="4"/>
  <c r="AG219" i="4"/>
  <c r="AH219" i="4"/>
  <c r="AI219" i="4"/>
  <c r="AJ219" i="4"/>
  <c r="AK219" i="4"/>
  <c r="AL219" i="4"/>
  <c r="AM219" i="4"/>
  <c r="AN219" i="4"/>
  <c r="AO219" i="4"/>
  <c r="AP219" i="4"/>
  <c r="AQ219" i="4"/>
  <c r="AR219" i="4"/>
  <c r="AS219" i="4"/>
  <c r="AT219" i="4"/>
  <c r="AU219" i="4"/>
  <c r="AV219" i="4"/>
  <c r="AW219" i="4"/>
  <c r="AX219" i="4"/>
  <c r="AY219" i="4"/>
  <c r="AZ219" i="4"/>
  <c r="BA219" i="4"/>
  <c r="BB219" i="4"/>
  <c r="BC219" i="4"/>
  <c r="BD219" i="4"/>
  <c r="BE219" i="4"/>
  <c r="BF219" i="4"/>
  <c r="BG219" i="4"/>
  <c r="BH219" i="4"/>
  <c r="BI219" i="4"/>
  <c r="BJ219" i="4"/>
  <c r="BK219" i="4"/>
  <c r="BL219" i="4"/>
  <c r="BM219" i="4"/>
  <c r="BN219" i="4"/>
  <c r="BO219" i="4"/>
  <c r="BP219" i="4"/>
  <c r="BQ219" i="4"/>
  <c r="BR219" i="4"/>
  <c r="BS219" i="4"/>
  <c r="BT219" i="4"/>
  <c r="BU219" i="4"/>
  <c r="BV219" i="4"/>
  <c r="BW219" i="4"/>
  <c r="BX219" i="4"/>
  <c r="BY219" i="4"/>
  <c r="BZ219" i="4"/>
  <c r="CA219" i="4"/>
  <c r="CB219" i="4"/>
  <c r="CC219" i="4"/>
  <c r="CD219" i="4"/>
  <c r="CE219" i="4"/>
  <c r="CF219" i="4"/>
  <c r="CG219" i="4"/>
  <c r="CH219" i="4"/>
  <c r="CI219" i="4"/>
  <c r="CJ219" i="4"/>
  <c r="CK219" i="4"/>
  <c r="CL219" i="4"/>
  <c r="CM219" i="4"/>
  <c r="CN219" i="4"/>
  <c r="CO219" i="4"/>
  <c r="CP219" i="4"/>
  <c r="CQ219" i="4"/>
  <c r="CR219" i="4"/>
  <c r="CS219" i="4"/>
  <c r="CT219" i="4"/>
  <c r="CU219" i="4"/>
  <c r="CV219" i="4"/>
  <c r="CW219" i="4"/>
  <c r="CX219" i="4"/>
  <c r="D220" i="4"/>
  <c r="E220" i="4"/>
  <c r="F220" i="4"/>
  <c r="G220" i="4"/>
  <c r="H220" i="4"/>
  <c r="I220" i="4"/>
  <c r="J220" i="4"/>
  <c r="K220" i="4"/>
  <c r="L220" i="4"/>
  <c r="M220" i="4"/>
  <c r="N220" i="4"/>
  <c r="O220" i="4"/>
  <c r="P220" i="4"/>
  <c r="Q220" i="4"/>
  <c r="R220" i="4"/>
  <c r="S220" i="4"/>
  <c r="T220" i="4"/>
  <c r="U220" i="4"/>
  <c r="V220" i="4"/>
  <c r="W220" i="4"/>
  <c r="X220" i="4"/>
  <c r="Y220" i="4"/>
  <c r="Z220" i="4"/>
  <c r="AA220" i="4"/>
  <c r="AB220" i="4"/>
  <c r="AC220" i="4"/>
  <c r="AD220" i="4"/>
  <c r="AE220" i="4"/>
  <c r="AF220" i="4"/>
  <c r="AG220" i="4"/>
  <c r="AH220" i="4"/>
  <c r="AI220" i="4"/>
  <c r="AJ220" i="4"/>
  <c r="AK220" i="4"/>
  <c r="AL220" i="4"/>
  <c r="AM220" i="4"/>
  <c r="AN220" i="4"/>
  <c r="AO220" i="4"/>
  <c r="AP220" i="4"/>
  <c r="AQ220" i="4"/>
  <c r="AR220" i="4"/>
  <c r="AS220" i="4"/>
  <c r="AT220" i="4"/>
  <c r="AU220" i="4"/>
  <c r="AV220" i="4"/>
  <c r="AW220" i="4"/>
  <c r="AX220" i="4"/>
  <c r="AY220" i="4"/>
  <c r="AZ220" i="4"/>
  <c r="BA220" i="4"/>
  <c r="BB220" i="4"/>
  <c r="BC220" i="4"/>
  <c r="BD220" i="4"/>
  <c r="BE220" i="4"/>
  <c r="BF220" i="4"/>
  <c r="BG220" i="4"/>
  <c r="BH220" i="4"/>
  <c r="BI220" i="4"/>
  <c r="BJ220" i="4"/>
  <c r="BK220" i="4"/>
  <c r="BL220" i="4"/>
  <c r="BM220" i="4"/>
  <c r="BN220" i="4"/>
  <c r="BO220" i="4"/>
  <c r="BP220" i="4"/>
  <c r="BQ220" i="4"/>
  <c r="BR220" i="4"/>
  <c r="BS220" i="4"/>
  <c r="BT220" i="4"/>
  <c r="BU220" i="4"/>
  <c r="BV220" i="4"/>
  <c r="BW220" i="4"/>
  <c r="BX220" i="4"/>
  <c r="BY220" i="4"/>
  <c r="BZ220" i="4"/>
  <c r="CA220" i="4"/>
  <c r="CB220" i="4"/>
  <c r="CC220" i="4"/>
  <c r="CD220" i="4"/>
  <c r="CE220" i="4"/>
  <c r="CF220" i="4"/>
  <c r="CG220" i="4"/>
  <c r="CH220" i="4"/>
  <c r="CI220" i="4"/>
  <c r="CJ220" i="4"/>
  <c r="CK220" i="4"/>
  <c r="CL220" i="4"/>
  <c r="CM220" i="4"/>
  <c r="CN220" i="4"/>
  <c r="CO220" i="4"/>
  <c r="CP220" i="4"/>
  <c r="CQ220" i="4"/>
  <c r="CR220" i="4"/>
  <c r="CS220" i="4"/>
  <c r="CT220" i="4"/>
  <c r="CU220" i="4"/>
  <c r="CV220" i="4"/>
  <c r="CW220" i="4"/>
  <c r="CX220" i="4"/>
  <c r="D221" i="4"/>
  <c r="E221" i="4"/>
  <c r="F221" i="4"/>
  <c r="G221" i="4"/>
  <c r="H221" i="4"/>
  <c r="I221" i="4"/>
  <c r="J221" i="4"/>
  <c r="K221" i="4"/>
  <c r="L221" i="4"/>
  <c r="M221" i="4"/>
  <c r="N221" i="4"/>
  <c r="O221" i="4"/>
  <c r="P221" i="4"/>
  <c r="Q221" i="4"/>
  <c r="R221" i="4"/>
  <c r="S221" i="4"/>
  <c r="T221" i="4"/>
  <c r="U221" i="4"/>
  <c r="V221" i="4"/>
  <c r="W221" i="4"/>
  <c r="X221" i="4"/>
  <c r="Y221" i="4"/>
  <c r="Z221" i="4"/>
  <c r="AA221" i="4"/>
  <c r="AB221" i="4"/>
  <c r="AC221" i="4"/>
  <c r="AD221" i="4"/>
  <c r="AE221" i="4"/>
  <c r="AF221" i="4"/>
  <c r="AG221" i="4"/>
  <c r="AH221" i="4"/>
  <c r="AI221" i="4"/>
  <c r="AJ221" i="4"/>
  <c r="AK221" i="4"/>
  <c r="AL221" i="4"/>
  <c r="AM221" i="4"/>
  <c r="AN221" i="4"/>
  <c r="AO221" i="4"/>
  <c r="AP221" i="4"/>
  <c r="AQ221" i="4"/>
  <c r="AR221" i="4"/>
  <c r="AS221" i="4"/>
  <c r="AT221" i="4"/>
  <c r="AU221" i="4"/>
  <c r="AV221" i="4"/>
  <c r="AW221" i="4"/>
  <c r="AX221" i="4"/>
  <c r="AY221" i="4"/>
  <c r="AZ221" i="4"/>
  <c r="BA221" i="4"/>
  <c r="BB221" i="4"/>
  <c r="BC221" i="4"/>
  <c r="BD221" i="4"/>
  <c r="BE221" i="4"/>
  <c r="BF221" i="4"/>
  <c r="BG221" i="4"/>
  <c r="BH221" i="4"/>
  <c r="BI221" i="4"/>
  <c r="BJ221" i="4"/>
  <c r="BK221" i="4"/>
  <c r="BL221" i="4"/>
  <c r="BM221" i="4"/>
  <c r="BN221" i="4"/>
  <c r="BO221" i="4"/>
  <c r="BP221" i="4"/>
  <c r="BQ221" i="4"/>
  <c r="BR221" i="4"/>
  <c r="BS221" i="4"/>
  <c r="BT221" i="4"/>
  <c r="BU221" i="4"/>
  <c r="BV221" i="4"/>
  <c r="BW221" i="4"/>
  <c r="BX221" i="4"/>
  <c r="BY221" i="4"/>
  <c r="BZ221" i="4"/>
  <c r="CA221" i="4"/>
  <c r="CB221" i="4"/>
  <c r="CC221" i="4"/>
  <c r="CD221" i="4"/>
  <c r="CE221" i="4"/>
  <c r="CF221" i="4"/>
  <c r="CG221" i="4"/>
  <c r="CH221" i="4"/>
  <c r="CI221" i="4"/>
  <c r="CJ221" i="4"/>
  <c r="CK221" i="4"/>
  <c r="CL221" i="4"/>
  <c r="CM221" i="4"/>
  <c r="CN221" i="4"/>
  <c r="CO221" i="4"/>
  <c r="CP221" i="4"/>
  <c r="CQ221" i="4"/>
  <c r="CR221" i="4"/>
  <c r="CS221" i="4"/>
  <c r="CT221" i="4"/>
  <c r="CU221" i="4"/>
  <c r="CV221" i="4"/>
  <c r="CW221" i="4"/>
  <c r="CX221" i="4"/>
  <c r="D222" i="4"/>
  <c r="E222" i="4"/>
  <c r="F222" i="4"/>
  <c r="G222" i="4"/>
  <c r="H222" i="4"/>
  <c r="I222" i="4"/>
  <c r="J222" i="4"/>
  <c r="K222" i="4"/>
  <c r="L222" i="4"/>
  <c r="M222" i="4"/>
  <c r="N222" i="4"/>
  <c r="O222" i="4"/>
  <c r="P222" i="4"/>
  <c r="Q222" i="4"/>
  <c r="R222" i="4"/>
  <c r="S222" i="4"/>
  <c r="T222" i="4"/>
  <c r="U222" i="4"/>
  <c r="V222" i="4"/>
  <c r="W222" i="4"/>
  <c r="X222" i="4"/>
  <c r="Y222" i="4"/>
  <c r="Z222" i="4"/>
  <c r="AA222" i="4"/>
  <c r="AB222" i="4"/>
  <c r="AC222" i="4"/>
  <c r="AD222" i="4"/>
  <c r="AE222" i="4"/>
  <c r="AF222" i="4"/>
  <c r="AG222" i="4"/>
  <c r="AH222" i="4"/>
  <c r="AI222" i="4"/>
  <c r="AJ222" i="4"/>
  <c r="AK222" i="4"/>
  <c r="AL222" i="4"/>
  <c r="AM222" i="4"/>
  <c r="AN222" i="4"/>
  <c r="AO222" i="4"/>
  <c r="AP222" i="4"/>
  <c r="AQ222" i="4"/>
  <c r="AR222" i="4"/>
  <c r="AS222" i="4"/>
  <c r="AT222" i="4"/>
  <c r="AU222" i="4"/>
  <c r="AV222" i="4"/>
  <c r="AW222" i="4"/>
  <c r="AX222" i="4"/>
  <c r="AY222" i="4"/>
  <c r="AZ222" i="4"/>
  <c r="BA222" i="4"/>
  <c r="BB222" i="4"/>
  <c r="BC222" i="4"/>
  <c r="BD222" i="4"/>
  <c r="BE222" i="4"/>
  <c r="BF222" i="4"/>
  <c r="BG222" i="4"/>
  <c r="BH222" i="4"/>
  <c r="BI222" i="4"/>
  <c r="BJ222" i="4"/>
  <c r="BK222" i="4"/>
  <c r="BL222" i="4"/>
  <c r="BM222" i="4"/>
  <c r="BN222" i="4"/>
  <c r="BO222" i="4"/>
  <c r="BP222" i="4"/>
  <c r="BQ222" i="4"/>
  <c r="BR222" i="4"/>
  <c r="BS222" i="4"/>
  <c r="BT222" i="4"/>
  <c r="BU222" i="4"/>
  <c r="BV222" i="4"/>
  <c r="BW222" i="4"/>
  <c r="BX222" i="4"/>
  <c r="BY222" i="4"/>
  <c r="BZ222" i="4"/>
  <c r="CA222" i="4"/>
  <c r="CB222" i="4"/>
  <c r="CC222" i="4"/>
  <c r="CD222" i="4"/>
  <c r="CE222" i="4"/>
  <c r="CF222" i="4"/>
  <c r="CG222" i="4"/>
  <c r="CH222" i="4"/>
  <c r="CI222" i="4"/>
  <c r="CJ222" i="4"/>
  <c r="CK222" i="4"/>
  <c r="CL222" i="4"/>
  <c r="CM222" i="4"/>
  <c r="CN222" i="4"/>
  <c r="CO222" i="4"/>
  <c r="CP222" i="4"/>
  <c r="CQ222" i="4"/>
  <c r="CR222" i="4"/>
  <c r="CS222" i="4"/>
  <c r="CT222" i="4"/>
  <c r="CU222" i="4"/>
  <c r="CV222" i="4"/>
  <c r="CW222" i="4"/>
  <c r="CX222" i="4"/>
  <c r="D223" i="4"/>
  <c r="E223" i="4"/>
  <c r="F223" i="4"/>
  <c r="G223" i="4"/>
  <c r="H223" i="4"/>
  <c r="I223" i="4"/>
  <c r="J223" i="4"/>
  <c r="K223" i="4"/>
  <c r="L223" i="4"/>
  <c r="M223" i="4"/>
  <c r="N223" i="4"/>
  <c r="O223" i="4"/>
  <c r="P223" i="4"/>
  <c r="Q223" i="4"/>
  <c r="R223" i="4"/>
  <c r="S223" i="4"/>
  <c r="T223" i="4"/>
  <c r="U223" i="4"/>
  <c r="V223" i="4"/>
  <c r="W223" i="4"/>
  <c r="X223" i="4"/>
  <c r="Y223" i="4"/>
  <c r="Z223" i="4"/>
  <c r="AA223" i="4"/>
  <c r="AB223" i="4"/>
  <c r="AC223" i="4"/>
  <c r="AD223" i="4"/>
  <c r="AE223" i="4"/>
  <c r="AF223" i="4"/>
  <c r="AG223" i="4"/>
  <c r="AH223" i="4"/>
  <c r="AI223" i="4"/>
  <c r="AJ223" i="4"/>
  <c r="AK223" i="4"/>
  <c r="AL223" i="4"/>
  <c r="AM223" i="4"/>
  <c r="AN223" i="4"/>
  <c r="AO223" i="4"/>
  <c r="AP223" i="4"/>
  <c r="AQ223" i="4"/>
  <c r="AR223" i="4"/>
  <c r="AS223" i="4"/>
  <c r="AT223" i="4"/>
  <c r="AU223" i="4"/>
  <c r="AV223" i="4"/>
  <c r="AW223" i="4"/>
  <c r="AX223" i="4"/>
  <c r="AY223" i="4"/>
  <c r="AZ223" i="4"/>
  <c r="BA223" i="4"/>
  <c r="BB223" i="4"/>
  <c r="BC223" i="4"/>
  <c r="BD223" i="4"/>
  <c r="BE223" i="4"/>
  <c r="BF223" i="4"/>
  <c r="BG223" i="4"/>
  <c r="BH223" i="4"/>
  <c r="BI223" i="4"/>
  <c r="BJ223" i="4"/>
  <c r="BK223" i="4"/>
  <c r="BL223" i="4"/>
  <c r="BM223" i="4"/>
  <c r="BN223" i="4"/>
  <c r="BO223" i="4"/>
  <c r="BP223" i="4"/>
  <c r="BQ223" i="4"/>
  <c r="BR223" i="4"/>
  <c r="BS223" i="4"/>
  <c r="BT223" i="4"/>
  <c r="BU223" i="4"/>
  <c r="BV223" i="4"/>
  <c r="BW223" i="4"/>
  <c r="BX223" i="4"/>
  <c r="BY223" i="4"/>
  <c r="BZ223" i="4"/>
  <c r="CA223" i="4"/>
  <c r="CB223" i="4"/>
  <c r="CC223" i="4"/>
  <c r="CD223" i="4"/>
  <c r="CE223" i="4"/>
  <c r="CF223" i="4"/>
  <c r="CG223" i="4"/>
  <c r="CH223" i="4"/>
  <c r="CI223" i="4"/>
  <c r="CJ223" i="4"/>
  <c r="CK223" i="4"/>
  <c r="CL223" i="4"/>
  <c r="CM223" i="4"/>
  <c r="CN223" i="4"/>
  <c r="CO223" i="4"/>
  <c r="CP223" i="4"/>
  <c r="CQ223" i="4"/>
  <c r="CR223" i="4"/>
  <c r="CS223" i="4"/>
  <c r="CT223" i="4"/>
  <c r="CU223" i="4"/>
  <c r="CV223" i="4"/>
  <c r="CW223" i="4"/>
  <c r="CX223" i="4"/>
  <c r="D224" i="4"/>
  <c r="E224" i="4"/>
  <c r="F224" i="4"/>
  <c r="G224" i="4"/>
  <c r="H224" i="4"/>
  <c r="I224" i="4"/>
  <c r="J224" i="4"/>
  <c r="K224" i="4"/>
  <c r="L224" i="4"/>
  <c r="M224" i="4"/>
  <c r="N224" i="4"/>
  <c r="O224" i="4"/>
  <c r="P224" i="4"/>
  <c r="Q224" i="4"/>
  <c r="R224" i="4"/>
  <c r="S224" i="4"/>
  <c r="T224" i="4"/>
  <c r="U224" i="4"/>
  <c r="V224" i="4"/>
  <c r="W224" i="4"/>
  <c r="X224" i="4"/>
  <c r="Y224" i="4"/>
  <c r="Z224" i="4"/>
  <c r="AA224" i="4"/>
  <c r="AB224" i="4"/>
  <c r="AC224" i="4"/>
  <c r="AD224" i="4"/>
  <c r="AE224" i="4"/>
  <c r="AF224" i="4"/>
  <c r="AG224" i="4"/>
  <c r="AH224" i="4"/>
  <c r="AI224" i="4"/>
  <c r="AJ224" i="4"/>
  <c r="AK224" i="4"/>
  <c r="AL224" i="4"/>
  <c r="AM224" i="4"/>
  <c r="AN224" i="4"/>
  <c r="AO224" i="4"/>
  <c r="AP224" i="4"/>
  <c r="AQ224" i="4"/>
  <c r="AR224" i="4"/>
  <c r="AS224" i="4"/>
  <c r="AT224" i="4"/>
  <c r="AU224" i="4"/>
  <c r="AV224" i="4"/>
  <c r="AW224" i="4"/>
  <c r="AX224" i="4"/>
  <c r="AY224" i="4"/>
  <c r="AZ224" i="4"/>
  <c r="BA224" i="4"/>
  <c r="BB224" i="4"/>
  <c r="BC224" i="4"/>
  <c r="BD224" i="4"/>
  <c r="BE224" i="4"/>
  <c r="BF224" i="4"/>
  <c r="BG224" i="4"/>
  <c r="BH224" i="4"/>
  <c r="BI224" i="4"/>
  <c r="BJ224" i="4"/>
  <c r="BK224" i="4"/>
  <c r="BL224" i="4"/>
  <c r="BM224" i="4"/>
  <c r="BN224" i="4"/>
  <c r="BO224" i="4"/>
  <c r="BP224" i="4"/>
  <c r="BQ224" i="4"/>
  <c r="BR224" i="4"/>
  <c r="BS224" i="4"/>
  <c r="BT224" i="4"/>
  <c r="BU224" i="4"/>
  <c r="BV224" i="4"/>
  <c r="BW224" i="4"/>
  <c r="BX224" i="4"/>
  <c r="BY224" i="4"/>
  <c r="BZ224" i="4"/>
  <c r="CA224" i="4"/>
  <c r="CB224" i="4"/>
  <c r="CC224" i="4"/>
  <c r="CD224" i="4"/>
  <c r="CE224" i="4"/>
  <c r="CF224" i="4"/>
  <c r="CG224" i="4"/>
  <c r="CH224" i="4"/>
  <c r="CI224" i="4"/>
  <c r="CJ224" i="4"/>
  <c r="CK224" i="4"/>
  <c r="CL224" i="4"/>
  <c r="CM224" i="4"/>
  <c r="CN224" i="4"/>
  <c r="CO224" i="4"/>
  <c r="CP224" i="4"/>
  <c r="CQ224" i="4"/>
  <c r="CR224" i="4"/>
  <c r="CS224" i="4"/>
  <c r="CT224" i="4"/>
  <c r="CU224" i="4"/>
  <c r="CV224" i="4"/>
  <c r="CW224" i="4"/>
  <c r="CX224" i="4"/>
  <c r="D225" i="4"/>
  <c r="E225" i="4"/>
  <c r="F225" i="4"/>
  <c r="G225" i="4"/>
  <c r="H225" i="4"/>
  <c r="I225" i="4"/>
  <c r="J225" i="4"/>
  <c r="K225" i="4"/>
  <c r="L225" i="4"/>
  <c r="M225" i="4"/>
  <c r="N225" i="4"/>
  <c r="O225" i="4"/>
  <c r="P225" i="4"/>
  <c r="Q225" i="4"/>
  <c r="R225" i="4"/>
  <c r="S225" i="4"/>
  <c r="T225" i="4"/>
  <c r="U225" i="4"/>
  <c r="V225" i="4"/>
  <c r="W225" i="4"/>
  <c r="X225" i="4"/>
  <c r="Y225" i="4"/>
  <c r="Z225" i="4"/>
  <c r="AA225" i="4"/>
  <c r="AB225" i="4"/>
  <c r="AC225" i="4"/>
  <c r="AD225" i="4"/>
  <c r="AE225" i="4"/>
  <c r="AF225" i="4"/>
  <c r="AG225" i="4"/>
  <c r="AH225" i="4"/>
  <c r="AI225" i="4"/>
  <c r="AJ225" i="4"/>
  <c r="AK225" i="4"/>
  <c r="AL225" i="4"/>
  <c r="AM225" i="4"/>
  <c r="AN225" i="4"/>
  <c r="AO225" i="4"/>
  <c r="AP225" i="4"/>
  <c r="AQ225" i="4"/>
  <c r="AR225" i="4"/>
  <c r="AS225" i="4"/>
  <c r="AT225" i="4"/>
  <c r="AU225" i="4"/>
  <c r="AV225" i="4"/>
  <c r="AW225" i="4"/>
  <c r="AX225" i="4"/>
  <c r="AY225" i="4"/>
  <c r="AZ225" i="4"/>
  <c r="BA225" i="4"/>
  <c r="BB225" i="4"/>
  <c r="BC225" i="4"/>
  <c r="BD225" i="4"/>
  <c r="BE225" i="4"/>
  <c r="BF225" i="4"/>
  <c r="BG225" i="4"/>
  <c r="BH225" i="4"/>
  <c r="BI225" i="4"/>
  <c r="BJ225" i="4"/>
  <c r="BK225" i="4"/>
  <c r="BL225" i="4"/>
  <c r="BM225" i="4"/>
  <c r="BN225" i="4"/>
  <c r="BO225" i="4"/>
  <c r="BP225" i="4"/>
  <c r="BQ225" i="4"/>
  <c r="BR225" i="4"/>
  <c r="BS225" i="4"/>
  <c r="BT225" i="4"/>
  <c r="BU225" i="4"/>
  <c r="BV225" i="4"/>
  <c r="BW225" i="4"/>
  <c r="BX225" i="4"/>
  <c r="BY225" i="4"/>
  <c r="BZ225" i="4"/>
  <c r="CA225" i="4"/>
  <c r="CB225" i="4"/>
  <c r="CC225" i="4"/>
  <c r="CD225" i="4"/>
  <c r="CE225" i="4"/>
  <c r="CF225" i="4"/>
  <c r="CG225" i="4"/>
  <c r="CH225" i="4"/>
  <c r="CI225" i="4"/>
  <c r="CJ225" i="4"/>
  <c r="CK225" i="4"/>
  <c r="CL225" i="4"/>
  <c r="CM225" i="4"/>
  <c r="CN225" i="4"/>
  <c r="CO225" i="4"/>
  <c r="CP225" i="4"/>
  <c r="CQ225" i="4"/>
  <c r="CR225" i="4"/>
  <c r="CS225" i="4"/>
  <c r="CT225" i="4"/>
  <c r="CU225" i="4"/>
  <c r="CV225" i="4"/>
  <c r="CW225" i="4"/>
  <c r="CX225" i="4"/>
  <c r="D226" i="4"/>
  <c r="E226" i="4"/>
  <c r="F226" i="4"/>
  <c r="G226" i="4"/>
  <c r="H226" i="4"/>
  <c r="I226" i="4"/>
  <c r="J226" i="4"/>
  <c r="K226" i="4"/>
  <c r="L226" i="4"/>
  <c r="M226" i="4"/>
  <c r="N226" i="4"/>
  <c r="O226" i="4"/>
  <c r="P226" i="4"/>
  <c r="Q226" i="4"/>
  <c r="R226" i="4"/>
  <c r="S226" i="4"/>
  <c r="T226" i="4"/>
  <c r="U226" i="4"/>
  <c r="V226" i="4"/>
  <c r="W226" i="4"/>
  <c r="X226" i="4"/>
  <c r="Y226" i="4"/>
  <c r="Z226" i="4"/>
  <c r="AA226" i="4"/>
  <c r="AB226" i="4"/>
  <c r="AC226" i="4"/>
  <c r="AD226" i="4"/>
  <c r="AE226" i="4"/>
  <c r="AF226" i="4"/>
  <c r="AG226" i="4"/>
  <c r="AH226" i="4"/>
  <c r="AI226" i="4"/>
  <c r="AJ226" i="4"/>
  <c r="AK226" i="4"/>
  <c r="AL226" i="4"/>
  <c r="AM226" i="4"/>
  <c r="AN226" i="4"/>
  <c r="AO226" i="4"/>
  <c r="AP226" i="4"/>
  <c r="AQ226" i="4"/>
  <c r="AR226" i="4"/>
  <c r="AS226" i="4"/>
  <c r="AT226" i="4"/>
  <c r="AU226" i="4"/>
  <c r="AV226" i="4"/>
  <c r="AW226" i="4"/>
  <c r="AX226" i="4"/>
  <c r="AY226" i="4"/>
  <c r="AZ226" i="4"/>
  <c r="BA226" i="4"/>
  <c r="BB226" i="4"/>
  <c r="BC226" i="4"/>
  <c r="BD226" i="4"/>
  <c r="BE226" i="4"/>
  <c r="BF226" i="4"/>
  <c r="BG226" i="4"/>
  <c r="BH226" i="4"/>
  <c r="BI226" i="4"/>
  <c r="BJ226" i="4"/>
  <c r="BK226" i="4"/>
  <c r="BL226" i="4"/>
  <c r="BM226" i="4"/>
  <c r="BN226" i="4"/>
  <c r="BO226" i="4"/>
  <c r="BP226" i="4"/>
  <c r="BQ226" i="4"/>
  <c r="BR226" i="4"/>
  <c r="BS226" i="4"/>
  <c r="BT226" i="4"/>
  <c r="BU226" i="4"/>
  <c r="BV226" i="4"/>
  <c r="BW226" i="4"/>
  <c r="BX226" i="4"/>
  <c r="BY226" i="4"/>
  <c r="BZ226" i="4"/>
  <c r="CA226" i="4"/>
  <c r="CB226" i="4"/>
  <c r="CC226" i="4"/>
  <c r="CD226" i="4"/>
  <c r="CE226" i="4"/>
  <c r="CF226" i="4"/>
  <c r="CG226" i="4"/>
  <c r="CH226" i="4"/>
  <c r="CI226" i="4"/>
  <c r="CJ226" i="4"/>
  <c r="CK226" i="4"/>
  <c r="CL226" i="4"/>
  <c r="CM226" i="4"/>
  <c r="CN226" i="4"/>
  <c r="CO226" i="4"/>
  <c r="CP226" i="4"/>
  <c r="CQ226" i="4"/>
  <c r="CR226" i="4"/>
  <c r="CS226" i="4"/>
  <c r="CT226" i="4"/>
  <c r="CU226" i="4"/>
  <c r="CV226" i="4"/>
  <c r="CW226" i="4"/>
  <c r="CX226" i="4"/>
  <c r="D227" i="4"/>
  <c r="E227" i="4"/>
  <c r="F227" i="4"/>
  <c r="G227" i="4"/>
  <c r="H227" i="4"/>
  <c r="I227" i="4"/>
  <c r="J227" i="4"/>
  <c r="K227" i="4"/>
  <c r="L227" i="4"/>
  <c r="M227" i="4"/>
  <c r="N227" i="4"/>
  <c r="O227" i="4"/>
  <c r="P227" i="4"/>
  <c r="Q227" i="4"/>
  <c r="R227" i="4"/>
  <c r="S227" i="4"/>
  <c r="T227" i="4"/>
  <c r="U227" i="4"/>
  <c r="V227" i="4"/>
  <c r="W227" i="4"/>
  <c r="X227" i="4"/>
  <c r="Y227" i="4"/>
  <c r="Z227" i="4"/>
  <c r="AA227" i="4"/>
  <c r="AB227" i="4"/>
  <c r="AC227" i="4"/>
  <c r="AD227" i="4"/>
  <c r="AE227" i="4"/>
  <c r="AF227" i="4"/>
  <c r="AG227" i="4"/>
  <c r="AH227" i="4"/>
  <c r="AI227" i="4"/>
  <c r="AJ227" i="4"/>
  <c r="AK227" i="4"/>
  <c r="AL227" i="4"/>
  <c r="AM227" i="4"/>
  <c r="AN227" i="4"/>
  <c r="AO227" i="4"/>
  <c r="AP227" i="4"/>
  <c r="AQ227" i="4"/>
  <c r="AR227" i="4"/>
  <c r="AS227" i="4"/>
  <c r="AT227" i="4"/>
  <c r="AU227" i="4"/>
  <c r="AV227" i="4"/>
  <c r="AW227" i="4"/>
  <c r="AX227" i="4"/>
  <c r="AY227" i="4"/>
  <c r="AZ227" i="4"/>
  <c r="BA227" i="4"/>
  <c r="BB227" i="4"/>
  <c r="BC227" i="4"/>
  <c r="BD227" i="4"/>
  <c r="BE227" i="4"/>
  <c r="BF227" i="4"/>
  <c r="BG227" i="4"/>
  <c r="BH227" i="4"/>
  <c r="BI227" i="4"/>
  <c r="BJ227" i="4"/>
  <c r="BK227" i="4"/>
  <c r="BL227" i="4"/>
  <c r="BM227" i="4"/>
  <c r="BN227" i="4"/>
  <c r="BO227" i="4"/>
  <c r="BP227" i="4"/>
  <c r="BQ227" i="4"/>
  <c r="BR227" i="4"/>
  <c r="BS227" i="4"/>
  <c r="BT227" i="4"/>
  <c r="BU227" i="4"/>
  <c r="BV227" i="4"/>
  <c r="BW227" i="4"/>
  <c r="BX227" i="4"/>
  <c r="BY227" i="4"/>
  <c r="BZ227" i="4"/>
  <c r="CA227" i="4"/>
  <c r="CB227" i="4"/>
  <c r="CC227" i="4"/>
  <c r="CD227" i="4"/>
  <c r="CE227" i="4"/>
  <c r="CF227" i="4"/>
  <c r="CG227" i="4"/>
  <c r="CH227" i="4"/>
  <c r="CI227" i="4"/>
  <c r="CJ227" i="4"/>
  <c r="CK227" i="4"/>
  <c r="CL227" i="4"/>
  <c r="CM227" i="4"/>
  <c r="CN227" i="4"/>
  <c r="CO227" i="4"/>
  <c r="CP227" i="4"/>
  <c r="CQ227" i="4"/>
  <c r="CR227" i="4"/>
  <c r="CS227" i="4"/>
  <c r="CT227" i="4"/>
  <c r="CU227" i="4"/>
  <c r="CV227" i="4"/>
  <c r="CW227" i="4"/>
  <c r="CX227" i="4"/>
  <c r="D228" i="4"/>
  <c r="E228" i="4"/>
  <c r="F228" i="4"/>
  <c r="G228" i="4"/>
  <c r="H228" i="4"/>
  <c r="I228" i="4"/>
  <c r="J228" i="4"/>
  <c r="K228" i="4"/>
  <c r="L228" i="4"/>
  <c r="M228" i="4"/>
  <c r="N228" i="4"/>
  <c r="O228" i="4"/>
  <c r="P228" i="4"/>
  <c r="Q228" i="4"/>
  <c r="R228" i="4"/>
  <c r="S228" i="4"/>
  <c r="T228" i="4"/>
  <c r="U228" i="4"/>
  <c r="V228" i="4"/>
  <c r="W228" i="4"/>
  <c r="X228" i="4"/>
  <c r="Y228" i="4"/>
  <c r="Z228" i="4"/>
  <c r="AA228" i="4"/>
  <c r="AB228" i="4"/>
  <c r="AC228" i="4"/>
  <c r="AD228" i="4"/>
  <c r="AE228" i="4"/>
  <c r="AF228" i="4"/>
  <c r="AG228" i="4"/>
  <c r="AH228" i="4"/>
  <c r="AI228" i="4"/>
  <c r="AJ228" i="4"/>
  <c r="AK228" i="4"/>
  <c r="AL228" i="4"/>
  <c r="AM228" i="4"/>
  <c r="AN228" i="4"/>
  <c r="AO228" i="4"/>
  <c r="AP228" i="4"/>
  <c r="AQ228" i="4"/>
  <c r="AR228" i="4"/>
  <c r="AS228" i="4"/>
  <c r="AT228" i="4"/>
  <c r="AU228" i="4"/>
  <c r="AV228" i="4"/>
  <c r="AW228" i="4"/>
  <c r="AX228" i="4"/>
  <c r="AY228" i="4"/>
  <c r="AZ228" i="4"/>
  <c r="BA228" i="4"/>
  <c r="BB228" i="4"/>
  <c r="BC228" i="4"/>
  <c r="BD228" i="4"/>
  <c r="BE228" i="4"/>
  <c r="BF228" i="4"/>
  <c r="BG228" i="4"/>
  <c r="BH228" i="4"/>
  <c r="BI228" i="4"/>
  <c r="BJ228" i="4"/>
  <c r="BK228" i="4"/>
  <c r="BL228" i="4"/>
  <c r="BM228" i="4"/>
  <c r="BN228" i="4"/>
  <c r="BO228" i="4"/>
  <c r="BP228" i="4"/>
  <c r="BQ228" i="4"/>
  <c r="BR228" i="4"/>
  <c r="BS228" i="4"/>
  <c r="BT228" i="4"/>
  <c r="BU228" i="4"/>
  <c r="BV228" i="4"/>
  <c r="BW228" i="4"/>
  <c r="BX228" i="4"/>
  <c r="BY228" i="4"/>
  <c r="BZ228" i="4"/>
  <c r="CA228" i="4"/>
  <c r="CB228" i="4"/>
  <c r="CC228" i="4"/>
  <c r="CD228" i="4"/>
  <c r="CE228" i="4"/>
  <c r="CF228" i="4"/>
  <c r="CG228" i="4"/>
  <c r="CH228" i="4"/>
  <c r="CI228" i="4"/>
  <c r="CJ228" i="4"/>
  <c r="CK228" i="4"/>
  <c r="CL228" i="4"/>
  <c r="CM228" i="4"/>
  <c r="CN228" i="4"/>
  <c r="CO228" i="4"/>
  <c r="CP228" i="4"/>
  <c r="CQ228" i="4"/>
  <c r="CR228" i="4"/>
  <c r="CS228" i="4"/>
  <c r="CT228" i="4"/>
  <c r="CU228" i="4"/>
  <c r="CV228" i="4"/>
  <c r="CW228" i="4"/>
  <c r="CX228" i="4"/>
  <c r="D229" i="4"/>
  <c r="E229" i="4"/>
  <c r="F229" i="4"/>
  <c r="G229" i="4"/>
  <c r="H229" i="4"/>
  <c r="I229" i="4"/>
  <c r="J229" i="4"/>
  <c r="K229" i="4"/>
  <c r="L229" i="4"/>
  <c r="M229" i="4"/>
  <c r="N229" i="4"/>
  <c r="O229" i="4"/>
  <c r="P229" i="4"/>
  <c r="Q229" i="4"/>
  <c r="R229" i="4"/>
  <c r="S229" i="4"/>
  <c r="T229" i="4"/>
  <c r="U229" i="4"/>
  <c r="V229" i="4"/>
  <c r="W229" i="4"/>
  <c r="X229" i="4"/>
  <c r="Y229" i="4"/>
  <c r="Z229" i="4"/>
  <c r="AA229" i="4"/>
  <c r="AB229" i="4"/>
  <c r="AC229" i="4"/>
  <c r="AD229" i="4"/>
  <c r="AE229" i="4"/>
  <c r="AF229" i="4"/>
  <c r="AG229" i="4"/>
  <c r="AH229" i="4"/>
  <c r="AI229" i="4"/>
  <c r="AJ229" i="4"/>
  <c r="AK229" i="4"/>
  <c r="AL229" i="4"/>
  <c r="AM229" i="4"/>
  <c r="AN229" i="4"/>
  <c r="AO229" i="4"/>
  <c r="AP229" i="4"/>
  <c r="AQ229" i="4"/>
  <c r="AR229" i="4"/>
  <c r="AS229" i="4"/>
  <c r="AT229" i="4"/>
  <c r="AU229" i="4"/>
  <c r="AV229" i="4"/>
  <c r="AW229" i="4"/>
  <c r="AX229" i="4"/>
  <c r="AY229" i="4"/>
  <c r="AZ229" i="4"/>
  <c r="BA229" i="4"/>
  <c r="BB229" i="4"/>
  <c r="BC229" i="4"/>
  <c r="BD229" i="4"/>
  <c r="BE229" i="4"/>
  <c r="BF229" i="4"/>
  <c r="BG229" i="4"/>
  <c r="BH229" i="4"/>
  <c r="BI229" i="4"/>
  <c r="BJ229" i="4"/>
  <c r="BK229" i="4"/>
  <c r="BL229" i="4"/>
  <c r="BM229" i="4"/>
  <c r="BN229" i="4"/>
  <c r="BO229" i="4"/>
  <c r="BP229" i="4"/>
  <c r="BQ229" i="4"/>
  <c r="BR229" i="4"/>
  <c r="BS229" i="4"/>
  <c r="BT229" i="4"/>
  <c r="BU229" i="4"/>
  <c r="BV229" i="4"/>
  <c r="BW229" i="4"/>
  <c r="BX229" i="4"/>
  <c r="BY229" i="4"/>
  <c r="BZ229" i="4"/>
  <c r="CA229" i="4"/>
  <c r="CB229" i="4"/>
  <c r="CC229" i="4"/>
  <c r="CD229" i="4"/>
  <c r="CE229" i="4"/>
  <c r="CF229" i="4"/>
  <c r="CG229" i="4"/>
  <c r="CH229" i="4"/>
  <c r="CI229" i="4"/>
  <c r="CJ229" i="4"/>
  <c r="CK229" i="4"/>
  <c r="CL229" i="4"/>
  <c r="CM229" i="4"/>
  <c r="CN229" i="4"/>
  <c r="CO229" i="4"/>
  <c r="CP229" i="4"/>
  <c r="CQ229" i="4"/>
  <c r="CR229" i="4"/>
  <c r="CS229" i="4"/>
  <c r="CT229" i="4"/>
  <c r="CU229" i="4"/>
  <c r="CV229" i="4"/>
  <c r="CW229" i="4"/>
  <c r="CX229" i="4"/>
  <c r="D230" i="4"/>
  <c r="E230" i="4"/>
  <c r="F230" i="4"/>
  <c r="G230" i="4"/>
  <c r="H230" i="4"/>
  <c r="I230" i="4"/>
  <c r="J230" i="4"/>
  <c r="K230" i="4"/>
  <c r="L230" i="4"/>
  <c r="M230" i="4"/>
  <c r="N230" i="4"/>
  <c r="O230" i="4"/>
  <c r="P230" i="4"/>
  <c r="Q230" i="4"/>
  <c r="R230" i="4"/>
  <c r="S230" i="4"/>
  <c r="T230" i="4"/>
  <c r="U230" i="4"/>
  <c r="V230" i="4"/>
  <c r="W230" i="4"/>
  <c r="X230" i="4"/>
  <c r="Y230" i="4"/>
  <c r="Z230" i="4"/>
  <c r="AA230" i="4"/>
  <c r="AB230" i="4"/>
  <c r="AC230" i="4"/>
  <c r="AD230" i="4"/>
  <c r="AE230" i="4"/>
  <c r="AF230" i="4"/>
  <c r="AG230" i="4"/>
  <c r="AH230" i="4"/>
  <c r="AI230" i="4"/>
  <c r="AJ230" i="4"/>
  <c r="AK230" i="4"/>
  <c r="AL230" i="4"/>
  <c r="AM230" i="4"/>
  <c r="AN230" i="4"/>
  <c r="AO230" i="4"/>
  <c r="AP230" i="4"/>
  <c r="AQ230" i="4"/>
  <c r="AR230" i="4"/>
  <c r="AS230" i="4"/>
  <c r="AT230" i="4"/>
  <c r="AU230" i="4"/>
  <c r="AV230" i="4"/>
  <c r="AW230" i="4"/>
  <c r="AX230" i="4"/>
  <c r="AY230" i="4"/>
  <c r="AZ230" i="4"/>
  <c r="BA230" i="4"/>
  <c r="BB230" i="4"/>
  <c r="BC230" i="4"/>
  <c r="BD230" i="4"/>
  <c r="BE230" i="4"/>
  <c r="BF230" i="4"/>
  <c r="BG230" i="4"/>
  <c r="BH230" i="4"/>
  <c r="BI230" i="4"/>
  <c r="BJ230" i="4"/>
  <c r="BK230" i="4"/>
  <c r="BL230" i="4"/>
  <c r="BM230" i="4"/>
  <c r="BN230" i="4"/>
  <c r="BO230" i="4"/>
  <c r="BP230" i="4"/>
  <c r="BQ230" i="4"/>
  <c r="BR230" i="4"/>
  <c r="BS230" i="4"/>
  <c r="BT230" i="4"/>
  <c r="BU230" i="4"/>
  <c r="BV230" i="4"/>
  <c r="BW230" i="4"/>
  <c r="BX230" i="4"/>
  <c r="BY230" i="4"/>
  <c r="BZ230" i="4"/>
  <c r="CA230" i="4"/>
  <c r="CB230" i="4"/>
  <c r="CC230" i="4"/>
  <c r="CD230" i="4"/>
  <c r="CE230" i="4"/>
  <c r="CF230" i="4"/>
  <c r="CG230" i="4"/>
  <c r="CH230" i="4"/>
  <c r="CI230" i="4"/>
  <c r="CJ230" i="4"/>
  <c r="CK230" i="4"/>
  <c r="CL230" i="4"/>
  <c r="CM230" i="4"/>
  <c r="CN230" i="4"/>
  <c r="CO230" i="4"/>
  <c r="CP230" i="4"/>
  <c r="CQ230" i="4"/>
  <c r="CR230" i="4"/>
  <c r="CS230" i="4"/>
  <c r="CT230" i="4"/>
  <c r="CU230" i="4"/>
  <c r="CV230" i="4"/>
  <c r="CW230" i="4"/>
  <c r="CX230" i="4"/>
  <c r="D231" i="4"/>
  <c r="E231" i="4"/>
  <c r="F231" i="4"/>
  <c r="G231" i="4"/>
  <c r="H231" i="4"/>
  <c r="I231" i="4"/>
  <c r="J231" i="4"/>
  <c r="K231" i="4"/>
  <c r="L231" i="4"/>
  <c r="M231" i="4"/>
  <c r="N231" i="4"/>
  <c r="O231" i="4"/>
  <c r="P231" i="4"/>
  <c r="Q231" i="4"/>
  <c r="R231" i="4"/>
  <c r="S231" i="4"/>
  <c r="T231" i="4"/>
  <c r="U231" i="4"/>
  <c r="V231" i="4"/>
  <c r="W231" i="4"/>
  <c r="X231" i="4"/>
  <c r="Y231" i="4"/>
  <c r="Z231" i="4"/>
  <c r="AA231" i="4"/>
  <c r="AB231" i="4"/>
  <c r="AC231" i="4"/>
  <c r="AD231" i="4"/>
  <c r="AE231" i="4"/>
  <c r="AF231" i="4"/>
  <c r="AG231" i="4"/>
  <c r="AH231" i="4"/>
  <c r="AI231" i="4"/>
  <c r="AJ231" i="4"/>
  <c r="AK231" i="4"/>
  <c r="AL231" i="4"/>
  <c r="AM231" i="4"/>
  <c r="AN231" i="4"/>
  <c r="AO231" i="4"/>
  <c r="AP231" i="4"/>
  <c r="AQ231" i="4"/>
  <c r="AR231" i="4"/>
  <c r="AS231" i="4"/>
  <c r="AT231" i="4"/>
  <c r="AU231" i="4"/>
  <c r="AV231" i="4"/>
  <c r="AW231" i="4"/>
  <c r="AX231" i="4"/>
  <c r="AY231" i="4"/>
  <c r="AZ231" i="4"/>
  <c r="BA231" i="4"/>
  <c r="BB231" i="4"/>
  <c r="BC231" i="4"/>
  <c r="BD231" i="4"/>
  <c r="BE231" i="4"/>
  <c r="BF231" i="4"/>
  <c r="BG231" i="4"/>
  <c r="BH231" i="4"/>
  <c r="BI231" i="4"/>
  <c r="BJ231" i="4"/>
  <c r="BK231" i="4"/>
  <c r="BL231" i="4"/>
  <c r="BM231" i="4"/>
  <c r="BN231" i="4"/>
  <c r="BO231" i="4"/>
  <c r="BP231" i="4"/>
  <c r="BQ231" i="4"/>
  <c r="BR231" i="4"/>
  <c r="BS231" i="4"/>
  <c r="BT231" i="4"/>
  <c r="BU231" i="4"/>
  <c r="BV231" i="4"/>
  <c r="BW231" i="4"/>
  <c r="BX231" i="4"/>
  <c r="BY231" i="4"/>
  <c r="BZ231" i="4"/>
  <c r="CA231" i="4"/>
  <c r="CB231" i="4"/>
  <c r="CC231" i="4"/>
  <c r="CD231" i="4"/>
  <c r="CE231" i="4"/>
  <c r="CF231" i="4"/>
  <c r="CG231" i="4"/>
  <c r="CH231" i="4"/>
  <c r="CI231" i="4"/>
  <c r="CJ231" i="4"/>
  <c r="CK231" i="4"/>
  <c r="CL231" i="4"/>
  <c r="CM231" i="4"/>
  <c r="CN231" i="4"/>
  <c r="CO231" i="4"/>
  <c r="CP231" i="4"/>
  <c r="CQ231" i="4"/>
  <c r="CR231" i="4"/>
  <c r="CS231" i="4"/>
  <c r="CT231" i="4"/>
  <c r="CU231" i="4"/>
  <c r="CV231" i="4"/>
  <c r="CW231" i="4"/>
  <c r="CX231" i="4"/>
  <c r="D232" i="4"/>
  <c r="E232" i="4"/>
  <c r="F232" i="4"/>
  <c r="G232" i="4"/>
  <c r="H232" i="4"/>
  <c r="I232" i="4"/>
  <c r="J232" i="4"/>
  <c r="K232" i="4"/>
  <c r="L232" i="4"/>
  <c r="M232" i="4"/>
  <c r="N232" i="4"/>
  <c r="O232" i="4"/>
  <c r="P232" i="4"/>
  <c r="Q232" i="4"/>
  <c r="R232" i="4"/>
  <c r="S232" i="4"/>
  <c r="T232" i="4"/>
  <c r="U232" i="4"/>
  <c r="V232" i="4"/>
  <c r="W232" i="4"/>
  <c r="X232" i="4"/>
  <c r="Y232" i="4"/>
  <c r="Z232" i="4"/>
  <c r="AA232" i="4"/>
  <c r="AB232" i="4"/>
  <c r="AC232" i="4"/>
  <c r="AD232" i="4"/>
  <c r="AE232" i="4"/>
  <c r="AF232" i="4"/>
  <c r="AG232" i="4"/>
  <c r="AH232" i="4"/>
  <c r="AI232" i="4"/>
  <c r="AJ232" i="4"/>
  <c r="AK232" i="4"/>
  <c r="AL232" i="4"/>
  <c r="AM232" i="4"/>
  <c r="AN232" i="4"/>
  <c r="AO232" i="4"/>
  <c r="AP232" i="4"/>
  <c r="AQ232" i="4"/>
  <c r="AR232" i="4"/>
  <c r="AS232" i="4"/>
  <c r="AT232" i="4"/>
  <c r="AU232" i="4"/>
  <c r="AV232" i="4"/>
  <c r="AW232" i="4"/>
  <c r="AX232" i="4"/>
  <c r="AY232" i="4"/>
  <c r="AZ232" i="4"/>
  <c r="BA232" i="4"/>
  <c r="BB232" i="4"/>
  <c r="BC232" i="4"/>
  <c r="BD232" i="4"/>
  <c r="BE232" i="4"/>
  <c r="BF232" i="4"/>
  <c r="BG232" i="4"/>
  <c r="BH232" i="4"/>
  <c r="BI232" i="4"/>
  <c r="BJ232" i="4"/>
  <c r="BK232" i="4"/>
  <c r="BL232" i="4"/>
  <c r="BM232" i="4"/>
  <c r="BN232" i="4"/>
  <c r="BO232" i="4"/>
  <c r="BP232" i="4"/>
  <c r="BQ232" i="4"/>
  <c r="BR232" i="4"/>
  <c r="BS232" i="4"/>
  <c r="BT232" i="4"/>
  <c r="BU232" i="4"/>
  <c r="BV232" i="4"/>
  <c r="BW232" i="4"/>
  <c r="BX232" i="4"/>
  <c r="BY232" i="4"/>
  <c r="BZ232" i="4"/>
  <c r="CA232" i="4"/>
  <c r="CB232" i="4"/>
  <c r="CC232" i="4"/>
  <c r="CD232" i="4"/>
  <c r="CE232" i="4"/>
  <c r="CF232" i="4"/>
  <c r="CG232" i="4"/>
  <c r="CH232" i="4"/>
  <c r="CI232" i="4"/>
  <c r="CJ232" i="4"/>
  <c r="CK232" i="4"/>
  <c r="CL232" i="4"/>
  <c r="CM232" i="4"/>
  <c r="CN232" i="4"/>
  <c r="CO232" i="4"/>
  <c r="CP232" i="4"/>
  <c r="CQ232" i="4"/>
  <c r="CR232" i="4"/>
  <c r="CS232" i="4"/>
  <c r="CT232" i="4"/>
  <c r="CU232" i="4"/>
  <c r="CV232" i="4"/>
  <c r="CW232" i="4"/>
  <c r="CX232" i="4"/>
  <c r="D233" i="4"/>
  <c r="E233" i="4"/>
  <c r="F233" i="4"/>
  <c r="G233" i="4"/>
  <c r="H233" i="4"/>
  <c r="I233" i="4"/>
  <c r="J233" i="4"/>
  <c r="K233" i="4"/>
  <c r="L233" i="4"/>
  <c r="M233" i="4"/>
  <c r="N233" i="4"/>
  <c r="O233" i="4"/>
  <c r="P233" i="4"/>
  <c r="Q233" i="4"/>
  <c r="R233" i="4"/>
  <c r="S233" i="4"/>
  <c r="T233" i="4"/>
  <c r="U233" i="4"/>
  <c r="V233" i="4"/>
  <c r="W233" i="4"/>
  <c r="X233" i="4"/>
  <c r="Y233" i="4"/>
  <c r="Z233" i="4"/>
  <c r="AA233" i="4"/>
  <c r="AB233" i="4"/>
  <c r="AC233" i="4"/>
  <c r="AD233" i="4"/>
  <c r="AE233" i="4"/>
  <c r="AF233" i="4"/>
  <c r="AG233" i="4"/>
  <c r="AH233" i="4"/>
  <c r="AI233" i="4"/>
  <c r="AJ233" i="4"/>
  <c r="AK233" i="4"/>
  <c r="AL233" i="4"/>
  <c r="AM233" i="4"/>
  <c r="AN233" i="4"/>
  <c r="AO233" i="4"/>
  <c r="AP233" i="4"/>
  <c r="AQ233" i="4"/>
  <c r="AR233" i="4"/>
  <c r="AS233" i="4"/>
  <c r="AT233" i="4"/>
  <c r="AU233" i="4"/>
  <c r="AV233" i="4"/>
  <c r="AW233" i="4"/>
  <c r="AX233" i="4"/>
  <c r="AY233" i="4"/>
  <c r="AZ233" i="4"/>
  <c r="BA233" i="4"/>
  <c r="BB233" i="4"/>
  <c r="BC233" i="4"/>
  <c r="BD233" i="4"/>
  <c r="BE233" i="4"/>
  <c r="BF233" i="4"/>
  <c r="BG233" i="4"/>
  <c r="BH233" i="4"/>
  <c r="BI233" i="4"/>
  <c r="BJ233" i="4"/>
  <c r="BK233" i="4"/>
  <c r="BL233" i="4"/>
  <c r="BM233" i="4"/>
  <c r="BN233" i="4"/>
  <c r="BO233" i="4"/>
  <c r="BP233" i="4"/>
  <c r="BQ233" i="4"/>
  <c r="BR233" i="4"/>
  <c r="BS233" i="4"/>
  <c r="BT233" i="4"/>
  <c r="BU233" i="4"/>
  <c r="BV233" i="4"/>
  <c r="BW233" i="4"/>
  <c r="BX233" i="4"/>
  <c r="BY233" i="4"/>
  <c r="BZ233" i="4"/>
  <c r="CA233" i="4"/>
  <c r="CB233" i="4"/>
  <c r="CC233" i="4"/>
  <c r="CD233" i="4"/>
  <c r="CE233" i="4"/>
  <c r="CF233" i="4"/>
  <c r="CG233" i="4"/>
  <c r="CH233" i="4"/>
  <c r="CI233" i="4"/>
  <c r="CJ233" i="4"/>
  <c r="CK233" i="4"/>
  <c r="CL233" i="4"/>
  <c r="CM233" i="4"/>
  <c r="CN233" i="4"/>
  <c r="CO233" i="4"/>
  <c r="CP233" i="4"/>
  <c r="CQ233" i="4"/>
  <c r="CR233" i="4"/>
  <c r="CS233" i="4"/>
  <c r="CT233" i="4"/>
  <c r="CU233" i="4"/>
  <c r="CV233" i="4"/>
  <c r="CW233" i="4"/>
  <c r="CX233" i="4"/>
  <c r="D234" i="4"/>
  <c r="E234" i="4"/>
  <c r="F234" i="4"/>
  <c r="G234" i="4"/>
  <c r="H234" i="4"/>
  <c r="I234" i="4"/>
  <c r="J234" i="4"/>
  <c r="K234" i="4"/>
  <c r="L234" i="4"/>
  <c r="M234" i="4"/>
  <c r="N234" i="4"/>
  <c r="O234" i="4"/>
  <c r="P234" i="4"/>
  <c r="Q234" i="4"/>
  <c r="R234" i="4"/>
  <c r="S234" i="4"/>
  <c r="T234" i="4"/>
  <c r="U234" i="4"/>
  <c r="V234" i="4"/>
  <c r="W234" i="4"/>
  <c r="X234" i="4"/>
  <c r="Y234" i="4"/>
  <c r="Z234" i="4"/>
  <c r="AA234" i="4"/>
  <c r="AB234" i="4"/>
  <c r="AC234" i="4"/>
  <c r="AD234" i="4"/>
  <c r="AE234" i="4"/>
  <c r="AF234" i="4"/>
  <c r="AG234" i="4"/>
  <c r="AH234" i="4"/>
  <c r="AI234" i="4"/>
  <c r="AJ234" i="4"/>
  <c r="AK234" i="4"/>
  <c r="AL234" i="4"/>
  <c r="AM234" i="4"/>
  <c r="AN234" i="4"/>
  <c r="AO234" i="4"/>
  <c r="AP234" i="4"/>
  <c r="AQ234" i="4"/>
  <c r="AR234" i="4"/>
  <c r="AS234" i="4"/>
  <c r="AT234" i="4"/>
  <c r="AU234" i="4"/>
  <c r="AV234" i="4"/>
  <c r="AW234" i="4"/>
  <c r="AX234" i="4"/>
  <c r="AY234" i="4"/>
  <c r="AZ234" i="4"/>
  <c r="BA234" i="4"/>
  <c r="BB234" i="4"/>
  <c r="BC234" i="4"/>
  <c r="BD234" i="4"/>
  <c r="BE234" i="4"/>
  <c r="BF234" i="4"/>
  <c r="BG234" i="4"/>
  <c r="BH234" i="4"/>
  <c r="BI234" i="4"/>
  <c r="BJ234" i="4"/>
  <c r="BK234" i="4"/>
  <c r="BL234" i="4"/>
  <c r="BM234" i="4"/>
  <c r="BN234" i="4"/>
  <c r="BO234" i="4"/>
  <c r="BP234" i="4"/>
  <c r="BQ234" i="4"/>
  <c r="BR234" i="4"/>
  <c r="BS234" i="4"/>
  <c r="BT234" i="4"/>
  <c r="BU234" i="4"/>
  <c r="BV234" i="4"/>
  <c r="BW234" i="4"/>
  <c r="BX234" i="4"/>
  <c r="BY234" i="4"/>
  <c r="BZ234" i="4"/>
  <c r="CA234" i="4"/>
  <c r="CB234" i="4"/>
  <c r="CC234" i="4"/>
  <c r="CD234" i="4"/>
  <c r="CE234" i="4"/>
  <c r="CF234" i="4"/>
  <c r="CG234" i="4"/>
  <c r="CH234" i="4"/>
  <c r="CI234" i="4"/>
  <c r="CJ234" i="4"/>
  <c r="CK234" i="4"/>
  <c r="CL234" i="4"/>
  <c r="CM234" i="4"/>
  <c r="CN234" i="4"/>
  <c r="CO234" i="4"/>
  <c r="CP234" i="4"/>
  <c r="CQ234" i="4"/>
  <c r="CR234" i="4"/>
  <c r="CS234" i="4"/>
  <c r="CT234" i="4"/>
  <c r="CU234" i="4"/>
  <c r="CV234" i="4"/>
  <c r="CW234" i="4"/>
  <c r="CX234" i="4"/>
  <c r="D235" i="4"/>
  <c r="E235" i="4"/>
  <c r="F235" i="4"/>
  <c r="G235" i="4"/>
  <c r="H235" i="4"/>
  <c r="I235" i="4"/>
  <c r="J235" i="4"/>
  <c r="K235" i="4"/>
  <c r="L235" i="4"/>
  <c r="M235" i="4"/>
  <c r="N235" i="4"/>
  <c r="O235" i="4"/>
  <c r="P235" i="4"/>
  <c r="Q235" i="4"/>
  <c r="R235" i="4"/>
  <c r="S235" i="4"/>
  <c r="T235" i="4"/>
  <c r="U235" i="4"/>
  <c r="V235" i="4"/>
  <c r="W235" i="4"/>
  <c r="X235" i="4"/>
  <c r="Y235" i="4"/>
  <c r="Z235" i="4"/>
  <c r="AA235" i="4"/>
  <c r="AB235" i="4"/>
  <c r="AC235" i="4"/>
  <c r="AD235" i="4"/>
  <c r="AE235" i="4"/>
  <c r="AF235" i="4"/>
  <c r="AG235" i="4"/>
  <c r="AH235" i="4"/>
  <c r="AI235" i="4"/>
  <c r="AJ235" i="4"/>
  <c r="AK235" i="4"/>
  <c r="AL235" i="4"/>
  <c r="AM235" i="4"/>
  <c r="AN235" i="4"/>
  <c r="AO235" i="4"/>
  <c r="AP235" i="4"/>
  <c r="AQ235" i="4"/>
  <c r="AR235" i="4"/>
  <c r="AS235" i="4"/>
  <c r="AT235" i="4"/>
  <c r="AU235" i="4"/>
  <c r="AV235" i="4"/>
  <c r="AW235" i="4"/>
  <c r="AX235" i="4"/>
  <c r="AY235" i="4"/>
  <c r="AZ235" i="4"/>
  <c r="BA235" i="4"/>
  <c r="BB235" i="4"/>
  <c r="BC235" i="4"/>
  <c r="BD235" i="4"/>
  <c r="BE235" i="4"/>
  <c r="BF235" i="4"/>
  <c r="BG235" i="4"/>
  <c r="BH235" i="4"/>
  <c r="BI235" i="4"/>
  <c r="BJ235" i="4"/>
  <c r="BK235" i="4"/>
  <c r="BL235" i="4"/>
  <c r="BM235" i="4"/>
  <c r="BN235" i="4"/>
  <c r="BO235" i="4"/>
  <c r="BP235" i="4"/>
  <c r="BQ235" i="4"/>
  <c r="BR235" i="4"/>
  <c r="BS235" i="4"/>
  <c r="BT235" i="4"/>
  <c r="BU235" i="4"/>
  <c r="BV235" i="4"/>
  <c r="BW235" i="4"/>
  <c r="BX235" i="4"/>
  <c r="BY235" i="4"/>
  <c r="BZ235" i="4"/>
  <c r="CA235" i="4"/>
  <c r="CB235" i="4"/>
  <c r="CC235" i="4"/>
  <c r="CD235" i="4"/>
  <c r="CE235" i="4"/>
  <c r="CF235" i="4"/>
  <c r="CG235" i="4"/>
  <c r="CH235" i="4"/>
  <c r="CI235" i="4"/>
  <c r="CJ235" i="4"/>
  <c r="CK235" i="4"/>
  <c r="CL235" i="4"/>
  <c r="CM235" i="4"/>
  <c r="CN235" i="4"/>
  <c r="CO235" i="4"/>
  <c r="CP235" i="4"/>
  <c r="CQ235" i="4"/>
  <c r="CR235" i="4"/>
  <c r="CS235" i="4"/>
  <c r="CT235" i="4"/>
  <c r="CU235" i="4"/>
  <c r="CV235" i="4"/>
  <c r="CW235" i="4"/>
  <c r="CX235" i="4"/>
  <c r="D236" i="4"/>
  <c r="E236" i="4"/>
  <c r="F236" i="4"/>
  <c r="G236" i="4"/>
  <c r="H236" i="4"/>
  <c r="I236" i="4"/>
  <c r="J236" i="4"/>
  <c r="K236" i="4"/>
  <c r="L236" i="4"/>
  <c r="M236" i="4"/>
  <c r="N236" i="4"/>
  <c r="O236" i="4"/>
  <c r="P236" i="4"/>
  <c r="Q236" i="4"/>
  <c r="R236" i="4"/>
  <c r="S236" i="4"/>
  <c r="T236" i="4"/>
  <c r="U236" i="4"/>
  <c r="V236" i="4"/>
  <c r="W236" i="4"/>
  <c r="X236" i="4"/>
  <c r="Y236" i="4"/>
  <c r="Z236" i="4"/>
  <c r="AA236" i="4"/>
  <c r="AB236" i="4"/>
  <c r="AC236" i="4"/>
  <c r="AD236" i="4"/>
  <c r="AE236" i="4"/>
  <c r="AF236" i="4"/>
  <c r="AG236" i="4"/>
  <c r="AH236" i="4"/>
  <c r="AI236" i="4"/>
  <c r="AJ236" i="4"/>
  <c r="AK236" i="4"/>
  <c r="AL236" i="4"/>
  <c r="AM236" i="4"/>
  <c r="AN236" i="4"/>
  <c r="AO236" i="4"/>
  <c r="AP236" i="4"/>
  <c r="AQ236" i="4"/>
  <c r="AR236" i="4"/>
  <c r="AS236" i="4"/>
  <c r="AT236" i="4"/>
  <c r="AU236" i="4"/>
  <c r="AV236" i="4"/>
  <c r="AW236" i="4"/>
  <c r="AX236" i="4"/>
  <c r="AY236" i="4"/>
  <c r="AZ236" i="4"/>
  <c r="BA236" i="4"/>
  <c r="BB236" i="4"/>
  <c r="BC236" i="4"/>
  <c r="BD236" i="4"/>
  <c r="BE236" i="4"/>
  <c r="BF236" i="4"/>
  <c r="BG236" i="4"/>
  <c r="BH236" i="4"/>
  <c r="BI236" i="4"/>
  <c r="BJ236" i="4"/>
  <c r="BK236" i="4"/>
  <c r="BL236" i="4"/>
  <c r="BM236" i="4"/>
  <c r="BN236" i="4"/>
  <c r="BO236" i="4"/>
  <c r="BP236" i="4"/>
  <c r="BQ236" i="4"/>
  <c r="BR236" i="4"/>
  <c r="BS236" i="4"/>
  <c r="BT236" i="4"/>
  <c r="BU236" i="4"/>
  <c r="BV236" i="4"/>
  <c r="BW236" i="4"/>
  <c r="BX236" i="4"/>
  <c r="BY236" i="4"/>
  <c r="BZ236" i="4"/>
  <c r="CA236" i="4"/>
  <c r="CB236" i="4"/>
  <c r="CC236" i="4"/>
  <c r="CD236" i="4"/>
  <c r="CE236" i="4"/>
  <c r="CF236" i="4"/>
  <c r="CG236" i="4"/>
  <c r="CH236" i="4"/>
  <c r="CI236" i="4"/>
  <c r="CJ236" i="4"/>
  <c r="CK236" i="4"/>
  <c r="CL236" i="4"/>
  <c r="CM236" i="4"/>
  <c r="CN236" i="4"/>
  <c r="CO236" i="4"/>
  <c r="CP236" i="4"/>
  <c r="CQ236" i="4"/>
  <c r="CR236" i="4"/>
  <c r="CS236" i="4"/>
  <c r="CT236" i="4"/>
  <c r="CU236" i="4"/>
  <c r="CV236" i="4"/>
  <c r="CW236" i="4"/>
  <c r="CX236" i="4"/>
  <c r="D237" i="4"/>
  <c r="E237" i="4"/>
  <c r="F237" i="4"/>
  <c r="G237" i="4"/>
  <c r="H237" i="4"/>
  <c r="I237" i="4"/>
  <c r="J237" i="4"/>
  <c r="K237" i="4"/>
  <c r="L237" i="4"/>
  <c r="M237" i="4"/>
  <c r="N237" i="4"/>
  <c r="O237" i="4"/>
  <c r="P237" i="4"/>
  <c r="Q237" i="4"/>
  <c r="R237" i="4"/>
  <c r="S237" i="4"/>
  <c r="T237" i="4"/>
  <c r="U237" i="4"/>
  <c r="V237" i="4"/>
  <c r="W237" i="4"/>
  <c r="X237" i="4"/>
  <c r="Y237" i="4"/>
  <c r="Z237" i="4"/>
  <c r="AA237" i="4"/>
  <c r="AB237" i="4"/>
  <c r="AC237" i="4"/>
  <c r="AD237" i="4"/>
  <c r="AE237" i="4"/>
  <c r="AF237" i="4"/>
  <c r="AG237" i="4"/>
  <c r="AH237" i="4"/>
  <c r="AI237" i="4"/>
  <c r="AJ237" i="4"/>
  <c r="AK237" i="4"/>
  <c r="AL237" i="4"/>
  <c r="AM237" i="4"/>
  <c r="AN237" i="4"/>
  <c r="AO237" i="4"/>
  <c r="AP237" i="4"/>
  <c r="AQ237" i="4"/>
  <c r="AR237" i="4"/>
  <c r="AS237" i="4"/>
  <c r="AT237" i="4"/>
  <c r="AU237" i="4"/>
  <c r="AV237" i="4"/>
  <c r="AW237" i="4"/>
  <c r="AX237" i="4"/>
  <c r="AY237" i="4"/>
  <c r="AZ237" i="4"/>
  <c r="BA237" i="4"/>
  <c r="BB237" i="4"/>
  <c r="BC237" i="4"/>
  <c r="BD237" i="4"/>
  <c r="BE237" i="4"/>
  <c r="BF237" i="4"/>
  <c r="BG237" i="4"/>
  <c r="BH237" i="4"/>
  <c r="BI237" i="4"/>
  <c r="BJ237" i="4"/>
  <c r="BK237" i="4"/>
  <c r="BL237" i="4"/>
  <c r="BM237" i="4"/>
  <c r="BN237" i="4"/>
  <c r="BO237" i="4"/>
  <c r="BP237" i="4"/>
  <c r="BQ237" i="4"/>
  <c r="BR237" i="4"/>
  <c r="BS237" i="4"/>
  <c r="BT237" i="4"/>
  <c r="BU237" i="4"/>
  <c r="BV237" i="4"/>
  <c r="BW237" i="4"/>
  <c r="BX237" i="4"/>
  <c r="BY237" i="4"/>
  <c r="BZ237" i="4"/>
  <c r="CA237" i="4"/>
  <c r="CB237" i="4"/>
  <c r="CC237" i="4"/>
  <c r="CD237" i="4"/>
  <c r="CE237" i="4"/>
  <c r="CF237" i="4"/>
  <c r="CG237" i="4"/>
  <c r="CH237" i="4"/>
  <c r="CI237" i="4"/>
  <c r="CJ237" i="4"/>
  <c r="CK237" i="4"/>
  <c r="CL237" i="4"/>
  <c r="CM237" i="4"/>
  <c r="CN237" i="4"/>
  <c r="CO237" i="4"/>
  <c r="CP237" i="4"/>
  <c r="CQ237" i="4"/>
  <c r="CR237" i="4"/>
  <c r="CS237" i="4"/>
  <c r="CT237" i="4"/>
  <c r="CU237" i="4"/>
  <c r="CV237" i="4"/>
  <c r="CW237" i="4"/>
  <c r="CX237" i="4"/>
  <c r="D238" i="4"/>
  <c r="E238" i="4"/>
  <c r="F238" i="4"/>
  <c r="G238" i="4"/>
  <c r="H238" i="4"/>
  <c r="I238" i="4"/>
  <c r="J238" i="4"/>
  <c r="K238" i="4"/>
  <c r="L238" i="4"/>
  <c r="M238" i="4"/>
  <c r="N238" i="4"/>
  <c r="O238" i="4"/>
  <c r="P238" i="4"/>
  <c r="Q238" i="4"/>
  <c r="R238" i="4"/>
  <c r="S238" i="4"/>
  <c r="T238" i="4"/>
  <c r="U238" i="4"/>
  <c r="V238" i="4"/>
  <c r="W238" i="4"/>
  <c r="X238" i="4"/>
  <c r="Y238" i="4"/>
  <c r="Z238" i="4"/>
  <c r="AA238" i="4"/>
  <c r="AB238" i="4"/>
  <c r="AC238" i="4"/>
  <c r="AD238" i="4"/>
  <c r="AE238" i="4"/>
  <c r="AF238" i="4"/>
  <c r="AG238" i="4"/>
  <c r="AH238" i="4"/>
  <c r="AI238" i="4"/>
  <c r="AJ238" i="4"/>
  <c r="AK238" i="4"/>
  <c r="AL238" i="4"/>
  <c r="AM238" i="4"/>
  <c r="AN238" i="4"/>
  <c r="AO238" i="4"/>
  <c r="AP238" i="4"/>
  <c r="AQ238" i="4"/>
  <c r="AR238" i="4"/>
  <c r="AS238" i="4"/>
  <c r="AT238" i="4"/>
  <c r="AU238" i="4"/>
  <c r="AV238" i="4"/>
  <c r="AW238" i="4"/>
  <c r="AX238" i="4"/>
  <c r="AY238" i="4"/>
  <c r="AZ238" i="4"/>
  <c r="BA238" i="4"/>
  <c r="BB238" i="4"/>
  <c r="BC238" i="4"/>
  <c r="BD238" i="4"/>
  <c r="BE238" i="4"/>
  <c r="BF238" i="4"/>
  <c r="BG238" i="4"/>
  <c r="BH238" i="4"/>
  <c r="BI238" i="4"/>
  <c r="BJ238" i="4"/>
  <c r="BK238" i="4"/>
  <c r="BL238" i="4"/>
  <c r="BM238" i="4"/>
  <c r="BN238" i="4"/>
  <c r="BO238" i="4"/>
  <c r="BP238" i="4"/>
  <c r="BQ238" i="4"/>
  <c r="BR238" i="4"/>
  <c r="BS238" i="4"/>
  <c r="BT238" i="4"/>
  <c r="BU238" i="4"/>
  <c r="BV238" i="4"/>
  <c r="BW238" i="4"/>
  <c r="BX238" i="4"/>
  <c r="BY238" i="4"/>
  <c r="BZ238" i="4"/>
  <c r="CA238" i="4"/>
  <c r="CB238" i="4"/>
  <c r="CC238" i="4"/>
  <c r="CD238" i="4"/>
  <c r="CE238" i="4"/>
  <c r="CF238" i="4"/>
  <c r="CG238" i="4"/>
  <c r="CH238" i="4"/>
  <c r="CI238" i="4"/>
  <c r="CJ238" i="4"/>
  <c r="CK238" i="4"/>
  <c r="CL238" i="4"/>
  <c r="CM238" i="4"/>
  <c r="CN238" i="4"/>
  <c r="CO238" i="4"/>
  <c r="CP238" i="4"/>
  <c r="CQ238" i="4"/>
  <c r="CR238" i="4"/>
  <c r="CS238" i="4"/>
  <c r="CT238" i="4"/>
  <c r="CU238" i="4"/>
  <c r="CV238" i="4"/>
  <c r="CW238" i="4"/>
  <c r="CX238" i="4"/>
  <c r="D239" i="4"/>
  <c r="E239" i="4"/>
  <c r="F239" i="4"/>
  <c r="G239" i="4"/>
  <c r="H239" i="4"/>
  <c r="I239" i="4"/>
  <c r="J239" i="4"/>
  <c r="K239" i="4"/>
  <c r="L239" i="4"/>
  <c r="M239" i="4"/>
  <c r="N239" i="4"/>
  <c r="O239" i="4"/>
  <c r="P239" i="4"/>
  <c r="Q239" i="4"/>
  <c r="R239" i="4"/>
  <c r="S239" i="4"/>
  <c r="T239" i="4"/>
  <c r="U239" i="4"/>
  <c r="V239" i="4"/>
  <c r="W239" i="4"/>
  <c r="X239" i="4"/>
  <c r="Y239" i="4"/>
  <c r="Z239" i="4"/>
  <c r="AA239" i="4"/>
  <c r="AB239" i="4"/>
  <c r="AC239" i="4"/>
  <c r="AD239" i="4"/>
  <c r="AE239" i="4"/>
  <c r="AF239" i="4"/>
  <c r="AG239" i="4"/>
  <c r="AH239" i="4"/>
  <c r="AI239" i="4"/>
  <c r="AJ239" i="4"/>
  <c r="AK239" i="4"/>
  <c r="AL239" i="4"/>
  <c r="AM239" i="4"/>
  <c r="AN239" i="4"/>
  <c r="AO239" i="4"/>
  <c r="AP239" i="4"/>
  <c r="AQ239" i="4"/>
  <c r="AR239" i="4"/>
  <c r="AS239" i="4"/>
  <c r="AT239" i="4"/>
  <c r="AU239" i="4"/>
  <c r="AV239" i="4"/>
  <c r="AW239" i="4"/>
  <c r="AX239" i="4"/>
  <c r="AY239" i="4"/>
  <c r="AZ239" i="4"/>
  <c r="BA239" i="4"/>
  <c r="BB239" i="4"/>
  <c r="BC239" i="4"/>
  <c r="BD239" i="4"/>
  <c r="BE239" i="4"/>
  <c r="BF239" i="4"/>
  <c r="BG239" i="4"/>
  <c r="BH239" i="4"/>
  <c r="BI239" i="4"/>
  <c r="BJ239" i="4"/>
  <c r="BK239" i="4"/>
  <c r="BL239" i="4"/>
  <c r="BM239" i="4"/>
  <c r="BN239" i="4"/>
  <c r="BO239" i="4"/>
  <c r="BP239" i="4"/>
  <c r="BQ239" i="4"/>
  <c r="BR239" i="4"/>
  <c r="BS239" i="4"/>
  <c r="BT239" i="4"/>
  <c r="BU239" i="4"/>
  <c r="BV239" i="4"/>
  <c r="BW239" i="4"/>
  <c r="BX239" i="4"/>
  <c r="BY239" i="4"/>
  <c r="BZ239" i="4"/>
  <c r="CA239" i="4"/>
  <c r="CB239" i="4"/>
  <c r="CC239" i="4"/>
  <c r="CD239" i="4"/>
  <c r="CE239" i="4"/>
  <c r="CF239" i="4"/>
  <c r="CG239" i="4"/>
  <c r="CH239" i="4"/>
  <c r="CI239" i="4"/>
  <c r="CJ239" i="4"/>
  <c r="CK239" i="4"/>
  <c r="CL239" i="4"/>
  <c r="CM239" i="4"/>
  <c r="CN239" i="4"/>
  <c r="CO239" i="4"/>
  <c r="CP239" i="4"/>
  <c r="CQ239" i="4"/>
  <c r="CR239" i="4"/>
  <c r="CS239" i="4"/>
  <c r="CT239" i="4"/>
  <c r="CU239" i="4"/>
  <c r="CV239" i="4"/>
  <c r="CW239" i="4"/>
  <c r="CX239" i="4"/>
  <c r="D240" i="4"/>
  <c r="E240" i="4"/>
  <c r="F240" i="4"/>
  <c r="G240" i="4"/>
  <c r="H240" i="4"/>
  <c r="I240" i="4"/>
  <c r="J240" i="4"/>
  <c r="K240" i="4"/>
  <c r="L240" i="4"/>
  <c r="M240" i="4"/>
  <c r="N240" i="4"/>
  <c r="O240" i="4"/>
  <c r="P240" i="4"/>
  <c r="Q240" i="4"/>
  <c r="R240" i="4"/>
  <c r="S240" i="4"/>
  <c r="T240" i="4"/>
  <c r="U240" i="4"/>
  <c r="V240" i="4"/>
  <c r="W240" i="4"/>
  <c r="X240" i="4"/>
  <c r="Y240" i="4"/>
  <c r="Z240" i="4"/>
  <c r="AA240" i="4"/>
  <c r="AB240" i="4"/>
  <c r="AC240" i="4"/>
  <c r="AD240" i="4"/>
  <c r="AE240" i="4"/>
  <c r="AF240" i="4"/>
  <c r="AG240" i="4"/>
  <c r="AH240" i="4"/>
  <c r="AI240" i="4"/>
  <c r="AJ240" i="4"/>
  <c r="AK240" i="4"/>
  <c r="AL240" i="4"/>
  <c r="AM240" i="4"/>
  <c r="AN240" i="4"/>
  <c r="AO240" i="4"/>
  <c r="AP240" i="4"/>
  <c r="AQ240" i="4"/>
  <c r="AR240" i="4"/>
  <c r="AS240" i="4"/>
  <c r="AT240" i="4"/>
  <c r="AU240" i="4"/>
  <c r="AV240" i="4"/>
  <c r="AW240" i="4"/>
  <c r="AX240" i="4"/>
  <c r="AY240" i="4"/>
  <c r="AZ240" i="4"/>
  <c r="BA240" i="4"/>
  <c r="BB240" i="4"/>
  <c r="BC240" i="4"/>
  <c r="BD240" i="4"/>
  <c r="BE240" i="4"/>
  <c r="BF240" i="4"/>
  <c r="BG240" i="4"/>
  <c r="BH240" i="4"/>
  <c r="BI240" i="4"/>
  <c r="BJ240" i="4"/>
  <c r="BK240" i="4"/>
  <c r="BL240" i="4"/>
  <c r="BM240" i="4"/>
  <c r="BN240" i="4"/>
  <c r="BO240" i="4"/>
  <c r="BP240" i="4"/>
  <c r="BQ240" i="4"/>
  <c r="BR240" i="4"/>
  <c r="BS240" i="4"/>
  <c r="BT240" i="4"/>
  <c r="BU240" i="4"/>
  <c r="BV240" i="4"/>
  <c r="BW240" i="4"/>
  <c r="BX240" i="4"/>
  <c r="BY240" i="4"/>
  <c r="BZ240" i="4"/>
  <c r="CA240" i="4"/>
  <c r="CB240" i="4"/>
  <c r="CC240" i="4"/>
  <c r="CD240" i="4"/>
  <c r="CE240" i="4"/>
  <c r="CF240" i="4"/>
  <c r="CG240" i="4"/>
  <c r="CH240" i="4"/>
  <c r="CI240" i="4"/>
  <c r="CJ240" i="4"/>
  <c r="CK240" i="4"/>
  <c r="CL240" i="4"/>
  <c r="CM240" i="4"/>
  <c r="CN240" i="4"/>
  <c r="CO240" i="4"/>
  <c r="CP240" i="4"/>
  <c r="CQ240" i="4"/>
  <c r="CR240" i="4"/>
  <c r="CS240" i="4"/>
  <c r="CT240" i="4"/>
  <c r="CU240" i="4"/>
  <c r="CV240" i="4"/>
  <c r="CW240" i="4"/>
  <c r="CX240" i="4"/>
  <c r="D241" i="4"/>
  <c r="E241" i="4"/>
  <c r="F241" i="4"/>
  <c r="G241" i="4"/>
  <c r="H241" i="4"/>
  <c r="I241" i="4"/>
  <c r="J241" i="4"/>
  <c r="K241" i="4"/>
  <c r="L241" i="4"/>
  <c r="M241" i="4"/>
  <c r="N241" i="4"/>
  <c r="O241" i="4"/>
  <c r="P241" i="4"/>
  <c r="Q241" i="4"/>
  <c r="R241" i="4"/>
  <c r="S241" i="4"/>
  <c r="T241" i="4"/>
  <c r="U241" i="4"/>
  <c r="V241" i="4"/>
  <c r="W241" i="4"/>
  <c r="X241" i="4"/>
  <c r="Y241" i="4"/>
  <c r="Z241" i="4"/>
  <c r="AA241" i="4"/>
  <c r="AB241" i="4"/>
  <c r="AC241" i="4"/>
  <c r="AD241" i="4"/>
  <c r="AE241" i="4"/>
  <c r="AF241" i="4"/>
  <c r="AG241" i="4"/>
  <c r="AH241" i="4"/>
  <c r="AI241" i="4"/>
  <c r="AJ241" i="4"/>
  <c r="AK241" i="4"/>
  <c r="AL241" i="4"/>
  <c r="AM241" i="4"/>
  <c r="AN241" i="4"/>
  <c r="AO241" i="4"/>
  <c r="AP241" i="4"/>
  <c r="AQ241" i="4"/>
  <c r="AR241" i="4"/>
  <c r="AS241" i="4"/>
  <c r="AT241" i="4"/>
  <c r="AU241" i="4"/>
  <c r="AV241" i="4"/>
  <c r="AW241" i="4"/>
  <c r="AX241" i="4"/>
  <c r="AY241" i="4"/>
  <c r="AZ241" i="4"/>
  <c r="BA241" i="4"/>
  <c r="BB241" i="4"/>
  <c r="BC241" i="4"/>
  <c r="BD241" i="4"/>
  <c r="BE241" i="4"/>
  <c r="BF241" i="4"/>
  <c r="BG241" i="4"/>
  <c r="BH241" i="4"/>
  <c r="BI241" i="4"/>
  <c r="BJ241" i="4"/>
  <c r="BK241" i="4"/>
  <c r="BL241" i="4"/>
  <c r="BM241" i="4"/>
  <c r="BN241" i="4"/>
  <c r="BO241" i="4"/>
  <c r="BP241" i="4"/>
  <c r="BQ241" i="4"/>
  <c r="BR241" i="4"/>
  <c r="BS241" i="4"/>
  <c r="BT241" i="4"/>
  <c r="BU241" i="4"/>
  <c r="BV241" i="4"/>
  <c r="BW241" i="4"/>
  <c r="BX241" i="4"/>
  <c r="BY241" i="4"/>
  <c r="BZ241" i="4"/>
  <c r="CA241" i="4"/>
  <c r="CB241" i="4"/>
  <c r="CC241" i="4"/>
  <c r="CD241" i="4"/>
  <c r="CE241" i="4"/>
  <c r="CF241" i="4"/>
  <c r="CG241" i="4"/>
  <c r="CH241" i="4"/>
  <c r="CI241" i="4"/>
  <c r="CJ241" i="4"/>
  <c r="CK241" i="4"/>
  <c r="CL241" i="4"/>
  <c r="CM241" i="4"/>
  <c r="CN241" i="4"/>
  <c r="CO241" i="4"/>
  <c r="CP241" i="4"/>
  <c r="CQ241" i="4"/>
  <c r="CR241" i="4"/>
  <c r="CS241" i="4"/>
  <c r="CT241" i="4"/>
  <c r="CU241" i="4"/>
  <c r="CV241" i="4"/>
  <c r="CW241" i="4"/>
  <c r="CX241" i="4"/>
  <c r="D242" i="4"/>
  <c r="E242" i="4"/>
  <c r="F242" i="4"/>
  <c r="G242" i="4"/>
  <c r="H242" i="4"/>
  <c r="I242" i="4"/>
  <c r="J242" i="4"/>
  <c r="K242" i="4"/>
  <c r="L242" i="4"/>
  <c r="M242" i="4"/>
  <c r="N242" i="4"/>
  <c r="O242" i="4"/>
  <c r="P242" i="4"/>
  <c r="Q242" i="4"/>
  <c r="R242" i="4"/>
  <c r="S242" i="4"/>
  <c r="T242" i="4"/>
  <c r="U242" i="4"/>
  <c r="V242" i="4"/>
  <c r="W242" i="4"/>
  <c r="X242" i="4"/>
  <c r="Y242" i="4"/>
  <c r="Z242" i="4"/>
  <c r="AA242" i="4"/>
  <c r="AB242" i="4"/>
  <c r="AC242" i="4"/>
  <c r="AD242" i="4"/>
  <c r="AE242" i="4"/>
  <c r="AF242" i="4"/>
  <c r="AG242" i="4"/>
  <c r="AH242" i="4"/>
  <c r="AI242" i="4"/>
  <c r="AJ242" i="4"/>
  <c r="AK242" i="4"/>
  <c r="AL242" i="4"/>
  <c r="AM242" i="4"/>
  <c r="AN242" i="4"/>
  <c r="AO242" i="4"/>
  <c r="AP242" i="4"/>
  <c r="AQ242" i="4"/>
  <c r="AR242" i="4"/>
  <c r="AS242" i="4"/>
  <c r="AT242" i="4"/>
  <c r="AU242" i="4"/>
  <c r="AV242" i="4"/>
  <c r="AW242" i="4"/>
  <c r="AX242" i="4"/>
  <c r="AY242" i="4"/>
  <c r="AZ242" i="4"/>
  <c r="BA242" i="4"/>
  <c r="BB242" i="4"/>
  <c r="BC242" i="4"/>
  <c r="BD242" i="4"/>
  <c r="BE242" i="4"/>
  <c r="BF242" i="4"/>
  <c r="BG242" i="4"/>
  <c r="BH242" i="4"/>
  <c r="BI242" i="4"/>
  <c r="BJ242" i="4"/>
  <c r="BK242" i="4"/>
  <c r="BL242" i="4"/>
  <c r="BM242" i="4"/>
  <c r="BN242" i="4"/>
  <c r="BO242" i="4"/>
  <c r="BP242" i="4"/>
  <c r="BQ242" i="4"/>
  <c r="BR242" i="4"/>
  <c r="BS242" i="4"/>
  <c r="BT242" i="4"/>
  <c r="BU242" i="4"/>
  <c r="BV242" i="4"/>
  <c r="BW242" i="4"/>
  <c r="BX242" i="4"/>
  <c r="BY242" i="4"/>
  <c r="BZ242" i="4"/>
  <c r="CA242" i="4"/>
  <c r="CB242" i="4"/>
  <c r="CC242" i="4"/>
  <c r="CD242" i="4"/>
  <c r="CE242" i="4"/>
  <c r="CF242" i="4"/>
  <c r="CG242" i="4"/>
  <c r="CH242" i="4"/>
  <c r="CI242" i="4"/>
  <c r="CJ242" i="4"/>
  <c r="CK242" i="4"/>
  <c r="CL242" i="4"/>
  <c r="CM242" i="4"/>
  <c r="CN242" i="4"/>
  <c r="CO242" i="4"/>
  <c r="CP242" i="4"/>
  <c r="CQ242" i="4"/>
  <c r="CR242" i="4"/>
  <c r="CS242" i="4"/>
  <c r="CT242" i="4"/>
  <c r="CU242" i="4"/>
  <c r="CV242" i="4"/>
  <c r="CW242" i="4"/>
  <c r="CX242" i="4"/>
  <c r="D243" i="4"/>
  <c r="E243" i="4"/>
  <c r="F243" i="4"/>
  <c r="G243" i="4"/>
  <c r="H243" i="4"/>
  <c r="I243" i="4"/>
  <c r="J243" i="4"/>
  <c r="K243" i="4"/>
  <c r="L243" i="4"/>
  <c r="M243" i="4"/>
  <c r="N243" i="4"/>
  <c r="O243" i="4"/>
  <c r="P243" i="4"/>
  <c r="Q243" i="4"/>
  <c r="R243" i="4"/>
  <c r="S243" i="4"/>
  <c r="T243" i="4"/>
  <c r="U243" i="4"/>
  <c r="V243" i="4"/>
  <c r="W243" i="4"/>
  <c r="X243" i="4"/>
  <c r="Y243" i="4"/>
  <c r="Z243" i="4"/>
  <c r="AA243" i="4"/>
  <c r="AB243" i="4"/>
  <c r="AC243" i="4"/>
  <c r="AD243" i="4"/>
  <c r="AE243" i="4"/>
  <c r="AF243" i="4"/>
  <c r="AG243" i="4"/>
  <c r="AH243" i="4"/>
  <c r="AI243" i="4"/>
  <c r="AJ243" i="4"/>
  <c r="AK243" i="4"/>
  <c r="AL243" i="4"/>
  <c r="AM243" i="4"/>
  <c r="AN243" i="4"/>
  <c r="AO243" i="4"/>
  <c r="AP243" i="4"/>
  <c r="AQ243" i="4"/>
  <c r="AR243" i="4"/>
  <c r="AS243" i="4"/>
  <c r="AT243" i="4"/>
  <c r="AU243" i="4"/>
  <c r="AV243" i="4"/>
  <c r="AW243" i="4"/>
  <c r="AX243" i="4"/>
  <c r="AY243" i="4"/>
  <c r="AZ243" i="4"/>
  <c r="BA243" i="4"/>
  <c r="BB243" i="4"/>
  <c r="BC243" i="4"/>
  <c r="BD243" i="4"/>
  <c r="BE243" i="4"/>
  <c r="BF243" i="4"/>
  <c r="BG243" i="4"/>
  <c r="BH243" i="4"/>
  <c r="BI243" i="4"/>
  <c r="BJ243" i="4"/>
  <c r="BK243" i="4"/>
  <c r="BL243" i="4"/>
  <c r="BM243" i="4"/>
  <c r="BN243" i="4"/>
  <c r="BO243" i="4"/>
  <c r="BP243" i="4"/>
  <c r="BQ243" i="4"/>
  <c r="BR243" i="4"/>
  <c r="BS243" i="4"/>
  <c r="BT243" i="4"/>
  <c r="BU243" i="4"/>
  <c r="BV243" i="4"/>
  <c r="BW243" i="4"/>
  <c r="BX243" i="4"/>
  <c r="BY243" i="4"/>
  <c r="BZ243" i="4"/>
  <c r="CA243" i="4"/>
  <c r="CB243" i="4"/>
  <c r="CC243" i="4"/>
  <c r="CD243" i="4"/>
  <c r="CE243" i="4"/>
  <c r="CF243" i="4"/>
  <c r="CG243" i="4"/>
  <c r="CH243" i="4"/>
  <c r="CI243" i="4"/>
  <c r="CJ243" i="4"/>
  <c r="CK243" i="4"/>
  <c r="CL243" i="4"/>
  <c r="CM243" i="4"/>
  <c r="CN243" i="4"/>
  <c r="CO243" i="4"/>
  <c r="CP243" i="4"/>
  <c r="CQ243" i="4"/>
  <c r="CR243" i="4"/>
  <c r="CS243" i="4"/>
  <c r="CT243" i="4"/>
  <c r="CU243" i="4"/>
  <c r="CV243" i="4"/>
  <c r="CW243" i="4"/>
  <c r="CX243" i="4"/>
  <c r="D244" i="4"/>
  <c r="E244" i="4"/>
  <c r="F244" i="4"/>
  <c r="G244" i="4"/>
  <c r="H244" i="4"/>
  <c r="I244" i="4"/>
  <c r="J244" i="4"/>
  <c r="K244" i="4"/>
  <c r="L244" i="4"/>
  <c r="M244" i="4"/>
  <c r="N244" i="4"/>
  <c r="O244" i="4"/>
  <c r="P244" i="4"/>
  <c r="Q244" i="4"/>
  <c r="R244" i="4"/>
  <c r="S244" i="4"/>
  <c r="T244" i="4"/>
  <c r="U244" i="4"/>
  <c r="V244" i="4"/>
  <c r="W244" i="4"/>
  <c r="X244" i="4"/>
  <c r="Y244" i="4"/>
  <c r="Z244" i="4"/>
  <c r="AA244" i="4"/>
  <c r="AB244" i="4"/>
  <c r="AC244" i="4"/>
  <c r="AD244" i="4"/>
  <c r="AE244" i="4"/>
  <c r="AF244" i="4"/>
  <c r="AG244" i="4"/>
  <c r="AH244" i="4"/>
  <c r="AI244" i="4"/>
  <c r="AJ244" i="4"/>
  <c r="AK244" i="4"/>
  <c r="AL244" i="4"/>
  <c r="AM244" i="4"/>
  <c r="AN244" i="4"/>
  <c r="AO244" i="4"/>
  <c r="AP244" i="4"/>
  <c r="AQ244" i="4"/>
  <c r="AR244" i="4"/>
  <c r="AS244" i="4"/>
  <c r="AT244" i="4"/>
  <c r="AU244" i="4"/>
  <c r="AV244" i="4"/>
  <c r="AW244" i="4"/>
  <c r="AX244" i="4"/>
  <c r="AY244" i="4"/>
  <c r="AZ244" i="4"/>
  <c r="BA244" i="4"/>
  <c r="BB244" i="4"/>
  <c r="BC244" i="4"/>
  <c r="BD244" i="4"/>
  <c r="BE244" i="4"/>
  <c r="BF244" i="4"/>
  <c r="BG244" i="4"/>
  <c r="BH244" i="4"/>
  <c r="BI244" i="4"/>
  <c r="BJ244" i="4"/>
  <c r="BK244" i="4"/>
  <c r="BL244" i="4"/>
  <c r="BM244" i="4"/>
  <c r="BN244" i="4"/>
  <c r="BO244" i="4"/>
  <c r="BP244" i="4"/>
  <c r="BQ244" i="4"/>
  <c r="BR244" i="4"/>
  <c r="BS244" i="4"/>
  <c r="BT244" i="4"/>
  <c r="BU244" i="4"/>
  <c r="BV244" i="4"/>
  <c r="BW244" i="4"/>
  <c r="BX244" i="4"/>
  <c r="BY244" i="4"/>
  <c r="BZ244" i="4"/>
  <c r="CA244" i="4"/>
  <c r="CB244" i="4"/>
  <c r="CC244" i="4"/>
  <c r="CD244" i="4"/>
  <c r="CE244" i="4"/>
  <c r="CF244" i="4"/>
  <c r="CG244" i="4"/>
  <c r="CH244" i="4"/>
  <c r="CI244" i="4"/>
  <c r="CJ244" i="4"/>
  <c r="CK244" i="4"/>
  <c r="CL244" i="4"/>
  <c r="CM244" i="4"/>
  <c r="CN244" i="4"/>
  <c r="CO244" i="4"/>
  <c r="CP244" i="4"/>
  <c r="CQ244" i="4"/>
  <c r="CR244" i="4"/>
  <c r="CS244" i="4"/>
  <c r="CT244" i="4"/>
  <c r="CU244" i="4"/>
  <c r="CV244" i="4"/>
  <c r="CW244" i="4"/>
  <c r="CX244" i="4"/>
  <c r="D245" i="4"/>
  <c r="E245" i="4"/>
  <c r="F245" i="4"/>
  <c r="G245" i="4"/>
  <c r="H245" i="4"/>
  <c r="I245" i="4"/>
  <c r="J245" i="4"/>
  <c r="K245" i="4"/>
  <c r="L245" i="4"/>
  <c r="M245" i="4"/>
  <c r="N245" i="4"/>
  <c r="O245" i="4"/>
  <c r="P245" i="4"/>
  <c r="Q245" i="4"/>
  <c r="R245" i="4"/>
  <c r="S245" i="4"/>
  <c r="T245" i="4"/>
  <c r="U245" i="4"/>
  <c r="V245" i="4"/>
  <c r="W245" i="4"/>
  <c r="X245" i="4"/>
  <c r="Y245" i="4"/>
  <c r="Z245" i="4"/>
  <c r="AA245" i="4"/>
  <c r="AB245" i="4"/>
  <c r="AC245" i="4"/>
  <c r="AD245" i="4"/>
  <c r="AE245" i="4"/>
  <c r="AF245" i="4"/>
  <c r="AG245" i="4"/>
  <c r="AH245" i="4"/>
  <c r="AI245" i="4"/>
  <c r="AJ245" i="4"/>
  <c r="AK245" i="4"/>
  <c r="AL245" i="4"/>
  <c r="AM245" i="4"/>
  <c r="AN245" i="4"/>
  <c r="AO245" i="4"/>
  <c r="AP245" i="4"/>
  <c r="AQ245" i="4"/>
  <c r="AR245" i="4"/>
  <c r="AS245" i="4"/>
  <c r="AT245" i="4"/>
  <c r="AU245" i="4"/>
  <c r="AV245" i="4"/>
  <c r="AW245" i="4"/>
  <c r="AX245" i="4"/>
  <c r="AY245" i="4"/>
  <c r="AZ245" i="4"/>
  <c r="BA245" i="4"/>
  <c r="BB245" i="4"/>
  <c r="BC245" i="4"/>
  <c r="BD245" i="4"/>
  <c r="BE245" i="4"/>
  <c r="BF245" i="4"/>
  <c r="BG245" i="4"/>
  <c r="BH245" i="4"/>
  <c r="BI245" i="4"/>
  <c r="BJ245" i="4"/>
  <c r="BK245" i="4"/>
  <c r="BL245" i="4"/>
  <c r="BM245" i="4"/>
  <c r="BN245" i="4"/>
  <c r="BO245" i="4"/>
  <c r="BP245" i="4"/>
  <c r="BQ245" i="4"/>
  <c r="BR245" i="4"/>
  <c r="BS245" i="4"/>
  <c r="BT245" i="4"/>
  <c r="BU245" i="4"/>
  <c r="BV245" i="4"/>
  <c r="BW245" i="4"/>
  <c r="BX245" i="4"/>
  <c r="BY245" i="4"/>
  <c r="BZ245" i="4"/>
  <c r="CA245" i="4"/>
  <c r="CB245" i="4"/>
  <c r="CC245" i="4"/>
  <c r="CD245" i="4"/>
  <c r="CE245" i="4"/>
  <c r="CF245" i="4"/>
  <c r="CG245" i="4"/>
  <c r="CH245" i="4"/>
  <c r="CI245" i="4"/>
  <c r="CJ245" i="4"/>
  <c r="CK245" i="4"/>
  <c r="CL245" i="4"/>
  <c r="CM245" i="4"/>
  <c r="CN245" i="4"/>
  <c r="CO245" i="4"/>
  <c r="CP245" i="4"/>
  <c r="CQ245" i="4"/>
  <c r="CR245" i="4"/>
  <c r="CS245" i="4"/>
  <c r="CT245" i="4"/>
  <c r="CU245" i="4"/>
  <c r="CV245" i="4"/>
  <c r="CW245" i="4"/>
  <c r="CX245" i="4"/>
  <c r="D246" i="4"/>
  <c r="E246" i="4"/>
  <c r="F246" i="4"/>
  <c r="G246" i="4"/>
  <c r="H246" i="4"/>
  <c r="I246" i="4"/>
  <c r="J246" i="4"/>
  <c r="K246" i="4"/>
  <c r="L246" i="4"/>
  <c r="M246" i="4"/>
  <c r="N246" i="4"/>
  <c r="O246" i="4"/>
  <c r="P246" i="4"/>
  <c r="Q246" i="4"/>
  <c r="R246" i="4"/>
  <c r="S246" i="4"/>
  <c r="T246" i="4"/>
  <c r="U246" i="4"/>
  <c r="V246" i="4"/>
  <c r="W246" i="4"/>
  <c r="X246" i="4"/>
  <c r="Y246" i="4"/>
  <c r="Z246" i="4"/>
  <c r="AA246" i="4"/>
  <c r="AB246" i="4"/>
  <c r="AC246" i="4"/>
  <c r="AD246" i="4"/>
  <c r="AE246" i="4"/>
  <c r="AF246" i="4"/>
  <c r="AG246" i="4"/>
  <c r="AH246" i="4"/>
  <c r="AI246" i="4"/>
  <c r="AJ246" i="4"/>
  <c r="AK246" i="4"/>
  <c r="AL246" i="4"/>
  <c r="AM246" i="4"/>
  <c r="AN246" i="4"/>
  <c r="AO246" i="4"/>
  <c r="AP246" i="4"/>
  <c r="AQ246" i="4"/>
  <c r="AR246" i="4"/>
  <c r="AS246" i="4"/>
  <c r="AT246" i="4"/>
  <c r="AU246" i="4"/>
  <c r="AV246" i="4"/>
  <c r="AW246" i="4"/>
  <c r="AX246" i="4"/>
  <c r="AY246" i="4"/>
  <c r="AZ246" i="4"/>
  <c r="BA246" i="4"/>
  <c r="BB246" i="4"/>
  <c r="BC246" i="4"/>
  <c r="BD246" i="4"/>
  <c r="BE246" i="4"/>
  <c r="BF246" i="4"/>
  <c r="BG246" i="4"/>
  <c r="BH246" i="4"/>
  <c r="BI246" i="4"/>
  <c r="BJ246" i="4"/>
  <c r="BK246" i="4"/>
  <c r="BL246" i="4"/>
  <c r="BM246" i="4"/>
  <c r="BN246" i="4"/>
  <c r="BO246" i="4"/>
  <c r="BP246" i="4"/>
  <c r="BQ246" i="4"/>
  <c r="BR246" i="4"/>
  <c r="BS246" i="4"/>
  <c r="BT246" i="4"/>
  <c r="BU246" i="4"/>
  <c r="BV246" i="4"/>
  <c r="BW246" i="4"/>
  <c r="BX246" i="4"/>
  <c r="BY246" i="4"/>
  <c r="BZ246" i="4"/>
  <c r="CA246" i="4"/>
  <c r="CB246" i="4"/>
  <c r="CC246" i="4"/>
  <c r="CD246" i="4"/>
  <c r="CE246" i="4"/>
  <c r="CF246" i="4"/>
  <c r="CG246" i="4"/>
  <c r="CH246" i="4"/>
  <c r="CI246" i="4"/>
  <c r="CJ246" i="4"/>
  <c r="CK246" i="4"/>
  <c r="CL246" i="4"/>
  <c r="CM246" i="4"/>
  <c r="CN246" i="4"/>
  <c r="CO246" i="4"/>
  <c r="CP246" i="4"/>
  <c r="CQ246" i="4"/>
  <c r="CR246" i="4"/>
  <c r="CS246" i="4"/>
  <c r="CT246" i="4"/>
  <c r="CU246" i="4"/>
  <c r="CV246" i="4"/>
  <c r="CW246" i="4"/>
  <c r="CX246" i="4"/>
  <c r="D247" i="4"/>
  <c r="E247" i="4"/>
  <c r="F247" i="4"/>
  <c r="G247" i="4"/>
  <c r="H247" i="4"/>
  <c r="I247" i="4"/>
  <c r="J247" i="4"/>
  <c r="K247" i="4"/>
  <c r="L247" i="4"/>
  <c r="M247" i="4"/>
  <c r="N247" i="4"/>
  <c r="O247" i="4"/>
  <c r="P247" i="4"/>
  <c r="Q247" i="4"/>
  <c r="R247" i="4"/>
  <c r="S247" i="4"/>
  <c r="T247" i="4"/>
  <c r="U247" i="4"/>
  <c r="V247" i="4"/>
  <c r="W247" i="4"/>
  <c r="X247" i="4"/>
  <c r="Y247" i="4"/>
  <c r="Z247" i="4"/>
  <c r="AA247" i="4"/>
  <c r="AB247" i="4"/>
  <c r="AC247" i="4"/>
  <c r="AD247" i="4"/>
  <c r="AE247" i="4"/>
  <c r="AF247" i="4"/>
  <c r="AG247" i="4"/>
  <c r="AH247" i="4"/>
  <c r="AI247" i="4"/>
  <c r="AJ247" i="4"/>
  <c r="AK247" i="4"/>
  <c r="AL247" i="4"/>
  <c r="AM247" i="4"/>
  <c r="AN247" i="4"/>
  <c r="AO247" i="4"/>
  <c r="AP247" i="4"/>
  <c r="AQ247" i="4"/>
  <c r="AR247" i="4"/>
  <c r="AS247" i="4"/>
  <c r="AT247" i="4"/>
  <c r="AU247" i="4"/>
  <c r="AV247" i="4"/>
  <c r="AW247" i="4"/>
  <c r="AX247" i="4"/>
  <c r="AY247" i="4"/>
  <c r="AZ247" i="4"/>
  <c r="BA247" i="4"/>
  <c r="BB247" i="4"/>
  <c r="BC247" i="4"/>
  <c r="BD247" i="4"/>
  <c r="BE247" i="4"/>
  <c r="BF247" i="4"/>
  <c r="BG247" i="4"/>
  <c r="BH247" i="4"/>
  <c r="BI247" i="4"/>
  <c r="BJ247" i="4"/>
  <c r="BK247" i="4"/>
  <c r="BL247" i="4"/>
  <c r="BM247" i="4"/>
  <c r="BN247" i="4"/>
  <c r="BO247" i="4"/>
  <c r="BP247" i="4"/>
  <c r="BQ247" i="4"/>
  <c r="BR247" i="4"/>
  <c r="BS247" i="4"/>
  <c r="BT247" i="4"/>
  <c r="BU247" i="4"/>
  <c r="BV247" i="4"/>
  <c r="BW247" i="4"/>
  <c r="BX247" i="4"/>
  <c r="BY247" i="4"/>
  <c r="BZ247" i="4"/>
  <c r="CA247" i="4"/>
  <c r="CB247" i="4"/>
  <c r="CC247" i="4"/>
  <c r="CD247" i="4"/>
  <c r="CE247" i="4"/>
  <c r="CF247" i="4"/>
  <c r="CG247" i="4"/>
  <c r="CH247" i="4"/>
  <c r="CI247" i="4"/>
  <c r="CJ247" i="4"/>
  <c r="CK247" i="4"/>
  <c r="CL247" i="4"/>
  <c r="CM247" i="4"/>
  <c r="CN247" i="4"/>
  <c r="CO247" i="4"/>
  <c r="CP247" i="4"/>
  <c r="CQ247" i="4"/>
  <c r="CR247" i="4"/>
  <c r="CS247" i="4"/>
  <c r="CT247" i="4"/>
  <c r="CU247" i="4"/>
  <c r="CV247" i="4"/>
  <c r="CW247" i="4"/>
  <c r="CX247" i="4"/>
  <c r="D248" i="4"/>
  <c r="E248" i="4"/>
  <c r="F248" i="4"/>
  <c r="G248" i="4"/>
  <c r="H248" i="4"/>
  <c r="I248" i="4"/>
  <c r="J248" i="4"/>
  <c r="K248" i="4"/>
  <c r="L248" i="4"/>
  <c r="M248" i="4"/>
  <c r="N248" i="4"/>
  <c r="O248" i="4"/>
  <c r="P248" i="4"/>
  <c r="Q248" i="4"/>
  <c r="R248" i="4"/>
  <c r="S248" i="4"/>
  <c r="T248" i="4"/>
  <c r="U248" i="4"/>
  <c r="V248" i="4"/>
  <c r="W248" i="4"/>
  <c r="X248" i="4"/>
  <c r="Y248" i="4"/>
  <c r="Z248" i="4"/>
  <c r="AA248" i="4"/>
  <c r="AB248" i="4"/>
  <c r="AC248" i="4"/>
  <c r="AD248" i="4"/>
  <c r="AE248" i="4"/>
  <c r="AF248" i="4"/>
  <c r="AG248" i="4"/>
  <c r="AH248" i="4"/>
  <c r="AI248" i="4"/>
  <c r="AJ248" i="4"/>
  <c r="AK248" i="4"/>
  <c r="AL248" i="4"/>
  <c r="AM248" i="4"/>
  <c r="AN248" i="4"/>
  <c r="AO248" i="4"/>
  <c r="AP248" i="4"/>
  <c r="AQ248" i="4"/>
  <c r="AR248" i="4"/>
  <c r="AS248" i="4"/>
  <c r="AT248" i="4"/>
  <c r="AU248" i="4"/>
  <c r="AV248" i="4"/>
  <c r="AW248" i="4"/>
  <c r="AX248" i="4"/>
  <c r="AY248" i="4"/>
  <c r="AZ248" i="4"/>
  <c r="BA248" i="4"/>
  <c r="BB248" i="4"/>
  <c r="BC248" i="4"/>
  <c r="BD248" i="4"/>
  <c r="BE248" i="4"/>
  <c r="BF248" i="4"/>
  <c r="BG248" i="4"/>
  <c r="BH248" i="4"/>
  <c r="BI248" i="4"/>
  <c r="BJ248" i="4"/>
  <c r="BK248" i="4"/>
  <c r="BL248" i="4"/>
  <c r="BM248" i="4"/>
  <c r="BN248" i="4"/>
  <c r="BO248" i="4"/>
  <c r="BP248" i="4"/>
  <c r="BQ248" i="4"/>
  <c r="BR248" i="4"/>
  <c r="BS248" i="4"/>
  <c r="BT248" i="4"/>
  <c r="BU248" i="4"/>
  <c r="BV248" i="4"/>
  <c r="BW248" i="4"/>
  <c r="BX248" i="4"/>
  <c r="BY248" i="4"/>
  <c r="BZ248" i="4"/>
  <c r="CA248" i="4"/>
  <c r="CB248" i="4"/>
  <c r="CC248" i="4"/>
  <c r="CD248" i="4"/>
  <c r="CE248" i="4"/>
  <c r="CF248" i="4"/>
  <c r="CG248" i="4"/>
  <c r="CH248" i="4"/>
  <c r="CI248" i="4"/>
  <c r="CJ248" i="4"/>
  <c r="CK248" i="4"/>
  <c r="CL248" i="4"/>
  <c r="CM248" i="4"/>
  <c r="CN248" i="4"/>
  <c r="CO248" i="4"/>
  <c r="CP248" i="4"/>
  <c r="CQ248" i="4"/>
  <c r="CR248" i="4"/>
  <c r="CS248" i="4"/>
  <c r="CT248" i="4"/>
  <c r="CU248" i="4"/>
  <c r="CV248" i="4"/>
  <c r="CW248" i="4"/>
  <c r="CX248" i="4"/>
  <c r="D249" i="4"/>
  <c r="E249" i="4"/>
  <c r="F249" i="4"/>
  <c r="G249" i="4"/>
  <c r="H249" i="4"/>
  <c r="I249" i="4"/>
  <c r="J249" i="4"/>
  <c r="K249" i="4"/>
  <c r="L249" i="4"/>
  <c r="M249" i="4"/>
  <c r="N249" i="4"/>
  <c r="O249" i="4"/>
  <c r="P249" i="4"/>
  <c r="Q249" i="4"/>
  <c r="R249" i="4"/>
  <c r="S249" i="4"/>
  <c r="T249" i="4"/>
  <c r="U249" i="4"/>
  <c r="V249" i="4"/>
  <c r="W249" i="4"/>
  <c r="X249" i="4"/>
  <c r="Y249" i="4"/>
  <c r="Z249" i="4"/>
  <c r="AA249" i="4"/>
  <c r="AB249" i="4"/>
  <c r="AC249" i="4"/>
  <c r="AD249" i="4"/>
  <c r="AE249" i="4"/>
  <c r="AF249" i="4"/>
  <c r="AG249" i="4"/>
  <c r="AH249" i="4"/>
  <c r="AI249" i="4"/>
  <c r="AJ249" i="4"/>
  <c r="AK249" i="4"/>
  <c r="AL249" i="4"/>
  <c r="AM249" i="4"/>
  <c r="AN249" i="4"/>
  <c r="AO249" i="4"/>
  <c r="AP249" i="4"/>
  <c r="AQ249" i="4"/>
  <c r="AR249" i="4"/>
  <c r="AS249" i="4"/>
  <c r="AT249" i="4"/>
  <c r="AU249" i="4"/>
  <c r="AV249" i="4"/>
  <c r="AW249" i="4"/>
  <c r="AX249" i="4"/>
  <c r="AY249" i="4"/>
  <c r="AZ249" i="4"/>
  <c r="BA249" i="4"/>
  <c r="BB249" i="4"/>
  <c r="BC249" i="4"/>
  <c r="BD249" i="4"/>
  <c r="BE249" i="4"/>
  <c r="BF249" i="4"/>
  <c r="BG249" i="4"/>
  <c r="BH249" i="4"/>
  <c r="BI249" i="4"/>
  <c r="BJ249" i="4"/>
  <c r="BK249" i="4"/>
  <c r="BL249" i="4"/>
  <c r="BM249" i="4"/>
  <c r="BN249" i="4"/>
  <c r="BO249" i="4"/>
  <c r="BP249" i="4"/>
  <c r="BQ249" i="4"/>
  <c r="BR249" i="4"/>
  <c r="BS249" i="4"/>
  <c r="BT249" i="4"/>
  <c r="BU249" i="4"/>
  <c r="BV249" i="4"/>
  <c r="BW249" i="4"/>
  <c r="BX249" i="4"/>
  <c r="BY249" i="4"/>
  <c r="BZ249" i="4"/>
  <c r="CA249" i="4"/>
  <c r="CB249" i="4"/>
  <c r="CC249" i="4"/>
  <c r="CD249" i="4"/>
  <c r="CE249" i="4"/>
  <c r="CF249" i="4"/>
  <c r="CG249" i="4"/>
  <c r="CH249" i="4"/>
  <c r="CI249" i="4"/>
  <c r="CJ249" i="4"/>
  <c r="CK249" i="4"/>
  <c r="CL249" i="4"/>
  <c r="CM249" i="4"/>
  <c r="CN249" i="4"/>
  <c r="CO249" i="4"/>
  <c r="CP249" i="4"/>
  <c r="CQ249" i="4"/>
  <c r="CR249" i="4"/>
  <c r="CS249" i="4"/>
  <c r="CT249" i="4"/>
  <c r="CU249" i="4"/>
  <c r="CV249" i="4"/>
  <c r="CW249" i="4"/>
  <c r="CX249" i="4"/>
  <c r="D250" i="4"/>
  <c r="E250" i="4"/>
  <c r="F250" i="4"/>
  <c r="G250" i="4"/>
  <c r="H250" i="4"/>
  <c r="I250" i="4"/>
  <c r="J250" i="4"/>
  <c r="K250" i="4"/>
  <c r="L250" i="4"/>
  <c r="M250" i="4"/>
  <c r="N250" i="4"/>
  <c r="O250" i="4"/>
  <c r="P250" i="4"/>
  <c r="Q250" i="4"/>
  <c r="R250" i="4"/>
  <c r="S250" i="4"/>
  <c r="T250" i="4"/>
  <c r="U250" i="4"/>
  <c r="V250" i="4"/>
  <c r="W250" i="4"/>
  <c r="X250" i="4"/>
  <c r="Y250" i="4"/>
  <c r="Z250" i="4"/>
  <c r="AA250" i="4"/>
  <c r="AB250" i="4"/>
  <c r="AC250" i="4"/>
  <c r="AD250" i="4"/>
  <c r="AE250" i="4"/>
  <c r="AF250" i="4"/>
  <c r="AG250" i="4"/>
  <c r="AH250" i="4"/>
  <c r="AI250" i="4"/>
  <c r="AJ250" i="4"/>
  <c r="AK250" i="4"/>
  <c r="AL250" i="4"/>
  <c r="AM250" i="4"/>
  <c r="AN250" i="4"/>
  <c r="AO250" i="4"/>
  <c r="AP250" i="4"/>
  <c r="AQ250" i="4"/>
  <c r="AR250" i="4"/>
  <c r="AS250" i="4"/>
  <c r="AT250" i="4"/>
  <c r="AU250" i="4"/>
  <c r="AV250" i="4"/>
  <c r="AW250" i="4"/>
  <c r="AX250" i="4"/>
  <c r="AY250" i="4"/>
  <c r="AZ250" i="4"/>
  <c r="BA250" i="4"/>
  <c r="BB250" i="4"/>
  <c r="BC250" i="4"/>
  <c r="BD250" i="4"/>
  <c r="BE250" i="4"/>
  <c r="BF250" i="4"/>
  <c r="BG250" i="4"/>
  <c r="BH250" i="4"/>
  <c r="BI250" i="4"/>
  <c r="BJ250" i="4"/>
  <c r="BK250" i="4"/>
  <c r="BL250" i="4"/>
  <c r="BM250" i="4"/>
  <c r="BN250" i="4"/>
  <c r="BO250" i="4"/>
  <c r="BP250" i="4"/>
  <c r="BQ250" i="4"/>
  <c r="BR250" i="4"/>
  <c r="BS250" i="4"/>
  <c r="BT250" i="4"/>
  <c r="BU250" i="4"/>
  <c r="BV250" i="4"/>
  <c r="BW250" i="4"/>
  <c r="BX250" i="4"/>
  <c r="BY250" i="4"/>
  <c r="BZ250" i="4"/>
  <c r="CA250" i="4"/>
  <c r="CB250" i="4"/>
  <c r="CC250" i="4"/>
  <c r="CD250" i="4"/>
  <c r="CE250" i="4"/>
  <c r="CF250" i="4"/>
  <c r="CG250" i="4"/>
  <c r="CH250" i="4"/>
  <c r="CI250" i="4"/>
  <c r="CJ250" i="4"/>
  <c r="CK250" i="4"/>
  <c r="CL250" i="4"/>
  <c r="CM250" i="4"/>
  <c r="CN250" i="4"/>
  <c r="CO250" i="4"/>
  <c r="CP250" i="4"/>
  <c r="CQ250" i="4"/>
  <c r="CR250" i="4"/>
  <c r="CS250" i="4"/>
  <c r="CT250" i="4"/>
  <c r="CU250" i="4"/>
  <c r="CV250" i="4"/>
  <c r="CW250" i="4"/>
  <c r="CX250" i="4"/>
  <c r="D251" i="4"/>
  <c r="E251" i="4"/>
  <c r="F251" i="4"/>
  <c r="G251" i="4"/>
  <c r="H251" i="4"/>
  <c r="I251" i="4"/>
  <c r="J251" i="4"/>
  <c r="K251" i="4"/>
  <c r="L251" i="4"/>
  <c r="M251" i="4"/>
  <c r="N251" i="4"/>
  <c r="O251" i="4"/>
  <c r="P251" i="4"/>
  <c r="Q251" i="4"/>
  <c r="R251" i="4"/>
  <c r="S251" i="4"/>
  <c r="T251" i="4"/>
  <c r="U251" i="4"/>
  <c r="V251" i="4"/>
  <c r="W251" i="4"/>
  <c r="X251" i="4"/>
  <c r="Y251" i="4"/>
  <c r="Z251" i="4"/>
  <c r="AA251" i="4"/>
  <c r="AB251" i="4"/>
  <c r="AC251" i="4"/>
  <c r="AD251" i="4"/>
  <c r="AE251" i="4"/>
  <c r="AF251" i="4"/>
  <c r="AG251" i="4"/>
  <c r="AH251" i="4"/>
  <c r="AI251" i="4"/>
  <c r="AJ251" i="4"/>
  <c r="AK251" i="4"/>
  <c r="AL251" i="4"/>
  <c r="AM251" i="4"/>
  <c r="AN251" i="4"/>
  <c r="AO251" i="4"/>
  <c r="AP251" i="4"/>
  <c r="AQ251" i="4"/>
  <c r="AR251" i="4"/>
  <c r="AS251" i="4"/>
  <c r="AT251" i="4"/>
  <c r="AU251" i="4"/>
  <c r="AV251" i="4"/>
  <c r="AW251" i="4"/>
  <c r="AX251" i="4"/>
  <c r="AY251" i="4"/>
  <c r="AZ251" i="4"/>
  <c r="BA251" i="4"/>
  <c r="BB251" i="4"/>
  <c r="BC251" i="4"/>
  <c r="BD251" i="4"/>
  <c r="BE251" i="4"/>
  <c r="BF251" i="4"/>
  <c r="BG251" i="4"/>
  <c r="BH251" i="4"/>
  <c r="BI251" i="4"/>
  <c r="BJ251" i="4"/>
  <c r="BK251" i="4"/>
  <c r="BL251" i="4"/>
  <c r="BM251" i="4"/>
  <c r="BN251" i="4"/>
  <c r="BO251" i="4"/>
  <c r="BP251" i="4"/>
  <c r="BQ251" i="4"/>
  <c r="BR251" i="4"/>
  <c r="BS251" i="4"/>
  <c r="BT251" i="4"/>
  <c r="BU251" i="4"/>
  <c r="BV251" i="4"/>
  <c r="BW251" i="4"/>
  <c r="BX251" i="4"/>
  <c r="BY251" i="4"/>
  <c r="BZ251" i="4"/>
  <c r="CA251" i="4"/>
  <c r="CB251" i="4"/>
  <c r="CC251" i="4"/>
  <c r="CD251" i="4"/>
  <c r="CE251" i="4"/>
  <c r="CF251" i="4"/>
  <c r="CG251" i="4"/>
  <c r="CH251" i="4"/>
  <c r="CI251" i="4"/>
  <c r="CJ251" i="4"/>
  <c r="CK251" i="4"/>
  <c r="CL251" i="4"/>
  <c r="CM251" i="4"/>
  <c r="CN251" i="4"/>
  <c r="CO251" i="4"/>
  <c r="CP251" i="4"/>
  <c r="CQ251" i="4"/>
  <c r="CR251" i="4"/>
  <c r="CS251" i="4"/>
  <c r="CT251" i="4"/>
  <c r="CU251" i="4"/>
  <c r="CV251" i="4"/>
  <c r="CW251" i="4"/>
  <c r="CX251" i="4"/>
  <c r="D252" i="4"/>
  <c r="E252" i="4"/>
  <c r="F252" i="4"/>
  <c r="G252" i="4"/>
  <c r="H252" i="4"/>
  <c r="I252" i="4"/>
  <c r="J252" i="4"/>
  <c r="K252" i="4"/>
  <c r="L252" i="4"/>
  <c r="M252" i="4"/>
  <c r="N252" i="4"/>
  <c r="O252" i="4"/>
  <c r="P252" i="4"/>
  <c r="Q252" i="4"/>
  <c r="R252" i="4"/>
  <c r="S252" i="4"/>
  <c r="T252" i="4"/>
  <c r="U252" i="4"/>
  <c r="V252" i="4"/>
  <c r="W252" i="4"/>
  <c r="X252" i="4"/>
  <c r="Y252" i="4"/>
  <c r="Z252" i="4"/>
  <c r="AA252" i="4"/>
  <c r="AB252" i="4"/>
  <c r="AC252" i="4"/>
  <c r="AD252" i="4"/>
  <c r="AE252" i="4"/>
  <c r="AF252" i="4"/>
  <c r="AG252" i="4"/>
  <c r="AH252" i="4"/>
  <c r="AI252" i="4"/>
  <c r="AJ252" i="4"/>
  <c r="AK252" i="4"/>
  <c r="AL252" i="4"/>
  <c r="AM252" i="4"/>
  <c r="AN252" i="4"/>
  <c r="AO252" i="4"/>
  <c r="AP252" i="4"/>
  <c r="AQ252" i="4"/>
  <c r="AR252" i="4"/>
  <c r="AS252" i="4"/>
  <c r="AT252" i="4"/>
  <c r="AU252" i="4"/>
  <c r="AV252" i="4"/>
  <c r="AW252" i="4"/>
  <c r="AX252" i="4"/>
  <c r="AY252" i="4"/>
  <c r="AZ252" i="4"/>
  <c r="BA252" i="4"/>
  <c r="BB252" i="4"/>
  <c r="BC252" i="4"/>
  <c r="BD252" i="4"/>
  <c r="BE252" i="4"/>
  <c r="BF252" i="4"/>
  <c r="BG252" i="4"/>
  <c r="BH252" i="4"/>
  <c r="BI252" i="4"/>
  <c r="BJ252" i="4"/>
  <c r="BK252" i="4"/>
  <c r="BL252" i="4"/>
  <c r="BM252" i="4"/>
  <c r="BN252" i="4"/>
  <c r="BO252" i="4"/>
  <c r="BP252" i="4"/>
  <c r="BQ252" i="4"/>
  <c r="BR252" i="4"/>
  <c r="BS252" i="4"/>
  <c r="BT252" i="4"/>
  <c r="BU252" i="4"/>
  <c r="BV252" i="4"/>
  <c r="BW252" i="4"/>
  <c r="BX252" i="4"/>
  <c r="BY252" i="4"/>
  <c r="BZ252" i="4"/>
  <c r="CA252" i="4"/>
  <c r="CB252" i="4"/>
  <c r="CC252" i="4"/>
  <c r="CD252" i="4"/>
  <c r="CE252" i="4"/>
  <c r="CF252" i="4"/>
  <c r="CG252" i="4"/>
  <c r="CH252" i="4"/>
  <c r="CI252" i="4"/>
  <c r="CJ252" i="4"/>
  <c r="CK252" i="4"/>
  <c r="CL252" i="4"/>
  <c r="CM252" i="4"/>
  <c r="CN252" i="4"/>
  <c r="CO252" i="4"/>
  <c r="CP252" i="4"/>
  <c r="CQ252" i="4"/>
  <c r="CR252" i="4"/>
  <c r="CS252" i="4"/>
  <c r="CT252" i="4"/>
  <c r="CU252" i="4"/>
  <c r="CV252" i="4"/>
  <c r="CW252" i="4"/>
  <c r="CX252" i="4"/>
  <c r="D253" i="4"/>
  <c r="E253" i="4"/>
  <c r="F253" i="4"/>
  <c r="G253" i="4"/>
  <c r="H253" i="4"/>
  <c r="I253" i="4"/>
  <c r="J253" i="4"/>
  <c r="K253" i="4"/>
  <c r="L253" i="4"/>
  <c r="M253" i="4"/>
  <c r="N253" i="4"/>
  <c r="O253" i="4"/>
  <c r="P253" i="4"/>
  <c r="Q253" i="4"/>
  <c r="R253" i="4"/>
  <c r="S253" i="4"/>
  <c r="T253" i="4"/>
  <c r="U253" i="4"/>
  <c r="V253" i="4"/>
  <c r="W253" i="4"/>
  <c r="X253" i="4"/>
  <c r="Y253" i="4"/>
  <c r="Z253" i="4"/>
  <c r="AA253" i="4"/>
  <c r="AB253" i="4"/>
  <c r="AC253" i="4"/>
  <c r="AD253" i="4"/>
  <c r="AE253" i="4"/>
  <c r="AF253" i="4"/>
  <c r="AG253" i="4"/>
  <c r="AH253" i="4"/>
  <c r="AI253" i="4"/>
  <c r="AJ253" i="4"/>
  <c r="AK253" i="4"/>
  <c r="AL253" i="4"/>
  <c r="AM253" i="4"/>
  <c r="AN253" i="4"/>
  <c r="AO253" i="4"/>
  <c r="AP253" i="4"/>
  <c r="AQ253" i="4"/>
  <c r="AR253" i="4"/>
  <c r="AS253" i="4"/>
  <c r="AT253" i="4"/>
  <c r="AU253" i="4"/>
  <c r="AV253" i="4"/>
  <c r="AW253" i="4"/>
  <c r="AX253" i="4"/>
  <c r="AY253" i="4"/>
  <c r="AZ253" i="4"/>
  <c r="BA253" i="4"/>
  <c r="BB253" i="4"/>
  <c r="BC253" i="4"/>
  <c r="BD253" i="4"/>
  <c r="BE253" i="4"/>
  <c r="BF253" i="4"/>
  <c r="BG253" i="4"/>
  <c r="BH253" i="4"/>
  <c r="BI253" i="4"/>
  <c r="BJ253" i="4"/>
  <c r="BK253" i="4"/>
  <c r="BL253" i="4"/>
  <c r="BM253" i="4"/>
  <c r="BN253" i="4"/>
  <c r="BO253" i="4"/>
  <c r="BP253" i="4"/>
  <c r="BQ253" i="4"/>
  <c r="BR253" i="4"/>
  <c r="BS253" i="4"/>
  <c r="BT253" i="4"/>
  <c r="BU253" i="4"/>
  <c r="BV253" i="4"/>
  <c r="BW253" i="4"/>
  <c r="BX253" i="4"/>
  <c r="BY253" i="4"/>
  <c r="BZ253" i="4"/>
  <c r="CA253" i="4"/>
  <c r="CB253" i="4"/>
  <c r="CC253" i="4"/>
  <c r="CD253" i="4"/>
  <c r="CE253" i="4"/>
  <c r="CF253" i="4"/>
  <c r="CG253" i="4"/>
  <c r="CH253" i="4"/>
  <c r="CI253" i="4"/>
  <c r="CJ253" i="4"/>
  <c r="CK253" i="4"/>
  <c r="CL253" i="4"/>
  <c r="CM253" i="4"/>
  <c r="CN253" i="4"/>
  <c r="CO253" i="4"/>
  <c r="CP253" i="4"/>
  <c r="CQ253" i="4"/>
  <c r="CR253" i="4"/>
  <c r="CS253" i="4"/>
  <c r="CT253" i="4"/>
  <c r="CU253" i="4"/>
  <c r="CV253" i="4"/>
  <c r="CW253" i="4"/>
  <c r="CX253" i="4"/>
  <c r="D254" i="4"/>
  <c r="E254" i="4"/>
  <c r="F254" i="4"/>
  <c r="G254" i="4"/>
  <c r="H254" i="4"/>
  <c r="I254" i="4"/>
  <c r="J254" i="4"/>
  <c r="K254" i="4"/>
  <c r="L254" i="4"/>
  <c r="M254" i="4"/>
  <c r="N254" i="4"/>
  <c r="O254" i="4"/>
  <c r="P254" i="4"/>
  <c r="Q254" i="4"/>
  <c r="R254" i="4"/>
  <c r="S254" i="4"/>
  <c r="T254" i="4"/>
  <c r="U254" i="4"/>
  <c r="V254" i="4"/>
  <c r="W254" i="4"/>
  <c r="X254" i="4"/>
  <c r="Y254" i="4"/>
  <c r="Z254" i="4"/>
  <c r="AA254" i="4"/>
  <c r="AB254" i="4"/>
  <c r="AC254" i="4"/>
  <c r="AD254" i="4"/>
  <c r="AE254" i="4"/>
  <c r="AF254" i="4"/>
  <c r="AG254" i="4"/>
  <c r="AH254" i="4"/>
  <c r="AI254" i="4"/>
  <c r="AJ254" i="4"/>
  <c r="AK254" i="4"/>
  <c r="AL254" i="4"/>
  <c r="AM254" i="4"/>
  <c r="AN254" i="4"/>
  <c r="AO254" i="4"/>
  <c r="AP254" i="4"/>
  <c r="AQ254" i="4"/>
  <c r="AR254" i="4"/>
  <c r="AS254" i="4"/>
  <c r="AT254" i="4"/>
  <c r="AU254" i="4"/>
  <c r="AV254" i="4"/>
  <c r="AW254" i="4"/>
  <c r="AX254" i="4"/>
  <c r="AY254" i="4"/>
  <c r="AZ254" i="4"/>
  <c r="BA254" i="4"/>
  <c r="BB254" i="4"/>
  <c r="BC254" i="4"/>
  <c r="BD254" i="4"/>
  <c r="BE254" i="4"/>
  <c r="BF254" i="4"/>
  <c r="BG254" i="4"/>
  <c r="BH254" i="4"/>
  <c r="BI254" i="4"/>
  <c r="BJ254" i="4"/>
  <c r="BK254" i="4"/>
  <c r="BL254" i="4"/>
  <c r="BM254" i="4"/>
  <c r="BN254" i="4"/>
  <c r="BO254" i="4"/>
  <c r="BP254" i="4"/>
  <c r="BQ254" i="4"/>
  <c r="BR254" i="4"/>
  <c r="BS254" i="4"/>
  <c r="BT254" i="4"/>
  <c r="BU254" i="4"/>
  <c r="BV254" i="4"/>
  <c r="BW254" i="4"/>
  <c r="BX254" i="4"/>
  <c r="BY254" i="4"/>
  <c r="BZ254" i="4"/>
  <c r="CA254" i="4"/>
  <c r="CB254" i="4"/>
  <c r="CC254" i="4"/>
  <c r="CD254" i="4"/>
  <c r="CE254" i="4"/>
  <c r="CF254" i="4"/>
  <c r="CG254" i="4"/>
  <c r="CH254" i="4"/>
  <c r="CI254" i="4"/>
  <c r="CJ254" i="4"/>
  <c r="CK254" i="4"/>
  <c r="CL254" i="4"/>
  <c r="CM254" i="4"/>
  <c r="CN254" i="4"/>
  <c r="CO254" i="4"/>
  <c r="CP254" i="4"/>
  <c r="CQ254" i="4"/>
  <c r="CR254" i="4"/>
  <c r="CS254" i="4"/>
  <c r="CT254" i="4"/>
  <c r="CU254" i="4"/>
  <c r="CV254" i="4"/>
  <c r="CW254" i="4"/>
  <c r="CX254" i="4"/>
  <c r="D255" i="4"/>
  <c r="E255" i="4"/>
  <c r="F255" i="4"/>
  <c r="G255" i="4"/>
  <c r="H255" i="4"/>
  <c r="I255" i="4"/>
  <c r="J255" i="4"/>
  <c r="K255" i="4"/>
  <c r="L255" i="4"/>
  <c r="M255" i="4"/>
  <c r="N255" i="4"/>
  <c r="O255" i="4"/>
  <c r="P255" i="4"/>
  <c r="Q255" i="4"/>
  <c r="R255" i="4"/>
  <c r="S255" i="4"/>
  <c r="T255" i="4"/>
  <c r="U255" i="4"/>
  <c r="V255" i="4"/>
  <c r="W255" i="4"/>
  <c r="X255" i="4"/>
  <c r="Y255" i="4"/>
  <c r="Z255" i="4"/>
  <c r="AA255" i="4"/>
  <c r="AB255" i="4"/>
  <c r="AC255" i="4"/>
  <c r="AD255" i="4"/>
  <c r="AE255" i="4"/>
  <c r="AF255" i="4"/>
  <c r="AG255" i="4"/>
  <c r="AH255" i="4"/>
  <c r="AI255" i="4"/>
  <c r="AJ255" i="4"/>
  <c r="AK255" i="4"/>
  <c r="AL255" i="4"/>
  <c r="AM255" i="4"/>
  <c r="AN255" i="4"/>
  <c r="AO255" i="4"/>
  <c r="AP255" i="4"/>
  <c r="AQ255" i="4"/>
  <c r="AR255" i="4"/>
  <c r="AS255" i="4"/>
  <c r="AT255" i="4"/>
  <c r="AU255" i="4"/>
  <c r="AV255" i="4"/>
  <c r="AW255" i="4"/>
  <c r="AX255" i="4"/>
  <c r="AY255" i="4"/>
  <c r="AZ255" i="4"/>
  <c r="BA255" i="4"/>
  <c r="BB255" i="4"/>
  <c r="BC255" i="4"/>
  <c r="BD255" i="4"/>
  <c r="BE255" i="4"/>
  <c r="BF255" i="4"/>
  <c r="BG255" i="4"/>
  <c r="BH255" i="4"/>
  <c r="BI255" i="4"/>
  <c r="BJ255" i="4"/>
  <c r="BK255" i="4"/>
  <c r="BL255" i="4"/>
  <c r="BM255" i="4"/>
  <c r="BN255" i="4"/>
  <c r="BO255" i="4"/>
  <c r="BP255" i="4"/>
  <c r="BQ255" i="4"/>
  <c r="BR255" i="4"/>
  <c r="BS255" i="4"/>
  <c r="BT255" i="4"/>
  <c r="BU255" i="4"/>
  <c r="BV255" i="4"/>
  <c r="BW255" i="4"/>
  <c r="BX255" i="4"/>
  <c r="BY255" i="4"/>
  <c r="BZ255" i="4"/>
  <c r="CA255" i="4"/>
  <c r="CB255" i="4"/>
  <c r="CC255" i="4"/>
  <c r="CD255" i="4"/>
  <c r="CE255" i="4"/>
  <c r="CF255" i="4"/>
  <c r="CG255" i="4"/>
  <c r="CH255" i="4"/>
  <c r="CI255" i="4"/>
  <c r="CJ255" i="4"/>
  <c r="CK255" i="4"/>
  <c r="CL255" i="4"/>
  <c r="CM255" i="4"/>
  <c r="CN255" i="4"/>
  <c r="CO255" i="4"/>
  <c r="CP255" i="4"/>
  <c r="CQ255" i="4"/>
  <c r="CR255" i="4"/>
  <c r="CS255" i="4"/>
  <c r="CT255" i="4"/>
  <c r="CU255" i="4"/>
  <c r="CV255" i="4"/>
  <c r="CW255" i="4"/>
  <c r="CX255" i="4"/>
  <c r="D256" i="4"/>
  <c r="E256" i="4"/>
  <c r="F256" i="4"/>
  <c r="G256" i="4"/>
  <c r="H256" i="4"/>
  <c r="I256" i="4"/>
  <c r="J256" i="4"/>
  <c r="K256" i="4"/>
  <c r="L256" i="4"/>
  <c r="M256" i="4"/>
  <c r="N256" i="4"/>
  <c r="O256" i="4"/>
  <c r="P256" i="4"/>
  <c r="Q256" i="4"/>
  <c r="R256" i="4"/>
  <c r="S256" i="4"/>
  <c r="T256" i="4"/>
  <c r="U256" i="4"/>
  <c r="V256" i="4"/>
  <c r="W256" i="4"/>
  <c r="X256" i="4"/>
  <c r="Y256" i="4"/>
  <c r="Z256" i="4"/>
  <c r="AA256" i="4"/>
  <c r="AB256" i="4"/>
  <c r="AC256" i="4"/>
  <c r="AD256" i="4"/>
  <c r="AE256" i="4"/>
  <c r="AF256" i="4"/>
  <c r="AG256" i="4"/>
  <c r="AH256" i="4"/>
  <c r="AI256" i="4"/>
  <c r="AJ256" i="4"/>
  <c r="AK256" i="4"/>
  <c r="AL256" i="4"/>
  <c r="AM256" i="4"/>
  <c r="AN256" i="4"/>
  <c r="AO256" i="4"/>
  <c r="AP256" i="4"/>
  <c r="AQ256" i="4"/>
  <c r="AR256" i="4"/>
  <c r="AS256" i="4"/>
  <c r="AT256" i="4"/>
  <c r="AU256" i="4"/>
  <c r="AV256" i="4"/>
  <c r="AW256" i="4"/>
  <c r="AX256" i="4"/>
  <c r="AY256" i="4"/>
  <c r="AZ256" i="4"/>
  <c r="BA256" i="4"/>
  <c r="BB256" i="4"/>
  <c r="BC256" i="4"/>
  <c r="BD256" i="4"/>
  <c r="BE256" i="4"/>
  <c r="BF256" i="4"/>
  <c r="BG256" i="4"/>
  <c r="BH256" i="4"/>
  <c r="BI256" i="4"/>
  <c r="BJ256" i="4"/>
  <c r="BK256" i="4"/>
  <c r="BL256" i="4"/>
  <c r="BM256" i="4"/>
  <c r="BN256" i="4"/>
  <c r="BO256" i="4"/>
  <c r="BP256" i="4"/>
  <c r="BQ256" i="4"/>
  <c r="BR256" i="4"/>
  <c r="BS256" i="4"/>
  <c r="BT256" i="4"/>
  <c r="BU256" i="4"/>
  <c r="BV256" i="4"/>
  <c r="BW256" i="4"/>
  <c r="BX256" i="4"/>
  <c r="BY256" i="4"/>
  <c r="BZ256" i="4"/>
  <c r="CA256" i="4"/>
  <c r="CB256" i="4"/>
  <c r="CC256" i="4"/>
  <c r="CD256" i="4"/>
  <c r="CE256" i="4"/>
  <c r="CF256" i="4"/>
  <c r="CG256" i="4"/>
  <c r="CH256" i="4"/>
  <c r="CI256" i="4"/>
  <c r="CJ256" i="4"/>
  <c r="CK256" i="4"/>
  <c r="CL256" i="4"/>
  <c r="CM256" i="4"/>
  <c r="CN256" i="4"/>
  <c r="CO256" i="4"/>
  <c r="CP256" i="4"/>
  <c r="CQ256" i="4"/>
  <c r="CR256" i="4"/>
  <c r="CS256" i="4"/>
  <c r="CT256" i="4"/>
  <c r="CU256" i="4"/>
  <c r="CV256" i="4"/>
  <c r="CW256" i="4"/>
  <c r="CX256" i="4"/>
  <c r="D257" i="4"/>
  <c r="E257" i="4"/>
  <c r="F257" i="4"/>
  <c r="G257" i="4"/>
  <c r="H257" i="4"/>
  <c r="I257" i="4"/>
  <c r="J257" i="4"/>
  <c r="K257" i="4"/>
  <c r="L257" i="4"/>
  <c r="M257" i="4"/>
  <c r="N257" i="4"/>
  <c r="O257" i="4"/>
  <c r="P257" i="4"/>
  <c r="Q257" i="4"/>
  <c r="R257" i="4"/>
  <c r="S257" i="4"/>
  <c r="T257" i="4"/>
  <c r="U257" i="4"/>
  <c r="V257" i="4"/>
  <c r="W257" i="4"/>
  <c r="X257" i="4"/>
  <c r="Y257" i="4"/>
  <c r="Z257" i="4"/>
  <c r="AA257" i="4"/>
  <c r="AB257" i="4"/>
  <c r="AC257" i="4"/>
  <c r="AD257" i="4"/>
  <c r="AE257" i="4"/>
  <c r="AF257" i="4"/>
  <c r="AG257" i="4"/>
  <c r="AH257" i="4"/>
  <c r="AI257" i="4"/>
  <c r="AJ257" i="4"/>
  <c r="AK257" i="4"/>
  <c r="AL257" i="4"/>
  <c r="AM257" i="4"/>
  <c r="AN257" i="4"/>
  <c r="AO257" i="4"/>
  <c r="AP257" i="4"/>
  <c r="AQ257" i="4"/>
  <c r="AR257" i="4"/>
  <c r="AS257" i="4"/>
  <c r="AT257" i="4"/>
  <c r="AU257" i="4"/>
  <c r="AV257" i="4"/>
  <c r="AW257" i="4"/>
  <c r="AX257" i="4"/>
  <c r="AY257" i="4"/>
  <c r="AZ257" i="4"/>
  <c r="BA257" i="4"/>
  <c r="BB257" i="4"/>
  <c r="BC257" i="4"/>
  <c r="BD257" i="4"/>
  <c r="BE257" i="4"/>
  <c r="BF257" i="4"/>
  <c r="BG257" i="4"/>
  <c r="BH257" i="4"/>
  <c r="BI257" i="4"/>
  <c r="BJ257" i="4"/>
  <c r="BK257" i="4"/>
  <c r="BL257" i="4"/>
  <c r="BM257" i="4"/>
  <c r="BN257" i="4"/>
  <c r="BO257" i="4"/>
  <c r="BP257" i="4"/>
  <c r="BQ257" i="4"/>
  <c r="BR257" i="4"/>
  <c r="BS257" i="4"/>
  <c r="BT257" i="4"/>
  <c r="BU257" i="4"/>
  <c r="BV257" i="4"/>
  <c r="BW257" i="4"/>
  <c r="BX257" i="4"/>
  <c r="BY257" i="4"/>
  <c r="BZ257" i="4"/>
  <c r="CA257" i="4"/>
  <c r="CB257" i="4"/>
  <c r="CC257" i="4"/>
  <c r="CD257" i="4"/>
  <c r="CE257" i="4"/>
  <c r="CF257" i="4"/>
  <c r="CG257" i="4"/>
  <c r="CH257" i="4"/>
  <c r="CI257" i="4"/>
  <c r="CJ257" i="4"/>
  <c r="CK257" i="4"/>
  <c r="CL257" i="4"/>
  <c r="CM257" i="4"/>
  <c r="CN257" i="4"/>
  <c r="CO257" i="4"/>
  <c r="CP257" i="4"/>
  <c r="CQ257" i="4"/>
  <c r="CR257" i="4"/>
  <c r="CS257" i="4"/>
  <c r="CT257" i="4"/>
  <c r="CU257" i="4"/>
  <c r="CV257" i="4"/>
  <c r="CW257" i="4"/>
  <c r="CX257" i="4"/>
  <c r="D258" i="4"/>
  <c r="E258" i="4"/>
  <c r="F258" i="4"/>
  <c r="G258" i="4"/>
  <c r="H258" i="4"/>
  <c r="I258" i="4"/>
  <c r="J258" i="4"/>
  <c r="K258" i="4"/>
  <c r="L258" i="4"/>
  <c r="M258" i="4"/>
  <c r="N258" i="4"/>
  <c r="O258" i="4"/>
  <c r="P258" i="4"/>
  <c r="Q258" i="4"/>
  <c r="R258" i="4"/>
  <c r="S258" i="4"/>
  <c r="T258" i="4"/>
  <c r="U258" i="4"/>
  <c r="V258" i="4"/>
  <c r="W258" i="4"/>
  <c r="X258" i="4"/>
  <c r="Y258" i="4"/>
  <c r="Z258" i="4"/>
  <c r="AA258" i="4"/>
  <c r="AB258" i="4"/>
  <c r="AC258" i="4"/>
  <c r="AD258" i="4"/>
  <c r="AE258" i="4"/>
  <c r="AF258" i="4"/>
  <c r="AG258" i="4"/>
  <c r="AH258" i="4"/>
  <c r="AI258" i="4"/>
  <c r="AJ258" i="4"/>
  <c r="AK258" i="4"/>
  <c r="AL258" i="4"/>
  <c r="AM258" i="4"/>
  <c r="AN258" i="4"/>
  <c r="AO258" i="4"/>
  <c r="AP258" i="4"/>
  <c r="AQ258" i="4"/>
  <c r="AR258" i="4"/>
  <c r="AS258" i="4"/>
  <c r="AT258" i="4"/>
  <c r="AU258" i="4"/>
  <c r="AV258" i="4"/>
  <c r="AW258" i="4"/>
  <c r="AX258" i="4"/>
  <c r="AY258" i="4"/>
  <c r="AZ258" i="4"/>
  <c r="BA258" i="4"/>
  <c r="BB258" i="4"/>
  <c r="BC258" i="4"/>
  <c r="BD258" i="4"/>
  <c r="BE258" i="4"/>
  <c r="BF258" i="4"/>
  <c r="BG258" i="4"/>
  <c r="BH258" i="4"/>
  <c r="BI258" i="4"/>
  <c r="BJ258" i="4"/>
  <c r="BK258" i="4"/>
  <c r="BL258" i="4"/>
  <c r="BM258" i="4"/>
  <c r="BN258" i="4"/>
  <c r="BO258" i="4"/>
  <c r="BP258" i="4"/>
  <c r="BQ258" i="4"/>
  <c r="BR258" i="4"/>
  <c r="BS258" i="4"/>
  <c r="BT258" i="4"/>
  <c r="BU258" i="4"/>
  <c r="BV258" i="4"/>
  <c r="BW258" i="4"/>
  <c r="BX258" i="4"/>
  <c r="BY258" i="4"/>
  <c r="BZ258" i="4"/>
  <c r="CA258" i="4"/>
  <c r="CB258" i="4"/>
  <c r="CC258" i="4"/>
  <c r="CD258" i="4"/>
  <c r="CE258" i="4"/>
  <c r="CF258" i="4"/>
  <c r="CG258" i="4"/>
  <c r="CH258" i="4"/>
  <c r="CI258" i="4"/>
  <c r="CJ258" i="4"/>
  <c r="CK258" i="4"/>
  <c r="CL258" i="4"/>
  <c r="CM258" i="4"/>
  <c r="CN258" i="4"/>
  <c r="CO258" i="4"/>
  <c r="CP258" i="4"/>
  <c r="CQ258" i="4"/>
  <c r="CR258" i="4"/>
  <c r="CS258" i="4"/>
  <c r="CT258" i="4"/>
  <c r="CU258" i="4"/>
  <c r="CV258" i="4"/>
  <c r="CW258" i="4"/>
  <c r="CX258" i="4"/>
  <c r="D259" i="4"/>
  <c r="E259" i="4"/>
  <c r="F259" i="4"/>
  <c r="G259" i="4"/>
  <c r="H259" i="4"/>
  <c r="I259" i="4"/>
  <c r="J259" i="4"/>
  <c r="K259" i="4"/>
  <c r="L259" i="4"/>
  <c r="M259" i="4"/>
  <c r="N259" i="4"/>
  <c r="O259" i="4"/>
  <c r="P259" i="4"/>
  <c r="Q259" i="4"/>
  <c r="R259" i="4"/>
  <c r="S259" i="4"/>
  <c r="T259" i="4"/>
  <c r="U259" i="4"/>
  <c r="V259" i="4"/>
  <c r="W259" i="4"/>
  <c r="X259" i="4"/>
  <c r="Y259" i="4"/>
  <c r="Z259" i="4"/>
  <c r="AA259" i="4"/>
  <c r="AB259" i="4"/>
  <c r="AC259" i="4"/>
  <c r="AD259" i="4"/>
  <c r="AE259" i="4"/>
  <c r="AF259" i="4"/>
  <c r="AG259" i="4"/>
  <c r="AH259" i="4"/>
  <c r="AI259" i="4"/>
  <c r="AJ259" i="4"/>
  <c r="AK259" i="4"/>
  <c r="AL259" i="4"/>
  <c r="AM259" i="4"/>
  <c r="AN259" i="4"/>
  <c r="AO259" i="4"/>
  <c r="AP259" i="4"/>
  <c r="AQ259" i="4"/>
  <c r="AR259" i="4"/>
  <c r="AS259" i="4"/>
  <c r="AT259" i="4"/>
  <c r="AU259" i="4"/>
  <c r="AV259" i="4"/>
  <c r="AW259" i="4"/>
  <c r="AX259" i="4"/>
  <c r="AY259" i="4"/>
  <c r="AZ259" i="4"/>
  <c r="BA259" i="4"/>
  <c r="BB259" i="4"/>
  <c r="BC259" i="4"/>
  <c r="BD259" i="4"/>
  <c r="BE259" i="4"/>
  <c r="BF259" i="4"/>
  <c r="BG259" i="4"/>
  <c r="BH259" i="4"/>
  <c r="BI259" i="4"/>
  <c r="BJ259" i="4"/>
  <c r="BK259" i="4"/>
  <c r="BL259" i="4"/>
  <c r="BM259" i="4"/>
  <c r="BN259" i="4"/>
  <c r="BO259" i="4"/>
  <c r="BP259" i="4"/>
  <c r="BQ259" i="4"/>
  <c r="BR259" i="4"/>
  <c r="BS259" i="4"/>
  <c r="BT259" i="4"/>
  <c r="BU259" i="4"/>
  <c r="BV259" i="4"/>
  <c r="BW259" i="4"/>
  <c r="BX259" i="4"/>
  <c r="BY259" i="4"/>
  <c r="BZ259" i="4"/>
  <c r="CA259" i="4"/>
  <c r="CB259" i="4"/>
  <c r="CC259" i="4"/>
  <c r="CD259" i="4"/>
  <c r="CE259" i="4"/>
  <c r="CF259" i="4"/>
  <c r="CG259" i="4"/>
  <c r="CH259" i="4"/>
  <c r="CI259" i="4"/>
  <c r="CJ259" i="4"/>
  <c r="CK259" i="4"/>
  <c r="CL259" i="4"/>
  <c r="CM259" i="4"/>
  <c r="CN259" i="4"/>
  <c r="CO259" i="4"/>
  <c r="CP259" i="4"/>
  <c r="CQ259" i="4"/>
  <c r="CR259" i="4"/>
  <c r="CS259" i="4"/>
  <c r="CT259" i="4"/>
  <c r="CU259" i="4"/>
  <c r="CV259" i="4"/>
  <c r="CW259" i="4"/>
  <c r="CX259" i="4"/>
  <c r="D260" i="4"/>
  <c r="E260" i="4"/>
  <c r="F260" i="4"/>
  <c r="G260" i="4"/>
  <c r="H260" i="4"/>
  <c r="I260" i="4"/>
  <c r="J260" i="4"/>
  <c r="K260" i="4"/>
  <c r="L260" i="4"/>
  <c r="M260" i="4"/>
  <c r="N260" i="4"/>
  <c r="O260" i="4"/>
  <c r="P260" i="4"/>
  <c r="Q260" i="4"/>
  <c r="R260" i="4"/>
  <c r="S260" i="4"/>
  <c r="T260" i="4"/>
  <c r="U260" i="4"/>
  <c r="V260" i="4"/>
  <c r="W260" i="4"/>
  <c r="X260" i="4"/>
  <c r="Y260" i="4"/>
  <c r="Z260" i="4"/>
  <c r="AA260" i="4"/>
  <c r="AB260" i="4"/>
  <c r="AC260" i="4"/>
  <c r="AD260" i="4"/>
  <c r="AE260" i="4"/>
  <c r="AF260" i="4"/>
  <c r="AG260" i="4"/>
  <c r="AH260" i="4"/>
  <c r="AI260" i="4"/>
  <c r="AJ260" i="4"/>
  <c r="AK260" i="4"/>
  <c r="AL260" i="4"/>
  <c r="AM260" i="4"/>
  <c r="AN260" i="4"/>
  <c r="AO260" i="4"/>
  <c r="AP260" i="4"/>
  <c r="AQ260" i="4"/>
  <c r="AR260" i="4"/>
  <c r="AS260" i="4"/>
  <c r="AT260" i="4"/>
  <c r="AU260" i="4"/>
  <c r="AV260" i="4"/>
  <c r="AW260" i="4"/>
  <c r="AX260" i="4"/>
  <c r="AY260" i="4"/>
  <c r="AZ260" i="4"/>
  <c r="BA260" i="4"/>
  <c r="BB260" i="4"/>
  <c r="BC260" i="4"/>
  <c r="BD260" i="4"/>
  <c r="BE260" i="4"/>
  <c r="BF260" i="4"/>
  <c r="BG260" i="4"/>
  <c r="BH260" i="4"/>
  <c r="BI260" i="4"/>
  <c r="BJ260" i="4"/>
  <c r="BK260" i="4"/>
  <c r="BL260" i="4"/>
  <c r="BM260" i="4"/>
  <c r="BN260" i="4"/>
  <c r="BO260" i="4"/>
  <c r="BP260" i="4"/>
  <c r="BQ260" i="4"/>
  <c r="BR260" i="4"/>
  <c r="BS260" i="4"/>
  <c r="BT260" i="4"/>
  <c r="BU260" i="4"/>
  <c r="BV260" i="4"/>
  <c r="BW260" i="4"/>
  <c r="BX260" i="4"/>
  <c r="BY260" i="4"/>
  <c r="BZ260" i="4"/>
  <c r="CA260" i="4"/>
  <c r="CB260" i="4"/>
  <c r="CC260" i="4"/>
  <c r="CD260" i="4"/>
  <c r="CE260" i="4"/>
  <c r="CF260" i="4"/>
  <c r="CG260" i="4"/>
  <c r="CH260" i="4"/>
  <c r="CI260" i="4"/>
  <c r="CJ260" i="4"/>
  <c r="CK260" i="4"/>
  <c r="CL260" i="4"/>
  <c r="CM260" i="4"/>
  <c r="CN260" i="4"/>
  <c r="CO260" i="4"/>
  <c r="CP260" i="4"/>
  <c r="CQ260" i="4"/>
  <c r="CR260" i="4"/>
  <c r="CS260" i="4"/>
  <c r="CT260" i="4"/>
  <c r="CU260" i="4"/>
  <c r="CV260" i="4"/>
  <c r="CW260" i="4"/>
  <c r="CX260" i="4"/>
  <c r="D261" i="4"/>
  <c r="E261" i="4"/>
  <c r="F261" i="4"/>
  <c r="G261" i="4"/>
  <c r="H261" i="4"/>
  <c r="I261" i="4"/>
  <c r="J261" i="4"/>
  <c r="K261" i="4"/>
  <c r="L261" i="4"/>
  <c r="M261" i="4"/>
  <c r="N261" i="4"/>
  <c r="O261" i="4"/>
  <c r="P261" i="4"/>
  <c r="Q261" i="4"/>
  <c r="R261" i="4"/>
  <c r="S261" i="4"/>
  <c r="T261" i="4"/>
  <c r="U261" i="4"/>
  <c r="V261" i="4"/>
  <c r="W261" i="4"/>
  <c r="X261" i="4"/>
  <c r="Y261" i="4"/>
  <c r="Z261" i="4"/>
  <c r="AA261" i="4"/>
  <c r="AB261" i="4"/>
  <c r="AC261" i="4"/>
  <c r="AD261" i="4"/>
  <c r="AE261" i="4"/>
  <c r="AF261" i="4"/>
  <c r="AG261" i="4"/>
  <c r="AH261" i="4"/>
  <c r="AI261" i="4"/>
  <c r="AJ261" i="4"/>
  <c r="AK261" i="4"/>
  <c r="AL261" i="4"/>
  <c r="AM261" i="4"/>
  <c r="AN261" i="4"/>
  <c r="AO261" i="4"/>
  <c r="AP261" i="4"/>
  <c r="AQ261" i="4"/>
  <c r="AR261" i="4"/>
  <c r="AS261" i="4"/>
  <c r="AT261" i="4"/>
  <c r="AU261" i="4"/>
  <c r="AV261" i="4"/>
  <c r="AW261" i="4"/>
  <c r="AX261" i="4"/>
  <c r="AY261" i="4"/>
  <c r="AZ261" i="4"/>
  <c r="BA261" i="4"/>
  <c r="BB261" i="4"/>
  <c r="BC261" i="4"/>
  <c r="BD261" i="4"/>
  <c r="BE261" i="4"/>
  <c r="BF261" i="4"/>
  <c r="BG261" i="4"/>
  <c r="BH261" i="4"/>
  <c r="BI261" i="4"/>
  <c r="BJ261" i="4"/>
  <c r="BK261" i="4"/>
  <c r="BL261" i="4"/>
  <c r="BM261" i="4"/>
  <c r="BN261" i="4"/>
  <c r="BO261" i="4"/>
  <c r="BP261" i="4"/>
  <c r="BQ261" i="4"/>
  <c r="BR261" i="4"/>
  <c r="BS261" i="4"/>
  <c r="BT261" i="4"/>
  <c r="BU261" i="4"/>
  <c r="BV261" i="4"/>
  <c r="BW261" i="4"/>
  <c r="BX261" i="4"/>
  <c r="BY261" i="4"/>
  <c r="BZ261" i="4"/>
  <c r="CA261" i="4"/>
  <c r="CB261" i="4"/>
  <c r="CC261" i="4"/>
  <c r="CD261" i="4"/>
  <c r="CE261" i="4"/>
  <c r="CF261" i="4"/>
  <c r="CG261" i="4"/>
  <c r="CH261" i="4"/>
  <c r="CI261" i="4"/>
  <c r="CJ261" i="4"/>
  <c r="CK261" i="4"/>
  <c r="CL261" i="4"/>
  <c r="CM261" i="4"/>
  <c r="CN261" i="4"/>
  <c r="CO261" i="4"/>
  <c r="CP261" i="4"/>
  <c r="CQ261" i="4"/>
  <c r="CR261" i="4"/>
  <c r="CS261" i="4"/>
  <c r="CT261" i="4"/>
  <c r="CU261" i="4"/>
  <c r="CV261" i="4"/>
  <c r="CW261" i="4"/>
  <c r="CX261" i="4"/>
  <c r="D262" i="4"/>
  <c r="E262" i="4"/>
  <c r="F262" i="4"/>
  <c r="G262" i="4"/>
  <c r="H262" i="4"/>
  <c r="I262" i="4"/>
  <c r="J262" i="4"/>
  <c r="K262" i="4"/>
  <c r="L262" i="4"/>
  <c r="M262" i="4"/>
  <c r="N262" i="4"/>
  <c r="O262" i="4"/>
  <c r="P262" i="4"/>
  <c r="Q262" i="4"/>
  <c r="R262" i="4"/>
  <c r="S262" i="4"/>
  <c r="T262" i="4"/>
  <c r="U262" i="4"/>
  <c r="V262" i="4"/>
  <c r="W262" i="4"/>
  <c r="X262" i="4"/>
  <c r="Y262" i="4"/>
  <c r="Z262" i="4"/>
  <c r="AA262" i="4"/>
  <c r="AB262" i="4"/>
  <c r="AC262" i="4"/>
  <c r="AD262" i="4"/>
  <c r="AE262" i="4"/>
  <c r="AF262" i="4"/>
  <c r="AG262" i="4"/>
  <c r="AH262" i="4"/>
  <c r="AI262" i="4"/>
  <c r="AJ262" i="4"/>
  <c r="AK262" i="4"/>
  <c r="AL262" i="4"/>
  <c r="AM262" i="4"/>
  <c r="AN262" i="4"/>
  <c r="AO262" i="4"/>
  <c r="AP262" i="4"/>
  <c r="AQ262" i="4"/>
  <c r="AR262" i="4"/>
  <c r="AS262" i="4"/>
  <c r="AT262" i="4"/>
  <c r="AU262" i="4"/>
  <c r="AV262" i="4"/>
  <c r="AW262" i="4"/>
  <c r="AX262" i="4"/>
  <c r="AY262" i="4"/>
  <c r="AZ262" i="4"/>
  <c r="BA262" i="4"/>
  <c r="BB262" i="4"/>
  <c r="BC262" i="4"/>
  <c r="BD262" i="4"/>
  <c r="BE262" i="4"/>
  <c r="BF262" i="4"/>
  <c r="BG262" i="4"/>
  <c r="BH262" i="4"/>
  <c r="BI262" i="4"/>
  <c r="BJ262" i="4"/>
  <c r="BK262" i="4"/>
  <c r="BL262" i="4"/>
  <c r="BM262" i="4"/>
  <c r="BN262" i="4"/>
  <c r="BO262" i="4"/>
  <c r="BP262" i="4"/>
  <c r="BQ262" i="4"/>
  <c r="BR262" i="4"/>
  <c r="BS262" i="4"/>
  <c r="BT262" i="4"/>
  <c r="BU262" i="4"/>
  <c r="BV262" i="4"/>
  <c r="BW262" i="4"/>
  <c r="BX262" i="4"/>
  <c r="BY262" i="4"/>
  <c r="BZ262" i="4"/>
  <c r="CA262" i="4"/>
  <c r="CB262" i="4"/>
  <c r="CC262" i="4"/>
  <c r="CD262" i="4"/>
  <c r="CE262" i="4"/>
  <c r="CF262" i="4"/>
  <c r="CG262" i="4"/>
  <c r="CH262" i="4"/>
  <c r="CI262" i="4"/>
  <c r="CJ262" i="4"/>
  <c r="CK262" i="4"/>
  <c r="CL262" i="4"/>
  <c r="CM262" i="4"/>
  <c r="CN262" i="4"/>
  <c r="CO262" i="4"/>
  <c r="CP262" i="4"/>
  <c r="CQ262" i="4"/>
  <c r="CR262" i="4"/>
  <c r="CS262" i="4"/>
  <c r="CT262" i="4"/>
  <c r="CU262" i="4"/>
  <c r="CV262" i="4"/>
  <c r="CW262" i="4"/>
  <c r="CX262" i="4"/>
  <c r="D263" i="4"/>
  <c r="E263" i="4"/>
  <c r="F263" i="4"/>
  <c r="G263" i="4"/>
  <c r="H263" i="4"/>
  <c r="I263" i="4"/>
  <c r="J263" i="4"/>
  <c r="K263" i="4"/>
  <c r="L263" i="4"/>
  <c r="M263" i="4"/>
  <c r="N263" i="4"/>
  <c r="O263" i="4"/>
  <c r="P263" i="4"/>
  <c r="Q263" i="4"/>
  <c r="R263" i="4"/>
  <c r="S263" i="4"/>
  <c r="T263" i="4"/>
  <c r="U263" i="4"/>
  <c r="V263" i="4"/>
  <c r="W263" i="4"/>
  <c r="X263" i="4"/>
  <c r="Y263" i="4"/>
  <c r="Z263" i="4"/>
  <c r="AA263" i="4"/>
  <c r="AB263" i="4"/>
  <c r="AC263" i="4"/>
  <c r="AD263" i="4"/>
  <c r="AE263" i="4"/>
  <c r="AF263" i="4"/>
  <c r="AG263" i="4"/>
  <c r="AH263" i="4"/>
  <c r="AI263" i="4"/>
  <c r="AJ263" i="4"/>
  <c r="AK263" i="4"/>
  <c r="AL263" i="4"/>
  <c r="AM263" i="4"/>
  <c r="AN263" i="4"/>
  <c r="AO263" i="4"/>
  <c r="AP263" i="4"/>
  <c r="AQ263" i="4"/>
  <c r="AR263" i="4"/>
  <c r="AS263" i="4"/>
  <c r="AT263" i="4"/>
  <c r="AU263" i="4"/>
  <c r="AV263" i="4"/>
  <c r="AW263" i="4"/>
  <c r="AX263" i="4"/>
  <c r="AY263" i="4"/>
  <c r="AZ263" i="4"/>
  <c r="BA263" i="4"/>
  <c r="BB263" i="4"/>
  <c r="BC263" i="4"/>
  <c r="BD263" i="4"/>
  <c r="BE263" i="4"/>
  <c r="BF263" i="4"/>
  <c r="BG263" i="4"/>
  <c r="BH263" i="4"/>
  <c r="BI263" i="4"/>
  <c r="BJ263" i="4"/>
  <c r="BK263" i="4"/>
  <c r="BL263" i="4"/>
  <c r="BM263" i="4"/>
  <c r="BN263" i="4"/>
  <c r="BO263" i="4"/>
  <c r="BP263" i="4"/>
  <c r="BQ263" i="4"/>
  <c r="BR263" i="4"/>
  <c r="BS263" i="4"/>
  <c r="BT263" i="4"/>
  <c r="BU263" i="4"/>
  <c r="BV263" i="4"/>
  <c r="BW263" i="4"/>
  <c r="BX263" i="4"/>
  <c r="BY263" i="4"/>
  <c r="BZ263" i="4"/>
  <c r="CA263" i="4"/>
  <c r="CB263" i="4"/>
  <c r="CC263" i="4"/>
  <c r="CD263" i="4"/>
  <c r="CE263" i="4"/>
  <c r="CF263" i="4"/>
  <c r="CG263" i="4"/>
  <c r="CH263" i="4"/>
  <c r="CI263" i="4"/>
  <c r="CJ263" i="4"/>
  <c r="CK263" i="4"/>
  <c r="CL263" i="4"/>
  <c r="CM263" i="4"/>
  <c r="CN263" i="4"/>
  <c r="CO263" i="4"/>
  <c r="CP263" i="4"/>
  <c r="CQ263" i="4"/>
  <c r="CR263" i="4"/>
  <c r="CS263" i="4"/>
  <c r="CT263" i="4"/>
  <c r="CU263" i="4"/>
  <c r="CV263" i="4"/>
  <c r="CW263" i="4"/>
  <c r="CX263" i="4"/>
  <c r="D264" i="4"/>
  <c r="E264" i="4"/>
  <c r="F264" i="4"/>
  <c r="G264" i="4"/>
  <c r="H264" i="4"/>
  <c r="I264" i="4"/>
  <c r="J264" i="4"/>
  <c r="K264" i="4"/>
  <c r="L264" i="4"/>
  <c r="M264" i="4"/>
  <c r="N264" i="4"/>
  <c r="O264" i="4"/>
  <c r="P264" i="4"/>
  <c r="Q264" i="4"/>
  <c r="R264" i="4"/>
  <c r="S264" i="4"/>
  <c r="T264" i="4"/>
  <c r="U264" i="4"/>
  <c r="V264" i="4"/>
  <c r="W264" i="4"/>
  <c r="X264" i="4"/>
  <c r="Y264" i="4"/>
  <c r="Z264" i="4"/>
  <c r="AA264" i="4"/>
  <c r="AB264" i="4"/>
  <c r="AC264" i="4"/>
  <c r="AD264" i="4"/>
  <c r="AE264" i="4"/>
  <c r="AF264" i="4"/>
  <c r="AG264" i="4"/>
  <c r="AH264" i="4"/>
  <c r="AI264" i="4"/>
  <c r="AJ264" i="4"/>
  <c r="AK264" i="4"/>
  <c r="AL264" i="4"/>
  <c r="AM264" i="4"/>
  <c r="AN264" i="4"/>
  <c r="AO264" i="4"/>
  <c r="AP264" i="4"/>
  <c r="AQ264" i="4"/>
  <c r="AR264" i="4"/>
  <c r="AS264" i="4"/>
  <c r="AT264" i="4"/>
  <c r="AU264" i="4"/>
  <c r="AV264" i="4"/>
  <c r="AW264" i="4"/>
  <c r="AX264" i="4"/>
  <c r="AY264" i="4"/>
  <c r="AZ264" i="4"/>
  <c r="BA264" i="4"/>
  <c r="BB264" i="4"/>
  <c r="BC264" i="4"/>
  <c r="BD264" i="4"/>
  <c r="BE264" i="4"/>
  <c r="BF264" i="4"/>
  <c r="BG264" i="4"/>
  <c r="BH264" i="4"/>
  <c r="BI264" i="4"/>
  <c r="BJ264" i="4"/>
  <c r="BK264" i="4"/>
  <c r="BL264" i="4"/>
  <c r="BM264" i="4"/>
  <c r="BN264" i="4"/>
  <c r="BO264" i="4"/>
  <c r="BP264" i="4"/>
  <c r="BQ264" i="4"/>
  <c r="BR264" i="4"/>
  <c r="BS264" i="4"/>
  <c r="BT264" i="4"/>
  <c r="BU264" i="4"/>
  <c r="BV264" i="4"/>
  <c r="BW264" i="4"/>
  <c r="BX264" i="4"/>
  <c r="BY264" i="4"/>
  <c r="BZ264" i="4"/>
  <c r="CA264" i="4"/>
  <c r="CB264" i="4"/>
  <c r="CC264" i="4"/>
  <c r="CD264" i="4"/>
  <c r="CE264" i="4"/>
  <c r="CF264" i="4"/>
  <c r="CG264" i="4"/>
  <c r="CH264" i="4"/>
  <c r="CI264" i="4"/>
  <c r="CJ264" i="4"/>
  <c r="CK264" i="4"/>
  <c r="CL264" i="4"/>
  <c r="CM264" i="4"/>
  <c r="CN264" i="4"/>
  <c r="CO264" i="4"/>
  <c r="CP264" i="4"/>
  <c r="CQ264" i="4"/>
  <c r="CR264" i="4"/>
  <c r="CS264" i="4"/>
  <c r="CT264" i="4"/>
  <c r="CU264" i="4"/>
  <c r="CV264" i="4"/>
  <c r="CW264" i="4"/>
  <c r="CX264" i="4"/>
  <c r="D265" i="4"/>
  <c r="E265" i="4"/>
  <c r="F265" i="4"/>
  <c r="G265" i="4"/>
  <c r="H265" i="4"/>
  <c r="I265" i="4"/>
  <c r="J265" i="4"/>
  <c r="K265" i="4"/>
  <c r="L265" i="4"/>
  <c r="M265" i="4"/>
  <c r="N265" i="4"/>
  <c r="O265" i="4"/>
  <c r="P265" i="4"/>
  <c r="Q265" i="4"/>
  <c r="R265" i="4"/>
  <c r="S265" i="4"/>
  <c r="T265" i="4"/>
  <c r="U265" i="4"/>
  <c r="V265" i="4"/>
  <c r="W265" i="4"/>
  <c r="X265" i="4"/>
  <c r="Y265" i="4"/>
  <c r="Z265" i="4"/>
  <c r="AA265" i="4"/>
  <c r="AB265" i="4"/>
  <c r="AC265" i="4"/>
  <c r="AD265" i="4"/>
  <c r="AE265" i="4"/>
  <c r="AF265" i="4"/>
  <c r="AG265" i="4"/>
  <c r="AH265" i="4"/>
  <c r="AI265" i="4"/>
  <c r="AJ265" i="4"/>
  <c r="AK265" i="4"/>
  <c r="AL265" i="4"/>
  <c r="AM265" i="4"/>
  <c r="AN265" i="4"/>
  <c r="AO265" i="4"/>
  <c r="AP265" i="4"/>
  <c r="AQ265" i="4"/>
  <c r="AR265" i="4"/>
  <c r="AS265" i="4"/>
  <c r="AT265" i="4"/>
  <c r="AU265" i="4"/>
  <c r="AV265" i="4"/>
  <c r="AW265" i="4"/>
  <c r="AX265" i="4"/>
  <c r="AY265" i="4"/>
  <c r="AZ265" i="4"/>
  <c r="BA265" i="4"/>
  <c r="BB265" i="4"/>
  <c r="BC265" i="4"/>
  <c r="BD265" i="4"/>
  <c r="BE265" i="4"/>
  <c r="BF265" i="4"/>
  <c r="BG265" i="4"/>
  <c r="BH265" i="4"/>
  <c r="BI265" i="4"/>
  <c r="BJ265" i="4"/>
  <c r="BK265" i="4"/>
  <c r="BL265" i="4"/>
  <c r="BM265" i="4"/>
  <c r="BN265" i="4"/>
  <c r="BO265" i="4"/>
  <c r="BP265" i="4"/>
  <c r="BQ265" i="4"/>
  <c r="BR265" i="4"/>
  <c r="BS265" i="4"/>
  <c r="BT265" i="4"/>
  <c r="BU265" i="4"/>
  <c r="BV265" i="4"/>
  <c r="BW265" i="4"/>
  <c r="BX265" i="4"/>
  <c r="BY265" i="4"/>
  <c r="BZ265" i="4"/>
  <c r="CA265" i="4"/>
  <c r="CB265" i="4"/>
  <c r="CC265" i="4"/>
  <c r="CD265" i="4"/>
  <c r="CE265" i="4"/>
  <c r="CF265" i="4"/>
  <c r="CG265" i="4"/>
  <c r="CH265" i="4"/>
  <c r="CI265" i="4"/>
  <c r="CJ265" i="4"/>
  <c r="CK265" i="4"/>
  <c r="CL265" i="4"/>
  <c r="CM265" i="4"/>
  <c r="CN265" i="4"/>
  <c r="CO265" i="4"/>
  <c r="CP265" i="4"/>
  <c r="CQ265" i="4"/>
  <c r="CR265" i="4"/>
  <c r="CS265" i="4"/>
  <c r="CT265" i="4"/>
  <c r="CU265" i="4"/>
  <c r="CV265" i="4"/>
  <c r="CW265" i="4"/>
  <c r="CX265" i="4"/>
  <c r="D266" i="4"/>
  <c r="E266" i="4"/>
  <c r="F266" i="4"/>
  <c r="G266" i="4"/>
  <c r="H266" i="4"/>
  <c r="I266" i="4"/>
  <c r="J266" i="4"/>
  <c r="K266" i="4"/>
  <c r="L266" i="4"/>
  <c r="M266" i="4"/>
  <c r="N266" i="4"/>
  <c r="O266" i="4"/>
  <c r="P266" i="4"/>
  <c r="Q266" i="4"/>
  <c r="R266" i="4"/>
  <c r="S266" i="4"/>
  <c r="T266" i="4"/>
  <c r="U266" i="4"/>
  <c r="V266" i="4"/>
  <c r="W266" i="4"/>
  <c r="X266" i="4"/>
  <c r="Y266" i="4"/>
  <c r="Z266" i="4"/>
  <c r="AA266" i="4"/>
  <c r="AB266" i="4"/>
  <c r="AC266" i="4"/>
  <c r="AD266" i="4"/>
  <c r="AE266" i="4"/>
  <c r="AF266" i="4"/>
  <c r="AG266" i="4"/>
  <c r="AH266" i="4"/>
  <c r="AI266" i="4"/>
  <c r="AJ266" i="4"/>
  <c r="AK266" i="4"/>
  <c r="AL266" i="4"/>
  <c r="AM266" i="4"/>
  <c r="AN266" i="4"/>
  <c r="AO266" i="4"/>
  <c r="AP266" i="4"/>
  <c r="AQ266" i="4"/>
  <c r="AR266" i="4"/>
  <c r="AS266" i="4"/>
  <c r="AT266" i="4"/>
  <c r="AU266" i="4"/>
  <c r="AV266" i="4"/>
  <c r="AW266" i="4"/>
  <c r="AX266" i="4"/>
  <c r="AY266" i="4"/>
  <c r="AZ266" i="4"/>
  <c r="BA266" i="4"/>
  <c r="BB266" i="4"/>
  <c r="BC266" i="4"/>
  <c r="BD266" i="4"/>
  <c r="BE266" i="4"/>
  <c r="BF266" i="4"/>
  <c r="BG266" i="4"/>
  <c r="BH266" i="4"/>
  <c r="BI266" i="4"/>
  <c r="BJ266" i="4"/>
  <c r="BK266" i="4"/>
  <c r="BL266" i="4"/>
  <c r="BM266" i="4"/>
  <c r="BN266" i="4"/>
  <c r="BO266" i="4"/>
  <c r="BP266" i="4"/>
  <c r="BQ266" i="4"/>
  <c r="BR266" i="4"/>
  <c r="BS266" i="4"/>
  <c r="BT266" i="4"/>
  <c r="BU266" i="4"/>
  <c r="BV266" i="4"/>
  <c r="BW266" i="4"/>
  <c r="BX266" i="4"/>
  <c r="BY266" i="4"/>
  <c r="BZ266" i="4"/>
  <c r="CA266" i="4"/>
  <c r="CB266" i="4"/>
  <c r="CC266" i="4"/>
  <c r="CD266" i="4"/>
  <c r="CE266" i="4"/>
  <c r="CF266" i="4"/>
  <c r="CG266" i="4"/>
  <c r="CH266" i="4"/>
  <c r="CI266" i="4"/>
  <c r="CJ266" i="4"/>
  <c r="CK266" i="4"/>
  <c r="CL266" i="4"/>
  <c r="CM266" i="4"/>
  <c r="CN266" i="4"/>
  <c r="CO266" i="4"/>
  <c r="CP266" i="4"/>
  <c r="CQ266" i="4"/>
  <c r="CR266" i="4"/>
  <c r="CS266" i="4"/>
  <c r="CT266" i="4"/>
  <c r="CU266" i="4"/>
  <c r="CV266" i="4"/>
  <c r="CW266" i="4"/>
  <c r="CX266" i="4"/>
  <c r="D267" i="4"/>
  <c r="E267" i="4"/>
  <c r="F267" i="4"/>
  <c r="G267" i="4"/>
  <c r="H267" i="4"/>
  <c r="I267" i="4"/>
  <c r="J267" i="4"/>
  <c r="K267" i="4"/>
  <c r="L267" i="4"/>
  <c r="M267" i="4"/>
  <c r="N267" i="4"/>
  <c r="O267" i="4"/>
  <c r="P267" i="4"/>
  <c r="Q267" i="4"/>
  <c r="R267" i="4"/>
  <c r="S267" i="4"/>
  <c r="T267" i="4"/>
  <c r="U267" i="4"/>
  <c r="V267" i="4"/>
  <c r="W267" i="4"/>
  <c r="X267" i="4"/>
  <c r="Y267" i="4"/>
  <c r="Z267" i="4"/>
  <c r="AA267" i="4"/>
  <c r="AB267" i="4"/>
  <c r="AC267" i="4"/>
  <c r="AD267" i="4"/>
  <c r="AE267" i="4"/>
  <c r="AF267" i="4"/>
  <c r="AG267" i="4"/>
  <c r="AH267" i="4"/>
  <c r="AI267" i="4"/>
  <c r="AJ267" i="4"/>
  <c r="AK267" i="4"/>
  <c r="AL267" i="4"/>
  <c r="AM267" i="4"/>
  <c r="AN267" i="4"/>
  <c r="AO267" i="4"/>
  <c r="AP267" i="4"/>
  <c r="AQ267" i="4"/>
  <c r="AR267" i="4"/>
  <c r="AS267" i="4"/>
  <c r="AT267" i="4"/>
  <c r="AU267" i="4"/>
  <c r="AV267" i="4"/>
  <c r="AW267" i="4"/>
  <c r="AX267" i="4"/>
  <c r="AY267" i="4"/>
  <c r="AZ267" i="4"/>
  <c r="BA267" i="4"/>
  <c r="BB267" i="4"/>
  <c r="BC267" i="4"/>
  <c r="BD267" i="4"/>
  <c r="BE267" i="4"/>
  <c r="BF267" i="4"/>
  <c r="BG267" i="4"/>
  <c r="BH267" i="4"/>
  <c r="BI267" i="4"/>
  <c r="BJ267" i="4"/>
  <c r="BK267" i="4"/>
  <c r="BL267" i="4"/>
  <c r="BM267" i="4"/>
  <c r="BN267" i="4"/>
  <c r="BO267" i="4"/>
  <c r="BP267" i="4"/>
  <c r="BQ267" i="4"/>
  <c r="BR267" i="4"/>
  <c r="BS267" i="4"/>
  <c r="BT267" i="4"/>
  <c r="BU267" i="4"/>
  <c r="BV267" i="4"/>
  <c r="BW267" i="4"/>
  <c r="BX267" i="4"/>
  <c r="BY267" i="4"/>
  <c r="BZ267" i="4"/>
  <c r="CA267" i="4"/>
  <c r="CB267" i="4"/>
  <c r="CC267" i="4"/>
  <c r="CD267" i="4"/>
  <c r="CE267" i="4"/>
  <c r="CF267" i="4"/>
  <c r="CG267" i="4"/>
  <c r="CH267" i="4"/>
  <c r="CI267" i="4"/>
  <c r="CJ267" i="4"/>
  <c r="CK267" i="4"/>
  <c r="CL267" i="4"/>
  <c r="CM267" i="4"/>
  <c r="CN267" i="4"/>
  <c r="CO267" i="4"/>
  <c r="CP267" i="4"/>
  <c r="CQ267" i="4"/>
  <c r="CR267" i="4"/>
  <c r="CS267" i="4"/>
  <c r="CT267" i="4"/>
  <c r="CU267" i="4"/>
  <c r="CV267" i="4"/>
  <c r="CW267" i="4"/>
  <c r="CX267" i="4"/>
  <c r="D268" i="4"/>
  <c r="E268" i="4"/>
  <c r="F268" i="4"/>
  <c r="G268" i="4"/>
  <c r="H268" i="4"/>
  <c r="I268" i="4"/>
  <c r="J268" i="4"/>
  <c r="K268" i="4"/>
  <c r="L268" i="4"/>
  <c r="M268" i="4"/>
  <c r="N268" i="4"/>
  <c r="O268" i="4"/>
  <c r="P268" i="4"/>
  <c r="Q268" i="4"/>
  <c r="R268" i="4"/>
  <c r="S268" i="4"/>
  <c r="T268" i="4"/>
  <c r="U268" i="4"/>
  <c r="V268" i="4"/>
  <c r="W268" i="4"/>
  <c r="X268" i="4"/>
  <c r="Y268" i="4"/>
  <c r="Z268" i="4"/>
  <c r="AA268" i="4"/>
  <c r="AB268" i="4"/>
  <c r="AC268" i="4"/>
  <c r="AD268" i="4"/>
  <c r="AE268" i="4"/>
  <c r="AF268" i="4"/>
  <c r="AG268" i="4"/>
  <c r="AH268" i="4"/>
  <c r="AI268" i="4"/>
  <c r="AJ268" i="4"/>
  <c r="AK268" i="4"/>
  <c r="AL268" i="4"/>
  <c r="AM268" i="4"/>
  <c r="AN268" i="4"/>
  <c r="AO268" i="4"/>
  <c r="AP268" i="4"/>
  <c r="AQ268" i="4"/>
  <c r="AR268" i="4"/>
  <c r="AS268" i="4"/>
  <c r="AT268" i="4"/>
  <c r="AU268" i="4"/>
  <c r="AV268" i="4"/>
  <c r="AW268" i="4"/>
  <c r="AX268" i="4"/>
  <c r="AY268" i="4"/>
  <c r="AZ268" i="4"/>
  <c r="BA268" i="4"/>
  <c r="BB268" i="4"/>
  <c r="BC268" i="4"/>
  <c r="BD268" i="4"/>
  <c r="BE268" i="4"/>
  <c r="BF268" i="4"/>
  <c r="BG268" i="4"/>
  <c r="BH268" i="4"/>
  <c r="BI268" i="4"/>
  <c r="BJ268" i="4"/>
  <c r="BK268" i="4"/>
  <c r="BL268" i="4"/>
  <c r="BM268" i="4"/>
  <c r="BN268" i="4"/>
  <c r="BO268" i="4"/>
  <c r="BP268" i="4"/>
  <c r="BQ268" i="4"/>
  <c r="BR268" i="4"/>
  <c r="BS268" i="4"/>
  <c r="BT268" i="4"/>
  <c r="BU268" i="4"/>
  <c r="BV268" i="4"/>
  <c r="BW268" i="4"/>
  <c r="BX268" i="4"/>
  <c r="BY268" i="4"/>
  <c r="BZ268" i="4"/>
  <c r="CA268" i="4"/>
  <c r="CB268" i="4"/>
  <c r="CC268" i="4"/>
  <c r="CD268" i="4"/>
  <c r="CE268" i="4"/>
  <c r="CF268" i="4"/>
  <c r="CG268" i="4"/>
  <c r="CH268" i="4"/>
  <c r="CI268" i="4"/>
  <c r="CJ268" i="4"/>
  <c r="CK268" i="4"/>
  <c r="CL268" i="4"/>
  <c r="CM268" i="4"/>
  <c r="CN268" i="4"/>
  <c r="CO268" i="4"/>
  <c r="CP268" i="4"/>
  <c r="CQ268" i="4"/>
  <c r="CR268" i="4"/>
  <c r="CS268" i="4"/>
  <c r="CT268" i="4"/>
  <c r="CU268" i="4"/>
  <c r="CV268" i="4"/>
  <c r="CW268" i="4"/>
  <c r="CX268" i="4"/>
  <c r="D269" i="4"/>
  <c r="E269" i="4"/>
  <c r="F269" i="4"/>
  <c r="G269" i="4"/>
  <c r="H269" i="4"/>
  <c r="I269" i="4"/>
  <c r="J269" i="4"/>
  <c r="K269" i="4"/>
  <c r="L269" i="4"/>
  <c r="M269" i="4"/>
  <c r="N269" i="4"/>
  <c r="O269" i="4"/>
  <c r="P269" i="4"/>
  <c r="Q269" i="4"/>
  <c r="R269" i="4"/>
  <c r="S269" i="4"/>
  <c r="T269" i="4"/>
  <c r="U269" i="4"/>
  <c r="V269" i="4"/>
  <c r="W269" i="4"/>
  <c r="X269" i="4"/>
  <c r="Y269" i="4"/>
  <c r="Z269" i="4"/>
  <c r="AA269" i="4"/>
  <c r="AB269" i="4"/>
  <c r="AC269" i="4"/>
  <c r="AD269" i="4"/>
  <c r="AE269" i="4"/>
  <c r="AF269" i="4"/>
  <c r="AG269" i="4"/>
  <c r="AH269" i="4"/>
  <c r="AI269" i="4"/>
  <c r="AJ269" i="4"/>
  <c r="AK269" i="4"/>
  <c r="AL269" i="4"/>
  <c r="AM269" i="4"/>
  <c r="AN269" i="4"/>
  <c r="AO269" i="4"/>
  <c r="AP269" i="4"/>
  <c r="AQ269" i="4"/>
  <c r="AR269" i="4"/>
  <c r="AS269" i="4"/>
  <c r="AT269" i="4"/>
  <c r="AU269" i="4"/>
  <c r="AV269" i="4"/>
  <c r="AW269" i="4"/>
  <c r="AX269" i="4"/>
  <c r="AY269" i="4"/>
  <c r="AZ269" i="4"/>
  <c r="BA269" i="4"/>
  <c r="BB269" i="4"/>
  <c r="BC269" i="4"/>
  <c r="BD269" i="4"/>
  <c r="BE269" i="4"/>
  <c r="BF269" i="4"/>
  <c r="BG269" i="4"/>
  <c r="BH269" i="4"/>
  <c r="BI269" i="4"/>
  <c r="BJ269" i="4"/>
  <c r="BK269" i="4"/>
  <c r="BL269" i="4"/>
  <c r="BM269" i="4"/>
  <c r="BN269" i="4"/>
  <c r="BO269" i="4"/>
  <c r="BP269" i="4"/>
  <c r="BQ269" i="4"/>
  <c r="BR269" i="4"/>
  <c r="BS269" i="4"/>
  <c r="BT269" i="4"/>
  <c r="BU269" i="4"/>
  <c r="BV269" i="4"/>
  <c r="BW269" i="4"/>
  <c r="BX269" i="4"/>
  <c r="BY269" i="4"/>
  <c r="BZ269" i="4"/>
  <c r="CA269" i="4"/>
  <c r="CB269" i="4"/>
  <c r="CC269" i="4"/>
  <c r="CD269" i="4"/>
  <c r="CE269" i="4"/>
  <c r="CF269" i="4"/>
  <c r="CG269" i="4"/>
  <c r="CH269" i="4"/>
  <c r="CI269" i="4"/>
  <c r="CJ269" i="4"/>
  <c r="CK269" i="4"/>
  <c r="CL269" i="4"/>
  <c r="CM269" i="4"/>
  <c r="CN269" i="4"/>
  <c r="CO269" i="4"/>
  <c r="CP269" i="4"/>
  <c r="CQ269" i="4"/>
  <c r="CR269" i="4"/>
  <c r="CS269" i="4"/>
  <c r="CT269" i="4"/>
  <c r="CU269" i="4"/>
  <c r="CV269" i="4"/>
  <c r="CW269" i="4"/>
  <c r="CX269" i="4"/>
  <c r="D270" i="4"/>
  <c r="E270" i="4"/>
  <c r="F270" i="4"/>
  <c r="G270" i="4"/>
  <c r="H270" i="4"/>
  <c r="I270" i="4"/>
  <c r="J270" i="4"/>
  <c r="K270" i="4"/>
  <c r="L270" i="4"/>
  <c r="M270" i="4"/>
  <c r="N270" i="4"/>
  <c r="O270" i="4"/>
  <c r="P270" i="4"/>
  <c r="Q270" i="4"/>
  <c r="R270" i="4"/>
  <c r="S270" i="4"/>
  <c r="T270" i="4"/>
  <c r="U270" i="4"/>
  <c r="V270" i="4"/>
  <c r="W270" i="4"/>
  <c r="X270" i="4"/>
  <c r="Y270" i="4"/>
  <c r="Z270" i="4"/>
  <c r="AA270" i="4"/>
  <c r="AB270" i="4"/>
  <c r="AC270" i="4"/>
  <c r="AD270" i="4"/>
  <c r="AE270" i="4"/>
  <c r="AF270" i="4"/>
  <c r="AG270" i="4"/>
  <c r="AH270" i="4"/>
  <c r="AI270" i="4"/>
  <c r="AJ270" i="4"/>
  <c r="AK270" i="4"/>
  <c r="AL270" i="4"/>
  <c r="AM270" i="4"/>
  <c r="AN270" i="4"/>
  <c r="AO270" i="4"/>
  <c r="AP270" i="4"/>
  <c r="AQ270" i="4"/>
  <c r="AR270" i="4"/>
  <c r="AS270" i="4"/>
  <c r="AT270" i="4"/>
  <c r="AU270" i="4"/>
  <c r="AV270" i="4"/>
  <c r="AW270" i="4"/>
  <c r="AX270" i="4"/>
  <c r="AY270" i="4"/>
  <c r="AZ270" i="4"/>
  <c r="BA270" i="4"/>
  <c r="BB270" i="4"/>
  <c r="BC270" i="4"/>
  <c r="BD270" i="4"/>
  <c r="BE270" i="4"/>
  <c r="BF270" i="4"/>
  <c r="BG270" i="4"/>
  <c r="BH270" i="4"/>
  <c r="BI270" i="4"/>
  <c r="BJ270" i="4"/>
  <c r="BK270" i="4"/>
  <c r="BL270" i="4"/>
  <c r="BM270" i="4"/>
  <c r="BN270" i="4"/>
  <c r="BO270" i="4"/>
  <c r="BP270" i="4"/>
  <c r="BQ270" i="4"/>
  <c r="BR270" i="4"/>
  <c r="BS270" i="4"/>
  <c r="BT270" i="4"/>
  <c r="BU270" i="4"/>
  <c r="BV270" i="4"/>
  <c r="BW270" i="4"/>
  <c r="BX270" i="4"/>
  <c r="BY270" i="4"/>
  <c r="BZ270" i="4"/>
  <c r="CA270" i="4"/>
  <c r="CB270" i="4"/>
  <c r="CC270" i="4"/>
  <c r="CD270" i="4"/>
  <c r="CE270" i="4"/>
  <c r="CF270" i="4"/>
  <c r="CG270" i="4"/>
  <c r="CH270" i="4"/>
  <c r="CI270" i="4"/>
  <c r="CJ270" i="4"/>
  <c r="CK270" i="4"/>
  <c r="CL270" i="4"/>
  <c r="CM270" i="4"/>
  <c r="CN270" i="4"/>
  <c r="CO270" i="4"/>
  <c r="CP270" i="4"/>
  <c r="CQ270" i="4"/>
  <c r="CR270" i="4"/>
  <c r="CS270" i="4"/>
  <c r="CT270" i="4"/>
  <c r="CU270" i="4"/>
  <c r="CV270" i="4"/>
  <c r="CW270" i="4"/>
  <c r="CX270" i="4"/>
  <c r="D271" i="4"/>
  <c r="E271" i="4"/>
  <c r="F271" i="4"/>
  <c r="G271" i="4"/>
  <c r="H271" i="4"/>
  <c r="I271" i="4"/>
  <c r="J271" i="4"/>
  <c r="K271" i="4"/>
  <c r="L271" i="4"/>
  <c r="M271" i="4"/>
  <c r="N271" i="4"/>
  <c r="O271" i="4"/>
  <c r="P271" i="4"/>
  <c r="Q271" i="4"/>
  <c r="R271" i="4"/>
  <c r="S271" i="4"/>
  <c r="T271" i="4"/>
  <c r="U271" i="4"/>
  <c r="V271" i="4"/>
  <c r="W271" i="4"/>
  <c r="X271" i="4"/>
  <c r="Y271" i="4"/>
  <c r="Z271" i="4"/>
  <c r="AA271" i="4"/>
  <c r="AB271" i="4"/>
  <c r="AC271" i="4"/>
  <c r="AD271" i="4"/>
  <c r="AE271" i="4"/>
  <c r="AF271" i="4"/>
  <c r="AG271" i="4"/>
  <c r="AH271" i="4"/>
  <c r="AI271" i="4"/>
  <c r="AJ271" i="4"/>
  <c r="AK271" i="4"/>
  <c r="AL271" i="4"/>
  <c r="AM271" i="4"/>
  <c r="AN271" i="4"/>
  <c r="AO271" i="4"/>
  <c r="AP271" i="4"/>
  <c r="AQ271" i="4"/>
  <c r="AR271" i="4"/>
  <c r="AS271" i="4"/>
  <c r="AT271" i="4"/>
  <c r="AU271" i="4"/>
  <c r="AV271" i="4"/>
  <c r="AW271" i="4"/>
  <c r="AX271" i="4"/>
  <c r="AY271" i="4"/>
  <c r="AZ271" i="4"/>
  <c r="BA271" i="4"/>
  <c r="BB271" i="4"/>
  <c r="BC271" i="4"/>
  <c r="BD271" i="4"/>
  <c r="BE271" i="4"/>
  <c r="BF271" i="4"/>
  <c r="BG271" i="4"/>
  <c r="BH271" i="4"/>
  <c r="BI271" i="4"/>
  <c r="BJ271" i="4"/>
  <c r="BK271" i="4"/>
  <c r="BL271" i="4"/>
  <c r="BM271" i="4"/>
  <c r="BN271" i="4"/>
  <c r="BO271" i="4"/>
  <c r="BP271" i="4"/>
  <c r="BQ271" i="4"/>
  <c r="BR271" i="4"/>
  <c r="BS271" i="4"/>
  <c r="BT271" i="4"/>
  <c r="BU271" i="4"/>
  <c r="BV271" i="4"/>
  <c r="BW271" i="4"/>
  <c r="BX271" i="4"/>
  <c r="BY271" i="4"/>
  <c r="BZ271" i="4"/>
  <c r="CA271" i="4"/>
  <c r="CB271" i="4"/>
  <c r="CC271" i="4"/>
  <c r="CD271" i="4"/>
  <c r="CE271" i="4"/>
  <c r="CF271" i="4"/>
  <c r="CG271" i="4"/>
  <c r="CH271" i="4"/>
  <c r="CI271" i="4"/>
  <c r="CJ271" i="4"/>
  <c r="CK271" i="4"/>
  <c r="CL271" i="4"/>
  <c r="CM271" i="4"/>
  <c r="CN271" i="4"/>
  <c r="CO271" i="4"/>
  <c r="CP271" i="4"/>
  <c r="CQ271" i="4"/>
  <c r="CR271" i="4"/>
  <c r="CS271" i="4"/>
  <c r="CT271" i="4"/>
  <c r="CU271" i="4"/>
  <c r="CV271" i="4"/>
  <c r="CW271" i="4"/>
  <c r="CX271" i="4"/>
  <c r="D272" i="4"/>
  <c r="E272" i="4"/>
  <c r="F272" i="4"/>
  <c r="G272" i="4"/>
  <c r="H272" i="4"/>
  <c r="I272" i="4"/>
  <c r="J272" i="4"/>
  <c r="K272" i="4"/>
  <c r="L272" i="4"/>
  <c r="M272" i="4"/>
  <c r="N272" i="4"/>
  <c r="O272" i="4"/>
  <c r="P272" i="4"/>
  <c r="Q272" i="4"/>
  <c r="R272" i="4"/>
  <c r="S272" i="4"/>
  <c r="T272" i="4"/>
  <c r="U272" i="4"/>
  <c r="V272" i="4"/>
  <c r="W272" i="4"/>
  <c r="X272" i="4"/>
  <c r="Y272" i="4"/>
  <c r="Z272" i="4"/>
  <c r="AA272" i="4"/>
  <c r="AB272" i="4"/>
  <c r="AC272" i="4"/>
  <c r="AD272" i="4"/>
  <c r="AE272" i="4"/>
  <c r="AF272" i="4"/>
  <c r="AG272" i="4"/>
  <c r="AH272" i="4"/>
  <c r="AI272" i="4"/>
  <c r="AJ272" i="4"/>
  <c r="AK272" i="4"/>
  <c r="AL272" i="4"/>
  <c r="AM272" i="4"/>
  <c r="AN272" i="4"/>
  <c r="AO272" i="4"/>
  <c r="AP272" i="4"/>
  <c r="AQ272" i="4"/>
  <c r="AR272" i="4"/>
  <c r="AS272" i="4"/>
  <c r="AT272" i="4"/>
  <c r="AU272" i="4"/>
  <c r="AV272" i="4"/>
  <c r="AW272" i="4"/>
  <c r="AX272" i="4"/>
  <c r="AY272" i="4"/>
  <c r="AZ272" i="4"/>
  <c r="BA272" i="4"/>
  <c r="BB272" i="4"/>
  <c r="BC272" i="4"/>
  <c r="BD272" i="4"/>
  <c r="BE272" i="4"/>
  <c r="BF272" i="4"/>
  <c r="BG272" i="4"/>
  <c r="BH272" i="4"/>
  <c r="BI272" i="4"/>
  <c r="BJ272" i="4"/>
  <c r="BK272" i="4"/>
  <c r="BL272" i="4"/>
  <c r="BM272" i="4"/>
  <c r="BN272" i="4"/>
  <c r="BO272" i="4"/>
  <c r="BP272" i="4"/>
  <c r="BQ272" i="4"/>
  <c r="BR272" i="4"/>
  <c r="BS272" i="4"/>
  <c r="BT272" i="4"/>
  <c r="BU272" i="4"/>
  <c r="BV272" i="4"/>
  <c r="BW272" i="4"/>
  <c r="BX272" i="4"/>
  <c r="BY272" i="4"/>
  <c r="BZ272" i="4"/>
  <c r="CA272" i="4"/>
  <c r="CB272" i="4"/>
  <c r="CC272" i="4"/>
  <c r="CD272" i="4"/>
  <c r="CE272" i="4"/>
  <c r="CF272" i="4"/>
  <c r="CG272" i="4"/>
  <c r="CH272" i="4"/>
  <c r="CI272" i="4"/>
  <c r="CJ272" i="4"/>
  <c r="CK272" i="4"/>
  <c r="CL272" i="4"/>
  <c r="CM272" i="4"/>
  <c r="CN272" i="4"/>
  <c r="CO272" i="4"/>
  <c r="CP272" i="4"/>
  <c r="CQ272" i="4"/>
  <c r="CR272" i="4"/>
  <c r="CS272" i="4"/>
  <c r="CT272" i="4"/>
  <c r="CU272" i="4"/>
  <c r="CV272" i="4"/>
  <c r="CW272" i="4"/>
  <c r="CX272" i="4"/>
  <c r="D273" i="4"/>
  <c r="E273" i="4"/>
  <c r="F273" i="4"/>
  <c r="G273" i="4"/>
  <c r="H273" i="4"/>
  <c r="I273" i="4"/>
  <c r="J273" i="4"/>
  <c r="K273" i="4"/>
  <c r="L273" i="4"/>
  <c r="M273" i="4"/>
  <c r="N273" i="4"/>
  <c r="O273" i="4"/>
  <c r="P273" i="4"/>
  <c r="Q273" i="4"/>
  <c r="R273" i="4"/>
  <c r="S273" i="4"/>
  <c r="T273" i="4"/>
  <c r="U273" i="4"/>
  <c r="V273" i="4"/>
  <c r="W273" i="4"/>
  <c r="X273" i="4"/>
  <c r="Y273" i="4"/>
  <c r="Z273" i="4"/>
  <c r="AA273" i="4"/>
  <c r="AB273" i="4"/>
  <c r="AC273" i="4"/>
  <c r="AD273" i="4"/>
  <c r="AE273" i="4"/>
  <c r="AF273" i="4"/>
  <c r="AG273" i="4"/>
  <c r="AH273" i="4"/>
  <c r="AI273" i="4"/>
  <c r="AJ273" i="4"/>
  <c r="AK273" i="4"/>
  <c r="AL273" i="4"/>
  <c r="AM273" i="4"/>
  <c r="AN273" i="4"/>
  <c r="AO273" i="4"/>
  <c r="AP273" i="4"/>
  <c r="AQ273" i="4"/>
  <c r="AR273" i="4"/>
  <c r="AS273" i="4"/>
  <c r="AT273" i="4"/>
  <c r="AU273" i="4"/>
  <c r="AV273" i="4"/>
  <c r="AW273" i="4"/>
  <c r="AX273" i="4"/>
  <c r="AY273" i="4"/>
  <c r="AZ273" i="4"/>
  <c r="BA273" i="4"/>
  <c r="BB273" i="4"/>
  <c r="BC273" i="4"/>
  <c r="BD273" i="4"/>
  <c r="BE273" i="4"/>
  <c r="BF273" i="4"/>
  <c r="BG273" i="4"/>
  <c r="BH273" i="4"/>
  <c r="BI273" i="4"/>
  <c r="BJ273" i="4"/>
  <c r="BK273" i="4"/>
  <c r="BL273" i="4"/>
  <c r="BM273" i="4"/>
  <c r="BN273" i="4"/>
  <c r="BO273" i="4"/>
  <c r="BP273" i="4"/>
  <c r="BQ273" i="4"/>
  <c r="BR273" i="4"/>
  <c r="BS273" i="4"/>
  <c r="BT273" i="4"/>
  <c r="BU273" i="4"/>
  <c r="BV273" i="4"/>
  <c r="BW273" i="4"/>
  <c r="BX273" i="4"/>
  <c r="BY273" i="4"/>
  <c r="BZ273" i="4"/>
  <c r="CA273" i="4"/>
  <c r="CB273" i="4"/>
  <c r="CC273" i="4"/>
  <c r="CD273" i="4"/>
  <c r="CE273" i="4"/>
  <c r="CF273" i="4"/>
  <c r="CG273" i="4"/>
  <c r="CH273" i="4"/>
  <c r="CI273" i="4"/>
  <c r="CJ273" i="4"/>
  <c r="CK273" i="4"/>
  <c r="CL273" i="4"/>
  <c r="CM273" i="4"/>
  <c r="CN273" i="4"/>
  <c r="CO273" i="4"/>
  <c r="CP273" i="4"/>
  <c r="CQ273" i="4"/>
  <c r="CR273" i="4"/>
  <c r="CS273" i="4"/>
  <c r="CT273" i="4"/>
  <c r="CU273" i="4"/>
  <c r="CV273" i="4"/>
  <c r="CW273" i="4"/>
  <c r="CX273" i="4"/>
  <c r="D274" i="4"/>
  <c r="E274" i="4"/>
  <c r="F274" i="4"/>
  <c r="G274" i="4"/>
  <c r="H274" i="4"/>
  <c r="I274" i="4"/>
  <c r="J274" i="4"/>
  <c r="K274" i="4"/>
  <c r="L274" i="4"/>
  <c r="M274" i="4"/>
  <c r="N274" i="4"/>
  <c r="O274" i="4"/>
  <c r="P274" i="4"/>
  <c r="Q274" i="4"/>
  <c r="R274" i="4"/>
  <c r="S274" i="4"/>
  <c r="T274" i="4"/>
  <c r="U274" i="4"/>
  <c r="V274" i="4"/>
  <c r="W274" i="4"/>
  <c r="X274" i="4"/>
  <c r="Y274" i="4"/>
  <c r="Z274" i="4"/>
  <c r="AA274" i="4"/>
  <c r="AB274" i="4"/>
  <c r="AC274" i="4"/>
  <c r="AD274" i="4"/>
  <c r="AE274" i="4"/>
  <c r="AF274" i="4"/>
  <c r="AG274" i="4"/>
  <c r="AH274" i="4"/>
  <c r="AI274" i="4"/>
  <c r="AJ274" i="4"/>
  <c r="AK274" i="4"/>
  <c r="AL274" i="4"/>
  <c r="AM274" i="4"/>
  <c r="AN274" i="4"/>
  <c r="AO274" i="4"/>
  <c r="AP274" i="4"/>
  <c r="AQ274" i="4"/>
  <c r="AR274" i="4"/>
  <c r="AS274" i="4"/>
  <c r="AT274" i="4"/>
  <c r="AU274" i="4"/>
  <c r="AV274" i="4"/>
  <c r="AW274" i="4"/>
  <c r="AX274" i="4"/>
  <c r="AY274" i="4"/>
  <c r="AZ274" i="4"/>
  <c r="BA274" i="4"/>
  <c r="BB274" i="4"/>
  <c r="BC274" i="4"/>
  <c r="BD274" i="4"/>
  <c r="BE274" i="4"/>
  <c r="BF274" i="4"/>
  <c r="BG274" i="4"/>
  <c r="BH274" i="4"/>
  <c r="BI274" i="4"/>
  <c r="BJ274" i="4"/>
  <c r="BK274" i="4"/>
  <c r="BL274" i="4"/>
  <c r="BM274" i="4"/>
  <c r="BN274" i="4"/>
  <c r="BO274" i="4"/>
  <c r="BP274" i="4"/>
  <c r="BQ274" i="4"/>
  <c r="BR274" i="4"/>
  <c r="BS274" i="4"/>
  <c r="BT274" i="4"/>
  <c r="BU274" i="4"/>
  <c r="BV274" i="4"/>
  <c r="BW274" i="4"/>
  <c r="BX274" i="4"/>
  <c r="BY274" i="4"/>
  <c r="BZ274" i="4"/>
  <c r="CA274" i="4"/>
  <c r="CB274" i="4"/>
  <c r="CC274" i="4"/>
  <c r="CD274" i="4"/>
  <c r="CE274" i="4"/>
  <c r="CF274" i="4"/>
  <c r="CG274" i="4"/>
  <c r="CH274" i="4"/>
  <c r="CI274" i="4"/>
  <c r="CJ274" i="4"/>
  <c r="CK274" i="4"/>
  <c r="CL274" i="4"/>
  <c r="CM274" i="4"/>
  <c r="CN274" i="4"/>
  <c r="CO274" i="4"/>
  <c r="CP274" i="4"/>
  <c r="CQ274" i="4"/>
  <c r="CR274" i="4"/>
  <c r="CS274" i="4"/>
  <c r="CT274" i="4"/>
  <c r="CU274" i="4"/>
  <c r="CV274" i="4"/>
  <c r="CW274" i="4"/>
  <c r="CX274" i="4"/>
  <c r="D275" i="4"/>
  <c r="E275" i="4"/>
  <c r="F275" i="4"/>
  <c r="G275" i="4"/>
  <c r="H275" i="4"/>
  <c r="I275" i="4"/>
  <c r="J275" i="4"/>
  <c r="K275" i="4"/>
  <c r="L275" i="4"/>
  <c r="M275" i="4"/>
  <c r="N275" i="4"/>
  <c r="O275" i="4"/>
  <c r="P275" i="4"/>
  <c r="Q275" i="4"/>
  <c r="R275" i="4"/>
  <c r="S275" i="4"/>
  <c r="T275" i="4"/>
  <c r="U275" i="4"/>
  <c r="V275" i="4"/>
  <c r="W275" i="4"/>
  <c r="X275" i="4"/>
  <c r="Y275" i="4"/>
  <c r="Z275" i="4"/>
  <c r="AA275" i="4"/>
  <c r="AB275" i="4"/>
  <c r="AC275" i="4"/>
  <c r="AD275" i="4"/>
  <c r="AE275" i="4"/>
  <c r="AF275" i="4"/>
  <c r="AG275" i="4"/>
  <c r="AH275" i="4"/>
  <c r="AI275" i="4"/>
  <c r="AJ275" i="4"/>
  <c r="AK275" i="4"/>
  <c r="AL275" i="4"/>
  <c r="AM275" i="4"/>
  <c r="AN275" i="4"/>
  <c r="AO275" i="4"/>
  <c r="AP275" i="4"/>
  <c r="AQ275" i="4"/>
  <c r="AR275" i="4"/>
  <c r="AS275" i="4"/>
  <c r="AT275" i="4"/>
  <c r="AU275" i="4"/>
  <c r="AV275" i="4"/>
  <c r="AW275" i="4"/>
  <c r="AX275" i="4"/>
  <c r="AY275" i="4"/>
  <c r="AZ275" i="4"/>
  <c r="BA275" i="4"/>
  <c r="BB275" i="4"/>
  <c r="BC275" i="4"/>
  <c r="BD275" i="4"/>
  <c r="BE275" i="4"/>
  <c r="BF275" i="4"/>
  <c r="BG275" i="4"/>
  <c r="BH275" i="4"/>
  <c r="BI275" i="4"/>
  <c r="BJ275" i="4"/>
  <c r="BK275" i="4"/>
  <c r="BL275" i="4"/>
  <c r="BM275" i="4"/>
  <c r="BN275" i="4"/>
  <c r="BO275" i="4"/>
  <c r="BP275" i="4"/>
  <c r="BQ275" i="4"/>
  <c r="BR275" i="4"/>
  <c r="BS275" i="4"/>
  <c r="BT275" i="4"/>
  <c r="BU275" i="4"/>
  <c r="BV275" i="4"/>
  <c r="BW275" i="4"/>
  <c r="BX275" i="4"/>
  <c r="BY275" i="4"/>
  <c r="BZ275" i="4"/>
  <c r="CA275" i="4"/>
  <c r="CB275" i="4"/>
  <c r="CC275" i="4"/>
  <c r="CD275" i="4"/>
  <c r="CE275" i="4"/>
  <c r="CF275" i="4"/>
  <c r="CG275" i="4"/>
  <c r="CH275" i="4"/>
  <c r="CI275" i="4"/>
  <c r="CJ275" i="4"/>
  <c r="CK275" i="4"/>
  <c r="CL275" i="4"/>
  <c r="CM275" i="4"/>
  <c r="CN275" i="4"/>
  <c r="CO275" i="4"/>
  <c r="CP275" i="4"/>
  <c r="CQ275" i="4"/>
  <c r="CR275" i="4"/>
  <c r="CS275" i="4"/>
  <c r="CT275" i="4"/>
  <c r="CU275" i="4"/>
  <c r="CV275" i="4"/>
  <c r="CW275" i="4"/>
  <c r="CX275" i="4"/>
  <c r="D276" i="4"/>
  <c r="E276" i="4"/>
  <c r="F276" i="4"/>
  <c r="G276" i="4"/>
  <c r="H276" i="4"/>
  <c r="I276" i="4"/>
  <c r="J276" i="4"/>
  <c r="K276" i="4"/>
  <c r="L276" i="4"/>
  <c r="M276" i="4"/>
  <c r="N276" i="4"/>
  <c r="O276" i="4"/>
  <c r="P276" i="4"/>
  <c r="Q276" i="4"/>
  <c r="R276" i="4"/>
  <c r="S276" i="4"/>
  <c r="T276" i="4"/>
  <c r="U276" i="4"/>
  <c r="V276" i="4"/>
  <c r="W276" i="4"/>
  <c r="X276" i="4"/>
  <c r="Y276" i="4"/>
  <c r="Z276" i="4"/>
  <c r="AA276" i="4"/>
  <c r="AB276" i="4"/>
  <c r="AC276" i="4"/>
  <c r="AD276" i="4"/>
  <c r="AE276" i="4"/>
  <c r="AF276" i="4"/>
  <c r="AG276" i="4"/>
  <c r="AH276" i="4"/>
  <c r="AI276" i="4"/>
  <c r="AJ276" i="4"/>
  <c r="AK276" i="4"/>
  <c r="AL276" i="4"/>
  <c r="AM276" i="4"/>
  <c r="AN276" i="4"/>
  <c r="AO276" i="4"/>
  <c r="AP276" i="4"/>
  <c r="AQ276" i="4"/>
  <c r="AR276" i="4"/>
  <c r="AS276" i="4"/>
  <c r="AT276" i="4"/>
  <c r="AU276" i="4"/>
  <c r="AV276" i="4"/>
  <c r="AW276" i="4"/>
  <c r="AX276" i="4"/>
  <c r="AY276" i="4"/>
  <c r="AZ276" i="4"/>
  <c r="BA276" i="4"/>
  <c r="BB276" i="4"/>
  <c r="BC276" i="4"/>
  <c r="BD276" i="4"/>
  <c r="BE276" i="4"/>
  <c r="BF276" i="4"/>
  <c r="BG276" i="4"/>
  <c r="BH276" i="4"/>
  <c r="BI276" i="4"/>
  <c r="BJ276" i="4"/>
  <c r="BK276" i="4"/>
  <c r="BL276" i="4"/>
  <c r="BM276" i="4"/>
  <c r="BN276" i="4"/>
  <c r="BO276" i="4"/>
  <c r="BP276" i="4"/>
  <c r="BQ276" i="4"/>
  <c r="BR276" i="4"/>
  <c r="BS276" i="4"/>
  <c r="BT276" i="4"/>
  <c r="BU276" i="4"/>
  <c r="BV276" i="4"/>
  <c r="BW276" i="4"/>
  <c r="BX276" i="4"/>
  <c r="BY276" i="4"/>
  <c r="BZ276" i="4"/>
  <c r="CA276" i="4"/>
  <c r="CB276" i="4"/>
  <c r="CC276" i="4"/>
  <c r="CD276" i="4"/>
  <c r="CE276" i="4"/>
  <c r="CF276" i="4"/>
  <c r="CG276" i="4"/>
  <c r="CH276" i="4"/>
  <c r="CI276" i="4"/>
  <c r="CJ276" i="4"/>
  <c r="CK276" i="4"/>
  <c r="CL276" i="4"/>
  <c r="CM276" i="4"/>
  <c r="CN276" i="4"/>
  <c r="CO276" i="4"/>
  <c r="CP276" i="4"/>
  <c r="CQ276" i="4"/>
  <c r="CR276" i="4"/>
  <c r="CS276" i="4"/>
  <c r="CT276" i="4"/>
  <c r="CU276" i="4"/>
  <c r="CV276" i="4"/>
  <c r="CW276" i="4"/>
  <c r="CX276" i="4"/>
  <c r="D277" i="4"/>
  <c r="E277" i="4"/>
  <c r="F277" i="4"/>
  <c r="G277" i="4"/>
  <c r="H277" i="4"/>
  <c r="I277" i="4"/>
  <c r="J277" i="4"/>
  <c r="K277" i="4"/>
  <c r="L277" i="4"/>
  <c r="M277" i="4"/>
  <c r="N277" i="4"/>
  <c r="O277" i="4"/>
  <c r="P277" i="4"/>
  <c r="Q277" i="4"/>
  <c r="R277" i="4"/>
  <c r="S277" i="4"/>
  <c r="T277" i="4"/>
  <c r="U277" i="4"/>
  <c r="V277" i="4"/>
  <c r="W277" i="4"/>
  <c r="X277" i="4"/>
  <c r="Y277" i="4"/>
  <c r="Z277" i="4"/>
  <c r="AA277" i="4"/>
  <c r="AB277" i="4"/>
  <c r="AC277" i="4"/>
  <c r="AD277" i="4"/>
  <c r="AE277" i="4"/>
  <c r="AF277" i="4"/>
  <c r="AG277" i="4"/>
  <c r="AH277" i="4"/>
  <c r="AI277" i="4"/>
  <c r="AJ277" i="4"/>
  <c r="AK277" i="4"/>
  <c r="AL277" i="4"/>
  <c r="AM277" i="4"/>
  <c r="AN277" i="4"/>
  <c r="AO277" i="4"/>
  <c r="AP277" i="4"/>
  <c r="AQ277" i="4"/>
  <c r="AR277" i="4"/>
  <c r="AS277" i="4"/>
  <c r="AT277" i="4"/>
  <c r="AU277" i="4"/>
  <c r="AV277" i="4"/>
  <c r="AW277" i="4"/>
  <c r="AX277" i="4"/>
  <c r="AY277" i="4"/>
  <c r="AZ277" i="4"/>
  <c r="BA277" i="4"/>
  <c r="BB277" i="4"/>
  <c r="BC277" i="4"/>
  <c r="BD277" i="4"/>
  <c r="BE277" i="4"/>
  <c r="BF277" i="4"/>
  <c r="BG277" i="4"/>
  <c r="BH277" i="4"/>
  <c r="BI277" i="4"/>
  <c r="BJ277" i="4"/>
  <c r="BK277" i="4"/>
  <c r="BL277" i="4"/>
  <c r="BM277" i="4"/>
  <c r="BN277" i="4"/>
  <c r="BO277" i="4"/>
  <c r="BP277" i="4"/>
  <c r="BQ277" i="4"/>
  <c r="BR277" i="4"/>
  <c r="BS277" i="4"/>
  <c r="BT277" i="4"/>
  <c r="BU277" i="4"/>
  <c r="BV277" i="4"/>
  <c r="BW277" i="4"/>
  <c r="BX277" i="4"/>
  <c r="BY277" i="4"/>
  <c r="BZ277" i="4"/>
  <c r="CA277" i="4"/>
  <c r="CB277" i="4"/>
  <c r="CC277" i="4"/>
  <c r="CD277" i="4"/>
  <c r="CE277" i="4"/>
  <c r="CF277" i="4"/>
  <c r="CG277" i="4"/>
  <c r="CH277" i="4"/>
  <c r="CI277" i="4"/>
  <c r="CJ277" i="4"/>
  <c r="CK277" i="4"/>
  <c r="CL277" i="4"/>
  <c r="CM277" i="4"/>
  <c r="CN277" i="4"/>
  <c r="CO277" i="4"/>
  <c r="CP277" i="4"/>
  <c r="CQ277" i="4"/>
  <c r="CR277" i="4"/>
  <c r="CS277" i="4"/>
  <c r="CT277" i="4"/>
  <c r="CU277" i="4"/>
  <c r="CV277" i="4"/>
  <c r="CW277" i="4"/>
  <c r="CX277" i="4"/>
  <c r="D278" i="4"/>
  <c r="E278" i="4"/>
  <c r="F278" i="4"/>
  <c r="G278" i="4"/>
  <c r="H278" i="4"/>
  <c r="I278" i="4"/>
  <c r="J278" i="4"/>
  <c r="K278" i="4"/>
  <c r="L278" i="4"/>
  <c r="M278" i="4"/>
  <c r="N278" i="4"/>
  <c r="O278" i="4"/>
  <c r="P278" i="4"/>
  <c r="Q278" i="4"/>
  <c r="R278" i="4"/>
  <c r="S278" i="4"/>
  <c r="T278" i="4"/>
  <c r="U278" i="4"/>
  <c r="V278" i="4"/>
  <c r="W278" i="4"/>
  <c r="X278" i="4"/>
  <c r="Y278" i="4"/>
  <c r="Z278" i="4"/>
  <c r="AA278" i="4"/>
  <c r="AB278" i="4"/>
  <c r="AC278" i="4"/>
  <c r="AD278" i="4"/>
  <c r="AE278" i="4"/>
  <c r="AF278" i="4"/>
  <c r="AG278" i="4"/>
  <c r="AH278" i="4"/>
  <c r="AI278" i="4"/>
  <c r="AJ278" i="4"/>
  <c r="AK278" i="4"/>
  <c r="AL278" i="4"/>
  <c r="AM278" i="4"/>
  <c r="AN278" i="4"/>
  <c r="AO278" i="4"/>
  <c r="AP278" i="4"/>
  <c r="AQ278" i="4"/>
  <c r="AR278" i="4"/>
  <c r="AS278" i="4"/>
  <c r="AT278" i="4"/>
  <c r="AU278" i="4"/>
  <c r="AV278" i="4"/>
  <c r="AW278" i="4"/>
  <c r="AX278" i="4"/>
  <c r="AY278" i="4"/>
  <c r="AZ278" i="4"/>
  <c r="BA278" i="4"/>
  <c r="BB278" i="4"/>
  <c r="BC278" i="4"/>
  <c r="BD278" i="4"/>
  <c r="BE278" i="4"/>
  <c r="BF278" i="4"/>
  <c r="BG278" i="4"/>
  <c r="BH278" i="4"/>
  <c r="BI278" i="4"/>
  <c r="BJ278" i="4"/>
  <c r="BK278" i="4"/>
  <c r="BL278" i="4"/>
  <c r="BM278" i="4"/>
  <c r="BN278" i="4"/>
  <c r="BO278" i="4"/>
  <c r="BP278" i="4"/>
  <c r="BQ278" i="4"/>
  <c r="BR278" i="4"/>
  <c r="BS278" i="4"/>
  <c r="BT278" i="4"/>
  <c r="BU278" i="4"/>
  <c r="BV278" i="4"/>
  <c r="BW278" i="4"/>
  <c r="BX278" i="4"/>
  <c r="BY278" i="4"/>
  <c r="BZ278" i="4"/>
  <c r="CA278" i="4"/>
  <c r="CB278" i="4"/>
  <c r="CC278" i="4"/>
  <c r="CD278" i="4"/>
  <c r="CE278" i="4"/>
  <c r="CF278" i="4"/>
  <c r="CG278" i="4"/>
  <c r="CH278" i="4"/>
  <c r="CI278" i="4"/>
  <c r="CJ278" i="4"/>
  <c r="CK278" i="4"/>
  <c r="CL278" i="4"/>
  <c r="CM278" i="4"/>
  <c r="CN278" i="4"/>
  <c r="CO278" i="4"/>
  <c r="CP278" i="4"/>
  <c r="CQ278" i="4"/>
  <c r="CR278" i="4"/>
  <c r="CS278" i="4"/>
  <c r="CT278" i="4"/>
  <c r="CU278" i="4"/>
  <c r="CV278" i="4"/>
  <c r="CW278" i="4"/>
  <c r="CX278" i="4"/>
  <c r="D279" i="4"/>
  <c r="E279" i="4"/>
  <c r="F279" i="4"/>
  <c r="G279" i="4"/>
  <c r="H279" i="4"/>
  <c r="I279" i="4"/>
  <c r="J279" i="4"/>
  <c r="K279" i="4"/>
  <c r="L279" i="4"/>
  <c r="M279" i="4"/>
  <c r="N279" i="4"/>
  <c r="O279" i="4"/>
  <c r="P279" i="4"/>
  <c r="Q279" i="4"/>
  <c r="R279" i="4"/>
  <c r="S279" i="4"/>
  <c r="T279" i="4"/>
  <c r="U279" i="4"/>
  <c r="V279" i="4"/>
  <c r="W279" i="4"/>
  <c r="X279" i="4"/>
  <c r="Y279" i="4"/>
  <c r="Z279" i="4"/>
  <c r="AA279" i="4"/>
  <c r="AB279" i="4"/>
  <c r="AC279" i="4"/>
  <c r="AD279" i="4"/>
  <c r="AE279" i="4"/>
  <c r="AF279" i="4"/>
  <c r="AG279" i="4"/>
  <c r="AH279" i="4"/>
  <c r="AI279" i="4"/>
  <c r="AJ279" i="4"/>
  <c r="AK279" i="4"/>
  <c r="AL279" i="4"/>
  <c r="AM279" i="4"/>
  <c r="AN279" i="4"/>
  <c r="AO279" i="4"/>
  <c r="AP279" i="4"/>
  <c r="AQ279" i="4"/>
  <c r="AR279" i="4"/>
  <c r="AS279" i="4"/>
  <c r="AT279" i="4"/>
  <c r="AU279" i="4"/>
  <c r="AV279" i="4"/>
  <c r="AW279" i="4"/>
  <c r="AX279" i="4"/>
  <c r="AY279" i="4"/>
  <c r="AZ279" i="4"/>
  <c r="BA279" i="4"/>
  <c r="BB279" i="4"/>
  <c r="BC279" i="4"/>
  <c r="BD279" i="4"/>
  <c r="BE279" i="4"/>
  <c r="BF279" i="4"/>
  <c r="BG279" i="4"/>
  <c r="BH279" i="4"/>
  <c r="BI279" i="4"/>
  <c r="BJ279" i="4"/>
  <c r="BK279" i="4"/>
  <c r="BL279" i="4"/>
  <c r="BM279" i="4"/>
  <c r="BN279" i="4"/>
  <c r="BO279" i="4"/>
  <c r="BP279" i="4"/>
  <c r="BQ279" i="4"/>
  <c r="BR279" i="4"/>
  <c r="BS279" i="4"/>
  <c r="BT279" i="4"/>
  <c r="BU279" i="4"/>
  <c r="BV279" i="4"/>
  <c r="BW279" i="4"/>
  <c r="BX279" i="4"/>
  <c r="BY279" i="4"/>
  <c r="BZ279" i="4"/>
  <c r="CA279" i="4"/>
  <c r="CB279" i="4"/>
  <c r="CC279" i="4"/>
  <c r="CD279" i="4"/>
  <c r="CE279" i="4"/>
  <c r="CF279" i="4"/>
  <c r="CG279" i="4"/>
  <c r="CH279" i="4"/>
  <c r="CI279" i="4"/>
  <c r="CJ279" i="4"/>
  <c r="CK279" i="4"/>
  <c r="CL279" i="4"/>
  <c r="CM279" i="4"/>
  <c r="CN279" i="4"/>
  <c r="CO279" i="4"/>
  <c r="CP279" i="4"/>
  <c r="CQ279" i="4"/>
  <c r="CR279" i="4"/>
  <c r="CS279" i="4"/>
  <c r="CT279" i="4"/>
  <c r="CU279" i="4"/>
  <c r="CV279" i="4"/>
  <c r="CW279" i="4"/>
  <c r="CX279" i="4"/>
  <c r="D280" i="4"/>
  <c r="E280" i="4"/>
  <c r="F280" i="4"/>
  <c r="G280" i="4"/>
  <c r="H280" i="4"/>
  <c r="I280" i="4"/>
  <c r="J280" i="4"/>
  <c r="K280" i="4"/>
  <c r="L280" i="4"/>
  <c r="M280" i="4"/>
  <c r="N280" i="4"/>
  <c r="O280" i="4"/>
  <c r="P280" i="4"/>
  <c r="Q280" i="4"/>
  <c r="R280" i="4"/>
  <c r="S280" i="4"/>
  <c r="T280" i="4"/>
  <c r="U280" i="4"/>
  <c r="V280" i="4"/>
  <c r="W280" i="4"/>
  <c r="X280" i="4"/>
  <c r="Y280" i="4"/>
  <c r="Z280" i="4"/>
  <c r="AA280" i="4"/>
  <c r="AB280" i="4"/>
  <c r="AC280" i="4"/>
  <c r="AD280" i="4"/>
  <c r="AE280" i="4"/>
  <c r="AF280" i="4"/>
  <c r="AG280" i="4"/>
  <c r="AH280" i="4"/>
  <c r="AI280" i="4"/>
  <c r="AJ280" i="4"/>
  <c r="AK280" i="4"/>
  <c r="AL280" i="4"/>
  <c r="AM280" i="4"/>
  <c r="AN280" i="4"/>
  <c r="AO280" i="4"/>
  <c r="AP280" i="4"/>
  <c r="AQ280" i="4"/>
  <c r="AR280" i="4"/>
  <c r="AS280" i="4"/>
  <c r="AT280" i="4"/>
  <c r="AU280" i="4"/>
  <c r="AV280" i="4"/>
  <c r="AW280" i="4"/>
  <c r="AX280" i="4"/>
  <c r="AY280" i="4"/>
  <c r="AZ280" i="4"/>
  <c r="BA280" i="4"/>
  <c r="BB280" i="4"/>
  <c r="BC280" i="4"/>
  <c r="BD280" i="4"/>
  <c r="BE280" i="4"/>
  <c r="BF280" i="4"/>
  <c r="BG280" i="4"/>
  <c r="BH280" i="4"/>
  <c r="BI280" i="4"/>
  <c r="BJ280" i="4"/>
  <c r="BK280" i="4"/>
  <c r="BL280" i="4"/>
  <c r="BM280" i="4"/>
  <c r="BN280" i="4"/>
  <c r="BO280" i="4"/>
  <c r="BP280" i="4"/>
  <c r="BQ280" i="4"/>
  <c r="BR280" i="4"/>
  <c r="BS280" i="4"/>
  <c r="BT280" i="4"/>
  <c r="BU280" i="4"/>
  <c r="BV280" i="4"/>
  <c r="BW280" i="4"/>
  <c r="BX280" i="4"/>
  <c r="BY280" i="4"/>
  <c r="BZ280" i="4"/>
  <c r="CA280" i="4"/>
  <c r="CB280" i="4"/>
  <c r="CC280" i="4"/>
  <c r="CD280" i="4"/>
  <c r="CE280" i="4"/>
  <c r="CF280" i="4"/>
  <c r="CG280" i="4"/>
  <c r="CH280" i="4"/>
  <c r="CI280" i="4"/>
  <c r="CJ280" i="4"/>
  <c r="CK280" i="4"/>
  <c r="CL280" i="4"/>
  <c r="CM280" i="4"/>
  <c r="CN280" i="4"/>
  <c r="CO280" i="4"/>
  <c r="CP280" i="4"/>
  <c r="CQ280" i="4"/>
  <c r="CR280" i="4"/>
  <c r="CS280" i="4"/>
  <c r="CT280" i="4"/>
  <c r="CU280" i="4"/>
  <c r="CV280" i="4"/>
  <c r="CW280" i="4"/>
  <c r="CX280" i="4"/>
  <c r="D281" i="4"/>
  <c r="E281" i="4"/>
  <c r="F281" i="4"/>
  <c r="G281" i="4"/>
  <c r="H281" i="4"/>
  <c r="I281" i="4"/>
  <c r="J281" i="4"/>
  <c r="K281" i="4"/>
  <c r="L281" i="4"/>
  <c r="M281" i="4"/>
  <c r="N281" i="4"/>
  <c r="O281" i="4"/>
  <c r="P281" i="4"/>
  <c r="Q281" i="4"/>
  <c r="R281" i="4"/>
  <c r="S281" i="4"/>
  <c r="T281" i="4"/>
  <c r="U281" i="4"/>
  <c r="V281" i="4"/>
  <c r="W281" i="4"/>
  <c r="X281" i="4"/>
  <c r="Y281" i="4"/>
  <c r="Z281" i="4"/>
  <c r="AA281" i="4"/>
  <c r="AB281" i="4"/>
  <c r="AC281" i="4"/>
  <c r="AD281" i="4"/>
  <c r="AE281" i="4"/>
  <c r="AF281" i="4"/>
  <c r="AG281" i="4"/>
  <c r="AH281" i="4"/>
  <c r="AI281" i="4"/>
  <c r="AJ281" i="4"/>
  <c r="AK281" i="4"/>
  <c r="AL281" i="4"/>
  <c r="AM281" i="4"/>
  <c r="AN281" i="4"/>
  <c r="AO281" i="4"/>
  <c r="AP281" i="4"/>
  <c r="AQ281" i="4"/>
  <c r="AR281" i="4"/>
  <c r="AS281" i="4"/>
  <c r="AT281" i="4"/>
  <c r="AU281" i="4"/>
  <c r="AV281" i="4"/>
  <c r="AW281" i="4"/>
  <c r="AX281" i="4"/>
  <c r="AY281" i="4"/>
  <c r="AZ281" i="4"/>
  <c r="BA281" i="4"/>
  <c r="BB281" i="4"/>
  <c r="BC281" i="4"/>
  <c r="BD281" i="4"/>
  <c r="BE281" i="4"/>
  <c r="BF281" i="4"/>
  <c r="BG281" i="4"/>
  <c r="BH281" i="4"/>
  <c r="BI281" i="4"/>
  <c r="BJ281" i="4"/>
  <c r="BK281" i="4"/>
  <c r="BL281" i="4"/>
  <c r="BM281" i="4"/>
  <c r="BN281" i="4"/>
  <c r="BO281" i="4"/>
  <c r="BP281" i="4"/>
  <c r="BQ281" i="4"/>
  <c r="BR281" i="4"/>
  <c r="BS281" i="4"/>
  <c r="BT281" i="4"/>
  <c r="BU281" i="4"/>
  <c r="BV281" i="4"/>
  <c r="BW281" i="4"/>
  <c r="BX281" i="4"/>
  <c r="BY281" i="4"/>
  <c r="BZ281" i="4"/>
  <c r="CA281" i="4"/>
  <c r="CB281" i="4"/>
  <c r="CC281" i="4"/>
  <c r="CD281" i="4"/>
  <c r="CE281" i="4"/>
  <c r="CF281" i="4"/>
  <c r="CG281" i="4"/>
  <c r="CH281" i="4"/>
  <c r="CI281" i="4"/>
  <c r="CJ281" i="4"/>
  <c r="CK281" i="4"/>
  <c r="CL281" i="4"/>
  <c r="CM281" i="4"/>
  <c r="CN281" i="4"/>
  <c r="CO281" i="4"/>
  <c r="CP281" i="4"/>
  <c r="CQ281" i="4"/>
  <c r="CR281" i="4"/>
  <c r="CS281" i="4"/>
  <c r="CT281" i="4"/>
  <c r="CU281" i="4"/>
  <c r="CV281" i="4"/>
  <c r="CW281" i="4"/>
  <c r="CX281" i="4"/>
  <c r="D282" i="4"/>
  <c r="E282" i="4"/>
  <c r="F282" i="4"/>
  <c r="G282" i="4"/>
  <c r="H282" i="4"/>
  <c r="I282" i="4"/>
  <c r="J282" i="4"/>
  <c r="K282" i="4"/>
  <c r="L282" i="4"/>
  <c r="M282" i="4"/>
  <c r="N282" i="4"/>
  <c r="O282" i="4"/>
  <c r="P282" i="4"/>
  <c r="Q282" i="4"/>
  <c r="R282" i="4"/>
  <c r="S282" i="4"/>
  <c r="T282" i="4"/>
  <c r="U282" i="4"/>
  <c r="V282" i="4"/>
  <c r="W282" i="4"/>
  <c r="X282" i="4"/>
  <c r="Y282" i="4"/>
  <c r="Z282" i="4"/>
  <c r="AA282" i="4"/>
  <c r="AB282" i="4"/>
  <c r="AC282" i="4"/>
  <c r="AD282" i="4"/>
  <c r="AE282" i="4"/>
  <c r="AF282" i="4"/>
  <c r="AG282" i="4"/>
  <c r="AH282" i="4"/>
  <c r="AI282" i="4"/>
  <c r="AJ282" i="4"/>
  <c r="AK282" i="4"/>
  <c r="AL282" i="4"/>
  <c r="AM282" i="4"/>
  <c r="AN282" i="4"/>
  <c r="AO282" i="4"/>
  <c r="AP282" i="4"/>
  <c r="AQ282" i="4"/>
  <c r="AR282" i="4"/>
  <c r="AS282" i="4"/>
  <c r="AT282" i="4"/>
  <c r="AU282" i="4"/>
  <c r="AV282" i="4"/>
  <c r="AW282" i="4"/>
  <c r="AX282" i="4"/>
  <c r="AY282" i="4"/>
  <c r="AZ282" i="4"/>
  <c r="BA282" i="4"/>
  <c r="BB282" i="4"/>
  <c r="BC282" i="4"/>
  <c r="BD282" i="4"/>
  <c r="BE282" i="4"/>
  <c r="BF282" i="4"/>
  <c r="BG282" i="4"/>
  <c r="BH282" i="4"/>
  <c r="BI282" i="4"/>
  <c r="BJ282" i="4"/>
  <c r="BK282" i="4"/>
  <c r="BL282" i="4"/>
  <c r="BM282" i="4"/>
  <c r="BN282" i="4"/>
  <c r="BO282" i="4"/>
  <c r="BP282" i="4"/>
  <c r="BQ282" i="4"/>
  <c r="BR282" i="4"/>
  <c r="BS282" i="4"/>
  <c r="BT282" i="4"/>
  <c r="BU282" i="4"/>
  <c r="BV282" i="4"/>
  <c r="BW282" i="4"/>
  <c r="BX282" i="4"/>
  <c r="BY282" i="4"/>
  <c r="BZ282" i="4"/>
  <c r="CA282" i="4"/>
  <c r="CB282" i="4"/>
  <c r="CC282" i="4"/>
  <c r="CD282" i="4"/>
  <c r="CE282" i="4"/>
  <c r="CF282" i="4"/>
  <c r="CG282" i="4"/>
  <c r="CH282" i="4"/>
  <c r="CI282" i="4"/>
  <c r="CJ282" i="4"/>
  <c r="CK282" i="4"/>
  <c r="CL282" i="4"/>
  <c r="CM282" i="4"/>
  <c r="CN282" i="4"/>
  <c r="CO282" i="4"/>
  <c r="CP282" i="4"/>
  <c r="CQ282" i="4"/>
  <c r="CR282" i="4"/>
  <c r="CS282" i="4"/>
  <c r="CT282" i="4"/>
  <c r="CU282" i="4"/>
  <c r="CV282" i="4"/>
  <c r="CW282" i="4"/>
  <c r="CX282" i="4"/>
  <c r="D283" i="4"/>
  <c r="E283" i="4"/>
  <c r="F283" i="4"/>
  <c r="G283" i="4"/>
  <c r="H283" i="4"/>
  <c r="I283" i="4"/>
  <c r="J283" i="4"/>
  <c r="K283" i="4"/>
  <c r="L283" i="4"/>
  <c r="M283" i="4"/>
  <c r="N283" i="4"/>
  <c r="O283" i="4"/>
  <c r="P283" i="4"/>
  <c r="Q283" i="4"/>
  <c r="R283" i="4"/>
  <c r="S283" i="4"/>
  <c r="T283" i="4"/>
  <c r="U283" i="4"/>
  <c r="V283" i="4"/>
  <c r="W283" i="4"/>
  <c r="X283" i="4"/>
  <c r="Y283" i="4"/>
  <c r="Z283" i="4"/>
  <c r="AA283" i="4"/>
  <c r="AB283" i="4"/>
  <c r="AC283" i="4"/>
  <c r="AD283" i="4"/>
  <c r="AE283" i="4"/>
  <c r="AF283" i="4"/>
  <c r="AG283" i="4"/>
  <c r="AH283" i="4"/>
  <c r="AI283" i="4"/>
  <c r="AJ283" i="4"/>
  <c r="AK283" i="4"/>
  <c r="AL283" i="4"/>
  <c r="AM283" i="4"/>
  <c r="AN283" i="4"/>
  <c r="AO283" i="4"/>
  <c r="AP283" i="4"/>
  <c r="AQ283" i="4"/>
  <c r="AR283" i="4"/>
  <c r="AS283" i="4"/>
  <c r="AT283" i="4"/>
  <c r="AU283" i="4"/>
  <c r="AV283" i="4"/>
  <c r="AW283" i="4"/>
  <c r="AX283" i="4"/>
  <c r="AY283" i="4"/>
  <c r="AZ283" i="4"/>
  <c r="BA283" i="4"/>
  <c r="BB283" i="4"/>
  <c r="BC283" i="4"/>
  <c r="BD283" i="4"/>
  <c r="BE283" i="4"/>
  <c r="BF283" i="4"/>
  <c r="BG283" i="4"/>
  <c r="BH283" i="4"/>
  <c r="BI283" i="4"/>
  <c r="BJ283" i="4"/>
  <c r="BK283" i="4"/>
  <c r="BL283" i="4"/>
  <c r="BM283" i="4"/>
  <c r="BN283" i="4"/>
  <c r="BO283" i="4"/>
  <c r="BP283" i="4"/>
  <c r="BQ283" i="4"/>
  <c r="BR283" i="4"/>
  <c r="BS283" i="4"/>
  <c r="BT283" i="4"/>
  <c r="BU283" i="4"/>
  <c r="BV283" i="4"/>
  <c r="BW283" i="4"/>
  <c r="BX283" i="4"/>
  <c r="BY283" i="4"/>
  <c r="BZ283" i="4"/>
  <c r="CA283" i="4"/>
  <c r="CB283" i="4"/>
  <c r="CC283" i="4"/>
  <c r="CD283" i="4"/>
  <c r="CE283" i="4"/>
  <c r="CF283" i="4"/>
  <c r="CG283" i="4"/>
  <c r="CH283" i="4"/>
  <c r="CI283" i="4"/>
  <c r="CJ283" i="4"/>
  <c r="CK283" i="4"/>
  <c r="CL283" i="4"/>
  <c r="CM283" i="4"/>
  <c r="CN283" i="4"/>
  <c r="CO283" i="4"/>
  <c r="CP283" i="4"/>
  <c r="CQ283" i="4"/>
  <c r="CR283" i="4"/>
  <c r="CS283" i="4"/>
  <c r="CT283" i="4"/>
  <c r="CU283" i="4"/>
  <c r="CV283" i="4"/>
  <c r="CW283" i="4"/>
  <c r="CX283" i="4"/>
  <c r="D284" i="4"/>
  <c r="E284" i="4"/>
  <c r="F284" i="4"/>
  <c r="G284" i="4"/>
  <c r="H284" i="4"/>
  <c r="I284" i="4"/>
  <c r="J284" i="4"/>
  <c r="K284" i="4"/>
  <c r="L284" i="4"/>
  <c r="M284" i="4"/>
  <c r="N284" i="4"/>
  <c r="O284" i="4"/>
  <c r="P284" i="4"/>
  <c r="Q284" i="4"/>
  <c r="R284" i="4"/>
  <c r="S284" i="4"/>
  <c r="T284" i="4"/>
  <c r="U284" i="4"/>
  <c r="V284" i="4"/>
  <c r="W284" i="4"/>
  <c r="X284" i="4"/>
  <c r="Y284" i="4"/>
  <c r="Z284" i="4"/>
  <c r="AA284" i="4"/>
  <c r="AB284" i="4"/>
  <c r="AC284" i="4"/>
  <c r="AD284" i="4"/>
  <c r="AE284" i="4"/>
  <c r="AF284" i="4"/>
  <c r="AG284" i="4"/>
  <c r="AH284" i="4"/>
  <c r="AI284" i="4"/>
  <c r="AJ284" i="4"/>
  <c r="AK284" i="4"/>
  <c r="AL284" i="4"/>
  <c r="AM284" i="4"/>
  <c r="AN284" i="4"/>
  <c r="AO284" i="4"/>
  <c r="AP284" i="4"/>
  <c r="AQ284" i="4"/>
  <c r="AR284" i="4"/>
  <c r="AS284" i="4"/>
  <c r="AT284" i="4"/>
  <c r="AU284" i="4"/>
  <c r="AV284" i="4"/>
  <c r="AW284" i="4"/>
  <c r="AX284" i="4"/>
  <c r="AY284" i="4"/>
  <c r="AZ284" i="4"/>
  <c r="BA284" i="4"/>
  <c r="BB284" i="4"/>
  <c r="BC284" i="4"/>
  <c r="BD284" i="4"/>
  <c r="BE284" i="4"/>
  <c r="BF284" i="4"/>
  <c r="BG284" i="4"/>
  <c r="BH284" i="4"/>
  <c r="BI284" i="4"/>
  <c r="BJ284" i="4"/>
  <c r="BK284" i="4"/>
  <c r="BL284" i="4"/>
  <c r="BM284" i="4"/>
  <c r="BN284" i="4"/>
  <c r="BO284" i="4"/>
  <c r="BP284" i="4"/>
  <c r="BQ284" i="4"/>
  <c r="BR284" i="4"/>
  <c r="BS284" i="4"/>
  <c r="BT284" i="4"/>
  <c r="BU284" i="4"/>
  <c r="BV284" i="4"/>
  <c r="BW284" i="4"/>
  <c r="BX284" i="4"/>
  <c r="BY284" i="4"/>
  <c r="BZ284" i="4"/>
  <c r="CA284" i="4"/>
  <c r="CB284" i="4"/>
  <c r="CC284" i="4"/>
  <c r="CD284" i="4"/>
  <c r="CE284" i="4"/>
  <c r="CF284" i="4"/>
  <c r="CG284" i="4"/>
  <c r="CH284" i="4"/>
  <c r="CI284" i="4"/>
  <c r="CJ284" i="4"/>
  <c r="CK284" i="4"/>
  <c r="CL284" i="4"/>
  <c r="CM284" i="4"/>
  <c r="CN284" i="4"/>
  <c r="CO284" i="4"/>
  <c r="CP284" i="4"/>
  <c r="CQ284" i="4"/>
  <c r="CR284" i="4"/>
  <c r="CS284" i="4"/>
  <c r="CT284" i="4"/>
  <c r="CU284" i="4"/>
  <c r="CV284" i="4"/>
  <c r="CW284" i="4"/>
  <c r="CX284" i="4"/>
  <c r="D285" i="4"/>
  <c r="E285" i="4"/>
  <c r="F285" i="4"/>
  <c r="G285" i="4"/>
  <c r="H285" i="4"/>
  <c r="I285" i="4"/>
  <c r="J285" i="4"/>
  <c r="K285" i="4"/>
  <c r="L285" i="4"/>
  <c r="M285" i="4"/>
  <c r="N285" i="4"/>
  <c r="O285" i="4"/>
  <c r="P285" i="4"/>
  <c r="Q285" i="4"/>
  <c r="R285" i="4"/>
  <c r="S285" i="4"/>
  <c r="T285" i="4"/>
  <c r="U285" i="4"/>
  <c r="V285" i="4"/>
  <c r="W285" i="4"/>
  <c r="X285" i="4"/>
  <c r="Y285" i="4"/>
  <c r="Z285" i="4"/>
  <c r="AA285" i="4"/>
  <c r="AB285" i="4"/>
  <c r="AC285" i="4"/>
  <c r="AD285" i="4"/>
  <c r="AE285" i="4"/>
  <c r="AF285" i="4"/>
  <c r="AG285" i="4"/>
  <c r="AH285" i="4"/>
  <c r="AI285" i="4"/>
  <c r="AJ285" i="4"/>
  <c r="AK285" i="4"/>
  <c r="AL285" i="4"/>
  <c r="AM285" i="4"/>
  <c r="AN285" i="4"/>
  <c r="AO285" i="4"/>
  <c r="AP285" i="4"/>
  <c r="AQ285" i="4"/>
  <c r="AR285" i="4"/>
  <c r="AS285" i="4"/>
  <c r="AT285" i="4"/>
  <c r="AU285" i="4"/>
  <c r="AV285" i="4"/>
  <c r="AW285" i="4"/>
  <c r="AX285" i="4"/>
  <c r="AY285" i="4"/>
  <c r="AZ285" i="4"/>
  <c r="BA285" i="4"/>
  <c r="BB285" i="4"/>
  <c r="BC285" i="4"/>
  <c r="BD285" i="4"/>
  <c r="BE285" i="4"/>
  <c r="BF285" i="4"/>
  <c r="BG285" i="4"/>
  <c r="BH285" i="4"/>
  <c r="BI285" i="4"/>
  <c r="BJ285" i="4"/>
  <c r="BK285" i="4"/>
  <c r="BL285" i="4"/>
  <c r="BM285" i="4"/>
  <c r="BN285" i="4"/>
  <c r="BO285" i="4"/>
  <c r="BP285" i="4"/>
  <c r="BQ285" i="4"/>
  <c r="BR285" i="4"/>
  <c r="BS285" i="4"/>
  <c r="BT285" i="4"/>
  <c r="BU285" i="4"/>
  <c r="BV285" i="4"/>
  <c r="BW285" i="4"/>
  <c r="BX285" i="4"/>
  <c r="BY285" i="4"/>
  <c r="BZ285" i="4"/>
  <c r="CA285" i="4"/>
  <c r="CB285" i="4"/>
  <c r="CC285" i="4"/>
  <c r="CD285" i="4"/>
  <c r="CE285" i="4"/>
  <c r="CF285" i="4"/>
  <c r="CG285" i="4"/>
  <c r="CH285" i="4"/>
  <c r="CI285" i="4"/>
  <c r="CJ285" i="4"/>
  <c r="CK285" i="4"/>
  <c r="CL285" i="4"/>
  <c r="CM285" i="4"/>
  <c r="CN285" i="4"/>
  <c r="CO285" i="4"/>
  <c r="CP285" i="4"/>
  <c r="CQ285" i="4"/>
  <c r="CR285" i="4"/>
  <c r="CS285" i="4"/>
  <c r="CT285" i="4"/>
  <c r="CU285" i="4"/>
  <c r="CV285" i="4"/>
  <c r="CW285" i="4"/>
  <c r="CX285" i="4"/>
  <c r="D286" i="4"/>
  <c r="E286" i="4"/>
  <c r="F286" i="4"/>
  <c r="G286" i="4"/>
  <c r="H286" i="4"/>
  <c r="I286" i="4"/>
  <c r="J286" i="4"/>
  <c r="K286" i="4"/>
  <c r="L286" i="4"/>
  <c r="M286" i="4"/>
  <c r="N286" i="4"/>
  <c r="O286" i="4"/>
  <c r="P286" i="4"/>
  <c r="Q286" i="4"/>
  <c r="R286" i="4"/>
  <c r="S286" i="4"/>
  <c r="T286" i="4"/>
  <c r="U286" i="4"/>
  <c r="V286" i="4"/>
  <c r="W286" i="4"/>
  <c r="X286" i="4"/>
  <c r="Y286" i="4"/>
  <c r="Z286" i="4"/>
  <c r="AA286" i="4"/>
  <c r="AB286" i="4"/>
  <c r="AC286" i="4"/>
  <c r="AD286" i="4"/>
  <c r="AE286" i="4"/>
  <c r="AF286" i="4"/>
  <c r="AG286" i="4"/>
  <c r="AH286" i="4"/>
  <c r="AI286" i="4"/>
  <c r="AJ286" i="4"/>
  <c r="AK286" i="4"/>
  <c r="AL286" i="4"/>
  <c r="AM286" i="4"/>
  <c r="AN286" i="4"/>
  <c r="AO286" i="4"/>
  <c r="AP286" i="4"/>
  <c r="AQ286" i="4"/>
  <c r="AR286" i="4"/>
  <c r="AS286" i="4"/>
  <c r="AT286" i="4"/>
  <c r="AU286" i="4"/>
  <c r="AV286" i="4"/>
  <c r="AW286" i="4"/>
  <c r="AX286" i="4"/>
  <c r="AY286" i="4"/>
  <c r="AZ286" i="4"/>
  <c r="BA286" i="4"/>
  <c r="BB286" i="4"/>
  <c r="BC286" i="4"/>
  <c r="BD286" i="4"/>
  <c r="BE286" i="4"/>
  <c r="BF286" i="4"/>
  <c r="BG286" i="4"/>
  <c r="BH286" i="4"/>
  <c r="BI286" i="4"/>
  <c r="BJ286" i="4"/>
  <c r="BK286" i="4"/>
  <c r="BL286" i="4"/>
  <c r="BM286" i="4"/>
  <c r="BN286" i="4"/>
  <c r="BO286" i="4"/>
  <c r="BP286" i="4"/>
  <c r="BQ286" i="4"/>
  <c r="BR286" i="4"/>
  <c r="BS286" i="4"/>
  <c r="BT286" i="4"/>
  <c r="BU286" i="4"/>
  <c r="BV286" i="4"/>
  <c r="BW286" i="4"/>
  <c r="BX286" i="4"/>
  <c r="BY286" i="4"/>
  <c r="BZ286" i="4"/>
  <c r="CA286" i="4"/>
  <c r="CB286" i="4"/>
  <c r="CC286" i="4"/>
  <c r="CD286" i="4"/>
  <c r="CE286" i="4"/>
  <c r="CF286" i="4"/>
  <c r="CG286" i="4"/>
  <c r="CH286" i="4"/>
  <c r="CI286" i="4"/>
  <c r="CJ286" i="4"/>
  <c r="CK286" i="4"/>
  <c r="CL286" i="4"/>
  <c r="CM286" i="4"/>
  <c r="CN286" i="4"/>
  <c r="CO286" i="4"/>
  <c r="CP286" i="4"/>
  <c r="CQ286" i="4"/>
  <c r="CR286" i="4"/>
  <c r="CS286" i="4"/>
  <c r="CT286" i="4"/>
  <c r="CU286" i="4"/>
  <c r="CV286" i="4"/>
  <c r="CW286" i="4"/>
  <c r="CX286" i="4"/>
  <c r="D287" i="4"/>
  <c r="E287" i="4"/>
  <c r="F287" i="4"/>
  <c r="G287" i="4"/>
  <c r="H287" i="4"/>
  <c r="I287" i="4"/>
  <c r="J287" i="4"/>
  <c r="K287" i="4"/>
  <c r="L287" i="4"/>
  <c r="M287" i="4"/>
  <c r="N287" i="4"/>
  <c r="O287" i="4"/>
  <c r="P287" i="4"/>
  <c r="Q287" i="4"/>
  <c r="R287" i="4"/>
  <c r="S287" i="4"/>
  <c r="T287" i="4"/>
  <c r="U287" i="4"/>
  <c r="V287" i="4"/>
  <c r="W287" i="4"/>
  <c r="X287" i="4"/>
  <c r="Y287" i="4"/>
  <c r="Z287" i="4"/>
  <c r="AA287" i="4"/>
  <c r="AB287" i="4"/>
  <c r="AC287" i="4"/>
  <c r="AD287" i="4"/>
  <c r="AE287" i="4"/>
  <c r="AF287" i="4"/>
  <c r="AG287" i="4"/>
  <c r="AH287" i="4"/>
  <c r="AI287" i="4"/>
  <c r="AJ287" i="4"/>
  <c r="AK287" i="4"/>
  <c r="AL287" i="4"/>
  <c r="AM287" i="4"/>
  <c r="AN287" i="4"/>
  <c r="AO287" i="4"/>
  <c r="AP287" i="4"/>
  <c r="AQ287" i="4"/>
  <c r="AR287" i="4"/>
  <c r="AS287" i="4"/>
  <c r="AT287" i="4"/>
  <c r="AU287" i="4"/>
  <c r="AV287" i="4"/>
  <c r="AW287" i="4"/>
  <c r="AX287" i="4"/>
  <c r="AY287" i="4"/>
  <c r="AZ287" i="4"/>
  <c r="BA287" i="4"/>
  <c r="BB287" i="4"/>
  <c r="BC287" i="4"/>
  <c r="BD287" i="4"/>
  <c r="BE287" i="4"/>
  <c r="BF287" i="4"/>
  <c r="BG287" i="4"/>
  <c r="BH287" i="4"/>
  <c r="BI287" i="4"/>
  <c r="BJ287" i="4"/>
  <c r="BK287" i="4"/>
  <c r="BL287" i="4"/>
  <c r="BM287" i="4"/>
  <c r="BN287" i="4"/>
  <c r="BO287" i="4"/>
  <c r="BP287" i="4"/>
  <c r="BQ287" i="4"/>
  <c r="BR287" i="4"/>
  <c r="BS287" i="4"/>
  <c r="BT287" i="4"/>
  <c r="BU287" i="4"/>
  <c r="BV287" i="4"/>
  <c r="BW287" i="4"/>
  <c r="BX287" i="4"/>
  <c r="BY287" i="4"/>
  <c r="BZ287" i="4"/>
  <c r="CA287" i="4"/>
  <c r="CB287" i="4"/>
  <c r="CC287" i="4"/>
  <c r="CD287" i="4"/>
  <c r="CE287" i="4"/>
  <c r="CF287" i="4"/>
  <c r="CG287" i="4"/>
  <c r="CH287" i="4"/>
  <c r="CI287" i="4"/>
  <c r="CJ287" i="4"/>
  <c r="CK287" i="4"/>
  <c r="CL287" i="4"/>
  <c r="CM287" i="4"/>
  <c r="CN287" i="4"/>
  <c r="CO287" i="4"/>
  <c r="CP287" i="4"/>
  <c r="CQ287" i="4"/>
  <c r="CR287" i="4"/>
  <c r="CS287" i="4"/>
  <c r="CT287" i="4"/>
  <c r="CU287" i="4"/>
  <c r="CV287" i="4"/>
  <c r="CW287" i="4"/>
  <c r="CX287" i="4"/>
  <c r="D288" i="4"/>
  <c r="E288" i="4"/>
  <c r="F288" i="4"/>
  <c r="G288" i="4"/>
  <c r="H288" i="4"/>
  <c r="I288" i="4"/>
  <c r="J288" i="4"/>
  <c r="K288" i="4"/>
  <c r="L288" i="4"/>
  <c r="M288" i="4"/>
  <c r="N288" i="4"/>
  <c r="O288" i="4"/>
  <c r="P288" i="4"/>
  <c r="Q288" i="4"/>
  <c r="R288" i="4"/>
  <c r="S288" i="4"/>
  <c r="T288" i="4"/>
  <c r="U288" i="4"/>
  <c r="V288" i="4"/>
  <c r="W288" i="4"/>
  <c r="X288" i="4"/>
  <c r="Y288" i="4"/>
  <c r="Z288" i="4"/>
  <c r="AA288" i="4"/>
  <c r="AB288" i="4"/>
  <c r="AC288" i="4"/>
  <c r="AD288" i="4"/>
  <c r="AE288" i="4"/>
  <c r="AF288" i="4"/>
  <c r="AG288" i="4"/>
  <c r="AH288" i="4"/>
  <c r="AI288" i="4"/>
  <c r="AJ288" i="4"/>
  <c r="AK288" i="4"/>
  <c r="AL288" i="4"/>
  <c r="AM288" i="4"/>
  <c r="AN288" i="4"/>
  <c r="AO288" i="4"/>
  <c r="AP288" i="4"/>
  <c r="AQ288" i="4"/>
  <c r="AR288" i="4"/>
  <c r="AS288" i="4"/>
  <c r="AT288" i="4"/>
  <c r="AU288" i="4"/>
  <c r="AV288" i="4"/>
  <c r="AW288" i="4"/>
  <c r="AX288" i="4"/>
  <c r="AY288" i="4"/>
  <c r="AZ288" i="4"/>
  <c r="BA288" i="4"/>
  <c r="BB288" i="4"/>
  <c r="BC288" i="4"/>
  <c r="BD288" i="4"/>
  <c r="BE288" i="4"/>
  <c r="BF288" i="4"/>
  <c r="BG288" i="4"/>
  <c r="BH288" i="4"/>
  <c r="BI288" i="4"/>
  <c r="BJ288" i="4"/>
  <c r="BK288" i="4"/>
  <c r="BL288" i="4"/>
  <c r="BM288" i="4"/>
  <c r="BN288" i="4"/>
  <c r="BO288" i="4"/>
  <c r="BP288" i="4"/>
  <c r="BQ288" i="4"/>
  <c r="BR288" i="4"/>
  <c r="BS288" i="4"/>
  <c r="BT288" i="4"/>
  <c r="BU288" i="4"/>
  <c r="BV288" i="4"/>
  <c r="BW288" i="4"/>
  <c r="BX288" i="4"/>
  <c r="BY288" i="4"/>
  <c r="BZ288" i="4"/>
  <c r="CA288" i="4"/>
  <c r="CB288" i="4"/>
  <c r="CC288" i="4"/>
  <c r="CD288" i="4"/>
  <c r="CE288" i="4"/>
  <c r="CF288" i="4"/>
  <c r="CG288" i="4"/>
  <c r="CH288" i="4"/>
  <c r="CI288" i="4"/>
  <c r="CJ288" i="4"/>
  <c r="CK288" i="4"/>
  <c r="CL288" i="4"/>
  <c r="CM288" i="4"/>
  <c r="CN288" i="4"/>
  <c r="CO288" i="4"/>
  <c r="CP288" i="4"/>
  <c r="CQ288" i="4"/>
  <c r="CR288" i="4"/>
  <c r="CS288" i="4"/>
  <c r="CT288" i="4"/>
  <c r="CU288" i="4"/>
  <c r="CV288" i="4"/>
  <c r="CW288" i="4"/>
  <c r="CX288" i="4"/>
  <c r="D289" i="4"/>
  <c r="E289" i="4"/>
  <c r="F289" i="4"/>
  <c r="G289" i="4"/>
  <c r="H289" i="4"/>
  <c r="I289" i="4"/>
  <c r="J289" i="4"/>
  <c r="K289" i="4"/>
  <c r="L289" i="4"/>
  <c r="M289" i="4"/>
  <c r="N289" i="4"/>
  <c r="O289" i="4"/>
  <c r="P289" i="4"/>
  <c r="Q289" i="4"/>
  <c r="R289" i="4"/>
  <c r="S289" i="4"/>
  <c r="T289" i="4"/>
  <c r="U289" i="4"/>
  <c r="V289" i="4"/>
  <c r="W289" i="4"/>
  <c r="X289" i="4"/>
  <c r="Y289" i="4"/>
  <c r="Z289" i="4"/>
  <c r="AA289" i="4"/>
  <c r="AB289" i="4"/>
  <c r="AC289" i="4"/>
  <c r="AD289" i="4"/>
  <c r="AE289" i="4"/>
  <c r="AF289" i="4"/>
  <c r="AG289" i="4"/>
  <c r="AH289" i="4"/>
  <c r="AI289" i="4"/>
  <c r="AJ289" i="4"/>
  <c r="AK289" i="4"/>
  <c r="AL289" i="4"/>
  <c r="AM289" i="4"/>
  <c r="AN289" i="4"/>
  <c r="AO289" i="4"/>
  <c r="AP289" i="4"/>
  <c r="AQ289" i="4"/>
  <c r="AR289" i="4"/>
  <c r="AS289" i="4"/>
  <c r="AT289" i="4"/>
  <c r="AU289" i="4"/>
  <c r="AV289" i="4"/>
  <c r="AW289" i="4"/>
  <c r="AX289" i="4"/>
  <c r="AY289" i="4"/>
  <c r="AZ289" i="4"/>
  <c r="BA289" i="4"/>
  <c r="BB289" i="4"/>
  <c r="BC289" i="4"/>
  <c r="BD289" i="4"/>
  <c r="BE289" i="4"/>
  <c r="BF289" i="4"/>
  <c r="BG289" i="4"/>
  <c r="BH289" i="4"/>
  <c r="BI289" i="4"/>
  <c r="BJ289" i="4"/>
  <c r="BK289" i="4"/>
  <c r="BL289" i="4"/>
  <c r="BM289" i="4"/>
  <c r="BN289" i="4"/>
  <c r="BO289" i="4"/>
  <c r="BP289" i="4"/>
  <c r="BQ289" i="4"/>
  <c r="BR289" i="4"/>
  <c r="BS289" i="4"/>
  <c r="BT289" i="4"/>
  <c r="BU289" i="4"/>
  <c r="BV289" i="4"/>
  <c r="BW289" i="4"/>
  <c r="BX289" i="4"/>
  <c r="BY289" i="4"/>
  <c r="BZ289" i="4"/>
  <c r="CA289" i="4"/>
  <c r="CB289" i="4"/>
  <c r="CC289" i="4"/>
  <c r="CD289" i="4"/>
  <c r="CE289" i="4"/>
  <c r="CF289" i="4"/>
  <c r="CG289" i="4"/>
  <c r="CH289" i="4"/>
  <c r="CI289" i="4"/>
  <c r="CJ289" i="4"/>
  <c r="CK289" i="4"/>
  <c r="CL289" i="4"/>
  <c r="CM289" i="4"/>
  <c r="CN289" i="4"/>
  <c r="CO289" i="4"/>
  <c r="CP289" i="4"/>
  <c r="CQ289" i="4"/>
  <c r="CR289" i="4"/>
  <c r="CS289" i="4"/>
  <c r="CT289" i="4"/>
  <c r="CU289" i="4"/>
  <c r="CV289" i="4"/>
  <c r="CW289" i="4"/>
  <c r="CX289" i="4"/>
  <c r="D290" i="4"/>
  <c r="E290" i="4"/>
  <c r="F290" i="4"/>
  <c r="G290" i="4"/>
  <c r="H290" i="4"/>
  <c r="I290" i="4"/>
  <c r="J290" i="4"/>
  <c r="K290" i="4"/>
  <c r="L290" i="4"/>
  <c r="M290" i="4"/>
  <c r="N290" i="4"/>
  <c r="O290" i="4"/>
  <c r="P290" i="4"/>
  <c r="Q290" i="4"/>
  <c r="R290" i="4"/>
  <c r="S290" i="4"/>
  <c r="T290" i="4"/>
  <c r="U290" i="4"/>
  <c r="V290" i="4"/>
  <c r="W290" i="4"/>
  <c r="X290" i="4"/>
  <c r="Y290" i="4"/>
  <c r="Z290" i="4"/>
  <c r="AA290" i="4"/>
  <c r="AB290" i="4"/>
  <c r="AC290" i="4"/>
  <c r="AD290" i="4"/>
  <c r="AE290" i="4"/>
  <c r="AF290" i="4"/>
  <c r="AG290" i="4"/>
  <c r="AH290" i="4"/>
  <c r="AI290" i="4"/>
  <c r="AJ290" i="4"/>
  <c r="AK290" i="4"/>
  <c r="AL290" i="4"/>
  <c r="AM290" i="4"/>
  <c r="AN290" i="4"/>
  <c r="AO290" i="4"/>
  <c r="AP290" i="4"/>
  <c r="AQ290" i="4"/>
  <c r="AR290" i="4"/>
  <c r="AS290" i="4"/>
  <c r="AT290" i="4"/>
  <c r="AU290" i="4"/>
  <c r="AV290" i="4"/>
  <c r="AW290" i="4"/>
  <c r="AX290" i="4"/>
  <c r="AY290" i="4"/>
  <c r="AZ290" i="4"/>
  <c r="BA290" i="4"/>
  <c r="BB290" i="4"/>
  <c r="BC290" i="4"/>
  <c r="BD290" i="4"/>
  <c r="BE290" i="4"/>
  <c r="BF290" i="4"/>
  <c r="BG290" i="4"/>
  <c r="BH290" i="4"/>
  <c r="BI290" i="4"/>
  <c r="BJ290" i="4"/>
  <c r="BK290" i="4"/>
  <c r="BL290" i="4"/>
  <c r="BM290" i="4"/>
  <c r="BN290" i="4"/>
  <c r="BO290" i="4"/>
  <c r="BP290" i="4"/>
  <c r="BQ290" i="4"/>
  <c r="BR290" i="4"/>
  <c r="BS290" i="4"/>
  <c r="BT290" i="4"/>
  <c r="BU290" i="4"/>
  <c r="BV290" i="4"/>
  <c r="BW290" i="4"/>
  <c r="BX290" i="4"/>
  <c r="BY290" i="4"/>
  <c r="BZ290" i="4"/>
  <c r="CA290" i="4"/>
  <c r="CB290" i="4"/>
  <c r="CC290" i="4"/>
  <c r="CD290" i="4"/>
  <c r="CE290" i="4"/>
  <c r="CF290" i="4"/>
  <c r="CG290" i="4"/>
  <c r="CH290" i="4"/>
  <c r="CI290" i="4"/>
  <c r="CJ290" i="4"/>
  <c r="CK290" i="4"/>
  <c r="CL290" i="4"/>
  <c r="CM290" i="4"/>
  <c r="CN290" i="4"/>
  <c r="CO290" i="4"/>
  <c r="CP290" i="4"/>
  <c r="CQ290" i="4"/>
  <c r="CR290" i="4"/>
  <c r="CS290" i="4"/>
  <c r="CT290" i="4"/>
  <c r="CU290" i="4"/>
  <c r="CV290" i="4"/>
  <c r="CW290" i="4"/>
  <c r="CX290" i="4"/>
  <c r="D291" i="4"/>
  <c r="E291" i="4"/>
  <c r="F291" i="4"/>
  <c r="G291" i="4"/>
  <c r="H291" i="4"/>
  <c r="I291" i="4"/>
  <c r="J291" i="4"/>
  <c r="K291" i="4"/>
  <c r="L291" i="4"/>
  <c r="M291" i="4"/>
  <c r="N291" i="4"/>
  <c r="O291" i="4"/>
  <c r="P291" i="4"/>
  <c r="Q291" i="4"/>
  <c r="R291" i="4"/>
  <c r="S291" i="4"/>
  <c r="T291" i="4"/>
  <c r="U291" i="4"/>
  <c r="V291" i="4"/>
  <c r="W291" i="4"/>
  <c r="X291" i="4"/>
  <c r="Y291" i="4"/>
  <c r="Z291" i="4"/>
  <c r="AA291" i="4"/>
  <c r="AB291" i="4"/>
  <c r="AC291" i="4"/>
  <c r="AD291" i="4"/>
  <c r="AE291" i="4"/>
  <c r="AF291" i="4"/>
  <c r="AG291" i="4"/>
  <c r="AH291" i="4"/>
  <c r="AI291" i="4"/>
  <c r="AJ291" i="4"/>
  <c r="AK291" i="4"/>
  <c r="AL291" i="4"/>
  <c r="AM291" i="4"/>
  <c r="AN291" i="4"/>
  <c r="AO291" i="4"/>
  <c r="AP291" i="4"/>
  <c r="AQ291" i="4"/>
  <c r="AR291" i="4"/>
  <c r="AS291" i="4"/>
  <c r="AT291" i="4"/>
  <c r="AU291" i="4"/>
  <c r="AV291" i="4"/>
  <c r="AW291" i="4"/>
  <c r="AX291" i="4"/>
  <c r="AY291" i="4"/>
  <c r="AZ291" i="4"/>
  <c r="BA291" i="4"/>
  <c r="BB291" i="4"/>
  <c r="BC291" i="4"/>
  <c r="BD291" i="4"/>
  <c r="BE291" i="4"/>
  <c r="BF291" i="4"/>
  <c r="BG291" i="4"/>
  <c r="BH291" i="4"/>
  <c r="BI291" i="4"/>
  <c r="BJ291" i="4"/>
  <c r="BK291" i="4"/>
  <c r="BL291" i="4"/>
  <c r="BM291" i="4"/>
  <c r="BN291" i="4"/>
  <c r="BO291" i="4"/>
  <c r="BP291" i="4"/>
  <c r="BQ291" i="4"/>
  <c r="BR291" i="4"/>
  <c r="BS291" i="4"/>
  <c r="BT291" i="4"/>
  <c r="BU291" i="4"/>
  <c r="BV291" i="4"/>
  <c r="BW291" i="4"/>
  <c r="BX291" i="4"/>
  <c r="BY291" i="4"/>
  <c r="BZ291" i="4"/>
  <c r="CA291" i="4"/>
  <c r="CB291" i="4"/>
  <c r="CC291" i="4"/>
  <c r="CD291" i="4"/>
  <c r="CE291" i="4"/>
  <c r="CF291" i="4"/>
  <c r="CG291" i="4"/>
  <c r="CH291" i="4"/>
  <c r="CI291" i="4"/>
  <c r="CJ291" i="4"/>
  <c r="CK291" i="4"/>
  <c r="CL291" i="4"/>
  <c r="CM291" i="4"/>
  <c r="CN291" i="4"/>
  <c r="CO291" i="4"/>
  <c r="CP291" i="4"/>
  <c r="CQ291" i="4"/>
  <c r="CR291" i="4"/>
  <c r="CS291" i="4"/>
  <c r="CT291" i="4"/>
  <c r="CU291" i="4"/>
  <c r="CV291" i="4"/>
  <c r="CW291" i="4"/>
  <c r="CX291" i="4"/>
  <c r="D292" i="4"/>
  <c r="E292" i="4"/>
  <c r="F292" i="4"/>
  <c r="G292" i="4"/>
  <c r="H292" i="4"/>
  <c r="I292" i="4"/>
  <c r="J292" i="4"/>
  <c r="K292" i="4"/>
  <c r="L292" i="4"/>
  <c r="M292" i="4"/>
  <c r="N292" i="4"/>
  <c r="O292" i="4"/>
  <c r="P292" i="4"/>
  <c r="Q292" i="4"/>
  <c r="R292" i="4"/>
  <c r="S292" i="4"/>
  <c r="T292" i="4"/>
  <c r="U292" i="4"/>
  <c r="V292" i="4"/>
  <c r="W292" i="4"/>
  <c r="X292" i="4"/>
  <c r="Y292" i="4"/>
  <c r="Z292" i="4"/>
  <c r="AA292" i="4"/>
  <c r="AB292" i="4"/>
  <c r="AC292" i="4"/>
  <c r="AD292" i="4"/>
  <c r="AE292" i="4"/>
  <c r="AF292" i="4"/>
  <c r="AG292" i="4"/>
  <c r="AH292" i="4"/>
  <c r="AI292" i="4"/>
  <c r="AJ292" i="4"/>
  <c r="AK292" i="4"/>
  <c r="AL292" i="4"/>
  <c r="AM292" i="4"/>
  <c r="AN292" i="4"/>
  <c r="AO292" i="4"/>
  <c r="AP292" i="4"/>
  <c r="AQ292" i="4"/>
  <c r="AR292" i="4"/>
  <c r="AS292" i="4"/>
  <c r="AT292" i="4"/>
  <c r="AU292" i="4"/>
  <c r="AV292" i="4"/>
  <c r="AW292" i="4"/>
  <c r="AX292" i="4"/>
  <c r="AY292" i="4"/>
  <c r="AZ292" i="4"/>
  <c r="BA292" i="4"/>
  <c r="BB292" i="4"/>
  <c r="BC292" i="4"/>
  <c r="BD292" i="4"/>
  <c r="BE292" i="4"/>
  <c r="BF292" i="4"/>
  <c r="BG292" i="4"/>
  <c r="BH292" i="4"/>
  <c r="BI292" i="4"/>
  <c r="BJ292" i="4"/>
  <c r="BK292" i="4"/>
  <c r="BL292" i="4"/>
  <c r="BM292" i="4"/>
  <c r="BN292" i="4"/>
  <c r="BO292" i="4"/>
  <c r="BP292" i="4"/>
  <c r="BQ292" i="4"/>
  <c r="BR292" i="4"/>
  <c r="BS292" i="4"/>
  <c r="BT292" i="4"/>
  <c r="BU292" i="4"/>
  <c r="BV292" i="4"/>
  <c r="BW292" i="4"/>
  <c r="BX292" i="4"/>
  <c r="BY292" i="4"/>
  <c r="BZ292" i="4"/>
  <c r="CA292" i="4"/>
  <c r="CB292" i="4"/>
  <c r="CC292" i="4"/>
  <c r="CD292" i="4"/>
  <c r="CE292" i="4"/>
  <c r="CF292" i="4"/>
  <c r="CG292" i="4"/>
  <c r="CH292" i="4"/>
  <c r="CI292" i="4"/>
  <c r="CJ292" i="4"/>
  <c r="CK292" i="4"/>
  <c r="CL292" i="4"/>
  <c r="CM292" i="4"/>
  <c r="CN292" i="4"/>
  <c r="CO292" i="4"/>
  <c r="CP292" i="4"/>
  <c r="CQ292" i="4"/>
  <c r="CR292" i="4"/>
  <c r="CS292" i="4"/>
  <c r="CT292" i="4"/>
  <c r="CU292" i="4"/>
  <c r="CV292" i="4"/>
  <c r="CW292" i="4"/>
  <c r="CX292" i="4"/>
  <c r="D293" i="4"/>
  <c r="E293" i="4"/>
  <c r="F293" i="4"/>
  <c r="G293" i="4"/>
  <c r="H293" i="4"/>
  <c r="I293" i="4"/>
  <c r="J293" i="4"/>
  <c r="K293" i="4"/>
  <c r="L293" i="4"/>
  <c r="M293" i="4"/>
  <c r="N293" i="4"/>
  <c r="O293" i="4"/>
  <c r="P293" i="4"/>
  <c r="Q293" i="4"/>
  <c r="R293" i="4"/>
  <c r="S293" i="4"/>
  <c r="T293" i="4"/>
  <c r="U293" i="4"/>
  <c r="V293" i="4"/>
  <c r="W293" i="4"/>
  <c r="X293" i="4"/>
  <c r="Y293" i="4"/>
  <c r="Z293" i="4"/>
  <c r="AA293" i="4"/>
  <c r="AB293" i="4"/>
  <c r="AC293" i="4"/>
  <c r="AD293" i="4"/>
  <c r="AE293" i="4"/>
  <c r="AF293" i="4"/>
  <c r="AG293" i="4"/>
  <c r="AH293" i="4"/>
  <c r="AI293" i="4"/>
  <c r="AJ293" i="4"/>
  <c r="AK293" i="4"/>
  <c r="AL293" i="4"/>
  <c r="AM293" i="4"/>
  <c r="AN293" i="4"/>
  <c r="AO293" i="4"/>
  <c r="AP293" i="4"/>
  <c r="AQ293" i="4"/>
  <c r="AR293" i="4"/>
  <c r="AS293" i="4"/>
  <c r="AT293" i="4"/>
  <c r="AU293" i="4"/>
  <c r="AV293" i="4"/>
  <c r="AW293" i="4"/>
  <c r="AX293" i="4"/>
  <c r="AY293" i="4"/>
  <c r="AZ293" i="4"/>
  <c r="BA293" i="4"/>
  <c r="BB293" i="4"/>
  <c r="BC293" i="4"/>
  <c r="BD293" i="4"/>
  <c r="BE293" i="4"/>
  <c r="BF293" i="4"/>
  <c r="BG293" i="4"/>
  <c r="BH293" i="4"/>
  <c r="BI293" i="4"/>
  <c r="BJ293" i="4"/>
  <c r="BK293" i="4"/>
  <c r="BL293" i="4"/>
  <c r="BM293" i="4"/>
  <c r="BN293" i="4"/>
  <c r="BO293" i="4"/>
  <c r="BP293" i="4"/>
  <c r="BQ293" i="4"/>
  <c r="BR293" i="4"/>
  <c r="BS293" i="4"/>
  <c r="BT293" i="4"/>
  <c r="BU293" i="4"/>
  <c r="BV293" i="4"/>
  <c r="BW293" i="4"/>
  <c r="BX293" i="4"/>
  <c r="BY293" i="4"/>
  <c r="BZ293" i="4"/>
  <c r="CA293" i="4"/>
  <c r="CB293" i="4"/>
  <c r="CC293" i="4"/>
  <c r="CD293" i="4"/>
  <c r="CE293" i="4"/>
  <c r="CF293" i="4"/>
  <c r="CG293" i="4"/>
  <c r="CH293" i="4"/>
  <c r="CI293" i="4"/>
  <c r="CJ293" i="4"/>
  <c r="CK293" i="4"/>
  <c r="CL293" i="4"/>
  <c r="CM293" i="4"/>
  <c r="CN293" i="4"/>
  <c r="CO293" i="4"/>
  <c r="CP293" i="4"/>
  <c r="CQ293" i="4"/>
  <c r="CR293" i="4"/>
  <c r="CS293" i="4"/>
  <c r="CT293" i="4"/>
  <c r="CU293" i="4"/>
  <c r="CV293" i="4"/>
  <c r="CW293" i="4"/>
  <c r="CX293" i="4"/>
  <c r="D294" i="4"/>
  <c r="E294" i="4"/>
  <c r="F294" i="4"/>
  <c r="G294" i="4"/>
  <c r="H294" i="4"/>
  <c r="I294" i="4"/>
  <c r="J294" i="4"/>
  <c r="K294" i="4"/>
  <c r="L294" i="4"/>
  <c r="M294" i="4"/>
  <c r="N294" i="4"/>
  <c r="O294" i="4"/>
  <c r="P294" i="4"/>
  <c r="Q294" i="4"/>
  <c r="R294" i="4"/>
  <c r="S294" i="4"/>
  <c r="T294" i="4"/>
  <c r="U294" i="4"/>
  <c r="V294" i="4"/>
  <c r="W294" i="4"/>
  <c r="X294" i="4"/>
  <c r="Y294" i="4"/>
  <c r="Z294" i="4"/>
  <c r="AA294" i="4"/>
  <c r="AB294" i="4"/>
  <c r="AC294" i="4"/>
  <c r="AD294" i="4"/>
  <c r="AE294" i="4"/>
  <c r="AF294" i="4"/>
  <c r="AG294" i="4"/>
  <c r="AH294" i="4"/>
  <c r="AI294" i="4"/>
  <c r="AJ294" i="4"/>
  <c r="AK294" i="4"/>
  <c r="AL294" i="4"/>
  <c r="AM294" i="4"/>
  <c r="AN294" i="4"/>
  <c r="AO294" i="4"/>
  <c r="AP294" i="4"/>
  <c r="AQ294" i="4"/>
  <c r="AR294" i="4"/>
  <c r="AS294" i="4"/>
  <c r="AT294" i="4"/>
  <c r="AU294" i="4"/>
  <c r="AV294" i="4"/>
  <c r="AW294" i="4"/>
  <c r="AX294" i="4"/>
  <c r="AY294" i="4"/>
  <c r="AZ294" i="4"/>
  <c r="BA294" i="4"/>
  <c r="BB294" i="4"/>
  <c r="BC294" i="4"/>
  <c r="BD294" i="4"/>
  <c r="BE294" i="4"/>
  <c r="BF294" i="4"/>
  <c r="BG294" i="4"/>
  <c r="BH294" i="4"/>
  <c r="BI294" i="4"/>
  <c r="BJ294" i="4"/>
  <c r="BK294" i="4"/>
  <c r="BL294" i="4"/>
  <c r="BM294" i="4"/>
  <c r="BN294" i="4"/>
  <c r="BO294" i="4"/>
  <c r="BP294" i="4"/>
  <c r="BQ294" i="4"/>
  <c r="BR294" i="4"/>
  <c r="BS294" i="4"/>
  <c r="BT294" i="4"/>
  <c r="BU294" i="4"/>
  <c r="BV294" i="4"/>
  <c r="BW294" i="4"/>
  <c r="BX294" i="4"/>
  <c r="BY294" i="4"/>
  <c r="BZ294" i="4"/>
  <c r="CA294" i="4"/>
  <c r="CB294" i="4"/>
  <c r="CC294" i="4"/>
  <c r="CD294" i="4"/>
  <c r="CE294" i="4"/>
  <c r="CF294" i="4"/>
  <c r="CG294" i="4"/>
  <c r="CH294" i="4"/>
  <c r="CI294" i="4"/>
  <c r="CJ294" i="4"/>
  <c r="CK294" i="4"/>
  <c r="CL294" i="4"/>
  <c r="CM294" i="4"/>
  <c r="CN294" i="4"/>
  <c r="CO294" i="4"/>
  <c r="CP294" i="4"/>
  <c r="CQ294" i="4"/>
  <c r="CR294" i="4"/>
  <c r="CS294" i="4"/>
  <c r="CT294" i="4"/>
  <c r="CU294" i="4"/>
  <c r="CV294" i="4"/>
  <c r="CW294" i="4"/>
  <c r="CX294" i="4"/>
  <c r="D295" i="4"/>
  <c r="E295" i="4"/>
  <c r="F295" i="4"/>
  <c r="G295" i="4"/>
  <c r="H295" i="4"/>
  <c r="I295" i="4"/>
  <c r="J295" i="4"/>
  <c r="K295" i="4"/>
  <c r="L295" i="4"/>
  <c r="M295" i="4"/>
  <c r="N295" i="4"/>
  <c r="O295" i="4"/>
  <c r="P295" i="4"/>
  <c r="Q295" i="4"/>
  <c r="R295" i="4"/>
  <c r="S295" i="4"/>
  <c r="T295" i="4"/>
  <c r="U295" i="4"/>
  <c r="V295" i="4"/>
  <c r="W295" i="4"/>
  <c r="X295" i="4"/>
  <c r="Y295" i="4"/>
  <c r="Z295" i="4"/>
  <c r="AA295" i="4"/>
  <c r="AB295" i="4"/>
  <c r="AC295" i="4"/>
  <c r="AD295" i="4"/>
  <c r="AE295" i="4"/>
  <c r="AF295" i="4"/>
  <c r="AG295" i="4"/>
  <c r="AH295" i="4"/>
  <c r="AI295" i="4"/>
  <c r="AJ295" i="4"/>
  <c r="AK295" i="4"/>
  <c r="AL295" i="4"/>
  <c r="AM295" i="4"/>
  <c r="AN295" i="4"/>
  <c r="AO295" i="4"/>
  <c r="AP295" i="4"/>
  <c r="AQ295" i="4"/>
  <c r="AR295" i="4"/>
  <c r="AS295" i="4"/>
  <c r="AT295" i="4"/>
  <c r="AU295" i="4"/>
  <c r="AV295" i="4"/>
  <c r="AW295" i="4"/>
  <c r="AX295" i="4"/>
  <c r="AY295" i="4"/>
  <c r="AZ295" i="4"/>
  <c r="BA295" i="4"/>
  <c r="BB295" i="4"/>
  <c r="BC295" i="4"/>
  <c r="BD295" i="4"/>
  <c r="BE295" i="4"/>
  <c r="BF295" i="4"/>
  <c r="BG295" i="4"/>
  <c r="BH295" i="4"/>
  <c r="BI295" i="4"/>
  <c r="BJ295" i="4"/>
  <c r="BK295" i="4"/>
  <c r="BL295" i="4"/>
  <c r="BM295" i="4"/>
  <c r="BN295" i="4"/>
  <c r="BO295" i="4"/>
  <c r="BP295" i="4"/>
  <c r="BQ295" i="4"/>
  <c r="BR295" i="4"/>
  <c r="BS295" i="4"/>
  <c r="BT295" i="4"/>
  <c r="BU295" i="4"/>
  <c r="BV295" i="4"/>
  <c r="BW295" i="4"/>
  <c r="BX295" i="4"/>
  <c r="BY295" i="4"/>
  <c r="BZ295" i="4"/>
  <c r="CA295" i="4"/>
  <c r="CB295" i="4"/>
  <c r="CC295" i="4"/>
  <c r="CD295" i="4"/>
  <c r="CE295" i="4"/>
  <c r="CF295" i="4"/>
  <c r="CG295" i="4"/>
  <c r="CH295" i="4"/>
  <c r="CI295" i="4"/>
  <c r="CJ295" i="4"/>
  <c r="CK295" i="4"/>
  <c r="CL295" i="4"/>
  <c r="CM295" i="4"/>
  <c r="CN295" i="4"/>
  <c r="CO295" i="4"/>
  <c r="CP295" i="4"/>
  <c r="CQ295" i="4"/>
  <c r="CR295" i="4"/>
  <c r="CS295" i="4"/>
  <c r="CT295" i="4"/>
  <c r="CU295" i="4"/>
  <c r="CV295" i="4"/>
  <c r="CW295" i="4"/>
  <c r="CX295" i="4"/>
  <c r="D296" i="4"/>
  <c r="E296" i="4"/>
  <c r="F296" i="4"/>
  <c r="G296" i="4"/>
  <c r="H296" i="4"/>
  <c r="I296" i="4"/>
  <c r="J296" i="4"/>
  <c r="K296" i="4"/>
  <c r="L296" i="4"/>
  <c r="M296" i="4"/>
  <c r="N296" i="4"/>
  <c r="O296" i="4"/>
  <c r="P296" i="4"/>
  <c r="Q296" i="4"/>
  <c r="R296" i="4"/>
  <c r="S296" i="4"/>
  <c r="T296" i="4"/>
  <c r="U296" i="4"/>
  <c r="V296" i="4"/>
  <c r="W296" i="4"/>
  <c r="X296" i="4"/>
  <c r="Y296" i="4"/>
  <c r="Z296" i="4"/>
  <c r="AA296" i="4"/>
  <c r="AB296" i="4"/>
  <c r="AC296" i="4"/>
  <c r="AD296" i="4"/>
  <c r="AE296" i="4"/>
  <c r="AF296" i="4"/>
  <c r="AG296" i="4"/>
  <c r="AH296" i="4"/>
  <c r="AI296" i="4"/>
  <c r="AJ296" i="4"/>
  <c r="AK296" i="4"/>
  <c r="AL296" i="4"/>
  <c r="AM296" i="4"/>
  <c r="AN296" i="4"/>
  <c r="AO296" i="4"/>
  <c r="AP296" i="4"/>
  <c r="AQ296" i="4"/>
  <c r="AR296" i="4"/>
  <c r="AS296" i="4"/>
  <c r="AT296" i="4"/>
  <c r="AU296" i="4"/>
  <c r="AV296" i="4"/>
  <c r="AW296" i="4"/>
  <c r="AX296" i="4"/>
  <c r="AY296" i="4"/>
  <c r="AZ296" i="4"/>
  <c r="BA296" i="4"/>
  <c r="BB296" i="4"/>
  <c r="BC296" i="4"/>
  <c r="BD296" i="4"/>
  <c r="BE296" i="4"/>
  <c r="BF296" i="4"/>
  <c r="BG296" i="4"/>
  <c r="BH296" i="4"/>
  <c r="BI296" i="4"/>
  <c r="BJ296" i="4"/>
  <c r="BK296" i="4"/>
  <c r="BL296" i="4"/>
  <c r="BM296" i="4"/>
  <c r="BN296" i="4"/>
  <c r="BO296" i="4"/>
  <c r="BP296" i="4"/>
  <c r="BQ296" i="4"/>
  <c r="BR296" i="4"/>
  <c r="BS296" i="4"/>
  <c r="BT296" i="4"/>
  <c r="BU296" i="4"/>
  <c r="BV296" i="4"/>
  <c r="BW296" i="4"/>
  <c r="BX296" i="4"/>
  <c r="BY296" i="4"/>
  <c r="BZ296" i="4"/>
  <c r="CA296" i="4"/>
  <c r="CB296" i="4"/>
  <c r="CC296" i="4"/>
  <c r="CD296" i="4"/>
  <c r="CE296" i="4"/>
  <c r="CF296" i="4"/>
  <c r="CG296" i="4"/>
  <c r="CH296" i="4"/>
  <c r="CI296" i="4"/>
  <c r="CJ296" i="4"/>
  <c r="CK296" i="4"/>
  <c r="CL296" i="4"/>
  <c r="CM296" i="4"/>
  <c r="CN296" i="4"/>
  <c r="CO296" i="4"/>
  <c r="CP296" i="4"/>
  <c r="CQ296" i="4"/>
  <c r="CR296" i="4"/>
  <c r="CS296" i="4"/>
  <c r="CT296" i="4"/>
  <c r="CU296" i="4"/>
  <c r="CV296" i="4"/>
  <c r="CW296" i="4"/>
  <c r="CX296" i="4"/>
  <c r="D297" i="4"/>
  <c r="E297" i="4"/>
  <c r="F297" i="4"/>
  <c r="G297" i="4"/>
  <c r="H297" i="4"/>
  <c r="I297" i="4"/>
  <c r="J297" i="4"/>
  <c r="K297" i="4"/>
  <c r="L297" i="4"/>
  <c r="M297" i="4"/>
  <c r="N297" i="4"/>
  <c r="O297" i="4"/>
  <c r="P297" i="4"/>
  <c r="Q297" i="4"/>
  <c r="R297" i="4"/>
  <c r="S297" i="4"/>
  <c r="T297" i="4"/>
  <c r="U297" i="4"/>
  <c r="V297" i="4"/>
  <c r="W297" i="4"/>
  <c r="X297" i="4"/>
  <c r="Y297" i="4"/>
  <c r="Z297" i="4"/>
  <c r="AA297" i="4"/>
  <c r="AB297" i="4"/>
  <c r="AC297" i="4"/>
  <c r="AD297" i="4"/>
  <c r="AE297" i="4"/>
  <c r="AF297" i="4"/>
  <c r="AG297" i="4"/>
  <c r="AH297" i="4"/>
  <c r="AI297" i="4"/>
  <c r="AJ297" i="4"/>
  <c r="AK297" i="4"/>
  <c r="AL297" i="4"/>
  <c r="AM297" i="4"/>
  <c r="AN297" i="4"/>
  <c r="AO297" i="4"/>
  <c r="AP297" i="4"/>
  <c r="AQ297" i="4"/>
  <c r="AR297" i="4"/>
  <c r="AS297" i="4"/>
  <c r="AT297" i="4"/>
  <c r="AU297" i="4"/>
  <c r="AV297" i="4"/>
  <c r="AW297" i="4"/>
  <c r="AX297" i="4"/>
  <c r="AY297" i="4"/>
  <c r="AZ297" i="4"/>
  <c r="BA297" i="4"/>
  <c r="BB297" i="4"/>
  <c r="BC297" i="4"/>
  <c r="BD297" i="4"/>
  <c r="BE297" i="4"/>
  <c r="BF297" i="4"/>
  <c r="BG297" i="4"/>
  <c r="BH297" i="4"/>
  <c r="BI297" i="4"/>
  <c r="BJ297" i="4"/>
  <c r="BK297" i="4"/>
  <c r="BL297" i="4"/>
  <c r="BM297" i="4"/>
  <c r="BN297" i="4"/>
  <c r="BO297" i="4"/>
  <c r="BP297" i="4"/>
  <c r="BQ297" i="4"/>
  <c r="BR297" i="4"/>
  <c r="BS297" i="4"/>
  <c r="BT297" i="4"/>
  <c r="BU297" i="4"/>
  <c r="BV297" i="4"/>
  <c r="BW297" i="4"/>
  <c r="BX297" i="4"/>
  <c r="BY297" i="4"/>
  <c r="BZ297" i="4"/>
  <c r="CA297" i="4"/>
  <c r="CB297" i="4"/>
  <c r="CC297" i="4"/>
  <c r="CD297" i="4"/>
  <c r="CE297" i="4"/>
  <c r="CF297" i="4"/>
  <c r="CG297" i="4"/>
  <c r="CH297" i="4"/>
  <c r="CI297" i="4"/>
  <c r="CJ297" i="4"/>
  <c r="CK297" i="4"/>
  <c r="CL297" i="4"/>
  <c r="CM297" i="4"/>
  <c r="CN297" i="4"/>
  <c r="CO297" i="4"/>
  <c r="CP297" i="4"/>
  <c r="CQ297" i="4"/>
  <c r="CR297" i="4"/>
  <c r="CS297" i="4"/>
  <c r="CT297" i="4"/>
  <c r="CU297" i="4"/>
  <c r="CV297" i="4"/>
  <c r="CW297" i="4"/>
  <c r="CX297" i="4"/>
  <c r="D298" i="4"/>
  <c r="E298" i="4"/>
  <c r="F298" i="4"/>
  <c r="G298" i="4"/>
  <c r="H298" i="4"/>
  <c r="I298" i="4"/>
  <c r="J298" i="4"/>
  <c r="K298" i="4"/>
  <c r="L298" i="4"/>
  <c r="M298" i="4"/>
  <c r="N298" i="4"/>
  <c r="O298" i="4"/>
  <c r="P298" i="4"/>
  <c r="Q298" i="4"/>
  <c r="R298" i="4"/>
  <c r="S298" i="4"/>
  <c r="T298" i="4"/>
  <c r="U298" i="4"/>
  <c r="V298" i="4"/>
  <c r="W298" i="4"/>
  <c r="X298" i="4"/>
  <c r="Y298" i="4"/>
  <c r="Z298" i="4"/>
  <c r="AA298" i="4"/>
  <c r="AB298" i="4"/>
  <c r="AC298" i="4"/>
  <c r="AD298" i="4"/>
  <c r="AE298" i="4"/>
  <c r="AF298" i="4"/>
  <c r="AG298" i="4"/>
  <c r="AH298" i="4"/>
  <c r="AI298" i="4"/>
  <c r="AJ298" i="4"/>
  <c r="AK298" i="4"/>
  <c r="AL298" i="4"/>
  <c r="AM298" i="4"/>
  <c r="AN298" i="4"/>
  <c r="AO298" i="4"/>
  <c r="AP298" i="4"/>
  <c r="AQ298" i="4"/>
  <c r="AR298" i="4"/>
  <c r="AS298" i="4"/>
  <c r="AT298" i="4"/>
  <c r="AU298" i="4"/>
  <c r="AV298" i="4"/>
  <c r="AW298" i="4"/>
  <c r="AX298" i="4"/>
  <c r="AY298" i="4"/>
  <c r="AZ298" i="4"/>
  <c r="BA298" i="4"/>
  <c r="BB298" i="4"/>
  <c r="BC298" i="4"/>
  <c r="BD298" i="4"/>
  <c r="BE298" i="4"/>
  <c r="BF298" i="4"/>
  <c r="BG298" i="4"/>
  <c r="BH298" i="4"/>
  <c r="BI298" i="4"/>
  <c r="BJ298" i="4"/>
  <c r="BK298" i="4"/>
  <c r="BL298" i="4"/>
  <c r="BM298" i="4"/>
  <c r="BN298" i="4"/>
  <c r="BO298" i="4"/>
  <c r="BP298" i="4"/>
  <c r="BQ298" i="4"/>
  <c r="BR298" i="4"/>
  <c r="BS298" i="4"/>
  <c r="BT298" i="4"/>
  <c r="BU298" i="4"/>
  <c r="BV298" i="4"/>
  <c r="BW298" i="4"/>
  <c r="BX298" i="4"/>
  <c r="BY298" i="4"/>
  <c r="BZ298" i="4"/>
  <c r="CA298" i="4"/>
  <c r="CB298" i="4"/>
  <c r="CC298" i="4"/>
  <c r="CD298" i="4"/>
  <c r="CE298" i="4"/>
  <c r="CF298" i="4"/>
  <c r="CG298" i="4"/>
  <c r="CH298" i="4"/>
  <c r="CI298" i="4"/>
  <c r="CJ298" i="4"/>
  <c r="CK298" i="4"/>
  <c r="CL298" i="4"/>
  <c r="CM298" i="4"/>
  <c r="CN298" i="4"/>
  <c r="CO298" i="4"/>
  <c r="CP298" i="4"/>
  <c r="CQ298" i="4"/>
  <c r="CR298" i="4"/>
  <c r="CS298" i="4"/>
  <c r="CT298" i="4"/>
  <c r="CU298" i="4"/>
  <c r="CV298" i="4"/>
  <c r="CW298" i="4"/>
  <c r="CX298" i="4"/>
  <c r="D299" i="4"/>
  <c r="E299" i="4"/>
  <c r="F299" i="4"/>
  <c r="G299" i="4"/>
  <c r="H299" i="4"/>
  <c r="I299" i="4"/>
  <c r="J299" i="4"/>
  <c r="K299" i="4"/>
  <c r="L299" i="4"/>
  <c r="M299" i="4"/>
  <c r="N299" i="4"/>
  <c r="O299" i="4"/>
  <c r="P299" i="4"/>
  <c r="Q299" i="4"/>
  <c r="R299" i="4"/>
  <c r="S299" i="4"/>
  <c r="T299" i="4"/>
  <c r="U299" i="4"/>
  <c r="V299" i="4"/>
  <c r="W299" i="4"/>
  <c r="X299" i="4"/>
  <c r="Y299" i="4"/>
  <c r="Z299" i="4"/>
  <c r="AA299" i="4"/>
  <c r="AB299" i="4"/>
  <c r="AC299" i="4"/>
  <c r="AD299" i="4"/>
  <c r="AE299" i="4"/>
  <c r="AF299" i="4"/>
  <c r="AG299" i="4"/>
  <c r="AH299" i="4"/>
  <c r="AI299" i="4"/>
  <c r="AJ299" i="4"/>
  <c r="AK299" i="4"/>
  <c r="AL299" i="4"/>
  <c r="AM299" i="4"/>
  <c r="AN299" i="4"/>
  <c r="AO299" i="4"/>
  <c r="AP299" i="4"/>
  <c r="AQ299" i="4"/>
  <c r="AR299" i="4"/>
  <c r="AS299" i="4"/>
  <c r="AT299" i="4"/>
  <c r="AU299" i="4"/>
  <c r="AV299" i="4"/>
  <c r="AW299" i="4"/>
  <c r="AX299" i="4"/>
  <c r="AY299" i="4"/>
  <c r="AZ299" i="4"/>
  <c r="BA299" i="4"/>
  <c r="BB299" i="4"/>
  <c r="BC299" i="4"/>
  <c r="BD299" i="4"/>
  <c r="BE299" i="4"/>
  <c r="BF299" i="4"/>
  <c r="BG299" i="4"/>
  <c r="BH299" i="4"/>
  <c r="BI299" i="4"/>
  <c r="BJ299" i="4"/>
  <c r="BK299" i="4"/>
  <c r="BL299" i="4"/>
  <c r="BM299" i="4"/>
  <c r="BN299" i="4"/>
  <c r="BO299" i="4"/>
  <c r="BP299" i="4"/>
  <c r="BQ299" i="4"/>
  <c r="BR299" i="4"/>
  <c r="BS299" i="4"/>
  <c r="BT299" i="4"/>
  <c r="BU299" i="4"/>
  <c r="BV299" i="4"/>
  <c r="BW299" i="4"/>
  <c r="BX299" i="4"/>
  <c r="BY299" i="4"/>
  <c r="BZ299" i="4"/>
  <c r="CA299" i="4"/>
  <c r="CB299" i="4"/>
  <c r="CC299" i="4"/>
  <c r="CD299" i="4"/>
  <c r="CE299" i="4"/>
  <c r="CF299" i="4"/>
  <c r="CG299" i="4"/>
  <c r="CH299" i="4"/>
  <c r="CI299" i="4"/>
  <c r="CJ299" i="4"/>
  <c r="CK299" i="4"/>
  <c r="CL299" i="4"/>
  <c r="CM299" i="4"/>
  <c r="CN299" i="4"/>
  <c r="CO299" i="4"/>
  <c r="CP299" i="4"/>
  <c r="CQ299" i="4"/>
  <c r="CR299" i="4"/>
  <c r="CS299" i="4"/>
  <c r="CT299" i="4"/>
  <c r="CU299" i="4"/>
  <c r="CV299" i="4"/>
  <c r="CW299" i="4"/>
  <c r="CX299" i="4"/>
  <c r="D300" i="4"/>
  <c r="E300" i="4"/>
  <c r="F300" i="4"/>
  <c r="G300" i="4"/>
  <c r="H300" i="4"/>
  <c r="I300" i="4"/>
  <c r="J300" i="4"/>
  <c r="K300" i="4"/>
  <c r="L300" i="4"/>
  <c r="M300" i="4"/>
  <c r="N300" i="4"/>
  <c r="O300" i="4"/>
  <c r="P300" i="4"/>
  <c r="Q300" i="4"/>
  <c r="R300" i="4"/>
  <c r="S300" i="4"/>
  <c r="T300" i="4"/>
  <c r="U300" i="4"/>
  <c r="V300" i="4"/>
  <c r="W300" i="4"/>
  <c r="X300" i="4"/>
  <c r="Y300" i="4"/>
  <c r="Z300" i="4"/>
  <c r="AA300" i="4"/>
  <c r="AB300" i="4"/>
  <c r="AC300" i="4"/>
  <c r="AD300" i="4"/>
  <c r="AE300" i="4"/>
  <c r="AF300" i="4"/>
  <c r="AG300" i="4"/>
  <c r="AH300" i="4"/>
  <c r="AI300" i="4"/>
  <c r="AJ300" i="4"/>
  <c r="AK300" i="4"/>
  <c r="AL300" i="4"/>
  <c r="AM300" i="4"/>
  <c r="AN300" i="4"/>
  <c r="AO300" i="4"/>
  <c r="AP300" i="4"/>
  <c r="AQ300" i="4"/>
  <c r="AR300" i="4"/>
  <c r="AS300" i="4"/>
  <c r="AT300" i="4"/>
  <c r="AU300" i="4"/>
  <c r="AV300" i="4"/>
  <c r="AW300" i="4"/>
  <c r="AX300" i="4"/>
  <c r="AY300" i="4"/>
  <c r="AZ300" i="4"/>
  <c r="BA300" i="4"/>
  <c r="BB300" i="4"/>
  <c r="BC300" i="4"/>
  <c r="BD300" i="4"/>
  <c r="BE300" i="4"/>
  <c r="BF300" i="4"/>
  <c r="BG300" i="4"/>
  <c r="BH300" i="4"/>
  <c r="BI300" i="4"/>
  <c r="BJ300" i="4"/>
  <c r="BK300" i="4"/>
  <c r="BL300" i="4"/>
  <c r="BM300" i="4"/>
  <c r="BN300" i="4"/>
  <c r="BO300" i="4"/>
  <c r="BP300" i="4"/>
  <c r="BQ300" i="4"/>
  <c r="BR300" i="4"/>
  <c r="BS300" i="4"/>
  <c r="BT300" i="4"/>
  <c r="BU300" i="4"/>
  <c r="BV300" i="4"/>
  <c r="BW300" i="4"/>
  <c r="BX300" i="4"/>
  <c r="BY300" i="4"/>
  <c r="BZ300" i="4"/>
  <c r="CA300" i="4"/>
  <c r="CB300" i="4"/>
  <c r="CC300" i="4"/>
  <c r="CD300" i="4"/>
  <c r="CE300" i="4"/>
  <c r="CF300" i="4"/>
  <c r="CG300" i="4"/>
  <c r="CH300" i="4"/>
  <c r="CI300" i="4"/>
  <c r="CJ300" i="4"/>
  <c r="CK300" i="4"/>
  <c r="CL300" i="4"/>
  <c r="CM300" i="4"/>
  <c r="CN300" i="4"/>
  <c r="CO300" i="4"/>
  <c r="CP300" i="4"/>
  <c r="CQ300" i="4"/>
  <c r="CR300" i="4"/>
  <c r="CS300" i="4"/>
  <c r="CT300" i="4"/>
  <c r="CU300" i="4"/>
  <c r="CV300" i="4"/>
  <c r="CW300" i="4"/>
  <c r="CX300" i="4"/>
  <c r="D301" i="4"/>
  <c r="E301" i="4"/>
  <c r="F301" i="4"/>
  <c r="G301" i="4"/>
  <c r="H301" i="4"/>
  <c r="I301" i="4"/>
  <c r="J301" i="4"/>
  <c r="K301" i="4"/>
  <c r="L301" i="4"/>
  <c r="M301" i="4"/>
  <c r="N301" i="4"/>
  <c r="O301" i="4"/>
  <c r="P301" i="4"/>
  <c r="Q301" i="4"/>
  <c r="R301" i="4"/>
  <c r="S301" i="4"/>
  <c r="T301" i="4"/>
  <c r="U301" i="4"/>
  <c r="V301" i="4"/>
  <c r="W301" i="4"/>
  <c r="X301" i="4"/>
  <c r="Y301" i="4"/>
  <c r="Z301" i="4"/>
  <c r="AA301" i="4"/>
  <c r="AB301" i="4"/>
  <c r="AC301" i="4"/>
  <c r="AD301" i="4"/>
  <c r="AE301" i="4"/>
  <c r="AF301" i="4"/>
  <c r="AG301" i="4"/>
  <c r="AH301" i="4"/>
  <c r="AI301" i="4"/>
  <c r="AJ301" i="4"/>
  <c r="AK301" i="4"/>
  <c r="AL301" i="4"/>
  <c r="AM301" i="4"/>
  <c r="AN301" i="4"/>
  <c r="AO301" i="4"/>
  <c r="AP301" i="4"/>
  <c r="AQ301" i="4"/>
  <c r="AR301" i="4"/>
  <c r="AS301" i="4"/>
  <c r="AT301" i="4"/>
  <c r="AU301" i="4"/>
  <c r="AV301" i="4"/>
  <c r="AW301" i="4"/>
  <c r="AX301" i="4"/>
  <c r="AY301" i="4"/>
  <c r="AZ301" i="4"/>
  <c r="BA301" i="4"/>
  <c r="BB301" i="4"/>
  <c r="BC301" i="4"/>
  <c r="BD301" i="4"/>
  <c r="BE301" i="4"/>
  <c r="BF301" i="4"/>
  <c r="BG301" i="4"/>
  <c r="BH301" i="4"/>
  <c r="BI301" i="4"/>
  <c r="BJ301" i="4"/>
  <c r="BK301" i="4"/>
  <c r="BL301" i="4"/>
  <c r="BM301" i="4"/>
  <c r="BN301" i="4"/>
  <c r="BO301" i="4"/>
  <c r="BP301" i="4"/>
  <c r="BQ301" i="4"/>
  <c r="BR301" i="4"/>
  <c r="BS301" i="4"/>
  <c r="BT301" i="4"/>
  <c r="BU301" i="4"/>
  <c r="BV301" i="4"/>
  <c r="BW301" i="4"/>
  <c r="BX301" i="4"/>
  <c r="BY301" i="4"/>
  <c r="BZ301" i="4"/>
  <c r="CA301" i="4"/>
  <c r="CB301" i="4"/>
  <c r="CC301" i="4"/>
  <c r="CD301" i="4"/>
  <c r="CE301" i="4"/>
  <c r="CF301" i="4"/>
  <c r="CG301" i="4"/>
  <c r="CH301" i="4"/>
  <c r="CI301" i="4"/>
  <c r="CJ301" i="4"/>
  <c r="CK301" i="4"/>
  <c r="CL301" i="4"/>
  <c r="CM301" i="4"/>
  <c r="CN301" i="4"/>
  <c r="CO301" i="4"/>
  <c r="CP301" i="4"/>
  <c r="CQ301" i="4"/>
  <c r="CR301" i="4"/>
  <c r="CS301" i="4"/>
  <c r="CT301" i="4"/>
  <c r="CU301" i="4"/>
  <c r="CV301" i="4"/>
  <c r="CW301" i="4"/>
  <c r="CX301" i="4"/>
  <c r="D302" i="4"/>
  <c r="E302" i="4"/>
  <c r="F302" i="4"/>
  <c r="G302" i="4"/>
  <c r="H302" i="4"/>
  <c r="I302" i="4"/>
  <c r="J302" i="4"/>
  <c r="K302" i="4"/>
  <c r="L302" i="4"/>
  <c r="M302" i="4"/>
  <c r="N302" i="4"/>
  <c r="O302" i="4"/>
  <c r="P302" i="4"/>
  <c r="Q302" i="4"/>
  <c r="R302" i="4"/>
  <c r="S302" i="4"/>
  <c r="T302" i="4"/>
  <c r="U302" i="4"/>
  <c r="V302" i="4"/>
  <c r="W302" i="4"/>
  <c r="X302" i="4"/>
  <c r="Y302" i="4"/>
  <c r="Z302" i="4"/>
  <c r="AA302" i="4"/>
  <c r="AB302" i="4"/>
  <c r="AC302" i="4"/>
  <c r="AD302" i="4"/>
  <c r="AE302" i="4"/>
  <c r="AF302" i="4"/>
  <c r="AG302" i="4"/>
  <c r="AH302" i="4"/>
  <c r="AI302" i="4"/>
  <c r="AJ302" i="4"/>
  <c r="AK302" i="4"/>
  <c r="AL302" i="4"/>
  <c r="AM302" i="4"/>
  <c r="AN302" i="4"/>
  <c r="AO302" i="4"/>
  <c r="AP302" i="4"/>
  <c r="AQ302" i="4"/>
  <c r="AR302" i="4"/>
  <c r="AS302" i="4"/>
  <c r="AT302" i="4"/>
  <c r="AU302" i="4"/>
  <c r="AV302" i="4"/>
  <c r="AW302" i="4"/>
  <c r="AX302" i="4"/>
  <c r="AY302" i="4"/>
  <c r="AZ302" i="4"/>
  <c r="BA302" i="4"/>
  <c r="BB302" i="4"/>
  <c r="BC302" i="4"/>
  <c r="BD302" i="4"/>
  <c r="BE302" i="4"/>
  <c r="BF302" i="4"/>
  <c r="BG302" i="4"/>
  <c r="BH302" i="4"/>
  <c r="BI302" i="4"/>
  <c r="BJ302" i="4"/>
  <c r="BK302" i="4"/>
  <c r="BL302" i="4"/>
  <c r="BM302" i="4"/>
  <c r="BN302" i="4"/>
  <c r="BO302" i="4"/>
  <c r="BP302" i="4"/>
  <c r="BQ302" i="4"/>
  <c r="BR302" i="4"/>
  <c r="BS302" i="4"/>
  <c r="BT302" i="4"/>
  <c r="BU302" i="4"/>
  <c r="BV302" i="4"/>
  <c r="BW302" i="4"/>
  <c r="BX302" i="4"/>
  <c r="BY302" i="4"/>
  <c r="BZ302" i="4"/>
  <c r="CA302" i="4"/>
  <c r="CB302" i="4"/>
  <c r="CC302" i="4"/>
  <c r="CD302" i="4"/>
  <c r="CE302" i="4"/>
  <c r="CF302" i="4"/>
  <c r="CG302" i="4"/>
  <c r="CH302" i="4"/>
  <c r="CI302" i="4"/>
  <c r="CJ302" i="4"/>
  <c r="CK302" i="4"/>
  <c r="CL302" i="4"/>
  <c r="CM302" i="4"/>
  <c r="CN302" i="4"/>
  <c r="CO302" i="4"/>
  <c r="CP302" i="4"/>
  <c r="CQ302" i="4"/>
  <c r="CR302" i="4"/>
  <c r="CS302" i="4"/>
  <c r="CT302" i="4"/>
  <c r="CU302" i="4"/>
  <c r="CV302" i="4"/>
  <c r="CW302" i="4"/>
  <c r="CX302" i="4"/>
  <c r="D303" i="4"/>
  <c r="E303" i="4"/>
  <c r="F303" i="4"/>
  <c r="G303" i="4"/>
  <c r="H303" i="4"/>
  <c r="I303" i="4"/>
  <c r="J303" i="4"/>
  <c r="K303" i="4"/>
  <c r="L303" i="4"/>
  <c r="M303" i="4"/>
  <c r="N303" i="4"/>
  <c r="O303" i="4"/>
  <c r="P303" i="4"/>
  <c r="Q303" i="4"/>
  <c r="R303" i="4"/>
  <c r="S303" i="4"/>
  <c r="T303" i="4"/>
  <c r="U303" i="4"/>
  <c r="V303" i="4"/>
  <c r="W303" i="4"/>
  <c r="X303" i="4"/>
  <c r="Y303" i="4"/>
  <c r="Z303" i="4"/>
  <c r="AA303" i="4"/>
  <c r="AB303" i="4"/>
  <c r="AC303" i="4"/>
  <c r="AD303" i="4"/>
  <c r="AE303" i="4"/>
  <c r="AF303" i="4"/>
  <c r="AG303" i="4"/>
  <c r="AH303" i="4"/>
  <c r="AI303" i="4"/>
  <c r="AJ303" i="4"/>
  <c r="AK303" i="4"/>
  <c r="AL303" i="4"/>
  <c r="AM303" i="4"/>
  <c r="AN303" i="4"/>
  <c r="AO303" i="4"/>
  <c r="AP303" i="4"/>
  <c r="AQ303" i="4"/>
  <c r="AR303" i="4"/>
  <c r="AS303" i="4"/>
  <c r="AT303" i="4"/>
  <c r="AU303" i="4"/>
  <c r="AV303" i="4"/>
  <c r="AW303" i="4"/>
  <c r="AX303" i="4"/>
  <c r="AY303" i="4"/>
  <c r="AZ303" i="4"/>
  <c r="BA303" i="4"/>
  <c r="BB303" i="4"/>
  <c r="BC303" i="4"/>
  <c r="BD303" i="4"/>
  <c r="BE303" i="4"/>
  <c r="BF303" i="4"/>
  <c r="BG303" i="4"/>
  <c r="BH303" i="4"/>
  <c r="BI303" i="4"/>
  <c r="BJ303" i="4"/>
  <c r="BK303" i="4"/>
  <c r="BL303" i="4"/>
  <c r="BM303" i="4"/>
  <c r="BN303" i="4"/>
  <c r="BO303" i="4"/>
  <c r="BP303" i="4"/>
  <c r="BQ303" i="4"/>
  <c r="BR303" i="4"/>
  <c r="BS303" i="4"/>
  <c r="BT303" i="4"/>
  <c r="BU303" i="4"/>
  <c r="BV303" i="4"/>
  <c r="BW303" i="4"/>
  <c r="BX303" i="4"/>
  <c r="BY303" i="4"/>
  <c r="BZ303" i="4"/>
  <c r="CA303" i="4"/>
  <c r="CB303" i="4"/>
  <c r="CC303" i="4"/>
  <c r="CD303" i="4"/>
  <c r="CE303" i="4"/>
  <c r="CF303" i="4"/>
  <c r="CG303" i="4"/>
  <c r="CH303" i="4"/>
  <c r="CI303" i="4"/>
  <c r="CJ303" i="4"/>
  <c r="CK303" i="4"/>
  <c r="CL303" i="4"/>
  <c r="CM303" i="4"/>
  <c r="CN303" i="4"/>
  <c r="CO303" i="4"/>
  <c r="CP303" i="4"/>
  <c r="CQ303" i="4"/>
  <c r="CR303" i="4"/>
  <c r="CS303" i="4"/>
  <c r="CT303" i="4"/>
  <c r="CU303" i="4"/>
  <c r="CV303" i="4"/>
  <c r="CW303" i="4"/>
  <c r="CX303" i="4"/>
  <c r="D304" i="4"/>
  <c r="E304" i="4"/>
  <c r="F304" i="4"/>
  <c r="G304" i="4"/>
  <c r="H304" i="4"/>
  <c r="I304" i="4"/>
  <c r="J304" i="4"/>
  <c r="K304" i="4"/>
  <c r="L304" i="4"/>
  <c r="M304" i="4"/>
  <c r="N304" i="4"/>
  <c r="O304" i="4"/>
  <c r="P304" i="4"/>
  <c r="Q304" i="4"/>
  <c r="R304" i="4"/>
  <c r="S304" i="4"/>
  <c r="T304" i="4"/>
  <c r="U304" i="4"/>
  <c r="V304" i="4"/>
  <c r="W304" i="4"/>
  <c r="X304" i="4"/>
  <c r="Y304" i="4"/>
  <c r="Z304" i="4"/>
  <c r="AA304" i="4"/>
  <c r="AB304" i="4"/>
  <c r="AC304" i="4"/>
  <c r="AD304" i="4"/>
  <c r="AE304" i="4"/>
  <c r="AF304" i="4"/>
  <c r="AG304" i="4"/>
  <c r="AH304" i="4"/>
  <c r="AI304" i="4"/>
  <c r="AJ304" i="4"/>
  <c r="AK304" i="4"/>
  <c r="AL304" i="4"/>
  <c r="AM304" i="4"/>
  <c r="AN304" i="4"/>
  <c r="AO304" i="4"/>
  <c r="AP304" i="4"/>
  <c r="AQ304" i="4"/>
  <c r="AR304" i="4"/>
  <c r="AS304" i="4"/>
  <c r="AT304" i="4"/>
  <c r="AU304" i="4"/>
  <c r="AV304" i="4"/>
  <c r="AW304" i="4"/>
  <c r="AX304" i="4"/>
  <c r="AY304" i="4"/>
  <c r="AZ304" i="4"/>
  <c r="BA304" i="4"/>
  <c r="BB304" i="4"/>
  <c r="BC304" i="4"/>
  <c r="BD304" i="4"/>
  <c r="BE304" i="4"/>
  <c r="BF304" i="4"/>
  <c r="BG304" i="4"/>
  <c r="BH304" i="4"/>
  <c r="BI304" i="4"/>
  <c r="BJ304" i="4"/>
  <c r="BK304" i="4"/>
  <c r="BL304" i="4"/>
  <c r="BM304" i="4"/>
  <c r="BN304" i="4"/>
  <c r="BO304" i="4"/>
  <c r="BP304" i="4"/>
  <c r="BQ304" i="4"/>
  <c r="BR304" i="4"/>
  <c r="BS304" i="4"/>
  <c r="BT304" i="4"/>
  <c r="BU304" i="4"/>
  <c r="BV304" i="4"/>
  <c r="BW304" i="4"/>
  <c r="BX304" i="4"/>
  <c r="BY304" i="4"/>
  <c r="BZ304" i="4"/>
  <c r="CA304" i="4"/>
  <c r="CB304" i="4"/>
  <c r="CC304" i="4"/>
  <c r="CD304" i="4"/>
  <c r="CE304" i="4"/>
  <c r="CF304" i="4"/>
  <c r="CG304" i="4"/>
  <c r="CH304" i="4"/>
  <c r="CI304" i="4"/>
  <c r="CJ304" i="4"/>
  <c r="CK304" i="4"/>
  <c r="CL304" i="4"/>
  <c r="CM304" i="4"/>
  <c r="CN304" i="4"/>
  <c r="CO304" i="4"/>
  <c r="CP304" i="4"/>
  <c r="CQ304" i="4"/>
  <c r="CR304" i="4"/>
  <c r="CS304" i="4"/>
  <c r="CT304" i="4"/>
  <c r="CU304" i="4"/>
  <c r="CV304" i="4"/>
  <c r="CW304" i="4"/>
  <c r="CX304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205" i="4"/>
  <c r="D104" i="4"/>
  <c r="E104" i="4"/>
  <c r="F104" i="4"/>
  <c r="G104" i="4"/>
  <c r="H104" i="4"/>
  <c r="I104" i="4"/>
  <c r="J104" i="4"/>
  <c r="K104" i="4"/>
  <c r="L104" i="4"/>
  <c r="M104" i="4"/>
  <c r="N104" i="4"/>
  <c r="O104" i="4"/>
  <c r="P104" i="4"/>
  <c r="Q104" i="4"/>
  <c r="R104" i="4"/>
  <c r="S104" i="4"/>
  <c r="T104" i="4"/>
  <c r="U104" i="4"/>
  <c r="V104" i="4"/>
  <c r="W104" i="4"/>
  <c r="X104" i="4"/>
  <c r="Y104" i="4"/>
  <c r="Z104" i="4"/>
  <c r="AA104" i="4"/>
  <c r="AB104" i="4"/>
  <c r="AC104" i="4"/>
  <c r="AD104" i="4"/>
  <c r="AE104" i="4"/>
  <c r="AF104" i="4"/>
  <c r="AG104" i="4"/>
  <c r="AH104" i="4"/>
  <c r="AI104" i="4"/>
  <c r="AJ104" i="4"/>
  <c r="AK104" i="4"/>
  <c r="AL104" i="4"/>
  <c r="AM104" i="4"/>
  <c r="AN104" i="4"/>
  <c r="AO104" i="4"/>
  <c r="AP104" i="4"/>
  <c r="AQ104" i="4"/>
  <c r="AR104" i="4"/>
  <c r="AS104" i="4"/>
  <c r="AT104" i="4"/>
  <c r="AU104" i="4"/>
  <c r="AV104" i="4"/>
  <c r="AW104" i="4"/>
  <c r="AX104" i="4"/>
  <c r="AY104" i="4"/>
  <c r="AZ104" i="4"/>
  <c r="BA104" i="4"/>
  <c r="BB104" i="4"/>
  <c r="BC104" i="4"/>
  <c r="BD104" i="4"/>
  <c r="BE104" i="4"/>
  <c r="BF104" i="4"/>
  <c r="BG104" i="4"/>
  <c r="BH104" i="4"/>
  <c r="BI104" i="4"/>
  <c r="BJ104" i="4"/>
  <c r="BK104" i="4"/>
  <c r="BL104" i="4"/>
  <c r="BM104" i="4"/>
  <c r="BN104" i="4"/>
  <c r="BO104" i="4"/>
  <c r="BP104" i="4"/>
  <c r="BQ104" i="4"/>
  <c r="BR104" i="4"/>
  <c r="BS104" i="4"/>
  <c r="BT104" i="4"/>
  <c r="BU104" i="4"/>
  <c r="BV104" i="4"/>
  <c r="BW104" i="4"/>
  <c r="BX104" i="4"/>
  <c r="BY104" i="4"/>
  <c r="BZ104" i="4"/>
  <c r="CA104" i="4"/>
  <c r="CB104" i="4"/>
  <c r="CC104" i="4"/>
  <c r="CD104" i="4"/>
  <c r="CE104" i="4"/>
  <c r="CF104" i="4"/>
  <c r="CG104" i="4"/>
  <c r="CH104" i="4"/>
  <c r="CI104" i="4"/>
  <c r="CJ104" i="4"/>
  <c r="CK104" i="4"/>
  <c r="CL104" i="4"/>
  <c r="CM104" i="4"/>
  <c r="CN104" i="4"/>
  <c r="CO104" i="4"/>
  <c r="CP104" i="4"/>
  <c r="CQ104" i="4"/>
  <c r="CR104" i="4"/>
  <c r="CS104" i="4"/>
  <c r="CT104" i="4"/>
  <c r="CU104" i="4"/>
  <c r="CV104" i="4"/>
  <c r="CW104" i="4"/>
  <c r="CX104" i="4"/>
  <c r="D105" i="4"/>
  <c r="E105" i="4"/>
  <c r="F105" i="4"/>
  <c r="G105" i="4"/>
  <c r="H105" i="4"/>
  <c r="I105" i="4"/>
  <c r="J105" i="4"/>
  <c r="K105" i="4"/>
  <c r="L105" i="4"/>
  <c r="M105" i="4"/>
  <c r="N105" i="4"/>
  <c r="O105" i="4"/>
  <c r="P105" i="4"/>
  <c r="Q105" i="4"/>
  <c r="R105" i="4"/>
  <c r="S105" i="4"/>
  <c r="T105" i="4"/>
  <c r="U105" i="4"/>
  <c r="V105" i="4"/>
  <c r="W105" i="4"/>
  <c r="X105" i="4"/>
  <c r="Y105" i="4"/>
  <c r="Z105" i="4"/>
  <c r="AA105" i="4"/>
  <c r="AB105" i="4"/>
  <c r="AC105" i="4"/>
  <c r="AD105" i="4"/>
  <c r="AE105" i="4"/>
  <c r="AF105" i="4"/>
  <c r="AG105" i="4"/>
  <c r="AH105" i="4"/>
  <c r="AI105" i="4"/>
  <c r="AJ105" i="4"/>
  <c r="AK105" i="4"/>
  <c r="AL105" i="4"/>
  <c r="AM105" i="4"/>
  <c r="AN105" i="4"/>
  <c r="AO105" i="4"/>
  <c r="AP105" i="4"/>
  <c r="AQ105" i="4"/>
  <c r="AR105" i="4"/>
  <c r="AS105" i="4"/>
  <c r="AT105" i="4"/>
  <c r="AU105" i="4"/>
  <c r="AV105" i="4"/>
  <c r="AW105" i="4"/>
  <c r="AX105" i="4"/>
  <c r="AY105" i="4"/>
  <c r="AZ105" i="4"/>
  <c r="BA105" i="4"/>
  <c r="BB105" i="4"/>
  <c r="BC105" i="4"/>
  <c r="BD105" i="4"/>
  <c r="BE105" i="4"/>
  <c r="BF105" i="4"/>
  <c r="BG105" i="4"/>
  <c r="BH105" i="4"/>
  <c r="BI105" i="4"/>
  <c r="BJ105" i="4"/>
  <c r="BK105" i="4"/>
  <c r="BL105" i="4"/>
  <c r="BM105" i="4"/>
  <c r="BN105" i="4"/>
  <c r="BO105" i="4"/>
  <c r="BP105" i="4"/>
  <c r="BQ105" i="4"/>
  <c r="BR105" i="4"/>
  <c r="BS105" i="4"/>
  <c r="BT105" i="4"/>
  <c r="BU105" i="4"/>
  <c r="BV105" i="4"/>
  <c r="BW105" i="4"/>
  <c r="BX105" i="4"/>
  <c r="BY105" i="4"/>
  <c r="BZ105" i="4"/>
  <c r="CA105" i="4"/>
  <c r="CB105" i="4"/>
  <c r="CC105" i="4"/>
  <c r="CD105" i="4"/>
  <c r="CE105" i="4"/>
  <c r="CF105" i="4"/>
  <c r="CG105" i="4"/>
  <c r="CH105" i="4"/>
  <c r="CI105" i="4"/>
  <c r="CJ105" i="4"/>
  <c r="CK105" i="4"/>
  <c r="CL105" i="4"/>
  <c r="CM105" i="4"/>
  <c r="CN105" i="4"/>
  <c r="CO105" i="4"/>
  <c r="CP105" i="4"/>
  <c r="CQ105" i="4"/>
  <c r="CR105" i="4"/>
  <c r="CS105" i="4"/>
  <c r="CT105" i="4"/>
  <c r="CU105" i="4"/>
  <c r="CV105" i="4"/>
  <c r="CW105" i="4"/>
  <c r="CX105" i="4"/>
  <c r="D106" i="4"/>
  <c r="E106" i="4"/>
  <c r="F106" i="4"/>
  <c r="G106" i="4"/>
  <c r="H106" i="4"/>
  <c r="I106" i="4"/>
  <c r="J106" i="4"/>
  <c r="K106" i="4"/>
  <c r="L106" i="4"/>
  <c r="M106" i="4"/>
  <c r="N106" i="4"/>
  <c r="O106" i="4"/>
  <c r="P106" i="4"/>
  <c r="Q106" i="4"/>
  <c r="R106" i="4"/>
  <c r="S106" i="4"/>
  <c r="T106" i="4"/>
  <c r="U106" i="4"/>
  <c r="V106" i="4"/>
  <c r="W106" i="4"/>
  <c r="X106" i="4"/>
  <c r="Y106" i="4"/>
  <c r="Z106" i="4"/>
  <c r="AA106" i="4"/>
  <c r="AB106" i="4"/>
  <c r="AC106" i="4"/>
  <c r="AD106" i="4"/>
  <c r="AE106" i="4"/>
  <c r="AF106" i="4"/>
  <c r="AG106" i="4"/>
  <c r="AH106" i="4"/>
  <c r="AI106" i="4"/>
  <c r="AJ106" i="4"/>
  <c r="AK106" i="4"/>
  <c r="AL106" i="4"/>
  <c r="AM106" i="4"/>
  <c r="AN106" i="4"/>
  <c r="AO106" i="4"/>
  <c r="AP106" i="4"/>
  <c r="AQ106" i="4"/>
  <c r="AR106" i="4"/>
  <c r="AS106" i="4"/>
  <c r="AT106" i="4"/>
  <c r="AU106" i="4"/>
  <c r="AV106" i="4"/>
  <c r="AW106" i="4"/>
  <c r="AX106" i="4"/>
  <c r="AY106" i="4"/>
  <c r="AZ106" i="4"/>
  <c r="BA106" i="4"/>
  <c r="BB106" i="4"/>
  <c r="BC106" i="4"/>
  <c r="BD106" i="4"/>
  <c r="BE106" i="4"/>
  <c r="BF106" i="4"/>
  <c r="BG106" i="4"/>
  <c r="BH106" i="4"/>
  <c r="BI106" i="4"/>
  <c r="BJ106" i="4"/>
  <c r="BK106" i="4"/>
  <c r="BL106" i="4"/>
  <c r="BM106" i="4"/>
  <c r="BN106" i="4"/>
  <c r="BO106" i="4"/>
  <c r="BP106" i="4"/>
  <c r="BQ106" i="4"/>
  <c r="BR106" i="4"/>
  <c r="BS106" i="4"/>
  <c r="BT106" i="4"/>
  <c r="BU106" i="4"/>
  <c r="BV106" i="4"/>
  <c r="BW106" i="4"/>
  <c r="BX106" i="4"/>
  <c r="BY106" i="4"/>
  <c r="BZ106" i="4"/>
  <c r="CA106" i="4"/>
  <c r="CB106" i="4"/>
  <c r="CC106" i="4"/>
  <c r="CD106" i="4"/>
  <c r="CE106" i="4"/>
  <c r="CF106" i="4"/>
  <c r="CG106" i="4"/>
  <c r="CH106" i="4"/>
  <c r="CI106" i="4"/>
  <c r="CJ106" i="4"/>
  <c r="CK106" i="4"/>
  <c r="CL106" i="4"/>
  <c r="CM106" i="4"/>
  <c r="CN106" i="4"/>
  <c r="CO106" i="4"/>
  <c r="CP106" i="4"/>
  <c r="CQ106" i="4"/>
  <c r="CR106" i="4"/>
  <c r="CS106" i="4"/>
  <c r="CT106" i="4"/>
  <c r="CU106" i="4"/>
  <c r="CV106" i="4"/>
  <c r="CW106" i="4"/>
  <c r="CX106" i="4"/>
  <c r="D107" i="4"/>
  <c r="E107" i="4"/>
  <c r="F107" i="4"/>
  <c r="G107" i="4"/>
  <c r="H107" i="4"/>
  <c r="I107" i="4"/>
  <c r="J107" i="4"/>
  <c r="K107" i="4"/>
  <c r="L107" i="4"/>
  <c r="M107" i="4"/>
  <c r="N107" i="4"/>
  <c r="O107" i="4"/>
  <c r="P107" i="4"/>
  <c r="Q107" i="4"/>
  <c r="R107" i="4"/>
  <c r="S107" i="4"/>
  <c r="T107" i="4"/>
  <c r="U107" i="4"/>
  <c r="V107" i="4"/>
  <c r="W107" i="4"/>
  <c r="X107" i="4"/>
  <c r="Y107" i="4"/>
  <c r="Z107" i="4"/>
  <c r="AA107" i="4"/>
  <c r="AB107" i="4"/>
  <c r="AC107" i="4"/>
  <c r="AD107" i="4"/>
  <c r="AE107" i="4"/>
  <c r="AF107" i="4"/>
  <c r="AG107" i="4"/>
  <c r="AH107" i="4"/>
  <c r="AI107" i="4"/>
  <c r="AJ107" i="4"/>
  <c r="AK107" i="4"/>
  <c r="AL107" i="4"/>
  <c r="AM107" i="4"/>
  <c r="AN107" i="4"/>
  <c r="AO107" i="4"/>
  <c r="AP107" i="4"/>
  <c r="AQ107" i="4"/>
  <c r="AR107" i="4"/>
  <c r="AS107" i="4"/>
  <c r="AT107" i="4"/>
  <c r="AU107" i="4"/>
  <c r="AV107" i="4"/>
  <c r="AW107" i="4"/>
  <c r="AX107" i="4"/>
  <c r="AY107" i="4"/>
  <c r="AZ107" i="4"/>
  <c r="BA107" i="4"/>
  <c r="BB107" i="4"/>
  <c r="BC107" i="4"/>
  <c r="BD107" i="4"/>
  <c r="BE107" i="4"/>
  <c r="BF107" i="4"/>
  <c r="BG107" i="4"/>
  <c r="BH107" i="4"/>
  <c r="BI107" i="4"/>
  <c r="BJ107" i="4"/>
  <c r="BK107" i="4"/>
  <c r="BL107" i="4"/>
  <c r="BM107" i="4"/>
  <c r="BN107" i="4"/>
  <c r="BO107" i="4"/>
  <c r="BP107" i="4"/>
  <c r="BQ107" i="4"/>
  <c r="BR107" i="4"/>
  <c r="BS107" i="4"/>
  <c r="BT107" i="4"/>
  <c r="BU107" i="4"/>
  <c r="BV107" i="4"/>
  <c r="BW107" i="4"/>
  <c r="BX107" i="4"/>
  <c r="BY107" i="4"/>
  <c r="BZ107" i="4"/>
  <c r="CA107" i="4"/>
  <c r="CB107" i="4"/>
  <c r="CC107" i="4"/>
  <c r="CD107" i="4"/>
  <c r="CE107" i="4"/>
  <c r="CF107" i="4"/>
  <c r="CG107" i="4"/>
  <c r="CH107" i="4"/>
  <c r="CI107" i="4"/>
  <c r="CJ107" i="4"/>
  <c r="CK107" i="4"/>
  <c r="CL107" i="4"/>
  <c r="CM107" i="4"/>
  <c r="CN107" i="4"/>
  <c r="CO107" i="4"/>
  <c r="CP107" i="4"/>
  <c r="CQ107" i="4"/>
  <c r="CR107" i="4"/>
  <c r="CS107" i="4"/>
  <c r="CT107" i="4"/>
  <c r="CU107" i="4"/>
  <c r="CV107" i="4"/>
  <c r="CW107" i="4"/>
  <c r="CX107" i="4"/>
  <c r="D108" i="4"/>
  <c r="E108" i="4"/>
  <c r="F108" i="4"/>
  <c r="G108" i="4"/>
  <c r="H108" i="4"/>
  <c r="I108" i="4"/>
  <c r="J108" i="4"/>
  <c r="K108" i="4"/>
  <c r="L108" i="4"/>
  <c r="M108" i="4"/>
  <c r="N108" i="4"/>
  <c r="O108" i="4"/>
  <c r="P108" i="4"/>
  <c r="Q108" i="4"/>
  <c r="R108" i="4"/>
  <c r="S108" i="4"/>
  <c r="T108" i="4"/>
  <c r="U108" i="4"/>
  <c r="V108" i="4"/>
  <c r="W108" i="4"/>
  <c r="X108" i="4"/>
  <c r="Y108" i="4"/>
  <c r="Z108" i="4"/>
  <c r="AA108" i="4"/>
  <c r="AB108" i="4"/>
  <c r="AC108" i="4"/>
  <c r="AD108" i="4"/>
  <c r="AE108" i="4"/>
  <c r="AF108" i="4"/>
  <c r="AG108" i="4"/>
  <c r="AH108" i="4"/>
  <c r="AI108" i="4"/>
  <c r="AJ108" i="4"/>
  <c r="AK108" i="4"/>
  <c r="AL108" i="4"/>
  <c r="AM108" i="4"/>
  <c r="AN108" i="4"/>
  <c r="AO108" i="4"/>
  <c r="AP108" i="4"/>
  <c r="AQ108" i="4"/>
  <c r="AR108" i="4"/>
  <c r="AS108" i="4"/>
  <c r="AT108" i="4"/>
  <c r="AU108" i="4"/>
  <c r="AV108" i="4"/>
  <c r="AW108" i="4"/>
  <c r="AX108" i="4"/>
  <c r="AY108" i="4"/>
  <c r="AZ108" i="4"/>
  <c r="BA108" i="4"/>
  <c r="BB108" i="4"/>
  <c r="BC108" i="4"/>
  <c r="BD108" i="4"/>
  <c r="BE108" i="4"/>
  <c r="BF108" i="4"/>
  <c r="BG108" i="4"/>
  <c r="BH108" i="4"/>
  <c r="BI108" i="4"/>
  <c r="BJ108" i="4"/>
  <c r="BK108" i="4"/>
  <c r="BL108" i="4"/>
  <c r="BM108" i="4"/>
  <c r="BN108" i="4"/>
  <c r="BO108" i="4"/>
  <c r="BP108" i="4"/>
  <c r="BQ108" i="4"/>
  <c r="BR108" i="4"/>
  <c r="BS108" i="4"/>
  <c r="BT108" i="4"/>
  <c r="BU108" i="4"/>
  <c r="BV108" i="4"/>
  <c r="BW108" i="4"/>
  <c r="BX108" i="4"/>
  <c r="BY108" i="4"/>
  <c r="BZ108" i="4"/>
  <c r="CA108" i="4"/>
  <c r="CB108" i="4"/>
  <c r="CC108" i="4"/>
  <c r="CD108" i="4"/>
  <c r="CE108" i="4"/>
  <c r="CF108" i="4"/>
  <c r="CG108" i="4"/>
  <c r="CH108" i="4"/>
  <c r="CI108" i="4"/>
  <c r="CJ108" i="4"/>
  <c r="CK108" i="4"/>
  <c r="CL108" i="4"/>
  <c r="CM108" i="4"/>
  <c r="CN108" i="4"/>
  <c r="CO108" i="4"/>
  <c r="CP108" i="4"/>
  <c r="CQ108" i="4"/>
  <c r="CR108" i="4"/>
  <c r="CS108" i="4"/>
  <c r="CT108" i="4"/>
  <c r="CU108" i="4"/>
  <c r="CV108" i="4"/>
  <c r="CW108" i="4"/>
  <c r="CX108" i="4"/>
  <c r="D109" i="4"/>
  <c r="E109" i="4"/>
  <c r="F109" i="4"/>
  <c r="G109" i="4"/>
  <c r="H109" i="4"/>
  <c r="I109" i="4"/>
  <c r="J109" i="4"/>
  <c r="K109" i="4"/>
  <c r="L109" i="4"/>
  <c r="M109" i="4"/>
  <c r="N109" i="4"/>
  <c r="O109" i="4"/>
  <c r="P109" i="4"/>
  <c r="Q109" i="4"/>
  <c r="R109" i="4"/>
  <c r="S109" i="4"/>
  <c r="T109" i="4"/>
  <c r="U109" i="4"/>
  <c r="V109" i="4"/>
  <c r="W109" i="4"/>
  <c r="X109" i="4"/>
  <c r="Y109" i="4"/>
  <c r="Z109" i="4"/>
  <c r="AA109" i="4"/>
  <c r="AB109" i="4"/>
  <c r="AC109" i="4"/>
  <c r="AD109" i="4"/>
  <c r="AE109" i="4"/>
  <c r="AF109" i="4"/>
  <c r="AG109" i="4"/>
  <c r="AH109" i="4"/>
  <c r="AI109" i="4"/>
  <c r="AJ109" i="4"/>
  <c r="AK109" i="4"/>
  <c r="AL109" i="4"/>
  <c r="AM109" i="4"/>
  <c r="AN109" i="4"/>
  <c r="AO109" i="4"/>
  <c r="AP109" i="4"/>
  <c r="AQ109" i="4"/>
  <c r="AR109" i="4"/>
  <c r="AS109" i="4"/>
  <c r="AT109" i="4"/>
  <c r="AU109" i="4"/>
  <c r="AV109" i="4"/>
  <c r="AW109" i="4"/>
  <c r="AX109" i="4"/>
  <c r="AY109" i="4"/>
  <c r="AZ109" i="4"/>
  <c r="BA109" i="4"/>
  <c r="BB109" i="4"/>
  <c r="BC109" i="4"/>
  <c r="BD109" i="4"/>
  <c r="BE109" i="4"/>
  <c r="BF109" i="4"/>
  <c r="BG109" i="4"/>
  <c r="BH109" i="4"/>
  <c r="BI109" i="4"/>
  <c r="BJ109" i="4"/>
  <c r="BK109" i="4"/>
  <c r="BL109" i="4"/>
  <c r="BM109" i="4"/>
  <c r="BN109" i="4"/>
  <c r="BO109" i="4"/>
  <c r="BP109" i="4"/>
  <c r="BQ109" i="4"/>
  <c r="BR109" i="4"/>
  <c r="BS109" i="4"/>
  <c r="BT109" i="4"/>
  <c r="BU109" i="4"/>
  <c r="BV109" i="4"/>
  <c r="BW109" i="4"/>
  <c r="BX109" i="4"/>
  <c r="BY109" i="4"/>
  <c r="BZ109" i="4"/>
  <c r="CA109" i="4"/>
  <c r="CB109" i="4"/>
  <c r="CC109" i="4"/>
  <c r="CD109" i="4"/>
  <c r="CE109" i="4"/>
  <c r="CF109" i="4"/>
  <c r="CG109" i="4"/>
  <c r="CH109" i="4"/>
  <c r="CI109" i="4"/>
  <c r="CJ109" i="4"/>
  <c r="CK109" i="4"/>
  <c r="CL109" i="4"/>
  <c r="CM109" i="4"/>
  <c r="CN109" i="4"/>
  <c r="CO109" i="4"/>
  <c r="CP109" i="4"/>
  <c r="CQ109" i="4"/>
  <c r="CR109" i="4"/>
  <c r="CS109" i="4"/>
  <c r="CT109" i="4"/>
  <c r="CU109" i="4"/>
  <c r="CV109" i="4"/>
  <c r="CW109" i="4"/>
  <c r="CX109" i="4"/>
  <c r="D110" i="4"/>
  <c r="E110" i="4"/>
  <c r="F110" i="4"/>
  <c r="G110" i="4"/>
  <c r="H110" i="4"/>
  <c r="I110" i="4"/>
  <c r="J110" i="4"/>
  <c r="K110" i="4"/>
  <c r="L110" i="4"/>
  <c r="M110" i="4"/>
  <c r="N110" i="4"/>
  <c r="O110" i="4"/>
  <c r="P110" i="4"/>
  <c r="Q110" i="4"/>
  <c r="R110" i="4"/>
  <c r="S110" i="4"/>
  <c r="T110" i="4"/>
  <c r="U110" i="4"/>
  <c r="V110" i="4"/>
  <c r="W110" i="4"/>
  <c r="X110" i="4"/>
  <c r="Y110" i="4"/>
  <c r="Z110" i="4"/>
  <c r="AA110" i="4"/>
  <c r="AB110" i="4"/>
  <c r="AC110" i="4"/>
  <c r="AD110" i="4"/>
  <c r="AE110" i="4"/>
  <c r="AF110" i="4"/>
  <c r="AG110" i="4"/>
  <c r="AH110" i="4"/>
  <c r="AI110" i="4"/>
  <c r="AJ110" i="4"/>
  <c r="AK110" i="4"/>
  <c r="AL110" i="4"/>
  <c r="AM110" i="4"/>
  <c r="AN110" i="4"/>
  <c r="AO110" i="4"/>
  <c r="AP110" i="4"/>
  <c r="AQ110" i="4"/>
  <c r="AR110" i="4"/>
  <c r="AS110" i="4"/>
  <c r="AT110" i="4"/>
  <c r="AU110" i="4"/>
  <c r="AV110" i="4"/>
  <c r="AW110" i="4"/>
  <c r="AX110" i="4"/>
  <c r="AY110" i="4"/>
  <c r="AZ110" i="4"/>
  <c r="BA110" i="4"/>
  <c r="BB110" i="4"/>
  <c r="BC110" i="4"/>
  <c r="BD110" i="4"/>
  <c r="BE110" i="4"/>
  <c r="BF110" i="4"/>
  <c r="BG110" i="4"/>
  <c r="BH110" i="4"/>
  <c r="BI110" i="4"/>
  <c r="BJ110" i="4"/>
  <c r="BK110" i="4"/>
  <c r="BL110" i="4"/>
  <c r="BM110" i="4"/>
  <c r="BN110" i="4"/>
  <c r="BO110" i="4"/>
  <c r="BP110" i="4"/>
  <c r="BQ110" i="4"/>
  <c r="BR110" i="4"/>
  <c r="BS110" i="4"/>
  <c r="BT110" i="4"/>
  <c r="BU110" i="4"/>
  <c r="BV110" i="4"/>
  <c r="BW110" i="4"/>
  <c r="BX110" i="4"/>
  <c r="BY110" i="4"/>
  <c r="BZ110" i="4"/>
  <c r="CA110" i="4"/>
  <c r="CB110" i="4"/>
  <c r="CC110" i="4"/>
  <c r="CD110" i="4"/>
  <c r="CE110" i="4"/>
  <c r="CF110" i="4"/>
  <c r="CG110" i="4"/>
  <c r="CH110" i="4"/>
  <c r="CI110" i="4"/>
  <c r="CJ110" i="4"/>
  <c r="CK110" i="4"/>
  <c r="CL110" i="4"/>
  <c r="CM110" i="4"/>
  <c r="CN110" i="4"/>
  <c r="CO110" i="4"/>
  <c r="CP110" i="4"/>
  <c r="CQ110" i="4"/>
  <c r="CR110" i="4"/>
  <c r="CS110" i="4"/>
  <c r="CT110" i="4"/>
  <c r="CU110" i="4"/>
  <c r="CV110" i="4"/>
  <c r="CW110" i="4"/>
  <c r="CX110" i="4"/>
  <c r="D111" i="4"/>
  <c r="E111" i="4"/>
  <c r="F111" i="4"/>
  <c r="G111" i="4"/>
  <c r="H111" i="4"/>
  <c r="I111" i="4"/>
  <c r="J111" i="4"/>
  <c r="K111" i="4"/>
  <c r="L111" i="4"/>
  <c r="M111" i="4"/>
  <c r="N111" i="4"/>
  <c r="O111" i="4"/>
  <c r="P111" i="4"/>
  <c r="Q111" i="4"/>
  <c r="R111" i="4"/>
  <c r="S111" i="4"/>
  <c r="T111" i="4"/>
  <c r="U111" i="4"/>
  <c r="V111" i="4"/>
  <c r="W111" i="4"/>
  <c r="X111" i="4"/>
  <c r="Y111" i="4"/>
  <c r="Z111" i="4"/>
  <c r="AA111" i="4"/>
  <c r="AB111" i="4"/>
  <c r="AC111" i="4"/>
  <c r="AD111" i="4"/>
  <c r="AE111" i="4"/>
  <c r="AF111" i="4"/>
  <c r="AG111" i="4"/>
  <c r="AH111" i="4"/>
  <c r="AI111" i="4"/>
  <c r="AJ111" i="4"/>
  <c r="AK111" i="4"/>
  <c r="AL111" i="4"/>
  <c r="AM111" i="4"/>
  <c r="AN111" i="4"/>
  <c r="AO111" i="4"/>
  <c r="AP111" i="4"/>
  <c r="AQ111" i="4"/>
  <c r="AR111" i="4"/>
  <c r="AS111" i="4"/>
  <c r="AT111" i="4"/>
  <c r="AU111" i="4"/>
  <c r="AV111" i="4"/>
  <c r="AW111" i="4"/>
  <c r="AX111" i="4"/>
  <c r="AY111" i="4"/>
  <c r="AZ111" i="4"/>
  <c r="BA111" i="4"/>
  <c r="BB111" i="4"/>
  <c r="BC111" i="4"/>
  <c r="BD111" i="4"/>
  <c r="BE111" i="4"/>
  <c r="BF111" i="4"/>
  <c r="BG111" i="4"/>
  <c r="BH111" i="4"/>
  <c r="BI111" i="4"/>
  <c r="BJ111" i="4"/>
  <c r="BK111" i="4"/>
  <c r="BL111" i="4"/>
  <c r="BM111" i="4"/>
  <c r="BN111" i="4"/>
  <c r="BO111" i="4"/>
  <c r="BP111" i="4"/>
  <c r="BQ111" i="4"/>
  <c r="BR111" i="4"/>
  <c r="BS111" i="4"/>
  <c r="BT111" i="4"/>
  <c r="BU111" i="4"/>
  <c r="BV111" i="4"/>
  <c r="BW111" i="4"/>
  <c r="BX111" i="4"/>
  <c r="BY111" i="4"/>
  <c r="BZ111" i="4"/>
  <c r="CA111" i="4"/>
  <c r="CB111" i="4"/>
  <c r="CC111" i="4"/>
  <c r="CD111" i="4"/>
  <c r="CE111" i="4"/>
  <c r="CF111" i="4"/>
  <c r="CG111" i="4"/>
  <c r="CH111" i="4"/>
  <c r="CI111" i="4"/>
  <c r="CJ111" i="4"/>
  <c r="CK111" i="4"/>
  <c r="CL111" i="4"/>
  <c r="CM111" i="4"/>
  <c r="CN111" i="4"/>
  <c r="CO111" i="4"/>
  <c r="CP111" i="4"/>
  <c r="CQ111" i="4"/>
  <c r="CR111" i="4"/>
  <c r="CS111" i="4"/>
  <c r="CT111" i="4"/>
  <c r="CU111" i="4"/>
  <c r="CV111" i="4"/>
  <c r="CW111" i="4"/>
  <c r="CX111" i="4"/>
  <c r="D112" i="4"/>
  <c r="E112" i="4"/>
  <c r="F112" i="4"/>
  <c r="G112" i="4"/>
  <c r="H112" i="4"/>
  <c r="I112" i="4"/>
  <c r="J112" i="4"/>
  <c r="K112" i="4"/>
  <c r="L112" i="4"/>
  <c r="M112" i="4"/>
  <c r="N112" i="4"/>
  <c r="O112" i="4"/>
  <c r="P112" i="4"/>
  <c r="Q112" i="4"/>
  <c r="R112" i="4"/>
  <c r="S112" i="4"/>
  <c r="T112" i="4"/>
  <c r="U112" i="4"/>
  <c r="V112" i="4"/>
  <c r="W112" i="4"/>
  <c r="X112" i="4"/>
  <c r="Y112" i="4"/>
  <c r="Z112" i="4"/>
  <c r="AA112" i="4"/>
  <c r="AB112" i="4"/>
  <c r="AC112" i="4"/>
  <c r="AD112" i="4"/>
  <c r="AE112" i="4"/>
  <c r="AF112" i="4"/>
  <c r="AG112" i="4"/>
  <c r="AH112" i="4"/>
  <c r="AI112" i="4"/>
  <c r="AJ112" i="4"/>
  <c r="AK112" i="4"/>
  <c r="AL112" i="4"/>
  <c r="AM112" i="4"/>
  <c r="AN112" i="4"/>
  <c r="AO112" i="4"/>
  <c r="AP112" i="4"/>
  <c r="AQ112" i="4"/>
  <c r="AR112" i="4"/>
  <c r="AS112" i="4"/>
  <c r="AT112" i="4"/>
  <c r="AU112" i="4"/>
  <c r="AV112" i="4"/>
  <c r="AW112" i="4"/>
  <c r="AX112" i="4"/>
  <c r="AY112" i="4"/>
  <c r="AZ112" i="4"/>
  <c r="BA112" i="4"/>
  <c r="BB112" i="4"/>
  <c r="BC112" i="4"/>
  <c r="BD112" i="4"/>
  <c r="BE112" i="4"/>
  <c r="BF112" i="4"/>
  <c r="BG112" i="4"/>
  <c r="BH112" i="4"/>
  <c r="BI112" i="4"/>
  <c r="BJ112" i="4"/>
  <c r="BK112" i="4"/>
  <c r="BL112" i="4"/>
  <c r="BM112" i="4"/>
  <c r="BN112" i="4"/>
  <c r="BO112" i="4"/>
  <c r="BP112" i="4"/>
  <c r="BQ112" i="4"/>
  <c r="BR112" i="4"/>
  <c r="BS112" i="4"/>
  <c r="BT112" i="4"/>
  <c r="BU112" i="4"/>
  <c r="BV112" i="4"/>
  <c r="BW112" i="4"/>
  <c r="BX112" i="4"/>
  <c r="BY112" i="4"/>
  <c r="BZ112" i="4"/>
  <c r="CA112" i="4"/>
  <c r="CB112" i="4"/>
  <c r="CC112" i="4"/>
  <c r="CD112" i="4"/>
  <c r="CE112" i="4"/>
  <c r="CF112" i="4"/>
  <c r="CG112" i="4"/>
  <c r="CH112" i="4"/>
  <c r="CI112" i="4"/>
  <c r="CJ112" i="4"/>
  <c r="CK112" i="4"/>
  <c r="CL112" i="4"/>
  <c r="CM112" i="4"/>
  <c r="CN112" i="4"/>
  <c r="CO112" i="4"/>
  <c r="CP112" i="4"/>
  <c r="CQ112" i="4"/>
  <c r="CR112" i="4"/>
  <c r="CS112" i="4"/>
  <c r="CT112" i="4"/>
  <c r="CU112" i="4"/>
  <c r="CV112" i="4"/>
  <c r="CW112" i="4"/>
  <c r="CX112" i="4"/>
  <c r="D113" i="4"/>
  <c r="E113" i="4"/>
  <c r="F113" i="4"/>
  <c r="G113" i="4"/>
  <c r="H113" i="4"/>
  <c r="I113" i="4"/>
  <c r="J113" i="4"/>
  <c r="K113" i="4"/>
  <c r="L113" i="4"/>
  <c r="M113" i="4"/>
  <c r="N113" i="4"/>
  <c r="O113" i="4"/>
  <c r="P113" i="4"/>
  <c r="Q113" i="4"/>
  <c r="R113" i="4"/>
  <c r="S113" i="4"/>
  <c r="T113" i="4"/>
  <c r="U113" i="4"/>
  <c r="V113" i="4"/>
  <c r="W113" i="4"/>
  <c r="X113" i="4"/>
  <c r="Y113" i="4"/>
  <c r="Z113" i="4"/>
  <c r="AA113" i="4"/>
  <c r="AB113" i="4"/>
  <c r="AC113" i="4"/>
  <c r="AD113" i="4"/>
  <c r="AE113" i="4"/>
  <c r="AF113" i="4"/>
  <c r="AG113" i="4"/>
  <c r="AH113" i="4"/>
  <c r="AI113" i="4"/>
  <c r="AJ113" i="4"/>
  <c r="AK113" i="4"/>
  <c r="AL113" i="4"/>
  <c r="AM113" i="4"/>
  <c r="AN113" i="4"/>
  <c r="AO113" i="4"/>
  <c r="AP113" i="4"/>
  <c r="AQ113" i="4"/>
  <c r="AR113" i="4"/>
  <c r="AS113" i="4"/>
  <c r="AT113" i="4"/>
  <c r="AU113" i="4"/>
  <c r="AV113" i="4"/>
  <c r="AW113" i="4"/>
  <c r="AX113" i="4"/>
  <c r="AY113" i="4"/>
  <c r="AZ113" i="4"/>
  <c r="BA113" i="4"/>
  <c r="BB113" i="4"/>
  <c r="BC113" i="4"/>
  <c r="BD113" i="4"/>
  <c r="BE113" i="4"/>
  <c r="BF113" i="4"/>
  <c r="BG113" i="4"/>
  <c r="BH113" i="4"/>
  <c r="BI113" i="4"/>
  <c r="BJ113" i="4"/>
  <c r="BK113" i="4"/>
  <c r="BL113" i="4"/>
  <c r="BM113" i="4"/>
  <c r="BN113" i="4"/>
  <c r="BO113" i="4"/>
  <c r="BP113" i="4"/>
  <c r="BQ113" i="4"/>
  <c r="BR113" i="4"/>
  <c r="BS113" i="4"/>
  <c r="BT113" i="4"/>
  <c r="BU113" i="4"/>
  <c r="BV113" i="4"/>
  <c r="BW113" i="4"/>
  <c r="BX113" i="4"/>
  <c r="BY113" i="4"/>
  <c r="BZ113" i="4"/>
  <c r="CA113" i="4"/>
  <c r="CB113" i="4"/>
  <c r="CC113" i="4"/>
  <c r="CD113" i="4"/>
  <c r="CE113" i="4"/>
  <c r="CF113" i="4"/>
  <c r="CG113" i="4"/>
  <c r="CH113" i="4"/>
  <c r="CI113" i="4"/>
  <c r="CJ113" i="4"/>
  <c r="CK113" i="4"/>
  <c r="CL113" i="4"/>
  <c r="CM113" i="4"/>
  <c r="CN113" i="4"/>
  <c r="CO113" i="4"/>
  <c r="CP113" i="4"/>
  <c r="CQ113" i="4"/>
  <c r="CR113" i="4"/>
  <c r="CS113" i="4"/>
  <c r="CT113" i="4"/>
  <c r="CU113" i="4"/>
  <c r="CV113" i="4"/>
  <c r="CW113" i="4"/>
  <c r="CX113" i="4"/>
  <c r="D114" i="4"/>
  <c r="E114" i="4"/>
  <c r="F114" i="4"/>
  <c r="G114" i="4"/>
  <c r="H114" i="4"/>
  <c r="I114" i="4"/>
  <c r="J114" i="4"/>
  <c r="K114" i="4"/>
  <c r="L114" i="4"/>
  <c r="M114" i="4"/>
  <c r="N114" i="4"/>
  <c r="O114" i="4"/>
  <c r="P114" i="4"/>
  <c r="Q114" i="4"/>
  <c r="R114" i="4"/>
  <c r="S114" i="4"/>
  <c r="T114" i="4"/>
  <c r="U114" i="4"/>
  <c r="V114" i="4"/>
  <c r="W114" i="4"/>
  <c r="X114" i="4"/>
  <c r="Y114" i="4"/>
  <c r="Z114" i="4"/>
  <c r="AA114" i="4"/>
  <c r="AB114" i="4"/>
  <c r="AC114" i="4"/>
  <c r="AD114" i="4"/>
  <c r="AE114" i="4"/>
  <c r="AF114" i="4"/>
  <c r="AG114" i="4"/>
  <c r="AH114" i="4"/>
  <c r="AI114" i="4"/>
  <c r="AJ114" i="4"/>
  <c r="AK114" i="4"/>
  <c r="AL114" i="4"/>
  <c r="AM114" i="4"/>
  <c r="AN114" i="4"/>
  <c r="AO114" i="4"/>
  <c r="AP114" i="4"/>
  <c r="AQ114" i="4"/>
  <c r="AR114" i="4"/>
  <c r="AS114" i="4"/>
  <c r="AT114" i="4"/>
  <c r="AU114" i="4"/>
  <c r="AV114" i="4"/>
  <c r="AW114" i="4"/>
  <c r="AX114" i="4"/>
  <c r="AY114" i="4"/>
  <c r="AZ114" i="4"/>
  <c r="BA114" i="4"/>
  <c r="BB114" i="4"/>
  <c r="BC114" i="4"/>
  <c r="BD114" i="4"/>
  <c r="BE114" i="4"/>
  <c r="BF114" i="4"/>
  <c r="BG114" i="4"/>
  <c r="BH114" i="4"/>
  <c r="BI114" i="4"/>
  <c r="BJ114" i="4"/>
  <c r="BK114" i="4"/>
  <c r="BL114" i="4"/>
  <c r="BM114" i="4"/>
  <c r="BN114" i="4"/>
  <c r="BO114" i="4"/>
  <c r="BP114" i="4"/>
  <c r="BQ114" i="4"/>
  <c r="BR114" i="4"/>
  <c r="BS114" i="4"/>
  <c r="BT114" i="4"/>
  <c r="BU114" i="4"/>
  <c r="BV114" i="4"/>
  <c r="BW114" i="4"/>
  <c r="BX114" i="4"/>
  <c r="BY114" i="4"/>
  <c r="BZ114" i="4"/>
  <c r="CA114" i="4"/>
  <c r="CB114" i="4"/>
  <c r="CC114" i="4"/>
  <c r="CD114" i="4"/>
  <c r="CE114" i="4"/>
  <c r="CF114" i="4"/>
  <c r="CG114" i="4"/>
  <c r="CH114" i="4"/>
  <c r="CI114" i="4"/>
  <c r="CJ114" i="4"/>
  <c r="CK114" i="4"/>
  <c r="CL114" i="4"/>
  <c r="CM114" i="4"/>
  <c r="CN114" i="4"/>
  <c r="CO114" i="4"/>
  <c r="CP114" i="4"/>
  <c r="CQ114" i="4"/>
  <c r="CR114" i="4"/>
  <c r="CS114" i="4"/>
  <c r="CT114" i="4"/>
  <c r="CU114" i="4"/>
  <c r="CV114" i="4"/>
  <c r="CW114" i="4"/>
  <c r="CX114" i="4"/>
  <c r="D115" i="4"/>
  <c r="E115" i="4"/>
  <c r="F115" i="4"/>
  <c r="G115" i="4"/>
  <c r="H115" i="4"/>
  <c r="I115" i="4"/>
  <c r="J115" i="4"/>
  <c r="K115" i="4"/>
  <c r="L115" i="4"/>
  <c r="M115" i="4"/>
  <c r="N115" i="4"/>
  <c r="O115" i="4"/>
  <c r="P115" i="4"/>
  <c r="Q115" i="4"/>
  <c r="R115" i="4"/>
  <c r="S115" i="4"/>
  <c r="T115" i="4"/>
  <c r="U115" i="4"/>
  <c r="V115" i="4"/>
  <c r="W115" i="4"/>
  <c r="X115" i="4"/>
  <c r="Y115" i="4"/>
  <c r="Z115" i="4"/>
  <c r="AA115" i="4"/>
  <c r="AB115" i="4"/>
  <c r="AC115" i="4"/>
  <c r="AD115" i="4"/>
  <c r="AE115" i="4"/>
  <c r="AF115" i="4"/>
  <c r="AG115" i="4"/>
  <c r="AH115" i="4"/>
  <c r="AI115" i="4"/>
  <c r="AJ115" i="4"/>
  <c r="AK115" i="4"/>
  <c r="AL115" i="4"/>
  <c r="AM115" i="4"/>
  <c r="AN115" i="4"/>
  <c r="AO115" i="4"/>
  <c r="AP115" i="4"/>
  <c r="AQ115" i="4"/>
  <c r="AR115" i="4"/>
  <c r="AS115" i="4"/>
  <c r="AT115" i="4"/>
  <c r="AU115" i="4"/>
  <c r="AV115" i="4"/>
  <c r="AW115" i="4"/>
  <c r="AX115" i="4"/>
  <c r="AY115" i="4"/>
  <c r="AZ115" i="4"/>
  <c r="BA115" i="4"/>
  <c r="BB115" i="4"/>
  <c r="BC115" i="4"/>
  <c r="BD115" i="4"/>
  <c r="BE115" i="4"/>
  <c r="BF115" i="4"/>
  <c r="BG115" i="4"/>
  <c r="BH115" i="4"/>
  <c r="BI115" i="4"/>
  <c r="BJ115" i="4"/>
  <c r="BK115" i="4"/>
  <c r="BL115" i="4"/>
  <c r="BM115" i="4"/>
  <c r="BN115" i="4"/>
  <c r="BO115" i="4"/>
  <c r="BP115" i="4"/>
  <c r="BQ115" i="4"/>
  <c r="BR115" i="4"/>
  <c r="BS115" i="4"/>
  <c r="BT115" i="4"/>
  <c r="BU115" i="4"/>
  <c r="BV115" i="4"/>
  <c r="BW115" i="4"/>
  <c r="BX115" i="4"/>
  <c r="BY115" i="4"/>
  <c r="BZ115" i="4"/>
  <c r="CA115" i="4"/>
  <c r="CB115" i="4"/>
  <c r="CC115" i="4"/>
  <c r="CD115" i="4"/>
  <c r="CE115" i="4"/>
  <c r="CF115" i="4"/>
  <c r="CG115" i="4"/>
  <c r="CH115" i="4"/>
  <c r="CI115" i="4"/>
  <c r="CJ115" i="4"/>
  <c r="CK115" i="4"/>
  <c r="CL115" i="4"/>
  <c r="CM115" i="4"/>
  <c r="CN115" i="4"/>
  <c r="CO115" i="4"/>
  <c r="CP115" i="4"/>
  <c r="CQ115" i="4"/>
  <c r="CR115" i="4"/>
  <c r="CS115" i="4"/>
  <c r="CT115" i="4"/>
  <c r="CU115" i="4"/>
  <c r="CV115" i="4"/>
  <c r="CW115" i="4"/>
  <c r="CX115" i="4"/>
  <c r="D116" i="4"/>
  <c r="E116" i="4"/>
  <c r="F116" i="4"/>
  <c r="G116" i="4"/>
  <c r="H116" i="4"/>
  <c r="I116" i="4"/>
  <c r="J116" i="4"/>
  <c r="K116" i="4"/>
  <c r="L116" i="4"/>
  <c r="M116" i="4"/>
  <c r="N116" i="4"/>
  <c r="O116" i="4"/>
  <c r="P116" i="4"/>
  <c r="Q116" i="4"/>
  <c r="R116" i="4"/>
  <c r="S116" i="4"/>
  <c r="T116" i="4"/>
  <c r="U116" i="4"/>
  <c r="V116" i="4"/>
  <c r="W116" i="4"/>
  <c r="X116" i="4"/>
  <c r="Y116" i="4"/>
  <c r="Z116" i="4"/>
  <c r="AA116" i="4"/>
  <c r="AB116" i="4"/>
  <c r="AC116" i="4"/>
  <c r="AD116" i="4"/>
  <c r="AE116" i="4"/>
  <c r="AF116" i="4"/>
  <c r="AG116" i="4"/>
  <c r="AH116" i="4"/>
  <c r="AI116" i="4"/>
  <c r="AJ116" i="4"/>
  <c r="AK116" i="4"/>
  <c r="AL116" i="4"/>
  <c r="AM116" i="4"/>
  <c r="AN116" i="4"/>
  <c r="AO116" i="4"/>
  <c r="AP116" i="4"/>
  <c r="AQ116" i="4"/>
  <c r="AR116" i="4"/>
  <c r="AS116" i="4"/>
  <c r="AT116" i="4"/>
  <c r="AU116" i="4"/>
  <c r="AV116" i="4"/>
  <c r="AW116" i="4"/>
  <c r="AX116" i="4"/>
  <c r="AY116" i="4"/>
  <c r="AZ116" i="4"/>
  <c r="BA116" i="4"/>
  <c r="BB116" i="4"/>
  <c r="BC116" i="4"/>
  <c r="BD116" i="4"/>
  <c r="BE116" i="4"/>
  <c r="BF116" i="4"/>
  <c r="BG116" i="4"/>
  <c r="BH116" i="4"/>
  <c r="BI116" i="4"/>
  <c r="BJ116" i="4"/>
  <c r="BK116" i="4"/>
  <c r="BL116" i="4"/>
  <c r="BM116" i="4"/>
  <c r="BN116" i="4"/>
  <c r="BO116" i="4"/>
  <c r="BP116" i="4"/>
  <c r="BQ116" i="4"/>
  <c r="BR116" i="4"/>
  <c r="BS116" i="4"/>
  <c r="BT116" i="4"/>
  <c r="BU116" i="4"/>
  <c r="BV116" i="4"/>
  <c r="BW116" i="4"/>
  <c r="BX116" i="4"/>
  <c r="BY116" i="4"/>
  <c r="BZ116" i="4"/>
  <c r="CA116" i="4"/>
  <c r="CB116" i="4"/>
  <c r="CC116" i="4"/>
  <c r="CD116" i="4"/>
  <c r="CE116" i="4"/>
  <c r="CF116" i="4"/>
  <c r="CG116" i="4"/>
  <c r="CH116" i="4"/>
  <c r="CI116" i="4"/>
  <c r="CJ116" i="4"/>
  <c r="CK116" i="4"/>
  <c r="CL116" i="4"/>
  <c r="CM116" i="4"/>
  <c r="CN116" i="4"/>
  <c r="CO116" i="4"/>
  <c r="CP116" i="4"/>
  <c r="CQ116" i="4"/>
  <c r="CR116" i="4"/>
  <c r="CS116" i="4"/>
  <c r="CT116" i="4"/>
  <c r="CU116" i="4"/>
  <c r="CV116" i="4"/>
  <c r="CW116" i="4"/>
  <c r="CX116" i="4"/>
  <c r="D117" i="4"/>
  <c r="E117" i="4"/>
  <c r="F117" i="4"/>
  <c r="G117" i="4"/>
  <c r="H117" i="4"/>
  <c r="I117" i="4"/>
  <c r="J117" i="4"/>
  <c r="K117" i="4"/>
  <c r="L117" i="4"/>
  <c r="M117" i="4"/>
  <c r="N117" i="4"/>
  <c r="O117" i="4"/>
  <c r="P117" i="4"/>
  <c r="Q117" i="4"/>
  <c r="R117" i="4"/>
  <c r="S117" i="4"/>
  <c r="T117" i="4"/>
  <c r="U117" i="4"/>
  <c r="V117" i="4"/>
  <c r="W117" i="4"/>
  <c r="X117" i="4"/>
  <c r="Y117" i="4"/>
  <c r="Z117" i="4"/>
  <c r="AA117" i="4"/>
  <c r="AB117" i="4"/>
  <c r="AC117" i="4"/>
  <c r="AD117" i="4"/>
  <c r="AE117" i="4"/>
  <c r="AF117" i="4"/>
  <c r="AG117" i="4"/>
  <c r="AH117" i="4"/>
  <c r="AI117" i="4"/>
  <c r="AJ117" i="4"/>
  <c r="AK117" i="4"/>
  <c r="AL117" i="4"/>
  <c r="AM117" i="4"/>
  <c r="AN117" i="4"/>
  <c r="AO117" i="4"/>
  <c r="AP117" i="4"/>
  <c r="AQ117" i="4"/>
  <c r="AR117" i="4"/>
  <c r="AS117" i="4"/>
  <c r="AT117" i="4"/>
  <c r="AU117" i="4"/>
  <c r="AV117" i="4"/>
  <c r="AW117" i="4"/>
  <c r="AX117" i="4"/>
  <c r="AY117" i="4"/>
  <c r="AZ117" i="4"/>
  <c r="BA117" i="4"/>
  <c r="BB117" i="4"/>
  <c r="BC117" i="4"/>
  <c r="BD117" i="4"/>
  <c r="BE117" i="4"/>
  <c r="BF117" i="4"/>
  <c r="BG117" i="4"/>
  <c r="BH117" i="4"/>
  <c r="BI117" i="4"/>
  <c r="BJ117" i="4"/>
  <c r="BK117" i="4"/>
  <c r="BL117" i="4"/>
  <c r="BM117" i="4"/>
  <c r="BN117" i="4"/>
  <c r="BO117" i="4"/>
  <c r="BP117" i="4"/>
  <c r="BQ117" i="4"/>
  <c r="BR117" i="4"/>
  <c r="BS117" i="4"/>
  <c r="BT117" i="4"/>
  <c r="BU117" i="4"/>
  <c r="BV117" i="4"/>
  <c r="BW117" i="4"/>
  <c r="BX117" i="4"/>
  <c r="BY117" i="4"/>
  <c r="BZ117" i="4"/>
  <c r="CA117" i="4"/>
  <c r="CB117" i="4"/>
  <c r="CC117" i="4"/>
  <c r="CD117" i="4"/>
  <c r="CE117" i="4"/>
  <c r="CF117" i="4"/>
  <c r="CG117" i="4"/>
  <c r="CH117" i="4"/>
  <c r="CI117" i="4"/>
  <c r="CJ117" i="4"/>
  <c r="CK117" i="4"/>
  <c r="CL117" i="4"/>
  <c r="CM117" i="4"/>
  <c r="CN117" i="4"/>
  <c r="CO117" i="4"/>
  <c r="CP117" i="4"/>
  <c r="CQ117" i="4"/>
  <c r="CR117" i="4"/>
  <c r="CS117" i="4"/>
  <c r="CT117" i="4"/>
  <c r="CU117" i="4"/>
  <c r="CV117" i="4"/>
  <c r="CW117" i="4"/>
  <c r="CX117" i="4"/>
  <c r="D118" i="4"/>
  <c r="E118" i="4"/>
  <c r="F118" i="4"/>
  <c r="G118" i="4"/>
  <c r="H118" i="4"/>
  <c r="I118" i="4"/>
  <c r="J118" i="4"/>
  <c r="K118" i="4"/>
  <c r="L118" i="4"/>
  <c r="M118" i="4"/>
  <c r="N118" i="4"/>
  <c r="O118" i="4"/>
  <c r="P118" i="4"/>
  <c r="Q118" i="4"/>
  <c r="R118" i="4"/>
  <c r="S118" i="4"/>
  <c r="T118" i="4"/>
  <c r="U118" i="4"/>
  <c r="V118" i="4"/>
  <c r="W118" i="4"/>
  <c r="X118" i="4"/>
  <c r="Y118" i="4"/>
  <c r="Z118" i="4"/>
  <c r="AA118" i="4"/>
  <c r="AB118" i="4"/>
  <c r="AC118" i="4"/>
  <c r="AD118" i="4"/>
  <c r="AE118" i="4"/>
  <c r="AF118" i="4"/>
  <c r="AG118" i="4"/>
  <c r="AH118" i="4"/>
  <c r="AI118" i="4"/>
  <c r="AJ118" i="4"/>
  <c r="AK118" i="4"/>
  <c r="AL118" i="4"/>
  <c r="AM118" i="4"/>
  <c r="AN118" i="4"/>
  <c r="AO118" i="4"/>
  <c r="AP118" i="4"/>
  <c r="AQ118" i="4"/>
  <c r="AR118" i="4"/>
  <c r="AS118" i="4"/>
  <c r="AT118" i="4"/>
  <c r="AU118" i="4"/>
  <c r="AV118" i="4"/>
  <c r="AW118" i="4"/>
  <c r="AX118" i="4"/>
  <c r="AY118" i="4"/>
  <c r="AZ118" i="4"/>
  <c r="BA118" i="4"/>
  <c r="BB118" i="4"/>
  <c r="BC118" i="4"/>
  <c r="BD118" i="4"/>
  <c r="BE118" i="4"/>
  <c r="BF118" i="4"/>
  <c r="BG118" i="4"/>
  <c r="BH118" i="4"/>
  <c r="BI118" i="4"/>
  <c r="BJ118" i="4"/>
  <c r="BK118" i="4"/>
  <c r="BL118" i="4"/>
  <c r="BM118" i="4"/>
  <c r="BN118" i="4"/>
  <c r="BO118" i="4"/>
  <c r="BP118" i="4"/>
  <c r="BQ118" i="4"/>
  <c r="BR118" i="4"/>
  <c r="BS118" i="4"/>
  <c r="BT118" i="4"/>
  <c r="BU118" i="4"/>
  <c r="BV118" i="4"/>
  <c r="BW118" i="4"/>
  <c r="BX118" i="4"/>
  <c r="BY118" i="4"/>
  <c r="BZ118" i="4"/>
  <c r="CA118" i="4"/>
  <c r="CB118" i="4"/>
  <c r="CC118" i="4"/>
  <c r="CD118" i="4"/>
  <c r="CE118" i="4"/>
  <c r="CF118" i="4"/>
  <c r="CG118" i="4"/>
  <c r="CH118" i="4"/>
  <c r="CI118" i="4"/>
  <c r="CJ118" i="4"/>
  <c r="CK118" i="4"/>
  <c r="CL118" i="4"/>
  <c r="CM118" i="4"/>
  <c r="CN118" i="4"/>
  <c r="CO118" i="4"/>
  <c r="CP118" i="4"/>
  <c r="CQ118" i="4"/>
  <c r="CR118" i="4"/>
  <c r="CS118" i="4"/>
  <c r="CT118" i="4"/>
  <c r="CU118" i="4"/>
  <c r="CV118" i="4"/>
  <c r="CW118" i="4"/>
  <c r="CX118" i="4"/>
  <c r="D119" i="4"/>
  <c r="E119" i="4"/>
  <c r="F119" i="4"/>
  <c r="G119" i="4"/>
  <c r="H119" i="4"/>
  <c r="I119" i="4"/>
  <c r="J119" i="4"/>
  <c r="K119" i="4"/>
  <c r="L119" i="4"/>
  <c r="M119" i="4"/>
  <c r="N119" i="4"/>
  <c r="O119" i="4"/>
  <c r="P119" i="4"/>
  <c r="Q119" i="4"/>
  <c r="R119" i="4"/>
  <c r="S119" i="4"/>
  <c r="T119" i="4"/>
  <c r="U119" i="4"/>
  <c r="V119" i="4"/>
  <c r="W119" i="4"/>
  <c r="X119" i="4"/>
  <c r="Y119" i="4"/>
  <c r="Z119" i="4"/>
  <c r="AA119" i="4"/>
  <c r="AB119" i="4"/>
  <c r="AC119" i="4"/>
  <c r="AD119" i="4"/>
  <c r="AE119" i="4"/>
  <c r="AF119" i="4"/>
  <c r="AG119" i="4"/>
  <c r="AH119" i="4"/>
  <c r="AI119" i="4"/>
  <c r="AJ119" i="4"/>
  <c r="AK119" i="4"/>
  <c r="AL119" i="4"/>
  <c r="AM119" i="4"/>
  <c r="AN119" i="4"/>
  <c r="AO119" i="4"/>
  <c r="AP119" i="4"/>
  <c r="AQ119" i="4"/>
  <c r="AR119" i="4"/>
  <c r="AS119" i="4"/>
  <c r="AT119" i="4"/>
  <c r="AU119" i="4"/>
  <c r="AV119" i="4"/>
  <c r="AW119" i="4"/>
  <c r="AX119" i="4"/>
  <c r="AY119" i="4"/>
  <c r="AZ119" i="4"/>
  <c r="BA119" i="4"/>
  <c r="BB119" i="4"/>
  <c r="BC119" i="4"/>
  <c r="BD119" i="4"/>
  <c r="BE119" i="4"/>
  <c r="BF119" i="4"/>
  <c r="BG119" i="4"/>
  <c r="BH119" i="4"/>
  <c r="BI119" i="4"/>
  <c r="BJ119" i="4"/>
  <c r="BK119" i="4"/>
  <c r="BL119" i="4"/>
  <c r="BM119" i="4"/>
  <c r="BN119" i="4"/>
  <c r="BO119" i="4"/>
  <c r="BP119" i="4"/>
  <c r="BQ119" i="4"/>
  <c r="BR119" i="4"/>
  <c r="BS119" i="4"/>
  <c r="BT119" i="4"/>
  <c r="BU119" i="4"/>
  <c r="BV119" i="4"/>
  <c r="BW119" i="4"/>
  <c r="BX119" i="4"/>
  <c r="BY119" i="4"/>
  <c r="BZ119" i="4"/>
  <c r="CA119" i="4"/>
  <c r="CB119" i="4"/>
  <c r="CC119" i="4"/>
  <c r="CD119" i="4"/>
  <c r="CE119" i="4"/>
  <c r="CF119" i="4"/>
  <c r="CG119" i="4"/>
  <c r="CH119" i="4"/>
  <c r="CI119" i="4"/>
  <c r="CJ119" i="4"/>
  <c r="CK119" i="4"/>
  <c r="CL119" i="4"/>
  <c r="CM119" i="4"/>
  <c r="CN119" i="4"/>
  <c r="CO119" i="4"/>
  <c r="CP119" i="4"/>
  <c r="CQ119" i="4"/>
  <c r="CR119" i="4"/>
  <c r="CS119" i="4"/>
  <c r="CT119" i="4"/>
  <c r="CU119" i="4"/>
  <c r="CV119" i="4"/>
  <c r="CW119" i="4"/>
  <c r="CX119" i="4"/>
  <c r="D120" i="4"/>
  <c r="E120" i="4"/>
  <c r="F120" i="4"/>
  <c r="G120" i="4"/>
  <c r="H120" i="4"/>
  <c r="I120" i="4"/>
  <c r="J120" i="4"/>
  <c r="K120" i="4"/>
  <c r="L120" i="4"/>
  <c r="M120" i="4"/>
  <c r="N120" i="4"/>
  <c r="O120" i="4"/>
  <c r="P120" i="4"/>
  <c r="Q120" i="4"/>
  <c r="R120" i="4"/>
  <c r="S120" i="4"/>
  <c r="T120" i="4"/>
  <c r="U120" i="4"/>
  <c r="V120" i="4"/>
  <c r="W120" i="4"/>
  <c r="X120" i="4"/>
  <c r="Y120" i="4"/>
  <c r="Z120" i="4"/>
  <c r="AA120" i="4"/>
  <c r="AB120" i="4"/>
  <c r="AC120" i="4"/>
  <c r="AD120" i="4"/>
  <c r="AE120" i="4"/>
  <c r="AF120" i="4"/>
  <c r="AG120" i="4"/>
  <c r="AH120" i="4"/>
  <c r="AI120" i="4"/>
  <c r="AJ120" i="4"/>
  <c r="AK120" i="4"/>
  <c r="AL120" i="4"/>
  <c r="AM120" i="4"/>
  <c r="AN120" i="4"/>
  <c r="AO120" i="4"/>
  <c r="AP120" i="4"/>
  <c r="AQ120" i="4"/>
  <c r="AR120" i="4"/>
  <c r="AS120" i="4"/>
  <c r="AT120" i="4"/>
  <c r="AU120" i="4"/>
  <c r="AV120" i="4"/>
  <c r="AW120" i="4"/>
  <c r="AX120" i="4"/>
  <c r="AY120" i="4"/>
  <c r="AZ120" i="4"/>
  <c r="BA120" i="4"/>
  <c r="BB120" i="4"/>
  <c r="BC120" i="4"/>
  <c r="BD120" i="4"/>
  <c r="BE120" i="4"/>
  <c r="BF120" i="4"/>
  <c r="BG120" i="4"/>
  <c r="BH120" i="4"/>
  <c r="BI120" i="4"/>
  <c r="BJ120" i="4"/>
  <c r="BK120" i="4"/>
  <c r="BL120" i="4"/>
  <c r="BM120" i="4"/>
  <c r="BN120" i="4"/>
  <c r="BO120" i="4"/>
  <c r="BP120" i="4"/>
  <c r="BQ120" i="4"/>
  <c r="BR120" i="4"/>
  <c r="BS120" i="4"/>
  <c r="BT120" i="4"/>
  <c r="BU120" i="4"/>
  <c r="BV120" i="4"/>
  <c r="BW120" i="4"/>
  <c r="BX120" i="4"/>
  <c r="BY120" i="4"/>
  <c r="BZ120" i="4"/>
  <c r="CA120" i="4"/>
  <c r="CB120" i="4"/>
  <c r="CC120" i="4"/>
  <c r="CD120" i="4"/>
  <c r="CE120" i="4"/>
  <c r="CF120" i="4"/>
  <c r="CG120" i="4"/>
  <c r="CH120" i="4"/>
  <c r="CI120" i="4"/>
  <c r="CJ120" i="4"/>
  <c r="CK120" i="4"/>
  <c r="CL120" i="4"/>
  <c r="CM120" i="4"/>
  <c r="CN120" i="4"/>
  <c r="CO120" i="4"/>
  <c r="CP120" i="4"/>
  <c r="CQ120" i="4"/>
  <c r="CR120" i="4"/>
  <c r="CS120" i="4"/>
  <c r="CT120" i="4"/>
  <c r="CU120" i="4"/>
  <c r="CV120" i="4"/>
  <c r="CW120" i="4"/>
  <c r="CX120" i="4"/>
  <c r="D121" i="4"/>
  <c r="E121" i="4"/>
  <c r="F121" i="4"/>
  <c r="G121" i="4"/>
  <c r="H121" i="4"/>
  <c r="I121" i="4"/>
  <c r="J121" i="4"/>
  <c r="K121" i="4"/>
  <c r="L121" i="4"/>
  <c r="M121" i="4"/>
  <c r="N121" i="4"/>
  <c r="O121" i="4"/>
  <c r="P121" i="4"/>
  <c r="Q121" i="4"/>
  <c r="R121" i="4"/>
  <c r="S121" i="4"/>
  <c r="T121" i="4"/>
  <c r="U121" i="4"/>
  <c r="V121" i="4"/>
  <c r="W121" i="4"/>
  <c r="X121" i="4"/>
  <c r="Y121" i="4"/>
  <c r="Z121" i="4"/>
  <c r="AA121" i="4"/>
  <c r="AB121" i="4"/>
  <c r="AC121" i="4"/>
  <c r="AD121" i="4"/>
  <c r="AE121" i="4"/>
  <c r="AF121" i="4"/>
  <c r="AG121" i="4"/>
  <c r="AH121" i="4"/>
  <c r="AI121" i="4"/>
  <c r="AJ121" i="4"/>
  <c r="AK121" i="4"/>
  <c r="AL121" i="4"/>
  <c r="AM121" i="4"/>
  <c r="AN121" i="4"/>
  <c r="AO121" i="4"/>
  <c r="AP121" i="4"/>
  <c r="AQ121" i="4"/>
  <c r="AR121" i="4"/>
  <c r="AS121" i="4"/>
  <c r="AT121" i="4"/>
  <c r="AU121" i="4"/>
  <c r="AV121" i="4"/>
  <c r="AW121" i="4"/>
  <c r="AX121" i="4"/>
  <c r="AY121" i="4"/>
  <c r="AZ121" i="4"/>
  <c r="BA121" i="4"/>
  <c r="BB121" i="4"/>
  <c r="BC121" i="4"/>
  <c r="BD121" i="4"/>
  <c r="BE121" i="4"/>
  <c r="BF121" i="4"/>
  <c r="BG121" i="4"/>
  <c r="BH121" i="4"/>
  <c r="BI121" i="4"/>
  <c r="BJ121" i="4"/>
  <c r="BK121" i="4"/>
  <c r="BL121" i="4"/>
  <c r="BM121" i="4"/>
  <c r="BN121" i="4"/>
  <c r="BO121" i="4"/>
  <c r="BP121" i="4"/>
  <c r="BQ121" i="4"/>
  <c r="BR121" i="4"/>
  <c r="BS121" i="4"/>
  <c r="BT121" i="4"/>
  <c r="BU121" i="4"/>
  <c r="BV121" i="4"/>
  <c r="BW121" i="4"/>
  <c r="BX121" i="4"/>
  <c r="BY121" i="4"/>
  <c r="BZ121" i="4"/>
  <c r="CA121" i="4"/>
  <c r="CB121" i="4"/>
  <c r="CC121" i="4"/>
  <c r="CD121" i="4"/>
  <c r="CE121" i="4"/>
  <c r="CF121" i="4"/>
  <c r="CG121" i="4"/>
  <c r="CH121" i="4"/>
  <c r="CI121" i="4"/>
  <c r="CJ121" i="4"/>
  <c r="CK121" i="4"/>
  <c r="CL121" i="4"/>
  <c r="CM121" i="4"/>
  <c r="CN121" i="4"/>
  <c r="CO121" i="4"/>
  <c r="CP121" i="4"/>
  <c r="CQ121" i="4"/>
  <c r="CR121" i="4"/>
  <c r="CS121" i="4"/>
  <c r="CT121" i="4"/>
  <c r="CU121" i="4"/>
  <c r="CV121" i="4"/>
  <c r="CW121" i="4"/>
  <c r="CX121" i="4"/>
  <c r="D122" i="4"/>
  <c r="E122" i="4"/>
  <c r="F122" i="4"/>
  <c r="G122" i="4"/>
  <c r="H122" i="4"/>
  <c r="I122" i="4"/>
  <c r="J122" i="4"/>
  <c r="K122" i="4"/>
  <c r="L122" i="4"/>
  <c r="M122" i="4"/>
  <c r="N122" i="4"/>
  <c r="O122" i="4"/>
  <c r="P122" i="4"/>
  <c r="Q122" i="4"/>
  <c r="R122" i="4"/>
  <c r="S122" i="4"/>
  <c r="T122" i="4"/>
  <c r="U122" i="4"/>
  <c r="V122" i="4"/>
  <c r="W122" i="4"/>
  <c r="X122" i="4"/>
  <c r="Y122" i="4"/>
  <c r="Z122" i="4"/>
  <c r="AA122" i="4"/>
  <c r="AB122" i="4"/>
  <c r="AC122" i="4"/>
  <c r="AD122" i="4"/>
  <c r="AE122" i="4"/>
  <c r="AF122" i="4"/>
  <c r="AG122" i="4"/>
  <c r="AH122" i="4"/>
  <c r="AI122" i="4"/>
  <c r="AJ122" i="4"/>
  <c r="AK122" i="4"/>
  <c r="AL122" i="4"/>
  <c r="AM122" i="4"/>
  <c r="AN122" i="4"/>
  <c r="AO122" i="4"/>
  <c r="AP122" i="4"/>
  <c r="AQ122" i="4"/>
  <c r="AR122" i="4"/>
  <c r="AS122" i="4"/>
  <c r="AT122" i="4"/>
  <c r="AU122" i="4"/>
  <c r="AV122" i="4"/>
  <c r="AW122" i="4"/>
  <c r="AX122" i="4"/>
  <c r="AY122" i="4"/>
  <c r="AZ122" i="4"/>
  <c r="BA122" i="4"/>
  <c r="BB122" i="4"/>
  <c r="BC122" i="4"/>
  <c r="BD122" i="4"/>
  <c r="BE122" i="4"/>
  <c r="BF122" i="4"/>
  <c r="BG122" i="4"/>
  <c r="BH122" i="4"/>
  <c r="BI122" i="4"/>
  <c r="BJ122" i="4"/>
  <c r="BK122" i="4"/>
  <c r="BL122" i="4"/>
  <c r="BM122" i="4"/>
  <c r="BN122" i="4"/>
  <c r="BO122" i="4"/>
  <c r="BP122" i="4"/>
  <c r="BQ122" i="4"/>
  <c r="BR122" i="4"/>
  <c r="BS122" i="4"/>
  <c r="BT122" i="4"/>
  <c r="BU122" i="4"/>
  <c r="BV122" i="4"/>
  <c r="BW122" i="4"/>
  <c r="BX122" i="4"/>
  <c r="BY122" i="4"/>
  <c r="BZ122" i="4"/>
  <c r="CA122" i="4"/>
  <c r="CB122" i="4"/>
  <c r="CC122" i="4"/>
  <c r="CD122" i="4"/>
  <c r="CE122" i="4"/>
  <c r="CF122" i="4"/>
  <c r="CG122" i="4"/>
  <c r="CH122" i="4"/>
  <c r="CI122" i="4"/>
  <c r="CJ122" i="4"/>
  <c r="CK122" i="4"/>
  <c r="CL122" i="4"/>
  <c r="CM122" i="4"/>
  <c r="CN122" i="4"/>
  <c r="CO122" i="4"/>
  <c r="CP122" i="4"/>
  <c r="CQ122" i="4"/>
  <c r="CR122" i="4"/>
  <c r="CS122" i="4"/>
  <c r="CT122" i="4"/>
  <c r="CU122" i="4"/>
  <c r="CV122" i="4"/>
  <c r="CW122" i="4"/>
  <c r="CX122" i="4"/>
  <c r="D123" i="4"/>
  <c r="E123" i="4"/>
  <c r="F123" i="4"/>
  <c r="G123" i="4"/>
  <c r="H123" i="4"/>
  <c r="I123" i="4"/>
  <c r="J123" i="4"/>
  <c r="K123" i="4"/>
  <c r="L123" i="4"/>
  <c r="M123" i="4"/>
  <c r="N123" i="4"/>
  <c r="O123" i="4"/>
  <c r="P123" i="4"/>
  <c r="Q123" i="4"/>
  <c r="R123" i="4"/>
  <c r="S123" i="4"/>
  <c r="T123" i="4"/>
  <c r="U123" i="4"/>
  <c r="V123" i="4"/>
  <c r="W123" i="4"/>
  <c r="X123" i="4"/>
  <c r="Y123" i="4"/>
  <c r="Z123" i="4"/>
  <c r="AA123" i="4"/>
  <c r="AB123" i="4"/>
  <c r="AC123" i="4"/>
  <c r="AD123" i="4"/>
  <c r="AE123" i="4"/>
  <c r="AF123" i="4"/>
  <c r="AG123" i="4"/>
  <c r="AH123" i="4"/>
  <c r="AI123" i="4"/>
  <c r="AJ123" i="4"/>
  <c r="AK123" i="4"/>
  <c r="AL123" i="4"/>
  <c r="AM123" i="4"/>
  <c r="AN123" i="4"/>
  <c r="AO123" i="4"/>
  <c r="AP123" i="4"/>
  <c r="AQ123" i="4"/>
  <c r="AR123" i="4"/>
  <c r="AS123" i="4"/>
  <c r="AT123" i="4"/>
  <c r="AU123" i="4"/>
  <c r="AV123" i="4"/>
  <c r="AW123" i="4"/>
  <c r="AX123" i="4"/>
  <c r="AY123" i="4"/>
  <c r="AZ123" i="4"/>
  <c r="BA123" i="4"/>
  <c r="BB123" i="4"/>
  <c r="BC123" i="4"/>
  <c r="BD123" i="4"/>
  <c r="BE123" i="4"/>
  <c r="BF123" i="4"/>
  <c r="BG123" i="4"/>
  <c r="BH123" i="4"/>
  <c r="BI123" i="4"/>
  <c r="BJ123" i="4"/>
  <c r="BK123" i="4"/>
  <c r="BL123" i="4"/>
  <c r="BM123" i="4"/>
  <c r="BN123" i="4"/>
  <c r="BO123" i="4"/>
  <c r="BP123" i="4"/>
  <c r="BQ123" i="4"/>
  <c r="BR123" i="4"/>
  <c r="BS123" i="4"/>
  <c r="BT123" i="4"/>
  <c r="BU123" i="4"/>
  <c r="BV123" i="4"/>
  <c r="BW123" i="4"/>
  <c r="BX123" i="4"/>
  <c r="BY123" i="4"/>
  <c r="BZ123" i="4"/>
  <c r="CA123" i="4"/>
  <c r="CB123" i="4"/>
  <c r="CC123" i="4"/>
  <c r="CD123" i="4"/>
  <c r="CE123" i="4"/>
  <c r="CF123" i="4"/>
  <c r="CG123" i="4"/>
  <c r="CH123" i="4"/>
  <c r="CI123" i="4"/>
  <c r="CJ123" i="4"/>
  <c r="CK123" i="4"/>
  <c r="CL123" i="4"/>
  <c r="CM123" i="4"/>
  <c r="CN123" i="4"/>
  <c r="CO123" i="4"/>
  <c r="CP123" i="4"/>
  <c r="CQ123" i="4"/>
  <c r="CR123" i="4"/>
  <c r="CS123" i="4"/>
  <c r="CT123" i="4"/>
  <c r="CU123" i="4"/>
  <c r="CV123" i="4"/>
  <c r="CW123" i="4"/>
  <c r="CX123" i="4"/>
  <c r="D124" i="4"/>
  <c r="E124" i="4"/>
  <c r="F124" i="4"/>
  <c r="G124" i="4"/>
  <c r="H124" i="4"/>
  <c r="I124" i="4"/>
  <c r="J124" i="4"/>
  <c r="K124" i="4"/>
  <c r="L124" i="4"/>
  <c r="M124" i="4"/>
  <c r="N124" i="4"/>
  <c r="O124" i="4"/>
  <c r="P124" i="4"/>
  <c r="Q124" i="4"/>
  <c r="R124" i="4"/>
  <c r="S124" i="4"/>
  <c r="T124" i="4"/>
  <c r="U124" i="4"/>
  <c r="V124" i="4"/>
  <c r="W124" i="4"/>
  <c r="X124" i="4"/>
  <c r="Y124" i="4"/>
  <c r="Z124" i="4"/>
  <c r="AA124" i="4"/>
  <c r="AB124" i="4"/>
  <c r="AC124" i="4"/>
  <c r="AD124" i="4"/>
  <c r="AE124" i="4"/>
  <c r="AF124" i="4"/>
  <c r="AG124" i="4"/>
  <c r="AH124" i="4"/>
  <c r="AI124" i="4"/>
  <c r="AJ124" i="4"/>
  <c r="AK124" i="4"/>
  <c r="AL124" i="4"/>
  <c r="AM124" i="4"/>
  <c r="AN124" i="4"/>
  <c r="AO124" i="4"/>
  <c r="AP124" i="4"/>
  <c r="AQ124" i="4"/>
  <c r="AR124" i="4"/>
  <c r="AS124" i="4"/>
  <c r="AT124" i="4"/>
  <c r="AU124" i="4"/>
  <c r="AV124" i="4"/>
  <c r="AW124" i="4"/>
  <c r="AX124" i="4"/>
  <c r="AY124" i="4"/>
  <c r="AZ124" i="4"/>
  <c r="BA124" i="4"/>
  <c r="BB124" i="4"/>
  <c r="BC124" i="4"/>
  <c r="BD124" i="4"/>
  <c r="BE124" i="4"/>
  <c r="BF124" i="4"/>
  <c r="BG124" i="4"/>
  <c r="BH124" i="4"/>
  <c r="BI124" i="4"/>
  <c r="BJ124" i="4"/>
  <c r="BK124" i="4"/>
  <c r="BL124" i="4"/>
  <c r="BM124" i="4"/>
  <c r="BN124" i="4"/>
  <c r="BO124" i="4"/>
  <c r="BP124" i="4"/>
  <c r="BQ124" i="4"/>
  <c r="BR124" i="4"/>
  <c r="BS124" i="4"/>
  <c r="BT124" i="4"/>
  <c r="BU124" i="4"/>
  <c r="BV124" i="4"/>
  <c r="BW124" i="4"/>
  <c r="BX124" i="4"/>
  <c r="BY124" i="4"/>
  <c r="BZ124" i="4"/>
  <c r="CA124" i="4"/>
  <c r="CB124" i="4"/>
  <c r="CC124" i="4"/>
  <c r="CD124" i="4"/>
  <c r="CE124" i="4"/>
  <c r="CF124" i="4"/>
  <c r="CG124" i="4"/>
  <c r="CH124" i="4"/>
  <c r="CI124" i="4"/>
  <c r="CJ124" i="4"/>
  <c r="CK124" i="4"/>
  <c r="CL124" i="4"/>
  <c r="CM124" i="4"/>
  <c r="CN124" i="4"/>
  <c r="CO124" i="4"/>
  <c r="CP124" i="4"/>
  <c r="CQ124" i="4"/>
  <c r="CR124" i="4"/>
  <c r="CS124" i="4"/>
  <c r="CT124" i="4"/>
  <c r="CU124" i="4"/>
  <c r="CV124" i="4"/>
  <c r="CW124" i="4"/>
  <c r="CX124" i="4"/>
  <c r="D125" i="4"/>
  <c r="E125" i="4"/>
  <c r="F125" i="4"/>
  <c r="G125" i="4"/>
  <c r="H125" i="4"/>
  <c r="I125" i="4"/>
  <c r="J125" i="4"/>
  <c r="K125" i="4"/>
  <c r="L125" i="4"/>
  <c r="M125" i="4"/>
  <c r="N125" i="4"/>
  <c r="O125" i="4"/>
  <c r="P125" i="4"/>
  <c r="Q125" i="4"/>
  <c r="R125" i="4"/>
  <c r="S125" i="4"/>
  <c r="T125" i="4"/>
  <c r="U125" i="4"/>
  <c r="V125" i="4"/>
  <c r="W125" i="4"/>
  <c r="X125" i="4"/>
  <c r="Y125" i="4"/>
  <c r="Z125" i="4"/>
  <c r="AA125" i="4"/>
  <c r="AB125" i="4"/>
  <c r="AC125" i="4"/>
  <c r="AD125" i="4"/>
  <c r="AE125" i="4"/>
  <c r="AF125" i="4"/>
  <c r="AG125" i="4"/>
  <c r="AH125" i="4"/>
  <c r="AI125" i="4"/>
  <c r="AJ125" i="4"/>
  <c r="AK125" i="4"/>
  <c r="AL125" i="4"/>
  <c r="AM125" i="4"/>
  <c r="AN125" i="4"/>
  <c r="AO125" i="4"/>
  <c r="AP125" i="4"/>
  <c r="AQ125" i="4"/>
  <c r="AR125" i="4"/>
  <c r="AS125" i="4"/>
  <c r="AT125" i="4"/>
  <c r="AU125" i="4"/>
  <c r="AV125" i="4"/>
  <c r="AW125" i="4"/>
  <c r="AX125" i="4"/>
  <c r="AY125" i="4"/>
  <c r="AZ125" i="4"/>
  <c r="BA125" i="4"/>
  <c r="BB125" i="4"/>
  <c r="BC125" i="4"/>
  <c r="BD125" i="4"/>
  <c r="BE125" i="4"/>
  <c r="BF125" i="4"/>
  <c r="BG125" i="4"/>
  <c r="BH125" i="4"/>
  <c r="BI125" i="4"/>
  <c r="BJ125" i="4"/>
  <c r="BK125" i="4"/>
  <c r="BL125" i="4"/>
  <c r="BM125" i="4"/>
  <c r="BN125" i="4"/>
  <c r="BO125" i="4"/>
  <c r="BP125" i="4"/>
  <c r="BQ125" i="4"/>
  <c r="BR125" i="4"/>
  <c r="BS125" i="4"/>
  <c r="BT125" i="4"/>
  <c r="BU125" i="4"/>
  <c r="BV125" i="4"/>
  <c r="BW125" i="4"/>
  <c r="BX125" i="4"/>
  <c r="BY125" i="4"/>
  <c r="BZ125" i="4"/>
  <c r="CA125" i="4"/>
  <c r="CB125" i="4"/>
  <c r="CC125" i="4"/>
  <c r="CD125" i="4"/>
  <c r="CE125" i="4"/>
  <c r="CF125" i="4"/>
  <c r="CG125" i="4"/>
  <c r="CH125" i="4"/>
  <c r="CI125" i="4"/>
  <c r="CJ125" i="4"/>
  <c r="CK125" i="4"/>
  <c r="CL125" i="4"/>
  <c r="CM125" i="4"/>
  <c r="CN125" i="4"/>
  <c r="CO125" i="4"/>
  <c r="CP125" i="4"/>
  <c r="CQ125" i="4"/>
  <c r="CR125" i="4"/>
  <c r="CS125" i="4"/>
  <c r="CT125" i="4"/>
  <c r="CU125" i="4"/>
  <c r="CV125" i="4"/>
  <c r="CW125" i="4"/>
  <c r="CX125" i="4"/>
  <c r="D126" i="4"/>
  <c r="E126" i="4"/>
  <c r="F126" i="4"/>
  <c r="G126" i="4"/>
  <c r="H126" i="4"/>
  <c r="I126" i="4"/>
  <c r="J126" i="4"/>
  <c r="K126" i="4"/>
  <c r="L126" i="4"/>
  <c r="M126" i="4"/>
  <c r="N126" i="4"/>
  <c r="O126" i="4"/>
  <c r="P126" i="4"/>
  <c r="Q126" i="4"/>
  <c r="R126" i="4"/>
  <c r="S126" i="4"/>
  <c r="T126" i="4"/>
  <c r="U126" i="4"/>
  <c r="V126" i="4"/>
  <c r="W126" i="4"/>
  <c r="X126" i="4"/>
  <c r="Y126" i="4"/>
  <c r="Z126" i="4"/>
  <c r="AA126" i="4"/>
  <c r="AB126" i="4"/>
  <c r="AC126" i="4"/>
  <c r="AD126" i="4"/>
  <c r="AE126" i="4"/>
  <c r="AF126" i="4"/>
  <c r="AG126" i="4"/>
  <c r="AH126" i="4"/>
  <c r="AI126" i="4"/>
  <c r="AJ126" i="4"/>
  <c r="AK126" i="4"/>
  <c r="AL126" i="4"/>
  <c r="AM126" i="4"/>
  <c r="AN126" i="4"/>
  <c r="AO126" i="4"/>
  <c r="AP126" i="4"/>
  <c r="AQ126" i="4"/>
  <c r="AR126" i="4"/>
  <c r="AS126" i="4"/>
  <c r="AT126" i="4"/>
  <c r="AU126" i="4"/>
  <c r="AV126" i="4"/>
  <c r="AW126" i="4"/>
  <c r="AX126" i="4"/>
  <c r="AY126" i="4"/>
  <c r="AZ126" i="4"/>
  <c r="BA126" i="4"/>
  <c r="BB126" i="4"/>
  <c r="BC126" i="4"/>
  <c r="BD126" i="4"/>
  <c r="BE126" i="4"/>
  <c r="BF126" i="4"/>
  <c r="BG126" i="4"/>
  <c r="BH126" i="4"/>
  <c r="BI126" i="4"/>
  <c r="BJ126" i="4"/>
  <c r="BK126" i="4"/>
  <c r="BL126" i="4"/>
  <c r="BM126" i="4"/>
  <c r="BN126" i="4"/>
  <c r="BO126" i="4"/>
  <c r="BP126" i="4"/>
  <c r="BQ126" i="4"/>
  <c r="BR126" i="4"/>
  <c r="BS126" i="4"/>
  <c r="BT126" i="4"/>
  <c r="BU126" i="4"/>
  <c r="BV126" i="4"/>
  <c r="BW126" i="4"/>
  <c r="BX126" i="4"/>
  <c r="BY126" i="4"/>
  <c r="BZ126" i="4"/>
  <c r="CA126" i="4"/>
  <c r="CB126" i="4"/>
  <c r="CC126" i="4"/>
  <c r="CD126" i="4"/>
  <c r="CE126" i="4"/>
  <c r="CF126" i="4"/>
  <c r="CG126" i="4"/>
  <c r="CH126" i="4"/>
  <c r="CI126" i="4"/>
  <c r="CJ126" i="4"/>
  <c r="CK126" i="4"/>
  <c r="CL126" i="4"/>
  <c r="CM126" i="4"/>
  <c r="CN126" i="4"/>
  <c r="CO126" i="4"/>
  <c r="CP126" i="4"/>
  <c r="CQ126" i="4"/>
  <c r="CR126" i="4"/>
  <c r="CS126" i="4"/>
  <c r="CT126" i="4"/>
  <c r="CU126" i="4"/>
  <c r="CV126" i="4"/>
  <c r="CW126" i="4"/>
  <c r="CX126" i="4"/>
  <c r="D127" i="4"/>
  <c r="E127" i="4"/>
  <c r="F127" i="4"/>
  <c r="G127" i="4"/>
  <c r="H127" i="4"/>
  <c r="I127" i="4"/>
  <c r="J127" i="4"/>
  <c r="K127" i="4"/>
  <c r="L127" i="4"/>
  <c r="M127" i="4"/>
  <c r="N127" i="4"/>
  <c r="O127" i="4"/>
  <c r="P127" i="4"/>
  <c r="Q127" i="4"/>
  <c r="R127" i="4"/>
  <c r="S127" i="4"/>
  <c r="T127" i="4"/>
  <c r="U127" i="4"/>
  <c r="V127" i="4"/>
  <c r="W127" i="4"/>
  <c r="X127" i="4"/>
  <c r="Y127" i="4"/>
  <c r="Z127" i="4"/>
  <c r="AA127" i="4"/>
  <c r="AB127" i="4"/>
  <c r="AC127" i="4"/>
  <c r="AD127" i="4"/>
  <c r="AE127" i="4"/>
  <c r="AF127" i="4"/>
  <c r="AG127" i="4"/>
  <c r="AH127" i="4"/>
  <c r="AI127" i="4"/>
  <c r="AJ127" i="4"/>
  <c r="AK127" i="4"/>
  <c r="AL127" i="4"/>
  <c r="AM127" i="4"/>
  <c r="AN127" i="4"/>
  <c r="AO127" i="4"/>
  <c r="AP127" i="4"/>
  <c r="AQ127" i="4"/>
  <c r="AR127" i="4"/>
  <c r="AS127" i="4"/>
  <c r="AT127" i="4"/>
  <c r="AU127" i="4"/>
  <c r="AV127" i="4"/>
  <c r="AW127" i="4"/>
  <c r="AX127" i="4"/>
  <c r="AY127" i="4"/>
  <c r="AZ127" i="4"/>
  <c r="BA127" i="4"/>
  <c r="BB127" i="4"/>
  <c r="BC127" i="4"/>
  <c r="BD127" i="4"/>
  <c r="BE127" i="4"/>
  <c r="BF127" i="4"/>
  <c r="BG127" i="4"/>
  <c r="BH127" i="4"/>
  <c r="BI127" i="4"/>
  <c r="BJ127" i="4"/>
  <c r="BK127" i="4"/>
  <c r="BL127" i="4"/>
  <c r="BM127" i="4"/>
  <c r="BN127" i="4"/>
  <c r="BO127" i="4"/>
  <c r="BP127" i="4"/>
  <c r="BQ127" i="4"/>
  <c r="BR127" i="4"/>
  <c r="BS127" i="4"/>
  <c r="BT127" i="4"/>
  <c r="BU127" i="4"/>
  <c r="BV127" i="4"/>
  <c r="BW127" i="4"/>
  <c r="BX127" i="4"/>
  <c r="BY127" i="4"/>
  <c r="BZ127" i="4"/>
  <c r="CA127" i="4"/>
  <c r="CB127" i="4"/>
  <c r="CC127" i="4"/>
  <c r="CD127" i="4"/>
  <c r="CE127" i="4"/>
  <c r="CF127" i="4"/>
  <c r="CG127" i="4"/>
  <c r="CH127" i="4"/>
  <c r="CI127" i="4"/>
  <c r="CJ127" i="4"/>
  <c r="CK127" i="4"/>
  <c r="CL127" i="4"/>
  <c r="CM127" i="4"/>
  <c r="CN127" i="4"/>
  <c r="CO127" i="4"/>
  <c r="CP127" i="4"/>
  <c r="CQ127" i="4"/>
  <c r="CR127" i="4"/>
  <c r="CS127" i="4"/>
  <c r="CT127" i="4"/>
  <c r="CU127" i="4"/>
  <c r="CV127" i="4"/>
  <c r="CW127" i="4"/>
  <c r="CX127" i="4"/>
  <c r="D128" i="4"/>
  <c r="E128" i="4"/>
  <c r="F128" i="4"/>
  <c r="G128" i="4"/>
  <c r="H128" i="4"/>
  <c r="I128" i="4"/>
  <c r="J128" i="4"/>
  <c r="K128" i="4"/>
  <c r="L128" i="4"/>
  <c r="M128" i="4"/>
  <c r="N128" i="4"/>
  <c r="O128" i="4"/>
  <c r="P128" i="4"/>
  <c r="Q128" i="4"/>
  <c r="R128" i="4"/>
  <c r="S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AF128" i="4"/>
  <c r="AG128" i="4"/>
  <c r="AH128" i="4"/>
  <c r="AI128" i="4"/>
  <c r="AJ128" i="4"/>
  <c r="AK128" i="4"/>
  <c r="AL128" i="4"/>
  <c r="AM128" i="4"/>
  <c r="AN128" i="4"/>
  <c r="AO128" i="4"/>
  <c r="AP128" i="4"/>
  <c r="AQ128" i="4"/>
  <c r="AR128" i="4"/>
  <c r="AS128" i="4"/>
  <c r="AT128" i="4"/>
  <c r="AU128" i="4"/>
  <c r="AV128" i="4"/>
  <c r="AW128" i="4"/>
  <c r="AX128" i="4"/>
  <c r="AY128" i="4"/>
  <c r="AZ128" i="4"/>
  <c r="BA128" i="4"/>
  <c r="BB128" i="4"/>
  <c r="BC128" i="4"/>
  <c r="BD128" i="4"/>
  <c r="BE128" i="4"/>
  <c r="BF128" i="4"/>
  <c r="BG128" i="4"/>
  <c r="BH128" i="4"/>
  <c r="BI128" i="4"/>
  <c r="BJ128" i="4"/>
  <c r="BK128" i="4"/>
  <c r="BL128" i="4"/>
  <c r="BM128" i="4"/>
  <c r="BN128" i="4"/>
  <c r="BO128" i="4"/>
  <c r="BP128" i="4"/>
  <c r="BQ128" i="4"/>
  <c r="BR128" i="4"/>
  <c r="BS128" i="4"/>
  <c r="BT128" i="4"/>
  <c r="BU128" i="4"/>
  <c r="BV128" i="4"/>
  <c r="BW128" i="4"/>
  <c r="BX128" i="4"/>
  <c r="BY128" i="4"/>
  <c r="BZ128" i="4"/>
  <c r="CA128" i="4"/>
  <c r="CB128" i="4"/>
  <c r="CC128" i="4"/>
  <c r="CD128" i="4"/>
  <c r="CE128" i="4"/>
  <c r="CF128" i="4"/>
  <c r="CG128" i="4"/>
  <c r="CH128" i="4"/>
  <c r="CI128" i="4"/>
  <c r="CJ128" i="4"/>
  <c r="CK128" i="4"/>
  <c r="CL128" i="4"/>
  <c r="CM128" i="4"/>
  <c r="CN128" i="4"/>
  <c r="CO128" i="4"/>
  <c r="CP128" i="4"/>
  <c r="CQ128" i="4"/>
  <c r="CR128" i="4"/>
  <c r="CS128" i="4"/>
  <c r="CT128" i="4"/>
  <c r="CU128" i="4"/>
  <c r="CV128" i="4"/>
  <c r="CW128" i="4"/>
  <c r="CX128" i="4"/>
  <c r="D129" i="4"/>
  <c r="E129" i="4"/>
  <c r="F129" i="4"/>
  <c r="G129" i="4"/>
  <c r="H129" i="4"/>
  <c r="I129" i="4"/>
  <c r="J129" i="4"/>
  <c r="K129" i="4"/>
  <c r="L129" i="4"/>
  <c r="M129" i="4"/>
  <c r="N129" i="4"/>
  <c r="O129" i="4"/>
  <c r="P129" i="4"/>
  <c r="Q129" i="4"/>
  <c r="R129" i="4"/>
  <c r="S129" i="4"/>
  <c r="T129" i="4"/>
  <c r="U129" i="4"/>
  <c r="V129" i="4"/>
  <c r="W129" i="4"/>
  <c r="X129" i="4"/>
  <c r="Y129" i="4"/>
  <c r="Z129" i="4"/>
  <c r="AA129" i="4"/>
  <c r="AB129" i="4"/>
  <c r="AC129" i="4"/>
  <c r="AD129" i="4"/>
  <c r="AE129" i="4"/>
  <c r="AF129" i="4"/>
  <c r="AG129" i="4"/>
  <c r="AH129" i="4"/>
  <c r="AI129" i="4"/>
  <c r="AJ129" i="4"/>
  <c r="AK129" i="4"/>
  <c r="AL129" i="4"/>
  <c r="AM129" i="4"/>
  <c r="AN129" i="4"/>
  <c r="AO129" i="4"/>
  <c r="AP129" i="4"/>
  <c r="AQ129" i="4"/>
  <c r="AR129" i="4"/>
  <c r="AS129" i="4"/>
  <c r="AT129" i="4"/>
  <c r="AU129" i="4"/>
  <c r="AV129" i="4"/>
  <c r="AW129" i="4"/>
  <c r="AX129" i="4"/>
  <c r="AY129" i="4"/>
  <c r="AZ129" i="4"/>
  <c r="BA129" i="4"/>
  <c r="BB129" i="4"/>
  <c r="BC129" i="4"/>
  <c r="BD129" i="4"/>
  <c r="BE129" i="4"/>
  <c r="BF129" i="4"/>
  <c r="BG129" i="4"/>
  <c r="BH129" i="4"/>
  <c r="BI129" i="4"/>
  <c r="BJ129" i="4"/>
  <c r="BK129" i="4"/>
  <c r="BL129" i="4"/>
  <c r="BM129" i="4"/>
  <c r="BN129" i="4"/>
  <c r="BO129" i="4"/>
  <c r="BP129" i="4"/>
  <c r="BQ129" i="4"/>
  <c r="BR129" i="4"/>
  <c r="BS129" i="4"/>
  <c r="BT129" i="4"/>
  <c r="BU129" i="4"/>
  <c r="BV129" i="4"/>
  <c r="BW129" i="4"/>
  <c r="BX129" i="4"/>
  <c r="BY129" i="4"/>
  <c r="BZ129" i="4"/>
  <c r="CA129" i="4"/>
  <c r="CB129" i="4"/>
  <c r="CC129" i="4"/>
  <c r="CD129" i="4"/>
  <c r="CE129" i="4"/>
  <c r="CF129" i="4"/>
  <c r="CG129" i="4"/>
  <c r="CH129" i="4"/>
  <c r="CI129" i="4"/>
  <c r="CJ129" i="4"/>
  <c r="CK129" i="4"/>
  <c r="CL129" i="4"/>
  <c r="CM129" i="4"/>
  <c r="CN129" i="4"/>
  <c r="CO129" i="4"/>
  <c r="CP129" i="4"/>
  <c r="CQ129" i="4"/>
  <c r="CR129" i="4"/>
  <c r="CS129" i="4"/>
  <c r="CT129" i="4"/>
  <c r="CU129" i="4"/>
  <c r="CV129" i="4"/>
  <c r="CW129" i="4"/>
  <c r="CX129" i="4"/>
  <c r="D130" i="4"/>
  <c r="E130" i="4"/>
  <c r="F130" i="4"/>
  <c r="G130" i="4"/>
  <c r="H130" i="4"/>
  <c r="I130" i="4"/>
  <c r="J130" i="4"/>
  <c r="K130" i="4"/>
  <c r="L130" i="4"/>
  <c r="M130" i="4"/>
  <c r="N130" i="4"/>
  <c r="O130" i="4"/>
  <c r="P130" i="4"/>
  <c r="Q130" i="4"/>
  <c r="R130" i="4"/>
  <c r="S130" i="4"/>
  <c r="T130" i="4"/>
  <c r="U130" i="4"/>
  <c r="V130" i="4"/>
  <c r="W130" i="4"/>
  <c r="X130" i="4"/>
  <c r="Y130" i="4"/>
  <c r="Z130" i="4"/>
  <c r="AA130" i="4"/>
  <c r="AB130" i="4"/>
  <c r="AC130" i="4"/>
  <c r="AD130" i="4"/>
  <c r="AE130" i="4"/>
  <c r="AF130" i="4"/>
  <c r="AG130" i="4"/>
  <c r="AH130" i="4"/>
  <c r="AI130" i="4"/>
  <c r="AJ130" i="4"/>
  <c r="AK130" i="4"/>
  <c r="AL130" i="4"/>
  <c r="AM130" i="4"/>
  <c r="AN130" i="4"/>
  <c r="AO130" i="4"/>
  <c r="AP130" i="4"/>
  <c r="AQ130" i="4"/>
  <c r="AR130" i="4"/>
  <c r="AS130" i="4"/>
  <c r="AT130" i="4"/>
  <c r="AU130" i="4"/>
  <c r="AV130" i="4"/>
  <c r="AW130" i="4"/>
  <c r="AX130" i="4"/>
  <c r="AY130" i="4"/>
  <c r="AZ130" i="4"/>
  <c r="BA130" i="4"/>
  <c r="BB130" i="4"/>
  <c r="BC130" i="4"/>
  <c r="BD130" i="4"/>
  <c r="BE130" i="4"/>
  <c r="BF130" i="4"/>
  <c r="BG130" i="4"/>
  <c r="BH130" i="4"/>
  <c r="BI130" i="4"/>
  <c r="BJ130" i="4"/>
  <c r="BK130" i="4"/>
  <c r="BL130" i="4"/>
  <c r="BM130" i="4"/>
  <c r="BN130" i="4"/>
  <c r="BO130" i="4"/>
  <c r="BP130" i="4"/>
  <c r="BQ130" i="4"/>
  <c r="BR130" i="4"/>
  <c r="BS130" i="4"/>
  <c r="BT130" i="4"/>
  <c r="BU130" i="4"/>
  <c r="BV130" i="4"/>
  <c r="BW130" i="4"/>
  <c r="BX130" i="4"/>
  <c r="BY130" i="4"/>
  <c r="BZ130" i="4"/>
  <c r="CA130" i="4"/>
  <c r="CB130" i="4"/>
  <c r="CC130" i="4"/>
  <c r="CD130" i="4"/>
  <c r="CE130" i="4"/>
  <c r="CF130" i="4"/>
  <c r="CG130" i="4"/>
  <c r="CH130" i="4"/>
  <c r="CI130" i="4"/>
  <c r="CJ130" i="4"/>
  <c r="CK130" i="4"/>
  <c r="CL130" i="4"/>
  <c r="CM130" i="4"/>
  <c r="CN130" i="4"/>
  <c r="CO130" i="4"/>
  <c r="CP130" i="4"/>
  <c r="CQ130" i="4"/>
  <c r="CR130" i="4"/>
  <c r="CS130" i="4"/>
  <c r="CT130" i="4"/>
  <c r="CU130" i="4"/>
  <c r="CV130" i="4"/>
  <c r="CW130" i="4"/>
  <c r="CX130" i="4"/>
  <c r="D131" i="4"/>
  <c r="E131" i="4"/>
  <c r="F131" i="4"/>
  <c r="G131" i="4"/>
  <c r="H131" i="4"/>
  <c r="I131" i="4"/>
  <c r="J131" i="4"/>
  <c r="K131" i="4"/>
  <c r="L131" i="4"/>
  <c r="M131" i="4"/>
  <c r="N131" i="4"/>
  <c r="O131" i="4"/>
  <c r="P131" i="4"/>
  <c r="Q131" i="4"/>
  <c r="R131" i="4"/>
  <c r="S131" i="4"/>
  <c r="T131" i="4"/>
  <c r="U131" i="4"/>
  <c r="V131" i="4"/>
  <c r="W131" i="4"/>
  <c r="X131" i="4"/>
  <c r="Y131" i="4"/>
  <c r="Z131" i="4"/>
  <c r="AA131" i="4"/>
  <c r="AB131" i="4"/>
  <c r="AC131" i="4"/>
  <c r="AD131" i="4"/>
  <c r="AE131" i="4"/>
  <c r="AF131" i="4"/>
  <c r="AG131" i="4"/>
  <c r="AH131" i="4"/>
  <c r="AI131" i="4"/>
  <c r="AJ131" i="4"/>
  <c r="AK131" i="4"/>
  <c r="AL131" i="4"/>
  <c r="AM131" i="4"/>
  <c r="AN131" i="4"/>
  <c r="AO131" i="4"/>
  <c r="AP131" i="4"/>
  <c r="AQ131" i="4"/>
  <c r="AR131" i="4"/>
  <c r="AS131" i="4"/>
  <c r="AT131" i="4"/>
  <c r="AU131" i="4"/>
  <c r="AV131" i="4"/>
  <c r="AW131" i="4"/>
  <c r="AX131" i="4"/>
  <c r="AY131" i="4"/>
  <c r="AZ131" i="4"/>
  <c r="BA131" i="4"/>
  <c r="BB131" i="4"/>
  <c r="BC131" i="4"/>
  <c r="BD131" i="4"/>
  <c r="BE131" i="4"/>
  <c r="BF131" i="4"/>
  <c r="BG131" i="4"/>
  <c r="BH131" i="4"/>
  <c r="BI131" i="4"/>
  <c r="BJ131" i="4"/>
  <c r="BK131" i="4"/>
  <c r="BL131" i="4"/>
  <c r="BM131" i="4"/>
  <c r="BN131" i="4"/>
  <c r="BO131" i="4"/>
  <c r="BP131" i="4"/>
  <c r="BQ131" i="4"/>
  <c r="BR131" i="4"/>
  <c r="BS131" i="4"/>
  <c r="BT131" i="4"/>
  <c r="BU131" i="4"/>
  <c r="BV131" i="4"/>
  <c r="BW131" i="4"/>
  <c r="BX131" i="4"/>
  <c r="BY131" i="4"/>
  <c r="BZ131" i="4"/>
  <c r="CA131" i="4"/>
  <c r="CB131" i="4"/>
  <c r="CC131" i="4"/>
  <c r="CD131" i="4"/>
  <c r="CE131" i="4"/>
  <c r="CF131" i="4"/>
  <c r="CG131" i="4"/>
  <c r="CH131" i="4"/>
  <c r="CI131" i="4"/>
  <c r="CJ131" i="4"/>
  <c r="CK131" i="4"/>
  <c r="CL131" i="4"/>
  <c r="CM131" i="4"/>
  <c r="CN131" i="4"/>
  <c r="CO131" i="4"/>
  <c r="CP131" i="4"/>
  <c r="CQ131" i="4"/>
  <c r="CR131" i="4"/>
  <c r="CS131" i="4"/>
  <c r="CT131" i="4"/>
  <c r="CU131" i="4"/>
  <c r="CV131" i="4"/>
  <c r="CW131" i="4"/>
  <c r="CX131" i="4"/>
  <c r="D132" i="4"/>
  <c r="E132" i="4"/>
  <c r="F132" i="4"/>
  <c r="G132" i="4"/>
  <c r="H132" i="4"/>
  <c r="I132" i="4"/>
  <c r="J132" i="4"/>
  <c r="K132" i="4"/>
  <c r="L132" i="4"/>
  <c r="M132" i="4"/>
  <c r="N132" i="4"/>
  <c r="O132" i="4"/>
  <c r="P132" i="4"/>
  <c r="Q132" i="4"/>
  <c r="R132" i="4"/>
  <c r="S132" i="4"/>
  <c r="T132" i="4"/>
  <c r="U132" i="4"/>
  <c r="V132" i="4"/>
  <c r="W132" i="4"/>
  <c r="X132" i="4"/>
  <c r="Y132" i="4"/>
  <c r="Z132" i="4"/>
  <c r="AA132" i="4"/>
  <c r="AB132" i="4"/>
  <c r="AC132" i="4"/>
  <c r="AD132" i="4"/>
  <c r="AE132" i="4"/>
  <c r="AF132" i="4"/>
  <c r="AG132" i="4"/>
  <c r="AH132" i="4"/>
  <c r="AI132" i="4"/>
  <c r="AJ132" i="4"/>
  <c r="AK132" i="4"/>
  <c r="AL132" i="4"/>
  <c r="AM132" i="4"/>
  <c r="AN132" i="4"/>
  <c r="AO132" i="4"/>
  <c r="AP132" i="4"/>
  <c r="AQ132" i="4"/>
  <c r="AR132" i="4"/>
  <c r="AS132" i="4"/>
  <c r="AT132" i="4"/>
  <c r="AU132" i="4"/>
  <c r="AV132" i="4"/>
  <c r="AW132" i="4"/>
  <c r="AX132" i="4"/>
  <c r="AY132" i="4"/>
  <c r="AZ132" i="4"/>
  <c r="BA132" i="4"/>
  <c r="BB132" i="4"/>
  <c r="BC132" i="4"/>
  <c r="BD132" i="4"/>
  <c r="BE132" i="4"/>
  <c r="BF132" i="4"/>
  <c r="BG132" i="4"/>
  <c r="BH132" i="4"/>
  <c r="BI132" i="4"/>
  <c r="BJ132" i="4"/>
  <c r="BK132" i="4"/>
  <c r="BL132" i="4"/>
  <c r="BM132" i="4"/>
  <c r="BN132" i="4"/>
  <c r="BO132" i="4"/>
  <c r="BP132" i="4"/>
  <c r="BQ132" i="4"/>
  <c r="BR132" i="4"/>
  <c r="BS132" i="4"/>
  <c r="BT132" i="4"/>
  <c r="BU132" i="4"/>
  <c r="BV132" i="4"/>
  <c r="BW132" i="4"/>
  <c r="BX132" i="4"/>
  <c r="BY132" i="4"/>
  <c r="BZ132" i="4"/>
  <c r="CA132" i="4"/>
  <c r="CB132" i="4"/>
  <c r="CC132" i="4"/>
  <c r="CD132" i="4"/>
  <c r="CE132" i="4"/>
  <c r="CF132" i="4"/>
  <c r="CG132" i="4"/>
  <c r="CH132" i="4"/>
  <c r="CI132" i="4"/>
  <c r="CJ132" i="4"/>
  <c r="CK132" i="4"/>
  <c r="CL132" i="4"/>
  <c r="CM132" i="4"/>
  <c r="CN132" i="4"/>
  <c r="CO132" i="4"/>
  <c r="CP132" i="4"/>
  <c r="CQ132" i="4"/>
  <c r="CR132" i="4"/>
  <c r="CS132" i="4"/>
  <c r="CT132" i="4"/>
  <c r="CU132" i="4"/>
  <c r="CV132" i="4"/>
  <c r="CW132" i="4"/>
  <c r="CX132" i="4"/>
  <c r="D133" i="4"/>
  <c r="E133" i="4"/>
  <c r="F133" i="4"/>
  <c r="G133" i="4"/>
  <c r="H133" i="4"/>
  <c r="I133" i="4"/>
  <c r="J133" i="4"/>
  <c r="K133" i="4"/>
  <c r="L133" i="4"/>
  <c r="M133" i="4"/>
  <c r="N133" i="4"/>
  <c r="O133" i="4"/>
  <c r="P133" i="4"/>
  <c r="Q133" i="4"/>
  <c r="R133" i="4"/>
  <c r="S133" i="4"/>
  <c r="T133" i="4"/>
  <c r="U133" i="4"/>
  <c r="V133" i="4"/>
  <c r="W133" i="4"/>
  <c r="X133" i="4"/>
  <c r="Y133" i="4"/>
  <c r="Z133" i="4"/>
  <c r="AA133" i="4"/>
  <c r="AB133" i="4"/>
  <c r="AC133" i="4"/>
  <c r="AD133" i="4"/>
  <c r="AE133" i="4"/>
  <c r="AF133" i="4"/>
  <c r="AG133" i="4"/>
  <c r="AH133" i="4"/>
  <c r="AI133" i="4"/>
  <c r="AJ133" i="4"/>
  <c r="AK133" i="4"/>
  <c r="AL133" i="4"/>
  <c r="AM133" i="4"/>
  <c r="AN133" i="4"/>
  <c r="AO133" i="4"/>
  <c r="AP133" i="4"/>
  <c r="AQ133" i="4"/>
  <c r="AR133" i="4"/>
  <c r="AS133" i="4"/>
  <c r="AT133" i="4"/>
  <c r="AU133" i="4"/>
  <c r="AV133" i="4"/>
  <c r="AW133" i="4"/>
  <c r="AX133" i="4"/>
  <c r="AY133" i="4"/>
  <c r="AZ133" i="4"/>
  <c r="BA133" i="4"/>
  <c r="BB133" i="4"/>
  <c r="BC133" i="4"/>
  <c r="BD133" i="4"/>
  <c r="BE133" i="4"/>
  <c r="BF133" i="4"/>
  <c r="BG133" i="4"/>
  <c r="BH133" i="4"/>
  <c r="BI133" i="4"/>
  <c r="BJ133" i="4"/>
  <c r="BK133" i="4"/>
  <c r="BL133" i="4"/>
  <c r="BM133" i="4"/>
  <c r="BN133" i="4"/>
  <c r="BO133" i="4"/>
  <c r="BP133" i="4"/>
  <c r="BQ133" i="4"/>
  <c r="BR133" i="4"/>
  <c r="BS133" i="4"/>
  <c r="BT133" i="4"/>
  <c r="BU133" i="4"/>
  <c r="BV133" i="4"/>
  <c r="BW133" i="4"/>
  <c r="BX133" i="4"/>
  <c r="BY133" i="4"/>
  <c r="BZ133" i="4"/>
  <c r="CA133" i="4"/>
  <c r="CB133" i="4"/>
  <c r="CC133" i="4"/>
  <c r="CD133" i="4"/>
  <c r="CE133" i="4"/>
  <c r="CF133" i="4"/>
  <c r="CG133" i="4"/>
  <c r="CH133" i="4"/>
  <c r="CI133" i="4"/>
  <c r="CJ133" i="4"/>
  <c r="CK133" i="4"/>
  <c r="CL133" i="4"/>
  <c r="CM133" i="4"/>
  <c r="CN133" i="4"/>
  <c r="CO133" i="4"/>
  <c r="CP133" i="4"/>
  <c r="CQ133" i="4"/>
  <c r="CR133" i="4"/>
  <c r="CS133" i="4"/>
  <c r="CT133" i="4"/>
  <c r="CU133" i="4"/>
  <c r="CV133" i="4"/>
  <c r="CW133" i="4"/>
  <c r="CX133" i="4"/>
  <c r="D134" i="4"/>
  <c r="E134" i="4"/>
  <c r="F134" i="4"/>
  <c r="G134" i="4"/>
  <c r="H134" i="4"/>
  <c r="I134" i="4"/>
  <c r="J134" i="4"/>
  <c r="K134" i="4"/>
  <c r="L134" i="4"/>
  <c r="M134" i="4"/>
  <c r="N134" i="4"/>
  <c r="O134" i="4"/>
  <c r="P134" i="4"/>
  <c r="Q134" i="4"/>
  <c r="R134" i="4"/>
  <c r="S134" i="4"/>
  <c r="T134" i="4"/>
  <c r="U134" i="4"/>
  <c r="V134" i="4"/>
  <c r="W134" i="4"/>
  <c r="X134" i="4"/>
  <c r="Y134" i="4"/>
  <c r="Z134" i="4"/>
  <c r="AA134" i="4"/>
  <c r="AB134" i="4"/>
  <c r="AC134" i="4"/>
  <c r="AD134" i="4"/>
  <c r="AE134" i="4"/>
  <c r="AF134" i="4"/>
  <c r="AG134" i="4"/>
  <c r="AH134" i="4"/>
  <c r="AI134" i="4"/>
  <c r="AJ134" i="4"/>
  <c r="AK134" i="4"/>
  <c r="AL134" i="4"/>
  <c r="AM134" i="4"/>
  <c r="AN134" i="4"/>
  <c r="AO134" i="4"/>
  <c r="AP134" i="4"/>
  <c r="AQ134" i="4"/>
  <c r="AR134" i="4"/>
  <c r="AS134" i="4"/>
  <c r="AT134" i="4"/>
  <c r="AU134" i="4"/>
  <c r="AV134" i="4"/>
  <c r="AW134" i="4"/>
  <c r="AX134" i="4"/>
  <c r="AY134" i="4"/>
  <c r="AZ134" i="4"/>
  <c r="BA134" i="4"/>
  <c r="BB134" i="4"/>
  <c r="BC134" i="4"/>
  <c r="BD134" i="4"/>
  <c r="BE134" i="4"/>
  <c r="BF134" i="4"/>
  <c r="BG134" i="4"/>
  <c r="BH134" i="4"/>
  <c r="BI134" i="4"/>
  <c r="BJ134" i="4"/>
  <c r="BK134" i="4"/>
  <c r="BL134" i="4"/>
  <c r="BM134" i="4"/>
  <c r="BN134" i="4"/>
  <c r="BO134" i="4"/>
  <c r="BP134" i="4"/>
  <c r="BQ134" i="4"/>
  <c r="BR134" i="4"/>
  <c r="BS134" i="4"/>
  <c r="BT134" i="4"/>
  <c r="BU134" i="4"/>
  <c r="BV134" i="4"/>
  <c r="BW134" i="4"/>
  <c r="BX134" i="4"/>
  <c r="BY134" i="4"/>
  <c r="BZ134" i="4"/>
  <c r="CA134" i="4"/>
  <c r="CB134" i="4"/>
  <c r="CC134" i="4"/>
  <c r="CD134" i="4"/>
  <c r="CE134" i="4"/>
  <c r="CF134" i="4"/>
  <c r="CG134" i="4"/>
  <c r="CH134" i="4"/>
  <c r="CI134" i="4"/>
  <c r="CJ134" i="4"/>
  <c r="CK134" i="4"/>
  <c r="CL134" i="4"/>
  <c r="CM134" i="4"/>
  <c r="CN134" i="4"/>
  <c r="CO134" i="4"/>
  <c r="CP134" i="4"/>
  <c r="CQ134" i="4"/>
  <c r="CR134" i="4"/>
  <c r="CS134" i="4"/>
  <c r="CT134" i="4"/>
  <c r="CU134" i="4"/>
  <c r="CV134" i="4"/>
  <c r="CW134" i="4"/>
  <c r="CX134" i="4"/>
  <c r="D135" i="4"/>
  <c r="E135" i="4"/>
  <c r="F135" i="4"/>
  <c r="G135" i="4"/>
  <c r="H135" i="4"/>
  <c r="I135" i="4"/>
  <c r="J135" i="4"/>
  <c r="K135" i="4"/>
  <c r="L135" i="4"/>
  <c r="M135" i="4"/>
  <c r="N135" i="4"/>
  <c r="O135" i="4"/>
  <c r="P135" i="4"/>
  <c r="Q135" i="4"/>
  <c r="R135" i="4"/>
  <c r="S135" i="4"/>
  <c r="T135" i="4"/>
  <c r="U135" i="4"/>
  <c r="V135" i="4"/>
  <c r="W135" i="4"/>
  <c r="X135" i="4"/>
  <c r="Y135" i="4"/>
  <c r="Z135" i="4"/>
  <c r="AA135" i="4"/>
  <c r="AB135" i="4"/>
  <c r="AC135" i="4"/>
  <c r="AD135" i="4"/>
  <c r="AE135" i="4"/>
  <c r="AF135" i="4"/>
  <c r="AG135" i="4"/>
  <c r="AH135" i="4"/>
  <c r="AI135" i="4"/>
  <c r="AJ135" i="4"/>
  <c r="AK135" i="4"/>
  <c r="AL135" i="4"/>
  <c r="AM135" i="4"/>
  <c r="AN135" i="4"/>
  <c r="AO135" i="4"/>
  <c r="AP135" i="4"/>
  <c r="AQ135" i="4"/>
  <c r="AR135" i="4"/>
  <c r="AS135" i="4"/>
  <c r="AT135" i="4"/>
  <c r="AU135" i="4"/>
  <c r="AV135" i="4"/>
  <c r="AW135" i="4"/>
  <c r="AX135" i="4"/>
  <c r="AY135" i="4"/>
  <c r="AZ135" i="4"/>
  <c r="BA135" i="4"/>
  <c r="BB135" i="4"/>
  <c r="BC135" i="4"/>
  <c r="BD135" i="4"/>
  <c r="BE135" i="4"/>
  <c r="BF135" i="4"/>
  <c r="BG135" i="4"/>
  <c r="BH135" i="4"/>
  <c r="BI135" i="4"/>
  <c r="BJ135" i="4"/>
  <c r="BK135" i="4"/>
  <c r="BL135" i="4"/>
  <c r="BM135" i="4"/>
  <c r="BN135" i="4"/>
  <c r="BO135" i="4"/>
  <c r="BP135" i="4"/>
  <c r="BQ135" i="4"/>
  <c r="BR135" i="4"/>
  <c r="BS135" i="4"/>
  <c r="BT135" i="4"/>
  <c r="BU135" i="4"/>
  <c r="BV135" i="4"/>
  <c r="BW135" i="4"/>
  <c r="BX135" i="4"/>
  <c r="BY135" i="4"/>
  <c r="BZ135" i="4"/>
  <c r="CA135" i="4"/>
  <c r="CB135" i="4"/>
  <c r="CC135" i="4"/>
  <c r="CD135" i="4"/>
  <c r="CE135" i="4"/>
  <c r="CF135" i="4"/>
  <c r="CG135" i="4"/>
  <c r="CH135" i="4"/>
  <c r="CI135" i="4"/>
  <c r="CJ135" i="4"/>
  <c r="CK135" i="4"/>
  <c r="CL135" i="4"/>
  <c r="CM135" i="4"/>
  <c r="CN135" i="4"/>
  <c r="CO135" i="4"/>
  <c r="CP135" i="4"/>
  <c r="CQ135" i="4"/>
  <c r="CR135" i="4"/>
  <c r="CS135" i="4"/>
  <c r="CT135" i="4"/>
  <c r="CU135" i="4"/>
  <c r="CV135" i="4"/>
  <c r="CW135" i="4"/>
  <c r="CX135" i="4"/>
  <c r="D136" i="4"/>
  <c r="E136" i="4"/>
  <c r="F136" i="4"/>
  <c r="G136" i="4"/>
  <c r="H136" i="4"/>
  <c r="I136" i="4"/>
  <c r="J136" i="4"/>
  <c r="K136" i="4"/>
  <c r="L136" i="4"/>
  <c r="M136" i="4"/>
  <c r="N136" i="4"/>
  <c r="O136" i="4"/>
  <c r="P136" i="4"/>
  <c r="Q136" i="4"/>
  <c r="R136" i="4"/>
  <c r="S136" i="4"/>
  <c r="T136" i="4"/>
  <c r="U136" i="4"/>
  <c r="V136" i="4"/>
  <c r="W136" i="4"/>
  <c r="X136" i="4"/>
  <c r="Y136" i="4"/>
  <c r="Z136" i="4"/>
  <c r="AA136" i="4"/>
  <c r="AB136" i="4"/>
  <c r="AC136" i="4"/>
  <c r="AD136" i="4"/>
  <c r="AE136" i="4"/>
  <c r="AF136" i="4"/>
  <c r="AG136" i="4"/>
  <c r="AH136" i="4"/>
  <c r="AI136" i="4"/>
  <c r="AJ136" i="4"/>
  <c r="AK136" i="4"/>
  <c r="AL136" i="4"/>
  <c r="AM136" i="4"/>
  <c r="AN136" i="4"/>
  <c r="AO136" i="4"/>
  <c r="AP136" i="4"/>
  <c r="AQ136" i="4"/>
  <c r="AR136" i="4"/>
  <c r="AS136" i="4"/>
  <c r="AT136" i="4"/>
  <c r="AU136" i="4"/>
  <c r="AV136" i="4"/>
  <c r="AW136" i="4"/>
  <c r="AX136" i="4"/>
  <c r="AY136" i="4"/>
  <c r="AZ136" i="4"/>
  <c r="BA136" i="4"/>
  <c r="BB136" i="4"/>
  <c r="BC136" i="4"/>
  <c r="BD136" i="4"/>
  <c r="BE136" i="4"/>
  <c r="BF136" i="4"/>
  <c r="BG136" i="4"/>
  <c r="BH136" i="4"/>
  <c r="BI136" i="4"/>
  <c r="BJ136" i="4"/>
  <c r="BK136" i="4"/>
  <c r="BL136" i="4"/>
  <c r="BM136" i="4"/>
  <c r="BN136" i="4"/>
  <c r="BO136" i="4"/>
  <c r="BP136" i="4"/>
  <c r="BQ136" i="4"/>
  <c r="BR136" i="4"/>
  <c r="BS136" i="4"/>
  <c r="BT136" i="4"/>
  <c r="BU136" i="4"/>
  <c r="BV136" i="4"/>
  <c r="BW136" i="4"/>
  <c r="BX136" i="4"/>
  <c r="BY136" i="4"/>
  <c r="BZ136" i="4"/>
  <c r="CA136" i="4"/>
  <c r="CB136" i="4"/>
  <c r="CC136" i="4"/>
  <c r="CD136" i="4"/>
  <c r="CE136" i="4"/>
  <c r="CF136" i="4"/>
  <c r="CG136" i="4"/>
  <c r="CH136" i="4"/>
  <c r="CI136" i="4"/>
  <c r="CJ136" i="4"/>
  <c r="CK136" i="4"/>
  <c r="CL136" i="4"/>
  <c r="CM136" i="4"/>
  <c r="CN136" i="4"/>
  <c r="CO136" i="4"/>
  <c r="CP136" i="4"/>
  <c r="CQ136" i="4"/>
  <c r="CR136" i="4"/>
  <c r="CS136" i="4"/>
  <c r="CT136" i="4"/>
  <c r="CU136" i="4"/>
  <c r="CV136" i="4"/>
  <c r="CW136" i="4"/>
  <c r="CX136" i="4"/>
  <c r="D137" i="4"/>
  <c r="E137" i="4"/>
  <c r="F137" i="4"/>
  <c r="G137" i="4"/>
  <c r="H137" i="4"/>
  <c r="I137" i="4"/>
  <c r="J137" i="4"/>
  <c r="K137" i="4"/>
  <c r="L137" i="4"/>
  <c r="M137" i="4"/>
  <c r="N137" i="4"/>
  <c r="O137" i="4"/>
  <c r="P137" i="4"/>
  <c r="Q137" i="4"/>
  <c r="R137" i="4"/>
  <c r="S137" i="4"/>
  <c r="T137" i="4"/>
  <c r="U137" i="4"/>
  <c r="V137" i="4"/>
  <c r="W137" i="4"/>
  <c r="X137" i="4"/>
  <c r="Y137" i="4"/>
  <c r="Z137" i="4"/>
  <c r="AA137" i="4"/>
  <c r="AB137" i="4"/>
  <c r="AC137" i="4"/>
  <c r="AD137" i="4"/>
  <c r="AE137" i="4"/>
  <c r="AF137" i="4"/>
  <c r="AG137" i="4"/>
  <c r="AH137" i="4"/>
  <c r="AI137" i="4"/>
  <c r="AJ137" i="4"/>
  <c r="AK137" i="4"/>
  <c r="AL137" i="4"/>
  <c r="AM137" i="4"/>
  <c r="AN137" i="4"/>
  <c r="AO137" i="4"/>
  <c r="AP137" i="4"/>
  <c r="AQ137" i="4"/>
  <c r="AR137" i="4"/>
  <c r="AS137" i="4"/>
  <c r="AT137" i="4"/>
  <c r="AU137" i="4"/>
  <c r="AV137" i="4"/>
  <c r="AW137" i="4"/>
  <c r="AX137" i="4"/>
  <c r="AY137" i="4"/>
  <c r="AZ137" i="4"/>
  <c r="BA137" i="4"/>
  <c r="BB137" i="4"/>
  <c r="BC137" i="4"/>
  <c r="BD137" i="4"/>
  <c r="BE137" i="4"/>
  <c r="BF137" i="4"/>
  <c r="BG137" i="4"/>
  <c r="BH137" i="4"/>
  <c r="BI137" i="4"/>
  <c r="BJ137" i="4"/>
  <c r="BK137" i="4"/>
  <c r="BL137" i="4"/>
  <c r="BM137" i="4"/>
  <c r="BN137" i="4"/>
  <c r="BO137" i="4"/>
  <c r="BP137" i="4"/>
  <c r="BQ137" i="4"/>
  <c r="BR137" i="4"/>
  <c r="BS137" i="4"/>
  <c r="BT137" i="4"/>
  <c r="BU137" i="4"/>
  <c r="BV137" i="4"/>
  <c r="BW137" i="4"/>
  <c r="BX137" i="4"/>
  <c r="BY137" i="4"/>
  <c r="BZ137" i="4"/>
  <c r="CA137" i="4"/>
  <c r="CB137" i="4"/>
  <c r="CC137" i="4"/>
  <c r="CD137" i="4"/>
  <c r="CE137" i="4"/>
  <c r="CF137" i="4"/>
  <c r="CG137" i="4"/>
  <c r="CH137" i="4"/>
  <c r="CI137" i="4"/>
  <c r="CJ137" i="4"/>
  <c r="CK137" i="4"/>
  <c r="CL137" i="4"/>
  <c r="CM137" i="4"/>
  <c r="CN137" i="4"/>
  <c r="CO137" i="4"/>
  <c r="CP137" i="4"/>
  <c r="CQ137" i="4"/>
  <c r="CR137" i="4"/>
  <c r="CS137" i="4"/>
  <c r="CT137" i="4"/>
  <c r="CU137" i="4"/>
  <c r="CV137" i="4"/>
  <c r="CW137" i="4"/>
  <c r="CX137" i="4"/>
  <c r="D138" i="4"/>
  <c r="E138" i="4"/>
  <c r="F138" i="4"/>
  <c r="G138" i="4"/>
  <c r="H138" i="4"/>
  <c r="I138" i="4"/>
  <c r="J138" i="4"/>
  <c r="K138" i="4"/>
  <c r="L138" i="4"/>
  <c r="M138" i="4"/>
  <c r="N138" i="4"/>
  <c r="O138" i="4"/>
  <c r="P138" i="4"/>
  <c r="Q138" i="4"/>
  <c r="R138" i="4"/>
  <c r="S138" i="4"/>
  <c r="T138" i="4"/>
  <c r="U138" i="4"/>
  <c r="V138" i="4"/>
  <c r="W138" i="4"/>
  <c r="X138" i="4"/>
  <c r="Y138" i="4"/>
  <c r="Z138" i="4"/>
  <c r="AA138" i="4"/>
  <c r="AB138" i="4"/>
  <c r="AC138" i="4"/>
  <c r="AD138" i="4"/>
  <c r="AE138" i="4"/>
  <c r="AF138" i="4"/>
  <c r="AG138" i="4"/>
  <c r="AH138" i="4"/>
  <c r="AI138" i="4"/>
  <c r="AJ138" i="4"/>
  <c r="AK138" i="4"/>
  <c r="AL138" i="4"/>
  <c r="AM138" i="4"/>
  <c r="AN138" i="4"/>
  <c r="AO138" i="4"/>
  <c r="AP138" i="4"/>
  <c r="AQ138" i="4"/>
  <c r="AR138" i="4"/>
  <c r="AS138" i="4"/>
  <c r="AT138" i="4"/>
  <c r="AU138" i="4"/>
  <c r="AV138" i="4"/>
  <c r="AW138" i="4"/>
  <c r="AX138" i="4"/>
  <c r="AY138" i="4"/>
  <c r="AZ138" i="4"/>
  <c r="BA138" i="4"/>
  <c r="BB138" i="4"/>
  <c r="BC138" i="4"/>
  <c r="BD138" i="4"/>
  <c r="BE138" i="4"/>
  <c r="BF138" i="4"/>
  <c r="BG138" i="4"/>
  <c r="BH138" i="4"/>
  <c r="BI138" i="4"/>
  <c r="BJ138" i="4"/>
  <c r="BK138" i="4"/>
  <c r="BL138" i="4"/>
  <c r="BM138" i="4"/>
  <c r="BN138" i="4"/>
  <c r="BO138" i="4"/>
  <c r="BP138" i="4"/>
  <c r="BQ138" i="4"/>
  <c r="BR138" i="4"/>
  <c r="BS138" i="4"/>
  <c r="BT138" i="4"/>
  <c r="BU138" i="4"/>
  <c r="BV138" i="4"/>
  <c r="BW138" i="4"/>
  <c r="BX138" i="4"/>
  <c r="BY138" i="4"/>
  <c r="BZ138" i="4"/>
  <c r="CA138" i="4"/>
  <c r="CB138" i="4"/>
  <c r="CC138" i="4"/>
  <c r="CD138" i="4"/>
  <c r="CE138" i="4"/>
  <c r="CF138" i="4"/>
  <c r="CG138" i="4"/>
  <c r="CH138" i="4"/>
  <c r="CI138" i="4"/>
  <c r="CJ138" i="4"/>
  <c r="CK138" i="4"/>
  <c r="CL138" i="4"/>
  <c r="CM138" i="4"/>
  <c r="CN138" i="4"/>
  <c r="CO138" i="4"/>
  <c r="CP138" i="4"/>
  <c r="CQ138" i="4"/>
  <c r="CR138" i="4"/>
  <c r="CS138" i="4"/>
  <c r="CT138" i="4"/>
  <c r="CU138" i="4"/>
  <c r="CV138" i="4"/>
  <c r="CW138" i="4"/>
  <c r="CX138" i="4"/>
  <c r="D139" i="4"/>
  <c r="E139" i="4"/>
  <c r="F139" i="4"/>
  <c r="G139" i="4"/>
  <c r="H139" i="4"/>
  <c r="I139" i="4"/>
  <c r="J139" i="4"/>
  <c r="K139" i="4"/>
  <c r="L139" i="4"/>
  <c r="M139" i="4"/>
  <c r="N139" i="4"/>
  <c r="O139" i="4"/>
  <c r="P139" i="4"/>
  <c r="Q139" i="4"/>
  <c r="R139" i="4"/>
  <c r="S139" i="4"/>
  <c r="T139" i="4"/>
  <c r="U139" i="4"/>
  <c r="V139" i="4"/>
  <c r="W139" i="4"/>
  <c r="X139" i="4"/>
  <c r="Y139" i="4"/>
  <c r="Z139" i="4"/>
  <c r="AA139" i="4"/>
  <c r="AB139" i="4"/>
  <c r="AC139" i="4"/>
  <c r="AD139" i="4"/>
  <c r="AE139" i="4"/>
  <c r="AF139" i="4"/>
  <c r="AG139" i="4"/>
  <c r="AH139" i="4"/>
  <c r="AI139" i="4"/>
  <c r="AJ139" i="4"/>
  <c r="AK139" i="4"/>
  <c r="AL139" i="4"/>
  <c r="AM139" i="4"/>
  <c r="AN139" i="4"/>
  <c r="AO139" i="4"/>
  <c r="AP139" i="4"/>
  <c r="AQ139" i="4"/>
  <c r="AR139" i="4"/>
  <c r="AS139" i="4"/>
  <c r="AT139" i="4"/>
  <c r="AU139" i="4"/>
  <c r="AV139" i="4"/>
  <c r="AW139" i="4"/>
  <c r="AX139" i="4"/>
  <c r="AY139" i="4"/>
  <c r="AZ139" i="4"/>
  <c r="BA139" i="4"/>
  <c r="BB139" i="4"/>
  <c r="BC139" i="4"/>
  <c r="BD139" i="4"/>
  <c r="BE139" i="4"/>
  <c r="BF139" i="4"/>
  <c r="BG139" i="4"/>
  <c r="BH139" i="4"/>
  <c r="BI139" i="4"/>
  <c r="BJ139" i="4"/>
  <c r="BK139" i="4"/>
  <c r="BL139" i="4"/>
  <c r="BM139" i="4"/>
  <c r="BN139" i="4"/>
  <c r="BO139" i="4"/>
  <c r="BP139" i="4"/>
  <c r="BQ139" i="4"/>
  <c r="BR139" i="4"/>
  <c r="BS139" i="4"/>
  <c r="BT139" i="4"/>
  <c r="BU139" i="4"/>
  <c r="BV139" i="4"/>
  <c r="BW139" i="4"/>
  <c r="BX139" i="4"/>
  <c r="BY139" i="4"/>
  <c r="BZ139" i="4"/>
  <c r="CA139" i="4"/>
  <c r="CB139" i="4"/>
  <c r="CC139" i="4"/>
  <c r="CD139" i="4"/>
  <c r="CE139" i="4"/>
  <c r="CF139" i="4"/>
  <c r="CG139" i="4"/>
  <c r="CH139" i="4"/>
  <c r="CI139" i="4"/>
  <c r="CJ139" i="4"/>
  <c r="CK139" i="4"/>
  <c r="CL139" i="4"/>
  <c r="CM139" i="4"/>
  <c r="CN139" i="4"/>
  <c r="CO139" i="4"/>
  <c r="CP139" i="4"/>
  <c r="CQ139" i="4"/>
  <c r="CR139" i="4"/>
  <c r="CS139" i="4"/>
  <c r="CT139" i="4"/>
  <c r="CU139" i="4"/>
  <c r="CV139" i="4"/>
  <c r="CW139" i="4"/>
  <c r="CX139" i="4"/>
  <c r="D140" i="4"/>
  <c r="E140" i="4"/>
  <c r="F140" i="4"/>
  <c r="G140" i="4"/>
  <c r="H140" i="4"/>
  <c r="I140" i="4"/>
  <c r="J140" i="4"/>
  <c r="K140" i="4"/>
  <c r="L140" i="4"/>
  <c r="M140" i="4"/>
  <c r="N140" i="4"/>
  <c r="O140" i="4"/>
  <c r="P140" i="4"/>
  <c r="Q140" i="4"/>
  <c r="R140" i="4"/>
  <c r="S140" i="4"/>
  <c r="T140" i="4"/>
  <c r="U140" i="4"/>
  <c r="V140" i="4"/>
  <c r="W140" i="4"/>
  <c r="X140" i="4"/>
  <c r="Y140" i="4"/>
  <c r="Z140" i="4"/>
  <c r="AA140" i="4"/>
  <c r="AB140" i="4"/>
  <c r="AC140" i="4"/>
  <c r="AD140" i="4"/>
  <c r="AE140" i="4"/>
  <c r="AF140" i="4"/>
  <c r="AG140" i="4"/>
  <c r="AH140" i="4"/>
  <c r="AI140" i="4"/>
  <c r="AJ140" i="4"/>
  <c r="AK140" i="4"/>
  <c r="AL140" i="4"/>
  <c r="AM140" i="4"/>
  <c r="AN140" i="4"/>
  <c r="AO140" i="4"/>
  <c r="AP140" i="4"/>
  <c r="AQ140" i="4"/>
  <c r="AR140" i="4"/>
  <c r="AS140" i="4"/>
  <c r="AT140" i="4"/>
  <c r="AU140" i="4"/>
  <c r="AV140" i="4"/>
  <c r="AW140" i="4"/>
  <c r="AX140" i="4"/>
  <c r="AY140" i="4"/>
  <c r="AZ140" i="4"/>
  <c r="BA140" i="4"/>
  <c r="BB140" i="4"/>
  <c r="BC140" i="4"/>
  <c r="BD140" i="4"/>
  <c r="BE140" i="4"/>
  <c r="BF140" i="4"/>
  <c r="BG140" i="4"/>
  <c r="BH140" i="4"/>
  <c r="BI140" i="4"/>
  <c r="BJ140" i="4"/>
  <c r="BK140" i="4"/>
  <c r="BL140" i="4"/>
  <c r="BM140" i="4"/>
  <c r="BN140" i="4"/>
  <c r="BO140" i="4"/>
  <c r="BP140" i="4"/>
  <c r="BQ140" i="4"/>
  <c r="BR140" i="4"/>
  <c r="BS140" i="4"/>
  <c r="BT140" i="4"/>
  <c r="BU140" i="4"/>
  <c r="BV140" i="4"/>
  <c r="BW140" i="4"/>
  <c r="BX140" i="4"/>
  <c r="BY140" i="4"/>
  <c r="BZ140" i="4"/>
  <c r="CA140" i="4"/>
  <c r="CB140" i="4"/>
  <c r="CC140" i="4"/>
  <c r="CD140" i="4"/>
  <c r="CE140" i="4"/>
  <c r="CF140" i="4"/>
  <c r="CG140" i="4"/>
  <c r="CH140" i="4"/>
  <c r="CI140" i="4"/>
  <c r="CJ140" i="4"/>
  <c r="CK140" i="4"/>
  <c r="CL140" i="4"/>
  <c r="CM140" i="4"/>
  <c r="CN140" i="4"/>
  <c r="CO140" i="4"/>
  <c r="CP140" i="4"/>
  <c r="CQ140" i="4"/>
  <c r="CR140" i="4"/>
  <c r="CS140" i="4"/>
  <c r="CT140" i="4"/>
  <c r="CU140" i="4"/>
  <c r="CV140" i="4"/>
  <c r="CW140" i="4"/>
  <c r="CX140" i="4"/>
  <c r="D141" i="4"/>
  <c r="E141" i="4"/>
  <c r="F141" i="4"/>
  <c r="G141" i="4"/>
  <c r="H141" i="4"/>
  <c r="I141" i="4"/>
  <c r="J141" i="4"/>
  <c r="K141" i="4"/>
  <c r="L141" i="4"/>
  <c r="M141" i="4"/>
  <c r="N141" i="4"/>
  <c r="O141" i="4"/>
  <c r="P141" i="4"/>
  <c r="Q141" i="4"/>
  <c r="R141" i="4"/>
  <c r="S141" i="4"/>
  <c r="T141" i="4"/>
  <c r="U141" i="4"/>
  <c r="V141" i="4"/>
  <c r="W141" i="4"/>
  <c r="X141" i="4"/>
  <c r="Y141" i="4"/>
  <c r="Z141" i="4"/>
  <c r="AA141" i="4"/>
  <c r="AB141" i="4"/>
  <c r="AC141" i="4"/>
  <c r="AD141" i="4"/>
  <c r="AE141" i="4"/>
  <c r="AF141" i="4"/>
  <c r="AG141" i="4"/>
  <c r="AH141" i="4"/>
  <c r="AI141" i="4"/>
  <c r="AJ141" i="4"/>
  <c r="AK141" i="4"/>
  <c r="AL141" i="4"/>
  <c r="AM141" i="4"/>
  <c r="AN141" i="4"/>
  <c r="AO141" i="4"/>
  <c r="AP141" i="4"/>
  <c r="AQ141" i="4"/>
  <c r="AR141" i="4"/>
  <c r="AS141" i="4"/>
  <c r="AT141" i="4"/>
  <c r="AU141" i="4"/>
  <c r="AV141" i="4"/>
  <c r="AW141" i="4"/>
  <c r="AX141" i="4"/>
  <c r="AY141" i="4"/>
  <c r="AZ141" i="4"/>
  <c r="BA141" i="4"/>
  <c r="BB141" i="4"/>
  <c r="BC141" i="4"/>
  <c r="BD141" i="4"/>
  <c r="BE141" i="4"/>
  <c r="BF141" i="4"/>
  <c r="BG141" i="4"/>
  <c r="BH141" i="4"/>
  <c r="BI141" i="4"/>
  <c r="BJ141" i="4"/>
  <c r="BK141" i="4"/>
  <c r="BL141" i="4"/>
  <c r="BM141" i="4"/>
  <c r="BN141" i="4"/>
  <c r="BO141" i="4"/>
  <c r="BP141" i="4"/>
  <c r="BQ141" i="4"/>
  <c r="BR141" i="4"/>
  <c r="BS141" i="4"/>
  <c r="BT141" i="4"/>
  <c r="BU141" i="4"/>
  <c r="BV141" i="4"/>
  <c r="BW141" i="4"/>
  <c r="BX141" i="4"/>
  <c r="BY141" i="4"/>
  <c r="BZ141" i="4"/>
  <c r="CA141" i="4"/>
  <c r="CB141" i="4"/>
  <c r="CC141" i="4"/>
  <c r="CD141" i="4"/>
  <c r="CE141" i="4"/>
  <c r="CF141" i="4"/>
  <c r="CG141" i="4"/>
  <c r="CH141" i="4"/>
  <c r="CI141" i="4"/>
  <c r="CJ141" i="4"/>
  <c r="CK141" i="4"/>
  <c r="CL141" i="4"/>
  <c r="CM141" i="4"/>
  <c r="CN141" i="4"/>
  <c r="CO141" i="4"/>
  <c r="CP141" i="4"/>
  <c r="CQ141" i="4"/>
  <c r="CR141" i="4"/>
  <c r="CS141" i="4"/>
  <c r="CT141" i="4"/>
  <c r="CU141" i="4"/>
  <c r="CV141" i="4"/>
  <c r="CW141" i="4"/>
  <c r="CX141" i="4"/>
  <c r="D142" i="4"/>
  <c r="E142" i="4"/>
  <c r="F142" i="4"/>
  <c r="G142" i="4"/>
  <c r="H142" i="4"/>
  <c r="I142" i="4"/>
  <c r="J142" i="4"/>
  <c r="K142" i="4"/>
  <c r="L142" i="4"/>
  <c r="M142" i="4"/>
  <c r="N142" i="4"/>
  <c r="O142" i="4"/>
  <c r="P142" i="4"/>
  <c r="Q142" i="4"/>
  <c r="R142" i="4"/>
  <c r="S142" i="4"/>
  <c r="T142" i="4"/>
  <c r="U142" i="4"/>
  <c r="V142" i="4"/>
  <c r="W142" i="4"/>
  <c r="X142" i="4"/>
  <c r="Y142" i="4"/>
  <c r="Z142" i="4"/>
  <c r="AA142" i="4"/>
  <c r="AB142" i="4"/>
  <c r="AC142" i="4"/>
  <c r="AD142" i="4"/>
  <c r="AE142" i="4"/>
  <c r="AF142" i="4"/>
  <c r="AG142" i="4"/>
  <c r="AH142" i="4"/>
  <c r="AI142" i="4"/>
  <c r="AJ142" i="4"/>
  <c r="AK142" i="4"/>
  <c r="AL142" i="4"/>
  <c r="AM142" i="4"/>
  <c r="AN142" i="4"/>
  <c r="AO142" i="4"/>
  <c r="AP142" i="4"/>
  <c r="AQ142" i="4"/>
  <c r="AR142" i="4"/>
  <c r="AS142" i="4"/>
  <c r="AT142" i="4"/>
  <c r="AU142" i="4"/>
  <c r="AV142" i="4"/>
  <c r="AW142" i="4"/>
  <c r="AX142" i="4"/>
  <c r="AY142" i="4"/>
  <c r="AZ142" i="4"/>
  <c r="BA142" i="4"/>
  <c r="BB142" i="4"/>
  <c r="BC142" i="4"/>
  <c r="BD142" i="4"/>
  <c r="BE142" i="4"/>
  <c r="BF142" i="4"/>
  <c r="BG142" i="4"/>
  <c r="BH142" i="4"/>
  <c r="BI142" i="4"/>
  <c r="BJ142" i="4"/>
  <c r="BK142" i="4"/>
  <c r="BL142" i="4"/>
  <c r="BM142" i="4"/>
  <c r="BN142" i="4"/>
  <c r="BO142" i="4"/>
  <c r="BP142" i="4"/>
  <c r="BQ142" i="4"/>
  <c r="BR142" i="4"/>
  <c r="BS142" i="4"/>
  <c r="BT142" i="4"/>
  <c r="BU142" i="4"/>
  <c r="BV142" i="4"/>
  <c r="BW142" i="4"/>
  <c r="BX142" i="4"/>
  <c r="BY142" i="4"/>
  <c r="BZ142" i="4"/>
  <c r="CA142" i="4"/>
  <c r="CB142" i="4"/>
  <c r="CC142" i="4"/>
  <c r="CD142" i="4"/>
  <c r="CE142" i="4"/>
  <c r="CF142" i="4"/>
  <c r="CG142" i="4"/>
  <c r="CH142" i="4"/>
  <c r="CI142" i="4"/>
  <c r="CJ142" i="4"/>
  <c r="CK142" i="4"/>
  <c r="CL142" i="4"/>
  <c r="CM142" i="4"/>
  <c r="CN142" i="4"/>
  <c r="CO142" i="4"/>
  <c r="CP142" i="4"/>
  <c r="CQ142" i="4"/>
  <c r="CR142" i="4"/>
  <c r="CS142" i="4"/>
  <c r="CT142" i="4"/>
  <c r="CU142" i="4"/>
  <c r="CV142" i="4"/>
  <c r="CW142" i="4"/>
  <c r="CX142" i="4"/>
  <c r="D143" i="4"/>
  <c r="E143" i="4"/>
  <c r="F143" i="4"/>
  <c r="G143" i="4"/>
  <c r="H143" i="4"/>
  <c r="I143" i="4"/>
  <c r="J143" i="4"/>
  <c r="K143" i="4"/>
  <c r="L143" i="4"/>
  <c r="M143" i="4"/>
  <c r="N143" i="4"/>
  <c r="O143" i="4"/>
  <c r="P143" i="4"/>
  <c r="Q143" i="4"/>
  <c r="R143" i="4"/>
  <c r="S143" i="4"/>
  <c r="T143" i="4"/>
  <c r="U143" i="4"/>
  <c r="V143" i="4"/>
  <c r="W143" i="4"/>
  <c r="X143" i="4"/>
  <c r="Y143" i="4"/>
  <c r="Z143" i="4"/>
  <c r="AA143" i="4"/>
  <c r="AB143" i="4"/>
  <c r="AC143" i="4"/>
  <c r="AD143" i="4"/>
  <c r="AE143" i="4"/>
  <c r="AF143" i="4"/>
  <c r="AG143" i="4"/>
  <c r="AH143" i="4"/>
  <c r="AI143" i="4"/>
  <c r="AJ143" i="4"/>
  <c r="AK143" i="4"/>
  <c r="AL143" i="4"/>
  <c r="AM143" i="4"/>
  <c r="AN143" i="4"/>
  <c r="AO143" i="4"/>
  <c r="AP143" i="4"/>
  <c r="AQ143" i="4"/>
  <c r="AR143" i="4"/>
  <c r="AS143" i="4"/>
  <c r="AT143" i="4"/>
  <c r="AU143" i="4"/>
  <c r="AV143" i="4"/>
  <c r="AW143" i="4"/>
  <c r="AX143" i="4"/>
  <c r="AY143" i="4"/>
  <c r="AZ143" i="4"/>
  <c r="BA143" i="4"/>
  <c r="BB143" i="4"/>
  <c r="BC143" i="4"/>
  <c r="BD143" i="4"/>
  <c r="BE143" i="4"/>
  <c r="BF143" i="4"/>
  <c r="BG143" i="4"/>
  <c r="BH143" i="4"/>
  <c r="BI143" i="4"/>
  <c r="BJ143" i="4"/>
  <c r="BK143" i="4"/>
  <c r="BL143" i="4"/>
  <c r="BM143" i="4"/>
  <c r="BN143" i="4"/>
  <c r="BO143" i="4"/>
  <c r="BP143" i="4"/>
  <c r="BQ143" i="4"/>
  <c r="BR143" i="4"/>
  <c r="BS143" i="4"/>
  <c r="BT143" i="4"/>
  <c r="BU143" i="4"/>
  <c r="BV143" i="4"/>
  <c r="BW143" i="4"/>
  <c r="BX143" i="4"/>
  <c r="BY143" i="4"/>
  <c r="BZ143" i="4"/>
  <c r="CA143" i="4"/>
  <c r="CB143" i="4"/>
  <c r="CC143" i="4"/>
  <c r="CD143" i="4"/>
  <c r="CE143" i="4"/>
  <c r="CF143" i="4"/>
  <c r="CG143" i="4"/>
  <c r="CH143" i="4"/>
  <c r="CI143" i="4"/>
  <c r="CJ143" i="4"/>
  <c r="CK143" i="4"/>
  <c r="CL143" i="4"/>
  <c r="CM143" i="4"/>
  <c r="CN143" i="4"/>
  <c r="CO143" i="4"/>
  <c r="CP143" i="4"/>
  <c r="CQ143" i="4"/>
  <c r="CR143" i="4"/>
  <c r="CS143" i="4"/>
  <c r="CT143" i="4"/>
  <c r="CU143" i="4"/>
  <c r="CV143" i="4"/>
  <c r="CW143" i="4"/>
  <c r="CX143" i="4"/>
  <c r="D144" i="4"/>
  <c r="E144" i="4"/>
  <c r="F144" i="4"/>
  <c r="G144" i="4"/>
  <c r="H144" i="4"/>
  <c r="I144" i="4"/>
  <c r="J144" i="4"/>
  <c r="K144" i="4"/>
  <c r="L144" i="4"/>
  <c r="M144" i="4"/>
  <c r="N144" i="4"/>
  <c r="O144" i="4"/>
  <c r="P144" i="4"/>
  <c r="Q144" i="4"/>
  <c r="R144" i="4"/>
  <c r="S144" i="4"/>
  <c r="T144" i="4"/>
  <c r="U144" i="4"/>
  <c r="V144" i="4"/>
  <c r="W144" i="4"/>
  <c r="X144" i="4"/>
  <c r="Y144" i="4"/>
  <c r="Z144" i="4"/>
  <c r="AA144" i="4"/>
  <c r="AB144" i="4"/>
  <c r="AC144" i="4"/>
  <c r="AD144" i="4"/>
  <c r="AE144" i="4"/>
  <c r="AF144" i="4"/>
  <c r="AG144" i="4"/>
  <c r="AH144" i="4"/>
  <c r="AI144" i="4"/>
  <c r="AJ144" i="4"/>
  <c r="AK144" i="4"/>
  <c r="AL144" i="4"/>
  <c r="AM144" i="4"/>
  <c r="AN144" i="4"/>
  <c r="AO144" i="4"/>
  <c r="AP144" i="4"/>
  <c r="AQ144" i="4"/>
  <c r="AR144" i="4"/>
  <c r="AS144" i="4"/>
  <c r="AT144" i="4"/>
  <c r="AU144" i="4"/>
  <c r="AV144" i="4"/>
  <c r="AW144" i="4"/>
  <c r="AX144" i="4"/>
  <c r="AY144" i="4"/>
  <c r="AZ144" i="4"/>
  <c r="BA144" i="4"/>
  <c r="BB144" i="4"/>
  <c r="BC144" i="4"/>
  <c r="BD144" i="4"/>
  <c r="BE144" i="4"/>
  <c r="BF144" i="4"/>
  <c r="BG144" i="4"/>
  <c r="BH144" i="4"/>
  <c r="BI144" i="4"/>
  <c r="BJ144" i="4"/>
  <c r="BK144" i="4"/>
  <c r="BL144" i="4"/>
  <c r="BM144" i="4"/>
  <c r="BN144" i="4"/>
  <c r="BO144" i="4"/>
  <c r="BP144" i="4"/>
  <c r="BQ144" i="4"/>
  <c r="BR144" i="4"/>
  <c r="BS144" i="4"/>
  <c r="BT144" i="4"/>
  <c r="BU144" i="4"/>
  <c r="BV144" i="4"/>
  <c r="BW144" i="4"/>
  <c r="BX144" i="4"/>
  <c r="BY144" i="4"/>
  <c r="BZ144" i="4"/>
  <c r="CA144" i="4"/>
  <c r="CB144" i="4"/>
  <c r="CC144" i="4"/>
  <c r="CD144" i="4"/>
  <c r="CE144" i="4"/>
  <c r="CF144" i="4"/>
  <c r="CG144" i="4"/>
  <c r="CH144" i="4"/>
  <c r="CI144" i="4"/>
  <c r="CJ144" i="4"/>
  <c r="CK144" i="4"/>
  <c r="CL144" i="4"/>
  <c r="CM144" i="4"/>
  <c r="CN144" i="4"/>
  <c r="CO144" i="4"/>
  <c r="CP144" i="4"/>
  <c r="CQ144" i="4"/>
  <c r="CR144" i="4"/>
  <c r="CS144" i="4"/>
  <c r="CT144" i="4"/>
  <c r="CU144" i="4"/>
  <c r="CV144" i="4"/>
  <c r="CW144" i="4"/>
  <c r="CX144" i="4"/>
  <c r="D145" i="4"/>
  <c r="E145" i="4"/>
  <c r="F145" i="4"/>
  <c r="G145" i="4"/>
  <c r="H145" i="4"/>
  <c r="I145" i="4"/>
  <c r="J145" i="4"/>
  <c r="K145" i="4"/>
  <c r="L145" i="4"/>
  <c r="M145" i="4"/>
  <c r="N145" i="4"/>
  <c r="O145" i="4"/>
  <c r="P145" i="4"/>
  <c r="Q145" i="4"/>
  <c r="R145" i="4"/>
  <c r="S145" i="4"/>
  <c r="T145" i="4"/>
  <c r="U145" i="4"/>
  <c r="V145" i="4"/>
  <c r="W145" i="4"/>
  <c r="X145" i="4"/>
  <c r="Y145" i="4"/>
  <c r="Z145" i="4"/>
  <c r="AA145" i="4"/>
  <c r="AB145" i="4"/>
  <c r="AC145" i="4"/>
  <c r="AD145" i="4"/>
  <c r="AE145" i="4"/>
  <c r="AF145" i="4"/>
  <c r="AG145" i="4"/>
  <c r="AH145" i="4"/>
  <c r="AI145" i="4"/>
  <c r="AJ145" i="4"/>
  <c r="AK145" i="4"/>
  <c r="AL145" i="4"/>
  <c r="AM145" i="4"/>
  <c r="AN145" i="4"/>
  <c r="AO145" i="4"/>
  <c r="AP145" i="4"/>
  <c r="AQ145" i="4"/>
  <c r="AR145" i="4"/>
  <c r="AS145" i="4"/>
  <c r="AT145" i="4"/>
  <c r="AU145" i="4"/>
  <c r="AV145" i="4"/>
  <c r="AW145" i="4"/>
  <c r="AX145" i="4"/>
  <c r="AY145" i="4"/>
  <c r="AZ145" i="4"/>
  <c r="BA145" i="4"/>
  <c r="BB145" i="4"/>
  <c r="BC145" i="4"/>
  <c r="BD145" i="4"/>
  <c r="BE145" i="4"/>
  <c r="BF145" i="4"/>
  <c r="BG145" i="4"/>
  <c r="BH145" i="4"/>
  <c r="BI145" i="4"/>
  <c r="BJ145" i="4"/>
  <c r="BK145" i="4"/>
  <c r="BL145" i="4"/>
  <c r="BM145" i="4"/>
  <c r="BN145" i="4"/>
  <c r="BO145" i="4"/>
  <c r="BP145" i="4"/>
  <c r="BQ145" i="4"/>
  <c r="BR145" i="4"/>
  <c r="BS145" i="4"/>
  <c r="BT145" i="4"/>
  <c r="BU145" i="4"/>
  <c r="BV145" i="4"/>
  <c r="BW145" i="4"/>
  <c r="BX145" i="4"/>
  <c r="BY145" i="4"/>
  <c r="BZ145" i="4"/>
  <c r="CA145" i="4"/>
  <c r="CB145" i="4"/>
  <c r="CC145" i="4"/>
  <c r="CD145" i="4"/>
  <c r="CE145" i="4"/>
  <c r="CF145" i="4"/>
  <c r="CG145" i="4"/>
  <c r="CH145" i="4"/>
  <c r="CI145" i="4"/>
  <c r="CJ145" i="4"/>
  <c r="CK145" i="4"/>
  <c r="CL145" i="4"/>
  <c r="CM145" i="4"/>
  <c r="CN145" i="4"/>
  <c r="CO145" i="4"/>
  <c r="CP145" i="4"/>
  <c r="CQ145" i="4"/>
  <c r="CR145" i="4"/>
  <c r="CS145" i="4"/>
  <c r="CT145" i="4"/>
  <c r="CU145" i="4"/>
  <c r="CV145" i="4"/>
  <c r="CW145" i="4"/>
  <c r="CX145" i="4"/>
  <c r="D146" i="4"/>
  <c r="E146" i="4"/>
  <c r="F146" i="4"/>
  <c r="G146" i="4"/>
  <c r="H146" i="4"/>
  <c r="I146" i="4"/>
  <c r="J146" i="4"/>
  <c r="K146" i="4"/>
  <c r="L146" i="4"/>
  <c r="M146" i="4"/>
  <c r="N146" i="4"/>
  <c r="O146" i="4"/>
  <c r="P146" i="4"/>
  <c r="Q146" i="4"/>
  <c r="R146" i="4"/>
  <c r="S146" i="4"/>
  <c r="T146" i="4"/>
  <c r="U146" i="4"/>
  <c r="V146" i="4"/>
  <c r="W146" i="4"/>
  <c r="X146" i="4"/>
  <c r="Y146" i="4"/>
  <c r="Z146" i="4"/>
  <c r="AA146" i="4"/>
  <c r="AB146" i="4"/>
  <c r="AC146" i="4"/>
  <c r="AD146" i="4"/>
  <c r="AE146" i="4"/>
  <c r="AF146" i="4"/>
  <c r="AG146" i="4"/>
  <c r="AH146" i="4"/>
  <c r="AI146" i="4"/>
  <c r="AJ146" i="4"/>
  <c r="AK146" i="4"/>
  <c r="AL146" i="4"/>
  <c r="AM146" i="4"/>
  <c r="AN146" i="4"/>
  <c r="AO146" i="4"/>
  <c r="AP146" i="4"/>
  <c r="AQ146" i="4"/>
  <c r="AR146" i="4"/>
  <c r="AS146" i="4"/>
  <c r="AT146" i="4"/>
  <c r="AU146" i="4"/>
  <c r="AV146" i="4"/>
  <c r="AW146" i="4"/>
  <c r="AX146" i="4"/>
  <c r="AY146" i="4"/>
  <c r="AZ146" i="4"/>
  <c r="BA146" i="4"/>
  <c r="BB146" i="4"/>
  <c r="BC146" i="4"/>
  <c r="BD146" i="4"/>
  <c r="BE146" i="4"/>
  <c r="BF146" i="4"/>
  <c r="BG146" i="4"/>
  <c r="BH146" i="4"/>
  <c r="BI146" i="4"/>
  <c r="BJ146" i="4"/>
  <c r="BK146" i="4"/>
  <c r="BL146" i="4"/>
  <c r="BM146" i="4"/>
  <c r="BN146" i="4"/>
  <c r="BO146" i="4"/>
  <c r="BP146" i="4"/>
  <c r="BQ146" i="4"/>
  <c r="BR146" i="4"/>
  <c r="BS146" i="4"/>
  <c r="BT146" i="4"/>
  <c r="BU146" i="4"/>
  <c r="BV146" i="4"/>
  <c r="BW146" i="4"/>
  <c r="BX146" i="4"/>
  <c r="BY146" i="4"/>
  <c r="BZ146" i="4"/>
  <c r="CA146" i="4"/>
  <c r="CB146" i="4"/>
  <c r="CC146" i="4"/>
  <c r="CD146" i="4"/>
  <c r="CE146" i="4"/>
  <c r="CF146" i="4"/>
  <c r="CG146" i="4"/>
  <c r="CH146" i="4"/>
  <c r="CI146" i="4"/>
  <c r="CJ146" i="4"/>
  <c r="CK146" i="4"/>
  <c r="CL146" i="4"/>
  <c r="CM146" i="4"/>
  <c r="CN146" i="4"/>
  <c r="CO146" i="4"/>
  <c r="CP146" i="4"/>
  <c r="CQ146" i="4"/>
  <c r="CR146" i="4"/>
  <c r="CS146" i="4"/>
  <c r="CT146" i="4"/>
  <c r="CU146" i="4"/>
  <c r="CV146" i="4"/>
  <c r="CW146" i="4"/>
  <c r="CX146" i="4"/>
  <c r="D147" i="4"/>
  <c r="E147" i="4"/>
  <c r="F147" i="4"/>
  <c r="G147" i="4"/>
  <c r="H147" i="4"/>
  <c r="I147" i="4"/>
  <c r="J147" i="4"/>
  <c r="K147" i="4"/>
  <c r="L147" i="4"/>
  <c r="M147" i="4"/>
  <c r="N147" i="4"/>
  <c r="O147" i="4"/>
  <c r="P147" i="4"/>
  <c r="Q147" i="4"/>
  <c r="R147" i="4"/>
  <c r="S147" i="4"/>
  <c r="T147" i="4"/>
  <c r="U147" i="4"/>
  <c r="V147" i="4"/>
  <c r="W147" i="4"/>
  <c r="X147" i="4"/>
  <c r="Y147" i="4"/>
  <c r="Z147" i="4"/>
  <c r="AA147" i="4"/>
  <c r="AB147" i="4"/>
  <c r="AC147" i="4"/>
  <c r="AD147" i="4"/>
  <c r="AE147" i="4"/>
  <c r="AF147" i="4"/>
  <c r="AG147" i="4"/>
  <c r="AH147" i="4"/>
  <c r="AI147" i="4"/>
  <c r="AJ147" i="4"/>
  <c r="AK147" i="4"/>
  <c r="AL147" i="4"/>
  <c r="AM147" i="4"/>
  <c r="AN147" i="4"/>
  <c r="AO147" i="4"/>
  <c r="AP147" i="4"/>
  <c r="AQ147" i="4"/>
  <c r="AR147" i="4"/>
  <c r="AS147" i="4"/>
  <c r="AT147" i="4"/>
  <c r="AU147" i="4"/>
  <c r="AV147" i="4"/>
  <c r="AW147" i="4"/>
  <c r="AX147" i="4"/>
  <c r="AY147" i="4"/>
  <c r="AZ147" i="4"/>
  <c r="BA147" i="4"/>
  <c r="BB147" i="4"/>
  <c r="BC147" i="4"/>
  <c r="BD147" i="4"/>
  <c r="BE147" i="4"/>
  <c r="BF147" i="4"/>
  <c r="BG147" i="4"/>
  <c r="BH147" i="4"/>
  <c r="BI147" i="4"/>
  <c r="BJ147" i="4"/>
  <c r="BK147" i="4"/>
  <c r="BL147" i="4"/>
  <c r="BM147" i="4"/>
  <c r="BN147" i="4"/>
  <c r="BO147" i="4"/>
  <c r="BP147" i="4"/>
  <c r="BQ147" i="4"/>
  <c r="BR147" i="4"/>
  <c r="BS147" i="4"/>
  <c r="BT147" i="4"/>
  <c r="BU147" i="4"/>
  <c r="BV147" i="4"/>
  <c r="BW147" i="4"/>
  <c r="BX147" i="4"/>
  <c r="BY147" i="4"/>
  <c r="BZ147" i="4"/>
  <c r="CA147" i="4"/>
  <c r="CB147" i="4"/>
  <c r="CC147" i="4"/>
  <c r="CD147" i="4"/>
  <c r="CE147" i="4"/>
  <c r="CF147" i="4"/>
  <c r="CG147" i="4"/>
  <c r="CH147" i="4"/>
  <c r="CI147" i="4"/>
  <c r="CJ147" i="4"/>
  <c r="CK147" i="4"/>
  <c r="CL147" i="4"/>
  <c r="CM147" i="4"/>
  <c r="CN147" i="4"/>
  <c r="CO147" i="4"/>
  <c r="CP147" i="4"/>
  <c r="CQ147" i="4"/>
  <c r="CR147" i="4"/>
  <c r="CS147" i="4"/>
  <c r="CT147" i="4"/>
  <c r="CU147" i="4"/>
  <c r="CV147" i="4"/>
  <c r="CW147" i="4"/>
  <c r="CX147" i="4"/>
  <c r="D148" i="4"/>
  <c r="E148" i="4"/>
  <c r="F148" i="4"/>
  <c r="G148" i="4"/>
  <c r="H148" i="4"/>
  <c r="I148" i="4"/>
  <c r="J148" i="4"/>
  <c r="K148" i="4"/>
  <c r="L148" i="4"/>
  <c r="M148" i="4"/>
  <c r="N148" i="4"/>
  <c r="O148" i="4"/>
  <c r="P148" i="4"/>
  <c r="Q148" i="4"/>
  <c r="R148" i="4"/>
  <c r="S148" i="4"/>
  <c r="T148" i="4"/>
  <c r="U148" i="4"/>
  <c r="V148" i="4"/>
  <c r="W148" i="4"/>
  <c r="X148" i="4"/>
  <c r="Y148" i="4"/>
  <c r="Z148" i="4"/>
  <c r="AA148" i="4"/>
  <c r="AB148" i="4"/>
  <c r="AC148" i="4"/>
  <c r="AD148" i="4"/>
  <c r="AE148" i="4"/>
  <c r="AF148" i="4"/>
  <c r="AG148" i="4"/>
  <c r="AH148" i="4"/>
  <c r="AI148" i="4"/>
  <c r="AJ148" i="4"/>
  <c r="AK148" i="4"/>
  <c r="AL148" i="4"/>
  <c r="AM148" i="4"/>
  <c r="AN148" i="4"/>
  <c r="AO148" i="4"/>
  <c r="AP148" i="4"/>
  <c r="AQ148" i="4"/>
  <c r="AR148" i="4"/>
  <c r="AS148" i="4"/>
  <c r="AT148" i="4"/>
  <c r="AU148" i="4"/>
  <c r="AV148" i="4"/>
  <c r="AW148" i="4"/>
  <c r="AX148" i="4"/>
  <c r="AY148" i="4"/>
  <c r="AZ148" i="4"/>
  <c r="BA148" i="4"/>
  <c r="BB148" i="4"/>
  <c r="BC148" i="4"/>
  <c r="BD148" i="4"/>
  <c r="BE148" i="4"/>
  <c r="BF148" i="4"/>
  <c r="BG148" i="4"/>
  <c r="BH148" i="4"/>
  <c r="BI148" i="4"/>
  <c r="BJ148" i="4"/>
  <c r="BK148" i="4"/>
  <c r="BL148" i="4"/>
  <c r="BM148" i="4"/>
  <c r="BN148" i="4"/>
  <c r="BO148" i="4"/>
  <c r="BP148" i="4"/>
  <c r="BQ148" i="4"/>
  <c r="BR148" i="4"/>
  <c r="BS148" i="4"/>
  <c r="BT148" i="4"/>
  <c r="BU148" i="4"/>
  <c r="BV148" i="4"/>
  <c r="BW148" i="4"/>
  <c r="BX148" i="4"/>
  <c r="BY148" i="4"/>
  <c r="BZ148" i="4"/>
  <c r="CA148" i="4"/>
  <c r="CB148" i="4"/>
  <c r="CC148" i="4"/>
  <c r="CD148" i="4"/>
  <c r="CE148" i="4"/>
  <c r="CF148" i="4"/>
  <c r="CG148" i="4"/>
  <c r="CH148" i="4"/>
  <c r="CI148" i="4"/>
  <c r="CJ148" i="4"/>
  <c r="CK148" i="4"/>
  <c r="CL148" i="4"/>
  <c r="CM148" i="4"/>
  <c r="CN148" i="4"/>
  <c r="CO148" i="4"/>
  <c r="CP148" i="4"/>
  <c r="CQ148" i="4"/>
  <c r="CR148" i="4"/>
  <c r="CS148" i="4"/>
  <c r="CT148" i="4"/>
  <c r="CU148" i="4"/>
  <c r="CV148" i="4"/>
  <c r="CW148" i="4"/>
  <c r="CX148" i="4"/>
  <c r="D149" i="4"/>
  <c r="E149" i="4"/>
  <c r="F149" i="4"/>
  <c r="G149" i="4"/>
  <c r="H149" i="4"/>
  <c r="I149" i="4"/>
  <c r="J149" i="4"/>
  <c r="K149" i="4"/>
  <c r="L149" i="4"/>
  <c r="M149" i="4"/>
  <c r="N149" i="4"/>
  <c r="O149" i="4"/>
  <c r="P149" i="4"/>
  <c r="Q149" i="4"/>
  <c r="R149" i="4"/>
  <c r="S149" i="4"/>
  <c r="T149" i="4"/>
  <c r="U149" i="4"/>
  <c r="V149" i="4"/>
  <c r="W149" i="4"/>
  <c r="X149" i="4"/>
  <c r="Y149" i="4"/>
  <c r="Z149" i="4"/>
  <c r="AA149" i="4"/>
  <c r="AB149" i="4"/>
  <c r="AC149" i="4"/>
  <c r="AD149" i="4"/>
  <c r="AE149" i="4"/>
  <c r="AF149" i="4"/>
  <c r="AG149" i="4"/>
  <c r="AH149" i="4"/>
  <c r="AI149" i="4"/>
  <c r="AJ149" i="4"/>
  <c r="AK149" i="4"/>
  <c r="AL149" i="4"/>
  <c r="AM149" i="4"/>
  <c r="AN149" i="4"/>
  <c r="AO149" i="4"/>
  <c r="AP149" i="4"/>
  <c r="AQ149" i="4"/>
  <c r="AR149" i="4"/>
  <c r="AS149" i="4"/>
  <c r="AT149" i="4"/>
  <c r="AU149" i="4"/>
  <c r="AV149" i="4"/>
  <c r="AW149" i="4"/>
  <c r="AX149" i="4"/>
  <c r="AY149" i="4"/>
  <c r="AZ149" i="4"/>
  <c r="BA149" i="4"/>
  <c r="BB149" i="4"/>
  <c r="BC149" i="4"/>
  <c r="BD149" i="4"/>
  <c r="BE149" i="4"/>
  <c r="BF149" i="4"/>
  <c r="BG149" i="4"/>
  <c r="BH149" i="4"/>
  <c r="BI149" i="4"/>
  <c r="BJ149" i="4"/>
  <c r="BK149" i="4"/>
  <c r="BL149" i="4"/>
  <c r="BM149" i="4"/>
  <c r="BN149" i="4"/>
  <c r="BO149" i="4"/>
  <c r="BP149" i="4"/>
  <c r="BQ149" i="4"/>
  <c r="BR149" i="4"/>
  <c r="BS149" i="4"/>
  <c r="BT149" i="4"/>
  <c r="BU149" i="4"/>
  <c r="BV149" i="4"/>
  <c r="BW149" i="4"/>
  <c r="BX149" i="4"/>
  <c r="BY149" i="4"/>
  <c r="BZ149" i="4"/>
  <c r="CA149" i="4"/>
  <c r="CB149" i="4"/>
  <c r="CC149" i="4"/>
  <c r="CD149" i="4"/>
  <c r="CE149" i="4"/>
  <c r="CF149" i="4"/>
  <c r="CG149" i="4"/>
  <c r="CH149" i="4"/>
  <c r="CI149" i="4"/>
  <c r="CJ149" i="4"/>
  <c r="CK149" i="4"/>
  <c r="CL149" i="4"/>
  <c r="CM149" i="4"/>
  <c r="CN149" i="4"/>
  <c r="CO149" i="4"/>
  <c r="CP149" i="4"/>
  <c r="CQ149" i="4"/>
  <c r="CR149" i="4"/>
  <c r="CS149" i="4"/>
  <c r="CT149" i="4"/>
  <c r="CU149" i="4"/>
  <c r="CV149" i="4"/>
  <c r="CW149" i="4"/>
  <c r="CX149" i="4"/>
  <c r="D150" i="4"/>
  <c r="E150" i="4"/>
  <c r="F150" i="4"/>
  <c r="G150" i="4"/>
  <c r="H150" i="4"/>
  <c r="I150" i="4"/>
  <c r="J150" i="4"/>
  <c r="K150" i="4"/>
  <c r="L150" i="4"/>
  <c r="M150" i="4"/>
  <c r="N150" i="4"/>
  <c r="O150" i="4"/>
  <c r="P150" i="4"/>
  <c r="Q150" i="4"/>
  <c r="R150" i="4"/>
  <c r="S150" i="4"/>
  <c r="T150" i="4"/>
  <c r="U150" i="4"/>
  <c r="V150" i="4"/>
  <c r="W150" i="4"/>
  <c r="X150" i="4"/>
  <c r="Y150" i="4"/>
  <c r="Z150" i="4"/>
  <c r="AA150" i="4"/>
  <c r="AB150" i="4"/>
  <c r="AC150" i="4"/>
  <c r="AD150" i="4"/>
  <c r="AE150" i="4"/>
  <c r="AF150" i="4"/>
  <c r="AG150" i="4"/>
  <c r="AH150" i="4"/>
  <c r="AI150" i="4"/>
  <c r="AJ150" i="4"/>
  <c r="AK150" i="4"/>
  <c r="AL150" i="4"/>
  <c r="AM150" i="4"/>
  <c r="AN150" i="4"/>
  <c r="AO150" i="4"/>
  <c r="AP150" i="4"/>
  <c r="AQ150" i="4"/>
  <c r="AR150" i="4"/>
  <c r="AS150" i="4"/>
  <c r="AT150" i="4"/>
  <c r="AU150" i="4"/>
  <c r="AV150" i="4"/>
  <c r="AW150" i="4"/>
  <c r="AX150" i="4"/>
  <c r="AY150" i="4"/>
  <c r="AZ150" i="4"/>
  <c r="BA150" i="4"/>
  <c r="BB150" i="4"/>
  <c r="BC150" i="4"/>
  <c r="BD150" i="4"/>
  <c r="BE150" i="4"/>
  <c r="BF150" i="4"/>
  <c r="BG150" i="4"/>
  <c r="BH150" i="4"/>
  <c r="BI150" i="4"/>
  <c r="BJ150" i="4"/>
  <c r="BK150" i="4"/>
  <c r="BL150" i="4"/>
  <c r="BM150" i="4"/>
  <c r="BN150" i="4"/>
  <c r="BO150" i="4"/>
  <c r="BP150" i="4"/>
  <c r="BQ150" i="4"/>
  <c r="BR150" i="4"/>
  <c r="BS150" i="4"/>
  <c r="BT150" i="4"/>
  <c r="BU150" i="4"/>
  <c r="BV150" i="4"/>
  <c r="BW150" i="4"/>
  <c r="BX150" i="4"/>
  <c r="BY150" i="4"/>
  <c r="BZ150" i="4"/>
  <c r="CA150" i="4"/>
  <c r="CB150" i="4"/>
  <c r="CC150" i="4"/>
  <c r="CD150" i="4"/>
  <c r="CE150" i="4"/>
  <c r="CF150" i="4"/>
  <c r="CG150" i="4"/>
  <c r="CH150" i="4"/>
  <c r="CI150" i="4"/>
  <c r="CJ150" i="4"/>
  <c r="CK150" i="4"/>
  <c r="CL150" i="4"/>
  <c r="CM150" i="4"/>
  <c r="CN150" i="4"/>
  <c r="CO150" i="4"/>
  <c r="CP150" i="4"/>
  <c r="CQ150" i="4"/>
  <c r="CR150" i="4"/>
  <c r="CS150" i="4"/>
  <c r="CT150" i="4"/>
  <c r="CU150" i="4"/>
  <c r="CV150" i="4"/>
  <c r="CW150" i="4"/>
  <c r="CX150" i="4"/>
  <c r="D151" i="4"/>
  <c r="E151" i="4"/>
  <c r="F151" i="4"/>
  <c r="G151" i="4"/>
  <c r="H151" i="4"/>
  <c r="I151" i="4"/>
  <c r="J151" i="4"/>
  <c r="K151" i="4"/>
  <c r="L151" i="4"/>
  <c r="M151" i="4"/>
  <c r="N151" i="4"/>
  <c r="O151" i="4"/>
  <c r="P151" i="4"/>
  <c r="Q151" i="4"/>
  <c r="R151" i="4"/>
  <c r="S151" i="4"/>
  <c r="T151" i="4"/>
  <c r="U151" i="4"/>
  <c r="V151" i="4"/>
  <c r="W151" i="4"/>
  <c r="X151" i="4"/>
  <c r="Y151" i="4"/>
  <c r="Z151" i="4"/>
  <c r="AA151" i="4"/>
  <c r="AB151" i="4"/>
  <c r="AC151" i="4"/>
  <c r="AD151" i="4"/>
  <c r="AE151" i="4"/>
  <c r="AF151" i="4"/>
  <c r="AG151" i="4"/>
  <c r="AH151" i="4"/>
  <c r="AI151" i="4"/>
  <c r="AJ151" i="4"/>
  <c r="AK151" i="4"/>
  <c r="AL151" i="4"/>
  <c r="AM151" i="4"/>
  <c r="AN151" i="4"/>
  <c r="AO151" i="4"/>
  <c r="AP151" i="4"/>
  <c r="AQ151" i="4"/>
  <c r="AR151" i="4"/>
  <c r="AS151" i="4"/>
  <c r="AT151" i="4"/>
  <c r="AU151" i="4"/>
  <c r="AV151" i="4"/>
  <c r="AW151" i="4"/>
  <c r="AX151" i="4"/>
  <c r="AY151" i="4"/>
  <c r="AZ151" i="4"/>
  <c r="BA151" i="4"/>
  <c r="BB151" i="4"/>
  <c r="BC151" i="4"/>
  <c r="BD151" i="4"/>
  <c r="BE151" i="4"/>
  <c r="BF151" i="4"/>
  <c r="BG151" i="4"/>
  <c r="BH151" i="4"/>
  <c r="BI151" i="4"/>
  <c r="BJ151" i="4"/>
  <c r="BK151" i="4"/>
  <c r="BL151" i="4"/>
  <c r="BM151" i="4"/>
  <c r="BN151" i="4"/>
  <c r="BO151" i="4"/>
  <c r="BP151" i="4"/>
  <c r="BQ151" i="4"/>
  <c r="BR151" i="4"/>
  <c r="BS151" i="4"/>
  <c r="BT151" i="4"/>
  <c r="BU151" i="4"/>
  <c r="BV151" i="4"/>
  <c r="BW151" i="4"/>
  <c r="BX151" i="4"/>
  <c r="BY151" i="4"/>
  <c r="BZ151" i="4"/>
  <c r="CA151" i="4"/>
  <c r="CB151" i="4"/>
  <c r="CC151" i="4"/>
  <c r="CD151" i="4"/>
  <c r="CE151" i="4"/>
  <c r="CF151" i="4"/>
  <c r="CG151" i="4"/>
  <c r="CH151" i="4"/>
  <c r="CI151" i="4"/>
  <c r="CJ151" i="4"/>
  <c r="CK151" i="4"/>
  <c r="CL151" i="4"/>
  <c r="CM151" i="4"/>
  <c r="CN151" i="4"/>
  <c r="CO151" i="4"/>
  <c r="CP151" i="4"/>
  <c r="CQ151" i="4"/>
  <c r="CR151" i="4"/>
  <c r="CS151" i="4"/>
  <c r="CT151" i="4"/>
  <c r="CU151" i="4"/>
  <c r="CV151" i="4"/>
  <c r="CW151" i="4"/>
  <c r="CX151" i="4"/>
  <c r="D152" i="4"/>
  <c r="E152" i="4"/>
  <c r="F152" i="4"/>
  <c r="G152" i="4"/>
  <c r="H152" i="4"/>
  <c r="I152" i="4"/>
  <c r="J152" i="4"/>
  <c r="K152" i="4"/>
  <c r="L152" i="4"/>
  <c r="M152" i="4"/>
  <c r="N152" i="4"/>
  <c r="O152" i="4"/>
  <c r="P152" i="4"/>
  <c r="Q152" i="4"/>
  <c r="R152" i="4"/>
  <c r="S152" i="4"/>
  <c r="T152" i="4"/>
  <c r="U152" i="4"/>
  <c r="V152" i="4"/>
  <c r="W152" i="4"/>
  <c r="X152" i="4"/>
  <c r="Y152" i="4"/>
  <c r="Z152" i="4"/>
  <c r="AA152" i="4"/>
  <c r="AB152" i="4"/>
  <c r="AC152" i="4"/>
  <c r="AD152" i="4"/>
  <c r="AE152" i="4"/>
  <c r="AF152" i="4"/>
  <c r="AG152" i="4"/>
  <c r="AH152" i="4"/>
  <c r="AI152" i="4"/>
  <c r="AJ152" i="4"/>
  <c r="AK152" i="4"/>
  <c r="AL152" i="4"/>
  <c r="AM152" i="4"/>
  <c r="AN152" i="4"/>
  <c r="AO152" i="4"/>
  <c r="AP152" i="4"/>
  <c r="AQ152" i="4"/>
  <c r="AR152" i="4"/>
  <c r="AS152" i="4"/>
  <c r="AT152" i="4"/>
  <c r="AU152" i="4"/>
  <c r="AV152" i="4"/>
  <c r="AW152" i="4"/>
  <c r="AX152" i="4"/>
  <c r="AY152" i="4"/>
  <c r="AZ152" i="4"/>
  <c r="BA152" i="4"/>
  <c r="BB152" i="4"/>
  <c r="BC152" i="4"/>
  <c r="BD152" i="4"/>
  <c r="BE152" i="4"/>
  <c r="BF152" i="4"/>
  <c r="BG152" i="4"/>
  <c r="BH152" i="4"/>
  <c r="BI152" i="4"/>
  <c r="BJ152" i="4"/>
  <c r="BK152" i="4"/>
  <c r="BL152" i="4"/>
  <c r="BM152" i="4"/>
  <c r="BN152" i="4"/>
  <c r="BO152" i="4"/>
  <c r="BP152" i="4"/>
  <c r="BQ152" i="4"/>
  <c r="BR152" i="4"/>
  <c r="BS152" i="4"/>
  <c r="BT152" i="4"/>
  <c r="BU152" i="4"/>
  <c r="BV152" i="4"/>
  <c r="BW152" i="4"/>
  <c r="BX152" i="4"/>
  <c r="BY152" i="4"/>
  <c r="BZ152" i="4"/>
  <c r="CA152" i="4"/>
  <c r="CB152" i="4"/>
  <c r="CC152" i="4"/>
  <c r="CD152" i="4"/>
  <c r="CE152" i="4"/>
  <c r="CF152" i="4"/>
  <c r="CG152" i="4"/>
  <c r="CH152" i="4"/>
  <c r="CI152" i="4"/>
  <c r="CJ152" i="4"/>
  <c r="CK152" i="4"/>
  <c r="CL152" i="4"/>
  <c r="CM152" i="4"/>
  <c r="CN152" i="4"/>
  <c r="CO152" i="4"/>
  <c r="CP152" i="4"/>
  <c r="CQ152" i="4"/>
  <c r="CR152" i="4"/>
  <c r="CS152" i="4"/>
  <c r="CT152" i="4"/>
  <c r="CU152" i="4"/>
  <c r="CV152" i="4"/>
  <c r="CW152" i="4"/>
  <c r="CX152" i="4"/>
  <c r="D153" i="4"/>
  <c r="E153" i="4"/>
  <c r="F153" i="4"/>
  <c r="G153" i="4"/>
  <c r="H153" i="4"/>
  <c r="I153" i="4"/>
  <c r="J153" i="4"/>
  <c r="K153" i="4"/>
  <c r="L153" i="4"/>
  <c r="M153" i="4"/>
  <c r="N153" i="4"/>
  <c r="O153" i="4"/>
  <c r="P153" i="4"/>
  <c r="Q153" i="4"/>
  <c r="R153" i="4"/>
  <c r="S153" i="4"/>
  <c r="T153" i="4"/>
  <c r="U153" i="4"/>
  <c r="V153" i="4"/>
  <c r="W153" i="4"/>
  <c r="X153" i="4"/>
  <c r="Y153" i="4"/>
  <c r="Z153" i="4"/>
  <c r="AA153" i="4"/>
  <c r="AB153" i="4"/>
  <c r="AC153" i="4"/>
  <c r="AD153" i="4"/>
  <c r="AE153" i="4"/>
  <c r="AF153" i="4"/>
  <c r="AG153" i="4"/>
  <c r="AH153" i="4"/>
  <c r="AI153" i="4"/>
  <c r="AJ153" i="4"/>
  <c r="AK153" i="4"/>
  <c r="AL153" i="4"/>
  <c r="AM153" i="4"/>
  <c r="AN153" i="4"/>
  <c r="AO153" i="4"/>
  <c r="AP153" i="4"/>
  <c r="AQ153" i="4"/>
  <c r="AR153" i="4"/>
  <c r="AS153" i="4"/>
  <c r="AT153" i="4"/>
  <c r="AU153" i="4"/>
  <c r="AV153" i="4"/>
  <c r="AW153" i="4"/>
  <c r="AX153" i="4"/>
  <c r="AY153" i="4"/>
  <c r="AZ153" i="4"/>
  <c r="BA153" i="4"/>
  <c r="BB153" i="4"/>
  <c r="BC153" i="4"/>
  <c r="BD153" i="4"/>
  <c r="BE153" i="4"/>
  <c r="BF153" i="4"/>
  <c r="BG153" i="4"/>
  <c r="BH153" i="4"/>
  <c r="BI153" i="4"/>
  <c r="BJ153" i="4"/>
  <c r="BK153" i="4"/>
  <c r="BL153" i="4"/>
  <c r="BM153" i="4"/>
  <c r="BN153" i="4"/>
  <c r="BO153" i="4"/>
  <c r="BP153" i="4"/>
  <c r="BQ153" i="4"/>
  <c r="BR153" i="4"/>
  <c r="BS153" i="4"/>
  <c r="BT153" i="4"/>
  <c r="BU153" i="4"/>
  <c r="BV153" i="4"/>
  <c r="BW153" i="4"/>
  <c r="BX153" i="4"/>
  <c r="BY153" i="4"/>
  <c r="BZ153" i="4"/>
  <c r="CA153" i="4"/>
  <c r="CB153" i="4"/>
  <c r="CC153" i="4"/>
  <c r="CD153" i="4"/>
  <c r="CE153" i="4"/>
  <c r="CF153" i="4"/>
  <c r="CG153" i="4"/>
  <c r="CH153" i="4"/>
  <c r="CI153" i="4"/>
  <c r="CJ153" i="4"/>
  <c r="CK153" i="4"/>
  <c r="CL153" i="4"/>
  <c r="CM153" i="4"/>
  <c r="CN153" i="4"/>
  <c r="CO153" i="4"/>
  <c r="CP153" i="4"/>
  <c r="CQ153" i="4"/>
  <c r="CR153" i="4"/>
  <c r="CS153" i="4"/>
  <c r="CT153" i="4"/>
  <c r="CU153" i="4"/>
  <c r="CV153" i="4"/>
  <c r="CW153" i="4"/>
  <c r="CX153" i="4"/>
  <c r="D154" i="4"/>
  <c r="E154" i="4"/>
  <c r="F154" i="4"/>
  <c r="G154" i="4"/>
  <c r="H154" i="4"/>
  <c r="I154" i="4"/>
  <c r="J154" i="4"/>
  <c r="K154" i="4"/>
  <c r="L154" i="4"/>
  <c r="M154" i="4"/>
  <c r="N154" i="4"/>
  <c r="O154" i="4"/>
  <c r="P154" i="4"/>
  <c r="Q154" i="4"/>
  <c r="R154" i="4"/>
  <c r="S154" i="4"/>
  <c r="T154" i="4"/>
  <c r="U154" i="4"/>
  <c r="V154" i="4"/>
  <c r="W154" i="4"/>
  <c r="X154" i="4"/>
  <c r="Y154" i="4"/>
  <c r="Z154" i="4"/>
  <c r="AA154" i="4"/>
  <c r="AB154" i="4"/>
  <c r="AC154" i="4"/>
  <c r="AD154" i="4"/>
  <c r="AE154" i="4"/>
  <c r="AF154" i="4"/>
  <c r="AG154" i="4"/>
  <c r="AH154" i="4"/>
  <c r="AI154" i="4"/>
  <c r="AJ154" i="4"/>
  <c r="AK154" i="4"/>
  <c r="AL154" i="4"/>
  <c r="AM154" i="4"/>
  <c r="AN154" i="4"/>
  <c r="AO154" i="4"/>
  <c r="AP154" i="4"/>
  <c r="AQ154" i="4"/>
  <c r="AR154" i="4"/>
  <c r="AS154" i="4"/>
  <c r="AT154" i="4"/>
  <c r="AU154" i="4"/>
  <c r="AV154" i="4"/>
  <c r="AW154" i="4"/>
  <c r="AX154" i="4"/>
  <c r="AY154" i="4"/>
  <c r="AZ154" i="4"/>
  <c r="BA154" i="4"/>
  <c r="BB154" i="4"/>
  <c r="BC154" i="4"/>
  <c r="BD154" i="4"/>
  <c r="BE154" i="4"/>
  <c r="BF154" i="4"/>
  <c r="BG154" i="4"/>
  <c r="BH154" i="4"/>
  <c r="BI154" i="4"/>
  <c r="BJ154" i="4"/>
  <c r="BK154" i="4"/>
  <c r="BL154" i="4"/>
  <c r="BM154" i="4"/>
  <c r="BN154" i="4"/>
  <c r="BO154" i="4"/>
  <c r="BP154" i="4"/>
  <c r="BQ154" i="4"/>
  <c r="BR154" i="4"/>
  <c r="BS154" i="4"/>
  <c r="BT154" i="4"/>
  <c r="BU154" i="4"/>
  <c r="BV154" i="4"/>
  <c r="BW154" i="4"/>
  <c r="BX154" i="4"/>
  <c r="BY154" i="4"/>
  <c r="BZ154" i="4"/>
  <c r="CA154" i="4"/>
  <c r="CB154" i="4"/>
  <c r="CC154" i="4"/>
  <c r="CD154" i="4"/>
  <c r="CE154" i="4"/>
  <c r="CF154" i="4"/>
  <c r="CG154" i="4"/>
  <c r="CH154" i="4"/>
  <c r="CI154" i="4"/>
  <c r="CJ154" i="4"/>
  <c r="CK154" i="4"/>
  <c r="CL154" i="4"/>
  <c r="CM154" i="4"/>
  <c r="CN154" i="4"/>
  <c r="CO154" i="4"/>
  <c r="CP154" i="4"/>
  <c r="CQ154" i="4"/>
  <c r="CR154" i="4"/>
  <c r="CS154" i="4"/>
  <c r="CT154" i="4"/>
  <c r="CU154" i="4"/>
  <c r="CV154" i="4"/>
  <c r="CW154" i="4"/>
  <c r="CX154" i="4"/>
  <c r="D155" i="4"/>
  <c r="E155" i="4"/>
  <c r="F155" i="4"/>
  <c r="G155" i="4"/>
  <c r="H155" i="4"/>
  <c r="I155" i="4"/>
  <c r="J155" i="4"/>
  <c r="K155" i="4"/>
  <c r="L155" i="4"/>
  <c r="M155" i="4"/>
  <c r="N155" i="4"/>
  <c r="O155" i="4"/>
  <c r="P155" i="4"/>
  <c r="Q155" i="4"/>
  <c r="R155" i="4"/>
  <c r="S155" i="4"/>
  <c r="T155" i="4"/>
  <c r="U155" i="4"/>
  <c r="V155" i="4"/>
  <c r="W155" i="4"/>
  <c r="X155" i="4"/>
  <c r="Y155" i="4"/>
  <c r="Z155" i="4"/>
  <c r="AA155" i="4"/>
  <c r="AB155" i="4"/>
  <c r="AC155" i="4"/>
  <c r="AD155" i="4"/>
  <c r="AE155" i="4"/>
  <c r="AF155" i="4"/>
  <c r="AG155" i="4"/>
  <c r="AH155" i="4"/>
  <c r="AI155" i="4"/>
  <c r="AJ155" i="4"/>
  <c r="AK155" i="4"/>
  <c r="AL155" i="4"/>
  <c r="AM155" i="4"/>
  <c r="AN155" i="4"/>
  <c r="AO155" i="4"/>
  <c r="AP155" i="4"/>
  <c r="AQ155" i="4"/>
  <c r="AR155" i="4"/>
  <c r="AS155" i="4"/>
  <c r="AT155" i="4"/>
  <c r="AU155" i="4"/>
  <c r="AV155" i="4"/>
  <c r="AW155" i="4"/>
  <c r="AX155" i="4"/>
  <c r="AY155" i="4"/>
  <c r="AZ155" i="4"/>
  <c r="BA155" i="4"/>
  <c r="BB155" i="4"/>
  <c r="BC155" i="4"/>
  <c r="BD155" i="4"/>
  <c r="BE155" i="4"/>
  <c r="BF155" i="4"/>
  <c r="BG155" i="4"/>
  <c r="BH155" i="4"/>
  <c r="BI155" i="4"/>
  <c r="BJ155" i="4"/>
  <c r="BK155" i="4"/>
  <c r="BL155" i="4"/>
  <c r="BM155" i="4"/>
  <c r="BN155" i="4"/>
  <c r="BO155" i="4"/>
  <c r="BP155" i="4"/>
  <c r="BQ155" i="4"/>
  <c r="BR155" i="4"/>
  <c r="BS155" i="4"/>
  <c r="BT155" i="4"/>
  <c r="BU155" i="4"/>
  <c r="BV155" i="4"/>
  <c r="BW155" i="4"/>
  <c r="BX155" i="4"/>
  <c r="BY155" i="4"/>
  <c r="BZ155" i="4"/>
  <c r="CA155" i="4"/>
  <c r="CB155" i="4"/>
  <c r="CC155" i="4"/>
  <c r="CD155" i="4"/>
  <c r="CE155" i="4"/>
  <c r="CF155" i="4"/>
  <c r="CG155" i="4"/>
  <c r="CH155" i="4"/>
  <c r="CI155" i="4"/>
  <c r="CJ155" i="4"/>
  <c r="CK155" i="4"/>
  <c r="CL155" i="4"/>
  <c r="CM155" i="4"/>
  <c r="CN155" i="4"/>
  <c r="CO155" i="4"/>
  <c r="CP155" i="4"/>
  <c r="CQ155" i="4"/>
  <c r="CR155" i="4"/>
  <c r="CS155" i="4"/>
  <c r="CT155" i="4"/>
  <c r="CU155" i="4"/>
  <c r="CV155" i="4"/>
  <c r="CW155" i="4"/>
  <c r="CX155" i="4"/>
  <c r="D156" i="4"/>
  <c r="E156" i="4"/>
  <c r="F156" i="4"/>
  <c r="G156" i="4"/>
  <c r="H156" i="4"/>
  <c r="I156" i="4"/>
  <c r="J156" i="4"/>
  <c r="K156" i="4"/>
  <c r="L156" i="4"/>
  <c r="M156" i="4"/>
  <c r="N156" i="4"/>
  <c r="O156" i="4"/>
  <c r="P156" i="4"/>
  <c r="Q156" i="4"/>
  <c r="R156" i="4"/>
  <c r="S156" i="4"/>
  <c r="T156" i="4"/>
  <c r="U156" i="4"/>
  <c r="V156" i="4"/>
  <c r="W156" i="4"/>
  <c r="X156" i="4"/>
  <c r="Y156" i="4"/>
  <c r="Z156" i="4"/>
  <c r="AA156" i="4"/>
  <c r="AB156" i="4"/>
  <c r="AC156" i="4"/>
  <c r="AD156" i="4"/>
  <c r="AE156" i="4"/>
  <c r="AF156" i="4"/>
  <c r="AG156" i="4"/>
  <c r="AH156" i="4"/>
  <c r="AI156" i="4"/>
  <c r="AJ156" i="4"/>
  <c r="AK156" i="4"/>
  <c r="AL156" i="4"/>
  <c r="AM156" i="4"/>
  <c r="AN156" i="4"/>
  <c r="AO156" i="4"/>
  <c r="AP156" i="4"/>
  <c r="AQ156" i="4"/>
  <c r="AR156" i="4"/>
  <c r="AS156" i="4"/>
  <c r="AT156" i="4"/>
  <c r="AU156" i="4"/>
  <c r="AV156" i="4"/>
  <c r="AW156" i="4"/>
  <c r="AX156" i="4"/>
  <c r="AY156" i="4"/>
  <c r="AZ156" i="4"/>
  <c r="BA156" i="4"/>
  <c r="BB156" i="4"/>
  <c r="BC156" i="4"/>
  <c r="BD156" i="4"/>
  <c r="BE156" i="4"/>
  <c r="BF156" i="4"/>
  <c r="BG156" i="4"/>
  <c r="BH156" i="4"/>
  <c r="BI156" i="4"/>
  <c r="BJ156" i="4"/>
  <c r="BK156" i="4"/>
  <c r="BL156" i="4"/>
  <c r="BM156" i="4"/>
  <c r="BN156" i="4"/>
  <c r="BO156" i="4"/>
  <c r="BP156" i="4"/>
  <c r="BQ156" i="4"/>
  <c r="BR156" i="4"/>
  <c r="BS156" i="4"/>
  <c r="BT156" i="4"/>
  <c r="BU156" i="4"/>
  <c r="BV156" i="4"/>
  <c r="BW156" i="4"/>
  <c r="BX156" i="4"/>
  <c r="BY156" i="4"/>
  <c r="BZ156" i="4"/>
  <c r="CA156" i="4"/>
  <c r="CB156" i="4"/>
  <c r="CC156" i="4"/>
  <c r="CD156" i="4"/>
  <c r="CE156" i="4"/>
  <c r="CF156" i="4"/>
  <c r="CG156" i="4"/>
  <c r="CH156" i="4"/>
  <c r="CI156" i="4"/>
  <c r="CJ156" i="4"/>
  <c r="CK156" i="4"/>
  <c r="CL156" i="4"/>
  <c r="CM156" i="4"/>
  <c r="CN156" i="4"/>
  <c r="CO156" i="4"/>
  <c r="CP156" i="4"/>
  <c r="CQ156" i="4"/>
  <c r="CR156" i="4"/>
  <c r="CS156" i="4"/>
  <c r="CT156" i="4"/>
  <c r="CU156" i="4"/>
  <c r="CV156" i="4"/>
  <c r="CW156" i="4"/>
  <c r="CX156" i="4"/>
  <c r="D157" i="4"/>
  <c r="E157" i="4"/>
  <c r="F157" i="4"/>
  <c r="G157" i="4"/>
  <c r="H157" i="4"/>
  <c r="I157" i="4"/>
  <c r="J157" i="4"/>
  <c r="K157" i="4"/>
  <c r="L157" i="4"/>
  <c r="M157" i="4"/>
  <c r="N157" i="4"/>
  <c r="O157" i="4"/>
  <c r="P157" i="4"/>
  <c r="Q157" i="4"/>
  <c r="R157" i="4"/>
  <c r="S157" i="4"/>
  <c r="T157" i="4"/>
  <c r="U157" i="4"/>
  <c r="V157" i="4"/>
  <c r="W157" i="4"/>
  <c r="X157" i="4"/>
  <c r="Y157" i="4"/>
  <c r="Z157" i="4"/>
  <c r="AA157" i="4"/>
  <c r="AB157" i="4"/>
  <c r="AC157" i="4"/>
  <c r="AD157" i="4"/>
  <c r="AE157" i="4"/>
  <c r="AF157" i="4"/>
  <c r="AG157" i="4"/>
  <c r="AH157" i="4"/>
  <c r="AI157" i="4"/>
  <c r="AJ157" i="4"/>
  <c r="AK157" i="4"/>
  <c r="AL157" i="4"/>
  <c r="AM157" i="4"/>
  <c r="AN157" i="4"/>
  <c r="AO157" i="4"/>
  <c r="AP157" i="4"/>
  <c r="AQ157" i="4"/>
  <c r="AR157" i="4"/>
  <c r="AS157" i="4"/>
  <c r="AT157" i="4"/>
  <c r="AU157" i="4"/>
  <c r="AV157" i="4"/>
  <c r="AW157" i="4"/>
  <c r="AX157" i="4"/>
  <c r="AY157" i="4"/>
  <c r="AZ157" i="4"/>
  <c r="BA157" i="4"/>
  <c r="BB157" i="4"/>
  <c r="BC157" i="4"/>
  <c r="BD157" i="4"/>
  <c r="BE157" i="4"/>
  <c r="BF157" i="4"/>
  <c r="BG157" i="4"/>
  <c r="BH157" i="4"/>
  <c r="BI157" i="4"/>
  <c r="BJ157" i="4"/>
  <c r="BK157" i="4"/>
  <c r="BL157" i="4"/>
  <c r="BM157" i="4"/>
  <c r="BN157" i="4"/>
  <c r="BO157" i="4"/>
  <c r="BP157" i="4"/>
  <c r="BQ157" i="4"/>
  <c r="BR157" i="4"/>
  <c r="BS157" i="4"/>
  <c r="BT157" i="4"/>
  <c r="BU157" i="4"/>
  <c r="BV157" i="4"/>
  <c r="BW157" i="4"/>
  <c r="BX157" i="4"/>
  <c r="BY157" i="4"/>
  <c r="BZ157" i="4"/>
  <c r="CA157" i="4"/>
  <c r="CB157" i="4"/>
  <c r="CC157" i="4"/>
  <c r="CD157" i="4"/>
  <c r="CE157" i="4"/>
  <c r="CF157" i="4"/>
  <c r="CG157" i="4"/>
  <c r="CH157" i="4"/>
  <c r="CI157" i="4"/>
  <c r="CJ157" i="4"/>
  <c r="CK157" i="4"/>
  <c r="CL157" i="4"/>
  <c r="CM157" i="4"/>
  <c r="CN157" i="4"/>
  <c r="CO157" i="4"/>
  <c r="CP157" i="4"/>
  <c r="CQ157" i="4"/>
  <c r="CR157" i="4"/>
  <c r="CS157" i="4"/>
  <c r="CT157" i="4"/>
  <c r="CU157" i="4"/>
  <c r="CV157" i="4"/>
  <c r="CW157" i="4"/>
  <c r="CX157" i="4"/>
  <c r="D158" i="4"/>
  <c r="E158" i="4"/>
  <c r="F158" i="4"/>
  <c r="G158" i="4"/>
  <c r="H158" i="4"/>
  <c r="I158" i="4"/>
  <c r="J158" i="4"/>
  <c r="K158" i="4"/>
  <c r="L158" i="4"/>
  <c r="M158" i="4"/>
  <c r="N158" i="4"/>
  <c r="O158" i="4"/>
  <c r="P158" i="4"/>
  <c r="Q158" i="4"/>
  <c r="R158" i="4"/>
  <c r="S158" i="4"/>
  <c r="T158" i="4"/>
  <c r="U158" i="4"/>
  <c r="V158" i="4"/>
  <c r="W158" i="4"/>
  <c r="X158" i="4"/>
  <c r="Y158" i="4"/>
  <c r="Z158" i="4"/>
  <c r="AA158" i="4"/>
  <c r="AB158" i="4"/>
  <c r="AC158" i="4"/>
  <c r="AD158" i="4"/>
  <c r="AE158" i="4"/>
  <c r="AF158" i="4"/>
  <c r="AG158" i="4"/>
  <c r="AH158" i="4"/>
  <c r="AI158" i="4"/>
  <c r="AJ158" i="4"/>
  <c r="AK158" i="4"/>
  <c r="AL158" i="4"/>
  <c r="AM158" i="4"/>
  <c r="AN158" i="4"/>
  <c r="AO158" i="4"/>
  <c r="AP158" i="4"/>
  <c r="AQ158" i="4"/>
  <c r="AR158" i="4"/>
  <c r="AS158" i="4"/>
  <c r="AT158" i="4"/>
  <c r="AU158" i="4"/>
  <c r="AV158" i="4"/>
  <c r="AW158" i="4"/>
  <c r="AX158" i="4"/>
  <c r="AY158" i="4"/>
  <c r="AZ158" i="4"/>
  <c r="BA158" i="4"/>
  <c r="BB158" i="4"/>
  <c r="BC158" i="4"/>
  <c r="BD158" i="4"/>
  <c r="BE158" i="4"/>
  <c r="BF158" i="4"/>
  <c r="BG158" i="4"/>
  <c r="BH158" i="4"/>
  <c r="BI158" i="4"/>
  <c r="BJ158" i="4"/>
  <c r="BK158" i="4"/>
  <c r="BL158" i="4"/>
  <c r="BM158" i="4"/>
  <c r="BN158" i="4"/>
  <c r="BO158" i="4"/>
  <c r="BP158" i="4"/>
  <c r="BQ158" i="4"/>
  <c r="BR158" i="4"/>
  <c r="BS158" i="4"/>
  <c r="BT158" i="4"/>
  <c r="BU158" i="4"/>
  <c r="BV158" i="4"/>
  <c r="BW158" i="4"/>
  <c r="BX158" i="4"/>
  <c r="BY158" i="4"/>
  <c r="BZ158" i="4"/>
  <c r="CA158" i="4"/>
  <c r="CB158" i="4"/>
  <c r="CC158" i="4"/>
  <c r="CD158" i="4"/>
  <c r="CE158" i="4"/>
  <c r="CF158" i="4"/>
  <c r="CG158" i="4"/>
  <c r="CH158" i="4"/>
  <c r="CI158" i="4"/>
  <c r="CJ158" i="4"/>
  <c r="CK158" i="4"/>
  <c r="CL158" i="4"/>
  <c r="CM158" i="4"/>
  <c r="CN158" i="4"/>
  <c r="CO158" i="4"/>
  <c r="CP158" i="4"/>
  <c r="CQ158" i="4"/>
  <c r="CR158" i="4"/>
  <c r="CS158" i="4"/>
  <c r="CT158" i="4"/>
  <c r="CU158" i="4"/>
  <c r="CV158" i="4"/>
  <c r="CW158" i="4"/>
  <c r="CX158" i="4"/>
  <c r="D159" i="4"/>
  <c r="E159" i="4"/>
  <c r="F159" i="4"/>
  <c r="G159" i="4"/>
  <c r="H159" i="4"/>
  <c r="I159" i="4"/>
  <c r="J159" i="4"/>
  <c r="K159" i="4"/>
  <c r="L159" i="4"/>
  <c r="M159" i="4"/>
  <c r="N159" i="4"/>
  <c r="O159" i="4"/>
  <c r="P159" i="4"/>
  <c r="Q159" i="4"/>
  <c r="R159" i="4"/>
  <c r="S159" i="4"/>
  <c r="T159" i="4"/>
  <c r="U159" i="4"/>
  <c r="V159" i="4"/>
  <c r="W159" i="4"/>
  <c r="X159" i="4"/>
  <c r="Y159" i="4"/>
  <c r="Z159" i="4"/>
  <c r="AA159" i="4"/>
  <c r="AB159" i="4"/>
  <c r="AC159" i="4"/>
  <c r="AD159" i="4"/>
  <c r="AE159" i="4"/>
  <c r="AF159" i="4"/>
  <c r="AG159" i="4"/>
  <c r="AH159" i="4"/>
  <c r="AI159" i="4"/>
  <c r="AJ159" i="4"/>
  <c r="AK159" i="4"/>
  <c r="AL159" i="4"/>
  <c r="AM159" i="4"/>
  <c r="AN159" i="4"/>
  <c r="AO159" i="4"/>
  <c r="AP159" i="4"/>
  <c r="AQ159" i="4"/>
  <c r="AR159" i="4"/>
  <c r="AS159" i="4"/>
  <c r="AT159" i="4"/>
  <c r="AU159" i="4"/>
  <c r="AV159" i="4"/>
  <c r="AW159" i="4"/>
  <c r="AX159" i="4"/>
  <c r="AY159" i="4"/>
  <c r="AZ159" i="4"/>
  <c r="BA159" i="4"/>
  <c r="BB159" i="4"/>
  <c r="BC159" i="4"/>
  <c r="BD159" i="4"/>
  <c r="BE159" i="4"/>
  <c r="BF159" i="4"/>
  <c r="BG159" i="4"/>
  <c r="BH159" i="4"/>
  <c r="BI159" i="4"/>
  <c r="BJ159" i="4"/>
  <c r="BK159" i="4"/>
  <c r="BL159" i="4"/>
  <c r="BM159" i="4"/>
  <c r="BN159" i="4"/>
  <c r="BO159" i="4"/>
  <c r="BP159" i="4"/>
  <c r="BQ159" i="4"/>
  <c r="BR159" i="4"/>
  <c r="BS159" i="4"/>
  <c r="BT159" i="4"/>
  <c r="BU159" i="4"/>
  <c r="BV159" i="4"/>
  <c r="BW159" i="4"/>
  <c r="BX159" i="4"/>
  <c r="BY159" i="4"/>
  <c r="BZ159" i="4"/>
  <c r="CA159" i="4"/>
  <c r="CB159" i="4"/>
  <c r="CC159" i="4"/>
  <c r="CD159" i="4"/>
  <c r="CE159" i="4"/>
  <c r="CF159" i="4"/>
  <c r="CG159" i="4"/>
  <c r="CH159" i="4"/>
  <c r="CI159" i="4"/>
  <c r="CJ159" i="4"/>
  <c r="CK159" i="4"/>
  <c r="CL159" i="4"/>
  <c r="CM159" i="4"/>
  <c r="CN159" i="4"/>
  <c r="CO159" i="4"/>
  <c r="CP159" i="4"/>
  <c r="CQ159" i="4"/>
  <c r="CR159" i="4"/>
  <c r="CS159" i="4"/>
  <c r="CT159" i="4"/>
  <c r="CU159" i="4"/>
  <c r="CV159" i="4"/>
  <c r="CW159" i="4"/>
  <c r="CX159" i="4"/>
  <c r="D160" i="4"/>
  <c r="E160" i="4"/>
  <c r="F160" i="4"/>
  <c r="G160" i="4"/>
  <c r="H160" i="4"/>
  <c r="I160" i="4"/>
  <c r="J160" i="4"/>
  <c r="K160" i="4"/>
  <c r="L160" i="4"/>
  <c r="M160" i="4"/>
  <c r="N160" i="4"/>
  <c r="O160" i="4"/>
  <c r="P160" i="4"/>
  <c r="Q160" i="4"/>
  <c r="R160" i="4"/>
  <c r="S160" i="4"/>
  <c r="T160" i="4"/>
  <c r="U160" i="4"/>
  <c r="V160" i="4"/>
  <c r="W160" i="4"/>
  <c r="X160" i="4"/>
  <c r="Y160" i="4"/>
  <c r="Z160" i="4"/>
  <c r="AA160" i="4"/>
  <c r="AB160" i="4"/>
  <c r="AC160" i="4"/>
  <c r="AD160" i="4"/>
  <c r="AE160" i="4"/>
  <c r="AF160" i="4"/>
  <c r="AG160" i="4"/>
  <c r="AH160" i="4"/>
  <c r="AI160" i="4"/>
  <c r="AJ160" i="4"/>
  <c r="AK160" i="4"/>
  <c r="AL160" i="4"/>
  <c r="AM160" i="4"/>
  <c r="AN160" i="4"/>
  <c r="AO160" i="4"/>
  <c r="AP160" i="4"/>
  <c r="AQ160" i="4"/>
  <c r="AR160" i="4"/>
  <c r="AS160" i="4"/>
  <c r="AT160" i="4"/>
  <c r="AU160" i="4"/>
  <c r="AV160" i="4"/>
  <c r="AW160" i="4"/>
  <c r="AX160" i="4"/>
  <c r="AY160" i="4"/>
  <c r="AZ160" i="4"/>
  <c r="BA160" i="4"/>
  <c r="BB160" i="4"/>
  <c r="BC160" i="4"/>
  <c r="BD160" i="4"/>
  <c r="BE160" i="4"/>
  <c r="BF160" i="4"/>
  <c r="BG160" i="4"/>
  <c r="BH160" i="4"/>
  <c r="BI160" i="4"/>
  <c r="BJ160" i="4"/>
  <c r="BK160" i="4"/>
  <c r="BL160" i="4"/>
  <c r="BM160" i="4"/>
  <c r="BN160" i="4"/>
  <c r="BO160" i="4"/>
  <c r="BP160" i="4"/>
  <c r="BQ160" i="4"/>
  <c r="BR160" i="4"/>
  <c r="BS160" i="4"/>
  <c r="BT160" i="4"/>
  <c r="BU160" i="4"/>
  <c r="BV160" i="4"/>
  <c r="BW160" i="4"/>
  <c r="BX160" i="4"/>
  <c r="BY160" i="4"/>
  <c r="BZ160" i="4"/>
  <c r="CA160" i="4"/>
  <c r="CB160" i="4"/>
  <c r="CC160" i="4"/>
  <c r="CD160" i="4"/>
  <c r="CE160" i="4"/>
  <c r="CF160" i="4"/>
  <c r="CG160" i="4"/>
  <c r="CH160" i="4"/>
  <c r="CI160" i="4"/>
  <c r="CJ160" i="4"/>
  <c r="CK160" i="4"/>
  <c r="CL160" i="4"/>
  <c r="CM160" i="4"/>
  <c r="CN160" i="4"/>
  <c r="CO160" i="4"/>
  <c r="CP160" i="4"/>
  <c r="CQ160" i="4"/>
  <c r="CR160" i="4"/>
  <c r="CS160" i="4"/>
  <c r="CT160" i="4"/>
  <c r="CU160" i="4"/>
  <c r="CV160" i="4"/>
  <c r="CW160" i="4"/>
  <c r="CX160" i="4"/>
  <c r="D161" i="4"/>
  <c r="E161" i="4"/>
  <c r="F161" i="4"/>
  <c r="G161" i="4"/>
  <c r="H161" i="4"/>
  <c r="I161" i="4"/>
  <c r="J161" i="4"/>
  <c r="K161" i="4"/>
  <c r="L161" i="4"/>
  <c r="M161" i="4"/>
  <c r="N161" i="4"/>
  <c r="O161" i="4"/>
  <c r="P161" i="4"/>
  <c r="Q161" i="4"/>
  <c r="R161" i="4"/>
  <c r="S161" i="4"/>
  <c r="T161" i="4"/>
  <c r="U161" i="4"/>
  <c r="V161" i="4"/>
  <c r="W161" i="4"/>
  <c r="X161" i="4"/>
  <c r="Y161" i="4"/>
  <c r="Z161" i="4"/>
  <c r="AA161" i="4"/>
  <c r="AB161" i="4"/>
  <c r="AC161" i="4"/>
  <c r="AD161" i="4"/>
  <c r="AE161" i="4"/>
  <c r="AF161" i="4"/>
  <c r="AG161" i="4"/>
  <c r="AH161" i="4"/>
  <c r="AI161" i="4"/>
  <c r="AJ161" i="4"/>
  <c r="AK161" i="4"/>
  <c r="AL161" i="4"/>
  <c r="AM161" i="4"/>
  <c r="AN161" i="4"/>
  <c r="AO161" i="4"/>
  <c r="AP161" i="4"/>
  <c r="AQ161" i="4"/>
  <c r="AR161" i="4"/>
  <c r="AS161" i="4"/>
  <c r="AT161" i="4"/>
  <c r="AU161" i="4"/>
  <c r="AV161" i="4"/>
  <c r="AW161" i="4"/>
  <c r="AX161" i="4"/>
  <c r="AY161" i="4"/>
  <c r="AZ161" i="4"/>
  <c r="BA161" i="4"/>
  <c r="BB161" i="4"/>
  <c r="BC161" i="4"/>
  <c r="BD161" i="4"/>
  <c r="BE161" i="4"/>
  <c r="BF161" i="4"/>
  <c r="BG161" i="4"/>
  <c r="BH161" i="4"/>
  <c r="BI161" i="4"/>
  <c r="BJ161" i="4"/>
  <c r="BK161" i="4"/>
  <c r="BL161" i="4"/>
  <c r="BM161" i="4"/>
  <c r="BN161" i="4"/>
  <c r="BO161" i="4"/>
  <c r="BP161" i="4"/>
  <c r="BQ161" i="4"/>
  <c r="BR161" i="4"/>
  <c r="BS161" i="4"/>
  <c r="BT161" i="4"/>
  <c r="BU161" i="4"/>
  <c r="BV161" i="4"/>
  <c r="BW161" i="4"/>
  <c r="BX161" i="4"/>
  <c r="BY161" i="4"/>
  <c r="BZ161" i="4"/>
  <c r="CA161" i="4"/>
  <c r="CB161" i="4"/>
  <c r="CC161" i="4"/>
  <c r="CD161" i="4"/>
  <c r="CE161" i="4"/>
  <c r="CF161" i="4"/>
  <c r="CG161" i="4"/>
  <c r="CH161" i="4"/>
  <c r="CI161" i="4"/>
  <c r="CJ161" i="4"/>
  <c r="CK161" i="4"/>
  <c r="CL161" i="4"/>
  <c r="CM161" i="4"/>
  <c r="CN161" i="4"/>
  <c r="CO161" i="4"/>
  <c r="CP161" i="4"/>
  <c r="CQ161" i="4"/>
  <c r="CR161" i="4"/>
  <c r="CS161" i="4"/>
  <c r="CT161" i="4"/>
  <c r="CU161" i="4"/>
  <c r="CV161" i="4"/>
  <c r="CW161" i="4"/>
  <c r="CX161" i="4"/>
  <c r="D162" i="4"/>
  <c r="E162" i="4"/>
  <c r="F162" i="4"/>
  <c r="G162" i="4"/>
  <c r="H162" i="4"/>
  <c r="I162" i="4"/>
  <c r="J162" i="4"/>
  <c r="K162" i="4"/>
  <c r="L162" i="4"/>
  <c r="M162" i="4"/>
  <c r="N162" i="4"/>
  <c r="O162" i="4"/>
  <c r="P162" i="4"/>
  <c r="Q162" i="4"/>
  <c r="R162" i="4"/>
  <c r="S162" i="4"/>
  <c r="T162" i="4"/>
  <c r="U162" i="4"/>
  <c r="V162" i="4"/>
  <c r="W162" i="4"/>
  <c r="X162" i="4"/>
  <c r="Y162" i="4"/>
  <c r="Z162" i="4"/>
  <c r="AA162" i="4"/>
  <c r="AB162" i="4"/>
  <c r="AC162" i="4"/>
  <c r="AD162" i="4"/>
  <c r="AE162" i="4"/>
  <c r="AF162" i="4"/>
  <c r="AG162" i="4"/>
  <c r="AH162" i="4"/>
  <c r="AI162" i="4"/>
  <c r="AJ162" i="4"/>
  <c r="AK162" i="4"/>
  <c r="AL162" i="4"/>
  <c r="AM162" i="4"/>
  <c r="AN162" i="4"/>
  <c r="AO162" i="4"/>
  <c r="AP162" i="4"/>
  <c r="AQ162" i="4"/>
  <c r="AR162" i="4"/>
  <c r="AS162" i="4"/>
  <c r="AT162" i="4"/>
  <c r="AU162" i="4"/>
  <c r="AV162" i="4"/>
  <c r="AW162" i="4"/>
  <c r="AX162" i="4"/>
  <c r="AY162" i="4"/>
  <c r="AZ162" i="4"/>
  <c r="BA162" i="4"/>
  <c r="BB162" i="4"/>
  <c r="BC162" i="4"/>
  <c r="BD162" i="4"/>
  <c r="BE162" i="4"/>
  <c r="BF162" i="4"/>
  <c r="BG162" i="4"/>
  <c r="BH162" i="4"/>
  <c r="BI162" i="4"/>
  <c r="BJ162" i="4"/>
  <c r="BK162" i="4"/>
  <c r="BL162" i="4"/>
  <c r="BM162" i="4"/>
  <c r="BN162" i="4"/>
  <c r="BO162" i="4"/>
  <c r="BP162" i="4"/>
  <c r="BQ162" i="4"/>
  <c r="BR162" i="4"/>
  <c r="BS162" i="4"/>
  <c r="BT162" i="4"/>
  <c r="BU162" i="4"/>
  <c r="BV162" i="4"/>
  <c r="BW162" i="4"/>
  <c r="BX162" i="4"/>
  <c r="BY162" i="4"/>
  <c r="BZ162" i="4"/>
  <c r="CA162" i="4"/>
  <c r="CB162" i="4"/>
  <c r="CC162" i="4"/>
  <c r="CD162" i="4"/>
  <c r="CE162" i="4"/>
  <c r="CF162" i="4"/>
  <c r="CG162" i="4"/>
  <c r="CH162" i="4"/>
  <c r="CI162" i="4"/>
  <c r="CJ162" i="4"/>
  <c r="CK162" i="4"/>
  <c r="CL162" i="4"/>
  <c r="CM162" i="4"/>
  <c r="CN162" i="4"/>
  <c r="CO162" i="4"/>
  <c r="CP162" i="4"/>
  <c r="CQ162" i="4"/>
  <c r="CR162" i="4"/>
  <c r="CS162" i="4"/>
  <c r="CT162" i="4"/>
  <c r="CU162" i="4"/>
  <c r="CV162" i="4"/>
  <c r="CW162" i="4"/>
  <c r="CX162" i="4"/>
  <c r="D163" i="4"/>
  <c r="E163" i="4"/>
  <c r="F163" i="4"/>
  <c r="G163" i="4"/>
  <c r="H163" i="4"/>
  <c r="I163" i="4"/>
  <c r="J163" i="4"/>
  <c r="K163" i="4"/>
  <c r="L163" i="4"/>
  <c r="M163" i="4"/>
  <c r="N163" i="4"/>
  <c r="O163" i="4"/>
  <c r="P163" i="4"/>
  <c r="Q163" i="4"/>
  <c r="R163" i="4"/>
  <c r="S163" i="4"/>
  <c r="T163" i="4"/>
  <c r="U163" i="4"/>
  <c r="V163" i="4"/>
  <c r="W163" i="4"/>
  <c r="X163" i="4"/>
  <c r="Y163" i="4"/>
  <c r="Z163" i="4"/>
  <c r="AA163" i="4"/>
  <c r="AB163" i="4"/>
  <c r="AC163" i="4"/>
  <c r="AD163" i="4"/>
  <c r="AE163" i="4"/>
  <c r="AF163" i="4"/>
  <c r="AG163" i="4"/>
  <c r="AH163" i="4"/>
  <c r="AI163" i="4"/>
  <c r="AJ163" i="4"/>
  <c r="AK163" i="4"/>
  <c r="AL163" i="4"/>
  <c r="AM163" i="4"/>
  <c r="AN163" i="4"/>
  <c r="AO163" i="4"/>
  <c r="AP163" i="4"/>
  <c r="AQ163" i="4"/>
  <c r="AR163" i="4"/>
  <c r="AS163" i="4"/>
  <c r="AT163" i="4"/>
  <c r="AU163" i="4"/>
  <c r="AV163" i="4"/>
  <c r="AW163" i="4"/>
  <c r="AX163" i="4"/>
  <c r="AY163" i="4"/>
  <c r="AZ163" i="4"/>
  <c r="BA163" i="4"/>
  <c r="BB163" i="4"/>
  <c r="BC163" i="4"/>
  <c r="BD163" i="4"/>
  <c r="BE163" i="4"/>
  <c r="BF163" i="4"/>
  <c r="BG163" i="4"/>
  <c r="BH163" i="4"/>
  <c r="BI163" i="4"/>
  <c r="BJ163" i="4"/>
  <c r="BK163" i="4"/>
  <c r="BL163" i="4"/>
  <c r="BM163" i="4"/>
  <c r="BN163" i="4"/>
  <c r="BO163" i="4"/>
  <c r="BP163" i="4"/>
  <c r="BQ163" i="4"/>
  <c r="BR163" i="4"/>
  <c r="BS163" i="4"/>
  <c r="BT163" i="4"/>
  <c r="BU163" i="4"/>
  <c r="BV163" i="4"/>
  <c r="BW163" i="4"/>
  <c r="BX163" i="4"/>
  <c r="BY163" i="4"/>
  <c r="BZ163" i="4"/>
  <c r="CA163" i="4"/>
  <c r="CB163" i="4"/>
  <c r="CC163" i="4"/>
  <c r="CD163" i="4"/>
  <c r="CE163" i="4"/>
  <c r="CF163" i="4"/>
  <c r="CG163" i="4"/>
  <c r="CH163" i="4"/>
  <c r="CI163" i="4"/>
  <c r="CJ163" i="4"/>
  <c r="CK163" i="4"/>
  <c r="CL163" i="4"/>
  <c r="CM163" i="4"/>
  <c r="CN163" i="4"/>
  <c r="CO163" i="4"/>
  <c r="CP163" i="4"/>
  <c r="CQ163" i="4"/>
  <c r="CR163" i="4"/>
  <c r="CS163" i="4"/>
  <c r="CT163" i="4"/>
  <c r="CU163" i="4"/>
  <c r="CV163" i="4"/>
  <c r="CW163" i="4"/>
  <c r="CX163" i="4"/>
  <c r="D164" i="4"/>
  <c r="E164" i="4"/>
  <c r="F164" i="4"/>
  <c r="G164" i="4"/>
  <c r="H164" i="4"/>
  <c r="I164" i="4"/>
  <c r="J164" i="4"/>
  <c r="K164" i="4"/>
  <c r="L164" i="4"/>
  <c r="M164" i="4"/>
  <c r="N164" i="4"/>
  <c r="O164" i="4"/>
  <c r="P164" i="4"/>
  <c r="Q164" i="4"/>
  <c r="R164" i="4"/>
  <c r="S164" i="4"/>
  <c r="T164" i="4"/>
  <c r="U164" i="4"/>
  <c r="V164" i="4"/>
  <c r="W164" i="4"/>
  <c r="X164" i="4"/>
  <c r="Y164" i="4"/>
  <c r="Z164" i="4"/>
  <c r="AA164" i="4"/>
  <c r="AB164" i="4"/>
  <c r="AC164" i="4"/>
  <c r="AD164" i="4"/>
  <c r="AE164" i="4"/>
  <c r="AF164" i="4"/>
  <c r="AG164" i="4"/>
  <c r="AH164" i="4"/>
  <c r="AI164" i="4"/>
  <c r="AJ164" i="4"/>
  <c r="AK164" i="4"/>
  <c r="AL164" i="4"/>
  <c r="AM164" i="4"/>
  <c r="AN164" i="4"/>
  <c r="AO164" i="4"/>
  <c r="AP164" i="4"/>
  <c r="AQ164" i="4"/>
  <c r="AR164" i="4"/>
  <c r="AS164" i="4"/>
  <c r="AT164" i="4"/>
  <c r="AU164" i="4"/>
  <c r="AV164" i="4"/>
  <c r="AW164" i="4"/>
  <c r="AX164" i="4"/>
  <c r="AY164" i="4"/>
  <c r="AZ164" i="4"/>
  <c r="BA164" i="4"/>
  <c r="BB164" i="4"/>
  <c r="BC164" i="4"/>
  <c r="BD164" i="4"/>
  <c r="BE164" i="4"/>
  <c r="BF164" i="4"/>
  <c r="BG164" i="4"/>
  <c r="BH164" i="4"/>
  <c r="BI164" i="4"/>
  <c r="BJ164" i="4"/>
  <c r="BK164" i="4"/>
  <c r="BL164" i="4"/>
  <c r="BM164" i="4"/>
  <c r="BN164" i="4"/>
  <c r="BO164" i="4"/>
  <c r="BP164" i="4"/>
  <c r="BQ164" i="4"/>
  <c r="BR164" i="4"/>
  <c r="BS164" i="4"/>
  <c r="BT164" i="4"/>
  <c r="BU164" i="4"/>
  <c r="BV164" i="4"/>
  <c r="BW164" i="4"/>
  <c r="BX164" i="4"/>
  <c r="BY164" i="4"/>
  <c r="BZ164" i="4"/>
  <c r="CA164" i="4"/>
  <c r="CB164" i="4"/>
  <c r="CC164" i="4"/>
  <c r="CD164" i="4"/>
  <c r="CE164" i="4"/>
  <c r="CF164" i="4"/>
  <c r="CG164" i="4"/>
  <c r="CH164" i="4"/>
  <c r="CI164" i="4"/>
  <c r="CJ164" i="4"/>
  <c r="CK164" i="4"/>
  <c r="CL164" i="4"/>
  <c r="CM164" i="4"/>
  <c r="CN164" i="4"/>
  <c r="CO164" i="4"/>
  <c r="CP164" i="4"/>
  <c r="CQ164" i="4"/>
  <c r="CR164" i="4"/>
  <c r="CS164" i="4"/>
  <c r="CT164" i="4"/>
  <c r="CU164" i="4"/>
  <c r="CV164" i="4"/>
  <c r="CW164" i="4"/>
  <c r="CX164" i="4"/>
  <c r="D165" i="4"/>
  <c r="E165" i="4"/>
  <c r="F165" i="4"/>
  <c r="G165" i="4"/>
  <c r="H165" i="4"/>
  <c r="I165" i="4"/>
  <c r="J165" i="4"/>
  <c r="K165" i="4"/>
  <c r="L165" i="4"/>
  <c r="M165" i="4"/>
  <c r="N165" i="4"/>
  <c r="O165" i="4"/>
  <c r="P165" i="4"/>
  <c r="Q165" i="4"/>
  <c r="R165" i="4"/>
  <c r="S165" i="4"/>
  <c r="T165" i="4"/>
  <c r="U165" i="4"/>
  <c r="V165" i="4"/>
  <c r="W165" i="4"/>
  <c r="X165" i="4"/>
  <c r="Y165" i="4"/>
  <c r="Z165" i="4"/>
  <c r="AA165" i="4"/>
  <c r="AB165" i="4"/>
  <c r="AC165" i="4"/>
  <c r="AD165" i="4"/>
  <c r="AE165" i="4"/>
  <c r="AF165" i="4"/>
  <c r="AG165" i="4"/>
  <c r="AH165" i="4"/>
  <c r="AI165" i="4"/>
  <c r="AJ165" i="4"/>
  <c r="AK165" i="4"/>
  <c r="AL165" i="4"/>
  <c r="AM165" i="4"/>
  <c r="AN165" i="4"/>
  <c r="AO165" i="4"/>
  <c r="AP165" i="4"/>
  <c r="AQ165" i="4"/>
  <c r="AR165" i="4"/>
  <c r="AS165" i="4"/>
  <c r="AT165" i="4"/>
  <c r="AU165" i="4"/>
  <c r="AV165" i="4"/>
  <c r="AW165" i="4"/>
  <c r="AX165" i="4"/>
  <c r="AY165" i="4"/>
  <c r="AZ165" i="4"/>
  <c r="BA165" i="4"/>
  <c r="BB165" i="4"/>
  <c r="BC165" i="4"/>
  <c r="BD165" i="4"/>
  <c r="BE165" i="4"/>
  <c r="BF165" i="4"/>
  <c r="BG165" i="4"/>
  <c r="BH165" i="4"/>
  <c r="BI165" i="4"/>
  <c r="BJ165" i="4"/>
  <c r="BK165" i="4"/>
  <c r="BL165" i="4"/>
  <c r="BM165" i="4"/>
  <c r="BN165" i="4"/>
  <c r="BO165" i="4"/>
  <c r="BP165" i="4"/>
  <c r="BQ165" i="4"/>
  <c r="BR165" i="4"/>
  <c r="BS165" i="4"/>
  <c r="BT165" i="4"/>
  <c r="BU165" i="4"/>
  <c r="BV165" i="4"/>
  <c r="BW165" i="4"/>
  <c r="BX165" i="4"/>
  <c r="BY165" i="4"/>
  <c r="BZ165" i="4"/>
  <c r="CA165" i="4"/>
  <c r="CB165" i="4"/>
  <c r="CC165" i="4"/>
  <c r="CD165" i="4"/>
  <c r="CE165" i="4"/>
  <c r="CF165" i="4"/>
  <c r="CG165" i="4"/>
  <c r="CH165" i="4"/>
  <c r="CI165" i="4"/>
  <c r="CJ165" i="4"/>
  <c r="CK165" i="4"/>
  <c r="CL165" i="4"/>
  <c r="CM165" i="4"/>
  <c r="CN165" i="4"/>
  <c r="CO165" i="4"/>
  <c r="CP165" i="4"/>
  <c r="CQ165" i="4"/>
  <c r="CR165" i="4"/>
  <c r="CS165" i="4"/>
  <c r="CT165" i="4"/>
  <c r="CU165" i="4"/>
  <c r="CV165" i="4"/>
  <c r="CW165" i="4"/>
  <c r="CX165" i="4"/>
  <c r="D166" i="4"/>
  <c r="E166" i="4"/>
  <c r="F166" i="4"/>
  <c r="G166" i="4"/>
  <c r="H166" i="4"/>
  <c r="I166" i="4"/>
  <c r="J166" i="4"/>
  <c r="K166" i="4"/>
  <c r="L166" i="4"/>
  <c r="M166" i="4"/>
  <c r="N166" i="4"/>
  <c r="O166" i="4"/>
  <c r="P166" i="4"/>
  <c r="Q166" i="4"/>
  <c r="R166" i="4"/>
  <c r="S166" i="4"/>
  <c r="T166" i="4"/>
  <c r="U166" i="4"/>
  <c r="V166" i="4"/>
  <c r="W166" i="4"/>
  <c r="X166" i="4"/>
  <c r="Y166" i="4"/>
  <c r="Z166" i="4"/>
  <c r="AA166" i="4"/>
  <c r="AB166" i="4"/>
  <c r="AC166" i="4"/>
  <c r="AD166" i="4"/>
  <c r="AE166" i="4"/>
  <c r="AF166" i="4"/>
  <c r="AG166" i="4"/>
  <c r="AH166" i="4"/>
  <c r="AI166" i="4"/>
  <c r="AJ166" i="4"/>
  <c r="AK166" i="4"/>
  <c r="AL166" i="4"/>
  <c r="AM166" i="4"/>
  <c r="AN166" i="4"/>
  <c r="AO166" i="4"/>
  <c r="AP166" i="4"/>
  <c r="AQ166" i="4"/>
  <c r="AR166" i="4"/>
  <c r="AS166" i="4"/>
  <c r="AT166" i="4"/>
  <c r="AU166" i="4"/>
  <c r="AV166" i="4"/>
  <c r="AW166" i="4"/>
  <c r="AX166" i="4"/>
  <c r="AY166" i="4"/>
  <c r="AZ166" i="4"/>
  <c r="BA166" i="4"/>
  <c r="BB166" i="4"/>
  <c r="BC166" i="4"/>
  <c r="BD166" i="4"/>
  <c r="BE166" i="4"/>
  <c r="BF166" i="4"/>
  <c r="BG166" i="4"/>
  <c r="BH166" i="4"/>
  <c r="BI166" i="4"/>
  <c r="BJ166" i="4"/>
  <c r="BK166" i="4"/>
  <c r="BL166" i="4"/>
  <c r="BM166" i="4"/>
  <c r="BN166" i="4"/>
  <c r="BO166" i="4"/>
  <c r="BP166" i="4"/>
  <c r="BQ166" i="4"/>
  <c r="BR166" i="4"/>
  <c r="BS166" i="4"/>
  <c r="BT166" i="4"/>
  <c r="BU166" i="4"/>
  <c r="BV166" i="4"/>
  <c r="BW166" i="4"/>
  <c r="BX166" i="4"/>
  <c r="BY166" i="4"/>
  <c r="BZ166" i="4"/>
  <c r="CA166" i="4"/>
  <c r="CB166" i="4"/>
  <c r="CC166" i="4"/>
  <c r="CD166" i="4"/>
  <c r="CE166" i="4"/>
  <c r="CF166" i="4"/>
  <c r="CG166" i="4"/>
  <c r="CH166" i="4"/>
  <c r="CI166" i="4"/>
  <c r="CJ166" i="4"/>
  <c r="CK166" i="4"/>
  <c r="CL166" i="4"/>
  <c r="CM166" i="4"/>
  <c r="CN166" i="4"/>
  <c r="CO166" i="4"/>
  <c r="CP166" i="4"/>
  <c r="CQ166" i="4"/>
  <c r="CR166" i="4"/>
  <c r="CS166" i="4"/>
  <c r="CT166" i="4"/>
  <c r="CU166" i="4"/>
  <c r="CV166" i="4"/>
  <c r="CW166" i="4"/>
  <c r="CX166" i="4"/>
  <c r="D167" i="4"/>
  <c r="E167" i="4"/>
  <c r="F167" i="4"/>
  <c r="G167" i="4"/>
  <c r="H167" i="4"/>
  <c r="I167" i="4"/>
  <c r="J167" i="4"/>
  <c r="K167" i="4"/>
  <c r="L167" i="4"/>
  <c r="M167" i="4"/>
  <c r="N167" i="4"/>
  <c r="O167" i="4"/>
  <c r="P167" i="4"/>
  <c r="Q167" i="4"/>
  <c r="R167" i="4"/>
  <c r="S167" i="4"/>
  <c r="T167" i="4"/>
  <c r="U167" i="4"/>
  <c r="V167" i="4"/>
  <c r="W167" i="4"/>
  <c r="X167" i="4"/>
  <c r="Y167" i="4"/>
  <c r="Z167" i="4"/>
  <c r="AA167" i="4"/>
  <c r="AB167" i="4"/>
  <c r="AC167" i="4"/>
  <c r="AD167" i="4"/>
  <c r="AE167" i="4"/>
  <c r="AF167" i="4"/>
  <c r="AG167" i="4"/>
  <c r="AH167" i="4"/>
  <c r="AI167" i="4"/>
  <c r="AJ167" i="4"/>
  <c r="AK167" i="4"/>
  <c r="AL167" i="4"/>
  <c r="AM167" i="4"/>
  <c r="AN167" i="4"/>
  <c r="AO167" i="4"/>
  <c r="AP167" i="4"/>
  <c r="AQ167" i="4"/>
  <c r="AR167" i="4"/>
  <c r="AS167" i="4"/>
  <c r="AT167" i="4"/>
  <c r="AU167" i="4"/>
  <c r="AV167" i="4"/>
  <c r="AW167" i="4"/>
  <c r="AX167" i="4"/>
  <c r="AY167" i="4"/>
  <c r="AZ167" i="4"/>
  <c r="BA167" i="4"/>
  <c r="BB167" i="4"/>
  <c r="BC167" i="4"/>
  <c r="BD167" i="4"/>
  <c r="BE167" i="4"/>
  <c r="BF167" i="4"/>
  <c r="BG167" i="4"/>
  <c r="BH167" i="4"/>
  <c r="BI167" i="4"/>
  <c r="BJ167" i="4"/>
  <c r="BK167" i="4"/>
  <c r="BL167" i="4"/>
  <c r="BM167" i="4"/>
  <c r="BN167" i="4"/>
  <c r="BO167" i="4"/>
  <c r="BP167" i="4"/>
  <c r="BQ167" i="4"/>
  <c r="BR167" i="4"/>
  <c r="BS167" i="4"/>
  <c r="BT167" i="4"/>
  <c r="BU167" i="4"/>
  <c r="BV167" i="4"/>
  <c r="BW167" i="4"/>
  <c r="BX167" i="4"/>
  <c r="BY167" i="4"/>
  <c r="BZ167" i="4"/>
  <c r="CA167" i="4"/>
  <c r="CB167" i="4"/>
  <c r="CC167" i="4"/>
  <c r="CD167" i="4"/>
  <c r="CE167" i="4"/>
  <c r="CF167" i="4"/>
  <c r="CG167" i="4"/>
  <c r="CH167" i="4"/>
  <c r="CI167" i="4"/>
  <c r="CJ167" i="4"/>
  <c r="CK167" i="4"/>
  <c r="CL167" i="4"/>
  <c r="CM167" i="4"/>
  <c r="CN167" i="4"/>
  <c r="CO167" i="4"/>
  <c r="CP167" i="4"/>
  <c r="CQ167" i="4"/>
  <c r="CR167" i="4"/>
  <c r="CS167" i="4"/>
  <c r="CT167" i="4"/>
  <c r="CU167" i="4"/>
  <c r="CV167" i="4"/>
  <c r="CW167" i="4"/>
  <c r="CX167" i="4"/>
  <c r="D168" i="4"/>
  <c r="E168" i="4"/>
  <c r="F168" i="4"/>
  <c r="G168" i="4"/>
  <c r="H168" i="4"/>
  <c r="I168" i="4"/>
  <c r="J168" i="4"/>
  <c r="K168" i="4"/>
  <c r="L168" i="4"/>
  <c r="M168" i="4"/>
  <c r="N168" i="4"/>
  <c r="O168" i="4"/>
  <c r="P168" i="4"/>
  <c r="Q168" i="4"/>
  <c r="R168" i="4"/>
  <c r="S168" i="4"/>
  <c r="T168" i="4"/>
  <c r="U168" i="4"/>
  <c r="V168" i="4"/>
  <c r="W168" i="4"/>
  <c r="X168" i="4"/>
  <c r="Y168" i="4"/>
  <c r="Z168" i="4"/>
  <c r="AA168" i="4"/>
  <c r="AB168" i="4"/>
  <c r="AC168" i="4"/>
  <c r="AD168" i="4"/>
  <c r="AE168" i="4"/>
  <c r="AF168" i="4"/>
  <c r="AG168" i="4"/>
  <c r="AH168" i="4"/>
  <c r="AI168" i="4"/>
  <c r="AJ168" i="4"/>
  <c r="AK168" i="4"/>
  <c r="AL168" i="4"/>
  <c r="AM168" i="4"/>
  <c r="AN168" i="4"/>
  <c r="AO168" i="4"/>
  <c r="AP168" i="4"/>
  <c r="AQ168" i="4"/>
  <c r="AR168" i="4"/>
  <c r="AS168" i="4"/>
  <c r="AT168" i="4"/>
  <c r="AU168" i="4"/>
  <c r="AV168" i="4"/>
  <c r="AW168" i="4"/>
  <c r="AX168" i="4"/>
  <c r="AY168" i="4"/>
  <c r="AZ168" i="4"/>
  <c r="BA168" i="4"/>
  <c r="BB168" i="4"/>
  <c r="BC168" i="4"/>
  <c r="BD168" i="4"/>
  <c r="BE168" i="4"/>
  <c r="BF168" i="4"/>
  <c r="BG168" i="4"/>
  <c r="BH168" i="4"/>
  <c r="BI168" i="4"/>
  <c r="BJ168" i="4"/>
  <c r="BK168" i="4"/>
  <c r="BL168" i="4"/>
  <c r="BM168" i="4"/>
  <c r="BN168" i="4"/>
  <c r="BO168" i="4"/>
  <c r="BP168" i="4"/>
  <c r="BQ168" i="4"/>
  <c r="BR168" i="4"/>
  <c r="BS168" i="4"/>
  <c r="BT168" i="4"/>
  <c r="BU168" i="4"/>
  <c r="BV168" i="4"/>
  <c r="BW168" i="4"/>
  <c r="BX168" i="4"/>
  <c r="BY168" i="4"/>
  <c r="BZ168" i="4"/>
  <c r="CA168" i="4"/>
  <c r="CB168" i="4"/>
  <c r="CC168" i="4"/>
  <c r="CD168" i="4"/>
  <c r="CE168" i="4"/>
  <c r="CF168" i="4"/>
  <c r="CG168" i="4"/>
  <c r="CH168" i="4"/>
  <c r="CI168" i="4"/>
  <c r="CJ168" i="4"/>
  <c r="CK168" i="4"/>
  <c r="CL168" i="4"/>
  <c r="CM168" i="4"/>
  <c r="CN168" i="4"/>
  <c r="CO168" i="4"/>
  <c r="CP168" i="4"/>
  <c r="CQ168" i="4"/>
  <c r="CR168" i="4"/>
  <c r="CS168" i="4"/>
  <c r="CT168" i="4"/>
  <c r="CU168" i="4"/>
  <c r="CV168" i="4"/>
  <c r="CW168" i="4"/>
  <c r="CX168" i="4"/>
  <c r="D169" i="4"/>
  <c r="E169" i="4"/>
  <c r="F169" i="4"/>
  <c r="G169" i="4"/>
  <c r="H169" i="4"/>
  <c r="I169" i="4"/>
  <c r="J169" i="4"/>
  <c r="K169" i="4"/>
  <c r="L169" i="4"/>
  <c r="M169" i="4"/>
  <c r="N169" i="4"/>
  <c r="O169" i="4"/>
  <c r="P169" i="4"/>
  <c r="Q169" i="4"/>
  <c r="R169" i="4"/>
  <c r="S169" i="4"/>
  <c r="T169" i="4"/>
  <c r="U169" i="4"/>
  <c r="V169" i="4"/>
  <c r="W169" i="4"/>
  <c r="X169" i="4"/>
  <c r="Y169" i="4"/>
  <c r="Z169" i="4"/>
  <c r="AA169" i="4"/>
  <c r="AB169" i="4"/>
  <c r="AC169" i="4"/>
  <c r="AD169" i="4"/>
  <c r="AE169" i="4"/>
  <c r="AF169" i="4"/>
  <c r="AG169" i="4"/>
  <c r="AH169" i="4"/>
  <c r="AI169" i="4"/>
  <c r="AJ169" i="4"/>
  <c r="AK169" i="4"/>
  <c r="AL169" i="4"/>
  <c r="AM169" i="4"/>
  <c r="AN169" i="4"/>
  <c r="AO169" i="4"/>
  <c r="AP169" i="4"/>
  <c r="AQ169" i="4"/>
  <c r="AR169" i="4"/>
  <c r="AS169" i="4"/>
  <c r="AT169" i="4"/>
  <c r="AU169" i="4"/>
  <c r="AV169" i="4"/>
  <c r="AW169" i="4"/>
  <c r="AX169" i="4"/>
  <c r="AY169" i="4"/>
  <c r="AZ169" i="4"/>
  <c r="BA169" i="4"/>
  <c r="BB169" i="4"/>
  <c r="BC169" i="4"/>
  <c r="BD169" i="4"/>
  <c r="BE169" i="4"/>
  <c r="BF169" i="4"/>
  <c r="BG169" i="4"/>
  <c r="BH169" i="4"/>
  <c r="BI169" i="4"/>
  <c r="BJ169" i="4"/>
  <c r="BK169" i="4"/>
  <c r="BL169" i="4"/>
  <c r="BM169" i="4"/>
  <c r="BN169" i="4"/>
  <c r="BO169" i="4"/>
  <c r="BP169" i="4"/>
  <c r="BQ169" i="4"/>
  <c r="BR169" i="4"/>
  <c r="BS169" i="4"/>
  <c r="BT169" i="4"/>
  <c r="BU169" i="4"/>
  <c r="BV169" i="4"/>
  <c r="BW169" i="4"/>
  <c r="BX169" i="4"/>
  <c r="BY169" i="4"/>
  <c r="BZ169" i="4"/>
  <c r="CA169" i="4"/>
  <c r="CB169" i="4"/>
  <c r="CC169" i="4"/>
  <c r="CD169" i="4"/>
  <c r="CE169" i="4"/>
  <c r="CF169" i="4"/>
  <c r="CG169" i="4"/>
  <c r="CH169" i="4"/>
  <c r="CI169" i="4"/>
  <c r="CJ169" i="4"/>
  <c r="CK169" i="4"/>
  <c r="CL169" i="4"/>
  <c r="CM169" i="4"/>
  <c r="CN169" i="4"/>
  <c r="CO169" i="4"/>
  <c r="CP169" i="4"/>
  <c r="CQ169" i="4"/>
  <c r="CR169" i="4"/>
  <c r="CS169" i="4"/>
  <c r="CT169" i="4"/>
  <c r="CU169" i="4"/>
  <c r="CV169" i="4"/>
  <c r="CW169" i="4"/>
  <c r="CX169" i="4"/>
  <c r="D170" i="4"/>
  <c r="E170" i="4"/>
  <c r="F170" i="4"/>
  <c r="G170" i="4"/>
  <c r="H170" i="4"/>
  <c r="I170" i="4"/>
  <c r="J170" i="4"/>
  <c r="K170" i="4"/>
  <c r="L170" i="4"/>
  <c r="M170" i="4"/>
  <c r="N170" i="4"/>
  <c r="O170" i="4"/>
  <c r="P170" i="4"/>
  <c r="Q170" i="4"/>
  <c r="R170" i="4"/>
  <c r="S170" i="4"/>
  <c r="T170" i="4"/>
  <c r="U170" i="4"/>
  <c r="V170" i="4"/>
  <c r="W170" i="4"/>
  <c r="X170" i="4"/>
  <c r="Y170" i="4"/>
  <c r="Z170" i="4"/>
  <c r="AA170" i="4"/>
  <c r="AB170" i="4"/>
  <c r="AC170" i="4"/>
  <c r="AD170" i="4"/>
  <c r="AE170" i="4"/>
  <c r="AF170" i="4"/>
  <c r="AG170" i="4"/>
  <c r="AH170" i="4"/>
  <c r="AI170" i="4"/>
  <c r="AJ170" i="4"/>
  <c r="AK170" i="4"/>
  <c r="AL170" i="4"/>
  <c r="AM170" i="4"/>
  <c r="AN170" i="4"/>
  <c r="AO170" i="4"/>
  <c r="AP170" i="4"/>
  <c r="AQ170" i="4"/>
  <c r="AR170" i="4"/>
  <c r="AS170" i="4"/>
  <c r="AT170" i="4"/>
  <c r="AU170" i="4"/>
  <c r="AV170" i="4"/>
  <c r="AW170" i="4"/>
  <c r="AX170" i="4"/>
  <c r="AY170" i="4"/>
  <c r="AZ170" i="4"/>
  <c r="BA170" i="4"/>
  <c r="BB170" i="4"/>
  <c r="BC170" i="4"/>
  <c r="BD170" i="4"/>
  <c r="BE170" i="4"/>
  <c r="BF170" i="4"/>
  <c r="BG170" i="4"/>
  <c r="BH170" i="4"/>
  <c r="BI170" i="4"/>
  <c r="BJ170" i="4"/>
  <c r="BK170" i="4"/>
  <c r="BL170" i="4"/>
  <c r="BM170" i="4"/>
  <c r="BN170" i="4"/>
  <c r="BO170" i="4"/>
  <c r="BP170" i="4"/>
  <c r="BQ170" i="4"/>
  <c r="BR170" i="4"/>
  <c r="BS170" i="4"/>
  <c r="BT170" i="4"/>
  <c r="BU170" i="4"/>
  <c r="BV170" i="4"/>
  <c r="BW170" i="4"/>
  <c r="BX170" i="4"/>
  <c r="BY170" i="4"/>
  <c r="BZ170" i="4"/>
  <c r="CA170" i="4"/>
  <c r="CB170" i="4"/>
  <c r="CC170" i="4"/>
  <c r="CD170" i="4"/>
  <c r="CE170" i="4"/>
  <c r="CF170" i="4"/>
  <c r="CG170" i="4"/>
  <c r="CH170" i="4"/>
  <c r="CI170" i="4"/>
  <c r="CJ170" i="4"/>
  <c r="CK170" i="4"/>
  <c r="CL170" i="4"/>
  <c r="CM170" i="4"/>
  <c r="CN170" i="4"/>
  <c r="CO170" i="4"/>
  <c r="CP170" i="4"/>
  <c r="CQ170" i="4"/>
  <c r="CR170" i="4"/>
  <c r="CS170" i="4"/>
  <c r="CT170" i="4"/>
  <c r="CU170" i="4"/>
  <c r="CV170" i="4"/>
  <c r="CW170" i="4"/>
  <c r="CX170" i="4"/>
  <c r="D171" i="4"/>
  <c r="E171" i="4"/>
  <c r="F171" i="4"/>
  <c r="G171" i="4"/>
  <c r="H171" i="4"/>
  <c r="I171" i="4"/>
  <c r="J171" i="4"/>
  <c r="K171" i="4"/>
  <c r="L171" i="4"/>
  <c r="M171" i="4"/>
  <c r="N171" i="4"/>
  <c r="O171" i="4"/>
  <c r="P171" i="4"/>
  <c r="Q171" i="4"/>
  <c r="R171" i="4"/>
  <c r="S171" i="4"/>
  <c r="T171" i="4"/>
  <c r="U171" i="4"/>
  <c r="V171" i="4"/>
  <c r="W171" i="4"/>
  <c r="X171" i="4"/>
  <c r="Y171" i="4"/>
  <c r="Z171" i="4"/>
  <c r="AA171" i="4"/>
  <c r="AB171" i="4"/>
  <c r="AC171" i="4"/>
  <c r="AD171" i="4"/>
  <c r="AE171" i="4"/>
  <c r="AF171" i="4"/>
  <c r="AG171" i="4"/>
  <c r="AH171" i="4"/>
  <c r="AI171" i="4"/>
  <c r="AJ171" i="4"/>
  <c r="AK171" i="4"/>
  <c r="AL171" i="4"/>
  <c r="AM171" i="4"/>
  <c r="AN171" i="4"/>
  <c r="AO171" i="4"/>
  <c r="AP171" i="4"/>
  <c r="AQ171" i="4"/>
  <c r="AR171" i="4"/>
  <c r="AS171" i="4"/>
  <c r="AT171" i="4"/>
  <c r="AU171" i="4"/>
  <c r="AV171" i="4"/>
  <c r="AW171" i="4"/>
  <c r="AX171" i="4"/>
  <c r="AY171" i="4"/>
  <c r="AZ171" i="4"/>
  <c r="BA171" i="4"/>
  <c r="BB171" i="4"/>
  <c r="BC171" i="4"/>
  <c r="BD171" i="4"/>
  <c r="BE171" i="4"/>
  <c r="BF171" i="4"/>
  <c r="BG171" i="4"/>
  <c r="BH171" i="4"/>
  <c r="BI171" i="4"/>
  <c r="BJ171" i="4"/>
  <c r="BK171" i="4"/>
  <c r="BL171" i="4"/>
  <c r="BM171" i="4"/>
  <c r="BN171" i="4"/>
  <c r="BO171" i="4"/>
  <c r="BP171" i="4"/>
  <c r="BQ171" i="4"/>
  <c r="BR171" i="4"/>
  <c r="BS171" i="4"/>
  <c r="BT171" i="4"/>
  <c r="BU171" i="4"/>
  <c r="BV171" i="4"/>
  <c r="BW171" i="4"/>
  <c r="BX171" i="4"/>
  <c r="BY171" i="4"/>
  <c r="BZ171" i="4"/>
  <c r="CA171" i="4"/>
  <c r="CB171" i="4"/>
  <c r="CC171" i="4"/>
  <c r="CD171" i="4"/>
  <c r="CE171" i="4"/>
  <c r="CF171" i="4"/>
  <c r="CG171" i="4"/>
  <c r="CH171" i="4"/>
  <c r="CI171" i="4"/>
  <c r="CJ171" i="4"/>
  <c r="CK171" i="4"/>
  <c r="CL171" i="4"/>
  <c r="CM171" i="4"/>
  <c r="CN171" i="4"/>
  <c r="CO171" i="4"/>
  <c r="CP171" i="4"/>
  <c r="CQ171" i="4"/>
  <c r="CR171" i="4"/>
  <c r="CS171" i="4"/>
  <c r="CT171" i="4"/>
  <c r="CU171" i="4"/>
  <c r="CV171" i="4"/>
  <c r="CW171" i="4"/>
  <c r="CX171" i="4"/>
  <c r="D172" i="4"/>
  <c r="E172" i="4"/>
  <c r="F172" i="4"/>
  <c r="G172" i="4"/>
  <c r="H172" i="4"/>
  <c r="I172" i="4"/>
  <c r="J172" i="4"/>
  <c r="K172" i="4"/>
  <c r="L172" i="4"/>
  <c r="M172" i="4"/>
  <c r="N172" i="4"/>
  <c r="O172" i="4"/>
  <c r="P172" i="4"/>
  <c r="Q172" i="4"/>
  <c r="R172" i="4"/>
  <c r="S172" i="4"/>
  <c r="T172" i="4"/>
  <c r="U172" i="4"/>
  <c r="V172" i="4"/>
  <c r="W172" i="4"/>
  <c r="X172" i="4"/>
  <c r="Y172" i="4"/>
  <c r="Z172" i="4"/>
  <c r="AA172" i="4"/>
  <c r="AB172" i="4"/>
  <c r="AC172" i="4"/>
  <c r="AD172" i="4"/>
  <c r="AE172" i="4"/>
  <c r="AF172" i="4"/>
  <c r="AG172" i="4"/>
  <c r="AH172" i="4"/>
  <c r="AI172" i="4"/>
  <c r="AJ172" i="4"/>
  <c r="AK172" i="4"/>
  <c r="AL172" i="4"/>
  <c r="AM172" i="4"/>
  <c r="AN172" i="4"/>
  <c r="AO172" i="4"/>
  <c r="AP172" i="4"/>
  <c r="AQ172" i="4"/>
  <c r="AR172" i="4"/>
  <c r="AS172" i="4"/>
  <c r="AT172" i="4"/>
  <c r="AU172" i="4"/>
  <c r="AV172" i="4"/>
  <c r="AW172" i="4"/>
  <c r="AX172" i="4"/>
  <c r="AY172" i="4"/>
  <c r="AZ172" i="4"/>
  <c r="BA172" i="4"/>
  <c r="BB172" i="4"/>
  <c r="BC172" i="4"/>
  <c r="BD172" i="4"/>
  <c r="BE172" i="4"/>
  <c r="BF172" i="4"/>
  <c r="BG172" i="4"/>
  <c r="BH172" i="4"/>
  <c r="BI172" i="4"/>
  <c r="BJ172" i="4"/>
  <c r="BK172" i="4"/>
  <c r="BL172" i="4"/>
  <c r="BM172" i="4"/>
  <c r="BN172" i="4"/>
  <c r="BO172" i="4"/>
  <c r="BP172" i="4"/>
  <c r="BQ172" i="4"/>
  <c r="BR172" i="4"/>
  <c r="BS172" i="4"/>
  <c r="BT172" i="4"/>
  <c r="BU172" i="4"/>
  <c r="BV172" i="4"/>
  <c r="BW172" i="4"/>
  <c r="BX172" i="4"/>
  <c r="BY172" i="4"/>
  <c r="BZ172" i="4"/>
  <c r="CA172" i="4"/>
  <c r="CB172" i="4"/>
  <c r="CC172" i="4"/>
  <c r="CD172" i="4"/>
  <c r="CE172" i="4"/>
  <c r="CF172" i="4"/>
  <c r="CG172" i="4"/>
  <c r="CH172" i="4"/>
  <c r="CI172" i="4"/>
  <c r="CJ172" i="4"/>
  <c r="CK172" i="4"/>
  <c r="CL172" i="4"/>
  <c r="CM172" i="4"/>
  <c r="CN172" i="4"/>
  <c r="CO172" i="4"/>
  <c r="CP172" i="4"/>
  <c r="CQ172" i="4"/>
  <c r="CR172" i="4"/>
  <c r="CS172" i="4"/>
  <c r="CT172" i="4"/>
  <c r="CU172" i="4"/>
  <c r="CV172" i="4"/>
  <c r="CW172" i="4"/>
  <c r="CX172" i="4"/>
  <c r="D173" i="4"/>
  <c r="E173" i="4"/>
  <c r="F173" i="4"/>
  <c r="G173" i="4"/>
  <c r="H173" i="4"/>
  <c r="I173" i="4"/>
  <c r="J173" i="4"/>
  <c r="K173" i="4"/>
  <c r="L173" i="4"/>
  <c r="M173" i="4"/>
  <c r="N173" i="4"/>
  <c r="O173" i="4"/>
  <c r="P173" i="4"/>
  <c r="Q173" i="4"/>
  <c r="R173" i="4"/>
  <c r="S173" i="4"/>
  <c r="T173" i="4"/>
  <c r="U173" i="4"/>
  <c r="V173" i="4"/>
  <c r="W173" i="4"/>
  <c r="X173" i="4"/>
  <c r="Y173" i="4"/>
  <c r="Z173" i="4"/>
  <c r="AA173" i="4"/>
  <c r="AB173" i="4"/>
  <c r="AC173" i="4"/>
  <c r="AD173" i="4"/>
  <c r="AE173" i="4"/>
  <c r="AF173" i="4"/>
  <c r="AG173" i="4"/>
  <c r="AH173" i="4"/>
  <c r="AI173" i="4"/>
  <c r="AJ173" i="4"/>
  <c r="AK173" i="4"/>
  <c r="AL173" i="4"/>
  <c r="AM173" i="4"/>
  <c r="AN173" i="4"/>
  <c r="AO173" i="4"/>
  <c r="AP173" i="4"/>
  <c r="AQ173" i="4"/>
  <c r="AR173" i="4"/>
  <c r="AS173" i="4"/>
  <c r="AT173" i="4"/>
  <c r="AU173" i="4"/>
  <c r="AV173" i="4"/>
  <c r="AW173" i="4"/>
  <c r="AX173" i="4"/>
  <c r="AY173" i="4"/>
  <c r="AZ173" i="4"/>
  <c r="BA173" i="4"/>
  <c r="BB173" i="4"/>
  <c r="BC173" i="4"/>
  <c r="BD173" i="4"/>
  <c r="BE173" i="4"/>
  <c r="BF173" i="4"/>
  <c r="BG173" i="4"/>
  <c r="BH173" i="4"/>
  <c r="BI173" i="4"/>
  <c r="BJ173" i="4"/>
  <c r="BK173" i="4"/>
  <c r="BL173" i="4"/>
  <c r="BM173" i="4"/>
  <c r="BN173" i="4"/>
  <c r="BO173" i="4"/>
  <c r="BP173" i="4"/>
  <c r="BQ173" i="4"/>
  <c r="BR173" i="4"/>
  <c r="BS173" i="4"/>
  <c r="BT173" i="4"/>
  <c r="BU173" i="4"/>
  <c r="BV173" i="4"/>
  <c r="BW173" i="4"/>
  <c r="BX173" i="4"/>
  <c r="BY173" i="4"/>
  <c r="BZ173" i="4"/>
  <c r="CA173" i="4"/>
  <c r="CB173" i="4"/>
  <c r="CC173" i="4"/>
  <c r="CD173" i="4"/>
  <c r="CE173" i="4"/>
  <c r="CF173" i="4"/>
  <c r="CG173" i="4"/>
  <c r="CH173" i="4"/>
  <c r="CI173" i="4"/>
  <c r="CJ173" i="4"/>
  <c r="CK173" i="4"/>
  <c r="CL173" i="4"/>
  <c r="CM173" i="4"/>
  <c r="CN173" i="4"/>
  <c r="CO173" i="4"/>
  <c r="CP173" i="4"/>
  <c r="CQ173" i="4"/>
  <c r="CR173" i="4"/>
  <c r="CS173" i="4"/>
  <c r="CT173" i="4"/>
  <c r="CU173" i="4"/>
  <c r="CV173" i="4"/>
  <c r="CW173" i="4"/>
  <c r="CX173" i="4"/>
  <c r="D174" i="4"/>
  <c r="E174" i="4"/>
  <c r="F174" i="4"/>
  <c r="G174" i="4"/>
  <c r="H174" i="4"/>
  <c r="I174" i="4"/>
  <c r="J174" i="4"/>
  <c r="K174" i="4"/>
  <c r="L174" i="4"/>
  <c r="M174" i="4"/>
  <c r="N174" i="4"/>
  <c r="O174" i="4"/>
  <c r="P174" i="4"/>
  <c r="Q174" i="4"/>
  <c r="R174" i="4"/>
  <c r="S174" i="4"/>
  <c r="T174" i="4"/>
  <c r="U174" i="4"/>
  <c r="V174" i="4"/>
  <c r="W174" i="4"/>
  <c r="X174" i="4"/>
  <c r="Y174" i="4"/>
  <c r="Z174" i="4"/>
  <c r="AA174" i="4"/>
  <c r="AB174" i="4"/>
  <c r="AC174" i="4"/>
  <c r="AD174" i="4"/>
  <c r="AE174" i="4"/>
  <c r="AF174" i="4"/>
  <c r="AG174" i="4"/>
  <c r="AH174" i="4"/>
  <c r="AI174" i="4"/>
  <c r="AJ174" i="4"/>
  <c r="AK174" i="4"/>
  <c r="AL174" i="4"/>
  <c r="AM174" i="4"/>
  <c r="AN174" i="4"/>
  <c r="AO174" i="4"/>
  <c r="AP174" i="4"/>
  <c r="AQ174" i="4"/>
  <c r="AR174" i="4"/>
  <c r="AS174" i="4"/>
  <c r="AT174" i="4"/>
  <c r="AU174" i="4"/>
  <c r="AV174" i="4"/>
  <c r="AW174" i="4"/>
  <c r="AX174" i="4"/>
  <c r="AY174" i="4"/>
  <c r="AZ174" i="4"/>
  <c r="BA174" i="4"/>
  <c r="BB174" i="4"/>
  <c r="BC174" i="4"/>
  <c r="BD174" i="4"/>
  <c r="BE174" i="4"/>
  <c r="BF174" i="4"/>
  <c r="BG174" i="4"/>
  <c r="BH174" i="4"/>
  <c r="BI174" i="4"/>
  <c r="BJ174" i="4"/>
  <c r="BK174" i="4"/>
  <c r="BL174" i="4"/>
  <c r="BM174" i="4"/>
  <c r="BN174" i="4"/>
  <c r="BO174" i="4"/>
  <c r="BP174" i="4"/>
  <c r="BQ174" i="4"/>
  <c r="BR174" i="4"/>
  <c r="BS174" i="4"/>
  <c r="BT174" i="4"/>
  <c r="BU174" i="4"/>
  <c r="BV174" i="4"/>
  <c r="BW174" i="4"/>
  <c r="BX174" i="4"/>
  <c r="BY174" i="4"/>
  <c r="BZ174" i="4"/>
  <c r="CA174" i="4"/>
  <c r="CB174" i="4"/>
  <c r="CC174" i="4"/>
  <c r="CD174" i="4"/>
  <c r="CE174" i="4"/>
  <c r="CF174" i="4"/>
  <c r="CG174" i="4"/>
  <c r="CH174" i="4"/>
  <c r="CI174" i="4"/>
  <c r="CJ174" i="4"/>
  <c r="CK174" i="4"/>
  <c r="CL174" i="4"/>
  <c r="CM174" i="4"/>
  <c r="CN174" i="4"/>
  <c r="CO174" i="4"/>
  <c r="CP174" i="4"/>
  <c r="CQ174" i="4"/>
  <c r="CR174" i="4"/>
  <c r="CS174" i="4"/>
  <c r="CT174" i="4"/>
  <c r="CU174" i="4"/>
  <c r="CV174" i="4"/>
  <c r="CW174" i="4"/>
  <c r="CX174" i="4"/>
  <c r="D175" i="4"/>
  <c r="E175" i="4"/>
  <c r="F175" i="4"/>
  <c r="G175" i="4"/>
  <c r="H175" i="4"/>
  <c r="I175" i="4"/>
  <c r="J175" i="4"/>
  <c r="K175" i="4"/>
  <c r="L175" i="4"/>
  <c r="M175" i="4"/>
  <c r="N175" i="4"/>
  <c r="O175" i="4"/>
  <c r="P175" i="4"/>
  <c r="Q175" i="4"/>
  <c r="R175" i="4"/>
  <c r="S175" i="4"/>
  <c r="T175" i="4"/>
  <c r="U175" i="4"/>
  <c r="V175" i="4"/>
  <c r="W175" i="4"/>
  <c r="X175" i="4"/>
  <c r="Y175" i="4"/>
  <c r="Z175" i="4"/>
  <c r="AA175" i="4"/>
  <c r="AB175" i="4"/>
  <c r="AC175" i="4"/>
  <c r="AD175" i="4"/>
  <c r="AE175" i="4"/>
  <c r="AF175" i="4"/>
  <c r="AG175" i="4"/>
  <c r="AH175" i="4"/>
  <c r="AI175" i="4"/>
  <c r="AJ175" i="4"/>
  <c r="AK175" i="4"/>
  <c r="AL175" i="4"/>
  <c r="AM175" i="4"/>
  <c r="AN175" i="4"/>
  <c r="AO175" i="4"/>
  <c r="AP175" i="4"/>
  <c r="AQ175" i="4"/>
  <c r="AR175" i="4"/>
  <c r="AS175" i="4"/>
  <c r="AT175" i="4"/>
  <c r="AU175" i="4"/>
  <c r="AV175" i="4"/>
  <c r="AW175" i="4"/>
  <c r="AX175" i="4"/>
  <c r="AY175" i="4"/>
  <c r="AZ175" i="4"/>
  <c r="BA175" i="4"/>
  <c r="BB175" i="4"/>
  <c r="BC175" i="4"/>
  <c r="BD175" i="4"/>
  <c r="BE175" i="4"/>
  <c r="BF175" i="4"/>
  <c r="BG175" i="4"/>
  <c r="BH175" i="4"/>
  <c r="BI175" i="4"/>
  <c r="BJ175" i="4"/>
  <c r="BK175" i="4"/>
  <c r="BL175" i="4"/>
  <c r="BM175" i="4"/>
  <c r="BN175" i="4"/>
  <c r="BO175" i="4"/>
  <c r="BP175" i="4"/>
  <c r="BQ175" i="4"/>
  <c r="BR175" i="4"/>
  <c r="BS175" i="4"/>
  <c r="BT175" i="4"/>
  <c r="BU175" i="4"/>
  <c r="BV175" i="4"/>
  <c r="BW175" i="4"/>
  <c r="BX175" i="4"/>
  <c r="BY175" i="4"/>
  <c r="BZ175" i="4"/>
  <c r="CA175" i="4"/>
  <c r="CB175" i="4"/>
  <c r="CC175" i="4"/>
  <c r="CD175" i="4"/>
  <c r="CE175" i="4"/>
  <c r="CF175" i="4"/>
  <c r="CG175" i="4"/>
  <c r="CH175" i="4"/>
  <c r="CI175" i="4"/>
  <c r="CJ175" i="4"/>
  <c r="CK175" i="4"/>
  <c r="CL175" i="4"/>
  <c r="CM175" i="4"/>
  <c r="CN175" i="4"/>
  <c r="CO175" i="4"/>
  <c r="CP175" i="4"/>
  <c r="CQ175" i="4"/>
  <c r="CR175" i="4"/>
  <c r="CS175" i="4"/>
  <c r="CT175" i="4"/>
  <c r="CU175" i="4"/>
  <c r="CV175" i="4"/>
  <c r="CW175" i="4"/>
  <c r="CX175" i="4"/>
  <c r="D176" i="4"/>
  <c r="E176" i="4"/>
  <c r="F176" i="4"/>
  <c r="G176" i="4"/>
  <c r="H176" i="4"/>
  <c r="I176" i="4"/>
  <c r="J176" i="4"/>
  <c r="K176" i="4"/>
  <c r="L176" i="4"/>
  <c r="M176" i="4"/>
  <c r="N176" i="4"/>
  <c r="O176" i="4"/>
  <c r="P176" i="4"/>
  <c r="Q176" i="4"/>
  <c r="R176" i="4"/>
  <c r="S176" i="4"/>
  <c r="T176" i="4"/>
  <c r="U176" i="4"/>
  <c r="V176" i="4"/>
  <c r="W176" i="4"/>
  <c r="X176" i="4"/>
  <c r="Y176" i="4"/>
  <c r="Z176" i="4"/>
  <c r="AA176" i="4"/>
  <c r="AB176" i="4"/>
  <c r="AC176" i="4"/>
  <c r="AD176" i="4"/>
  <c r="AE176" i="4"/>
  <c r="AF176" i="4"/>
  <c r="AG176" i="4"/>
  <c r="AH176" i="4"/>
  <c r="AI176" i="4"/>
  <c r="AJ176" i="4"/>
  <c r="AK176" i="4"/>
  <c r="AL176" i="4"/>
  <c r="AM176" i="4"/>
  <c r="AN176" i="4"/>
  <c r="AO176" i="4"/>
  <c r="AP176" i="4"/>
  <c r="AQ176" i="4"/>
  <c r="AR176" i="4"/>
  <c r="AS176" i="4"/>
  <c r="AT176" i="4"/>
  <c r="AU176" i="4"/>
  <c r="AV176" i="4"/>
  <c r="AW176" i="4"/>
  <c r="AX176" i="4"/>
  <c r="AY176" i="4"/>
  <c r="AZ176" i="4"/>
  <c r="BA176" i="4"/>
  <c r="BB176" i="4"/>
  <c r="BC176" i="4"/>
  <c r="BD176" i="4"/>
  <c r="BE176" i="4"/>
  <c r="BF176" i="4"/>
  <c r="BG176" i="4"/>
  <c r="BH176" i="4"/>
  <c r="BI176" i="4"/>
  <c r="BJ176" i="4"/>
  <c r="BK176" i="4"/>
  <c r="BL176" i="4"/>
  <c r="BM176" i="4"/>
  <c r="BN176" i="4"/>
  <c r="BO176" i="4"/>
  <c r="BP176" i="4"/>
  <c r="BQ176" i="4"/>
  <c r="BR176" i="4"/>
  <c r="BS176" i="4"/>
  <c r="BT176" i="4"/>
  <c r="BU176" i="4"/>
  <c r="BV176" i="4"/>
  <c r="BW176" i="4"/>
  <c r="BX176" i="4"/>
  <c r="BY176" i="4"/>
  <c r="BZ176" i="4"/>
  <c r="CA176" i="4"/>
  <c r="CB176" i="4"/>
  <c r="CC176" i="4"/>
  <c r="CD176" i="4"/>
  <c r="CE176" i="4"/>
  <c r="CF176" i="4"/>
  <c r="CG176" i="4"/>
  <c r="CH176" i="4"/>
  <c r="CI176" i="4"/>
  <c r="CJ176" i="4"/>
  <c r="CK176" i="4"/>
  <c r="CL176" i="4"/>
  <c r="CM176" i="4"/>
  <c r="CN176" i="4"/>
  <c r="CO176" i="4"/>
  <c r="CP176" i="4"/>
  <c r="CQ176" i="4"/>
  <c r="CR176" i="4"/>
  <c r="CS176" i="4"/>
  <c r="CT176" i="4"/>
  <c r="CU176" i="4"/>
  <c r="CV176" i="4"/>
  <c r="CW176" i="4"/>
  <c r="CX176" i="4"/>
  <c r="D177" i="4"/>
  <c r="E177" i="4"/>
  <c r="F177" i="4"/>
  <c r="G177" i="4"/>
  <c r="H177" i="4"/>
  <c r="I177" i="4"/>
  <c r="J177" i="4"/>
  <c r="K177" i="4"/>
  <c r="L177" i="4"/>
  <c r="M177" i="4"/>
  <c r="N177" i="4"/>
  <c r="O177" i="4"/>
  <c r="P177" i="4"/>
  <c r="Q177" i="4"/>
  <c r="R177" i="4"/>
  <c r="S177" i="4"/>
  <c r="T177" i="4"/>
  <c r="U177" i="4"/>
  <c r="V177" i="4"/>
  <c r="W177" i="4"/>
  <c r="X177" i="4"/>
  <c r="Y177" i="4"/>
  <c r="Z177" i="4"/>
  <c r="AA177" i="4"/>
  <c r="AB177" i="4"/>
  <c r="AC177" i="4"/>
  <c r="AD177" i="4"/>
  <c r="AE177" i="4"/>
  <c r="AF177" i="4"/>
  <c r="AG177" i="4"/>
  <c r="AH177" i="4"/>
  <c r="AI177" i="4"/>
  <c r="AJ177" i="4"/>
  <c r="AK177" i="4"/>
  <c r="AL177" i="4"/>
  <c r="AM177" i="4"/>
  <c r="AN177" i="4"/>
  <c r="AO177" i="4"/>
  <c r="AP177" i="4"/>
  <c r="AQ177" i="4"/>
  <c r="AR177" i="4"/>
  <c r="AS177" i="4"/>
  <c r="AT177" i="4"/>
  <c r="AU177" i="4"/>
  <c r="AV177" i="4"/>
  <c r="AW177" i="4"/>
  <c r="AX177" i="4"/>
  <c r="AY177" i="4"/>
  <c r="AZ177" i="4"/>
  <c r="BA177" i="4"/>
  <c r="BB177" i="4"/>
  <c r="BC177" i="4"/>
  <c r="BD177" i="4"/>
  <c r="BE177" i="4"/>
  <c r="BF177" i="4"/>
  <c r="BG177" i="4"/>
  <c r="BH177" i="4"/>
  <c r="BI177" i="4"/>
  <c r="BJ177" i="4"/>
  <c r="BK177" i="4"/>
  <c r="BL177" i="4"/>
  <c r="BM177" i="4"/>
  <c r="BN177" i="4"/>
  <c r="BO177" i="4"/>
  <c r="BP177" i="4"/>
  <c r="BQ177" i="4"/>
  <c r="BR177" i="4"/>
  <c r="BS177" i="4"/>
  <c r="BT177" i="4"/>
  <c r="BU177" i="4"/>
  <c r="BV177" i="4"/>
  <c r="BW177" i="4"/>
  <c r="BX177" i="4"/>
  <c r="BY177" i="4"/>
  <c r="BZ177" i="4"/>
  <c r="CA177" i="4"/>
  <c r="CB177" i="4"/>
  <c r="CC177" i="4"/>
  <c r="CD177" i="4"/>
  <c r="CE177" i="4"/>
  <c r="CF177" i="4"/>
  <c r="CG177" i="4"/>
  <c r="CH177" i="4"/>
  <c r="CI177" i="4"/>
  <c r="CJ177" i="4"/>
  <c r="CK177" i="4"/>
  <c r="CL177" i="4"/>
  <c r="CM177" i="4"/>
  <c r="CN177" i="4"/>
  <c r="CO177" i="4"/>
  <c r="CP177" i="4"/>
  <c r="CQ177" i="4"/>
  <c r="CR177" i="4"/>
  <c r="CS177" i="4"/>
  <c r="CT177" i="4"/>
  <c r="CU177" i="4"/>
  <c r="CV177" i="4"/>
  <c r="CW177" i="4"/>
  <c r="CX177" i="4"/>
  <c r="D178" i="4"/>
  <c r="E178" i="4"/>
  <c r="F178" i="4"/>
  <c r="G178" i="4"/>
  <c r="H178" i="4"/>
  <c r="I178" i="4"/>
  <c r="J178" i="4"/>
  <c r="K178" i="4"/>
  <c r="L178" i="4"/>
  <c r="M178" i="4"/>
  <c r="N178" i="4"/>
  <c r="O178" i="4"/>
  <c r="P178" i="4"/>
  <c r="Q178" i="4"/>
  <c r="R178" i="4"/>
  <c r="S178" i="4"/>
  <c r="T178" i="4"/>
  <c r="U178" i="4"/>
  <c r="V178" i="4"/>
  <c r="W178" i="4"/>
  <c r="X178" i="4"/>
  <c r="Y178" i="4"/>
  <c r="Z178" i="4"/>
  <c r="AA178" i="4"/>
  <c r="AB178" i="4"/>
  <c r="AC178" i="4"/>
  <c r="AD178" i="4"/>
  <c r="AE178" i="4"/>
  <c r="AF178" i="4"/>
  <c r="AG178" i="4"/>
  <c r="AH178" i="4"/>
  <c r="AI178" i="4"/>
  <c r="AJ178" i="4"/>
  <c r="AK178" i="4"/>
  <c r="AL178" i="4"/>
  <c r="AM178" i="4"/>
  <c r="AN178" i="4"/>
  <c r="AO178" i="4"/>
  <c r="AP178" i="4"/>
  <c r="AQ178" i="4"/>
  <c r="AR178" i="4"/>
  <c r="AS178" i="4"/>
  <c r="AT178" i="4"/>
  <c r="AU178" i="4"/>
  <c r="AV178" i="4"/>
  <c r="AW178" i="4"/>
  <c r="AX178" i="4"/>
  <c r="AY178" i="4"/>
  <c r="AZ178" i="4"/>
  <c r="BA178" i="4"/>
  <c r="BB178" i="4"/>
  <c r="BC178" i="4"/>
  <c r="BD178" i="4"/>
  <c r="BE178" i="4"/>
  <c r="BF178" i="4"/>
  <c r="BG178" i="4"/>
  <c r="BH178" i="4"/>
  <c r="BI178" i="4"/>
  <c r="BJ178" i="4"/>
  <c r="BK178" i="4"/>
  <c r="BL178" i="4"/>
  <c r="BM178" i="4"/>
  <c r="BN178" i="4"/>
  <c r="BO178" i="4"/>
  <c r="BP178" i="4"/>
  <c r="BQ178" i="4"/>
  <c r="BR178" i="4"/>
  <c r="BS178" i="4"/>
  <c r="BT178" i="4"/>
  <c r="BU178" i="4"/>
  <c r="BV178" i="4"/>
  <c r="BW178" i="4"/>
  <c r="BX178" i="4"/>
  <c r="BY178" i="4"/>
  <c r="BZ178" i="4"/>
  <c r="CA178" i="4"/>
  <c r="CB178" i="4"/>
  <c r="CC178" i="4"/>
  <c r="CD178" i="4"/>
  <c r="CE178" i="4"/>
  <c r="CF178" i="4"/>
  <c r="CG178" i="4"/>
  <c r="CH178" i="4"/>
  <c r="CI178" i="4"/>
  <c r="CJ178" i="4"/>
  <c r="CK178" i="4"/>
  <c r="CL178" i="4"/>
  <c r="CM178" i="4"/>
  <c r="CN178" i="4"/>
  <c r="CO178" i="4"/>
  <c r="CP178" i="4"/>
  <c r="CQ178" i="4"/>
  <c r="CR178" i="4"/>
  <c r="CS178" i="4"/>
  <c r="CT178" i="4"/>
  <c r="CU178" i="4"/>
  <c r="CV178" i="4"/>
  <c r="CW178" i="4"/>
  <c r="CX178" i="4"/>
  <c r="D179" i="4"/>
  <c r="E179" i="4"/>
  <c r="F179" i="4"/>
  <c r="G179" i="4"/>
  <c r="H179" i="4"/>
  <c r="I179" i="4"/>
  <c r="J179" i="4"/>
  <c r="K179" i="4"/>
  <c r="L179" i="4"/>
  <c r="M179" i="4"/>
  <c r="N179" i="4"/>
  <c r="O179" i="4"/>
  <c r="P179" i="4"/>
  <c r="Q179" i="4"/>
  <c r="R179" i="4"/>
  <c r="S179" i="4"/>
  <c r="T179" i="4"/>
  <c r="U179" i="4"/>
  <c r="V179" i="4"/>
  <c r="W179" i="4"/>
  <c r="X179" i="4"/>
  <c r="Y179" i="4"/>
  <c r="Z179" i="4"/>
  <c r="AA179" i="4"/>
  <c r="AB179" i="4"/>
  <c r="AC179" i="4"/>
  <c r="AD179" i="4"/>
  <c r="AE179" i="4"/>
  <c r="AF179" i="4"/>
  <c r="AG179" i="4"/>
  <c r="AH179" i="4"/>
  <c r="AI179" i="4"/>
  <c r="AJ179" i="4"/>
  <c r="AK179" i="4"/>
  <c r="AL179" i="4"/>
  <c r="AM179" i="4"/>
  <c r="AN179" i="4"/>
  <c r="AO179" i="4"/>
  <c r="AP179" i="4"/>
  <c r="AQ179" i="4"/>
  <c r="AR179" i="4"/>
  <c r="AS179" i="4"/>
  <c r="AT179" i="4"/>
  <c r="AU179" i="4"/>
  <c r="AV179" i="4"/>
  <c r="AW179" i="4"/>
  <c r="AX179" i="4"/>
  <c r="AY179" i="4"/>
  <c r="AZ179" i="4"/>
  <c r="BA179" i="4"/>
  <c r="BB179" i="4"/>
  <c r="BC179" i="4"/>
  <c r="BD179" i="4"/>
  <c r="BE179" i="4"/>
  <c r="BF179" i="4"/>
  <c r="BG179" i="4"/>
  <c r="BH179" i="4"/>
  <c r="BI179" i="4"/>
  <c r="BJ179" i="4"/>
  <c r="BK179" i="4"/>
  <c r="BL179" i="4"/>
  <c r="BM179" i="4"/>
  <c r="BN179" i="4"/>
  <c r="BO179" i="4"/>
  <c r="BP179" i="4"/>
  <c r="BQ179" i="4"/>
  <c r="BR179" i="4"/>
  <c r="BS179" i="4"/>
  <c r="BT179" i="4"/>
  <c r="BU179" i="4"/>
  <c r="BV179" i="4"/>
  <c r="BW179" i="4"/>
  <c r="BX179" i="4"/>
  <c r="BY179" i="4"/>
  <c r="BZ179" i="4"/>
  <c r="CA179" i="4"/>
  <c r="CB179" i="4"/>
  <c r="CC179" i="4"/>
  <c r="CD179" i="4"/>
  <c r="CE179" i="4"/>
  <c r="CF179" i="4"/>
  <c r="CG179" i="4"/>
  <c r="CH179" i="4"/>
  <c r="CI179" i="4"/>
  <c r="CJ179" i="4"/>
  <c r="CK179" i="4"/>
  <c r="CL179" i="4"/>
  <c r="CM179" i="4"/>
  <c r="CN179" i="4"/>
  <c r="CO179" i="4"/>
  <c r="CP179" i="4"/>
  <c r="CQ179" i="4"/>
  <c r="CR179" i="4"/>
  <c r="CS179" i="4"/>
  <c r="CT179" i="4"/>
  <c r="CU179" i="4"/>
  <c r="CV179" i="4"/>
  <c r="CW179" i="4"/>
  <c r="CX179" i="4"/>
  <c r="D180" i="4"/>
  <c r="E180" i="4"/>
  <c r="F180" i="4"/>
  <c r="G180" i="4"/>
  <c r="H180" i="4"/>
  <c r="I180" i="4"/>
  <c r="J180" i="4"/>
  <c r="K180" i="4"/>
  <c r="L180" i="4"/>
  <c r="M180" i="4"/>
  <c r="N180" i="4"/>
  <c r="O180" i="4"/>
  <c r="P180" i="4"/>
  <c r="Q180" i="4"/>
  <c r="R180" i="4"/>
  <c r="S180" i="4"/>
  <c r="T180" i="4"/>
  <c r="U180" i="4"/>
  <c r="V180" i="4"/>
  <c r="W180" i="4"/>
  <c r="X180" i="4"/>
  <c r="Y180" i="4"/>
  <c r="Z180" i="4"/>
  <c r="AA180" i="4"/>
  <c r="AB180" i="4"/>
  <c r="AC180" i="4"/>
  <c r="AD180" i="4"/>
  <c r="AE180" i="4"/>
  <c r="AF180" i="4"/>
  <c r="AG180" i="4"/>
  <c r="AH180" i="4"/>
  <c r="AI180" i="4"/>
  <c r="AJ180" i="4"/>
  <c r="AK180" i="4"/>
  <c r="AL180" i="4"/>
  <c r="AM180" i="4"/>
  <c r="AN180" i="4"/>
  <c r="AO180" i="4"/>
  <c r="AP180" i="4"/>
  <c r="AQ180" i="4"/>
  <c r="AR180" i="4"/>
  <c r="AS180" i="4"/>
  <c r="AT180" i="4"/>
  <c r="AU180" i="4"/>
  <c r="AV180" i="4"/>
  <c r="AW180" i="4"/>
  <c r="AX180" i="4"/>
  <c r="AY180" i="4"/>
  <c r="AZ180" i="4"/>
  <c r="BA180" i="4"/>
  <c r="BB180" i="4"/>
  <c r="BC180" i="4"/>
  <c r="BD180" i="4"/>
  <c r="BE180" i="4"/>
  <c r="BF180" i="4"/>
  <c r="BG180" i="4"/>
  <c r="BH180" i="4"/>
  <c r="BI180" i="4"/>
  <c r="BJ180" i="4"/>
  <c r="BK180" i="4"/>
  <c r="BL180" i="4"/>
  <c r="BM180" i="4"/>
  <c r="BN180" i="4"/>
  <c r="BO180" i="4"/>
  <c r="BP180" i="4"/>
  <c r="BQ180" i="4"/>
  <c r="BR180" i="4"/>
  <c r="BS180" i="4"/>
  <c r="BT180" i="4"/>
  <c r="BU180" i="4"/>
  <c r="BV180" i="4"/>
  <c r="BW180" i="4"/>
  <c r="BX180" i="4"/>
  <c r="BY180" i="4"/>
  <c r="BZ180" i="4"/>
  <c r="CA180" i="4"/>
  <c r="CB180" i="4"/>
  <c r="CC180" i="4"/>
  <c r="CD180" i="4"/>
  <c r="CE180" i="4"/>
  <c r="CF180" i="4"/>
  <c r="CG180" i="4"/>
  <c r="CH180" i="4"/>
  <c r="CI180" i="4"/>
  <c r="CJ180" i="4"/>
  <c r="CK180" i="4"/>
  <c r="CL180" i="4"/>
  <c r="CM180" i="4"/>
  <c r="CN180" i="4"/>
  <c r="CO180" i="4"/>
  <c r="CP180" i="4"/>
  <c r="CQ180" i="4"/>
  <c r="CR180" i="4"/>
  <c r="CS180" i="4"/>
  <c r="CT180" i="4"/>
  <c r="CU180" i="4"/>
  <c r="CV180" i="4"/>
  <c r="CW180" i="4"/>
  <c r="CX180" i="4"/>
  <c r="D181" i="4"/>
  <c r="E181" i="4"/>
  <c r="F181" i="4"/>
  <c r="G181" i="4"/>
  <c r="H181" i="4"/>
  <c r="I181" i="4"/>
  <c r="J181" i="4"/>
  <c r="K181" i="4"/>
  <c r="L181" i="4"/>
  <c r="M181" i="4"/>
  <c r="N181" i="4"/>
  <c r="O181" i="4"/>
  <c r="P181" i="4"/>
  <c r="Q181" i="4"/>
  <c r="R181" i="4"/>
  <c r="S181" i="4"/>
  <c r="T181" i="4"/>
  <c r="U181" i="4"/>
  <c r="V181" i="4"/>
  <c r="W181" i="4"/>
  <c r="X181" i="4"/>
  <c r="Y181" i="4"/>
  <c r="Z181" i="4"/>
  <c r="AA181" i="4"/>
  <c r="AB181" i="4"/>
  <c r="AC181" i="4"/>
  <c r="AD181" i="4"/>
  <c r="AE181" i="4"/>
  <c r="AF181" i="4"/>
  <c r="AG181" i="4"/>
  <c r="AH181" i="4"/>
  <c r="AI181" i="4"/>
  <c r="AJ181" i="4"/>
  <c r="AK181" i="4"/>
  <c r="AL181" i="4"/>
  <c r="AM181" i="4"/>
  <c r="AN181" i="4"/>
  <c r="AO181" i="4"/>
  <c r="AP181" i="4"/>
  <c r="AQ181" i="4"/>
  <c r="AR181" i="4"/>
  <c r="AS181" i="4"/>
  <c r="AT181" i="4"/>
  <c r="AU181" i="4"/>
  <c r="AV181" i="4"/>
  <c r="AW181" i="4"/>
  <c r="AX181" i="4"/>
  <c r="AY181" i="4"/>
  <c r="AZ181" i="4"/>
  <c r="BA181" i="4"/>
  <c r="BB181" i="4"/>
  <c r="BC181" i="4"/>
  <c r="BD181" i="4"/>
  <c r="BE181" i="4"/>
  <c r="BF181" i="4"/>
  <c r="BG181" i="4"/>
  <c r="BH181" i="4"/>
  <c r="BI181" i="4"/>
  <c r="BJ181" i="4"/>
  <c r="BK181" i="4"/>
  <c r="BL181" i="4"/>
  <c r="BM181" i="4"/>
  <c r="BN181" i="4"/>
  <c r="BO181" i="4"/>
  <c r="BP181" i="4"/>
  <c r="BQ181" i="4"/>
  <c r="BR181" i="4"/>
  <c r="BS181" i="4"/>
  <c r="BT181" i="4"/>
  <c r="BU181" i="4"/>
  <c r="BV181" i="4"/>
  <c r="BW181" i="4"/>
  <c r="BX181" i="4"/>
  <c r="BY181" i="4"/>
  <c r="BZ181" i="4"/>
  <c r="CA181" i="4"/>
  <c r="CB181" i="4"/>
  <c r="CC181" i="4"/>
  <c r="CD181" i="4"/>
  <c r="CE181" i="4"/>
  <c r="CF181" i="4"/>
  <c r="CG181" i="4"/>
  <c r="CH181" i="4"/>
  <c r="CI181" i="4"/>
  <c r="CJ181" i="4"/>
  <c r="CK181" i="4"/>
  <c r="CL181" i="4"/>
  <c r="CM181" i="4"/>
  <c r="CN181" i="4"/>
  <c r="CO181" i="4"/>
  <c r="CP181" i="4"/>
  <c r="CQ181" i="4"/>
  <c r="CR181" i="4"/>
  <c r="CS181" i="4"/>
  <c r="CT181" i="4"/>
  <c r="CU181" i="4"/>
  <c r="CV181" i="4"/>
  <c r="CW181" i="4"/>
  <c r="CX181" i="4"/>
  <c r="D182" i="4"/>
  <c r="E182" i="4"/>
  <c r="F182" i="4"/>
  <c r="G182" i="4"/>
  <c r="H182" i="4"/>
  <c r="I182" i="4"/>
  <c r="J182" i="4"/>
  <c r="K182" i="4"/>
  <c r="L182" i="4"/>
  <c r="M182" i="4"/>
  <c r="N182" i="4"/>
  <c r="O182" i="4"/>
  <c r="P182" i="4"/>
  <c r="Q182" i="4"/>
  <c r="R182" i="4"/>
  <c r="S182" i="4"/>
  <c r="T182" i="4"/>
  <c r="U182" i="4"/>
  <c r="V182" i="4"/>
  <c r="W182" i="4"/>
  <c r="X182" i="4"/>
  <c r="Y182" i="4"/>
  <c r="Z182" i="4"/>
  <c r="AA182" i="4"/>
  <c r="AB182" i="4"/>
  <c r="AC182" i="4"/>
  <c r="AD182" i="4"/>
  <c r="AE182" i="4"/>
  <c r="AF182" i="4"/>
  <c r="AG182" i="4"/>
  <c r="AH182" i="4"/>
  <c r="AI182" i="4"/>
  <c r="AJ182" i="4"/>
  <c r="AK182" i="4"/>
  <c r="AL182" i="4"/>
  <c r="AM182" i="4"/>
  <c r="AN182" i="4"/>
  <c r="AO182" i="4"/>
  <c r="AP182" i="4"/>
  <c r="AQ182" i="4"/>
  <c r="AR182" i="4"/>
  <c r="AS182" i="4"/>
  <c r="AT182" i="4"/>
  <c r="AU182" i="4"/>
  <c r="AV182" i="4"/>
  <c r="AW182" i="4"/>
  <c r="AX182" i="4"/>
  <c r="AY182" i="4"/>
  <c r="AZ182" i="4"/>
  <c r="BA182" i="4"/>
  <c r="BB182" i="4"/>
  <c r="BC182" i="4"/>
  <c r="BD182" i="4"/>
  <c r="BE182" i="4"/>
  <c r="BF182" i="4"/>
  <c r="BG182" i="4"/>
  <c r="BH182" i="4"/>
  <c r="BI182" i="4"/>
  <c r="BJ182" i="4"/>
  <c r="BK182" i="4"/>
  <c r="BL182" i="4"/>
  <c r="BM182" i="4"/>
  <c r="BN182" i="4"/>
  <c r="BO182" i="4"/>
  <c r="BP182" i="4"/>
  <c r="BQ182" i="4"/>
  <c r="BR182" i="4"/>
  <c r="BS182" i="4"/>
  <c r="BT182" i="4"/>
  <c r="BU182" i="4"/>
  <c r="BV182" i="4"/>
  <c r="BW182" i="4"/>
  <c r="BX182" i="4"/>
  <c r="BY182" i="4"/>
  <c r="BZ182" i="4"/>
  <c r="CA182" i="4"/>
  <c r="CB182" i="4"/>
  <c r="CC182" i="4"/>
  <c r="CD182" i="4"/>
  <c r="CE182" i="4"/>
  <c r="CF182" i="4"/>
  <c r="CG182" i="4"/>
  <c r="CH182" i="4"/>
  <c r="CI182" i="4"/>
  <c r="CJ182" i="4"/>
  <c r="CK182" i="4"/>
  <c r="CL182" i="4"/>
  <c r="CM182" i="4"/>
  <c r="CN182" i="4"/>
  <c r="CO182" i="4"/>
  <c r="CP182" i="4"/>
  <c r="CQ182" i="4"/>
  <c r="CR182" i="4"/>
  <c r="CS182" i="4"/>
  <c r="CT182" i="4"/>
  <c r="CU182" i="4"/>
  <c r="CV182" i="4"/>
  <c r="CW182" i="4"/>
  <c r="CX182" i="4"/>
  <c r="D183" i="4"/>
  <c r="E183" i="4"/>
  <c r="F183" i="4"/>
  <c r="G183" i="4"/>
  <c r="H183" i="4"/>
  <c r="I183" i="4"/>
  <c r="J183" i="4"/>
  <c r="K183" i="4"/>
  <c r="L183" i="4"/>
  <c r="M183" i="4"/>
  <c r="N183" i="4"/>
  <c r="O183" i="4"/>
  <c r="P183" i="4"/>
  <c r="Q183" i="4"/>
  <c r="R183" i="4"/>
  <c r="S183" i="4"/>
  <c r="T183" i="4"/>
  <c r="U183" i="4"/>
  <c r="V183" i="4"/>
  <c r="W183" i="4"/>
  <c r="X183" i="4"/>
  <c r="Y183" i="4"/>
  <c r="Z183" i="4"/>
  <c r="AA183" i="4"/>
  <c r="AB183" i="4"/>
  <c r="AC183" i="4"/>
  <c r="AD183" i="4"/>
  <c r="AE183" i="4"/>
  <c r="AF183" i="4"/>
  <c r="AG183" i="4"/>
  <c r="AH183" i="4"/>
  <c r="AI183" i="4"/>
  <c r="AJ183" i="4"/>
  <c r="AK183" i="4"/>
  <c r="AL183" i="4"/>
  <c r="AM183" i="4"/>
  <c r="AN183" i="4"/>
  <c r="AO183" i="4"/>
  <c r="AP183" i="4"/>
  <c r="AQ183" i="4"/>
  <c r="AR183" i="4"/>
  <c r="AS183" i="4"/>
  <c r="AT183" i="4"/>
  <c r="AU183" i="4"/>
  <c r="AV183" i="4"/>
  <c r="AW183" i="4"/>
  <c r="AX183" i="4"/>
  <c r="AY183" i="4"/>
  <c r="AZ183" i="4"/>
  <c r="BA183" i="4"/>
  <c r="BB183" i="4"/>
  <c r="BC183" i="4"/>
  <c r="BD183" i="4"/>
  <c r="BE183" i="4"/>
  <c r="BF183" i="4"/>
  <c r="BG183" i="4"/>
  <c r="BH183" i="4"/>
  <c r="BI183" i="4"/>
  <c r="BJ183" i="4"/>
  <c r="BK183" i="4"/>
  <c r="BL183" i="4"/>
  <c r="BM183" i="4"/>
  <c r="BN183" i="4"/>
  <c r="BO183" i="4"/>
  <c r="BP183" i="4"/>
  <c r="BQ183" i="4"/>
  <c r="BR183" i="4"/>
  <c r="BS183" i="4"/>
  <c r="BT183" i="4"/>
  <c r="BU183" i="4"/>
  <c r="BV183" i="4"/>
  <c r="BW183" i="4"/>
  <c r="BX183" i="4"/>
  <c r="BY183" i="4"/>
  <c r="BZ183" i="4"/>
  <c r="CA183" i="4"/>
  <c r="CB183" i="4"/>
  <c r="CC183" i="4"/>
  <c r="CD183" i="4"/>
  <c r="CE183" i="4"/>
  <c r="CF183" i="4"/>
  <c r="CG183" i="4"/>
  <c r="CH183" i="4"/>
  <c r="CI183" i="4"/>
  <c r="CJ183" i="4"/>
  <c r="CK183" i="4"/>
  <c r="CL183" i="4"/>
  <c r="CM183" i="4"/>
  <c r="CN183" i="4"/>
  <c r="CO183" i="4"/>
  <c r="CP183" i="4"/>
  <c r="CQ183" i="4"/>
  <c r="CR183" i="4"/>
  <c r="CS183" i="4"/>
  <c r="CT183" i="4"/>
  <c r="CU183" i="4"/>
  <c r="CV183" i="4"/>
  <c r="CW183" i="4"/>
  <c r="CX183" i="4"/>
  <c r="D184" i="4"/>
  <c r="E184" i="4"/>
  <c r="F184" i="4"/>
  <c r="G184" i="4"/>
  <c r="H184" i="4"/>
  <c r="I184" i="4"/>
  <c r="J184" i="4"/>
  <c r="K184" i="4"/>
  <c r="L184" i="4"/>
  <c r="M184" i="4"/>
  <c r="N184" i="4"/>
  <c r="O184" i="4"/>
  <c r="P184" i="4"/>
  <c r="Q184" i="4"/>
  <c r="R184" i="4"/>
  <c r="S184" i="4"/>
  <c r="T184" i="4"/>
  <c r="U184" i="4"/>
  <c r="V184" i="4"/>
  <c r="W184" i="4"/>
  <c r="X184" i="4"/>
  <c r="Y184" i="4"/>
  <c r="Z184" i="4"/>
  <c r="AA184" i="4"/>
  <c r="AB184" i="4"/>
  <c r="AC184" i="4"/>
  <c r="AD184" i="4"/>
  <c r="AE184" i="4"/>
  <c r="AF184" i="4"/>
  <c r="AG184" i="4"/>
  <c r="AH184" i="4"/>
  <c r="AI184" i="4"/>
  <c r="AJ184" i="4"/>
  <c r="AK184" i="4"/>
  <c r="AL184" i="4"/>
  <c r="AM184" i="4"/>
  <c r="AN184" i="4"/>
  <c r="AO184" i="4"/>
  <c r="AP184" i="4"/>
  <c r="AQ184" i="4"/>
  <c r="AR184" i="4"/>
  <c r="AS184" i="4"/>
  <c r="AT184" i="4"/>
  <c r="AU184" i="4"/>
  <c r="AV184" i="4"/>
  <c r="AW184" i="4"/>
  <c r="AX184" i="4"/>
  <c r="AY184" i="4"/>
  <c r="AZ184" i="4"/>
  <c r="BA184" i="4"/>
  <c r="BB184" i="4"/>
  <c r="BC184" i="4"/>
  <c r="BD184" i="4"/>
  <c r="BE184" i="4"/>
  <c r="BF184" i="4"/>
  <c r="BG184" i="4"/>
  <c r="BH184" i="4"/>
  <c r="BI184" i="4"/>
  <c r="BJ184" i="4"/>
  <c r="BK184" i="4"/>
  <c r="BL184" i="4"/>
  <c r="BM184" i="4"/>
  <c r="BN184" i="4"/>
  <c r="BO184" i="4"/>
  <c r="BP184" i="4"/>
  <c r="BQ184" i="4"/>
  <c r="BR184" i="4"/>
  <c r="BS184" i="4"/>
  <c r="BT184" i="4"/>
  <c r="BU184" i="4"/>
  <c r="BV184" i="4"/>
  <c r="BW184" i="4"/>
  <c r="BX184" i="4"/>
  <c r="BY184" i="4"/>
  <c r="BZ184" i="4"/>
  <c r="CA184" i="4"/>
  <c r="CB184" i="4"/>
  <c r="CC184" i="4"/>
  <c r="CD184" i="4"/>
  <c r="CE184" i="4"/>
  <c r="CF184" i="4"/>
  <c r="CG184" i="4"/>
  <c r="CH184" i="4"/>
  <c r="CI184" i="4"/>
  <c r="CJ184" i="4"/>
  <c r="CK184" i="4"/>
  <c r="CL184" i="4"/>
  <c r="CM184" i="4"/>
  <c r="CN184" i="4"/>
  <c r="CO184" i="4"/>
  <c r="CP184" i="4"/>
  <c r="CQ184" i="4"/>
  <c r="CR184" i="4"/>
  <c r="CS184" i="4"/>
  <c r="CT184" i="4"/>
  <c r="CU184" i="4"/>
  <c r="CV184" i="4"/>
  <c r="CW184" i="4"/>
  <c r="CX184" i="4"/>
  <c r="D185" i="4"/>
  <c r="E185" i="4"/>
  <c r="F185" i="4"/>
  <c r="G185" i="4"/>
  <c r="H185" i="4"/>
  <c r="I185" i="4"/>
  <c r="J185" i="4"/>
  <c r="K185" i="4"/>
  <c r="L185" i="4"/>
  <c r="M185" i="4"/>
  <c r="N185" i="4"/>
  <c r="O185" i="4"/>
  <c r="P185" i="4"/>
  <c r="Q185" i="4"/>
  <c r="R185" i="4"/>
  <c r="S185" i="4"/>
  <c r="T185" i="4"/>
  <c r="U185" i="4"/>
  <c r="V185" i="4"/>
  <c r="W185" i="4"/>
  <c r="X185" i="4"/>
  <c r="Y185" i="4"/>
  <c r="Z185" i="4"/>
  <c r="AA185" i="4"/>
  <c r="AB185" i="4"/>
  <c r="AC185" i="4"/>
  <c r="AD185" i="4"/>
  <c r="AE185" i="4"/>
  <c r="AF185" i="4"/>
  <c r="AG185" i="4"/>
  <c r="AH185" i="4"/>
  <c r="AI185" i="4"/>
  <c r="AJ185" i="4"/>
  <c r="AK185" i="4"/>
  <c r="AL185" i="4"/>
  <c r="AM185" i="4"/>
  <c r="AN185" i="4"/>
  <c r="AO185" i="4"/>
  <c r="AP185" i="4"/>
  <c r="AQ185" i="4"/>
  <c r="AR185" i="4"/>
  <c r="AS185" i="4"/>
  <c r="AT185" i="4"/>
  <c r="AU185" i="4"/>
  <c r="AV185" i="4"/>
  <c r="AW185" i="4"/>
  <c r="AX185" i="4"/>
  <c r="AY185" i="4"/>
  <c r="AZ185" i="4"/>
  <c r="BA185" i="4"/>
  <c r="BB185" i="4"/>
  <c r="BC185" i="4"/>
  <c r="BD185" i="4"/>
  <c r="BE185" i="4"/>
  <c r="BF185" i="4"/>
  <c r="BG185" i="4"/>
  <c r="BH185" i="4"/>
  <c r="BI185" i="4"/>
  <c r="BJ185" i="4"/>
  <c r="BK185" i="4"/>
  <c r="BL185" i="4"/>
  <c r="BM185" i="4"/>
  <c r="BN185" i="4"/>
  <c r="BO185" i="4"/>
  <c r="BP185" i="4"/>
  <c r="BQ185" i="4"/>
  <c r="BR185" i="4"/>
  <c r="BS185" i="4"/>
  <c r="BT185" i="4"/>
  <c r="BU185" i="4"/>
  <c r="BV185" i="4"/>
  <c r="BW185" i="4"/>
  <c r="BX185" i="4"/>
  <c r="BY185" i="4"/>
  <c r="BZ185" i="4"/>
  <c r="CA185" i="4"/>
  <c r="CB185" i="4"/>
  <c r="CC185" i="4"/>
  <c r="CD185" i="4"/>
  <c r="CE185" i="4"/>
  <c r="CF185" i="4"/>
  <c r="CG185" i="4"/>
  <c r="CH185" i="4"/>
  <c r="CI185" i="4"/>
  <c r="CJ185" i="4"/>
  <c r="CK185" i="4"/>
  <c r="CL185" i="4"/>
  <c r="CM185" i="4"/>
  <c r="CN185" i="4"/>
  <c r="CO185" i="4"/>
  <c r="CP185" i="4"/>
  <c r="CQ185" i="4"/>
  <c r="CR185" i="4"/>
  <c r="CS185" i="4"/>
  <c r="CT185" i="4"/>
  <c r="CU185" i="4"/>
  <c r="CV185" i="4"/>
  <c r="CW185" i="4"/>
  <c r="CX185" i="4"/>
  <c r="D186" i="4"/>
  <c r="E186" i="4"/>
  <c r="F186" i="4"/>
  <c r="G186" i="4"/>
  <c r="H186" i="4"/>
  <c r="I186" i="4"/>
  <c r="J186" i="4"/>
  <c r="K186" i="4"/>
  <c r="L186" i="4"/>
  <c r="M186" i="4"/>
  <c r="N186" i="4"/>
  <c r="O186" i="4"/>
  <c r="P186" i="4"/>
  <c r="Q186" i="4"/>
  <c r="R186" i="4"/>
  <c r="S186" i="4"/>
  <c r="T186" i="4"/>
  <c r="U186" i="4"/>
  <c r="V186" i="4"/>
  <c r="W186" i="4"/>
  <c r="X186" i="4"/>
  <c r="Y186" i="4"/>
  <c r="Z186" i="4"/>
  <c r="AA186" i="4"/>
  <c r="AB186" i="4"/>
  <c r="AC186" i="4"/>
  <c r="AD186" i="4"/>
  <c r="AE186" i="4"/>
  <c r="AF186" i="4"/>
  <c r="AG186" i="4"/>
  <c r="AH186" i="4"/>
  <c r="AI186" i="4"/>
  <c r="AJ186" i="4"/>
  <c r="AK186" i="4"/>
  <c r="AL186" i="4"/>
  <c r="AM186" i="4"/>
  <c r="AN186" i="4"/>
  <c r="AO186" i="4"/>
  <c r="AP186" i="4"/>
  <c r="AQ186" i="4"/>
  <c r="AR186" i="4"/>
  <c r="AS186" i="4"/>
  <c r="AT186" i="4"/>
  <c r="AU186" i="4"/>
  <c r="AV186" i="4"/>
  <c r="AW186" i="4"/>
  <c r="AX186" i="4"/>
  <c r="AY186" i="4"/>
  <c r="AZ186" i="4"/>
  <c r="BA186" i="4"/>
  <c r="BB186" i="4"/>
  <c r="BC186" i="4"/>
  <c r="BD186" i="4"/>
  <c r="BE186" i="4"/>
  <c r="BF186" i="4"/>
  <c r="BG186" i="4"/>
  <c r="BH186" i="4"/>
  <c r="BI186" i="4"/>
  <c r="BJ186" i="4"/>
  <c r="BK186" i="4"/>
  <c r="BL186" i="4"/>
  <c r="BM186" i="4"/>
  <c r="BN186" i="4"/>
  <c r="BO186" i="4"/>
  <c r="BP186" i="4"/>
  <c r="BQ186" i="4"/>
  <c r="BR186" i="4"/>
  <c r="BS186" i="4"/>
  <c r="BT186" i="4"/>
  <c r="BU186" i="4"/>
  <c r="BV186" i="4"/>
  <c r="BW186" i="4"/>
  <c r="BX186" i="4"/>
  <c r="BY186" i="4"/>
  <c r="BZ186" i="4"/>
  <c r="CA186" i="4"/>
  <c r="CB186" i="4"/>
  <c r="CC186" i="4"/>
  <c r="CD186" i="4"/>
  <c r="CE186" i="4"/>
  <c r="CF186" i="4"/>
  <c r="CG186" i="4"/>
  <c r="CH186" i="4"/>
  <c r="CI186" i="4"/>
  <c r="CJ186" i="4"/>
  <c r="CK186" i="4"/>
  <c r="CL186" i="4"/>
  <c r="CM186" i="4"/>
  <c r="CN186" i="4"/>
  <c r="CO186" i="4"/>
  <c r="CP186" i="4"/>
  <c r="CQ186" i="4"/>
  <c r="CR186" i="4"/>
  <c r="CS186" i="4"/>
  <c r="CT186" i="4"/>
  <c r="CU186" i="4"/>
  <c r="CV186" i="4"/>
  <c r="CW186" i="4"/>
  <c r="CX186" i="4"/>
  <c r="D187" i="4"/>
  <c r="E187" i="4"/>
  <c r="F187" i="4"/>
  <c r="G187" i="4"/>
  <c r="H187" i="4"/>
  <c r="I187" i="4"/>
  <c r="J187" i="4"/>
  <c r="K187" i="4"/>
  <c r="L187" i="4"/>
  <c r="M187" i="4"/>
  <c r="N187" i="4"/>
  <c r="O187" i="4"/>
  <c r="P187" i="4"/>
  <c r="Q187" i="4"/>
  <c r="R187" i="4"/>
  <c r="S187" i="4"/>
  <c r="T187" i="4"/>
  <c r="U187" i="4"/>
  <c r="V187" i="4"/>
  <c r="W187" i="4"/>
  <c r="X187" i="4"/>
  <c r="Y187" i="4"/>
  <c r="Z187" i="4"/>
  <c r="AA187" i="4"/>
  <c r="AB187" i="4"/>
  <c r="AC187" i="4"/>
  <c r="AD187" i="4"/>
  <c r="AE187" i="4"/>
  <c r="AF187" i="4"/>
  <c r="AG187" i="4"/>
  <c r="AH187" i="4"/>
  <c r="AI187" i="4"/>
  <c r="AJ187" i="4"/>
  <c r="AK187" i="4"/>
  <c r="AL187" i="4"/>
  <c r="AM187" i="4"/>
  <c r="AN187" i="4"/>
  <c r="AO187" i="4"/>
  <c r="AP187" i="4"/>
  <c r="AQ187" i="4"/>
  <c r="AR187" i="4"/>
  <c r="AS187" i="4"/>
  <c r="AT187" i="4"/>
  <c r="AU187" i="4"/>
  <c r="AV187" i="4"/>
  <c r="AW187" i="4"/>
  <c r="AX187" i="4"/>
  <c r="AY187" i="4"/>
  <c r="AZ187" i="4"/>
  <c r="BA187" i="4"/>
  <c r="BB187" i="4"/>
  <c r="BC187" i="4"/>
  <c r="BD187" i="4"/>
  <c r="BE187" i="4"/>
  <c r="BF187" i="4"/>
  <c r="BG187" i="4"/>
  <c r="BH187" i="4"/>
  <c r="BI187" i="4"/>
  <c r="BJ187" i="4"/>
  <c r="BK187" i="4"/>
  <c r="BL187" i="4"/>
  <c r="BM187" i="4"/>
  <c r="BN187" i="4"/>
  <c r="BO187" i="4"/>
  <c r="BP187" i="4"/>
  <c r="BQ187" i="4"/>
  <c r="BR187" i="4"/>
  <c r="BS187" i="4"/>
  <c r="BT187" i="4"/>
  <c r="BU187" i="4"/>
  <c r="BV187" i="4"/>
  <c r="BW187" i="4"/>
  <c r="BX187" i="4"/>
  <c r="BY187" i="4"/>
  <c r="BZ187" i="4"/>
  <c r="CA187" i="4"/>
  <c r="CB187" i="4"/>
  <c r="CC187" i="4"/>
  <c r="CD187" i="4"/>
  <c r="CE187" i="4"/>
  <c r="CF187" i="4"/>
  <c r="CG187" i="4"/>
  <c r="CH187" i="4"/>
  <c r="CI187" i="4"/>
  <c r="CJ187" i="4"/>
  <c r="CK187" i="4"/>
  <c r="CL187" i="4"/>
  <c r="CM187" i="4"/>
  <c r="CN187" i="4"/>
  <c r="CO187" i="4"/>
  <c r="CP187" i="4"/>
  <c r="CQ187" i="4"/>
  <c r="CR187" i="4"/>
  <c r="CS187" i="4"/>
  <c r="CT187" i="4"/>
  <c r="CU187" i="4"/>
  <c r="CV187" i="4"/>
  <c r="CW187" i="4"/>
  <c r="CX187" i="4"/>
  <c r="D188" i="4"/>
  <c r="E188" i="4"/>
  <c r="F188" i="4"/>
  <c r="G188" i="4"/>
  <c r="H188" i="4"/>
  <c r="I188" i="4"/>
  <c r="J188" i="4"/>
  <c r="K188" i="4"/>
  <c r="L188" i="4"/>
  <c r="M188" i="4"/>
  <c r="N188" i="4"/>
  <c r="O188" i="4"/>
  <c r="P188" i="4"/>
  <c r="Q188" i="4"/>
  <c r="R188" i="4"/>
  <c r="S188" i="4"/>
  <c r="T188" i="4"/>
  <c r="U188" i="4"/>
  <c r="V188" i="4"/>
  <c r="W188" i="4"/>
  <c r="X188" i="4"/>
  <c r="Y188" i="4"/>
  <c r="Z188" i="4"/>
  <c r="AA188" i="4"/>
  <c r="AB188" i="4"/>
  <c r="AC188" i="4"/>
  <c r="AD188" i="4"/>
  <c r="AE188" i="4"/>
  <c r="AF188" i="4"/>
  <c r="AG188" i="4"/>
  <c r="AH188" i="4"/>
  <c r="AI188" i="4"/>
  <c r="AJ188" i="4"/>
  <c r="AK188" i="4"/>
  <c r="AL188" i="4"/>
  <c r="AM188" i="4"/>
  <c r="AN188" i="4"/>
  <c r="AO188" i="4"/>
  <c r="AP188" i="4"/>
  <c r="AQ188" i="4"/>
  <c r="AR188" i="4"/>
  <c r="AS188" i="4"/>
  <c r="AT188" i="4"/>
  <c r="AU188" i="4"/>
  <c r="AV188" i="4"/>
  <c r="AW188" i="4"/>
  <c r="AX188" i="4"/>
  <c r="AY188" i="4"/>
  <c r="AZ188" i="4"/>
  <c r="BA188" i="4"/>
  <c r="BB188" i="4"/>
  <c r="BC188" i="4"/>
  <c r="BD188" i="4"/>
  <c r="BE188" i="4"/>
  <c r="BF188" i="4"/>
  <c r="BG188" i="4"/>
  <c r="BH188" i="4"/>
  <c r="BI188" i="4"/>
  <c r="BJ188" i="4"/>
  <c r="BK188" i="4"/>
  <c r="BL188" i="4"/>
  <c r="BM188" i="4"/>
  <c r="BN188" i="4"/>
  <c r="BO188" i="4"/>
  <c r="BP188" i="4"/>
  <c r="BQ188" i="4"/>
  <c r="BR188" i="4"/>
  <c r="BS188" i="4"/>
  <c r="BT188" i="4"/>
  <c r="BU188" i="4"/>
  <c r="BV188" i="4"/>
  <c r="BW188" i="4"/>
  <c r="BX188" i="4"/>
  <c r="BY188" i="4"/>
  <c r="BZ188" i="4"/>
  <c r="CA188" i="4"/>
  <c r="CB188" i="4"/>
  <c r="CC188" i="4"/>
  <c r="CD188" i="4"/>
  <c r="CE188" i="4"/>
  <c r="CF188" i="4"/>
  <c r="CG188" i="4"/>
  <c r="CH188" i="4"/>
  <c r="CI188" i="4"/>
  <c r="CJ188" i="4"/>
  <c r="CK188" i="4"/>
  <c r="CL188" i="4"/>
  <c r="CM188" i="4"/>
  <c r="CN188" i="4"/>
  <c r="CO188" i="4"/>
  <c r="CP188" i="4"/>
  <c r="CQ188" i="4"/>
  <c r="CR188" i="4"/>
  <c r="CS188" i="4"/>
  <c r="CT188" i="4"/>
  <c r="CU188" i="4"/>
  <c r="CV188" i="4"/>
  <c r="CW188" i="4"/>
  <c r="CX188" i="4"/>
  <c r="D189" i="4"/>
  <c r="E189" i="4"/>
  <c r="F189" i="4"/>
  <c r="G189" i="4"/>
  <c r="H189" i="4"/>
  <c r="I189" i="4"/>
  <c r="J189" i="4"/>
  <c r="K189" i="4"/>
  <c r="L189" i="4"/>
  <c r="M189" i="4"/>
  <c r="N189" i="4"/>
  <c r="O189" i="4"/>
  <c r="P189" i="4"/>
  <c r="Q189" i="4"/>
  <c r="R189" i="4"/>
  <c r="S189" i="4"/>
  <c r="T189" i="4"/>
  <c r="U189" i="4"/>
  <c r="V189" i="4"/>
  <c r="W189" i="4"/>
  <c r="X189" i="4"/>
  <c r="Y189" i="4"/>
  <c r="Z189" i="4"/>
  <c r="AA189" i="4"/>
  <c r="AB189" i="4"/>
  <c r="AC189" i="4"/>
  <c r="AD189" i="4"/>
  <c r="AE189" i="4"/>
  <c r="AF189" i="4"/>
  <c r="AG189" i="4"/>
  <c r="AH189" i="4"/>
  <c r="AI189" i="4"/>
  <c r="AJ189" i="4"/>
  <c r="AK189" i="4"/>
  <c r="AL189" i="4"/>
  <c r="AM189" i="4"/>
  <c r="AN189" i="4"/>
  <c r="AO189" i="4"/>
  <c r="AP189" i="4"/>
  <c r="AQ189" i="4"/>
  <c r="AR189" i="4"/>
  <c r="AS189" i="4"/>
  <c r="AT189" i="4"/>
  <c r="AU189" i="4"/>
  <c r="AV189" i="4"/>
  <c r="AW189" i="4"/>
  <c r="AX189" i="4"/>
  <c r="AY189" i="4"/>
  <c r="AZ189" i="4"/>
  <c r="BA189" i="4"/>
  <c r="BB189" i="4"/>
  <c r="BC189" i="4"/>
  <c r="BD189" i="4"/>
  <c r="BE189" i="4"/>
  <c r="BF189" i="4"/>
  <c r="BG189" i="4"/>
  <c r="BH189" i="4"/>
  <c r="BI189" i="4"/>
  <c r="BJ189" i="4"/>
  <c r="BK189" i="4"/>
  <c r="BL189" i="4"/>
  <c r="BM189" i="4"/>
  <c r="BN189" i="4"/>
  <c r="BO189" i="4"/>
  <c r="BP189" i="4"/>
  <c r="BQ189" i="4"/>
  <c r="BR189" i="4"/>
  <c r="BS189" i="4"/>
  <c r="BT189" i="4"/>
  <c r="BU189" i="4"/>
  <c r="BV189" i="4"/>
  <c r="BW189" i="4"/>
  <c r="BX189" i="4"/>
  <c r="BY189" i="4"/>
  <c r="BZ189" i="4"/>
  <c r="CA189" i="4"/>
  <c r="CB189" i="4"/>
  <c r="CC189" i="4"/>
  <c r="CD189" i="4"/>
  <c r="CE189" i="4"/>
  <c r="CF189" i="4"/>
  <c r="CG189" i="4"/>
  <c r="CH189" i="4"/>
  <c r="CI189" i="4"/>
  <c r="CJ189" i="4"/>
  <c r="CK189" i="4"/>
  <c r="CL189" i="4"/>
  <c r="CM189" i="4"/>
  <c r="CN189" i="4"/>
  <c r="CO189" i="4"/>
  <c r="CP189" i="4"/>
  <c r="CQ189" i="4"/>
  <c r="CR189" i="4"/>
  <c r="CS189" i="4"/>
  <c r="CT189" i="4"/>
  <c r="CU189" i="4"/>
  <c r="CV189" i="4"/>
  <c r="CW189" i="4"/>
  <c r="CX189" i="4"/>
  <c r="D190" i="4"/>
  <c r="E190" i="4"/>
  <c r="F190" i="4"/>
  <c r="G190" i="4"/>
  <c r="H190" i="4"/>
  <c r="I190" i="4"/>
  <c r="J190" i="4"/>
  <c r="K190" i="4"/>
  <c r="L190" i="4"/>
  <c r="M190" i="4"/>
  <c r="N190" i="4"/>
  <c r="O190" i="4"/>
  <c r="P190" i="4"/>
  <c r="Q190" i="4"/>
  <c r="R190" i="4"/>
  <c r="S190" i="4"/>
  <c r="T190" i="4"/>
  <c r="U190" i="4"/>
  <c r="V190" i="4"/>
  <c r="W190" i="4"/>
  <c r="X190" i="4"/>
  <c r="Y190" i="4"/>
  <c r="Z190" i="4"/>
  <c r="AA190" i="4"/>
  <c r="AB190" i="4"/>
  <c r="AC190" i="4"/>
  <c r="AD190" i="4"/>
  <c r="AE190" i="4"/>
  <c r="AF190" i="4"/>
  <c r="AG190" i="4"/>
  <c r="AH190" i="4"/>
  <c r="AI190" i="4"/>
  <c r="AJ190" i="4"/>
  <c r="AK190" i="4"/>
  <c r="AL190" i="4"/>
  <c r="AM190" i="4"/>
  <c r="AN190" i="4"/>
  <c r="AO190" i="4"/>
  <c r="AP190" i="4"/>
  <c r="AQ190" i="4"/>
  <c r="AR190" i="4"/>
  <c r="AS190" i="4"/>
  <c r="AT190" i="4"/>
  <c r="AU190" i="4"/>
  <c r="AV190" i="4"/>
  <c r="AW190" i="4"/>
  <c r="AX190" i="4"/>
  <c r="AY190" i="4"/>
  <c r="AZ190" i="4"/>
  <c r="BA190" i="4"/>
  <c r="BB190" i="4"/>
  <c r="BC190" i="4"/>
  <c r="BD190" i="4"/>
  <c r="BE190" i="4"/>
  <c r="BF190" i="4"/>
  <c r="BG190" i="4"/>
  <c r="BH190" i="4"/>
  <c r="BI190" i="4"/>
  <c r="BJ190" i="4"/>
  <c r="BK190" i="4"/>
  <c r="BL190" i="4"/>
  <c r="BM190" i="4"/>
  <c r="BN190" i="4"/>
  <c r="BO190" i="4"/>
  <c r="BP190" i="4"/>
  <c r="BQ190" i="4"/>
  <c r="BR190" i="4"/>
  <c r="BS190" i="4"/>
  <c r="BT190" i="4"/>
  <c r="BU190" i="4"/>
  <c r="BV190" i="4"/>
  <c r="BW190" i="4"/>
  <c r="BX190" i="4"/>
  <c r="BY190" i="4"/>
  <c r="BZ190" i="4"/>
  <c r="CA190" i="4"/>
  <c r="CB190" i="4"/>
  <c r="CC190" i="4"/>
  <c r="CD190" i="4"/>
  <c r="CE190" i="4"/>
  <c r="CF190" i="4"/>
  <c r="CG190" i="4"/>
  <c r="CH190" i="4"/>
  <c r="CI190" i="4"/>
  <c r="CJ190" i="4"/>
  <c r="CK190" i="4"/>
  <c r="CL190" i="4"/>
  <c r="CM190" i="4"/>
  <c r="CN190" i="4"/>
  <c r="CO190" i="4"/>
  <c r="CP190" i="4"/>
  <c r="CQ190" i="4"/>
  <c r="CR190" i="4"/>
  <c r="CS190" i="4"/>
  <c r="CT190" i="4"/>
  <c r="CU190" i="4"/>
  <c r="CV190" i="4"/>
  <c r="CW190" i="4"/>
  <c r="CX190" i="4"/>
  <c r="D191" i="4"/>
  <c r="E191" i="4"/>
  <c r="F191" i="4"/>
  <c r="G191" i="4"/>
  <c r="H191" i="4"/>
  <c r="I191" i="4"/>
  <c r="J191" i="4"/>
  <c r="K191" i="4"/>
  <c r="L191" i="4"/>
  <c r="M191" i="4"/>
  <c r="N191" i="4"/>
  <c r="O191" i="4"/>
  <c r="P191" i="4"/>
  <c r="Q191" i="4"/>
  <c r="R191" i="4"/>
  <c r="S191" i="4"/>
  <c r="T191" i="4"/>
  <c r="U191" i="4"/>
  <c r="V191" i="4"/>
  <c r="W191" i="4"/>
  <c r="X191" i="4"/>
  <c r="Y191" i="4"/>
  <c r="Z191" i="4"/>
  <c r="AA191" i="4"/>
  <c r="AB191" i="4"/>
  <c r="AC191" i="4"/>
  <c r="AD191" i="4"/>
  <c r="AE191" i="4"/>
  <c r="AF191" i="4"/>
  <c r="AG191" i="4"/>
  <c r="AH191" i="4"/>
  <c r="AI191" i="4"/>
  <c r="AJ191" i="4"/>
  <c r="AK191" i="4"/>
  <c r="AL191" i="4"/>
  <c r="AM191" i="4"/>
  <c r="AN191" i="4"/>
  <c r="AO191" i="4"/>
  <c r="AP191" i="4"/>
  <c r="AQ191" i="4"/>
  <c r="AR191" i="4"/>
  <c r="AS191" i="4"/>
  <c r="AT191" i="4"/>
  <c r="AU191" i="4"/>
  <c r="AV191" i="4"/>
  <c r="AW191" i="4"/>
  <c r="AX191" i="4"/>
  <c r="AY191" i="4"/>
  <c r="AZ191" i="4"/>
  <c r="BA191" i="4"/>
  <c r="BB191" i="4"/>
  <c r="BC191" i="4"/>
  <c r="BD191" i="4"/>
  <c r="BE191" i="4"/>
  <c r="BF191" i="4"/>
  <c r="BG191" i="4"/>
  <c r="BH191" i="4"/>
  <c r="BI191" i="4"/>
  <c r="BJ191" i="4"/>
  <c r="BK191" i="4"/>
  <c r="BL191" i="4"/>
  <c r="BM191" i="4"/>
  <c r="BN191" i="4"/>
  <c r="BO191" i="4"/>
  <c r="BP191" i="4"/>
  <c r="BQ191" i="4"/>
  <c r="BR191" i="4"/>
  <c r="BS191" i="4"/>
  <c r="BT191" i="4"/>
  <c r="BU191" i="4"/>
  <c r="BV191" i="4"/>
  <c r="BW191" i="4"/>
  <c r="BX191" i="4"/>
  <c r="BY191" i="4"/>
  <c r="BZ191" i="4"/>
  <c r="CA191" i="4"/>
  <c r="CB191" i="4"/>
  <c r="CC191" i="4"/>
  <c r="CD191" i="4"/>
  <c r="CE191" i="4"/>
  <c r="CF191" i="4"/>
  <c r="CG191" i="4"/>
  <c r="CH191" i="4"/>
  <c r="CI191" i="4"/>
  <c r="CJ191" i="4"/>
  <c r="CK191" i="4"/>
  <c r="CL191" i="4"/>
  <c r="CM191" i="4"/>
  <c r="CN191" i="4"/>
  <c r="CO191" i="4"/>
  <c r="CP191" i="4"/>
  <c r="CQ191" i="4"/>
  <c r="CR191" i="4"/>
  <c r="CS191" i="4"/>
  <c r="CT191" i="4"/>
  <c r="CU191" i="4"/>
  <c r="CV191" i="4"/>
  <c r="CW191" i="4"/>
  <c r="CX191" i="4"/>
  <c r="D192" i="4"/>
  <c r="E192" i="4"/>
  <c r="F192" i="4"/>
  <c r="G192" i="4"/>
  <c r="H192" i="4"/>
  <c r="I192" i="4"/>
  <c r="J192" i="4"/>
  <c r="K192" i="4"/>
  <c r="L192" i="4"/>
  <c r="M192" i="4"/>
  <c r="N192" i="4"/>
  <c r="O192" i="4"/>
  <c r="P192" i="4"/>
  <c r="Q192" i="4"/>
  <c r="R192" i="4"/>
  <c r="S192" i="4"/>
  <c r="T192" i="4"/>
  <c r="U192" i="4"/>
  <c r="V192" i="4"/>
  <c r="W192" i="4"/>
  <c r="X192" i="4"/>
  <c r="Y192" i="4"/>
  <c r="Z192" i="4"/>
  <c r="AA192" i="4"/>
  <c r="AB192" i="4"/>
  <c r="AC192" i="4"/>
  <c r="AD192" i="4"/>
  <c r="AE192" i="4"/>
  <c r="AF192" i="4"/>
  <c r="AG192" i="4"/>
  <c r="AH192" i="4"/>
  <c r="AI192" i="4"/>
  <c r="AJ192" i="4"/>
  <c r="AK192" i="4"/>
  <c r="AL192" i="4"/>
  <c r="AM192" i="4"/>
  <c r="AN192" i="4"/>
  <c r="AO192" i="4"/>
  <c r="AP192" i="4"/>
  <c r="AQ192" i="4"/>
  <c r="AR192" i="4"/>
  <c r="AS192" i="4"/>
  <c r="AT192" i="4"/>
  <c r="AU192" i="4"/>
  <c r="AV192" i="4"/>
  <c r="AW192" i="4"/>
  <c r="AX192" i="4"/>
  <c r="AY192" i="4"/>
  <c r="AZ192" i="4"/>
  <c r="BA192" i="4"/>
  <c r="BB192" i="4"/>
  <c r="BC192" i="4"/>
  <c r="BD192" i="4"/>
  <c r="BE192" i="4"/>
  <c r="BF192" i="4"/>
  <c r="BG192" i="4"/>
  <c r="BH192" i="4"/>
  <c r="BI192" i="4"/>
  <c r="BJ192" i="4"/>
  <c r="BK192" i="4"/>
  <c r="BL192" i="4"/>
  <c r="BM192" i="4"/>
  <c r="BN192" i="4"/>
  <c r="BO192" i="4"/>
  <c r="BP192" i="4"/>
  <c r="BQ192" i="4"/>
  <c r="BR192" i="4"/>
  <c r="BS192" i="4"/>
  <c r="BT192" i="4"/>
  <c r="BU192" i="4"/>
  <c r="BV192" i="4"/>
  <c r="BW192" i="4"/>
  <c r="BX192" i="4"/>
  <c r="BY192" i="4"/>
  <c r="BZ192" i="4"/>
  <c r="CA192" i="4"/>
  <c r="CB192" i="4"/>
  <c r="CC192" i="4"/>
  <c r="CD192" i="4"/>
  <c r="CE192" i="4"/>
  <c r="CF192" i="4"/>
  <c r="CG192" i="4"/>
  <c r="CH192" i="4"/>
  <c r="CI192" i="4"/>
  <c r="CJ192" i="4"/>
  <c r="CK192" i="4"/>
  <c r="CL192" i="4"/>
  <c r="CM192" i="4"/>
  <c r="CN192" i="4"/>
  <c r="CO192" i="4"/>
  <c r="CP192" i="4"/>
  <c r="CQ192" i="4"/>
  <c r="CR192" i="4"/>
  <c r="CS192" i="4"/>
  <c r="CT192" i="4"/>
  <c r="CU192" i="4"/>
  <c r="CV192" i="4"/>
  <c r="CW192" i="4"/>
  <c r="CX192" i="4"/>
  <c r="D193" i="4"/>
  <c r="E193" i="4"/>
  <c r="F193" i="4"/>
  <c r="G193" i="4"/>
  <c r="H193" i="4"/>
  <c r="I193" i="4"/>
  <c r="J193" i="4"/>
  <c r="K193" i="4"/>
  <c r="L193" i="4"/>
  <c r="M193" i="4"/>
  <c r="N193" i="4"/>
  <c r="O193" i="4"/>
  <c r="P193" i="4"/>
  <c r="Q193" i="4"/>
  <c r="R193" i="4"/>
  <c r="S193" i="4"/>
  <c r="T193" i="4"/>
  <c r="U193" i="4"/>
  <c r="V193" i="4"/>
  <c r="W193" i="4"/>
  <c r="X193" i="4"/>
  <c r="Y193" i="4"/>
  <c r="Z193" i="4"/>
  <c r="AA193" i="4"/>
  <c r="AB193" i="4"/>
  <c r="AC193" i="4"/>
  <c r="AD193" i="4"/>
  <c r="AE193" i="4"/>
  <c r="AF193" i="4"/>
  <c r="AG193" i="4"/>
  <c r="AH193" i="4"/>
  <c r="AI193" i="4"/>
  <c r="AJ193" i="4"/>
  <c r="AK193" i="4"/>
  <c r="AL193" i="4"/>
  <c r="AM193" i="4"/>
  <c r="AN193" i="4"/>
  <c r="AO193" i="4"/>
  <c r="AP193" i="4"/>
  <c r="AQ193" i="4"/>
  <c r="AR193" i="4"/>
  <c r="AS193" i="4"/>
  <c r="AT193" i="4"/>
  <c r="AU193" i="4"/>
  <c r="AV193" i="4"/>
  <c r="AW193" i="4"/>
  <c r="AX193" i="4"/>
  <c r="AY193" i="4"/>
  <c r="AZ193" i="4"/>
  <c r="BA193" i="4"/>
  <c r="BB193" i="4"/>
  <c r="BC193" i="4"/>
  <c r="BD193" i="4"/>
  <c r="BE193" i="4"/>
  <c r="BF193" i="4"/>
  <c r="BG193" i="4"/>
  <c r="BH193" i="4"/>
  <c r="BI193" i="4"/>
  <c r="BJ193" i="4"/>
  <c r="BK193" i="4"/>
  <c r="BL193" i="4"/>
  <c r="BM193" i="4"/>
  <c r="BN193" i="4"/>
  <c r="BO193" i="4"/>
  <c r="BP193" i="4"/>
  <c r="BQ193" i="4"/>
  <c r="BR193" i="4"/>
  <c r="BS193" i="4"/>
  <c r="BT193" i="4"/>
  <c r="BU193" i="4"/>
  <c r="BV193" i="4"/>
  <c r="BW193" i="4"/>
  <c r="BX193" i="4"/>
  <c r="BY193" i="4"/>
  <c r="BZ193" i="4"/>
  <c r="CA193" i="4"/>
  <c r="CB193" i="4"/>
  <c r="CC193" i="4"/>
  <c r="CD193" i="4"/>
  <c r="CE193" i="4"/>
  <c r="CF193" i="4"/>
  <c r="CG193" i="4"/>
  <c r="CH193" i="4"/>
  <c r="CI193" i="4"/>
  <c r="CJ193" i="4"/>
  <c r="CK193" i="4"/>
  <c r="CL193" i="4"/>
  <c r="CM193" i="4"/>
  <c r="CN193" i="4"/>
  <c r="CO193" i="4"/>
  <c r="CP193" i="4"/>
  <c r="CQ193" i="4"/>
  <c r="CR193" i="4"/>
  <c r="CS193" i="4"/>
  <c r="CT193" i="4"/>
  <c r="CU193" i="4"/>
  <c r="CV193" i="4"/>
  <c r="CW193" i="4"/>
  <c r="CX193" i="4"/>
  <c r="D194" i="4"/>
  <c r="E194" i="4"/>
  <c r="F194" i="4"/>
  <c r="G194" i="4"/>
  <c r="H194" i="4"/>
  <c r="I194" i="4"/>
  <c r="J194" i="4"/>
  <c r="K194" i="4"/>
  <c r="L194" i="4"/>
  <c r="M194" i="4"/>
  <c r="N194" i="4"/>
  <c r="O194" i="4"/>
  <c r="P194" i="4"/>
  <c r="Q194" i="4"/>
  <c r="R194" i="4"/>
  <c r="S194" i="4"/>
  <c r="T194" i="4"/>
  <c r="U194" i="4"/>
  <c r="V194" i="4"/>
  <c r="W194" i="4"/>
  <c r="X194" i="4"/>
  <c r="Y194" i="4"/>
  <c r="Z194" i="4"/>
  <c r="AA194" i="4"/>
  <c r="AB194" i="4"/>
  <c r="AC194" i="4"/>
  <c r="AD194" i="4"/>
  <c r="AE194" i="4"/>
  <c r="AF194" i="4"/>
  <c r="AG194" i="4"/>
  <c r="AH194" i="4"/>
  <c r="AI194" i="4"/>
  <c r="AJ194" i="4"/>
  <c r="AK194" i="4"/>
  <c r="AL194" i="4"/>
  <c r="AM194" i="4"/>
  <c r="AN194" i="4"/>
  <c r="AO194" i="4"/>
  <c r="AP194" i="4"/>
  <c r="AQ194" i="4"/>
  <c r="AR194" i="4"/>
  <c r="AS194" i="4"/>
  <c r="AT194" i="4"/>
  <c r="AU194" i="4"/>
  <c r="AV194" i="4"/>
  <c r="AW194" i="4"/>
  <c r="AX194" i="4"/>
  <c r="AY194" i="4"/>
  <c r="AZ194" i="4"/>
  <c r="BA194" i="4"/>
  <c r="BB194" i="4"/>
  <c r="BC194" i="4"/>
  <c r="BD194" i="4"/>
  <c r="BE194" i="4"/>
  <c r="BF194" i="4"/>
  <c r="BG194" i="4"/>
  <c r="BH194" i="4"/>
  <c r="BI194" i="4"/>
  <c r="BJ194" i="4"/>
  <c r="BK194" i="4"/>
  <c r="BL194" i="4"/>
  <c r="BM194" i="4"/>
  <c r="BN194" i="4"/>
  <c r="BO194" i="4"/>
  <c r="BP194" i="4"/>
  <c r="BQ194" i="4"/>
  <c r="BR194" i="4"/>
  <c r="BS194" i="4"/>
  <c r="BT194" i="4"/>
  <c r="BU194" i="4"/>
  <c r="BV194" i="4"/>
  <c r="BW194" i="4"/>
  <c r="BX194" i="4"/>
  <c r="BY194" i="4"/>
  <c r="BZ194" i="4"/>
  <c r="CA194" i="4"/>
  <c r="CB194" i="4"/>
  <c r="CC194" i="4"/>
  <c r="CD194" i="4"/>
  <c r="CE194" i="4"/>
  <c r="CF194" i="4"/>
  <c r="CG194" i="4"/>
  <c r="CH194" i="4"/>
  <c r="CI194" i="4"/>
  <c r="CJ194" i="4"/>
  <c r="CK194" i="4"/>
  <c r="CL194" i="4"/>
  <c r="CM194" i="4"/>
  <c r="CN194" i="4"/>
  <c r="CO194" i="4"/>
  <c r="CP194" i="4"/>
  <c r="CQ194" i="4"/>
  <c r="CR194" i="4"/>
  <c r="CS194" i="4"/>
  <c r="CT194" i="4"/>
  <c r="CU194" i="4"/>
  <c r="CV194" i="4"/>
  <c r="CW194" i="4"/>
  <c r="CX194" i="4"/>
  <c r="D195" i="4"/>
  <c r="E195" i="4"/>
  <c r="F195" i="4"/>
  <c r="G195" i="4"/>
  <c r="H195" i="4"/>
  <c r="I195" i="4"/>
  <c r="J195" i="4"/>
  <c r="K195" i="4"/>
  <c r="L195" i="4"/>
  <c r="M195" i="4"/>
  <c r="N195" i="4"/>
  <c r="O195" i="4"/>
  <c r="P195" i="4"/>
  <c r="Q195" i="4"/>
  <c r="R195" i="4"/>
  <c r="S195" i="4"/>
  <c r="T195" i="4"/>
  <c r="U195" i="4"/>
  <c r="V195" i="4"/>
  <c r="W195" i="4"/>
  <c r="X195" i="4"/>
  <c r="Y195" i="4"/>
  <c r="Z195" i="4"/>
  <c r="AA195" i="4"/>
  <c r="AB195" i="4"/>
  <c r="AC195" i="4"/>
  <c r="AD195" i="4"/>
  <c r="AE195" i="4"/>
  <c r="AF195" i="4"/>
  <c r="AG195" i="4"/>
  <c r="AH195" i="4"/>
  <c r="AI195" i="4"/>
  <c r="AJ195" i="4"/>
  <c r="AK195" i="4"/>
  <c r="AL195" i="4"/>
  <c r="AM195" i="4"/>
  <c r="AN195" i="4"/>
  <c r="AO195" i="4"/>
  <c r="AP195" i="4"/>
  <c r="AQ195" i="4"/>
  <c r="AR195" i="4"/>
  <c r="AS195" i="4"/>
  <c r="AT195" i="4"/>
  <c r="AU195" i="4"/>
  <c r="AV195" i="4"/>
  <c r="AW195" i="4"/>
  <c r="AX195" i="4"/>
  <c r="AY195" i="4"/>
  <c r="AZ195" i="4"/>
  <c r="BA195" i="4"/>
  <c r="BB195" i="4"/>
  <c r="BC195" i="4"/>
  <c r="BD195" i="4"/>
  <c r="BE195" i="4"/>
  <c r="BF195" i="4"/>
  <c r="BG195" i="4"/>
  <c r="BH195" i="4"/>
  <c r="BI195" i="4"/>
  <c r="BJ195" i="4"/>
  <c r="BK195" i="4"/>
  <c r="BL195" i="4"/>
  <c r="BM195" i="4"/>
  <c r="BN195" i="4"/>
  <c r="BO195" i="4"/>
  <c r="BP195" i="4"/>
  <c r="BQ195" i="4"/>
  <c r="BR195" i="4"/>
  <c r="BS195" i="4"/>
  <c r="BT195" i="4"/>
  <c r="BU195" i="4"/>
  <c r="BV195" i="4"/>
  <c r="BW195" i="4"/>
  <c r="BX195" i="4"/>
  <c r="BY195" i="4"/>
  <c r="BZ195" i="4"/>
  <c r="CA195" i="4"/>
  <c r="CB195" i="4"/>
  <c r="CC195" i="4"/>
  <c r="CD195" i="4"/>
  <c r="CE195" i="4"/>
  <c r="CF195" i="4"/>
  <c r="CG195" i="4"/>
  <c r="CH195" i="4"/>
  <c r="CI195" i="4"/>
  <c r="CJ195" i="4"/>
  <c r="CK195" i="4"/>
  <c r="CL195" i="4"/>
  <c r="CM195" i="4"/>
  <c r="CN195" i="4"/>
  <c r="CO195" i="4"/>
  <c r="CP195" i="4"/>
  <c r="CQ195" i="4"/>
  <c r="CR195" i="4"/>
  <c r="CS195" i="4"/>
  <c r="CT195" i="4"/>
  <c r="CU195" i="4"/>
  <c r="CV195" i="4"/>
  <c r="CW195" i="4"/>
  <c r="CX195" i="4"/>
  <c r="D196" i="4"/>
  <c r="E196" i="4"/>
  <c r="F196" i="4"/>
  <c r="G196" i="4"/>
  <c r="H196" i="4"/>
  <c r="I196" i="4"/>
  <c r="J196" i="4"/>
  <c r="K196" i="4"/>
  <c r="L196" i="4"/>
  <c r="M196" i="4"/>
  <c r="N196" i="4"/>
  <c r="O196" i="4"/>
  <c r="P196" i="4"/>
  <c r="Q196" i="4"/>
  <c r="R196" i="4"/>
  <c r="S196" i="4"/>
  <c r="T196" i="4"/>
  <c r="U196" i="4"/>
  <c r="V196" i="4"/>
  <c r="W196" i="4"/>
  <c r="X196" i="4"/>
  <c r="Y196" i="4"/>
  <c r="Z196" i="4"/>
  <c r="AA196" i="4"/>
  <c r="AB196" i="4"/>
  <c r="AC196" i="4"/>
  <c r="AD196" i="4"/>
  <c r="AE196" i="4"/>
  <c r="AF196" i="4"/>
  <c r="AG196" i="4"/>
  <c r="AH196" i="4"/>
  <c r="AI196" i="4"/>
  <c r="AJ196" i="4"/>
  <c r="AK196" i="4"/>
  <c r="AL196" i="4"/>
  <c r="AM196" i="4"/>
  <c r="AN196" i="4"/>
  <c r="AO196" i="4"/>
  <c r="AP196" i="4"/>
  <c r="AQ196" i="4"/>
  <c r="AR196" i="4"/>
  <c r="AS196" i="4"/>
  <c r="AT196" i="4"/>
  <c r="AU196" i="4"/>
  <c r="AV196" i="4"/>
  <c r="AW196" i="4"/>
  <c r="AX196" i="4"/>
  <c r="AY196" i="4"/>
  <c r="AZ196" i="4"/>
  <c r="BA196" i="4"/>
  <c r="BB196" i="4"/>
  <c r="BC196" i="4"/>
  <c r="BD196" i="4"/>
  <c r="BE196" i="4"/>
  <c r="BF196" i="4"/>
  <c r="BG196" i="4"/>
  <c r="BH196" i="4"/>
  <c r="BI196" i="4"/>
  <c r="BJ196" i="4"/>
  <c r="BK196" i="4"/>
  <c r="BL196" i="4"/>
  <c r="BM196" i="4"/>
  <c r="BN196" i="4"/>
  <c r="BO196" i="4"/>
  <c r="BP196" i="4"/>
  <c r="BQ196" i="4"/>
  <c r="BR196" i="4"/>
  <c r="BS196" i="4"/>
  <c r="BT196" i="4"/>
  <c r="BU196" i="4"/>
  <c r="BV196" i="4"/>
  <c r="BW196" i="4"/>
  <c r="BX196" i="4"/>
  <c r="BY196" i="4"/>
  <c r="BZ196" i="4"/>
  <c r="CA196" i="4"/>
  <c r="CB196" i="4"/>
  <c r="CC196" i="4"/>
  <c r="CD196" i="4"/>
  <c r="CE196" i="4"/>
  <c r="CF196" i="4"/>
  <c r="CG196" i="4"/>
  <c r="CH196" i="4"/>
  <c r="CI196" i="4"/>
  <c r="CJ196" i="4"/>
  <c r="CK196" i="4"/>
  <c r="CL196" i="4"/>
  <c r="CM196" i="4"/>
  <c r="CN196" i="4"/>
  <c r="CO196" i="4"/>
  <c r="CP196" i="4"/>
  <c r="CQ196" i="4"/>
  <c r="CR196" i="4"/>
  <c r="CS196" i="4"/>
  <c r="CT196" i="4"/>
  <c r="CU196" i="4"/>
  <c r="CV196" i="4"/>
  <c r="CW196" i="4"/>
  <c r="CX196" i="4"/>
  <c r="D197" i="4"/>
  <c r="E197" i="4"/>
  <c r="F197" i="4"/>
  <c r="G197" i="4"/>
  <c r="H197" i="4"/>
  <c r="I197" i="4"/>
  <c r="J197" i="4"/>
  <c r="K197" i="4"/>
  <c r="L197" i="4"/>
  <c r="M197" i="4"/>
  <c r="N197" i="4"/>
  <c r="O197" i="4"/>
  <c r="P197" i="4"/>
  <c r="Q197" i="4"/>
  <c r="R197" i="4"/>
  <c r="S197" i="4"/>
  <c r="T197" i="4"/>
  <c r="U197" i="4"/>
  <c r="V197" i="4"/>
  <c r="W197" i="4"/>
  <c r="X197" i="4"/>
  <c r="Y197" i="4"/>
  <c r="Z197" i="4"/>
  <c r="AA197" i="4"/>
  <c r="AB197" i="4"/>
  <c r="AC197" i="4"/>
  <c r="AD197" i="4"/>
  <c r="AE197" i="4"/>
  <c r="AF197" i="4"/>
  <c r="AG197" i="4"/>
  <c r="AH197" i="4"/>
  <c r="AI197" i="4"/>
  <c r="AJ197" i="4"/>
  <c r="AK197" i="4"/>
  <c r="AL197" i="4"/>
  <c r="AM197" i="4"/>
  <c r="AN197" i="4"/>
  <c r="AO197" i="4"/>
  <c r="AP197" i="4"/>
  <c r="AQ197" i="4"/>
  <c r="AR197" i="4"/>
  <c r="AS197" i="4"/>
  <c r="AT197" i="4"/>
  <c r="AU197" i="4"/>
  <c r="AV197" i="4"/>
  <c r="AW197" i="4"/>
  <c r="AX197" i="4"/>
  <c r="AY197" i="4"/>
  <c r="AZ197" i="4"/>
  <c r="BA197" i="4"/>
  <c r="BB197" i="4"/>
  <c r="BC197" i="4"/>
  <c r="BD197" i="4"/>
  <c r="BE197" i="4"/>
  <c r="BF197" i="4"/>
  <c r="BG197" i="4"/>
  <c r="BH197" i="4"/>
  <c r="BI197" i="4"/>
  <c r="BJ197" i="4"/>
  <c r="BK197" i="4"/>
  <c r="BL197" i="4"/>
  <c r="BM197" i="4"/>
  <c r="BN197" i="4"/>
  <c r="BO197" i="4"/>
  <c r="BP197" i="4"/>
  <c r="BQ197" i="4"/>
  <c r="BR197" i="4"/>
  <c r="BS197" i="4"/>
  <c r="BT197" i="4"/>
  <c r="BU197" i="4"/>
  <c r="BV197" i="4"/>
  <c r="BW197" i="4"/>
  <c r="BX197" i="4"/>
  <c r="BY197" i="4"/>
  <c r="BZ197" i="4"/>
  <c r="CA197" i="4"/>
  <c r="CB197" i="4"/>
  <c r="CC197" i="4"/>
  <c r="CD197" i="4"/>
  <c r="CE197" i="4"/>
  <c r="CF197" i="4"/>
  <c r="CG197" i="4"/>
  <c r="CH197" i="4"/>
  <c r="CI197" i="4"/>
  <c r="CJ197" i="4"/>
  <c r="CK197" i="4"/>
  <c r="CL197" i="4"/>
  <c r="CM197" i="4"/>
  <c r="CN197" i="4"/>
  <c r="CO197" i="4"/>
  <c r="CP197" i="4"/>
  <c r="CQ197" i="4"/>
  <c r="CR197" i="4"/>
  <c r="CS197" i="4"/>
  <c r="CT197" i="4"/>
  <c r="CU197" i="4"/>
  <c r="CV197" i="4"/>
  <c r="CW197" i="4"/>
  <c r="CX197" i="4"/>
  <c r="D198" i="4"/>
  <c r="E198" i="4"/>
  <c r="F198" i="4"/>
  <c r="G198" i="4"/>
  <c r="H198" i="4"/>
  <c r="I198" i="4"/>
  <c r="J198" i="4"/>
  <c r="K198" i="4"/>
  <c r="L198" i="4"/>
  <c r="M198" i="4"/>
  <c r="N198" i="4"/>
  <c r="O198" i="4"/>
  <c r="P198" i="4"/>
  <c r="Q198" i="4"/>
  <c r="R198" i="4"/>
  <c r="S198" i="4"/>
  <c r="T198" i="4"/>
  <c r="U198" i="4"/>
  <c r="V198" i="4"/>
  <c r="W198" i="4"/>
  <c r="X198" i="4"/>
  <c r="Y198" i="4"/>
  <c r="Z198" i="4"/>
  <c r="AA198" i="4"/>
  <c r="AB198" i="4"/>
  <c r="AC198" i="4"/>
  <c r="AD198" i="4"/>
  <c r="AE198" i="4"/>
  <c r="AF198" i="4"/>
  <c r="AG198" i="4"/>
  <c r="AH198" i="4"/>
  <c r="AI198" i="4"/>
  <c r="AJ198" i="4"/>
  <c r="AK198" i="4"/>
  <c r="AL198" i="4"/>
  <c r="AM198" i="4"/>
  <c r="AN198" i="4"/>
  <c r="AO198" i="4"/>
  <c r="AP198" i="4"/>
  <c r="AQ198" i="4"/>
  <c r="AR198" i="4"/>
  <c r="AS198" i="4"/>
  <c r="AT198" i="4"/>
  <c r="AU198" i="4"/>
  <c r="AV198" i="4"/>
  <c r="AW198" i="4"/>
  <c r="AX198" i="4"/>
  <c r="AY198" i="4"/>
  <c r="AZ198" i="4"/>
  <c r="BA198" i="4"/>
  <c r="BB198" i="4"/>
  <c r="BC198" i="4"/>
  <c r="BD198" i="4"/>
  <c r="BE198" i="4"/>
  <c r="BF198" i="4"/>
  <c r="BG198" i="4"/>
  <c r="BH198" i="4"/>
  <c r="BI198" i="4"/>
  <c r="BJ198" i="4"/>
  <c r="BK198" i="4"/>
  <c r="BL198" i="4"/>
  <c r="BM198" i="4"/>
  <c r="BN198" i="4"/>
  <c r="BO198" i="4"/>
  <c r="BP198" i="4"/>
  <c r="BQ198" i="4"/>
  <c r="BR198" i="4"/>
  <c r="BS198" i="4"/>
  <c r="BT198" i="4"/>
  <c r="BU198" i="4"/>
  <c r="BV198" i="4"/>
  <c r="BW198" i="4"/>
  <c r="BX198" i="4"/>
  <c r="BY198" i="4"/>
  <c r="BZ198" i="4"/>
  <c r="CA198" i="4"/>
  <c r="CB198" i="4"/>
  <c r="CC198" i="4"/>
  <c r="CD198" i="4"/>
  <c r="CE198" i="4"/>
  <c r="CF198" i="4"/>
  <c r="CG198" i="4"/>
  <c r="CH198" i="4"/>
  <c r="CI198" i="4"/>
  <c r="CJ198" i="4"/>
  <c r="CK198" i="4"/>
  <c r="CL198" i="4"/>
  <c r="CM198" i="4"/>
  <c r="CN198" i="4"/>
  <c r="CO198" i="4"/>
  <c r="CP198" i="4"/>
  <c r="CQ198" i="4"/>
  <c r="CR198" i="4"/>
  <c r="CS198" i="4"/>
  <c r="CT198" i="4"/>
  <c r="CU198" i="4"/>
  <c r="CV198" i="4"/>
  <c r="CW198" i="4"/>
  <c r="CX198" i="4"/>
  <c r="D199" i="4"/>
  <c r="E199" i="4"/>
  <c r="F199" i="4"/>
  <c r="G199" i="4"/>
  <c r="H199" i="4"/>
  <c r="I199" i="4"/>
  <c r="J199" i="4"/>
  <c r="K199" i="4"/>
  <c r="L199" i="4"/>
  <c r="M199" i="4"/>
  <c r="N199" i="4"/>
  <c r="O199" i="4"/>
  <c r="P199" i="4"/>
  <c r="Q199" i="4"/>
  <c r="R199" i="4"/>
  <c r="S199" i="4"/>
  <c r="T199" i="4"/>
  <c r="U199" i="4"/>
  <c r="V199" i="4"/>
  <c r="W199" i="4"/>
  <c r="X199" i="4"/>
  <c r="Y199" i="4"/>
  <c r="Z199" i="4"/>
  <c r="AA199" i="4"/>
  <c r="AB199" i="4"/>
  <c r="AC199" i="4"/>
  <c r="AD199" i="4"/>
  <c r="AE199" i="4"/>
  <c r="AF199" i="4"/>
  <c r="AG199" i="4"/>
  <c r="AH199" i="4"/>
  <c r="AI199" i="4"/>
  <c r="AJ199" i="4"/>
  <c r="AK199" i="4"/>
  <c r="AL199" i="4"/>
  <c r="AM199" i="4"/>
  <c r="AN199" i="4"/>
  <c r="AO199" i="4"/>
  <c r="AP199" i="4"/>
  <c r="AQ199" i="4"/>
  <c r="AR199" i="4"/>
  <c r="AS199" i="4"/>
  <c r="AT199" i="4"/>
  <c r="AU199" i="4"/>
  <c r="AV199" i="4"/>
  <c r="AW199" i="4"/>
  <c r="AX199" i="4"/>
  <c r="AY199" i="4"/>
  <c r="AZ199" i="4"/>
  <c r="BA199" i="4"/>
  <c r="BB199" i="4"/>
  <c r="BC199" i="4"/>
  <c r="BD199" i="4"/>
  <c r="BE199" i="4"/>
  <c r="BF199" i="4"/>
  <c r="BG199" i="4"/>
  <c r="BH199" i="4"/>
  <c r="BI199" i="4"/>
  <c r="BJ199" i="4"/>
  <c r="BK199" i="4"/>
  <c r="BL199" i="4"/>
  <c r="BM199" i="4"/>
  <c r="BN199" i="4"/>
  <c r="BO199" i="4"/>
  <c r="BP199" i="4"/>
  <c r="BQ199" i="4"/>
  <c r="BR199" i="4"/>
  <c r="BS199" i="4"/>
  <c r="BT199" i="4"/>
  <c r="BU199" i="4"/>
  <c r="BV199" i="4"/>
  <c r="BW199" i="4"/>
  <c r="BX199" i="4"/>
  <c r="BY199" i="4"/>
  <c r="BZ199" i="4"/>
  <c r="CA199" i="4"/>
  <c r="CB199" i="4"/>
  <c r="CC199" i="4"/>
  <c r="CD199" i="4"/>
  <c r="CE199" i="4"/>
  <c r="CF199" i="4"/>
  <c r="CG199" i="4"/>
  <c r="CH199" i="4"/>
  <c r="CI199" i="4"/>
  <c r="CJ199" i="4"/>
  <c r="CK199" i="4"/>
  <c r="CL199" i="4"/>
  <c r="CM199" i="4"/>
  <c r="CN199" i="4"/>
  <c r="CO199" i="4"/>
  <c r="CP199" i="4"/>
  <c r="CQ199" i="4"/>
  <c r="CR199" i="4"/>
  <c r="CS199" i="4"/>
  <c r="CT199" i="4"/>
  <c r="CU199" i="4"/>
  <c r="CV199" i="4"/>
  <c r="CW199" i="4"/>
  <c r="CX199" i="4"/>
  <c r="D200" i="4"/>
  <c r="E200" i="4"/>
  <c r="F200" i="4"/>
  <c r="G200" i="4"/>
  <c r="H200" i="4"/>
  <c r="I200" i="4"/>
  <c r="J200" i="4"/>
  <c r="K200" i="4"/>
  <c r="L200" i="4"/>
  <c r="M200" i="4"/>
  <c r="N200" i="4"/>
  <c r="O200" i="4"/>
  <c r="P200" i="4"/>
  <c r="Q200" i="4"/>
  <c r="R200" i="4"/>
  <c r="S200" i="4"/>
  <c r="T200" i="4"/>
  <c r="U200" i="4"/>
  <c r="V200" i="4"/>
  <c r="W200" i="4"/>
  <c r="X200" i="4"/>
  <c r="Y200" i="4"/>
  <c r="Z200" i="4"/>
  <c r="AA200" i="4"/>
  <c r="AB200" i="4"/>
  <c r="AC200" i="4"/>
  <c r="AD200" i="4"/>
  <c r="AE200" i="4"/>
  <c r="AF200" i="4"/>
  <c r="AG200" i="4"/>
  <c r="AH200" i="4"/>
  <c r="AI200" i="4"/>
  <c r="AJ200" i="4"/>
  <c r="AK200" i="4"/>
  <c r="AL200" i="4"/>
  <c r="AM200" i="4"/>
  <c r="AN200" i="4"/>
  <c r="AO200" i="4"/>
  <c r="AP200" i="4"/>
  <c r="AQ200" i="4"/>
  <c r="AR200" i="4"/>
  <c r="AS200" i="4"/>
  <c r="AT200" i="4"/>
  <c r="AU200" i="4"/>
  <c r="AV200" i="4"/>
  <c r="AW200" i="4"/>
  <c r="AX200" i="4"/>
  <c r="AY200" i="4"/>
  <c r="AZ200" i="4"/>
  <c r="BA200" i="4"/>
  <c r="BB200" i="4"/>
  <c r="BC200" i="4"/>
  <c r="BD200" i="4"/>
  <c r="BE200" i="4"/>
  <c r="BF200" i="4"/>
  <c r="BG200" i="4"/>
  <c r="BH200" i="4"/>
  <c r="BI200" i="4"/>
  <c r="BJ200" i="4"/>
  <c r="BK200" i="4"/>
  <c r="BL200" i="4"/>
  <c r="BM200" i="4"/>
  <c r="BN200" i="4"/>
  <c r="BO200" i="4"/>
  <c r="BP200" i="4"/>
  <c r="BQ200" i="4"/>
  <c r="BR200" i="4"/>
  <c r="BS200" i="4"/>
  <c r="BT200" i="4"/>
  <c r="BU200" i="4"/>
  <c r="BV200" i="4"/>
  <c r="BW200" i="4"/>
  <c r="BX200" i="4"/>
  <c r="BY200" i="4"/>
  <c r="BZ200" i="4"/>
  <c r="CA200" i="4"/>
  <c r="CB200" i="4"/>
  <c r="CC200" i="4"/>
  <c r="CD200" i="4"/>
  <c r="CE200" i="4"/>
  <c r="CF200" i="4"/>
  <c r="CG200" i="4"/>
  <c r="CH200" i="4"/>
  <c r="CI200" i="4"/>
  <c r="CJ200" i="4"/>
  <c r="CK200" i="4"/>
  <c r="CL200" i="4"/>
  <c r="CM200" i="4"/>
  <c r="CN200" i="4"/>
  <c r="CO200" i="4"/>
  <c r="CP200" i="4"/>
  <c r="CQ200" i="4"/>
  <c r="CR200" i="4"/>
  <c r="CS200" i="4"/>
  <c r="CT200" i="4"/>
  <c r="CU200" i="4"/>
  <c r="CV200" i="4"/>
  <c r="CW200" i="4"/>
  <c r="CX200" i="4"/>
  <c r="D201" i="4"/>
  <c r="E201" i="4"/>
  <c r="F201" i="4"/>
  <c r="G201" i="4"/>
  <c r="H201" i="4"/>
  <c r="I201" i="4"/>
  <c r="J201" i="4"/>
  <c r="K201" i="4"/>
  <c r="L201" i="4"/>
  <c r="M201" i="4"/>
  <c r="N201" i="4"/>
  <c r="O201" i="4"/>
  <c r="P201" i="4"/>
  <c r="Q201" i="4"/>
  <c r="R201" i="4"/>
  <c r="S201" i="4"/>
  <c r="T201" i="4"/>
  <c r="U201" i="4"/>
  <c r="V201" i="4"/>
  <c r="W201" i="4"/>
  <c r="X201" i="4"/>
  <c r="Y201" i="4"/>
  <c r="Z201" i="4"/>
  <c r="AA201" i="4"/>
  <c r="AB201" i="4"/>
  <c r="AC201" i="4"/>
  <c r="AD201" i="4"/>
  <c r="AE201" i="4"/>
  <c r="AF201" i="4"/>
  <c r="AG201" i="4"/>
  <c r="AH201" i="4"/>
  <c r="AI201" i="4"/>
  <c r="AJ201" i="4"/>
  <c r="AK201" i="4"/>
  <c r="AL201" i="4"/>
  <c r="AM201" i="4"/>
  <c r="AN201" i="4"/>
  <c r="AO201" i="4"/>
  <c r="AP201" i="4"/>
  <c r="AQ201" i="4"/>
  <c r="AR201" i="4"/>
  <c r="AS201" i="4"/>
  <c r="AT201" i="4"/>
  <c r="AU201" i="4"/>
  <c r="AV201" i="4"/>
  <c r="AW201" i="4"/>
  <c r="AX201" i="4"/>
  <c r="AY201" i="4"/>
  <c r="AZ201" i="4"/>
  <c r="BA201" i="4"/>
  <c r="BB201" i="4"/>
  <c r="BC201" i="4"/>
  <c r="BD201" i="4"/>
  <c r="BE201" i="4"/>
  <c r="BF201" i="4"/>
  <c r="BG201" i="4"/>
  <c r="BH201" i="4"/>
  <c r="BI201" i="4"/>
  <c r="BJ201" i="4"/>
  <c r="BK201" i="4"/>
  <c r="BL201" i="4"/>
  <c r="BM201" i="4"/>
  <c r="BN201" i="4"/>
  <c r="BO201" i="4"/>
  <c r="BP201" i="4"/>
  <c r="BQ201" i="4"/>
  <c r="BR201" i="4"/>
  <c r="BS201" i="4"/>
  <c r="BT201" i="4"/>
  <c r="BU201" i="4"/>
  <c r="BV201" i="4"/>
  <c r="BW201" i="4"/>
  <c r="BX201" i="4"/>
  <c r="BY201" i="4"/>
  <c r="BZ201" i="4"/>
  <c r="CA201" i="4"/>
  <c r="CB201" i="4"/>
  <c r="CC201" i="4"/>
  <c r="CD201" i="4"/>
  <c r="CE201" i="4"/>
  <c r="CF201" i="4"/>
  <c r="CG201" i="4"/>
  <c r="CH201" i="4"/>
  <c r="CI201" i="4"/>
  <c r="CJ201" i="4"/>
  <c r="CK201" i="4"/>
  <c r="CL201" i="4"/>
  <c r="CM201" i="4"/>
  <c r="CN201" i="4"/>
  <c r="CO201" i="4"/>
  <c r="CP201" i="4"/>
  <c r="CQ201" i="4"/>
  <c r="CR201" i="4"/>
  <c r="CS201" i="4"/>
  <c r="CT201" i="4"/>
  <c r="CU201" i="4"/>
  <c r="CV201" i="4"/>
  <c r="CW201" i="4"/>
  <c r="CX201" i="4"/>
  <c r="D202" i="4"/>
  <c r="E202" i="4"/>
  <c r="F202" i="4"/>
  <c r="G202" i="4"/>
  <c r="H202" i="4"/>
  <c r="I202" i="4"/>
  <c r="J202" i="4"/>
  <c r="K202" i="4"/>
  <c r="L202" i="4"/>
  <c r="M202" i="4"/>
  <c r="N202" i="4"/>
  <c r="O202" i="4"/>
  <c r="P202" i="4"/>
  <c r="Q202" i="4"/>
  <c r="R202" i="4"/>
  <c r="S202" i="4"/>
  <c r="T202" i="4"/>
  <c r="U202" i="4"/>
  <c r="V202" i="4"/>
  <c r="W202" i="4"/>
  <c r="X202" i="4"/>
  <c r="Y202" i="4"/>
  <c r="Z202" i="4"/>
  <c r="AA202" i="4"/>
  <c r="AB202" i="4"/>
  <c r="AC202" i="4"/>
  <c r="AD202" i="4"/>
  <c r="AE202" i="4"/>
  <c r="AF202" i="4"/>
  <c r="AG202" i="4"/>
  <c r="AH202" i="4"/>
  <c r="AI202" i="4"/>
  <c r="AJ202" i="4"/>
  <c r="AK202" i="4"/>
  <c r="AL202" i="4"/>
  <c r="AM202" i="4"/>
  <c r="AN202" i="4"/>
  <c r="AO202" i="4"/>
  <c r="AP202" i="4"/>
  <c r="AQ202" i="4"/>
  <c r="AR202" i="4"/>
  <c r="AS202" i="4"/>
  <c r="AT202" i="4"/>
  <c r="AU202" i="4"/>
  <c r="AV202" i="4"/>
  <c r="AW202" i="4"/>
  <c r="AX202" i="4"/>
  <c r="AY202" i="4"/>
  <c r="AZ202" i="4"/>
  <c r="BA202" i="4"/>
  <c r="BB202" i="4"/>
  <c r="BC202" i="4"/>
  <c r="BD202" i="4"/>
  <c r="BE202" i="4"/>
  <c r="BF202" i="4"/>
  <c r="BG202" i="4"/>
  <c r="BH202" i="4"/>
  <c r="BI202" i="4"/>
  <c r="BJ202" i="4"/>
  <c r="BK202" i="4"/>
  <c r="BL202" i="4"/>
  <c r="BM202" i="4"/>
  <c r="BN202" i="4"/>
  <c r="BO202" i="4"/>
  <c r="BP202" i="4"/>
  <c r="BQ202" i="4"/>
  <c r="BR202" i="4"/>
  <c r="BS202" i="4"/>
  <c r="BT202" i="4"/>
  <c r="BU202" i="4"/>
  <c r="BV202" i="4"/>
  <c r="BW202" i="4"/>
  <c r="BX202" i="4"/>
  <c r="BY202" i="4"/>
  <c r="BZ202" i="4"/>
  <c r="CA202" i="4"/>
  <c r="CB202" i="4"/>
  <c r="CC202" i="4"/>
  <c r="CD202" i="4"/>
  <c r="CE202" i="4"/>
  <c r="CF202" i="4"/>
  <c r="CG202" i="4"/>
  <c r="CH202" i="4"/>
  <c r="CI202" i="4"/>
  <c r="CJ202" i="4"/>
  <c r="CK202" i="4"/>
  <c r="CL202" i="4"/>
  <c r="CM202" i="4"/>
  <c r="CN202" i="4"/>
  <c r="CO202" i="4"/>
  <c r="CP202" i="4"/>
  <c r="CQ202" i="4"/>
  <c r="CR202" i="4"/>
  <c r="CS202" i="4"/>
  <c r="CT202" i="4"/>
  <c r="CU202" i="4"/>
  <c r="CV202" i="4"/>
  <c r="CW202" i="4"/>
  <c r="CX202" i="4"/>
  <c r="D203" i="4"/>
  <c r="E203" i="4"/>
  <c r="F203" i="4"/>
  <c r="G203" i="4"/>
  <c r="H203" i="4"/>
  <c r="I203" i="4"/>
  <c r="J203" i="4"/>
  <c r="K203" i="4"/>
  <c r="L203" i="4"/>
  <c r="M203" i="4"/>
  <c r="N203" i="4"/>
  <c r="O203" i="4"/>
  <c r="P203" i="4"/>
  <c r="Q203" i="4"/>
  <c r="R203" i="4"/>
  <c r="S203" i="4"/>
  <c r="T203" i="4"/>
  <c r="U203" i="4"/>
  <c r="V203" i="4"/>
  <c r="W203" i="4"/>
  <c r="X203" i="4"/>
  <c r="Y203" i="4"/>
  <c r="Z203" i="4"/>
  <c r="AA203" i="4"/>
  <c r="AB203" i="4"/>
  <c r="AC203" i="4"/>
  <c r="AD203" i="4"/>
  <c r="AE203" i="4"/>
  <c r="AF203" i="4"/>
  <c r="AG203" i="4"/>
  <c r="AH203" i="4"/>
  <c r="AI203" i="4"/>
  <c r="AJ203" i="4"/>
  <c r="AK203" i="4"/>
  <c r="AL203" i="4"/>
  <c r="AM203" i="4"/>
  <c r="AN203" i="4"/>
  <c r="AO203" i="4"/>
  <c r="AP203" i="4"/>
  <c r="AQ203" i="4"/>
  <c r="AR203" i="4"/>
  <c r="AS203" i="4"/>
  <c r="AT203" i="4"/>
  <c r="AU203" i="4"/>
  <c r="AV203" i="4"/>
  <c r="AW203" i="4"/>
  <c r="AX203" i="4"/>
  <c r="AY203" i="4"/>
  <c r="AZ203" i="4"/>
  <c r="BA203" i="4"/>
  <c r="BB203" i="4"/>
  <c r="BC203" i="4"/>
  <c r="BD203" i="4"/>
  <c r="BE203" i="4"/>
  <c r="BF203" i="4"/>
  <c r="BG203" i="4"/>
  <c r="BH203" i="4"/>
  <c r="BI203" i="4"/>
  <c r="BJ203" i="4"/>
  <c r="BK203" i="4"/>
  <c r="BL203" i="4"/>
  <c r="BM203" i="4"/>
  <c r="BN203" i="4"/>
  <c r="BO203" i="4"/>
  <c r="BP203" i="4"/>
  <c r="BQ203" i="4"/>
  <c r="BR203" i="4"/>
  <c r="BS203" i="4"/>
  <c r="BT203" i="4"/>
  <c r="BU203" i="4"/>
  <c r="BV203" i="4"/>
  <c r="BW203" i="4"/>
  <c r="BX203" i="4"/>
  <c r="BY203" i="4"/>
  <c r="BZ203" i="4"/>
  <c r="CA203" i="4"/>
  <c r="CB203" i="4"/>
  <c r="CC203" i="4"/>
  <c r="CD203" i="4"/>
  <c r="CE203" i="4"/>
  <c r="CF203" i="4"/>
  <c r="CG203" i="4"/>
  <c r="CH203" i="4"/>
  <c r="CI203" i="4"/>
  <c r="CJ203" i="4"/>
  <c r="CK203" i="4"/>
  <c r="CL203" i="4"/>
  <c r="CM203" i="4"/>
  <c r="CN203" i="4"/>
  <c r="CO203" i="4"/>
  <c r="CP203" i="4"/>
  <c r="CQ203" i="4"/>
  <c r="CR203" i="4"/>
  <c r="CS203" i="4"/>
  <c r="CT203" i="4"/>
  <c r="CU203" i="4"/>
  <c r="CV203" i="4"/>
  <c r="CW203" i="4"/>
  <c r="CX203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104" i="4"/>
  <c r="D325" i="4"/>
  <c r="D324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AJ3" i="4"/>
  <c r="AK3" i="4"/>
  <c r="AL3" i="4"/>
  <c r="AM3" i="4"/>
  <c r="AN3" i="4"/>
  <c r="AO3" i="4"/>
  <c r="AP3" i="4"/>
  <c r="AQ3" i="4"/>
  <c r="AR3" i="4"/>
  <c r="AS3" i="4"/>
  <c r="AT3" i="4"/>
  <c r="AU3" i="4"/>
  <c r="AV3" i="4"/>
  <c r="AW3" i="4"/>
  <c r="AX3" i="4"/>
  <c r="AY3" i="4"/>
  <c r="AZ3" i="4"/>
  <c r="BA3" i="4"/>
  <c r="BB3" i="4"/>
  <c r="BC3" i="4"/>
  <c r="BD3" i="4"/>
  <c r="BE3" i="4"/>
  <c r="BF3" i="4"/>
  <c r="BG3" i="4"/>
  <c r="BH3" i="4"/>
  <c r="BI3" i="4"/>
  <c r="BJ3" i="4"/>
  <c r="BK3" i="4"/>
  <c r="BL3" i="4"/>
  <c r="BM3" i="4"/>
  <c r="BN3" i="4"/>
  <c r="BO3" i="4"/>
  <c r="BP3" i="4"/>
  <c r="BQ3" i="4"/>
  <c r="BR3" i="4"/>
  <c r="BS3" i="4"/>
  <c r="BT3" i="4"/>
  <c r="BU3" i="4"/>
  <c r="BV3" i="4"/>
  <c r="BW3" i="4"/>
  <c r="BX3" i="4"/>
  <c r="BY3" i="4"/>
  <c r="BZ3" i="4"/>
  <c r="CA3" i="4"/>
  <c r="CB3" i="4"/>
  <c r="CC3" i="4"/>
  <c r="CD3" i="4"/>
  <c r="CE3" i="4"/>
  <c r="CF3" i="4"/>
  <c r="CG3" i="4"/>
  <c r="CH3" i="4"/>
  <c r="CI3" i="4"/>
  <c r="CJ3" i="4"/>
  <c r="CK3" i="4"/>
  <c r="CL3" i="4"/>
  <c r="CM3" i="4"/>
  <c r="CN3" i="4"/>
  <c r="CO3" i="4"/>
  <c r="CP3" i="4"/>
  <c r="CQ3" i="4"/>
  <c r="CR3" i="4"/>
  <c r="CS3" i="4"/>
  <c r="CT3" i="4"/>
  <c r="CU3" i="4"/>
  <c r="CV3" i="4"/>
  <c r="CW3" i="4"/>
  <c r="CX3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AG4" i="4"/>
  <c r="AH4" i="4"/>
  <c r="AI4" i="4"/>
  <c r="AJ4" i="4"/>
  <c r="AK4" i="4"/>
  <c r="AL4" i="4"/>
  <c r="AM4" i="4"/>
  <c r="AN4" i="4"/>
  <c r="AO4" i="4"/>
  <c r="AP4" i="4"/>
  <c r="AQ4" i="4"/>
  <c r="AR4" i="4"/>
  <c r="AS4" i="4"/>
  <c r="AT4" i="4"/>
  <c r="AU4" i="4"/>
  <c r="AV4" i="4"/>
  <c r="AW4" i="4"/>
  <c r="AX4" i="4"/>
  <c r="AY4" i="4"/>
  <c r="AZ4" i="4"/>
  <c r="BA4" i="4"/>
  <c r="BB4" i="4"/>
  <c r="BC4" i="4"/>
  <c r="BD4" i="4"/>
  <c r="BE4" i="4"/>
  <c r="BF4" i="4"/>
  <c r="BG4" i="4"/>
  <c r="BH4" i="4"/>
  <c r="BI4" i="4"/>
  <c r="BJ4" i="4"/>
  <c r="BK4" i="4"/>
  <c r="BL4" i="4"/>
  <c r="BM4" i="4"/>
  <c r="BN4" i="4"/>
  <c r="BO4" i="4"/>
  <c r="BP4" i="4"/>
  <c r="BQ4" i="4"/>
  <c r="BR4" i="4"/>
  <c r="BS4" i="4"/>
  <c r="BT4" i="4"/>
  <c r="BU4" i="4"/>
  <c r="BV4" i="4"/>
  <c r="BW4" i="4"/>
  <c r="BX4" i="4"/>
  <c r="BY4" i="4"/>
  <c r="BZ4" i="4"/>
  <c r="CA4" i="4"/>
  <c r="CB4" i="4"/>
  <c r="CC4" i="4"/>
  <c r="CD4" i="4"/>
  <c r="CE4" i="4"/>
  <c r="CF4" i="4"/>
  <c r="CG4" i="4"/>
  <c r="CH4" i="4"/>
  <c r="CI4" i="4"/>
  <c r="CJ4" i="4"/>
  <c r="CK4" i="4"/>
  <c r="CL4" i="4"/>
  <c r="CM4" i="4"/>
  <c r="CN4" i="4"/>
  <c r="CO4" i="4"/>
  <c r="CP4" i="4"/>
  <c r="CQ4" i="4"/>
  <c r="CR4" i="4"/>
  <c r="CS4" i="4"/>
  <c r="CT4" i="4"/>
  <c r="CU4" i="4"/>
  <c r="CV4" i="4"/>
  <c r="CW4" i="4"/>
  <c r="CX4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AH5" i="4"/>
  <c r="AI5" i="4"/>
  <c r="AJ5" i="4"/>
  <c r="AK5" i="4"/>
  <c r="AL5" i="4"/>
  <c r="AM5" i="4"/>
  <c r="AN5" i="4"/>
  <c r="AO5" i="4"/>
  <c r="AP5" i="4"/>
  <c r="AQ5" i="4"/>
  <c r="AR5" i="4"/>
  <c r="AS5" i="4"/>
  <c r="AT5" i="4"/>
  <c r="AU5" i="4"/>
  <c r="AV5" i="4"/>
  <c r="AW5" i="4"/>
  <c r="AX5" i="4"/>
  <c r="AY5" i="4"/>
  <c r="AZ5" i="4"/>
  <c r="BA5" i="4"/>
  <c r="BB5" i="4"/>
  <c r="BC5" i="4"/>
  <c r="BD5" i="4"/>
  <c r="BE5" i="4"/>
  <c r="BF5" i="4"/>
  <c r="BG5" i="4"/>
  <c r="BH5" i="4"/>
  <c r="BI5" i="4"/>
  <c r="BJ5" i="4"/>
  <c r="BK5" i="4"/>
  <c r="BL5" i="4"/>
  <c r="BM5" i="4"/>
  <c r="BN5" i="4"/>
  <c r="BO5" i="4"/>
  <c r="BP5" i="4"/>
  <c r="BQ5" i="4"/>
  <c r="BR5" i="4"/>
  <c r="BS5" i="4"/>
  <c r="BT5" i="4"/>
  <c r="BU5" i="4"/>
  <c r="BV5" i="4"/>
  <c r="BW5" i="4"/>
  <c r="BX5" i="4"/>
  <c r="BY5" i="4"/>
  <c r="BZ5" i="4"/>
  <c r="CA5" i="4"/>
  <c r="CB5" i="4"/>
  <c r="CC5" i="4"/>
  <c r="CD5" i="4"/>
  <c r="CE5" i="4"/>
  <c r="CF5" i="4"/>
  <c r="CG5" i="4"/>
  <c r="CH5" i="4"/>
  <c r="CI5" i="4"/>
  <c r="CJ5" i="4"/>
  <c r="CK5" i="4"/>
  <c r="CL5" i="4"/>
  <c r="CM5" i="4"/>
  <c r="CN5" i="4"/>
  <c r="CO5" i="4"/>
  <c r="CP5" i="4"/>
  <c r="CQ5" i="4"/>
  <c r="CR5" i="4"/>
  <c r="CS5" i="4"/>
  <c r="CT5" i="4"/>
  <c r="CU5" i="4"/>
  <c r="CV5" i="4"/>
  <c r="CW5" i="4"/>
  <c r="CX5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AJ6" i="4"/>
  <c r="AK6" i="4"/>
  <c r="AL6" i="4"/>
  <c r="AM6" i="4"/>
  <c r="AN6" i="4"/>
  <c r="AO6" i="4"/>
  <c r="AP6" i="4"/>
  <c r="AQ6" i="4"/>
  <c r="AR6" i="4"/>
  <c r="AS6" i="4"/>
  <c r="AT6" i="4"/>
  <c r="AU6" i="4"/>
  <c r="AV6" i="4"/>
  <c r="AW6" i="4"/>
  <c r="AX6" i="4"/>
  <c r="AY6" i="4"/>
  <c r="AZ6" i="4"/>
  <c r="BA6" i="4"/>
  <c r="BB6" i="4"/>
  <c r="BC6" i="4"/>
  <c r="BD6" i="4"/>
  <c r="BE6" i="4"/>
  <c r="BF6" i="4"/>
  <c r="BG6" i="4"/>
  <c r="BH6" i="4"/>
  <c r="BI6" i="4"/>
  <c r="BJ6" i="4"/>
  <c r="BK6" i="4"/>
  <c r="BL6" i="4"/>
  <c r="BM6" i="4"/>
  <c r="BN6" i="4"/>
  <c r="BO6" i="4"/>
  <c r="BP6" i="4"/>
  <c r="BQ6" i="4"/>
  <c r="BR6" i="4"/>
  <c r="BS6" i="4"/>
  <c r="BT6" i="4"/>
  <c r="BU6" i="4"/>
  <c r="BV6" i="4"/>
  <c r="BW6" i="4"/>
  <c r="BX6" i="4"/>
  <c r="BY6" i="4"/>
  <c r="BZ6" i="4"/>
  <c r="CA6" i="4"/>
  <c r="CB6" i="4"/>
  <c r="CC6" i="4"/>
  <c r="CD6" i="4"/>
  <c r="CE6" i="4"/>
  <c r="CF6" i="4"/>
  <c r="CG6" i="4"/>
  <c r="CH6" i="4"/>
  <c r="CI6" i="4"/>
  <c r="CJ6" i="4"/>
  <c r="CK6" i="4"/>
  <c r="CL6" i="4"/>
  <c r="CM6" i="4"/>
  <c r="CN6" i="4"/>
  <c r="CO6" i="4"/>
  <c r="CP6" i="4"/>
  <c r="CQ6" i="4"/>
  <c r="CR6" i="4"/>
  <c r="CS6" i="4"/>
  <c r="CT6" i="4"/>
  <c r="CU6" i="4"/>
  <c r="CV6" i="4"/>
  <c r="CW6" i="4"/>
  <c r="CX6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N7" i="4"/>
  <c r="AO7" i="4"/>
  <c r="AP7" i="4"/>
  <c r="AQ7" i="4"/>
  <c r="AR7" i="4"/>
  <c r="AS7" i="4"/>
  <c r="AT7" i="4"/>
  <c r="AU7" i="4"/>
  <c r="AV7" i="4"/>
  <c r="AW7" i="4"/>
  <c r="AX7" i="4"/>
  <c r="AY7" i="4"/>
  <c r="AZ7" i="4"/>
  <c r="BA7" i="4"/>
  <c r="BB7" i="4"/>
  <c r="BC7" i="4"/>
  <c r="BD7" i="4"/>
  <c r="BE7" i="4"/>
  <c r="BF7" i="4"/>
  <c r="BG7" i="4"/>
  <c r="BH7" i="4"/>
  <c r="BI7" i="4"/>
  <c r="BJ7" i="4"/>
  <c r="BK7" i="4"/>
  <c r="BL7" i="4"/>
  <c r="BM7" i="4"/>
  <c r="BN7" i="4"/>
  <c r="BO7" i="4"/>
  <c r="BP7" i="4"/>
  <c r="BQ7" i="4"/>
  <c r="BR7" i="4"/>
  <c r="BS7" i="4"/>
  <c r="BT7" i="4"/>
  <c r="BU7" i="4"/>
  <c r="BV7" i="4"/>
  <c r="BW7" i="4"/>
  <c r="BX7" i="4"/>
  <c r="BY7" i="4"/>
  <c r="BZ7" i="4"/>
  <c r="CA7" i="4"/>
  <c r="CB7" i="4"/>
  <c r="CC7" i="4"/>
  <c r="CD7" i="4"/>
  <c r="CE7" i="4"/>
  <c r="CF7" i="4"/>
  <c r="CG7" i="4"/>
  <c r="CH7" i="4"/>
  <c r="CI7" i="4"/>
  <c r="CJ7" i="4"/>
  <c r="CK7" i="4"/>
  <c r="CL7" i="4"/>
  <c r="CM7" i="4"/>
  <c r="CN7" i="4"/>
  <c r="CO7" i="4"/>
  <c r="CP7" i="4"/>
  <c r="CQ7" i="4"/>
  <c r="CR7" i="4"/>
  <c r="CS7" i="4"/>
  <c r="CT7" i="4"/>
  <c r="CU7" i="4"/>
  <c r="CV7" i="4"/>
  <c r="CW7" i="4"/>
  <c r="CX7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AN8" i="4"/>
  <c r="AO8" i="4"/>
  <c r="AP8" i="4"/>
  <c r="AQ8" i="4"/>
  <c r="AR8" i="4"/>
  <c r="AS8" i="4"/>
  <c r="AT8" i="4"/>
  <c r="AU8" i="4"/>
  <c r="AV8" i="4"/>
  <c r="AW8" i="4"/>
  <c r="AX8" i="4"/>
  <c r="AY8" i="4"/>
  <c r="AZ8" i="4"/>
  <c r="BA8" i="4"/>
  <c r="BB8" i="4"/>
  <c r="BC8" i="4"/>
  <c r="BD8" i="4"/>
  <c r="BE8" i="4"/>
  <c r="BF8" i="4"/>
  <c r="BG8" i="4"/>
  <c r="BH8" i="4"/>
  <c r="BI8" i="4"/>
  <c r="BJ8" i="4"/>
  <c r="BK8" i="4"/>
  <c r="BL8" i="4"/>
  <c r="BM8" i="4"/>
  <c r="BN8" i="4"/>
  <c r="BO8" i="4"/>
  <c r="BP8" i="4"/>
  <c r="BQ8" i="4"/>
  <c r="BR8" i="4"/>
  <c r="BS8" i="4"/>
  <c r="BT8" i="4"/>
  <c r="BU8" i="4"/>
  <c r="BV8" i="4"/>
  <c r="BW8" i="4"/>
  <c r="BX8" i="4"/>
  <c r="BY8" i="4"/>
  <c r="BZ8" i="4"/>
  <c r="CA8" i="4"/>
  <c r="CB8" i="4"/>
  <c r="CC8" i="4"/>
  <c r="CD8" i="4"/>
  <c r="CE8" i="4"/>
  <c r="CF8" i="4"/>
  <c r="CG8" i="4"/>
  <c r="CH8" i="4"/>
  <c r="CI8" i="4"/>
  <c r="CJ8" i="4"/>
  <c r="CK8" i="4"/>
  <c r="CL8" i="4"/>
  <c r="CM8" i="4"/>
  <c r="CN8" i="4"/>
  <c r="CO8" i="4"/>
  <c r="CP8" i="4"/>
  <c r="CQ8" i="4"/>
  <c r="CR8" i="4"/>
  <c r="CS8" i="4"/>
  <c r="CT8" i="4"/>
  <c r="CU8" i="4"/>
  <c r="CV8" i="4"/>
  <c r="CW8" i="4"/>
  <c r="CX8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N9" i="4"/>
  <c r="AO9" i="4"/>
  <c r="AP9" i="4"/>
  <c r="AQ9" i="4"/>
  <c r="AR9" i="4"/>
  <c r="AS9" i="4"/>
  <c r="AT9" i="4"/>
  <c r="AU9" i="4"/>
  <c r="AV9" i="4"/>
  <c r="AW9" i="4"/>
  <c r="AX9" i="4"/>
  <c r="AY9" i="4"/>
  <c r="AZ9" i="4"/>
  <c r="BA9" i="4"/>
  <c r="BB9" i="4"/>
  <c r="BC9" i="4"/>
  <c r="BD9" i="4"/>
  <c r="BE9" i="4"/>
  <c r="BF9" i="4"/>
  <c r="BG9" i="4"/>
  <c r="BH9" i="4"/>
  <c r="BI9" i="4"/>
  <c r="BJ9" i="4"/>
  <c r="BK9" i="4"/>
  <c r="BL9" i="4"/>
  <c r="BM9" i="4"/>
  <c r="BN9" i="4"/>
  <c r="BO9" i="4"/>
  <c r="BP9" i="4"/>
  <c r="BQ9" i="4"/>
  <c r="BR9" i="4"/>
  <c r="BS9" i="4"/>
  <c r="BT9" i="4"/>
  <c r="BU9" i="4"/>
  <c r="BV9" i="4"/>
  <c r="BW9" i="4"/>
  <c r="BX9" i="4"/>
  <c r="BY9" i="4"/>
  <c r="BZ9" i="4"/>
  <c r="CA9" i="4"/>
  <c r="CB9" i="4"/>
  <c r="CC9" i="4"/>
  <c r="CD9" i="4"/>
  <c r="CE9" i="4"/>
  <c r="CF9" i="4"/>
  <c r="CG9" i="4"/>
  <c r="CH9" i="4"/>
  <c r="CI9" i="4"/>
  <c r="CJ9" i="4"/>
  <c r="CK9" i="4"/>
  <c r="CL9" i="4"/>
  <c r="CM9" i="4"/>
  <c r="CN9" i="4"/>
  <c r="CO9" i="4"/>
  <c r="CP9" i="4"/>
  <c r="CQ9" i="4"/>
  <c r="CR9" i="4"/>
  <c r="CS9" i="4"/>
  <c r="CT9" i="4"/>
  <c r="CU9" i="4"/>
  <c r="CV9" i="4"/>
  <c r="CW9" i="4"/>
  <c r="CX9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AM10" i="4"/>
  <c r="AN10" i="4"/>
  <c r="AO10" i="4"/>
  <c r="AP10" i="4"/>
  <c r="AQ10" i="4"/>
  <c r="AR10" i="4"/>
  <c r="AS10" i="4"/>
  <c r="AT10" i="4"/>
  <c r="AU10" i="4"/>
  <c r="AV10" i="4"/>
  <c r="AW10" i="4"/>
  <c r="AX10" i="4"/>
  <c r="AY10" i="4"/>
  <c r="AZ10" i="4"/>
  <c r="BA10" i="4"/>
  <c r="BB10" i="4"/>
  <c r="BC10" i="4"/>
  <c r="BD10" i="4"/>
  <c r="BE10" i="4"/>
  <c r="BF10" i="4"/>
  <c r="BG10" i="4"/>
  <c r="BH10" i="4"/>
  <c r="BI10" i="4"/>
  <c r="BJ10" i="4"/>
  <c r="BK10" i="4"/>
  <c r="BL10" i="4"/>
  <c r="BM10" i="4"/>
  <c r="BN10" i="4"/>
  <c r="BO10" i="4"/>
  <c r="BP10" i="4"/>
  <c r="BQ10" i="4"/>
  <c r="BR10" i="4"/>
  <c r="BS10" i="4"/>
  <c r="BT10" i="4"/>
  <c r="BU10" i="4"/>
  <c r="BV10" i="4"/>
  <c r="BW10" i="4"/>
  <c r="BX10" i="4"/>
  <c r="BY10" i="4"/>
  <c r="BZ10" i="4"/>
  <c r="CA10" i="4"/>
  <c r="CB10" i="4"/>
  <c r="CC10" i="4"/>
  <c r="CD10" i="4"/>
  <c r="CE10" i="4"/>
  <c r="CF10" i="4"/>
  <c r="CG10" i="4"/>
  <c r="CH10" i="4"/>
  <c r="CI10" i="4"/>
  <c r="CJ10" i="4"/>
  <c r="CK10" i="4"/>
  <c r="CL10" i="4"/>
  <c r="CM10" i="4"/>
  <c r="CN10" i="4"/>
  <c r="CO10" i="4"/>
  <c r="CP10" i="4"/>
  <c r="CQ10" i="4"/>
  <c r="CR10" i="4"/>
  <c r="CS10" i="4"/>
  <c r="CT10" i="4"/>
  <c r="CU10" i="4"/>
  <c r="CV10" i="4"/>
  <c r="CW10" i="4"/>
  <c r="CX10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N11" i="4"/>
  <c r="AO11" i="4"/>
  <c r="AP11" i="4"/>
  <c r="AQ11" i="4"/>
  <c r="AR11" i="4"/>
  <c r="AS11" i="4"/>
  <c r="AT11" i="4"/>
  <c r="AU11" i="4"/>
  <c r="AV11" i="4"/>
  <c r="AW11" i="4"/>
  <c r="AX11" i="4"/>
  <c r="AY11" i="4"/>
  <c r="AZ11" i="4"/>
  <c r="BA11" i="4"/>
  <c r="BB11" i="4"/>
  <c r="BC11" i="4"/>
  <c r="BD11" i="4"/>
  <c r="BE11" i="4"/>
  <c r="BF11" i="4"/>
  <c r="BG11" i="4"/>
  <c r="BH11" i="4"/>
  <c r="BI11" i="4"/>
  <c r="BJ11" i="4"/>
  <c r="BK11" i="4"/>
  <c r="BL11" i="4"/>
  <c r="BM11" i="4"/>
  <c r="BN11" i="4"/>
  <c r="BO11" i="4"/>
  <c r="BP11" i="4"/>
  <c r="BQ11" i="4"/>
  <c r="BR11" i="4"/>
  <c r="BS11" i="4"/>
  <c r="BT11" i="4"/>
  <c r="BU11" i="4"/>
  <c r="BV11" i="4"/>
  <c r="BW11" i="4"/>
  <c r="BX11" i="4"/>
  <c r="BY11" i="4"/>
  <c r="BZ11" i="4"/>
  <c r="CA11" i="4"/>
  <c r="CB11" i="4"/>
  <c r="CC11" i="4"/>
  <c r="CD11" i="4"/>
  <c r="CE11" i="4"/>
  <c r="CF11" i="4"/>
  <c r="CG11" i="4"/>
  <c r="CH11" i="4"/>
  <c r="CI11" i="4"/>
  <c r="CJ11" i="4"/>
  <c r="CK11" i="4"/>
  <c r="CL11" i="4"/>
  <c r="CM11" i="4"/>
  <c r="CN11" i="4"/>
  <c r="CO11" i="4"/>
  <c r="CP11" i="4"/>
  <c r="CQ11" i="4"/>
  <c r="CR11" i="4"/>
  <c r="CS11" i="4"/>
  <c r="CT11" i="4"/>
  <c r="CU11" i="4"/>
  <c r="CV11" i="4"/>
  <c r="CW11" i="4"/>
  <c r="CX11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N12" i="4"/>
  <c r="AO12" i="4"/>
  <c r="AP12" i="4"/>
  <c r="AQ12" i="4"/>
  <c r="AR12" i="4"/>
  <c r="AS12" i="4"/>
  <c r="AT12" i="4"/>
  <c r="AU12" i="4"/>
  <c r="AV12" i="4"/>
  <c r="AW12" i="4"/>
  <c r="AX12" i="4"/>
  <c r="AY12" i="4"/>
  <c r="AZ12" i="4"/>
  <c r="BA12" i="4"/>
  <c r="BB12" i="4"/>
  <c r="BC12" i="4"/>
  <c r="BD12" i="4"/>
  <c r="BE12" i="4"/>
  <c r="BF12" i="4"/>
  <c r="BG12" i="4"/>
  <c r="BH12" i="4"/>
  <c r="BI12" i="4"/>
  <c r="BJ12" i="4"/>
  <c r="BK12" i="4"/>
  <c r="BL12" i="4"/>
  <c r="BM12" i="4"/>
  <c r="BN12" i="4"/>
  <c r="BO12" i="4"/>
  <c r="BP12" i="4"/>
  <c r="BQ12" i="4"/>
  <c r="BR12" i="4"/>
  <c r="BS12" i="4"/>
  <c r="BT12" i="4"/>
  <c r="BU12" i="4"/>
  <c r="BV12" i="4"/>
  <c r="BW12" i="4"/>
  <c r="BX12" i="4"/>
  <c r="BY12" i="4"/>
  <c r="BZ12" i="4"/>
  <c r="CA12" i="4"/>
  <c r="CB12" i="4"/>
  <c r="CC12" i="4"/>
  <c r="CD12" i="4"/>
  <c r="CE12" i="4"/>
  <c r="CF12" i="4"/>
  <c r="CG12" i="4"/>
  <c r="CH12" i="4"/>
  <c r="CI12" i="4"/>
  <c r="CJ12" i="4"/>
  <c r="CK12" i="4"/>
  <c r="CL12" i="4"/>
  <c r="CM12" i="4"/>
  <c r="CN12" i="4"/>
  <c r="CO12" i="4"/>
  <c r="CP12" i="4"/>
  <c r="CQ12" i="4"/>
  <c r="CR12" i="4"/>
  <c r="CS12" i="4"/>
  <c r="CT12" i="4"/>
  <c r="CU12" i="4"/>
  <c r="CV12" i="4"/>
  <c r="CW12" i="4"/>
  <c r="CX12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AN13" i="4"/>
  <c r="AO13" i="4"/>
  <c r="AP13" i="4"/>
  <c r="AQ13" i="4"/>
  <c r="AR13" i="4"/>
  <c r="AS13" i="4"/>
  <c r="AT13" i="4"/>
  <c r="AU13" i="4"/>
  <c r="AV13" i="4"/>
  <c r="AW13" i="4"/>
  <c r="AX13" i="4"/>
  <c r="AY13" i="4"/>
  <c r="AZ13" i="4"/>
  <c r="BA13" i="4"/>
  <c r="BB13" i="4"/>
  <c r="BC13" i="4"/>
  <c r="BD13" i="4"/>
  <c r="BE13" i="4"/>
  <c r="BF13" i="4"/>
  <c r="BG13" i="4"/>
  <c r="BH13" i="4"/>
  <c r="BI13" i="4"/>
  <c r="BJ13" i="4"/>
  <c r="BK13" i="4"/>
  <c r="BL13" i="4"/>
  <c r="BM13" i="4"/>
  <c r="BN13" i="4"/>
  <c r="BO13" i="4"/>
  <c r="BP13" i="4"/>
  <c r="BQ13" i="4"/>
  <c r="BR13" i="4"/>
  <c r="BS13" i="4"/>
  <c r="BT13" i="4"/>
  <c r="BU13" i="4"/>
  <c r="BV13" i="4"/>
  <c r="BW13" i="4"/>
  <c r="BX13" i="4"/>
  <c r="BY13" i="4"/>
  <c r="BZ13" i="4"/>
  <c r="CA13" i="4"/>
  <c r="CB13" i="4"/>
  <c r="CC13" i="4"/>
  <c r="CD13" i="4"/>
  <c r="CE13" i="4"/>
  <c r="CF13" i="4"/>
  <c r="CG13" i="4"/>
  <c r="CH13" i="4"/>
  <c r="CI13" i="4"/>
  <c r="CJ13" i="4"/>
  <c r="CK13" i="4"/>
  <c r="CL13" i="4"/>
  <c r="CM13" i="4"/>
  <c r="CN13" i="4"/>
  <c r="CO13" i="4"/>
  <c r="CP13" i="4"/>
  <c r="CQ13" i="4"/>
  <c r="CR13" i="4"/>
  <c r="CS13" i="4"/>
  <c r="CT13" i="4"/>
  <c r="CU13" i="4"/>
  <c r="CV13" i="4"/>
  <c r="CW13" i="4"/>
  <c r="CX13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AM14" i="4"/>
  <c r="AN14" i="4"/>
  <c r="AO14" i="4"/>
  <c r="AP14" i="4"/>
  <c r="AQ14" i="4"/>
  <c r="AR14" i="4"/>
  <c r="AS14" i="4"/>
  <c r="AT14" i="4"/>
  <c r="AU14" i="4"/>
  <c r="AV14" i="4"/>
  <c r="AW14" i="4"/>
  <c r="AX14" i="4"/>
  <c r="AY14" i="4"/>
  <c r="AZ14" i="4"/>
  <c r="BA14" i="4"/>
  <c r="BB14" i="4"/>
  <c r="BC14" i="4"/>
  <c r="BD14" i="4"/>
  <c r="BE14" i="4"/>
  <c r="BF14" i="4"/>
  <c r="BG14" i="4"/>
  <c r="BH14" i="4"/>
  <c r="BI14" i="4"/>
  <c r="BJ14" i="4"/>
  <c r="BK14" i="4"/>
  <c r="BL14" i="4"/>
  <c r="BM14" i="4"/>
  <c r="BN14" i="4"/>
  <c r="BO14" i="4"/>
  <c r="BP14" i="4"/>
  <c r="BQ14" i="4"/>
  <c r="BR14" i="4"/>
  <c r="BS14" i="4"/>
  <c r="BT14" i="4"/>
  <c r="BU14" i="4"/>
  <c r="BV14" i="4"/>
  <c r="BW14" i="4"/>
  <c r="BX14" i="4"/>
  <c r="BY14" i="4"/>
  <c r="BZ14" i="4"/>
  <c r="CA14" i="4"/>
  <c r="CB14" i="4"/>
  <c r="CC14" i="4"/>
  <c r="CD14" i="4"/>
  <c r="CE14" i="4"/>
  <c r="CF14" i="4"/>
  <c r="CG14" i="4"/>
  <c r="CH14" i="4"/>
  <c r="CI14" i="4"/>
  <c r="CJ14" i="4"/>
  <c r="CK14" i="4"/>
  <c r="CL14" i="4"/>
  <c r="CM14" i="4"/>
  <c r="CN14" i="4"/>
  <c r="CO14" i="4"/>
  <c r="CP14" i="4"/>
  <c r="CQ14" i="4"/>
  <c r="CR14" i="4"/>
  <c r="CS14" i="4"/>
  <c r="CT14" i="4"/>
  <c r="CU14" i="4"/>
  <c r="CV14" i="4"/>
  <c r="CW14" i="4"/>
  <c r="CX14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AI15" i="4"/>
  <c r="AJ15" i="4"/>
  <c r="AK15" i="4"/>
  <c r="AL15" i="4"/>
  <c r="AM15" i="4"/>
  <c r="AN15" i="4"/>
  <c r="AO15" i="4"/>
  <c r="AP15" i="4"/>
  <c r="AQ15" i="4"/>
  <c r="AR15" i="4"/>
  <c r="AS15" i="4"/>
  <c r="AT15" i="4"/>
  <c r="AU15" i="4"/>
  <c r="AV15" i="4"/>
  <c r="AW15" i="4"/>
  <c r="AX15" i="4"/>
  <c r="AY15" i="4"/>
  <c r="AZ15" i="4"/>
  <c r="BA15" i="4"/>
  <c r="BB15" i="4"/>
  <c r="BC15" i="4"/>
  <c r="BD15" i="4"/>
  <c r="BE15" i="4"/>
  <c r="BF15" i="4"/>
  <c r="BG15" i="4"/>
  <c r="BH15" i="4"/>
  <c r="BI15" i="4"/>
  <c r="BJ15" i="4"/>
  <c r="BK15" i="4"/>
  <c r="BL15" i="4"/>
  <c r="BM15" i="4"/>
  <c r="BN15" i="4"/>
  <c r="BO15" i="4"/>
  <c r="BP15" i="4"/>
  <c r="BQ15" i="4"/>
  <c r="BR15" i="4"/>
  <c r="BS15" i="4"/>
  <c r="BT15" i="4"/>
  <c r="BU15" i="4"/>
  <c r="BV15" i="4"/>
  <c r="BW15" i="4"/>
  <c r="BX15" i="4"/>
  <c r="BY15" i="4"/>
  <c r="BZ15" i="4"/>
  <c r="CA15" i="4"/>
  <c r="CB15" i="4"/>
  <c r="CC15" i="4"/>
  <c r="CD15" i="4"/>
  <c r="CE15" i="4"/>
  <c r="CF15" i="4"/>
  <c r="CG15" i="4"/>
  <c r="CH15" i="4"/>
  <c r="CI15" i="4"/>
  <c r="CJ15" i="4"/>
  <c r="CK15" i="4"/>
  <c r="CL15" i="4"/>
  <c r="CM15" i="4"/>
  <c r="CN15" i="4"/>
  <c r="CO15" i="4"/>
  <c r="CP15" i="4"/>
  <c r="CQ15" i="4"/>
  <c r="CR15" i="4"/>
  <c r="CS15" i="4"/>
  <c r="CT15" i="4"/>
  <c r="CU15" i="4"/>
  <c r="CV15" i="4"/>
  <c r="CW15" i="4"/>
  <c r="CX15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AM16" i="4"/>
  <c r="AN16" i="4"/>
  <c r="AO16" i="4"/>
  <c r="AP16" i="4"/>
  <c r="AQ16" i="4"/>
  <c r="AR16" i="4"/>
  <c r="AS16" i="4"/>
  <c r="AT16" i="4"/>
  <c r="AU16" i="4"/>
  <c r="AV16" i="4"/>
  <c r="AW16" i="4"/>
  <c r="AX16" i="4"/>
  <c r="AY16" i="4"/>
  <c r="AZ16" i="4"/>
  <c r="BA16" i="4"/>
  <c r="BB16" i="4"/>
  <c r="BC16" i="4"/>
  <c r="BD16" i="4"/>
  <c r="BE16" i="4"/>
  <c r="BF16" i="4"/>
  <c r="BG16" i="4"/>
  <c r="BH16" i="4"/>
  <c r="BI16" i="4"/>
  <c r="BJ16" i="4"/>
  <c r="BK16" i="4"/>
  <c r="BL16" i="4"/>
  <c r="BM16" i="4"/>
  <c r="BN16" i="4"/>
  <c r="BO16" i="4"/>
  <c r="BP16" i="4"/>
  <c r="BQ16" i="4"/>
  <c r="BR16" i="4"/>
  <c r="BS16" i="4"/>
  <c r="BT16" i="4"/>
  <c r="BU16" i="4"/>
  <c r="BV16" i="4"/>
  <c r="BW16" i="4"/>
  <c r="BX16" i="4"/>
  <c r="BY16" i="4"/>
  <c r="BZ16" i="4"/>
  <c r="CA16" i="4"/>
  <c r="CB16" i="4"/>
  <c r="CC16" i="4"/>
  <c r="CD16" i="4"/>
  <c r="CE16" i="4"/>
  <c r="CF16" i="4"/>
  <c r="CG16" i="4"/>
  <c r="CH16" i="4"/>
  <c r="CI16" i="4"/>
  <c r="CJ16" i="4"/>
  <c r="CK16" i="4"/>
  <c r="CL16" i="4"/>
  <c r="CM16" i="4"/>
  <c r="CN16" i="4"/>
  <c r="CO16" i="4"/>
  <c r="CP16" i="4"/>
  <c r="CQ16" i="4"/>
  <c r="CR16" i="4"/>
  <c r="CS16" i="4"/>
  <c r="CT16" i="4"/>
  <c r="CU16" i="4"/>
  <c r="CV16" i="4"/>
  <c r="CW16" i="4"/>
  <c r="CX16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N17" i="4"/>
  <c r="AO17" i="4"/>
  <c r="AP17" i="4"/>
  <c r="AQ17" i="4"/>
  <c r="AR17" i="4"/>
  <c r="AS17" i="4"/>
  <c r="AT17" i="4"/>
  <c r="AU17" i="4"/>
  <c r="AV17" i="4"/>
  <c r="AW17" i="4"/>
  <c r="AX17" i="4"/>
  <c r="AY17" i="4"/>
  <c r="AZ17" i="4"/>
  <c r="BA17" i="4"/>
  <c r="BB17" i="4"/>
  <c r="BC17" i="4"/>
  <c r="BD17" i="4"/>
  <c r="BE17" i="4"/>
  <c r="BF17" i="4"/>
  <c r="BG17" i="4"/>
  <c r="BH17" i="4"/>
  <c r="BI17" i="4"/>
  <c r="BJ17" i="4"/>
  <c r="BK17" i="4"/>
  <c r="BL17" i="4"/>
  <c r="BM17" i="4"/>
  <c r="BN17" i="4"/>
  <c r="BO17" i="4"/>
  <c r="BP17" i="4"/>
  <c r="BQ17" i="4"/>
  <c r="BR17" i="4"/>
  <c r="BS17" i="4"/>
  <c r="BT17" i="4"/>
  <c r="BU17" i="4"/>
  <c r="BV17" i="4"/>
  <c r="BW17" i="4"/>
  <c r="BX17" i="4"/>
  <c r="BY17" i="4"/>
  <c r="BZ17" i="4"/>
  <c r="CA17" i="4"/>
  <c r="CB17" i="4"/>
  <c r="CC17" i="4"/>
  <c r="CD17" i="4"/>
  <c r="CE17" i="4"/>
  <c r="CF17" i="4"/>
  <c r="CG17" i="4"/>
  <c r="CH17" i="4"/>
  <c r="CI17" i="4"/>
  <c r="CJ17" i="4"/>
  <c r="CK17" i="4"/>
  <c r="CL17" i="4"/>
  <c r="CM17" i="4"/>
  <c r="CN17" i="4"/>
  <c r="CO17" i="4"/>
  <c r="CP17" i="4"/>
  <c r="CQ17" i="4"/>
  <c r="CR17" i="4"/>
  <c r="CS17" i="4"/>
  <c r="CT17" i="4"/>
  <c r="CU17" i="4"/>
  <c r="CV17" i="4"/>
  <c r="CW17" i="4"/>
  <c r="CX17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N18" i="4"/>
  <c r="AO18" i="4"/>
  <c r="AP18" i="4"/>
  <c r="AQ18" i="4"/>
  <c r="AR18" i="4"/>
  <c r="AS18" i="4"/>
  <c r="AT18" i="4"/>
  <c r="AU18" i="4"/>
  <c r="AV18" i="4"/>
  <c r="AW18" i="4"/>
  <c r="AX18" i="4"/>
  <c r="AY18" i="4"/>
  <c r="AZ18" i="4"/>
  <c r="BA18" i="4"/>
  <c r="BB18" i="4"/>
  <c r="BC18" i="4"/>
  <c r="BD18" i="4"/>
  <c r="BE18" i="4"/>
  <c r="BF18" i="4"/>
  <c r="BG18" i="4"/>
  <c r="BH18" i="4"/>
  <c r="BI18" i="4"/>
  <c r="BJ18" i="4"/>
  <c r="BK18" i="4"/>
  <c r="BL18" i="4"/>
  <c r="BM18" i="4"/>
  <c r="BN18" i="4"/>
  <c r="BO18" i="4"/>
  <c r="BP18" i="4"/>
  <c r="BQ18" i="4"/>
  <c r="BR18" i="4"/>
  <c r="BS18" i="4"/>
  <c r="BT18" i="4"/>
  <c r="BU18" i="4"/>
  <c r="BV18" i="4"/>
  <c r="BW18" i="4"/>
  <c r="BX18" i="4"/>
  <c r="BY18" i="4"/>
  <c r="BZ18" i="4"/>
  <c r="CA18" i="4"/>
  <c r="CB18" i="4"/>
  <c r="CC18" i="4"/>
  <c r="CD18" i="4"/>
  <c r="CE18" i="4"/>
  <c r="CF18" i="4"/>
  <c r="CG18" i="4"/>
  <c r="CH18" i="4"/>
  <c r="CI18" i="4"/>
  <c r="CJ18" i="4"/>
  <c r="CK18" i="4"/>
  <c r="CL18" i="4"/>
  <c r="CM18" i="4"/>
  <c r="CN18" i="4"/>
  <c r="CO18" i="4"/>
  <c r="CP18" i="4"/>
  <c r="CQ18" i="4"/>
  <c r="CR18" i="4"/>
  <c r="CS18" i="4"/>
  <c r="CT18" i="4"/>
  <c r="CU18" i="4"/>
  <c r="CV18" i="4"/>
  <c r="CW18" i="4"/>
  <c r="CX18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AN19" i="4"/>
  <c r="AO19" i="4"/>
  <c r="AP19" i="4"/>
  <c r="AQ19" i="4"/>
  <c r="AR19" i="4"/>
  <c r="AS19" i="4"/>
  <c r="AT19" i="4"/>
  <c r="AU19" i="4"/>
  <c r="AV19" i="4"/>
  <c r="AW19" i="4"/>
  <c r="AX19" i="4"/>
  <c r="AY19" i="4"/>
  <c r="AZ19" i="4"/>
  <c r="BA19" i="4"/>
  <c r="BB19" i="4"/>
  <c r="BC19" i="4"/>
  <c r="BD19" i="4"/>
  <c r="BE19" i="4"/>
  <c r="BF19" i="4"/>
  <c r="BG19" i="4"/>
  <c r="BH19" i="4"/>
  <c r="BI19" i="4"/>
  <c r="BJ19" i="4"/>
  <c r="BK19" i="4"/>
  <c r="BL19" i="4"/>
  <c r="BM19" i="4"/>
  <c r="BN19" i="4"/>
  <c r="BO19" i="4"/>
  <c r="BP19" i="4"/>
  <c r="BQ19" i="4"/>
  <c r="BR19" i="4"/>
  <c r="BS19" i="4"/>
  <c r="BT19" i="4"/>
  <c r="BU19" i="4"/>
  <c r="BV19" i="4"/>
  <c r="BW19" i="4"/>
  <c r="BX19" i="4"/>
  <c r="BY19" i="4"/>
  <c r="BZ19" i="4"/>
  <c r="CA19" i="4"/>
  <c r="CB19" i="4"/>
  <c r="CC19" i="4"/>
  <c r="CD19" i="4"/>
  <c r="CE19" i="4"/>
  <c r="CF19" i="4"/>
  <c r="CG19" i="4"/>
  <c r="CH19" i="4"/>
  <c r="CI19" i="4"/>
  <c r="CJ19" i="4"/>
  <c r="CK19" i="4"/>
  <c r="CL19" i="4"/>
  <c r="CM19" i="4"/>
  <c r="CN19" i="4"/>
  <c r="CO19" i="4"/>
  <c r="CP19" i="4"/>
  <c r="CQ19" i="4"/>
  <c r="CR19" i="4"/>
  <c r="CS19" i="4"/>
  <c r="CT19" i="4"/>
  <c r="CU19" i="4"/>
  <c r="CV19" i="4"/>
  <c r="CW19" i="4"/>
  <c r="CX19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AL20" i="4"/>
  <c r="AM20" i="4"/>
  <c r="AN20" i="4"/>
  <c r="AO20" i="4"/>
  <c r="AP20" i="4"/>
  <c r="AQ20" i="4"/>
  <c r="AR20" i="4"/>
  <c r="AS20" i="4"/>
  <c r="AT20" i="4"/>
  <c r="AU20" i="4"/>
  <c r="AV20" i="4"/>
  <c r="AW20" i="4"/>
  <c r="AX20" i="4"/>
  <c r="AY20" i="4"/>
  <c r="AZ20" i="4"/>
  <c r="BA20" i="4"/>
  <c r="BB20" i="4"/>
  <c r="BC20" i="4"/>
  <c r="BD20" i="4"/>
  <c r="BE20" i="4"/>
  <c r="BF20" i="4"/>
  <c r="BG20" i="4"/>
  <c r="BH20" i="4"/>
  <c r="BI20" i="4"/>
  <c r="BJ20" i="4"/>
  <c r="BK20" i="4"/>
  <c r="BL20" i="4"/>
  <c r="BM20" i="4"/>
  <c r="BN20" i="4"/>
  <c r="BO20" i="4"/>
  <c r="BP20" i="4"/>
  <c r="BQ20" i="4"/>
  <c r="BR20" i="4"/>
  <c r="BS20" i="4"/>
  <c r="BT20" i="4"/>
  <c r="BU20" i="4"/>
  <c r="BV20" i="4"/>
  <c r="BW20" i="4"/>
  <c r="BX20" i="4"/>
  <c r="BY20" i="4"/>
  <c r="BZ20" i="4"/>
  <c r="CA20" i="4"/>
  <c r="CB20" i="4"/>
  <c r="CC20" i="4"/>
  <c r="CD20" i="4"/>
  <c r="CE20" i="4"/>
  <c r="CF20" i="4"/>
  <c r="CG20" i="4"/>
  <c r="CH20" i="4"/>
  <c r="CI20" i="4"/>
  <c r="CJ20" i="4"/>
  <c r="CK20" i="4"/>
  <c r="CL20" i="4"/>
  <c r="CM20" i="4"/>
  <c r="CN20" i="4"/>
  <c r="CO20" i="4"/>
  <c r="CP20" i="4"/>
  <c r="CQ20" i="4"/>
  <c r="CR20" i="4"/>
  <c r="CS20" i="4"/>
  <c r="CT20" i="4"/>
  <c r="CU20" i="4"/>
  <c r="CV20" i="4"/>
  <c r="CW20" i="4"/>
  <c r="CX20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AN21" i="4"/>
  <c r="AO21" i="4"/>
  <c r="AP21" i="4"/>
  <c r="AQ21" i="4"/>
  <c r="AR21" i="4"/>
  <c r="AS21" i="4"/>
  <c r="AT21" i="4"/>
  <c r="AU21" i="4"/>
  <c r="AV21" i="4"/>
  <c r="AW21" i="4"/>
  <c r="AX21" i="4"/>
  <c r="AY21" i="4"/>
  <c r="AZ21" i="4"/>
  <c r="BA21" i="4"/>
  <c r="BB21" i="4"/>
  <c r="BC21" i="4"/>
  <c r="BD21" i="4"/>
  <c r="BE21" i="4"/>
  <c r="BF21" i="4"/>
  <c r="BG21" i="4"/>
  <c r="BH21" i="4"/>
  <c r="BI21" i="4"/>
  <c r="BJ21" i="4"/>
  <c r="BK21" i="4"/>
  <c r="BL21" i="4"/>
  <c r="BM21" i="4"/>
  <c r="BN21" i="4"/>
  <c r="BO21" i="4"/>
  <c r="BP21" i="4"/>
  <c r="BQ21" i="4"/>
  <c r="BR21" i="4"/>
  <c r="BS21" i="4"/>
  <c r="BT21" i="4"/>
  <c r="BU21" i="4"/>
  <c r="BV21" i="4"/>
  <c r="BW21" i="4"/>
  <c r="BX21" i="4"/>
  <c r="BY21" i="4"/>
  <c r="BZ21" i="4"/>
  <c r="CA21" i="4"/>
  <c r="CB21" i="4"/>
  <c r="CC21" i="4"/>
  <c r="CD21" i="4"/>
  <c r="CE21" i="4"/>
  <c r="CF21" i="4"/>
  <c r="CG21" i="4"/>
  <c r="CH21" i="4"/>
  <c r="CI21" i="4"/>
  <c r="CJ21" i="4"/>
  <c r="CK21" i="4"/>
  <c r="CL21" i="4"/>
  <c r="CM21" i="4"/>
  <c r="CN21" i="4"/>
  <c r="CO21" i="4"/>
  <c r="CP21" i="4"/>
  <c r="CQ21" i="4"/>
  <c r="CR21" i="4"/>
  <c r="CS21" i="4"/>
  <c r="CT21" i="4"/>
  <c r="CU21" i="4"/>
  <c r="CV21" i="4"/>
  <c r="CW21" i="4"/>
  <c r="CX21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AN22" i="4"/>
  <c r="AO22" i="4"/>
  <c r="AP22" i="4"/>
  <c r="AQ22" i="4"/>
  <c r="AR22" i="4"/>
  <c r="AS22" i="4"/>
  <c r="AT22" i="4"/>
  <c r="AU22" i="4"/>
  <c r="AV22" i="4"/>
  <c r="AW22" i="4"/>
  <c r="AX22" i="4"/>
  <c r="AY22" i="4"/>
  <c r="AZ22" i="4"/>
  <c r="BA22" i="4"/>
  <c r="BB22" i="4"/>
  <c r="BC22" i="4"/>
  <c r="BD22" i="4"/>
  <c r="BE22" i="4"/>
  <c r="BF22" i="4"/>
  <c r="BG22" i="4"/>
  <c r="BH22" i="4"/>
  <c r="BI22" i="4"/>
  <c r="BJ22" i="4"/>
  <c r="BK22" i="4"/>
  <c r="BL22" i="4"/>
  <c r="BM22" i="4"/>
  <c r="BN22" i="4"/>
  <c r="BO22" i="4"/>
  <c r="BP22" i="4"/>
  <c r="BQ22" i="4"/>
  <c r="BR22" i="4"/>
  <c r="BS22" i="4"/>
  <c r="BT22" i="4"/>
  <c r="BU22" i="4"/>
  <c r="BV22" i="4"/>
  <c r="BW22" i="4"/>
  <c r="BX22" i="4"/>
  <c r="BY22" i="4"/>
  <c r="BZ22" i="4"/>
  <c r="CA22" i="4"/>
  <c r="CB22" i="4"/>
  <c r="CC22" i="4"/>
  <c r="CD22" i="4"/>
  <c r="CE22" i="4"/>
  <c r="CF22" i="4"/>
  <c r="CG22" i="4"/>
  <c r="CH22" i="4"/>
  <c r="CI22" i="4"/>
  <c r="CJ22" i="4"/>
  <c r="CK22" i="4"/>
  <c r="CL22" i="4"/>
  <c r="CM22" i="4"/>
  <c r="CN22" i="4"/>
  <c r="CO22" i="4"/>
  <c r="CP22" i="4"/>
  <c r="CQ22" i="4"/>
  <c r="CR22" i="4"/>
  <c r="CS22" i="4"/>
  <c r="CT22" i="4"/>
  <c r="CU22" i="4"/>
  <c r="CV22" i="4"/>
  <c r="CW22" i="4"/>
  <c r="CX22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AM23" i="4"/>
  <c r="AN23" i="4"/>
  <c r="AO23" i="4"/>
  <c r="AP23" i="4"/>
  <c r="AQ23" i="4"/>
  <c r="AR23" i="4"/>
  <c r="AS23" i="4"/>
  <c r="AT23" i="4"/>
  <c r="AU23" i="4"/>
  <c r="AV23" i="4"/>
  <c r="AW23" i="4"/>
  <c r="AX23" i="4"/>
  <c r="AY23" i="4"/>
  <c r="AZ23" i="4"/>
  <c r="BA23" i="4"/>
  <c r="BB23" i="4"/>
  <c r="BC23" i="4"/>
  <c r="BD23" i="4"/>
  <c r="BE23" i="4"/>
  <c r="BF23" i="4"/>
  <c r="BG23" i="4"/>
  <c r="BH23" i="4"/>
  <c r="BI23" i="4"/>
  <c r="BJ23" i="4"/>
  <c r="BK23" i="4"/>
  <c r="BL23" i="4"/>
  <c r="BM23" i="4"/>
  <c r="BN23" i="4"/>
  <c r="BO23" i="4"/>
  <c r="BP23" i="4"/>
  <c r="BQ23" i="4"/>
  <c r="BR23" i="4"/>
  <c r="BS23" i="4"/>
  <c r="BT23" i="4"/>
  <c r="BU23" i="4"/>
  <c r="BV23" i="4"/>
  <c r="BW23" i="4"/>
  <c r="BX23" i="4"/>
  <c r="BY23" i="4"/>
  <c r="BZ23" i="4"/>
  <c r="CA23" i="4"/>
  <c r="CB23" i="4"/>
  <c r="CC23" i="4"/>
  <c r="CD23" i="4"/>
  <c r="CE23" i="4"/>
  <c r="CF23" i="4"/>
  <c r="CG23" i="4"/>
  <c r="CH23" i="4"/>
  <c r="CI23" i="4"/>
  <c r="CJ23" i="4"/>
  <c r="CK23" i="4"/>
  <c r="CL23" i="4"/>
  <c r="CM23" i="4"/>
  <c r="CN23" i="4"/>
  <c r="CO23" i="4"/>
  <c r="CP23" i="4"/>
  <c r="CQ23" i="4"/>
  <c r="CR23" i="4"/>
  <c r="CS23" i="4"/>
  <c r="CT23" i="4"/>
  <c r="CU23" i="4"/>
  <c r="CV23" i="4"/>
  <c r="CW23" i="4"/>
  <c r="CX23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AN24" i="4"/>
  <c r="AO24" i="4"/>
  <c r="AP24" i="4"/>
  <c r="AQ24" i="4"/>
  <c r="AR24" i="4"/>
  <c r="AS24" i="4"/>
  <c r="AT24" i="4"/>
  <c r="AU24" i="4"/>
  <c r="AV24" i="4"/>
  <c r="AW24" i="4"/>
  <c r="AX24" i="4"/>
  <c r="AY24" i="4"/>
  <c r="AZ24" i="4"/>
  <c r="BA24" i="4"/>
  <c r="BB24" i="4"/>
  <c r="BC24" i="4"/>
  <c r="BD24" i="4"/>
  <c r="BE24" i="4"/>
  <c r="BF24" i="4"/>
  <c r="BG24" i="4"/>
  <c r="BH24" i="4"/>
  <c r="BI24" i="4"/>
  <c r="BJ24" i="4"/>
  <c r="BK24" i="4"/>
  <c r="BL24" i="4"/>
  <c r="BM24" i="4"/>
  <c r="BN24" i="4"/>
  <c r="BO24" i="4"/>
  <c r="BP24" i="4"/>
  <c r="BQ24" i="4"/>
  <c r="BR24" i="4"/>
  <c r="BS24" i="4"/>
  <c r="BT24" i="4"/>
  <c r="BU24" i="4"/>
  <c r="BV24" i="4"/>
  <c r="BW24" i="4"/>
  <c r="BX24" i="4"/>
  <c r="BY24" i="4"/>
  <c r="BZ24" i="4"/>
  <c r="CA24" i="4"/>
  <c r="CB24" i="4"/>
  <c r="CC24" i="4"/>
  <c r="CD24" i="4"/>
  <c r="CE24" i="4"/>
  <c r="CF24" i="4"/>
  <c r="CG24" i="4"/>
  <c r="CH24" i="4"/>
  <c r="CI24" i="4"/>
  <c r="CJ24" i="4"/>
  <c r="CK24" i="4"/>
  <c r="CL24" i="4"/>
  <c r="CM24" i="4"/>
  <c r="CN24" i="4"/>
  <c r="CO24" i="4"/>
  <c r="CP24" i="4"/>
  <c r="CQ24" i="4"/>
  <c r="CR24" i="4"/>
  <c r="CS24" i="4"/>
  <c r="CT24" i="4"/>
  <c r="CU24" i="4"/>
  <c r="CV24" i="4"/>
  <c r="CW24" i="4"/>
  <c r="CX24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AJ25" i="4"/>
  <c r="AK25" i="4"/>
  <c r="AL25" i="4"/>
  <c r="AM25" i="4"/>
  <c r="AN25" i="4"/>
  <c r="AO25" i="4"/>
  <c r="AP25" i="4"/>
  <c r="AQ25" i="4"/>
  <c r="AR25" i="4"/>
  <c r="AS25" i="4"/>
  <c r="AT25" i="4"/>
  <c r="AU25" i="4"/>
  <c r="AV25" i="4"/>
  <c r="AW25" i="4"/>
  <c r="AX25" i="4"/>
  <c r="AY25" i="4"/>
  <c r="AZ25" i="4"/>
  <c r="BA25" i="4"/>
  <c r="BB25" i="4"/>
  <c r="BC25" i="4"/>
  <c r="BD25" i="4"/>
  <c r="BE25" i="4"/>
  <c r="BF25" i="4"/>
  <c r="BG25" i="4"/>
  <c r="BH25" i="4"/>
  <c r="BI25" i="4"/>
  <c r="BJ25" i="4"/>
  <c r="BK25" i="4"/>
  <c r="BL25" i="4"/>
  <c r="BM25" i="4"/>
  <c r="BN25" i="4"/>
  <c r="BO25" i="4"/>
  <c r="BP25" i="4"/>
  <c r="BQ25" i="4"/>
  <c r="BR25" i="4"/>
  <c r="BS25" i="4"/>
  <c r="BT25" i="4"/>
  <c r="BU25" i="4"/>
  <c r="BV25" i="4"/>
  <c r="BW25" i="4"/>
  <c r="BX25" i="4"/>
  <c r="BY25" i="4"/>
  <c r="BZ25" i="4"/>
  <c r="CA25" i="4"/>
  <c r="CB25" i="4"/>
  <c r="CC25" i="4"/>
  <c r="CD25" i="4"/>
  <c r="CE25" i="4"/>
  <c r="CF25" i="4"/>
  <c r="CG25" i="4"/>
  <c r="CH25" i="4"/>
  <c r="CI25" i="4"/>
  <c r="CJ25" i="4"/>
  <c r="CK25" i="4"/>
  <c r="CL25" i="4"/>
  <c r="CM25" i="4"/>
  <c r="CN25" i="4"/>
  <c r="CO25" i="4"/>
  <c r="CP25" i="4"/>
  <c r="CQ25" i="4"/>
  <c r="CR25" i="4"/>
  <c r="CS25" i="4"/>
  <c r="CT25" i="4"/>
  <c r="CU25" i="4"/>
  <c r="CV25" i="4"/>
  <c r="CW25" i="4"/>
  <c r="CX25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AK26" i="4"/>
  <c r="AL26" i="4"/>
  <c r="AM26" i="4"/>
  <c r="AN26" i="4"/>
  <c r="AO26" i="4"/>
  <c r="AP26" i="4"/>
  <c r="AQ26" i="4"/>
  <c r="AR26" i="4"/>
  <c r="AS26" i="4"/>
  <c r="AT26" i="4"/>
  <c r="AU26" i="4"/>
  <c r="AV26" i="4"/>
  <c r="AW26" i="4"/>
  <c r="AX26" i="4"/>
  <c r="AY26" i="4"/>
  <c r="AZ26" i="4"/>
  <c r="BA26" i="4"/>
  <c r="BB26" i="4"/>
  <c r="BC26" i="4"/>
  <c r="BD26" i="4"/>
  <c r="BE26" i="4"/>
  <c r="BF26" i="4"/>
  <c r="BG26" i="4"/>
  <c r="BH26" i="4"/>
  <c r="BI26" i="4"/>
  <c r="BJ26" i="4"/>
  <c r="BK26" i="4"/>
  <c r="BL26" i="4"/>
  <c r="BM26" i="4"/>
  <c r="BN26" i="4"/>
  <c r="BO26" i="4"/>
  <c r="BP26" i="4"/>
  <c r="BQ26" i="4"/>
  <c r="BR26" i="4"/>
  <c r="BS26" i="4"/>
  <c r="BT26" i="4"/>
  <c r="BU26" i="4"/>
  <c r="BV26" i="4"/>
  <c r="BW26" i="4"/>
  <c r="BX26" i="4"/>
  <c r="BY26" i="4"/>
  <c r="BZ26" i="4"/>
  <c r="CA26" i="4"/>
  <c r="CB26" i="4"/>
  <c r="CC26" i="4"/>
  <c r="CD26" i="4"/>
  <c r="CE26" i="4"/>
  <c r="CF26" i="4"/>
  <c r="CG26" i="4"/>
  <c r="CH26" i="4"/>
  <c r="CI26" i="4"/>
  <c r="CJ26" i="4"/>
  <c r="CK26" i="4"/>
  <c r="CL26" i="4"/>
  <c r="CM26" i="4"/>
  <c r="CN26" i="4"/>
  <c r="CO26" i="4"/>
  <c r="CP26" i="4"/>
  <c r="CQ26" i="4"/>
  <c r="CR26" i="4"/>
  <c r="CS26" i="4"/>
  <c r="CT26" i="4"/>
  <c r="CU26" i="4"/>
  <c r="CV26" i="4"/>
  <c r="CW26" i="4"/>
  <c r="CX26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AK27" i="4"/>
  <c r="AL27" i="4"/>
  <c r="AM27" i="4"/>
  <c r="AN27" i="4"/>
  <c r="AO27" i="4"/>
  <c r="AP27" i="4"/>
  <c r="AQ27" i="4"/>
  <c r="AR27" i="4"/>
  <c r="AS27" i="4"/>
  <c r="AT27" i="4"/>
  <c r="AU27" i="4"/>
  <c r="AV27" i="4"/>
  <c r="AW27" i="4"/>
  <c r="AX27" i="4"/>
  <c r="AY27" i="4"/>
  <c r="AZ27" i="4"/>
  <c r="BA27" i="4"/>
  <c r="BB27" i="4"/>
  <c r="BC27" i="4"/>
  <c r="BD27" i="4"/>
  <c r="BE27" i="4"/>
  <c r="BF27" i="4"/>
  <c r="BG27" i="4"/>
  <c r="BH27" i="4"/>
  <c r="BI27" i="4"/>
  <c r="BJ27" i="4"/>
  <c r="BK27" i="4"/>
  <c r="BL27" i="4"/>
  <c r="BM27" i="4"/>
  <c r="BN27" i="4"/>
  <c r="BO27" i="4"/>
  <c r="BP27" i="4"/>
  <c r="BQ27" i="4"/>
  <c r="BR27" i="4"/>
  <c r="BS27" i="4"/>
  <c r="BT27" i="4"/>
  <c r="BU27" i="4"/>
  <c r="BV27" i="4"/>
  <c r="BW27" i="4"/>
  <c r="BX27" i="4"/>
  <c r="BY27" i="4"/>
  <c r="BZ27" i="4"/>
  <c r="CA27" i="4"/>
  <c r="CB27" i="4"/>
  <c r="CC27" i="4"/>
  <c r="CD27" i="4"/>
  <c r="CE27" i="4"/>
  <c r="CF27" i="4"/>
  <c r="CG27" i="4"/>
  <c r="CH27" i="4"/>
  <c r="CI27" i="4"/>
  <c r="CJ27" i="4"/>
  <c r="CK27" i="4"/>
  <c r="CL27" i="4"/>
  <c r="CM27" i="4"/>
  <c r="CN27" i="4"/>
  <c r="CO27" i="4"/>
  <c r="CP27" i="4"/>
  <c r="CQ27" i="4"/>
  <c r="CR27" i="4"/>
  <c r="CS27" i="4"/>
  <c r="CT27" i="4"/>
  <c r="CU27" i="4"/>
  <c r="CV27" i="4"/>
  <c r="CW27" i="4"/>
  <c r="CX27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AK28" i="4"/>
  <c r="AL28" i="4"/>
  <c r="AM28" i="4"/>
  <c r="AN28" i="4"/>
  <c r="AO28" i="4"/>
  <c r="AP28" i="4"/>
  <c r="AQ28" i="4"/>
  <c r="AR28" i="4"/>
  <c r="AS28" i="4"/>
  <c r="AT28" i="4"/>
  <c r="AU28" i="4"/>
  <c r="AV28" i="4"/>
  <c r="AW28" i="4"/>
  <c r="AX28" i="4"/>
  <c r="AY28" i="4"/>
  <c r="AZ28" i="4"/>
  <c r="BA28" i="4"/>
  <c r="BB28" i="4"/>
  <c r="BC28" i="4"/>
  <c r="BD28" i="4"/>
  <c r="BE28" i="4"/>
  <c r="BF28" i="4"/>
  <c r="BG28" i="4"/>
  <c r="BH28" i="4"/>
  <c r="BI28" i="4"/>
  <c r="BJ28" i="4"/>
  <c r="BK28" i="4"/>
  <c r="BL28" i="4"/>
  <c r="BM28" i="4"/>
  <c r="BN28" i="4"/>
  <c r="BO28" i="4"/>
  <c r="BP28" i="4"/>
  <c r="BQ28" i="4"/>
  <c r="BR28" i="4"/>
  <c r="BS28" i="4"/>
  <c r="BT28" i="4"/>
  <c r="BU28" i="4"/>
  <c r="BV28" i="4"/>
  <c r="BW28" i="4"/>
  <c r="BX28" i="4"/>
  <c r="BY28" i="4"/>
  <c r="BZ28" i="4"/>
  <c r="CA28" i="4"/>
  <c r="CB28" i="4"/>
  <c r="CC28" i="4"/>
  <c r="CD28" i="4"/>
  <c r="CE28" i="4"/>
  <c r="CF28" i="4"/>
  <c r="CG28" i="4"/>
  <c r="CH28" i="4"/>
  <c r="CI28" i="4"/>
  <c r="CJ28" i="4"/>
  <c r="CK28" i="4"/>
  <c r="CL28" i="4"/>
  <c r="CM28" i="4"/>
  <c r="CN28" i="4"/>
  <c r="CO28" i="4"/>
  <c r="CP28" i="4"/>
  <c r="CQ28" i="4"/>
  <c r="CR28" i="4"/>
  <c r="CS28" i="4"/>
  <c r="CT28" i="4"/>
  <c r="CU28" i="4"/>
  <c r="CV28" i="4"/>
  <c r="CW28" i="4"/>
  <c r="CX28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AK29" i="4"/>
  <c r="AL29" i="4"/>
  <c r="AM29" i="4"/>
  <c r="AN29" i="4"/>
  <c r="AO29" i="4"/>
  <c r="AP29" i="4"/>
  <c r="AQ29" i="4"/>
  <c r="AR29" i="4"/>
  <c r="AS29" i="4"/>
  <c r="AT29" i="4"/>
  <c r="AU29" i="4"/>
  <c r="AV29" i="4"/>
  <c r="AW29" i="4"/>
  <c r="AX29" i="4"/>
  <c r="AY29" i="4"/>
  <c r="AZ29" i="4"/>
  <c r="BA29" i="4"/>
  <c r="BB29" i="4"/>
  <c r="BC29" i="4"/>
  <c r="BD29" i="4"/>
  <c r="BE29" i="4"/>
  <c r="BF29" i="4"/>
  <c r="BG29" i="4"/>
  <c r="BH29" i="4"/>
  <c r="BI29" i="4"/>
  <c r="BJ29" i="4"/>
  <c r="BK29" i="4"/>
  <c r="BL29" i="4"/>
  <c r="BM29" i="4"/>
  <c r="BN29" i="4"/>
  <c r="BO29" i="4"/>
  <c r="BP29" i="4"/>
  <c r="BQ29" i="4"/>
  <c r="BR29" i="4"/>
  <c r="BS29" i="4"/>
  <c r="BT29" i="4"/>
  <c r="BU29" i="4"/>
  <c r="BV29" i="4"/>
  <c r="BW29" i="4"/>
  <c r="BX29" i="4"/>
  <c r="BY29" i="4"/>
  <c r="BZ29" i="4"/>
  <c r="CA29" i="4"/>
  <c r="CB29" i="4"/>
  <c r="CC29" i="4"/>
  <c r="CD29" i="4"/>
  <c r="CE29" i="4"/>
  <c r="CF29" i="4"/>
  <c r="CG29" i="4"/>
  <c r="CH29" i="4"/>
  <c r="CI29" i="4"/>
  <c r="CJ29" i="4"/>
  <c r="CK29" i="4"/>
  <c r="CL29" i="4"/>
  <c r="CM29" i="4"/>
  <c r="CN29" i="4"/>
  <c r="CO29" i="4"/>
  <c r="CP29" i="4"/>
  <c r="CQ29" i="4"/>
  <c r="CR29" i="4"/>
  <c r="CS29" i="4"/>
  <c r="CT29" i="4"/>
  <c r="CU29" i="4"/>
  <c r="CV29" i="4"/>
  <c r="CW29" i="4"/>
  <c r="CX29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AK30" i="4"/>
  <c r="AL30" i="4"/>
  <c r="AM30" i="4"/>
  <c r="AN30" i="4"/>
  <c r="AO30" i="4"/>
  <c r="AP30" i="4"/>
  <c r="AQ30" i="4"/>
  <c r="AR30" i="4"/>
  <c r="AS30" i="4"/>
  <c r="AT30" i="4"/>
  <c r="AU30" i="4"/>
  <c r="AV30" i="4"/>
  <c r="AW30" i="4"/>
  <c r="AX30" i="4"/>
  <c r="AY30" i="4"/>
  <c r="AZ30" i="4"/>
  <c r="BA30" i="4"/>
  <c r="BB30" i="4"/>
  <c r="BC30" i="4"/>
  <c r="BD30" i="4"/>
  <c r="BE30" i="4"/>
  <c r="BF30" i="4"/>
  <c r="BG30" i="4"/>
  <c r="BH30" i="4"/>
  <c r="BI30" i="4"/>
  <c r="BJ30" i="4"/>
  <c r="BK30" i="4"/>
  <c r="BL30" i="4"/>
  <c r="BM30" i="4"/>
  <c r="BN30" i="4"/>
  <c r="BO30" i="4"/>
  <c r="BP30" i="4"/>
  <c r="BQ30" i="4"/>
  <c r="BR30" i="4"/>
  <c r="BS30" i="4"/>
  <c r="BT30" i="4"/>
  <c r="BU30" i="4"/>
  <c r="BV30" i="4"/>
  <c r="BW30" i="4"/>
  <c r="BX30" i="4"/>
  <c r="BY30" i="4"/>
  <c r="BZ30" i="4"/>
  <c r="CA30" i="4"/>
  <c r="CB30" i="4"/>
  <c r="CC30" i="4"/>
  <c r="CD30" i="4"/>
  <c r="CE30" i="4"/>
  <c r="CF30" i="4"/>
  <c r="CG30" i="4"/>
  <c r="CH30" i="4"/>
  <c r="CI30" i="4"/>
  <c r="CJ30" i="4"/>
  <c r="CK30" i="4"/>
  <c r="CL30" i="4"/>
  <c r="CM30" i="4"/>
  <c r="CN30" i="4"/>
  <c r="CO30" i="4"/>
  <c r="CP30" i="4"/>
  <c r="CQ30" i="4"/>
  <c r="CR30" i="4"/>
  <c r="CS30" i="4"/>
  <c r="CT30" i="4"/>
  <c r="CU30" i="4"/>
  <c r="CV30" i="4"/>
  <c r="CW30" i="4"/>
  <c r="CX30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AK31" i="4"/>
  <c r="AL31" i="4"/>
  <c r="AM31" i="4"/>
  <c r="AN31" i="4"/>
  <c r="AO31" i="4"/>
  <c r="AP31" i="4"/>
  <c r="AQ31" i="4"/>
  <c r="AR31" i="4"/>
  <c r="AS31" i="4"/>
  <c r="AT31" i="4"/>
  <c r="AU31" i="4"/>
  <c r="AV31" i="4"/>
  <c r="AW31" i="4"/>
  <c r="AX31" i="4"/>
  <c r="AY31" i="4"/>
  <c r="AZ31" i="4"/>
  <c r="BA31" i="4"/>
  <c r="BB31" i="4"/>
  <c r="BC31" i="4"/>
  <c r="BD31" i="4"/>
  <c r="BE31" i="4"/>
  <c r="BF31" i="4"/>
  <c r="BG31" i="4"/>
  <c r="BH31" i="4"/>
  <c r="BI31" i="4"/>
  <c r="BJ31" i="4"/>
  <c r="BK31" i="4"/>
  <c r="BL31" i="4"/>
  <c r="BM31" i="4"/>
  <c r="BN31" i="4"/>
  <c r="BO31" i="4"/>
  <c r="BP31" i="4"/>
  <c r="BQ31" i="4"/>
  <c r="BR31" i="4"/>
  <c r="BS31" i="4"/>
  <c r="BT31" i="4"/>
  <c r="BU31" i="4"/>
  <c r="BV31" i="4"/>
  <c r="BW31" i="4"/>
  <c r="BX31" i="4"/>
  <c r="BY31" i="4"/>
  <c r="BZ31" i="4"/>
  <c r="CA31" i="4"/>
  <c r="CB31" i="4"/>
  <c r="CC31" i="4"/>
  <c r="CD31" i="4"/>
  <c r="CE31" i="4"/>
  <c r="CF31" i="4"/>
  <c r="CG31" i="4"/>
  <c r="CH31" i="4"/>
  <c r="CI31" i="4"/>
  <c r="CJ31" i="4"/>
  <c r="CK31" i="4"/>
  <c r="CL31" i="4"/>
  <c r="CM31" i="4"/>
  <c r="CN31" i="4"/>
  <c r="CO31" i="4"/>
  <c r="CP31" i="4"/>
  <c r="CQ31" i="4"/>
  <c r="CR31" i="4"/>
  <c r="CS31" i="4"/>
  <c r="CT31" i="4"/>
  <c r="CU31" i="4"/>
  <c r="CV31" i="4"/>
  <c r="CW31" i="4"/>
  <c r="CX31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AG32" i="4"/>
  <c r="AH32" i="4"/>
  <c r="AI32" i="4"/>
  <c r="AJ32" i="4"/>
  <c r="AK32" i="4"/>
  <c r="AL32" i="4"/>
  <c r="AM32" i="4"/>
  <c r="AN32" i="4"/>
  <c r="AO32" i="4"/>
  <c r="AP32" i="4"/>
  <c r="AQ32" i="4"/>
  <c r="AR32" i="4"/>
  <c r="AS32" i="4"/>
  <c r="AT32" i="4"/>
  <c r="AU32" i="4"/>
  <c r="AV32" i="4"/>
  <c r="AW32" i="4"/>
  <c r="AX32" i="4"/>
  <c r="AY32" i="4"/>
  <c r="AZ32" i="4"/>
  <c r="BA32" i="4"/>
  <c r="BB32" i="4"/>
  <c r="BC32" i="4"/>
  <c r="BD32" i="4"/>
  <c r="BE32" i="4"/>
  <c r="BF32" i="4"/>
  <c r="BG32" i="4"/>
  <c r="BH32" i="4"/>
  <c r="BI32" i="4"/>
  <c r="BJ32" i="4"/>
  <c r="BK32" i="4"/>
  <c r="BL32" i="4"/>
  <c r="BM32" i="4"/>
  <c r="BN32" i="4"/>
  <c r="BO32" i="4"/>
  <c r="BP32" i="4"/>
  <c r="BQ32" i="4"/>
  <c r="BR32" i="4"/>
  <c r="BS32" i="4"/>
  <c r="BT32" i="4"/>
  <c r="BU32" i="4"/>
  <c r="BV32" i="4"/>
  <c r="BW32" i="4"/>
  <c r="BX32" i="4"/>
  <c r="BY32" i="4"/>
  <c r="BZ32" i="4"/>
  <c r="CA32" i="4"/>
  <c r="CB32" i="4"/>
  <c r="CC32" i="4"/>
  <c r="CD32" i="4"/>
  <c r="CE32" i="4"/>
  <c r="CF32" i="4"/>
  <c r="CG32" i="4"/>
  <c r="CH32" i="4"/>
  <c r="CI32" i="4"/>
  <c r="CJ32" i="4"/>
  <c r="CK32" i="4"/>
  <c r="CL32" i="4"/>
  <c r="CM32" i="4"/>
  <c r="CN32" i="4"/>
  <c r="CO32" i="4"/>
  <c r="CP32" i="4"/>
  <c r="CQ32" i="4"/>
  <c r="CR32" i="4"/>
  <c r="CS32" i="4"/>
  <c r="CT32" i="4"/>
  <c r="CU32" i="4"/>
  <c r="CV32" i="4"/>
  <c r="CW32" i="4"/>
  <c r="CX32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AG33" i="4"/>
  <c r="AH33" i="4"/>
  <c r="AI33" i="4"/>
  <c r="AJ33" i="4"/>
  <c r="AK33" i="4"/>
  <c r="AL33" i="4"/>
  <c r="AM33" i="4"/>
  <c r="AN33" i="4"/>
  <c r="AO33" i="4"/>
  <c r="AP33" i="4"/>
  <c r="AQ33" i="4"/>
  <c r="AR33" i="4"/>
  <c r="AS33" i="4"/>
  <c r="AT33" i="4"/>
  <c r="AU33" i="4"/>
  <c r="AV33" i="4"/>
  <c r="AW33" i="4"/>
  <c r="AX33" i="4"/>
  <c r="AY33" i="4"/>
  <c r="AZ33" i="4"/>
  <c r="BA33" i="4"/>
  <c r="BB33" i="4"/>
  <c r="BC33" i="4"/>
  <c r="BD33" i="4"/>
  <c r="BE33" i="4"/>
  <c r="BF33" i="4"/>
  <c r="BG33" i="4"/>
  <c r="BH33" i="4"/>
  <c r="BI33" i="4"/>
  <c r="BJ33" i="4"/>
  <c r="BK33" i="4"/>
  <c r="BL33" i="4"/>
  <c r="BM33" i="4"/>
  <c r="BN33" i="4"/>
  <c r="BO33" i="4"/>
  <c r="BP33" i="4"/>
  <c r="BQ33" i="4"/>
  <c r="BR33" i="4"/>
  <c r="BS33" i="4"/>
  <c r="BT33" i="4"/>
  <c r="BU33" i="4"/>
  <c r="BV33" i="4"/>
  <c r="BW33" i="4"/>
  <c r="BX33" i="4"/>
  <c r="BY33" i="4"/>
  <c r="BZ33" i="4"/>
  <c r="CA33" i="4"/>
  <c r="CB33" i="4"/>
  <c r="CC33" i="4"/>
  <c r="CD33" i="4"/>
  <c r="CE33" i="4"/>
  <c r="CF33" i="4"/>
  <c r="CG33" i="4"/>
  <c r="CH33" i="4"/>
  <c r="CI33" i="4"/>
  <c r="CJ33" i="4"/>
  <c r="CK33" i="4"/>
  <c r="CL33" i="4"/>
  <c r="CM33" i="4"/>
  <c r="CN33" i="4"/>
  <c r="CO33" i="4"/>
  <c r="CP33" i="4"/>
  <c r="CQ33" i="4"/>
  <c r="CR33" i="4"/>
  <c r="CS33" i="4"/>
  <c r="CT33" i="4"/>
  <c r="CU33" i="4"/>
  <c r="CV33" i="4"/>
  <c r="CW33" i="4"/>
  <c r="CX33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AG34" i="4"/>
  <c r="AH34" i="4"/>
  <c r="AI34" i="4"/>
  <c r="AJ34" i="4"/>
  <c r="AK34" i="4"/>
  <c r="AL34" i="4"/>
  <c r="AM34" i="4"/>
  <c r="AN34" i="4"/>
  <c r="AO34" i="4"/>
  <c r="AP34" i="4"/>
  <c r="AQ34" i="4"/>
  <c r="AR34" i="4"/>
  <c r="AS34" i="4"/>
  <c r="AT34" i="4"/>
  <c r="AU34" i="4"/>
  <c r="AV34" i="4"/>
  <c r="AW34" i="4"/>
  <c r="AX34" i="4"/>
  <c r="AY34" i="4"/>
  <c r="AZ34" i="4"/>
  <c r="BA34" i="4"/>
  <c r="BB34" i="4"/>
  <c r="BC34" i="4"/>
  <c r="BD34" i="4"/>
  <c r="BE34" i="4"/>
  <c r="BF34" i="4"/>
  <c r="BG34" i="4"/>
  <c r="BH34" i="4"/>
  <c r="BI34" i="4"/>
  <c r="BJ34" i="4"/>
  <c r="BK34" i="4"/>
  <c r="BL34" i="4"/>
  <c r="BM34" i="4"/>
  <c r="BN34" i="4"/>
  <c r="BO34" i="4"/>
  <c r="BP34" i="4"/>
  <c r="BQ34" i="4"/>
  <c r="BR34" i="4"/>
  <c r="BS34" i="4"/>
  <c r="BT34" i="4"/>
  <c r="BU34" i="4"/>
  <c r="BV34" i="4"/>
  <c r="BW34" i="4"/>
  <c r="BX34" i="4"/>
  <c r="BY34" i="4"/>
  <c r="BZ34" i="4"/>
  <c r="CA34" i="4"/>
  <c r="CB34" i="4"/>
  <c r="CC34" i="4"/>
  <c r="CD34" i="4"/>
  <c r="CE34" i="4"/>
  <c r="CF34" i="4"/>
  <c r="CG34" i="4"/>
  <c r="CH34" i="4"/>
  <c r="CI34" i="4"/>
  <c r="CJ34" i="4"/>
  <c r="CK34" i="4"/>
  <c r="CL34" i="4"/>
  <c r="CM34" i="4"/>
  <c r="CN34" i="4"/>
  <c r="CO34" i="4"/>
  <c r="CP34" i="4"/>
  <c r="CQ34" i="4"/>
  <c r="CR34" i="4"/>
  <c r="CS34" i="4"/>
  <c r="CT34" i="4"/>
  <c r="CU34" i="4"/>
  <c r="CV34" i="4"/>
  <c r="CW34" i="4"/>
  <c r="CX34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AG35" i="4"/>
  <c r="AH35" i="4"/>
  <c r="AI35" i="4"/>
  <c r="AJ35" i="4"/>
  <c r="AK35" i="4"/>
  <c r="AL35" i="4"/>
  <c r="AM35" i="4"/>
  <c r="AN35" i="4"/>
  <c r="AO35" i="4"/>
  <c r="AP35" i="4"/>
  <c r="AQ35" i="4"/>
  <c r="AR35" i="4"/>
  <c r="AS35" i="4"/>
  <c r="AT35" i="4"/>
  <c r="AU35" i="4"/>
  <c r="AV35" i="4"/>
  <c r="AW35" i="4"/>
  <c r="AX35" i="4"/>
  <c r="AY35" i="4"/>
  <c r="AZ35" i="4"/>
  <c r="BA35" i="4"/>
  <c r="BB35" i="4"/>
  <c r="BC35" i="4"/>
  <c r="BD35" i="4"/>
  <c r="BE35" i="4"/>
  <c r="BF35" i="4"/>
  <c r="BG35" i="4"/>
  <c r="BH35" i="4"/>
  <c r="BI35" i="4"/>
  <c r="BJ35" i="4"/>
  <c r="BK35" i="4"/>
  <c r="BL35" i="4"/>
  <c r="BM35" i="4"/>
  <c r="BN35" i="4"/>
  <c r="BO35" i="4"/>
  <c r="BP35" i="4"/>
  <c r="BQ35" i="4"/>
  <c r="BR35" i="4"/>
  <c r="BS35" i="4"/>
  <c r="BT35" i="4"/>
  <c r="BU35" i="4"/>
  <c r="BV35" i="4"/>
  <c r="BW35" i="4"/>
  <c r="BX35" i="4"/>
  <c r="BY35" i="4"/>
  <c r="BZ35" i="4"/>
  <c r="CA35" i="4"/>
  <c r="CB35" i="4"/>
  <c r="CC35" i="4"/>
  <c r="CD35" i="4"/>
  <c r="CE35" i="4"/>
  <c r="CF35" i="4"/>
  <c r="CG35" i="4"/>
  <c r="CH35" i="4"/>
  <c r="CI35" i="4"/>
  <c r="CJ35" i="4"/>
  <c r="CK35" i="4"/>
  <c r="CL35" i="4"/>
  <c r="CM35" i="4"/>
  <c r="CN35" i="4"/>
  <c r="CO35" i="4"/>
  <c r="CP35" i="4"/>
  <c r="CQ35" i="4"/>
  <c r="CR35" i="4"/>
  <c r="CS35" i="4"/>
  <c r="CT35" i="4"/>
  <c r="CU35" i="4"/>
  <c r="CV35" i="4"/>
  <c r="CW35" i="4"/>
  <c r="CX35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AG36" i="4"/>
  <c r="AH36" i="4"/>
  <c r="AI36" i="4"/>
  <c r="AJ36" i="4"/>
  <c r="AK36" i="4"/>
  <c r="AL36" i="4"/>
  <c r="AM36" i="4"/>
  <c r="AN36" i="4"/>
  <c r="AO36" i="4"/>
  <c r="AP36" i="4"/>
  <c r="AQ36" i="4"/>
  <c r="AR36" i="4"/>
  <c r="AS36" i="4"/>
  <c r="AT36" i="4"/>
  <c r="AU36" i="4"/>
  <c r="AV36" i="4"/>
  <c r="AW36" i="4"/>
  <c r="AX36" i="4"/>
  <c r="AY36" i="4"/>
  <c r="AZ36" i="4"/>
  <c r="BA36" i="4"/>
  <c r="BB36" i="4"/>
  <c r="BC36" i="4"/>
  <c r="BD36" i="4"/>
  <c r="BE36" i="4"/>
  <c r="BF36" i="4"/>
  <c r="BG36" i="4"/>
  <c r="BH36" i="4"/>
  <c r="BI36" i="4"/>
  <c r="BJ36" i="4"/>
  <c r="BK36" i="4"/>
  <c r="BL36" i="4"/>
  <c r="BM36" i="4"/>
  <c r="BN36" i="4"/>
  <c r="BO36" i="4"/>
  <c r="BP36" i="4"/>
  <c r="BQ36" i="4"/>
  <c r="BR36" i="4"/>
  <c r="BS36" i="4"/>
  <c r="BT36" i="4"/>
  <c r="BU36" i="4"/>
  <c r="BV36" i="4"/>
  <c r="BW36" i="4"/>
  <c r="BX36" i="4"/>
  <c r="BY36" i="4"/>
  <c r="BZ36" i="4"/>
  <c r="CA36" i="4"/>
  <c r="CB36" i="4"/>
  <c r="CC36" i="4"/>
  <c r="CD36" i="4"/>
  <c r="CE36" i="4"/>
  <c r="CF36" i="4"/>
  <c r="CG36" i="4"/>
  <c r="CH36" i="4"/>
  <c r="CI36" i="4"/>
  <c r="CJ36" i="4"/>
  <c r="CK36" i="4"/>
  <c r="CL36" i="4"/>
  <c r="CM36" i="4"/>
  <c r="CN36" i="4"/>
  <c r="CO36" i="4"/>
  <c r="CP36" i="4"/>
  <c r="CQ36" i="4"/>
  <c r="CR36" i="4"/>
  <c r="CS36" i="4"/>
  <c r="CT36" i="4"/>
  <c r="CU36" i="4"/>
  <c r="CV36" i="4"/>
  <c r="CW36" i="4"/>
  <c r="CX36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AG37" i="4"/>
  <c r="AH37" i="4"/>
  <c r="AI37" i="4"/>
  <c r="AJ37" i="4"/>
  <c r="AK37" i="4"/>
  <c r="AL37" i="4"/>
  <c r="AM37" i="4"/>
  <c r="AN37" i="4"/>
  <c r="AO37" i="4"/>
  <c r="AP37" i="4"/>
  <c r="AQ37" i="4"/>
  <c r="AR37" i="4"/>
  <c r="AS37" i="4"/>
  <c r="AT37" i="4"/>
  <c r="AU37" i="4"/>
  <c r="AV37" i="4"/>
  <c r="AW37" i="4"/>
  <c r="AX37" i="4"/>
  <c r="AY37" i="4"/>
  <c r="AZ37" i="4"/>
  <c r="BA37" i="4"/>
  <c r="BB37" i="4"/>
  <c r="BC37" i="4"/>
  <c r="BD37" i="4"/>
  <c r="BE37" i="4"/>
  <c r="BF37" i="4"/>
  <c r="BG37" i="4"/>
  <c r="BH37" i="4"/>
  <c r="BI37" i="4"/>
  <c r="BJ37" i="4"/>
  <c r="BK37" i="4"/>
  <c r="BL37" i="4"/>
  <c r="BM37" i="4"/>
  <c r="BN37" i="4"/>
  <c r="BO37" i="4"/>
  <c r="BP37" i="4"/>
  <c r="BQ37" i="4"/>
  <c r="BR37" i="4"/>
  <c r="BS37" i="4"/>
  <c r="BT37" i="4"/>
  <c r="BU37" i="4"/>
  <c r="BV37" i="4"/>
  <c r="BW37" i="4"/>
  <c r="BX37" i="4"/>
  <c r="BY37" i="4"/>
  <c r="BZ37" i="4"/>
  <c r="CA37" i="4"/>
  <c r="CB37" i="4"/>
  <c r="CC37" i="4"/>
  <c r="CD37" i="4"/>
  <c r="CE37" i="4"/>
  <c r="CF37" i="4"/>
  <c r="CG37" i="4"/>
  <c r="CH37" i="4"/>
  <c r="CI37" i="4"/>
  <c r="CJ37" i="4"/>
  <c r="CK37" i="4"/>
  <c r="CL37" i="4"/>
  <c r="CM37" i="4"/>
  <c r="CN37" i="4"/>
  <c r="CO37" i="4"/>
  <c r="CP37" i="4"/>
  <c r="CQ37" i="4"/>
  <c r="CR37" i="4"/>
  <c r="CS37" i="4"/>
  <c r="CT37" i="4"/>
  <c r="CU37" i="4"/>
  <c r="CV37" i="4"/>
  <c r="CW37" i="4"/>
  <c r="CX37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AG38" i="4"/>
  <c r="AH38" i="4"/>
  <c r="AI38" i="4"/>
  <c r="AJ38" i="4"/>
  <c r="AK38" i="4"/>
  <c r="AL38" i="4"/>
  <c r="AM38" i="4"/>
  <c r="AN38" i="4"/>
  <c r="AO38" i="4"/>
  <c r="AP38" i="4"/>
  <c r="AQ38" i="4"/>
  <c r="AR38" i="4"/>
  <c r="AS38" i="4"/>
  <c r="AT38" i="4"/>
  <c r="AU38" i="4"/>
  <c r="AV38" i="4"/>
  <c r="AW38" i="4"/>
  <c r="AX38" i="4"/>
  <c r="AY38" i="4"/>
  <c r="AZ38" i="4"/>
  <c r="BA38" i="4"/>
  <c r="BB38" i="4"/>
  <c r="BC38" i="4"/>
  <c r="BD38" i="4"/>
  <c r="BE38" i="4"/>
  <c r="BF38" i="4"/>
  <c r="BG38" i="4"/>
  <c r="BH38" i="4"/>
  <c r="BI38" i="4"/>
  <c r="BJ38" i="4"/>
  <c r="BK38" i="4"/>
  <c r="BL38" i="4"/>
  <c r="BM38" i="4"/>
  <c r="BN38" i="4"/>
  <c r="BO38" i="4"/>
  <c r="BP38" i="4"/>
  <c r="BQ38" i="4"/>
  <c r="BR38" i="4"/>
  <c r="BS38" i="4"/>
  <c r="BT38" i="4"/>
  <c r="BU38" i="4"/>
  <c r="BV38" i="4"/>
  <c r="BW38" i="4"/>
  <c r="BX38" i="4"/>
  <c r="BY38" i="4"/>
  <c r="BZ38" i="4"/>
  <c r="CA38" i="4"/>
  <c r="CB38" i="4"/>
  <c r="CC38" i="4"/>
  <c r="CD38" i="4"/>
  <c r="CE38" i="4"/>
  <c r="CF38" i="4"/>
  <c r="CG38" i="4"/>
  <c r="CH38" i="4"/>
  <c r="CI38" i="4"/>
  <c r="CJ38" i="4"/>
  <c r="CK38" i="4"/>
  <c r="CL38" i="4"/>
  <c r="CM38" i="4"/>
  <c r="CN38" i="4"/>
  <c r="CO38" i="4"/>
  <c r="CP38" i="4"/>
  <c r="CQ38" i="4"/>
  <c r="CR38" i="4"/>
  <c r="CS38" i="4"/>
  <c r="CT38" i="4"/>
  <c r="CU38" i="4"/>
  <c r="CV38" i="4"/>
  <c r="CW38" i="4"/>
  <c r="CX38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AG39" i="4"/>
  <c r="AH39" i="4"/>
  <c r="AI39" i="4"/>
  <c r="AJ39" i="4"/>
  <c r="AK39" i="4"/>
  <c r="AL39" i="4"/>
  <c r="AM39" i="4"/>
  <c r="AN39" i="4"/>
  <c r="AO39" i="4"/>
  <c r="AP39" i="4"/>
  <c r="AQ39" i="4"/>
  <c r="AR39" i="4"/>
  <c r="AS39" i="4"/>
  <c r="AT39" i="4"/>
  <c r="AU39" i="4"/>
  <c r="AV39" i="4"/>
  <c r="AW39" i="4"/>
  <c r="AX39" i="4"/>
  <c r="AY39" i="4"/>
  <c r="AZ39" i="4"/>
  <c r="BA39" i="4"/>
  <c r="BB39" i="4"/>
  <c r="BC39" i="4"/>
  <c r="BD39" i="4"/>
  <c r="BE39" i="4"/>
  <c r="BF39" i="4"/>
  <c r="BG39" i="4"/>
  <c r="BH39" i="4"/>
  <c r="BI39" i="4"/>
  <c r="BJ39" i="4"/>
  <c r="BK39" i="4"/>
  <c r="BL39" i="4"/>
  <c r="BM39" i="4"/>
  <c r="BN39" i="4"/>
  <c r="BO39" i="4"/>
  <c r="BP39" i="4"/>
  <c r="BQ39" i="4"/>
  <c r="BR39" i="4"/>
  <c r="BS39" i="4"/>
  <c r="BT39" i="4"/>
  <c r="BU39" i="4"/>
  <c r="BV39" i="4"/>
  <c r="BW39" i="4"/>
  <c r="BX39" i="4"/>
  <c r="BY39" i="4"/>
  <c r="BZ39" i="4"/>
  <c r="CA39" i="4"/>
  <c r="CB39" i="4"/>
  <c r="CC39" i="4"/>
  <c r="CD39" i="4"/>
  <c r="CE39" i="4"/>
  <c r="CF39" i="4"/>
  <c r="CG39" i="4"/>
  <c r="CH39" i="4"/>
  <c r="CI39" i="4"/>
  <c r="CJ39" i="4"/>
  <c r="CK39" i="4"/>
  <c r="CL39" i="4"/>
  <c r="CM39" i="4"/>
  <c r="CN39" i="4"/>
  <c r="CO39" i="4"/>
  <c r="CP39" i="4"/>
  <c r="CQ39" i="4"/>
  <c r="CR39" i="4"/>
  <c r="CS39" i="4"/>
  <c r="CT39" i="4"/>
  <c r="CU39" i="4"/>
  <c r="CV39" i="4"/>
  <c r="CW39" i="4"/>
  <c r="CX39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AG40" i="4"/>
  <c r="AH40" i="4"/>
  <c r="AI40" i="4"/>
  <c r="AJ40" i="4"/>
  <c r="AK40" i="4"/>
  <c r="AL40" i="4"/>
  <c r="AM40" i="4"/>
  <c r="AN40" i="4"/>
  <c r="AO40" i="4"/>
  <c r="AP40" i="4"/>
  <c r="AQ40" i="4"/>
  <c r="AR40" i="4"/>
  <c r="AS40" i="4"/>
  <c r="AT40" i="4"/>
  <c r="AU40" i="4"/>
  <c r="AV40" i="4"/>
  <c r="AW40" i="4"/>
  <c r="AX40" i="4"/>
  <c r="AY40" i="4"/>
  <c r="AZ40" i="4"/>
  <c r="BA40" i="4"/>
  <c r="BB40" i="4"/>
  <c r="BC40" i="4"/>
  <c r="BD40" i="4"/>
  <c r="BE40" i="4"/>
  <c r="BF40" i="4"/>
  <c r="BG40" i="4"/>
  <c r="BH40" i="4"/>
  <c r="BI40" i="4"/>
  <c r="BJ40" i="4"/>
  <c r="BK40" i="4"/>
  <c r="BL40" i="4"/>
  <c r="BM40" i="4"/>
  <c r="BN40" i="4"/>
  <c r="BO40" i="4"/>
  <c r="BP40" i="4"/>
  <c r="BQ40" i="4"/>
  <c r="BR40" i="4"/>
  <c r="BS40" i="4"/>
  <c r="BT40" i="4"/>
  <c r="BU40" i="4"/>
  <c r="BV40" i="4"/>
  <c r="BW40" i="4"/>
  <c r="BX40" i="4"/>
  <c r="BY40" i="4"/>
  <c r="BZ40" i="4"/>
  <c r="CA40" i="4"/>
  <c r="CB40" i="4"/>
  <c r="CC40" i="4"/>
  <c r="CD40" i="4"/>
  <c r="CE40" i="4"/>
  <c r="CF40" i="4"/>
  <c r="CG40" i="4"/>
  <c r="CH40" i="4"/>
  <c r="CI40" i="4"/>
  <c r="CJ40" i="4"/>
  <c r="CK40" i="4"/>
  <c r="CL40" i="4"/>
  <c r="CM40" i="4"/>
  <c r="CN40" i="4"/>
  <c r="CO40" i="4"/>
  <c r="CP40" i="4"/>
  <c r="CQ40" i="4"/>
  <c r="CR40" i="4"/>
  <c r="CS40" i="4"/>
  <c r="CT40" i="4"/>
  <c r="CU40" i="4"/>
  <c r="CV40" i="4"/>
  <c r="CW40" i="4"/>
  <c r="CX40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AG41" i="4"/>
  <c r="AH41" i="4"/>
  <c r="AI41" i="4"/>
  <c r="AJ41" i="4"/>
  <c r="AK41" i="4"/>
  <c r="AL41" i="4"/>
  <c r="AM41" i="4"/>
  <c r="AN41" i="4"/>
  <c r="AO41" i="4"/>
  <c r="AP41" i="4"/>
  <c r="AQ41" i="4"/>
  <c r="AR41" i="4"/>
  <c r="AS41" i="4"/>
  <c r="AT41" i="4"/>
  <c r="AU41" i="4"/>
  <c r="AV41" i="4"/>
  <c r="AW41" i="4"/>
  <c r="AX41" i="4"/>
  <c r="AY41" i="4"/>
  <c r="AZ41" i="4"/>
  <c r="BA41" i="4"/>
  <c r="BB41" i="4"/>
  <c r="BC41" i="4"/>
  <c r="BD41" i="4"/>
  <c r="BE41" i="4"/>
  <c r="BF41" i="4"/>
  <c r="BG41" i="4"/>
  <c r="BH41" i="4"/>
  <c r="BI41" i="4"/>
  <c r="BJ41" i="4"/>
  <c r="BK41" i="4"/>
  <c r="BL41" i="4"/>
  <c r="BM41" i="4"/>
  <c r="BN41" i="4"/>
  <c r="BO41" i="4"/>
  <c r="BP41" i="4"/>
  <c r="BQ41" i="4"/>
  <c r="BR41" i="4"/>
  <c r="BS41" i="4"/>
  <c r="BT41" i="4"/>
  <c r="BU41" i="4"/>
  <c r="BV41" i="4"/>
  <c r="BW41" i="4"/>
  <c r="BX41" i="4"/>
  <c r="BY41" i="4"/>
  <c r="BZ41" i="4"/>
  <c r="CA41" i="4"/>
  <c r="CB41" i="4"/>
  <c r="CC41" i="4"/>
  <c r="CD41" i="4"/>
  <c r="CE41" i="4"/>
  <c r="CF41" i="4"/>
  <c r="CG41" i="4"/>
  <c r="CH41" i="4"/>
  <c r="CI41" i="4"/>
  <c r="CJ41" i="4"/>
  <c r="CK41" i="4"/>
  <c r="CL41" i="4"/>
  <c r="CM41" i="4"/>
  <c r="CN41" i="4"/>
  <c r="CO41" i="4"/>
  <c r="CP41" i="4"/>
  <c r="CQ41" i="4"/>
  <c r="CR41" i="4"/>
  <c r="CS41" i="4"/>
  <c r="CT41" i="4"/>
  <c r="CU41" i="4"/>
  <c r="CV41" i="4"/>
  <c r="CW41" i="4"/>
  <c r="CX41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AG42" i="4"/>
  <c r="AH42" i="4"/>
  <c r="AI42" i="4"/>
  <c r="AJ42" i="4"/>
  <c r="AK42" i="4"/>
  <c r="AL42" i="4"/>
  <c r="AM42" i="4"/>
  <c r="AN42" i="4"/>
  <c r="AO42" i="4"/>
  <c r="AP42" i="4"/>
  <c r="AQ42" i="4"/>
  <c r="AR42" i="4"/>
  <c r="AS42" i="4"/>
  <c r="AT42" i="4"/>
  <c r="AU42" i="4"/>
  <c r="AV42" i="4"/>
  <c r="AW42" i="4"/>
  <c r="AX42" i="4"/>
  <c r="AY42" i="4"/>
  <c r="AZ42" i="4"/>
  <c r="BA42" i="4"/>
  <c r="BB42" i="4"/>
  <c r="BC42" i="4"/>
  <c r="BD42" i="4"/>
  <c r="BE42" i="4"/>
  <c r="BF42" i="4"/>
  <c r="BG42" i="4"/>
  <c r="BH42" i="4"/>
  <c r="BI42" i="4"/>
  <c r="BJ42" i="4"/>
  <c r="BK42" i="4"/>
  <c r="BL42" i="4"/>
  <c r="BM42" i="4"/>
  <c r="BN42" i="4"/>
  <c r="BO42" i="4"/>
  <c r="BP42" i="4"/>
  <c r="BQ42" i="4"/>
  <c r="BR42" i="4"/>
  <c r="BS42" i="4"/>
  <c r="BT42" i="4"/>
  <c r="BU42" i="4"/>
  <c r="BV42" i="4"/>
  <c r="BW42" i="4"/>
  <c r="BX42" i="4"/>
  <c r="BY42" i="4"/>
  <c r="BZ42" i="4"/>
  <c r="CA42" i="4"/>
  <c r="CB42" i="4"/>
  <c r="CC42" i="4"/>
  <c r="CD42" i="4"/>
  <c r="CE42" i="4"/>
  <c r="CF42" i="4"/>
  <c r="CG42" i="4"/>
  <c r="CH42" i="4"/>
  <c r="CI42" i="4"/>
  <c r="CJ42" i="4"/>
  <c r="CK42" i="4"/>
  <c r="CL42" i="4"/>
  <c r="CM42" i="4"/>
  <c r="CN42" i="4"/>
  <c r="CO42" i="4"/>
  <c r="CP42" i="4"/>
  <c r="CQ42" i="4"/>
  <c r="CR42" i="4"/>
  <c r="CS42" i="4"/>
  <c r="CT42" i="4"/>
  <c r="CU42" i="4"/>
  <c r="CV42" i="4"/>
  <c r="CW42" i="4"/>
  <c r="CX42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AG43" i="4"/>
  <c r="AH43" i="4"/>
  <c r="AI43" i="4"/>
  <c r="AJ43" i="4"/>
  <c r="AK43" i="4"/>
  <c r="AL43" i="4"/>
  <c r="AM43" i="4"/>
  <c r="AN43" i="4"/>
  <c r="AO43" i="4"/>
  <c r="AP43" i="4"/>
  <c r="AQ43" i="4"/>
  <c r="AR43" i="4"/>
  <c r="AS43" i="4"/>
  <c r="AT43" i="4"/>
  <c r="AU43" i="4"/>
  <c r="AV43" i="4"/>
  <c r="AW43" i="4"/>
  <c r="AX43" i="4"/>
  <c r="AY43" i="4"/>
  <c r="AZ43" i="4"/>
  <c r="BA43" i="4"/>
  <c r="BB43" i="4"/>
  <c r="BC43" i="4"/>
  <c r="BD43" i="4"/>
  <c r="BE43" i="4"/>
  <c r="BF43" i="4"/>
  <c r="BG43" i="4"/>
  <c r="BH43" i="4"/>
  <c r="BI43" i="4"/>
  <c r="BJ43" i="4"/>
  <c r="BK43" i="4"/>
  <c r="BL43" i="4"/>
  <c r="BM43" i="4"/>
  <c r="BN43" i="4"/>
  <c r="BO43" i="4"/>
  <c r="BP43" i="4"/>
  <c r="BQ43" i="4"/>
  <c r="BR43" i="4"/>
  <c r="BS43" i="4"/>
  <c r="BT43" i="4"/>
  <c r="BU43" i="4"/>
  <c r="BV43" i="4"/>
  <c r="BW43" i="4"/>
  <c r="BX43" i="4"/>
  <c r="BY43" i="4"/>
  <c r="BZ43" i="4"/>
  <c r="CA43" i="4"/>
  <c r="CB43" i="4"/>
  <c r="CC43" i="4"/>
  <c r="CD43" i="4"/>
  <c r="CE43" i="4"/>
  <c r="CF43" i="4"/>
  <c r="CG43" i="4"/>
  <c r="CH43" i="4"/>
  <c r="CI43" i="4"/>
  <c r="CJ43" i="4"/>
  <c r="CK43" i="4"/>
  <c r="CL43" i="4"/>
  <c r="CM43" i="4"/>
  <c r="CN43" i="4"/>
  <c r="CO43" i="4"/>
  <c r="CP43" i="4"/>
  <c r="CQ43" i="4"/>
  <c r="CR43" i="4"/>
  <c r="CS43" i="4"/>
  <c r="CT43" i="4"/>
  <c r="CU43" i="4"/>
  <c r="CV43" i="4"/>
  <c r="CW43" i="4"/>
  <c r="CX43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AG44" i="4"/>
  <c r="AH44" i="4"/>
  <c r="AI44" i="4"/>
  <c r="AJ44" i="4"/>
  <c r="AK44" i="4"/>
  <c r="AL44" i="4"/>
  <c r="AM44" i="4"/>
  <c r="AN44" i="4"/>
  <c r="AO44" i="4"/>
  <c r="AP44" i="4"/>
  <c r="AQ44" i="4"/>
  <c r="AR44" i="4"/>
  <c r="AS44" i="4"/>
  <c r="AT44" i="4"/>
  <c r="AU44" i="4"/>
  <c r="AV44" i="4"/>
  <c r="AW44" i="4"/>
  <c r="AX44" i="4"/>
  <c r="AY44" i="4"/>
  <c r="AZ44" i="4"/>
  <c r="BA44" i="4"/>
  <c r="BB44" i="4"/>
  <c r="BC44" i="4"/>
  <c r="BD44" i="4"/>
  <c r="BE44" i="4"/>
  <c r="BF44" i="4"/>
  <c r="BG44" i="4"/>
  <c r="BH44" i="4"/>
  <c r="BI44" i="4"/>
  <c r="BJ44" i="4"/>
  <c r="BK44" i="4"/>
  <c r="BL44" i="4"/>
  <c r="BM44" i="4"/>
  <c r="BN44" i="4"/>
  <c r="BO44" i="4"/>
  <c r="BP44" i="4"/>
  <c r="BQ44" i="4"/>
  <c r="BR44" i="4"/>
  <c r="BS44" i="4"/>
  <c r="BT44" i="4"/>
  <c r="BU44" i="4"/>
  <c r="BV44" i="4"/>
  <c r="BW44" i="4"/>
  <c r="BX44" i="4"/>
  <c r="BY44" i="4"/>
  <c r="BZ44" i="4"/>
  <c r="CA44" i="4"/>
  <c r="CB44" i="4"/>
  <c r="CC44" i="4"/>
  <c r="CD44" i="4"/>
  <c r="CE44" i="4"/>
  <c r="CF44" i="4"/>
  <c r="CG44" i="4"/>
  <c r="CH44" i="4"/>
  <c r="CI44" i="4"/>
  <c r="CJ44" i="4"/>
  <c r="CK44" i="4"/>
  <c r="CL44" i="4"/>
  <c r="CM44" i="4"/>
  <c r="CN44" i="4"/>
  <c r="CO44" i="4"/>
  <c r="CP44" i="4"/>
  <c r="CQ44" i="4"/>
  <c r="CR44" i="4"/>
  <c r="CS44" i="4"/>
  <c r="CT44" i="4"/>
  <c r="CU44" i="4"/>
  <c r="CV44" i="4"/>
  <c r="CW44" i="4"/>
  <c r="CX44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AG45" i="4"/>
  <c r="AH45" i="4"/>
  <c r="AI45" i="4"/>
  <c r="AJ45" i="4"/>
  <c r="AK45" i="4"/>
  <c r="AL45" i="4"/>
  <c r="AM45" i="4"/>
  <c r="AN45" i="4"/>
  <c r="AO45" i="4"/>
  <c r="AP45" i="4"/>
  <c r="AQ45" i="4"/>
  <c r="AR45" i="4"/>
  <c r="AS45" i="4"/>
  <c r="AT45" i="4"/>
  <c r="AU45" i="4"/>
  <c r="AV45" i="4"/>
  <c r="AW45" i="4"/>
  <c r="AX45" i="4"/>
  <c r="AY45" i="4"/>
  <c r="AZ45" i="4"/>
  <c r="BA45" i="4"/>
  <c r="BB45" i="4"/>
  <c r="BC45" i="4"/>
  <c r="BD45" i="4"/>
  <c r="BE45" i="4"/>
  <c r="BF45" i="4"/>
  <c r="BG45" i="4"/>
  <c r="BH45" i="4"/>
  <c r="BI45" i="4"/>
  <c r="BJ45" i="4"/>
  <c r="BK45" i="4"/>
  <c r="BL45" i="4"/>
  <c r="BM45" i="4"/>
  <c r="BN45" i="4"/>
  <c r="BO45" i="4"/>
  <c r="BP45" i="4"/>
  <c r="BQ45" i="4"/>
  <c r="BR45" i="4"/>
  <c r="BS45" i="4"/>
  <c r="BT45" i="4"/>
  <c r="BU45" i="4"/>
  <c r="BV45" i="4"/>
  <c r="BW45" i="4"/>
  <c r="BX45" i="4"/>
  <c r="BY45" i="4"/>
  <c r="BZ45" i="4"/>
  <c r="CA45" i="4"/>
  <c r="CB45" i="4"/>
  <c r="CC45" i="4"/>
  <c r="CD45" i="4"/>
  <c r="CE45" i="4"/>
  <c r="CF45" i="4"/>
  <c r="CG45" i="4"/>
  <c r="CH45" i="4"/>
  <c r="CI45" i="4"/>
  <c r="CJ45" i="4"/>
  <c r="CK45" i="4"/>
  <c r="CL45" i="4"/>
  <c r="CM45" i="4"/>
  <c r="CN45" i="4"/>
  <c r="CO45" i="4"/>
  <c r="CP45" i="4"/>
  <c r="CQ45" i="4"/>
  <c r="CR45" i="4"/>
  <c r="CS45" i="4"/>
  <c r="CT45" i="4"/>
  <c r="CU45" i="4"/>
  <c r="CV45" i="4"/>
  <c r="CW45" i="4"/>
  <c r="CX45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AG46" i="4"/>
  <c r="AH46" i="4"/>
  <c r="AI46" i="4"/>
  <c r="AJ46" i="4"/>
  <c r="AK46" i="4"/>
  <c r="AL46" i="4"/>
  <c r="AM46" i="4"/>
  <c r="AN46" i="4"/>
  <c r="AO46" i="4"/>
  <c r="AP46" i="4"/>
  <c r="AQ46" i="4"/>
  <c r="AR46" i="4"/>
  <c r="AS46" i="4"/>
  <c r="AT46" i="4"/>
  <c r="AU46" i="4"/>
  <c r="AV46" i="4"/>
  <c r="AW46" i="4"/>
  <c r="AX46" i="4"/>
  <c r="AY46" i="4"/>
  <c r="AZ46" i="4"/>
  <c r="BA46" i="4"/>
  <c r="BB46" i="4"/>
  <c r="BC46" i="4"/>
  <c r="BD46" i="4"/>
  <c r="BE46" i="4"/>
  <c r="BF46" i="4"/>
  <c r="BG46" i="4"/>
  <c r="BH46" i="4"/>
  <c r="BI46" i="4"/>
  <c r="BJ46" i="4"/>
  <c r="BK46" i="4"/>
  <c r="BL46" i="4"/>
  <c r="BM46" i="4"/>
  <c r="BN46" i="4"/>
  <c r="BO46" i="4"/>
  <c r="BP46" i="4"/>
  <c r="BQ46" i="4"/>
  <c r="BR46" i="4"/>
  <c r="BS46" i="4"/>
  <c r="BT46" i="4"/>
  <c r="BU46" i="4"/>
  <c r="BV46" i="4"/>
  <c r="BW46" i="4"/>
  <c r="BX46" i="4"/>
  <c r="BY46" i="4"/>
  <c r="BZ46" i="4"/>
  <c r="CA46" i="4"/>
  <c r="CB46" i="4"/>
  <c r="CC46" i="4"/>
  <c r="CD46" i="4"/>
  <c r="CE46" i="4"/>
  <c r="CF46" i="4"/>
  <c r="CG46" i="4"/>
  <c r="CH46" i="4"/>
  <c r="CI46" i="4"/>
  <c r="CJ46" i="4"/>
  <c r="CK46" i="4"/>
  <c r="CL46" i="4"/>
  <c r="CM46" i="4"/>
  <c r="CN46" i="4"/>
  <c r="CO46" i="4"/>
  <c r="CP46" i="4"/>
  <c r="CQ46" i="4"/>
  <c r="CR46" i="4"/>
  <c r="CS46" i="4"/>
  <c r="CT46" i="4"/>
  <c r="CU46" i="4"/>
  <c r="CV46" i="4"/>
  <c r="CW46" i="4"/>
  <c r="CX46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AG47" i="4"/>
  <c r="AH47" i="4"/>
  <c r="AI47" i="4"/>
  <c r="AJ47" i="4"/>
  <c r="AK47" i="4"/>
  <c r="AL47" i="4"/>
  <c r="AM47" i="4"/>
  <c r="AN47" i="4"/>
  <c r="AO47" i="4"/>
  <c r="AP47" i="4"/>
  <c r="AQ47" i="4"/>
  <c r="AR47" i="4"/>
  <c r="AS47" i="4"/>
  <c r="AT47" i="4"/>
  <c r="AU47" i="4"/>
  <c r="AV47" i="4"/>
  <c r="AW47" i="4"/>
  <c r="AX47" i="4"/>
  <c r="AY47" i="4"/>
  <c r="AZ47" i="4"/>
  <c r="BA47" i="4"/>
  <c r="BB47" i="4"/>
  <c r="BC47" i="4"/>
  <c r="BD47" i="4"/>
  <c r="BE47" i="4"/>
  <c r="BF47" i="4"/>
  <c r="BG47" i="4"/>
  <c r="BH47" i="4"/>
  <c r="BI47" i="4"/>
  <c r="BJ47" i="4"/>
  <c r="BK47" i="4"/>
  <c r="BL47" i="4"/>
  <c r="BM47" i="4"/>
  <c r="BN47" i="4"/>
  <c r="BO47" i="4"/>
  <c r="BP47" i="4"/>
  <c r="BQ47" i="4"/>
  <c r="BR47" i="4"/>
  <c r="BS47" i="4"/>
  <c r="BT47" i="4"/>
  <c r="BU47" i="4"/>
  <c r="BV47" i="4"/>
  <c r="BW47" i="4"/>
  <c r="BX47" i="4"/>
  <c r="BY47" i="4"/>
  <c r="BZ47" i="4"/>
  <c r="CA47" i="4"/>
  <c r="CB47" i="4"/>
  <c r="CC47" i="4"/>
  <c r="CD47" i="4"/>
  <c r="CE47" i="4"/>
  <c r="CF47" i="4"/>
  <c r="CG47" i="4"/>
  <c r="CH47" i="4"/>
  <c r="CI47" i="4"/>
  <c r="CJ47" i="4"/>
  <c r="CK47" i="4"/>
  <c r="CL47" i="4"/>
  <c r="CM47" i="4"/>
  <c r="CN47" i="4"/>
  <c r="CO47" i="4"/>
  <c r="CP47" i="4"/>
  <c r="CQ47" i="4"/>
  <c r="CR47" i="4"/>
  <c r="CS47" i="4"/>
  <c r="CT47" i="4"/>
  <c r="CU47" i="4"/>
  <c r="CV47" i="4"/>
  <c r="CW47" i="4"/>
  <c r="CX47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AG48" i="4"/>
  <c r="AH48" i="4"/>
  <c r="AI48" i="4"/>
  <c r="AJ48" i="4"/>
  <c r="AK48" i="4"/>
  <c r="AL48" i="4"/>
  <c r="AM48" i="4"/>
  <c r="AN48" i="4"/>
  <c r="AO48" i="4"/>
  <c r="AP48" i="4"/>
  <c r="AQ48" i="4"/>
  <c r="AR48" i="4"/>
  <c r="AS48" i="4"/>
  <c r="AT48" i="4"/>
  <c r="AU48" i="4"/>
  <c r="AV48" i="4"/>
  <c r="AW48" i="4"/>
  <c r="AX48" i="4"/>
  <c r="AY48" i="4"/>
  <c r="AZ48" i="4"/>
  <c r="BA48" i="4"/>
  <c r="BB48" i="4"/>
  <c r="BC48" i="4"/>
  <c r="BD48" i="4"/>
  <c r="BE48" i="4"/>
  <c r="BF48" i="4"/>
  <c r="BG48" i="4"/>
  <c r="BH48" i="4"/>
  <c r="BI48" i="4"/>
  <c r="BJ48" i="4"/>
  <c r="BK48" i="4"/>
  <c r="BL48" i="4"/>
  <c r="BM48" i="4"/>
  <c r="BN48" i="4"/>
  <c r="BO48" i="4"/>
  <c r="BP48" i="4"/>
  <c r="BQ48" i="4"/>
  <c r="BR48" i="4"/>
  <c r="BS48" i="4"/>
  <c r="BT48" i="4"/>
  <c r="BU48" i="4"/>
  <c r="BV48" i="4"/>
  <c r="BW48" i="4"/>
  <c r="BX48" i="4"/>
  <c r="BY48" i="4"/>
  <c r="BZ48" i="4"/>
  <c r="CA48" i="4"/>
  <c r="CB48" i="4"/>
  <c r="CC48" i="4"/>
  <c r="CD48" i="4"/>
  <c r="CE48" i="4"/>
  <c r="CF48" i="4"/>
  <c r="CG48" i="4"/>
  <c r="CH48" i="4"/>
  <c r="CI48" i="4"/>
  <c r="CJ48" i="4"/>
  <c r="CK48" i="4"/>
  <c r="CL48" i="4"/>
  <c r="CM48" i="4"/>
  <c r="CN48" i="4"/>
  <c r="CO48" i="4"/>
  <c r="CP48" i="4"/>
  <c r="CQ48" i="4"/>
  <c r="CR48" i="4"/>
  <c r="CS48" i="4"/>
  <c r="CT48" i="4"/>
  <c r="CU48" i="4"/>
  <c r="CV48" i="4"/>
  <c r="CW48" i="4"/>
  <c r="CX48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AG49" i="4"/>
  <c r="AH49" i="4"/>
  <c r="AI49" i="4"/>
  <c r="AJ49" i="4"/>
  <c r="AK49" i="4"/>
  <c r="AL49" i="4"/>
  <c r="AM49" i="4"/>
  <c r="AN49" i="4"/>
  <c r="AO49" i="4"/>
  <c r="AP49" i="4"/>
  <c r="AQ49" i="4"/>
  <c r="AR49" i="4"/>
  <c r="AS49" i="4"/>
  <c r="AT49" i="4"/>
  <c r="AU49" i="4"/>
  <c r="AV49" i="4"/>
  <c r="AW49" i="4"/>
  <c r="AX49" i="4"/>
  <c r="AY49" i="4"/>
  <c r="AZ49" i="4"/>
  <c r="BA49" i="4"/>
  <c r="BB49" i="4"/>
  <c r="BC49" i="4"/>
  <c r="BD49" i="4"/>
  <c r="BE49" i="4"/>
  <c r="BF49" i="4"/>
  <c r="BG49" i="4"/>
  <c r="BH49" i="4"/>
  <c r="BI49" i="4"/>
  <c r="BJ49" i="4"/>
  <c r="BK49" i="4"/>
  <c r="BL49" i="4"/>
  <c r="BM49" i="4"/>
  <c r="BN49" i="4"/>
  <c r="BO49" i="4"/>
  <c r="BP49" i="4"/>
  <c r="BQ49" i="4"/>
  <c r="BR49" i="4"/>
  <c r="BS49" i="4"/>
  <c r="BT49" i="4"/>
  <c r="BU49" i="4"/>
  <c r="BV49" i="4"/>
  <c r="BW49" i="4"/>
  <c r="BX49" i="4"/>
  <c r="BY49" i="4"/>
  <c r="BZ49" i="4"/>
  <c r="CA49" i="4"/>
  <c r="CB49" i="4"/>
  <c r="CC49" i="4"/>
  <c r="CD49" i="4"/>
  <c r="CE49" i="4"/>
  <c r="CF49" i="4"/>
  <c r="CG49" i="4"/>
  <c r="CH49" i="4"/>
  <c r="CI49" i="4"/>
  <c r="CJ49" i="4"/>
  <c r="CK49" i="4"/>
  <c r="CL49" i="4"/>
  <c r="CM49" i="4"/>
  <c r="CN49" i="4"/>
  <c r="CO49" i="4"/>
  <c r="CP49" i="4"/>
  <c r="CQ49" i="4"/>
  <c r="CR49" i="4"/>
  <c r="CS49" i="4"/>
  <c r="CT49" i="4"/>
  <c r="CU49" i="4"/>
  <c r="CV49" i="4"/>
  <c r="CW49" i="4"/>
  <c r="CX49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AG50" i="4"/>
  <c r="AH50" i="4"/>
  <c r="AI50" i="4"/>
  <c r="AJ50" i="4"/>
  <c r="AK50" i="4"/>
  <c r="AL50" i="4"/>
  <c r="AM50" i="4"/>
  <c r="AN50" i="4"/>
  <c r="AO50" i="4"/>
  <c r="AP50" i="4"/>
  <c r="AQ50" i="4"/>
  <c r="AR50" i="4"/>
  <c r="AS50" i="4"/>
  <c r="AT50" i="4"/>
  <c r="AU50" i="4"/>
  <c r="AV50" i="4"/>
  <c r="AW50" i="4"/>
  <c r="AX50" i="4"/>
  <c r="AY50" i="4"/>
  <c r="AZ50" i="4"/>
  <c r="BA50" i="4"/>
  <c r="BB50" i="4"/>
  <c r="BC50" i="4"/>
  <c r="BD50" i="4"/>
  <c r="BE50" i="4"/>
  <c r="BF50" i="4"/>
  <c r="BG50" i="4"/>
  <c r="BH50" i="4"/>
  <c r="BI50" i="4"/>
  <c r="BJ50" i="4"/>
  <c r="BK50" i="4"/>
  <c r="BL50" i="4"/>
  <c r="BM50" i="4"/>
  <c r="BN50" i="4"/>
  <c r="BO50" i="4"/>
  <c r="BP50" i="4"/>
  <c r="BQ50" i="4"/>
  <c r="BR50" i="4"/>
  <c r="BS50" i="4"/>
  <c r="BT50" i="4"/>
  <c r="BU50" i="4"/>
  <c r="BV50" i="4"/>
  <c r="BW50" i="4"/>
  <c r="BX50" i="4"/>
  <c r="BY50" i="4"/>
  <c r="BZ50" i="4"/>
  <c r="CA50" i="4"/>
  <c r="CB50" i="4"/>
  <c r="CC50" i="4"/>
  <c r="CD50" i="4"/>
  <c r="CE50" i="4"/>
  <c r="CF50" i="4"/>
  <c r="CG50" i="4"/>
  <c r="CH50" i="4"/>
  <c r="CI50" i="4"/>
  <c r="CJ50" i="4"/>
  <c r="CK50" i="4"/>
  <c r="CL50" i="4"/>
  <c r="CM50" i="4"/>
  <c r="CN50" i="4"/>
  <c r="CO50" i="4"/>
  <c r="CP50" i="4"/>
  <c r="CQ50" i="4"/>
  <c r="CR50" i="4"/>
  <c r="CS50" i="4"/>
  <c r="CT50" i="4"/>
  <c r="CU50" i="4"/>
  <c r="CV50" i="4"/>
  <c r="CW50" i="4"/>
  <c r="CX50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AG51" i="4"/>
  <c r="AH51" i="4"/>
  <c r="AI51" i="4"/>
  <c r="AJ51" i="4"/>
  <c r="AK51" i="4"/>
  <c r="AL51" i="4"/>
  <c r="AM51" i="4"/>
  <c r="AN51" i="4"/>
  <c r="AO51" i="4"/>
  <c r="AP51" i="4"/>
  <c r="AQ51" i="4"/>
  <c r="AR51" i="4"/>
  <c r="AS51" i="4"/>
  <c r="AT51" i="4"/>
  <c r="AU51" i="4"/>
  <c r="AV51" i="4"/>
  <c r="AW51" i="4"/>
  <c r="AX51" i="4"/>
  <c r="AY51" i="4"/>
  <c r="AZ51" i="4"/>
  <c r="BA51" i="4"/>
  <c r="BB51" i="4"/>
  <c r="BC51" i="4"/>
  <c r="BD51" i="4"/>
  <c r="BE51" i="4"/>
  <c r="BF51" i="4"/>
  <c r="BG51" i="4"/>
  <c r="BH51" i="4"/>
  <c r="BI51" i="4"/>
  <c r="BJ51" i="4"/>
  <c r="BK51" i="4"/>
  <c r="BL51" i="4"/>
  <c r="BM51" i="4"/>
  <c r="BN51" i="4"/>
  <c r="BO51" i="4"/>
  <c r="BP51" i="4"/>
  <c r="BQ51" i="4"/>
  <c r="BR51" i="4"/>
  <c r="BS51" i="4"/>
  <c r="BT51" i="4"/>
  <c r="BU51" i="4"/>
  <c r="BV51" i="4"/>
  <c r="BW51" i="4"/>
  <c r="BX51" i="4"/>
  <c r="BY51" i="4"/>
  <c r="BZ51" i="4"/>
  <c r="CA51" i="4"/>
  <c r="CB51" i="4"/>
  <c r="CC51" i="4"/>
  <c r="CD51" i="4"/>
  <c r="CE51" i="4"/>
  <c r="CF51" i="4"/>
  <c r="CG51" i="4"/>
  <c r="CH51" i="4"/>
  <c r="CI51" i="4"/>
  <c r="CJ51" i="4"/>
  <c r="CK51" i="4"/>
  <c r="CL51" i="4"/>
  <c r="CM51" i="4"/>
  <c r="CN51" i="4"/>
  <c r="CO51" i="4"/>
  <c r="CP51" i="4"/>
  <c r="CQ51" i="4"/>
  <c r="CR51" i="4"/>
  <c r="CS51" i="4"/>
  <c r="CT51" i="4"/>
  <c r="CU51" i="4"/>
  <c r="CV51" i="4"/>
  <c r="CW51" i="4"/>
  <c r="CX51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AG52" i="4"/>
  <c r="AH52" i="4"/>
  <c r="AI52" i="4"/>
  <c r="AJ52" i="4"/>
  <c r="AK52" i="4"/>
  <c r="AL52" i="4"/>
  <c r="AM52" i="4"/>
  <c r="AN52" i="4"/>
  <c r="AO52" i="4"/>
  <c r="AP52" i="4"/>
  <c r="AQ52" i="4"/>
  <c r="AR52" i="4"/>
  <c r="AS52" i="4"/>
  <c r="AT52" i="4"/>
  <c r="AU52" i="4"/>
  <c r="AV52" i="4"/>
  <c r="AW52" i="4"/>
  <c r="AX52" i="4"/>
  <c r="AY52" i="4"/>
  <c r="AZ52" i="4"/>
  <c r="BA52" i="4"/>
  <c r="BB52" i="4"/>
  <c r="BC52" i="4"/>
  <c r="BD52" i="4"/>
  <c r="BE52" i="4"/>
  <c r="BF52" i="4"/>
  <c r="BG52" i="4"/>
  <c r="BH52" i="4"/>
  <c r="BI52" i="4"/>
  <c r="BJ52" i="4"/>
  <c r="BK52" i="4"/>
  <c r="BL52" i="4"/>
  <c r="BM52" i="4"/>
  <c r="BN52" i="4"/>
  <c r="BO52" i="4"/>
  <c r="BP52" i="4"/>
  <c r="BQ52" i="4"/>
  <c r="BR52" i="4"/>
  <c r="BS52" i="4"/>
  <c r="BT52" i="4"/>
  <c r="BU52" i="4"/>
  <c r="BV52" i="4"/>
  <c r="BW52" i="4"/>
  <c r="BX52" i="4"/>
  <c r="BY52" i="4"/>
  <c r="BZ52" i="4"/>
  <c r="CA52" i="4"/>
  <c r="CB52" i="4"/>
  <c r="CC52" i="4"/>
  <c r="CD52" i="4"/>
  <c r="CE52" i="4"/>
  <c r="CF52" i="4"/>
  <c r="CG52" i="4"/>
  <c r="CH52" i="4"/>
  <c r="CI52" i="4"/>
  <c r="CJ52" i="4"/>
  <c r="CK52" i="4"/>
  <c r="CL52" i="4"/>
  <c r="CM52" i="4"/>
  <c r="CN52" i="4"/>
  <c r="CO52" i="4"/>
  <c r="CP52" i="4"/>
  <c r="CQ52" i="4"/>
  <c r="CR52" i="4"/>
  <c r="CS52" i="4"/>
  <c r="CT52" i="4"/>
  <c r="CU52" i="4"/>
  <c r="CV52" i="4"/>
  <c r="CW52" i="4"/>
  <c r="CX52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AG53" i="4"/>
  <c r="AH53" i="4"/>
  <c r="AI53" i="4"/>
  <c r="AJ53" i="4"/>
  <c r="AK53" i="4"/>
  <c r="AL53" i="4"/>
  <c r="AM53" i="4"/>
  <c r="AN53" i="4"/>
  <c r="AO53" i="4"/>
  <c r="AP53" i="4"/>
  <c r="AQ53" i="4"/>
  <c r="AR53" i="4"/>
  <c r="AS53" i="4"/>
  <c r="AT53" i="4"/>
  <c r="AU53" i="4"/>
  <c r="AV53" i="4"/>
  <c r="AW53" i="4"/>
  <c r="AX53" i="4"/>
  <c r="AY53" i="4"/>
  <c r="AZ53" i="4"/>
  <c r="BA53" i="4"/>
  <c r="BB53" i="4"/>
  <c r="BC53" i="4"/>
  <c r="BD53" i="4"/>
  <c r="BE53" i="4"/>
  <c r="BF53" i="4"/>
  <c r="BG53" i="4"/>
  <c r="BH53" i="4"/>
  <c r="BI53" i="4"/>
  <c r="BJ53" i="4"/>
  <c r="BK53" i="4"/>
  <c r="BL53" i="4"/>
  <c r="BM53" i="4"/>
  <c r="BN53" i="4"/>
  <c r="BO53" i="4"/>
  <c r="BP53" i="4"/>
  <c r="BQ53" i="4"/>
  <c r="BR53" i="4"/>
  <c r="BS53" i="4"/>
  <c r="BT53" i="4"/>
  <c r="BU53" i="4"/>
  <c r="BV53" i="4"/>
  <c r="BW53" i="4"/>
  <c r="BX53" i="4"/>
  <c r="BY53" i="4"/>
  <c r="BZ53" i="4"/>
  <c r="CA53" i="4"/>
  <c r="CB53" i="4"/>
  <c r="CC53" i="4"/>
  <c r="CD53" i="4"/>
  <c r="CE53" i="4"/>
  <c r="CF53" i="4"/>
  <c r="CG53" i="4"/>
  <c r="CH53" i="4"/>
  <c r="CI53" i="4"/>
  <c r="CJ53" i="4"/>
  <c r="CK53" i="4"/>
  <c r="CL53" i="4"/>
  <c r="CM53" i="4"/>
  <c r="CN53" i="4"/>
  <c r="CO53" i="4"/>
  <c r="CP53" i="4"/>
  <c r="CQ53" i="4"/>
  <c r="CR53" i="4"/>
  <c r="CS53" i="4"/>
  <c r="CT53" i="4"/>
  <c r="CU53" i="4"/>
  <c r="CV53" i="4"/>
  <c r="CW53" i="4"/>
  <c r="CX53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AG54" i="4"/>
  <c r="AH54" i="4"/>
  <c r="AI54" i="4"/>
  <c r="AJ54" i="4"/>
  <c r="AK54" i="4"/>
  <c r="AL54" i="4"/>
  <c r="AM54" i="4"/>
  <c r="AN54" i="4"/>
  <c r="AO54" i="4"/>
  <c r="AP54" i="4"/>
  <c r="AQ54" i="4"/>
  <c r="AR54" i="4"/>
  <c r="AS54" i="4"/>
  <c r="AT54" i="4"/>
  <c r="AU54" i="4"/>
  <c r="AV54" i="4"/>
  <c r="AW54" i="4"/>
  <c r="AX54" i="4"/>
  <c r="AY54" i="4"/>
  <c r="AZ54" i="4"/>
  <c r="BA54" i="4"/>
  <c r="BB54" i="4"/>
  <c r="BC54" i="4"/>
  <c r="BD54" i="4"/>
  <c r="BE54" i="4"/>
  <c r="BF54" i="4"/>
  <c r="BG54" i="4"/>
  <c r="BH54" i="4"/>
  <c r="BI54" i="4"/>
  <c r="BJ54" i="4"/>
  <c r="BK54" i="4"/>
  <c r="BL54" i="4"/>
  <c r="BM54" i="4"/>
  <c r="BN54" i="4"/>
  <c r="BO54" i="4"/>
  <c r="BP54" i="4"/>
  <c r="BQ54" i="4"/>
  <c r="BR54" i="4"/>
  <c r="BS54" i="4"/>
  <c r="BT54" i="4"/>
  <c r="BU54" i="4"/>
  <c r="BV54" i="4"/>
  <c r="BW54" i="4"/>
  <c r="BX54" i="4"/>
  <c r="BY54" i="4"/>
  <c r="BZ54" i="4"/>
  <c r="CA54" i="4"/>
  <c r="CB54" i="4"/>
  <c r="CC54" i="4"/>
  <c r="CD54" i="4"/>
  <c r="CE54" i="4"/>
  <c r="CF54" i="4"/>
  <c r="CG54" i="4"/>
  <c r="CH54" i="4"/>
  <c r="CI54" i="4"/>
  <c r="CJ54" i="4"/>
  <c r="CK54" i="4"/>
  <c r="CL54" i="4"/>
  <c r="CM54" i="4"/>
  <c r="CN54" i="4"/>
  <c r="CO54" i="4"/>
  <c r="CP54" i="4"/>
  <c r="CQ54" i="4"/>
  <c r="CR54" i="4"/>
  <c r="CS54" i="4"/>
  <c r="CT54" i="4"/>
  <c r="CU54" i="4"/>
  <c r="CV54" i="4"/>
  <c r="CW54" i="4"/>
  <c r="CX54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AG55" i="4"/>
  <c r="AH55" i="4"/>
  <c r="AI55" i="4"/>
  <c r="AJ55" i="4"/>
  <c r="AK55" i="4"/>
  <c r="AL55" i="4"/>
  <c r="AM55" i="4"/>
  <c r="AN55" i="4"/>
  <c r="AO55" i="4"/>
  <c r="AP55" i="4"/>
  <c r="AQ55" i="4"/>
  <c r="AR55" i="4"/>
  <c r="AS55" i="4"/>
  <c r="AT55" i="4"/>
  <c r="AU55" i="4"/>
  <c r="AV55" i="4"/>
  <c r="AW55" i="4"/>
  <c r="AX55" i="4"/>
  <c r="AY55" i="4"/>
  <c r="AZ55" i="4"/>
  <c r="BA55" i="4"/>
  <c r="BB55" i="4"/>
  <c r="BC55" i="4"/>
  <c r="BD55" i="4"/>
  <c r="BE55" i="4"/>
  <c r="BF55" i="4"/>
  <c r="BG55" i="4"/>
  <c r="BH55" i="4"/>
  <c r="BI55" i="4"/>
  <c r="BJ55" i="4"/>
  <c r="BK55" i="4"/>
  <c r="BL55" i="4"/>
  <c r="BM55" i="4"/>
  <c r="BN55" i="4"/>
  <c r="BO55" i="4"/>
  <c r="BP55" i="4"/>
  <c r="BQ55" i="4"/>
  <c r="BR55" i="4"/>
  <c r="BS55" i="4"/>
  <c r="BT55" i="4"/>
  <c r="BU55" i="4"/>
  <c r="BV55" i="4"/>
  <c r="BW55" i="4"/>
  <c r="BX55" i="4"/>
  <c r="BY55" i="4"/>
  <c r="BZ55" i="4"/>
  <c r="CA55" i="4"/>
  <c r="CB55" i="4"/>
  <c r="CC55" i="4"/>
  <c r="CD55" i="4"/>
  <c r="CE55" i="4"/>
  <c r="CF55" i="4"/>
  <c r="CG55" i="4"/>
  <c r="CH55" i="4"/>
  <c r="CI55" i="4"/>
  <c r="CJ55" i="4"/>
  <c r="CK55" i="4"/>
  <c r="CL55" i="4"/>
  <c r="CM55" i="4"/>
  <c r="CN55" i="4"/>
  <c r="CO55" i="4"/>
  <c r="CP55" i="4"/>
  <c r="CQ55" i="4"/>
  <c r="CR55" i="4"/>
  <c r="CS55" i="4"/>
  <c r="CT55" i="4"/>
  <c r="CU55" i="4"/>
  <c r="CV55" i="4"/>
  <c r="CW55" i="4"/>
  <c r="CX55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AG56" i="4"/>
  <c r="AH56" i="4"/>
  <c r="AI56" i="4"/>
  <c r="AJ56" i="4"/>
  <c r="AK56" i="4"/>
  <c r="AL56" i="4"/>
  <c r="AM56" i="4"/>
  <c r="AN56" i="4"/>
  <c r="AO56" i="4"/>
  <c r="AP56" i="4"/>
  <c r="AQ56" i="4"/>
  <c r="AR56" i="4"/>
  <c r="AS56" i="4"/>
  <c r="AT56" i="4"/>
  <c r="AU56" i="4"/>
  <c r="AV56" i="4"/>
  <c r="AW56" i="4"/>
  <c r="AX56" i="4"/>
  <c r="AY56" i="4"/>
  <c r="AZ56" i="4"/>
  <c r="BA56" i="4"/>
  <c r="BB56" i="4"/>
  <c r="BC56" i="4"/>
  <c r="BD56" i="4"/>
  <c r="BE56" i="4"/>
  <c r="BF56" i="4"/>
  <c r="BG56" i="4"/>
  <c r="BH56" i="4"/>
  <c r="BI56" i="4"/>
  <c r="BJ56" i="4"/>
  <c r="BK56" i="4"/>
  <c r="BL56" i="4"/>
  <c r="BM56" i="4"/>
  <c r="BN56" i="4"/>
  <c r="BO56" i="4"/>
  <c r="BP56" i="4"/>
  <c r="BQ56" i="4"/>
  <c r="BR56" i="4"/>
  <c r="BS56" i="4"/>
  <c r="BT56" i="4"/>
  <c r="BU56" i="4"/>
  <c r="BV56" i="4"/>
  <c r="BW56" i="4"/>
  <c r="BX56" i="4"/>
  <c r="BY56" i="4"/>
  <c r="BZ56" i="4"/>
  <c r="CA56" i="4"/>
  <c r="CB56" i="4"/>
  <c r="CC56" i="4"/>
  <c r="CD56" i="4"/>
  <c r="CE56" i="4"/>
  <c r="CF56" i="4"/>
  <c r="CG56" i="4"/>
  <c r="CH56" i="4"/>
  <c r="CI56" i="4"/>
  <c r="CJ56" i="4"/>
  <c r="CK56" i="4"/>
  <c r="CL56" i="4"/>
  <c r="CM56" i="4"/>
  <c r="CN56" i="4"/>
  <c r="CO56" i="4"/>
  <c r="CP56" i="4"/>
  <c r="CQ56" i="4"/>
  <c r="CR56" i="4"/>
  <c r="CS56" i="4"/>
  <c r="CT56" i="4"/>
  <c r="CU56" i="4"/>
  <c r="CV56" i="4"/>
  <c r="CW56" i="4"/>
  <c r="CX56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AG57" i="4"/>
  <c r="AH57" i="4"/>
  <c r="AI57" i="4"/>
  <c r="AJ57" i="4"/>
  <c r="AK57" i="4"/>
  <c r="AL57" i="4"/>
  <c r="AM57" i="4"/>
  <c r="AN57" i="4"/>
  <c r="AO57" i="4"/>
  <c r="AP57" i="4"/>
  <c r="AQ57" i="4"/>
  <c r="AR57" i="4"/>
  <c r="AS57" i="4"/>
  <c r="AT57" i="4"/>
  <c r="AU57" i="4"/>
  <c r="AV57" i="4"/>
  <c r="AW57" i="4"/>
  <c r="AX57" i="4"/>
  <c r="AY57" i="4"/>
  <c r="AZ57" i="4"/>
  <c r="BA57" i="4"/>
  <c r="BB57" i="4"/>
  <c r="BC57" i="4"/>
  <c r="BD57" i="4"/>
  <c r="BE57" i="4"/>
  <c r="BF57" i="4"/>
  <c r="BG57" i="4"/>
  <c r="BH57" i="4"/>
  <c r="BI57" i="4"/>
  <c r="BJ57" i="4"/>
  <c r="BK57" i="4"/>
  <c r="BL57" i="4"/>
  <c r="BM57" i="4"/>
  <c r="BN57" i="4"/>
  <c r="BO57" i="4"/>
  <c r="BP57" i="4"/>
  <c r="BQ57" i="4"/>
  <c r="BR57" i="4"/>
  <c r="BS57" i="4"/>
  <c r="BT57" i="4"/>
  <c r="BU57" i="4"/>
  <c r="BV57" i="4"/>
  <c r="BW57" i="4"/>
  <c r="BX57" i="4"/>
  <c r="BY57" i="4"/>
  <c r="BZ57" i="4"/>
  <c r="CA57" i="4"/>
  <c r="CB57" i="4"/>
  <c r="CC57" i="4"/>
  <c r="CD57" i="4"/>
  <c r="CE57" i="4"/>
  <c r="CF57" i="4"/>
  <c r="CG57" i="4"/>
  <c r="CH57" i="4"/>
  <c r="CI57" i="4"/>
  <c r="CJ57" i="4"/>
  <c r="CK57" i="4"/>
  <c r="CL57" i="4"/>
  <c r="CM57" i="4"/>
  <c r="CN57" i="4"/>
  <c r="CO57" i="4"/>
  <c r="CP57" i="4"/>
  <c r="CQ57" i="4"/>
  <c r="CR57" i="4"/>
  <c r="CS57" i="4"/>
  <c r="CT57" i="4"/>
  <c r="CU57" i="4"/>
  <c r="CV57" i="4"/>
  <c r="CW57" i="4"/>
  <c r="CX57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AG58" i="4"/>
  <c r="AH58" i="4"/>
  <c r="AI58" i="4"/>
  <c r="AJ58" i="4"/>
  <c r="AK58" i="4"/>
  <c r="AL58" i="4"/>
  <c r="AM58" i="4"/>
  <c r="AN58" i="4"/>
  <c r="AO58" i="4"/>
  <c r="AP58" i="4"/>
  <c r="AQ58" i="4"/>
  <c r="AR58" i="4"/>
  <c r="AS58" i="4"/>
  <c r="AT58" i="4"/>
  <c r="AU58" i="4"/>
  <c r="AV58" i="4"/>
  <c r="AW58" i="4"/>
  <c r="AX58" i="4"/>
  <c r="AY58" i="4"/>
  <c r="AZ58" i="4"/>
  <c r="BA58" i="4"/>
  <c r="BB58" i="4"/>
  <c r="BC58" i="4"/>
  <c r="BD58" i="4"/>
  <c r="BE58" i="4"/>
  <c r="BF58" i="4"/>
  <c r="BG58" i="4"/>
  <c r="BH58" i="4"/>
  <c r="BI58" i="4"/>
  <c r="BJ58" i="4"/>
  <c r="BK58" i="4"/>
  <c r="BL58" i="4"/>
  <c r="BM58" i="4"/>
  <c r="BN58" i="4"/>
  <c r="BO58" i="4"/>
  <c r="BP58" i="4"/>
  <c r="BQ58" i="4"/>
  <c r="BR58" i="4"/>
  <c r="BS58" i="4"/>
  <c r="BT58" i="4"/>
  <c r="BU58" i="4"/>
  <c r="BV58" i="4"/>
  <c r="BW58" i="4"/>
  <c r="BX58" i="4"/>
  <c r="BY58" i="4"/>
  <c r="BZ58" i="4"/>
  <c r="CA58" i="4"/>
  <c r="CB58" i="4"/>
  <c r="CC58" i="4"/>
  <c r="CD58" i="4"/>
  <c r="CE58" i="4"/>
  <c r="CF58" i="4"/>
  <c r="CG58" i="4"/>
  <c r="CH58" i="4"/>
  <c r="CI58" i="4"/>
  <c r="CJ58" i="4"/>
  <c r="CK58" i="4"/>
  <c r="CL58" i="4"/>
  <c r="CM58" i="4"/>
  <c r="CN58" i="4"/>
  <c r="CO58" i="4"/>
  <c r="CP58" i="4"/>
  <c r="CQ58" i="4"/>
  <c r="CR58" i="4"/>
  <c r="CS58" i="4"/>
  <c r="CT58" i="4"/>
  <c r="CU58" i="4"/>
  <c r="CV58" i="4"/>
  <c r="CW58" i="4"/>
  <c r="CX58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AG59" i="4"/>
  <c r="AH59" i="4"/>
  <c r="AI59" i="4"/>
  <c r="AJ59" i="4"/>
  <c r="AK59" i="4"/>
  <c r="AL59" i="4"/>
  <c r="AM59" i="4"/>
  <c r="AN59" i="4"/>
  <c r="AO59" i="4"/>
  <c r="AP59" i="4"/>
  <c r="AQ59" i="4"/>
  <c r="AR59" i="4"/>
  <c r="AS59" i="4"/>
  <c r="AT59" i="4"/>
  <c r="AU59" i="4"/>
  <c r="AV59" i="4"/>
  <c r="AW59" i="4"/>
  <c r="AX59" i="4"/>
  <c r="AY59" i="4"/>
  <c r="AZ59" i="4"/>
  <c r="BA59" i="4"/>
  <c r="BB59" i="4"/>
  <c r="BC59" i="4"/>
  <c r="BD59" i="4"/>
  <c r="BE59" i="4"/>
  <c r="BF59" i="4"/>
  <c r="BG59" i="4"/>
  <c r="BH59" i="4"/>
  <c r="BI59" i="4"/>
  <c r="BJ59" i="4"/>
  <c r="BK59" i="4"/>
  <c r="BL59" i="4"/>
  <c r="BM59" i="4"/>
  <c r="BN59" i="4"/>
  <c r="BO59" i="4"/>
  <c r="BP59" i="4"/>
  <c r="BQ59" i="4"/>
  <c r="BR59" i="4"/>
  <c r="BS59" i="4"/>
  <c r="BT59" i="4"/>
  <c r="BU59" i="4"/>
  <c r="BV59" i="4"/>
  <c r="BW59" i="4"/>
  <c r="BX59" i="4"/>
  <c r="BY59" i="4"/>
  <c r="BZ59" i="4"/>
  <c r="CA59" i="4"/>
  <c r="CB59" i="4"/>
  <c r="CC59" i="4"/>
  <c r="CD59" i="4"/>
  <c r="CE59" i="4"/>
  <c r="CF59" i="4"/>
  <c r="CG59" i="4"/>
  <c r="CH59" i="4"/>
  <c r="CI59" i="4"/>
  <c r="CJ59" i="4"/>
  <c r="CK59" i="4"/>
  <c r="CL59" i="4"/>
  <c r="CM59" i="4"/>
  <c r="CN59" i="4"/>
  <c r="CO59" i="4"/>
  <c r="CP59" i="4"/>
  <c r="CQ59" i="4"/>
  <c r="CR59" i="4"/>
  <c r="CS59" i="4"/>
  <c r="CT59" i="4"/>
  <c r="CU59" i="4"/>
  <c r="CV59" i="4"/>
  <c r="CW59" i="4"/>
  <c r="CX59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AG60" i="4"/>
  <c r="AH60" i="4"/>
  <c r="AI60" i="4"/>
  <c r="AJ60" i="4"/>
  <c r="AK60" i="4"/>
  <c r="AL60" i="4"/>
  <c r="AM60" i="4"/>
  <c r="AN60" i="4"/>
  <c r="AO60" i="4"/>
  <c r="AP60" i="4"/>
  <c r="AQ60" i="4"/>
  <c r="AR60" i="4"/>
  <c r="AS60" i="4"/>
  <c r="AT60" i="4"/>
  <c r="AU60" i="4"/>
  <c r="AV60" i="4"/>
  <c r="AW60" i="4"/>
  <c r="AX60" i="4"/>
  <c r="AY60" i="4"/>
  <c r="AZ60" i="4"/>
  <c r="BA60" i="4"/>
  <c r="BB60" i="4"/>
  <c r="BC60" i="4"/>
  <c r="BD60" i="4"/>
  <c r="BE60" i="4"/>
  <c r="BF60" i="4"/>
  <c r="BG60" i="4"/>
  <c r="BH60" i="4"/>
  <c r="BI60" i="4"/>
  <c r="BJ60" i="4"/>
  <c r="BK60" i="4"/>
  <c r="BL60" i="4"/>
  <c r="BM60" i="4"/>
  <c r="BN60" i="4"/>
  <c r="BO60" i="4"/>
  <c r="BP60" i="4"/>
  <c r="BQ60" i="4"/>
  <c r="BR60" i="4"/>
  <c r="BS60" i="4"/>
  <c r="BT60" i="4"/>
  <c r="BU60" i="4"/>
  <c r="BV60" i="4"/>
  <c r="BW60" i="4"/>
  <c r="BX60" i="4"/>
  <c r="BY60" i="4"/>
  <c r="BZ60" i="4"/>
  <c r="CA60" i="4"/>
  <c r="CB60" i="4"/>
  <c r="CC60" i="4"/>
  <c r="CD60" i="4"/>
  <c r="CE60" i="4"/>
  <c r="CF60" i="4"/>
  <c r="CG60" i="4"/>
  <c r="CH60" i="4"/>
  <c r="CI60" i="4"/>
  <c r="CJ60" i="4"/>
  <c r="CK60" i="4"/>
  <c r="CL60" i="4"/>
  <c r="CM60" i="4"/>
  <c r="CN60" i="4"/>
  <c r="CO60" i="4"/>
  <c r="CP60" i="4"/>
  <c r="CQ60" i="4"/>
  <c r="CR60" i="4"/>
  <c r="CS60" i="4"/>
  <c r="CT60" i="4"/>
  <c r="CU60" i="4"/>
  <c r="CV60" i="4"/>
  <c r="CW60" i="4"/>
  <c r="CX60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AG61" i="4"/>
  <c r="AH61" i="4"/>
  <c r="AI61" i="4"/>
  <c r="AJ61" i="4"/>
  <c r="AK61" i="4"/>
  <c r="AL61" i="4"/>
  <c r="AM61" i="4"/>
  <c r="AN61" i="4"/>
  <c r="AO61" i="4"/>
  <c r="AP61" i="4"/>
  <c r="AQ61" i="4"/>
  <c r="AR61" i="4"/>
  <c r="AS61" i="4"/>
  <c r="AT61" i="4"/>
  <c r="AU61" i="4"/>
  <c r="AV61" i="4"/>
  <c r="AW61" i="4"/>
  <c r="AX61" i="4"/>
  <c r="AY61" i="4"/>
  <c r="AZ61" i="4"/>
  <c r="BA61" i="4"/>
  <c r="BB61" i="4"/>
  <c r="BC61" i="4"/>
  <c r="BD61" i="4"/>
  <c r="BE61" i="4"/>
  <c r="BF61" i="4"/>
  <c r="BG61" i="4"/>
  <c r="BH61" i="4"/>
  <c r="BI61" i="4"/>
  <c r="BJ61" i="4"/>
  <c r="BK61" i="4"/>
  <c r="BL61" i="4"/>
  <c r="BM61" i="4"/>
  <c r="BN61" i="4"/>
  <c r="BO61" i="4"/>
  <c r="BP61" i="4"/>
  <c r="BQ61" i="4"/>
  <c r="BR61" i="4"/>
  <c r="BS61" i="4"/>
  <c r="BT61" i="4"/>
  <c r="BU61" i="4"/>
  <c r="BV61" i="4"/>
  <c r="BW61" i="4"/>
  <c r="BX61" i="4"/>
  <c r="BY61" i="4"/>
  <c r="BZ61" i="4"/>
  <c r="CA61" i="4"/>
  <c r="CB61" i="4"/>
  <c r="CC61" i="4"/>
  <c r="CD61" i="4"/>
  <c r="CE61" i="4"/>
  <c r="CF61" i="4"/>
  <c r="CG61" i="4"/>
  <c r="CH61" i="4"/>
  <c r="CI61" i="4"/>
  <c r="CJ61" i="4"/>
  <c r="CK61" i="4"/>
  <c r="CL61" i="4"/>
  <c r="CM61" i="4"/>
  <c r="CN61" i="4"/>
  <c r="CO61" i="4"/>
  <c r="CP61" i="4"/>
  <c r="CQ61" i="4"/>
  <c r="CR61" i="4"/>
  <c r="CS61" i="4"/>
  <c r="CT61" i="4"/>
  <c r="CU61" i="4"/>
  <c r="CV61" i="4"/>
  <c r="CW61" i="4"/>
  <c r="CX61" i="4"/>
  <c r="D62" i="4"/>
  <c r="E62" i="4"/>
  <c r="F62" i="4"/>
  <c r="G62" i="4"/>
  <c r="H62" i="4"/>
  <c r="I62" i="4"/>
  <c r="J62" i="4"/>
  <c r="K62" i="4"/>
  <c r="L62" i="4"/>
  <c r="M62" i="4"/>
  <c r="N62" i="4"/>
  <c r="O62" i="4"/>
  <c r="P62" i="4"/>
  <c r="Q62" i="4"/>
  <c r="R62" i="4"/>
  <c r="S62" i="4"/>
  <c r="T62" i="4"/>
  <c r="U62" i="4"/>
  <c r="V62" i="4"/>
  <c r="W62" i="4"/>
  <c r="X62" i="4"/>
  <c r="Y62" i="4"/>
  <c r="Z62" i="4"/>
  <c r="AA62" i="4"/>
  <c r="AB62" i="4"/>
  <c r="AC62" i="4"/>
  <c r="AD62" i="4"/>
  <c r="AE62" i="4"/>
  <c r="AF62" i="4"/>
  <c r="AG62" i="4"/>
  <c r="AH62" i="4"/>
  <c r="AI62" i="4"/>
  <c r="AJ62" i="4"/>
  <c r="AK62" i="4"/>
  <c r="AL62" i="4"/>
  <c r="AM62" i="4"/>
  <c r="AN62" i="4"/>
  <c r="AO62" i="4"/>
  <c r="AP62" i="4"/>
  <c r="AQ62" i="4"/>
  <c r="AR62" i="4"/>
  <c r="AS62" i="4"/>
  <c r="AT62" i="4"/>
  <c r="AU62" i="4"/>
  <c r="AV62" i="4"/>
  <c r="AW62" i="4"/>
  <c r="AX62" i="4"/>
  <c r="AY62" i="4"/>
  <c r="AZ62" i="4"/>
  <c r="BA62" i="4"/>
  <c r="BB62" i="4"/>
  <c r="BC62" i="4"/>
  <c r="BD62" i="4"/>
  <c r="BE62" i="4"/>
  <c r="BF62" i="4"/>
  <c r="BG62" i="4"/>
  <c r="BH62" i="4"/>
  <c r="BI62" i="4"/>
  <c r="BJ62" i="4"/>
  <c r="BK62" i="4"/>
  <c r="BL62" i="4"/>
  <c r="BM62" i="4"/>
  <c r="BN62" i="4"/>
  <c r="BO62" i="4"/>
  <c r="BP62" i="4"/>
  <c r="BQ62" i="4"/>
  <c r="BR62" i="4"/>
  <c r="BS62" i="4"/>
  <c r="BT62" i="4"/>
  <c r="BU62" i="4"/>
  <c r="BV62" i="4"/>
  <c r="BW62" i="4"/>
  <c r="BX62" i="4"/>
  <c r="BY62" i="4"/>
  <c r="BZ62" i="4"/>
  <c r="CA62" i="4"/>
  <c r="CB62" i="4"/>
  <c r="CC62" i="4"/>
  <c r="CD62" i="4"/>
  <c r="CE62" i="4"/>
  <c r="CF62" i="4"/>
  <c r="CG62" i="4"/>
  <c r="CH62" i="4"/>
  <c r="CI62" i="4"/>
  <c r="CJ62" i="4"/>
  <c r="CK62" i="4"/>
  <c r="CL62" i="4"/>
  <c r="CM62" i="4"/>
  <c r="CN62" i="4"/>
  <c r="CO62" i="4"/>
  <c r="CP62" i="4"/>
  <c r="CQ62" i="4"/>
  <c r="CR62" i="4"/>
  <c r="CS62" i="4"/>
  <c r="CT62" i="4"/>
  <c r="CU62" i="4"/>
  <c r="CV62" i="4"/>
  <c r="CW62" i="4"/>
  <c r="CX62" i="4"/>
  <c r="D63" i="4"/>
  <c r="E63" i="4"/>
  <c r="F63" i="4"/>
  <c r="G63" i="4"/>
  <c r="H63" i="4"/>
  <c r="I63" i="4"/>
  <c r="J63" i="4"/>
  <c r="K63" i="4"/>
  <c r="L63" i="4"/>
  <c r="M63" i="4"/>
  <c r="N63" i="4"/>
  <c r="O63" i="4"/>
  <c r="P63" i="4"/>
  <c r="Q63" i="4"/>
  <c r="R63" i="4"/>
  <c r="S63" i="4"/>
  <c r="T63" i="4"/>
  <c r="U63" i="4"/>
  <c r="V63" i="4"/>
  <c r="W63" i="4"/>
  <c r="X63" i="4"/>
  <c r="Y63" i="4"/>
  <c r="Z63" i="4"/>
  <c r="AA63" i="4"/>
  <c r="AB63" i="4"/>
  <c r="AC63" i="4"/>
  <c r="AD63" i="4"/>
  <c r="AE63" i="4"/>
  <c r="AF63" i="4"/>
  <c r="AG63" i="4"/>
  <c r="AH63" i="4"/>
  <c r="AI63" i="4"/>
  <c r="AJ63" i="4"/>
  <c r="AK63" i="4"/>
  <c r="AL63" i="4"/>
  <c r="AM63" i="4"/>
  <c r="AN63" i="4"/>
  <c r="AO63" i="4"/>
  <c r="AP63" i="4"/>
  <c r="AQ63" i="4"/>
  <c r="AR63" i="4"/>
  <c r="AS63" i="4"/>
  <c r="AT63" i="4"/>
  <c r="AU63" i="4"/>
  <c r="AV63" i="4"/>
  <c r="AW63" i="4"/>
  <c r="AX63" i="4"/>
  <c r="AY63" i="4"/>
  <c r="AZ63" i="4"/>
  <c r="BA63" i="4"/>
  <c r="BB63" i="4"/>
  <c r="BC63" i="4"/>
  <c r="BD63" i="4"/>
  <c r="BE63" i="4"/>
  <c r="BF63" i="4"/>
  <c r="BG63" i="4"/>
  <c r="BH63" i="4"/>
  <c r="BI63" i="4"/>
  <c r="BJ63" i="4"/>
  <c r="BK63" i="4"/>
  <c r="BL63" i="4"/>
  <c r="BM63" i="4"/>
  <c r="BN63" i="4"/>
  <c r="BO63" i="4"/>
  <c r="BP63" i="4"/>
  <c r="BQ63" i="4"/>
  <c r="BR63" i="4"/>
  <c r="BS63" i="4"/>
  <c r="BT63" i="4"/>
  <c r="BU63" i="4"/>
  <c r="BV63" i="4"/>
  <c r="BW63" i="4"/>
  <c r="BX63" i="4"/>
  <c r="BY63" i="4"/>
  <c r="BZ63" i="4"/>
  <c r="CA63" i="4"/>
  <c r="CB63" i="4"/>
  <c r="CC63" i="4"/>
  <c r="CD63" i="4"/>
  <c r="CE63" i="4"/>
  <c r="CF63" i="4"/>
  <c r="CG63" i="4"/>
  <c r="CH63" i="4"/>
  <c r="CI63" i="4"/>
  <c r="CJ63" i="4"/>
  <c r="CK63" i="4"/>
  <c r="CL63" i="4"/>
  <c r="CM63" i="4"/>
  <c r="CN63" i="4"/>
  <c r="CO63" i="4"/>
  <c r="CP63" i="4"/>
  <c r="CQ63" i="4"/>
  <c r="CR63" i="4"/>
  <c r="CS63" i="4"/>
  <c r="CT63" i="4"/>
  <c r="CU63" i="4"/>
  <c r="CV63" i="4"/>
  <c r="CW63" i="4"/>
  <c r="CX63" i="4"/>
  <c r="D64" i="4"/>
  <c r="E64" i="4"/>
  <c r="F64" i="4"/>
  <c r="G64" i="4"/>
  <c r="H64" i="4"/>
  <c r="I64" i="4"/>
  <c r="J64" i="4"/>
  <c r="K64" i="4"/>
  <c r="L64" i="4"/>
  <c r="M64" i="4"/>
  <c r="N64" i="4"/>
  <c r="O64" i="4"/>
  <c r="P64" i="4"/>
  <c r="Q64" i="4"/>
  <c r="R64" i="4"/>
  <c r="S64" i="4"/>
  <c r="T64" i="4"/>
  <c r="U64" i="4"/>
  <c r="V64" i="4"/>
  <c r="W64" i="4"/>
  <c r="X64" i="4"/>
  <c r="Y64" i="4"/>
  <c r="Z64" i="4"/>
  <c r="AA64" i="4"/>
  <c r="AB64" i="4"/>
  <c r="AC64" i="4"/>
  <c r="AD64" i="4"/>
  <c r="AE64" i="4"/>
  <c r="AF64" i="4"/>
  <c r="AG64" i="4"/>
  <c r="AH64" i="4"/>
  <c r="AI64" i="4"/>
  <c r="AJ64" i="4"/>
  <c r="AK64" i="4"/>
  <c r="AL64" i="4"/>
  <c r="AM64" i="4"/>
  <c r="AN64" i="4"/>
  <c r="AO64" i="4"/>
  <c r="AP64" i="4"/>
  <c r="AQ64" i="4"/>
  <c r="AR64" i="4"/>
  <c r="AS64" i="4"/>
  <c r="AT64" i="4"/>
  <c r="AU64" i="4"/>
  <c r="AV64" i="4"/>
  <c r="AW64" i="4"/>
  <c r="AX64" i="4"/>
  <c r="AY64" i="4"/>
  <c r="AZ64" i="4"/>
  <c r="BA64" i="4"/>
  <c r="BB64" i="4"/>
  <c r="BC64" i="4"/>
  <c r="BD64" i="4"/>
  <c r="BE64" i="4"/>
  <c r="BF64" i="4"/>
  <c r="BG64" i="4"/>
  <c r="BH64" i="4"/>
  <c r="BI64" i="4"/>
  <c r="BJ64" i="4"/>
  <c r="BK64" i="4"/>
  <c r="BL64" i="4"/>
  <c r="BM64" i="4"/>
  <c r="BN64" i="4"/>
  <c r="BO64" i="4"/>
  <c r="BP64" i="4"/>
  <c r="BQ64" i="4"/>
  <c r="BR64" i="4"/>
  <c r="BS64" i="4"/>
  <c r="BT64" i="4"/>
  <c r="BU64" i="4"/>
  <c r="BV64" i="4"/>
  <c r="BW64" i="4"/>
  <c r="BX64" i="4"/>
  <c r="BY64" i="4"/>
  <c r="BZ64" i="4"/>
  <c r="CA64" i="4"/>
  <c r="CB64" i="4"/>
  <c r="CC64" i="4"/>
  <c r="CD64" i="4"/>
  <c r="CE64" i="4"/>
  <c r="CF64" i="4"/>
  <c r="CG64" i="4"/>
  <c r="CH64" i="4"/>
  <c r="CI64" i="4"/>
  <c r="CJ64" i="4"/>
  <c r="CK64" i="4"/>
  <c r="CL64" i="4"/>
  <c r="CM64" i="4"/>
  <c r="CN64" i="4"/>
  <c r="CO64" i="4"/>
  <c r="CP64" i="4"/>
  <c r="CQ64" i="4"/>
  <c r="CR64" i="4"/>
  <c r="CS64" i="4"/>
  <c r="CT64" i="4"/>
  <c r="CU64" i="4"/>
  <c r="CV64" i="4"/>
  <c r="CW64" i="4"/>
  <c r="CX64" i="4"/>
  <c r="D65" i="4"/>
  <c r="E65" i="4"/>
  <c r="F65" i="4"/>
  <c r="G65" i="4"/>
  <c r="H65" i="4"/>
  <c r="I65" i="4"/>
  <c r="J65" i="4"/>
  <c r="K65" i="4"/>
  <c r="L65" i="4"/>
  <c r="M65" i="4"/>
  <c r="N65" i="4"/>
  <c r="O65" i="4"/>
  <c r="P65" i="4"/>
  <c r="Q65" i="4"/>
  <c r="R65" i="4"/>
  <c r="S65" i="4"/>
  <c r="T65" i="4"/>
  <c r="U65" i="4"/>
  <c r="V65" i="4"/>
  <c r="W65" i="4"/>
  <c r="X65" i="4"/>
  <c r="Y65" i="4"/>
  <c r="Z65" i="4"/>
  <c r="AA65" i="4"/>
  <c r="AB65" i="4"/>
  <c r="AC65" i="4"/>
  <c r="AD65" i="4"/>
  <c r="AE65" i="4"/>
  <c r="AF65" i="4"/>
  <c r="AG65" i="4"/>
  <c r="AH65" i="4"/>
  <c r="AI65" i="4"/>
  <c r="AJ65" i="4"/>
  <c r="AK65" i="4"/>
  <c r="AL65" i="4"/>
  <c r="AM65" i="4"/>
  <c r="AN65" i="4"/>
  <c r="AO65" i="4"/>
  <c r="AP65" i="4"/>
  <c r="AQ65" i="4"/>
  <c r="AR65" i="4"/>
  <c r="AS65" i="4"/>
  <c r="AT65" i="4"/>
  <c r="AU65" i="4"/>
  <c r="AV65" i="4"/>
  <c r="AW65" i="4"/>
  <c r="AX65" i="4"/>
  <c r="AY65" i="4"/>
  <c r="AZ65" i="4"/>
  <c r="BA65" i="4"/>
  <c r="BB65" i="4"/>
  <c r="BC65" i="4"/>
  <c r="BD65" i="4"/>
  <c r="BE65" i="4"/>
  <c r="BF65" i="4"/>
  <c r="BG65" i="4"/>
  <c r="BH65" i="4"/>
  <c r="BI65" i="4"/>
  <c r="BJ65" i="4"/>
  <c r="BK65" i="4"/>
  <c r="BL65" i="4"/>
  <c r="BM65" i="4"/>
  <c r="BN65" i="4"/>
  <c r="BO65" i="4"/>
  <c r="BP65" i="4"/>
  <c r="BQ65" i="4"/>
  <c r="BR65" i="4"/>
  <c r="BS65" i="4"/>
  <c r="BT65" i="4"/>
  <c r="BU65" i="4"/>
  <c r="BV65" i="4"/>
  <c r="BW65" i="4"/>
  <c r="BX65" i="4"/>
  <c r="BY65" i="4"/>
  <c r="BZ65" i="4"/>
  <c r="CA65" i="4"/>
  <c r="CB65" i="4"/>
  <c r="CC65" i="4"/>
  <c r="CD65" i="4"/>
  <c r="CE65" i="4"/>
  <c r="CF65" i="4"/>
  <c r="CG65" i="4"/>
  <c r="CH65" i="4"/>
  <c r="CI65" i="4"/>
  <c r="CJ65" i="4"/>
  <c r="CK65" i="4"/>
  <c r="CL65" i="4"/>
  <c r="CM65" i="4"/>
  <c r="CN65" i="4"/>
  <c r="CO65" i="4"/>
  <c r="CP65" i="4"/>
  <c r="CQ65" i="4"/>
  <c r="CR65" i="4"/>
  <c r="CS65" i="4"/>
  <c r="CT65" i="4"/>
  <c r="CU65" i="4"/>
  <c r="CV65" i="4"/>
  <c r="CW65" i="4"/>
  <c r="CX65" i="4"/>
  <c r="D66" i="4"/>
  <c r="E66" i="4"/>
  <c r="F66" i="4"/>
  <c r="G66" i="4"/>
  <c r="H66" i="4"/>
  <c r="I66" i="4"/>
  <c r="J66" i="4"/>
  <c r="K66" i="4"/>
  <c r="L66" i="4"/>
  <c r="M66" i="4"/>
  <c r="N66" i="4"/>
  <c r="O66" i="4"/>
  <c r="P66" i="4"/>
  <c r="Q66" i="4"/>
  <c r="R66" i="4"/>
  <c r="S66" i="4"/>
  <c r="T66" i="4"/>
  <c r="U66" i="4"/>
  <c r="V66" i="4"/>
  <c r="W66" i="4"/>
  <c r="X66" i="4"/>
  <c r="Y66" i="4"/>
  <c r="Z66" i="4"/>
  <c r="AA66" i="4"/>
  <c r="AB66" i="4"/>
  <c r="AC66" i="4"/>
  <c r="AD66" i="4"/>
  <c r="AE66" i="4"/>
  <c r="AF66" i="4"/>
  <c r="AG66" i="4"/>
  <c r="AH66" i="4"/>
  <c r="AI66" i="4"/>
  <c r="AJ66" i="4"/>
  <c r="AK66" i="4"/>
  <c r="AL66" i="4"/>
  <c r="AM66" i="4"/>
  <c r="AN66" i="4"/>
  <c r="AO66" i="4"/>
  <c r="AP66" i="4"/>
  <c r="AQ66" i="4"/>
  <c r="AR66" i="4"/>
  <c r="AS66" i="4"/>
  <c r="AT66" i="4"/>
  <c r="AU66" i="4"/>
  <c r="AV66" i="4"/>
  <c r="AW66" i="4"/>
  <c r="AX66" i="4"/>
  <c r="AY66" i="4"/>
  <c r="AZ66" i="4"/>
  <c r="BA66" i="4"/>
  <c r="BB66" i="4"/>
  <c r="BC66" i="4"/>
  <c r="BD66" i="4"/>
  <c r="BE66" i="4"/>
  <c r="BF66" i="4"/>
  <c r="BG66" i="4"/>
  <c r="BH66" i="4"/>
  <c r="BI66" i="4"/>
  <c r="BJ66" i="4"/>
  <c r="BK66" i="4"/>
  <c r="BL66" i="4"/>
  <c r="BM66" i="4"/>
  <c r="BN66" i="4"/>
  <c r="BO66" i="4"/>
  <c r="BP66" i="4"/>
  <c r="BQ66" i="4"/>
  <c r="BR66" i="4"/>
  <c r="BS66" i="4"/>
  <c r="BT66" i="4"/>
  <c r="BU66" i="4"/>
  <c r="BV66" i="4"/>
  <c r="BW66" i="4"/>
  <c r="BX66" i="4"/>
  <c r="BY66" i="4"/>
  <c r="BZ66" i="4"/>
  <c r="CA66" i="4"/>
  <c r="CB66" i="4"/>
  <c r="CC66" i="4"/>
  <c r="CD66" i="4"/>
  <c r="CE66" i="4"/>
  <c r="CF66" i="4"/>
  <c r="CG66" i="4"/>
  <c r="CH66" i="4"/>
  <c r="CI66" i="4"/>
  <c r="CJ66" i="4"/>
  <c r="CK66" i="4"/>
  <c r="CL66" i="4"/>
  <c r="CM66" i="4"/>
  <c r="CN66" i="4"/>
  <c r="CO66" i="4"/>
  <c r="CP66" i="4"/>
  <c r="CQ66" i="4"/>
  <c r="CR66" i="4"/>
  <c r="CS66" i="4"/>
  <c r="CT66" i="4"/>
  <c r="CU66" i="4"/>
  <c r="CV66" i="4"/>
  <c r="CW66" i="4"/>
  <c r="CX66" i="4"/>
  <c r="D67" i="4"/>
  <c r="E67" i="4"/>
  <c r="F67" i="4"/>
  <c r="G67" i="4"/>
  <c r="H67" i="4"/>
  <c r="I67" i="4"/>
  <c r="J67" i="4"/>
  <c r="K67" i="4"/>
  <c r="L67" i="4"/>
  <c r="M67" i="4"/>
  <c r="N67" i="4"/>
  <c r="O67" i="4"/>
  <c r="P67" i="4"/>
  <c r="Q67" i="4"/>
  <c r="R67" i="4"/>
  <c r="S67" i="4"/>
  <c r="T67" i="4"/>
  <c r="U67" i="4"/>
  <c r="V67" i="4"/>
  <c r="W67" i="4"/>
  <c r="X67" i="4"/>
  <c r="Y67" i="4"/>
  <c r="Z67" i="4"/>
  <c r="AA67" i="4"/>
  <c r="AB67" i="4"/>
  <c r="AC67" i="4"/>
  <c r="AD67" i="4"/>
  <c r="AE67" i="4"/>
  <c r="AF67" i="4"/>
  <c r="AG67" i="4"/>
  <c r="AH67" i="4"/>
  <c r="AI67" i="4"/>
  <c r="AJ67" i="4"/>
  <c r="AK67" i="4"/>
  <c r="AL67" i="4"/>
  <c r="AM67" i="4"/>
  <c r="AN67" i="4"/>
  <c r="AO67" i="4"/>
  <c r="AP67" i="4"/>
  <c r="AQ67" i="4"/>
  <c r="AR67" i="4"/>
  <c r="AS67" i="4"/>
  <c r="AT67" i="4"/>
  <c r="AU67" i="4"/>
  <c r="AV67" i="4"/>
  <c r="AW67" i="4"/>
  <c r="AX67" i="4"/>
  <c r="AY67" i="4"/>
  <c r="AZ67" i="4"/>
  <c r="BA67" i="4"/>
  <c r="BB67" i="4"/>
  <c r="BC67" i="4"/>
  <c r="BD67" i="4"/>
  <c r="BE67" i="4"/>
  <c r="BF67" i="4"/>
  <c r="BG67" i="4"/>
  <c r="BH67" i="4"/>
  <c r="BI67" i="4"/>
  <c r="BJ67" i="4"/>
  <c r="BK67" i="4"/>
  <c r="BL67" i="4"/>
  <c r="BM67" i="4"/>
  <c r="BN67" i="4"/>
  <c r="BO67" i="4"/>
  <c r="BP67" i="4"/>
  <c r="BQ67" i="4"/>
  <c r="BR67" i="4"/>
  <c r="BS67" i="4"/>
  <c r="BT67" i="4"/>
  <c r="BU67" i="4"/>
  <c r="BV67" i="4"/>
  <c r="BW67" i="4"/>
  <c r="BX67" i="4"/>
  <c r="BY67" i="4"/>
  <c r="BZ67" i="4"/>
  <c r="CA67" i="4"/>
  <c r="CB67" i="4"/>
  <c r="CC67" i="4"/>
  <c r="CD67" i="4"/>
  <c r="CE67" i="4"/>
  <c r="CF67" i="4"/>
  <c r="CG67" i="4"/>
  <c r="CH67" i="4"/>
  <c r="CI67" i="4"/>
  <c r="CJ67" i="4"/>
  <c r="CK67" i="4"/>
  <c r="CL67" i="4"/>
  <c r="CM67" i="4"/>
  <c r="CN67" i="4"/>
  <c r="CO67" i="4"/>
  <c r="CP67" i="4"/>
  <c r="CQ67" i="4"/>
  <c r="CR67" i="4"/>
  <c r="CS67" i="4"/>
  <c r="CT67" i="4"/>
  <c r="CU67" i="4"/>
  <c r="CV67" i="4"/>
  <c r="CW67" i="4"/>
  <c r="CX67" i="4"/>
  <c r="D68" i="4"/>
  <c r="E68" i="4"/>
  <c r="F68" i="4"/>
  <c r="G68" i="4"/>
  <c r="H68" i="4"/>
  <c r="I68" i="4"/>
  <c r="J68" i="4"/>
  <c r="K68" i="4"/>
  <c r="L68" i="4"/>
  <c r="M68" i="4"/>
  <c r="N68" i="4"/>
  <c r="O68" i="4"/>
  <c r="P68" i="4"/>
  <c r="Q68" i="4"/>
  <c r="R68" i="4"/>
  <c r="S68" i="4"/>
  <c r="T68" i="4"/>
  <c r="U68" i="4"/>
  <c r="V68" i="4"/>
  <c r="W68" i="4"/>
  <c r="X68" i="4"/>
  <c r="Y68" i="4"/>
  <c r="Z68" i="4"/>
  <c r="AA68" i="4"/>
  <c r="AB68" i="4"/>
  <c r="AC68" i="4"/>
  <c r="AD68" i="4"/>
  <c r="AE68" i="4"/>
  <c r="AF68" i="4"/>
  <c r="AG68" i="4"/>
  <c r="AH68" i="4"/>
  <c r="AI68" i="4"/>
  <c r="AJ68" i="4"/>
  <c r="AK68" i="4"/>
  <c r="AL68" i="4"/>
  <c r="AM68" i="4"/>
  <c r="AN68" i="4"/>
  <c r="AO68" i="4"/>
  <c r="AP68" i="4"/>
  <c r="AQ68" i="4"/>
  <c r="AR68" i="4"/>
  <c r="AS68" i="4"/>
  <c r="AT68" i="4"/>
  <c r="AU68" i="4"/>
  <c r="AV68" i="4"/>
  <c r="AW68" i="4"/>
  <c r="AX68" i="4"/>
  <c r="AY68" i="4"/>
  <c r="AZ68" i="4"/>
  <c r="BA68" i="4"/>
  <c r="BB68" i="4"/>
  <c r="BC68" i="4"/>
  <c r="BD68" i="4"/>
  <c r="BE68" i="4"/>
  <c r="BF68" i="4"/>
  <c r="BG68" i="4"/>
  <c r="BH68" i="4"/>
  <c r="BI68" i="4"/>
  <c r="BJ68" i="4"/>
  <c r="BK68" i="4"/>
  <c r="BL68" i="4"/>
  <c r="BM68" i="4"/>
  <c r="BN68" i="4"/>
  <c r="BO68" i="4"/>
  <c r="BP68" i="4"/>
  <c r="BQ68" i="4"/>
  <c r="BR68" i="4"/>
  <c r="BS68" i="4"/>
  <c r="BT68" i="4"/>
  <c r="BU68" i="4"/>
  <c r="BV68" i="4"/>
  <c r="BW68" i="4"/>
  <c r="BX68" i="4"/>
  <c r="BY68" i="4"/>
  <c r="BZ68" i="4"/>
  <c r="CA68" i="4"/>
  <c r="CB68" i="4"/>
  <c r="CC68" i="4"/>
  <c r="CD68" i="4"/>
  <c r="CE68" i="4"/>
  <c r="CF68" i="4"/>
  <c r="CG68" i="4"/>
  <c r="CH68" i="4"/>
  <c r="CI68" i="4"/>
  <c r="CJ68" i="4"/>
  <c r="CK68" i="4"/>
  <c r="CL68" i="4"/>
  <c r="CM68" i="4"/>
  <c r="CN68" i="4"/>
  <c r="CO68" i="4"/>
  <c r="CP68" i="4"/>
  <c r="CQ68" i="4"/>
  <c r="CR68" i="4"/>
  <c r="CS68" i="4"/>
  <c r="CT68" i="4"/>
  <c r="CU68" i="4"/>
  <c r="CV68" i="4"/>
  <c r="CW68" i="4"/>
  <c r="CX68" i="4"/>
  <c r="D69" i="4"/>
  <c r="E69" i="4"/>
  <c r="F69" i="4"/>
  <c r="G69" i="4"/>
  <c r="H69" i="4"/>
  <c r="I69" i="4"/>
  <c r="J69" i="4"/>
  <c r="K69" i="4"/>
  <c r="L69" i="4"/>
  <c r="M69" i="4"/>
  <c r="N69" i="4"/>
  <c r="O69" i="4"/>
  <c r="P69" i="4"/>
  <c r="Q69" i="4"/>
  <c r="R69" i="4"/>
  <c r="S69" i="4"/>
  <c r="T69" i="4"/>
  <c r="U69" i="4"/>
  <c r="V69" i="4"/>
  <c r="W69" i="4"/>
  <c r="X69" i="4"/>
  <c r="Y69" i="4"/>
  <c r="Z69" i="4"/>
  <c r="AA69" i="4"/>
  <c r="AB69" i="4"/>
  <c r="AC69" i="4"/>
  <c r="AD69" i="4"/>
  <c r="AE69" i="4"/>
  <c r="AF69" i="4"/>
  <c r="AG69" i="4"/>
  <c r="AH69" i="4"/>
  <c r="AI69" i="4"/>
  <c r="AJ69" i="4"/>
  <c r="AK69" i="4"/>
  <c r="AL69" i="4"/>
  <c r="AM69" i="4"/>
  <c r="AN69" i="4"/>
  <c r="AO69" i="4"/>
  <c r="AP69" i="4"/>
  <c r="AQ69" i="4"/>
  <c r="AR69" i="4"/>
  <c r="AS69" i="4"/>
  <c r="AT69" i="4"/>
  <c r="AU69" i="4"/>
  <c r="AV69" i="4"/>
  <c r="AW69" i="4"/>
  <c r="AX69" i="4"/>
  <c r="AY69" i="4"/>
  <c r="AZ69" i="4"/>
  <c r="BA69" i="4"/>
  <c r="BB69" i="4"/>
  <c r="BC69" i="4"/>
  <c r="BD69" i="4"/>
  <c r="BE69" i="4"/>
  <c r="BF69" i="4"/>
  <c r="BG69" i="4"/>
  <c r="BH69" i="4"/>
  <c r="BI69" i="4"/>
  <c r="BJ69" i="4"/>
  <c r="BK69" i="4"/>
  <c r="BL69" i="4"/>
  <c r="BM69" i="4"/>
  <c r="BN69" i="4"/>
  <c r="BO69" i="4"/>
  <c r="BP69" i="4"/>
  <c r="BQ69" i="4"/>
  <c r="BR69" i="4"/>
  <c r="BS69" i="4"/>
  <c r="BT69" i="4"/>
  <c r="BU69" i="4"/>
  <c r="BV69" i="4"/>
  <c r="BW69" i="4"/>
  <c r="BX69" i="4"/>
  <c r="BY69" i="4"/>
  <c r="BZ69" i="4"/>
  <c r="CA69" i="4"/>
  <c r="CB69" i="4"/>
  <c r="CC69" i="4"/>
  <c r="CD69" i="4"/>
  <c r="CE69" i="4"/>
  <c r="CF69" i="4"/>
  <c r="CG69" i="4"/>
  <c r="CH69" i="4"/>
  <c r="CI69" i="4"/>
  <c r="CJ69" i="4"/>
  <c r="CK69" i="4"/>
  <c r="CL69" i="4"/>
  <c r="CM69" i="4"/>
  <c r="CN69" i="4"/>
  <c r="CO69" i="4"/>
  <c r="CP69" i="4"/>
  <c r="CQ69" i="4"/>
  <c r="CR69" i="4"/>
  <c r="CS69" i="4"/>
  <c r="CT69" i="4"/>
  <c r="CU69" i="4"/>
  <c r="CV69" i="4"/>
  <c r="CW69" i="4"/>
  <c r="CX69" i="4"/>
  <c r="D70" i="4"/>
  <c r="E70" i="4"/>
  <c r="F70" i="4"/>
  <c r="G70" i="4"/>
  <c r="H70" i="4"/>
  <c r="I70" i="4"/>
  <c r="J70" i="4"/>
  <c r="K70" i="4"/>
  <c r="L70" i="4"/>
  <c r="M70" i="4"/>
  <c r="N70" i="4"/>
  <c r="O70" i="4"/>
  <c r="P70" i="4"/>
  <c r="Q70" i="4"/>
  <c r="R70" i="4"/>
  <c r="S70" i="4"/>
  <c r="T70" i="4"/>
  <c r="U70" i="4"/>
  <c r="V70" i="4"/>
  <c r="W70" i="4"/>
  <c r="X70" i="4"/>
  <c r="Y70" i="4"/>
  <c r="Z70" i="4"/>
  <c r="AA70" i="4"/>
  <c r="AB70" i="4"/>
  <c r="AC70" i="4"/>
  <c r="AD70" i="4"/>
  <c r="AE70" i="4"/>
  <c r="AF70" i="4"/>
  <c r="AG70" i="4"/>
  <c r="AH70" i="4"/>
  <c r="AI70" i="4"/>
  <c r="AJ70" i="4"/>
  <c r="AK70" i="4"/>
  <c r="AL70" i="4"/>
  <c r="AM70" i="4"/>
  <c r="AN70" i="4"/>
  <c r="AO70" i="4"/>
  <c r="AP70" i="4"/>
  <c r="AQ70" i="4"/>
  <c r="AR70" i="4"/>
  <c r="AS70" i="4"/>
  <c r="AT70" i="4"/>
  <c r="AU70" i="4"/>
  <c r="AV70" i="4"/>
  <c r="AW70" i="4"/>
  <c r="AX70" i="4"/>
  <c r="AY70" i="4"/>
  <c r="AZ70" i="4"/>
  <c r="BA70" i="4"/>
  <c r="BB70" i="4"/>
  <c r="BC70" i="4"/>
  <c r="BD70" i="4"/>
  <c r="BE70" i="4"/>
  <c r="BF70" i="4"/>
  <c r="BG70" i="4"/>
  <c r="BH70" i="4"/>
  <c r="BI70" i="4"/>
  <c r="BJ70" i="4"/>
  <c r="BK70" i="4"/>
  <c r="BL70" i="4"/>
  <c r="BM70" i="4"/>
  <c r="BN70" i="4"/>
  <c r="BO70" i="4"/>
  <c r="BP70" i="4"/>
  <c r="BQ70" i="4"/>
  <c r="BR70" i="4"/>
  <c r="BS70" i="4"/>
  <c r="BT70" i="4"/>
  <c r="BU70" i="4"/>
  <c r="BV70" i="4"/>
  <c r="BW70" i="4"/>
  <c r="BX70" i="4"/>
  <c r="BY70" i="4"/>
  <c r="BZ70" i="4"/>
  <c r="CA70" i="4"/>
  <c r="CB70" i="4"/>
  <c r="CC70" i="4"/>
  <c r="CD70" i="4"/>
  <c r="CE70" i="4"/>
  <c r="CF70" i="4"/>
  <c r="CG70" i="4"/>
  <c r="CH70" i="4"/>
  <c r="CI70" i="4"/>
  <c r="CJ70" i="4"/>
  <c r="CK70" i="4"/>
  <c r="CL70" i="4"/>
  <c r="CM70" i="4"/>
  <c r="CN70" i="4"/>
  <c r="CO70" i="4"/>
  <c r="CP70" i="4"/>
  <c r="CQ70" i="4"/>
  <c r="CR70" i="4"/>
  <c r="CS70" i="4"/>
  <c r="CT70" i="4"/>
  <c r="CU70" i="4"/>
  <c r="CV70" i="4"/>
  <c r="CW70" i="4"/>
  <c r="CX70" i="4"/>
  <c r="D71" i="4"/>
  <c r="E71" i="4"/>
  <c r="F71" i="4"/>
  <c r="G71" i="4"/>
  <c r="H71" i="4"/>
  <c r="I71" i="4"/>
  <c r="J71" i="4"/>
  <c r="K71" i="4"/>
  <c r="L71" i="4"/>
  <c r="M71" i="4"/>
  <c r="N71" i="4"/>
  <c r="O71" i="4"/>
  <c r="P71" i="4"/>
  <c r="Q71" i="4"/>
  <c r="R71" i="4"/>
  <c r="S71" i="4"/>
  <c r="T71" i="4"/>
  <c r="U71" i="4"/>
  <c r="V71" i="4"/>
  <c r="W71" i="4"/>
  <c r="X71" i="4"/>
  <c r="Y71" i="4"/>
  <c r="Z71" i="4"/>
  <c r="AA71" i="4"/>
  <c r="AB71" i="4"/>
  <c r="AC71" i="4"/>
  <c r="AD71" i="4"/>
  <c r="AE71" i="4"/>
  <c r="AF71" i="4"/>
  <c r="AG71" i="4"/>
  <c r="AH71" i="4"/>
  <c r="AI71" i="4"/>
  <c r="AJ71" i="4"/>
  <c r="AK71" i="4"/>
  <c r="AL71" i="4"/>
  <c r="AM71" i="4"/>
  <c r="AN71" i="4"/>
  <c r="AO71" i="4"/>
  <c r="AP71" i="4"/>
  <c r="AQ71" i="4"/>
  <c r="AR71" i="4"/>
  <c r="AS71" i="4"/>
  <c r="AT71" i="4"/>
  <c r="AU71" i="4"/>
  <c r="AV71" i="4"/>
  <c r="AW71" i="4"/>
  <c r="AX71" i="4"/>
  <c r="AY71" i="4"/>
  <c r="AZ71" i="4"/>
  <c r="BA71" i="4"/>
  <c r="BB71" i="4"/>
  <c r="BC71" i="4"/>
  <c r="BD71" i="4"/>
  <c r="BE71" i="4"/>
  <c r="BF71" i="4"/>
  <c r="BG71" i="4"/>
  <c r="BH71" i="4"/>
  <c r="BI71" i="4"/>
  <c r="BJ71" i="4"/>
  <c r="BK71" i="4"/>
  <c r="BL71" i="4"/>
  <c r="BM71" i="4"/>
  <c r="BN71" i="4"/>
  <c r="BO71" i="4"/>
  <c r="BP71" i="4"/>
  <c r="BQ71" i="4"/>
  <c r="BR71" i="4"/>
  <c r="BS71" i="4"/>
  <c r="BT71" i="4"/>
  <c r="BU71" i="4"/>
  <c r="BV71" i="4"/>
  <c r="BW71" i="4"/>
  <c r="BX71" i="4"/>
  <c r="BY71" i="4"/>
  <c r="BZ71" i="4"/>
  <c r="CA71" i="4"/>
  <c r="CB71" i="4"/>
  <c r="CC71" i="4"/>
  <c r="CD71" i="4"/>
  <c r="CE71" i="4"/>
  <c r="CF71" i="4"/>
  <c r="CG71" i="4"/>
  <c r="CH71" i="4"/>
  <c r="CI71" i="4"/>
  <c r="CJ71" i="4"/>
  <c r="CK71" i="4"/>
  <c r="CL71" i="4"/>
  <c r="CM71" i="4"/>
  <c r="CN71" i="4"/>
  <c r="CO71" i="4"/>
  <c r="CP71" i="4"/>
  <c r="CQ71" i="4"/>
  <c r="CR71" i="4"/>
  <c r="CS71" i="4"/>
  <c r="CT71" i="4"/>
  <c r="CU71" i="4"/>
  <c r="CV71" i="4"/>
  <c r="CW71" i="4"/>
  <c r="CX71" i="4"/>
  <c r="D72" i="4"/>
  <c r="E72" i="4"/>
  <c r="F72" i="4"/>
  <c r="G72" i="4"/>
  <c r="H72" i="4"/>
  <c r="I72" i="4"/>
  <c r="J72" i="4"/>
  <c r="K72" i="4"/>
  <c r="L72" i="4"/>
  <c r="M72" i="4"/>
  <c r="N72" i="4"/>
  <c r="O72" i="4"/>
  <c r="P72" i="4"/>
  <c r="Q72" i="4"/>
  <c r="R72" i="4"/>
  <c r="S72" i="4"/>
  <c r="T72" i="4"/>
  <c r="U72" i="4"/>
  <c r="V72" i="4"/>
  <c r="W72" i="4"/>
  <c r="X72" i="4"/>
  <c r="Y72" i="4"/>
  <c r="Z72" i="4"/>
  <c r="AA72" i="4"/>
  <c r="AB72" i="4"/>
  <c r="AC72" i="4"/>
  <c r="AD72" i="4"/>
  <c r="AE72" i="4"/>
  <c r="AF72" i="4"/>
  <c r="AG72" i="4"/>
  <c r="AH72" i="4"/>
  <c r="AI72" i="4"/>
  <c r="AJ72" i="4"/>
  <c r="AK72" i="4"/>
  <c r="AL72" i="4"/>
  <c r="AM72" i="4"/>
  <c r="AN72" i="4"/>
  <c r="AO72" i="4"/>
  <c r="AP72" i="4"/>
  <c r="AQ72" i="4"/>
  <c r="AR72" i="4"/>
  <c r="AS72" i="4"/>
  <c r="AT72" i="4"/>
  <c r="AU72" i="4"/>
  <c r="AV72" i="4"/>
  <c r="AW72" i="4"/>
  <c r="AX72" i="4"/>
  <c r="AY72" i="4"/>
  <c r="AZ72" i="4"/>
  <c r="BA72" i="4"/>
  <c r="BB72" i="4"/>
  <c r="BC72" i="4"/>
  <c r="BD72" i="4"/>
  <c r="BE72" i="4"/>
  <c r="BF72" i="4"/>
  <c r="BG72" i="4"/>
  <c r="BH72" i="4"/>
  <c r="BI72" i="4"/>
  <c r="BJ72" i="4"/>
  <c r="BK72" i="4"/>
  <c r="BL72" i="4"/>
  <c r="BM72" i="4"/>
  <c r="BN72" i="4"/>
  <c r="BO72" i="4"/>
  <c r="BP72" i="4"/>
  <c r="BQ72" i="4"/>
  <c r="BR72" i="4"/>
  <c r="BS72" i="4"/>
  <c r="BT72" i="4"/>
  <c r="BU72" i="4"/>
  <c r="BV72" i="4"/>
  <c r="BW72" i="4"/>
  <c r="BX72" i="4"/>
  <c r="BY72" i="4"/>
  <c r="BZ72" i="4"/>
  <c r="CA72" i="4"/>
  <c r="CB72" i="4"/>
  <c r="CC72" i="4"/>
  <c r="CD72" i="4"/>
  <c r="CE72" i="4"/>
  <c r="CF72" i="4"/>
  <c r="CG72" i="4"/>
  <c r="CH72" i="4"/>
  <c r="CI72" i="4"/>
  <c r="CJ72" i="4"/>
  <c r="CK72" i="4"/>
  <c r="CL72" i="4"/>
  <c r="CM72" i="4"/>
  <c r="CN72" i="4"/>
  <c r="CO72" i="4"/>
  <c r="CP72" i="4"/>
  <c r="CQ72" i="4"/>
  <c r="CR72" i="4"/>
  <c r="CS72" i="4"/>
  <c r="CT72" i="4"/>
  <c r="CU72" i="4"/>
  <c r="CV72" i="4"/>
  <c r="CW72" i="4"/>
  <c r="CX72" i="4"/>
  <c r="D73" i="4"/>
  <c r="E73" i="4"/>
  <c r="F73" i="4"/>
  <c r="G73" i="4"/>
  <c r="H73" i="4"/>
  <c r="I73" i="4"/>
  <c r="J73" i="4"/>
  <c r="K73" i="4"/>
  <c r="L73" i="4"/>
  <c r="M73" i="4"/>
  <c r="N73" i="4"/>
  <c r="O73" i="4"/>
  <c r="P73" i="4"/>
  <c r="Q73" i="4"/>
  <c r="R73" i="4"/>
  <c r="S73" i="4"/>
  <c r="T73" i="4"/>
  <c r="U73" i="4"/>
  <c r="V73" i="4"/>
  <c r="W73" i="4"/>
  <c r="X73" i="4"/>
  <c r="Y73" i="4"/>
  <c r="Z73" i="4"/>
  <c r="AA73" i="4"/>
  <c r="AB73" i="4"/>
  <c r="AC73" i="4"/>
  <c r="AD73" i="4"/>
  <c r="AE73" i="4"/>
  <c r="AF73" i="4"/>
  <c r="AG73" i="4"/>
  <c r="AH73" i="4"/>
  <c r="AI73" i="4"/>
  <c r="AJ73" i="4"/>
  <c r="AK73" i="4"/>
  <c r="AL73" i="4"/>
  <c r="AM73" i="4"/>
  <c r="AN73" i="4"/>
  <c r="AO73" i="4"/>
  <c r="AP73" i="4"/>
  <c r="AQ73" i="4"/>
  <c r="AR73" i="4"/>
  <c r="AS73" i="4"/>
  <c r="AT73" i="4"/>
  <c r="AU73" i="4"/>
  <c r="AV73" i="4"/>
  <c r="AW73" i="4"/>
  <c r="AX73" i="4"/>
  <c r="AY73" i="4"/>
  <c r="AZ73" i="4"/>
  <c r="BA73" i="4"/>
  <c r="BB73" i="4"/>
  <c r="BC73" i="4"/>
  <c r="BD73" i="4"/>
  <c r="BE73" i="4"/>
  <c r="BF73" i="4"/>
  <c r="BG73" i="4"/>
  <c r="BH73" i="4"/>
  <c r="BI73" i="4"/>
  <c r="BJ73" i="4"/>
  <c r="BK73" i="4"/>
  <c r="BL73" i="4"/>
  <c r="BM73" i="4"/>
  <c r="BN73" i="4"/>
  <c r="BO73" i="4"/>
  <c r="BP73" i="4"/>
  <c r="BQ73" i="4"/>
  <c r="BR73" i="4"/>
  <c r="BS73" i="4"/>
  <c r="BT73" i="4"/>
  <c r="BU73" i="4"/>
  <c r="BV73" i="4"/>
  <c r="BW73" i="4"/>
  <c r="BX73" i="4"/>
  <c r="BY73" i="4"/>
  <c r="BZ73" i="4"/>
  <c r="CA73" i="4"/>
  <c r="CB73" i="4"/>
  <c r="CC73" i="4"/>
  <c r="CD73" i="4"/>
  <c r="CE73" i="4"/>
  <c r="CF73" i="4"/>
  <c r="CG73" i="4"/>
  <c r="CH73" i="4"/>
  <c r="CI73" i="4"/>
  <c r="CJ73" i="4"/>
  <c r="CK73" i="4"/>
  <c r="CL73" i="4"/>
  <c r="CM73" i="4"/>
  <c r="CN73" i="4"/>
  <c r="CO73" i="4"/>
  <c r="CP73" i="4"/>
  <c r="CQ73" i="4"/>
  <c r="CR73" i="4"/>
  <c r="CS73" i="4"/>
  <c r="CT73" i="4"/>
  <c r="CU73" i="4"/>
  <c r="CV73" i="4"/>
  <c r="CW73" i="4"/>
  <c r="CX73" i="4"/>
  <c r="D74" i="4"/>
  <c r="E74" i="4"/>
  <c r="F74" i="4"/>
  <c r="G74" i="4"/>
  <c r="H74" i="4"/>
  <c r="I74" i="4"/>
  <c r="J74" i="4"/>
  <c r="K74" i="4"/>
  <c r="L74" i="4"/>
  <c r="M74" i="4"/>
  <c r="N74" i="4"/>
  <c r="O74" i="4"/>
  <c r="P74" i="4"/>
  <c r="Q74" i="4"/>
  <c r="R74" i="4"/>
  <c r="S74" i="4"/>
  <c r="T74" i="4"/>
  <c r="U74" i="4"/>
  <c r="V74" i="4"/>
  <c r="W74" i="4"/>
  <c r="X74" i="4"/>
  <c r="Y74" i="4"/>
  <c r="Z74" i="4"/>
  <c r="AA74" i="4"/>
  <c r="AB74" i="4"/>
  <c r="AC74" i="4"/>
  <c r="AD74" i="4"/>
  <c r="AE74" i="4"/>
  <c r="AF74" i="4"/>
  <c r="AG74" i="4"/>
  <c r="AH74" i="4"/>
  <c r="AI74" i="4"/>
  <c r="AJ74" i="4"/>
  <c r="AK74" i="4"/>
  <c r="AL74" i="4"/>
  <c r="AM74" i="4"/>
  <c r="AN74" i="4"/>
  <c r="AO74" i="4"/>
  <c r="AP74" i="4"/>
  <c r="AQ74" i="4"/>
  <c r="AR74" i="4"/>
  <c r="AS74" i="4"/>
  <c r="AT74" i="4"/>
  <c r="AU74" i="4"/>
  <c r="AV74" i="4"/>
  <c r="AW74" i="4"/>
  <c r="AX74" i="4"/>
  <c r="AY74" i="4"/>
  <c r="AZ74" i="4"/>
  <c r="BA74" i="4"/>
  <c r="BB74" i="4"/>
  <c r="BC74" i="4"/>
  <c r="BD74" i="4"/>
  <c r="BE74" i="4"/>
  <c r="BF74" i="4"/>
  <c r="BG74" i="4"/>
  <c r="BH74" i="4"/>
  <c r="BI74" i="4"/>
  <c r="BJ74" i="4"/>
  <c r="BK74" i="4"/>
  <c r="BL74" i="4"/>
  <c r="BM74" i="4"/>
  <c r="BN74" i="4"/>
  <c r="BO74" i="4"/>
  <c r="BP74" i="4"/>
  <c r="BQ74" i="4"/>
  <c r="BR74" i="4"/>
  <c r="BS74" i="4"/>
  <c r="BT74" i="4"/>
  <c r="BU74" i="4"/>
  <c r="BV74" i="4"/>
  <c r="BW74" i="4"/>
  <c r="BX74" i="4"/>
  <c r="BY74" i="4"/>
  <c r="BZ74" i="4"/>
  <c r="CA74" i="4"/>
  <c r="CB74" i="4"/>
  <c r="CC74" i="4"/>
  <c r="CD74" i="4"/>
  <c r="CE74" i="4"/>
  <c r="CF74" i="4"/>
  <c r="CG74" i="4"/>
  <c r="CH74" i="4"/>
  <c r="CI74" i="4"/>
  <c r="CJ74" i="4"/>
  <c r="CK74" i="4"/>
  <c r="CL74" i="4"/>
  <c r="CM74" i="4"/>
  <c r="CN74" i="4"/>
  <c r="CO74" i="4"/>
  <c r="CP74" i="4"/>
  <c r="CQ74" i="4"/>
  <c r="CR74" i="4"/>
  <c r="CS74" i="4"/>
  <c r="CT74" i="4"/>
  <c r="CU74" i="4"/>
  <c r="CV74" i="4"/>
  <c r="CW74" i="4"/>
  <c r="CX74" i="4"/>
  <c r="D75" i="4"/>
  <c r="E75" i="4"/>
  <c r="F75" i="4"/>
  <c r="G75" i="4"/>
  <c r="H75" i="4"/>
  <c r="I75" i="4"/>
  <c r="J75" i="4"/>
  <c r="K75" i="4"/>
  <c r="L75" i="4"/>
  <c r="M75" i="4"/>
  <c r="N75" i="4"/>
  <c r="O75" i="4"/>
  <c r="P75" i="4"/>
  <c r="Q75" i="4"/>
  <c r="R75" i="4"/>
  <c r="S75" i="4"/>
  <c r="T75" i="4"/>
  <c r="U75" i="4"/>
  <c r="V75" i="4"/>
  <c r="W75" i="4"/>
  <c r="X75" i="4"/>
  <c r="Y75" i="4"/>
  <c r="Z75" i="4"/>
  <c r="AA75" i="4"/>
  <c r="AB75" i="4"/>
  <c r="AC75" i="4"/>
  <c r="AD75" i="4"/>
  <c r="AE75" i="4"/>
  <c r="AF75" i="4"/>
  <c r="AG75" i="4"/>
  <c r="AH75" i="4"/>
  <c r="AI75" i="4"/>
  <c r="AJ75" i="4"/>
  <c r="AK75" i="4"/>
  <c r="AL75" i="4"/>
  <c r="AM75" i="4"/>
  <c r="AN75" i="4"/>
  <c r="AO75" i="4"/>
  <c r="AP75" i="4"/>
  <c r="AQ75" i="4"/>
  <c r="AR75" i="4"/>
  <c r="AS75" i="4"/>
  <c r="AT75" i="4"/>
  <c r="AU75" i="4"/>
  <c r="AV75" i="4"/>
  <c r="AW75" i="4"/>
  <c r="AX75" i="4"/>
  <c r="AY75" i="4"/>
  <c r="AZ75" i="4"/>
  <c r="BA75" i="4"/>
  <c r="BB75" i="4"/>
  <c r="BC75" i="4"/>
  <c r="BD75" i="4"/>
  <c r="BE75" i="4"/>
  <c r="BF75" i="4"/>
  <c r="BG75" i="4"/>
  <c r="BH75" i="4"/>
  <c r="BI75" i="4"/>
  <c r="BJ75" i="4"/>
  <c r="BK75" i="4"/>
  <c r="BL75" i="4"/>
  <c r="BM75" i="4"/>
  <c r="BN75" i="4"/>
  <c r="BO75" i="4"/>
  <c r="BP75" i="4"/>
  <c r="BQ75" i="4"/>
  <c r="BR75" i="4"/>
  <c r="BS75" i="4"/>
  <c r="BT75" i="4"/>
  <c r="BU75" i="4"/>
  <c r="BV75" i="4"/>
  <c r="BW75" i="4"/>
  <c r="BX75" i="4"/>
  <c r="BY75" i="4"/>
  <c r="BZ75" i="4"/>
  <c r="CA75" i="4"/>
  <c r="CB75" i="4"/>
  <c r="CC75" i="4"/>
  <c r="CD75" i="4"/>
  <c r="CE75" i="4"/>
  <c r="CF75" i="4"/>
  <c r="CG75" i="4"/>
  <c r="CH75" i="4"/>
  <c r="CI75" i="4"/>
  <c r="CJ75" i="4"/>
  <c r="CK75" i="4"/>
  <c r="CL75" i="4"/>
  <c r="CM75" i="4"/>
  <c r="CN75" i="4"/>
  <c r="CO75" i="4"/>
  <c r="CP75" i="4"/>
  <c r="CQ75" i="4"/>
  <c r="CR75" i="4"/>
  <c r="CS75" i="4"/>
  <c r="CT75" i="4"/>
  <c r="CU75" i="4"/>
  <c r="CV75" i="4"/>
  <c r="CW75" i="4"/>
  <c r="CX75" i="4"/>
  <c r="D76" i="4"/>
  <c r="E76" i="4"/>
  <c r="F76" i="4"/>
  <c r="G76" i="4"/>
  <c r="H76" i="4"/>
  <c r="I76" i="4"/>
  <c r="J76" i="4"/>
  <c r="K76" i="4"/>
  <c r="L76" i="4"/>
  <c r="M76" i="4"/>
  <c r="N76" i="4"/>
  <c r="O76" i="4"/>
  <c r="P76" i="4"/>
  <c r="Q76" i="4"/>
  <c r="R76" i="4"/>
  <c r="S76" i="4"/>
  <c r="T76" i="4"/>
  <c r="U76" i="4"/>
  <c r="V76" i="4"/>
  <c r="W76" i="4"/>
  <c r="X76" i="4"/>
  <c r="Y76" i="4"/>
  <c r="Z76" i="4"/>
  <c r="AA76" i="4"/>
  <c r="AB76" i="4"/>
  <c r="AC76" i="4"/>
  <c r="AD76" i="4"/>
  <c r="AE76" i="4"/>
  <c r="AF76" i="4"/>
  <c r="AG76" i="4"/>
  <c r="AH76" i="4"/>
  <c r="AI76" i="4"/>
  <c r="AJ76" i="4"/>
  <c r="AK76" i="4"/>
  <c r="AL76" i="4"/>
  <c r="AM76" i="4"/>
  <c r="AN76" i="4"/>
  <c r="AO76" i="4"/>
  <c r="AP76" i="4"/>
  <c r="AQ76" i="4"/>
  <c r="AR76" i="4"/>
  <c r="AS76" i="4"/>
  <c r="AT76" i="4"/>
  <c r="AU76" i="4"/>
  <c r="AV76" i="4"/>
  <c r="AW76" i="4"/>
  <c r="AX76" i="4"/>
  <c r="AY76" i="4"/>
  <c r="AZ76" i="4"/>
  <c r="BA76" i="4"/>
  <c r="BB76" i="4"/>
  <c r="BC76" i="4"/>
  <c r="BD76" i="4"/>
  <c r="BE76" i="4"/>
  <c r="BF76" i="4"/>
  <c r="BG76" i="4"/>
  <c r="BH76" i="4"/>
  <c r="BI76" i="4"/>
  <c r="BJ76" i="4"/>
  <c r="BK76" i="4"/>
  <c r="BL76" i="4"/>
  <c r="BM76" i="4"/>
  <c r="BN76" i="4"/>
  <c r="BO76" i="4"/>
  <c r="BP76" i="4"/>
  <c r="BQ76" i="4"/>
  <c r="BR76" i="4"/>
  <c r="BS76" i="4"/>
  <c r="BT76" i="4"/>
  <c r="BU76" i="4"/>
  <c r="BV76" i="4"/>
  <c r="BW76" i="4"/>
  <c r="BX76" i="4"/>
  <c r="BY76" i="4"/>
  <c r="BZ76" i="4"/>
  <c r="CA76" i="4"/>
  <c r="CB76" i="4"/>
  <c r="CC76" i="4"/>
  <c r="CD76" i="4"/>
  <c r="CE76" i="4"/>
  <c r="CF76" i="4"/>
  <c r="CG76" i="4"/>
  <c r="CH76" i="4"/>
  <c r="CI76" i="4"/>
  <c r="CJ76" i="4"/>
  <c r="CK76" i="4"/>
  <c r="CL76" i="4"/>
  <c r="CM76" i="4"/>
  <c r="CN76" i="4"/>
  <c r="CO76" i="4"/>
  <c r="CP76" i="4"/>
  <c r="CQ76" i="4"/>
  <c r="CR76" i="4"/>
  <c r="CS76" i="4"/>
  <c r="CT76" i="4"/>
  <c r="CU76" i="4"/>
  <c r="CV76" i="4"/>
  <c r="CW76" i="4"/>
  <c r="CX76" i="4"/>
  <c r="D77" i="4"/>
  <c r="E77" i="4"/>
  <c r="F77" i="4"/>
  <c r="G77" i="4"/>
  <c r="H77" i="4"/>
  <c r="I77" i="4"/>
  <c r="J77" i="4"/>
  <c r="K77" i="4"/>
  <c r="L77" i="4"/>
  <c r="M77" i="4"/>
  <c r="N77" i="4"/>
  <c r="O77" i="4"/>
  <c r="P77" i="4"/>
  <c r="Q77" i="4"/>
  <c r="R77" i="4"/>
  <c r="S77" i="4"/>
  <c r="T77" i="4"/>
  <c r="U77" i="4"/>
  <c r="V77" i="4"/>
  <c r="W77" i="4"/>
  <c r="X77" i="4"/>
  <c r="Y77" i="4"/>
  <c r="Z77" i="4"/>
  <c r="AA77" i="4"/>
  <c r="AB77" i="4"/>
  <c r="AC77" i="4"/>
  <c r="AD77" i="4"/>
  <c r="AE77" i="4"/>
  <c r="AF77" i="4"/>
  <c r="AG77" i="4"/>
  <c r="AH77" i="4"/>
  <c r="AI77" i="4"/>
  <c r="AJ77" i="4"/>
  <c r="AK77" i="4"/>
  <c r="AL77" i="4"/>
  <c r="AM77" i="4"/>
  <c r="AN77" i="4"/>
  <c r="AO77" i="4"/>
  <c r="AP77" i="4"/>
  <c r="AQ77" i="4"/>
  <c r="AR77" i="4"/>
  <c r="AS77" i="4"/>
  <c r="AT77" i="4"/>
  <c r="AU77" i="4"/>
  <c r="AV77" i="4"/>
  <c r="AW77" i="4"/>
  <c r="AX77" i="4"/>
  <c r="AY77" i="4"/>
  <c r="AZ77" i="4"/>
  <c r="BA77" i="4"/>
  <c r="BB77" i="4"/>
  <c r="BC77" i="4"/>
  <c r="BD77" i="4"/>
  <c r="BE77" i="4"/>
  <c r="BF77" i="4"/>
  <c r="BG77" i="4"/>
  <c r="BH77" i="4"/>
  <c r="BI77" i="4"/>
  <c r="BJ77" i="4"/>
  <c r="BK77" i="4"/>
  <c r="BL77" i="4"/>
  <c r="BM77" i="4"/>
  <c r="BN77" i="4"/>
  <c r="BO77" i="4"/>
  <c r="BP77" i="4"/>
  <c r="BQ77" i="4"/>
  <c r="BR77" i="4"/>
  <c r="BS77" i="4"/>
  <c r="BT77" i="4"/>
  <c r="BU77" i="4"/>
  <c r="BV77" i="4"/>
  <c r="BW77" i="4"/>
  <c r="BX77" i="4"/>
  <c r="BY77" i="4"/>
  <c r="BZ77" i="4"/>
  <c r="CA77" i="4"/>
  <c r="CB77" i="4"/>
  <c r="CC77" i="4"/>
  <c r="CD77" i="4"/>
  <c r="CE77" i="4"/>
  <c r="CF77" i="4"/>
  <c r="CG77" i="4"/>
  <c r="CH77" i="4"/>
  <c r="CI77" i="4"/>
  <c r="CJ77" i="4"/>
  <c r="CK77" i="4"/>
  <c r="CL77" i="4"/>
  <c r="CM77" i="4"/>
  <c r="CN77" i="4"/>
  <c r="CO77" i="4"/>
  <c r="CP77" i="4"/>
  <c r="CQ77" i="4"/>
  <c r="CR77" i="4"/>
  <c r="CS77" i="4"/>
  <c r="CT77" i="4"/>
  <c r="CU77" i="4"/>
  <c r="CV77" i="4"/>
  <c r="CW77" i="4"/>
  <c r="CX77" i="4"/>
  <c r="D78" i="4"/>
  <c r="E78" i="4"/>
  <c r="F78" i="4"/>
  <c r="G78" i="4"/>
  <c r="H78" i="4"/>
  <c r="I78" i="4"/>
  <c r="J78" i="4"/>
  <c r="K78" i="4"/>
  <c r="L78" i="4"/>
  <c r="M78" i="4"/>
  <c r="N78" i="4"/>
  <c r="O78" i="4"/>
  <c r="P78" i="4"/>
  <c r="Q78" i="4"/>
  <c r="R78" i="4"/>
  <c r="S78" i="4"/>
  <c r="T78" i="4"/>
  <c r="U78" i="4"/>
  <c r="V78" i="4"/>
  <c r="W78" i="4"/>
  <c r="X78" i="4"/>
  <c r="Y78" i="4"/>
  <c r="Z78" i="4"/>
  <c r="AA78" i="4"/>
  <c r="AB78" i="4"/>
  <c r="AC78" i="4"/>
  <c r="AD78" i="4"/>
  <c r="AE78" i="4"/>
  <c r="AF78" i="4"/>
  <c r="AG78" i="4"/>
  <c r="AH78" i="4"/>
  <c r="AI78" i="4"/>
  <c r="AJ78" i="4"/>
  <c r="AK78" i="4"/>
  <c r="AL78" i="4"/>
  <c r="AM78" i="4"/>
  <c r="AN78" i="4"/>
  <c r="AO78" i="4"/>
  <c r="AP78" i="4"/>
  <c r="AQ78" i="4"/>
  <c r="AR78" i="4"/>
  <c r="AS78" i="4"/>
  <c r="AT78" i="4"/>
  <c r="AU78" i="4"/>
  <c r="AV78" i="4"/>
  <c r="AW78" i="4"/>
  <c r="AX78" i="4"/>
  <c r="AY78" i="4"/>
  <c r="AZ78" i="4"/>
  <c r="BA78" i="4"/>
  <c r="BB78" i="4"/>
  <c r="BC78" i="4"/>
  <c r="BD78" i="4"/>
  <c r="BE78" i="4"/>
  <c r="BF78" i="4"/>
  <c r="BG78" i="4"/>
  <c r="BH78" i="4"/>
  <c r="BI78" i="4"/>
  <c r="BJ78" i="4"/>
  <c r="BK78" i="4"/>
  <c r="BL78" i="4"/>
  <c r="BM78" i="4"/>
  <c r="BN78" i="4"/>
  <c r="BO78" i="4"/>
  <c r="BP78" i="4"/>
  <c r="BQ78" i="4"/>
  <c r="BR78" i="4"/>
  <c r="BS78" i="4"/>
  <c r="BT78" i="4"/>
  <c r="BU78" i="4"/>
  <c r="BV78" i="4"/>
  <c r="BW78" i="4"/>
  <c r="BX78" i="4"/>
  <c r="BY78" i="4"/>
  <c r="BZ78" i="4"/>
  <c r="CA78" i="4"/>
  <c r="CB78" i="4"/>
  <c r="CC78" i="4"/>
  <c r="CD78" i="4"/>
  <c r="CE78" i="4"/>
  <c r="CF78" i="4"/>
  <c r="CG78" i="4"/>
  <c r="CH78" i="4"/>
  <c r="CI78" i="4"/>
  <c r="CJ78" i="4"/>
  <c r="CK78" i="4"/>
  <c r="CL78" i="4"/>
  <c r="CM78" i="4"/>
  <c r="CN78" i="4"/>
  <c r="CO78" i="4"/>
  <c r="CP78" i="4"/>
  <c r="CQ78" i="4"/>
  <c r="CR78" i="4"/>
  <c r="CS78" i="4"/>
  <c r="CT78" i="4"/>
  <c r="CU78" i="4"/>
  <c r="CV78" i="4"/>
  <c r="CW78" i="4"/>
  <c r="CX78" i="4"/>
  <c r="D79" i="4"/>
  <c r="E79" i="4"/>
  <c r="F79" i="4"/>
  <c r="G79" i="4"/>
  <c r="H79" i="4"/>
  <c r="I79" i="4"/>
  <c r="J79" i="4"/>
  <c r="K79" i="4"/>
  <c r="L79" i="4"/>
  <c r="M79" i="4"/>
  <c r="N79" i="4"/>
  <c r="O79" i="4"/>
  <c r="P79" i="4"/>
  <c r="Q79" i="4"/>
  <c r="R79" i="4"/>
  <c r="S79" i="4"/>
  <c r="T79" i="4"/>
  <c r="U79" i="4"/>
  <c r="V79" i="4"/>
  <c r="W79" i="4"/>
  <c r="X79" i="4"/>
  <c r="Y79" i="4"/>
  <c r="Z79" i="4"/>
  <c r="AA79" i="4"/>
  <c r="AB79" i="4"/>
  <c r="AC79" i="4"/>
  <c r="AD79" i="4"/>
  <c r="AE79" i="4"/>
  <c r="AF79" i="4"/>
  <c r="AG79" i="4"/>
  <c r="AH79" i="4"/>
  <c r="AI79" i="4"/>
  <c r="AJ79" i="4"/>
  <c r="AK79" i="4"/>
  <c r="AL79" i="4"/>
  <c r="AM79" i="4"/>
  <c r="AN79" i="4"/>
  <c r="AO79" i="4"/>
  <c r="AP79" i="4"/>
  <c r="AQ79" i="4"/>
  <c r="AR79" i="4"/>
  <c r="AS79" i="4"/>
  <c r="AT79" i="4"/>
  <c r="AU79" i="4"/>
  <c r="AV79" i="4"/>
  <c r="AW79" i="4"/>
  <c r="AX79" i="4"/>
  <c r="AY79" i="4"/>
  <c r="AZ79" i="4"/>
  <c r="BA79" i="4"/>
  <c r="BB79" i="4"/>
  <c r="BC79" i="4"/>
  <c r="BD79" i="4"/>
  <c r="BE79" i="4"/>
  <c r="BF79" i="4"/>
  <c r="BG79" i="4"/>
  <c r="BH79" i="4"/>
  <c r="BI79" i="4"/>
  <c r="BJ79" i="4"/>
  <c r="BK79" i="4"/>
  <c r="BL79" i="4"/>
  <c r="BM79" i="4"/>
  <c r="BN79" i="4"/>
  <c r="BO79" i="4"/>
  <c r="BP79" i="4"/>
  <c r="BQ79" i="4"/>
  <c r="BR79" i="4"/>
  <c r="BS79" i="4"/>
  <c r="BT79" i="4"/>
  <c r="BU79" i="4"/>
  <c r="BV79" i="4"/>
  <c r="BW79" i="4"/>
  <c r="BX79" i="4"/>
  <c r="BY79" i="4"/>
  <c r="BZ79" i="4"/>
  <c r="CA79" i="4"/>
  <c r="CB79" i="4"/>
  <c r="CC79" i="4"/>
  <c r="CD79" i="4"/>
  <c r="CE79" i="4"/>
  <c r="CF79" i="4"/>
  <c r="CG79" i="4"/>
  <c r="CH79" i="4"/>
  <c r="CI79" i="4"/>
  <c r="CJ79" i="4"/>
  <c r="CK79" i="4"/>
  <c r="CL79" i="4"/>
  <c r="CM79" i="4"/>
  <c r="CN79" i="4"/>
  <c r="CO79" i="4"/>
  <c r="CP79" i="4"/>
  <c r="CQ79" i="4"/>
  <c r="CR79" i="4"/>
  <c r="CS79" i="4"/>
  <c r="CT79" i="4"/>
  <c r="CU79" i="4"/>
  <c r="CV79" i="4"/>
  <c r="CW79" i="4"/>
  <c r="CX79" i="4"/>
  <c r="D80" i="4"/>
  <c r="E80" i="4"/>
  <c r="F80" i="4"/>
  <c r="G80" i="4"/>
  <c r="H80" i="4"/>
  <c r="I80" i="4"/>
  <c r="J80" i="4"/>
  <c r="K80" i="4"/>
  <c r="L80" i="4"/>
  <c r="M80" i="4"/>
  <c r="N80" i="4"/>
  <c r="O80" i="4"/>
  <c r="P80" i="4"/>
  <c r="Q80" i="4"/>
  <c r="R80" i="4"/>
  <c r="S80" i="4"/>
  <c r="T80" i="4"/>
  <c r="U80" i="4"/>
  <c r="V80" i="4"/>
  <c r="W80" i="4"/>
  <c r="X80" i="4"/>
  <c r="Y80" i="4"/>
  <c r="Z80" i="4"/>
  <c r="AA80" i="4"/>
  <c r="AB80" i="4"/>
  <c r="AC80" i="4"/>
  <c r="AD80" i="4"/>
  <c r="AE80" i="4"/>
  <c r="AF80" i="4"/>
  <c r="AG80" i="4"/>
  <c r="AH80" i="4"/>
  <c r="AI80" i="4"/>
  <c r="AJ80" i="4"/>
  <c r="AK80" i="4"/>
  <c r="AL80" i="4"/>
  <c r="AM80" i="4"/>
  <c r="AN80" i="4"/>
  <c r="AO80" i="4"/>
  <c r="AP80" i="4"/>
  <c r="AQ80" i="4"/>
  <c r="AR80" i="4"/>
  <c r="AS80" i="4"/>
  <c r="AT80" i="4"/>
  <c r="AU80" i="4"/>
  <c r="AV80" i="4"/>
  <c r="AW80" i="4"/>
  <c r="AX80" i="4"/>
  <c r="AY80" i="4"/>
  <c r="AZ80" i="4"/>
  <c r="BA80" i="4"/>
  <c r="BB80" i="4"/>
  <c r="BC80" i="4"/>
  <c r="BD80" i="4"/>
  <c r="BE80" i="4"/>
  <c r="BF80" i="4"/>
  <c r="BG80" i="4"/>
  <c r="BH80" i="4"/>
  <c r="BI80" i="4"/>
  <c r="BJ80" i="4"/>
  <c r="BK80" i="4"/>
  <c r="BL80" i="4"/>
  <c r="BM80" i="4"/>
  <c r="BN80" i="4"/>
  <c r="BO80" i="4"/>
  <c r="BP80" i="4"/>
  <c r="BQ80" i="4"/>
  <c r="BR80" i="4"/>
  <c r="BS80" i="4"/>
  <c r="BT80" i="4"/>
  <c r="BU80" i="4"/>
  <c r="BV80" i="4"/>
  <c r="BW80" i="4"/>
  <c r="BX80" i="4"/>
  <c r="BY80" i="4"/>
  <c r="BZ80" i="4"/>
  <c r="CA80" i="4"/>
  <c r="CB80" i="4"/>
  <c r="CC80" i="4"/>
  <c r="CD80" i="4"/>
  <c r="CE80" i="4"/>
  <c r="CF80" i="4"/>
  <c r="CG80" i="4"/>
  <c r="CH80" i="4"/>
  <c r="CI80" i="4"/>
  <c r="CJ80" i="4"/>
  <c r="CK80" i="4"/>
  <c r="CL80" i="4"/>
  <c r="CM80" i="4"/>
  <c r="CN80" i="4"/>
  <c r="CO80" i="4"/>
  <c r="CP80" i="4"/>
  <c r="CQ80" i="4"/>
  <c r="CR80" i="4"/>
  <c r="CS80" i="4"/>
  <c r="CT80" i="4"/>
  <c r="CU80" i="4"/>
  <c r="CV80" i="4"/>
  <c r="CW80" i="4"/>
  <c r="CX80" i="4"/>
  <c r="D81" i="4"/>
  <c r="E81" i="4"/>
  <c r="F81" i="4"/>
  <c r="G81" i="4"/>
  <c r="H81" i="4"/>
  <c r="I81" i="4"/>
  <c r="J81" i="4"/>
  <c r="K81" i="4"/>
  <c r="L81" i="4"/>
  <c r="M81" i="4"/>
  <c r="N81" i="4"/>
  <c r="O81" i="4"/>
  <c r="P81" i="4"/>
  <c r="Q81" i="4"/>
  <c r="R81" i="4"/>
  <c r="S81" i="4"/>
  <c r="T81" i="4"/>
  <c r="U81" i="4"/>
  <c r="V81" i="4"/>
  <c r="W81" i="4"/>
  <c r="X81" i="4"/>
  <c r="Y81" i="4"/>
  <c r="Z81" i="4"/>
  <c r="AA81" i="4"/>
  <c r="AB81" i="4"/>
  <c r="AC81" i="4"/>
  <c r="AD81" i="4"/>
  <c r="AE81" i="4"/>
  <c r="AF81" i="4"/>
  <c r="AG81" i="4"/>
  <c r="AH81" i="4"/>
  <c r="AI81" i="4"/>
  <c r="AJ81" i="4"/>
  <c r="AK81" i="4"/>
  <c r="AL81" i="4"/>
  <c r="AM81" i="4"/>
  <c r="AN81" i="4"/>
  <c r="AO81" i="4"/>
  <c r="AP81" i="4"/>
  <c r="AQ81" i="4"/>
  <c r="AR81" i="4"/>
  <c r="AS81" i="4"/>
  <c r="AT81" i="4"/>
  <c r="AU81" i="4"/>
  <c r="AV81" i="4"/>
  <c r="AW81" i="4"/>
  <c r="AX81" i="4"/>
  <c r="AY81" i="4"/>
  <c r="AZ81" i="4"/>
  <c r="BA81" i="4"/>
  <c r="BB81" i="4"/>
  <c r="BC81" i="4"/>
  <c r="BD81" i="4"/>
  <c r="BE81" i="4"/>
  <c r="BF81" i="4"/>
  <c r="BG81" i="4"/>
  <c r="BH81" i="4"/>
  <c r="BI81" i="4"/>
  <c r="BJ81" i="4"/>
  <c r="BK81" i="4"/>
  <c r="BL81" i="4"/>
  <c r="BM81" i="4"/>
  <c r="BN81" i="4"/>
  <c r="BO81" i="4"/>
  <c r="BP81" i="4"/>
  <c r="BQ81" i="4"/>
  <c r="BR81" i="4"/>
  <c r="BS81" i="4"/>
  <c r="BT81" i="4"/>
  <c r="BU81" i="4"/>
  <c r="BV81" i="4"/>
  <c r="BW81" i="4"/>
  <c r="BX81" i="4"/>
  <c r="BY81" i="4"/>
  <c r="BZ81" i="4"/>
  <c r="CA81" i="4"/>
  <c r="CB81" i="4"/>
  <c r="CC81" i="4"/>
  <c r="CD81" i="4"/>
  <c r="CE81" i="4"/>
  <c r="CF81" i="4"/>
  <c r="CG81" i="4"/>
  <c r="CH81" i="4"/>
  <c r="CI81" i="4"/>
  <c r="CJ81" i="4"/>
  <c r="CK81" i="4"/>
  <c r="CL81" i="4"/>
  <c r="CM81" i="4"/>
  <c r="CN81" i="4"/>
  <c r="CO81" i="4"/>
  <c r="CP81" i="4"/>
  <c r="CQ81" i="4"/>
  <c r="CR81" i="4"/>
  <c r="CS81" i="4"/>
  <c r="CT81" i="4"/>
  <c r="CU81" i="4"/>
  <c r="CV81" i="4"/>
  <c r="CW81" i="4"/>
  <c r="CX81" i="4"/>
  <c r="D82" i="4"/>
  <c r="E82" i="4"/>
  <c r="F82" i="4"/>
  <c r="G82" i="4"/>
  <c r="H82" i="4"/>
  <c r="I82" i="4"/>
  <c r="J82" i="4"/>
  <c r="K82" i="4"/>
  <c r="L82" i="4"/>
  <c r="M82" i="4"/>
  <c r="N82" i="4"/>
  <c r="O82" i="4"/>
  <c r="P82" i="4"/>
  <c r="Q82" i="4"/>
  <c r="R82" i="4"/>
  <c r="S82" i="4"/>
  <c r="T82" i="4"/>
  <c r="U82" i="4"/>
  <c r="V82" i="4"/>
  <c r="W82" i="4"/>
  <c r="X82" i="4"/>
  <c r="Y82" i="4"/>
  <c r="Z82" i="4"/>
  <c r="AA82" i="4"/>
  <c r="AB82" i="4"/>
  <c r="AC82" i="4"/>
  <c r="AD82" i="4"/>
  <c r="AE82" i="4"/>
  <c r="AF82" i="4"/>
  <c r="AG82" i="4"/>
  <c r="AH82" i="4"/>
  <c r="AI82" i="4"/>
  <c r="AJ82" i="4"/>
  <c r="AK82" i="4"/>
  <c r="AL82" i="4"/>
  <c r="AM82" i="4"/>
  <c r="AN82" i="4"/>
  <c r="AO82" i="4"/>
  <c r="AP82" i="4"/>
  <c r="AQ82" i="4"/>
  <c r="AR82" i="4"/>
  <c r="AS82" i="4"/>
  <c r="AT82" i="4"/>
  <c r="AU82" i="4"/>
  <c r="AV82" i="4"/>
  <c r="AW82" i="4"/>
  <c r="AX82" i="4"/>
  <c r="AY82" i="4"/>
  <c r="AZ82" i="4"/>
  <c r="BA82" i="4"/>
  <c r="BB82" i="4"/>
  <c r="BC82" i="4"/>
  <c r="BD82" i="4"/>
  <c r="BE82" i="4"/>
  <c r="BF82" i="4"/>
  <c r="BG82" i="4"/>
  <c r="BH82" i="4"/>
  <c r="BI82" i="4"/>
  <c r="BJ82" i="4"/>
  <c r="BK82" i="4"/>
  <c r="BL82" i="4"/>
  <c r="BM82" i="4"/>
  <c r="BN82" i="4"/>
  <c r="BO82" i="4"/>
  <c r="BP82" i="4"/>
  <c r="BQ82" i="4"/>
  <c r="BR82" i="4"/>
  <c r="BS82" i="4"/>
  <c r="BT82" i="4"/>
  <c r="BU82" i="4"/>
  <c r="BV82" i="4"/>
  <c r="BW82" i="4"/>
  <c r="BX82" i="4"/>
  <c r="BY82" i="4"/>
  <c r="BZ82" i="4"/>
  <c r="CA82" i="4"/>
  <c r="CB82" i="4"/>
  <c r="CC82" i="4"/>
  <c r="CD82" i="4"/>
  <c r="CE82" i="4"/>
  <c r="CF82" i="4"/>
  <c r="CG82" i="4"/>
  <c r="CH82" i="4"/>
  <c r="CI82" i="4"/>
  <c r="CJ82" i="4"/>
  <c r="CK82" i="4"/>
  <c r="CL82" i="4"/>
  <c r="CM82" i="4"/>
  <c r="CN82" i="4"/>
  <c r="CO82" i="4"/>
  <c r="CP82" i="4"/>
  <c r="CQ82" i="4"/>
  <c r="CR82" i="4"/>
  <c r="CS82" i="4"/>
  <c r="CT82" i="4"/>
  <c r="CU82" i="4"/>
  <c r="CV82" i="4"/>
  <c r="CW82" i="4"/>
  <c r="CX82" i="4"/>
  <c r="D83" i="4"/>
  <c r="E83" i="4"/>
  <c r="F83" i="4"/>
  <c r="G83" i="4"/>
  <c r="H83" i="4"/>
  <c r="I83" i="4"/>
  <c r="J83" i="4"/>
  <c r="K83" i="4"/>
  <c r="L83" i="4"/>
  <c r="M83" i="4"/>
  <c r="N83" i="4"/>
  <c r="O83" i="4"/>
  <c r="P83" i="4"/>
  <c r="Q83" i="4"/>
  <c r="R83" i="4"/>
  <c r="S83" i="4"/>
  <c r="T83" i="4"/>
  <c r="U83" i="4"/>
  <c r="V83" i="4"/>
  <c r="W83" i="4"/>
  <c r="X83" i="4"/>
  <c r="Y83" i="4"/>
  <c r="Z83" i="4"/>
  <c r="AA83" i="4"/>
  <c r="AB83" i="4"/>
  <c r="AC83" i="4"/>
  <c r="AD83" i="4"/>
  <c r="AE83" i="4"/>
  <c r="AF83" i="4"/>
  <c r="AG83" i="4"/>
  <c r="AH83" i="4"/>
  <c r="AI83" i="4"/>
  <c r="AJ83" i="4"/>
  <c r="AK83" i="4"/>
  <c r="AL83" i="4"/>
  <c r="AM83" i="4"/>
  <c r="AN83" i="4"/>
  <c r="AO83" i="4"/>
  <c r="AP83" i="4"/>
  <c r="AQ83" i="4"/>
  <c r="AR83" i="4"/>
  <c r="AS83" i="4"/>
  <c r="AT83" i="4"/>
  <c r="AU83" i="4"/>
  <c r="AV83" i="4"/>
  <c r="AW83" i="4"/>
  <c r="AX83" i="4"/>
  <c r="AY83" i="4"/>
  <c r="AZ83" i="4"/>
  <c r="BA83" i="4"/>
  <c r="BB83" i="4"/>
  <c r="BC83" i="4"/>
  <c r="BD83" i="4"/>
  <c r="BE83" i="4"/>
  <c r="BF83" i="4"/>
  <c r="BG83" i="4"/>
  <c r="BH83" i="4"/>
  <c r="BI83" i="4"/>
  <c r="BJ83" i="4"/>
  <c r="BK83" i="4"/>
  <c r="BL83" i="4"/>
  <c r="BM83" i="4"/>
  <c r="BN83" i="4"/>
  <c r="BO83" i="4"/>
  <c r="BP83" i="4"/>
  <c r="BQ83" i="4"/>
  <c r="BR83" i="4"/>
  <c r="BS83" i="4"/>
  <c r="BT83" i="4"/>
  <c r="BU83" i="4"/>
  <c r="BV83" i="4"/>
  <c r="BW83" i="4"/>
  <c r="BX83" i="4"/>
  <c r="BY83" i="4"/>
  <c r="BZ83" i="4"/>
  <c r="CA83" i="4"/>
  <c r="CB83" i="4"/>
  <c r="CC83" i="4"/>
  <c r="CD83" i="4"/>
  <c r="CE83" i="4"/>
  <c r="CF83" i="4"/>
  <c r="CG83" i="4"/>
  <c r="CH83" i="4"/>
  <c r="CI83" i="4"/>
  <c r="CJ83" i="4"/>
  <c r="CK83" i="4"/>
  <c r="CL83" i="4"/>
  <c r="CM83" i="4"/>
  <c r="CN83" i="4"/>
  <c r="CO83" i="4"/>
  <c r="CP83" i="4"/>
  <c r="CQ83" i="4"/>
  <c r="CR83" i="4"/>
  <c r="CS83" i="4"/>
  <c r="CT83" i="4"/>
  <c r="CU83" i="4"/>
  <c r="CV83" i="4"/>
  <c r="CW83" i="4"/>
  <c r="CX83" i="4"/>
  <c r="D84" i="4"/>
  <c r="E84" i="4"/>
  <c r="F84" i="4"/>
  <c r="G84" i="4"/>
  <c r="H84" i="4"/>
  <c r="I84" i="4"/>
  <c r="J84" i="4"/>
  <c r="K84" i="4"/>
  <c r="L84" i="4"/>
  <c r="M84" i="4"/>
  <c r="N84" i="4"/>
  <c r="O84" i="4"/>
  <c r="P84" i="4"/>
  <c r="Q84" i="4"/>
  <c r="R84" i="4"/>
  <c r="S84" i="4"/>
  <c r="T84" i="4"/>
  <c r="U84" i="4"/>
  <c r="V84" i="4"/>
  <c r="W84" i="4"/>
  <c r="X84" i="4"/>
  <c r="Y84" i="4"/>
  <c r="Z84" i="4"/>
  <c r="AA84" i="4"/>
  <c r="AB84" i="4"/>
  <c r="AC84" i="4"/>
  <c r="AD84" i="4"/>
  <c r="AE84" i="4"/>
  <c r="AF84" i="4"/>
  <c r="AG84" i="4"/>
  <c r="AH84" i="4"/>
  <c r="AI84" i="4"/>
  <c r="AJ84" i="4"/>
  <c r="AK84" i="4"/>
  <c r="AL84" i="4"/>
  <c r="AM84" i="4"/>
  <c r="AN84" i="4"/>
  <c r="AO84" i="4"/>
  <c r="AP84" i="4"/>
  <c r="AQ84" i="4"/>
  <c r="AR84" i="4"/>
  <c r="AS84" i="4"/>
  <c r="AT84" i="4"/>
  <c r="AU84" i="4"/>
  <c r="AV84" i="4"/>
  <c r="AW84" i="4"/>
  <c r="AX84" i="4"/>
  <c r="AY84" i="4"/>
  <c r="AZ84" i="4"/>
  <c r="BA84" i="4"/>
  <c r="BB84" i="4"/>
  <c r="BC84" i="4"/>
  <c r="BD84" i="4"/>
  <c r="BE84" i="4"/>
  <c r="BF84" i="4"/>
  <c r="BG84" i="4"/>
  <c r="BH84" i="4"/>
  <c r="BI84" i="4"/>
  <c r="BJ84" i="4"/>
  <c r="BK84" i="4"/>
  <c r="BL84" i="4"/>
  <c r="BM84" i="4"/>
  <c r="BN84" i="4"/>
  <c r="BO84" i="4"/>
  <c r="BP84" i="4"/>
  <c r="BQ84" i="4"/>
  <c r="BR84" i="4"/>
  <c r="BS84" i="4"/>
  <c r="BT84" i="4"/>
  <c r="BU84" i="4"/>
  <c r="BV84" i="4"/>
  <c r="BW84" i="4"/>
  <c r="BX84" i="4"/>
  <c r="BY84" i="4"/>
  <c r="BZ84" i="4"/>
  <c r="CA84" i="4"/>
  <c r="CB84" i="4"/>
  <c r="CC84" i="4"/>
  <c r="CD84" i="4"/>
  <c r="CE84" i="4"/>
  <c r="CF84" i="4"/>
  <c r="CG84" i="4"/>
  <c r="CH84" i="4"/>
  <c r="CI84" i="4"/>
  <c r="CJ84" i="4"/>
  <c r="CK84" i="4"/>
  <c r="CL84" i="4"/>
  <c r="CM84" i="4"/>
  <c r="CN84" i="4"/>
  <c r="CO84" i="4"/>
  <c r="CP84" i="4"/>
  <c r="CQ84" i="4"/>
  <c r="CR84" i="4"/>
  <c r="CS84" i="4"/>
  <c r="CT84" i="4"/>
  <c r="CU84" i="4"/>
  <c r="CV84" i="4"/>
  <c r="CW84" i="4"/>
  <c r="CX84" i="4"/>
  <c r="D85" i="4"/>
  <c r="E85" i="4"/>
  <c r="F85" i="4"/>
  <c r="G85" i="4"/>
  <c r="H85" i="4"/>
  <c r="I85" i="4"/>
  <c r="J85" i="4"/>
  <c r="K85" i="4"/>
  <c r="L85" i="4"/>
  <c r="M85" i="4"/>
  <c r="N85" i="4"/>
  <c r="O85" i="4"/>
  <c r="P85" i="4"/>
  <c r="Q85" i="4"/>
  <c r="R85" i="4"/>
  <c r="S85" i="4"/>
  <c r="T85" i="4"/>
  <c r="U85" i="4"/>
  <c r="V85" i="4"/>
  <c r="W85" i="4"/>
  <c r="X85" i="4"/>
  <c r="Y85" i="4"/>
  <c r="Z85" i="4"/>
  <c r="AA85" i="4"/>
  <c r="AB85" i="4"/>
  <c r="AC85" i="4"/>
  <c r="AD85" i="4"/>
  <c r="AE85" i="4"/>
  <c r="AF85" i="4"/>
  <c r="AG85" i="4"/>
  <c r="AH85" i="4"/>
  <c r="AI85" i="4"/>
  <c r="AJ85" i="4"/>
  <c r="AK85" i="4"/>
  <c r="AL85" i="4"/>
  <c r="AM85" i="4"/>
  <c r="AN85" i="4"/>
  <c r="AO85" i="4"/>
  <c r="AP85" i="4"/>
  <c r="AQ85" i="4"/>
  <c r="AR85" i="4"/>
  <c r="AS85" i="4"/>
  <c r="AT85" i="4"/>
  <c r="AU85" i="4"/>
  <c r="AV85" i="4"/>
  <c r="AW85" i="4"/>
  <c r="AX85" i="4"/>
  <c r="AY85" i="4"/>
  <c r="AZ85" i="4"/>
  <c r="BA85" i="4"/>
  <c r="BB85" i="4"/>
  <c r="BC85" i="4"/>
  <c r="BD85" i="4"/>
  <c r="BE85" i="4"/>
  <c r="BF85" i="4"/>
  <c r="BG85" i="4"/>
  <c r="BH85" i="4"/>
  <c r="BI85" i="4"/>
  <c r="BJ85" i="4"/>
  <c r="BK85" i="4"/>
  <c r="BL85" i="4"/>
  <c r="BM85" i="4"/>
  <c r="BN85" i="4"/>
  <c r="BO85" i="4"/>
  <c r="BP85" i="4"/>
  <c r="BQ85" i="4"/>
  <c r="BR85" i="4"/>
  <c r="BS85" i="4"/>
  <c r="BT85" i="4"/>
  <c r="BU85" i="4"/>
  <c r="BV85" i="4"/>
  <c r="BW85" i="4"/>
  <c r="BX85" i="4"/>
  <c r="BY85" i="4"/>
  <c r="BZ85" i="4"/>
  <c r="CA85" i="4"/>
  <c r="CB85" i="4"/>
  <c r="CC85" i="4"/>
  <c r="CD85" i="4"/>
  <c r="CE85" i="4"/>
  <c r="CF85" i="4"/>
  <c r="CG85" i="4"/>
  <c r="CH85" i="4"/>
  <c r="CI85" i="4"/>
  <c r="CJ85" i="4"/>
  <c r="CK85" i="4"/>
  <c r="CL85" i="4"/>
  <c r="CM85" i="4"/>
  <c r="CN85" i="4"/>
  <c r="CO85" i="4"/>
  <c r="CP85" i="4"/>
  <c r="CQ85" i="4"/>
  <c r="CR85" i="4"/>
  <c r="CS85" i="4"/>
  <c r="CT85" i="4"/>
  <c r="CU85" i="4"/>
  <c r="CV85" i="4"/>
  <c r="CW85" i="4"/>
  <c r="CX85" i="4"/>
  <c r="D86" i="4"/>
  <c r="E86" i="4"/>
  <c r="F86" i="4"/>
  <c r="G86" i="4"/>
  <c r="H86" i="4"/>
  <c r="I86" i="4"/>
  <c r="J86" i="4"/>
  <c r="K86" i="4"/>
  <c r="L86" i="4"/>
  <c r="M86" i="4"/>
  <c r="N86" i="4"/>
  <c r="O86" i="4"/>
  <c r="P86" i="4"/>
  <c r="Q86" i="4"/>
  <c r="R86" i="4"/>
  <c r="S86" i="4"/>
  <c r="T86" i="4"/>
  <c r="U86" i="4"/>
  <c r="V86" i="4"/>
  <c r="W86" i="4"/>
  <c r="X86" i="4"/>
  <c r="Y86" i="4"/>
  <c r="Z86" i="4"/>
  <c r="AA86" i="4"/>
  <c r="AB86" i="4"/>
  <c r="AC86" i="4"/>
  <c r="AD86" i="4"/>
  <c r="AE86" i="4"/>
  <c r="AF86" i="4"/>
  <c r="AG86" i="4"/>
  <c r="AH86" i="4"/>
  <c r="AI86" i="4"/>
  <c r="AJ86" i="4"/>
  <c r="AK86" i="4"/>
  <c r="AL86" i="4"/>
  <c r="AM86" i="4"/>
  <c r="AN86" i="4"/>
  <c r="AO86" i="4"/>
  <c r="AP86" i="4"/>
  <c r="AQ86" i="4"/>
  <c r="AR86" i="4"/>
  <c r="AS86" i="4"/>
  <c r="AT86" i="4"/>
  <c r="AU86" i="4"/>
  <c r="AV86" i="4"/>
  <c r="AW86" i="4"/>
  <c r="AX86" i="4"/>
  <c r="AY86" i="4"/>
  <c r="AZ86" i="4"/>
  <c r="BA86" i="4"/>
  <c r="BB86" i="4"/>
  <c r="BC86" i="4"/>
  <c r="BD86" i="4"/>
  <c r="BE86" i="4"/>
  <c r="BF86" i="4"/>
  <c r="BG86" i="4"/>
  <c r="BH86" i="4"/>
  <c r="BI86" i="4"/>
  <c r="BJ86" i="4"/>
  <c r="BK86" i="4"/>
  <c r="BL86" i="4"/>
  <c r="BM86" i="4"/>
  <c r="BN86" i="4"/>
  <c r="BO86" i="4"/>
  <c r="BP86" i="4"/>
  <c r="BQ86" i="4"/>
  <c r="BR86" i="4"/>
  <c r="BS86" i="4"/>
  <c r="BT86" i="4"/>
  <c r="BU86" i="4"/>
  <c r="BV86" i="4"/>
  <c r="BW86" i="4"/>
  <c r="BX86" i="4"/>
  <c r="BY86" i="4"/>
  <c r="BZ86" i="4"/>
  <c r="CA86" i="4"/>
  <c r="CB86" i="4"/>
  <c r="CC86" i="4"/>
  <c r="CD86" i="4"/>
  <c r="CE86" i="4"/>
  <c r="CF86" i="4"/>
  <c r="CG86" i="4"/>
  <c r="CH86" i="4"/>
  <c r="CI86" i="4"/>
  <c r="CJ86" i="4"/>
  <c r="CK86" i="4"/>
  <c r="CL86" i="4"/>
  <c r="CM86" i="4"/>
  <c r="CN86" i="4"/>
  <c r="CO86" i="4"/>
  <c r="CP86" i="4"/>
  <c r="CQ86" i="4"/>
  <c r="CR86" i="4"/>
  <c r="CS86" i="4"/>
  <c r="CT86" i="4"/>
  <c r="CU86" i="4"/>
  <c r="CV86" i="4"/>
  <c r="CW86" i="4"/>
  <c r="CX86" i="4"/>
  <c r="D87" i="4"/>
  <c r="E87" i="4"/>
  <c r="F87" i="4"/>
  <c r="G87" i="4"/>
  <c r="H87" i="4"/>
  <c r="I87" i="4"/>
  <c r="J87" i="4"/>
  <c r="K87" i="4"/>
  <c r="L87" i="4"/>
  <c r="M87" i="4"/>
  <c r="N87" i="4"/>
  <c r="O87" i="4"/>
  <c r="P87" i="4"/>
  <c r="Q87" i="4"/>
  <c r="R87" i="4"/>
  <c r="S87" i="4"/>
  <c r="T87" i="4"/>
  <c r="U87" i="4"/>
  <c r="V87" i="4"/>
  <c r="W87" i="4"/>
  <c r="X87" i="4"/>
  <c r="Y87" i="4"/>
  <c r="Z87" i="4"/>
  <c r="AA87" i="4"/>
  <c r="AB87" i="4"/>
  <c r="AC87" i="4"/>
  <c r="AD87" i="4"/>
  <c r="AE87" i="4"/>
  <c r="AF87" i="4"/>
  <c r="AG87" i="4"/>
  <c r="AH87" i="4"/>
  <c r="AI87" i="4"/>
  <c r="AJ87" i="4"/>
  <c r="AK87" i="4"/>
  <c r="AL87" i="4"/>
  <c r="AM87" i="4"/>
  <c r="AN87" i="4"/>
  <c r="AO87" i="4"/>
  <c r="AP87" i="4"/>
  <c r="AQ87" i="4"/>
  <c r="AR87" i="4"/>
  <c r="AS87" i="4"/>
  <c r="AT87" i="4"/>
  <c r="AU87" i="4"/>
  <c r="AV87" i="4"/>
  <c r="AW87" i="4"/>
  <c r="AX87" i="4"/>
  <c r="AY87" i="4"/>
  <c r="AZ87" i="4"/>
  <c r="BA87" i="4"/>
  <c r="BB87" i="4"/>
  <c r="BC87" i="4"/>
  <c r="BD87" i="4"/>
  <c r="BE87" i="4"/>
  <c r="BF87" i="4"/>
  <c r="BG87" i="4"/>
  <c r="BH87" i="4"/>
  <c r="BI87" i="4"/>
  <c r="BJ87" i="4"/>
  <c r="BK87" i="4"/>
  <c r="BL87" i="4"/>
  <c r="BM87" i="4"/>
  <c r="BN87" i="4"/>
  <c r="BO87" i="4"/>
  <c r="BP87" i="4"/>
  <c r="BQ87" i="4"/>
  <c r="BR87" i="4"/>
  <c r="BS87" i="4"/>
  <c r="BT87" i="4"/>
  <c r="BU87" i="4"/>
  <c r="BV87" i="4"/>
  <c r="BW87" i="4"/>
  <c r="BX87" i="4"/>
  <c r="BY87" i="4"/>
  <c r="BZ87" i="4"/>
  <c r="CA87" i="4"/>
  <c r="CB87" i="4"/>
  <c r="CC87" i="4"/>
  <c r="CD87" i="4"/>
  <c r="CE87" i="4"/>
  <c r="CF87" i="4"/>
  <c r="CG87" i="4"/>
  <c r="CH87" i="4"/>
  <c r="CI87" i="4"/>
  <c r="CJ87" i="4"/>
  <c r="CK87" i="4"/>
  <c r="CL87" i="4"/>
  <c r="CM87" i="4"/>
  <c r="CN87" i="4"/>
  <c r="CO87" i="4"/>
  <c r="CP87" i="4"/>
  <c r="CQ87" i="4"/>
  <c r="CR87" i="4"/>
  <c r="CS87" i="4"/>
  <c r="CT87" i="4"/>
  <c r="CU87" i="4"/>
  <c r="CV87" i="4"/>
  <c r="CW87" i="4"/>
  <c r="CX87" i="4"/>
  <c r="D88" i="4"/>
  <c r="E88" i="4"/>
  <c r="F88" i="4"/>
  <c r="G88" i="4"/>
  <c r="H88" i="4"/>
  <c r="I88" i="4"/>
  <c r="J88" i="4"/>
  <c r="K88" i="4"/>
  <c r="L88" i="4"/>
  <c r="M88" i="4"/>
  <c r="N88" i="4"/>
  <c r="O88" i="4"/>
  <c r="P88" i="4"/>
  <c r="Q88" i="4"/>
  <c r="R88" i="4"/>
  <c r="S88" i="4"/>
  <c r="T88" i="4"/>
  <c r="U88" i="4"/>
  <c r="V88" i="4"/>
  <c r="W88" i="4"/>
  <c r="X88" i="4"/>
  <c r="Y88" i="4"/>
  <c r="Z88" i="4"/>
  <c r="AA88" i="4"/>
  <c r="AB88" i="4"/>
  <c r="AC88" i="4"/>
  <c r="AD88" i="4"/>
  <c r="AE88" i="4"/>
  <c r="AF88" i="4"/>
  <c r="AG88" i="4"/>
  <c r="AH88" i="4"/>
  <c r="AI88" i="4"/>
  <c r="AJ88" i="4"/>
  <c r="AK88" i="4"/>
  <c r="AL88" i="4"/>
  <c r="AM88" i="4"/>
  <c r="AN88" i="4"/>
  <c r="AO88" i="4"/>
  <c r="AP88" i="4"/>
  <c r="AQ88" i="4"/>
  <c r="AR88" i="4"/>
  <c r="AS88" i="4"/>
  <c r="AT88" i="4"/>
  <c r="AU88" i="4"/>
  <c r="AV88" i="4"/>
  <c r="AW88" i="4"/>
  <c r="AX88" i="4"/>
  <c r="AY88" i="4"/>
  <c r="AZ88" i="4"/>
  <c r="BA88" i="4"/>
  <c r="BB88" i="4"/>
  <c r="BC88" i="4"/>
  <c r="BD88" i="4"/>
  <c r="BE88" i="4"/>
  <c r="BF88" i="4"/>
  <c r="BG88" i="4"/>
  <c r="BH88" i="4"/>
  <c r="BI88" i="4"/>
  <c r="BJ88" i="4"/>
  <c r="BK88" i="4"/>
  <c r="BL88" i="4"/>
  <c r="BM88" i="4"/>
  <c r="BN88" i="4"/>
  <c r="BO88" i="4"/>
  <c r="BP88" i="4"/>
  <c r="BQ88" i="4"/>
  <c r="BR88" i="4"/>
  <c r="BS88" i="4"/>
  <c r="BT88" i="4"/>
  <c r="BU88" i="4"/>
  <c r="BV88" i="4"/>
  <c r="BW88" i="4"/>
  <c r="BX88" i="4"/>
  <c r="BY88" i="4"/>
  <c r="BZ88" i="4"/>
  <c r="CA88" i="4"/>
  <c r="CB88" i="4"/>
  <c r="CC88" i="4"/>
  <c r="CD88" i="4"/>
  <c r="CE88" i="4"/>
  <c r="CF88" i="4"/>
  <c r="CG88" i="4"/>
  <c r="CH88" i="4"/>
  <c r="CI88" i="4"/>
  <c r="CJ88" i="4"/>
  <c r="CK88" i="4"/>
  <c r="CL88" i="4"/>
  <c r="CM88" i="4"/>
  <c r="CN88" i="4"/>
  <c r="CO88" i="4"/>
  <c r="CP88" i="4"/>
  <c r="CQ88" i="4"/>
  <c r="CR88" i="4"/>
  <c r="CS88" i="4"/>
  <c r="CT88" i="4"/>
  <c r="CU88" i="4"/>
  <c r="CV88" i="4"/>
  <c r="CW88" i="4"/>
  <c r="CX88" i="4"/>
  <c r="D89" i="4"/>
  <c r="E89" i="4"/>
  <c r="F89" i="4"/>
  <c r="G89" i="4"/>
  <c r="H89" i="4"/>
  <c r="I89" i="4"/>
  <c r="J89" i="4"/>
  <c r="K89" i="4"/>
  <c r="L89" i="4"/>
  <c r="M89" i="4"/>
  <c r="N89" i="4"/>
  <c r="O89" i="4"/>
  <c r="P89" i="4"/>
  <c r="Q89" i="4"/>
  <c r="R89" i="4"/>
  <c r="S89" i="4"/>
  <c r="T89" i="4"/>
  <c r="U89" i="4"/>
  <c r="V89" i="4"/>
  <c r="W89" i="4"/>
  <c r="X89" i="4"/>
  <c r="Y89" i="4"/>
  <c r="Z89" i="4"/>
  <c r="AA89" i="4"/>
  <c r="AB89" i="4"/>
  <c r="AC89" i="4"/>
  <c r="AD89" i="4"/>
  <c r="AE89" i="4"/>
  <c r="AF89" i="4"/>
  <c r="AG89" i="4"/>
  <c r="AH89" i="4"/>
  <c r="AI89" i="4"/>
  <c r="AJ89" i="4"/>
  <c r="AK89" i="4"/>
  <c r="AL89" i="4"/>
  <c r="AM89" i="4"/>
  <c r="AN89" i="4"/>
  <c r="AO89" i="4"/>
  <c r="AP89" i="4"/>
  <c r="AQ89" i="4"/>
  <c r="AR89" i="4"/>
  <c r="AS89" i="4"/>
  <c r="AT89" i="4"/>
  <c r="AU89" i="4"/>
  <c r="AV89" i="4"/>
  <c r="AW89" i="4"/>
  <c r="AX89" i="4"/>
  <c r="AY89" i="4"/>
  <c r="AZ89" i="4"/>
  <c r="BA89" i="4"/>
  <c r="BB89" i="4"/>
  <c r="BC89" i="4"/>
  <c r="BD89" i="4"/>
  <c r="BE89" i="4"/>
  <c r="BF89" i="4"/>
  <c r="BG89" i="4"/>
  <c r="BH89" i="4"/>
  <c r="BI89" i="4"/>
  <c r="BJ89" i="4"/>
  <c r="BK89" i="4"/>
  <c r="BL89" i="4"/>
  <c r="BM89" i="4"/>
  <c r="BN89" i="4"/>
  <c r="BO89" i="4"/>
  <c r="BP89" i="4"/>
  <c r="BQ89" i="4"/>
  <c r="BR89" i="4"/>
  <c r="BS89" i="4"/>
  <c r="BT89" i="4"/>
  <c r="BU89" i="4"/>
  <c r="BV89" i="4"/>
  <c r="BW89" i="4"/>
  <c r="BX89" i="4"/>
  <c r="BY89" i="4"/>
  <c r="BZ89" i="4"/>
  <c r="CA89" i="4"/>
  <c r="CB89" i="4"/>
  <c r="CC89" i="4"/>
  <c r="CD89" i="4"/>
  <c r="CE89" i="4"/>
  <c r="CF89" i="4"/>
  <c r="CG89" i="4"/>
  <c r="CH89" i="4"/>
  <c r="CI89" i="4"/>
  <c r="CJ89" i="4"/>
  <c r="CK89" i="4"/>
  <c r="CL89" i="4"/>
  <c r="CM89" i="4"/>
  <c r="CN89" i="4"/>
  <c r="CO89" i="4"/>
  <c r="CP89" i="4"/>
  <c r="CQ89" i="4"/>
  <c r="CR89" i="4"/>
  <c r="CS89" i="4"/>
  <c r="CT89" i="4"/>
  <c r="CU89" i="4"/>
  <c r="CV89" i="4"/>
  <c r="CW89" i="4"/>
  <c r="CX89" i="4"/>
  <c r="D90" i="4"/>
  <c r="E90" i="4"/>
  <c r="F90" i="4"/>
  <c r="G90" i="4"/>
  <c r="H90" i="4"/>
  <c r="I90" i="4"/>
  <c r="J90" i="4"/>
  <c r="K90" i="4"/>
  <c r="L90" i="4"/>
  <c r="M90" i="4"/>
  <c r="N90" i="4"/>
  <c r="O90" i="4"/>
  <c r="P90" i="4"/>
  <c r="Q90" i="4"/>
  <c r="R90" i="4"/>
  <c r="S90" i="4"/>
  <c r="T90" i="4"/>
  <c r="U90" i="4"/>
  <c r="V90" i="4"/>
  <c r="W90" i="4"/>
  <c r="X90" i="4"/>
  <c r="Y90" i="4"/>
  <c r="Z90" i="4"/>
  <c r="AA90" i="4"/>
  <c r="AB90" i="4"/>
  <c r="AC90" i="4"/>
  <c r="AD90" i="4"/>
  <c r="AE90" i="4"/>
  <c r="AF90" i="4"/>
  <c r="AG90" i="4"/>
  <c r="AH90" i="4"/>
  <c r="AI90" i="4"/>
  <c r="AJ90" i="4"/>
  <c r="AK90" i="4"/>
  <c r="AL90" i="4"/>
  <c r="AM90" i="4"/>
  <c r="AN90" i="4"/>
  <c r="AO90" i="4"/>
  <c r="AP90" i="4"/>
  <c r="AQ90" i="4"/>
  <c r="AR90" i="4"/>
  <c r="AS90" i="4"/>
  <c r="AT90" i="4"/>
  <c r="AU90" i="4"/>
  <c r="AV90" i="4"/>
  <c r="AW90" i="4"/>
  <c r="AX90" i="4"/>
  <c r="AY90" i="4"/>
  <c r="AZ90" i="4"/>
  <c r="BA90" i="4"/>
  <c r="BB90" i="4"/>
  <c r="BC90" i="4"/>
  <c r="BD90" i="4"/>
  <c r="BE90" i="4"/>
  <c r="BF90" i="4"/>
  <c r="BG90" i="4"/>
  <c r="BH90" i="4"/>
  <c r="BI90" i="4"/>
  <c r="BJ90" i="4"/>
  <c r="BK90" i="4"/>
  <c r="BL90" i="4"/>
  <c r="BM90" i="4"/>
  <c r="BN90" i="4"/>
  <c r="BO90" i="4"/>
  <c r="BP90" i="4"/>
  <c r="BQ90" i="4"/>
  <c r="BR90" i="4"/>
  <c r="BS90" i="4"/>
  <c r="BT90" i="4"/>
  <c r="BU90" i="4"/>
  <c r="BV90" i="4"/>
  <c r="BW90" i="4"/>
  <c r="BX90" i="4"/>
  <c r="BY90" i="4"/>
  <c r="BZ90" i="4"/>
  <c r="CA90" i="4"/>
  <c r="CB90" i="4"/>
  <c r="CC90" i="4"/>
  <c r="CD90" i="4"/>
  <c r="CE90" i="4"/>
  <c r="CF90" i="4"/>
  <c r="CG90" i="4"/>
  <c r="CH90" i="4"/>
  <c r="CI90" i="4"/>
  <c r="CJ90" i="4"/>
  <c r="CK90" i="4"/>
  <c r="CL90" i="4"/>
  <c r="CM90" i="4"/>
  <c r="CN90" i="4"/>
  <c r="CO90" i="4"/>
  <c r="CP90" i="4"/>
  <c r="CQ90" i="4"/>
  <c r="CR90" i="4"/>
  <c r="CS90" i="4"/>
  <c r="CT90" i="4"/>
  <c r="CU90" i="4"/>
  <c r="CV90" i="4"/>
  <c r="CW90" i="4"/>
  <c r="CX90" i="4"/>
  <c r="D91" i="4"/>
  <c r="E91" i="4"/>
  <c r="F91" i="4"/>
  <c r="G91" i="4"/>
  <c r="H91" i="4"/>
  <c r="I91" i="4"/>
  <c r="J91" i="4"/>
  <c r="K91" i="4"/>
  <c r="L91" i="4"/>
  <c r="M91" i="4"/>
  <c r="N91" i="4"/>
  <c r="O91" i="4"/>
  <c r="P91" i="4"/>
  <c r="Q91" i="4"/>
  <c r="R91" i="4"/>
  <c r="S91" i="4"/>
  <c r="T91" i="4"/>
  <c r="U91" i="4"/>
  <c r="V91" i="4"/>
  <c r="W91" i="4"/>
  <c r="X91" i="4"/>
  <c r="Y91" i="4"/>
  <c r="Z91" i="4"/>
  <c r="AA91" i="4"/>
  <c r="AB91" i="4"/>
  <c r="AC91" i="4"/>
  <c r="AD91" i="4"/>
  <c r="AE91" i="4"/>
  <c r="AF91" i="4"/>
  <c r="AG91" i="4"/>
  <c r="AH91" i="4"/>
  <c r="AI91" i="4"/>
  <c r="AJ91" i="4"/>
  <c r="AK91" i="4"/>
  <c r="AL91" i="4"/>
  <c r="AM91" i="4"/>
  <c r="AN91" i="4"/>
  <c r="AO91" i="4"/>
  <c r="AP91" i="4"/>
  <c r="AQ91" i="4"/>
  <c r="AR91" i="4"/>
  <c r="AS91" i="4"/>
  <c r="AT91" i="4"/>
  <c r="AU91" i="4"/>
  <c r="AV91" i="4"/>
  <c r="AW91" i="4"/>
  <c r="AX91" i="4"/>
  <c r="AY91" i="4"/>
  <c r="AZ91" i="4"/>
  <c r="BA91" i="4"/>
  <c r="BB91" i="4"/>
  <c r="BC91" i="4"/>
  <c r="BD91" i="4"/>
  <c r="BE91" i="4"/>
  <c r="BF91" i="4"/>
  <c r="BG91" i="4"/>
  <c r="BH91" i="4"/>
  <c r="BI91" i="4"/>
  <c r="BJ91" i="4"/>
  <c r="BK91" i="4"/>
  <c r="BL91" i="4"/>
  <c r="BM91" i="4"/>
  <c r="BN91" i="4"/>
  <c r="BO91" i="4"/>
  <c r="BP91" i="4"/>
  <c r="BQ91" i="4"/>
  <c r="BR91" i="4"/>
  <c r="BS91" i="4"/>
  <c r="BT91" i="4"/>
  <c r="BU91" i="4"/>
  <c r="BV91" i="4"/>
  <c r="BW91" i="4"/>
  <c r="BX91" i="4"/>
  <c r="BY91" i="4"/>
  <c r="BZ91" i="4"/>
  <c r="CA91" i="4"/>
  <c r="CB91" i="4"/>
  <c r="CC91" i="4"/>
  <c r="CD91" i="4"/>
  <c r="CE91" i="4"/>
  <c r="CF91" i="4"/>
  <c r="CG91" i="4"/>
  <c r="CH91" i="4"/>
  <c r="CI91" i="4"/>
  <c r="CJ91" i="4"/>
  <c r="CK91" i="4"/>
  <c r="CL91" i="4"/>
  <c r="CM91" i="4"/>
  <c r="CN91" i="4"/>
  <c r="CO91" i="4"/>
  <c r="CP91" i="4"/>
  <c r="CQ91" i="4"/>
  <c r="CR91" i="4"/>
  <c r="CS91" i="4"/>
  <c r="CT91" i="4"/>
  <c r="CU91" i="4"/>
  <c r="CV91" i="4"/>
  <c r="CW91" i="4"/>
  <c r="CX91" i="4"/>
  <c r="D92" i="4"/>
  <c r="E92" i="4"/>
  <c r="F92" i="4"/>
  <c r="G92" i="4"/>
  <c r="H92" i="4"/>
  <c r="I92" i="4"/>
  <c r="J92" i="4"/>
  <c r="K92" i="4"/>
  <c r="L92" i="4"/>
  <c r="M92" i="4"/>
  <c r="N92" i="4"/>
  <c r="O92" i="4"/>
  <c r="P92" i="4"/>
  <c r="Q92" i="4"/>
  <c r="R92" i="4"/>
  <c r="S92" i="4"/>
  <c r="T92" i="4"/>
  <c r="U92" i="4"/>
  <c r="V92" i="4"/>
  <c r="W92" i="4"/>
  <c r="X92" i="4"/>
  <c r="Y92" i="4"/>
  <c r="Z92" i="4"/>
  <c r="AA92" i="4"/>
  <c r="AB92" i="4"/>
  <c r="AC92" i="4"/>
  <c r="AD92" i="4"/>
  <c r="AE92" i="4"/>
  <c r="AF92" i="4"/>
  <c r="AG92" i="4"/>
  <c r="AH92" i="4"/>
  <c r="AI92" i="4"/>
  <c r="AJ92" i="4"/>
  <c r="AK92" i="4"/>
  <c r="AL92" i="4"/>
  <c r="AM92" i="4"/>
  <c r="AN92" i="4"/>
  <c r="AO92" i="4"/>
  <c r="AP92" i="4"/>
  <c r="AQ92" i="4"/>
  <c r="AR92" i="4"/>
  <c r="AS92" i="4"/>
  <c r="AT92" i="4"/>
  <c r="AU92" i="4"/>
  <c r="AV92" i="4"/>
  <c r="AW92" i="4"/>
  <c r="AX92" i="4"/>
  <c r="AY92" i="4"/>
  <c r="AZ92" i="4"/>
  <c r="BA92" i="4"/>
  <c r="BB92" i="4"/>
  <c r="BC92" i="4"/>
  <c r="BD92" i="4"/>
  <c r="BE92" i="4"/>
  <c r="BF92" i="4"/>
  <c r="BG92" i="4"/>
  <c r="BH92" i="4"/>
  <c r="BI92" i="4"/>
  <c r="BJ92" i="4"/>
  <c r="BK92" i="4"/>
  <c r="BL92" i="4"/>
  <c r="BM92" i="4"/>
  <c r="BN92" i="4"/>
  <c r="BO92" i="4"/>
  <c r="BP92" i="4"/>
  <c r="BQ92" i="4"/>
  <c r="BR92" i="4"/>
  <c r="BS92" i="4"/>
  <c r="BT92" i="4"/>
  <c r="BU92" i="4"/>
  <c r="BV92" i="4"/>
  <c r="BW92" i="4"/>
  <c r="BX92" i="4"/>
  <c r="BY92" i="4"/>
  <c r="BZ92" i="4"/>
  <c r="CA92" i="4"/>
  <c r="CB92" i="4"/>
  <c r="CC92" i="4"/>
  <c r="CD92" i="4"/>
  <c r="CE92" i="4"/>
  <c r="CF92" i="4"/>
  <c r="CG92" i="4"/>
  <c r="CH92" i="4"/>
  <c r="CI92" i="4"/>
  <c r="CJ92" i="4"/>
  <c r="CK92" i="4"/>
  <c r="CL92" i="4"/>
  <c r="CM92" i="4"/>
  <c r="CN92" i="4"/>
  <c r="CO92" i="4"/>
  <c r="CP92" i="4"/>
  <c r="CQ92" i="4"/>
  <c r="CR92" i="4"/>
  <c r="CS92" i="4"/>
  <c r="CT92" i="4"/>
  <c r="CU92" i="4"/>
  <c r="CV92" i="4"/>
  <c r="CW92" i="4"/>
  <c r="CX92" i="4"/>
  <c r="D93" i="4"/>
  <c r="E93" i="4"/>
  <c r="F93" i="4"/>
  <c r="G93" i="4"/>
  <c r="H93" i="4"/>
  <c r="I93" i="4"/>
  <c r="J93" i="4"/>
  <c r="K93" i="4"/>
  <c r="L93" i="4"/>
  <c r="M93" i="4"/>
  <c r="N93" i="4"/>
  <c r="O93" i="4"/>
  <c r="P93" i="4"/>
  <c r="Q93" i="4"/>
  <c r="R93" i="4"/>
  <c r="S93" i="4"/>
  <c r="T93" i="4"/>
  <c r="U93" i="4"/>
  <c r="V93" i="4"/>
  <c r="W93" i="4"/>
  <c r="X93" i="4"/>
  <c r="Y93" i="4"/>
  <c r="Z93" i="4"/>
  <c r="AA93" i="4"/>
  <c r="AB93" i="4"/>
  <c r="AC93" i="4"/>
  <c r="AD93" i="4"/>
  <c r="AE93" i="4"/>
  <c r="AF93" i="4"/>
  <c r="AG93" i="4"/>
  <c r="AH93" i="4"/>
  <c r="AI93" i="4"/>
  <c r="AJ93" i="4"/>
  <c r="AK93" i="4"/>
  <c r="AL93" i="4"/>
  <c r="AM93" i="4"/>
  <c r="AN93" i="4"/>
  <c r="AO93" i="4"/>
  <c r="AP93" i="4"/>
  <c r="AQ93" i="4"/>
  <c r="AR93" i="4"/>
  <c r="AS93" i="4"/>
  <c r="AT93" i="4"/>
  <c r="AU93" i="4"/>
  <c r="AV93" i="4"/>
  <c r="AW93" i="4"/>
  <c r="AX93" i="4"/>
  <c r="AY93" i="4"/>
  <c r="AZ93" i="4"/>
  <c r="BA93" i="4"/>
  <c r="BB93" i="4"/>
  <c r="BC93" i="4"/>
  <c r="BD93" i="4"/>
  <c r="BE93" i="4"/>
  <c r="BF93" i="4"/>
  <c r="BG93" i="4"/>
  <c r="BH93" i="4"/>
  <c r="BI93" i="4"/>
  <c r="BJ93" i="4"/>
  <c r="BK93" i="4"/>
  <c r="BL93" i="4"/>
  <c r="BM93" i="4"/>
  <c r="BN93" i="4"/>
  <c r="BO93" i="4"/>
  <c r="BP93" i="4"/>
  <c r="BQ93" i="4"/>
  <c r="BR93" i="4"/>
  <c r="BS93" i="4"/>
  <c r="BT93" i="4"/>
  <c r="BU93" i="4"/>
  <c r="BV93" i="4"/>
  <c r="BW93" i="4"/>
  <c r="BX93" i="4"/>
  <c r="BY93" i="4"/>
  <c r="BZ93" i="4"/>
  <c r="CA93" i="4"/>
  <c r="CB93" i="4"/>
  <c r="CC93" i="4"/>
  <c r="CD93" i="4"/>
  <c r="CE93" i="4"/>
  <c r="CF93" i="4"/>
  <c r="CG93" i="4"/>
  <c r="CH93" i="4"/>
  <c r="CI93" i="4"/>
  <c r="CJ93" i="4"/>
  <c r="CK93" i="4"/>
  <c r="CL93" i="4"/>
  <c r="CM93" i="4"/>
  <c r="CN93" i="4"/>
  <c r="CO93" i="4"/>
  <c r="CP93" i="4"/>
  <c r="CQ93" i="4"/>
  <c r="CR93" i="4"/>
  <c r="CS93" i="4"/>
  <c r="CT93" i="4"/>
  <c r="CU93" i="4"/>
  <c r="CV93" i="4"/>
  <c r="CW93" i="4"/>
  <c r="CX93" i="4"/>
  <c r="D94" i="4"/>
  <c r="E94" i="4"/>
  <c r="F94" i="4"/>
  <c r="G94" i="4"/>
  <c r="H94" i="4"/>
  <c r="I94" i="4"/>
  <c r="J94" i="4"/>
  <c r="K94" i="4"/>
  <c r="L94" i="4"/>
  <c r="M94" i="4"/>
  <c r="N94" i="4"/>
  <c r="O94" i="4"/>
  <c r="P94" i="4"/>
  <c r="Q94" i="4"/>
  <c r="R94" i="4"/>
  <c r="S94" i="4"/>
  <c r="T94" i="4"/>
  <c r="U94" i="4"/>
  <c r="V94" i="4"/>
  <c r="W94" i="4"/>
  <c r="X94" i="4"/>
  <c r="Y94" i="4"/>
  <c r="Z94" i="4"/>
  <c r="AA94" i="4"/>
  <c r="AB94" i="4"/>
  <c r="AC94" i="4"/>
  <c r="AD94" i="4"/>
  <c r="AE94" i="4"/>
  <c r="AF94" i="4"/>
  <c r="AG94" i="4"/>
  <c r="AH94" i="4"/>
  <c r="AI94" i="4"/>
  <c r="AJ94" i="4"/>
  <c r="AK94" i="4"/>
  <c r="AL94" i="4"/>
  <c r="AM94" i="4"/>
  <c r="AN94" i="4"/>
  <c r="AO94" i="4"/>
  <c r="AP94" i="4"/>
  <c r="AQ94" i="4"/>
  <c r="AR94" i="4"/>
  <c r="AS94" i="4"/>
  <c r="AT94" i="4"/>
  <c r="AU94" i="4"/>
  <c r="AV94" i="4"/>
  <c r="AW94" i="4"/>
  <c r="AX94" i="4"/>
  <c r="AY94" i="4"/>
  <c r="AZ94" i="4"/>
  <c r="BA94" i="4"/>
  <c r="BB94" i="4"/>
  <c r="BC94" i="4"/>
  <c r="BD94" i="4"/>
  <c r="BE94" i="4"/>
  <c r="BF94" i="4"/>
  <c r="BG94" i="4"/>
  <c r="BH94" i="4"/>
  <c r="BI94" i="4"/>
  <c r="BJ94" i="4"/>
  <c r="BK94" i="4"/>
  <c r="BL94" i="4"/>
  <c r="BM94" i="4"/>
  <c r="BN94" i="4"/>
  <c r="BO94" i="4"/>
  <c r="BP94" i="4"/>
  <c r="BQ94" i="4"/>
  <c r="BR94" i="4"/>
  <c r="BS94" i="4"/>
  <c r="BT94" i="4"/>
  <c r="BU94" i="4"/>
  <c r="BV94" i="4"/>
  <c r="BW94" i="4"/>
  <c r="BX94" i="4"/>
  <c r="BY94" i="4"/>
  <c r="BZ94" i="4"/>
  <c r="CA94" i="4"/>
  <c r="CB94" i="4"/>
  <c r="CC94" i="4"/>
  <c r="CD94" i="4"/>
  <c r="CE94" i="4"/>
  <c r="CF94" i="4"/>
  <c r="CG94" i="4"/>
  <c r="CH94" i="4"/>
  <c r="CI94" i="4"/>
  <c r="CJ94" i="4"/>
  <c r="CK94" i="4"/>
  <c r="CL94" i="4"/>
  <c r="CM94" i="4"/>
  <c r="CN94" i="4"/>
  <c r="CO94" i="4"/>
  <c r="CP94" i="4"/>
  <c r="CQ94" i="4"/>
  <c r="CR94" i="4"/>
  <c r="CS94" i="4"/>
  <c r="CT94" i="4"/>
  <c r="CU94" i="4"/>
  <c r="CV94" i="4"/>
  <c r="CW94" i="4"/>
  <c r="CX94" i="4"/>
  <c r="D95" i="4"/>
  <c r="E95" i="4"/>
  <c r="F95" i="4"/>
  <c r="G95" i="4"/>
  <c r="H95" i="4"/>
  <c r="I95" i="4"/>
  <c r="J95" i="4"/>
  <c r="K95" i="4"/>
  <c r="L95" i="4"/>
  <c r="M95" i="4"/>
  <c r="N95" i="4"/>
  <c r="O95" i="4"/>
  <c r="P95" i="4"/>
  <c r="Q95" i="4"/>
  <c r="R95" i="4"/>
  <c r="S95" i="4"/>
  <c r="T95" i="4"/>
  <c r="U95" i="4"/>
  <c r="V95" i="4"/>
  <c r="W95" i="4"/>
  <c r="X95" i="4"/>
  <c r="Y95" i="4"/>
  <c r="Z95" i="4"/>
  <c r="AA95" i="4"/>
  <c r="AB95" i="4"/>
  <c r="AC95" i="4"/>
  <c r="AD95" i="4"/>
  <c r="AE95" i="4"/>
  <c r="AF95" i="4"/>
  <c r="AG95" i="4"/>
  <c r="AH95" i="4"/>
  <c r="AI95" i="4"/>
  <c r="AJ95" i="4"/>
  <c r="AK95" i="4"/>
  <c r="AL95" i="4"/>
  <c r="AM95" i="4"/>
  <c r="AN95" i="4"/>
  <c r="AO95" i="4"/>
  <c r="AP95" i="4"/>
  <c r="AQ95" i="4"/>
  <c r="AR95" i="4"/>
  <c r="AS95" i="4"/>
  <c r="AT95" i="4"/>
  <c r="AU95" i="4"/>
  <c r="AV95" i="4"/>
  <c r="AW95" i="4"/>
  <c r="AX95" i="4"/>
  <c r="AY95" i="4"/>
  <c r="AZ95" i="4"/>
  <c r="BA95" i="4"/>
  <c r="BB95" i="4"/>
  <c r="BC95" i="4"/>
  <c r="BD95" i="4"/>
  <c r="BE95" i="4"/>
  <c r="BF95" i="4"/>
  <c r="BG95" i="4"/>
  <c r="BH95" i="4"/>
  <c r="BI95" i="4"/>
  <c r="BJ95" i="4"/>
  <c r="BK95" i="4"/>
  <c r="BL95" i="4"/>
  <c r="BM95" i="4"/>
  <c r="BN95" i="4"/>
  <c r="BO95" i="4"/>
  <c r="BP95" i="4"/>
  <c r="BQ95" i="4"/>
  <c r="BR95" i="4"/>
  <c r="BS95" i="4"/>
  <c r="BT95" i="4"/>
  <c r="BU95" i="4"/>
  <c r="BV95" i="4"/>
  <c r="BW95" i="4"/>
  <c r="BX95" i="4"/>
  <c r="BY95" i="4"/>
  <c r="BZ95" i="4"/>
  <c r="CA95" i="4"/>
  <c r="CB95" i="4"/>
  <c r="CC95" i="4"/>
  <c r="CD95" i="4"/>
  <c r="CE95" i="4"/>
  <c r="CF95" i="4"/>
  <c r="CG95" i="4"/>
  <c r="CH95" i="4"/>
  <c r="CI95" i="4"/>
  <c r="CJ95" i="4"/>
  <c r="CK95" i="4"/>
  <c r="CL95" i="4"/>
  <c r="CM95" i="4"/>
  <c r="CN95" i="4"/>
  <c r="CO95" i="4"/>
  <c r="CP95" i="4"/>
  <c r="CQ95" i="4"/>
  <c r="CR95" i="4"/>
  <c r="CS95" i="4"/>
  <c r="CT95" i="4"/>
  <c r="CU95" i="4"/>
  <c r="CV95" i="4"/>
  <c r="CW95" i="4"/>
  <c r="CX95" i="4"/>
  <c r="D96" i="4"/>
  <c r="E96" i="4"/>
  <c r="F96" i="4"/>
  <c r="G96" i="4"/>
  <c r="H96" i="4"/>
  <c r="I96" i="4"/>
  <c r="J96" i="4"/>
  <c r="K96" i="4"/>
  <c r="L96" i="4"/>
  <c r="M96" i="4"/>
  <c r="N96" i="4"/>
  <c r="O96" i="4"/>
  <c r="P96" i="4"/>
  <c r="Q96" i="4"/>
  <c r="R96" i="4"/>
  <c r="S96" i="4"/>
  <c r="T96" i="4"/>
  <c r="U96" i="4"/>
  <c r="V96" i="4"/>
  <c r="W96" i="4"/>
  <c r="X96" i="4"/>
  <c r="Y96" i="4"/>
  <c r="Z96" i="4"/>
  <c r="AA96" i="4"/>
  <c r="AB96" i="4"/>
  <c r="AC96" i="4"/>
  <c r="AD96" i="4"/>
  <c r="AE96" i="4"/>
  <c r="AF96" i="4"/>
  <c r="AG96" i="4"/>
  <c r="AH96" i="4"/>
  <c r="AI96" i="4"/>
  <c r="AJ96" i="4"/>
  <c r="AK96" i="4"/>
  <c r="AL96" i="4"/>
  <c r="AM96" i="4"/>
  <c r="AN96" i="4"/>
  <c r="AO96" i="4"/>
  <c r="AP96" i="4"/>
  <c r="AQ96" i="4"/>
  <c r="AR96" i="4"/>
  <c r="AS96" i="4"/>
  <c r="AT96" i="4"/>
  <c r="AU96" i="4"/>
  <c r="AV96" i="4"/>
  <c r="AW96" i="4"/>
  <c r="AX96" i="4"/>
  <c r="AY96" i="4"/>
  <c r="AZ96" i="4"/>
  <c r="BA96" i="4"/>
  <c r="BB96" i="4"/>
  <c r="BC96" i="4"/>
  <c r="BD96" i="4"/>
  <c r="BE96" i="4"/>
  <c r="BF96" i="4"/>
  <c r="BG96" i="4"/>
  <c r="BH96" i="4"/>
  <c r="BI96" i="4"/>
  <c r="BJ96" i="4"/>
  <c r="BK96" i="4"/>
  <c r="BL96" i="4"/>
  <c r="BM96" i="4"/>
  <c r="BN96" i="4"/>
  <c r="BO96" i="4"/>
  <c r="BP96" i="4"/>
  <c r="BQ96" i="4"/>
  <c r="BR96" i="4"/>
  <c r="BS96" i="4"/>
  <c r="BT96" i="4"/>
  <c r="BU96" i="4"/>
  <c r="BV96" i="4"/>
  <c r="BW96" i="4"/>
  <c r="BX96" i="4"/>
  <c r="BY96" i="4"/>
  <c r="BZ96" i="4"/>
  <c r="CA96" i="4"/>
  <c r="CB96" i="4"/>
  <c r="CC96" i="4"/>
  <c r="CD96" i="4"/>
  <c r="CE96" i="4"/>
  <c r="CF96" i="4"/>
  <c r="CG96" i="4"/>
  <c r="CH96" i="4"/>
  <c r="CI96" i="4"/>
  <c r="CJ96" i="4"/>
  <c r="CK96" i="4"/>
  <c r="CL96" i="4"/>
  <c r="CM96" i="4"/>
  <c r="CN96" i="4"/>
  <c r="CO96" i="4"/>
  <c r="CP96" i="4"/>
  <c r="CQ96" i="4"/>
  <c r="CR96" i="4"/>
  <c r="CS96" i="4"/>
  <c r="CT96" i="4"/>
  <c r="CU96" i="4"/>
  <c r="CV96" i="4"/>
  <c r="CW96" i="4"/>
  <c r="CX96" i="4"/>
  <c r="D97" i="4"/>
  <c r="E97" i="4"/>
  <c r="F97" i="4"/>
  <c r="G97" i="4"/>
  <c r="H97" i="4"/>
  <c r="I97" i="4"/>
  <c r="J97" i="4"/>
  <c r="K97" i="4"/>
  <c r="L97" i="4"/>
  <c r="M97" i="4"/>
  <c r="N97" i="4"/>
  <c r="O97" i="4"/>
  <c r="P97" i="4"/>
  <c r="Q97" i="4"/>
  <c r="R97" i="4"/>
  <c r="S97" i="4"/>
  <c r="T97" i="4"/>
  <c r="U97" i="4"/>
  <c r="V97" i="4"/>
  <c r="W97" i="4"/>
  <c r="X97" i="4"/>
  <c r="Y97" i="4"/>
  <c r="Z97" i="4"/>
  <c r="AA97" i="4"/>
  <c r="AB97" i="4"/>
  <c r="AC97" i="4"/>
  <c r="AD97" i="4"/>
  <c r="AE97" i="4"/>
  <c r="AF97" i="4"/>
  <c r="AG97" i="4"/>
  <c r="AH97" i="4"/>
  <c r="AI97" i="4"/>
  <c r="AJ97" i="4"/>
  <c r="AK97" i="4"/>
  <c r="AL97" i="4"/>
  <c r="AM97" i="4"/>
  <c r="AN97" i="4"/>
  <c r="AO97" i="4"/>
  <c r="AP97" i="4"/>
  <c r="AQ97" i="4"/>
  <c r="AR97" i="4"/>
  <c r="AS97" i="4"/>
  <c r="AT97" i="4"/>
  <c r="AU97" i="4"/>
  <c r="AV97" i="4"/>
  <c r="AW97" i="4"/>
  <c r="AX97" i="4"/>
  <c r="AY97" i="4"/>
  <c r="AZ97" i="4"/>
  <c r="BA97" i="4"/>
  <c r="BB97" i="4"/>
  <c r="BC97" i="4"/>
  <c r="BD97" i="4"/>
  <c r="BE97" i="4"/>
  <c r="BF97" i="4"/>
  <c r="BG97" i="4"/>
  <c r="BH97" i="4"/>
  <c r="BI97" i="4"/>
  <c r="BJ97" i="4"/>
  <c r="BK97" i="4"/>
  <c r="BL97" i="4"/>
  <c r="BM97" i="4"/>
  <c r="BN97" i="4"/>
  <c r="BO97" i="4"/>
  <c r="BP97" i="4"/>
  <c r="BQ97" i="4"/>
  <c r="BR97" i="4"/>
  <c r="BS97" i="4"/>
  <c r="BT97" i="4"/>
  <c r="BU97" i="4"/>
  <c r="BV97" i="4"/>
  <c r="BW97" i="4"/>
  <c r="BX97" i="4"/>
  <c r="BY97" i="4"/>
  <c r="BZ97" i="4"/>
  <c r="CA97" i="4"/>
  <c r="CB97" i="4"/>
  <c r="CC97" i="4"/>
  <c r="CD97" i="4"/>
  <c r="CE97" i="4"/>
  <c r="CF97" i="4"/>
  <c r="CG97" i="4"/>
  <c r="CH97" i="4"/>
  <c r="CI97" i="4"/>
  <c r="CJ97" i="4"/>
  <c r="CK97" i="4"/>
  <c r="CL97" i="4"/>
  <c r="CM97" i="4"/>
  <c r="CN97" i="4"/>
  <c r="CO97" i="4"/>
  <c r="CP97" i="4"/>
  <c r="CQ97" i="4"/>
  <c r="CR97" i="4"/>
  <c r="CS97" i="4"/>
  <c r="CT97" i="4"/>
  <c r="CU97" i="4"/>
  <c r="CV97" i="4"/>
  <c r="CW97" i="4"/>
  <c r="CX97" i="4"/>
  <c r="D98" i="4"/>
  <c r="E98" i="4"/>
  <c r="F98" i="4"/>
  <c r="G98" i="4"/>
  <c r="H98" i="4"/>
  <c r="I98" i="4"/>
  <c r="J98" i="4"/>
  <c r="K98" i="4"/>
  <c r="L98" i="4"/>
  <c r="M98" i="4"/>
  <c r="N98" i="4"/>
  <c r="O98" i="4"/>
  <c r="P98" i="4"/>
  <c r="Q98" i="4"/>
  <c r="R98" i="4"/>
  <c r="S98" i="4"/>
  <c r="T98" i="4"/>
  <c r="U98" i="4"/>
  <c r="V98" i="4"/>
  <c r="W98" i="4"/>
  <c r="X98" i="4"/>
  <c r="Y98" i="4"/>
  <c r="Z98" i="4"/>
  <c r="AA98" i="4"/>
  <c r="AB98" i="4"/>
  <c r="AC98" i="4"/>
  <c r="AD98" i="4"/>
  <c r="AE98" i="4"/>
  <c r="AF98" i="4"/>
  <c r="AG98" i="4"/>
  <c r="AH98" i="4"/>
  <c r="AI98" i="4"/>
  <c r="AJ98" i="4"/>
  <c r="AK98" i="4"/>
  <c r="AL98" i="4"/>
  <c r="AM98" i="4"/>
  <c r="AN98" i="4"/>
  <c r="AO98" i="4"/>
  <c r="AP98" i="4"/>
  <c r="AQ98" i="4"/>
  <c r="AR98" i="4"/>
  <c r="AS98" i="4"/>
  <c r="AT98" i="4"/>
  <c r="AU98" i="4"/>
  <c r="AV98" i="4"/>
  <c r="AW98" i="4"/>
  <c r="AX98" i="4"/>
  <c r="AY98" i="4"/>
  <c r="AZ98" i="4"/>
  <c r="BA98" i="4"/>
  <c r="BB98" i="4"/>
  <c r="BC98" i="4"/>
  <c r="BD98" i="4"/>
  <c r="BE98" i="4"/>
  <c r="BF98" i="4"/>
  <c r="BG98" i="4"/>
  <c r="BH98" i="4"/>
  <c r="BI98" i="4"/>
  <c r="BJ98" i="4"/>
  <c r="BK98" i="4"/>
  <c r="BL98" i="4"/>
  <c r="BM98" i="4"/>
  <c r="BN98" i="4"/>
  <c r="BO98" i="4"/>
  <c r="BP98" i="4"/>
  <c r="BQ98" i="4"/>
  <c r="BR98" i="4"/>
  <c r="BS98" i="4"/>
  <c r="BT98" i="4"/>
  <c r="BU98" i="4"/>
  <c r="BV98" i="4"/>
  <c r="BW98" i="4"/>
  <c r="BX98" i="4"/>
  <c r="BY98" i="4"/>
  <c r="BZ98" i="4"/>
  <c r="CA98" i="4"/>
  <c r="CB98" i="4"/>
  <c r="CC98" i="4"/>
  <c r="CD98" i="4"/>
  <c r="CE98" i="4"/>
  <c r="CF98" i="4"/>
  <c r="CG98" i="4"/>
  <c r="CH98" i="4"/>
  <c r="CI98" i="4"/>
  <c r="CJ98" i="4"/>
  <c r="CK98" i="4"/>
  <c r="CL98" i="4"/>
  <c r="CM98" i="4"/>
  <c r="CN98" i="4"/>
  <c r="CO98" i="4"/>
  <c r="CP98" i="4"/>
  <c r="CQ98" i="4"/>
  <c r="CR98" i="4"/>
  <c r="CS98" i="4"/>
  <c r="CT98" i="4"/>
  <c r="CU98" i="4"/>
  <c r="CV98" i="4"/>
  <c r="CW98" i="4"/>
  <c r="CX98" i="4"/>
  <c r="D99" i="4"/>
  <c r="E99" i="4"/>
  <c r="F99" i="4"/>
  <c r="G99" i="4"/>
  <c r="H99" i="4"/>
  <c r="I99" i="4"/>
  <c r="J99" i="4"/>
  <c r="K99" i="4"/>
  <c r="L99" i="4"/>
  <c r="M99" i="4"/>
  <c r="N99" i="4"/>
  <c r="O99" i="4"/>
  <c r="P99" i="4"/>
  <c r="Q99" i="4"/>
  <c r="R99" i="4"/>
  <c r="S99" i="4"/>
  <c r="T99" i="4"/>
  <c r="U99" i="4"/>
  <c r="V99" i="4"/>
  <c r="W99" i="4"/>
  <c r="X99" i="4"/>
  <c r="Y99" i="4"/>
  <c r="Z99" i="4"/>
  <c r="AA99" i="4"/>
  <c r="AB99" i="4"/>
  <c r="AC99" i="4"/>
  <c r="AD99" i="4"/>
  <c r="AE99" i="4"/>
  <c r="AF99" i="4"/>
  <c r="AG99" i="4"/>
  <c r="AH99" i="4"/>
  <c r="AI99" i="4"/>
  <c r="AJ99" i="4"/>
  <c r="AK99" i="4"/>
  <c r="AL99" i="4"/>
  <c r="AM99" i="4"/>
  <c r="AN99" i="4"/>
  <c r="AO99" i="4"/>
  <c r="AP99" i="4"/>
  <c r="AQ99" i="4"/>
  <c r="AR99" i="4"/>
  <c r="AS99" i="4"/>
  <c r="AT99" i="4"/>
  <c r="AU99" i="4"/>
  <c r="AV99" i="4"/>
  <c r="AW99" i="4"/>
  <c r="AX99" i="4"/>
  <c r="AY99" i="4"/>
  <c r="AZ99" i="4"/>
  <c r="BA99" i="4"/>
  <c r="BB99" i="4"/>
  <c r="BC99" i="4"/>
  <c r="BD99" i="4"/>
  <c r="BE99" i="4"/>
  <c r="BF99" i="4"/>
  <c r="BG99" i="4"/>
  <c r="BH99" i="4"/>
  <c r="BI99" i="4"/>
  <c r="BJ99" i="4"/>
  <c r="BK99" i="4"/>
  <c r="BL99" i="4"/>
  <c r="BM99" i="4"/>
  <c r="BN99" i="4"/>
  <c r="BO99" i="4"/>
  <c r="BP99" i="4"/>
  <c r="BQ99" i="4"/>
  <c r="BR99" i="4"/>
  <c r="BS99" i="4"/>
  <c r="BT99" i="4"/>
  <c r="BU99" i="4"/>
  <c r="BV99" i="4"/>
  <c r="BW99" i="4"/>
  <c r="BX99" i="4"/>
  <c r="BY99" i="4"/>
  <c r="BZ99" i="4"/>
  <c r="CA99" i="4"/>
  <c r="CB99" i="4"/>
  <c r="CC99" i="4"/>
  <c r="CD99" i="4"/>
  <c r="CE99" i="4"/>
  <c r="CF99" i="4"/>
  <c r="CG99" i="4"/>
  <c r="CH99" i="4"/>
  <c r="CI99" i="4"/>
  <c r="CJ99" i="4"/>
  <c r="CK99" i="4"/>
  <c r="CL99" i="4"/>
  <c r="CM99" i="4"/>
  <c r="CN99" i="4"/>
  <c r="CO99" i="4"/>
  <c r="CP99" i="4"/>
  <c r="CQ99" i="4"/>
  <c r="CR99" i="4"/>
  <c r="CS99" i="4"/>
  <c r="CT99" i="4"/>
  <c r="CU99" i="4"/>
  <c r="CV99" i="4"/>
  <c r="CW99" i="4"/>
  <c r="CX99" i="4"/>
  <c r="D100" i="4"/>
  <c r="E100" i="4"/>
  <c r="F100" i="4"/>
  <c r="G100" i="4"/>
  <c r="H100" i="4"/>
  <c r="I100" i="4"/>
  <c r="J100" i="4"/>
  <c r="K100" i="4"/>
  <c r="L100" i="4"/>
  <c r="M100" i="4"/>
  <c r="N100" i="4"/>
  <c r="O100" i="4"/>
  <c r="P100" i="4"/>
  <c r="Q100" i="4"/>
  <c r="R100" i="4"/>
  <c r="S100" i="4"/>
  <c r="T100" i="4"/>
  <c r="U100" i="4"/>
  <c r="V100" i="4"/>
  <c r="W100" i="4"/>
  <c r="X100" i="4"/>
  <c r="Y100" i="4"/>
  <c r="Z100" i="4"/>
  <c r="AA100" i="4"/>
  <c r="AB100" i="4"/>
  <c r="AC100" i="4"/>
  <c r="AD100" i="4"/>
  <c r="AE100" i="4"/>
  <c r="AF100" i="4"/>
  <c r="AG100" i="4"/>
  <c r="AH100" i="4"/>
  <c r="AI100" i="4"/>
  <c r="AJ100" i="4"/>
  <c r="AK100" i="4"/>
  <c r="AL100" i="4"/>
  <c r="AM100" i="4"/>
  <c r="AN100" i="4"/>
  <c r="AO100" i="4"/>
  <c r="AP100" i="4"/>
  <c r="AQ100" i="4"/>
  <c r="AR100" i="4"/>
  <c r="AS100" i="4"/>
  <c r="AT100" i="4"/>
  <c r="AU100" i="4"/>
  <c r="AV100" i="4"/>
  <c r="AW100" i="4"/>
  <c r="AX100" i="4"/>
  <c r="AY100" i="4"/>
  <c r="AZ100" i="4"/>
  <c r="BA100" i="4"/>
  <c r="BB100" i="4"/>
  <c r="BC100" i="4"/>
  <c r="BD100" i="4"/>
  <c r="BE100" i="4"/>
  <c r="BF100" i="4"/>
  <c r="BG100" i="4"/>
  <c r="BH100" i="4"/>
  <c r="BI100" i="4"/>
  <c r="BJ100" i="4"/>
  <c r="BK100" i="4"/>
  <c r="BL100" i="4"/>
  <c r="BM100" i="4"/>
  <c r="BN100" i="4"/>
  <c r="BO100" i="4"/>
  <c r="BP100" i="4"/>
  <c r="BQ100" i="4"/>
  <c r="BR100" i="4"/>
  <c r="BS100" i="4"/>
  <c r="BT100" i="4"/>
  <c r="BU100" i="4"/>
  <c r="BV100" i="4"/>
  <c r="BW100" i="4"/>
  <c r="BX100" i="4"/>
  <c r="BY100" i="4"/>
  <c r="BZ100" i="4"/>
  <c r="CA100" i="4"/>
  <c r="CB100" i="4"/>
  <c r="CC100" i="4"/>
  <c r="CD100" i="4"/>
  <c r="CE100" i="4"/>
  <c r="CF100" i="4"/>
  <c r="CG100" i="4"/>
  <c r="CH100" i="4"/>
  <c r="CI100" i="4"/>
  <c r="CJ100" i="4"/>
  <c r="CK100" i="4"/>
  <c r="CL100" i="4"/>
  <c r="CM100" i="4"/>
  <c r="CN100" i="4"/>
  <c r="CO100" i="4"/>
  <c r="CP100" i="4"/>
  <c r="CQ100" i="4"/>
  <c r="CR100" i="4"/>
  <c r="CS100" i="4"/>
  <c r="CT100" i="4"/>
  <c r="CU100" i="4"/>
  <c r="CV100" i="4"/>
  <c r="CW100" i="4"/>
  <c r="CX100" i="4"/>
  <c r="D101" i="4"/>
  <c r="E101" i="4"/>
  <c r="F101" i="4"/>
  <c r="G101" i="4"/>
  <c r="H101" i="4"/>
  <c r="I101" i="4"/>
  <c r="J101" i="4"/>
  <c r="K101" i="4"/>
  <c r="L101" i="4"/>
  <c r="M101" i="4"/>
  <c r="N101" i="4"/>
  <c r="O101" i="4"/>
  <c r="P101" i="4"/>
  <c r="Q101" i="4"/>
  <c r="R101" i="4"/>
  <c r="S101" i="4"/>
  <c r="T101" i="4"/>
  <c r="U101" i="4"/>
  <c r="V101" i="4"/>
  <c r="W101" i="4"/>
  <c r="X101" i="4"/>
  <c r="Y101" i="4"/>
  <c r="Z101" i="4"/>
  <c r="AA101" i="4"/>
  <c r="AB101" i="4"/>
  <c r="AC101" i="4"/>
  <c r="AD101" i="4"/>
  <c r="AE101" i="4"/>
  <c r="AF101" i="4"/>
  <c r="AG101" i="4"/>
  <c r="AH101" i="4"/>
  <c r="AI101" i="4"/>
  <c r="AJ101" i="4"/>
  <c r="AK101" i="4"/>
  <c r="AL101" i="4"/>
  <c r="AM101" i="4"/>
  <c r="AN101" i="4"/>
  <c r="AO101" i="4"/>
  <c r="AP101" i="4"/>
  <c r="AQ101" i="4"/>
  <c r="AR101" i="4"/>
  <c r="AS101" i="4"/>
  <c r="AT101" i="4"/>
  <c r="AU101" i="4"/>
  <c r="AV101" i="4"/>
  <c r="AW101" i="4"/>
  <c r="AX101" i="4"/>
  <c r="AY101" i="4"/>
  <c r="AZ101" i="4"/>
  <c r="BA101" i="4"/>
  <c r="BB101" i="4"/>
  <c r="BC101" i="4"/>
  <c r="BD101" i="4"/>
  <c r="BE101" i="4"/>
  <c r="BF101" i="4"/>
  <c r="BG101" i="4"/>
  <c r="BH101" i="4"/>
  <c r="BI101" i="4"/>
  <c r="BJ101" i="4"/>
  <c r="BK101" i="4"/>
  <c r="BL101" i="4"/>
  <c r="BM101" i="4"/>
  <c r="BN101" i="4"/>
  <c r="BO101" i="4"/>
  <c r="BP101" i="4"/>
  <c r="BQ101" i="4"/>
  <c r="BR101" i="4"/>
  <c r="BS101" i="4"/>
  <c r="BT101" i="4"/>
  <c r="BU101" i="4"/>
  <c r="BV101" i="4"/>
  <c r="BW101" i="4"/>
  <c r="BX101" i="4"/>
  <c r="BY101" i="4"/>
  <c r="BZ101" i="4"/>
  <c r="CA101" i="4"/>
  <c r="CB101" i="4"/>
  <c r="CC101" i="4"/>
  <c r="CD101" i="4"/>
  <c r="CE101" i="4"/>
  <c r="CF101" i="4"/>
  <c r="CG101" i="4"/>
  <c r="CH101" i="4"/>
  <c r="CI101" i="4"/>
  <c r="CJ101" i="4"/>
  <c r="CK101" i="4"/>
  <c r="CL101" i="4"/>
  <c r="CM101" i="4"/>
  <c r="CN101" i="4"/>
  <c r="CO101" i="4"/>
  <c r="CP101" i="4"/>
  <c r="CQ101" i="4"/>
  <c r="CR101" i="4"/>
  <c r="CS101" i="4"/>
  <c r="CT101" i="4"/>
  <c r="CU101" i="4"/>
  <c r="CV101" i="4"/>
  <c r="CW101" i="4"/>
  <c r="CX101" i="4"/>
  <c r="D102" i="4"/>
  <c r="E102" i="4"/>
  <c r="F102" i="4"/>
  <c r="G102" i="4"/>
  <c r="H102" i="4"/>
  <c r="I102" i="4"/>
  <c r="J102" i="4"/>
  <c r="K102" i="4"/>
  <c r="L102" i="4"/>
  <c r="M102" i="4"/>
  <c r="N102" i="4"/>
  <c r="O102" i="4"/>
  <c r="P102" i="4"/>
  <c r="Q102" i="4"/>
  <c r="R102" i="4"/>
  <c r="S102" i="4"/>
  <c r="T102" i="4"/>
  <c r="U102" i="4"/>
  <c r="V102" i="4"/>
  <c r="W102" i="4"/>
  <c r="X102" i="4"/>
  <c r="Y102" i="4"/>
  <c r="Z102" i="4"/>
  <c r="AA102" i="4"/>
  <c r="AB102" i="4"/>
  <c r="AC102" i="4"/>
  <c r="AD102" i="4"/>
  <c r="AE102" i="4"/>
  <c r="AF102" i="4"/>
  <c r="AG102" i="4"/>
  <c r="AH102" i="4"/>
  <c r="AI102" i="4"/>
  <c r="AJ102" i="4"/>
  <c r="AK102" i="4"/>
  <c r="AL102" i="4"/>
  <c r="AM102" i="4"/>
  <c r="AN102" i="4"/>
  <c r="AO102" i="4"/>
  <c r="AP102" i="4"/>
  <c r="AQ102" i="4"/>
  <c r="AR102" i="4"/>
  <c r="AS102" i="4"/>
  <c r="AT102" i="4"/>
  <c r="AU102" i="4"/>
  <c r="AV102" i="4"/>
  <c r="AW102" i="4"/>
  <c r="AX102" i="4"/>
  <c r="AY102" i="4"/>
  <c r="AZ102" i="4"/>
  <c r="BA102" i="4"/>
  <c r="BB102" i="4"/>
  <c r="BC102" i="4"/>
  <c r="BD102" i="4"/>
  <c r="BE102" i="4"/>
  <c r="BF102" i="4"/>
  <c r="BG102" i="4"/>
  <c r="BH102" i="4"/>
  <c r="BI102" i="4"/>
  <c r="BJ102" i="4"/>
  <c r="BK102" i="4"/>
  <c r="BL102" i="4"/>
  <c r="BM102" i="4"/>
  <c r="BN102" i="4"/>
  <c r="BO102" i="4"/>
  <c r="BP102" i="4"/>
  <c r="BQ102" i="4"/>
  <c r="BR102" i="4"/>
  <c r="BS102" i="4"/>
  <c r="BT102" i="4"/>
  <c r="BU102" i="4"/>
  <c r="BV102" i="4"/>
  <c r="BW102" i="4"/>
  <c r="BX102" i="4"/>
  <c r="BY102" i="4"/>
  <c r="BZ102" i="4"/>
  <c r="CA102" i="4"/>
  <c r="CB102" i="4"/>
  <c r="CC102" i="4"/>
  <c r="CD102" i="4"/>
  <c r="CE102" i="4"/>
  <c r="CF102" i="4"/>
  <c r="CG102" i="4"/>
  <c r="CH102" i="4"/>
  <c r="CI102" i="4"/>
  <c r="CJ102" i="4"/>
  <c r="CK102" i="4"/>
  <c r="CL102" i="4"/>
  <c r="CM102" i="4"/>
  <c r="CN102" i="4"/>
  <c r="CO102" i="4"/>
  <c r="CP102" i="4"/>
  <c r="CQ102" i="4"/>
  <c r="CR102" i="4"/>
  <c r="CS102" i="4"/>
  <c r="CT102" i="4"/>
  <c r="CU102" i="4"/>
  <c r="CV102" i="4"/>
  <c r="CW102" i="4"/>
  <c r="CX102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3" i="4"/>
  <c r="A104" i="3"/>
  <c r="A105" i="3" s="1"/>
  <c r="A103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AN3" i="3"/>
  <c r="AO3" i="3"/>
  <c r="AP3" i="3"/>
  <c r="AQ3" i="3"/>
  <c r="AR3" i="3"/>
  <c r="AS3" i="3"/>
  <c r="AT3" i="3"/>
  <c r="AU3" i="3"/>
  <c r="AV3" i="3"/>
  <c r="AW3" i="3"/>
  <c r="AX3" i="3"/>
  <c r="AY3" i="3"/>
  <c r="AZ3" i="3"/>
  <c r="BA3" i="3"/>
  <c r="BB3" i="3"/>
  <c r="BC3" i="3"/>
  <c r="BD3" i="3"/>
  <c r="BE3" i="3"/>
  <c r="BF3" i="3"/>
  <c r="BG3" i="3"/>
  <c r="BH3" i="3"/>
  <c r="BI3" i="3"/>
  <c r="BJ3" i="3"/>
  <c r="BK3" i="3"/>
  <c r="BL3" i="3"/>
  <c r="BM3" i="3"/>
  <c r="BN3" i="3"/>
  <c r="BO3" i="3"/>
  <c r="BP3" i="3"/>
  <c r="BQ3" i="3"/>
  <c r="BR3" i="3"/>
  <c r="BS3" i="3"/>
  <c r="BT3" i="3"/>
  <c r="BU3" i="3"/>
  <c r="BV3" i="3"/>
  <c r="BW3" i="3"/>
  <c r="BX3" i="3"/>
  <c r="BY3" i="3"/>
  <c r="BZ3" i="3"/>
  <c r="CA3" i="3"/>
  <c r="CB3" i="3"/>
  <c r="CC3" i="3"/>
  <c r="CD3" i="3"/>
  <c r="CE3" i="3"/>
  <c r="CF3" i="3"/>
  <c r="CG3" i="3"/>
  <c r="CH3" i="3"/>
  <c r="CI3" i="3"/>
  <c r="CJ3" i="3"/>
  <c r="CK3" i="3"/>
  <c r="CL3" i="3"/>
  <c r="CM3" i="3"/>
  <c r="CN3" i="3"/>
  <c r="CO3" i="3"/>
  <c r="CP3" i="3"/>
  <c r="CQ3" i="3"/>
  <c r="CR3" i="3"/>
  <c r="CS3" i="3"/>
  <c r="CT3" i="3"/>
  <c r="CU3" i="3"/>
  <c r="CV3" i="3"/>
  <c r="CW3" i="3"/>
  <c r="CX3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AN4" i="3"/>
  <c r="AO4" i="3"/>
  <c r="AP4" i="3"/>
  <c r="AQ4" i="3"/>
  <c r="AR4" i="3"/>
  <c r="AS4" i="3"/>
  <c r="AT4" i="3"/>
  <c r="AU4" i="3"/>
  <c r="AV4" i="3"/>
  <c r="AW4" i="3"/>
  <c r="AX4" i="3"/>
  <c r="AY4" i="3"/>
  <c r="AZ4" i="3"/>
  <c r="BA4" i="3"/>
  <c r="BB4" i="3"/>
  <c r="BC4" i="3"/>
  <c r="BD4" i="3"/>
  <c r="BE4" i="3"/>
  <c r="BF4" i="3"/>
  <c r="BG4" i="3"/>
  <c r="BH4" i="3"/>
  <c r="BI4" i="3"/>
  <c r="BJ4" i="3"/>
  <c r="BK4" i="3"/>
  <c r="BL4" i="3"/>
  <c r="BM4" i="3"/>
  <c r="BN4" i="3"/>
  <c r="BO4" i="3"/>
  <c r="BP4" i="3"/>
  <c r="BQ4" i="3"/>
  <c r="BR4" i="3"/>
  <c r="BS4" i="3"/>
  <c r="BT4" i="3"/>
  <c r="BU4" i="3"/>
  <c r="BV4" i="3"/>
  <c r="BW4" i="3"/>
  <c r="BX4" i="3"/>
  <c r="BY4" i="3"/>
  <c r="BZ4" i="3"/>
  <c r="CA4" i="3"/>
  <c r="CB4" i="3"/>
  <c r="CC4" i="3"/>
  <c r="CD4" i="3"/>
  <c r="CE4" i="3"/>
  <c r="CF4" i="3"/>
  <c r="CG4" i="3"/>
  <c r="CH4" i="3"/>
  <c r="CI4" i="3"/>
  <c r="CJ4" i="3"/>
  <c r="CK4" i="3"/>
  <c r="CL4" i="3"/>
  <c r="CM4" i="3"/>
  <c r="CN4" i="3"/>
  <c r="CO4" i="3"/>
  <c r="CP4" i="3"/>
  <c r="CQ4" i="3"/>
  <c r="CR4" i="3"/>
  <c r="CS4" i="3"/>
  <c r="CT4" i="3"/>
  <c r="CU4" i="3"/>
  <c r="CV4" i="3"/>
  <c r="CW4" i="3"/>
  <c r="CX4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AN5" i="3"/>
  <c r="AO5" i="3"/>
  <c r="AP5" i="3"/>
  <c r="AQ5" i="3"/>
  <c r="AR5" i="3"/>
  <c r="AS5" i="3"/>
  <c r="AT5" i="3"/>
  <c r="AU5" i="3"/>
  <c r="AV5" i="3"/>
  <c r="AW5" i="3"/>
  <c r="AX5" i="3"/>
  <c r="AY5" i="3"/>
  <c r="AZ5" i="3"/>
  <c r="BA5" i="3"/>
  <c r="BB5" i="3"/>
  <c r="BC5" i="3"/>
  <c r="BD5" i="3"/>
  <c r="BE5" i="3"/>
  <c r="BF5" i="3"/>
  <c r="BG5" i="3"/>
  <c r="BH5" i="3"/>
  <c r="BI5" i="3"/>
  <c r="BJ5" i="3"/>
  <c r="BK5" i="3"/>
  <c r="BL5" i="3"/>
  <c r="BM5" i="3"/>
  <c r="BN5" i="3"/>
  <c r="BO5" i="3"/>
  <c r="BP5" i="3"/>
  <c r="BQ5" i="3"/>
  <c r="BR5" i="3"/>
  <c r="BS5" i="3"/>
  <c r="BT5" i="3"/>
  <c r="BU5" i="3"/>
  <c r="BV5" i="3"/>
  <c r="BW5" i="3"/>
  <c r="BX5" i="3"/>
  <c r="BY5" i="3"/>
  <c r="BZ5" i="3"/>
  <c r="CA5" i="3"/>
  <c r="CB5" i="3"/>
  <c r="CC5" i="3"/>
  <c r="CD5" i="3"/>
  <c r="CE5" i="3"/>
  <c r="CF5" i="3"/>
  <c r="CG5" i="3"/>
  <c r="CH5" i="3"/>
  <c r="CI5" i="3"/>
  <c r="CJ5" i="3"/>
  <c r="CK5" i="3"/>
  <c r="CL5" i="3"/>
  <c r="CM5" i="3"/>
  <c r="CN5" i="3"/>
  <c r="CO5" i="3"/>
  <c r="CP5" i="3"/>
  <c r="CQ5" i="3"/>
  <c r="CR5" i="3"/>
  <c r="CS5" i="3"/>
  <c r="CT5" i="3"/>
  <c r="CU5" i="3"/>
  <c r="CV5" i="3"/>
  <c r="CW5" i="3"/>
  <c r="CX5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AN6" i="3"/>
  <c r="AO6" i="3"/>
  <c r="AP6" i="3"/>
  <c r="AQ6" i="3"/>
  <c r="AR6" i="3"/>
  <c r="AS6" i="3"/>
  <c r="AT6" i="3"/>
  <c r="AU6" i="3"/>
  <c r="AV6" i="3"/>
  <c r="AW6" i="3"/>
  <c r="AX6" i="3"/>
  <c r="AY6" i="3"/>
  <c r="AZ6" i="3"/>
  <c r="BA6" i="3"/>
  <c r="BB6" i="3"/>
  <c r="BC6" i="3"/>
  <c r="BD6" i="3"/>
  <c r="BE6" i="3"/>
  <c r="BF6" i="3"/>
  <c r="BG6" i="3"/>
  <c r="BH6" i="3"/>
  <c r="BI6" i="3"/>
  <c r="BJ6" i="3"/>
  <c r="BK6" i="3"/>
  <c r="BL6" i="3"/>
  <c r="BM6" i="3"/>
  <c r="BN6" i="3"/>
  <c r="BO6" i="3"/>
  <c r="BP6" i="3"/>
  <c r="BQ6" i="3"/>
  <c r="BR6" i="3"/>
  <c r="BS6" i="3"/>
  <c r="BT6" i="3"/>
  <c r="BU6" i="3"/>
  <c r="BV6" i="3"/>
  <c r="BW6" i="3"/>
  <c r="BX6" i="3"/>
  <c r="BY6" i="3"/>
  <c r="BZ6" i="3"/>
  <c r="CA6" i="3"/>
  <c r="CB6" i="3"/>
  <c r="CC6" i="3"/>
  <c r="CD6" i="3"/>
  <c r="CE6" i="3"/>
  <c r="CF6" i="3"/>
  <c r="CG6" i="3"/>
  <c r="CH6" i="3"/>
  <c r="CI6" i="3"/>
  <c r="CJ6" i="3"/>
  <c r="CK6" i="3"/>
  <c r="CL6" i="3"/>
  <c r="CM6" i="3"/>
  <c r="CN6" i="3"/>
  <c r="CO6" i="3"/>
  <c r="CP6" i="3"/>
  <c r="CQ6" i="3"/>
  <c r="CR6" i="3"/>
  <c r="CS6" i="3"/>
  <c r="CT6" i="3"/>
  <c r="CU6" i="3"/>
  <c r="CV6" i="3"/>
  <c r="CW6" i="3"/>
  <c r="CX6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AN7" i="3"/>
  <c r="AO7" i="3"/>
  <c r="AP7" i="3"/>
  <c r="AQ7" i="3"/>
  <c r="AR7" i="3"/>
  <c r="AS7" i="3"/>
  <c r="AT7" i="3"/>
  <c r="AU7" i="3"/>
  <c r="AV7" i="3"/>
  <c r="AW7" i="3"/>
  <c r="AX7" i="3"/>
  <c r="AY7" i="3"/>
  <c r="AZ7" i="3"/>
  <c r="BA7" i="3"/>
  <c r="BB7" i="3"/>
  <c r="BC7" i="3"/>
  <c r="BD7" i="3"/>
  <c r="BE7" i="3"/>
  <c r="BF7" i="3"/>
  <c r="BG7" i="3"/>
  <c r="BH7" i="3"/>
  <c r="BI7" i="3"/>
  <c r="BJ7" i="3"/>
  <c r="BK7" i="3"/>
  <c r="BL7" i="3"/>
  <c r="BM7" i="3"/>
  <c r="BN7" i="3"/>
  <c r="BO7" i="3"/>
  <c r="BP7" i="3"/>
  <c r="BQ7" i="3"/>
  <c r="BR7" i="3"/>
  <c r="BS7" i="3"/>
  <c r="BT7" i="3"/>
  <c r="BU7" i="3"/>
  <c r="BV7" i="3"/>
  <c r="BW7" i="3"/>
  <c r="BX7" i="3"/>
  <c r="BY7" i="3"/>
  <c r="BZ7" i="3"/>
  <c r="CA7" i="3"/>
  <c r="CB7" i="3"/>
  <c r="CC7" i="3"/>
  <c r="CD7" i="3"/>
  <c r="CE7" i="3"/>
  <c r="CF7" i="3"/>
  <c r="CG7" i="3"/>
  <c r="CH7" i="3"/>
  <c r="CI7" i="3"/>
  <c r="CJ7" i="3"/>
  <c r="CK7" i="3"/>
  <c r="CL7" i="3"/>
  <c r="CM7" i="3"/>
  <c r="CN7" i="3"/>
  <c r="CO7" i="3"/>
  <c r="CP7" i="3"/>
  <c r="CQ7" i="3"/>
  <c r="CR7" i="3"/>
  <c r="CS7" i="3"/>
  <c r="CT7" i="3"/>
  <c r="CU7" i="3"/>
  <c r="CV7" i="3"/>
  <c r="CW7" i="3"/>
  <c r="CX7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AN8" i="3"/>
  <c r="AO8" i="3"/>
  <c r="AP8" i="3"/>
  <c r="AQ8" i="3"/>
  <c r="AR8" i="3"/>
  <c r="AS8" i="3"/>
  <c r="AT8" i="3"/>
  <c r="AU8" i="3"/>
  <c r="AV8" i="3"/>
  <c r="AW8" i="3"/>
  <c r="AX8" i="3"/>
  <c r="AY8" i="3"/>
  <c r="AZ8" i="3"/>
  <c r="BA8" i="3"/>
  <c r="BB8" i="3"/>
  <c r="BC8" i="3"/>
  <c r="BD8" i="3"/>
  <c r="BE8" i="3"/>
  <c r="BF8" i="3"/>
  <c r="BG8" i="3"/>
  <c r="BH8" i="3"/>
  <c r="BI8" i="3"/>
  <c r="BJ8" i="3"/>
  <c r="BK8" i="3"/>
  <c r="BL8" i="3"/>
  <c r="BM8" i="3"/>
  <c r="BN8" i="3"/>
  <c r="BO8" i="3"/>
  <c r="BP8" i="3"/>
  <c r="BQ8" i="3"/>
  <c r="BR8" i="3"/>
  <c r="BS8" i="3"/>
  <c r="BT8" i="3"/>
  <c r="BU8" i="3"/>
  <c r="BV8" i="3"/>
  <c r="BW8" i="3"/>
  <c r="BX8" i="3"/>
  <c r="BY8" i="3"/>
  <c r="BZ8" i="3"/>
  <c r="CA8" i="3"/>
  <c r="CB8" i="3"/>
  <c r="CC8" i="3"/>
  <c r="CD8" i="3"/>
  <c r="CE8" i="3"/>
  <c r="CF8" i="3"/>
  <c r="CG8" i="3"/>
  <c r="CH8" i="3"/>
  <c r="CI8" i="3"/>
  <c r="CJ8" i="3"/>
  <c r="CK8" i="3"/>
  <c r="CL8" i="3"/>
  <c r="CM8" i="3"/>
  <c r="CN8" i="3"/>
  <c r="CO8" i="3"/>
  <c r="CP8" i="3"/>
  <c r="CQ8" i="3"/>
  <c r="CR8" i="3"/>
  <c r="CS8" i="3"/>
  <c r="CT8" i="3"/>
  <c r="CU8" i="3"/>
  <c r="CV8" i="3"/>
  <c r="CW8" i="3"/>
  <c r="CX8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AN9" i="3"/>
  <c r="AO9" i="3"/>
  <c r="AP9" i="3"/>
  <c r="AQ9" i="3"/>
  <c r="AR9" i="3"/>
  <c r="AS9" i="3"/>
  <c r="AT9" i="3"/>
  <c r="AU9" i="3"/>
  <c r="AV9" i="3"/>
  <c r="AW9" i="3"/>
  <c r="AX9" i="3"/>
  <c r="AY9" i="3"/>
  <c r="AZ9" i="3"/>
  <c r="BA9" i="3"/>
  <c r="BB9" i="3"/>
  <c r="BC9" i="3"/>
  <c r="BD9" i="3"/>
  <c r="BE9" i="3"/>
  <c r="BF9" i="3"/>
  <c r="BG9" i="3"/>
  <c r="BH9" i="3"/>
  <c r="BI9" i="3"/>
  <c r="BJ9" i="3"/>
  <c r="BK9" i="3"/>
  <c r="BL9" i="3"/>
  <c r="BM9" i="3"/>
  <c r="BN9" i="3"/>
  <c r="BO9" i="3"/>
  <c r="BP9" i="3"/>
  <c r="BQ9" i="3"/>
  <c r="BR9" i="3"/>
  <c r="BS9" i="3"/>
  <c r="BT9" i="3"/>
  <c r="BU9" i="3"/>
  <c r="BV9" i="3"/>
  <c r="BW9" i="3"/>
  <c r="BX9" i="3"/>
  <c r="BY9" i="3"/>
  <c r="BZ9" i="3"/>
  <c r="CA9" i="3"/>
  <c r="CB9" i="3"/>
  <c r="CC9" i="3"/>
  <c r="CD9" i="3"/>
  <c r="CE9" i="3"/>
  <c r="CF9" i="3"/>
  <c r="CG9" i="3"/>
  <c r="CH9" i="3"/>
  <c r="CI9" i="3"/>
  <c r="CJ9" i="3"/>
  <c r="CK9" i="3"/>
  <c r="CL9" i="3"/>
  <c r="CM9" i="3"/>
  <c r="CN9" i="3"/>
  <c r="CO9" i="3"/>
  <c r="CP9" i="3"/>
  <c r="CQ9" i="3"/>
  <c r="CR9" i="3"/>
  <c r="CS9" i="3"/>
  <c r="CT9" i="3"/>
  <c r="CU9" i="3"/>
  <c r="CV9" i="3"/>
  <c r="CW9" i="3"/>
  <c r="CX9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AN10" i="3"/>
  <c r="AO10" i="3"/>
  <c r="AP10" i="3"/>
  <c r="AQ10" i="3"/>
  <c r="AR10" i="3"/>
  <c r="AS10" i="3"/>
  <c r="AT10" i="3"/>
  <c r="AU10" i="3"/>
  <c r="AV10" i="3"/>
  <c r="AW10" i="3"/>
  <c r="AX10" i="3"/>
  <c r="AY10" i="3"/>
  <c r="AZ10" i="3"/>
  <c r="BA10" i="3"/>
  <c r="BB10" i="3"/>
  <c r="BC10" i="3"/>
  <c r="BD10" i="3"/>
  <c r="BE10" i="3"/>
  <c r="BF10" i="3"/>
  <c r="BG10" i="3"/>
  <c r="BH10" i="3"/>
  <c r="BI10" i="3"/>
  <c r="BJ10" i="3"/>
  <c r="BK10" i="3"/>
  <c r="BL10" i="3"/>
  <c r="BM10" i="3"/>
  <c r="BN10" i="3"/>
  <c r="BO10" i="3"/>
  <c r="BP10" i="3"/>
  <c r="BQ10" i="3"/>
  <c r="BR10" i="3"/>
  <c r="BS10" i="3"/>
  <c r="BT10" i="3"/>
  <c r="BU10" i="3"/>
  <c r="BV10" i="3"/>
  <c r="BW10" i="3"/>
  <c r="BX10" i="3"/>
  <c r="BY10" i="3"/>
  <c r="BZ10" i="3"/>
  <c r="CA10" i="3"/>
  <c r="CB10" i="3"/>
  <c r="CC10" i="3"/>
  <c r="CD10" i="3"/>
  <c r="CE10" i="3"/>
  <c r="CF10" i="3"/>
  <c r="CG10" i="3"/>
  <c r="CH10" i="3"/>
  <c r="CI10" i="3"/>
  <c r="CJ10" i="3"/>
  <c r="CK10" i="3"/>
  <c r="CL10" i="3"/>
  <c r="CM10" i="3"/>
  <c r="CN10" i="3"/>
  <c r="CO10" i="3"/>
  <c r="CP10" i="3"/>
  <c r="CQ10" i="3"/>
  <c r="CR10" i="3"/>
  <c r="CS10" i="3"/>
  <c r="CT10" i="3"/>
  <c r="CU10" i="3"/>
  <c r="CV10" i="3"/>
  <c r="CW10" i="3"/>
  <c r="CX10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AN11" i="3"/>
  <c r="AO11" i="3"/>
  <c r="AP11" i="3"/>
  <c r="AQ11" i="3"/>
  <c r="AR11" i="3"/>
  <c r="AS11" i="3"/>
  <c r="AT11" i="3"/>
  <c r="AU11" i="3"/>
  <c r="AV11" i="3"/>
  <c r="AW11" i="3"/>
  <c r="AX11" i="3"/>
  <c r="AY11" i="3"/>
  <c r="AZ11" i="3"/>
  <c r="BA11" i="3"/>
  <c r="BB11" i="3"/>
  <c r="BC11" i="3"/>
  <c r="BD11" i="3"/>
  <c r="BE11" i="3"/>
  <c r="BF11" i="3"/>
  <c r="BG11" i="3"/>
  <c r="BH11" i="3"/>
  <c r="BI11" i="3"/>
  <c r="BJ11" i="3"/>
  <c r="BK11" i="3"/>
  <c r="BL11" i="3"/>
  <c r="BM11" i="3"/>
  <c r="BN11" i="3"/>
  <c r="BO11" i="3"/>
  <c r="BP11" i="3"/>
  <c r="BQ11" i="3"/>
  <c r="BR11" i="3"/>
  <c r="BS11" i="3"/>
  <c r="BT11" i="3"/>
  <c r="BU11" i="3"/>
  <c r="BV11" i="3"/>
  <c r="BW11" i="3"/>
  <c r="BX11" i="3"/>
  <c r="BY11" i="3"/>
  <c r="BZ11" i="3"/>
  <c r="CA11" i="3"/>
  <c r="CB11" i="3"/>
  <c r="CC11" i="3"/>
  <c r="CD11" i="3"/>
  <c r="CE11" i="3"/>
  <c r="CF11" i="3"/>
  <c r="CG11" i="3"/>
  <c r="CH11" i="3"/>
  <c r="CI11" i="3"/>
  <c r="CJ11" i="3"/>
  <c r="CK11" i="3"/>
  <c r="CL11" i="3"/>
  <c r="CM11" i="3"/>
  <c r="CN11" i="3"/>
  <c r="CO11" i="3"/>
  <c r="CP11" i="3"/>
  <c r="CQ11" i="3"/>
  <c r="CR11" i="3"/>
  <c r="CS11" i="3"/>
  <c r="CT11" i="3"/>
  <c r="CU11" i="3"/>
  <c r="CV11" i="3"/>
  <c r="CW11" i="3"/>
  <c r="CX11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AN12" i="3"/>
  <c r="AO12" i="3"/>
  <c r="AP12" i="3"/>
  <c r="AQ12" i="3"/>
  <c r="AR12" i="3"/>
  <c r="AS12" i="3"/>
  <c r="AT12" i="3"/>
  <c r="AU12" i="3"/>
  <c r="AV12" i="3"/>
  <c r="AW12" i="3"/>
  <c r="AX12" i="3"/>
  <c r="AY12" i="3"/>
  <c r="AZ12" i="3"/>
  <c r="BA12" i="3"/>
  <c r="BB12" i="3"/>
  <c r="BC12" i="3"/>
  <c r="BD12" i="3"/>
  <c r="BE12" i="3"/>
  <c r="BF12" i="3"/>
  <c r="BG12" i="3"/>
  <c r="BH12" i="3"/>
  <c r="BI12" i="3"/>
  <c r="BJ12" i="3"/>
  <c r="BK12" i="3"/>
  <c r="BL12" i="3"/>
  <c r="BM12" i="3"/>
  <c r="BN12" i="3"/>
  <c r="BO12" i="3"/>
  <c r="BP12" i="3"/>
  <c r="BQ12" i="3"/>
  <c r="BR12" i="3"/>
  <c r="BS12" i="3"/>
  <c r="BT12" i="3"/>
  <c r="BU12" i="3"/>
  <c r="BV12" i="3"/>
  <c r="BW12" i="3"/>
  <c r="BX12" i="3"/>
  <c r="BY12" i="3"/>
  <c r="BZ12" i="3"/>
  <c r="CA12" i="3"/>
  <c r="CB12" i="3"/>
  <c r="CC12" i="3"/>
  <c r="CD12" i="3"/>
  <c r="CE12" i="3"/>
  <c r="CF12" i="3"/>
  <c r="CG12" i="3"/>
  <c r="CH12" i="3"/>
  <c r="CI12" i="3"/>
  <c r="CJ12" i="3"/>
  <c r="CK12" i="3"/>
  <c r="CL12" i="3"/>
  <c r="CM12" i="3"/>
  <c r="CN12" i="3"/>
  <c r="CO12" i="3"/>
  <c r="CP12" i="3"/>
  <c r="CQ12" i="3"/>
  <c r="CR12" i="3"/>
  <c r="CS12" i="3"/>
  <c r="CT12" i="3"/>
  <c r="CU12" i="3"/>
  <c r="CV12" i="3"/>
  <c r="CW12" i="3"/>
  <c r="CX12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AN13" i="3"/>
  <c r="AO13" i="3"/>
  <c r="AP13" i="3"/>
  <c r="AQ13" i="3"/>
  <c r="AR13" i="3"/>
  <c r="AS13" i="3"/>
  <c r="AT13" i="3"/>
  <c r="AU13" i="3"/>
  <c r="AV13" i="3"/>
  <c r="AW13" i="3"/>
  <c r="AX13" i="3"/>
  <c r="AY13" i="3"/>
  <c r="AZ13" i="3"/>
  <c r="BA13" i="3"/>
  <c r="BB13" i="3"/>
  <c r="BC13" i="3"/>
  <c r="BD13" i="3"/>
  <c r="BE13" i="3"/>
  <c r="BF13" i="3"/>
  <c r="BG13" i="3"/>
  <c r="BH13" i="3"/>
  <c r="BI13" i="3"/>
  <c r="BJ13" i="3"/>
  <c r="BK13" i="3"/>
  <c r="BL13" i="3"/>
  <c r="BM13" i="3"/>
  <c r="BN13" i="3"/>
  <c r="BO13" i="3"/>
  <c r="BP13" i="3"/>
  <c r="BQ13" i="3"/>
  <c r="BR13" i="3"/>
  <c r="BS13" i="3"/>
  <c r="BT13" i="3"/>
  <c r="BU13" i="3"/>
  <c r="BV13" i="3"/>
  <c r="BW13" i="3"/>
  <c r="BX13" i="3"/>
  <c r="BY13" i="3"/>
  <c r="BZ13" i="3"/>
  <c r="CA13" i="3"/>
  <c r="CB13" i="3"/>
  <c r="CC13" i="3"/>
  <c r="CD13" i="3"/>
  <c r="CE13" i="3"/>
  <c r="CF13" i="3"/>
  <c r="CG13" i="3"/>
  <c r="CH13" i="3"/>
  <c r="CI13" i="3"/>
  <c r="CJ13" i="3"/>
  <c r="CK13" i="3"/>
  <c r="CL13" i="3"/>
  <c r="CM13" i="3"/>
  <c r="CN13" i="3"/>
  <c r="CO13" i="3"/>
  <c r="CP13" i="3"/>
  <c r="CQ13" i="3"/>
  <c r="CR13" i="3"/>
  <c r="CS13" i="3"/>
  <c r="CT13" i="3"/>
  <c r="CU13" i="3"/>
  <c r="CV13" i="3"/>
  <c r="CW13" i="3"/>
  <c r="CX13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AN14" i="3"/>
  <c r="AO14" i="3"/>
  <c r="AP14" i="3"/>
  <c r="AQ14" i="3"/>
  <c r="AR14" i="3"/>
  <c r="AS14" i="3"/>
  <c r="AT14" i="3"/>
  <c r="AU14" i="3"/>
  <c r="AV14" i="3"/>
  <c r="AW14" i="3"/>
  <c r="AX14" i="3"/>
  <c r="AY14" i="3"/>
  <c r="AZ14" i="3"/>
  <c r="BA14" i="3"/>
  <c r="BB14" i="3"/>
  <c r="BC14" i="3"/>
  <c r="BD14" i="3"/>
  <c r="BE14" i="3"/>
  <c r="BF14" i="3"/>
  <c r="BG14" i="3"/>
  <c r="BH14" i="3"/>
  <c r="BI14" i="3"/>
  <c r="BJ14" i="3"/>
  <c r="BK14" i="3"/>
  <c r="BL14" i="3"/>
  <c r="BM14" i="3"/>
  <c r="BN14" i="3"/>
  <c r="BO14" i="3"/>
  <c r="BP14" i="3"/>
  <c r="BQ14" i="3"/>
  <c r="BR14" i="3"/>
  <c r="BS14" i="3"/>
  <c r="BT14" i="3"/>
  <c r="BU14" i="3"/>
  <c r="BV14" i="3"/>
  <c r="BW14" i="3"/>
  <c r="BX14" i="3"/>
  <c r="BY14" i="3"/>
  <c r="BZ14" i="3"/>
  <c r="CA14" i="3"/>
  <c r="CB14" i="3"/>
  <c r="CC14" i="3"/>
  <c r="CD14" i="3"/>
  <c r="CE14" i="3"/>
  <c r="CF14" i="3"/>
  <c r="CG14" i="3"/>
  <c r="CH14" i="3"/>
  <c r="CI14" i="3"/>
  <c r="CJ14" i="3"/>
  <c r="CK14" i="3"/>
  <c r="CL14" i="3"/>
  <c r="CM14" i="3"/>
  <c r="CN14" i="3"/>
  <c r="CO14" i="3"/>
  <c r="CP14" i="3"/>
  <c r="CQ14" i="3"/>
  <c r="CR14" i="3"/>
  <c r="CS14" i="3"/>
  <c r="CT14" i="3"/>
  <c r="CU14" i="3"/>
  <c r="CV14" i="3"/>
  <c r="CW14" i="3"/>
  <c r="CX14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AN15" i="3"/>
  <c r="AO15" i="3"/>
  <c r="AP15" i="3"/>
  <c r="AQ15" i="3"/>
  <c r="AR15" i="3"/>
  <c r="AS15" i="3"/>
  <c r="AT15" i="3"/>
  <c r="AU15" i="3"/>
  <c r="AV15" i="3"/>
  <c r="AW15" i="3"/>
  <c r="AX15" i="3"/>
  <c r="AY15" i="3"/>
  <c r="AZ15" i="3"/>
  <c r="BA15" i="3"/>
  <c r="BB15" i="3"/>
  <c r="BC15" i="3"/>
  <c r="BD15" i="3"/>
  <c r="BE15" i="3"/>
  <c r="BF15" i="3"/>
  <c r="BG15" i="3"/>
  <c r="BH15" i="3"/>
  <c r="BI15" i="3"/>
  <c r="BJ15" i="3"/>
  <c r="BK15" i="3"/>
  <c r="BL15" i="3"/>
  <c r="BM15" i="3"/>
  <c r="BN15" i="3"/>
  <c r="BO15" i="3"/>
  <c r="BP15" i="3"/>
  <c r="BQ15" i="3"/>
  <c r="BR15" i="3"/>
  <c r="BS15" i="3"/>
  <c r="BT15" i="3"/>
  <c r="BU15" i="3"/>
  <c r="BV15" i="3"/>
  <c r="BW15" i="3"/>
  <c r="BX15" i="3"/>
  <c r="BY15" i="3"/>
  <c r="BZ15" i="3"/>
  <c r="CA15" i="3"/>
  <c r="CB15" i="3"/>
  <c r="CC15" i="3"/>
  <c r="CD15" i="3"/>
  <c r="CE15" i="3"/>
  <c r="CF15" i="3"/>
  <c r="CG15" i="3"/>
  <c r="CH15" i="3"/>
  <c r="CI15" i="3"/>
  <c r="CJ15" i="3"/>
  <c r="CK15" i="3"/>
  <c r="CL15" i="3"/>
  <c r="CM15" i="3"/>
  <c r="CN15" i="3"/>
  <c r="CO15" i="3"/>
  <c r="CP15" i="3"/>
  <c r="CQ15" i="3"/>
  <c r="CR15" i="3"/>
  <c r="CS15" i="3"/>
  <c r="CT15" i="3"/>
  <c r="CU15" i="3"/>
  <c r="CV15" i="3"/>
  <c r="CW15" i="3"/>
  <c r="CX15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AN16" i="3"/>
  <c r="AO16" i="3"/>
  <c r="AP16" i="3"/>
  <c r="AQ16" i="3"/>
  <c r="AR16" i="3"/>
  <c r="AS16" i="3"/>
  <c r="AT16" i="3"/>
  <c r="AU16" i="3"/>
  <c r="AV16" i="3"/>
  <c r="AW16" i="3"/>
  <c r="AX16" i="3"/>
  <c r="AY16" i="3"/>
  <c r="AZ16" i="3"/>
  <c r="BA16" i="3"/>
  <c r="BB16" i="3"/>
  <c r="BC16" i="3"/>
  <c r="BD16" i="3"/>
  <c r="BE16" i="3"/>
  <c r="BF16" i="3"/>
  <c r="BG16" i="3"/>
  <c r="BH16" i="3"/>
  <c r="BI16" i="3"/>
  <c r="BJ16" i="3"/>
  <c r="BK16" i="3"/>
  <c r="BL16" i="3"/>
  <c r="BM16" i="3"/>
  <c r="BN16" i="3"/>
  <c r="BO16" i="3"/>
  <c r="BP16" i="3"/>
  <c r="BQ16" i="3"/>
  <c r="BR16" i="3"/>
  <c r="BS16" i="3"/>
  <c r="BT16" i="3"/>
  <c r="BU16" i="3"/>
  <c r="BV16" i="3"/>
  <c r="BW16" i="3"/>
  <c r="BX16" i="3"/>
  <c r="BY16" i="3"/>
  <c r="BZ16" i="3"/>
  <c r="CA16" i="3"/>
  <c r="CB16" i="3"/>
  <c r="CC16" i="3"/>
  <c r="CD16" i="3"/>
  <c r="CE16" i="3"/>
  <c r="CF16" i="3"/>
  <c r="CG16" i="3"/>
  <c r="CH16" i="3"/>
  <c r="CI16" i="3"/>
  <c r="CJ16" i="3"/>
  <c r="CK16" i="3"/>
  <c r="CL16" i="3"/>
  <c r="CM16" i="3"/>
  <c r="CN16" i="3"/>
  <c r="CO16" i="3"/>
  <c r="CP16" i="3"/>
  <c r="CQ16" i="3"/>
  <c r="CR16" i="3"/>
  <c r="CS16" i="3"/>
  <c r="CT16" i="3"/>
  <c r="CU16" i="3"/>
  <c r="CV16" i="3"/>
  <c r="CW16" i="3"/>
  <c r="CX16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AU17" i="3"/>
  <c r="AV17" i="3"/>
  <c r="AW17" i="3"/>
  <c r="AX17" i="3"/>
  <c r="AY17" i="3"/>
  <c r="AZ17" i="3"/>
  <c r="BA17" i="3"/>
  <c r="BB17" i="3"/>
  <c r="BC17" i="3"/>
  <c r="BD17" i="3"/>
  <c r="BE17" i="3"/>
  <c r="BF17" i="3"/>
  <c r="BG17" i="3"/>
  <c r="BH17" i="3"/>
  <c r="BI17" i="3"/>
  <c r="BJ17" i="3"/>
  <c r="BK17" i="3"/>
  <c r="BL17" i="3"/>
  <c r="BM17" i="3"/>
  <c r="BN17" i="3"/>
  <c r="BO17" i="3"/>
  <c r="BP17" i="3"/>
  <c r="BQ17" i="3"/>
  <c r="BR17" i="3"/>
  <c r="BS17" i="3"/>
  <c r="BT17" i="3"/>
  <c r="BU17" i="3"/>
  <c r="BV17" i="3"/>
  <c r="BW17" i="3"/>
  <c r="BX17" i="3"/>
  <c r="BY17" i="3"/>
  <c r="BZ17" i="3"/>
  <c r="CA17" i="3"/>
  <c r="CB17" i="3"/>
  <c r="CC17" i="3"/>
  <c r="CD17" i="3"/>
  <c r="CE17" i="3"/>
  <c r="CF17" i="3"/>
  <c r="CG17" i="3"/>
  <c r="CH17" i="3"/>
  <c r="CI17" i="3"/>
  <c r="CJ17" i="3"/>
  <c r="CK17" i="3"/>
  <c r="CL17" i="3"/>
  <c r="CM17" i="3"/>
  <c r="CN17" i="3"/>
  <c r="CO17" i="3"/>
  <c r="CP17" i="3"/>
  <c r="CQ17" i="3"/>
  <c r="CR17" i="3"/>
  <c r="CS17" i="3"/>
  <c r="CT17" i="3"/>
  <c r="CU17" i="3"/>
  <c r="CV17" i="3"/>
  <c r="CW17" i="3"/>
  <c r="CX17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AV18" i="3"/>
  <c r="AW18" i="3"/>
  <c r="AX18" i="3"/>
  <c r="AY18" i="3"/>
  <c r="AZ18" i="3"/>
  <c r="BA18" i="3"/>
  <c r="BB18" i="3"/>
  <c r="BC18" i="3"/>
  <c r="BD18" i="3"/>
  <c r="BE18" i="3"/>
  <c r="BF18" i="3"/>
  <c r="BG18" i="3"/>
  <c r="BH18" i="3"/>
  <c r="BI18" i="3"/>
  <c r="BJ18" i="3"/>
  <c r="BK18" i="3"/>
  <c r="BL18" i="3"/>
  <c r="BM18" i="3"/>
  <c r="BN18" i="3"/>
  <c r="BO18" i="3"/>
  <c r="BP18" i="3"/>
  <c r="BQ18" i="3"/>
  <c r="BR18" i="3"/>
  <c r="BS18" i="3"/>
  <c r="BT18" i="3"/>
  <c r="BU18" i="3"/>
  <c r="BV18" i="3"/>
  <c r="BW18" i="3"/>
  <c r="BX18" i="3"/>
  <c r="BY18" i="3"/>
  <c r="BZ18" i="3"/>
  <c r="CA18" i="3"/>
  <c r="CB18" i="3"/>
  <c r="CC18" i="3"/>
  <c r="CD18" i="3"/>
  <c r="CE18" i="3"/>
  <c r="CF18" i="3"/>
  <c r="CG18" i="3"/>
  <c r="CH18" i="3"/>
  <c r="CI18" i="3"/>
  <c r="CJ18" i="3"/>
  <c r="CK18" i="3"/>
  <c r="CL18" i="3"/>
  <c r="CM18" i="3"/>
  <c r="CN18" i="3"/>
  <c r="CO18" i="3"/>
  <c r="CP18" i="3"/>
  <c r="CQ18" i="3"/>
  <c r="CR18" i="3"/>
  <c r="CS18" i="3"/>
  <c r="CT18" i="3"/>
  <c r="CU18" i="3"/>
  <c r="CV18" i="3"/>
  <c r="CW18" i="3"/>
  <c r="CX18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AO19" i="3"/>
  <c r="AP19" i="3"/>
  <c r="AQ19" i="3"/>
  <c r="AR19" i="3"/>
  <c r="AS19" i="3"/>
  <c r="AT19" i="3"/>
  <c r="AU19" i="3"/>
  <c r="AV19" i="3"/>
  <c r="AW19" i="3"/>
  <c r="AX19" i="3"/>
  <c r="AY19" i="3"/>
  <c r="AZ19" i="3"/>
  <c r="BA19" i="3"/>
  <c r="BB19" i="3"/>
  <c r="BC19" i="3"/>
  <c r="BD19" i="3"/>
  <c r="BE19" i="3"/>
  <c r="BF19" i="3"/>
  <c r="BG19" i="3"/>
  <c r="BH19" i="3"/>
  <c r="BI19" i="3"/>
  <c r="BJ19" i="3"/>
  <c r="BK19" i="3"/>
  <c r="BL19" i="3"/>
  <c r="BM19" i="3"/>
  <c r="BN19" i="3"/>
  <c r="BO19" i="3"/>
  <c r="BP19" i="3"/>
  <c r="BQ19" i="3"/>
  <c r="BR19" i="3"/>
  <c r="BS19" i="3"/>
  <c r="BT19" i="3"/>
  <c r="BU19" i="3"/>
  <c r="BV19" i="3"/>
  <c r="BW19" i="3"/>
  <c r="BX19" i="3"/>
  <c r="BY19" i="3"/>
  <c r="BZ19" i="3"/>
  <c r="CA19" i="3"/>
  <c r="CB19" i="3"/>
  <c r="CC19" i="3"/>
  <c r="CD19" i="3"/>
  <c r="CE19" i="3"/>
  <c r="CF19" i="3"/>
  <c r="CG19" i="3"/>
  <c r="CH19" i="3"/>
  <c r="CI19" i="3"/>
  <c r="CJ19" i="3"/>
  <c r="CK19" i="3"/>
  <c r="CL19" i="3"/>
  <c r="CM19" i="3"/>
  <c r="CN19" i="3"/>
  <c r="CO19" i="3"/>
  <c r="CP19" i="3"/>
  <c r="CQ19" i="3"/>
  <c r="CR19" i="3"/>
  <c r="CS19" i="3"/>
  <c r="CT19" i="3"/>
  <c r="CU19" i="3"/>
  <c r="CV19" i="3"/>
  <c r="CW19" i="3"/>
  <c r="CX19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AN20" i="3"/>
  <c r="AO20" i="3"/>
  <c r="AP20" i="3"/>
  <c r="AQ20" i="3"/>
  <c r="AR20" i="3"/>
  <c r="AS20" i="3"/>
  <c r="AT20" i="3"/>
  <c r="AU20" i="3"/>
  <c r="AV20" i="3"/>
  <c r="AW20" i="3"/>
  <c r="AX20" i="3"/>
  <c r="AY20" i="3"/>
  <c r="AZ20" i="3"/>
  <c r="BA20" i="3"/>
  <c r="BB20" i="3"/>
  <c r="BC20" i="3"/>
  <c r="BD20" i="3"/>
  <c r="BE20" i="3"/>
  <c r="BF20" i="3"/>
  <c r="BG20" i="3"/>
  <c r="BH20" i="3"/>
  <c r="BI20" i="3"/>
  <c r="BJ20" i="3"/>
  <c r="BK20" i="3"/>
  <c r="BL20" i="3"/>
  <c r="BM20" i="3"/>
  <c r="BN20" i="3"/>
  <c r="BO20" i="3"/>
  <c r="BP20" i="3"/>
  <c r="BQ20" i="3"/>
  <c r="BR20" i="3"/>
  <c r="BS20" i="3"/>
  <c r="BT20" i="3"/>
  <c r="BU20" i="3"/>
  <c r="BV20" i="3"/>
  <c r="BW20" i="3"/>
  <c r="BX20" i="3"/>
  <c r="BY20" i="3"/>
  <c r="BZ20" i="3"/>
  <c r="CA20" i="3"/>
  <c r="CB20" i="3"/>
  <c r="CC20" i="3"/>
  <c r="CD20" i="3"/>
  <c r="CE20" i="3"/>
  <c r="CF20" i="3"/>
  <c r="CG20" i="3"/>
  <c r="CH20" i="3"/>
  <c r="CI20" i="3"/>
  <c r="CJ20" i="3"/>
  <c r="CK20" i="3"/>
  <c r="CL20" i="3"/>
  <c r="CM20" i="3"/>
  <c r="CN20" i="3"/>
  <c r="CO20" i="3"/>
  <c r="CP20" i="3"/>
  <c r="CQ20" i="3"/>
  <c r="CR20" i="3"/>
  <c r="CS20" i="3"/>
  <c r="CT20" i="3"/>
  <c r="CU20" i="3"/>
  <c r="CV20" i="3"/>
  <c r="CW20" i="3"/>
  <c r="CX20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AV21" i="3"/>
  <c r="AW21" i="3"/>
  <c r="AX21" i="3"/>
  <c r="AY21" i="3"/>
  <c r="AZ21" i="3"/>
  <c r="BA21" i="3"/>
  <c r="BB21" i="3"/>
  <c r="BC21" i="3"/>
  <c r="BD21" i="3"/>
  <c r="BE21" i="3"/>
  <c r="BF21" i="3"/>
  <c r="BG21" i="3"/>
  <c r="BH21" i="3"/>
  <c r="BI21" i="3"/>
  <c r="BJ21" i="3"/>
  <c r="BK21" i="3"/>
  <c r="BL21" i="3"/>
  <c r="BM21" i="3"/>
  <c r="BN21" i="3"/>
  <c r="BO21" i="3"/>
  <c r="BP21" i="3"/>
  <c r="BQ21" i="3"/>
  <c r="BR21" i="3"/>
  <c r="BS21" i="3"/>
  <c r="BT21" i="3"/>
  <c r="BU21" i="3"/>
  <c r="BV21" i="3"/>
  <c r="BW21" i="3"/>
  <c r="BX21" i="3"/>
  <c r="BY21" i="3"/>
  <c r="BZ21" i="3"/>
  <c r="CA21" i="3"/>
  <c r="CB21" i="3"/>
  <c r="CC21" i="3"/>
  <c r="CD21" i="3"/>
  <c r="CE21" i="3"/>
  <c r="CF21" i="3"/>
  <c r="CG21" i="3"/>
  <c r="CH21" i="3"/>
  <c r="CI21" i="3"/>
  <c r="CJ21" i="3"/>
  <c r="CK21" i="3"/>
  <c r="CL21" i="3"/>
  <c r="CM21" i="3"/>
  <c r="CN21" i="3"/>
  <c r="CO21" i="3"/>
  <c r="CP21" i="3"/>
  <c r="CQ21" i="3"/>
  <c r="CR21" i="3"/>
  <c r="CS21" i="3"/>
  <c r="CT21" i="3"/>
  <c r="CU21" i="3"/>
  <c r="CV21" i="3"/>
  <c r="CW21" i="3"/>
  <c r="CX21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AN22" i="3"/>
  <c r="AO22" i="3"/>
  <c r="AP22" i="3"/>
  <c r="AQ22" i="3"/>
  <c r="AR22" i="3"/>
  <c r="AS22" i="3"/>
  <c r="AT22" i="3"/>
  <c r="AU22" i="3"/>
  <c r="AV22" i="3"/>
  <c r="AW22" i="3"/>
  <c r="AX22" i="3"/>
  <c r="AY22" i="3"/>
  <c r="AZ22" i="3"/>
  <c r="BA22" i="3"/>
  <c r="BB22" i="3"/>
  <c r="BC22" i="3"/>
  <c r="BD22" i="3"/>
  <c r="BE22" i="3"/>
  <c r="BF22" i="3"/>
  <c r="BG22" i="3"/>
  <c r="BH22" i="3"/>
  <c r="BI22" i="3"/>
  <c r="BJ22" i="3"/>
  <c r="BK22" i="3"/>
  <c r="BL22" i="3"/>
  <c r="BM22" i="3"/>
  <c r="BN22" i="3"/>
  <c r="BO22" i="3"/>
  <c r="BP22" i="3"/>
  <c r="BQ22" i="3"/>
  <c r="BR22" i="3"/>
  <c r="BS22" i="3"/>
  <c r="BT22" i="3"/>
  <c r="BU22" i="3"/>
  <c r="BV22" i="3"/>
  <c r="BW22" i="3"/>
  <c r="BX22" i="3"/>
  <c r="BY22" i="3"/>
  <c r="BZ22" i="3"/>
  <c r="CA22" i="3"/>
  <c r="CB22" i="3"/>
  <c r="CC22" i="3"/>
  <c r="CD22" i="3"/>
  <c r="CE22" i="3"/>
  <c r="CF22" i="3"/>
  <c r="CG22" i="3"/>
  <c r="CH22" i="3"/>
  <c r="CI22" i="3"/>
  <c r="CJ22" i="3"/>
  <c r="CK22" i="3"/>
  <c r="CL22" i="3"/>
  <c r="CM22" i="3"/>
  <c r="CN22" i="3"/>
  <c r="CO22" i="3"/>
  <c r="CP22" i="3"/>
  <c r="CQ22" i="3"/>
  <c r="CR22" i="3"/>
  <c r="CS22" i="3"/>
  <c r="CT22" i="3"/>
  <c r="CU22" i="3"/>
  <c r="CV22" i="3"/>
  <c r="CW22" i="3"/>
  <c r="CX22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AN23" i="3"/>
  <c r="AO23" i="3"/>
  <c r="AP23" i="3"/>
  <c r="AQ23" i="3"/>
  <c r="AR23" i="3"/>
  <c r="AS23" i="3"/>
  <c r="AT23" i="3"/>
  <c r="AU23" i="3"/>
  <c r="AV23" i="3"/>
  <c r="AW23" i="3"/>
  <c r="AX23" i="3"/>
  <c r="AY23" i="3"/>
  <c r="AZ23" i="3"/>
  <c r="BA23" i="3"/>
  <c r="BB23" i="3"/>
  <c r="BC23" i="3"/>
  <c r="BD23" i="3"/>
  <c r="BE23" i="3"/>
  <c r="BF23" i="3"/>
  <c r="BG23" i="3"/>
  <c r="BH23" i="3"/>
  <c r="BI23" i="3"/>
  <c r="BJ23" i="3"/>
  <c r="BK23" i="3"/>
  <c r="BL23" i="3"/>
  <c r="BM23" i="3"/>
  <c r="BN23" i="3"/>
  <c r="BO23" i="3"/>
  <c r="BP23" i="3"/>
  <c r="BQ23" i="3"/>
  <c r="BR23" i="3"/>
  <c r="BS23" i="3"/>
  <c r="BT23" i="3"/>
  <c r="BU23" i="3"/>
  <c r="BV23" i="3"/>
  <c r="BW23" i="3"/>
  <c r="BX23" i="3"/>
  <c r="BY23" i="3"/>
  <c r="BZ23" i="3"/>
  <c r="CA23" i="3"/>
  <c r="CB23" i="3"/>
  <c r="CC23" i="3"/>
  <c r="CD23" i="3"/>
  <c r="CE23" i="3"/>
  <c r="CF23" i="3"/>
  <c r="CG23" i="3"/>
  <c r="CH23" i="3"/>
  <c r="CI23" i="3"/>
  <c r="CJ23" i="3"/>
  <c r="CK23" i="3"/>
  <c r="CL23" i="3"/>
  <c r="CM23" i="3"/>
  <c r="CN23" i="3"/>
  <c r="CO23" i="3"/>
  <c r="CP23" i="3"/>
  <c r="CQ23" i="3"/>
  <c r="CR23" i="3"/>
  <c r="CS23" i="3"/>
  <c r="CT23" i="3"/>
  <c r="CU23" i="3"/>
  <c r="CV23" i="3"/>
  <c r="CW23" i="3"/>
  <c r="CX23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AN24" i="3"/>
  <c r="AO24" i="3"/>
  <c r="AP24" i="3"/>
  <c r="AQ24" i="3"/>
  <c r="AR24" i="3"/>
  <c r="AS24" i="3"/>
  <c r="AT24" i="3"/>
  <c r="AU24" i="3"/>
  <c r="AV24" i="3"/>
  <c r="AW24" i="3"/>
  <c r="AX24" i="3"/>
  <c r="AY24" i="3"/>
  <c r="AZ24" i="3"/>
  <c r="BA24" i="3"/>
  <c r="BB24" i="3"/>
  <c r="BC24" i="3"/>
  <c r="BD24" i="3"/>
  <c r="BE24" i="3"/>
  <c r="BF24" i="3"/>
  <c r="BG24" i="3"/>
  <c r="BH24" i="3"/>
  <c r="BI24" i="3"/>
  <c r="BJ24" i="3"/>
  <c r="BK24" i="3"/>
  <c r="BL24" i="3"/>
  <c r="BM24" i="3"/>
  <c r="BN24" i="3"/>
  <c r="BO24" i="3"/>
  <c r="BP24" i="3"/>
  <c r="BQ24" i="3"/>
  <c r="BR24" i="3"/>
  <c r="BS24" i="3"/>
  <c r="BT24" i="3"/>
  <c r="BU24" i="3"/>
  <c r="BV24" i="3"/>
  <c r="BW24" i="3"/>
  <c r="BX24" i="3"/>
  <c r="BY24" i="3"/>
  <c r="BZ24" i="3"/>
  <c r="CA24" i="3"/>
  <c r="CB24" i="3"/>
  <c r="CC24" i="3"/>
  <c r="CD24" i="3"/>
  <c r="CE24" i="3"/>
  <c r="CF24" i="3"/>
  <c r="CG24" i="3"/>
  <c r="CH24" i="3"/>
  <c r="CI24" i="3"/>
  <c r="CJ24" i="3"/>
  <c r="CK24" i="3"/>
  <c r="CL24" i="3"/>
  <c r="CM24" i="3"/>
  <c r="CN24" i="3"/>
  <c r="CO24" i="3"/>
  <c r="CP24" i="3"/>
  <c r="CQ24" i="3"/>
  <c r="CR24" i="3"/>
  <c r="CS24" i="3"/>
  <c r="CT24" i="3"/>
  <c r="CU24" i="3"/>
  <c r="CV24" i="3"/>
  <c r="CW24" i="3"/>
  <c r="CX24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AN25" i="3"/>
  <c r="AO25" i="3"/>
  <c r="AP25" i="3"/>
  <c r="AQ25" i="3"/>
  <c r="AR25" i="3"/>
  <c r="AS25" i="3"/>
  <c r="AT25" i="3"/>
  <c r="AU25" i="3"/>
  <c r="AV25" i="3"/>
  <c r="AW25" i="3"/>
  <c r="AX25" i="3"/>
  <c r="AY25" i="3"/>
  <c r="AZ25" i="3"/>
  <c r="BA25" i="3"/>
  <c r="BB25" i="3"/>
  <c r="BC25" i="3"/>
  <c r="BD25" i="3"/>
  <c r="BE25" i="3"/>
  <c r="BF25" i="3"/>
  <c r="BG25" i="3"/>
  <c r="BH25" i="3"/>
  <c r="BI25" i="3"/>
  <c r="BJ25" i="3"/>
  <c r="BK25" i="3"/>
  <c r="BL25" i="3"/>
  <c r="BM25" i="3"/>
  <c r="BN25" i="3"/>
  <c r="BO25" i="3"/>
  <c r="BP25" i="3"/>
  <c r="BQ25" i="3"/>
  <c r="BR25" i="3"/>
  <c r="BS25" i="3"/>
  <c r="BT25" i="3"/>
  <c r="BU25" i="3"/>
  <c r="BV25" i="3"/>
  <c r="BW25" i="3"/>
  <c r="BX25" i="3"/>
  <c r="BY25" i="3"/>
  <c r="BZ25" i="3"/>
  <c r="CA25" i="3"/>
  <c r="CB25" i="3"/>
  <c r="CC25" i="3"/>
  <c r="CD25" i="3"/>
  <c r="CE25" i="3"/>
  <c r="CF25" i="3"/>
  <c r="CG25" i="3"/>
  <c r="CH25" i="3"/>
  <c r="CI25" i="3"/>
  <c r="CJ25" i="3"/>
  <c r="CK25" i="3"/>
  <c r="CL25" i="3"/>
  <c r="CM25" i="3"/>
  <c r="CN25" i="3"/>
  <c r="CO25" i="3"/>
  <c r="CP25" i="3"/>
  <c r="CQ25" i="3"/>
  <c r="CR25" i="3"/>
  <c r="CS25" i="3"/>
  <c r="CT25" i="3"/>
  <c r="CU25" i="3"/>
  <c r="CV25" i="3"/>
  <c r="CW25" i="3"/>
  <c r="CX25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AN26" i="3"/>
  <c r="AO26" i="3"/>
  <c r="AP26" i="3"/>
  <c r="AQ26" i="3"/>
  <c r="AR26" i="3"/>
  <c r="AS26" i="3"/>
  <c r="AT26" i="3"/>
  <c r="AU26" i="3"/>
  <c r="AV26" i="3"/>
  <c r="AW26" i="3"/>
  <c r="AX26" i="3"/>
  <c r="AY26" i="3"/>
  <c r="AZ26" i="3"/>
  <c r="BA26" i="3"/>
  <c r="BB26" i="3"/>
  <c r="BC26" i="3"/>
  <c r="BD26" i="3"/>
  <c r="BE26" i="3"/>
  <c r="BF26" i="3"/>
  <c r="BG26" i="3"/>
  <c r="BH26" i="3"/>
  <c r="BI26" i="3"/>
  <c r="BJ26" i="3"/>
  <c r="BK26" i="3"/>
  <c r="BL26" i="3"/>
  <c r="BM26" i="3"/>
  <c r="BN26" i="3"/>
  <c r="BO26" i="3"/>
  <c r="BP26" i="3"/>
  <c r="BQ26" i="3"/>
  <c r="BR26" i="3"/>
  <c r="BS26" i="3"/>
  <c r="BT26" i="3"/>
  <c r="BU26" i="3"/>
  <c r="BV26" i="3"/>
  <c r="BW26" i="3"/>
  <c r="BX26" i="3"/>
  <c r="BY26" i="3"/>
  <c r="BZ26" i="3"/>
  <c r="CA26" i="3"/>
  <c r="CB26" i="3"/>
  <c r="CC26" i="3"/>
  <c r="CD26" i="3"/>
  <c r="CE26" i="3"/>
  <c r="CF26" i="3"/>
  <c r="CG26" i="3"/>
  <c r="CH26" i="3"/>
  <c r="CI26" i="3"/>
  <c r="CJ26" i="3"/>
  <c r="CK26" i="3"/>
  <c r="CL26" i="3"/>
  <c r="CM26" i="3"/>
  <c r="CN26" i="3"/>
  <c r="CO26" i="3"/>
  <c r="CP26" i="3"/>
  <c r="CQ26" i="3"/>
  <c r="CR26" i="3"/>
  <c r="CS26" i="3"/>
  <c r="CT26" i="3"/>
  <c r="CU26" i="3"/>
  <c r="CV26" i="3"/>
  <c r="CW26" i="3"/>
  <c r="CX26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AN27" i="3"/>
  <c r="AO27" i="3"/>
  <c r="AP27" i="3"/>
  <c r="AQ27" i="3"/>
  <c r="AR27" i="3"/>
  <c r="AS27" i="3"/>
  <c r="AT27" i="3"/>
  <c r="AU27" i="3"/>
  <c r="AV27" i="3"/>
  <c r="AW27" i="3"/>
  <c r="AX27" i="3"/>
  <c r="AY27" i="3"/>
  <c r="AZ27" i="3"/>
  <c r="BA27" i="3"/>
  <c r="BB27" i="3"/>
  <c r="BC27" i="3"/>
  <c r="BD27" i="3"/>
  <c r="BE27" i="3"/>
  <c r="BF27" i="3"/>
  <c r="BG27" i="3"/>
  <c r="BH27" i="3"/>
  <c r="BI27" i="3"/>
  <c r="BJ27" i="3"/>
  <c r="BK27" i="3"/>
  <c r="BL27" i="3"/>
  <c r="BM27" i="3"/>
  <c r="BN27" i="3"/>
  <c r="BO27" i="3"/>
  <c r="BP27" i="3"/>
  <c r="BQ27" i="3"/>
  <c r="BR27" i="3"/>
  <c r="BS27" i="3"/>
  <c r="BT27" i="3"/>
  <c r="BU27" i="3"/>
  <c r="BV27" i="3"/>
  <c r="BW27" i="3"/>
  <c r="BX27" i="3"/>
  <c r="BY27" i="3"/>
  <c r="BZ27" i="3"/>
  <c r="CA27" i="3"/>
  <c r="CB27" i="3"/>
  <c r="CC27" i="3"/>
  <c r="CD27" i="3"/>
  <c r="CE27" i="3"/>
  <c r="CF27" i="3"/>
  <c r="CG27" i="3"/>
  <c r="CH27" i="3"/>
  <c r="CI27" i="3"/>
  <c r="CJ27" i="3"/>
  <c r="CK27" i="3"/>
  <c r="CL27" i="3"/>
  <c r="CM27" i="3"/>
  <c r="CN27" i="3"/>
  <c r="CO27" i="3"/>
  <c r="CP27" i="3"/>
  <c r="CQ27" i="3"/>
  <c r="CR27" i="3"/>
  <c r="CS27" i="3"/>
  <c r="CT27" i="3"/>
  <c r="CU27" i="3"/>
  <c r="CV27" i="3"/>
  <c r="CW27" i="3"/>
  <c r="CX27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AN28" i="3"/>
  <c r="AO28" i="3"/>
  <c r="AP28" i="3"/>
  <c r="AQ28" i="3"/>
  <c r="AR28" i="3"/>
  <c r="AS28" i="3"/>
  <c r="AT28" i="3"/>
  <c r="AU28" i="3"/>
  <c r="AV28" i="3"/>
  <c r="AW28" i="3"/>
  <c r="AX28" i="3"/>
  <c r="AY28" i="3"/>
  <c r="AZ28" i="3"/>
  <c r="BA28" i="3"/>
  <c r="BB28" i="3"/>
  <c r="BC28" i="3"/>
  <c r="BD28" i="3"/>
  <c r="BE28" i="3"/>
  <c r="BF28" i="3"/>
  <c r="BG28" i="3"/>
  <c r="BH28" i="3"/>
  <c r="BI28" i="3"/>
  <c r="BJ28" i="3"/>
  <c r="BK28" i="3"/>
  <c r="BL28" i="3"/>
  <c r="BM28" i="3"/>
  <c r="BN28" i="3"/>
  <c r="BO28" i="3"/>
  <c r="BP28" i="3"/>
  <c r="BQ28" i="3"/>
  <c r="BR28" i="3"/>
  <c r="BS28" i="3"/>
  <c r="BT28" i="3"/>
  <c r="BU28" i="3"/>
  <c r="BV28" i="3"/>
  <c r="BW28" i="3"/>
  <c r="BX28" i="3"/>
  <c r="BY28" i="3"/>
  <c r="BZ28" i="3"/>
  <c r="CA28" i="3"/>
  <c r="CB28" i="3"/>
  <c r="CC28" i="3"/>
  <c r="CD28" i="3"/>
  <c r="CE28" i="3"/>
  <c r="CF28" i="3"/>
  <c r="CG28" i="3"/>
  <c r="CH28" i="3"/>
  <c r="CI28" i="3"/>
  <c r="CJ28" i="3"/>
  <c r="CK28" i="3"/>
  <c r="CL28" i="3"/>
  <c r="CM28" i="3"/>
  <c r="CN28" i="3"/>
  <c r="CO28" i="3"/>
  <c r="CP28" i="3"/>
  <c r="CQ28" i="3"/>
  <c r="CR28" i="3"/>
  <c r="CS28" i="3"/>
  <c r="CT28" i="3"/>
  <c r="CU28" i="3"/>
  <c r="CV28" i="3"/>
  <c r="CW28" i="3"/>
  <c r="CX28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AN29" i="3"/>
  <c r="AO29" i="3"/>
  <c r="AP29" i="3"/>
  <c r="AQ29" i="3"/>
  <c r="AR29" i="3"/>
  <c r="AS29" i="3"/>
  <c r="AT29" i="3"/>
  <c r="AU29" i="3"/>
  <c r="AV29" i="3"/>
  <c r="AW29" i="3"/>
  <c r="AX29" i="3"/>
  <c r="AY29" i="3"/>
  <c r="AZ29" i="3"/>
  <c r="BA29" i="3"/>
  <c r="BB29" i="3"/>
  <c r="BC29" i="3"/>
  <c r="BD29" i="3"/>
  <c r="BE29" i="3"/>
  <c r="BF29" i="3"/>
  <c r="BG29" i="3"/>
  <c r="BH29" i="3"/>
  <c r="BI29" i="3"/>
  <c r="BJ29" i="3"/>
  <c r="BK29" i="3"/>
  <c r="BL29" i="3"/>
  <c r="BM29" i="3"/>
  <c r="BN29" i="3"/>
  <c r="BO29" i="3"/>
  <c r="BP29" i="3"/>
  <c r="BQ29" i="3"/>
  <c r="BR29" i="3"/>
  <c r="BS29" i="3"/>
  <c r="BT29" i="3"/>
  <c r="BU29" i="3"/>
  <c r="BV29" i="3"/>
  <c r="BW29" i="3"/>
  <c r="BX29" i="3"/>
  <c r="BY29" i="3"/>
  <c r="BZ29" i="3"/>
  <c r="CA29" i="3"/>
  <c r="CB29" i="3"/>
  <c r="CC29" i="3"/>
  <c r="CD29" i="3"/>
  <c r="CE29" i="3"/>
  <c r="CF29" i="3"/>
  <c r="CG29" i="3"/>
  <c r="CH29" i="3"/>
  <c r="CI29" i="3"/>
  <c r="CJ29" i="3"/>
  <c r="CK29" i="3"/>
  <c r="CL29" i="3"/>
  <c r="CM29" i="3"/>
  <c r="CN29" i="3"/>
  <c r="CO29" i="3"/>
  <c r="CP29" i="3"/>
  <c r="CQ29" i="3"/>
  <c r="CR29" i="3"/>
  <c r="CS29" i="3"/>
  <c r="CT29" i="3"/>
  <c r="CU29" i="3"/>
  <c r="CV29" i="3"/>
  <c r="CW29" i="3"/>
  <c r="CX29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N30" i="3"/>
  <c r="AO30" i="3"/>
  <c r="AP30" i="3"/>
  <c r="AQ30" i="3"/>
  <c r="AR30" i="3"/>
  <c r="AS30" i="3"/>
  <c r="AT30" i="3"/>
  <c r="AU30" i="3"/>
  <c r="AV30" i="3"/>
  <c r="AW30" i="3"/>
  <c r="AX30" i="3"/>
  <c r="AY30" i="3"/>
  <c r="AZ30" i="3"/>
  <c r="BA30" i="3"/>
  <c r="BB30" i="3"/>
  <c r="BC30" i="3"/>
  <c r="BD30" i="3"/>
  <c r="BE30" i="3"/>
  <c r="BF30" i="3"/>
  <c r="BG30" i="3"/>
  <c r="BH30" i="3"/>
  <c r="BI30" i="3"/>
  <c r="BJ30" i="3"/>
  <c r="BK30" i="3"/>
  <c r="BL30" i="3"/>
  <c r="BM30" i="3"/>
  <c r="BN30" i="3"/>
  <c r="BO30" i="3"/>
  <c r="BP30" i="3"/>
  <c r="BQ30" i="3"/>
  <c r="BR30" i="3"/>
  <c r="BS30" i="3"/>
  <c r="BT30" i="3"/>
  <c r="BU30" i="3"/>
  <c r="BV30" i="3"/>
  <c r="BW30" i="3"/>
  <c r="BX30" i="3"/>
  <c r="BY30" i="3"/>
  <c r="BZ30" i="3"/>
  <c r="CA30" i="3"/>
  <c r="CB30" i="3"/>
  <c r="CC30" i="3"/>
  <c r="CD30" i="3"/>
  <c r="CE30" i="3"/>
  <c r="CF30" i="3"/>
  <c r="CG30" i="3"/>
  <c r="CH30" i="3"/>
  <c r="CI30" i="3"/>
  <c r="CJ30" i="3"/>
  <c r="CK30" i="3"/>
  <c r="CL30" i="3"/>
  <c r="CM30" i="3"/>
  <c r="CN30" i="3"/>
  <c r="CO30" i="3"/>
  <c r="CP30" i="3"/>
  <c r="CQ30" i="3"/>
  <c r="CR30" i="3"/>
  <c r="CS30" i="3"/>
  <c r="CT30" i="3"/>
  <c r="CU30" i="3"/>
  <c r="CV30" i="3"/>
  <c r="CW30" i="3"/>
  <c r="CX30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AJ31" i="3"/>
  <c r="AK31" i="3"/>
  <c r="AL31" i="3"/>
  <c r="AM31" i="3"/>
  <c r="AN31" i="3"/>
  <c r="AO31" i="3"/>
  <c r="AP31" i="3"/>
  <c r="AQ31" i="3"/>
  <c r="AR31" i="3"/>
  <c r="AS31" i="3"/>
  <c r="AT31" i="3"/>
  <c r="AU31" i="3"/>
  <c r="AV31" i="3"/>
  <c r="AW31" i="3"/>
  <c r="AX31" i="3"/>
  <c r="AY31" i="3"/>
  <c r="AZ31" i="3"/>
  <c r="BA31" i="3"/>
  <c r="BB31" i="3"/>
  <c r="BC31" i="3"/>
  <c r="BD31" i="3"/>
  <c r="BE31" i="3"/>
  <c r="BF31" i="3"/>
  <c r="BG31" i="3"/>
  <c r="BH31" i="3"/>
  <c r="BI31" i="3"/>
  <c r="BJ31" i="3"/>
  <c r="BK31" i="3"/>
  <c r="BL31" i="3"/>
  <c r="BM31" i="3"/>
  <c r="BN31" i="3"/>
  <c r="BO31" i="3"/>
  <c r="BP31" i="3"/>
  <c r="BQ31" i="3"/>
  <c r="BR31" i="3"/>
  <c r="BS31" i="3"/>
  <c r="BT31" i="3"/>
  <c r="BU31" i="3"/>
  <c r="BV31" i="3"/>
  <c r="BW31" i="3"/>
  <c r="BX31" i="3"/>
  <c r="BY31" i="3"/>
  <c r="BZ31" i="3"/>
  <c r="CA31" i="3"/>
  <c r="CB31" i="3"/>
  <c r="CC31" i="3"/>
  <c r="CD31" i="3"/>
  <c r="CE31" i="3"/>
  <c r="CF31" i="3"/>
  <c r="CG31" i="3"/>
  <c r="CH31" i="3"/>
  <c r="CI31" i="3"/>
  <c r="CJ31" i="3"/>
  <c r="CK31" i="3"/>
  <c r="CL31" i="3"/>
  <c r="CM31" i="3"/>
  <c r="CN31" i="3"/>
  <c r="CO31" i="3"/>
  <c r="CP31" i="3"/>
  <c r="CQ31" i="3"/>
  <c r="CR31" i="3"/>
  <c r="CS31" i="3"/>
  <c r="CT31" i="3"/>
  <c r="CU31" i="3"/>
  <c r="CV31" i="3"/>
  <c r="CW31" i="3"/>
  <c r="CX31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V32" i="3"/>
  <c r="AW32" i="3"/>
  <c r="AX32" i="3"/>
  <c r="AY32" i="3"/>
  <c r="AZ32" i="3"/>
  <c r="BA32" i="3"/>
  <c r="BB32" i="3"/>
  <c r="BC32" i="3"/>
  <c r="BD32" i="3"/>
  <c r="BE32" i="3"/>
  <c r="BF32" i="3"/>
  <c r="BG32" i="3"/>
  <c r="BH32" i="3"/>
  <c r="BI32" i="3"/>
  <c r="BJ32" i="3"/>
  <c r="BK32" i="3"/>
  <c r="BL32" i="3"/>
  <c r="BM32" i="3"/>
  <c r="BN32" i="3"/>
  <c r="BO32" i="3"/>
  <c r="BP32" i="3"/>
  <c r="BQ32" i="3"/>
  <c r="BR32" i="3"/>
  <c r="BS32" i="3"/>
  <c r="BT32" i="3"/>
  <c r="BU32" i="3"/>
  <c r="BV32" i="3"/>
  <c r="BW32" i="3"/>
  <c r="BX32" i="3"/>
  <c r="BY32" i="3"/>
  <c r="BZ32" i="3"/>
  <c r="CA32" i="3"/>
  <c r="CB32" i="3"/>
  <c r="CC32" i="3"/>
  <c r="CD32" i="3"/>
  <c r="CE32" i="3"/>
  <c r="CF32" i="3"/>
  <c r="CG32" i="3"/>
  <c r="CH32" i="3"/>
  <c r="CI32" i="3"/>
  <c r="CJ32" i="3"/>
  <c r="CK32" i="3"/>
  <c r="CL32" i="3"/>
  <c r="CM32" i="3"/>
  <c r="CN32" i="3"/>
  <c r="CO32" i="3"/>
  <c r="CP32" i="3"/>
  <c r="CQ32" i="3"/>
  <c r="CR32" i="3"/>
  <c r="CS32" i="3"/>
  <c r="CT32" i="3"/>
  <c r="CU32" i="3"/>
  <c r="CV32" i="3"/>
  <c r="CW32" i="3"/>
  <c r="CX32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AU33" i="3"/>
  <c r="AV33" i="3"/>
  <c r="AW33" i="3"/>
  <c r="AX33" i="3"/>
  <c r="AY33" i="3"/>
  <c r="AZ33" i="3"/>
  <c r="BA33" i="3"/>
  <c r="BB33" i="3"/>
  <c r="BC33" i="3"/>
  <c r="BD33" i="3"/>
  <c r="BE33" i="3"/>
  <c r="BF33" i="3"/>
  <c r="BG33" i="3"/>
  <c r="BH33" i="3"/>
  <c r="BI33" i="3"/>
  <c r="BJ33" i="3"/>
  <c r="BK33" i="3"/>
  <c r="BL33" i="3"/>
  <c r="BM33" i="3"/>
  <c r="BN33" i="3"/>
  <c r="BO33" i="3"/>
  <c r="BP33" i="3"/>
  <c r="BQ33" i="3"/>
  <c r="BR33" i="3"/>
  <c r="BS33" i="3"/>
  <c r="BT33" i="3"/>
  <c r="BU33" i="3"/>
  <c r="BV33" i="3"/>
  <c r="BW33" i="3"/>
  <c r="BX33" i="3"/>
  <c r="BY33" i="3"/>
  <c r="BZ33" i="3"/>
  <c r="CA33" i="3"/>
  <c r="CB33" i="3"/>
  <c r="CC33" i="3"/>
  <c r="CD33" i="3"/>
  <c r="CE33" i="3"/>
  <c r="CF33" i="3"/>
  <c r="CG33" i="3"/>
  <c r="CH33" i="3"/>
  <c r="CI33" i="3"/>
  <c r="CJ33" i="3"/>
  <c r="CK33" i="3"/>
  <c r="CL33" i="3"/>
  <c r="CM33" i="3"/>
  <c r="CN33" i="3"/>
  <c r="CO33" i="3"/>
  <c r="CP33" i="3"/>
  <c r="CQ33" i="3"/>
  <c r="CR33" i="3"/>
  <c r="CS33" i="3"/>
  <c r="CT33" i="3"/>
  <c r="CU33" i="3"/>
  <c r="CV33" i="3"/>
  <c r="CW33" i="3"/>
  <c r="CX33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AS34" i="3"/>
  <c r="AT34" i="3"/>
  <c r="AU34" i="3"/>
  <c r="AV34" i="3"/>
  <c r="AW34" i="3"/>
  <c r="AX34" i="3"/>
  <c r="AY34" i="3"/>
  <c r="AZ34" i="3"/>
  <c r="BA34" i="3"/>
  <c r="BB34" i="3"/>
  <c r="BC34" i="3"/>
  <c r="BD34" i="3"/>
  <c r="BE34" i="3"/>
  <c r="BF34" i="3"/>
  <c r="BG34" i="3"/>
  <c r="BH34" i="3"/>
  <c r="BI34" i="3"/>
  <c r="BJ34" i="3"/>
  <c r="BK34" i="3"/>
  <c r="BL34" i="3"/>
  <c r="BM34" i="3"/>
  <c r="BN34" i="3"/>
  <c r="BO34" i="3"/>
  <c r="BP34" i="3"/>
  <c r="BQ34" i="3"/>
  <c r="BR34" i="3"/>
  <c r="BS34" i="3"/>
  <c r="BT34" i="3"/>
  <c r="BU34" i="3"/>
  <c r="BV34" i="3"/>
  <c r="BW34" i="3"/>
  <c r="BX34" i="3"/>
  <c r="BY34" i="3"/>
  <c r="BZ34" i="3"/>
  <c r="CA34" i="3"/>
  <c r="CB34" i="3"/>
  <c r="CC34" i="3"/>
  <c r="CD34" i="3"/>
  <c r="CE34" i="3"/>
  <c r="CF34" i="3"/>
  <c r="CG34" i="3"/>
  <c r="CH34" i="3"/>
  <c r="CI34" i="3"/>
  <c r="CJ34" i="3"/>
  <c r="CK34" i="3"/>
  <c r="CL34" i="3"/>
  <c r="CM34" i="3"/>
  <c r="CN34" i="3"/>
  <c r="CO34" i="3"/>
  <c r="CP34" i="3"/>
  <c r="CQ34" i="3"/>
  <c r="CR34" i="3"/>
  <c r="CS34" i="3"/>
  <c r="CT34" i="3"/>
  <c r="CU34" i="3"/>
  <c r="CV34" i="3"/>
  <c r="CW34" i="3"/>
  <c r="CX34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AQ35" i="3"/>
  <c r="AR35" i="3"/>
  <c r="AS35" i="3"/>
  <c r="AT35" i="3"/>
  <c r="AU35" i="3"/>
  <c r="AV35" i="3"/>
  <c r="AW35" i="3"/>
  <c r="AX35" i="3"/>
  <c r="AY35" i="3"/>
  <c r="AZ35" i="3"/>
  <c r="BA35" i="3"/>
  <c r="BB35" i="3"/>
  <c r="BC35" i="3"/>
  <c r="BD35" i="3"/>
  <c r="BE35" i="3"/>
  <c r="BF35" i="3"/>
  <c r="BG35" i="3"/>
  <c r="BH35" i="3"/>
  <c r="BI35" i="3"/>
  <c r="BJ35" i="3"/>
  <c r="BK35" i="3"/>
  <c r="BL35" i="3"/>
  <c r="BM35" i="3"/>
  <c r="BN35" i="3"/>
  <c r="BO35" i="3"/>
  <c r="BP35" i="3"/>
  <c r="BQ35" i="3"/>
  <c r="BR35" i="3"/>
  <c r="BS35" i="3"/>
  <c r="BT35" i="3"/>
  <c r="BU35" i="3"/>
  <c r="BV35" i="3"/>
  <c r="BW35" i="3"/>
  <c r="BX35" i="3"/>
  <c r="BY35" i="3"/>
  <c r="BZ35" i="3"/>
  <c r="CA35" i="3"/>
  <c r="CB35" i="3"/>
  <c r="CC35" i="3"/>
  <c r="CD35" i="3"/>
  <c r="CE35" i="3"/>
  <c r="CF35" i="3"/>
  <c r="CG35" i="3"/>
  <c r="CH35" i="3"/>
  <c r="CI35" i="3"/>
  <c r="CJ35" i="3"/>
  <c r="CK35" i="3"/>
  <c r="CL35" i="3"/>
  <c r="CM35" i="3"/>
  <c r="CN35" i="3"/>
  <c r="CO35" i="3"/>
  <c r="CP35" i="3"/>
  <c r="CQ35" i="3"/>
  <c r="CR35" i="3"/>
  <c r="CS35" i="3"/>
  <c r="CT35" i="3"/>
  <c r="CU35" i="3"/>
  <c r="CV35" i="3"/>
  <c r="CW35" i="3"/>
  <c r="CX35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AL36" i="3"/>
  <c r="AM36" i="3"/>
  <c r="AN36" i="3"/>
  <c r="AO36" i="3"/>
  <c r="AP36" i="3"/>
  <c r="AQ36" i="3"/>
  <c r="AR36" i="3"/>
  <c r="AS36" i="3"/>
  <c r="AT36" i="3"/>
  <c r="AU36" i="3"/>
  <c r="AV36" i="3"/>
  <c r="AW36" i="3"/>
  <c r="AX36" i="3"/>
  <c r="AY36" i="3"/>
  <c r="AZ36" i="3"/>
  <c r="BA36" i="3"/>
  <c r="BB36" i="3"/>
  <c r="BC36" i="3"/>
  <c r="BD36" i="3"/>
  <c r="BE36" i="3"/>
  <c r="BF36" i="3"/>
  <c r="BG36" i="3"/>
  <c r="BH36" i="3"/>
  <c r="BI36" i="3"/>
  <c r="BJ36" i="3"/>
  <c r="BK36" i="3"/>
  <c r="BL36" i="3"/>
  <c r="BM36" i="3"/>
  <c r="BN36" i="3"/>
  <c r="BO36" i="3"/>
  <c r="BP36" i="3"/>
  <c r="BQ36" i="3"/>
  <c r="BR36" i="3"/>
  <c r="BS36" i="3"/>
  <c r="BT36" i="3"/>
  <c r="BU36" i="3"/>
  <c r="BV36" i="3"/>
  <c r="BW36" i="3"/>
  <c r="BX36" i="3"/>
  <c r="BY36" i="3"/>
  <c r="BZ36" i="3"/>
  <c r="CA36" i="3"/>
  <c r="CB36" i="3"/>
  <c r="CC36" i="3"/>
  <c r="CD36" i="3"/>
  <c r="CE36" i="3"/>
  <c r="CF36" i="3"/>
  <c r="CG36" i="3"/>
  <c r="CH36" i="3"/>
  <c r="CI36" i="3"/>
  <c r="CJ36" i="3"/>
  <c r="CK36" i="3"/>
  <c r="CL36" i="3"/>
  <c r="CM36" i="3"/>
  <c r="CN36" i="3"/>
  <c r="CO36" i="3"/>
  <c r="CP36" i="3"/>
  <c r="CQ36" i="3"/>
  <c r="CR36" i="3"/>
  <c r="CS36" i="3"/>
  <c r="CT36" i="3"/>
  <c r="CU36" i="3"/>
  <c r="CV36" i="3"/>
  <c r="CW36" i="3"/>
  <c r="CX36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AG37" i="3"/>
  <c r="AH37" i="3"/>
  <c r="AI37" i="3"/>
  <c r="AJ37" i="3"/>
  <c r="AK37" i="3"/>
  <c r="AL37" i="3"/>
  <c r="AM37" i="3"/>
  <c r="AN37" i="3"/>
  <c r="AO37" i="3"/>
  <c r="AP37" i="3"/>
  <c r="AQ37" i="3"/>
  <c r="AR37" i="3"/>
  <c r="AS37" i="3"/>
  <c r="AT37" i="3"/>
  <c r="AU37" i="3"/>
  <c r="AV37" i="3"/>
  <c r="AW37" i="3"/>
  <c r="AX37" i="3"/>
  <c r="AY37" i="3"/>
  <c r="AZ37" i="3"/>
  <c r="BA37" i="3"/>
  <c r="BB37" i="3"/>
  <c r="BC37" i="3"/>
  <c r="BD37" i="3"/>
  <c r="BE37" i="3"/>
  <c r="BF37" i="3"/>
  <c r="BG37" i="3"/>
  <c r="BH37" i="3"/>
  <c r="BI37" i="3"/>
  <c r="BJ37" i="3"/>
  <c r="BK37" i="3"/>
  <c r="BL37" i="3"/>
  <c r="BM37" i="3"/>
  <c r="BN37" i="3"/>
  <c r="BO37" i="3"/>
  <c r="BP37" i="3"/>
  <c r="BQ37" i="3"/>
  <c r="BR37" i="3"/>
  <c r="BS37" i="3"/>
  <c r="BT37" i="3"/>
  <c r="BU37" i="3"/>
  <c r="BV37" i="3"/>
  <c r="BW37" i="3"/>
  <c r="BX37" i="3"/>
  <c r="BY37" i="3"/>
  <c r="BZ37" i="3"/>
  <c r="CA37" i="3"/>
  <c r="CB37" i="3"/>
  <c r="CC37" i="3"/>
  <c r="CD37" i="3"/>
  <c r="CE37" i="3"/>
  <c r="CF37" i="3"/>
  <c r="CG37" i="3"/>
  <c r="CH37" i="3"/>
  <c r="CI37" i="3"/>
  <c r="CJ37" i="3"/>
  <c r="CK37" i="3"/>
  <c r="CL37" i="3"/>
  <c r="CM37" i="3"/>
  <c r="CN37" i="3"/>
  <c r="CO37" i="3"/>
  <c r="CP37" i="3"/>
  <c r="CQ37" i="3"/>
  <c r="CR37" i="3"/>
  <c r="CS37" i="3"/>
  <c r="CT37" i="3"/>
  <c r="CU37" i="3"/>
  <c r="CV37" i="3"/>
  <c r="CW37" i="3"/>
  <c r="CX37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G38" i="3"/>
  <c r="AH38" i="3"/>
  <c r="AI38" i="3"/>
  <c r="AJ38" i="3"/>
  <c r="AK38" i="3"/>
  <c r="AL38" i="3"/>
  <c r="AM38" i="3"/>
  <c r="AN38" i="3"/>
  <c r="AO38" i="3"/>
  <c r="AP38" i="3"/>
  <c r="AQ38" i="3"/>
  <c r="AR38" i="3"/>
  <c r="AS38" i="3"/>
  <c r="AT38" i="3"/>
  <c r="AU38" i="3"/>
  <c r="AV38" i="3"/>
  <c r="AW38" i="3"/>
  <c r="AX38" i="3"/>
  <c r="AY38" i="3"/>
  <c r="AZ38" i="3"/>
  <c r="BA38" i="3"/>
  <c r="BB38" i="3"/>
  <c r="BC38" i="3"/>
  <c r="BD38" i="3"/>
  <c r="BE38" i="3"/>
  <c r="BF38" i="3"/>
  <c r="BG38" i="3"/>
  <c r="BH38" i="3"/>
  <c r="BI38" i="3"/>
  <c r="BJ38" i="3"/>
  <c r="BK38" i="3"/>
  <c r="BL38" i="3"/>
  <c r="BM38" i="3"/>
  <c r="BN38" i="3"/>
  <c r="BO38" i="3"/>
  <c r="BP38" i="3"/>
  <c r="BQ38" i="3"/>
  <c r="BR38" i="3"/>
  <c r="BS38" i="3"/>
  <c r="BT38" i="3"/>
  <c r="BU38" i="3"/>
  <c r="BV38" i="3"/>
  <c r="BW38" i="3"/>
  <c r="BX38" i="3"/>
  <c r="BY38" i="3"/>
  <c r="BZ38" i="3"/>
  <c r="CA38" i="3"/>
  <c r="CB38" i="3"/>
  <c r="CC38" i="3"/>
  <c r="CD38" i="3"/>
  <c r="CE38" i="3"/>
  <c r="CF38" i="3"/>
  <c r="CG38" i="3"/>
  <c r="CH38" i="3"/>
  <c r="CI38" i="3"/>
  <c r="CJ38" i="3"/>
  <c r="CK38" i="3"/>
  <c r="CL38" i="3"/>
  <c r="CM38" i="3"/>
  <c r="CN38" i="3"/>
  <c r="CO38" i="3"/>
  <c r="CP38" i="3"/>
  <c r="CQ38" i="3"/>
  <c r="CR38" i="3"/>
  <c r="CS38" i="3"/>
  <c r="CT38" i="3"/>
  <c r="CU38" i="3"/>
  <c r="CV38" i="3"/>
  <c r="CW38" i="3"/>
  <c r="CX38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G39" i="3"/>
  <c r="AH39" i="3"/>
  <c r="AI39" i="3"/>
  <c r="AJ39" i="3"/>
  <c r="AK39" i="3"/>
  <c r="AL39" i="3"/>
  <c r="AM39" i="3"/>
  <c r="AN39" i="3"/>
  <c r="AO39" i="3"/>
  <c r="AP39" i="3"/>
  <c r="AQ39" i="3"/>
  <c r="AR39" i="3"/>
  <c r="AS39" i="3"/>
  <c r="AT39" i="3"/>
  <c r="AU39" i="3"/>
  <c r="AV39" i="3"/>
  <c r="AW39" i="3"/>
  <c r="AX39" i="3"/>
  <c r="AY39" i="3"/>
  <c r="AZ39" i="3"/>
  <c r="BA39" i="3"/>
  <c r="BB39" i="3"/>
  <c r="BC39" i="3"/>
  <c r="BD39" i="3"/>
  <c r="BE39" i="3"/>
  <c r="BF39" i="3"/>
  <c r="BG39" i="3"/>
  <c r="BH39" i="3"/>
  <c r="BI39" i="3"/>
  <c r="BJ39" i="3"/>
  <c r="BK39" i="3"/>
  <c r="BL39" i="3"/>
  <c r="BM39" i="3"/>
  <c r="BN39" i="3"/>
  <c r="BO39" i="3"/>
  <c r="BP39" i="3"/>
  <c r="BQ39" i="3"/>
  <c r="BR39" i="3"/>
  <c r="BS39" i="3"/>
  <c r="BT39" i="3"/>
  <c r="BU39" i="3"/>
  <c r="BV39" i="3"/>
  <c r="BW39" i="3"/>
  <c r="BX39" i="3"/>
  <c r="BY39" i="3"/>
  <c r="BZ39" i="3"/>
  <c r="CA39" i="3"/>
  <c r="CB39" i="3"/>
  <c r="CC39" i="3"/>
  <c r="CD39" i="3"/>
  <c r="CE39" i="3"/>
  <c r="CF39" i="3"/>
  <c r="CG39" i="3"/>
  <c r="CH39" i="3"/>
  <c r="CI39" i="3"/>
  <c r="CJ39" i="3"/>
  <c r="CK39" i="3"/>
  <c r="CL39" i="3"/>
  <c r="CM39" i="3"/>
  <c r="CN39" i="3"/>
  <c r="CO39" i="3"/>
  <c r="CP39" i="3"/>
  <c r="CQ39" i="3"/>
  <c r="CR39" i="3"/>
  <c r="CS39" i="3"/>
  <c r="CT39" i="3"/>
  <c r="CU39" i="3"/>
  <c r="CV39" i="3"/>
  <c r="CW39" i="3"/>
  <c r="CX39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J40" i="3"/>
  <c r="AK40" i="3"/>
  <c r="AL40" i="3"/>
  <c r="AM40" i="3"/>
  <c r="AN40" i="3"/>
  <c r="AO40" i="3"/>
  <c r="AP40" i="3"/>
  <c r="AQ40" i="3"/>
  <c r="AR40" i="3"/>
  <c r="AS40" i="3"/>
  <c r="AT40" i="3"/>
  <c r="AU40" i="3"/>
  <c r="AV40" i="3"/>
  <c r="AW40" i="3"/>
  <c r="AX40" i="3"/>
  <c r="AY40" i="3"/>
  <c r="AZ40" i="3"/>
  <c r="BA40" i="3"/>
  <c r="BB40" i="3"/>
  <c r="BC40" i="3"/>
  <c r="BD40" i="3"/>
  <c r="BE40" i="3"/>
  <c r="BF40" i="3"/>
  <c r="BG40" i="3"/>
  <c r="BH40" i="3"/>
  <c r="BI40" i="3"/>
  <c r="BJ40" i="3"/>
  <c r="BK40" i="3"/>
  <c r="BL40" i="3"/>
  <c r="BM40" i="3"/>
  <c r="BN40" i="3"/>
  <c r="BO40" i="3"/>
  <c r="BP40" i="3"/>
  <c r="BQ40" i="3"/>
  <c r="BR40" i="3"/>
  <c r="BS40" i="3"/>
  <c r="BT40" i="3"/>
  <c r="BU40" i="3"/>
  <c r="BV40" i="3"/>
  <c r="BW40" i="3"/>
  <c r="BX40" i="3"/>
  <c r="BY40" i="3"/>
  <c r="BZ40" i="3"/>
  <c r="CA40" i="3"/>
  <c r="CB40" i="3"/>
  <c r="CC40" i="3"/>
  <c r="CD40" i="3"/>
  <c r="CE40" i="3"/>
  <c r="CF40" i="3"/>
  <c r="CG40" i="3"/>
  <c r="CH40" i="3"/>
  <c r="CI40" i="3"/>
  <c r="CJ40" i="3"/>
  <c r="CK40" i="3"/>
  <c r="CL40" i="3"/>
  <c r="CM40" i="3"/>
  <c r="CN40" i="3"/>
  <c r="CO40" i="3"/>
  <c r="CP40" i="3"/>
  <c r="CQ40" i="3"/>
  <c r="CR40" i="3"/>
  <c r="CS40" i="3"/>
  <c r="CT40" i="3"/>
  <c r="CU40" i="3"/>
  <c r="CV40" i="3"/>
  <c r="CW40" i="3"/>
  <c r="CX40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H41" i="3"/>
  <c r="AI41" i="3"/>
  <c r="AJ41" i="3"/>
  <c r="AK41" i="3"/>
  <c r="AL41" i="3"/>
  <c r="AM41" i="3"/>
  <c r="AN41" i="3"/>
  <c r="AO41" i="3"/>
  <c r="AP41" i="3"/>
  <c r="AQ41" i="3"/>
  <c r="AR41" i="3"/>
  <c r="AS41" i="3"/>
  <c r="AT41" i="3"/>
  <c r="AU41" i="3"/>
  <c r="AV41" i="3"/>
  <c r="AW41" i="3"/>
  <c r="AX41" i="3"/>
  <c r="AY41" i="3"/>
  <c r="AZ41" i="3"/>
  <c r="BA41" i="3"/>
  <c r="BB41" i="3"/>
  <c r="BC41" i="3"/>
  <c r="BD41" i="3"/>
  <c r="BE41" i="3"/>
  <c r="BF41" i="3"/>
  <c r="BG41" i="3"/>
  <c r="BH41" i="3"/>
  <c r="BI41" i="3"/>
  <c r="BJ41" i="3"/>
  <c r="BK41" i="3"/>
  <c r="BL41" i="3"/>
  <c r="BM41" i="3"/>
  <c r="BN41" i="3"/>
  <c r="BO41" i="3"/>
  <c r="BP41" i="3"/>
  <c r="BQ41" i="3"/>
  <c r="BR41" i="3"/>
  <c r="BS41" i="3"/>
  <c r="BT41" i="3"/>
  <c r="BU41" i="3"/>
  <c r="BV41" i="3"/>
  <c r="BW41" i="3"/>
  <c r="BX41" i="3"/>
  <c r="BY41" i="3"/>
  <c r="BZ41" i="3"/>
  <c r="CA41" i="3"/>
  <c r="CB41" i="3"/>
  <c r="CC41" i="3"/>
  <c r="CD41" i="3"/>
  <c r="CE41" i="3"/>
  <c r="CF41" i="3"/>
  <c r="CG41" i="3"/>
  <c r="CH41" i="3"/>
  <c r="CI41" i="3"/>
  <c r="CJ41" i="3"/>
  <c r="CK41" i="3"/>
  <c r="CL41" i="3"/>
  <c r="CM41" i="3"/>
  <c r="CN41" i="3"/>
  <c r="CO41" i="3"/>
  <c r="CP41" i="3"/>
  <c r="CQ41" i="3"/>
  <c r="CR41" i="3"/>
  <c r="CS41" i="3"/>
  <c r="CT41" i="3"/>
  <c r="CU41" i="3"/>
  <c r="CV41" i="3"/>
  <c r="CW41" i="3"/>
  <c r="CX41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C42" i="3"/>
  <c r="AD42" i="3"/>
  <c r="AE42" i="3"/>
  <c r="AF42" i="3"/>
  <c r="AG42" i="3"/>
  <c r="AH42" i="3"/>
  <c r="AI42" i="3"/>
  <c r="AJ42" i="3"/>
  <c r="AK42" i="3"/>
  <c r="AL42" i="3"/>
  <c r="AM42" i="3"/>
  <c r="AN42" i="3"/>
  <c r="AO42" i="3"/>
  <c r="AP42" i="3"/>
  <c r="AQ42" i="3"/>
  <c r="AR42" i="3"/>
  <c r="AS42" i="3"/>
  <c r="AT42" i="3"/>
  <c r="AU42" i="3"/>
  <c r="AV42" i="3"/>
  <c r="AW42" i="3"/>
  <c r="AX42" i="3"/>
  <c r="AY42" i="3"/>
  <c r="AZ42" i="3"/>
  <c r="BA42" i="3"/>
  <c r="BB42" i="3"/>
  <c r="BC42" i="3"/>
  <c r="BD42" i="3"/>
  <c r="BE42" i="3"/>
  <c r="BF42" i="3"/>
  <c r="BG42" i="3"/>
  <c r="BH42" i="3"/>
  <c r="BI42" i="3"/>
  <c r="BJ42" i="3"/>
  <c r="BK42" i="3"/>
  <c r="BL42" i="3"/>
  <c r="BM42" i="3"/>
  <c r="BN42" i="3"/>
  <c r="BO42" i="3"/>
  <c r="BP42" i="3"/>
  <c r="BQ42" i="3"/>
  <c r="BR42" i="3"/>
  <c r="BS42" i="3"/>
  <c r="BT42" i="3"/>
  <c r="BU42" i="3"/>
  <c r="BV42" i="3"/>
  <c r="BW42" i="3"/>
  <c r="BX42" i="3"/>
  <c r="BY42" i="3"/>
  <c r="BZ42" i="3"/>
  <c r="CA42" i="3"/>
  <c r="CB42" i="3"/>
  <c r="CC42" i="3"/>
  <c r="CD42" i="3"/>
  <c r="CE42" i="3"/>
  <c r="CF42" i="3"/>
  <c r="CG42" i="3"/>
  <c r="CH42" i="3"/>
  <c r="CI42" i="3"/>
  <c r="CJ42" i="3"/>
  <c r="CK42" i="3"/>
  <c r="CL42" i="3"/>
  <c r="CM42" i="3"/>
  <c r="CN42" i="3"/>
  <c r="CO42" i="3"/>
  <c r="CP42" i="3"/>
  <c r="CQ42" i="3"/>
  <c r="CR42" i="3"/>
  <c r="CS42" i="3"/>
  <c r="CT42" i="3"/>
  <c r="CU42" i="3"/>
  <c r="CV42" i="3"/>
  <c r="CW42" i="3"/>
  <c r="CX42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A43" i="3"/>
  <c r="AB43" i="3"/>
  <c r="AC43" i="3"/>
  <c r="AD43" i="3"/>
  <c r="AE43" i="3"/>
  <c r="AF43" i="3"/>
  <c r="AG43" i="3"/>
  <c r="AH43" i="3"/>
  <c r="AI43" i="3"/>
  <c r="AJ43" i="3"/>
  <c r="AK43" i="3"/>
  <c r="AL43" i="3"/>
  <c r="AM43" i="3"/>
  <c r="AN43" i="3"/>
  <c r="AO43" i="3"/>
  <c r="AP43" i="3"/>
  <c r="AQ43" i="3"/>
  <c r="AR43" i="3"/>
  <c r="AS43" i="3"/>
  <c r="AT43" i="3"/>
  <c r="AU43" i="3"/>
  <c r="AV43" i="3"/>
  <c r="AW43" i="3"/>
  <c r="AX43" i="3"/>
  <c r="AY43" i="3"/>
  <c r="AZ43" i="3"/>
  <c r="BA43" i="3"/>
  <c r="BB43" i="3"/>
  <c r="BC43" i="3"/>
  <c r="BD43" i="3"/>
  <c r="BE43" i="3"/>
  <c r="BF43" i="3"/>
  <c r="BG43" i="3"/>
  <c r="BH43" i="3"/>
  <c r="BI43" i="3"/>
  <c r="BJ43" i="3"/>
  <c r="BK43" i="3"/>
  <c r="BL43" i="3"/>
  <c r="BM43" i="3"/>
  <c r="BN43" i="3"/>
  <c r="BO43" i="3"/>
  <c r="BP43" i="3"/>
  <c r="BQ43" i="3"/>
  <c r="BR43" i="3"/>
  <c r="BS43" i="3"/>
  <c r="BT43" i="3"/>
  <c r="BU43" i="3"/>
  <c r="BV43" i="3"/>
  <c r="BW43" i="3"/>
  <c r="BX43" i="3"/>
  <c r="BY43" i="3"/>
  <c r="BZ43" i="3"/>
  <c r="CA43" i="3"/>
  <c r="CB43" i="3"/>
  <c r="CC43" i="3"/>
  <c r="CD43" i="3"/>
  <c r="CE43" i="3"/>
  <c r="CF43" i="3"/>
  <c r="CG43" i="3"/>
  <c r="CH43" i="3"/>
  <c r="CI43" i="3"/>
  <c r="CJ43" i="3"/>
  <c r="CK43" i="3"/>
  <c r="CL43" i="3"/>
  <c r="CM43" i="3"/>
  <c r="CN43" i="3"/>
  <c r="CO43" i="3"/>
  <c r="CP43" i="3"/>
  <c r="CQ43" i="3"/>
  <c r="CR43" i="3"/>
  <c r="CS43" i="3"/>
  <c r="CT43" i="3"/>
  <c r="CU43" i="3"/>
  <c r="CV43" i="3"/>
  <c r="CW43" i="3"/>
  <c r="CX43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AA44" i="3"/>
  <c r="AB44" i="3"/>
  <c r="AC44" i="3"/>
  <c r="AD44" i="3"/>
  <c r="AE44" i="3"/>
  <c r="AF44" i="3"/>
  <c r="AG44" i="3"/>
  <c r="AH44" i="3"/>
  <c r="AI44" i="3"/>
  <c r="AJ44" i="3"/>
  <c r="AK44" i="3"/>
  <c r="AL44" i="3"/>
  <c r="AM44" i="3"/>
  <c r="AN44" i="3"/>
  <c r="AO44" i="3"/>
  <c r="AP44" i="3"/>
  <c r="AQ44" i="3"/>
  <c r="AR44" i="3"/>
  <c r="AS44" i="3"/>
  <c r="AT44" i="3"/>
  <c r="AU44" i="3"/>
  <c r="AV44" i="3"/>
  <c r="AW44" i="3"/>
  <c r="AX44" i="3"/>
  <c r="AY44" i="3"/>
  <c r="AZ44" i="3"/>
  <c r="BA44" i="3"/>
  <c r="BB44" i="3"/>
  <c r="BC44" i="3"/>
  <c r="BD44" i="3"/>
  <c r="BE44" i="3"/>
  <c r="BF44" i="3"/>
  <c r="BG44" i="3"/>
  <c r="BH44" i="3"/>
  <c r="BI44" i="3"/>
  <c r="BJ44" i="3"/>
  <c r="BK44" i="3"/>
  <c r="BL44" i="3"/>
  <c r="BM44" i="3"/>
  <c r="BN44" i="3"/>
  <c r="BO44" i="3"/>
  <c r="BP44" i="3"/>
  <c r="BQ44" i="3"/>
  <c r="BR44" i="3"/>
  <c r="BS44" i="3"/>
  <c r="BT44" i="3"/>
  <c r="BU44" i="3"/>
  <c r="BV44" i="3"/>
  <c r="BW44" i="3"/>
  <c r="BX44" i="3"/>
  <c r="BY44" i="3"/>
  <c r="BZ44" i="3"/>
  <c r="CA44" i="3"/>
  <c r="CB44" i="3"/>
  <c r="CC44" i="3"/>
  <c r="CD44" i="3"/>
  <c r="CE44" i="3"/>
  <c r="CF44" i="3"/>
  <c r="CG44" i="3"/>
  <c r="CH44" i="3"/>
  <c r="CI44" i="3"/>
  <c r="CJ44" i="3"/>
  <c r="CK44" i="3"/>
  <c r="CL44" i="3"/>
  <c r="CM44" i="3"/>
  <c r="CN44" i="3"/>
  <c r="CO44" i="3"/>
  <c r="CP44" i="3"/>
  <c r="CQ44" i="3"/>
  <c r="CR44" i="3"/>
  <c r="CS44" i="3"/>
  <c r="CT44" i="3"/>
  <c r="CU44" i="3"/>
  <c r="CV44" i="3"/>
  <c r="CW44" i="3"/>
  <c r="CX44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V45" i="3"/>
  <c r="W45" i="3"/>
  <c r="X45" i="3"/>
  <c r="Y45" i="3"/>
  <c r="Z45" i="3"/>
  <c r="AA45" i="3"/>
  <c r="AB45" i="3"/>
  <c r="AC45" i="3"/>
  <c r="AD45" i="3"/>
  <c r="AE45" i="3"/>
  <c r="AF45" i="3"/>
  <c r="AG45" i="3"/>
  <c r="AH45" i="3"/>
  <c r="AI45" i="3"/>
  <c r="AJ45" i="3"/>
  <c r="AK45" i="3"/>
  <c r="AL45" i="3"/>
  <c r="AM45" i="3"/>
  <c r="AN45" i="3"/>
  <c r="AO45" i="3"/>
  <c r="AP45" i="3"/>
  <c r="AQ45" i="3"/>
  <c r="AR45" i="3"/>
  <c r="AS45" i="3"/>
  <c r="AT45" i="3"/>
  <c r="AU45" i="3"/>
  <c r="AV45" i="3"/>
  <c r="AW45" i="3"/>
  <c r="AX45" i="3"/>
  <c r="AY45" i="3"/>
  <c r="AZ45" i="3"/>
  <c r="BA45" i="3"/>
  <c r="BB45" i="3"/>
  <c r="BC45" i="3"/>
  <c r="BD45" i="3"/>
  <c r="BE45" i="3"/>
  <c r="BF45" i="3"/>
  <c r="BG45" i="3"/>
  <c r="BH45" i="3"/>
  <c r="BI45" i="3"/>
  <c r="BJ45" i="3"/>
  <c r="BK45" i="3"/>
  <c r="BL45" i="3"/>
  <c r="BM45" i="3"/>
  <c r="BN45" i="3"/>
  <c r="BO45" i="3"/>
  <c r="BP45" i="3"/>
  <c r="BQ45" i="3"/>
  <c r="BR45" i="3"/>
  <c r="BS45" i="3"/>
  <c r="BT45" i="3"/>
  <c r="BU45" i="3"/>
  <c r="BV45" i="3"/>
  <c r="BW45" i="3"/>
  <c r="BX45" i="3"/>
  <c r="BY45" i="3"/>
  <c r="BZ45" i="3"/>
  <c r="CA45" i="3"/>
  <c r="CB45" i="3"/>
  <c r="CC45" i="3"/>
  <c r="CD45" i="3"/>
  <c r="CE45" i="3"/>
  <c r="CF45" i="3"/>
  <c r="CG45" i="3"/>
  <c r="CH45" i="3"/>
  <c r="CI45" i="3"/>
  <c r="CJ45" i="3"/>
  <c r="CK45" i="3"/>
  <c r="CL45" i="3"/>
  <c r="CM45" i="3"/>
  <c r="CN45" i="3"/>
  <c r="CO45" i="3"/>
  <c r="CP45" i="3"/>
  <c r="CQ45" i="3"/>
  <c r="CR45" i="3"/>
  <c r="CS45" i="3"/>
  <c r="CT45" i="3"/>
  <c r="CU45" i="3"/>
  <c r="CV45" i="3"/>
  <c r="CW45" i="3"/>
  <c r="CX45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V46" i="3"/>
  <c r="W46" i="3"/>
  <c r="X46" i="3"/>
  <c r="Y46" i="3"/>
  <c r="Z46" i="3"/>
  <c r="AA46" i="3"/>
  <c r="AB46" i="3"/>
  <c r="AC46" i="3"/>
  <c r="AD46" i="3"/>
  <c r="AE46" i="3"/>
  <c r="AF46" i="3"/>
  <c r="AG46" i="3"/>
  <c r="AH46" i="3"/>
  <c r="AI46" i="3"/>
  <c r="AJ46" i="3"/>
  <c r="AK46" i="3"/>
  <c r="AL46" i="3"/>
  <c r="AM46" i="3"/>
  <c r="AN46" i="3"/>
  <c r="AO46" i="3"/>
  <c r="AP46" i="3"/>
  <c r="AQ46" i="3"/>
  <c r="AR46" i="3"/>
  <c r="AS46" i="3"/>
  <c r="AT46" i="3"/>
  <c r="AU46" i="3"/>
  <c r="AV46" i="3"/>
  <c r="AW46" i="3"/>
  <c r="AX46" i="3"/>
  <c r="AY46" i="3"/>
  <c r="AZ46" i="3"/>
  <c r="BA46" i="3"/>
  <c r="BB46" i="3"/>
  <c r="BC46" i="3"/>
  <c r="BD46" i="3"/>
  <c r="BE46" i="3"/>
  <c r="BF46" i="3"/>
  <c r="BG46" i="3"/>
  <c r="BH46" i="3"/>
  <c r="BI46" i="3"/>
  <c r="BJ46" i="3"/>
  <c r="BK46" i="3"/>
  <c r="BL46" i="3"/>
  <c r="BM46" i="3"/>
  <c r="BN46" i="3"/>
  <c r="BO46" i="3"/>
  <c r="BP46" i="3"/>
  <c r="BQ46" i="3"/>
  <c r="BR46" i="3"/>
  <c r="BS46" i="3"/>
  <c r="BT46" i="3"/>
  <c r="BU46" i="3"/>
  <c r="BV46" i="3"/>
  <c r="BW46" i="3"/>
  <c r="BX46" i="3"/>
  <c r="BY46" i="3"/>
  <c r="BZ46" i="3"/>
  <c r="CA46" i="3"/>
  <c r="CB46" i="3"/>
  <c r="CC46" i="3"/>
  <c r="CD46" i="3"/>
  <c r="CE46" i="3"/>
  <c r="CF46" i="3"/>
  <c r="CG46" i="3"/>
  <c r="CH46" i="3"/>
  <c r="CI46" i="3"/>
  <c r="CJ46" i="3"/>
  <c r="CK46" i="3"/>
  <c r="CL46" i="3"/>
  <c r="CM46" i="3"/>
  <c r="CN46" i="3"/>
  <c r="CO46" i="3"/>
  <c r="CP46" i="3"/>
  <c r="CQ46" i="3"/>
  <c r="CR46" i="3"/>
  <c r="CS46" i="3"/>
  <c r="CT46" i="3"/>
  <c r="CU46" i="3"/>
  <c r="CV46" i="3"/>
  <c r="CW46" i="3"/>
  <c r="CX46" i="3"/>
  <c r="D47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U47" i="3"/>
  <c r="V47" i="3"/>
  <c r="W47" i="3"/>
  <c r="X47" i="3"/>
  <c r="Y47" i="3"/>
  <c r="Z47" i="3"/>
  <c r="AA47" i="3"/>
  <c r="AB47" i="3"/>
  <c r="AC47" i="3"/>
  <c r="AD47" i="3"/>
  <c r="AE47" i="3"/>
  <c r="AF47" i="3"/>
  <c r="AG47" i="3"/>
  <c r="AH47" i="3"/>
  <c r="AI47" i="3"/>
  <c r="AJ47" i="3"/>
  <c r="AK47" i="3"/>
  <c r="AL47" i="3"/>
  <c r="AM47" i="3"/>
  <c r="AN47" i="3"/>
  <c r="AO47" i="3"/>
  <c r="AP47" i="3"/>
  <c r="AQ47" i="3"/>
  <c r="AR47" i="3"/>
  <c r="AS47" i="3"/>
  <c r="AT47" i="3"/>
  <c r="AU47" i="3"/>
  <c r="AV47" i="3"/>
  <c r="AW47" i="3"/>
  <c r="AX47" i="3"/>
  <c r="AY47" i="3"/>
  <c r="AZ47" i="3"/>
  <c r="BA47" i="3"/>
  <c r="BB47" i="3"/>
  <c r="BC47" i="3"/>
  <c r="BD47" i="3"/>
  <c r="BE47" i="3"/>
  <c r="BF47" i="3"/>
  <c r="BG47" i="3"/>
  <c r="BH47" i="3"/>
  <c r="BI47" i="3"/>
  <c r="BJ47" i="3"/>
  <c r="BK47" i="3"/>
  <c r="BL47" i="3"/>
  <c r="BM47" i="3"/>
  <c r="BN47" i="3"/>
  <c r="BO47" i="3"/>
  <c r="BP47" i="3"/>
  <c r="BQ47" i="3"/>
  <c r="BR47" i="3"/>
  <c r="BS47" i="3"/>
  <c r="BT47" i="3"/>
  <c r="BU47" i="3"/>
  <c r="BV47" i="3"/>
  <c r="BW47" i="3"/>
  <c r="BX47" i="3"/>
  <c r="BY47" i="3"/>
  <c r="BZ47" i="3"/>
  <c r="CA47" i="3"/>
  <c r="CB47" i="3"/>
  <c r="CC47" i="3"/>
  <c r="CD47" i="3"/>
  <c r="CE47" i="3"/>
  <c r="CF47" i="3"/>
  <c r="CG47" i="3"/>
  <c r="CH47" i="3"/>
  <c r="CI47" i="3"/>
  <c r="CJ47" i="3"/>
  <c r="CK47" i="3"/>
  <c r="CL47" i="3"/>
  <c r="CM47" i="3"/>
  <c r="CN47" i="3"/>
  <c r="CO47" i="3"/>
  <c r="CP47" i="3"/>
  <c r="CQ47" i="3"/>
  <c r="CR47" i="3"/>
  <c r="CS47" i="3"/>
  <c r="CT47" i="3"/>
  <c r="CU47" i="3"/>
  <c r="CV47" i="3"/>
  <c r="CW47" i="3"/>
  <c r="CX47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Z48" i="3"/>
  <c r="AA48" i="3"/>
  <c r="AB48" i="3"/>
  <c r="AC48" i="3"/>
  <c r="AD48" i="3"/>
  <c r="AE48" i="3"/>
  <c r="AF48" i="3"/>
  <c r="AG48" i="3"/>
  <c r="AH48" i="3"/>
  <c r="AI48" i="3"/>
  <c r="AJ48" i="3"/>
  <c r="AK48" i="3"/>
  <c r="AL48" i="3"/>
  <c r="AM48" i="3"/>
  <c r="AN48" i="3"/>
  <c r="AO48" i="3"/>
  <c r="AP48" i="3"/>
  <c r="AQ48" i="3"/>
  <c r="AR48" i="3"/>
  <c r="AS48" i="3"/>
  <c r="AT48" i="3"/>
  <c r="AU48" i="3"/>
  <c r="AV48" i="3"/>
  <c r="AW48" i="3"/>
  <c r="AX48" i="3"/>
  <c r="AY48" i="3"/>
  <c r="AZ48" i="3"/>
  <c r="BA48" i="3"/>
  <c r="BB48" i="3"/>
  <c r="BC48" i="3"/>
  <c r="BD48" i="3"/>
  <c r="BE48" i="3"/>
  <c r="BF48" i="3"/>
  <c r="BG48" i="3"/>
  <c r="BH48" i="3"/>
  <c r="BI48" i="3"/>
  <c r="BJ48" i="3"/>
  <c r="BK48" i="3"/>
  <c r="BL48" i="3"/>
  <c r="BM48" i="3"/>
  <c r="BN48" i="3"/>
  <c r="BO48" i="3"/>
  <c r="BP48" i="3"/>
  <c r="BQ48" i="3"/>
  <c r="BR48" i="3"/>
  <c r="BS48" i="3"/>
  <c r="BT48" i="3"/>
  <c r="BU48" i="3"/>
  <c r="BV48" i="3"/>
  <c r="BW48" i="3"/>
  <c r="BX48" i="3"/>
  <c r="BY48" i="3"/>
  <c r="BZ48" i="3"/>
  <c r="CA48" i="3"/>
  <c r="CB48" i="3"/>
  <c r="CC48" i="3"/>
  <c r="CD48" i="3"/>
  <c r="CE48" i="3"/>
  <c r="CF48" i="3"/>
  <c r="CG48" i="3"/>
  <c r="CH48" i="3"/>
  <c r="CI48" i="3"/>
  <c r="CJ48" i="3"/>
  <c r="CK48" i="3"/>
  <c r="CL48" i="3"/>
  <c r="CM48" i="3"/>
  <c r="CN48" i="3"/>
  <c r="CO48" i="3"/>
  <c r="CP48" i="3"/>
  <c r="CQ48" i="3"/>
  <c r="CR48" i="3"/>
  <c r="CS48" i="3"/>
  <c r="CT48" i="3"/>
  <c r="CU48" i="3"/>
  <c r="CV48" i="3"/>
  <c r="CW48" i="3"/>
  <c r="CX48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AA49" i="3"/>
  <c r="AB49" i="3"/>
  <c r="AC49" i="3"/>
  <c r="AD49" i="3"/>
  <c r="AE49" i="3"/>
  <c r="AF49" i="3"/>
  <c r="AG49" i="3"/>
  <c r="AH49" i="3"/>
  <c r="AI49" i="3"/>
  <c r="AJ49" i="3"/>
  <c r="AK49" i="3"/>
  <c r="AL49" i="3"/>
  <c r="AM49" i="3"/>
  <c r="AN49" i="3"/>
  <c r="AO49" i="3"/>
  <c r="AP49" i="3"/>
  <c r="AQ49" i="3"/>
  <c r="AR49" i="3"/>
  <c r="AS49" i="3"/>
  <c r="AT49" i="3"/>
  <c r="AU49" i="3"/>
  <c r="AV49" i="3"/>
  <c r="AW49" i="3"/>
  <c r="AX49" i="3"/>
  <c r="AY49" i="3"/>
  <c r="AZ49" i="3"/>
  <c r="BA49" i="3"/>
  <c r="BB49" i="3"/>
  <c r="BC49" i="3"/>
  <c r="BD49" i="3"/>
  <c r="BE49" i="3"/>
  <c r="BF49" i="3"/>
  <c r="BG49" i="3"/>
  <c r="BH49" i="3"/>
  <c r="BI49" i="3"/>
  <c r="BJ49" i="3"/>
  <c r="BK49" i="3"/>
  <c r="BL49" i="3"/>
  <c r="BM49" i="3"/>
  <c r="BN49" i="3"/>
  <c r="BO49" i="3"/>
  <c r="BP49" i="3"/>
  <c r="BQ49" i="3"/>
  <c r="BR49" i="3"/>
  <c r="BS49" i="3"/>
  <c r="BT49" i="3"/>
  <c r="BU49" i="3"/>
  <c r="BV49" i="3"/>
  <c r="BW49" i="3"/>
  <c r="BX49" i="3"/>
  <c r="BY49" i="3"/>
  <c r="BZ49" i="3"/>
  <c r="CA49" i="3"/>
  <c r="CB49" i="3"/>
  <c r="CC49" i="3"/>
  <c r="CD49" i="3"/>
  <c r="CE49" i="3"/>
  <c r="CF49" i="3"/>
  <c r="CG49" i="3"/>
  <c r="CH49" i="3"/>
  <c r="CI49" i="3"/>
  <c r="CJ49" i="3"/>
  <c r="CK49" i="3"/>
  <c r="CL49" i="3"/>
  <c r="CM49" i="3"/>
  <c r="CN49" i="3"/>
  <c r="CO49" i="3"/>
  <c r="CP49" i="3"/>
  <c r="CQ49" i="3"/>
  <c r="CR49" i="3"/>
  <c r="CS49" i="3"/>
  <c r="CT49" i="3"/>
  <c r="CU49" i="3"/>
  <c r="CV49" i="3"/>
  <c r="CW49" i="3"/>
  <c r="CX49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AD50" i="3"/>
  <c r="AE50" i="3"/>
  <c r="AF50" i="3"/>
  <c r="AG50" i="3"/>
  <c r="AH50" i="3"/>
  <c r="AI50" i="3"/>
  <c r="AJ50" i="3"/>
  <c r="AK50" i="3"/>
  <c r="AL50" i="3"/>
  <c r="AM50" i="3"/>
  <c r="AN50" i="3"/>
  <c r="AO50" i="3"/>
  <c r="AP50" i="3"/>
  <c r="AQ50" i="3"/>
  <c r="AR50" i="3"/>
  <c r="AS50" i="3"/>
  <c r="AT50" i="3"/>
  <c r="AU50" i="3"/>
  <c r="AV50" i="3"/>
  <c r="AW50" i="3"/>
  <c r="AX50" i="3"/>
  <c r="AY50" i="3"/>
  <c r="AZ50" i="3"/>
  <c r="BA50" i="3"/>
  <c r="BB50" i="3"/>
  <c r="BC50" i="3"/>
  <c r="BD50" i="3"/>
  <c r="BE50" i="3"/>
  <c r="BF50" i="3"/>
  <c r="BG50" i="3"/>
  <c r="BH50" i="3"/>
  <c r="BI50" i="3"/>
  <c r="BJ50" i="3"/>
  <c r="BK50" i="3"/>
  <c r="BL50" i="3"/>
  <c r="BM50" i="3"/>
  <c r="BN50" i="3"/>
  <c r="BO50" i="3"/>
  <c r="BP50" i="3"/>
  <c r="BQ50" i="3"/>
  <c r="BR50" i="3"/>
  <c r="BS50" i="3"/>
  <c r="BT50" i="3"/>
  <c r="BU50" i="3"/>
  <c r="BV50" i="3"/>
  <c r="BW50" i="3"/>
  <c r="BX50" i="3"/>
  <c r="BY50" i="3"/>
  <c r="BZ50" i="3"/>
  <c r="CA50" i="3"/>
  <c r="CB50" i="3"/>
  <c r="CC50" i="3"/>
  <c r="CD50" i="3"/>
  <c r="CE50" i="3"/>
  <c r="CF50" i="3"/>
  <c r="CG50" i="3"/>
  <c r="CH50" i="3"/>
  <c r="CI50" i="3"/>
  <c r="CJ50" i="3"/>
  <c r="CK50" i="3"/>
  <c r="CL50" i="3"/>
  <c r="CM50" i="3"/>
  <c r="CN50" i="3"/>
  <c r="CO50" i="3"/>
  <c r="CP50" i="3"/>
  <c r="CQ50" i="3"/>
  <c r="CR50" i="3"/>
  <c r="CS50" i="3"/>
  <c r="CT50" i="3"/>
  <c r="CU50" i="3"/>
  <c r="CV50" i="3"/>
  <c r="CW50" i="3"/>
  <c r="CX50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Z51" i="3"/>
  <c r="AA51" i="3"/>
  <c r="AB51" i="3"/>
  <c r="AC51" i="3"/>
  <c r="AD51" i="3"/>
  <c r="AE51" i="3"/>
  <c r="AF51" i="3"/>
  <c r="AG51" i="3"/>
  <c r="AH51" i="3"/>
  <c r="AI51" i="3"/>
  <c r="AJ51" i="3"/>
  <c r="AK51" i="3"/>
  <c r="AL51" i="3"/>
  <c r="AM51" i="3"/>
  <c r="AN51" i="3"/>
  <c r="AO51" i="3"/>
  <c r="AP51" i="3"/>
  <c r="AQ51" i="3"/>
  <c r="AR51" i="3"/>
  <c r="AS51" i="3"/>
  <c r="AT51" i="3"/>
  <c r="AU51" i="3"/>
  <c r="AV51" i="3"/>
  <c r="AW51" i="3"/>
  <c r="AX51" i="3"/>
  <c r="AY51" i="3"/>
  <c r="AZ51" i="3"/>
  <c r="BA51" i="3"/>
  <c r="BB51" i="3"/>
  <c r="BC51" i="3"/>
  <c r="BD51" i="3"/>
  <c r="BE51" i="3"/>
  <c r="BF51" i="3"/>
  <c r="BG51" i="3"/>
  <c r="BH51" i="3"/>
  <c r="BI51" i="3"/>
  <c r="BJ51" i="3"/>
  <c r="BK51" i="3"/>
  <c r="BL51" i="3"/>
  <c r="BM51" i="3"/>
  <c r="BN51" i="3"/>
  <c r="BO51" i="3"/>
  <c r="BP51" i="3"/>
  <c r="BQ51" i="3"/>
  <c r="BR51" i="3"/>
  <c r="BS51" i="3"/>
  <c r="BT51" i="3"/>
  <c r="BU51" i="3"/>
  <c r="BV51" i="3"/>
  <c r="BW51" i="3"/>
  <c r="BX51" i="3"/>
  <c r="BY51" i="3"/>
  <c r="BZ51" i="3"/>
  <c r="CA51" i="3"/>
  <c r="CB51" i="3"/>
  <c r="CC51" i="3"/>
  <c r="CD51" i="3"/>
  <c r="CE51" i="3"/>
  <c r="CF51" i="3"/>
  <c r="CG51" i="3"/>
  <c r="CH51" i="3"/>
  <c r="CI51" i="3"/>
  <c r="CJ51" i="3"/>
  <c r="CK51" i="3"/>
  <c r="CL51" i="3"/>
  <c r="CM51" i="3"/>
  <c r="CN51" i="3"/>
  <c r="CO51" i="3"/>
  <c r="CP51" i="3"/>
  <c r="CQ51" i="3"/>
  <c r="CR51" i="3"/>
  <c r="CS51" i="3"/>
  <c r="CT51" i="3"/>
  <c r="CU51" i="3"/>
  <c r="CV51" i="3"/>
  <c r="CW51" i="3"/>
  <c r="CX51" i="3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AA52" i="3"/>
  <c r="AB52" i="3"/>
  <c r="AC52" i="3"/>
  <c r="AD52" i="3"/>
  <c r="AE52" i="3"/>
  <c r="AF52" i="3"/>
  <c r="AG52" i="3"/>
  <c r="AH52" i="3"/>
  <c r="AI52" i="3"/>
  <c r="AJ52" i="3"/>
  <c r="AK52" i="3"/>
  <c r="AL52" i="3"/>
  <c r="AM52" i="3"/>
  <c r="AN52" i="3"/>
  <c r="AO52" i="3"/>
  <c r="AP52" i="3"/>
  <c r="AQ52" i="3"/>
  <c r="AR52" i="3"/>
  <c r="AS52" i="3"/>
  <c r="AT52" i="3"/>
  <c r="AU52" i="3"/>
  <c r="AV52" i="3"/>
  <c r="AW52" i="3"/>
  <c r="AX52" i="3"/>
  <c r="AY52" i="3"/>
  <c r="AZ52" i="3"/>
  <c r="BA52" i="3"/>
  <c r="BB52" i="3"/>
  <c r="BC52" i="3"/>
  <c r="BD52" i="3"/>
  <c r="BE52" i="3"/>
  <c r="BF52" i="3"/>
  <c r="BG52" i="3"/>
  <c r="BH52" i="3"/>
  <c r="BI52" i="3"/>
  <c r="BJ52" i="3"/>
  <c r="BK52" i="3"/>
  <c r="BL52" i="3"/>
  <c r="BM52" i="3"/>
  <c r="BN52" i="3"/>
  <c r="BO52" i="3"/>
  <c r="BP52" i="3"/>
  <c r="BQ52" i="3"/>
  <c r="BR52" i="3"/>
  <c r="BS52" i="3"/>
  <c r="BT52" i="3"/>
  <c r="BU52" i="3"/>
  <c r="BV52" i="3"/>
  <c r="BW52" i="3"/>
  <c r="BX52" i="3"/>
  <c r="BY52" i="3"/>
  <c r="BZ52" i="3"/>
  <c r="CA52" i="3"/>
  <c r="CB52" i="3"/>
  <c r="CC52" i="3"/>
  <c r="CD52" i="3"/>
  <c r="CE52" i="3"/>
  <c r="CF52" i="3"/>
  <c r="CG52" i="3"/>
  <c r="CH52" i="3"/>
  <c r="CI52" i="3"/>
  <c r="CJ52" i="3"/>
  <c r="CK52" i="3"/>
  <c r="CL52" i="3"/>
  <c r="CM52" i="3"/>
  <c r="CN52" i="3"/>
  <c r="CO52" i="3"/>
  <c r="CP52" i="3"/>
  <c r="CQ52" i="3"/>
  <c r="CR52" i="3"/>
  <c r="CS52" i="3"/>
  <c r="CT52" i="3"/>
  <c r="CU52" i="3"/>
  <c r="CV52" i="3"/>
  <c r="CW52" i="3"/>
  <c r="CX52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AL53" i="3"/>
  <c r="AM53" i="3"/>
  <c r="AN53" i="3"/>
  <c r="AO53" i="3"/>
  <c r="AP53" i="3"/>
  <c r="AQ53" i="3"/>
  <c r="AR53" i="3"/>
  <c r="AS53" i="3"/>
  <c r="AT53" i="3"/>
  <c r="AU53" i="3"/>
  <c r="AV53" i="3"/>
  <c r="AW53" i="3"/>
  <c r="AX53" i="3"/>
  <c r="AY53" i="3"/>
  <c r="AZ53" i="3"/>
  <c r="BA53" i="3"/>
  <c r="BB53" i="3"/>
  <c r="BC53" i="3"/>
  <c r="BD53" i="3"/>
  <c r="BE53" i="3"/>
  <c r="BF53" i="3"/>
  <c r="BG53" i="3"/>
  <c r="BH53" i="3"/>
  <c r="BI53" i="3"/>
  <c r="BJ53" i="3"/>
  <c r="BK53" i="3"/>
  <c r="BL53" i="3"/>
  <c r="BM53" i="3"/>
  <c r="BN53" i="3"/>
  <c r="BO53" i="3"/>
  <c r="BP53" i="3"/>
  <c r="BQ53" i="3"/>
  <c r="BR53" i="3"/>
  <c r="BS53" i="3"/>
  <c r="BT53" i="3"/>
  <c r="BU53" i="3"/>
  <c r="BV53" i="3"/>
  <c r="BW53" i="3"/>
  <c r="BX53" i="3"/>
  <c r="BY53" i="3"/>
  <c r="BZ53" i="3"/>
  <c r="CA53" i="3"/>
  <c r="CB53" i="3"/>
  <c r="CC53" i="3"/>
  <c r="CD53" i="3"/>
  <c r="CE53" i="3"/>
  <c r="CF53" i="3"/>
  <c r="CG53" i="3"/>
  <c r="CH53" i="3"/>
  <c r="CI53" i="3"/>
  <c r="CJ53" i="3"/>
  <c r="CK53" i="3"/>
  <c r="CL53" i="3"/>
  <c r="CM53" i="3"/>
  <c r="CN53" i="3"/>
  <c r="CO53" i="3"/>
  <c r="CP53" i="3"/>
  <c r="CQ53" i="3"/>
  <c r="CR53" i="3"/>
  <c r="CS53" i="3"/>
  <c r="CT53" i="3"/>
  <c r="CU53" i="3"/>
  <c r="CV53" i="3"/>
  <c r="CW53" i="3"/>
  <c r="CX53" i="3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AM54" i="3"/>
  <c r="AN54" i="3"/>
  <c r="AO54" i="3"/>
  <c r="AP54" i="3"/>
  <c r="AQ54" i="3"/>
  <c r="AR54" i="3"/>
  <c r="AS54" i="3"/>
  <c r="AT54" i="3"/>
  <c r="AU54" i="3"/>
  <c r="AV54" i="3"/>
  <c r="AW54" i="3"/>
  <c r="AX54" i="3"/>
  <c r="AY54" i="3"/>
  <c r="AZ54" i="3"/>
  <c r="BA54" i="3"/>
  <c r="BB54" i="3"/>
  <c r="BC54" i="3"/>
  <c r="BD54" i="3"/>
  <c r="BE54" i="3"/>
  <c r="BF54" i="3"/>
  <c r="BG54" i="3"/>
  <c r="BH54" i="3"/>
  <c r="BI54" i="3"/>
  <c r="BJ54" i="3"/>
  <c r="BK54" i="3"/>
  <c r="BL54" i="3"/>
  <c r="BM54" i="3"/>
  <c r="BN54" i="3"/>
  <c r="BO54" i="3"/>
  <c r="BP54" i="3"/>
  <c r="BQ54" i="3"/>
  <c r="BR54" i="3"/>
  <c r="BS54" i="3"/>
  <c r="BT54" i="3"/>
  <c r="BU54" i="3"/>
  <c r="BV54" i="3"/>
  <c r="BW54" i="3"/>
  <c r="BX54" i="3"/>
  <c r="BY54" i="3"/>
  <c r="BZ54" i="3"/>
  <c r="CA54" i="3"/>
  <c r="CB54" i="3"/>
  <c r="CC54" i="3"/>
  <c r="CD54" i="3"/>
  <c r="CE54" i="3"/>
  <c r="CF54" i="3"/>
  <c r="CG54" i="3"/>
  <c r="CH54" i="3"/>
  <c r="CI54" i="3"/>
  <c r="CJ54" i="3"/>
  <c r="CK54" i="3"/>
  <c r="CL54" i="3"/>
  <c r="CM54" i="3"/>
  <c r="CN54" i="3"/>
  <c r="CO54" i="3"/>
  <c r="CP54" i="3"/>
  <c r="CQ54" i="3"/>
  <c r="CR54" i="3"/>
  <c r="CS54" i="3"/>
  <c r="CT54" i="3"/>
  <c r="CU54" i="3"/>
  <c r="CV54" i="3"/>
  <c r="CW54" i="3"/>
  <c r="CX54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AL55" i="3"/>
  <c r="AM55" i="3"/>
  <c r="AN55" i="3"/>
  <c r="AO55" i="3"/>
  <c r="AP55" i="3"/>
  <c r="AQ55" i="3"/>
  <c r="AR55" i="3"/>
  <c r="AS55" i="3"/>
  <c r="AT55" i="3"/>
  <c r="AU55" i="3"/>
  <c r="AV55" i="3"/>
  <c r="AW55" i="3"/>
  <c r="AX55" i="3"/>
  <c r="AY55" i="3"/>
  <c r="AZ55" i="3"/>
  <c r="BA55" i="3"/>
  <c r="BB55" i="3"/>
  <c r="BC55" i="3"/>
  <c r="BD55" i="3"/>
  <c r="BE55" i="3"/>
  <c r="BF55" i="3"/>
  <c r="BG55" i="3"/>
  <c r="BH55" i="3"/>
  <c r="BI55" i="3"/>
  <c r="BJ55" i="3"/>
  <c r="BK55" i="3"/>
  <c r="BL55" i="3"/>
  <c r="BM55" i="3"/>
  <c r="BN55" i="3"/>
  <c r="BO55" i="3"/>
  <c r="BP55" i="3"/>
  <c r="BQ55" i="3"/>
  <c r="BR55" i="3"/>
  <c r="BS55" i="3"/>
  <c r="BT55" i="3"/>
  <c r="BU55" i="3"/>
  <c r="BV55" i="3"/>
  <c r="BW55" i="3"/>
  <c r="BX55" i="3"/>
  <c r="BY55" i="3"/>
  <c r="BZ55" i="3"/>
  <c r="CA55" i="3"/>
  <c r="CB55" i="3"/>
  <c r="CC55" i="3"/>
  <c r="CD55" i="3"/>
  <c r="CE55" i="3"/>
  <c r="CF55" i="3"/>
  <c r="CG55" i="3"/>
  <c r="CH55" i="3"/>
  <c r="CI55" i="3"/>
  <c r="CJ55" i="3"/>
  <c r="CK55" i="3"/>
  <c r="CL55" i="3"/>
  <c r="CM55" i="3"/>
  <c r="CN55" i="3"/>
  <c r="CO55" i="3"/>
  <c r="CP55" i="3"/>
  <c r="CQ55" i="3"/>
  <c r="CR55" i="3"/>
  <c r="CS55" i="3"/>
  <c r="CT55" i="3"/>
  <c r="CU55" i="3"/>
  <c r="CV55" i="3"/>
  <c r="CW55" i="3"/>
  <c r="CX55" i="3"/>
  <c r="D56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AM56" i="3"/>
  <c r="AN56" i="3"/>
  <c r="AO56" i="3"/>
  <c r="AP56" i="3"/>
  <c r="AQ56" i="3"/>
  <c r="AR56" i="3"/>
  <c r="AS56" i="3"/>
  <c r="AT56" i="3"/>
  <c r="AU56" i="3"/>
  <c r="AV56" i="3"/>
  <c r="AW56" i="3"/>
  <c r="AX56" i="3"/>
  <c r="AY56" i="3"/>
  <c r="AZ56" i="3"/>
  <c r="BA56" i="3"/>
  <c r="BB56" i="3"/>
  <c r="BC56" i="3"/>
  <c r="BD56" i="3"/>
  <c r="BE56" i="3"/>
  <c r="BF56" i="3"/>
  <c r="BG56" i="3"/>
  <c r="BH56" i="3"/>
  <c r="BI56" i="3"/>
  <c r="BJ56" i="3"/>
  <c r="BK56" i="3"/>
  <c r="BL56" i="3"/>
  <c r="BM56" i="3"/>
  <c r="BN56" i="3"/>
  <c r="BO56" i="3"/>
  <c r="BP56" i="3"/>
  <c r="BQ56" i="3"/>
  <c r="BR56" i="3"/>
  <c r="BS56" i="3"/>
  <c r="BT56" i="3"/>
  <c r="BU56" i="3"/>
  <c r="BV56" i="3"/>
  <c r="BW56" i="3"/>
  <c r="BX56" i="3"/>
  <c r="BY56" i="3"/>
  <c r="BZ56" i="3"/>
  <c r="CA56" i="3"/>
  <c r="CB56" i="3"/>
  <c r="CC56" i="3"/>
  <c r="CD56" i="3"/>
  <c r="CE56" i="3"/>
  <c r="CF56" i="3"/>
  <c r="CG56" i="3"/>
  <c r="CH56" i="3"/>
  <c r="CI56" i="3"/>
  <c r="CJ56" i="3"/>
  <c r="CK56" i="3"/>
  <c r="CL56" i="3"/>
  <c r="CM56" i="3"/>
  <c r="CN56" i="3"/>
  <c r="CO56" i="3"/>
  <c r="CP56" i="3"/>
  <c r="CQ56" i="3"/>
  <c r="CR56" i="3"/>
  <c r="CS56" i="3"/>
  <c r="CT56" i="3"/>
  <c r="CU56" i="3"/>
  <c r="CV56" i="3"/>
  <c r="CW56" i="3"/>
  <c r="CX56" i="3"/>
  <c r="D57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AG57" i="3"/>
  <c r="AH57" i="3"/>
  <c r="AI57" i="3"/>
  <c r="AJ57" i="3"/>
  <c r="AK57" i="3"/>
  <c r="AL57" i="3"/>
  <c r="AM57" i="3"/>
  <c r="AN57" i="3"/>
  <c r="AO57" i="3"/>
  <c r="AP57" i="3"/>
  <c r="AQ57" i="3"/>
  <c r="AR57" i="3"/>
  <c r="AS57" i="3"/>
  <c r="AT57" i="3"/>
  <c r="AU57" i="3"/>
  <c r="AV57" i="3"/>
  <c r="AW57" i="3"/>
  <c r="AX57" i="3"/>
  <c r="AY57" i="3"/>
  <c r="AZ57" i="3"/>
  <c r="BA57" i="3"/>
  <c r="BB57" i="3"/>
  <c r="BC57" i="3"/>
  <c r="BD57" i="3"/>
  <c r="BE57" i="3"/>
  <c r="BF57" i="3"/>
  <c r="BG57" i="3"/>
  <c r="BH57" i="3"/>
  <c r="BI57" i="3"/>
  <c r="BJ57" i="3"/>
  <c r="BK57" i="3"/>
  <c r="BL57" i="3"/>
  <c r="BM57" i="3"/>
  <c r="BN57" i="3"/>
  <c r="BO57" i="3"/>
  <c r="BP57" i="3"/>
  <c r="BQ57" i="3"/>
  <c r="BR57" i="3"/>
  <c r="BS57" i="3"/>
  <c r="BT57" i="3"/>
  <c r="BU57" i="3"/>
  <c r="BV57" i="3"/>
  <c r="BW57" i="3"/>
  <c r="BX57" i="3"/>
  <c r="BY57" i="3"/>
  <c r="BZ57" i="3"/>
  <c r="CA57" i="3"/>
  <c r="CB57" i="3"/>
  <c r="CC57" i="3"/>
  <c r="CD57" i="3"/>
  <c r="CE57" i="3"/>
  <c r="CF57" i="3"/>
  <c r="CG57" i="3"/>
  <c r="CH57" i="3"/>
  <c r="CI57" i="3"/>
  <c r="CJ57" i="3"/>
  <c r="CK57" i="3"/>
  <c r="CL57" i="3"/>
  <c r="CM57" i="3"/>
  <c r="CN57" i="3"/>
  <c r="CO57" i="3"/>
  <c r="CP57" i="3"/>
  <c r="CQ57" i="3"/>
  <c r="CR57" i="3"/>
  <c r="CS57" i="3"/>
  <c r="CT57" i="3"/>
  <c r="CU57" i="3"/>
  <c r="CV57" i="3"/>
  <c r="CW57" i="3"/>
  <c r="CX57" i="3"/>
  <c r="D58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AJ58" i="3"/>
  <c r="AK58" i="3"/>
  <c r="AL58" i="3"/>
  <c r="AM58" i="3"/>
  <c r="AN58" i="3"/>
  <c r="AO58" i="3"/>
  <c r="AP58" i="3"/>
  <c r="AQ58" i="3"/>
  <c r="AR58" i="3"/>
  <c r="AS58" i="3"/>
  <c r="AT58" i="3"/>
  <c r="AU58" i="3"/>
  <c r="AV58" i="3"/>
  <c r="AW58" i="3"/>
  <c r="AX58" i="3"/>
  <c r="AY58" i="3"/>
  <c r="AZ58" i="3"/>
  <c r="BA58" i="3"/>
  <c r="BB58" i="3"/>
  <c r="BC58" i="3"/>
  <c r="BD58" i="3"/>
  <c r="BE58" i="3"/>
  <c r="BF58" i="3"/>
  <c r="BG58" i="3"/>
  <c r="BH58" i="3"/>
  <c r="BI58" i="3"/>
  <c r="BJ58" i="3"/>
  <c r="BK58" i="3"/>
  <c r="BL58" i="3"/>
  <c r="BM58" i="3"/>
  <c r="BN58" i="3"/>
  <c r="BO58" i="3"/>
  <c r="BP58" i="3"/>
  <c r="BQ58" i="3"/>
  <c r="BR58" i="3"/>
  <c r="BS58" i="3"/>
  <c r="BT58" i="3"/>
  <c r="BU58" i="3"/>
  <c r="BV58" i="3"/>
  <c r="BW58" i="3"/>
  <c r="BX58" i="3"/>
  <c r="BY58" i="3"/>
  <c r="BZ58" i="3"/>
  <c r="CA58" i="3"/>
  <c r="CB58" i="3"/>
  <c r="CC58" i="3"/>
  <c r="CD58" i="3"/>
  <c r="CE58" i="3"/>
  <c r="CF58" i="3"/>
  <c r="CG58" i="3"/>
  <c r="CH58" i="3"/>
  <c r="CI58" i="3"/>
  <c r="CJ58" i="3"/>
  <c r="CK58" i="3"/>
  <c r="CL58" i="3"/>
  <c r="CM58" i="3"/>
  <c r="CN58" i="3"/>
  <c r="CO58" i="3"/>
  <c r="CP58" i="3"/>
  <c r="CQ58" i="3"/>
  <c r="CR58" i="3"/>
  <c r="CS58" i="3"/>
  <c r="CT58" i="3"/>
  <c r="CU58" i="3"/>
  <c r="CV58" i="3"/>
  <c r="CW58" i="3"/>
  <c r="CX58" i="3"/>
  <c r="D59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AJ59" i="3"/>
  <c r="AK59" i="3"/>
  <c r="AL59" i="3"/>
  <c r="AM59" i="3"/>
  <c r="AN59" i="3"/>
  <c r="AO59" i="3"/>
  <c r="AP59" i="3"/>
  <c r="AQ59" i="3"/>
  <c r="AR59" i="3"/>
  <c r="AS59" i="3"/>
  <c r="AT59" i="3"/>
  <c r="AU59" i="3"/>
  <c r="AV59" i="3"/>
  <c r="AW59" i="3"/>
  <c r="AX59" i="3"/>
  <c r="AY59" i="3"/>
  <c r="AZ59" i="3"/>
  <c r="BA59" i="3"/>
  <c r="BB59" i="3"/>
  <c r="BC59" i="3"/>
  <c r="BD59" i="3"/>
  <c r="BE59" i="3"/>
  <c r="BF59" i="3"/>
  <c r="BG59" i="3"/>
  <c r="BH59" i="3"/>
  <c r="BI59" i="3"/>
  <c r="BJ59" i="3"/>
  <c r="BK59" i="3"/>
  <c r="BL59" i="3"/>
  <c r="BM59" i="3"/>
  <c r="BN59" i="3"/>
  <c r="BO59" i="3"/>
  <c r="BP59" i="3"/>
  <c r="BQ59" i="3"/>
  <c r="BR59" i="3"/>
  <c r="BS59" i="3"/>
  <c r="BT59" i="3"/>
  <c r="BU59" i="3"/>
  <c r="BV59" i="3"/>
  <c r="BW59" i="3"/>
  <c r="BX59" i="3"/>
  <c r="BY59" i="3"/>
  <c r="BZ59" i="3"/>
  <c r="CA59" i="3"/>
  <c r="CB59" i="3"/>
  <c r="CC59" i="3"/>
  <c r="CD59" i="3"/>
  <c r="CE59" i="3"/>
  <c r="CF59" i="3"/>
  <c r="CG59" i="3"/>
  <c r="CH59" i="3"/>
  <c r="CI59" i="3"/>
  <c r="CJ59" i="3"/>
  <c r="CK59" i="3"/>
  <c r="CL59" i="3"/>
  <c r="CM59" i="3"/>
  <c r="CN59" i="3"/>
  <c r="CO59" i="3"/>
  <c r="CP59" i="3"/>
  <c r="CQ59" i="3"/>
  <c r="CR59" i="3"/>
  <c r="CS59" i="3"/>
  <c r="CT59" i="3"/>
  <c r="CU59" i="3"/>
  <c r="CV59" i="3"/>
  <c r="CW59" i="3"/>
  <c r="CX59" i="3"/>
  <c r="D60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AL60" i="3"/>
  <c r="AM60" i="3"/>
  <c r="AN60" i="3"/>
  <c r="AO60" i="3"/>
  <c r="AP60" i="3"/>
  <c r="AQ60" i="3"/>
  <c r="AR60" i="3"/>
  <c r="AS60" i="3"/>
  <c r="AT60" i="3"/>
  <c r="AU60" i="3"/>
  <c r="AV60" i="3"/>
  <c r="AW60" i="3"/>
  <c r="AX60" i="3"/>
  <c r="AY60" i="3"/>
  <c r="AZ60" i="3"/>
  <c r="BA60" i="3"/>
  <c r="BB60" i="3"/>
  <c r="BC60" i="3"/>
  <c r="BD60" i="3"/>
  <c r="BE60" i="3"/>
  <c r="BF60" i="3"/>
  <c r="BG60" i="3"/>
  <c r="BH60" i="3"/>
  <c r="BI60" i="3"/>
  <c r="BJ60" i="3"/>
  <c r="BK60" i="3"/>
  <c r="BL60" i="3"/>
  <c r="BM60" i="3"/>
  <c r="BN60" i="3"/>
  <c r="BO60" i="3"/>
  <c r="BP60" i="3"/>
  <c r="BQ60" i="3"/>
  <c r="BR60" i="3"/>
  <c r="BS60" i="3"/>
  <c r="BT60" i="3"/>
  <c r="BU60" i="3"/>
  <c r="BV60" i="3"/>
  <c r="BW60" i="3"/>
  <c r="BX60" i="3"/>
  <c r="BY60" i="3"/>
  <c r="BZ60" i="3"/>
  <c r="CA60" i="3"/>
  <c r="CB60" i="3"/>
  <c r="CC60" i="3"/>
  <c r="CD60" i="3"/>
  <c r="CE60" i="3"/>
  <c r="CF60" i="3"/>
  <c r="CG60" i="3"/>
  <c r="CH60" i="3"/>
  <c r="CI60" i="3"/>
  <c r="CJ60" i="3"/>
  <c r="CK60" i="3"/>
  <c r="CL60" i="3"/>
  <c r="CM60" i="3"/>
  <c r="CN60" i="3"/>
  <c r="CO60" i="3"/>
  <c r="CP60" i="3"/>
  <c r="CQ60" i="3"/>
  <c r="CR60" i="3"/>
  <c r="CS60" i="3"/>
  <c r="CT60" i="3"/>
  <c r="CU60" i="3"/>
  <c r="CV60" i="3"/>
  <c r="CW60" i="3"/>
  <c r="CX60" i="3"/>
  <c r="D61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AF61" i="3"/>
  <c r="AG61" i="3"/>
  <c r="AH61" i="3"/>
  <c r="AI61" i="3"/>
  <c r="AJ61" i="3"/>
  <c r="AK61" i="3"/>
  <c r="AL61" i="3"/>
  <c r="AM61" i="3"/>
  <c r="AN61" i="3"/>
  <c r="AO61" i="3"/>
  <c r="AP61" i="3"/>
  <c r="AQ61" i="3"/>
  <c r="AR61" i="3"/>
  <c r="AS61" i="3"/>
  <c r="AT61" i="3"/>
  <c r="AU61" i="3"/>
  <c r="AV61" i="3"/>
  <c r="AW61" i="3"/>
  <c r="AX61" i="3"/>
  <c r="AY61" i="3"/>
  <c r="AZ61" i="3"/>
  <c r="BA61" i="3"/>
  <c r="BB61" i="3"/>
  <c r="BC61" i="3"/>
  <c r="BD61" i="3"/>
  <c r="BE61" i="3"/>
  <c r="BF61" i="3"/>
  <c r="BG61" i="3"/>
  <c r="BH61" i="3"/>
  <c r="BI61" i="3"/>
  <c r="BJ61" i="3"/>
  <c r="BK61" i="3"/>
  <c r="BL61" i="3"/>
  <c r="BM61" i="3"/>
  <c r="BN61" i="3"/>
  <c r="BO61" i="3"/>
  <c r="BP61" i="3"/>
  <c r="BQ61" i="3"/>
  <c r="BR61" i="3"/>
  <c r="BS61" i="3"/>
  <c r="BT61" i="3"/>
  <c r="BU61" i="3"/>
  <c r="BV61" i="3"/>
  <c r="BW61" i="3"/>
  <c r="BX61" i="3"/>
  <c r="BY61" i="3"/>
  <c r="BZ61" i="3"/>
  <c r="CA61" i="3"/>
  <c r="CB61" i="3"/>
  <c r="CC61" i="3"/>
  <c r="CD61" i="3"/>
  <c r="CE61" i="3"/>
  <c r="CF61" i="3"/>
  <c r="CG61" i="3"/>
  <c r="CH61" i="3"/>
  <c r="CI61" i="3"/>
  <c r="CJ61" i="3"/>
  <c r="CK61" i="3"/>
  <c r="CL61" i="3"/>
  <c r="CM61" i="3"/>
  <c r="CN61" i="3"/>
  <c r="CO61" i="3"/>
  <c r="CP61" i="3"/>
  <c r="CQ61" i="3"/>
  <c r="CR61" i="3"/>
  <c r="CS61" i="3"/>
  <c r="CT61" i="3"/>
  <c r="CU61" i="3"/>
  <c r="CV61" i="3"/>
  <c r="CW61" i="3"/>
  <c r="CX61" i="3"/>
  <c r="D62" i="3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T62" i="3"/>
  <c r="U62" i="3"/>
  <c r="V62" i="3"/>
  <c r="W62" i="3"/>
  <c r="X62" i="3"/>
  <c r="Y62" i="3"/>
  <c r="Z62" i="3"/>
  <c r="AA62" i="3"/>
  <c r="AB62" i="3"/>
  <c r="AC62" i="3"/>
  <c r="AD62" i="3"/>
  <c r="AE62" i="3"/>
  <c r="AF62" i="3"/>
  <c r="AG62" i="3"/>
  <c r="AH62" i="3"/>
  <c r="AI62" i="3"/>
  <c r="AJ62" i="3"/>
  <c r="AK62" i="3"/>
  <c r="AL62" i="3"/>
  <c r="AM62" i="3"/>
  <c r="AN62" i="3"/>
  <c r="AO62" i="3"/>
  <c r="AP62" i="3"/>
  <c r="AQ62" i="3"/>
  <c r="AR62" i="3"/>
  <c r="AS62" i="3"/>
  <c r="AT62" i="3"/>
  <c r="AU62" i="3"/>
  <c r="AV62" i="3"/>
  <c r="AW62" i="3"/>
  <c r="AX62" i="3"/>
  <c r="AY62" i="3"/>
  <c r="AZ62" i="3"/>
  <c r="BA62" i="3"/>
  <c r="BB62" i="3"/>
  <c r="BC62" i="3"/>
  <c r="BD62" i="3"/>
  <c r="BE62" i="3"/>
  <c r="BF62" i="3"/>
  <c r="BG62" i="3"/>
  <c r="BH62" i="3"/>
  <c r="BI62" i="3"/>
  <c r="BJ62" i="3"/>
  <c r="BK62" i="3"/>
  <c r="BL62" i="3"/>
  <c r="BM62" i="3"/>
  <c r="BN62" i="3"/>
  <c r="BO62" i="3"/>
  <c r="BP62" i="3"/>
  <c r="BQ62" i="3"/>
  <c r="BR62" i="3"/>
  <c r="BS62" i="3"/>
  <c r="BT62" i="3"/>
  <c r="BU62" i="3"/>
  <c r="BV62" i="3"/>
  <c r="BW62" i="3"/>
  <c r="BX62" i="3"/>
  <c r="BY62" i="3"/>
  <c r="BZ62" i="3"/>
  <c r="CA62" i="3"/>
  <c r="CB62" i="3"/>
  <c r="CC62" i="3"/>
  <c r="CD62" i="3"/>
  <c r="CE62" i="3"/>
  <c r="CF62" i="3"/>
  <c r="CG62" i="3"/>
  <c r="CH62" i="3"/>
  <c r="CI62" i="3"/>
  <c r="CJ62" i="3"/>
  <c r="CK62" i="3"/>
  <c r="CL62" i="3"/>
  <c r="CM62" i="3"/>
  <c r="CN62" i="3"/>
  <c r="CO62" i="3"/>
  <c r="CP62" i="3"/>
  <c r="CQ62" i="3"/>
  <c r="CR62" i="3"/>
  <c r="CS62" i="3"/>
  <c r="CT62" i="3"/>
  <c r="CU62" i="3"/>
  <c r="CV62" i="3"/>
  <c r="CW62" i="3"/>
  <c r="CX62" i="3"/>
  <c r="D63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AD63" i="3"/>
  <c r="AE63" i="3"/>
  <c r="AF63" i="3"/>
  <c r="AG63" i="3"/>
  <c r="AH63" i="3"/>
  <c r="AI63" i="3"/>
  <c r="AJ63" i="3"/>
  <c r="AK63" i="3"/>
  <c r="AL63" i="3"/>
  <c r="AM63" i="3"/>
  <c r="AN63" i="3"/>
  <c r="AO63" i="3"/>
  <c r="AP63" i="3"/>
  <c r="AQ63" i="3"/>
  <c r="AR63" i="3"/>
  <c r="AS63" i="3"/>
  <c r="AT63" i="3"/>
  <c r="AU63" i="3"/>
  <c r="AV63" i="3"/>
  <c r="AW63" i="3"/>
  <c r="AX63" i="3"/>
  <c r="AY63" i="3"/>
  <c r="AZ63" i="3"/>
  <c r="BA63" i="3"/>
  <c r="BB63" i="3"/>
  <c r="BC63" i="3"/>
  <c r="BD63" i="3"/>
  <c r="BE63" i="3"/>
  <c r="BF63" i="3"/>
  <c r="BG63" i="3"/>
  <c r="BH63" i="3"/>
  <c r="BI63" i="3"/>
  <c r="BJ63" i="3"/>
  <c r="BK63" i="3"/>
  <c r="BL63" i="3"/>
  <c r="BM63" i="3"/>
  <c r="BN63" i="3"/>
  <c r="BO63" i="3"/>
  <c r="BP63" i="3"/>
  <c r="BQ63" i="3"/>
  <c r="BR63" i="3"/>
  <c r="BS63" i="3"/>
  <c r="BT63" i="3"/>
  <c r="BU63" i="3"/>
  <c r="BV63" i="3"/>
  <c r="BW63" i="3"/>
  <c r="BX63" i="3"/>
  <c r="BY63" i="3"/>
  <c r="BZ63" i="3"/>
  <c r="CA63" i="3"/>
  <c r="CB63" i="3"/>
  <c r="CC63" i="3"/>
  <c r="CD63" i="3"/>
  <c r="CE63" i="3"/>
  <c r="CF63" i="3"/>
  <c r="CG63" i="3"/>
  <c r="CH63" i="3"/>
  <c r="CI63" i="3"/>
  <c r="CJ63" i="3"/>
  <c r="CK63" i="3"/>
  <c r="CL63" i="3"/>
  <c r="CM63" i="3"/>
  <c r="CN63" i="3"/>
  <c r="CO63" i="3"/>
  <c r="CP63" i="3"/>
  <c r="CQ63" i="3"/>
  <c r="CR63" i="3"/>
  <c r="CS63" i="3"/>
  <c r="CT63" i="3"/>
  <c r="CU63" i="3"/>
  <c r="CV63" i="3"/>
  <c r="CW63" i="3"/>
  <c r="CX63" i="3"/>
  <c r="D64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AF64" i="3"/>
  <c r="AG64" i="3"/>
  <c r="AH64" i="3"/>
  <c r="AI64" i="3"/>
  <c r="AJ64" i="3"/>
  <c r="AK64" i="3"/>
  <c r="AL64" i="3"/>
  <c r="AM64" i="3"/>
  <c r="AN64" i="3"/>
  <c r="AO64" i="3"/>
  <c r="AP64" i="3"/>
  <c r="AQ64" i="3"/>
  <c r="AR64" i="3"/>
  <c r="AS64" i="3"/>
  <c r="AT64" i="3"/>
  <c r="AU64" i="3"/>
  <c r="AV64" i="3"/>
  <c r="AW64" i="3"/>
  <c r="AX64" i="3"/>
  <c r="AY64" i="3"/>
  <c r="AZ64" i="3"/>
  <c r="BA64" i="3"/>
  <c r="BB64" i="3"/>
  <c r="BC64" i="3"/>
  <c r="BD64" i="3"/>
  <c r="BE64" i="3"/>
  <c r="BF64" i="3"/>
  <c r="BG64" i="3"/>
  <c r="BH64" i="3"/>
  <c r="BI64" i="3"/>
  <c r="BJ64" i="3"/>
  <c r="BK64" i="3"/>
  <c r="BL64" i="3"/>
  <c r="BM64" i="3"/>
  <c r="BN64" i="3"/>
  <c r="BO64" i="3"/>
  <c r="BP64" i="3"/>
  <c r="BQ64" i="3"/>
  <c r="BR64" i="3"/>
  <c r="BS64" i="3"/>
  <c r="BT64" i="3"/>
  <c r="BU64" i="3"/>
  <c r="BV64" i="3"/>
  <c r="BW64" i="3"/>
  <c r="BX64" i="3"/>
  <c r="BY64" i="3"/>
  <c r="BZ64" i="3"/>
  <c r="CA64" i="3"/>
  <c r="CB64" i="3"/>
  <c r="CC64" i="3"/>
  <c r="CD64" i="3"/>
  <c r="CE64" i="3"/>
  <c r="CF64" i="3"/>
  <c r="CG64" i="3"/>
  <c r="CH64" i="3"/>
  <c r="CI64" i="3"/>
  <c r="CJ64" i="3"/>
  <c r="CK64" i="3"/>
  <c r="CL64" i="3"/>
  <c r="CM64" i="3"/>
  <c r="CN64" i="3"/>
  <c r="CO64" i="3"/>
  <c r="CP64" i="3"/>
  <c r="CQ64" i="3"/>
  <c r="CR64" i="3"/>
  <c r="CS64" i="3"/>
  <c r="CT64" i="3"/>
  <c r="CU64" i="3"/>
  <c r="CV64" i="3"/>
  <c r="CW64" i="3"/>
  <c r="CX64" i="3"/>
  <c r="D65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AD65" i="3"/>
  <c r="AE65" i="3"/>
  <c r="AF65" i="3"/>
  <c r="AG65" i="3"/>
  <c r="AH65" i="3"/>
  <c r="AI65" i="3"/>
  <c r="AJ65" i="3"/>
  <c r="AK65" i="3"/>
  <c r="AL65" i="3"/>
  <c r="AM65" i="3"/>
  <c r="AN65" i="3"/>
  <c r="AO65" i="3"/>
  <c r="AP65" i="3"/>
  <c r="AQ65" i="3"/>
  <c r="AR65" i="3"/>
  <c r="AS65" i="3"/>
  <c r="AT65" i="3"/>
  <c r="AU65" i="3"/>
  <c r="AV65" i="3"/>
  <c r="AW65" i="3"/>
  <c r="AX65" i="3"/>
  <c r="AY65" i="3"/>
  <c r="AZ65" i="3"/>
  <c r="BA65" i="3"/>
  <c r="BB65" i="3"/>
  <c r="BC65" i="3"/>
  <c r="BD65" i="3"/>
  <c r="BE65" i="3"/>
  <c r="BF65" i="3"/>
  <c r="BG65" i="3"/>
  <c r="BH65" i="3"/>
  <c r="BI65" i="3"/>
  <c r="BJ65" i="3"/>
  <c r="BK65" i="3"/>
  <c r="BL65" i="3"/>
  <c r="BM65" i="3"/>
  <c r="BN65" i="3"/>
  <c r="BO65" i="3"/>
  <c r="BP65" i="3"/>
  <c r="BQ65" i="3"/>
  <c r="BR65" i="3"/>
  <c r="BS65" i="3"/>
  <c r="BT65" i="3"/>
  <c r="BU65" i="3"/>
  <c r="BV65" i="3"/>
  <c r="BW65" i="3"/>
  <c r="BX65" i="3"/>
  <c r="BY65" i="3"/>
  <c r="BZ65" i="3"/>
  <c r="CA65" i="3"/>
  <c r="CB65" i="3"/>
  <c r="CC65" i="3"/>
  <c r="CD65" i="3"/>
  <c r="CE65" i="3"/>
  <c r="CF65" i="3"/>
  <c r="CG65" i="3"/>
  <c r="CH65" i="3"/>
  <c r="CI65" i="3"/>
  <c r="CJ65" i="3"/>
  <c r="CK65" i="3"/>
  <c r="CL65" i="3"/>
  <c r="CM65" i="3"/>
  <c r="CN65" i="3"/>
  <c r="CO65" i="3"/>
  <c r="CP65" i="3"/>
  <c r="CQ65" i="3"/>
  <c r="CR65" i="3"/>
  <c r="CS65" i="3"/>
  <c r="CT65" i="3"/>
  <c r="CU65" i="3"/>
  <c r="CV65" i="3"/>
  <c r="CW65" i="3"/>
  <c r="CX65" i="3"/>
  <c r="D66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T66" i="3"/>
  <c r="U66" i="3"/>
  <c r="V66" i="3"/>
  <c r="W66" i="3"/>
  <c r="X66" i="3"/>
  <c r="Y66" i="3"/>
  <c r="Z66" i="3"/>
  <c r="AA66" i="3"/>
  <c r="AB66" i="3"/>
  <c r="AC66" i="3"/>
  <c r="AD66" i="3"/>
  <c r="AE66" i="3"/>
  <c r="AF66" i="3"/>
  <c r="AG66" i="3"/>
  <c r="AH66" i="3"/>
  <c r="AI66" i="3"/>
  <c r="AJ66" i="3"/>
  <c r="AK66" i="3"/>
  <c r="AL66" i="3"/>
  <c r="AM66" i="3"/>
  <c r="AN66" i="3"/>
  <c r="AO66" i="3"/>
  <c r="AP66" i="3"/>
  <c r="AQ66" i="3"/>
  <c r="AR66" i="3"/>
  <c r="AS66" i="3"/>
  <c r="AT66" i="3"/>
  <c r="AU66" i="3"/>
  <c r="AV66" i="3"/>
  <c r="AW66" i="3"/>
  <c r="AX66" i="3"/>
  <c r="AY66" i="3"/>
  <c r="AZ66" i="3"/>
  <c r="BA66" i="3"/>
  <c r="BB66" i="3"/>
  <c r="BC66" i="3"/>
  <c r="BD66" i="3"/>
  <c r="BE66" i="3"/>
  <c r="BF66" i="3"/>
  <c r="BG66" i="3"/>
  <c r="BH66" i="3"/>
  <c r="BI66" i="3"/>
  <c r="BJ66" i="3"/>
  <c r="BK66" i="3"/>
  <c r="BL66" i="3"/>
  <c r="BM66" i="3"/>
  <c r="BN66" i="3"/>
  <c r="BO66" i="3"/>
  <c r="BP66" i="3"/>
  <c r="BQ66" i="3"/>
  <c r="BR66" i="3"/>
  <c r="BS66" i="3"/>
  <c r="BT66" i="3"/>
  <c r="BU66" i="3"/>
  <c r="BV66" i="3"/>
  <c r="BW66" i="3"/>
  <c r="BX66" i="3"/>
  <c r="BY66" i="3"/>
  <c r="BZ66" i="3"/>
  <c r="CA66" i="3"/>
  <c r="CB66" i="3"/>
  <c r="CC66" i="3"/>
  <c r="CD66" i="3"/>
  <c r="CE66" i="3"/>
  <c r="CF66" i="3"/>
  <c r="CG66" i="3"/>
  <c r="CH66" i="3"/>
  <c r="CI66" i="3"/>
  <c r="CJ66" i="3"/>
  <c r="CK66" i="3"/>
  <c r="CL66" i="3"/>
  <c r="CM66" i="3"/>
  <c r="CN66" i="3"/>
  <c r="CO66" i="3"/>
  <c r="CP66" i="3"/>
  <c r="CQ66" i="3"/>
  <c r="CR66" i="3"/>
  <c r="CS66" i="3"/>
  <c r="CT66" i="3"/>
  <c r="CU66" i="3"/>
  <c r="CV66" i="3"/>
  <c r="CW66" i="3"/>
  <c r="CX66" i="3"/>
  <c r="D67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S67" i="3"/>
  <c r="T67" i="3"/>
  <c r="U67" i="3"/>
  <c r="V67" i="3"/>
  <c r="W67" i="3"/>
  <c r="X67" i="3"/>
  <c r="Y67" i="3"/>
  <c r="Z67" i="3"/>
  <c r="AA67" i="3"/>
  <c r="AB67" i="3"/>
  <c r="AC67" i="3"/>
  <c r="AD67" i="3"/>
  <c r="AE67" i="3"/>
  <c r="AF67" i="3"/>
  <c r="AG67" i="3"/>
  <c r="AH67" i="3"/>
  <c r="AI67" i="3"/>
  <c r="AJ67" i="3"/>
  <c r="AK67" i="3"/>
  <c r="AL67" i="3"/>
  <c r="AM67" i="3"/>
  <c r="AN67" i="3"/>
  <c r="AO67" i="3"/>
  <c r="AP67" i="3"/>
  <c r="AQ67" i="3"/>
  <c r="AR67" i="3"/>
  <c r="AS67" i="3"/>
  <c r="AT67" i="3"/>
  <c r="AU67" i="3"/>
  <c r="AV67" i="3"/>
  <c r="AW67" i="3"/>
  <c r="AX67" i="3"/>
  <c r="AY67" i="3"/>
  <c r="AZ67" i="3"/>
  <c r="BA67" i="3"/>
  <c r="BB67" i="3"/>
  <c r="BC67" i="3"/>
  <c r="BD67" i="3"/>
  <c r="BE67" i="3"/>
  <c r="BF67" i="3"/>
  <c r="BG67" i="3"/>
  <c r="BH67" i="3"/>
  <c r="BI67" i="3"/>
  <c r="BJ67" i="3"/>
  <c r="BK67" i="3"/>
  <c r="BL67" i="3"/>
  <c r="BM67" i="3"/>
  <c r="BN67" i="3"/>
  <c r="BO67" i="3"/>
  <c r="BP67" i="3"/>
  <c r="BQ67" i="3"/>
  <c r="BR67" i="3"/>
  <c r="BS67" i="3"/>
  <c r="BT67" i="3"/>
  <c r="BU67" i="3"/>
  <c r="BV67" i="3"/>
  <c r="BW67" i="3"/>
  <c r="BX67" i="3"/>
  <c r="BY67" i="3"/>
  <c r="BZ67" i="3"/>
  <c r="CA67" i="3"/>
  <c r="CB67" i="3"/>
  <c r="CC67" i="3"/>
  <c r="CD67" i="3"/>
  <c r="CE67" i="3"/>
  <c r="CF67" i="3"/>
  <c r="CG67" i="3"/>
  <c r="CH67" i="3"/>
  <c r="CI67" i="3"/>
  <c r="CJ67" i="3"/>
  <c r="CK67" i="3"/>
  <c r="CL67" i="3"/>
  <c r="CM67" i="3"/>
  <c r="CN67" i="3"/>
  <c r="CO67" i="3"/>
  <c r="CP67" i="3"/>
  <c r="CQ67" i="3"/>
  <c r="CR67" i="3"/>
  <c r="CS67" i="3"/>
  <c r="CT67" i="3"/>
  <c r="CU67" i="3"/>
  <c r="CV67" i="3"/>
  <c r="CW67" i="3"/>
  <c r="CX67" i="3"/>
  <c r="D68" i="3"/>
  <c r="E68" i="3"/>
  <c r="F68" i="3"/>
  <c r="G68" i="3"/>
  <c r="H68" i="3"/>
  <c r="I68" i="3"/>
  <c r="J68" i="3"/>
  <c r="K68" i="3"/>
  <c r="L68" i="3"/>
  <c r="M68" i="3"/>
  <c r="N68" i="3"/>
  <c r="O68" i="3"/>
  <c r="P68" i="3"/>
  <c r="Q68" i="3"/>
  <c r="R68" i="3"/>
  <c r="S68" i="3"/>
  <c r="T68" i="3"/>
  <c r="U68" i="3"/>
  <c r="V68" i="3"/>
  <c r="W68" i="3"/>
  <c r="X68" i="3"/>
  <c r="Y68" i="3"/>
  <c r="Z68" i="3"/>
  <c r="AA68" i="3"/>
  <c r="AB68" i="3"/>
  <c r="AC68" i="3"/>
  <c r="AD68" i="3"/>
  <c r="AE68" i="3"/>
  <c r="AF68" i="3"/>
  <c r="AG68" i="3"/>
  <c r="AH68" i="3"/>
  <c r="AI68" i="3"/>
  <c r="AJ68" i="3"/>
  <c r="AK68" i="3"/>
  <c r="AL68" i="3"/>
  <c r="AM68" i="3"/>
  <c r="AN68" i="3"/>
  <c r="AO68" i="3"/>
  <c r="AP68" i="3"/>
  <c r="AQ68" i="3"/>
  <c r="AR68" i="3"/>
  <c r="AS68" i="3"/>
  <c r="AT68" i="3"/>
  <c r="AU68" i="3"/>
  <c r="AV68" i="3"/>
  <c r="AW68" i="3"/>
  <c r="AX68" i="3"/>
  <c r="AY68" i="3"/>
  <c r="AZ68" i="3"/>
  <c r="BA68" i="3"/>
  <c r="BB68" i="3"/>
  <c r="BC68" i="3"/>
  <c r="BD68" i="3"/>
  <c r="BE68" i="3"/>
  <c r="BF68" i="3"/>
  <c r="BG68" i="3"/>
  <c r="BH68" i="3"/>
  <c r="BI68" i="3"/>
  <c r="BJ68" i="3"/>
  <c r="BK68" i="3"/>
  <c r="BL68" i="3"/>
  <c r="BM68" i="3"/>
  <c r="BN68" i="3"/>
  <c r="BO68" i="3"/>
  <c r="BP68" i="3"/>
  <c r="BQ68" i="3"/>
  <c r="BR68" i="3"/>
  <c r="BS68" i="3"/>
  <c r="BT68" i="3"/>
  <c r="BU68" i="3"/>
  <c r="BV68" i="3"/>
  <c r="BW68" i="3"/>
  <c r="BX68" i="3"/>
  <c r="BY68" i="3"/>
  <c r="BZ68" i="3"/>
  <c r="CA68" i="3"/>
  <c r="CB68" i="3"/>
  <c r="CC68" i="3"/>
  <c r="CD68" i="3"/>
  <c r="CE68" i="3"/>
  <c r="CF68" i="3"/>
  <c r="CG68" i="3"/>
  <c r="CH68" i="3"/>
  <c r="CI68" i="3"/>
  <c r="CJ68" i="3"/>
  <c r="CK68" i="3"/>
  <c r="CL68" i="3"/>
  <c r="CM68" i="3"/>
  <c r="CN68" i="3"/>
  <c r="CO68" i="3"/>
  <c r="CP68" i="3"/>
  <c r="CQ68" i="3"/>
  <c r="CR68" i="3"/>
  <c r="CS68" i="3"/>
  <c r="CT68" i="3"/>
  <c r="CU68" i="3"/>
  <c r="CV68" i="3"/>
  <c r="CW68" i="3"/>
  <c r="CX68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S69" i="3"/>
  <c r="T69" i="3"/>
  <c r="U69" i="3"/>
  <c r="V69" i="3"/>
  <c r="W69" i="3"/>
  <c r="X69" i="3"/>
  <c r="Y69" i="3"/>
  <c r="Z69" i="3"/>
  <c r="AA69" i="3"/>
  <c r="AB69" i="3"/>
  <c r="AC69" i="3"/>
  <c r="AD69" i="3"/>
  <c r="AE69" i="3"/>
  <c r="AF69" i="3"/>
  <c r="AG69" i="3"/>
  <c r="AH69" i="3"/>
  <c r="AI69" i="3"/>
  <c r="AJ69" i="3"/>
  <c r="AK69" i="3"/>
  <c r="AL69" i="3"/>
  <c r="AM69" i="3"/>
  <c r="AN69" i="3"/>
  <c r="AO69" i="3"/>
  <c r="AP69" i="3"/>
  <c r="AQ69" i="3"/>
  <c r="AR69" i="3"/>
  <c r="AS69" i="3"/>
  <c r="AT69" i="3"/>
  <c r="AU69" i="3"/>
  <c r="AV69" i="3"/>
  <c r="AW69" i="3"/>
  <c r="AX69" i="3"/>
  <c r="AY69" i="3"/>
  <c r="AZ69" i="3"/>
  <c r="BA69" i="3"/>
  <c r="BB69" i="3"/>
  <c r="BC69" i="3"/>
  <c r="BD69" i="3"/>
  <c r="BE69" i="3"/>
  <c r="BF69" i="3"/>
  <c r="BG69" i="3"/>
  <c r="BH69" i="3"/>
  <c r="BI69" i="3"/>
  <c r="BJ69" i="3"/>
  <c r="BK69" i="3"/>
  <c r="BL69" i="3"/>
  <c r="BM69" i="3"/>
  <c r="BN69" i="3"/>
  <c r="BO69" i="3"/>
  <c r="BP69" i="3"/>
  <c r="BQ69" i="3"/>
  <c r="BR69" i="3"/>
  <c r="BS69" i="3"/>
  <c r="BT69" i="3"/>
  <c r="BU69" i="3"/>
  <c r="BV69" i="3"/>
  <c r="BW69" i="3"/>
  <c r="BX69" i="3"/>
  <c r="BY69" i="3"/>
  <c r="BZ69" i="3"/>
  <c r="CA69" i="3"/>
  <c r="CB69" i="3"/>
  <c r="CC69" i="3"/>
  <c r="CD69" i="3"/>
  <c r="CE69" i="3"/>
  <c r="CF69" i="3"/>
  <c r="CG69" i="3"/>
  <c r="CH69" i="3"/>
  <c r="CI69" i="3"/>
  <c r="CJ69" i="3"/>
  <c r="CK69" i="3"/>
  <c r="CL69" i="3"/>
  <c r="CM69" i="3"/>
  <c r="CN69" i="3"/>
  <c r="CO69" i="3"/>
  <c r="CP69" i="3"/>
  <c r="CQ69" i="3"/>
  <c r="CR69" i="3"/>
  <c r="CS69" i="3"/>
  <c r="CT69" i="3"/>
  <c r="CU69" i="3"/>
  <c r="CV69" i="3"/>
  <c r="CW69" i="3"/>
  <c r="CX69" i="3"/>
  <c r="D70" i="3"/>
  <c r="E70" i="3"/>
  <c r="F70" i="3"/>
  <c r="G70" i="3"/>
  <c r="H70" i="3"/>
  <c r="I70" i="3"/>
  <c r="J70" i="3"/>
  <c r="K70" i="3"/>
  <c r="L70" i="3"/>
  <c r="M70" i="3"/>
  <c r="N70" i="3"/>
  <c r="O70" i="3"/>
  <c r="P70" i="3"/>
  <c r="Q70" i="3"/>
  <c r="R70" i="3"/>
  <c r="S70" i="3"/>
  <c r="T70" i="3"/>
  <c r="U70" i="3"/>
  <c r="V70" i="3"/>
  <c r="W70" i="3"/>
  <c r="X70" i="3"/>
  <c r="Y70" i="3"/>
  <c r="Z70" i="3"/>
  <c r="AA70" i="3"/>
  <c r="AB70" i="3"/>
  <c r="AC70" i="3"/>
  <c r="AD70" i="3"/>
  <c r="AE70" i="3"/>
  <c r="AF70" i="3"/>
  <c r="AG70" i="3"/>
  <c r="AH70" i="3"/>
  <c r="AI70" i="3"/>
  <c r="AJ70" i="3"/>
  <c r="AK70" i="3"/>
  <c r="AL70" i="3"/>
  <c r="AM70" i="3"/>
  <c r="AN70" i="3"/>
  <c r="AO70" i="3"/>
  <c r="AP70" i="3"/>
  <c r="AQ70" i="3"/>
  <c r="AR70" i="3"/>
  <c r="AS70" i="3"/>
  <c r="AT70" i="3"/>
  <c r="AU70" i="3"/>
  <c r="AV70" i="3"/>
  <c r="AW70" i="3"/>
  <c r="AX70" i="3"/>
  <c r="AY70" i="3"/>
  <c r="AZ70" i="3"/>
  <c r="BA70" i="3"/>
  <c r="BB70" i="3"/>
  <c r="BC70" i="3"/>
  <c r="BD70" i="3"/>
  <c r="BE70" i="3"/>
  <c r="BF70" i="3"/>
  <c r="BG70" i="3"/>
  <c r="BH70" i="3"/>
  <c r="BI70" i="3"/>
  <c r="BJ70" i="3"/>
  <c r="BK70" i="3"/>
  <c r="BL70" i="3"/>
  <c r="BM70" i="3"/>
  <c r="BN70" i="3"/>
  <c r="BO70" i="3"/>
  <c r="BP70" i="3"/>
  <c r="BQ70" i="3"/>
  <c r="BR70" i="3"/>
  <c r="BS70" i="3"/>
  <c r="BT70" i="3"/>
  <c r="BU70" i="3"/>
  <c r="BV70" i="3"/>
  <c r="BW70" i="3"/>
  <c r="BX70" i="3"/>
  <c r="BY70" i="3"/>
  <c r="BZ70" i="3"/>
  <c r="CA70" i="3"/>
  <c r="CB70" i="3"/>
  <c r="CC70" i="3"/>
  <c r="CD70" i="3"/>
  <c r="CE70" i="3"/>
  <c r="CF70" i="3"/>
  <c r="CG70" i="3"/>
  <c r="CH70" i="3"/>
  <c r="CI70" i="3"/>
  <c r="CJ70" i="3"/>
  <c r="CK70" i="3"/>
  <c r="CL70" i="3"/>
  <c r="CM70" i="3"/>
  <c r="CN70" i="3"/>
  <c r="CO70" i="3"/>
  <c r="CP70" i="3"/>
  <c r="CQ70" i="3"/>
  <c r="CR70" i="3"/>
  <c r="CS70" i="3"/>
  <c r="CT70" i="3"/>
  <c r="CU70" i="3"/>
  <c r="CV70" i="3"/>
  <c r="CW70" i="3"/>
  <c r="CX70" i="3"/>
  <c r="D71" i="3"/>
  <c r="E71" i="3"/>
  <c r="F71" i="3"/>
  <c r="G71" i="3"/>
  <c r="H71" i="3"/>
  <c r="I71" i="3"/>
  <c r="J71" i="3"/>
  <c r="K71" i="3"/>
  <c r="L71" i="3"/>
  <c r="M71" i="3"/>
  <c r="N71" i="3"/>
  <c r="O71" i="3"/>
  <c r="P71" i="3"/>
  <c r="Q71" i="3"/>
  <c r="R71" i="3"/>
  <c r="S71" i="3"/>
  <c r="T71" i="3"/>
  <c r="U71" i="3"/>
  <c r="V71" i="3"/>
  <c r="W71" i="3"/>
  <c r="X71" i="3"/>
  <c r="Y71" i="3"/>
  <c r="Z71" i="3"/>
  <c r="AA71" i="3"/>
  <c r="AB71" i="3"/>
  <c r="AC71" i="3"/>
  <c r="AD71" i="3"/>
  <c r="AE71" i="3"/>
  <c r="AF71" i="3"/>
  <c r="AG71" i="3"/>
  <c r="AH71" i="3"/>
  <c r="AI71" i="3"/>
  <c r="AJ71" i="3"/>
  <c r="AK71" i="3"/>
  <c r="AL71" i="3"/>
  <c r="AM71" i="3"/>
  <c r="AN71" i="3"/>
  <c r="AO71" i="3"/>
  <c r="AP71" i="3"/>
  <c r="AQ71" i="3"/>
  <c r="AR71" i="3"/>
  <c r="AS71" i="3"/>
  <c r="AT71" i="3"/>
  <c r="AU71" i="3"/>
  <c r="AV71" i="3"/>
  <c r="AW71" i="3"/>
  <c r="AX71" i="3"/>
  <c r="AY71" i="3"/>
  <c r="AZ71" i="3"/>
  <c r="BA71" i="3"/>
  <c r="BB71" i="3"/>
  <c r="BC71" i="3"/>
  <c r="BD71" i="3"/>
  <c r="BE71" i="3"/>
  <c r="BF71" i="3"/>
  <c r="BG71" i="3"/>
  <c r="BH71" i="3"/>
  <c r="BI71" i="3"/>
  <c r="BJ71" i="3"/>
  <c r="BK71" i="3"/>
  <c r="BL71" i="3"/>
  <c r="BM71" i="3"/>
  <c r="BN71" i="3"/>
  <c r="BO71" i="3"/>
  <c r="BP71" i="3"/>
  <c r="BQ71" i="3"/>
  <c r="BR71" i="3"/>
  <c r="BS71" i="3"/>
  <c r="BT71" i="3"/>
  <c r="BU71" i="3"/>
  <c r="BV71" i="3"/>
  <c r="BW71" i="3"/>
  <c r="BX71" i="3"/>
  <c r="BY71" i="3"/>
  <c r="BZ71" i="3"/>
  <c r="CA71" i="3"/>
  <c r="CB71" i="3"/>
  <c r="CC71" i="3"/>
  <c r="CD71" i="3"/>
  <c r="CE71" i="3"/>
  <c r="CF71" i="3"/>
  <c r="CG71" i="3"/>
  <c r="CH71" i="3"/>
  <c r="CI71" i="3"/>
  <c r="CJ71" i="3"/>
  <c r="CK71" i="3"/>
  <c r="CL71" i="3"/>
  <c r="CM71" i="3"/>
  <c r="CN71" i="3"/>
  <c r="CO71" i="3"/>
  <c r="CP71" i="3"/>
  <c r="CQ71" i="3"/>
  <c r="CR71" i="3"/>
  <c r="CS71" i="3"/>
  <c r="CT71" i="3"/>
  <c r="CU71" i="3"/>
  <c r="CV71" i="3"/>
  <c r="CW71" i="3"/>
  <c r="CX71" i="3"/>
  <c r="D72" i="3"/>
  <c r="E72" i="3"/>
  <c r="F72" i="3"/>
  <c r="G72" i="3"/>
  <c r="H72" i="3"/>
  <c r="I72" i="3"/>
  <c r="J72" i="3"/>
  <c r="K72" i="3"/>
  <c r="L72" i="3"/>
  <c r="M72" i="3"/>
  <c r="N72" i="3"/>
  <c r="O72" i="3"/>
  <c r="P72" i="3"/>
  <c r="Q72" i="3"/>
  <c r="R72" i="3"/>
  <c r="S72" i="3"/>
  <c r="T72" i="3"/>
  <c r="U72" i="3"/>
  <c r="V72" i="3"/>
  <c r="W72" i="3"/>
  <c r="X72" i="3"/>
  <c r="Y72" i="3"/>
  <c r="Z72" i="3"/>
  <c r="AA72" i="3"/>
  <c r="AB72" i="3"/>
  <c r="AC72" i="3"/>
  <c r="AD72" i="3"/>
  <c r="AE72" i="3"/>
  <c r="AF72" i="3"/>
  <c r="AG72" i="3"/>
  <c r="AH72" i="3"/>
  <c r="AI72" i="3"/>
  <c r="AJ72" i="3"/>
  <c r="AK72" i="3"/>
  <c r="AL72" i="3"/>
  <c r="AM72" i="3"/>
  <c r="AN72" i="3"/>
  <c r="AO72" i="3"/>
  <c r="AP72" i="3"/>
  <c r="AQ72" i="3"/>
  <c r="AR72" i="3"/>
  <c r="AS72" i="3"/>
  <c r="AT72" i="3"/>
  <c r="AU72" i="3"/>
  <c r="AV72" i="3"/>
  <c r="AW72" i="3"/>
  <c r="AX72" i="3"/>
  <c r="AY72" i="3"/>
  <c r="AZ72" i="3"/>
  <c r="BA72" i="3"/>
  <c r="BB72" i="3"/>
  <c r="BC72" i="3"/>
  <c r="BD72" i="3"/>
  <c r="BE72" i="3"/>
  <c r="BF72" i="3"/>
  <c r="BG72" i="3"/>
  <c r="BH72" i="3"/>
  <c r="BI72" i="3"/>
  <c r="BJ72" i="3"/>
  <c r="BK72" i="3"/>
  <c r="BL72" i="3"/>
  <c r="BM72" i="3"/>
  <c r="BN72" i="3"/>
  <c r="BO72" i="3"/>
  <c r="BP72" i="3"/>
  <c r="BQ72" i="3"/>
  <c r="BR72" i="3"/>
  <c r="BS72" i="3"/>
  <c r="BT72" i="3"/>
  <c r="BU72" i="3"/>
  <c r="BV72" i="3"/>
  <c r="BW72" i="3"/>
  <c r="BX72" i="3"/>
  <c r="BY72" i="3"/>
  <c r="BZ72" i="3"/>
  <c r="CA72" i="3"/>
  <c r="CB72" i="3"/>
  <c r="CC72" i="3"/>
  <c r="CD72" i="3"/>
  <c r="CE72" i="3"/>
  <c r="CF72" i="3"/>
  <c r="CG72" i="3"/>
  <c r="CH72" i="3"/>
  <c r="CI72" i="3"/>
  <c r="CJ72" i="3"/>
  <c r="CK72" i="3"/>
  <c r="CL72" i="3"/>
  <c r="CM72" i="3"/>
  <c r="CN72" i="3"/>
  <c r="CO72" i="3"/>
  <c r="CP72" i="3"/>
  <c r="CQ72" i="3"/>
  <c r="CR72" i="3"/>
  <c r="CS72" i="3"/>
  <c r="CT72" i="3"/>
  <c r="CU72" i="3"/>
  <c r="CV72" i="3"/>
  <c r="CW72" i="3"/>
  <c r="CX72" i="3"/>
  <c r="D73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R73" i="3"/>
  <c r="S73" i="3"/>
  <c r="T73" i="3"/>
  <c r="U73" i="3"/>
  <c r="V73" i="3"/>
  <c r="W73" i="3"/>
  <c r="X73" i="3"/>
  <c r="Y73" i="3"/>
  <c r="Z73" i="3"/>
  <c r="AA73" i="3"/>
  <c r="AB73" i="3"/>
  <c r="AC73" i="3"/>
  <c r="AD73" i="3"/>
  <c r="AE73" i="3"/>
  <c r="AF73" i="3"/>
  <c r="AG73" i="3"/>
  <c r="AH73" i="3"/>
  <c r="AI73" i="3"/>
  <c r="AJ73" i="3"/>
  <c r="AK73" i="3"/>
  <c r="AL73" i="3"/>
  <c r="AM73" i="3"/>
  <c r="AN73" i="3"/>
  <c r="AO73" i="3"/>
  <c r="AP73" i="3"/>
  <c r="AQ73" i="3"/>
  <c r="AR73" i="3"/>
  <c r="AS73" i="3"/>
  <c r="AT73" i="3"/>
  <c r="AU73" i="3"/>
  <c r="AV73" i="3"/>
  <c r="AW73" i="3"/>
  <c r="AX73" i="3"/>
  <c r="AY73" i="3"/>
  <c r="AZ73" i="3"/>
  <c r="BA73" i="3"/>
  <c r="BB73" i="3"/>
  <c r="BC73" i="3"/>
  <c r="BD73" i="3"/>
  <c r="BE73" i="3"/>
  <c r="BF73" i="3"/>
  <c r="BG73" i="3"/>
  <c r="BH73" i="3"/>
  <c r="BI73" i="3"/>
  <c r="BJ73" i="3"/>
  <c r="BK73" i="3"/>
  <c r="BL73" i="3"/>
  <c r="BM73" i="3"/>
  <c r="BN73" i="3"/>
  <c r="BO73" i="3"/>
  <c r="BP73" i="3"/>
  <c r="BQ73" i="3"/>
  <c r="BR73" i="3"/>
  <c r="BS73" i="3"/>
  <c r="BT73" i="3"/>
  <c r="BU73" i="3"/>
  <c r="BV73" i="3"/>
  <c r="BW73" i="3"/>
  <c r="BX73" i="3"/>
  <c r="BY73" i="3"/>
  <c r="BZ73" i="3"/>
  <c r="CA73" i="3"/>
  <c r="CB73" i="3"/>
  <c r="CC73" i="3"/>
  <c r="CD73" i="3"/>
  <c r="CE73" i="3"/>
  <c r="CF73" i="3"/>
  <c r="CG73" i="3"/>
  <c r="CH73" i="3"/>
  <c r="CI73" i="3"/>
  <c r="CJ73" i="3"/>
  <c r="CK73" i="3"/>
  <c r="CL73" i="3"/>
  <c r="CM73" i="3"/>
  <c r="CN73" i="3"/>
  <c r="CO73" i="3"/>
  <c r="CP73" i="3"/>
  <c r="CQ73" i="3"/>
  <c r="CR73" i="3"/>
  <c r="CS73" i="3"/>
  <c r="CT73" i="3"/>
  <c r="CU73" i="3"/>
  <c r="CV73" i="3"/>
  <c r="CW73" i="3"/>
  <c r="CX73" i="3"/>
  <c r="D74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S74" i="3"/>
  <c r="T74" i="3"/>
  <c r="U74" i="3"/>
  <c r="V74" i="3"/>
  <c r="W74" i="3"/>
  <c r="X74" i="3"/>
  <c r="Y74" i="3"/>
  <c r="Z74" i="3"/>
  <c r="AA74" i="3"/>
  <c r="AB74" i="3"/>
  <c r="AC74" i="3"/>
  <c r="AD74" i="3"/>
  <c r="AE74" i="3"/>
  <c r="AF74" i="3"/>
  <c r="AG74" i="3"/>
  <c r="AH74" i="3"/>
  <c r="AI74" i="3"/>
  <c r="AJ74" i="3"/>
  <c r="AK74" i="3"/>
  <c r="AL74" i="3"/>
  <c r="AM74" i="3"/>
  <c r="AN74" i="3"/>
  <c r="AO74" i="3"/>
  <c r="AP74" i="3"/>
  <c r="AQ74" i="3"/>
  <c r="AR74" i="3"/>
  <c r="AS74" i="3"/>
  <c r="AT74" i="3"/>
  <c r="AU74" i="3"/>
  <c r="AV74" i="3"/>
  <c r="AW74" i="3"/>
  <c r="AX74" i="3"/>
  <c r="AY74" i="3"/>
  <c r="AZ74" i="3"/>
  <c r="BA74" i="3"/>
  <c r="BB74" i="3"/>
  <c r="BC74" i="3"/>
  <c r="BD74" i="3"/>
  <c r="BE74" i="3"/>
  <c r="BF74" i="3"/>
  <c r="BG74" i="3"/>
  <c r="BH74" i="3"/>
  <c r="BI74" i="3"/>
  <c r="BJ74" i="3"/>
  <c r="BK74" i="3"/>
  <c r="BL74" i="3"/>
  <c r="BM74" i="3"/>
  <c r="BN74" i="3"/>
  <c r="BO74" i="3"/>
  <c r="BP74" i="3"/>
  <c r="BQ74" i="3"/>
  <c r="BR74" i="3"/>
  <c r="BS74" i="3"/>
  <c r="BT74" i="3"/>
  <c r="BU74" i="3"/>
  <c r="BV74" i="3"/>
  <c r="BW74" i="3"/>
  <c r="BX74" i="3"/>
  <c r="BY74" i="3"/>
  <c r="BZ74" i="3"/>
  <c r="CA74" i="3"/>
  <c r="CB74" i="3"/>
  <c r="CC74" i="3"/>
  <c r="CD74" i="3"/>
  <c r="CE74" i="3"/>
  <c r="CF74" i="3"/>
  <c r="CG74" i="3"/>
  <c r="CH74" i="3"/>
  <c r="CI74" i="3"/>
  <c r="CJ74" i="3"/>
  <c r="CK74" i="3"/>
  <c r="CL74" i="3"/>
  <c r="CM74" i="3"/>
  <c r="CN74" i="3"/>
  <c r="CO74" i="3"/>
  <c r="CP74" i="3"/>
  <c r="CQ74" i="3"/>
  <c r="CR74" i="3"/>
  <c r="CS74" i="3"/>
  <c r="CT74" i="3"/>
  <c r="CU74" i="3"/>
  <c r="CV74" i="3"/>
  <c r="CW74" i="3"/>
  <c r="CX74" i="3"/>
  <c r="D75" i="3"/>
  <c r="E75" i="3"/>
  <c r="F75" i="3"/>
  <c r="G75" i="3"/>
  <c r="H75" i="3"/>
  <c r="I75" i="3"/>
  <c r="J75" i="3"/>
  <c r="K75" i="3"/>
  <c r="L75" i="3"/>
  <c r="M75" i="3"/>
  <c r="N75" i="3"/>
  <c r="O75" i="3"/>
  <c r="P75" i="3"/>
  <c r="Q75" i="3"/>
  <c r="R75" i="3"/>
  <c r="S75" i="3"/>
  <c r="T75" i="3"/>
  <c r="U75" i="3"/>
  <c r="V75" i="3"/>
  <c r="W75" i="3"/>
  <c r="X75" i="3"/>
  <c r="Y75" i="3"/>
  <c r="Z75" i="3"/>
  <c r="AA75" i="3"/>
  <c r="AB75" i="3"/>
  <c r="AC75" i="3"/>
  <c r="AD75" i="3"/>
  <c r="AE75" i="3"/>
  <c r="AF75" i="3"/>
  <c r="AG75" i="3"/>
  <c r="AH75" i="3"/>
  <c r="AI75" i="3"/>
  <c r="AJ75" i="3"/>
  <c r="AK75" i="3"/>
  <c r="AL75" i="3"/>
  <c r="AM75" i="3"/>
  <c r="AN75" i="3"/>
  <c r="AO75" i="3"/>
  <c r="AP75" i="3"/>
  <c r="AQ75" i="3"/>
  <c r="AR75" i="3"/>
  <c r="AS75" i="3"/>
  <c r="AT75" i="3"/>
  <c r="AU75" i="3"/>
  <c r="AV75" i="3"/>
  <c r="AW75" i="3"/>
  <c r="AX75" i="3"/>
  <c r="AY75" i="3"/>
  <c r="AZ75" i="3"/>
  <c r="BA75" i="3"/>
  <c r="BB75" i="3"/>
  <c r="BC75" i="3"/>
  <c r="BD75" i="3"/>
  <c r="BE75" i="3"/>
  <c r="BF75" i="3"/>
  <c r="BG75" i="3"/>
  <c r="BH75" i="3"/>
  <c r="BI75" i="3"/>
  <c r="BJ75" i="3"/>
  <c r="BK75" i="3"/>
  <c r="BL75" i="3"/>
  <c r="BM75" i="3"/>
  <c r="BN75" i="3"/>
  <c r="BO75" i="3"/>
  <c r="BP75" i="3"/>
  <c r="BQ75" i="3"/>
  <c r="BR75" i="3"/>
  <c r="BS75" i="3"/>
  <c r="BT75" i="3"/>
  <c r="BU75" i="3"/>
  <c r="BV75" i="3"/>
  <c r="BW75" i="3"/>
  <c r="BX75" i="3"/>
  <c r="BY75" i="3"/>
  <c r="BZ75" i="3"/>
  <c r="CA75" i="3"/>
  <c r="CB75" i="3"/>
  <c r="CC75" i="3"/>
  <c r="CD75" i="3"/>
  <c r="CE75" i="3"/>
  <c r="CF75" i="3"/>
  <c r="CG75" i="3"/>
  <c r="CH75" i="3"/>
  <c r="CI75" i="3"/>
  <c r="CJ75" i="3"/>
  <c r="CK75" i="3"/>
  <c r="CL75" i="3"/>
  <c r="CM75" i="3"/>
  <c r="CN75" i="3"/>
  <c r="CO75" i="3"/>
  <c r="CP75" i="3"/>
  <c r="CQ75" i="3"/>
  <c r="CR75" i="3"/>
  <c r="CS75" i="3"/>
  <c r="CT75" i="3"/>
  <c r="CU75" i="3"/>
  <c r="CV75" i="3"/>
  <c r="CW75" i="3"/>
  <c r="CX75" i="3"/>
  <c r="D76" i="3"/>
  <c r="E76" i="3"/>
  <c r="F76" i="3"/>
  <c r="G76" i="3"/>
  <c r="H76" i="3"/>
  <c r="I76" i="3"/>
  <c r="J76" i="3"/>
  <c r="K76" i="3"/>
  <c r="L76" i="3"/>
  <c r="M76" i="3"/>
  <c r="N76" i="3"/>
  <c r="O76" i="3"/>
  <c r="P76" i="3"/>
  <c r="Q76" i="3"/>
  <c r="R76" i="3"/>
  <c r="S76" i="3"/>
  <c r="T76" i="3"/>
  <c r="U76" i="3"/>
  <c r="V76" i="3"/>
  <c r="W76" i="3"/>
  <c r="X76" i="3"/>
  <c r="Y76" i="3"/>
  <c r="Z76" i="3"/>
  <c r="AA76" i="3"/>
  <c r="AB76" i="3"/>
  <c r="AC76" i="3"/>
  <c r="AD76" i="3"/>
  <c r="AE76" i="3"/>
  <c r="AF76" i="3"/>
  <c r="AG76" i="3"/>
  <c r="AH76" i="3"/>
  <c r="AI76" i="3"/>
  <c r="AJ76" i="3"/>
  <c r="AK76" i="3"/>
  <c r="AL76" i="3"/>
  <c r="AM76" i="3"/>
  <c r="AN76" i="3"/>
  <c r="AO76" i="3"/>
  <c r="AP76" i="3"/>
  <c r="AQ76" i="3"/>
  <c r="AR76" i="3"/>
  <c r="AS76" i="3"/>
  <c r="AT76" i="3"/>
  <c r="AU76" i="3"/>
  <c r="AV76" i="3"/>
  <c r="AW76" i="3"/>
  <c r="AX76" i="3"/>
  <c r="AY76" i="3"/>
  <c r="AZ76" i="3"/>
  <c r="BA76" i="3"/>
  <c r="BB76" i="3"/>
  <c r="BC76" i="3"/>
  <c r="BD76" i="3"/>
  <c r="BE76" i="3"/>
  <c r="BF76" i="3"/>
  <c r="BG76" i="3"/>
  <c r="BH76" i="3"/>
  <c r="BI76" i="3"/>
  <c r="BJ76" i="3"/>
  <c r="BK76" i="3"/>
  <c r="BL76" i="3"/>
  <c r="BM76" i="3"/>
  <c r="BN76" i="3"/>
  <c r="BO76" i="3"/>
  <c r="BP76" i="3"/>
  <c r="BQ76" i="3"/>
  <c r="BR76" i="3"/>
  <c r="BS76" i="3"/>
  <c r="BT76" i="3"/>
  <c r="BU76" i="3"/>
  <c r="BV76" i="3"/>
  <c r="BW76" i="3"/>
  <c r="BX76" i="3"/>
  <c r="BY76" i="3"/>
  <c r="BZ76" i="3"/>
  <c r="CA76" i="3"/>
  <c r="CB76" i="3"/>
  <c r="CC76" i="3"/>
  <c r="CD76" i="3"/>
  <c r="CE76" i="3"/>
  <c r="CF76" i="3"/>
  <c r="CG76" i="3"/>
  <c r="CH76" i="3"/>
  <c r="CI76" i="3"/>
  <c r="CJ76" i="3"/>
  <c r="CK76" i="3"/>
  <c r="CL76" i="3"/>
  <c r="CM76" i="3"/>
  <c r="CN76" i="3"/>
  <c r="CO76" i="3"/>
  <c r="CP76" i="3"/>
  <c r="CQ76" i="3"/>
  <c r="CR76" i="3"/>
  <c r="CS76" i="3"/>
  <c r="CT76" i="3"/>
  <c r="CU76" i="3"/>
  <c r="CV76" i="3"/>
  <c r="CW76" i="3"/>
  <c r="CX76" i="3"/>
  <c r="D77" i="3"/>
  <c r="E77" i="3"/>
  <c r="F77" i="3"/>
  <c r="G77" i="3"/>
  <c r="H77" i="3"/>
  <c r="I77" i="3"/>
  <c r="J77" i="3"/>
  <c r="K77" i="3"/>
  <c r="L77" i="3"/>
  <c r="M77" i="3"/>
  <c r="N77" i="3"/>
  <c r="O77" i="3"/>
  <c r="P77" i="3"/>
  <c r="Q77" i="3"/>
  <c r="R77" i="3"/>
  <c r="S77" i="3"/>
  <c r="T77" i="3"/>
  <c r="U77" i="3"/>
  <c r="V77" i="3"/>
  <c r="W77" i="3"/>
  <c r="X77" i="3"/>
  <c r="Y77" i="3"/>
  <c r="Z77" i="3"/>
  <c r="AA77" i="3"/>
  <c r="AB77" i="3"/>
  <c r="AC77" i="3"/>
  <c r="AD77" i="3"/>
  <c r="AE77" i="3"/>
  <c r="AF77" i="3"/>
  <c r="AG77" i="3"/>
  <c r="AH77" i="3"/>
  <c r="AI77" i="3"/>
  <c r="AJ77" i="3"/>
  <c r="AK77" i="3"/>
  <c r="AL77" i="3"/>
  <c r="AM77" i="3"/>
  <c r="AN77" i="3"/>
  <c r="AO77" i="3"/>
  <c r="AP77" i="3"/>
  <c r="AQ77" i="3"/>
  <c r="AR77" i="3"/>
  <c r="AS77" i="3"/>
  <c r="AT77" i="3"/>
  <c r="AU77" i="3"/>
  <c r="AV77" i="3"/>
  <c r="AW77" i="3"/>
  <c r="AX77" i="3"/>
  <c r="AY77" i="3"/>
  <c r="AZ77" i="3"/>
  <c r="BA77" i="3"/>
  <c r="BB77" i="3"/>
  <c r="BC77" i="3"/>
  <c r="BD77" i="3"/>
  <c r="BE77" i="3"/>
  <c r="BF77" i="3"/>
  <c r="BG77" i="3"/>
  <c r="BH77" i="3"/>
  <c r="BI77" i="3"/>
  <c r="BJ77" i="3"/>
  <c r="BK77" i="3"/>
  <c r="BL77" i="3"/>
  <c r="BM77" i="3"/>
  <c r="BN77" i="3"/>
  <c r="BO77" i="3"/>
  <c r="BP77" i="3"/>
  <c r="BQ77" i="3"/>
  <c r="BR77" i="3"/>
  <c r="BS77" i="3"/>
  <c r="BT77" i="3"/>
  <c r="BU77" i="3"/>
  <c r="BV77" i="3"/>
  <c r="BW77" i="3"/>
  <c r="BX77" i="3"/>
  <c r="BY77" i="3"/>
  <c r="BZ77" i="3"/>
  <c r="CA77" i="3"/>
  <c r="CB77" i="3"/>
  <c r="CC77" i="3"/>
  <c r="CD77" i="3"/>
  <c r="CE77" i="3"/>
  <c r="CF77" i="3"/>
  <c r="CG77" i="3"/>
  <c r="CH77" i="3"/>
  <c r="CI77" i="3"/>
  <c r="CJ77" i="3"/>
  <c r="CK77" i="3"/>
  <c r="CL77" i="3"/>
  <c r="CM77" i="3"/>
  <c r="CN77" i="3"/>
  <c r="CO77" i="3"/>
  <c r="CP77" i="3"/>
  <c r="CQ77" i="3"/>
  <c r="CR77" i="3"/>
  <c r="CS77" i="3"/>
  <c r="CT77" i="3"/>
  <c r="CU77" i="3"/>
  <c r="CV77" i="3"/>
  <c r="CW77" i="3"/>
  <c r="CX77" i="3"/>
  <c r="D78" i="3"/>
  <c r="E78" i="3"/>
  <c r="F78" i="3"/>
  <c r="G78" i="3"/>
  <c r="H78" i="3"/>
  <c r="I78" i="3"/>
  <c r="J78" i="3"/>
  <c r="K78" i="3"/>
  <c r="L78" i="3"/>
  <c r="M78" i="3"/>
  <c r="N78" i="3"/>
  <c r="O78" i="3"/>
  <c r="P78" i="3"/>
  <c r="Q78" i="3"/>
  <c r="R78" i="3"/>
  <c r="S78" i="3"/>
  <c r="T78" i="3"/>
  <c r="U78" i="3"/>
  <c r="V78" i="3"/>
  <c r="W78" i="3"/>
  <c r="X78" i="3"/>
  <c r="Y78" i="3"/>
  <c r="Z78" i="3"/>
  <c r="AA78" i="3"/>
  <c r="AB78" i="3"/>
  <c r="AC78" i="3"/>
  <c r="AD78" i="3"/>
  <c r="AE78" i="3"/>
  <c r="AF78" i="3"/>
  <c r="AG78" i="3"/>
  <c r="AH78" i="3"/>
  <c r="AI78" i="3"/>
  <c r="AJ78" i="3"/>
  <c r="AK78" i="3"/>
  <c r="AL78" i="3"/>
  <c r="AM78" i="3"/>
  <c r="AN78" i="3"/>
  <c r="AO78" i="3"/>
  <c r="AP78" i="3"/>
  <c r="AQ78" i="3"/>
  <c r="AR78" i="3"/>
  <c r="AS78" i="3"/>
  <c r="AT78" i="3"/>
  <c r="AU78" i="3"/>
  <c r="AV78" i="3"/>
  <c r="AW78" i="3"/>
  <c r="AX78" i="3"/>
  <c r="AY78" i="3"/>
  <c r="AZ78" i="3"/>
  <c r="BA78" i="3"/>
  <c r="BB78" i="3"/>
  <c r="BC78" i="3"/>
  <c r="BD78" i="3"/>
  <c r="BE78" i="3"/>
  <c r="BF78" i="3"/>
  <c r="BG78" i="3"/>
  <c r="BH78" i="3"/>
  <c r="BI78" i="3"/>
  <c r="BJ78" i="3"/>
  <c r="BK78" i="3"/>
  <c r="BL78" i="3"/>
  <c r="BM78" i="3"/>
  <c r="BN78" i="3"/>
  <c r="BO78" i="3"/>
  <c r="BP78" i="3"/>
  <c r="BQ78" i="3"/>
  <c r="BR78" i="3"/>
  <c r="BS78" i="3"/>
  <c r="BT78" i="3"/>
  <c r="BU78" i="3"/>
  <c r="BV78" i="3"/>
  <c r="BW78" i="3"/>
  <c r="BX78" i="3"/>
  <c r="BY78" i="3"/>
  <c r="BZ78" i="3"/>
  <c r="CA78" i="3"/>
  <c r="CB78" i="3"/>
  <c r="CC78" i="3"/>
  <c r="CD78" i="3"/>
  <c r="CE78" i="3"/>
  <c r="CF78" i="3"/>
  <c r="CG78" i="3"/>
  <c r="CH78" i="3"/>
  <c r="CI78" i="3"/>
  <c r="CJ78" i="3"/>
  <c r="CK78" i="3"/>
  <c r="CL78" i="3"/>
  <c r="CM78" i="3"/>
  <c r="CN78" i="3"/>
  <c r="CO78" i="3"/>
  <c r="CP78" i="3"/>
  <c r="CQ78" i="3"/>
  <c r="CR78" i="3"/>
  <c r="CS78" i="3"/>
  <c r="CT78" i="3"/>
  <c r="CU78" i="3"/>
  <c r="CV78" i="3"/>
  <c r="CW78" i="3"/>
  <c r="CX78" i="3"/>
  <c r="D79" i="3"/>
  <c r="E79" i="3"/>
  <c r="F79" i="3"/>
  <c r="G79" i="3"/>
  <c r="H79" i="3"/>
  <c r="I79" i="3"/>
  <c r="J79" i="3"/>
  <c r="K79" i="3"/>
  <c r="L79" i="3"/>
  <c r="M79" i="3"/>
  <c r="N79" i="3"/>
  <c r="O79" i="3"/>
  <c r="P79" i="3"/>
  <c r="Q79" i="3"/>
  <c r="R79" i="3"/>
  <c r="S79" i="3"/>
  <c r="T79" i="3"/>
  <c r="U79" i="3"/>
  <c r="V79" i="3"/>
  <c r="W79" i="3"/>
  <c r="X79" i="3"/>
  <c r="Y79" i="3"/>
  <c r="Z79" i="3"/>
  <c r="AA79" i="3"/>
  <c r="AB79" i="3"/>
  <c r="AC79" i="3"/>
  <c r="AD79" i="3"/>
  <c r="AE79" i="3"/>
  <c r="AF79" i="3"/>
  <c r="AG79" i="3"/>
  <c r="AH79" i="3"/>
  <c r="AI79" i="3"/>
  <c r="AJ79" i="3"/>
  <c r="AK79" i="3"/>
  <c r="AL79" i="3"/>
  <c r="AM79" i="3"/>
  <c r="AN79" i="3"/>
  <c r="AO79" i="3"/>
  <c r="AP79" i="3"/>
  <c r="AQ79" i="3"/>
  <c r="AR79" i="3"/>
  <c r="AS79" i="3"/>
  <c r="AT79" i="3"/>
  <c r="AU79" i="3"/>
  <c r="AV79" i="3"/>
  <c r="AW79" i="3"/>
  <c r="AX79" i="3"/>
  <c r="AY79" i="3"/>
  <c r="AZ79" i="3"/>
  <c r="BA79" i="3"/>
  <c r="BB79" i="3"/>
  <c r="BC79" i="3"/>
  <c r="BD79" i="3"/>
  <c r="BE79" i="3"/>
  <c r="BF79" i="3"/>
  <c r="BG79" i="3"/>
  <c r="BH79" i="3"/>
  <c r="BI79" i="3"/>
  <c r="BJ79" i="3"/>
  <c r="BK79" i="3"/>
  <c r="BL79" i="3"/>
  <c r="BM79" i="3"/>
  <c r="BN79" i="3"/>
  <c r="BO79" i="3"/>
  <c r="BP79" i="3"/>
  <c r="BQ79" i="3"/>
  <c r="BR79" i="3"/>
  <c r="BS79" i="3"/>
  <c r="BT79" i="3"/>
  <c r="BU79" i="3"/>
  <c r="BV79" i="3"/>
  <c r="BW79" i="3"/>
  <c r="BX79" i="3"/>
  <c r="BY79" i="3"/>
  <c r="BZ79" i="3"/>
  <c r="CA79" i="3"/>
  <c r="CB79" i="3"/>
  <c r="CC79" i="3"/>
  <c r="CD79" i="3"/>
  <c r="CE79" i="3"/>
  <c r="CF79" i="3"/>
  <c r="CG79" i="3"/>
  <c r="CH79" i="3"/>
  <c r="CI79" i="3"/>
  <c r="CJ79" i="3"/>
  <c r="CK79" i="3"/>
  <c r="CL79" i="3"/>
  <c r="CM79" i="3"/>
  <c r="CN79" i="3"/>
  <c r="CO79" i="3"/>
  <c r="CP79" i="3"/>
  <c r="CQ79" i="3"/>
  <c r="CR79" i="3"/>
  <c r="CS79" i="3"/>
  <c r="CT79" i="3"/>
  <c r="CU79" i="3"/>
  <c r="CV79" i="3"/>
  <c r="CW79" i="3"/>
  <c r="CX79" i="3"/>
  <c r="D80" i="3"/>
  <c r="E80" i="3"/>
  <c r="F80" i="3"/>
  <c r="G80" i="3"/>
  <c r="H80" i="3"/>
  <c r="I80" i="3"/>
  <c r="J80" i="3"/>
  <c r="K80" i="3"/>
  <c r="L80" i="3"/>
  <c r="M80" i="3"/>
  <c r="N80" i="3"/>
  <c r="O80" i="3"/>
  <c r="P80" i="3"/>
  <c r="Q80" i="3"/>
  <c r="R80" i="3"/>
  <c r="S80" i="3"/>
  <c r="T80" i="3"/>
  <c r="U80" i="3"/>
  <c r="V80" i="3"/>
  <c r="W80" i="3"/>
  <c r="X80" i="3"/>
  <c r="Y80" i="3"/>
  <c r="Z80" i="3"/>
  <c r="AA80" i="3"/>
  <c r="AB80" i="3"/>
  <c r="AC80" i="3"/>
  <c r="AD80" i="3"/>
  <c r="AE80" i="3"/>
  <c r="AF80" i="3"/>
  <c r="AG80" i="3"/>
  <c r="AH80" i="3"/>
  <c r="AI80" i="3"/>
  <c r="AJ80" i="3"/>
  <c r="AK80" i="3"/>
  <c r="AL80" i="3"/>
  <c r="AM80" i="3"/>
  <c r="AN80" i="3"/>
  <c r="AO80" i="3"/>
  <c r="AP80" i="3"/>
  <c r="AQ80" i="3"/>
  <c r="AR80" i="3"/>
  <c r="AS80" i="3"/>
  <c r="AT80" i="3"/>
  <c r="AU80" i="3"/>
  <c r="AV80" i="3"/>
  <c r="AW80" i="3"/>
  <c r="AX80" i="3"/>
  <c r="AY80" i="3"/>
  <c r="AZ80" i="3"/>
  <c r="BA80" i="3"/>
  <c r="BB80" i="3"/>
  <c r="BC80" i="3"/>
  <c r="BD80" i="3"/>
  <c r="BE80" i="3"/>
  <c r="BF80" i="3"/>
  <c r="BG80" i="3"/>
  <c r="BH80" i="3"/>
  <c r="BI80" i="3"/>
  <c r="BJ80" i="3"/>
  <c r="BK80" i="3"/>
  <c r="BL80" i="3"/>
  <c r="BM80" i="3"/>
  <c r="BN80" i="3"/>
  <c r="BO80" i="3"/>
  <c r="BP80" i="3"/>
  <c r="BQ80" i="3"/>
  <c r="BR80" i="3"/>
  <c r="BS80" i="3"/>
  <c r="BT80" i="3"/>
  <c r="BU80" i="3"/>
  <c r="BV80" i="3"/>
  <c r="BW80" i="3"/>
  <c r="BX80" i="3"/>
  <c r="BY80" i="3"/>
  <c r="BZ80" i="3"/>
  <c r="CA80" i="3"/>
  <c r="CB80" i="3"/>
  <c r="CC80" i="3"/>
  <c r="CD80" i="3"/>
  <c r="CE80" i="3"/>
  <c r="CF80" i="3"/>
  <c r="CG80" i="3"/>
  <c r="CH80" i="3"/>
  <c r="CI80" i="3"/>
  <c r="CJ80" i="3"/>
  <c r="CK80" i="3"/>
  <c r="CL80" i="3"/>
  <c r="CM80" i="3"/>
  <c r="CN80" i="3"/>
  <c r="CO80" i="3"/>
  <c r="CP80" i="3"/>
  <c r="CQ80" i="3"/>
  <c r="CR80" i="3"/>
  <c r="CS80" i="3"/>
  <c r="CT80" i="3"/>
  <c r="CU80" i="3"/>
  <c r="CV80" i="3"/>
  <c r="CW80" i="3"/>
  <c r="CX80" i="3"/>
  <c r="D81" i="3"/>
  <c r="E81" i="3"/>
  <c r="F81" i="3"/>
  <c r="G81" i="3"/>
  <c r="H81" i="3"/>
  <c r="I81" i="3"/>
  <c r="J81" i="3"/>
  <c r="K81" i="3"/>
  <c r="L81" i="3"/>
  <c r="M81" i="3"/>
  <c r="N81" i="3"/>
  <c r="O81" i="3"/>
  <c r="P81" i="3"/>
  <c r="Q81" i="3"/>
  <c r="R81" i="3"/>
  <c r="S81" i="3"/>
  <c r="T81" i="3"/>
  <c r="U81" i="3"/>
  <c r="V81" i="3"/>
  <c r="W81" i="3"/>
  <c r="X81" i="3"/>
  <c r="Y81" i="3"/>
  <c r="Z81" i="3"/>
  <c r="AA81" i="3"/>
  <c r="AB81" i="3"/>
  <c r="AC81" i="3"/>
  <c r="AD81" i="3"/>
  <c r="AE81" i="3"/>
  <c r="AF81" i="3"/>
  <c r="AG81" i="3"/>
  <c r="AH81" i="3"/>
  <c r="AI81" i="3"/>
  <c r="AJ81" i="3"/>
  <c r="AK81" i="3"/>
  <c r="AL81" i="3"/>
  <c r="AM81" i="3"/>
  <c r="AN81" i="3"/>
  <c r="AO81" i="3"/>
  <c r="AP81" i="3"/>
  <c r="AQ81" i="3"/>
  <c r="AR81" i="3"/>
  <c r="AS81" i="3"/>
  <c r="AT81" i="3"/>
  <c r="AU81" i="3"/>
  <c r="AV81" i="3"/>
  <c r="AW81" i="3"/>
  <c r="AX81" i="3"/>
  <c r="AY81" i="3"/>
  <c r="AZ81" i="3"/>
  <c r="BA81" i="3"/>
  <c r="BB81" i="3"/>
  <c r="BC81" i="3"/>
  <c r="BD81" i="3"/>
  <c r="BE81" i="3"/>
  <c r="BF81" i="3"/>
  <c r="BG81" i="3"/>
  <c r="BH81" i="3"/>
  <c r="BI81" i="3"/>
  <c r="BJ81" i="3"/>
  <c r="BK81" i="3"/>
  <c r="BL81" i="3"/>
  <c r="BM81" i="3"/>
  <c r="BN81" i="3"/>
  <c r="BO81" i="3"/>
  <c r="BP81" i="3"/>
  <c r="BQ81" i="3"/>
  <c r="BR81" i="3"/>
  <c r="BS81" i="3"/>
  <c r="BT81" i="3"/>
  <c r="BU81" i="3"/>
  <c r="BV81" i="3"/>
  <c r="BW81" i="3"/>
  <c r="BX81" i="3"/>
  <c r="BY81" i="3"/>
  <c r="BZ81" i="3"/>
  <c r="CA81" i="3"/>
  <c r="CB81" i="3"/>
  <c r="CC81" i="3"/>
  <c r="CD81" i="3"/>
  <c r="CE81" i="3"/>
  <c r="CF81" i="3"/>
  <c r="CG81" i="3"/>
  <c r="CH81" i="3"/>
  <c r="CI81" i="3"/>
  <c r="CJ81" i="3"/>
  <c r="CK81" i="3"/>
  <c r="CL81" i="3"/>
  <c r="CM81" i="3"/>
  <c r="CN81" i="3"/>
  <c r="CO81" i="3"/>
  <c r="CP81" i="3"/>
  <c r="CQ81" i="3"/>
  <c r="CR81" i="3"/>
  <c r="CS81" i="3"/>
  <c r="CT81" i="3"/>
  <c r="CU81" i="3"/>
  <c r="CV81" i="3"/>
  <c r="CW81" i="3"/>
  <c r="CX81" i="3"/>
  <c r="D82" i="3"/>
  <c r="E82" i="3"/>
  <c r="F82" i="3"/>
  <c r="G82" i="3"/>
  <c r="H82" i="3"/>
  <c r="I82" i="3"/>
  <c r="J82" i="3"/>
  <c r="K82" i="3"/>
  <c r="L82" i="3"/>
  <c r="M82" i="3"/>
  <c r="N82" i="3"/>
  <c r="O82" i="3"/>
  <c r="P82" i="3"/>
  <c r="Q82" i="3"/>
  <c r="R82" i="3"/>
  <c r="S82" i="3"/>
  <c r="T82" i="3"/>
  <c r="U82" i="3"/>
  <c r="V82" i="3"/>
  <c r="W82" i="3"/>
  <c r="X82" i="3"/>
  <c r="Y82" i="3"/>
  <c r="Z82" i="3"/>
  <c r="AA82" i="3"/>
  <c r="AB82" i="3"/>
  <c r="AC82" i="3"/>
  <c r="AD82" i="3"/>
  <c r="AE82" i="3"/>
  <c r="AF82" i="3"/>
  <c r="AG82" i="3"/>
  <c r="AH82" i="3"/>
  <c r="AI82" i="3"/>
  <c r="AJ82" i="3"/>
  <c r="AK82" i="3"/>
  <c r="AL82" i="3"/>
  <c r="AM82" i="3"/>
  <c r="AN82" i="3"/>
  <c r="AO82" i="3"/>
  <c r="AP82" i="3"/>
  <c r="AQ82" i="3"/>
  <c r="AR82" i="3"/>
  <c r="AS82" i="3"/>
  <c r="AT82" i="3"/>
  <c r="AU82" i="3"/>
  <c r="AV82" i="3"/>
  <c r="AW82" i="3"/>
  <c r="AX82" i="3"/>
  <c r="AY82" i="3"/>
  <c r="AZ82" i="3"/>
  <c r="BA82" i="3"/>
  <c r="BB82" i="3"/>
  <c r="BC82" i="3"/>
  <c r="BD82" i="3"/>
  <c r="BE82" i="3"/>
  <c r="BF82" i="3"/>
  <c r="BG82" i="3"/>
  <c r="BH82" i="3"/>
  <c r="BI82" i="3"/>
  <c r="BJ82" i="3"/>
  <c r="BK82" i="3"/>
  <c r="BL82" i="3"/>
  <c r="BM82" i="3"/>
  <c r="BN82" i="3"/>
  <c r="BO82" i="3"/>
  <c r="BP82" i="3"/>
  <c r="BQ82" i="3"/>
  <c r="BR82" i="3"/>
  <c r="BS82" i="3"/>
  <c r="BT82" i="3"/>
  <c r="BU82" i="3"/>
  <c r="BV82" i="3"/>
  <c r="BW82" i="3"/>
  <c r="BX82" i="3"/>
  <c r="BY82" i="3"/>
  <c r="BZ82" i="3"/>
  <c r="CA82" i="3"/>
  <c r="CB82" i="3"/>
  <c r="CC82" i="3"/>
  <c r="CD82" i="3"/>
  <c r="CE82" i="3"/>
  <c r="CF82" i="3"/>
  <c r="CG82" i="3"/>
  <c r="CH82" i="3"/>
  <c r="CI82" i="3"/>
  <c r="CJ82" i="3"/>
  <c r="CK82" i="3"/>
  <c r="CL82" i="3"/>
  <c r="CM82" i="3"/>
  <c r="CN82" i="3"/>
  <c r="CO82" i="3"/>
  <c r="CP82" i="3"/>
  <c r="CQ82" i="3"/>
  <c r="CR82" i="3"/>
  <c r="CS82" i="3"/>
  <c r="CT82" i="3"/>
  <c r="CU82" i="3"/>
  <c r="CV82" i="3"/>
  <c r="CW82" i="3"/>
  <c r="CX82" i="3"/>
  <c r="D83" i="3"/>
  <c r="E83" i="3"/>
  <c r="F83" i="3"/>
  <c r="G83" i="3"/>
  <c r="H83" i="3"/>
  <c r="I83" i="3"/>
  <c r="J83" i="3"/>
  <c r="K83" i="3"/>
  <c r="L83" i="3"/>
  <c r="M83" i="3"/>
  <c r="N83" i="3"/>
  <c r="O83" i="3"/>
  <c r="P83" i="3"/>
  <c r="Q83" i="3"/>
  <c r="R83" i="3"/>
  <c r="S83" i="3"/>
  <c r="T83" i="3"/>
  <c r="U83" i="3"/>
  <c r="V83" i="3"/>
  <c r="W83" i="3"/>
  <c r="X83" i="3"/>
  <c r="Y83" i="3"/>
  <c r="Z83" i="3"/>
  <c r="AA83" i="3"/>
  <c r="AB83" i="3"/>
  <c r="AC83" i="3"/>
  <c r="AD83" i="3"/>
  <c r="AE83" i="3"/>
  <c r="AF83" i="3"/>
  <c r="AG83" i="3"/>
  <c r="AH83" i="3"/>
  <c r="AI83" i="3"/>
  <c r="AJ83" i="3"/>
  <c r="AK83" i="3"/>
  <c r="AL83" i="3"/>
  <c r="AM83" i="3"/>
  <c r="AN83" i="3"/>
  <c r="AO83" i="3"/>
  <c r="AP83" i="3"/>
  <c r="AQ83" i="3"/>
  <c r="AR83" i="3"/>
  <c r="AS83" i="3"/>
  <c r="AT83" i="3"/>
  <c r="AU83" i="3"/>
  <c r="AV83" i="3"/>
  <c r="AW83" i="3"/>
  <c r="AX83" i="3"/>
  <c r="AY83" i="3"/>
  <c r="AZ83" i="3"/>
  <c r="BA83" i="3"/>
  <c r="BB83" i="3"/>
  <c r="BC83" i="3"/>
  <c r="BD83" i="3"/>
  <c r="BE83" i="3"/>
  <c r="BF83" i="3"/>
  <c r="BG83" i="3"/>
  <c r="BH83" i="3"/>
  <c r="BI83" i="3"/>
  <c r="BJ83" i="3"/>
  <c r="BK83" i="3"/>
  <c r="BL83" i="3"/>
  <c r="BM83" i="3"/>
  <c r="BN83" i="3"/>
  <c r="BO83" i="3"/>
  <c r="BP83" i="3"/>
  <c r="BQ83" i="3"/>
  <c r="BR83" i="3"/>
  <c r="BS83" i="3"/>
  <c r="BT83" i="3"/>
  <c r="BU83" i="3"/>
  <c r="BV83" i="3"/>
  <c r="BW83" i="3"/>
  <c r="BX83" i="3"/>
  <c r="BY83" i="3"/>
  <c r="BZ83" i="3"/>
  <c r="CA83" i="3"/>
  <c r="CB83" i="3"/>
  <c r="CC83" i="3"/>
  <c r="CD83" i="3"/>
  <c r="CE83" i="3"/>
  <c r="CF83" i="3"/>
  <c r="CG83" i="3"/>
  <c r="CH83" i="3"/>
  <c r="CI83" i="3"/>
  <c r="CJ83" i="3"/>
  <c r="CK83" i="3"/>
  <c r="CL83" i="3"/>
  <c r="CM83" i="3"/>
  <c r="CN83" i="3"/>
  <c r="CO83" i="3"/>
  <c r="CP83" i="3"/>
  <c r="CQ83" i="3"/>
  <c r="CR83" i="3"/>
  <c r="CS83" i="3"/>
  <c r="CT83" i="3"/>
  <c r="CU83" i="3"/>
  <c r="CV83" i="3"/>
  <c r="CW83" i="3"/>
  <c r="CX83" i="3"/>
  <c r="D84" i="3"/>
  <c r="E84" i="3"/>
  <c r="F84" i="3"/>
  <c r="G84" i="3"/>
  <c r="H84" i="3"/>
  <c r="I84" i="3"/>
  <c r="J84" i="3"/>
  <c r="K84" i="3"/>
  <c r="L84" i="3"/>
  <c r="M84" i="3"/>
  <c r="N84" i="3"/>
  <c r="O84" i="3"/>
  <c r="P84" i="3"/>
  <c r="Q84" i="3"/>
  <c r="R84" i="3"/>
  <c r="S84" i="3"/>
  <c r="T84" i="3"/>
  <c r="U84" i="3"/>
  <c r="V84" i="3"/>
  <c r="W84" i="3"/>
  <c r="X84" i="3"/>
  <c r="Y84" i="3"/>
  <c r="Z84" i="3"/>
  <c r="AA84" i="3"/>
  <c r="AB84" i="3"/>
  <c r="AC84" i="3"/>
  <c r="AD84" i="3"/>
  <c r="AE84" i="3"/>
  <c r="AF84" i="3"/>
  <c r="AG84" i="3"/>
  <c r="AH84" i="3"/>
  <c r="AI84" i="3"/>
  <c r="AJ84" i="3"/>
  <c r="AK84" i="3"/>
  <c r="AL84" i="3"/>
  <c r="AM84" i="3"/>
  <c r="AN84" i="3"/>
  <c r="AO84" i="3"/>
  <c r="AP84" i="3"/>
  <c r="AQ84" i="3"/>
  <c r="AR84" i="3"/>
  <c r="AS84" i="3"/>
  <c r="AT84" i="3"/>
  <c r="AU84" i="3"/>
  <c r="AV84" i="3"/>
  <c r="AW84" i="3"/>
  <c r="AX84" i="3"/>
  <c r="AY84" i="3"/>
  <c r="AZ84" i="3"/>
  <c r="BA84" i="3"/>
  <c r="BB84" i="3"/>
  <c r="BC84" i="3"/>
  <c r="BD84" i="3"/>
  <c r="BE84" i="3"/>
  <c r="BF84" i="3"/>
  <c r="BG84" i="3"/>
  <c r="BH84" i="3"/>
  <c r="BI84" i="3"/>
  <c r="BJ84" i="3"/>
  <c r="BK84" i="3"/>
  <c r="BL84" i="3"/>
  <c r="BM84" i="3"/>
  <c r="BN84" i="3"/>
  <c r="BO84" i="3"/>
  <c r="BP84" i="3"/>
  <c r="BQ84" i="3"/>
  <c r="BR84" i="3"/>
  <c r="BS84" i="3"/>
  <c r="BT84" i="3"/>
  <c r="BU84" i="3"/>
  <c r="BV84" i="3"/>
  <c r="BW84" i="3"/>
  <c r="BX84" i="3"/>
  <c r="BY84" i="3"/>
  <c r="BZ84" i="3"/>
  <c r="CA84" i="3"/>
  <c r="CB84" i="3"/>
  <c r="CC84" i="3"/>
  <c r="CD84" i="3"/>
  <c r="CE84" i="3"/>
  <c r="CF84" i="3"/>
  <c r="CG84" i="3"/>
  <c r="CH84" i="3"/>
  <c r="CI84" i="3"/>
  <c r="CJ84" i="3"/>
  <c r="CK84" i="3"/>
  <c r="CL84" i="3"/>
  <c r="CM84" i="3"/>
  <c r="CN84" i="3"/>
  <c r="CO84" i="3"/>
  <c r="CP84" i="3"/>
  <c r="CQ84" i="3"/>
  <c r="CR84" i="3"/>
  <c r="CS84" i="3"/>
  <c r="CT84" i="3"/>
  <c r="CU84" i="3"/>
  <c r="CV84" i="3"/>
  <c r="CW84" i="3"/>
  <c r="CX84" i="3"/>
  <c r="D85" i="3"/>
  <c r="E85" i="3"/>
  <c r="F85" i="3"/>
  <c r="G85" i="3"/>
  <c r="H85" i="3"/>
  <c r="I85" i="3"/>
  <c r="J85" i="3"/>
  <c r="K85" i="3"/>
  <c r="L85" i="3"/>
  <c r="M85" i="3"/>
  <c r="N85" i="3"/>
  <c r="O85" i="3"/>
  <c r="P85" i="3"/>
  <c r="Q85" i="3"/>
  <c r="R85" i="3"/>
  <c r="S85" i="3"/>
  <c r="T85" i="3"/>
  <c r="U85" i="3"/>
  <c r="V85" i="3"/>
  <c r="W85" i="3"/>
  <c r="X85" i="3"/>
  <c r="Y85" i="3"/>
  <c r="Z85" i="3"/>
  <c r="AA85" i="3"/>
  <c r="AB85" i="3"/>
  <c r="AC85" i="3"/>
  <c r="AD85" i="3"/>
  <c r="AE85" i="3"/>
  <c r="AF85" i="3"/>
  <c r="AG85" i="3"/>
  <c r="AH85" i="3"/>
  <c r="AI85" i="3"/>
  <c r="AJ85" i="3"/>
  <c r="AK85" i="3"/>
  <c r="AL85" i="3"/>
  <c r="AM85" i="3"/>
  <c r="AN85" i="3"/>
  <c r="AO85" i="3"/>
  <c r="AP85" i="3"/>
  <c r="AQ85" i="3"/>
  <c r="AR85" i="3"/>
  <c r="AS85" i="3"/>
  <c r="AT85" i="3"/>
  <c r="AU85" i="3"/>
  <c r="AV85" i="3"/>
  <c r="AW85" i="3"/>
  <c r="AX85" i="3"/>
  <c r="AY85" i="3"/>
  <c r="AZ85" i="3"/>
  <c r="BA85" i="3"/>
  <c r="BB85" i="3"/>
  <c r="BC85" i="3"/>
  <c r="BD85" i="3"/>
  <c r="BE85" i="3"/>
  <c r="BF85" i="3"/>
  <c r="BG85" i="3"/>
  <c r="BH85" i="3"/>
  <c r="BI85" i="3"/>
  <c r="BJ85" i="3"/>
  <c r="BK85" i="3"/>
  <c r="BL85" i="3"/>
  <c r="BM85" i="3"/>
  <c r="BN85" i="3"/>
  <c r="BO85" i="3"/>
  <c r="BP85" i="3"/>
  <c r="BQ85" i="3"/>
  <c r="BR85" i="3"/>
  <c r="BS85" i="3"/>
  <c r="BT85" i="3"/>
  <c r="BU85" i="3"/>
  <c r="BV85" i="3"/>
  <c r="BW85" i="3"/>
  <c r="BX85" i="3"/>
  <c r="BY85" i="3"/>
  <c r="BZ85" i="3"/>
  <c r="CA85" i="3"/>
  <c r="CB85" i="3"/>
  <c r="CC85" i="3"/>
  <c r="CD85" i="3"/>
  <c r="CE85" i="3"/>
  <c r="CF85" i="3"/>
  <c r="CG85" i="3"/>
  <c r="CH85" i="3"/>
  <c r="CI85" i="3"/>
  <c r="CJ85" i="3"/>
  <c r="CK85" i="3"/>
  <c r="CL85" i="3"/>
  <c r="CM85" i="3"/>
  <c r="CN85" i="3"/>
  <c r="CO85" i="3"/>
  <c r="CP85" i="3"/>
  <c r="CQ85" i="3"/>
  <c r="CR85" i="3"/>
  <c r="CS85" i="3"/>
  <c r="CT85" i="3"/>
  <c r="CU85" i="3"/>
  <c r="CV85" i="3"/>
  <c r="CW85" i="3"/>
  <c r="CX85" i="3"/>
  <c r="D86" i="3"/>
  <c r="E86" i="3"/>
  <c r="F86" i="3"/>
  <c r="G86" i="3"/>
  <c r="H86" i="3"/>
  <c r="I86" i="3"/>
  <c r="J86" i="3"/>
  <c r="K86" i="3"/>
  <c r="L86" i="3"/>
  <c r="M86" i="3"/>
  <c r="N86" i="3"/>
  <c r="O86" i="3"/>
  <c r="P86" i="3"/>
  <c r="Q86" i="3"/>
  <c r="R86" i="3"/>
  <c r="S86" i="3"/>
  <c r="T86" i="3"/>
  <c r="U86" i="3"/>
  <c r="V86" i="3"/>
  <c r="W86" i="3"/>
  <c r="X86" i="3"/>
  <c r="Y86" i="3"/>
  <c r="Z86" i="3"/>
  <c r="AA86" i="3"/>
  <c r="AB86" i="3"/>
  <c r="AC86" i="3"/>
  <c r="AD86" i="3"/>
  <c r="AE86" i="3"/>
  <c r="AF86" i="3"/>
  <c r="AG86" i="3"/>
  <c r="AH86" i="3"/>
  <c r="AI86" i="3"/>
  <c r="AJ86" i="3"/>
  <c r="AK86" i="3"/>
  <c r="AL86" i="3"/>
  <c r="AM86" i="3"/>
  <c r="AN86" i="3"/>
  <c r="AO86" i="3"/>
  <c r="AP86" i="3"/>
  <c r="AQ86" i="3"/>
  <c r="AR86" i="3"/>
  <c r="AS86" i="3"/>
  <c r="AT86" i="3"/>
  <c r="AU86" i="3"/>
  <c r="AV86" i="3"/>
  <c r="AW86" i="3"/>
  <c r="AX86" i="3"/>
  <c r="AY86" i="3"/>
  <c r="AZ86" i="3"/>
  <c r="BA86" i="3"/>
  <c r="BB86" i="3"/>
  <c r="BC86" i="3"/>
  <c r="BD86" i="3"/>
  <c r="BE86" i="3"/>
  <c r="BF86" i="3"/>
  <c r="BG86" i="3"/>
  <c r="BH86" i="3"/>
  <c r="BI86" i="3"/>
  <c r="BJ86" i="3"/>
  <c r="BK86" i="3"/>
  <c r="BL86" i="3"/>
  <c r="BM86" i="3"/>
  <c r="BN86" i="3"/>
  <c r="BO86" i="3"/>
  <c r="BP86" i="3"/>
  <c r="BQ86" i="3"/>
  <c r="BR86" i="3"/>
  <c r="BS86" i="3"/>
  <c r="BT86" i="3"/>
  <c r="BU86" i="3"/>
  <c r="BV86" i="3"/>
  <c r="BW86" i="3"/>
  <c r="BX86" i="3"/>
  <c r="BY86" i="3"/>
  <c r="BZ86" i="3"/>
  <c r="CA86" i="3"/>
  <c r="CB86" i="3"/>
  <c r="CC86" i="3"/>
  <c r="CD86" i="3"/>
  <c r="CE86" i="3"/>
  <c r="CF86" i="3"/>
  <c r="CG86" i="3"/>
  <c r="CH86" i="3"/>
  <c r="CI86" i="3"/>
  <c r="CJ86" i="3"/>
  <c r="CK86" i="3"/>
  <c r="CL86" i="3"/>
  <c r="CM86" i="3"/>
  <c r="CN86" i="3"/>
  <c r="CO86" i="3"/>
  <c r="CP86" i="3"/>
  <c r="CQ86" i="3"/>
  <c r="CR86" i="3"/>
  <c r="CS86" i="3"/>
  <c r="CT86" i="3"/>
  <c r="CU86" i="3"/>
  <c r="CV86" i="3"/>
  <c r="CW86" i="3"/>
  <c r="CX86" i="3"/>
  <c r="D87" i="3"/>
  <c r="E87" i="3"/>
  <c r="F87" i="3"/>
  <c r="G87" i="3"/>
  <c r="H87" i="3"/>
  <c r="I87" i="3"/>
  <c r="J87" i="3"/>
  <c r="K87" i="3"/>
  <c r="L87" i="3"/>
  <c r="M87" i="3"/>
  <c r="N87" i="3"/>
  <c r="O87" i="3"/>
  <c r="P87" i="3"/>
  <c r="Q87" i="3"/>
  <c r="R87" i="3"/>
  <c r="S87" i="3"/>
  <c r="T87" i="3"/>
  <c r="U87" i="3"/>
  <c r="V87" i="3"/>
  <c r="W87" i="3"/>
  <c r="X87" i="3"/>
  <c r="Y87" i="3"/>
  <c r="Z87" i="3"/>
  <c r="AA87" i="3"/>
  <c r="AB87" i="3"/>
  <c r="AC87" i="3"/>
  <c r="AD87" i="3"/>
  <c r="AE87" i="3"/>
  <c r="AF87" i="3"/>
  <c r="AG87" i="3"/>
  <c r="AH87" i="3"/>
  <c r="AI87" i="3"/>
  <c r="AJ87" i="3"/>
  <c r="AK87" i="3"/>
  <c r="AL87" i="3"/>
  <c r="AM87" i="3"/>
  <c r="AN87" i="3"/>
  <c r="AO87" i="3"/>
  <c r="AP87" i="3"/>
  <c r="AQ87" i="3"/>
  <c r="AR87" i="3"/>
  <c r="AS87" i="3"/>
  <c r="AT87" i="3"/>
  <c r="AU87" i="3"/>
  <c r="AV87" i="3"/>
  <c r="AW87" i="3"/>
  <c r="AX87" i="3"/>
  <c r="AY87" i="3"/>
  <c r="AZ87" i="3"/>
  <c r="BA87" i="3"/>
  <c r="BB87" i="3"/>
  <c r="BC87" i="3"/>
  <c r="BD87" i="3"/>
  <c r="BE87" i="3"/>
  <c r="BF87" i="3"/>
  <c r="BG87" i="3"/>
  <c r="BH87" i="3"/>
  <c r="BI87" i="3"/>
  <c r="BJ87" i="3"/>
  <c r="BK87" i="3"/>
  <c r="BL87" i="3"/>
  <c r="BM87" i="3"/>
  <c r="BN87" i="3"/>
  <c r="BO87" i="3"/>
  <c r="BP87" i="3"/>
  <c r="BQ87" i="3"/>
  <c r="BR87" i="3"/>
  <c r="BS87" i="3"/>
  <c r="BT87" i="3"/>
  <c r="BU87" i="3"/>
  <c r="BV87" i="3"/>
  <c r="BW87" i="3"/>
  <c r="BX87" i="3"/>
  <c r="BY87" i="3"/>
  <c r="BZ87" i="3"/>
  <c r="CA87" i="3"/>
  <c r="CB87" i="3"/>
  <c r="CC87" i="3"/>
  <c r="CD87" i="3"/>
  <c r="CE87" i="3"/>
  <c r="CF87" i="3"/>
  <c r="CG87" i="3"/>
  <c r="CH87" i="3"/>
  <c r="CI87" i="3"/>
  <c r="CJ87" i="3"/>
  <c r="CK87" i="3"/>
  <c r="CL87" i="3"/>
  <c r="CM87" i="3"/>
  <c r="CN87" i="3"/>
  <c r="CO87" i="3"/>
  <c r="CP87" i="3"/>
  <c r="CQ87" i="3"/>
  <c r="CR87" i="3"/>
  <c r="CS87" i="3"/>
  <c r="CT87" i="3"/>
  <c r="CU87" i="3"/>
  <c r="CV87" i="3"/>
  <c r="CW87" i="3"/>
  <c r="CX87" i="3"/>
  <c r="D88" i="3"/>
  <c r="E88" i="3"/>
  <c r="F88" i="3"/>
  <c r="G88" i="3"/>
  <c r="H88" i="3"/>
  <c r="I88" i="3"/>
  <c r="J88" i="3"/>
  <c r="K88" i="3"/>
  <c r="L88" i="3"/>
  <c r="M88" i="3"/>
  <c r="N88" i="3"/>
  <c r="O88" i="3"/>
  <c r="P88" i="3"/>
  <c r="Q88" i="3"/>
  <c r="R88" i="3"/>
  <c r="S88" i="3"/>
  <c r="T88" i="3"/>
  <c r="U88" i="3"/>
  <c r="V88" i="3"/>
  <c r="W88" i="3"/>
  <c r="X88" i="3"/>
  <c r="Y88" i="3"/>
  <c r="Z88" i="3"/>
  <c r="AA88" i="3"/>
  <c r="AB88" i="3"/>
  <c r="AC88" i="3"/>
  <c r="AD88" i="3"/>
  <c r="AE88" i="3"/>
  <c r="AF88" i="3"/>
  <c r="AG88" i="3"/>
  <c r="AH88" i="3"/>
  <c r="AI88" i="3"/>
  <c r="AJ88" i="3"/>
  <c r="AK88" i="3"/>
  <c r="AL88" i="3"/>
  <c r="AM88" i="3"/>
  <c r="AN88" i="3"/>
  <c r="AO88" i="3"/>
  <c r="AP88" i="3"/>
  <c r="AQ88" i="3"/>
  <c r="AR88" i="3"/>
  <c r="AS88" i="3"/>
  <c r="AT88" i="3"/>
  <c r="AU88" i="3"/>
  <c r="AV88" i="3"/>
  <c r="AW88" i="3"/>
  <c r="AX88" i="3"/>
  <c r="AY88" i="3"/>
  <c r="AZ88" i="3"/>
  <c r="BA88" i="3"/>
  <c r="BB88" i="3"/>
  <c r="BC88" i="3"/>
  <c r="BD88" i="3"/>
  <c r="BE88" i="3"/>
  <c r="BF88" i="3"/>
  <c r="BG88" i="3"/>
  <c r="BH88" i="3"/>
  <c r="BI88" i="3"/>
  <c r="BJ88" i="3"/>
  <c r="BK88" i="3"/>
  <c r="BL88" i="3"/>
  <c r="BM88" i="3"/>
  <c r="BN88" i="3"/>
  <c r="BO88" i="3"/>
  <c r="BP88" i="3"/>
  <c r="BQ88" i="3"/>
  <c r="BR88" i="3"/>
  <c r="BS88" i="3"/>
  <c r="BT88" i="3"/>
  <c r="BU88" i="3"/>
  <c r="BV88" i="3"/>
  <c r="BW88" i="3"/>
  <c r="BX88" i="3"/>
  <c r="BY88" i="3"/>
  <c r="BZ88" i="3"/>
  <c r="CA88" i="3"/>
  <c r="CB88" i="3"/>
  <c r="CC88" i="3"/>
  <c r="CD88" i="3"/>
  <c r="CE88" i="3"/>
  <c r="CF88" i="3"/>
  <c r="CG88" i="3"/>
  <c r="CH88" i="3"/>
  <c r="CI88" i="3"/>
  <c r="CJ88" i="3"/>
  <c r="CK88" i="3"/>
  <c r="CL88" i="3"/>
  <c r="CM88" i="3"/>
  <c r="CN88" i="3"/>
  <c r="CO88" i="3"/>
  <c r="CP88" i="3"/>
  <c r="CQ88" i="3"/>
  <c r="CR88" i="3"/>
  <c r="CS88" i="3"/>
  <c r="CT88" i="3"/>
  <c r="CU88" i="3"/>
  <c r="CV88" i="3"/>
  <c r="CW88" i="3"/>
  <c r="CX88" i="3"/>
  <c r="D89" i="3"/>
  <c r="E89" i="3"/>
  <c r="F89" i="3"/>
  <c r="G89" i="3"/>
  <c r="H89" i="3"/>
  <c r="I89" i="3"/>
  <c r="J89" i="3"/>
  <c r="K89" i="3"/>
  <c r="L89" i="3"/>
  <c r="M89" i="3"/>
  <c r="N89" i="3"/>
  <c r="O89" i="3"/>
  <c r="P89" i="3"/>
  <c r="Q89" i="3"/>
  <c r="R89" i="3"/>
  <c r="S89" i="3"/>
  <c r="T89" i="3"/>
  <c r="U89" i="3"/>
  <c r="V89" i="3"/>
  <c r="W89" i="3"/>
  <c r="X89" i="3"/>
  <c r="Y89" i="3"/>
  <c r="Z89" i="3"/>
  <c r="AA89" i="3"/>
  <c r="AB89" i="3"/>
  <c r="AC89" i="3"/>
  <c r="AD89" i="3"/>
  <c r="AE89" i="3"/>
  <c r="AF89" i="3"/>
  <c r="AG89" i="3"/>
  <c r="AH89" i="3"/>
  <c r="AI89" i="3"/>
  <c r="AJ89" i="3"/>
  <c r="AK89" i="3"/>
  <c r="AL89" i="3"/>
  <c r="AM89" i="3"/>
  <c r="AN89" i="3"/>
  <c r="AO89" i="3"/>
  <c r="AP89" i="3"/>
  <c r="AQ89" i="3"/>
  <c r="AR89" i="3"/>
  <c r="AS89" i="3"/>
  <c r="AT89" i="3"/>
  <c r="AU89" i="3"/>
  <c r="AV89" i="3"/>
  <c r="AW89" i="3"/>
  <c r="AX89" i="3"/>
  <c r="AY89" i="3"/>
  <c r="AZ89" i="3"/>
  <c r="BA89" i="3"/>
  <c r="BB89" i="3"/>
  <c r="BC89" i="3"/>
  <c r="BD89" i="3"/>
  <c r="BE89" i="3"/>
  <c r="BF89" i="3"/>
  <c r="BG89" i="3"/>
  <c r="BH89" i="3"/>
  <c r="BI89" i="3"/>
  <c r="BJ89" i="3"/>
  <c r="BK89" i="3"/>
  <c r="BL89" i="3"/>
  <c r="BM89" i="3"/>
  <c r="BN89" i="3"/>
  <c r="BO89" i="3"/>
  <c r="BP89" i="3"/>
  <c r="BQ89" i="3"/>
  <c r="BR89" i="3"/>
  <c r="BS89" i="3"/>
  <c r="BT89" i="3"/>
  <c r="BU89" i="3"/>
  <c r="BV89" i="3"/>
  <c r="BW89" i="3"/>
  <c r="BX89" i="3"/>
  <c r="BY89" i="3"/>
  <c r="BZ89" i="3"/>
  <c r="CA89" i="3"/>
  <c r="CB89" i="3"/>
  <c r="CC89" i="3"/>
  <c r="CD89" i="3"/>
  <c r="CE89" i="3"/>
  <c r="CF89" i="3"/>
  <c r="CG89" i="3"/>
  <c r="CH89" i="3"/>
  <c r="CI89" i="3"/>
  <c r="CJ89" i="3"/>
  <c r="CK89" i="3"/>
  <c r="CL89" i="3"/>
  <c r="CM89" i="3"/>
  <c r="CN89" i="3"/>
  <c r="CO89" i="3"/>
  <c r="CP89" i="3"/>
  <c r="CQ89" i="3"/>
  <c r="CR89" i="3"/>
  <c r="CS89" i="3"/>
  <c r="CT89" i="3"/>
  <c r="CU89" i="3"/>
  <c r="CV89" i="3"/>
  <c r="CW89" i="3"/>
  <c r="CX89" i="3"/>
  <c r="D90" i="3"/>
  <c r="E90" i="3"/>
  <c r="F90" i="3"/>
  <c r="G90" i="3"/>
  <c r="H90" i="3"/>
  <c r="I90" i="3"/>
  <c r="J90" i="3"/>
  <c r="K90" i="3"/>
  <c r="L90" i="3"/>
  <c r="M90" i="3"/>
  <c r="N90" i="3"/>
  <c r="O90" i="3"/>
  <c r="P90" i="3"/>
  <c r="Q90" i="3"/>
  <c r="R90" i="3"/>
  <c r="S90" i="3"/>
  <c r="T90" i="3"/>
  <c r="U90" i="3"/>
  <c r="V90" i="3"/>
  <c r="W90" i="3"/>
  <c r="X90" i="3"/>
  <c r="Y90" i="3"/>
  <c r="Z90" i="3"/>
  <c r="AA90" i="3"/>
  <c r="AB90" i="3"/>
  <c r="AC90" i="3"/>
  <c r="AD90" i="3"/>
  <c r="AE90" i="3"/>
  <c r="AF90" i="3"/>
  <c r="AG90" i="3"/>
  <c r="AH90" i="3"/>
  <c r="AI90" i="3"/>
  <c r="AJ90" i="3"/>
  <c r="AK90" i="3"/>
  <c r="AL90" i="3"/>
  <c r="AM90" i="3"/>
  <c r="AN90" i="3"/>
  <c r="AO90" i="3"/>
  <c r="AP90" i="3"/>
  <c r="AQ90" i="3"/>
  <c r="AR90" i="3"/>
  <c r="AS90" i="3"/>
  <c r="AT90" i="3"/>
  <c r="AU90" i="3"/>
  <c r="AV90" i="3"/>
  <c r="AW90" i="3"/>
  <c r="AX90" i="3"/>
  <c r="AY90" i="3"/>
  <c r="AZ90" i="3"/>
  <c r="BA90" i="3"/>
  <c r="BB90" i="3"/>
  <c r="BC90" i="3"/>
  <c r="BD90" i="3"/>
  <c r="BE90" i="3"/>
  <c r="BF90" i="3"/>
  <c r="BG90" i="3"/>
  <c r="BH90" i="3"/>
  <c r="BI90" i="3"/>
  <c r="BJ90" i="3"/>
  <c r="BK90" i="3"/>
  <c r="BL90" i="3"/>
  <c r="BM90" i="3"/>
  <c r="BN90" i="3"/>
  <c r="BO90" i="3"/>
  <c r="BP90" i="3"/>
  <c r="BQ90" i="3"/>
  <c r="BR90" i="3"/>
  <c r="BS90" i="3"/>
  <c r="BT90" i="3"/>
  <c r="BU90" i="3"/>
  <c r="BV90" i="3"/>
  <c r="BW90" i="3"/>
  <c r="BX90" i="3"/>
  <c r="BY90" i="3"/>
  <c r="BZ90" i="3"/>
  <c r="CA90" i="3"/>
  <c r="CB90" i="3"/>
  <c r="CC90" i="3"/>
  <c r="CD90" i="3"/>
  <c r="CE90" i="3"/>
  <c r="CF90" i="3"/>
  <c r="CG90" i="3"/>
  <c r="CH90" i="3"/>
  <c r="CI90" i="3"/>
  <c r="CJ90" i="3"/>
  <c r="CK90" i="3"/>
  <c r="CL90" i="3"/>
  <c r="CM90" i="3"/>
  <c r="CN90" i="3"/>
  <c r="CO90" i="3"/>
  <c r="CP90" i="3"/>
  <c r="CQ90" i="3"/>
  <c r="CR90" i="3"/>
  <c r="CS90" i="3"/>
  <c r="CT90" i="3"/>
  <c r="CU90" i="3"/>
  <c r="CV90" i="3"/>
  <c r="CW90" i="3"/>
  <c r="CX90" i="3"/>
  <c r="D91" i="3"/>
  <c r="E91" i="3"/>
  <c r="F91" i="3"/>
  <c r="G91" i="3"/>
  <c r="H91" i="3"/>
  <c r="I91" i="3"/>
  <c r="J91" i="3"/>
  <c r="K91" i="3"/>
  <c r="L91" i="3"/>
  <c r="M91" i="3"/>
  <c r="N91" i="3"/>
  <c r="O91" i="3"/>
  <c r="P91" i="3"/>
  <c r="Q91" i="3"/>
  <c r="R91" i="3"/>
  <c r="S91" i="3"/>
  <c r="T91" i="3"/>
  <c r="U91" i="3"/>
  <c r="V91" i="3"/>
  <c r="W91" i="3"/>
  <c r="X91" i="3"/>
  <c r="Y91" i="3"/>
  <c r="Z91" i="3"/>
  <c r="AA91" i="3"/>
  <c r="AB91" i="3"/>
  <c r="AC91" i="3"/>
  <c r="AD91" i="3"/>
  <c r="AE91" i="3"/>
  <c r="AF91" i="3"/>
  <c r="AG91" i="3"/>
  <c r="AH91" i="3"/>
  <c r="AI91" i="3"/>
  <c r="AJ91" i="3"/>
  <c r="AK91" i="3"/>
  <c r="AL91" i="3"/>
  <c r="AM91" i="3"/>
  <c r="AN91" i="3"/>
  <c r="AO91" i="3"/>
  <c r="AP91" i="3"/>
  <c r="AQ91" i="3"/>
  <c r="AR91" i="3"/>
  <c r="AS91" i="3"/>
  <c r="AT91" i="3"/>
  <c r="AU91" i="3"/>
  <c r="AV91" i="3"/>
  <c r="AW91" i="3"/>
  <c r="AX91" i="3"/>
  <c r="AY91" i="3"/>
  <c r="AZ91" i="3"/>
  <c r="BA91" i="3"/>
  <c r="BB91" i="3"/>
  <c r="BC91" i="3"/>
  <c r="BD91" i="3"/>
  <c r="BE91" i="3"/>
  <c r="BF91" i="3"/>
  <c r="BG91" i="3"/>
  <c r="BH91" i="3"/>
  <c r="BI91" i="3"/>
  <c r="BJ91" i="3"/>
  <c r="BK91" i="3"/>
  <c r="BL91" i="3"/>
  <c r="BM91" i="3"/>
  <c r="BN91" i="3"/>
  <c r="BO91" i="3"/>
  <c r="BP91" i="3"/>
  <c r="BQ91" i="3"/>
  <c r="BR91" i="3"/>
  <c r="BS91" i="3"/>
  <c r="BT91" i="3"/>
  <c r="BU91" i="3"/>
  <c r="BV91" i="3"/>
  <c r="BW91" i="3"/>
  <c r="BX91" i="3"/>
  <c r="BY91" i="3"/>
  <c r="BZ91" i="3"/>
  <c r="CA91" i="3"/>
  <c r="CB91" i="3"/>
  <c r="CC91" i="3"/>
  <c r="CD91" i="3"/>
  <c r="CE91" i="3"/>
  <c r="CF91" i="3"/>
  <c r="CG91" i="3"/>
  <c r="CH91" i="3"/>
  <c r="CI91" i="3"/>
  <c r="CJ91" i="3"/>
  <c r="CK91" i="3"/>
  <c r="CL91" i="3"/>
  <c r="CM91" i="3"/>
  <c r="CN91" i="3"/>
  <c r="CO91" i="3"/>
  <c r="CP91" i="3"/>
  <c r="CQ91" i="3"/>
  <c r="CR91" i="3"/>
  <c r="CS91" i="3"/>
  <c r="CT91" i="3"/>
  <c r="CU91" i="3"/>
  <c r="CV91" i="3"/>
  <c r="CW91" i="3"/>
  <c r="CX91" i="3"/>
  <c r="D92" i="3"/>
  <c r="E92" i="3"/>
  <c r="F92" i="3"/>
  <c r="G92" i="3"/>
  <c r="H92" i="3"/>
  <c r="I92" i="3"/>
  <c r="J92" i="3"/>
  <c r="K92" i="3"/>
  <c r="L92" i="3"/>
  <c r="M92" i="3"/>
  <c r="N92" i="3"/>
  <c r="O92" i="3"/>
  <c r="P92" i="3"/>
  <c r="Q92" i="3"/>
  <c r="R92" i="3"/>
  <c r="S92" i="3"/>
  <c r="T92" i="3"/>
  <c r="U92" i="3"/>
  <c r="V92" i="3"/>
  <c r="W92" i="3"/>
  <c r="X92" i="3"/>
  <c r="Y92" i="3"/>
  <c r="Z92" i="3"/>
  <c r="AA92" i="3"/>
  <c r="AB92" i="3"/>
  <c r="AC92" i="3"/>
  <c r="AD92" i="3"/>
  <c r="AE92" i="3"/>
  <c r="AF92" i="3"/>
  <c r="AG92" i="3"/>
  <c r="AH92" i="3"/>
  <c r="AI92" i="3"/>
  <c r="AJ92" i="3"/>
  <c r="AK92" i="3"/>
  <c r="AL92" i="3"/>
  <c r="AM92" i="3"/>
  <c r="AN92" i="3"/>
  <c r="AO92" i="3"/>
  <c r="AP92" i="3"/>
  <c r="AQ92" i="3"/>
  <c r="AR92" i="3"/>
  <c r="AS92" i="3"/>
  <c r="AT92" i="3"/>
  <c r="AU92" i="3"/>
  <c r="AV92" i="3"/>
  <c r="AW92" i="3"/>
  <c r="AX92" i="3"/>
  <c r="AY92" i="3"/>
  <c r="AZ92" i="3"/>
  <c r="BA92" i="3"/>
  <c r="BB92" i="3"/>
  <c r="BC92" i="3"/>
  <c r="BD92" i="3"/>
  <c r="BE92" i="3"/>
  <c r="BF92" i="3"/>
  <c r="BG92" i="3"/>
  <c r="BH92" i="3"/>
  <c r="BI92" i="3"/>
  <c r="BJ92" i="3"/>
  <c r="BK92" i="3"/>
  <c r="BL92" i="3"/>
  <c r="BM92" i="3"/>
  <c r="BN92" i="3"/>
  <c r="BO92" i="3"/>
  <c r="BP92" i="3"/>
  <c r="BQ92" i="3"/>
  <c r="BR92" i="3"/>
  <c r="BS92" i="3"/>
  <c r="BT92" i="3"/>
  <c r="BU92" i="3"/>
  <c r="BV92" i="3"/>
  <c r="BW92" i="3"/>
  <c r="BX92" i="3"/>
  <c r="BY92" i="3"/>
  <c r="BZ92" i="3"/>
  <c r="CA92" i="3"/>
  <c r="CB92" i="3"/>
  <c r="CC92" i="3"/>
  <c r="CD92" i="3"/>
  <c r="CE92" i="3"/>
  <c r="CF92" i="3"/>
  <c r="CG92" i="3"/>
  <c r="CH92" i="3"/>
  <c r="CI92" i="3"/>
  <c r="CJ92" i="3"/>
  <c r="CK92" i="3"/>
  <c r="CL92" i="3"/>
  <c r="CM92" i="3"/>
  <c r="CN92" i="3"/>
  <c r="CO92" i="3"/>
  <c r="CP92" i="3"/>
  <c r="CQ92" i="3"/>
  <c r="CR92" i="3"/>
  <c r="CS92" i="3"/>
  <c r="CT92" i="3"/>
  <c r="CU92" i="3"/>
  <c r="CV92" i="3"/>
  <c r="CW92" i="3"/>
  <c r="CX92" i="3"/>
  <c r="D93" i="3"/>
  <c r="E93" i="3"/>
  <c r="F93" i="3"/>
  <c r="G93" i="3"/>
  <c r="H93" i="3"/>
  <c r="I93" i="3"/>
  <c r="J93" i="3"/>
  <c r="K93" i="3"/>
  <c r="L93" i="3"/>
  <c r="M93" i="3"/>
  <c r="N93" i="3"/>
  <c r="O93" i="3"/>
  <c r="P93" i="3"/>
  <c r="Q93" i="3"/>
  <c r="R93" i="3"/>
  <c r="S93" i="3"/>
  <c r="T93" i="3"/>
  <c r="U93" i="3"/>
  <c r="V93" i="3"/>
  <c r="W93" i="3"/>
  <c r="X93" i="3"/>
  <c r="Y93" i="3"/>
  <c r="Z93" i="3"/>
  <c r="AA93" i="3"/>
  <c r="AB93" i="3"/>
  <c r="AC93" i="3"/>
  <c r="AD93" i="3"/>
  <c r="AE93" i="3"/>
  <c r="AF93" i="3"/>
  <c r="AG93" i="3"/>
  <c r="AH93" i="3"/>
  <c r="AI93" i="3"/>
  <c r="AJ93" i="3"/>
  <c r="AK93" i="3"/>
  <c r="AL93" i="3"/>
  <c r="AM93" i="3"/>
  <c r="AN93" i="3"/>
  <c r="AO93" i="3"/>
  <c r="AP93" i="3"/>
  <c r="AQ93" i="3"/>
  <c r="AR93" i="3"/>
  <c r="AS93" i="3"/>
  <c r="AT93" i="3"/>
  <c r="AU93" i="3"/>
  <c r="AV93" i="3"/>
  <c r="AW93" i="3"/>
  <c r="AX93" i="3"/>
  <c r="AY93" i="3"/>
  <c r="AZ93" i="3"/>
  <c r="BA93" i="3"/>
  <c r="BB93" i="3"/>
  <c r="BC93" i="3"/>
  <c r="BD93" i="3"/>
  <c r="BE93" i="3"/>
  <c r="BF93" i="3"/>
  <c r="BG93" i="3"/>
  <c r="BH93" i="3"/>
  <c r="BI93" i="3"/>
  <c r="BJ93" i="3"/>
  <c r="BK93" i="3"/>
  <c r="BL93" i="3"/>
  <c r="BM93" i="3"/>
  <c r="BN93" i="3"/>
  <c r="BO93" i="3"/>
  <c r="BP93" i="3"/>
  <c r="BQ93" i="3"/>
  <c r="BR93" i="3"/>
  <c r="BS93" i="3"/>
  <c r="BT93" i="3"/>
  <c r="BU93" i="3"/>
  <c r="BV93" i="3"/>
  <c r="BW93" i="3"/>
  <c r="BX93" i="3"/>
  <c r="BY93" i="3"/>
  <c r="BZ93" i="3"/>
  <c r="CA93" i="3"/>
  <c r="CB93" i="3"/>
  <c r="CC93" i="3"/>
  <c r="CD93" i="3"/>
  <c r="CE93" i="3"/>
  <c r="CF93" i="3"/>
  <c r="CG93" i="3"/>
  <c r="CH93" i="3"/>
  <c r="CI93" i="3"/>
  <c r="CJ93" i="3"/>
  <c r="CK93" i="3"/>
  <c r="CL93" i="3"/>
  <c r="CM93" i="3"/>
  <c r="CN93" i="3"/>
  <c r="CO93" i="3"/>
  <c r="CP93" i="3"/>
  <c r="CQ93" i="3"/>
  <c r="CR93" i="3"/>
  <c r="CS93" i="3"/>
  <c r="CT93" i="3"/>
  <c r="CU93" i="3"/>
  <c r="CV93" i="3"/>
  <c r="CW93" i="3"/>
  <c r="CX93" i="3"/>
  <c r="D94" i="3"/>
  <c r="E94" i="3"/>
  <c r="F94" i="3"/>
  <c r="G94" i="3"/>
  <c r="H94" i="3"/>
  <c r="I94" i="3"/>
  <c r="J94" i="3"/>
  <c r="K94" i="3"/>
  <c r="L94" i="3"/>
  <c r="M94" i="3"/>
  <c r="N94" i="3"/>
  <c r="O94" i="3"/>
  <c r="P94" i="3"/>
  <c r="Q94" i="3"/>
  <c r="R94" i="3"/>
  <c r="S94" i="3"/>
  <c r="T94" i="3"/>
  <c r="U94" i="3"/>
  <c r="V94" i="3"/>
  <c r="W94" i="3"/>
  <c r="X94" i="3"/>
  <c r="Y94" i="3"/>
  <c r="Z94" i="3"/>
  <c r="AA94" i="3"/>
  <c r="AB94" i="3"/>
  <c r="AC94" i="3"/>
  <c r="AD94" i="3"/>
  <c r="AE94" i="3"/>
  <c r="AF94" i="3"/>
  <c r="AG94" i="3"/>
  <c r="AH94" i="3"/>
  <c r="AI94" i="3"/>
  <c r="AJ94" i="3"/>
  <c r="AK94" i="3"/>
  <c r="AL94" i="3"/>
  <c r="AM94" i="3"/>
  <c r="AN94" i="3"/>
  <c r="AO94" i="3"/>
  <c r="AP94" i="3"/>
  <c r="AQ94" i="3"/>
  <c r="AR94" i="3"/>
  <c r="AS94" i="3"/>
  <c r="AT94" i="3"/>
  <c r="AU94" i="3"/>
  <c r="AV94" i="3"/>
  <c r="AW94" i="3"/>
  <c r="AX94" i="3"/>
  <c r="AY94" i="3"/>
  <c r="AZ94" i="3"/>
  <c r="BA94" i="3"/>
  <c r="BB94" i="3"/>
  <c r="BC94" i="3"/>
  <c r="BD94" i="3"/>
  <c r="BE94" i="3"/>
  <c r="BF94" i="3"/>
  <c r="BG94" i="3"/>
  <c r="BH94" i="3"/>
  <c r="BI94" i="3"/>
  <c r="BJ94" i="3"/>
  <c r="BK94" i="3"/>
  <c r="BL94" i="3"/>
  <c r="BM94" i="3"/>
  <c r="BN94" i="3"/>
  <c r="BO94" i="3"/>
  <c r="BP94" i="3"/>
  <c r="BQ94" i="3"/>
  <c r="BR94" i="3"/>
  <c r="BS94" i="3"/>
  <c r="BT94" i="3"/>
  <c r="BU94" i="3"/>
  <c r="BV94" i="3"/>
  <c r="BW94" i="3"/>
  <c r="BX94" i="3"/>
  <c r="BY94" i="3"/>
  <c r="BZ94" i="3"/>
  <c r="CA94" i="3"/>
  <c r="CB94" i="3"/>
  <c r="CC94" i="3"/>
  <c r="CD94" i="3"/>
  <c r="CE94" i="3"/>
  <c r="CF94" i="3"/>
  <c r="CG94" i="3"/>
  <c r="CH94" i="3"/>
  <c r="CI94" i="3"/>
  <c r="CJ94" i="3"/>
  <c r="CK94" i="3"/>
  <c r="CL94" i="3"/>
  <c r="CM94" i="3"/>
  <c r="CN94" i="3"/>
  <c r="CO94" i="3"/>
  <c r="CP94" i="3"/>
  <c r="CQ94" i="3"/>
  <c r="CR94" i="3"/>
  <c r="CS94" i="3"/>
  <c r="CT94" i="3"/>
  <c r="CU94" i="3"/>
  <c r="CV94" i="3"/>
  <c r="CW94" i="3"/>
  <c r="CX94" i="3"/>
  <c r="D95" i="3"/>
  <c r="E95" i="3"/>
  <c r="F95" i="3"/>
  <c r="G95" i="3"/>
  <c r="H95" i="3"/>
  <c r="I95" i="3"/>
  <c r="J95" i="3"/>
  <c r="K95" i="3"/>
  <c r="L95" i="3"/>
  <c r="M95" i="3"/>
  <c r="N95" i="3"/>
  <c r="O95" i="3"/>
  <c r="P95" i="3"/>
  <c r="Q95" i="3"/>
  <c r="R95" i="3"/>
  <c r="S95" i="3"/>
  <c r="T95" i="3"/>
  <c r="U95" i="3"/>
  <c r="V95" i="3"/>
  <c r="W95" i="3"/>
  <c r="X95" i="3"/>
  <c r="Y95" i="3"/>
  <c r="Z95" i="3"/>
  <c r="AA95" i="3"/>
  <c r="AB95" i="3"/>
  <c r="AC95" i="3"/>
  <c r="AD95" i="3"/>
  <c r="AE95" i="3"/>
  <c r="AF95" i="3"/>
  <c r="AG95" i="3"/>
  <c r="AH95" i="3"/>
  <c r="AI95" i="3"/>
  <c r="AJ95" i="3"/>
  <c r="AK95" i="3"/>
  <c r="AL95" i="3"/>
  <c r="AM95" i="3"/>
  <c r="AN95" i="3"/>
  <c r="AO95" i="3"/>
  <c r="AP95" i="3"/>
  <c r="AQ95" i="3"/>
  <c r="AR95" i="3"/>
  <c r="AS95" i="3"/>
  <c r="AT95" i="3"/>
  <c r="AU95" i="3"/>
  <c r="AV95" i="3"/>
  <c r="AW95" i="3"/>
  <c r="AX95" i="3"/>
  <c r="AY95" i="3"/>
  <c r="AZ95" i="3"/>
  <c r="BA95" i="3"/>
  <c r="BB95" i="3"/>
  <c r="BC95" i="3"/>
  <c r="BD95" i="3"/>
  <c r="BE95" i="3"/>
  <c r="BF95" i="3"/>
  <c r="BG95" i="3"/>
  <c r="BH95" i="3"/>
  <c r="BI95" i="3"/>
  <c r="BJ95" i="3"/>
  <c r="BK95" i="3"/>
  <c r="BL95" i="3"/>
  <c r="BM95" i="3"/>
  <c r="BN95" i="3"/>
  <c r="BO95" i="3"/>
  <c r="BP95" i="3"/>
  <c r="BQ95" i="3"/>
  <c r="BR95" i="3"/>
  <c r="BS95" i="3"/>
  <c r="BT95" i="3"/>
  <c r="BU95" i="3"/>
  <c r="BV95" i="3"/>
  <c r="BW95" i="3"/>
  <c r="BX95" i="3"/>
  <c r="BY95" i="3"/>
  <c r="BZ95" i="3"/>
  <c r="CA95" i="3"/>
  <c r="CB95" i="3"/>
  <c r="CC95" i="3"/>
  <c r="CD95" i="3"/>
  <c r="CE95" i="3"/>
  <c r="CF95" i="3"/>
  <c r="CG95" i="3"/>
  <c r="CH95" i="3"/>
  <c r="CI95" i="3"/>
  <c r="CJ95" i="3"/>
  <c r="CK95" i="3"/>
  <c r="CL95" i="3"/>
  <c r="CM95" i="3"/>
  <c r="CN95" i="3"/>
  <c r="CO95" i="3"/>
  <c r="CP95" i="3"/>
  <c r="CQ95" i="3"/>
  <c r="CR95" i="3"/>
  <c r="CS95" i="3"/>
  <c r="CT95" i="3"/>
  <c r="CU95" i="3"/>
  <c r="CV95" i="3"/>
  <c r="CW95" i="3"/>
  <c r="CX95" i="3"/>
  <c r="D96" i="3"/>
  <c r="E96" i="3"/>
  <c r="F96" i="3"/>
  <c r="G96" i="3"/>
  <c r="H96" i="3"/>
  <c r="I96" i="3"/>
  <c r="J96" i="3"/>
  <c r="K96" i="3"/>
  <c r="L96" i="3"/>
  <c r="M96" i="3"/>
  <c r="N96" i="3"/>
  <c r="O96" i="3"/>
  <c r="P96" i="3"/>
  <c r="Q96" i="3"/>
  <c r="R96" i="3"/>
  <c r="S96" i="3"/>
  <c r="T96" i="3"/>
  <c r="U96" i="3"/>
  <c r="V96" i="3"/>
  <c r="W96" i="3"/>
  <c r="X96" i="3"/>
  <c r="Y96" i="3"/>
  <c r="Z96" i="3"/>
  <c r="AA96" i="3"/>
  <c r="AB96" i="3"/>
  <c r="AC96" i="3"/>
  <c r="AD96" i="3"/>
  <c r="AE96" i="3"/>
  <c r="AF96" i="3"/>
  <c r="AG96" i="3"/>
  <c r="AH96" i="3"/>
  <c r="AI96" i="3"/>
  <c r="AJ96" i="3"/>
  <c r="AK96" i="3"/>
  <c r="AL96" i="3"/>
  <c r="AM96" i="3"/>
  <c r="AN96" i="3"/>
  <c r="AO96" i="3"/>
  <c r="AP96" i="3"/>
  <c r="AQ96" i="3"/>
  <c r="AR96" i="3"/>
  <c r="AS96" i="3"/>
  <c r="AT96" i="3"/>
  <c r="AU96" i="3"/>
  <c r="AV96" i="3"/>
  <c r="AW96" i="3"/>
  <c r="AX96" i="3"/>
  <c r="AY96" i="3"/>
  <c r="AZ96" i="3"/>
  <c r="BA96" i="3"/>
  <c r="BB96" i="3"/>
  <c r="BC96" i="3"/>
  <c r="BD96" i="3"/>
  <c r="BE96" i="3"/>
  <c r="BF96" i="3"/>
  <c r="BG96" i="3"/>
  <c r="BH96" i="3"/>
  <c r="BI96" i="3"/>
  <c r="BJ96" i="3"/>
  <c r="BK96" i="3"/>
  <c r="BL96" i="3"/>
  <c r="BM96" i="3"/>
  <c r="BN96" i="3"/>
  <c r="BO96" i="3"/>
  <c r="BP96" i="3"/>
  <c r="BQ96" i="3"/>
  <c r="BR96" i="3"/>
  <c r="BS96" i="3"/>
  <c r="BT96" i="3"/>
  <c r="BU96" i="3"/>
  <c r="BV96" i="3"/>
  <c r="BW96" i="3"/>
  <c r="BX96" i="3"/>
  <c r="BY96" i="3"/>
  <c r="BZ96" i="3"/>
  <c r="CA96" i="3"/>
  <c r="CB96" i="3"/>
  <c r="CC96" i="3"/>
  <c r="CD96" i="3"/>
  <c r="CE96" i="3"/>
  <c r="CF96" i="3"/>
  <c r="CG96" i="3"/>
  <c r="CH96" i="3"/>
  <c r="CI96" i="3"/>
  <c r="CJ96" i="3"/>
  <c r="CK96" i="3"/>
  <c r="CL96" i="3"/>
  <c r="CM96" i="3"/>
  <c r="CN96" i="3"/>
  <c r="CO96" i="3"/>
  <c r="CP96" i="3"/>
  <c r="CQ96" i="3"/>
  <c r="CR96" i="3"/>
  <c r="CS96" i="3"/>
  <c r="CT96" i="3"/>
  <c r="CU96" i="3"/>
  <c r="CV96" i="3"/>
  <c r="CW96" i="3"/>
  <c r="CX96" i="3"/>
  <c r="D97" i="3"/>
  <c r="E97" i="3"/>
  <c r="F97" i="3"/>
  <c r="G97" i="3"/>
  <c r="H97" i="3"/>
  <c r="I97" i="3"/>
  <c r="J97" i="3"/>
  <c r="K97" i="3"/>
  <c r="L97" i="3"/>
  <c r="M97" i="3"/>
  <c r="N97" i="3"/>
  <c r="O97" i="3"/>
  <c r="P97" i="3"/>
  <c r="Q97" i="3"/>
  <c r="R97" i="3"/>
  <c r="S97" i="3"/>
  <c r="T97" i="3"/>
  <c r="U97" i="3"/>
  <c r="V97" i="3"/>
  <c r="W97" i="3"/>
  <c r="X97" i="3"/>
  <c r="Y97" i="3"/>
  <c r="Z97" i="3"/>
  <c r="AA97" i="3"/>
  <c r="AB97" i="3"/>
  <c r="AC97" i="3"/>
  <c r="AD97" i="3"/>
  <c r="AE97" i="3"/>
  <c r="AF97" i="3"/>
  <c r="AG97" i="3"/>
  <c r="AH97" i="3"/>
  <c r="AI97" i="3"/>
  <c r="AJ97" i="3"/>
  <c r="AK97" i="3"/>
  <c r="AL97" i="3"/>
  <c r="AM97" i="3"/>
  <c r="AN97" i="3"/>
  <c r="AO97" i="3"/>
  <c r="AP97" i="3"/>
  <c r="AQ97" i="3"/>
  <c r="AR97" i="3"/>
  <c r="AS97" i="3"/>
  <c r="AT97" i="3"/>
  <c r="AU97" i="3"/>
  <c r="AV97" i="3"/>
  <c r="AW97" i="3"/>
  <c r="AX97" i="3"/>
  <c r="AY97" i="3"/>
  <c r="AZ97" i="3"/>
  <c r="BA97" i="3"/>
  <c r="BB97" i="3"/>
  <c r="BC97" i="3"/>
  <c r="BD97" i="3"/>
  <c r="BE97" i="3"/>
  <c r="BF97" i="3"/>
  <c r="BG97" i="3"/>
  <c r="BH97" i="3"/>
  <c r="BI97" i="3"/>
  <c r="BJ97" i="3"/>
  <c r="BK97" i="3"/>
  <c r="BL97" i="3"/>
  <c r="BM97" i="3"/>
  <c r="BN97" i="3"/>
  <c r="BO97" i="3"/>
  <c r="BP97" i="3"/>
  <c r="BQ97" i="3"/>
  <c r="BR97" i="3"/>
  <c r="BS97" i="3"/>
  <c r="BT97" i="3"/>
  <c r="BU97" i="3"/>
  <c r="BV97" i="3"/>
  <c r="BW97" i="3"/>
  <c r="BX97" i="3"/>
  <c r="BY97" i="3"/>
  <c r="BZ97" i="3"/>
  <c r="CA97" i="3"/>
  <c r="CB97" i="3"/>
  <c r="CC97" i="3"/>
  <c r="CD97" i="3"/>
  <c r="CE97" i="3"/>
  <c r="CF97" i="3"/>
  <c r="CG97" i="3"/>
  <c r="CH97" i="3"/>
  <c r="CI97" i="3"/>
  <c r="CJ97" i="3"/>
  <c r="CK97" i="3"/>
  <c r="CL97" i="3"/>
  <c r="CM97" i="3"/>
  <c r="CN97" i="3"/>
  <c r="CO97" i="3"/>
  <c r="CP97" i="3"/>
  <c r="CQ97" i="3"/>
  <c r="CR97" i="3"/>
  <c r="CS97" i="3"/>
  <c r="CT97" i="3"/>
  <c r="CU97" i="3"/>
  <c r="CV97" i="3"/>
  <c r="CW97" i="3"/>
  <c r="CX97" i="3"/>
  <c r="D98" i="3"/>
  <c r="E98" i="3"/>
  <c r="F98" i="3"/>
  <c r="G98" i="3"/>
  <c r="H98" i="3"/>
  <c r="I98" i="3"/>
  <c r="J98" i="3"/>
  <c r="K98" i="3"/>
  <c r="L98" i="3"/>
  <c r="M98" i="3"/>
  <c r="N98" i="3"/>
  <c r="O98" i="3"/>
  <c r="P98" i="3"/>
  <c r="Q98" i="3"/>
  <c r="R98" i="3"/>
  <c r="S98" i="3"/>
  <c r="T98" i="3"/>
  <c r="U98" i="3"/>
  <c r="V98" i="3"/>
  <c r="W98" i="3"/>
  <c r="X98" i="3"/>
  <c r="Y98" i="3"/>
  <c r="Z98" i="3"/>
  <c r="AA98" i="3"/>
  <c r="AB98" i="3"/>
  <c r="AC98" i="3"/>
  <c r="AD98" i="3"/>
  <c r="AE98" i="3"/>
  <c r="AF98" i="3"/>
  <c r="AG98" i="3"/>
  <c r="AH98" i="3"/>
  <c r="AI98" i="3"/>
  <c r="AJ98" i="3"/>
  <c r="AK98" i="3"/>
  <c r="AL98" i="3"/>
  <c r="AM98" i="3"/>
  <c r="AN98" i="3"/>
  <c r="AO98" i="3"/>
  <c r="AP98" i="3"/>
  <c r="AQ98" i="3"/>
  <c r="AR98" i="3"/>
  <c r="AS98" i="3"/>
  <c r="AT98" i="3"/>
  <c r="AU98" i="3"/>
  <c r="AV98" i="3"/>
  <c r="AW98" i="3"/>
  <c r="AX98" i="3"/>
  <c r="AY98" i="3"/>
  <c r="AZ98" i="3"/>
  <c r="BA98" i="3"/>
  <c r="BB98" i="3"/>
  <c r="BC98" i="3"/>
  <c r="BD98" i="3"/>
  <c r="BE98" i="3"/>
  <c r="BF98" i="3"/>
  <c r="BG98" i="3"/>
  <c r="BH98" i="3"/>
  <c r="BI98" i="3"/>
  <c r="BJ98" i="3"/>
  <c r="BK98" i="3"/>
  <c r="BL98" i="3"/>
  <c r="BM98" i="3"/>
  <c r="BN98" i="3"/>
  <c r="BO98" i="3"/>
  <c r="BP98" i="3"/>
  <c r="BQ98" i="3"/>
  <c r="BR98" i="3"/>
  <c r="BS98" i="3"/>
  <c r="BT98" i="3"/>
  <c r="BU98" i="3"/>
  <c r="BV98" i="3"/>
  <c r="BW98" i="3"/>
  <c r="BX98" i="3"/>
  <c r="BY98" i="3"/>
  <c r="BZ98" i="3"/>
  <c r="CA98" i="3"/>
  <c r="CB98" i="3"/>
  <c r="CC98" i="3"/>
  <c r="CD98" i="3"/>
  <c r="CE98" i="3"/>
  <c r="CF98" i="3"/>
  <c r="CG98" i="3"/>
  <c r="CH98" i="3"/>
  <c r="CI98" i="3"/>
  <c r="CJ98" i="3"/>
  <c r="CK98" i="3"/>
  <c r="CL98" i="3"/>
  <c r="CM98" i="3"/>
  <c r="CN98" i="3"/>
  <c r="CO98" i="3"/>
  <c r="CP98" i="3"/>
  <c r="CQ98" i="3"/>
  <c r="CR98" i="3"/>
  <c r="CS98" i="3"/>
  <c r="CT98" i="3"/>
  <c r="CU98" i="3"/>
  <c r="CV98" i="3"/>
  <c r="CW98" i="3"/>
  <c r="CX98" i="3"/>
  <c r="D99" i="3"/>
  <c r="E99" i="3"/>
  <c r="F99" i="3"/>
  <c r="G99" i="3"/>
  <c r="H99" i="3"/>
  <c r="I99" i="3"/>
  <c r="J99" i="3"/>
  <c r="K99" i="3"/>
  <c r="L99" i="3"/>
  <c r="M99" i="3"/>
  <c r="N99" i="3"/>
  <c r="O99" i="3"/>
  <c r="P99" i="3"/>
  <c r="Q99" i="3"/>
  <c r="R99" i="3"/>
  <c r="S99" i="3"/>
  <c r="T99" i="3"/>
  <c r="U99" i="3"/>
  <c r="V99" i="3"/>
  <c r="W99" i="3"/>
  <c r="X99" i="3"/>
  <c r="Y99" i="3"/>
  <c r="Z99" i="3"/>
  <c r="AA99" i="3"/>
  <c r="AB99" i="3"/>
  <c r="AC99" i="3"/>
  <c r="AD99" i="3"/>
  <c r="AE99" i="3"/>
  <c r="AF99" i="3"/>
  <c r="AG99" i="3"/>
  <c r="AH99" i="3"/>
  <c r="AI99" i="3"/>
  <c r="AJ99" i="3"/>
  <c r="AK99" i="3"/>
  <c r="AL99" i="3"/>
  <c r="AM99" i="3"/>
  <c r="AN99" i="3"/>
  <c r="AO99" i="3"/>
  <c r="AP99" i="3"/>
  <c r="AQ99" i="3"/>
  <c r="AR99" i="3"/>
  <c r="AS99" i="3"/>
  <c r="AT99" i="3"/>
  <c r="AU99" i="3"/>
  <c r="AV99" i="3"/>
  <c r="AW99" i="3"/>
  <c r="AX99" i="3"/>
  <c r="AY99" i="3"/>
  <c r="AZ99" i="3"/>
  <c r="BA99" i="3"/>
  <c r="BB99" i="3"/>
  <c r="BC99" i="3"/>
  <c r="BD99" i="3"/>
  <c r="BE99" i="3"/>
  <c r="BF99" i="3"/>
  <c r="BG99" i="3"/>
  <c r="BH99" i="3"/>
  <c r="BI99" i="3"/>
  <c r="BJ99" i="3"/>
  <c r="BK99" i="3"/>
  <c r="BL99" i="3"/>
  <c r="BM99" i="3"/>
  <c r="BN99" i="3"/>
  <c r="BO99" i="3"/>
  <c r="BP99" i="3"/>
  <c r="BQ99" i="3"/>
  <c r="BR99" i="3"/>
  <c r="BS99" i="3"/>
  <c r="BT99" i="3"/>
  <c r="BU99" i="3"/>
  <c r="BV99" i="3"/>
  <c r="BW99" i="3"/>
  <c r="BX99" i="3"/>
  <c r="BY99" i="3"/>
  <c r="BZ99" i="3"/>
  <c r="CA99" i="3"/>
  <c r="CB99" i="3"/>
  <c r="CC99" i="3"/>
  <c r="CD99" i="3"/>
  <c r="CE99" i="3"/>
  <c r="CF99" i="3"/>
  <c r="CG99" i="3"/>
  <c r="CH99" i="3"/>
  <c r="CI99" i="3"/>
  <c r="CJ99" i="3"/>
  <c r="CK99" i="3"/>
  <c r="CL99" i="3"/>
  <c r="CM99" i="3"/>
  <c r="CN99" i="3"/>
  <c r="CO99" i="3"/>
  <c r="CP99" i="3"/>
  <c r="CQ99" i="3"/>
  <c r="CR99" i="3"/>
  <c r="CS99" i="3"/>
  <c r="CT99" i="3"/>
  <c r="CU99" i="3"/>
  <c r="CV99" i="3"/>
  <c r="CW99" i="3"/>
  <c r="CX99" i="3"/>
  <c r="D100" i="3"/>
  <c r="E100" i="3"/>
  <c r="F100" i="3"/>
  <c r="G100" i="3"/>
  <c r="H100" i="3"/>
  <c r="I100" i="3"/>
  <c r="J100" i="3"/>
  <c r="K100" i="3"/>
  <c r="L100" i="3"/>
  <c r="M100" i="3"/>
  <c r="N100" i="3"/>
  <c r="O100" i="3"/>
  <c r="P100" i="3"/>
  <c r="Q100" i="3"/>
  <c r="R100" i="3"/>
  <c r="S100" i="3"/>
  <c r="T100" i="3"/>
  <c r="U100" i="3"/>
  <c r="V100" i="3"/>
  <c r="W100" i="3"/>
  <c r="X100" i="3"/>
  <c r="Y100" i="3"/>
  <c r="Z100" i="3"/>
  <c r="AA100" i="3"/>
  <c r="AB100" i="3"/>
  <c r="AC100" i="3"/>
  <c r="AD100" i="3"/>
  <c r="AE100" i="3"/>
  <c r="AF100" i="3"/>
  <c r="AG100" i="3"/>
  <c r="AH100" i="3"/>
  <c r="AI100" i="3"/>
  <c r="AJ100" i="3"/>
  <c r="AK100" i="3"/>
  <c r="AL100" i="3"/>
  <c r="AM100" i="3"/>
  <c r="AN100" i="3"/>
  <c r="AO100" i="3"/>
  <c r="AP100" i="3"/>
  <c r="AQ100" i="3"/>
  <c r="AR100" i="3"/>
  <c r="AS100" i="3"/>
  <c r="AT100" i="3"/>
  <c r="AU100" i="3"/>
  <c r="AV100" i="3"/>
  <c r="AW100" i="3"/>
  <c r="AX100" i="3"/>
  <c r="AY100" i="3"/>
  <c r="AZ100" i="3"/>
  <c r="BA100" i="3"/>
  <c r="BB100" i="3"/>
  <c r="BC100" i="3"/>
  <c r="BD100" i="3"/>
  <c r="BE100" i="3"/>
  <c r="BF100" i="3"/>
  <c r="BG100" i="3"/>
  <c r="BH100" i="3"/>
  <c r="BI100" i="3"/>
  <c r="BJ100" i="3"/>
  <c r="BK100" i="3"/>
  <c r="BL100" i="3"/>
  <c r="BM100" i="3"/>
  <c r="BN100" i="3"/>
  <c r="BO100" i="3"/>
  <c r="BP100" i="3"/>
  <c r="BQ100" i="3"/>
  <c r="BR100" i="3"/>
  <c r="BS100" i="3"/>
  <c r="BT100" i="3"/>
  <c r="BU100" i="3"/>
  <c r="BV100" i="3"/>
  <c r="BW100" i="3"/>
  <c r="BX100" i="3"/>
  <c r="BY100" i="3"/>
  <c r="BZ100" i="3"/>
  <c r="CA100" i="3"/>
  <c r="CB100" i="3"/>
  <c r="CC100" i="3"/>
  <c r="CD100" i="3"/>
  <c r="CE100" i="3"/>
  <c r="CF100" i="3"/>
  <c r="CG100" i="3"/>
  <c r="CH100" i="3"/>
  <c r="CI100" i="3"/>
  <c r="CJ100" i="3"/>
  <c r="CK100" i="3"/>
  <c r="CL100" i="3"/>
  <c r="CM100" i="3"/>
  <c r="CN100" i="3"/>
  <c r="CO100" i="3"/>
  <c r="CP100" i="3"/>
  <c r="CQ100" i="3"/>
  <c r="CR100" i="3"/>
  <c r="CS100" i="3"/>
  <c r="CT100" i="3"/>
  <c r="CU100" i="3"/>
  <c r="CV100" i="3"/>
  <c r="CW100" i="3"/>
  <c r="CX100" i="3"/>
  <c r="D101" i="3"/>
  <c r="E101" i="3"/>
  <c r="F101" i="3"/>
  <c r="G101" i="3"/>
  <c r="H101" i="3"/>
  <c r="I101" i="3"/>
  <c r="J101" i="3"/>
  <c r="K101" i="3"/>
  <c r="L101" i="3"/>
  <c r="M101" i="3"/>
  <c r="N101" i="3"/>
  <c r="O101" i="3"/>
  <c r="P101" i="3"/>
  <c r="Q101" i="3"/>
  <c r="R101" i="3"/>
  <c r="S101" i="3"/>
  <c r="T101" i="3"/>
  <c r="U101" i="3"/>
  <c r="V101" i="3"/>
  <c r="W101" i="3"/>
  <c r="X101" i="3"/>
  <c r="Y101" i="3"/>
  <c r="Z101" i="3"/>
  <c r="AA101" i="3"/>
  <c r="AB101" i="3"/>
  <c r="AC101" i="3"/>
  <c r="AD101" i="3"/>
  <c r="AE101" i="3"/>
  <c r="AF101" i="3"/>
  <c r="AG101" i="3"/>
  <c r="AH101" i="3"/>
  <c r="AI101" i="3"/>
  <c r="AJ101" i="3"/>
  <c r="AK101" i="3"/>
  <c r="AL101" i="3"/>
  <c r="AM101" i="3"/>
  <c r="AN101" i="3"/>
  <c r="AO101" i="3"/>
  <c r="AP101" i="3"/>
  <c r="AQ101" i="3"/>
  <c r="AR101" i="3"/>
  <c r="AS101" i="3"/>
  <c r="AT101" i="3"/>
  <c r="AU101" i="3"/>
  <c r="AV101" i="3"/>
  <c r="AW101" i="3"/>
  <c r="AX101" i="3"/>
  <c r="AY101" i="3"/>
  <c r="AZ101" i="3"/>
  <c r="BA101" i="3"/>
  <c r="BB101" i="3"/>
  <c r="BC101" i="3"/>
  <c r="BD101" i="3"/>
  <c r="BE101" i="3"/>
  <c r="BF101" i="3"/>
  <c r="BG101" i="3"/>
  <c r="BH101" i="3"/>
  <c r="BI101" i="3"/>
  <c r="BJ101" i="3"/>
  <c r="BK101" i="3"/>
  <c r="BL101" i="3"/>
  <c r="BM101" i="3"/>
  <c r="BN101" i="3"/>
  <c r="BO101" i="3"/>
  <c r="BP101" i="3"/>
  <c r="BQ101" i="3"/>
  <c r="BR101" i="3"/>
  <c r="BS101" i="3"/>
  <c r="BT101" i="3"/>
  <c r="BU101" i="3"/>
  <c r="BV101" i="3"/>
  <c r="BW101" i="3"/>
  <c r="BX101" i="3"/>
  <c r="BY101" i="3"/>
  <c r="BZ101" i="3"/>
  <c r="CA101" i="3"/>
  <c r="CB101" i="3"/>
  <c r="CC101" i="3"/>
  <c r="CD101" i="3"/>
  <c r="CE101" i="3"/>
  <c r="CF101" i="3"/>
  <c r="CG101" i="3"/>
  <c r="CH101" i="3"/>
  <c r="CI101" i="3"/>
  <c r="CJ101" i="3"/>
  <c r="CK101" i="3"/>
  <c r="CL101" i="3"/>
  <c r="CM101" i="3"/>
  <c r="CN101" i="3"/>
  <c r="CO101" i="3"/>
  <c r="CP101" i="3"/>
  <c r="CQ101" i="3"/>
  <c r="CR101" i="3"/>
  <c r="CS101" i="3"/>
  <c r="CT101" i="3"/>
  <c r="CU101" i="3"/>
  <c r="CV101" i="3"/>
  <c r="CW101" i="3"/>
  <c r="CX101" i="3"/>
  <c r="D102" i="3"/>
  <c r="E102" i="3"/>
  <c r="F102" i="3"/>
  <c r="G102" i="3"/>
  <c r="H102" i="3"/>
  <c r="I102" i="3"/>
  <c r="J102" i="3"/>
  <c r="K102" i="3"/>
  <c r="L102" i="3"/>
  <c r="M102" i="3"/>
  <c r="N102" i="3"/>
  <c r="O102" i="3"/>
  <c r="P102" i="3"/>
  <c r="Q102" i="3"/>
  <c r="R102" i="3"/>
  <c r="S102" i="3"/>
  <c r="T102" i="3"/>
  <c r="U102" i="3"/>
  <c r="V102" i="3"/>
  <c r="W102" i="3"/>
  <c r="X102" i="3"/>
  <c r="Y102" i="3"/>
  <c r="Z102" i="3"/>
  <c r="AA102" i="3"/>
  <c r="AB102" i="3"/>
  <c r="AC102" i="3"/>
  <c r="AD102" i="3"/>
  <c r="AE102" i="3"/>
  <c r="AF102" i="3"/>
  <c r="AG102" i="3"/>
  <c r="AH102" i="3"/>
  <c r="AI102" i="3"/>
  <c r="AJ102" i="3"/>
  <c r="AK102" i="3"/>
  <c r="AL102" i="3"/>
  <c r="AM102" i="3"/>
  <c r="AN102" i="3"/>
  <c r="AO102" i="3"/>
  <c r="AP102" i="3"/>
  <c r="AQ102" i="3"/>
  <c r="AR102" i="3"/>
  <c r="AS102" i="3"/>
  <c r="AT102" i="3"/>
  <c r="AU102" i="3"/>
  <c r="AV102" i="3"/>
  <c r="AW102" i="3"/>
  <c r="AX102" i="3"/>
  <c r="AY102" i="3"/>
  <c r="AZ102" i="3"/>
  <c r="BA102" i="3"/>
  <c r="BB102" i="3"/>
  <c r="BC102" i="3"/>
  <c r="BD102" i="3"/>
  <c r="BE102" i="3"/>
  <c r="BF102" i="3"/>
  <c r="BG102" i="3"/>
  <c r="BH102" i="3"/>
  <c r="BI102" i="3"/>
  <c r="BJ102" i="3"/>
  <c r="BK102" i="3"/>
  <c r="BL102" i="3"/>
  <c r="BM102" i="3"/>
  <c r="BN102" i="3"/>
  <c r="BO102" i="3"/>
  <c r="BP102" i="3"/>
  <c r="BQ102" i="3"/>
  <c r="BR102" i="3"/>
  <c r="BS102" i="3"/>
  <c r="BT102" i="3"/>
  <c r="BU102" i="3"/>
  <c r="BV102" i="3"/>
  <c r="BW102" i="3"/>
  <c r="BX102" i="3"/>
  <c r="BY102" i="3"/>
  <c r="BZ102" i="3"/>
  <c r="CA102" i="3"/>
  <c r="CB102" i="3"/>
  <c r="CC102" i="3"/>
  <c r="CD102" i="3"/>
  <c r="CE102" i="3"/>
  <c r="CF102" i="3"/>
  <c r="CG102" i="3"/>
  <c r="CH102" i="3"/>
  <c r="CI102" i="3"/>
  <c r="CJ102" i="3"/>
  <c r="CK102" i="3"/>
  <c r="CL102" i="3"/>
  <c r="CM102" i="3"/>
  <c r="CN102" i="3"/>
  <c r="CO102" i="3"/>
  <c r="CP102" i="3"/>
  <c r="CQ102" i="3"/>
  <c r="CR102" i="3"/>
  <c r="CS102" i="3"/>
  <c r="CT102" i="3"/>
  <c r="CU102" i="3"/>
  <c r="CV102" i="3"/>
  <c r="CW102" i="3"/>
  <c r="CX102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3" i="3"/>
  <c r="H122" i="3"/>
  <c r="H121" i="3"/>
  <c r="G121" i="3"/>
  <c r="G120" i="3"/>
  <c r="G119" i="3"/>
  <c r="F119" i="3"/>
  <c r="F113" i="3"/>
  <c r="F118" i="3"/>
  <c r="G117" i="3"/>
  <c r="G116" i="3"/>
  <c r="F116" i="3"/>
  <c r="F115" i="3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AQ3" i="2"/>
  <c r="AR3" i="2"/>
  <c r="AS3" i="2"/>
  <c r="AT3" i="2"/>
  <c r="AU3" i="2"/>
  <c r="AV3" i="2"/>
  <c r="AW3" i="2"/>
  <c r="AX3" i="2"/>
  <c r="AY3" i="2"/>
  <c r="AZ3" i="2"/>
  <c r="BA3" i="2"/>
  <c r="BB3" i="2"/>
  <c r="BC3" i="2"/>
  <c r="BD3" i="2"/>
  <c r="BE3" i="2"/>
  <c r="BF3" i="2"/>
  <c r="BG3" i="2"/>
  <c r="BH3" i="2"/>
  <c r="BI3" i="2"/>
  <c r="BJ3" i="2"/>
  <c r="BK3" i="2"/>
  <c r="BL3" i="2"/>
  <c r="BM3" i="2"/>
  <c r="BN3" i="2"/>
  <c r="BO3" i="2"/>
  <c r="BP3" i="2"/>
  <c r="BQ3" i="2"/>
  <c r="BR3" i="2"/>
  <c r="BS3" i="2"/>
  <c r="BT3" i="2"/>
  <c r="BU3" i="2"/>
  <c r="BV3" i="2"/>
  <c r="BW3" i="2"/>
  <c r="BX3" i="2"/>
  <c r="BY3" i="2"/>
  <c r="BZ3" i="2"/>
  <c r="CA3" i="2"/>
  <c r="CB3" i="2"/>
  <c r="CC3" i="2"/>
  <c r="CD3" i="2"/>
  <c r="CE3" i="2"/>
  <c r="CF3" i="2"/>
  <c r="CG3" i="2"/>
  <c r="CH3" i="2"/>
  <c r="CI3" i="2"/>
  <c r="CJ3" i="2"/>
  <c r="CK3" i="2"/>
  <c r="CL3" i="2"/>
  <c r="CM3" i="2"/>
  <c r="CN3" i="2"/>
  <c r="CO3" i="2"/>
  <c r="CP3" i="2"/>
  <c r="CQ3" i="2"/>
  <c r="CR3" i="2"/>
  <c r="CS3" i="2"/>
  <c r="CT3" i="2"/>
  <c r="CU3" i="2"/>
  <c r="CV3" i="2"/>
  <c r="CW3" i="2"/>
  <c r="CX3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AJ4" i="2"/>
  <c r="AK4" i="2"/>
  <c r="AL4" i="2"/>
  <c r="AM4" i="2"/>
  <c r="AN4" i="2"/>
  <c r="AO4" i="2"/>
  <c r="AP4" i="2"/>
  <c r="AQ4" i="2"/>
  <c r="AR4" i="2"/>
  <c r="AS4" i="2"/>
  <c r="AT4" i="2"/>
  <c r="AU4" i="2"/>
  <c r="AV4" i="2"/>
  <c r="AW4" i="2"/>
  <c r="AX4" i="2"/>
  <c r="AY4" i="2"/>
  <c r="AZ4" i="2"/>
  <c r="BA4" i="2"/>
  <c r="BB4" i="2"/>
  <c r="BC4" i="2"/>
  <c r="BD4" i="2"/>
  <c r="BE4" i="2"/>
  <c r="BF4" i="2"/>
  <c r="BG4" i="2"/>
  <c r="BH4" i="2"/>
  <c r="BI4" i="2"/>
  <c r="BJ4" i="2"/>
  <c r="BK4" i="2"/>
  <c r="BL4" i="2"/>
  <c r="BM4" i="2"/>
  <c r="BN4" i="2"/>
  <c r="BO4" i="2"/>
  <c r="BP4" i="2"/>
  <c r="BQ4" i="2"/>
  <c r="BR4" i="2"/>
  <c r="BS4" i="2"/>
  <c r="BT4" i="2"/>
  <c r="BU4" i="2"/>
  <c r="BV4" i="2"/>
  <c r="BW4" i="2"/>
  <c r="BX4" i="2"/>
  <c r="BY4" i="2"/>
  <c r="BZ4" i="2"/>
  <c r="CA4" i="2"/>
  <c r="CB4" i="2"/>
  <c r="CC4" i="2"/>
  <c r="CD4" i="2"/>
  <c r="CE4" i="2"/>
  <c r="CF4" i="2"/>
  <c r="CG4" i="2"/>
  <c r="CH4" i="2"/>
  <c r="CI4" i="2"/>
  <c r="CJ4" i="2"/>
  <c r="CK4" i="2"/>
  <c r="CL4" i="2"/>
  <c r="CM4" i="2"/>
  <c r="CN4" i="2"/>
  <c r="CO4" i="2"/>
  <c r="CP4" i="2"/>
  <c r="CQ4" i="2"/>
  <c r="CR4" i="2"/>
  <c r="CS4" i="2"/>
  <c r="CT4" i="2"/>
  <c r="CU4" i="2"/>
  <c r="CV4" i="2"/>
  <c r="CW4" i="2"/>
  <c r="CX4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AL5" i="2"/>
  <c r="AM5" i="2"/>
  <c r="AN5" i="2"/>
  <c r="AO5" i="2"/>
  <c r="AP5" i="2"/>
  <c r="AQ5" i="2"/>
  <c r="AR5" i="2"/>
  <c r="AS5" i="2"/>
  <c r="AT5" i="2"/>
  <c r="AU5" i="2"/>
  <c r="AV5" i="2"/>
  <c r="AW5" i="2"/>
  <c r="AX5" i="2"/>
  <c r="AY5" i="2"/>
  <c r="AZ5" i="2"/>
  <c r="BA5" i="2"/>
  <c r="BB5" i="2"/>
  <c r="BC5" i="2"/>
  <c r="BD5" i="2"/>
  <c r="BE5" i="2"/>
  <c r="BF5" i="2"/>
  <c r="BG5" i="2"/>
  <c r="BH5" i="2"/>
  <c r="BI5" i="2"/>
  <c r="BJ5" i="2"/>
  <c r="BK5" i="2"/>
  <c r="BL5" i="2"/>
  <c r="BM5" i="2"/>
  <c r="BN5" i="2"/>
  <c r="BO5" i="2"/>
  <c r="BP5" i="2"/>
  <c r="BQ5" i="2"/>
  <c r="BR5" i="2"/>
  <c r="BS5" i="2"/>
  <c r="BT5" i="2"/>
  <c r="BU5" i="2"/>
  <c r="BV5" i="2"/>
  <c r="BW5" i="2"/>
  <c r="BX5" i="2"/>
  <c r="BY5" i="2"/>
  <c r="BZ5" i="2"/>
  <c r="CA5" i="2"/>
  <c r="CB5" i="2"/>
  <c r="CC5" i="2"/>
  <c r="CD5" i="2"/>
  <c r="CE5" i="2"/>
  <c r="CF5" i="2"/>
  <c r="CG5" i="2"/>
  <c r="CH5" i="2"/>
  <c r="CI5" i="2"/>
  <c r="CJ5" i="2"/>
  <c r="CK5" i="2"/>
  <c r="CL5" i="2"/>
  <c r="CM5" i="2"/>
  <c r="CN5" i="2"/>
  <c r="CO5" i="2"/>
  <c r="CP5" i="2"/>
  <c r="CQ5" i="2"/>
  <c r="CR5" i="2"/>
  <c r="CS5" i="2"/>
  <c r="CT5" i="2"/>
  <c r="CU5" i="2"/>
  <c r="CV5" i="2"/>
  <c r="CW5" i="2"/>
  <c r="CX5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AL6" i="2"/>
  <c r="AM6" i="2"/>
  <c r="AN6" i="2"/>
  <c r="AO6" i="2"/>
  <c r="AP6" i="2"/>
  <c r="AQ6" i="2"/>
  <c r="AR6" i="2"/>
  <c r="AS6" i="2"/>
  <c r="AT6" i="2"/>
  <c r="AU6" i="2"/>
  <c r="AV6" i="2"/>
  <c r="AW6" i="2"/>
  <c r="AX6" i="2"/>
  <c r="AY6" i="2"/>
  <c r="AZ6" i="2"/>
  <c r="BA6" i="2"/>
  <c r="BB6" i="2"/>
  <c r="BC6" i="2"/>
  <c r="BD6" i="2"/>
  <c r="BE6" i="2"/>
  <c r="BF6" i="2"/>
  <c r="BG6" i="2"/>
  <c r="BH6" i="2"/>
  <c r="BI6" i="2"/>
  <c r="BJ6" i="2"/>
  <c r="BK6" i="2"/>
  <c r="BL6" i="2"/>
  <c r="BM6" i="2"/>
  <c r="BN6" i="2"/>
  <c r="BO6" i="2"/>
  <c r="BP6" i="2"/>
  <c r="BQ6" i="2"/>
  <c r="BR6" i="2"/>
  <c r="BS6" i="2"/>
  <c r="BT6" i="2"/>
  <c r="BU6" i="2"/>
  <c r="BV6" i="2"/>
  <c r="BW6" i="2"/>
  <c r="BX6" i="2"/>
  <c r="BY6" i="2"/>
  <c r="BZ6" i="2"/>
  <c r="CA6" i="2"/>
  <c r="CB6" i="2"/>
  <c r="CC6" i="2"/>
  <c r="CD6" i="2"/>
  <c r="CE6" i="2"/>
  <c r="CF6" i="2"/>
  <c r="CG6" i="2"/>
  <c r="CH6" i="2"/>
  <c r="CI6" i="2"/>
  <c r="CJ6" i="2"/>
  <c r="CK6" i="2"/>
  <c r="CL6" i="2"/>
  <c r="CM6" i="2"/>
  <c r="CN6" i="2"/>
  <c r="CO6" i="2"/>
  <c r="CP6" i="2"/>
  <c r="CQ6" i="2"/>
  <c r="CR6" i="2"/>
  <c r="CS6" i="2"/>
  <c r="CT6" i="2"/>
  <c r="CU6" i="2"/>
  <c r="CV6" i="2"/>
  <c r="CW6" i="2"/>
  <c r="CX6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AL7" i="2"/>
  <c r="AM7" i="2"/>
  <c r="AN7" i="2"/>
  <c r="AO7" i="2"/>
  <c r="AP7" i="2"/>
  <c r="AQ7" i="2"/>
  <c r="AR7" i="2"/>
  <c r="AS7" i="2"/>
  <c r="AT7" i="2"/>
  <c r="AU7" i="2"/>
  <c r="AV7" i="2"/>
  <c r="AW7" i="2"/>
  <c r="AX7" i="2"/>
  <c r="AY7" i="2"/>
  <c r="AZ7" i="2"/>
  <c r="BA7" i="2"/>
  <c r="BB7" i="2"/>
  <c r="BC7" i="2"/>
  <c r="BD7" i="2"/>
  <c r="BE7" i="2"/>
  <c r="BF7" i="2"/>
  <c r="BG7" i="2"/>
  <c r="BH7" i="2"/>
  <c r="BI7" i="2"/>
  <c r="BJ7" i="2"/>
  <c r="BK7" i="2"/>
  <c r="BL7" i="2"/>
  <c r="BM7" i="2"/>
  <c r="BN7" i="2"/>
  <c r="BO7" i="2"/>
  <c r="BP7" i="2"/>
  <c r="BQ7" i="2"/>
  <c r="BR7" i="2"/>
  <c r="BS7" i="2"/>
  <c r="BT7" i="2"/>
  <c r="BU7" i="2"/>
  <c r="BV7" i="2"/>
  <c r="BW7" i="2"/>
  <c r="BX7" i="2"/>
  <c r="BY7" i="2"/>
  <c r="BZ7" i="2"/>
  <c r="CA7" i="2"/>
  <c r="CB7" i="2"/>
  <c r="CC7" i="2"/>
  <c r="CD7" i="2"/>
  <c r="CE7" i="2"/>
  <c r="CF7" i="2"/>
  <c r="CG7" i="2"/>
  <c r="CH7" i="2"/>
  <c r="CI7" i="2"/>
  <c r="CJ7" i="2"/>
  <c r="CK7" i="2"/>
  <c r="CL7" i="2"/>
  <c r="CM7" i="2"/>
  <c r="CN7" i="2"/>
  <c r="CO7" i="2"/>
  <c r="CP7" i="2"/>
  <c r="CQ7" i="2"/>
  <c r="CR7" i="2"/>
  <c r="CS7" i="2"/>
  <c r="CT7" i="2"/>
  <c r="CU7" i="2"/>
  <c r="CV7" i="2"/>
  <c r="CW7" i="2"/>
  <c r="CX7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AL8" i="2"/>
  <c r="AM8" i="2"/>
  <c r="AN8" i="2"/>
  <c r="AO8" i="2"/>
  <c r="AP8" i="2"/>
  <c r="AQ8" i="2"/>
  <c r="AR8" i="2"/>
  <c r="AS8" i="2"/>
  <c r="AT8" i="2"/>
  <c r="AU8" i="2"/>
  <c r="AV8" i="2"/>
  <c r="AW8" i="2"/>
  <c r="AX8" i="2"/>
  <c r="AY8" i="2"/>
  <c r="AZ8" i="2"/>
  <c r="BA8" i="2"/>
  <c r="BB8" i="2"/>
  <c r="BC8" i="2"/>
  <c r="BD8" i="2"/>
  <c r="BE8" i="2"/>
  <c r="BF8" i="2"/>
  <c r="BG8" i="2"/>
  <c r="BH8" i="2"/>
  <c r="BI8" i="2"/>
  <c r="BJ8" i="2"/>
  <c r="BK8" i="2"/>
  <c r="BL8" i="2"/>
  <c r="BM8" i="2"/>
  <c r="BN8" i="2"/>
  <c r="BO8" i="2"/>
  <c r="BP8" i="2"/>
  <c r="BQ8" i="2"/>
  <c r="BR8" i="2"/>
  <c r="BS8" i="2"/>
  <c r="BT8" i="2"/>
  <c r="BU8" i="2"/>
  <c r="BV8" i="2"/>
  <c r="BW8" i="2"/>
  <c r="BX8" i="2"/>
  <c r="BY8" i="2"/>
  <c r="BZ8" i="2"/>
  <c r="CA8" i="2"/>
  <c r="CB8" i="2"/>
  <c r="CC8" i="2"/>
  <c r="CD8" i="2"/>
  <c r="CE8" i="2"/>
  <c r="CF8" i="2"/>
  <c r="CG8" i="2"/>
  <c r="CH8" i="2"/>
  <c r="CI8" i="2"/>
  <c r="CJ8" i="2"/>
  <c r="CK8" i="2"/>
  <c r="CL8" i="2"/>
  <c r="CM8" i="2"/>
  <c r="CN8" i="2"/>
  <c r="CO8" i="2"/>
  <c r="CP8" i="2"/>
  <c r="CQ8" i="2"/>
  <c r="CR8" i="2"/>
  <c r="CS8" i="2"/>
  <c r="CT8" i="2"/>
  <c r="CU8" i="2"/>
  <c r="CV8" i="2"/>
  <c r="CW8" i="2"/>
  <c r="CX8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AL9" i="2"/>
  <c r="AM9" i="2"/>
  <c r="AN9" i="2"/>
  <c r="AO9" i="2"/>
  <c r="AP9" i="2"/>
  <c r="AQ9" i="2"/>
  <c r="AR9" i="2"/>
  <c r="AS9" i="2"/>
  <c r="AT9" i="2"/>
  <c r="AU9" i="2"/>
  <c r="AV9" i="2"/>
  <c r="AW9" i="2"/>
  <c r="AX9" i="2"/>
  <c r="AY9" i="2"/>
  <c r="AZ9" i="2"/>
  <c r="BA9" i="2"/>
  <c r="BB9" i="2"/>
  <c r="BC9" i="2"/>
  <c r="BD9" i="2"/>
  <c r="BE9" i="2"/>
  <c r="BF9" i="2"/>
  <c r="BG9" i="2"/>
  <c r="BH9" i="2"/>
  <c r="BI9" i="2"/>
  <c r="BJ9" i="2"/>
  <c r="BK9" i="2"/>
  <c r="BL9" i="2"/>
  <c r="BM9" i="2"/>
  <c r="BN9" i="2"/>
  <c r="BO9" i="2"/>
  <c r="BP9" i="2"/>
  <c r="BQ9" i="2"/>
  <c r="BR9" i="2"/>
  <c r="BS9" i="2"/>
  <c r="BT9" i="2"/>
  <c r="BU9" i="2"/>
  <c r="BV9" i="2"/>
  <c r="BW9" i="2"/>
  <c r="BX9" i="2"/>
  <c r="BY9" i="2"/>
  <c r="BZ9" i="2"/>
  <c r="CA9" i="2"/>
  <c r="CB9" i="2"/>
  <c r="CC9" i="2"/>
  <c r="CD9" i="2"/>
  <c r="CE9" i="2"/>
  <c r="CF9" i="2"/>
  <c r="CG9" i="2"/>
  <c r="CH9" i="2"/>
  <c r="CI9" i="2"/>
  <c r="CJ9" i="2"/>
  <c r="CK9" i="2"/>
  <c r="CL9" i="2"/>
  <c r="CM9" i="2"/>
  <c r="CN9" i="2"/>
  <c r="CO9" i="2"/>
  <c r="CP9" i="2"/>
  <c r="CQ9" i="2"/>
  <c r="CR9" i="2"/>
  <c r="CS9" i="2"/>
  <c r="CT9" i="2"/>
  <c r="CU9" i="2"/>
  <c r="CV9" i="2"/>
  <c r="CW9" i="2"/>
  <c r="CX9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AL10" i="2"/>
  <c r="AM10" i="2"/>
  <c r="AN10" i="2"/>
  <c r="AO10" i="2"/>
  <c r="AP10" i="2"/>
  <c r="AQ10" i="2"/>
  <c r="AR10" i="2"/>
  <c r="AS10" i="2"/>
  <c r="AT10" i="2"/>
  <c r="AU10" i="2"/>
  <c r="AV10" i="2"/>
  <c r="AW10" i="2"/>
  <c r="AX10" i="2"/>
  <c r="AY10" i="2"/>
  <c r="AZ10" i="2"/>
  <c r="BA10" i="2"/>
  <c r="BB10" i="2"/>
  <c r="BC10" i="2"/>
  <c r="BD10" i="2"/>
  <c r="BE10" i="2"/>
  <c r="BF10" i="2"/>
  <c r="BG10" i="2"/>
  <c r="BH10" i="2"/>
  <c r="BI10" i="2"/>
  <c r="BJ10" i="2"/>
  <c r="BK10" i="2"/>
  <c r="BL10" i="2"/>
  <c r="BM10" i="2"/>
  <c r="BN10" i="2"/>
  <c r="BO10" i="2"/>
  <c r="BP10" i="2"/>
  <c r="BQ10" i="2"/>
  <c r="BR10" i="2"/>
  <c r="BS10" i="2"/>
  <c r="BT10" i="2"/>
  <c r="BU10" i="2"/>
  <c r="BV10" i="2"/>
  <c r="BW10" i="2"/>
  <c r="BX10" i="2"/>
  <c r="BY10" i="2"/>
  <c r="BZ10" i="2"/>
  <c r="CA10" i="2"/>
  <c r="CB10" i="2"/>
  <c r="CC10" i="2"/>
  <c r="CD10" i="2"/>
  <c r="CE10" i="2"/>
  <c r="CF10" i="2"/>
  <c r="CG10" i="2"/>
  <c r="CH10" i="2"/>
  <c r="CI10" i="2"/>
  <c r="CJ10" i="2"/>
  <c r="CK10" i="2"/>
  <c r="CL10" i="2"/>
  <c r="CM10" i="2"/>
  <c r="CN10" i="2"/>
  <c r="CO10" i="2"/>
  <c r="CP10" i="2"/>
  <c r="CQ10" i="2"/>
  <c r="CR10" i="2"/>
  <c r="CS10" i="2"/>
  <c r="CT10" i="2"/>
  <c r="CU10" i="2"/>
  <c r="CV10" i="2"/>
  <c r="CW10" i="2"/>
  <c r="CX10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AL11" i="2"/>
  <c r="AM11" i="2"/>
  <c r="AN11" i="2"/>
  <c r="AO11" i="2"/>
  <c r="AP11" i="2"/>
  <c r="AQ11" i="2"/>
  <c r="AR11" i="2"/>
  <c r="AS11" i="2"/>
  <c r="AT11" i="2"/>
  <c r="AU11" i="2"/>
  <c r="AV11" i="2"/>
  <c r="AW11" i="2"/>
  <c r="AX11" i="2"/>
  <c r="AY11" i="2"/>
  <c r="AZ11" i="2"/>
  <c r="BA11" i="2"/>
  <c r="BB11" i="2"/>
  <c r="BC11" i="2"/>
  <c r="BD11" i="2"/>
  <c r="BE11" i="2"/>
  <c r="BF11" i="2"/>
  <c r="BG11" i="2"/>
  <c r="BH11" i="2"/>
  <c r="BI11" i="2"/>
  <c r="BJ11" i="2"/>
  <c r="BK11" i="2"/>
  <c r="BL11" i="2"/>
  <c r="BM11" i="2"/>
  <c r="BN11" i="2"/>
  <c r="BO11" i="2"/>
  <c r="BP11" i="2"/>
  <c r="BQ11" i="2"/>
  <c r="BR11" i="2"/>
  <c r="BS11" i="2"/>
  <c r="BT11" i="2"/>
  <c r="BU11" i="2"/>
  <c r="BV11" i="2"/>
  <c r="BW11" i="2"/>
  <c r="BX11" i="2"/>
  <c r="BY11" i="2"/>
  <c r="BZ11" i="2"/>
  <c r="CA11" i="2"/>
  <c r="CB11" i="2"/>
  <c r="CC11" i="2"/>
  <c r="CD11" i="2"/>
  <c r="CE11" i="2"/>
  <c r="CF11" i="2"/>
  <c r="CG11" i="2"/>
  <c r="CH11" i="2"/>
  <c r="CI11" i="2"/>
  <c r="CJ11" i="2"/>
  <c r="CK11" i="2"/>
  <c r="CL11" i="2"/>
  <c r="CM11" i="2"/>
  <c r="CN11" i="2"/>
  <c r="CO11" i="2"/>
  <c r="CP11" i="2"/>
  <c r="CQ11" i="2"/>
  <c r="CR11" i="2"/>
  <c r="CS11" i="2"/>
  <c r="CT11" i="2"/>
  <c r="CU11" i="2"/>
  <c r="CV11" i="2"/>
  <c r="CW11" i="2"/>
  <c r="CX11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AL12" i="2"/>
  <c r="AM12" i="2"/>
  <c r="AN12" i="2"/>
  <c r="AO12" i="2"/>
  <c r="AP12" i="2"/>
  <c r="AQ12" i="2"/>
  <c r="AR12" i="2"/>
  <c r="AS12" i="2"/>
  <c r="AT12" i="2"/>
  <c r="AU12" i="2"/>
  <c r="AV12" i="2"/>
  <c r="AW12" i="2"/>
  <c r="AX12" i="2"/>
  <c r="AY12" i="2"/>
  <c r="AZ12" i="2"/>
  <c r="BA12" i="2"/>
  <c r="BB12" i="2"/>
  <c r="BC12" i="2"/>
  <c r="BD12" i="2"/>
  <c r="BE12" i="2"/>
  <c r="BF12" i="2"/>
  <c r="BG12" i="2"/>
  <c r="BH12" i="2"/>
  <c r="BI12" i="2"/>
  <c r="BJ12" i="2"/>
  <c r="BK12" i="2"/>
  <c r="BL12" i="2"/>
  <c r="BM12" i="2"/>
  <c r="BN12" i="2"/>
  <c r="BO12" i="2"/>
  <c r="BP12" i="2"/>
  <c r="BQ12" i="2"/>
  <c r="BR12" i="2"/>
  <c r="BS12" i="2"/>
  <c r="BT12" i="2"/>
  <c r="BU12" i="2"/>
  <c r="BV12" i="2"/>
  <c r="BW12" i="2"/>
  <c r="BX12" i="2"/>
  <c r="BY12" i="2"/>
  <c r="BZ12" i="2"/>
  <c r="CA12" i="2"/>
  <c r="CB12" i="2"/>
  <c r="CC12" i="2"/>
  <c r="CD12" i="2"/>
  <c r="CE12" i="2"/>
  <c r="CF12" i="2"/>
  <c r="CG12" i="2"/>
  <c r="CH12" i="2"/>
  <c r="CI12" i="2"/>
  <c r="CJ12" i="2"/>
  <c r="CK12" i="2"/>
  <c r="CL12" i="2"/>
  <c r="CM12" i="2"/>
  <c r="CN12" i="2"/>
  <c r="CO12" i="2"/>
  <c r="CP12" i="2"/>
  <c r="CQ12" i="2"/>
  <c r="CR12" i="2"/>
  <c r="CS12" i="2"/>
  <c r="CT12" i="2"/>
  <c r="CU12" i="2"/>
  <c r="CV12" i="2"/>
  <c r="CW12" i="2"/>
  <c r="CX12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AL13" i="2"/>
  <c r="AM13" i="2"/>
  <c r="AN13" i="2"/>
  <c r="AO13" i="2"/>
  <c r="AP13" i="2"/>
  <c r="AQ13" i="2"/>
  <c r="AR13" i="2"/>
  <c r="AS13" i="2"/>
  <c r="AT13" i="2"/>
  <c r="AU13" i="2"/>
  <c r="AV13" i="2"/>
  <c r="AW13" i="2"/>
  <c r="AX13" i="2"/>
  <c r="AY13" i="2"/>
  <c r="AZ13" i="2"/>
  <c r="BA13" i="2"/>
  <c r="BB13" i="2"/>
  <c r="BC13" i="2"/>
  <c r="BD13" i="2"/>
  <c r="BE13" i="2"/>
  <c r="BF13" i="2"/>
  <c r="BG13" i="2"/>
  <c r="BH13" i="2"/>
  <c r="BI13" i="2"/>
  <c r="BJ13" i="2"/>
  <c r="BK13" i="2"/>
  <c r="BL13" i="2"/>
  <c r="BM13" i="2"/>
  <c r="BN13" i="2"/>
  <c r="BO13" i="2"/>
  <c r="BP13" i="2"/>
  <c r="BQ13" i="2"/>
  <c r="BR13" i="2"/>
  <c r="BS13" i="2"/>
  <c r="BT13" i="2"/>
  <c r="BU13" i="2"/>
  <c r="BV13" i="2"/>
  <c r="BW13" i="2"/>
  <c r="BX13" i="2"/>
  <c r="BY13" i="2"/>
  <c r="BZ13" i="2"/>
  <c r="CA13" i="2"/>
  <c r="CB13" i="2"/>
  <c r="CC13" i="2"/>
  <c r="CD13" i="2"/>
  <c r="CE13" i="2"/>
  <c r="CF13" i="2"/>
  <c r="CG13" i="2"/>
  <c r="CH13" i="2"/>
  <c r="CI13" i="2"/>
  <c r="CJ13" i="2"/>
  <c r="CK13" i="2"/>
  <c r="CL13" i="2"/>
  <c r="CM13" i="2"/>
  <c r="CN13" i="2"/>
  <c r="CO13" i="2"/>
  <c r="CP13" i="2"/>
  <c r="CQ13" i="2"/>
  <c r="CR13" i="2"/>
  <c r="CS13" i="2"/>
  <c r="CT13" i="2"/>
  <c r="CU13" i="2"/>
  <c r="CV13" i="2"/>
  <c r="CW13" i="2"/>
  <c r="CX13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AG14" i="2"/>
  <c r="AH14" i="2"/>
  <c r="AI14" i="2"/>
  <c r="AJ14" i="2"/>
  <c r="AK14" i="2"/>
  <c r="AL14" i="2"/>
  <c r="AM14" i="2"/>
  <c r="AN14" i="2"/>
  <c r="AO14" i="2"/>
  <c r="AP14" i="2"/>
  <c r="AQ14" i="2"/>
  <c r="AR14" i="2"/>
  <c r="AS14" i="2"/>
  <c r="AT14" i="2"/>
  <c r="AU14" i="2"/>
  <c r="AV14" i="2"/>
  <c r="AW14" i="2"/>
  <c r="AX14" i="2"/>
  <c r="AY14" i="2"/>
  <c r="AZ14" i="2"/>
  <c r="BA14" i="2"/>
  <c r="BB14" i="2"/>
  <c r="BC14" i="2"/>
  <c r="BD14" i="2"/>
  <c r="BE14" i="2"/>
  <c r="BF14" i="2"/>
  <c r="BG14" i="2"/>
  <c r="BH14" i="2"/>
  <c r="BI14" i="2"/>
  <c r="BJ14" i="2"/>
  <c r="BK14" i="2"/>
  <c r="BL14" i="2"/>
  <c r="BM14" i="2"/>
  <c r="BN14" i="2"/>
  <c r="BO14" i="2"/>
  <c r="BP14" i="2"/>
  <c r="BQ14" i="2"/>
  <c r="BR14" i="2"/>
  <c r="BS14" i="2"/>
  <c r="BT14" i="2"/>
  <c r="BU14" i="2"/>
  <c r="BV14" i="2"/>
  <c r="BW14" i="2"/>
  <c r="BX14" i="2"/>
  <c r="BY14" i="2"/>
  <c r="BZ14" i="2"/>
  <c r="CA14" i="2"/>
  <c r="CB14" i="2"/>
  <c r="CC14" i="2"/>
  <c r="CD14" i="2"/>
  <c r="CE14" i="2"/>
  <c r="CF14" i="2"/>
  <c r="CG14" i="2"/>
  <c r="CH14" i="2"/>
  <c r="CI14" i="2"/>
  <c r="CJ14" i="2"/>
  <c r="CK14" i="2"/>
  <c r="CL14" i="2"/>
  <c r="CM14" i="2"/>
  <c r="CN14" i="2"/>
  <c r="CO14" i="2"/>
  <c r="CP14" i="2"/>
  <c r="CQ14" i="2"/>
  <c r="CR14" i="2"/>
  <c r="CS14" i="2"/>
  <c r="CT14" i="2"/>
  <c r="CU14" i="2"/>
  <c r="CV14" i="2"/>
  <c r="CW14" i="2"/>
  <c r="CX14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L15" i="2"/>
  <c r="AM15" i="2"/>
  <c r="AN15" i="2"/>
  <c r="AO15" i="2"/>
  <c r="AP15" i="2"/>
  <c r="AQ15" i="2"/>
  <c r="AR15" i="2"/>
  <c r="AS15" i="2"/>
  <c r="AT15" i="2"/>
  <c r="AU15" i="2"/>
  <c r="AV15" i="2"/>
  <c r="AW15" i="2"/>
  <c r="AX15" i="2"/>
  <c r="AY15" i="2"/>
  <c r="AZ15" i="2"/>
  <c r="BA15" i="2"/>
  <c r="BB15" i="2"/>
  <c r="BC15" i="2"/>
  <c r="BD15" i="2"/>
  <c r="BE15" i="2"/>
  <c r="BF15" i="2"/>
  <c r="BG15" i="2"/>
  <c r="BH15" i="2"/>
  <c r="BI15" i="2"/>
  <c r="BJ15" i="2"/>
  <c r="BK15" i="2"/>
  <c r="BL15" i="2"/>
  <c r="BM15" i="2"/>
  <c r="BN15" i="2"/>
  <c r="BO15" i="2"/>
  <c r="BP15" i="2"/>
  <c r="BQ15" i="2"/>
  <c r="BR15" i="2"/>
  <c r="BS15" i="2"/>
  <c r="BT15" i="2"/>
  <c r="BU15" i="2"/>
  <c r="BV15" i="2"/>
  <c r="BW15" i="2"/>
  <c r="BX15" i="2"/>
  <c r="BY15" i="2"/>
  <c r="BZ15" i="2"/>
  <c r="CA15" i="2"/>
  <c r="CB15" i="2"/>
  <c r="CC15" i="2"/>
  <c r="CD15" i="2"/>
  <c r="CE15" i="2"/>
  <c r="CF15" i="2"/>
  <c r="CG15" i="2"/>
  <c r="CH15" i="2"/>
  <c r="CI15" i="2"/>
  <c r="CJ15" i="2"/>
  <c r="CK15" i="2"/>
  <c r="CL15" i="2"/>
  <c r="CM15" i="2"/>
  <c r="CN15" i="2"/>
  <c r="CO15" i="2"/>
  <c r="CP15" i="2"/>
  <c r="CQ15" i="2"/>
  <c r="CR15" i="2"/>
  <c r="CS15" i="2"/>
  <c r="CT15" i="2"/>
  <c r="CU15" i="2"/>
  <c r="CV15" i="2"/>
  <c r="CW15" i="2"/>
  <c r="CX15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AJ16" i="2"/>
  <c r="AK16" i="2"/>
  <c r="AL16" i="2"/>
  <c r="AM16" i="2"/>
  <c r="AN16" i="2"/>
  <c r="AO16" i="2"/>
  <c r="AP16" i="2"/>
  <c r="AQ16" i="2"/>
  <c r="AR16" i="2"/>
  <c r="AS16" i="2"/>
  <c r="AT16" i="2"/>
  <c r="AU16" i="2"/>
  <c r="AV16" i="2"/>
  <c r="AW16" i="2"/>
  <c r="AX16" i="2"/>
  <c r="AY16" i="2"/>
  <c r="AZ16" i="2"/>
  <c r="BA16" i="2"/>
  <c r="BB16" i="2"/>
  <c r="BC16" i="2"/>
  <c r="BD16" i="2"/>
  <c r="BE16" i="2"/>
  <c r="BF16" i="2"/>
  <c r="BG16" i="2"/>
  <c r="BH16" i="2"/>
  <c r="BI16" i="2"/>
  <c r="BJ16" i="2"/>
  <c r="BK16" i="2"/>
  <c r="BL16" i="2"/>
  <c r="BM16" i="2"/>
  <c r="BN16" i="2"/>
  <c r="BO16" i="2"/>
  <c r="BP16" i="2"/>
  <c r="BQ16" i="2"/>
  <c r="BR16" i="2"/>
  <c r="BS16" i="2"/>
  <c r="BT16" i="2"/>
  <c r="BU16" i="2"/>
  <c r="BV16" i="2"/>
  <c r="BW16" i="2"/>
  <c r="BX16" i="2"/>
  <c r="BY16" i="2"/>
  <c r="BZ16" i="2"/>
  <c r="CA16" i="2"/>
  <c r="CB16" i="2"/>
  <c r="CC16" i="2"/>
  <c r="CD16" i="2"/>
  <c r="CE16" i="2"/>
  <c r="CF16" i="2"/>
  <c r="CG16" i="2"/>
  <c r="CH16" i="2"/>
  <c r="CI16" i="2"/>
  <c r="CJ16" i="2"/>
  <c r="CK16" i="2"/>
  <c r="CL16" i="2"/>
  <c r="CM16" i="2"/>
  <c r="CN16" i="2"/>
  <c r="CO16" i="2"/>
  <c r="CP16" i="2"/>
  <c r="CQ16" i="2"/>
  <c r="CR16" i="2"/>
  <c r="CS16" i="2"/>
  <c r="CT16" i="2"/>
  <c r="CU16" i="2"/>
  <c r="CV16" i="2"/>
  <c r="CW16" i="2"/>
  <c r="CX16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AH17" i="2"/>
  <c r="AI17" i="2"/>
  <c r="AJ17" i="2"/>
  <c r="AK17" i="2"/>
  <c r="AL17" i="2"/>
  <c r="AM17" i="2"/>
  <c r="AN17" i="2"/>
  <c r="AO17" i="2"/>
  <c r="AP17" i="2"/>
  <c r="AQ17" i="2"/>
  <c r="AR17" i="2"/>
  <c r="AS17" i="2"/>
  <c r="AT17" i="2"/>
  <c r="AU17" i="2"/>
  <c r="AV17" i="2"/>
  <c r="AW17" i="2"/>
  <c r="AX17" i="2"/>
  <c r="AY17" i="2"/>
  <c r="AZ17" i="2"/>
  <c r="BA17" i="2"/>
  <c r="BB17" i="2"/>
  <c r="BC17" i="2"/>
  <c r="BD17" i="2"/>
  <c r="BE17" i="2"/>
  <c r="BF17" i="2"/>
  <c r="BG17" i="2"/>
  <c r="BH17" i="2"/>
  <c r="BI17" i="2"/>
  <c r="BJ17" i="2"/>
  <c r="BK17" i="2"/>
  <c r="BL17" i="2"/>
  <c r="BM17" i="2"/>
  <c r="BN17" i="2"/>
  <c r="BO17" i="2"/>
  <c r="BP17" i="2"/>
  <c r="BQ17" i="2"/>
  <c r="BR17" i="2"/>
  <c r="BS17" i="2"/>
  <c r="BT17" i="2"/>
  <c r="BU17" i="2"/>
  <c r="BV17" i="2"/>
  <c r="BW17" i="2"/>
  <c r="BX17" i="2"/>
  <c r="BY17" i="2"/>
  <c r="BZ17" i="2"/>
  <c r="CA17" i="2"/>
  <c r="CB17" i="2"/>
  <c r="CC17" i="2"/>
  <c r="CD17" i="2"/>
  <c r="CE17" i="2"/>
  <c r="CF17" i="2"/>
  <c r="CG17" i="2"/>
  <c r="CH17" i="2"/>
  <c r="CI17" i="2"/>
  <c r="CJ17" i="2"/>
  <c r="CK17" i="2"/>
  <c r="CL17" i="2"/>
  <c r="CM17" i="2"/>
  <c r="CN17" i="2"/>
  <c r="CO17" i="2"/>
  <c r="CP17" i="2"/>
  <c r="CQ17" i="2"/>
  <c r="CR17" i="2"/>
  <c r="CS17" i="2"/>
  <c r="CT17" i="2"/>
  <c r="CU17" i="2"/>
  <c r="CV17" i="2"/>
  <c r="CW17" i="2"/>
  <c r="CX17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AK18" i="2"/>
  <c r="AL18" i="2"/>
  <c r="AM18" i="2"/>
  <c r="AN18" i="2"/>
  <c r="AO18" i="2"/>
  <c r="AP18" i="2"/>
  <c r="AQ18" i="2"/>
  <c r="AR18" i="2"/>
  <c r="AS18" i="2"/>
  <c r="AT18" i="2"/>
  <c r="AU18" i="2"/>
  <c r="AV18" i="2"/>
  <c r="AW18" i="2"/>
  <c r="AX18" i="2"/>
  <c r="AY18" i="2"/>
  <c r="AZ18" i="2"/>
  <c r="BA18" i="2"/>
  <c r="BB18" i="2"/>
  <c r="BC18" i="2"/>
  <c r="BD18" i="2"/>
  <c r="BE18" i="2"/>
  <c r="BF18" i="2"/>
  <c r="BG18" i="2"/>
  <c r="BH18" i="2"/>
  <c r="BI18" i="2"/>
  <c r="BJ18" i="2"/>
  <c r="BK18" i="2"/>
  <c r="BL18" i="2"/>
  <c r="BM18" i="2"/>
  <c r="BN18" i="2"/>
  <c r="BO18" i="2"/>
  <c r="BP18" i="2"/>
  <c r="BQ18" i="2"/>
  <c r="BR18" i="2"/>
  <c r="BS18" i="2"/>
  <c r="BT18" i="2"/>
  <c r="BU18" i="2"/>
  <c r="BV18" i="2"/>
  <c r="BW18" i="2"/>
  <c r="BX18" i="2"/>
  <c r="BY18" i="2"/>
  <c r="BZ18" i="2"/>
  <c r="CA18" i="2"/>
  <c r="CB18" i="2"/>
  <c r="CC18" i="2"/>
  <c r="CD18" i="2"/>
  <c r="CE18" i="2"/>
  <c r="CF18" i="2"/>
  <c r="CG18" i="2"/>
  <c r="CH18" i="2"/>
  <c r="CI18" i="2"/>
  <c r="CJ18" i="2"/>
  <c r="CK18" i="2"/>
  <c r="CL18" i="2"/>
  <c r="CM18" i="2"/>
  <c r="CN18" i="2"/>
  <c r="CO18" i="2"/>
  <c r="CP18" i="2"/>
  <c r="CQ18" i="2"/>
  <c r="CR18" i="2"/>
  <c r="CS18" i="2"/>
  <c r="CT18" i="2"/>
  <c r="CU18" i="2"/>
  <c r="CV18" i="2"/>
  <c r="CW18" i="2"/>
  <c r="CX18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AP19" i="2"/>
  <c r="AQ19" i="2"/>
  <c r="AR19" i="2"/>
  <c r="AS19" i="2"/>
  <c r="AT19" i="2"/>
  <c r="AU19" i="2"/>
  <c r="AV19" i="2"/>
  <c r="AW19" i="2"/>
  <c r="AX19" i="2"/>
  <c r="AY19" i="2"/>
  <c r="AZ19" i="2"/>
  <c r="BA19" i="2"/>
  <c r="BB19" i="2"/>
  <c r="BC19" i="2"/>
  <c r="BD19" i="2"/>
  <c r="BE19" i="2"/>
  <c r="BF19" i="2"/>
  <c r="BG19" i="2"/>
  <c r="BH19" i="2"/>
  <c r="BI19" i="2"/>
  <c r="BJ19" i="2"/>
  <c r="BK19" i="2"/>
  <c r="BL19" i="2"/>
  <c r="BM19" i="2"/>
  <c r="BN19" i="2"/>
  <c r="BO19" i="2"/>
  <c r="BP19" i="2"/>
  <c r="BQ19" i="2"/>
  <c r="BR19" i="2"/>
  <c r="BS19" i="2"/>
  <c r="BT19" i="2"/>
  <c r="BU19" i="2"/>
  <c r="BV19" i="2"/>
  <c r="BW19" i="2"/>
  <c r="BX19" i="2"/>
  <c r="BY19" i="2"/>
  <c r="BZ19" i="2"/>
  <c r="CA19" i="2"/>
  <c r="CB19" i="2"/>
  <c r="CC19" i="2"/>
  <c r="CD19" i="2"/>
  <c r="CE19" i="2"/>
  <c r="CF19" i="2"/>
  <c r="CG19" i="2"/>
  <c r="CH19" i="2"/>
  <c r="CI19" i="2"/>
  <c r="CJ19" i="2"/>
  <c r="CK19" i="2"/>
  <c r="CL19" i="2"/>
  <c r="CM19" i="2"/>
  <c r="CN19" i="2"/>
  <c r="CO19" i="2"/>
  <c r="CP19" i="2"/>
  <c r="CQ19" i="2"/>
  <c r="CR19" i="2"/>
  <c r="CS19" i="2"/>
  <c r="CT19" i="2"/>
  <c r="CU19" i="2"/>
  <c r="CV19" i="2"/>
  <c r="CW19" i="2"/>
  <c r="CX19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AJ20" i="2"/>
  <c r="AK20" i="2"/>
  <c r="AL20" i="2"/>
  <c r="AM20" i="2"/>
  <c r="AN20" i="2"/>
  <c r="AO20" i="2"/>
  <c r="AP20" i="2"/>
  <c r="AQ20" i="2"/>
  <c r="AR20" i="2"/>
  <c r="AS20" i="2"/>
  <c r="AT20" i="2"/>
  <c r="AU20" i="2"/>
  <c r="AV20" i="2"/>
  <c r="AW20" i="2"/>
  <c r="AX20" i="2"/>
  <c r="AY20" i="2"/>
  <c r="AZ20" i="2"/>
  <c r="BA20" i="2"/>
  <c r="BB20" i="2"/>
  <c r="BC20" i="2"/>
  <c r="BD20" i="2"/>
  <c r="BE20" i="2"/>
  <c r="BF20" i="2"/>
  <c r="BG20" i="2"/>
  <c r="BH20" i="2"/>
  <c r="BI20" i="2"/>
  <c r="BJ20" i="2"/>
  <c r="BK20" i="2"/>
  <c r="BL20" i="2"/>
  <c r="BM20" i="2"/>
  <c r="BN20" i="2"/>
  <c r="BO20" i="2"/>
  <c r="BP20" i="2"/>
  <c r="BQ20" i="2"/>
  <c r="BR20" i="2"/>
  <c r="BS20" i="2"/>
  <c r="BT20" i="2"/>
  <c r="BU20" i="2"/>
  <c r="BV20" i="2"/>
  <c r="BW20" i="2"/>
  <c r="BX20" i="2"/>
  <c r="BY20" i="2"/>
  <c r="BZ20" i="2"/>
  <c r="CA20" i="2"/>
  <c r="CB20" i="2"/>
  <c r="CC20" i="2"/>
  <c r="CD20" i="2"/>
  <c r="CE20" i="2"/>
  <c r="CF20" i="2"/>
  <c r="CG20" i="2"/>
  <c r="CH20" i="2"/>
  <c r="CI20" i="2"/>
  <c r="CJ20" i="2"/>
  <c r="CK20" i="2"/>
  <c r="CL20" i="2"/>
  <c r="CM20" i="2"/>
  <c r="CN20" i="2"/>
  <c r="CO20" i="2"/>
  <c r="CP20" i="2"/>
  <c r="CQ20" i="2"/>
  <c r="CR20" i="2"/>
  <c r="CS20" i="2"/>
  <c r="CT20" i="2"/>
  <c r="CU20" i="2"/>
  <c r="CV20" i="2"/>
  <c r="CW20" i="2"/>
  <c r="CX20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AK21" i="2"/>
  <c r="AL21" i="2"/>
  <c r="AM21" i="2"/>
  <c r="AN21" i="2"/>
  <c r="AO21" i="2"/>
  <c r="AP21" i="2"/>
  <c r="AQ21" i="2"/>
  <c r="AR21" i="2"/>
  <c r="AS21" i="2"/>
  <c r="AT21" i="2"/>
  <c r="AU21" i="2"/>
  <c r="AV21" i="2"/>
  <c r="AW21" i="2"/>
  <c r="AX21" i="2"/>
  <c r="AY21" i="2"/>
  <c r="AZ21" i="2"/>
  <c r="BA21" i="2"/>
  <c r="BB21" i="2"/>
  <c r="BC21" i="2"/>
  <c r="BD21" i="2"/>
  <c r="BE21" i="2"/>
  <c r="BF21" i="2"/>
  <c r="BG21" i="2"/>
  <c r="BH21" i="2"/>
  <c r="BI21" i="2"/>
  <c r="BJ21" i="2"/>
  <c r="BK21" i="2"/>
  <c r="BL21" i="2"/>
  <c r="BM21" i="2"/>
  <c r="BN21" i="2"/>
  <c r="BO21" i="2"/>
  <c r="BP21" i="2"/>
  <c r="BQ21" i="2"/>
  <c r="BR21" i="2"/>
  <c r="BS21" i="2"/>
  <c r="BT21" i="2"/>
  <c r="BU21" i="2"/>
  <c r="BV21" i="2"/>
  <c r="BW21" i="2"/>
  <c r="BX21" i="2"/>
  <c r="BY21" i="2"/>
  <c r="BZ21" i="2"/>
  <c r="CA21" i="2"/>
  <c r="CB21" i="2"/>
  <c r="CC21" i="2"/>
  <c r="CD21" i="2"/>
  <c r="CE21" i="2"/>
  <c r="CF21" i="2"/>
  <c r="CG21" i="2"/>
  <c r="CH21" i="2"/>
  <c r="CI21" i="2"/>
  <c r="CJ21" i="2"/>
  <c r="CK21" i="2"/>
  <c r="CL21" i="2"/>
  <c r="CM21" i="2"/>
  <c r="CN21" i="2"/>
  <c r="CO21" i="2"/>
  <c r="CP21" i="2"/>
  <c r="CQ21" i="2"/>
  <c r="CR21" i="2"/>
  <c r="CS21" i="2"/>
  <c r="CT21" i="2"/>
  <c r="CU21" i="2"/>
  <c r="CV21" i="2"/>
  <c r="CW21" i="2"/>
  <c r="CX21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AF22" i="2"/>
  <c r="AG22" i="2"/>
  <c r="AH22" i="2"/>
  <c r="AI22" i="2"/>
  <c r="AJ22" i="2"/>
  <c r="AK22" i="2"/>
  <c r="AL22" i="2"/>
  <c r="AM22" i="2"/>
  <c r="AN22" i="2"/>
  <c r="AO22" i="2"/>
  <c r="AP22" i="2"/>
  <c r="AQ22" i="2"/>
  <c r="AR22" i="2"/>
  <c r="AS22" i="2"/>
  <c r="AT22" i="2"/>
  <c r="AU22" i="2"/>
  <c r="AV22" i="2"/>
  <c r="AW22" i="2"/>
  <c r="AX22" i="2"/>
  <c r="AY22" i="2"/>
  <c r="AZ22" i="2"/>
  <c r="BA22" i="2"/>
  <c r="BB22" i="2"/>
  <c r="BC22" i="2"/>
  <c r="BD22" i="2"/>
  <c r="BE22" i="2"/>
  <c r="BF22" i="2"/>
  <c r="BG22" i="2"/>
  <c r="BH22" i="2"/>
  <c r="BI22" i="2"/>
  <c r="BJ22" i="2"/>
  <c r="BK22" i="2"/>
  <c r="BL22" i="2"/>
  <c r="BM22" i="2"/>
  <c r="BN22" i="2"/>
  <c r="BO22" i="2"/>
  <c r="BP22" i="2"/>
  <c r="BQ22" i="2"/>
  <c r="BR22" i="2"/>
  <c r="BS22" i="2"/>
  <c r="BT22" i="2"/>
  <c r="BU22" i="2"/>
  <c r="BV22" i="2"/>
  <c r="BW22" i="2"/>
  <c r="BX22" i="2"/>
  <c r="BY22" i="2"/>
  <c r="BZ22" i="2"/>
  <c r="CA22" i="2"/>
  <c r="CB22" i="2"/>
  <c r="CC22" i="2"/>
  <c r="CD22" i="2"/>
  <c r="CE22" i="2"/>
  <c r="CF22" i="2"/>
  <c r="CG22" i="2"/>
  <c r="CH22" i="2"/>
  <c r="CI22" i="2"/>
  <c r="CJ22" i="2"/>
  <c r="CK22" i="2"/>
  <c r="CL22" i="2"/>
  <c r="CM22" i="2"/>
  <c r="CN22" i="2"/>
  <c r="CO22" i="2"/>
  <c r="CP22" i="2"/>
  <c r="CQ22" i="2"/>
  <c r="CR22" i="2"/>
  <c r="CS22" i="2"/>
  <c r="CT22" i="2"/>
  <c r="CU22" i="2"/>
  <c r="CV22" i="2"/>
  <c r="CW22" i="2"/>
  <c r="CX22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AJ23" i="2"/>
  <c r="AK23" i="2"/>
  <c r="AL23" i="2"/>
  <c r="AM23" i="2"/>
  <c r="AN23" i="2"/>
  <c r="AO23" i="2"/>
  <c r="AP23" i="2"/>
  <c r="AQ23" i="2"/>
  <c r="AR23" i="2"/>
  <c r="AS23" i="2"/>
  <c r="AT23" i="2"/>
  <c r="AU23" i="2"/>
  <c r="AV23" i="2"/>
  <c r="AW23" i="2"/>
  <c r="AX23" i="2"/>
  <c r="AY23" i="2"/>
  <c r="AZ23" i="2"/>
  <c r="BA23" i="2"/>
  <c r="BB23" i="2"/>
  <c r="BC23" i="2"/>
  <c r="BD23" i="2"/>
  <c r="BE23" i="2"/>
  <c r="BF23" i="2"/>
  <c r="BG23" i="2"/>
  <c r="BH23" i="2"/>
  <c r="BI23" i="2"/>
  <c r="BJ23" i="2"/>
  <c r="BK23" i="2"/>
  <c r="BL23" i="2"/>
  <c r="BM23" i="2"/>
  <c r="BN23" i="2"/>
  <c r="BO23" i="2"/>
  <c r="BP23" i="2"/>
  <c r="BQ23" i="2"/>
  <c r="BR23" i="2"/>
  <c r="BS23" i="2"/>
  <c r="BT23" i="2"/>
  <c r="BU23" i="2"/>
  <c r="BV23" i="2"/>
  <c r="BW23" i="2"/>
  <c r="BX23" i="2"/>
  <c r="BY23" i="2"/>
  <c r="BZ23" i="2"/>
  <c r="CA23" i="2"/>
  <c r="CB23" i="2"/>
  <c r="CC23" i="2"/>
  <c r="CD23" i="2"/>
  <c r="CE23" i="2"/>
  <c r="CF23" i="2"/>
  <c r="CG23" i="2"/>
  <c r="CH23" i="2"/>
  <c r="CI23" i="2"/>
  <c r="CJ23" i="2"/>
  <c r="CK23" i="2"/>
  <c r="CL23" i="2"/>
  <c r="CM23" i="2"/>
  <c r="CN23" i="2"/>
  <c r="CO23" i="2"/>
  <c r="CP23" i="2"/>
  <c r="CQ23" i="2"/>
  <c r="CR23" i="2"/>
  <c r="CS23" i="2"/>
  <c r="CT23" i="2"/>
  <c r="CU23" i="2"/>
  <c r="CV23" i="2"/>
  <c r="CW23" i="2"/>
  <c r="CX23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AJ24" i="2"/>
  <c r="AK24" i="2"/>
  <c r="AL24" i="2"/>
  <c r="AM24" i="2"/>
  <c r="AN24" i="2"/>
  <c r="AO24" i="2"/>
  <c r="AP24" i="2"/>
  <c r="AQ24" i="2"/>
  <c r="AR24" i="2"/>
  <c r="AS24" i="2"/>
  <c r="AT24" i="2"/>
  <c r="AU24" i="2"/>
  <c r="AV24" i="2"/>
  <c r="AW24" i="2"/>
  <c r="AX24" i="2"/>
  <c r="AY24" i="2"/>
  <c r="AZ24" i="2"/>
  <c r="BA24" i="2"/>
  <c r="BB24" i="2"/>
  <c r="BC24" i="2"/>
  <c r="BD24" i="2"/>
  <c r="BE24" i="2"/>
  <c r="BF24" i="2"/>
  <c r="BG24" i="2"/>
  <c r="BH24" i="2"/>
  <c r="BI24" i="2"/>
  <c r="BJ24" i="2"/>
  <c r="BK24" i="2"/>
  <c r="BL24" i="2"/>
  <c r="BM24" i="2"/>
  <c r="BN24" i="2"/>
  <c r="BO24" i="2"/>
  <c r="BP24" i="2"/>
  <c r="BQ24" i="2"/>
  <c r="BR24" i="2"/>
  <c r="BS24" i="2"/>
  <c r="BT24" i="2"/>
  <c r="BU24" i="2"/>
  <c r="BV24" i="2"/>
  <c r="BW24" i="2"/>
  <c r="BX24" i="2"/>
  <c r="BY24" i="2"/>
  <c r="BZ24" i="2"/>
  <c r="CA24" i="2"/>
  <c r="CB24" i="2"/>
  <c r="CC24" i="2"/>
  <c r="CD24" i="2"/>
  <c r="CE24" i="2"/>
  <c r="CF24" i="2"/>
  <c r="CG24" i="2"/>
  <c r="CH24" i="2"/>
  <c r="CI24" i="2"/>
  <c r="CJ24" i="2"/>
  <c r="CK24" i="2"/>
  <c r="CL24" i="2"/>
  <c r="CM24" i="2"/>
  <c r="CN24" i="2"/>
  <c r="CO24" i="2"/>
  <c r="CP24" i="2"/>
  <c r="CQ24" i="2"/>
  <c r="CR24" i="2"/>
  <c r="CS24" i="2"/>
  <c r="CT24" i="2"/>
  <c r="CU24" i="2"/>
  <c r="CV24" i="2"/>
  <c r="CW24" i="2"/>
  <c r="CX24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AC25" i="2"/>
  <c r="AD25" i="2"/>
  <c r="AE25" i="2"/>
  <c r="AF25" i="2"/>
  <c r="AG25" i="2"/>
  <c r="AH25" i="2"/>
  <c r="AI25" i="2"/>
  <c r="AJ25" i="2"/>
  <c r="AK25" i="2"/>
  <c r="AL25" i="2"/>
  <c r="AM25" i="2"/>
  <c r="AN25" i="2"/>
  <c r="AO25" i="2"/>
  <c r="AP25" i="2"/>
  <c r="AQ25" i="2"/>
  <c r="AR25" i="2"/>
  <c r="AS25" i="2"/>
  <c r="AT25" i="2"/>
  <c r="AU25" i="2"/>
  <c r="AV25" i="2"/>
  <c r="AW25" i="2"/>
  <c r="AX25" i="2"/>
  <c r="AY25" i="2"/>
  <c r="AZ25" i="2"/>
  <c r="BA25" i="2"/>
  <c r="BB25" i="2"/>
  <c r="BC25" i="2"/>
  <c r="BD25" i="2"/>
  <c r="BE25" i="2"/>
  <c r="BF25" i="2"/>
  <c r="BG25" i="2"/>
  <c r="BH25" i="2"/>
  <c r="BI25" i="2"/>
  <c r="BJ25" i="2"/>
  <c r="BK25" i="2"/>
  <c r="BL25" i="2"/>
  <c r="BM25" i="2"/>
  <c r="BN25" i="2"/>
  <c r="BO25" i="2"/>
  <c r="BP25" i="2"/>
  <c r="BQ25" i="2"/>
  <c r="BR25" i="2"/>
  <c r="BS25" i="2"/>
  <c r="BT25" i="2"/>
  <c r="BU25" i="2"/>
  <c r="BV25" i="2"/>
  <c r="BW25" i="2"/>
  <c r="BX25" i="2"/>
  <c r="BY25" i="2"/>
  <c r="BZ25" i="2"/>
  <c r="CA25" i="2"/>
  <c r="CB25" i="2"/>
  <c r="CC25" i="2"/>
  <c r="CD25" i="2"/>
  <c r="CE25" i="2"/>
  <c r="CF25" i="2"/>
  <c r="CG25" i="2"/>
  <c r="CH25" i="2"/>
  <c r="CI25" i="2"/>
  <c r="CJ25" i="2"/>
  <c r="CK25" i="2"/>
  <c r="CL25" i="2"/>
  <c r="CM25" i="2"/>
  <c r="CN25" i="2"/>
  <c r="CO25" i="2"/>
  <c r="CP25" i="2"/>
  <c r="CQ25" i="2"/>
  <c r="CR25" i="2"/>
  <c r="CS25" i="2"/>
  <c r="CT25" i="2"/>
  <c r="CU25" i="2"/>
  <c r="CV25" i="2"/>
  <c r="CW25" i="2"/>
  <c r="CX25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AJ26" i="2"/>
  <c r="AK26" i="2"/>
  <c r="AL26" i="2"/>
  <c r="AM26" i="2"/>
  <c r="AN26" i="2"/>
  <c r="AO26" i="2"/>
  <c r="AP26" i="2"/>
  <c r="AQ26" i="2"/>
  <c r="AR26" i="2"/>
  <c r="AS26" i="2"/>
  <c r="AT26" i="2"/>
  <c r="AU26" i="2"/>
  <c r="AV26" i="2"/>
  <c r="AW26" i="2"/>
  <c r="AX26" i="2"/>
  <c r="AY26" i="2"/>
  <c r="AZ26" i="2"/>
  <c r="BA26" i="2"/>
  <c r="BB26" i="2"/>
  <c r="BC26" i="2"/>
  <c r="BD26" i="2"/>
  <c r="BE26" i="2"/>
  <c r="BF26" i="2"/>
  <c r="BG26" i="2"/>
  <c r="BH26" i="2"/>
  <c r="BI26" i="2"/>
  <c r="BJ26" i="2"/>
  <c r="BK26" i="2"/>
  <c r="BL26" i="2"/>
  <c r="BM26" i="2"/>
  <c r="BN26" i="2"/>
  <c r="BO26" i="2"/>
  <c r="BP26" i="2"/>
  <c r="BQ26" i="2"/>
  <c r="BR26" i="2"/>
  <c r="BS26" i="2"/>
  <c r="BT26" i="2"/>
  <c r="BU26" i="2"/>
  <c r="BV26" i="2"/>
  <c r="BW26" i="2"/>
  <c r="BX26" i="2"/>
  <c r="BY26" i="2"/>
  <c r="BZ26" i="2"/>
  <c r="CA26" i="2"/>
  <c r="CB26" i="2"/>
  <c r="CC26" i="2"/>
  <c r="CD26" i="2"/>
  <c r="CE26" i="2"/>
  <c r="CF26" i="2"/>
  <c r="CG26" i="2"/>
  <c r="CH26" i="2"/>
  <c r="CI26" i="2"/>
  <c r="CJ26" i="2"/>
  <c r="CK26" i="2"/>
  <c r="CL26" i="2"/>
  <c r="CM26" i="2"/>
  <c r="CN26" i="2"/>
  <c r="CO26" i="2"/>
  <c r="CP26" i="2"/>
  <c r="CQ26" i="2"/>
  <c r="CR26" i="2"/>
  <c r="CS26" i="2"/>
  <c r="CT26" i="2"/>
  <c r="CU26" i="2"/>
  <c r="CV26" i="2"/>
  <c r="CW26" i="2"/>
  <c r="CX26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AD27" i="2"/>
  <c r="AE27" i="2"/>
  <c r="AF27" i="2"/>
  <c r="AG27" i="2"/>
  <c r="AH27" i="2"/>
  <c r="AI27" i="2"/>
  <c r="AJ27" i="2"/>
  <c r="AK27" i="2"/>
  <c r="AL27" i="2"/>
  <c r="AM27" i="2"/>
  <c r="AN27" i="2"/>
  <c r="AO27" i="2"/>
  <c r="AP27" i="2"/>
  <c r="AQ27" i="2"/>
  <c r="AR27" i="2"/>
  <c r="AS27" i="2"/>
  <c r="AT27" i="2"/>
  <c r="AU27" i="2"/>
  <c r="AV27" i="2"/>
  <c r="AW27" i="2"/>
  <c r="AX27" i="2"/>
  <c r="AY27" i="2"/>
  <c r="AZ27" i="2"/>
  <c r="BA27" i="2"/>
  <c r="BB27" i="2"/>
  <c r="BC27" i="2"/>
  <c r="BD27" i="2"/>
  <c r="BE27" i="2"/>
  <c r="BF27" i="2"/>
  <c r="BG27" i="2"/>
  <c r="BH27" i="2"/>
  <c r="BI27" i="2"/>
  <c r="BJ27" i="2"/>
  <c r="BK27" i="2"/>
  <c r="BL27" i="2"/>
  <c r="BM27" i="2"/>
  <c r="BN27" i="2"/>
  <c r="BO27" i="2"/>
  <c r="BP27" i="2"/>
  <c r="BQ27" i="2"/>
  <c r="BR27" i="2"/>
  <c r="BS27" i="2"/>
  <c r="BT27" i="2"/>
  <c r="BU27" i="2"/>
  <c r="BV27" i="2"/>
  <c r="BW27" i="2"/>
  <c r="BX27" i="2"/>
  <c r="BY27" i="2"/>
  <c r="BZ27" i="2"/>
  <c r="CA27" i="2"/>
  <c r="CB27" i="2"/>
  <c r="CC27" i="2"/>
  <c r="CD27" i="2"/>
  <c r="CE27" i="2"/>
  <c r="CF27" i="2"/>
  <c r="CG27" i="2"/>
  <c r="CH27" i="2"/>
  <c r="CI27" i="2"/>
  <c r="CJ27" i="2"/>
  <c r="CK27" i="2"/>
  <c r="CL27" i="2"/>
  <c r="CM27" i="2"/>
  <c r="CN27" i="2"/>
  <c r="CO27" i="2"/>
  <c r="CP27" i="2"/>
  <c r="CQ27" i="2"/>
  <c r="CR27" i="2"/>
  <c r="CS27" i="2"/>
  <c r="CT27" i="2"/>
  <c r="CU27" i="2"/>
  <c r="CV27" i="2"/>
  <c r="CW27" i="2"/>
  <c r="CX27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AJ28" i="2"/>
  <c r="AK28" i="2"/>
  <c r="AL28" i="2"/>
  <c r="AM28" i="2"/>
  <c r="AN28" i="2"/>
  <c r="AO28" i="2"/>
  <c r="AP28" i="2"/>
  <c r="AQ28" i="2"/>
  <c r="AR28" i="2"/>
  <c r="AS28" i="2"/>
  <c r="AT28" i="2"/>
  <c r="AU28" i="2"/>
  <c r="AV28" i="2"/>
  <c r="AW28" i="2"/>
  <c r="AX28" i="2"/>
  <c r="AY28" i="2"/>
  <c r="AZ28" i="2"/>
  <c r="BA28" i="2"/>
  <c r="BB28" i="2"/>
  <c r="BC28" i="2"/>
  <c r="BD28" i="2"/>
  <c r="BE28" i="2"/>
  <c r="BF28" i="2"/>
  <c r="BG28" i="2"/>
  <c r="BH28" i="2"/>
  <c r="BI28" i="2"/>
  <c r="BJ28" i="2"/>
  <c r="BK28" i="2"/>
  <c r="BL28" i="2"/>
  <c r="BM28" i="2"/>
  <c r="BN28" i="2"/>
  <c r="BO28" i="2"/>
  <c r="BP28" i="2"/>
  <c r="BQ28" i="2"/>
  <c r="BR28" i="2"/>
  <c r="BS28" i="2"/>
  <c r="BT28" i="2"/>
  <c r="BU28" i="2"/>
  <c r="BV28" i="2"/>
  <c r="BW28" i="2"/>
  <c r="BX28" i="2"/>
  <c r="BY28" i="2"/>
  <c r="BZ28" i="2"/>
  <c r="CA28" i="2"/>
  <c r="CB28" i="2"/>
  <c r="CC28" i="2"/>
  <c r="CD28" i="2"/>
  <c r="CE28" i="2"/>
  <c r="CF28" i="2"/>
  <c r="CG28" i="2"/>
  <c r="CH28" i="2"/>
  <c r="CI28" i="2"/>
  <c r="CJ28" i="2"/>
  <c r="CK28" i="2"/>
  <c r="CL28" i="2"/>
  <c r="CM28" i="2"/>
  <c r="CN28" i="2"/>
  <c r="CO28" i="2"/>
  <c r="CP28" i="2"/>
  <c r="CQ28" i="2"/>
  <c r="CR28" i="2"/>
  <c r="CS28" i="2"/>
  <c r="CT28" i="2"/>
  <c r="CU28" i="2"/>
  <c r="CV28" i="2"/>
  <c r="CW28" i="2"/>
  <c r="CX28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AG29" i="2"/>
  <c r="AH29" i="2"/>
  <c r="AI29" i="2"/>
  <c r="AJ29" i="2"/>
  <c r="AK29" i="2"/>
  <c r="AL29" i="2"/>
  <c r="AM29" i="2"/>
  <c r="AN29" i="2"/>
  <c r="AO29" i="2"/>
  <c r="AP29" i="2"/>
  <c r="AQ29" i="2"/>
  <c r="AR29" i="2"/>
  <c r="AS29" i="2"/>
  <c r="AT29" i="2"/>
  <c r="AU29" i="2"/>
  <c r="AV29" i="2"/>
  <c r="AW29" i="2"/>
  <c r="AX29" i="2"/>
  <c r="AY29" i="2"/>
  <c r="AZ29" i="2"/>
  <c r="BA29" i="2"/>
  <c r="BB29" i="2"/>
  <c r="BC29" i="2"/>
  <c r="BD29" i="2"/>
  <c r="BE29" i="2"/>
  <c r="BF29" i="2"/>
  <c r="BG29" i="2"/>
  <c r="BH29" i="2"/>
  <c r="BI29" i="2"/>
  <c r="BJ29" i="2"/>
  <c r="BK29" i="2"/>
  <c r="BL29" i="2"/>
  <c r="BM29" i="2"/>
  <c r="BN29" i="2"/>
  <c r="BO29" i="2"/>
  <c r="BP29" i="2"/>
  <c r="BQ29" i="2"/>
  <c r="BR29" i="2"/>
  <c r="BS29" i="2"/>
  <c r="BT29" i="2"/>
  <c r="BU29" i="2"/>
  <c r="BV29" i="2"/>
  <c r="BW29" i="2"/>
  <c r="BX29" i="2"/>
  <c r="BY29" i="2"/>
  <c r="BZ29" i="2"/>
  <c r="CA29" i="2"/>
  <c r="CB29" i="2"/>
  <c r="CC29" i="2"/>
  <c r="CD29" i="2"/>
  <c r="CE29" i="2"/>
  <c r="CF29" i="2"/>
  <c r="CG29" i="2"/>
  <c r="CH29" i="2"/>
  <c r="CI29" i="2"/>
  <c r="CJ29" i="2"/>
  <c r="CK29" i="2"/>
  <c r="CL29" i="2"/>
  <c r="CM29" i="2"/>
  <c r="CN29" i="2"/>
  <c r="CO29" i="2"/>
  <c r="CP29" i="2"/>
  <c r="CQ29" i="2"/>
  <c r="CR29" i="2"/>
  <c r="CS29" i="2"/>
  <c r="CT29" i="2"/>
  <c r="CU29" i="2"/>
  <c r="CV29" i="2"/>
  <c r="CW29" i="2"/>
  <c r="CX29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AC30" i="2"/>
  <c r="AD30" i="2"/>
  <c r="AE30" i="2"/>
  <c r="AF30" i="2"/>
  <c r="AG30" i="2"/>
  <c r="AH30" i="2"/>
  <c r="AI30" i="2"/>
  <c r="AJ30" i="2"/>
  <c r="AK30" i="2"/>
  <c r="AL30" i="2"/>
  <c r="AM30" i="2"/>
  <c r="AN30" i="2"/>
  <c r="AO30" i="2"/>
  <c r="AP30" i="2"/>
  <c r="AQ30" i="2"/>
  <c r="AR30" i="2"/>
  <c r="AS30" i="2"/>
  <c r="AT30" i="2"/>
  <c r="AU30" i="2"/>
  <c r="AV30" i="2"/>
  <c r="AW30" i="2"/>
  <c r="AX30" i="2"/>
  <c r="AY30" i="2"/>
  <c r="AZ30" i="2"/>
  <c r="BA30" i="2"/>
  <c r="BB30" i="2"/>
  <c r="BC30" i="2"/>
  <c r="BD30" i="2"/>
  <c r="BE30" i="2"/>
  <c r="BF30" i="2"/>
  <c r="BG30" i="2"/>
  <c r="BH30" i="2"/>
  <c r="BI30" i="2"/>
  <c r="BJ30" i="2"/>
  <c r="BK30" i="2"/>
  <c r="BL30" i="2"/>
  <c r="BM30" i="2"/>
  <c r="BN30" i="2"/>
  <c r="BO30" i="2"/>
  <c r="BP30" i="2"/>
  <c r="BQ30" i="2"/>
  <c r="BR30" i="2"/>
  <c r="BS30" i="2"/>
  <c r="BT30" i="2"/>
  <c r="BU30" i="2"/>
  <c r="BV30" i="2"/>
  <c r="BW30" i="2"/>
  <c r="BX30" i="2"/>
  <c r="BY30" i="2"/>
  <c r="BZ30" i="2"/>
  <c r="CA30" i="2"/>
  <c r="CB30" i="2"/>
  <c r="CC30" i="2"/>
  <c r="CD30" i="2"/>
  <c r="CE30" i="2"/>
  <c r="CF30" i="2"/>
  <c r="CG30" i="2"/>
  <c r="CH30" i="2"/>
  <c r="CI30" i="2"/>
  <c r="CJ30" i="2"/>
  <c r="CK30" i="2"/>
  <c r="CL30" i="2"/>
  <c r="CM30" i="2"/>
  <c r="CN30" i="2"/>
  <c r="CO30" i="2"/>
  <c r="CP30" i="2"/>
  <c r="CQ30" i="2"/>
  <c r="CR30" i="2"/>
  <c r="CS30" i="2"/>
  <c r="CT30" i="2"/>
  <c r="CU30" i="2"/>
  <c r="CV30" i="2"/>
  <c r="CW30" i="2"/>
  <c r="CX30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AJ31" i="2"/>
  <c r="AK31" i="2"/>
  <c r="AL31" i="2"/>
  <c r="AM31" i="2"/>
  <c r="AN31" i="2"/>
  <c r="AO31" i="2"/>
  <c r="AP31" i="2"/>
  <c r="AQ31" i="2"/>
  <c r="AR31" i="2"/>
  <c r="AS31" i="2"/>
  <c r="AT31" i="2"/>
  <c r="AU31" i="2"/>
  <c r="AV31" i="2"/>
  <c r="AW31" i="2"/>
  <c r="AX31" i="2"/>
  <c r="AY31" i="2"/>
  <c r="AZ31" i="2"/>
  <c r="BA31" i="2"/>
  <c r="BB31" i="2"/>
  <c r="BC31" i="2"/>
  <c r="BD31" i="2"/>
  <c r="BE31" i="2"/>
  <c r="BF31" i="2"/>
  <c r="BG31" i="2"/>
  <c r="BH31" i="2"/>
  <c r="BI31" i="2"/>
  <c r="BJ31" i="2"/>
  <c r="BK31" i="2"/>
  <c r="BL31" i="2"/>
  <c r="BM31" i="2"/>
  <c r="BN31" i="2"/>
  <c r="BO31" i="2"/>
  <c r="BP31" i="2"/>
  <c r="BQ31" i="2"/>
  <c r="BR31" i="2"/>
  <c r="BS31" i="2"/>
  <c r="BT31" i="2"/>
  <c r="BU31" i="2"/>
  <c r="BV31" i="2"/>
  <c r="BW31" i="2"/>
  <c r="BX31" i="2"/>
  <c r="BY31" i="2"/>
  <c r="BZ31" i="2"/>
  <c r="CA31" i="2"/>
  <c r="CB31" i="2"/>
  <c r="CC31" i="2"/>
  <c r="CD31" i="2"/>
  <c r="CE31" i="2"/>
  <c r="CF31" i="2"/>
  <c r="CG31" i="2"/>
  <c r="CH31" i="2"/>
  <c r="CI31" i="2"/>
  <c r="CJ31" i="2"/>
  <c r="CK31" i="2"/>
  <c r="CL31" i="2"/>
  <c r="CM31" i="2"/>
  <c r="CN31" i="2"/>
  <c r="CO31" i="2"/>
  <c r="CP31" i="2"/>
  <c r="CQ31" i="2"/>
  <c r="CR31" i="2"/>
  <c r="CS31" i="2"/>
  <c r="CT31" i="2"/>
  <c r="CU31" i="2"/>
  <c r="CV31" i="2"/>
  <c r="CW31" i="2"/>
  <c r="CX31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AJ32" i="2"/>
  <c r="AK32" i="2"/>
  <c r="AL32" i="2"/>
  <c r="AM32" i="2"/>
  <c r="AN32" i="2"/>
  <c r="AO32" i="2"/>
  <c r="AP32" i="2"/>
  <c r="AQ32" i="2"/>
  <c r="AR32" i="2"/>
  <c r="AS32" i="2"/>
  <c r="AT32" i="2"/>
  <c r="AU32" i="2"/>
  <c r="AV32" i="2"/>
  <c r="AW32" i="2"/>
  <c r="AX32" i="2"/>
  <c r="AY32" i="2"/>
  <c r="AZ32" i="2"/>
  <c r="BA32" i="2"/>
  <c r="BB32" i="2"/>
  <c r="BC32" i="2"/>
  <c r="BD32" i="2"/>
  <c r="BE32" i="2"/>
  <c r="BF32" i="2"/>
  <c r="BG32" i="2"/>
  <c r="BH32" i="2"/>
  <c r="BI32" i="2"/>
  <c r="BJ32" i="2"/>
  <c r="BK32" i="2"/>
  <c r="BL32" i="2"/>
  <c r="BM32" i="2"/>
  <c r="BN32" i="2"/>
  <c r="BO32" i="2"/>
  <c r="BP32" i="2"/>
  <c r="BQ32" i="2"/>
  <c r="BR32" i="2"/>
  <c r="BS32" i="2"/>
  <c r="BT32" i="2"/>
  <c r="BU32" i="2"/>
  <c r="BV32" i="2"/>
  <c r="BW32" i="2"/>
  <c r="BX32" i="2"/>
  <c r="BY32" i="2"/>
  <c r="BZ32" i="2"/>
  <c r="CA32" i="2"/>
  <c r="CB32" i="2"/>
  <c r="CC32" i="2"/>
  <c r="CD32" i="2"/>
  <c r="CE32" i="2"/>
  <c r="CF32" i="2"/>
  <c r="CG32" i="2"/>
  <c r="CH32" i="2"/>
  <c r="CI32" i="2"/>
  <c r="CJ32" i="2"/>
  <c r="CK32" i="2"/>
  <c r="CL32" i="2"/>
  <c r="CM32" i="2"/>
  <c r="CN32" i="2"/>
  <c r="CO32" i="2"/>
  <c r="CP32" i="2"/>
  <c r="CQ32" i="2"/>
  <c r="CR32" i="2"/>
  <c r="CS32" i="2"/>
  <c r="CT32" i="2"/>
  <c r="CU32" i="2"/>
  <c r="CV32" i="2"/>
  <c r="CW32" i="2"/>
  <c r="CX32" i="2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AA33" i="2"/>
  <c r="AB33" i="2"/>
  <c r="AC33" i="2"/>
  <c r="AD33" i="2"/>
  <c r="AE33" i="2"/>
  <c r="AF33" i="2"/>
  <c r="AG33" i="2"/>
  <c r="AH33" i="2"/>
  <c r="AI33" i="2"/>
  <c r="AJ33" i="2"/>
  <c r="AK33" i="2"/>
  <c r="AL33" i="2"/>
  <c r="AM33" i="2"/>
  <c r="AN33" i="2"/>
  <c r="AO33" i="2"/>
  <c r="AP33" i="2"/>
  <c r="AQ33" i="2"/>
  <c r="AR33" i="2"/>
  <c r="AS33" i="2"/>
  <c r="AT33" i="2"/>
  <c r="AU33" i="2"/>
  <c r="AV33" i="2"/>
  <c r="AW33" i="2"/>
  <c r="AX33" i="2"/>
  <c r="AY33" i="2"/>
  <c r="AZ33" i="2"/>
  <c r="BA33" i="2"/>
  <c r="BB33" i="2"/>
  <c r="BC33" i="2"/>
  <c r="BD33" i="2"/>
  <c r="BE33" i="2"/>
  <c r="BF33" i="2"/>
  <c r="BG33" i="2"/>
  <c r="BH33" i="2"/>
  <c r="BI33" i="2"/>
  <c r="BJ33" i="2"/>
  <c r="BK33" i="2"/>
  <c r="BL33" i="2"/>
  <c r="BM33" i="2"/>
  <c r="BN33" i="2"/>
  <c r="BO33" i="2"/>
  <c r="BP33" i="2"/>
  <c r="BQ33" i="2"/>
  <c r="BR33" i="2"/>
  <c r="BS33" i="2"/>
  <c r="BT33" i="2"/>
  <c r="BU33" i="2"/>
  <c r="BV33" i="2"/>
  <c r="BW33" i="2"/>
  <c r="BX33" i="2"/>
  <c r="BY33" i="2"/>
  <c r="BZ33" i="2"/>
  <c r="CA33" i="2"/>
  <c r="CB33" i="2"/>
  <c r="CC33" i="2"/>
  <c r="CD33" i="2"/>
  <c r="CE33" i="2"/>
  <c r="CF33" i="2"/>
  <c r="CG33" i="2"/>
  <c r="CH33" i="2"/>
  <c r="CI33" i="2"/>
  <c r="CJ33" i="2"/>
  <c r="CK33" i="2"/>
  <c r="CL33" i="2"/>
  <c r="CM33" i="2"/>
  <c r="CN33" i="2"/>
  <c r="CO33" i="2"/>
  <c r="CP33" i="2"/>
  <c r="CQ33" i="2"/>
  <c r="CR33" i="2"/>
  <c r="CS33" i="2"/>
  <c r="CT33" i="2"/>
  <c r="CU33" i="2"/>
  <c r="CV33" i="2"/>
  <c r="CW33" i="2"/>
  <c r="CX33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AJ34" i="2"/>
  <c r="AK34" i="2"/>
  <c r="AL34" i="2"/>
  <c r="AM34" i="2"/>
  <c r="AN34" i="2"/>
  <c r="AO34" i="2"/>
  <c r="AP34" i="2"/>
  <c r="AQ34" i="2"/>
  <c r="AR34" i="2"/>
  <c r="AS34" i="2"/>
  <c r="AT34" i="2"/>
  <c r="AU34" i="2"/>
  <c r="AV34" i="2"/>
  <c r="AW34" i="2"/>
  <c r="AX34" i="2"/>
  <c r="AY34" i="2"/>
  <c r="AZ34" i="2"/>
  <c r="BA34" i="2"/>
  <c r="BB34" i="2"/>
  <c r="BC34" i="2"/>
  <c r="BD34" i="2"/>
  <c r="BE34" i="2"/>
  <c r="BF34" i="2"/>
  <c r="BG34" i="2"/>
  <c r="BH34" i="2"/>
  <c r="BI34" i="2"/>
  <c r="BJ34" i="2"/>
  <c r="BK34" i="2"/>
  <c r="BL34" i="2"/>
  <c r="BM34" i="2"/>
  <c r="BN34" i="2"/>
  <c r="BO34" i="2"/>
  <c r="BP34" i="2"/>
  <c r="BQ34" i="2"/>
  <c r="BR34" i="2"/>
  <c r="BS34" i="2"/>
  <c r="BT34" i="2"/>
  <c r="BU34" i="2"/>
  <c r="BV34" i="2"/>
  <c r="BW34" i="2"/>
  <c r="BX34" i="2"/>
  <c r="BY34" i="2"/>
  <c r="BZ34" i="2"/>
  <c r="CA34" i="2"/>
  <c r="CB34" i="2"/>
  <c r="CC34" i="2"/>
  <c r="CD34" i="2"/>
  <c r="CE34" i="2"/>
  <c r="CF34" i="2"/>
  <c r="CG34" i="2"/>
  <c r="CH34" i="2"/>
  <c r="CI34" i="2"/>
  <c r="CJ34" i="2"/>
  <c r="CK34" i="2"/>
  <c r="CL34" i="2"/>
  <c r="CM34" i="2"/>
  <c r="CN34" i="2"/>
  <c r="CO34" i="2"/>
  <c r="CP34" i="2"/>
  <c r="CQ34" i="2"/>
  <c r="CR34" i="2"/>
  <c r="CS34" i="2"/>
  <c r="CT34" i="2"/>
  <c r="CU34" i="2"/>
  <c r="CV34" i="2"/>
  <c r="CW34" i="2"/>
  <c r="CX34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AC35" i="2"/>
  <c r="AD35" i="2"/>
  <c r="AE35" i="2"/>
  <c r="AF35" i="2"/>
  <c r="AG35" i="2"/>
  <c r="AH35" i="2"/>
  <c r="AI35" i="2"/>
  <c r="AJ35" i="2"/>
  <c r="AK35" i="2"/>
  <c r="AL35" i="2"/>
  <c r="AM35" i="2"/>
  <c r="AN35" i="2"/>
  <c r="AO35" i="2"/>
  <c r="AP35" i="2"/>
  <c r="AQ35" i="2"/>
  <c r="AR35" i="2"/>
  <c r="AS35" i="2"/>
  <c r="AT35" i="2"/>
  <c r="AU35" i="2"/>
  <c r="AV35" i="2"/>
  <c r="AW35" i="2"/>
  <c r="AX35" i="2"/>
  <c r="AY35" i="2"/>
  <c r="AZ35" i="2"/>
  <c r="BA35" i="2"/>
  <c r="BB35" i="2"/>
  <c r="BC35" i="2"/>
  <c r="BD35" i="2"/>
  <c r="BE35" i="2"/>
  <c r="BF35" i="2"/>
  <c r="BG35" i="2"/>
  <c r="BH35" i="2"/>
  <c r="BI35" i="2"/>
  <c r="BJ35" i="2"/>
  <c r="BK35" i="2"/>
  <c r="BL35" i="2"/>
  <c r="BM35" i="2"/>
  <c r="BN35" i="2"/>
  <c r="BO35" i="2"/>
  <c r="BP35" i="2"/>
  <c r="BQ35" i="2"/>
  <c r="BR35" i="2"/>
  <c r="BS35" i="2"/>
  <c r="BT35" i="2"/>
  <c r="BU35" i="2"/>
  <c r="BV35" i="2"/>
  <c r="BW35" i="2"/>
  <c r="BX35" i="2"/>
  <c r="BY35" i="2"/>
  <c r="BZ35" i="2"/>
  <c r="CA35" i="2"/>
  <c r="CB35" i="2"/>
  <c r="CC35" i="2"/>
  <c r="CD35" i="2"/>
  <c r="CE35" i="2"/>
  <c r="CF35" i="2"/>
  <c r="CG35" i="2"/>
  <c r="CH35" i="2"/>
  <c r="CI35" i="2"/>
  <c r="CJ35" i="2"/>
  <c r="CK35" i="2"/>
  <c r="CL35" i="2"/>
  <c r="CM35" i="2"/>
  <c r="CN35" i="2"/>
  <c r="CO35" i="2"/>
  <c r="CP35" i="2"/>
  <c r="CQ35" i="2"/>
  <c r="CR35" i="2"/>
  <c r="CS35" i="2"/>
  <c r="CT35" i="2"/>
  <c r="CU35" i="2"/>
  <c r="CV35" i="2"/>
  <c r="CW35" i="2"/>
  <c r="CX35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AJ36" i="2"/>
  <c r="AK36" i="2"/>
  <c r="AL36" i="2"/>
  <c r="AM36" i="2"/>
  <c r="AN36" i="2"/>
  <c r="AO36" i="2"/>
  <c r="AP36" i="2"/>
  <c r="AQ36" i="2"/>
  <c r="AR36" i="2"/>
  <c r="AS36" i="2"/>
  <c r="AT36" i="2"/>
  <c r="AU36" i="2"/>
  <c r="AV36" i="2"/>
  <c r="AW36" i="2"/>
  <c r="AX36" i="2"/>
  <c r="AY36" i="2"/>
  <c r="AZ36" i="2"/>
  <c r="BA36" i="2"/>
  <c r="BB36" i="2"/>
  <c r="BC36" i="2"/>
  <c r="BD36" i="2"/>
  <c r="BE36" i="2"/>
  <c r="BF36" i="2"/>
  <c r="BG36" i="2"/>
  <c r="BH36" i="2"/>
  <c r="BI36" i="2"/>
  <c r="BJ36" i="2"/>
  <c r="BK36" i="2"/>
  <c r="BL36" i="2"/>
  <c r="BM36" i="2"/>
  <c r="BN36" i="2"/>
  <c r="BO36" i="2"/>
  <c r="BP36" i="2"/>
  <c r="BQ36" i="2"/>
  <c r="BR36" i="2"/>
  <c r="BS36" i="2"/>
  <c r="BT36" i="2"/>
  <c r="BU36" i="2"/>
  <c r="BV36" i="2"/>
  <c r="BW36" i="2"/>
  <c r="BX36" i="2"/>
  <c r="BY36" i="2"/>
  <c r="BZ36" i="2"/>
  <c r="CA36" i="2"/>
  <c r="CB36" i="2"/>
  <c r="CC36" i="2"/>
  <c r="CD36" i="2"/>
  <c r="CE36" i="2"/>
  <c r="CF36" i="2"/>
  <c r="CG36" i="2"/>
  <c r="CH36" i="2"/>
  <c r="CI36" i="2"/>
  <c r="CJ36" i="2"/>
  <c r="CK36" i="2"/>
  <c r="CL36" i="2"/>
  <c r="CM36" i="2"/>
  <c r="CN36" i="2"/>
  <c r="CO36" i="2"/>
  <c r="CP36" i="2"/>
  <c r="CQ36" i="2"/>
  <c r="CR36" i="2"/>
  <c r="CS36" i="2"/>
  <c r="CT36" i="2"/>
  <c r="CU36" i="2"/>
  <c r="CV36" i="2"/>
  <c r="CW36" i="2"/>
  <c r="CX36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A37" i="2"/>
  <c r="AB37" i="2"/>
  <c r="AC37" i="2"/>
  <c r="AD37" i="2"/>
  <c r="AE37" i="2"/>
  <c r="AF37" i="2"/>
  <c r="AG37" i="2"/>
  <c r="AH37" i="2"/>
  <c r="AI37" i="2"/>
  <c r="AJ37" i="2"/>
  <c r="AK37" i="2"/>
  <c r="AL37" i="2"/>
  <c r="AM37" i="2"/>
  <c r="AN37" i="2"/>
  <c r="AO37" i="2"/>
  <c r="AP37" i="2"/>
  <c r="AQ37" i="2"/>
  <c r="AR37" i="2"/>
  <c r="AS37" i="2"/>
  <c r="AT37" i="2"/>
  <c r="AU37" i="2"/>
  <c r="AV37" i="2"/>
  <c r="AW37" i="2"/>
  <c r="AX37" i="2"/>
  <c r="AY37" i="2"/>
  <c r="AZ37" i="2"/>
  <c r="BA37" i="2"/>
  <c r="BB37" i="2"/>
  <c r="BC37" i="2"/>
  <c r="BD37" i="2"/>
  <c r="BE37" i="2"/>
  <c r="BF37" i="2"/>
  <c r="BG37" i="2"/>
  <c r="BH37" i="2"/>
  <c r="BI37" i="2"/>
  <c r="BJ37" i="2"/>
  <c r="BK37" i="2"/>
  <c r="BL37" i="2"/>
  <c r="BM37" i="2"/>
  <c r="BN37" i="2"/>
  <c r="BO37" i="2"/>
  <c r="BP37" i="2"/>
  <c r="BQ37" i="2"/>
  <c r="BR37" i="2"/>
  <c r="BS37" i="2"/>
  <c r="BT37" i="2"/>
  <c r="BU37" i="2"/>
  <c r="BV37" i="2"/>
  <c r="BW37" i="2"/>
  <c r="BX37" i="2"/>
  <c r="BY37" i="2"/>
  <c r="BZ37" i="2"/>
  <c r="CA37" i="2"/>
  <c r="CB37" i="2"/>
  <c r="CC37" i="2"/>
  <c r="CD37" i="2"/>
  <c r="CE37" i="2"/>
  <c r="CF37" i="2"/>
  <c r="CG37" i="2"/>
  <c r="CH37" i="2"/>
  <c r="CI37" i="2"/>
  <c r="CJ37" i="2"/>
  <c r="CK37" i="2"/>
  <c r="CL37" i="2"/>
  <c r="CM37" i="2"/>
  <c r="CN37" i="2"/>
  <c r="CO37" i="2"/>
  <c r="CP37" i="2"/>
  <c r="CQ37" i="2"/>
  <c r="CR37" i="2"/>
  <c r="CS37" i="2"/>
  <c r="CT37" i="2"/>
  <c r="CU37" i="2"/>
  <c r="CV37" i="2"/>
  <c r="CW37" i="2"/>
  <c r="CX37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AD38" i="2"/>
  <c r="AE38" i="2"/>
  <c r="AF38" i="2"/>
  <c r="AG38" i="2"/>
  <c r="AH38" i="2"/>
  <c r="AI38" i="2"/>
  <c r="AJ38" i="2"/>
  <c r="AK38" i="2"/>
  <c r="AL38" i="2"/>
  <c r="AM38" i="2"/>
  <c r="AN38" i="2"/>
  <c r="AO38" i="2"/>
  <c r="AP38" i="2"/>
  <c r="AQ38" i="2"/>
  <c r="AR38" i="2"/>
  <c r="AS38" i="2"/>
  <c r="AT38" i="2"/>
  <c r="AU38" i="2"/>
  <c r="AV38" i="2"/>
  <c r="AW38" i="2"/>
  <c r="AX38" i="2"/>
  <c r="AY38" i="2"/>
  <c r="AZ38" i="2"/>
  <c r="BA38" i="2"/>
  <c r="BB38" i="2"/>
  <c r="BC38" i="2"/>
  <c r="BD38" i="2"/>
  <c r="BE38" i="2"/>
  <c r="BF38" i="2"/>
  <c r="BG38" i="2"/>
  <c r="BH38" i="2"/>
  <c r="BI38" i="2"/>
  <c r="BJ38" i="2"/>
  <c r="BK38" i="2"/>
  <c r="BL38" i="2"/>
  <c r="BM38" i="2"/>
  <c r="BN38" i="2"/>
  <c r="BO38" i="2"/>
  <c r="BP38" i="2"/>
  <c r="BQ38" i="2"/>
  <c r="BR38" i="2"/>
  <c r="BS38" i="2"/>
  <c r="BT38" i="2"/>
  <c r="BU38" i="2"/>
  <c r="BV38" i="2"/>
  <c r="BW38" i="2"/>
  <c r="BX38" i="2"/>
  <c r="BY38" i="2"/>
  <c r="BZ38" i="2"/>
  <c r="CA38" i="2"/>
  <c r="CB38" i="2"/>
  <c r="CC38" i="2"/>
  <c r="CD38" i="2"/>
  <c r="CE38" i="2"/>
  <c r="CF38" i="2"/>
  <c r="CG38" i="2"/>
  <c r="CH38" i="2"/>
  <c r="CI38" i="2"/>
  <c r="CJ38" i="2"/>
  <c r="CK38" i="2"/>
  <c r="CL38" i="2"/>
  <c r="CM38" i="2"/>
  <c r="CN38" i="2"/>
  <c r="CO38" i="2"/>
  <c r="CP38" i="2"/>
  <c r="CQ38" i="2"/>
  <c r="CR38" i="2"/>
  <c r="CS38" i="2"/>
  <c r="CT38" i="2"/>
  <c r="CU38" i="2"/>
  <c r="CV38" i="2"/>
  <c r="CW38" i="2"/>
  <c r="CX38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AJ39" i="2"/>
  <c r="AK39" i="2"/>
  <c r="AL39" i="2"/>
  <c r="AM39" i="2"/>
  <c r="AN39" i="2"/>
  <c r="AO39" i="2"/>
  <c r="AP39" i="2"/>
  <c r="AQ39" i="2"/>
  <c r="AR39" i="2"/>
  <c r="AS39" i="2"/>
  <c r="AT39" i="2"/>
  <c r="AU39" i="2"/>
  <c r="AV39" i="2"/>
  <c r="AW39" i="2"/>
  <c r="AX39" i="2"/>
  <c r="AY39" i="2"/>
  <c r="AZ39" i="2"/>
  <c r="BA39" i="2"/>
  <c r="BB39" i="2"/>
  <c r="BC39" i="2"/>
  <c r="BD39" i="2"/>
  <c r="BE39" i="2"/>
  <c r="BF39" i="2"/>
  <c r="BG39" i="2"/>
  <c r="BH39" i="2"/>
  <c r="BI39" i="2"/>
  <c r="BJ39" i="2"/>
  <c r="BK39" i="2"/>
  <c r="BL39" i="2"/>
  <c r="BM39" i="2"/>
  <c r="BN39" i="2"/>
  <c r="BO39" i="2"/>
  <c r="BP39" i="2"/>
  <c r="BQ39" i="2"/>
  <c r="BR39" i="2"/>
  <c r="BS39" i="2"/>
  <c r="BT39" i="2"/>
  <c r="BU39" i="2"/>
  <c r="BV39" i="2"/>
  <c r="BW39" i="2"/>
  <c r="BX39" i="2"/>
  <c r="BY39" i="2"/>
  <c r="BZ39" i="2"/>
  <c r="CA39" i="2"/>
  <c r="CB39" i="2"/>
  <c r="CC39" i="2"/>
  <c r="CD39" i="2"/>
  <c r="CE39" i="2"/>
  <c r="CF39" i="2"/>
  <c r="CG39" i="2"/>
  <c r="CH39" i="2"/>
  <c r="CI39" i="2"/>
  <c r="CJ39" i="2"/>
  <c r="CK39" i="2"/>
  <c r="CL39" i="2"/>
  <c r="CM39" i="2"/>
  <c r="CN39" i="2"/>
  <c r="CO39" i="2"/>
  <c r="CP39" i="2"/>
  <c r="CQ39" i="2"/>
  <c r="CR39" i="2"/>
  <c r="CS39" i="2"/>
  <c r="CT39" i="2"/>
  <c r="CU39" i="2"/>
  <c r="CV39" i="2"/>
  <c r="CW39" i="2"/>
  <c r="CX39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AJ40" i="2"/>
  <c r="AK40" i="2"/>
  <c r="AL40" i="2"/>
  <c r="AM40" i="2"/>
  <c r="AN40" i="2"/>
  <c r="AO40" i="2"/>
  <c r="AP40" i="2"/>
  <c r="AQ40" i="2"/>
  <c r="AR40" i="2"/>
  <c r="AS40" i="2"/>
  <c r="AT40" i="2"/>
  <c r="AU40" i="2"/>
  <c r="AV40" i="2"/>
  <c r="AW40" i="2"/>
  <c r="AX40" i="2"/>
  <c r="AY40" i="2"/>
  <c r="AZ40" i="2"/>
  <c r="BA40" i="2"/>
  <c r="BB40" i="2"/>
  <c r="BC40" i="2"/>
  <c r="BD40" i="2"/>
  <c r="BE40" i="2"/>
  <c r="BF40" i="2"/>
  <c r="BG40" i="2"/>
  <c r="BH40" i="2"/>
  <c r="BI40" i="2"/>
  <c r="BJ40" i="2"/>
  <c r="BK40" i="2"/>
  <c r="BL40" i="2"/>
  <c r="BM40" i="2"/>
  <c r="BN40" i="2"/>
  <c r="BO40" i="2"/>
  <c r="BP40" i="2"/>
  <c r="BQ40" i="2"/>
  <c r="BR40" i="2"/>
  <c r="BS40" i="2"/>
  <c r="BT40" i="2"/>
  <c r="BU40" i="2"/>
  <c r="BV40" i="2"/>
  <c r="BW40" i="2"/>
  <c r="BX40" i="2"/>
  <c r="BY40" i="2"/>
  <c r="BZ40" i="2"/>
  <c r="CA40" i="2"/>
  <c r="CB40" i="2"/>
  <c r="CC40" i="2"/>
  <c r="CD40" i="2"/>
  <c r="CE40" i="2"/>
  <c r="CF40" i="2"/>
  <c r="CG40" i="2"/>
  <c r="CH40" i="2"/>
  <c r="CI40" i="2"/>
  <c r="CJ40" i="2"/>
  <c r="CK40" i="2"/>
  <c r="CL40" i="2"/>
  <c r="CM40" i="2"/>
  <c r="CN40" i="2"/>
  <c r="CO40" i="2"/>
  <c r="CP40" i="2"/>
  <c r="CQ40" i="2"/>
  <c r="CR40" i="2"/>
  <c r="CS40" i="2"/>
  <c r="CT40" i="2"/>
  <c r="CU40" i="2"/>
  <c r="CV40" i="2"/>
  <c r="CW40" i="2"/>
  <c r="CX40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W41" i="2"/>
  <c r="X41" i="2"/>
  <c r="Y41" i="2"/>
  <c r="Z41" i="2"/>
  <c r="AA41" i="2"/>
  <c r="AB41" i="2"/>
  <c r="AC41" i="2"/>
  <c r="AD41" i="2"/>
  <c r="AE41" i="2"/>
  <c r="AF41" i="2"/>
  <c r="AG41" i="2"/>
  <c r="AH41" i="2"/>
  <c r="AI41" i="2"/>
  <c r="AJ41" i="2"/>
  <c r="AK41" i="2"/>
  <c r="AL41" i="2"/>
  <c r="AM41" i="2"/>
  <c r="AN41" i="2"/>
  <c r="AO41" i="2"/>
  <c r="AP41" i="2"/>
  <c r="AQ41" i="2"/>
  <c r="AR41" i="2"/>
  <c r="AS41" i="2"/>
  <c r="AT41" i="2"/>
  <c r="AU41" i="2"/>
  <c r="AV41" i="2"/>
  <c r="AW41" i="2"/>
  <c r="AX41" i="2"/>
  <c r="AY41" i="2"/>
  <c r="AZ41" i="2"/>
  <c r="BA41" i="2"/>
  <c r="BB41" i="2"/>
  <c r="BC41" i="2"/>
  <c r="BD41" i="2"/>
  <c r="BE41" i="2"/>
  <c r="BF41" i="2"/>
  <c r="BG41" i="2"/>
  <c r="BH41" i="2"/>
  <c r="BI41" i="2"/>
  <c r="BJ41" i="2"/>
  <c r="BK41" i="2"/>
  <c r="BL41" i="2"/>
  <c r="BM41" i="2"/>
  <c r="BN41" i="2"/>
  <c r="BO41" i="2"/>
  <c r="BP41" i="2"/>
  <c r="BQ41" i="2"/>
  <c r="BR41" i="2"/>
  <c r="BS41" i="2"/>
  <c r="BT41" i="2"/>
  <c r="BU41" i="2"/>
  <c r="BV41" i="2"/>
  <c r="BW41" i="2"/>
  <c r="BX41" i="2"/>
  <c r="BY41" i="2"/>
  <c r="BZ41" i="2"/>
  <c r="CA41" i="2"/>
  <c r="CB41" i="2"/>
  <c r="CC41" i="2"/>
  <c r="CD41" i="2"/>
  <c r="CE41" i="2"/>
  <c r="CF41" i="2"/>
  <c r="CG41" i="2"/>
  <c r="CH41" i="2"/>
  <c r="CI41" i="2"/>
  <c r="CJ41" i="2"/>
  <c r="CK41" i="2"/>
  <c r="CL41" i="2"/>
  <c r="CM41" i="2"/>
  <c r="CN41" i="2"/>
  <c r="CO41" i="2"/>
  <c r="CP41" i="2"/>
  <c r="CQ41" i="2"/>
  <c r="CR41" i="2"/>
  <c r="CS41" i="2"/>
  <c r="CT41" i="2"/>
  <c r="CU41" i="2"/>
  <c r="CV41" i="2"/>
  <c r="CW41" i="2"/>
  <c r="CX41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AJ42" i="2"/>
  <c r="AK42" i="2"/>
  <c r="AL42" i="2"/>
  <c r="AM42" i="2"/>
  <c r="AN42" i="2"/>
  <c r="AO42" i="2"/>
  <c r="AP42" i="2"/>
  <c r="AQ42" i="2"/>
  <c r="AR42" i="2"/>
  <c r="AS42" i="2"/>
  <c r="AT42" i="2"/>
  <c r="AU42" i="2"/>
  <c r="AV42" i="2"/>
  <c r="AW42" i="2"/>
  <c r="AX42" i="2"/>
  <c r="AY42" i="2"/>
  <c r="AZ42" i="2"/>
  <c r="BA42" i="2"/>
  <c r="BB42" i="2"/>
  <c r="BC42" i="2"/>
  <c r="BD42" i="2"/>
  <c r="BE42" i="2"/>
  <c r="BF42" i="2"/>
  <c r="BG42" i="2"/>
  <c r="BH42" i="2"/>
  <c r="BI42" i="2"/>
  <c r="BJ42" i="2"/>
  <c r="BK42" i="2"/>
  <c r="BL42" i="2"/>
  <c r="BM42" i="2"/>
  <c r="BN42" i="2"/>
  <c r="BO42" i="2"/>
  <c r="BP42" i="2"/>
  <c r="BQ42" i="2"/>
  <c r="BR42" i="2"/>
  <c r="BS42" i="2"/>
  <c r="BT42" i="2"/>
  <c r="BU42" i="2"/>
  <c r="BV42" i="2"/>
  <c r="BW42" i="2"/>
  <c r="BX42" i="2"/>
  <c r="BY42" i="2"/>
  <c r="BZ42" i="2"/>
  <c r="CA42" i="2"/>
  <c r="CB42" i="2"/>
  <c r="CC42" i="2"/>
  <c r="CD42" i="2"/>
  <c r="CE42" i="2"/>
  <c r="CF42" i="2"/>
  <c r="CG42" i="2"/>
  <c r="CH42" i="2"/>
  <c r="CI42" i="2"/>
  <c r="CJ42" i="2"/>
  <c r="CK42" i="2"/>
  <c r="CL42" i="2"/>
  <c r="CM42" i="2"/>
  <c r="CN42" i="2"/>
  <c r="CO42" i="2"/>
  <c r="CP42" i="2"/>
  <c r="CQ42" i="2"/>
  <c r="CR42" i="2"/>
  <c r="CS42" i="2"/>
  <c r="CT42" i="2"/>
  <c r="CU42" i="2"/>
  <c r="CV42" i="2"/>
  <c r="CW42" i="2"/>
  <c r="CX42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Z43" i="2"/>
  <c r="AA43" i="2"/>
  <c r="AB43" i="2"/>
  <c r="AC43" i="2"/>
  <c r="AD43" i="2"/>
  <c r="AE43" i="2"/>
  <c r="AF43" i="2"/>
  <c r="AG43" i="2"/>
  <c r="AH43" i="2"/>
  <c r="AI43" i="2"/>
  <c r="AJ43" i="2"/>
  <c r="AK43" i="2"/>
  <c r="AL43" i="2"/>
  <c r="AM43" i="2"/>
  <c r="AN43" i="2"/>
  <c r="AO43" i="2"/>
  <c r="AP43" i="2"/>
  <c r="AQ43" i="2"/>
  <c r="AR43" i="2"/>
  <c r="AS43" i="2"/>
  <c r="AT43" i="2"/>
  <c r="AU43" i="2"/>
  <c r="AV43" i="2"/>
  <c r="AW43" i="2"/>
  <c r="AX43" i="2"/>
  <c r="AY43" i="2"/>
  <c r="AZ43" i="2"/>
  <c r="BA43" i="2"/>
  <c r="BB43" i="2"/>
  <c r="BC43" i="2"/>
  <c r="BD43" i="2"/>
  <c r="BE43" i="2"/>
  <c r="BF43" i="2"/>
  <c r="BG43" i="2"/>
  <c r="BH43" i="2"/>
  <c r="BI43" i="2"/>
  <c r="BJ43" i="2"/>
  <c r="BK43" i="2"/>
  <c r="BL43" i="2"/>
  <c r="BM43" i="2"/>
  <c r="BN43" i="2"/>
  <c r="BO43" i="2"/>
  <c r="BP43" i="2"/>
  <c r="BQ43" i="2"/>
  <c r="BR43" i="2"/>
  <c r="BS43" i="2"/>
  <c r="BT43" i="2"/>
  <c r="BU43" i="2"/>
  <c r="BV43" i="2"/>
  <c r="BW43" i="2"/>
  <c r="BX43" i="2"/>
  <c r="BY43" i="2"/>
  <c r="BZ43" i="2"/>
  <c r="CA43" i="2"/>
  <c r="CB43" i="2"/>
  <c r="CC43" i="2"/>
  <c r="CD43" i="2"/>
  <c r="CE43" i="2"/>
  <c r="CF43" i="2"/>
  <c r="CG43" i="2"/>
  <c r="CH43" i="2"/>
  <c r="CI43" i="2"/>
  <c r="CJ43" i="2"/>
  <c r="CK43" i="2"/>
  <c r="CL43" i="2"/>
  <c r="CM43" i="2"/>
  <c r="CN43" i="2"/>
  <c r="CO43" i="2"/>
  <c r="CP43" i="2"/>
  <c r="CQ43" i="2"/>
  <c r="CR43" i="2"/>
  <c r="CS43" i="2"/>
  <c r="CT43" i="2"/>
  <c r="CU43" i="2"/>
  <c r="CV43" i="2"/>
  <c r="CW43" i="2"/>
  <c r="CX43" i="2"/>
  <c r="D44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AJ44" i="2"/>
  <c r="AK44" i="2"/>
  <c r="AL44" i="2"/>
  <c r="AM44" i="2"/>
  <c r="AN44" i="2"/>
  <c r="AO44" i="2"/>
  <c r="AP44" i="2"/>
  <c r="AQ44" i="2"/>
  <c r="AR44" i="2"/>
  <c r="AS44" i="2"/>
  <c r="AT44" i="2"/>
  <c r="AU44" i="2"/>
  <c r="AV44" i="2"/>
  <c r="AW44" i="2"/>
  <c r="AX44" i="2"/>
  <c r="AY44" i="2"/>
  <c r="AZ44" i="2"/>
  <c r="BA44" i="2"/>
  <c r="BB44" i="2"/>
  <c r="BC44" i="2"/>
  <c r="BD44" i="2"/>
  <c r="BE44" i="2"/>
  <c r="BF44" i="2"/>
  <c r="BG44" i="2"/>
  <c r="BH44" i="2"/>
  <c r="BI44" i="2"/>
  <c r="BJ44" i="2"/>
  <c r="BK44" i="2"/>
  <c r="BL44" i="2"/>
  <c r="BM44" i="2"/>
  <c r="BN44" i="2"/>
  <c r="BO44" i="2"/>
  <c r="BP44" i="2"/>
  <c r="BQ44" i="2"/>
  <c r="BR44" i="2"/>
  <c r="BS44" i="2"/>
  <c r="BT44" i="2"/>
  <c r="BU44" i="2"/>
  <c r="BV44" i="2"/>
  <c r="BW44" i="2"/>
  <c r="BX44" i="2"/>
  <c r="BY44" i="2"/>
  <c r="BZ44" i="2"/>
  <c r="CA44" i="2"/>
  <c r="CB44" i="2"/>
  <c r="CC44" i="2"/>
  <c r="CD44" i="2"/>
  <c r="CE44" i="2"/>
  <c r="CF44" i="2"/>
  <c r="CG44" i="2"/>
  <c r="CH44" i="2"/>
  <c r="CI44" i="2"/>
  <c r="CJ44" i="2"/>
  <c r="CK44" i="2"/>
  <c r="CL44" i="2"/>
  <c r="CM44" i="2"/>
  <c r="CN44" i="2"/>
  <c r="CO44" i="2"/>
  <c r="CP44" i="2"/>
  <c r="CQ44" i="2"/>
  <c r="CR44" i="2"/>
  <c r="CS44" i="2"/>
  <c r="CT44" i="2"/>
  <c r="CU44" i="2"/>
  <c r="CV44" i="2"/>
  <c r="CW44" i="2"/>
  <c r="CX44" i="2"/>
  <c r="D45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V45" i="2"/>
  <c r="W45" i="2"/>
  <c r="X45" i="2"/>
  <c r="Y45" i="2"/>
  <c r="Z45" i="2"/>
  <c r="AA45" i="2"/>
  <c r="AB45" i="2"/>
  <c r="AC45" i="2"/>
  <c r="AD45" i="2"/>
  <c r="AE45" i="2"/>
  <c r="AF45" i="2"/>
  <c r="AG45" i="2"/>
  <c r="AH45" i="2"/>
  <c r="AI45" i="2"/>
  <c r="AJ45" i="2"/>
  <c r="AK45" i="2"/>
  <c r="AL45" i="2"/>
  <c r="AM45" i="2"/>
  <c r="AN45" i="2"/>
  <c r="AO45" i="2"/>
  <c r="AP45" i="2"/>
  <c r="AQ45" i="2"/>
  <c r="AR45" i="2"/>
  <c r="AS45" i="2"/>
  <c r="AT45" i="2"/>
  <c r="AU45" i="2"/>
  <c r="AV45" i="2"/>
  <c r="AW45" i="2"/>
  <c r="AX45" i="2"/>
  <c r="AY45" i="2"/>
  <c r="AZ45" i="2"/>
  <c r="BA45" i="2"/>
  <c r="BB45" i="2"/>
  <c r="BC45" i="2"/>
  <c r="BD45" i="2"/>
  <c r="BE45" i="2"/>
  <c r="BF45" i="2"/>
  <c r="BG45" i="2"/>
  <c r="BH45" i="2"/>
  <c r="BI45" i="2"/>
  <c r="BJ45" i="2"/>
  <c r="BK45" i="2"/>
  <c r="BL45" i="2"/>
  <c r="BM45" i="2"/>
  <c r="BN45" i="2"/>
  <c r="BO45" i="2"/>
  <c r="BP45" i="2"/>
  <c r="BQ45" i="2"/>
  <c r="BR45" i="2"/>
  <c r="BS45" i="2"/>
  <c r="BT45" i="2"/>
  <c r="BU45" i="2"/>
  <c r="BV45" i="2"/>
  <c r="BW45" i="2"/>
  <c r="BX45" i="2"/>
  <c r="BY45" i="2"/>
  <c r="BZ45" i="2"/>
  <c r="CA45" i="2"/>
  <c r="CB45" i="2"/>
  <c r="CC45" i="2"/>
  <c r="CD45" i="2"/>
  <c r="CE45" i="2"/>
  <c r="CF45" i="2"/>
  <c r="CG45" i="2"/>
  <c r="CH45" i="2"/>
  <c r="CI45" i="2"/>
  <c r="CJ45" i="2"/>
  <c r="CK45" i="2"/>
  <c r="CL45" i="2"/>
  <c r="CM45" i="2"/>
  <c r="CN45" i="2"/>
  <c r="CO45" i="2"/>
  <c r="CP45" i="2"/>
  <c r="CQ45" i="2"/>
  <c r="CR45" i="2"/>
  <c r="CS45" i="2"/>
  <c r="CT45" i="2"/>
  <c r="CU45" i="2"/>
  <c r="CV45" i="2"/>
  <c r="CW45" i="2"/>
  <c r="CX45" i="2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V46" i="2"/>
  <c r="W46" i="2"/>
  <c r="X46" i="2"/>
  <c r="Y46" i="2"/>
  <c r="Z46" i="2"/>
  <c r="AA46" i="2"/>
  <c r="AB46" i="2"/>
  <c r="AC46" i="2"/>
  <c r="AD46" i="2"/>
  <c r="AE46" i="2"/>
  <c r="AF46" i="2"/>
  <c r="AG46" i="2"/>
  <c r="AH46" i="2"/>
  <c r="AI46" i="2"/>
  <c r="AJ46" i="2"/>
  <c r="AK46" i="2"/>
  <c r="AL46" i="2"/>
  <c r="AM46" i="2"/>
  <c r="AN46" i="2"/>
  <c r="AO46" i="2"/>
  <c r="AP46" i="2"/>
  <c r="AQ46" i="2"/>
  <c r="AR46" i="2"/>
  <c r="AS46" i="2"/>
  <c r="AT46" i="2"/>
  <c r="AU46" i="2"/>
  <c r="AV46" i="2"/>
  <c r="AW46" i="2"/>
  <c r="AX46" i="2"/>
  <c r="AY46" i="2"/>
  <c r="AZ46" i="2"/>
  <c r="BA46" i="2"/>
  <c r="BB46" i="2"/>
  <c r="BC46" i="2"/>
  <c r="BD46" i="2"/>
  <c r="BE46" i="2"/>
  <c r="BF46" i="2"/>
  <c r="BG46" i="2"/>
  <c r="BH46" i="2"/>
  <c r="BI46" i="2"/>
  <c r="BJ46" i="2"/>
  <c r="BK46" i="2"/>
  <c r="BL46" i="2"/>
  <c r="BM46" i="2"/>
  <c r="BN46" i="2"/>
  <c r="BO46" i="2"/>
  <c r="BP46" i="2"/>
  <c r="BQ46" i="2"/>
  <c r="BR46" i="2"/>
  <c r="BS46" i="2"/>
  <c r="BT46" i="2"/>
  <c r="BU46" i="2"/>
  <c r="BV46" i="2"/>
  <c r="BW46" i="2"/>
  <c r="BX46" i="2"/>
  <c r="BY46" i="2"/>
  <c r="BZ46" i="2"/>
  <c r="CA46" i="2"/>
  <c r="CB46" i="2"/>
  <c r="CC46" i="2"/>
  <c r="CD46" i="2"/>
  <c r="CE46" i="2"/>
  <c r="CF46" i="2"/>
  <c r="CG46" i="2"/>
  <c r="CH46" i="2"/>
  <c r="CI46" i="2"/>
  <c r="CJ46" i="2"/>
  <c r="CK46" i="2"/>
  <c r="CL46" i="2"/>
  <c r="CM46" i="2"/>
  <c r="CN46" i="2"/>
  <c r="CO46" i="2"/>
  <c r="CP46" i="2"/>
  <c r="CQ46" i="2"/>
  <c r="CR46" i="2"/>
  <c r="CS46" i="2"/>
  <c r="CT46" i="2"/>
  <c r="CU46" i="2"/>
  <c r="CV46" i="2"/>
  <c r="CW46" i="2"/>
  <c r="CX46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AJ47" i="2"/>
  <c r="AK47" i="2"/>
  <c r="AL47" i="2"/>
  <c r="AM47" i="2"/>
  <c r="AN47" i="2"/>
  <c r="AO47" i="2"/>
  <c r="AP47" i="2"/>
  <c r="AQ47" i="2"/>
  <c r="AR47" i="2"/>
  <c r="AS47" i="2"/>
  <c r="AT47" i="2"/>
  <c r="AU47" i="2"/>
  <c r="AV47" i="2"/>
  <c r="AW47" i="2"/>
  <c r="AX47" i="2"/>
  <c r="AY47" i="2"/>
  <c r="AZ47" i="2"/>
  <c r="BA47" i="2"/>
  <c r="BB47" i="2"/>
  <c r="BC47" i="2"/>
  <c r="BD47" i="2"/>
  <c r="BE47" i="2"/>
  <c r="BF47" i="2"/>
  <c r="BG47" i="2"/>
  <c r="BH47" i="2"/>
  <c r="BI47" i="2"/>
  <c r="BJ47" i="2"/>
  <c r="BK47" i="2"/>
  <c r="BL47" i="2"/>
  <c r="BM47" i="2"/>
  <c r="BN47" i="2"/>
  <c r="BO47" i="2"/>
  <c r="BP47" i="2"/>
  <c r="BQ47" i="2"/>
  <c r="BR47" i="2"/>
  <c r="BS47" i="2"/>
  <c r="BT47" i="2"/>
  <c r="BU47" i="2"/>
  <c r="BV47" i="2"/>
  <c r="BW47" i="2"/>
  <c r="BX47" i="2"/>
  <c r="BY47" i="2"/>
  <c r="BZ47" i="2"/>
  <c r="CA47" i="2"/>
  <c r="CB47" i="2"/>
  <c r="CC47" i="2"/>
  <c r="CD47" i="2"/>
  <c r="CE47" i="2"/>
  <c r="CF47" i="2"/>
  <c r="CG47" i="2"/>
  <c r="CH47" i="2"/>
  <c r="CI47" i="2"/>
  <c r="CJ47" i="2"/>
  <c r="CK47" i="2"/>
  <c r="CL47" i="2"/>
  <c r="CM47" i="2"/>
  <c r="CN47" i="2"/>
  <c r="CO47" i="2"/>
  <c r="CP47" i="2"/>
  <c r="CQ47" i="2"/>
  <c r="CR47" i="2"/>
  <c r="CS47" i="2"/>
  <c r="CT47" i="2"/>
  <c r="CU47" i="2"/>
  <c r="CV47" i="2"/>
  <c r="CW47" i="2"/>
  <c r="CX47" i="2"/>
  <c r="D48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AJ48" i="2"/>
  <c r="AK48" i="2"/>
  <c r="AL48" i="2"/>
  <c r="AM48" i="2"/>
  <c r="AN48" i="2"/>
  <c r="AO48" i="2"/>
  <c r="AP48" i="2"/>
  <c r="AQ48" i="2"/>
  <c r="AR48" i="2"/>
  <c r="AS48" i="2"/>
  <c r="AT48" i="2"/>
  <c r="AU48" i="2"/>
  <c r="AV48" i="2"/>
  <c r="AW48" i="2"/>
  <c r="AX48" i="2"/>
  <c r="AY48" i="2"/>
  <c r="AZ48" i="2"/>
  <c r="BA48" i="2"/>
  <c r="BB48" i="2"/>
  <c r="BC48" i="2"/>
  <c r="BD48" i="2"/>
  <c r="BE48" i="2"/>
  <c r="BF48" i="2"/>
  <c r="BG48" i="2"/>
  <c r="BH48" i="2"/>
  <c r="BI48" i="2"/>
  <c r="BJ48" i="2"/>
  <c r="BK48" i="2"/>
  <c r="BL48" i="2"/>
  <c r="BM48" i="2"/>
  <c r="BN48" i="2"/>
  <c r="BO48" i="2"/>
  <c r="BP48" i="2"/>
  <c r="BQ48" i="2"/>
  <c r="BR48" i="2"/>
  <c r="BS48" i="2"/>
  <c r="BT48" i="2"/>
  <c r="BU48" i="2"/>
  <c r="BV48" i="2"/>
  <c r="BW48" i="2"/>
  <c r="BX48" i="2"/>
  <c r="BY48" i="2"/>
  <c r="BZ48" i="2"/>
  <c r="CA48" i="2"/>
  <c r="CB48" i="2"/>
  <c r="CC48" i="2"/>
  <c r="CD48" i="2"/>
  <c r="CE48" i="2"/>
  <c r="CF48" i="2"/>
  <c r="CG48" i="2"/>
  <c r="CH48" i="2"/>
  <c r="CI48" i="2"/>
  <c r="CJ48" i="2"/>
  <c r="CK48" i="2"/>
  <c r="CL48" i="2"/>
  <c r="CM48" i="2"/>
  <c r="CN48" i="2"/>
  <c r="CO48" i="2"/>
  <c r="CP48" i="2"/>
  <c r="CQ48" i="2"/>
  <c r="CR48" i="2"/>
  <c r="CS48" i="2"/>
  <c r="CT48" i="2"/>
  <c r="CU48" i="2"/>
  <c r="CV48" i="2"/>
  <c r="CW48" i="2"/>
  <c r="CX48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AE49" i="2"/>
  <c r="AF49" i="2"/>
  <c r="AG49" i="2"/>
  <c r="AH49" i="2"/>
  <c r="AI49" i="2"/>
  <c r="AJ49" i="2"/>
  <c r="AK49" i="2"/>
  <c r="AL49" i="2"/>
  <c r="AM49" i="2"/>
  <c r="AN49" i="2"/>
  <c r="AO49" i="2"/>
  <c r="AP49" i="2"/>
  <c r="AQ49" i="2"/>
  <c r="AR49" i="2"/>
  <c r="AS49" i="2"/>
  <c r="AT49" i="2"/>
  <c r="AU49" i="2"/>
  <c r="AV49" i="2"/>
  <c r="AW49" i="2"/>
  <c r="AX49" i="2"/>
  <c r="AY49" i="2"/>
  <c r="AZ49" i="2"/>
  <c r="BA49" i="2"/>
  <c r="BB49" i="2"/>
  <c r="BC49" i="2"/>
  <c r="BD49" i="2"/>
  <c r="BE49" i="2"/>
  <c r="BF49" i="2"/>
  <c r="BG49" i="2"/>
  <c r="BH49" i="2"/>
  <c r="BI49" i="2"/>
  <c r="BJ49" i="2"/>
  <c r="BK49" i="2"/>
  <c r="BL49" i="2"/>
  <c r="BM49" i="2"/>
  <c r="BN49" i="2"/>
  <c r="BO49" i="2"/>
  <c r="BP49" i="2"/>
  <c r="BQ49" i="2"/>
  <c r="BR49" i="2"/>
  <c r="BS49" i="2"/>
  <c r="BT49" i="2"/>
  <c r="BU49" i="2"/>
  <c r="BV49" i="2"/>
  <c r="BW49" i="2"/>
  <c r="BX49" i="2"/>
  <c r="BY49" i="2"/>
  <c r="BZ49" i="2"/>
  <c r="CA49" i="2"/>
  <c r="CB49" i="2"/>
  <c r="CC49" i="2"/>
  <c r="CD49" i="2"/>
  <c r="CE49" i="2"/>
  <c r="CF49" i="2"/>
  <c r="CG49" i="2"/>
  <c r="CH49" i="2"/>
  <c r="CI49" i="2"/>
  <c r="CJ49" i="2"/>
  <c r="CK49" i="2"/>
  <c r="CL49" i="2"/>
  <c r="CM49" i="2"/>
  <c r="CN49" i="2"/>
  <c r="CO49" i="2"/>
  <c r="CP49" i="2"/>
  <c r="CQ49" i="2"/>
  <c r="CR49" i="2"/>
  <c r="CS49" i="2"/>
  <c r="CT49" i="2"/>
  <c r="CU49" i="2"/>
  <c r="CV49" i="2"/>
  <c r="CW49" i="2"/>
  <c r="CX49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AJ50" i="2"/>
  <c r="AK50" i="2"/>
  <c r="AL50" i="2"/>
  <c r="AM50" i="2"/>
  <c r="AN50" i="2"/>
  <c r="AO50" i="2"/>
  <c r="AP50" i="2"/>
  <c r="AQ50" i="2"/>
  <c r="AR50" i="2"/>
  <c r="AS50" i="2"/>
  <c r="AT50" i="2"/>
  <c r="AU50" i="2"/>
  <c r="AV50" i="2"/>
  <c r="AW50" i="2"/>
  <c r="AX50" i="2"/>
  <c r="AY50" i="2"/>
  <c r="AZ50" i="2"/>
  <c r="BA50" i="2"/>
  <c r="BB50" i="2"/>
  <c r="BC50" i="2"/>
  <c r="BD50" i="2"/>
  <c r="BE50" i="2"/>
  <c r="BF50" i="2"/>
  <c r="BG50" i="2"/>
  <c r="BH50" i="2"/>
  <c r="BI50" i="2"/>
  <c r="BJ50" i="2"/>
  <c r="BK50" i="2"/>
  <c r="BL50" i="2"/>
  <c r="BM50" i="2"/>
  <c r="BN50" i="2"/>
  <c r="BO50" i="2"/>
  <c r="BP50" i="2"/>
  <c r="BQ50" i="2"/>
  <c r="BR50" i="2"/>
  <c r="BS50" i="2"/>
  <c r="BT50" i="2"/>
  <c r="BU50" i="2"/>
  <c r="BV50" i="2"/>
  <c r="BW50" i="2"/>
  <c r="BX50" i="2"/>
  <c r="BY50" i="2"/>
  <c r="BZ50" i="2"/>
  <c r="CA50" i="2"/>
  <c r="CB50" i="2"/>
  <c r="CC50" i="2"/>
  <c r="CD50" i="2"/>
  <c r="CE50" i="2"/>
  <c r="CF50" i="2"/>
  <c r="CG50" i="2"/>
  <c r="CH50" i="2"/>
  <c r="CI50" i="2"/>
  <c r="CJ50" i="2"/>
  <c r="CK50" i="2"/>
  <c r="CL50" i="2"/>
  <c r="CM50" i="2"/>
  <c r="CN50" i="2"/>
  <c r="CO50" i="2"/>
  <c r="CP50" i="2"/>
  <c r="CQ50" i="2"/>
  <c r="CR50" i="2"/>
  <c r="CS50" i="2"/>
  <c r="CT50" i="2"/>
  <c r="CU50" i="2"/>
  <c r="CV50" i="2"/>
  <c r="CW50" i="2"/>
  <c r="CX50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V51" i="2"/>
  <c r="W51" i="2"/>
  <c r="X51" i="2"/>
  <c r="Y51" i="2"/>
  <c r="Z51" i="2"/>
  <c r="AA51" i="2"/>
  <c r="AB51" i="2"/>
  <c r="AC51" i="2"/>
  <c r="AD51" i="2"/>
  <c r="AE51" i="2"/>
  <c r="AF51" i="2"/>
  <c r="AG51" i="2"/>
  <c r="AH51" i="2"/>
  <c r="AI51" i="2"/>
  <c r="AJ51" i="2"/>
  <c r="AK51" i="2"/>
  <c r="AL51" i="2"/>
  <c r="AM51" i="2"/>
  <c r="AN51" i="2"/>
  <c r="AO51" i="2"/>
  <c r="AP51" i="2"/>
  <c r="AQ51" i="2"/>
  <c r="AR51" i="2"/>
  <c r="AS51" i="2"/>
  <c r="AT51" i="2"/>
  <c r="AU51" i="2"/>
  <c r="AV51" i="2"/>
  <c r="AW51" i="2"/>
  <c r="AX51" i="2"/>
  <c r="AY51" i="2"/>
  <c r="AZ51" i="2"/>
  <c r="BA51" i="2"/>
  <c r="BB51" i="2"/>
  <c r="BC51" i="2"/>
  <c r="BD51" i="2"/>
  <c r="BE51" i="2"/>
  <c r="BF51" i="2"/>
  <c r="BG51" i="2"/>
  <c r="BH51" i="2"/>
  <c r="BI51" i="2"/>
  <c r="BJ51" i="2"/>
  <c r="BK51" i="2"/>
  <c r="BL51" i="2"/>
  <c r="BM51" i="2"/>
  <c r="BN51" i="2"/>
  <c r="BO51" i="2"/>
  <c r="BP51" i="2"/>
  <c r="BQ51" i="2"/>
  <c r="BR51" i="2"/>
  <c r="BS51" i="2"/>
  <c r="BT51" i="2"/>
  <c r="BU51" i="2"/>
  <c r="BV51" i="2"/>
  <c r="BW51" i="2"/>
  <c r="BX51" i="2"/>
  <c r="BY51" i="2"/>
  <c r="BZ51" i="2"/>
  <c r="CA51" i="2"/>
  <c r="CB51" i="2"/>
  <c r="CC51" i="2"/>
  <c r="CD51" i="2"/>
  <c r="CE51" i="2"/>
  <c r="CF51" i="2"/>
  <c r="CG51" i="2"/>
  <c r="CH51" i="2"/>
  <c r="CI51" i="2"/>
  <c r="CJ51" i="2"/>
  <c r="CK51" i="2"/>
  <c r="CL51" i="2"/>
  <c r="CM51" i="2"/>
  <c r="CN51" i="2"/>
  <c r="CO51" i="2"/>
  <c r="CP51" i="2"/>
  <c r="CQ51" i="2"/>
  <c r="CR51" i="2"/>
  <c r="CS51" i="2"/>
  <c r="CT51" i="2"/>
  <c r="CU51" i="2"/>
  <c r="CV51" i="2"/>
  <c r="CW51" i="2"/>
  <c r="CX51" i="2"/>
  <c r="D52" i="2"/>
  <c r="E52" i="2"/>
  <c r="F52" i="2"/>
  <c r="G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AJ52" i="2"/>
  <c r="AK52" i="2"/>
  <c r="AL52" i="2"/>
  <c r="AM52" i="2"/>
  <c r="AN52" i="2"/>
  <c r="AO52" i="2"/>
  <c r="AP52" i="2"/>
  <c r="AQ52" i="2"/>
  <c r="AR52" i="2"/>
  <c r="AS52" i="2"/>
  <c r="AT52" i="2"/>
  <c r="AU52" i="2"/>
  <c r="AV52" i="2"/>
  <c r="AW52" i="2"/>
  <c r="AX52" i="2"/>
  <c r="AY52" i="2"/>
  <c r="AZ52" i="2"/>
  <c r="BA52" i="2"/>
  <c r="BB52" i="2"/>
  <c r="BC52" i="2"/>
  <c r="BD52" i="2"/>
  <c r="BE52" i="2"/>
  <c r="BF52" i="2"/>
  <c r="BG52" i="2"/>
  <c r="BH52" i="2"/>
  <c r="BI52" i="2"/>
  <c r="BJ52" i="2"/>
  <c r="BK52" i="2"/>
  <c r="BL52" i="2"/>
  <c r="BM52" i="2"/>
  <c r="BN52" i="2"/>
  <c r="BO52" i="2"/>
  <c r="BP52" i="2"/>
  <c r="BQ52" i="2"/>
  <c r="BR52" i="2"/>
  <c r="BS52" i="2"/>
  <c r="BT52" i="2"/>
  <c r="BU52" i="2"/>
  <c r="BV52" i="2"/>
  <c r="BW52" i="2"/>
  <c r="BX52" i="2"/>
  <c r="BY52" i="2"/>
  <c r="BZ52" i="2"/>
  <c r="CA52" i="2"/>
  <c r="CB52" i="2"/>
  <c r="CC52" i="2"/>
  <c r="CD52" i="2"/>
  <c r="CE52" i="2"/>
  <c r="CF52" i="2"/>
  <c r="CG52" i="2"/>
  <c r="CH52" i="2"/>
  <c r="CI52" i="2"/>
  <c r="CJ52" i="2"/>
  <c r="CK52" i="2"/>
  <c r="CL52" i="2"/>
  <c r="CM52" i="2"/>
  <c r="CN52" i="2"/>
  <c r="CO52" i="2"/>
  <c r="CP52" i="2"/>
  <c r="CQ52" i="2"/>
  <c r="CR52" i="2"/>
  <c r="CS52" i="2"/>
  <c r="CT52" i="2"/>
  <c r="CU52" i="2"/>
  <c r="CV52" i="2"/>
  <c r="CW52" i="2"/>
  <c r="CX52" i="2"/>
  <c r="D53" i="2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R53" i="2"/>
  <c r="S53" i="2"/>
  <c r="T53" i="2"/>
  <c r="U53" i="2"/>
  <c r="V53" i="2"/>
  <c r="W53" i="2"/>
  <c r="X53" i="2"/>
  <c r="Y53" i="2"/>
  <c r="Z53" i="2"/>
  <c r="AA53" i="2"/>
  <c r="AB53" i="2"/>
  <c r="AC53" i="2"/>
  <c r="AD53" i="2"/>
  <c r="AE53" i="2"/>
  <c r="AF53" i="2"/>
  <c r="AG53" i="2"/>
  <c r="AH53" i="2"/>
  <c r="AI53" i="2"/>
  <c r="AJ53" i="2"/>
  <c r="AK53" i="2"/>
  <c r="AL53" i="2"/>
  <c r="AM53" i="2"/>
  <c r="AN53" i="2"/>
  <c r="AO53" i="2"/>
  <c r="AP53" i="2"/>
  <c r="AQ53" i="2"/>
  <c r="AR53" i="2"/>
  <c r="AS53" i="2"/>
  <c r="AT53" i="2"/>
  <c r="AU53" i="2"/>
  <c r="AV53" i="2"/>
  <c r="AW53" i="2"/>
  <c r="AX53" i="2"/>
  <c r="AY53" i="2"/>
  <c r="AZ53" i="2"/>
  <c r="BA53" i="2"/>
  <c r="BB53" i="2"/>
  <c r="BC53" i="2"/>
  <c r="BD53" i="2"/>
  <c r="BE53" i="2"/>
  <c r="BF53" i="2"/>
  <c r="BG53" i="2"/>
  <c r="BH53" i="2"/>
  <c r="BI53" i="2"/>
  <c r="BJ53" i="2"/>
  <c r="BK53" i="2"/>
  <c r="BL53" i="2"/>
  <c r="BM53" i="2"/>
  <c r="BN53" i="2"/>
  <c r="BO53" i="2"/>
  <c r="BP53" i="2"/>
  <c r="BQ53" i="2"/>
  <c r="BR53" i="2"/>
  <c r="BS53" i="2"/>
  <c r="BT53" i="2"/>
  <c r="BU53" i="2"/>
  <c r="BV53" i="2"/>
  <c r="BW53" i="2"/>
  <c r="BX53" i="2"/>
  <c r="BY53" i="2"/>
  <c r="BZ53" i="2"/>
  <c r="CA53" i="2"/>
  <c r="CB53" i="2"/>
  <c r="CC53" i="2"/>
  <c r="CD53" i="2"/>
  <c r="CE53" i="2"/>
  <c r="CF53" i="2"/>
  <c r="CG53" i="2"/>
  <c r="CH53" i="2"/>
  <c r="CI53" i="2"/>
  <c r="CJ53" i="2"/>
  <c r="CK53" i="2"/>
  <c r="CL53" i="2"/>
  <c r="CM53" i="2"/>
  <c r="CN53" i="2"/>
  <c r="CO53" i="2"/>
  <c r="CP53" i="2"/>
  <c r="CQ53" i="2"/>
  <c r="CR53" i="2"/>
  <c r="CS53" i="2"/>
  <c r="CT53" i="2"/>
  <c r="CU53" i="2"/>
  <c r="CV53" i="2"/>
  <c r="CW53" i="2"/>
  <c r="CX53" i="2"/>
  <c r="D54" i="2"/>
  <c r="E54" i="2"/>
  <c r="F54" i="2"/>
  <c r="G54" i="2"/>
  <c r="H54" i="2"/>
  <c r="I54" i="2"/>
  <c r="J54" i="2"/>
  <c r="K54" i="2"/>
  <c r="L54" i="2"/>
  <c r="M54" i="2"/>
  <c r="N54" i="2"/>
  <c r="O54" i="2"/>
  <c r="P54" i="2"/>
  <c r="Q54" i="2"/>
  <c r="R54" i="2"/>
  <c r="S54" i="2"/>
  <c r="T54" i="2"/>
  <c r="U54" i="2"/>
  <c r="V54" i="2"/>
  <c r="W54" i="2"/>
  <c r="X54" i="2"/>
  <c r="Y54" i="2"/>
  <c r="Z54" i="2"/>
  <c r="AA54" i="2"/>
  <c r="AB54" i="2"/>
  <c r="AC54" i="2"/>
  <c r="AD54" i="2"/>
  <c r="AE54" i="2"/>
  <c r="AF54" i="2"/>
  <c r="AG54" i="2"/>
  <c r="AH54" i="2"/>
  <c r="AI54" i="2"/>
  <c r="AJ54" i="2"/>
  <c r="AK54" i="2"/>
  <c r="AL54" i="2"/>
  <c r="AM54" i="2"/>
  <c r="AN54" i="2"/>
  <c r="AO54" i="2"/>
  <c r="AP54" i="2"/>
  <c r="AQ54" i="2"/>
  <c r="AR54" i="2"/>
  <c r="AS54" i="2"/>
  <c r="AT54" i="2"/>
  <c r="AU54" i="2"/>
  <c r="AV54" i="2"/>
  <c r="AW54" i="2"/>
  <c r="AX54" i="2"/>
  <c r="AY54" i="2"/>
  <c r="AZ54" i="2"/>
  <c r="BA54" i="2"/>
  <c r="BB54" i="2"/>
  <c r="BC54" i="2"/>
  <c r="BD54" i="2"/>
  <c r="BE54" i="2"/>
  <c r="BF54" i="2"/>
  <c r="BG54" i="2"/>
  <c r="BH54" i="2"/>
  <c r="BI54" i="2"/>
  <c r="BJ54" i="2"/>
  <c r="BK54" i="2"/>
  <c r="BL54" i="2"/>
  <c r="BM54" i="2"/>
  <c r="BN54" i="2"/>
  <c r="BO54" i="2"/>
  <c r="BP54" i="2"/>
  <c r="BQ54" i="2"/>
  <c r="BR54" i="2"/>
  <c r="BS54" i="2"/>
  <c r="BT54" i="2"/>
  <c r="BU54" i="2"/>
  <c r="BV54" i="2"/>
  <c r="BW54" i="2"/>
  <c r="BX54" i="2"/>
  <c r="BY54" i="2"/>
  <c r="BZ54" i="2"/>
  <c r="CA54" i="2"/>
  <c r="CB54" i="2"/>
  <c r="CC54" i="2"/>
  <c r="CD54" i="2"/>
  <c r="CE54" i="2"/>
  <c r="CF54" i="2"/>
  <c r="CG54" i="2"/>
  <c r="CH54" i="2"/>
  <c r="CI54" i="2"/>
  <c r="CJ54" i="2"/>
  <c r="CK54" i="2"/>
  <c r="CL54" i="2"/>
  <c r="CM54" i="2"/>
  <c r="CN54" i="2"/>
  <c r="CO54" i="2"/>
  <c r="CP54" i="2"/>
  <c r="CQ54" i="2"/>
  <c r="CR54" i="2"/>
  <c r="CS54" i="2"/>
  <c r="CT54" i="2"/>
  <c r="CU54" i="2"/>
  <c r="CV54" i="2"/>
  <c r="CW54" i="2"/>
  <c r="CX54" i="2"/>
  <c r="D55" i="2"/>
  <c r="E55" i="2"/>
  <c r="F55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AJ55" i="2"/>
  <c r="AK55" i="2"/>
  <c r="AL55" i="2"/>
  <c r="AM55" i="2"/>
  <c r="AN55" i="2"/>
  <c r="AO55" i="2"/>
  <c r="AP55" i="2"/>
  <c r="AQ55" i="2"/>
  <c r="AR55" i="2"/>
  <c r="AS55" i="2"/>
  <c r="AT55" i="2"/>
  <c r="AU55" i="2"/>
  <c r="AV55" i="2"/>
  <c r="AW55" i="2"/>
  <c r="AX55" i="2"/>
  <c r="AY55" i="2"/>
  <c r="AZ55" i="2"/>
  <c r="BA55" i="2"/>
  <c r="BB55" i="2"/>
  <c r="BC55" i="2"/>
  <c r="BD55" i="2"/>
  <c r="BE55" i="2"/>
  <c r="BF55" i="2"/>
  <c r="BG55" i="2"/>
  <c r="BH55" i="2"/>
  <c r="BI55" i="2"/>
  <c r="BJ55" i="2"/>
  <c r="BK55" i="2"/>
  <c r="BL55" i="2"/>
  <c r="BM55" i="2"/>
  <c r="BN55" i="2"/>
  <c r="BO55" i="2"/>
  <c r="BP55" i="2"/>
  <c r="BQ55" i="2"/>
  <c r="BR55" i="2"/>
  <c r="BS55" i="2"/>
  <c r="BT55" i="2"/>
  <c r="BU55" i="2"/>
  <c r="BV55" i="2"/>
  <c r="BW55" i="2"/>
  <c r="BX55" i="2"/>
  <c r="BY55" i="2"/>
  <c r="BZ55" i="2"/>
  <c r="CA55" i="2"/>
  <c r="CB55" i="2"/>
  <c r="CC55" i="2"/>
  <c r="CD55" i="2"/>
  <c r="CE55" i="2"/>
  <c r="CF55" i="2"/>
  <c r="CG55" i="2"/>
  <c r="CH55" i="2"/>
  <c r="CI55" i="2"/>
  <c r="CJ55" i="2"/>
  <c r="CK55" i="2"/>
  <c r="CL55" i="2"/>
  <c r="CM55" i="2"/>
  <c r="CN55" i="2"/>
  <c r="CO55" i="2"/>
  <c r="CP55" i="2"/>
  <c r="CQ55" i="2"/>
  <c r="CR55" i="2"/>
  <c r="CS55" i="2"/>
  <c r="CT55" i="2"/>
  <c r="CU55" i="2"/>
  <c r="CV55" i="2"/>
  <c r="CW55" i="2"/>
  <c r="CX55" i="2"/>
  <c r="D56" i="2"/>
  <c r="E56" i="2"/>
  <c r="F56" i="2"/>
  <c r="G56" i="2"/>
  <c r="H56" i="2"/>
  <c r="I56" i="2"/>
  <c r="J56" i="2"/>
  <c r="K56" i="2"/>
  <c r="L56" i="2"/>
  <c r="M56" i="2"/>
  <c r="N56" i="2"/>
  <c r="O56" i="2"/>
  <c r="P56" i="2"/>
  <c r="Q56" i="2"/>
  <c r="R56" i="2"/>
  <c r="S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AJ56" i="2"/>
  <c r="AK56" i="2"/>
  <c r="AL56" i="2"/>
  <c r="AM56" i="2"/>
  <c r="AN56" i="2"/>
  <c r="AO56" i="2"/>
  <c r="AP56" i="2"/>
  <c r="AQ56" i="2"/>
  <c r="AR56" i="2"/>
  <c r="AS56" i="2"/>
  <c r="AT56" i="2"/>
  <c r="AU56" i="2"/>
  <c r="AV56" i="2"/>
  <c r="AW56" i="2"/>
  <c r="AX56" i="2"/>
  <c r="AY56" i="2"/>
  <c r="AZ56" i="2"/>
  <c r="BA56" i="2"/>
  <c r="BB56" i="2"/>
  <c r="BC56" i="2"/>
  <c r="BD56" i="2"/>
  <c r="BE56" i="2"/>
  <c r="BF56" i="2"/>
  <c r="BG56" i="2"/>
  <c r="BH56" i="2"/>
  <c r="BI56" i="2"/>
  <c r="BJ56" i="2"/>
  <c r="BK56" i="2"/>
  <c r="BL56" i="2"/>
  <c r="BM56" i="2"/>
  <c r="BN56" i="2"/>
  <c r="BO56" i="2"/>
  <c r="BP56" i="2"/>
  <c r="BQ56" i="2"/>
  <c r="BR56" i="2"/>
  <c r="BS56" i="2"/>
  <c r="BT56" i="2"/>
  <c r="BU56" i="2"/>
  <c r="BV56" i="2"/>
  <c r="BW56" i="2"/>
  <c r="BX56" i="2"/>
  <c r="BY56" i="2"/>
  <c r="BZ56" i="2"/>
  <c r="CA56" i="2"/>
  <c r="CB56" i="2"/>
  <c r="CC56" i="2"/>
  <c r="CD56" i="2"/>
  <c r="CE56" i="2"/>
  <c r="CF56" i="2"/>
  <c r="CG56" i="2"/>
  <c r="CH56" i="2"/>
  <c r="CI56" i="2"/>
  <c r="CJ56" i="2"/>
  <c r="CK56" i="2"/>
  <c r="CL56" i="2"/>
  <c r="CM56" i="2"/>
  <c r="CN56" i="2"/>
  <c r="CO56" i="2"/>
  <c r="CP56" i="2"/>
  <c r="CQ56" i="2"/>
  <c r="CR56" i="2"/>
  <c r="CS56" i="2"/>
  <c r="CT56" i="2"/>
  <c r="CU56" i="2"/>
  <c r="CV56" i="2"/>
  <c r="CW56" i="2"/>
  <c r="CX56" i="2"/>
  <c r="D57" i="2"/>
  <c r="E57" i="2"/>
  <c r="F57" i="2"/>
  <c r="G57" i="2"/>
  <c r="H57" i="2"/>
  <c r="I57" i="2"/>
  <c r="J57" i="2"/>
  <c r="K57" i="2"/>
  <c r="L57" i="2"/>
  <c r="M57" i="2"/>
  <c r="N57" i="2"/>
  <c r="O57" i="2"/>
  <c r="P57" i="2"/>
  <c r="Q57" i="2"/>
  <c r="R57" i="2"/>
  <c r="S57" i="2"/>
  <c r="T57" i="2"/>
  <c r="U57" i="2"/>
  <c r="V57" i="2"/>
  <c r="W57" i="2"/>
  <c r="X57" i="2"/>
  <c r="Y57" i="2"/>
  <c r="Z57" i="2"/>
  <c r="AA57" i="2"/>
  <c r="AB57" i="2"/>
  <c r="AC57" i="2"/>
  <c r="AD57" i="2"/>
  <c r="AE57" i="2"/>
  <c r="AF57" i="2"/>
  <c r="AG57" i="2"/>
  <c r="AH57" i="2"/>
  <c r="AI57" i="2"/>
  <c r="AJ57" i="2"/>
  <c r="AK57" i="2"/>
  <c r="AL57" i="2"/>
  <c r="AM57" i="2"/>
  <c r="AN57" i="2"/>
  <c r="AO57" i="2"/>
  <c r="AP57" i="2"/>
  <c r="AQ57" i="2"/>
  <c r="AR57" i="2"/>
  <c r="AS57" i="2"/>
  <c r="AT57" i="2"/>
  <c r="AU57" i="2"/>
  <c r="AV57" i="2"/>
  <c r="AW57" i="2"/>
  <c r="AX57" i="2"/>
  <c r="AY57" i="2"/>
  <c r="AZ57" i="2"/>
  <c r="BA57" i="2"/>
  <c r="BB57" i="2"/>
  <c r="BC57" i="2"/>
  <c r="BD57" i="2"/>
  <c r="BE57" i="2"/>
  <c r="BF57" i="2"/>
  <c r="BG57" i="2"/>
  <c r="BH57" i="2"/>
  <c r="BI57" i="2"/>
  <c r="BJ57" i="2"/>
  <c r="BK57" i="2"/>
  <c r="BL57" i="2"/>
  <c r="BM57" i="2"/>
  <c r="BN57" i="2"/>
  <c r="BO57" i="2"/>
  <c r="BP57" i="2"/>
  <c r="BQ57" i="2"/>
  <c r="BR57" i="2"/>
  <c r="BS57" i="2"/>
  <c r="BT57" i="2"/>
  <c r="BU57" i="2"/>
  <c r="BV57" i="2"/>
  <c r="BW57" i="2"/>
  <c r="BX57" i="2"/>
  <c r="BY57" i="2"/>
  <c r="BZ57" i="2"/>
  <c r="CA57" i="2"/>
  <c r="CB57" i="2"/>
  <c r="CC57" i="2"/>
  <c r="CD57" i="2"/>
  <c r="CE57" i="2"/>
  <c r="CF57" i="2"/>
  <c r="CG57" i="2"/>
  <c r="CH57" i="2"/>
  <c r="CI57" i="2"/>
  <c r="CJ57" i="2"/>
  <c r="CK57" i="2"/>
  <c r="CL57" i="2"/>
  <c r="CM57" i="2"/>
  <c r="CN57" i="2"/>
  <c r="CO57" i="2"/>
  <c r="CP57" i="2"/>
  <c r="CQ57" i="2"/>
  <c r="CR57" i="2"/>
  <c r="CS57" i="2"/>
  <c r="CT57" i="2"/>
  <c r="CU57" i="2"/>
  <c r="CV57" i="2"/>
  <c r="CW57" i="2"/>
  <c r="CX57" i="2"/>
  <c r="D58" i="2"/>
  <c r="E58" i="2"/>
  <c r="F58" i="2"/>
  <c r="G58" i="2"/>
  <c r="H58" i="2"/>
  <c r="I58" i="2"/>
  <c r="J58" i="2"/>
  <c r="K58" i="2"/>
  <c r="L58" i="2"/>
  <c r="M58" i="2"/>
  <c r="N58" i="2"/>
  <c r="O58" i="2"/>
  <c r="P58" i="2"/>
  <c r="Q58" i="2"/>
  <c r="R58" i="2"/>
  <c r="S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AJ58" i="2"/>
  <c r="AK58" i="2"/>
  <c r="AL58" i="2"/>
  <c r="AM58" i="2"/>
  <c r="AN58" i="2"/>
  <c r="AO58" i="2"/>
  <c r="AP58" i="2"/>
  <c r="AQ58" i="2"/>
  <c r="AR58" i="2"/>
  <c r="AS58" i="2"/>
  <c r="AT58" i="2"/>
  <c r="AU58" i="2"/>
  <c r="AV58" i="2"/>
  <c r="AW58" i="2"/>
  <c r="AX58" i="2"/>
  <c r="AY58" i="2"/>
  <c r="AZ58" i="2"/>
  <c r="BA58" i="2"/>
  <c r="BB58" i="2"/>
  <c r="BC58" i="2"/>
  <c r="BD58" i="2"/>
  <c r="BE58" i="2"/>
  <c r="BF58" i="2"/>
  <c r="BG58" i="2"/>
  <c r="BH58" i="2"/>
  <c r="BI58" i="2"/>
  <c r="BJ58" i="2"/>
  <c r="BK58" i="2"/>
  <c r="BL58" i="2"/>
  <c r="BM58" i="2"/>
  <c r="BN58" i="2"/>
  <c r="BO58" i="2"/>
  <c r="BP58" i="2"/>
  <c r="BQ58" i="2"/>
  <c r="BR58" i="2"/>
  <c r="BS58" i="2"/>
  <c r="BT58" i="2"/>
  <c r="BU58" i="2"/>
  <c r="BV58" i="2"/>
  <c r="BW58" i="2"/>
  <c r="BX58" i="2"/>
  <c r="BY58" i="2"/>
  <c r="BZ58" i="2"/>
  <c r="CA58" i="2"/>
  <c r="CB58" i="2"/>
  <c r="CC58" i="2"/>
  <c r="CD58" i="2"/>
  <c r="CE58" i="2"/>
  <c r="CF58" i="2"/>
  <c r="CG58" i="2"/>
  <c r="CH58" i="2"/>
  <c r="CI58" i="2"/>
  <c r="CJ58" i="2"/>
  <c r="CK58" i="2"/>
  <c r="CL58" i="2"/>
  <c r="CM58" i="2"/>
  <c r="CN58" i="2"/>
  <c r="CO58" i="2"/>
  <c r="CP58" i="2"/>
  <c r="CQ58" i="2"/>
  <c r="CR58" i="2"/>
  <c r="CS58" i="2"/>
  <c r="CT58" i="2"/>
  <c r="CU58" i="2"/>
  <c r="CV58" i="2"/>
  <c r="CW58" i="2"/>
  <c r="CX58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A59" i="2"/>
  <c r="AB59" i="2"/>
  <c r="AC59" i="2"/>
  <c r="AD59" i="2"/>
  <c r="AE59" i="2"/>
  <c r="AF59" i="2"/>
  <c r="AG59" i="2"/>
  <c r="AH59" i="2"/>
  <c r="AI59" i="2"/>
  <c r="AJ59" i="2"/>
  <c r="AK59" i="2"/>
  <c r="AL59" i="2"/>
  <c r="AM59" i="2"/>
  <c r="AN59" i="2"/>
  <c r="AO59" i="2"/>
  <c r="AP59" i="2"/>
  <c r="AQ59" i="2"/>
  <c r="AR59" i="2"/>
  <c r="AS59" i="2"/>
  <c r="AT59" i="2"/>
  <c r="AU59" i="2"/>
  <c r="AV59" i="2"/>
  <c r="AW59" i="2"/>
  <c r="AX59" i="2"/>
  <c r="AY59" i="2"/>
  <c r="AZ59" i="2"/>
  <c r="BA59" i="2"/>
  <c r="BB59" i="2"/>
  <c r="BC59" i="2"/>
  <c r="BD59" i="2"/>
  <c r="BE59" i="2"/>
  <c r="BF59" i="2"/>
  <c r="BG59" i="2"/>
  <c r="BH59" i="2"/>
  <c r="BI59" i="2"/>
  <c r="BJ59" i="2"/>
  <c r="BK59" i="2"/>
  <c r="BL59" i="2"/>
  <c r="BM59" i="2"/>
  <c r="BN59" i="2"/>
  <c r="BO59" i="2"/>
  <c r="BP59" i="2"/>
  <c r="BQ59" i="2"/>
  <c r="BR59" i="2"/>
  <c r="BS59" i="2"/>
  <c r="BT59" i="2"/>
  <c r="BU59" i="2"/>
  <c r="BV59" i="2"/>
  <c r="BW59" i="2"/>
  <c r="BX59" i="2"/>
  <c r="BY59" i="2"/>
  <c r="BZ59" i="2"/>
  <c r="CA59" i="2"/>
  <c r="CB59" i="2"/>
  <c r="CC59" i="2"/>
  <c r="CD59" i="2"/>
  <c r="CE59" i="2"/>
  <c r="CF59" i="2"/>
  <c r="CG59" i="2"/>
  <c r="CH59" i="2"/>
  <c r="CI59" i="2"/>
  <c r="CJ59" i="2"/>
  <c r="CK59" i="2"/>
  <c r="CL59" i="2"/>
  <c r="CM59" i="2"/>
  <c r="CN59" i="2"/>
  <c r="CO59" i="2"/>
  <c r="CP59" i="2"/>
  <c r="CQ59" i="2"/>
  <c r="CR59" i="2"/>
  <c r="CS59" i="2"/>
  <c r="CT59" i="2"/>
  <c r="CU59" i="2"/>
  <c r="CV59" i="2"/>
  <c r="CW59" i="2"/>
  <c r="CX59" i="2"/>
  <c r="D60" i="2"/>
  <c r="E60" i="2"/>
  <c r="F60" i="2"/>
  <c r="G60" i="2"/>
  <c r="H60" i="2"/>
  <c r="I60" i="2"/>
  <c r="J60" i="2"/>
  <c r="K60" i="2"/>
  <c r="L60" i="2"/>
  <c r="M60" i="2"/>
  <c r="N60" i="2"/>
  <c r="O60" i="2"/>
  <c r="P60" i="2"/>
  <c r="Q60" i="2"/>
  <c r="R60" i="2"/>
  <c r="S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AJ60" i="2"/>
  <c r="AK60" i="2"/>
  <c r="AL60" i="2"/>
  <c r="AM60" i="2"/>
  <c r="AN60" i="2"/>
  <c r="AO60" i="2"/>
  <c r="AP60" i="2"/>
  <c r="AQ60" i="2"/>
  <c r="AR60" i="2"/>
  <c r="AS60" i="2"/>
  <c r="AT60" i="2"/>
  <c r="AU60" i="2"/>
  <c r="AV60" i="2"/>
  <c r="AW60" i="2"/>
  <c r="AX60" i="2"/>
  <c r="AY60" i="2"/>
  <c r="AZ60" i="2"/>
  <c r="BA60" i="2"/>
  <c r="BB60" i="2"/>
  <c r="BC60" i="2"/>
  <c r="BD60" i="2"/>
  <c r="BE60" i="2"/>
  <c r="BF60" i="2"/>
  <c r="BG60" i="2"/>
  <c r="BH60" i="2"/>
  <c r="BI60" i="2"/>
  <c r="BJ60" i="2"/>
  <c r="BK60" i="2"/>
  <c r="BL60" i="2"/>
  <c r="BM60" i="2"/>
  <c r="BN60" i="2"/>
  <c r="BO60" i="2"/>
  <c r="BP60" i="2"/>
  <c r="BQ60" i="2"/>
  <c r="BR60" i="2"/>
  <c r="BS60" i="2"/>
  <c r="BT60" i="2"/>
  <c r="BU60" i="2"/>
  <c r="BV60" i="2"/>
  <c r="BW60" i="2"/>
  <c r="BX60" i="2"/>
  <c r="BY60" i="2"/>
  <c r="BZ60" i="2"/>
  <c r="CA60" i="2"/>
  <c r="CB60" i="2"/>
  <c r="CC60" i="2"/>
  <c r="CD60" i="2"/>
  <c r="CE60" i="2"/>
  <c r="CF60" i="2"/>
  <c r="CG60" i="2"/>
  <c r="CH60" i="2"/>
  <c r="CI60" i="2"/>
  <c r="CJ60" i="2"/>
  <c r="CK60" i="2"/>
  <c r="CL60" i="2"/>
  <c r="CM60" i="2"/>
  <c r="CN60" i="2"/>
  <c r="CO60" i="2"/>
  <c r="CP60" i="2"/>
  <c r="CQ60" i="2"/>
  <c r="CR60" i="2"/>
  <c r="CS60" i="2"/>
  <c r="CT60" i="2"/>
  <c r="CU60" i="2"/>
  <c r="CV60" i="2"/>
  <c r="CW60" i="2"/>
  <c r="CX60" i="2"/>
  <c r="D61" i="2"/>
  <c r="E61" i="2"/>
  <c r="F61" i="2"/>
  <c r="G61" i="2"/>
  <c r="H61" i="2"/>
  <c r="I61" i="2"/>
  <c r="J61" i="2"/>
  <c r="K61" i="2"/>
  <c r="L61" i="2"/>
  <c r="M61" i="2"/>
  <c r="N61" i="2"/>
  <c r="O61" i="2"/>
  <c r="P61" i="2"/>
  <c r="Q61" i="2"/>
  <c r="R61" i="2"/>
  <c r="S61" i="2"/>
  <c r="T61" i="2"/>
  <c r="U61" i="2"/>
  <c r="V61" i="2"/>
  <c r="W61" i="2"/>
  <c r="X61" i="2"/>
  <c r="Y61" i="2"/>
  <c r="Z61" i="2"/>
  <c r="AA61" i="2"/>
  <c r="AB61" i="2"/>
  <c r="AC61" i="2"/>
  <c r="AD61" i="2"/>
  <c r="AE61" i="2"/>
  <c r="AF61" i="2"/>
  <c r="AG61" i="2"/>
  <c r="AH61" i="2"/>
  <c r="AI61" i="2"/>
  <c r="AJ61" i="2"/>
  <c r="AK61" i="2"/>
  <c r="AL61" i="2"/>
  <c r="AM61" i="2"/>
  <c r="AN61" i="2"/>
  <c r="AO61" i="2"/>
  <c r="AP61" i="2"/>
  <c r="AQ61" i="2"/>
  <c r="AR61" i="2"/>
  <c r="AS61" i="2"/>
  <c r="AT61" i="2"/>
  <c r="AU61" i="2"/>
  <c r="AV61" i="2"/>
  <c r="AW61" i="2"/>
  <c r="AX61" i="2"/>
  <c r="AY61" i="2"/>
  <c r="AZ61" i="2"/>
  <c r="BA61" i="2"/>
  <c r="BB61" i="2"/>
  <c r="BC61" i="2"/>
  <c r="BD61" i="2"/>
  <c r="BE61" i="2"/>
  <c r="BF61" i="2"/>
  <c r="BG61" i="2"/>
  <c r="BH61" i="2"/>
  <c r="BI61" i="2"/>
  <c r="BJ61" i="2"/>
  <c r="BK61" i="2"/>
  <c r="BL61" i="2"/>
  <c r="BM61" i="2"/>
  <c r="BN61" i="2"/>
  <c r="BO61" i="2"/>
  <c r="BP61" i="2"/>
  <c r="BQ61" i="2"/>
  <c r="BR61" i="2"/>
  <c r="BS61" i="2"/>
  <c r="BT61" i="2"/>
  <c r="BU61" i="2"/>
  <c r="BV61" i="2"/>
  <c r="BW61" i="2"/>
  <c r="BX61" i="2"/>
  <c r="BY61" i="2"/>
  <c r="BZ61" i="2"/>
  <c r="CA61" i="2"/>
  <c r="CB61" i="2"/>
  <c r="CC61" i="2"/>
  <c r="CD61" i="2"/>
  <c r="CE61" i="2"/>
  <c r="CF61" i="2"/>
  <c r="CG61" i="2"/>
  <c r="CH61" i="2"/>
  <c r="CI61" i="2"/>
  <c r="CJ61" i="2"/>
  <c r="CK61" i="2"/>
  <c r="CL61" i="2"/>
  <c r="CM61" i="2"/>
  <c r="CN61" i="2"/>
  <c r="CO61" i="2"/>
  <c r="CP61" i="2"/>
  <c r="CQ61" i="2"/>
  <c r="CR61" i="2"/>
  <c r="CS61" i="2"/>
  <c r="CT61" i="2"/>
  <c r="CU61" i="2"/>
  <c r="CV61" i="2"/>
  <c r="CW61" i="2"/>
  <c r="CX61" i="2"/>
  <c r="D62" i="2"/>
  <c r="E62" i="2"/>
  <c r="F62" i="2"/>
  <c r="G62" i="2"/>
  <c r="H62" i="2"/>
  <c r="I62" i="2"/>
  <c r="J62" i="2"/>
  <c r="K62" i="2"/>
  <c r="L62" i="2"/>
  <c r="M62" i="2"/>
  <c r="N62" i="2"/>
  <c r="O62" i="2"/>
  <c r="P62" i="2"/>
  <c r="Q62" i="2"/>
  <c r="R62" i="2"/>
  <c r="S62" i="2"/>
  <c r="T62" i="2"/>
  <c r="U62" i="2"/>
  <c r="V62" i="2"/>
  <c r="W62" i="2"/>
  <c r="X62" i="2"/>
  <c r="Y62" i="2"/>
  <c r="Z62" i="2"/>
  <c r="AA62" i="2"/>
  <c r="AB62" i="2"/>
  <c r="AC62" i="2"/>
  <c r="AD62" i="2"/>
  <c r="AE62" i="2"/>
  <c r="AF62" i="2"/>
  <c r="AG62" i="2"/>
  <c r="AH62" i="2"/>
  <c r="AI62" i="2"/>
  <c r="AJ62" i="2"/>
  <c r="AK62" i="2"/>
  <c r="AL62" i="2"/>
  <c r="AM62" i="2"/>
  <c r="AN62" i="2"/>
  <c r="AO62" i="2"/>
  <c r="AP62" i="2"/>
  <c r="AQ62" i="2"/>
  <c r="AR62" i="2"/>
  <c r="AS62" i="2"/>
  <c r="AT62" i="2"/>
  <c r="AU62" i="2"/>
  <c r="AV62" i="2"/>
  <c r="AW62" i="2"/>
  <c r="AX62" i="2"/>
  <c r="AY62" i="2"/>
  <c r="AZ62" i="2"/>
  <c r="BA62" i="2"/>
  <c r="BB62" i="2"/>
  <c r="BC62" i="2"/>
  <c r="BD62" i="2"/>
  <c r="BE62" i="2"/>
  <c r="BF62" i="2"/>
  <c r="BG62" i="2"/>
  <c r="BH62" i="2"/>
  <c r="BI62" i="2"/>
  <c r="BJ62" i="2"/>
  <c r="BK62" i="2"/>
  <c r="BL62" i="2"/>
  <c r="BM62" i="2"/>
  <c r="BN62" i="2"/>
  <c r="BO62" i="2"/>
  <c r="BP62" i="2"/>
  <c r="BQ62" i="2"/>
  <c r="BR62" i="2"/>
  <c r="BS62" i="2"/>
  <c r="BT62" i="2"/>
  <c r="BU62" i="2"/>
  <c r="BV62" i="2"/>
  <c r="BW62" i="2"/>
  <c r="BX62" i="2"/>
  <c r="BY62" i="2"/>
  <c r="BZ62" i="2"/>
  <c r="CA62" i="2"/>
  <c r="CB62" i="2"/>
  <c r="CC62" i="2"/>
  <c r="CD62" i="2"/>
  <c r="CE62" i="2"/>
  <c r="CF62" i="2"/>
  <c r="CG62" i="2"/>
  <c r="CH62" i="2"/>
  <c r="CI62" i="2"/>
  <c r="CJ62" i="2"/>
  <c r="CK62" i="2"/>
  <c r="CL62" i="2"/>
  <c r="CM62" i="2"/>
  <c r="CN62" i="2"/>
  <c r="CO62" i="2"/>
  <c r="CP62" i="2"/>
  <c r="CQ62" i="2"/>
  <c r="CR62" i="2"/>
  <c r="CS62" i="2"/>
  <c r="CT62" i="2"/>
  <c r="CU62" i="2"/>
  <c r="CV62" i="2"/>
  <c r="CW62" i="2"/>
  <c r="CX62" i="2"/>
  <c r="D63" i="2"/>
  <c r="E63" i="2"/>
  <c r="F63" i="2"/>
  <c r="G63" i="2"/>
  <c r="H63" i="2"/>
  <c r="I63" i="2"/>
  <c r="J63" i="2"/>
  <c r="K63" i="2"/>
  <c r="L63" i="2"/>
  <c r="M63" i="2"/>
  <c r="N63" i="2"/>
  <c r="O63" i="2"/>
  <c r="P63" i="2"/>
  <c r="Q63" i="2"/>
  <c r="R63" i="2"/>
  <c r="S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AJ63" i="2"/>
  <c r="AK63" i="2"/>
  <c r="AL63" i="2"/>
  <c r="AM63" i="2"/>
  <c r="AN63" i="2"/>
  <c r="AO63" i="2"/>
  <c r="AP63" i="2"/>
  <c r="AQ63" i="2"/>
  <c r="AR63" i="2"/>
  <c r="AS63" i="2"/>
  <c r="AT63" i="2"/>
  <c r="AU63" i="2"/>
  <c r="AV63" i="2"/>
  <c r="AW63" i="2"/>
  <c r="AX63" i="2"/>
  <c r="AY63" i="2"/>
  <c r="AZ63" i="2"/>
  <c r="BA63" i="2"/>
  <c r="BB63" i="2"/>
  <c r="BC63" i="2"/>
  <c r="BD63" i="2"/>
  <c r="BE63" i="2"/>
  <c r="BF63" i="2"/>
  <c r="BG63" i="2"/>
  <c r="BH63" i="2"/>
  <c r="BI63" i="2"/>
  <c r="BJ63" i="2"/>
  <c r="BK63" i="2"/>
  <c r="BL63" i="2"/>
  <c r="BM63" i="2"/>
  <c r="BN63" i="2"/>
  <c r="BO63" i="2"/>
  <c r="BP63" i="2"/>
  <c r="BQ63" i="2"/>
  <c r="BR63" i="2"/>
  <c r="BS63" i="2"/>
  <c r="BT63" i="2"/>
  <c r="BU63" i="2"/>
  <c r="BV63" i="2"/>
  <c r="BW63" i="2"/>
  <c r="BX63" i="2"/>
  <c r="BY63" i="2"/>
  <c r="BZ63" i="2"/>
  <c r="CA63" i="2"/>
  <c r="CB63" i="2"/>
  <c r="CC63" i="2"/>
  <c r="CD63" i="2"/>
  <c r="CE63" i="2"/>
  <c r="CF63" i="2"/>
  <c r="CG63" i="2"/>
  <c r="CH63" i="2"/>
  <c r="CI63" i="2"/>
  <c r="CJ63" i="2"/>
  <c r="CK63" i="2"/>
  <c r="CL63" i="2"/>
  <c r="CM63" i="2"/>
  <c r="CN63" i="2"/>
  <c r="CO63" i="2"/>
  <c r="CP63" i="2"/>
  <c r="CQ63" i="2"/>
  <c r="CR63" i="2"/>
  <c r="CS63" i="2"/>
  <c r="CT63" i="2"/>
  <c r="CU63" i="2"/>
  <c r="CV63" i="2"/>
  <c r="CW63" i="2"/>
  <c r="CX63" i="2"/>
  <c r="D64" i="2"/>
  <c r="E64" i="2"/>
  <c r="F64" i="2"/>
  <c r="G64" i="2"/>
  <c r="H64" i="2"/>
  <c r="I64" i="2"/>
  <c r="J64" i="2"/>
  <c r="K64" i="2"/>
  <c r="L64" i="2"/>
  <c r="M64" i="2"/>
  <c r="N64" i="2"/>
  <c r="O64" i="2"/>
  <c r="P64" i="2"/>
  <c r="Q64" i="2"/>
  <c r="R64" i="2"/>
  <c r="S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AJ64" i="2"/>
  <c r="AK64" i="2"/>
  <c r="AL64" i="2"/>
  <c r="AM64" i="2"/>
  <c r="AN64" i="2"/>
  <c r="AO64" i="2"/>
  <c r="AP64" i="2"/>
  <c r="AQ64" i="2"/>
  <c r="AR64" i="2"/>
  <c r="AS64" i="2"/>
  <c r="AT64" i="2"/>
  <c r="AU64" i="2"/>
  <c r="AV64" i="2"/>
  <c r="AW64" i="2"/>
  <c r="AX64" i="2"/>
  <c r="AY64" i="2"/>
  <c r="AZ64" i="2"/>
  <c r="BA64" i="2"/>
  <c r="BB64" i="2"/>
  <c r="BC64" i="2"/>
  <c r="BD64" i="2"/>
  <c r="BE64" i="2"/>
  <c r="BF64" i="2"/>
  <c r="BG64" i="2"/>
  <c r="BH64" i="2"/>
  <c r="BI64" i="2"/>
  <c r="BJ64" i="2"/>
  <c r="BK64" i="2"/>
  <c r="BL64" i="2"/>
  <c r="BM64" i="2"/>
  <c r="BN64" i="2"/>
  <c r="BO64" i="2"/>
  <c r="BP64" i="2"/>
  <c r="BQ64" i="2"/>
  <c r="BR64" i="2"/>
  <c r="BS64" i="2"/>
  <c r="BT64" i="2"/>
  <c r="BU64" i="2"/>
  <c r="BV64" i="2"/>
  <c r="BW64" i="2"/>
  <c r="BX64" i="2"/>
  <c r="BY64" i="2"/>
  <c r="BZ64" i="2"/>
  <c r="CA64" i="2"/>
  <c r="CB64" i="2"/>
  <c r="CC64" i="2"/>
  <c r="CD64" i="2"/>
  <c r="CE64" i="2"/>
  <c r="CF64" i="2"/>
  <c r="CG64" i="2"/>
  <c r="CH64" i="2"/>
  <c r="CI64" i="2"/>
  <c r="CJ64" i="2"/>
  <c r="CK64" i="2"/>
  <c r="CL64" i="2"/>
  <c r="CM64" i="2"/>
  <c r="CN64" i="2"/>
  <c r="CO64" i="2"/>
  <c r="CP64" i="2"/>
  <c r="CQ64" i="2"/>
  <c r="CR64" i="2"/>
  <c r="CS64" i="2"/>
  <c r="CT64" i="2"/>
  <c r="CU64" i="2"/>
  <c r="CV64" i="2"/>
  <c r="CW64" i="2"/>
  <c r="CX64" i="2"/>
  <c r="D65" i="2"/>
  <c r="E65" i="2"/>
  <c r="F65" i="2"/>
  <c r="G65" i="2"/>
  <c r="H65" i="2"/>
  <c r="I65" i="2"/>
  <c r="J65" i="2"/>
  <c r="K65" i="2"/>
  <c r="L65" i="2"/>
  <c r="M65" i="2"/>
  <c r="N65" i="2"/>
  <c r="O65" i="2"/>
  <c r="P65" i="2"/>
  <c r="Q65" i="2"/>
  <c r="R65" i="2"/>
  <c r="S65" i="2"/>
  <c r="T65" i="2"/>
  <c r="U65" i="2"/>
  <c r="V65" i="2"/>
  <c r="W65" i="2"/>
  <c r="X65" i="2"/>
  <c r="Y65" i="2"/>
  <c r="Z65" i="2"/>
  <c r="AA65" i="2"/>
  <c r="AB65" i="2"/>
  <c r="AC65" i="2"/>
  <c r="AD65" i="2"/>
  <c r="AE65" i="2"/>
  <c r="AF65" i="2"/>
  <c r="AG65" i="2"/>
  <c r="AH65" i="2"/>
  <c r="AI65" i="2"/>
  <c r="AJ65" i="2"/>
  <c r="AK65" i="2"/>
  <c r="AL65" i="2"/>
  <c r="AM65" i="2"/>
  <c r="AN65" i="2"/>
  <c r="AO65" i="2"/>
  <c r="AP65" i="2"/>
  <c r="AQ65" i="2"/>
  <c r="AR65" i="2"/>
  <c r="AS65" i="2"/>
  <c r="AT65" i="2"/>
  <c r="AU65" i="2"/>
  <c r="AV65" i="2"/>
  <c r="AW65" i="2"/>
  <c r="AX65" i="2"/>
  <c r="AY65" i="2"/>
  <c r="AZ65" i="2"/>
  <c r="BA65" i="2"/>
  <c r="BB65" i="2"/>
  <c r="BC65" i="2"/>
  <c r="BD65" i="2"/>
  <c r="BE65" i="2"/>
  <c r="BF65" i="2"/>
  <c r="BG65" i="2"/>
  <c r="BH65" i="2"/>
  <c r="BI65" i="2"/>
  <c r="BJ65" i="2"/>
  <c r="BK65" i="2"/>
  <c r="BL65" i="2"/>
  <c r="BM65" i="2"/>
  <c r="BN65" i="2"/>
  <c r="BO65" i="2"/>
  <c r="BP65" i="2"/>
  <c r="BQ65" i="2"/>
  <c r="BR65" i="2"/>
  <c r="BS65" i="2"/>
  <c r="BT65" i="2"/>
  <c r="BU65" i="2"/>
  <c r="BV65" i="2"/>
  <c r="BW65" i="2"/>
  <c r="BX65" i="2"/>
  <c r="BY65" i="2"/>
  <c r="BZ65" i="2"/>
  <c r="CA65" i="2"/>
  <c r="CB65" i="2"/>
  <c r="CC65" i="2"/>
  <c r="CD65" i="2"/>
  <c r="CE65" i="2"/>
  <c r="CF65" i="2"/>
  <c r="CG65" i="2"/>
  <c r="CH65" i="2"/>
  <c r="CI65" i="2"/>
  <c r="CJ65" i="2"/>
  <c r="CK65" i="2"/>
  <c r="CL65" i="2"/>
  <c r="CM65" i="2"/>
  <c r="CN65" i="2"/>
  <c r="CO65" i="2"/>
  <c r="CP65" i="2"/>
  <c r="CQ65" i="2"/>
  <c r="CR65" i="2"/>
  <c r="CS65" i="2"/>
  <c r="CT65" i="2"/>
  <c r="CU65" i="2"/>
  <c r="CV65" i="2"/>
  <c r="CW65" i="2"/>
  <c r="CX65" i="2"/>
  <c r="D66" i="2"/>
  <c r="E66" i="2"/>
  <c r="F66" i="2"/>
  <c r="G66" i="2"/>
  <c r="H66" i="2"/>
  <c r="I66" i="2"/>
  <c r="J66" i="2"/>
  <c r="K66" i="2"/>
  <c r="L66" i="2"/>
  <c r="M66" i="2"/>
  <c r="N66" i="2"/>
  <c r="O66" i="2"/>
  <c r="P66" i="2"/>
  <c r="Q66" i="2"/>
  <c r="R66" i="2"/>
  <c r="S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AJ66" i="2"/>
  <c r="AK66" i="2"/>
  <c r="AL66" i="2"/>
  <c r="AM66" i="2"/>
  <c r="AN66" i="2"/>
  <c r="AO66" i="2"/>
  <c r="AP66" i="2"/>
  <c r="AQ66" i="2"/>
  <c r="AR66" i="2"/>
  <c r="AS66" i="2"/>
  <c r="AT66" i="2"/>
  <c r="AU66" i="2"/>
  <c r="AV66" i="2"/>
  <c r="AW66" i="2"/>
  <c r="AX66" i="2"/>
  <c r="AY66" i="2"/>
  <c r="AZ66" i="2"/>
  <c r="BA66" i="2"/>
  <c r="BB66" i="2"/>
  <c r="BC66" i="2"/>
  <c r="BD66" i="2"/>
  <c r="BE66" i="2"/>
  <c r="BF66" i="2"/>
  <c r="BG66" i="2"/>
  <c r="BH66" i="2"/>
  <c r="BI66" i="2"/>
  <c r="BJ66" i="2"/>
  <c r="BK66" i="2"/>
  <c r="BL66" i="2"/>
  <c r="BM66" i="2"/>
  <c r="BN66" i="2"/>
  <c r="BO66" i="2"/>
  <c r="BP66" i="2"/>
  <c r="BQ66" i="2"/>
  <c r="BR66" i="2"/>
  <c r="BS66" i="2"/>
  <c r="BT66" i="2"/>
  <c r="BU66" i="2"/>
  <c r="BV66" i="2"/>
  <c r="BW66" i="2"/>
  <c r="BX66" i="2"/>
  <c r="BY66" i="2"/>
  <c r="BZ66" i="2"/>
  <c r="CA66" i="2"/>
  <c r="CB66" i="2"/>
  <c r="CC66" i="2"/>
  <c r="CD66" i="2"/>
  <c r="CE66" i="2"/>
  <c r="CF66" i="2"/>
  <c r="CG66" i="2"/>
  <c r="CH66" i="2"/>
  <c r="CI66" i="2"/>
  <c r="CJ66" i="2"/>
  <c r="CK66" i="2"/>
  <c r="CL66" i="2"/>
  <c r="CM66" i="2"/>
  <c r="CN66" i="2"/>
  <c r="CO66" i="2"/>
  <c r="CP66" i="2"/>
  <c r="CQ66" i="2"/>
  <c r="CR66" i="2"/>
  <c r="CS66" i="2"/>
  <c r="CT66" i="2"/>
  <c r="CU66" i="2"/>
  <c r="CV66" i="2"/>
  <c r="CW66" i="2"/>
  <c r="CX66" i="2"/>
  <c r="D67" i="2"/>
  <c r="E67" i="2"/>
  <c r="F67" i="2"/>
  <c r="G67" i="2"/>
  <c r="H67" i="2"/>
  <c r="I67" i="2"/>
  <c r="J67" i="2"/>
  <c r="K67" i="2"/>
  <c r="L67" i="2"/>
  <c r="M67" i="2"/>
  <c r="N67" i="2"/>
  <c r="O67" i="2"/>
  <c r="P67" i="2"/>
  <c r="Q67" i="2"/>
  <c r="R67" i="2"/>
  <c r="S67" i="2"/>
  <c r="T67" i="2"/>
  <c r="U67" i="2"/>
  <c r="V67" i="2"/>
  <c r="W67" i="2"/>
  <c r="X67" i="2"/>
  <c r="Y67" i="2"/>
  <c r="Z67" i="2"/>
  <c r="AA67" i="2"/>
  <c r="AB67" i="2"/>
  <c r="AC67" i="2"/>
  <c r="AD67" i="2"/>
  <c r="AE67" i="2"/>
  <c r="AF67" i="2"/>
  <c r="AG67" i="2"/>
  <c r="AH67" i="2"/>
  <c r="AI67" i="2"/>
  <c r="AJ67" i="2"/>
  <c r="AK67" i="2"/>
  <c r="AL67" i="2"/>
  <c r="AM67" i="2"/>
  <c r="AN67" i="2"/>
  <c r="AO67" i="2"/>
  <c r="AP67" i="2"/>
  <c r="AQ67" i="2"/>
  <c r="AR67" i="2"/>
  <c r="AS67" i="2"/>
  <c r="AT67" i="2"/>
  <c r="AU67" i="2"/>
  <c r="AV67" i="2"/>
  <c r="AW67" i="2"/>
  <c r="AX67" i="2"/>
  <c r="AY67" i="2"/>
  <c r="AZ67" i="2"/>
  <c r="BA67" i="2"/>
  <c r="BB67" i="2"/>
  <c r="BC67" i="2"/>
  <c r="BD67" i="2"/>
  <c r="BE67" i="2"/>
  <c r="BF67" i="2"/>
  <c r="BG67" i="2"/>
  <c r="BH67" i="2"/>
  <c r="BI67" i="2"/>
  <c r="BJ67" i="2"/>
  <c r="BK67" i="2"/>
  <c r="BL67" i="2"/>
  <c r="BM67" i="2"/>
  <c r="BN67" i="2"/>
  <c r="BO67" i="2"/>
  <c r="BP67" i="2"/>
  <c r="BQ67" i="2"/>
  <c r="BR67" i="2"/>
  <c r="BS67" i="2"/>
  <c r="BT67" i="2"/>
  <c r="BU67" i="2"/>
  <c r="BV67" i="2"/>
  <c r="BW67" i="2"/>
  <c r="BX67" i="2"/>
  <c r="BY67" i="2"/>
  <c r="BZ67" i="2"/>
  <c r="CA67" i="2"/>
  <c r="CB67" i="2"/>
  <c r="CC67" i="2"/>
  <c r="CD67" i="2"/>
  <c r="CE67" i="2"/>
  <c r="CF67" i="2"/>
  <c r="CG67" i="2"/>
  <c r="CH67" i="2"/>
  <c r="CI67" i="2"/>
  <c r="CJ67" i="2"/>
  <c r="CK67" i="2"/>
  <c r="CL67" i="2"/>
  <c r="CM67" i="2"/>
  <c r="CN67" i="2"/>
  <c r="CO67" i="2"/>
  <c r="CP67" i="2"/>
  <c r="CQ67" i="2"/>
  <c r="CR67" i="2"/>
  <c r="CS67" i="2"/>
  <c r="CT67" i="2"/>
  <c r="CU67" i="2"/>
  <c r="CV67" i="2"/>
  <c r="CW67" i="2"/>
  <c r="CX67" i="2"/>
  <c r="D68" i="2"/>
  <c r="E68" i="2"/>
  <c r="F68" i="2"/>
  <c r="G68" i="2"/>
  <c r="H68" i="2"/>
  <c r="I68" i="2"/>
  <c r="J68" i="2"/>
  <c r="K68" i="2"/>
  <c r="L68" i="2"/>
  <c r="M68" i="2"/>
  <c r="N68" i="2"/>
  <c r="O68" i="2"/>
  <c r="P68" i="2"/>
  <c r="Q68" i="2"/>
  <c r="R68" i="2"/>
  <c r="S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AJ68" i="2"/>
  <c r="AK68" i="2"/>
  <c r="AL68" i="2"/>
  <c r="AM68" i="2"/>
  <c r="AN68" i="2"/>
  <c r="AO68" i="2"/>
  <c r="AP68" i="2"/>
  <c r="AQ68" i="2"/>
  <c r="AR68" i="2"/>
  <c r="AS68" i="2"/>
  <c r="AT68" i="2"/>
  <c r="AU68" i="2"/>
  <c r="AV68" i="2"/>
  <c r="AW68" i="2"/>
  <c r="AX68" i="2"/>
  <c r="AY68" i="2"/>
  <c r="AZ68" i="2"/>
  <c r="BA68" i="2"/>
  <c r="BB68" i="2"/>
  <c r="BC68" i="2"/>
  <c r="BD68" i="2"/>
  <c r="BE68" i="2"/>
  <c r="BF68" i="2"/>
  <c r="BG68" i="2"/>
  <c r="BH68" i="2"/>
  <c r="BI68" i="2"/>
  <c r="BJ68" i="2"/>
  <c r="BK68" i="2"/>
  <c r="BL68" i="2"/>
  <c r="BM68" i="2"/>
  <c r="BN68" i="2"/>
  <c r="BO68" i="2"/>
  <c r="BP68" i="2"/>
  <c r="BQ68" i="2"/>
  <c r="BR68" i="2"/>
  <c r="BS68" i="2"/>
  <c r="BT68" i="2"/>
  <c r="BU68" i="2"/>
  <c r="BV68" i="2"/>
  <c r="BW68" i="2"/>
  <c r="BX68" i="2"/>
  <c r="BY68" i="2"/>
  <c r="BZ68" i="2"/>
  <c r="CA68" i="2"/>
  <c r="CB68" i="2"/>
  <c r="CC68" i="2"/>
  <c r="CD68" i="2"/>
  <c r="CE68" i="2"/>
  <c r="CF68" i="2"/>
  <c r="CG68" i="2"/>
  <c r="CH68" i="2"/>
  <c r="CI68" i="2"/>
  <c r="CJ68" i="2"/>
  <c r="CK68" i="2"/>
  <c r="CL68" i="2"/>
  <c r="CM68" i="2"/>
  <c r="CN68" i="2"/>
  <c r="CO68" i="2"/>
  <c r="CP68" i="2"/>
  <c r="CQ68" i="2"/>
  <c r="CR68" i="2"/>
  <c r="CS68" i="2"/>
  <c r="CT68" i="2"/>
  <c r="CU68" i="2"/>
  <c r="CV68" i="2"/>
  <c r="CW68" i="2"/>
  <c r="CX68" i="2"/>
  <c r="D69" i="2"/>
  <c r="E69" i="2"/>
  <c r="F69" i="2"/>
  <c r="G69" i="2"/>
  <c r="H69" i="2"/>
  <c r="I69" i="2"/>
  <c r="J69" i="2"/>
  <c r="K69" i="2"/>
  <c r="L69" i="2"/>
  <c r="M69" i="2"/>
  <c r="N69" i="2"/>
  <c r="O69" i="2"/>
  <c r="P69" i="2"/>
  <c r="Q69" i="2"/>
  <c r="R69" i="2"/>
  <c r="S69" i="2"/>
  <c r="T69" i="2"/>
  <c r="U69" i="2"/>
  <c r="V69" i="2"/>
  <c r="W69" i="2"/>
  <c r="X69" i="2"/>
  <c r="Y69" i="2"/>
  <c r="Z69" i="2"/>
  <c r="AA69" i="2"/>
  <c r="AB69" i="2"/>
  <c r="AC69" i="2"/>
  <c r="AD69" i="2"/>
  <c r="AE69" i="2"/>
  <c r="AF69" i="2"/>
  <c r="AG69" i="2"/>
  <c r="AH69" i="2"/>
  <c r="AI69" i="2"/>
  <c r="AJ69" i="2"/>
  <c r="AK69" i="2"/>
  <c r="AL69" i="2"/>
  <c r="AM69" i="2"/>
  <c r="AN69" i="2"/>
  <c r="AO69" i="2"/>
  <c r="AP69" i="2"/>
  <c r="AQ69" i="2"/>
  <c r="AR69" i="2"/>
  <c r="AS69" i="2"/>
  <c r="AT69" i="2"/>
  <c r="AU69" i="2"/>
  <c r="AV69" i="2"/>
  <c r="AW69" i="2"/>
  <c r="AX69" i="2"/>
  <c r="AY69" i="2"/>
  <c r="AZ69" i="2"/>
  <c r="BA69" i="2"/>
  <c r="BB69" i="2"/>
  <c r="BC69" i="2"/>
  <c r="BD69" i="2"/>
  <c r="BE69" i="2"/>
  <c r="BF69" i="2"/>
  <c r="BG69" i="2"/>
  <c r="BH69" i="2"/>
  <c r="BI69" i="2"/>
  <c r="BJ69" i="2"/>
  <c r="BK69" i="2"/>
  <c r="BL69" i="2"/>
  <c r="BM69" i="2"/>
  <c r="BN69" i="2"/>
  <c r="BO69" i="2"/>
  <c r="BP69" i="2"/>
  <c r="BQ69" i="2"/>
  <c r="BR69" i="2"/>
  <c r="BS69" i="2"/>
  <c r="BT69" i="2"/>
  <c r="BU69" i="2"/>
  <c r="BV69" i="2"/>
  <c r="BW69" i="2"/>
  <c r="BX69" i="2"/>
  <c r="BY69" i="2"/>
  <c r="BZ69" i="2"/>
  <c r="CA69" i="2"/>
  <c r="CB69" i="2"/>
  <c r="CC69" i="2"/>
  <c r="CD69" i="2"/>
  <c r="CE69" i="2"/>
  <c r="CF69" i="2"/>
  <c r="CG69" i="2"/>
  <c r="CH69" i="2"/>
  <c r="CI69" i="2"/>
  <c r="CJ69" i="2"/>
  <c r="CK69" i="2"/>
  <c r="CL69" i="2"/>
  <c r="CM69" i="2"/>
  <c r="CN69" i="2"/>
  <c r="CO69" i="2"/>
  <c r="CP69" i="2"/>
  <c r="CQ69" i="2"/>
  <c r="CR69" i="2"/>
  <c r="CS69" i="2"/>
  <c r="CT69" i="2"/>
  <c r="CU69" i="2"/>
  <c r="CV69" i="2"/>
  <c r="CW69" i="2"/>
  <c r="CX69" i="2"/>
  <c r="D70" i="2"/>
  <c r="E70" i="2"/>
  <c r="F70" i="2"/>
  <c r="G70" i="2"/>
  <c r="H70" i="2"/>
  <c r="I70" i="2"/>
  <c r="J70" i="2"/>
  <c r="K70" i="2"/>
  <c r="L70" i="2"/>
  <c r="M70" i="2"/>
  <c r="N70" i="2"/>
  <c r="O70" i="2"/>
  <c r="P70" i="2"/>
  <c r="Q70" i="2"/>
  <c r="R70" i="2"/>
  <c r="S70" i="2"/>
  <c r="T70" i="2"/>
  <c r="U70" i="2"/>
  <c r="V70" i="2"/>
  <c r="W70" i="2"/>
  <c r="X70" i="2"/>
  <c r="Y70" i="2"/>
  <c r="Z70" i="2"/>
  <c r="AA70" i="2"/>
  <c r="AB70" i="2"/>
  <c r="AC70" i="2"/>
  <c r="AD70" i="2"/>
  <c r="AE70" i="2"/>
  <c r="AF70" i="2"/>
  <c r="AG70" i="2"/>
  <c r="AH70" i="2"/>
  <c r="AI70" i="2"/>
  <c r="AJ70" i="2"/>
  <c r="AK70" i="2"/>
  <c r="AL70" i="2"/>
  <c r="AM70" i="2"/>
  <c r="AN70" i="2"/>
  <c r="AO70" i="2"/>
  <c r="AP70" i="2"/>
  <c r="AQ70" i="2"/>
  <c r="AR70" i="2"/>
  <c r="AS70" i="2"/>
  <c r="AT70" i="2"/>
  <c r="AU70" i="2"/>
  <c r="AV70" i="2"/>
  <c r="AW70" i="2"/>
  <c r="AX70" i="2"/>
  <c r="AY70" i="2"/>
  <c r="AZ70" i="2"/>
  <c r="BA70" i="2"/>
  <c r="BB70" i="2"/>
  <c r="BC70" i="2"/>
  <c r="BD70" i="2"/>
  <c r="BE70" i="2"/>
  <c r="BF70" i="2"/>
  <c r="BG70" i="2"/>
  <c r="BH70" i="2"/>
  <c r="BI70" i="2"/>
  <c r="BJ70" i="2"/>
  <c r="BK70" i="2"/>
  <c r="BL70" i="2"/>
  <c r="BM70" i="2"/>
  <c r="BN70" i="2"/>
  <c r="BO70" i="2"/>
  <c r="BP70" i="2"/>
  <c r="BQ70" i="2"/>
  <c r="BR70" i="2"/>
  <c r="BS70" i="2"/>
  <c r="BT70" i="2"/>
  <c r="BU70" i="2"/>
  <c r="BV70" i="2"/>
  <c r="BW70" i="2"/>
  <c r="BX70" i="2"/>
  <c r="BY70" i="2"/>
  <c r="BZ70" i="2"/>
  <c r="CA70" i="2"/>
  <c r="CB70" i="2"/>
  <c r="CC70" i="2"/>
  <c r="CD70" i="2"/>
  <c r="CE70" i="2"/>
  <c r="CF70" i="2"/>
  <c r="CG70" i="2"/>
  <c r="CH70" i="2"/>
  <c r="CI70" i="2"/>
  <c r="CJ70" i="2"/>
  <c r="CK70" i="2"/>
  <c r="CL70" i="2"/>
  <c r="CM70" i="2"/>
  <c r="CN70" i="2"/>
  <c r="CO70" i="2"/>
  <c r="CP70" i="2"/>
  <c r="CQ70" i="2"/>
  <c r="CR70" i="2"/>
  <c r="CS70" i="2"/>
  <c r="CT70" i="2"/>
  <c r="CU70" i="2"/>
  <c r="CV70" i="2"/>
  <c r="CW70" i="2"/>
  <c r="CX70" i="2"/>
  <c r="D71" i="2"/>
  <c r="E71" i="2"/>
  <c r="F71" i="2"/>
  <c r="G71" i="2"/>
  <c r="H71" i="2"/>
  <c r="I71" i="2"/>
  <c r="J71" i="2"/>
  <c r="K71" i="2"/>
  <c r="L71" i="2"/>
  <c r="M71" i="2"/>
  <c r="N71" i="2"/>
  <c r="O71" i="2"/>
  <c r="P71" i="2"/>
  <c r="Q71" i="2"/>
  <c r="R71" i="2"/>
  <c r="S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AJ71" i="2"/>
  <c r="AK71" i="2"/>
  <c r="AL71" i="2"/>
  <c r="AM71" i="2"/>
  <c r="AN71" i="2"/>
  <c r="AO71" i="2"/>
  <c r="AP71" i="2"/>
  <c r="AQ71" i="2"/>
  <c r="AR71" i="2"/>
  <c r="AS71" i="2"/>
  <c r="AT71" i="2"/>
  <c r="AU71" i="2"/>
  <c r="AV71" i="2"/>
  <c r="AW71" i="2"/>
  <c r="AX71" i="2"/>
  <c r="AY71" i="2"/>
  <c r="AZ71" i="2"/>
  <c r="BA71" i="2"/>
  <c r="BB71" i="2"/>
  <c r="BC71" i="2"/>
  <c r="BD71" i="2"/>
  <c r="BE71" i="2"/>
  <c r="BF71" i="2"/>
  <c r="BG71" i="2"/>
  <c r="BH71" i="2"/>
  <c r="BI71" i="2"/>
  <c r="BJ71" i="2"/>
  <c r="BK71" i="2"/>
  <c r="BL71" i="2"/>
  <c r="BM71" i="2"/>
  <c r="BN71" i="2"/>
  <c r="BO71" i="2"/>
  <c r="BP71" i="2"/>
  <c r="BQ71" i="2"/>
  <c r="BR71" i="2"/>
  <c r="BS71" i="2"/>
  <c r="BT71" i="2"/>
  <c r="BU71" i="2"/>
  <c r="BV71" i="2"/>
  <c r="BW71" i="2"/>
  <c r="BX71" i="2"/>
  <c r="BY71" i="2"/>
  <c r="BZ71" i="2"/>
  <c r="CA71" i="2"/>
  <c r="CB71" i="2"/>
  <c r="CC71" i="2"/>
  <c r="CD71" i="2"/>
  <c r="CE71" i="2"/>
  <c r="CF71" i="2"/>
  <c r="CG71" i="2"/>
  <c r="CH71" i="2"/>
  <c r="CI71" i="2"/>
  <c r="CJ71" i="2"/>
  <c r="CK71" i="2"/>
  <c r="CL71" i="2"/>
  <c r="CM71" i="2"/>
  <c r="CN71" i="2"/>
  <c r="CO71" i="2"/>
  <c r="CP71" i="2"/>
  <c r="CQ71" i="2"/>
  <c r="CR71" i="2"/>
  <c r="CS71" i="2"/>
  <c r="CT71" i="2"/>
  <c r="CU71" i="2"/>
  <c r="CV71" i="2"/>
  <c r="CW71" i="2"/>
  <c r="CX71" i="2"/>
  <c r="D72" i="2"/>
  <c r="E72" i="2"/>
  <c r="F72" i="2"/>
  <c r="G72" i="2"/>
  <c r="H72" i="2"/>
  <c r="I72" i="2"/>
  <c r="J72" i="2"/>
  <c r="K72" i="2"/>
  <c r="L72" i="2"/>
  <c r="M72" i="2"/>
  <c r="N72" i="2"/>
  <c r="O72" i="2"/>
  <c r="P72" i="2"/>
  <c r="Q72" i="2"/>
  <c r="R72" i="2"/>
  <c r="S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AJ72" i="2"/>
  <c r="AK72" i="2"/>
  <c r="AL72" i="2"/>
  <c r="AM72" i="2"/>
  <c r="AN72" i="2"/>
  <c r="AO72" i="2"/>
  <c r="AP72" i="2"/>
  <c r="AQ72" i="2"/>
  <c r="AR72" i="2"/>
  <c r="AS72" i="2"/>
  <c r="AT72" i="2"/>
  <c r="AU72" i="2"/>
  <c r="AV72" i="2"/>
  <c r="AW72" i="2"/>
  <c r="AX72" i="2"/>
  <c r="AY72" i="2"/>
  <c r="AZ72" i="2"/>
  <c r="BA72" i="2"/>
  <c r="BB72" i="2"/>
  <c r="BC72" i="2"/>
  <c r="BD72" i="2"/>
  <c r="BE72" i="2"/>
  <c r="BF72" i="2"/>
  <c r="BG72" i="2"/>
  <c r="BH72" i="2"/>
  <c r="BI72" i="2"/>
  <c r="BJ72" i="2"/>
  <c r="BK72" i="2"/>
  <c r="BL72" i="2"/>
  <c r="BM72" i="2"/>
  <c r="BN72" i="2"/>
  <c r="BO72" i="2"/>
  <c r="BP72" i="2"/>
  <c r="BQ72" i="2"/>
  <c r="BR72" i="2"/>
  <c r="BS72" i="2"/>
  <c r="BT72" i="2"/>
  <c r="BU72" i="2"/>
  <c r="BV72" i="2"/>
  <c r="BW72" i="2"/>
  <c r="BX72" i="2"/>
  <c r="BY72" i="2"/>
  <c r="BZ72" i="2"/>
  <c r="CA72" i="2"/>
  <c r="CB72" i="2"/>
  <c r="CC72" i="2"/>
  <c r="CD72" i="2"/>
  <c r="CE72" i="2"/>
  <c r="CF72" i="2"/>
  <c r="CG72" i="2"/>
  <c r="CH72" i="2"/>
  <c r="CI72" i="2"/>
  <c r="CJ72" i="2"/>
  <c r="CK72" i="2"/>
  <c r="CL72" i="2"/>
  <c r="CM72" i="2"/>
  <c r="CN72" i="2"/>
  <c r="CO72" i="2"/>
  <c r="CP72" i="2"/>
  <c r="CQ72" i="2"/>
  <c r="CR72" i="2"/>
  <c r="CS72" i="2"/>
  <c r="CT72" i="2"/>
  <c r="CU72" i="2"/>
  <c r="CV72" i="2"/>
  <c r="CW72" i="2"/>
  <c r="CX72" i="2"/>
  <c r="D73" i="2"/>
  <c r="E73" i="2"/>
  <c r="F73" i="2"/>
  <c r="G73" i="2"/>
  <c r="H73" i="2"/>
  <c r="I73" i="2"/>
  <c r="J73" i="2"/>
  <c r="K73" i="2"/>
  <c r="L73" i="2"/>
  <c r="M73" i="2"/>
  <c r="N73" i="2"/>
  <c r="O73" i="2"/>
  <c r="P73" i="2"/>
  <c r="Q73" i="2"/>
  <c r="R73" i="2"/>
  <c r="S73" i="2"/>
  <c r="T73" i="2"/>
  <c r="U73" i="2"/>
  <c r="V73" i="2"/>
  <c r="W73" i="2"/>
  <c r="X73" i="2"/>
  <c r="Y73" i="2"/>
  <c r="Z73" i="2"/>
  <c r="AA73" i="2"/>
  <c r="AB73" i="2"/>
  <c r="AC73" i="2"/>
  <c r="AD73" i="2"/>
  <c r="AE73" i="2"/>
  <c r="AF73" i="2"/>
  <c r="AG73" i="2"/>
  <c r="AH73" i="2"/>
  <c r="AI73" i="2"/>
  <c r="AJ73" i="2"/>
  <c r="AK73" i="2"/>
  <c r="AL73" i="2"/>
  <c r="AM73" i="2"/>
  <c r="AN73" i="2"/>
  <c r="AO73" i="2"/>
  <c r="AP73" i="2"/>
  <c r="AQ73" i="2"/>
  <c r="AR73" i="2"/>
  <c r="AS73" i="2"/>
  <c r="AT73" i="2"/>
  <c r="AU73" i="2"/>
  <c r="AV73" i="2"/>
  <c r="AW73" i="2"/>
  <c r="AX73" i="2"/>
  <c r="AY73" i="2"/>
  <c r="AZ73" i="2"/>
  <c r="BA73" i="2"/>
  <c r="BB73" i="2"/>
  <c r="BC73" i="2"/>
  <c r="BD73" i="2"/>
  <c r="BE73" i="2"/>
  <c r="BF73" i="2"/>
  <c r="BG73" i="2"/>
  <c r="BH73" i="2"/>
  <c r="BI73" i="2"/>
  <c r="BJ73" i="2"/>
  <c r="BK73" i="2"/>
  <c r="BL73" i="2"/>
  <c r="BM73" i="2"/>
  <c r="BN73" i="2"/>
  <c r="BO73" i="2"/>
  <c r="BP73" i="2"/>
  <c r="BQ73" i="2"/>
  <c r="BR73" i="2"/>
  <c r="BS73" i="2"/>
  <c r="BT73" i="2"/>
  <c r="BU73" i="2"/>
  <c r="BV73" i="2"/>
  <c r="BW73" i="2"/>
  <c r="BX73" i="2"/>
  <c r="BY73" i="2"/>
  <c r="BZ73" i="2"/>
  <c r="CA73" i="2"/>
  <c r="CB73" i="2"/>
  <c r="CC73" i="2"/>
  <c r="CD73" i="2"/>
  <c r="CE73" i="2"/>
  <c r="CF73" i="2"/>
  <c r="CG73" i="2"/>
  <c r="CH73" i="2"/>
  <c r="CI73" i="2"/>
  <c r="CJ73" i="2"/>
  <c r="CK73" i="2"/>
  <c r="CL73" i="2"/>
  <c r="CM73" i="2"/>
  <c r="CN73" i="2"/>
  <c r="CO73" i="2"/>
  <c r="CP73" i="2"/>
  <c r="CQ73" i="2"/>
  <c r="CR73" i="2"/>
  <c r="CS73" i="2"/>
  <c r="CT73" i="2"/>
  <c r="CU73" i="2"/>
  <c r="CV73" i="2"/>
  <c r="CW73" i="2"/>
  <c r="CX73" i="2"/>
  <c r="D74" i="2"/>
  <c r="E74" i="2"/>
  <c r="F74" i="2"/>
  <c r="G74" i="2"/>
  <c r="H74" i="2"/>
  <c r="I74" i="2"/>
  <c r="J74" i="2"/>
  <c r="K74" i="2"/>
  <c r="L74" i="2"/>
  <c r="M74" i="2"/>
  <c r="N74" i="2"/>
  <c r="O74" i="2"/>
  <c r="P74" i="2"/>
  <c r="Q74" i="2"/>
  <c r="R74" i="2"/>
  <c r="S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AJ74" i="2"/>
  <c r="AK74" i="2"/>
  <c r="AL74" i="2"/>
  <c r="AM74" i="2"/>
  <c r="AN74" i="2"/>
  <c r="AO74" i="2"/>
  <c r="AP74" i="2"/>
  <c r="AQ74" i="2"/>
  <c r="AR74" i="2"/>
  <c r="AS74" i="2"/>
  <c r="AT74" i="2"/>
  <c r="AU74" i="2"/>
  <c r="AV74" i="2"/>
  <c r="AW74" i="2"/>
  <c r="AX74" i="2"/>
  <c r="AY74" i="2"/>
  <c r="AZ74" i="2"/>
  <c r="BA74" i="2"/>
  <c r="BB74" i="2"/>
  <c r="BC74" i="2"/>
  <c r="BD74" i="2"/>
  <c r="BE74" i="2"/>
  <c r="BF74" i="2"/>
  <c r="BG74" i="2"/>
  <c r="BH74" i="2"/>
  <c r="BI74" i="2"/>
  <c r="BJ74" i="2"/>
  <c r="BK74" i="2"/>
  <c r="BL74" i="2"/>
  <c r="BM74" i="2"/>
  <c r="BN74" i="2"/>
  <c r="BO74" i="2"/>
  <c r="BP74" i="2"/>
  <c r="BQ74" i="2"/>
  <c r="BR74" i="2"/>
  <c r="BS74" i="2"/>
  <c r="BT74" i="2"/>
  <c r="BU74" i="2"/>
  <c r="BV74" i="2"/>
  <c r="BW74" i="2"/>
  <c r="BX74" i="2"/>
  <c r="BY74" i="2"/>
  <c r="BZ74" i="2"/>
  <c r="CA74" i="2"/>
  <c r="CB74" i="2"/>
  <c r="CC74" i="2"/>
  <c r="CD74" i="2"/>
  <c r="CE74" i="2"/>
  <c r="CF74" i="2"/>
  <c r="CG74" i="2"/>
  <c r="CH74" i="2"/>
  <c r="CI74" i="2"/>
  <c r="CJ74" i="2"/>
  <c r="CK74" i="2"/>
  <c r="CL74" i="2"/>
  <c r="CM74" i="2"/>
  <c r="CN74" i="2"/>
  <c r="CO74" i="2"/>
  <c r="CP74" i="2"/>
  <c r="CQ74" i="2"/>
  <c r="CR74" i="2"/>
  <c r="CS74" i="2"/>
  <c r="CT74" i="2"/>
  <c r="CU74" i="2"/>
  <c r="CV74" i="2"/>
  <c r="CW74" i="2"/>
  <c r="CX74" i="2"/>
  <c r="D75" i="2"/>
  <c r="E75" i="2"/>
  <c r="F75" i="2"/>
  <c r="G75" i="2"/>
  <c r="H75" i="2"/>
  <c r="I75" i="2"/>
  <c r="J75" i="2"/>
  <c r="K75" i="2"/>
  <c r="L75" i="2"/>
  <c r="M75" i="2"/>
  <c r="N75" i="2"/>
  <c r="O75" i="2"/>
  <c r="P75" i="2"/>
  <c r="Q75" i="2"/>
  <c r="R75" i="2"/>
  <c r="S75" i="2"/>
  <c r="T75" i="2"/>
  <c r="U75" i="2"/>
  <c r="V75" i="2"/>
  <c r="W75" i="2"/>
  <c r="X75" i="2"/>
  <c r="Y75" i="2"/>
  <c r="Z75" i="2"/>
  <c r="AA75" i="2"/>
  <c r="AB75" i="2"/>
  <c r="AC75" i="2"/>
  <c r="AD75" i="2"/>
  <c r="AE75" i="2"/>
  <c r="AF75" i="2"/>
  <c r="AG75" i="2"/>
  <c r="AH75" i="2"/>
  <c r="AI75" i="2"/>
  <c r="AJ75" i="2"/>
  <c r="AK75" i="2"/>
  <c r="AL75" i="2"/>
  <c r="AM75" i="2"/>
  <c r="AN75" i="2"/>
  <c r="AO75" i="2"/>
  <c r="AP75" i="2"/>
  <c r="AQ75" i="2"/>
  <c r="AR75" i="2"/>
  <c r="AS75" i="2"/>
  <c r="AT75" i="2"/>
  <c r="AU75" i="2"/>
  <c r="AV75" i="2"/>
  <c r="AW75" i="2"/>
  <c r="AX75" i="2"/>
  <c r="AY75" i="2"/>
  <c r="AZ75" i="2"/>
  <c r="BA75" i="2"/>
  <c r="BB75" i="2"/>
  <c r="BC75" i="2"/>
  <c r="BD75" i="2"/>
  <c r="BE75" i="2"/>
  <c r="BF75" i="2"/>
  <c r="BG75" i="2"/>
  <c r="BH75" i="2"/>
  <c r="BI75" i="2"/>
  <c r="BJ75" i="2"/>
  <c r="BK75" i="2"/>
  <c r="BL75" i="2"/>
  <c r="BM75" i="2"/>
  <c r="BN75" i="2"/>
  <c r="BO75" i="2"/>
  <c r="BP75" i="2"/>
  <c r="BQ75" i="2"/>
  <c r="BR75" i="2"/>
  <c r="BS75" i="2"/>
  <c r="BT75" i="2"/>
  <c r="BU75" i="2"/>
  <c r="BV75" i="2"/>
  <c r="BW75" i="2"/>
  <c r="BX75" i="2"/>
  <c r="BY75" i="2"/>
  <c r="BZ75" i="2"/>
  <c r="CA75" i="2"/>
  <c r="CB75" i="2"/>
  <c r="CC75" i="2"/>
  <c r="CD75" i="2"/>
  <c r="CE75" i="2"/>
  <c r="CF75" i="2"/>
  <c r="CG75" i="2"/>
  <c r="CH75" i="2"/>
  <c r="CI75" i="2"/>
  <c r="CJ75" i="2"/>
  <c r="CK75" i="2"/>
  <c r="CL75" i="2"/>
  <c r="CM75" i="2"/>
  <c r="CN75" i="2"/>
  <c r="CO75" i="2"/>
  <c r="CP75" i="2"/>
  <c r="CQ75" i="2"/>
  <c r="CR75" i="2"/>
  <c r="CS75" i="2"/>
  <c r="CT75" i="2"/>
  <c r="CU75" i="2"/>
  <c r="CV75" i="2"/>
  <c r="CW75" i="2"/>
  <c r="CX75" i="2"/>
  <c r="D76" i="2"/>
  <c r="E76" i="2"/>
  <c r="F76" i="2"/>
  <c r="G76" i="2"/>
  <c r="H76" i="2"/>
  <c r="I76" i="2"/>
  <c r="J76" i="2"/>
  <c r="K76" i="2"/>
  <c r="L76" i="2"/>
  <c r="M76" i="2"/>
  <c r="N76" i="2"/>
  <c r="O76" i="2"/>
  <c r="P76" i="2"/>
  <c r="Q76" i="2"/>
  <c r="R76" i="2"/>
  <c r="S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AJ76" i="2"/>
  <c r="AK76" i="2"/>
  <c r="AL76" i="2"/>
  <c r="AM76" i="2"/>
  <c r="AN76" i="2"/>
  <c r="AO76" i="2"/>
  <c r="AP76" i="2"/>
  <c r="AQ76" i="2"/>
  <c r="AR76" i="2"/>
  <c r="AS76" i="2"/>
  <c r="AT76" i="2"/>
  <c r="AU76" i="2"/>
  <c r="AV76" i="2"/>
  <c r="AW76" i="2"/>
  <c r="AX76" i="2"/>
  <c r="AY76" i="2"/>
  <c r="AZ76" i="2"/>
  <c r="BA76" i="2"/>
  <c r="BB76" i="2"/>
  <c r="BC76" i="2"/>
  <c r="BD76" i="2"/>
  <c r="BE76" i="2"/>
  <c r="BF76" i="2"/>
  <c r="BG76" i="2"/>
  <c r="BH76" i="2"/>
  <c r="BI76" i="2"/>
  <c r="BJ76" i="2"/>
  <c r="BK76" i="2"/>
  <c r="BL76" i="2"/>
  <c r="BM76" i="2"/>
  <c r="BN76" i="2"/>
  <c r="BO76" i="2"/>
  <c r="BP76" i="2"/>
  <c r="BQ76" i="2"/>
  <c r="BR76" i="2"/>
  <c r="BS76" i="2"/>
  <c r="BT76" i="2"/>
  <c r="BU76" i="2"/>
  <c r="BV76" i="2"/>
  <c r="BW76" i="2"/>
  <c r="BX76" i="2"/>
  <c r="BY76" i="2"/>
  <c r="BZ76" i="2"/>
  <c r="CA76" i="2"/>
  <c r="CB76" i="2"/>
  <c r="CC76" i="2"/>
  <c r="CD76" i="2"/>
  <c r="CE76" i="2"/>
  <c r="CF76" i="2"/>
  <c r="CG76" i="2"/>
  <c r="CH76" i="2"/>
  <c r="CI76" i="2"/>
  <c r="CJ76" i="2"/>
  <c r="CK76" i="2"/>
  <c r="CL76" i="2"/>
  <c r="CM76" i="2"/>
  <c r="CN76" i="2"/>
  <c r="CO76" i="2"/>
  <c r="CP76" i="2"/>
  <c r="CQ76" i="2"/>
  <c r="CR76" i="2"/>
  <c r="CS76" i="2"/>
  <c r="CT76" i="2"/>
  <c r="CU76" i="2"/>
  <c r="CV76" i="2"/>
  <c r="CW76" i="2"/>
  <c r="CX76" i="2"/>
  <c r="D77" i="2"/>
  <c r="E77" i="2"/>
  <c r="F77" i="2"/>
  <c r="G77" i="2"/>
  <c r="H77" i="2"/>
  <c r="I77" i="2"/>
  <c r="J77" i="2"/>
  <c r="K77" i="2"/>
  <c r="L77" i="2"/>
  <c r="M77" i="2"/>
  <c r="N77" i="2"/>
  <c r="O77" i="2"/>
  <c r="P77" i="2"/>
  <c r="Q77" i="2"/>
  <c r="R77" i="2"/>
  <c r="S77" i="2"/>
  <c r="T77" i="2"/>
  <c r="U77" i="2"/>
  <c r="V77" i="2"/>
  <c r="W77" i="2"/>
  <c r="X77" i="2"/>
  <c r="Y77" i="2"/>
  <c r="Z77" i="2"/>
  <c r="AA77" i="2"/>
  <c r="AB77" i="2"/>
  <c r="AC77" i="2"/>
  <c r="AD77" i="2"/>
  <c r="AE77" i="2"/>
  <c r="AF77" i="2"/>
  <c r="AG77" i="2"/>
  <c r="AH77" i="2"/>
  <c r="AI77" i="2"/>
  <c r="AJ77" i="2"/>
  <c r="AK77" i="2"/>
  <c r="AL77" i="2"/>
  <c r="AM77" i="2"/>
  <c r="AN77" i="2"/>
  <c r="AO77" i="2"/>
  <c r="AP77" i="2"/>
  <c r="AQ77" i="2"/>
  <c r="AR77" i="2"/>
  <c r="AS77" i="2"/>
  <c r="AT77" i="2"/>
  <c r="AU77" i="2"/>
  <c r="AV77" i="2"/>
  <c r="AW77" i="2"/>
  <c r="AX77" i="2"/>
  <c r="AY77" i="2"/>
  <c r="AZ77" i="2"/>
  <c r="BA77" i="2"/>
  <c r="BB77" i="2"/>
  <c r="BC77" i="2"/>
  <c r="BD77" i="2"/>
  <c r="BE77" i="2"/>
  <c r="BF77" i="2"/>
  <c r="BG77" i="2"/>
  <c r="BH77" i="2"/>
  <c r="BI77" i="2"/>
  <c r="BJ77" i="2"/>
  <c r="BK77" i="2"/>
  <c r="BL77" i="2"/>
  <c r="BM77" i="2"/>
  <c r="BN77" i="2"/>
  <c r="BO77" i="2"/>
  <c r="BP77" i="2"/>
  <c r="BQ77" i="2"/>
  <c r="BR77" i="2"/>
  <c r="BS77" i="2"/>
  <c r="BT77" i="2"/>
  <c r="BU77" i="2"/>
  <c r="BV77" i="2"/>
  <c r="BW77" i="2"/>
  <c r="BX77" i="2"/>
  <c r="BY77" i="2"/>
  <c r="BZ77" i="2"/>
  <c r="CA77" i="2"/>
  <c r="CB77" i="2"/>
  <c r="CC77" i="2"/>
  <c r="CD77" i="2"/>
  <c r="CE77" i="2"/>
  <c r="CF77" i="2"/>
  <c r="CG77" i="2"/>
  <c r="CH77" i="2"/>
  <c r="CI77" i="2"/>
  <c r="CJ77" i="2"/>
  <c r="CK77" i="2"/>
  <c r="CL77" i="2"/>
  <c r="CM77" i="2"/>
  <c r="CN77" i="2"/>
  <c r="CO77" i="2"/>
  <c r="CP77" i="2"/>
  <c r="CQ77" i="2"/>
  <c r="CR77" i="2"/>
  <c r="CS77" i="2"/>
  <c r="CT77" i="2"/>
  <c r="CU77" i="2"/>
  <c r="CV77" i="2"/>
  <c r="CW77" i="2"/>
  <c r="CX77" i="2"/>
  <c r="D78" i="2"/>
  <c r="E78" i="2"/>
  <c r="F78" i="2"/>
  <c r="G78" i="2"/>
  <c r="H78" i="2"/>
  <c r="I78" i="2"/>
  <c r="J78" i="2"/>
  <c r="K78" i="2"/>
  <c r="L78" i="2"/>
  <c r="M78" i="2"/>
  <c r="N78" i="2"/>
  <c r="O78" i="2"/>
  <c r="P78" i="2"/>
  <c r="Q78" i="2"/>
  <c r="R78" i="2"/>
  <c r="S78" i="2"/>
  <c r="T78" i="2"/>
  <c r="U78" i="2"/>
  <c r="V78" i="2"/>
  <c r="W78" i="2"/>
  <c r="X78" i="2"/>
  <c r="Y78" i="2"/>
  <c r="Z78" i="2"/>
  <c r="AA78" i="2"/>
  <c r="AB78" i="2"/>
  <c r="AC78" i="2"/>
  <c r="AD78" i="2"/>
  <c r="AE78" i="2"/>
  <c r="AF78" i="2"/>
  <c r="AG78" i="2"/>
  <c r="AH78" i="2"/>
  <c r="AI78" i="2"/>
  <c r="AJ78" i="2"/>
  <c r="AK78" i="2"/>
  <c r="AL78" i="2"/>
  <c r="AM78" i="2"/>
  <c r="AN78" i="2"/>
  <c r="AO78" i="2"/>
  <c r="AP78" i="2"/>
  <c r="AQ78" i="2"/>
  <c r="AR78" i="2"/>
  <c r="AS78" i="2"/>
  <c r="AT78" i="2"/>
  <c r="AU78" i="2"/>
  <c r="AV78" i="2"/>
  <c r="AW78" i="2"/>
  <c r="AX78" i="2"/>
  <c r="AY78" i="2"/>
  <c r="AZ78" i="2"/>
  <c r="BA78" i="2"/>
  <c r="BB78" i="2"/>
  <c r="BC78" i="2"/>
  <c r="BD78" i="2"/>
  <c r="BE78" i="2"/>
  <c r="BF78" i="2"/>
  <c r="BG78" i="2"/>
  <c r="BH78" i="2"/>
  <c r="BI78" i="2"/>
  <c r="BJ78" i="2"/>
  <c r="BK78" i="2"/>
  <c r="BL78" i="2"/>
  <c r="BM78" i="2"/>
  <c r="BN78" i="2"/>
  <c r="BO78" i="2"/>
  <c r="BP78" i="2"/>
  <c r="BQ78" i="2"/>
  <c r="BR78" i="2"/>
  <c r="BS78" i="2"/>
  <c r="BT78" i="2"/>
  <c r="BU78" i="2"/>
  <c r="BV78" i="2"/>
  <c r="BW78" i="2"/>
  <c r="BX78" i="2"/>
  <c r="BY78" i="2"/>
  <c r="BZ78" i="2"/>
  <c r="CA78" i="2"/>
  <c r="CB78" i="2"/>
  <c r="CC78" i="2"/>
  <c r="CD78" i="2"/>
  <c r="CE78" i="2"/>
  <c r="CF78" i="2"/>
  <c r="CG78" i="2"/>
  <c r="CH78" i="2"/>
  <c r="CI78" i="2"/>
  <c r="CJ78" i="2"/>
  <c r="CK78" i="2"/>
  <c r="CL78" i="2"/>
  <c r="CM78" i="2"/>
  <c r="CN78" i="2"/>
  <c r="CO78" i="2"/>
  <c r="CP78" i="2"/>
  <c r="CQ78" i="2"/>
  <c r="CR78" i="2"/>
  <c r="CS78" i="2"/>
  <c r="CT78" i="2"/>
  <c r="CU78" i="2"/>
  <c r="CV78" i="2"/>
  <c r="CW78" i="2"/>
  <c r="CX78" i="2"/>
  <c r="D79" i="2"/>
  <c r="E79" i="2"/>
  <c r="F79" i="2"/>
  <c r="G79" i="2"/>
  <c r="H79" i="2"/>
  <c r="I79" i="2"/>
  <c r="J79" i="2"/>
  <c r="K79" i="2"/>
  <c r="L79" i="2"/>
  <c r="M79" i="2"/>
  <c r="N79" i="2"/>
  <c r="O79" i="2"/>
  <c r="P79" i="2"/>
  <c r="Q79" i="2"/>
  <c r="R79" i="2"/>
  <c r="S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AJ79" i="2"/>
  <c r="AK79" i="2"/>
  <c r="AL79" i="2"/>
  <c r="AM79" i="2"/>
  <c r="AN79" i="2"/>
  <c r="AO79" i="2"/>
  <c r="AP79" i="2"/>
  <c r="AQ79" i="2"/>
  <c r="AR79" i="2"/>
  <c r="AS79" i="2"/>
  <c r="AT79" i="2"/>
  <c r="AU79" i="2"/>
  <c r="AV79" i="2"/>
  <c r="AW79" i="2"/>
  <c r="AX79" i="2"/>
  <c r="AY79" i="2"/>
  <c r="AZ79" i="2"/>
  <c r="BA79" i="2"/>
  <c r="BB79" i="2"/>
  <c r="BC79" i="2"/>
  <c r="BD79" i="2"/>
  <c r="BE79" i="2"/>
  <c r="BF79" i="2"/>
  <c r="BG79" i="2"/>
  <c r="BH79" i="2"/>
  <c r="BI79" i="2"/>
  <c r="BJ79" i="2"/>
  <c r="BK79" i="2"/>
  <c r="BL79" i="2"/>
  <c r="BM79" i="2"/>
  <c r="BN79" i="2"/>
  <c r="BO79" i="2"/>
  <c r="BP79" i="2"/>
  <c r="BQ79" i="2"/>
  <c r="BR79" i="2"/>
  <c r="BS79" i="2"/>
  <c r="BT79" i="2"/>
  <c r="BU79" i="2"/>
  <c r="BV79" i="2"/>
  <c r="BW79" i="2"/>
  <c r="BX79" i="2"/>
  <c r="BY79" i="2"/>
  <c r="BZ79" i="2"/>
  <c r="CA79" i="2"/>
  <c r="CB79" i="2"/>
  <c r="CC79" i="2"/>
  <c r="CD79" i="2"/>
  <c r="CE79" i="2"/>
  <c r="CF79" i="2"/>
  <c r="CG79" i="2"/>
  <c r="CH79" i="2"/>
  <c r="CI79" i="2"/>
  <c r="CJ79" i="2"/>
  <c r="CK79" i="2"/>
  <c r="CL79" i="2"/>
  <c r="CM79" i="2"/>
  <c r="CN79" i="2"/>
  <c r="CO79" i="2"/>
  <c r="CP79" i="2"/>
  <c r="CQ79" i="2"/>
  <c r="CR79" i="2"/>
  <c r="CS79" i="2"/>
  <c r="CT79" i="2"/>
  <c r="CU79" i="2"/>
  <c r="CV79" i="2"/>
  <c r="CW79" i="2"/>
  <c r="CX79" i="2"/>
  <c r="D80" i="2"/>
  <c r="E80" i="2"/>
  <c r="F80" i="2"/>
  <c r="G80" i="2"/>
  <c r="H80" i="2"/>
  <c r="I80" i="2"/>
  <c r="J80" i="2"/>
  <c r="K80" i="2"/>
  <c r="L80" i="2"/>
  <c r="M80" i="2"/>
  <c r="N80" i="2"/>
  <c r="O80" i="2"/>
  <c r="P80" i="2"/>
  <c r="Q80" i="2"/>
  <c r="R80" i="2"/>
  <c r="S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AJ80" i="2"/>
  <c r="AK80" i="2"/>
  <c r="AL80" i="2"/>
  <c r="AM80" i="2"/>
  <c r="AN80" i="2"/>
  <c r="AO80" i="2"/>
  <c r="AP80" i="2"/>
  <c r="AQ80" i="2"/>
  <c r="AR80" i="2"/>
  <c r="AS80" i="2"/>
  <c r="AT80" i="2"/>
  <c r="AU80" i="2"/>
  <c r="AV80" i="2"/>
  <c r="AW80" i="2"/>
  <c r="AX80" i="2"/>
  <c r="AY80" i="2"/>
  <c r="AZ80" i="2"/>
  <c r="BA80" i="2"/>
  <c r="BB80" i="2"/>
  <c r="BC80" i="2"/>
  <c r="BD80" i="2"/>
  <c r="BE80" i="2"/>
  <c r="BF80" i="2"/>
  <c r="BG80" i="2"/>
  <c r="BH80" i="2"/>
  <c r="BI80" i="2"/>
  <c r="BJ80" i="2"/>
  <c r="BK80" i="2"/>
  <c r="BL80" i="2"/>
  <c r="BM80" i="2"/>
  <c r="BN80" i="2"/>
  <c r="BO80" i="2"/>
  <c r="BP80" i="2"/>
  <c r="BQ80" i="2"/>
  <c r="BR80" i="2"/>
  <c r="BS80" i="2"/>
  <c r="BT80" i="2"/>
  <c r="BU80" i="2"/>
  <c r="BV80" i="2"/>
  <c r="BW80" i="2"/>
  <c r="BX80" i="2"/>
  <c r="BY80" i="2"/>
  <c r="BZ80" i="2"/>
  <c r="CA80" i="2"/>
  <c r="CB80" i="2"/>
  <c r="CC80" i="2"/>
  <c r="CD80" i="2"/>
  <c r="CE80" i="2"/>
  <c r="CF80" i="2"/>
  <c r="CG80" i="2"/>
  <c r="CH80" i="2"/>
  <c r="CI80" i="2"/>
  <c r="CJ80" i="2"/>
  <c r="CK80" i="2"/>
  <c r="CL80" i="2"/>
  <c r="CM80" i="2"/>
  <c r="CN80" i="2"/>
  <c r="CO80" i="2"/>
  <c r="CP80" i="2"/>
  <c r="CQ80" i="2"/>
  <c r="CR80" i="2"/>
  <c r="CS80" i="2"/>
  <c r="CT80" i="2"/>
  <c r="CU80" i="2"/>
  <c r="CV80" i="2"/>
  <c r="CW80" i="2"/>
  <c r="CX80" i="2"/>
  <c r="D81" i="2"/>
  <c r="E81" i="2"/>
  <c r="F81" i="2"/>
  <c r="G81" i="2"/>
  <c r="H81" i="2"/>
  <c r="I81" i="2"/>
  <c r="J81" i="2"/>
  <c r="K81" i="2"/>
  <c r="L81" i="2"/>
  <c r="M81" i="2"/>
  <c r="N81" i="2"/>
  <c r="O81" i="2"/>
  <c r="P81" i="2"/>
  <c r="Q81" i="2"/>
  <c r="R81" i="2"/>
  <c r="S81" i="2"/>
  <c r="T81" i="2"/>
  <c r="U81" i="2"/>
  <c r="V81" i="2"/>
  <c r="W81" i="2"/>
  <c r="X81" i="2"/>
  <c r="Y81" i="2"/>
  <c r="Z81" i="2"/>
  <c r="AA81" i="2"/>
  <c r="AB81" i="2"/>
  <c r="AC81" i="2"/>
  <c r="AD81" i="2"/>
  <c r="AE81" i="2"/>
  <c r="AF81" i="2"/>
  <c r="AG81" i="2"/>
  <c r="AH81" i="2"/>
  <c r="AI81" i="2"/>
  <c r="AJ81" i="2"/>
  <c r="AK81" i="2"/>
  <c r="AL81" i="2"/>
  <c r="AM81" i="2"/>
  <c r="AN81" i="2"/>
  <c r="AO81" i="2"/>
  <c r="AP81" i="2"/>
  <c r="AQ81" i="2"/>
  <c r="AR81" i="2"/>
  <c r="AS81" i="2"/>
  <c r="AT81" i="2"/>
  <c r="AU81" i="2"/>
  <c r="AV81" i="2"/>
  <c r="AW81" i="2"/>
  <c r="AX81" i="2"/>
  <c r="AY81" i="2"/>
  <c r="AZ81" i="2"/>
  <c r="BA81" i="2"/>
  <c r="BB81" i="2"/>
  <c r="BC81" i="2"/>
  <c r="BD81" i="2"/>
  <c r="BE81" i="2"/>
  <c r="BF81" i="2"/>
  <c r="BG81" i="2"/>
  <c r="BH81" i="2"/>
  <c r="BI81" i="2"/>
  <c r="BJ81" i="2"/>
  <c r="BK81" i="2"/>
  <c r="BL81" i="2"/>
  <c r="BM81" i="2"/>
  <c r="BN81" i="2"/>
  <c r="BO81" i="2"/>
  <c r="BP81" i="2"/>
  <c r="BQ81" i="2"/>
  <c r="BR81" i="2"/>
  <c r="BS81" i="2"/>
  <c r="BT81" i="2"/>
  <c r="BU81" i="2"/>
  <c r="BV81" i="2"/>
  <c r="BW81" i="2"/>
  <c r="BX81" i="2"/>
  <c r="BY81" i="2"/>
  <c r="BZ81" i="2"/>
  <c r="CA81" i="2"/>
  <c r="CB81" i="2"/>
  <c r="CC81" i="2"/>
  <c r="CD81" i="2"/>
  <c r="CE81" i="2"/>
  <c r="CF81" i="2"/>
  <c r="CG81" i="2"/>
  <c r="CH81" i="2"/>
  <c r="CI81" i="2"/>
  <c r="CJ81" i="2"/>
  <c r="CK81" i="2"/>
  <c r="CL81" i="2"/>
  <c r="CM81" i="2"/>
  <c r="CN81" i="2"/>
  <c r="CO81" i="2"/>
  <c r="CP81" i="2"/>
  <c r="CQ81" i="2"/>
  <c r="CR81" i="2"/>
  <c r="CS81" i="2"/>
  <c r="CT81" i="2"/>
  <c r="CU81" i="2"/>
  <c r="CV81" i="2"/>
  <c r="CW81" i="2"/>
  <c r="CX81" i="2"/>
  <c r="D82" i="2"/>
  <c r="E82" i="2"/>
  <c r="F82" i="2"/>
  <c r="G82" i="2"/>
  <c r="H82" i="2"/>
  <c r="I82" i="2"/>
  <c r="J82" i="2"/>
  <c r="K82" i="2"/>
  <c r="L82" i="2"/>
  <c r="M82" i="2"/>
  <c r="N82" i="2"/>
  <c r="O82" i="2"/>
  <c r="P82" i="2"/>
  <c r="Q82" i="2"/>
  <c r="R82" i="2"/>
  <c r="S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AJ82" i="2"/>
  <c r="AK82" i="2"/>
  <c r="AL82" i="2"/>
  <c r="AM82" i="2"/>
  <c r="AN82" i="2"/>
  <c r="AO82" i="2"/>
  <c r="AP82" i="2"/>
  <c r="AQ82" i="2"/>
  <c r="AR82" i="2"/>
  <c r="AS82" i="2"/>
  <c r="AT82" i="2"/>
  <c r="AU82" i="2"/>
  <c r="AV82" i="2"/>
  <c r="AW82" i="2"/>
  <c r="AX82" i="2"/>
  <c r="AY82" i="2"/>
  <c r="AZ82" i="2"/>
  <c r="BA82" i="2"/>
  <c r="BB82" i="2"/>
  <c r="BC82" i="2"/>
  <c r="BD82" i="2"/>
  <c r="BE82" i="2"/>
  <c r="BF82" i="2"/>
  <c r="BG82" i="2"/>
  <c r="BH82" i="2"/>
  <c r="BI82" i="2"/>
  <c r="BJ82" i="2"/>
  <c r="BK82" i="2"/>
  <c r="BL82" i="2"/>
  <c r="BM82" i="2"/>
  <c r="BN82" i="2"/>
  <c r="BO82" i="2"/>
  <c r="BP82" i="2"/>
  <c r="BQ82" i="2"/>
  <c r="BR82" i="2"/>
  <c r="BS82" i="2"/>
  <c r="BT82" i="2"/>
  <c r="BU82" i="2"/>
  <c r="BV82" i="2"/>
  <c r="BW82" i="2"/>
  <c r="BX82" i="2"/>
  <c r="BY82" i="2"/>
  <c r="BZ82" i="2"/>
  <c r="CA82" i="2"/>
  <c r="CB82" i="2"/>
  <c r="CC82" i="2"/>
  <c r="CD82" i="2"/>
  <c r="CE82" i="2"/>
  <c r="CF82" i="2"/>
  <c r="CG82" i="2"/>
  <c r="CH82" i="2"/>
  <c r="CI82" i="2"/>
  <c r="CJ82" i="2"/>
  <c r="CK82" i="2"/>
  <c r="CL82" i="2"/>
  <c r="CM82" i="2"/>
  <c r="CN82" i="2"/>
  <c r="CO82" i="2"/>
  <c r="CP82" i="2"/>
  <c r="CQ82" i="2"/>
  <c r="CR82" i="2"/>
  <c r="CS82" i="2"/>
  <c r="CT82" i="2"/>
  <c r="CU82" i="2"/>
  <c r="CV82" i="2"/>
  <c r="CW82" i="2"/>
  <c r="CX82" i="2"/>
  <c r="D83" i="2"/>
  <c r="E83" i="2"/>
  <c r="F83" i="2"/>
  <c r="G83" i="2"/>
  <c r="H83" i="2"/>
  <c r="I83" i="2"/>
  <c r="J83" i="2"/>
  <c r="K83" i="2"/>
  <c r="L83" i="2"/>
  <c r="M83" i="2"/>
  <c r="N83" i="2"/>
  <c r="O83" i="2"/>
  <c r="P83" i="2"/>
  <c r="Q83" i="2"/>
  <c r="R83" i="2"/>
  <c r="S83" i="2"/>
  <c r="T83" i="2"/>
  <c r="U83" i="2"/>
  <c r="V83" i="2"/>
  <c r="W83" i="2"/>
  <c r="X83" i="2"/>
  <c r="Y83" i="2"/>
  <c r="Z83" i="2"/>
  <c r="AA83" i="2"/>
  <c r="AB83" i="2"/>
  <c r="AC83" i="2"/>
  <c r="AD83" i="2"/>
  <c r="AE83" i="2"/>
  <c r="AF83" i="2"/>
  <c r="AG83" i="2"/>
  <c r="AH83" i="2"/>
  <c r="AI83" i="2"/>
  <c r="AJ83" i="2"/>
  <c r="AK83" i="2"/>
  <c r="AL83" i="2"/>
  <c r="AM83" i="2"/>
  <c r="AN83" i="2"/>
  <c r="AO83" i="2"/>
  <c r="AP83" i="2"/>
  <c r="AQ83" i="2"/>
  <c r="AR83" i="2"/>
  <c r="AS83" i="2"/>
  <c r="AT83" i="2"/>
  <c r="AU83" i="2"/>
  <c r="AV83" i="2"/>
  <c r="AW83" i="2"/>
  <c r="AX83" i="2"/>
  <c r="AY83" i="2"/>
  <c r="AZ83" i="2"/>
  <c r="BA83" i="2"/>
  <c r="BB83" i="2"/>
  <c r="BC83" i="2"/>
  <c r="BD83" i="2"/>
  <c r="BE83" i="2"/>
  <c r="BF83" i="2"/>
  <c r="BG83" i="2"/>
  <c r="BH83" i="2"/>
  <c r="BI83" i="2"/>
  <c r="BJ83" i="2"/>
  <c r="BK83" i="2"/>
  <c r="BL83" i="2"/>
  <c r="BM83" i="2"/>
  <c r="BN83" i="2"/>
  <c r="BO83" i="2"/>
  <c r="BP83" i="2"/>
  <c r="BQ83" i="2"/>
  <c r="BR83" i="2"/>
  <c r="BS83" i="2"/>
  <c r="BT83" i="2"/>
  <c r="BU83" i="2"/>
  <c r="BV83" i="2"/>
  <c r="BW83" i="2"/>
  <c r="BX83" i="2"/>
  <c r="BY83" i="2"/>
  <c r="BZ83" i="2"/>
  <c r="CA83" i="2"/>
  <c r="CB83" i="2"/>
  <c r="CC83" i="2"/>
  <c r="CD83" i="2"/>
  <c r="CE83" i="2"/>
  <c r="CF83" i="2"/>
  <c r="CG83" i="2"/>
  <c r="CH83" i="2"/>
  <c r="CI83" i="2"/>
  <c r="CJ83" i="2"/>
  <c r="CK83" i="2"/>
  <c r="CL83" i="2"/>
  <c r="CM83" i="2"/>
  <c r="CN83" i="2"/>
  <c r="CO83" i="2"/>
  <c r="CP83" i="2"/>
  <c r="CQ83" i="2"/>
  <c r="CR83" i="2"/>
  <c r="CS83" i="2"/>
  <c r="CT83" i="2"/>
  <c r="CU83" i="2"/>
  <c r="CV83" i="2"/>
  <c r="CW83" i="2"/>
  <c r="CX83" i="2"/>
  <c r="D84" i="2"/>
  <c r="E84" i="2"/>
  <c r="F84" i="2"/>
  <c r="G84" i="2"/>
  <c r="H84" i="2"/>
  <c r="I84" i="2"/>
  <c r="J84" i="2"/>
  <c r="K84" i="2"/>
  <c r="L84" i="2"/>
  <c r="M84" i="2"/>
  <c r="N84" i="2"/>
  <c r="O84" i="2"/>
  <c r="P84" i="2"/>
  <c r="Q84" i="2"/>
  <c r="R84" i="2"/>
  <c r="S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AJ84" i="2"/>
  <c r="AK84" i="2"/>
  <c r="AL84" i="2"/>
  <c r="AM84" i="2"/>
  <c r="AN84" i="2"/>
  <c r="AO84" i="2"/>
  <c r="AP84" i="2"/>
  <c r="AQ84" i="2"/>
  <c r="AR84" i="2"/>
  <c r="AS84" i="2"/>
  <c r="AT84" i="2"/>
  <c r="AU84" i="2"/>
  <c r="AV84" i="2"/>
  <c r="AW84" i="2"/>
  <c r="AX84" i="2"/>
  <c r="AY84" i="2"/>
  <c r="AZ84" i="2"/>
  <c r="BA84" i="2"/>
  <c r="BB84" i="2"/>
  <c r="BC84" i="2"/>
  <c r="BD84" i="2"/>
  <c r="BE84" i="2"/>
  <c r="BF84" i="2"/>
  <c r="BG84" i="2"/>
  <c r="BH84" i="2"/>
  <c r="BI84" i="2"/>
  <c r="BJ84" i="2"/>
  <c r="BK84" i="2"/>
  <c r="BL84" i="2"/>
  <c r="BM84" i="2"/>
  <c r="BN84" i="2"/>
  <c r="BO84" i="2"/>
  <c r="BP84" i="2"/>
  <c r="BQ84" i="2"/>
  <c r="BR84" i="2"/>
  <c r="BS84" i="2"/>
  <c r="BT84" i="2"/>
  <c r="BU84" i="2"/>
  <c r="BV84" i="2"/>
  <c r="BW84" i="2"/>
  <c r="BX84" i="2"/>
  <c r="BY84" i="2"/>
  <c r="BZ84" i="2"/>
  <c r="CA84" i="2"/>
  <c r="CB84" i="2"/>
  <c r="CC84" i="2"/>
  <c r="CD84" i="2"/>
  <c r="CE84" i="2"/>
  <c r="CF84" i="2"/>
  <c r="CG84" i="2"/>
  <c r="CH84" i="2"/>
  <c r="CI84" i="2"/>
  <c r="CJ84" i="2"/>
  <c r="CK84" i="2"/>
  <c r="CL84" i="2"/>
  <c r="CM84" i="2"/>
  <c r="CN84" i="2"/>
  <c r="CO84" i="2"/>
  <c r="CP84" i="2"/>
  <c r="CQ84" i="2"/>
  <c r="CR84" i="2"/>
  <c r="CS84" i="2"/>
  <c r="CT84" i="2"/>
  <c r="CU84" i="2"/>
  <c r="CV84" i="2"/>
  <c r="CW84" i="2"/>
  <c r="CX84" i="2"/>
  <c r="D85" i="2"/>
  <c r="E85" i="2"/>
  <c r="F85" i="2"/>
  <c r="G85" i="2"/>
  <c r="H85" i="2"/>
  <c r="I85" i="2"/>
  <c r="J85" i="2"/>
  <c r="K85" i="2"/>
  <c r="L85" i="2"/>
  <c r="M85" i="2"/>
  <c r="N85" i="2"/>
  <c r="O85" i="2"/>
  <c r="P85" i="2"/>
  <c r="Q85" i="2"/>
  <c r="R85" i="2"/>
  <c r="S85" i="2"/>
  <c r="T85" i="2"/>
  <c r="U85" i="2"/>
  <c r="V85" i="2"/>
  <c r="W85" i="2"/>
  <c r="X85" i="2"/>
  <c r="Y85" i="2"/>
  <c r="Z85" i="2"/>
  <c r="AA85" i="2"/>
  <c r="AB85" i="2"/>
  <c r="AC85" i="2"/>
  <c r="AD85" i="2"/>
  <c r="AE85" i="2"/>
  <c r="AF85" i="2"/>
  <c r="AG85" i="2"/>
  <c r="AH85" i="2"/>
  <c r="AI85" i="2"/>
  <c r="AJ85" i="2"/>
  <c r="AK85" i="2"/>
  <c r="AL85" i="2"/>
  <c r="AM85" i="2"/>
  <c r="AN85" i="2"/>
  <c r="AO85" i="2"/>
  <c r="AP85" i="2"/>
  <c r="AQ85" i="2"/>
  <c r="AR85" i="2"/>
  <c r="AS85" i="2"/>
  <c r="AT85" i="2"/>
  <c r="AU85" i="2"/>
  <c r="AV85" i="2"/>
  <c r="AW85" i="2"/>
  <c r="AX85" i="2"/>
  <c r="AY85" i="2"/>
  <c r="AZ85" i="2"/>
  <c r="BA85" i="2"/>
  <c r="BB85" i="2"/>
  <c r="BC85" i="2"/>
  <c r="BD85" i="2"/>
  <c r="BE85" i="2"/>
  <c r="BF85" i="2"/>
  <c r="BG85" i="2"/>
  <c r="BH85" i="2"/>
  <c r="BI85" i="2"/>
  <c r="BJ85" i="2"/>
  <c r="BK85" i="2"/>
  <c r="BL85" i="2"/>
  <c r="BM85" i="2"/>
  <c r="BN85" i="2"/>
  <c r="BO85" i="2"/>
  <c r="BP85" i="2"/>
  <c r="BQ85" i="2"/>
  <c r="BR85" i="2"/>
  <c r="BS85" i="2"/>
  <c r="BT85" i="2"/>
  <c r="BU85" i="2"/>
  <c r="BV85" i="2"/>
  <c r="BW85" i="2"/>
  <c r="BX85" i="2"/>
  <c r="BY85" i="2"/>
  <c r="BZ85" i="2"/>
  <c r="CA85" i="2"/>
  <c r="CB85" i="2"/>
  <c r="CC85" i="2"/>
  <c r="CD85" i="2"/>
  <c r="CE85" i="2"/>
  <c r="CF85" i="2"/>
  <c r="CG85" i="2"/>
  <c r="CH85" i="2"/>
  <c r="CI85" i="2"/>
  <c r="CJ85" i="2"/>
  <c r="CK85" i="2"/>
  <c r="CL85" i="2"/>
  <c r="CM85" i="2"/>
  <c r="CN85" i="2"/>
  <c r="CO85" i="2"/>
  <c r="CP85" i="2"/>
  <c r="CQ85" i="2"/>
  <c r="CR85" i="2"/>
  <c r="CS85" i="2"/>
  <c r="CT85" i="2"/>
  <c r="CU85" i="2"/>
  <c r="CV85" i="2"/>
  <c r="CW85" i="2"/>
  <c r="CX85" i="2"/>
  <c r="D86" i="2"/>
  <c r="E86" i="2"/>
  <c r="F86" i="2"/>
  <c r="G86" i="2"/>
  <c r="H86" i="2"/>
  <c r="I86" i="2"/>
  <c r="J86" i="2"/>
  <c r="K86" i="2"/>
  <c r="L86" i="2"/>
  <c r="M86" i="2"/>
  <c r="N86" i="2"/>
  <c r="O86" i="2"/>
  <c r="P86" i="2"/>
  <c r="Q86" i="2"/>
  <c r="R86" i="2"/>
  <c r="S86" i="2"/>
  <c r="T86" i="2"/>
  <c r="U86" i="2"/>
  <c r="V86" i="2"/>
  <c r="W86" i="2"/>
  <c r="X86" i="2"/>
  <c r="Y86" i="2"/>
  <c r="Z86" i="2"/>
  <c r="AA86" i="2"/>
  <c r="AB86" i="2"/>
  <c r="AC86" i="2"/>
  <c r="AD86" i="2"/>
  <c r="AE86" i="2"/>
  <c r="AF86" i="2"/>
  <c r="AG86" i="2"/>
  <c r="AH86" i="2"/>
  <c r="AI86" i="2"/>
  <c r="AJ86" i="2"/>
  <c r="AK86" i="2"/>
  <c r="AL86" i="2"/>
  <c r="AM86" i="2"/>
  <c r="AN86" i="2"/>
  <c r="AO86" i="2"/>
  <c r="AP86" i="2"/>
  <c r="AQ86" i="2"/>
  <c r="AR86" i="2"/>
  <c r="AS86" i="2"/>
  <c r="AT86" i="2"/>
  <c r="AU86" i="2"/>
  <c r="AV86" i="2"/>
  <c r="AW86" i="2"/>
  <c r="AX86" i="2"/>
  <c r="AY86" i="2"/>
  <c r="AZ86" i="2"/>
  <c r="BA86" i="2"/>
  <c r="BB86" i="2"/>
  <c r="BC86" i="2"/>
  <c r="BD86" i="2"/>
  <c r="BE86" i="2"/>
  <c r="BF86" i="2"/>
  <c r="BG86" i="2"/>
  <c r="BH86" i="2"/>
  <c r="BI86" i="2"/>
  <c r="BJ86" i="2"/>
  <c r="BK86" i="2"/>
  <c r="BL86" i="2"/>
  <c r="BM86" i="2"/>
  <c r="BN86" i="2"/>
  <c r="BO86" i="2"/>
  <c r="BP86" i="2"/>
  <c r="BQ86" i="2"/>
  <c r="BR86" i="2"/>
  <c r="BS86" i="2"/>
  <c r="BT86" i="2"/>
  <c r="BU86" i="2"/>
  <c r="BV86" i="2"/>
  <c r="BW86" i="2"/>
  <c r="BX86" i="2"/>
  <c r="BY86" i="2"/>
  <c r="BZ86" i="2"/>
  <c r="CA86" i="2"/>
  <c r="CB86" i="2"/>
  <c r="CC86" i="2"/>
  <c r="CD86" i="2"/>
  <c r="CE86" i="2"/>
  <c r="CF86" i="2"/>
  <c r="CG86" i="2"/>
  <c r="CH86" i="2"/>
  <c r="CI86" i="2"/>
  <c r="CJ86" i="2"/>
  <c r="CK86" i="2"/>
  <c r="CL86" i="2"/>
  <c r="CM86" i="2"/>
  <c r="CN86" i="2"/>
  <c r="CO86" i="2"/>
  <c r="CP86" i="2"/>
  <c r="CQ86" i="2"/>
  <c r="CR86" i="2"/>
  <c r="CS86" i="2"/>
  <c r="CT86" i="2"/>
  <c r="CU86" i="2"/>
  <c r="CV86" i="2"/>
  <c r="CW86" i="2"/>
  <c r="CX86" i="2"/>
  <c r="D87" i="2"/>
  <c r="E87" i="2"/>
  <c r="F87" i="2"/>
  <c r="G87" i="2"/>
  <c r="H87" i="2"/>
  <c r="I87" i="2"/>
  <c r="J87" i="2"/>
  <c r="K87" i="2"/>
  <c r="L87" i="2"/>
  <c r="M87" i="2"/>
  <c r="N87" i="2"/>
  <c r="O87" i="2"/>
  <c r="P87" i="2"/>
  <c r="Q87" i="2"/>
  <c r="R87" i="2"/>
  <c r="S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AJ87" i="2"/>
  <c r="AK87" i="2"/>
  <c r="AL87" i="2"/>
  <c r="AM87" i="2"/>
  <c r="AN87" i="2"/>
  <c r="AO87" i="2"/>
  <c r="AP87" i="2"/>
  <c r="AQ87" i="2"/>
  <c r="AR87" i="2"/>
  <c r="AS87" i="2"/>
  <c r="AT87" i="2"/>
  <c r="AU87" i="2"/>
  <c r="AV87" i="2"/>
  <c r="AW87" i="2"/>
  <c r="AX87" i="2"/>
  <c r="AY87" i="2"/>
  <c r="AZ87" i="2"/>
  <c r="BA87" i="2"/>
  <c r="BB87" i="2"/>
  <c r="BC87" i="2"/>
  <c r="BD87" i="2"/>
  <c r="BE87" i="2"/>
  <c r="BF87" i="2"/>
  <c r="BG87" i="2"/>
  <c r="BH87" i="2"/>
  <c r="BI87" i="2"/>
  <c r="BJ87" i="2"/>
  <c r="BK87" i="2"/>
  <c r="BL87" i="2"/>
  <c r="BM87" i="2"/>
  <c r="BN87" i="2"/>
  <c r="BO87" i="2"/>
  <c r="BP87" i="2"/>
  <c r="BQ87" i="2"/>
  <c r="BR87" i="2"/>
  <c r="BS87" i="2"/>
  <c r="BT87" i="2"/>
  <c r="BU87" i="2"/>
  <c r="BV87" i="2"/>
  <c r="BW87" i="2"/>
  <c r="BX87" i="2"/>
  <c r="BY87" i="2"/>
  <c r="BZ87" i="2"/>
  <c r="CA87" i="2"/>
  <c r="CB87" i="2"/>
  <c r="CC87" i="2"/>
  <c r="CD87" i="2"/>
  <c r="CE87" i="2"/>
  <c r="CF87" i="2"/>
  <c r="CG87" i="2"/>
  <c r="CH87" i="2"/>
  <c r="CI87" i="2"/>
  <c r="CJ87" i="2"/>
  <c r="CK87" i="2"/>
  <c r="CL87" i="2"/>
  <c r="CM87" i="2"/>
  <c r="CN87" i="2"/>
  <c r="CO87" i="2"/>
  <c r="CP87" i="2"/>
  <c r="CQ87" i="2"/>
  <c r="CR87" i="2"/>
  <c r="CS87" i="2"/>
  <c r="CT87" i="2"/>
  <c r="CU87" i="2"/>
  <c r="CV87" i="2"/>
  <c r="CW87" i="2"/>
  <c r="CX87" i="2"/>
  <c r="D88" i="2"/>
  <c r="E88" i="2"/>
  <c r="F88" i="2"/>
  <c r="G88" i="2"/>
  <c r="H88" i="2"/>
  <c r="I88" i="2"/>
  <c r="J88" i="2"/>
  <c r="K88" i="2"/>
  <c r="L88" i="2"/>
  <c r="M88" i="2"/>
  <c r="N88" i="2"/>
  <c r="O88" i="2"/>
  <c r="P88" i="2"/>
  <c r="Q88" i="2"/>
  <c r="R88" i="2"/>
  <c r="S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AJ88" i="2"/>
  <c r="AK88" i="2"/>
  <c r="AL88" i="2"/>
  <c r="AM88" i="2"/>
  <c r="AN88" i="2"/>
  <c r="AO88" i="2"/>
  <c r="AP88" i="2"/>
  <c r="AQ88" i="2"/>
  <c r="AR88" i="2"/>
  <c r="AS88" i="2"/>
  <c r="AT88" i="2"/>
  <c r="AU88" i="2"/>
  <c r="AV88" i="2"/>
  <c r="AW88" i="2"/>
  <c r="AX88" i="2"/>
  <c r="AY88" i="2"/>
  <c r="AZ88" i="2"/>
  <c r="BA88" i="2"/>
  <c r="BB88" i="2"/>
  <c r="BC88" i="2"/>
  <c r="BD88" i="2"/>
  <c r="BE88" i="2"/>
  <c r="BF88" i="2"/>
  <c r="BG88" i="2"/>
  <c r="BH88" i="2"/>
  <c r="BI88" i="2"/>
  <c r="BJ88" i="2"/>
  <c r="BK88" i="2"/>
  <c r="BL88" i="2"/>
  <c r="BM88" i="2"/>
  <c r="BN88" i="2"/>
  <c r="BO88" i="2"/>
  <c r="BP88" i="2"/>
  <c r="BQ88" i="2"/>
  <c r="BR88" i="2"/>
  <c r="BS88" i="2"/>
  <c r="BT88" i="2"/>
  <c r="BU88" i="2"/>
  <c r="BV88" i="2"/>
  <c r="BW88" i="2"/>
  <c r="BX88" i="2"/>
  <c r="BY88" i="2"/>
  <c r="BZ88" i="2"/>
  <c r="CA88" i="2"/>
  <c r="CB88" i="2"/>
  <c r="CC88" i="2"/>
  <c r="CD88" i="2"/>
  <c r="CE88" i="2"/>
  <c r="CF88" i="2"/>
  <c r="CG88" i="2"/>
  <c r="CH88" i="2"/>
  <c r="CI88" i="2"/>
  <c r="CJ88" i="2"/>
  <c r="CK88" i="2"/>
  <c r="CL88" i="2"/>
  <c r="CM88" i="2"/>
  <c r="CN88" i="2"/>
  <c r="CO88" i="2"/>
  <c r="CP88" i="2"/>
  <c r="CQ88" i="2"/>
  <c r="CR88" i="2"/>
  <c r="CS88" i="2"/>
  <c r="CT88" i="2"/>
  <c r="CU88" i="2"/>
  <c r="CV88" i="2"/>
  <c r="CW88" i="2"/>
  <c r="CX88" i="2"/>
  <c r="D89" i="2"/>
  <c r="E89" i="2"/>
  <c r="F89" i="2"/>
  <c r="G89" i="2"/>
  <c r="H89" i="2"/>
  <c r="I89" i="2"/>
  <c r="J89" i="2"/>
  <c r="K89" i="2"/>
  <c r="L89" i="2"/>
  <c r="M89" i="2"/>
  <c r="N89" i="2"/>
  <c r="O89" i="2"/>
  <c r="P89" i="2"/>
  <c r="Q89" i="2"/>
  <c r="R89" i="2"/>
  <c r="S89" i="2"/>
  <c r="T89" i="2"/>
  <c r="U89" i="2"/>
  <c r="V89" i="2"/>
  <c r="W89" i="2"/>
  <c r="X89" i="2"/>
  <c r="Y89" i="2"/>
  <c r="Z89" i="2"/>
  <c r="AA89" i="2"/>
  <c r="AB89" i="2"/>
  <c r="AC89" i="2"/>
  <c r="AD89" i="2"/>
  <c r="AE89" i="2"/>
  <c r="AF89" i="2"/>
  <c r="AG89" i="2"/>
  <c r="AH89" i="2"/>
  <c r="AI89" i="2"/>
  <c r="AJ89" i="2"/>
  <c r="AK89" i="2"/>
  <c r="AL89" i="2"/>
  <c r="AM89" i="2"/>
  <c r="AN89" i="2"/>
  <c r="AO89" i="2"/>
  <c r="AP89" i="2"/>
  <c r="AQ89" i="2"/>
  <c r="AR89" i="2"/>
  <c r="AS89" i="2"/>
  <c r="AT89" i="2"/>
  <c r="AU89" i="2"/>
  <c r="AV89" i="2"/>
  <c r="AW89" i="2"/>
  <c r="AX89" i="2"/>
  <c r="AY89" i="2"/>
  <c r="AZ89" i="2"/>
  <c r="BA89" i="2"/>
  <c r="BB89" i="2"/>
  <c r="BC89" i="2"/>
  <c r="BD89" i="2"/>
  <c r="BE89" i="2"/>
  <c r="BF89" i="2"/>
  <c r="BG89" i="2"/>
  <c r="BH89" i="2"/>
  <c r="BI89" i="2"/>
  <c r="BJ89" i="2"/>
  <c r="BK89" i="2"/>
  <c r="BL89" i="2"/>
  <c r="BM89" i="2"/>
  <c r="BN89" i="2"/>
  <c r="BO89" i="2"/>
  <c r="BP89" i="2"/>
  <c r="BQ89" i="2"/>
  <c r="BR89" i="2"/>
  <c r="BS89" i="2"/>
  <c r="BT89" i="2"/>
  <c r="BU89" i="2"/>
  <c r="BV89" i="2"/>
  <c r="BW89" i="2"/>
  <c r="BX89" i="2"/>
  <c r="BY89" i="2"/>
  <c r="BZ89" i="2"/>
  <c r="CA89" i="2"/>
  <c r="CB89" i="2"/>
  <c r="CC89" i="2"/>
  <c r="CD89" i="2"/>
  <c r="CE89" i="2"/>
  <c r="CF89" i="2"/>
  <c r="CG89" i="2"/>
  <c r="CH89" i="2"/>
  <c r="CI89" i="2"/>
  <c r="CJ89" i="2"/>
  <c r="CK89" i="2"/>
  <c r="CL89" i="2"/>
  <c r="CM89" i="2"/>
  <c r="CN89" i="2"/>
  <c r="CO89" i="2"/>
  <c r="CP89" i="2"/>
  <c r="CQ89" i="2"/>
  <c r="CR89" i="2"/>
  <c r="CS89" i="2"/>
  <c r="CT89" i="2"/>
  <c r="CU89" i="2"/>
  <c r="CV89" i="2"/>
  <c r="CW89" i="2"/>
  <c r="CX89" i="2"/>
  <c r="D90" i="2"/>
  <c r="E90" i="2"/>
  <c r="F90" i="2"/>
  <c r="G90" i="2"/>
  <c r="H90" i="2"/>
  <c r="I90" i="2"/>
  <c r="J90" i="2"/>
  <c r="K90" i="2"/>
  <c r="L90" i="2"/>
  <c r="M90" i="2"/>
  <c r="N90" i="2"/>
  <c r="O90" i="2"/>
  <c r="P90" i="2"/>
  <c r="Q90" i="2"/>
  <c r="R90" i="2"/>
  <c r="S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AJ90" i="2"/>
  <c r="AK90" i="2"/>
  <c r="AL90" i="2"/>
  <c r="AM90" i="2"/>
  <c r="AN90" i="2"/>
  <c r="AO90" i="2"/>
  <c r="AP90" i="2"/>
  <c r="AQ90" i="2"/>
  <c r="AR90" i="2"/>
  <c r="AS90" i="2"/>
  <c r="AT90" i="2"/>
  <c r="AU90" i="2"/>
  <c r="AV90" i="2"/>
  <c r="AW90" i="2"/>
  <c r="AX90" i="2"/>
  <c r="AY90" i="2"/>
  <c r="AZ90" i="2"/>
  <c r="BA90" i="2"/>
  <c r="BB90" i="2"/>
  <c r="BC90" i="2"/>
  <c r="BD90" i="2"/>
  <c r="BE90" i="2"/>
  <c r="BF90" i="2"/>
  <c r="BG90" i="2"/>
  <c r="BH90" i="2"/>
  <c r="BI90" i="2"/>
  <c r="BJ90" i="2"/>
  <c r="BK90" i="2"/>
  <c r="BL90" i="2"/>
  <c r="BM90" i="2"/>
  <c r="BN90" i="2"/>
  <c r="BO90" i="2"/>
  <c r="BP90" i="2"/>
  <c r="BQ90" i="2"/>
  <c r="BR90" i="2"/>
  <c r="BS90" i="2"/>
  <c r="BT90" i="2"/>
  <c r="BU90" i="2"/>
  <c r="BV90" i="2"/>
  <c r="BW90" i="2"/>
  <c r="BX90" i="2"/>
  <c r="BY90" i="2"/>
  <c r="BZ90" i="2"/>
  <c r="CA90" i="2"/>
  <c r="CB90" i="2"/>
  <c r="CC90" i="2"/>
  <c r="CD90" i="2"/>
  <c r="CE90" i="2"/>
  <c r="CF90" i="2"/>
  <c r="CG90" i="2"/>
  <c r="CH90" i="2"/>
  <c r="CI90" i="2"/>
  <c r="CJ90" i="2"/>
  <c r="CK90" i="2"/>
  <c r="CL90" i="2"/>
  <c r="CM90" i="2"/>
  <c r="CN90" i="2"/>
  <c r="CO90" i="2"/>
  <c r="CP90" i="2"/>
  <c r="CQ90" i="2"/>
  <c r="CR90" i="2"/>
  <c r="CS90" i="2"/>
  <c r="CT90" i="2"/>
  <c r="CU90" i="2"/>
  <c r="CV90" i="2"/>
  <c r="CW90" i="2"/>
  <c r="CX90" i="2"/>
  <c r="D91" i="2"/>
  <c r="E91" i="2"/>
  <c r="F91" i="2"/>
  <c r="G91" i="2"/>
  <c r="H91" i="2"/>
  <c r="I91" i="2"/>
  <c r="J91" i="2"/>
  <c r="K91" i="2"/>
  <c r="L91" i="2"/>
  <c r="M91" i="2"/>
  <c r="N91" i="2"/>
  <c r="O91" i="2"/>
  <c r="P91" i="2"/>
  <c r="Q91" i="2"/>
  <c r="R91" i="2"/>
  <c r="S91" i="2"/>
  <c r="T91" i="2"/>
  <c r="U91" i="2"/>
  <c r="V91" i="2"/>
  <c r="W91" i="2"/>
  <c r="X91" i="2"/>
  <c r="Y91" i="2"/>
  <c r="Z91" i="2"/>
  <c r="AA91" i="2"/>
  <c r="AB91" i="2"/>
  <c r="AC91" i="2"/>
  <c r="AD91" i="2"/>
  <c r="AE91" i="2"/>
  <c r="AF91" i="2"/>
  <c r="AG91" i="2"/>
  <c r="AH91" i="2"/>
  <c r="AI91" i="2"/>
  <c r="AJ91" i="2"/>
  <c r="AK91" i="2"/>
  <c r="AL91" i="2"/>
  <c r="AM91" i="2"/>
  <c r="AN91" i="2"/>
  <c r="AO91" i="2"/>
  <c r="AP91" i="2"/>
  <c r="AQ91" i="2"/>
  <c r="AR91" i="2"/>
  <c r="AS91" i="2"/>
  <c r="AT91" i="2"/>
  <c r="AU91" i="2"/>
  <c r="AV91" i="2"/>
  <c r="AW91" i="2"/>
  <c r="AX91" i="2"/>
  <c r="AY91" i="2"/>
  <c r="AZ91" i="2"/>
  <c r="BA91" i="2"/>
  <c r="BB91" i="2"/>
  <c r="BC91" i="2"/>
  <c r="BD91" i="2"/>
  <c r="BE91" i="2"/>
  <c r="BF91" i="2"/>
  <c r="BG91" i="2"/>
  <c r="BH91" i="2"/>
  <c r="BI91" i="2"/>
  <c r="BJ91" i="2"/>
  <c r="BK91" i="2"/>
  <c r="BL91" i="2"/>
  <c r="BM91" i="2"/>
  <c r="BN91" i="2"/>
  <c r="BO91" i="2"/>
  <c r="BP91" i="2"/>
  <c r="BQ91" i="2"/>
  <c r="BR91" i="2"/>
  <c r="BS91" i="2"/>
  <c r="BT91" i="2"/>
  <c r="BU91" i="2"/>
  <c r="BV91" i="2"/>
  <c r="BW91" i="2"/>
  <c r="BX91" i="2"/>
  <c r="BY91" i="2"/>
  <c r="BZ91" i="2"/>
  <c r="CA91" i="2"/>
  <c r="CB91" i="2"/>
  <c r="CC91" i="2"/>
  <c r="CD91" i="2"/>
  <c r="CE91" i="2"/>
  <c r="CF91" i="2"/>
  <c r="CG91" i="2"/>
  <c r="CH91" i="2"/>
  <c r="CI91" i="2"/>
  <c r="CJ91" i="2"/>
  <c r="CK91" i="2"/>
  <c r="CL91" i="2"/>
  <c r="CM91" i="2"/>
  <c r="CN91" i="2"/>
  <c r="CO91" i="2"/>
  <c r="CP91" i="2"/>
  <c r="CQ91" i="2"/>
  <c r="CR91" i="2"/>
  <c r="CS91" i="2"/>
  <c r="CT91" i="2"/>
  <c r="CU91" i="2"/>
  <c r="CV91" i="2"/>
  <c r="CW91" i="2"/>
  <c r="CX91" i="2"/>
  <c r="D92" i="2"/>
  <c r="E92" i="2"/>
  <c r="F92" i="2"/>
  <c r="G92" i="2"/>
  <c r="H92" i="2"/>
  <c r="I92" i="2"/>
  <c r="J92" i="2"/>
  <c r="K92" i="2"/>
  <c r="L92" i="2"/>
  <c r="M92" i="2"/>
  <c r="N92" i="2"/>
  <c r="O92" i="2"/>
  <c r="P92" i="2"/>
  <c r="Q92" i="2"/>
  <c r="R92" i="2"/>
  <c r="S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AJ92" i="2"/>
  <c r="AK92" i="2"/>
  <c r="AL92" i="2"/>
  <c r="AM92" i="2"/>
  <c r="AN92" i="2"/>
  <c r="AO92" i="2"/>
  <c r="AP92" i="2"/>
  <c r="AQ92" i="2"/>
  <c r="AR92" i="2"/>
  <c r="AS92" i="2"/>
  <c r="AT92" i="2"/>
  <c r="AU92" i="2"/>
  <c r="AV92" i="2"/>
  <c r="AW92" i="2"/>
  <c r="AX92" i="2"/>
  <c r="AY92" i="2"/>
  <c r="AZ92" i="2"/>
  <c r="BA92" i="2"/>
  <c r="BB92" i="2"/>
  <c r="BC92" i="2"/>
  <c r="BD92" i="2"/>
  <c r="BE92" i="2"/>
  <c r="BF92" i="2"/>
  <c r="BG92" i="2"/>
  <c r="BH92" i="2"/>
  <c r="BI92" i="2"/>
  <c r="BJ92" i="2"/>
  <c r="BK92" i="2"/>
  <c r="BL92" i="2"/>
  <c r="BM92" i="2"/>
  <c r="BN92" i="2"/>
  <c r="BO92" i="2"/>
  <c r="BP92" i="2"/>
  <c r="BQ92" i="2"/>
  <c r="BR92" i="2"/>
  <c r="BS92" i="2"/>
  <c r="BT92" i="2"/>
  <c r="BU92" i="2"/>
  <c r="BV92" i="2"/>
  <c r="BW92" i="2"/>
  <c r="BX92" i="2"/>
  <c r="BY92" i="2"/>
  <c r="BZ92" i="2"/>
  <c r="CA92" i="2"/>
  <c r="CB92" i="2"/>
  <c r="CC92" i="2"/>
  <c r="CD92" i="2"/>
  <c r="CE92" i="2"/>
  <c r="CF92" i="2"/>
  <c r="CG92" i="2"/>
  <c r="CH92" i="2"/>
  <c r="CI92" i="2"/>
  <c r="CJ92" i="2"/>
  <c r="CK92" i="2"/>
  <c r="CL92" i="2"/>
  <c r="CM92" i="2"/>
  <c r="CN92" i="2"/>
  <c r="CO92" i="2"/>
  <c r="CP92" i="2"/>
  <c r="CQ92" i="2"/>
  <c r="CR92" i="2"/>
  <c r="CS92" i="2"/>
  <c r="CT92" i="2"/>
  <c r="CU92" i="2"/>
  <c r="CV92" i="2"/>
  <c r="CW92" i="2"/>
  <c r="CX92" i="2"/>
  <c r="D93" i="2"/>
  <c r="E93" i="2"/>
  <c r="F93" i="2"/>
  <c r="G93" i="2"/>
  <c r="H93" i="2"/>
  <c r="I93" i="2"/>
  <c r="J93" i="2"/>
  <c r="K93" i="2"/>
  <c r="L93" i="2"/>
  <c r="M93" i="2"/>
  <c r="N93" i="2"/>
  <c r="O93" i="2"/>
  <c r="P93" i="2"/>
  <c r="Q93" i="2"/>
  <c r="R93" i="2"/>
  <c r="S93" i="2"/>
  <c r="T93" i="2"/>
  <c r="U93" i="2"/>
  <c r="V93" i="2"/>
  <c r="W93" i="2"/>
  <c r="X93" i="2"/>
  <c r="Y93" i="2"/>
  <c r="Z93" i="2"/>
  <c r="AA93" i="2"/>
  <c r="AB93" i="2"/>
  <c r="AC93" i="2"/>
  <c r="AD93" i="2"/>
  <c r="AE93" i="2"/>
  <c r="AF93" i="2"/>
  <c r="AG93" i="2"/>
  <c r="AH93" i="2"/>
  <c r="AI93" i="2"/>
  <c r="AJ93" i="2"/>
  <c r="AK93" i="2"/>
  <c r="AL93" i="2"/>
  <c r="AM93" i="2"/>
  <c r="AN93" i="2"/>
  <c r="AO93" i="2"/>
  <c r="AP93" i="2"/>
  <c r="AQ93" i="2"/>
  <c r="AR93" i="2"/>
  <c r="AS93" i="2"/>
  <c r="AT93" i="2"/>
  <c r="AU93" i="2"/>
  <c r="AV93" i="2"/>
  <c r="AW93" i="2"/>
  <c r="AX93" i="2"/>
  <c r="AY93" i="2"/>
  <c r="AZ93" i="2"/>
  <c r="BA93" i="2"/>
  <c r="BB93" i="2"/>
  <c r="BC93" i="2"/>
  <c r="BD93" i="2"/>
  <c r="BE93" i="2"/>
  <c r="BF93" i="2"/>
  <c r="BG93" i="2"/>
  <c r="BH93" i="2"/>
  <c r="BI93" i="2"/>
  <c r="BJ93" i="2"/>
  <c r="BK93" i="2"/>
  <c r="BL93" i="2"/>
  <c r="BM93" i="2"/>
  <c r="BN93" i="2"/>
  <c r="BO93" i="2"/>
  <c r="BP93" i="2"/>
  <c r="BQ93" i="2"/>
  <c r="BR93" i="2"/>
  <c r="BS93" i="2"/>
  <c r="BT93" i="2"/>
  <c r="BU93" i="2"/>
  <c r="BV93" i="2"/>
  <c r="BW93" i="2"/>
  <c r="BX93" i="2"/>
  <c r="BY93" i="2"/>
  <c r="BZ93" i="2"/>
  <c r="CA93" i="2"/>
  <c r="CB93" i="2"/>
  <c r="CC93" i="2"/>
  <c r="CD93" i="2"/>
  <c r="CE93" i="2"/>
  <c r="CF93" i="2"/>
  <c r="CG93" i="2"/>
  <c r="CH93" i="2"/>
  <c r="CI93" i="2"/>
  <c r="CJ93" i="2"/>
  <c r="CK93" i="2"/>
  <c r="CL93" i="2"/>
  <c r="CM93" i="2"/>
  <c r="CN93" i="2"/>
  <c r="CO93" i="2"/>
  <c r="CP93" i="2"/>
  <c r="CQ93" i="2"/>
  <c r="CR93" i="2"/>
  <c r="CS93" i="2"/>
  <c r="CT93" i="2"/>
  <c r="CU93" i="2"/>
  <c r="CV93" i="2"/>
  <c r="CW93" i="2"/>
  <c r="CX93" i="2"/>
  <c r="D94" i="2"/>
  <c r="E94" i="2"/>
  <c r="F94" i="2"/>
  <c r="G94" i="2"/>
  <c r="H94" i="2"/>
  <c r="I94" i="2"/>
  <c r="J94" i="2"/>
  <c r="K94" i="2"/>
  <c r="L94" i="2"/>
  <c r="M94" i="2"/>
  <c r="N94" i="2"/>
  <c r="O94" i="2"/>
  <c r="P94" i="2"/>
  <c r="Q94" i="2"/>
  <c r="R94" i="2"/>
  <c r="S94" i="2"/>
  <c r="T94" i="2"/>
  <c r="U94" i="2"/>
  <c r="V94" i="2"/>
  <c r="W94" i="2"/>
  <c r="X94" i="2"/>
  <c r="Y94" i="2"/>
  <c r="Z94" i="2"/>
  <c r="AA94" i="2"/>
  <c r="AB94" i="2"/>
  <c r="AC94" i="2"/>
  <c r="AD94" i="2"/>
  <c r="AE94" i="2"/>
  <c r="AF94" i="2"/>
  <c r="AG94" i="2"/>
  <c r="AH94" i="2"/>
  <c r="AI94" i="2"/>
  <c r="AJ94" i="2"/>
  <c r="AK94" i="2"/>
  <c r="AL94" i="2"/>
  <c r="AM94" i="2"/>
  <c r="AN94" i="2"/>
  <c r="AO94" i="2"/>
  <c r="AP94" i="2"/>
  <c r="AQ94" i="2"/>
  <c r="AR94" i="2"/>
  <c r="AS94" i="2"/>
  <c r="AT94" i="2"/>
  <c r="AU94" i="2"/>
  <c r="AV94" i="2"/>
  <c r="AW94" i="2"/>
  <c r="AX94" i="2"/>
  <c r="AY94" i="2"/>
  <c r="AZ94" i="2"/>
  <c r="BA94" i="2"/>
  <c r="BB94" i="2"/>
  <c r="BC94" i="2"/>
  <c r="BD94" i="2"/>
  <c r="BE94" i="2"/>
  <c r="BF94" i="2"/>
  <c r="BG94" i="2"/>
  <c r="BH94" i="2"/>
  <c r="BI94" i="2"/>
  <c r="BJ94" i="2"/>
  <c r="BK94" i="2"/>
  <c r="BL94" i="2"/>
  <c r="BM94" i="2"/>
  <c r="BN94" i="2"/>
  <c r="BO94" i="2"/>
  <c r="BP94" i="2"/>
  <c r="BQ94" i="2"/>
  <c r="BR94" i="2"/>
  <c r="BS94" i="2"/>
  <c r="BT94" i="2"/>
  <c r="BU94" i="2"/>
  <c r="BV94" i="2"/>
  <c r="BW94" i="2"/>
  <c r="BX94" i="2"/>
  <c r="BY94" i="2"/>
  <c r="BZ94" i="2"/>
  <c r="CA94" i="2"/>
  <c r="CB94" i="2"/>
  <c r="CC94" i="2"/>
  <c r="CD94" i="2"/>
  <c r="CE94" i="2"/>
  <c r="CF94" i="2"/>
  <c r="CG94" i="2"/>
  <c r="CH94" i="2"/>
  <c r="CI94" i="2"/>
  <c r="CJ94" i="2"/>
  <c r="CK94" i="2"/>
  <c r="CL94" i="2"/>
  <c r="CM94" i="2"/>
  <c r="CN94" i="2"/>
  <c r="CO94" i="2"/>
  <c r="CP94" i="2"/>
  <c r="CQ94" i="2"/>
  <c r="CR94" i="2"/>
  <c r="CS94" i="2"/>
  <c r="CT94" i="2"/>
  <c r="CU94" i="2"/>
  <c r="CV94" i="2"/>
  <c r="CW94" i="2"/>
  <c r="CX94" i="2"/>
  <c r="D95" i="2"/>
  <c r="E95" i="2"/>
  <c r="F95" i="2"/>
  <c r="G95" i="2"/>
  <c r="H95" i="2"/>
  <c r="I95" i="2"/>
  <c r="J95" i="2"/>
  <c r="K95" i="2"/>
  <c r="L95" i="2"/>
  <c r="M95" i="2"/>
  <c r="N95" i="2"/>
  <c r="O95" i="2"/>
  <c r="P95" i="2"/>
  <c r="Q95" i="2"/>
  <c r="R95" i="2"/>
  <c r="S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AJ95" i="2"/>
  <c r="AK95" i="2"/>
  <c r="AL95" i="2"/>
  <c r="AM95" i="2"/>
  <c r="AN95" i="2"/>
  <c r="AO95" i="2"/>
  <c r="AP95" i="2"/>
  <c r="AQ95" i="2"/>
  <c r="AR95" i="2"/>
  <c r="AS95" i="2"/>
  <c r="AT95" i="2"/>
  <c r="AU95" i="2"/>
  <c r="AV95" i="2"/>
  <c r="AW95" i="2"/>
  <c r="AX95" i="2"/>
  <c r="AY95" i="2"/>
  <c r="AZ95" i="2"/>
  <c r="BA95" i="2"/>
  <c r="BB95" i="2"/>
  <c r="BC95" i="2"/>
  <c r="BD95" i="2"/>
  <c r="BE95" i="2"/>
  <c r="BF95" i="2"/>
  <c r="BG95" i="2"/>
  <c r="BH95" i="2"/>
  <c r="BI95" i="2"/>
  <c r="BJ95" i="2"/>
  <c r="BK95" i="2"/>
  <c r="BL95" i="2"/>
  <c r="BM95" i="2"/>
  <c r="BN95" i="2"/>
  <c r="BO95" i="2"/>
  <c r="BP95" i="2"/>
  <c r="BQ95" i="2"/>
  <c r="BR95" i="2"/>
  <c r="BS95" i="2"/>
  <c r="BT95" i="2"/>
  <c r="BU95" i="2"/>
  <c r="BV95" i="2"/>
  <c r="BW95" i="2"/>
  <c r="BX95" i="2"/>
  <c r="BY95" i="2"/>
  <c r="BZ95" i="2"/>
  <c r="CA95" i="2"/>
  <c r="CB95" i="2"/>
  <c r="CC95" i="2"/>
  <c r="CD95" i="2"/>
  <c r="CE95" i="2"/>
  <c r="CF95" i="2"/>
  <c r="CG95" i="2"/>
  <c r="CH95" i="2"/>
  <c r="CI95" i="2"/>
  <c r="CJ95" i="2"/>
  <c r="CK95" i="2"/>
  <c r="CL95" i="2"/>
  <c r="CM95" i="2"/>
  <c r="CN95" i="2"/>
  <c r="CO95" i="2"/>
  <c r="CP95" i="2"/>
  <c r="CQ95" i="2"/>
  <c r="CR95" i="2"/>
  <c r="CS95" i="2"/>
  <c r="CT95" i="2"/>
  <c r="CU95" i="2"/>
  <c r="CV95" i="2"/>
  <c r="CW95" i="2"/>
  <c r="CX95" i="2"/>
  <c r="D96" i="2"/>
  <c r="E96" i="2"/>
  <c r="F96" i="2"/>
  <c r="G96" i="2"/>
  <c r="H96" i="2"/>
  <c r="I96" i="2"/>
  <c r="J96" i="2"/>
  <c r="K96" i="2"/>
  <c r="L96" i="2"/>
  <c r="M96" i="2"/>
  <c r="N96" i="2"/>
  <c r="O96" i="2"/>
  <c r="P96" i="2"/>
  <c r="Q96" i="2"/>
  <c r="R96" i="2"/>
  <c r="S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AJ96" i="2"/>
  <c r="AK96" i="2"/>
  <c r="AL96" i="2"/>
  <c r="AM96" i="2"/>
  <c r="AN96" i="2"/>
  <c r="AO96" i="2"/>
  <c r="AP96" i="2"/>
  <c r="AQ96" i="2"/>
  <c r="AR96" i="2"/>
  <c r="AS96" i="2"/>
  <c r="AT96" i="2"/>
  <c r="AU96" i="2"/>
  <c r="AV96" i="2"/>
  <c r="AW96" i="2"/>
  <c r="AX96" i="2"/>
  <c r="AY96" i="2"/>
  <c r="AZ96" i="2"/>
  <c r="BA96" i="2"/>
  <c r="BB96" i="2"/>
  <c r="BC96" i="2"/>
  <c r="BD96" i="2"/>
  <c r="BE96" i="2"/>
  <c r="BF96" i="2"/>
  <c r="BG96" i="2"/>
  <c r="BH96" i="2"/>
  <c r="BI96" i="2"/>
  <c r="BJ96" i="2"/>
  <c r="BK96" i="2"/>
  <c r="BL96" i="2"/>
  <c r="BM96" i="2"/>
  <c r="BN96" i="2"/>
  <c r="BO96" i="2"/>
  <c r="BP96" i="2"/>
  <c r="BQ96" i="2"/>
  <c r="BR96" i="2"/>
  <c r="BS96" i="2"/>
  <c r="BT96" i="2"/>
  <c r="BU96" i="2"/>
  <c r="BV96" i="2"/>
  <c r="BW96" i="2"/>
  <c r="BX96" i="2"/>
  <c r="BY96" i="2"/>
  <c r="BZ96" i="2"/>
  <c r="CA96" i="2"/>
  <c r="CB96" i="2"/>
  <c r="CC96" i="2"/>
  <c r="CD96" i="2"/>
  <c r="CE96" i="2"/>
  <c r="CF96" i="2"/>
  <c r="CG96" i="2"/>
  <c r="CH96" i="2"/>
  <c r="CI96" i="2"/>
  <c r="CJ96" i="2"/>
  <c r="CK96" i="2"/>
  <c r="CL96" i="2"/>
  <c r="CM96" i="2"/>
  <c r="CN96" i="2"/>
  <c r="CO96" i="2"/>
  <c r="CP96" i="2"/>
  <c r="CQ96" i="2"/>
  <c r="CR96" i="2"/>
  <c r="CS96" i="2"/>
  <c r="CT96" i="2"/>
  <c r="CU96" i="2"/>
  <c r="CV96" i="2"/>
  <c r="CW96" i="2"/>
  <c r="CX96" i="2"/>
  <c r="D97" i="2"/>
  <c r="E97" i="2"/>
  <c r="F97" i="2"/>
  <c r="G97" i="2"/>
  <c r="H97" i="2"/>
  <c r="I97" i="2"/>
  <c r="J97" i="2"/>
  <c r="K97" i="2"/>
  <c r="L97" i="2"/>
  <c r="M97" i="2"/>
  <c r="N97" i="2"/>
  <c r="O97" i="2"/>
  <c r="P97" i="2"/>
  <c r="Q97" i="2"/>
  <c r="R97" i="2"/>
  <c r="S97" i="2"/>
  <c r="T97" i="2"/>
  <c r="U97" i="2"/>
  <c r="V97" i="2"/>
  <c r="W97" i="2"/>
  <c r="X97" i="2"/>
  <c r="Y97" i="2"/>
  <c r="Z97" i="2"/>
  <c r="AA97" i="2"/>
  <c r="AB97" i="2"/>
  <c r="AC97" i="2"/>
  <c r="AD97" i="2"/>
  <c r="AE97" i="2"/>
  <c r="AF97" i="2"/>
  <c r="AG97" i="2"/>
  <c r="AH97" i="2"/>
  <c r="AI97" i="2"/>
  <c r="AJ97" i="2"/>
  <c r="AK97" i="2"/>
  <c r="AL97" i="2"/>
  <c r="AM97" i="2"/>
  <c r="AN97" i="2"/>
  <c r="AO97" i="2"/>
  <c r="AP97" i="2"/>
  <c r="AQ97" i="2"/>
  <c r="AR97" i="2"/>
  <c r="AS97" i="2"/>
  <c r="AT97" i="2"/>
  <c r="AU97" i="2"/>
  <c r="AV97" i="2"/>
  <c r="AW97" i="2"/>
  <c r="AX97" i="2"/>
  <c r="AY97" i="2"/>
  <c r="AZ97" i="2"/>
  <c r="BA97" i="2"/>
  <c r="BB97" i="2"/>
  <c r="BC97" i="2"/>
  <c r="BD97" i="2"/>
  <c r="BE97" i="2"/>
  <c r="BF97" i="2"/>
  <c r="BG97" i="2"/>
  <c r="BH97" i="2"/>
  <c r="BI97" i="2"/>
  <c r="BJ97" i="2"/>
  <c r="BK97" i="2"/>
  <c r="BL97" i="2"/>
  <c r="BM97" i="2"/>
  <c r="BN97" i="2"/>
  <c r="BO97" i="2"/>
  <c r="BP97" i="2"/>
  <c r="BQ97" i="2"/>
  <c r="BR97" i="2"/>
  <c r="BS97" i="2"/>
  <c r="BT97" i="2"/>
  <c r="BU97" i="2"/>
  <c r="BV97" i="2"/>
  <c r="BW97" i="2"/>
  <c r="BX97" i="2"/>
  <c r="BY97" i="2"/>
  <c r="BZ97" i="2"/>
  <c r="CA97" i="2"/>
  <c r="CB97" i="2"/>
  <c r="CC97" i="2"/>
  <c r="CD97" i="2"/>
  <c r="CE97" i="2"/>
  <c r="CF97" i="2"/>
  <c r="CG97" i="2"/>
  <c r="CH97" i="2"/>
  <c r="CI97" i="2"/>
  <c r="CJ97" i="2"/>
  <c r="CK97" i="2"/>
  <c r="CL97" i="2"/>
  <c r="CM97" i="2"/>
  <c r="CN97" i="2"/>
  <c r="CO97" i="2"/>
  <c r="CP97" i="2"/>
  <c r="CQ97" i="2"/>
  <c r="CR97" i="2"/>
  <c r="CS97" i="2"/>
  <c r="CT97" i="2"/>
  <c r="CU97" i="2"/>
  <c r="CV97" i="2"/>
  <c r="CW97" i="2"/>
  <c r="CX97" i="2"/>
  <c r="D98" i="2"/>
  <c r="E98" i="2"/>
  <c r="F98" i="2"/>
  <c r="G98" i="2"/>
  <c r="H98" i="2"/>
  <c r="I98" i="2"/>
  <c r="J98" i="2"/>
  <c r="K98" i="2"/>
  <c r="L98" i="2"/>
  <c r="M98" i="2"/>
  <c r="N98" i="2"/>
  <c r="O98" i="2"/>
  <c r="P98" i="2"/>
  <c r="Q98" i="2"/>
  <c r="R98" i="2"/>
  <c r="S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AJ98" i="2"/>
  <c r="AK98" i="2"/>
  <c r="AL98" i="2"/>
  <c r="AM98" i="2"/>
  <c r="AN98" i="2"/>
  <c r="AO98" i="2"/>
  <c r="AP98" i="2"/>
  <c r="AQ98" i="2"/>
  <c r="AR98" i="2"/>
  <c r="AS98" i="2"/>
  <c r="AT98" i="2"/>
  <c r="AU98" i="2"/>
  <c r="AV98" i="2"/>
  <c r="AW98" i="2"/>
  <c r="AX98" i="2"/>
  <c r="AY98" i="2"/>
  <c r="AZ98" i="2"/>
  <c r="BA98" i="2"/>
  <c r="BB98" i="2"/>
  <c r="BC98" i="2"/>
  <c r="BD98" i="2"/>
  <c r="BE98" i="2"/>
  <c r="BF98" i="2"/>
  <c r="BG98" i="2"/>
  <c r="BH98" i="2"/>
  <c r="BI98" i="2"/>
  <c r="BJ98" i="2"/>
  <c r="BK98" i="2"/>
  <c r="BL98" i="2"/>
  <c r="BM98" i="2"/>
  <c r="BN98" i="2"/>
  <c r="BO98" i="2"/>
  <c r="BP98" i="2"/>
  <c r="BQ98" i="2"/>
  <c r="BR98" i="2"/>
  <c r="BS98" i="2"/>
  <c r="BT98" i="2"/>
  <c r="BU98" i="2"/>
  <c r="BV98" i="2"/>
  <c r="BW98" i="2"/>
  <c r="BX98" i="2"/>
  <c r="BY98" i="2"/>
  <c r="BZ98" i="2"/>
  <c r="CA98" i="2"/>
  <c r="CB98" i="2"/>
  <c r="CC98" i="2"/>
  <c r="CD98" i="2"/>
  <c r="CE98" i="2"/>
  <c r="CF98" i="2"/>
  <c r="CG98" i="2"/>
  <c r="CH98" i="2"/>
  <c r="CI98" i="2"/>
  <c r="CJ98" i="2"/>
  <c r="CK98" i="2"/>
  <c r="CL98" i="2"/>
  <c r="CM98" i="2"/>
  <c r="CN98" i="2"/>
  <c r="CO98" i="2"/>
  <c r="CP98" i="2"/>
  <c r="CQ98" i="2"/>
  <c r="CR98" i="2"/>
  <c r="CS98" i="2"/>
  <c r="CT98" i="2"/>
  <c r="CU98" i="2"/>
  <c r="CV98" i="2"/>
  <c r="CW98" i="2"/>
  <c r="CX98" i="2"/>
  <c r="D99" i="2"/>
  <c r="E99" i="2"/>
  <c r="F99" i="2"/>
  <c r="G99" i="2"/>
  <c r="H99" i="2"/>
  <c r="I99" i="2"/>
  <c r="J99" i="2"/>
  <c r="K99" i="2"/>
  <c r="L99" i="2"/>
  <c r="M99" i="2"/>
  <c r="N99" i="2"/>
  <c r="O99" i="2"/>
  <c r="P99" i="2"/>
  <c r="Q99" i="2"/>
  <c r="R99" i="2"/>
  <c r="S99" i="2"/>
  <c r="T99" i="2"/>
  <c r="U99" i="2"/>
  <c r="V99" i="2"/>
  <c r="W99" i="2"/>
  <c r="X99" i="2"/>
  <c r="Y99" i="2"/>
  <c r="Z99" i="2"/>
  <c r="AA99" i="2"/>
  <c r="AB99" i="2"/>
  <c r="AC99" i="2"/>
  <c r="AD99" i="2"/>
  <c r="AE99" i="2"/>
  <c r="AF99" i="2"/>
  <c r="AG99" i="2"/>
  <c r="AH99" i="2"/>
  <c r="AI99" i="2"/>
  <c r="AJ99" i="2"/>
  <c r="AK99" i="2"/>
  <c r="AL99" i="2"/>
  <c r="AM99" i="2"/>
  <c r="AN99" i="2"/>
  <c r="AO99" i="2"/>
  <c r="AP99" i="2"/>
  <c r="AQ99" i="2"/>
  <c r="AR99" i="2"/>
  <c r="AS99" i="2"/>
  <c r="AT99" i="2"/>
  <c r="AU99" i="2"/>
  <c r="AV99" i="2"/>
  <c r="AW99" i="2"/>
  <c r="AX99" i="2"/>
  <c r="AY99" i="2"/>
  <c r="AZ99" i="2"/>
  <c r="BA99" i="2"/>
  <c r="BB99" i="2"/>
  <c r="BC99" i="2"/>
  <c r="BD99" i="2"/>
  <c r="BE99" i="2"/>
  <c r="BF99" i="2"/>
  <c r="BG99" i="2"/>
  <c r="BH99" i="2"/>
  <c r="BI99" i="2"/>
  <c r="BJ99" i="2"/>
  <c r="BK99" i="2"/>
  <c r="BL99" i="2"/>
  <c r="BM99" i="2"/>
  <c r="BN99" i="2"/>
  <c r="BO99" i="2"/>
  <c r="BP99" i="2"/>
  <c r="BQ99" i="2"/>
  <c r="BR99" i="2"/>
  <c r="BS99" i="2"/>
  <c r="BT99" i="2"/>
  <c r="BU99" i="2"/>
  <c r="BV99" i="2"/>
  <c r="BW99" i="2"/>
  <c r="BX99" i="2"/>
  <c r="BY99" i="2"/>
  <c r="BZ99" i="2"/>
  <c r="CA99" i="2"/>
  <c r="CB99" i="2"/>
  <c r="CC99" i="2"/>
  <c r="CD99" i="2"/>
  <c r="CE99" i="2"/>
  <c r="CF99" i="2"/>
  <c r="CG99" i="2"/>
  <c r="CH99" i="2"/>
  <c r="CI99" i="2"/>
  <c r="CJ99" i="2"/>
  <c r="CK99" i="2"/>
  <c r="CL99" i="2"/>
  <c r="CM99" i="2"/>
  <c r="CN99" i="2"/>
  <c r="CO99" i="2"/>
  <c r="CP99" i="2"/>
  <c r="CQ99" i="2"/>
  <c r="CR99" i="2"/>
  <c r="CS99" i="2"/>
  <c r="CT99" i="2"/>
  <c r="CU99" i="2"/>
  <c r="CV99" i="2"/>
  <c r="CW99" i="2"/>
  <c r="CX99" i="2"/>
  <c r="D100" i="2"/>
  <c r="E100" i="2"/>
  <c r="F100" i="2"/>
  <c r="G100" i="2"/>
  <c r="H100" i="2"/>
  <c r="I100" i="2"/>
  <c r="J100" i="2"/>
  <c r="K100" i="2"/>
  <c r="L100" i="2"/>
  <c r="M100" i="2"/>
  <c r="N100" i="2"/>
  <c r="O100" i="2"/>
  <c r="P100" i="2"/>
  <c r="Q100" i="2"/>
  <c r="R100" i="2"/>
  <c r="S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AJ100" i="2"/>
  <c r="AK100" i="2"/>
  <c r="AL100" i="2"/>
  <c r="AM100" i="2"/>
  <c r="AN100" i="2"/>
  <c r="AO100" i="2"/>
  <c r="AP100" i="2"/>
  <c r="AQ100" i="2"/>
  <c r="AR100" i="2"/>
  <c r="AS100" i="2"/>
  <c r="AT100" i="2"/>
  <c r="AU100" i="2"/>
  <c r="AV100" i="2"/>
  <c r="AW100" i="2"/>
  <c r="AX100" i="2"/>
  <c r="AY100" i="2"/>
  <c r="AZ100" i="2"/>
  <c r="BA100" i="2"/>
  <c r="BB100" i="2"/>
  <c r="BC100" i="2"/>
  <c r="BD100" i="2"/>
  <c r="BE100" i="2"/>
  <c r="BF100" i="2"/>
  <c r="BG100" i="2"/>
  <c r="BH100" i="2"/>
  <c r="BI100" i="2"/>
  <c r="BJ100" i="2"/>
  <c r="BK100" i="2"/>
  <c r="BL100" i="2"/>
  <c r="BM100" i="2"/>
  <c r="BN100" i="2"/>
  <c r="BO100" i="2"/>
  <c r="BP100" i="2"/>
  <c r="BQ100" i="2"/>
  <c r="BR100" i="2"/>
  <c r="BS100" i="2"/>
  <c r="BT100" i="2"/>
  <c r="BU100" i="2"/>
  <c r="BV100" i="2"/>
  <c r="BW100" i="2"/>
  <c r="BX100" i="2"/>
  <c r="BY100" i="2"/>
  <c r="BZ100" i="2"/>
  <c r="CA100" i="2"/>
  <c r="CB100" i="2"/>
  <c r="CC100" i="2"/>
  <c r="CD100" i="2"/>
  <c r="CE100" i="2"/>
  <c r="CF100" i="2"/>
  <c r="CG100" i="2"/>
  <c r="CH100" i="2"/>
  <c r="CI100" i="2"/>
  <c r="CJ100" i="2"/>
  <c r="CK100" i="2"/>
  <c r="CL100" i="2"/>
  <c r="CM100" i="2"/>
  <c r="CN100" i="2"/>
  <c r="CO100" i="2"/>
  <c r="CP100" i="2"/>
  <c r="CQ100" i="2"/>
  <c r="CR100" i="2"/>
  <c r="CS100" i="2"/>
  <c r="CT100" i="2"/>
  <c r="CU100" i="2"/>
  <c r="CV100" i="2"/>
  <c r="CW100" i="2"/>
  <c r="CX100" i="2"/>
  <c r="D101" i="2"/>
  <c r="E101" i="2"/>
  <c r="F101" i="2"/>
  <c r="G101" i="2"/>
  <c r="H101" i="2"/>
  <c r="I101" i="2"/>
  <c r="J101" i="2"/>
  <c r="K101" i="2"/>
  <c r="L101" i="2"/>
  <c r="M101" i="2"/>
  <c r="N101" i="2"/>
  <c r="O101" i="2"/>
  <c r="P101" i="2"/>
  <c r="Q101" i="2"/>
  <c r="R101" i="2"/>
  <c r="S101" i="2"/>
  <c r="T101" i="2"/>
  <c r="U101" i="2"/>
  <c r="V101" i="2"/>
  <c r="W101" i="2"/>
  <c r="X101" i="2"/>
  <c r="Y101" i="2"/>
  <c r="Z101" i="2"/>
  <c r="AA101" i="2"/>
  <c r="AB101" i="2"/>
  <c r="AC101" i="2"/>
  <c r="AD101" i="2"/>
  <c r="AE101" i="2"/>
  <c r="AF101" i="2"/>
  <c r="AG101" i="2"/>
  <c r="AH101" i="2"/>
  <c r="AI101" i="2"/>
  <c r="AJ101" i="2"/>
  <c r="AK101" i="2"/>
  <c r="AL101" i="2"/>
  <c r="AM101" i="2"/>
  <c r="AN101" i="2"/>
  <c r="AO101" i="2"/>
  <c r="AP101" i="2"/>
  <c r="AQ101" i="2"/>
  <c r="AR101" i="2"/>
  <c r="AS101" i="2"/>
  <c r="AT101" i="2"/>
  <c r="AU101" i="2"/>
  <c r="AV101" i="2"/>
  <c r="AW101" i="2"/>
  <c r="AX101" i="2"/>
  <c r="AY101" i="2"/>
  <c r="AZ101" i="2"/>
  <c r="BA101" i="2"/>
  <c r="BB101" i="2"/>
  <c r="BC101" i="2"/>
  <c r="BD101" i="2"/>
  <c r="BE101" i="2"/>
  <c r="BF101" i="2"/>
  <c r="BG101" i="2"/>
  <c r="BH101" i="2"/>
  <c r="BI101" i="2"/>
  <c r="BJ101" i="2"/>
  <c r="BK101" i="2"/>
  <c r="BL101" i="2"/>
  <c r="BM101" i="2"/>
  <c r="BN101" i="2"/>
  <c r="BO101" i="2"/>
  <c r="BP101" i="2"/>
  <c r="BQ101" i="2"/>
  <c r="BR101" i="2"/>
  <c r="BS101" i="2"/>
  <c r="BT101" i="2"/>
  <c r="BU101" i="2"/>
  <c r="BV101" i="2"/>
  <c r="BW101" i="2"/>
  <c r="BX101" i="2"/>
  <c r="BY101" i="2"/>
  <c r="BZ101" i="2"/>
  <c r="CA101" i="2"/>
  <c r="CB101" i="2"/>
  <c r="CC101" i="2"/>
  <c r="CD101" i="2"/>
  <c r="CE101" i="2"/>
  <c r="CF101" i="2"/>
  <c r="CG101" i="2"/>
  <c r="CH101" i="2"/>
  <c r="CI101" i="2"/>
  <c r="CJ101" i="2"/>
  <c r="CK101" i="2"/>
  <c r="CL101" i="2"/>
  <c r="CM101" i="2"/>
  <c r="CN101" i="2"/>
  <c r="CO101" i="2"/>
  <c r="CP101" i="2"/>
  <c r="CQ101" i="2"/>
  <c r="CR101" i="2"/>
  <c r="CS101" i="2"/>
  <c r="CT101" i="2"/>
  <c r="CU101" i="2"/>
  <c r="CV101" i="2"/>
  <c r="CW101" i="2"/>
  <c r="CX101" i="2"/>
  <c r="D102" i="2"/>
  <c r="E102" i="2"/>
  <c r="F102" i="2"/>
  <c r="G102" i="2"/>
  <c r="H102" i="2"/>
  <c r="I102" i="2"/>
  <c r="J102" i="2"/>
  <c r="K102" i="2"/>
  <c r="L102" i="2"/>
  <c r="M102" i="2"/>
  <c r="N102" i="2"/>
  <c r="O102" i="2"/>
  <c r="P102" i="2"/>
  <c r="Q102" i="2"/>
  <c r="R102" i="2"/>
  <c r="S102" i="2"/>
  <c r="T102" i="2"/>
  <c r="U102" i="2"/>
  <c r="V102" i="2"/>
  <c r="W102" i="2"/>
  <c r="X102" i="2"/>
  <c r="Y102" i="2"/>
  <c r="Z102" i="2"/>
  <c r="AA102" i="2"/>
  <c r="AB102" i="2"/>
  <c r="AC102" i="2"/>
  <c r="AD102" i="2"/>
  <c r="AE102" i="2"/>
  <c r="AF102" i="2"/>
  <c r="AG102" i="2"/>
  <c r="AH102" i="2"/>
  <c r="AI102" i="2"/>
  <c r="AJ102" i="2"/>
  <c r="AK102" i="2"/>
  <c r="AL102" i="2"/>
  <c r="AM102" i="2"/>
  <c r="AN102" i="2"/>
  <c r="AO102" i="2"/>
  <c r="AP102" i="2"/>
  <c r="AQ102" i="2"/>
  <c r="AR102" i="2"/>
  <c r="AS102" i="2"/>
  <c r="AT102" i="2"/>
  <c r="AU102" i="2"/>
  <c r="AV102" i="2"/>
  <c r="AW102" i="2"/>
  <c r="AX102" i="2"/>
  <c r="AY102" i="2"/>
  <c r="AZ102" i="2"/>
  <c r="BA102" i="2"/>
  <c r="BB102" i="2"/>
  <c r="BC102" i="2"/>
  <c r="BD102" i="2"/>
  <c r="BE102" i="2"/>
  <c r="BF102" i="2"/>
  <c r="BG102" i="2"/>
  <c r="BH102" i="2"/>
  <c r="BI102" i="2"/>
  <c r="BJ102" i="2"/>
  <c r="BK102" i="2"/>
  <c r="BL102" i="2"/>
  <c r="BM102" i="2"/>
  <c r="BN102" i="2"/>
  <c r="BO102" i="2"/>
  <c r="BP102" i="2"/>
  <c r="BQ102" i="2"/>
  <c r="BR102" i="2"/>
  <c r="BS102" i="2"/>
  <c r="BT102" i="2"/>
  <c r="BU102" i="2"/>
  <c r="BV102" i="2"/>
  <c r="BW102" i="2"/>
  <c r="BX102" i="2"/>
  <c r="BY102" i="2"/>
  <c r="BZ102" i="2"/>
  <c r="CA102" i="2"/>
  <c r="CB102" i="2"/>
  <c r="CC102" i="2"/>
  <c r="CD102" i="2"/>
  <c r="CE102" i="2"/>
  <c r="CF102" i="2"/>
  <c r="CG102" i="2"/>
  <c r="CH102" i="2"/>
  <c r="CI102" i="2"/>
  <c r="CJ102" i="2"/>
  <c r="CK102" i="2"/>
  <c r="CL102" i="2"/>
  <c r="CM102" i="2"/>
  <c r="CN102" i="2"/>
  <c r="CO102" i="2"/>
  <c r="CP102" i="2"/>
  <c r="CQ102" i="2"/>
  <c r="CR102" i="2"/>
  <c r="CS102" i="2"/>
  <c r="CT102" i="2"/>
  <c r="CU102" i="2"/>
  <c r="CV102" i="2"/>
  <c r="CW102" i="2"/>
  <c r="CX102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3" i="2"/>
  <c r="A4" i="5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3" i="5"/>
</calcChain>
</file>

<file path=xl/sharedStrings.xml><?xml version="1.0" encoding="utf-8"?>
<sst xmlns="http://schemas.openxmlformats.org/spreadsheetml/2006/main" count="446" uniqueCount="129">
  <si>
    <t>type</t>
  </si>
  <si>
    <t>duration</t>
  </si>
  <si>
    <t>dep_time</t>
  </si>
  <si>
    <t>arr_time</t>
  </si>
  <si>
    <t>dep_term</t>
  </si>
  <si>
    <t>arr_term</t>
  </si>
  <si>
    <t>ID</t>
  </si>
  <si>
    <t>DEPOT</t>
  </si>
  <si>
    <t>depot</t>
  </si>
  <si>
    <t>-</t>
  </si>
  <si>
    <t>AB1</t>
  </si>
  <si>
    <t>trip</t>
  </si>
  <si>
    <t>Terminal A</t>
  </si>
  <si>
    <t>Terminal B</t>
  </si>
  <si>
    <t>AB2</t>
  </si>
  <si>
    <t>AB3</t>
  </si>
  <si>
    <t>AB4</t>
  </si>
  <si>
    <t>AB5</t>
  </si>
  <si>
    <t>AB6</t>
  </si>
  <si>
    <t>AB7</t>
  </si>
  <si>
    <t>AB8</t>
  </si>
  <si>
    <t>AB9</t>
  </si>
  <si>
    <t>AB10</t>
  </si>
  <si>
    <t>AC1</t>
  </si>
  <si>
    <t>Terminal C</t>
  </si>
  <si>
    <t>AC2</t>
  </si>
  <si>
    <t>AC3</t>
  </si>
  <si>
    <t>AC4</t>
  </si>
  <si>
    <t>AC5</t>
  </si>
  <si>
    <t>AC6</t>
  </si>
  <si>
    <t>AC7</t>
  </si>
  <si>
    <t>AC8</t>
  </si>
  <si>
    <t>AC9</t>
  </si>
  <si>
    <t>AC10</t>
  </si>
  <si>
    <t>AD1</t>
  </si>
  <si>
    <t>Terminal D</t>
  </si>
  <si>
    <t>AD2</t>
  </si>
  <si>
    <t>AD3</t>
  </si>
  <si>
    <t>AD4</t>
  </si>
  <si>
    <t>AD5</t>
  </si>
  <si>
    <t>AD6</t>
  </si>
  <si>
    <t>AD7</t>
  </si>
  <si>
    <t>AD8</t>
  </si>
  <si>
    <t>AD9</t>
  </si>
  <si>
    <t>AD10</t>
  </si>
  <si>
    <t>BA1</t>
  </si>
  <si>
    <t>BA2</t>
  </si>
  <si>
    <t>BA3</t>
  </si>
  <si>
    <t>BA4</t>
  </si>
  <si>
    <t>BA5</t>
  </si>
  <si>
    <t>BA6</t>
  </si>
  <si>
    <t>BA7</t>
  </si>
  <si>
    <t>BA8</t>
  </si>
  <si>
    <t>BA9</t>
  </si>
  <si>
    <t>BA10</t>
  </si>
  <si>
    <t>BC1</t>
  </si>
  <si>
    <t>BC2</t>
  </si>
  <si>
    <t>BC3</t>
  </si>
  <si>
    <t>BC4</t>
  </si>
  <si>
    <t>BC5</t>
  </si>
  <si>
    <t>BC6</t>
  </si>
  <si>
    <t>BC7</t>
  </si>
  <si>
    <t>BC8</t>
  </si>
  <si>
    <t>BC9</t>
  </si>
  <si>
    <t>BC10</t>
  </si>
  <si>
    <t>CA1</t>
  </si>
  <si>
    <t>CA2</t>
  </si>
  <si>
    <t>CA3</t>
  </si>
  <si>
    <t>CA4</t>
  </si>
  <si>
    <t>CA5</t>
  </si>
  <si>
    <t>CA6</t>
  </si>
  <si>
    <t>CA7</t>
  </si>
  <si>
    <t>CA8</t>
  </si>
  <si>
    <t>CA9</t>
  </si>
  <si>
    <t>CA10</t>
  </si>
  <si>
    <t>CB1</t>
  </si>
  <si>
    <t>CB2</t>
  </si>
  <si>
    <t>CB3</t>
  </si>
  <si>
    <t>CB4</t>
  </si>
  <si>
    <t>CB5</t>
  </si>
  <si>
    <t>CB6</t>
  </si>
  <si>
    <t>CB7</t>
  </si>
  <si>
    <t>CB8</t>
  </si>
  <si>
    <t>CB9</t>
  </si>
  <si>
    <t>CB10</t>
  </si>
  <si>
    <t>CD1</t>
  </si>
  <si>
    <t>CD2</t>
  </si>
  <si>
    <t>CD3</t>
  </si>
  <si>
    <t>CD4</t>
  </si>
  <si>
    <t>CD5</t>
  </si>
  <si>
    <t>CD6</t>
  </si>
  <si>
    <t>CD7</t>
  </si>
  <si>
    <t>CD8</t>
  </si>
  <si>
    <t>CD9</t>
  </si>
  <si>
    <t>CD10</t>
  </si>
  <si>
    <t>DA1</t>
  </si>
  <si>
    <t>DA2</t>
  </si>
  <si>
    <t>DA3</t>
  </si>
  <si>
    <t>DA4</t>
  </si>
  <si>
    <t>DA5</t>
  </si>
  <si>
    <t>DA6</t>
  </si>
  <si>
    <t>DA7</t>
  </si>
  <si>
    <t>DA8</t>
  </si>
  <si>
    <t>DA9</t>
  </si>
  <si>
    <t>DA10</t>
  </si>
  <si>
    <t>DC1</t>
  </si>
  <si>
    <t>DC2</t>
  </si>
  <si>
    <t>DC3</t>
  </si>
  <si>
    <t>DC4</t>
  </si>
  <si>
    <t>DC5</t>
  </si>
  <si>
    <t>DC6</t>
  </si>
  <si>
    <t>DC7</t>
  </si>
  <si>
    <t>DC8</t>
  </si>
  <si>
    <t>DC9</t>
  </si>
  <si>
    <t>DC10</t>
  </si>
  <si>
    <t>CS1</t>
  </si>
  <si>
    <t>cs</t>
  </si>
  <si>
    <t>CS1a</t>
  </si>
  <si>
    <t>CS2b</t>
  </si>
  <si>
    <t>TMAX</t>
  </si>
  <si>
    <t>DMAX</t>
  </si>
  <si>
    <t>Terminal</t>
  </si>
  <si>
    <t>Min_Layover</t>
  </si>
  <si>
    <t>Duration to CS1</t>
  </si>
  <si>
    <t>Duration to CS1a</t>
  </si>
  <si>
    <t>Duration to CS2b</t>
  </si>
  <si>
    <t>Duration to CS3c</t>
  </si>
  <si>
    <t>Duration to CS4d</t>
  </si>
  <si>
    <t>trip_id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</si>
</sst>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5"/>
  <sheetViews>
    <sheetView tabSelected="1" workbookViewId="0">
      <selection activeCell="B2" sqref="B2"/>
    </sheetView>
  </sheetViews>
  <sheetFormatPr defaultRowHeight="15" x14ac:dyDescent="0.25"/>
  <cols>
    <col min="7" max="8" width="10.5703125" bestFit="1" customWidth="1"/>
    <col min="11" max="11" width="10.140625" bestFit="1" customWidth="1"/>
  </cols>
  <sheetData>
    <row r="1" spans="1:12" x14ac:dyDescent="0.25">
      <c r="A1" s="1" t="s">
        <v>6</v>
      </c>
      <c r="B1" s="1" t="s">
        <v>128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12" x14ac:dyDescent="0.25">
      <c r="A2">
        <v>0</v>
      </c>
      <c r="B2" t="s">
        <v>7</v>
      </c>
      <c r="C2" t="s">
        <v>8</v>
      </c>
      <c r="D2">
        <v>0</v>
      </c>
      <c r="E2">
        <v>0</v>
      </c>
      <c r="F2">
        <v>1440</v>
      </c>
      <c r="G2" t="s">
        <v>9</v>
      </c>
      <c r="H2" t="s">
        <v>9</v>
      </c>
    </row>
    <row r="3" spans="1:12" x14ac:dyDescent="0.25">
      <c r="A3">
        <v>1</v>
      </c>
      <c r="B3" t="s">
        <v>10</v>
      </c>
      <c r="C3" t="s">
        <v>11</v>
      </c>
      <c r="D3">
        <v>135</v>
      </c>
      <c r="E3">
        <v>430</v>
      </c>
      <c r="F3">
        <v>565</v>
      </c>
      <c r="G3" t="s">
        <v>12</v>
      </c>
      <c r="H3" t="s">
        <v>13</v>
      </c>
    </row>
    <row r="4" spans="1:12" x14ac:dyDescent="0.25">
      <c r="A4">
        <v>2</v>
      </c>
      <c r="B4" t="s">
        <v>14</v>
      </c>
      <c r="C4" t="s">
        <v>11</v>
      </c>
      <c r="D4">
        <v>135</v>
      </c>
      <c r="E4">
        <v>560</v>
      </c>
      <c r="F4">
        <v>695</v>
      </c>
      <c r="G4" t="s">
        <v>12</v>
      </c>
      <c r="H4" t="s">
        <v>13</v>
      </c>
    </row>
    <row r="5" spans="1:12" x14ac:dyDescent="0.25">
      <c r="A5">
        <v>3</v>
      </c>
      <c r="B5" t="s">
        <v>15</v>
      </c>
      <c r="C5" t="s">
        <v>11</v>
      </c>
      <c r="D5">
        <v>135</v>
      </c>
      <c r="E5">
        <v>720</v>
      </c>
      <c r="F5">
        <v>855</v>
      </c>
      <c r="G5" t="s">
        <v>12</v>
      </c>
      <c r="H5" t="s">
        <v>13</v>
      </c>
    </row>
    <row r="6" spans="1:12" x14ac:dyDescent="0.25">
      <c r="A6">
        <v>4</v>
      </c>
      <c r="B6" t="s">
        <v>16</v>
      </c>
      <c r="C6" t="s">
        <v>11</v>
      </c>
      <c r="D6">
        <v>135</v>
      </c>
      <c r="E6">
        <v>740</v>
      </c>
      <c r="F6">
        <v>875</v>
      </c>
      <c r="G6" t="s">
        <v>12</v>
      </c>
      <c r="H6" t="s">
        <v>13</v>
      </c>
    </row>
    <row r="7" spans="1:12" x14ac:dyDescent="0.25">
      <c r="A7">
        <v>5</v>
      </c>
      <c r="B7" t="s">
        <v>17</v>
      </c>
      <c r="C7" t="s">
        <v>11</v>
      </c>
      <c r="D7">
        <v>135</v>
      </c>
      <c r="E7">
        <v>830</v>
      </c>
      <c r="F7">
        <v>965</v>
      </c>
      <c r="G7" t="s">
        <v>12</v>
      </c>
      <c r="H7" t="s">
        <v>13</v>
      </c>
    </row>
    <row r="8" spans="1:12" x14ac:dyDescent="0.25">
      <c r="A8">
        <v>6</v>
      </c>
      <c r="B8" t="s">
        <v>18</v>
      </c>
      <c r="C8" t="s">
        <v>11</v>
      </c>
      <c r="D8">
        <v>135</v>
      </c>
      <c r="E8">
        <v>920</v>
      </c>
      <c r="F8">
        <v>1055</v>
      </c>
      <c r="G8" t="s">
        <v>12</v>
      </c>
      <c r="H8" t="s">
        <v>13</v>
      </c>
      <c r="J8" t="s">
        <v>119</v>
      </c>
      <c r="K8">
        <v>1355</v>
      </c>
    </row>
    <row r="9" spans="1:12" x14ac:dyDescent="0.25">
      <c r="A9">
        <v>7</v>
      </c>
      <c r="B9" t="s">
        <v>19</v>
      </c>
      <c r="C9" t="s">
        <v>11</v>
      </c>
      <c r="D9">
        <v>135</v>
      </c>
      <c r="E9">
        <v>980</v>
      </c>
      <c r="F9">
        <v>1115</v>
      </c>
      <c r="G9" t="s">
        <v>12</v>
      </c>
      <c r="H9" t="s">
        <v>13</v>
      </c>
    </row>
    <row r="10" spans="1:12" x14ac:dyDescent="0.25">
      <c r="A10">
        <v>8</v>
      </c>
      <c r="B10" t="s">
        <v>20</v>
      </c>
      <c r="C10" t="s">
        <v>11</v>
      </c>
      <c r="D10">
        <v>135</v>
      </c>
      <c r="E10">
        <v>1040</v>
      </c>
      <c r="F10">
        <v>1175</v>
      </c>
      <c r="G10" t="s">
        <v>12</v>
      </c>
      <c r="H10" t="s">
        <v>13</v>
      </c>
    </row>
    <row r="11" spans="1:12" x14ac:dyDescent="0.25">
      <c r="A11">
        <v>9</v>
      </c>
      <c r="B11" t="s">
        <v>21</v>
      </c>
      <c r="C11" t="s">
        <v>11</v>
      </c>
      <c r="D11">
        <v>135</v>
      </c>
      <c r="E11">
        <v>1100</v>
      </c>
      <c r="F11">
        <v>1235</v>
      </c>
      <c r="G11" t="s">
        <v>12</v>
      </c>
      <c r="H11" t="s">
        <v>13</v>
      </c>
    </row>
    <row r="12" spans="1:12" x14ac:dyDescent="0.25">
      <c r="A12">
        <v>10</v>
      </c>
      <c r="B12" t="s">
        <v>22</v>
      </c>
      <c r="C12" t="s">
        <v>11</v>
      </c>
      <c r="D12">
        <v>135</v>
      </c>
      <c r="E12">
        <v>1190</v>
      </c>
      <c r="F12">
        <v>1325</v>
      </c>
      <c r="G12" t="s">
        <v>12</v>
      </c>
      <c r="H12" t="s">
        <v>13</v>
      </c>
      <c r="K12" t="s">
        <v>119</v>
      </c>
      <c r="L12">
        <f>MAX(F3:F102)</f>
        <v>1355</v>
      </c>
    </row>
    <row r="13" spans="1:12" x14ac:dyDescent="0.25">
      <c r="A13">
        <v>11</v>
      </c>
      <c r="B13" t="s">
        <v>23</v>
      </c>
      <c r="C13" t="s">
        <v>11</v>
      </c>
      <c r="D13">
        <v>140</v>
      </c>
      <c r="E13">
        <v>555</v>
      </c>
      <c r="F13">
        <v>695</v>
      </c>
      <c r="G13" t="s">
        <v>12</v>
      </c>
      <c r="H13" t="s">
        <v>24</v>
      </c>
      <c r="K13" t="s">
        <v>120</v>
      </c>
      <c r="L13">
        <v>350</v>
      </c>
    </row>
    <row r="14" spans="1:12" x14ac:dyDescent="0.25">
      <c r="A14">
        <v>12</v>
      </c>
      <c r="B14" t="s">
        <v>25</v>
      </c>
      <c r="C14" t="s">
        <v>11</v>
      </c>
      <c r="D14">
        <v>140</v>
      </c>
      <c r="E14">
        <v>568</v>
      </c>
      <c r="F14">
        <v>708</v>
      </c>
      <c r="G14" t="s">
        <v>12</v>
      </c>
      <c r="H14" t="s">
        <v>24</v>
      </c>
    </row>
    <row r="15" spans="1:12" x14ac:dyDescent="0.25">
      <c r="A15">
        <v>13</v>
      </c>
      <c r="B15" t="s">
        <v>26</v>
      </c>
      <c r="C15" t="s">
        <v>11</v>
      </c>
      <c r="D15">
        <v>140</v>
      </c>
      <c r="E15">
        <v>600</v>
      </c>
      <c r="F15">
        <v>740</v>
      </c>
      <c r="G15" t="s">
        <v>12</v>
      </c>
      <c r="H15" t="s">
        <v>24</v>
      </c>
    </row>
    <row r="16" spans="1:12" x14ac:dyDescent="0.25">
      <c r="A16">
        <v>14</v>
      </c>
      <c r="B16" t="s">
        <v>27</v>
      </c>
      <c r="C16" t="s">
        <v>11</v>
      </c>
      <c r="D16">
        <v>140</v>
      </c>
      <c r="E16">
        <v>675</v>
      </c>
      <c r="F16">
        <v>815</v>
      </c>
      <c r="G16" t="s">
        <v>12</v>
      </c>
      <c r="H16" t="s">
        <v>24</v>
      </c>
    </row>
    <row r="17" spans="1:17" x14ac:dyDescent="0.25">
      <c r="A17">
        <v>15</v>
      </c>
      <c r="B17" t="s">
        <v>28</v>
      </c>
      <c r="C17" t="s">
        <v>11</v>
      </c>
      <c r="D17">
        <v>140</v>
      </c>
      <c r="E17">
        <v>755</v>
      </c>
      <c r="F17">
        <v>895</v>
      </c>
      <c r="G17" t="s">
        <v>12</v>
      </c>
      <c r="H17" t="s">
        <v>24</v>
      </c>
    </row>
    <row r="18" spans="1:17" x14ac:dyDescent="0.25">
      <c r="A18">
        <v>16</v>
      </c>
      <c r="B18" t="s">
        <v>29</v>
      </c>
      <c r="C18" t="s">
        <v>11</v>
      </c>
      <c r="D18">
        <v>140</v>
      </c>
      <c r="E18">
        <v>795</v>
      </c>
      <c r="F18">
        <v>935</v>
      </c>
      <c r="G18" t="s">
        <v>12</v>
      </c>
      <c r="H18" t="s">
        <v>24</v>
      </c>
      <c r="L18" t="s">
        <v>12</v>
      </c>
      <c r="M18" t="s">
        <v>13</v>
      </c>
      <c r="N18" t="s">
        <v>24</v>
      </c>
      <c r="O18" t="s">
        <v>35</v>
      </c>
    </row>
    <row r="19" spans="1:17" x14ac:dyDescent="0.25">
      <c r="A19">
        <v>17</v>
      </c>
      <c r="B19" t="s">
        <v>30</v>
      </c>
      <c r="C19" t="s">
        <v>11</v>
      </c>
      <c r="D19">
        <v>140</v>
      </c>
      <c r="E19">
        <v>920</v>
      </c>
      <c r="F19">
        <v>1060</v>
      </c>
      <c r="G19" t="s">
        <v>12</v>
      </c>
      <c r="H19" t="s">
        <v>24</v>
      </c>
      <c r="K19" t="s">
        <v>12</v>
      </c>
      <c r="L19">
        <v>0</v>
      </c>
      <c r="M19">
        <v>25</v>
      </c>
      <c r="N19">
        <v>30</v>
      </c>
      <c r="O19">
        <v>35</v>
      </c>
    </row>
    <row r="20" spans="1:17" x14ac:dyDescent="0.25">
      <c r="A20">
        <v>18</v>
      </c>
      <c r="B20" t="s">
        <v>31</v>
      </c>
      <c r="C20" t="s">
        <v>11</v>
      </c>
      <c r="D20">
        <v>140</v>
      </c>
      <c r="E20">
        <v>1000</v>
      </c>
      <c r="F20">
        <v>1140</v>
      </c>
      <c r="G20" t="s">
        <v>12</v>
      </c>
      <c r="H20" t="s">
        <v>24</v>
      </c>
      <c r="K20" t="s">
        <v>13</v>
      </c>
      <c r="L20">
        <v>25</v>
      </c>
      <c r="M20">
        <v>0</v>
      </c>
      <c r="N20">
        <v>28</v>
      </c>
      <c r="O20">
        <v>40</v>
      </c>
    </row>
    <row r="21" spans="1:17" x14ac:dyDescent="0.25">
      <c r="A21">
        <v>19</v>
      </c>
      <c r="B21" t="s">
        <v>32</v>
      </c>
      <c r="C21" t="s">
        <v>11</v>
      </c>
      <c r="D21">
        <v>140</v>
      </c>
      <c r="E21">
        <v>1155</v>
      </c>
      <c r="F21">
        <v>1295</v>
      </c>
      <c r="G21" t="s">
        <v>12</v>
      </c>
      <c r="H21" t="s">
        <v>24</v>
      </c>
      <c r="K21" t="s">
        <v>24</v>
      </c>
      <c r="L21">
        <v>30</v>
      </c>
      <c r="M21">
        <v>28</v>
      </c>
      <c r="N21">
        <v>0</v>
      </c>
      <c r="O21">
        <v>33</v>
      </c>
    </row>
    <row r="22" spans="1:17" x14ac:dyDescent="0.25">
      <c r="A22">
        <v>20</v>
      </c>
      <c r="B22" t="s">
        <v>33</v>
      </c>
      <c r="C22" t="s">
        <v>11</v>
      </c>
      <c r="D22">
        <v>140</v>
      </c>
      <c r="E22">
        <v>1215</v>
      </c>
      <c r="F22">
        <v>1355</v>
      </c>
      <c r="G22" t="s">
        <v>12</v>
      </c>
      <c r="H22" t="s">
        <v>24</v>
      </c>
      <c r="K22" t="s">
        <v>35</v>
      </c>
      <c r="L22">
        <v>35</v>
      </c>
      <c r="M22">
        <v>40</v>
      </c>
      <c r="N22">
        <v>33</v>
      </c>
      <c r="O22">
        <v>0</v>
      </c>
    </row>
    <row r="23" spans="1:17" x14ac:dyDescent="0.25">
      <c r="A23">
        <v>21</v>
      </c>
      <c r="B23" t="s">
        <v>34</v>
      </c>
      <c r="C23" t="s">
        <v>11</v>
      </c>
      <c r="D23">
        <v>140</v>
      </c>
      <c r="E23">
        <v>560</v>
      </c>
      <c r="F23">
        <v>700</v>
      </c>
      <c r="G23" t="s">
        <v>12</v>
      </c>
      <c r="H23" t="s">
        <v>35</v>
      </c>
    </row>
    <row r="24" spans="1:17" x14ac:dyDescent="0.25">
      <c r="A24">
        <v>22</v>
      </c>
      <c r="B24" t="s">
        <v>36</v>
      </c>
      <c r="C24" t="s">
        <v>11</v>
      </c>
      <c r="D24">
        <v>140</v>
      </c>
      <c r="E24">
        <v>630</v>
      </c>
      <c r="F24">
        <v>770</v>
      </c>
      <c r="G24" t="s">
        <v>12</v>
      </c>
      <c r="H24" t="s">
        <v>35</v>
      </c>
    </row>
    <row r="25" spans="1:17" x14ac:dyDescent="0.25">
      <c r="A25">
        <v>23</v>
      </c>
      <c r="B25" t="s">
        <v>37</v>
      </c>
      <c r="C25" t="s">
        <v>11</v>
      </c>
      <c r="D25">
        <v>135</v>
      </c>
      <c r="E25">
        <v>790</v>
      </c>
      <c r="F25">
        <v>925</v>
      </c>
      <c r="G25" t="s">
        <v>12</v>
      </c>
      <c r="H25" t="s">
        <v>35</v>
      </c>
      <c r="K25" t="s">
        <v>121</v>
      </c>
      <c r="L25" t="s">
        <v>122</v>
      </c>
      <c r="M25" t="s">
        <v>123</v>
      </c>
      <c r="N25" t="s">
        <v>124</v>
      </c>
      <c r="O25" t="s">
        <v>125</v>
      </c>
      <c r="P25" t="s">
        <v>126</v>
      </c>
      <c r="Q25" t="s">
        <v>127</v>
      </c>
    </row>
    <row r="26" spans="1:17" x14ac:dyDescent="0.25">
      <c r="A26">
        <v>24</v>
      </c>
      <c r="B26" t="s">
        <v>38</v>
      </c>
      <c r="C26" t="s">
        <v>11</v>
      </c>
      <c r="D26">
        <v>140</v>
      </c>
      <c r="E26">
        <v>970</v>
      </c>
      <c r="F26">
        <v>1110</v>
      </c>
      <c r="G26" t="s">
        <v>12</v>
      </c>
      <c r="H26" t="s">
        <v>35</v>
      </c>
      <c r="K26" t="s">
        <v>12</v>
      </c>
      <c r="L26">
        <v>15</v>
      </c>
      <c r="M26">
        <v>30</v>
      </c>
      <c r="N26">
        <v>10</v>
      </c>
      <c r="O26">
        <v>75</v>
      </c>
      <c r="P26">
        <v>75</v>
      </c>
      <c r="Q26">
        <v>75</v>
      </c>
    </row>
    <row r="27" spans="1:17" x14ac:dyDescent="0.25">
      <c r="A27">
        <v>25</v>
      </c>
      <c r="B27" t="s">
        <v>39</v>
      </c>
      <c r="C27" t="s">
        <v>11</v>
      </c>
      <c r="D27">
        <v>140</v>
      </c>
      <c r="E27">
        <v>1120</v>
      </c>
      <c r="F27">
        <v>1240</v>
      </c>
      <c r="G27" t="s">
        <v>12</v>
      </c>
      <c r="H27" t="s">
        <v>35</v>
      </c>
      <c r="K27" t="s">
        <v>13</v>
      </c>
      <c r="L27">
        <v>15</v>
      </c>
      <c r="M27">
        <v>30</v>
      </c>
      <c r="N27">
        <v>75</v>
      </c>
      <c r="O27">
        <v>10</v>
      </c>
      <c r="P27">
        <v>75</v>
      </c>
      <c r="Q27">
        <v>75</v>
      </c>
    </row>
    <row r="28" spans="1:17" x14ac:dyDescent="0.25">
      <c r="A28">
        <v>26</v>
      </c>
      <c r="B28" t="s">
        <v>40</v>
      </c>
      <c r="C28" t="s">
        <v>11</v>
      </c>
      <c r="D28">
        <v>140</v>
      </c>
      <c r="E28">
        <v>480</v>
      </c>
      <c r="F28">
        <v>620</v>
      </c>
      <c r="G28" t="s">
        <v>12</v>
      </c>
      <c r="H28" t="s">
        <v>35</v>
      </c>
      <c r="K28" t="s">
        <v>24</v>
      </c>
      <c r="L28">
        <v>15</v>
      </c>
      <c r="M28">
        <v>30</v>
      </c>
      <c r="N28">
        <v>75</v>
      </c>
      <c r="O28">
        <v>75</v>
      </c>
      <c r="P28">
        <v>10</v>
      </c>
      <c r="Q28">
        <v>75</v>
      </c>
    </row>
    <row r="29" spans="1:17" x14ac:dyDescent="0.25">
      <c r="A29">
        <v>27</v>
      </c>
      <c r="B29" t="s">
        <v>41</v>
      </c>
      <c r="C29" t="s">
        <v>11</v>
      </c>
      <c r="D29">
        <v>140</v>
      </c>
      <c r="E29">
        <v>500</v>
      </c>
      <c r="F29">
        <v>640</v>
      </c>
      <c r="G29" t="s">
        <v>12</v>
      </c>
      <c r="H29" t="s">
        <v>35</v>
      </c>
      <c r="K29" t="s">
        <v>35</v>
      </c>
      <c r="L29">
        <v>15</v>
      </c>
      <c r="M29">
        <v>30</v>
      </c>
      <c r="N29">
        <v>75</v>
      </c>
      <c r="O29">
        <v>75</v>
      </c>
      <c r="P29">
        <v>75</v>
      </c>
      <c r="Q29">
        <v>10</v>
      </c>
    </row>
    <row r="30" spans="1:17" x14ac:dyDescent="0.25">
      <c r="A30">
        <v>28</v>
      </c>
      <c r="B30" t="s">
        <v>42</v>
      </c>
      <c r="C30" t="s">
        <v>11</v>
      </c>
      <c r="D30">
        <v>135</v>
      </c>
      <c r="E30">
        <v>750</v>
      </c>
      <c r="F30">
        <v>885</v>
      </c>
      <c r="G30" t="s">
        <v>12</v>
      </c>
      <c r="H30" t="s">
        <v>35</v>
      </c>
    </row>
    <row r="31" spans="1:17" x14ac:dyDescent="0.25">
      <c r="A31">
        <v>29</v>
      </c>
      <c r="B31" t="s">
        <v>43</v>
      </c>
      <c r="C31" t="s">
        <v>11</v>
      </c>
      <c r="D31">
        <v>140</v>
      </c>
      <c r="E31">
        <v>930</v>
      </c>
      <c r="F31">
        <v>1070</v>
      </c>
      <c r="G31" t="s">
        <v>12</v>
      </c>
      <c r="H31" t="s">
        <v>35</v>
      </c>
    </row>
    <row r="32" spans="1:17" x14ac:dyDescent="0.25">
      <c r="A32">
        <v>30</v>
      </c>
      <c r="B32" t="s">
        <v>44</v>
      </c>
      <c r="C32" t="s">
        <v>11</v>
      </c>
      <c r="D32">
        <v>100</v>
      </c>
      <c r="E32">
        <v>1100</v>
      </c>
      <c r="F32">
        <v>1200</v>
      </c>
      <c r="G32" t="s">
        <v>12</v>
      </c>
      <c r="H32" t="s">
        <v>35</v>
      </c>
    </row>
    <row r="33" spans="1:8" x14ac:dyDescent="0.25">
      <c r="A33">
        <v>31</v>
      </c>
      <c r="B33" t="s">
        <v>45</v>
      </c>
      <c r="C33" t="s">
        <v>11</v>
      </c>
      <c r="D33">
        <v>135</v>
      </c>
      <c r="E33">
        <v>540</v>
      </c>
      <c r="F33">
        <v>675</v>
      </c>
      <c r="G33" t="s">
        <v>13</v>
      </c>
      <c r="H33" t="s">
        <v>12</v>
      </c>
    </row>
    <row r="34" spans="1:8" x14ac:dyDescent="0.25">
      <c r="A34">
        <v>32</v>
      </c>
      <c r="B34" t="s">
        <v>46</v>
      </c>
      <c r="C34" t="s">
        <v>11</v>
      </c>
      <c r="D34">
        <v>135</v>
      </c>
      <c r="E34">
        <v>630</v>
      </c>
      <c r="F34">
        <v>765</v>
      </c>
      <c r="G34" t="s">
        <v>13</v>
      </c>
      <c r="H34" t="s">
        <v>12</v>
      </c>
    </row>
    <row r="35" spans="1:8" x14ac:dyDescent="0.25">
      <c r="A35">
        <v>33</v>
      </c>
      <c r="B35" t="s">
        <v>47</v>
      </c>
      <c r="C35" t="s">
        <v>11</v>
      </c>
      <c r="D35">
        <v>135</v>
      </c>
      <c r="E35">
        <v>720</v>
      </c>
      <c r="F35">
        <v>855</v>
      </c>
      <c r="G35" t="s">
        <v>13</v>
      </c>
      <c r="H35" t="s">
        <v>12</v>
      </c>
    </row>
    <row r="36" spans="1:8" x14ac:dyDescent="0.25">
      <c r="A36">
        <v>34</v>
      </c>
      <c r="B36" t="s">
        <v>48</v>
      </c>
      <c r="C36" t="s">
        <v>11</v>
      </c>
      <c r="D36">
        <v>135</v>
      </c>
      <c r="E36">
        <v>810</v>
      </c>
      <c r="F36">
        <v>945</v>
      </c>
      <c r="G36" t="s">
        <v>13</v>
      </c>
      <c r="H36" t="s">
        <v>12</v>
      </c>
    </row>
    <row r="37" spans="1:8" x14ac:dyDescent="0.25">
      <c r="A37">
        <v>35</v>
      </c>
      <c r="B37" t="s">
        <v>49</v>
      </c>
      <c r="C37" t="s">
        <v>11</v>
      </c>
      <c r="D37">
        <v>135</v>
      </c>
      <c r="E37">
        <v>900</v>
      </c>
      <c r="F37">
        <v>1035</v>
      </c>
      <c r="G37" t="s">
        <v>13</v>
      </c>
      <c r="H37" t="s">
        <v>12</v>
      </c>
    </row>
    <row r="38" spans="1:8" x14ac:dyDescent="0.25">
      <c r="A38">
        <v>36</v>
      </c>
      <c r="B38" t="s">
        <v>50</v>
      </c>
      <c r="C38" t="s">
        <v>11</v>
      </c>
      <c r="D38">
        <v>135</v>
      </c>
      <c r="E38">
        <v>990</v>
      </c>
      <c r="F38">
        <v>1125</v>
      </c>
      <c r="G38" t="s">
        <v>13</v>
      </c>
      <c r="H38" t="s">
        <v>12</v>
      </c>
    </row>
    <row r="39" spans="1:8" x14ac:dyDescent="0.25">
      <c r="A39">
        <v>37</v>
      </c>
      <c r="B39" t="s">
        <v>51</v>
      </c>
      <c r="C39" t="s">
        <v>11</v>
      </c>
      <c r="D39">
        <v>135</v>
      </c>
      <c r="E39">
        <v>1080</v>
      </c>
      <c r="F39">
        <v>1215</v>
      </c>
      <c r="G39" t="s">
        <v>13</v>
      </c>
      <c r="H39" t="s">
        <v>12</v>
      </c>
    </row>
    <row r="40" spans="1:8" x14ac:dyDescent="0.25">
      <c r="A40">
        <v>38</v>
      </c>
      <c r="B40" t="s">
        <v>52</v>
      </c>
      <c r="C40" t="s">
        <v>11</v>
      </c>
      <c r="D40">
        <v>135</v>
      </c>
      <c r="E40">
        <v>1140</v>
      </c>
      <c r="F40">
        <v>1275</v>
      </c>
      <c r="G40" t="s">
        <v>13</v>
      </c>
      <c r="H40" t="s">
        <v>12</v>
      </c>
    </row>
    <row r="41" spans="1:8" x14ac:dyDescent="0.25">
      <c r="A41">
        <v>39</v>
      </c>
      <c r="B41" t="s">
        <v>53</v>
      </c>
      <c r="C41" t="s">
        <v>11</v>
      </c>
      <c r="D41">
        <v>135</v>
      </c>
      <c r="E41">
        <v>440</v>
      </c>
      <c r="F41">
        <v>575</v>
      </c>
      <c r="G41" t="s">
        <v>13</v>
      </c>
      <c r="H41" t="s">
        <v>12</v>
      </c>
    </row>
    <row r="42" spans="1:8" x14ac:dyDescent="0.25">
      <c r="A42">
        <v>40</v>
      </c>
      <c r="B42" t="s">
        <v>54</v>
      </c>
      <c r="C42" t="s">
        <v>11</v>
      </c>
      <c r="D42">
        <v>75</v>
      </c>
      <c r="E42">
        <v>1200</v>
      </c>
      <c r="F42">
        <v>1275</v>
      </c>
      <c r="G42" t="s">
        <v>13</v>
      </c>
      <c r="H42" t="s">
        <v>12</v>
      </c>
    </row>
    <row r="43" spans="1:8" x14ac:dyDescent="0.25">
      <c r="A43">
        <v>41</v>
      </c>
      <c r="B43" t="s">
        <v>55</v>
      </c>
      <c r="C43" t="s">
        <v>11</v>
      </c>
      <c r="D43">
        <v>140</v>
      </c>
      <c r="E43">
        <v>435</v>
      </c>
      <c r="F43">
        <v>570</v>
      </c>
      <c r="G43" t="s">
        <v>13</v>
      </c>
      <c r="H43" t="s">
        <v>24</v>
      </c>
    </row>
    <row r="44" spans="1:8" x14ac:dyDescent="0.25">
      <c r="A44">
        <v>42</v>
      </c>
      <c r="B44" t="s">
        <v>56</v>
      </c>
      <c r="C44" t="s">
        <v>11</v>
      </c>
      <c r="D44">
        <v>140</v>
      </c>
      <c r="E44">
        <v>595</v>
      </c>
      <c r="F44">
        <v>735</v>
      </c>
      <c r="G44" t="s">
        <v>13</v>
      </c>
      <c r="H44" t="s">
        <v>24</v>
      </c>
    </row>
    <row r="45" spans="1:8" x14ac:dyDescent="0.25">
      <c r="A45">
        <v>43</v>
      </c>
      <c r="B45" t="s">
        <v>57</v>
      </c>
      <c r="C45" t="s">
        <v>11</v>
      </c>
      <c r="D45">
        <v>120</v>
      </c>
      <c r="E45">
        <v>800</v>
      </c>
      <c r="F45">
        <v>920</v>
      </c>
      <c r="G45" t="s">
        <v>13</v>
      </c>
      <c r="H45" t="s">
        <v>24</v>
      </c>
    </row>
    <row r="46" spans="1:8" x14ac:dyDescent="0.25">
      <c r="A46">
        <v>44</v>
      </c>
      <c r="B46" t="s">
        <v>58</v>
      </c>
      <c r="C46" t="s">
        <v>11</v>
      </c>
      <c r="D46">
        <v>130</v>
      </c>
      <c r="E46">
        <v>950</v>
      </c>
      <c r="F46">
        <v>1130</v>
      </c>
      <c r="G46" t="s">
        <v>13</v>
      </c>
      <c r="H46" t="s">
        <v>24</v>
      </c>
    </row>
    <row r="47" spans="1:8" x14ac:dyDescent="0.25">
      <c r="A47">
        <v>45</v>
      </c>
      <c r="B47" t="s">
        <v>59</v>
      </c>
      <c r="C47" t="s">
        <v>11</v>
      </c>
      <c r="D47">
        <v>70</v>
      </c>
      <c r="E47">
        <v>450</v>
      </c>
      <c r="F47">
        <v>520</v>
      </c>
      <c r="G47" t="s">
        <v>13</v>
      </c>
      <c r="H47" t="s">
        <v>24</v>
      </c>
    </row>
    <row r="48" spans="1:8" x14ac:dyDescent="0.25">
      <c r="A48">
        <v>46</v>
      </c>
      <c r="B48" t="s">
        <v>60</v>
      </c>
      <c r="C48" t="s">
        <v>11</v>
      </c>
      <c r="D48">
        <v>60</v>
      </c>
      <c r="E48">
        <v>505</v>
      </c>
      <c r="F48">
        <v>565</v>
      </c>
      <c r="G48" t="s">
        <v>13</v>
      </c>
      <c r="H48" t="s">
        <v>24</v>
      </c>
    </row>
    <row r="49" spans="1:8" x14ac:dyDescent="0.25">
      <c r="A49">
        <v>47</v>
      </c>
      <c r="B49" t="s">
        <v>61</v>
      </c>
      <c r="C49" t="s">
        <v>11</v>
      </c>
      <c r="D49">
        <v>120</v>
      </c>
      <c r="E49">
        <v>900</v>
      </c>
      <c r="F49">
        <v>1020</v>
      </c>
      <c r="G49" t="s">
        <v>13</v>
      </c>
      <c r="H49" t="s">
        <v>24</v>
      </c>
    </row>
    <row r="50" spans="1:8" x14ac:dyDescent="0.25">
      <c r="A50">
        <v>48</v>
      </c>
      <c r="B50" t="s">
        <v>62</v>
      </c>
      <c r="C50" t="s">
        <v>11</v>
      </c>
      <c r="D50">
        <v>105</v>
      </c>
      <c r="E50">
        <v>740</v>
      </c>
      <c r="F50">
        <v>845</v>
      </c>
      <c r="G50" t="s">
        <v>13</v>
      </c>
      <c r="H50" t="s">
        <v>24</v>
      </c>
    </row>
    <row r="51" spans="1:8" x14ac:dyDescent="0.25">
      <c r="A51">
        <v>49</v>
      </c>
      <c r="B51" t="s">
        <v>63</v>
      </c>
      <c r="C51" t="s">
        <v>11</v>
      </c>
      <c r="D51">
        <v>90</v>
      </c>
      <c r="E51">
        <v>600</v>
      </c>
      <c r="F51">
        <v>690</v>
      </c>
      <c r="G51" t="s">
        <v>13</v>
      </c>
      <c r="H51" t="s">
        <v>24</v>
      </c>
    </row>
    <row r="52" spans="1:8" x14ac:dyDescent="0.25">
      <c r="A52">
        <v>50</v>
      </c>
      <c r="B52" t="s">
        <v>64</v>
      </c>
      <c r="C52" t="s">
        <v>11</v>
      </c>
      <c r="D52">
        <v>135</v>
      </c>
      <c r="E52">
        <v>730</v>
      </c>
      <c r="F52">
        <v>865</v>
      </c>
      <c r="G52" t="s">
        <v>13</v>
      </c>
      <c r="H52" t="s">
        <v>24</v>
      </c>
    </row>
    <row r="53" spans="1:8" x14ac:dyDescent="0.25">
      <c r="A53">
        <v>51</v>
      </c>
      <c r="B53" t="s">
        <v>65</v>
      </c>
      <c r="C53" t="s">
        <v>11</v>
      </c>
      <c r="D53">
        <v>140</v>
      </c>
      <c r="E53">
        <v>570</v>
      </c>
      <c r="F53">
        <v>710</v>
      </c>
      <c r="G53" t="s">
        <v>24</v>
      </c>
      <c r="H53" t="s">
        <v>12</v>
      </c>
    </row>
    <row r="54" spans="1:8" x14ac:dyDescent="0.25">
      <c r="A54">
        <v>52</v>
      </c>
      <c r="B54" t="s">
        <v>66</v>
      </c>
      <c r="C54" t="s">
        <v>11</v>
      </c>
      <c r="D54">
        <v>140</v>
      </c>
      <c r="E54">
        <v>740</v>
      </c>
      <c r="F54">
        <v>880</v>
      </c>
      <c r="G54" t="s">
        <v>24</v>
      </c>
      <c r="H54" t="s">
        <v>12</v>
      </c>
    </row>
    <row r="55" spans="1:8" x14ac:dyDescent="0.25">
      <c r="A55">
        <v>53</v>
      </c>
      <c r="B55" t="s">
        <v>67</v>
      </c>
      <c r="C55" t="s">
        <v>11</v>
      </c>
      <c r="D55">
        <v>140</v>
      </c>
      <c r="E55">
        <v>860</v>
      </c>
      <c r="F55">
        <v>1000</v>
      </c>
      <c r="G55" t="s">
        <v>24</v>
      </c>
      <c r="H55" t="s">
        <v>12</v>
      </c>
    </row>
    <row r="56" spans="1:8" x14ac:dyDescent="0.25">
      <c r="A56">
        <v>54</v>
      </c>
      <c r="B56" t="s">
        <v>68</v>
      </c>
      <c r="C56" t="s">
        <v>11</v>
      </c>
      <c r="D56">
        <v>140</v>
      </c>
      <c r="E56">
        <v>920</v>
      </c>
      <c r="F56">
        <v>1060</v>
      </c>
      <c r="G56" t="s">
        <v>24</v>
      </c>
      <c r="H56" t="s">
        <v>12</v>
      </c>
    </row>
    <row r="57" spans="1:8" x14ac:dyDescent="0.25">
      <c r="A57">
        <v>55</v>
      </c>
      <c r="B57" t="s">
        <v>69</v>
      </c>
      <c r="C57" t="s">
        <v>11</v>
      </c>
      <c r="D57">
        <v>140</v>
      </c>
      <c r="E57">
        <v>1040</v>
      </c>
      <c r="F57">
        <v>1180</v>
      </c>
      <c r="G57" t="s">
        <v>24</v>
      </c>
      <c r="H57" t="s">
        <v>12</v>
      </c>
    </row>
    <row r="58" spans="1:8" x14ac:dyDescent="0.25">
      <c r="A58">
        <v>56</v>
      </c>
      <c r="B58" t="s">
        <v>70</v>
      </c>
      <c r="C58" t="s">
        <v>11</v>
      </c>
      <c r="D58">
        <v>120</v>
      </c>
      <c r="E58">
        <v>580</v>
      </c>
      <c r="F58">
        <v>700</v>
      </c>
      <c r="G58" t="s">
        <v>24</v>
      </c>
      <c r="H58" t="s">
        <v>12</v>
      </c>
    </row>
    <row r="59" spans="1:8" x14ac:dyDescent="0.25">
      <c r="A59">
        <v>57</v>
      </c>
      <c r="B59" t="s">
        <v>71</v>
      </c>
      <c r="C59" t="s">
        <v>11</v>
      </c>
      <c r="D59">
        <v>115</v>
      </c>
      <c r="E59">
        <v>630</v>
      </c>
      <c r="F59">
        <v>745</v>
      </c>
      <c r="G59" t="s">
        <v>24</v>
      </c>
      <c r="H59" t="s">
        <v>12</v>
      </c>
    </row>
    <row r="60" spans="1:8" x14ac:dyDescent="0.25">
      <c r="A60">
        <v>58</v>
      </c>
      <c r="B60" t="s">
        <v>72</v>
      </c>
      <c r="C60" t="s">
        <v>11</v>
      </c>
      <c r="D60">
        <v>125</v>
      </c>
      <c r="E60">
        <v>825</v>
      </c>
      <c r="F60">
        <v>950</v>
      </c>
      <c r="G60" t="s">
        <v>24</v>
      </c>
      <c r="H60" t="s">
        <v>12</v>
      </c>
    </row>
    <row r="61" spans="1:8" x14ac:dyDescent="0.25">
      <c r="A61">
        <v>59</v>
      </c>
      <c r="B61" t="s">
        <v>73</v>
      </c>
      <c r="C61" t="s">
        <v>11</v>
      </c>
      <c r="D61">
        <v>60</v>
      </c>
      <c r="E61">
        <v>1210</v>
      </c>
      <c r="F61">
        <v>1270</v>
      </c>
      <c r="G61" t="s">
        <v>24</v>
      </c>
      <c r="H61" t="s">
        <v>12</v>
      </c>
    </row>
    <row r="62" spans="1:8" x14ac:dyDescent="0.25">
      <c r="A62">
        <v>60</v>
      </c>
      <c r="B62" t="s">
        <v>74</v>
      </c>
      <c r="C62" t="s">
        <v>11</v>
      </c>
      <c r="D62">
        <v>90</v>
      </c>
      <c r="E62">
        <v>1000</v>
      </c>
      <c r="F62">
        <v>1090</v>
      </c>
      <c r="G62" t="s">
        <v>24</v>
      </c>
      <c r="H62" t="s">
        <v>12</v>
      </c>
    </row>
    <row r="63" spans="1:8" x14ac:dyDescent="0.25">
      <c r="A63">
        <v>61</v>
      </c>
      <c r="B63" t="s">
        <v>75</v>
      </c>
      <c r="C63" t="s">
        <v>11</v>
      </c>
      <c r="D63">
        <v>120</v>
      </c>
      <c r="E63">
        <v>300</v>
      </c>
      <c r="F63">
        <v>420</v>
      </c>
      <c r="G63" t="s">
        <v>24</v>
      </c>
      <c r="H63" t="s">
        <v>13</v>
      </c>
    </row>
    <row r="64" spans="1:8" x14ac:dyDescent="0.25">
      <c r="A64">
        <v>62</v>
      </c>
      <c r="B64" t="s">
        <v>76</v>
      </c>
      <c r="C64" t="s">
        <v>11</v>
      </c>
      <c r="D64">
        <v>140</v>
      </c>
      <c r="E64">
        <v>540</v>
      </c>
      <c r="F64">
        <v>680</v>
      </c>
      <c r="G64" t="s">
        <v>24</v>
      </c>
      <c r="H64" t="s">
        <v>13</v>
      </c>
    </row>
    <row r="65" spans="1:8" x14ac:dyDescent="0.25">
      <c r="A65">
        <v>63</v>
      </c>
      <c r="B65" t="s">
        <v>77</v>
      </c>
      <c r="C65" t="s">
        <v>11</v>
      </c>
      <c r="D65">
        <v>140</v>
      </c>
      <c r="E65">
        <v>645</v>
      </c>
      <c r="F65">
        <v>785</v>
      </c>
      <c r="G65" t="s">
        <v>24</v>
      </c>
      <c r="H65" t="s">
        <v>13</v>
      </c>
    </row>
    <row r="66" spans="1:8" x14ac:dyDescent="0.25">
      <c r="A66">
        <v>64</v>
      </c>
      <c r="B66" t="s">
        <v>78</v>
      </c>
      <c r="C66" t="s">
        <v>11</v>
      </c>
      <c r="D66">
        <v>120</v>
      </c>
      <c r="E66">
        <v>900</v>
      </c>
      <c r="F66">
        <v>1020</v>
      </c>
      <c r="G66" t="s">
        <v>24</v>
      </c>
      <c r="H66" t="s">
        <v>13</v>
      </c>
    </row>
    <row r="67" spans="1:8" x14ac:dyDescent="0.25">
      <c r="A67">
        <v>65</v>
      </c>
      <c r="B67" t="s">
        <v>79</v>
      </c>
      <c r="C67" t="s">
        <v>11</v>
      </c>
      <c r="D67">
        <v>120</v>
      </c>
      <c r="E67">
        <v>400</v>
      </c>
      <c r="F67">
        <v>520</v>
      </c>
      <c r="G67" t="s">
        <v>24</v>
      </c>
      <c r="H67" t="s">
        <v>13</v>
      </c>
    </row>
    <row r="68" spans="1:8" x14ac:dyDescent="0.25">
      <c r="A68">
        <v>66</v>
      </c>
      <c r="B68" t="s">
        <v>80</v>
      </c>
      <c r="C68" t="s">
        <v>11</v>
      </c>
      <c r="D68">
        <v>140</v>
      </c>
      <c r="E68">
        <v>530</v>
      </c>
      <c r="F68">
        <v>670</v>
      </c>
      <c r="G68" t="s">
        <v>24</v>
      </c>
      <c r="H68" t="s">
        <v>13</v>
      </c>
    </row>
    <row r="69" spans="1:8" x14ac:dyDescent="0.25">
      <c r="A69">
        <v>67</v>
      </c>
      <c r="B69" t="s">
        <v>81</v>
      </c>
      <c r="C69" t="s">
        <v>11</v>
      </c>
      <c r="D69">
        <v>140</v>
      </c>
      <c r="E69">
        <v>755</v>
      </c>
      <c r="F69">
        <v>895</v>
      </c>
      <c r="G69" t="s">
        <v>24</v>
      </c>
      <c r="H69" t="s">
        <v>13</v>
      </c>
    </row>
    <row r="70" spans="1:8" x14ac:dyDescent="0.25">
      <c r="A70">
        <v>68</v>
      </c>
      <c r="B70" t="s">
        <v>82</v>
      </c>
      <c r="C70" t="s">
        <v>11</v>
      </c>
      <c r="D70">
        <v>100</v>
      </c>
      <c r="E70">
        <v>790</v>
      </c>
      <c r="F70">
        <v>890</v>
      </c>
      <c r="G70" t="s">
        <v>24</v>
      </c>
      <c r="H70" t="s">
        <v>13</v>
      </c>
    </row>
    <row r="71" spans="1:8" x14ac:dyDescent="0.25">
      <c r="A71">
        <v>69</v>
      </c>
      <c r="B71" t="s">
        <v>83</v>
      </c>
      <c r="C71" t="s">
        <v>11</v>
      </c>
      <c r="D71">
        <v>101</v>
      </c>
      <c r="E71">
        <v>800</v>
      </c>
      <c r="F71">
        <v>901</v>
      </c>
      <c r="G71" t="s">
        <v>24</v>
      </c>
      <c r="H71" t="s">
        <v>13</v>
      </c>
    </row>
    <row r="72" spans="1:8" x14ac:dyDescent="0.25">
      <c r="A72">
        <v>70</v>
      </c>
      <c r="B72" t="s">
        <v>84</v>
      </c>
      <c r="C72" t="s">
        <v>11</v>
      </c>
      <c r="D72">
        <v>120</v>
      </c>
      <c r="E72">
        <v>750</v>
      </c>
      <c r="F72">
        <v>1020</v>
      </c>
      <c r="G72" t="s">
        <v>24</v>
      </c>
      <c r="H72" t="s">
        <v>13</v>
      </c>
    </row>
    <row r="73" spans="1:8" x14ac:dyDescent="0.25">
      <c r="A73">
        <v>71</v>
      </c>
      <c r="B73" t="s">
        <v>85</v>
      </c>
      <c r="C73" t="s">
        <v>11</v>
      </c>
      <c r="D73">
        <v>140</v>
      </c>
      <c r="E73">
        <v>450</v>
      </c>
      <c r="F73">
        <v>585</v>
      </c>
      <c r="G73" t="s">
        <v>24</v>
      </c>
      <c r="H73" t="s">
        <v>35</v>
      </c>
    </row>
    <row r="74" spans="1:8" x14ac:dyDescent="0.25">
      <c r="A74">
        <v>72</v>
      </c>
      <c r="B74" t="s">
        <v>86</v>
      </c>
      <c r="C74" t="s">
        <v>11</v>
      </c>
      <c r="D74">
        <v>135</v>
      </c>
      <c r="E74">
        <v>550</v>
      </c>
      <c r="F74">
        <v>685</v>
      </c>
      <c r="G74" t="s">
        <v>24</v>
      </c>
      <c r="H74" t="s">
        <v>35</v>
      </c>
    </row>
    <row r="75" spans="1:8" x14ac:dyDescent="0.25">
      <c r="A75">
        <v>73</v>
      </c>
      <c r="B75" t="s">
        <v>87</v>
      </c>
      <c r="C75" t="s">
        <v>11</v>
      </c>
      <c r="D75">
        <v>135</v>
      </c>
      <c r="E75">
        <v>600</v>
      </c>
      <c r="F75">
        <v>735</v>
      </c>
      <c r="G75" t="s">
        <v>24</v>
      </c>
      <c r="H75" t="s">
        <v>35</v>
      </c>
    </row>
    <row r="76" spans="1:8" x14ac:dyDescent="0.25">
      <c r="A76">
        <v>74</v>
      </c>
      <c r="B76" t="s">
        <v>88</v>
      </c>
      <c r="C76" t="s">
        <v>11</v>
      </c>
      <c r="D76">
        <v>135</v>
      </c>
      <c r="E76">
        <v>765</v>
      </c>
      <c r="F76">
        <v>900</v>
      </c>
      <c r="G76" t="s">
        <v>24</v>
      </c>
      <c r="H76" t="s">
        <v>35</v>
      </c>
    </row>
    <row r="77" spans="1:8" x14ac:dyDescent="0.25">
      <c r="A77">
        <v>75</v>
      </c>
      <c r="B77" t="s">
        <v>89</v>
      </c>
      <c r="C77" t="s">
        <v>11</v>
      </c>
      <c r="D77">
        <v>120</v>
      </c>
      <c r="E77">
        <v>850</v>
      </c>
      <c r="F77">
        <v>970</v>
      </c>
      <c r="G77" t="s">
        <v>24</v>
      </c>
      <c r="H77" t="s">
        <v>35</v>
      </c>
    </row>
    <row r="78" spans="1:8" x14ac:dyDescent="0.25">
      <c r="A78">
        <v>76</v>
      </c>
      <c r="B78" t="s">
        <v>90</v>
      </c>
      <c r="C78" t="s">
        <v>11</v>
      </c>
      <c r="D78">
        <v>140</v>
      </c>
      <c r="E78">
        <v>480</v>
      </c>
      <c r="F78">
        <v>620</v>
      </c>
      <c r="G78" t="s">
        <v>24</v>
      </c>
      <c r="H78" t="s">
        <v>35</v>
      </c>
    </row>
    <row r="79" spans="1:8" x14ac:dyDescent="0.25">
      <c r="A79">
        <v>77</v>
      </c>
      <c r="B79" t="s">
        <v>91</v>
      </c>
      <c r="C79" t="s">
        <v>11</v>
      </c>
      <c r="D79">
        <v>75</v>
      </c>
      <c r="E79">
        <v>585</v>
      </c>
      <c r="F79">
        <v>660</v>
      </c>
      <c r="G79" t="s">
        <v>24</v>
      </c>
      <c r="H79" t="s">
        <v>35</v>
      </c>
    </row>
    <row r="80" spans="1:8" x14ac:dyDescent="0.25">
      <c r="A80">
        <v>78</v>
      </c>
      <c r="B80" t="s">
        <v>92</v>
      </c>
      <c r="C80" t="s">
        <v>11</v>
      </c>
      <c r="D80">
        <v>65</v>
      </c>
      <c r="E80">
        <v>905</v>
      </c>
      <c r="F80">
        <v>970</v>
      </c>
      <c r="G80" t="s">
        <v>24</v>
      </c>
      <c r="H80" t="s">
        <v>35</v>
      </c>
    </row>
    <row r="81" spans="1:8" x14ac:dyDescent="0.25">
      <c r="A81">
        <v>79</v>
      </c>
      <c r="B81" t="s">
        <v>93</v>
      </c>
      <c r="C81" t="s">
        <v>11</v>
      </c>
      <c r="D81">
        <v>55</v>
      </c>
      <c r="E81">
        <v>1115</v>
      </c>
      <c r="F81">
        <v>1170</v>
      </c>
      <c r="G81" t="s">
        <v>24</v>
      </c>
      <c r="H81" t="s">
        <v>35</v>
      </c>
    </row>
    <row r="82" spans="1:8" x14ac:dyDescent="0.25">
      <c r="A82">
        <v>80</v>
      </c>
      <c r="B82" t="s">
        <v>94</v>
      </c>
      <c r="C82" t="s">
        <v>11</v>
      </c>
      <c r="D82">
        <v>114</v>
      </c>
      <c r="E82">
        <v>850</v>
      </c>
      <c r="F82">
        <v>964</v>
      </c>
      <c r="G82" t="s">
        <v>24</v>
      </c>
      <c r="H82" t="s">
        <v>35</v>
      </c>
    </row>
    <row r="83" spans="1:8" x14ac:dyDescent="0.25">
      <c r="A83">
        <v>81</v>
      </c>
      <c r="B83" t="s">
        <v>95</v>
      </c>
      <c r="C83" t="s">
        <v>11</v>
      </c>
      <c r="D83">
        <v>140</v>
      </c>
      <c r="E83">
        <v>720</v>
      </c>
      <c r="F83">
        <v>860</v>
      </c>
      <c r="G83" t="s">
        <v>35</v>
      </c>
      <c r="H83" t="s">
        <v>12</v>
      </c>
    </row>
    <row r="84" spans="1:8" x14ac:dyDescent="0.25">
      <c r="A84">
        <v>82</v>
      </c>
      <c r="B84" t="s">
        <v>96</v>
      </c>
      <c r="C84" t="s">
        <v>11</v>
      </c>
      <c r="D84">
        <v>135</v>
      </c>
      <c r="E84">
        <v>750</v>
      </c>
      <c r="F84">
        <v>885</v>
      </c>
      <c r="G84" t="s">
        <v>35</v>
      </c>
      <c r="H84" t="s">
        <v>12</v>
      </c>
    </row>
    <row r="85" spans="1:8" x14ac:dyDescent="0.25">
      <c r="A85">
        <v>83</v>
      </c>
      <c r="B85" t="s">
        <v>97</v>
      </c>
      <c r="C85" t="s">
        <v>11</v>
      </c>
      <c r="D85">
        <v>140</v>
      </c>
      <c r="E85">
        <v>800</v>
      </c>
      <c r="F85">
        <v>940</v>
      </c>
      <c r="G85" t="s">
        <v>35</v>
      </c>
      <c r="H85" t="s">
        <v>12</v>
      </c>
    </row>
    <row r="86" spans="1:8" x14ac:dyDescent="0.25">
      <c r="A86">
        <v>84</v>
      </c>
      <c r="B86" t="s">
        <v>98</v>
      </c>
      <c r="C86" t="s">
        <v>11</v>
      </c>
      <c r="D86">
        <v>140</v>
      </c>
      <c r="E86">
        <v>1000</v>
      </c>
      <c r="F86">
        <v>1140</v>
      </c>
      <c r="G86" t="s">
        <v>35</v>
      </c>
      <c r="H86" t="s">
        <v>12</v>
      </c>
    </row>
    <row r="87" spans="1:8" x14ac:dyDescent="0.25">
      <c r="A87">
        <v>85</v>
      </c>
      <c r="B87" t="s">
        <v>99</v>
      </c>
      <c r="C87" t="s">
        <v>11</v>
      </c>
      <c r="D87">
        <v>140</v>
      </c>
      <c r="E87">
        <v>1200</v>
      </c>
      <c r="F87">
        <v>1340</v>
      </c>
      <c r="G87" t="s">
        <v>35</v>
      </c>
      <c r="H87" t="s">
        <v>12</v>
      </c>
    </row>
    <row r="88" spans="1:8" x14ac:dyDescent="0.25">
      <c r="A88">
        <v>86</v>
      </c>
      <c r="B88" t="s">
        <v>100</v>
      </c>
      <c r="C88" t="s">
        <v>11</v>
      </c>
      <c r="D88">
        <v>68</v>
      </c>
      <c r="E88">
        <v>790</v>
      </c>
      <c r="F88">
        <v>858</v>
      </c>
      <c r="G88" t="s">
        <v>35</v>
      </c>
      <c r="H88" t="s">
        <v>12</v>
      </c>
    </row>
    <row r="89" spans="1:8" x14ac:dyDescent="0.25">
      <c r="A89">
        <v>87</v>
      </c>
      <c r="B89" t="s">
        <v>101</v>
      </c>
      <c r="C89" t="s">
        <v>11</v>
      </c>
      <c r="D89">
        <v>75</v>
      </c>
      <c r="E89">
        <v>684</v>
      </c>
      <c r="F89">
        <v>759</v>
      </c>
      <c r="G89" t="s">
        <v>35</v>
      </c>
      <c r="H89" t="s">
        <v>12</v>
      </c>
    </row>
    <row r="90" spans="1:8" x14ac:dyDescent="0.25">
      <c r="A90">
        <v>88</v>
      </c>
      <c r="B90" t="s">
        <v>102</v>
      </c>
      <c r="C90" t="s">
        <v>11</v>
      </c>
      <c r="D90">
        <v>80</v>
      </c>
      <c r="E90">
        <v>800</v>
      </c>
      <c r="F90">
        <v>880</v>
      </c>
      <c r="G90" t="s">
        <v>35</v>
      </c>
      <c r="H90" t="s">
        <v>12</v>
      </c>
    </row>
    <row r="91" spans="1:8" x14ac:dyDescent="0.25">
      <c r="A91">
        <v>89</v>
      </c>
      <c r="B91" t="s">
        <v>103</v>
      </c>
      <c r="C91" t="s">
        <v>11</v>
      </c>
      <c r="D91">
        <v>100</v>
      </c>
      <c r="E91">
        <v>976</v>
      </c>
      <c r="F91">
        <v>1076</v>
      </c>
      <c r="G91" t="s">
        <v>35</v>
      </c>
      <c r="H91" t="s">
        <v>12</v>
      </c>
    </row>
    <row r="92" spans="1:8" x14ac:dyDescent="0.25">
      <c r="A92">
        <v>90</v>
      </c>
      <c r="B92" t="s">
        <v>104</v>
      </c>
      <c r="C92" t="s">
        <v>11</v>
      </c>
      <c r="D92">
        <v>96</v>
      </c>
      <c r="E92">
        <v>1200</v>
      </c>
      <c r="F92">
        <v>1296</v>
      </c>
      <c r="G92" t="s">
        <v>35</v>
      </c>
      <c r="H92" t="s">
        <v>12</v>
      </c>
    </row>
    <row r="93" spans="1:8" x14ac:dyDescent="0.25">
      <c r="A93">
        <v>91</v>
      </c>
      <c r="B93" t="s">
        <v>105</v>
      </c>
      <c r="C93" t="s">
        <v>11</v>
      </c>
      <c r="D93">
        <v>140</v>
      </c>
      <c r="E93">
        <v>600</v>
      </c>
      <c r="F93">
        <v>740</v>
      </c>
      <c r="G93" t="s">
        <v>35</v>
      </c>
      <c r="H93" t="s">
        <v>24</v>
      </c>
    </row>
    <row r="94" spans="1:8" x14ac:dyDescent="0.25">
      <c r="A94">
        <v>92</v>
      </c>
      <c r="B94" t="s">
        <v>106</v>
      </c>
      <c r="C94" t="s">
        <v>11</v>
      </c>
      <c r="D94">
        <v>120</v>
      </c>
      <c r="E94">
        <v>765</v>
      </c>
      <c r="F94">
        <v>885</v>
      </c>
      <c r="G94" t="s">
        <v>35</v>
      </c>
      <c r="H94" t="s">
        <v>24</v>
      </c>
    </row>
    <row r="95" spans="1:8" x14ac:dyDescent="0.25">
      <c r="A95">
        <v>93</v>
      </c>
      <c r="B95" t="s">
        <v>107</v>
      </c>
      <c r="C95" t="s">
        <v>11</v>
      </c>
      <c r="D95">
        <v>120</v>
      </c>
      <c r="E95">
        <v>780</v>
      </c>
      <c r="F95">
        <v>900</v>
      </c>
      <c r="G95" t="s">
        <v>35</v>
      </c>
      <c r="H95" t="s">
        <v>24</v>
      </c>
    </row>
    <row r="96" spans="1:8" x14ac:dyDescent="0.25">
      <c r="A96">
        <v>94</v>
      </c>
      <c r="B96" t="s">
        <v>108</v>
      </c>
      <c r="C96" t="s">
        <v>11</v>
      </c>
      <c r="D96">
        <v>135</v>
      </c>
      <c r="E96">
        <v>965</v>
      </c>
      <c r="F96">
        <v>1100</v>
      </c>
      <c r="G96" t="s">
        <v>35</v>
      </c>
      <c r="H96" t="s">
        <v>24</v>
      </c>
    </row>
    <row r="97" spans="1:8" x14ac:dyDescent="0.25">
      <c r="A97">
        <v>95</v>
      </c>
      <c r="B97" t="s">
        <v>109</v>
      </c>
      <c r="C97" t="s">
        <v>11</v>
      </c>
      <c r="D97">
        <v>135</v>
      </c>
      <c r="E97">
        <v>975</v>
      </c>
      <c r="F97">
        <v>1110</v>
      </c>
      <c r="G97" t="s">
        <v>35</v>
      </c>
      <c r="H97" t="s">
        <v>24</v>
      </c>
    </row>
    <row r="98" spans="1:8" x14ac:dyDescent="0.25">
      <c r="A98">
        <v>96</v>
      </c>
      <c r="B98" t="s">
        <v>110</v>
      </c>
      <c r="C98" t="s">
        <v>11</v>
      </c>
      <c r="D98">
        <v>120</v>
      </c>
      <c r="E98">
        <v>533</v>
      </c>
      <c r="F98">
        <v>653</v>
      </c>
      <c r="G98" t="s">
        <v>35</v>
      </c>
      <c r="H98" t="s">
        <v>24</v>
      </c>
    </row>
    <row r="99" spans="1:8" x14ac:dyDescent="0.25">
      <c r="A99">
        <v>97</v>
      </c>
      <c r="B99" t="s">
        <v>111</v>
      </c>
      <c r="C99" t="s">
        <v>11</v>
      </c>
      <c r="D99">
        <v>70</v>
      </c>
      <c r="E99">
        <v>590</v>
      </c>
      <c r="F99">
        <v>660</v>
      </c>
      <c r="G99" t="s">
        <v>35</v>
      </c>
      <c r="H99" t="s">
        <v>24</v>
      </c>
    </row>
    <row r="100" spans="1:8" x14ac:dyDescent="0.25">
      <c r="A100">
        <v>98</v>
      </c>
      <c r="B100" t="s">
        <v>112</v>
      </c>
      <c r="C100" t="s">
        <v>11</v>
      </c>
      <c r="D100">
        <v>80</v>
      </c>
      <c r="E100">
        <v>780</v>
      </c>
      <c r="F100">
        <v>860</v>
      </c>
      <c r="G100" t="s">
        <v>35</v>
      </c>
      <c r="H100" t="s">
        <v>24</v>
      </c>
    </row>
    <row r="101" spans="1:8" x14ac:dyDescent="0.25">
      <c r="A101">
        <v>99</v>
      </c>
      <c r="B101" t="s">
        <v>113</v>
      </c>
      <c r="C101" t="s">
        <v>11</v>
      </c>
      <c r="D101">
        <v>95</v>
      </c>
      <c r="E101">
        <v>965</v>
      </c>
      <c r="F101">
        <v>1060</v>
      </c>
      <c r="G101" t="s">
        <v>35</v>
      </c>
      <c r="H101" t="s">
        <v>24</v>
      </c>
    </row>
    <row r="102" spans="1:8" x14ac:dyDescent="0.25">
      <c r="A102">
        <v>100</v>
      </c>
      <c r="B102" t="s">
        <v>114</v>
      </c>
      <c r="C102" t="s">
        <v>11</v>
      </c>
      <c r="D102">
        <v>85</v>
      </c>
      <c r="E102">
        <v>1005</v>
      </c>
      <c r="F102">
        <v>1090</v>
      </c>
      <c r="G102" t="s">
        <v>35</v>
      </c>
      <c r="H102" t="s">
        <v>24</v>
      </c>
    </row>
    <row r="103" spans="1:8" x14ac:dyDescent="0.25">
      <c r="A103">
        <v>101</v>
      </c>
      <c r="B103" t="s">
        <v>115</v>
      </c>
      <c r="C103" t="s">
        <v>116</v>
      </c>
      <c r="D103">
        <v>50</v>
      </c>
      <c r="E103">
        <v>0</v>
      </c>
      <c r="F103">
        <v>1440</v>
      </c>
      <c r="G103" t="s">
        <v>9</v>
      </c>
      <c r="H103" t="s">
        <v>9</v>
      </c>
    </row>
    <row r="104" spans="1:8" x14ac:dyDescent="0.25">
      <c r="A104">
        <v>102</v>
      </c>
      <c r="B104" t="s">
        <v>117</v>
      </c>
      <c r="C104" t="s">
        <v>116</v>
      </c>
      <c r="D104">
        <v>50</v>
      </c>
      <c r="E104">
        <v>0</v>
      </c>
      <c r="F104">
        <v>1440</v>
      </c>
      <c r="G104" t="s">
        <v>12</v>
      </c>
      <c r="H104" t="s">
        <v>12</v>
      </c>
    </row>
    <row r="105" spans="1:8" x14ac:dyDescent="0.25">
      <c r="A105">
        <v>103</v>
      </c>
      <c r="B105" t="s">
        <v>118</v>
      </c>
      <c r="C105" t="s">
        <v>116</v>
      </c>
      <c r="D105">
        <v>50</v>
      </c>
      <c r="E105">
        <v>0</v>
      </c>
      <c r="F105">
        <v>1440</v>
      </c>
      <c r="G105" t="s">
        <v>13</v>
      </c>
      <c r="H105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X102"/>
  <sheetViews>
    <sheetView topLeftCell="CS67" workbookViewId="0">
      <selection activeCell="AM84" sqref="AM84"/>
    </sheetView>
  </sheetViews>
  <sheetFormatPr defaultRowHeight="15" x14ac:dyDescent="0.25"/>
  <sheetData>
    <row r="1" spans="1:102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A2" s="1">
        <v>0</v>
      </c>
      <c r="B2">
        <v>0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</row>
    <row r="3" spans="1:102" x14ac:dyDescent="0.25">
      <c r="A3" s="1">
        <v>1</v>
      </c>
      <c r="B3">
        <v>1</v>
      </c>
      <c r="C3">
        <f>IF((AND(VLOOKUP(C$1,main!$A$3:$H$102,5,FALSE)-VLOOKUP($A3,main!$A$3:$H$102,6,FALSE)&gt;=(VLOOKUP(VLOOKUP(C$1,main!$A$3:$H$102,8,FALSE),main!$K$26:$M$29,2,FALSE)+VLOOKUP(VLOOKUP(C$1,main!$A$3:$H$102,7,FALSE),main!$K$19:$O$22,MATCH(VLOOKUP($A3,main!$A$3:$H$102,8,FALSE),main!$K$18:$O$18,0))))),1,0)</f>
        <v>0</v>
      </c>
      <c r="D3">
        <f>IF((AND(VLOOKUP(D$1,main!$A$3:$H$102,5,FALSE)-VLOOKUP($A3,main!$A$3:$H$102,6,FALSE)&gt;=(VLOOKUP(VLOOKUP(D$1,main!$A$3:$H$102,8,FALSE),main!$K$26:$M$29,2,FALSE)+VLOOKUP(VLOOKUP(D$1,main!$A$3:$H$102,7,FALSE),main!$K$19:$O$22,MATCH(VLOOKUP($A3,main!$A$3:$H$102,8,FALSE),main!$K$18:$O$18,0))))),1,0)</f>
        <v>0</v>
      </c>
      <c r="E3">
        <f>IF((AND(VLOOKUP(E$1,main!$A$3:$H$102,5,FALSE)-VLOOKUP($A3,main!$A$3:$H$102,6,FALSE)&gt;=(VLOOKUP(VLOOKUP(E$1,main!$A$3:$H$102,8,FALSE),main!$K$26:$M$29,2,FALSE)+VLOOKUP(VLOOKUP(E$1,main!$A$3:$H$102,7,FALSE),main!$K$19:$O$22,MATCH(VLOOKUP($A3,main!$A$3:$H$102,8,FALSE),main!$K$18:$O$18,0))))),1,0)</f>
        <v>1</v>
      </c>
      <c r="F3">
        <f>IF((AND(VLOOKUP(F$1,main!$A$3:$H$102,5,FALSE)-VLOOKUP($A3,main!$A$3:$H$102,6,FALSE)&gt;=(VLOOKUP(VLOOKUP(F$1,main!$A$3:$H$102,8,FALSE),main!$K$26:$M$29,2,FALSE)+VLOOKUP(VLOOKUP(F$1,main!$A$3:$H$102,7,FALSE),main!$K$19:$O$22,MATCH(VLOOKUP($A3,main!$A$3:$H$102,8,FALSE),main!$K$18:$O$18,0))))),1,0)</f>
        <v>1</v>
      </c>
      <c r="G3">
        <f>IF((AND(VLOOKUP(G$1,main!$A$3:$H$102,5,FALSE)-VLOOKUP($A3,main!$A$3:$H$102,6,FALSE)&gt;=(VLOOKUP(VLOOKUP(G$1,main!$A$3:$H$102,8,FALSE),main!$K$26:$M$29,2,FALSE)+VLOOKUP(VLOOKUP(G$1,main!$A$3:$H$102,7,FALSE),main!$K$19:$O$22,MATCH(VLOOKUP($A3,main!$A$3:$H$102,8,FALSE),main!$K$18:$O$18,0))))),1,0)</f>
        <v>1</v>
      </c>
      <c r="H3">
        <f>IF((AND(VLOOKUP(H$1,main!$A$3:$H$102,5,FALSE)-VLOOKUP($A3,main!$A$3:$H$102,6,FALSE)&gt;=(VLOOKUP(VLOOKUP(H$1,main!$A$3:$H$102,8,FALSE),main!$K$26:$M$29,2,FALSE)+VLOOKUP(VLOOKUP(H$1,main!$A$3:$H$102,7,FALSE),main!$K$19:$O$22,MATCH(VLOOKUP($A3,main!$A$3:$H$102,8,FALSE),main!$K$18:$O$18,0))))),1,0)</f>
        <v>1</v>
      </c>
      <c r="I3">
        <f>IF((AND(VLOOKUP(I$1,main!$A$3:$H$102,5,FALSE)-VLOOKUP($A3,main!$A$3:$H$102,6,FALSE)&gt;=(VLOOKUP(VLOOKUP(I$1,main!$A$3:$H$102,8,FALSE),main!$K$26:$M$29,2,FALSE)+VLOOKUP(VLOOKUP(I$1,main!$A$3:$H$102,7,FALSE),main!$K$19:$O$22,MATCH(VLOOKUP($A3,main!$A$3:$H$102,8,FALSE),main!$K$18:$O$18,0))))),1,0)</f>
        <v>1</v>
      </c>
      <c r="J3">
        <f>IF((AND(VLOOKUP(J$1,main!$A$3:$H$102,5,FALSE)-VLOOKUP($A3,main!$A$3:$H$102,6,FALSE)&gt;=(VLOOKUP(VLOOKUP(J$1,main!$A$3:$H$102,8,FALSE),main!$K$26:$M$29,2,FALSE)+VLOOKUP(VLOOKUP(J$1,main!$A$3:$H$102,7,FALSE),main!$K$19:$O$22,MATCH(VLOOKUP($A3,main!$A$3:$H$102,8,FALSE),main!$K$18:$O$18,0))))),1,0)</f>
        <v>1</v>
      </c>
      <c r="K3">
        <f>IF((AND(VLOOKUP(K$1,main!$A$3:$H$102,5,FALSE)-VLOOKUP($A3,main!$A$3:$H$102,6,FALSE)&gt;=(VLOOKUP(VLOOKUP(K$1,main!$A$3:$H$102,8,FALSE),main!$K$26:$M$29,2,FALSE)+VLOOKUP(VLOOKUP(K$1,main!$A$3:$H$102,7,FALSE),main!$K$19:$O$22,MATCH(VLOOKUP($A3,main!$A$3:$H$102,8,FALSE),main!$K$18:$O$18,0))))),1,0)</f>
        <v>1</v>
      </c>
      <c r="L3">
        <f>IF((AND(VLOOKUP(L$1,main!$A$3:$H$102,5,FALSE)-VLOOKUP($A3,main!$A$3:$H$102,6,FALSE)&gt;=(VLOOKUP(VLOOKUP(L$1,main!$A$3:$H$102,8,FALSE),main!$K$26:$M$29,2,FALSE)+VLOOKUP(VLOOKUP(L$1,main!$A$3:$H$102,7,FALSE),main!$K$19:$O$22,MATCH(VLOOKUP($A3,main!$A$3:$H$102,8,FALSE),main!$K$18:$O$18,0))))),1,0)</f>
        <v>1</v>
      </c>
      <c r="M3">
        <f>IF((AND(VLOOKUP(M$1,main!$A$3:$H$102,5,FALSE)-VLOOKUP($A3,main!$A$3:$H$102,6,FALSE)&gt;=(VLOOKUP(VLOOKUP(M$1,main!$A$3:$H$102,8,FALSE),main!$K$26:$M$29,2,FALSE)+VLOOKUP(VLOOKUP(M$1,main!$A$3:$H$102,7,FALSE),main!$K$19:$O$22,MATCH(VLOOKUP($A3,main!$A$3:$H$102,8,FALSE),main!$K$18:$O$18,0))))),1,0)</f>
        <v>0</v>
      </c>
      <c r="N3">
        <f>IF((AND(VLOOKUP(N$1,main!$A$3:$H$102,5,FALSE)-VLOOKUP($A3,main!$A$3:$H$102,6,FALSE)&gt;=(VLOOKUP(VLOOKUP(N$1,main!$A$3:$H$102,8,FALSE),main!$K$26:$M$29,2,FALSE)+VLOOKUP(VLOOKUP(N$1,main!$A$3:$H$102,7,FALSE),main!$K$19:$O$22,MATCH(VLOOKUP($A3,main!$A$3:$H$102,8,FALSE),main!$K$18:$O$18,0))))),1,0)</f>
        <v>0</v>
      </c>
      <c r="O3">
        <f>IF((AND(VLOOKUP(O$1,main!$A$3:$H$102,5,FALSE)-VLOOKUP($A3,main!$A$3:$H$102,6,FALSE)&gt;=(VLOOKUP(VLOOKUP(O$1,main!$A$3:$H$102,8,FALSE),main!$K$26:$M$29,2,FALSE)+VLOOKUP(VLOOKUP(O$1,main!$A$3:$H$102,7,FALSE),main!$K$19:$O$22,MATCH(VLOOKUP($A3,main!$A$3:$H$102,8,FALSE),main!$K$18:$O$18,0))))),1,0)</f>
        <v>0</v>
      </c>
      <c r="P3">
        <f>IF((AND(VLOOKUP(P$1,main!$A$3:$H$102,5,FALSE)-VLOOKUP($A3,main!$A$3:$H$102,6,FALSE)&gt;=(VLOOKUP(VLOOKUP(P$1,main!$A$3:$H$102,8,FALSE),main!$K$26:$M$29,2,FALSE)+VLOOKUP(VLOOKUP(P$1,main!$A$3:$H$102,7,FALSE),main!$K$19:$O$22,MATCH(VLOOKUP($A3,main!$A$3:$H$102,8,FALSE),main!$K$18:$O$18,0))))),1,0)</f>
        <v>1</v>
      </c>
      <c r="Q3">
        <f>IF((AND(VLOOKUP(Q$1,main!$A$3:$H$102,5,FALSE)-VLOOKUP($A3,main!$A$3:$H$102,6,FALSE)&gt;=(VLOOKUP(VLOOKUP(Q$1,main!$A$3:$H$102,8,FALSE),main!$K$26:$M$29,2,FALSE)+VLOOKUP(VLOOKUP(Q$1,main!$A$3:$H$102,7,FALSE),main!$K$19:$O$22,MATCH(VLOOKUP($A3,main!$A$3:$H$102,8,FALSE),main!$K$18:$O$18,0))))),1,0)</f>
        <v>1</v>
      </c>
      <c r="R3">
        <f>IF((AND(VLOOKUP(R$1,main!$A$3:$H$102,5,FALSE)-VLOOKUP($A3,main!$A$3:$H$102,6,FALSE)&gt;=(VLOOKUP(VLOOKUP(R$1,main!$A$3:$H$102,8,FALSE),main!$K$26:$M$29,2,FALSE)+VLOOKUP(VLOOKUP(R$1,main!$A$3:$H$102,7,FALSE),main!$K$19:$O$22,MATCH(VLOOKUP($A3,main!$A$3:$H$102,8,FALSE),main!$K$18:$O$18,0))))),1,0)</f>
        <v>1</v>
      </c>
      <c r="S3">
        <f>IF((AND(VLOOKUP(S$1,main!$A$3:$H$102,5,FALSE)-VLOOKUP($A3,main!$A$3:$H$102,6,FALSE)&gt;=(VLOOKUP(VLOOKUP(S$1,main!$A$3:$H$102,8,FALSE),main!$K$26:$M$29,2,FALSE)+VLOOKUP(VLOOKUP(S$1,main!$A$3:$H$102,7,FALSE),main!$K$19:$O$22,MATCH(VLOOKUP($A3,main!$A$3:$H$102,8,FALSE),main!$K$18:$O$18,0))))),1,0)</f>
        <v>1</v>
      </c>
      <c r="T3">
        <f>IF((AND(VLOOKUP(T$1,main!$A$3:$H$102,5,FALSE)-VLOOKUP($A3,main!$A$3:$H$102,6,FALSE)&gt;=(VLOOKUP(VLOOKUP(T$1,main!$A$3:$H$102,8,FALSE),main!$K$26:$M$29,2,FALSE)+VLOOKUP(VLOOKUP(T$1,main!$A$3:$H$102,7,FALSE),main!$K$19:$O$22,MATCH(VLOOKUP($A3,main!$A$3:$H$102,8,FALSE),main!$K$18:$O$18,0))))),1,0)</f>
        <v>1</v>
      </c>
      <c r="U3">
        <f>IF((AND(VLOOKUP(U$1,main!$A$3:$H$102,5,FALSE)-VLOOKUP($A3,main!$A$3:$H$102,6,FALSE)&gt;=(VLOOKUP(VLOOKUP(U$1,main!$A$3:$H$102,8,FALSE),main!$K$26:$M$29,2,FALSE)+VLOOKUP(VLOOKUP(U$1,main!$A$3:$H$102,7,FALSE),main!$K$19:$O$22,MATCH(VLOOKUP($A3,main!$A$3:$H$102,8,FALSE),main!$K$18:$O$18,0))))),1,0)</f>
        <v>1</v>
      </c>
      <c r="V3">
        <f>IF((AND(VLOOKUP(V$1,main!$A$3:$H$102,5,FALSE)-VLOOKUP($A3,main!$A$3:$H$102,6,FALSE)&gt;=(VLOOKUP(VLOOKUP(V$1,main!$A$3:$H$102,8,FALSE),main!$K$26:$M$29,2,FALSE)+VLOOKUP(VLOOKUP(V$1,main!$A$3:$H$102,7,FALSE),main!$K$19:$O$22,MATCH(VLOOKUP($A3,main!$A$3:$H$102,8,FALSE),main!$K$18:$O$18,0))))),1,0)</f>
        <v>1</v>
      </c>
      <c r="W3">
        <f>IF((AND(VLOOKUP(W$1,main!$A$3:$H$102,5,FALSE)-VLOOKUP($A3,main!$A$3:$H$102,6,FALSE)&gt;=(VLOOKUP(VLOOKUP(W$1,main!$A$3:$H$102,8,FALSE),main!$K$26:$M$29,2,FALSE)+VLOOKUP(VLOOKUP(W$1,main!$A$3:$H$102,7,FALSE),main!$K$19:$O$22,MATCH(VLOOKUP($A3,main!$A$3:$H$102,8,FALSE),main!$K$18:$O$18,0))))),1,0)</f>
        <v>0</v>
      </c>
      <c r="X3">
        <f>IF((AND(VLOOKUP(X$1,main!$A$3:$H$102,5,FALSE)-VLOOKUP($A3,main!$A$3:$H$102,6,FALSE)&gt;=(VLOOKUP(VLOOKUP(X$1,main!$A$3:$H$102,8,FALSE),main!$K$26:$M$29,2,FALSE)+VLOOKUP(VLOOKUP(X$1,main!$A$3:$H$102,7,FALSE),main!$K$19:$O$22,MATCH(VLOOKUP($A3,main!$A$3:$H$102,8,FALSE),main!$K$18:$O$18,0))))),1,0)</f>
        <v>1</v>
      </c>
      <c r="Y3">
        <f>IF((AND(VLOOKUP(Y$1,main!$A$3:$H$102,5,FALSE)-VLOOKUP($A3,main!$A$3:$H$102,6,FALSE)&gt;=(VLOOKUP(VLOOKUP(Y$1,main!$A$3:$H$102,8,FALSE),main!$K$26:$M$29,2,FALSE)+VLOOKUP(VLOOKUP(Y$1,main!$A$3:$H$102,7,FALSE),main!$K$19:$O$22,MATCH(VLOOKUP($A3,main!$A$3:$H$102,8,FALSE),main!$K$18:$O$18,0))))),1,0)</f>
        <v>1</v>
      </c>
      <c r="Z3">
        <f>IF((AND(VLOOKUP(Z$1,main!$A$3:$H$102,5,FALSE)-VLOOKUP($A3,main!$A$3:$H$102,6,FALSE)&gt;=(VLOOKUP(VLOOKUP(Z$1,main!$A$3:$H$102,8,FALSE),main!$K$26:$M$29,2,FALSE)+VLOOKUP(VLOOKUP(Z$1,main!$A$3:$H$102,7,FALSE),main!$K$19:$O$22,MATCH(VLOOKUP($A3,main!$A$3:$H$102,8,FALSE),main!$K$18:$O$18,0))))),1,0)</f>
        <v>1</v>
      </c>
      <c r="AA3">
        <f>IF((AND(VLOOKUP(AA$1,main!$A$3:$H$102,5,FALSE)-VLOOKUP($A3,main!$A$3:$H$102,6,FALSE)&gt;=(VLOOKUP(VLOOKUP(AA$1,main!$A$3:$H$102,8,FALSE),main!$K$26:$M$29,2,FALSE)+VLOOKUP(VLOOKUP(AA$1,main!$A$3:$H$102,7,FALSE),main!$K$19:$O$22,MATCH(VLOOKUP($A3,main!$A$3:$H$102,8,FALSE),main!$K$18:$O$18,0))))),1,0)</f>
        <v>1</v>
      </c>
      <c r="AB3">
        <f>IF((AND(VLOOKUP(AB$1,main!$A$3:$H$102,5,FALSE)-VLOOKUP($A3,main!$A$3:$H$102,6,FALSE)&gt;=(VLOOKUP(VLOOKUP(AB$1,main!$A$3:$H$102,8,FALSE),main!$K$26:$M$29,2,FALSE)+VLOOKUP(VLOOKUP(AB$1,main!$A$3:$H$102,7,FALSE),main!$K$19:$O$22,MATCH(VLOOKUP($A3,main!$A$3:$H$102,8,FALSE),main!$K$18:$O$18,0))))),1,0)</f>
        <v>0</v>
      </c>
      <c r="AC3">
        <f>IF((AND(VLOOKUP(AC$1,main!$A$3:$H$102,5,FALSE)-VLOOKUP($A3,main!$A$3:$H$102,6,FALSE)&gt;=(VLOOKUP(VLOOKUP(AC$1,main!$A$3:$H$102,8,FALSE),main!$K$26:$M$29,2,FALSE)+VLOOKUP(VLOOKUP(AC$1,main!$A$3:$H$102,7,FALSE),main!$K$19:$O$22,MATCH(VLOOKUP($A3,main!$A$3:$H$102,8,FALSE),main!$K$18:$O$18,0))))),1,0)</f>
        <v>0</v>
      </c>
      <c r="AD3">
        <f>IF((AND(VLOOKUP(AD$1,main!$A$3:$H$102,5,FALSE)-VLOOKUP($A3,main!$A$3:$H$102,6,FALSE)&gt;=(VLOOKUP(VLOOKUP(AD$1,main!$A$3:$H$102,8,FALSE),main!$K$26:$M$29,2,FALSE)+VLOOKUP(VLOOKUP(AD$1,main!$A$3:$H$102,7,FALSE),main!$K$19:$O$22,MATCH(VLOOKUP($A3,main!$A$3:$H$102,8,FALSE),main!$K$18:$O$18,0))))),1,0)</f>
        <v>1</v>
      </c>
      <c r="AE3">
        <f>IF((AND(VLOOKUP(AE$1,main!$A$3:$H$102,5,FALSE)-VLOOKUP($A3,main!$A$3:$H$102,6,FALSE)&gt;=(VLOOKUP(VLOOKUP(AE$1,main!$A$3:$H$102,8,FALSE),main!$K$26:$M$29,2,FALSE)+VLOOKUP(VLOOKUP(AE$1,main!$A$3:$H$102,7,FALSE),main!$K$19:$O$22,MATCH(VLOOKUP($A3,main!$A$3:$H$102,8,FALSE),main!$K$18:$O$18,0))))),1,0)</f>
        <v>1</v>
      </c>
      <c r="AF3">
        <f>IF((AND(VLOOKUP(AF$1,main!$A$3:$H$102,5,FALSE)-VLOOKUP($A3,main!$A$3:$H$102,6,FALSE)&gt;=(VLOOKUP(VLOOKUP(AF$1,main!$A$3:$H$102,8,FALSE),main!$K$26:$M$29,2,FALSE)+VLOOKUP(VLOOKUP(AF$1,main!$A$3:$H$102,7,FALSE),main!$K$19:$O$22,MATCH(VLOOKUP($A3,main!$A$3:$H$102,8,FALSE),main!$K$18:$O$18,0))))),1,0)</f>
        <v>1</v>
      </c>
      <c r="AG3">
        <f>IF((AND(VLOOKUP(AG$1,main!$A$3:$H$102,5,FALSE)-VLOOKUP($A3,main!$A$3:$H$102,6,FALSE)&gt;=(VLOOKUP(VLOOKUP(AG$1,main!$A$3:$H$102,8,FALSE),main!$K$26:$M$29,2,FALSE)+VLOOKUP(VLOOKUP(AG$1,main!$A$3:$H$102,7,FALSE),main!$K$19:$O$22,MATCH(VLOOKUP($A3,main!$A$3:$H$102,8,FALSE),main!$K$18:$O$18,0))))),1,0)</f>
        <v>0</v>
      </c>
      <c r="AH3">
        <f>IF((AND(VLOOKUP(AH$1,main!$A$3:$H$102,5,FALSE)-VLOOKUP($A3,main!$A$3:$H$102,6,FALSE)&gt;=(VLOOKUP(VLOOKUP(AH$1,main!$A$3:$H$102,8,FALSE),main!$K$26:$M$29,2,FALSE)+VLOOKUP(VLOOKUP(AH$1,main!$A$3:$H$102,7,FALSE),main!$K$19:$O$22,MATCH(VLOOKUP($A3,main!$A$3:$H$102,8,FALSE),main!$K$18:$O$18,0))))),1,0)</f>
        <v>1</v>
      </c>
      <c r="AI3">
        <f>IF((AND(VLOOKUP(AI$1,main!$A$3:$H$102,5,FALSE)-VLOOKUP($A3,main!$A$3:$H$102,6,FALSE)&gt;=(VLOOKUP(VLOOKUP(AI$1,main!$A$3:$H$102,8,FALSE),main!$K$26:$M$29,2,FALSE)+VLOOKUP(VLOOKUP(AI$1,main!$A$3:$H$102,7,FALSE),main!$K$19:$O$22,MATCH(VLOOKUP($A3,main!$A$3:$H$102,8,FALSE),main!$K$18:$O$18,0))))),1,0)</f>
        <v>1</v>
      </c>
      <c r="AJ3">
        <f>IF((AND(VLOOKUP(AJ$1,main!$A$3:$H$102,5,FALSE)-VLOOKUP($A3,main!$A$3:$H$102,6,FALSE)&gt;=(VLOOKUP(VLOOKUP(AJ$1,main!$A$3:$H$102,8,FALSE),main!$K$26:$M$29,2,FALSE)+VLOOKUP(VLOOKUP(AJ$1,main!$A$3:$H$102,7,FALSE),main!$K$19:$O$22,MATCH(VLOOKUP($A3,main!$A$3:$H$102,8,FALSE),main!$K$18:$O$18,0))))),1,0)</f>
        <v>1</v>
      </c>
      <c r="AK3">
        <f>IF((AND(VLOOKUP(AK$1,main!$A$3:$H$102,5,FALSE)-VLOOKUP($A3,main!$A$3:$H$102,6,FALSE)&gt;=(VLOOKUP(VLOOKUP(AK$1,main!$A$3:$H$102,8,FALSE),main!$K$26:$M$29,2,FALSE)+VLOOKUP(VLOOKUP(AK$1,main!$A$3:$H$102,7,FALSE),main!$K$19:$O$22,MATCH(VLOOKUP($A3,main!$A$3:$H$102,8,FALSE),main!$K$18:$O$18,0))))),1,0)</f>
        <v>1</v>
      </c>
      <c r="AL3">
        <f>IF((AND(VLOOKUP(AL$1,main!$A$3:$H$102,5,FALSE)-VLOOKUP($A3,main!$A$3:$H$102,6,FALSE)&gt;=(VLOOKUP(VLOOKUP(AL$1,main!$A$3:$H$102,8,FALSE),main!$K$26:$M$29,2,FALSE)+VLOOKUP(VLOOKUP(AL$1,main!$A$3:$H$102,7,FALSE),main!$K$19:$O$22,MATCH(VLOOKUP($A3,main!$A$3:$H$102,8,FALSE),main!$K$18:$O$18,0))))),1,0)</f>
        <v>1</v>
      </c>
      <c r="AM3">
        <f>IF((AND(VLOOKUP(AM$1,main!$A$3:$H$102,5,FALSE)-VLOOKUP($A3,main!$A$3:$H$102,6,FALSE)&gt;=(VLOOKUP(VLOOKUP(AM$1,main!$A$3:$H$102,8,FALSE),main!$K$26:$M$29,2,FALSE)+VLOOKUP(VLOOKUP(AM$1,main!$A$3:$H$102,7,FALSE),main!$K$19:$O$22,MATCH(VLOOKUP($A3,main!$A$3:$H$102,8,FALSE),main!$K$18:$O$18,0))))),1,0)</f>
        <v>1</v>
      </c>
      <c r="AN3">
        <f>IF((AND(VLOOKUP(AN$1,main!$A$3:$H$102,5,FALSE)-VLOOKUP($A3,main!$A$3:$H$102,6,FALSE)&gt;=(VLOOKUP(VLOOKUP(AN$1,main!$A$3:$H$102,8,FALSE),main!$K$26:$M$29,2,FALSE)+VLOOKUP(VLOOKUP(AN$1,main!$A$3:$H$102,7,FALSE),main!$K$19:$O$22,MATCH(VLOOKUP($A3,main!$A$3:$H$102,8,FALSE),main!$K$18:$O$18,0))))),1,0)</f>
        <v>1</v>
      </c>
      <c r="AO3">
        <f>IF((AND(VLOOKUP(AO$1,main!$A$3:$H$102,5,FALSE)-VLOOKUP($A3,main!$A$3:$H$102,6,FALSE)&gt;=(VLOOKUP(VLOOKUP(AO$1,main!$A$3:$H$102,8,FALSE),main!$K$26:$M$29,2,FALSE)+VLOOKUP(VLOOKUP(AO$1,main!$A$3:$H$102,7,FALSE),main!$K$19:$O$22,MATCH(VLOOKUP($A3,main!$A$3:$H$102,8,FALSE),main!$K$18:$O$18,0))))),1,0)</f>
        <v>0</v>
      </c>
      <c r="AP3">
        <f>IF((AND(VLOOKUP(AP$1,main!$A$3:$H$102,5,FALSE)-VLOOKUP($A3,main!$A$3:$H$102,6,FALSE)&gt;=(VLOOKUP(VLOOKUP(AP$1,main!$A$3:$H$102,8,FALSE),main!$K$26:$M$29,2,FALSE)+VLOOKUP(VLOOKUP(AP$1,main!$A$3:$H$102,7,FALSE),main!$K$19:$O$22,MATCH(VLOOKUP($A3,main!$A$3:$H$102,8,FALSE),main!$K$18:$O$18,0))))),1,0)</f>
        <v>1</v>
      </c>
      <c r="AQ3">
        <f>IF((AND(VLOOKUP(AQ$1,main!$A$3:$H$102,5,FALSE)-VLOOKUP($A3,main!$A$3:$H$102,6,FALSE)&gt;=(VLOOKUP(VLOOKUP(AQ$1,main!$A$3:$H$102,8,FALSE),main!$K$26:$M$29,2,FALSE)+VLOOKUP(VLOOKUP(AQ$1,main!$A$3:$H$102,7,FALSE),main!$K$19:$O$22,MATCH(VLOOKUP($A3,main!$A$3:$H$102,8,FALSE),main!$K$18:$O$18,0))))),1,0)</f>
        <v>0</v>
      </c>
      <c r="AR3">
        <f>IF((AND(VLOOKUP(AR$1,main!$A$3:$H$102,5,FALSE)-VLOOKUP($A3,main!$A$3:$H$102,6,FALSE)&gt;=(VLOOKUP(VLOOKUP(AR$1,main!$A$3:$H$102,8,FALSE),main!$K$26:$M$29,2,FALSE)+VLOOKUP(VLOOKUP(AR$1,main!$A$3:$H$102,7,FALSE),main!$K$19:$O$22,MATCH(VLOOKUP($A3,main!$A$3:$H$102,8,FALSE),main!$K$18:$O$18,0))))),1,0)</f>
        <v>1</v>
      </c>
      <c r="AS3">
        <f>IF((AND(VLOOKUP(AS$1,main!$A$3:$H$102,5,FALSE)-VLOOKUP($A3,main!$A$3:$H$102,6,FALSE)&gt;=(VLOOKUP(VLOOKUP(AS$1,main!$A$3:$H$102,8,FALSE),main!$K$26:$M$29,2,FALSE)+VLOOKUP(VLOOKUP(AS$1,main!$A$3:$H$102,7,FALSE),main!$K$19:$O$22,MATCH(VLOOKUP($A3,main!$A$3:$H$102,8,FALSE),main!$K$18:$O$18,0))))),1,0)</f>
        <v>1</v>
      </c>
      <c r="AT3">
        <f>IF((AND(VLOOKUP(AT$1,main!$A$3:$H$102,5,FALSE)-VLOOKUP($A3,main!$A$3:$H$102,6,FALSE)&gt;=(VLOOKUP(VLOOKUP(AT$1,main!$A$3:$H$102,8,FALSE),main!$K$26:$M$29,2,FALSE)+VLOOKUP(VLOOKUP(AT$1,main!$A$3:$H$102,7,FALSE),main!$K$19:$O$22,MATCH(VLOOKUP($A3,main!$A$3:$H$102,8,FALSE),main!$K$18:$O$18,0))))),1,0)</f>
        <v>1</v>
      </c>
      <c r="AU3">
        <f>IF((AND(VLOOKUP(AU$1,main!$A$3:$H$102,5,FALSE)-VLOOKUP($A3,main!$A$3:$H$102,6,FALSE)&gt;=(VLOOKUP(VLOOKUP(AU$1,main!$A$3:$H$102,8,FALSE),main!$K$26:$M$29,2,FALSE)+VLOOKUP(VLOOKUP(AU$1,main!$A$3:$H$102,7,FALSE),main!$K$19:$O$22,MATCH(VLOOKUP($A3,main!$A$3:$H$102,8,FALSE),main!$K$18:$O$18,0))))),1,0)</f>
        <v>0</v>
      </c>
      <c r="AV3">
        <f>IF((AND(VLOOKUP(AV$1,main!$A$3:$H$102,5,FALSE)-VLOOKUP($A3,main!$A$3:$H$102,6,FALSE)&gt;=(VLOOKUP(VLOOKUP(AV$1,main!$A$3:$H$102,8,FALSE),main!$K$26:$M$29,2,FALSE)+VLOOKUP(VLOOKUP(AV$1,main!$A$3:$H$102,7,FALSE),main!$K$19:$O$22,MATCH(VLOOKUP($A3,main!$A$3:$H$102,8,FALSE),main!$K$18:$O$18,0))))),1,0)</f>
        <v>0</v>
      </c>
      <c r="AW3">
        <f>IF((AND(VLOOKUP(AW$1,main!$A$3:$H$102,5,FALSE)-VLOOKUP($A3,main!$A$3:$H$102,6,FALSE)&gt;=(VLOOKUP(VLOOKUP(AW$1,main!$A$3:$H$102,8,FALSE),main!$K$26:$M$29,2,FALSE)+VLOOKUP(VLOOKUP(AW$1,main!$A$3:$H$102,7,FALSE),main!$K$19:$O$22,MATCH(VLOOKUP($A3,main!$A$3:$H$102,8,FALSE),main!$K$18:$O$18,0))))),1,0)</f>
        <v>1</v>
      </c>
      <c r="AX3">
        <f>IF((AND(VLOOKUP(AX$1,main!$A$3:$H$102,5,FALSE)-VLOOKUP($A3,main!$A$3:$H$102,6,FALSE)&gt;=(VLOOKUP(VLOOKUP(AX$1,main!$A$3:$H$102,8,FALSE),main!$K$26:$M$29,2,FALSE)+VLOOKUP(VLOOKUP(AX$1,main!$A$3:$H$102,7,FALSE),main!$K$19:$O$22,MATCH(VLOOKUP($A3,main!$A$3:$H$102,8,FALSE),main!$K$18:$O$18,0))))),1,0)</f>
        <v>1</v>
      </c>
      <c r="AY3">
        <f>IF((AND(VLOOKUP(AY$1,main!$A$3:$H$102,5,FALSE)-VLOOKUP($A3,main!$A$3:$H$102,6,FALSE)&gt;=(VLOOKUP(VLOOKUP(AY$1,main!$A$3:$H$102,8,FALSE),main!$K$26:$M$29,2,FALSE)+VLOOKUP(VLOOKUP(AY$1,main!$A$3:$H$102,7,FALSE),main!$K$19:$O$22,MATCH(VLOOKUP($A3,main!$A$3:$H$102,8,FALSE),main!$K$18:$O$18,0))))),1,0)</f>
        <v>1</v>
      </c>
      <c r="AZ3">
        <f>IF((AND(VLOOKUP(AZ$1,main!$A$3:$H$102,5,FALSE)-VLOOKUP($A3,main!$A$3:$H$102,6,FALSE)&gt;=(VLOOKUP(VLOOKUP(AZ$1,main!$A$3:$H$102,8,FALSE),main!$K$26:$M$29,2,FALSE)+VLOOKUP(VLOOKUP(AZ$1,main!$A$3:$H$102,7,FALSE),main!$K$19:$O$22,MATCH(VLOOKUP($A3,main!$A$3:$H$102,8,FALSE),main!$K$18:$O$18,0))))),1,0)</f>
        <v>1</v>
      </c>
      <c r="BA3">
        <f>IF((AND(VLOOKUP(BA$1,main!$A$3:$H$102,5,FALSE)-VLOOKUP($A3,main!$A$3:$H$102,6,FALSE)&gt;=(VLOOKUP(VLOOKUP(BA$1,main!$A$3:$H$102,8,FALSE),main!$K$26:$M$29,2,FALSE)+VLOOKUP(VLOOKUP(BA$1,main!$A$3:$H$102,7,FALSE),main!$K$19:$O$22,MATCH(VLOOKUP($A3,main!$A$3:$H$102,8,FALSE),main!$K$18:$O$18,0))))),1,0)</f>
        <v>0</v>
      </c>
      <c r="BB3">
        <f>IF((AND(VLOOKUP(BB$1,main!$A$3:$H$102,5,FALSE)-VLOOKUP($A3,main!$A$3:$H$102,6,FALSE)&gt;=(VLOOKUP(VLOOKUP(BB$1,main!$A$3:$H$102,8,FALSE),main!$K$26:$M$29,2,FALSE)+VLOOKUP(VLOOKUP(BB$1,main!$A$3:$H$102,7,FALSE),main!$K$19:$O$22,MATCH(VLOOKUP($A3,main!$A$3:$H$102,8,FALSE),main!$K$18:$O$18,0))))),1,0)</f>
        <v>1</v>
      </c>
      <c r="BC3">
        <f>IF((AND(VLOOKUP(BC$1,main!$A$3:$H$102,5,FALSE)-VLOOKUP($A3,main!$A$3:$H$102,6,FALSE)&gt;=(VLOOKUP(VLOOKUP(BC$1,main!$A$3:$H$102,8,FALSE),main!$K$26:$M$29,2,FALSE)+VLOOKUP(VLOOKUP(BC$1,main!$A$3:$H$102,7,FALSE),main!$K$19:$O$22,MATCH(VLOOKUP($A3,main!$A$3:$H$102,8,FALSE),main!$K$18:$O$18,0))))),1,0)</f>
        <v>1</v>
      </c>
      <c r="BD3">
        <f>IF((AND(VLOOKUP(BD$1,main!$A$3:$H$102,5,FALSE)-VLOOKUP($A3,main!$A$3:$H$102,6,FALSE)&gt;=(VLOOKUP(VLOOKUP(BD$1,main!$A$3:$H$102,8,FALSE),main!$K$26:$M$29,2,FALSE)+VLOOKUP(VLOOKUP(BD$1,main!$A$3:$H$102,7,FALSE),main!$K$19:$O$22,MATCH(VLOOKUP($A3,main!$A$3:$H$102,8,FALSE),main!$K$18:$O$18,0))))),1,0)</f>
        <v>1</v>
      </c>
      <c r="BE3">
        <f>IF((AND(VLOOKUP(BE$1,main!$A$3:$H$102,5,FALSE)-VLOOKUP($A3,main!$A$3:$H$102,6,FALSE)&gt;=(VLOOKUP(VLOOKUP(BE$1,main!$A$3:$H$102,8,FALSE),main!$K$26:$M$29,2,FALSE)+VLOOKUP(VLOOKUP(BE$1,main!$A$3:$H$102,7,FALSE),main!$K$19:$O$22,MATCH(VLOOKUP($A3,main!$A$3:$H$102,8,FALSE),main!$K$18:$O$18,0))))),1,0)</f>
        <v>1</v>
      </c>
      <c r="BF3">
        <f>IF((AND(VLOOKUP(BF$1,main!$A$3:$H$102,5,FALSE)-VLOOKUP($A3,main!$A$3:$H$102,6,FALSE)&gt;=(VLOOKUP(VLOOKUP(BF$1,main!$A$3:$H$102,8,FALSE),main!$K$26:$M$29,2,FALSE)+VLOOKUP(VLOOKUP(BF$1,main!$A$3:$H$102,7,FALSE),main!$K$19:$O$22,MATCH(VLOOKUP($A3,main!$A$3:$H$102,8,FALSE),main!$K$18:$O$18,0))))),1,0)</f>
        <v>0</v>
      </c>
      <c r="BG3">
        <f>IF((AND(VLOOKUP(BG$1,main!$A$3:$H$102,5,FALSE)-VLOOKUP($A3,main!$A$3:$H$102,6,FALSE)&gt;=(VLOOKUP(VLOOKUP(BG$1,main!$A$3:$H$102,8,FALSE),main!$K$26:$M$29,2,FALSE)+VLOOKUP(VLOOKUP(BG$1,main!$A$3:$H$102,7,FALSE),main!$K$19:$O$22,MATCH(VLOOKUP($A3,main!$A$3:$H$102,8,FALSE),main!$K$18:$O$18,0))))),1,0)</f>
        <v>1</v>
      </c>
      <c r="BH3">
        <f>IF((AND(VLOOKUP(BH$1,main!$A$3:$H$102,5,FALSE)-VLOOKUP($A3,main!$A$3:$H$102,6,FALSE)&gt;=(VLOOKUP(VLOOKUP(BH$1,main!$A$3:$H$102,8,FALSE),main!$K$26:$M$29,2,FALSE)+VLOOKUP(VLOOKUP(BH$1,main!$A$3:$H$102,7,FALSE),main!$K$19:$O$22,MATCH(VLOOKUP($A3,main!$A$3:$H$102,8,FALSE),main!$K$18:$O$18,0))))),1,0)</f>
        <v>1</v>
      </c>
      <c r="BI3">
        <f>IF((AND(VLOOKUP(BI$1,main!$A$3:$H$102,5,FALSE)-VLOOKUP($A3,main!$A$3:$H$102,6,FALSE)&gt;=(VLOOKUP(VLOOKUP(BI$1,main!$A$3:$H$102,8,FALSE),main!$K$26:$M$29,2,FALSE)+VLOOKUP(VLOOKUP(BI$1,main!$A$3:$H$102,7,FALSE),main!$K$19:$O$22,MATCH(VLOOKUP($A3,main!$A$3:$H$102,8,FALSE),main!$K$18:$O$18,0))))),1,0)</f>
        <v>1</v>
      </c>
      <c r="BJ3">
        <f>IF((AND(VLOOKUP(BJ$1,main!$A$3:$H$102,5,FALSE)-VLOOKUP($A3,main!$A$3:$H$102,6,FALSE)&gt;=(VLOOKUP(VLOOKUP(BJ$1,main!$A$3:$H$102,8,FALSE),main!$K$26:$M$29,2,FALSE)+VLOOKUP(VLOOKUP(BJ$1,main!$A$3:$H$102,7,FALSE),main!$K$19:$O$22,MATCH(VLOOKUP($A3,main!$A$3:$H$102,8,FALSE),main!$K$18:$O$18,0))))),1,0)</f>
        <v>1</v>
      </c>
      <c r="BK3">
        <f>IF((AND(VLOOKUP(BK$1,main!$A$3:$H$102,5,FALSE)-VLOOKUP($A3,main!$A$3:$H$102,6,FALSE)&gt;=(VLOOKUP(VLOOKUP(BK$1,main!$A$3:$H$102,8,FALSE),main!$K$26:$M$29,2,FALSE)+VLOOKUP(VLOOKUP(BK$1,main!$A$3:$H$102,7,FALSE),main!$K$19:$O$22,MATCH(VLOOKUP($A3,main!$A$3:$H$102,8,FALSE),main!$K$18:$O$18,0))))),1,0)</f>
        <v>0</v>
      </c>
      <c r="BL3">
        <f>IF((AND(VLOOKUP(BL$1,main!$A$3:$H$102,5,FALSE)-VLOOKUP($A3,main!$A$3:$H$102,6,FALSE)&gt;=(VLOOKUP(VLOOKUP(BL$1,main!$A$3:$H$102,8,FALSE),main!$K$26:$M$29,2,FALSE)+VLOOKUP(VLOOKUP(BL$1,main!$A$3:$H$102,7,FALSE),main!$K$19:$O$22,MATCH(VLOOKUP($A3,main!$A$3:$H$102,8,FALSE),main!$K$18:$O$18,0))))),1,0)</f>
        <v>0</v>
      </c>
      <c r="BM3">
        <f>IF((AND(VLOOKUP(BM$1,main!$A$3:$H$102,5,FALSE)-VLOOKUP($A3,main!$A$3:$H$102,6,FALSE)&gt;=(VLOOKUP(VLOOKUP(BM$1,main!$A$3:$H$102,8,FALSE),main!$K$26:$M$29,2,FALSE)+VLOOKUP(VLOOKUP(BM$1,main!$A$3:$H$102,7,FALSE),main!$K$19:$O$22,MATCH(VLOOKUP($A3,main!$A$3:$H$102,8,FALSE),main!$K$18:$O$18,0))))),1,0)</f>
        <v>1</v>
      </c>
      <c r="BN3">
        <f>IF((AND(VLOOKUP(BN$1,main!$A$3:$H$102,5,FALSE)-VLOOKUP($A3,main!$A$3:$H$102,6,FALSE)&gt;=(VLOOKUP(VLOOKUP(BN$1,main!$A$3:$H$102,8,FALSE),main!$K$26:$M$29,2,FALSE)+VLOOKUP(VLOOKUP(BN$1,main!$A$3:$H$102,7,FALSE),main!$K$19:$O$22,MATCH(VLOOKUP($A3,main!$A$3:$H$102,8,FALSE),main!$K$18:$O$18,0))))),1,0)</f>
        <v>1</v>
      </c>
      <c r="BO3">
        <f>IF((AND(VLOOKUP(BO$1,main!$A$3:$H$102,5,FALSE)-VLOOKUP($A3,main!$A$3:$H$102,6,FALSE)&gt;=(VLOOKUP(VLOOKUP(BO$1,main!$A$3:$H$102,8,FALSE),main!$K$26:$M$29,2,FALSE)+VLOOKUP(VLOOKUP(BO$1,main!$A$3:$H$102,7,FALSE),main!$K$19:$O$22,MATCH(VLOOKUP($A3,main!$A$3:$H$102,8,FALSE),main!$K$18:$O$18,0))))),1,0)</f>
        <v>0</v>
      </c>
      <c r="BP3">
        <f>IF((AND(VLOOKUP(BP$1,main!$A$3:$H$102,5,FALSE)-VLOOKUP($A3,main!$A$3:$H$102,6,FALSE)&gt;=(VLOOKUP(VLOOKUP(BP$1,main!$A$3:$H$102,8,FALSE),main!$K$26:$M$29,2,FALSE)+VLOOKUP(VLOOKUP(BP$1,main!$A$3:$H$102,7,FALSE),main!$K$19:$O$22,MATCH(VLOOKUP($A3,main!$A$3:$H$102,8,FALSE),main!$K$18:$O$18,0))))),1,0)</f>
        <v>0</v>
      </c>
      <c r="BQ3">
        <f>IF((AND(VLOOKUP(BQ$1,main!$A$3:$H$102,5,FALSE)-VLOOKUP($A3,main!$A$3:$H$102,6,FALSE)&gt;=(VLOOKUP(VLOOKUP(BQ$1,main!$A$3:$H$102,8,FALSE),main!$K$26:$M$29,2,FALSE)+VLOOKUP(VLOOKUP(BQ$1,main!$A$3:$H$102,7,FALSE),main!$K$19:$O$22,MATCH(VLOOKUP($A3,main!$A$3:$H$102,8,FALSE),main!$K$18:$O$18,0))))),1,0)</f>
        <v>1</v>
      </c>
      <c r="BR3">
        <f>IF((AND(VLOOKUP(BR$1,main!$A$3:$H$102,5,FALSE)-VLOOKUP($A3,main!$A$3:$H$102,6,FALSE)&gt;=(VLOOKUP(VLOOKUP(BR$1,main!$A$3:$H$102,8,FALSE),main!$K$26:$M$29,2,FALSE)+VLOOKUP(VLOOKUP(BR$1,main!$A$3:$H$102,7,FALSE),main!$K$19:$O$22,MATCH(VLOOKUP($A3,main!$A$3:$H$102,8,FALSE),main!$K$18:$O$18,0))))),1,0)</f>
        <v>1</v>
      </c>
      <c r="BS3">
        <f>IF((AND(VLOOKUP(BS$1,main!$A$3:$H$102,5,FALSE)-VLOOKUP($A3,main!$A$3:$H$102,6,FALSE)&gt;=(VLOOKUP(VLOOKUP(BS$1,main!$A$3:$H$102,8,FALSE),main!$K$26:$M$29,2,FALSE)+VLOOKUP(VLOOKUP(BS$1,main!$A$3:$H$102,7,FALSE),main!$K$19:$O$22,MATCH(VLOOKUP($A3,main!$A$3:$H$102,8,FALSE),main!$K$18:$O$18,0))))),1,0)</f>
        <v>1</v>
      </c>
      <c r="BT3">
        <f>IF((AND(VLOOKUP(BT$1,main!$A$3:$H$102,5,FALSE)-VLOOKUP($A3,main!$A$3:$H$102,6,FALSE)&gt;=(VLOOKUP(VLOOKUP(BT$1,main!$A$3:$H$102,8,FALSE),main!$K$26:$M$29,2,FALSE)+VLOOKUP(VLOOKUP(BT$1,main!$A$3:$H$102,7,FALSE),main!$K$19:$O$22,MATCH(VLOOKUP($A3,main!$A$3:$H$102,8,FALSE),main!$K$18:$O$18,0))))),1,0)</f>
        <v>1</v>
      </c>
      <c r="BU3">
        <f>IF((AND(VLOOKUP(BU$1,main!$A$3:$H$102,5,FALSE)-VLOOKUP($A3,main!$A$3:$H$102,6,FALSE)&gt;=(VLOOKUP(VLOOKUP(BU$1,main!$A$3:$H$102,8,FALSE),main!$K$26:$M$29,2,FALSE)+VLOOKUP(VLOOKUP(BU$1,main!$A$3:$H$102,7,FALSE),main!$K$19:$O$22,MATCH(VLOOKUP($A3,main!$A$3:$H$102,8,FALSE),main!$K$18:$O$18,0))))),1,0)</f>
        <v>0</v>
      </c>
      <c r="BV3">
        <f>IF((AND(VLOOKUP(BV$1,main!$A$3:$H$102,5,FALSE)-VLOOKUP($A3,main!$A$3:$H$102,6,FALSE)&gt;=(VLOOKUP(VLOOKUP(BV$1,main!$A$3:$H$102,8,FALSE),main!$K$26:$M$29,2,FALSE)+VLOOKUP(VLOOKUP(BV$1,main!$A$3:$H$102,7,FALSE),main!$K$19:$O$22,MATCH(VLOOKUP($A3,main!$A$3:$H$102,8,FALSE),main!$K$18:$O$18,0))))),1,0)</f>
        <v>0</v>
      </c>
      <c r="BW3">
        <f>IF((AND(VLOOKUP(BW$1,main!$A$3:$H$102,5,FALSE)-VLOOKUP($A3,main!$A$3:$H$102,6,FALSE)&gt;=(VLOOKUP(VLOOKUP(BW$1,main!$A$3:$H$102,8,FALSE),main!$K$26:$M$29,2,FALSE)+VLOOKUP(VLOOKUP(BW$1,main!$A$3:$H$102,7,FALSE),main!$K$19:$O$22,MATCH(VLOOKUP($A3,main!$A$3:$H$102,8,FALSE),main!$K$18:$O$18,0))))),1,0)</f>
        <v>0</v>
      </c>
      <c r="BX3">
        <f>IF((AND(VLOOKUP(BX$1,main!$A$3:$H$102,5,FALSE)-VLOOKUP($A3,main!$A$3:$H$102,6,FALSE)&gt;=(VLOOKUP(VLOOKUP(BX$1,main!$A$3:$H$102,8,FALSE),main!$K$26:$M$29,2,FALSE)+VLOOKUP(VLOOKUP(BX$1,main!$A$3:$H$102,7,FALSE),main!$K$19:$O$22,MATCH(VLOOKUP($A3,main!$A$3:$H$102,8,FALSE),main!$K$18:$O$18,0))))),1,0)</f>
        <v>1</v>
      </c>
      <c r="BY3">
        <f>IF((AND(VLOOKUP(BY$1,main!$A$3:$H$102,5,FALSE)-VLOOKUP($A3,main!$A$3:$H$102,6,FALSE)&gt;=(VLOOKUP(VLOOKUP(BY$1,main!$A$3:$H$102,8,FALSE),main!$K$26:$M$29,2,FALSE)+VLOOKUP(VLOOKUP(BY$1,main!$A$3:$H$102,7,FALSE),main!$K$19:$O$22,MATCH(VLOOKUP($A3,main!$A$3:$H$102,8,FALSE),main!$K$18:$O$18,0))))),1,0)</f>
        <v>1</v>
      </c>
      <c r="BZ3">
        <f>IF((AND(VLOOKUP(BZ$1,main!$A$3:$H$102,5,FALSE)-VLOOKUP($A3,main!$A$3:$H$102,6,FALSE)&gt;=(VLOOKUP(VLOOKUP(BZ$1,main!$A$3:$H$102,8,FALSE),main!$K$26:$M$29,2,FALSE)+VLOOKUP(VLOOKUP(BZ$1,main!$A$3:$H$102,7,FALSE),main!$K$19:$O$22,MATCH(VLOOKUP($A3,main!$A$3:$H$102,8,FALSE),main!$K$18:$O$18,0))))),1,0)</f>
        <v>0</v>
      </c>
      <c r="CA3">
        <f>IF((AND(VLOOKUP(CA$1,main!$A$3:$H$102,5,FALSE)-VLOOKUP($A3,main!$A$3:$H$102,6,FALSE)&gt;=(VLOOKUP(VLOOKUP(CA$1,main!$A$3:$H$102,8,FALSE),main!$K$26:$M$29,2,FALSE)+VLOOKUP(VLOOKUP(CA$1,main!$A$3:$H$102,7,FALSE),main!$K$19:$O$22,MATCH(VLOOKUP($A3,main!$A$3:$H$102,8,FALSE),main!$K$18:$O$18,0))))),1,0)</f>
        <v>0</v>
      </c>
      <c r="CB3">
        <f>IF((AND(VLOOKUP(CB$1,main!$A$3:$H$102,5,FALSE)-VLOOKUP($A3,main!$A$3:$H$102,6,FALSE)&gt;=(VLOOKUP(VLOOKUP(CB$1,main!$A$3:$H$102,8,FALSE),main!$K$26:$M$29,2,FALSE)+VLOOKUP(VLOOKUP(CB$1,main!$A$3:$H$102,7,FALSE),main!$K$19:$O$22,MATCH(VLOOKUP($A3,main!$A$3:$H$102,8,FALSE),main!$K$18:$O$18,0))))),1,0)</f>
        <v>1</v>
      </c>
      <c r="CC3">
        <f>IF((AND(VLOOKUP(CC$1,main!$A$3:$H$102,5,FALSE)-VLOOKUP($A3,main!$A$3:$H$102,6,FALSE)&gt;=(VLOOKUP(VLOOKUP(CC$1,main!$A$3:$H$102,8,FALSE),main!$K$26:$M$29,2,FALSE)+VLOOKUP(VLOOKUP(CC$1,main!$A$3:$H$102,7,FALSE),main!$K$19:$O$22,MATCH(VLOOKUP($A3,main!$A$3:$H$102,8,FALSE),main!$K$18:$O$18,0))))),1,0)</f>
        <v>1</v>
      </c>
      <c r="CD3">
        <f>IF((AND(VLOOKUP(CD$1,main!$A$3:$H$102,5,FALSE)-VLOOKUP($A3,main!$A$3:$H$102,6,FALSE)&gt;=(VLOOKUP(VLOOKUP(CD$1,main!$A$3:$H$102,8,FALSE),main!$K$26:$M$29,2,FALSE)+VLOOKUP(VLOOKUP(CD$1,main!$A$3:$H$102,7,FALSE),main!$K$19:$O$22,MATCH(VLOOKUP($A3,main!$A$3:$H$102,8,FALSE),main!$K$18:$O$18,0))))),1,0)</f>
        <v>1</v>
      </c>
      <c r="CE3">
        <f>IF((AND(VLOOKUP(CE$1,main!$A$3:$H$102,5,FALSE)-VLOOKUP($A3,main!$A$3:$H$102,6,FALSE)&gt;=(VLOOKUP(VLOOKUP(CE$1,main!$A$3:$H$102,8,FALSE),main!$K$26:$M$29,2,FALSE)+VLOOKUP(VLOOKUP(CE$1,main!$A$3:$H$102,7,FALSE),main!$K$19:$O$22,MATCH(VLOOKUP($A3,main!$A$3:$H$102,8,FALSE),main!$K$18:$O$18,0))))),1,0)</f>
        <v>1</v>
      </c>
      <c r="CF3">
        <f>IF((AND(VLOOKUP(CF$1,main!$A$3:$H$102,5,FALSE)-VLOOKUP($A3,main!$A$3:$H$102,6,FALSE)&gt;=(VLOOKUP(VLOOKUP(CF$1,main!$A$3:$H$102,8,FALSE),main!$K$26:$M$29,2,FALSE)+VLOOKUP(VLOOKUP(CF$1,main!$A$3:$H$102,7,FALSE),main!$K$19:$O$22,MATCH(VLOOKUP($A3,main!$A$3:$H$102,8,FALSE),main!$K$18:$O$18,0))))),1,0)</f>
        <v>1</v>
      </c>
      <c r="CG3">
        <f>IF((AND(VLOOKUP(CG$1,main!$A$3:$H$102,5,FALSE)-VLOOKUP($A3,main!$A$3:$H$102,6,FALSE)&gt;=(VLOOKUP(VLOOKUP(CG$1,main!$A$3:$H$102,8,FALSE),main!$K$26:$M$29,2,FALSE)+VLOOKUP(VLOOKUP(CG$1,main!$A$3:$H$102,7,FALSE),main!$K$19:$O$22,MATCH(VLOOKUP($A3,main!$A$3:$H$102,8,FALSE),main!$K$18:$O$18,0))))),1,0)</f>
        <v>1</v>
      </c>
      <c r="CH3">
        <f>IF((AND(VLOOKUP(CH$1,main!$A$3:$H$102,5,FALSE)-VLOOKUP($A3,main!$A$3:$H$102,6,FALSE)&gt;=(VLOOKUP(VLOOKUP(CH$1,main!$A$3:$H$102,8,FALSE),main!$K$26:$M$29,2,FALSE)+VLOOKUP(VLOOKUP(CH$1,main!$A$3:$H$102,7,FALSE),main!$K$19:$O$22,MATCH(VLOOKUP($A3,main!$A$3:$H$102,8,FALSE),main!$K$18:$O$18,0))))),1,0)</f>
        <v>1</v>
      </c>
      <c r="CI3">
        <f>IF((AND(VLOOKUP(CI$1,main!$A$3:$H$102,5,FALSE)-VLOOKUP($A3,main!$A$3:$H$102,6,FALSE)&gt;=(VLOOKUP(VLOOKUP(CI$1,main!$A$3:$H$102,8,FALSE),main!$K$26:$M$29,2,FALSE)+VLOOKUP(VLOOKUP(CI$1,main!$A$3:$H$102,7,FALSE),main!$K$19:$O$22,MATCH(VLOOKUP($A3,main!$A$3:$H$102,8,FALSE),main!$K$18:$O$18,0))))),1,0)</f>
        <v>1</v>
      </c>
      <c r="CJ3">
        <f>IF((AND(VLOOKUP(CJ$1,main!$A$3:$H$102,5,FALSE)-VLOOKUP($A3,main!$A$3:$H$102,6,FALSE)&gt;=(VLOOKUP(VLOOKUP(CJ$1,main!$A$3:$H$102,8,FALSE),main!$K$26:$M$29,2,FALSE)+VLOOKUP(VLOOKUP(CJ$1,main!$A$3:$H$102,7,FALSE),main!$K$19:$O$22,MATCH(VLOOKUP($A3,main!$A$3:$H$102,8,FALSE),main!$K$18:$O$18,0))))),1,0)</f>
        <v>1</v>
      </c>
      <c r="CK3">
        <f>IF((AND(VLOOKUP(CK$1,main!$A$3:$H$102,5,FALSE)-VLOOKUP($A3,main!$A$3:$H$102,6,FALSE)&gt;=(VLOOKUP(VLOOKUP(CK$1,main!$A$3:$H$102,8,FALSE),main!$K$26:$M$29,2,FALSE)+VLOOKUP(VLOOKUP(CK$1,main!$A$3:$H$102,7,FALSE),main!$K$19:$O$22,MATCH(VLOOKUP($A3,main!$A$3:$H$102,8,FALSE),main!$K$18:$O$18,0))))),1,0)</f>
        <v>1</v>
      </c>
      <c r="CL3">
        <f>IF((AND(VLOOKUP(CL$1,main!$A$3:$H$102,5,FALSE)-VLOOKUP($A3,main!$A$3:$H$102,6,FALSE)&gt;=(VLOOKUP(VLOOKUP(CL$1,main!$A$3:$H$102,8,FALSE),main!$K$26:$M$29,2,FALSE)+VLOOKUP(VLOOKUP(CL$1,main!$A$3:$H$102,7,FALSE),main!$K$19:$O$22,MATCH(VLOOKUP($A3,main!$A$3:$H$102,8,FALSE),main!$K$18:$O$18,0))))),1,0)</f>
        <v>1</v>
      </c>
      <c r="CM3">
        <f>IF((AND(VLOOKUP(CM$1,main!$A$3:$H$102,5,FALSE)-VLOOKUP($A3,main!$A$3:$H$102,6,FALSE)&gt;=(VLOOKUP(VLOOKUP(CM$1,main!$A$3:$H$102,8,FALSE),main!$K$26:$M$29,2,FALSE)+VLOOKUP(VLOOKUP(CM$1,main!$A$3:$H$102,7,FALSE),main!$K$19:$O$22,MATCH(VLOOKUP($A3,main!$A$3:$H$102,8,FALSE),main!$K$18:$O$18,0))))),1,0)</f>
        <v>1</v>
      </c>
      <c r="CN3">
        <f>IF((AND(VLOOKUP(CN$1,main!$A$3:$H$102,5,FALSE)-VLOOKUP($A3,main!$A$3:$H$102,6,FALSE)&gt;=(VLOOKUP(VLOOKUP(CN$1,main!$A$3:$H$102,8,FALSE),main!$K$26:$M$29,2,FALSE)+VLOOKUP(VLOOKUP(CN$1,main!$A$3:$H$102,7,FALSE),main!$K$19:$O$22,MATCH(VLOOKUP($A3,main!$A$3:$H$102,8,FALSE),main!$K$18:$O$18,0))))),1,0)</f>
        <v>1</v>
      </c>
      <c r="CO3">
        <f>IF((AND(VLOOKUP(CO$1,main!$A$3:$H$102,5,FALSE)-VLOOKUP($A3,main!$A$3:$H$102,6,FALSE)&gt;=(VLOOKUP(VLOOKUP(CO$1,main!$A$3:$H$102,8,FALSE),main!$K$26:$M$29,2,FALSE)+VLOOKUP(VLOOKUP(CO$1,main!$A$3:$H$102,7,FALSE),main!$K$19:$O$22,MATCH(VLOOKUP($A3,main!$A$3:$H$102,8,FALSE),main!$K$18:$O$18,0))))),1,0)</f>
        <v>0</v>
      </c>
      <c r="CP3">
        <f>IF((AND(VLOOKUP(CP$1,main!$A$3:$H$102,5,FALSE)-VLOOKUP($A3,main!$A$3:$H$102,6,FALSE)&gt;=(VLOOKUP(VLOOKUP(CP$1,main!$A$3:$H$102,8,FALSE),main!$K$26:$M$29,2,FALSE)+VLOOKUP(VLOOKUP(CP$1,main!$A$3:$H$102,7,FALSE),main!$K$19:$O$22,MATCH(VLOOKUP($A3,main!$A$3:$H$102,8,FALSE),main!$K$18:$O$18,0))))),1,0)</f>
        <v>1</v>
      </c>
      <c r="CQ3">
        <f>IF((AND(VLOOKUP(CQ$1,main!$A$3:$H$102,5,FALSE)-VLOOKUP($A3,main!$A$3:$H$102,6,FALSE)&gt;=(VLOOKUP(VLOOKUP(CQ$1,main!$A$3:$H$102,8,FALSE),main!$K$26:$M$29,2,FALSE)+VLOOKUP(VLOOKUP(CQ$1,main!$A$3:$H$102,7,FALSE),main!$K$19:$O$22,MATCH(VLOOKUP($A3,main!$A$3:$H$102,8,FALSE),main!$K$18:$O$18,0))))),1,0)</f>
        <v>1</v>
      </c>
      <c r="CR3">
        <f>IF((AND(VLOOKUP(CR$1,main!$A$3:$H$102,5,FALSE)-VLOOKUP($A3,main!$A$3:$H$102,6,FALSE)&gt;=(VLOOKUP(VLOOKUP(CR$1,main!$A$3:$H$102,8,FALSE),main!$K$26:$M$29,2,FALSE)+VLOOKUP(VLOOKUP(CR$1,main!$A$3:$H$102,7,FALSE),main!$K$19:$O$22,MATCH(VLOOKUP($A3,main!$A$3:$H$102,8,FALSE),main!$K$18:$O$18,0))))),1,0)</f>
        <v>1</v>
      </c>
      <c r="CS3">
        <f>IF((AND(VLOOKUP(CS$1,main!$A$3:$H$102,5,FALSE)-VLOOKUP($A3,main!$A$3:$H$102,6,FALSE)&gt;=(VLOOKUP(VLOOKUP(CS$1,main!$A$3:$H$102,8,FALSE),main!$K$26:$M$29,2,FALSE)+VLOOKUP(VLOOKUP(CS$1,main!$A$3:$H$102,7,FALSE),main!$K$19:$O$22,MATCH(VLOOKUP($A3,main!$A$3:$H$102,8,FALSE),main!$K$18:$O$18,0))))),1,0)</f>
        <v>1</v>
      </c>
      <c r="CT3">
        <f>IF((AND(VLOOKUP(CT$1,main!$A$3:$H$102,5,FALSE)-VLOOKUP($A3,main!$A$3:$H$102,6,FALSE)&gt;=(VLOOKUP(VLOOKUP(CT$1,main!$A$3:$H$102,8,FALSE),main!$K$26:$M$29,2,FALSE)+VLOOKUP(VLOOKUP(CT$1,main!$A$3:$H$102,7,FALSE),main!$K$19:$O$22,MATCH(VLOOKUP($A3,main!$A$3:$H$102,8,FALSE),main!$K$18:$O$18,0))))),1,0)</f>
        <v>0</v>
      </c>
      <c r="CU3">
        <f>IF((AND(VLOOKUP(CU$1,main!$A$3:$H$102,5,FALSE)-VLOOKUP($A3,main!$A$3:$H$102,6,FALSE)&gt;=(VLOOKUP(VLOOKUP(CU$1,main!$A$3:$H$102,8,FALSE),main!$K$26:$M$29,2,FALSE)+VLOOKUP(VLOOKUP(CU$1,main!$A$3:$H$102,7,FALSE),main!$K$19:$O$22,MATCH(VLOOKUP($A3,main!$A$3:$H$102,8,FALSE),main!$K$18:$O$18,0))))),1,0)</f>
        <v>0</v>
      </c>
      <c r="CV3">
        <f>IF((AND(VLOOKUP(CV$1,main!$A$3:$H$102,5,FALSE)-VLOOKUP($A3,main!$A$3:$H$102,6,FALSE)&gt;=(VLOOKUP(VLOOKUP(CV$1,main!$A$3:$H$102,8,FALSE),main!$K$26:$M$29,2,FALSE)+VLOOKUP(VLOOKUP(CV$1,main!$A$3:$H$102,7,FALSE),main!$K$19:$O$22,MATCH(VLOOKUP($A3,main!$A$3:$H$102,8,FALSE),main!$K$18:$O$18,0))))),1,0)</f>
        <v>1</v>
      </c>
      <c r="CW3">
        <f>IF((AND(VLOOKUP(CW$1,main!$A$3:$H$102,5,FALSE)-VLOOKUP($A3,main!$A$3:$H$102,6,FALSE)&gt;=(VLOOKUP(VLOOKUP(CW$1,main!$A$3:$H$102,8,FALSE),main!$K$26:$M$29,2,FALSE)+VLOOKUP(VLOOKUP(CW$1,main!$A$3:$H$102,7,FALSE),main!$K$19:$O$22,MATCH(VLOOKUP($A3,main!$A$3:$H$102,8,FALSE),main!$K$18:$O$18,0))))),1,0)</f>
        <v>1</v>
      </c>
      <c r="CX3">
        <f>IF((AND(VLOOKUP(CX$1,main!$A$3:$H$102,5,FALSE)-VLOOKUP($A3,main!$A$3:$H$102,6,FALSE)&gt;=(VLOOKUP(VLOOKUP(CX$1,main!$A$3:$H$102,8,FALSE),main!$K$26:$M$29,2,FALSE)+VLOOKUP(VLOOKUP(CX$1,main!$A$3:$H$102,7,FALSE),main!$K$19:$O$22,MATCH(VLOOKUP($A3,main!$A$3:$H$102,8,FALSE),main!$K$18:$O$18,0))))),1,0)</f>
        <v>1</v>
      </c>
    </row>
    <row r="4" spans="1:102" x14ac:dyDescent="0.25">
      <c r="A4" s="1">
        <v>2</v>
      </c>
      <c r="B4">
        <v>1</v>
      </c>
      <c r="C4">
        <f>IF((AND(VLOOKUP(C$1,main!$A$3:$H$102,5,FALSE)-VLOOKUP($A4,main!$A$3:$H$102,6,FALSE)&gt;=(VLOOKUP(VLOOKUP(C$1,main!$A$3:$H$102,8,FALSE),main!$K$26:$M$29,2,FALSE)+VLOOKUP(VLOOKUP(C$1,main!$A$3:$H$102,7,FALSE),main!$K$19:$O$22,MATCH(VLOOKUP($A4,main!$A$3:$H$102,8,FALSE),main!$K$18:$O$18,0))))),1,0)</f>
        <v>0</v>
      </c>
      <c r="D4">
        <f>IF((AND(VLOOKUP(D$1,main!$A$3:$H$102,5,FALSE)-VLOOKUP($A4,main!$A$3:$H$102,6,FALSE)&gt;=(VLOOKUP(VLOOKUP(D$1,main!$A$3:$H$102,8,FALSE),main!$K$26:$M$29,2,FALSE)+VLOOKUP(VLOOKUP(D$1,main!$A$3:$H$102,7,FALSE),main!$K$19:$O$22,MATCH(VLOOKUP($A4,main!$A$3:$H$102,8,FALSE),main!$K$18:$O$18,0))))),1,0)</f>
        <v>0</v>
      </c>
      <c r="E4">
        <f>IF((AND(VLOOKUP(E$1,main!$A$3:$H$102,5,FALSE)-VLOOKUP($A4,main!$A$3:$H$102,6,FALSE)&gt;=(VLOOKUP(VLOOKUP(E$1,main!$A$3:$H$102,8,FALSE),main!$K$26:$M$29,2,FALSE)+VLOOKUP(VLOOKUP(E$1,main!$A$3:$H$102,7,FALSE),main!$K$19:$O$22,MATCH(VLOOKUP($A4,main!$A$3:$H$102,8,FALSE),main!$K$18:$O$18,0))))),1,0)</f>
        <v>0</v>
      </c>
      <c r="F4">
        <f>IF((AND(VLOOKUP(F$1,main!$A$3:$H$102,5,FALSE)-VLOOKUP($A4,main!$A$3:$H$102,6,FALSE)&gt;=(VLOOKUP(VLOOKUP(F$1,main!$A$3:$H$102,8,FALSE),main!$K$26:$M$29,2,FALSE)+VLOOKUP(VLOOKUP(F$1,main!$A$3:$H$102,7,FALSE),main!$K$19:$O$22,MATCH(VLOOKUP($A4,main!$A$3:$H$102,8,FALSE),main!$K$18:$O$18,0))))),1,0)</f>
        <v>1</v>
      </c>
      <c r="G4">
        <f>IF((AND(VLOOKUP(G$1,main!$A$3:$H$102,5,FALSE)-VLOOKUP($A4,main!$A$3:$H$102,6,FALSE)&gt;=(VLOOKUP(VLOOKUP(G$1,main!$A$3:$H$102,8,FALSE),main!$K$26:$M$29,2,FALSE)+VLOOKUP(VLOOKUP(G$1,main!$A$3:$H$102,7,FALSE),main!$K$19:$O$22,MATCH(VLOOKUP($A4,main!$A$3:$H$102,8,FALSE),main!$K$18:$O$18,0))))),1,0)</f>
        <v>1</v>
      </c>
      <c r="H4">
        <f>IF((AND(VLOOKUP(H$1,main!$A$3:$H$102,5,FALSE)-VLOOKUP($A4,main!$A$3:$H$102,6,FALSE)&gt;=(VLOOKUP(VLOOKUP(H$1,main!$A$3:$H$102,8,FALSE),main!$K$26:$M$29,2,FALSE)+VLOOKUP(VLOOKUP(H$1,main!$A$3:$H$102,7,FALSE),main!$K$19:$O$22,MATCH(VLOOKUP($A4,main!$A$3:$H$102,8,FALSE),main!$K$18:$O$18,0))))),1,0)</f>
        <v>1</v>
      </c>
      <c r="I4">
        <f>IF((AND(VLOOKUP(I$1,main!$A$3:$H$102,5,FALSE)-VLOOKUP($A4,main!$A$3:$H$102,6,FALSE)&gt;=(VLOOKUP(VLOOKUP(I$1,main!$A$3:$H$102,8,FALSE),main!$K$26:$M$29,2,FALSE)+VLOOKUP(VLOOKUP(I$1,main!$A$3:$H$102,7,FALSE),main!$K$19:$O$22,MATCH(VLOOKUP($A4,main!$A$3:$H$102,8,FALSE),main!$K$18:$O$18,0))))),1,0)</f>
        <v>1</v>
      </c>
      <c r="J4">
        <f>IF((AND(VLOOKUP(J$1,main!$A$3:$H$102,5,FALSE)-VLOOKUP($A4,main!$A$3:$H$102,6,FALSE)&gt;=(VLOOKUP(VLOOKUP(J$1,main!$A$3:$H$102,8,FALSE),main!$K$26:$M$29,2,FALSE)+VLOOKUP(VLOOKUP(J$1,main!$A$3:$H$102,7,FALSE),main!$K$19:$O$22,MATCH(VLOOKUP($A4,main!$A$3:$H$102,8,FALSE),main!$K$18:$O$18,0))))),1,0)</f>
        <v>1</v>
      </c>
      <c r="K4">
        <f>IF((AND(VLOOKUP(K$1,main!$A$3:$H$102,5,FALSE)-VLOOKUP($A4,main!$A$3:$H$102,6,FALSE)&gt;=(VLOOKUP(VLOOKUP(K$1,main!$A$3:$H$102,8,FALSE),main!$K$26:$M$29,2,FALSE)+VLOOKUP(VLOOKUP(K$1,main!$A$3:$H$102,7,FALSE),main!$K$19:$O$22,MATCH(VLOOKUP($A4,main!$A$3:$H$102,8,FALSE),main!$K$18:$O$18,0))))),1,0)</f>
        <v>1</v>
      </c>
      <c r="L4">
        <f>IF((AND(VLOOKUP(L$1,main!$A$3:$H$102,5,FALSE)-VLOOKUP($A4,main!$A$3:$H$102,6,FALSE)&gt;=(VLOOKUP(VLOOKUP(L$1,main!$A$3:$H$102,8,FALSE),main!$K$26:$M$29,2,FALSE)+VLOOKUP(VLOOKUP(L$1,main!$A$3:$H$102,7,FALSE),main!$K$19:$O$22,MATCH(VLOOKUP($A4,main!$A$3:$H$102,8,FALSE),main!$K$18:$O$18,0))))),1,0)</f>
        <v>1</v>
      </c>
      <c r="M4">
        <f>IF((AND(VLOOKUP(M$1,main!$A$3:$H$102,5,FALSE)-VLOOKUP($A4,main!$A$3:$H$102,6,FALSE)&gt;=(VLOOKUP(VLOOKUP(M$1,main!$A$3:$H$102,8,FALSE),main!$K$26:$M$29,2,FALSE)+VLOOKUP(VLOOKUP(M$1,main!$A$3:$H$102,7,FALSE),main!$K$19:$O$22,MATCH(VLOOKUP($A4,main!$A$3:$H$102,8,FALSE),main!$K$18:$O$18,0))))),1,0)</f>
        <v>0</v>
      </c>
      <c r="N4">
        <f>IF((AND(VLOOKUP(N$1,main!$A$3:$H$102,5,FALSE)-VLOOKUP($A4,main!$A$3:$H$102,6,FALSE)&gt;=(VLOOKUP(VLOOKUP(N$1,main!$A$3:$H$102,8,FALSE),main!$K$26:$M$29,2,FALSE)+VLOOKUP(VLOOKUP(N$1,main!$A$3:$H$102,7,FALSE),main!$K$19:$O$22,MATCH(VLOOKUP($A4,main!$A$3:$H$102,8,FALSE),main!$K$18:$O$18,0))))),1,0)</f>
        <v>0</v>
      </c>
      <c r="O4">
        <f>IF((AND(VLOOKUP(O$1,main!$A$3:$H$102,5,FALSE)-VLOOKUP($A4,main!$A$3:$H$102,6,FALSE)&gt;=(VLOOKUP(VLOOKUP(O$1,main!$A$3:$H$102,8,FALSE),main!$K$26:$M$29,2,FALSE)+VLOOKUP(VLOOKUP(O$1,main!$A$3:$H$102,7,FALSE),main!$K$19:$O$22,MATCH(VLOOKUP($A4,main!$A$3:$H$102,8,FALSE),main!$K$18:$O$18,0))))),1,0)</f>
        <v>0</v>
      </c>
      <c r="P4">
        <f>IF((AND(VLOOKUP(P$1,main!$A$3:$H$102,5,FALSE)-VLOOKUP($A4,main!$A$3:$H$102,6,FALSE)&gt;=(VLOOKUP(VLOOKUP(P$1,main!$A$3:$H$102,8,FALSE),main!$K$26:$M$29,2,FALSE)+VLOOKUP(VLOOKUP(P$1,main!$A$3:$H$102,7,FALSE),main!$K$19:$O$22,MATCH(VLOOKUP($A4,main!$A$3:$H$102,8,FALSE),main!$K$18:$O$18,0))))),1,0)</f>
        <v>0</v>
      </c>
      <c r="Q4">
        <f>IF((AND(VLOOKUP(Q$1,main!$A$3:$H$102,5,FALSE)-VLOOKUP($A4,main!$A$3:$H$102,6,FALSE)&gt;=(VLOOKUP(VLOOKUP(Q$1,main!$A$3:$H$102,8,FALSE),main!$K$26:$M$29,2,FALSE)+VLOOKUP(VLOOKUP(Q$1,main!$A$3:$H$102,7,FALSE),main!$K$19:$O$22,MATCH(VLOOKUP($A4,main!$A$3:$H$102,8,FALSE),main!$K$18:$O$18,0))))),1,0)</f>
        <v>1</v>
      </c>
      <c r="R4">
        <f>IF((AND(VLOOKUP(R$1,main!$A$3:$H$102,5,FALSE)-VLOOKUP($A4,main!$A$3:$H$102,6,FALSE)&gt;=(VLOOKUP(VLOOKUP(R$1,main!$A$3:$H$102,8,FALSE),main!$K$26:$M$29,2,FALSE)+VLOOKUP(VLOOKUP(R$1,main!$A$3:$H$102,7,FALSE),main!$K$19:$O$22,MATCH(VLOOKUP($A4,main!$A$3:$H$102,8,FALSE),main!$K$18:$O$18,0))))),1,0)</f>
        <v>1</v>
      </c>
      <c r="S4">
        <f>IF((AND(VLOOKUP(S$1,main!$A$3:$H$102,5,FALSE)-VLOOKUP($A4,main!$A$3:$H$102,6,FALSE)&gt;=(VLOOKUP(VLOOKUP(S$1,main!$A$3:$H$102,8,FALSE),main!$K$26:$M$29,2,FALSE)+VLOOKUP(VLOOKUP(S$1,main!$A$3:$H$102,7,FALSE),main!$K$19:$O$22,MATCH(VLOOKUP($A4,main!$A$3:$H$102,8,FALSE),main!$K$18:$O$18,0))))),1,0)</f>
        <v>1</v>
      </c>
      <c r="T4">
        <f>IF((AND(VLOOKUP(T$1,main!$A$3:$H$102,5,FALSE)-VLOOKUP($A4,main!$A$3:$H$102,6,FALSE)&gt;=(VLOOKUP(VLOOKUP(T$1,main!$A$3:$H$102,8,FALSE),main!$K$26:$M$29,2,FALSE)+VLOOKUP(VLOOKUP(T$1,main!$A$3:$H$102,7,FALSE),main!$K$19:$O$22,MATCH(VLOOKUP($A4,main!$A$3:$H$102,8,FALSE),main!$K$18:$O$18,0))))),1,0)</f>
        <v>1</v>
      </c>
      <c r="U4">
        <f>IF((AND(VLOOKUP(U$1,main!$A$3:$H$102,5,FALSE)-VLOOKUP($A4,main!$A$3:$H$102,6,FALSE)&gt;=(VLOOKUP(VLOOKUP(U$1,main!$A$3:$H$102,8,FALSE),main!$K$26:$M$29,2,FALSE)+VLOOKUP(VLOOKUP(U$1,main!$A$3:$H$102,7,FALSE),main!$K$19:$O$22,MATCH(VLOOKUP($A4,main!$A$3:$H$102,8,FALSE),main!$K$18:$O$18,0))))),1,0)</f>
        <v>1</v>
      </c>
      <c r="V4">
        <f>IF((AND(VLOOKUP(V$1,main!$A$3:$H$102,5,FALSE)-VLOOKUP($A4,main!$A$3:$H$102,6,FALSE)&gt;=(VLOOKUP(VLOOKUP(V$1,main!$A$3:$H$102,8,FALSE),main!$K$26:$M$29,2,FALSE)+VLOOKUP(VLOOKUP(V$1,main!$A$3:$H$102,7,FALSE),main!$K$19:$O$22,MATCH(VLOOKUP($A4,main!$A$3:$H$102,8,FALSE),main!$K$18:$O$18,0))))),1,0)</f>
        <v>1</v>
      </c>
      <c r="W4">
        <f>IF((AND(VLOOKUP(W$1,main!$A$3:$H$102,5,FALSE)-VLOOKUP($A4,main!$A$3:$H$102,6,FALSE)&gt;=(VLOOKUP(VLOOKUP(W$1,main!$A$3:$H$102,8,FALSE),main!$K$26:$M$29,2,FALSE)+VLOOKUP(VLOOKUP(W$1,main!$A$3:$H$102,7,FALSE),main!$K$19:$O$22,MATCH(VLOOKUP($A4,main!$A$3:$H$102,8,FALSE),main!$K$18:$O$18,0))))),1,0)</f>
        <v>0</v>
      </c>
      <c r="X4">
        <f>IF((AND(VLOOKUP(X$1,main!$A$3:$H$102,5,FALSE)-VLOOKUP($A4,main!$A$3:$H$102,6,FALSE)&gt;=(VLOOKUP(VLOOKUP(X$1,main!$A$3:$H$102,8,FALSE),main!$K$26:$M$29,2,FALSE)+VLOOKUP(VLOOKUP(X$1,main!$A$3:$H$102,7,FALSE),main!$K$19:$O$22,MATCH(VLOOKUP($A4,main!$A$3:$H$102,8,FALSE),main!$K$18:$O$18,0))))),1,0)</f>
        <v>0</v>
      </c>
      <c r="Y4">
        <f>IF((AND(VLOOKUP(Y$1,main!$A$3:$H$102,5,FALSE)-VLOOKUP($A4,main!$A$3:$H$102,6,FALSE)&gt;=(VLOOKUP(VLOOKUP(Y$1,main!$A$3:$H$102,8,FALSE),main!$K$26:$M$29,2,FALSE)+VLOOKUP(VLOOKUP(Y$1,main!$A$3:$H$102,7,FALSE),main!$K$19:$O$22,MATCH(VLOOKUP($A4,main!$A$3:$H$102,8,FALSE),main!$K$18:$O$18,0))))),1,0)</f>
        <v>1</v>
      </c>
      <c r="Z4">
        <f>IF((AND(VLOOKUP(Z$1,main!$A$3:$H$102,5,FALSE)-VLOOKUP($A4,main!$A$3:$H$102,6,FALSE)&gt;=(VLOOKUP(VLOOKUP(Z$1,main!$A$3:$H$102,8,FALSE),main!$K$26:$M$29,2,FALSE)+VLOOKUP(VLOOKUP(Z$1,main!$A$3:$H$102,7,FALSE),main!$K$19:$O$22,MATCH(VLOOKUP($A4,main!$A$3:$H$102,8,FALSE),main!$K$18:$O$18,0))))),1,0)</f>
        <v>1</v>
      </c>
      <c r="AA4">
        <f>IF((AND(VLOOKUP(AA$1,main!$A$3:$H$102,5,FALSE)-VLOOKUP($A4,main!$A$3:$H$102,6,FALSE)&gt;=(VLOOKUP(VLOOKUP(AA$1,main!$A$3:$H$102,8,FALSE),main!$K$26:$M$29,2,FALSE)+VLOOKUP(VLOOKUP(AA$1,main!$A$3:$H$102,7,FALSE),main!$K$19:$O$22,MATCH(VLOOKUP($A4,main!$A$3:$H$102,8,FALSE),main!$K$18:$O$18,0))))),1,0)</f>
        <v>1</v>
      </c>
      <c r="AB4">
        <f>IF((AND(VLOOKUP(AB$1,main!$A$3:$H$102,5,FALSE)-VLOOKUP($A4,main!$A$3:$H$102,6,FALSE)&gt;=(VLOOKUP(VLOOKUP(AB$1,main!$A$3:$H$102,8,FALSE),main!$K$26:$M$29,2,FALSE)+VLOOKUP(VLOOKUP(AB$1,main!$A$3:$H$102,7,FALSE),main!$K$19:$O$22,MATCH(VLOOKUP($A4,main!$A$3:$H$102,8,FALSE),main!$K$18:$O$18,0))))),1,0)</f>
        <v>0</v>
      </c>
      <c r="AC4">
        <f>IF((AND(VLOOKUP(AC$1,main!$A$3:$H$102,5,FALSE)-VLOOKUP($A4,main!$A$3:$H$102,6,FALSE)&gt;=(VLOOKUP(VLOOKUP(AC$1,main!$A$3:$H$102,8,FALSE),main!$K$26:$M$29,2,FALSE)+VLOOKUP(VLOOKUP(AC$1,main!$A$3:$H$102,7,FALSE),main!$K$19:$O$22,MATCH(VLOOKUP($A4,main!$A$3:$H$102,8,FALSE),main!$K$18:$O$18,0))))),1,0)</f>
        <v>0</v>
      </c>
      <c r="AD4">
        <f>IF((AND(VLOOKUP(AD$1,main!$A$3:$H$102,5,FALSE)-VLOOKUP($A4,main!$A$3:$H$102,6,FALSE)&gt;=(VLOOKUP(VLOOKUP(AD$1,main!$A$3:$H$102,8,FALSE),main!$K$26:$M$29,2,FALSE)+VLOOKUP(VLOOKUP(AD$1,main!$A$3:$H$102,7,FALSE),main!$K$19:$O$22,MATCH(VLOOKUP($A4,main!$A$3:$H$102,8,FALSE),main!$K$18:$O$18,0))))),1,0)</f>
        <v>1</v>
      </c>
      <c r="AE4">
        <f>IF((AND(VLOOKUP(AE$1,main!$A$3:$H$102,5,FALSE)-VLOOKUP($A4,main!$A$3:$H$102,6,FALSE)&gt;=(VLOOKUP(VLOOKUP(AE$1,main!$A$3:$H$102,8,FALSE),main!$K$26:$M$29,2,FALSE)+VLOOKUP(VLOOKUP(AE$1,main!$A$3:$H$102,7,FALSE),main!$K$19:$O$22,MATCH(VLOOKUP($A4,main!$A$3:$H$102,8,FALSE),main!$K$18:$O$18,0))))),1,0)</f>
        <v>1</v>
      </c>
      <c r="AF4">
        <f>IF((AND(VLOOKUP(AF$1,main!$A$3:$H$102,5,FALSE)-VLOOKUP($A4,main!$A$3:$H$102,6,FALSE)&gt;=(VLOOKUP(VLOOKUP(AF$1,main!$A$3:$H$102,8,FALSE),main!$K$26:$M$29,2,FALSE)+VLOOKUP(VLOOKUP(AF$1,main!$A$3:$H$102,7,FALSE),main!$K$19:$O$22,MATCH(VLOOKUP($A4,main!$A$3:$H$102,8,FALSE),main!$K$18:$O$18,0))))),1,0)</f>
        <v>1</v>
      </c>
      <c r="AG4">
        <f>IF((AND(VLOOKUP(AG$1,main!$A$3:$H$102,5,FALSE)-VLOOKUP($A4,main!$A$3:$H$102,6,FALSE)&gt;=(VLOOKUP(VLOOKUP(AG$1,main!$A$3:$H$102,8,FALSE),main!$K$26:$M$29,2,FALSE)+VLOOKUP(VLOOKUP(AG$1,main!$A$3:$H$102,7,FALSE),main!$K$19:$O$22,MATCH(VLOOKUP($A4,main!$A$3:$H$102,8,FALSE),main!$K$18:$O$18,0))))),1,0)</f>
        <v>0</v>
      </c>
      <c r="AH4">
        <f>IF((AND(VLOOKUP(AH$1,main!$A$3:$H$102,5,FALSE)-VLOOKUP($A4,main!$A$3:$H$102,6,FALSE)&gt;=(VLOOKUP(VLOOKUP(AH$1,main!$A$3:$H$102,8,FALSE),main!$K$26:$M$29,2,FALSE)+VLOOKUP(VLOOKUP(AH$1,main!$A$3:$H$102,7,FALSE),main!$K$19:$O$22,MATCH(VLOOKUP($A4,main!$A$3:$H$102,8,FALSE),main!$K$18:$O$18,0))))),1,0)</f>
        <v>0</v>
      </c>
      <c r="AI4">
        <f>IF((AND(VLOOKUP(AI$1,main!$A$3:$H$102,5,FALSE)-VLOOKUP($A4,main!$A$3:$H$102,6,FALSE)&gt;=(VLOOKUP(VLOOKUP(AI$1,main!$A$3:$H$102,8,FALSE),main!$K$26:$M$29,2,FALSE)+VLOOKUP(VLOOKUP(AI$1,main!$A$3:$H$102,7,FALSE),main!$K$19:$O$22,MATCH(VLOOKUP($A4,main!$A$3:$H$102,8,FALSE),main!$K$18:$O$18,0))))),1,0)</f>
        <v>1</v>
      </c>
      <c r="AJ4">
        <f>IF((AND(VLOOKUP(AJ$1,main!$A$3:$H$102,5,FALSE)-VLOOKUP($A4,main!$A$3:$H$102,6,FALSE)&gt;=(VLOOKUP(VLOOKUP(AJ$1,main!$A$3:$H$102,8,FALSE),main!$K$26:$M$29,2,FALSE)+VLOOKUP(VLOOKUP(AJ$1,main!$A$3:$H$102,7,FALSE),main!$K$19:$O$22,MATCH(VLOOKUP($A4,main!$A$3:$H$102,8,FALSE),main!$K$18:$O$18,0))))),1,0)</f>
        <v>1</v>
      </c>
      <c r="AK4">
        <f>IF((AND(VLOOKUP(AK$1,main!$A$3:$H$102,5,FALSE)-VLOOKUP($A4,main!$A$3:$H$102,6,FALSE)&gt;=(VLOOKUP(VLOOKUP(AK$1,main!$A$3:$H$102,8,FALSE),main!$K$26:$M$29,2,FALSE)+VLOOKUP(VLOOKUP(AK$1,main!$A$3:$H$102,7,FALSE),main!$K$19:$O$22,MATCH(VLOOKUP($A4,main!$A$3:$H$102,8,FALSE),main!$K$18:$O$18,0))))),1,0)</f>
        <v>1</v>
      </c>
      <c r="AL4">
        <f>IF((AND(VLOOKUP(AL$1,main!$A$3:$H$102,5,FALSE)-VLOOKUP($A4,main!$A$3:$H$102,6,FALSE)&gt;=(VLOOKUP(VLOOKUP(AL$1,main!$A$3:$H$102,8,FALSE),main!$K$26:$M$29,2,FALSE)+VLOOKUP(VLOOKUP(AL$1,main!$A$3:$H$102,7,FALSE),main!$K$19:$O$22,MATCH(VLOOKUP($A4,main!$A$3:$H$102,8,FALSE),main!$K$18:$O$18,0))))),1,0)</f>
        <v>1</v>
      </c>
      <c r="AM4">
        <f>IF((AND(VLOOKUP(AM$1,main!$A$3:$H$102,5,FALSE)-VLOOKUP($A4,main!$A$3:$H$102,6,FALSE)&gt;=(VLOOKUP(VLOOKUP(AM$1,main!$A$3:$H$102,8,FALSE),main!$K$26:$M$29,2,FALSE)+VLOOKUP(VLOOKUP(AM$1,main!$A$3:$H$102,7,FALSE),main!$K$19:$O$22,MATCH(VLOOKUP($A4,main!$A$3:$H$102,8,FALSE),main!$K$18:$O$18,0))))),1,0)</f>
        <v>1</v>
      </c>
      <c r="AN4">
        <f>IF((AND(VLOOKUP(AN$1,main!$A$3:$H$102,5,FALSE)-VLOOKUP($A4,main!$A$3:$H$102,6,FALSE)&gt;=(VLOOKUP(VLOOKUP(AN$1,main!$A$3:$H$102,8,FALSE),main!$K$26:$M$29,2,FALSE)+VLOOKUP(VLOOKUP(AN$1,main!$A$3:$H$102,7,FALSE),main!$K$19:$O$22,MATCH(VLOOKUP($A4,main!$A$3:$H$102,8,FALSE),main!$K$18:$O$18,0))))),1,0)</f>
        <v>1</v>
      </c>
      <c r="AO4">
        <f>IF((AND(VLOOKUP(AO$1,main!$A$3:$H$102,5,FALSE)-VLOOKUP($A4,main!$A$3:$H$102,6,FALSE)&gt;=(VLOOKUP(VLOOKUP(AO$1,main!$A$3:$H$102,8,FALSE),main!$K$26:$M$29,2,FALSE)+VLOOKUP(VLOOKUP(AO$1,main!$A$3:$H$102,7,FALSE),main!$K$19:$O$22,MATCH(VLOOKUP($A4,main!$A$3:$H$102,8,FALSE),main!$K$18:$O$18,0))))),1,0)</f>
        <v>0</v>
      </c>
      <c r="AP4">
        <f>IF((AND(VLOOKUP(AP$1,main!$A$3:$H$102,5,FALSE)-VLOOKUP($A4,main!$A$3:$H$102,6,FALSE)&gt;=(VLOOKUP(VLOOKUP(AP$1,main!$A$3:$H$102,8,FALSE),main!$K$26:$M$29,2,FALSE)+VLOOKUP(VLOOKUP(AP$1,main!$A$3:$H$102,7,FALSE),main!$K$19:$O$22,MATCH(VLOOKUP($A4,main!$A$3:$H$102,8,FALSE),main!$K$18:$O$18,0))))),1,0)</f>
        <v>1</v>
      </c>
      <c r="AQ4">
        <f>IF((AND(VLOOKUP(AQ$1,main!$A$3:$H$102,5,FALSE)-VLOOKUP($A4,main!$A$3:$H$102,6,FALSE)&gt;=(VLOOKUP(VLOOKUP(AQ$1,main!$A$3:$H$102,8,FALSE),main!$K$26:$M$29,2,FALSE)+VLOOKUP(VLOOKUP(AQ$1,main!$A$3:$H$102,7,FALSE),main!$K$19:$O$22,MATCH(VLOOKUP($A4,main!$A$3:$H$102,8,FALSE),main!$K$18:$O$18,0))))),1,0)</f>
        <v>0</v>
      </c>
      <c r="AR4">
        <f>IF((AND(VLOOKUP(AR$1,main!$A$3:$H$102,5,FALSE)-VLOOKUP($A4,main!$A$3:$H$102,6,FALSE)&gt;=(VLOOKUP(VLOOKUP(AR$1,main!$A$3:$H$102,8,FALSE),main!$K$26:$M$29,2,FALSE)+VLOOKUP(VLOOKUP(AR$1,main!$A$3:$H$102,7,FALSE),main!$K$19:$O$22,MATCH(VLOOKUP($A4,main!$A$3:$H$102,8,FALSE),main!$K$18:$O$18,0))))),1,0)</f>
        <v>0</v>
      </c>
      <c r="AS4">
        <f>IF((AND(VLOOKUP(AS$1,main!$A$3:$H$102,5,FALSE)-VLOOKUP($A4,main!$A$3:$H$102,6,FALSE)&gt;=(VLOOKUP(VLOOKUP(AS$1,main!$A$3:$H$102,8,FALSE),main!$K$26:$M$29,2,FALSE)+VLOOKUP(VLOOKUP(AS$1,main!$A$3:$H$102,7,FALSE),main!$K$19:$O$22,MATCH(VLOOKUP($A4,main!$A$3:$H$102,8,FALSE),main!$K$18:$O$18,0))))),1,0)</f>
        <v>1</v>
      </c>
      <c r="AT4">
        <f>IF((AND(VLOOKUP(AT$1,main!$A$3:$H$102,5,FALSE)-VLOOKUP($A4,main!$A$3:$H$102,6,FALSE)&gt;=(VLOOKUP(VLOOKUP(AT$1,main!$A$3:$H$102,8,FALSE),main!$K$26:$M$29,2,FALSE)+VLOOKUP(VLOOKUP(AT$1,main!$A$3:$H$102,7,FALSE),main!$K$19:$O$22,MATCH(VLOOKUP($A4,main!$A$3:$H$102,8,FALSE),main!$K$18:$O$18,0))))),1,0)</f>
        <v>1</v>
      </c>
      <c r="AU4">
        <f>IF((AND(VLOOKUP(AU$1,main!$A$3:$H$102,5,FALSE)-VLOOKUP($A4,main!$A$3:$H$102,6,FALSE)&gt;=(VLOOKUP(VLOOKUP(AU$1,main!$A$3:$H$102,8,FALSE),main!$K$26:$M$29,2,FALSE)+VLOOKUP(VLOOKUP(AU$1,main!$A$3:$H$102,7,FALSE),main!$K$19:$O$22,MATCH(VLOOKUP($A4,main!$A$3:$H$102,8,FALSE),main!$K$18:$O$18,0))))),1,0)</f>
        <v>0</v>
      </c>
      <c r="AV4">
        <f>IF((AND(VLOOKUP(AV$1,main!$A$3:$H$102,5,FALSE)-VLOOKUP($A4,main!$A$3:$H$102,6,FALSE)&gt;=(VLOOKUP(VLOOKUP(AV$1,main!$A$3:$H$102,8,FALSE),main!$K$26:$M$29,2,FALSE)+VLOOKUP(VLOOKUP(AV$1,main!$A$3:$H$102,7,FALSE),main!$K$19:$O$22,MATCH(VLOOKUP($A4,main!$A$3:$H$102,8,FALSE),main!$K$18:$O$18,0))))),1,0)</f>
        <v>0</v>
      </c>
      <c r="AW4">
        <f>IF((AND(VLOOKUP(AW$1,main!$A$3:$H$102,5,FALSE)-VLOOKUP($A4,main!$A$3:$H$102,6,FALSE)&gt;=(VLOOKUP(VLOOKUP(AW$1,main!$A$3:$H$102,8,FALSE),main!$K$26:$M$29,2,FALSE)+VLOOKUP(VLOOKUP(AW$1,main!$A$3:$H$102,7,FALSE),main!$K$19:$O$22,MATCH(VLOOKUP($A4,main!$A$3:$H$102,8,FALSE),main!$K$18:$O$18,0))))),1,0)</f>
        <v>1</v>
      </c>
      <c r="AX4">
        <f>IF((AND(VLOOKUP(AX$1,main!$A$3:$H$102,5,FALSE)-VLOOKUP($A4,main!$A$3:$H$102,6,FALSE)&gt;=(VLOOKUP(VLOOKUP(AX$1,main!$A$3:$H$102,8,FALSE),main!$K$26:$M$29,2,FALSE)+VLOOKUP(VLOOKUP(AX$1,main!$A$3:$H$102,7,FALSE),main!$K$19:$O$22,MATCH(VLOOKUP($A4,main!$A$3:$H$102,8,FALSE),main!$K$18:$O$18,0))))),1,0)</f>
        <v>1</v>
      </c>
      <c r="AY4">
        <f>IF((AND(VLOOKUP(AY$1,main!$A$3:$H$102,5,FALSE)-VLOOKUP($A4,main!$A$3:$H$102,6,FALSE)&gt;=(VLOOKUP(VLOOKUP(AY$1,main!$A$3:$H$102,8,FALSE),main!$K$26:$M$29,2,FALSE)+VLOOKUP(VLOOKUP(AY$1,main!$A$3:$H$102,7,FALSE),main!$K$19:$O$22,MATCH(VLOOKUP($A4,main!$A$3:$H$102,8,FALSE),main!$K$18:$O$18,0))))),1,0)</f>
        <v>0</v>
      </c>
      <c r="AZ4">
        <f>IF((AND(VLOOKUP(AZ$1,main!$A$3:$H$102,5,FALSE)-VLOOKUP($A4,main!$A$3:$H$102,6,FALSE)&gt;=(VLOOKUP(VLOOKUP(AZ$1,main!$A$3:$H$102,8,FALSE),main!$K$26:$M$29,2,FALSE)+VLOOKUP(VLOOKUP(AZ$1,main!$A$3:$H$102,7,FALSE),main!$K$19:$O$22,MATCH(VLOOKUP($A4,main!$A$3:$H$102,8,FALSE),main!$K$18:$O$18,0))))),1,0)</f>
        <v>1</v>
      </c>
      <c r="BA4">
        <f>IF((AND(VLOOKUP(BA$1,main!$A$3:$H$102,5,FALSE)-VLOOKUP($A4,main!$A$3:$H$102,6,FALSE)&gt;=(VLOOKUP(VLOOKUP(BA$1,main!$A$3:$H$102,8,FALSE),main!$K$26:$M$29,2,FALSE)+VLOOKUP(VLOOKUP(BA$1,main!$A$3:$H$102,7,FALSE),main!$K$19:$O$22,MATCH(VLOOKUP($A4,main!$A$3:$H$102,8,FALSE),main!$K$18:$O$18,0))))),1,0)</f>
        <v>0</v>
      </c>
      <c r="BB4">
        <f>IF((AND(VLOOKUP(BB$1,main!$A$3:$H$102,5,FALSE)-VLOOKUP($A4,main!$A$3:$H$102,6,FALSE)&gt;=(VLOOKUP(VLOOKUP(BB$1,main!$A$3:$H$102,8,FALSE),main!$K$26:$M$29,2,FALSE)+VLOOKUP(VLOOKUP(BB$1,main!$A$3:$H$102,7,FALSE),main!$K$19:$O$22,MATCH(VLOOKUP($A4,main!$A$3:$H$102,8,FALSE),main!$K$18:$O$18,0))))),1,0)</f>
        <v>1</v>
      </c>
      <c r="BC4">
        <f>IF((AND(VLOOKUP(BC$1,main!$A$3:$H$102,5,FALSE)-VLOOKUP($A4,main!$A$3:$H$102,6,FALSE)&gt;=(VLOOKUP(VLOOKUP(BC$1,main!$A$3:$H$102,8,FALSE),main!$K$26:$M$29,2,FALSE)+VLOOKUP(VLOOKUP(BC$1,main!$A$3:$H$102,7,FALSE),main!$K$19:$O$22,MATCH(VLOOKUP($A4,main!$A$3:$H$102,8,FALSE),main!$K$18:$O$18,0))))),1,0)</f>
        <v>1</v>
      </c>
      <c r="BD4">
        <f>IF((AND(VLOOKUP(BD$1,main!$A$3:$H$102,5,FALSE)-VLOOKUP($A4,main!$A$3:$H$102,6,FALSE)&gt;=(VLOOKUP(VLOOKUP(BD$1,main!$A$3:$H$102,8,FALSE),main!$K$26:$M$29,2,FALSE)+VLOOKUP(VLOOKUP(BD$1,main!$A$3:$H$102,7,FALSE),main!$K$19:$O$22,MATCH(VLOOKUP($A4,main!$A$3:$H$102,8,FALSE),main!$K$18:$O$18,0))))),1,0)</f>
        <v>1</v>
      </c>
      <c r="BE4">
        <f>IF((AND(VLOOKUP(BE$1,main!$A$3:$H$102,5,FALSE)-VLOOKUP($A4,main!$A$3:$H$102,6,FALSE)&gt;=(VLOOKUP(VLOOKUP(BE$1,main!$A$3:$H$102,8,FALSE),main!$K$26:$M$29,2,FALSE)+VLOOKUP(VLOOKUP(BE$1,main!$A$3:$H$102,7,FALSE),main!$K$19:$O$22,MATCH(VLOOKUP($A4,main!$A$3:$H$102,8,FALSE),main!$K$18:$O$18,0))))),1,0)</f>
        <v>1</v>
      </c>
      <c r="BF4">
        <f>IF((AND(VLOOKUP(BF$1,main!$A$3:$H$102,5,FALSE)-VLOOKUP($A4,main!$A$3:$H$102,6,FALSE)&gt;=(VLOOKUP(VLOOKUP(BF$1,main!$A$3:$H$102,8,FALSE),main!$K$26:$M$29,2,FALSE)+VLOOKUP(VLOOKUP(BF$1,main!$A$3:$H$102,7,FALSE),main!$K$19:$O$22,MATCH(VLOOKUP($A4,main!$A$3:$H$102,8,FALSE),main!$K$18:$O$18,0))))),1,0)</f>
        <v>0</v>
      </c>
      <c r="BG4">
        <f>IF((AND(VLOOKUP(BG$1,main!$A$3:$H$102,5,FALSE)-VLOOKUP($A4,main!$A$3:$H$102,6,FALSE)&gt;=(VLOOKUP(VLOOKUP(BG$1,main!$A$3:$H$102,8,FALSE),main!$K$26:$M$29,2,FALSE)+VLOOKUP(VLOOKUP(BG$1,main!$A$3:$H$102,7,FALSE),main!$K$19:$O$22,MATCH(VLOOKUP($A4,main!$A$3:$H$102,8,FALSE),main!$K$18:$O$18,0))))),1,0)</f>
        <v>0</v>
      </c>
      <c r="BH4">
        <f>IF((AND(VLOOKUP(BH$1,main!$A$3:$H$102,5,FALSE)-VLOOKUP($A4,main!$A$3:$H$102,6,FALSE)&gt;=(VLOOKUP(VLOOKUP(BH$1,main!$A$3:$H$102,8,FALSE),main!$K$26:$M$29,2,FALSE)+VLOOKUP(VLOOKUP(BH$1,main!$A$3:$H$102,7,FALSE),main!$K$19:$O$22,MATCH(VLOOKUP($A4,main!$A$3:$H$102,8,FALSE),main!$K$18:$O$18,0))))),1,0)</f>
        <v>1</v>
      </c>
      <c r="BI4">
        <f>IF((AND(VLOOKUP(BI$1,main!$A$3:$H$102,5,FALSE)-VLOOKUP($A4,main!$A$3:$H$102,6,FALSE)&gt;=(VLOOKUP(VLOOKUP(BI$1,main!$A$3:$H$102,8,FALSE),main!$K$26:$M$29,2,FALSE)+VLOOKUP(VLOOKUP(BI$1,main!$A$3:$H$102,7,FALSE),main!$K$19:$O$22,MATCH(VLOOKUP($A4,main!$A$3:$H$102,8,FALSE),main!$K$18:$O$18,0))))),1,0)</f>
        <v>1</v>
      </c>
      <c r="BJ4">
        <f>IF((AND(VLOOKUP(BJ$1,main!$A$3:$H$102,5,FALSE)-VLOOKUP($A4,main!$A$3:$H$102,6,FALSE)&gt;=(VLOOKUP(VLOOKUP(BJ$1,main!$A$3:$H$102,8,FALSE),main!$K$26:$M$29,2,FALSE)+VLOOKUP(VLOOKUP(BJ$1,main!$A$3:$H$102,7,FALSE),main!$K$19:$O$22,MATCH(VLOOKUP($A4,main!$A$3:$H$102,8,FALSE),main!$K$18:$O$18,0))))),1,0)</f>
        <v>1</v>
      </c>
      <c r="BK4">
        <f>IF((AND(VLOOKUP(BK$1,main!$A$3:$H$102,5,FALSE)-VLOOKUP($A4,main!$A$3:$H$102,6,FALSE)&gt;=(VLOOKUP(VLOOKUP(BK$1,main!$A$3:$H$102,8,FALSE),main!$K$26:$M$29,2,FALSE)+VLOOKUP(VLOOKUP(BK$1,main!$A$3:$H$102,7,FALSE),main!$K$19:$O$22,MATCH(VLOOKUP($A4,main!$A$3:$H$102,8,FALSE),main!$K$18:$O$18,0))))),1,0)</f>
        <v>0</v>
      </c>
      <c r="BL4">
        <f>IF((AND(VLOOKUP(BL$1,main!$A$3:$H$102,5,FALSE)-VLOOKUP($A4,main!$A$3:$H$102,6,FALSE)&gt;=(VLOOKUP(VLOOKUP(BL$1,main!$A$3:$H$102,8,FALSE),main!$K$26:$M$29,2,FALSE)+VLOOKUP(VLOOKUP(BL$1,main!$A$3:$H$102,7,FALSE),main!$K$19:$O$22,MATCH(VLOOKUP($A4,main!$A$3:$H$102,8,FALSE),main!$K$18:$O$18,0))))),1,0)</f>
        <v>0</v>
      </c>
      <c r="BM4">
        <f>IF((AND(VLOOKUP(BM$1,main!$A$3:$H$102,5,FALSE)-VLOOKUP($A4,main!$A$3:$H$102,6,FALSE)&gt;=(VLOOKUP(VLOOKUP(BM$1,main!$A$3:$H$102,8,FALSE),main!$K$26:$M$29,2,FALSE)+VLOOKUP(VLOOKUP(BM$1,main!$A$3:$H$102,7,FALSE),main!$K$19:$O$22,MATCH(VLOOKUP($A4,main!$A$3:$H$102,8,FALSE),main!$K$18:$O$18,0))))),1,0)</f>
        <v>0</v>
      </c>
      <c r="BN4">
        <f>IF((AND(VLOOKUP(BN$1,main!$A$3:$H$102,5,FALSE)-VLOOKUP($A4,main!$A$3:$H$102,6,FALSE)&gt;=(VLOOKUP(VLOOKUP(BN$1,main!$A$3:$H$102,8,FALSE),main!$K$26:$M$29,2,FALSE)+VLOOKUP(VLOOKUP(BN$1,main!$A$3:$H$102,7,FALSE),main!$K$19:$O$22,MATCH(VLOOKUP($A4,main!$A$3:$H$102,8,FALSE),main!$K$18:$O$18,0))))),1,0)</f>
        <v>1</v>
      </c>
      <c r="BO4">
        <f>IF((AND(VLOOKUP(BO$1,main!$A$3:$H$102,5,FALSE)-VLOOKUP($A4,main!$A$3:$H$102,6,FALSE)&gt;=(VLOOKUP(VLOOKUP(BO$1,main!$A$3:$H$102,8,FALSE),main!$K$26:$M$29,2,FALSE)+VLOOKUP(VLOOKUP(BO$1,main!$A$3:$H$102,7,FALSE),main!$K$19:$O$22,MATCH(VLOOKUP($A4,main!$A$3:$H$102,8,FALSE),main!$K$18:$O$18,0))))),1,0)</f>
        <v>0</v>
      </c>
      <c r="BP4">
        <f>IF((AND(VLOOKUP(BP$1,main!$A$3:$H$102,5,FALSE)-VLOOKUP($A4,main!$A$3:$H$102,6,FALSE)&gt;=(VLOOKUP(VLOOKUP(BP$1,main!$A$3:$H$102,8,FALSE),main!$K$26:$M$29,2,FALSE)+VLOOKUP(VLOOKUP(BP$1,main!$A$3:$H$102,7,FALSE),main!$K$19:$O$22,MATCH(VLOOKUP($A4,main!$A$3:$H$102,8,FALSE),main!$K$18:$O$18,0))))),1,0)</f>
        <v>0</v>
      </c>
      <c r="BQ4">
        <f>IF((AND(VLOOKUP(BQ$1,main!$A$3:$H$102,5,FALSE)-VLOOKUP($A4,main!$A$3:$H$102,6,FALSE)&gt;=(VLOOKUP(VLOOKUP(BQ$1,main!$A$3:$H$102,8,FALSE),main!$K$26:$M$29,2,FALSE)+VLOOKUP(VLOOKUP(BQ$1,main!$A$3:$H$102,7,FALSE),main!$K$19:$O$22,MATCH(VLOOKUP($A4,main!$A$3:$H$102,8,FALSE),main!$K$18:$O$18,0))))),1,0)</f>
        <v>1</v>
      </c>
      <c r="BR4">
        <f>IF((AND(VLOOKUP(BR$1,main!$A$3:$H$102,5,FALSE)-VLOOKUP($A4,main!$A$3:$H$102,6,FALSE)&gt;=(VLOOKUP(VLOOKUP(BR$1,main!$A$3:$H$102,8,FALSE),main!$K$26:$M$29,2,FALSE)+VLOOKUP(VLOOKUP(BR$1,main!$A$3:$H$102,7,FALSE),main!$K$19:$O$22,MATCH(VLOOKUP($A4,main!$A$3:$H$102,8,FALSE),main!$K$18:$O$18,0))))),1,0)</f>
        <v>1</v>
      </c>
      <c r="BS4">
        <f>IF((AND(VLOOKUP(BS$1,main!$A$3:$H$102,5,FALSE)-VLOOKUP($A4,main!$A$3:$H$102,6,FALSE)&gt;=(VLOOKUP(VLOOKUP(BS$1,main!$A$3:$H$102,8,FALSE),main!$K$26:$M$29,2,FALSE)+VLOOKUP(VLOOKUP(BS$1,main!$A$3:$H$102,7,FALSE),main!$K$19:$O$22,MATCH(VLOOKUP($A4,main!$A$3:$H$102,8,FALSE),main!$K$18:$O$18,0))))),1,0)</f>
        <v>1</v>
      </c>
      <c r="BT4">
        <f>IF((AND(VLOOKUP(BT$1,main!$A$3:$H$102,5,FALSE)-VLOOKUP($A4,main!$A$3:$H$102,6,FALSE)&gt;=(VLOOKUP(VLOOKUP(BT$1,main!$A$3:$H$102,8,FALSE),main!$K$26:$M$29,2,FALSE)+VLOOKUP(VLOOKUP(BT$1,main!$A$3:$H$102,7,FALSE),main!$K$19:$O$22,MATCH(VLOOKUP($A4,main!$A$3:$H$102,8,FALSE),main!$K$18:$O$18,0))))),1,0)</f>
        <v>1</v>
      </c>
      <c r="BU4">
        <f>IF((AND(VLOOKUP(BU$1,main!$A$3:$H$102,5,FALSE)-VLOOKUP($A4,main!$A$3:$H$102,6,FALSE)&gt;=(VLOOKUP(VLOOKUP(BU$1,main!$A$3:$H$102,8,FALSE),main!$K$26:$M$29,2,FALSE)+VLOOKUP(VLOOKUP(BU$1,main!$A$3:$H$102,7,FALSE),main!$K$19:$O$22,MATCH(VLOOKUP($A4,main!$A$3:$H$102,8,FALSE),main!$K$18:$O$18,0))))),1,0)</f>
        <v>0</v>
      </c>
      <c r="BV4">
        <f>IF((AND(VLOOKUP(BV$1,main!$A$3:$H$102,5,FALSE)-VLOOKUP($A4,main!$A$3:$H$102,6,FALSE)&gt;=(VLOOKUP(VLOOKUP(BV$1,main!$A$3:$H$102,8,FALSE),main!$K$26:$M$29,2,FALSE)+VLOOKUP(VLOOKUP(BV$1,main!$A$3:$H$102,7,FALSE),main!$K$19:$O$22,MATCH(VLOOKUP($A4,main!$A$3:$H$102,8,FALSE),main!$K$18:$O$18,0))))),1,0)</f>
        <v>0</v>
      </c>
      <c r="BW4">
        <f>IF((AND(VLOOKUP(BW$1,main!$A$3:$H$102,5,FALSE)-VLOOKUP($A4,main!$A$3:$H$102,6,FALSE)&gt;=(VLOOKUP(VLOOKUP(BW$1,main!$A$3:$H$102,8,FALSE),main!$K$26:$M$29,2,FALSE)+VLOOKUP(VLOOKUP(BW$1,main!$A$3:$H$102,7,FALSE),main!$K$19:$O$22,MATCH(VLOOKUP($A4,main!$A$3:$H$102,8,FALSE),main!$K$18:$O$18,0))))),1,0)</f>
        <v>0</v>
      </c>
      <c r="BX4">
        <f>IF((AND(VLOOKUP(BX$1,main!$A$3:$H$102,5,FALSE)-VLOOKUP($A4,main!$A$3:$H$102,6,FALSE)&gt;=(VLOOKUP(VLOOKUP(BX$1,main!$A$3:$H$102,8,FALSE),main!$K$26:$M$29,2,FALSE)+VLOOKUP(VLOOKUP(BX$1,main!$A$3:$H$102,7,FALSE),main!$K$19:$O$22,MATCH(VLOOKUP($A4,main!$A$3:$H$102,8,FALSE),main!$K$18:$O$18,0))))),1,0)</f>
        <v>1</v>
      </c>
      <c r="BY4">
        <f>IF((AND(VLOOKUP(BY$1,main!$A$3:$H$102,5,FALSE)-VLOOKUP($A4,main!$A$3:$H$102,6,FALSE)&gt;=(VLOOKUP(VLOOKUP(BY$1,main!$A$3:$H$102,8,FALSE),main!$K$26:$M$29,2,FALSE)+VLOOKUP(VLOOKUP(BY$1,main!$A$3:$H$102,7,FALSE),main!$K$19:$O$22,MATCH(VLOOKUP($A4,main!$A$3:$H$102,8,FALSE),main!$K$18:$O$18,0))))),1,0)</f>
        <v>1</v>
      </c>
      <c r="BZ4">
        <f>IF((AND(VLOOKUP(BZ$1,main!$A$3:$H$102,5,FALSE)-VLOOKUP($A4,main!$A$3:$H$102,6,FALSE)&gt;=(VLOOKUP(VLOOKUP(BZ$1,main!$A$3:$H$102,8,FALSE),main!$K$26:$M$29,2,FALSE)+VLOOKUP(VLOOKUP(BZ$1,main!$A$3:$H$102,7,FALSE),main!$K$19:$O$22,MATCH(VLOOKUP($A4,main!$A$3:$H$102,8,FALSE),main!$K$18:$O$18,0))))),1,0)</f>
        <v>0</v>
      </c>
      <c r="CA4">
        <f>IF((AND(VLOOKUP(CA$1,main!$A$3:$H$102,5,FALSE)-VLOOKUP($A4,main!$A$3:$H$102,6,FALSE)&gt;=(VLOOKUP(VLOOKUP(CA$1,main!$A$3:$H$102,8,FALSE),main!$K$26:$M$29,2,FALSE)+VLOOKUP(VLOOKUP(CA$1,main!$A$3:$H$102,7,FALSE),main!$K$19:$O$22,MATCH(VLOOKUP($A4,main!$A$3:$H$102,8,FALSE),main!$K$18:$O$18,0))))),1,0)</f>
        <v>0</v>
      </c>
      <c r="CB4">
        <f>IF((AND(VLOOKUP(CB$1,main!$A$3:$H$102,5,FALSE)-VLOOKUP($A4,main!$A$3:$H$102,6,FALSE)&gt;=(VLOOKUP(VLOOKUP(CB$1,main!$A$3:$H$102,8,FALSE),main!$K$26:$M$29,2,FALSE)+VLOOKUP(VLOOKUP(CB$1,main!$A$3:$H$102,7,FALSE),main!$K$19:$O$22,MATCH(VLOOKUP($A4,main!$A$3:$H$102,8,FALSE),main!$K$18:$O$18,0))))),1,0)</f>
        <v>1</v>
      </c>
      <c r="CC4">
        <f>IF((AND(VLOOKUP(CC$1,main!$A$3:$H$102,5,FALSE)-VLOOKUP($A4,main!$A$3:$H$102,6,FALSE)&gt;=(VLOOKUP(VLOOKUP(CC$1,main!$A$3:$H$102,8,FALSE),main!$K$26:$M$29,2,FALSE)+VLOOKUP(VLOOKUP(CC$1,main!$A$3:$H$102,7,FALSE),main!$K$19:$O$22,MATCH(VLOOKUP($A4,main!$A$3:$H$102,8,FALSE),main!$K$18:$O$18,0))))),1,0)</f>
        <v>1</v>
      </c>
      <c r="CD4">
        <f>IF((AND(VLOOKUP(CD$1,main!$A$3:$H$102,5,FALSE)-VLOOKUP($A4,main!$A$3:$H$102,6,FALSE)&gt;=(VLOOKUP(VLOOKUP(CD$1,main!$A$3:$H$102,8,FALSE),main!$K$26:$M$29,2,FALSE)+VLOOKUP(VLOOKUP(CD$1,main!$A$3:$H$102,7,FALSE),main!$K$19:$O$22,MATCH(VLOOKUP($A4,main!$A$3:$H$102,8,FALSE),main!$K$18:$O$18,0))))),1,0)</f>
        <v>1</v>
      </c>
      <c r="CE4">
        <f>IF((AND(VLOOKUP(CE$1,main!$A$3:$H$102,5,FALSE)-VLOOKUP($A4,main!$A$3:$H$102,6,FALSE)&gt;=(VLOOKUP(VLOOKUP(CE$1,main!$A$3:$H$102,8,FALSE),main!$K$26:$M$29,2,FALSE)+VLOOKUP(VLOOKUP(CE$1,main!$A$3:$H$102,7,FALSE),main!$K$19:$O$22,MATCH(VLOOKUP($A4,main!$A$3:$H$102,8,FALSE),main!$K$18:$O$18,0))))),1,0)</f>
        <v>0</v>
      </c>
      <c r="CF4">
        <f>IF((AND(VLOOKUP(CF$1,main!$A$3:$H$102,5,FALSE)-VLOOKUP($A4,main!$A$3:$H$102,6,FALSE)&gt;=(VLOOKUP(VLOOKUP(CF$1,main!$A$3:$H$102,8,FALSE),main!$K$26:$M$29,2,FALSE)+VLOOKUP(VLOOKUP(CF$1,main!$A$3:$H$102,7,FALSE),main!$K$19:$O$22,MATCH(VLOOKUP($A4,main!$A$3:$H$102,8,FALSE),main!$K$18:$O$18,0))))),1,0)</f>
        <v>1</v>
      </c>
      <c r="CG4">
        <f>IF((AND(VLOOKUP(CG$1,main!$A$3:$H$102,5,FALSE)-VLOOKUP($A4,main!$A$3:$H$102,6,FALSE)&gt;=(VLOOKUP(VLOOKUP(CG$1,main!$A$3:$H$102,8,FALSE),main!$K$26:$M$29,2,FALSE)+VLOOKUP(VLOOKUP(CG$1,main!$A$3:$H$102,7,FALSE),main!$K$19:$O$22,MATCH(VLOOKUP($A4,main!$A$3:$H$102,8,FALSE),main!$K$18:$O$18,0))))),1,0)</f>
        <v>1</v>
      </c>
      <c r="CH4">
        <f>IF((AND(VLOOKUP(CH$1,main!$A$3:$H$102,5,FALSE)-VLOOKUP($A4,main!$A$3:$H$102,6,FALSE)&gt;=(VLOOKUP(VLOOKUP(CH$1,main!$A$3:$H$102,8,FALSE),main!$K$26:$M$29,2,FALSE)+VLOOKUP(VLOOKUP(CH$1,main!$A$3:$H$102,7,FALSE),main!$K$19:$O$22,MATCH(VLOOKUP($A4,main!$A$3:$H$102,8,FALSE),main!$K$18:$O$18,0))))),1,0)</f>
        <v>1</v>
      </c>
      <c r="CI4">
        <f>IF((AND(VLOOKUP(CI$1,main!$A$3:$H$102,5,FALSE)-VLOOKUP($A4,main!$A$3:$H$102,6,FALSE)&gt;=(VLOOKUP(VLOOKUP(CI$1,main!$A$3:$H$102,8,FALSE),main!$K$26:$M$29,2,FALSE)+VLOOKUP(VLOOKUP(CI$1,main!$A$3:$H$102,7,FALSE),main!$K$19:$O$22,MATCH(VLOOKUP($A4,main!$A$3:$H$102,8,FALSE),main!$K$18:$O$18,0))))),1,0)</f>
        <v>1</v>
      </c>
      <c r="CJ4">
        <f>IF((AND(VLOOKUP(CJ$1,main!$A$3:$H$102,5,FALSE)-VLOOKUP($A4,main!$A$3:$H$102,6,FALSE)&gt;=(VLOOKUP(VLOOKUP(CJ$1,main!$A$3:$H$102,8,FALSE),main!$K$26:$M$29,2,FALSE)+VLOOKUP(VLOOKUP(CJ$1,main!$A$3:$H$102,7,FALSE),main!$K$19:$O$22,MATCH(VLOOKUP($A4,main!$A$3:$H$102,8,FALSE),main!$K$18:$O$18,0))))),1,0)</f>
        <v>1</v>
      </c>
      <c r="CK4">
        <f>IF((AND(VLOOKUP(CK$1,main!$A$3:$H$102,5,FALSE)-VLOOKUP($A4,main!$A$3:$H$102,6,FALSE)&gt;=(VLOOKUP(VLOOKUP(CK$1,main!$A$3:$H$102,8,FALSE),main!$K$26:$M$29,2,FALSE)+VLOOKUP(VLOOKUP(CK$1,main!$A$3:$H$102,7,FALSE),main!$K$19:$O$22,MATCH(VLOOKUP($A4,main!$A$3:$H$102,8,FALSE),main!$K$18:$O$18,0))))),1,0)</f>
        <v>0</v>
      </c>
      <c r="CL4">
        <f>IF((AND(VLOOKUP(CL$1,main!$A$3:$H$102,5,FALSE)-VLOOKUP($A4,main!$A$3:$H$102,6,FALSE)&gt;=(VLOOKUP(VLOOKUP(CL$1,main!$A$3:$H$102,8,FALSE),main!$K$26:$M$29,2,FALSE)+VLOOKUP(VLOOKUP(CL$1,main!$A$3:$H$102,7,FALSE),main!$K$19:$O$22,MATCH(VLOOKUP($A4,main!$A$3:$H$102,8,FALSE),main!$K$18:$O$18,0))))),1,0)</f>
        <v>1</v>
      </c>
      <c r="CM4">
        <f>IF((AND(VLOOKUP(CM$1,main!$A$3:$H$102,5,FALSE)-VLOOKUP($A4,main!$A$3:$H$102,6,FALSE)&gt;=(VLOOKUP(VLOOKUP(CM$1,main!$A$3:$H$102,8,FALSE),main!$K$26:$M$29,2,FALSE)+VLOOKUP(VLOOKUP(CM$1,main!$A$3:$H$102,7,FALSE),main!$K$19:$O$22,MATCH(VLOOKUP($A4,main!$A$3:$H$102,8,FALSE),main!$K$18:$O$18,0))))),1,0)</f>
        <v>1</v>
      </c>
      <c r="CN4">
        <f>IF((AND(VLOOKUP(CN$1,main!$A$3:$H$102,5,FALSE)-VLOOKUP($A4,main!$A$3:$H$102,6,FALSE)&gt;=(VLOOKUP(VLOOKUP(CN$1,main!$A$3:$H$102,8,FALSE),main!$K$26:$M$29,2,FALSE)+VLOOKUP(VLOOKUP(CN$1,main!$A$3:$H$102,7,FALSE),main!$K$19:$O$22,MATCH(VLOOKUP($A4,main!$A$3:$H$102,8,FALSE),main!$K$18:$O$18,0))))),1,0)</f>
        <v>1</v>
      </c>
      <c r="CO4">
        <f>IF((AND(VLOOKUP(CO$1,main!$A$3:$H$102,5,FALSE)-VLOOKUP($A4,main!$A$3:$H$102,6,FALSE)&gt;=(VLOOKUP(VLOOKUP(CO$1,main!$A$3:$H$102,8,FALSE),main!$K$26:$M$29,2,FALSE)+VLOOKUP(VLOOKUP(CO$1,main!$A$3:$H$102,7,FALSE),main!$K$19:$O$22,MATCH(VLOOKUP($A4,main!$A$3:$H$102,8,FALSE),main!$K$18:$O$18,0))))),1,0)</f>
        <v>0</v>
      </c>
      <c r="CP4">
        <f>IF((AND(VLOOKUP(CP$1,main!$A$3:$H$102,5,FALSE)-VLOOKUP($A4,main!$A$3:$H$102,6,FALSE)&gt;=(VLOOKUP(VLOOKUP(CP$1,main!$A$3:$H$102,8,FALSE),main!$K$26:$M$29,2,FALSE)+VLOOKUP(VLOOKUP(CP$1,main!$A$3:$H$102,7,FALSE),main!$K$19:$O$22,MATCH(VLOOKUP($A4,main!$A$3:$H$102,8,FALSE),main!$K$18:$O$18,0))))),1,0)</f>
        <v>1</v>
      </c>
      <c r="CQ4">
        <f>IF((AND(VLOOKUP(CQ$1,main!$A$3:$H$102,5,FALSE)-VLOOKUP($A4,main!$A$3:$H$102,6,FALSE)&gt;=(VLOOKUP(VLOOKUP(CQ$1,main!$A$3:$H$102,8,FALSE),main!$K$26:$M$29,2,FALSE)+VLOOKUP(VLOOKUP(CQ$1,main!$A$3:$H$102,7,FALSE),main!$K$19:$O$22,MATCH(VLOOKUP($A4,main!$A$3:$H$102,8,FALSE),main!$K$18:$O$18,0))))),1,0)</f>
        <v>1</v>
      </c>
      <c r="CR4">
        <f>IF((AND(VLOOKUP(CR$1,main!$A$3:$H$102,5,FALSE)-VLOOKUP($A4,main!$A$3:$H$102,6,FALSE)&gt;=(VLOOKUP(VLOOKUP(CR$1,main!$A$3:$H$102,8,FALSE),main!$K$26:$M$29,2,FALSE)+VLOOKUP(VLOOKUP(CR$1,main!$A$3:$H$102,7,FALSE),main!$K$19:$O$22,MATCH(VLOOKUP($A4,main!$A$3:$H$102,8,FALSE),main!$K$18:$O$18,0))))),1,0)</f>
        <v>1</v>
      </c>
      <c r="CS4">
        <f>IF((AND(VLOOKUP(CS$1,main!$A$3:$H$102,5,FALSE)-VLOOKUP($A4,main!$A$3:$H$102,6,FALSE)&gt;=(VLOOKUP(VLOOKUP(CS$1,main!$A$3:$H$102,8,FALSE),main!$K$26:$M$29,2,FALSE)+VLOOKUP(VLOOKUP(CS$1,main!$A$3:$H$102,7,FALSE),main!$K$19:$O$22,MATCH(VLOOKUP($A4,main!$A$3:$H$102,8,FALSE),main!$K$18:$O$18,0))))),1,0)</f>
        <v>1</v>
      </c>
      <c r="CT4">
        <f>IF((AND(VLOOKUP(CT$1,main!$A$3:$H$102,5,FALSE)-VLOOKUP($A4,main!$A$3:$H$102,6,FALSE)&gt;=(VLOOKUP(VLOOKUP(CT$1,main!$A$3:$H$102,8,FALSE),main!$K$26:$M$29,2,FALSE)+VLOOKUP(VLOOKUP(CT$1,main!$A$3:$H$102,7,FALSE),main!$K$19:$O$22,MATCH(VLOOKUP($A4,main!$A$3:$H$102,8,FALSE),main!$K$18:$O$18,0))))),1,0)</f>
        <v>0</v>
      </c>
      <c r="CU4">
        <f>IF((AND(VLOOKUP(CU$1,main!$A$3:$H$102,5,FALSE)-VLOOKUP($A4,main!$A$3:$H$102,6,FALSE)&gt;=(VLOOKUP(VLOOKUP(CU$1,main!$A$3:$H$102,8,FALSE),main!$K$26:$M$29,2,FALSE)+VLOOKUP(VLOOKUP(CU$1,main!$A$3:$H$102,7,FALSE),main!$K$19:$O$22,MATCH(VLOOKUP($A4,main!$A$3:$H$102,8,FALSE),main!$K$18:$O$18,0))))),1,0)</f>
        <v>0</v>
      </c>
      <c r="CV4">
        <f>IF((AND(VLOOKUP(CV$1,main!$A$3:$H$102,5,FALSE)-VLOOKUP($A4,main!$A$3:$H$102,6,FALSE)&gt;=(VLOOKUP(VLOOKUP(CV$1,main!$A$3:$H$102,8,FALSE),main!$K$26:$M$29,2,FALSE)+VLOOKUP(VLOOKUP(CV$1,main!$A$3:$H$102,7,FALSE),main!$K$19:$O$22,MATCH(VLOOKUP($A4,main!$A$3:$H$102,8,FALSE),main!$K$18:$O$18,0))))),1,0)</f>
        <v>1</v>
      </c>
      <c r="CW4">
        <f>IF((AND(VLOOKUP(CW$1,main!$A$3:$H$102,5,FALSE)-VLOOKUP($A4,main!$A$3:$H$102,6,FALSE)&gt;=(VLOOKUP(VLOOKUP(CW$1,main!$A$3:$H$102,8,FALSE),main!$K$26:$M$29,2,FALSE)+VLOOKUP(VLOOKUP(CW$1,main!$A$3:$H$102,7,FALSE),main!$K$19:$O$22,MATCH(VLOOKUP($A4,main!$A$3:$H$102,8,FALSE),main!$K$18:$O$18,0))))),1,0)</f>
        <v>1</v>
      </c>
      <c r="CX4">
        <f>IF((AND(VLOOKUP(CX$1,main!$A$3:$H$102,5,FALSE)-VLOOKUP($A4,main!$A$3:$H$102,6,FALSE)&gt;=(VLOOKUP(VLOOKUP(CX$1,main!$A$3:$H$102,8,FALSE),main!$K$26:$M$29,2,FALSE)+VLOOKUP(VLOOKUP(CX$1,main!$A$3:$H$102,7,FALSE),main!$K$19:$O$22,MATCH(VLOOKUP($A4,main!$A$3:$H$102,8,FALSE),main!$K$18:$O$18,0))))),1,0)</f>
        <v>1</v>
      </c>
    </row>
    <row r="5" spans="1:102" x14ac:dyDescent="0.25">
      <c r="A5" s="1">
        <v>3</v>
      </c>
      <c r="B5">
        <v>1</v>
      </c>
      <c r="C5">
        <f>IF((AND(VLOOKUP(C$1,main!$A$3:$H$102,5,FALSE)-VLOOKUP($A5,main!$A$3:$H$102,6,FALSE)&gt;=(VLOOKUP(VLOOKUP(C$1,main!$A$3:$H$102,8,FALSE),main!$K$26:$M$29,2,FALSE)+VLOOKUP(VLOOKUP(C$1,main!$A$3:$H$102,7,FALSE),main!$K$19:$O$22,MATCH(VLOOKUP($A5,main!$A$3:$H$102,8,FALSE),main!$K$18:$O$18,0))))),1,0)</f>
        <v>0</v>
      </c>
      <c r="D5">
        <f>IF((AND(VLOOKUP(D$1,main!$A$3:$H$102,5,FALSE)-VLOOKUP($A5,main!$A$3:$H$102,6,FALSE)&gt;=(VLOOKUP(VLOOKUP(D$1,main!$A$3:$H$102,8,FALSE),main!$K$26:$M$29,2,FALSE)+VLOOKUP(VLOOKUP(D$1,main!$A$3:$H$102,7,FALSE),main!$K$19:$O$22,MATCH(VLOOKUP($A5,main!$A$3:$H$102,8,FALSE),main!$K$18:$O$18,0))))),1,0)</f>
        <v>0</v>
      </c>
      <c r="E5">
        <f>IF((AND(VLOOKUP(E$1,main!$A$3:$H$102,5,FALSE)-VLOOKUP($A5,main!$A$3:$H$102,6,FALSE)&gt;=(VLOOKUP(VLOOKUP(E$1,main!$A$3:$H$102,8,FALSE),main!$K$26:$M$29,2,FALSE)+VLOOKUP(VLOOKUP(E$1,main!$A$3:$H$102,7,FALSE),main!$K$19:$O$22,MATCH(VLOOKUP($A5,main!$A$3:$H$102,8,FALSE),main!$K$18:$O$18,0))))),1,0)</f>
        <v>0</v>
      </c>
      <c r="F5">
        <f>IF((AND(VLOOKUP(F$1,main!$A$3:$H$102,5,FALSE)-VLOOKUP($A5,main!$A$3:$H$102,6,FALSE)&gt;=(VLOOKUP(VLOOKUP(F$1,main!$A$3:$H$102,8,FALSE),main!$K$26:$M$29,2,FALSE)+VLOOKUP(VLOOKUP(F$1,main!$A$3:$H$102,7,FALSE),main!$K$19:$O$22,MATCH(VLOOKUP($A5,main!$A$3:$H$102,8,FALSE),main!$K$18:$O$18,0))))),1,0)</f>
        <v>0</v>
      </c>
      <c r="G5">
        <f>IF((AND(VLOOKUP(G$1,main!$A$3:$H$102,5,FALSE)-VLOOKUP($A5,main!$A$3:$H$102,6,FALSE)&gt;=(VLOOKUP(VLOOKUP(G$1,main!$A$3:$H$102,8,FALSE),main!$K$26:$M$29,2,FALSE)+VLOOKUP(VLOOKUP(G$1,main!$A$3:$H$102,7,FALSE),main!$K$19:$O$22,MATCH(VLOOKUP($A5,main!$A$3:$H$102,8,FALSE),main!$K$18:$O$18,0))))),1,0)</f>
        <v>0</v>
      </c>
      <c r="H5">
        <f>IF((AND(VLOOKUP(H$1,main!$A$3:$H$102,5,FALSE)-VLOOKUP($A5,main!$A$3:$H$102,6,FALSE)&gt;=(VLOOKUP(VLOOKUP(H$1,main!$A$3:$H$102,8,FALSE),main!$K$26:$M$29,2,FALSE)+VLOOKUP(VLOOKUP(H$1,main!$A$3:$H$102,7,FALSE),main!$K$19:$O$22,MATCH(VLOOKUP($A5,main!$A$3:$H$102,8,FALSE),main!$K$18:$O$18,0))))),1,0)</f>
        <v>1</v>
      </c>
      <c r="I5">
        <f>IF((AND(VLOOKUP(I$1,main!$A$3:$H$102,5,FALSE)-VLOOKUP($A5,main!$A$3:$H$102,6,FALSE)&gt;=(VLOOKUP(VLOOKUP(I$1,main!$A$3:$H$102,8,FALSE),main!$K$26:$M$29,2,FALSE)+VLOOKUP(VLOOKUP(I$1,main!$A$3:$H$102,7,FALSE),main!$K$19:$O$22,MATCH(VLOOKUP($A5,main!$A$3:$H$102,8,FALSE),main!$K$18:$O$18,0))))),1,0)</f>
        <v>1</v>
      </c>
      <c r="J5">
        <f>IF((AND(VLOOKUP(J$1,main!$A$3:$H$102,5,FALSE)-VLOOKUP($A5,main!$A$3:$H$102,6,FALSE)&gt;=(VLOOKUP(VLOOKUP(J$1,main!$A$3:$H$102,8,FALSE),main!$K$26:$M$29,2,FALSE)+VLOOKUP(VLOOKUP(J$1,main!$A$3:$H$102,7,FALSE),main!$K$19:$O$22,MATCH(VLOOKUP($A5,main!$A$3:$H$102,8,FALSE),main!$K$18:$O$18,0))))),1,0)</f>
        <v>1</v>
      </c>
      <c r="K5">
        <f>IF((AND(VLOOKUP(K$1,main!$A$3:$H$102,5,FALSE)-VLOOKUP($A5,main!$A$3:$H$102,6,FALSE)&gt;=(VLOOKUP(VLOOKUP(K$1,main!$A$3:$H$102,8,FALSE),main!$K$26:$M$29,2,FALSE)+VLOOKUP(VLOOKUP(K$1,main!$A$3:$H$102,7,FALSE),main!$K$19:$O$22,MATCH(VLOOKUP($A5,main!$A$3:$H$102,8,FALSE),main!$K$18:$O$18,0))))),1,0)</f>
        <v>1</v>
      </c>
      <c r="L5">
        <f>IF((AND(VLOOKUP(L$1,main!$A$3:$H$102,5,FALSE)-VLOOKUP($A5,main!$A$3:$H$102,6,FALSE)&gt;=(VLOOKUP(VLOOKUP(L$1,main!$A$3:$H$102,8,FALSE),main!$K$26:$M$29,2,FALSE)+VLOOKUP(VLOOKUP(L$1,main!$A$3:$H$102,7,FALSE),main!$K$19:$O$22,MATCH(VLOOKUP($A5,main!$A$3:$H$102,8,FALSE),main!$K$18:$O$18,0))))),1,0)</f>
        <v>1</v>
      </c>
      <c r="M5">
        <f>IF((AND(VLOOKUP(M$1,main!$A$3:$H$102,5,FALSE)-VLOOKUP($A5,main!$A$3:$H$102,6,FALSE)&gt;=(VLOOKUP(VLOOKUP(M$1,main!$A$3:$H$102,8,FALSE),main!$K$26:$M$29,2,FALSE)+VLOOKUP(VLOOKUP(M$1,main!$A$3:$H$102,7,FALSE),main!$K$19:$O$22,MATCH(VLOOKUP($A5,main!$A$3:$H$102,8,FALSE),main!$K$18:$O$18,0))))),1,0)</f>
        <v>0</v>
      </c>
      <c r="N5">
        <f>IF((AND(VLOOKUP(N$1,main!$A$3:$H$102,5,FALSE)-VLOOKUP($A5,main!$A$3:$H$102,6,FALSE)&gt;=(VLOOKUP(VLOOKUP(N$1,main!$A$3:$H$102,8,FALSE),main!$K$26:$M$29,2,FALSE)+VLOOKUP(VLOOKUP(N$1,main!$A$3:$H$102,7,FALSE),main!$K$19:$O$22,MATCH(VLOOKUP($A5,main!$A$3:$H$102,8,FALSE),main!$K$18:$O$18,0))))),1,0)</f>
        <v>0</v>
      </c>
      <c r="O5">
        <f>IF((AND(VLOOKUP(O$1,main!$A$3:$H$102,5,FALSE)-VLOOKUP($A5,main!$A$3:$H$102,6,FALSE)&gt;=(VLOOKUP(VLOOKUP(O$1,main!$A$3:$H$102,8,FALSE),main!$K$26:$M$29,2,FALSE)+VLOOKUP(VLOOKUP(O$1,main!$A$3:$H$102,7,FALSE),main!$K$19:$O$22,MATCH(VLOOKUP($A5,main!$A$3:$H$102,8,FALSE),main!$K$18:$O$18,0))))),1,0)</f>
        <v>0</v>
      </c>
      <c r="P5">
        <f>IF((AND(VLOOKUP(P$1,main!$A$3:$H$102,5,FALSE)-VLOOKUP($A5,main!$A$3:$H$102,6,FALSE)&gt;=(VLOOKUP(VLOOKUP(P$1,main!$A$3:$H$102,8,FALSE),main!$K$26:$M$29,2,FALSE)+VLOOKUP(VLOOKUP(P$1,main!$A$3:$H$102,7,FALSE),main!$K$19:$O$22,MATCH(VLOOKUP($A5,main!$A$3:$H$102,8,FALSE),main!$K$18:$O$18,0))))),1,0)</f>
        <v>0</v>
      </c>
      <c r="Q5">
        <f>IF((AND(VLOOKUP(Q$1,main!$A$3:$H$102,5,FALSE)-VLOOKUP($A5,main!$A$3:$H$102,6,FALSE)&gt;=(VLOOKUP(VLOOKUP(Q$1,main!$A$3:$H$102,8,FALSE),main!$K$26:$M$29,2,FALSE)+VLOOKUP(VLOOKUP(Q$1,main!$A$3:$H$102,7,FALSE),main!$K$19:$O$22,MATCH(VLOOKUP($A5,main!$A$3:$H$102,8,FALSE),main!$K$18:$O$18,0))))),1,0)</f>
        <v>0</v>
      </c>
      <c r="R5">
        <f>IF((AND(VLOOKUP(R$1,main!$A$3:$H$102,5,FALSE)-VLOOKUP($A5,main!$A$3:$H$102,6,FALSE)&gt;=(VLOOKUP(VLOOKUP(R$1,main!$A$3:$H$102,8,FALSE),main!$K$26:$M$29,2,FALSE)+VLOOKUP(VLOOKUP(R$1,main!$A$3:$H$102,7,FALSE),main!$K$19:$O$22,MATCH(VLOOKUP($A5,main!$A$3:$H$102,8,FALSE),main!$K$18:$O$18,0))))),1,0)</f>
        <v>0</v>
      </c>
      <c r="S5">
        <f>IF((AND(VLOOKUP(S$1,main!$A$3:$H$102,5,FALSE)-VLOOKUP($A5,main!$A$3:$H$102,6,FALSE)&gt;=(VLOOKUP(VLOOKUP(S$1,main!$A$3:$H$102,8,FALSE),main!$K$26:$M$29,2,FALSE)+VLOOKUP(VLOOKUP(S$1,main!$A$3:$H$102,7,FALSE),main!$K$19:$O$22,MATCH(VLOOKUP($A5,main!$A$3:$H$102,8,FALSE),main!$K$18:$O$18,0))))),1,0)</f>
        <v>1</v>
      </c>
      <c r="T5">
        <f>IF((AND(VLOOKUP(T$1,main!$A$3:$H$102,5,FALSE)-VLOOKUP($A5,main!$A$3:$H$102,6,FALSE)&gt;=(VLOOKUP(VLOOKUP(T$1,main!$A$3:$H$102,8,FALSE),main!$K$26:$M$29,2,FALSE)+VLOOKUP(VLOOKUP(T$1,main!$A$3:$H$102,7,FALSE),main!$K$19:$O$22,MATCH(VLOOKUP($A5,main!$A$3:$H$102,8,FALSE),main!$K$18:$O$18,0))))),1,0)</f>
        <v>1</v>
      </c>
      <c r="U5">
        <f>IF((AND(VLOOKUP(U$1,main!$A$3:$H$102,5,FALSE)-VLOOKUP($A5,main!$A$3:$H$102,6,FALSE)&gt;=(VLOOKUP(VLOOKUP(U$1,main!$A$3:$H$102,8,FALSE),main!$K$26:$M$29,2,FALSE)+VLOOKUP(VLOOKUP(U$1,main!$A$3:$H$102,7,FALSE),main!$K$19:$O$22,MATCH(VLOOKUP($A5,main!$A$3:$H$102,8,FALSE),main!$K$18:$O$18,0))))),1,0)</f>
        <v>1</v>
      </c>
      <c r="V5">
        <f>IF((AND(VLOOKUP(V$1,main!$A$3:$H$102,5,FALSE)-VLOOKUP($A5,main!$A$3:$H$102,6,FALSE)&gt;=(VLOOKUP(VLOOKUP(V$1,main!$A$3:$H$102,8,FALSE),main!$K$26:$M$29,2,FALSE)+VLOOKUP(VLOOKUP(V$1,main!$A$3:$H$102,7,FALSE),main!$K$19:$O$22,MATCH(VLOOKUP($A5,main!$A$3:$H$102,8,FALSE),main!$K$18:$O$18,0))))),1,0)</f>
        <v>1</v>
      </c>
      <c r="W5">
        <f>IF((AND(VLOOKUP(W$1,main!$A$3:$H$102,5,FALSE)-VLOOKUP($A5,main!$A$3:$H$102,6,FALSE)&gt;=(VLOOKUP(VLOOKUP(W$1,main!$A$3:$H$102,8,FALSE),main!$K$26:$M$29,2,FALSE)+VLOOKUP(VLOOKUP(W$1,main!$A$3:$H$102,7,FALSE),main!$K$19:$O$22,MATCH(VLOOKUP($A5,main!$A$3:$H$102,8,FALSE),main!$K$18:$O$18,0))))),1,0)</f>
        <v>0</v>
      </c>
      <c r="X5">
        <f>IF((AND(VLOOKUP(X$1,main!$A$3:$H$102,5,FALSE)-VLOOKUP($A5,main!$A$3:$H$102,6,FALSE)&gt;=(VLOOKUP(VLOOKUP(X$1,main!$A$3:$H$102,8,FALSE),main!$K$26:$M$29,2,FALSE)+VLOOKUP(VLOOKUP(X$1,main!$A$3:$H$102,7,FALSE),main!$K$19:$O$22,MATCH(VLOOKUP($A5,main!$A$3:$H$102,8,FALSE),main!$K$18:$O$18,0))))),1,0)</f>
        <v>0</v>
      </c>
      <c r="Y5">
        <f>IF((AND(VLOOKUP(Y$1,main!$A$3:$H$102,5,FALSE)-VLOOKUP($A5,main!$A$3:$H$102,6,FALSE)&gt;=(VLOOKUP(VLOOKUP(Y$1,main!$A$3:$H$102,8,FALSE),main!$K$26:$M$29,2,FALSE)+VLOOKUP(VLOOKUP(Y$1,main!$A$3:$H$102,7,FALSE),main!$K$19:$O$22,MATCH(VLOOKUP($A5,main!$A$3:$H$102,8,FALSE),main!$K$18:$O$18,0))))),1,0)</f>
        <v>0</v>
      </c>
      <c r="Z5">
        <f>IF((AND(VLOOKUP(Z$1,main!$A$3:$H$102,5,FALSE)-VLOOKUP($A5,main!$A$3:$H$102,6,FALSE)&gt;=(VLOOKUP(VLOOKUP(Z$1,main!$A$3:$H$102,8,FALSE),main!$K$26:$M$29,2,FALSE)+VLOOKUP(VLOOKUP(Z$1,main!$A$3:$H$102,7,FALSE),main!$K$19:$O$22,MATCH(VLOOKUP($A5,main!$A$3:$H$102,8,FALSE),main!$K$18:$O$18,0))))),1,0)</f>
        <v>1</v>
      </c>
      <c r="AA5">
        <f>IF((AND(VLOOKUP(AA$1,main!$A$3:$H$102,5,FALSE)-VLOOKUP($A5,main!$A$3:$H$102,6,FALSE)&gt;=(VLOOKUP(VLOOKUP(AA$1,main!$A$3:$H$102,8,FALSE),main!$K$26:$M$29,2,FALSE)+VLOOKUP(VLOOKUP(AA$1,main!$A$3:$H$102,7,FALSE),main!$K$19:$O$22,MATCH(VLOOKUP($A5,main!$A$3:$H$102,8,FALSE),main!$K$18:$O$18,0))))),1,0)</f>
        <v>1</v>
      </c>
      <c r="AB5">
        <f>IF((AND(VLOOKUP(AB$1,main!$A$3:$H$102,5,FALSE)-VLOOKUP($A5,main!$A$3:$H$102,6,FALSE)&gt;=(VLOOKUP(VLOOKUP(AB$1,main!$A$3:$H$102,8,FALSE),main!$K$26:$M$29,2,FALSE)+VLOOKUP(VLOOKUP(AB$1,main!$A$3:$H$102,7,FALSE),main!$K$19:$O$22,MATCH(VLOOKUP($A5,main!$A$3:$H$102,8,FALSE),main!$K$18:$O$18,0))))),1,0)</f>
        <v>0</v>
      </c>
      <c r="AC5">
        <f>IF((AND(VLOOKUP(AC$1,main!$A$3:$H$102,5,FALSE)-VLOOKUP($A5,main!$A$3:$H$102,6,FALSE)&gt;=(VLOOKUP(VLOOKUP(AC$1,main!$A$3:$H$102,8,FALSE),main!$K$26:$M$29,2,FALSE)+VLOOKUP(VLOOKUP(AC$1,main!$A$3:$H$102,7,FALSE),main!$K$19:$O$22,MATCH(VLOOKUP($A5,main!$A$3:$H$102,8,FALSE),main!$K$18:$O$18,0))))),1,0)</f>
        <v>0</v>
      </c>
      <c r="AD5">
        <f>IF((AND(VLOOKUP(AD$1,main!$A$3:$H$102,5,FALSE)-VLOOKUP($A5,main!$A$3:$H$102,6,FALSE)&gt;=(VLOOKUP(VLOOKUP(AD$1,main!$A$3:$H$102,8,FALSE),main!$K$26:$M$29,2,FALSE)+VLOOKUP(VLOOKUP(AD$1,main!$A$3:$H$102,7,FALSE),main!$K$19:$O$22,MATCH(VLOOKUP($A5,main!$A$3:$H$102,8,FALSE),main!$K$18:$O$18,0))))),1,0)</f>
        <v>0</v>
      </c>
      <c r="AE5">
        <f>IF((AND(VLOOKUP(AE$1,main!$A$3:$H$102,5,FALSE)-VLOOKUP($A5,main!$A$3:$H$102,6,FALSE)&gt;=(VLOOKUP(VLOOKUP(AE$1,main!$A$3:$H$102,8,FALSE),main!$K$26:$M$29,2,FALSE)+VLOOKUP(VLOOKUP(AE$1,main!$A$3:$H$102,7,FALSE),main!$K$19:$O$22,MATCH(VLOOKUP($A5,main!$A$3:$H$102,8,FALSE),main!$K$18:$O$18,0))))),1,0)</f>
        <v>1</v>
      </c>
      <c r="AF5">
        <f>IF((AND(VLOOKUP(AF$1,main!$A$3:$H$102,5,FALSE)-VLOOKUP($A5,main!$A$3:$H$102,6,FALSE)&gt;=(VLOOKUP(VLOOKUP(AF$1,main!$A$3:$H$102,8,FALSE),main!$K$26:$M$29,2,FALSE)+VLOOKUP(VLOOKUP(AF$1,main!$A$3:$H$102,7,FALSE),main!$K$19:$O$22,MATCH(VLOOKUP($A5,main!$A$3:$H$102,8,FALSE),main!$K$18:$O$18,0))))),1,0)</f>
        <v>1</v>
      </c>
      <c r="AG5">
        <f>IF((AND(VLOOKUP(AG$1,main!$A$3:$H$102,5,FALSE)-VLOOKUP($A5,main!$A$3:$H$102,6,FALSE)&gt;=(VLOOKUP(VLOOKUP(AG$1,main!$A$3:$H$102,8,FALSE),main!$K$26:$M$29,2,FALSE)+VLOOKUP(VLOOKUP(AG$1,main!$A$3:$H$102,7,FALSE),main!$K$19:$O$22,MATCH(VLOOKUP($A5,main!$A$3:$H$102,8,FALSE),main!$K$18:$O$18,0))))),1,0)</f>
        <v>0</v>
      </c>
      <c r="AH5">
        <f>IF((AND(VLOOKUP(AH$1,main!$A$3:$H$102,5,FALSE)-VLOOKUP($A5,main!$A$3:$H$102,6,FALSE)&gt;=(VLOOKUP(VLOOKUP(AH$1,main!$A$3:$H$102,8,FALSE),main!$K$26:$M$29,2,FALSE)+VLOOKUP(VLOOKUP(AH$1,main!$A$3:$H$102,7,FALSE),main!$K$19:$O$22,MATCH(VLOOKUP($A5,main!$A$3:$H$102,8,FALSE),main!$K$18:$O$18,0))))),1,0)</f>
        <v>0</v>
      </c>
      <c r="AI5">
        <f>IF((AND(VLOOKUP(AI$1,main!$A$3:$H$102,5,FALSE)-VLOOKUP($A5,main!$A$3:$H$102,6,FALSE)&gt;=(VLOOKUP(VLOOKUP(AI$1,main!$A$3:$H$102,8,FALSE),main!$K$26:$M$29,2,FALSE)+VLOOKUP(VLOOKUP(AI$1,main!$A$3:$H$102,7,FALSE),main!$K$19:$O$22,MATCH(VLOOKUP($A5,main!$A$3:$H$102,8,FALSE),main!$K$18:$O$18,0))))),1,0)</f>
        <v>0</v>
      </c>
      <c r="AJ5">
        <f>IF((AND(VLOOKUP(AJ$1,main!$A$3:$H$102,5,FALSE)-VLOOKUP($A5,main!$A$3:$H$102,6,FALSE)&gt;=(VLOOKUP(VLOOKUP(AJ$1,main!$A$3:$H$102,8,FALSE),main!$K$26:$M$29,2,FALSE)+VLOOKUP(VLOOKUP(AJ$1,main!$A$3:$H$102,7,FALSE),main!$K$19:$O$22,MATCH(VLOOKUP($A5,main!$A$3:$H$102,8,FALSE),main!$K$18:$O$18,0))))),1,0)</f>
        <v>0</v>
      </c>
      <c r="AK5">
        <f>IF((AND(VLOOKUP(AK$1,main!$A$3:$H$102,5,FALSE)-VLOOKUP($A5,main!$A$3:$H$102,6,FALSE)&gt;=(VLOOKUP(VLOOKUP(AK$1,main!$A$3:$H$102,8,FALSE),main!$K$26:$M$29,2,FALSE)+VLOOKUP(VLOOKUP(AK$1,main!$A$3:$H$102,7,FALSE),main!$K$19:$O$22,MATCH(VLOOKUP($A5,main!$A$3:$H$102,8,FALSE),main!$K$18:$O$18,0))))),1,0)</f>
        <v>1</v>
      </c>
      <c r="AL5">
        <f>IF((AND(VLOOKUP(AL$1,main!$A$3:$H$102,5,FALSE)-VLOOKUP($A5,main!$A$3:$H$102,6,FALSE)&gt;=(VLOOKUP(VLOOKUP(AL$1,main!$A$3:$H$102,8,FALSE),main!$K$26:$M$29,2,FALSE)+VLOOKUP(VLOOKUP(AL$1,main!$A$3:$H$102,7,FALSE),main!$K$19:$O$22,MATCH(VLOOKUP($A5,main!$A$3:$H$102,8,FALSE),main!$K$18:$O$18,0))))),1,0)</f>
        <v>1</v>
      </c>
      <c r="AM5">
        <f>IF((AND(VLOOKUP(AM$1,main!$A$3:$H$102,5,FALSE)-VLOOKUP($A5,main!$A$3:$H$102,6,FALSE)&gt;=(VLOOKUP(VLOOKUP(AM$1,main!$A$3:$H$102,8,FALSE),main!$K$26:$M$29,2,FALSE)+VLOOKUP(VLOOKUP(AM$1,main!$A$3:$H$102,7,FALSE),main!$K$19:$O$22,MATCH(VLOOKUP($A5,main!$A$3:$H$102,8,FALSE),main!$K$18:$O$18,0))))),1,0)</f>
        <v>1</v>
      </c>
      <c r="AN5">
        <f>IF((AND(VLOOKUP(AN$1,main!$A$3:$H$102,5,FALSE)-VLOOKUP($A5,main!$A$3:$H$102,6,FALSE)&gt;=(VLOOKUP(VLOOKUP(AN$1,main!$A$3:$H$102,8,FALSE),main!$K$26:$M$29,2,FALSE)+VLOOKUP(VLOOKUP(AN$1,main!$A$3:$H$102,7,FALSE),main!$K$19:$O$22,MATCH(VLOOKUP($A5,main!$A$3:$H$102,8,FALSE),main!$K$18:$O$18,0))))),1,0)</f>
        <v>1</v>
      </c>
      <c r="AO5">
        <f>IF((AND(VLOOKUP(AO$1,main!$A$3:$H$102,5,FALSE)-VLOOKUP($A5,main!$A$3:$H$102,6,FALSE)&gt;=(VLOOKUP(VLOOKUP(AO$1,main!$A$3:$H$102,8,FALSE),main!$K$26:$M$29,2,FALSE)+VLOOKUP(VLOOKUP(AO$1,main!$A$3:$H$102,7,FALSE),main!$K$19:$O$22,MATCH(VLOOKUP($A5,main!$A$3:$H$102,8,FALSE),main!$K$18:$O$18,0))))),1,0)</f>
        <v>0</v>
      </c>
      <c r="AP5">
        <f>IF((AND(VLOOKUP(AP$1,main!$A$3:$H$102,5,FALSE)-VLOOKUP($A5,main!$A$3:$H$102,6,FALSE)&gt;=(VLOOKUP(VLOOKUP(AP$1,main!$A$3:$H$102,8,FALSE),main!$K$26:$M$29,2,FALSE)+VLOOKUP(VLOOKUP(AP$1,main!$A$3:$H$102,7,FALSE),main!$K$19:$O$22,MATCH(VLOOKUP($A5,main!$A$3:$H$102,8,FALSE),main!$K$18:$O$18,0))))),1,0)</f>
        <v>1</v>
      </c>
      <c r="AQ5">
        <f>IF((AND(VLOOKUP(AQ$1,main!$A$3:$H$102,5,FALSE)-VLOOKUP($A5,main!$A$3:$H$102,6,FALSE)&gt;=(VLOOKUP(VLOOKUP(AQ$1,main!$A$3:$H$102,8,FALSE),main!$K$26:$M$29,2,FALSE)+VLOOKUP(VLOOKUP(AQ$1,main!$A$3:$H$102,7,FALSE),main!$K$19:$O$22,MATCH(VLOOKUP($A5,main!$A$3:$H$102,8,FALSE),main!$K$18:$O$18,0))))),1,0)</f>
        <v>0</v>
      </c>
      <c r="AR5">
        <f>IF((AND(VLOOKUP(AR$1,main!$A$3:$H$102,5,FALSE)-VLOOKUP($A5,main!$A$3:$H$102,6,FALSE)&gt;=(VLOOKUP(VLOOKUP(AR$1,main!$A$3:$H$102,8,FALSE),main!$K$26:$M$29,2,FALSE)+VLOOKUP(VLOOKUP(AR$1,main!$A$3:$H$102,7,FALSE),main!$K$19:$O$22,MATCH(VLOOKUP($A5,main!$A$3:$H$102,8,FALSE),main!$K$18:$O$18,0))))),1,0)</f>
        <v>0</v>
      </c>
      <c r="AS5">
        <f>IF((AND(VLOOKUP(AS$1,main!$A$3:$H$102,5,FALSE)-VLOOKUP($A5,main!$A$3:$H$102,6,FALSE)&gt;=(VLOOKUP(VLOOKUP(AS$1,main!$A$3:$H$102,8,FALSE),main!$K$26:$M$29,2,FALSE)+VLOOKUP(VLOOKUP(AS$1,main!$A$3:$H$102,7,FALSE),main!$K$19:$O$22,MATCH(VLOOKUP($A5,main!$A$3:$H$102,8,FALSE),main!$K$18:$O$18,0))))),1,0)</f>
        <v>0</v>
      </c>
      <c r="AT5">
        <f>IF((AND(VLOOKUP(AT$1,main!$A$3:$H$102,5,FALSE)-VLOOKUP($A5,main!$A$3:$H$102,6,FALSE)&gt;=(VLOOKUP(VLOOKUP(AT$1,main!$A$3:$H$102,8,FALSE),main!$K$26:$M$29,2,FALSE)+VLOOKUP(VLOOKUP(AT$1,main!$A$3:$H$102,7,FALSE),main!$K$19:$O$22,MATCH(VLOOKUP($A5,main!$A$3:$H$102,8,FALSE),main!$K$18:$O$18,0))))),1,0)</f>
        <v>1</v>
      </c>
      <c r="AU5">
        <f>IF((AND(VLOOKUP(AU$1,main!$A$3:$H$102,5,FALSE)-VLOOKUP($A5,main!$A$3:$H$102,6,FALSE)&gt;=(VLOOKUP(VLOOKUP(AU$1,main!$A$3:$H$102,8,FALSE),main!$K$26:$M$29,2,FALSE)+VLOOKUP(VLOOKUP(AU$1,main!$A$3:$H$102,7,FALSE),main!$K$19:$O$22,MATCH(VLOOKUP($A5,main!$A$3:$H$102,8,FALSE),main!$K$18:$O$18,0))))),1,0)</f>
        <v>0</v>
      </c>
      <c r="AV5">
        <f>IF((AND(VLOOKUP(AV$1,main!$A$3:$H$102,5,FALSE)-VLOOKUP($A5,main!$A$3:$H$102,6,FALSE)&gt;=(VLOOKUP(VLOOKUP(AV$1,main!$A$3:$H$102,8,FALSE),main!$K$26:$M$29,2,FALSE)+VLOOKUP(VLOOKUP(AV$1,main!$A$3:$H$102,7,FALSE),main!$K$19:$O$22,MATCH(VLOOKUP($A5,main!$A$3:$H$102,8,FALSE),main!$K$18:$O$18,0))))),1,0)</f>
        <v>0</v>
      </c>
      <c r="AW5">
        <f>IF((AND(VLOOKUP(AW$1,main!$A$3:$H$102,5,FALSE)-VLOOKUP($A5,main!$A$3:$H$102,6,FALSE)&gt;=(VLOOKUP(VLOOKUP(AW$1,main!$A$3:$H$102,8,FALSE),main!$K$26:$M$29,2,FALSE)+VLOOKUP(VLOOKUP(AW$1,main!$A$3:$H$102,7,FALSE),main!$K$19:$O$22,MATCH(VLOOKUP($A5,main!$A$3:$H$102,8,FALSE),main!$K$18:$O$18,0))))),1,0)</f>
        <v>1</v>
      </c>
      <c r="AX5">
        <f>IF((AND(VLOOKUP(AX$1,main!$A$3:$H$102,5,FALSE)-VLOOKUP($A5,main!$A$3:$H$102,6,FALSE)&gt;=(VLOOKUP(VLOOKUP(AX$1,main!$A$3:$H$102,8,FALSE),main!$K$26:$M$29,2,FALSE)+VLOOKUP(VLOOKUP(AX$1,main!$A$3:$H$102,7,FALSE),main!$K$19:$O$22,MATCH(VLOOKUP($A5,main!$A$3:$H$102,8,FALSE),main!$K$18:$O$18,0))))),1,0)</f>
        <v>0</v>
      </c>
      <c r="AY5">
        <f>IF((AND(VLOOKUP(AY$1,main!$A$3:$H$102,5,FALSE)-VLOOKUP($A5,main!$A$3:$H$102,6,FALSE)&gt;=(VLOOKUP(VLOOKUP(AY$1,main!$A$3:$H$102,8,FALSE),main!$K$26:$M$29,2,FALSE)+VLOOKUP(VLOOKUP(AY$1,main!$A$3:$H$102,7,FALSE),main!$K$19:$O$22,MATCH(VLOOKUP($A5,main!$A$3:$H$102,8,FALSE),main!$K$18:$O$18,0))))),1,0)</f>
        <v>0</v>
      </c>
      <c r="AZ5">
        <f>IF((AND(VLOOKUP(AZ$1,main!$A$3:$H$102,5,FALSE)-VLOOKUP($A5,main!$A$3:$H$102,6,FALSE)&gt;=(VLOOKUP(VLOOKUP(AZ$1,main!$A$3:$H$102,8,FALSE),main!$K$26:$M$29,2,FALSE)+VLOOKUP(VLOOKUP(AZ$1,main!$A$3:$H$102,7,FALSE),main!$K$19:$O$22,MATCH(VLOOKUP($A5,main!$A$3:$H$102,8,FALSE),main!$K$18:$O$18,0))))),1,0)</f>
        <v>0</v>
      </c>
      <c r="BA5">
        <f>IF((AND(VLOOKUP(BA$1,main!$A$3:$H$102,5,FALSE)-VLOOKUP($A5,main!$A$3:$H$102,6,FALSE)&gt;=(VLOOKUP(VLOOKUP(BA$1,main!$A$3:$H$102,8,FALSE),main!$K$26:$M$29,2,FALSE)+VLOOKUP(VLOOKUP(BA$1,main!$A$3:$H$102,7,FALSE),main!$K$19:$O$22,MATCH(VLOOKUP($A5,main!$A$3:$H$102,8,FALSE),main!$K$18:$O$18,0))))),1,0)</f>
        <v>0</v>
      </c>
      <c r="BB5">
        <f>IF((AND(VLOOKUP(BB$1,main!$A$3:$H$102,5,FALSE)-VLOOKUP($A5,main!$A$3:$H$102,6,FALSE)&gt;=(VLOOKUP(VLOOKUP(BB$1,main!$A$3:$H$102,8,FALSE),main!$K$26:$M$29,2,FALSE)+VLOOKUP(VLOOKUP(BB$1,main!$A$3:$H$102,7,FALSE),main!$K$19:$O$22,MATCH(VLOOKUP($A5,main!$A$3:$H$102,8,FALSE),main!$K$18:$O$18,0))))),1,0)</f>
        <v>0</v>
      </c>
      <c r="BC5">
        <f>IF((AND(VLOOKUP(BC$1,main!$A$3:$H$102,5,FALSE)-VLOOKUP($A5,main!$A$3:$H$102,6,FALSE)&gt;=(VLOOKUP(VLOOKUP(BC$1,main!$A$3:$H$102,8,FALSE),main!$K$26:$M$29,2,FALSE)+VLOOKUP(VLOOKUP(BC$1,main!$A$3:$H$102,7,FALSE),main!$K$19:$O$22,MATCH(VLOOKUP($A5,main!$A$3:$H$102,8,FALSE),main!$K$18:$O$18,0))))),1,0)</f>
        <v>0</v>
      </c>
      <c r="BD5">
        <f>IF((AND(VLOOKUP(BD$1,main!$A$3:$H$102,5,FALSE)-VLOOKUP($A5,main!$A$3:$H$102,6,FALSE)&gt;=(VLOOKUP(VLOOKUP(BD$1,main!$A$3:$H$102,8,FALSE),main!$K$26:$M$29,2,FALSE)+VLOOKUP(VLOOKUP(BD$1,main!$A$3:$H$102,7,FALSE),main!$K$19:$O$22,MATCH(VLOOKUP($A5,main!$A$3:$H$102,8,FALSE),main!$K$18:$O$18,0))))),1,0)</f>
        <v>1</v>
      </c>
      <c r="BE5">
        <f>IF((AND(VLOOKUP(BE$1,main!$A$3:$H$102,5,FALSE)-VLOOKUP($A5,main!$A$3:$H$102,6,FALSE)&gt;=(VLOOKUP(VLOOKUP(BE$1,main!$A$3:$H$102,8,FALSE),main!$K$26:$M$29,2,FALSE)+VLOOKUP(VLOOKUP(BE$1,main!$A$3:$H$102,7,FALSE),main!$K$19:$O$22,MATCH(VLOOKUP($A5,main!$A$3:$H$102,8,FALSE),main!$K$18:$O$18,0))))),1,0)</f>
        <v>1</v>
      </c>
      <c r="BF5">
        <f>IF((AND(VLOOKUP(BF$1,main!$A$3:$H$102,5,FALSE)-VLOOKUP($A5,main!$A$3:$H$102,6,FALSE)&gt;=(VLOOKUP(VLOOKUP(BF$1,main!$A$3:$H$102,8,FALSE),main!$K$26:$M$29,2,FALSE)+VLOOKUP(VLOOKUP(BF$1,main!$A$3:$H$102,7,FALSE),main!$K$19:$O$22,MATCH(VLOOKUP($A5,main!$A$3:$H$102,8,FALSE),main!$K$18:$O$18,0))))),1,0)</f>
        <v>0</v>
      </c>
      <c r="BG5">
        <f>IF((AND(VLOOKUP(BG$1,main!$A$3:$H$102,5,FALSE)-VLOOKUP($A5,main!$A$3:$H$102,6,FALSE)&gt;=(VLOOKUP(VLOOKUP(BG$1,main!$A$3:$H$102,8,FALSE),main!$K$26:$M$29,2,FALSE)+VLOOKUP(VLOOKUP(BG$1,main!$A$3:$H$102,7,FALSE),main!$K$19:$O$22,MATCH(VLOOKUP($A5,main!$A$3:$H$102,8,FALSE),main!$K$18:$O$18,0))))),1,0)</f>
        <v>0</v>
      </c>
      <c r="BH5">
        <f>IF((AND(VLOOKUP(BH$1,main!$A$3:$H$102,5,FALSE)-VLOOKUP($A5,main!$A$3:$H$102,6,FALSE)&gt;=(VLOOKUP(VLOOKUP(BH$1,main!$A$3:$H$102,8,FALSE),main!$K$26:$M$29,2,FALSE)+VLOOKUP(VLOOKUP(BH$1,main!$A$3:$H$102,7,FALSE),main!$K$19:$O$22,MATCH(VLOOKUP($A5,main!$A$3:$H$102,8,FALSE),main!$K$18:$O$18,0))))),1,0)</f>
        <v>0</v>
      </c>
      <c r="BI5">
        <f>IF((AND(VLOOKUP(BI$1,main!$A$3:$H$102,5,FALSE)-VLOOKUP($A5,main!$A$3:$H$102,6,FALSE)&gt;=(VLOOKUP(VLOOKUP(BI$1,main!$A$3:$H$102,8,FALSE),main!$K$26:$M$29,2,FALSE)+VLOOKUP(VLOOKUP(BI$1,main!$A$3:$H$102,7,FALSE),main!$K$19:$O$22,MATCH(VLOOKUP($A5,main!$A$3:$H$102,8,FALSE),main!$K$18:$O$18,0))))),1,0)</f>
        <v>1</v>
      </c>
      <c r="BJ5">
        <f>IF((AND(VLOOKUP(BJ$1,main!$A$3:$H$102,5,FALSE)-VLOOKUP($A5,main!$A$3:$H$102,6,FALSE)&gt;=(VLOOKUP(VLOOKUP(BJ$1,main!$A$3:$H$102,8,FALSE),main!$K$26:$M$29,2,FALSE)+VLOOKUP(VLOOKUP(BJ$1,main!$A$3:$H$102,7,FALSE),main!$K$19:$O$22,MATCH(VLOOKUP($A5,main!$A$3:$H$102,8,FALSE),main!$K$18:$O$18,0))))),1,0)</f>
        <v>1</v>
      </c>
      <c r="BK5">
        <f>IF((AND(VLOOKUP(BK$1,main!$A$3:$H$102,5,FALSE)-VLOOKUP($A5,main!$A$3:$H$102,6,FALSE)&gt;=(VLOOKUP(VLOOKUP(BK$1,main!$A$3:$H$102,8,FALSE),main!$K$26:$M$29,2,FALSE)+VLOOKUP(VLOOKUP(BK$1,main!$A$3:$H$102,7,FALSE),main!$K$19:$O$22,MATCH(VLOOKUP($A5,main!$A$3:$H$102,8,FALSE),main!$K$18:$O$18,0))))),1,0)</f>
        <v>0</v>
      </c>
      <c r="BL5">
        <f>IF((AND(VLOOKUP(BL$1,main!$A$3:$H$102,5,FALSE)-VLOOKUP($A5,main!$A$3:$H$102,6,FALSE)&gt;=(VLOOKUP(VLOOKUP(BL$1,main!$A$3:$H$102,8,FALSE),main!$K$26:$M$29,2,FALSE)+VLOOKUP(VLOOKUP(BL$1,main!$A$3:$H$102,7,FALSE),main!$K$19:$O$22,MATCH(VLOOKUP($A5,main!$A$3:$H$102,8,FALSE),main!$K$18:$O$18,0))))),1,0)</f>
        <v>0</v>
      </c>
      <c r="BM5">
        <f>IF((AND(VLOOKUP(BM$1,main!$A$3:$H$102,5,FALSE)-VLOOKUP($A5,main!$A$3:$H$102,6,FALSE)&gt;=(VLOOKUP(VLOOKUP(BM$1,main!$A$3:$H$102,8,FALSE),main!$K$26:$M$29,2,FALSE)+VLOOKUP(VLOOKUP(BM$1,main!$A$3:$H$102,7,FALSE),main!$K$19:$O$22,MATCH(VLOOKUP($A5,main!$A$3:$H$102,8,FALSE),main!$K$18:$O$18,0))))),1,0)</f>
        <v>0</v>
      </c>
      <c r="BN5">
        <f>IF((AND(VLOOKUP(BN$1,main!$A$3:$H$102,5,FALSE)-VLOOKUP($A5,main!$A$3:$H$102,6,FALSE)&gt;=(VLOOKUP(VLOOKUP(BN$1,main!$A$3:$H$102,8,FALSE),main!$K$26:$M$29,2,FALSE)+VLOOKUP(VLOOKUP(BN$1,main!$A$3:$H$102,7,FALSE),main!$K$19:$O$22,MATCH(VLOOKUP($A5,main!$A$3:$H$102,8,FALSE),main!$K$18:$O$18,0))))),1,0)</f>
        <v>1</v>
      </c>
      <c r="BO5">
        <f>IF((AND(VLOOKUP(BO$1,main!$A$3:$H$102,5,FALSE)-VLOOKUP($A5,main!$A$3:$H$102,6,FALSE)&gt;=(VLOOKUP(VLOOKUP(BO$1,main!$A$3:$H$102,8,FALSE),main!$K$26:$M$29,2,FALSE)+VLOOKUP(VLOOKUP(BO$1,main!$A$3:$H$102,7,FALSE),main!$K$19:$O$22,MATCH(VLOOKUP($A5,main!$A$3:$H$102,8,FALSE),main!$K$18:$O$18,0))))),1,0)</f>
        <v>0</v>
      </c>
      <c r="BP5">
        <f>IF((AND(VLOOKUP(BP$1,main!$A$3:$H$102,5,FALSE)-VLOOKUP($A5,main!$A$3:$H$102,6,FALSE)&gt;=(VLOOKUP(VLOOKUP(BP$1,main!$A$3:$H$102,8,FALSE),main!$K$26:$M$29,2,FALSE)+VLOOKUP(VLOOKUP(BP$1,main!$A$3:$H$102,7,FALSE),main!$K$19:$O$22,MATCH(VLOOKUP($A5,main!$A$3:$H$102,8,FALSE),main!$K$18:$O$18,0))))),1,0)</f>
        <v>0</v>
      </c>
      <c r="BQ5">
        <f>IF((AND(VLOOKUP(BQ$1,main!$A$3:$H$102,5,FALSE)-VLOOKUP($A5,main!$A$3:$H$102,6,FALSE)&gt;=(VLOOKUP(VLOOKUP(BQ$1,main!$A$3:$H$102,8,FALSE),main!$K$26:$M$29,2,FALSE)+VLOOKUP(VLOOKUP(BQ$1,main!$A$3:$H$102,7,FALSE),main!$K$19:$O$22,MATCH(VLOOKUP($A5,main!$A$3:$H$102,8,FALSE),main!$K$18:$O$18,0))))),1,0)</f>
        <v>0</v>
      </c>
      <c r="BR5">
        <f>IF((AND(VLOOKUP(BR$1,main!$A$3:$H$102,5,FALSE)-VLOOKUP($A5,main!$A$3:$H$102,6,FALSE)&gt;=(VLOOKUP(VLOOKUP(BR$1,main!$A$3:$H$102,8,FALSE),main!$K$26:$M$29,2,FALSE)+VLOOKUP(VLOOKUP(BR$1,main!$A$3:$H$102,7,FALSE),main!$K$19:$O$22,MATCH(VLOOKUP($A5,main!$A$3:$H$102,8,FALSE),main!$K$18:$O$18,0))))),1,0)</f>
        <v>0</v>
      </c>
      <c r="BS5">
        <f>IF((AND(VLOOKUP(BS$1,main!$A$3:$H$102,5,FALSE)-VLOOKUP($A5,main!$A$3:$H$102,6,FALSE)&gt;=(VLOOKUP(VLOOKUP(BS$1,main!$A$3:$H$102,8,FALSE),main!$K$26:$M$29,2,FALSE)+VLOOKUP(VLOOKUP(BS$1,main!$A$3:$H$102,7,FALSE),main!$K$19:$O$22,MATCH(VLOOKUP($A5,main!$A$3:$H$102,8,FALSE),main!$K$18:$O$18,0))))),1,0)</f>
        <v>0</v>
      </c>
      <c r="BT5">
        <f>IF((AND(VLOOKUP(BT$1,main!$A$3:$H$102,5,FALSE)-VLOOKUP($A5,main!$A$3:$H$102,6,FALSE)&gt;=(VLOOKUP(VLOOKUP(BT$1,main!$A$3:$H$102,8,FALSE),main!$K$26:$M$29,2,FALSE)+VLOOKUP(VLOOKUP(BT$1,main!$A$3:$H$102,7,FALSE),main!$K$19:$O$22,MATCH(VLOOKUP($A5,main!$A$3:$H$102,8,FALSE),main!$K$18:$O$18,0))))),1,0)</f>
        <v>0</v>
      </c>
      <c r="BU5">
        <f>IF((AND(VLOOKUP(BU$1,main!$A$3:$H$102,5,FALSE)-VLOOKUP($A5,main!$A$3:$H$102,6,FALSE)&gt;=(VLOOKUP(VLOOKUP(BU$1,main!$A$3:$H$102,8,FALSE),main!$K$26:$M$29,2,FALSE)+VLOOKUP(VLOOKUP(BU$1,main!$A$3:$H$102,7,FALSE),main!$K$19:$O$22,MATCH(VLOOKUP($A5,main!$A$3:$H$102,8,FALSE),main!$K$18:$O$18,0))))),1,0)</f>
        <v>0</v>
      </c>
      <c r="BV5">
        <f>IF((AND(VLOOKUP(BV$1,main!$A$3:$H$102,5,FALSE)-VLOOKUP($A5,main!$A$3:$H$102,6,FALSE)&gt;=(VLOOKUP(VLOOKUP(BV$1,main!$A$3:$H$102,8,FALSE),main!$K$26:$M$29,2,FALSE)+VLOOKUP(VLOOKUP(BV$1,main!$A$3:$H$102,7,FALSE),main!$K$19:$O$22,MATCH(VLOOKUP($A5,main!$A$3:$H$102,8,FALSE),main!$K$18:$O$18,0))))),1,0)</f>
        <v>0</v>
      </c>
      <c r="BW5">
        <f>IF((AND(VLOOKUP(BW$1,main!$A$3:$H$102,5,FALSE)-VLOOKUP($A5,main!$A$3:$H$102,6,FALSE)&gt;=(VLOOKUP(VLOOKUP(BW$1,main!$A$3:$H$102,8,FALSE),main!$K$26:$M$29,2,FALSE)+VLOOKUP(VLOOKUP(BW$1,main!$A$3:$H$102,7,FALSE),main!$K$19:$O$22,MATCH(VLOOKUP($A5,main!$A$3:$H$102,8,FALSE),main!$K$18:$O$18,0))))),1,0)</f>
        <v>0</v>
      </c>
      <c r="BX5">
        <f>IF((AND(VLOOKUP(BX$1,main!$A$3:$H$102,5,FALSE)-VLOOKUP($A5,main!$A$3:$H$102,6,FALSE)&gt;=(VLOOKUP(VLOOKUP(BX$1,main!$A$3:$H$102,8,FALSE),main!$K$26:$M$29,2,FALSE)+VLOOKUP(VLOOKUP(BX$1,main!$A$3:$H$102,7,FALSE),main!$K$19:$O$22,MATCH(VLOOKUP($A5,main!$A$3:$H$102,8,FALSE),main!$K$18:$O$18,0))))),1,0)</f>
        <v>0</v>
      </c>
      <c r="BY5">
        <f>IF((AND(VLOOKUP(BY$1,main!$A$3:$H$102,5,FALSE)-VLOOKUP($A5,main!$A$3:$H$102,6,FALSE)&gt;=(VLOOKUP(VLOOKUP(BY$1,main!$A$3:$H$102,8,FALSE),main!$K$26:$M$29,2,FALSE)+VLOOKUP(VLOOKUP(BY$1,main!$A$3:$H$102,7,FALSE),main!$K$19:$O$22,MATCH(VLOOKUP($A5,main!$A$3:$H$102,8,FALSE),main!$K$18:$O$18,0))))),1,0)</f>
        <v>0</v>
      </c>
      <c r="BZ5">
        <f>IF((AND(VLOOKUP(BZ$1,main!$A$3:$H$102,5,FALSE)-VLOOKUP($A5,main!$A$3:$H$102,6,FALSE)&gt;=(VLOOKUP(VLOOKUP(BZ$1,main!$A$3:$H$102,8,FALSE),main!$K$26:$M$29,2,FALSE)+VLOOKUP(VLOOKUP(BZ$1,main!$A$3:$H$102,7,FALSE),main!$K$19:$O$22,MATCH(VLOOKUP($A5,main!$A$3:$H$102,8,FALSE),main!$K$18:$O$18,0))))),1,0)</f>
        <v>0</v>
      </c>
      <c r="CA5">
        <f>IF((AND(VLOOKUP(CA$1,main!$A$3:$H$102,5,FALSE)-VLOOKUP($A5,main!$A$3:$H$102,6,FALSE)&gt;=(VLOOKUP(VLOOKUP(CA$1,main!$A$3:$H$102,8,FALSE),main!$K$26:$M$29,2,FALSE)+VLOOKUP(VLOOKUP(CA$1,main!$A$3:$H$102,7,FALSE),main!$K$19:$O$22,MATCH(VLOOKUP($A5,main!$A$3:$H$102,8,FALSE),main!$K$18:$O$18,0))))),1,0)</f>
        <v>0</v>
      </c>
      <c r="CB5">
        <f>IF((AND(VLOOKUP(CB$1,main!$A$3:$H$102,5,FALSE)-VLOOKUP($A5,main!$A$3:$H$102,6,FALSE)&gt;=(VLOOKUP(VLOOKUP(CB$1,main!$A$3:$H$102,8,FALSE),main!$K$26:$M$29,2,FALSE)+VLOOKUP(VLOOKUP(CB$1,main!$A$3:$H$102,7,FALSE),main!$K$19:$O$22,MATCH(VLOOKUP($A5,main!$A$3:$H$102,8,FALSE),main!$K$18:$O$18,0))))),1,0)</f>
        <v>1</v>
      </c>
      <c r="CC5">
        <f>IF((AND(VLOOKUP(CC$1,main!$A$3:$H$102,5,FALSE)-VLOOKUP($A5,main!$A$3:$H$102,6,FALSE)&gt;=(VLOOKUP(VLOOKUP(CC$1,main!$A$3:$H$102,8,FALSE),main!$K$26:$M$29,2,FALSE)+VLOOKUP(VLOOKUP(CC$1,main!$A$3:$H$102,7,FALSE),main!$K$19:$O$22,MATCH(VLOOKUP($A5,main!$A$3:$H$102,8,FALSE),main!$K$18:$O$18,0))))),1,0)</f>
        <v>1</v>
      </c>
      <c r="CD5">
        <f>IF((AND(VLOOKUP(CD$1,main!$A$3:$H$102,5,FALSE)-VLOOKUP($A5,main!$A$3:$H$102,6,FALSE)&gt;=(VLOOKUP(VLOOKUP(CD$1,main!$A$3:$H$102,8,FALSE),main!$K$26:$M$29,2,FALSE)+VLOOKUP(VLOOKUP(CD$1,main!$A$3:$H$102,7,FALSE),main!$K$19:$O$22,MATCH(VLOOKUP($A5,main!$A$3:$H$102,8,FALSE),main!$K$18:$O$18,0))))),1,0)</f>
        <v>0</v>
      </c>
      <c r="CE5">
        <f>IF((AND(VLOOKUP(CE$1,main!$A$3:$H$102,5,FALSE)-VLOOKUP($A5,main!$A$3:$H$102,6,FALSE)&gt;=(VLOOKUP(VLOOKUP(CE$1,main!$A$3:$H$102,8,FALSE),main!$K$26:$M$29,2,FALSE)+VLOOKUP(VLOOKUP(CE$1,main!$A$3:$H$102,7,FALSE),main!$K$19:$O$22,MATCH(VLOOKUP($A5,main!$A$3:$H$102,8,FALSE),main!$K$18:$O$18,0))))),1,0)</f>
        <v>0</v>
      </c>
      <c r="CF5">
        <f>IF((AND(VLOOKUP(CF$1,main!$A$3:$H$102,5,FALSE)-VLOOKUP($A5,main!$A$3:$H$102,6,FALSE)&gt;=(VLOOKUP(VLOOKUP(CF$1,main!$A$3:$H$102,8,FALSE),main!$K$26:$M$29,2,FALSE)+VLOOKUP(VLOOKUP(CF$1,main!$A$3:$H$102,7,FALSE),main!$K$19:$O$22,MATCH(VLOOKUP($A5,main!$A$3:$H$102,8,FALSE),main!$K$18:$O$18,0))))),1,0)</f>
        <v>0</v>
      </c>
      <c r="CG5">
        <f>IF((AND(VLOOKUP(CG$1,main!$A$3:$H$102,5,FALSE)-VLOOKUP($A5,main!$A$3:$H$102,6,FALSE)&gt;=(VLOOKUP(VLOOKUP(CG$1,main!$A$3:$H$102,8,FALSE),main!$K$26:$M$29,2,FALSE)+VLOOKUP(VLOOKUP(CG$1,main!$A$3:$H$102,7,FALSE),main!$K$19:$O$22,MATCH(VLOOKUP($A5,main!$A$3:$H$102,8,FALSE),main!$K$18:$O$18,0))))),1,0)</f>
        <v>0</v>
      </c>
      <c r="CH5">
        <f>IF((AND(VLOOKUP(CH$1,main!$A$3:$H$102,5,FALSE)-VLOOKUP($A5,main!$A$3:$H$102,6,FALSE)&gt;=(VLOOKUP(VLOOKUP(CH$1,main!$A$3:$H$102,8,FALSE),main!$K$26:$M$29,2,FALSE)+VLOOKUP(VLOOKUP(CH$1,main!$A$3:$H$102,7,FALSE),main!$K$19:$O$22,MATCH(VLOOKUP($A5,main!$A$3:$H$102,8,FALSE),main!$K$18:$O$18,0))))),1,0)</f>
        <v>1</v>
      </c>
      <c r="CI5">
        <f>IF((AND(VLOOKUP(CI$1,main!$A$3:$H$102,5,FALSE)-VLOOKUP($A5,main!$A$3:$H$102,6,FALSE)&gt;=(VLOOKUP(VLOOKUP(CI$1,main!$A$3:$H$102,8,FALSE),main!$K$26:$M$29,2,FALSE)+VLOOKUP(VLOOKUP(CI$1,main!$A$3:$H$102,7,FALSE),main!$K$19:$O$22,MATCH(VLOOKUP($A5,main!$A$3:$H$102,8,FALSE),main!$K$18:$O$18,0))))),1,0)</f>
        <v>1</v>
      </c>
      <c r="CJ5">
        <f>IF((AND(VLOOKUP(CJ$1,main!$A$3:$H$102,5,FALSE)-VLOOKUP($A5,main!$A$3:$H$102,6,FALSE)&gt;=(VLOOKUP(VLOOKUP(CJ$1,main!$A$3:$H$102,8,FALSE),main!$K$26:$M$29,2,FALSE)+VLOOKUP(VLOOKUP(CJ$1,main!$A$3:$H$102,7,FALSE),main!$K$19:$O$22,MATCH(VLOOKUP($A5,main!$A$3:$H$102,8,FALSE),main!$K$18:$O$18,0))))),1,0)</f>
        <v>0</v>
      </c>
      <c r="CK5">
        <f>IF((AND(VLOOKUP(CK$1,main!$A$3:$H$102,5,FALSE)-VLOOKUP($A5,main!$A$3:$H$102,6,FALSE)&gt;=(VLOOKUP(VLOOKUP(CK$1,main!$A$3:$H$102,8,FALSE),main!$K$26:$M$29,2,FALSE)+VLOOKUP(VLOOKUP(CK$1,main!$A$3:$H$102,7,FALSE),main!$K$19:$O$22,MATCH(VLOOKUP($A5,main!$A$3:$H$102,8,FALSE),main!$K$18:$O$18,0))))),1,0)</f>
        <v>0</v>
      </c>
      <c r="CL5">
        <f>IF((AND(VLOOKUP(CL$1,main!$A$3:$H$102,5,FALSE)-VLOOKUP($A5,main!$A$3:$H$102,6,FALSE)&gt;=(VLOOKUP(VLOOKUP(CL$1,main!$A$3:$H$102,8,FALSE),main!$K$26:$M$29,2,FALSE)+VLOOKUP(VLOOKUP(CL$1,main!$A$3:$H$102,7,FALSE),main!$K$19:$O$22,MATCH(VLOOKUP($A5,main!$A$3:$H$102,8,FALSE),main!$K$18:$O$18,0))))),1,0)</f>
        <v>0</v>
      </c>
      <c r="CM5">
        <f>IF((AND(VLOOKUP(CM$1,main!$A$3:$H$102,5,FALSE)-VLOOKUP($A5,main!$A$3:$H$102,6,FALSE)&gt;=(VLOOKUP(VLOOKUP(CM$1,main!$A$3:$H$102,8,FALSE),main!$K$26:$M$29,2,FALSE)+VLOOKUP(VLOOKUP(CM$1,main!$A$3:$H$102,7,FALSE),main!$K$19:$O$22,MATCH(VLOOKUP($A5,main!$A$3:$H$102,8,FALSE),main!$K$18:$O$18,0))))),1,0)</f>
        <v>1</v>
      </c>
      <c r="CN5">
        <f>IF((AND(VLOOKUP(CN$1,main!$A$3:$H$102,5,FALSE)-VLOOKUP($A5,main!$A$3:$H$102,6,FALSE)&gt;=(VLOOKUP(VLOOKUP(CN$1,main!$A$3:$H$102,8,FALSE),main!$K$26:$M$29,2,FALSE)+VLOOKUP(VLOOKUP(CN$1,main!$A$3:$H$102,7,FALSE),main!$K$19:$O$22,MATCH(VLOOKUP($A5,main!$A$3:$H$102,8,FALSE),main!$K$18:$O$18,0))))),1,0)</f>
        <v>1</v>
      </c>
      <c r="CO5">
        <f>IF((AND(VLOOKUP(CO$1,main!$A$3:$H$102,5,FALSE)-VLOOKUP($A5,main!$A$3:$H$102,6,FALSE)&gt;=(VLOOKUP(VLOOKUP(CO$1,main!$A$3:$H$102,8,FALSE),main!$K$26:$M$29,2,FALSE)+VLOOKUP(VLOOKUP(CO$1,main!$A$3:$H$102,7,FALSE),main!$K$19:$O$22,MATCH(VLOOKUP($A5,main!$A$3:$H$102,8,FALSE),main!$K$18:$O$18,0))))),1,0)</f>
        <v>0</v>
      </c>
      <c r="CP5">
        <f>IF((AND(VLOOKUP(CP$1,main!$A$3:$H$102,5,FALSE)-VLOOKUP($A5,main!$A$3:$H$102,6,FALSE)&gt;=(VLOOKUP(VLOOKUP(CP$1,main!$A$3:$H$102,8,FALSE),main!$K$26:$M$29,2,FALSE)+VLOOKUP(VLOOKUP(CP$1,main!$A$3:$H$102,7,FALSE),main!$K$19:$O$22,MATCH(VLOOKUP($A5,main!$A$3:$H$102,8,FALSE),main!$K$18:$O$18,0))))),1,0)</f>
        <v>0</v>
      </c>
      <c r="CQ5">
        <f>IF((AND(VLOOKUP(CQ$1,main!$A$3:$H$102,5,FALSE)-VLOOKUP($A5,main!$A$3:$H$102,6,FALSE)&gt;=(VLOOKUP(VLOOKUP(CQ$1,main!$A$3:$H$102,8,FALSE),main!$K$26:$M$29,2,FALSE)+VLOOKUP(VLOOKUP(CQ$1,main!$A$3:$H$102,7,FALSE),main!$K$19:$O$22,MATCH(VLOOKUP($A5,main!$A$3:$H$102,8,FALSE),main!$K$18:$O$18,0))))),1,0)</f>
        <v>0</v>
      </c>
      <c r="CR5">
        <f>IF((AND(VLOOKUP(CR$1,main!$A$3:$H$102,5,FALSE)-VLOOKUP($A5,main!$A$3:$H$102,6,FALSE)&gt;=(VLOOKUP(VLOOKUP(CR$1,main!$A$3:$H$102,8,FALSE),main!$K$26:$M$29,2,FALSE)+VLOOKUP(VLOOKUP(CR$1,main!$A$3:$H$102,7,FALSE),main!$K$19:$O$22,MATCH(VLOOKUP($A5,main!$A$3:$H$102,8,FALSE),main!$K$18:$O$18,0))))),1,0)</f>
        <v>1</v>
      </c>
      <c r="CS5">
        <f>IF((AND(VLOOKUP(CS$1,main!$A$3:$H$102,5,FALSE)-VLOOKUP($A5,main!$A$3:$H$102,6,FALSE)&gt;=(VLOOKUP(VLOOKUP(CS$1,main!$A$3:$H$102,8,FALSE),main!$K$26:$M$29,2,FALSE)+VLOOKUP(VLOOKUP(CS$1,main!$A$3:$H$102,7,FALSE),main!$K$19:$O$22,MATCH(VLOOKUP($A5,main!$A$3:$H$102,8,FALSE),main!$K$18:$O$18,0))))),1,0)</f>
        <v>1</v>
      </c>
      <c r="CT5">
        <f>IF((AND(VLOOKUP(CT$1,main!$A$3:$H$102,5,FALSE)-VLOOKUP($A5,main!$A$3:$H$102,6,FALSE)&gt;=(VLOOKUP(VLOOKUP(CT$1,main!$A$3:$H$102,8,FALSE),main!$K$26:$M$29,2,FALSE)+VLOOKUP(VLOOKUP(CT$1,main!$A$3:$H$102,7,FALSE),main!$K$19:$O$22,MATCH(VLOOKUP($A5,main!$A$3:$H$102,8,FALSE),main!$K$18:$O$18,0))))),1,0)</f>
        <v>0</v>
      </c>
      <c r="CU5">
        <f>IF((AND(VLOOKUP(CU$1,main!$A$3:$H$102,5,FALSE)-VLOOKUP($A5,main!$A$3:$H$102,6,FALSE)&gt;=(VLOOKUP(VLOOKUP(CU$1,main!$A$3:$H$102,8,FALSE),main!$K$26:$M$29,2,FALSE)+VLOOKUP(VLOOKUP(CU$1,main!$A$3:$H$102,7,FALSE),main!$K$19:$O$22,MATCH(VLOOKUP($A5,main!$A$3:$H$102,8,FALSE),main!$K$18:$O$18,0))))),1,0)</f>
        <v>0</v>
      </c>
      <c r="CV5">
        <f>IF((AND(VLOOKUP(CV$1,main!$A$3:$H$102,5,FALSE)-VLOOKUP($A5,main!$A$3:$H$102,6,FALSE)&gt;=(VLOOKUP(VLOOKUP(CV$1,main!$A$3:$H$102,8,FALSE),main!$K$26:$M$29,2,FALSE)+VLOOKUP(VLOOKUP(CV$1,main!$A$3:$H$102,7,FALSE),main!$K$19:$O$22,MATCH(VLOOKUP($A5,main!$A$3:$H$102,8,FALSE),main!$K$18:$O$18,0))))),1,0)</f>
        <v>0</v>
      </c>
      <c r="CW5">
        <f>IF((AND(VLOOKUP(CW$1,main!$A$3:$H$102,5,FALSE)-VLOOKUP($A5,main!$A$3:$H$102,6,FALSE)&gt;=(VLOOKUP(VLOOKUP(CW$1,main!$A$3:$H$102,8,FALSE),main!$K$26:$M$29,2,FALSE)+VLOOKUP(VLOOKUP(CW$1,main!$A$3:$H$102,7,FALSE),main!$K$19:$O$22,MATCH(VLOOKUP($A5,main!$A$3:$H$102,8,FALSE),main!$K$18:$O$18,0))))),1,0)</f>
        <v>1</v>
      </c>
      <c r="CX5">
        <f>IF((AND(VLOOKUP(CX$1,main!$A$3:$H$102,5,FALSE)-VLOOKUP($A5,main!$A$3:$H$102,6,FALSE)&gt;=(VLOOKUP(VLOOKUP(CX$1,main!$A$3:$H$102,8,FALSE),main!$K$26:$M$29,2,FALSE)+VLOOKUP(VLOOKUP(CX$1,main!$A$3:$H$102,7,FALSE),main!$K$19:$O$22,MATCH(VLOOKUP($A5,main!$A$3:$H$102,8,FALSE),main!$K$18:$O$18,0))))),1,0)</f>
        <v>1</v>
      </c>
    </row>
    <row r="6" spans="1:102" x14ac:dyDescent="0.25">
      <c r="A6" s="1">
        <v>4</v>
      </c>
      <c r="B6">
        <v>1</v>
      </c>
      <c r="C6">
        <f>IF((AND(VLOOKUP(C$1,main!$A$3:$H$102,5,FALSE)-VLOOKUP($A6,main!$A$3:$H$102,6,FALSE)&gt;=(VLOOKUP(VLOOKUP(C$1,main!$A$3:$H$102,8,FALSE),main!$K$26:$M$29,2,FALSE)+VLOOKUP(VLOOKUP(C$1,main!$A$3:$H$102,7,FALSE),main!$K$19:$O$22,MATCH(VLOOKUP($A6,main!$A$3:$H$102,8,FALSE),main!$K$18:$O$18,0))))),1,0)</f>
        <v>0</v>
      </c>
      <c r="D6">
        <f>IF((AND(VLOOKUP(D$1,main!$A$3:$H$102,5,FALSE)-VLOOKUP($A6,main!$A$3:$H$102,6,FALSE)&gt;=(VLOOKUP(VLOOKUP(D$1,main!$A$3:$H$102,8,FALSE),main!$K$26:$M$29,2,FALSE)+VLOOKUP(VLOOKUP(D$1,main!$A$3:$H$102,7,FALSE),main!$K$19:$O$22,MATCH(VLOOKUP($A6,main!$A$3:$H$102,8,FALSE),main!$K$18:$O$18,0))))),1,0)</f>
        <v>0</v>
      </c>
      <c r="E6">
        <f>IF((AND(VLOOKUP(E$1,main!$A$3:$H$102,5,FALSE)-VLOOKUP($A6,main!$A$3:$H$102,6,FALSE)&gt;=(VLOOKUP(VLOOKUP(E$1,main!$A$3:$H$102,8,FALSE),main!$K$26:$M$29,2,FALSE)+VLOOKUP(VLOOKUP(E$1,main!$A$3:$H$102,7,FALSE),main!$K$19:$O$22,MATCH(VLOOKUP($A6,main!$A$3:$H$102,8,FALSE),main!$K$18:$O$18,0))))),1,0)</f>
        <v>0</v>
      </c>
      <c r="F6">
        <f>IF((AND(VLOOKUP(F$1,main!$A$3:$H$102,5,FALSE)-VLOOKUP($A6,main!$A$3:$H$102,6,FALSE)&gt;=(VLOOKUP(VLOOKUP(F$1,main!$A$3:$H$102,8,FALSE),main!$K$26:$M$29,2,FALSE)+VLOOKUP(VLOOKUP(F$1,main!$A$3:$H$102,7,FALSE),main!$K$19:$O$22,MATCH(VLOOKUP($A6,main!$A$3:$H$102,8,FALSE),main!$K$18:$O$18,0))))),1,0)</f>
        <v>0</v>
      </c>
      <c r="G6">
        <f>IF((AND(VLOOKUP(G$1,main!$A$3:$H$102,5,FALSE)-VLOOKUP($A6,main!$A$3:$H$102,6,FALSE)&gt;=(VLOOKUP(VLOOKUP(G$1,main!$A$3:$H$102,8,FALSE),main!$K$26:$M$29,2,FALSE)+VLOOKUP(VLOOKUP(G$1,main!$A$3:$H$102,7,FALSE),main!$K$19:$O$22,MATCH(VLOOKUP($A6,main!$A$3:$H$102,8,FALSE),main!$K$18:$O$18,0))))),1,0)</f>
        <v>0</v>
      </c>
      <c r="H6">
        <f>IF((AND(VLOOKUP(H$1,main!$A$3:$H$102,5,FALSE)-VLOOKUP($A6,main!$A$3:$H$102,6,FALSE)&gt;=(VLOOKUP(VLOOKUP(H$1,main!$A$3:$H$102,8,FALSE),main!$K$26:$M$29,2,FALSE)+VLOOKUP(VLOOKUP(H$1,main!$A$3:$H$102,7,FALSE),main!$K$19:$O$22,MATCH(VLOOKUP($A6,main!$A$3:$H$102,8,FALSE),main!$K$18:$O$18,0))))),1,0)</f>
        <v>1</v>
      </c>
      <c r="I6">
        <f>IF((AND(VLOOKUP(I$1,main!$A$3:$H$102,5,FALSE)-VLOOKUP($A6,main!$A$3:$H$102,6,FALSE)&gt;=(VLOOKUP(VLOOKUP(I$1,main!$A$3:$H$102,8,FALSE),main!$K$26:$M$29,2,FALSE)+VLOOKUP(VLOOKUP(I$1,main!$A$3:$H$102,7,FALSE),main!$K$19:$O$22,MATCH(VLOOKUP($A6,main!$A$3:$H$102,8,FALSE),main!$K$18:$O$18,0))))),1,0)</f>
        <v>1</v>
      </c>
      <c r="J6">
        <f>IF((AND(VLOOKUP(J$1,main!$A$3:$H$102,5,FALSE)-VLOOKUP($A6,main!$A$3:$H$102,6,FALSE)&gt;=(VLOOKUP(VLOOKUP(J$1,main!$A$3:$H$102,8,FALSE),main!$K$26:$M$29,2,FALSE)+VLOOKUP(VLOOKUP(J$1,main!$A$3:$H$102,7,FALSE),main!$K$19:$O$22,MATCH(VLOOKUP($A6,main!$A$3:$H$102,8,FALSE),main!$K$18:$O$18,0))))),1,0)</f>
        <v>1</v>
      </c>
      <c r="K6">
        <f>IF((AND(VLOOKUP(K$1,main!$A$3:$H$102,5,FALSE)-VLOOKUP($A6,main!$A$3:$H$102,6,FALSE)&gt;=(VLOOKUP(VLOOKUP(K$1,main!$A$3:$H$102,8,FALSE),main!$K$26:$M$29,2,FALSE)+VLOOKUP(VLOOKUP(K$1,main!$A$3:$H$102,7,FALSE),main!$K$19:$O$22,MATCH(VLOOKUP($A6,main!$A$3:$H$102,8,FALSE),main!$K$18:$O$18,0))))),1,0)</f>
        <v>1</v>
      </c>
      <c r="L6">
        <f>IF((AND(VLOOKUP(L$1,main!$A$3:$H$102,5,FALSE)-VLOOKUP($A6,main!$A$3:$H$102,6,FALSE)&gt;=(VLOOKUP(VLOOKUP(L$1,main!$A$3:$H$102,8,FALSE),main!$K$26:$M$29,2,FALSE)+VLOOKUP(VLOOKUP(L$1,main!$A$3:$H$102,7,FALSE),main!$K$19:$O$22,MATCH(VLOOKUP($A6,main!$A$3:$H$102,8,FALSE),main!$K$18:$O$18,0))))),1,0)</f>
        <v>1</v>
      </c>
      <c r="M6">
        <f>IF((AND(VLOOKUP(M$1,main!$A$3:$H$102,5,FALSE)-VLOOKUP($A6,main!$A$3:$H$102,6,FALSE)&gt;=(VLOOKUP(VLOOKUP(M$1,main!$A$3:$H$102,8,FALSE),main!$K$26:$M$29,2,FALSE)+VLOOKUP(VLOOKUP(M$1,main!$A$3:$H$102,7,FALSE),main!$K$19:$O$22,MATCH(VLOOKUP($A6,main!$A$3:$H$102,8,FALSE),main!$K$18:$O$18,0))))),1,0)</f>
        <v>0</v>
      </c>
      <c r="N6">
        <f>IF((AND(VLOOKUP(N$1,main!$A$3:$H$102,5,FALSE)-VLOOKUP($A6,main!$A$3:$H$102,6,FALSE)&gt;=(VLOOKUP(VLOOKUP(N$1,main!$A$3:$H$102,8,FALSE),main!$K$26:$M$29,2,FALSE)+VLOOKUP(VLOOKUP(N$1,main!$A$3:$H$102,7,FALSE),main!$K$19:$O$22,MATCH(VLOOKUP($A6,main!$A$3:$H$102,8,FALSE),main!$K$18:$O$18,0))))),1,0)</f>
        <v>0</v>
      </c>
      <c r="O6">
        <f>IF((AND(VLOOKUP(O$1,main!$A$3:$H$102,5,FALSE)-VLOOKUP($A6,main!$A$3:$H$102,6,FALSE)&gt;=(VLOOKUP(VLOOKUP(O$1,main!$A$3:$H$102,8,FALSE),main!$K$26:$M$29,2,FALSE)+VLOOKUP(VLOOKUP(O$1,main!$A$3:$H$102,7,FALSE),main!$K$19:$O$22,MATCH(VLOOKUP($A6,main!$A$3:$H$102,8,FALSE),main!$K$18:$O$18,0))))),1,0)</f>
        <v>0</v>
      </c>
      <c r="P6">
        <f>IF((AND(VLOOKUP(P$1,main!$A$3:$H$102,5,FALSE)-VLOOKUP($A6,main!$A$3:$H$102,6,FALSE)&gt;=(VLOOKUP(VLOOKUP(P$1,main!$A$3:$H$102,8,FALSE),main!$K$26:$M$29,2,FALSE)+VLOOKUP(VLOOKUP(P$1,main!$A$3:$H$102,7,FALSE),main!$K$19:$O$22,MATCH(VLOOKUP($A6,main!$A$3:$H$102,8,FALSE),main!$K$18:$O$18,0))))),1,0)</f>
        <v>0</v>
      </c>
      <c r="Q6">
        <f>IF((AND(VLOOKUP(Q$1,main!$A$3:$H$102,5,FALSE)-VLOOKUP($A6,main!$A$3:$H$102,6,FALSE)&gt;=(VLOOKUP(VLOOKUP(Q$1,main!$A$3:$H$102,8,FALSE),main!$K$26:$M$29,2,FALSE)+VLOOKUP(VLOOKUP(Q$1,main!$A$3:$H$102,7,FALSE),main!$K$19:$O$22,MATCH(VLOOKUP($A6,main!$A$3:$H$102,8,FALSE),main!$K$18:$O$18,0))))),1,0)</f>
        <v>0</v>
      </c>
      <c r="R6">
        <f>IF((AND(VLOOKUP(R$1,main!$A$3:$H$102,5,FALSE)-VLOOKUP($A6,main!$A$3:$H$102,6,FALSE)&gt;=(VLOOKUP(VLOOKUP(R$1,main!$A$3:$H$102,8,FALSE),main!$K$26:$M$29,2,FALSE)+VLOOKUP(VLOOKUP(R$1,main!$A$3:$H$102,7,FALSE),main!$K$19:$O$22,MATCH(VLOOKUP($A6,main!$A$3:$H$102,8,FALSE),main!$K$18:$O$18,0))))),1,0)</f>
        <v>0</v>
      </c>
      <c r="S6">
        <f>IF((AND(VLOOKUP(S$1,main!$A$3:$H$102,5,FALSE)-VLOOKUP($A6,main!$A$3:$H$102,6,FALSE)&gt;=(VLOOKUP(VLOOKUP(S$1,main!$A$3:$H$102,8,FALSE),main!$K$26:$M$29,2,FALSE)+VLOOKUP(VLOOKUP(S$1,main!$A$3:$H$102,7,FALSE),main!$K$19:$O$22,MATCH(VLOOKUP($A6,main!$A$3:$H$102,8,FALSE),main!$K$18:$O$18,0))))),1,0)</f>
        <v>1</v>
      </c>
      <c r="T6">
        <f>IF((AND(VLOOKUP(T$1,main!$A$3:$H$102,5,FALSE)-VLOOKUP($A6,main!$A$3:$H$102,6,FALSE)&gt;=(VLOOKUP(VLOOKUP(T$1,main!$A$3:$H$102,8,FALSE),main!$K$26:$M$29,2,FALSE)+VLOOKUP(VLOOKUP(T$1,main!$A$3:$H$102,7,FALSE),main!$K$19:$O$22,MATCH(VLOOKUP($A6,main!$A$3:$H$102,8,FALSE),main!$K$18:$O$18,0))))),1,0)</f>
        <v>1</v>
      </c>
      <c r="U6">
        <f>IF((AND(VLOOKUP(U$1,main!$A$3:$H$102,5,FALSE)-VLOOKUP($A6,main!$A$3:$H$102,6,FALSE)&gt;=(VLOOKUP(VLOOKUP(U$1,main!$A$3:$H$102,8,FALSE),main!$K$26:$M$29,2,FALSE)+VLOOKUP(VLOOKUP(U$1,main!$A$3:$H$102,7,FALSE),main!$K$19:$O$22,MATCH(VLOOKUP($A6,main!$A$3:$H$102,8,FALSE),main!$K$18:$O$18,0))))),1,0)</f>
        <v>1</v>
      </c>
      <c r="V6">
        <f>IF((AND(VLOOKUP(V$1,main!$A$3:$H$102,5,FALSE)-VLOOKUP($A6,main!$A$3:$H$102,6,FALSE)&gt;=(VLOOKUP(VLOOKUP(V$1,main!$A$3:$H$102,8,FALSE),main!$K$26:$M$29,2,FALSE)+VLOOKUP(VLOOKUP(V$1,main!$A$3:$H$102,7,FALSE),main!$K$19:$O$22,MATCH(VLOOKUP($A6,main!$A$3:$H$102,8,FALSE),main!$K$18:$O$18,0))))),1,0)</f>
        <v>1</v>
      </c>
      <c r="W6">
        <f>IF((AND(VLOOKUP(W$1,main!$A$3:$H$102,5,FALSE)-VLOOKUP($A6,main!$A$3:$H$102,6,FALSE)&gt;=(VLOOKUP(VLOOKUP(W$1,main!$A$3:$H$102,8,FALSE),main!$K$26:$M$29,2,FALSE)+VLOOKUP(VLOOKUP(W$1,main!$A$3:$H$102,7,FALSE),main!$K$19:$O$22,MATCH(VLOOKUP($A6,main!$A$3:$H$102,8,FALSE),main!$K$18:$O$18,0))))),1,0)</f>
        <v>0</v>
      </c>
      <c r="X6">
        <f>IF((AND(VLOOKUP(X$1,main!$A$3:$H$102,5,FALSE)-VLOOKUP($A6,main!$A$3:$H$102,6,FALSE)&gt;=(VLOOKUP(VLOOKUP(X$1,main!$A$3:$H$102,8,FALSE),main!$K$26:$M$29,2,FALSE)+VLOOKUP(VLOOKUP(X$1,main!$A$3:$H$102,7,FALSE),main!$K$19:$O$22,MATCH(VLOOKUP($A6,main!$A$3:$H$102,8,FALSE),main!$K$18:$O$18,0))))),1,0)</f>
        <v>0</v>
      </c>
      <c r="Y6">
        <f>IF((AND(VLOOKUP(Y$1,main!$A$3:$H$102,5,FALSE)-VLOOKUP($A6,main!$A$3:$H$102,6,FALSE)&gt;=(VLOOKUP(VLOOKUP(Y$1,main!$A$3:$H$102,8,FALSE),main!$K$26:$M$29,2,FALSE)+VLOOKUP(VLOOKUP(Y$1,main!$A$3:$H$102,7,FALSE),main!$K$19:$O$22,MATCH(VLOOKUP($A6,main!$A$3:$H$102,8,FALSE),main!$K$18:$O$18,0))))),1,0)</f>
        <v>0</v>
      </c>
      <c r="Z6">
        <f>IF((AND(VLOOKUP(Z$1,main!$A$3:$H$102,5,FALSE)-VLOOKUP($A6,main!$A$3:$H$102,6,FALSE)&gt;=(VLOOKUP(VLOOKUP(Z$1,main!$A$3:$H$102,8,FALSE),main!$K$26:$M$29,2,FALSE)+VLOOKUP(VLOOKUP(Z$1,main!$A$3:$H$102,7,FALSE),main!$K$19:$O$22,MATCH(VLOOKUP($A6,main!$A$3:$H$102,8,FALSE),main!$K$18:$O$18,0))))),1,0)</f>
        <v>1</v>
      </c>
      <c r="AA6">
        <f>IF((AND(VLOOKUP(AA$1,main!$A$3:$H$102,5,FALSE)-VLOOKUP($A6,main!$A$3:$H$102,6,FALSE)&gt;=(VLOOKUP(VLOOKUP(AA$1,main!$A$3:$H$102,8,FALSE),main!$K$26:$M$29,2,FALSE)+VLOOKUP(VLOOKUP(AA$1,main!$A$3:$H$102,7,FALSE),main!$K$19:$O$22,MATCH(VLOOKUP($A6,main!$A$3:$H$102,8,FALSE),main!$K$18:$O$18,0))))),1,0)</f>
        <v>1</v>
      </c>
      <c r="AB6">
        <f>IF((AND(VLOOKUP(AB$1,main!$A$3:$H$102,5,FALSE)-VLOOKUP($A6,main!$A$3:$H$102,6,FALSE)&gt;=(VLOOKUP(VLOOKUP(AB$1,main!$A$3:$H$102,8,FALSE),main!$K$26:$M$29,2,FALSE)+VLOOKUP(VLOOKUP(AB$1,main!$A$3:$H$102,7,FALSE),main!$K$19:$O$22,MATCH(VLOOKUP($A6,main!$A$3:$H$102,8,FALSE),main!$K$18:$O$18,0))))),1,0)</f>
        <v>0</v>
      </c>
      <c r="AC6">
        <f>IF((AND(VLOOKUP(AC$1,main!$A$3:$H$102,5,FALSE)-VLOOKUP($A6,main!$A$3:$H$102,6,FALSE)&gt;=(VLOOKUP(VLOOKUP(AC$1,main!$A$3:$H$102,8,FALSE),main!$K$26:$M$29,2,FALSE)+VLOOKUP(VLOOKUP(AC$1,main!$A$3:$H$102,7,FALSE),main!$K$19:$O$22,MATCH(VLOOKUP($A6,main!$A$3:$H$102,8,FALSE),main!$K$18:$O$18,0))))),1,0)</f>
        <v>0</v>
      </c>
      <c r="AD6">
        <f>IF((AND(VLOOKUP(AD$1,main!$A$3:$H$102,5,FALSE)-VLOOKUP($A6,main!$A$3:$H$102,6,FALSE)&gt;=(VLOOKUP(VLOOKUP(AD$1,main!$A$3:$H$102,8,FALSE),main!$K$26:$M$29,2,FALSE)+VLOOKUP(VLOOKUP(AD$1,main!$A$3:$H$102,7,FALSE),main!$K$19:$O$22,MATCH(VLOOKUP($A6,main!$A$3:$H$102,8,FALSE),main!$K$18:$O$18,0))))),1,0)</f>
        <v>0</v>
      </c>
      <c r="AE6">
        <f>IF((AND(VLOOKUP(AE$1,main!$A$3:$H$102,5,FALSE)-VLOOKUP($A6,main!$A$3:$H$102,6,FALSE)&gt;=(VLOOKUP(VLOOKUP(AE$1,main!$A$3:$H$102,8,FALSE),main!$K$26:$M$29,2,FALSE)+VLOOKUP(VLOOKUP(AE$1,main!$A$3:$H$102,7,FALSE),main!$K$19:$O$22,MATCH(VLOOKUP($A6,main!$A$3:$H$102,8,FALSE),main!$K$18:$O$18,0))))),1,0)</f>
        <v>1</v>
      </c>
      <c r="AF6">
        <f>IF((AND(VLOOKUP(AF$1,main!$A$3:$H$102,5,FALSE)-VLOOKUP($A6,main!$A$3:$H$102,6,FALSE)&gt;=(VLOOKUP(VLOOKUP(AF$1,main!$A$3:$H$102,8,FALSE),main!$K$26:$M$29,2,FALSE)+VLOOKUP(VLOOKUP(AF$1,main!$A$3:$H$102,7,FALSE),main!$K$19:$O$22,MATCH(VLOOKUP($A6,main!$A$3:$H$102,8,FALSE),main!$K$18:$O$18,0))))),1,0)</f>
        <v>1</v>
      </c>
      <c r="AG6">
        <f>IF((AND(VLOOKUP(AG$1,main!$A$3:$H$102,5,FALSE)-VLOOKUP($A6,main!$A$3:$H$102,6,FALSE)&gt;=(VLOOKUP(VLOOKUP(AG$1,main!$A$3:$H$102,8,FALSE),main!$K$26:$M$29,2,FALSE)+VLOOKUP(VLOOKUP(AG$1,main!$A$3:$H$102,7,FALSE),main!$K$19:$O$22,MATCH(VLOOKUP($A6,main!$A$3:$H$102,8,FALSE),main!$K$18:$O$18,0))))),1,0)</f>
        <v>0</v>
      </c>
      <c r="AH6">
        <f>IF((AND(VLOOKUP(AH$1,main!$A$3:$H$102,5,FALSE)-VLOOKUP($A6,main!$A$3:$H$102,6,FALSE)&gt;=(VLOOKUP(VLOOKUP(AH$1,main!$A$3:$H$102,8,FALSE),main!$K$26:$M$29,2,FALSE)+VLOOKUP(VLOOKUP(AH$1,main!$A$3:$H$102,7,FALSE),main!$K$19:$O$22,MATCH(VLOOKUP($A6,main!$A$3:$H$102,8,FALSE),main!$K$18:$O$18,0))))),1,0)</f>
        <v>0</v>
      </c>
      <c r="AI6">
        <f>IF((AND(VLOOKUP(AI$1,main!$A$3:$H$102,5,FALSE)-VLOOKUP($A6,main!$A$3:$H$102,6,FALSE)&gt;=(VLOOKUP(VLOOKUP(AI$1,main!$A$3:$H$102,8,FALSE),main!$K$26:$M$29,2,FALSE)+VLOOKUP(VLOOKUP(AI$1,main!$A$3:$H$102,7,FALSE),main!$K$19:$O$22,MATCH(VLOOKUP($A6,main!$A$3:$H$102,8,FALSE),main!$K$18:$O$18,0))))),1,0)</f>
        <v>0</v>
      </c>
      <c r="AJ6">
        <f>IF((AND(VLOOKUP(AJ$1,main!$A$3:$H$102,5,FALSE)-VLOOKUP($A6,main!$A$3:$H$102,6,FALSE)&gt;=(VLOOKUP(VLOOKUP(AJ$1,main!$A$3:$H$102,8,FALSE),main!$K$26:$M$29,2,FALSE)+VLOOKUP(VLOOKUP(AJ$1,main!$A$3:$H$102,7,FALSE),main!$K$19:$O$22,MATCH(VLOOKUP($A6,main!$A$3:$H$102,8,FALSE),main!$K$18:$O$18,0))))),1,0)</f>
        <v>0</v>
      </c>
      <c r="AK6">
        <f>IF((AND(VLOOKUP(AK$1,main!$A$3:$H$102,5,FALSE)-VLOOKUP($A6,main!$A$3:$H$102,6,FALSE)&gt;=(VLOOKUP(VLOOKUP(AK$1,main!$A$3:$H$102,8,FALSE),main!$K$26:$M$29,2,FALSE)+VLOOKUP(VLOOKUP(AK$1,main!$A$3:$H$102,7,FALSE),main!$K$19:$O$22,MATCH(VLOOKUP($A6,main!$A$3:$H$102,8,FALSE),main!$K$18:$O$18,0))))),1,0)</f>
        <v>1</v>
      </c>
      <c r="AL6">
        <f>IF((AND(VLOOKUP(AL$1,main!$A$3:$H$102,5,FALSE)-VLOOKUP($A6,main!$A$3:$H$102,6,FALSE)&gt;=(VLOOKUP(VLOOKUP(AL$1,main!$A$3:$H$102,8,FALSE),main!$K$26:$M$29,2,FALSE)+VLOOKUP(VLOOKUP(AL$1,main!$A$3:$H$102,7,FALSE),main!$K$19:$O$22,MATCH(VLOOKUP($A6,main!$A$3:$H$102,8,FALSE),main!$K$18:$O$18,0))))),1,0)</f>
        <v>1</v>
      </c>
      <c r="AM6">
        <f>IF((AND(VLOOKUP(AM$1,main!$A$3:$H$102,5,FALSE)-VLOOKUP($A6,main!$A$3:$H$102,6,FALSE)&gt;=(VLOOKUP(VLOOKUP(AM$1,main!$A$3:$H$102,8,FALSE),main!$K$26:$M$29,2,FALSE)+VLOOKUP(VLOOKUP(AM$1,main!$A$3:$H$102,7,FALSE),main!$K$19:$O$22,MATCH(VLOOKUP($A6,main!$A$3:$H$102,8,FALSE),main!$K$18:$O$18,0))))),1,0)</f>
        <v>1</v>
      </c>
      <c r="AN6">
        <f>IF((AND(VLOOKUP(AN$1,main!$A$3:$H$102,5,FALSE)-VLOOKUP($A6,main!$A$3:$H$102,6,FALSE)&gt;=(VLOOKUP(VLOOKUP(AN$1,main!$A$3:$H$102,8,FALSE),main!$K$26:$M$29,2,FALSE)+VLOOKUP(VLOOKUP(AN$1,main!$A$3:$H$102,7,FALSE),main!$K$19:$O$22,MATCH(VLOOKUP($A6,main!$A$3:$H$102,8,FALSE),main!$K$18:$O$18,0))))),1,0)</f>
        <v>1</v>
      </c>
      <c r="AO6">
        <f>IF((AND(VLOOKUP(AO$1,main!$A$3:$H$102,5,FALSE)-VLOOKUP($A6,main!$A$3:$H$102,6,FALSE)&gt;=(VLOOKUP(VLOOKUP(AO$1,main!$A$3:$H$102,8,FALSE),main!$K$26:$M$29,2,FALSE)+VLOOKUP(VLOOKUP(AO$1,main!$A$3:$H$102,7,FALSE),main!$K$19:$O$22,MATCH(VLOOKUP($A6,main!$A$3:$H$102,8,FALSE),main!$K$18:$O$18,0))))),1,0)</f>
        <v>0</v>
      </c>
      <c r="AP6">
        <f>IF((AND(VLOOKUP(AP$1,main!$A$3:$H$102,5,FALSE)-VLOOKUP($A6,main!$A$3:$H$102,6,FALSE)&gt;=(VLOOKUP(VLOOKUP(AP$1,main!$A$3:$H$102,8,FALSE),main!$K$26:$M$29,2,FALSE)+VLOOKUP(VLOOKUP(AP$1,main!$A$3:$H$102,7,FALSE),main!$K$19:$O$22,MATCH(VLOOKUP($A6,main!$A$3:$H$102,8,FALSE),main!$K$18:$O$18,0))))),1,0)</f>
        <v>1</v>
      </c>
      <c r="AQ6">
        <f>IF((AND(VLOOKUP(AQ$1,main!$A$3:$H$102,5,FALSE)-VLOOKUP($A6,main!$A$3:$H$102,6,FALSE)&gt;=(VLOOKUP(VLOOKUP(AQ$1,main!$A$3:$H$102,8,FALSE),main!$K$26:$M$29,2,FALSE)+VLOOKUP(VLOOKUP(AQ$1,main!$A$3:$H$102,7,FALSE),main!$K$19:$O$22,MATCH(VLOOKUP($A6,main!$A$3:$H$102,8,FALSE),main!$K$18:$O$18,0))))),1,0)</f>
        <v>0</v>
      </c>
      <c r="AR6">
        <f>IF((AND(VLOOKUP(AR$1,main!$A$3:$H$102,5,FALSE)-VLOOKUP($A6,main!$A$3:$H$102,6,FALSE)&gt;=(VLOOKUP(VLOOKUP(AR$1,main!$A$3:$H$102,8,FALSE),main!$K$26:$M$29,2,FALSE)+VLOOKUP(VLOOKUP(AR$1,main!$A$3:$H$102,7,FALSE),main!$K$19:$O$22,MATCH(VLOOKUP($A6,main!$A$3:$H$102,8,FALSE),main!$K$18:$O$18,0))))),1,0)</f>
        <v>0</v>
      </c>
      <c r="AS6">
        <f>IF((AND(VLOOKUP(AS$1,main!$A$3:$H$102,5,FALSE)-VLOOKUP($A6,main!$A$3:$H$102,6,FALSE)&gt;=(VLOOKUP(VLOOKUP(AS$1,main!$A$3:$H$102,8,FALSE),main!$K$26:$M$29,2,FALSE)+VLOOKUP(VLOOKUP(AS$1,main!$A$3:$H$102,7,FALSE),main!$K$19:$O$22,MATCH(VLOOKUP($A6,main!$A$3:$H$102,8,FALSE),main!$K$18:$O$18,0))))),1,0)</f>
        <v>0</v>
      </c>
      <c r="AT6">
        <f>IF((AND(VLOOKUP(AT$1,main!$A$3:$H$102,5,FALSE)-VLOOKUP($A6,main!$A$3:$H$102,6,FALSE)&gt;=(VLOOKUP(VLOOKUP(AT$1,main!$A$3:$H$102,8,FALSE),main!$K$26:$M$29,2,FALSE)+VLOOKUP(VLOOKUP(AT$1,main!$A$3:$H$102,7,FALSE),main!$K$19:$O$22,MATCH(VLOOKUP($A6,main!$A$3:$H$102,8,FALSE),main!$K$18:$O$18,0))))),1,0)</f>
        <v>1</v>
      </c>
      <c r="AU6">
        <f>IF((AND(VLOOKUP(AU$1,main!$A$3:$H$102,5,FALSE)-VLOOKUP($A6,main!$A$3:$H$102,6,FALSE)&gt;=(VLOOKUP(VLOOKUP(AU$1,main!$A$3:$H$102,8,FALSE),main!$K$26:$M$29,2,FALSE)+VLOOKUP(VLOOKUP(AU$1,main!$A$3:$H$102,7,FALSE),main!$K$19:$O$22,MATCH(VLOOKUP($A6,main!$A$3:$H$102,8,FALSE),main!$K$18:$O$18,0))))),1,0)</f>
        <v>0</v>
      </c>
      <c r="AV6">
        <f>IF((AND(VLOOKUP(AV$1,main!$A$3:$H$102,5,FALSE)-VLOOKUP($A6,main!$A$3:$H$102,6,FALSE)&gt;=(VLOOKUP(VLOOKUP(AV$1,main!$A$3:$H$102,8,FALSE),main!$K$26:$M$29,2,FALSE)+VLOOKUP(VLOOKUP(AV$1,main!$A$3:$H$102,7,FALSE),main!$K$19:$O$22,MATCH(VLOOKUP($A6,main!$A$3:$H$102,8,FALSE),main!$K$18:$O$18,0))))),1,0)</f>
        <v>0</v>
      </c>
      <c r="AW6">
        <f>IF((AND(VLOOKUP(AW$1,main!$A$3:$H$102,5,FALSE)-VLOOKUP($A6,main!$A$3:$H$102,6,FALSE)&gt;=(VLOOKUP(VLOOKUP(AW$1,main!$A$3:$H$102,8,FALSE),main!$K$26:$M$29,2,FALSE)+VLOOKUP(VLOOKUP(AW$1,main!$A$3:$H$102,7,FALSE),main!$K$19:$O$22,MATCH(VLOOKUP($A6,main!$A$3:$H$102,8,FALSE),main!$K$18:$O$18,0))))),1,0)</f>
        <v>1</v>
      </c>
      <c r="AX6">
        <f>IF((AND(VLOOKUP(AX$1,main!$A$3:$H$102,5,FALSE)-VLOOKUP($A6,main!$A$3:$H$102,6,FALSE)&gt;=(VLOOKUP(VLOOKUP(AX$1,main!$A$3:$H$102,8,FALSE),main!$K$26:$M$29,2,FALSE)+VLOOKUP(VLOOKUP(AX$1,main!$A$3:$H$102,7,FALSE),main!$K$19:$O$22,MATCH(VLOOKUP($A6,main!$A$3:$H$102,8,FALSE),main!$K$18:$O$18,0))))),1,0)</f>
        <v>0</v>
      </c>
      <c r="AY6">
        <f>IF((AND(VLOOKUP(AY$1,main!$A$3:$H$102,5,FALSE)-VLOOKUP($A6,main!$A$3:$H$102,6,FALSE)&gt;=(VLOOKUP(VLOOKUP(AY$1,main!$A$3:$H$102,8,FALSE),main!$K$26:$M$29,2,FALSE)+VLOOKUP(VLOOKUP(AY$1,main!$A$3:$H$102,7,FALSE),main!$K$19:$O$22,MATCH(VLOOKUP($A6,main!$A$3:$H$102,8,FALSE),main!$K$18:$O$18,0))))),1,0)</f>
        <v>0</v>
      </c>
      <c r="AZ6">
        <f>IF((AND(VLOOKUP(AZ$1,main!$A$3:$H$102,5,FALSE)-VLOOKUP($A6,main!$A$3:$H$102,6,FALSE)&gt;=(VLOOKUP(VLOOKUP(AZ$1,main!$A$3:$H$102,8,FALSE),main!$K$26:$M$29,2,FALSE)+VLOOKUP(VLOOKUP(AZ$1,main!$A$3:$H$102,7,FALSE),main!$K$19:$O$22,MATCH(VLOOKUP($A6,main!$A$3:$H$102,8,FALSE),main!$K$18:$O$18,0))))),1,0)</f>
        <v>0</v>
      </c>
      <c r="BA6">
        <f>IF((AND(VLOOKUP(BA$1,main!$A$3:$H$102,5,FALSE)-VLOOKUP($A6,main!$A$3:$H$102,6,FALSE)&gt;=(VLOOKUP(VLOOKUP(BA$1,main!$A$3:$H$102,8,FALSE),main!$K$26:$M$29,2,FALSE)+VLOOKUP(VLOOKUP(BA$1,main!$A$3:$H$102,7,FALSE),main!$K$19:$O$22,MATCH(VLOOKUP($A6,main!$A$3:$H$102,8,FALSE),main!$K$18:$O$18,0))))),1,0)</f>
        <v>0</v>
      </c>
      <c r="BB6">
        <f>IF((AND(VLOOKUP(BB$1,main!$A$3:$H$102,5,FALSE)-VLOOKUP($A6,main!$A$3:$H$102,6,FALSE)&gt;=(VLOOKUP(VLOOKUP(BB$1,main!$A$3:$H$102,8,FALSE),main!$K$26:$M$29,2,FALSE)+VLOOKUP(VLOOKUP(BB$1,main!$A$3:$H$102,7,FALSE),main!$K$19:$O$22,MATCH(VLOOKUP($A6,main!$A$3:$H$102,8,FALSE),main!$K$18:$O$18,0))))),1,0)</f>
        <v>0</v>
      </c>
      <c r="BC6">
        <f>IF((AND(VLOOKUP(BC$1,main!$A$3:$H$102,5,FALSE)-VLOOKUP($A6,main!$A$3:$H$102,6,FALSE)&gt;=(VLOOKUP(VLOOKUP(BC$1,main!$A$3:$H$102,8,FALSE),main!$K$26:$M$29,2,FALSE)+VLOOKUP(VLOOKUP(BC$1,main!$A$3:$H$102,7,FALSE),main!$K$19:$O$22,MATCH(VLOOKUP($A6,main!$A$3:$H$102,8,FALSE),main!$K$18:$O$18,0))))),1,0)</f>
        <v>0</v>
      </c>
      <c r="BD6">
        <f>IF((AND(VLOOKUP(BD$1,main!$A$3:$H$102,5,FALSE)-VLOOKUP($A6,main!$A$3:$H$102,6,FALSE)&gt;=(VLOOKUP(VLOOKUP(BD$1,main!$A$3:$H$102,8,FALSE),main!$K$26:$M$29,2,FALSE)+VLOOKUP(VLOOKUP(BD$1,main!$A$3:$H$102,7,FALSE),main!$K$19:$O$22,MATCH(VLOOKUP($A6,main!$A$3:$H$102,8,FALSE),main!$K$18:$O$18,0))))),1,0)</f>
        <v>1</v>
      </c>
      <c r="BE6">
        <f>IF((AND(VLOOKUP(BE$1,main!$A$3:$H$102,5,FALSE)-VLOOKUP($A6,main!$A$3:$H$102,6,FALSE)&gt;=(VLOOKUP(VLOOKUP(BE$1,main!$A$3:$H$102,8,FALSE),main!$K$26:$M$29,2,FALSE)+VLOOKUP(VLOOKUP(BE$1,main!$A$3:$H$102,7,FALSE),main!$K$19:$O$22,MATCH(VLOOKUP($A6,main!$A$3:$H$102,8,FALSE),main!$K$18:$O$18,0))))),1,0)</f>
        <v>1</v>
      </c>
      <c r="BF6">
        <f>IF((AND(VLOOKUP(BF$1,main!$A$3:$H$102,5,FALSE)-VLOOKUP($A6,main!$A$3:$H$102,6,FALSE)&gt;=(VLOOKUP(VLOOKUP(BF$1,main!$A$3:$H$102,8,FALSE),main!$K$26:$M$29,2,FALSE)+VLOOKUP(VLOOKUP(BF$1,main!$A$3:$H$102,7,FALSE),main!$K$19:$O$22,MATCH(VLOOKUP($A6,main!$A$3:$H$102,8,FALSE),main!$K$18:$O$18,0))))),1,0)</f>
        <v>0</v>
      </c>
      <c r="BG6">
        <f>IF((AND(VLOOKUP(BG$1,main!$A$3:$H$102,5,FALSE)-VLOOKUP($A6,main!$A$3:$H$102,6,FALSE)&gt;=(VLOOKUP(VLOOKUP(BG$1,main!$A$3:$H$102,8,FALSE),main!$K$26:$M$29,2,FALSE)+VLOOKUP(VLOOKUP(BG$1,main!$A$3:$H$102,7,FALSE),main!$K$19:$O$22,MATCH(VLOOKUP($A6,main!$A$3:$H$102,8,FALSE),main!$K$18:$O$18,0))))),1,0)</f>
        <v>0</v>
      </c>
      <c r="BH6">
        <f>IF((AND(VLOOKUP(BH$1,main!$A$3:$H$102,5,FALSE)-VLOOKUP($A6,main!$A$3:$H$102,6,FALSE)&gt;=(VLOOKUP(VLOOKUP(BH$1,main!$A$3:$H$102,8,FALSE),main!$K$26:$M$29,2,FALSE)+VLOOKUP(VLOOKUP(BH$1,main!$A$3:$H$102,7,FALSE),main!$K$19:$O$22,MATCH(VLOOKUP($A6,main!$A$3:$H$102,8,FALSE),main!$K$18:$O$18,0))))),1,0)</f>
        <v>0</v>
      </c>
      <c r="BI6">
        <f>IF((AND(VLOOKUP(BI$1,main!$A$3:$H$102,5,FALSE)-VLOOKUP($A6,main!$A$3:$H$102,6,FALSE)&gt;=(VLOOKUP(VLOOKUP(BI$1,main!$A$3:$H$102,8,FALSE),main!$K$26:$M$29,2,FALSE)+VLOOKUP(VLOOKUP(BI$1,main!$A$3:$H$102,7,FALSE),main!$K$19:$O$22,MATCH(VLOOKUP($A6,main!$A$3:$H$102,8,FALSE),main!$K$18:$O$18,0))))),1,0)</f>
        <v>1</v>
      </c>
      <c r="BJ6">
        <f>IF((AND(VLOOKUP(BJ$1,main!$A$3:$H$102,5,FALSE)-VLOOKUP($A6,main!$A$3:$H$102,6,FALSE)&gt;=(VLOOKUP(VLOOKUP(BJ$1,main!$A$3:$H$102,8,FALSE),main!$K$26:$M$29,2,FALSE)+VLOOKUP(VLOOKUP(BJ$1,main!$A$3:$H$102,7,FALSE),main!$K$19:$O$22,MATCH(VLOOKUP($A6,main!$A$3:$H$102,8,FALSE),main!$K$18:$O$18,0))))),1,0)</f>
        <v>1</v>
      </c>
      <c r="BK6">
        <f>IF((AND(VLOOKUP(BK$1,main!$A$3:$H$102,5,FALSE)-VLOOKUP($A6,main!$A$3:$H$102,6,FALSE)&gt;=(VLOOKUP(VLOOKUP(BK$1,main!$A$3:$H$102,8,FALSE),main!$K$26:$M$29,2,FALSE)+VLOOKUP(VLOOKUP(BK$1,main!$A$3:$H$102,7,FALSE),main!$K$19:$O$22,MATCH(VLOOKUP($A6,main!$A$3:$H$102,8,FALSE),main!$K$18:$O$18,0))))),1,0)</f>
        <v>0</v>
      </c>
      <c r="BL6">
        <f>IF((AND(VLOOKUP(BL$1,main!$A$3:$H$102,5,FALSE)-VLOOKUP($A6,main!$A$3:$H$102,6,FALSE)&gt;=(VLOOKUP(VLOOKUP(BL$1,main!$A$3:$H$102,8,FALSE),main!$K$26:$M$29,2,FALSE)+VLOOKUP(VLOOKUP(BL$1,main!$A$3:$H$102,7,FALSE),main!$K$19:$O$22,MATCH(VLOOKUP($A6,main!$A$3:$H$102,8,FALSE),main!$K$18:$O$18,0))))),1,0)</f>
        <v>0</v>
      </c>
      <c r="BM6">
        <f>IF((AND(VLOOKUP(BM$1,main!$A$3:$H$102,5,FALSE)-VLOOKUP($A6,main!$A$3:$H$102,6,FALSE)&gt;=(VLOOKUP(VLOOKUP(BM$1,main!$A$3:$H$102,8,FALSE),main!$K$26:$M$29,2,FALSE)+VLOOKUP(VLOOKUP(BM$1,main!$A$3:$H$102,7,FALSE),main!$K$19:$O$22,MATCH(VLOOKUP($A6,main!$A$3:$H$102,8,FALSE),main!$K$18:$O$18,0))))),1,0)</f>
        <v>0</v>
      </c>
      <c r="BN6">
        <f>IF((AND(VLOOKUP(BN$1,main!$A$3:$H$102,5,FALSE)-VLOOKUP($A6,main!$A$3:$H$102,6,FALSE)&gt;=(VLOOKUP(VLOOKUP(BN$1,main!$A$3:$H$102,8,FALSE),main!$K$26:$M$29,2,FALSE)+VLOOKUP(VLOOKUP(BN$1,main!$A$3:$H$102,7,FALSE),main!$K$19:$O$22,MATCH(VLOOKUP($A6,main!$A$3:$H$102,8,FALSE),main!$K$18:$O$18,0))))),1,0)</f>
        <v>0</v>
      </c>
      <c r="BO6">
        <f>IF((AND(VLOOKUP(BO$1,main!$A$3:$H$102,5,FALSE)-VLOOKUP($A6,main!$A$3:$H$102,6,FALSE)&gt;=(VLOOKUP(VLOOKUP(BO$1,main!$A$3:$H$102,8,FALSE),main!$K$26:$M$29,2,FALSE)+VLOOKUP(VLOOKUP(BO$1,main!$A$3:$H$102,7,FALSE),main!$K$19:$O$22,MATCH(VLOOKUP($A6,main!$A$3:$H$102,8,FALSE),main!$K$18:$O$18,0))))),1,0)</f>
        <v>0</v>
      </c>
      <c r="BP6">
        <f>IF((AND(VLOOKUP(BP$1,main!$A$3:$H$102,5,FALSE)-VLOOKUP($A6,main!$A$3:$H$102,6,FALSE)&gt;=(VLOOKUP(VLOOKUP(BP$1,main!$A$3:$H$102,8,FALSE),main!$K$26:$M$29,2,FALSE)+VLOOKUP(VLOOKUP(BP$1,main!$A$3:$H$102,7,FALSE),main!$K$19:$O$22,MATCH(VLOOKUP($A6,main!$A$3:$H$102,8,FALSE),main!$K$18:$O$18,0))))),1,0)</f>
        <v>0</v>
      </c>
      <c r="BQ6">
        <f>IF((AND(VLOOKUP(BQ$1,main!$A$3:$H$102,5,FALSE)-VLOOKUP($A6,main!$A$3:$H$102,6,FALSE)&gt;=(VLOOKUP(VLOOKUP(BQ$1,main!$A$3:$H$102,8,FALSE),main!$K$26:$M$29,2,FALSE)+VLOOKUP(VLOOKUP(BQ$1,main!$A$3:$H$102,7,FALSE),main!$K$19:$O$22,MATCH(VLOOKUP($A6,main!$A$3:$H$102,8,FALSE),main!$K$18:$O$18,0))))),1,0)</f>
        <v>0</v>
      </c>
      <c r="BR6">
        <f>IF((AND(VLOOKUP(BR$1,main!$A$3:$H$102,5,FALSE)-VLOOKUP($A6,main!$A$3:$H$102,6,FALSE)&gt;=(VLOOKUP(VLOOKUP(BR$1,main!$A$3:$H$102,8,FALSE),main!$K$26:$M$29,2,FALSE)+VLOOKUP(VLOOKUP(BR$1,main!$A$3:$H$102,7,FALSE),main!$K$19:$O$22,MATCH(VLOOKUP($A6,main!$A$3:$H$102,8,FALSE),main!$K$18:$O$18,0))))),1,0)</f>
        <v>0</v>
      </c>
      <c r="BS6">
        <f>IF((AND(VLOOKUP(BS$1,main!$A$3:$H$102,5,FALSE)-VLOOKUP($A6,main!$A$3:$H$102,6,FALSE)&gt;=(VLOOKUP(VLOOKUP(BS$1,main!$A$3:$H$102,8,FALSE),main!$K$26:$M$29,2,FALSE)+VLOOKUP(VLOOKUP(BS$1,main!$A$3:$H$102,7,FALSE),main!$K$19:$O$22,MATCH(VLOOKUP($A6,main!$A$3:$H$102,8,FALSE),main!$K$18:$O$18,0))))),1,0)</f>
        <v>0</v>
      </c>
      <c r="BT6">
        <f>IF((AND(VLOOKUP(BT$1,main!$A$3:$H$102,5,FALSE)-VLOOKUP($A6,main!$A$3:$H$102,6,FALSE)&gt;=(VLOOKUP(VLOOKUP(BT$1,main!$A$3:$H$102,8,FALSE),main!$K$26:$M$29,2,FALSE)+VLOOKUP(VLOOKUP(BT$1,main!$A$3:$H$102,7,FALSE),main!$K$19:$O$22,MATCH(VLOOKUP($A6,main!$A$3:$H$102,8,FALSE),main!$K$18:$O$18,0))))),1,0)</f>
        <v>0</v>
      </c>
      <c r="BU6">
        <f>IF((AND(VLOOKUP(BU$1,main!$A$3:$H$102,5,FALSE)-VLOOKUP($A6,main!$A$3:$H$102,6,FALSE)&gt;=(VLOOKUP(VLOOKUP(BU$1,main!$A$3:$H$102,8,FALSE),main!$K$26:$M$29,2,FALSE)+VLOOKUP(VLOOKUP(BU$1,main!$A$3:$H$102,7,FALSE),main!$K$19:$O$22,MATCH(VLOOKUP($A6,main!$A$3:$H$102,8,FALSE),main!$K$18:$O$18,0))))),1,0)</f>
        <v>0</v>
      </c>
      <c r="BV6">
        <f>IF((AND(VLOOKUP(BV$1,main!$A$3:$H$102,5,FALSE)-VLOOKUP($A6,main!$A$3:$H$102,6,FALSE)&gt;=(VLOOKUP(VLOOKUP(BV$1,main!$A$3:$H$102,8,FALSE),main!$K$26:$M$29,2,FALSE)+VLOOKUP(VLOOKUP(BV$1,main!$A$3:$H$102,7,FALSE),main!$K$19:$O$22,MATCH(VLOOKUP($A6,main!$A$3:$H$102,8,FALSE),main!$K$18:$O$18,0))))),1,0)</f>
        <v>0</v>
      </c>
      <c r="BW6">
        <f>IF((AND(VLOOKUP(BW$1,main!$A$3:$H$102,5,FALSE)-VLOOKUP($A6,main!$A$3:$H$102,6,FALSE)&gt;=(VLOOKUP(VLOOKUP(BW$1,main!$A$3:$H$102,8,FALSE),main!$K$26:$M$29,2,FALSE)+VLOOKUP(VLOOKUP(BW$1,main!$A$3:$H$102,7,FALSE),main!$K$19:$O$22,MATCH(VLOOKUP($A6,main!$A$3:$H$102,8,FALSE),main!$K$18:$O$18,0))))),1,0)</f>
        <v>0</v>
      </c>
      <c r="BX6">
        <f>IF((AND(VLOOKUP(BX$1,main!$A$3:$H$102,5,FALSE)-VLOOKUP($A6,main!$A$3:$H$102,6,FALSE)&gt;=(VLOOKUP(VLOOKUP(BX$1,main!$A$3:$H$102,8,FALSE),main!$K$26:$M$29,2,FALSE)+VLOOKUP(VLOOKUP(BX$1,main!$A$3:$H$102,7,FALSE),main!$K$19:$O$22,MATCH(VLOOKUP($A6,main!$A$3:$H$102,8,FALSE),main!$K$18:$O$18,0))))),1,0)</f>
        <v>0</v>
      </c>
      <c r="BY6">
        <f>IF((AND(VLOOKUP(BY$1,main!$A$3:$H$102,5,FALSE)-VLOOKUP($A6,main!$A$3:$H$102,6,FALSE)&gt;=(VLOOKUP(VLOOKUP(BY$1,main!$A$3:$H$102,8,FALSE),main!$K$26:$M$29,2,FALSE)+VLOOKUP(VLOOKUP(BY$1,main!$A$3:$H$102,7,FALSE),main!$K$19:$O$22,MATCH(VLOOKUP($A6,main!$A$3:$H$102,8,FALSE),main!$K$18:$O$18,0))))),1,0)</f>
        <v>0</v>
      </c>
      <c r="BZ6">
        <f>IF((AND(VLOOKUP(BZ$1,main!$A$3:$H$102,5,FALSE)-VLOOKUP($A6,main!$A$3:$H$102,6,FALSE)&gt;=(VLOOKUP(VLOOKUP(BZ$1,main!$A$3:$H$102,8,FALSE),main!$K$26:$M$29,2,FALSE)+VLOOKUP(VLOOKUP(BZ$1,main!$A$3:$H$102,7,FALSE),main!$K$19:$O$22,MATCH(VLOOKUP($A6,main!$A$3:$H$102,8,FALSE),main!$K$18:$O$18,0))))),1,0)</f>
        <v>0</v>
      </c>
      <c r="CA6">
        <f>IF((AND(VLOOKUP(CA$1,main!$A$3:$H$102,5,FALSE)-VLOOKUP($A6,main!$A$3:$H$102,6,FALSE)&gt;=(VLOOKUP(VLOOKUP(CA$1,main!$A$3:$H$102,8,FALSE),main!$K$26:$M$29,2,FALSE)+VLOOKUP(VLOOKUP(CA$1,main!$A$3:$H$102,7,FALSE),main!$K$19:$O$22,MATCH(VLOOKUP($A6,main!$A$3:$H$102,8,FALSE),main!$K$18:$O$18,0))))),1,0)</f>
        <v>0</v>
      </c>
      <c r="CB6">
        <f>IF((AND(VLOOKUP(CB$1,main!$A$3:$H$102,5,FALSE)-VLOOKUP($A6,main!$A$3:$H$102,6,FALSE)&gt;=(VLOOKUP(VLOOKUP(CB$1,main!$A$3:$H$102,8,FALSE),main!$K$26:$M$29,2,FALSE)+VLOOKUP(VLOOKUP(CB$1,main!$A$3:$H$102,7,FALSE),main!$K$19:$O$22,MATCH(VLOOKUP($A6,main!$A$3:$H$102,8,FALSE),main!$K$18:$O$18,0))))),1,0)</f>
        <v>0</v>
      </c>
      <c r="CC6">
        <f>IF((AND(VLOOKUP(CC$1,main!$A$3:$H$102,5,FALSE)-VLOOKUP($A6,main!$A$3:$H$102,6,FALSE)&gt;=(VLOOKUP(VLOOKUP(CC$1,main!$A$3:$H$102,8,FALSE),main!$K$26:$M$29,2,FALSE)+VLOOKUP(VLOOKUP(CC$1,main!$A$3:$H$102,7,FALSE),main!$K$19:$O$22,MATCH(VLOOKUP($A6,main!$A$3:$H$102,8,FALSE),main!$K$18:$O$18,0))))),1,0)</f>
        <v>1</v>
      </c>
      <c r="CD6">
        <f>IF((AND(VLOOKUP(CD$1,main!$A$3:$H$102,5,FALSE)-VLOOKUP($A6,main!$A$3:$H$102,6,FALSE)&gt;=(VLOOKUP(VLOOKUP(CD$1,main!$A$3:$H$102,8,FALSE),main!$K$26:$M$29,2,FALSE)+VLOOKUP(VLOOKUP(CD$1,main!$A$3:$H$102,7,FALSE),main!$K$19:$O$22,MATCH(VLOOKUP($A6,main!$A$3:$H$102,8,FALSE),main!$K$18:$O$18,0))))),1,0)</f>
        <v>0</v>
      </c>
      <c r="CE6">
        <f>IF((AND(VLOOKUP(CE$1,main!$A$3:$H$102,5,FALSE)-VLOOKUP($A6,main!$A$3:$H$102,6,FALSE)&gt;=(VLOOKUP(VLOOKUP(CE$1,main!$A$3:$H$102,8,FALSE),main!$K$26:$M$29,2,FALSE)+VLOOKUP(VLOOKUP(CE$1,main!$A$3:$H$102,7,FALSE),main!$K$19:$O$22,MATCH(VLOOKUP($A6,main!$A$3:$H$102,8,FALSE),main!$K$18:$O$18,0))))),1,0)</f>
        <v>0</v>
      </c>
      <c r="CF6">
        <f>IF((AND(VLOOKUP(CF$1,main!$A$3:$H$102,5,FALSE)-VLOOKUP($A6,main!$A$3:$H$102,6,FALSE)&gt;=(VLOOKUP(VLOOKUP(CF$1,main!$A$3:$H$102,8,FALSE),main!$K$26:$M$29,2,FALSE)+VLOOKUP(VLOOKUP(CF$1,main!$A$3:$H$102,7,FALSE),main!$K$19:$O$22,MATCH(VLOOKUP($A6,main!$A$3:$H$102,8,FALSE),main!$K$18:$O$18,0))))),1,0)</f>
        <v>0</v>
      </c>
      <c r="CG6">
        <f>IF((AND(VLOOKUP(CG$1,main!$A$3:$H$102,5,FALSE)-VLOOKUP($A6,main!$A$3:$H$102,6,FALSE)&gt;=(VLOOKUP(VLOOKUP(CG$1,main!$A$3:$H$102,8,FALSE),main!$K$26:$M$29,2,FALSE)+VLOOKUP(VLOOKUP(CG$1,main!$A$3:$H$102,7,FALSE),main!$K$19:$O$22,MATCH(VLOOKUP($A6,main!$A$3:$H$102,8,FALSE),main!$K$18:$O$18,0))))),1,0)</f>
        <v>0</v>
      </c>
      <c r="CH6">
        <f>IF((AND(VLOOKUP(CH$1,main!$A$3:$H$102,5,FALSE)-VLOOKUP($A6,main!$A$3:$H$102,6,FALSE)&gt;=(VLOOKUP(VLOOKUP(CH$1,main!$A$3:$H$102,8,FALSE),main!$K$26:$M$29,2,FALSE)+VLOOKUP(VLOOKUP(CH$1,main!$A$3:$H$102,7,FALSE),main!$K$19:$O$22,MATCH(VLOOKUP($A6,main!$A$3:$H$102,8,FALSE),main!$K$18:$O$18,0))))),1,0)</f>
        <v>1</v>
      </c>
      <c r="CI6">
        <f>IF((AND(VLOOKUP(CI$1,main!$A$3:$H$102,5,FALSE)-VLOOKUP($A6,main!$A$3:$H$102,6,FALSE)&gt;=(VLOOKUP(VLOOKUP(CI$1,main!$A$3:$H$102,8,FALSE),main!$K$26:$M$29,2,FALSE)+VLOOKUP(VLOOKUP(CI$1,main!$A$3:$H$102,7,FALSE),main!$K$19:$O$22,MATCH(VLOOKUP($A6,main!$A$3:$H$102,8,FALSE),main!$K$18:$O$18,0))))),1,0)</f>
        <v>1</v>
      </c>
      <c r="CJ6">
        <f>IF((AND(VLOOKUP(CJ$1,main!$A$3:$H$102,5,FALSE)-VLOOKUP($A6,main!$A$3:$H$102,6,FALSE)&gt;=(VLOOKUP(VLOOKUP(CJ$1,main!$A$3:$H$102,8,FALSE),main!$K$26:$M$29,2,FALSE)+VLOOKUP(VLOOKUP(CJ$1,main!$A$3:$H$102,7,FALSE),main!$K$19:$O$22,MATCH(VLOOKUP($A6,main!$A$3:$H$102,8,FALSE),main!$K$18:$O$18,0))))),1,0)</f>
        <v>0</v>
      </c>
      <c r="CK6">
        <f>IF((AND(VLOOKUP(CK$1,main!$A$3:$H$102,5,FALSE)-VLOOKUP($A6,main!$A$3:$H$102,6,FALSE)&gt;=(VLOOKUP(VLOOKUP(CK$1,main!$A$3:$H$102,8,FALSE),main!$K$26:$M$29,2,FALSE)+VLOOKUP(VLOOKUP(CK$1,main!$A$3:$H$102,7,FALSE),main!$K$19:$O$22,MATCH(VLOOKUP($A6,main!$A$3:$H$102,8,FALSE),main!$K$18:$O$18,0))))),1,0)</f>
        <v>0</v>
      </c>
      <c r="CL6">
        <f>IF((AND(VLOOKUP(CL$1,main!$A$3:$H$102,5,FALSE)-VLOOKUP($A6,main!$A$3:$H$102,6,FALSE)&gt;=(VLOOKUP(VLOOKUP(CL$1,main!$A$3:$H$102,8,FALSE),main!$K$26:$M$29,2,FALSE)+VLOOKUP(VLOOKUP(CL$1,main!$A$3:$H$102,7,FALSE),main!$K$19:$O$22,MATCH(VLOOKUP($A6,main!$A$3:$H$102,8,FALSE),main!$K$18:$O$18,0))))),1,0)</f>
        <v>0</v>
      </c>
      <c r="CM6">
        <f>IF((AND(VLOOKUP(CM$1,main!$A$3:$H$102,5,FALSE)-VLOOKUP($A6,main!$A$3:$H$102,6,FALSE)&gt;=(VLOOKUP(VLOOKUP(CM$1,main!$A$3:$H$102,8,FALSE),main!$K$26:$M$29,2,FALSE)+VLOOKUP(VLOOKUP(CM$1,main!$A$3:$H$102,7,FALSE),main!$K$19:$O$22,MATCH(VLOOKUP($A6,main!$A$3:$H$102,8,FALSE),main!$K$18:$O$18,0))))),1,0)</f>
        <v>1</v>
      </c>
      <c r="CN6">
        <f>IF((AND(VLOOKUP(CN$1,main!$A$3:$H$102,5,FALSE)-VLOOKUP($A6,main!$A$3:$H$102,6,FALSE)&gt;=(VLOOKUP(VLOOKUP(CN$1,main!$A$3:$H$102,8,FALSE),main!$K$26:$M$29,2,FALSE)+VLOOKUP(VLOOKUP(CN$1,main!$A$3:$H$102,7,FALSE),main!$K$19:$O$22,MATCH(VLOOKUP($A6,main!$A$3:$H$102,8,FALSE),main!$K$18:$O$18,0))))),1,0)</f>
        <v>1</v>
      </c>
      <c r="CO6">
        <f>IF((AND(VLOOKUP(CO$1,main!$A$3:$H$102,5,FALSE)-VLOOKUP($A6,main!$A$3:$H$102,6,FALSE)&gt;=(VLOOKUP(VLOOKUP(CO$1,main!$A$3:$H$102,8,FALSE),main!$K$26:$M$29,2,FALSE)+VLOOKUP(VLOOKUP(CO$1,main!$A$3:$H$102,7,FALSE),main!$K$19:$O$22,MATCH(VLOOKUP($A6,main!$A$3:$H$102,8,FALSE),main!$K$18:$O$18,0))))),1,0)</f>
        <v>0</v>
      </c>
      <c r="CP6">
        <f>IF((AND(VLOOKUP(CP$1,main!$A$3:$H$102,5,FALSE)-VLOOKUP($A6,main!$A$3:$H$102,6,FALSE)&gt;=(VLOOKUP(VLOOKUP(CP$1,main!$A$3:$H$102,8,FALSE),main!$K$26:$M$29,2,FALSE)+VLOOKUP(VLOOKUP(CP$1,main!$A$3:$H$102,7,FALSE),main!$K$19:$O$22,MATCH(VLOOKUP($A6,main!$A$3:$H$102,8,FALSE),main!$K$18:$O$18,0))))),1,0)</f>
        <v>0</v>
      </c>
      <c r="CQ6">
        <f>IF((AND(VLOOKUP(CQ$1,main!$A$3:$H$102,5,FALSE)-VLOOKUP($A6,main!$A$3:$H$102,6,FALSE)&gt;=(VLOOKUP(VLOOKUP(CQ$1,main!$A$3:$H$102,8,FALSE),main!$K$26:$M$29,2,FALSE)+VLOOKUP(VLOOKUP(CQ$1,main!$A$3:$H$102,7,FALSE),main!$K$19:$O$22,MATCH(VLOOKUP($A6,main!$A$3:$H$102,8,FALSE),main!$K$18:$O$18,0))))),1,0)</f>
        <v>0</v>
      </c>
      <c r="CR6">
        <f>IF((AND(VLOOKUP(CR$1,main!$A$3:$H$102,5,FALSE)-VLOOKUP($A6,main!$A$3:$H$102,6,FALSE)&gt;=(VLOOKUP(VLOOKUP(CR$1,main!$A$3:$H$102,8,FALSE),main!$K$26:$M$29,2,FALSE)+VLOOKUP(VLOOKUP(CR$1,main!$A$3:$H$102,7,FALSE),main!$K$19:$O$22,MATCH(VLOOKUP($A6,main!$A$3:$H$102,8,FALSE),main!$K$18:$O$18,0))))),1,0)</f>
        <v>1</v>
      </c>
      <c r="CS6">
        <f>IF((AND(VLOOKUP(CS$1,main!$A$3:$H$102,5,FALSE)-VLOOKUP($A6,main!$A$3:$H$102,6,FALSE)&gt;=(VLOOKUP(VLOOKUP(CS$1,main!$A$3:$H$102,8,FALSE),main!$K$26:$M$29,2,FALSE)+VLOOKUP(VLOOKUP(CS$1,main!$A$3:$H$102,7,FALSE),main!$K$19:$O$22,MATCH(VLOOKUP($A6,main!$A$3:$H$102,8,FALSE),main!$K$18:$O$18,0))))),1,0)</f>
        <v>1</v>
      </c>
      <c r="CT6">
        <f>IF((AND(VLOOKUP(CT$1,main!$A$3:$H$102,5,FALSE)-VLOOKUP($A6,main!$A$3:$H$102,6,FALSE)&gt;=(VLOOKUP(VLOOKUP(CT$1,main!$A$3:$H$102,8,FALSE),main!$K$26:$M$29,2,FALSE)+VLOOKUP(VLOOKUP(CT$1,main!$A$3:$H$102,7,FALSE),main!$K$19:$O$22,MATCH(VLOOKUP($A6,main!$A$3:$H$102,8,FALSE),main!$K$18:$O$18,0))))),1,0)</f>
        <v>0</v>
      </c>
      <c r="CU6">
        <f>IF((AND(VLOOKUP(CU$1,main!$A$3:$H$102,5,FALSE)-VLOOKUP($A6,main!$A$3:$H$102,6,FALSE)&gt;=(VLOOKUP(VLOOKUP(CU$1,main!$A$3:$H$102,8,FALSE),main!$K$26:$M$29,2,FALSE)+VLOOKUP(VLOOKUP(CU$1,main!$A$3:$H$102,7,FALSE),main!$K$19:$O$22,MATCH(VLOOKUP($A6,main!$A$3:$H$102,8,FALSE),main!$K$18:$O$18,0))))),1,0)</f>
        <v>0</v>
      </c>
      <c r="CV6">
        <f>IF((AND(VLOOKUP(CV$1,main!$A$3:$H$102,5,FALSE)-VLOOKUP($A6,main!$A$3:$H$102,6,FALSE)&gt;=(VLOOKUP(VLOOKUP(CV$1,main!$A$3:$H$102,8,FALSE),main!$K$26:$M$29,2,FALSE)+VLOOKUP(VLOOKUP(CV$1,main!$A$3:$H$102,7,FALSE),main!$K$19:$O$22,MATCH(VLOOKUP($A6,main!$A$3:$H$102,8,FALSE),main!$K$18:$O$18,0))))),1,0)</f>
        <v>0</v>
      </c>
      <c r="CW6">
        <f>IF((AND(VLOOKUP(CW$1,main!$A$3:$H$102,5,FALSE)-VLOOKUP($A6,main!$A$3:$H$102,6,FALSE)&gt;=(VLOOKUP(VLOOKUP(CW$1,main!$A$3:$H$102,8,FALSE),main!$K$26:$M$29,2,FALSE)+VLOOKUP(VLOOKUP(CW$1,main!$A$3:$H$102,7,FALSE),main!$K$19:$O$22,MATCH(VLOOKUP($A6,main!$A$3:$H$102,8,FALSE),main!$K$18:$O$18,0))))),1,0)</f>
        <v>1</v>
      </c>
      <c r="CX6">
        <f>IF((AND(VLOOKUP(CX$1,main!$A$3:$H$102,5,FALSE)-VLOOKUP($A6,main!$A$3:$H$102,6,FALSE)&gt;=(VLOOKUP(VLOOKUP(CX$1,main!$A$3:$H$102,8,FALSE),main!$K$26:$M$29,2,FALSE)+VLOOKUP(VLOOKUP(CX$1,main!$A$3:$H$102,7,FALSE),main!$K$19:$O$22,MATCH(VLOOKUP($A6,main!$A$3:$H$102,8,FALSE),main!$K$18:$O$18,0))))),1,0)</f>
        <v>1</v>
      </c>
    </row>
    <row r="7" spans="1:102" x14ac:dyDescent="0.25">
      <c r="A7" s="1">
        <v>5</v>
      </c>
      <c r="B7">
        <v>1</v>
      </c>
      <c r="C7">
        <f>IF((AND(VLOOKUP(C$1,main!$A$3:$H$102,5,FALSE)-VLOOKUP($A7,main!$A$3:$H$102,6,FALSE)&gt;=(VLOOKUP(VLOOKUP(C$1,main!$A$3:$H$102,8,FALSE),main!$K$26:$M$29,2,FALSE)+VLOOKUP(VLOOKUP(C$1,main!$A$3:$H$102,7,FALSE),main!$K$19:$O$22,MATCH(VLOOKUP($A7,main!$A$3:$H$102,8,FALSE),main!$K$18:$O$18,0))))),1,0)</f>
        <v>0</v>
      </c>
      <c r="D7">
        <f>IF((AND(VLOOKUP(D$1,main!$A$3:$H$102,5,FALSE)-VLOOKUP($A7,main!$A$3:$H$102,6,FALSE)&gt;=(VLOOKUP(VLOOKUP(D$1,main!$A$3:$H$102,8,FALSE),main!$K$26:$M$29,2,FALSE)+VLOOKUP(VLOOKUP(D$1,main!$A$3:$H$102,7,FALSE),main!$K$19:$O$22,MATCH(VLOOKUP($A7,main!$A$3:$H$102,8,FALSE),main!$K$18:$O$18,0))))),1,0)</f>
        <v>0</v>
      </c>
      <c r="E7">
        <f>IF((AND(VLOOKUP(E$1,main!$A$3:$H$102,5,FALSE)-VLOOKUP($A7,main!$A$3:$H$102,6,FALSE)&gt;=(VLOOKUP(VLOOKUP(E$1,main!$A$3:$H$102,8,FALSE),main!$K$26:$M$29,2,FALSE)+VLOOKUP(VLOOKUP(E$1,main!$A$3:$H$102,7,FALSE),main!$K$19:$O$22,MATCH(VLOOKUP($A7,main!$A$3:$H$102,8,FALSE),main!$K$18:$O$18,0))))),1,0)</f>
        <v>0</v>
      </c>
      <c r="F7">
        <f>IF((AND(VLOOKUP(F$1,main!$A$3:$H$102,5,FALSE)-VLOOKUP($A7,main!$A$3:$H$102,6,FALSE)&gt;=(VLOOKUP(VLOOKUP(F$1,main!$A$3:$H$102,8,FALSE),main!$K$26:$M$29,2,FALSE)+VLOOKUP(VLOOKUP(F$1,main!$A$3:$H$102,7,FALSE),main!$K$19:$O$22,MATCH(VLOOKUP($A7,main!$A$3:$H$102,8,FALSE),main!$K$18:$O$18,0))))),1,0)</f>
        <v>0</v>
      </c>
      <c r="G7">
        <f>IF((AND(VLOOKUP(G$1,main!$A$3:$H$102,5,FALSE)-VLOOKUP($A7,main!$A$3:$H$102,6,FALSE)&gt;=(VLOOKUP(VLOOKUP(G$1,main!$A$3:$H$102,8,FALSE),main!$K$26:$M$29,2,FALSE)+VLOOKUP(VLOOKUP(G$1,main!$A$3:$H$102,7,FALSE),main!$K$19:$O$22,MATCH(VLOOKUP($A7,main!$A$3:$H$102,8,FALSE),main!$K$18:$O$18,0))))),1,0)</f>
        <v>0</v>
      </c>
      <c r="H7">
        <f>IF((AND(VLOOKUP(H$1,main!$A$3:$H$102,5,FALSE)-VLOOKUP($A7,main!$A$3:$H$102,6,FALSE)&gt;=(VLOOKUP(VLOOKUP(H$1,main!$A$3:$H$102,8,FALSE),main!$K$26:$M$29,2,FALSE)+VLOOKUP(VLOOKUP(H$1,main!$A$3:$H$102,7,FALSE),main!$K$19:$O$22,MATCH(VLOOKUP($A7,main!$A$3:$H$102,8,FALSE),main!$K$18:$O$18,0))))),1,0)</f>
        <v>0</v>
      </c>
      <c r="I7">
        <f>IF((AND(VLOOKUP(I$1,main!$A$3:$H$102,5,FALSE)-VLOOKUP($A7,main!$A$3:$H$102,6,FALSE)&gt;=(VLOOKUP(VLOOKUP(I$1,main!$A$3:$H$102,8,FALSE),main!$K$26:$M$29,2,FALSE)+VLOOKUP(VLOOKUP(I$1,main!$A$3:$H$102,7,FALSE),main!$K$19:$O$22,MATCH(VLOOKUP($A7,main!$A$3:$H$102,8,FALSE),main!$K$18:$O$18,0))))),1,0)</f>
        <v>0</v>
      </c>
      <c r="J7">
        <f>IF((AND(VLOOKUP(J$1,main!$A$3:$H$102,5,FALSE)-VLOOKUP($A7,main!$A$3:$H$102,6,FALSE)&gt;=(VLOOKUP(VLOOKUP(J$1,main!$A$3:$H$102,8,FALSE),main!$K$26:$M$29,2,FALSE)+VLOOKUP(VLOOKUP(J$1,main!$A$3:$H$102,7,FALSE),main!$K$19:$O$22,MATCH(VLOOKUP($A7,main!$A$3:$H$102,8,FALSE),main!$K$18:$O$18,0))))),1,0)</f>
        <v>1</v>
      </c>
      <c r="K7">
        <f>IF((AND(VLOOKUP(K$1,main!$A$3:$H$102,5,FALSE)-VLOOKUP($A7,main!$A$3:$H$102,6,FALSE)&gt;=(VLOOKUP(VLOOKUP(K$1,main!$A$3:$H$102,8,FALSE),main!$K$26:$M$29,2,FALSE)+VLOOKUP(VLOOKUP(K$1,main!$A$3:$H$102,7,FALSE),main!$K$19:$O$22,MATCH(VLOOKUP($A7,main!$A$3:$H$102,8,FALSE),main!$K$18:$O$18,0))))),1,0)</f>
        <v>1</v>
      </c>
      <c r="L7">
        <f>IF((AND(VLOOKUP(L$1,main!$A$3:$H$102,5,FALSE)-VLOOKUP($A7,main!$A$3:$H$102,6,FALSE)&gt;=(VLOOKUP(VLOOKUP(L$1,main!$A$3:$H$102,8,FALSE),main!$K$26:$M$29,2,FALSE)+VLOOKUP(VLOOKUP(L$1,main!$A$3:$H$102,7,FALSE),main!$K$19:$O$22,MATCH(VLOOKUP($A7,main!$A$3:$H$102,8,FALSE),main!$K$18:$O$18,0))))),1,0)</f>
        <v>1</v>
      </c>
      <c r="M7">
        <f>IF((AND(VLOOKUP(M$1,main!$A$3:$H$102,5,FALSE)-VLOOKUP($A7,main!$A$3:$H$102,6,FALSE)&gt;=(VLOOKUP(VLOOKUP(M$1,main!$A$3:$H$102,8,FALSE),main!$K$26:$M$29,2,FALSE)+VLOOKUP(VLOOKUP(M$1,main!$A$3:$H$102,7,FALSE),main!$K$19:$O$22,MATCH(VLOOKUP($A7,main!$A$3:$H$102,8,FALSE),main!$K$18:$O$18,0))))),1,0)</f>
        <v>0</v>
      </c>
      <c r="N7">
        <f>IF((AND(VLOOKUP(N$1,main!$A$3:$H$102,5,FALSE)-VLOOKUP($A7,main!$A$3:$H$102,6,FALSE)&gt;=(VLOOKUP(VLOOKUP(N$1,main!$A$3:$H$102,8,FALSE),main!$K$26:$M$29,2,FALSE)+VLOOKUP(VLOOKUP(N$1,main!$A$3:$H$102,7,FALSE),main!$K$19:$O$22,MATCH(VLOOKUP($A7,main!$A$3:$H$102,8,FALSE),main!$K$18:$O$18,0))))),1,0)</f>
        <v>0</v>
      </c>
      <c r="O7">
        <f>IF((AND(VLOOKUP(O$1,main!$A$3:$H$102,5,FALSE)-VLOOKUP($A7,main!$A$3:$H$102,6,FALSE)&gt;=(VLOOKUP(VLOOKUP(O$1,main!$A$3:$H$102,8,FALSE),main!$K$26:$M$29,2,FALSE)+VLOOKUP(VLOOKUP(O$1,main!$A$3:$H$102,7,FALSE),main!$K$19:$O$22,MATCH(VLOOKUP($A7,main!$A$3:$H$102,8,FALSE),main!$K$18:$O$18,0))))),1,0)</f>
        <v>0</v>
      </c>
      <c r="P7">
        <f>IF((AND(VLOOKUP(P$1,main!$A$3:$H$102,5,FALSE)-VLOOKUP($A7,main!$A$3:$H$102,6,FALSE)&gt;=(VLOOKUP(VLOOKUP(P$1,main!$A$3:$H$102,8,FALSE),main!$K$26:$M$29,2,FALSE)+VLOOKUP(VLOOKUP(P$1,main!$A$3:$H$102,7,FALSE),main!$K$19:$O$22,MATCH(VLOOKUP($A7,main!$A$3:$H$102,8,FALSE),main!$K$18:$O$18,0))))),1,0)</f>
        <v>0</v>
      </c>
      <c r="Q7">
        <f>IF((AND(VLOOKUP(Q$1,main!$A$3:$H$102,5,FALSE)-VLOOKUP($A7,main!$A$3:$H$102,6,FALSE)&gt;=(VLOOKUP(VLOOKUP(Q$1,main!$A$3:$H$102,8,FALSE),main!$K$26:$M$29,2,FALSE)+VLOOKUP(VLOOKUP(Q$1,main!$A$3:$H$102,7,FALSE),main!$K$19:$O$22,MATCH(VLOOKUP($A7,main!$A$3:$H$102,8,FALSE),main!$K$18:$O$18,0))))),1,0)</f>
        <v>0</v>
      </c>
      <c r="R7">
        <f>IF((AND(VLOOKUP(R$1,main!$A$3:$H$102,5,FALSE)-VLOOKUP($A7,main!$A$3:$H$102,6,FALSE)&gt;=(VLOOKUP(VLOOKUP(R$1,main!$A$3:$H$102,8,FALSE),main!$K$26:$M$29,2,FALSE)+VLOOKUP(VLOOKUP(R$1,main!$A$3:$H$102,7,FALSE),main!$K$19:$O$22,MATCH(VLOOKUP($A7,main!$A$3:$H$102,8,FALSE),main!$K$18:$O$18,0))))),1,0)</f>
        <v>0</v>
      </c>
      <c r="S7">
        <f>IF((AND(VLOOKUP(S$1,main!$A$3:$H$102,5,FALSE)-VLOOKUP($A7,main!$A$3:$H$102,6,FALSE)&gt;=(VLOOKUP(VLOOKUP(S$1,main!$A$3:$H$102,8,FALSE),main!$K$26:$M$29,2,FALSE)+VLOOKUP(VLOOKUP(S$1,main!$A$3:$H$102,7,FALSE),main!$K$19:$O$22,MATCH(VLOOKUP($A7,main!$A$3:$H$102,8,FALSE),main!$K$18:$O$18,0))))),1,0)</f>
        <v>0</v>
      </c>
      <c r="T7">
        <f>IF((AND(VLOOKUP(T$1,main!$A$3:$H$102,5,FALSE)-VLOOKUP($A7,main!$A$3:$H$102,6,FALSE)&gt;=(VLOOKUP(VLOOKUP(T$1,main!$A$3:$H$102,8,FALSE),main!$K$26:$M$29,2,FALSE)+VLOOKUP(VLOOKUP(T$1,main!$A$3:$H$102,7,FALSE),main!$K$19:$O$22,MATCH(VLOOKUP($A7,main!$A$3:$H$102,8,FALSE),main!$K$18:$O$18,0))))),1,0)</f>
        <v>0</v>
      </c>
      <c r="U7">
        <f>IF((AND(VLOOKUP(U$1,main!$A$3:$H$102,5,FALSE)-VLOOKUP($A7,main!$A$3:$H$102,6,FALSE)&gt;=(VLOOKUP(VLOOKUP(U$1,main!$A$3:$H$102,8,FALSE),main!$K$26:$M$29,2,FALSE)+VLOOKUP(VLOOKUP(U$1,main!$A$3:$H$102,7,FALSE),main!$K$19:$O$22,MATCH(VLOOKUP($A7,main!$A$3:$H$102,8,FALSE),main!$K$18:$O$18,0))))),1,0)</f>
        <v>1</v>
      </c>
      <c r="V7">
        <f>IF((AND(VLOOKUP(V$1,main!$A$3:$H$102,5,FALSE)-VLOOKUP($A7,main!$A$3:$H$102,6,FALSE)&gt;=(VLOOKUP(VLOOKUP(V$1,main!$A$3:$H$102,8,FALSE),main!$K$26:$M$29,2,FALSE)+VLOOKUP(VLOOKUP(V$1,main!$A$3:$H$102,7,FALSE),main!$K$19:$O$22,MATCH(VLOOKUP($A7,main!$A$3:$H$102,8,FALSE),main!$K$18:$O$18,0))))),1,0)</f>
        <v>1</v>
      </c>
      <c r="W7">
        <f>IF((AND(VLOOKUP(W$1,main!$A$3:$H$102,5,FALSE)-VLOOKUP($A7,main!$A$3:$H$102,6,FALSE)&gt;=(VLOOKUP(VLOOKUP(W$1,main!$A$3:$H$102,8,FALSE),main!$K$26:$M$29,2,FALSE)+VLOOKUP(VLOOKUP(W$1,main!$A$3:$H$102,7,FALSE),main!$K$19:$O$22,MATCH(VLOOKUP($A7,main!$A$3:$H$102,8,FALSE),main!$K$18:$O$18,0))))),1,0)</f>
        <v>0</v>
      </c>
      <c r="X7">
        <f>IF((AND(VLOOKUP(X$1,main!$A$3:$H$102,5,FALSE)-VLOOKUP($A7,main!$A$3:$H$102,6,FALSE)&gt;=(VLOOKUP(VLOOKUP(X$1,main!$A$3:$H$102,8,FALSE),main!$K$26:$M$29,2,FALSE)+VLOOKUP(VLOOKUP(X$1,main!$A$3:$H$102,7,FALSE),main!$K$19:$O$22,MATCH(VLOOKUP($A7,main!$A$3:$H$102,8,FALSE),main!$K$18:$O$18,0))))),1,0)</f>
        <v>0</v>
      </c>
      <c r="Y7">
        <f>IF((AND(VLOOKUP(Y$1,main!$A$3:$H$102,5,FALSE)-VLOOKUP($A7,main!$A$3:$H$102,6,FALSE)&gt;=(VLOOKUP(VLOOKUP(Y$1,main!$A$3:$H$102,8,FALSE),main!$K$26:$M$29,2,FALSE)+VLOOKUP(VLOOKUP(Y$1,main!$A$3:$H$102,7,FALSE),main!$K$19:$O$22,MATCH(VLOOKUP($A7,main!$A$3:$H$102,8,FALSE),main!$K$18:$O$18,0))))),1,0)</f>
        <v>0</v>
      </c>
      <c r="Z7">
        <f>IF((AND(VLOOKUP(Z$1,main!$A$3:$H$102,5,FALSE)-VLOOKUP($A7,main!$A$3:$H$102,6,FALSE)&gt;=(VLOOKUP(VLOOKUP(Z$1,main!$A$3:$H$102,8,FALSE),main!$K$26:$M$29,2,FALSE)+VLOOKUP(VLOOKUP(Z$1,main!$A$3:$H$102,7,FALSE),main!$K$19:$O$22,MATCH(VLOOKUP($A7,main!$A$3:$H$102,8,FALSE),main!$K$18:$O$18,0))))),1,0)</f>
        <v>0</v>
      </c>
      <c r="AA7">
        <f>IF((AND(VLOOKUP(AA$1,main!$A$3:$H$102,5,FALSE)-VLOOKUP($A7,main!$A$3:$H$102,6,FALSE)&gt;=(VLOOKUP(VLOOKUP(AA$1,main!$A$3:$H$102,8,FALSE),main!$K$26:$M$29,2,FALSE)+VLOOKUP(VLOOKUP(AA$1,main!$A$3:$H$102,7,FALSE),main!$K$19:$O$22,MATCH(VLOOKUP($A7,main!$A$3:$H$102,8,FALSE),main!$K$18:$O$18,0))))),1,0)</f>
        <v>1</v>
      </c>
      <c r="AB7">
        <f>IF((AND(VLOOKUP(AB$1,main!$A$3:$H$102,5,FALSE)-VLOOKUP($A7,main!$A$3:$H$102,6,FALSE)&gt;=(VLOOKUP(VLOOKUP(AB$1,main!$A$3:$H$102,8,FALSE),main!$K$26:$M$29,2,FALSE)+VLOOKUP(VLOOKUP(AB$1,main!$A$3:$H$102,7,FALSE),main!$K$19:$O$22,MATCH(VLOOKUP($A7,main!$A$3:$H$102,8,FALSE),main!$K$18:$O$18,0))))),1,0)</f>
        <v>0</v>
      </c>
      <c r="AC7">
        <f>IF((AND(VLOOKUP(AC$1,main!$A$3:$H$102,5,FALSE)-VLOOKUP($A7,main!$A$3:$H$102,6,FALSE)&gt;=(VLOOKUP(VLOOKUP(AC$1,main!$A$3:$H$102,8,FALSE),main!$K$26:$M$29,2,FALSE)+VLOOKUP(VLOOKUP(AC$1,main!$A$3:$H$102,7,FALSE),main!$K$19:$O$22,MATCH(VLOOKUP($A7,main!$A$3:$H$102,8,FALSE),main!$K$18:$O$18,0))))),1,0)</f>
        <v>0</v>
      </c>
      <c r="AD7">
        <f>IF((AND(VLOOKUP(AD$1,main!$A$3:$H$102,5,FALSE)-VLOOKUP($A7,main!$A$3:$H$102,6,FALSE)&gt;=(VLOOKUP(VLOOKUP(AD$1,main!$A$3:$H$102,8,FALSE),main!$K$26:$M$29,2,FALSE)+VLOOKUP(VLOOKUP(AD$1,main!$A$3:$H$102,7,FALSE),main!$K$19:$O$22,MATCH(VLOOKUP($A7,main!$A$3:$H$102,8,FALSE),main!$K$18:$O$18,0))))),1,0)</f>
        <v>0</v>
      </c>
      <c r="AE7">
        <f>IF((AND(VLOOKUP(AE$1,main!$A$3:$H$102,5,FALSE)-VLOOKUP($A7,main!$A$3:$H$102,6,FALSE)&gt;=(VLOOKUP(VLOOKUP(AE$1,main!$A$3:$H$102,8,FALSE),main!$K$26:$M$29,2,FALSE)+VLOOKUP(VLOOKUP(AE$1,main!$A$3:$H$102,7,FALSE),main!$K$19:$O$22,MATCH(VLOOKUP($A7,main!$A$3:$H$102,8,FALSE),main!$K$18:$O$18,0))))),1,0)</f>
        <v>0</v>
      </c>
      <c r="AF7">
        <f>IF((AND(VLOOKUP(AF$1,main!$A$3:$H$102,5,FALSE)-VLOOKUP($A7,main!$A$3:$H$102,6,FALSE)&gt;=(VLOOKUP(VLOOKUP(AF$1,main!$A$3:$H$102,8,FALSE),main!$K$26:$M$29,2,FALSE)+VLOOKUP(VLOOKUP(AF$1,main!$A$3:$H$102,7,FALSE),main!$K$19:$O$22,MATCH(VLOOKUP($A7,main!$A$3:$H$102,8,FALSE),main!$K$18:$O$18,0))))),1,0)</f>
        <v>1</v>
      </c>
      <c r="AG7">
        <f>IF((AND(VLOOKUP(AG$1,main!$A$3:$H$102,5,FALSE)-VLOOKUP($A7,main!$A$3:$H$102,6,FALSE)&gt;=(VLOOKUP(VLOOKUP(AG$1,main!$A$3:$H$102,8,FALSE),main!$K$26:$M$29,2,FALSE)+VLOOKUP(VLOOKUP(AG$1,main!$A$3:$H$102,7,FALSE),main!$K$19:$O$22,MATCH(VLOOKUP($A7,main!$A$3:$H$102,8,FALSE),main!$K$18:$O$18,0))))),1,0)</f>
        <v>0</v>
      </c>
      <c r="AH7">
        <f>IF((AND(VLOOKUP(AH$1,main!$A$3:$H$102,5,FALSE)-VLOOKUP($A7,main!$A$3:$H$102,6,FALSE)&gt;=(VLOOKUP(VLOOKUP(AH$1,main!$A$3:$H$102,8,FALSE),main!$K$26:$M$29,2,FALSE)+VLOOKUP(VLOOKUP(AH$1,main!$A$3:$H$102,7,FALSE),main!$K$19:$O$22,MATCH(VLOOKUP($A7,main!$A$3:$H$102,8,FALSE),main!$K$18:$O$18,0))))),1,0)</f>
        <v>0</v>
      </c>
      <c r="AI7">
        <f>IF((AND(VLOOKUP(AI$1,main!$A$3:$H$102,5,FALSE)-VLOOKUP($A7,main!$A$3:$H$102,6,FALSE)&gt;=(VLOOKUP(VLOOKUP(AI$1,main!$A$3:$H$102,8,FALSE),main!$K$26:$M$29,2,FALSE)+VLOOKUP(VLOOKUP(AI$1,main!$A$3:$H$102,7,FALSE),main!$K$19:$O$22,MATCH(VLOOKUP($A7,main!$A$3:$H$102,8,FALSE),main!$K$18:$O$18,0))))),1,0)</f>
        <v>0</v>
      </c>
      <c r="AJ7">
        <f>IF((AND(VLOOKUP(AJ$1,main!$A$3:$H$102,5,FALSE)-VLOOKUP($A7,main!$A$3:$H$102,6,FALSE)&gt;=(VLOOKUP(VLOOKUP(AJ$1,main!$A$3:$H$102,8,FALSE),main!$K$26:$M$29,2,FALSE)+VLOOKUP(VLOOKUP(AJ$1,main!$A$3:$H$102,7,FALSE),main!$K$19:$O$22,MATCH(VLOOKUP($A7,main!$A$3:$H$102,8,FALSE),main!$K$18:$O$18,0))))),1,0)</f>
        <v>0</v>
      </c>
      <c r="AK7">
        <f>IF((AND(VLOOKUP(AK$1,main!$A$3:$H$102,5,FALSE)-VLOOKUP($A7,main!$A$3:$H$102,6,FALSE)&gt;=(VLOOKUP(VLOOKUP(AK$1,main!$A$3:$H$102,8,FALSE),main!$K$26:$M$29,2,FALSE)+VLOOKUP(VLOOKUP(AK$1,main!$A$3:$H$102,7,FALSE),main!$K$19:$O$22,MATCH(VLOOKUP($A7,main!$A$3:$H$102,8,FALSE),main!$K$18:$O$18,0))))),1,0)</f>
        <v>0</v>
      </c>
      <c r="AL7">
        <f>IF((AND(VLOOKUP(AL$1,main!$A$3:$H$102,5,FALSE)-VLOOKUP($A7,main!$A$3:$H$102,6,FALSE)&gt;=(VLOOKUP(VLOOKUP(AL$1,main!$A$3:$H$102,8,FALSE),main!$K$26:$M$29,2,FALSE)+VLOOKUP(VLOOKUP(AL$1,main!$A$3:$H$102,7,FALSE),main!$K$19:$O$22,MATCH(VLOOKUP($A7,main!$A$3:$H$102,8,FALSE),main!$K$18:$O$18,0))))),1,0)</f>
        <v>1</v>
      </c>
      <c r="AM7">
        <f>IF((AND(VLOOKUP(AM$1,main!$A$3:$H$102,5,FALSE)-VLOOKUP($A7,main!$A$3:$H$102,6,FALSE)&gt;=(VLOOKUP(VLOOKUP(AM$1,main!$A$3:$H$102,8,FALSE),main!$K$26:$M$29,2,FALSE)+VLOOKUP(VLOOKUP(AM$1,main!$A$3:$H$102,7,FALSE),main!$K$19:$O$22,MATCH(VLOOKUP($A7,main!$A$3:$H$102,8,FALSE),main!$K$18:$O$18,0))))),1,0)</f>
        <v>1</v>
      </c>
      <c r="AN7">
        <f>IF((AND(VLOOKUP(AN$1,main!$A$3:$H$102,5,FALSE)-VLOOKUP($A7,main!$A$3:$H$102,6,FALSE)&gt;=(VLOOKUP(VLOOKUP(AN$1,main!$A$3:$H$102,8,FALSE),main!$K$26:$M$29,2,FALSE)+VLOOKUP(VLOOKUP(AN$1,main!$A$3:$H$102,7,FALSE),main!$K$19:$O$22,MATCH(VLOOKUP($A7,main!$A$3:$H$102,8,FALSE),main!$K$18:$O$18,0))))),1,0)</f>
        <v>1</v>
      </c>
      <c r="AO7">
        <f>IF((AND(VLOOKUP(AO$1,main!$A$3:$H$102,5,FALSE)-VLOOKUP($A7,main!$A$3:$H$102,6,FALSE)&gt;=(VLOOKUP(VLOOKUP(AO$1,main!$A$3:$H$102,8,FALSE),main!$K$26:$M$29,2,FALSE)+VLOOKUP(VLOOKUP(AO$1,main!$A$3:$H$102,7,FALSE),main!$K$19:$O$22,MATCH(VLOOKUP($A7,main!$A$3:$H$102,8,FALSE),main!$K$18:$O$18,0))))),1,0)</f>
        <v>0</v>
      </c>
      <c r="AP7">
        <f>IF((AND(VLOOKUP(AP$1,main!$A$3:$H$102,5,FALSE)-VLOOKUP($A7,main!$A$3:$H$102,6,FALSE)&gt;=(VLOOKUP(VLOOKUP(AP$1,main!$A$3:$H$102,8,FALSE),main!$K$26:$M$29,2,FALSE)+VLOOKUP(VLOOKUP(AP$1,main!$A$3:$H$102,7,FALSE),main!$K$19:$O$22,MATCH(VLOOKUP($A7,main!$A$3:$H$102,8,FALSE),main!$K$18:$O$18,0))))),1,0)</f>
        <v>1</v>
      </c>
      <c r="AQ7">
        <f>IF((AND(VLOOKUP(AQ$1,main!$A$3:$H$102,5,FALSE)-VLOOKUP($A7,main!$A$3:$H$102,6,FALSE)&gt;=(VLOOKUP(VLOOKUP(AQ$1,main!$A$3:$H$102,8,FALSE),main!$K$26:$M$29,2,FALSE)+VLOOKUP(VLOOKUP(AQ$1,main!$A$3:$H$102,7,FALSE),main!$K$19:$O$22,MATCH(VLOOKUP($A7,main!$A$3:$H$102,8,FALSE),main!$K$18:$O$18,0))))),1,0)</f>
        <v>0</v>
      </c>
      <c r="AR7">
        <f>IF((AND(VLOOKUP(AR$1,main!$A$3:$H$102,5,FALSE)-VLOOKUP($A7,main!$A$3:$H$102,6,FALSE)&gt;=(VLOOKUP(VLOOKUP(AR$1,main!$A$3:$H$102,8,FALSE),main!$K$26:$M$29,2,FALSE)+VLOOKUP(VLOOKUP(AR$1,main!$A$3:$H$102,7,FALSE),main!$K$19:$O$22,MATCH(VLOOKUP($A7,main!$A$3:$H$102,8,FALSE),main!$K$18:$O$18,0))))),1,0)</f>
        <v>0</v>
      </c>
      <c r="AS7">
        <f>IF((AND(VLOOKUP(AS$1,main!$A$3:$H$102,5,FALSE)-VLOOKUP($A7,main!$A$3:$H$102,6,FALSE)&gt;=(VLOOKUP(VLOOKUP(AS$1,main!$A$3:$H$102,8,FALSE),main!$K$26:$M$29,2,FALSE)+VLOOKUP(VLOOKUP(AS$1,main!$A$3:$H$102,7,FALSE),main!$K$19:$O$22,MATCH(VLOOKUP($A7,main!$A$3:$H$102,8,FALSE),main!$K$18:$O$18,0))))),1,0)</f>
        <v>0</v>
      </c>
      <c r="AT7">
        <f>IF((AND(VLOOKUP(AT$1,main!$A$3:$H$102,5,FALSE)-VLOOKUP($A7,main!$A$3:$H$102,6,FALSE)&gt;=(VLOOKUP(VLOOKUP(AT$1,main!$A$3:$H$102,8,FALSE),main!$K$26:$M$29,2,FALSE)+VLOOKUP(VLOOKUP(AT$1,main!$A$3:$H$102,7,FALSE),main!$K$19:$O$22,MATCH(VLOOKUP($A7,main!$A$3:$H$102,8,FALSE),main!$K$18:$O$18,0))))),1,0)</f>
        <v>0</v>
      </c>
      <c r="AU7">
        <f>IF((AND(VLOOKUP(AU$1,main!$A$3:$H$102,5,FALSE)-VLOOKUP($A7,main!$A$3:$H$102,6,FALSE)&gt;=(VLOOKUP(VLOOKUP(AU$1,main!$A$3:$H$102,8,FALSE),main!$K$26:$M$29,2,FALSE)+VLOOKUP(VLOOKUP(AU$1,main!$A$3:$H$102,7,FALSE),main!$K$19:$O$22,MATCH(VLOOKUP($A7,main!$A$3:$H$102,8,FALSE),main!$K$18:$O$18,0))))),1,0)</f>
        <v>0</v>
      </c>
      <c r="AV7">
        <f>IF((AND(VLOOKUP(AV$1,main!$A$3:$H$102,5,FALSE)-VLOOKUP($A7,main!$A$3:$H$102,6,FALSE)&gt;=(VLOOKUP(VLOOKUP(AV$1,main!$A$3:$H$102,8,FALSE),main!$K$26:$M$29,2,FALSE)+VLOOKUP(VLOOKUP(AV$1,main!$A$3:$H$102,7,FALSE),main!$K$19:$O$22,MATCH(VLOOKUP($A7,main!$A$3:$H$102,8,FALSE),main!$K$18:$O$18,0))))),1,0)</f>
        <v>0</v>
      </c>
      <c r="AW7">
        <f>IF((AND(VLOOKUP(AW$1,main!$A$3:$H$102,5,FALSE)-VLOOKUP($A7,main!$A$3:$H$102,6,FALSE)&gt;=(VLOOKUP(VLOOKUP(AW$1,main!$A$3:$H$102,8,FALSE),main!$K$26:$M$29,2,FALSE)+VLOOKUP(VLOOKUP(AW$1,main!$A$3:$H$102,7,FALSE),main!$K$19:$O$22,MATCH(VLOOKUP($A7,main!$A$3:$H$102,8,FALSE),main!$K$18:$O$18,0))))),1,0)</f>
        <v>0</v>
      </c>
      <c r="AX7">
        <f>IF((AND(VLOOKUP(AX$1,main!$A$3:$H$102,5,FALSE)-VLOOKUP($A7,main!$A$3:$H$102,6,FALSE)&gt;=(VLOOKUP(VLOOKUP(AX$1,main!$A$3:$H$102,8,FALSE),main!$K$26:$M$29,2,FALSE)+VLOOKUP(VLOOKUP(AX$1,main!$A$3:$H$102,7,FALSE),main!$K$19:$O$22,MATCH(VLOOKUP($A7,main!$A$3:$H$102,8,FALSE),main!$K$18:$O$18,0))))),1,0)</f>
        <v>0</v>
      </c>
      <c r="AY7">
        <f>IF((AND(VLOOKUP(AY$1,main!$A$3:$H$102,5,FALSE)-VLOOKUP($A7,main!$A$3:$H$102,6,FALSE)&gt;=(VLOOKUP(VLOOKUP(AY$1,main!$A$3:$H$102,8,FALSE),main!$K$26:$M$29,2,FALSE)+VLOOKUP(VLOOKUP(AY$1,main!$A$3:$H$102,7,FALSE),main!$K$19:$O$22,MATCH(VLOOKUP($A7,main!$A$3:$H$102,8,FALSE),main!$K$18:$O$18,0))))),1,0)</f>
        <v>0</v>
      </c>
      <c r="AZ7">
        <f>IF((AND(VLOOKUP(AZ$1,main!$A$3:$H$102,5,FALSE)-VLOOKUP($A7,main!$A$3:$H$102,6,FALSE)&gt;=(VLOOKUP(VLOOKUP(AZ$1,main!$A$3:$H$102,8,FALSE),main!$K$26:$M$29,2,FALSE)+VLOOKUP(VLOOKUP(AZ$1,main!$A$3:$H$102,7,FALSE),main!$K$19:$O$22,MATCH(VLOOKUP($A7,main!$A$3:$H$102,8,FALSE),main!$K$18:$O$18,0))))),1,0)</f>
        <v>0</v>
      </c>
      <c r="BA7">
        <f>IF((AND(VLOOKUP(BA$1,main!$A$3:$H$102,5,FALSE)-VLOOKUP($A7,main!$A$3:$H$102,6,FALSE)&gt;=(VLOOKUP(VLOOKUP(BA$1,main!$A$3:$H$102,8,FALSE),main!$K$26:$M$29,2,FALSE)+VLOOKUP(VLOOKUP(BA$1,main!$A$3:$H$102,7,FALSE),main!$K$19:$O$22,MATCH(VLOOKUP($A7,main!$A$3:$H$102,8,FALSE),main!$K$18:$O$18,0))))),1,0)</f>
        <v>0</v>
      </c>
      <c r="BB7">
        <f>IF((AND(VLOOKUP(BB$1,main!$A$3:$H$102,5,FALSE)-VLOOKUP($A7,main!$A$3:$H$102,6,FALSE)&gt;=(VLOOKUP(VLOOKUP(BB$1,main!$A$3:$H$102,8,FALSE),main!$K$26:$M$29,2,FALSE)+VLOOKUP(VLOOKUP(BB$1,main!$A$3:$H$102,7,FALSE),main!$K$19:$O$22,MATCH(VLOOKUP($A7,main!$A$3:$H$102,8,FALSE),main!$K$18:$O$18,0))))),1,0)</f>
        <v>0</v>
      </c>
      <c r="BC7">
        <f>IF((AND(VLOOKUP(BC$1,main!$A$3:$H$102,5,FALSE)-VLOOKUP($A7,main!$A$3:$H$102,6,FALSE)&gt;=(VLOOKUP(VLOOKUP(BC$1,main!$A$3:$H$102,8,FALSE),main!$K$26:$M$29,2,FALSE)+VLOOKUP(VLOOKUP(BC$1,main!$A$3:$H$102,7,FALSE),main!$K$19:$O$22,MATCH(VLOOKUP($A7,main!$A$3:$H$102,8,FALSE),main!$K$18:$O$18,0))))),1,0)</f>
        <v>0</v>
      </c>
      <c r="BD7">
        <f>IF((AND(VLOOKUP(BD$1,main!$A$3:$H$102,5,FALSE)-VLOOKUP($A7,main!$A$3:$H$102,6,FALSE)&gt;=(VLOOKUP(VLOOKUP(BD$1,main!$A$3:$H$102,8,FALSE),main!$K$26:$M$29,2,FALSE)+VLOOKUP(VLOOKUP(BD$1,main!$A$3:$H$102,7,FALSE),main!$K$19:$O$22,MATCH(VLOOKUP($A7,main!$A$3:$H$102,8,FALSE),main!$K$18:$O$18,0))))),1,0)</f>
        <v>0</v>
      </c>
      <c r="BE7">
        <f>IF((AND(VLOOKUP(BE$1,main!$A$3:$H$102,5,FALSE)-VLOOKUP($A7,main!$A$3:$H$102,6,FALSE)&gt;=(VLOOKUP(VLOOKUP(BE$1,main!$A$3:$H$102,8,FALSE),main!$K$26:$M$29,2,FALSE)+VLOOKUP(VLOOKUP(BE$1,main!$A$3:$H$102,7,FALSE),main!$K$19:$O$22,MATCH(VLOOKUP($A7,main!$A$3:$H$102,8,FALSE),main!$K$18:$O$18,0))))),1,0)</f>
        <v>1</v>
      </c>
      <c r="BF7">
        <f>IF((AND(VLOOKUP(BF$1,main!$A$3:$H$102,5,FALSE)-VLOOKUP($A7,main!$A$3:$H$102,6,FALSE)&gt;=(VLOOKUP(VLOOKUP(BF$1,main!$A$3:$H$102,8,FALSE),main!$K$26:$M$29,2,FALSE)+VLOOKUP(VLOOKUP(BF$1,main!$A$3:$H$102,7,FALSE),main!$K$19:$O$22,MATCH(VLOOKUP($A7,main!$A$3:$H$102,8,FALSE),main!$K$18:$O$18,0))))),1,0)</f>
        <v>0</v>
      </c>
      <c r="BG7">
        <f>IF((AND(VLOOKUP(BG$1,main!$A$3:$H$102,5,FALSE)-VLOOKUP($A7,main!$A$3:$H$102,6,FALSE)&gt;=(VLOOKUP(VLOOKUP(BG$1,main!$A$3:$H$102,8,FALSE),main!$K$26:$M$29,2,FALSE)+VLOOKUP(VLOOKUP(BG$1,main!$A$3:$H$102,7,FALSE),main!$K$19:$O$22,MATCH(VLOOKUP($A7,main!$A$3:$H$102,8,FALSE),main!$K$18:$O$18,0))))),1,0)</f>
        <v>0</v>
      </c>
      <c r="BH7">
        <f>IF((AND(VLOOKUP(BH$1,main!$A$3:$H$102,5,FALSE)-VLOOKUP($A7,main!$A$3:$H$102,6,FALSE)&gt;=(VLOOKUP(VLOOKUP(BH$1,main!$A$3:$H$102,8,FALSE),main!$K$26:$M$29,2,FALSE)+VLOOKUP(VLOOKUP(BH$1,main!$A$3:$H$102,7,FALSE),main!$K$19:$O$22,MATCH(VLOOKUP($A7,main!$A$3:$H$102,8,FALSE),main!$K$18:$O$18,0))))),1,0)</f>
        <v>0</v>
      </c>
      <c r="BI7">
        <f>IF((AND(VLOOKUP(BI$1,main!$A$3:$H$102,5,FALSE)-VLOOKUP($A7,main!$A$3:$H$102,6,FALSE)&gt;=(VLOOKUP(VLOOKUP(BI$1,main!$A$3:$H$102,8,FALSE),main!$K$26:$M$29,2,FALSE)+VLOOKUP(VLOOKUP(BI$1,main!$A$3:$H$102,7,FALSE),main!$K$19:$O$22,MATCH(VLOOKUP($A7,main!$A$3:$H$102,8,FALSE),main!$K$18:$O$18,0))))),1,0)</f>
        <v>1</v>
      </c>
      <c r="BJ7">
        <f>IF((AND(VLOOKUP(BJ$1,main!$A$3:$H$102,5,FALSE)-VLOOKUP($A7,main!$A$3:$H$102,6,FALSE)&gt;=(VLOOKUP(VLOOKUP(BJ$1,main!$A$3:$H$102,8,FALSE),main!$K$26:$M$29,2,FALSE)+VLOOKUP(VLOOKUP(BJ$1,main!$A$3:$H$102,7,FALSE),main!$K$19:$O$22,MATCH(VLOOKUP($A7,main!$A$3:$H$102,8,FALSE),main!$K$18:$O$18,0))))),1,0)</f>
        <v>0</v>
      </c>
      <c r="BK7">
        <f>IF((AND(VLOOKUP(BK$1,main!$A$3:$H$102,5,FALSE)-VLOOKUP($A7,main!$A$3:$H$102,6,FALSE)&gt;=(VLOOKUP(VLOOKUP(BK$1,main!$A$3:$H$102,8,FALSE),main!$K$26:$M$29,2,FALSE)+VLOOKUP(VLOOKUP(BK$1,main!$A$3:$H$102,7,FALSE),main!$K$19:$O$22,MATCH(VLOOKUP($A7,main!$A$3:$H$102,8,FALSE),main!$K$18:$O$18,0))))),1,0)</f>
        <v>0</v>
      </c>
      <c r="BL7">
        <f>IF((AND(VLOOKUP(BL$1,main!$A$3:$H$102,5,FALSE)-VLOOKUP($A7,main!$A$3:$H$102,6,FALSE)&gt;=(VLOOKUP(VLOOKUP(BL$1,main!$A$3:$H$102,8,FALSE),main!$K$26:$M$29,2,FALSE)+VLOOKUP(VLOOKUP(BL$1,main!$A$3:$H$102,7,FALSE),main!$K$19:$O$22,MATCH(VLOOKUP($A7,main!$A$3:$H$102,8,FALSE),main!$K$18:$O$18,0))))),1,0)</f>
        <v>0</v>
      </c>
      <c r="BM7">
        <f>IF((AND(VLOOKUP(BM$1,main!$A$3:$H$102,5,FALSE)-VLOOKUP($A7,main!$A$3:$H$102,6,FALSE)&gt;=(VLOOKUP(VLOOKUP(BM$1,main!$A$3:$H$102,8,FALSE),main!$K$26:$M$29,2,FALSE)+VLOOKUP(VLOOKUP(BM$1,main!$A$3:$H$102,7,FALSE),main!$K$19:$O$22,MATCH(VLOOKUP($A7,main!$A$3:$H$102,8,FALSE),main!$K$18:$O$18,0))))),1,0)</f>
        <v>0</v>
      </c>
      <c r="BN7">
        <f>IF((AND(VLOOKUP(BN$1,main!$A$3:$H$102,5,FALSE)-VLOOKUP($A7,main!$A$3:$H$102,6,FALSE)&gt;=(VLOOKUP(VLOOKUP(BN$1,main!$A$3:$H$102,8,FALSE),main!$K$26:$M$29,2,FALSE)+VLOOKUP(VLOOKUP(BN$1,main!$A$3:$H$102,7,FALSE),main!$K$19:$O$22,MATCH(VLOOKUP($A7,main!$A$3:$H$102,8,FALSE),main!$K$18:$O$18,0))))),1,0)</f>
        <v>0</v>
      </c>
      <c r="BO7">
        <f>IF((AND(VLOOKUP(BO$1,main!$A$3:$H$102,5,FALSE)-VLOOKUP($A7,main!$A$3:$H$102,6,FALSE)&gt;=(VLOOKUP(VLOOKUP(BO$1,main!$A$3:$H$102,8,FALSE),main!$K$26:$M$29,2,FALSE)+VLOOKUP(VLOOKUP(BO$1,main!$A$3:$H$102,7,FALSE),main!$K$19:$O$22,MATCH(VLOOKUP($A7,main!$A$3:$H$102,8,FALSE),main!$K$18:$O$18,0))))),1,0)</f>
        <v>0</v>
      </c>
      <c r="BP7">
        <f>IF((AND(VLOOKUP(BP$1,main!$A$3:$H$102,5,FALSE)-VLOOKUP($A7,main!$A$3:$H$102,6,FALSE)&gt;=(VLOOKUP(VLOOKUP(BP$1,main!$A$3:$H$102,8,FALSE),main!$K$26:$M$29,2,FALSE)+VLOOKUP(VLOOKUP(BP$1,main!$A$3:$H$102,7,FALSE),main!$K$19:$O$22,MATCH(VLOOKUP($A7,main!$A$3:$H$102,8,FALSE),main!$K$18:$O$18,0))))),1,0)</f>
        <v>0</v>
      </c>
      <c r="BQ7">
        <f>IF((AND(VLOOKUP(BQ$1,main!$A$3:$H$102,5,FALSE)-VLOOKUP($A7,main!$A$3:$H$102,6,FALSE)&gt;=(VLOOKUP(VLOOKUP(BQ$1,main!$A$3:$H$102,8,FALSE),main!$K$26:$M$29,2,FALSE)+VLOOKUP(VLOOKUP(BQ$1,main!$A$3:$H$102,7,FALSE),main!$K$19:$O$22,MATCH(VLOOKUP($A7,main!$A$3:$H$102,8,FALSE),main!$K$18:$O$18,0))))),1,0)</f>
        <v>0</v>
      </c>
      <c r="BR7">
        <f>IF((AND(VLOOKUP(BR$1,main!$A$3:$H$102,5,FALSE)-VLOOKUP($A7,main!$A$3:$H$102,6,FALSE)&gt;=(VLOOKUP(VLOOKUP(BR$1,main!$A$3:$H$102,8,FALSE),main!$K$26:$M$29,2,FALSE)+VLOOKUP(VLOOKUP(BR$1,main!$A$3:$H$102,7,FALSE),main!$K$19:$O$22,MATCH(VLOOKUP($A7,main!$A$3:$H$102,8,FALSE),main!$K$18:$O$18,0))))),1,0)</f>
        <v>0</v>
      </c>
      <c r="BS7">
        <f>IF((AND(VLOOKUP(BS$1,main!$A$3:$H$102,5,FALSE)-VLOOKUP($A7,main!$A$3:$H$102,6,FALSE)&gt;=(VLOOKUP(VLOOKUP(BS$1,main!$A$3:$H$102,8,FALSE),main!$K$26:$M$29,2,FALSE)+VLOOKUP(VLOOKUP(BS$1,main!$A$3:$H$102,7,FALSE),main!$K$19:$O$22,MATCH(VLOOKUP($A7,main!$A$3:$H$102,8,FALSE),main!$K$18:$O$18,0))))),1,0)</f>
        <v>0</v>
      </c>
      <c r="BT7">
        <f>IF((AND(VLOOKUP(BT$1,main!$A$3:$H$102,5,FALSE)-VLOOKUP($A7,main!$A$3:$H$102,6,FALSE)&gt;=(VLOOKUP(VLOOKUP(BT$1,main!$A$3:$H$102,8,FALSE),main!$K$26:$M$29,2,FALSE)+VLOOKUP(VLOOKUP(BT$1,main!$A$3:$H$102,7,FALSE),main!$K$19:$O$22,MATCH(VLOOKUP($A7,main!$A$3:$H$102,8,FALSE),main!$K$18:$O$18,0))))),1,0)</f>
        <v>0</v>
      </c>
      <c r="BU7">
        <f>IF((AND(VLOOKUP(BU$1,main!$A$3:$H$102,5,FALSE)-VLOOKUP($A7,main!$A$3:$H$102,6,FALSE)&gt;=(VLOOKUP(VLOOKUP(BU$1,main!$A$3:$H$102,8,FALSE),main!$K$26:$M$29,2,FALSE)+VLOOKUP(VLOOKUP(BU$1,main!$A$3:$H$102,7,FALSE),main!$K$19:$O$22,MATCH(VLOOKUP($A7,main!$A$3:$H$102,8,FALSE),main!$K$18:$O$18,0))))),1,0)</f>
        <v>0</v>
      </c>
      <c r="BV7">
        <f>IF((AND(VLOOKUP(BV$1,main!$A$3:$H$102,5,FALSE)-VLOOKUP($A7,main!$A$3:$H$102,6,FALSE)&gt;=(VLOOKUP(VLOOKUP(BV$1,main!$A$3:$H$102,8,FALSE),main!$K$26:$M$29,2,FALSE)+VLOOKUP(VLOOKUP(BV$1,main!$A$3:$H$102,7,FALSE),main!$K$19:$O$22,MATCH(VLOOKUP($A7,main!$A$3:$H$102,8,FALSE),main!$K$18:$O$18,0))))),1,0)</f>
        <v>0</v>
      </c>
      <c r="BW7">
        <f>IF((AND(VLOOKUP(BW$1,main!$A$3:$H$102,5,FALSE)-VLOOKUP($A7,main!$A$3:$H$102,6,FALSE)&gt;=(VLOOKUP(VLOOKUP(BW$1,main!$A$3:$H$102,8,FALSE),main!$K$26:$M$29,2,FALSE)+VLOOKUP(VLOOKUP(BW$1,main!$A$3:$H$102,7,FALSE),main!$K$19:$O$22,MATCH(VLOOKUP($A7,main!$A$3:$H$102,8,FALSE),main!$K$18:$O$18,0))))),1,0)</f>
        <v>0</v>
      </c>
      <c r="BX7">
        <f>IF((AND(VLOOKUP(BX$1,main!$A$3:$H$102,5,FALSE)-VLOOKUP($A7,main!$A$3:$H$102,6,FALSE)&gt;=(VLOOKUP(VLOOKUP(BX$1,main!$A$3:$H$102,8,FALSE),main!$K$26:$M$29,2,FALSE)+VLOOKUP(VLOOKUP(BX$1,main!$A$3:$H$102,7,FALSE),main!$K$19:$O$22,MATCH(VLOOKUP($A7,main!$A$3:$H$102,8,FALSE),main!$K$18:$O$18,0))))),1,0)</f>
        <v>0</v>
      </c>
      <c r="BY7">
        <f>IF((AND(VLOOKUP(BY$1,main!$A$3:$H$102,5,FALSE)-VLOOKUP($A7,main!$A$3:$H$102,6,FALSE)&gt;=(VLOOKUP(VLOOKUP(BY$1,main!$A$3:$H$102,8,FALSE),main!$K$26:$M$29,2,FALSE)+VLOOKUP(VLOOKUP(BY$1,main!$A$3:$H$102,7,FALSE),main!$K$19:$O$22,MATCH(VLOOKUP($A7,main!$A$3:$H$102,8,FALSE),main!$K$18:$O$18,0))))),1,0)</f>
        <v>0</v>
      </c>
      <c r="BZ7">
        <f>IF((AND(VLOOKUP(BZ$1,main!$A$3:$H$102,5,FALSE)-VLOOKUP($A7,main!$A$3:$H$102,6,FALSE)&gt;=(VLOOKUP(VLOOKUP(BZ$1,main!$A$3:$H$102,8,FALSE),main!$K$26:$M$29,2,FALSE)+VLOOKUP(VLOOKUP(BZ$1,main!$A$3:$H$102,7,FALSE),main!$K$19:$O$22,MATCH(VLOOKUP($A7,main!$A$3:$H$102,8,FALSE),main!$K$18:$O$18,0))))),1,0)</f>
        <v>0</v>
      </c>
      <c r="CA7">
        <f>IF((AND(VLOOKUP(CA$1,main!$A$3:$H$102,5,FALSE)-VLOOKUP($A7,main!$A$3:$H$102,6,FALSE)&gt;=(VLOOKUP(VLOOKUP(CA$1,main!$A$3:$H$102,8,FALSE),main!$K$26:$M$29,2,FALSE)+VLOOKUP(VLOOKUP(CA$1,main!$A$3:$H$102,7,FALSE),main!$K$19:$O$22,MATCH(VLOOKUP($A7,main!$A$3:$H$102,8,FALSE),main!$K$18:$O$18,0))))),1,0)</f>
        <v>0</v>
      </c>
      <c r="CB7">
        <f>IF((AND(VLOOKUP(CB$1,main!$A$3:$H$102,5,FALSE)-VLOOKUP($A7,main!$A$3:$H$102,6,FALSE)&gt;=(VLOOKUP(VLOOKUP(CB$1,main!$A$3:$H$102,8,FALSE),main!$K$26:$M$29,2,FALSE)+VLOOKUP(VLOOKUP(CB$1,main!$A$3:$H$102,7,FALSE),main!$K$19:$O$22,MATCH(VLOOKUP($A7,main!$A$3:$H$102,8,FALSE),main!$K$18:$O$18,0))))),1,0)</f>
        <v>0</v>
      </c>
      <c r="CC7">
        <f>IF((AND(VLOOKUP(CC$1,main!$A$3:$H$102,5,FALSE)-VLOOKUP($A7,main!$A$3:$H$102,6,FALSE)&gt;=(VLOOKUP(VLOOKUP(CC$1,main!$A$3:$H$102,8,FALSE),main!$K$26:$M$29,2,FALSE)+VLOOKUP(VLOOKUP(CC$1,main!$A$3:$H$102,7,FALSE),main!$K$19:$O$22,MATCH(VLOOKUP($A7,main!$A$3:$H$102,8,FALSE),main!$K$18:$O$18,0))))),1,0)</f>
        <v>1</v>
      </c>
      <c r="CD7">
        <f>IF((AND(VLOOKUP(CD$1,main!$A$3:$H$102,5,FALSE)-VLOOKUP($A7,main!$A$3:$H$102,6,FALSE)&gt;=(VLOOKUP(VLOOKUP(CD$1,main!$A$3:$H$102,8,FALSE),main!$K$26:$M$29,2,FALSE)+VLOOKUP(VLOOKUP(CD$1,main!$A$3:$H$102,7,FALSE),main!$K$19:$O$22,MATCH(VLOOKUP($A7,main!$A$3:$H$102,8,FALSE),main!$K$18:$O$18,0))))),1,0)</f>
        <v>0</v>
      </c>
      <c r="CE7">
        <f>IF((AND(VLOOKUP(CE$1,main!$A$3:$H$102,5,FALSE)-VLOOKUP($A7,main!$A$3:$H$102,6,FALSE)&gt;=(VLOOKUP(VLOOKUP(CE$1,main!$A$3:$H$102,8,FALSE),main!$K$26:$M$29,2,FALSE)+VLOOKUP(VLOOKUP(CE$1,main!$A$3:$H$102,7,FALSE),main!$K$19:$O$22,MATCH(VLOOKUP($A7,main!$A$3:$H$102,8,FALSE),main!$K$18:$O$18,0))))),1,0)</f>
        <v>0</v>
      </c>
      <c r="CF7">
        <f>IF((AND(VLOOKUP(CF$1,main!$A$3:$H$102,5,FALSE)-VLOOKUP($A7,main!$A$3:$H$102,6,FALSE)&gt;=(VLOOKUP(VLOOKUP(CF$1,main!$A$3:$H$102,8,FALSE),main!$K$26:$M$29,2,FALSE)+VLOOKUP(VLOOKUP(CF$1,main!$A$3:$H$102,7,FALSE),main!$K$19:$O$22,MATCH(VLOOKUP($A7,main!$A$3:$H$102,8,FALSE),main!$K$18:$O$18,0))))),1,0)</f>
        <v>0</v>
      </c>
      <c r="CG7">
        <f>IF((AND(VLOOKUP(CG$1,main!$A$3:$H$102,5,FALSE)-VLOOKUP($A7,main!$A$3:$H$102,6,FALSE)&gt;=(VLOOKUP(VLOOKUP(CG$1,main!$A$3:$H$102,8,FALSE),main!$K$26:$M$29,2,FALSE)+VLOOKUP(VLOOKUP(CG$1,main!$A$3:$H$102,7,FALSE),main!$K$19:$O$22,MATCH(VLOOKUP($A7,main!$A$3:$H$102,8,FALSE),main!$K$18:$O$18,0))))),1,0)</f>
        <v>0</v>
      </c>
      <c r="CH7">
        <f>IF((AND(VLOOKUP(CH$1,main!$A$3:$H$102,5,FALSE)-VLOOKUP($A7,main!$A$3:$H$102,6,FALSE)&gt;=(VLOOKUP(VLOOKUP(CH$1,main!$A$3:$H$102,8,FALSE),main!$K$26:$M$29,2,FALSE)+VLOOKUP(VLOOKUP(CH$1,main!$A$3:$H$102,7,FALSE),main!$K$19:$O$22,MATCH(VLOOKUP($A7,main!$A$3:$H$102,8,FALSE),main!$K$18:$O$18,0))))),1,0)</f>
        <v>0</v>
      </c>
      <c r="CI7">
        <f>IF((AND(VLOOKUP(CI$1,main!$A$3:$H$102,5,FALSE)-VLOOKUP($A7,main!$A$3:$H$102,6,FALSE)&gt;=(VLOOKUP(VLOOKUP(CI$1,main!$A$3:$H$102,8,FALSE),main!$K$26:$M$29,2,FALSE)+VLOOKUP(VLOOKUP(CI$1,main!$A$3:$H$102,7,FALSE),main!$K$19:$O$22,MATCH(VLOOKUP($A7,main!$A$3:$H$102,8,FALSE),main!$K$18:$O$18,0))))),1,0)</f>
        <v>1</v>
      </c>
      <c r="CJ7">
        <f>IF((AND(VLOOKUP(CJ$1,main!$A$3:$H$102,5,FALSE)-VLOOKUP($A7,main!$A$3:$H$102,6,FALSE)&gt;=(VLOOKUP(VLOOKUP(CJ$1,main!$A$3:$H$102,8,FALSE),main!$K$26:$M$29,2,FALSE)+VLOOKUP(VLOOKUP(CJ$1,main!$A$3:$H$102,7,FALSE),main!$K$19:$O$22,MATCH(VLOOKUP($A7,main!$A$3:$H$102,8,FALSE),main!$K$18:$O$18,0))))),1,0)</f>
        <v>0</v>
      </c>
      <c r="CK7">
        <f>IF((AND(VLOOKUP(CK$1,main!$A$3:$H$102,5,FALSE)-VLOOKUP($A7,main!$A$3:$H$102,6,FALSE)&gt;=(VLOOKUP(VLOOKUP(CK$1,main!$A$3:$H$102,8,FALSE),main!$K$26:$M$29,2,FALSE)+VLOOKUP(VLOOKUP(CK$1,main!$A$3:$H$102,7,FALSE),main!$K$19:$O$22,MATCH(VLOOKUP($A7,main!$A$3:$H$102,8,FALSE),main!$K$18:$O$18,0))))),1,0)</f>
        <v>0</v>
      </c>
      <c r="CL7">
        <f>IF((AND(VLOOKUP(CL$1,main!$A$3:$H$102,5,FALSE)-VLOOKUP($A7,main!$A$3:$H$102,6,FALSE)&gt;=(VLOOKUP(VLOOKUP(CL$1,main!$A$3:$H$102,8,FALSE),main!$K$26:$M$29,2,FALSE)+VLOOKUP(VLOOKUP(CL$1,main!$A$3:$H$102,7,FALSE),main!$K$19:$O$22,MATCH(VLOOKUP($A7,main!$A$3:$H$102,8,FALSE),main!$K$18:$O$18,0))))),1,0)</f>
        <v>0</v>
      </c>
      <c r="CM7">
        <f>IF((AND(VLOOKUP(CM$1,main!$A$3:$H$102,5,FALSE)-VLOOKUP($A7,main!$A$3:$H$102,6,FALSE)&gt;=(VLOOKUP(VLOOKUP(CM$1,main!$A$3:$H$102,8,FALSE),main!$K$26:$M$29,2,FALSE)+VLOOKUP(VLOOKUP(CM$1,main!$A$3:$H$102,7,FALSE),main!$K$19:$O$22,MATCH(VLOOKUP($A7,main!$A$3:$H$102,8,FALSE),main!$K$18:$O$18,0))))),1,0)</f>
        <v>0</v>
      </c>
      <c r="CN7">
        <f>IF((AND(VLOOKUP(CN$1,main!$A$3:$H$102,5,FALSE)-VLOOKUP($A7,main!$A$3:$H$102,6,FALSE)&gt;=(VLOOKUP(VLOOKUP(CN$1,main!$A$3:$H$102,8,FALSE),main!$K$26:$M$29,2,FALSE)+VLOOKUP(VLOOKUP(CN$1,main!$A$3:$H$102,7,FALSE),main!$K$19:$O$22,MATCH(VLOOKUP($A7,main!$A$3:$H$102,8,FALSE),main!$K$18:$O$18,0))))),1,0)</f>
        <v>1</v>
      </c>
      <c r="CO7">
        <f>IF((AND(VLOOKUP(CO$1,main!$A$3:$H$102,5,FALSE)-VLOOKUP($A7,main!$A$3:$H$102,6,FALSE)&gt;=(VLOOKUP(VLOOKUP(CO$1,main!$A$3:$H$102,8,FALSE),main!$K$26:$M$29,2,FALSE)+VLOOKUP(VLOOKUP(CO$1,main!$A$3:$H$102,7,FALSE),main!$K$19:$O$22,MATCH(VLOOKUP($A7,main!$A$3:$H$102,8,FALSE),main!$K$18:$O$18,0))))),1,0)</f>
        <v>0</v>
      </c>
      <c r="CP7">
        <f>IF((AND(VLOOKUP(CP$1,main!$A$3:$H$102,5,FALSE)-VLOOKUP($A7,main!$A$3:$H$102,6,FALSE)&gt;=(VLOOKUP(VLOOKUP(CP$1,main!$A$3:$H$102,8,FALSE),main!$K$26:$M$29,2,FALSE)+VLOOKUP(VLOOKUP(CP$1,main!$A$3:$H$102,7,FALSE),main!$K$19:$O$22,MATCH(VLOOKUP($A7,main!$A$3:$H$102,8,FALSE),main!$K$18:$O$18,0))))),1,0)</f>
        <v>0</v>
      </c>
      <c r="CQ7">
        <f>IF((AND(VLOOKUP(CQ$1,main!$A$3:$H$102,5,FALSE)-VLOOKUP($A7,main!$A$3:$H$102,6,FALSE)&gt;=(VLOOKUP(VLOOKUP(CQ$1,main!$A$3:$H$102,8,FALSE),main!$K$26:$M$29,2,FALSE)+VLOOKUP(VLOOKUP(CQ$1,main!$A$3:$H$102,7,FALSE),main!$K$19:$O$22,MATCH(VLOOKUP($A7,main!$A$3:$H$102,8,FALSE),main!$K$18:$O$18,0))))),1,0)</f>
        <v>0</v>
      </c>
      <c r="CR7">
        <f>IF((AND(VLOOKUP(CR$1,main!$A$3:$H$102,5,FALSE)-VLOOKUP($A7,main!$A$3:$H$102,6,FALSE)&gt;=(VLOOKUP(VLOOKUP(CR$1,main!$A$3:$H$102,8,FALSE),main!$K$26:$M$29,2,FALSE)+VLOOKUP(VLOOKUP(CR$1,main!$A$3:$H$102,7,FALSE),main!$K$19:$O$22,MATCH(VLOOKUP($A7,main!$A$3:$H$102,8,FALSE),main!$K$18:$O$18,0))))),1,0)</f>
        <v>0</v>
      </c>
      <c r="CS7">
        <f>IF((AND(VLOOKUP(CS$1,main!$A$3:$H$102,5,FALSE)-VLOOKUP($A7,main!$A$3:$H$102,6,FALSE)&gt;=(VLOOKUP(VLOOKUP(CS$1,main!$A$3:$H$102,8,FALSE),main!$K$26:$M$29,2,FALSE)+VLOOKUP(VLOOKUP(CS$1,main!$A$3:$H$102,7,FALSE),main!$K$19:$O$22,MATCH(VLOOKUP($A7,main!$A$3:$H$102,8,FALSE),main!$K$18:$O$18,0))))),1,0)</f>
        <v>0</v>
      </c>
      <c r="CT7">
        <f>IF((AND(VLOOKUP(CT$1,main!$A$3:$H$102,5,FALSE)-VLOOKUP($A7,main!$A$3:$H$102,6,FALSE)&gt;=(VLOOKUP(VLOOKUP(CT$1,main!$A$3:$H$102,8,FALSE),main!$K$26:$M$29,2,FALSE)+VLOOKUP(VLOOKUP(CT$1,main!$A$3:$H$102,7,FALSE),main!$K$19:$O$22,MATCH(VLOOKUP($A7,main!$A$3:$H$102,8,FALSE),main!$K$18:$O$18,0))))),1,0)</f>
        <v>0</v>
      </c>
      <c r="CU7">
        <f>IF((AND(VLOOKUP(CU$1,main!$A$3:$H$102,5,FALSE)-VLOOKUP($A7,main!$A$3:$H$102,6,FALSE)&gt;=(VLOOKUP(VLOOKUP(CU$1,main!$A$3:$H$102,8,FALSE),main!$K$26:$M$29,2,FALSE)+VLOOKUP(VLOOKUP(CU$1,main!$A$3:$H$102,7,FALSE),main!$K$19:$O$22,MATCH(VLOOKUP($A7,main!$A$3:$H$102,8,FALSE),main!$K$18:$O$18,0))))),1,0)</f>
        <v>0</v>
      </c>
      <c r="CV7">
        <f>IF((AND(VLOOKUP(CV$1,main!$A$3:$H$102,5,FALSE)-VLOOKUP($A7,main!$A$3:$H$102,6,FALSE)&gt;=(VLOOKUP(VLOOKUP(CV$1,main!$A$3:$H$102,8,FALSE),main!$K$26:$M$29,2,FALSE)+VLOOKUP(VLOOKUP(CV$1,main!$A$3:$H$102,7,FALSE),main!$K$19:$O$22,MATCH(VLOOKUP($A7,main!$A$3:$H$102,8,FALSE),main!$K$18:$O$18,0))))),1,0)</f>
        <v>0</v>
      </c>
      <c r="CW7">
        <f>IF((AND(VLOOKUP(CW$1,main!$A$3:$H$102,5,FALSE)-VLOOKUP($A7,main!$A$3:$H$102,6,FALSE)&gt;=(VLOOKUP(VLOOKUP(CW$1,main!$A$3:$H$102,8,FALSE),main!$K$26:$M$29,2,FALSE)+VLOOKUP(VLOOKUP(CW$1,main!$A$3:$H$102,7,FALSE),main!$K$19:$O$22,MATCH(VLOOKUP($A7,main!$A$3:$H$102,8,FALSE),main!$K$18:$O$18,0))))),1,0)</f>
        <v>0</v>
      </c>
      <c r="CX7">
        <f>IF((AND(VLOOKUP(CX$1,main!$A$3:$H$102,5,FALSE)-VLOOKUP($A7,main!$A$3:$H$102,6,FALSE)&gt;=(VLOOKUP(VLOOKUP(CX$1,main!$A$3:$H$102,8,FALSE),main!$K$26:$M$29,2,FALSE)+VLOOKUP(VLOOKUP(CX$1,main!$A$3:$H$102,7,FALSE),main!$K$19:$O$22,MATCH(VLOOKUP($A7,main!$A$3:$H$102,8,FALSE),main!$K$18:$O$18,0))))),1,0)</f>
        <v>0</v>
      </c>
    </row>
    <row r="8" spans="1:102" x14ac:dyDescent="0.25">
      <c r="A8" s="1">
        <v>6</v>
      </c>
      <c r="B8">
        <v>1</v>
      </c>
      <c r="C8">
        <f>IF((AND(VLOOKUP(C$1,main!$A$3:$H$102,5,FALSE)-VLOOKUP($A8,main!$A$3:$H$102,6,FALSE)&gt;=(VLOOKUP(VLOOKUP(C$1,main!$A$3:$H$102,8,FALSE),main!$K$26:$M$29,2,FALSE)+VLOOKUP(VLOOKUP(C$1,main!$A$3:$H$102,7,FALSE),main!$K$19:$O$22,MATCH(VLOOKUP($A8,main!$A$3:$H$102,8,FALSE),main!$K$18:$O$18,0))))),1,0)</f>
        <v>0</v>
      </c>
      <c r="D8">
        <f>IF((AND(VLOOKUP(D$1,main!$A$3:$H$102,5,FALSE)-VLOOKUP($A8,main!$A$3:$H$102,6,FALSE)&gt;=(VLOOKUP(VLOOKUP(D$1,main!$A$3:$H$102,8,FALSE),main!$K$26:$M$29,2,FALSE)+VLOOKUP(VLOOKUP(D$1,main!$A$3:$H$102,7,FALSE),main!$K$19:$O$22,MATCH(VLOOKUP($A8,main!$A$3:$H$102,8,FALSE),main!$K$18:$O$18,0))))),1,0)</f>
        <v>0</v>
      </c>
      <c r="E8">
        <f>IF((AND(VLOOKUP(E$1,main!$A$3:$H$102,5,FALSE)-VLOOKUP($A8,main!$A$3:$H$102,6,FALSE)&gt;=(VLOOKUP(VLOOKUP(E$1,main!$A$3:$H$102,8,FALSE),main!$K$26:$M$29,2,FALSE)+VLOOKUP(VLOOKUP(E$1,main!$A$3:$H$102,7,FALSE),main!$K$19:$O$22,MATCH(VLOOKUP($A8,main!$A$3:$H$102,8,FALSE),main!$K$18:$O$18,0))))),1,0)</f>
        <v>0</v>
      </c>
      <c r="F8">
        <f>IF((AND(VLOOKUP(F$1,main!$A$3:$H$102,5,FALSE)-VLOOKUP($A8,main!$A$3:$H$102,6,FALSE)&gt;=(VLOOKUP(VLOOKUP(F$1,main!$A$3:$H$102,8,FALSE),main!$K$26:$M$29,2,FALSE)+VLOOKUP(VLOOKUP(F$1,main!$A$3:$H$102,7,FALSE),main!$K$19:$O$22,MATCH(VLOOKUP($A8,main!$A$3:$H$102,8,FALSE),main!$K$18:$O$18,0))))),1,0)</f>
        <v>0</v>
      </c>
      <c r="G8">
        <f>IF((AND(VLOOKUP(G$1,main!$A$3:$H$102,5,FALSE)-VLOOKUP($A8,main!$A$3:$H$102,6,FALSE)&gt;=(VLOOKUP(VLOOKUP(G$1,main!$A$3:$H$102,8,FALSE),main!$K$26:$M$29,2,FALSE)+VLOOKUP(VLOOKUP(G$1,main!$A$3:$H$102,7,FALSE),main!$K$19:$O$22,MATCH(VLOOKUP($A8,main!$A$3:$H$102,8,FALSE),main!$K$18:$O$18,0))))),1,0)</f>
        <v>0</v>
      </c>
      <c r="H8">
        <f>IF((AND(VLOOKUP(H$1,main!$A$3:$H$102,5,FALSE)-VLOOKUP($A8,main!$A$3:$H$102,6,FALSE)&gt;=(VLOOKUP(VLOOKUP(H$1,main!$A$3:$H$102,8,FALSE),main!$K$26:$M$29,2,FALSE)+VLOOKUP(VLOOKUP(H$1,main!$A$3:$H$102,7,FALSE),main!$K$19:$O$22,MATCH(VLOOKUP($A8,main!$A$3:$H$102,8,FALSE),main!$K$18:$O$18,0))))),1,0)</f>
        <v>0</v>
      </c>
      <c r="I8">
        <f>IF((AND(VLOOKUP(I$1,main!$A$3:$H$102,5,FALSE)-VLOOKUP($A8,main!$A$3:$H$102,6,FALSE)&gt;=(VLOOKUP(VLOOKUP(I$1,main!$A$3:$H$102,8,FALSE),main!$K$26:$M$29,2,FALSE)+VLOOKUP(VLOOKUP(I$1,main!$A$3:$H$102,7,FALSE),main!$K$19:$O$22,MATCH(VLOOKUP($A8,main!$A$3:$H$102,8,FALSE),main!$K$18:$O$18,0))))),1,0)</f>
        <v>0</v>
      </c>
      <c r="J8">
        <f>IF((AND(VLOOKUP(J$1,main!$A$3:$H$102,5,FALSE)-VLOOKUP($A8,main!$A$3:$H$102,6,FALSE)&gt;=(VLOOKUP(VLOOKUP(J$1,main!$A$3:$H$102,8,FALSE),main!$K$26:$M$29,2,FALSE)+VLOOKUP(VLOOKUP(J$1,main!$A$3:$H$102,7,FALSE),main!$K$19:$O$22,MATCH(VLOOKUP($A8,main!$A$3:$H$102,8,FALSE),main!$K$18:$O$18,0))))),1,0)</f>
        <v>0</v>
      </c>
      <c r="K8">
        <f>IF((AND(VLOOKUP(K$1,main!$A$3:$H$102,5,FALSE)-VLOOKUP($A8,main!$A$3:$H$102,6,FALSE)&gt;=(VLOOKUP(VLOOKUP(K$1,main!$A$3:$H$102,8,FALSE),main!$K$26:$M$29,2,FALSE)+VLOOKUP(VLOOKUP(K$1,main!$A$3:$H$102,7,FALSE),main!$K$19:$O$22,MATCH(VLOOKUP($A8,main!$A$3:$H$102,8,FALSE),main!$K$18:$O$18,0))))),1,0)</f>
        <v>1</v>
      </c>
      <c r="L8">
        <f>IF((AND(VLOOKUP(L$1,main!$A$3:$H$102,5,FALSE)-VLOOKUP($A8,main!$A$3:$H$102,6,FALSE)&gt;=(VLOOKUP(VLOOKUP(L$1,main!$A$3:$H$102,8,FALSE),main!$K$26:$M$29,2,FALSE)+VLOOKUP(VLOOKUP(L$1,main!$A$3:$H$102,7,FALSE),main!$K$19:$O$22,MATCH(VLOOKUP($A8,main!$A$3:$H$102,8,FALSE),main!$K$18:$O$18,0))))),1,0)</f>
        <v>1</v>
      </c>
      <c r="M8">
        <f>IF((AND(VLOOKUP(M$1,main!$A$3:$H$102,5,FALSE)-VLOOKUP($A8,main!$A$3:$H$102,6,FALSE)&gt;=(VLOOKUP(VLOOKUP(M$1,main!$A$3:$H$102,8,FALSE),main!$K$26:$M$29,2,FALSE)+VLOOKUP(VLOOKUP(M$1,main!$A$3:$H$102,7,FALSE),main!$K$19:$O$22,MATCH(VLOOKUP($A8,main!$A$3:$H$102,8,FALSE),main!$K$18:$O$18,0))))),1,0)</f>
        <v>0</v>
      </c>
      <c r="N8">
        <f>IF((AND(VLOOKUP(N$1,main!$A$3:$H$102,5,FALSE)-VLOOKUP($A8,main!$A$3:$H$102,6,FALSE)&gt;=(VLOOKUP(VLOOKUP(N$1,main!$A$3:$H$102,8,FALSE),main!$K$26:$M$29,2,FALSE)+VLOOKUP(VLOOKUP(N$1,main!$A$3:$H$102,7,FALSE),main!$K$19:$O$22,MATCH(VLOOKUP($A8,main!$A$3:$H$102,8,FALSE),main!$K$18:$O$18,0))))),1,0)</f>
        <v>0</v>
      </c>
      <c r="O8">
        <f>IF((AND(VLOOKUP(O$1,main!$A$3:$H$102,5,FALSE)-VLOOKUP($A8,main!$A$3:$H$102,6,FALSE)&gt;=(VLOOKUP(VLOOKUP(O$1,main!$A$3:$H$102,8,FALSE),main!$K$26:$M$29,2,FALSE)+VLOOKUP(VLOOKUP(O$1,main!$A$3:$H$102,7,FALSE),main!$K$19:$O$22,MATCH(VLOOKUP($A8,main!$A$3:$H$102,8,FALSE),main!$K$18:$O$18,0))))),1,0)</f>
        <v>0</v>
      </c>
      <c r="P8">
        <f>IF((AND(VLOOKUP(P$1,main!$A$3:$H$102,5,FALSE)-VLOOKUP($A8,main!$A$3:$H$102,6,FALSE)&gt;=(VLOOKUP(VLOOKUP(P$1,main!$A$3:$H$102,8,FALSE),main!$K$26:$M$29,2,FALSE)+VLOOKUP(VLOOKUP(P$1,main!$A$3:$H$102,7,FALSE),main!$K$19:$O$22,MATCH(VLOOKUP($A8,main!$A$3:$H$102,8,FALSE),main!$K$18:$O$18,0))))),1,0)</f>
        <v>0</v>
      </c>
      <c r="Q8">
        <f>IF((AND(VLOOKUP(Q$1,main!$A$3:$H$102,5,FALSE)-VLOOKUP($A8,main!$A$3:$H$102,6,FALSE)&gt;=(VLOOKUP(VLOOKUP(Q$1,main!$A$3:$H$102,8,FALSE),main!$K$26:$M$29,2,FALSE)+VLOOKUP(VLOOKUP(Q$1,main!$A$3:$H$102,7,FALSE),main!$K$19:$O$22,MATCH(VLOOKUP($A8,main!$A$3:$H$102,8,FALSE),main!$K$18:$O$18,0))))),1,0)</f>
        <v>0</v>
      </c>
      <c r="R8">
        <f>IF((AND(VLOOKUP(R$1,main!$A$3:$H$102,5,FALSE)-VLOOKUP($A8,main!$A$3:$H$102,6,FALSE)&gt;=(VLOOKUP(VLOOKUP(R$1,main!$A$3:$H$102,8,FALSE),main!$K$26:$M$29,2,FALSE)+VLOOKUP(VLOOKUP(R$1,main!$A$3:$H$102,7,FALSE),main!$K$19:$O$22,MATCH(VLOOKUP($A8,main!$A$3:$H$102,8,FALSE),main!$K$18:$O$18,0))))),1,0)</f>
        <v>0</v>
      </c>
      <c r="S8">
        <f>IF((AND(VLOOKUP(S$1,main!$A$3:$H$102,5,FALSE)-VLOOKUP($A8,main!$A$3:$H$102,6,FALSE)&gt;=(VLOOKUP(VLOOKUP(S$1,main!$A$3:$H$102,8,FALSE),main!$K$26:$M$29,2,FALSE)+VLOOKUP(VLOOKUP(S$1,main!$A$3:$H$102,7,FALSE),main!$K$19:$O$22,MATCH(VLOOKUP($A8,main!$A$3:$H$102,8,FALSE),main!$K$18:$O$18,0))))),1,0)</f>
        <v>0</v>
      </c>
      <c r="T8">
        <f>IF((AND(VLOOKUP(T$1,main!$A$3:$H$102,5,FALSE)-VLOOKUP($A8,main!$A$3:$H$102,6,FALSE)&gt;=(VLOOKUP(VLOOKUP(T$1,main!$A$3:$H$102,8,FALSE),main!$K$26:$M$29,2,FALSE)+VLOOKUP(VLOOKUP(T$1,main!$A$3:$H$102,7,FALSE),main!$K$19:$O$22,MATCH(VLOOKUP($A8,main!$A$3:$H$102,8,FALSE),main!$K$18:$O$18,0))))),1,0)</f>
        <v>0</v>
      </c>
      <c r="U8">
        <f>IF((AND(VLOOKUP(U$1,main!$A$3:$H$102,5,FALSE)-VLOOKUP($A8,main!$A$3:$H$102,6,FALSE)&gt;=(VLOOKUP(VLOOKUP(U$1,main!$A$3:$H$102,8,FALSE),main!$K$26:$M$29,2,FALSE)+VLOOKUP(VLOOKUP(U$1,main!$A$3:$H$102,7,FALSE),main!$K$19:$O$22,MATCH(VLOOKUP($A8,main!$A$3:$H$102,8,FALSE),main!$K$18:$O$18,0))))),1,0)</f>
        <v>1</v>
      </c>
      <c r="V8">
        <f>IF((AND(VLOOKUP(V$1,main!$A$3:$H$102,5,FALSE)-VLOOKUP($A8,main!$A$3:$H$102,6,FALSE)&gt;=(VLOOKUP(VLOOKUP(V$1,main!$A$3:$H$102,8,FALSE),main!$K$26:$M$29,2,FALSE)+VLOOKUP(VLOOKUP(V$1,main!$A$3:$H$102,7,FALSE),main!$K$19:$O$22,MATCH(VLOOKUP($A8,main!$A$3:$H$102,8,FALSE),main!$K$18:$O$18,0))))),1,0)</f>
        <v>1</v>
      </c>
      <c r="W8">
        <f>IF((AND(VLOOKUP(W$1,main!$A$3:$H$102,5,FALSE)-VLOOKUP($A8,main!$A$3:$H$102,6,FALSE)&gt;=(VLOOKUP(VLOOKUP(W$1,main!$A$3:$H$102,8,FALSE),main!$K$26:$M$29,2,FALSE)+VLOOKUP(VLOOKUP(W$1,main!$A$3:$H$102,7,FALSE),main!$K$19:$O$22,MATCH(VLOOKUP($A8,main!$A$3:$H$102,8,FALSE),main!$K$18:$O$18,0))))),1,0)</f>
        <v>0</v>
      </c>
      <c r="X8">
        <f>IF((AND(VLOOKUP(X$1,main!$A$3:$H$102,5,FALSE)-VLOOKUP($A8,main!$A$3:$H$102,6,FALSE)&gt;=(VLOOKUP(VLOOKUP(X$1,main!$A$3:$H$102,8,FALSE),main!$K$26:$M$29,2,FALSE)+VLOOKUP(VLOOKUP(X$1,main!$A$3:$H$102,7,FALSE),main!$K$19:$O$22,MATCH(VLOOKUP($A8,main!$A$3:$H$102,8,FALSE),main!$K$18:$O$18,0))))),1,0)</f>
        <v>0</v>
      </c>
      <c r="Y8">
        <f>IF((AND(VLOOKUP(Y$1,main!$A$3:$H$102,5,FALSE)-VLOOKUP($A8,main!$A$3:$H$102,6,FALSE)&gt;=(VLOOKUP(VLOOKUP(Y$1,main!$A$3:$H$102,8,FALSE),main!$K$26:$M$29,2,FALSE)+VLOOKUP(VLOOKUP(Y$1,main!$A$3:$H$102,7,FALSE),main!$K$19:$O$22,MATCH(VLOOKUP($A8,main!$A$3:$H$102,8,FALSE),main!$K$18:$O$18,0))))),1,0)</f>
        <v>0</v>
      </c>
      <c r="Z8">
        <f>IF((AND(VLOOKUP(Z$1,main!$A$3:$H$102,5,FALSE)-VLOOKUP($A8,main!$A$3:$H$102,6,FALSE)&gt;=(VLOOKUP(VLOOKUP(Z$1,main!$A$3:$H$102,8,FALSE),main!$K$26:$M$29,2,FALSE)+VLOOKUP(VLOOKUP(Z$1,main!$A$3:$H$102,7,FALSE),main!$K$19:$O$22,MATCH(VLOOKUP($A8,main!$A$3:$H$102,8,FALSE),main!$K$18:$O$18,0))))),1,0)</f>
        <v>0</v>
      </c>
      <c r="AA8">
        <f>IF((AND(VLOOKUP(AA$1,main!$A$3:$H$102,5,FALSE)-VLOOKUP($A8,main!$A$3:$H$102,6,FALSE)&gt;=(VLOOKUP(VLOOKUP(AA$1,main!$A$3:$H$102,8,FALSE),main!$K$26:$M$29,2,FALSE)+VLOOKUP(VLOOKUP(AA$1,main!$A$3:$H$102,7,FALSE),main!$K$19:$O$22,MATCH(VLOOKUP($A8,main!$A$3:$H$102,8,FALSE),main!$K$18:$O$18,0))))),1,0)</f>
        <v>1</v>
      </c>
      <c r="AB8">
        <f>IF((AND(VLOOKUP(AB$1,main!$A$3:$H$102,5,FALSE)-VLOOKUP($A8,main!$A$3:$H$102,6,FALSE)&gt;=(VLOOKUP(VLOOKUP(AB$1,main!$A$3:$H$102,8,FALSE),main!$K$26:$M$29,2,FALSE)+VLOOKUP(VLOOKUP(AB$1,main!$A$3:$H$102,7,FALSE),main!$K$19:$O$22,MATCH(VLOOKUP($A8,main!$A$3:$H$102,8,FALSE),main!$K$18:$O$18,0))))),1,0)</f>
        <v>0</v>
      </c>
      <c r="AC8">
        <f>IF((AND(VLOOKUP(AC$1,main!$A$3:$H$102,5,FALSE)-VLOOKUP($A8,main!$A$3:$H$102,6,FALSE)&gt;=(VLOOKUP(VLOOKUP(AC$1,main!$A$3:$H$102,8,FALSE),main!$K$26:$M$29,2,FALSE)+VLOOKUP(VLOOKUP(AC$1,main!$A$3:$H$102,7,FALSE),main!$K$19:$O$22,MATCH(VLOOKUP($A8,main!$A$3:$H$102,8,FALSE),main!$K$18:$O$18,0))))),1,0)</f>
        <v>0</v>
      </c>
      <c r="AD8">
        <f>IF((AND(VLOOKUP(AD$1,main!$A$3:$H$102,5,FALSE)-VLOOKUP($A8,main!$A$3:$H$102,6,FALSE)&gt;=(VLOOKUP(VLOOKUP(AD$1,main!$A$3:$H$102,8,FALSE),main!$K$26:$M$29,2,FALSE)+VLOOKUP(VLOOKUP(AD$1,main!$A$3:$H$102,7,FALSE),main!$K$19:$O$22,MATCH(VLOOKUP($A8,main!$A$3:$H$102,8,FALSE),main!$K$18:$O$18,0))))),1,0)</f>
        <v>0</v>
      </c>
      <c r="AE8">
        <f>IF((AND(VLOOKUP(AE$1,main!$A$3:$H$102,5,FALSE)-VLOOKUP($A8,main!$A$3:$H$102,6,FALSE)&gt;=(VLOOKUP(VLOOKUP(AE$1,main!$A$3:$H$102,8,FALSE),main!$K$26:$M$29,2,FALSE)+VLOOKUP(VLOOKUP(AE$1,main!$A$3:$H$102,7,FALSE),main!$K$19:$O$22,MATCH(VLOOKUP($A8,main!$A$3:$H$102,8,FALSE),main!$K$18:$O$18,0))))),1,0)</f>
        <v>0</v>
      </c>
      <c r="AF8">
        <f>IF((AND(VLOOKUP(AF$1,main!$A$3:$H$102,5,FALSE)-VLOOKUP($A8,main!$A$3:$H$102,6,FALSE)&gt;=(VLOOKUP(VLOOKUP(AF$1,main!$A$3:$H$102,8,FALSE),main!$K$26:$M$29,2,FALSE)+VLOOKUP(VLOOKUP(AF$1,main!$A$3:$H$102,7,FALSE),main!$K$19:$O$22,MATCH(VLOOKUP($A8,main!$A$3:$H$102,8,FALSE),main!$K$18:$O$18,0))))),1,0)</f>
        <v>1</v>
      </c>
      <c r="AG8">
        <f>IF((AND(VLOOKUP(AG$1,main!$A$3:$H$102,5,FALSE)-VLOOKUP($A8,main!$A$3:$H$102,6,FALSE)&gt;=(VLOOKUP(VLOOKUP(AG$1,main!$A$3:$H$102,8,FALSE),main!$K$26:$M$29,2,FALSE)+VLOOKUP(VLOOKUP(AG$1,main!$A$3:$H$102,7,FALSE),main!$K$19:$O$22,MATCH(VLOOKUP($A8,main!$A$3:$H$102,8,FALSE),main!$K$18:$O$18,0))))),1,0)</f>
        <v>0</v>
      </c>
      <c r="AH8">
        <f>IF((AND(VLOOKUP(AH$1,main!$A$3:$H$102,5,FALSE)-VLOOKUP($A8,main!$A$3:$H$102,6,FALSE)&gt;=(VLOOKUP(VLOOKUP(AH$1,main!$A$3:$H$102,8,FALSE),main!$K$26:$M$29,2,FALSE)+VLOOKUP(VLOOKUP(AH$1,main!$A$3:$H$102,7,FALSE),main!$K$19:$O$22,MATCH(VLOOKUP($A8,main!$A$3:$H$102,8,FALSE),main!$K$18:$O$18,0))))),1,0)</f>
        <v>0</v>
      </c>
      <c r="AI8">
        <f>IF((AND(VLOOKUP(AI$1,main!$A$3:$H$102,5,FALSE)-VLOOKUP($A8,main!$A$3:$H$102,6,FALSE)&gt;=(VLOOKUP(VLOOKUP(AI$1,main!$A$3:$H$102,8,FALSE),main!$K$26:$M$29,2,FALSE)+VLOOKUP(VLOOKUP(AI$1,main!$A$3:$H$102,7,FALSE),main!$K$19:$O$22,MATCH(VLOOKUP($A8,main!$A$3:$H$102,8,FALSE),main!$K$18:$O$18,0))))),1,0)</f>
        <v>0</v>
      </c>
      <c r="AJ8">
        <f>IF((AND(VLOOKUP(AJ$1,main!$A$3:$H$102,5,FALSE)-VLOOKUP($A8,main!$A$3:$H$102,6,FALSE)&gt;=(VLOOKUP(VLOOKUP(AJ$1,main!$A$3:$H$102,8,FALSE),main!$K$26:$M$29,2,FALSE)+VLOOKUP(VLOOKUP(AJ$1,main!$A$3:$H$102,7,FALSE),main!$K$19:$O$22,MATCH(VLOOKUP($A8,main!$A$3:$H$102,8,FALSE),main!$K$18:$O$18,0))))),1,0)</f>
        <v>0</v>
      </c>
      <c r="AK8">
        <f>IF((AND(VLOOKUP(AK$1,main!$A$3:$H$102,5,FALSE)-VLOOKUP($A8,main!$A$3:$H$102,6,FALSE)&gt;=(VLOOKUP(VLOOKUP(AK$1,main!$A$3:$H$102,8,FALSE),main!$K$26:$M$29,2,FALSE)+VLOOKUP(VLOOKUP(AK$1,main!$A$3:$H$102,7,FALSE),main!$K$19:$O$22,MATCH(VLOOKUP($A8,main!$A$3:$H$102,8,FALSE),main!$K$18:$O$18,0))))),1,0)</f>
        <v>0</v>
      </c>
      <c r="AL8">
        <f>IF((AND(VLOOKUP(AL$1,main!$A$3:$H$102,5,FALSE)-VLOOKUP($A8,main!$A$3:$H$102,6,FALSE)&gt;=(VLOOKUP(VLOOKUP(AL$1,main!$A$3:$H$102,8,FALSE),main!$K$26:$M$29,2,FALSE)+VLOOKUP(VLOOKUP(AL$1,main!$A$3:$H$102,7,FALSE),main!$K$19:$O$22,MATCH(VLOOKUP($A8,main!$A$3:$H$102,8,FALSE),main!$K$18:$O$18,0))))),1,0)</f>
        <v>0</v>
      </c>
      <c r="AM8">
        <f>IF((AND(VLOOKUP(AM$1,main!$A$3:$H$102,5,FALSE)-VLOOKUP($A8,main!$A$3:$H$102,6,FALSE)&gt;=(VLOOKUP(VLOOKUP(AM$1,main!$A$3:$H$102,8,FALSE),main!$K$26:$M$29,2,FALSE)+VLOOKUP(VLOOKUP(AM$1,main!$A$3:$H$102,7,FALSE),main!$K$19:$O$22,MATCH(VLOOKUP($A8,main!$A$3:$H$102,8,FALSE),main!$K$18:$O$18,0))))),1,0)</f>
        <v>1</v>
      </c>
      <c r="AN8">
        <f>IF((AND(VLOOKUP(AN$1,main!$A$3:$H$102,5,FALSE)-VLOOKUP($A8,main!$A$3:$H$102,6,FALSE)&gt;=(VLOOKUP(VLOOKUP(AN$1,main!$A$3:$H$102,8,FALSE),main!$K$26:$M$29,2,FALSE)+VLOOKUP(VLOOKUP(AN$1,main!$A$3:$H$102,7,FALSE),main!$K$19:$O$22,MATCH(VLOOKUP($A8,main!$A$3:$H$102,8,FALSE),main!$K$18:$O$18,0))))),1,0)</f>
        <v>1</v>
      </c>
      <c r="AO8">
        <f>IF((AND(VLOOKUP(AO$1,main!$A$3:$H$102,5,FALSE)-VLOOKUP($A8,main!$A$3:$H$102,6,FALSE)&gt;=(VLOOKUP(VLOOKUP(AO$1,main!$A$3:$H$102,8,FALSE),main!$K$26:$M$29,2,FALSE)+VLOOKUP(VLOOKUP(AO$1,main!$A$3:$H$102,7,FALSE),main!$K$19:$O$22,MATCH(VLOOKUP($A8,main!$A$3:$H$102,8,FALSE),main!$K$18:$O$18,0))))),1,0)</f>
        <v>0</v>
      </c>
      <c r="AP8">
        <f>IF((AND(VLOOKUP(AP$1,main!$A$3:$H$102,5,FALSE)-VLOOKUP($A8,main!$A$3:$H$102,6,FALSE)&gt;=(VLOOKUP(VLOOKUP(AP$1,main!$A$3:$H$102,8,FALSE),main!$K$26:$M$29,2,FALSE)+VLOOKUP(VLOOKUP(AP$1,main!$A$3:$H$102,7,FALSE),main!$K$19:$O$22,MATCH(VLOOKUP($A8,main!$A$3:$H$102,8,FALSE),main!$K$18:$O$18,0))))),1,0)</f>
        <v>1</v>
      </c>
      <c r="AQ8">
        <f>IF((AND(VLOOKUP(AQ$1,main!$A$3:$H$102,5,FALSE)-VLOOKUP($A8,main!$A$3:$H$102,6,FALSE)&gt;=(VLOOKUP(VLOOKUP(AQ$1,main!$A$3:$H$102,8,FALSE),main!$K$26:$M$29,2,FALSE)+VLOOKUP(VLOOKUP(AQ$1,main!$A$3:$H$102,7,FALSE),main!$K$19:$O$22,MATCH(VLOOKUP($A8,main!$A$3:$H$102,8,FALSE),main!$K$18:$O$18,0))))),1,0)</f>
        <v>0</v>
      </c>
      <c r="AR8">
        <f>IF((AND(VLOOKUP(AR$1,main!$A$3:$H$102,5,FALSE)-VLOOKUP($A8,main!$A$3:$H$102,6,FALSE)&gt;=(VLOOKUP(VLOOKUP(AR$1,main!$A$3:$H$102,8,FALSE),main!$K$26:$M$29,2,FALSE)+VLOOKUP(VLOOKUP(AR$1,main!$A$3:$H$102,7,FALSE),main!$K$19:$O$22,MATCH(VLOOKUP($A8,main!$A$3:$H$102,8,FALSE),main!$K$18:$O$18,0))))),1,0)</f>
        <v>0</v>
      </c>
      <c r="AS8">
        <f>IF((AND(VLOOKUP(AS$1,main!$A$3:$H$102,5,FALSE)-VLOOKUP($A8,main!$A$3:$H$102,6,FALSE)&gt;=(VLOOKUP(VLOOKUP(AS$1,main!$A$3:$H$102,8,FALSE),main!$K$26:$M$29,2,FALSE)+VLOOKUP(VLOOKUP(AS$1,main!$A$3:$H$102,7,FALSE),main!$K$19:$O$22,MATCH(VLOOKUP($A8,main!$A$3:$H$102,8,FALSE),main!$K$18:$O$18,0))))),1,0)</f>
        <v>0</v>
      </c>
      <c r="AT8">
        <f>IF((AND(VLOOKUP(AT$1,main!$A$3:$H$102,5,FALSE)-VLOOKUP($A8,main!$A$3:$H$102,6,FALSE)&gt;=(VLOOKUP(VLOOKUP(AT$1,main!$A$3:$H$102,8,FALSE),main!$K$26:$M$29,2,FALSE)+VLOOKUP(VLOOKUP(AT$1,main!$A$3:$H$102,7,FALSE),main!$K$19:$O$22,MATCH(VLOOKUP($A8,main!$A$3:$H$102,8,FALSE),main!$K$18:$O$18,0))))),1,0)</f>
        <v>0</v>
      </c>
      <c r="AU8">
        <f>IF((AND(VLOOKUP(AU$1,main!$A$3:$H$102,5,FALSE)-VLOOKUP($A8,main!$A$3:$H$102,6,FALSE)&gt;=(VLOOKUP(VLOOKUP(AU$1,main!$A$3:$H$102,8,FALSE),main!$K$26:$M$29,2,FALSE)+VLOOKUP(VLOOKUP(AU$1,main!$A$3:$H$102,7,FALSE),main!$K$19:$O$22,MATCH(VLOOKUP($A8,main!$A$3:$H$102,8,FALSE),main!$K$18:$O$18,0))))),1,0)</f>
        <v>0</v>
      </c>
      <c r="AV8">
        <f>IF((AND(VLOOKUP(AV$1,main!$A$3:$H$102,5,FALSE)-VLOOKUP($A8,main!$A$3:$H$102,6,FALSE)&gt;=(VLOOKUP(VLOOKUP(AV$1,main!$A$3:$H$102,8,FALSE),main!$K$26:$M$29,2,FALSE)+VLOOKUP(VLOOKUP(AV$1,main!$A$3:$H$102,7,FALSE),main!$K$19:$O$22,MATCH(VLOOKUP($A8,main!$A$3:$H$102,8,FALSE),main!$K$18:$O$18,0))))),1,0)</f>
        <v>0</v>
      </c>
      <c r="AW8">
        <f>IF((AND(VLOOKUP(AW$1,main!$A$3:$H$102,5,FALSE)-VLOOKUP($A8,main!$A$3:$H$102,6,FALSE)&gt;=(VLOOKUP(VLOOKUP(AW$1,main!$A$3:$H$102,8,FALSE),main!$K$26:$M$29,2,FALSE)+VLOOKUP(VLOOKUP(AW$1,main!$A$3:$H$102,7,FALSE),main!$K$19:$O$22,MATCH(VLOOKUP($A8,main!$A$3:$H$102,8,FALSE),main!$K$18:$O$18,0))))),1,0)</f>
        <v>0</v>
      </c>
      <c r="AX8">
        <f>IF((AND(VLOOKUP(AX$1,main!$A$3:$H$102,5,FALSE)-VLOOKUP($A8,main!$A$3:$H$102,6,FALSE)&gt;=(VLOOKUP(VLOOKUP(AX$1,main!$A$3:$H$102,8,FALSE),main!$K$26:$M$29,2,FALSE)+VLOOKUP(VLOOKUP(AX$1,main!$A$3:$H$102,7,FALSE),main!$K$19:$O$22,MATCH(VLOOKUP($A8,main!$A$3:$H$102,8,FALSE),main!$K$18:$O$18,0))))),1,0)</f>
        <v>0</v>
      </c>
      <c r="AY8">
        <f>IF((AND(VLOOKUP(AY$1,main!$A$3:$H$102,5,FALSE)-VLOOKUP($A8,main!$A$3:$H$102,6,FALSE)&gt;=(VLOOKUP(VLOOKUP(AY$1,main!$A$3:$H$102,8,FALSE),main!$K$26:$M$29,2,FALSE)+VLOOKUP(VLOOKUP(AY$1,main!$A$3:$H$102,7,FALSE),main!$K$19:$O$22,MATCH(VLOOKUP($A8,main!$A$3:$H$102,8,FALSE),main!$K$18:$O$18,0))))),1,0)</f>
        <v>0</v>
      </c>
      <c r="AZ8">
        <f>IF((AND(VLOOKUP(AZ$1,main!$A$3:$H$102,5,FALSE)-VLOOKUP($A8,main!$A$3:$H$102,6,FALSE)&gt;=(VLOOKUP(VLOOKUP(AZ$1,main!$A$3:$H$102,8,FALSE),main!$K$26:$M$29,2,FALSE)+VLOOKUP(VLOOKUP(AZ$1,main!$A$3:$H$102,7,FALSE),main!$K$19:$O$22,MATCH(VLOOKUP($A8,main!$A$3:$H$102,8,FALSE),main!$K$18:$O$18,0))))),1,0)</f>
        <v>0</v>
      </c>
      <c r="BA8">
        <f>IF((AND(VLOOKUP(BA$1,main!$A$3:$H$102,5,FALSE)-VLOOKUP($A8,main!$A$3:$H$102,6,FALSE)&gt;=(VLOOKUP(VLOOKUP(BA$1,main!$A$3:$H$102,8,FALSE),main!$K$26:$M$29,2,FALSE)+VLOOKUP(VLOOKUP(BA$1,main!$A$3:$H$102,7,FALSE),main!$K$19:$O$22,MATCH(VLOOKUP($A8,main!$A$3:$H$102,8,FALSE),main!$K$18:$O$18,0))))),1,0)</f>
        <v>0</v>
      </c>
      <c r="BB8">
        <f>IF((AND(VLOOKUP(BB$1,main!$A$3:$H$102,5,FALSE)-VLOOKUP($A8,main!$A$3:$H$102,6,FALSE)&gt;=(VLOOKUP(VLOOKUP(BB$1,main!$A$3:$H$102,8,FALSE),main!$K$26:$M$29,2,FALSE)+VLOOKUP(VLOOKUP(BB$1,main!$A$3:$H$102,7,FALSE),main!$K$19:$O$22,MATCH(VLOOKUP($A8,main!$A$3:$H$102,8,FALSE),main!$K$18:$O$18,0))))),1,0)</f>
        <v>0</v>
      </c>
      <c r="BC8">
        <f>IF((AND(VLOOKUP(BC$1,main!$A$3:$H$102,5,FALSE)-VLOOKUP($A8,main!$A$3:$H$102,6,FALSE)&gt;=(VLOOKUP(VLOOKUP(BC$1,main!$A$3:$H$102,8,FALSE),main!$K$26:$M$29,2,FALSE)+VLOOKUP(VLOOKUP(BC$1,main!$A$3:$H$102,7,FALSE),main!$K$19:$O$22,MATCH(VLOOKUP($A8,main!$A$3:$H$102,8,FALSE),main!$K$18:$O$18,0))))),1,0)</f>
        <v>0</v>
      </c>
      <c r="BD8">
        <f>IF((AND(VLOOKUP(BD$1,main!$A$3:$H$102,5,FALSE)-VLOOKUP($A8,main!$A$3:$H$102,6,FALSE)&gt;=(VLOOKUP(VLOOKUP(BD$1,main!$A$3:$H$102,8,FALSE),main!$K$26:$M$29,2,FALSE)+VLOOKUP(VLOOKUP(BD$1,main!$A$3:$H$102,7,FALSE),main!$K$19:$O$22,MATCH(VLOOKUP($A8,main!$A$3:$H$102,8,FALSE),main!$K$18:$O$18,0))))),1,0)</f>
        <v>0</v>
      </c>
      <c r="BE8">
        <f>IF((AND(VLOOKUP(BE$1,main!$A$3:$H$102,5,FALSE)-VLOOKUP($A8,main!$A$3:$H$102,6,FALSE)&gt;=(VLOOKUP(VLOOKUP(BE$1,main!$A$3:$H$102,8,FALSE),main!$K$26:$M$29,2,FALSE)+VLOOKUP(VLOOKUP(BE$1,main!$A$3:$H$102,7,FALSE),main!$K$19:$O$22,MATCH(VLOOKUP($A8,main!$A$3:$H$102,8,FALSE),main!$K$18:$O$18,0))))),1,0)</f>
        <v>0</v>
      </c>
      <c r="BF8">
        <f>IF((AND(VLOOKUP(BF$1,main!$A$3:$H$102,5,FALSE)-VLOOKUP($A8,main!$A$3:$H$102,6,FALSE)&gt;=(VLOOKUP(VLOOKUP(BF$1,main!$A$3:$H$102,8,FALSE),main!$K$26:$M$29,2,FALSE)+VLOOKUP(VLOOKUP(BF$1,main!$A$3:$H$102,7,FALSE),main!$K$19:$O$22,MATCH(VLOOKUP($A8,main!$A$3:$H$102,8,FALSE),main!$K$18:$O$18,0))))),1,0)</f>
        <v>0</v>
      </c>
      <c r="BG8">
        <f>IF((AND(VLOOKUP(BG$1,main!$A$3:$H$102,5,FALSE)-VLOOKUP($A8,main!$A$3:$H$102,6,FALSE)&gt;=(VLOOKUP(VLOOKUP(BG$1,main!$A$3:$H$102,8,FALSE),main!$K$26:$M$29,2,FALSE)+VLOOKUP(VLOOKUP(BG$1,main!$A$3:$H$102,7,FALSE),main!$K$19:$O$22,MATCH(VLOOKUP($A8,main!$A$3:$H$102,8,FALSE),main!$K$18:$O$18,0))))),1,0)</f>
        <v>0</v>
      </c>
      <c r="BH8">
        <f>IF((AND(VLOOKUP(BH$1,main!$A$3:$H$102,5,FALSE)-VLOOKUP($A8,main!$A$3:$H$102,6,FALSE)&gt;=(VLOOKUP(VLOOKUP(BH$1,main!$A$3:$H$102,8,FALSE),main!$K$26:$M$29,2,FALSE)+VLOOKUP(VLOOKUP(BH$1,main!$A$3:$H$102,7,FALSE),main!$K$19:$O$22,MATCH(VLOOKUP($A8,main!$A$3:$H$102,8,FALSE),main!$K$18:$O$18,0))))),1,0)</f>
        <v>0</v>
      </c>
      <c r="BI8">
        <f>IF((AND(VLOOKUP(BI$1,main!$A$3:$H$102,5,FALSE)-VLOOKUP($A8,main!$A$3:$H$102,6,FALSE)&gt;=(VLOOKUP(VLOOKUP(BI$1,main!$A$3:$H$102,8,FALSE),main!$K$26:$M$29,2,FALSE)+VLOOKUP(VLOOKUP(BI$1,main!$A$3:$H$102,7,FALSE),main!$K$19:$O$22,MATCH(VLOOKUP($A8,main!$A$3:$H$102,8,FALSE),main!$K$18:$O$18,0))))),1,0)</f>
        <v>1</v>
      </c>
      <c r="BJ8">
        <f>IF((AND(VLOOKUP(BJ$1,main!$A$3:$H$102,5,FALSE)-VLOOKUP($A8,main!$A$3:$H$102,6,FALSE)&gt;=(VLOOKUP(VLOOKUP(BJ$1,main!$A$3:$H$102,8,FALSE),main!$K$26:$M$29,2,FALSE)+VLOOKUP(VLOOKUP(BJ$1,main!$A$3:$H$102,7,FALSE),main!$K$19:$O$22,MATCH(VLOOKUP($A8,main!$A$3:$H$102,8,FALSE),main!$K$18:$O$18,0))))),1,0)</f>
        <v>0</v>
      </c>
      <c r="BK8">
        <f>IF((AND(VLOOKUP(BK$1,main!$A$3:$H$102,5,FALSE)-VLOOKUP($A8,main!$A$3:$H$102,6,FALSE)&gt;=(VLOOKUP(VLOOKUP(BK$1,main!$A$3:$H$102,8,FALSE),main!$K$26:$M$29,2,FALSE)+VLOOKUP(VLOOKUP(BK$1,main!$A$3:$H$102,7,FALSE),main!$K$19:$O$22,MATCH(VLOOKUP($A8,main!$A$3:$H$102,8,FALSE),main!$K$18:$O$18,0))))),1,0)</f>
        <v>0</v>
      </c>
      <c r="BL8">
        <f>IF((AND(VLOOKUP(BL$1,main!$A$3:$H$102,5,FALSE)-VLOOKUP($A8,main!$A$3:$H$102,6,FALSE)&gt;=(VLOOKUP(VLOOKUP(BL$1,main!$A$3:$H$102,8,FALSE),main!$K$26:$M$29,2,FALSE)+VLOOKUP(VLOOKUP(BL$1,main!$A$3:$H$102,7,FALSE),main!$K$19:$O$22,MATCH(VLOOKUP($A8,main!$A$3:$H$102,8,FALSE),main!$K$18:$O$18,0))))),1,0)</f>
        <v>0</v>
      </c>
      <c r="BM8">
        <f>IF((AND(VLOOKUP(BM$1,main!$A$3:$H$102,5,FALSE)-VLOOKUP($A8,main!$A$3:$H$102,6,FALSE)&gt;=(VLOOKUP(VLOOKUP(BM$1,main!$A$3:$H$102,8,FALSE),main!$K$26:$M$29,2,FALSE)+VLOOKUP(VLOOKUP(BM$1,main!$A$3:$H$102,7,FALSE),main!$K$19:$O$22,MATCH(VLOOKUP($A8,main!$A$3:$H$102,8,FALSE),main!$K$18:$O$18,0))))),1,0)</f>
        <v>0</v>
      </c>
      <c r="BN8">
        <f>IF((AND(VLOOKUP(BN$1,main!$A$3:$H$102,5,FALSE)-VLOOKUP($A8,main!$A$3:$H$102,6,FALSE)&gt;=(VLOOKUP(VLOOKUP(BN$1,main!$A$3:$H$102,8,FALSE),main!$K$26:$M$29,2,FALSE)+VLOOKUP(VLOOKUP(BN$1,main!$A$3:$H$102,7,FALSE),main!$K$19:$O$22,MATCH(VLOOKUP($A8,main!$A$3:$H$102,8,FALSE),main!$K$18:$O$18,0))))),1,0)</f>
        <v>0</v>
      </c>
      <c r="BO8">
        <f>IF((AND(VLOOKUP(BO$1,main!$A$3:$H$102,5,FALSE)-VLOOKUP($A8,main!$A$3:$H$102,6,FALSE)&gt;=(VLOOKUP(VLOOKUP(BO$1,main!$A$3:$H$102,8,FALSE),main!$K$26:$M$29,2,FALSE)+VLOOKUP(VLOOKUP(BO$1,main!$A$3:$H$102,7,FALSE),main!$K$19:$O$22,MATCH(VLOOKUP($A8,main!$A$3:$H$102,8,FALSE),main!$K$18:$O$18,0))))),1,0)</f>
        <v>0</v>
      </c>
      <c r="BP8">
        <f>IF((AND(VLOOKUP(BP$1,main!$A$3:$H$102,5,FALSE)-VLOOKUP($A8,main!$A$3:$H$102,6,FALSE)&gt;=(VLOOKUP(VLOOKUP(BP$1,main!$A$3:$H$102,8,FALSE),main!$K$26:$M$29,2,FALSE)+VLOOKUP(VLOOKUP(BP$1,main!$A$3:$H$102,7,FALSE),main!$K$19:$O$22,MATCH(VLOOKUP($A8,main!$A$3:$H$102,8,FALSE),main!$K$18:$O$18,0))))),1,0)</f>
        <v>0</v>
      </c>
      <c r="BQ8">
        <f>IF((AND(VLOOKUP(BQ$1,main!$A$3:$H$102,5,FALSE)-VLOOKUP($A8,main!$A$3:$H$102,6,FALSE)&gt;=(VLOOKUP(VLOOKUP(BQ$1,main!$A$3:$H$102,8,FALSE),main!$K$26:$M$29,2,FALSE)+VLOOKUP(VLOOKUP(BQ$1,main!$A$3:$H$102,7,FALSE),main!$K$19:$O$22,MATCH(VLOOKUP($A8,main!$A$3:$H$102,8,FALSE),main!$K$18:$O$18,0))))),1,0)</f>
        <v>0</v>
      </c>
      <c r="BR8">
        <f>IF((AND(VLOOKUP(BR$1,main!$A$3:$H$102,5,FALSE)-VLOOKUP($A8,main!$A$3:$H$102,6,FALSE)&gt;=(VLOOKUP(VLOOKUP(BR$1,main!$A$3:$H$102,8,FALSE),main!$K$26:$M$29,2,FALSE)+VLOOKUP(VLOOKUP(BR$1,main!$A$3:$H$102,7,FALSE),main!$K$19:$O$22,MATCH(VLOOKUP($A8,main!$A$3:$H$102,8,FALSE),main!$K$18:$O$18,0))))),1,0)</f>
        <v>0</v>
      </c>
      <c r="BS8">
        <f>IF((AND(VLOOKUP(BS$1,main!$A$3:$H$102,5,FALSE)-VLOOKUP($A8,main!$A$3:$H$102,6,FALSE)&gt;=(VLOOKUP(VLOOKUP(BS$1,main!$A$3:$H$102,8,FALSE),main!$K$26:$M$29,2,FALSE)+VLOOKUP(VLOOKUP(BS$1,main!$A$3:$H$102,7,FALSE),main!$K$19:$O$22,MATCH(VLOOKUP($A8,main!$A$3:$H$102,8,FALSE),main!$K$18:$O$18,0))))),1,0)</f>
        <v>0</v>
      </c>
      <c r="BT8">
        <f>IF((AND(VLOOKUP(BT$1,main!$A$3:$H$102,5,FALSE)-VLOOKUP($A8,main!$A$3:$H$102,6,FALSE)&gt;=(VLOOKUP(VLOOKUP(BT$1,main!$A$3:$H$102,8,FALSE),main!$K$26:$M$29,2,FALSE)+VLOOKUP(VLOOKUP(BT$1,main!$A$3:$H$102,7,FALSE),main!$K$19:$O$22,MATCH(VLOOKUP($A8,main!$A$3:$H$102,8,FALSE),main!$K$18:$O$18,0))))),1,0)</f>
        <v>0</v>
      </c>
      <c r="BU8">
        <f>IF((AND(VLOOKUP(BU$1,main!$A$3:$H$102,5,FALSE)-VLOOKUP($A8,main!$A$3:$H$102,6,FALSE)&gt;=(VLOOKUP(VLOOKUP(BU$1,main!$A$3:$H$102,8,FALSE),main!$K$26:$M$29,2,FALSE)+VLOOKUP(VLOOKUP(BU$1,main!$A$3:$H$102,7,FALSE),main!$K$19:$O$22,MATCH(VLOOKUP($A8,main!$A$3:$H$102,8,FALSE),main!$K$18:$O$18,0))))),1,0)</f>
        <v>0</v>
      </c>
      <c r="BV8">
        <f>IF((AND(VLOOKUP(BV$1,main!$A$3:$H$102,5,FALSE)-VLOOKUP($A8,main!$A$3:$H$102,6,FALSE)&gt;=(VLOOKUP(VLOOKUP(BV$1,main!$A$3:$H$102,8,FALSE),main!$K$26:$M$29,2,FALSE)+VLOOKUP(VLOOKUP(BV$1,main!$A$3:$H$102,7,FALSE),main!$K$19:$O$22,MATCH(VLOOKUP($A8,main!$A$3:$H$102,8,FALSE),main!$K$18:$O$18,0))))),1,0)</f>
        <v>0</v>
      </c>
      <c r="BW8">
        <f>IF((AND(VLOOKUP(BW$1,main!$A$3:$H$102,5,FALSE)-VLOOKUP($A8,main!$A$3:$H$102,6,FALSE)&gt;=(VLOOKUP(VLOOKUP(BW$1,main!$A$3:$H$102,8,FALSE),main!$K$26:$M$29,2,FALSE)+VLOOKUP(VLOOKUP(BW$1,main!$A$3:$H$102,7,FALSE),main!$K$19:$O$22,MATCH(VLOOKUP($A8,main!$A$3:$H$102,8,FALSE),main!$K$18:$O$18,0))))),1,0)</f>
        <v>0</v>
      </c>
      <c r="BX8">
        <f>IF((AND(VLOOKUP(BX$1,main!$A$3:$H$102,5,FALSE)-VLOOKUP($A8,main!$A$3:$H$102,6,FALSE)&gt;=(VLOOKUP(VLOOKUP(BX$1,main!$A$3:$H$102,8,FALSE),main!$K$26:$M$29,2,FALSE)+VLOOKUP(VLOOKUP(BX$1,main!$A$3:$H$102,7,FALSE),main!$K$19:$O$22,MATCH(VLOOKUP($A8,main!$A$3:$H$102,8,FALSE),main!$K$18:$O$18,0))))),1,0)</f>
        <v>0</v>
      </c>
      <c r="BY8">
        <f>IF((AND(VLOOKUP(BY$1,main!$A$3:$H$102,5,FALSE)-VLOOKUP($A8,main!$A$3:$H$102,6,FALSE)&gt;=(VLOOKUP(VLOOKUP(BY$1,main!$A$3:$H$102,8,FALSE),main!$K$26:$M$29,2,FALSE)+VLOOKUP(VLOOKUP(BY$1,main!$A$3:$H$102,7,FALSE),main!$K$19:$O$22,MATCH(VLOOKUP($A8,main!$A$3:$H$102,8,FALSE),main!$K$18:$O$18,0))))),1,0)</f>
        <v>0</v>
      </c>
      <c r="BZ8">
        <f>IF((AND(VLOOKUP(BZ$1,main!$A$3:$H$102,5,FALSE)-VLOOKUP($A8,main!$A$3:$H$102,6,FALSE)&gt;=(VLOOKUP(VLOOKUP(BZ$1,main!$A$3:$H$102,8,FALSE),main!$K$26:$M$29,2,FALSE)+VLOOKUP(VLOOKUP(BZ$1,main!$A$3:$H$102,7,FALSE),main!$K$19:$O$22,MATCH(VLOOKUP($A8,main!$A$3:$H$102,8,FALSE),main!$K$18:$O$18,0))))),1,0)</f>
        <v>0</v>
      </c>
      <c r="CA8">
        <f>IF((AND(VLOOKUP(CA$1,main!$A$3:$H$102,5,FALSE)-VLOOKUP($A8,main!$A$3:$H$102,6,FALSE)&gt;=(VLOOKUP(VLOOKUP(CA$1,main!$A$3:$H$102,8,FALSE),main!$K$26:$M$29,2,FALSE)+VLOOKUP(VLOOKUP(CA$1,main!$A$3:$H$102,7,FALSE),main!$K$19:$O$22,MATCH(VLOOKUP($A8,main!$A$3:$H$102,8,FALSE),main!$K$18:$O$18,0))))),1,0)</f>
        <v>0</v>
      </c>
      <c r="CB8">
        <f>IF((AND(VLOOKUP(CB$1,main!$A$3:$H$102,5,FALSE)-VLOOKUP($A8,main!$A$3:$H$102,6,FALSE)&gt;=(VLOOKUP(VLOOKUP(CB$1,main!$A$3:$H$102,8,FALSE),main!$K$26:$M$29,2,FALSE)+VLOOKUP(VLOOKUP(CB$1,main!$A$3:$H$102,7,FALSE),main!$K$19:$O$22,MATCH(VLOOKUP($A8,main!$A$3:$H$102,8,FALSE),main!$K$18:$O$18,0))))),1,0)</f>
        <v>0</v>
      </c>
      <c r="CC8">
        <f>IF((AND(VLOOKUP(CC$1,main!$A$3:$H$102,5,FALSE)-VLOOKUP($A8,main!$A$3:$H$102,6,FALSE)&gt;=(VLOOKUP(VLOOKUP(CC$1,main!$A$3:$H$102,8,FALSE),main!$K$26:$M$29,2,FALSE)+VLOOKUP(VLOOKUP(CC$1,main!$A$3:$H$102,7,FALSE),main!$K$19:$O$22,MATCH(VLOOKUP($A8,main!$A$3:$H$102,8,FALSE),main!$K$18:$O$18,0))))),1,0)</f>
        <v>1</v>
      </c>
      <c r="CD8">
        <f>IF((AND(VLOOKUP(CD$1,main!$A$3:$H$102,5,FALSE)-VLOOKUP($A8,main!$A$3:$H$102,6,FALSE)&gt;=(VLOOKUP(VLOOKUP(CD$1,main!$A$3:$H$102,8,FALSE),main!$K$26:$M$29,2,FALSE)+VLOOKUP(VLOOKUP(CD$1,main!$A$3:$H$102,7,FALSE),main!$K$19:$O$22,MATCH(VLOOKUP($A8,main!$A$3:$H$102,8,FALSE),main!$K$18:$O$18,0))))),1,0)</f>
        <v>0</v>
      </c>
      <c r="CE8">
        <f>IF((AND(VLOOKUP(CE$1,main!$A$3:$H$102,5,FALSE)-VLOOKUP($A8,main!$A$3:$H$102,6,FALSE)&gt;=(VLOOKUP(VLOOKUP(CE$1,main!$A$3:$H$102,8,FALSE),main!$K$26:$M$29,2,FALSE)+VLOOKUP(VLOOKUP(CE$1,main!$A$3:$H$102,7,FALSE),main!$K$19:$O$22,MATCH(VLOOKUP($A8,main!$A$3:$H$102,8,FALSE),main!$K$18:$O$18,0))))),1,0)</f>
        <v>0</v>
      </c>
      <c r="CF8">
        <f>IF((AND(VLOOKUP(CF$1,main!$A$3:$H$102,5,FALSE)-VLOOKUP($A8,main!$A$3:$H$102,6,FALSE)&gt;=(VLOOKUP(VLOOKUP(CF$1,main!$A$3:$H$102,8,FALSE),main!$K$26:$M$29,2,FALSE)+VLOOKUP(VLOOKUP(CF$1,main!$A$3:$H$102,7,FALSE),main!$K$19:$O$22,MATCH(VLOOKUP($A8,main!$A$3:$H$102,8,FALSE),main!$K$18:$O$18,0))))),1,0)</f>
        <v>0</v>
      </c>
      <c r="CG8">
        <f>IF((AND(VLOOKUP(CG$1,main!$A$3:$H$102,5,FALSE)-VLOOKUP($A8,main!$A$3:$H$102,6,FALSE)&gt;=(VLOOKUP(VLOOKUP(CG$1,main!$A$3:$H$102,8,FALSE),main!$K$26:$M$29,2,FALSE)+VLOOKUP(VLOOKUP(CG$1,main!$A$3:$H$102,7,FALSE),main!$K$19:$O$22,MATCH(VLOOKUP($A8,main!$A$3:$H$102,8,FALSE),main!$K$18:$O$18,0))))),1,0)</f>
        <v>0</v>
      </c>
      <c r="CH8">
        <f>IF((AND(VLOOKUP(CH$1,main!$A$3:$H$102,5,FALSE)-VLOOKUP($A8,main!$A$3:$H$102,6,FALSE)&gt;=(VLOOKUP(VLOOKUP(CH$1,main!$A$3:$H$102,8,FALSE),main!$K$26:$M$29,2,FALSE)+VLOOKUP(VLOOKUP(CH$1,main!$A$3:$H$102,7,FALSE),main!$K$19:$O$22,MATCH(VLOOKUP($A8,main!$A$3:$H$102,8,FALSE),main!$K$18:$O$18,0))))),1,0)</f>
        <v>0</v>
      </c>
      <c r="CI8">
        <f>IF((AND(VLOOKUP(CI$1,main!$A$3:$H$102,5,FALSE)-VLOOKUP($A8,main!$A$3:$H$102,6,FALSE)&gt;=(VLOOKUP(VLOOKUP(CI$1,main!$A$3:$H$102,8,FALSE),main!$K$26:$M$29,2,FALSE)+VLOOKUP(VLOOKUP(CI$1,main!$A$3:$H$102,7,FALSE),main!$K$19:$O$22,MATCH(VLOOKUP($A8,main!$A$3:$H$102,8,FALSE),main!$K$18:$O$18,0))))),1,0)</f>
        <v>1</v>
      </c>
      <c r="CJ8">
        <f>IF((AND(VLOOKUP(CJ$1,main!$A$3:$H$102,5,FALSE)-VLOOKUP($A8,main!$A$3:$H$102,6,FALSE)&gt;=(VLOOKUP(VLOOKUP(CJ$1,main!$A$3:$H$102,8,FALSE),main!$K$26:$M$29,2,FALSE)+VLOOKUP(VLOOKUP(CJ$1,main!$A$3:$H$102,7,FALSE),main!$K$19:$O$22,MATCH(VLOOKUP($A8,main!$A$3:$H$102,8,FALSE),main!$K$18:$O$18,0))))),1,0)</f>
        <v>0</v>
      </c>
      <c r="CK8">
        <f>IF((AND(VLOOKUP(CK$1,main!$A$3:$H$102,5,FALSE)-VLOOKUP($A8,main!$A$3:$H$102,6,FALSE)&gt;=(VLOOKUP(VLOOKUP(CK$1,main!$A$3:$H$102,8,FALSE),main!$K$26:$M$29,2,FALSE)+VLOOKUP(VLOOKUP(CK$1,main!$A$3:$H$102,7,FALSE),main!$K$19:$O$22,MATCH(VLOOKUP($A8,main!$A$3:$H$102,8,FALSE),main!$K$18:$O$18,0))))),1,0)</f>
        <v>0</v>
      </c>
      <c r="CL8">
        <f>IF((AND(VLOOKUP(CL$1,main!$A$3:$H$102,5,FALSE)-VLOOKUP($A8,main!$A$3:$H$102,6,FALSE)&gt;=(VLOOKUP(VLOOKUP(CL$1,main!$A$3:$H$102,8,FALSE),main!$K$26:$M$29,2,FALSE)+VLOOKUP(VLOOKUP(CL$1,main!$A$3:$H$102,7,FALSE),main!$K$19:$O$22,MATCH(VLOOKUP($A8,main!$A$3:$H$102,8,FALSE),main!$K$18:$O$18,0))))),1,0)</f>
        <v>0</v>
      </c>
      <c r="CM8">
        <f>IF((AND(VLOOKUP(CM$1,main!$A$3:$H$102,5,FALSE)-VLOOKUP($A8,main!$A$3:$H$102,6,FALSE)&gt;=(VLOOKUP(VLOOKUP(CM$1,main!$A$3:$H$102,8,FALSE),main!$K$26:$M$29,2,FALSE)+VLOOKUP(VLOOKUP(CM$1,main!$A$3:$H$102,7,FALSE),main!$K$19:$O$22,MATCH(VLOOKUP($A8,main!$A$3:$H$102,8,FALSE),main!$K$18:$O$18,0))))),1,0)</f>
        <v>0</v>
      </c>
      <c r="CN8">
        <f>IF((AND(VLOOKUP(CN$1,main!$A$3:$H$102,5,FALSE)-VLOOKUP($A8,main!$A$3:$H$102,6,FALSE)&gt;=(VLOOKUP(VLOOKUP(CN$1,main!$A$3:$H$102,8,FALSE),main!$K$26:$M$29,2,FALSE)+VLOOKUP(VLOOKUP(CN$1,main!$A$3:$H$102,7,FALSE),main!$K$19:$O$22,MATCH(VLOOKUP($A8,main!$A$3:$H$102,8,FALSE),main!$K$18:$O$18,0))))),1,0)</f>
        <v>1</v>
      </c>
      <c r="CO8">
        <f>IF((AND(VLOOKUP(CO$1,main!$A$3:$H$102,5,FALSE)-VLOOKUP($A8,main!$A$3:$H$102,6,FALSE)&gt;=(VLOOKUP(VLOOKUP(CO$1,main!$A$3:$H$102,8,FALSE),main!$K$26:$M$29,2,FALSE)+VLOOKUP(VLOOKUP(CO$1,main!$A$3:$H$102,7,FALSE),main!$K$19:$O$22,MATCH(VLOOKUP($A8,main!$A$3:$H$102,8,FALSE),main!$K$18:$O$18,0))))),1,0)</f>
        <v>0</v>
      </c>
      <c r="CP8">
        <f>IF((AND(VLOOKUP(CP$1,main!$A$3:$H$102,5,FALSE)-VLOOKUP($A8,main!$A$3:$H$102,6,FALSE)&gt;=(VLOOKUP(VLOOKUP(CP$1,main!$A$3:$H$102,8,FALSE),main!$K$26:$M$29,2,FALSE)+VLOOKUP(VLOOKUP(CP$1,main!$A$3:$H$102,7,FALSE),main!$K$19:$O$22,MATCH(VLOOKUP($A8,main!$A$3:$H$102,8,FALSE),main!$K$18:$O$18,0))))),1,0)</f>
        <v>0</v>
      </c>
      <c r="CQ8">
        <f>IF((AND(VLOOKUP(CQ$1,main!$A$3:$H$102,5,FALSE)-VLOOKUP($A8,main!$A$3:$H$102,6,FALSE)&gt;=(VLOOKUP(VLOOKUP(CQ$1,main!$A$3:$H$102,8,FALSE),main!$K$26:$M$29,2,FALSE)+VLOOKUP(VLOOKUP(CQ$1,main!$A$3:$H$102,7,FALSE),main!$K$19:$O$22,MATCH(VLOOKUP($A8,main!$A$3:$H$102,8,FALSE),main!$K$18:$O$18,0))))),1,0)</f>
        <v>0</v>
      </c>
      <c r="CR8">
        <f>IF((AND(VLOOKUP(CR$1,main!$A$3:$H$102,5,FALSE)-VLOOKUP($A8,main!$A$3:$H$102,6,FALSE)&gt;=(VLOOKUP(VLOOKUP(CR$1,main!$A$3:$H$102,8,FALSE),main!$K$26:$M$29,2,FALSE)+VLOOKUP(VLOOKUP(CR$1,main!$A$3:$H$102,7,FALSE),main!$K$19:$O$22,MATCH(VLOOKUP($A8,main!$A$3:$H$102,8,FALSE),main!$K$18:$O$18,0))))),1,0)</f>
        <v>0</v>
      </c>
      <c r="CS8">
        <f>IF((AND(VLOOKUP(CS$1,main!$A$3:$H$102,5,FALSE)-VLOOKUP($A8,main!$A$3:$H$102,6,FALSE)&gt;=(VLOOKUP(VLOOKUP(CS$1,main!$A$3:$H$102,8,FALSE),main!$K$26:$M$29,2,FALSE)+VLOOKUP(VLOOKUP(CS$1,main!$A$3:$H$102,7,FALSE),main!$K$19:$O$22,MATCH(VLOOKUP($A8,main!$A$3:$H$102,8,FALSE),main!$K$18:$O$18,0))))),1,0)</f>
        <v>0</v>
      </c>
      <c r="CT8">
        <f>IF((AND(VLOOKUP(CT$1,main!$A$3:$H$102,5,FALSE)-VLOOKUP($A8,main!$A$3:$H$102,6,FALSE)&gt;=(VLOOKUP(VLOOKUP(CT$1,main!$A$3:$H$102,8,FALSE),main!$K$26:$M$29,2,FALSE)+VLOOKUP(VLOOKUP(CT$1,main!$A$3:$H$102,7,FALSE),main!$K$19:$O$22,MATCH(VLOOKUP($A8,main!$A$3:$H$102,8,FALSE),main!$K$18:$O$18,0))))),1,0)</f>
        <v>0</v>
      </c>
      <c r="CU8">
        <f>IF((AND(VLOOKUP(CU$1,main!$A$3:$H$102,5,FALSE)-VLOOKUP($A8,main!$A$3:$H$102,6,FALSE)&gt;=(VLOOKUP(VLOOKUP(CU$1,main!$A$3:$H$102,8,FALSE),main!$K$26:$M$29,2,FALSE)+VLOOKUP(VLOOKUP(CU$1,main!$A$3:$H$102,7,FALSE),main!$K$19:$O$22,MATCH(VLOOKUP($A8,main!$A$3:$H$102,8,FALSE),main!$K$18:$O$18,0))))),1,0)</f>
        <v>0</v>
      </c>
      <c r="CV8">
        <f>IF((AND(VLOOKUP(CV$1,main!$A$3:$H$102,5,FALSE)-VLOOKUP($A8,main!$A$3:$H$102,6,FALSE)&gt;=(VLOOKUP(VLOOKUP(CV$1,main!$A$3:$H$102,8,FALSE),main!$K$26:$M$29,2,FALSE)+VLOOKUP(VLOOKUP(CV$1,main!$A$3:$H$102,7,FALSE),main!$K$19:$O$22,MATCH(VLOOKUP($A8,main!$A$3:$H$102,8,FALSE),main!$K$18:$O$18,0))))),1,0)</f>
        <v>0</v>
      </c>
      <c r="CW8">
        <f>IF((AND(VLOOKUP(CW$1,main!$A$3:$H$102,5,FALSE)-VLOOKUP($A8,main!$A$3:$H$102,6,FALSE)&gt;=(VLOOKUP(VLOOKUP(CW$1,main!$A$3:$H$102,8,FALSE),main!$K$26:$M$29,2,FALSE)+VLOOKUP(VLOOKUP(CW$1,main!$A$3:$H$102,7,FALSE),main!$K$19:$O$22,MATCH(VLOOKUP($A8,main!$A$3:$H$102,8,FALSE),main!$K$18:$O$18,0))))),1,0)</f>
        <v>0</v>
      </c>
      <c r="CX8">
        <f>IF((AND(VLOOKUP(CX$1,main!$A$3:$H$102,5,FALSE)-VLOOKUP($A8,main!$A$3:$H$102,6,FALSE)&gt;=(VLOOKUP(VLOOKUP(CX$1,main!$A$3:$H$102,8,FALSE),main!$K$26:$M$29,2,FALSE)+VLOOKUP(VLOOKUP(CX$1,main!$A$3:$H$102,7,FALSE),main!$K$19:$O$22,MATCH(VLOOKUP($A8,main!$A$3:$H$102,8,FALSE),main!$K$18:$O$18,0))))),1,0)</f>
        <v>0</v>
      </c>
    </row>
    <row r="9" spans="1:102" x14ac:dyDescent="0.25">
      <c r="A9" s="1">
        <v>7</v>
      </c>
      <c r="B9">
        <v>1</v>
      </c>
      <c r="C9">
        <f>IF((AND(VLOOKUP(C$1,main!$A$3:$H$102,5,FALSE)-VLOOKUP($A9,main!$A$3:$H$102,6,FALSE)&gt;=(VLOOKUP(VLOOKUP(C$1,main!$A$3:$H$102,8,FALSE),main!$K$26:$M$29,2,FALSE)+VLOOKUP(VLOOKUP(C$1,main!$A$3:$H$102,7,FALSE),main!$K$19:$O$22,MATCH(VLOOKUP($A9,main!$A$3:$H$102,8,FALSE),main!$K$18:$O$18,0))))),1,0)</f>
        <v>0</v>
      </c>
      <c r="D9">
        <f>IF((AND(VLOOKUP(D$1,main!$A$3:$H$102,5,FALSE)-VLOOKUP($A9,main!$A$3:$H$102,6,FALSE)&gt;=(VLOOKUP(VLOOKUP(D$1,main!$A$3:$H$102,8,FALSE),main!$K$26:$M$29,2,FALSE)+VLOOKUP(VLOOKUP(D$1,main!$A$3:$H$102,7,FALSE),main!$K$19:$O$22,MATCH(VLOOKUP($A9,main!$A$3:$H$102,8,FALSE),main!$K$18:$O$18,0))))),1,0)</f>
        <v>0</v>
      </c>
      <c r="E9">
        <f>IF((AND(VLOOKUP(E$1,main!$A$3:$H$102,5,FALSE)-VLOOKUP($A9,main!$A$3:$H$102,6,FALSE)&gt;=(VLOOKUP(VLOOKUP(E$1,main!$A$3:$H$102,8,FALSE),main!$K$26:$M$29,2,FALSE)+VLOOKUP(VLOOKUP(E$1,main!$A$3:$H$102,7,FALSE),main!$K$19:$O$22,MATCH(VLOOKUP($A9,main!$A$3:$H$102,8,FALSE),main!$K$18:$O$18,0))))),1,0)</f>
        <v>0</v>
      </c>
      <c r="F9">
        <f>IF((AND(VLOOKUP(F$1,main!$A$3:$H$102,5,FALSE)-VLOOKUP($A9,main!$A$3:$H$102,6,FALSE)&gt;=(VLOOKUP(VLOOKUP(F$1,main!$A$3:$H$102,8,FALSE),main!$K$26:$M$29,2,FALSE)+VLOOKUP(VLOOKUP(F$1,main!$A$3:$H$102,7,FALSE),main!$K$19:$O$22,MATCH(VLOOKUP($A9,main!$A$3:$H$102,8,FALSE),main!$K$18:$O$18,0))))),1,0)</f>
        <v>0</v>
      </c>
      <c r="G9">
        <f>IF((AND(VLOOKUP(G$1,main!$A$3:$H$102,5,FALSE)-VLOOKUP($A9,main!$A$3:$H$102,6,FALSE)&gt;=(VLOOKUP(VLOOKUP(G$1,main!$A$3:$H$102,8,FALSE),main!$K$26:$M$29,2,FALSE)+VLOOKUP(VLOOKUP(G$1,main!$A$3:$H$102,7,FALSE),main!$K$19:$O$22,MATCH(VLOOKUP($A9,main!$A$3:$H$102,8,FALSE),main!$K$18:$O$18,0))))),1,0)</f>
        <v>0</v>
      </c>
      <c r="H9">
        <f>IF((AND(VLOOKUP(H$1,main!$A$3:$H$102,5,FALSE)-VLOOKUP($A9,main!$A$3:$H$102,6,FALSE)&gt;=(VLOOKUP(VLOOKUP(H$1,main!$A$3:$H$102,8,FALSE),main!$K$26:$M$29,2,FALSE)+VLOOKUP(VLOOKUP(H$1,main!$A$3:$H$102,7,FALSE),main!$K$19:$O$22,MATCH(VLOOKUP($A9,main!$A$3:$H$102,8,FALSE),main!$K$18:$O$18,0))))),1,0)</f>
        <v>0</v>
      </c>
      <c r="I9">
        <f>IF((AND(VLOOKUP(I$1,main!$A$3:$H$102,5,FALSE)-VLOOKUP($A9,main!$A$3:$H$102,6,FALSE)&gt;=(VLOOKUP(VLOOKUP(I$1,main!$A$3:$H$102,8,FALSE),main!$K$26:$M$29,2,FALSE)+VLOOKUP(VLOOKUP(I$1,main!$A$3:$H$102,7,FALSE),main!$K$19:$O$22,MATCH(VLOOKUP($A9,main!$A$3:$H$102,8,FALSE),main!$K$18:$O$18,0))))),1,0)</f>
        <v>0</v>
      </c>
      <c r="J9">
        <f>IF((AND(VLOOKUP(J$1,main!$A$3:$H$102,5,FALSE)-VLOOKUP($A9,main!$A$3:$H$102,6,FALSE)&gt;=(VLOOKUP(VLOOKUP(J$1,main!$A$3:$H$102,8,FALSE),main!$K$26:$M$29,2,FALSE)+VLOOKUP(VLOOKUP(J$1,main!$A$3:$H$102,7,FALSE),main!$K$19:$O$22,MATCH(VLOOKUP($A9,main!$A$3:$H$102,8,FALSE),main!$K$18:$O$18,0))))),1,0)</f>
        <v>0</v>
      </c>
      <c r="K9">
        <f>IF((AND(VLOOKUP(K$1,main!$A$3:$H$102,5,FALSE)-VLOOKUP($A9,main!$A$3:$H$102,6,FALSE)&gt;=(VLOOKUP(VLOOKUP(K$1,main!$A$3:$H$102,8,FALSE),main!$K$26:$M$29,2,FALSE)+VLOOKUP(VLOOKUP(K$1,main!$A$3:$H$102,7,FALSE),main!$K$19:$O$22,MATCH(VLOOKUP($A9,main!$A$3:$H$102,8,FALSE),main!$K$18:$O$18,0))))),1,0)</f>
        <v>0</v>
      </c>
      <c r="L9">
        <f>IF((AND(VLOOKUP(L$1,main!$A$3:$H$102,5,FALSE)-VLOOKUP($A9,main!$A$3:$H$102,6,FALSE)&gt;=(VLOOKUP(VLOOKUP(L$1,main!$A$3:$H$102,8,FALSE),main!$K$26:$M$29,2,FALSE)+VLOOKUP(VLOOKUP(L$1,main!$A$3:$H$102,7,FALSE),main!$K$19:$O$22,MATCH(VLOOKUP($A9,main!$A$3:$H$102,8,FALSE),main!$K$18:$O$18,0))))),1,0)</f>
        <v>1</v>
      </c>
      <c r="M9">
        <f>IF((AND(VLOOKUP(M$1,main!$A$3:$H$102,5,FALSE)-VLOOKUP($A9,main!$A$3:$H$102,6,FALSE)&gt;=(VLOOKUP(VLOOKUP(M$1,main!$A$3:$H$102,8,FALSE),main!$K$26:$M$29,2,FALSE)+VLOOKUP(VLOOKUP(M$1,main!$A$3:$H$102,7,FALSE),main!$K$19:$O$22,MATCH(VLOOKUP($A9,main!$A$3:$H$102,8,FALSE),main!$K$18:$O$18,0))))),1,0)</f>
        <v>0</v>
      </c>
      <c r="N9">
        <f>IF((AND(VLOOKUP(N$1,main!$A$3:$H$102,5,FALSE)-VLOOKUP($A9,main!$A$3:$H$102,6,FALSE)&gt;=(VLOOKUP(VLOOKUP(N$1,main!$A$3:$H$102,8,FALSE),main!$K$26:$M$29,2,FALSE)+VLOOKUP(VLOOKUP(N$1,main!$A$3:$H$102,7,FALSE),main!$K$19:$O$22,MATCH(VLOOKUP($A9,main!$A$3:$H$102,8,FALSE),main!$K$18:$O$18,0))))),1,0)</f>
        <v>0</v>
      </c>
      <c r="O9">
        <f>IF((AND(VLOOKUP(O$1,main!$A$3:$H$102,5,FALSE)-VLOOKUP($A9,main!$A$3:$H$102,6,FALSE)&gt;=(VLOOKUP(VLOOKUP(O$1,main!$A$3:$H$102,8,FALSE),main!$K$26:$M$29,2,FALSE)+VLOOKUP(VLOOKUP(O$1,main!$A$3:$H$102,7,FALSE),main!$K$19:$O$22,MATCH(VLOOKUP($A9,main!$A$3:$H$102,8,FALSE),main!$K$18:$O$18,0))))),1,0)</f>
        <v>0</v>
      </c>
      <c r="P9">
        <f>IF((AND(VLOOKUP(P$1,main!$A$3:$H$102,5,FALSE)-VLOOKUP($A9,main!$A$3:$H$102,6,FALSE)&gt;=(VLOOKUP(VLOOKUP(P$1,main!$A$3:$H$102,8,FALSE),main!$K$26:$M$29,2,FALSE)+VLOOKUP(VLOOKUP(P$1,main!$A$3:$H$102,7,FALSE),main!$K$19:$O$22,MATCH(VLOOKUP($A9,main!$A$3:$H$102,8,FALSE),main!$K$18:$O$18,0))))),1,0)</f>
        <v>0</v>
      </c>
      <c r="Q9">
        <f>IF((AND(VLOOKUP(Q$1,main!$A$3:$H$102,5,FALSE)-VLOOKUP($A9,main!$A$3:$H$102,6,FALSE)&gt;=(VLOOKUP(VLOOKUP(Q$1,main!$A$3:$H$102,8,FALSE),main!$K$26:$M$29,2,FALSE)+VLOOKUP(VLOOKUP(Q$1,main!$A$3:$H$102,7,FALSE),main!$K$19:$O$22,MATCH(VLOOKUP($A9,main!$A$3:$H$102,8,FALSE),main!$K$18:$O$18,0))))),1,0)</f>
        <v>0</v>
      </c>
      <c r="R9">
        <f>IF((AND(VLOOKUP(R$1,main!$A$3:$H$102,5,FALSE)-VLOOKUP($A9,main!$A$3:$H$102,6,FALSE)&gt;=(VLOOKUP(VLOOKUP(R$1,main!$A$3:$H$102,8,FALSE),main!$K$26:$M$29,2,FALSE)+VLOOKUP(VLOOKUP(R$1,main!$A$3:$H$102,7,FALSE),main!$K$19:$O$22,MATCH(VLOOKUP($A9,main!$A$3:$H$102,8,FALSE),main!$K$18:$O$18,0))))),1,0)</f>
        <v>0</v>
      </c>
      <c r="S9">
        <f>IF((AND(VLOOKUP(S$1,main!$A$3:$H$102,5,FALSE)-VLOOKUP($A9,main!$A$3:$H$102,6,FALSE)&gt;=(VLOOKUP(VLOOKUP(S$1,main!$A$3:$H$102,8,FALSE),main!$K$26:$M$29,2,FALSE)+VLOOKUP(VLOOKUP(S$1,main!$A$3:$H$102,7,FALSE),main!$K$19:$O$22,MATCH(VLOOKUP($A9,main!$A$3:$H$102,8,FALSE),main!$K$18:$O$18,0))))),1,0)</f>
        <v>0</v>
      </c>
      <c r="T9">
        <f>IF((AND(VLOOKUP(T$1,main!$A$3:$H$102,5,FALSE)-VLOOKUP($A9,main!$A$3:$H$102,6,FALSE)&gt;=(VLOOKUP(VLOOKUP(T$1,main!$A$3:$H$102,8,FALSE),main!$K$26:$M$29,2,FALSE)+VLOOKUP(VLOOKUP(T$1,main!$A$3:$H$102,7,FALSE),main!$K$19:$O$22,MATCH(VLOOKUP($A9,main!$A$3:$H$102,8,FALSE),main!$K$18:$O$18,0))))),1,0)</f>
        <v>0</v>
      </c>
      <c r="U9">
        <f>IF((AND(VLOOKUP(U$1,main!$A$3:$H$102,5,FALSE)-VLOOKUP($A9,main!$A$3:$H$102,6,FALSE)&gt;=(VLOOKUP(VLOOKUP(U$1,main!$A$3:$H$102,8,FALSE),main!$K$26:$M$29,2,FALSE)+VLOOKUP(VLOOKUP(U$1,main!$A$3:$H$102,7,FALSE),main!$K$19:$O$22,MATCH(VLOOKUP($A9,main!$A$3:$H$102,8,FALSE),main!$K$18:$O$18,0))))),1,0)</f>
        <v>1</v>
      </c>
      <c r="V9">
        <f>IF((AND(VLOOKUP(V$1,main!$A$3:$H$102,5,FALSE)-VLOOKUP($A9,main!$A$3:$H$102,6,FALSE)&gt;=(VLOOKUP(VLOOKUP(V$1,main!$A$3:$H$102,8,FALSE),main!$K$26:$M$29,2,FALSE)+VLOOKUP(VLOOKUP(V$1,main!$A$3:$H$102,7,FALSE),main!$K$19:$O$22,MATCH(VLOOKUP($A9,main!$A$3:$H$102,8,FALSE),main!$K$18:$O$18,0))))),1,0)</f>
        <v>1</v>
      </c>
      <c r="W9">
        <f>IF((AND(VLOOKUP(W$1,main!$A$3:$H$102,5,FALSE)-VLOOKUP($A9,main!$A$3:$H$102,6,FALSE)&gt;=(VLOOKUP(VLOOKUP(W$1,main!$A$3:$H$102,8,FALSE),main!$K$26:$M$29,2,FALSE)+VLOOKUP(VLOOKUP(W$1,main!$A$3:$H$102,7,FALSE),main!$K$19:$O$22,MATCH(VLOOKUP($A9,main!$A$3:$H$102,8,FALSE),main!$K$18:$O$18,0))))),1,0)</f>
        <v>0</v>
      </c>
      <c r="X9">
        <f>IF((AND(VLOOKUP(X$1,main!$A$3:$H$102,5,FALSE)-VLOOKUP($A9,main!$A$3:$H$102,6,FALSE)&gt;=(VLOOKUP(VLOOKUP(X$1,main!$A$3:$H$102,8,FALSE),main!$K$26:$M$29,2,FALSE)+VLOOKUP(VLOOKUP(X$1,main!$A$3:$H$102,7,FALSE),main!$K$19:$O$22,MATCH(VLOOKUP($A9,main!$A$3:$H$102,8,FALSE),main!$K$18:$O$18,0))))),1,0)</f>
        <v>0</v>
      </c>
      <c r="Y9">
        <f>IF((AND(VLOOKUP(Y$1,main!$A$3:$H$102,5,FALSE)-VLOOKUP($A9,main!$A$3:$H$102,6,FALSE)&gt;=(VLOOKUP(VLOOKUP(Y$1,main!$A$3:$H$102,8,FALSE),main!$K$26:$M$29,2,FALSE)+VLOOKUP(VLOOKUP(Y$1,main!$A$3:$H$102,7,FALSE),main!$K$19:$O$22,MATCH(VLOOKUP($A9,main!$A$3:$H$102,8,FALSE),main!$K$18:$O$18,0))))),1,0)</f>
        <v>0</v>
      </c>
      <c r="Z9">
        <f>IF((AND(VLOOKUP(Z$1,main!$A$3:$H$102,5,FALSE)-VLOOKUP($A9,main!$A$3:$H$102,6,FALSE)&gt;=(VLOOKUP(VLOOKUP(Z$1,main!$A$3:$H$102,8,FALSE),main!$K$26:$M$29,2,FALSE)+VLOOKUP(VLOOKUP(Z$1,main!$A$3:$H$102,7,FALSE),main!$K$19:$O$22,MATCH(VLOOKUP($A9,main!$A$3:$H$102,8,FALSE),main!$K$18:$O$18,0))))),1,0)</f>
        <v>0</v>
      </c>
      <c r="AA9">
        <f>IF((AND(VLOOKUP(AA$1,main!$A$3:$H$102,5,FALSE)-VLOOKUP($A9,main!$A$3:$H$102,6,FALSE)&gt;=(VLOOKUP(VLOOKUP(AA$1,main!$A$3:$H$102,8,FALSE),main!$K$26:$M$29,2,FALSE)+VLOOKUP(VLOOKUP(AA$1,main!$A$3:$H$102,7,FALSE),main!$K$19:$O$22,MATCH(VLOOKUP($A9,main!$A$3:$H$102,8,FALSE),main!$K$18:$O$18,0))))),1,0)</f>
        <v>0</v>
      </c>
      <c r="AB9">
        <f>IF((AND(VLOOKUP(AB$1,main!$A$3:$H$102,5,FALSE)-VLOOKUP($A9,main!$A$3:$H$102,6,FALSE)&gt;=(VLOOKUP(VLOOKUP(AB$1,main!$A$3:$H$102,8,FALSE),main!$K$26:$M$29,2,FALSE)+VLOOKUP(VLOOKUP(AB$1,main!$A$3:$H$102,7,FALSE),main!$K$19:$O$22,MATCH(VLOOKUP($A9,main!$A$3:$H$102,8,FALSE),main!$K$18:$O$18,0))))),1,0)</f>
        <v>0</v>
      </c>
      <c r="AC9">
        <f>IF((AND(VLOOKUP(AC$1,main!$A$3:$H$102,5,FALSE)-VLOOKUP($A9,main!$A$3:$H$102,6,FALSE)&gt;=(VLOOKUP(VLOOKUP(AC$1,main!$A$3:$H$102,8,FALSE),main!$K$26:$M$29,2,FALSE)+VLOOKUP(VLOOKUP(AC$1,main!$A$3:$H$102,7,FALSE),main!$K$19:$O$22,MATCH(VLOOKUP($A9,main!$A$3:$H$102,8,FALSE),main!$K$18:$O$18,0))))),1,0)</f>
        <v>0</v>
      </c>
      <c r="AD9">
        <f>IF((AND(VLOOKUP(AD$1,main!$A$3:$H$102,5,FALSE)-VLOOKUP($A9,main!$A$3:$H$102,6,FALSE)&gt;=(VLOOKUP(VLOOKUP(AD$1,main!$A$3:$H$102,8,FALSE),main!$K$26:$M$29,2,FALSE)+VLOOKUP(VLOOKUP(AD$1,main!$A$3:$H$102,7,FALSE),main!$K$19:$O$22,MATCH(VLOOKUP($A9,main!$A$3:$H$102,8,FALSE),main!$K$18:$O$18,0))))),1,0)</f>
        <v>0</v>
      </c>
      <c r="AE9">
        <f>IF((AND(VLOOKUP(AE$1,main!$A$3:$H$102,5,FALSE)-VLOOKUP($A9,main!$A$3:$H$102,6,FALSE)&gt;=(VLOOKUP(VLOOKUP(AE$1,main!$A$3:$H$102,8,FALSE),main!$K$26:$M$29,2,FALSE)+VLOOKUP(VLOOKUP(AE$1,main!$A$3:$H$102,7,FALSE),main!$K$19:$O$22,MATCH(VLOOKUP($A9,main!$A$3:$H$102,8,FALSE),main!$K$18:$O$18,0))))),1,0)</f>
        <v>0</v>
      </c>
      <c r="AF9">
        <f>IF((AND(VLOOKUP(AF$1,main!$A$3:$H$102,5,FALSE)-VLOOKUP($A9,main!$A$3:$H$102,6,FALSE)&gt;=(VLOOKUP(VLOOKUP(AF$1,main!$A$3:$H$102,8,FALSE),main!$K$26:$M$29,2,FALSE)+VLOOKUP(VLOOKUP(AF$1,main!$A$3:$H$102,7,FALSE),main!$K$19:$O$22,MATCH(VLOOKUP($A9,main!$A$3:$H$102,8,FALSE),main!$K$18:$O$18,0))))),1,0)</f>
        <v>0</v>
      </c>
      <c r="AG9">
        <f>IF((AND(VLOOKUP(AG$1,main!$A$3:$H$102,5,FALSE)-VLOOKUP($A9,main!$A$3:$H$102,6,FALSE)&gt;=(VLOOKUP(VLOOKUP(AG$1,main!$A$3:$H$102,8,FALSE),main!$K$26:$M$29,2,FALSE)+VLOOKUP(VLOOKUP(AG$1,main!$A$3:$H$102,7,FALSE),main!$K$19:$O$22,MATCH(VLOOKUP($A9,main!$A$3:$H$102,8,FALSE),main!$K$18:$O$18,0))))),1,0)</f>
        <v>0</v>
      </c>
      <c r="AH9">
        <f>IF((AND(VLOOKUP(AH$1,main!$A$3:$H$102,5,FALSE)-VLOOKUP($A9,main!$A$3:$H$102,6,FALSE)&gt;=(VLOOKUP(VLOOKUP(AH$1,main!$A$3:$H$102,8,FALSE),main!$K$26:$M$29,2,FALSE)+VLOOKUP(VLOOKUP(AH$1,main!$A$3:$H$102,7,FALSE),main!$K$19:$O$22,MATCH(VLOOKUP($A9,main!$A$3:$H$102,8,FALSE),main!$K$18:$O$18,0))))),1,0)</f>
        <v>0</v>
      </c>
      <c r="AI9">
        <f>IF((AND(VLOOKUP(AI$1,main!$A$3:$H$102,5,FALSE)-VLOOKUP($A9,main!$A$3:$H$102,6,FALSE)&gt;=(VLOOKUP(VLOOKUP(AI$1,main!$A$3:$H$102,8,FALSE),main!$K$26:$M$29,2,FALSE)+VLOOKUP(VLOOKUP(AI$1,main!$A$3:$H$102,7,FALSE),main!$K$19:$O$22,MATCH(VLOOKUP($A9,main!$A$3:$H$102,8,FALSE),main!$K$18:$O$18,0))))),1,0)</f>
        <v>0</v>
      </c>
      <c r="AJ9">
        <f>IF((AND(VLOOKUP(AJ$1,main!$A$3:$H$102,5,FALSE)-VLOOKUP($A9,main!$A$3:$H$102,6,FALSE)&gt;=(VLOOKUP(VLOOKUP(AJ$1,main!$A$3:$H$102,8,FALSE),main!$K$26:$M$29,2,FALSE)+VLOOKUP(VLOOKUP(AJ$1,main!$A$3:$H$102,7,FALSE),main!$K$19:$O$22,MATCH(VLOOKUP($A9,main!$A$3:$H$102,8,FALSE),main!$K$18:$O$18,0))))),1,0)</f>
        <v>0</v>
      </c>
      <c r="AK9">
        <f>IF((AND(VLOOKUP(AK$1,main!$A$3:$H$102,5,FALSE)-VLOOKUP($A9,main!$A$3:$H$102,6,FALSE)&gt;=(VLOOKUP(VLOOKUP(AK$1,main!$A$3:$H$102,8,FALSE),main!$K$26:$M$29,2,FALSE)+VLOOKUP(VLOOKUP(AK$1,main!$A$3:$H$102,7,FALSE),main!$K$19:$O$22,MATCH(VLOOKUP($A9,main!$A$3:$H$102,8,FALSE),main!$K$18:$O$18,0))))),1,0)</f>
        <v>0</v>
      </c>
      <c r="AL9">
        <f>IF((AND(VLOOKUP(AL$1,main!$A$3:$H$102,5,FALSE)-VLOOKUP($A9,main!$A$3:$H$102,6,FALSE)&gt;=(VLOOKUP(VLOOKUP(AL$1,main!$A$3:$H$102,8,FALSE),main!$K$26:$M$29,2,FALSE)+VLOOKUP(VLOOKUP(AL$1,main!$A$3:$H$102,7,FALSE),main!$K$19:$O$22,MATCH(VLOOKUP($A9,main!$A$3:$H$102,8,FALSE),main!$K$18:$O$18,0))))),1,0)</f>
        <v>0</v>
      </c>
      <c r="AM9">
        <f>IF((AND(VLOOKUP(AM$1,main!$A$3:$H$102,5,FALSE)-VLOOKUP($A9,main!$A$3:$H$102,6,FALSE)&gt;=(VLOOKUP(VLOOKUP(AM$1,main!$A$3:$H$102,8,FALSE),main!$K$26:$M$29,2,FALSE)+VLOOKUP(VLOOKUP(AM$1,main!$A$3:$H$102,7,FALSE),main!$K$19:$O$22,MATCH(VLOOKUP($A9,main!$A$3:$H$102,8,FALSE),main!$K$18:$O$18,0))))),1,0)</f>
        <v>0</v>
      </c>
      <c r="AN9">
        <f>IF((AND(VLOOKUP(AN$1,main!$A$3:$H$102,5,FALSE)-VLOOKUP($A9,main!$A$3:$H$102,6,FALSE)&gt;=(VLOOKUP(VLOOKUP(AN$1,main!$A$3:$H$102,8,FALSE),main!$K$26:$M$29,2,FALSE)+VLOOKUP(VLOOKUP(AN$1,main!$A$3:$H$102,7,FALSE),main!$K$19:$O$22,MATCH(VLOOKUP($A9,main!$A$3:$H$102,8,FALSE),main!$K$18:$O$18,0))))),1,0)</f>
        <v>1</v>
      </c>
      <c r="AO9">
        <f>IF((AND(VLOOKUP(AO$1,main!$A$3:$H$102,5,FALSE)-VLOOKUP($A9,main!$A$3:$H$102,6,FALSE)&gt;=(VLOOKUP(VLOOKUP(AO$1,main!$A$3:$H$102,8,FALSE),main!$K$26:$M$29,2,FALSE)+VLOOKUP(VLOOKUP(AO$1,main!$A$3:$H$102,7,FALSE),main!$K$19:$O$22,MATCH(VLOOKUP($A9,main!$A$3:$H$102,8,FALSE),main!$K$18:$O$18,0))))),1,0)</f>
        <v>0</v>
      </c>
      <c r="AP9">
        <f>IF((AND(VLOOKUP(AP$1,main!$A$3:$H$102,5,FALSE)-VLOOKUP($A9,main!$A$3:$H$102,6,FALSE)&gt;=(VLOOKUP(VLOOKUP(AP$1,main!$A$3:$H$102,8,FALSE),main!$K$26:$M$29,2,FALSE)+VLOOKUP(VLOOKUP(AP$1,main!$A$3:$H$102,7,FALSE),main!$K$19:$O$22,MATCH(VLOOKUP($A9,main!$A$3:$H$102,8,FALSE),main!$K$18:$O$18,0))))),1,0)</f>
        <v>1</v>
      </c>
      <c r="AQ9">
        <f>IF((AND(VLOOKUP(AQ$1,main!$A$3:$H$102,5,FALSE)-VLOOKUP($A9,main!$A$3:$H$102,6,FALSE)&gt;=(VLOOKUP(VLOOKUP(AQ$1,main!$A$3:$H$102,8,FALSE),main!$K$26:$M$29,2,FALSE)+VLOOKUP(VLOOKUP(AQ$1,main!$A$3:$H$102,7,FALSE),main!$K$19:$O$22,MATCH(VLOOKUP($A9,main!$A$3:$H$102,8,FALSE),main!$K$18:$O$18,0))))),1,0)</f>
        <v>0</v>
      </c>
      <c r="AR9">
        <f>IF((AND(VLOOKUP(AR$1,main!$A$3:$H$102,5,FALSE)-VLOOKUP($A9,main!$A$3:$H$102,6,FALSE)&gt;=(VLOOKUP(VLOOKUP(AR$1,main!$A$3:$H$102,8,FALSE),main!$K$26:$M$29,2,FALSE)+VLOOKUP(VLOOKUP(AR$1,main!$A$3:$H$102,7,FALSE),main!$K$19:$O$22,MATCH(VLOOKUP($A9,main!$A$3:$H$102,8,FALSE),main!$K$18:$O$18,0))))),1,0)</f>
        <v>0</v>
      </c>
      <c r="AS9">
        <f>IF((AND(VLOOKUP(AS$1,main!$A$3:$H$102,5,FALSE)-VLOOKUP($A9,main!$A$3:$H$102,6,FALSE)&gt;=(VLOOKUP(VLOOKUP(AS$1,main!$A$3:$H$102,8,FALSE),main!$K$26:$M$29,2,FALSE)+VLOOKUP(VLOOKUP(AS$1,main!$A$3:$H$102,7,FALSE),main!$K$19:$O$22,MATCH(VLOOKUP($A9,main!$A$3:$H$102,8,FALSE),main!$K$18:$O$18,0))))),1,0)</f>
        <v>0</v>
      </c>
      <c r="AT9">
        <f>IF((AND(VLOOKUP(AT$1,main!$A$3:$H$102,5,FALSE)-VLOOKUP($A9,main!$A$3:$H$102,6,FALSE)&gt;=(VLOOKUP(VLOOKUP(AT$1,main!$A$3:$H$102,8,FALSE),main!$K$26:$M$29,2,FALSE)+VLOOKUP(VLOOKUP(AT$1,main!$A$3:$H$102,7,FALSE),main!$K$19:$O$22,MATCH(VLOOKUP($A9,main!$A$3:$H$102,8,FALSE),main!$K$18:$O$18,0))))),1,0)</f>
        <v>0</v>
      </c>
      <c r="AU9">
        <f>IF((AND(VLOOKUP(AU$1,main!$A$3:$H$102,5,FALSE)-VLOOKUP($A9,main!$A$3:$H$102,6,FALSE)&gt;=(VLOOKUP(VLOOKUP(AU$1,main!$A$3:$H$102,8,FALSE),main!$K$26:$M$29,2,FALSE)+VLOOKUP(VLOOKUP(AU$1,main!$A$3:$H$102,7,FALSE),main!$K$19:$O$22,MATCH(VLOOKUP($A9,main!$A$3:$H$102,8,FALSE),main!$K$18:$O$18,0))))),1,0)</f>
        <v>0</v>
      </c>
      <c r="AV9">
        <f>IF((AND(VLOOKUP(AV$1,main!$A$3:$H$102,5,FALSE)-VLOOKUP($A9,main!$A$3:$H$102,6,FALSE)&gt;=(VLOOKUP(VLOOKUP(AV$1,main!$A$3:$H$102,8,FALSE),main!$K$26:$M$29,2,FALSE)+VLOOKUP(VLOOKUP(AV$1,main!$A$3:$H$102,7,FALSE),main!$K$19:$O$22,MATCH(VLOOKUP($A9,main!$A$3:$H$102,8,FALSE),main!$K$18:$O$18,0))))),1,0)</f>
        <v>0</v>
      </c>
      <c r="AW9">
        <f>IF((AND(VLOOKUP(AW$1,main!$A$3:$H$102,5,FALSE)-VLOOKUP($A9,main!$A$3:$H$102,6,FALSE)&gt;=(VLOOKUP(VLOOKUP(AW$1,main!$A$3:$H$102,8,FALSE),main!$K$26:$M$29,2,FALSE)+VLOOKUP(VLOOKUP(AW$1,main!$A$3:$H$102,7,FALSE),main!$K$19:$O$22,MATCH(VLOOKUP($A9,main!$A$3:$H$102,8,FALSE),main!$K$18:$O$18,0))))),1,0)</f>
        <v>0</v>
      </c>
      <c r="AX9">
        <f>IF((AND(VLOOKUP(AX$1,main!$A$3:$H$102,5,FALSE)-VLOOKUP($A9,main!$A$3:$H$102,6,FALSE)&gt;=(VLOOKUP(VLOOKUP(AX$1,main!$A$3:$H$102,8,FALSE),main!$K$26:$M$29,2,FALSE)+VLOOKUP(VLOOKUP(AX$1,main!$A$3:$H$102,7,FALSE),main!$K$19:$O$22,MATCH(VLOOKUP($A9,main!$A$3:$H$102,8,FALSE),main!$K$18:$O$18,0))))),1,0)</f>
        <v>0</v>
      </c>
      <c r="AY9">
        <f>IF((AND(VLOOKUP(AY$1,main!$A$3:$H$102,5,FALSE)-VLOOKUP($A9,main!$A$3:$H$102,6,FALSE)&gt;=(VLOOKUP(VLOOKUP(AY$1,main!$A$3:$H$102,8,FALSE),main!$K$26:$M$29,2,FALSE)+VLOOKUP(VLOOKUP(AY$1,main!$A$3:$H$102,7,FALSE),main!$K$19:$O$22,MATCH(VLOOKUP($A9,main!$A$3:$H$102,8,FALSE),main!$K$18:$O$18,0))))),1,0)</f>
        <v>0</v>
      </c>
      <c r="AZ9">
        <f>IF((AND(VLOOKUP(AZ$1,main!$A$3:$H$102,5,FALSE)-VLOOKUP($A9,main!$A$3:$H$102,6,FALSE)&gt;=(VLOOKUP(VLOOKUP(AZ$1,main!$A$3:$H$102,8,FALSE),main!$K$26:$M$29,2,FALSE)+VLOOKUP(VLOOKUP(AZ$1,main!$A$3:$H$102,7,FALSE),main!$K$19:$O$22,MATCH(VLOOKUP($A9,main!$A$3:$H$102,8,FALSE),main!$K$18:$O$18,0))))),1,0)</f>
        <v>0</v>
      </c>
      <c r="BA9">
        <f>IF((AND(VLOOKUP(BA$1,main!$A$3:$H$102,5,FALSE)-VLOOKUP($A9,main!$A$3:$H$102,6,FALSE)&gt;=(VLOOKUP(VLOOKUP(BA$1,main!$A$3:$H$102,8,FALSE),main!$K$26:$M$29,2,FALSE)+VLOOKUP(VLOOKUP(BA$1,main!$A$3:$H$102,7,FALSE),main!$K$19:$O$22,MATCH(VLOOKUP($A9,main!$A$3:$H$102,8,FALSE),main!$K$18:$O$18,0))))),1,0)</f>
        <v>0</v>
      </c>
      <c r="BB9">
        <f>IF((AND(VLOOKUP(BB$1,main!$A$3:$H$102,5,FALSE)-VLOOKUP($A9,main!$A$3:$H$102,6,FALSE)&gt;=(VLOOKUP(VLOOKUP(BB$1,main!$A$3:$H$102,8,FALSE),main!$K$26:$M$29,2,FALSE)+VLOOKUP(VLOOKUP(BB$1,main!$A$3:$H$102,7,FALSE),main!$K$19:$O$22,MATCH(VLOOKUP($A9,main!$A$3:$H$102,8,FALSE),main!$K$18:$O$18,0))))),1,0)</f>
        <v>0</v>
      </c>
      <c r="BC9">
        <f>IF((AND(VLOOKUP(BC$1,main!$A$3:$H$102,5,FALSE)-VLOOKUP($A9,main!$A$3:$H$102,6,FALSE)&gt;=(VLOOKUP(VLOOKUP(BC$1,main!$A$3:$H$102,8,FALSE),main!$K$26:$M$29,2,FALSE)+VLOOKUP(VLOOKUP(BC$1,main!$A$3:$H$102,7,FALSE),main!$K$19:$O$22,MATCH(VLOOKUP($A9,main!$A$3:$H$102,8,FALSE),main!$K$18:$O$18,0))))),1,0)</f>
        <v>0</v>
      </c>
      <c r="BD9">
        <f>IF((AND(VLOOKUP(BD$1,main!$A$3:$H$102,5,FALSE)-VLOOKUP($A9,main!$A$3:$H$102,6,FALSE)&gt;=(VLOOKUP(VLOOKUP(BD$1,main!$A$3:$H$102,8,FALSE),main!$K$26:$M$29,2,FALSE)+VLOOKUP(VLOOKUP(BD$1,main!$A$3:$H$102,7,FALSE),main!$K$19:$O$22,MATCH(VLOOKUP($A9,main!$A$3:$H$102,8,FALSE),main!$K$18:$O$18,0))))),1,0)</f>
        <v>0</v>
      </c>
      <c r="BE9">
        <f>IF((AND(VLOOKUP(BE$1,main!$A$3:$H$102,5,FALSE)-VLOOKUP($A9,main!$A$3:$H$102,6,FALSE)&gt;=(VLOOKUP(VLOOKUP(BE$1,main!$A$3:$H$102,8,FALSE),main!$K$26:$M$29,2,FALSE)+VLOOKUP(VLOOKUP(BE$1,main!$A$3:$H$102,7,FALSE),main!$K$19:$O$22,MATCH(VLOOKUP($A9,main!$A$3:$H$102,8,FALSE),main!$K$18:$O$18,0))))),1,0)</f>
        <v>0</v>
      </c>
      <c r="BF9">
        <f>IF((AND(VLOOKUP(BF$1,main!$A$3:$H$102,5,FALSE)-VLOOKUP($A9,main!$A$3:$H$102,6,FALSE)&gt;=(VLOOKUP(VLOOKUP(BF$1,main!$A$3:$H$102,8,FALSE),main!$K$26:$M$29,2,FALSE)+VLOOKUP(VLOOKUP(BF$1,main!$A$3:$H$102,7,FALSE),main!$K$19:$O$22,MATCH(VLOOKUP($A9,main!$A$3:$H$102,8,FALSE),main!$K$18:$O$18,0))))),1,0)</f>
        <v>0</v>
      </c>
      <c r="BG9">
        <f>IF((AND(VLOOKUP(BG$1,main!$A$3:$H$102,5,FALSE)-VLOOKUP($A9,main!$A$3:$H$102,6,FALSE)&gt;=(VLOOKUP(VLOOKUP(BG$1,main!$A$3:$H$102,8,FALSE),main!$K$26:$M$29,2,FALSE)+VLOOKUP(VLOOKUP(BG$1,main!$A$3:$H$102,7,FALSE),main!$K$19:$O$22,MATCH(VLOOKUP($A9,main!$A$3:$H$102,8,FALSE),main!$K$18:$O$18,0))))),1,0)</f>
        <v>0</v>
      </c>
      <c r="BH9">
        <f>IF((AND(VLOOKUP(BH$1,main!$A$3:$H$102,5,FALSE)-VLOOKUP($A9,main!$A$3:$H$102,6,FALSE)&gt;=(VLOOKUP(VLOOKUP(BH$1,main!$A$3:$H$102,8,FALSE),main!$K$26:$M$29,2,FALSE)+VLOOKUP(VLOOKUP(BH$1,main!$A$3:$H$102,7,FALSE),main!$K$19:$O$22,MATCH(VLOOKUP($A9,main!$A$3:$H$102,8,FALSE),main!$K$18:$O$18,0))))),1,0)</f>
        <v>0</v>
      </c>
      <c r="BI9">
        <f>IF((AND(VLOOKUP(BI$1,main!$A$3:$H$102,5,FALSE)-VLOOKUP($A9,main!$A$3:$H$102,6,FALSE)&gt;=(VLOOKUP(VLOOKUP(BI$1,main!$A$3:$H$102,8,FALSE),main!$K$26:$M$29,2,FALSE)+VLOOKUP(VLOOKUP(BI$1,main!$A$3:$H$102,7,FALSE),main!$K$19:$O$22,MATCH(VLOOKUP($A9,main!$A$3:$H$102,8,FALSE),main!$K$18:$O$18,0))))),1,0)</f>
        <v>1</v>
      </c>
      <c r="BJ9">
        <f>IF((AND(VLOOKUP(BJ$1,main!$A$3:$H$102,5,FALSE)-VLOOKUP($A9,main!$A$3:$H$102,6,FALSE)&gt;=(VLOOKUP(VLOOKUP(BJ$1,main!$A$3:$H$102,8,FALSE),main!$K$26:$M$29,2,FALSE)+VLOOKUP(VLOOKUP(BJ$1,main!$A$3:$H$102,7,FALSE),main!$K$19:$O$22,MATCH(VLOOKUP($A9,main!$A$3:$H$102,8,FALSE),main!$K$18:$O$18,0))))),1,0)</f>
        <v>0</v>
      </c>
      <c r="BK9">
        <f>IF((AND(VLOOKUP(BK$1,main!$A$3:$H$102,5,FALSE)-VLOOKUP($A9,main!$A$3:$H$102,6,FALSE)&gt;=(VLOOKUP(VLOOKUP(BK$1,main!$A$3:$H$102,8,FALSE),main!$K$26:$M$29,2,FALSE)+VLOOKUP(VLOOKUP(BK$1,main!$A$3:$H$102,7,FALSE),main!$K$19:$O$22,MATCH(VLOOKUP($A9,main!$A$3:$H$102,8,FALSE),main!$K$18:$O$18,0))))),1,0)</f>
        <v>0</v>
      </c>
      <c r="BL9">
        <f>IF((AND(VLOOKUP(BL$1,main!$A$3:$H$102,5,FALSE)-VLOOKUP($A9,main!$A$3:$H$102,6,FALSE)&gt;=(VLOOKUP(VLOOKUP(BL$1,main!$A$3:$H$102,8,FALSE),main!$K$26:$M$29,2,FALSE)+VLOOKUP(VLOOKUP(BL$1,main!$A$3:$H$102,7,FALSE),main!$K$19:$O$22,MATCH(VLOOKUP($A9,main!$A$3:$H$102,8,FALSE),main!$K$18:$O$18,0))))),1,0)</f>
        <v>0</v>
      </c>
      <c r="BM9">
        <f>IF((AND(VLOOKUP(BM$1,main!$A$3:$H$102,5,FALSE)-VLOOKUP($A9,main!$A$3:$H$102,6,FALSE)&gt;=(VLOOKUP(VLOOKUP(BM$1,main!$A$3:$H$102,8,FALSE),main!$K$26:$M$29,2,FALSE)+VLOOKUP(VLOOKUP(BM$1,main!$A$3:$H$102,7,FALSE),main!$K$19:$O$22,MATCH(VLOOKUP($A9,main!$A$3:$H$102,8,FALSE),main!$K$18:$O$18,0))))),1,0)</f>
        <v>0</v>
      </c>
      <c r="BN9">
        <f>IF((AND(VLOOKUP(BN$1,main!$A$3:$H$102,5,FALSE)-VLOOKUP($A9,main!$A$3:$H$102,6,FALSE)&gt;=(VLOOKUP(VLOOKUP(BN$1,main!$A$3:$H$102,8,FALSE),main!$K$26:$M$29,2,FALSE)+VLOOKUP(VLOOKUP(BN$1,main!$A$3:$H$102,7,FALSE),main!$K$19:$O$22,MATCH(VLOOKUP($A9,main!$A$3:$H$102,8,FALSE),main!$K$18:$O$18,0))))),1,0)</f>
        <v>0</v>
      </c>
      <c r="BO9">
        <f>IF((AND(VLOOKUP(BO$1,main!$A$3:$H$102,5,FALSE)-VLOOKUP($A9,main!$A$3:$H$102,6,FALSE)&gt;=(VLOOKUP(VLOOKUP(BO$1,main!$A$3:$H$102,8,FALSE),main!$K$26:$M$29,2,FALSE)+VLOOKUP(VLOOKUP(BO$1,main!$A$3:$H$102,7,FALSE),main!$K$19:$O$22,MATCH(VLOOKUP($A9,main!$A$3:$H$102,8,FALSE),main!$K$18:$O$18,0))))),1,0)</f>
        <v>0</v>
      </c>
      <c r="BP9">
        <f>IF((AND(VLOOKUP(BP$1,main!$A$3:$H$102,5,FALSE)-VLOOKUP($A9,main!$A$3:$H$102,6,FALSE)&gt;=(VLOOKUP(VLOOKUP(BP$1,main!$A$3:$H$102,8,FALSE),main!$K$26:$M$29,2,FALSE)+VLOOKUP(VLOOKUP(BP$1,main!$A$3:$H$102,7,FALSE),main!$K$19:$O$22,MATCH(VLOOKUP($A9,main!$A$3:$H$102,8,FALSE),main!$K$18:$O$18,0))))),1,0)</f>
        <v>0</v>
      </c>
      <c r="BQ9">
        <f>IF((AND(VLOOKUP(BQ$1,main!$A$3:$H$102,5,FALSE)-VLOOKUP($A9,main!$A$3:$H$102,6,FALSE)&gt;=(VLOOKUP(VLOOKUP(BQ$1,main!$A$3:$H$102,8,FALSE),main!$K$26:$M$29,2,FALSE)+VLOOKUP(VLOOKUP(BQ$1,main!$A$3:$H$102,7,FALSE),main!$K$19:$O$22,MATCH(VLOOKUP($A9,main!$A$3:$H$102,8,FALSE),main!$K$18:$O$18,0))))),1,0)</f>
        <v>0</v>
      </c>
      <c r="BR9">
        <f>IF((AND(VLOOKUP(BR$1,main!$A$3:$H$102,5,FALSE)-VLOOKUP($A9,main!$A$3:$H$102,6,FALSE)&gt;=(VLOOKUP(VLOOKUP(BR$1,main!$A$3:$H$102,8,FALSE),main!$K$26:$M$29,2,FALSE)+VLOOKUP(VLOOKUP(BR$1,main!$A$3:$H$102,7,FALSE),main!$K$19:$O$22,MATCH(VLOOKUP($A9,main!$A$3:$H$102,8,FALSE),main!$K$18:$O$18,0))))),1,0)</f>
        <v>0</v>
      </c>
      <c r="BS9">
        <f>IF((AND(VLOOKUP(BS$1,main!$A$3:$H$102,5,FALSE)-VLOOKUP($A9,main!$A$3:$H$102,6,FALSE)&gt;=(VLOOKUP(VLOOKUP(BS$1,main!$A$3:$H$102,8,FALSE),main!$K$26:$M$29,2,FALSE)+VLOOKUP(VLOOKUP(BS$1,main!$A$3:$H$102,7,FALSE),main!$K$19:$O$22,MATCH(VLOOKUP($A9,main!$A$3:$H$102,8,FALSE),main!$K$18:$O$18,0))))),1,0)</f>
        <v>0</v>
      </c>
      <c r="BT9">
        <f>IF((AND(VLOOKUP(BT$1,main!$A$3:$H$102,5,FALSE)-VLOOKUP($A9,main!$A$3:$H$102,6,FALSE)&gt;=(VLOOKUP(VLOOKUP(BT$1,main!$A$3:$H$102,8,FALSE),main!$K$26:$M$29,2,FALSE)+VLOOKUP(VLOOKUP(BT$1,main!$A$3:$H$102,7,FALSE),main!$K$19:$O$22,MATCH(VLOOKUP($A9,main!$A$3:$H$102,8,FALSE),main!$K$18:$O$18,0))))),1,0)</f>
        <v>0</v>
      </c>
      <c r="BU9">
        <f>IF((AND(VLOOKUP(BU$1,main!$A$3:$H$102,5,FALSE)-VLOOKUP($A9,main!$A$3:$H$102,6,FALSE)&gt;=(VLOOKUP(VLOOKUP(BU$1,main!$A$3:$H$102,8,FALSE),main!$K$26:$M$29,2,FALSE)+VLOOKUP(VLOOKUP(BU$1,main!$A$3:$H$102,7,FALSE),main!$K$19:$O$22,MATCH(VLOOKUP($A9,main!$A$3:$H$102,8,FALSE),main!$K$18:$O$18,0))))),1,0)</f>
        <v>0</v>
      </c>
      <c r="BV9">
        <f>IF((AND(VLOOKUP(BV$1,main!$A$3:$H$102,5,FALSE)-VLOOKUP($A9,main!$A$3:$H$102,6,FALSE)&gt;=(VLOOKUP(VLOOKUP(BV$1,main!$A$3:$H$102,8,FALSE),main!$K$26:$M$29,2,FALSE)+VLOOKUP(VLOOKUP(BV$1,main!$A$3:$H$102,7,FALSE),main!$K$19:$O$22,MATCH(VLOOKUP($A9,main!$A$3:$H$102,8,FALSE),main!$K$18:$O$18,0))))),1,0)</f>
        <v>0</v>
      </c>
      <c r="BW9">
        <f>IF((AND(VLOOKUP(BW$1,main!$A$3:$H$102,5,FALSE)-VLOOKUP($A9,main!$A$3:$H$102,6,FALSE)&gt;=(VLOOKUP(VLOOKUP(BW$1,main!$A$3:$H$102,8,FALSE),main!$K$26:$M$29,2,FALSE)+VLOOKUP(VLOOKUP(BW$1,main!$A$3:$H$102,7,FALSE),main!$K$19:$O$22,MATCH(VLOOKUP($A9,main!$A$3:$H$102,8,FALSE),main!$K$18:$O$18,0))))),1,0)</f>
        <v>0</v>
      </c>
      <c r="BX9">
        <f>IF((AND(VLOOKUP(BX$1,main!$A$3:$H$102,5,FALSE)-VLOOKUP($A9,main!$A$3:$H$102,6,FALSE)&gt;=(VLOOKUP(VLOOKUP(BX$1,main!$A$3:$H$102,8,FALSE),main!$K$26:$M$29,2,FALSE)+VLOOKUP(VLOOKUP(BX$1,main!$A$3:$H$102,7,FALSE),main!$K$19:$O$22,MATCH(VLOOKUP($A9,main!$A$3:$H$102,8,FALSE),main!$K$18:$O$18,0))))),1,0)</f>
        <v>0</v>
      </c>
      <c r="BY9">
        <f>IF((AND(VLOOKUP(BY$1,main!$A$3:$H$102,5,FALSE)-VLOOKUP($A9,main!$A$3:$H$102,6,FALSE)&gt;=(VLOOKUP(VLOOKUP(BY$1,main!$A$3:$H$102,8,FALSE),main!$K$26:$M$29,2,FALSE)+VLOOKUP(VLOOKUP(BY$1,main!$A$3:$H$102,7,FALSE),main!$K$19:$O$22,MATCH(VLOOKUP($A9,main!$A$3:$H$102,8,FALSE),main!$K$18:$O$18,0))))),1,0)</f>
        <v>0</v>
      </c>
      <c r="BZ9">
        <f>IF((AND(VLOOKUP(BZ$1,main!$A$3:$H$102,5,FALSE)-VLOOKUP($A9,main!$A$3:$H$102,6,FALSE)&gt;=(VLOOKUP(VLOOKUP(BZ$1,main!$A$3:$H$102,8,FALSE),main!$K$26:$M$29,2,FALSE)+VLOOKUP(VLOOKUP(BZ$1,main!$A$3:$H$102,7,FALSE),main!$K$19:$O$22,MATCH(VLOOKUP($A9,main!$A$3:$H$102,8,FALSE),main!$K$18:$O$18,0))))),1,0)</f>
        <v>0</v>
      </c>
      <c r="CA9">
        <f>IF((AND(VLOOKUP(CA$1,main!$A$3:$H$102,5,FALSE)-VLOOKUP($A9,main!$A$3:$H$102,6,FALSE)&gt;=(VLOOKUP(VLOOKUP(CA$1,main!$A$3:$H$102,8,FALSE),main!$K$26:$M$29,2,FALSE)+VLOOKUP(VLOOKUP(CA$1,main!$A$3:$H$102,7,FALSE),main!$K$19:$O$22,MATCH(VLOOKUP($A9,main!$A$3:$H$102,8,FALSE),main!$K$18:$O$18,0))))),1,0)</f>
        <v>0</v>
      </c>
      <c r="CB9">
        <f>IF((AND(VLOOKUP(CB$1,main!$A$3:$H$102,5,FALSE)-VLOOKUP($A9,main!$A$3:$H$102,6,FALSE)&gt;=(VLOOKUP(VLOOKUP(CB$1,main!$A$3:$H$102,8,FALSE),main!$K$26:$M$29,2,FALSE)+VLOOKUP(VLOOKUP(CB$1,main!$A$3:$H$102,7,FALSE),main!$K$19:$O$22,MATCH(VLOOKUP($A9,main!$A$3:$H$102,8,FALSE),main!$K$18:$O$18,0))))),1,0)</f>
        <v>0</v>
      </c>
      <c r="CC9">
        <f>IF((AND(VLOOKUP(CC$1,main!$A$3:$H$102,5,FALSE)-VLOOKUP($A9,main!$A$3:$H$102,6,FALSE)&gt;=(VLOOKUP(VLOOKUP(CC$1,main!$A$3:$H$102,8,FALSE),main!$K$26:$M$29,2,FALSE)+VLOOKUP(VLOOKUP(CC$1,main!$A$3:$H$102,7,FALSE),main!$K$19:$O$22,MATCH(VLOOKUP($A9,main!$A$3:$H$102,8,FALSE),main!$K$18:$O$18,0))))),1,0)</f>
        <v>0</v>
      </c>
      <c r="CD9">
        <f>IF((AND(VLOOKUP(CD$1,main!$A$3:$H$102,5,FALSE)-VLOOKUP($A9,main!$A$3:$H$102,6,FALSE)&gt;=(VLOOKUP(VLOOKUP(CD$1,main!$A$3:$H$102,8,FALSE),main!$K$26:$M$29,2,FALSE)+VLOOKUP(VLOOKUP(CD$1,main!$A$3:$H$102,7,FALSE),main!$K$19:$O$22,MATCH(VLOOKUP($A9,main!$A$3:$H$102,8,FALSE),main!$K$18:$O$18,0))))),1,0)</f>
        <v>0</v>
      </c>
      <c r="CE9">
        <f>IF((AND(VLOOKUP(CE$1,main!$A$3:$H$102,5,FALSE)-VLOOKUP($A9,main!$A$3:$H$102,6,FALSE)&gt;=(VLOOKUP(VLOOKUP(CE$1,main!$A$3:$H$102,8,FALSE),main!$K$26:$M$29,2,FALSE)+VLOOKUP(VLOOKUP(CE$1,main!$A$3:$H$102,7,FALSE),main!$K$19:$O$22,MATCH(VLOOKUP($A9,main!$A$3:$H$102,8,FALSE),main!$K$18:$O$18,0))))),1,0)</f>
        <v>0</v>
      </c>
      <c r="CF9">
        <f>IF((AND(VLOOKUP(CF$1,main!$A$3:$H$102,5,FALSE)-VLOOKUP($A9,main!$A$3:$H$102,6,FALSE)&gt;=(VLOOKUP(VLOOKUP(CF$1,main!$A$3:$H$102,8,FALSE),main!$K$26:$M$29,2,FALSE)+VLOOKUP(VLOOKUP(CF$1,main!$A$3:$H$102,7,FALSE),main!$K$19:$O$22,MATCH(VLOOKUP($A9,main!$A$3:$H$102,8,FALSE),main!$K$18:$O$18,0))))),1,0)</f>
        <v>0</v>
      </c>
      <c r="CG9">
        <f>IF((AND(VLOOKUP(CG$1,main!$A$3:$H$102,5,FALSE)-VLOOKUP($A9,main!$A$3:$H$102,6,FALSE)&gt;=(VLOOKUP(VLOOKUP(CG$1,main!$A$3:$H$102,8,FALSE),main!$K$26:$M$29,2,FALSE)+VLOOKUP(VLOOKUP(CG$1,main!$A$3:$H$102,7,FALSE),main!$K$19:$O$22,MATCH(VLOOKUP($A9,main!$A$3:$H$102,8,FALSE),main!$K$18:$O$18,0))))),1,0)</f>
        <v>0</v>
      </c>
      <c r="CH9">
        <f>IF((AND(VLOOKUP(CH$1,main!$A$3:$H$102,5,FALSE)-VLOOKUP($A9,main!$A$3:$H$102,6,FALSE)&gt;=(VLOOKUP(VLOOKUP(CH$1,main!$A$3:$H$102,8,FALSE),main!$K$26:$M$29,2,FALSE)+VLOOKUP(VLOOKUP(CH$1,main!$A$3:$H$102,7,FALSE),main!$K$19:$O$22,MATCH(VLOOKUP($A9,main!$A$3:$H$102,8,FALSE),main!$K$18:$O$18,0))))),1,0)</f>
        <v>0</v>
      </c>
      <c r="CI9">
        <f>IF((AND(VLOOKUP(CI$1,main!$A$3:$H$102,5,FALSE)-VLOOKUP($A9,main!$A$3:$H$102,6,FALSE)&gt;=(VLOOKUP(VLOOKUP(CI$1,main!$A$3:$H$102,8,FALSE),main!$K$26:$M$29,2,FALSE)+VLOOKUP(VLOOKUP(CI$1,main!$A$3:$H$102,7,FALSE),main!$K$19:$O$22,MATCH(VLOOKUP($A9,main!$A$3:$H$102,8,FALSE),main!$K$18:$O$18,0))))),1,0)</f>
        <v>1</v>
      </c>
      <c r="CJ9">
        <f>IF((AND(VLOOKUP(CJ$1,main!$A$3:$H$102,5,FALSE)-VLOOKUP($A9,main!$A$3:$H$102,6,FALSE)&gt;=(VLOOKUP(VLOOKUP(CJ$1,main!$A$3:$H$102,8,FALSE),main!$K$26:$M$29,2,FALSE)+VLOOKUP(VLOOKUP(CJ$1,main!$A$3:$H$102,7,FALSE),main!$K$19:$O$22,MATCH(VLOOKUP($A9,main!$A$3:$H$102,8,FALSE),main!$K$18:$O$18,0))))),1,0)</f>
        <v>0</v>
      </c>
      <c r="CK9">
        <f>IF((AND(VLOOKUP(CK$1,main!$A$3:$H$102,5,FALSE)-VLOOKUP($A9,main!$A$3:$H$102,6,FALSE)&gt;=(VLOOKUP(VLOOKUP(CK$1,main!$A$3:$H$102,8,FALSE),main!$K$26:$M$29,2,FALSE)+VLOOKUP(VLOOKUP(CK$1,main!$A$3:$H$102,7,FALSE),main!$K$19:$O$22,MATCH(VLOOKUP($A9,main!$A$3:$H$102,8,FALSE),main!$K$18:$O$18,0))))),1,0)</f>
        <v>0</v>
      </c>
      <c r="CL9">
        <f>IF((AND(VLOOKUP(CL$1,main!$A$3:$H$102,5,FALSE)-VLOOKUP($A9,main!$A$3:$H$102,6,FALSE)&gt;=(VLOOKUP(VLOOKUP(CL$1,main!$A$3:$H$102,8,FALSE),main!$K$26:$M$29,2,FALSE)+VLOOKUP(VLOOKUP(CL$1,main!$A$3:$H$102,7,FALSE),main!$K$19:$O$22,MATCH(VLOOKUP($A9,main!$A$3:$H$102,8,FALSE),main!$K$18:$O$18,0))))),1,0)</f>
        <v>0</v>
      </c>
      <c r="CM9">
        <f>IF((AND(VLOOKUP(CM$1,main!$A$3:$H$102,5,FALSE)-VLOOKUP($A9,main!$A$3:$H$102,6,FALSE)&gt;=(VLOOKUP(VLOOKUP(CM$1,main!$A$3:$H$102,8,FALSE),main!$K$26:$M$29,2,FALSE)+VLOOKUP(VLOOKUP(CM$1,main!$A$3:$H$102,7,FALSE),main!$K$19:$O$22,MATCH(VLOOKUP($A9,main!$A$3:$H$102,8,FALSE),main!$K$18:$O$18,0))))),1,0)</f>
        <v>0</v>
      </c>
      <c r="CN9">
        <f>IF((AND(VLOOKUP(CN$1,main!$A$3:$H$102,5,FALSE)-VLOOKUP($A9,main!$A$3:$H$102,6,FALSE)&gt;=(VLOOKUP(VLOOKUP(CN$1,main!$A$3:$H$102,8,FALSE),main!$K$26:$M$29,2,FALSE)+VLOOKUP(VLOOKUP(CN$1,main!$A$3:$H$102,7,FALSE),main!$K$19:$O$22,MATCH(VLOOKUP($A9,main!$A$3:$H$102,8,FALSE),main!$K$18:$O$18,0))))),1,0)</f>
        <v>1</v>
      </c>
      <c r="CO9">
        <f>IF((AND(VLOOKUP(CO$1,main!$A$3:$H$102,5,FALSE)-VLOOKUP($A9,main!$A$3:$H$102,6,FALSE)&gt;=(VLOOKUP(VLOOKUP(CO$1,main!$A$3:$H$102,8,FALSE),main!$K$26:$M$29,2,FALSE)+VLOOKUP(VLOOKUP(CO$1,main!$A$3:$H$102,7,FALSE),main!$K$19:$O$22,MATCH(VLOOKUP($A9,main!$A$3:$H$102,8,FALSE),main!$K$18:$O$18,0))))),1,0)</f>
        <v>0</v>
      </c>
      <c r="CP9">
        <f>IF((AND(VLOOKUP(CP$1,main!$A$3:$H$102,5,FALSE)-VLOOKUP($A9,main!$A$3:$H$102,6,FALSE)&gt;=(VLOOKUP(VLOOKUP(CP$1,main!$A$3:$H$102,8,FALSE),main!$K$26:$M$29,2,FALSE)+VLOOKUP(VLOOKUP(CP$1,main!$A$3:$H$102,7,FALSE),main!$K$19:$O$22,MATCH(VLOOKUP($A9,main!$A$3:$H$102,8,FALSE),main!$K$18:$O$18,0))))),1,0)</f>
        <v>0</v>
      </c>
      <c r="CQ9">
        <f>IF((AND(VLOOKUP(CQ$1,main!$A$3:$H$102,5,FALSE)-VLOOKUP($A9,main!$A$3:$H$102,6,FALSE)&gt;=(VLOOKUP(VLOOKUP(CQ$1,main!$A$3:$H$102,8,FALSE),main!$K$26:$M$29,2,FALSE)+VLOOKUP(VLOOKUP(CQ$1,main!$A$3:$H$102,7,FALSE),main!$K$19:$O$22,MATCH(VLOOKUP($A9,main!$A$3:$H$102,8,FALSE),main!$K$18:$O$18,0))))),1,0)</f>
        <v>0</v>
      </c>
      <c r="CR9">
        <f>IF((AND(VLOOKUP(CR$1,main!$A$3:$H$102,5,FALSE)-VLOOKUP($A9,main!$A$3:$H$102,6,FALSE)&gt;=(VLOOKUP(VLOOKUP(CR$1,main!$A$3:$H$102,8,FALSE),main!$K$26:$M$29,2,FALSE)+VLOOKUP(VLOOKUP(CR$1,main!$A$3:$H$102,7,FALSE),main!$K$19:$O$22,MATCH(VLOOKUP($A9,main!$A$3:$H$102,8,FALSE),main!$K$18:$O$18,0))))),1,0)</f>
        <v>0</v>
      </c>
      <c r="CS9">
        <f>IF((AND(VLOOKUP(CS$1,main!$A$3:$H$102,5,FALSE)-VLOOKUP($A9,main!$A$3:$H$102,6,FALSE)&gt;=(VLOOKUP(VLOOKUP(CS$1,main!$A$3:$H$102,8,FALSE),main!$K$26:$M$29,2,FALSE)+VLOOKUP(VLOOKUP(CS$1,main!$A$3:$H$102,7,FALSE),main!$K$19:$O$22,MATCH(VLOOKUP($A9,main!$A$3:$H$102,8,FALSE),main!$K$18:$O$18,0))))),1,0)</f>
        <v>0</v>
      </c>
      <c r="CT9">
        <f>IF((AND(VLOOKUP(CT$1,main!$A$3:$H$102,5,FALSE)-VLOOKUP($A9,main!$A$3:$H$102,6,FALSE)&gt;=(VLOOKUP(VLOOKUP(CT$1,main!$A$3:$H$102,8,FALSE),main!$K$26:$M$29,2,FALSE)+VLOOKUP(VLOOKUP(CT$1,main!$A$3:$H$102,7,FALSE),main!$K$19:$O$22,MATCH(VLOOKUP($A9,main!$A$3:$H$102,8,FALSE),main!$K$18:$O$18,0))))),1,0)</f>
        <v>0</v>
      </c>
      <c r="CU9">
        <f>IF((AND(VLOOKUP(CU$1,main!$A$3:$H$102,5,FALSE)-VLOOKUP($A9,main!$A$3:$H$102,6,FALSE)&gt;=(VLOOKUP(VLOOKUP(CU$1,main!$A$3:$H$102,8,FALSE),main!$K$26:$M$29,2,FALSE)+VLOOKUP(VLOOKUP(CU$1,main!$A$3:$H$102,7,FALSE),main!$K$19:$O$22,MATCH(VLOOKUP($A9,main!$A$3:$H$102,8,FALSE),main!$K$18:$O$18,0))))),1,0)</f>
        <v>0</v>
      </c>
      <c r="CV9">
        <f>IF((AND(VLOOKUP(CV$1,main!$A$3:$H$102,5,FALSE)-VLOOKUP($A9,main!$A$3:$H$102,6,FALSE)&gt;=(VLOOKUP(VLOOKUP(CV$1,main!$A$3:$H$102,8,FALSE),main!$K$26:$M$29,2,FALSE)+VLOOKUP(VLOOKUP(CV$1,main!$A$3:$H$102,7,FALSE),main!$K$19:$O$22,MATCH(VLOOKUP($A9,main!$A$3:$H$102,8,FALSE),main!$K$18:$O$18,0))))),1,0)</f>
        <v>0</v>
      </c>
      <c r="CW9">
        <f>IF((AND(VLOOKUP(CW$1,main!$A$3:$H$102,5,FALSE)-VLOOKUP($A9,main!$A$3:$H$102,6,FALSE)&gt;=(VLOOKUP(VLOOKUP(CW$1,main!$A$3:$H$102,8,FALSE),main!$K$26:$M$29,2,FALSE)+VLOOKUP(VLOOKUP(CW$1,main!$A$3:$H$102,7,FALSE),main!$K$19:$O$22,MATCH(VLOOKUP($A9,main!$A$3:$H$102,8,FALSE),main!$K$18:$O$18,0))))),1,0)</f>
        <v>0</v>
      </c>
      <c r="CX9">
        <f>IF((AND(VLOOKUP(CX$1,main!$A$3:$H$102,5,FALSE)-VLOOKUP($A9,main!$A$3:$H$102,6,FALSE)&gt;=(VLOOKUP(VLOOKUP(CX$1,main!$A$3:$H$102,8,FALSE),main!$K$26:$M$29,2,FALSE)+VLOOKUP(VLOOKUP(CX$1,main!$A$3:$H$102,7,FALSE),main!$K$19:$O$22,MATCH(VLOOKUP($A9,main!$A$3:$H$102,8,FALSE),main!$K$18:$O$18,0))))),1,0)</f>
        <v>0</v>
      </c>
    </row>
    <row r="10" spans="1:102" x14ac:dyDescent="0.25">
      <c r="A10" s="1">
        <v>8</v>
      </c>
      <c r="B10">
        <v>1</v>
      </c>
      <c r="C10">
        <f>IF((AND(VLOOKUP(C$1,main!$A$3:$H$102,5,FALSE)-VLOOKUP($A10,main!$A$3:$H$102,6,FALSE)&gt;=(VLOOKUP(VLOOKUP(C$1,main!$A$3:$H$102,8,FALSE),main!$K$26:$M$29,2,FALSE)+VLOOKUP(VLOOKUP(C$1,main!$A$3:$H$102,7,FALSE),main!$K$19:$O$22,MATCH(VLOOKUP($A10,main!$A$3:$H$102,8,FALSE),main!$K$18:$O$18,0))))),1,0)</f>
        <v>0</v>
      </c>
      <c r="D10">
        <f>IF((AND(VLOOKUP(D$1,main!$A$3:$H$102,5,FALSE)-VLOOKUP($A10,main!$A$3:$H$102,6,FALSE)&gt;=(VLOOKUP(VLOOKUP(D$1,main!$A$3:$H$102,8,FALSE),main!$K$26:$M$29,2,FALSE)+VLOOKUP(VLOOKUP(D$1,main!$A$3:$H$102,7,FALSE),main!$K$19:$O$22,MATCH(VLOOKUP($A10,main!$A$3:$H$102,8,FALSE),main!$K$18:$O$18,0))))),1,0)</f>
        <v>0</v>
      </c>
      <c r="E10">
        <f>IF((AND(VLOOKUP(E$1,main!$A$3:$H$102,5,FALSE)-VLOOKUP($A10,main!$A$3:$H$102,6,FALSE)&gt;=(VLOOKUP(VLOOKUP(E$1,main!$A$3:$H$102,8,FALSE),main!$K$26:$M$29,2,FALSE)+VLOOKUP(VLOOKUP(E$1,main!$A$3:$H$102,7,FALSE),main!$K$19:$O$22,MATCH(VLOOKUP($A10,main!$A$3:$H$102,8,FALSE),main!$K$18:$O$18,0))))),1,0)</f>
        <v>0</v>
      </c>
      <c r="F10">
        <f>IF((AND(VLOOKUP(F$1,main!$A$3:$H$102,5,FALSE)-VLOOKUP($A10,main!$A$3:$H$102,6,FALSE)&gt;=(VLOOKUP(VLOOKUP(F$1,main!$A$3:$H$102,8,FALSE),main!$K$26:$M$29,2,FALSE)+VLOOKUP(VLOOKUP(F$1,main!$A$3:$H$102,7,FALSE),main!$K$19:$O$22,MATCH(VLOOKUP($A10,main!$A$3:$H$102,8,FALSE),main!$K$18:$O$18,0))))),1,0)</f>
        <v>0</v>
      </c>
      <c r="G10">
        <f>IF((AND(VLOOKUP(G$1,main!$A$3:$H$102,5,FALSE)-VLOOKUP($A10,main!$A$3:$H$102,6,FALSE)&gt;=(VLOOKUP(VLOOKUP(G$1,main!$A$3:$H$102,8,FALSE),main!$K$26:$M$29,2,FALSE)+VLOOKUP(VLOOKUP(G$1,main!$A$3:$H$102,7,FALSE),main!$K$19:$O$22,MATCH(VLOOKUP($A10,main!$A$3:$H$102,8,FALSE),main!$K$18:$O$18,0))))),1,0)</f>
        <v>0</v>
      </c>
      <c r="H10">
        <f>IF((AND(VLOOKUP(H$1,main!$A$3:$H$102,5,FALSE)-VLOOKUP($A10,main!$A$3:$H$102,6,FALSE)&gt;=(VLOOKUP(VLOOKUP(H$1,main!$A$3:$H$102,8,FALSE),main!$K$26:$M$29,2,FALSE)+VLOOKUP(VLOOKUP(H$1,main!$A$3:$H$102,7,FALSE),main!$K$19:$O$22,MATCH(VLOOKUP($A10,main!$A$3:$H$102,8,FALSE),main!$K$18:$O$18,0))))),1,0)</f>
        <v>0</v>
      </c>
      <c r="I10">
        <f>IF((AND(VLOOKUP(I$1,main!$A$3:$H$102,5,FALSE)-VLOOKUP($A10,main!$A$3:$H$102,6,FALSE)&gt;=(VLOOKUP(VLOOKUP(I$1,main!$A$3:$H$102,8,FALSE),main!$K$26:$M$29,2,FALSE)+VLOOKUP(VLOOKUP(I$1,main!$A$3:$H$102,7,FALSE),main!$K$19:$O$22,MATCH(VLOOKUP($A10,main!$A$3:$H$102,8,FALSE),main!$K$18:$O$18,0))))),1,0)</f>
        <v>0</v>
      </c>
      <c r="J10">
        <f>IF((AND(VLOOKUP(J$1,main!$A$3:$H$102,5,FALSE)-VLOOKUP($A10,main!$A$3:$H$102,6,FALSE)&gt;=(VLOOKUP(VLOOKUP(J$1,main!$A$3:$H$102,8,FALSE),main!$K$26:$M$29,2,FALSE)+VLOOKUP(VLOOKUP(J$1,main!$A$3:$H$102,7,FALSE),main!$K$19:$O$22,MATCH(VLOOKUP($A10,main!$A$3:$H$102,8,FALSE),main!$K$18:$O$18,0))))),1,0)</f>
        <v>0</v>
      </c>
      <c r="K10">
        <f>IF((AND(VLOOKUP(K$1,main!$A$3:$H$102,5,FALSE)-VLOOKUP($A10,main!$A$3:$H$102,6,FALSE)&gt;=(VLOOKUP(VLOOKUP(K$1,main!$A$3:$H$102,8,FALSE),main!$K$26:$M$29,2,FALSE)+VLOOKUP(VLOOKUP(K$1,main!$A$3:$H$102,7,FALSE),main!$K$19:$O$22,MATCH(VLOOKUP($A10,main!$A$3:$H$102,8,FALSE),main!$K$18:$O$18,0))))),1,0)</f>
        <v>0</v>
      </c>
      <c r="L10">
        <f>IF((AND(VLOOKUP(L$1,main!$A$3:$H$102,5,FALSE)-VLOOKUP($A10,main!$A$3:$H$102,6,FALSE)&gt;=(VLOOKUP(VLOOKUP(L$1,main!$A$3:$H$102,8,FALSE),main!$K$26:$M$29,2,FALSE)+VLOOKUP(VLOOKUP(L$1,main!$A$3:$H$102,7,FALSE),main!$K$19:$O$22,MATCH(VLOOKUP($A10,main!$A$3:$H$102,8,FALSE),main!$K$18:$O$18,0))))),1,0)</f>
        <v>0</v>
      </c>
      <c r="M10">
        <f>IF((AND(VLOOKUP(M$1,main!$A$3:$H$102,5,FALSE)-VLOOKUP($A10,main!$A$3:$H$102,6,FALSE)&gt;=(VLOOKUP(VLOOKUP(M$1,main!$A$3:$H$102,8,FALSE),main!$K$26:$M$29,2,FALSE)+VLOOKUP(VLOOKUP(M$1,main!$A$3:$H$102,7,FALSE),main!$K$19:$O$22,MATCH(VLOOKUP($A10,main!$A$3:$H$102,8,FALSE),main!$K$18:$O$18,0))))),1,0)</f>
        <v>0</v>
      </c>
      <c r="N10">
        <f>IF((AND(VLOOKUP(N$1,main!$A$3:$H$102,5,FALSE)-VLOOKUP($A10,main!$A$3:$H$102,6,FALSE)&gt;=(VLOOKUP(VLOOKUP(N$1,main!$A$3:$H$102,8,FALSE),main!$K$26:$M$29,2,FALSE)+VLOOKUP(VLOOKUP(N$1,main!$A$3:$H$102,7,FALSE),main!$K$19:$O$22,MATCH(VLOOKUP($A10,main!$A$3:$H$102,8,FALSE),main!$K$18:$O$18,0))))),1,0)</f>
        <v>0</v>
      </c>
      <c r="O10">
        <f>IF((AND(VLOOKUP(O$1,main!$A$3:$H$102,5,FALSE)-VLOOKUP($A10,main!$A$3:$H$102,6,FALSE)&gt;=(VLOOKUP(VLOOKUP(O$1,main!$A$3:$H$102,8,FALSE),main!$K$26:$M$29,2,FALSE)+VLOOKUP(VLOOKUP(O$1,main!$A$3:$H$102,7,FALSE),main!$K$19:$O$22,MATCH(VLOOKUP($A10,main!$A$3:$H$102,8,FALSE),main!$K$18:$O$18,0))))),1,0)</f>
        <v>0</v>
      </c>
      <c r="P10">
        <f>IF((AND(VLOOKUP(P$1,main!$A$3:$H$102,5,FALSE)-VLOOKUP($A10,main!$A$3:$H$102,6,FALSE)&gt;=(VLOOKUP(VLOOKUP(P$1,main!$A$3:$H$102,8,FALSE),main!$K$26:$M$29,2,FALSE)+VLOOKUP(VLOOKUP(P$1,main!$A$3:$H$102,7,FALSE),main!$K$19:$O$22,MATCH(VLOOKUP($A10,main!$A$3:$H$102,8,FALSE),main!$K$18:$O$18,0))))),1,0)</f>
        <v>0</v>
      </c>
      <c r="Q10">
        <f>IF((AND(VLOOKUP(Q$1,main!$A$3:$H$102,5,FALSE)-VLOOKUP($A10,main!$A$3:$H$102,6,FALSE)&gt;=(VLOOKUP(VLOOKUP(Q$1,main!$A$3:$H$102,8,FALSE),main!$K$26:$M$29,2,FALSE)+VLOOKUP(VLOOKUP(Q$1,main!$A$3:$H$102,7,FALSE),main!$K$19:$O$22,MATCH(VLOOKUP($A10,main!$A$3:$H$102,8,FALSE),main!$K$18:$O$18,0))))),1,0)</f>
        <v>0</v>
      </c>
      <c r="R10">
        <f>IF((AND(VLOOKUP(R$1,main!$A$3:$H$102,5,FALSE)-VLOOKUP($A10,main!$A$3:$H$102,6,FALSE)&gt;=(VLOOKUP(VLOOKUP(R$1,main!$A$3:$H$102,8,FALSE),main!$K$26:$M$29,2,FALSE)+VLOOKUP(VLOOKUP(R$1,main!$A$3:$H$102,7,FALSE),main!$K$19:$O$22,MATCH(VLOOKUP($A10,main!$A$3:$H$102,8,FALSE),main!$K$18:$O$18,0))))),1,0)</f>
        <v>0</v>
      </c>
      <c r="S10">
        <f>IF((AND(VLOOKUP(S$1,main!$A$3:$H$102,5,FALSE)-VLOOKUP($A10,main!$A$3:$H$102,6,FALSE)&gt;=(VLOOKUP(VLOOKUP(S$1,main!$A$3:$H$102,8,FALSE),main!$K$26:$M$29,2,FALSE)+VLOOKUP(VLOOKUP(S$1,main!$A$3:$H$102,7,FALSE),main!$K$19:$O$22,MATCH(VLOOKUP($A10,main!$A$3:$H$102,8,FALSE),main!$K$18:$O$18,0))))),1,0)</f>
        <v>0</v>
      </c>
      <c r="T10">
        <f>IF((AND(VLOOKUP(T$1,main!$A$3:$H$102,5,FALSE)-VLOOKUP($A10,main!$A$3:$H$102,6,FALSE)&gt;=(VLOOKUP(VLOOKUP(T$1,main!$A$3:$H$102,8,FALSE),main!$K$26:$M$29,2,FALSE)+VLOOKUP(VLOOKUP(T$1,main!$A$3:$H$102,7,FALSE),main!$K$19:$O$22,MATCH(VLOOKUP($A10,main!$A$3:$H$102,8,FALSE),main!$K$18:$O$18,0))))),1,0)</f>
        <v>0</v>
      </c>
      <c r="U10">
        <f>IF((AND(VLOOKUP(U$1,main!$A$3:$H$102,5,FALSE)-VLOOKUP($A10,main!$A$3:$H$102,6,FALSE)&gt;=(VLOOKUP(VLOOKUP(U$1,main!$A$3:$H$102,8,FALSE),main!$K$26:$M$29,2,FALSE)+VLOOKUP(VLOOKUP(U$1,main!$A$3:$H$102,7,FALSE),main!$K$19:$O$22,MATCH(VLOOKUP($A10,main!$A$3:$H$102,8,FALSE),main!$K$18:$O$18,0))))),1,0)</f>
        <v>0</v>
      </c>
      <c r="V10">
        <f>IF((AND(VLOOKUP(V$1,main!$A$3:$H$102,5,FALSE)-VLOOKUP($A10,main!$A$3:$H$102,6,FALSE)&gt;=(VLOOKUP(VLOOKUP(V$1,main!$A$3:$H$102,8,FALSE),main!$K$26:$M$29,2,FALSE)+VLOOKUP(VLOOKUP(V$1,main!$A$3:$H$102,7,FALSE),main!$K$19:$O$22,MATCH(VLOOKUP($A10,main!$A$3:$H$102,8,FALSE),main!$K$18:$O$18,0))))),1,0)</f>
        <v>1</v>
      </c>
      <c r="W10">
        <f>IF((AND(VLOOKUP(W$1,main!$A$3:$H$102,5,FALSE)-VLOOKUP($A10,main!$A$3:$H$102,6,FALSE)&gt;=(VLOOKUP(VLOOKUP(W$1,main!$A$3:$H$102,8,FALSE),main!$K$26:$M$29,2,FALSE)+VLOOKUP(VLOOKUP(W$1,main!$A$3:$H$102,7,FALSE),main!$K$19:$O$22,MATCH(VLOOKUP($A10,main!$A$3:$H$102,8,FALSE),main!$K$18:$O$18,0))))),1,0)</f>
        <v>0</v>
      </c>
      <c r="X10">
        <f>IF((AND(VLOOKUP(X$1,main!$A$3:$H$102,5,FALSE)-VLOOKUP($A10,main!$A$3:$H$102,6,FALSE)&gt;=(VLOOKUP(VLOOKUP(X$1,main!$A$3:$H$102,8,FALSE),main!$K$26:$M$29,2,FALSE)+VLOOKUP(VLOOKUP(X$1,main!$A$3:$H$102,7,FALSE),main!$K$19:$O$22,MATCH(VLOOKUP($A10,main!$A$3:$H$102,8,FALSE),main!$K$18:$O$18,0))))),1,0)</f>
        <v>0</v>
      </c>
      <c r="Y10">
        <f>IF((AND(VLOOKUP(Y$1,main!$A$3:$H$102,5,FALSE)-VLOOKUP($A10,main!$A$3:$H$102,6,FALSE)&gt;=(VLOOKUP(VLOOKUP(Y$1,main!$A$3:$H$102,8,FALSE),main!$K$26:$M$29,2,FALSE)+VLOOKUP(VLOOKUP(Y$1,main!$A$3:$H$102,7,FALSE),main!$K$19:$O$22,MATCH(VLOOKUP($A10,main!$A$3:$H$102,8,FALSE),main!$K$18:$O$18,0))))),1,0)</f>
        <v>0</v>
      </c>
      <c r="Z10">
        <f>IF((AND(VLOOKUP(Z$1,main!$A$3:$H$102,5,FALSE)-VLOOKUP($A10,main!$A$3:$H$102,6,FALSE)&gt;=(VLOOKUP(VLOOKUP(Z$1,main!$A$3:$H$102,8,FALSE),main!$K$26:$M$29,2,FALSE)+VLOOKUP(VLOOKUP(Z$1,main!$A$3:$H$102,7,FALSE),main!$K$19:$O$22,MATCH(VLOOKUP($A10,main!$A$3:$H$102,8,FALSE),main!$K$18:$O$18,0))))),1,0)</f>
        <v>0</v>
      </c>
      <c r="AA10">
        <f>IF((AND(VLOOKUP(AA$1,main!$A$3:$H$102,5,FALSE)-VLOOKUP($A10,main!$A$3:$H$102,6,FALSE)&gt;=(VLOOKUP(VLOOKUP(AA$1,main!$A$3:$H$102,8,FALSE),main!$K$26:$M$29,2,FALSE)+VLOOKUP(VLOOKUP(AA$1,main!$A$3:$H$102,7,FALSE),main!$K$19:$O$22,MATCH(VLOOKUP($A10,main!$A$3:$H$102,8,FALSE),main!$K$18:$O$18,0))))),1,0)</f>
        <v>0</v>
      </c>
      <c r="AB10">
        <f>IF((AND(VLOOKUP(AB$1,main!$A$3:$H$102,5,FALSE)-VLOOKUP($A10,main!$A$3:$H$102,6,FALSE)&gt;=(VLOOKUP(VLOOKUP(AB$1,main!$A$3:$H$102,8,FALSE),main!$K$26:$M$29,2,FALSE)+VLOOKUP(VLOOKUP(AB$1,main!$A$3:$H$102,7,FALSE),main!$K$19:$O$22,MATCH(VLOOKUP($A10,main!$A$3:$H$102,8,FALSE),main!$K$18:$O$18,0))))),1,0)</f>
        <v>0</v>
      </c>
      <c r="AC10">
        <f>IF((AND(VLOOKUP(AC$1,main!$A$3:$H$102,5,FALSE)-VLOOKUP($A10,main!$A$3:$H$102,6,FALSE)&gt;=(VLOOKUP(VLOOKUP(AC$1,main!$A$3:$H$102,8,FALSE),main!$K$26:$M$29,2,FALSE)+VLOOKUP(VLOOKUP(AC$1,main!$A$3:$H$102,7,FALSE),main!$K$19:$O$22,MATCH(VLOOKUP($A10,main!$A$3:$H$102,8,FALSE),main!$K$18:$O$18,0))))),1,0)</f>
        <v>0</v>
      </c>
      <c r="AD10">
        <f>IF((AND(VLOOKUP(AD$1,main!$A$3:$H$102,5,FALSE)-VLOOKUP($A10,main!$A$3:$H$102,6,FALSE)&gt;=(VLOOKUP(VLOOKUP(AD$1,main!$A$3:$H$102,8,FALSE),main!$K$26:$M$29,2,FALSE)+VLOOKUP(VLOOKUP(AD$1,main!$A$3:$H$102,7,FALSE),main!$K$19:$O$22,MATCH(VLOOKUP($A10,main!$A$3:$H$102,8,FALSE),main!$K$18:$O$18,0))))),1,0)</f>
        <v>0</v>
      </c>
      <c r="AE10">
        <f>IF((AND(VLOOKUP(AE$1,main!$A$3:$H$102,5,FALSE)-VLOOKUP($A10,main!$A$3:$H$102,6,FALSE)&gt;=(VLOOKUP(VLOOKUP(AE$1,main!$A$3:$H$102,8,FALSE),main!$K$26:$M$29,2,FALSE)+VLOOKUP(VLOOKUP(AE$1,main!$A$3:$H$102,7,FALSE),main!$K$19:$O$22,MATCH(VLOOKUP($A10,main!$A$3:$H$102,8,FALSE),main!$K$18:$O$18,0))))),1,0)</f>
        <v>0</v>
      </c>
      <c r="AF10">
        <f>IF((AND(VLOOKUP(AF$1,main!$A$3:$H$102,5,FALSE)-VLOOKUP($A10,main!$A$3:$H$102,6,FALSE)&gt;=(VLOOKUP(VLOOKUP(AF$1,main!$A$3:$H$102,8,FALSE),main!$K$26:$M$29,2,FALSE)+VLOOKUP(VLOOKUP(AF$1,main!$A$3:$H$102,7,FALSE),main!$K$19:$O$22,MATCH(VLOOKUP($A10,main!$A$3:$H$102,8,FALSE),main!$K$18:$O$18,0))))),1,0)</f>
        <v>0</v>
      </c>
      <c r="AG10">
        <f>IF((AND(VLOOKUP(AG$1,main!$A$3:$H$102,5,FALSE)-VLOOKUP($A10,main!$A$3:$H$102,6,FALSE)&gt;=(VLOOKUP(VLOOKUP(AG$1,main!$A$3:$H$102,8,FALSE),main!$K$26:$M$29,2,FALSE)+VLOOKUP(VLOOKUP(AG$1,main!$A$3:$H$102,7,FALSE),main!$K$19:$O$22,MATCH(VLOOKUP($A10,main!$A$3:$H$102,8,FALSE),main!$K$18:$O$18,0))))),1,0)</f>
        <v>0</v>
      </c>
      <c r="AH10">
        <f>IF((AND(VLOOKUP(AH$1,main!$A$3:$H$102,5,FALSE)-VLOOKUP($A10,main!$A$3:$H$102,6,FALSE)&gt;=(VLOOKUP(VLOOKUP(AH$1,main!$A$3:$H$102,8,FALSE),main!$K$26:$M$29,2,FALSE)+VLOOKUP(VLOOKUP(AH$1,main!$A$3:$H$102,7,FALSE),main!$K$19:$O$22,MATCH(VLOOKUP($A10,main!$A$3:$H$102,8,FALSE),main!$K$18:$O$18,0))))),1,0)</f>
        <v>0</v>
      </c>
      <c r="AI10">
        <f>IF((AND(VLOOKUP(AI$1,main!$A$3:$H$102,5,FALSE)-VLOOKUP($A10,main!$A$3:$H$102,6,FALSE)&gt;=(VLOOKUP(VLOOKUP(AI$1,main!$A$3:$H$102,8,FALSE),main!$K$26:$M$29,2,FALSE)+VLOOKUP(VLOOKUP(AI$1,main!$A$3:$H$102,7,FALSE),main!$K$19:$O$22,MATCH(VLOOKUP($A10,main!$A$3:$H$102,8,FALSE),main!$K$18:$O$18,0))))),1,0)</f>
        <v>0</v>
      </c>
      <c r="AJ10">
        <f>IF((AND(VLOOKUP(AJ$1,main!$A$3:$H$102,5,FALSE)-VLOOKUP($A10,main!$A$3:$H$102,6,FALSE)&gt;=(VLOOKUP(VLOOKUP(AJ$1,main!$A$3:$H$102,8,FALSE),main!$K$26:$M$29,2,FALSE)+VLOOKUP(VLOOKUP(AJ$1,main!$A$3:$H$102,7,FALSE),main!$K$19:$O$22,MATCH(VLOOKUP($A10,main!$A$3:$H$102,8,FALSE),main!$K$18:$O$18,0))))),1,0)</f>
        <v>0</v>
      </c>
      <c r="AK10">
        <f>IF((AND(VLOOKUP(AK$1,main!$A$3:$H$102,5,FALSE)-VLOOKUP($A10,main!$A$3:$H$102,6,FALSE)&gt;=(VLOOKUP(VLOOKUP(AK$1,main!$A$3:$H$102,8,FALSE),main!$K$26:$M$29,2,FALSE)+VLOOKUP(VLOOKUP(AK$1,main!$A$3:$H$102,7,FALSE),main!$K$19:$O$22,MATCH(VLOOKUP($A10,main!$A$3:$H$102,8,FALSE),main!$K$18:$O$18,0))))),1,0)</f>
        <v>0</v>
      </c>
      <c r="AL10">
        <f>IF((AND(VLOOKUP(AL$1,main!$A$3:$H$102,5,FALSE)-VLOOKUP($A10,main!$A$3:$H$102,6,FALSE)&gt;=(VLOOKUP(VLOOKUP(AL$1,main!$A$3:$H$102,8,FALSE),main!$K$26:$M$29,2,FALSE)+VLOOKUP(VLOOKUP(AL$1,main!$A$3:$H$102,7,FALSE),main!$K$19:$O$22,MATCH(VLOOKUP($A10,main!$A$3:$H$102,8,FALSE),main!$K$18:$O$18,0))))),1,0)</f>
        <v>0</v>
      </c>
      <c r="AM10">
        <f>IF((AND(VLOOKUP(AM$1,main!$A$3:$H$102,5,FALSE)-VLOOKUP($A10,main!$A$3:$H$102,6,FALSE)&gt;=(VLOOKUP(VLOOKUP(AM$1,main!$A$3:$H$102,8,FALSE),main!$K$26:$M$29,2,FALSE)+VLOOKUP(VLOOKUP(AM$1,main!$A$3:$H$102,7,FALSE),main!$K$19:$O$22,MATCH(VLOOKUP($A10,main!$A$3:$H$102,8,FALSE),main!$K$18:$O$18,0))))),1,0)</f>
        <v>0</v>
      </c>
      <c r="AN10">
        <f>IF((AND(VLOOKUP(AN$1,main!$A$3:$H$102,5,FALSE)-VLOOKUP($A10,main!$A$3:$H$102,6,FALSE)&gt;=(VLOOKUP(VLOOKUP(AN$1,main!$A$3:$H$102,8,FALSE),main!$K$26:$M$29,2,FALSE)+VLOOKUP(VLOOKUP(AN$1,main!$A$3:$H$102,7,FALSE),main!$K$19:$O$22,MATCH(VLOOKUP($A10,main!$A$3:$H$102,8,FALSE),main!$K$18:$O$18,0))))),1,0)</f>
        <v>0</v>
      </c>
      <c r="AO10">
        <f>IF((AND(VLOOKUP(AO$1,main!$A$3:$H$102,5,FALSE)-VLOOKUP($A10,main!$A$3:$H$102,6,FALSE)&gt;=(VLOOKUP(VLOOKUP(AO$1,main!$A$3:$H$102,8,FALSE),main!$K$26:$M$29,2,FALSE)+VLOOKUP(VLOOKUP(AO$1,main!$A$3:$H$102,7,FALSE),main!$K$19:$O$22,MATCH(VLOOKUP($A10,main!$A$3:$H$102,8,FALSE),main!$K$18:$O$18,0))))),1,0)</f>
        <v>0</v>
      </c>
      <c r="AP10">
        <f>IF((AND(VLOOKUP(AP$1,main!$A$3:$H$102,5,FALSE)-VLOOKUP($A10,main!$A$3:$H$102,6,FALSE)&gt;=(VLOOKUP(VLOOKUP(AP$1,main!$A$3:$H$102,8,FALSE),main!$K$26:$M$29,2,FALSE)+VLOOKUP(VLOOKUP(AP$1,main!$A$3:$H$102,7,FALSE),main!$K$19:$O$22,MATCH(VLOOKUP($A10,main!$A$3:$H$102,8,FALSE),main!$K$18:$O$18,0))))),1,0)</f>
        <v>1</v>
      </c>
      <c r="AQ10">
        <f>IF((AND(VLOOKUP(AQ$1,main!$A$3:$H$102,5,FALSE)-VLOOKUP($A10,main!$A$3:$H$102,6,FALSE)&gt;=(VLOOKUP(VLOOKUP(AQ$1,main!$A$3:$H$102,8,FALSE),main!$K$26:$M$29,2,FALSE)+VLOOKUP(VLOOKUP(AQ$1,main!$A$3:$H$102,7,FALSE),main!$K$19:$O$22,MATCH(VLOOKUP($A10,main!$A$3:$H$102,8,FALSE),main!$K$18:$O$18,0))))),1,0)</f>
        <v>0</v>
      </c>
      <c r="AR10">
        <f>IF((AND(VLOOKUP(AR$1,main!$A$3:$H$102,5,FALSE)-VLOOKUP($A10,main!$A$3:$H$102,6,FALSE)&gt;=(VLOOKUP(VLOOKUP(AR$1,main!$A$3:$H$102,8,FALSE),main!$K$26:$M$29,2,FALSE)+VLOOKUP(VLOOKUP(AR$1,main!$A$3:$H$102,7,FALSE),main!$K$19:$O$22,MATCH(VLOOKUP($A10,main!$A$3:$H$102,8,FALSE),main!$K$18:$O$18,0))))),1,0)</f>
        <v>0</v>
      </c>
      <c r="AS10">
        <f>IF((AND(VLOOKUP(AS$1,main!$A$3:$H$102,5,FALSE)-VLOOKUP($A10,main!$A$3:$H$102,6,FALSE)&gt;=(VLOOKUP(VLOOKUP(AS$1,main!$A$3:$H$102,8,FALSE),main!$K$26:$M$29,2,FALSE)+VLOOKUP(VLOOKUP(AS$1,main!$A$3:$H$102,7,FALSE),main!$K$19:$O$22,MATCH(VLOOKUP($A10,main!$A$3:$H$102,8,FALSE),main!$K$18:$O$18,0))))),1,0)</f>
        <v>0</v>
      </c>
      <c r="AT10">
        <f>IF((AND(VLOOKUP(AT$1,main!$A$3:$H$102,5,FALSE)-VLOOKUP($A10,main!$A$3:$H$102,6,FALSE)&gt;=(VLOOKUP(VLOOKUP(AT$1,main!$A$3:$H$102,8,FALSE),main!$K$26:$M$29,2,FALSE)+VLOOKUP(VLOOKUP(AT$1,main!$A$3:$H$102,7,FALSE),main!$K$19:$O$22,MATCH(VLOOKUP($A10,main!$A$3:$H$102,8,FALSE),main!$K$18:$O$18,0))))),1,0)</f>
        <v>0</v>
      </c>
      <c r="AU10">
        <f>IF((AND(VLOOKUP(AU$1,main!$A$3:$H$102,5,FALSE)-VLOOKUP($A10,main!$A$3:$H$102,6,FALSE)&gt;=(VLOOKUP(VLOOKUP(AU$1,main!$A$3:$H$102,8,FALSE),main!$K$26:$M$29,2,FALSE)+VLOOKUP(VLOOKUP(AU$1,main!$A$3:$H$102,7,FALSE),main!$K$19:$O$22,MATCH(VLOOKUP($A10,main!$A$3:$H$102,8,FALSE),main!$K$18:$O$18,0))))),1,0)</f>
        <v>0</v>
      </c>
      <c r="AV10">
        <f>IF((AND(VLOOKUP(AV$1,main!$A$3:$H$102,5,FALSE)-VLOOKUP($A10,main!$A$3:$H$102,6,FALSE)&gt;=(VLOOKUP(VLOOKUP(AV$1,main!$A$3:$H$102,8,FALSE),main!$K$26:$M$29,2,FALSE)+VLOOKUP(VLOOKUP(AV$1,main!$A$3:$H$102,7,FALSE),main!$K$19:$O$22,MATCH(VLOOKUP($A10,main!$A$3:$H$102,8,FALSE),main!$K$18:$O$18,0))))),1,0)</f>
        <v>0</v>
      </c>
      <c r="AW10">
        <f>IF((AND(VLOOKUP(AW$1,main!$A$3:$H$102,5,FALSE)-VLOOKUP($A10,main!$A$3:$H$102,6,FALSE)&gt;=(VLOOKUP(VLOOKUP(AW$1,main!$A$3:$H$102,8,FALSE),main!$K$26:$M$29,2,FALSE)+VLOOKUP(VLOOKUP(AW$1,main!$A$3:$H$102,7,FALSE),main!$K$19:$O$22,MATCH(VLOOKUP($A10,main!$A$3:$H$102,8,FALSE),main!$K$18:$O$18,0))))),1,0)</f>
        <v>0</v>
      </c>
      <c r="AX10">
        <f>IF((AND(VLOOKUP(AX$1,main!$A$3:$H$102,5,FALSE)-VLOOKUP($A10,main!$A$3:$H$102,6,FALSE)&gt;=(VLOOKUP(VLOOKUP(AX$1,main!$A$3:$H$102,8,FALSE),main!$K$26:$M$29,2,FALSE)+VLOOKUP(VLOOKUP(AX$1,main!$A$3:$H$102,7,FALSE),main!$K$19:$O$22,MATCH(VLOOKUP($A10,main!$A$3:$H$102,8,FALSE),main!$K$18:$O$18,0))))),1,0)</f>
        <v>0</v>
      </c>
      <c r="AY10">
        <f>IF((AND(VLOOKUP(AY$1,main!$A$3:$H$102,5,FALSE)-VLOOKUP($A10,main!$A$3:$H$102,6,FALSE)&gt;=(VLOOKUP(VLOOKUP(AY$1,main!$A$3:$H$102,8,FALSE),main!$K$26:$M$29,2,FALSE)+VLOOKUP(VLOOKUP(AY$1,main!$A$3:$H$102,7,FALSE),main!$K$19:$O$22,MATCH(VLOOKUP($A10,main!$A$3:$H$102,8,FALSE),main!$K$18:$O$18,0))))),1,0)</f>
        <v>0</v>
      </c>
      <c r="AZ10">
        <f>IF((AND(VLOOKUP(AZ$1,main!$A$3:$H$102,5,FALSE)-VLOOKUP($A10,main!$A$3:$H$102,6,FALSE)&gt;=(VLOOKUP(VLOOKUP(AZ$1,main!$A$3:$H$102,8,FALSE),main!$K$26:$M$29,2,FALSE)+VLOOKUP(VLOOKUP(AZ$1,main!$A$3:$H$102,7,FALSE),main!$K$19:$O$22,MATCH(VLOOKUP($A10,main!$A$3:$H$102,8,FALSE),main!$K$18:$O$18,0))))),1,0)</f>
        <v>0</v>
      </c>
      <c r="BA10">
        <f>IF((AND(VLOOKUP(BA$1,main!$A$3:$H$102,5,FALSE)-VLOOKUP($A10,main!$A$3:$H$102,6,FALSE)&gt;=(VLOOKUP(VLOOKUP(BA$1,main!$A$3:$H$102,8,FALSE),main!$K$26:$M$29,2,FALSE)+VLOOKUP(VLOOKUP(BA$1,main!$A$3:$H$102,7,FALSE),main!$K$19:$O$22,MATCH(VLOOKUP($A10,main!$A$3:$H$102,8,FALSE),main!$K$18:$O$18,0))))),1,0)</f>
        <v>0</v>
      </c>
      <c r="BB10">
        <f>IF((AND(VLOOKUP(BB$1,main!$A$3:$H$102,5,FALSE)-VLOOKUP($A10,main!$A$3:$H$102,6,FALSE)&gt;=(VLOOKUP(VLOOKUP(BB$1,main!$A$3:$H$102,8,FALSE),main!$K$26:$M$29,2,FALSE)+VLOOKUP(VLOOKUP(BB$1,main!$A$3:$H$102,7,FALSE),main!$K$19:$O$22,MATCH(VLOOKUP($A10,main!$A$3:$H$102,8,FALSE),main!$K$18:$O$18,0))))),1,0)</f>
        <v>0</v>
      </c>
      <c r="BC10">
        <f>IF((AND(VLOOKUP(BC$1,main!$A$3:$H$102,5,FALSE)-VLOOKUP($A10,main!$A$3:$H$102,6,FALSE)&gt;=(VLOOKUP(VLOOKUP(BC$1,main!$A$3:$H$102,8,FALSE),main!$K$26:$M$29,2,FALSE)+VLOOKUP(VLOOKUP(BC$1,main!$A$3:$H$102,7,FALSE),main!$K$19:$O$22,MATCH(VLOOKUP($A10,main!$A$3:$H$102,8,FALSE),main!$K$18:$O$18,0))))),1,0)</f>
        <v>0</v>
      </c>
      <c r="BD10">
        <f>IF((AND(VLOOKUP(BD$1,main!$A$3:$H$102,5,FALSE)-VLOOKUP($A10,main!$A$3:$H$102,6,FALSE)&gt;=(VLOOKUP(VLOOKUP(BD$1,main!$A$3:$H$102,8,FALSE),main!$K$26:$M$29,2,FALSE)+VLOOKUP(VLOOKUP(BD$1,main!$A$3:$H$102,7,FALSE),main!$K$19:$O$22,MATCH(VLOOKUP($A10,main!$A$3:$H$102,8,FALSE),main!$K$18:$O$18,0))))),1,0)</f>
        <v>0</v>
      </c>
      <c r="BE10">
        <f>IF((AND(VLOOKUP(BE$1,main!$A$3:$H$102,5,FALSE)-VLOOKUP($A10,main!$A$3:$H$102,6,FALSE)&gt;=(VLOOKUP(VLOOKUP(BE$1,main!$A$3:$H$102,8,FALSE),main!$K$26:$M$29,2,FALSE)+VLOOKUP(VLOOKUP(BE$1,main!$A$3:$H$102,7,FALSE),main!$K$19:$O$22,MATCH(VLOOKUP($A10,main!$A$3:$H$102,8,FALSE),main!$K$18:$O$18,0))))),1,0)</f>
        <v>0</v>
      </c>
      <c r="BF10">
        <f>IF((AND(VLOOKUP(BF$1,main!$A$3:$H$102,5,FALSE)-VLOOKUP($A10,main!$A$3:$H$102,6,FALSE)&gt;=(VLOOKUP(VLOOKUP(BF$1,main!$A$3:$H$102,8,FALSE),main!$K$26:$M$29,2,FALSE)+VLOOKUP(VLOOKUP(BF$1,main!$A$3:$H$102,7,FALSE),main!$K$19:$O$22,MATCH(VLOOKUP($A10,main!$A$3:$H$102,8,FALSE),main!$K$18:$O$18,0))))),1,0)</f>
        <v>0</v>
      </c>
      <c r="BG10">
        <f>IF((AND(VLOOKUP(BG$1,main!$A$3:$H$102,5,FALSE)-VLOOKUP($A10,main!$A$3:$H$102,6,FALSE)&gt;=(VLOOKUP(VLOOKUP(BG$1,main!$A$3:$H$102,8,FALSE),main!$K$26:$M$29,2,FALSE)+VLOOKUP(VLOOKUP(BG$1,main!$A$3:$H$102,7,FALSE),main!$K$19:$O$22,MATCH(VLOOKUP($A10,main!$A$3:$H$102,8,FALSE),main!$K$18:$O$18,0))))),1,0)</f>
        <v>0</v>
      </c>
      <c r="BH10">
        <f>IF((AND(VLOOKUP(BH$1,main!$A$3:$H$102,5,FALSE)-VLOOKUP($A10,main!$A$3:$H$102,6,FALSE)&gt;=(VLOOKUP(VLOOKUP(BH$1,main!$A$3:$H$102,8,FALSE),main!$K$26:$M$29,2,FALSE)+VLOOKUP(VLOOKUP(BH$1,main!$A$3:$H$102,7,FALSE),main!$K$19:$O$22,MATCH(VLOOKUP($A10,main!$A$3:$H$102,8,FALSE),main!$K$18:$O$18,0))))),1,0)</f>
        <v>0</v>
      </c>
      <c r="BI10">
        <f>IF((AND(VLOOKUP(BI$1,main!$A$3:$H$102,5,FALSE)-VLOOKUP($A10,main!$A$3:$H$102,6,FALSE)&gt;=(VLOOKUP(VLOOKUP(BI$1,main!$A$3:$H$102,8,FALSE),main!$K$26:$M$29,2,FALSE)+VLOOKUP(VLOOKUP(BI$1,main!$A$3:$H$102,7,FALSE),main!$K$19:$O$22,MATCH(VLOOKUP($A10,main!$A$3:$H$102,8,FALSE),main!$K$18:$O$18,0))))),1,0)</f>
        <v>0</v>
      </c>
      <c r="BJ10">
        <f>IF((AND(VLOOKUP(BJ$1,main!$A$3:$H$102,5,FALSE)-VLOOKUP($A10,main!$A$3:$H$102,6,FALSE)&gt;=(VLOOKUP(VLOOKUP(BJ$1,main!$A$3:$H$102,8,FALSE),main!$K$26:$M$29,2,FALSE)+VLOOKUP(VLOOKUP(BJ$1,main!$A$3:$H$102,7,FALSE),main!$K$19:$O$22,MATCH(VLOOKUP($A10,main!$A$3:$H$102,8,FALSE),main!$K$18:$O$18,0))))),1,0)</f>
        <v>0</v>
      </c>
      <c r="BK10">
        <f>IF((AND(VLOOKUP(BK$1,main!$A$3:$H$102,5,FALSE)-VLOOKUP($A10,main!$A$3:$H$102,6,FALSE)&gt;=(VLOOKUP(VLOOKUP(BK$1,main!$A$3:$H$102,8,FALSE),main!$K$26:$M$29,2,FALSE)+VLOOKUP(VLOOKUP(BK$1,main!$A$3:$H$102,7,FALSE),main!$K$19:$O$22,MATCH(VLOOKUP($A10,main!$A$3:$H$102,8,FALSE),main!$K$18:$O$18,0))))),1,0)</f>
        <v>0</v>
      </c>
      <c r="BL10">
        <f>IF((AND(VLOOKUP(BL$1,main!$A$3:$H$102,5,FALSE)-VLOOKUP($A10,main!$A$3:$H$102,6,FALSE)&gt;=(VLOOKUP(VLOOKUP(BL$1,main!$A$3:$H$102,8,FALSE),main!$K$26:$M$29,2,FALSE)+VLOOKUP(VLOOKUP(BL$1,main!$A$3:$H$102,7,FALSE),main!$K$19:$O$22,MATCH(VLOOKUP($A10,main!$A$3:$H$102,8,FALSE),main!$K$18:$O$18,0))))),1,0)</f>
        <v>0</v>
      </c>
      <c r="BM10">
        <f>IF((AND(VLOOKUP(BM$1,main!$A$3:$H$102,5,FALSE)-VLOOKUP($A10,main!$A$3:$H$102,6,FALSE)&gt;=(VLOOKUP(VLOOKUP(BM$1,main!$A$3:$H$102,8,FALSE),main!$K$26:$M$29,2,FALSE)+VLOOKUP(VLOOKUP(BM$1,main!$A$3:$H$102,7,FALSE),main!$K$19:$O$22,MATCH(VLOOKUP($A10,main!$A$3:$H$102,8,FALSE),main!$K$18:$O$18,0))))),1,0)</f>
        <v>0</v>
      </c>
      <c r="BN10">
        <f>IF((AND(VLOOKUP(BN$1,main!$A$3:$H$102,5,FALSE)-VLOOKUP($A10,main!$A$3:$H$102,6,FALSE)&gt;=(VLOOKUP(VLOOKUP(BN$1,main!$A$3:$H$102,8,FALSE),main!$K$26:$M$29,2,FALSE)+VLOOKUP(VLOOKUP(BN$1,main!$A$3:$H$102,7,FALSE),main!$K$19:$O$22,MATCH(VLOOKUP($A10,main!$A$3:$H$102,8,FALSE),main!$K$18:$O$18,0))))),1,0)</f>
        <v>0</v>
      </c>
      <c r="BO10">
        <f>IF((AND(VLOOKUP(BO$1,main!$A$3:$H$102,5,FALSE)-VLOOKUP($A10,main!$A$3:$H$102,6,FALSE)&gt;=(VLOOKUP(VLOOKUP(BO$1,main!$A$3:$H$102,8,FALSE),main!$K$26:$M$29,2,FALSE)+VLOOKUP(VLOOKUP(BO$1,main!$A$3:$H$102,7,FALSE),main!$K$19:$O$22,MATCH(VLOOKUP($A10,main!$A$3:$H$102,8,FALSE),main!$K$18:$O$18,0))))),1,0)</f>
        <v>0</v>
      </c>
      <c r="BP10">
        <f>IF((AND(VLOOKUP(BP$1,main!$A$3:$H$102,5,FALSE)-VLOOKUP($A10,main!$A$3:$H$102,6,FALSE)&gt;=(VLOOKUP(VLOOKUP(BP$1,main!$A$3:$H$102,8,FALSE),main!$K$26:$M$29,2,FALSE)+VLOOKUP(VLOOKUP(BP$1,main!$A$3:$H$102,7,FALSE),main!$K$19:$O$22,MATCH(VLOOKUP($A10,main!$A$3:$H$102,8,FALSE),main!$K$18:$O$18,0))))),1,0)</f>
        <v>0</v>
      </c>
      <c r="BQ10">
        <f>IF((AND(VLOOKUP(BQ$1,main!$A$3:$H$102,5,FALSE)-VLOOKUP($A10,main!$A$3:$H$102,6,FALSE)&gt;=(VLOOKUP(VLOOKUP(BQ$1,main!$A$3:$H$102,8,FALSE),main!$K$26:$M$29,2,FALSE)+VLOOKUP(VLOOKUP(BQ$1,main!$A$3:$H$102,7,FALSE),main!$K$19:$O$22,MATCH(VLOOKUP($A10,main!$A$3:$H$102,8,FALSE),main!$K$18:$O$18,0))))),1,0)</f>
        <v>0</v>
      </c>
      <c r="BR10">
        <f>IF((AND(VLOOKUP(BR$1,main!$A$3:$H$102,5,FALSE)-VLOOKUP($A10,main!$A$3:$H$102,6,FALSE)&gt;=(VLOOKUP(VLOOKUP(BR$1,main!$A$3:$H$102,8,FALSE),main!$K$26:$M$29,2,FALSE)+VLOOKUP(VLOOKUP(BR$1,main!$A$3:$H$102,7,FALSE),main!$K$19:$O$22,MATCH(VLOOKUP($A10,main!$A$3:$H$102,8,FALSE),main!$K$18:$O$18,0))))),1,0)</f>
        <v>0</v>
      </c>
      <c r="BS10">
        <f>IF((AND(VLOOKUP(BS$1,main!$A$3:$H$102,5,FALSE)-VLOOKUP($A10,main!$A$3:$H$102,6,FALSE)&gt;=(VLOOKUP(VLOOKUP(BS$1,main!$A$3:$H$102,8,FALSE),main!$K$26:$M$29,2,FALSE)+VLOOKUP(VLOOKUP(BS$1,main!$A$3:$H$102,7,FALSE),main!$K$19:$O$22,MATCH(VLOOKUP($A10,main!$A$3:$H$102,8,FALSE),main!$K$18:$O$18,0))))),1,0)</f>
        <v>0</v>
      </c>
      <c r="BT10">
        <f>IF((AND(VLOOKUP(BT$1,main!$A$3:$H$102,5,FALSE)-VLOOKUP($A10,main!$A$3:$H$102,6,FALSE)&gt;=(VLOOKUP(VLOOKUP(BT$1,main!$A$3:$H$102,8,FALSE),main!$K$26:$M$29,2,FALSE)+VLOOKUP(VLOOKUP(BT$1,main!$A$3:$H$102,7,FALSE),main!$K$19:$O$22,MATCH(VLOOKUP($A10,main!$A$3:$H$102,8,FALSE),main!$K$18:$O$18,0))))),1,0)</f>
        <v>0</v>
      </c>
      <c r="BU10">
        <f>IF((AND(VLOOKUP(BU$1,main!$A$3:$H$102,5,FALSE)-VLOOKUP($A10,main!$A$3:$H$102,6,FALSE)&gt;=(VLOOKUP(VLOOKUP(BU$1,main!$A$3:$H$102,8,FALSE),main!$K$26:$M$29,2,FALSE)+VLOOKUP(VLOOKUP(BU$1,main!$A$3:$H$102,7,FALSE),main!$K$19:$O$22,MATCH(VLOOKUP($A10,main!$A$3:$H$102,8,FALSE),main!$K$18:$O$18,0))))),1,0)</f>
        <v>0</v>
      </c>
      <c r="BV10">
        <f>IF((AND(VLOOKUP(BV$1,main!$A$3:$H$102,5,FALSE)-VLOOKUP($A10,main!$A$3:$H$102,6,FALSE)&gt;=(VLOOKUP(VLOOKUP(BV$1,main!$A$3:$H$102,8,FALSE),main!$K$26:$M$29,2,FALSE)+VLOOKUP(VLOOKUP(BV$1,main!$A$3:$H$102,7,FALSE),main!$K$19:$O$22,MATCH(VLOOKUP($A10,main!$A$3:$H$102,8,FALSE),main!$K$18:$O$18,0))))),1,0)</f>
        <v>0</v>
      </c>
      <c r="BW10">
        <f>IF((AND(VLOOKUP(BW$1,main!$A$3:$H$102,5,FALSE)-VLOOKUP($A10,main!$A$3:$H$102,6,FALSE)&gt;=(VLOOKUP(VLOOKUP(BW$1,main!$A$3:$H$102,8,FALSE),main!$K$26:$M$29,2,FALSE)+VLOOKUP(VLOOKUP(BW$1,main!$A$3:$H$102,7,FALSE),main!$K$19:$O$22,MATCH(VLOOKUP($A10,main!$A$3:$H$102,8,FALSE),main!$K$18:$O$18,0))))),1,0)</f>
        <v>0</v>
      </c>
      <c r="BX10">
        <f>IF((AND(VLOOKUP(BX$1,main!$A$3:$H$102,5,FALSE)-VLOOKUP($A10,main!$A$3:$H$102,6,FALSE)&gt;=(VLOOKUP(VLOOKUP(BX$1,main!$A$3:$H$102,8,FALSE),main!$K$26:$M$29,2,FALSE)+VLOOKUP(VLOOKUP(BX$1,main!$A$3:$H$102,7,FALSE),main!$K$19:$O$22,MATCH(VLOOKUP($A10,main!$A$3:$H$102,8,FALSE),main!$K$18:$O$18,0))))),1,0)</f>
        <v>0</v>
      </c>
      <c r="BY10">
        <f>IF((AND(VLOOKUP(BY$1,main!$A$3:$H$102,5,FALSE)-VLOOKUP($A10,main!$A$3:$H$102,6,FALSE)&gt;=(VLOOKUP(VLOOKUP(BY$1,main!$A$3:$H$102,8,FALSE),main!$K$26:$M$29,2,FALSE)+VLOOKUP(VLOOKUP(BY$1,main!$A$3:$H$102,7,FALSE),main!$K$19:$O$22,MATCH(VLOOKUP($A10,main!$A$3:$H$102,8,FALSE),main!$K$18:$O$18,0))))),1,0)</f>
        <v>0</v>
      </c>
      <c r="BZ10">
        <f>IF((AND(VLOOKUP(BZ$1,main!$A$3:$H$102,5,FALSE)-VLOOKUP($A10,main!$A$3:$H$102,6,FALSE)&gt;=(VLOOKUP(VLOOKUP(BZ$1,main!$A$3:$H$102,8,FALSE),main!$K$26:$M$29,2,FALSE)+VLOOKUP(VLOOKUP(BZ$1,main!$A$3:$H$102,7,FALSE),main!$K$19:$O$22,MATCH(VLOOKUP($A10,main!$A$3:$H$102,8,FALSE),main!$K$18:$O$18,0))))),1,0)</f>
        <v>0</v>
      </c>
      <c r="CA10">
        <f>IF((AND(VLOOKUP(CA$1,main!$A$3:$H$102,5,FALSE)-VLOOKUP($A10,main!$A$3:$H$102,6,FALSE)&gt;=(VLOOKUP(VLOOKUP(CA$1,main!$A$3:$H$102,8,FALSE),main!$K$26:$M$29,2,FALSE)+VLOOKUP(VLOOKUP(CA$1,main!$A$3:$H$102,7,FALSE),main!$K$19:$O$22,MATCH(VLOOKUP($A10,main!$A$3:$H$102,8,FALSE),main!$K$18:$O$18,0))))),1,0)</f>
        <v>0</v>
      </c>
      <c r="CB10">
        <f>IF((AND(VLOOKUP(CB$1,main!$A$3:$H$102,5,FALSE)-VLOOKUP($A10,main!$A$3:$H$102,6,FALSE)&gt;=(VLOOKUP(VLOOKUP(CB$1,main!$A$3:$H$102,8,FALSE),main!$K$26:$M$29,2,FALSE)+VLOOKUP(VLOOKUP(CB$1,main!$A$3:$H$102,7,FALSE),main!$K$19:$O$22,MATCH(VLOOKUP($A10,main!$A$3:$H$102,8,FALSE),main!$K$18:$O$18,0))))),1,0)</f>
        <v>0</v>
      </c>
      <c r="CC10">
        <f>IF((AND(VLOOKUP(CC$1,main!$A$3:$H$102,5,FALSE)-VLOOKUP($A10,main!$A$3:$H$102,6,FALSE)&gt;=(VLOOKUP(VLOOKUP(CC$1,main!$A$3:$H$102,8,FALSE),main!$K$26:$M$29,2,FALSE)+VLOOKUP(VLOOKUP(CC$1,main!$A$3:$H$102,7,FALSE),main!$K$19:$O$22,MATCH(VLOOKUP($A10,main!$A$3:$H$102,8,FALSE),main!$K$18:$O$18,0))))),1,0)</f>
        <v>0</v>
      </c>
      <c r="CD10">
        <f>IF((AND(VLOOKUP(CD$1,main!$A$3:$H$102,5,FALSE)-VLOOKUP($A10,main!$A$3:$H$102,6,FALSE)&gt;=(VLOOKUP(VLOOKUP(CD$1,main!$A$3:$H$102,8,FALSE),main!$K$26:$M$29,2,FALSE)+VLOOKUP(VLOOKUP(CD$1,main!$A$3:$H$102,7,FALSE),main!$K$19:$O$22,MATCH(VLOOKUP($A10,main!$A$3:$H$102,8,FALSE),main!$K$18:$O$18,0))))),1,0)</f>
        <v>0</v>
      </c>
      <c r="CE10">
        <f>IF((AND(VLOOKUP(CE$1,main!$A$3:$H$102,5,FALSE)-VLOOKUP($A10,main!$A$3:$H$102,6,FALSE)&gt;=(VLOOKUP(VLOOKUP(CE$1,main!$A$3:$H$102,8,FALSE),main!$K$26:$M$29,2,FALSE)+VLOOKUP(VLOOKUP(CE$1,main!$A$3:$H$102,7,FALSE),main!$K$19:$O$22,MATCH(VLOOKUP($A10,main!$A$3:$H$102,8,FALSE),main!$K$18:$O$18,0))))),1,0)</f>
        <v>0</v>
      </c>
      <c r="CF10">
        <f>IF((AND(VLOOKUP(CF$1,main!$A$3:$H$102,5,FALSE)-VLOOKUP($A10,main!$A$3:$H$102,6,FALSE)&gt;=(VLOOKUP(VLOOKUP(CF$1,main!$A$3:$H$102,8,FALSE),main!$K$26:$M$29,2,FALSE)+VLOOKUP(VLOOKUP(CF$1,main!$A$3:$H$102,7,FALSE),main!$K$19:$O$22,MATCH(VLOOKUP($A10,main!$A$3:$H$102,8,FALSE),main!$K$18:$O$18,0))))),1,0)</f>
        <v>0</v>
      </c>
      <c r="CG10">
        <f>IF((AND(VLOOKUP(CG$1,main!$A$3:$H$102,5,FALSE)-VLOOKUP($A10,main!$A$3:$H$102,6,FALSE)&gt;=(VLOOKUP(VLOOKUP(CG$1,main!$A$3:$H$102,8,FALSE),main!$K$26:$M$29,2,FALSE)+VLOOKUP(VLOOKUP(CG$1,main!$A$3:$H$102,7,FALSE),main!$K$19:$O$22,MATCH(VLOOKUP($A10,main!$A$3:$H$102,8,FALSE),main!$K$18:$O$18,0))))),1,0)</f>
        <v>0</v>
      </c>
      <c r="CH10">
        <f>IF((AND(VLOOKUP(CH$1,main!$A$3:$H$102,5,FALSE)-VLOOKUP($A10,main!$A$3:$H$102,6,FALSE)&gt;=(VLOOKUP(VLOOKUP(CH$1,main!$A$3:$H$102,8,FALSE),main!$K$26:$M$29,2,FALSE)+VLOOKUP(VLOOKUP(CH$1,main!$A$3:$H$102,7,FALSE),main!$K$19:$O$22,MATCH(VLOOKUP($A10,main!$A$3:$H$102,8,FALSE),main!$K$18:$O$18,0))))),1,0)</f>
        <v>0</v>
      </c>
      <c r="CI10">
        <f>IF((AND(VLOOKUP(CI$1,main!$A$3:$H$102,5,FALSE)-VLOOKUP($A10,main!$A$3:$H$102,6,FALSE)&gt;=(VLOOKUP(VLOOKUP(CI$1,main!$A$3:$H$102,8,FALSE),main!$K$26:$M$29,2,FALSE)+VLOOKUP(VLOOKUP(CI$1,main!$A$3:$H$102,7,FALSE),main!$K$19:$O$22,MATCH(VLOOKUP($A10,main!$A$3:$H$102,8,FALSE),main!$K$18:$O$18,0))))),1,0)</f>
        <v>0</v>
      </c>
      <c r="CJ10">
        <f>IF((AND(VLOOKUP(CJ$1,main!$A$3:$H$102,5,FALSE)-VLOOKUP($A10,main!$A$3:$H$102,6,FALSE)&gt;=(VLOOKUP(VLOOKUP(CJ$1,main!$A$3:$H$102,8,FALSE),main!$K$26:$M$29,2,FALSE)+VLOOKUP(VLOOKUP(CJ$1,main!$A$3:$H$102,7,FALSE),main!$K$19:$O$22,MATCH(VLOOKUP($A10,main!$A$3:$H$102,8,FALSE),main!$K$18:$O$18,0))))),1,0)</f>
        <v>0</v>
      </c>
      <c r="CK10">
        <f>IF((AND(VLOOKUP(CK$1,main!$A$3:$H$102,5,FALSE)-VLOOKUP($A10,main!$A$3:$H$102,6,FALSE)&gt;=(VLOOKUP(VLOOKUP(CK$1,main!$A$3:$H$102,8,FALSE),main!$K$26:$M$29,2,FALSE)+VLOOKUP(VLOOKUP(CK$1,main!$A$3:$H$102,7,FALSE),main!$K$19:$O$22,MATCH(VLOOKUP($A10,main!$A$3:$H$102,8,FALSE),main!$K$18:$O$18,0))))),1,0)</f>
        <v>0</v>
      </c>
      <c r="CL10">
        <f>IF((AND(VLOOKUP(CL$1,main!$A$3:$H$102,5,FALSE)-VLOOKUP($A10,main!$A$3:$H$102,6,FALSE)&gt;=(VLOOKUP(VLOOKUP(CL$1,main!$A$3:$H$102,8,FALSE),main!$K$26:$M$29,2,FALSE)+VLOOKUP(VLOOKUP(CL$1,main!$A$3:$H$102,7,FALSE),main!$K$19:$O$22,MATCH(VLOOKUP($A10,main!$A$3:$H$102,8,FALSE),main!$K$18:$O$18,0))))),1,0)</f>
        <v>0</v>
      </c>
      <c r="CM10">
        <f>IF((AND(VLOOKUP(CM$1,main!$A$3:$H$102,5,FALSE)-VLOOKUP($A10,main!$A$3:$H$102,6,FALSE)&gt;=(VLOOKUP(VLOOKUP(CM$1,main!$A$3:$H$102,8,FALSE),main!$K$26:$M$29,2,FALSE)+VLOOKUP(VLOOKUP(CM$1,main!$A$3:$H$102,7,FALSE),main!$K$19:$O$22,MATCH(VLOOKUP($A10,main!$A$3:$H$102,8,FALSE),main!$K$18:$O$18,0))))),1,0)</f>
        <v>0</v>
      </c>
      <c r="CN10">
        <f>IF((AND(VLOOKUP(CN$1,main!$A$3:$H$102,5,FALSE)-VLOOKUP($A10,main!$A$3:$H$102,6,FALSE)&gt;=(VLOOKUP(VLOOKUP(CN$1,main!$A$3:$H$102,8,FALSE),main!$K$26:$M$29,2,FALSE)+VLOOKUP(VLOOKUP(CN$1,main!$A$3:$H$102,7,FALSE),main!$K$19:$O$22,MATCH(VLOOKUP($A10,main!$A$3:$H$102,8,FALSE),main!$K$18:$O$18,0))))),1,0)</f>
        <v>0</v>
      </c>
      <c r="CO10">
        <f>IF((AND(VLOOKUP(CO$1,main!$A$3:$H$102,5,FALSE)-VLOOKUP($A10,main!$A$3:$H$102,6,FALSE)&gt;=(VLOOKUP(VLOOKUP(CO$1,main!$A$3:$H$102,8,FALSE),main!$K$26:$M$29,2,FALSE)+VLOOKUP(VLOOKUP(CO$1,main!$A$3:$H$102,7,FALSE),main!$K$19:$O$22,MATCH(VLOOKUP($A10,main!$A$3:$H$102,8,FALSE),main!$K$18:$O$18,0))))),1,0)</f>
        <v>0</v>
      </c>
      <c r="CP10">
        <f>IF((AND(VLOOKUP(CP$1,main!$A$3:$H$102,5,FALSE)-VLOOKUP($A10,main!$A$3:$H$102,6,FALSE)&gt;=(VLOOKUP(VLOOKUP(CP$1,main!$A$3:$H$102,8,FALSE),main!$K$26:$M$29,2,FALSE)+VLOOKUP(VLOOKUP(CP$1,main!$A$3:$H$102,7,FALSE),main!$K$19:$O$22,MATCH(VLOOKUP($A10,main!$A$3:$H$102,8,FALSE),main!$K$18:$O$18,0))))),1,0)</f>
        <v>0</v>
      </c>
      <c r="CQ10">
        <f>IF((AND(VLOOKUP(CQ$1,main!$A$3:$H$102,5,FALSE)-VLOOKUP($A10,main!$A$3:$H$102,6,FALSE)&gt;=(VLOOKUP(VLOOKUP(CQ$1,main!$A$3:$H$102,8,FALSE),main!$K$26:$M$29,2,FALSE)+VLOOKUP(VLOOKUP(CQ$1,main!$A$3:$H$102,7,FALSE),main!$K$19:$O$22,MATCH(VLOOKUP($A10,main!$A$3:$H$102,8,FALSE),main!$K$18:$O$18,0))))),1,0)</f>
        <v>0</v>
      </c>
      <c r="CR10">
        <f>IF((AND(VLOOKUP(CR$1,main!$A$3:$H$102,5,FALSE)-VLOOKUP($A10,main!$A$3:$H$102,6,FALSE)&gt;=(VLOOKUP(VLOOKUP(CR$1,main!$A$3:$H$102,8,FALSE),main!$K$26:$M$29,2,FALSE)+VLOOKUP(VLOOKUP(CR$1,main!$A$3:$H$102,7,FALSE),main!$K$19:$O$22,MATCH(VLOOKUP($A10,main!$A$3:$H$102,8,FALSE),main!$K$18:$O$18,0))))),1,0)</f>
        <v>0</v>
      </c>
      <c r="CS10">
        <f>IF((AND(VLOOKUP(CS$1,main!$A$3:$H$102,5,FALSE)-VLOOKUP($A10,main!$A$3:$H$102,6,FALSE)&gt;=(VLOOKUP(VLOOKUP(CS$1,main!$A$3:$H$102,8,FALSE),main!$K$26:$M$29,2,FALSE)+VLOOKUP(VLOOKUP(CS$1,main!$A$3:$H$102,7,FALSE),main!$K$19:$O$22,MATCH(VLOOKUP($A10,main!$A$3:$H$102,8,FALSE),main!$K$18:$O$18,0))))),1,0)</f>
        <v>0</v>
      </c>
      <c r="CT10">
        <f>IF((AND(VLOOKUP(CT$1,main!$A$3:$H$102,5,FALSE)-VLOOKUP($A10,main!$A$3:$H$102,6,FALSE)&gt;=(VLOOKUP(VLOOKUP(CT$1,main!$A$3:$H$102,8,FALSE),main!$K$26:$M$29,2,FALSE)+VLOOKUP(VLOOKUP(CT$1,main!$A$3:$H$102,7,FALSE),main!$K$19:$O$22,MATCH(VLOOKUP($A10,main!$A$3:$H$102,8,FALSE),main!$K$18:$O$18,0))))),1,0)</f>
        <v>0</v>
      </c>
      <c r="CU10">
        <f>IF((AND(VLOOKUP(CU$1,main!$A$3:$H$102,5,FALSE)-VLOOKUP($A10,main!$A$3:$H$102,6,FALSE)&gt;=(VLOOKUP(VLOOKUP(CU$1,main!$A$3:$H$102,8,FALSE),main!$K$26:$M$29,2,FALSE)+VLOOKUP(VLOOKUP(CU$1,main!$A$3:$H$102,7,FALSE),main!$K$19:$O$22,MATCH(VLOOKUP($A10,main!$A$3:$H$102,8,FALSE),main!$K$18:$O$18,0))))),1,0)</f>
        <v>0</v>
      </c>
      <c r="CV10">
        <f>IF((AND(VLOOKUP(CV$1,main!$A$3:$H$102,5,FALSE)-VLOOKUP($A10,main!$A$3:$H$102,6,FALSE)&gt;=(VLOOKUP(VLOOKUP(CV$1,main!$A$3:$H$102,8,FALSE),main!$K$26:$M$29,2,FALSE)+VLOOKUP(VLOOKUP(CV$1,main!$A$3:$H$102,7,FALSE),main!$K$19:$O$22,MATCH(VLOOKUP($A10,main!$A$3:$H$102,8,FALSE),main!$K$18:$O$18,0))))),1,0)</f>
        <v>0</v>
      </c>
      <c r="CW10">
        <f>IF((AND(VLOOKUP(CW$1,main!$A$3:$H$102,5,FALSE)-VLOOKUP($A10,main!$A$3:$H$102,6,FALSE)&gt;=(VLOOKUP(VLOOKUP(CW$1,main!$A$3:$H$102,8,FALSE),main!$K$26:$M$29,2,FALSE)+VLOOKUP(VLOOKUP(CW$1,main!$A$3:$H$102,7,FALSE),main!$K$19:$O$22,MATCH(VLOOKUP($A10,main!$A$3:$H$102,8,FALSE),main!$K$18:$O$18,0))))),1,0)</f>
        <v>0</v>
      </c>
      <c r="CX10">
        <f>IF((AND(VLOOKUP(CX$1,main!$A$3:$H$102,5,FALSE)-VLOOKUP($A10,main!$A$3:$H$102,6,FALSE)&gt;=(VLOOKUP(VLOOKUP(CX$1,main!$A$3:$H$102,8,FALSE),main!$K$26:$M$29,2,FALSE)+VLOOKUP(VLOOKUP(CX$1,main!$A$3:$H$102,7,FALSE),main!$K$19:$O$22,MATCH(VLOOKUP($A10,main!$A$3:$H$102,8,FALSE),main!$K$18:$O$18,0))))),1,0)</f>
        <v>0</v>
      </c>
    </row>
    <row r="11" spans="1:102" x14ac:dyDescent="0.25">
      <c r="A11" s="1">
        <v>9</v>
      </c>
      <c r="B11">
        <v>1</v>
      </c>
      <c r="C11">
        <f>IF((AND(VLOOKUP(C$1,main!$A$3:$H$102,5,FALSE)-VLOOKUP($A11,main!$A$3:$H$102,6,FALSE)&gt;=(VLOOKUP(VLOOKUP(C$1,main!$A$3:$H$102,8,FALSE),main!$K$26:$M$29,2,FALSE)+VLOOKUP(VLOOKUP(C$1,main!$A$3:$H$102,7,FALSE),main!$K$19:$O$22,MATCH(VLOOKUP($A11,main!$A$3:$H$102,8,FALSE),main!$K$18:$O$18,0))))),1,0)</f>
        <v>0</v>
      </c>
      <c r="D11">
        <f>IF((AND(VLOOKUP(D$1,main!$A$3:$H$102,5,FALSE)-VLOOKUP($A11,main!$A$3:$H$102,6,FALSE)&gt;=(VLOOKUP(VLOOKUP(D$1,main!$A$3:$H$102,8,FALSE),main!$K$26:$M$29,2,FALSE)+VLOOKUP(VLOOKUP(D$1,main!$A$3:$H$102,7,FALSE),main!$K$19:$O$22,MATCH(VLOOKUP($A11,main!$A$3:$H$102,8,FALSE),main!$K$18:$O$18,0))))),1,0)</f>
        <v>0</v>
      </c>
      <c r="E11">
        <f>IF((AND(VLOOKUP(E$1,main!$A$3:$H$102,5,FALSE)-VLOOKUP($A11,main!$A$3:$H$102,6,FALSE)&gt;=(VLOOKUP(VLOOKUP(E$1,main!$A$3:$H$102,8,FALSE),main!$K$26:$M$29,2,FALSE)+VLOOKUP(VLOOKUP(E$1,main!$A$3:$H$102,7,FALSE),main!$K$19:$O$22,MATCH(VLOOKUP($A11,main!$A$3:$H$102,8,FALSE),main!$K$18:$O$18,0))))),1,0)</f>
        <v>0</v>
      </c>
      <c r="F11">
        <f>IF((AND(VLOOKUP(F$1,main!$A$3:$H$102,5,FALSE)-VLOOKUP($A11,main!$A$3:$H$102,6,FALSE)&gt;=(VLOOKUP(VLOOKUP(F$1,main!$A$3:$H$102,8,FALSE),main!$K$26:$M$29,2,FALSE)+VLOOKUP(VLOOKUP(F$1,main!$A$3:$H$102,7,FALSE),main!$K$19:$O$22,MATCH(VLOOKUP($A11,main!$A$3:$H$102,8,FALSE),main!$K$18:$O$18,0))))),1,0)</f>
        <v>0</v>
      </c>
      <c r="G11">
        <f>IF((AND(VLOOKUP(G$1,main!$A$3:$H$102,5,FALSE)-VLOOKUP($A11,main!$A$3:$H$102,6,FALSE)&gt;=(VLOOKUP(VLOOKUP(G$1,main!$A$3:$H$102,8,FALSE),main!$K$26:$M$29,2,FALSE)+VLOOKUP(VLOOKUP(G$1,main!$A$3:$H$102,7,FALSE),main!$K$19:$O$22,MATCH(VLOOKUP($A11,main!$A$3:$H$102,8,FALSE),main!$K$18:$O$18,0))))),1,0)</f>
        <v>0</v>
      </c>
      <c r="H11">
        <f>IF((AND(VLOOKUP(H$1,main!$A$3:$H$102,5,FALSE)-VLOOKUP($A11,main!$A$3:$H$102,6,FALSE)&gt;=(VLOOKUP(VLOOKUP(H$1,main!$A$3:$H$102,8,FALSE),main!$K$26:$M$29,2,FALSE)+VLOOKUP(VLOOKUP(H$1,main!$A$3:$H$102,7,FALSE),main!$K$19:$O$22,MATCH(VLOOKUP($A11,main!$A$3:$H$102,8,FALSE),main!$K$18:$O$18,0))))),1,0)</f>
        <v>0</v>
      </c>
      <c r="I11">
        <f>IF((AND(VLOOKUP(I$1,main!$A$3:$H$102,5,FALSE)-VLOOKUP($A11,main!$A$3:$H$102,6,FALSE)&gt;=(VLOOKUP(VLOOKUP(I$1,main!$A$3:$H$102,8,FALSE),main!$K$26:$M$29,2,FALSE)+VLOOKUP(VLOOKUP(I$1,main!$A$3:$H$102,7,FALSE),main!$K$19:$O$22,MATCH(VLOOKUP($A11,main!$A$3:$H$102,8,FALSE),main!$K$18:$O$18,0))))),1,0)</f>
        <v>0</v>
      </c>
      <c r="J11">
        <f>IF((AND(VLOOKUP(J$1,main!$A$3:$H$102,5,FALSE)-VLOOKUP($A11,main!$A$3:$H$102,6,FALSE)&gt;=(VLOOKUP(VLOOKUP(J$1,main!$A$3:$H$102,8,FALSE),main!$K$26:$M$29,2,FALSE)+VLOOKUP(VLOOKUP(J$1,main!$A$3:$H$102,7,FALSE),main!$K$19:$O$22,MATCH(VLOOKUP($A11,main!$A$3:$H$102,8,FALSE),main!$K$18:$O$18,0))))),1,0)</f>
        <v>0</v>
      </c>
      <c r="K11">
        <f>IF((AND(VLOOKUP(K$1,main!$A$3:$H$102,5,FALSE)-VLOOKUP($A11,main!$A$3:$H$102,6,FALSE)&gt;=(VLOOKUP(VLOOKUP(K$1,main!$A$3:$H$102,8,FALSE),main!$K$26:$M$29,2,FALSE)+VLOOKUP(VLOOKUP(K$1,main!$A$3:$H$102,7,FALSE),main!$K$19:$O$22,MATCH(VLOOKUP($A11,main!$A$3:$H$102,8,FALSE),main!$K$18:$O$18,0))))),1,0)</f>
        <v>0</v>
      </c>
      <c r="L11">
        <f>IF((AND(VLOOKUP(L$1,main!$A$3:$H$102,5,FALSE)-VLOOKUP($A11,main!$A$3:$H$102,6,FALSE)&gt;=(VLOOKUP(VLOOKUP(L$1,main!$A$3:$H$102,8,FALSE),main!$K$26:$M$29,2,FALSE)+VLOOKUP(VLOOKUP(L$1,main!$A$3:$H$102,7,FALSE),main!$K$19:$O$22,MATCH(VLOOKUP($A11,main!$A$3:$H$102,8,FALSE),main!$K$18:$O$18,0))))),1,0)</f>
        <v>0</v>
      </c>
      <c r="M11">
        <f>IF((AND(VLOOKUP(M$1,main!$A$3:$H$102,5,FALSE)-VLOOKUP($A11,main!$A$3:$H$102,6,FALSE)&gt;=(VLOOKUP(VLOOKUP(M$1,main!$A$3:$H$102,8,FALSE),main!$K$26:$M$29,2,FALSE)+VLOOKUP(VLOOKUP(M$1,main!$A$3:$H$102,7,FALSE),main!$K$19:$O$22,MATCH(VLOOKUP($A11,main!$A$3:$H$102,8,FALSE),main!$K$18:$O$18,0))))),1,0)</f>
        <v>0</v>
      </c>
      <c r="N11">
        <f>IF((AND(VLOOKUP(N$1,main!$A$3:$H$102,5,FALSE)-VLOOKUP($A11,main!$A$3:$H$102,6,FALSE)&gt;=(VLOOKUP(VLOOKUP(N$1,main!$A$3:$H$102,8,FALSE),main!$K$26:$M$29,2,FALSE)+VLOOKUP(VLOOKUP(N$1,main!$A$3:$H$102,7,FALSE),main!$K$19:$O$22,MATCH(VLOOKUP($A11,main!$A$3:$H$102,8,FALSE),main!$K$18:$O$18,0))))),1,0)</f>
        <v>0</v>
      </c>
      <c r="O11">
        <f>IF((AND(VLOOKUP(O$1,main!$A$3:$H$102,5,FALSE)-VLOOKUP($A11,main!$A$3:$H$102,6,FALSE)&gt;=(VLOOKUP(VLOOKUP(O$1,main!$A$3:$H$102,8,FALSE),main!$K$26:$M$29,2,FALSE)+VLOOKUP(VLOOKUP(O$1,main!$A$3:$H$102,7,FALSE),main!$K$19:$O$22,MATCH(VLOOKUP($A11,main!$A$3:$H$102,8,FALSE),main!$K$18:$O$18,0))))),1,0)</f>
        <v>0</v>
      </c>
      <c r="P11">
        <f>IF((AND(VLOOKUP(P$1,main!$A$3:$H$102,5,FALSE)-VLOOKUP($A11,main!$A$3:$H$102,6,FALSE)&gt;=(VLOOKUP(VLOOKUP(P$1,main!$A$3:$H$102,8,FALSE),main!$K$26:$M$29,2,FALSE)+VLOOKUP(VLOOKUP(P$1,main!$A$3:$H$102,7,FALSE),main!$K$19:$O$22,MATCH(VLOOKUP($A11,main!$A$3:$H$102,8,FALSE),main!$K$18:$O$18,0))))),1,0)</f>
        <v>0</v>
      </c>
      <c r="Q11">
        <f>IF((AND(VLOOKUP(Q$1,main!$A$3:$H$102,5,FALSE)-VLOOKUP($A11,main!$A$3:$H$102,6,FALSE)&gt;=(VLOOKUP(VLOOKUP(Q$1,main!$A$3:$H$102,8,FALSE),main!$K$26:$M$29,2,FALSE)+VLOOKUP(VLOOKUP(Q$1,main!$A$3:$H$102,7,FALSE),main!$K$19:$O$22,MATCH(VLOOKUP($A11,main!$A$3:$H$102,8,FALSE),main!$K$18:$O$18,0))))),1,0)</f>
        <v>0</v>
      </c>
      <c r="R11">
        <f>IF((AND(VLOOKUP(R$1,main!$A$3:$H$102,5,FALSE)-VLOOKUP($A11,main!$A$3:$H$102,6,FALSE)&gt;=(VLOOKUP(VLOOKUP(R$1,main!$A$3:$H$102,8,FALSE),main!$K$26:$M$29,2,FALSE)+VLOOKUP(VLOOKUP(R$1,main!$A$3:$H$102,7,FALSE),main!$K$19:$O$22,MATCH(VLOOKUP($A11,main!$A$3:$H$102,8,FALSE),main!$K$18:$O$18,0))))),1,0)</f>
        <v>0</v>
      </c>
      <c r="S11">
        <f>IF((AND(VLOOKUP(S$1,main!$A$3:$H$102,5,FALSE)-VLOOKUP($A11,main!$A$3:$H$102,6,FALSE)&gt;=(VLOOKUP(VLOOKUP(S$1,main!$A$3:$H$102,8,FALSE),main!$K$26:$M$29,2,FALSE)+VLOOKUP(VLOOKUP(S$1,main!$A$3:$H$102,7,FALSE),main!$K$19:$O$22,MATCH(VLOOKUP($A11,main!$A$3:$H$102,8,FALSE),main!$K$18:$O$18,0))))),1,0)</f>
        <v>0</v>
      </c>
      <c r="T11">
        <f>IF((AND(VLOOKUP(T$1,main!$A$3:$H$102,5,FALSE)-VLOOKUP($A11,main!$A$3:$H$102,6,FALSE)&gt;=(VLOOKUP(VLOOKUP(T$1,main!$A$3:$H$102,8,FALSE),main!$K$26:$M$29,2,FALSE)+VLOOKUP(VLOOKUP(T$1,main!$A$3:$H$102,7,FALSE),main!$K$19:$O$22,MATCH(VLOOKUP($A11,main!$A$3:$H$102,8,FALSE),main!$K$18:$O$18,0))))),1,0)</f>
        <v>0</v>
      </c>
      <c r="U11">
        <f>IF((AND(VLOOKUP(U$1,main!$A$3:$H$102,5,FALSE)-VLOOKUP($A11,main!$A$3:$H$102,6,FALSE)&gt;=(VLOOKUP(VLOOKUP(U$1,main!$A$3:$H$102,8,FALSE),main!$K$26:$M$29,2,FALSE)+VLOOKUP(VLOOKUP(U$1,main!$A$3:$H$102,7,FALSE),main!$K$19:$O$22,MATCH(VLOOKUP($A11,main!$A$3:$H$102,8,FALSE),main!$K$18:$O$18,0))))),1,0)</f>
        <v>0</v>
      </c>
      <c r="V11">
        <f>IF((AND(VLOOKUP(V$1,main!$A$3:$H$102,5,FALSE)-VLOOKUP($A11,main!$A$3:$H$102,6,FALSE)&gt;=(VLOOKUP(VLOOKUP(V$1,main!$A$3:$H$102,8,FALSE),main!$K$26:$M$29,2,FALSE)+VLOOKUP(VLOOKUP(V$1,main!$A$3:$H$102,7,FALSE),main!$K$19:$O$22,MATCH(VLOOKUP($A11,main!$A$3:$H$102,8,FALSE),main!$K$18:$O$18,0))))),1,0)</f>
        <v>0</v>
      </c>
      <c r="W11">
        <f>IF((AND(VLOOKUP(W$1,main!$A$3:$H$102,5,FALSE)-VLOOKUP($A11,main!$A$3:$H$102,6,FALSE)&gt;=(VLOOKUP(VLOOKUP(W$1,main!$A$3:$H$102,8,FALSE),main!$K$26:$M$29,2,FALSE)+VLOOKUP(VLOOKUP(W$1,main!$A$3:$H$102,7,FALSE),main!$K$19:$O$22,MATCH(VLOOKUP($A11,main!$A$3:$H$102,8,FALSE),main!$K$18:$O$18,0))))),1,0)</f>
        <v>0</v>
      </c>
      <c r="X11">
        <f>IF((AND(VLOOKUP(X$1,main!$A$3:$H$102,5,FALSE)-VLOOKUP($A11,main!$A$3:$H$102,6,FALSE)&gt;=(VLOOKUP(VLOOKUP(X$1,main!$A$3:$H$102,8,FALSE),main!$K$26:$M$29,2,FALSE)+VLOOKUP(VLOOKUP(X$1,main!$A$3:$H$102,7,FALSE),main!$K$19:$O$22,MATCH(VLOOKUP($A11,main!$A$3:$H$102,8,FALSE),main!$K$18:$O$18,0))))),1,0)</f>
        <v>0</v>
      </c>
      <c r="Y11">
        <f>IF((AND(VLOOKUP(Y$1,main!$A$3:$H$102,5,FALSE)-VLOOKUP($A11,main!$A$3:$H$102,6,FALSE)&gt;=(VLOOKUP(VLOOKUP(Y$1,main!$A$3:$H$102,8,FALSE),main!$K$26:$M$29,2,FALSE)+VLOOKUP(VLOOKUP(Y$1,main!$A$3:$H$102,7,FALSE),main!$K$19:$O$22,MATCH(VLOOKUP($A11,main!$A$3:$H$102,8,FALSE),main!$K$18:$O$18,0))))),1,0)</f>
        <v>0</v>
      </c>
      <c r="Z11">
        <f>IF((AND(VLOOKUP(Z$1,main!$A$3:$H$102,5,FALSE)-VLOOKUP($A11,main!$A$3:$H$102,6,FALSE)&gt;=(VLOOKUP(VLOOKUP(Z$1,main!$A$3:$H$102,8,FALSE),main!$K$26:$M$29,2,FALSE)+VLOOKUP(VLOOKUP(Z$1,main!$A$3:$H$102,7,FALSE),main!$K$19:$O$22,MATCH(VLOOKUP($A11,main!$A$3:$H$102,8,FALSE),main!$K$18:$O$18,0))))),1,0)</f>
        <v>0</v>
      </c>
      <c r="AA11">
        <f>IF((AND(VLOOKUP(AA$1,main!$A$3:$H$102,5,FALSE)-VLOOKUP($A11,main!$A$3:$H$102,6,FALSE)&gt;=(VLOOKUP(VLOOKUP(AA$1,main!$A$3:$H$102,8,FALSE),main!$K$26:$M$29,2,FALSE)+VLOOKUP(VLOOKUP(AA$1,main!$A$3:$H$102,7,FALSE),main!$K$19:$O$22,MATCH(VLOOKUP($A11,main!$A$3:$H$102,8,FALSE),main!$K$18:$O$18,0))))),1,0)</f>
        <v>0</v>
      </c>
      <c r="AB11">
        <f>IF((AND(VLOOKUP(AB$1,main!$A$3:$H$102,5,FALSE)-VLOOKUP($A11,main!$A$3:$H$102,6,FALSE)&gt;=(VLOOKUP(VLOOKUP(AB$1,main!$A$3:$H$102,8,FALSE),main!$K$26:$M$29,2,FALSE)+VLOOKUP(VLOOKUP(AB$1,main!$A$3:$H$102,7,FALSE),main!$K$19:$O$22,MATCH(VLOOKUP($A11,main!$A$3:$H$102,8,FALSE),main!$K$18:$O$18,0))))),1,0)</f>
        <v>0</v>
      </c>
      <c r="AC11">
        <f>IF((AND(VLOOKUP(AC$1,main!$A$3:$H$102,5,FALSE)-VLOOKUP($A11,main!$A$3:$H$102,6,FALSE)&gt;=(VLOOKUP(VLOOKUP(AC$1,main!$A$3:$H$102,8,FALSE),main!$K$26:$M$29,2,FALSE)+VLOOKUP(VLOOKUP(AC$1,main!$A$3:$H$102,7,FALSE),main!$K$19:$O$22,MATCH(VLOOKUP($A11,main!$A$3:$H$102,8,FALSE),main!$K$18:$O$18,0))))),1,0)</f>
        <v>0</v>
      </c>
      <c r="AD11">
        <f>IF((AND(VLOOKUP(AD$1,main!$A$3:$H$102,5,FALSE)-VLOOKUP($A11,main!$A$3:$H$102,6,FALSE)&gt;=(VLOOKUP(VLOOKUP(AD$1,main!$A$3:$H$102,8,FALSE),main!$K$26:$M$29,2,FALSE)+VLOOKUP(VLOOKUP(AD$1,main!$A$3:$H$102,7,FALSE),main!$K$19:$O$22,MATCH(VLOOKUP($A11,main!$A$3:$H$102,8,FALSE),main!$K$18:$O$18,0))))),1,0)</f>
        <v>0</v>
      </c>
      <c r="AE11">
        <f>IF((AND(VLOOKUP(AE$1,main!$A$3:$H$102,5,FALSE)-VLOOKUP($A11,main!$A$3:$H$102,6,FALSE)&gt;=(VLOOKUP(VLOOKUP(AE$1,main!$A$3:$H$102,8,FALSE),main!$K$26:$M$29,2,FALSE)+VLOOKUP(VLOOKUP(AE$1,main!$A$3:$H$102,7,FALSE),main!$K$19:$O$22,MATCH(VLOOKUP($A11,main!$A$3:$H$102,8,FALSE),main!$K$18:$O$18,0))))),1,0)</f>
        <v>0</v>
      </c>
      <c r="AF11">
        <f>IF((AND(VLOOKUP(AF$1,main!$A$3:$H$102,5,FALSE)-VLOOKUP($A11,main!$A$3:$H$102,6,FALSE)&gt;=(VLOOKUP(VLOOKUP(AF$1,main!$A$3:$H$102,8,FALSE),main!$K$26:$M$29,2,FALSE)+VLOOKUP(VLOOKUP(AF$1,main!$A$3:$H$102,7,FALSE),main!$K$19:$O$22,MATCH(VLOOKUP($A11,main!$A$3:$H$102,8,FALSE),main!$K$18:$O$18,0))))),1,0)</f>
        <v>0</v>
      </c>
      <c r="AG11">
        <f>IF((AND(VLOOKUP(AG$1,main!$A$3:$H$102,5,FALSE)-VLOOKUP($A11,main!$A$3:$H$102,6,FALSE)&gt;=(VLOOKUP(VLOOKUP(AG$1,main!$A$3:$H$102,8,FALSE),main!$K$26:$M$29,2,FALSE)+VLOOKUP(VLOOKUP(AG$1,main!$A$3:$H$102,7,FALSE),main!$K$19:$O$22,MATCH(VLOOKUP($A11,main!$A$3:$H$102,8,FALSE),main!$K$18:$O$18,0))))),1,0)</f>
        <v>0</v>
      </c>
      <c r="AH11">
        <f>IF((AND(VLOOKUP(AH$1,main!$A$3:$H$102,5,FALSE)-VLOOKUP($A11,main!$A$3:$H$102,6,FALSE)&gt;=(VLOOKUP(VLOOKUP(AH$1,main!$A$3:$H$102,8,FALSE),main!$K$26:$M$29,2,FALSE)+VLOOKUP(VLOOKUP(AH$1,main!$A$3:$H$102,7,FALSE),main!$K$19:$O$22,MATCH(VLOOKUP($A11,main!$A$3:$H$102,8,FALSE),main!$K$18:$O$18,0))))),1,0)</f>
        <v>0</v>
      </c>
      <c r="AI11">
        <f>IF((AND(VLOOKUP(AI$1,main!$A$3:$H$102,5,FALSE)-VLOOKUP($A11,main!$A$3:$H$102,6,FALSE)&gt;=(VLOOKUP(VLOOKUP(AI$1,main!$A$3:$H$102,8,FALSE),main!$K$26:$M$29,2,FALSE)+VLOOKUP(VLOOKUP(AI$1,main!$A$3:$H$102,7,FALSE),main!$K$19:$O$22,MATCH(VLOOKUP($A11,main!$A$3:$H$102,8,FALSE),main!$K$18:$O$18,0))))),1,0)</f>
        <v>0</v>
      </c>
      <c r="AJ11">
        <f>IF((AND(VLOOKUP(AJ$1,main!$A$3:$H$102,5,FALSE)-VLOOKUP($A11,main!$A$3:$H$102,6,FALSE)&gt;=(VLOOKUP(VLOOKUP(AJ$1,main!$A$3:$H$102,8,FALSE),main!$K$26:$M$29,2,FALSE)+VLOOKUP(VLOOKUP(AJ$1,main!$A$3:$H$102,7,FALSE),main!$K$19:$O$22,MATCH(VLOOKUP($A11,main!$A$3:$H$102,8,FALSE),main!$K$18:$O$18,0))))),1,0)</f>
        <v>0</v>
      </c>
      <c r="AK11">
        <f>IF((AND(VLOOKUP(AK$1,main!$A$3:$H$102,5,FALSE)-VLOOKUP($A11,main!$A$3:$H$102,6,FALSE)&gt;=(VLOOKUP(VLOOKUP(AK$1,main!$A$3:$H$102,8,FALSE),main!$K$26:$M$29,2,FALSE)+VLOOKUP(VLOOKUP(AK$1,main!$A$3:$H$102,7,FALSE),main!$K$19:$O$22,MATCH(VLOOKUP($A11,main!$A$3:$H$102,8,FALSE),main!$K$18:$O$18,0))))),1,0)</f>
        <v>0</v>
      </c>
      <c r="AL11">
        <f>IF((AND(VLOOKUP(AL$1,main!$A$3:$H$102,5,FALSE)-VLOOKUP($A11,main!$A$3:$H$102,6,FALSE)&gt;=(VLOOKUP(VLOOKUP(AL$1,main!$A$3:$H$102,8,FALSE),main!$K$26:$M$29,2,FALSE)+VLOOKUP(VLOOKUP(AL$1,main!$A$3:$H$102,7,FALSE),main!$K$19:$O$22,MATCH(VLOOKUP($A11,main!$A$3:$H$102,8,FALSE),main!$K$18:$O$18,0))))),1,0)</f>
        <v>0</v>
      </c>
      <c r="AM11">
        <f>IF((AND(VLOOKUP(AM$1,main!$A$3:$H$102,5,FALSE)-VLOOKUP($A11,main!$A$3:$H$102,6,FALSE)&gt;=(VLOOKUP(VLOOKUP(AM$1,main!$A$3:$H$102,8,FALSE),main!$K$26:$M$29,2,FALSE)+VLOOKUP(VLOOKUP(AM$1,main!$A$3:$H$102,7,FALSE),main!$K$19:$O$22,MATCH(VLOOKUP($A11,main!$A$3:$H$102,8,FALSE),main!$K$18:$O$18,0))))),1,0)</f>
        <v>0</v>
      </c>
      <c r="AN11">
        <f>IF((AND(VLOOKUP(AN$1,main!$A$3:$H$102,5,FALSE)-VLOOKUP($A11,main!$A$3:$H$102,6,FALSE)&gt;=(VLOOKUP(VLOOKUP(AN$1,main!$A$3:$H$102,8,FALSE),main!$K$26:$M$29,2,FALSE)+VLOOKUP(VLOOKUP(AN$1,main!$A$3:$H$102,7,FALSE),main!$K$19:$O$22,MATCH(VLOOKUP($A11,main!$A$3:$H$102,8,FALSE),main!$K$18:$O$18,0))))),1,0)</f>
        <v>0</v>
      </c>
      <c r="AO11">
        <f>IF((AND(VLOOKUP(AO$1,main!$A$3:$H$102,5,FALSE)-VLOOKUP($A11,main!$A$3:$H$102,6,FALSE)&gt;=(VLOOKUP(VLOOKUP(AO$1,main!$A$3:$H$102,8,FALSE),main!$K$26:$M$29,2,FALSE)+VLOOKUP(VLOOKUP(AO$1,main!$A$3:$H$102,7,FALSE),main!$K$19:$O$22,MATCH(VLOOKUP($A11,main!$A$3:$H$102,8,FALSE),main!$K$18:$O$18,0))))),1,0)</f>
        <v>0</v>
      </c>
      <c r="AP11">
        <f>IF((AND(VLOOKUP(AP$1,main!$A$3:$H$102,5,FALSE)-VLOOKUP($A11,main!$A$3:$H$102,6,FALSE)&gt;=(VLOOKUP(VLOOKUP(AP$1,main!$A$3:$H$102,8,FALSE),main!$K$26:$M$29,2,FALSE)+VLOOKUP(VLOOKUP(AP$1,main!$A$3:$H$102,7,FALSE),main!$K$19:$O$22,MATCH(VLOOKUP($A11,main!$A$3:$H$102,8,FALSE),main!$K$18:$O$18,0))))),1,0)</f>
        <v>0</v>
      </c>
      <c r="AQ11">
        <f>IF((AND(VLOOKUP(AQ$1,main!$A$3:$H$102,5,FALSE)-VLOOKUP($A11,main!$A$3:$H$102,6,FALSE)&gt;=(VLOOKUP(VLOOKUP(AQ$1,main!$A$3:$H$102,8,FALSE),main!$K$26:$M$29,2,FALSE)+VLOOKUP(VLOOKUP(AQ$1,main!$A$3:$H$102,7,FALSE),main!$K$19:$O$22,MATCH(VLOOKUP($A11,main!$A$3:$H$102,8,FALSE),main!$K$18:$O$18,0))))),1,0)</f>
        <v>0</v>
      </c>
      <c r="AR11">
        <f>IF((AND(VLOOKUP(AR$1,main!$A$3:$H$102,5,FALSE)-VLOOKUP($A11,main!$A$3:$H$102,6,FALSE)&gt;=(VLOOKUP(VLOOKUP(AR$1,main!$A$3:$H$102,8,FALSE),main!$K$26:$M$29,2,FALSE)+VLOOKUP(VLOOKUP(AR$1,main!$A$3:$H$102,7,FALSE),main!$K$19:$O$22,MATCH(VLOOKUP($A11,main!$A$3:$H$102,8,FALSE),main!$K$18:$O$18,0))))),1,0)</f>
        <v>0</v>
      </c>
      <c r="AS11">
        <f>IF((AND(VLOOKUP(AS$1,main!$A$3:$H$102,5,FALSE)-VLOOKUP($A11,main!$A$3:$H$102,6,FALSE)&gt;=(VLOOKUP(VLOOKUP(AS$1,main!$A$3:$H$102,8,FALSE),main!$K$26:$M$29,2,FALSE)+VLOOKUP(VLOOKUP(AS$1,main!$A$3:$H$102,7,FALSE),main!$K$19:$O$22,MATCH(VLOOKUP($A11,main!$A$3:$H$102,8,FALSE),main!$K$18:$O$18,0))))),1,0)</f>
        <v>0</v>
      </c>
      <c r="AT11">
        <f>IF((AND(VLOOKUP(AT$1,main!$A$3:$H$102,5,FALSE)-VLOOKUP($A11,main!$A$3:$H$102,6,FALSE)&gt;=(VLOOKUP(VLOOKUP(AT$1,main!$A$3:$H$102,8,FALSE),main!$K$26:$M$29,2,FALSE)+VLOOKUP(VLOOKUP(AT$1,main!$A$3:$H$102,7,FALSE),main!$K$19:$O$22,MATCH(VLOOKUP($A11,main!$A$3:$H$102,8,FALSE),main!$K$18:$O$18,0))))),1,0)</f>
        <v>0</v>
      </c>
      <c r="AU11">
        <f>IF((AND(VLOOKUP(AU$1,main!$A$3:$H$102,5,FALSE)-VLOOKUP($A11,main!$A$3:$H$102,6,FALSE)&gt;=(VLOOKUP(VLOOKUP(AU$1,main!$A$3:$H$102,8,FALSE),main!$K$26:$M$29,2,FALSE)+VLOOKUP(VLOOKUP(AU$1,main!$A$3:$H$102,7,FALSE),main!$K$19:$O$22,MATCH(VLOOKUP($A11,main!$A$3:$H$102,8,FALSE),main!$K$18:$O$18,0))))),1,0)</f>
        <v>0</v>
      </c>
      <c r="AV11">
        <f>IF((AND(VLOOKUP(AV$1,main!$A$3:$H$102,5,FALSE)-VLOOKUP($A11,main!$A$3:$H$102,6,FALSE)&gt;=(VLOOKUP(VLOOKUP(AV$1,main!$A$3:$H$102,8,FALSE),main!$K$26:$M$29,2,FALSE)+VLOOKUP(VLOOKUP(AV$1,main!$A$3:$H$102,7,FALSE),main!$K$19:$O$22,MATCH(VLOOKUP($A11,main!$A$3:$H$102,8,FALSE),main!$K$18:$O$18,0))))),1,0)</f>
        <v>0</v>
      </c>
      <c r="AW11">
        <f>IF((AND(VLOOKUP(AW$1,main!$A$3:$H$102,5,FALSE)-VLOOKUP($A11,main!$A$3:$H$102,6,FALSE)&gt;=(VLOOKUP(VLOOKUP(AW$1,main!$A$3:$H$102,8,FALSE),main!$K$26:$M$29,2,FALSE)+VLOOKUP(VLOOKUP(AW$1,main!$A$3:$H$102,7,FALSE),main!$K$19:$O$22,MATCH(VLOOKUP($A11,main!$A$3:$H$102,8,FALSE),main!$K$18:$O$18,0))))),1,0)</f>
        <v>0</v>
      </c>
      <c r="AX11">
        <f>IF((AND(VLOOKUP(AX$1,main!$A$3:$H$102,5,FALSE)-VLOOKUP($A11,main!$A$3:$H$102,6,FALSE)&gt;=(VLOOKUP(VLOOKUP(AX$1,main!$A$3:$H$102,8,FALSE),main!$K$26:$M$29,2,FALSE)+VLOOKUP(VLOOKUP(AX$1,main!$A$3:$H$102,7,FALSE),main!$K$19:$O$22,MATCH(VLOOKUP($A11,main!$A$3:$H$102,8,FALSE),main!$K$18:$O$18,0))))),1,0)</f>
        <v>0</v>
      </c>
      <c r="AY11">
        <f>IF((AND(VLOOKUP(AY$1,main!$A$3:$H$102,5,FALSE)-VLOOKUP($A11,main!$A$3:$H$102,6,FALSE)&gt;=(VLOOKUP(VLOOKUP(AY$1,main!$A$3:$H$102,8,FALSE),main!$K$26:$M$29,2,FALSE)+VLOOKUP(VLOOKUP(AY$1,main!$A$3:$H$102,7,FALSE),main!$K$19:$O$22,MATCH(VLOOKUP($A11,main!$A$3:$H$102,8,FALSE),main!$K$18:$O$18,0))))),1,0)</f>
        <v>0</v>
      </c>
      <c r="AZ11">
        <f>IF((AND(VLOOKUP(AZ$1,main!$A$3:$H$102,5,FALSE)-VLOOKUP($A11,main!$A$3:$H$102,6,FALSE)&gt;=(VLOOKUP(VLOOKUP(AZ$1,main!$A$3:$H$102,8,FALSE),main!$K$26:$M$29,2,FALSE)+VLOOKUP(VLOOKUP(AZ$1,main!$A$3:$H$102,7,FALSE),main!$K$19:$O$22,MATCH(VLOOKUP($A11,main!$A$3:$H$102,8,FALSE),main!$K$18:$O$18,0))))),1,0)</f>
        <v>0</v>
      </c>
      <c r="BA11">
        <f>IF((AND(VLOOKUP(BA$1,main!$A$3:$H$102,5,FALSE)-VLOOKUP($A11,main!$A$3:$H$102,6,FALSE)&gt;=(VLOOKUP(VLOOKUP(BA$1,main!$A$3:$H$102,8,FALSE),main!$K$26:$M$29,2,FALSE)+VLOOKUP(VLOOKUP(BA$1,main!$A$3:$H$102,7,FALSE),main!$K$19:$O$22,MATCH(VLOOKUP($A11,main!$A$3:$H$102,8,FALSE),main!$K$18:$O$18,0))))),1,0)</f>
        <v>0</v>
      </c>
      <c r="BB11">
        <f>IF((AND(VLOOKUP(BB$1,main!$A$3:$H$102,5,FALSE)-VLOOKUP($A11,main!$A$3:$H$102,6,FALSE)&gt;=(VLOOKUP(VLOOKUP(BB$1,main!$A$3:$H$102,8,FALSE),main!$K$26:$M$29,2,FALSE)+VLOOKUP(VLOOKUP(BB$1,main!$A$3:$H$102,7,FALSE),main!$K$19:$O$22,MATCH(VLOOKUP($A11,main!$A$3:$H$102,8,FALSE),main!$K$18:$O$18,0))))),1,0)</f>
        <v>0</v>
      </c>
      <c r="BC11">
        <f>IF((AND(VLOOKUP(BC$1,main!$A$3:$H$102,5,FALSE)-VLOOKUP($A11,main!$A$3:$H$102,6,FALSE)&gt;=(VLOOKUP(VLOOKUP(BC$1,main!$A$3:$H$102,8,FALSE),main!$K$26:$M$29,2,FALSE)+VLOOKUP(VLOOKUP(BC$1,main!$A$3:$H$102,7,FALSE),main!$K$19:$O$22,MATCH(VLOOKUP($A11,main!$A$3:$H$102,8,FALSE),main!$K$18:$O$18,0))))),1,0)</f>
        <v>0</v>
      </c>
      <c r="BD11">
        <f>IF((AND(VLOOKUP(BD$1,main!$A$3:$H$102,5,FALSE)-VLOOKUP($A11,main!$A$3:$H$102,6,FALSE)&gt;=(VLOOKUP(VLOOKUP(BD$1,main!$A$3:$H$102,8,FALSE),main!$K$26:$M$29,2,FALSE)+VLOOKUP(VLOOKUP(BD$1,main!$A$3:$H$102,7,FALSE),main!$K$19:$O$22,MATCH(VLOOKUP($A11,main!$A$3:$H$102,8,FALSE),main!$K$18:$O$18,0))))),1,0)</f>
        <v>0</v>
      </c>
      <c r="BE11">
        <f>IF((AND(VLOOKUP(BE$1,main!$A$3:$H$102,5,FALSE)-VLOOKUP($A11,main!$A$3:$H$102,6,FALSE)&gt;=(VLOOKUP(VLOOKUP(BE$1,main!$A$3:$H$102,8,FALSE),main!$K$26:$M$29,2,FALSE)+VLOOKUP(VLOOKUP(BE$1,main!$A$3:$H$102,7,FALSE),main!$K$19:$O$22,MATCH(VLOOKUP($A11,main!$A$3:$H$102,8,FALSE),main!$K$18:$O$18,0))))),1,0)</f>
        <v>0</v>
      </c>
      <c r="BF11">
        <f>IF((AND(VLOOKUP(BF$1,main!$A$3:$H$102,5,FALSE)-VLOOKUP($A11,main!$A$3:$H$102,6,FALSE)&gt;=(VLOOKUP(VLOOKUP(BF$1,main!$A$3:$H$102,8,FALSE),main!$K$26:$M$29,2,FALSE)+VLOOKUP(VLOOKUP(BF$1,main!$A$3:$H$102,7,FALSE),main!$K$19:$O$22,MATCH(VLOOKUP($A11,main!$A$3:$H$102,8,FALSE),main!$K$18:$O$18,0))))),1,0)</f>
        <v>0</v>
      </c>
      <c r="BG11">
        <f>IF((AND(VLOOKUP(BG$1,main!$A$3:$H$102,5,FALSE)-VLOOKUP($A11,main!$A$3:$H$102,6,FALSE)&gt;=(VLOOKUP(VLOOKUP(BG$1,main!$A$3:$H$102,8,FALSE),main!$K$26:$M$29,2,FALSE)+VLOOKUP(VLOOKUP(BG$1,main!$A$3:$H$102,7,FALSE),main!$K$19:$O$22,MATCH(VLOOKUP($A11,main!$A$3:$H$102,8,FALSE),main!$K$18:$O$18,0))))),1,0)</f>
        <v>0</v>
      </c>
      <c r="BH11">
        <f>IF((AND(VLOOKUP(BH$1,main!$A$3:$H$102,5,FALSE)-VLOOKUP($A11,main!$A$3:$H$102,6,FALSE)&gt;=(VLOOKUP(VLOOKUP(BH$1,main!$A$3:$H$102,8,FALSE),main!$K$26:$M$29,2,FALSE)+VLOOKUP(VLOOKUP(BH$1,main!$A$3:$H$102,7,FALSE),main!$K$19:$O$22,MATCH(VLOOKUP($A11,main!$A$3:$H$102,8,FALSE),main!$K$18:$O$18,0))))),1,0)</f>
        <v>0</v>
      </c>
      <c r="BI11">
        <f>IF((AND(VLOOKUP(BI$1,main!$A$3:$H$102,5,FALSE)-VLOOKUP($A11,main!$A$3:$H$102,6,FALSE)&gt;=(VLOOKUP(VLOOKUP(BI$1,main!$A$3:$H$102,8,FALSE),main!$K$26:$M$29,2,FALSE)+VLOOKUP(VLOOKUP(BI$1,main!$A$3:$H$102,7,FALSE),main!$K$19:$O$22,MATCH(VLOOKUP($A11,main!$A$3:$H$102,8,FALSE),main!$K$18:$O$18,0))))),1,0)</f>
        <v>0</v>
      </c>
      <c r="BJ11">
        <f>IF((AND(VLOOKUP(BJ$1,main!$A$3:$H$102,5,FALSE)-VLOOKUP($A11,main!$A$3:$H$102,6,FALSE)&gt;=(VLOOKUP(VLOOKUP(BJ$1,main!$A$3:$H$102,8,FALSE),main!$K$26:$M$29,2,FALSE)+VLOOKUP(VLOOKUP(BJ$1,main!$A$3:$H$102,7,FALSE),main!$K$19:$O$22,MATCH(VLOOKUP($A11,main!$A$3:$H$102,8,FALSE),main!$K$18:$O$18,0))))),1,0)</f>
        <v>0</v>
      </c>
      <c r="BK11">
        <f>IF((AND(VLOOKUP(BK$1,main!$A$3:$H$102,5,FALSE)-VLOOKUP($A11,main!$A$3:$H$102,6,FALSE)&gt;=(VLOOKUP(VLOOKUP(BK$1,main!$A$3:$H$102,8,FALSE),main!$K$26:$M$29,2,FALSE)+VLOOKUP(VLOOKUP(BK$1,main!$A$3:$H$102,7,FALSE),main!$K$19:$O$22,MATCH(VLOOKUP($A11,main!$A$3:$H$102,8,FALSE),main!$K$18:$O$18,0))))),1,0)</f>
        <v>0</v>
      </c>
      <c r="BL11">
        <f>IF((AND(VLOOKUP(BL$1,main!$A$3:$H$102,5,FALSE)-VLOOKUP($A11,main!$A$3:$H$102,6,FALSE)&gt;=(VLOOKUP(VLOOKUP(BL$1,main!$A$3:$H$102,8,FALSE),main!$K$26:$M$29,2,FALSE)+VLOOKUP(VLOOKUP(BL$1,main!$A$3:$H$102,7,FALSE),main!$K$19:$O$22,MATCH(VLOOKUP($A11,main!$A$3:$H$102,8,FALSE),main!$K$18:$O$18,0))))),1,0)</f>
        <v>0</v>
      </c>
      <c r="BM11">
        <f>IF((AND(VLOOKUP(BM$1,main!$A$3:$H$102,5,FALSE)-VLOOKUP($A11,main!$A$3:$H$102,6,FALSE)&gt;=(VLOOKUP(VLOOKUP(BM$1,main!$A$3:$H$102,8,FALSE),main!$K$26:$M$29,2,FALSE)+VLOOKUP(VLOOKUP(BM$1,main!$A$3:$H$102,7,FALSE),main!$K$19:$O$22,MATCH(VLOOKUP($A11,main!$A$3:$H$102,8,FALSE),main!$K$18:$O$18,0))))),1,0)</f>
        <v>0</v>
      </c>
      <c r="BN11">
        <f>IF((AND(VLOOKUP(BN$1,main!$A$3:$H$102,5,FALSE)-VLOOKUP($A11,main!$A$3:$H$102,6,FALSE)&gt;=(VLOOKUP(VLOOKUP(BN$1,main!$A$3:$H$102,8,FALSE),main!$K$26:$M$29,2,FALSE)+VLOOKUP(VLOOKUP(BN$1,main!$A$3:$H$102,7,FALSE),main!$K$19:$O$22,MATCH(VLOOKUP($A11,main!$A$3:$H$102,8,FALSE),main!$K$18:$O$18,0))))),1,0)</f>
        <v>0</v>
      </c>
      <c r="BO11">
        <f>IF((AND(VLOOKUP(BO$1,main!$A$3:$H$102,5,FALSE)-VLOOKUP($A11,main!$A$3:$H$102,6,FALSE)&gt;=(VLOOKUP(VLOOKUP(BO$1,main!$A$3:$H$102,8,FALSE),main!$K$26:$M$29,2,FALSE)+VLOOKUP(VLOOKUP(BO$1,main!$A$3:$H$102,7,FALSE),main!$K$19:$O$22,MATCH(VLOOKUP($A11,main!$A$3:$H$102,8,FALSE),main!$K$18:$O$18,0))))),1,0)</f>
        <v>0</v>
      </c>
      <c r="BP11">
        <f>IF((AND(VLOOKUP(BP$1,main!$A$3:$H$102,5,FALSE)-VLOOKUP($A11,main!$A$3:$H$102,6,FALSE)&gt;=(VLOOKUP(VLOOKUP(BP$1,main!$A$3:$H$102,8,FALSE),main!$K$26:$M$29,2,FALSE)+VLOOKUP(VLOOKUP(BP$1,main!$A$3:$H$102,7,FALSE),main!$K$19:$O$22,MATCH(VLOOKUP($A11,main!$A$3:$H$102,8,FALSE),main!$K$18:$O$18,0))))),1,0)</f>
        <v>0</v>
      </c>
      <c r="BQ11">
        <f>IF((AND(VLOOKUP(BQ$1,main!$A$3:$H$102,5,FALSE)-VLOOKUP($A11,main!$A$3:$H$102,6,FALSE)&gt;=(VLOOKUP(VLOOKUP(BQ$1,main!$A$3:$H$102,8,FALSE),main!$K$26:$M$29,2,FALSE)+VLOOKUP(VLOOKUP(BQ$1,main!$A$3:$H$102,7,FALSE),main!$K$19:$O$22,MATCH(VLOOKUP($A11,main!$A$3:$H$102,8,FALSE),main!$K$18:$O$18,0))))),1,0)</f>
        <v>0</v>
      </c>
      <c r="BR11">
        <f>IF((AND(VLOOKUP(BR$1,main!$A$3:$H$102,5,FALSE)-VLOOKUP($A11,main!$A$3:$H$102,6,FALSE)&gt;=(VLOOKUP(VLOOKUP(BR$1,main!$A$3:$H$102,8,FALSE),main!$K$26:$M$29,2,FALSE)+VLOOKUP(VLOOKUP(BR$1,main!$A$3:$H$102,7,FALSE),main!$K$19:$O$22,MATCH(VLOOKUP($A11,main!$A$3:$H$102,8,FALSE),main!$K$18:$O$18,0))))),1,0)</f>
        <v>0</v>
      </c>
      <c r="BS11">
        <f>IF((AND(VLOOKUP(BS$1,main!$A$3:$H$102,5,FALSE)-VLOOKUP($A11,main!$A$3:$H$102,6,FALSE)&gt;=(VLOOKUP(VLOOKUP(BS$1,main!$A$3:$H$102,8,FALSE),main!$K$26:$M$29,2,FALSE)+VLOOKUP(VLOOKUP(BS$1,main!$A$3:$H$102,7,FALSE),main!$K$19:$O$22,MATCH(VLOOKUP($A11,main!$A$3:$H$102,8,FALSE),main!$K$18:$O$18,0))))),1,0)</f>
        <v>0</v>
      </c>
      <c r="BT11">
        <f>IF((AND(VLOOKUP(BT$1,main!$A$3:$H$102,5,FALSE)-VLOOKUP($A11,main!$A$3:$H$102,6,FALSE)&gt;=(VLOOKUP(VLOOKUP(BT$1,main!$A$3:$H$102,8,FALSE),main!$K$26:$M$29,2,FALSE)+VLOOKUP(VLOOKUP(BT$1,main!$A$3:$H$102,7,FALSE),main!$K$19:$O$22,MATCH(VLOOKUP($A11,main!$A$3:$H$102,8,FALSE),main!$K$18:$O$18,0))))),1,0)</f>
        <v>0</v>
      </c>
      <c r="BU11">
        <f>IF((AND(VLOOKUP(BU$1,main!$A$3:$H$102,5,FALSE)-VLOOKUP($A11,main!$A$3:$H$102,6,FALSE)&gt;=(VLOOKUP(VLOOKUP(BU$1,main!$A$3:$H$102,8,FALSE),main!$K$26:$M$29,2,FALSE)+VLOOKUP(VLOOKUP(BU$1,main!$A$3:$H$102,7,FALSE),main!$K$19:$O$22,MATCH(VLOOKUP($A11,main!$A$3:$H$102,8,FALSE),main!$K$18:$O$18,0))))),1,0)</f>
        <v>0</v>
      </c>
      <c r="BV11">
        <f>IF((AND(VLOOKUP(BV$1,main!$A$3:$H$102,5,FALSE)-VLOOKUP($A11,main!$A$3:$H$102,6,FALSE)&gt;=(VLOOKUP(VLOOKUP(BV$1,main!$A$3:$H$102,8,FALSE),main!$K$26:$M$29,2,FALSE)+VLOOKUP(VLOOKUP(BV$1,main!$A$3:$H$102,7,FALSE),main!$K$19:$O$22,MATCH(VLOOKUP($A11,main!$A$3:$H$102,8,FALSE),main!$K$18:$O$18,0))))),1,0)</f>
        <v>0</v>
      </c>
      <c r="BW11">
        <f>IF((AND(VLOOKUP(BW$1,main!$A$3:$H$102,5,FALSE)-VLOOKUP($A11,main!$A$3:$H$102,6,FALSE)&gt;=(VLOOKUP(VLOOKUP(BW$1,main!$A$3:$H$102,8,FALSE),main!$K$26:$M$29,2,FALSE)+VLOOKUP(VLOOKUP(BW$1,main!$A$3:$H$102,7,FALSE),main!$K$19:$O$22,MATCH(VLOOKUP($A11,main!$A$3:$H$102,8,FALSE),main!$K$18:$O$18,0))))),1,0)</f>
        <v>0</v>
      </c>
      <c r="BX11">
        <f>IF((AND(VLOOKUP(BX$1,main!$A$3:$H$102,5,FALSE)-VLOOKUP($A11,main!$A$3:$H$102,6,FALSE)&gt;=(VLOOKUP(VLOOKUP(BX$1,main!$A$3:$H$102,8,FALSE),main!$K$26:$M$29,2,FALSE)+VLOOKUP(VLOOKUP(BX$1,main!$A$3:$H$102,7,FALSE),main!$K$19:$O$22,MATCH(VLOOKUP($A11,main!$A$3:$H$102,8,FALSE),main!$K$18:$O$18,0))))),1,0)</f>
        <v>0</v>
      </c>
      <c r="BY11">
        <f>IF((AND(VLOOKUP(BY$1,main!$A$3:$H$102,5,FALSE)-VLOOKUP($A11,main!$A$3:$H$102,6,FALSE)&gt;=(VLOOKUP(VLOOKUP(BY$1,main!$A$3:$H$102,8,FALSE),main!$K$26:$M$29,2,FALSE)+VLOOKUP(VLOOKUP(BY$1,main!$A$3:$H$102,7,FALSE),main!$K$19:$O$22,MATCH(VLOOKUP($A11,main!$A$3:$H$102,8,FALSE),main!$K$18:$O$18,0))))),1,0)</f>
        <v>0</v>
      </c>
      <c r="BZ11">
        <f>IF((AND(VLOOKUP(BZ$1,main!$A$3:$H$102,5,FALSE)-VLOOKUP($A11,main!$A$3:$H$102,6,FALSE)&gt;=(VLOOKUP(VLOOKUP(BZ$1,main!$A$3:$H$102,8,FALSE),main!$K$26:$M$29,2,FALSE)+VLOOKUP(VLOOKUP(BZ$1,main!$A$3:$H$102,7,FALSE),main!$K$19:$O$22,MATCH(VLOOKUP($A11,main!$A$3:$H$102,8,FALSE),main!$K$18:$O$18,0))))),1,0)</f>
        <v>0</v>
      </c>
      <c r="CA11">
        <f>IF((AND(VLOOKUP(CA$1,main!$A$3:$H$102,5,FALSE)-VLOOKUP($A11,main!$A$3:$H$102,6,FALSE)&gt;=(VLOOKUP(VLOOKUP(CA$1,main!$A$3:$H$102,8,FALSE),main!$K$26:$M$29,2,FALSE)+VLOOKUP(VLOOKUP(CA$1,main!$A$3:$H$102,7,FALSE),main!$K$19:$O$22,MATCH(VLOOKUP($A11,main!$A$3:$H$102,8,FALSE),main!$K$18:$O$18,0))))),1,0)</f>
        <v>0</v>
      </c>
      <c r="CB11">
        <f>IF((AND(VLOOKUP(CB$1,main!$A$3:$H$102,5,FALSE)-VLOOKUP($A11,main!$A$3:$H$102,6,FALSE)&gt;=(VLOOKUP(VLOOKUP(CB$1,main!$A$3:$H$102,8,FALSE),main!$K$26:$M$29,2,FALSE)+VLOOKUP(VLOOKUP(CB$1,main!$A$3:$H$102,7,FALSE),main!$K$19:$O$22,MATCH(VLOOKUP($A11,main!$A$3:$H$102,8,FALSE),main!$K$18:$O$18,0))))),1,0)</f>
        <v>0</v>
      </c>
      <c r="CC11">
        <f>IF((AND(VLOOKUP(CC$1,main!$A$3:$H$102,5,FALSE)-VLOOKUP($A11,main!$A$3:$H$102,6,FALSE)&gt;=(VLOOKUP(VLOOKUP(CC$1,main!$A$3:$H$102,8,FALSE),main!$K$26:$M$29,2,FALSE)+VLOOKUP(VLOOKUP(CC$1,main!$A$3:$H$102,7,FALSE),main!$K$19:$O$22,MATCH(VLOOKUP($A11,main!$A$3:$H$102,8,FALSE),main!$K$18:$O$18,0))))),1,0)</f>
        <v>0</v>
      </c>
      <c r="CD11">
        <f>IF((AND(VLOOKUP(CD$1,main!$A$3:$H$102,5,FALSE)-VLOOKUP($A11,main!$A$3:$H$102,6,FALSE)&gt;=(VLOOKUP(VLOOKUP(CD$1,main!$A$3:$H$102,8,FALSE),main!$K$26:$M$29,2,FALSE)+VLOOKUP(VLOOKUP(CD$1,main!$A$3:$H$102,7,FALSE),main!$K$19:$O$22,MATCH(VLOOKUP($A11,main!$A$3:$H$102,8,FALSE),main!$K$18:$O$18,0))))),1,0)</f>
        <v>0</v>
      </c>
      <c r="CE11">
        <f>IF((AND(VLOOKUP(CE$1,main!$A$3:$H$102,5,FALSE)-VLOOKUP($A11,main!$A$3:$H$102,6,FALSE)&gt;=(VLOOKUP(VLOOKUP(CE$1,main!$A$3:$H$102,8,FALSE),main!$K$26:$M$29,2,FALSE)+VLOOKUP(VLOOKUP(CE$1,main!$A$3:$H$102,7,FALSE),main!$K$19:$O$22,MATCH(VLOOKUP($A11,main!$A$3:$H$102,8,FALSE),main!$K$18:$O$18,0))))),1,0)</f>
        <v>0</v>
      </c>
      <c r="CF11">
        <f>IF((AND(VLOOKUP(CF$1,main!$A$3:$H$102,5,FALSE)-VLOOKUP($A11,main!$A$3:$H$102,6,FALSE)&gt;=(VLOOKUP(VLOOKUP(CF$1,main!$A$3:$H$102,8,FALSE),main!$K$26:$M$29,2,FALSE)+VLOOKUP(VLOOKUP(CF$1,main!$A$3:$H$102,7,FALSE),main!$K$19:$O$22,MATCH(VLOOKUP($A11,main!$A$3:$H$102,8,FALSE),main!$K$18:$O$18,0))))),1,0)</f>
        <v>0</v>
      </c>
      <c r="CG11">
        <f>IF((AND(VLOOKUP(CG$1,main!$A$3:$H$102,5,FALSE)-VLOOKUP($A11,main!$A$3:$H$102,6,FALSE)&gt;=(VLOOKUP(VLOOKUP(CG$1,main!$A$3:$H$102,8,FALSE),main!$K$26:$M$29,2,FALSE)+VLOOKUP(VLOOKUP(CG$1,main!$A$3:$H$102,7,FALSE),main!$K$19:$O$22,MATCH(VLOOKUP($A11,main!$A$3:$H$102,8,FALSE),main!$K$18:$O$18,0))))),1,0)</f>
        <v>0</v>
      </c>
      <c r="CH11">
        <f>IF((AND(VLOOKUP(CH$1,main!$A$3:$H$102,5,FALSE)-VLOOKUP($A11,main!$A$3:$H$102,6,FALSE)&gt;=(VLOOKUP(VLOOKUP(CH$1,main!$A$3:$H$102,8,FALSE),main!$K$26:$M$29,2,FALSE)+VLOOKUP(VLOOKUP(CH$1,main!$A$3:$H$102,7,FALSE),main!$K$19:$O$22,MATCH(VLOOKUP($A11,main!$A$3:$H$102,8,FALSE),main!$K$18:$O$18,0))))),1,0)</f>
        <v>0</v>
      </c>
      <c r="CI11">
        <f>IF((AND(VLOOKUP(CI$1,main!$A$3:$H$102,5,FALSE)-VLOOKUP($A11,main!$A$3:$H$102,6,FALSE)&gt;=(VLOOKUP(VLOOKUP(CI$1,main!$A$3:$H$102,8,FALSE),main!$K$26:$M$29,2,FALSE)+VLOOKUP(VLOOKUP(CI$1,main!$A$3:$H$102,7,FALSE),main!$K$19:$O$22,MATCH(VLOOKUP($A11,main!$A$3:$H$102,8,FALSE),main!$K$18:$O$18,0))))),1,0)</f>
        <v>0</v>
      </c>
      <c r="CJ11">
        <f>IF((AND(VLOOKUP(CJ$1,main!$A$3:$H$102,5,FALSE)-VLOOKUP($A11,main!$A$3:$H$102,6,FALSE)&gt;=(VLOOKUP(VLOOKUP(CJ$1,main!$A$3:$H$102,8,FALSE),main!$K$26:$M$29,2,FALSE)+VLOOKUP(VLOOKUP(CJ$1,main!$A$3:$H$102,7,FALSE),main!$K$19:$O$22,MATCH(VLOOKUP($A11,main!$A$3:$H$102,8,FALSE),main!$K$18:$O$18,0))))),1,0)</f>
        <v>0</v>
      </c>
      <c r="CK11">
        <f>IF((AND(VLOOKUP(CK$1,main!$A$3:$H$102,5,FALSE)-VLOOKUP($A11,main!$A$3:$H$102,6,FALSE)&gt;=(VLOOKUP(VLOOKUP(CK$1,main!$A$3:$H$102,8,FALSE),main!$K$26:$M$29,2,FALSE)+VLOOKUP(VLOOKUP(CK$1,main!$A$3:$H$102,7,FALSE),main!$K$19:$O$22,MATCH(VLOOKUP($A11,main!$A$3:$H$102,8,FALSE),main!$K$18:$O$18,0))))),1,0)</f>
        <v>0</v>
      </c>
      <c r="CL11">
        <f>IF((AND(VLOOKUP(CL$1,main!$A$3:$H$102,5,FALSE)-VLOOKUP($A11,main!$A$3:$H$102,6,FALSE)&gt;=(VLOOKUP(VLOOKUP(CL$1,main!$A$3:$H$102,8,FALSE),main!$K$26:$M$29,2,FALSE)+VLOOKUP(VLOOKUP(CL$1,main!$A$3:$H$102,7,FALSE),main!$K$19:$O$22,MATCH(VLOOKUP($A11,main!$A$3:$H$102,8,FALSE),main!$K$18:$O$18,0))))),1,0)</f>
        <v>0</v>
      </c>
      <c r="CM11">
        <f>IF((AND(VLOOKUP(CM$1,main!$A$3:$H$102,5,FALSE)-VLOOKUP($A11,main!$A$3:$H$102,6,FALSE)&gt;=(VLOOKUP(VLOOKUP(CM$1,main!$A$3:$H$102,8,FALSE),main!$K$26:$M$29,2,FALSE)+VLOOKUP(VLOOKUP(CM$1,main!$A$3:$H$102,7,FALSE),main!$K$19:$O$22,MATCH(VLOOKUP($A11,main!$A$3:$H$102,8,FALSE),main!$K$18:$O$18,0))))),1,0)</f>
        <v>0</v>
      </c>
      <c r="CN11">
        <f>IF((AND(VLOOKUP(CN$1,main!$A$3:$H$102,5,FALSE)-VLOOKUP($A11,main!$A$3:$H$102,6,FALSE)&gt;=(VLOOKUP(VLOOKUP(CN$1,main!$A$3:$H$102,8,FALSE),main!$K$26:$M$29,2,FALSE)+VLOOKUP(VLOOKUP(CN$1,main!$A$3:$H$102,7,FALSE),main!$K$19:$O$22,MATCH(VLOOKUP($A11,main!$A$3:$H$102,8,FALSE),main!$K$18:$O$18,0))))),1,0)</f>
        <v>0</v>
      </c>
      <c r="CO11">
        <f>IF((AND(VLOOKUP(CO$1,main!$A$3:$H$102,5,FALSE)-VLOOKUP($A11,main!$A$3:$H$102,6,FALSE)&gt;=(VLOOKUP(VLOOKUP(CO$1,main!$A$3:$H$102,8,FALSE),main!$K$26:$M$29,2,FALSE)+VLOOKUP(VLOOKUP(CO$1,main!$A$3:$H$102,7,FALSE),main!$K$19:$O$22,MATCH(VLOOKUP($A11,main!$A$3:$H$102,8,FALSE),main!$K$18:$O$18,0))))),1,0)</f>
        <v>0</v>
      </c>
      <c r="CP11">
        <f>IF((AND(VLOOKUP(CP$1,main!$A$3:$H$102,5,FALSE)-VLOOKUP($A11,main!$A$3:$H$102,6,FALSE)&gt;=(VLOOKUP(VLOOKUP(CP$1,main!$A$3:$H$102,8,FALSE),main!$K$26:$M$29,2,FALSE)+VLOOKUP(VLOOKUP(CP$1,main!$A$3:$H$102,7,FALSE),main!$K$19:$O$22,MATCH(VLOOKUP($A11,main!$A$3:$H$102,8,FALSE),main!$K$18:$O$18,0))))),1,0)</f>
        <v>0</v>
      </c>
      <c r="CQ11">
        <f>IF((AND(VLOOKUP(CQ$1,main!$A$3:$H$102,5,FALSE)-VLOOKUP($A11,main!$A$3:$H$102,6,FALSE)&gt;=(VLOOKUP(VLOOKUP(CQ$1,main!$A$3:$H$102,8,FALSE),main!$K$26:$M$29,2,FALSE)+VLOOKUP(VLOOKUP(CQ$1,main!$A$3:$H$102,7,FALSE),main!$K$19:$O$22,MATCH(VLOOKUP($A11,main!$A$3:$H$102,8,FALSE),main!$K$18:$O$18,0))))),1,0)</f>
        <v>0</v>
      </c>
      <c r="CR11">
        <f>IF((AND(VLOOKUP(CR$1,main!$A$3:$H$102,5,FALSE)-VLOOKUP($A11,main!$A$3:$H$102,6,FALSE)&gt;=(VLOOKUP(VLOOKUP(CR$1,main!$A$3:$H$102,8,FALSE),main!$K$26:$M$29,2,FALSE)+VLOOKUP(VLOOKUP(CR$1,main!$A$3:$H$102,7,FALSE),main!$K$19:$O$22,MATCH(VLOOKUP($A11,main!$A$3:$H$102,8,FALSE),main!$K$18:$O$18,0))))),1,0)</f>
        <v>0</v>
      </c>
      <c r="CS11">
        <f>IF((AND(VLOOKUP(CS$1,main!$A$3:$H$102,5,FALSE)-VLOOKUP($A11,main!$A$3:$H$102,6,FALSE)&gt;=(VLOOKUP(VLOOKUP(CS$1,main!$A$3:$H$102,8,FALSE),main!$K$26:$M$29,2,FALSE)+VLOOKUP(VLOOKUP(CS$1,main!$A$3:$H$102,7,FALSE),main!$K$19:$O$22,MATCH(VLOOKUP($A11,main!$A$3:$H$102,8,FALSE),main!$K$18:$O$18,0))))),1,0)</f>
        <v>0</v>
      </c>
      <c r="CT11">
        <f>IF((AND(VLOOKUP(CT$1,main!$A$3:$H$102,5,FALSE)-VLOOKUP($A11,main!$A$3:$H$102,6,FALSE)&gt;=(VLOOKUP(VLOOKUP(CT$1,main!$A$3:$H$102,8,FALSE),main!$K$26:$M$29,2,FALSE)+VLOOKUP(VLOOKUP(CT$1,main!$A$3:$H$102,7,FALSE),main!$K$19:$O$22,MATCH(VLOOKUP($A11,main!$A$3:$H$102,8,FALSE),main!$K$18:$O$18,0))))),1,0)</f>
        <v>0</v>
      </c>
      <c r="CU11">
        <f>IF((AND(VLOOKUP(CU$1,main!$A$3:$H$102,5,FALSE)-VLOOKUP($A11,main!$A$3:$H$102,6,FALSE)&gt;=(VLOOKUP(VLOOKUP(CU$1,main!$A$3:$H$102,8,FALSE),main!$K$26:$M$29,2,FALSE)+VLOOKUP(VLOOKUP(CU$1,main!$A$3:$H$102,7,FALSE),main!$K$19:$O$22,MATCH(VLOOKUP($A11,main!$A$3:$H$102,8,FALSE),main!$K$18:$O$18,0))))),1,0)</f>
        <v>0</v>
      </c>
      <c r="CV11">
        <f>IF((AND(VLOOKUP(CV$1,main!$A$3:$H$102,5,FALSE)-VLOOKUP($A11,main!$A$3:$H$102,6,FALSE)&gt;=(VLOOKUP(VLOOKUP(CV$1,main!$A$3:$H$102,8,FALSE),main!$K$26:$M$29,2,FALSE)+VLOOKUP(VLOOKUP(CV$1,main!$A$3:$H$102,7,FALSE),main!$K$19:$O$22,MATCH(VLOOKUP($A11,main!$A$3:$H$102,8,FALSE),main!$K$18:$O$18,0))))),1,0)</f>
        <v>0</v>
      </c>
      <c r="CW11">
        <f>IF((AND(VLOOKUP(CW$1,main!$A$3:$H$102,5,FALSE)-VLOOKUP($A11,main!$A$3:$H$102,6,FALSE)&gt;=(VLOOKUP(VLOOKUP(CW$1,main!$A$3:$H$102,8,FALSE),main!$K$26:$M$29,2,FALSE)+VLOOKUP(VLOOKUP(CW$1,main!$A$3:$H$102,7,FALSE),main!$K$19:$O$22,MATCH(VLOOKUP($A11,main!$A$3:$H$102,8,FALSE),main!$K$18:$O$18,0))))),1,0)</f>
        <v>0</v>
      </c>
      <c r="CX11">
        <f>IF((AND(VLOOKUP(CX$1,main!$A$3:$H$102,5,FALSE)-VLOOKUP($A11,main!$A$3:$H$102,6,FALSE)&gt;=(VLOOKUP(VLOOKUP(CX$1,main!$A$3:$H$102,8,FALSE),main!$K$26:$M$29,2,FALSE)+VLOOKUP(VLOOKUP(CX$1,main!$A$3:$H$102,7,FALSE),main!$K$19:$O$22,MATCH(VLOOKUP($A11,main!$A$3:$H$102,8,FALSE),main!$K$18:$O$18,0))))),1,0)</f>
        <v>0</v>
      </c>
    </row>
    <row r="12" spans="1:102" x14ac:dyDescent="0.25">
      <c r="A12" s="1">
        <v>10</v>
      </c>
      <c r="B12">
        <v>1</v>
      </c>
      <c r="C12">
        <f>IF((AND(VLOOKUP(C$1,main!$A$3:$H$102,5,FALSE)-VLOOKUP($A12,main!$A$3:$H$102,6,FALSE)&gt;=(VLOOKUP(VLOOKUP(C$1,main!$A$3:$H$102,8,FALSE),main!$K$26:$M$29,2,FALSE)+VLOOKUP(VLOOKUP(C$1,main!$A$3:$H$102,7,FALSE),main!$K$19:$O$22,MATCH(VLOOKUP($A12,main!$A$3:$H$102,8,FALSE),main!$K$18:$O$18,0))))),1,0)</f>
        <v>0</v>
      </c>
      <c r="D12">
        <f>IF((AND(VLOOKUP(D$1,main!$A$3:$H$102,5,FALSE)-VLOOKUP($A12,main!$A$3:$H$102,6,FALSE)&gt;=(VLOOKUP(VLOOKUP(D$1,main!$A$3:$H$102,8,FALSE),main!$K$26:$M$29,2,FALSE)+VLOOKUP(VLOOKUP(D$1,main!$A$3:$H$102,7,FALSE),main!$K$19:$O$22,MATCH(VLOOKUP($A12,main!$A$3:$H$102,8,FALSE),main!$K$18:$O$18,0))))),1,0)</f>
        <v>0</v>
      </c>
      <c r="E12">
        <f>IF((AND(VLOOKUP(E$1,main!$A$3:$H$102,5,FALSE)-VLOOKUP($A12,main!$A$3:$H$102,6,FALSE)&gt;=(VLOOKUP(VLOOKUP(E$1,main!$A$3:$H$102,8,FALSE),main!$K$26:$M$29,2,FALSE)+VLOOKUP(VLOOKUP(E$1,main!$A$3:$H$102,7,FALSE),main!$K$19:$O$22,MATCH(VLOOKUP($A12,main!$A$3:$H$102,8,FALSE),main!$K$18:$O$18,0))))),1,0)</f>
        <v>0</v>
      </c>
      <c r="F12">
        <f>IF((AND(VLOOKUP(F$1,main!$A$3:$H$102,5,FALSE)-VLOOKUP($A12,main!$A$3:$H$102,6,FALSE)&gt;=(VLOOKUP(VLOOKUP(F$1,main!$A$3:$H$102,8,FALSE),main!$K$26:$M$29,2,FALSE)+VLOOKUP(VLOOKUP(F$1,main!$A$3:$H$102,7,FALSE),main!$K$19:$O$22,MATCH(VLOOKUP($A12,main!$A$3:$H$102,8,FALSE),main!$K$18:$O$18,0))))),1,0)</f>
        <v>0</v>
      </c>
      <c r="G12">
        <f>IF((AND(VLOOKUP(G$1,main!$A$3:$H$102,5,FALSE)-VLOOKUP($A12,main!$A$3:$H$102,6,FALSE)&gt;=(VLOOKUP(VLOOKUP(G$1,main!$A$3:$H$102,8,FALSE),main!$K$26:$M$29,2,FALSE)+VLOOKUP(VLOOKUP(G$1,main!$A$3:$H$102,7,FALSE),main!$K$19:$O$22,MATCH(VLOOKUP($A12,main!$A$3:$H$102,8,FALSE),main!$K$18:$O$18,0))))),1,0)</f>
        <v>0</v>
      </c>
      <c r="H12">
        <f>IF((AND(VLOOKUP(H$1,main!$A$3:$H$102,5,FALSE)-VLOOKUP($A12,main!$A$3:$H$102,6,FALSE)&gt;=(VLOOKUP(VLOOKUP(H$1,main!$A$3:$H$102,8,FALSE),main!$K$26:$M$29,2,FALSE)+VLOOKUP(VLOOKUP(H$1,main!$A$3:$H$102,7,FALSE),main!$K$19:$O$22,MATCH(VLOOKUP($A12,main!$A$3:$H$102,8,FALSE),main!$K$18:$O$18,0))))),1,0)</f>
        <v>0</v>
      </c>
      <c r="I12">
        <f>IF((AND(VLOOKUP(I$1,main!$A$3:$H$102,5,FALSE)-VLOOKUP($A12,main!$A$3:$H$102,6,FALSE)&gt;=(VLOOKUP(VLOOKUP(I$1,main!$A$3:$H$102,8,FALSE),main!$K$26:$M$29,2,FALSE)+VLOOKUP(VLOOKUP(I$1,main!$A$3:$H$102,7,FALSE),main!$K$19:$O$22,MATCH(VLOOKUP($A12,main!$A$3:$H$102,8,FALSE),main!$K$18:$O$18,0))))),1,0)</f>
        <v>0</v>
      </c>
      <c r="J12">
        <f>IF((AND(VLOOKUP(J$1,main!$A$3:$H$102,5,FALSE)-VLOOKUP($A12,main!$A$3:$H$102,6,FALSE)&gt;=(VLOOKUP(VLOOKUP(J$1,main!$A$3:$H$102,8,FALSE),main!$K$26:$M$29,2,FALSE)+VLOOKUP(VLOOKUP(J$1,main!$A$3:$H$102,7,FALSE),main!$K$19:$O$22,MATCH(VLOOKUP($A12,main!$A$3:$H$102,8,FALSE),main!$K$18:$O$18,0))))),1,0)</f>
        <v>0</v>
      </c>
      <c r="K12">
        <f>IF((AND(VLOOKUP(K$1,main!$A$3:$H$102,5,FALSE)-VLOOKUP($A12,main!$A$3:$H$102,6,FALSE)&gt;=(VLOOKUP(VLOOKUP(K$1,main!$A$3:$H$102,8,FALSE),main!$K$26:$M$29,2,FALSE)+VLOOKUP(VLOOKUP(K$1,main!$A$3:$H$102,7,FALSE),main!$K$19:$O$22,MATCH(VLOOKUP($A12,main!$A$3:$H$102,8,FALSE),main!$K$18:$O$18,0))))),1,0)</f>
        <v>0</v>
      </c>
      <c r="L12">
        <f>IF((AND(VLOOKUP(L$1,main!$A$3:$H$102,5,FALSE)-VLOOKUP($A12,main!$A$3:$H$102,6,FALSE)&gt;=(VLOOKUP(VLOOKUP(L$1,main!$A$3:$H$102,8,FALSE),main!$K$26:$M$29,2,FALSE)+VLOOKUP(VLOOKUP(L$1,main!$A$3:$H$102,7,FALSE),main!$K$19:$O$22,MATCH(VLOOKUP($A12,main!$A$3:$H$102,8,FALSE),main!$K$18:$O$18,0))))),1,0)</f>
        <v>0</v>
      </c>
      <c r="M12">
        <f>IF((AND(VLOOKUP(M$1,main!$A$3:$H$102,5,FALSE)-VLOOKUP($A12,main!$A$3:$H$102,6,FALSE)&gt;=(VLOOKUP(VLOOKUP(M$1,main!$A$3:$H$102,8,FALSE),main!$K$26:$M$29,2,FALSE)+VLOOKUP(VLOOKUP(M$1,main!$A$3:$H$102,7,FALSE),main!$K$19:$O$22,MATCH(VLOOKUP($A12,main!$A$3:$H$102,8,FALSE),main!$K$18:$O$18,0))))),1,0)</f>
        <v>0</v>
      </c>
      <c r="N12">
        <f>IF((AND(VLOOKUP(N$1,main!$A$3:$H$102,5,FALSE)-VLOOKUP($A12,main!$A$3:$H$102,6,FALSE)&gt;=(VLOOKUP(VLOOKUP(N$1,main!$A$3:$H$102,8,FALSE),main!$K$26:$M$29,2,FALSE)+VLOOKUP(VLOOKUP(N$1,main!$A$3:$H$102,7,FALSE),main!$K$19:$O$22,MATCH(VLOOKUP($A12,main!$A$3:$H$102,8,FALSE),main!$K$18:$O$18,0))))),1,0)</f>
        <v>0</v>
      </c>
      <c r="O12">
        <f>IF((AND(VLOOKUP(O$1,main!$A$3:$H$102,5,FALSE)-VLOOKUP($A12,main!$A$3:$H$102,6,FALSE)&gt;=(VLOOKUP(VLOOKUP(O$1,main!$A$3:$H$102,8,FALSE),main!$K$26:$M$29,2,FALSE)+VLOOKUP(VLOOKUP(O$1,main!$A$3:$H$102,7,FALSE),main!$K$19:$O$22,MATCH(VLOOKUP($A12,main!$A$3:$H$102,8,FALSE),main!$K$18:$O$18,0))))),1,0)</f>
        <v>0</v>
      </c>
      <c r="P12">
        <f>IF((AND(VLOOKUP(P$1,main!$A$3:$H$102,5,FALSE)-VLOOKUP($A12,main!$A$3:$H$102,6,FALSE)&gt;=(VLOOKUP(VLOOKUP(P$1,main!$A$3:$H$102,8,FALSE),main!$K$26:$M$29,2,FALSE)+VLOOKUP(VLOOKUP(P$1,main!$A$3:$H$102,7,FALSE),main!$K$19:$O$22,MATCH(VLOOKUP($A12,main!$A$3:$H$102,8,FALSE),main!$K$18:$O$18,0))))),1,0)</f>
        <v>0</v>
      </c>
      <c r="Q12">
        <f>IF((AND(VLOOKUP(Q$1,main!$A$3:$H$102,5,FALSE)-VLOOKUP($A12,main!$A$3:$H$102,6,FALSE)&gt;=(VLOOKUP(VLOOKUP(Q$1,main!$A$3:$H$102,8,FALSE),main!$K$26:$M$29,2,FALSE)+VLOOKUP(VLOOKUP(Q$1,main!$A$3:$H$102,7,FALSE),main!$K$19:$O$22,MATCH(VLOOKUP($A12,main!$A$3:$H$102,8,FALSE),main!$K$18:$O$18,0))))),1,0)</f>
        <v>0</v>
      </c>
      <c r="R12">
        <f>IF((AND(VLOOKUP(R$1,main!$A$3:$H$102,5,FALSE)-VLOOKUP($A12,main!$A$3:$H$102,6,FALSE)&gt;=(VLOOKUP(VLOOKUP(R$1,main!$A$3:$H$102,8,FALSE),main!$K$26:$M$29,2,FALSE)+VLOOKUP(VLOOKUP(R$1,main!$A$3:$H$102,7,FALSE),main!$K$19:$O$22,MATCH(VLOOKUP($A12,main!$A$3:$H$102,8,FALSE),main!$K$18:$O$18,0))))),1,0)</f>
        <v>0</v>
      </c>
      <c r="S12">
        <f>IF((AND(VLOOKUP(S$1,main!$A$3:$H$102,5,FALSE)-VLOOKUP($A12,main!$A$3:$H$102,6,FALSE)&gt;=(VLOOKUP(VLOOKUP(S$1,main!$A$3:$H$102,8,FALSE),main!$K$26:$M$29,2,FALSE)+VLOOKUP(VLOOKUP(S$1,main!$A$3:$H$102,7,FALSE),main!$K$19:$O$22,MATCH(VLOOKUP($A12,main!$A$3:$H$102,8,FALSE),main!$K$18:$O$18,0))))),1,0)</f>
        <v>0</v>
      </c>
      <c r="T12">
        <f>IF((AND(VLOOKUP(T$1,main!$A$3:$H$102,5,FALSE)-VLOOKUP($A12,main!$A$3:$H$102,6,FALSE)&gt;=(VLOOKUP(VLOOKUP(T$1,main!$A$3:$H$102,8,FALSE),main!$K$26:$M$29,2,FALSE)+VLOOKUP(VLOOKUP(T$1,main!$A$3:$H$102,7,FALSE),main!$K$19:$O$22,MATCH(VLOOKUP($A12,main!$A$3:$H$102,8,FALSE),main!$K$18:$O$18,0))))),1,0)</f>
        <v>0</v>
      </c>
      <c r="U12">
        <f>IF((AND(VLOOKUP(U$1,main!$A$3:$H$102,5,FALSE)-VLOOKUP($A12,main!$A$3:$H$102,6,FALSE)&gt;=(VLOOKUP(VLOOKUP(U$1,main!$A$3:$H$102,8,FALSE),main!$K$26:$M$29,2,FALSE)+VLOOKUP(VLOOKUP(U$1,main!$A$3:$H$102,7,FALSE),main!$K$19:$O$22,MATCH(VLOOKUP($A12,main!$A$3:$H$102,8,FALSE),main!$K$18:$O$18,0))))),1,0)</f>
        <v>0</v>
      </c>
      <c r="V12">
        <f>IF((AND(VLOOKUP(V$1,main!$A$3:$H$102,5,FALSE)-VLOOKUP($A12,main!$A$3:$H$102,6,FALSE)&gt;=(VLOOKUP(VLOOKUP(V$1,main!$A$3:$H$102,8,FALSE),main!$K$26:$M$29,2,FALSE)+VLOOKUP(VLOOKUP(V$1,main!$A$3:$H$102,7,FALSE),main!$K$19:$O$22,MATCH(VLOOKUP($A12,main!$A$3:$H$102,8,FALSE),main!$K$18:$O$18,0))))),1,0)</f>
        <v>0</v>
      </c>
      <c r="W12">
        <f>IF((AND(VLOOKUP(W$1,main!$A$3:$H$102,5,FALSE)-VLOOKUP($A12,main!$A$3:$H$102,6,FALSE)&gt;=(VLOOKUP(VLOOKUP(W$1,main!$A$3:$H$102,8,FALSE),main!$K$26:$M$29,2,FALSE)+VLOOKUP(VLOOKUP(W$1,main!$A$3:$H$102,7,FALSE),main!$K$19:$O$22,MATCH(VLOOKUP($A12,main!$A$3:$H$102,8,FALSE),main!$K$18:$O$18,0))))),1,0)</f>
        <v>0</v>
      </c>
      <c r="X12">
        <f>IF((AND(VLOOKUP(X$1,main!$A$3:$H$102,5,FALSE)-VLOOKUP($A12,main!$A$3:$H$102,6,FALSE)&gt;=(VLOOKUP(VLOOKUP(X$1,main!$A$3:$H$102,8,FALSE),main!$K$26:$M$29,2,FALSE)+VLOOKUP(VLOOKUP(X$1,main!$A$3:$H$102,7,FALSE),main!$K$19:$O$22,MATCH(VLOOKUP($A12,main!$A$3:$H$102,8,FALSE),main!$K$18:$O$18,0))))),1,0)</f>
        <v>0</v>
      </c>
      <c r="Y12">
        <f>IF((AND(VLOOKUP(Y$1,main!$A$3:$H$102,5,FALSE)-VLOOKUP($A12,main!$A$3:$H$102,6,FALSE)&gt;=(VLOOKUP(VLOOKUP(Y$1,main!$A$3:$H$102,8,FALSE),main!$K$26:$M$29,2,FALSE)+VLOOKUP(VLOOKUP(Y$1,main!$A$3:$H$102,7,FALSE),main!$K$19:$O$22,MATCH(VLOOKUP($A12,main!$A$3:$H$102,8,FALSE),main!$K$18:$O$18,0))))),1,0)</f>
        <v>0</v>
      </c>
      <c r="Z12">
        <f>IF((AND(VLOOKUP(Z$1,main!$A$3:$H$102,5,FALSE)-VLOOKUP($A12,main!$A$3:$H$102,6,FALSE)&gt;=(VLOOKUP(VLOOKUP(Z$1,main!$A$3:$H$102,8,FALSE),main!$K$26:$M$29,2,FALSE)+VLOOKUP(VLOOKUP(Z$1,main!$A$3:$H$102,7,FALSE),main!$K$19:$O$22,MATCH(VLOOKUP($A12,main!$A$3:$H$102,8,FALSE),main!$K$18:$O$18,0))))),1,0)</f>
        <v>0</v>
      </c>
      <c r="AA12">
        <f>IF((AND(VLOOKUP(AA$1,main!$A$3:$H$102,5,FALSE)-VLOOKUP($A12,main!$A$3:$H$102,6,FALSE)&gt;=(VLOOKUP(VLOOKUP(AA$1,main!$A$3:$H$102,8,FALSE),main!$K$26:$M$29,2,FALSE)+VLOOKUP(VLOOKUP(AA$1,main!$A$3:$H$102,7,FALSE),main!$K$19:$O$22,MATCH(VLOOKUP($A12,main!$A$3:$H$102,8,FALSE),main!$K$18:$O$18,0))))),1,0)</f>
        <v>0</v>
      </c>
      <c r="AB12">
        <f>IF((AND(VLOOKUP(AB$1,main!$A$3:$H$102,5,FALSE)-VLOOKUP($A12,main!$A$3:$H$102,6,FALSE)&gt;=(VLOOKUP(VLOOKUP(AB$1,main!$A$3:$H$102,8,FALSE),main!$K$26:$M$29,2,FALSE)+VLOOKUP(VLOOKUP(AB$1,main!$A$3:$H$102,7,FALSE),main!$K$19:$O$22,MATCH(VLOOKUP($A12,main!$A$3:$H$102,8,FALSE),main!$K$18:$O$18,0))))),1,0)</f>
        <v>0</v>
      </c>
      <c r="AC12">
        <f>IF((AND(VLOOKUP(AC$1,main!$A$3:$H$102,5,FALSE)-VLOOKUP($A12,main!$A$3:$H$102,6,FALSE)&gt;=(VLOOKUP(VLOOKUP(AC$1,main!$A$3:$H$102,8,FALSE),main!$K$26:$M$29,2,FALSE)+VLOOKUP(VLOOKUP(AC$1,main!$A$3:$H$102,7,FALSE),main!$K$19:$O$22,MATCH(VLOOKUP($A12,main!$A$3:$H$102,8,FALSE),main!$K$18:$O$18,0))))),1,0)</f>
        <v>0</v>
      </c>
      <c r="AD12">
        <f>IF((AND(VLOOKUP(AD$1,main!$A$3:$H$102,5,FALSE)-VLOOKUP($A12,main!$A$3:$H$102,6,FALSE)&gt;=(VLOOKUP(VLOOKUP(AD$1,main!$A$3:$H$102,8,FALSE),main!$K$26:$M$29,2,FALSE)+VLOOKUP(VLOOKUP(AD$1,main!$A$3:$H$102,7,FALSE),main!$K$19:$O$22,MATCH(VLOOKUP($A12,main!$A$3:$H$102,8,FALSE),main!$K$18:$O$18,0))))),1,0)</f>
        <v>0</v>
      </c>
      <c r="AE12">
        <f>IF((AND(VLOOKUP(AE$1,main!$A$3:$H$102,5,FALSE)-VLOOKUP($A12,main!$A$3:$H$102,6,FALSE)&gt;=(VLOOKUP(VLOOKUP(AE$1,main!$A$3:$H$102,8,FALSE),main!$K$26:$M$29,2,FALSE)+VLOOKUP(VLOOKUP(AE$1,main!$A$3:$H$102,7,FALSE),main!$K$19:$O$22,MATCH(VLOOKUP($A12,main!$A$3:$H$102,8,FALSE),main!$K$18:$O$18,0))))),1,0)</f>
        <v>0</v>
      </c>
      <c r="AF12">
        <f>IF((AND(VLOOKUP(AF$1,main!$A$3:$H$102,5,FALSE)-VLOOKUP($A12,main!$A$3:$H$102,6,FALSE)&gt;=(VLOOKUP(VLOOKUP(AF$1,main!$A$3:$H$102,8,FALSE),main!$K$26:$M$29,2,FALSE)+VLOOKUP(VLOOKUP(AF$1,main!$A$3:$H$102,7,FALSE),main!$K$19:$O$22,MATCH(VLOOKUP($A12,main!$A$3:$H$102,8,FALSE),main!$K$18:$O$18,0))))),1,0)</f>
        <v>0</v>
      </c>
      <c r="AG12">
        <f>IF((AND(VLOOKUP(AG$1,main!$A$3:$H$102,5,FALSE)-VLOOKUP($A12,main!$A$3:$H$102,6,FALSE)&gt;=(VLOOKUP(VLOOKUP(AG$1,main!$A$3:$H$102,8,FALSE),main!$K$26:$M$29,2,FALSE)+VLOOKUP(VLOOKUP(AG$1,main!$A$3:$H$102,7,FALSE),main!$K$19:$O$22,MATCH(VLOOKUP($A12,main!$A$3:$H$102,8,FALSE),main!$K$18:$O$18,0))))),1,0)</f>
        <v>0</v>
      </c>
      <c r="AH12">
        <f>IF((AND(VLOOKUP(AH$1,main!$A$3:$H$102,5,FALSE)-VLOOKUP($A12,main!$A$3:$H$102,6,FALSE)&gt;=(VLOOKUP(VLOOKUP(AH$1,main!$A$3:$H$102,8,FALSE),main!$K$26:$M$29,2,FALSE)+VLOOKUP(VLOOKUP(AH$1,main!$A$3:$H$102,7,FALSE),main!$K$19:$O$22,MATCH(VLOOKUP($A12,main!$A$3:$H$102,8,FALSE),main!$K$18:$O$18,0))))),1,0)</f>
        <v>0</v>
      </c>
      <c r="AI12">
        <f>IF((AND(VLOOKUP(AI$1,main!$A$3:$H$102,5,FALSE)-VLOOKUP($A12,main!$A$3:$H$102,6,FALSE)&gt;=(VLOOKUP(VLOOKUP(AI$1,main!$A$3:$H$102,8,FALSE),main!$K$26:$M$29,2,FALSE)+VLOOKUP(VLOOKUP(AI$1,main!$A$3:$H$102,7,FALSE),main!$K$19:$O$22,MATCH(VLOOKUP($A12,main!$A$3:$H$102,8,FALSE),main!$K$18:$O$18,0))))),1,0)</f>
        <v>0</v>
      </c>
      <c r="AJ12">
        <f>IF((AND(VLOOKUP(AJ$1,main!$A$3:$H$102,5,FALSE)-VLOOKUP($A12,main!$A$3:$H$102,6,FALSE)&gt;=(VLOOKUP(VLOOKUP(AJ$1,main!$A$3:$H$102,8,FALSE),main!$K$26:$M$29,2,FALSE)+VLOOKUP(VLOOKUP(AJ$1,main!$A$3:$H$102,7,FALSE),main!$K$19:$O$22,MATCH(VLOOKUP($A12,main!$A$3:$H$102,8,FALSE),main!$K$18:$O$18,0))))),1,0)</f>
        <v>0</v>
      </c>
      <c r="AK12">
        <f>IF((AND(VLOOKUP(AK$1,main!$A$3:$H$102,5,FALSE)-VLOOKUP($A12,main!$A$3:$H$102,6,FALSE)&gt;=(VLOOKUP(VLOOKUP(AK$1,main!$A$3:$H$102,8,FALSE),main!$K$26:$M$29,2,FALSE)+VLOOKUP(VLOOKUP(AK$1,main!$A$3:$H$102,7,FALSE),main!$K$19:$O$22,MATCH(VLOOKUP($A12,main!$A$3:$H$102,8,FALSE),main!$K$18:$O$18,0))))),1,0)</f>
        <v>0</v>
      </c>
      <c r="AL12">
        <f>IF((AND(VLOOKUP(AL$1,main!$A$3:$H$102,5,FALSE)-VLOOKUP($A12,main!$A$3:$H$102,6,FALSE)&gt;=(VLOOKUP(VLOOKUP(AL$1,main!$A$3:$H$102,8,FALSE),main!$K$26:$M$29,2,FALSE)+VLOOKUP(VLOOKUP(AL$1,main!$A$3:$H$102,7,FALSE),main!$K$19:$O$22,MATCH(VLOOKUP($A12,main!$A$3:$H$102,8,FALSE),main!$K$18:$O$18,0))))),1,0)</f>
        <v>0</v>
      </c>
      <c r="AM12">
        <f>IF((AND(VLOOKUP(AM$1,main!$A$3:$H$102,5,FALSE)-VLOOKUP($A12,main!$A$3:$H$102,6,FALSE)&gt;=(VLOOKUP(VLOOKUP(AM$1,main!$A$3:$H$102,8,FALSE),main!$K$26:$M$29,2,FALSE)+VLOOKUP(VLOOKUP(AM$1,main!$A$3:$H$102,7,FALSE),main!$K$19:$O$22,MATCH(VLOOKUP($A12,main!$A$3:$H$102,8,FALSE),main!$K$18:$O$18,0))))),1,0)</f>
        <v>0</v>
      </c>
      <c r="AN12">
        <f>IF((AND(VLOOKUP(AN$1,main!$A$3:$H$102,5,FALSE)-VLOOKUP($A12,main!$A$3:$H$102,6,FALSE)&gt;=(VLOOKUP(VLOOKUP(AN$1,main!$A$3:$H$102,8,FALSE),main!$K$26:$M$29,2,FALSE)+VLOOKUP(VLOOKUP(AN$1,main!$A$3:$H$102,7,FALSE),main!$K$19:$O$22,MATCH(VLOOKUP($A12,main!$A$3:$H$102,8,FALSE),main!$K$18:$O$18,0))))),1,0)</f>
        <v>0</v>
      </c>
      <c r="AO12">
        <f>IF((AND(VLOOKUP(AO$1,main!$A$3:$H$102,5,FALSE)-VLOOKUP($A12,main!$A$3:$H$102,6,FALSE)&gt;=(VLOOKUP(VLOOKUP(AO$1,main!$A$3:$H$102,8,FALSE),main!$K$26:$M$29,2,FALSE)+VLOOKUP(VLOOKUP(AO$1,main!$A$3:$H$102,7,FALSE),main!$K$19:$O$22,MATCH(VLOOKUP($A12,main!$A$3:$H$102,8,FALSE),main!$K$18:$O$18,0))))),1,0)</f>
        <v>0</v>
      </c>
      <c r="AP12">
        <f>IF((AND(VLOOKUP(AP$1,main!$A$3:$H$102,5,FALSE)-VLOOKUP($A12,main!$A$3:$H$102,6,FALSE)&gt;=(VLOOKUP(VLOOKUP(AP$1,main!$A$3:$H$102,8,FALSE),main!$K$26:$M$29,2,FALSE)+VLOOKUP(VLOOKUP(AP$1,main!$A$3:$H$102,7,FALSE),main!$K$19:$O$22,MATCH(VLOOKUP($A12,main!$A$3:$H$102,8,FALSE),main!$K$18:$O$18,0))))),1,0)</f>
        <v>0</v>
      </c>
      <c r="AQ12">
        <f>IF((AND(VLOOKUP(AQ$1,main!$A$3:$H$102,5,FALSE)-VLOOKUP($A12,main!$A$3:$H$102,6,FALSE)&gt;=(VLOOKUP(VLOOKUP(AQ$1,main!$A$3:$H$102,8,FALSE),main!$K$26:$M$29,2,FALSE)+VLOOKUP(VLOOKUP(AQ$1,main!$A$3:$H$102,7,FALSE),main!$K$19:$O$22,MATCH(VLOOKUP($A12,main!$A$3:$H$102,8,FALSE),main!$K$18:$O$18,0))))),1,0)</f>
        <v>0</v>
      </c>
      <c r="AR12">
        <f>IF((AND(VLOOKUP(AR$1,main!$A$3:$H$102,5,FALSE)-VLOOKUP($A12,main!$A$3:$H$102,6,FALSE)&gt;=(VLOOKUP(VLOOKUP(AR$1,main!$A$3:$H$102,8,FALSE),main!$K$26:$M$29,2,FALSE)+VLOOKUP(VLOOKUP(AR$1,main!$A$3:$H$102,7,FALSE),main!$K$19:$O$22,MATCH(VLOOKUP($A12,main!$A$3:$H$102,8,FALSE),main!$K$18:$O$18,0))))),1,0)</f>
        <v>0</v>
      </c>
      <c r="AS12">
        <f>IF((AND(VLOOKUP(AS$1,main!$A$3:$H$102,5,FALSE)-VLOOKUP($A12,main!$A$3:$H$102,6,FALSE)&gt;=(VLOOKUP(VLOOKUP(AS$1,main!$A$3:$H$102,8,FALSE),main!$K$26:$M$29,2,FALSE)+VLOOKUP(VLOOKUP(AS$1,main!$A$3:$H$102,7,FALSE),main!$K$19:$O$22,MATCH(VLOOKUP($A12,main!$A$3:$H$102,8,FALSE),main!$K$18:$O$18,0))))),1,0)</f>
        <v>0</v>
      </c>
      <c r="AT12">
        <f>IF((AND(VLOOKUP(AT$1,main!$A$3:$H$102,5,FALSE)-VLOOKUP($A12,main!$A$3:$H$102,6,FALSE)&gt;=(VLOOKUP(VLOOKUP(AT$1,main!$A$3:$H$102,8,FALSE),main!$K$26:$M$29,2,FALSE)+VLOOKUP(VLOOKUP(AT$1,main!$A$3:$H$102,7,FALSE),main!$K$19:$O$22,MATCH(VLOOKUP($A12,main!$A$3:$H$102,8,FALSE),main!$K$18:$O$18,0))))),1,0)</f>
        <v>0</v>
      </c>
      <c r="AU12">
        <f>IF((AND(VLOOKUP(AU$1,main!$A$3:$H$102,5,FALSE)-VLOOKUP($A12,main!$A$3:$H$102,6,FALSE)&gt;=(VLOOKUP(VLOOKUP(AU$1,main!$A$3:$H$102,8,FALSE),main!$K$26:$M$29,2,FALSE)+VLOOKUP(VLOOKUP(AU$1,main!$A$3:$H$102,7,FALSE),main!$K$19:$O$22,MATCH(VLOOKUP($A12,main!$A$3:$H$102,8,FALSE),main!$K$18:$O$18,0))))),1,0)</f>
        <v>0</v>
      </c>
      <c r="AV12">
        <f>IF((AND(VLOOKUP(AV$1,main!$A$3:$H$102,5,FALSE)-VLOOKUP($A12,main!$A$3:$H$102,6,FALSE)&gt;=(VLOOKUP(VLOOKUP(AV$1,main!$A$3:$H$102,8,FALSE),main!$K$26:$M$29,2,FALSE)+VLOOKUP(VLOOKUP(AV$1,main!$A$3:$H$102,7,FALSE),main!$K$19:$O$22,MATCH(VLOOKUP($A12,main!$A$3:$H$102,8,FALSE),main!$K$18:$O$18,0))))),1,0)</f>
        <v>0</v>
      </c>
      <c r="AW12">
        <f>IF((AND(VLOOKUP(AW$1,main!$A$3:$H$102,5,FALSE)-VLOOKUP($A12,main!$A$3:$H$102,6,FALSE)&gt;=(VLOOKUP(VLOOKUP(AW$1,main!$A$3:$H$102,8,FALSE),main!$K$26:$M$29,2,FALSE)+VLOOKUP(VLOOKUP(AW$1,main!$A$3:$H$102,7,FALSE),main!$K$19:$O$22,MATCH(VLOOKUP($A12,main!$A$3:$H$102,8,FALSE),main!$K$18:$O$18,0))))),1,0)</f>
        <v>0</v>
      </c>
      <c r="AX12">
        <f>IF((AND(VLOOKUP(AX$1,main!$A$3:$H$102,5,FALSE)-VLOOKUP($A12,main!$A$3:$H$102,6,FALSE)&gt;=(VLOOKUP(VLOOKUP(AX$1,main!$A$3:$H$102,8,FALSE),main!$K$26:$M$29,2,FALSE)+VLOOKUP(VLOOKUP(AX$1,main!$A$3:$H$102,7,FALSE),main!$K$19:$O$22,MATCH(VLOOKUP($A12,main!$A$3:$H$102,8,FALSE),main!$K$18:$O$18,0))))),1,0)</f>
        <v>0</v>
      </c>
      <c r="AY12">
        <f>IF((AND(VLOOKUP(AY$1,main!$A$3:$H$102,5,FALSE)-VLOOKUP($A12,main!$A$3:$H$102,6,FALSE)&gt;=(VLOOKUP(VLOOKUP(AY$1,main!$A$3:$H$102,8,FALSE),main!$K$26:$M$29,2,FALSE)+VLOOKUP(VLOOKUP(AY$1,main!$A$3:$H$102,7,FALSE),main!$K$19:$O$22,MATCH(VLOOKUP($A12,main!$A$3:$H$102,8,FALSE),main!$K$18:$O$18,0))))),1,0)</f>
        <v>0</v>
      </c>
      <c r="AZ12">
        <f>IF((AND(VLOOKUP(AZ$1,main!$A$3:$H$102,5,FALSE)-VLOOKUP($A12,main!$A$3:$H$102,6,FALSE)&gt;=(VLOOKUP(VLOOKUP(AZ$1,main!$A$3:$H$102,8,FALSE),main!$K$26:$M$29,2,FALSE)+VLOOKUP(VLOOKUP(AZ$1,main!$A$3:$H$102,7,FALSE),main!$K$19:$O$22,MATCH(VLOOKUP($A12,main!$A$3:$H$102,8,FALSE),main!$K$18:$O$18,0))))),1,0)</f>
        <v>0</v>
      </c>
      <c r="BA12">
        <f>IF((AND(VLOOKUP(BA$1,main!$A$3:$H$102,5,FALSE)-VLOOKUP($A12,main!$A$3:$H$102,6,FALSE)&gt;=(VLOOKUP(VLOOKUP(BA$1,main!$A$3:$H$102,8,FALSE),main!$K$26:$M$29,2,FALSE)+VLOOKUP(VLOOKUP(BA$1,main!$A$3:$H$102,7,FALSE),main!$K$19:$O$22,MATCH(VLOOKUP($A12,main!$A$3:$H$102,8,FALSE),main!$K$18:$O$18,0))))),1,0)</f>
        <v>0</v>
      </c>
      <c r="BB12">
        <f>IF((AND(VLOOKUP(BB$1,main!$A$3:$H$102,5,FALSE)-VLOOKUP($A12,main!$A$3:$H$102,6,FALSE)&gt;=(VLOOKUP(VLOOKUP(BB$1,main!$A$3:$H$102,8,FALSE),main!$K$26:$M$29,2,FALSE)+VLOOKUP(VLOOKUP(BB$1,main!$A$3:$H$102,7,FALSE),main!$K$19:$O$22,MATCH(VLOOKUP($A12,main!$A$3:$H$102,8,FALSE),main!$K$18:$O$18,0))))),1,0)</f>
        <v>0</v>
      </c>
      <c r="BC12">
        <f>IF((AND(VLOOKUP(BC$1,main!$A$3:$H$102,5,FALSE)-VLOOKUP($A12,main!$A$3:$H$102,6,FALSE)&gt;=(VLOOKUP(VLOOKUP(BC$1,main!$A$3:$H$102,8,FALSE),main!$K$26:$M$29,2,FALSE)+VLOOKUP(VLOOKUP(BC$1,main!$A$3:$H$102,7,FALSE),main!$K$19:$O$22,MATCH(VLOOKUP($A12,main!$A$3:$H$102,8,FALSE),main!$K$18:$O$18,0))))),1,0)</f>
        <v>0</v>
      </c>
      <c r="BD12">
        <f>IF((AND(VLOOKUP(BD$1,main!$A$3:$H$102,5,FALSE)-VLOOKUP($A12,main!$A$3:$H$102,6,FALSE)&gt;=(VLOOKUP(VLOOKUP(BD$1,main!$A$3:$H$102,8,FALSE),main!$K$26:$M$29,2,FALSE)+VLOOKUP(VLOOKUP(BD$1,main!$A$3:$H$102,7,FALSE),main!$K$19:$O$22,MATCH(VLOOKUP($A12,main!$A$3:$H$102,8,FALSE),main!$K$18:$O$18,0))))),1,0)</f>
        <v>0</v>
      </c>
      <c r="BE12">
        <f>IF((AND(VLOOKUP(BE$1,main!$A$3:$H$102,5,FALSE)-VLOOKUP($A12,main!$A$3:$H$102,6,FALSE)&gt;=(VLOOKUP(VLOOKUP(BE$1,main!$A$3:$H$102,8,FALSE),main!$K$26:$M$29,2,FALSE)+VLOOKUP(VLOOKUP(BE$1,main!$A$3:$H$102,7,FALSE),main!$K$19:$O$22,MATCH(VLOOKUP($A12,main!$A$3:$H$102,8,FALSE),main!$K$18:$O$18,0))))),1,0)</f>
        <v>0</v>
      </c>
      <c r="BF12">
        <f>IF((AND(VLOOKUP(BF$1,main!$A$3:$H$102,5,FALSE)-VLOOKUP($A12,main!$A$3:$H$102,6,FALSE)&gt;=(VLOOKUP(VLOOKUP(BF$1,main!$A$3:$H$102,8,FALSE),main!$K$26:$M$29,2,FALSE)+VLOOKUP(VLOOKUP(BF$1,main!$A$3:$H$102,7,FALSE),main!$K$19:$O$22,MATCH(VLOOKUP($A12,main!$A$3:$H$102,8,FALSE),main!$K$18:$O$18,0))))),1,0)</f>
        <v>0</v>
      </c>
      <c r="BG12">
        <f>IF((AND(VLOOKUP(BG$1,main!$A$3:$H$102,5,FALSE)-VLOOKUP($A12,main!$A$3:$H$102,6,FALSE)&gt;=(VLOOKUP(VLOOKUP(BG$1,main!$A$3:$H$102,8,FALSE),main!$K$26:$M$29,2,FALSE)+VLOOKUP(VLOOKUP(BG$1,main!$A$3:$H$102,7,FALSE),main!$K$19:$O$22,MATCH(VLOOKUP($A12,main!$A$3:$H$102,8,FALSE),main!$K$18:$O$18,0))))),1,0)</f>
        <v>0</v>
      </c>
      <c r="BH12">
        <f>IF((AND(VLOOKUP(BH$1,main!$A$3:$H$102,5,FALSE)-VLOOKUP($A12,main!$A$3:$H$102,6,FALSE)&gt;=(VLOOKUP(VLOOKUP(BH$1,main!$A$3:$H$102,8,FALSE),main!$K$26:$M$29,2,FALSE)+VLOOKUP(VLOOKUP(BH$1,main!$A$3:$H$102,7,FALSE),main!$K$19:$O$22,MATCH(VLOOKUP($A12,main!$A$3:$H$102,8,FALSE),main!$K$18:$O$18,0))))),1,0)</f>
        <v>0</v>
      </c>
      <c r="BI12">
        <f>IF((AND(VLOOKUP(BI$1,main!$A$3:$H$102,5,FALSE)-VLOOKUP($A12,main!$A$3:$H$102,6,FALSE)&gt;=(VLOOKUP(VLOOKUP(BI$1,main!$A$3:$H$102,8,FALSE),main!$K$26:$M$29,2,FALSE)+VLOOKUP(VLOOKUP(BI$1,main!$A$3:$H$102,7,FALSE),main!$K$19:$O$22,MATCH(VLOOKUP($A12,main!$A$3:$H$102,8,FALSE),main!$K$18:$O$18,0))))),1,0)</f>
        <v>0</v>
      </c>
      <c r="BJ12">
        <f>IF((AND(VLOOKUP(BJ$1,main!$A$3:$H$102,5,FALSE)-VLOOKUP($A12,main!$A$3:$H$102,6,FALSE)&gt;=(VLOOKUP(VLOOKUP(BJ$1,main!$A$3:$H$102,8,FALSE),main!$K$26:$M$29,2,FALSE)+VLOOKUP(VLOOKUP(BJ$1,main!$A$3:$H$102,7,FALSE),main!$K$19:$O$22,MATCH(VLOOKUP($A12,main!$A$3:$H$102,8,FALSE),main!$K$18:$O$18,0))))),1,0)</f>
        <v>0</v>
      </c>
      <c r="BK12">
        <f>IF((AND(VLOOKUP(BK$1,main!$A$3:$H$102,5,FALSE)-VLOOKUP($A12,main!$A$3:$H$102,6,FALSE)&gt;=(VLOOKUP(VLOOKUP(BK$1,main!$A$3:$H$102,8,FALSE),main!$K$26:$M$29,2,FALSE)+VLOOKUP(VLOOKUP(BK$1,main!$A$3:$H$102,7,FALSE),main!$K$19:$O$22,MATCH(VLOOKUP($A12,main!$A$3:$H$102,8,FALSE),main!$K$18:$O$18,0))))),1,0)</f>
        <v>0</v>
      </c>
      <c r="BL12">
        <f>IF((AND(VLOOKUP(BL$1,main!$A$3:$H$102,5,FALSE)-VLOOKUP($A12,main!$A$3:$H$102,6,FALSE)&gt;=(VLOOKUP(VLOOKUP(BL$1,main!$A$3:$H$102,8,FALSE),main!$K$26:$M$29,2,FALSE)+VLOOKUP(VLOOKUP(BL$1,main!$A$3:$H$102,7,FALSE),main!$K$19:$O$22,MATCH(VLOOKUP($A12,main!$A$3:$H$102,8,FALSE),main!$K$18:$O$18,0))))),1,0)</f>
        <v>0</v>
      </c>
      <c r="BM12">
        <f>IF((AND(VLOOKUP(BM$1,main!$A$3:$H$102,5,FALSE)-VLOOKUP($A12,main!$A$3:$H$102,6,FALSE)&gt;=(VLOOKUP(VLOOKUP(BM$1,main!$A$3:$H$102,8,FALSE),main!$K$26:$M$29,2,FALSE)+VLOOKUP(VLOOKUP(BM$1,main!$A$3:$H$102,7,FALSE),main!$K$19:$O$22,MATCH(VLOOKUP($A12,main!$A$3:$H$102,8,FALSE),main!$K$18:$O$18,0))))),1,0)</f>
        <v>0</v>
      </c>
      <c r="BN12">
        <f>IF((AND(VLOOKUP(BN$1,main!$A$3:$H$102,5,FALSE)-VLOOKUP($A12,main!$A$3:$H$102,6,FALSE)&gt;=(VLOOKUP(VLOOKUP(BN$1,main!$A$3:$H$102,8,FALSE),main!$K$26:$M$29,2,FALSE)+VLOOKUP(VLOOKUP(BN$1,main!$A$3:$H$102,7,FALSE),main!$K$19:$O$22,MATCH(VLOOKUP($A12,main!$A$3:$H$102,8,FALSE),main!$K$18:$O$18,0))))),1,0)</f>
        <v>0</v>
      </c>
      <c r="BO12">
        <f>IF((AND(VLOOKUP(BO$1,main!$A$3:$H$102,5,FALSE)-VLOOKUP($A12,main!$A$3:$H$102,6,FALSE)&gt;=(VLOOKUP(VLOOKUP(BO$1,main!$A$3:$H$102,8,FALSE),main!$K$26:$M$29,2,FALSE)+VLOOKUP(VLOOKUP(BO$1,main!$A$3:$H$102,7,FALSE),main!$K$19:$O$22,MATCH(VLOOKUP($A12,main!$A$3:$H$102,8,FALSE),main!$K$18:$O$18,0))))),1,0)</f>
        <v>0</v>
      </c>
      <c r="BP12">
        <f>IF((AND(VLOOKUP(BP$1,main!$A$3:$H$102,5,FALSE)-VLOOKUP($A12,main!$A$3:$H$102,6,FALSE)&gt;=(VLOOKUP(VLOOKUP(BP$1,main!$A$3:$H$102,8,FALSE),main!$K$26:$M$29,2,FALSE)+VLOOKUP(VLOOKUP(BP$1,main!$A$3:$H$102,7,FALSE),main!$K$19:$O$22,MATCH(VLOOKUP($A12,main!$A$3:$H$102,8,FALSE),main!$K$18:$O$18,0))))),1,0)</f>
        <v>0</v>
      </c>
      <c r="BQ12">
        <f>IF((AND(VLOOKUP(BQ$1,main!$A$3:$H$102,5,FALSE)-VLOOKUP($A12,main!$A$3:$H$102,6,FALSE)&gt;=(VLOOKUP(VLOOKUP(BQ$1,main!$A$3:$H$102,8,FALSE),main!$K$26:$M$29,2,FALSE)+VLOOKUP(VLOOKUP(BQ$1,main!$A$3:$H$102,7,FALSE),main!$K$19:$O$22,MATCH(VLOOKUP($A12,main!$A$3:$H$102,8,FALSE),main!$K$18:$O$18,0))))),1,0)</f>
        <v>0</v>
      </c>
      <c r="BR12">
        <f>IF((AND(VLOOKUP(BR$1,main!$A$3:$H$102,5,FALSE)-VLOOKUP($A12,main!$A$3:$H$102,6,FALSE)&gt;=(VLOOKUP(VLOOKUP(BR$1,main!$A$3:$H$102,8,FALSE),main!$K$26:$M$29,2,FALSE)+VLOOKUP(VLOOKUP(BR$1,main!$A$3:$H$102,7,FALSE),main!$K$19:$O$22,MATCH(VLOOKUP($A12,main!$A$3:$H$102,8,FALSE),main!$K$18:$O$18,0))))),1,0)</f>
        <v>0</v>
      </c>
      <c r="BS12">
        <f>IF((AND(VLOOKUP(BS$1,main!$A$3:$H$102,5,FALSE)-VLOOKUP($A12,main!$A$3:$H$102,6,FALSE)&gt;=(VLOOKUP(VLOOKUP(BS$1,main!$A$3:$H$102,8,FALSE),main!$K$26:$M$29,2,FALSE)+VLOOKUP(VLOOKUP(BS$1,main!$A$3:$H$102,7,FALSE),main!$K$19:$O$22,MATCH(VLOOKUP($A12,main!$A$3:$H$102,8,FALSE),main!$K$18:$O$18,0))))),1,0)</f>
        <v>0</v>
      </c>
      <c r="BT12">
        <f>IF((AND(VLOOKUP(BT$1,main!$A$3:$H$102,5,FALSE)-VLOOKUP($A12,main!$A$3:$H$102,6,FALSE)&gt;=(VLOOKUP(VLOOKUP(BT$1,main!$A$3:$H$102,8,FALSE),main!$K$26:$M$29,2,FALSE)+VLOOKUP(VLOOKUP(BT$1,main!$A$3:$H$102,7,FALSE),main!$K$19:$O$22,MATCH(VLOOKUP($A12,main!$A$3:$H$102,8,FALSE),main!$K$18:$O$18,0))))),1,0)</f>
        <v>0</v>
      </c>
      <c r="BU12">
        <f>IF((AND(VLOOKUP(BU$1,main!$A$3:$H$102,5,FALSE)-VLOOKUP($A12,main!$A$3:$H$102,6,FALSE)&gt;=(VLOOKUP(VLOOKUP(BU$1,main!$A$3:$H$102,8,FALSE),main!$K$26:$M$29,2,FALSE)+VLOOKUP(VLOOKUP(BU$1,main!$A$3:$H$102,7,FALSE),main!$K$19:$O$22,MATCH(VLOOKUP($A12,main!$A$3:$H$102,8,FALSE),main!$K$18:$O$18,0))))),1,0)</f>
        <v>0</v>
      </c>
      <c r="BV12">
        <f>IF((AND(VLOOKUP(BV$1,main!$A$3:$H$102,5,FALSE)-VLOOKUP($A12,main!$A$3:$H$102,6,FALSE)&gt;=(VLOOKUP(VLOOKUP(BV$1,main!$A$3:$H$102,8,FALSE),main!$K$26:$M$29,2,FALSE)+VLOOKUP(VLOOKUP(BV$1,main!$A$3:$H$102,7,FALSE),main!$K$19:$O$22,MATCH(VLOOKUP($A12,main!$A$3:$H$102,8,FALSE),main!$K$18:$O$18,0))))),1,0)</f>
        <v>0</v>
      </c>
      <c r="BW12">
        <f>IF((AND(VLOOKUP(BW$1,main!$A$3:$H$102,5,FALSE)-VLOOKUP($A12,main!$A$3:$H$102,6,FALSE)&gt;=(VLOOKUP(VLOOKUP(BW$1,main!$A$3:$H$102,8,FALSE),main!$K$26:$M$29,2,FALSE)+VLOOKUP(VLOOKUP(BW$1,main!$A$3:$H$102,7,FALSE),main!$K$19:$O$22,MATCH(VLOOKUP($A12,main!$A$3:$H$102,8,FALSE),main!$K$18:$O$18,0))))),1,0)</f>
        <v>0</v>
      </c>
      <c r="BX12">
        <f>IF((AND(VLOOKUP(BX$1,main!$A$3:$H$102,5,FALSE)-VLOOKUP($A12,main!$A$3:$H$102,6,FALSE)&gt;=(VLOOKUP(VLOOKUP(BX$1,main!$A$3:$H$102,8,FALSE),main!$K$26:$M$29,2,FALSE)+VLOOKUP(VLOOKUP(BX$1,main!$A$3:$H$102,7,FALSE),main!$K$19:$O$22,MATCH(VLOOKUP($A12,main!$A$3:$H$102,8,FALSE),main!$K$18:$O$18,0))))),1,0)</f>
        <v>0</v>
      </c>
      <c r="BY12">
        <f>IF((AND(VLOOKUP(BY$1,main!$A$3:$H$102,5,FALSE)-VLOOKUP($A12,main!$A$3:$H$102,6,FALSE)&gt;=(VLOOKUP(VLOOKUP(BY$1,main!$A$3:$H$102,8,FALSE),main!$K$26:$M$29,2,FALSE)+VLOOKUP(VLOOKUP(BY$1,main!$A$3:$H$102,7,FALSE),main!$K$19:$O$22,MATCH(VLOOKUP($A12,main!$A$3:$H$102,8,FALSE),main!$K$18:$O$18,0))))),1,0)</f>
        <v>0</v>
      </c>
      <c r="BZ12">
        <f>IF((AND(VLOOKUP(BZ$1,main!$A$3:$H$102,5,FALSE)-VLOOKUP($A12,main!$A$3:$H$102,6,FALSE)&gt;=(VLOOKUP(VLOOKUP(BZ$1,main!$A$3:$H$102,8,FALSE),main!$K$26:$M$29,2,FALSE)+VLOOKUP(VLOOKUP(BZ$1,main!$A$3:$H$102,7,FALSE),main!$K$19:$O$22,MATCH(VLOOKUP($A12,main!$A$3:$H$102,8,FALSE),main!$K$18:$O$18,0))))),1,0)</f>
        <v>0</v>
      </c>
      <c r="CA12">
        <f>IF((AND(VLOOKUP(CA$1,main!$A$3:$H$102,5,FALSE)-VLOOKUP($A12,main!$A$3:$H$102,6,FALSE)&gt;=(VLOOKUP(VLOOKUP(CA$1,main!$A$3:$H$102,8,FALSE),main!$K$26:$M$29,2,FALSE)+VLOOKUP(VLOOKUP(CA$1,main!$A$3:$H$102,7,FALSE),main!$K$19:$O$22,MATCH(VLOOKUP($A12,main!$A$3:$H$102,8,FALSE),main!$K$18:$O$18,0))))),1,0)</f>
        <v>0</v>
      </c>
      <c r="CB12">
        <f>IF((AND(VLOOKUP(CB$1,main!$A$3:$H$102,5,FALSE)-VLOOKUP($A12,main!$A$3:$H$102,6,FALSE)&gt;=(VLOOKUP(VLOOKUP(CB$1,main!$A$3:$H$102,8,FALSE),main!$K$26:$M$29,2,FALSE)+VLOOKUP(VLOOKUP(CB$1,main!$A$3:$H$102,7,FALSE),main!$K$19:$O$22,MATCH(VLOOKUP($A12,main!$A$3:$H$102,8,FALSE),main!$K$18:$O$18,0))))),1,0)</f>
        <v>0</v>
      </c>
      <c r="CC12">
        <f>IF((AND(VLOOKUP(CC$1,main!$A$3:$H$102,5,FALSE)-VLOOKUP($A12,main!$A$3:$H$102,6,FALSE)&gt;=(VLOOKUP(VLOOKUP(CC$1,main!$A$3:$H$102,8,FALSE),main!$K$26:$M$29,2,FALSE)+VLOOKUP(VLOOKUP(CC$1,main!$A$3:$H$102,7,FALSE),main!$K$19:$O$22,MATCH(VLOOKUP($A12,main!$A$3:$H$102,8,FALSE),main!$K$18:$O$18,0))))),1,0)</f>
        <v>0</v>
      </c>
      <c r="CD12">
        <f>IF((AND(VLOOKUP(CD$1,main!$A$3:$H$102,5,FALSE)-VLOOKUP($A12,main!$A$3:$H$102,6,FALSE)&gt;=(VLOOKUP(VLOOKUP(CD$1,main!$A$3:$H$102,8,FALSE),main!$K$26:$M$29,2,FALSE)+VLOOKUP(VLOOKUP(CD$1,main!$A$3:$H$102,7,FALSE),main!$K$19:$O$22,MATCH(VLOOKUP($A12,main!$A$3:$H$102,8,FALSE),main!$K$18:$O$18,0))))),1,0)</f>
        <v>0</v>
      </c>
      <c r="CE12">
        <f>IF((AND(VLOOKUP(CE$1,main!$A$3:$H$102,5,FALSE)-VLOOKUP($A12,main!$A$3:$H$102,6,FALSE)&gt;=(VLOOKUP(VLOOKUP(CE$1,main!$A$3:$H$102,8,FALSE),main!$K$26:$M$29,2,FALSE)+VLOOKUP(VLOOKUP(CE$1,main!$A$3:$H$102,7,FALSE),main!$K$19:$O$22,MATCH(VLOOKUP($A12,main!$A$3:$H$102,8,FALSE),main!$K$18:$O$18,0))))),1,0)</f>
        <v>0</v>
      </c>
      <c r="CF12">
        <f>IF((AND(VLOOKUP(CF$1,main!$A$3:$H$102,5,FALSE)-VLOOKUP($A12,main!$A$3:$H$102,6,FALSE)&gt;=(VLOOKUP(VLOOKUP(CF$1,main!$A$3:$H$102,8,FALSE),main!$K$26:$M$29,2,FALSE)+VLOOKUP(VLOOKUP(CF$1,main!$A$3:$H$102,7,FALSE),main!$K$19:$O$22,MATCH(VLOOKUP($A12,main!$A$3:$H$102,8,FALSE),main!$K$18:$O$18,0))))),1,0)</f>
        <v>0</v>
      </c>
      <c r="CG12">
        <f>IF((AND(VLOOKUP(CG$1,main!$A$3:$H$102,5,FALSE)-VLOOKUP($A12,main!$A$3:$H$102,6,FALSE)&gt;=(VLOOKUP(VLOOKUP(CG$1,main!$A$3:$H$102,8,FALSE),main!$K$26:$M$29,2,FALSE)+VLOOKUP(VLOOKUP(CG$1,main!$A$3:$H$102,7,FALSE),main!$K$19:$O$22,MATCH(VLOOKUP($A12,main!$A$3:$H$102,8,FALSE),main!$K$18:$O$18,0))))),1,0)</f>
        <v>0</v>
      </c>
      <c r="CH12">
        <f>IF((AND(VLOOKUP(CH$1,main!$A$3:$H$102,5,FALSE)-VLOOKUP($A12,main!$A$3:$H$102,6,FALSE)&gt;=(VLOOKUP(VLOOKUP(CH$1,main!$A$3:$H$102,8,FALSE),main!$K$26:$M$29,2,FALSE)+VLOOKUP(VLOOKUP(CH$1,main!$A$3:$H$102,7,FALSE),main!$K$19:$O$22,MATCH(VLOOKUP($A12,main!$A$3:$H$102,8,FALSE),main!$K$18:$O$18,0))))),1,0)</f>
        <v>0</v>
      </c>
      <c r="CI12">
        <f>IF((AND(VLOOKUP(CI$1,main!$A$3:$H$102,5,FALSE)-VLOOKUP($A12,main!$A$3:$H$102,6,FALSE)&gt;=(VLOOKUP(VLOOKUP(CI$1,main!$A$3:$H$102,8,FALSE),main!$K$26:$M$29,2,FALSE)+VLOOKUP(VLOOKUP(CI$1,main!$A$3:$H$102,7,FALSE),main!$K$19:$O$22,MATCH(VLOOKUP($A12,main!$A$3:$H$102,8,FALSE),main!$K$18:$O$18,0))))),1,0)</f>
        <v>0</v>
      </c>
      <c r="CJ12">
        <f>IF((AND(VLOOKUP(CJ$1,main!$A$3:$H$102,5,FALSE)-VLOOKUP($A12,main!$A$3:$H$102,6,FALSE)&gt;=(VLOOKUP(VLOOKUP(CJ$1,main!$A$3:$H$102,8,FALSE),main!$K$26:$M$29,2,FALSE)+VLOOKUP(VLOOKUP(CJ$1,main!$A$3:$H$102,7,FALSE),main!$K$19:$O$22,MATCH(VLOOKUP($A12,main!$A$3:$H$102,8,FALSE),main!$K$18:$O$18,0))))),1,0)</f>
        <v>0</v>
      </c>
      <c r="CK12">
        <f>IF((AND(VLOOKUP(CK$1,main!$A$3:$H$102,5,FALSE)-VLOOKUP($A12,main!$A$3:$H$102,6,FALSE)&gt;=(VLOOKUP(VLOOKUP(CK$1,main!$A$3:$H$102,8,FALSE),main!$K$26:$M$29,2,FALSE)+VLOOKUP(VLOOKUP(CK$1,main!$A$3:$H$102,7,FALSE),main!$K$19:$O$22,MATCH(VLOOKUP($A12,main!$A$3:$H$102,8,FALSE),main!$K$18:$O$18,0))))),1,0)</f>
        <v>0</v>
      </c>
      <c r="CL12">
        <f>IF((AND(VLOOKUP(CL$1,main!$A$3:$H$102,5,FALSE)-VLOOKUP($A12,main!$A$3:$H$102,6,FALSE)&gt;=(VLOOKUP(VLOOKUP(CL$1,main!$A$3:$H$102,8,FALSE),main!$K$26:$M$29,2,FALSE)+VLOOKUP(VLOOKUP(CL$1,main!$A$3:$H$102,7,FALSE),main!$K$19:$O$22,MATCH(VLOOKUP($A12,main!$A$3:$H$102,8,FALSE),main!$K$18:$O$18,0))))),1,0)</f>
        <v>0</v>
      </c>
      <c r="CM12">
        <f>IF((AND(VLOOKUP(CM$1,main!$A$3:$H$102,5,FALSE)-VLOOKUP($A12,main!$A$3:$H$102,6,FALSE)&gt;=(VLOOKUP(VLOOKUP(CM$1,main!$A$3:$H$102,8,FALSE),main!$K$26:$M$29,2,FALSE)+VLOOKUP(VLOOKUP(CM$1,main!$A$3:$H$102,7,FALSE),main!$K$19:$O$22,MATCH(VLOOKUP($A12,main!$A$3:$H$102,8,FALSE),main!$K$18:$O$18,0))))),1,0)</f>
        <v>0</v>
      </c>
      <c r="CN12">
        <f>IF((AND(VLOOKUP(CN$1,main!$A$3:$H$102,5,FALSE)-VLOOKUP($A12,main!$A$3:$H$102,6,FALSE)&gt;=(VLOOKUP(VLOOKUP(CN$1,main!$A$3:$H$102,8,FALSE),main!$K$26:$M$29,2,FALSE)+VLOOKUP(VLOOKUP(CN$1,main!$A$3:$H$102,7,FALSE),main!$K$19:$O$22,MATCH(VLOOKUP($A12,main!$A$3:$H$102,8,FALSE),main!$K$18:$O$18,0))))),1,0)</f>
        <v>0</v>
      </c>
      <c r="CO12">
        <f>IF((AND(VLOOKUP(CO$1,main!$A$3:$H$102,5,FALSE)-VLOOKUP($A12,main!$A$3:$H$102,6,FALSE)&gt;=(VLOOKUP(VLOOKUP(CO$1,main!$A$3:$H$102,8,FALSE),main!$K$26:$M$29,2,FALSE)+VLOOKUP(VLOOKUP(CO$1,main!$A$3:$H$102,7,FALSE),main!$K$19:$O$22,MATCH(VLOOKUP($A12,main!$A$3:$H$102,8,FALSE),main!$K$18:$O$18,0))))),1,0)</f>
        <v>0</v>
      </c>
      <c r="CP12">
        <f>IF((AND(VLOOKUP(CP$1,main!$A$3:$H$102,5,FALSE)-VLOOKUP($A12,main!$A$3:$H$102,6,FALSE)&gt;=(VLOOKUP(VLOOKUP(CP$1,main!$A$3:$H$102,8,FALSE),main!$K$26:$M$29,2,FALSE)+VLOOKUP(VLOOKUP(CP$1,main!$A$3:$H$102,7,FALSE),main!$K$19:$O$22,MATCH(VLOOKUP($A12,main!$A$3:$H$102,8,FALSE),main!$K$18:$O$18,0))))),1,0)</f>
        <v>0</v>
      </c>
      <c r="CQ12">
        <f>IF((AND(VLOOKUP(CQ$1,main!$A$3:$H$102,5,FALSE)-VLOOKUP($A12,main!$A$3:$H$102,6,FALSE)&gt;=(VLOOKUP(VLOOKUP(CQ$1,main!$A$3:$H$102,8,FALSE),main!$K$26:$M$29,2,FALSE)+VLOOKUP(VLOOKUP(CQ$1,main!$A$3:$H$102,7,FALSE),main!$K$19:$O$22,MATCH(VLOOKUP($A12,main!$A$3:$H$102,8,FALSE),main!$K$18:$O$18,0))))),1,0)</f>
        <v>0</v>
      </c>
      <c r="CR12">
        <f>IF((AND(VLOOKUP(CR$1,main!$A$3:$H$102,5,FALSE)-VLOOKUP($A12,main!$A$3:$H$102,6,FALSE)&gt;=(VLOOKUP(VLOOKUP(CR$1,main!$A$3:$H$102,8,FALSE),main!$K$26:$M$29,2,FALSE)+VLOOKUP(VLOOKUP(CR$1,main!$A$3:$H$102,7,FALSE),main!$K$19:$O$22,MATCH(VLOOKUP($A12,main!$A$3:$H$102,8,FALSE),main!$K$18:$O$18,0))))),1,0)</f>
        <v>0</v>
      </c>
      <c r="CS12">
        <f>IF((AND(VLOOKUP(CS$1,main!$A$3:$H$102,5,FALSE)-VLOOKUP($A12,main!$A$3:$H$102,6,FALSE)&gt;=(VLOOKUP(VLOOKUP(CS$1,main!$A$3:$H$102,8,FALSE),main!$K$26:$M$29,2,FALSE)+VLOOKUP(VLOOKUP(CS$1,main!$A$3:$H$102,7,FALSE),main!$K$19:$O$22,MATCH(VLOOKUP($A12,main!$A$3:$H$102,8,FALSE),main!$K$18:$O$18,0))))),1,0)</f>
        <v>0</v>
      </c>
      <c r="CT12">
        <f>IF((AND(VLOOKUP(CT$1,main!$A$3:$H$102,5,FALSE)-VLOOKUP($A12,main!$A$3:$H$102,6,FALSE)&gt;=(VLOOKUP(VLOOKUP(CT$1,main!$A$3:$H$102,8,FALSE),main!$K$26:$M$29,2,FALSE)+VLOOKUP(VLOOKUP(CT$1,main!$A$3:$H$102,7,FALSE),main!$K$19:$O$22,MATCH(VLOOKUP($A12,main!$A$3:$H$102,8,FALSE),main!$K$18:$O$18,0))))),1,0)</f>
        <v>0</v>
      </c>
      <c r="CU12">
        <f>IF((AND(VLOOKUP(CU$1,main!$A$3:$H$102,5,FALSE)-VLOOKUP($A12,main!$A$3:$H$102,6,FALSE)&gt;=(VLOOKUP(VLOOKUP(CU$1,main!$A$3:$H$102,8,FALSE),main!$K$26:$M$29,2,FALSE)+VLOOKUP(VLOOKUP(CU$1,main!$A$3:$H$102,7,FALSE),main!$K$19:$O$22,MATCH(VLOOKUP($A12,main!$A$3:$H$102,8,FALSE),main!$K$18:$O$18,0))))),1,0)</f>
        <v>0</v>
      </c>
      <c r="CV12">
        <f>IF((AND(VLOOKUP(CV$1,main!$A$3:$H$102,5,FALSE)-VLOOKUP($A12,main!$A$3:$H$102,6,FALSE)&gt;=(VLOOKUP(VLOOKUP(CV$1,main!$A$3:$H$102,8,FALSE),main!$K$26:$M$29,2,FALSE)+VLOOKUP(VLOOKUP(CV$1,main!$A$3:$H$102,7,FALSE),main!$K$19:$O$22,MATCH(VLOOKUP($A12,main!$A$3:$H$102,8,FALSE),main!$K$18:$O$18,0))))),1,0)</f>
        <v>0</v>
      </c>
      <c r="CW12">
        <f>IF((AND(VLOOKUP(CW$1,main!$A$3:$H$102,5,FALSE)-VLOOKUP($A12,main!$A$3:$H$102,6,FALSE)&gt;=(VLOOKUP(VLOOKUP(CW$1,main!$A$3:$H$102,8,FALSE),main!$K$26:$M$29,2,FALSE)+VLOOKUP(VLOOKUP(CW$1,main!$A$3:$H$102,7,FALSE),main!$K$19:$O$22,MATCH(VLOOKUP($A12,main!$A$3:$H$102,8,FALSE),main!$K$18:$O$18,0))))),1,0)</f>
        <v>0</v>
      </c>
      <c r="CX12">
        <f>IF((AND(VLOOKUP(CX$1,main!$A$3:$H$102,5,FALSE)-VLOOKUP($A12,main!$A$3:$H$102,6,FALSE)&gt;=(VLOOKUP(VLOOKUP(CX$1,main!$A$3:$H$102,8,FALSE),main!$K$26:$M$29,2,FALSE)+VLOOKUP(VLOOKUP(CX$1,main!$A$3:$H$102,7,FALSE),main!$K$19:$O$22,MATCH(VLOOKUP($A12,main!$A$3:$H$102,8,FALSE),main!$K$18:$O$18,0))))),1,0)</f>
        <v>0</v>
      </c>
    </row>
    <row r="13" spans="1:102" x14ac:dyDescent="0.25">
      <c r="A13" s="1">
        <v>11</v>
      </c>
      <c r="B13">
        <v>1</v>
      </c>
      <c r="C13">
        <f>IF((AND(VLOOKUP(C$1,main!$A$3:$H$102,5,FALSE)-VLOOKUP($A13,main!$A$3:$H$102,6,FALSE)&gt;=(VLOOKUP(VLOOKUP(C$1,main!$A$3:$H$102,8,FALSE),main!$K$26:$M$29,2,FALSE)+VLOOKUP(VLOOKUP(C$1,main!$A$3:$H$102,7,FALSE),main!$K$19:$O$22,MATCH(VLOOKUP($A13,main!$A$3:$H$102,8,FALSE),main!$K$18:$O$18,0))))),1,0)</f>
        <v>0</v>
      </c>
      <c r="D13">
        <f>IF((AND(VLOOKUP(D$1,main!$A$3:$H$102,5,FALSE)-VLOOKUP($A13,main!$A$3:$H$102,6,FALSE)&gt;=(VLOOKUP(VLOOKUP(D$1,main!$A$3:$H$102,8,FALSE),main!$K$26:$M$29,2,FALSE)+VLOOKUP(VLOOKUP(D$1,main!$A$3:$H$102,7,FALSE),main!$K$19:$O$22,MATCH(VLOOKUP($A13,main!$A$3:$H$102,8,FALSE),main!$K$18:$O$18,0))))),1,0)</f>
        <v>0</v>
      </c>
      <c r="E13">
        <f>IF((AND(VLOOKUP(E$1,main!$A$3:$H$102,5,FALSE)-VLOOKUP($A13,main!$A$3:$H$102,6,FALSE)&gt;=(VLOOKUP(VLOOKUP(E$1,main!$A$3:$H$102,8,FALSE),main!$K$26:$M$29,2,FALSE)+VLOOKUP(VLOOKUP(E$1,main!$A$3:$H$102,7,FALSE),main!$K$19:$O$22,MATCH(VLOOKUP($A13,main!$A$3:$H$102,8,FALSE),main!$K$18:$O$18,0))))),1,0)</f>
        <v>0</v>
      </c>
      <c r="F13">
        <f>IF((AND(VLOOKUP(F$1,main!$A$3:$H$102,5,FALSE)-VLOOKUP($A13,main!$A$3:$H$102,6,FALSE)&gt;=(VLOOKUP(VLOOKUP(F$1,main!$A$3:$H$102,8,FALSE),main!$K$26:$M$29,2,FALSE)+VLOOKUP(VLOOKUP(F$1,main!$A$3:$H$102,7,FALSE),main!$K$19:$O$22,MATCH(VLOOKUP($A13,main!$A$3:$H$102,8,FALSE),main!$K$18:$O$18,0))))),1,0)</f>
        <v>1</v>
      </c>
      <c r="G13">
        <f>IF((AND(VLOOKUP(G$1,main!$A$3:$H$102,5,FALSE)-VLOOKUP($A13,main!$A$3:$H$102,6,FALSE)&gt;=(VLOOKUP(VLOOKUP(G$1,main!$A$3:$H$102,8,FALSE),main!$K$26:$M$29,2,FALSE)+VLOOKUP(VLOOKUP(G$1,main!$A$3:$H$102,7,FALSE),main!$K$19:$O$22,MATCH(VLOOKUP($A13,main!$A$3:$H$102,8,FALSE),main!$K$18:$O$18,0))))),1,0)</f>
        <v>1</v>
      </c>
      <c r="H13">
        <f>IF((AND(VLOOKUP(H$1,main!$A$3:$H$102,5,FALSE)-VLOOKUP($A13,main!$A$3:$H$102,6,FALSE)&gt;=(VLOOKUP(VLOOKUP(H$1,main!$A$3:$H$102,8,FALSE),main!$K$26:$M$29,2,FALSE)+VLOOKUP(VLOOKUP(H$1,main!$A$3:$H$102,7,FALSE),main!$K$19:$O$22,MATCH(VLOOKUP($A13,main!$A$3:$H$102,8,FALSE),main!$K$18:$O$18,0))))),1,0)</f>
        <v>1</v>
      </c>
      <c r="I13">
        <f>IF((AND(VLOOKUP(I$1,main!$A$3:$H$102,5,FALSE)-VLOOKUP($A13,main!$A$3:$H$102,6,FALSE)&gt;=(VLOOKUP(VLOOKUP(I$1,main!$A$3:$H$102,8,FALSE),main!$K$26:$M$29,2,FALSE)+VLOOKUP(VLOOKUP(I$1,main!$A$3:$H$102,7,FALSE),main!$K$19:$O$22,MATCH(VLOOKUP($A13,main!$A$3:$H$102,8,FALSE),main!$K$18:$O$18,0))))),1,0)</f>
        <v>1</v>
      </c>
      <c r="J13">
        <f>IF((AND(VLOOKUP(J$1,main!$A$3:$H$102,5,FALSE)-VLOOKUP($A13,main!$A$3:$H$102,6,FALSE)&gt;=(VLOOKUP(VLOOKUP(J$1,main!$A$3:$H$102,8,FALSE),main!$K$26:$M$29,2,FALSE)+VLOOKUP(VLOOKUP(J$1,main!$A$3:$H$102,7,FALSE),main!$K$19:$O$22,MATCH(VLOOKUP($A13,main!$A$3:$H$102,8,FALSE),main!$K$18:$O$18,0))))),1,0)</f>
        <v>1</v>
      </c>
      <c r="K13">
        <f>IF((AND(VLOOKUP(K$1,main!$A$3:$H$102,5,FALSE)-VLOOKUP($A13,main!$A$3:$H$102,6,FALSE)&gt;=(VLOOKUP(VLOOKUP(K$1,main!$A$3:$H$102,8,FALSE),main!$K$26:$M$29,2,FALSE)+VLOOKUP(VLOOKUP(K$1,main!$A$3:$H$102,7,FALSE),main!$K$19:$O$22,MATCH(VLOOKUP($A13,main!$A$3:$H$102,8,FALSE),main!$K$18:$O$18,0))))),1,0)</f>
        <v>1</v>
      </c>
      <c r="L13">
        <f>IF((AND(VLOOKUP(L$1,main!$A$3:$H$102,5,FALSE)-VLOOKUP($A13,main!$A$3:$H$102,6,FALSE)&gt;=(VLOOKUP(VLOOKUP(L$1,main!$A$3:$H$102,8,FALSE),main!$K$26:$M$29,2,FALSE)+VLOOKUP(VLOOKUP(L$1,main!$A$3:$H$102,7,FALSE),main!$K$19:$O$22,MATCH(VLOOKUP($A13,main!$A$3:$H$102,8,FALSE),main!$K$18:$O$18,0))))),1,0)</f>
        <v>1</v>
      </c>
      <c r="M13">
        <f>IF((AND(VLOOKUP(M$1,main!$A$3:$H$102,5,FALSE)-VLOOKUP($A13,main!$A$3:$H$102,6,FALSE)&gt;=(VLOOKUP(VLOOKUP(M$1,main!$A$3:$H$102,8,FALSE),main!$K$26:$M$29,2,FALSE)+VLOOKUP(VLOOKUP(M$1,main!$A$3:$H$102,7,FALSE),main!$K$19:$O$22,MATCH(VLOOKUP($A13,main!$A$3:$H$102,8,FALSE),main!$K$18:$O$18,0))))),1,0)</f>
        <v>0</v>
      </c>
      <c r="N13">
        <f>IF((AND(VLOOKUP(N$1,main!$A$3:$H$102,5,FALSE)-VLOOKUP($A13,main!$A$3:$H$102,6,FALSE)&gt;=(VLOOKUP(VLOOKUP(N$1,main!$A$3:$H$102,8,FALSE),main!$K$26:$M$29,2,FALSE)+VLOOKUP(VLOOKUP(N$1,main!$A$3:$H$102,7,FALSE),main!$K$19:$O$22,MATCH(VLOOKUP($A13,main!$A$3:$H$102,8,FALSE),main!$K$18:$O$18,0))))),1,0)</f>
        <v>0</v>
      </c>
      <c r="O13">
        <f>IF((AND(VLOOKUP(O$1,main!$A$3:$H$102,5,FALSE)-VLOOKUP($A13,main!$A$3:$H$102,6,FALSE)&gt;=(VLOOKUP(VLOOKUP(O$1,main!$A$3:$H$102,8,FALSE),main!$K$26:$M$29,2,FALSE)+VLOOKUP(VLOOKUP(O$1,main!$A$3:$H$102,7,FALSE),main!$K$19:$O$22,MATCH(VLOOKUP($A13,main!$A$3:$H$102,8,FALSE),main!$K$18:$O$18,0))))),1,0)</f>
        <v>0</v>
      </c>
      <c r="P13">
        <f>IF((AND(VLOOKUP(P$1,main!$A$3:$H$102,5,FALSE)-VLOOKUP($A13,main!$A$3:$H$102,6,FALSE)&gt;=(VLOOKUP(VLOOKUP(P$1,main!$A$3:$H$102,8,FALSE),main!$K$26:$M$29,2,FALSE)+VLOOKUP(VLOOKUP(P$1,main!$A$3:$H$102,7,FALSE),main!$K$19:$O$22,MATCH(VLOOKUP($A13,main!$A$3:$H$102,8,FALSE),main!$K$18:$O$18,0))))),1,0)</f>
        <v>0</v>
      </c>
      <c r="Q13">
        <f>IF((AND(VLOOKUP(Q$1,main!$A$3:$H$102,5,FALSE)-VLOOKUP($A13,main!$A$3:$H$102,6,FALSE)&gt;=(VLOOKUP(VLOOKUP(Q$1,main!$A$3:$H$102,8,FALSE),main!$K$26:$M$29,2,FALSE)+VLOOKUP(VLOOKUP(Q$1,main!$A$3:$H$102,7,FALSE),main!$K$19:$O$22,MATCH(VLOOKUP($A13,main!$A$3:$H$102,8,FALSE),main!$K$18:$O$18,0))))),1,0)</f>
        <v>1</v>
      </c>
      <c r="R13">
        <f>IF((AND(VLOOKUP(R$1,main!$A$3:$H$102,5,FALSE)-VLOOKUP($A13,main!$A$3:$H$102,6,FALSE)&gt;=(VLOOKUP(VLOOKUP(R$1,main!$A$3:$H$102,8,FALSE),main!$K$26:$M$29,2,FALSE)+VLOOKUP(VLOOKUP(R$1,main!$A$3:$H$102,7,FALSE),main!$K$19:$O$22,MATCH(VLOOKUP($A13,main!$A$3:$H$102,8,FALSE),main!$K$18:$O$18,0))))),1,0)</f>
        <v>1</v>
      </c>
      <c r="S13">
        <f>IF((AND(VLOOKUP(S$1,main!$A$3:$H$102,5,FALSE)-VLOOKUP($A13,main!$A$3:$H$102,6,FALSE)&gt;=(VLOOKUP(VLOOKUP(S$1,main!$A$3:$H$102,8,FALSE),main!$K$26:$M$29,2,FALSE)+VLOOKUP(VLOOKUP(S$1,main!$A$3:$H$102,7,FALSE),main!$K$19:$O$22,MATCH(VLOOKUP($A13,main!$A$3:$H$102,8,FALSE),main!$K$18:$O$18,0))))),1,0)</f>
        <v>1</v>
      </c>
      <c r="T13">
        <f>IF((AND(VLOOKUP(T$1,main!$A$3:$H$102,5,FALSE)-VLOOKUP($A13,main!$A$3:$H$102,6,FALSE)&gt;=(VLOOKUP(VLOOKUP(T$1,main!$A$3:$H$102,8,FALSE),main!$K$26:$M$29,2,FALSE)+VLOOKUP(VLOOKUP(T$1,main!$A$3:$H$102,7,FALSE),main!$K$19:$O$22,MATCH(VLOOKUP($A13,main!$A$3:$H$102,8,FALSE),main!$K$18:$O$18,0))))),1,0)</f>
        <v>1</v>
      </c>
      <c r="U13">
        <f>IF((AND(VLOOKUP(U$1,main!$A$3:$H$102,5,FALSE)-VLOOKUP($A13,main!$A$3:$H$102,6,FALSE)&gt;=(VLOOKUP(VLOOKUP(U$1,main!$A$3:$H$102,8,FALSE),main!$K$26:$M$29,2,FALSE)+VLOOKUP(VLOOKUP(U$1,main!$A$3:$H$102,7,FALSE),main!$K$19:$O$22,MATCH(VLOOKUP($A13,main!$A$3:$H$102,8,FALSE),main!$K$18:$O$18,0))))),1,0)</f>
        <v>1</v>
      </c>
      <c r="V13">
        <f>IF((AND(VLOOKUP(V$1,main!$A$3:$H$102,5,FALSE)-VLOOKUP($A13,main!$A$3:$H$102,6,FALSE)&gt;=(VLOOKUP(VLOOKUP(V$1,main!$A$3:$H$102,8,FALSE),main!$K$26:$M$29,2,FALSE)+VLOOKUP(VLOOKUP(V$1,main!$A$3:$H$102,7,FALSE),main!$K$19:$O$22,MATCH(VLOOKUP($A13,main!$A$3:$H$102,8,FALSE),main!$K$18:$O$18,0))))),1,0)</f>
        <v>1</v>
      </c>
      <c r="W13">
        <f>IF((AND(VLOOKUP(W$1,main!$A$3:$H$102,5,FALSE)-VLOOKUP($A13,main!$A$3:$H$102,6,FALSE)&gt;=(VLOOKUP(VLOOKUP(W$1,main!$A$3:$H$102,8,FALSE),main!$K$26:$M$29,2,FALSE)+VLOOKUP(VLOOKUP(W$1,main!$A$3:$H$102,7,FALSE),main!$K$19:$O$22,MATCH(VLOOKUP($A13,main!$A$3:$H$102,8,FALSE),main!$K$18:$O$18,0))))),1,0)</f>
        <v>0</v>
      </c>
      <c r="X13">
        <f>IF((AND(VLOOKUP(X$1,main!$A$3:$H$102,5,FALSE)-VLOOKUP($A13,main!$A$3:$H$102,6,FALSE)&gt;=(VLOOKUP(VLOOKUP(X$1,main!$A$3:$H$102,8,FALSE),main!$K$26:$M$29,2,FALSE)+VLOOKUP(VLOOKUP(X$1,main!$A$3:$H$102,7,FALSE),main!$K$19:$O$22,MATCH(VLOOKUP($A13,main!$A$3:$H$102,8,FALSE),main!$K$18:$O$18,0))))),1,0)</f>
        <v>0</v>
      </c>
      <c r="Y13">
        <f>IF((AND(VLOOKUP(Y$1,main!$A$3:$H$102,5,FALSE)-VLOOKUP($A13,main!$A$3:$H$102,6,FALSE)&gt;=(VLOOKUP(VLOOKUP(Y$1,main!$A$3:$H$102,8,FALSE),main!$K$26:$M$29,2,FALSE)+VLOOKUP(VLOOKUP(Y$1,main!$A$3:$H$102,7,FALSE),main!$K$19:$O$22,MATCH(VLOOKUP($A13,main!$A$3:$H$102,8,FALSE),main!$K$18:$O$18,0))))),1,0)</f>
        <v>1</v>
      </c>
      <c r="Z13">
        <f>IF((AND(VLOOKUP(Z$1,main!$A$3:$H$102,5,FALSE)-VLOOKUP($A13,main!$A$3:$H$102,6,FALSE)&gt;=(VLOOKUP(VLOOKUP(Z$1,main!$A$3:$H$102,8,FALSE),main!$K$26:$M$29,2,FALSE)+VLOOKUP(VLOOKUP(Z$1,main!$A$3:$H$102,7,FALSE),main!$K$19:$O$22,MATCH(VLOOKUP($A13,main!$A$3:$H$102,8,FALSE),main!$K$18:$O$18,0))))),1,0)</f>
        <v>1</v>
      </c>
      <c r="AA13">
        <f>IF((AND(VLOOKUP(AA$1,main!$A$3:$H$102,5,FALSE)-VLOOKUP($A13,main!$A$3:$H$102,6,FALSE)&gt;=(VLOOKUP(VLOOKUP(AA$1,main!$A$3:$H$102,8,FALSE),main!$K$26:$M$29,2,FALSE)+VLOOKUP(VLOOKUP(AA$1,main!$A$3:$H$102,7,FALSE),main!$K$19:$O$22,MATCH(VLOOKUP($A13,main!$A$3:$H$102,8,FALSE),main!$K$18:$O$18,0))))),1,0)</f>
        <v>1</v>
      </c>
      <c r="AB13">
        <f>IF((AND(VLOOKUP(AB$1,main!$A$3:$H$102,5,FALSE)-VLOOKUP($A13,main!$A$3:$H$102,6,FALSE)&gt;=(VLOOKUP(VLOOKUP(AB$1,main!$A$3:$H$102,8,FALSE),main!$K$26:$M$29,2,FALSE)+VLOOKUP(VLOOKUP(AB$1,main!$A$3:$H$102,7,FALSE),main!$K$19:$O$22,MATCH(VLOOKUP($A13,main!$A$3:$H$102,8,FALSE),main!$K$18:$O$18,0))))),1,0)</f>
        <v>0</v>
      </c>
      <c r="AC13">
        <f>IF((AND(VLOOKUP(AC$1,main!$A$3:$H$102,5,FALSE)-VLOOKUP($A13,main!$A$3:$H$102,6,FALSE)&gt;=(VLOOKUP(VLOOKUP(AC$1,main!$A$3:$H$102,8,FALSE),main!$K$26:$M$29,2,FALSE)+VLOOKUP(VLOOKUP(AC$1,main!$A$3:$H$102,7,FALSE),main!$K$19:$O$22,MATCH(VLOOKUP($A13,main!$A$3:$H$102,8,FALSE),main!$K$18:$O$18,0))))),1,0)</f>
        <v>0</v>
      </c>
      <c r="AD13">
        <f>IF((AND(VLOOKUP(AD$1,main!$A$3:$H$102,5,FALSE)-VLOOKUP($A13,main!$A$3:$H$102,6,FALSE)&gt;=(VLOOKUP(VLOOKUP(AD$1,main!$A$3:$H$102,8,FALSE),main!$K$26:$M$29,2,FALSE)+VLOOKUP(VLOOKUP(AD$1,main!$A$3:$H$102,7,FALSE),main!$K$19:$O$22,MATCH(VLOOKUP($A13,main!$A$3:$H$102,8,FALSE),main!$K$18:$O$18,0))))),1,0)</f>
        <v>1</v>
      </c>
      <c r="AE13">
        <f>IF((AND(VLOOKUP(AE$1,main!$A$3:$H$102,5,FALSE)-VLOOKUP($A13,main!$A$3:$H$102,6,FALSE)&gt;=(VLOOKUP(VLOOKUP(AE$1,main!$A$3:$H$102,8,FALSE),main!$K$26:$M$29,2,FALSE)+VLOOKUP(VLOOKUP(AE$1,main!$A$3:$H$102,7,FALSE),main!$K$19:$O$22,MATCH(VLOOKUP($A13,main!$A$3:$H$102,8,FALSE),main!$K$18:$O$18,0))))),1,0)</f>
        <v>1</v>
      </c>
      <c r="AF13">
        <f>IF((AND(VLOOKUP(AF$1,main!$A$3:$H$102,5,FALSE)-VLOOKUP($A13,main!$A$3:$H$102,6,FALSE)&gt;=(VLOOKUP(VLOOKUP(AF$1,main!$A$3:$H$102,8,FALSE),main!$K$26:$M$29,2,FALSE)+VLOOKUP(VLOOKUP(AF$1,main!$A$3:$H$102,7,FALSE),main!$K$19:$O$22,MATCH(VLOOKUP($A13,main!$A$3:$H$102,8,FALSE),main!$K$18:$O$18,0))))),1,0)</f>
        <v>1</v>
      </c>
      <c r="AG13">
        <f>IF((AND(VLOOKUP(AG$1,main!$A$3:$H$102,5,FALSE)-VLOOKUP($A13,main!$A$3:$H$102,6,FALSE)&gt;=(VLOOKUP(VLOOKUP(AG$1,main!$A$3:$H$102,8,FALSE),main!$K$26:$M$29,2,FALSE)+VLOOKUP(VLOOKUP(AG$1,main!$A$3:$H$102,7,FALSE),main!$K$19:$O$22,MATCH(VLOOKUP($A13,main!$A$3:$H$102,8,FALSE),main!$K$18:$O$18,0))))),1,0)</f>
        <v>0</v>
      </c>
      <c r="AH13">
        <f>IF((AND(VLOOKUP(AH$1,main!$A$3:$H$102,5,FALSE)-VLOOKUP($A13,main!$A$3:$H$102,6,FALSE)&gt;=(VLOOKUP(VLOOKUP(AH$1,main!$A$3:$H$102,8,FALSE),main!$K$26:$M$29,2,FALSE)+VLOOKUP(VLOOKUP(AH$1,main!$A$3:$H$102,7,FALSE),main!$K$19:$O$22,MATCH(VLOOKUP($A13,main!$A$3:$H$102,8,FALSE),main!$K$18:$O$18,0))))),1,0)</f>
        <v>0</v>
      </c>
      <c r="AI13">
        <f>IF((AND(VLOOKUP(AI$1,main!$A$3:$H$102,5,FALSE)-VLOOKUP($A13,main!$A$3:$H$102,6,FALSE)&gt;=(VLOOKUP(VLOOKUP(AI$1,main!$A$3:$H$102,8,FALSE),main!$K$26:$M$29,2,FALSE)+VLOOKUP(VLOOKUP(AI$1,main!$A$3:$H$102,7,FALSE),main!$K$19:$O$22,MATCH(VLOOKUP($A13,main!$A$3:$H$102,8,FALSE),main!$K$18:$O$18,0))))),1,0)</f>
        <v>0</v>
      </c>
      <c r="AJ13">
        <f>IF((AND(VLOOKUP(AJ$1,main!$A$3:$H$102,5,FALSE)-VLOOKUP($A13,main!$A$3:$H$102,6,FALSE)&gt;=(VLOOKUP(VLOOKUP(AJ$1,main!$A$3:$H$102,8,FALSE),main!$K$26:$M$29,2,FALSE)+VLOOKUP(VLOOKUP(AJ$1,main!$A$3:$H$102,7,FALSE),main!$K$19:$O$22,MATCH(VLOOKUP($A13,main!$A$3:$H$102,8,FALSE),main!$K$18:$O$18,0))))),1,0)</f>
        <v>1</v>
      </c>
      <c r="AK13">
        <f>IF((AND(VLOOKUP(AK$1,main!$A$3:$H$102,5,FALSE)-VLOOKUP($A13,main!$A$3:$H$102,6,FALSE)&gt;=(VLOOKUP(VLOOKUP(AK$1,main!$A$3:$H$102,8,FALSE),main!$K$26:$M$29,2,FALSE)+VLOOKUP(VLOOKUP(AK$1,main!$A$3:$H$102,7,FALSE),main!$K$19:$O$22,MATCH(VLOOKUP($A13,main!$A$3:$H$102,8,FALSE),main!$K$18:$O$18,0))))),1,0)</f>
        <v>1</v>
      </c>
      <c r="AL13">
        <f>IF((AND(VLOOKUP(AL$1,main!$A$3:$H$102,5,FALSE)-VLOOKUP($A13,main!$A$3:$H$102,6,FALSE)&gt;=(VLOOKUP(VLOOKUP(AL$1,main!$A$3:$H$102,8,FALSE),main!$K$26:$M$29,2,FALSE)+VLOOKUP(VLOOKUP(AL$1,main!$A$3:$H$102,7,FALSE),main!$K$19:$O$22,MATCH(VLOOKUP($A13,main!$A$3:$H$102,8,FALSE),main!$K$18:$O$18,0))))),1,0)</f>
        <v>1</v>
      </c>
      <c r="AM13">
        <f>IF((AND(VLOOKUP(AM$1,main!$A$3:$H$102,5,FALSE)-VLOOKUP($A13,main!$A$3:$H$102,6,FALSE)&gt;=(VLOOKUP(VLOOKUP(AM$1,main!$A$3:$H$102,8,FALSE),main!$K$26:$M$29,2,FALSE)+VLOOKUP(VLOOKUP(AM$1,main!$A$3:$H$102,7,FALSE),main!$K$19:$O$22,MATCH(VLOOKUP($A13,main!$A$3:$H$102,8,FALSE),main!$K$18:$O$18,0))))),1,0)</f>
        <v>1</v>
      </c>
      <c r="AN13">
        <f>IF((AND(VLOOKUP(AN$1,main!$A$3:$H$102,5,FALSE)-VLOOKUP($A13,main!$A$3:$H$102,6,FALSE)&gt;=(VLOOKUP(VLOOKUP(AN$1,main!$A$3:$H$102,8,FALSE),main!$K$26:$M$29,2,FALSE)+VLOOKUP(VLOOKUP(AN$1,main!$A$3:$H$102,7,FALSE),main!$K$19:$O$22,MATCH(VLOOKUP($A13,main!$A$3:$H$102,8,FALSE),main!$K$18:$O$18,0))))),1,0)</f>
        <v>1</v>
      </c>
      <c r="AO13">
        <f>IF((AND(VLOOKUP(AO$1,main!$A$3:$H$102,5,FALSE)-VLOOKUP($A13,main!$A$3:$H$102,6,FALSE)&gt;=(VLOOKUP(VLOOKUP(AO$1,main!$A$3:$H$102,8,FALSE),main!$K$26:$M$29,2,FALSE)+VLOOKUP(VLOOKUP(AO$1,main!$A$3:$H$102,7,FALSE),main!$K$19:$O$22,MATCH(VLOOKUP($A13,main!$A$3:$H$102,8,FALSE),main!$K$18:$O$18,0))))),1,0)</f>
        <v>0</v>
      </c>
      <c r="AP13">
        <f>IF((AND(VLOOKUP(AP$1,main!$A$3:$H$102,5,FALSE)-VLOOKUP($A13,main!$A$3:$H$102,6,FALSE)&gt;=(VLOOKUP(VLOOKUP(AP$1,main!$A$3:$H$102,8,FALSE),main!$K$26:$M$29,2,FALSE)+VLOOKUP(VLOOKUP(AP$1,main!$A$3:$H$102,7,FALSE),main!$K$19:$O$22,MATCH(VLOOKUP($A13,main!$A$3:$H$102,8,FALSE),main!$K$18:$O$18,0))))),1,0)</f>
        <v>1</v>
      </c>
      <c r="AQ13">
        <f>IF((AND(VLOOKUP(AQ$1,main!$A$3:$H$102,5,FALSE)-VLOOKUP($A13,main!$A$3:$H$102,6,FALSE)&gt;=(VLOOKUP(VLOOKUP(AQ$1,main!$A$3:$H$102,8,FALSE),main!$K$26:$M$29,2,FALSE)+VLOOKUP(VLOOKUP(AQ$1,main!$A$3:$H$102,7,FALSE),main!$K$19:$O$22,MATCH(VLOOKUP($A13,main!$A$3:$H$102,8,FALSE),main!$K$18:$O$18,0))))),1,0)</f>
        <v>0</v>
      </c>
      <c r="AR13">
        <f>IF((AND(VLOOKUP(AR$1,main!$A$3:$H$102,5,FALSE)-VLOOKUP($A13,main!$A$3:$H$102,6,FALSE)&gt;=(VLOOKUP(VLOOKUP(AR$1,main!$A$3:$H$102,8,FALSE),main!$K$26:$M$29,2,FALSE)+VLOOKUP(VLOOKUP(AR$1,main!$A$3:$H$102,7,FALSE),main!$K$19:$O$22,MATCH(VLOOKUP($A13,main!$A$3:$H$102,8,FALSE),main!$K$18:$O$18,0))))),1,0)</f>
        <v>0</v>
      </c>
      <c r="AS13">
        <f>IF((AND(VLOOKUP(AS$1,main!$A$3:$H$102,5,FALSE)-VLOOKUP($A13,main!$A$3:$H$102,6,FALSE)&gt;=(VLOOKUP(VLOOKUP(AS$1,main!$A$3:$H$102,8,FALSE),main!$K$26:$M$29,2,FALSE)+VLOOKUP(VLOOKUP(AS$1,main!$A$3:$H$102,7,FALSE),main!$K$19:$O$22,MATCH(VLOOKUP($A13,main!$A$3:$H$102,8,FALSE),main!$K$18:$O$18,0))))),1,0)</f>
        <v>1</v>
      </c>
      <c r="AT13">
        <f>IF((AND(VLOOKUP(AT$1,main!$A$3:$H$102,5,FALSE)-VLOOKUP($A13,main!$A$3:$H$102,6,FALSE)&gt;=(VLOOKUP(VLOOKUP(AT$1,main!$A$3:$H$102,8,FALSE),main!$K$26:$M$29,2,FALSE)+VLOOKUP(VLOOKUP(AT$1,main!$A$3:$H$102,7,FALSE),main!$K$19:$O$22,MATCH(VLOOKUP($A13,main!$A$3:$H$102,8,FALSE),main!$K$18:$O$18,0))))),1,0)</f>
        <v>1</v>
      </c>
      <c r="AU13">
        <f>IF((AND(VLOOKUP(AU$1,main!$A$3:$H$102,5,FALSE)-VLOOKUP($A13,main!$A$3:$H$102,6,FALSE)&gt;=(VLOOKUP(VLOOKUP(AU$1,main!$A$3:$H$102,8,FALSE),main!$K$26:$M$29,2,FALSE)+VLOOKUP(VLOOKUP(AU$1,main!$A$3:$H$102,7,FALSE),main!$K$19:$O$22,MATCH(VLOOKUP($A13,main!$A$3:$H$102,8,FALSE),main!$K$18:$O$18,0))))),1,0)</f>
        <v>0</v>
      </c>
      <c r="AV13">
        <f>IF((AND(VLOOKUP(AV$1,main!$A$3:$H$102,5,FALSE)-VLOOKUP($A13,main!$A$3:$H$102,6,FALSE)&gt;=(VLOOKUP(VLOOKUP(AV$1,main!$A$3:$H$102,8,FALSE),main!$K$26:$M$29,2,FALSE)+VLOOKUP(VLOOKUP(AV$1,main!$A$3:$H$102,7,FALSE),main!$K$19:$O$22,MATCH(VLOOKUP($A13,main!$A$3:$H$102,8,FALSE),main!$K$18:$O$18,0))))),1,0)</f>
        <v>0</v>
      </c>
      <c r="AW13">
        <f>IF((AND(VLOOKUP(AW$1,main!$A$3:$H$102,5,FALSE)-VLOOKUP($A13,main!$A$3:$H$102,6,FALSE)&gt;=(VLOOKUP(VLOOKUP(AW$1,main!$A$3:$H$102,8,FALSE),main!$K$26:$M$29,2,FALSE)+VLOOKUP(VLOOKUP(AW$1,main!$A$3:$H$102,7,FALSE),main!$K$19:$O$22,MATCH(VLOOKUP($A13,main!$A$3:$H$102,8,FALSE),main!$K$18:$O$18,0))))),1,0)</f>
        <v>1</v>
      </c>
      <c r="AX13">
        <f>IF((AND(VLOOKUP(AX$1,main!$A$3:$H$102,5,FALSE)-VLOOKUP($A13,main!$A$3:$H$102,6,FALSE)&gt;=(VLOOKUP(VLOOKUP(AX$1,main!$A$3:$H$102,8,FALSE),main!$K$26:$M$29,2,FALSE)+VLOOKUP(VLOOKUP(AX$1,main!$A$3:$H$102,7,FALSE),main!$K$19:$O$22,MATCH(VLOOKUP($A13,main!$A$3:$H$102,8,FALSE),main!$K$18:$O$18,0))))),1,0)</f>
        <v>1</v>
      </c>
      <c r="AY13">
        <f>IF((AND(VLOOKUP(AY$1,main!$A$3:$H$102,5,FALSE)-VLOOKUP($A13,main!$A$3:$H$102,6,FALSE)&gt;=(VLOOKUP(VLOOKUP(AY$1,main!$A$3:$H$102,8,FALSE),main!$K$26:$M$29,2,FALSE)+VLOOKUP(VLOOKUP(AY$1,main!$A$3:$H$102,7,FALSE),main!$K$19:$O$22,MATCH(VLOOKUP($A13,main!$A$3:$H$102,8,FALSE),main!$K$18:$O$18,0))))),1,0)</f>
        <v>0</v>
      </c>
      <c r="AZ13">
        <f>IF((AND(VLOOKUP(AZ$1,main!$A$3:$H$102,5,FALSE)-VLOOKUP($A13,main!$A$3:$H$102,6,FALSE)&gt;=(VLOOKUP(VLOOKUP(AZ$1,main!$A$3:$H$102,8,FALSE),main!$K$26:$M$29,2,FALSE)+VLOOKUP(VLOOKUP(AZ$1,main!$A$3:$H$102,7,FALSE),main!$K$19:$O$22,MATCH(VLOOKUP($A13,main!$A$3:$H$102,8,FALSE),main!$K$18:$O$18,0))))),1,0)</f>
        <v>0</v>
      </c>
      <c r="BA13">
        <f>IF((AND(VLOOKUP(BA$1,main!$A$3:$H$102,5,FALSE)-VLOOKUP($A13,main!$A$3:$H$102,6,FALSE)&gt;=(VLOOKUP(VLOOKUP(BA$1,main!$A$3:$H$102,8,FALSE),main!$K$26:$M$29,2,FALSE)+VLOOKUP(VLOOKUP(BA$1,main!$A$3:$H$102,7,FALSE),main!$K$19:$O$22,MATCH(VLOOKUP($A13,main!$A$3:$H$102,8,FALSE),main!$K$18:$O$18,0))))),1,0)</f>
        <v>0</v>
      </c>
      <c r="BB13">
        <f>IF((AND(VLOOKUP(BB$1,main!$A$3:$H$102,5,FALSE)-VLOOKUP($A13,main!$A$3:$H$102,6,FALSE)&gt;=(VLOOKUP(VLOOKUP(BB$1,main!$A$3:$H$102,8,FALSE),main!$K$26:$M$29,2,FALSE)+VLOOKUP(VLOOKUP(BB$1,main!$A$3:$H$102,7,FALSE),main!$K$19:$O$22,MATCH(VLOOKUP($A13,main!$A$3:$H$102,8,FALSE),main!$K$18:$O$18,0))))),1,0)</f>
        <v>1</v>
      </c>
      <c r="BC13">
        <f>IF((AND(VLOOKUP(BC$1,main!$A$3:$H$102,5,FALSE)-VLOOKUP($A13,main!$A$3:$H$102,6,FALSE)&gt;=(VLOOKUP(VLOOKUP(BC$1,main!$A$3:$H$102,8,FALSE),main!$K$26:$M$29,2,FALSE)+VLOOKUP(VLOOKUP(BC$1,main!$A$3:$H$102,7,FALSE),main!$K$19:$O$22,MATCH(VLOOKUP($A13,main!$A$3:$H$102,8,FALSE),main!$K$18:$O$18,0))))),1,0)</f>
        <v>1</v>
      </c>
      <c r="BD13">
        <f>IF((AND(VLOOKUP(BD$1,main!$A$3:$H$102,5,FALSE)-VLOOKUP($A13,main!$A$3:$H$102,6,FALSE)&gt;=(VLOOKUP(VLOOKUP(BD$1,main!$A$3:$H$102,8,FALSE),main!$K$26:$M$29,2,FALSE)+VLOOKUP(VLOOKUP(BD$1,main!$A$3:$H$102,7,FALSE),main!$K$19:$O$22,MATCH(VLOOKUP($A13,main!$A$3:$H$102,8,FALSE),main!$K$18:$O$18,0))))),1,0)</f>
        <v>1</v>
      </c>
      <c r="BE13">
        <f>IF((AND(VLOOKUP(BE$1,main!$A$3:$H$102,5,FALSE)-VLOOKUP($A13,main!$A$3:$H$102,6,FALSE)&gt;=(VLOOKUP(VLOOKUP(BE$1,main!$A$3:$H$102,8,FALSE),main!$K$26:$M$29,2,FALSE)+VLOOKUP(VLOOKUP(BE$1,main!$A$3:$H$102,7,FALSE),main!$K$19:$O$22,MATCH(VLOOKUP($A13,main!$A$3:$H$102,8,FALSE),main!$K$18:$O$18,0))))),1,0)</f>
        <v>1</v>
      </c>
      <c r="BF13">
        <f>IF((AND(VLOOKUP(BF$1,main!$A$3:$H$102,5,FALSE)-VLOOKUP($A13,main!$A$3:$H$102,6,FALSE)&gt;=(VLOOKUP(VLOOKUP(BF$1,main!$A$3:$H$102,8,FALSE),main!$K$26:$M$29,2,FALSE)+VLOOKUP(VLOOKUP(BF$1,main!$A$3:$H$102,7,FALSE),main!$K$19:$O$22,MATCH(VLOOKUP($A13,main!$A$3:$H$102,8,FALSE),main!$K$18:$O$18,0))))),1,0)</f>
        <v>0</v>
      </c>
      <c r="BG13">
        <f>IF((AND(VLOOKUP(BG$1,main!$A$3:$H$102,5,FALSE)-VLOOKUP($A13,main!$A$3:$H$102,6,FALSE)&gt;=(VLOOKUP(VLOOKUP(BG$1,main!$A$3:$H$102,8,FALSE),main!$K$26:$M$29,2,FALSE)+VLOOKUP(VLOOKUP(BG$1,main!$A$3:$H$102,7,FALSE),main!$K$19:$O$22,MATCH(VLOOKUP($A13,main!$A$3:$H$102,8,FALSE),main!$K$18:$O$18,0))))),1,0)</f>
        <v>0</v>
      </c>
      <c r="BH13">
        <f>IF((AND(VLOOKUP(BH$1,main!$A$3:$H$102,5,FALSE)-VLOOKUP($A13,main!$A$3:$H$102,6,FALSE)&gt;=(VLOOKUP(VLOOKUP(BH$1,main!$A$3:$H$102,8,FALSE),main!$K$26:$M$29,2,FALSE)+VLOOKUP(VLOOKUP(BH$1,main!$A$3:$H$102,7,FALSE),main!$K$19:$O$22,MATCH(VLOOKUP($A13,main!$A$3:$H$102,8,FALSE),main!$K$18:$O$18,0))))),1,0)</f>
        <v>1</v>
      </c>
      <c r="BI13">
        <f>IF((AND(VLOOKUP(BI$1,main!$A$3:$H$102,5,FALSE)-VLOOKUP($A13,main!$A$3:$H$102,6,FALSE)&gt;=(VLOOKUP(VLOOKUP(BI$1,main!$A$3:$H$102,8,FALSE),main!$K$26:$M$29,2,FALSE)+VLOOKUP(VLOOKUP(BI$1,main!$A$3:$H$102,7,FALSE),main!$K$19:$O$22,MATCH(VLOOKUP($A13,main!$A$3:$H$102,8,FALSE),main!$K$18:$O$18,0))))),1,0)</f>
        <v>1</v>
      </c>
      <c r="BJ13">
        <f>IF((AND(VLOOKUP(BJ$1,main!$A$3:$H$102,5,FALSE)-VLOOKUP($A13,main!$A$3:$H$102,6,FALSE)&gt;=(VLOOKUP(VLOOKUP(BJ$1,main!$A$3:$H$102,8,FALSE),main!$K$26:$M$29,2,FALSE)+VLOOKUP(VLOOKUP(BJ$1,main!$A$3:$H$102,7,FALSE),main!$K$19:$O$22,MATCH(VLOOKUP($A13,main!$A$3:$H$102,8,FALSE),main!$K$18:$O$18,0))))),1,0)</f>
        <v>1</v>
      </c>
      <c r="BK13">
        <f>IF((AND(VLOOKUP(BK$1,main!$A$3:$H$102,5,FALSE)-VLOOKUP($A13,main!$A$3:$H$102,6,FALSE)&gt;=(VLOOKUP(VLOOKUP(BK$1,main!$A$3:$H$102,8,FALSE),main!$K$26:$M$29,2,FALSE)+VLOOKUP(VLOOKUP(BK$1,main!$A$3:$H$102,7,FALSE),main!$K$19:$O$22,MATCH(VLOOKUP($A13,main!$A$3:$H$102,8,FALSE),main!$K$18:$O$18,0))))),1,0)</f>
        <v>0</v>
      </c>
      <c r="BL13">
        <f>IF((AND(VLOOKUP(BL$1,main!$A$3:$H$102,5,FALSE)-VLOOKUP($A13,main!$A$3:$H$102,6,FALSE)&gt;=(VLOOKUP(VLOOKUP(BL$1,main!$A$3:$H$102,8,FALSE),main!$K$26:$M$29,2,FALSE)+VLOOKUP(VLOOKUP(BL$1,main!$A$3:$H$102,7,FALSE),main!$K$19:$O$22,MATCH(VLOOKUP($A13,main!$A$3:$H$102,8,FALSE),main!$K$18:$O$18,0))))),1,0)</f>
        <v>0</v>
      </c>
      <c r="BM13">
        <f>IF((AND(VLOOKUP(BM$1,main!$A$3:$H$102,5,FALSE)-VLOOKUP($A13,main!$A$3:$H$102,6,FALSE)&gt;=(VLOOKUP(VLOOKUP(BM$1,main!$A$3:$H$102,8,FALSE),main!$K$26:$M$29,2,FALSE)+VLOOKUP(VLOOKUP(BM$1,main!$A$3:$H$102,7,FALSE),main!$K$19:$O$22,MATCH(VLOOKUP($A13,main!$A$3:$H$102,8,FALSE),main!$K$18:$O$18,0))))),1,0)</f>
        <v>0</v>
      </c>
      <c r="BN13">
        <f>IF((AND(VLOOKUP(BN$1,main!$A$3:$H$102,5,FALSE)-VLOOKUP($A13,main!$A$3:$H$102,6,FALSE)&gt;=(VLOOKUP(VLOOKUP(BN$1,main!$A$3:$H$102,8,FALSE),main!$K$26:$M$29,2,FALSE)+VLOOKUP(VLOOKUP(BN$1,main!$A$3:$H$102,7,FALSE),main!$K$19:$O$22,MATCH(VLOOKUP($A13,main!$A$3:$H$102,8,FALSE),main!$K$18:$O$18,0))))),1,0)</f>
        <v>1</v>
      </c>
      <c r="BO13">
        <f>IF((AND(VLOOKUP(BO$1,main!$A$3:$H$102,5,FALSE)-VLOOKUP($A13,main!$A$3:$H$102,6,FALSE)&gt;=(VLOOKUP(VLOOKUP(BO$1,main!$A$3:$H$102,8,FALSE),main!$K$26:$M$29,2,FALSE)+VLOOKUP(VLOOKUP(BO$1,main!$A$3:$H$102,7,FALSE),main!$K$19:$O$22,MATCH(VLOOKUP($A13,main!$A$3:$H$102,8,FALSE),main!$K$18:$O$18,0))))),1,0)</f>
        <v>0</v>
      </c>
      <c r="BP13">
        <f>IF((AND(VLOOKUP(BP$1,main!$A$3:$H$102,5,FALSE)-VLOOKUP($A13,main!$A$3:$H$102,6,FALSE)&gt;=(VLOOKUP(VLOOKUP(BP$1,main!$A$3:$H$102,8,FALSE),main!$K$26:$M$29,2,FALSE)+VLOOKUP(VLOOKUP(BP$1,main!$A$3:$H$102,7,FALSE),main!$K$19:$O$22,MATCH(VLOOKUP($A13,main!$A$3:$H$102,8,FALSE),main!$K$18:$O$18,0))))),1,0)</f>
        <v>0</v>
      </c>
      <c r="BQ13">
        <f>IF((AND(VLOOKUP(BQ$1,main!$A$3:$H$102,5,FALSE)-VLOOKUP($A13,main!$A$3:$H$102,6,FALSE)&gt;=(VLOOKUP(VLOOKUP(BQ$1,main!$A$3:$H$102,8,FALSE),main!$K$26:$M$29,2,FALSE)+VLOOKUP(VLOOKUP(BQ$1,main!$A$3:$H$102,7,FALSE),main!$K$19:$O$22,MATCH(VLOOKUP($A13,main!$A$3:$H$102,8,FALSE),main!$K$18:$O$18,0))))),1,0)</f>
        <v>1</v>
      </c>
      <c r="BR13">
        <f>IF((AND(VLOOKUP(BR$1,main!$A$3:$H$102,5,FALSE)-VLOOKUP($A13,main!$A$3:$H$102,6,FALSE)&gt;=(VLOOKUP(VLOOKUP(BR$1,main!$A$3:$H$102,8,FALSE),main!$K$26:$M$29,2,FALSE)+VLOOKUP(VLOOKUP(BR$1,main!$A$3:$H$102,7,FALSE),main!$K$19:$O$22,MATCH(VLOOKUP($A13,main!$A$3:$H$102,8,FALSE),main!$K$18:$O$18,0))))),1,0)</f>
        <v>1</v>
      </c>
      <c r="BS13">
        <f>IF((AND(VLOOKUP(BS$1,main!$A$3:$H$102,5,FALSE)-VLOOKUP($A13,main!$A$3:$H$102,6,FALSE)&gt;=(VLOOKUP(VLOOKUP(BS$1,main!$A$3:$H$102,8,FALSE),main!$K$26:$M$29,2,FALSE)+VLOOKUP(VLOOKUP(BS$1,main!$A$3:$H$102,7,FALSE),main!$K$19:$O$22,MATCH(VLOOKUP($A13,main!$A$3:$H$102,8,FALSE),main!$K$18:$O$18,0))))),1,0)</f>
        <v>1</v>
      </c>
      <c r="BT13">
        <f>IF((AND(VLOOKUP(BT$1,main!$A$3:$H$102,5,FALSE)-VLOOKUP($A13,main!$A$3:$H$102,6,FALSE)&gt;=(VLOOKUP(VLOOKUP(BT$1,main!$A$3:$H$102,8,FALSE),main!$K$26:$M$29,2,FALSE)+VLOOKUP(VLOOKUP(BT$1,main!$A$3:$H$102,7,FALSE),main!$K$19:$O$22,MATCH(VLOOKUP($A13,main!$A$3:$H$102,8,FALSE),main!$K$18:$O$18,0))))),1,0)</f>
        <v>1</v>
      </c>
      <c r="BU13">
        <f>IF((AND(VLOOKUP(BU$1,main!$A$3:$H$102,5,FALSE)-VLOOKUP($A13,main!$A$3:$H$102,6,FALSE)&gt;=(VLOOKUP(VLOOKUP(BU$1,main!$A$3:$H$102,8,FALSE),main!$K$26:$M$29,2,FALSE)+VLOOKUP(VLOOKUP(BU$1,main!$A$3:$H$102,7,FALSE),main!$K$19:$O$22,MATCH(VLOOKUP($A13,main!$A$3:$H$102,8,FALSE),main!$K$18:$O$18,0))))),1,0)</f>
        <v>0</v>
      </c>
      <c r="BV13">
        <f>IF((AND(VLOOKUP(BV$1,main!$A$3:$H$102,5,FALSE)-VLOOKUP($A13,main!$A$3:$H$102,6,FALSE)&gt;=(VLOOKUP(VLOOKUP(BV$1,main!$A$3:$H$102,8,FALSE),main!$K$26:$M$29,2,FALSE)+VLOOKUP(VLOOKUP(BV$1,main!$A$3:$H$102,7,FALSE),main!$K$19:$O$22,MATCH(VLOOKUP($A13,main!$A$3:$H$102,8,FALSE),main!$K$18:$O$18,0))))),1,0)</f>
        <v>0</v>
      </c>
      <c r="BW13">
        <f>IF((AND(VLOOKUP(BW$1,main!$A$3:$H$102,5,FALSE)-VLOOKUP($A13,main!$A$3:$H$102,6,FALSE)&gt;=(VLOOKUP(VLOOKUP(BW$1,main!$A$3:$H$102,8,FALSE),main!$K$26:$M$29,2,FALSE)+VLOOKUP(VLOOKUP(BW$1,main!$A$3:$H$102,7,FALSE),main!$K$19:$O$22,MATCH(VLOOKUP($A13,main!$A$3:$H$102,8,FALSE),main!$K$18:$O$18,0))))),1,0)</f>
        <v>0</v>
      </c>
      <c r="BX13">
        <f>IF((AND(VLOOKUP(BX$1,main!$A$3:$H$102,5,FALSE)-VLOOKUP($A13,main!$A$3:$H$102,6,FALSE)&gt;=(VLOOKUP(VLOOKUP(BX$1,main!$A$3:$H$102,8,FALSE),main!$K$26:$M$29,2,FALSE)+VLOOKUP(VLOOKUP(BX$1,main!$A$3:$H$102,7,FALSE),main!$K$19:$O$22,MATCH(VLOOKUP($A13,main!$A$3:$H$102,8,FALSE),main!$K$18:$O$18,0))))),1,0)</f>
        <v>1</v>
      </c>
      <c r="BY13">
        <f>IF((AND(VLOOKUP(BY$1,main!$A$3:$H$102,5,FALSE)-VLOOKUP($A13,main!$A$3:$H$102,6,FALSE)&gt;=(VLOOKUP(VLOOKUP(BY$1,main!$A$3:$H$102,8,FALSE),main!$K$26:$M$29,2,FALSE)+VLOOKUP(VLOOKUP(BY$1,main!$A$3:$H$102,7,FALSE),main!$K$19:$O$22,MATCH(VLOOKUP($A13,main!$A$3:$H$102,8,FALSE),main!$K$18:$O$18,0))))),1,0)</f>
        <v>1</v>
      </c>
      <c r="BZ13">
        <f>IF((AND(VLOOKUP(BZ$1,main!$A$3:$H$102,5,FALSE)-VLOOKUP($A13,main!$A$3:$H$102,6,FALSE)&gt;=(VLOOKUP(VLOOKUP(BZ$1,main!$A$3:$H$102,8,FALSE),main!$K$26:$M$29,2,FALSE)+VLOOKUP(VLOOKUP(BZ$1,main!$A$3:$H$102,7,FALSE),main!$K$19:$O$22,MATCH(VLOOKUP($A13,main!$A$3:$H$102,8,FALSE),main!$K$18:$O$18,0))))),1,0)</f>
        <v>0</v>
      </c>
      <c r="CA13">
        <f>IF((AND(VLOOKUP(CA$1,main!$A$3:$H$102,5,FALSE)-VLOOKUP($A13,main!$A$3:$H$102,6,FALSE)&gt;=(VLOOKUP(VLOOKUP(CA$1,main!$A$3:$H$102,8,FALSE),main!$K$26:$M$29,2,FALSE)+VLOOKUP(VLOOKUP(CA$1,main!$A$3:$H$102,7,FALSE),main!$K$19:$O$22,MATCH(VLOOKUP($A13,main!$A$3:$H$102,8,FALSE),main!$K$18:$O$18,0))))),1,0)</f>
        <v>0</v>
      </c>
      <c r="CB13">
        <f>IF((AND(VLOOKUP(CB$1,main!$A$3:$H$102,5,FALSE)-VLOOKUP($A13,main!$A$3:$H$102,6,FALSE)&gt;=(VLOOKUP(VLOOKUP(CB$1,main!$A$3:$H$102,8,FALSE),main!$K$26:$M$29,2,FALSE)+VLOOKUP(VLOOKUP(CB$1,main!$A$3:$H$102,7,FALSE),main!$K$19:$O$22,MATCH(VLOOKUP($A13,main!$A$3:$H$102,8,FALSE),main!$K$18:$O$18,0))))),1,0)</f>
        <v>1</v>
      </c>
      <c r="CC13">
        <f>IF((AND(VLOOKUP(CC$1,main!$A$3:$H$102,5,FALSE)-VLOOKUP($A13,main!$A$3:$H$102,6,FALSE)&gt;=(VLOOKUP(VLOOKUP(CC$1,main!$A$3:$H$102,8,FALSE),main!$K$26:$M$29,2,FALSE)+VLOOKUP(VLOOKUP(CC$1,main!$A$3:$H$102,7,FALSE),main!$K$19:$O$22,MATCH(VLOOKUP($A13,main!$A$3:$H$102,8,FALSE),main!$K$18:$O$18,0))))),1,0)</f>
        <v>1</v>
      </c>
      <c r="CD13">
        <f>IF((AND(VLOOKUP(CD$1,main!$A$3:$H$102,5,FALSE)-VLOOKUP($A13,main!$A$3:$H$102,6,FALSE)&gt;=(VLOOKUP(VLOOKUP(CD$1,main!$A$3:$H$102,8,FALSE),main!$K$26:$M$29,2,FALSE)+VLOOKUP(VLOOKUP(CD$1,main!$A$3:$H$102,7,FALSE),main!$K$19:$O$22,MATCH(VLOOKUP($A13,main!$A$3:$H$102,8,FALSE),main!$K$18:$O$18,0))))),1,0)</f>
        <v>1</v>
      </c>
      <c r="CE13">
        <f>IF((AND(VLOOKUP(CE$1,main!$A$3:$H$102,5,FALSE)-VLOOKUP($A13,main!$A$3:$H$102,6,FALSE)&gt;=(VLOOKUP(VLOOKUP(CE$1,main!$A$3:$H$102,8,FALSE),main!$K$26:$M$29,2,FALSE)+VLOOKUP(VLOOKUP(CE$1,main!$A$3:$H$102,7,FALSE),main!$K$19:$O$22,MATCH(VLOOKUP($A13,main!$A$3:$H$102,8,FALSE),main!$K$18:$O$18,0))))),1,0)</f>
        <v>0</v>
      </c>
      <c r="CF13">
        <f>IF((AND(VLOOKUP(CF$1,main!$A$3:$H$102,5,FALSE)-VLOOKUP($A13,main!$A$3:$H$102,6,FALSE)&gt;=(VLOOKUP(VLOOKUP(CF$1,main!$A$3:$H$102,8,FALSE),main!$K$26:$M$29,2,FALSE)+VLOOKUP(VLOOKUP(CF$1,main!$A$3:$H$102,7,FALSE),main!$K$19:$O$22,MATCH(VLOOKUP($A13,main!$A$3:$H$102,8,FALSE),main!$K$18:$O$18,0))))),1,0)</f>
        <v>1</v>
      </c>
      <c r="CG13">
        <f>IF((AND(VLOOKUP(CG$1,main!$A$3:$H$102,5,FALSE)-VLOOKUP($A13,main!$A$3:$H$102,6,FALSE)&gt;=(VLOOKUP(VLOOKUP(CG$1,main!$A$3:$H$102,8,FALSE),main!$K$26:$M$29,2,FALSE)+VLOOKUP(VLOOKUP(CG$1,main!$A$3:$H$102,7,FALSE),main!$K$19:$O$22,MATCH(VLOOKUP($A13,main!$A$3:$H$102,8,FALSE),main!$K$18:$O$18,0))))),1,0)</f>
        <v>1</v>
      </c>
      <c r="CH13">
        <f>IF((AND(VLOOKUP(CH$1,main!$A$3:$H$102,5,FALSE)-VLOOKUP($A13,main!$A$3:$H$102,6,FALSE)&gt;=(VLOOKUP(VLOOKUP(CH$1,main!$A$3:$H$102,8,FALSE),main!$K$26:$M$29,2,FALSE)+VLOOKUP(VLOOKUP(CH$1,main!$A$3:$H$102,7,FALSE),main!$K$19:$O$22,MATCH(VLOOKUP($A13,main!$A$3:$H$102,8,FALSE),main!$K$18:$O$18,0))))),1,0)</f>
        <v>1</v>
      </c>
      <c r="CI13">
        <f>IF((AND(VLOOKUP(CI$1,main!$A$3:$H$102,5,FALSE)-VLOOKUP($A13,main!$A$3:$H$102,6,FALSE)&gt;=(VLOOKUP(VLOOKUP(CI$1,main!$A$3:$H$102,8,FALSE),main!$K$26:$M$29,2,FALSE)+VLOOKUP(VLOOKUP(CI$1,main!$A$3:$H$102,7,FALSE),main!$K$19:$O$22,MATCH(VLOOKUP($A13,main!$A$3:$H$102,8,FALSE),main!$K$18:$O$18,0))))),1,0)</f>
        <v>1</v>
      </c>
      <c r="CJ13">
        <f>IF((AND(VLOOKUP(CJ$1,main!$A$3:$H$102,5,FALSE)-VLOOKUP($A13,main!$A$3:$H$102,6,FALSE)&gt;=(VLOOKUP(VLOOKUP(CJ$1,main!$A$3:$H$102,8,FALSE),main!$K$26:$M$29,2,FALSE)+VLOOKUP(VLOOKUP(CJ$1,main!$A$3:$H$102,7,FALSE),main!$K$19:$O$22,MATCH(VLOOKUP($A13,main!$A$3:$H$102,8,FALSE),main!$K$18:$O$18,0))))),1,0)</f>
        <v>1</v>
      </c>
      <c r="CK13">
        <f>IF((AND(VLOOKUP(CK$1,main!$A$3:$H$102,5,FALSE)-VLOOKUP($A13,main!$A$3:$H$102,6,FALSE)&gt;=(VLOOKUP(VLOOKUP(CK$1,main!$A$3:$H$102,8,FALSE),main!$K$26:$M$29,2,FALSE)+VLOOKUP(VLOOKUP(CK$1,main!$A$3:$H$102,7,FALSE),main!$K$19:$O$22,MATCH(VLOOKUP($A13,main!$A$3:$H$102,8,FALSE),main!$K$18:$O$18,0))))),1,0)</f>
        <v>0</v>
      </c>
      <c r="CL13">
        <f>IF((AND(VLOOKUP(CL$1,main!$A$3:$H$102,5,FALSE)-VLOOKUP($A13,main!$A$3:$H$102,6,FALSE)&gt;=(VLOOKUP(VLOOKUP(CL$1,main!$A$3:$H$102,8,FALSE),main!$K$26:$M$29,2,FALSE)+VLOOKUP(VLOOKUP(CL$1,main!$A$3:$H$102,7,FALSE),main!$K$19:$O$22,MATCH(VLOOKUP($A13,main!$A$3:$H$102,8,FALSE),main!$K$18:$O$18,0))))),1,0)</f>
        <v>1</v>
      </c>
      <c r="CM13">
        <f>IF((AND(VLOOKUP(CM$1,main!$A$3:$H$102,5,FALSE)-VLOOKUP($A13,main!$A$3:$H$102,6,FALSE)&gt;=(VLOOKUP(VLOOKUP(CM$1,main!$A$3:$H$102,8,FALSE),main!$K$26:$M$29,2,FALSE)+VLOOKUP(VLOOKUP(CM$1,main!$A$3:$H$102,7,FALSE),main!$K$19:$O$22,MATCH(VLOOKUP($A13,main!$A$3:$H$102,8,FALSE),main!$K$18:$O$18,0))))),1,0)</f>
        <v>1</v>
      </c>
      <c r="CN13">
        <f>IF((AND(VLOOKUP(CN$1,main!$A$3:$H$102,5,FALSE)-VLOOKUP($A13,main!$A$3:$H$102,6,FALSE)&gt;=(VLOOKUP(VLOOKUP(CN$1,main!$A$3:$H$102,8,FALSE),main!$K$26:$M$29,2,FALSE)+VLOOKUP(VLOOKUP(CN$1,main!$A$3:$H$102,7,FALSE),main!$K$19:$O$22,MATCH(VLOOKUP($A13,main!$A$3:$H$102,8,FALSE),main!$K$18:$O$18,0))))),1,0)</f>
        <v>1</v>
      </c>
      <c r="CO13">
        <f>IF((AND(VLOOKUP(CO$1,main!$A$3:$H$102,5,FALSE)-VLOOKUP($A13,main!$A$3:$H$102,6,FALSE)&gt;=(VLOOKUP(VLOOKUP(CO$1,main!$A$3:$H$102,8,FALSE),main!$K$26:$M$29,2,FALSE)+VLOOKUP(VLOOKUP(CO$1,main!$A$3:$H$102,7,FALSE),main!$K$19:$O$22,MATCH(VLOOKUP($A13,main!$A$3:$H$102,8,FALSE),main!$K$18:$O$18,0))))),1,0)</f>
        <v>0</v>
      </c>
      <c r="CP13">
        <f>IF((AND(VLOOKUP(CP$1,main!$A$3:$H$102,5,FALSE)-VLOOKUP($A13,main!$A$3:$H$102,6,FALSE)&gt;=(VLOOKUP(VLOOKUP(CP$1,main!$A$3:$H$102,8,FALSE),main!$K$26:$M$29,2,FALSE)+VLOOKUP(VLOOKUP(CP$1,main!$A$3:$H$102,7,FALSE),main!$K$19:$O$22,MATCH(VLOOKUP($A13,main!$A$3:$H$102,8,FALSE),main!$K$18:$O$18,0))))),1,0)</f>
        <v>1</v>
      </c>
      <c r="CQ13">
        <f>IF((AND(VLOOKUP(CQ$1,main!$A$3:$H$102,5,FALSE)-VLOOKUP($A13,main!$A$3:$H$102,6,FALSE)&gt;=(VLOOKUP(VLOOKUP(CQ$1,main!$A$3:$H$102,8,FALSE),main!$K$26:$M$29,2,FALSE)+VLOOKUP(VLOOKUP(CQ$1,main!$A$3:$H$102,7,FALSE),main!$K$19:$O$22,MATCH(VLOOKUP($A13,main!$A$3:$H$102,8,FALSE),main!$K$18:$O$18,0))))),1,0)</f>
        <v>1</v>
      </c>
      <c r="CR13">
        <f>IF((AND(VLOOKUP(CR$1,main!$A$3:$H$102,5,FALSE)-VLOOKUP($A13,main!$A$3:$H$102,6,FALSE)&gt;=(VLOOKUP(VLOOKUP(CR$1,main!$A$3:$H$102,8,FALSE),main!$K$26:$M$29,2,FALSE)+VLOOKUP(VLOOKUP(CR$1,main!$A$3:$H$102,7,FALSE),main!$K$19:$O$22,MATCH(VLOOKUP($A13,main!$A$3:$H$102,8,FALSE),main!$K$18:$O$18,0))))),1,0)</f>
        <v>1</v>
      </c>
      <c r="CS13">
        <f>IF((AND(VLOOKUP(CS$1,main!$A$3:$H$102,5,FALSE)-VLOOKUP($A13,main!$A$3:$H$102,6,FALSE)&gt;=(VLOOKUP(VLOOKUP(CS$1,main!$A$3:$H$102,8,FALSE),main!$K$26:$M$29,2,FALSE)+VLOOKUP(VLOOKUP(CS$1,main!$A$3:$H$102,7,FALSE),main!$K$19:$O$22,MATCH(VLOOKUP($A13,main!$A$3:$H$102,8,FALSE),main!$K$18:$O$18,0))))),1,0)</f>
        <v>1</v>
      </c>
      <c r="CT13">
        <f>IF((AND(VLOOKUP(CT$1,main!$A$3:$H$102,5,FALSE)-VLOOKUP($A13,main!$A$3:$H$102,6,FALSE)&gt;=(VLOOKUP(VLOOKUP(CT$1,main!$A$3:$H$102,8,FALSE),main!$K$26:$M$29,2,FALSE)+VLOOKUP(VLOOKUP(CT$1,main!$A$3:$H$102,7,FALSE),main!$K$19:$O$22,MATCH(VLOOKUP($A13,main!$A$3:$H$102,8,FALSE),main!$K$18:$O$18,0))))),1,0)</f>
        <v>0</v>
      </c>
      <c r="CU13">
        <f>IF((AND(VLOOKUP(CU$1,main!$A$3:$H$102,5,FALSE)-VLOOKUP($A13,main!$A$3:$H$102,6,FALSE)&gt;=(VLOOKUP(VLOOKUP(CU$1,main!$A$3:$H$102,8,FALSE),main!$K$26:$M$29,2,FALSE)+VLOOKUP(VLOOKUP(CU$1,main!$A$3:$H$102,7,FALSE),main!$K$19:$O$22,MATCH(VLOOKUP($A13,main!$A$3:$H$102,8,FALSE),main!$K$18:$O$18,0))))),1,0)</f>
        <v>0</v>
      </c>
      <c r="CV13">
        <f>IF((AND(VLOOKUP(CV$1,main!$A$3:$H$102,5,FALSE)-VLOOKUP($A13,main!$A$3:$H$102,6,FALSE)&gt;=(VLOOKUP(VLOOKUP(CV$1,main!$A$3:$H$102,8,FALSE),main!$K$26:$M$29,2,FALSE)+VLOOKUP(VLOOKUP(CV$1,main!$A$3:$H$102,7,FALSE),main!$K$19:$O$22,MATCH(VLOOKUP($A13,main!$A$3:$H$102,8,FALSE),main!$K$18:$O$18,0))))),1,0)</f>
        <v>1</v>
      </c>
      <c r="CW13">
        <f>IF((AND(VLOOKUP(CW$1,main!$A$3:$H$102,5,FALSE)-VLOOKUP($A13,main!$A$3:$H$102,6,FALSE)&gt;=(VLOOKUP(VLOOKUP(CW$1,main!$A$3:$H$102,8,FALSE),main!$K$26:$M$29,2,FALSE)+VLOOKUP(VLOOKUP(CW$1,main!$A$3:$H$102,7,FALSE),main!$K$19:$O$22,MATCH(VLOOKUP($A13,main!$A$3:$H$102,8,FALSE),main!$K$18:$O$18,0))))),1,0)</f>
        <v>1</v>
      </c>
      <c r="CX13">
        <f>IF((AND(VLOOKUP(CX$1,main!$A$3:$H$102,5,FALSE)-VLOOKUP($A13,main!$A$3:$H$102,6,FALSE)&gt;=(VLOOKUP(VLOOKUP(CX$1,main!$A$3:$H$102,8,FALSE),main!$K$26:$M$29,2,FALSE)+VLOOKUP(VLOOKUP(CX$1,main!$A$3:$H$102,7,FALSE),main!$K$19:$O$22,MATCH(VLOOKUP($A13,main!$A$3:$H$102,8,FALSE),main!$K$18:$O$18,0))))),1,0)</f>
        <v>1</v>
      </c>
    </row>
    <row r="14" spans="1:102" x14ac:dyDescent="0.25">
      <c r="A14" s="1">
        <v>12</v>
      </c>
      <c r="B14">
        <v>1</v>
      </c>
      <c r="C14">
        <f>IF((AND(VLOOKUP(C$1,main!$A$3:$H$102,5,FALSE)-VLOOKUP($A14,main!$A$3:$H$102,6,FALSE)&gt;=(VLOOKUP(VLOOKUP(C$1,main!$A$3:$H$102,8,FALSE),main!$K$26:$M$29,2,FALSE)+VLOOKUP(VLOOKUP(C$1,main!$A$3:$H$102,7,FALSE),main!$K$19:$O$22,MATCH(VLOOKUP($A14,main!$A$3:$H$102,8,FALSE),main!$K$18:$O$18,0))))),1,0)</f>
        <v>0</v>
      </c>
      <c r="D14">
        <f>IF((AND(VLOOKUP(D$1,main!$A$3:$H$102,5,FALSE)-VLOOKUP($A14,main!$A$3:$H$102,6,FALSE)&gt;=(VLOOKUP(VLOOKUP(D$1,main!$A$3:$H$102,8,FALSE),main!$K$26:$M$29,2,FALSE)+VLOOKUP(VLOOKUP(D$1,main!$A$3:$H$102,7,FALSE),main!$K$19:$O$22,MATCH(VLOOKUP($A14,main!$A$3:$H$102,8,FALSE),main!$K$18:$O$18,0))))),1,0)</f>
        <v>0</v>
      </c>
      <c r="E14">
        <f>IF((AND(VLOOKUP(E$1,main!$A$3:$H$102,5,FALSE)-VLOOKUP($A14,main!$A$3:$H$102,6,FALSE)&gt;=(VLOOKUP(VLOOKUP(E$1,main!$A$3:$H$102,8,FALSE),main!$K$26:$M$29,2,FALSE)+VLOOKUP(VLOOKUP(E$1,main!$A$3:$H$102,7,FALSE),main!$K$19:$O$22,MATCH(VLOOKUP($A14,main!$A$3:$H$102,8,FALSE),main!$K$18:$O$18,0))))),1,0)</f>
        <v>0</v>
      </c>
      <c r="F14">
        <f>IF((AND(VLOOKUP(F$1,main!$A$3:$H$102,5,FALSE)-VLOOKUP($A14,main!$A$3:$H$102,6,FALSE)&gt;=(VLOOKUP(VLOOKUP(F$1,main!$A$3:$H$102,8,FALSE),main!$K$26:$M$29,2,FALSE)+VLOOKUP(VLOOKUP(F$1,main!$A$3:$H$102,7,FALSE),main!$K$19:$O$22,MATCH(VLOOKUP($A14,main!$A$3:$H$102,8,FALSE),main!$K$18:$O$18,0))))),1,0)</f>
        <v>0</v>
      </c>
      <c r="G14">
        <f>IF((AND(VLOOKUP(G$1,main!$A$3:$H$102,5,FALSE)-VLOOKUP($A14,main!$A$3:$H$102,6,FALSE)&gt;=(VLOOKUP(VLOOKUP(G$1,main!$A$3:$H$102,8,FALSE),main!$K$26:$M$29,2,FALSE)+VLOOKUP(VLOOKUP(G$1,main!$A$3:$H$102,7,FALSE),main!$K$19:$O$22,MATCH(VLOOKUP($A14,main!$A$3:$H$102,8,FALSE),main!$K$18:$O$18,0))))),1,0)</f>
        <v>1</v>
      </c>
      <c r="H14">
        <f>IF((AND(VLOOKUP(H$1,main!$A$3:$H$102,5,FALSE)-VLOOKUP($A14,main!$A$3:$H$102,6,FALSE)&gt;=(VLOOKUP(VLOOKUP(H$1,main!$A$3:$H$102,8,FALSE),main!$K$26:$M$29,2,FALSE)+VLOOKUP(VLOOKUP(H$1,main!$A$3:$H$102,7,FALSE),main!$K$19:$O$22,MATCH(VLOOKUP($A14,main!$A$3:$H$102,8,FALSE),main!$K$18:$O$18,0))))),1,0)</f>
        <v>1</v>
      </c>
      <c r="I14">
        <f>IF((AND(VLOOKUP(I$1,main!$A$3:$H$102,5,FALSE)-VLOOKUP($A14,main!$A$3:$H$102,6,FALSE)&gt;=(VLOOKUP(VLOOKUP(I$1,main!$A$3:$H$102,8,FALSE),main!$K$26:$M$29,2,FALSE)+VLOOKUP(VLOOKUP(I$1,main!$A$3:$H$102,7,FALSE),main!$K$19:$O$22,MATCH(VLOOKUP($A14,main!$A$3:$H$102,8,FALSE),main!$K$18:$O$18,0))))),1,0)</f>
        <v>1</v>
      </c>
      <c r="J14">
        <f>IF((AND(VLOOKUP(J$1,main!$A$3:$H$102,5,FALSE)-VLOOKUP($A14,main!$A$3:$H$102,6,FALSE)&gt;=(VLOOKUP(VLOOKUP(J$1,main!$A$3:$H$102,8,FALSE),main!$K$26:$M$29,2,FALSE)+VLOOKUP(VLOOKUP(J$1,main!$A$3:$H$102,7,FALSE),main!$K$19:$O$22,MATCH(VLOOKUP($A14,main!$A$3:$H$102,8,FALSE),main!$K$18:$O$18,0))))),1,0)</f>
        <v>1</v>
      </c>
      <c r="K14">
        <f>IF((AND(VLOOKUP(K$1,main!$A$3:$H$102,5,FALSE)-VLOOKUP($A14,main!$A$3:$H$102,6,FALSE)&gt;=(VLOOKUP(VLOOKUP(K$1,main!$A$3:$H$102,8,FALSE),main!$K$26:$M$29,2,FALSE)+VLOOKUP(VLOOKUP(K$1,main!$A$3:$H$102,7,FALSE),main!$K$19:$O$22,MATCH(VLOOKUP($A14,main!$A$3:$H$102,8,FALSE),main!$K$18:$O$18,0))))),1,0)</f>
        <v>1</v>
      </c>
      <c r="L14">
        <f>IF((AND(VLOOKUP(L$1,main!$A$3:$H$102,5,FALSE)-VLOOKUP($A14,main!$A$3:$H$102,6,FALSE)&gt;=(VLOOKUP(VLOOKUP(L$1,main!$A$3:$H$102,8,FALSE),main!$K$26:$M$29,2,FALSE)+VLOOKUP(VLOOKUP(L$1,main!$A$3:$H$102,7,FALSE),main!$K$19:$O$22,MATCH(VLOOKUP($A14,main!$A$3:$H$102,8,FALSE),main!$K$18:$O$18,0))))),1,0)</f>
        <v>1</v>
      </c>
      <c r="M14">
        <f>IF((AND(VLOOKUP(M$1,main!$A$3:$H$102,5,FALSE)-VLOOKUP($A14,main!$A$3:$H$102,6,FALSE)&gt;=(VLOOKUP(VLOOKUP(M$1,main!$A$3:$H$102,8,FALSE),main!$K$26:$M$29,2,FALSE)+VLOOKUP(VLOOKUP(M$1,main!$A$3:$H$102,7,FALSE),main!$K$19:$O$22,MATCH(VLOOKUP($A14,main!$A$3:$H$102,8,FALSE),main!$K$18:$O$18,0))))),1,0)</f>
        <v>0</v>
      </c>
      <c r="N14">
        <f>IF((AND(VLOOKUP(N$1,main!$A$3:$H$102,5,FALSE)-VLOOKUP($A14,main!$A$3:$H$102,6,FALSE)&gt;=(VLOOKUP(VLOOKUP(N$1,main!$A$3:$H$102,8,FALSE),main!$K$26:$M$29,2,FALSE)+VLOOKUP(VLOOKUP(N$1,main!$A$3:$H$102,7,FALSE),main!$K$19:$O$22,MATCH(VLOOKUP($A14,main!$A$3:$H$102,8,FALSE),main!$K$18:$O$18,0))))),1,0)</f>
        <v>0</v>
      </c>
      <c r="O14">
        <f>IF((AND(VLOOKUP(O$1,main!$A$3:$H$102,5,FALSE)-VLOOKUP($A14,main!$A$3:$H$102,6,FALSE)&gt;=(VLOOKUP(VLOOKUP(O$1,main!$A$3:$H$102,8,FALSE),main!$K$26:$M$29,2,FALSE)+VLOOKUP(VLOOKUP(O$1,main!$A$3:$H$102,7,FALSE),main!$K$19:$O$22,MATCH(VLOOKUP($A14,main!$A$3:$H$102,8,FALSE),main!$K$18:$O$18,0))))),1,0)</f>
        <v>0</v>
      </c>
      <c r="P14">
        <f>IF((AND(VLOOKUP(P$1,main!$A$3:$H$102,5,FALSE)-VLOOKUP($A14,main!$A$3:$H$102,6,FALSE)&gt;=(VLOOKUP(VLOOKUP(P$1,main!$A$3:$H$102,8,FALSE),main!$K$26:$M$29,2,FALSE)+VLOOKUP(VLOOKUP(P$1,main!$A$3:$H$102,7,FALSE),main!$K$19:$O$22,MATCH(VLOOKUP($A14,main!$A$3:$H$102,8,FALSE),main!$K$18:$O$18,0))))),1,0)</f>
        <v>0</v>
      </c>
      <c r="Q14">
        <f>IF((AND(VLOOKUP(Q$1,main!$A$3:$H$102,5,FALSE)-VLOOKUP($A14,main!$A$3:$H$102,6,FALSE)&gt;=(VLOOKUP(VLOOKUP(Q$1,main!$A$3:$H$102,8,FALSE),main!$K$26:$M$29,2,FALSE)+VLOOKUP(VLOOKUP(Q$1,main!$A$3:$H$102,7,FALSE),main!$K$19:$O$22,MATCH(VLOOKUP($A14,main!$A$3:$H$102,8,FALSE),main!$K$18:$O$18,0))))),1,0)</f>
        <v>1</v>
      </c>
      <c r="R14">
        <f>IF((AND(VLOOKUP(R$1,main!$A$3:$H$102,5,FALSE)-VLOOKUP($A14,main!$A$3:$H$102,6,FALSE)&gt;=(VLOOKUP(VLOOKUP(R$1,main!$A$3:$H$102,8,FALSE),main!$K$26:$M$29,2,FALSE)+VLOOKUP(VLOOKUP(R$1,main!$A$3:$H$102,7,FALSE),main!$K$19:$O$22,MATCH(VLOOKUP($A14,main!$A$3:$H$102,8,FALSE),main!$K$18:$O$18,0))))),1,0)</f>
        <v>1</v>
      </c>
      <c r="S14">
        <f>IF((AND(VLOOKUP(S$1,main!$A$3:$H$102,5,FALSE)-VLOOKUP($A14,main!$A$3:$H$102,6,FALSE)&gt;=(VLOOKUP(VLOOKUP(S$1,main!$A$3:$H$102,8,FALSE),main!$K$26:$M$29,2,FALSE)+VLOOKUP(VLOOKUP(S$1,main!$A$3:$H$102,7,FALSE),main!$K$19:$O$22,MATCH(VLOOKUP($A14,main!$A$3:$H$102,8,FALSE),main!$K$18:$O$18,0))))),1,0)</f>
        <v>1</v>
      </c>
      <c r="T14">
        <f>IF((AND(VLOOKUP(T$1,main!$A$3:$H$102,5,FALSE)-VLOOKUP($A14,main!$A$3:$H$102,6,FALSE)&gt;=(VLOOKUP(VLOOKUP(T$1,main!$A$3:$H$102,8,FALSE),main!$K$26:$M$29,2,FALSE)+VLOOKUP(VLOOKUP(T$1,main!$A$3:$H$102,7,FALSE),main!$K$19:$O$22,MATCH(VLOOKUP($A14,main!$A$3:$H$102,8,FALSE),main!$K$18:$O$18,0))))),1,0)</f>
        <v>1</v>
      </c>
      <c r="U14">
        <f>IF((AND(VLOOKUP(U$1,main!$A$3:$H$102,5,FALSE)-VLOOKUP($A14,main!$A$3:$H$102,6,FALSE)&gt;=(VLOOKUP(VLOOKUP(U$1,main!$A$3:$H$102,8,FALSE),main!$K$26:$M$29,2,FALSE)+VLOOKUP(VLOOKUP(U$1,main!$A$3:$H$102,7,FALSE),main!$K$19:$O$22,MATCH(VLOOKUP($A14,main!$A$3:$H$102,8,FALSE),main!$K$18:$O$18,0))))),1,0)</f>
        <v>1</v>
      </c>
      <c r="V14">
        <f>IF((AND(VLOOKUP(V$1,main!$A$3:$H$102,5,FALSE)-VLOOKUP($A14,main!$A$3:$H$102,6,FALSE)&gt;=(VLOOKUP(VLOOKUP(V$1,main!$A$3:$H$102,8,FALSE),main!$K$26:$M$29,2,FALSE)+VLOOKUP(VLOOKUP(V$1,main!$A$3:$H$102,7,FALSE),main!$K$19:$O$22,MATCH(VLOOKUP($A14,main!$A$3:$H$102,8,FALSE),main!$K$18:$O$18,0))))),1,0)</f>
        <v>1</v>
      </c>
      <c r="W14">
        <f>IF((AND(VLOOKUP(W$1,main!$A$3:$H$102,5,FALSE)-VLOOKUP($A14,main!$A$3:$H$102,6,FALSE)&gt;=(VLOOKUP(VLOOKUP(W$1,main!$A$3:$H$102,8,FALSE),main!$K$26:$M$29,2,FALSE)+VLOOKUP(VLOOKUP(W$1,main!$A$3:$H$102,7,FALSE),main!$K$19:$O$22,MATCH(VLOOKUP($A14,main!$A$3:$H$102,8,FALSE),main!$K$18:$O$18,0))))),1,0)</f>
        <v>0</v>
      </c>
      <c r="X14">
        <f>IF((AND(VLOOKUP(X$1,main!$A$3:$H$102,5,FALSE)-VLOOKUP($A14,main!$A$3:$H$102,6,FALSE)&gt;=(VLOOKUP(VLOOKUP(X$1,main!$A$3:$H$102,8,FALSE),main!$K$26:$M$29,2,FALSE)+VLOOKUP(VLOOKUP(X$1,main!$A$3:$H$102,7,FALSE),main!$K$19:$O$22,MATCH(VLOOKUP($A14,main!$A$3:$H$102,8,FALSE),main!$K$18:$O$18,0))))),1,0)</f>
        <v>0</v>
      </c>
      <c r="Y14">
        <f>IF((AND(VLOOKUP(Y$1,main!$A$3:$H$102,5,FALSE)-VLOOKUP($A14,main!$A$3:$H$102,6,FALSE)&gt;=(VLOOKUP(VLOOKUP(Y$1,main!$A$3:$H$102,8,FALSE),main!$K$26:$M$29,2,FALSE)+VLOOKUP(VLOOKUP(Y$1,main!$A$3:$H$102,7,FALSE),main!$K$19:$O$22,MATCH(VLOOKUP($A14,main!$A$3:$H$102,8,FALSE),main!$K$18:$O$18,0))))),1,0)</f>
        <v>1</v>
      </c>
      <c r="Z14">
        <f>IF((AND(VLOOKUP(Z$1,main!$A$3:$H$102,5,FALSE)-VLOOKUP($A14,main!$A$3:$H$102,6,FALSE)&gt;=(VLOOKUP(VLOOKUP(Z$1,main!$A$3:$H$102,8,FALSE),main!$K$26:$M$29,2,FALSE)+VLOOKUP(VLOOKUP(Z$1,main!$A$3:$H$102,7,FALSE),main!$K$19:$O$22,MATCH(VLOOKUP($A14,main!$A$3:$H$102,8,FALSE),main!$K$18:$O$18,0))))),1,0)</f>
        <v>1</v>
      </c>
      <c r="AA14">
        <f>IF((AND(VLOOKUP(AA$1,main!$A$3:$H$102,5,FALSE)-VLOOKUP($A14,main!$A$3:$H$102,6,FALSE)&gt;=(VLOOKUP(VLOOKUP(AA$1,main!$A$3:$H$102,8,FALSE),main!$K$26:$M$29,2,FALSE)+VLOOKUP(VLOOKUP(AA$1,main!$A$3:$H$102,7,FALSE),main!$K$19:$O$22,MATCH(VLOOKUP($A14,main!$A$3:$H$102,8,FALSE),main!$K$18:$O$18,0))))),1,0)</f>
        <v>1</v>
      </c>
      <c r="AB14">
        <f>IF((AND(VLOOKUP(AB$1,main!$A$3:$H$102,5,FALSE)-VLOOKUP($A14,main!$A$3:$H$102,6,FALSE)&gt;=(VLOOKUP(VLOOKUP(AB$1,main!$A$3:$H$102,8,FALSE),main!$K$26:$M$29,2,FALSE)+VLOOKUP(VLOOKUP(AB$1,main!$A$3:$H$102,7,FALSE),main!$K$19:$O$22,MATCH(VLOOKUP($A14,main!$A$3:$H$102,8,FALSE),main!$K$18:$O$18,0))))),1,0)</f>
        <v>0</v>
      </c>
      <c r="AC14">
        <f>IF((AND(VLOOKUP(AC$1,main!$A$3:$H$102,5,FALSE)-VLOOKUP($A14,main!$A$3:$H$102,6,FALSE)&gt;=(VLOOKUP(VLOOKUP(AC$1,main!$A$3:$H$102,8,FALSE),main!$K$26:$M$29,2,FALSE)+VLOOKUP(VLOOKUP(AC$1,main!$A$3:$H$102,7,FALSE),main!$K$19:$O$22,MATCH(VLOOKUP($A14,main!$A$3:$H$102,8,FALSE),main!$K$18:$O$18,0))))),1,0)</f>
        <v>0</v>
      </c>
      <c r="AD14">
        <f>IF((AND(VLOOKUP(AD$1,main!$A$3:$H$102,5,FALSE)-VLOOKUP($A14,main!$A$3:$H$102,6,FALSE)&gt;=(VLOOKUP(VLOOKUP(AD$1,main!$A$3:$H$102,8,FALSE),main!$K$26:$M$29,2,FALSE)+VLOOKUP(VLOOKUP(AD$1,main!$A$3:$H$102,7,FALSE),main!$K$19:$O$22,MATCH(VLOOKUP($A14,main!$A$3:$H$102,8,FALSE),main!$K$18:$O$18,0))))),1,0)</f>
        <v>0</v>
      </c>
      <c r="AE14">
        <f>IF((AND(VLOOKUP(AE$1,main!$A$3:$H$102,5,FALSE)-VLOOKUP($A14,main!$A$3:$H$102,6,FALSE)&gt;=(VLOOKUP(VLOOKUP(AE$1,main!$A$3:$H$102,8,FALSE),main!$K$26:$M$29,2,FALSE)+VLOOKUP(VLOOKUP(AE$1,main!$A$3:$H$102,7,FALSE),main!$K$19:$O$22,MATCH(VLOOKUP($A14,main!$A$3:$H$102,8,FALSE),main!$K$18:$O$18,0))))),1,0)</f>
        <v>1</v>
      </c>
      <c r="AF14">
        <f>IF((AND(VLOOKUP(AF$1,main!$A$3:$H$102,5,FALSE)-VLOOKUP($A14,main!$A$3:$H$102,6,FALSE)&gt;=(VLOOKUP(VLOOKUP(AF$1,main!$A$3:$H$102,8,FALSE),main!$K$26:$M$29,2,FALSE)+VLOOKUP(VLOOKUP(AF$1,main!$A$3:$H$102,7,FALSE),main!$K$19:$O$22,MATCH(VLOOKUP($A14,main!$A$3:$H$102,8,FALSE),main!$K$18:$O$18,0))))),1,0)</f>
        <v>1</v>
      </c>
      <c r="AG14">
        <f>IF((AND(VLOOKUP(AG$1,main!$A$3:$H$102,5,FALSE)-VLOOKUP($A14,main!$A$3:$H$102,6,FALSE)&gt;=(VLOOKUP(VLOOKUP(AG$1,main!$A$3:$H$102,8,FALSE),main!$K$26:$M$29,2,FALSE)+VLOOKUP(VLOOKUP(AG$1,main!$A$3:$H$102,7,FALSE),main!$K$19:$O$22,MATCH(VLOOKUP($A14,main!$A$3:$H$102,8,FALSE),main!$K$18:$O$18,0))))),1,0)</f>
        <v>0</v>
      </c>
      <c r="AH14">
        <f>IF((AND(VLOOKUP(AH$1,main!$A$3:$H$102,5,FALSE)-VLOOKUP($A14,main!$A$3:$H$102,6,FALSE)&gt;=(VLOOKUP(VLOOKUP(AH$1,main!$A$3:$H$102,8,FALSE),main!$K$26:$M$29,2,FALSE)+VLOOKUP(VLOOKUP(AH$1,main!$A$3:$H$102,7,FALSE),main!$K$19:$O$22,MATCH(VLOOKUP($A14,main!$A$3:$H$102,8,FALSE),main!$K$18:$O$18,0))))),1,0)</f>
        <v>0</v>
      </c>
      <c r="AI14">
        <f>IF((AND(VLOOKUP(AI$1,main!$A$3:$H$102,5,FALSE)-VLOOKUP($A14,main!$A$3:$H$102,6,FALSE)&gt;=(VLOOKUP(VLOOKUP(AI$1,main!$A$3:$H$102,8,FALSE),main!$K$26:$M$29,2,FALSE)+VLOOKUP(VLOOKUP(AI$1,main!$A$3:$H$102,7,FALSE),main!$K$19:$O$22,MATCH(VLOOKUP($A14,main!$A$3:$H$102,8,FALSE),main!$K$18:$O$18,0))))),1,0)</f>
        <v>0</v>
      </c>
      <c r="AJ14">
        <f>IF((AND(VLOOKUP(AJ$1,main!$A$3:$H$102,5,FALSE)-VLOOKUP($A14,main!$A$3:$H$102,6,FALSE)&gt;=(VLOOKUP(VLOOKUP(AJ$1,main!$A$3:$H$102,8,FALSE),main!$K$26:$M$29,2,FALSE)+VLOOKUP(VLOOKUP(AJ$1,main!$A$3:$H$102,7,FALSE),main!$K$19:$O$22,MATCH(VLOOKUP($A14,main!$A$3:$H$102,8,FALSE),main!$K$18:$O$18,0))))),1,0)</f>
        <v>1</v>
      </c>
      <c r="AK14">
        <f>IF((AND(VLOOKUP(AK$1,main!$A$3:$H$102,5,FALSE)-VLOOKUP($A14,main!$A$3:$H$102,6,FALSE)&gt;=(VLOOKUP(VLOOKUP(AK$1,main!$A$3:$H$102,8,FALSE),main!$K$26:$M$29,2,FALSE)+VLOOKUP(VLOOKUP(AK$1,main!$A$3:$H$102,7,FALSE),main!$K$19:$O$22,MATCH(VLOOKUP($A14,main!$A$3:$H$102,8,FALSE),main!$K$18:$O$18,0))))),1,0)</f>
        <v>1</v>
      </c>
      <c r="AL14">
        <f>IF((AND(VLOOKUP(AL$1,main!$A$3:$H$102,5,FALSE)-VLOOKUP($A14,main!$A$3:$H$102,6,FALSE)&gt;=(VLOOKUP(VLOOKUP(AL$1,main!$A$3:$H$102,8,FALSE),main!$K$26:$M$29,2,FALSE)+VLOOKUP(VLOOKUP(AL$1,main!$A$3:$H$102,7,FALSE),main!$K$19:$O$22,MATCH(VLOOKUP($A14,main!$A$3:$H$102,8,FALSE),main!$K$18:$O$18,0))))),1,0)</f>
        <v>1</v>
      </c>
      <c r="AM14">
        <f>IF((AND(VLOOKUP(AM$1,main!$A$3:$H$102,5,FALSE)-VLOOKUP($A14,main!$A$3:$H$102,6,FALSE)&gt;=(VLOOKUP(VLOOKUP(AM$1,main!$A$3:$H$102,8,FALSE),main!$K$26:$M$29,2,FALSE)+VLOOKUP(VLOOKUP(AM$1,main!$A$3:$H$102,7,FALSE),main!$K$19:$O$22,MATCH(VLOOKUP($A14,main!$A$3:$H$102,8,FALSE),main!$K$18:$O$18,0))))),1,0)</f>
        <v>1</v>
      </c>
      <c r="AN14">
        <f>IF((AND(VLOOKUP(AN$1,main!$A$3:$H$102,5,FALSE)-VLOOKUP($A14,main!$A$3:$H$102,6,FALSE)&gt;=(VLOOKUP(VLOOKUP(AN$1,main!$A$3:$H$102,8,FALSE),main!$K$26:$M$29,2,FALSE)+VLOOKUP(VLOOKUP(AN$1,main!$A$3:$H$102,7,FALSE),main!$K$19:$O$22,MATCH(VLOOKUP($A14,main!$A$3:$H$102,8,FALSE),main!$K$18:$O$18,0))))),1,0)</f>
        <v>1</v>
      </c>
      <c r="AO14">
        <f>IF((AND(VLOOKUP(AO$1,main!$A$3:$H$102,5,FALSE)-VLOOKUP($A14,main!$A$3:$H$102,6,FALSE)&gt;=(VLOOKUP(VLOOKUP(AO$1,main!$A$3:$H$102,8,FALSE),main!$K$26:$M$29,2,FALSE)+VLOOKUP(VLOOKUP(AO$1,main!$A$3:$H$102,7,FALSE),main!$K$19:$O$22,MATCH(VLOOKUP($A14,main!$A$3:$H$102,8,FALSE),main!$K$18:$O$18,0))))),1,0)</f>
        <v>0</v>
      </c>
      <c r="AP14">
        <f>IF((AND(VLOOKUP(AP$1,main!$A$3:$H$102,5,FALSE)-VLOOKUP($A14,main!$A$3:$H$102,6,FALSE)&gt;=(VLOOKUP(VLOOKUP(AP$1,main!$A$3:$H$102,8,FALSE),main!$K$26:$M$29,2,FALSE)+VLOOKUP(VLOOKUP(AP$1,main!$A$3:$H$102,7,FALSE),main!$K$19:$O$22,MATCH(VLOOKUP($A14,main!$A$3:$H$102,8,FALSE),main!$K$18:$O$18,0))))),1,0)</f>
        <v>1</v>
      </c>
      <c r="AQ14">
        <f>IF((AND(VLOOKUP(AQ$1,main!$A$3:$H$102,5,FALSE)-VLOOKUP($A14,main!$A$3:$H$102,6,FALSE)&gt;=(VLOOKUP(VLOOKUP(AQ$1,main!$A$3:$H$102,8,FALSE),main!$K$26:$M$29,2,FALSE)+VLOOKUP(VLOOKUP(AQ$1,main!$A$3:$H$102,7,FALSE),main!$K$19:$O$22,MATCH(VLOOKUP($A14,main!$A$3:$H$102,8,FALSE),main!$K$18:$O$18,0))))),1,0)</f>
        <v>0</v>
      </c>
      <c r="AR14">
        <f>IF((AND(VLOOKUP(AR$1,main!$A$3:$H$102,5,FALSE)-VLOOKUP($A14,main!$A$3:$H$102,6,FALSE)&gt;=(VLOOKUP(VLOOKUP(AR$1,main!$A$3:$H$102,8,FALSE),main!$K$26:$M$29,2,FALSE)+VLOOKUP(VLOOKUP(AR$1,main!$A$3:$H$102,7,FALSE),main!$K$19:$O$22,MATCH(VLOOKUP($A14,main!$A$3:$H$102,8,FALSE),main!$K$18:$O$18,0))))),1,0)</f>
        <v>0</v>
      </c>
      <c r="AS14">
        <f>IF((AND(VLOOKUP(AS$1,main!$A$3:$H$102,5,FALSE)-VLOOKUP($A14,main!$A$3:$H$102,6,FALSE)&gt;=(VLOOKUP(VLOOKUP(AS$1,main!$A$3:$H$102,8,FALSE),main!$K$26:$M$29,2,FALSE)+VLOOKUP(VLOOKUP(AS$1,main!$A$3:$H$102,7,FALSE),main!$K$19:$O$22,MATCH(VLOOKUP($A14,main!$A$3:$H$102,8,FALSE),main!$K$18:$O$18,0))))),1,0)</f>
        <v>1</v>
      </c>
      <c r="AT14">
        <f>IF((AND(VLOOKUP(AT$1,main!$A$3:$H$102,5,FALSE)-VLOOKUP($A14,main!$A$3:$H$102,6,FALSE)&gt;=(VLOOKUP(VLOOKUP(AT$1,main!$A$3:$H$102,8,FALSE),main!$K$26:$M$29,2,FALSE)+VLOOKUP(VLOOKUP(AT$1,main!$A$3:$H$102,7,FALSE),main!$K$19:$O$22,MATCH(VLOOKUP($A14,main!$A$3:$H$102,8,FALSE),main!$K$18:$O$18,0))))),1,0)</f>
        <v>1</v>
      </c>
      <c r="AU14">
        <f>IF((AND(VLOOKUP(AU$1,main!$A$3:$H$102,5,FALSE)-VLOOKUP($A14,main!$A$3:$H$102,6,FALSE)&gt;=(VLOOKUP(VLOOKUP(AU$1,main!$A$3:$H$102,8,FALSE),main!$K$26:$M$29,2,FALSE)+VLOOKUP(VLOOKUP(AU$1,main!$A$3:$H$102,7,FALSE),main!$K$19:$O$22,MATCH(VLOOKUP($A14,main!$A$3:$H$102,8,FALSE),main!$K$18:$O$18,0))))),1,0)</f>
        <v>0</v>
      </c>
      <c r="AV14">
        <f>IF((AND(VLOOKUP(AV$1,main!$A$3:$H$102,5,FALSE)-VLOOKUP($A14,main!$A$3:$H$102,6,FALSE)&gt;=(VLOOKUP(VLOOKUP(AV$1,main!$A$3:$H$102,8,FALSE),main!$K$26:$M$29,2,FALSE)+VLOOKUP(VLOOKUP(AV$1,main!$A$3:$H$102,7,FALSE),main!$K$19:$O$22,MATCH(VLOOKUP($A14,main!$A$3:$H$102,8,FALSE),main!$K$18:$O$18,0))))),1,0)</f>
        <v>0</v>
      </c>
      <c r="AW14">
        <f>IF((AND(VLOOKUP(AW$1,main!$A$3:$H$102,5,FALSE)-VLOOKUP($A14,main!$A$3:$H$102,6,FALSE)&gt;=(VLOOKUP(VLOOKUP(AW$1,main!$A$3:$H$102,8,FALSE),main!$K$26:$M$29,2,FALSE)+VLOOKUP(VLOOKUP(AW$1,main!$A$3:$H$102,7,FALSE),main!$K$19:$O$22,MATCH(VLOOKUP($A14,main!$A$3:$H$102,8,FALSE),main!$K$18:$O$18,0))))),1,0)</f>
        <v>1</v>
      </c>
      <c r="AX14">
        <f>IF((AND(VLOOKUP(AX$1,main!$A$3:$H$102,5,FALSE)-VLOOKUP($A14,main!$A$3:$H$102,6,FALSE)&gt;=(VLOOKUP(VLOOKUP(AX$1,main!$A$3:$H$102,8,FALSE),main!$K$26:$M$29,2,FALSE)+VLOOKUP(VLOOKUP(AX$1,main!$A$3:$H$102,7,FALSE),main!$K$19:$O$22,MATCH(VLOOKUP($A14,main!$A$3:$H$102,8,FALSE),main!$K$18:$O$18,0))))),1,0)</f>
        <v>0</v>
      </c>
      <c r="AY14">
        <f>IF((AND(VLOOKUP(AY$1,main!$A$3:$H$102,5,FALSE)-VLOOKUP($A14,main!$A$3:$H$102,6,FALSE)&gt;=(VLOOKUP(VLOOKUP(AY$1,main!$A$3:$H$102,8,FALSE),main!$K$26:$M$29,2,FALSE)+VLOOKUP(VLOOKUP(AY$1,main!$A$3:$H$102,7,FALSE),main!$K$19:$O$22,MATCH(VLOOKUP($A14,main!$A$3:$H$102,8,FALSE),main!$K$18:$O$18,0))))),1,0)</f>
        <v>0</v>
      </c>
      <c r="AZ14">
        <f>IF((AND(VLOOKUP(AZ$1,main!$A$3:$H$102,5,FALSE)-VLOOKUP($A14,main!$A$3:$H$102,6,FALSE)&gt;=(VLOOKUP(VLOOKUP(AZ$1,main!$A$3:$H$102,8,FALSE),main!$K$26:$M$29,2,FALSE)+VLOOKUP(VLOOKUP(AZ$1,main!$A$3:$H$102,7,FALSE),main!$K$19:$O$22,MATCH(VLOOKUP($A14,main!$A$3:$H$102,8,FALSE),main!$K$18:$O$18,0))))),1,0)</f>
        <v>0</v>
      </c>
      <c r="BA14">
        <f>IF((AND(VLOOKUP(BA$1,main!$A$3:$H$102,5,FALSE)-VLOOKUP($A14,main!$A$3:$H$102,6,FALSE)&gt;=(VLOOKUP(VLOOKUP(BA$1,main!$A$3:$H$102,8,FALSE),main!$K$26:$M$29,2,FALSE)+VLOOKUP(VLOOKUP(BA$1,main!$A$3:$H$102,7,FALSE),main!$K$19:$O$22,MATCH(VLOOKUP($A14,main!$A$3:$H$102,8,FALSE),main!$K$18:$O$18,0))))),1,0)</f>
        <v>0</v>
      </c>
      <c r="BB14">
        <f>IF((AND(VLOOKUP(BB$1,main!$A$3:$H$102,5,FALSE)-VLOOKUP($A14,main!$A$3:$H$102,6,FALSE)&gt;=(VLOOKUP(VLOOKUP(BB$1,main!$A$3:$H$102,8,FALSE),main!$K$26:$M$29,2,FALSE)+VLOOKUP(VLOOKUP(BB$1,main!$A$3:$H$102,7,FALSE),main!$K$19:$O$22,MATCH(VLOOKUP($A14,main!$A$3:$H$102,8,FALSE),main!$K$18:$O$18,0))))),1,0)</f>
        <v>1</v>
      </c>
      <c r="BC14">
        <f>IF((AND(VLOOKUP(BC$1,main!$A$3:$H$102,5,FALSE)-VLOOKUP($A14,main!$A$3:$H$102,6,FALSE)&gt;=(VLOOKUP(VLOOKUP(BC$1,main!$A$3:$H$102,8,FALSE),main!$K$26:$M$29,2,FALSE)+VLOOKUP(VLOOKUP(BC$1,main!$A$3:$H$102,7,FALSE),main!$K$19:$O$22,MATCH(VLOOKUP($A14,main!$A$3:$H$102,8,FALSE),main!$K$18:$O$18,0))))),1,0)</f>
        <v>1</v>
      </c>
      <c r="BD14">
        <f>IF((AND(VLOOKUP(BD$1,main!$A$3:$H$102,5,FALSE)-VLOOKUP($A14,main!$A$3:$H$102,6,FALSE)&gt;=(VLOOKUP(VLOOKUP(BD$1,main!$A$3:$H$102,8,FALSE),main!$K$26:$M$29,2,FALSE)+VLOOKUP(VLOOKUP(BD$1,main!$A$3:$H$102,7,FALSE),main!$K$19:$O$22,MATCH(VLOOKUP($A14,main!$A$3:$H$102,8,FALSE),main!$K$18:$O$18,0))))),1,0)</f>
        <v>1</v>
      </c>
      <c r="BE14">
        <f>IF((AND(VLOOKUP(BE$1,main!$A$3:$H$102,5,FALSE)-VLOOKUP($A14,main!$A$3:$H$102,6,FALSE)&gt;=(VLOOKUP(VLOOKUP(BE$1,main!$A$3:$H$102,8,FALSE),main!$K$26:$M$29,2,FALSE)+VLOOKUP(VLOOKUP(BE$1,main!$A$3:$H$102,7,FALSE),main!$K$19:$O$22,MATCH(VLOOKUP($A14,main!$A$3:$H$102,8,FALSE),main!$K$18:$O$18,0))))),1,0)</f>
        <v>1</v>
      </c>
      <c r="BF14">
        <f>IF((AND(VLOOKUP(BF$1,main!$A$3:$H$102,5,FALSE)-VLOOKUP($A14,main!$A$3:$H$102,6,FALSE)&gt;=(VLOOKUP(VLOOKUP(BF$1,main!$A$3:$H$102,8,FALSE),main!$K$26:$M$29,2,FALSE)+VLOOKUP(VLOOKUP(BF$1,main!$A$3:$H$102,7,FALSE),main!$K$19:$O$22,MATCH(VLOOKUP($A14,main!$A$3:$H$102,8,FALSE),main!$K$18:$O$18,0))))),1,0)</f>
        <v>0</v>
      </c>
      <c r="BG14">
        <f>IF((AND(VLOOKUP(BG$1,main!$A$3:$H$102,5,FALSE)-VLOOKUP($A14,main!$A$3:$H$102,6,FALSE)&gt;=(VLOOKUP(VLOOKUP(BG$1,main!$A$3:$H$102,8,FALSE),main!$K$26:$M$29,2,FALSE)+VLOOKUP(VLOOKUP(BG$1,main!$A$3:$H$102,7,FALSE),main!$K$19:$O$22,MATCH(VLOOKUP($A14,main!$A$3:$H$102,8,FALSE),main!$K$18:$O$18,0))))),1,0)</f>
        <v>0</v>
      </c>
      <c r="BH14">
        <f>IF((AND(VLOOKUP(BH$1,main!$A$3:$H$102,5,FALSE)-VLOOKUP($A14,main!$A$3:$H$102,6,FALSE)&gt;=(VLOOKUP(VLOOKUP(BH$1,main!$A$3:$H$102,8,FALSE),main!$K$26:$M$29,2,FALSE)+VLOOKUP(VLOOKUP(BH$1,main!$A$3:$H$102,7,FALSE),main!$K$19:$O$22,MATCH(VLOOKUP($A14,main!$A$3:$H$102,8,FALSE),main!$K$18:$O$18,0))))),1,0)</f>
        <v>1</v>
      </c>
      <c r="BI14">
        <f>IF((AND(VLOOKUP(BI$1,main!$A$3:$H$102,5,FALSE)-VLOOKUP($A14,main!$A$3:$H$102,6,FALSE)&gt;=(VLOOKUP(VLOOKUP(BI$1,main!$A$3:$H$102,8,FALSE),main!$K$26:$M$29,2,FALSE)+VLOOKUP(VLOOKUP(BI$1,main!$A$3:$H$102,7,FALSE),main!$K$19:$O$22,MATCH(VLOOKUP($A14,main!$A$3:$H$102,8,FALSE),main!$K$18:$O$18,0))))),1,0)</f>
        <v>1</v>
      </c>
      <c r="BJ14">
        <f>IF((AND(VLOOKUP(BJ$1,main!$A$3:$H$102,5,FALSE)-VLOOKUP($A14,main!$A$3:$H$102,6,FALSE)&gt;=(VLOOKUP(VLOOKUP(BJ$1,main!$A$3:$H$102,8,FALSE),main!$K$26:$M$29,2,FALSE)+VLOOKUP(VLOOKUP(BJ$1,main!$A$3:$H$102,7,FALSE),main!$K$19:$O$22,MATCH(VLOOKUP($A14,main!$A$3:$H$102,8,FALSE),main!$K$18:$O$18,0))))),1,0)</f>
        <v>1</v>
      </c>
      <c r="BK14">
        <f>IF((AND(VLOOKUP(BK$1,main!$A$3:$H$102,5,FALSE)-VLOOKUP($A14,main!$A$3:$H$102,6,FALSE)&gt;=(VLOOKUP(VLOOKUP(BK$1,main!$A$3:$H$102,8,FALSE),main!$K$26:$M$29,2,FALSE)+VLOOKUP(VLOOKUP(BK$1,main!$A$3:$H$102,7,FALSE),main!$K$19:$O$22,MATCH(VLOOKUP($A14,main!$A$3:$H$102,8,FALSE),main!$K$18:$O$18,0))))),1,0)</f>
        <v>0</v>
      </c>
      <c r="BL14">
        <f>IF((AND(VLOOKUP(BL$1,main!$A$3:$H$102,5,FALSE)-VLOOKUP($A14,main!$A$3:$H$102,6,FALSE)&gt;=(VLOOKUP(VLOOKUP(BL$1,main!$A$3:$H$102,8,FALSE),main!$K$26:$M$29,2,FALSE)+VLOOKUP(VLOOKUP(BL$1,main!$A$3:$H$102,7,FALSE),main!$K$19:$O$22,MATCH(VLOOKUP($A14,main!$A$3:$H$102,8,FALSE),main!$K$18:$O$18,0))))),1,0)</f>
        <v>0</v>
      </c>
      <c r="BM14">
        <f>IF((AND(VLOOKUP(BM$1,main!$A$3:$H$102,5,FALSE)-VLOOKUP($A14,main!$A$3:$H$102,6,FALSE)&gt;=(VLOOKUP(VLOOKUP(BM$1,main!$A$3:$H$102,8,FALSE),main!$K$26:$M$29,2,FALSE)+VLOOKUP(VLOOKUP(BM$1,main!$A$3:$H$102,7,FALSE),main!$K$19:$O$22,MATCH(VLOOKUP($A14,main!$A$3:$H$102,8,FALSE),main!$K$18:$O$18,0))))),1,0)</f>
        <v>0</v>
      </c>
      <c r="BN14">
        <f>IF((AND(VLOOKUP(BN$1,main!$A$3:$H$102,5,FALSE)-VLOOKUP($A14,main!$A$3:$H$102,6,FALSE)&gt;=(VLOOKUP(VLOOKUP(BN$1,main!$A$3:$H$102,8,FALSE),main!$K$26:$M$29,2,FALSE)+VLOOKUP(VLOOKUP(BN$1,main!$A$3:$H$102,7,FALSE),main!$K$19:$O$22,MATCH(VLOOKUP($A14,main!$A$3:$H$102,8,FALSE),main!$K$18:$O$18,0))))),1,0)</f>
        <v>1</v>
      </c>
      <c r="BO14">
        <f>IF((AND(VLOOKUP(BO$1,main!$A$3:$H$102,5,FALSE)-VLOOKUP($A14,main!$A$3:$H$102,6,FALSE)&gt;=(VLOOKUP(VLOOKUP(BO$1,main!$A$3:$H$102,8,FALSE),main!$K$26:$M$29,2,FALSE)+VLOOKUP(VLOOKUP(BO$1,main!$A$3:$H$102,7,FALSE),main!$K$19:$O$22,MATCH(VLOOKUP($A14,main!$A$3:$H$102,8,FALSE),main!$K$18:$O$18,0))))),1,0)</f>
        <v>0</v>
      </c>
      <c r="BP14">
        <f>IF((AND(VLOOKUP(BP$1,main!$A$3:$H$102,5,FALSE)-VLOOKUP($A14,main!$A$3:$H$102,6,FALSE)&gt;=(VLOOKUP(VLOOKUP(BP$1,main!$A$3:$H$102,8,FALSE),main!$K$26:$M$29,2,FALSE)+VLOOKUP(VLOOKUP(BP$1,main!$A$3:$H$102,7,FALSE),main!$K$19:$O$22,MATCH(VLOOKUP($A14,main!$A$3:$H$102,8,FALSE),main!$K$18:$O$18,0))))),1,0)</f>
        <v>0</v>
      </c>
      <c r="BQ14">
        <f>IF((AND(VLOOKUP(BQ$1,main!$A$3:$H$102,5,FALSE)-VLOOKUP($A14,main!$A$3:$H$102,6,FALSE)&gt;=(VLOOKUP(VLOOKUP(BQ$1,main!$A$3:$H$102,8,FALSE),main!$K$26:$M$29,2,FALSE)+VLOOKUP(VLOOKUP(BQ$1,main!$A$3:$H$102,7,FALSE),main!$K$19:$O$22,MATCH(VLOOKUP($A14,main!$A$3:$H$102,8,FALSE),main!$K$18:$O$18,0))))),1,0)</f>
        <v>1</v>
      </c>
      <c r="BR14">
        <f>IF((AND(VLOOKUP(BR$1,main!$A$3:$H$102,5,FALSE)-VLOOKUP($A14,main!$A$3:$H$102,6,FALSE)&gt;=(VLOOKUP(VLOOKUP(BR$1,main!$A$3:$H$102,8,FALSE),main!$K$26:$M$29,2,FALSE)+VLOOKUP(VLOOKUP(BR$1,main!$A$3:$H$102,7,FALSE),main!$K$19:$O$22,MATCH(VLOOKUP($A14,main!$A$3:$H$102,8,FALSE),main!$K$18:$O$18,0))))),1,0)</f>
        <v>1</v>
      </c>
      <c r="BS14">
        <f>IF((AND(VLOOKUP(BS$1,main!$A$3:$H$102,5,FALSE)-VLOOKUP($A14,main!$A$3:$H$102,6,FALSE)&gt;=(VLOOKUP(VLOOKUP(BS$1,main!$A$3:$H$102,8,FALSE),main!$K$26:$M$29,2,FALSE)+VLOOKUP(VLOOKUP(BS$1,main!$A$3:$H$102,7,FALSE),main!$K$19:$O$22,MATCH(VLOOKUP($A14,main!$A$3:$H$102,8,FALSE),main!$K$18:$O$18,0))))),1,0)</f>
        <v>1</v>
      </c>
      <c r="BT14">
        <f>IF((AND(VLOOKUP(BT$1,main!$A$3:$H$102,5,FALSE)-VLOOKUP($A14,main!$A$3:$H$102,6,FALSE)&gt;=(VLOOKUP(VLOOKUP(BT$1,main!$A$3:$H$102,8,FALSE),main!$K$26:$M$29,2,FALSE)+VLOOKUP(VLOOKUP(BT$1,main!$A$3:$H$102,7,FALSE),main!$K$19:$O$22,MATCH(VLOOKUP($A14,main!$A$3:$H$102,8,FALSE),main!$K$18:$O$18,0))))),1,0)</f>
        <v>1</v>
      </c>
      <c r="BU14">
        <f>IF((AND(VLOOKUP(BU$1,main!$A$3:$H$102,5,FALSE)-VLOOKUP($A14,main!$A$3:$H$102,6,FALSE)&gt;=(VLOOKUP(VLOOKUP(BU$1,main!$A$3:$H$102,8,FALSE),main!$K$26:$M$29,2,FALSE)+VLOOKUP(VLOOKUP(BU$1,main!$A$3:$H$102,7,FALSE),main!$K$19:$O$22,MATCH(VLOOKUP($A14,main!$A$3:$H$102,8,FALSE),main!$K$18:$O$18,0))))),1,0)</f>
        <v>0</v>
      </c>
      <c r="BV14">
        <f>IF((AND(VLOOKUP(BV$1,main!$A$3:$H$102,5,FALSE)-VLOOKUP($A14,main!$A$3:$H$102,6,FALSE)&gt;=(VLOOKUP(VLOOKUP(BV$1,main!$A$3:$H$102,8,FALSE),main!$K$26:$M$29,2,FALSE)+VLOOKUP(VLOOKUP(BV$1,main!$A$3:$H$102,7,FALSE),main!$K$19:$O$22,MATCH(VLOOKUP($A14,main!$A$3:$H$102,8,FALSE),main!$K$18:$O$18,0))))),1,0)</f>
        <v>0</v>
      </c>
      <c r="BW14">
        <f>IF((AND(VLOOKUP(BW$1,main!$A$3:$H$102,5,FALSE)-VLOOKUP($A14,main!$A$3:$H$102,6,FALSE)&gt;=(VLOOKUP(VLOOKUP(BW$1,main!$A$3:$H$102,8,FALSE),main!$K$26:$M$29,2,FALSE)+VLOOKUP(VLOOKUP(BW$1,main!$A$3:$H$102,7,FALSE),main!$K$19:$O$22,MATCH(VLOOKUP($A14,main!$A$3:$H$102,8,FALSE),main!$K$18:$O$18,0))))),1,0)</f>
        <v>0</v>
      </c>
      <c r="BX14">
        <f>IF((AND(VLOOKUP(BX$1,main!$A$3:$H$102,5,FALSE)-VLOOKUP($A14,main!$A$3:$H$102,6,FALSE)&gt;=(VLOOKUP(VLOOKUP(BX$1,main!$A$3:$H$102,8,FALSE),main!$K$26:$M$29,2,FALSE)+VLOOKUP(VLOOKUP(BX$1,main!$A$3:$H$102,7,FALSE),main!$K$19:$O$22,MATCH(VLOOKUP($A14,main!$A$3:$H$102,8,FALSE),main!$K$18:$O$18,0))))),1,0)</f>
        <v>1</v>
      </c>
      <c r="BY14">
        <f>IF((AND(VLOOKUP(BY$1,main!$A$3:$H$102,5,FALSE)-VLOOKUP($A14,main!$A$3:$H$102,6,FALSE)&gt;=(VLOOKUP(VLOOKUP(BY$1,main!$A$3:$H$102,8,FALSE),main!$K$26:$M$29,2,FALSE)+VLOOKUP(VLOOKUP(BY$1,main!$A$3:$H$102,7,FALSE),main!$K$19:$O$22,MATCH(VLOOKUP($A14,main!$A$3:$H$102,8,FALSE),main!$K$18:$O$18,0))))),1,0)</f>
        <v>1</v>
      </c>
      <c r="BZ14">
        <f>IF((AND(VLOOKUP(BZ$1,main!$A$3:$H$102,5,FALSE)-VLOOKUP($A14,main!$A$3:$H$102,6,FALSE)&gt;=(VLOOKUP(VLOOKUP(BZ$1,main!$A$3:$H$102,8,FALSE),main!$K$26:$M$29,2,FALSE)+VLOOKUP(VLOOKUP(BZ$1,main!$A$3:$H$102,7,FALSE),main!$K$19:$O$22,MATCH(VLOOKUP($A14,main!$A$3:$H$102,8,FALSE),main!$K$18:$O$18,0))))),1,0)</f>
        <v>0</v>
      </c>
      <c r="CA14">
        <f>IF((AND(VLOOKUP(CA$1,main!$A$3:$H$102,5,FALSE)-VLOOKUP($A14,main!$A$3:$H$102,6,FALSE)&gt;=(VLOOKUP(VLOOKUP(CA$1,main!$A$3:$H$102,8,FALSE),main!$K$26:$M$29,2,FALSE)+VLOOKUP(VLOOKUP(CA$1,main!$A$3:$H$102,7,FALSE),main!$K$19:$O$22,MATCH(VLOOKUP($A14,main!$A$3:$H$102,8,FALSE),main!$K$18:$O$18,0))))),1,0)</f>
        <v>0</v>
      </c>
      <c r="CB14">
        <f>IF((AND(VLOOKUP(CB$1,main!$A$3:$H$102,5,FALSE)-VLOOKUP($A14,main!$A$3:$H$102,6,FALSE)&gt;=(VLOOKUP(VLOOKUP(CB$1,main!$A$3:$H$102,8,FALSE),main!$K$26:$M$29,2,FALSE)+VLOOKUP(VLOOKUP(CB$1,main!$A$3:$H$102,7,FALSE),main!$K$19:$O$22,MATCH(VLOOKUP($A14,main!$A$3:$H$102,8,FALSE),main!$K$18:$O$18,0))))),1,0)</f>
        <v>1</v>
      </c>
      <c r="CC14">
        <f>IF((AND(VLOOKUP(CC$1,main!$A$3:$H$102,5,FALSE)-VLOOKUP($A14,main!$A$3:$H$102,6,FALSE)&gt;=(VLOOKUP(VLOOKUP(CC$1,main!$A$3:$H$102,8,FALSE),main!$K$26:$M$29,2,FALSE)+VLOOKUP(VLOOKUP(CC$1,main!$A$3:$H$102,7,FALSE),main!$K$19:$O$22,MATCH(VLOOKUP($A14,main!$A$3:$H$102,8,FALSE),main!$K$18:$O$18,0))))),1,0)</f>
        <v>1</v>
      </c>
      <c r="CD14">
        <f>IF((AND(VLOOKUP(CD$1,main!$A$3:$H$102,5,FALSE)-VLOOKUP($A14,main!$A$3:$H$102,6,FALSE)&gt;=(VLOOKUP(VLOOKUP(CD$1,main!$A$3:$H$102,8,FALSE),main!$K$26:$M$29,2,FALSE)+VLOOKUP(VLOOKUP(CD$1,main!$A$3:$H$102,7,FALSE),main!$K$19:$O$22,MATCH(VLOOKUP($A14,main!$A$3:$H$102,8,FALSE),main!$K$18:$O$18,0))))),1,0)</f>
        <v>1</v>
      </c>
      <c r="CE14">
        <f>IF((AND(VLOOKUP(CE$1,main!$A$3:$H$102,5,FALSE)-VLOOKUP($A14,main!$A$3:$H$102,6,FALSE)&gt;=(VLOOKUP(VLOOKUP(CE$1,main!$A$3:$H$102,8,FALSE),main!$K$26:$M$29,2,FALSE)+VLOOKUP(VLOOKUP(CE$1,main!$A$3:$H$102,7,FALSE),main!$K$19:$O$22,MATCH(VLOOKUP($A14,main!$A$3:$H$102,8,FALSE),main!$K$18:$O$18,0))))),1,0)</f>
        <v>0</v>
      </c>
      <c r="CF14">
        <f>IF((AND(VLOOKUP(CF$1,main!$A$3:$H$102,5,FALSE)-VLOOKUP($A14,main!$A$3:$H$102,6,FALSE)&gt;=(VLOOKUP(VLOOKUP(CF$1,main!$A$3:$H$102,8,FALSE),main!$K$26:$M$29,2,FALSE)+VLOOKUP(VLOOKUP(CF$1,main!$A$3:$H$102,7,FALSE),main!$K$19:$O$22,MATCH(VLOOKUP($A14,main!$A$3:$H$102,8,FALSE),main!$K$18:$O$18,0))))),1,0)</f>
        <v>0</v>
      </c>
      <c r="CG14">
        <f>IF((AND(VLOOKUP(CG$1,main!$A$3:$H$102,5,FALSE)-VLOOKUP($A14,main!$A$3:$H$102,6,FALSE)&gt;=(VLOOKUP(VLOOKUP(CG$1,main!$A$3:$H$102,8,FALSE),main!$K$26:$M$29,2,FALSE)+VLOOKUP(VLOOKUP(CG$1,main!$A$3:$H$102,7,FALSE),main!$K$19:$O$22,MATCH(VLOOKUP($A14,main!$A$3:$H$102,8,FALSE),main!$K$18:$O$18,0))))),1,0)</f>
        <v>1</v>
      </c>
      <c r="CH14">
        <f>IF((AND(VLOOKUP(CH$1,main!$A$3:$H$102,5,FALSE)-VLOOKUP($A14,main!$A$3:$H$102,6,FALSE)&gt;=(VLOOKUP(VLOOKUP(CH$1,main!$A$3:$H$102,8,FALSE),main!$K$26:$M$29,2,FALSE)+VLOOKUP(VLOOKUP(CH$1,main!$A$3:$H$102,7,FALSE),main!$K$19:$O$22,MATCH(VLOOKUP($A14,main!$A$3:$H$102,8,FALSE),main!$K$18:$O$18,0))))),1,0)</f>
        <v>1</v>
      </c>
      <c r="CI14">
        <f>IF((AND(VLOOKUP(CI$1,main!$A$3:$H$102,5,FALSE)-VLOOKUP($A14,main!$A$3:$H$102,6,FALSE)&gt;=(VLOOKUP(VLOOKUP(CI$1,main!$A$3:$H$102,8,FALSE),main!$K$26:$M$29,2,FALSE)+VLOOKUP(VLOOKUP(CI$1,main!$A$3:$H$102,7,FALSE),main!$K$19:$O$22,MATCH(VLOOKUP($A14,main!$A$3:$H$102,8,FALSE),main!$K$18:$O$18,0))))),1,0)</f>
        <v>1</v>
      </c>
      <c r="CJ14">
        <f>IF((AND(VLOOKUP(CJ$1,main!$A$3:$H$102,5,FALSE)-VLOOKUP($A14,main!$A$3:$H$102,6,FALSE)&gt;=(VLOOKUP(VLOOKUP(CJ$1,main!$A$3:$H$102,8,FALSE),main!$K$26:$M$29,2,FALSE)+VLOOKUP(VLOOKUP(CJ$1,main!$A$3:$H$102,7,FALSE),main!$K$19:$O$22,MATCH(VLOOKUP($A14,main!$A$3:$H$102,8,FALSE),main!$K$18:$O$18,0))))),1,0)</f>
        <v>1</v>
      </c>
      <c r="CK14">
        <f>IF((AND(VLOOKUP(CK$1,main!$A$3:$H$102,5,FALSE)-VLOOKUP($A14,main!$A$3:$H$102,6,FALSE)&gt;=(VLOOKUP(VLOOKUP(CK$1,main!$A$3:$H$102,8,FALSE),main!$K$26:$M$29,2,FALSE)+VLOOKUP(VLOOKUP(CK$1,main!$A$3:$H$102,7,FALSE),main!$K$19:$O$22,MATCH(VLOOKUP($A14,main!$A$3:$H$102,8,FALSE),main!$K$18:$O$18,0))))),1,0)</f>
        <v>0</v>
      </c>
      <c r="CL14">
        <f>IF((AND(VLOOKUP(CL$1,main!$A$3:$H$102,5,FALSE)-VLOOKUP($A14,main!$A$3:$H$102,6,FALSE)&gt;=(VLOOKUP(VLOOKUP(CL$1,main!$A$3:$H$102,8,FALSE),main!$K$26:$M$29,2,FALSE)+VLOOKUP(VLOOKUP(CL$1,main!$A$3:$H$102,7,FALSE),main!$K$19:$O$22,MATCH(VLOOKUP($A14,main!$A$3:$H$102,8,FALSE),main!$K$18:$O$18,0))))),1,0)</f>
        <v>1</v>
      </c>
      <c r="CM14">
        <f>IF((AND(VLOOKUP(CM$1,main!$A$3:$H$102,5,FALSE)-VLOOKUP($A14,main!$A$3:$H$102,6,FALSE)&gt;=(VLOOKUP(VLOOKUP(CM$1,main!$A$3:$H$102,8,FALSE),main!$K$26:$M$29,2,FALSE)+VLOOKUP(VLOOKUP(CM$1,main!$A$3:$H$102,7,FALSE),main!$K$19:$O$22,MATCH(VLOOKUP($A14,main!$A$3:$H$102,8,FALSE),main!$K$18:$O$18,0))))),1,0)</f>
        <v>1</v>
      </c>
      <c r="CN14">
        <f>IF((AND(VLOOKUP(CN$1,main!$A$3:$H$102,5,FALSE)-VLOOKUP($A14,main!$A$3:$H$102,6,FALSE)&gt;=(VLOOKUP(VLOOKUP(CN$1,main!$A$3:$H$102,8,FALSE),main!$K$26:$M$29,2,FALSE)+VLOOKUP(VLOOKUP(CN$1,main!$A$3:$H$102,7,FALSE),main!$K$19:$O$22,MATCH(VLOOKUP($A14,main!$A$3:$H$102,8,FALSE),main!$K$18:$O$18,0))))),1,0)</f>
        <v>1</v>
      </c>
      <c r="CO14">
        <f>IF((AND(VLOOKUP(CO$1,main!$A$3:$H$102,5,FALSE)-VLOOKUP($A14,main!$A$3:$H$102,6,FALSE)&gt;=(VLOOKUP(VLOOKUP(CO$1,main!$A$3:$H$102,8,FALSE),main!$K$26:$M$29,2,FALSE)+VLOOKUP(VLOOKUP(CO$1,main!$A$3:$H$102,7,FALSE),main!$K$19:$O$22,MATCH(VLOOKUP($A14,main!$A$3:$H$102,8,FALSE),main!$K$18:$O$18,0))))),1,0)</f>
        <v>0</v>
      </c>
      <c r="CP14">
        <f>IF((AND(VLOOKUP(CP$1,main!$A$3:$H$102,5,FALSE)-VLOOKUP($A14,main!$A$3:$H$102,6,FALSE)&gt;=(VLOOKUP(VLOOKUP(CP$1,main!$A$3:$H$102,8,FALSE),main!$K$26:$M$29,2,FALSE)+VLOOKUP(VLOOKUP(CP$1,main!$A$3:$H$102,7,FALSE),main!$K$19:$O$22,MATCH(VLOOKUP($A14,main!$A$3:$H$102,8,FALSE),main!$K$18:$O$18,0))))),1,0)</f>
        <v>1</v>
      </c>
      <c r="CQ14">
        <f>IF((AND(VLOOKUP(CQ$1,main!$A$3:$H$102,5,FALSE)-VLOOKUP($A14,main!$A$3:$H$102,6,FALSE)&gt;=(VLOOKUP(VLOOKUP(CQ$1,main!$A$3:$H$102,8,FALSE),main!$K$26:$M$29,2,FALSE)+VLOOKUP(VLOOKUP(CQ$1,main!$A$3:$H$102,7,FALSE),main!$K$19:$O$22,MATCH(VLOOKUP($A14,main!$A$3:$H$102,8,FALSE),main!$K$18:$O$18,0))))),1,0)</f>
        <v>1</v>
      </c>
      <c r="CR14">
        <f>IF((AND(VLOOKUP(CR$1,main!$A$3:$H$102,5,FALSE)-VLOOKUP($A14,main!$A$3:$H$102,6,FALSE)&gt;=(VLOOKUP(VLOOKUP(CR$1,main!$A$3:$H$102,8,FALSE),main!$K$26:$M$29,2,FALSE)+VLOOKUP(VLOOKUP(CR$1,main!$A$3:$H$102,7,FALSE),main!$K$19:$O$22,MATCH(VLOOKUP($A14,main!$A$3:$H$102,8,FALSE),main!$K$18:$O$18,0))))),1,0)</f>
        <v>1</v>
      </c>
      <c r="CS14">
        <f>IF((AND(VLOOKUP(CS$1,main!$A$3:$H$102,5,FALSE)-VLOOKUP($A14,main!$A$3:$H$102,6,FALSE)&gt;=(VLOOKUP(VLOOKUP(CS$1,main!$A$3:$H$102,8,FALSE),main!$K$26:$M$29,2,FALSE)+VLOOKUP(VLOOKUP(CS$1,main!$A$3:$H$102,7,FALSE),main!$K$19:$O$22,MATCH(VLOOKUP($A14,main!$A$3:$H$102,8,FALSE),main!$K$18:$O$18,0))))),1,0)</f>
        <v>1</v>
      </c>
      <c r="CT14">
        <f>IF((AND(VLOOKUP(CT$1,main!$A$3:$H$102,5,FALSE)-VLOOKUP($A14,main!$A$3:$H$102,6,FALSE)&gt;=(VLOOKUP(VLOOKUP(CT$1,main!$A$3:$H$102,8,FALSE),main!$K$26:$M$29,2,FALSE)+VLOOKUP(VLOOKUP(CT$1,main!$A$3:$H$102,7,FALSE),main!$K$19:$O$22,MATCH(VLOOKUP($A14,main!$A$3:$H$102,8,FALSE),main!$K$18:$O$18,0))))),1,0)</f>
        <v>0</v>
      </c>
      <c r="CU14">
        <f>IF((AND(VLOOKUP(CU$1,main!$A$3:$H$102,5,FALSE)-VLOOKUP($A14,main!$A$3:$H$102,6,FALSE)&gt;=(VLOOKUP(VLOOKUP(CU$1,main!$A$3:$H$102,8,FALSE),main!$K$26:$M$29,2,FALSE)+VLOOKUP(VLOOKUP(CU$1,main!$A$3:$H$102,7,FALSE),main!$K$19:$O$22,MATCH(VLOOKUP($A14,main!$A$3:$H$102,8,FALSE),main!$K$18:$O$18,0))))),1,0)</f>
        <v>0</v>
      </c>
      <c r="CV14">
        <f>IF((AND(VLOOKUP(CV$1,main!$A$3:$H$102,5,FALSE)-VLOOKUP($A14,main!$A$3:$H$102,6,FALSE)&gt;=(VLOOKUP(VLOOKUP(CV$1,main!$A$3:$H$102,8,FALSE),main!$K$26:$M$29,2,FALSE)+VLOOKUP(VLOOKUP(CV$1,main!$A$3:$H$102,7,FALSE),main!$K$19:$O$22,MATCH(VLOOKUP($A14,main!$A$3:$H$102,8,FALSE),main!$K$18:$O$18,0))))),1,0)</f>
        <v>1</v>
      </c>
      <c r="CW14">
        <f>IF((AND(VLOOKUP(CW$1,main!$A$3:$H$102,5,FALSE)-VLOOKUP($A14,main!$A$3:$H$102,6,FALSE)&gt;=(VLOOKUP(VLOOKUP(CW$1,main!$A$3:$H$102,8,FALSE),main!$K$26:$M$29,2,FALSE)+VLOOKUP(VLOOKUP(CW$1,main!$A$3:$H$102,7,FALSE),main!$K$19:$O$22,MATCH(VLOOKUP($A14,main!$A$3:$H$102,8,FALSE),main!$K$18:$O$18,0))))),1,0)</f>
        <v>1</v>
      </c>
      <c r="CX14">
        <f>IF((AND(VLOOKUP(CX$1,main!$A$3:$H$102,5,FALSE)-VLOOKUP($A14,main!$A$3:$H$102,6,FALSE)&gt;=(VLOOKUP(VLOOKUP(CX$1,main!$A$3:$H$102,8,FALSE),main!$K$26:$M$29,2,FALSE)+VLOOKUP(VLOOKUP(CX$1,main!$A$3:$H$102,7,FALSE),main!$K$19:$O$22,MATCH(VLOOKUP($A14,main!$A$3:$H$102,8,FALSE),main!$K$18:$O$18,0))))),1,0)</f>
        <v>1</v>
      </c>
    </row>
    <row r="15" spans="1:102" x14ac:dyDescent="0.25">
      <c r="A15" s="1">
        <v>13</v>
      </c>
      <c r="B15">
        <v>1</v>
      </c>
      <c r="C15">
        <f>IF((AND(VLOOKUP(C$1,main!$A$3:$H$102,5,FALSE)-VLOOKUP($A15,main!$A$3:$H$102,6,FALSE)&gt;=(VLOOKUP(VLOOKUP(C$1,main!$A$3:$H$102,8,FALSE),main!$K$26:$M$29,2,FALSE)+VLOOKUP(VLOOKUP(C$1,main!$A$3:$H$102,7,FALSE),main!$K$19:$O$22,MATCH(VLOOKUP($A15,main!$A$3:$H$102,8,FALSE),main!$K$18:$O$18,0))))),1,0)</f>
        <v>0</v>
      </c>
      <c r="D15">
        <f>IF((AND(VLOOKUP(D$1,main!$A$3:$H$102,5,FALSE)-VLOOKUP($A15,main!$A$3:$H$102,6,FALSE)&gt;=(VLOOKUP(VLOOKUP(D$1,main!$A$3:$H$102,8,FALSE),main!$K$26:$M$29,2,FALSE)+VLOOKUP(VLOOKUP(D$1,main!$A$3:$H$102,7,FALSE),main!$K$19:$O$22,MATCH(VLOOKUP($A15,main!$A$3:$H$102,8,FALSE),main!$K$18:$O$18,0))))),1,0)</f>
        <v>0</v>
      </c>
      <c r="E15">
        <f>IF((AND(VLOOKUP(E$1,main!$A$3:$H$102,5,FALSE)-VLOOKUP($A15,main!$A$3:$H$102,6,FALSE)&gt;=(VLOOKUP(VLOOKUP(E$1,main!$A$3:$H$102,8,FALSE),main!$K$26:$M$29,2,FALSE)+VLOOKUP(VLOOKUP(E$1,main!$A$3:$H$102,7,FALSE),main!$K$19:$O$22,MATCH(VLOOKUP($A15,main!$A$3:$H$102,8,FALSE),main!$K$18:$O$18,0))))),1,0)</f>
        <v>0</v>
      </c>
      <c r="F15">
        <f>IF((AND(VLOOKUP(F$1,main!$A$3:$H$102,5,FALSE)-VLOOKUP($A15,main!$A$3:$H$102,6,FALSE)&gt;=(VLOOKUP(VLOOKUP(F$1,main!$A$3:$H$102,8,FALSE),main!$K$26:$M$29,2,FALSE)+VLOOKUP(VLOOKUP(F$1,main!$A$3:$H$102,7,FALSE),main!$K$19:$O$22,MATCH(VLOOKUP($A15,main!$A$3:$H$102,8,FALSE),main!$K$18:$O$18,0))))),1,0)</f>
        <v>0</v>
      </c>
      <c r="G15">
        <f>IF((AND(VLOOKUP(G$1,main!$A$3:$H$102,5,FALSE)-VLOOKUP($A15,main!$A$3:$H$102,6,FALSE)&gt;=(VLOOKUP(VLOOKUP(G$1,main!$A$3:$H$102,8,FALSE),main!$K$26:$M$29,2,FALSE)+VLOOKUP(VLOOKUP(G$1,main!$A$3:$H$102,7,FALSE),main!$K$19:$O$22,MATCH(VLOOKUP($A15,main!$A$3:$H$102,8,FALSE),main!$K$18:$O$18,0))))),1,0)</f>
        <v>1</v>
      </c>
      <c r="H15">
        <f>IF((AND(VLOOKUP(H$1,main!$A$3:$H$102,5,FALSE)-VLOOKUP($A15,main!$A$3:$H$102,6,FALSE)&gt;=(VLOOKUP(VLOOKUP(H$1,main!$A$3:$H$102,8,FALSE),main!$K$26:$M$29,2,FALSE)+VLOOKUP(VLOOKUP(H$1,main!$A$3:$H$102,7,FALSE),main!$K$19:$O$22,MATCH(VLOOKUP($A15,main!$A$3:$H$102,8,FALSE),main!$K$18:$O$18,0))))),1,0)</f>
        <v>1</v>
      </c>
      <c r="I15">
        <f>IF((AND(VLOOKUP(I$1,main!$A$3:$H$102,5,FALSE)-VLOOKUP($A15,main!$A$3:$H$102,6,FALSE)&gt;=(VLOOKUP(VLOOKUP(I$1,main!$A$3:$H$102,8,FALSE),main!$K$26:$M$29,2,FALSE)+VLOOKUP(VLOOKUP(I$1,main!$A$3:$H$102,7,FALSE),main!$K$19:$O$22,MATCH(VLOOKUP($A15,main!$A$3:$H$102,8,FALSE),main!$K$18:$O$18,0))))),1,0)</f>
        <v>1</v>
      </c>
      <c r="J15">
        <f>IF((AND(VLOOKUP(J$1,main!$A$3:$H$102,5,FALSE)-VLOOKUP($A15,main!$A$3:$H$102,6,FALSE)&gt;=(VLOOKUP(VLOOKUP(J$1,main!$A$3:$H$102,8,FALSE),main!$K$26:$M$29,2,FALSE)+VLOOKUP(VLOOKUP(J$1,main!$A$3:$H$102,7,FALSE),main!$K$19:$O$22,MATCH(VLOOKUP($A15,main!$A$3:$H$102,8,FALSE),main!$K$18:$O$18,0))))),1,0)</f>
        <v>1</v>
      </c>
      <c r="K15">
        <f>IF((AND(VLOOKUP(K$1,main!$A$3:$H$102,5,FALSE)-VLOOKUP($A15,main!$A$3:$H$102,6,FALSE)&gt;=(VLOOKUP(VLOOKUP(K$1,main!$A$3:$H$102,8,FALSE),main!$K$26:$M$29,2,FALSE)+VLOOKUP(VLOOKUP(K$1,main!$A$3:$H$102,7,FALSE),main!$K$19:$O$22,MATCH(VLOOKUP($A15,main!$A$3:$H$102,8,FALSE),main!$K$18:$O$18,0))))),1,0)</f>
        <v>1</v>
      </c>
      <c r="L15">
        <f>IF((AND(VLOOKUP(L$1,main!$A$3:$H$102,5,FALSE)-VLOOKUP($A15,main!$A$3:$H$102,6,FALSE)&gt;=(VLOOKUP(VLOOKUP(L$1,main!$A$3:$H$102,8,FALSE),main!$K$26:$M$29,2,FALSE)+VLOOKUP(VLOOKUP(L$1,main!$A$3:$H$102,7,FALSE),main!$K$19:$O$22,MATCH(VLOOKUP($A15,main!$A$3:$H$102,8,FALSE),main!$K$18:$O$18,0))))),1,0)</f>
        <v>1</v>
      </c>
      <c r="M15">
        <f>IF((AND(VLOOKUP(M$1,main!$A$3:$H$102,5,FALSE)-VLOOKUP($A15,main!$A$3:$H$102,6,FALSE)&gt;=(VLOOKUP(VLOOKUP(M$1,main!$A$3:$H$102,8,FALSE),main!$K$26:$M$29,2,FALSE)+VLOOKUP(VLOOKUP(M$1,main!$A$3:$H$102,7,FALSE),main!$K$19:$O$22,MATCH(VLOOKUP($A15,main!$A$3:$H$102,8,FALSE),main!$K$18:$O$18,0))))),1,0)</f>
        <v>0</v>
      </c>
      <c r="N15">
        <f>IF((AND(VLOOKUP(N$1,main!$A$3:$H$102,5,FALSE)-VLOOKUP($A15,main!$A$3:$H$102,6,FALSE)&gt;=(VLOOKUP(VLOOKUP(N$1,main!$A$3:$H$102,8,FALSE),main!$K$26:$M$29,2,FALSE)+VLOOKUP(VLOOKUP(N$1,main!$A$3:$H$102,7,FALSE),main!$K$19:$O$22,MATCH(VLOOKUP($A15,main!$A$3:$H$102,8,FALSE),main!$K$18:$O$18,0))))),1,0)</f>
        <v>0</v>
      </c>
      <c r="O15">
        <f>IF((AND(VLOOKUP(O$1,main!$A$3:$H$102,5,FALSE)-VLOOKUP($A15,main!$A$3:$H$102,6,FALSE)&gt;=(VLOOKUP(VLOOKUP(O$1,main!$A$3:$H$102,8,FALSE),main!$K$26:$M$29,2,FALSE)+VLOOKUP(VLOOKUP(O$1,main!$A$3:$H$102,7,FALSE),main!$K$19:$O$22,MATCH(VLOOKUP($A15,main!$A$3:$H$102,8,FALSE),main!$K$18:$O$18,0))))),1,0)</f>
        <v>0</v>
      </c>
      <c r="P15">
        <f>IF((AND(VLOOKUP(P$1,main!$A$3:$H$102,5,FALSE)-VLOOKUP($A15,main!$A$3:$H$102,6,FALSE)&gt;=(VLOOKUP(VLOOKUP(P$1,main!$A$3:$H$102,8,FALSE),main!$K$26:$M$29,2,FALSE)+VLOOKUP(VLOOKUP(P$1,main!$A$3:$H$102,7,FALSE),main!$K$19:$O$22,MATCH(VLOOKUP($A15,main!$A$3:$H$102,8,FALSE),main!$K$18:$O$18,0))))),1,0)</f>
        <v>0</v>
      </c>
      <c r="Q15">
        <f>IF((AND(VLOOKUP(Q$1,main!$A$3:$H$102,5,FALSE)-VLOOKUP($A15,main!$A$3:$H$102,6,FALSE)&gt;=(VLOOKUP(VLOOKUP(Q$1,main!$A$3:$H$102,8,FALSE),main!$K$26:$M$29,2,FALSE)+VLOOKUP(VLOOKUP(Q$1,main!$A$3:$H$102,7,FALSE),main!$K$19:$O$22,MATCH(VLOOKUP($A15,main!$A$3:$H$102,8,FALSE),main!$K$18:$O$18,0))))),1,0)</f>
        <v>0</v>
      </c>
      <c r="R15">
        <f>IF((AND(VLOOKUP(R$1,main!$A$3:$H$102,5,FALSE)-VLOOKUP($A15,main!$A$3:$H$102,6,FALSE)&gt;=(VLOOKUP(VLOOKUP(R$1,main!$A$3:$H$102,8,FALSE),main!$K$26:$M$29,2,FALSE)+VLOOKUP(VLOOKUP(R$1,main!$A$3:$H$102,7,FALSE),main!$K$19:$O$22,MATCH(VLOOKUP($A15,main!$A$3:$H$102,8,FALSE),main!$K$18:$O$18,0))))),1,0)</f>
        <v>1</v>
      </c>
      <c r="S15">
        <f>IF((AND(VLOOKUP(S$1,main!$A$3:$H$102,5,FALSE)-VLOOKUP($A15,main!$A$3:$H$102,6,FALSE)&gt;=(VLOOKUP(VLOOKUP(S$1,main!$A$3:$H$102,8,FALSE),main!$K$26:$M$29,2,FALSE)+VLOOKUP(VLOOKUP(S$1,main!$A$3:$H$102,7,FALSE),main!$K$19:$O$22,MATCH(VLOOKUP($A15,main!$A$3:$H$102,8,FALSE),main!$K$18:$O$18,0))))),1,0)</f>
        <v>1</v>
      </c>
      <c r="T15">
        <f>IF((AND(VLOOKUP(T$1,main!$A$3:$H$102,5,FALSE)-VLOOKUP($A15,main!$A$3:$H$102,6,FALSE)&gt;=(VLOOKUP(VLOOKUP(T$1,main!$A$3:$H$102,8,FALSE),main!$K$26:$M$29,2,FALSE)+VLOOKUP(VLOOKUP(T$1,main!$A$3:$H$102,7,FALSE),main!$K$19:$O$22,MATCH(VLOOKUP($A15,main!$A$3:$H$102,8,FALSE),main!$K$18:$O$18,0))))),1,0)</f>
        <v>1</v>
      </c>
      <c r="U15">
        <f>IF((AND(VLOOKUP(U$1,main!$A$3:$H$102,5,FALSE)-VLOOKUP($A15,main!$A$3:$H$102,6,FALSE)&gt;=(VLOOKUP(VLOOKUP(U$1,main!$A$3:$H$102,8,FALSE),main!$K$26:$M$29,2,FALSE)+VLOOKUP(VLOOKUP(U$1,main!$A$3:$H$102,7,FALSE),main!$K$19:$O$22,MATCH(VLOOKUP($A15,main!$A$3:$H$102,8,FALSE),main!$K$18:$O$18,0))))),1,0)</f>
        <v>1</v>
      </c>
      <c r="V15">
        <f>IF((AND(VLOOKUP(V$1,main!$A$3:$H$102,5,FALSE)-VLOOKUP($A15,main!$A$3:$H$102,6,FALSE)&gt;=(VLOOKUP(VLOOKUP(V$1,main!$A$3:$H$102,8,FALSE),main!$K$26:$M$29,2,FALSE)+VLOOKUP(VLOOKUP(V$1,main!$A$3:$H$102,7,FALSE),main!$K$19:$O$22,MATCH(VLOOKUP($A15,main!$A$3:$H$102,8,FALSE),main!$K$18:$O$18,0))))),1,0)</f>
        <v>1</v>
      </c>
      <c r="W15">
        <f>IF((AND(VLOOKUP(W$1,main!$A$3:$H$102,5,FALSE)-VLOOKUP($A15,main!$A$3:$H$102,6,FALSE)&gt;=(VLOOKUP(VLOOKUP(W$1,main!$A$3:$H$102,8,FALSE),main!$K$26:$M$29,2,FALSE)+VLOOKUP(VLOOKUP(W$1,main!$A$3:$H$102,7,FALSE),main!$K$19:$O$22,MATCH(VLOOKUP($A15,main!$A$3:$H$102,8,FALSE),main!$K$18:$O$18,0))))),1,0)</f>
        <v>0</v>
      </c>
      <c r="X15">
        <f>IF((AND(VLOOKUP(X$1,main!$A$3:$H$102,5,FALSE)-VLOOKUP($A15,main!$A$3:$H$102,6,FALSE)&gt;=(VLOOKUP(VLOOKUP(X$1,main!$A$3:$H$102,8,FALSE),main!$K$26:$M$29,2,FALSE)+VLOOKUP(VLOOKUP(X$1,main!$A$3:$H$102,7,FALSE),main!$K$19:$O$22,MATCH(VLOOKUP($A15,main!$A$3:$H$102,8,FALSE),main!$K$18:$O$18,0))))),1,0)</f>
        <v>0</v>
      </c>
      <c r="Y15">
        <f>IF((AND(VLOOKUP(Y$1,main!$A$3:$H$102,5,FALSE)-VLOOKUP($A15,main!$A$3:$H$102,6,FALSE)&gt;=(VLOOKUP(VLOOKUP(Y$1,main!$A$3:$H$102,8,FALSE),main!$K$26:$M$29,2,FALSE)+VLOOKUP(VLOOKUP(Y$1,main!$A$3:$H$102,7,FALSE),main!$K$19:$O$22,MATCH(VLOOKUP($A15,main!$A$3:$H$102,8,FALSE),main!$K$18:$O$18,0))))),1,0)</f>
        <v>1</v>
      </c>
      <c r="Z15">
        <f>IF((AND(VLOOKUP(Z$1,main!$A$3:$H$102,5,FALSE)-VLOOKUP($A15,main!$A$3:$H$102,6,FALSE)&gt;=(VLOOKUP(VLOOKUP(Z$1,main!$A$3:$H$102,8,FALSE),main!$K$26:$M$29,2,FALSE)+VLOOKUP(VLOOKUP(Z$1,main!$A$3:$H$102,7,FALSE),main!$K$19:$O$22,MATCH(VLOOKUP($A15,main!$A$3:$H$102,8,FALSE),main!$K$18:$O$18,0))))),1,0)</f>
        <v>1</v>
      </c>
      <c r="AA15">
        <f>IF((AND(VLOOKUP(AA$1,main!$A$3:$H$102,5,FALSE)-VLOOKUP($A15,main!$A$3:$H$102,6,FALSE)&gt;=(VLOOKUP(VLOOKUP(AA$1,main!$A$3:$H$102,8,FALSE),main!$K$26:$M$29,2,FALSE)+VLOOKUP(VLOOKUP(AA$1,main!$A$3:$H$102,7,FALSE),main!$K$19:$O$22,MATCH(VLOOKUP($A15,main!$A$3:$H$102,8,FALSE),main!$K$18:$O$18,0))))),1,0)</f>
        <v>1</v>
      </c>
      <c r="AB15">
        <f>IF((AND(VLOOKUP(AB$1,main!$A$3:$H$102,5,FALSE)-VLOOKUP($A15,main!$A$3:$H$102,6,FALSE)&gt;=(VLOOKUP(VLOOKUP(AB$1,main!$A$3:$H$102,8,FALSE),main!$K$26:$M$29,2,FALSE)+VLOOKUP(VLOOKUP(AB$1,main!$A$3:$H$102,7,FALSE),main!$K$19:$O$22,MATCH(VLOOKUP($A15,main!$A$3:$H$102,8,FALSE),main!$K$18:$O$18,0))))),1,0)</f>
        <v>0</v>
      </c>
      <c r="AC15">
        <f>IF((AND(VLOOKUP(AC$1,main!$A$3:$H$102,5,FALSE)-VLOOKUP($A15,main!$A$3:$H$102,6,FALSE)&gt;=(VLOOKUP(VLOOKUP(AC$1,main!$A$3:$H$102,8,FALSE),main!$K$26:$M$29,2,FALSE)+VLOOKUP(VLOOKUP(AC$1,main!$A$3:$H$102,7,FALSE),main!$K$19:$O$22,MATCH(VLOOKUP($A15,main!$A$3:$H$102,8,FALSE),main!$K$18:$O$18,0))))),1,0)</f>
        <v>0</v>
      </c>
      <c r="AD15">
        <f>IF((AND(VLOOKUP(AD$1,main!$A$3:$H$102,5,FALSE)-VLOOKUP($A15,main!$A$3:$H$102,6,FALSE)&gt;=(VLOOKUP(VLOOKUP(AD$1,main!$A$3:$H$102,8,FALSE),main!$K$26:$M$29,2,FALSE)+VLOOKUP(VLOOKUP(AD$1,main!$A$3:$H$102,7,FALSE),main!$K$19:$O$22,MATCH(VLOOKUP($A15,main!$A$3:$H$102,8,FALSE),main!$K$18:$O$18,0))))),1,0)</f>
        <v>0</v>
      </c>
      <c r="AE15">
        <f>IF((AND(VLOOKUP(AE$1,main!$A$3:$H$102,5,FALSE)-VLOOKUP($A15,main!$A$3:$H$102,6,FALSE)&gt;=(VLOOKUP(VLOOKUP(AE$1,main!$A$3:$H$102,8,FALSE),main!$K$26:$M$29,2,FALSE)+VLOOKUP(VLOOKUP(AE$1,main!$A$3:$H$102,7,FALSE),main!$K$19:$O$22,MATCH(VLOOKUP($A15,main!$A$3:$H$102,8,FALSE),main!$K$18:$O$18,0))))),1,0)</f>
        <v>1</v>
      </c>
      <c r="AF15">
        <f>IF((AND(VLOOKUP(AF$1,main!$A$3:$H$102,5,FALSE)-VLOOKUP($A15,main!$A$3:$H$102,6,FALSE)&gt;=(VLOOKUP(VLOOKUP(AF$1,main!$A$3:$H$102,8,FALSE),main!$K$26:$M$29,2,FALSE)+VLOOKUP(VLOOKUP(AF$1,main!$A$3:$H$102,7,FALSE),main!$K$19:$O$22,MATCH(VLOOKUP($A15,main!$A$3:$H$102,8,FALSE),main!$K$18:$O$18,0))))),1,0)</f>
        <v>1</v>
      </c>
      <c r="AG15">
        <f>IF((AND(VLOOKUP(AG$1,main!$A$3:$H$102,5,FALSE)-VLOOKUP($A15,main!$A$3:$H$102,6,FALSE)&gt;=(VLOOKUP(VLOOKUP(AG$1,main!$A$3:$H$102,8,FALSE),main!$K$26:$M$29,2,FALSE)+VLOOKUP(VLOOKUP(AG$1,main!$A$3:$H$102,7,FALSE),main!$K$19:$O$22,MATCH(VLOOKUP($A15,main!$A$3:$H$102,8,FALSE),main!$K$18:$O$18,0))))),1,0)</f>
        <v>0</v>
      </c>
      <c r="AH15">
        <f>IF((AND(VLOOKUP(AH$1,main!$A$3:$H$102,5,FALSE)-VLOOKUP($A15,main!$A$3:$H$102,6,FALSE)&gt;=(VLOOKUP(VLOOKUP(AH$1,main!$A$3:$H$102,8,FALSE),main!$K$26:$M$29,2,FALSE)+VLOOKUP(VLOOKUP(AH$1,main!$A$3:$H$102,7,FALSE),main!$K$19:$O$22,MATCH(VLOOKUP($A15,main!$A$3:$H$102,8,FALSE),main!$K$18:$O$18,0))))),1,0)</f>
        <v>0</v>
      </c>
      <c r="AI15">
        <f>IF((AND(VLOOKUP(AI$1,main!$A$3:$H$102,5,FALSE)-VLOOKUP($A15,main!$A$3:$H$102,6,FALSE)&gt;=(VLOOKUP(VLOOKUP(AI$1,main!$A$3:$H$102,8,FALSE),main!$K$26:$M$29,2,FALSE)+VLOOKUP(VLOOKUP(AI$1,main!$A$3:$H$102,7,FALSE),main!$K$19:$O$22,MATCH(VLOOKUP($A15,main!$A$3:$H$102,8,FALSE),main!$K$18:$O$18,0))))),1,0)</f>
        <v>0</v>
      </c>
      <c r="AJ15">
        <f>IF((AND(VLOOKUP(AJ$1,main!$A$3:$H$102,5,FALSE)-VLOOKUP($A15,main!$A$3:$H$102,6,FALSE)&gt;=(VLOOKUP(VLOOKUP(AJ$1,main!$A$3:$H$102,8,FALSE),main!$K$26:$M$29,2,FALSE)+VLOOKUP(VLOOKUP(AJ$1,main!$A$3:$H$102,7,FALSE),main!$K$19:$O$22,MATCH(VLOOKUP($A15,main!$A$3:$H$102,8,FALSE),main!$K$18:$O$18,0))))),1,0)</f>
        <v>1</v>
      </c>
      <c r="AK15">
        <f>IF((AND(VLOOKUP(AK$1,main!$A$3:$H$102,5,FALSE)-VLOOKUP($A15,main!$A$3:$H$102,6,FALSE)&gt;=(VLOOKUP(VLOOKUP(AK$1,main!$A$3:$H$102,8,FALSE),main!$K$26:$M$29,2,FALSE)+VLOOKUP(VLOOKUP(AK$1,main!$A$3:$H$102,7,FALSE),main!$K$19:$O$22,MATCH(VLOOKUP($A15,main!$A$3:$H$102,8,FALSE),main!$K$18:$O$18,0))))),1,0)</f>
        <v>1</v>
      </c>
      <c r="AL15">
        <f>IF((AND(VLOOKUP(AL$1,main!$A$3:$H$102,5,FALSE)-VLOOKUP($A15,main!$A$3:$H$102,6,FALSE)&gt;=(VLOOKUP(VLOOKUP(AL$1,main!$A$3:$H$102,8,FALSE),main!$K$26:$M$29,2,FALSE)+VLOOKUP(VLOOKUP(AL$1,main!$A$3:$H$102,7,FALSE),main!$K$19:$O$22,MATCH(VLOOKUP($A15,main!$A$3:$H$102,8,FALSE),main!$K$18:$O$18,0))))),1,0)</f>
        <v>1</v>
      </c>
      <c r="AM15">
        <f>IF((AND(VLOOKUP(AM$1,main!$A$3:$H$102,5,FALSE)-VLOOKUP($A15,main!$A$3:$H$102,6,FALSE)&gt;=(VLOOKUP(VLOOKUP(AM$1,main!$A$3:$H$102,8,FALSE),main!$K$26:$M$29,2,FALSE)+VLOOKUP(VLOOKUP(AM$1,main!$A$3:$H$102,7,FALSE),main!$K$19:$O$22,MATCH(VLOOKUP($A15,main!$A$3:$H$102,8,FALSE),main!$K$18:$O$18,0))))),1,0)</f>
        <v>1</v>
      </c>
      <c r="AN15">
        <f>IF((AND(VLOOKUP(AN$1,main!$A$3:$H$102,5,FALSE)-VLOOKUP($A15,main!$A$3:$H$102,6,FALSE)&gt;=(VLOOKUP(VLOOKUP(AN$1,main!$A$3:$H$102,8,FALSE),main!$K$26:$M$29,2,FALSE)+VLOOKUP(VLOOKUP(AN$1,main!$A$3:$H$102,7,FALSE),main!$K$19:$O$22,MATCH(VLOOKUP($A15,main!$A$3:$H$102,8,FALSE),main!$K$18:$O$18,0))))),1,0)</f>
        <v>1</v>
      </c>
      <c r="AO15">
        <f>IF((AND(VLOOKUP(AO$1,main!$A$3:$H$102,5,FALSE)-VLOOKUP($A15,main!$A$3:$H$102,6,FALSE)&gt;=(VLOOKUP(VLOOKUP(AO$1,main!$A$3:$H$102,8,FALSE),main!$K$26:$M$29,2,FALSE)+VLOOKUP(VLOOKUP(AO$1,main!$A$3:$H$102,7,FALSE),main!$K$19:$O$22,MATCH(VLOOKUP($A15,main!$A$3:$H$102,8,FALSE),main!$K$18:$O$18,0))))),1,0)</f>
        <v>0</v>
      </c>
      <c r="AP15">
        <f>IF((AND(VLOOKUP(AP$1,main!$A$3:$H$102,5,FALSE)-VLOOKUP($A15,main!$A$3:$H$102,6,FALSE)&gt;=(VLOOKUP(VLOOKUP(AP$1,main!$A$3:$H$102,8,FALSE),main!$K$26:$M$29,2,FALSE)+VLOOKUP(VLOOKUP(AP$1,main!$A$3:$H$102,7,FALSE),main!$K$19:$O$22,MATCH(VLOOKUP($A15,main!$A$3:$H$102,8,FALSE),main!$K$18:$O$18,0))))),1,0)</f>
        <v>1</v>
      </c>
      <c r="AQ15">
        <f>IF((AND(VLOOKUP(AQ$1,main!$A$3:$H$102,5,FALSE)-VLOOKUP($A15,main!$A$3:$H$102,6,FALSE)&gt;=(VLOOKUP(VLOOKUP(AQ$1,main!$A$3:$H$102,8,FALSE),main!$K$26:$M$29,2,FALSE)+VLOOKUP(VLOOKUP(AQ$1,main!$A$3:$H$102,7,FALSE),main!$K$19:$O$22,MATCH(VLOOKUP($A15,main!$A$3:$H$102,8,FALSE),main!$K$18:$O$18,0))))),1,0)</f>
        <v>0</v>
      </c>
      <c r="AR15">
        <f>IF((AND(VLOOKUP(AR$1,main!$A$3:$H$102,5,FALSE)-VLOOKUP($A15,main!$A$3:$H$102,6,FALSE)&gt;=(VLOOKUP(VLOOKUP(AR$1,main!$A$3:$H$102,8,FALSE),main!$K$26:$M$29,2,FALSE)+VLOOKUP(VLOOKUP(AR$1,main!$A$3:$H$102,7,FALSE),main!$K$19:$O$22,MATCH(VLOOKUP($A15,main!$A$3:$H$102,8,FALSE),main!$K$18:$O$18,0))))),1,0)</f>
        <v>0</v>
      </c>
      <c r="AS15">
        <f>IF((AND(VLOOKUP(AS$1,main!$A$3:$H$102,5,FALSE)-VLOOKUP($A15,main!$A$3:$H$102,6,FALSE)&gt;=(VLOOKUP(VLOOKUP(AS$1,main!$A$3:$H$102,8,FALSE),main!$K$26:$M$29,2,FALSE)+VLOOKUP(VLOOKUP(AS$1,main!$A$3:$H$102,7,FALSE),main!$K$19:$O$22,MATCH(VLOOKUP($A15,main!$A$3:$H$102,8,FALSE),main!$K$18:$O$18,0))))),1,0)</f>
        <v>1</v>
      </c>
      <c r="AT15">
        <f>IF((AND(VLOOKUP(AT$1,main!$A$3:$H$102,5,FALSE)-VLOOKUP($A15,main!$A$3:$H$102,6,FALSE)&gt;=(VLOOKUP(VLOOKUP(AT$1,main!$A$3:$H$102,8,FALSE),main!$K$26:$M$29,2,FALSE)+VLOOKUP(VLOOKUP(AT$1,main!$A$3:$H$102,7,FALSE),main!$K$19:$O$22,MATCH(VLOOKUP($A15,main!$A$3:$H$102,8,FALSE),main!$K$18:$O$18,0))))),1,0)</f>
        <v>1</v>
      </c>
      <c r="AU15">
        <f>IF((AND(VLOOKUP(AU$1,main!$A$3:$H$102,5,FALSE)-VLOOKUP($A15,main!$A$3:$H$102,6,FALSE)&gt;=(VLOOKUP(VLOOKUP(AU$1,main!$A$3:$H$102,8,FALSE),main!$K$26:$M$29,2,FALSE)+VLOOKUP(VLOOKUP(AU$1,main!$A$3:$H$102,7,FALSE),main!$K$19:$O$22,MATCH(VLOOKUP($A15,main!$A$3:$H$102,8,FALSE),main!$K$18:$O$18,0))))),1,0)</f>
        <v>0</v>
      </c>
      <c r="AV15">
        <f>IF((AND(VLOOKUP(AV$1,main!$A$3:$H$102,5,FALSE)-VLOOKUP($A15,main!$A$3:$H$102,6,FALSE)&gt;=(VLOOKUP(VLOOKUP(AV$1,main!$A$3:$H$102,8,FALSE),main!$K$26:$M$29,2,FALSE)+VLOOKUP(VLOOKUP(AV$1,main!$A$3:$H$102,7,FALSE),main!$K$19:$O$22,MATCH(VLOOKUP($A15,main!$A$3:$H$102,8,FALSE),main!$K$18:$O$18,0))))),1,0)</f>
        <v>0</v>
      </c>
      <c r="AW15">
        <f>IF((AND(VLOOKUP(AW$1,main!$A$3:$H$102,5,FALSE)-VLOOKUP($A15,main!$A$3:$H$102,6,FALSE)&gt;=(VLOOKUP(VLOOKUP(AW$1,main!$A$3:$H$102,8,FALSE),main!$K$26:$M$29,2,FALSE)+VLOOKUP(VLOOKUP(AW$1,main!$A$3:$H$102,7,FALSE),main!$K$19:$O$22,MATCH(VLOOKUP($A15,main!$A$3:$H$102,8,FALSE),main!$K$18:$O$18,0))))),1,0)</f>
        <v>1</v>
      </c>
      <c r="AX15">
        <f>IF((AND(VLOOKUP(AX$1,main!$A$3:$H$102,5,FALSE)-VLOOKUP($A15,main!$A$3:$H$102,6,FALSE)&gt;=(VLOOKUP(VLOOKUP(AX$1,main!$A$3:$H$102,8,FALSE),main!$K$26:$M$29,2,FALSE)+VLOOKUP(VLOOKUP(AX$1,main!$A$3:$H$102,7,FALSE),main!$K$19:$O$22,MATCH(VLOOKUP($A15,main!$A$3:$H$102,8,FALSE),main!$K$18:$O$18,0))))),1,0)</f>
        <v>0</v>
      </c>
      <c r="AY15">
        <f>IF((AND(VLOOKUP(AY$1,main!$A$3:$H$102,5,FALSE)-VLOOKUP($A15,main!$A$3:$H$102,6,FALSE)&gt;=(VLOOKUP(VLOOKUP(AY$1,main!$A$3:$H$102,8,FALSE),main!$K$26:$M$29,2,FALSE)+VLOOKUP(VLOOKUP(AY$1,main!$A$3:$H$102,7,FALSE),main!$K$19:$O$22,MATCH(VLOOKUP($A15,main!$A$3:$H$102,8,FALSE),main!$K$18:$O$18,0))))),1,0)</f>
        <v>0</v>
      </c>
      <c r="AZ15">
        <f>IF((AND(VLOOKUP(AZ$1,main!$A$3:$H$102,5,FALSE)-VLOOKUP($A15,main!$A$3:$H$102,6,FALSE)&gt;=(VLOOKUP(VLOOKUP(AZ$1,main!$A$3:$H$102,8,FALSE),main!$K$26:$M$29,2,FALSE)+VLOOKUP(VLOOKUP(AZ$1,main!$A$3:$H$102,7,FALSE),main!$K$19:$O$22,MATCH(VLOOKUP($A15,main!$A$3:$H$102,8,FALSE),main!$K$18:$O$18,0))))),1,0)</f>
        <v>0</v>
      </c>
      <c r="BA15">
        <f>IF((AND(VLOOKUP(BA$1,main!$A$3:$H$102,5,FALSE)-VLOOKUP($A15,main!$A$3:$H$102,6,FALSE)&gt;=(VLOOKUP(VLOOKUP(BA$1,main!$A$3:$H$102,8,FALSE),main!$K$26:$M$29,2,FALSE)+VLOOKUP(VLOOKUP(BA$1,main!$A$3:$H$102,7,FALSE),main!$K$19:$O$22,MATCH(VLOOKUP($A15,main!$A$3:$H$102,8,FALSE),main!$K$18:$O$18,0))))),1,0)</f>
        <v>0</v>
      </c>
      <c r="BB15">
        <f>IF((AND(VLOOKUP(BB$1,main!$A$3:$H$102,5,FALSE)-VLOOKUP($A15,main!$A$3:$H$102,6,FALSE)&gt;=(VLOOKUP(VLOOKUP(BB$1,main!$A$3:$H$102,8,FALSE),main!$K$26:$M$29,2,FALSE)+VLOOKUP(VLOOKUP(BB$1,main!$A$3:$H$102,7,FALSE),main!$K$19:$O$22,MATCH(VLOOKUP($A15,main!$A$3:$H$102,8,FALSE),main!$K$18:$O$18,0))))),1,0)</f>
        <v>0</v>
      </c>
      <c r="BC15">
        <f>IF((AND(VLOOKUP(BC$1,main!$A$3:$H$102,5,FALSE)-VLOOKUP($A15,main!$A$3:$H$102,6,FALSE)&gt;=(VLOOKUP(VLOOKUP(BC$1,main!$A$3:$H$102,8,FALSE),main!$K$26:$M$29,2,FALSE)+VLOOKUP(VLOOKUP(BC$1,main!$A$3:$H$102,7,FALSE),main!$K$19:$O$22,MATCH(VLOOKUP($A15,main!$A$3:$H$102,8,FALSE),main!$K$18:$O$18,0))))),1,0)</f>
        <v>1</v>
      </c>
      <c r="BD15">
        <f>IF((AND(VLOOKUP(BD$1,main!$A$3:$H$102,5,FALSE)-VLOOKUP($A15,main!$A$3:$H$102,6,FALSE)&gt;=(VLOOKUP(VLOOKUP(BD$1,main!$A$3:$H$102,8,FALSE),main!$K$26:$M$29,2,FALSE)+VLOOKUP(VLOOKUP(BD$1,main!$A$3:$H$102,7,FALSE),main!$K$19:$O$22,MATCH(VLOOKUP($A15,main!$A$3:$H$102,8,FALSE),main!$K$18:$O$18,0))))),1,0)</f>
        <v>1</v>
      </c>
      <c r="BE15">
        <f>IF((AND(VLOOKUP(BE$1,main!$A$3:$H$102,5,FALSE)-VLOOKUP($A15,main!$A$3:$H$102,6,FALSE)&gt;=(VLOOKUP(VLOOKUP(BE$1,main!$A$3:$H$102,8,FALSE),main!$K$26:$M$29,2,FALSE)+VLOOKUP(VLOOKUP(BE$1,main!$A$3:$H$102,7,FALSE),main!$K$19:$O$22,MATCH(VLOOKUP($A15,main!$A$3:$H$102,8,FALSE),main!$K$18:$O$18,0))))),1,0)</f>
        <v>1</v>
      </c>
      <c r="BF15">
        <f>IF((AND(VLOOKUP(BF$1,main!$A$3:$H$102,5,FALSE)-VLOOKUP($A15,main!$A$3:$H$102,6,FALSE)&gt;=(VLOOKUP(VLOOKUP(BF$1,main!$A$3:$H$102,8,FALSE),main!$K$26:$M$29,2,FALSE)+VLOOKUP(VLOOKUP(BF$1,main!$A$3:$H$102,7,FALSE),main!$K$19:$O$22,MATCH(VLOOKUP($A15,main!$A$3:$H$102,8,FALSE),main!$K$18:$O$18,0))))),1,0)</f>
        <v>0</v>
      </c>
      <c r="BG15">
        <f>IF((AND(VLOOKUP(BG$1,main!$A$3:$H$102,5,FALSE)-VLOOKUP($A15,main!$A$3:$H$102,6,FALSE)&gt;=(VLOOKUP(VLOOKUP(BG$1,main!$A$3:$H$102,8,FALSE),main!$K$26:$M$29,2,FALSE)+VLOOKUP(VLOOKUP(BG$1,main!$A$3:$H$102,7,FALSE),main!$K$19:$O$22,MATCH(VLOOKUP($A15,main!$A$3:$H$102,8,FALSE),main!$K$18:$O$18,0))))),1,0)</f>
        <v>0</v>
      </c>
      <c r="BH15">
        <f>IF((AND(VLOOKUP(BH$1,main!$A$3:$H$102,5,FALSE)-VLOOKUP($A15,main!$A$3:$H$102,6,FALSE)&gt;=(VLOOKUP(VLOOKUP(BH$1,main!$A$3:$H$102,8,FALSE),main!$K$26:$M$29,2,FALSE)+VLOOKUP(VLOOKUP(BH$1,main!$A$3:$H$102,7,FALSE),main!$K$19:$O$22,MATCH(VLOOKUP($A15,main!$A$3:$H$102,8,FALSE),main!$K$18:$O$18,0))))),1,0)</f>
        <v>1</v>
      </c>
      <c r="BI15">
        <f>IF((AND(VLOOKUP(BI$1,main!$A$3:$H$102,5,FALSE)-VLOOKUP($A15,main!$A$3:$H$102,6,FALSE)&gt;=(VLOOKUP(VLOOKUP(BI$1,main!$A$3:$H$102,8,FALSE),main!$K$26:$M$29,2,FALSE)+VLOOKUP(VLOOKUP(BI$1,main!$A$3:$H$102,7,FALSE),main!$K$19:$O$22,MATCH(VLOOKUP($A15,main!$A$3:$H$102,8,FALSE),main!$K$18:$O$18,0))))),1,0)</f>
        <v>1</v>
      </c>
      <c r="BJ15">
        <f>IF((AND(VLOOKUP(BJ$1,main!$A$3:$H$102,5,FALSE)-VLOOKUP($A15,main!$A$3:$H$102,6,FALSE)&gt;=(VLOOKUP(VLOOKUP(BJ$1,main!$A$3:$H$102,8,FALSE),main!$K$26:$M$29,2,FALSE)+VLOOKUP(VLOOKUP(BJ$1,main!$A$3:$H$102,7,FALSE),main!$K$19:$O$22,MATCH(VLOOKUP($A15,main!$A$3:$H$102,8,FALSE),main!$K$18:$O$18,0))))),1,0)</f>
        <v>1</v>
      </c>
      <c r="BK15">
        <f>IF((AND(VLOOKUP(BK$1,main!$A$3:$H$102,5,FALSE)-VLOOKUP($A15,main!$A$3:$H$102,6,FALSE)&gt;=(VLOOKUP(VLOOKUP(BK$1,main!$A$3:$H$102,8,FALSE),main!$K$26:$M$29,2,FALSE)+VLOOKUP(VLOOKUP(BK$1,main!$A$3:$H$102,7,FALSE),main!$K$19:$O$22,MATCH(VLOOKUP($A15,main!$A$3:$H$102,8,FALSE),main!$K$18:$O$18,0))))),1,0)</f>
        <v>0</v>
      </c>
      <c r="BL15">
        <f>IF((AND(VLOOKUP(BL$1,main!$A$3:$H$102,5,FALSE)-VLOOKUP($A15,main!$A$3:$H$102,6,FALSE)&gt;=(VLOOKUP(VLOOKUP(BL$1,main!$A$3:$H$102,8,FALSE),main!$K$26:$M$29,2,FALSE)+VLOOKUP(VLOOKUP(BL$1,main!$A$3:$H$102,7,FALSE),main!$K$19:$O$22,MATCH(VLOOKUP($A15,main!$A$3:$H$102,8,FALSE),main!$K$18:$O$18,0))))),1,0)</f>
        <v>0</v>
      </c>
      <c r="BM15">
        <f>IF((AND(VLOOKUP(BM$1,main!$A$3:$H$102,5,FALSE)-VLOOKUP($A15,main!$A$3:$H$102,6,FALSE)&gt;=(VLOOKUP(VLOOKUP(BM$1,main!$A$3:$H$102,8,FALSE),main!$K$26:$M$29,2,FALSE)+VLOOKUP(VLOOKUP(BM$1,main!$A$3:$H$102,7,FALSE),main!$K$19:$O$22,MATCH(VLOOKUP($A15,main!$A$3:$H$102,8,FALSE),main!$K$18:$O$18,0))))),1,0)</f>
        <v>0</v>
      </c>
      <c r="BN15">
        <f>IF((AND(VLOOKUP(BN$1,main!$A$3:$H$102,5,FALSE)-VLOOKUP($A15,main!$A$3:$H$102,6,FALSE)&gt;=(VLOOKUP(VLOOKUP(BN$1,main!$A$3:$H$102,8,FALSE),main!$K$26:$M$29,2,FALSE)+VLOOKUP(VLOOKUP(BN$1,main!$A$3:$H$102,7,FALSE),main!$K$19:$O$22,MATCH(VLOOKUP($A15,main!$A$3:$H$102,8,FALSE),main!$K$18:$O$18,0))))),1,0)</f>
        <v>1</v>
      </c>
      <c r="BO15">
        <f>IF((AND(VLOOKUP(BO$1,main!$A$3:$H$102,5,FALSE)-VLOOKUP($A15,main!$A$3:$H$102,6,FALSE)&gt;=(VLOOKUP(VLOOKUP(BO$1,main!$A$3:$H$102,8,FALSE),main!$K$26:$M$29,2,FALSE)+VLOOKUP(VLOOKUP(BO$1,main!$A$3:$H$102,7,FALSE),main!$K$19:$O$22,MATCH(VLOOKUP($A15,main!$A$3:$H$102,8,FALSE),main!$K$18:$O$18,0))))),1,0)</f>
        <v>0</v>
      </c>
      <c r="BP15">
        <f>IF((AND(VLOOKUP(BP$1,main!$A$3:$H$102,5,FALSE)-VLOOKUP($A15,main!$A$3:$H$102,6,FALSE)&gt;=(VLOOKUP(VLOOKUP(BP$1,main!$A$3:$H$102,8,FALSE),main!$K$26:$M$29,2,FALSE)+VLOOKUP(VLOOKUP(BP$1,main!$A$3:$H$102,7,FALSE),main!$K$19:$O$22,MATCH(VLOOKUP($A15,main!$A$3:$H$102,8,FALSE),main!$K$18:$O$18,0))))),1,0)</f>
        <v>0</v>
      </c>
      <c r="BQ15">
        <f>IF((AND(VLOOKUP(BQ$1,main!$A$3:$H$102,5,FALSE)-VLOOKUP($A15,main!$A$3:$H$102,6,FALSE)&gt;=(VLOOKUP(VLOOKUP(BQ$1,main!$A$3:$H$102,8,FALSE),main!$K$26:$M$29,2,FALSE)+VLOOKUP(VLOOKUP(BQ$1,main!$A$3:$H$102,7,FALSE),main!$K$19:$O$22,MATCH(VLOOKUP($A15,main!$A$3:$H$102,8,FALSE),main!$K$18:$O$18,0))))),1,0)</f>
        <v>1</v>
      </c>
      <c r="BR15">
        <f>IF((AND(VLOOKUP(BR$1,main!$A$3:$H$102,5,FALSE)-VLOOKUP($A15,main!$A$3:$H$102,6,FALSE)&gt;=(VLOOKUP(VLOOKUP(BR$1,main!$A$3:$H$102,8,FALSE),main!$K$26:$M$29,2,FALSE)+VLOOKUP(VLOOKUP(BR$1,main!$A$3:$H$102,7,FALSE),main!$K$19:$O$22,MATCH(VLOOKUP($A15,main!$A$3:$H$102,8,FALSE),main!$K$18:$O$18,0))))),1,0)</f>
        <v>1</v>
      </c>
      <c r="BS15">
        <f>IF((AND(VLOOKUP(BS$1,main!$A$3:$H$102,5,FALSE)-VLOOKUP($A15,main!$A$3:$H$102,6,FALSE)&gt;=(VLOOKUP(VLOOKUP(BS$1,main!$A$3:$H$102,8,FALSE),main!$K$26:$M$29,2,FALSE)+VLOOKUP(VLOOKUP(BS$1,main!$A$3:$H$102,7,FALSE),main!$K$19:$O$22,MATCH(VLOOKUP($A15,main!$A$3:$H$102,8,FALSE),main!$K$18:$O$18,0))))),1,0)</f>
        <v>1</v>
      </c>
      <c r="BT15">
        <f>IF((AND(VLOOKUP(BT$1,main!$A$3:$H$102,5,FALSE)-VLOOKUP($A15,main!$A$3:$H$102,6,FALSE)&gt;=(VLOOKUP(VLOOKUP(BT$1,main!$A$3:$H$102,8,FALSE),main!$K$26:$M$29,2,FALSE)+VLOOKUP(VLOOKUP(BT$1,main!$A$3:$H$102,7,FALSE),main!$K$19:$O$22,MATCH(VLOOKUP($A15,main!$A$3:$H$102,8,FALSE),main!$K$18:$O$18,0))))),1,0)</f>
        <v>0</v>
      </c>
      <c r="BU15">
        <f>IF((AND(VLOOKUP(BU$1,main!$A$3:$H$102,5,FALSE)-VLOOKUP($A15,main!$A$3:$H$102,6,FALSE)&gt;=(VLOOKUP(VLOOKUP(BU$1,main!$A$3:$H$102,8,FALSE),main!$K$26:$M$29,2,FALSE)+VLOOKUP(VLOOKUP(BU$1,main!$A$3:$H$102,7,FALSE),main!$K$19:$O$22,MATCH(VLOOKUP($A15,main!$A$3:$H$102,8,FALSE),main!$K$18:$O$18,0))))),1,0)</f>
        <v>0</v>
      </c>
      <c r="BV15">
        <f>IF((AND(VLOOKUP(BV$1,main!$A$3:$H$102,5,FALSE)-VLOOKUP($A15,main!$A$3:$H$102,6,FALSE)&gt;=(VLOOKUP(VLOOKUP(BV$1,main!$A$3:$H$102,8,FALSE),main!$K$26:$M$29,2,FALSE)+VLOOKUP(VLOOKUP(BV$1,main!$A$3:$H$102,7,FALSE),main!$K$19:$O$22,MATCH(VLOOKUP($A15,main!$A$3:$H$102,8,FALSE),main!$K$18:$O$18,0))))),1,0)</f>
        <v>0</v>
      </c>
      <c r="BW15">
        <f>IF((AND(VLOOKUP(BW$1,main!$A$3:$H$102,5,FALSE)-VLOOKUP($A15,main!$A$3:$H$102,6,FALSE)&gt;=(VLOOKUP(VLOOKUP(BW$1,main!$A$3:$H$102,8,FALSE),main!$K$26:$M$29,2,FALSE)+VLOOKUP(VLOOKUP(BW$1,main!$A$3:$H$102,7,FALSE),main!$K$19:$O$22,MATCH(VLOOKUP($A15,main!$A$3:$H$102,8,FALSE),main!$K$18:$O$18,0))))),1,0)</f>
        <v>0</v>
      </c>
      <c r="BX15">
        <f>IF((AND(VLOOKUP(BX$1,main!$A$3:$H$102,5,FALSE)-VLOOKUP($A15,main!$A$3:$H$102,6,FALSE)&gt;=(VLOOKUP(VLOOKUP(BX$1,main!$A$3:$H$102,8,FALSE),main!$K$26:$M$29,2,FALSE)+VLOOKUP(VLOOKUP(BX$1,main!$A$3:$H$102,7,FALSE),main!$K$19:$O$22,MATCH(VLOOKUP($A15,main!$A$3:$H$102,8,FALSE),main!$K$18:$O$18,0))))),1,0)</f>
        <v>1</v>
      </c>
      <c r="BY15">
        <f>IF((AND(VLOOKUP(BY$1,main!$A$3:$H$102,5,FALSE)-VLOOKUP($A15,main!$A$3:$H$102,6,FALSE)&gt;=(VLOOKUP(VLOOKUP(BY$1,main!$A$3:$H$102,8,FALSE),main!$K$26:$M$29,2,FALSE)+VLOOKUP(VLOOKUP(BY$1,main!$A$3:$H$102,7,FALSE),main!$K$19:$O$22,MATCH(VLOOKUP($A15,main!$A$3:$H$102,8,FALSE),main!$K$18:$O$18,0))))),1,0)</f>
        <v>1</v>
      </c>
      <c r="BZ15">
        <f>IF((AND(VLOOKUP(BZ$1,main!$A$3:$H$102,5,FALSE)-VLOOKUP($A15,main!$A$3:$H$102,6,FALSE)&gt;=(VLOOKUP(VLOOKUP(BZ$1,main!$A$3:$H$102,8,FALSE),main!$K$26:$M$29,2,FALSE)+VLOOKUP(VLOOKUP(BZ$1,main!$A$3:$H$102,7,FALSE),main!$K$19:$O$22,MATCH(VLOOKUP($A15,main!$A$3:$H$102,8,FALSE),main!$K$18:$O$18,0))))),1,0)</f>
        <v>0</v>
      </c>
      <c r="CA15">
        <f>IF((AND(VLOOKUP(CA$1,main!$A$3:$H$102,5,FALSE)-VLOOKUP($A15,main!$A$3:$H$102,6,FALSE)&gt;=(VLOOKUP(VLOOKUP(CA$1,main!$A$3:$H$102,8,FALSE),main!$K$26:$M$29,2,FALSE)+VLOOKUP(VLOOKUP(CA$1,main!$A$3:$H$102,7,FALSE),main!$K$19:$O$22,MATCH(VLOOKUP($A15,main!$A$3:$H$102,8,FALSE),main!$K$18:$O$18,0))))),1,0)</f>
        <v>0</v>
      </c>
      <c r="CB15">
        <f>IF((AND(VLOOKUP(CB$1,main!$A$3:$H$102,5,FALSE)-VLOOKUP($A15,main!$A$3:$H$102,6,FALSE)&gt;=(VLOOKUP(VLOOKUP(CB$1,main!$A$3:$H$102,8,FALSE),main!$K$26:$M$29,2,FALSE)+VLOOKUP(VLOOKUP(CB$1,main!$A$3:$H$102,7,FALSE),main!$K$19:$O$22,MATCH(VLOOKUP($A15,main!$A$3:$H$102,8,FALSE),main!$K$18:$O$18,0))))),1,0)</f>
        <v>1</v>
      </c>
      <c r="CC15">
        <f>IF((AND(VLOOKUP(CC$1,main!$A$3:$H$102,5,FALSE)-VLOOKUP($A15,main!$A$3:$H$102,6,FALSE)&gt;=(VLOOKUP(VLOOKUP(CC$1,main!$A$3:$H$102,8,FALSE),main!$K$26:$M$29,2,FALSE)+VLOOKUP(VLOOKUP(CC$1,main!$A$3:$H$102,7,FALSE),main!$K$19:$O$22,MATCH(VLOOKUP($A15,main!$A$3:$H$102,8,FALSE),main!$K$18:$O$18,0))))),1,0)</f>
        <v>1</v>
      </c>
      <c r="CD15">
        <f>IF((AND(VLOOKUP(CD$1,main!$A$3:$H$102,5,FALSE)-VLOOKUP($A15,main!$A$3:$H$102,6,FALSE)&gt;=(VLOOKUP(VLOOKUP(CD$1,main!$A$3:$H$102,8,FALSE),main!$K$26:$M$29,2,FALSE)+VLOOKUP(VLOOKUP(CD$1,main!$A$3:$H$102,7,FALSE),main!$K$19:$O$22,MATCH(VLOOKUP($A15,main!$A$3:$H$102,8,FALSE),main!$K$18:$O$18,0))))),1,0)</f>
        <v>1</v>
      </c>
      <c r="CE15">
        <f>IF((AND(VLOOKUP(CE$1,main!$A$3:$H$102,5,FALSE)-VLOOKUP($A15,main!$A$3:$H$102,6,FALSE)&gt;=(VLOOKUP(VLOOKUP(CE$1,main!$A$3:$H$102,8,FALSE),main!$K$26:$M$29,2,FALSE)+VLOOKUP(VLOOKUP(CE$1,main!$A$3:$H$102,7,FALSE),main!$K$19:$O$22,MATCH(VLOOKUP($A15,main!$A$3:$H$102,8,FALSE),main!$K$18:$O$18,0))))),1,0)</f>
        <v>0</v>
      </c>
      <c r="CF15">
        <f>IF((AND(VLOOKUP(CF$1,main!$A$3:$H$102,5,FALSE)-VLOOKUP($A15,main!$A$3:$H$102,6,FALSE)&gt;=(VLOOKUP(VLOOKUP(CF$1,main!$A$3:$H$102,8,FALSE),main!$K$26:$M$29,2,FALSE)+VLOOKUP(VLOOKUP(CF$1,main!$A$3:$H$102,7,FALSE),main!$K$19:$O$22,MATCH(VLOOKUP($A15,main!$A$3:$H$102,8,FALSE),main!$K$18:$O$18,0))))),1,0)</f>
        <v>0</v>
      </c>
      <c r="CG15">
        <f>IF((AND(VLOOKUP(CG$1,main!$A$3:$H$102,5,FALSE)-VLOOKUP($A15,main!$A$3:$H$102,6,FALSE)&gt;=(VLOOKUP(VLOOKUP(CG$1,main!$A$3:$H$102,8,FALSE),main!$K$26:$M$29,2,FALSE)+VLOOKUP(VLOOKUP(CG$1,main!$A$3:$H$102,7,FALSE),main!$K$19:$O$22,MATCH(VLOOKUP($A15,main!$A$3:$H$102,8,FALSE),main!$K$18:$O$18,0))))),1,0)</f>
        <v>1</v>
      </c>
      <c r="CH15">
        <f>IF((AND(VLOOKUP(CH$1,main!$A$3:$H$102,5,FALSE)-VLOOKUP($A15,main!$A$3:$H$102,6,FALSE)&gt;=(VLOOKUP(VLOOKUP(CH$1,main!$A$3:$H$102,8,FALSE),main!$K$26:$M$29,2,FALSE)+VLOOKUP(VLOOKUP(CH$1,main!$A$3:$H$102,7,FALSE),main!$K$19:$O$22,MATCH(VLOOKUP($A15,main!$A$3:$H$102,8,FALSE),main!$K$18:$O$18,0))))),1,0)</f>
        <v>1</v>
      </c>
      <c r="CI15">
        <f>IF((AND(VLOOKUP(CI$1,main!$A$3:$H$102,5,FALSE)-VLOOKUP($A15,main!$A$3:$H$102,6,FALSE)&gt;=(VLOOKUP(VLOOKUP(CI$1,main!$A$3:$H$102,8,FALSE),main!$K$26:$M$29,2,FALSE)+VLOOKUP(VLOOKUP(CI$1,main!$A$3:$H$102,7,FALSE),main!$K$19:$O$22,MATCH(VLOOKUP($A15,main!$A$3:$H$102,8,FALSE),main!$K$18:$O$18,0))))),1,0)</f>
        <v>1</v>
      </c>
      <c r="CJ15">
        <f>IF((AND(VLOOKUP(CJ$1,main!$A$3:$H$102,5,FALSE)-VLOOKUP($A15,main!$A$3:$H$102,6,FALSE)&gt;=(VLOOKUP(VLOOKUP(CJ$1,main!$A$3:$H$102,8,FALSE),main!$K$26:$M$29,2,FALSE)+VLOOKUP(VLOOKUP(CJ$1,main!$A$3:$H$102,7,FALSE),main!$K$19:$O$22,MATCH(VLOOKUP($A15,main!$A$3:$H$102,8,FALSE),main!$K$18:$O$18,0))))),1,0)</f>
        <v>1</v>
      </c>
      <c r="CK15">
        <f>IF((AND(VLOOKUP(CK$1,main!$A$3:$H$102,5,FALSE)-VLOOKUP($A15,main!$A$3:$H$102,6,FALSE)&gt;=(VLOOKUP(VLOOKUP(CK$1,main!$A$3:$H$102,8,FALSE),main!$K$26:$M$29,2,FALSE)+VLOOKUP(VLOOKUP(CK$1,main!$A$3:$H$102,7,FALSE),main!$K$19:$O$22,MATCH(VLOOKUP($A15,main!$A$3:$H$102,8,FALSE),main!$K$18:$O$18,0))))),1,0)</f>
        <v>0</v>
      </c>
      <c r="CL15">
        <f>IF((AND(VLOOKUP(CL$1,main!$A$3:$H$102,5,FALSE)-VLOOKUP($A15,main!$A$3:$H$102,6,FALSE)&gt;=(VLOOKUP(VLOOKUP(CL$1,main!$A$3:$H$102,8,FALSE),main!$K$26:$M$29,2,FALSE)+VLOOKUP(VLOOKUP(CL$1,main!$A$3:$H$102,7,FALSE),main!$K$19:$O$22,MATCH(VLOOKUP($A15,main!$A$3:$H$102,8,FALSE),main!$K$18:$O$18,0))))),1,0)</f>
        <v>1</v>
      </c>
      <c r="CM15">
        <f>IF((AND(VLOOKUP(CM$1,main!$A$3:$H$102,5,FALSE)-VLOOKUP($A15,main!$A$3:$H$102,6,FALSE)&gt;=(VLOOKUP(VLOOKUP(CM$1,main!$A$3:$H$102,8,FALSE),main!$K$26:$M$29,2,FALSE)+VLOOKUP(VLOOKUP(CM$1,main!$A$3:$H$102,7,FALSE),main!$K$19:$O$22,MATCH(VLOOKUP($A15,main!$A$3:$H$102,8,FALSE),main!$K$18:$O$18,0))))),1,0)</f>
        <v>1</v>
      </c>
      <c r="CN15">
        <f>IF((AND(VLOOKUP(CN$1,main!$A$3:$H$102,5,FALSE)-VLOOKUP($A15,main!$A$3:$H$102,6,FALSE)&gt;=(VLOOKUP(VLOOKUP(CN$1,main!$A$3:$H$102,8,FALSE),main!$K$26:$M$29,2,FALSE)+VLOOKUP(VLOOKUP(CN$1,main!$A$3:$H$102,7,FALSE),main!$K$19:$O$22,MATCH(VLOOKUP($A15,main!$A$3:$H$102,8,FALSE),main!$K$18:$O$18,0))))),1,0)</f>
        <v>1</v>
      </c>
      <c r="CO15">
        <f>IF((AND(VLOOKUP(CO$1,main!$A$3:$H$102,5,FALSE)-VLOOKUP($A15,main!$A$3:$H$102,6,FALSE)&gt;=(VLOOKUP(VLOOKUP(CO$1,main!$A$3:$H$102,8,FALSE),main!$K$26:$M$29,2,FALSE)+VLOOKUP(VLOOKUP(CO$1,main!$A$3:$H$102,7,FALSE),main!$K$19:$O$22,MATCH(VLOOKUP($A15,main!$A$3:$H$102,8,FALSE),main!$K$18:$O$18,0))))),1,0)</f>
        <v>0</v>
      </c>
      <c r="CP15">
        <f>IF((AND(VLOOKUP(CP$1,main!$A$3:$H$102,5,FALSE)-VLOOKUP($A15,main!$A$3:$H$102,6,FALSE)&gt;=(VLOOKUP(VLOOKUP(CP$1,main!$A$3:$H$102,8,FALSE),main!$K$26:$M$29,2,FALSE)+VLOOKUP(VLOOKUP(CP$1,main!$A$3:$H$102,7,FALSE),main!$K$19:$O$22,MATCH(VLOOKUP($A15,main!$A$3:$H$102,8,FALSE),main!$K$18:$O$18,0))))),1,0)</f>
        <v>0</v>
      </c>
      <c r="CQ15">
        <f>IF((AND(VLOOKUP(CQ$1,main!$A$3:$H$102,5,FALSE)-VLOOKUP($A15,main!$A$3:$H$102,6,FALSE)&gt;=(VLOOKUP(VLOOKUP(CQ$1,main!$A$3:$H$102,8,FALSE),main!$K$26:$M$29,2,FALSE)+VLOOKUP(VLOOKUP(CQ$1,main!$A$3:$H$102,7,FALSE),main!$K$19:$O$22,MATCH(VLOOKUP($A15,main!$A$3:$H$102,8,FALSE),main!$K$18:$O$18,0))))),1,0)</f>
        <v>0</v>
      </c>
      <c r="CR15">
        <f>IF((AND(VLOOKUP(CR$1,main!$A$3:$H$102,5,FALSE)-VLOOKUP($A15,main!$A$3:$H$102,6,FALSE)&gt;=(VLOOKUP(VLOOKUP(CR$1,main!$A$3:$H$102,8,FALSE),main!$K$26:$M$29,2,FALSE)+VLOOKUP(VLOOKUP(CR$1,main!$A$3:$H$102,7,FALSE),main!$K$19:$O$22,MATCH(VLOOKUP($A15,main!$A$3:$H$102,8,FALSE),main!$K$18:$O$18,0))))),1,0)</f>
        <v>1</v>
      </c>
      <c r="CS15">
        <f>IF((AND(VLOOKUP(CS$1,main!$A$3:$H$102,5,FALSE)-VLOOKUP($A15,main!$A$3:$H$102,6,FALSE)&gt;=(VLOOKUP(VLOOKUP(CS$1,main!$A$3:$H$102,8,FALSE),main!$K$26:$M$29,2,FALSE)+VLOOKUP(VLOOKUP(CS$1,main!$A$3:$H$102,7,FALSE),main!$K$19:$O$22,MATCH(VLOOKUP($A15,main!$A$3:$H$102,8,FALSE),main!$K$18:$O$18,0))))),1,0)</f>
        <v>1</v>
      </c>
      <c r="CT15">
        <f>IF((AND(VLOOKUP(CT$1,main!$A$3:$H$102,5,FALSE)-VLOOKUP($A15,main!$A$3:$H$102,6,FALSE)&gt;=(VLOOKUP(VLOOKUP(CT$1,main!$A$3:$H$102,8,FALSE),main!$K$26:$M$29,2,FALSE)+VLOOKUP(VLOOKUP(CT$1,main!$A$3:$H$102,7,FALSE),main!$K$19:$O$22,MATCH(VLOOKUP($A15,main!$A$3:$H$102,8,FALSE),main!$K$18:$O$18,0))))),1,0)</f>
        <v>0</v>
      </c>
      <c r="CU15">
        <f>IF((AND(VLOOKUP(CU$1,main!$A$3:$H$102,5,FALSE)-VLOOKUP($A15,main!$A$3:$H$102,6,FALSE)&gt;=(VLOOKUP(VLOOKUP(CU$1,main!$A$3:$H$102,8,FALSE),main!$K$26:$M$29,2,FALSE)+VLOOKUP(VLOOKUP(CU$1,main!$A$3:$H$102,7,FALSE),main!$K$19:$O$22,MATCH(VLOOKUP($A15,main!$A$3:$H$102,8,FALSE),main!$K$18:$O$18,0))))),1,0)</f>
        <v>0</v>
      </c>
      <c r="CV15">
        <f>IF((AND(VLOOKUP(CV$1,main!$A$3:$H$102,5,FALSE)-VLOOKUP($A15,main!$A$3:$H$102,6,FALSE)&gt;=(VLOOKUP(VLOOKUP(CV$1,main!$A$3:$H$102,8,FALSE),main!$K$26:$M$29,2,FALSE)+VLOOKUP(VLOOKUP(CV$1,main!$A$3:$H$102,7,FALSE),main!$K$19:$O$22,MATCH(VLOOKUP($A15,main!$A$3:$H$102,8,FALSE),main!$K$18:$O$18,0))))),1,0)</f>
        <v>0</v>
      </c>
      <c r="CW15">
        <f>IF((AND(VLOOKUP(CW$1,main!$A$3:$H$102,5,FALSE)-VLOOKUP($A15,main!$A$3:$H$102,6,FALSE)&gt;=(VLOOKUP(VLOOKUP(CW$1,main!$A$3:$H$102,8,FALSE),main!$K$26:$M$29,2,FALSE)+VLOOKUP(VLOOKUP(CW$1,main!$A$3:$H$102,7,FALSE),main!$K$19:$O$22,MATCH(VLOOKUP($A15,main!$A$3:$H$102,8,FALSE),main!$K$18:$O$18,0))))),1,0)</f>
        <v>1</v>
      </c>
      <c r="CX15">
        <f>IF((AND(VLOOKUP(CX$1,main!$A$3:$H$102,5,FALSE)-VLOOKUP($A15,main!$A$3:$H$102,6,FALSE)&gt;=(VLOOKUP(VLOOKUP(CX$1,main!$A$3:$H$102,8,FALSE),main!$K$26:$M$29,2,FALSE)+VLOOKUP(VLOOKUP(CX$1,main!$A$3:$H$102,7,FALSE),main!$K$19:$O$22,MATCH(VLOOKUP($A15,main!$A$3:$H$102,8,FALSE),main!$K$18:$O$18,0))))),1,0)</f>
        <v>1</v>
      </c>
    </row>
    <row r="16" spans="1:102" x14ac:dyDescent="0.25">
      <c r="A16" s="1">
        <v>14</v>
      </c>
      <c r="B16">
        <v>1</v>
      </c>
      <c r="C16">
        <f>IF((AND(VLOOKUP(C$1,main!$A$3:$H$102,5,FALSE)-VLOOKUP($A16,main!$A$3:$H$102,6,FALSE)&gt;=(VLOOKUP(VLOOKUP(C$1,main!$A$3:$H$102,8,FALSE),main!$K$26:$M$29,2,FALSE)+VLOOKUP(VLOOKUP(C$1,main!$A$3:$H$102,7,FALSE),main!$K$19:$O$22,MATCH(VLOOKUP($A16,main!$A$3:$H$102,8,FALSE),main!$K$18:$O$18,0))))),1,0)</f>
        <v>0</v>
      </c>
      <c r="D16">
        <f>IF((AND(VLOOKUP(D$1,main!$A$3:$H$102,5,FALSE)-VLOOKUP($A16,main!$A$3:$H$102,6,FALSE)&gt;=(VLOOKUP(VLOOKUP(D$1,main!$A$3:$H$102,8,FALSE),main!$K$26:$M$29,2,FALSE)+VLOOKUP(VLOOKUP(D$1,main!$A$3:$H$102,7,FALSE),main!$K$19:$O$22,MATCH(VLOOKUP($A16,main!$A$3:$H$102,8,FALSE),main!$K$18:$O$18,0))))),1,0)</f>
        <v>0</v>
      </c>
      <c r="E16">
        <f>IF((AND(VLOOKUP(E$1,main!$A$3:$H$102,5,FALSE)-VLOOKUP($A16,main!$A$3:$H$102,6,FALSE)&gt;=(VLOOKUP(VLOOKUP(E$1,main!$A$3:$H$102,8,FALSE),main!$K$26:$M$29,2,FALSE)+VLOOKUP(VLOOKUP(E$1,main!$A$3:$H$102,7,FALSE),main!$K$19:$O$22,MATCH(VLOOKUP($A16,main!$A$3:$H$102,8,FALSE),main!$K$18:$O$18,0))))),1,0)</f>
        <v>0</v>
      </c>
      <c r="F16">
        <f>IF((AND(VLOOKUP(F$1,main!$A$3:$H$102,5,FALSE)-VLOOKUP($A16,main!$A$3:$H$102,6,FALSE)&gt;=(VLOOKUP(VLOOKUP(F$1,main!$A$3:$H$102,8,FALSE),main!$K$26:$M$29,2,FALSE)+VLOOKUP(VLOOKUP(F$1,main!$A$3:$H$102,7,FALSE),main!$K$19:$O$22,MATCH(VLOOKUP($A16,main!$A$3:$H$102,8,FALSE),main!$K$18:$O$18,0))))),1,0)</f>
        <v>0</v>
      </c>
      <c r="G16">
        <f>IF((AND(VLOOKUP(G$1,main!$A$3:$H$102,5,FALSE)-VLOOKUP($A16,main!$A$3:$H$102,6,FALSE)&gt;=(VLOOKUP(VLOOKUP(G$1,main!$A$3:$H$102,8,FALSE),main!$K$26:$M$29,2,FALSE)+VLOOKUP(VLOOKUP(G$1,main!$A$3:$H$102,7,FALSE),main!$K$19:$O$22,MATCH(VLOOKUP($A16,main!$A$3:$H$102,8,FALSE),main!$K$18:$O$18,0))))),1,0)</f>
        <v>0</v>
      </c>
      <c r="H16">
        <f>IF((AND(VLOOKUP(H$1,main!$A$3:$H$102,5,FALSE)-VLOOKUP($A16,main!$A$3:$H$102,6,FALSE)&gt;=(VLOOKUP(VLOOKUP(H$1,main!$A$3:$H$102,8,FALSE),main!$K$26:$M$29,2,FALSE)+VLOOKUP(VLOOKUP(H$1,main!$A$3:$H$102,7,FALSE),main!$K$19:$O$22,MATCH(VLOOKUP($A16,main!$A$3:$H$102,8,FALSE),main!$K$18:$O$18,0))))),1,0)</f>
        <v>1</v>
      </c>
      <c r="I16">
        <f>IF((AND(VLOOKUP(I$1,main!$A$3:$H$102,5,FALSE)-VLOOKUP($A16,main!$A$3:$H$102,6,FALSE)&gt;=(VLOOKUP(VLOOKUP(I$1,main!$A$3:$H$102,8,FALSE),main!$K$26:$M$29,2,FALSE)+VLOOKUP(VLOOKUP(I$1,main!$A$3:$H$102,7,FALSE),main!$K$19:$O$22,MATCH(VLOOKUP($A16,main!$A$3:$H$102,8,FALSE),main!$K$18:$O$18,0))))),1,0)</f>
        <v>1</v>
      </c>
      <c r="J16">
        <f>IF((AND(VLOOKUP(J$1,main!$A$3:$H$102,5,FALSE)-VLOOKUP($A16,main!$A$3:$H$102,6,FALSE)&gt;=(VLOOKUP(VLOOKUP(J$1,main!$A$3:$H$102,8,FALSE),main!$K$26:$M$29,2,FALSE)+VLOOKUP(VLOOKUP(J$1,main!$A$3:$H$102,7,FALSE),main!$K$19:$O$22,MATCH(VLOOKUP($A16,main!$A$3:$H$102,8,FALSE),main!$K$18:$O$18,0))))),1,0)</f>
        <v>1</v>
      </c>
      <c r="K16">
        <f>IF((AND(VLOOKUP(K$1,main!$A$3:$H$102,5,FALSE)-VLOOKUP($A16,main!$A$3:$H$102,6,FALSE)&gt;=(VLOOKUP(VLOOKUP(K$1,main!$A$3:$H$102,8,FALSE),main!$K$26:$M$29,2,FALSE)+VLOOKUP(VLOOKUP(K$1,main!$A$3:$H$102,7,FALSE),main!$K$19:$O$22,MATCH(VLOOKUP($A16,main!$A$3:$H$102,8,FALSE),main!$K$18:$O$18,0))))),1,0)</f>
        <v>1</v>
      </c>
      <c r="L16">
        <f>IF((AND(VLOOKUP(L$1,main!$A$3:$H$102,5,FALSE)-VLOOKUP($A16,main!$A$3:$H$102,6,FALSE)&gt;=(VLOOKUP(VLOOKUP(L$1,main!$A$3:$H$102,8,FALSE),main!$K$26:$M$29,2,FALSE)+VLOOKUP(VLOOKUP(L$1,main!$A$3:$H$102,7,FALSE),main!$K$19:$O$22,MATCH(VLOOKUP($A16,main!$A$3:$H$102,8,FALSE),main!$K$18:$O$18,0))))),1,0)</f>
        <v>1</v>
      </c>
      <c r="M16">
        <f>IF((AND(VLOOKUP(M$1,main!$A$3:$H$102,5,FALSE)-VLOOKUP($A16,main!$A$3:$H$102,6,FALSE)&gt;=(VLOOKUP(VLOOKUP(M$1,main!$A$3:$H$102,8,FALSE),main!$K$26:$M$29,2,FALSE)+VLOOKUP(VLOOKUP(M$1,main!$A$3:$H$102,7,FALSE),main!$K$19:$O$22,MATCH(VLOOKUP($A16,main!$A$3:$H$102,8,FALSE),main!$K$18:$O$18,0))))),1,0)</f>
        <v>0</v>
      </c>
      <c r="N16">
        <f>IF((AND(VLOOKUP(N$1,main!$A$3:$H$102,5,FALSE)-VLOOKUP($A16,main!$A$3:$H$102,6,FALSE)&gt;=(VLOOKUP(VLOOKUP(N$1,main!$A$3:$H$102,8,FALSE),main!$K$26:$M$29,2,FALSE)+VLOOKUP(VLOOKUP(N$1,main!$A$3:$H$102,7,FALSE),main!$K$19:$O$22,MATCH(VLOOKUP($A16,main!$A$3:$H$102,8,FALSE),main!$K$18:$O$18,0))))),1,0)</f>
        <v>0</v>
      </c>
      <c r="O16">
        <f>IF((AND(VLOOKUP(O$1,main!$A$3:$H$102,5,FALSE)-VLOOKUP($A16,main!$A$3:$H$102,6,FALSE)&gt;=(VLOOKUP(VLOOKUP(O$1,main!$A$3:$H$102,8,FALSE),main!$K$26:$M$29,2,FALSE)+VLOOKUP(VLOOKUP(O$1,main!$A$3:$H$102,7,FALSE),main!$K$19:$O$22,MATCH(VLOOKUP($A16,main!$A$3:$H$102,8,FALSE),main!$K$18:$O$18,0))))),1,0)</f>
        <v>0</v>
      </c>
      <c r="P16">
        <f>IF((AND(VLOOKUP(P$1,main!$A$3:$H$102,5,FALSE)-VLOOKUP($A16,main!$A$3:$H$102,6,FALSE)&gt;=(VLOOKUP(VLOOKUP(P$1,main!$A$3:$H$102,8,FALSE),main!$K$26:$M$29,2,FALSE)+VLOOKUP(VLOOKUP(P$1,main!$A$3:$H$102,7,FALSE),main!$K$19:$O$22,MATCH(VLOOKUP($A16,main!$A$3:$H$102,8,FALSE),main!$K$18:$O$18,0))))),1,0)</f>
        <v>0</v>
      </c>
      <c r="Q16">
        <f>IF((AND(VLOOKUP(Q$1,main!$A$3:$H$102,5,FALSE)-VLOOKUP($A16,main!$A$3:$H$102,6,FALSE)&gt;=(VLOOKUP(VLOOKUP(Q$1,main!$A$3:$H$102,8,FALSE),main!$K$26:$M$29,2,FALSE)+VLOOKUP(VLOOKUP(Q$1,main!$A$3:$H$102,7,FALSE),main!$K$19:$O$22,MATCH(VLOOKUP($A16,main!$A$3:$H$102,8,FALSE),main!$K$18:$O$18,0))))),1,0)</f>
        <v>0</v>
      </c>
      <c r="R16">
        <f>IF((AND(VLOOKUP(R$1,main!$A$3:$H$102,5,FALSE)-VLOOKUP($A16,main!$A$3:$H$102,6,FALSE)&gt;=(VLOOKUP(VLOOKUP(R$1,main!$A$3:$H$102,8,FALSE),main!$K$26:$M$29,2,FALSE)+VLOOKUP(VLOOKUP(R$1,main!$A$3:$H$102,7,FALSE),main!$K$19:$O$22,MATCH(VLOOKUP($A16,main!$A$3:$H$102,8,FALSE),main!$K$18:$O$18,0))))),1,0)</f>
        <v>0</v>
      </c>
      <c r="S16">
        <f>IF((AND(VLOOKUP(S$1,main!$A$3:$H$102,5,FALSE)-VLOOKUP($A16,main!$A$3:$H$102,6,FALSE)&gt;=(VLOOKUP(VLOOKUP(S$1,main!$A$3:$H$102,8,FALSE),main!$K$26:$M$29,2,FALSE)+VLOOKUP(VLOOKUP(S$1,main!$A$3:$H$102,7,FALSE),main!$K$19:$O$22,MATCH(VLOOKUP($A16,main!$A$3:$H$102,8,FALSE),main!$K$18:$O$18,0))))),1,0)</f>
        <v>1</v>
      </c>
      <c r="T16">
        <f>IF((AND(VLOOKUP(T$1,main!$A$3:$H$102,5,FALSE)-VLOOKUP($A16,main!$A$3:$H$102,6,FALSE)&gt;=(VLOOKUP(VLOOKUP(T$1,main!$A$3:$H$102,8,FALSE),main!$K$26:$M$29,2,FALSE)+VLOOKUP(VLOOKUP(T$1,main!$A$3:$H$102,7,FALSE),main!$K$19:$O$22,MATCH(VLOOKUP($A16,main!$A$3:$H$102,8,FALSE),main!$K$18:$O$18,0))))),1,0)</f>
        <v>1</v>
      </c>
      <c r="U16">
        <f>IF((AND(VLOOKUP(U$1,main!$A$3:$H$102,5,FALSE)-VLOOKUP($A16,main!$A$3:$H$102,6,FALSE)&gt;=(VLOOKUP(VLOOKUP(U$1,main!$A$3:$H$102,8,FALSE),main!$K$26:$M$29,2,FALSE)+VLOOKUP(VLOOKUP(U$1,main!$A$3:$H$102,7,FALSE),main!$K$19:$O$22,MATCH(VLOOKUP($A16,main!$A$3:$H$102,8,FALSE),main!$K$18:$O$18,0))))),1,0)</f>
        <v>1</v>
      </c>
      <c r="V16">
        <f>IF((AND(VLOOKUP(V$1,main!$A$3:$H$102,5,FALSE)-VLOOKUP($A16,main!$A$3:$H$102,6,FALSE)&gt;=(VLOOKUP(VLOOKUP(V$1,main!$A$3:$H$102,8,FALSE),main!$K$26:$M$29,2,FALSE)+VLOOKUP(VLOOKUP(V$1,main!$A$3:$H$102,7,FALSE),main!$K$19:$O$22,MATCH(VLOOKUP($A16,main!$A$3:$H$102,8,FALSE),main!$K$18:$O$18,0))))),1,0)</f>
        <v>1</v>
      </c>
      <c r="W16">
        <f>IF((AND(VLOOKUP(W$1,main!$A$3:$H$102,5,FALSE)-VLOOKUP($A16,main!$A$3:$H$102,6,FALSE)&gt;=(VLOOKUP(VLOOKUP(W$1,main!$A$3:$H$102,8,FALSE),main!$K$26:$M$29,2,FALSE)+VLOOKUP(VLOOKUP(W$1,main!$A$3:$H$102,7,FALSE),main!$K$19:$O$22,MATCH(VLOOKUP($A16,main!$A$3:$H$102,8,FALSE),main!$K$18:$O$18,0))))),1,0)</f>
        <v>0</v>
      </c>
      <c r="X16">
        <f>IF((AND(VLOOKUP(X$1,main!$A$3:$H$102,5,FALSE)-VLOOKUP($A16,main!$A$3:$H$102,6,FALSE)&gt;=(VLOOKUP(VLOOKUP(X$1,main!$A$3:$H$102,8,FALSE),main!$K$26:$M$29,2,FALSE)+VLOOKUP(VLOOKUP(X$1,main!$A$3:$H$102,7,FALSE),main!$K$19:$O$22,MATCH(VLOOKUP($A16,main!$A$3:$H$102,8,FALSE),main!$K$18:$O$18,0))))),1,0)</f>
        <v>0</v>
      </c>
      <c r="Y16">
        <f>IF((AND(VLOOKUP(Y$1,main!$A$3:$H$102,5,FALSE)-VLOOKUP($A16,main!$A$3:$H$102,6,FALSE)&gt;=(VLOOKUP(VLOOKUP(Y$1,main!$A$3:$H$102,8,FALSE),main!$K$26:$M$29,2,FALSE)+VLOOKUP(VLOOKUP(Y$1,main!$A$3:$H$102,7,FALSE),main!$K$19:$O$22,MATCH(VLOOKUP($A16,main!$A$3:$H$102,8,FALSE),main!$K$18:$O$18,0))))),1,0)</f>
        <v>0</v>
      </c>
      <c r="Z16">
        <f>IF((AND(VLOOKUP(Z$1,main!$A$3:$H$102,5,FALSE)-VLOOKUP($A16,main!$A$3:$H$102,6,FALSE)&gt;=(VLOOKUP(VLOOKUP(Z$1,main!$A$3:$H$102,8,FALSE),main!$K$26:$M$29,2,FALSE)+VLOOKUP(VLOOKUP(Z$1,main!$A$3:$H$102,7,FALSE),main!$K$19:$O$22,MATCH(VLOOKUP($A16,main!$A$3:$H$102,8,FALSE),main!$K$18:$O$18,0))))),1,0)</f>
        <v>1</v>
      </c>
      <c r="AA16">
        <f>IF((AND(VLOOKUP(AA$1,main!$A$3:$H$102,5,FALSE)-VLOOKUP($A16,main!$A$3:$H$102,6,FALSE)&gt;=(VLOOKUP(VLOOKUP(AA$1,main!$A$3:$H$102,8,FALSE),main!$K$26:$M$29,2,FALSE)+VLOOKUP(VLOOKUP(AA$1,main!$A$3:$H$102,7,FALSE),main!$K$19:$O$22,MATCH(VLOOKUP($A16,main!$A$3:$H$102,8,FALSE),main!$K$18:$O$18,0))))),1,0)</f>
        <v>1</v>
      </c>
      <c r="AB16">
        <f>IF((AND(VLOOKUP(AB$1,main!$A$3:$H$102,5,FALSE)-VLOOKUP($A16,main!$A$3:$H$102,6,FALSE)&gt;=(VLOOKUP(VLOOKUP(AB$1,main!$A$3:$H$102,8,FALSE),main!$K$26:$M$29,2,FALSE)+VLOOKUP(VLOOKUP(AB$1,main!$A$3:$H$102,7,FALSE),main!$K$19:$O$22,MATCH(VLOOKUP($A16,main!$A$3:$H$102,8,FALSE),main!$K$18:$O$18,0))))),1,0)</f>
        <v>0</v>
      </c>
      <c r="AC16">
        <f>IF((AND(VLOOKUP(AC$1,main!$A$3:$H$102,5,FALSE)-VLOOKUP($A16,main!$A$3:$H$102,6,FALSE)&gt;=(VLOOKUP(VLOOKUP(AC$1,main!$A$3:$H$102,8,FALSE),main!$K$26:$M$29,2,FALSE)+VLOOKUP(VLOOKUP(AC$1,main!$A$3:$H$102,7,FALSE),main!$K$19:$O$22,MATCH(VLOOKUP($A16,main!$A$3:$H$102,8,FALSE),main!$K$18:$O$18,0))))),1,0)</f>
        <v>0</v>
      </c>
      <c r="AD16">
        <f>IF((AND(VLOOKUP(AD$1,main!$A$3:$H$102,5,FALSE)-VLOOKUP($A16,main!$A$3:$H$102,6,FALSE)&gt;=(VLOOKUP(VLOOKUP(AD$1,main!$A$3:$H$102,8,FALSE),main!$K$26:$M$29,2,FALSE)+VLOOKUP(VLOOKUP(AD$1,main!$A$3:$H$102,7,FALSE),main!$K$19:$O$22,MATCH(VLOOKUP($A16,main!$A$3:$H$102,8,FALSE),main!$K$18:$O$18,0))))),1,0)</f>
        <v>0</v>
      </c>
      <c r="AE16">
        <f>IF((AND(VLOOKUP(AE$1,main!$A$3:$H$102,5,FALSE)-VLOOKUP($A16,main!$A$3:$H$102,6,FALSE)&gt;=(VLOOKUP(VLOOKUP(AE$1,main!$A$3:$H$102,8,FALSE),main!$K$26:$M$29,2,FALSE)+VLOOKUP(VLOOKUP(AE$1,main!$A$3:$H$102,7,FALSE),main!$K$19:$O$22,MATCH(VLOOKUP($A16,main!$A$3:$H$102,8,FALSE),main!$K$18:$O$18,0))))),1,0)</f>
        <v>1</v>
      </c>
      <c r="AF16">
        <f>IF((AND(VLOOKUP(AF$1,main!$A$3:$H$102,5,FALSE)-VLOOKUP($A16,main!$A$3:$H$102,6,FALSE)&gt;=(VLOOKUP(VLOOKUP(AF$1,main!$A$3:$H$102,8,FALSE),main!$K$26:$M$29,2,FALSE)+VLOOKUP(VLOOKUP(AF$1,main!$A$3:$H$102,7,FALSE),main!$K$19:$O$22,MATCH(VLOOKUP($A16,main!$A$3:$H$102,8,FALSE),main!$K$18:$O$18,0))))),1,0)</f>
        <v>1</v>
      </c>
      <c r="AG16">
        <f>IF((AND(VLOOKUP(AG$1,main!$A$3:$H$102,5,FALSE)-VLOOKUP($A16,main!$A$3:$H$102,6,FALSE)&gt;=(VLOOKUP(VLOOKUP(AG$1,main!$A$3:$H$102,8,FALSE),main!$K$26:$M$29,2,FALSE)+VLOOKUP(VLOOKUP(AG$1,main!$A$3:$H$102,7,FALSE),main!$K$19:$O$22,MATCH(VLOOKUP($A16,main!$A$3:$H$102,8,FALSE),main!$K$18:$O$18,0))))),1,0)</f>
        <v>0</v>
      </c>
      <c r="AH16">
        <f>IF((AND(VLOOKUP(AH$1,main!$A$3:$H$102,5,FALSE)-VLOOKUP($A16,main!$A$3:$H$102,6,FALSE)&gt;=(VLOOKUP(VLOOKUP(AH$1,main!$A$3:$H$102,8,FALSE),main!$K$26:$M$29,2,FALSE)+VLOOKUP(VLOOKUP(AH$1,main!$A$3:$H$102,7,FALSE),main!$K$19:$O$22,MATCH(VLOOKUP($A16,main!$A$3:$H$102,8,FALSE),main!$K$18:$O$18,0))))),1,0)</f>
        <v>0</v>
      </c>
      <c r="AI16">
        <f>IF((AND(VLOOKUP(AI$1,main!$A$3:$H$102,5,FALSE)-VLOOKUP($A16,main!$A$3:$H$102,6,FALSE)&gt;=(VLOOKUP(VLOOKUP(AI$1,main!$A$3:$H$102,8,FALSE),main!$K$26:$M$29,2,FALSE)+VLOOKUP(VLOOKUP(AI$1,main!$A$3:$H$102,7,FALSE),main!$K$19:$O$22,MATCH(VLOOKUP($A16,main!$A$3:$H$102,8,FALSE),main!$K$18:$O$18,0))))),1,0)</f>
        <v>0</v>
      </c>
      <c r="AJ16">
        <f>IF((AND(VLOOKUP(AJ$1,main!$A$3:$H$102,5,FALSE)-VLOOKUP($A16,main!$A$3:$H$102,6,FALSE)&gt;=(VLOOKUP(VLOOKUP(AJ$1,main!$A$3:$H$102,8,FALSE),main!$K$26:$M$29,2,FALSE)+VLOOKUP(VLOOKUP(AJ$1,main!$A$3:$H$102,7,FALSE),main!$K$19:$O$22,MATCH(VLOOKUP($A16,main!$A$3:$H$102,8,FALSE),main!$K$18:$O$18,0))))),1,0)</f>
        <v>0</v>
      </c>
      <c r="AK16">
        <f>IF((AND(VLOOKUP(AK$1,main!$A$3:$H$102,5,FALSE)-VLOOKUP($A16,main!$A$3:$H$102,6,FALSE)&gt;=(VLOOKUP(VLOOKUP(AK$1,main!$A$3:$H$102,8,FALSE),main!$K$26:$M$29,2,FALSE)+VLOOKUP(VLOOKUP(AK$1,main!$A$3:$H$102,7,FALSE),main!$K$19:$O$22,MATCH(VLOOKUP($A16,main!$A$3:$H$102,8,FALSE),main!$K$18:$O$18,0))))),1,0)</f>
        <v>1</v>
      </c>
      <c r="AL16">
        <f>IF((AND(VLOOKUP(AL$1,main!$A$3:$H$102,5,FALSE)-VLOOKUP($A16,main!$A$3:$H$102,6,FALSE)&gt;=(VLOOKUP(VLOOKUP(AL$1,main!$A$3:$H$102,8,FALSE),main!$K$26:$M$29,2,FALSE)+VLOOKUP(VLOOKUP(AL$1,main!$A$3:$H$102,7,FALSE),main!$K$19:$O$22,MATCH(VLOOKUP($A16,main!$A$3:$H$102,8,FALSE),main!$K$18:$O$18,0))))),1,0)</f>
        <v>1</v>
      </c>
      <c r="AM16">
        <f>IF((AND(VLOOKUP(AM$1,main!$A$3:$H$102,5,FALSE)-VLOOKUP($A16,main!$A$3:$H$102,6,FALSE)&gt;=(VLOOKUP(VLOOKUP(AM$1,main!$A$3:$H$102,8,FALSE),main!$K$26:$M$29,2,FALSE)+VLOOKUP(VLOOKUP(AM$1,main!$A$3:$H$102,7,FALSE),main!$K$19:$O$22,MATCH(VLOOKUP($A16,main!$A$3:$H$102,8,FALSE),main!$K$18:$O$18,0))))),1,0)</f>
        <v>1</v>
      </c>
      <c r="AN16">
        <f>IF((AND(VLOOKUP(AN$1,main!$A$3:$H$102,5,FALSE)-VLOOKUP($A16,main!$A$3:$H$102,6,FALSE)&gt;=(VLOOKUP(VLOOKUP(AN$1,main!$A$3:$H$102,8,FALSE),main!$K$26:$M$29,2,FALSE)+VLOOKUP(VLOOKUP(AN$1,main!$A$3:$H$102,7,FALSE),main!$K$19:$O$22,MATCH(VLOOKUP($A16,main!$A$3:$H$102,8,FALSE),main!$K$18:$O$18,0))))),1,0)</f>
        <v>1</v>
      </c>
      <c r="AO16">
        <f>IF((AND(VLOOKUP(AO$1,main!$A$3:$H$102,5,FALSE)-VLOOKUP($A16,main!$A$3:$H$102,6,FALSE)&gt;=(VLOOKUP(VLOOKUP(AO$1,main!$A$3:$H$102,8,FALSE),main!$K$26:$M$29,2,FALSE)+VLOOKUP(VLOOKUP(AO$1,main!$A$3:$H$102,7,FALSE),main!$K$19:$O$22,MATCH(VLOOKUP($A16,main!$A$3:$H$102,8,FALSE),main!$K$18:$O$18,0))))),1,0)</f>
        <v>0</v>
      </c>
      <c r="AP16">
        <f>IF((AND(VLOOKUP(AP$1,main!$A$3:$H$102,5,FALSE)-VLOOKUP($A16,main!$A$3:$H$102,6,FALSE)&gt;=(VLOOKUP(VLOOKUP(AP$1,main!$A$3:$H$102,8,FALSE),main!$K$26:$M$29,2,FALSE)+VLOOKUP(VLOOKUP(AP$1,main!$A$3:$H$102,7,FALSE),main!$K$19:$O$22,MATCH(VLOOKUP($A16,main!$A$3:$H$102,8,FALSE),main!$K$18:$O$18,0))))),1,0)</f>
        <v>1</v>
      </c>
      <c r="AQ16">
        <f>IF((AND(VLOOKUP(AQ$1,main!$A$3:$H$102,5,FALSE)-VLOOKUP($A16,main!$A$3:$H$102,6,FALSE)&gt;=(VLOOKUP(VLOOKUP(AQ$1,main!$A$3:$H$102,8,FALSE),main!$K$26:$M$29,2,FALSE)+VLOOKUP(VLOOKUP(AQ$1,main!$A$3:$H$102,7,FALSE),main!$K$19:$O$22,MATCH(VLOOKUP($A16,main!$A$3:$H$102,8,FALSE),main!$K$18:$O$18,0))))),1,0)</f>
        <v>0</v>
      </c>
      <c r="AR16">
        <f>IF((AND(VLOOKUP(AR$1,main!$A$3:$H$102,5,FALSE)-VLOOKUP($A16,main!$A$3:$H$102,6,FALSE)&gt;=(VLOOKUP(VLOOKUP(AR$1,main!$A$3:$H$102,8,FALSE),main!$K$26:$M$29,2,FALSE)+VLOOKUP(VLOOKUP(AR$1,main!$A$3:$H$102,7,FALSE),main!$K$19:$O$22,MATCH(VLOOKUP($A16,main!$A$3:$H$102,8,FALSE),main!$K$18:$O$18,0))))),1,0)</f>
        <v>0</v>
      </c>
      <c r="AS16">
        <f>IF((AND(VLOOKUP(AS$1,main!$A$3:$H$102,5,FALSE)-VLOOKUP($A16,main!$A$3:$H$102,6,FALSE)&gt;=(VLOOKUP(VLOOKUP(AS$1,main!$A$3:$H$102,8,FALSE),main!$K$26:$M$29,2,FALSE)+VLOOKUP(VLOOKUP(AS$1,main!$A$3:$H$102,7,FALSE),main!$K$19:$O$22,MATCH(VLOOKUP($A16,main!$A$3:$H$102,8,FALSE),main!$K$18:$O$18,0))))),1,0)</f>
        <v>0</v>
      </c>
      <c r="AT16">
        <f>IF((AND(VLOOKUP(AT$1,main!$A$3:$H$102,5,FALSE)-VLOOKUP($A16,main!$A$3:$H$102,6,FALSE)&gt;=(VLOOKUP(VLOOKUP(AT$1,main!$A$3:$H$102,8,FALSE),main!$K$26:$M$29,2,FALSE)+VLOOKUP(VLOOKUP(AT$1,main!$A$3:$H$102,7,FALSE),main!$K$19:$O$22,MATCH(VLOOKUP($A16,main!$A$3:$H$102,8,FALSE),main!$K$18:$O$18,0))))),1,0)</f>
        <v>1</v>
      </c>
      <c r="AU16">
        <f>IF((AND(VLOOKUP(AU$1,main!$A$3:$H$102,5,FALSE)-VLOOKUP($A16,main!$A$3:$H$102,6,FALSE)&gt;=(VLOOKUP(VLOOKUP(AU$1,main!$A$3:$H$102,8,FALSE),main!$K$26:$M$29,2,FALSE)+VLOOKUP(VLOOKUP(AU$1,main!$A$3:$H$102,7,FALSE),main!$K$19:$O$22,MATCH(VLOOKUP($A16,main!$A$3:$H$102,8,FALSE),main!$K$18:$O$18,0))))),1,0)</f>
        <v>0</v>
      </c>
      <c r="AV16">
        <f>IF((AND(VLOOKUP(AV$1,main!$A$3:$H$102,5,FALSE)-VLOOKUP($A16,main!$A$3:$H$102,6,FALSE)&gt;=(VLOOKUP(VLOOKUP(AV$1,main!$A$3:$H$102,8,FALSE),main!$K$26:$M$29,2,FALSE)+VLOOKUP(VLOOKUP(AV$1,main!$A$3:$H$102,7,FALSE),main!$K$19:$O$22,MATCH(VLOOKUP($A16,main!$A$3:$H$102,8,FALSE),main!$K$18:$O$18,0))))),1,0)</f>
        <v>0</v>
      </c>
      <c r="AW16">
        <f>IF((AND(VLOOKUP(AW$1,main!$A$3:$H$102,5,FALSE)-VLOOKUP($A16,main!$A$3:$H$102,6,FALSE)&gt;=(VLOOKUP(VLOOKUP(AW$1,main!$A$3:$H$102,8,FALSE),main!$K$26:$M$29,2,FALSE)+VLOOKUP(VLOOKUP(AW$1,main!$A$3:$H$102,7,FALSE),main!$K$19:$O$22,MATCH(VLOOKUP($A16,main!$A$3:$H$102,8,FALSE),main!$K$18:$O$18,0))))),1,0)</f>
        <v>1</v>
      </c>
      <c r="AX16">
        <f>IF((AND(VLOOKUP(AX$1,main!$A$3:$H$102,5,FALSE)-VLOOKUP($A16,main!$A$3:$H$102,6,FALSE)&gt;=(VLOOKUP(VLOOKUP(AX$1,main!$A$3:$H$102,8,FALSE),main!$K$26:$M$29,2,FALSE)+VLOOKUP(VLOOKUP(AX$1,main!$A$3:$H$102,7,FALSE),main!$K$19:$O$22,MATCH(VLOOKUP($A16,main!$A$3:$H$102,8,FALSE),main!$K$18:$O$18,0))))),1,0)</f>
        <v>0</v>
      </c>
      <c r="AY16">
        <f>IF((AND(VLOOKUP(AY$1,main!$A$3:$H$102,5,FALSE)-VLOOKUP($A16,main!$A$3:$H$102,6,FALSE)&gt;=(VLOOKUP(VLOOKUP(AY$1,main!$A$3:$H$102,8,FALSE),main!$K$26:$M$29,2,FALSE)+VLOOKUP(VLOOKUP(AY$1,main!$A$3:$H$102,7,FALSE),main!$K$19:$O$22,MATCH(VLOOKUP($A16,main!$A$3:$H$102,8,FALSE),main!$K$18:$O$18,0))))),1,0)</f>
        <v>0</v>
      </c>
      <c r="AZ16">
        <f>IF((AND(VLOOKUP(AZ$1,main!$A$3:$H$102,5,FALSE)-VLOOKUP($A16,main!$A$3:$H$102,6,FALSE)&gt;=(VLOOKUP(VLOOKUP(AZ$1,main!$A$3:$H$102,8,FALSE),main!$K$26:$M$29,2,FALSE)+VLOOKUP(VLOOKUP(AZ$1,main!$A$3:$H$102,7,FALSE),main!$K$19:$O$22,MATCH(VLOOKUP($A16,main!$A$3:$H$102,8,FALSE),main!$K$18:$O$18,0))))),1,0)</f>
        <v>0</v>
      </c>
      <c r="BA16">
        <f>IF((AND(VLOOKUP(BA$1,main!$A$3:$H$102,5,FALSE)-VLOOKUP($A16,main!$A$3:$H$102,6,FALSE)&gt;=(VLOOKUP(VLOOKUP(BA$1,main!$A$3:$H$102,8,FALSE),main!$K$26:$M$29,2,FALSE)+VLOOKUP(VLOOKUP(BA$1,main!$A$3:$H$102,7,FALSE),main!$K$19:$O$22,MATCH(VLOOKUP($A16,main!$A$3:$H$102,8,FALSE),main!$K$18:$O$18,0))))),1,0)</f>
        <v>0</v>
      </c>
      <c r="BB16">
        <f>IF((AND(VLOOKUP(BB$1,main!$A$3:$H$102,5,FALSE)-VLOOKUP($A16,main!$A$3:$H$102,6,FALSE)&gt;=(VLOOKUP(VLOOKUP(BB$1,main!$A$3:$H$102,8,FALSE),main!$K$26:$M$29,2,FALSE)+VLOOKUP(VLOOKUP(BB$1,main!$A$3:$H$102,7,FALSE),main!$K$19:$O$22,MATCH(VLOOKUP($A16,main!$A$3:$H$102,8,FALSE),main!$K$18:$O$18,0))))),1,0)</f>
        <v>0</v>
      </c>
      <c r="BC16">
        <f>IF((AND(VLOOKUP(BC$1,main!$A$3:$H$102,5,FALSE)-VLOOKUP($A16,main!$A$3:$H$102,6,FALSE)&gt;=(VLOOKUP(VLOOKUP(BC$1,main!$A$3:$H$102,8,FALSE),main!$K$26:$M$29,2,FALSE)+VLOOKUP(VLOOKUP(BC$1,main!$A$3:$H$102,7,FALSE),main!$K$19:$O$22,MATCH(VLOOKUP($A16,main!$A$3:$H$102,8,FALSE),main!$K$18:$O$18,0))))),1,0)</f>
        <v>1</v>
      </c>
      <c r="BD16">
        <f>IF((AND(VLOOKUP(BD$1,main!$A$3:$H$102,5,FALSE)-VLOOKUP($A16,main!$A$3:$H$102,6,FALSE)&gt;=(VLOOKUP(VLOOKUP(BD$1,main!$A$3:$H$102,8,FALSE),main!$K$26:$M$29,2,FALSE)+VLOOKUP(VLOOKUP(BD$1,main!$A$3:$H$102,7,FALSE),main!$K$19:$O$22,MATCH(VLOOKUP($A16,main!$A$3:$H$102,8,FALSE),main!$K$18:$O$18,0))))),1,0)</f>
        <v>1</v>
      </c>
      <c r="BE16">
        <f>IF((AND(VLOOKUP(BE$1,main!$A$3:$H$102,5,FALSE)-VLOOKUP($A16,main!$A$3:$H$102,6,FALSE)&gt;=(VLOOKUP(VLOOKUP(BE$1,main!$A$3:$H$102,8,FALSE),main!$K$26:$M$29,2,FALSE)+VLOOKUP(VLOOKUP(BE$1,main!$A$3:$H$102,7,FALSE),main!$K$19:$O$22,MATCH(VLOOKUP($A16,main!$A$3:$H$102,8,FALSE),main!$K$18:$O$18,0))))),1,0)</f>
        <v>1</v>
      </c>
      <c r="BF16">
        <f>IF((AND(VLOOKUP(BF$1,main!$A$3:$H$102,5,FALSE)-VLOOKUP($A16,main!$A$3:$H$102,6,FALSE)&gt;=(VLOOKUP(VLOOKUP(BF$1,main!$A$3:$H$102,8,FALSE),main!$K$26:$M$29,2,FALSE)+VLOOKUP(VLOOKUP(BF$1,main!$A$3:$H$102,7,FALSE),main!$K$19:$O$22,MATCH(VLOOKUP($A16,main!$A$3:$H$102,8,FALSE),main!$K$18:$O$18,0))))),1,0)</f>
        <v>0</v>
      </c>
      <c r="BG16">
        <f>IF((AND(VLOOKUP(BG$1,main!$A$3:$H$102,5,FALSE)-VLOOKUP($A16,main!$A$3:$H$102,6,FALSE)&gt;=(VLOOKUP(VLOOKUP(BG$1,main!$A$3:$H$102,8,FALSE),main!$K$26:$M$29,2,FALSE)+VLOOKUP(VLOOKUP(BG$1,main!$A$3:$H$102,7,FALSE),main!$K$19:$O$22,MATCH(VLOOKUP($A16,main!$A$3:$H$102,8,FALSE),main!$K$18:$O$18,0))))),1,0)</f>
        <v>0</v>
      </c>
      <c r="BH16">
        <f>IF((AND(VLOOKUP(BH$1,main!$A$3:$H$102,5,FALSE)-VLOOKUP($A16,main!$A$3:$H$102,6,FALSE)&gt;=(VLOOKUP(VLOOKUP(BH$1,main!$A$3:$H$102,8,FALSE),main!$K$26:$M$29,2,FALSE)+VLOOKUP(VLOOKUP(BH$1,main!$A$3:$H$102,7,FALSE),main!$K$19:$O$22,MATCH(VLOOKUP($A16,main!$A$3:$H$102,8,FALSE),main!$K$18:$O$18,0))))),1,0)</f>
        <v>0</v>
      </c>
      <c r="BI16">
        <f>IF((AND(VLOOKUP(BI$1,main!$A$3:$H$102,5,FALSE)-VLOOKUP($A16,main!$A$3:$H$102,6,FALSE)&gt;=(VLOOKUP(VLOOKUP(BI$1,main!$A$3:$H$102,8,FALSE),main!$K$26:$M$29,2,FALSE)+VLOOKUP(VLOOKUP(BI$1,main!$A$3:$H$102,7,FALSE),main!$K$19:$O$22,MATCH(VLOOKUP($A16,main!$A$3:$H$102,8,FALSE),main!$K$18:$O$18,0))))),1,0)</f>
        <v>1</v>
      </c>
      <c r="BJ16">
        <f>IF((AND(VLOOKUP(BJ$1,main!$A$3:$H$102,5,FALSE)-VLOOKUP($A16,main!$A$3:$H$102,6,FALSE)&gt;=(VLOOKUP(VLOOKUP(BJ$1,main!$A$3:$H$102,8,FALSE),main!$K$26:$M$29,2,FALSE)+VLOOKUP(VLOOKUP(BJ$1,main!$A$3:$H$102,7,FALSE),main!$K$19:$O$22,MATCH(VLOOKUP($A16,main!$A$3:$H$102,8,FALSE),main!$K$18:$O$18,0))))),1,0)</f>
        <v>1</v>
      </c>
      <c r="BK16">
        <f>IF((AND(VLOOKUP(BK$1,main!$A$3:$H$102,5,FALSE)-VLOOKUP($A16,main!$A$3:$H$102,6,FALSE)&gt;=(VLOOKUP(VLOOKUP(BK$1,main!$A$3:$H$102,8,FALSE),main!$K$26:$M$29,2,FALSE)+VLOOKUP(VLOOKUP(BK$1,main!$A$3:$H$102,7,FALSE),main!$K$19:$O$22,MATCH(VLOOKUP($A16,main!$A$3:$H$102,8,FALSE),main!$K$18:$O$18,0))))),1,0)</f>
        <v>0</v>
      </c>
      <c r="BL16">
        <f>IF((AND(VLOOKUP(BL$1,main!$A$3:$H$102,5,FALSE)-VLOOKUP($A16,main!$A$3:$H$102,6,FALSE)&gt;=(VLOOKUP(VLOOKUP(BL$1,main!$A$3:$H$102,8,FALSE),main!$K$26:$M$29,2,FALSE)+VLOOKUP(VLOOKUP(BL$1,main!$A$3:$H$102,7,FALSE),main!$K$19:$O$22,MATCH(VLOOKUP($A16,main!$A$3:$H$102,8,FALSE),main!$K$18:$O$18,0))))),1,0)</f>
        <v>0</v>
      </c>
      <c r="BM16">
        <f>IF((AND(VLOOKUP(BM$1,main!$A$3:$H$102,5,FALSE)-VLOOKUP($A16,main!$A$3:$H$102,6,FALSE)&gt;=(VLOOKUP(VLOOKUP(BM$1,main!$A$3:$H$102,8,FALSE),main!$K$26:$M$29,2,FALSE)+VLOOKUP(VLOOKUP(BM$1,main!$A$3:$H$102,7,FALSE),main!$K$19:$O$22,MATCH(VLOOKUP($A16,main!$A$3:$H$102,8,FALSE),main!$K$18:$O$18,0))))),1,0)</f>
        <v>0</v>
      </c>
      <c r="BN16">
        <f>IF((AND(VLOOKUP(BN$1,main!$A$3:$H$102,5,FALSE)-VLOOKUP($A16,main!$A$3:$H$102,6,FALSE)&gt;=(VLOOKUP(VLOOKUP(BN$1,main!$A$3:$H$102,8,FALSE),main!$K$26:$M$29,2,FALSE)+VLOOKUP(VLOOKUP(BN$1,main!$A$3:$H$102,7,FALSE),main!$K$19:$O$22,MATCH(VLOOKUP($A16,main!$A$3:$H$102,8,FALSE),main!$K$18:$O$18,0))))),1,0)</f>
        <v>1</v>
      </c>
      <c r="BO16">
        <f>IF((AND(VLOOKUP(BO$1,main!$A$3:$H$102,5,FALSE)-VLOOKUP($A16,main!$A$3:$H$102,6,FALSE)&gt;=(VLOOKUP(VLOOKUP(BO$1,main!$A$3:$H$102,8,FALSE),main!$K$26:$M$29,2,FALSE)+VLOOKUP(VLOOKUP(BO$1,main!$A$3:$H$102,7,FALSE),main!$K$19:$O$22,MATCH(VLOOKUP($A16,main!$A$3:$H$102,8,FALSE),main!$K$18:$O$18,0))))),1,0)</f>
        <v>0</v>
      </c>
      <c r="BP16">
        <f>IF((AND(VLOOKUP(BP$1,main!$A$3:$H$102,5,FALSE)-VLOOKUP($A16,main!$A$3:$H$102,6,FALSE)&gt;=(VLOOKUP(VLOOKUP(BP$1,main!$A$3:$H$102,8,FALSE),main!$K$26:$M$29,2,FALSE)+VLOOKUP(VLOOKUP(BP$1,main!$A$3:$H$102,7,FALSE),main!$K$19:$O$22,MATCH(VLOOKUP($A16,main!$A$3:$H$102,8,FALSE),main!$K$18:$O$18,0))))),1,0)</f>
        <v>0</v>
      </c>
      <c r="BQ16">
        <f>IF((AND(VLOOKUP(BQ$1,main!$A$3:$H$102,5,FALSE)-VLOOKUP($A16,main!$A$3:$H$102,6,FALSE)&gt;=(VLOOKUP(VLOOKUP(BQ$1,main!$A$3:$H$102,8,FALSE),main!$K$26:$M$29,2,FALSE)+VLOOKUP(VLOOKUP(BQ$1,main!$A$3:$H$102,7,FALSE),main!$K$19:$O$22,MATCH(VLOOKUP($A16,main!$A$3:$H$102,8,FALSE),main!$K$18:$O$18,0))))),1,0)</f>
        <v>0</v>
      </c>
      <c r="BR16">
        <f>IF((AND(VLOOKUP(BR$1,main!$A$3:$H$102,5,FALSE)-VLOOKUP($A16,main!$A$3:$H$102,6,FALSE)&gt;=(VLOOKUP(VLOOKUP(BR$1,main!$A$3:$H$102,8,FALSE),main!$K$26:$M$29,2,FALSE)+VLOOKUP(VLOOKUP(BR$1,main!$A$3:$H$102,7,FALSE),main!$K$19:$O$22,MATCH(VLOOKUP($A16,main!$A$3:$H$102,8,FALSE),main!$K$18:$O$18,0))))),1,0)</f>
        <v>0</v>
      </c>
      <c r="BS16">
        <f>IF((AND(VLOOKUP(BS$1,main!$A$3:$H$102,5,FALSE)-VLOOKUP($A16,main!$A$3:$H$102,6,FALSE)&gt;=(VLOOKUP(VLOOKUP(BS$1,main!$A$3:$H$102,8,FALSE),main!$K$26:$M$29,2,FALSE)+VLOOKUP(VLOOKUP(BS$1,main!$A$3:$H$102,7,FALSE),main!$K$19:$O$22,MATCH(VLOOKUP($A16,main!$A$3:$H$102,8,FALSE),main!$K$18:$O$18,0))))),1,0)</f>
        <v>0</v>
      </c>
      <c r="BT16">
        <f>IF((AND(VLOOKUP(BT$1,main!$A$3:$H$102,5,FALSE)-VLOOKUP($A16,main!$A$3:$H$102,6,FALSE)&gt;=(VLOOKUP(VLOOKUP(BT$1,main!$A$3:$H$102,8,FALSE),main!$K$26:$M$29,2,FALSE)+VLOOKUP(VLOOKUP(BT$1,main!$A$3:$H$102,7,FALSE),main!$K$19:$O$22,MATCH(VLOOKUP($A16,main!$A$3:$H$102,8,FALSE),main!$K$18:$O$18,0))))),1,0)</f>
        <v>0</v>
      </c>
      <c r="BU16">
        <f>IF((AND(VLOOKUP(BU$1,main!$A$3:$H$102,5,FALSE)-VLOOKUP($A16,main!$A$3:$H$102,6,FALSE)&gt;=(VLOOKUP(VLOOKUP(BU$1,main!$A$3:$H$102,8,FALSE),main!$K$26:$M$29,2,FALSE)+VLOOKUP(VLOOKUP(BU$1,main!$A$3:$H$102,7,FALSE),main!$K$19:$O$22,MATCH(VLOOKUP($A16,main!$A$3:$H$102,8,FALSE),main!$K$18:$O$18,0))))),1,0)</f>
        <v>0</v>
      </c>
      <c r="BV16">
        <f>IF((AND(VLOOKUP(BV$1,main!$A$3:$H$102,5,FALSE)-VLOOKUP($A16,main!$A$3:$H$102,6,FALSE)&gt;=(VLOOKUP(VLOOKUP(BV$1,main!$A$3:$H$102,8,FALSE),main!$K$26:$M$29,2,FALSE)+VLOOKUP(VLOOKUP(BV$1,main!$A$3:$H$102,7,FALSE),main!$K$19:$O$22,MATCH(VLOOKUP($A16,main!$A$3:$H$102,8,FALSE),main!$K$18:$O$18,0))))),1,0)</f>
        <v>0</v>
      </c>
      <c r="BW16">
        <f>IF((AND(VLOOKUP(BW$1,main!$A$3:$H$102,5,FALSE)-VLOOKUP($A16,main!$A$3:$H$102,6,FALSE)&gt;=(VLOOKUP(VLOOKUP(BW$1,main!$A$3:$H$102,8,FALSE),main!$K$26:$M$29,2,FALSE)+VLOOKUP(VLOOKUP(BW$1,main!$A$3:$H$102,7,FALSE),main!$K$19:$O$22,MATCH(VLOOKUP($A16,main!$A$3:$H$102,8,FALSE),main!$K$18:$O$18,0))))),1,0)</f>
        <v>0</v>
      </c>
      <c r="BX16">
        <f>IF((AND(VLOOKUP(BX$1,main!$A$3:$H$102,5,FALSE)-VLOOKUP($A16,main!$A$3:$H$102,6,FALSE)&gt;=(VLOOKUP(VLOOKUP(BX$1,main!$A$3:$H$102,8,FALSE),main!$K$26:$M$29,2,FALSE)+VLOOKUP(VLOOKUP(BX$1,main!$A$3:$H$102,7,FALSE),main!$K$19:$O$22,MATCH(VLOOKUP($A16,main!$A$3:$H$102,8,FALSE),main!$K$18:$O$18,0))))),1,0)</f>
        <v>0</v>
      </c>
      <c r="BY16">
        <f>IF((AND(VLOOKUP(BY$1,main!$A$3:$H$102,5,FALSE)-VLOOKUP($A16,main!$A$3:$H$102,6,FALSE)&gt;=(VLOOKUP(VLOOKUP(BY$1,main!$A$3:$H$102,8,FALSE),main!$K$26:$M$29,2,FALSE)+VLOOKUP(VLOOKUP(BY$1,main!$A$3:$H$102,7,FALSE),main!$K$19:$O$22,MATCH(VLOOKUP($A16,main!$A$3:$H$102,8,FALSE),main!$K$18:$O$18,0))))),1,0)</f>
        <v>1</v>
      </c>
      <c r="BZ16">
        <f>IF((AND(VLOOKUP(BZ$1,main!$A$3:$H$102,5,FALSE)-VLOOKUP($A16,main!$A$3:$H$102,6,FALSE)&gt;=(VLOOKUP(VLOOKUP(BZ$1,main!$A$3:$H$102,8,FALSE),main!$K$26:$M$29,2,FALSE)+VLOOKUP(VLOOKUP(BZ$1,main!$A$3:$H$102,7,FALSE),main!$K$19:$O$22,MATCH(VLOOKUP($A16,main!$A$3:$H$102,8,FALSE),main!$K$18:$O$18,0))))),1,0)</f>
        <v>0</v>
      </c>
      <c r="CA16">
        <f>IF((AND(VLOOKUP(CA$1,main!$A$3:$H$102,5,FALSE)-VLOOKUP($A16,main!$A$3:$H$102,6,FALSE)&gt;=(VLOOKUP(VLOOKUP(CA$1,main!$A$3:$H$102,8,FALSE),main!$K$26:$M$29,2,FALSE)+VLOOKUP(VLOOKUP(CA$1,main!$A$3:$H$102,7,FALSE),main!$K$19:$O$22,MATCH(VLOOKUP($A16,main!$A$3:$H$102,8,FALSE),main!$K$18:$O$18,0))))),1,0)</f>
        <v>0</v>
      </c>
      <c r="CB16">
        <f>IF((AND(VLOOKUP(CB$1,main!$A$3:$H$102,5,FALSE)-VLOOKUP($A16,main!$A$3:$H$102,6,FALSE)&gt;=(VLOOKUP(VLOOKUP(CB$1,main!$A$3:$H$102,8,FALSE),main!$K$26:$M$29,2,FALSE)+VLOOKUP(VLOOKUP(CB$1,main!$A$3:$H$102,7,FALSE),main!$K$19:$O$22,MATCH(VLOOKUP($A16,main!$A$3:$H$102,8,FALSE),main!$K$18:$O$18,0))))),1,0)</f>
        <v>1</v>
      </c>
      <c r="CC16">
        <f>IF((AND(VLOOKUP(CC$1,main!$A$3:$H$102,5,FALSE)-VLOOKUP($A16,main!$A$3:$H$102,6,FALSE)&gt;=(VLOOKUP(VLOOKUP(CC$1,main!$A$3:$H$102,8,FALSE),main!$K$26:$M$29,2,FALSE)+VLOOKUP(VLOOKUP(CC$1,main!$A$3:$H$102,7,FALSE),main!$K$19:$O$22,MATCH(VLOOKUP($A16,main!$A$3:$H$102,8,FALSE),main!$K$18:$O$18,0))))),1,0)</f>
        <v>1</v>
      </c>
      <c r="CD16">
        <f>IF((AND(VLOOKUP(CD$1,main!$A$3:$H$102,5,FALSE)-VLOOKUP($A16,main!$A$3:$H$102,6,FALSE)&gt;=(VLOOKUP(VLOOKUP(CD$1,main!$A$3:$H$102,8,FALSE),main!$K$26:$M$29,2,FALSE)+VLOOKUP(VLOOKUP(CD$1,main!$A$3:$H$102,7,FALSE),main!$K$19:$O$22,MATCH(VLOOKUP($A16,main!$A$3:$H$102,8,FALSE),main!$K$18:$O$18,0))))),1,0)</f>
        <v>1</v>
      </c>
      <c r="CE16">
        <f>IF((AND(VLOOKUP(CE$1,main!$A$3:$H$102,5,FALSE)-VLOOKUP($A16,main!$A$3:$H$102,6,FALSE)&gt;=(VLOOKUP(VLOOKUP(CE$1,main!$A$3:$H$102,8,FALSE),main!$K$26:$M$29,2,FALSE)+VLOOKUP(VLOOKUP(CE$1,main!$A$3:$H$102,7,FALSE),main!$K$19:$O$22,MATCH(VLOOKUP($A16,main!$A$3:$H$102,8,FALSE),main!$K$18:$O$18,0))))),1,0)</f>
        <v>0</v>
      </c>
      <c r="CF16">
        <f>IF((AND(VLOOKUP(CF$1,main!$A$3:$H$102,5,FALSE)-VLOOKUP($A16,main!$A$3:$H$102,6,FALSE)&gt;=(VLOOKUP(VLOOKUP(CF$1,main!$A$3:$H$102,8,FALSE),main!$K$26:$M$29,2,FALSE)+VLOOKUP(VLOOKUP(CF$1,main!$A$3:$H$102,7,FALSE),main!$K$19:$O$22,MATCH(VLOOKUP($A16,main!$A$3:$H$102,8,FALSE),main!$K$18:$O$18,0))))),1,0)</f>
        <v>0</v>
      </c>
      <c r="CG16">
        <f>IF((AND(VLOOKUP(CG$1,main!$A$3:$H$102,5,FALSE)-VLOOKUP($A16,main!$A$3:$H$102,6,FALSE)&gt;=(VLOOKUP(VLOOKUP(CG$1,main!$A$3:$H$102,8,FALSE),main!$K$26:$M$29,2,FALSE)+VLOOKUP(VLOOKUP(CG$1,main!$A$3:$H$102,7,FALSE),main!$K$19:$O$22,MATCH(VLOOKUP($A16,main!$A$3:$H$102,8,FALSE),main!$K$18:$O$18,0))))),1,0)</f>
        <v>0</v>
      </c>
      <c r="CH16">
        <f>IF((AND(VLOOKUP(CH$1,main!$A$3:$H$102,5,FALSE)-VLOOKUP($A16,main!$A$3:$H$102,6,FALSE)&gt;=(VLOOKUP(VLOOKUP(CH$1,main!$A$3:$H$102,8,FALSE),main!$K$26:$M$29,2,FALSE)+VLOOKUP(VLOOKUP(CH$1,main!$A$3:$H$102,7,FALSE),main!$K$19:$O$22,MATCH(VLOOKUP($A16,main!$A$3:$H$102,8,FALSE),main!$K$18:$O$18,0))))),1,0)</f>
        <v>1</v>
      </c>
      <c r="CI16">
        <f>IF((AND(VLOOKUP(CI$1,main!$A$3:$H$102,5,FALSE)-VLOOKUP($A16,main!$A$3:$H$102,6,FALSE)&gt;=(VLOOKUP(VLOOKUP(CI$1,main!$A$3:$H$102,8,FALSE),main!$K$26:$M$29,2,FALSE)+VLOOKUP(VLOOKUP(CI$1,main!$A$3:$H$102,7,FALSE),main!$K$19:$O$22,MATCH(VLOOKUP($A16,main!$A$3:$H$102,8,FALSE),main!$K$18:$O$18,0))))),1,0)</f>
        <v>1</v>
      </c>
      <c r="CJ16">
        <f>IF((AND(VLOOKUP(CJ$1,main!$A$3:$H$102,5,FALSE)-VLOOKUP($A16,main!$A$3:$H$102,6,FALSE)&gt;=(VLOOKUP(VLOOKUP(CJ$1,main!$A$3:$H$102,8,FALSE),main!$K$26:$M$29,2,FALSE)+VLOOKUP(VLOOKUP(CJ$1,main!$A$3:$H$102,7,FALSE),main!$K$19:$O$22,MATCH(VLOOKUP($A16,main!$A$3:$H$102,8,FALSE),main!$K$18:$O$18,0))))),1,0)</f>
        <v>0</v>
      </c>
      <c r="CK16">
        <f>IF((AND(VLOOKUP(CK$1,main!$A$3:$H$102,5,FALSE)-VLOOKUP($A16,main!$A$3:$H$102,6,FALSE)&gt;=(VLOOKUP(VLOOKUP(CK$1,main!$A$3:$H$102,8,FALSE),main!$K$26:$M$29,2,FALSE)+VLOOKUP(VLOOKUP(CK$1,main!$A$3:$H$102,7,FALSE),main!$K$19:$O$22,MATCH(VLOOKUP($A16,main!$A$3:$H$102,8,FALSE),main!$K$18:$O$18,0))))),1,0)</f>
        <v>0</v>
      </c>
      <c r="CL16">
        <f>IF((AND(VLOOKUP(CL$1,main!$A$3:$H$102,5,FALSE)-VLOOKUP($A16,main!$A$3:$H$102,6,FALSE)&gt;=(VLOOKUP(VLOOKUP(CL$1,main!$A$3:$H$102,8,FALSE),main!$K$26:$M$29,2,FALSE)+VLOOKUP(VLOOKUP(CL$1,main!$A$3:$H$102,7,FALSE),main!$K$19:$O$22,MATCH(VLOOKUP($A16,main!$A$3:$H$102,8,FALSE),main!$K$18:$O$18,0))))),1,0)</f>
        <v>0</v>
      </c>
      <c r="CM16">
        <f>IF((AND(VLOOKUP(CM$1,main!$A$3:$H$102,5,FALSE)-VLOOKUP($A16,main!$A$3:$H$102,6,FALSE)&gt;=(VLOOKUP(VLOOKUP(CM$1,main!$A$3:$H$102,8,FALSE),main!$K$26:$M$29,2,FALSE)+VLOOKUP(VLOOKUP(CM$1,main!$A$3:$H$102,7,FALSE),main!$K$19:$O$22,MATCH(VLOOKUP($A16,main!$A$3:$H$102,8,FALSE),main!$K$18:$O$18,0))))),1,0)</f>
        <v>1</v>
      </c>
      <c r="CN16">
        <f>IF((AND(VLOOKUP(CN$1,main!$A$3:$H$102,5,FALSE)-VLOOKUP($A16,main!$A$3:$H$102,6,FALSE)&gt;=(VLOOKUP(VLOOKUP(CN$1,main!$A$3:$H$102,8,FALSE),main!$K$26:$M$29,2,FALSE)+VLOOKUP(VLOOKUP(CN$1,main!$A$3:$H$102,7,FALSE),main!$K$19:$O$22,MATCH(VLOOKUP($A16,main!$A$3:$H$102,8,FALSE),main!$K$18:$O$18,0))))),1,0)</f>
        <v>1</v>
      </c>
      <c r="CO16">
        <f>IF((AND(VLOOKUP(CO$1,main!$A$3:$H$102,5,FALSE)-VLOOKUP($A16,main!$A$3:$H$102,6,FALSE)&gt;=(VLOOKUP(VLOOKUP(CO$1,main!$A$3:$H$102,8,FALSE),main!$K$26:$M$29,2,FALSE)+VLOOKUP(VLOOKUP(CO$1,main!$A$3:$H$102,7,FALSE),main!$K$19:$O$22,MATCH(VLOOKUP($A16,main!$A$3:$H$102,8,FALSE),main!$K$18:$O$18,0))))),1,0)</f>
        <v>0</v>
      </c>
      <c r="CP16">
        <f>IF((AND(VLOOKUP(CP$1,main!$A$3:$H$102,5,FALSE)-VLOOKUP($A16,main!$A$3:$H$102,6,FALSE)&gt;=(VLOOKUP(VLOOKUP(CP$1,main!$A$3:$H$102,8,FALSE),main!$K$26:$M$29,2,FALSE)+VLOOKUP(VLOOKUP(CP$1,main!$A$3:$H$102,7,FALSE),main!$K$19:$O$22,MATCH(VLOOKUP($A16,main!$A$3:$H$102,8,FALSE),main!$K$18:$O$18,0))))),1,0)</f>
        <v>0</v>
      </c>
      <c r="CQ16">
        <f>IF((AND(VLOOKUP(CQ$1,main!$A$3:$H$102,5,FALSE)-VLOOKUP($A16,main!$A$3:$H$102,6,FALSE)&gt;=(VLOOKUP(VLOOKUP(CQ$1,main!$A$3:$H$102,8,FALSE),main!$K$26:$M$29,2,FALSE)+VLOOKUP(VLOOKUP(CQ$1,main!$A$3:$H$102,7,FALSE),main!$K$19:$O$22,MATCH(VLOOKUP($A16,main!$A$3:$H$102,8,FALSE),main!$K$18:$O$18,0))))),1,0)</f>
        <v>0</v>
      </c>
      <c r="CR16">
        <f>IF((AND(VLOOKUP(CR$1,main!$A$3:$H$102,5,FALSE)-VLOOKUP($A16,main!$A$3:$H$102,6,FALSE)&gt;=(VLOOKUP(VLOOKUP(CR$1,main!$A$3:$H$102,8,FALSE),main!$K$26:$M$29,2,FALSE)+VLOOKUP(VLOOKUP(CR$1,main!$A$3:$H$102,7,FALSE),main!$K$19:$O$22,MATCH(VLOOKUP($A16,main!$A$3:$H$102,8,FALSE),main!$K$18:$O$18,0))))),1,0)</f>
        <v>1</v>
      </c>
      <c r="CS16">
        <f>IF((AND(VLOOKUP(CS$1,main!$A$3:$H$102,5,FALSE)-VLOOKUP($A16,main!$A$3:$H$102,6,FALSE)&gt;=(VLOOKUP(VLOOKUP(CS$1,main!$A$3:$H$102,8,FALSE),main!$K$26:$M$29,2,FALSE)+VLOOKUP(VLOOKUP(CS$1,main!$A$3:$H$102,7,FALSE),main!$K$19:$O$22,MATCH(VLOOKUP($A16,main!$A$3:$H$102,8,FALSE),main!$K$18:$O$18,0))))),1,0)</f>
        <v>1</v>
      </c>
      <c r="CT16">
        <f>IF((AND(VLOOKUP(CT$1,main!$A$3:$H$102,5,FALSE)-VLOOKUP($A16,main!$A$3:$H$102,6,FALSE)&gt;=(VLOOKUP(VLOOKUP(CT$1,main!$A$3:$H$102,8,FALSE),main!$K$26:$M$29,2,FALSE)+VLOOKUP(VLOOKUP(CT$1,main!$A$3:$H$102,7,FALSE),main!$K$19:$O$22,MATCH(VLOOKUP($A16,main!$A$3:$H$102,8,FALSE),main!$K$18:$O$18,0))))),1,0)</f>
        <v>0</v>
      </c>
      <c r="CU16">
        <f>IF((AND(VLOOKUP(CU$1,main!$A$3:$H$102,5,FALSE)-VLOOKUP($A16,main!$A$3:$H$102,6,FALSE)&gt;=(VLOOKUP(VLOOKUP(CU$1,main!$A$3:$H$102,8,FALSE),main!$K$26:$M$29,2,FALSE)+VLOOKUP(VLOOKUP(CU$1,main!$A$3:$H$102,7,FALSE),main!$K$19:$O$22,MATCH(VLOOKUP($A16,main!$A$3:$H$102,8,FALSE),main!$K$18:$O$18,0))))),1,0)</f>
        <v>0</v>
      </c>
      <c r="CV16">
        <f>IF((AND(VLOOKUP(CV$1,main!$A$3:$H$102,5,FALSE)-VLOOKUP($A16,main!$A$3:$H$102,6,FALSE)&gt;=(VLOOKUP(VLOOKUP(CV$1,main!$A$3:$H$102,8,FALSE),main!$K$26:$M$29,2,FALSE)+VLOOKUP(VLOOKUP(CV$1,main!$A$3:$H$102,7,FALSE),main!$K$19:$O$22,MATCH(VLOOKUP($A16,main!$A$3:$H$102,8,FALSE),main!$K$18:$O$18,0))))),1,0)</f>
        <v>0</v>
      </c>
      <c r="CW16">
        <f>IF((AND(VLOOKUP(CW$1,main!$A$3:$H$102,5,FALSE)-VLOOKUP($A16,main!$A$3:$H$102,6,FALSE)&gt;=(VLOOKUP(VLOOKUP(CW$1,main!$A$3:$H$102,8,FALSE),main!$K$26:$M$29,2,FALSE)+VLOOKUP(VLOOKUP(CW$1,main!$A$3:$H$102,7,FALSE),main!$K$19:$O$22,MATCH(VLOOKUP($A16,main!$A$3:$H$102,8,FALSE),main!$K$18:$O$18,0))))),1,0)</f>
        <v>1</v>
      </c>
      <c r="CX16">
        <f>IF((AND(VLOOKUP(CX$1,main!$A$3:$H$102,5,FALSE)-VLOOKUP($A16,main!$A$3:$H$102,6,FALSE)&gt;=(VLOOKUP(VLOOKUP(CX$1,main!$A$3:$H$102,8,FALSE),main!$K$26:$M$29,2,FALSE)+VLOOKUP(VLOOKUP(CX$1,main!$A$3:$H$102,7,FALSE),main!$K$19:$O$22,MATCH(VLOOKUP($A16,main!$A$3:$H$102,8,FALSE),main!$K$18:$O$18,0))))),1,0)</f>
        <v>1</v>
      </c>
    </row>
    <row r="17" spans="1:102" x14ac:dyDescent="0.25">
      <c r="A17" s="1">
        <v>15</v>
      </c>
      <c r="B17">
        <v>1</v>
      </c>
      <c r="C17">
        <f>IF((AND(VLOOKUP(C$1,main!$A$3:$H$102,5,FALSE)-VLOOKUP($A17,main!$A$3:$H$102,6,FALSE)&gt;=(VLOOKUP(VLOOKUP(C$1,main!$A$3:$H$102,8,FALSE),main!$K$26:$M$29,2,FALSE)+VLOOKUP(VLOOKUP(C$1,main!$A$3:$H$102,7,FALSE),main!$K$19:$O$22,MATCH(VLOOKUP($A17,main!$A$3:$H$102,8,FALSE),main!$K$18:$O$18,0))))),1,0)</f>
        <v>0</v>
      </c>
      <c r="D17">
        <f>IF((AND(VLOOKUP(D$1,main!$A$3:$H$102,5,FALSE)-VLOOKUP($A17,main!$A$3:$H$102,6,FALSE)&gt;=(VLOOKUP(VLOOKUP(D$1,main!$A$3:$H$102,8,FALSE),main!$K$26:$M$29,2,FALSE)+VLOOKUP(VLOOKUP(D$1,main!$A$3:$H$102,7,FALSE),main!$K$19:$O$22,MATCH(VLOOKUP($A17,main!$A$3:$H$102,8,FALSE),main!$K$18:$O$18,0))))),1,0)</f>
        <v>0</v>
      </c>
      <c r="E17">
        <f>IF((AND(VLOOKUP(E$1,main!$A$3:$H$102,5,FALSE)-VLOOKUP($A17,main!$A$3:$H$102,6,FALSE)&gt;=(VLOOKUP(VLOOKUP(E$1,main!$A$3:$H$102,8,FALSE),main!$K$26:$M$29,2,FALSE)+VLOOKUP(VLOOKUP(E$1,main!$A$3:$H$102,7,FALSE),main!$K$19:$O$22,MATCH(VLOOKUP($A17,main!$A$3:$H$102,8,FALSE),main!$K$18:$O$18,0))))),1,0)</f>
        <v>0</v>
      </c>
      <c r="F17">
        <f>IF((AND(VLOOKUP(F$1,main!$A$3:$H$102,5,FALSE)-VLOOKUP($A17,main!$A$3:$H$102,6,FALSE)&gt;=(VLOOKUP(VLOOKUP(F$1,main!$A$3:$H$102,8,FALSE),main!$K$26:$M$29,2,FALSE)+VLOOKUP(VLOOKUP(F$1,main!$A$3:$H$102,7,FALSE),main!$K$19:$O$22,MATCH(VLOOKUP($A17,main!$A$3:$H$102,8,FALSE),main!$K$18:$O$18,0))))),1,0)</f>
        <v>0</v>
      </c>
      <c r="G17">
        <f>IF((AND(VLOOKUP(G$1,main!$A$3:$H$102,5,FALSE)-VLOOKUP($A17,main!$A$3:$H$102,6,FALSE)&gt;=(VLOOKUP(VLOOKUP(G$1,main!$A$3:$H$102,8,FALSE),main!$K$26:$M$29,2,FALSE)+VLOOKUP(VLOOKUP(G$1,main!$A$3:$H$102,7,FALSE),main!$K$19:$O$22,MATCH(VLOOKUP($A17,main!$A$3:$H$102,8,FALSE),main!$K$18:$O$18,0))))),1,0)</f>
        <v>0</v>
      </c>
      <c r="H17">
        <f>IF((AND(VLOOKUP(H$1,main!$A$3:$H$102,5,FALSE)-VLOOKUP($A17,main!$A$3:$H$102,6,FALSE)&gt;=(VLOOKUP(VLOOKUP(H$1,main!$A$3:$H$102,8,FALSE),main!$K$26:$M$29,2,FALSE)+VLOOKUP(VLOOKUP(H$1,main!$A$3:$H$102,7,FALSE),main!$K$19:$O$22,MATCH(VLOOKUP($A17,main!$A$3:$H$102,8,FALSE),main!$K$18:$O$18,0))))),1,0)</f>
        <v>0</v>
      </c>
      <c r="I17">
        <f>IF((AND(VLOOKUP(I$1,main!$A$3:$H$102,5,FALSE)-VLOOKUP($A17,main!$A$3:$H$102,6,FALSE)&gt;=(VLOOKUP(VLOOKUP(I$1,main!$A$3:$H$102,8,FALSE),main!$K$26:$M$29,2,FALSE)+VLOOKUP(VLOOKUP(I$1,main!$A$3:$H$102,7,FALSE),main!$K$19:$O$22,MATCH(VLOOKUP($A17,main!$A$3:$H$102,8,FALSE),main!$K$18:$O$18,0))))),1,0)</f>
        <v>1</v>
      </c>
      <c r="J17">
        <f>IF((AND(VLOOKUP(J$1,main!$A$3:$H$102,5,FALSE)-VLOOKUP($A17,main!$A$3:$H$102,6,FALSE)&gt;=(VLOOKUP(VLOOKUP(J$1,main!$A$3:$H$102,8,FALSE),main!$K$26:$M$29,2,FALSE)+VLOOKUP(VLOOKUP(J$1,main!$A$3:$H$102,7,FALSE),main!$K$19:$O$22,MATCH(VLOOKUP($A17,main!$A$3:$H$102,8,FALSE),main!$K$18:$O$18,0))))),1,0)</f>
        <v>1</v>
      </c>
      <c r="K17">
        <f>IF((AND(VLOOKUP(K$1,main!$A$3:$H$102,5,FALSE)-VLOOKUP($A17,main!$A$3:$H$102,6,FALSE)&gt;=(VLOOKUP(VLOOKUP(K$1,main!$A$3:$H$102,8,FALSE),main!$K$26:$M$29,2,FALSE)+VLOOKUP(VLOOKUP(K$1,main!$A$3:$H$102,7,FALSE),main!$K$19:$O$22,MATCH(VLOOKUP($A17,main!$A$3:$H$102,8,FALSE),main!$K$18:$O$18,0))))),1,0)</f>
        <v>1</v>
      </c>
      <c r="L17">
        <f>IF((AND(VLOOKUP(L$1,main!$A$3:$H$102,5,FALSE)-VLOOKUP($A17,main!$A$3:$H$102,6,FALSE)&gt;=(VLOOKUP(VLOOKUP(L$1,main!$A$3:$H$102,8,FALSE),main!$K$26:$M$29,2,FALSE)+VLOOKUP(VLOOKUP(L$1,main!$A$3:$H$102,7,FALSE),main!$K$19:$O$22,MATCH(VLOOKUP($A17,main!$A$3:$H$102,8,FALSE),main!$K$18:$O$18,0))))),1,0)</f>
        <v>1</v>
      </c>
      <c r="M17">
        <f>IF((AND(VLOOKUP(M$1,main!$A$3:$H$102,5,FALSE)-VLOOKUP($A17,main!$A$3:$H$102,6,FALSE)&gt;=(VLOOKUP(VLOOKUP(M$1,main!$A$3:$H$102,8,FALSE),main!$K$26:$M$29,2,FALSE)+VLOOKUP(VLOOKUP(M$1,main!$A$3:$H$102,7,FALSE),main!$K$19:$O$22,MATCH(VLOOKUP($A17,main!$A$3:$H$102,8,FALSE),main!$K$18:$O$18,0))))),1,0)</f>
        <v>0</v>
      </c>
      <c r="N17">
        <f>IF((AND(VLOOKUP(N$1,main!$A$3:$H$102,5,FALSE)-VLOOKUP($A17,main!$A$3:$H$102,6,FALSE)&gt;=(VLOOKUP(VLOOKUP(N$1,main!$A$3:$H$102,8,FALSE),main!$K$26:$M$29,2,FALSE)+VLOOKUP(VLOOKUP(N$1,main!$A$3:$H$102,7,FALSE),main!$K$19:$O$22,MATCH(VLOOKUP($A17,main!$A$3:$H$102,8,FALSE),main!$K$18:$O$18,0))))),1,0)</f>
        <v>0</v>
      </c>
      <c r="O17">
        <f>IF((AND(VLOOKUP(O$1,main!$A$3:$H$102,5,FALSE)-VLOOKUP($A17,main!$A$3:$H$102,6,FALSE)&gt;=(VLOOKUP(VLOOKUP(O$1,main!$A$3:$H$102,8,FALSE),main!$K$26:$M$29,2,FALSE)+VLOOKUP(VLOOKUP(O$1,main!$A$3:$H$102,7,FALSE),main!$K$19:$O$22,MATCH(VLOOKUP($A17,main!$A$3:$H$102,8,FALSE),main!$K$18:$O$18,0))))),1,0)</f>
        <v>0</v>
      </c>
      <c r="P17">
        <f>IF((AND(VLOOKUP(P$1,main!$A$3:$H$102,5,FALSE)-VLOOKUP($A17,main!$A$3:$H$102,6,FALSE)&gt;=(VLOOKUP(VLOOKUP(P$1,main!$A$3:$H$102,8,FALSE),main!$K$26:$M$29,2,FALSE)+VLOOKUP(VLOOKUP(P$1,main!$A$3:$H$102,7,FALSE),main!$K$19:$O$22,MATCH(VLOOKUP($A17,main!$A$3:$H$102,8,FALSE),main!$K$18:$O$18,0))))),1,0)</f>
        <v>0</v>
      </c>
      <c r="Q17">
        <f>IF((AND(VLOOKUP(Q$1,main!$A$3:$H$102,5,FALSE)-VLOOKUP($A17,main!$A$3:$H$102,6,FALSE)&gt;=(VLOOKUP(VLOOKUP(Q$1,main!$A$3:$H$102,8,FALSE),main!$K$26:$M$29,2,FALSE)+VLOOKUP(VLOOKUP(Q$1,main!$A$3:$H$102,7,FALSE),main!$K$19:$O$22,MATCH(VLOOKUP($A17,main!$A$3:$H$102,8,FALSE),main!$K$18:$O$18,0))))),1,0)</f>
        <v>0</v>
      </c>
      <c r="R17">
        <f>IF((AND(VLOOKUP(R$1,main!$A$3:$H$102,5,FALSE)-VLOOKUP($A17,main!$A$3:$H$102,6,FALSE)&gt;=(VLOOKUP(VLOOKUP(R$1,main!$A$3:$H$102,8,FALSE),main!$K$26:$M$29,2,FALSE)+VLOOKUP(VLOOKUP(R$1,main!$A$3:$H$102,7,FALSE),main!$K$19:$O$22,MATCH(VLOOKUP($A17,main!$A$3:$H$102,8,FALSE),main!$K$18:$O$18,0))))),1,0)</f>
        <v>0</v>
      </c>
      <c r="S17">
        <f>IF((AND(VLOOKUP(S$1,main!$A$3:$H$102,5,FALSE)-VLOOKUP($A17,main!$A$3:$H$102,6,FALSE)&gt;=(VLOOKUP(VLOOKUP(S$1,main!$A$3:$H$102,8,FALSE),main!$K$26:$M$29,2,FALSE)+VLOOKUP(VLOOKUP(S$1,main!$A$3:$H$102,7,FALSE),main!$K$19:$O$22,MATCH(VLOOKUP($A17,main!$A$3:$H$102,8,FALSE),main!$K$18:$O$18,0))))),1,0)</f>
        <v>0</v>
      </c>
      <c r="T17">
        <f>IF((AND(VLOOKUP(T$1,main!$A$3:$H$102,5,FALSE)-VLOOKUP($A17,main!$A$3:$H$102,6,FALSE)&gt;=(VLOOKUP(VLOOKUP(T$1,main!$A$3:$H$102,8,FALSE),main!$K$26:$M$29,2,FALSE)+VLOOKUP(VLOOKUP(T$1,main!$A$3:$H$102,7,FALSE),main!$K$19:$O$22,MATCH(VLOOKUP($A17,main!$A$3:$H$102,8,FALSE),main!$K$18:$O$18,0))))),1,0)</f>
        <v>1</v>
      </c>
      <c r="U17">
        <f>IF((AND(VLOOKUP(U$1,main!$A$3:$H$102,5,FALSE)-VLOOKUP($A17,main!$A$3:$H$102,6,FALSE)&gt;=(VLOOKUP(VLOOKUP(U$1,main!$A$3:$H$102,8,FALSE),main!$K$26:$M$29,2,FALSE)+VLOOKUP(VLOOKUP(U$1,main!$A$3:$H$102,7,FALSE),main!$K$19:$O$22,MATCH(VLOOKUP($A17,main!$A$3:$H$102,8,FALSE),main!$K$18:$O$18,0))))),1,0)</f>
        <v>1</v>
      </c>
      <c r="V17">
        <f>IF((AND(VLOOKUP(V$1,main!$A$3:$H$102,5,FALSE)-VLOOKUP($A17,main!$A$3:$H$102,6,FALSE)&gt;=(VLOOKUP(VLOOKUP(V$1,main!$A$3:$H$102,8,FALSE),main!$K$26:$M$29,2,FALSE)+VLOOKUP(VLOOKUP(V$1,main!$A$3:$H$102,7,FALSE),main!$K$19:$O$22,MATCH(VLOOKUP($A17,main!$A$3:$H$102,8,FALSE),main!$K$18:$O$18,0))))),1,0)</f>
        <v>1</v>
      </c>
      <c r="W17">
        <f>IF((AND(VLOOKUP(W$1,main!$A$3:$H$102,5,FALSE)-VLOOKUP($A17,main!$A$3:$H$102,6,FALSE)&gt;=(VLOOKUP(VLOOKUP(W$1,main!$A$3:$H$102,8,FALSE),main!$K$26:$M$29,2,FALSE)+VLOOKUP(VLOOKUP(W$1,main!$A$3:$H$102,7,FALSE),main!$K$19:$O$22,MATCH(VLOOKUP($A17,main!$A$3:$H$102,8,FALSE),main!$K$18:$O$18,0))))),1,0)</f>
        <v>0</v>
      </c>
      <c r="X17">
        <f>IF((AND(VLOOKUP(X$1,main!$A$3:$H$102,5,FALSE)-VLOOKUP($A17,main!$A$3:$H$102,6,FALSE)&gt;=(VLOOKUP(VLOOKUP(X$1,main!$A$3:$H$102,8,FALSE),main!$K$26:$M$29,2,FALSE)+VLOOKUP(VLOOKUP(X$1,main!$A$3:$H$102,7,FALSE),main!$K$19:$O$22,MATCH(VLOOKUP($A17,main!$A$3:$H$102,8,FALSE),main!$K$18:$O$18,0))))),1,0)</f>
        <v>0</v>
      </c>
      <c r="Y17">
        <f>IF((AND(VLOOKUP(Y$1,main!$A$3:$H$102,5,FALSE)-VLOOKUP($A17,main!$A$3:$H$102,6,FALSE)&gt;=(VLOOKUP(VLOOKUP(Y$1,main!$A$3:$H$102,8,FALSE),main!$K$26:$M$29,2,FALSE)+VLOOKUP(VLOOKUP(Y$1,main!$A$3:$H$102,7,FALSE),main!$K$19:$O$22,MATCH(VLOOKUP($A17,main!$A$3:$H$102,8,FALSE),main!$K$18:$O$18,0))))),1,0)</f>
        <v>0</v>
      </c>
      <c r="Z17">
        <f>IF((AND(VLOOKUP(Z$1,main!$A$3:$H$102,5,FALSE)-VLOOKUP($A17,main!$A$3:$H$102,6,FALSE)&gt;=(VLOOKUP(VLOOKUP(Z$1,main!$A$3:$H$102,8,FALSE),main!$K$26:$M$29,2,FALSE)+VLOOKUP(VLOOKUP(Z$1,main!$A$3:$H$102,7,FALSE),main!$K$19:$O$22,MATCH(VLOOKUP($A17,main!$A$3:$H$102,8,FALSE),main!$K$18:$O$18,0))))),1,0)</f>
        <v>1</v>
      </c>
      <c r="AA17">
        <f>IF((AND(VLOOKUP(AA$1,main!$A$3:$H$102,5,FALSE)-VLOOKUP($A17,main!$A$3:$H$102,6,FALSE)&gt;=(VLOOKUP(VLOOKUP(AA$1,main!$A$3:$H$102,8,FALSE),main!$K$26:$M$29,2,FALSE)+VLOOKUP(VLOOKUP(AA$1,main!$A$3:$H$102,7,FALSE),main!$K$19:$O$22,MATCH(VLOOKUP($A17,main!$A$3:$H$102,8,FALSE),main!$K$18:$O$18,0))))),1,0)</f>
        <v>1</v>
      </c>
      <c r="AB17">
        <f>IF((AND(VLOOKUP(AB$1,main!$A$3:$H$102,5,FALSE)-VLOOKUP($A17,main!$A$3:$H$102,6,FALSE)&gt;=(VLOOKUP(VLOOKUP(AB$1,main!$A$3:$H$102,8,FALSE),main!$K$26:$M$29,2,FALSE)+VLOOKUP(VLOOKUP(AB$1,main!$A$3:$H$102,7,FALSE),main!$K$19:$O$22,MATCH(VLOOKUP($A17,main!$A$3:$H$102,8,FALSE),main!$K$18:$O$18,0))))),1,0)</f>
        <v>0</v>
      </c>
      <c r="AC17">
        <f>IF((AND(VLOOKUP(AC$1,main!$A$3:$H$102,5,FALSE)-VLOOKUP($A17,main!$A$3:$H$102,6,FALSE)&gt;=(VLOOKUP(VLOOKUP(AC$1,main!$A$3:$H$102,8,FALSE),main!$K$26:$M$29,2,FALSE)+VLOOKUP(VLOOKUP(AC$1,main!$A$3:$H$102,7,FALSE),main!$K$19:$O$22,MATCH(VLOOKUP($A17,main!$A$3:$H$102,8,FALSE),main!$K$18:$O$18,0))))),1,0)</f>
        <v>0</v>
      </c>
      <c r="AD17">
        <f>IF((AND(VLOOKUP(AD$1,main!$A$3:$H$102,5,FALSE)-VLOOKUP($A17,main!$A$3:$H$102,6,FALSE)&gt;=(VLOOKUP(VLOOKUP(AD$1,main!$A$3:$H$102,8,FALSE),main!$K$26:$M$29,2,FALSE)+VLOOKUP(VLOOKUP(AD$1,main!$A$3:$H$102,7,FALSE),main!$K$19:$O$22,MATCH(VLOOKUP($A17,main!$A$3:$H$102,8,FALSE),main!$K$18:$O$18,0))))),1,0)</f>
        <v>0</v>
      </c>
      <c r="AE17">
        <f>IF((AND(VLOOKUP(AE$1,main!$A$3:$H$102,5,FALSE)-VLOOKUP($A17,main!$A$3:$H$102,6,FALSE)&gt;=(VLOOKUP(VLOOKUP(AE$1,main!$A$3:$H$102,8,FALSE),main!$K$26:$M$29,2,FALSE)+VLOOKUP(VLOOKUP(AE$1,main!$A$3:$H$102,7,FALSE),main!$K$19:$O$22,MATCH(VLOOKUP($A17,main!$A$3:$H$102,8,FALSE),main!$K$18:$O$18,0))))),1,0)</f>
        <v>0</v>
      </c>
      <c r="AF17">
        <f>IF((AND(VLOOKUP(AF$1,main!$A$3:$H$102,5,FALSE)-VLOOKUP($A17,main!$A$3:$H$102,6,FALSE)&gt;=(VLOOKUP(VLOOKUP(AF$1,main!$A$3:$H$102,8,FALSE),main!$K$26:$M$29,2,FALSE)+VLOOKUP(VLOOKUP(AF$1,main!$A$3:$H$102,7,FALSE),main!$K$19:$O$22,MATCH(VLOOKUP($A17,main!$A$3:$H$102,8,FALSE),main!$K$18:$O$18,0))))),1,0)</f>
        <v>1</v>
      </c>
      <c r="AG17">
        <f>IF((AND(VLOOKUP(AG$1,main!$A$3:$H$102,5,FALSE)-VLOOKUP($A17,main!$A$3:$H$102,6,FALSE)&gt;=(VLOOKUP(VLOOKUP(AG$1,main!$A$3:$H$102,8,FALSE),main!$K$26:$M$29,2,FALSE)+VLOOKUP(VLOOKUP(AG$1,main!$A$3:$H$102,7,FALSE),main!$K$19:$O$22,MATCH(VLOOKUP($A17,main!$A$3:$H$102,8,FALSE),main!$K$18:$O$18,0))))),1,0)</f>
        <v>0</v>
      </c>
      <c r="AH17">
        <f>IF((AND(VLOOKUP(AH$1,main!$A$3:$H$102,5,FALSE)-VLOOKUP($A17,main!$A$3:$H$102,6,FALSE)&gt;=(VLOOKUP(VLOOKUP(AH$1,main!$A$3:$H$102,8,FALSE),main!$K$26:$M$29,2,FALSE)+VLOOKUP(VLOOKUP(AH$1,main!$A$3:$H$102,7,FALSE),main!$K$19:$O$22,MATCH(VLOOKUP($A17,main!$A$3:$H$102,8,FALSE),main!$K$18:$O$18,0))))),1,0)</f>
        <v>0</v>
      </c>
      <c r="AI17">
        <f>IF((AND(VLOOKUP(AI$1,main!$A$3:$H$102,5,FALSE)-VLOOKUP($A17,main!$A$3:$H$102,6,FALSE)&gt;=(VLOOKUP(VLOOKUP(AI$1,main!$A$3:$H$102,8,FALSE),main!$K$26:$M$29,2,FALSE)+VLOOKUP(VLOOKUP(AI$1,main!$A$3:$H$102,7,FALSE),main!$K$19:$O$22,MATCH(VLOOKUP($A17,main!$A$3:$H$102,8,FALSE),main!$K$18:$O$18,0))))),1,0)</f>
        <v>0</v>
      </c>
      <c r="AJ17">
        <f>IF((AND(VLOOKUP(AJ$1,main!$A$3:$H$102,5,FALSE)-VLOOKUP($A17,main!$A$3:$H$102,6,FALSE)&gt;=(VLOOKUP(VLOOKUP(AJ$1,main!$A$3:$H$102,8,FALSE),main!$K$26:$M$29,2,FALSE)+VLOOKUP(VLOOKUP(AJ$1,main!$A$3:$H$102,7,FALSE),main!$K$19:$O$22,MATCH(VLOOKUP($A17,main!$A$3:$H$102,8,FALSE),main!$K$18:$O$18,0))))),1,0)</f>
        <v>0</v>
      </c>
      <c r="AK17">
        <f>IF((AND(VLOOKUP(AK$1,main!$A$3:$H$102,5,FALSE)-VLOOKUP($A17,main!$A$3:$H$102,6,FALSE)&gt;=(VLOOKUP(VLOOKUP(AK$1,main!$A$3:$H$102,8,FALSE),main!$K$26:$M$29,2,FALSE)+VLOOKUP(VLOOKUP(AK$1,main!$A$3:$H$102,7,FALSE),main!$K$19:$O$22,MATCH(VLOOKUP($A17,main!$A$3:$H$102,8,FALSE),main!$K$18:$O$18,0))))),1,0)</f>
        <v>0</v>
      </c>
      <c r="AL17">
        <f>IF((AND(VLOOKUP(AL$1,main!$A$3:$H$102,5,FALSE)-VLOOKUP($A17,main!$A$3:$H$102,6,FALSE)&gt;=(VLOOKUP(VLOOKUP(AL$1,main!$A$3:$H$102,8,FALSE),main!$K$26:$M$29,2,FALSE)+VLOOKUP(VLOOKUP(AL$1,main!$A$3:$H$102,7,FALSE),main!$K$19:$O$22,MATCH(VLOOKUP($A17,main!$A$3:$H$102,8,FALSE),main!$K$18:$O$18,0))))),1,0)</f>
        <v>1</v>
      </c>
      <c r="AM17">
        <f>IF((AND(VLOOKUP(AM$1,main!$A$3:$H$102,5,FALSE)-VLOOKUP($A17,main!$A$3:$H$102,6,FALSE)&gt;=(VLOOKUP(VLOOKUP(AM$1,main!$A$3:$H$102,8,FALSE),main!$K$26:$M$29,2,FALSE)+VLOOKUP(VLOOKUP(AM$1,main!$A$3:$H$102,7,FALSE),main!$K$19:$O$22,MATCH(VLOOKUP($A17,main!$A$3:$H$102,8,FALSE),main!$K$18:$O$18,0))))),1,0)</f>
        <v>1</v>
      </c>
      <c r="AN17">
        <f>IF((AND(VLOOKUP(AN$1,main!$A$3:$H$102,5,FALSE)-VLOOKUP($A17,main!$A$3:$H$102,6,FALSE)&gt;=(VLOOKUP(VLOOKUP(AN$1,main!$A$3:$H$102,8,FALSE),main!$K$26:$M$29,2,FALSE)+VLOOKUP(VLOOKUP(AN$1,main!$A$3:$H$102,7,FALSE),main!$K$19:$O$22,MATCH(VLOOKUP($A17,main!$A$3:$H$102,8,FALSE),main!$K$18:$O$18,0))))),1,0)</f>
        <v>1</v>
      </c>
      <c r="AO17">
        <f>IF((AND(VLOOKUP(AO$1,main!$A$3:$H$102,5,FALSE)-VLOOKUP($A17,main!$A$3:$H$102,6,FALSE)&gt;=(VLOOKUP(VLOOKUP(AO$1,main!$A$3:$H$102,8,FALSE),main!$K$26:$M$29,2,FALSE)+VLOOKUP(VLOOKUP(AO$1,main!$A$3:$H$102,7,FALSE),main!$K$19:$O$22,MATCH(VLOOKUP($A17,main!$A$3:$H$102,8,FALSE),main!$K$18:$O$18,0))))),1,0)</f>
        <v>0</v>
      </c>
      <c r="AP17">
        <f>IF((AND(VLOOKUP(AP$1,main!$A$3:$H$102,5,FALSE)-VLOOKUP($A17,main!$A$3:$H$102,6,FALSE)&gt;=(VLOOKUP(VLOOKUP(AP$1,main!$A$3:$H$102,8,FALSE),main!$K$26:$M$29,2,FALSE)+VLOOKUP(VLOOKUP(AP$1,main!$A$3:$H$102,7,FALSE),main!$K$19:$O$22,MATCH(VLOOKUP($A17,main!$A$3:$H$102,8,FALSE),main!$K$18:$O$18,0))))),1,0)</f>
        <v>1</v>
      </c>
      <c r="AQ17">
        <f>IF((AND(VLOOKUP(AQ$1,main!$A$3:$H$102,5,FALSE)-VLOOKUP($A17,main!$A$3:$H$102,6,FALSE)&gt;=(VLOOKUP(VLOOKUP(AQ$1,main!$A$3:$H$102,8,FALSE),main!$K$26:$M$29,2,FALSE)+VLOOKUP(VLOOKUP(AQ$1,main!$A$3:$H$102,7,FALSE),main!$K$19:$O$22,MATCH(VLOOKUP($A17,main!$A$3:$H$102,8,FALSE),main!$K$18:$O$18,0))))),1,0)</f>
        <v>0</v>
      </c>
      <c r="AR17">
        <f>IF((AND(VLOOKUP(AR$1,main!$A$3:$H$102,5,FALSE)-VLOOKUP($A17,main!$A$3:$H$102,6,FALSE)&gt;=(VLOOKUP(VLOOKUP(AR$1,main!$A$3:$H$102,8,FALSE),main!$K$26:$M$29,2,FALSE)+VLOOKUP(VLOOKUP(AR$1,main!$A$3:$H$102,7,FALSE),main!$K$19:$O$22,MATCH(VLOOKUP($A17,main!$A$3:$H$102,8,FALSE),main!$K$18:$O$18,0))))),1,0)</f>
        <v>0</v>
      </c>
      <c r="AS17">
        <f>IF((AND(VLOOKUP(AS$1,main!$A$3:$H$102,5,FALSE)-VLOOKUP($A17,main!$A$3:$H$102,6,FALSE)&gt;=(VLOOKUP(VLOOKUP(AS$1,main!$A$3:$H$102,8,FALSE),main!$K$26:$M$29,2,FALSE)+VLOOKUP(VLOOKUP(AS$1,main!$A$3:$H$102,7,FALSE),main!$K$19:$O$22,MATCH(VLOOKUP($A17,main!$A$3:$H$102,8,FALSE),main!$K$18:$O$18,0))))),1,0)</f>
        <v>0</v>
      </c>
      <c r="AT17">
        <f>IF((AND(VLOOKUP(AT$1,main!$A$3:$H$102,5,FALSE)-VLOOKUP($A17,main!$A$3:$H$102,6,FALSE)&gt;=(VLOOKUP(VLOOKUP(AT$1,main!$A$3:$H$102,8,FALSE),main!$K$26:$M$29,2,FALSE)+VLOOKUP(VLOOKUP(AT$1,main!$A$3:$H$102,7,FALSE),main!$K$19:$O$22,MATCH(VLOOKUP($A17,main!$A$3:$H$102,8,FALSE),main!$K$18:$O$18,0))))),1,0)</f>
        <v>1</v>
      </c>
      <c r="AU17">
        <f>IF((AND(VLOOKUP(AU$1,main!$A$3:$H$102,5,FALSE)-VLOOKUP($A17,main!$A$3:$H$102,6,FALSE)&gt;=(VLOOKUP(VLOOKUP(AU$1,main!$A$3:$H$102,8,FALSE),main!$K$26:$M$29,2,FALSE)+VLOOKUP(VLOOKUP(AU$1,main!$A$3:$H$102,7,FALSE),main!$K$19:$O$22,MATCH(VLOOKUP($A17,main!$A$3:$H$102,8,FALSE),main!$K$18:$O$18,0))))),1,0)</f>
        <v>0</v>
      </c>
      <c r="AV17">
        <f>IF((AND(VLOOKUP(AV$1,main!$A$3:$H$102,5,FALSE)-VLOOKUP($A17,main!$A$3:$H$102,6,FALSE)&gt;=(VLOOKUP(VLOOKUP(AV$1,main!$A$3:$H$102,8,FALSE),main!$K$26:$M$29,2,FALSE)+VLOOKUP(VLOOKUP(AV$1,main!$A$3:$H$102,7,FALSE),main!$K$19:$O$22,MATCH(VLOOKUP($A17,main!$A$3:$H$102,8,FALSE),main!$K$18:$O$18,0))))),1,0)</f>
        <v>0</v>
      </c>
      <c r="AW17">
        <f>IF((AND(VLOOKUP(AW$1,main!$A$3:$H$102,5,FALSE)-VLOOKUP($A17,main!$A$3:$H$102,6,FALSE)&gt;=(VLOOKUP(VLOOKUP(AW$1,main!$A$3:$H$102,8,FALSE),main!$K$26:$M$29,2,FALSE)+VLOOKUP(VLOOKUP(AW$1,main!$A$3:$H$102,7,FALSE),main!$K$19:$O$22,MATCH(VLOOKUP($A17,main!$A$3:$H$102,8,FALSE),main!$K$18:$O$18,0))))),1,0)</f>
        <v>0</v>
      </c>
      <c r="AX17">
        <f>IF((AND(VLOOKUP(AX$1,main!$A$3:$H$102,5,FALSE)-VLOOKUP($A17,main!$A$3:$H$102,6,FALSE)&gt;=(VLOOKUP(VLOOKUP(AX$1,main!$A$3:$H$102,8,FALSE),main!$K$26:$M$29,2,FALSE)+VLOOKUP(VLOOKUP(AX$1,main!$A$3:$H$102,7,FALSE),main!$K$19:$O$22,MATCH(VLOOKUP($A17,main!$A$3:$H$102,8,FALSE),main!$K$18:$O$18,0))))),1,0)</f>
        <v>0</v>
      </c>
      <c r="AY17">
        <f>IF((AND(VLOOKUP(AY$1,main!$A$3:$H$102,5,FALSE)-VLOOKUP($A17,main!$A$3:$H$102,6,FALSE)&gt;=(VLOOKUP(VLOOKUP(AY$1,main!$A$3:$H$102,8,FALSE),main!$K$26:$M$29,2,FALSE)+VLOOKUP(VLOOKUP(AY$1,main!$A$3:$H$102,7,FALSE),main!$K$19:$O$22,MATCH(VLOOKUP($A17,main!$A$3:$H$102,8,FALSE),main!$K$18:$O$18,0))))),1,0)</f>
        <v>0</v>
      </c>
      <c r="AZ17">
        <f>IF((AND(VLOOKUP(AZ$1,main!$A$3:$H$102,5,FALSE)-VLOOKUP($A17,main!$A$3:$H$102,6,FALSE)&gt;=(VLOOKUP(VLOOKUP(AZ$1,main!$A$3:$H$102,8,FALSE),main!$K$26:$M$29,2,FALSE)+VLOOKUP(VLOOKUP(AZ$1,main!$A$3:$H$102,7,FALSE),main!$K$19:$O$22,MATCH(VLOOKUP($A17,main!$A$3:$H$102,8,FALSE),main!$K$18:$O$18,0))))),1,0)</f>
        <v>0</v>
      </c>
      <c r="BA17">
        <f>IF((AND(VLOOKUP(BA$1,main!$A$3:$H$102,5,FALSE)-VLOOKUP($A17,main!$A$3:$H$102,6,FALSE)&gt;=(VLOOKUP(VLOOKUP(BA$1,main!$A$3:$H$102,8,FALSE),main!$K$26:$M$29,2,FALSE)+VLOOKUP(VLOOKUP(BA$1,main!$A$3:$H$102,7,FALSE),main!$K$19:$O$22,MATCH(VLOOKUP($A17,main!$A$3:$H$102,8,FALSE),main!$K$18:$O$18,0))))),1,0)</f>
        <v>0</v>
      </c>
      <c r="BB17">
        <f>IF((AND(VLOOKUP(BB$1,main!$A$3:$H$102,5,FALSE)-VLOOKUP($A17,main!$A$3:$H$102,6,FALSE)&gt;=(VLOOKUP(VLOOKUP(BB$1,main!$A$3:$H$102,8,FALSE),main!$K$26:$M$29,2,FALSE)+VLOOKUP(VLOOKUP(BB$1,main!$A$3:$H$102,7,FALSE),main!$K$19:$O$22,MATCH(VLOOKUP($A17,main!$A$3:$H$102,8,FALSE),main!$K$18:$O$18,0))))),1,0)</f>
        <v>0</v>
      </c>
      <c r="BC17">
        <f>IF((AND(VLOOKUP(BC$1,main!$A$3:$H$102,5,FALSE)-VLOOKUP($A17,main!$A$3:$H$102,6,FALSE)&gt;=(VLOOKUP(VLOOKUP(BC$1,main!$A$3:$H$102,8,FALSE),main!$K$26:$M$29,2,FALSE)+VLOOKUP(VLOOKUP(BC$1,main!$A$3:$H$102,7,FALSE),main!$K$19:$O$22,MATCH(VLOOKUP($A17,main!$A$3:$H$102,8,FALSE),main!$K$18:$O$18,0))))),1,0)</f>
        <v>0</v>
      </c>
      <c r="BD17">
        <f>IF((AND(VLOOKUP(BD$1,main!$A$3:$H$102,5,FALSE)-VLOOKUP($A17,main!$A$3:$H$102,6,FALSE)&gt;=(VLOOKUP(VLOOKUP(BD$1,main!$A$3:$H$102,8,FALSE),main!$K$26:$M$29,2,FALSE)+VLOOKUP(VLOOKUP(BD$1,main!$A$3:$H$102,7,FALSE),main!$K$19:$O$22,MATCH(VLOOKUP($A17,main!$A$3:$H$102,8,FALSE),main!$K$18:$O$18,0))))),1,0)</f>
        <v>1</v>
      </c>
      <c r="BE17">
        <f>IF((AND(VLOOKUP(BE$1,main!$A$3:$H$102,5,FALSE)-VLOOKUP($A17,main!$A$3:$H$102,6,FALSE)&gt;=(VLOOKUP(VLOOKUP(BE$1,main!$A$3:$H$102,8,FALSE),main!$K$26:$M$29,2,FALSE)+VLOOKUP(VLOOKUP(BE$1,main!$A$3:$H$102,7,FALSE),main!$K$19:$O$22,MATCH(VLOOKUP($A17,main!$A$3:$H$102,8,FALSE),main!$K$18:$O$18,0))))),1,0)</f>
        <v>1</v>
      </c>
      <c r="BF17">
        <f>IF((AND(VLOOKUP(BF$1,main!$A$3:$H$102,5,FALSE)-VLOOKUP($A17,main!$A$3:$H$102,6,FALSE)&gt;=(VLOOKUP(VLOOKUP(BF$1,main!$A$3:$H$102,8,FALSE),main!$K$26:$M$29,2,FALSE)+VLOOKUP(VLOOKUP(BF$1,main!$A$3:$H$102,7,FALSE),main!$K$19:$O$22,MATCH(VLOOKUP($A17,main!$A$3:$H$102,8,FALSE),main!$K$18:$O$18,0))))),1,0)</f>
        <v>0</v>
      </c>
      <c r="BG17">
        <f>IF((AND(VLOOKUP(BG$1,main!$A$3:$H$102,5,FALSE)-VLOOKUP($A17,main!$A$3:$H$102,6,FALSE)&gt;=(VLOOKUP(VLOOKUP(BG$1,main!$A$3:$H$102,8,FALSE),main!$K$26:$M$29,2,FALSE)+VLOOKUP(VLOOKUP(BG$1,main!$A$3:$H$102,7,FALSE),main!$K$19:$O$22,MATCH(VLOOKUP($A17,main!$A$3:$H$102,8,FALSE),main!$K$18:$O$18,0))))),1,0)</f>
        <v>0</v>
      </c>
      <c r="BH17">
        <f>IF((AND(VLOOKUP(BH$1,main!$A$3:$H$102,5,FALSE)-VLOOKUP($A17,main!$A$3:$H$102,6,FALSE)&gt;=(VLOOKUP(VLOOKUP(BH$1,main!$A$3:$H$102,8,FALSE),main!$K$26:$M$29,2,FALSE)+VLOOKUP(VLOOKUP(BH$1,main!$A$3:$H$102,7,FALSE),main!$K$19:$O$22,MATCH(VLOOKUP($A17,main!$A$3:$H$102,8,FALSE),main!$K$18:$O$18,0))))),1,0)</f>
        <v>0</v>
      </c>
      <c r="BI17">
        <f>IF((AND(VLOOKUP(BI$1,main!$A$3:$H$102,5,FALSE)-VLOOKUP($A17,main!$A$3:$H$102,6,FALSE)&gt;=(VLOOKUP(VLOOKUP(BI$1,main!$A$3:$H$102,8,FALSE),main!$K$26:$M$29,2,FALSE)+VLOOKUP(VLOOKUP(BI$1,main!$A$3:$H$102,7,FALSE),main!$K$19:$O$22,MATCH(VLOOKUP($A17,main!$A$3:$H$102,8,FALSE),main!$K$18:$O$18,0))))),1,0)</f>
        <v>1</v>
      </c>
      <c r="BJ17">
        <f>IF((AND(VLOOKUP(BJ$1,main!$A$3:$H$102,5,FALSE)-VLOOKUP($A17,main!$A$3:$H$102,6,FALSE)&gt;=(VLOOKUP(VLOOKUP(BJ$1,main!$A$3:$H$102,8,FALSE),main!$K$26:$M$29,2,FALSE)+VLOOKUP(VLOOKUP(BJ$1,main!$A$3:$H$102,7,FALSE),main!$K$19:$O$22,MATCH(VLOOKUP($A17,main!$A$3:$H$102,8,FALSE),main!$K$18:$O$18,0))))),1,0)</f>
        <v>1</v>
      </c>
      <c r="BK17">
        <f>IF((AND(VLOOKUP(BK$1,main!$A$3:$H$102,5,FALSE)-VLOOKUP($A17,main!$A$3:$H$102,6,FALSE)&gt;=(VLOOKUP(VLOOKUP(BK$1,main!$A$3:$H$102,8,FALSE),main!$K$26:$M$29,2,FALSE)+VLOOKUP(VLOOKUP(BK$1,main!$A$3:$H$102,7,FALSE),main!$K$19:$O$22,MATCH(VLOOKUP($A17,main!$A$3:$H$102,8,FALSE),main!$K$18:$O$18,0))))),1,0)</f>
        <v>0</v>
      </c>
      <c r="BL17">
        <f>IF((AND(VLOOKUP(BL$1,main!$A$3:$H$102,5,FALSE)-VLOOKUP($A17,main!$A$3:$H$102,6,FALSE)&gt;=(VLOOKUP(VLOOKUP(BL$1,main!$A$3:$H$102,8,FALSE),main!$K$26:$M$29,2,FALSE)+VLOOKUP(VLOOKUP(BL$1,main!$A$3:$H$102,7,FALSE),main!$K$19:$O$22,MATCH(VLOOKUP($A17,main!$A$3:$H$102,8,FALSE),main!$K$18:$O$18,0))))),1,0)</f>
        <v>0</v>
      </c>
      <c r="BM17">
        <f>IF((AND(VLOOKUP(BM$1,main!$A$3:$H$102,5,FALSE)-VLOOKUP($A17,main!$A$3:$H$102,6,FALSE)&gt;=(VLOOKUP(VLOOKUP(BM$1,main!$A$3:$H$102,8,FALSE),main!$K$26:$M$29,2,FALSE)+VLOOKUP(VLOOKUP(BM$1,main!$A$3:$H$102,7,FALSE),main!$K$19:$O$22,MATCH(VLOOKUP($A17,main!$A$3:$H$102,8,FALSE),main!$K$18:$O$18,0))))),1,0)</f>
        <v>0</v>
      </c>
      <c r="BN17">
        <f>IF((AND(VLOOKUP(BN$1,main!$A$3:$H$102,5,FALSE)-VLOOKUP($A17,main!$A$3:$H$102,6,FALSE)&gt;=(VLOOKUP(VLOOKUP(BN$1,main!$A$3:$H$102,8,FALSE),main!$K$26:$M$29,2,FALSE)+VLOOKUP(VLOOKUP(BN$1,main!$A$3:$H$102,7,FALSE),main!$K$19:$O$22,MATCH(VLOOKUP($A17,main!$A$3:$H$102,8,FALSE),main!$K$18:$O$18,0))))),1,0)</f>
        <v>0</v>
      </c>
      <c r="BO17">
        <f>IF((AND(VLOOKUP(BO$1,main!$A$3:$H$102,5,FALSE)-VLOOKUP($A17,main!$A$3:$H$102,6,FALSE)&gt;=(VLOOKUP(VLOOKUP(BO$1,main!$A$3:$H$102,8,FALSE),main!$K$26:$M$29,2,FALSE)+VLOOKUP(VLOOKUP(BO$1,main!$A$3:$H$102,7,FALSE),main!$K$19:$O$22,MATCH(VLOOKUP($A17,main!$A$3:$H$102,8,FALSE),main!$K$18:$O$18,0))))),1,0)</f>
        <v>0</v>
      </c>
      <c r="BP17">
        <f>IF((AND(VLOOKUP(BP$1,main!$A$3:$H$102,5,FALSE)-VLOOKUP($A17,main!$A$3:$H$102,6,FALSE)&gt;=(VLOOKUP(VLOOKUP(BP$1,main!$A$3:$H$102,8,FALSE),main!$K$26:$M$29,2,FALSE)+VLOOKUP(VLOOKUP(BP$1,main!$A$3:$H$102,7,FALSE),main!$K$19:$O$22,MATCH(VLOOKUP($A17,main!$A$3:$H$102,8,FALSE),main!$K$18:$O$18,0))))),1,0)</f>
        <v>0</v>
      </c>
      <c r="BQ17">
        <f>IF((AND(VLOOKUP(BQ$1,main!$A$3:$H$102,5,FALSE)-VLOOKUP($A17,main!$A$3:$H$102,6,FALSE)&gt;=(VLOOKUP(VLOOKUP(BQ$1,main!$A$3:$H$102,8,FALSE),main!$K$26:$M$29,2,FALSE)+VLOOKUP(VLOOKUP(BQ$1,main!$A$3:$H$102,7,FALSE),main!$K$19:$O$22,MATCH(VLOOKUP($A17,main!$A$3:$H$102,8,FALSE),main!$K$18:$O$18,0))))),1,0)</f>
        <v>0</v>
      </c>
      <c r="BR17">
        <f>IF((AND(VLOOKUP(BR$1,main!$A$3:$H$102,5,FALSE)-VLOOKUP($A17,main!$A$3:$H$102,6,FALSE)&gt;=(VLOOKUP(VLOOKUP(BR$1,main!$A$3:$H$102,8,FALSE),main!$K$26:$M$29,2,FALSE)+VLOOKUP(VLOOKUP(BR$1,main!$A$3:$H$102,7,FALSE),main!$K$19:$O$22,MATCH(VLOOKUP($A17,main!$A$3:$H$102,8,FALSE),main!$K$18:$O$18,0))))),1,0)</f>
        <v>0</v>
      </c>
      <c r="BS17">
        <f>IF((AND(VLOOKUP(BS$1,main!$A$3:$H$102,5,FALSE)-VLOOKUP($A17,main!$A$3:$H$102,6,FALSE)&gt;=(VLOOKUP(VLOOKUP(BS$1,main!$A$3:$H$102,8,FALSE),main!$K$26:$M$29,2,FALSE)+VLOOKUP(VLOOKUP(BS$1,main!$A$3:$H$102,7,FALSE),main!$K$19:$O$22,MATCH(VLOOKUP($A17,main!$A$3:$H$102,8,FALSE),main!$K$18:$O$18,0))))),1,0)</f>
        <v>0</v>
      </c>
      <c r="BT17">
        <f>IF((AND(VLOOKUP(BT$1,main!$A$3:$H$102,5,FALSE)-VLOOKUP($A17,main!$A$3:$H$102,6,FALSE)&gt;=(VLOOKUP(VLOOKUP(BT$1,main!$A$3:$H$102,8,FALSE),main!$K$26:$M$29,2,FALSE)+VLOOKUP(VLOOKUP(BT$1,main!$A$3:$H$102,7,FALSE),main!$K$19:$O$22,MATCH(VLOOKUP($A17,main!$A$3:$H$102,8,FALSE),main!$K$18:$O$18,0))))),1,0)</f>
        <v>0</v>
      </c>
      <c r="BU17">
        <f>IF((AND(VLOOKUP(BU$1,main!$A$3:$H$102,5,FALSE)-VLOOKUP($A17,main!$A$3:$H$102,6,FALSE)&gt;=(VLOOKUP(VLOOKUP(BU$1,main!$A$3:$H$102,8,FALSE),main!$K$26:$M$29,2,FALSE)+VLOOKUP(VLOOKUP(BU$1,main!$A$3:$H$102,7,FALSE),main!$K$19:$O$22,MATCH(VLOOKUP($A17,main!$A$3:$H$102,8,FALSE),main!$K$18:$O$18,0))))),1,0)</f>
        <v>0</v>
      </c>
      <c r="BV17">
        <f>IF((AND(VLOOKUP(BV$1,main!$A$3:$H$102,5,FALSE)-VLOOKUP($A17,main!$A$3:$H$102,6,FALSE)&gt;=(VLOOKUP(VLOOKUP(BV$1,main!$A$3:$H$102,8,FALSE),main!$K$26:$M$29,2,FALSE)+VLOOKUP(VLOOKUP(BV$1,main!$A$3:$H$102,7,FALSE),main!$K$19:$O$22,MATCH(VLOOKUP($A17,main!$A$3:$H$102,8,FALSE),main!$K$18:$O$18,0))))),1,0)</f>
        <v>0</v>
      </c>
      <c r="BW17">
        <f>IF((AND(VLOOKUP(BW$1,main!$A$3:$H$102,5,FALSE)-VLOOKUP($A17,main!$A$3:$H$102,6,FALSE)&gt;=(VLOOKUP(VLOOKUP(BW$1,main!$A$3:$H$102,8,FALSE),main!$K$26:$M$29,2,FALSE)+VLOOKUP(VLOOKUP(BW$1,main!$A$3:$H$102,7,FALSE),main!$K$19:$O$22,MATCH(VLOOKUP($A17,main!$A$3:$H$102,8,FALSE),main!$K$18:$O$18,0))))),1,0)</f>
        <v>0</v>
      </c>
      <c r="BX17">
        <f>IF((AND(VLOOKUP(BX$1,main!$A$3:$H$102,5,FALSE)-VLOOKUP($A17,main!$A$3:$H$102,6,FALSE)&gt;=(VLOOKUP(VLOOKUP(BX$1,main!$A$3:$H$102,8,FALSE),main!$K$26:$M$29,2,FALSE)+VLOOKUP(VLOOKUP(BX$1,main!$A$3:$H$102,7,FALSE),main!$K$19:$O$22,MATCH(VLOOKUP($A17,main!$A$3:$H$102,8,FALSE),main!$K$18:$O$18,0))))),1,0)</f>
        <v>0</v>
      </c>
      <c r="BY17">
        <f>IF((AND(VLOOKUP(BY$1,main!$A$3:$H$102,5,FALSE)-VLOOKUP($A17,main!$A$3:$H$102,6,FALSE)&gt;=(VLOOKUP(VLOOKUP(BY$1,main!$A$3:$H$102,8,FALSE),main!$K$26:$M$29,2,FALSE)+VLOOKUP(VLOOKUP(BY$1,main!$A$3:$H$102,7,FALSE),main!$K$19:$O$22,MATCH(VLOOKUP($A17,main!$A$3:$H$102,8,FALSE),main!$K$18:$O$18,0))))),1,0)</f>
        <v>0</v>
      </c>
      <c r="BZ17">
        <f>IF((AND(VLOOKUP(BZ$1,main!$A$3:$H$102,5,FALSE)-VLOOKUP($A17,main!$A$3:$H$102,6,FALSE)&gt;=(VLOOKUP(VLOOKUP(BZ$1,main!$A$3:$H$102,8,FALSE),main!$K$26:$M$29,2,FALSE)+VLOOKUP(VLOOKUP(BZ$1,main!$A$3:$H$102,7,FALSE),main!$K$19:$O$22,MATCH(VLOOKUP($A17,main!$A$3:$H$102,8,FALSE),main!$K$18:$O$18,0))))),1,0)</f>
        <v>0</v>
      </c>
      <c r="CA17">
        <f>IF((AND(VLOOKUP(CA$1,main!$A$3:$H$102,5,FALSE)-VLOOKUP($A17,main!$A$3:$H$102,6,FALSE)&gt;=(VLOOKUP(VLOOKUP(CA$1,main!$A$3:$H$102,8,FALSE),main!$K$26:$M$29,2,FALSE)+VLOOKUP(VLOOKUP(CA$1,main!$A$3:$H$102,7,FALSE),main!$K$19:$O$22,MATCH(VLOOKUP($A17,main!$A$3:$H$102,8,FALSE),main!$K$18:$O$18,0))))),1,0)</f>
        <v>0</v>
      </c>
      <c r="CB17">
        <f>IF((AND(VLOOKUP(CB$1,main!$A$3:$H$102,5,FALSE)-VLOOKUP($A17,main!$A$3:$H$102,6,FALSE)&gt;=(VLOOKUP(VLOOKUP(CB$1,main!$A$3:$H$102,8,FALSE),main!$K$26:$M$29,2,FALSE)+VLOOKUP(VLOOKUP(CB$1,main!$A$3:$H$102,7,FALSE),main!$K$19:$O$22,MATCH(VLOOKUP($A17,main!$A$3:$H$102,8,FALSE),main!$K$18:$O$18,0))))),1,0)</f>
        <v>0</v>
      </c>
      <c r="CC17">
        <f>IF((AND(VLOOKUP(CC$1,main!$A$3:$H$102,5,FALSE)-VLOOKUP($A17,main!$A$3:$H$102,6,FALSE)&gt;=(VLOOKUP(VLOOKUP(CC$1,main!$A$3:$H$102,8,FALSE),main!$K$26:$M$29,2,FALSE)+VLOOKUP(VLOOKUP(CC$1,main!$A$3:$H$102,7,FALSE),main!$K$19:$O$22,MATCH(VLOOKUP($A17,main!$A$3:$H$102,8,FALSE),main!$K$18:$O$18,0))))),1,0)</f>
        <v>1</v>
      </c>
      <c r="CD17">
        <f>IF((AND(VLOOKUP(CD$1,main!$A$3:$H$102,5,FALSE)-VLOOKUP($A17,main!$A$3:$H$102,6,FALSE)&gt;=(VLOOKUP(VLOOKUP(CD$1,main!$A$3:$H$102,8,FALSE),main!$K$26:$M$29,2,FALSE)+VLOOKUP(VLOOKUP(CD$1,main!$A$3:$H$102,7,FALSE),main!$K$19:$O$22,MATCH(VLOOKUP($A17,main!$A$3:$H$102,8,FALSE),main!$K$18:$O$18,0))))),1,0)</f>
        <v>0</v>
      </c>
      <c r="CE17">
        <f>IF((AND(VLOOKUP(CE$1,main!$A$3:$H$102,5,FALSE)-VLOOKUP($A17,main!$A$3:$H$102,6,FALSE)&gt;=(VLOOKUP(VLOOKUP(CE$1,main!$A$3:$H$102,8,FALSE),main!$K$26:$M$29,2,FALSE)+VLOOKUP(VLOOKUP(CE$1,main!$A$3:$H$102,7,FALSE),main!$K$19:$O$22,MATCH(VLOOKUP($A17,main!$A$3:$H$102,8,FALSE),main!$K$18:$O$18,0))))),1,0)</f>
        <v>0</v>
      </c>
      <c r="CF17">
        <f>IF((AND(VLOOKUP(CF$1,main!$A$3:$H$102,5,FALSE)-VLOOKUP($A17,main!$A$3:$H$102,6,FALSE)&gt;=(VLOOKUP(VLOOKUP(CF$1,main!$A$3:$H$102,8,FALSE),main!$K$26:$M$29,2,FALSE)+VLOOKUP(VLOOKUP(CF$1,main!$A$3:$H$102,7,FALSE),main!$K$19:$O$22,MATCH(VLOOKUP($A17,main!$A$3:$H$102,8,FALSE),main!$K$18:$O$18,0))))),1,0)</f>
        <v>0</v>
      </c>
      <c r="CG17">
        <f>IF((AND(VLOOKUP(CG$1,main!$A$3:$H$102,5,FALSE)-VLOOKUP($A17,main!$A$3:$H$102,6,FALSE)&gt;=(VLOOKUP(VLOOKUP(CG$1,main!$A$3:$H$102,8,FALSE),main!$K$26:$M$29,2,FALSE)+VLOOKUP(VLOOKUP(CG$1,main!$A$3:$H$102,7,FALSE),main!$K$19:$O$22,MATCH(VLOOKUP($A17,main!$A$3:$H$102,8,FALSE),main!$K$18:$O$18,0))))),1,0)</f>
        <v>0</v>
      </c>
      <c r="CH17">
        <f>IF((AND(VLOOKUP(CH$1,main!$A$3:$H$102,5,FALSE)-VLOOKUP($A17,main!$A$3:$H$102,6,FALSE)&gt;=(VLOOKUP(VLOOKUP(CH$1,main!$A$3:$H$102,8,FALSE),main!$K$26:$M$29,2,FALSE)+VLOOKUP(VLOOKUP(CH$1,main!$A$3:$H$102,7,FALSE),main!$K$19:$O$22,MATCH(VLOOKUP($A17,main!$A$3:$H$102,8,FALSE),main!$K$18:$O$18,0))))),1,0)</f>
        <v>1</v>
      </c>
      <c r="CI17">
        <f>IF((AND(VLOOKUP(CI$1,main!$A$3:$H$102,5,FALSE)-VLOOKUP($A17,main!$A$3:$H$102,6,FALSE)&gt;=(VLOOKUP(VLOOKUP(CI$1,main!$A$3:$H$102,8,FALSE),main!$K$26:$M$29,2,FALSE)+VLOOKUP(VLOOKUP(CI$1,main!$A$3:$H$102,7,FALSE),main!$K$19:$O$22,MATCH(VLOOKUP($A17,main!$A$3:$H$102,8,FALSE),main!$K$18:$O$18,0))))),1,0)</f>
        <v>1</v>
      </c>
      <c r="CJ17">
        <f>IF((AND(VLOOKUP(CJ$1,main!$A$3:$H$102,5,FALSE)-VLOOKUP($A17,main!$A$3:$H$102,6,FALSE)&gt;=(VLOOKUP(VLOOKUP(CJ$1,main!$A$3:$H$102,8,FALSE),main!$K$26:$M$29,2,FALSE)+VLOOKUP(VLOOKUP(CJ$1,main!$A$3:$H$102,7,FALSE),main!$K$19:$O$22,MATCH(VLOOKUP($A17,main!$A$3:$H$102,8,FALSE),main!$K$18:$O$18,0))))),1,0)</f>
        <v>0</v>
      </c>
      <c r="CK17">
        <f>IF((AND(VLOOKUP(CK$1,main!$A$3:$H$102,5,FALSE)-VLOOKUP($A17,main!$A$3:$H$102,6,FALSE)&gt;=(VLOOKUP(VLOOKUP(CK$1,main!$A$3:$H$102,8,FALSE),main!$K$26:$M$29,2,FALSE)+VLOOKUP(VLOOKUP(CK$1,main!$A$3:$H$102,7,FALSE),main!$K$19:$O$22,MATCH(VLOOKUP($A17,main!$A$3:$H$102,8,FALSE),main!$K$18:$O$18,0))))),1,0)</f>
        <v>0</v>
      </c>
      <c r="CL17">
        <f>IF((AND(VLOOKUP(CL$1,main!$A$3:$H$102,5,FALSE)-VLOOKUP($A17,main!$A$3:$H$102,6,FALSE)&gt;=(VLOOKUP(VLOOKUP(CL$1,main!$A$3:$H$102,8,FALSE),main!$K$26:$M$29,2,FALSE)+VLOOKUP(VLOOKUP(CL$1,main!$A$3:$H$102,7,FALSE),main!$K$19:$O$22,MATCH(VLOOKUP($A17,main!$A$3:$H$102,8,FALSE),main!$K$18:$O$18,0))))),1,0)</f>
        <v>0</v>
      </c>
      <c r="CM17">
        <f>IF((AND(VLOOKUP(CM$1,main!$A$3:$H$102,5,FALSE)-VLOOKUP($A17,main!$A$3:$H$102,6,FALSE)&gt;=(VLOOKUP(VLOOKUP(CM$1,main!$A$3:$H$102,8,FALSE),main!$K$26:$M$29,2,FALSE)+VLOOKUP(VLOOKUP(CM$1,main!$A$3:$H$102,7,FALSE),main!$K$19:$O$22,MATCH(VLOOKUP($A17,main!$A$3:$H$102,8,FALSE),main!$K$18:$O$18,0))))),1,0)</f>
        <v>1</v>
      </c>
      <c r="CN17">
        <f>IF((AND(VLOOKUP(CN$1,main!$A$3:$H$102,5,FALSE)-VLOOKUP($A17,main!$A$3:$H$102,6,FALSE)&gt;=(VLOOKUP(VLOOKUP(CN$1,main!$A$3:$H$102,8,FALSE),main!$K$26:$M$29,2,FALSE)+VLOOKUP(VLOOKUP(CN$1,main!$A$3:$H$102,7,FALSE),main!$K$19:$O$22,MATCH(VLOOKUP($A17,main!$A$3:$H$102,8,FALSE),main!$K$18:$O$18,0))))),1,0)</f>
        <v>1</v>
      </c>
      <c r="CO17">
        <f>IF((AND(VLOOKUP(CO$1,main!$A$3:$H$102,5,FALSE)-VLOOKUP($A17,main!$A$3:$H$102,6,FALSE)&gt;=(VLOOKUP(VLOOKUP(CO$1,main!$A$3:$H$102,8,FALSE),main!$K$26:$M$29,2,FALSE)+VLOOKUP(VLOOKUP(CO$1,main!$A$3:$H$102,7,FALSE),main!$K$19:$O$22,MATCH(VLOOKUP($A17,main!$A$3:$H$102,8,FALSE),main!$K$18:$O$18,0))))),1,0)</f>
        <v>0</v>
      </c>
      <c r="CP17">
        <f>IF((AND(VLOOKUP(CP$1,main!$A$3:$H$102,5,FALSE)-VLOOKUP($A17,main!$A$3:$H$102,6,FALSE)&gt;=(VLOOKUP(VLOOKUP(CP$1,main!$A$3:$H$102,8,FALSE),main!$K$26:$M$29,2,FALSE)+VLOOKUP(VLOOKUP(CP$1,main!$A$3:$H$102,7,FALSE),main!$K$19:$O$22,MATCH(VLOOKUP($A17,main!$A$3:$H$102,8,FALSE),main!$K$18:$O$18,0))))),1,0)</f>
        <v>0</v>
      </c>
      <c r="CQ17">
        <f>IF((AND(VLOOKUP(CQ$1,main!$A$3:$H$102,5,FALSE)-VLOOKUP($A17,main!$A$3:$H$102,6,FALSE)&gt;=(VLOOKUP(VLOOKUP(CQ$1,main!$A$3:$H$102,8,FALSE),main!$K$26:$M$29,2,FALSE)+VLOOKUP(VLOOKUP(CQ$1,main!$A$3:$H$102,7,FALSE),main!$K$19:$O$22,MATCH(VLOOKUP($A17,main!$A$3:$H$102,8,FALSE),main!$K$18:$O$18,0))))),1,0)</f>
        <v>0</v>
      </c>
      <c r="CR17">
        <f>IF((AND(VLOOKUP(CR$1,main!$A$3:$H$102,5,FALSE)-VLOOKUP($A17,main!$A$3:$H$102,6,FALSE)&gt;=(VLOOKUP(VLOOKUP(CR$1,main!$A$3:$H$102,8,FALSE),main!$K$26:$M$29,2,FALSE)+VLOOKUP(VLOOKUP(CR$1,main!$A$3:$H$102,7,FALSE),main!$K$19:$O$22,MATCH(VLOOKUP($A17,main!$A$3:$H$102,8,FALSE),main!$K$18:$O$18,0))))),1,0)</f>
        <v>1</v>
      </c>
      <c r="CS17">
        <f>IF((AND(VLOOKUP(CS$1,main!$A$3:$H$102,5,FALSE)-VLOOKUP($A17,main!$A$3:$H$102,6,FALSE)&gt;=(VLOOKUP(VLOOKUP(CS$1,main!$A$3:$H$102,8,FALSE),main!$K$26:$M$29,2,FALSE)+VLOOKUP(VLOOKUP(CS$1,main!$A$3:$H$102,7,FALSE),main!$K$19:$O$22,MATCH(VLOOKUP($A17,main!$A$3:$H$102,8,FALSE),main!$K$18:$O$18,0))))),1,0)</f>
        <v>1</v>
      </c>
      <c r="CT17">
        <f>IF((AND(VLOOKUP(CT$1,main!$A$3:$H$102,5,FALSE)-VLOOKUP($A17,main!$A$3:$H$102,6,FALSE)&gt;=(VLOOKUP(VLOOKUP(CT$1,main!$A$3:$H$102,8,FALSE),main!$K$26:$M$29,2,FALSE)+VLOOKUP(VLOOKUP(CT$1,main!$A$3:$H$102,7,FALSE),main!$K$19:$O$22,MATCH(VLOOKUP($A17,main!$A$3:$H$102,8,FALSE),main!$K$18:$O$18,0))))),1,0)</f>
        <v>0</v>
      </c>
      <c r="CU17">
        <f>IF((AND(VLOOKUP(CU$1,main!$A$3:$H$102,5,FALSE)-VLOOKUP($A17,main!$A$3:$H$102,6,FALSE)&gt;=(VLOOKUP(VLOOKUP(CU$1,main!$A$3:$H$102,8,FALSE),main!$K$26:$M$29,2,FALSE)+VLOOKUP(VLOOKUP(CU$1,main!$A$3:$H$102,7,FALSE),main!$K$19:$O$22,MATCH(VLOOKUP($A17,main!$A$3:$H$102,8,FALSE),main!$K$18:$O$18,0))))),1,0)</f>
        <v>0</v>
      </c>
      <c r="CV17">
        <f>IF((AND(VLOOKUP(CV$1,main!$A$3:$H$102,5,FALSE)-VLOOKUP($A17,main!$A$3:$H$102,6,FALSE)&gt;=(VLOOKUP(VLOOKUP(CV$1,main!$A$3:$H$102,8,FALSE),main!$K$26:$M$29,2,FALSE)+VLOOKUP(VLOOKUP(CV$1,main!$A$3:$H$102,7,FALSE),main!$K$19:$O$22,MATCH(VLOOKUP($A17,main!$A$3:$H$102,8,FALSE),main!$K$18:$O$18,0))))),1,0)</f>
        <v>0</v>
      </c>
      <c r="CW17">
        <f>IF((AND(VLOOKUP(CW$1,main!$A$3:$H$102,5,FALSE)-VLOOKUP($A17,main!$A$3:$H$102,6,FALSE)&gt;=(VLOOKUP(VLOOKUP(CW$1,main!$A$3:$H$102,8,FALSE),main!$K$26:$M$29,2,FALSE)+VLOOKUP(VLOOKUP(CW$1,main!$A$3:$H$102,7,FALSE),main!$K$19:$O$22,MATCH(VLOOKUP($A17,main!$A$3:$H$102,8,FALSE),main!$K$18:$O$18,0))))),1,0)</f>
        <v>1</v>
      </c>
      <c r="CX17">
        <f>IF((AND(VLOOKUP(CX$1,main!$A$3:$H$102,5,FALSE)-VLOOKUP($A17,main!$A$3:$H$102,6,FALSE)&gt;=(VLOOKUP(VLOOKUP(CX$1,main!$A$3:$H$102,8,FALSE),main!$K$26:$M$29,2,FALSE)+VLOOKUP(VLOOKUP(CX$1,main!$A$3:$H$102,7,FALSE),main!$K$19:$O$22,MATCH(VLOOKUP($A17,main!$A$3:$H$102,8,FALSE),main!$K$18:$O$18,0))))),1,0)</f>
        <v>1</v>
      </c>
    </row>
    <row r="18" spans="1:102" x14ac:dyDescent="0.25">
      <c r="A18" s="1">
        <v>16</v>
      </c>
      <c r="B18">
        <v>1</v>
      </c>
      <c r="C18">
        <f>IF((AND(VLOOKUP(C$1,main!$A$3:$H$102,5,FALSE)-VLOOKUP($A18,main!$A$3:$H$102,6,FALSE)&gt;=(VLOOKUP(VLOOKUP(C$1,main!$A$3:$H$102,8,FALSE),main!$K$26:$M$29,2,FALSE)+VLOOKUP(VLOOKUP(C$1,main!$A$3:$H$102,7,FALSE),main!$K$19:$O$22,MATCH(VLOOKUP($A18,main!$A$3:$H$102,8,FALSE),main!$K$18:$O$18,0))))),1,0)</f>
        <v>0</v>
      </c>
      <c r="D18">
        <f>IF((AND(VLOOKUP(D$1,main!$A$3:$H$102,5,FALSE)-VLOOKUP($A18,main!$A$3:$H$102,6,FALSE)&gt;=(VLOOKUP(VLOOKUP(D$1,main!$A$3:$H$102,8,FALSE),main!$K$26:$M$29,2,FALSE)+VLOOKUP(VLOOKUP(D$1,main!$A$3:$H$102,7,FALSE),main!$K$19:$O$22,MATCH(VLOOKUP($A18,main!$A$3:$H$102,8,FALSE),main!$K$18:$O$18,0))))),1,0)</f>
        <v>0</v>
      </c>
      <c r="E18">
        <f>IF((AND(VLOOKUP(E$1,main!$A$3:$H$102,5,FALSE)-VLOOKUP($A18,main!$A$3:$H$102,6,FALSE)&gt;=(VLOOKUP(VLOOKUP(E$1,main!$A$3:$H$102,8,FALSE),main!$K$26:$M$29,2,FALSE)+VLOOKUP(VLOOKUP(E$1,main!$A$3:$H$102,7,FALSE),main!$K$19:$O$22,MATCH(VLOOKUP($A18,main!$A$3:$H$102,8,FALSE),main!$K$18:$O$18,0))))),1,0)</f>
        <v>0</v>
      </c>
      <c r="F18">
        <f>IF((AND(VLOOKUP(F$1,main!$A$3:$H$102,5,FALSE)-VLOOKUP($A18,main!$A$3:$H$102,6,FALSE)&gt;=(VLOOKUP(VLOOKUP(F$1,main!$A$3:$H$102,8,FALSE),main!$K$26:$M$29,2,FALSE)+VLOOKUP(VLOOKUP(F$1,main!$A$3:$H$102,7,FALSE),main!$K$19:$O$22,MATCH(VLOOKUP($A18,main!$A$3:$H$102,8,FALSE),main!$K$18:$O$18,0))))),1,0)</f>
        <v>0</v>
      </c>
      <c r="G18">
        <f>IF((AND(VLOOKUP(G$1,main!$A$3:$H$102,5,FALSE)-VLOOKUP($A18,main!$A$3:$H$102,6,FALSE)&gt;=(VLOOKUP(VLOOKUP(G$1,main!$A$3:$H$102,8,FALSE),main!$K$26:$M$29,2,FALSE)+VLOOKUP(VLOOKUP(G$1,main!$A$3:$H$102,7,FALSE),main!$K$19:$O$22,MATCH(VLOOKUP($A18,main!$A$3:$H$102,8,FALSE),main!$K$18:$O$18,0))))),1,0)</f>
        <v>0</v>
      </c>
      <c r="H18">
        <f>IF((AND(VLOOKUP(H$1,main!$A$3:$H$102,5,FALSE)-VLOOKUP($A18,main!$A$3:$H$102,6,FALSE)&gt;=(VLOOKUP(VLOOKUP(H$1,main!$A$3:$H$102,8,FALSE),main!$K$26:$M$29,2,FALSE)+VLOOKUP(VLOOKUP(H$1,main!$A$3:$H$102,7,FALSE),main!$K$19:$O$22,MATCH(VLOOKUP($A18,main!$A$3:$H$102,8,FALSE),main!$K$18:$O$18,0))))),1,0)</f>
        <v>0</v>
      </c>
      <c r="I18">
        <f>IF((AND(VLOOKUP(I$1,main!$A$3:$H$102,5,FALSE)-VLOOKUP($A18,main!$A$3:$H$102,6,FALSE)&gt;=(VLOOKUP(VLOOKUP(I$1,main!$A$3:$H$102,8,FALSE),main!$K$26:$M$29,2,FALSE)+VLOOKUP(VLOOKUP(I$1,main!$A$3:$H$102,7,FALSE),main!$K$19:$O$22,MATCH(VLOOKUP($A18,main!$A$3:$H$102,8,FALSE),main!$K$18:$O$18,0))))),1,0)</f>
        <v>1</v>
      </c>
      <c r="J18">
        <f>IF((AND(VLOOKUP(J$1,main!$A$3:$H$102,5,FALSE)-VLOOKUP($A18,main!$A$3:$H$102,6,FALSE)&gt;=(VLOOKUP(VLOOKUP(J$1,main!$A$3:$H$102,8,FALSE),main!$K$26:$M$29,2,FALSE)+VLOOKUP(VLOOKUP(J$1,main!$A$3:$H$102,7,FALSE),main!$K$19:$O$22,MATCH(VLOOKUP($A18,main!$A$3:$H$102,8,FALSE),main!$K$18:$O$18,0))))),1,0)</f>
        <v>1</v>
      </c>
      <c r="K18">
        <f>IF((AND(VLOOKUP(K$1,main!$A$3:$H$102,5,FALSE)-VLOOKUP($A18,main!$A$3:$H$102,6,FALSE)&gt;=(VLOOKUP(VLOOKUP(K$1,main!$A$3:$H$102,8,FALSE),main!$K$26:$M$29,2,FALSE)+VLOOKUP(VLOOKUP(K$1,main!$A$3:$H$102,7,FALSE),main!$K$19:$O$22,MATCH(VLOOKUP($A18,main!$A$3:$H$102,8,FALSE),main!$K$18:$O$18,0))))),1,0)</f>
        <v>1</v>
      </c>
      <c r="L18">
        <f>IF((AND(VLOOKUP(L$1,main!$A$3:$H$102,5,FALSE)-VLOOKUP($A18,main!$A$3:$H$102,6,FALSE)&gt;=(VLOOKUP(VLOOKUP(L$1,main!$A$3:$H$102,8,FALSE),main!$K$26:$M$29,2,FALSE)+VLOOKUP(VLOOKUP(L$1,main!$A$3:$H$102,7,FALSE),main!$K$19:$O$22,MATCH(VLOOKUP($A18,main!$A$3:$H$102,8,FALSE),main!$K$18:$O$18,0))))),1,0)</f>
        <v>1</v>
      </c>
      <c r="M18">
        <f>IF((AND(VLOOKUP(M$1,main!$A$3:$H$102,5,FALSE)-VLOOKUP($A18,main!$A$3:$H$102,6,FALSE)&gt;=(VLOOKUP(VLOOKUP(M$1,main!$A$3:$H$102,8,FALSE),main!$K$26:$M$29,2,FALSE)+VLOOKUP(VLOOKUP(M$1,main!$A$3:$H$102,7,FALSE),main!$K$19:$O$22,MATCH(VLOOKUP($A18,main!$A$3:$H$102,8,FALSE),main!$K$18:$O$18,0))))),1,0)</f>
        <v>0</v>
      </c>
      <c r="N18">
        <f>IF((AND(VLOOKUP(N$1,main!$A$3:$H$102,5,FALSE)-VLOOKUP($A18,main!$A$3:$H$102,6,FALSE)&gt;=(VLOOKUP(VLOOKUP(N$1,main!$A$3:$H$102,8,FALSE),main!$K$26:$M$29,2,FALSE)+VLOOKUP(VLOOKUP(N$1,main!$A$3:$H$102,7,FALSE),main!$K$19:$O$22,MATCH(VLOOKUP($A18,main!$A$3:$H$102,8,FALSE),main!$K$18:$O$18,0))))),1,0)</f>
        <v>0</v>
      </c>
      <c r="O18">
        <f>IF((AND(VLOOKUP(O$1,main!$A$3:$H$102,5,FALSE)-VLOOKUP($A18,main!$A$3:$H$102,6,FALSE)&gt;=(VLOOKUP(VLOOKUP(O$1,main!$A$3:$H$102,8,FALSE),main!$K$26:$M$29,2,FALSE)+VLOOKUP(VLOOKUP(O$1,main!$A$3:$H$102,7,FALSE),main!$K$19:$O$22,MATCH(VLOOKUP($A18,main!$A$3:$H$102,8,FALSE),main!$K$18:$O$18,0))))),1,0)</f>
        <v>0</v>
      </c>
      <c r="P18">
        <f>IF((AND(VLOOKUP(P$1,main!$A$3:$H$102,5,FALSE)-VLOOKUP($A18,main!$A$3:$H$102,6,FALSE)&gt;=(VLOOKUP(VLOOKUP(P$1,main!$A$3:$H$102,8,FALSE),main!$K$26:$M$29,2,FALSE)+VLOOKUP(VLOOKUP(P$1,main!$A$3:$H$102,7,FALSE),main!$K$19:$O$22,MATCH(VLOOKUP($A18,main!$A$3:$H$102,8,FALSE),main!$K$18:$O$18,0))))),1,0)</f>
        <v>0</v>
      </c>
      <c r="Q18">
        <f>IF((AND(VLOOKUP(Q$1,main!$A$3:$H$102,5,FALSE)-VLOOKUP($A18,main!$A$3:$H$102,6,FALSE)&gt;=(VLOOKUP(VLOOKUP(Q$1,main!$A$3:$H$102,8,FALSE),main!$K$26:$M$29,2,FALSE)+VLOOKUP(VLOOKUP(Q$1,main!$A$3:$H$102,7,FALSE),main!$K$19:$O$22,MATCH(VLOOKUP($A18,main!$A$3:$H$102,8,FALSE),main!$K$18:$O$18,0))))),1,0)</f>
        <v>0</v>
      </c>
      <c r="R18">
        <f>IF((AND(VLOOKUP(R$1,main!$A$3:$H$102,5,FALSE)-VLOOKUP($A18,main!$A$3:$H$102,6,FALSE)&gt;=(VLOOKUP(VLOOKUP(R$1,main!$A$3:$H$102,8,FALSE),main!$K$26:$M$29,2,FALSE)+VLOOKUP(VLOOKUP(R$1,main!$A$3:$H$102,7,FALSE),main!$K$19:$O$22,MATCH(VLOOKUP($A18,main!$A$3:$H$102,8,FALSE),main!$K$18:$O$18,0))))),1,0)</f>
        <v>0</v>
      </c>
      <c r="S18">
        <f>IF((AND(VLOOKUP(S$1,main!$A$3:$H$102,5,FALSE)-VLOOKUP($A18,main!$A$3:$H$102,6,FALSE)&gt;=(VLOOKUP(VLOOKUP(S$1,main!$A$3:$H$102,8,FALSE),main!$K$26:$M$29,2,FALSE)+VLOOKUP(VLOOKUP(S$1,main!$A$3:$H$102,7,FALSE),main!$K$19:$O$22,MATCH(VLOOKUP($A18,main!$A$3:$H$102,8,FALSE),main!$K$18:$O$18,0))))),1,0)</f>
        <v>0</v>
      </c>
      <c r="T18">
        <f>IF((AND(VLOOKUP(T$1,main!$A$3:$H$102,5,FALSE)-VLOOKUP($A18,main!$A$3:$H$102,6,FALSE)&gt;=(VLOOKUP(VLOOKUP(T$1,main!$A$3:$H$102,8,FALSE),main!$K$26:$M$29,2,FALSE)+VLOOKUP(VLOOKUP(T$1,main!$A$3:$H$102,7,FALSE),main!$K$19:$O$22,MATCH(VLOOKUP($A18,main!$A$3:$H$102,8,FALSE),main!$K$18:$O$18,0))))),1,0)</f>
        <v>1</v>
      </c>
      <c r="U18">
        <f>IF((AND(VLOOKUP(U$1,main!$A$3:$H$102,5,FALSE)-VLOOKUP($A18,main!$A$3:$H$102,6,FALSE)&gt;=(VLOOKUP(VLOOKUP(U$1,main!$A$3:$H$102,8,FALSE),main!$K$26:$M$29,2,FALSE)+VLOOKUP(VLOOKUP(U$1,main!$A$3:$H$102,7,FALSE),main!$K$19:$O$22,MATCH(VLOOKUP($A18,main!$A$3:$H$102,8,FALSE),main!$K$18:$O$18,0))))),1,0)</f>
        <v>1</v>
      </c>
      <c r="V18">
        <f>IF((AND(VLOOKUP(V$1,main!$A$3:$H$102,5,FALSE)-VLOOKUP($A18,main!$A$3:$H$102,6,FALSE)&gt;=(VLOOKUP(VLOOKUP(V$1,main!$A$3:$H$102,8,FALSE),main!$K$26:$M$29,2,FALSE)+VLOOKUP(VLOOKUP(V$1,main!$A$3:$H$102,7,FALSE),main!$K$19:$O$22,MATCH(VLOOKUP($A18,main!$A$3:$H$102,8,FALSE),main!$K$18:$O$18,0))))),1,0)</f>
        <v>1</v>
      </c>
      <c r="W18">
        <f>IF((AND(VLOOKUP(W$1,main!$A$3:$H$102,5,FALSE)-VLOOKUP($A18,main!$A$3:$H$102,6,FALSE)&gt;=(VLOOKUP(VLOOKUP(W$1,main!$A$3:$H$102,8,FALSE),main!$K$26:$M$29,2,FALSE)+VLOOKUP(VLOOKUP(W$1,main!$A$3:$H$102,7,FALSE),main!$K$19:$O$22,MATCH(VLOOKUP($A18,main!$A$3:$H$102,8,FALSE),main!$K$18:$O$18,0))))),1,0)</f>
        <v>0</v>
      </c>
      <c r="X18">
        <f>IF((AND(VLOOKUP(X$1,main!$A$3:$H$102,5,FALSE)-VLOOKUP($A18,main!$A$3:$H$102,6,FALSE)&gt;=(VLOOKUP(VLOOKUP(X$1,main!$A$3:$H$102,8,FALSE),main!$K$26:$M$29,2,FALSE)+VLOOKUP(VLOOKUP(X$1,main!$A$3:$H$102,7,FALSE),main!$K$19:$O$22,MATCH(VLOOKUP($A18,main!$A$3:$H$102,8,FALSE),main!$K$18:$O$18,0))))),1,0)</f>
        <v>0</v>
      </c>
      <c r="Y18">
        <f>IF((AND(VLOOKUP(Y$1,main!$A$3:$H$102,5,FALSE)-VLOOKUP($A18,main!$A$3:$H$102,6,FALSE)&gt;=(VLOOKUP(VLOOKUP(Y$1,main!$A$3:$H$102,8,FALSE),main!$K$26:$M$29,2,FALSE)+VLOOKUP(VLOOKUP(Y$1,main!$A$3:$H$102,7,FALSE),main!$K$19:$O$22,MATCH(VLOOKUP($A18,main!$A$3:$H$102,8,FALSE),main!$K$18:$O$18,0))))),1,0)</f>
        <v>0</v>
      </c>
      <c r="Z18">
        <f>IF((AND(VLOOKUP(Z$1,main!$A$3:$H$102,5,FALSE)-VLOOKUP($A18,main!$A$3:$H$102,6,FALSE)&gt;=(VLOOKUP(VLOOKUP(Z$1,main!$A$3:$H$102,8,FALSE),main!$K$26:$M$29,2,FALSE)+VLOOKUP(VLOOKUP(Z$1,main!$A$3:$H$102,7,FALSE),main!$K$19:$O$22,MATCH(VLOOKUP($A18,main!$A$3:$H$102,8,FALSE),main!$K$18:$O$18,0))))),1,0)</f>
        <v>0</v>
      </c>
      <c r="AA18">
        <f>IF((AND(VLOOKUP(AA$1,main!$A$3:$H$102,5,FALSE)-VLOOKUP($A18,main!$A$3:$H$102,6,FALSE)&gt;=(VLOOKUP(VLOOKUP(AA$1,main!$A$3:$H$102,8,FALSE),main!$K$26:$M$29,2,FALSE)+VLOOKUP(VLOOKUP(AA$1,main!$A$3:$H$102,7,FALSE),main!$K$19:$O$22,MATCH(VLOOKUP($A18,main!$A$3:$H$102,8,FALSE),main!$K$18:$O$18,0))))),1,0)</f>
        <v>1</v>
      </c>
      <c r="AB18">
        <f>IF((AND(VLOOKUP(AB$1,main!$A$3:$H$102,5,FALSE)-VLOOKUP($A18,main!$A$3:$H$102,6,FALSE)&gt;=(VLOOKUP(VLOOKUP(AB$1,main!$A$3:$H$102,8,FALSE),main!$K$26:$M$29,2,FALSE)+VLOOKUP(VLOOKUP(AB$1,main!$A$3:$H$102,7,FALSE),main!$K$19:$O$22,MATCH(VLOOKUP($A18,main!$A$3:$H$102,8,FALSE),main!$K$18:$O$18,0))))),1,0)</f>
        <v>0</v>
      </c>
      <c r="AC18">
        <f>IF((AND(VLOOKUP(AC$1,main!$A$3:$H$102,5,FALSE)-VLOOKUP($A18,main!$A$3:$H$102,6,FALSE)&gt;=(VLOOKUP(VLOOKUP(AC$1,main!$A$3:$H$102,8,FALSE),main!$K$26:$M$29,2,FALSE)+VLOOKUP(VLOOKUP(AC$1,main!$A$3:$H$102,7,FALSE),main!$K$19:$O$22,MATCH(VLOOKUP($A18,main!$A$3:$H$102,8,FALSE),main!$K$18:$O$18,0))))),1,0)</f>
        <v>0</v>
      </c>
      <c r="AD18">
        <f>IF((AND(VLOOKUP(AD$1,main!$A$3:$H$102,5,FALSE)-VLOOKUP($A18,main!$A$3:$H$102,6,FALSE)&gt;=(VLOOKUP(VLOOKUP(AD$1,main!$A$3:$H$102,8,FALSE),main!$K$26:$M$29,2,FALSE)+VLOOKUP(VLOOKUP(AD$1,main!$A$3:$H$102,7,FALSE),main!$K$19:$O$22,MATCH(VLOOKUP($A18,main!$A$3:$H$102,8,FALSE),main!$K$18:$O$18,0))))),1,0)</f>
        <v>0</v>
      </c>
      <c r="AE18">
        <f>IF((AND(VLOOKUP(AE$1,main!$A$3:$H$102,5,FALSE)-VLOOKUP($A18,main!$A$3:$H$102,6,FALSE)&gt;=(VLOOKUP(VLOOKUP(AE$1,main!$A$3:$H$102,8,FALSE),main!$K$26:$M$29,2,FALSE)+VLOOKUP(VLOOKUP(AE$1,main!$A$3:$H$102,7,FALSE),main!$K$19:$O$22,MATCH(VLOOKUP($A18,main!$A$3:$H$102,8,FALSE),main!$K$18:$O$18,0))))),1,0)</f>
        <v>0</v>
      </c>
      <c r="AF18">
        <f>IF((AND(VLOOKUP(AF$1,main!$A$3:$H$102,5,FALSE)-VLOOKUP($A18,main!$A$3:$H$102,6,FALSE)&gt;=(VLOOKUP(VLOOKUP(AF$1,main!$A$3:$H$102,8,FALSE),main!$K$26:$M$29,2,FALSE)+VLOOKUP(VLOOKUP(AF$1,main!$A$3:$H$102,7,FALSE),main!$K$19:$O$22,MATCH(VLOOKUP($A18,main!$A$3:$H$102,8,FALSE),main!$K$18:$O$18,0))))),1,0)</f>
        <v>1</v>
      </c>
      <c r="AG18">
        <f>IF((AND(VLOOKUP(AG$1,main!$A$3:$H$102,5,FALSE)-VLOOKUP($A18,main!$A$3:$H$102,6,FALSE)&gt;=(VLOOKUP(VLOOKUP(AG$1,main!$A$3:$H$102,8,FALSE),main!$K$26:$M$29,2,FALSE)+VLOOKUP(VLOOKUP(AG$1,main!$A$3:$H$102,7,FALSE),main!$K$19:$O$22,MATCH(VLOOKUP($A18,main!$A$3:$H$102,8,FALSE),main!$K$18:$O$18,0))))),1,0)</f>
        <v>0</v>
      </c>
      <c r="AH18">
        <f>IF((AND(VLOOKUP(AH$1,main!$A$3:$H$102,5,FALSE)-VLOOKUP($A18,main!$A$3:$H$102,6,FALSE)&gt;=(VLOOKUP(VLOOKUP(AH$1,main!$A$3:$H$102,8,FALSE),main!$K$26:$M$29,2,FALSE)+VLOOKUP(VLOOKUP(AH$1,main!$A$3:$H$102,7,FALSE),main!$K$19:$O$22,MATCH(VLOOKUP($A18,main!$A$3:$H$102,8,FALSE),main!$K$18:$O$18,0))))),1,0)</f>
        <v>0</v>
      </c>
      <c r="AI18">
        <f>IF((AND(VLOOKUP(AI$1,main!$A$3:$H$102,5,FALSE)-VLOOKUP($A18,main!$A$3:$H$102,6,FALSE)&gt;=(VLOOKUP(VLOOKUP(AI$1,main!$A$3:$H$102,8,FALSE),main!$K$26:$M$29,2,FALSE)+VLOOKUP(VLOOKUP(AI$1,main!$A$3:$H$102,7,FALSE),main!$K$19:$O$22,MATCH(VLOOKUP($A18,main!$A$3:$H$102,8,FALSE),main!$K$18:$O$18,0))))),1,0)</f>
        <v>0</v>
      </c>
      <c r="AJ18">
        <f>IF((AND(VLOOKUP(AJ$1,main!$A$3:$H$102,5,FALSE)-VLOOKUP($A18,main!$A$3:$H$102,6,FALSE)&gt;=(VLOOKUP(VLOOKUP(AJ$1,main!$A$3:$H$102,8,FALSE),main!$K$26:$M$29,2,FALSE)+VLOOKUP(VLOOKUP(AJ$1,main!$A$3:$H$102,7,FALSE),main!$K$19:$O$22,MATCH(VLOOKUP($A18,main!$A$3:$H$102,8,FALSE),main!$K$18:$O$18,0))))),1,0)</f>
        <v>0</v>
      </c>
      <c r="AK18">
        <f>IF((AND(VLOOKUP(AK$1,main!$A$3:$H$102,5,FALSE)-VLOOKUP($A18,main!$A$3:$H$102,6,FALSE)&gt;=(VLOOKUP(VLOOKUP(AK$1,main!$A$3:$H$102,8,FALSE),main!$K$26:$M$29,2,FALSE)+VLOOKUP(VLOOKUP(AK$1,main!$A$3:$H$102,7,FALSE),main!$K$19:$O$22,MATCH(VLOOKUP($A18,main!$A$3:$H$102,8,FALSE),main!$K$18:$O$18,0))))),1,0)</f>
        <v>0</v>
      </c>
      <c r="AL18">
        <f>IF((AND(VLOOKUP(AL$1,main!$A$3:$H$102,5,FALSE)-VLOOKUP($A18,main!$A$3:$H$102,6,FALSE)&gt;=(VLOOKUP(VLOOKUP(AL$1,main!$A$3:$H$102,8,FALSE),main!$K$26:$M$29,2,FALSE)+VLOOKUP(VLOOKUP(AL$1,main!$A$3:$H$102,7,FALSE),main!$K$19:$O$22,MATCH(VLOOKUP($A18,main!$A$3:$H$102,8,FALSE),main!$K$18:$O$18,0))))),1,0)</f>
        <v>1</v>
      </c>
      <c r="AM18">
        <f>IF((AND(VLOOKUP(AM$1,main!$A$3:$H$102,5,FALSE)-VLOOKUP($A18,main!$A$3:$H$102,6,FALSE)&gt;=(VLOOKUP(VLOOKUP(AM$1,main!$A$3:$H$102,8,FALSE),main!$K$26:$M$29,2,FALSE)+VLOOKUP(VLOOKUP(AM$1,main!$A$3:$H$102,7,FALSE),main!$K$19:$O$22,MATCH(VLOOKUP($A18,main!$A$3:$H$102,8,FALSE),main!$K$18:$O$18,0))))),1,0)</f>
        <v>1</v>
      </c>
      <c r="AN18">
        <f>IF((AND(VLOOKUP(AN$1,main!$A$3:$H$102,5,FALSE)-VLOOKUP($A18,main!$A$3:$H$102,6,FALSE)&gt;=(VLOOKUP(VLOOKUP(AN$1,main!$A$3:$H$102,8,FALSE),main!$K$26:$M$29,2,FALSE)+VLOOKUP(VLOOKUP(AN$1,main!$A$3:$H$102,7,FALSE),main!$K$19:$O$22,MATCH(VLOOKUP($A18,main!$A$3:$H$102,8,FALSE),main!$K$18:$O$18,0))))),1,0)</f>
        <v>1</v>
      </c>
      <c r="AO18">
        <f>IF((AND(VLOOKUP(AO$1,main!$A$3:$H$102,5,FALSE)-VLOOKUP($A18,main!$A$3:$H$102,6,FALSE)&gt;=(VLOOKUP(VLOOKUP(AO$1,main!$A$3:$H$102,8,FALSE),main!$K$26:$M$29,2,FALSE)+VLOOKUP(VLOOKUP(AO$1,main!$A$3:$H$102,7,FALSE),main!$K$19:$O$22,MATCH(VLOOKUP($A18,main!$A$3:$H$102,8,FALSE),main!$K$18:$O$18,0))))),1,0)</f>
        <v>0</v>
      </c>
      <c r="AP18">
        <f>IF((AND(VLOOKUP(AP$1,main!$A$3:$H$102,5,FALSE)-VLOOKUP($A18,main!$A$3:$H$102,6,FALSE)&gt;=(VLOOKUP(VLOOKUP(AP$1,main!$A$3:$H$102,8,FALSE),main!$K$26:$M$29,2,FALSE)+VLOOKUP(VLOOKUP(AP$1,main!$A$3:$H$102,7,FALSE),main!$K$19:$O$22,MATCH(VLOOKUP($A18,main!$A$3:$H$102,8,FALSE),main!$K$18:$O$18,0))))),1,0)</f>
        <v>1</v>
      </c>
      <c r="AQ18">
        <f>IF((AND(VLOOKUP(AQ$1,main!$A$3:$H$102,5,FALSE)-VLOOKUP($A18,main!$A$3:$H$102,6,FALSE)&gt;=(VLOOKUP(VLOOKUP(AQ$1,main!$A$3:$H$102,8,FALSE),main!$K$26:$M$29,2,FALSE)+VLOOKUP(VLOOKUP(AQ$1,main!$A$3:$H$102,7,FALSE),main!$K$19:$O$22,MATCH(VLOOKUP($A18,main!$A$3:$H$102,8,FALSE),main!$K$18:$O$18,0))))),1,0)</f>
        <v>0</v>
      </c>
      <c r="AR18">
        <f>IF((AND(VLOOKUP(AR$1,main!$A$3:$H$102,5,FALSE)-VLOOKUP($A18,main!$A$3:$H$102,6,FALSE)&gt;=(VLOOKUP(VLOOKUP(AR$1,main!$A$3:$H$102,8,FALSE),main!$K$26:$M$29,2,FALSE)+VLOOKUP(VLOOKUP(AR$1,main!$A$3:$H$102,7,FALSE),main!$K$19:$O$22,MATCH(VLOOKUP($A18,main!$A$3:$H$102,8,FALSE),main!$K$18:$O$18,0))))),1,0)</f>
        <v>0</v>
      </c>
      <c r="AS18">
        <f>IF((AND(VLOOKUP(AS$1,main!$A$3:$H$102,5,FALSE)-VLOOKUP($A18,main!$A$3:$H$102,6,FALSE)&gt;=(VLOOKUP(VLOOKUP(AS$1,main!$A$3:$H$102,8,FALSE),main!$K$26:$M$29,2,FALSE)+VLOOKUP(VLOOKUP(AS$1,main!$A$3:$H$102,7,FALSE),main!$K$19:$O$22,MATCH(VLOOKUP($A18,main!$A$3:$H$102,8,FALSE),main!$K$18:$O$18,0))))),1,0)</f>
        <v>0</v>
      </c>
      <c r="AT18">
        <f>IF((AND(VLOOKUP(AT$1,main!$A$3:$H$102,5,FALSE)-VLOOKUP($A18,main!$A$3:$H$102,6,FALSE)&gt;=(VLOOKUP(VLOOKUP(AT$1,main!$A$3:$H$102,8,FALSE),main!$K$26:$M$29,2,FALSE)+VLOOKUP(VLOOKUP(AT$1,main!$A$3:$H$102,7,FALSE),main!$K$19:$O$22,MATCH(VLOOKUP($A18,main!$A$3:$H$102,8,FALSE),main!$K$18:$O$18,0))))),1,0)</f>
        <v>0</v>
      </c>
      <c r="AU18">
        <f>IF((AND(VLOOKUP(AU$1,main!$A$3:$H$102,5,FALSE)-VLOOKUP($A18,main!$A$3:$H$102,6,FALSE)&gt;=(VLOOKUP(VLOOKUP(AU$1,main!$A$3:$H$102,8,FALSE),main!$K$26:$M$29,2,FALSE)+VLOOKUP(VLOOKUP(AU$1,main!$A$3:$H$102,7,FALSE),main!$K$19:$O$22,MATCH(VLOOKUP($A18,main!$A$3:$H$102,8,FALSE),main!$K$18:$O$18,0))))),1,0)</f>
        <v>0</v>
      </c>
      <c r="AV18">
        <f>IF((AND(VLOOKUP(AV$1,main!$A$3:$H$102,5,FALSE)-VLOOKUP($A18,main!$A$3:$H$102,6,FALSE)&gt;=(VLOOKUP(VLOOKUP(AV$1,main!$A$3:$H$102,8,FALSE),main!$K$26:$M$29,2,FALSE)+VLOOKUP(VLOOKUP(AV$1,main!$A$3:$H$102,7,FALSE),main!$K$19:$O$22,MATCH(VLOOKUP($A18,main!$A$3:$H$102,8,FALSE),main!$K$18:$O$18,0))))),1,0)</f>
        <v>0</v>
      </c>
      <c r="AW18">
        <f>IF((AND(VLOOKUP(AW$1,main!$A$3:$H$102,5,FALSE)-VLOOKUP($A18,main!$A$3:$H$102,6,FALSE)&gt;=(VLOOKUP(VLOOKUP(AW$1,main!$A$3:$H$102,8,FALSE),main!$K$26:$M$29,2,FALSE)+VLOOKUP(VLOOKUP(AW$1,main!$A$3:$H$102,7,FALSE),main!$K$19:$O$22,MATCH(VLOOKUP($A18,main!$A$3:$H$102,8,FALSE),main!$K$18:$O$18,0))))),1,0)</f>
        <v>0</v>
      </c>
      <c r="AX18">
        <f>IF((AND(VLOOKUP(AX$1,main!$A$3:$H$102,5,FALSE)-VLOOKUP($A18,main!$A$3:$H$102,6,FALSE)&gt;=(VLOOKUP(VLOOKUP(AX$1,main!$A$3:$H$102,8,FALSE),main!$K$26:$M$29,2,FALSE)+VLOOKUP(VLOOKUP(AX$1,main!$A$3:$H$102,7,FALSE),main!$K$19:$O$22,MATCH(VLOOKUP($A18,main!$A$3:$H$102,8,FALSE),main!$K$18:$O$18,0))))),1,0)</f>
        <v>0</v>
      </c>
      <c r="AY18">
        <f>IF((AND(VLOOKUP(AY$1,main!$A$3:$H$102,5,FALSE)-VLOOKUP($A18,main!$A$3:$H$102,6,FALSE)&gt;=(VLOOKUP(VLOOKUP(AY$1,main!$A$3:$H$102,8,FALSE),main!$K$26:$M$29,2,FALSE)+VLOOKUP(VLOOKUP(AY$1,main!$A$3:$H$102,7,FALSE),main!$K$19:$O$22,MATCH(VLOOKUP($A18,main!$A$3:$H$102,8,FALSE),main!$K$18:$O$18,0))))),1,0)</f>
        <v>0</v>
      </c>
      <c r="AZ18">
        <f>IF((AND(VLOOKUP(AZ$1,main!$A$3:$H$102,5,FALSE)-VLOOKUP($A18,main!$A$3:$H$102,6,FALSE)&gt;=(VLOOKUP(VLOOKUP(AZ$1,main!$A$3:$H$102,8,FALSE),main!$K$26:$M$29,2,FALSE)+VLOOKUP(VLOOKUP(AZ$1,main!$A$3:$H$102,7,FALSE),main!$K$19:$O$22,MATCH(VLOOKUP($A18,main!$A$3:$H$102,8,FALSE),main!$K$18:$O$18,0))))),1,0)</f>
        <v>0</v>
      </c>
      <c r="BA18">
        <f>IF((AND(VLOOKUP(BA$1,main!$A$3:$H$102,5,FALSE)-VLOOKUP($A18,main!$A$3:$H$102,6,FALSE)&gt;=(VLOOKUP(VLOOKUP(BA$1,main!$A$3:$H$102,8,FALSE),main!$K$26:$M$29,2,FALSE)+VLOOKUP(VLOOKUP(BA$1,main!$A$3:$H$102,7,FALSE),main!$K$19:$O$22,MATCH(VLOOKUP($A18,main!$A$3:$H$102,8,FALSE),main!$K$18:$O$18,0))))),1,0)</f>
        <v>0</v>
      </c>
      <c r="BB18">
        <f>IF((AND(VLOOKUP(BB$1,main!$A$3:$H$102,5,FALSE)-VLOOKUP($A18,main!$A$3:$H$102,6,FALSE)&gt;=(VLOOKUP(VLOOKUP(BB$1,main!$A$3:$H$102,8,FALSE),main!$K$26:$M$29,2,FALSE)+VLOOKUP(VLOOKUP(BB$1,main!$A$3:$H$102,7,FALSE),main!$K$19:$O$22,MATCH(VLOOKUP($A18,main!$A$3:$H$102,8,FALSE),main!$K$18:$O$18,0))))),1,0)</f>
        <v>0</v>
      </c>
      <c r="BC18">
        <f>IF((AND(VLOOKUP(BC$1,main!$A$3:$H$102,5,FALSE)-VLOOKUP($A18,main!$A$3:$H$102,6,FALSE)&gt;=(VLOOKUP(VLOOKUP(BC$1,main!$A$3:$H$102,8,FALSE),main!$K$26:$M$29,2,FALSE)+VLOOKUP(VLOOKUP(BC$1,main!$A$3:$H$102,7,FALSE),main!$K$19:$O$22,MATCH(VLOOKUP($A18,main!$A$3:$H$102,8,FALSE),main!$K$18:$O$18,0))))),1,0)</f>
        <v>0</v>
      </c>
      <c r="BD18">
        <f>IF((AND(VLOOKUP(BD$1,main!$A$3:$H$102,5,FALSE)-VLOOKUP($A18,main!$A$3:$H$102,6,FALSE)&gt;=(VLOOKUP(VLOOKUP(BD$1,main!$A$3:$H$102,8,FALSE),main!$K$26:$M$29,2,FALSE)+VLOOKUP(VLOOKUP(BD$1,main!$A$3:$H$102,7,FALSE),main!$K$19:$O$22,MATCH(VLOOKUP($A18,main!$A$3:$H$102,8,FALSE),main!$K$18:$O$18,0))))),1,0)</f>
        <v>0</v>
      </c>
      <c r="BE18">
        <f>IF((AND(VLOOKUP(BE$1,main!$A$3:$H$102,5,FALSE)-VLOOKUP($A18,main!$A$3:$H$102,6,FALSE)&gt;=(VLOOKUP(VLOOKUP(BE$1,main!$A$3:$H$102,8,FALSE),main!$K$26:$M$29,2,FALSE)+VLOOKUP(VLOOKUP(BE$1,main!$A$3:$H$102,7,FALSE),main!$K$19:$O$22,MATCH(VLOOKUP($A18,main!$A$3:$H$102,8,FALSE),main!$K$18:$O$18,0))))),1,0)</f>
        <v>1</v>
      </c>
      <c r="BF18">
        <f>IF((AND(VLOOKUP(BF$1,main!$A$3:$H$102,5,FALSE)-VLOOKUP($A18,main!$A$3:$H$102,6,FALSE)&gt;=(VLOOKUP(VLOOKUP(BF$1,main!$A$3:$H$102,8,FALSE),main!$K$26:$M$29,2,FALSE)+VLOOKUP(VLOOKUP(BF$1,main!$A$3:$H$102,7,FALSE),main!$K$19:$O$22,MATCH(VLOOKUP($A18,main!$A$3:$H$102,8,FALSE),main!$K$18:$O$18,0))))),1,0)</f>
        <v>0</v>
      </c>
      <c r="BG18">
        <f>IF((AND(VLOOKUP(BG$1,main!$A$3:$H$102,5,FALSE)-VLOOKUP($A18,main!$A$3:$H$102,6,FALSE)&gt;=(VLOOKUP(VLOOKUP(BG$1,main!$A$3:$H$102,8,FALSE),main!$K$26:$M$29,2,FALSE)+VLOOKUP(VLOOKUP(BG$1,main!$A$3:$H$102,7,FALSE),main!$K$19:$O$22,MATCH(VLOOKUP($A18,main!$A$3:$H$102,8,FALSE),main!$K$18:$O$18,0))))),1,0)</f>
        <v>0</v>
      </c>
      <c r="BH18">
        <f>IF((AND(VLOOKUP(BH$1,main!$A$3:$H$102,5,FALSE)-VLOOKUP($A18,main!$A$3:$H$102,6,FALSE)&gt;=(VLOOKUP(VLOOKUP(BH$1,main!$A$3:$H$102,8,FALSE),main!$K$26:$M$29,2,FALSE)+VLOOKUP(VLOOKUP(BH$1,main!$A$3:$H$102,7,FALSE),main!$K$19:$O$22,MATCH(VLOOKUP($A18,main!$A$3:$H$102,8,FALSE),main!$K$18:$O$18,0))))),1,0)</f>
        <v>0</v>
      </c>
      <c r="BI18">
        <f>IF((AND(VLOOKUP(BI$1,main!$A$3:$H$102,5,FALSE)-VLOOKUP($A18,main!$A$3:$H$102,6,FALSE)&gt;=(VLOOKUP(VLOOKUP(BI$1,main!$A$3:$H$102,8,FALSE),main!$K$26:$M$29,2,FALSE)+VLOOKUP(VLOOKUP(BI$1,main!$A$3:$H$102,7,FALSE),main!$K$19:$O$22,MATCH(VLOOKUP($A18,main!$A$3:$H$102,8,FALSE),main!$K$18:$O$18,0))))),1,0)</f>
        <v>1</v>
      </c>
      <c r="BJ18">
        <f>IF((AND(VLOOKUP(BJ$1,main!$A$3:$H$102,5,FALSE)-VLOOKUP($A18,main!$A$3:$H$102,6,FALSE)&gt;=(VLOOKUP(VLOOKUP(BJ$1,main!$A$3:$H$102,8,FALSE),main!$K$26:$M$29,2,FALSE)+VLOOKUP(VLOOKUP(BJ$1,main!$A$3:$H$102,7,FALSE),main!$K$19:$O$22,MATCH(VLOOKUP($A18,main!$A$3:$H$102,8,FALSE),main!$K$18:$O$18,0))))),1,0)</f>
        <v>1</v>
      </c>
      <c r="BK18">
        <f>IF((AND(VLOOKUP(BK$1,main!$A$3:$H$102,5,FALSE)-VLOOKUP($A18,main!$A$3:$H$102,6,FALSE)&gt;=(VLOOKUP(VLOOKUP(BK$1,main!$A$3:$H$102,8,FALSE),main!$K$26:$M$29,2,FALSE)+VLOOKUP(VLOOKUP(BK$1,main!$A$3:$H$102,7,FALSE),main!$K$19:$O$22,MATCH(VLOOKUP($A18,main!$A$3:$H$102,8,FALSE),main!$K$18:$O$18,0))))),1,0)</f>
        <v>0</v>
      </c>
      <c r="BL18">
        <f>IF((AND(VLOOKUP(BL$1,main!$A$3:$H$102,5,FALSE)-VLOOKUP($A18,main!$A$3:$H$102,6,FALSE)&gt;=(VLOOKUP(VLOOKUP(BL$1,main!$A$3:$H$102,8,FALSE),main!$K$26:$M$29,2,FALSE)+VLOOKUP(VLOOKUP(BL$1,main!$A$3:$H$102,7,FALSE),main!$K$19:$O$22,MATCH(VLOOKUP($A18,main!$A$3:$H$102,8,FALSE),main!$K$18:$O$18,0))))),1,0)</f>
        <v>0</v>
      </c>
      <c r="BM18">
        <f>IF((AND(VLOOKUP(BM$1,main!$A$3:$H$102,5,FALSE)-VLOOKUP($A18,main!$A$3:$H$102,6,FALSE)&gt;=(VLOOKUP(VLOOKUP(BM$1,main!$A$3:$H$102,8,FALSE),main!$K$26:$M$29,2,FALSE)+VLOOKUP(VLOOKUP(BM$1,main!$A$3:$H$102,7,FALSE),main!$K$19:$O$22,MATCH(VLOOKUP($A18,main!$A$3:$H$102,8,FALSE),main!$K$18:$O$18,0))))),1,0)</f>
        <v>0</v>
      </c>
      <c r="BN18">
        <f>IF((AND(VLOOKUP(BN$1,main!$A$3:$H$102,5,FALSE)-VLOOKUP($A18,main!$A$3:$H$102,6,FALSE)&gt;=(VLOOKUP(VLOOKUP(BN$1,main!$A$3:$H$102,8,FALSE),main!$K$26:$M$29,2,FALSE)+VLOOKUP(VLOOKUP(BN$1,main!$A$3:$H$102,7,FALSE),main!$K$19:$O$22,MATCH(VLOOKUP($A18,main!$A$3:$H$102,8,FALSE),main!$K$18:$O$18,0))))),1,0)</f>
        <v>0</v>
      </c>
      <c r="BO18">
        <f>IF((AND(VLOOKUP(BO$1,main!$A$3:$H$102,5,FALSE)-VLOOKUP($A18,main!$A$3:$H$102,6,FALSE)&gt;=(VLOOKUP(VLOOKUP(BO$1,main!$A$3:$H$102,8,FALSE),main!$K$26:$M$29,2,FALSE)+VLOOKUP(VLOOKUP(BO$1,main!$A$3:$H$102,7,FALSE),main!$K$19:$O$22,MATCH(VLOOKUP($A18,main!$A$3:$H$102,8,FALSE),main!$K$18:$O$18,0))))),1,0)</f>
        <v>0</v>
      </c>
      <c r="BP18">
        <f>IF((AND(VLOOKUP(BP$1,main!$A$3:$H$102,5,FALSE)-VLOOKUP($A18,main!$A$3:$H$102,6,FALSE)&gt;=(VLOOKUP(VLOOKUP(BP$1,main!$A$3:$H$102,8,FALSE),main!$K$26:$M$29,2,FALSE)+VLOOKUP(VLOOKUP(BP$1,main!$A$3:$H$102,7,FALSE),main!$K$19:$O$22,MATCH(VLOOKUP($A18,main!$A$3:$H$102,8,FALSE),main!$K$18:$O$18,0))))),1,0)</f>
        <v>0</v>
      </c>
      <c r="BQ18">
        <f>IF((AND(VLOOKUP(BQ$1,main!$A$3:$H$102,5,FALSE)-VLOOKUP($A18,main!$A$3:$H$102,6,FALSE)&gt;=(VLOOKUP(VLOOKUP(BQ$1,main!$A$3:$H$102,8,FALSE),main!$K$26:$M$29,2,FALSE)+VLOOKUP(VLOOKUP(BQ$1,main!$A$3:$H$102,7,FALSE),main!$K$19:$O$22,MATCH(VLOOKUP($A18,main!$A$3:$H$102,8,FALSE),main!$K$18:$O$18,0))))),1,0)</f>
        <v>0</v>
      </c>
      <c r="BR18">
        <f>IF((AND(VLOOKUP(BR$1,main!$A$3:$H$102,5,FALSE)-VLOOKUP($A18,main!$A$3:$H$102,6,FALSE)&gt;=(VLOOKUP(VLOOKUP(BR$1,main!$A$3:$H$102,8,FALSE),main!$K$26:$M$29,2,FALSE)+VLOOKUP(VLOOKUP(BR$1,main!$A$3:$H$102,7,FALSE),main!$K$19:$O$22,MATCH(VLOOKUP($A18,main!$A$3:$H$102,8,FALSE),main!$K$18:$O$18,0))))),1,0)</f>
        <v>0</v>
      </c>
      <c r="BS18">
        <f>IF((AND(VLOOKUP(BS$1,main!$A$3:$H$102,5,FALSE)-VLOOKUP($A18,main!$A$3:$H$102,6,FALSE)&gt;=(VLOOKUP(VLOOKUP(BS$1,main!$A$3:$H$102,8,FALSE),main!$K$26:$M$29,2,FALSE)+VLOOKUP(VLOOKUP(BS$1,main!$A$3:$H$102,7,FALSE),main!$K$19:$O$22,MATCH(VLOOKUP($A18,main!$A$3:$H$102,8,FALSE),main!$K$18:$O$18,0))))),1,0)</f>
        <v>0</v>
      </c>
      <c r="BT18">
        <f>IF((AND(VLOOKUP(BT$1,main!$A$3:$H$102,5,FALSE)-VLOOKUP($A18,main!$A$3:$H$102,6,FALSE)&gt;=(VLOOKUP(VLOOKUP(BT$1,main!$A$3:$H$102,8,FALSE),main!$K$26:$M$29,2,FALSE)+VLOOKUP(VLOOKUP(BT$1,main!$A$3:$H$102,7,FALSE),main!$K$19:$O$22,MATCH(VLOOKUP($A18,main!$A$3:$H$102,8,FALSE),main!$K$18:$O$18,0))))),1,0)</f>
        <v>0</v>
      </c>
      <c r="BU18">
        <f>IF((AND(VLOOKUP(BU$1,main!$A$3:$H$102,5,FALSE)-VLOOKUP($A18,main!$A$3:$H$102,6,FALSE)&gt;=(VLOOKUP(VLOOKUP(BU$1,main!$A$3:$H$102,8,FALSE),main!$K$26:$M$29,2,FALSE)+VLOOKUP(VLOOKUP(BU$1,main!$A$3:$H$102,7,FALSE),main!$K$19:$O$22,MATCH(VLOOKUP($A18,main!$A$3:$H$102,8,FALSE),main!$K$18:$O$18,0))))),1,0)</f>
        <v>0</v>
      </c>
      <c r="BV18">
        <f>IF((AND(VLOOKUP(BV$1,main!$A$3:$H$102,5,FALSE)-VLOOKUP($A18,main!$A$3:$H$102,6,FALSE)&gt;=(VLOOKUP(VLOOKUP(BV$1,main!$A$3:$H$102,8,FALSE),main!$K$26:$M$29,2,FALSE)+VLOOKUP(VLOOKUP(BV$1,main!$A$3:$H$102,7,FALSE),main!$K$19:$O$22,MATCH(VLOOKUP($A18,main!$A$3:$H$102,8,FALSE),main!$K$18:$O$18,0))))),1,0)</f>
        <v>0</v>
      </c>
      <c r="BW18">
        <f>IF((AND(VLOOKUP(BW$1,main!$A$3:$H$102,5,FALSE)-VLOOKUP($A18,main!$A$3:$H$102,6,FALSE)&gt;=(VLOOKUP(VLOOKUP(BW$1,main!$A$3:$H$102,8,FALSE),main!$K$26:$M$29,2,FALSE)+VLOOKUP(VLOOKUP(BW$1,main!$A$3:$H$102,7,FALSE),main!$K$19:$O$22,MATCH(VLOOKUP($A18,main!$A$3:$H$102,8,FALSE),main!$K$18:$O$18,0))))),1,0)</f>
        <v>0</v>
      </c>
      <c r="BX18">
        <f>IF((AND(VLOOKUP(BX$1,main!$A$3:$H$102,5,FALSE)-VLOOKUP($A18,main!$A$3:$H$102,6,FALSE)&gt;=(VLOOKUP(VLOOKUP(BX$1,main!$A$3:$H$102,8,FALSE),main!$K$26:$M$29,2,FALSE)+VLOOKUP(VLOOKUP(BX$1,main!$A$3:$H$102,7,FALSE),main!$K$19:$O$22,MATCH(VLOOKUP($A18,main!$A$3:$H$102,8,FALSE),main!$K$18:$O$18,0))))),1,0)</f>
        <v>0</v>
      </c>
      <c r="BY18">
        <f>IF((AND(VLOOKUP(BY$1,main!$A$3:$H$102,5,FALSE)-VLOOKUP($A18,main!$A$3:$H$102,6,FALSE)&gt;=(VLOOKUP(VLOOKUP(BY$1,main!$A$3:$H$102,8,FALSE),main!$K$26:$M$29,2,FALSE)+VLOOKUP(VLOOKUP(BY$1,main!$A$3:$H$102,7,FALSE),main!$K$19:$O$22,MATCH(VLOOKUP($A18,main!$A$3:$H$102,8,FALSE),main!$K$18:$O$18,0))))),1,0)</f>
        <v>0</v>
      </c>
      <c r="BZ18">
        <f>IF((AND(VLOOKUP(BZ$1,main!$A$3:$H$102,5,FALSE)-VLOOKUP($A18,main!$A$3:$H$102,6,FALSE)&gt;=(VLOOKUP(VLOOKUP(BZ$1,main!$A$3:$H$102,8,FALSE),main!$K$26:$M$29,2,FALSE)+VLOOKUP(VLOOKUP(BZ$1,main!$A$3:$H$102,7,FALSE),main!$K$19:$O$22,MATCH(VLOOKUP($A18,main!$A$3:$H$102,8,FALSE),main!$K$18:$O$18,0))))),1,0)</f>
        <v>0</v>
      </c>
      <c r="CA18">
        <f>IF((AND(VLOOKUP(CA$1,main!$A$3:$H$102,5,FALSE)-VLOOKUP($A18,main!$A$3:$H$102,6,FALSE)&gt;=(VLOOKUP(VLOOKUP(CA$1,main!$A$3:$H$102,8,FALSE),main!$K$26:$M$29,2,FALSE)+VLOOKUP(VLOOKUP(CA$1,main!$A$3:$H$102,7,FALSE),main!$K$19:$O$22,MATCH(VLOOKUP($A18,main!$A$3:$H$102,8,FALSE),main!$K$18:$O$18,0))))),1,0)</f>
        <v>0</v>
      </c>
      <c r="CB18">
        <f>IF((AND(VLOOKUP(CB$1,main!$A$3:$H$102,5,FALSE)-VLOOKUP($A18,main!$A$3:$H$102,6,FALSE)&gt;=(VLOOKUP(VLOOKUP(CB$1,main!$A$3:$H$102,8,FALSE),main!$K$26:$M$29,2,FALSE)+VLOOKUP(VLOOKUP(CB$1,main!$A$3:$H$102,7,FALSE),main!$K$19:$O$22,MATCH(VLOOKUP($A18,main!$A$3:$H$102,8,FALSE),main!$K$18:$O$18,0))))),1,0)</f>
        <v>0</v>
      </c>
      <c r="CC18">
        <f>IF((AND(VLOOKUP(CC$1,main!$A$3:$H$102,5,FALSE)-VLOOKUP($A18,main!$A$3:$H$102,6,FALSE)&gt;=(VLOOKUP(VLOOKUP(CC$1,main!$A$3:$H$102,8,FALSE),main!$K$26:$M$29,2,FALSE)+VLOOKUP(VLOOKUP(CC$1,main!$A$3:$H$102,7,FALSE),main!$K$19:$O$22,MATCH(VLOOKUP($A18,main!$A$3:$H$102,8,FALSE),main!$K$18:$O$18,0))))),1,0)</f>
        <v>1</v>
      </c>
      <c r="CD18">
        <f>IF((AND(VLOOKUP(CD$1,main!$A$3:$H$102,5,FALSE)-VLOOKUP($A18,main!$A$3:$H$102,6,FALSE)&gt;=(VLOOKUP(VLOOKUP(CD$1,main!$A$3:$H$102,8,FALSE),main!$K$26:$M$29,2,FALSE)+VLOOKUP(VLOOKUP(CD$1,main!$A$3:$H$102,7,FALSE),main!$K$19:$O$22,MATCH(VLOOKUP($A18,main!$A$3:$H$102,8,FALSE),main!$K$18:$O$18,0))))),1,0)</f>
        <v>0</v>
      </c>
      <c r="CE18">
        <f>IF((AND(VLOOKUP(CE$1,main!$A$3:$H$102,5,FALSE)-VLOOKUP($A18,main!$A$3:$H$102,6,FALSE)&gt;=(VLOOKUP(VLOOKUP(CE$1,main!$A$3:$H$102,8,FALSE),main!$K$26:$M$29,2,FALSE)+VLOOKUP(VLOOKUP(CE$1,main!$A$3:$H$102,7,FALSE),main!$K$19:$O$22,MATCH(VLOOKUP($A18,main!$A$3:$H$102,8,FALSE),main!$K$18:$O$18,0))))),1,0)</f>
        <v>0</v>
      </c>
      <c r="CF18">
        <f>IF((AND(VLOOKUP(CF$1,main!$A$3:$H$102,5,FALSE)-VLOOKUP($A18,main!$A$3:$H$102,6,FALSE)&gt;=(VLOOKUP(VLOOKUP(CF$1,main!$A$3:$H$102,8,FALSE),main!$K$26:$M$29,2,FALSE)+VLOOKUP(VLOOKUP(CF$1,main!$A$3:$H$102,7,FALSE),main!$K$19:$O$22,MATCH(VLOOKUP($A18,main!$A$3:$H$102,8,FALSE),main!$K$18:$O$18,0))))),1,0)</f>
        <v>0</v>
      </c>
      <c r="CG18">
        <f>IF((AND(VLOOKUP(CG$1,main!$A$3:$H$102,5,FALSE)-VLOOKUP($A18,main!$A$3:$H$102,6,FALSE)&gt;=(VLOOKUP(VLOOKUP(CG$1,main!$A$3:$H$102,8,FALSE),main!$K$26:$M$29,2,FALSE)+VLOOKUP(VLOOKUP(CG$1,main!$A$3:$H$102,7,FALSE),main!$K$19:$O$22,MATCH(VLOOKUP($A18,main!$A$3:$H$102,8,FALSE),main!$K$18:$O$18,0))))),1,0)</f>
        <v>0</v>
      </c>
      <c r="CH18">
        <f>IF((AND(VLOOKUP(CH$1,main!$A$3:$H$102,5,FALSE)-VLOOKUP($A18,main!$A$3:$H$102,6,FALSE)&gt;=(VLOOKUP(VLOOKUP(CH$1,main!$A$3:$H$102,8,FALSE),main!$K$26:$M$29,2,FALSE)+VLOOKUP(VLOOKUP(CH$1,main!$A$3:$H$102,7,FALSE),main!$K$19:$O$22,MATCH(VLOOKUP($A18,main!$A$3:$H$102,8,FALSE),main!$K$18:$O$18,0))))),1,0)</f>
        <v>1</v>
      </c>
      <c r="CI18">
        <f>IF((AND(VLOOKUP(CI$1,main!$A$3:$H$102,5,FALSE)-VLOOKUP($A18,main!$A$3:$H$102,6,FALSE)&gt;=(VLOOKUP(VLOOKUP(CI$1,main!$A$3:$H$102,8,FALSE),main!$K$26:$M$29,2,FALSE)+VLOOKUP(VLOOKUP(CI$1,main!$A$3:$H$102,7,FALSE),main!$K$19:$O$22,MATCH(VLOOKUP($A18,main!$A$3:$H$102,8,FALSE),main!$K$18:$O$18,0))))),1,0)</f>
        <v>1</v>
      </c>
      <c r="CJ18">
        <f>IF((AND(VLOOKUP(CJ$1,main!$A$3:$H$102,5,FALSE)-VLOOKUP($A18,main!$A$3:$H$102,6,FALSE)&gt;=(VLOOKUP(VLOOKUP(CJ$1,main!$A$3:$H$102,8,FALSE),main!$K$26:$M$29,2,FALSE)+VLOOKUP(VLOOKUP(CJ$1,main!$A$3:$H$102,7,FALSE),main!$K$19:$O$22,MATCH(VLOOKUP($A18,main!$A$3:$H$102,8,FALSE),main!$K$18:$O$18,0))))),1,0)</f>
        <v>0</v>
      </c>
      <c r="CK18">
        <f>IF((AND(VLOOKUP(CK$1,main!$A$3:$H$102,5,FALSE)-VLOOKUP($A18,main!$A$3:$H$102,6,FALSE)&gt;=(VLOOKUP(VLOOKUP(CK$1,main!$A$3:$H$102,8,FALSE),main!$K$26:$M$29,2,FALSE)+VLOOKUP(VLOOKUP(CK$1,main!$A$3:$H$102,7,FALSE),main!$K$19:$O$22,MATCH(VLOOKUP($A18,main!$A$3:$H$102,8,FALSE),main!$K$18:$O$18,0))))),1,0)</f>
        <v>0</v>
      </c>
      <c r="CL18">
        <f>IF((AND(VLOOKUP(CL$1,main!$A$3:$H$102,5,FALSE)-VLOOKUP($A18,main!$A$3:$H$102,6,FALSE)&gt;=(VLOOKUP(VLOOKUP(CL$1,main!$A$3:$H$102,8,FALSE),main!$K$26:$M$29,2,FALSE)+VLOOKUP(VLOOKUP(CL$1,main!$A$3:$H$102,7,FALSE),main!$K$19:$O$22,MATCH(VLOOKUP($A18,main!$A$3:$H$102,8,FALSE),main!$K$18:$O$18,0))))),1,0)</f>
        <v>0</v>
      </c>
      <c r="CM18">
        <f>IF((AND(VLOOKUP(CM$1,main!$A$3:$H$102,5,FALSE)-VLOOKUP($A18,main!$A$3:$H$102,6,FALSE)&gt;=(VLOOKUP(VLOOKUP(CM$1,main!$A$3:$H$102,8,FALSE),main!$K$26:$M$29,2,FALSE)+VLOOKUP(VLOOKUP(CM$1,main!$A$3:$H$102,7,FALSE),main!$K$19:$O$22,MATCH(VLOOKUP($A18,main!$A$3:$H$102,8,FALSE),main!$K$18:$O$18,0))))),1,0)</f>
        <v>0</v>
      </c>
      <c r="CN18">
        <f>IF((AND(VLOOKUP(CN$1,main!$A$3:$H$102,5,FALSE)-VLOOKUP($A18,main!$A$3:$H$102,6,FALSE)&gt;=(VLOOKUP(VLOOKUP(CN$1,main!$A$3:$H$102,8,FALSE),main!$K$26:$M$29,2,FALSE)+VLOOKUP(VLOOKUP(CN$1,main!$A$3:$H$102,7,FALSE),main!$K$19:$O$22,MATCH(VLOOKUP($A18,main!$A$3:$H$102,8,FALSE),main!$K$18:$O$18,0))))),1,0)</f>
        <v>1</v>
      </c>
      <c r="CO18">
        <f>IF((AND(VLOOKUP(CO$1,main!$A$3:$H$102,5,FALSE)-VLOOKUP($A18,main!$A$3:$H$102,6,FALSE)&gt;=(VLOOKUP(VLOOKUP(CO$1,main!$A$3:$H$102,8,FALSE),main!$K$26:$M$29,2,FALSE)+VLOOKUP(VLOOKUP(CO$1,main!$A$3:$H$102,7,FALSE),main!$K$19:$O$22,MATCH(VLOOKUP($A18,main!$A$3:$H$102,8,FALSE),main!$K$18:$O$18,0))))),1,0)</f>
        <v>0</v>
      </c>
      <c r="CP18">
        <f>IF((AND(VLOOKUP(CP$1,main!$A$3:$H$102,5,FALSE)-VLOOKUP($A18,main!$A$3:$H$102,6,FALSE)&gt;=(VLOOKUP(VLOOKUP(CP$1,main!$A$3:$H$102,8,FALSE),main!$K$26:$M$29,2,FALSE)+VLOOKUP(VLOOKUP(CP$1,main!$A$3:$H$102,7,FALSE),main!$K$19:$O$22,MATCH(VLOOKUP($A18,main!$A$3:$H$102,8,FALSE),main!$K$18:$O$18,0))))),1,0)</f>
        <v>0</v>
      </c>
      <c r="CQ18">
        <f>IF((AND(VLOOKUP(CQ$1,main!$A$3:$H$102,5,FALSE)-VLOOKUP($A18,main!$A$3:$H$102,6,FALSE)&gt;=(VLOOKUP(VLOOKUP(CQ$1,main!$A$3:$H$102,8,FALSE),main!$K$26:$M$29,2,FALSE)+VLOOKUP(VLOOKUP(CQ$1,main!$A$3:$H$102,7,FALSE),main!$K$19:$O$22,MATCH(VLOOKUP($A18,main!$A$3:$H$102,8,FALSE),main!$K$18:$O$18,0))))),1,0)</f>
        <v>0</v>
      </c>
      <c r="CR18">
        <f>IF((AND(VLOOKUP(CR$1,main!$A$3:$H$102,5,FALSE)-VLOOKUP($A18,main!$A$3:$H$102,6,FALSE)&gt;=(VLOOKUP(VLOOKUP(CR$1,main!$A$3:$H$102,8,FALSE),main!$K$26:$M$29,2,FALSE)+VLOOKUP(VLOOKUP(CR$1,main!$A$3:$H$102,7,FALSE),main!$K$19:$O$22,MATCH(VLOOKUP($A18,main!$A$3:$H$102,8,FALSE),main!$K$18:$O$18,0))))),1,0)</f>
        <v>0</v>
      </c>
      <c r="CS18">
        <f>IF((AND(VLOOKUP(CS$1,main!$A$3:$H$102,5,FALSE)-VLOOKUP($A18,main!$A$3:$H$102,6,FALSE)&gt;=(VLOOKUP(VLOOKUP(CS$1,main!$A$3:$H$102,8,FALSE),main!$K$26:$M$29,2,FALSE)+VLOOKUP(VLOOKUP(CS$1,main!$A$3:$H$102,7,FALSE),main!$K$19:$O$22,MATCH(VLOOKUP($A18,main!$A$3:$H$102,8,FALSE),main!$K$18:$O$18,0))))),1,0)</f>
        <v>0</v>
      </c>
      <c r="CT18">
        <f>IF((AND(VLOOKUP(CT$1,main!$A$3:$H$102,5,FALSE)-VLOOKUP($A18,main!$A$3:$H$102,6,FALSE)&gt;=(VLOOKUP(VLOOKUP(CT$1,main!$A$3:$H$102,8,FALSE),main!$K$26:$M$29,2,FALSE)+VLOOKUP(VLOOKUP(CT$1,main!$A$3:$H$102,7,FALSE),main!$K$19:$O$22,MATCH(VLOOKUP($A18,main!$A$3:$H$102,8,FALSE),main!$K$18:$O$18,0))))),1,0)</f>
        <v>0</v>
      </c>
      <c r="CU18">
        <f>IF((AND(VLOOKUP(CU$1,main!$A$3:$H$102,5,FALSE)-VLOOKUP($A18,main!$A$3:$H$102,6,FALSE)&gt;=(VLOOKUP(VLOOKUP(CU$1,main!$A$3:$H$102,8,FALSE),main!$K$26:$M$29,2,FALSE)+VLOOKUP(VLOOKUP(CU$1,main!$A$3:$H$102,7,FALSE),main!$K$19:$O$22,MATCH(VLOOKUP($A18,main!$A$3:$H$102,8,FALSE),main!$K$18:$O$18,0))))),1,0)</f>
        <v>0</v>
      </c>
      <c r="CV18">
        <f>IF((AND(VLOOKUP(CV$1,main!$A$3:$H$102,5,FALSE)-VLOOKUP($A18,main!$A$3:$H$102,6,FALSE)&gt;=(VLOOKUP(VLOOKUP(CV$1,main!$A$3:$H$102,8,FALSE),main!$K$26:$M$29,2,FALSE)+VLOOKUP(VLOOKUP(CV$1,main!$A$3:$H$102,7,FALSE),main!$K$19:$O$22,MATCH(VLOOKUP($A18,main!$A$3:$H$102,8,FALSE),main!$K$18:$O$18,0))))),1,0)</f>
        <v>0</v>
      </c>
      <c r="CW18">
        <f>IF((AND(VLOOKUP(CW$1,main!$A$3:$H$102,5,FALSE)-VLOOKUP($A18,main!$A$3:$H$102,6,FALSE)&gt;=(VLOOKUP(VLOOKUP(CW$1,main!$A$3:$H$102,8,FALSE),main!$K$26:$M$29,2,FALSE)+VLOOKUP(VLOOKUP(CW$1,main!$A$3:$H$102,7,FALSE),main!$K$19:$O$22,MATCH(VLOOKUP($A18,main!$A$3:$H$102,8,FALSE),main!$K$18:$O$18,0))))),1,0)</f>
        <v>0</v>
      </c>
      <c r="CX18">
        <f>IF((AND(VLOOKUP(CX$1,main!$A$3:$H$102,5,FALSE)-VLOOKUP($A18,main!$A$3:$H$102,6,FALSE)&gt;=(VLOOKUP(VLOOKUP(CX$1,main!$A$3:$H$102,8,FALSE),main!$K$26:$M$29,2,FALSE)+VLOOKUP(VLOOKUP(CX$1,main!$A$3:$H$102,7,FALSE),main!$K$19:$O$22,MATCH(VLOOKUP($A18,main!$A$3:$H$102,8,FALSE),main!$K$18:$O$18,0))))),1,0)</f>
        <v>1</v>
      </c>
    </row>
    <row r="19" spans="1:102" x14ac:dyDescent="0.25">
      <c r="A19" s="1">
        <v>17</v>
      </c>
      <c r="B19">
        <v>1</v>
      </c>
      <c r="C19">
        <f>IF((AND(VLOOKUP(C$1,main!$A$3:$H$102,5,FALSE)-VLOOKUP($A19,main!$A$3:$H$102,6,FALSE)&gt;=(VLOOKUP(VLOOKUP(C$1,main!$A$3:$H$102,8,FALSE),main!$K$26:$M$29,2,FALSE)+VLOOKUP(VLOOKUP(C$1,main!$A$3:$H$102,7,FALSE),main!$K$19:$O$22,MATCH(VLOOKUP($A19,main!$A$3:$H$102,8,FALSE),main!$K$18:$O$18,0))))),1,0)</f>
        <v>0</v>
      </c>
      <c r="D19">
        <f>IF((AND(VLOOKUP(D$1,main!$A$3:$H$102,5,FALSE)-VLOOKUP($A19,main!$A$3:$H$102,6,FALSE)&gt;=(VLOOKUP(VLOOKUP(D$1,main!$A$3:$H$102,8,FALSE),main!$K$26:$M$29,2,FALSE)+VLOOKUP(VLOOKUP(D$1,main!$A$3:$H$102,7,FALSE),main!$K$19:$O$22,MATCH(VLOOKUP($A19,main!$A$3:$H$102,8,FALSE),main!$K$18:$O$18,0))))),1,0)</f>
        <v>0</v>
      </c>
      <c r="E19">
        <f>IF((AND(VLOOKUP(E$1,main!$A$3:$H$102,5,FALSE)-VLOOKUP($A19,main!$A$3:$H$102,6,FALSE)&gt;=(VLOOKUP(VLOOKUP(E$1,main!$A$3:$H$102,8,FALSE),main!$K$26:$M$29,2,FALSE)+VLOOKUP(VLOOKUP(E$1,main!$A$3:$H$102,7,FALSE),main!$K$19:$O$22,MATCH(VLOOKUP($A19,main!$A$3:$H$102,8,FALSE),main!$K$18:$O$18,0))))),1,0)</f>
        <v>0</v>
      </c>
      <c r="F19">
        <f>IF((AND(VLOOKUP(F$1,main!$A$3:$H$102,5,FALSE)-VLOOKUP($A19,main!$A$3:$H$102,6,FALSE)&gt;=(VLOOKUP(VLOOKUP(F$1,main!$A$3:$H$102,8,FALSE),main!$K$26:$M$29,2,FALSE)+VLOOKUP(VLOOKUP(F$1,main!$A$3:$H$102,7,FALSE),main!$K$19:$O$22,MATCH(VLOOKUP($A19,main!$A$3:$H$102,8,FALSE),main!$K$18:$O$18,0))))),1,0)</f>
        <v>0</v>
      </c>
      <c r="G19">
        <f>IF((AND(VLOOKUP(G$1,main!$A$3:$H$102,5,FALSE)-VLOOKUP($A19,main!$A$3:$H$102,6,FALSE)&gt;=(VLOOKUP(VLOOKUP(G$1,main!$A$3:$H$102,8,FALSE),main!$K$26:$M$29,2,FALSE)+VLOOKUP(VLOOKUP(G$1,main!$A$3:$H$102,7,FALSE),main!$K$19:$O$22,MATCH(VLOOKUP($A19,main!$A$3:$H$102,8,FALSE),main!$K$18:$O$18,0))))),1,0)</f>
        <v>0</v>
      </c>
      <c r="H19">
        <f>IF((AND(VLOOKUP(H$1,main!$A$3:$H$102,5,FALSE)-VLOOKUP($A19,main!$A$3:$H$102,6,FALSE)&gt;=(VLOOKUP(VLOOKUP(H$1,main!$A$3:$H$102,8,FALSE),main!$K$26:$M$29,2,FALSE)+VLOOKUP(VLOOKUP(H$1,main!$A$3:$H$102,7,FALSE),main!$K$19:$O$22,MATCH(VLOOKUP($A19,main!$A$3:$H$102,8,FALSE),main!$K$18:$O$18,0))))),1,0)</f>
        <v>0</v>
      </c>
      <c r="I19">
        <f>IF((AND(VLOOKUP(I$1,main!$A$3:$H$102,5,FALSE)-VLOOKUP($A19,main!$A$3:$H$102,6,FALSE)&gt;=(VLOOKUP(VLOOKUP(I$1,main!$A$3:$H$102,8,FALSE),main!$K$26:$M$29,2,FALSE)+VLOOKUP(VLOOKUP(I$1,main!$A$3:$H$102,7,FALSE),main!$K$19:$O$22,MATCH(VLOOKUP($A19,main!$A$3:$H$102,8,FALSE),main!$K$18:$O$18,0))))),1,0)</f>
        <v>0</v>
      </c>
      <c r="J19">
        <f>IF((AND(VLOOKUP(J$1,main!$A$3:$H$102,5,FALSE)-VLOOKUP($A19,main!$A$3:$H$102,6,FALSE)&gt;=(VLOOKUP(VLOOKUP(J$1,main!$A$3:$H$102,8,FALSE),main!$K$26:$M$29,2,FALSE)+VLOOKUP(VLOOKUP(J$1,main!$A$3:$H$102,7,FALSE),main!$K$19:$O$22,MATCH(VLOOKUP($A19,main!$A$3:$H$102,8,FALSE),main!$K$18:$O$18,0))))),1,0)</f>
        <v>0</v>
      </c>
      <c r="K19">
        <f>IF((AND(VLOOKUP(K$1,main!$A$3:$H$102,5,FALSE)-VLOOKUP($A19,main!$A$3:$H$102,6,FALSE)&gt;=(VLOOKUP(VLOOKUP(K$1,main!$A$3:$H$102,8,FALSE),main!$K$26:$M$29,2,FALSE)+VLOOKUP(VLOOKUP(K$1,main!$A$3:$H$102,7,FALSE),main!$K$19:$O$22,MATCH(VLOOKUP($A19,main!$A$3:$H$102,8,FALSE),main!$K$18:$O$18,0))))),1,0)</f>
        <v>0</v>
      </c>
      <c r="L19">
        <f>IF((AND(VLOOKUP(L$1,main!$A$3:$H$102,5,FALSE)-VLOOKUP($A19,main!$A$3:$H$102,6,FALSE)&gt;=(VLOOKUP(VLOOKUP(L$1,main!$A$3:$H$102,8,FALSE),main!$K$26:$M$29,2,FALSE)+VLOOKUP(VLOOKUP(L$1,main!$A$3:$H$102,7,FALSE),main!$K$19:$O$22,MATCH(VLOOKUP($A19,main!$A$3:$H$102,8,FALSE),main!$K$18:$O$18,0))))),1,0)</f>
        <v>1</v>
      </c>
      <c r="M19">
        <f>IF((AND(VLOOKUP(M$1,main!$A$3:$H$102,5,FALSE)-VLOOKUP($A19,main!$A$3:$H$102,6,FALSE)&gt;=(VLOOKUP(VLOOKUP(M$1,main!$A$3:$H$102,8,FALSE),main!$K$26:$M$29,2,FALSE)+VLOOKUP(VLOOKUP(M$1,main!$A$3:$H$102,7,FALSE),main!$K$19:$O$22,MATCH(VLOOKUP($A19,main!$A$3:$H$102,8,FALSE),main!$K$18:$O$18,0))))),1,0)</f>
        <v>0</v>
      </c>
      <c r="N19">
        <f>IF((AND(VLOOKUP(N$1,main!$A$3:$H$102,5,FALSE)-VLOOKUP($A19,main!$A$3:$H$102,6,FALSE)&gt;=(VLOOKUP(VLOOKUP(N$1,main!$A$3:$H$102,8,FALSE),main!$K$26:$M$29,2,FALSE)+VLOOKUP(VLOOKUP(N$1,main!$A$3:$H$102,7,FALSE),main!$K$19:$O$22,MATCH(VLOOKUP($A19,main!$A$3:$H$102,8,FALSE),main!$K$18:$O$18,0))))),1,0)</f>
        <v>0</v>
      </c>
      <c r="O19">
        <f>IF((AND(VLOOKUP(O$1,main!$A$3:$H$102,5,FALSE)-VLOOKUP($A19,main!$A$3:$H$102,6,FALSE)&gt;=(VLOOKUP(VLOOKUP(O$1,main!$A$3:$H$102,8,FALSE),main!$K$26:$M$29,2,FALSE)+VLOOKUP(VLOOKUP(O$1,main!$A$3:$H$102,7,FALSE),main!$K$19:$O$22,MATCH(VLOOKUP($A19,main!$A$3:$H$102,8,FALSE),main!$K$18:$O$18,0))))),1,0)</f>
        <v>0</v>
      </c>
      <c r="P19">
        <f>IF((AND(VLOOKUP(P$1,main!$A$3:$H$102,5,FALSE)-VLOOKUP($A19,main!$A$3:$H$102,6,FALSE)&gt;=(VLOOKUP(VLOOKUP(P$1,main!$A$3:$H$102,8,FALSE),main!$K$26:$M$29,2,FALSE)+VLOOKUP(VLOOKUP(P$1,main!$A$3:$H$102,7,FALSE),main!$K$19:$O$22,MATCH(VLOOKUP($A19,main!$A$3:$H$102,8,FALSE),main!$K$18:$O$18,0))))),1,0)</f>
        <v>0</v>
      </c>
      <c r="Q19">
        <f>IF((AND(VLOOKUP(Q$1,main!$A$3:$H$102,5,FALSE)-VLOOKUP($A19,main!$A$3:$H$102,6,FALSE)&gt;=(VLOOKUP(VLOOKUP(Q$1,main!$A$3:$H$102,8,FALSE),main!$K$26:$M$29,2,FALSE)+VLOOKUP(VLOOKUP(Q$1,main!$A$3:$H$102,7,FALSE),main!$K$19:$O$22,MATCH(VLOOKUP($A19,main!$A$3:$H$102,8,FALSE),main!$K$18:$O$18,0))))),1,0)</f>
        <v>0</v>
      </c>
      <c r="R19">
        <f>IF((AND(VLOOKUP(R$1,main!$A$3:$H$102,5,FALSE)-VLOOKUP($A19,main!$A$3:$H$102,6,FALSE)&gt;=(VLOOKUP(VLOOKUP(R$1,main!$A$3:$H$102,8,FALSE),main!$K$26:$M$29,2,FALSE)+VLOOKUP(VLOOKUP(R$1,main!$A$3:$H$102,7,FALSE),main!$K$19:$O$22,MATCH(VLOOKUP($A19,main!$A$3:$H$102,8,FALSE),main!$K$18:$O$18,0))))),1,0)</f>
        <v>0</v>
      </c>
      <c r="S19">
        <f>IF((AND(VLOOKUP(S$1,main!$A$3:$H$102,5,FALSE)-VLOOKUP($A19,main!$A$3:$H$102,6,FALSE)&gt;=(VLOOKUP(VLOOKUP(S$1,main!$A$3:$H$102,8,FALSE),main!$K$26:$M$29,2,FALSE)+VLOOKUP(VLOOKUP(S$1,main!$A$3:$H$102,7,FALSE),main!$K$19:$O$22,MATCH(VLOOKUP($A19,main!$A$3:$H$102,8,FALSE),main!$K$18:$O$18,0))))),1,0)</f>
        <v>0</v>
      </c>
      <c r="T19">
        <f>IF((AND(VLOOKUP(T$1,main!$A$3:$H$102,5,FALSE)-VLOOKUP($A19,main!$A$3:$H$102,6,FALSE)&gt;=(VLOOKUP(VLOOKUP(T$1,main!$A$3:$H$102,8,FALSE),main!$K$26:$M$29,2,FALSE)+VLOOKUP(VLOOKUP(T$1,main!$A$3:$H$102,7,FALSE),main!$K$19:$O$22,MATCH(VLOOKUP($A19,main!$A$3:$H$102,8,FALSE),main!$K$18:$O$18,0))))),1,0)</f>
        <v>0</v>
      </c>
      <c r="U19">
        <f>IF((AND(VLOOKUP(U$1,main!$A$3:$H$102,5,FALSE)-VLOOKUP($A19,main!$A$3:$H$102,6,FALSE)&gt;=(VLOOKUP(VLOOKUP(U$1,main!$A$3:$H$102,8,FALSE),main!$K$26:$M$29,2,FALSE)+VLOOKUP(VLOOKUP(U$1,main!$A$3:$H$102,7,FALSE),main!$K$19:$O$22,MATCH(VLOOKUP($A19,main!$A$3:$H$102,8,FALSE),main!$K$18:$O$18,0))))),1,0)</f>
        <v>1</v>
      </c>
      <c r="V19">
        <f>IF((AND(VLOOKUP(V$1,main!$A$3:$H$102,5,FALSE)-VLOOKUP($A19,main!$A$3:$H$102,6,FALSE)&gt;=(VLOOKUP(VLOOKUP(V$1,main!$A$3:$H$102,8,FALSE),main!$K$26:$M$29,2,FALSE)+VLOOKUP(VLOOKUP(V$1,main!$A$3:$H$102,7,FALSE),main!$K$19:$O$22,MATCH(VLOOKUP($A19,main!$A$3:$H$102,8,FALSE),main!$K$18:$O$18,0))))),1,0)</f>
        <v>1</v>
      </c>
      <c r="W19">
        <f>IF((AND(VLOOKUP(W$1,main!$A$3:$H$102,5,FALSE)-VLOOKUP($A19,main!$A$3:$H$102,6,FALSE)&gt;=(VLOOKUP(VLOOKUP(W$1,main!$A$3:$H$102,8,FALSE),main!$K$26:$M$29,2,FALSE)+VLOOKUP(VLOOKUP(W$1,main!$A$3:$H$102,7,FALSE),main!$K$19:$O$22,MATCH(VLOOKUP($A19,main!$A$3:$H$102,8,FALSE),main!$K$18:$O$18,0))))),1,0)</f>
        <v>0</v>
      </c>
      <c r="X19">
        <f>IF((AND(VLOOKUP(X$1,main!$A$3:$H$102,5,FALSE)-VLOOKUP($A19,main!$A$3:$H$102,6,FALSE)&gt;=(VLOOKUP(VLOOKUP(X$1,main!$A$3:$H$102,8,FALSE),main!$K$26:$M$29,2,FALSE)+VLOOKUP(VLOOKUP(X$1,main!$A$3:$H$102,7,FALSE),main!$K$19:$O$22,MATCH(VLOOKUP($A19,main!$A$3:$H$102,8,FALSE),main!$K$18:$O$18,0))))),1,0)</f>
        <v>0</v>
      </c>
      <c r="Y19">
        <f>IF((AND(VLOOKUP(Y$1,main!$A$3:$H$102,5,FALSE)-VLOOKUP($A19,main!$A$3:$H$102,6,FALSE)&gt;=(VLOOKUP(VLOOKUP(Y$1,main!$A$3:$H$102,8,FALSE),main!$K$26:$M$29,2,FALSE)+VLOOKUP(VLOOKUP(Y$1,main!$A$3:$H$102,7,FALSE),main!$K$19:$O$22,MATCH(VLOOKUP($A19,main!$A$3:$H$102,8,FALSE),main!$K$18:$O$18,0))))),1,0)</f>
        <v>0</v>
      </c>
      <c r="Z19">
        <f>IF((AND(VLOOKUP(Z$1,main!$A$3:$H$102,5,FALSE)-VLOOKUP($A19,main!$A$3:$H$102,6,FALSE)&gt;=(VLOOKUP(VLOOKUP(Z$1,main!$A$3:$H$102,8,FALSE),main!$K$26:$M$29,2,FALSE)+VLOOKUP(VLOOKUP(Z$1,main!$A$3:$H$102,7,FALSE),main!$K$19:$O$22,MATCH(VLOOKUP($A19,main!$A$3:$H$102,8,FALSE),main!$K$18:$O$18,0))))),1,0)</f>
        <v>0</v>
      </c>
      <c r="AA19">
        <f>IF((AND(VLOOKUP(AA$1,main!$A$3:$H$102,5,FALSE)-VLOOKUP($A19,main!$A$3:$H$102,6,FALSE)&gt;=(VLOOKUP(VLOOKUP(AA$1,main!$A$3:$H$102,8,FALSE),main!$K$26:$M$29,2,FALSE)+VLOOKUP(VLOOKUP(AA$1,main!$A$3:$H$102,7,FALSE),main!$K$19:$O$22,MATCH(VLOOKUP($A19,main!$A$3:$H$102,8,FALSE),main!$K$18:$O$18,0))))),1,0)</f>
        <v>1</v>
      </c>
      <c r="AB19">
        <f>IF((AND(VLOOKUP(AB$1,main!$A$3:$H$102,5,FALSE)-VLOOKUP($A19,main!$A$3:$H$102,6,FALSE)&gt;=(VLOOKUP(VLOOKUP(AB$1,main!$A$3:$H$102,8,FALSE),main!$K$26:$M$29,2,FALSE)+VLOOKUP(VLOOKUP(AB$1,main!$A$3:$H$102,7,FALSE),main!$K$19:$O$22,MATCH(VLOOKUP($A19,main!$A$3:$H$102,8,FALSE),main!$K$18:$O$18,0))))),1,0)</f>
        <v>0</v>
      </c>
      <c r="AC19">
        <f>IF((AND(VLOOKUP(AC$1,main!$A$3:$H$102,5,FALSE)-VLOOKUP($A19,main!$A$3:$H$102,6,FALSE)&gt;=(VLOOKUP(VLOOKUP(AC$1,main!$A$3:$H$102,8,FALSE),main!$K$26:$M$29,2,FALSE)+VLOOKUP(VLOOKUP(AC$1,main!$A$3:$H$102,7,FALSE),main!$K$19:$O$22,MATCH(VLOOKUP($A19,main!$A$3:$H$102,8,FALSE),main!$K$18:$O$18,0))))),1,0)</f>
        <v>0</v>
      </c>
      <c r="AD19">
        <f>IF((AND(VLOOKUP(AD$1,main!$A$3:$H$102,5,FALSE)-VLOOKUP($A19,main!$A$3:$H$102,6,FALSE)&gt;=(VLOOKUP(VLOOKUP(AD$1,main!$A$3:$H$102,8,FALSE),main!$K$26:$M$29,2,FALSE)+VLOOKUP(VLOOKUP(AD$1,main!$A$3:$H$102,7,FALSE),main!$K$19:$O$22,MATCH(VLOOKUP($A19,main!$A$3:$H$102,8,FALSE),main!$K$18:$O$18,0))))),1,0)</f>
        <v>0</v>
      </c>
      <c r="AE19">
        <f>IF((AND(VLOOKUP(AE$1,main!$A$3:$H$102,5,FALSE)-VLOOKUP($A19,main!$A$3:$H$102,6,FALSE)&gt;=(VLOOKUP(VLOOKUP(AE$1,main!$A$3:$H$102,8,FALSE),main!$K$26:$M$29,2,FALSE)+VLOOKUP(VLOOKUP(AE$1,main!$A$3:$H$102,7,FALSE),main!$K$19:$O$22,MATCH(VLOOKUP($A19,main!$A$3:$H$102,8,FALSE),main!$K$18:$O$18,0))))),1,0)</f>
        <v>0</v>
      </c>
      <c r="AF19">
        <f>IF((AND(VLOOKUP(AF$1,main!$A$3:$H$102,5,FALSE)-VLOOKUP($A19,main!$A$3:$H$102,6,FALSE)&gt;=(VLOOKUP(VLOOKUP(AF$1,main!$A$3:$H$102,8,FALSE),main!$K$26:$M$29,2,FALSE)+VLOOKUP(VLOOKUP(AF$1,main!$A$3:$H$102,7,FALSE),main!$K$19:$O$22,MATCH(VLOOKUP($A19,main!$A$3:$H$102,8,FALSE),main!$K$18:$O$18,0))))),1,0)</f>
        <v>0</v>
      </c>
      <c r="AG19">
        <f>IF((AND(VLOOKUP(AG$1,main!$A$3:$H$102,5,FALSE)-VLOOKUP($A19,main!$A$3:$H$102,6,FALSE)&gt;=(VLOOKUP(VLOOKUP(AG$1,main!$A$3:$H$102,8,FALSE),main!$K$26:$M$29,2,FALSE)+VLOOKUP(VLOOKUP(AG$1,main!$A$3:$H$102,7,FALSE),main!$K$19:$O$22,MATCH(VLOOKUP($A19,main!$A$3:$H$102,8,FALSE),main!$K$18:$O$18,0))))),1,0)</f>
        <v>0</v>
      </c>
      <c r="AH19">
        <f>IF((AND(VLOOKUP(AH$1,main!$A$3:$H$102,5,FALSE)-VLOOKUP($A19,main!$A$3:$H$102,6,FALSE)&gt;=(VLOOKUP(VLOOKUP(AH$1,main!$A$3:$H$102,8,FALSE),main!$K$26:$M$29,2,FALSE)+VLOOKUP(VLOOKUP(AH$1,main!$A$3:$H$102,7,FALSE),main!$K$19:$O$22,MATCH(VLOOKUP($A19,main!$A$3:$H$102,8,FALSE),main!$K$18:$O$18,0))))),1,0)</f>
        <v>0</v>
      </c>
      <c r="AI19">
        <f>IF((AND(VLOOKUP(AI$1,main!$A$3:$H$102,5,FALSE)-VLOOKUP($A19,main!$A$3:$H$102,6,FALSE)&gt;=(VLOOKUP(VLOOKUP(AI$1,main!$A$3:$H$102,8,FALSE),main!$K$26:$M$29,2,FALSE)+VLOOKUP(VLOOKUP(AI$1,main!$A$3:$H$102,7,FALSE),main!$K$19:$O$22,MATCH(VLOOKUP($A19,main!$A$3:$H$102,8,FALSE),main!$K$18:$O$18,0))))),1,0)</f>
        <v>0</v>
      </c>
      <c r="AJ19">
        <f>IF((AND(VLOOKUP(AJ$1,main!$A$3:$H$102,5,FALSE)-VLOOKUP($A19,main!$A$3:$H$102,6,FALSE)&gt;=(VLOOKUP(VLOOKUP(AJ$1,main!$A$3:$H$102,8,FALSE),main!$K$26:$M$29,2,FALSE)+VLOOKUP(VLOOKUP(AJ$1,main!$A$3:$H$102,7,FALSE),main!$K$19:$O$22,MATCH(VLOOKUP($A19,main!$A$3:$H$102,8,FALSE),main!$K$18:$O$18,0))))),1,0)</f>
        <v>0</v>
      </c>
      <c r="AK19">
        <f>IF((AND(VLOOKUP(AK$1,main!$A$3:$H$102,5,FALSE)-VLOOKUP($A19,main!$A$3:$H$102,6,FALSE)&gt;=(VLOOKUP(VLOOKUP(AK$1,main!$A$3:$H$102,8,FALSE),main!$K$26:$M$29,2,FALSE)+VLOOKUP(VLOOKUP(AK$1,main!$A$3:$H$102,7,FALSE),main!$K$19:$O$22,MATCH(VLOOKUP($A19,main!$A$3:$H$102,8,FALSE),main!$K$18:$O$18,0))))),1,0)</f>
        <v>0</v>
      </c>
      <c r="AL19">
        <f>IF((AND(VLOOKUP(AL$1,main!$A$3:$H$102,5,FALSE)-VLOOKUP($A19,main!$A$3:$H$102,6,FALSE)&gt;=(VLOOKUP(VLOOKUP(AL$1,main!$A$3:$H$102,8,FALSE),main!$K$26:$M$29,2,FALSE)+VLOOKUP(VLOOKUP(AL$1,main!$A$3:$H$102,7,FALSE),main!$K$19:$O$22,MATCH(VLOOKUP($A19,main!$A$3:$H$102,8,FALSE),main!$K$18:$O$18,0))))),1,0)</f>
        <v>0</v>
      </c>
      <c r="AM19">
        <f>IF((AND(VLOOKUP(AM$1,main!$A$3:$H$102,5,FALSE)-VLOOKUP($A19,main!$A$3:$H$102,6,FALSE)&gt;=(VLOOKUP(VLOOKUP(AM$1,main!$A$3:$H$102,8,FALSE),main!$K$26:$M$29,2,FALSE)+VLOOKUP(VLOOKUP(AM$1,main!$A$3:$H$102,7,FALSE),main!$K$19:$O$22,MATCH(VLOOKUP($A19,main!$A$3:$H$102,8,FALSE),main!$K$18:$O$18,0))))),1,0)</f>
        <v>0</v>
      </c>
      <c r="AN19">
        <f>IF((AND(VLOOKUP(AN$1,main!$A$3:$H$102,5,FALSE)-VLOOKUP($A19,main!$A$3:$H$102,6,FALSE)&gt;=(VLOOKUP(VLOOKUP(AN$1,main!$A$3:$H$102,8,FALSE),main!$K$26:$M$29,2,FALSE)+VLOOKUP(VLOOKUP(AN$1,main!$A$3:$H$102,7,FALSE),main!$K$19:$O$22,MATCH(VLOOKUP($A19,main!$A$3:$H$102,8,FALSE),main!$K$18:$O$18,0))))),1,0)</f>
        <v>1</v>
      </c>
      <c r="AO19">
        <f>IF((AND(VLOOKUP(AO$1,main!$A$3:$H$102,5,FALSE)-VLOOKUP($A19,main!$A$3:$H$102,6,FALSE)&gt;=(VLOOKUP(VLOOKUP(AO$1,main!$A$3:$H$102,8,FALSE),main!$K$26:$M$29,2,FALSE)+VLOOKUP(VLOOKUP(AO$1,main!$A$3:$H$102,7,FALSE),main!$K$19:$O$22,MATCH(VLOOKUP($A19,main!$A$3:$H$102,8,FALSE),main!$K$18:$O$18,0))))),1,0)</f>
        <v>0</v>
      </c>
      <c r="AP19">
        <f>IF((AND(VLOOKUP(AP$1,main!$A$3:$H$102,5,FALSE)-VLOOKUP($A19,main!$A$3:$H$102,6,FALSE)&gt;=(VLOOKUP(VLOOKUP(AP$1,main!$A$3:$H$102,8,FALSE),main!$K$26:$M$29,2,FALSE)+VLOOKUP(VLOOKUP(AP$1,main!$A$3:$H$102,7,FALSE),main!$K$19:$O$22,MATCH(VLOOKUP($A19,main!$A$3:$H$102,8,FALSE),main!$K$18:$O$18,0))))),1,0)</f>
        <v>1</v>
      </c>
      <c r="AQ19">
        <f>IF((AND(VLOOKUP(AQ$1,main!$A$3:$H$102,5,FALSE)-VLOOKUP($A19,main!$A$3:$H$102,6,FALSE)&gt;=(VLOOKUP(VLOOKUP(AQ$1,main!$A$3:$H$102,8,FALSE),main!$K$26:$M$29,2,FALSE)+VLOOKUP(VLOOKUP(AQ$1,main!$A$3:$H$102,7,FALSE),main!$K$19:$O$22,MATCH(VLOOKUP($A19,main!$A$3:$H$102,8,FALSE),main!$K$18:$O$18,0))))),1,0)</f>
        <v>0</v>
      </c>
      <c r="AR19">
        <f>IF((AND(VLOOKUP(AR$1,main!$A$3:$H$102,5,FALSE)-VLOOKUP($A19,main!$A$3:$H$102,6,FALSE)&gt;=(VLOOKUP(VLOOKUP(AR$1,main!$A$3:$H$102,8,FALSE),main!$K$26:$M$29,2,FALSE)+VLOOKUP(VLOOKUP(AR$1,main!$A$3:$H$102,7,FALSE),main!$K$19:$O$22,MATCH(VLOOKUP($A19,main!$A$3:$H$102,8,FALSE),main!$K$18:$O$18,0))))),1,0)</f>
        <v>0</v>
      </c>
      <c r="AS19">
        <f>IF((AND(VLOOKUP(AS$1,main!$A$3:$H$102,5,FALSE)-VLOOKUP($A19,main!$A$3:$H$102,6,FALSE)&gt;=(VLOOKUP(VLOOKUP(AS$1,main!$A$3:$H$102,8,FALSE),main!$K$26:$M$29,2,FALSE)+VLOOKUP(VLOOKUP(AS$1,main!$A$3:$H$102,7,FALSE),main!$K$19:$O$22,MATCH(VLOOKUP($A19,main!$A$3:$H$102,8,FALSE),main!$K$18:$O$18,0))))),1,0)</f>
        <v>0</v>
      </c>
      <c r="AT19">
        <f>IF((AND(VLOOKUP(AT$1,main!$A$3:$H$102,5,FALSE)-VLOOKUP($A19,main!$A$3:$H$102,6,FALSE)&gt;=(VLOOKUP(VLOOKUP(AT$1,main!$A$3:$H$102,8,FALSE),main!$K$26:$M$29,2,FALSE)+VLOOKUP(VLOOKUP(AT$1,main!$A$3:$H$102,7,FALSE),main!$K$19:$O$22,MATCH(VLOOKUP($A19,main!$A$3:$H$102,8,FALSE),main!$K$18:$O$18,0))))),1,0)</f>
        <v>0</v>
      </c>
      <c r="AU19">
        <f>IF((AND(VLOOKUP(AU$1,main!$A$3:$H$102,5,FALSE)-VLOOKUP($A19,main!$A$3:$H$102,6,FALSE)&gt;=(VLOOKUP(VLOOKUP(AU$1,main!$A$3:$H$102,8,FALSE),main!$K$26:$M$29,2,FALSE)+VLOOKUP(VLOOKUP(AU$1,main!$A$3:$H$102,7,FALSE),main!$K$19:$O$22,MATCH(VLOOKUP($A19,main!$A$3:$H$102,8,FALSE),main!$K$18:$O$18,0))))),1,0)</f>
        <v>0</v>
      </c>
      <c r="AV19">
        <f>IF((AND(VLOOKUP(AV$1,main!$A$3:$H$102,5,FALSE)-VLOOKUP($A19,main!$A$3:$H$102,6,FALSE)&gt;=(VLOOKUP(VLOOKUP(AV$1,main!$A$3:$H$102,8,FALSE),main!$K$26:$M$29,2,FALSE)+VLOOKUP(VLOOKUP(AV$1,main!$A$3:$H$102,7,FALSE),main!$K$19:$O$22,MATCH(VLOOKUP($A19,main!$A$3:$H$102,8,FALSE),main!$K$18:$O$18,0))))),1,0)</f>
        <v>0</v>
      </c>
      <c r="AW19">
        <f>IF((AND(VLOOKUP(AW$1,main!$A$3:$H$102,5,FALSE)-VLOOKUP($A19,main!$A$3:$H$102,6,FALSE)&gt;=(VLOOKUP(VLOOKUP(AW$1,main!$A$3:$H$102,8,FALSE),main!$K$26:$M$29,2,FALSE)+VLOOKUP(VLOOKUP(AW$1,main!$A$3:$H$102,7,FALSE),main!$K$19:$O$22,MATCH(VLOOKUP($A19,main!$A$3:$H$102,8,FALSE),main!$K$18:$O$18,0))))),1,0)</f>
        <v>0</v>
      </c>
      <c r="AX19">
        <f>IF((AND(VLOOKUP(AX$1,main!$A$3:$H$102,5,FALSE)-VLOOKUP($A19,main!$A$3:$H$102,6,FALSE)&gt;=(VLOOKUP(VLOOKUP(AX$1,main!$A$3:$H$102,8,FALSE),main!$K$26:$M$29,2,FALSE)+VLOOKUP(VLOOKUP(AX$1,main!$A$3:$H$102,7,FALSE),main!$K$19:$O$22,MATCH(VLOOKUP($A19,main!$A$3:$H$102,8,FALSE),main!$K$18:$O$18,0))))),1,0)</f>
        <v>0</v>
      </c>
      <c r="AY19">
        <f>IF((AND(VLOOKUP(AY$1,main!$A$3:$H$102,5,FALSE)-VLOOKUP($A19,main!$A$3:$H$102,6,FALSE)&gt;=(VLOOKUP(VLOOKUP(AY$1,main!$A$3:$H$102,8,FALSE),main!$K$26:$M$29,2,FALSE)+VLOOKUP(VLOOKUP(AY$1,main!$A$3:$H$102,7,FALSE),main!$K$19:$O$22,MATCH(VLOOKUP($A19,main!$A$3:$H$102,8,FALSE),main!$K$18:$O$18,0))))),1,0)</f>
        <v>0</v>
      </c>
      <c r="AZ19">
        <f>IF((AND(VLOOKUP(AZ$1,main!$A$3:$H$102,5,FALSE)-VLOOKUP($A19,main!$A$3:$H$102,6,FALSE)&gt;=(VLOOKUP(VLOOKUP(AZ$1,main!$A$3:$H$102,8,FALSE),main!$K$26:$M$29,2,FALSE)+VLOOKUP(VLOOKUP(AZ$1,main!$A$3:$H$102,7,FALSE),main!$K$19:$O$22,MATCH(VLOOKUP($A19,main!$A$3:$H$102,8,FALSE),main!$K$18:$O$18,0))))),1,0)</f>
        <v>0</v>
      </c>
      <c r="BA19">
        <f>IF((AND(VLOOKUP(BA$1,main!$A$3:$H$102,5,FALSE)-VLOOKUP($A19,main!$A$3:$H$102,6,FALSE)&gt;=(VLOOKUP(VLOOKUP(BA$1,main!$A$3:$H$102,8,FALSE),main!$K$26:$M$29,2,FALSE)+VLOOKUP(VLOOKUP(BA$1,main!$A$3:$H$102,7,FALSE),main!$K$19:$O$22,MATCH(VLOOKUP($A19,main!$A$3:$H$102,8,FALSE),main!$K$18:$O$18,0))))),1,0)</f>
        <v>0</v>
      </c>
      <c r="BB19">
        <f>IF((AND(VLOOKUP(BB$1,main!$A$3:$H$102,5,FALSE)-VLOOKUP($A19,main!$A$3:$H$102,6,FALSE)&gt;=(VLOOKUP(VLOOKUP(BB$1,main!$A$3:$H$102,8,FALSE),main!$K$26:$M$29,2,FALSE)+VLOOKUP(VLOOKUP(BB$1,main!$A$3:$H$102,7,FALSE),main!$K$19:$O$22,MATCH(VLOOKUP($A19,main!$A$3:$H$102,8,FALSE),main!$K$18:$O$18,0))))),1,0)</f>
        <v>0</v>
      </c>
      <c r="BC19">
        <f>IF((AND(VLOOKUP(BC$1,main!$A$3:$H$102,5,FALSE)-VLOOKUP($A19,main!$A$3:$H$102,6,FALSE)&gt;=(VLOOKUP(VLOOKUP(BC$1,main!$A$3:$H$102,8,FALSE),main!$K$26:$M$29,2,FALSE)+VLOOKUP(VLOOKUP(BC$1,main!$A$3:$H$102,7,FALSE),main!$K$19:$O$22,MATCH(VLOOKUP($A19,main!$A$3:$H$102,8,FALSE),main!$K$18:$O$18,0))))),1,0)</f>
        <v>0</v>
      </c>
      <c r="BD19">
        <f>IF((AND(VLOOKUP(BD$1,main!$A$3:$H$102,5,FALSE)-VLOOKUP($A19,main!$A$3:$H$102,6,FALSE)&gt;=(VLOOKUP(VLOOKUP(BD$1,main!$A$3:$H$102,8,FALSE),main!$K$26:$M$29,2,FALSE)+VLOOKUP(VLOOKUP(BD$1,main!$A$3:$H$102,7,FALSE),main!$K$19:$O$22,MATCH(VLOOKUP($A19,main!$A$3:$H$102,8,FALSE),main!$K$18:$O$18,0))))),1,0)</f>
        <v>0</v>
      </c>
      <c r="BE19">
        <f>IF((AND(VLOOKUP(BE$1,main!$A$3:$H$102,5,FALSE)-VLOOKUP($A19,main!$A$3:$H$102,6,FALSE)&gt;=(VLOOKUP(VLOOKUP(BE$1,main!$A$3:$H$102,8,FALSE),main!$K$26:$M$29,2,FALSE)+VLOOKUP(VLOOKUP(BE$1,main!$A$3:$H$102,7,FALSE),main!$K$19:$O$22,MATCH(VLOOKUP($A19,main!$A$3:$H$102,8,FALSE),main!$K$18:$O$18,0))))),1,0)</f>
        <v>0</v>
      </c>
      <c r="BF19">
        <f>IF((AND(VLOOKUP(BF$1,main!$A$3:$H$102,5,FALSE)-VLOOKUP($A19,main!$A$3:$H$102,6,FALSE)&gt;=(VLOOKUP(VLOOKUP(BF$1,main!$A$3:$H$102,8,FALSE),main!$K$26:$M$29,2,FALSE)+VLOOKUP(VLOOKUP(BF$1,main!$A$3:$H$102,7,FALSE),main!$K$19:$O$22,MATCH(VLOOKUP($A19,main!$A$3:$H$102,8,FALSE),main!$K$18:$O$18,0))))),1,0)</f>
        <v>0</v>
      </c>
      <c r="BG19">
        <f>IF((AND(VLOOKUP(BG$1,main!$A$3:$H$102,5,FALSE)-VLOOKUP($A19,main!$A$3:$H$102,6,FALSE)&gt;=(VLOOKUP(VLOOKUP(BG$1,main!$A$3:$H$102,8,FALSE),main!$K$26:$M$29,2,FALSE)+VLOOKUP(VLOOKUP(BG$1,main!$A$3:$H$102,7,FALSE),main!$K$19:$O$22,MATCH(VLOOKUP($A19,main!$A$3:$H$102,8,FALSE),main!$K$18:$O$18,0))))),1,0)</f>
        <v>0</v>
      </c>
      <c r="BH19">
        <f>IF((AND(VLOOKUP(BH$1,main!$A$3:$H$102,5,FALSE)-VLOOKUP($A19,main!$A$3:$H$102,6,FALSE)&gt;=(VLOOKUP(VLOOKUP(BH$1,main!$A$3:$H$102,8,FALSE),main!$K$26:$M$29,2,FALSE)+VLOOKUP(VLOOKUP(BH$1,main!$A$3:$H$102,7,FALSE),main!$K$19:$O$22,MATCH(VLOOKUP($A19,main!$A$3:$H$102,8,FALSE),main!$K$18:$O$18,0))))),1,0)</f>
        <v>0</v>
      </c>
      <c r="BI19">
        <f>IF((AND(VLOOKUP(BI$1,main!$A$3:$H$102,5,FALSE)-VLOOKUP($A19,main!$A$3:$H$102,6,FALSE)&gt;=(VLOOKUP(VLOOKUP(BI$1,main!$A$3:$H$102,8,FALSE),main!$K$26:$M$29,2,FALSE)+VLOOKUP(VLOOKUP(BI$1,main!$A$3:$H$102,7,FALSE),main!$K$19:$O$22,MATCH(VLOOKUP($A19,main!$A$3:$H$102,8,FALSE),main!$K$18:$O$18,0))))),1,0)</f>
        <v>1</v>
      </c>
      <c r="BJ19">
        <f>IF((AND(VLOOKUP(BJ$1,main!$A$3:$H$102,5,FALSE)-VLOOKUP($A19,main!$A$3:$H$102,6,FALSE)&gt;=(VLOOKUP(VLOOKUP(BJ$1,main!$A$3:$H$102,8,FALSE),main!$K$26:$M$29,2,FALSE)+VLOOKUP(VLOOKUP(BJ$1,main!$A$3:$H$102,7,FALSE),main!$K$19:$O$22,MATCH(VLOOKUP($A19,main!$A$3:$H$102,8,FALSE),main!$K$18:$O$18,0))))),1,0)</f>
        <v>0</v>
      </c>
      <c r="BK19">
        <f>IF((AND(VLOOKUP(BK$1,main!$A$3:$H$102,5,FALSE)-VLOOKUP($A19,main!$A$3:$H$102,6,FALSE)&gt;=(VLOOKUP(VLOOKUP(BK$1,main!$A$3:$H$102,8,FALSE),main!$K$26:$M$29,2,FALSE)+VLOOKUP(VLOOKUP(BK$1,main!$A$3:$H$102,7,FALSE),main!$K$19:$O$22,MATCH(VLOOKUP($A19,main!$A$3:$H$102,8,FALSE),main!$K$18:$O$18,0))))),1,0)</f>
        <v>0</v>
      </c>
      <c r="BL19">
        <f>IF((AND(VLOOKUP(BL$1,main!$A$3:$H$102,5,FALSE)-VLOOKUP($A19,main!$A$3:$H$102,6,FALSE)&gt;=(VLOOKUP(VLOOKUP(BL$1,main!$A$3:$H$102,8,FALSE),main!$K$26:$M$29,2,FALSE)+VLOOKUP(VLOOKUP(BL$1,main!$A$3:$H$102,7,FALSE),main!$K$19:$O$22,MATCH(VLOOKUP($A19,main!$A$3:$H$102,8,FALSE),main!$K$18:$O$18,0))))),1,0)</f>
        <v>0</v>
      </c>
      <c r="BM19">
        <f>IF((AND(VLOOKUP(BM$1,main!$A$3:$H$102,5,FALSE)-VLOOKUP($A19,main!$A$3:$H$102,6,FALSE)&gt;=(VLOOKUP(VLOOKUP(BM$1,main!$A$3:$H$102,8,FALSE),main!$K$26:$M$29,2,FALSE)+VLOOKUP(VLOOKUP(BM$1,main!$A$3:$H$102,7,FALSE),main!$K$19:$O$22,MATCH(VLOOKUP($A19,main!$A$3:$H$102,8,FALSE),main!$K$18:$O$18,0))))),1,0)</f>
        <v>0</v>
      </c>
      <c r="BN19">
        <f>IF((AND(VLOOKUP(BN$1,main!$A$3:$H$102,5,FALSE)-VLOOKUP($A19,main!$A$3:$H$102,6,FALSE)&gt;=(VLOOKUP(VLOOKUP(BN$1,main!$A$3:$H$102,8,FALSE),main!$K$26:$M$29,2,FALSE)+VLOOKUP(VLOOKUP(BN$1,main!$A$3:$H$102,7,FALSE),main!$K$19:$O$22,MATCH(VLOOKUP($A19,main!$A$3:$H$102,8,FALSE),main!$K$18:$O$18,0))))),1,0)</f>
        <v>0</v>
      </c>
      <c r="BO19">
        <f>IF((AND(VLOOKUP(BO$1,main!$A$3:$H$102,5,FALSE)-VLOOKUP($A19,main!$A$3:$H$102,6,FALSE)&gt;=(VLOOKUP(VLOOKUP(BO$1,main!$A$3:$H$102,8,FALSE),main!$K$26:$M$29,2,FALSE)+VLOOKUP(VLOOKUP(BO$1,main!$A$3:$H$102,7,FALSE),main!$K$19:$O$22,MATCH(VLOOKUP($A19,main!$A$3:$H$102,8,FALSE),main!$K$18:$O$18,0))))),1,0)</f>
        <v>0</v>
      </c>
      <c r="BP19">
        <f>IF((AND(VLOOKUP(BP$1,main!$A$3:$H$102,5,FALSE)-VLOOKUP($A19,main!$A$3:$H$102,6,FALSE)&gt;=(VLOOKUP(VLOOKUP(BP$1,main!$A$3:$H$102,8,FALSE),main!$K$26:$M$29,2,FALSE)+VLOOKUP(VLOOKUP(BP$1,main!$A$3:$H$102,7,FALSE),main!$K$19:$O$22,MATCH(VLOOKUP($A19,main!$A$3:$H$102,8,FALSE),main!$K$18:$O$18,0))))),1,0)</f>
        <v>0</v>
      </c>
      <c r="BQ19">
        <f>IF((AND(VLOOKUP(BQ$1,main!$A$3:$H$102,5,FALSE)-VLOOKUP($A19,main!$A$3:$H$102,6,FALSE)&gt;=(VLOOKUP(VLOOKUP(BQ$1,main!$A$3:$H$102,8,FALSE),main!$K$26:$M$29,2,FALSE)+VLOOKUP(VLOOKUP(BQ$1,main!$A$3:$H$102,7,FALSE),main!$K$19:$O$22,MATCH(VLOOKUP($A19,main!$A$3:$H$102,8,FALSE),main!$K$18:$O$18,0))))),1,0)</f>
        <v>0</v>
      </c>
      <c r="BR19">
        <f>IF((AND(VLOOKUP(BR$1,main!$A$3:$H$102,5,FALSE)-VLOOKUP($A19,main!$A$3:$H$102,6,FALSE)&gt;=(VLOOKUP(VLOOKUP(BR$1,main!$A$3:$H$102,8,FALSE),main!$K$26:$M$29,2,FALSE)+VLOOKUP(VLOOKUP(BR$1,main!$A$3:$H$102,7,FALSE),main!$K$19:$O$22,MATCH(VLOOKUP($A19,main!$A$3:$H$102,8,FALSE),main!$K$18:$O$18,0))))),1,0)</f>
        <v>0</v>
      </c>
      <c r="BS19">
        <f>IF((AND(VLOOKUP(BS$1,main!$A$3:$H$102,5,FALSE)-VLOOKUP($A19,main!$A$3:$H$102,6,FALSE)&gt;=(VLOOKUP(VLOOKUP(BS$1,main!$A$3:$H$102,8,FALSE),main!$K$26:$M$29,2,FALSE)+VLOOKUP(VLOOKUP(BS$1,main!$A$3:$H$102,7,FALSE),main!$K$19:$O$22,MATCH(VLOOKUP($A19,main!$A$3:$H$102,8,FALSE),main!$K$18:$O$18,0))))),1,0)</f>
        <v>0</v>
      </c>
      <c r="BT19">
        <f>IF((AND(VLOOKUP(BT$1,main!$A$3:$H$102,5,FALSE)-VLOOKUP($A19,main!$A$3:$H$102,6,FALSE)&gt;=(VLOOKUP(VLOOKUP(BT$1,main!$A$3:$H$102,8,FALSE),main!$K$26:$M$29,2,FALSE)+VLOOKUP(VLOOKUP(BT$1,main!$A$3:$H$102,7,FALSE),main!$K$19:$O$22,MATCH(VLOOKUP($A19,main!$A$3:$H$102,8,FALSE),main!$K$18:$O$18,0))))),1,0)</f>
        <v>0</v>
      </c>
      <c r="BU19">
        <f>IF((AND(VLOOKUP(BU$1,main!$A$3:$H$102,5,FALSE)-VLOOKUP($A19,main!$A$3:$H$102,6,FALSE)&gt;=(VLOOKUP(VLOOKUP(BU$1,main!$A$3:$H$102,8,FALSE),main!$K$26:$M$29,2,FALSE)+VLOOKUP(VLOOKUP(BU$1,main!$A$3:$H$102,7,FALSE),main!$K$19:$O$22,MATCH(VLOOKUP($A19,main!$A$3:$H$102,8,FALSE),main!$K$18:$O$18,0))))),1,0)</f>
        <v>0</v>
      </c>
      <c r="BV19">
        <f>IF((AND(VLOOKUP(BV$1,main!$A$3:$H$102,5,FALSE)-VLOOKUP($A19,main!$A$3:$H$102,6,FALSE)&gt;=(VLOOKUP(VLOOKUP(BV$1,main!$A$3:$H$102,8,FALSE),main!$K$26:$M$29,2,FALSE)+VLOOKUP(VLOOKUP(BV$1,main!$A$3:$H$102,7,FALSE),main!$K$19:$O$22,MATCH(VLOOKUP($A19,main!$A$3:$H$102,8,FALSE),main!$K$18:$O$18,0))))),1,0)</f>
        <v>0</v>
      </c>
      <c r="BW19">
        <f>IF((AND(VLOOKUP(BW$1,main!$A$3:$H$102,5,FALSE)-VLOOKUP($A19,main!$A$3:$H$102,6,FALSE)&gt;=(VLOOKUP(VLOOKUP(BW$1,main!$A$3:$H$102,8,FALSE),main!$K$26:$M$29,2,FALSE)+VLOOKUP(VLOOKUP(BW$1,main!$A$3:$H$102,7,FALSE),main!$K$19:$O$22,MATCH(VLOOKUP($A19,main!$A$3:$H$102,8,FALSE),main!$K$18:$O$18,0))))),1,0)</f>
        <v>0</v>
      </c>
      <c r="BX19">
        <f>IF((AND(VLOOKUP(BX$1,main!$A$3:$H$102,5,FALSE)-VLOOKUP($A19,main!$A$3:$H$102,6,FALSE)&gt;=(VLOOKUP(VLOOKUP(BX$1,main!$A$3:$H$102,8,FALSE),main!$K$26:$M$29,2,FALSE)+VLOOKUP(VLOOKUP(BX$1,main!$A$3:$H$102,7,FALSE),main!$K$19:$O$22,MATCH(VLOOKUP($A19,main!$A$3:$H$102,8,FALSE),main!$K$18:$O$18,0))))),1,0)</f>
        <v>0</v>
      </c>
      <c r="BY19">
        <f>IF((AND(VLOOKUP(BY$1,main!$A$3:$H$102,5,FALSE)-VLOOKUP($A19,main!$A$3:$H$102,6,FALSE)&gt;=(VLOOKUP(VLOOKUP(BY$1,main!$A$3:$H$102,8,FALSE),main!$K$26:$M$29,2,FALSE)+VLOOKUP(VLOOKUP(BY$1,main!$A$3:$H$102,7,FALSE),main!$K$19:$O$22,MATCH(VLOOKUP($A19,main!$A$3:$H$102,8,FALSE),main!$K$18:$O$18,0))))),1,0)</f>
        <v>0</v>
      </c>
      <c r="BZ19">
        <f>IF((AND(VLOOKUP(BZ$1,main!$A$3:$H$102,5,FALSE)-VLOOKUP($A19,main!$A$3:$H$102,6,FALSE)&gt;=(VLOOKUP(VLOOKUP(BZ$1,main!$A$3:$H$102,8,FALSE),main!$K$26:$M$29,2,FALSE)+VLOOKUP(VLOOKUP(BZ$1,main!$A$3:$H$102,7,FALSE),main!$K$19:$O$22,MATCH(VLOOKUP($A19,main!$A$3:$H$102,8,FALSE),main!$K$18:$O$18,0))))),1,0)</f>
        <v>0</v>
      </c>
      <c r="CA19">
        <f>IF((AND(VLOOKUP(CA$1,main!$A$3:$H$102,5,FALSE)-VLOOKUP($A19,main!$A$3:$H$102,6,FALSE)&gt;=(VLOOKUP(VLOOKUP(CA$1,main!$A$3:$H$102,8,FALSE),main!$K$26:$M$29,2,FALSE)+VLOOKUP(VLOOKUP(CA$1,main!$A$3:$H$102,7,FALSE),main!$K$19:$O$22,MATCH(VLOOKUP($A19,main!$A$3:$H$102,8,FALSE),main!$K$18:$O$18,0))))),1,0)</f>
        <v>0</v>
      </c>
      <c r="CB19">
        <f>IF((AND(VLOOKUP(CB$1,main!$A$3:$H$102,5,FALSE)-VLOOKUP($A19,main!$A$3:$H$102,6,FALSE)&gt;=(VLOOKUP(VLOOKUP(CB$1,main!$A$3:$H$102,8,FALSE),main!$K$26:$M$29,2,FALSE)+VLOOKUP(VLOOKUP(CB$1,main!$A$3:$H$102,7,FALSE),main!$K$19:$O$22,MATCH(VLOOKUP($A19,main!$A$3:$H$102,8,FALSE),main!$K$18:$O$18,0))))),1,0)</f>
        <v>0</v>
      </c>
      <c r="CC19">
        <f>IF((AND(VLOOKUP(CC$1,main!$A$3:$H$102,5,FALSE)-VLOOKUP($A19,main!$A$3:$H$102,6,FALSE)&gt;=(VLOOKUP(VLOOKUP(CC$1,main!$A$3:$H$102,8,FALSE),main!$K$26:$M$29,2,FALSE)+VLOOKUP(VLOOKUP(CC$1,main!$A$3:$H$102,7,FALSE),main!$K$19:$O$22,MATCH(VLOOKUP($A19,main!$A$3:$H$102,8,FALSE),main!$K$18:$O$18,0))))),1,0)</f>
        <v>1</v>
      </c>
      <c r="CD19">
        <f>IF((AND(VLOOKUP(CD$1,main!$A$3:$H$102,5,FALSE)-VLOOKUP($A19,main!$A$3:$H$102,6,FALSE)&gt;=(VLOOKUP(VLOOKUP(CD$1,main!$A$3:$H$102,8,FALSE),main!$K$26:$M$29,2,FALSE)+VLOOKUP(VLOOKUP(CD$1,main!$A$3:$H$102,7,FALSE),main!$K$19:$O$22,MATCH(VLOOKUP($A19,main!$A$3:$H$102,8,FALSE),main!$K$18:$O$18,0))))),1,0)</f>
        <v>0</v>
      </c>
      <c r="CE19">
        <f>IF((AND(VLOOKUP(CE$1,main!$A$3:$H$102,5,FALSE)-VLOOKUP($A19,main!$A$3:$H$102,6,FALSE)&gt;=(VLOOKUP(VLOOKUP(CE$1,main!$A$3:$H$102,8,FALSE),main!$K$26:$M$29,2,FALSE)+VLOOKUP(VLOOKUP(CE$1,main!$A$3:$H$102,7,FALSE),main!$K$19:$O$22,MATCH(VLOOKUP($A19,main!$A$3:$H$102,8,FALSE),main!$K$18:$O$18,0))))),1,0)</f>
        <v>0</v>
      </c>
      <c r="CF19">
        <f>IF((AND(VLOOKUP(CF$1,main!$A$3:$H$102,5,FALSE)-VLOOKUP($A19,main!$A$3:$H$102,6,FALSE)&gt;=(VLOOKUP(VLOOKUP(CF$1,main!$A$3:$H$102,8,FALSE),main!$K$26:$M$29,2,FALSE)+VLOOKUP(VLOOKUP(CF$1,main!$A$3:$H$102,7,FALSE),main!$K$19:$O$22,MATCH(VLOOKUP($A19,main!$A$3:$H$102,8,FALSE),main!$K$18:$O$18,0))))),1,0)</f>
        <v>0</v>
      </c>
      <c r="CG19">
        <f>IF((AND(VLOOKUP(CG$1,main!$A$3:$H$102,5,FALSE)-VLOOKUP($A19,main!$A$3:$H$102,6,FALSE)&gt;=(VLOOKUP(VLOOKUP(CG$1,main!$A$3:$H$102,8,FALSE),main!$K$26:$M$29,2,FALSE)+VLOOKUP(VLOOKUP(CG$1,main!$A$3:$H$102,7,FALSE),main!$K$19:$O$22,MATCH(VLOOKUP($A19,main!$A$3:$H$102,8,FALSE),main!$K$18:$O$18,0))))),1,0)</f>
        <v>0</v>
      </c>
      <c r="CH19">
        <f>IF((AND(VLOOKUP(CH$1,main!$A$3:$H$102,5,FALSE)-VLOOKUP($A19,main!$A$3:$H$102,6,FALSE)&gt;=(VLOOKUP(VLOOKUP(CH$1,main!$A$3:$H$102,8,FALSE),main!$K$26:$M$29,2,FALSE)+VLOOKUP(VLOOKUP(CH$1,main!$A$3:$H$102,7,FALSE),main!$K$19:$O$22,MATCH(VLOOKUP($A19,main!$A$3:$H$102,8,FALSE),main!$K$18:$O$18,0))))),1,0)</f>
        <v>0</v>
      </c>
      <c r="CI19">
        <f>IF((AND(VLOOKUP(CI$1,main!$A$3:$H$102,5,FALSE)-VLOOKUP($A19,main!$A$3:$H$102,6,FALSE)&gt;=(VLOOKUP(VLOOKUP(CI$1,main!$A$3:$H$102,8,FALSE),main!$K$26:$M$29,2,FALSE)+VLOOKUP(VLOOKUP(CI$1,main!$A$3:$H$102,7,FALSE),main!$K$19:$O$22,MATCH(VLOOKUP($A19,main!$A$3:$H$102,8,FALSE),main!$K$18:$O$18,0))))),1,0)</f>
        <v>1</v>
      </c>
      <c r="CJ19">
        <f>IF((AND(VLOOKUP(CJ$1,main!$A$3:$H$102,5,FALSE)-VLOOKUP($A19,main!$A$3:$H$102,6,FALSE)&gt;=(VLOOKUP(VLOOKUP(CJ$1,main!$A$3:$H$102,8,FALSE),main!$K$26:$M$29,2,FALSE)+VLOOKUP(VLOOKUP(CJ$1,main!$A$3:$H$102,7,FALSE),main!$K$19:$O$22,MATCH(VLOOKUP($A19,main!$A$3:$H$102,8,FALSE),main!$K$18:$O$18,0))))),1,0)</f>
        <v>0</v>
      </c>
      <c r="CK19">
        <f>IF((AND(VLOOKUP(CK$1,main!$A$3:$H$102,5,FALSE)-VLOOKUP($A19,main!$A$3:$H$102,6,FALSE)&gt;=(VLOOKUP(VLOOKUP(CK$1,main!$A$3:$H$102,8,FALSE),main!$K$26:$M$29,2,FALSE)+VLOOKUP(VLOOKUP(CK$1,main!$A$3:$H$102,7,FALSE),main!$K$19:$O$22,MATCH(VLOOKUP($A19,main!$A$3:$H$102,8,FALSE),main!$K$18:$O$18,0))))),1,0)</f>
        <v>0</v>
      </c>
      <c r="CL19">
        <f>IF((AND(VLOOKUP(CL$1,main!$A$3:$H$102,5,FALSE)-VLOOKUP($A19,main!$A$3:$H$102,6,FALSE)&gt;=(VLOOKUP(VLOOKUP(CL$1,main!$A$3:$H$102,8,FALSE),main!$K$26:$M$29,2,FALSE)+VLOOKUP(VLOOKUP(CL$1,main!$A$3:$H$102,7,FALSE),main!$K$19:$O$22,MATCH(VLOOKUP($A19,main!$A$3:$H$102,8,FALSE),main!$K$18:$O$18,0))))),1,0)</f>
        <v>0</v>
      </c>
      <c r="CM19">
        <f>IF((AND(VLOOKUP(CM$1,main!$A$3:$H$102,5,FALSE)-VLOOKUP($A19,main!$A$3:$H$102,6,FALSE)&gt;=(VLOOKUP(VLOOKUP(CM$1,main!$A$3:$H$102,8,FALSE),main!$K$26:$M$29,2,FALSE)+VLOOKUP(VLOOKUP(CM$1,main!$A$3:$H$102,7,FALSE),main!$K$19:$O$22,MATCH(VLOOKUP($A19,main!$A$3:$H$102,8,FALSE),main!$K$18:$O$18,0))))),1,0)</f>
        <v>0</v>
      </c>
      <c r="CN19">
        <f>IF((AND(VLOOKUP(CN$1,main!$A$3:$H$102,5,FALSE)-VLOOKUP($A19,main!$A$3:$H$102,6,FALSE)&gt;=(VLOOKUP(VLOOKUP(CN$1,main!$A$3:$H$102,8,FALSE),main!$K$26:$M$29,2,FALSE)+VLOOKUP(VLOOKUP(CN$1,main!$A$3:$H$102,7,FALSE),main!$K$19:$O$22,MATCH(VLOOKUP($A19,main!$A$3:$H$102,8,FALSE),main!$K$18:$O$18,0))))),1,0)</f>
        <v>1</v>
      </c>
      <c r="CO19">
        <f>IF((AND(VLOOKUP(CO$1,main!$A$3:$H$102,5,FALSE)-VLOOKUP($A19,main!$A$3:$H$102,6,FALSE)&gt;=(VLOOKUP(VLOOKUP(CO$1,main!$A$3:$H$102,8,FALSE),main!$K$26:$M$29,2,FALSE)+VLOOKUP(VLOOKUP(CO$1,main!$A$3:$H$102,7,FALSE),main!$K$19:$O$22,MATCH(VLOOKUP($A19,main!$A$3:$H$102,8,FALSE),main!$K$18:$O$18,0))))),1,0)</f>
        <v>0</v>
      </c>
      <c r="CP19">
        <f>IF((AND(VLOOKUP(CP$1,main!$A$3:$H$102,5,FALSE)-VLOOKUP($A19,main!$A$3:$H$102,6,FALSE)&gt;=(VLOOKUP(VLOOKUP(CP$1,main!$A$3:$H$102,8,FALSE),main!$K$26:$M$29,2,FALSE)+VLOOKUP(VLOOKUP(CP$1,main!$A$3:$H$102,7,FALSE),main!$K$19:$O$22,MATCH(VLOOKUP($A19,main!$A$3:$H$102,8,FALSE),main!$K$18:$O$18,0))))),1,0)</f>
        <v>0</v>
      </c>
      <c r="CQ19">
        <f>IF((AND(VLOOKUP(CQ$1,main!$A$3:$H$102,5,FALSE)-VLOOKUP($A19,main!$A$3:$H$102,6,FALSE)&gt;=(VLOOKUP(VLOOKUP(CQ$1,main!$A$3:$H$102,8,FALSE),main!$K$26:$M$29,2,FALSE)+VLOOKUP(VLOOKUP(CQ$1,main!$A$3:$H$102,7,FALSE),main!$K$19:$O$22,MATCH(VLOOKUP($A19,main!$A$3:$H$102,8,FALSE),main!$K$18:$O$18,0))))),1,0)</f>
        <v>0</v>
      </c>
      <c r="CR19">
        <f>IF((AND(VLOOKUP(CR$1,main!$A$3:$H$102,5,FALSE)-VLOOKUP($A19,main!$A$3:$H$102,6,FALSE)&gt;=(VLOOKUP(VLOOKUP(CR$1,main!$A$3:$H$102,8,FALSE),main!$K$26:$M$29,2,FALSE)+VLOOKUP(VLOOKUP(CR$1,main!$A$3:$H$102,7,FALSE),main!$K$19:$O$22,MATCH(VLOOKUP($A19,main!$A$3:$H$102,8,FALSE),main!$K$18:$O$18,0))))),1,0)</f>
        <v>0</v>
      </c>
      <c r="CS19">
        <f>IF((AND(VLOOKUP(CS$1,main!$A$3:$H$102,5,FALSE)-VLOOKUP($A19,main!$A$3:$H$102,6,FALSE)&gt;=(VLOOKUP(VLOOKUP(CS$1,main!$A$3:$H$102,8,FALSE),main!$K$26:$M$29,2,FALSE)+VLOOKUP(VLOOKUP(CS$1,main!$A$3:$H$102,7,FALSE),main!$K$19:$O$22,MATCH(VLOOKUP($A19,main!$A$3:$H$102,8,FALSE),main!$K$18:$O$18,0))))),1,0)</f>
        <v>0</v>
      </c>
      <c r="CT19">
        <f>IF((AND(VLOOKUP(CT$1,main!$A$3:$H$102,5,FALSE)-VLOOKUP($A19,main!$A$3:$H$102,6,FALSE)&gt;=(VLOOKUP(VLOOKUP(CT$1,main!$A$3:$H$102,8,FALSE),main!$K$26:$M$29,2,FALSE)+VLOOKUP(VLOOKUP(CT$1,main!$A$3:$H$102,7,FALSE),main!$K$19:$O$22,MATCH(VLOOKUP($A19,main!$A$3:$H$102,8,FALSE),main!$K$18:$O$18,0))))),1,0)</f>
        <v>0</v>
      </c>
      <c r="CU19">
        <f>IF((AND(VLOOKUP(CU$1,main!$A$3:$H$102,5,FALSE)-VLOOKUP($A19,main!$A$3:$H$102,6,FALSE)&gt;=(VLOOKUP(VLOOKUP(CU$1,main!$A$3:$H$102,8,FALSE),main!$K$26:$M$29,2,FALSE)+VLOOKUP(VLOOKUP(CU$1,main!$A$3:$H$102,7,FALSE),main!$K$19:$O$22,MATCH(VLOOKUP($A19,main!$A$3:$H$102,8,FALSE),main!$K$18:$O$18,0))))),1,0)</f>
        <v>0</v>
      </c>
      <c r="CV19">
        <f>IF((AND(VLOOKUP(CV$1,main!$A$3:$H$102,5,FALSE)-VLOOKUP($A19,main!$A$3:$H$102,6,FALSE)&gt;=(VLOOKUP(VLOOKUP(CV$1,main!$A$3:$H$102,8,FALSE),main!$K$26:$M$29,2,FALSE)+VLOOKUP(VLOOKUP(CV$1,main!$A$3:$H$102,7,FALSE),main!$K$19:$O$22,MATCH(VLOOKUP($A19,main!$A$3:$H$102,8,FALSE),main!$K$18:$O$18,0))))),1,0)</f>
        <v>0</v>
      </c>
      <c r="CW19">
        <f>IF((AND(VLOOKUP(CW$1,main!$A$3:$H$102,5,FALSE)-VLOOKUP($A19,main!$A$3:$H$102,6,FALSE)&gt;=(VLOOKUP(VLOOKUP(CW$1,main!$A$3:$H$102,8,FALSE),main!$K$26:$M$29,2,FALSE)+VLOOKUP(VLOOKUP(CW$1,main!$A$3:$H$102,7,FALSE),main!$K$19:$O$22,MATCH(VLOOKUP($A19,main!$A$3:$H$102,8,FALSE),main!$K$18:$O$18,0))))),1,0)</f>
        <v>0</v>
      </c>
      <c r="CX19">
        <f>IF((AND(VLOOKUP(CX$1,main!$A$3:$H$102,5,FALSE)-VLOOKUP($A19,main!$A$3:$H$102,6,FALSE)&gt;=(VLOOKUP(VLOOKUP(CX$1,main!$A$3:$H$102,8,FALSE),main!$K$26:$M$29,2,FALSE)+VLOOKUP(VLOOKUP(CX$1,main!$A$3:$H$102,7,FALSE),main!$K$19:$O$22,MATCH(VLOOKUP($A19,main!$A$3:$H$102,8,FALSE),main!$K$18:$O$18,0))))),1,0)</f>
        <v>0</v>
      </c>
    </row>
    <row r="20" spans="1:102" x14ac:dyDescent="0.25">
      <c r="A20" s="1">
        <v>18</v>
      </c>
      <c r="B20">
        <v>1</v>
      </c>
      <c r="C20">
        <f>IF((AND(VLOOKUP(C$1,main!$A$3:$H$102,5,FALSE)-VLOOKUP($A20,main!$A$3:$H$102,6,FALSE)&gt;=(VLOOKUP(VLOOKUP(C$1,main!$A$3:$H$102,8,FALSE),main!$K$26:$M$29,2,FALSE)+VLOOKUP(VLOOKUP(C$1,main!$A$3:$H$102,7,FALSE),main!$K$19:$O$22,MATCH(VLOOKUP($A20,main!$A$3:$H$102,8,FALSE),main!$K$18:$O$18,0))))),1,0)</f>
        <v>0</v>
      </c>
      <c r="D20">
        <f>IF((AND(VLOOKUP(D$1,main!$A$3:$H$102,5,FALSE)-VLOOKUP($A20,main!$A$3:$H$102,6,FALSE)&gt;=(VLOOKUP(VLOOKUP(D$1,main!$A$3:$H$102,8,FALSE),main!$K$26:$M$29,2,FALSE)+VLOOKUP(VLOOKUP(D$1,main!$A$3:$H$102,7,FALSE),main!$K$19:$O$22,MATCH(VLOOKUP($A20,main!$A$3:$H$102,8,FALSE),main!$K$18:$O$18,0))))),1,0)</f>
        <v>0</v>
      </c>
      <c r="E20">
        <f>IF((AND(VLOOKUP(E$1,main!$A$3:$H$102,5,FALSE)-VLOOKUP($A20,main!$A$3:$H$102,6,FALSE)&gt;=(VLOOKUP(VLOOKUP(E$1,main!$A$3:$H$102,8,FALSE),main!$K$26:$M$29,2,FALSE)+VLOOKUP(VLOOKUP(E$1,main!$A$3:$H$102,7,FALSE),main!$K$19:$O$22,MATCH(VLOOKUP($A20,main!$A$3:$H$102,8,FALSE),main!$K$18:$O$18,0))))),1,0)</f>
        <v>0</v>
      </c>
      <c r="F20">
        <f>IF((AND(VLOOKUP(F$1,main!$A$3:$H$102,5,FALSE)-VLOOKUP($A20,main!$A$3:$H$102,6,FALSE)&gt;=(VLOOKUP(VLOOKUP(F$1,main!$A$3:$H$102,8,FALSE),main!$K$26:$M$29,2,FALSE)+VLOOKUP(VLOOKUP(F$1,main!$A$3:$H$102,7,FALSE),main!$K$19:$O$22,MATCH(VLOOKUP($A20,main!$A$3:$H$102,8,FALSE),main!$K$18:$O$18,0))))),1,0)</f>
        <v>0</v>
      </c>
      <c r="G20">
        <f>IF((AND(VLOOKUP(G$1,main!$A$3:$H$102,5,FALSE)-VLOOKUP($A20,main!$A$3:$H$102,6,FALSE)&gt;=(VLOOKUP(VLOOKUP(G$1,main!$A$3:$H$102,8,FALSE),main!$K$26:$M$29,2,FALSE)+VLOOKUP(VLOOKUP(G$1,main!$A$3:$H$102,7,FALSE),main!$K$19:$O$22,MATCH(VLOOKUP($A20,main!$A$3:$H$102,8,FALSE),main!$K$18:$O$18,0))))),1,0)</f>
        <v>0</v>
      </c>
      <c r="H20">
        <f>IF((AND(VLOOKUP(H$1,main!$A$3:$H$102,5,FALSE)-VLOOKUP($A20,main!$A$3:$H$102,6,FALSE)&gt;=(VLOOKUP(VLOOKUP(H$1,main!$A$3:$H$102,8,FALSE),main!$K$26:$M$29,2,FALSE)+VLOOKUP(VLOOKUP(H$1,main!$A$3:$H$102,7,FALSE),main!$K$19:$O$22,MATCH(VLOOKUP($A20,main!$A$3:$H$102,8,FALSE),main!$K$18:$O$18,0))))),1,0)</f>
        <v>0</v>
      </c>
      <c r="I20">
        <f>IF((AND(VLOOKUP(I$1,main!$A$3:$H$102,5,FALSE)-VLOOKUP($A20,main!$A$3:$H$102,6,FALSE)&gt;=(VLOOKUP(VLOOKUP(I$1,main!$A$3:$H$102,8,FALSE),main!$K$26:$M$29,2,FALSE)+VLOOKUP(VLOOKUP(I$1,main!$A$3:$H$102,7,FALSE),main!$K$19:$O$22,MATCH(VLOOKUP($A20,main!$A$3:$H$102,8,FALSE),main!$K$18:$O$18,0))))),1,0)</f>
        <v>0</v>
      </c>
      <c r="J20">
        <f>IF((AND(VLOOKUP(J$1,main!$A$3:$H$102,5,FALSE)-VLOOKUP($A20,main!$A$3:$H$102,6,FALSE)&gt;=(VLOOKUP(VLOOKUP(J$1,main!$A$3:$H$102,8,FALSE),main!$K$26:$M$29,2,FALSE)+VLOOKUP(VLOOKUP(J$1,main!$A$3:$H$102,7,FALSE),main!$K$19:$O$22,MATCH(VLOOKUP($A20,main!$A$3:$H$102,8,FALSE),main!$K$18:$O$18,0))))),1,0)</f>
        <v>0</v>
      </c>
      <c r="K20">
        <f>IF((AND(VLOOKUP(K$1,main!$A$3:$H$102,5,FALSE)-VLOOKUP($A20,main!$A$3:$H$102,6,FALSE)&gt;=(VLOOKUP(VLOOKUP(K$1,main!$A$3:$H$102,8,FALSE),main!$K$26:$M$29,2,FALSE)+VLOOKUP(VLOOKUP(K$1,main!$A$3:$H$102,7,FALSE),main!$K$19:$O$22,MATCH(VLOOKUP($A20,main!$A$3:$H$102,8,FALSE),main!$K$18:$O$18,0))))),1,0)</f>
        <v>0</v>
      </c>
      <c r="L20">
        <f>IF((AND(VLOOKUP(L$1,main!$A$3:$H$102,5,FALSE)-VLOOKUP($A20,main!$A$3:$H$102,6,FALSE)&gt;=(VLOOKUP(VLOOKUP(L$1,main!$A$3:$H$102,8,FALSE),main!$K$26:$M$29,2,FALSE)+VLOOKUP(VLOOKUP(L$1,main!$A$3:$H$102,7,FALSE),main!$K$19:$O$22,MATCH(VLOOKUP($A20,main!$A$3:$H$102,8,FALSE),main!$K$18:$O$18,0))))),1,0)</f>
        <v>1</v>
      </c>
      <c r="M20">
        <f>IF((AND(VLOOKUP(M$1,main!$A$3:$H$102,5,FALSE)-VLOOKUP($A20,main!$A$3:$H$102,6,FALSE)&gt;=(VLOOKUP(VLOOKUP(M$1,main!$A$3:$H$102,8,FALSE),main!$K$26:$M$29,2,FALSE)+VLOOKUP(VLOOKUP(M$1,main!$A$3:$H$102,7,FALSE),main!$K$19:$O$22,MATCH(VLOOKUP($A20,main!$A$3:$H$102,8,FALSE),main!$K$18:$O$18,0))))),1,0)</f>
        <v>0</v>
      </c>
      <c r="N20">
        <f>IF((AND(VLOOKUP(N$1,main!$A$3:$H$102,5,FALSE)-VLOOKUP($A20,main!$A$3:$H$102,6,FALSE)&gt;=(VLOOKUP(VLOOKUP(N$1,main!$A$3:$H$102,8,FALSE),main!$K$26:$M$29,2,FALSE)+VLOOKUP(VLOOKUP(N$1,main!$A$3:$H$102,7,FALSE),main!$K$19:$O$22,MATCH(VLOOKUP($A20,main!$A$3:$H$102,8,FALSE),main!$K$18:$O$18,0))))),1,0)</f>
        <v>0</v>
      </c>
      <c r="O20">
        <f>IF((AND(VLOOKUP(O$1,main!$A$3:$H$102,5,FALSE)-VLOOKUP($A20,main!$A$3:$H$102,6,FALSE)&gt;=(VLOOKUP(VLOOKUP(O$1,main!$A$3:$H$102,8,FALSE),main!$K$26:$M$29,2,FALSE)+VLOOKUP(VLOOKUP(O$1,main!$A$3:$H$102,7,FALSE),main!$K$19:$O$22,MATCH(VLOOKUP($A20,main!$A$3:$H$102,8,FALSE),main!$K$18:$O$18,0))))),1,0)</f>
        <v>0</v>
      </c>
      <c r="P20">
        <f>IF((AND(VLOOKUP(P$1,main!$A$3:$H$102,5,FALSE)-VLOOKUP($A20,main!$A$3:$H$102,6,FALSE)&gt;=(VLOOKUP(VLOOKUP(P$1,main!$A$3:$H$102,8,FALSE),main!$K$26:$M$29,2,FALSE)+VLOOKUP(VLOOKUP(P$1,main!$A$3:$H$102,7,FALSE),main!$K$19:$O$22,MATCH(VLOOKUP($A20,main!$A$3:$H$102,8,FALSE),main!$K$18:$O$18,0))))),1,0)</f>
        <v>0</v>
      </c>
      <c r="Q20">
        <f>IF((AND(VLOOKUP(Q$1,main!$A$3:$H$102,5,FALSE)-VLOOKUP($A20,main!$A$3:$H$102,6,FALSE)&gt;=(VLOOKUP(VLOOKUP(Q$1,main!$A$3:$H$102,8,FALSE),main!$K$26:$M$29,2,FALSE)+VLOOKUP(VLOOKUP(Q$1,main!$A$3:$H$102,7,FALSE),main!$K$19:$O$22,MATCH(VLOOKUP($A20,main!$A$3:$H$102,8,FALSE),main!$K$18:$O$18,0))))),1,0)</f>
        <v>0</v>
      </c>
      <c r="R20">
        <f>IF((AND(VLOOKUP(R$1,main!$A$3:$H$102,5,FALSE)-VLOOKUP($A20,main!$A$3:$H$102,6,FALSE)&gt;=(VLOOKUP(VLOOKUP(R$1,main!$A$3:$H$102,8,FALSE),main!$K$26:$M$29,2,FALSE)+VLOOKUP(VLOOKUP(R$1,main!$A$3:$H$102,7,FALSE),main!$K$19:$O$22,MATCH(VLOOKUP($A20,main!$A$3:$H$102,8,FALSE),main!$K$18:$O$18,0))))),1,0)</f>
        <v>0</v>
      </c>
      <c r="S20">
        <f>IF((AND(VLOOKUP(S$1,main!$A$3:$H$102,5,FALSE)-VLOOKUP($A20,main!$A$3:$H$102,6,FALSE)&gt;=(VLOOKUP(VLOOKUP(S$1,main!$A$3:$H$102,8,FALSE),main!$K$26:$M$29,2,FALSE)+VLOOKUP(VLOOKUP(S$1,main!$A$3:$H$102,7,FALSE),main!$K$19:$O$22,MATCH(VLOOKUP($A20,main!$A$3:$H$102,8,FALSE),main!$K$18:$O$18,0))))),1,0)</f>
        <v>0</v>
      </c>
      <c r="T20">
        <f>IF((AND(VLOOKUP(T$1,main!$A$3:$H$102,5,FALSE)-VLOOKUP($A20,main!$A$3:$H$102,6,FALSE)&gt;=(VLOOKUP(VLOOKUP(T$1,main!$A$3:$H$102,8,FALSE),main!$K$26:$M$29,2,FALSE)+VLOOKUP(VLOOKUP(T$1,main!$A$3:$H$102,7,FALSE),main!$K$19:$O$22,MATCH(VLOOKUP($A20,main!$A$3:$H$102,8,FALSE),main!$K$18:$O$18,0))))),1,0)</f>
        <v>0</v>
      </c>
      <c r="U20">
        <f>IF((AND(VLOOKUP(U$1,main!$A$3:$H$102,5,FALSE)-VLOOKUP($A20,main!$A$3:$H$102,6,FALSE)&gt;=(VLOOKUP(VLOOKUP(U$1,main!$A$3:$H$102,8,FALSE),main!$K$26:$M$29,2,FALSE)+VLOOKUP(VLOOKUP(U$1,main!$A$3:$H$102,7,FALSE),main!$K$19:$O$22,MATCH(VLOOKUP($A20,main!$A$3:$H$102,8,FALSE),main!$K$18:$O$18,0))))),1,0)</f>
        <v>0</v>
      </c>
      <c r="V20">
        <f>IF((AND(VLOOKUP(V$1,main!$A$3:$H$102,5,FALSE)-VLOOKUP($A20,main!$A$3:$H$102,6,FALSE)&gt;=(VLOOKUP(VLOOKUP(V$1,main!$A$3:$H$102,8,FALSE),main!$K$26:$M$29,2,FALSE)+VLOOKUP(VLOOKUP(V$1,main!$A$3:$H$102,7,FALSE),main!$K$19:$O$22,MATCH(VLOOKUP($A20,main!$A$3:$H$102,8,FALSE),main!$K$18:$O$18,0))))),1,0)</f>
        <v>1</v>
      </c>
      <c r="W20">
        <f>IF((AND(VLOOKUP(W$1,main!$A$3:$H$102,5,FALSE)-VLOOKUP($A20,main!$A$3:$H$102,6,FALSE)&gt;=(VLOOKUP(VLOOKUP(W$1,main!$A$3:$H$102,8,FALSE),main!$K$26:$M$29,2,FALSE)+VLOOKUP(VLOOKUP(W$1,main!$A$3:$H$102,7,FALSE),main!$K$19:$O$22,MATCH(VLOOKUP($A20,main!$A$3:$H$102,8,FALSE),main!$K$18:$O$18,0))))),1,0)</f>
        <v>0</v>
      </c>
      <c r="X20">
        <f>IF((AND(VLOOKUP(X$1,main!$A$3:$H$102,5,FALSE)-VLOOKUP($A20,main!$A$3:$H$102,6,FALSE)&gt;=(VLOOKUP(VLOOKUP(X$1,main!$A$3:$H$102,8,FALSE),main!$K$26:$M$29,2,FALSE)+VLOOKUP(VLOOKUP(X$1,main!$A$3:$H$102,7,FALSE),main!$K$19:$O$22,MATCH(VLOOKUP($A20,main!$A$3:$H$102,8,FALSE),main!$K$18:$O$18,0))))),1,0)</f>
        <v>0</v>
      </c>
      <c r="Y20">
        <f>IF((AND(VLOOKUP(Y$1,main!$A$3:$H$102,5,FALSE)-VLOOKUP($A20,main!$A$3:$H$102,6,FALSE)&gt;=(VLOOKUP(VLOOKUP(Y$1,main!$A$3:$H$102,8,FALSE),main!$K$26:$M$29,2,FALSE)+VLOOKUP(VLOOKUP(Y$1,main!$A$3:$H$102,7,FALSE),main!$K$19:$O$22,MATCH(VLOOKUP($A20,main!$A$3:$H$102,8,FALSE),main!$K$18:$O$18,0))))),1,0)</f>
        <v>0</v>
      </c>
      <c r="Z20">
        <f>IF((AND(VLOOKUP(Z$1,main!$A$3:$H$102,5,FALSE)-VLOOKUP($A20,main!$A$3:$H$102,6,FALSE)&gt;=(VLOOKUP(VLOOKUP(Z$1,main!$A$3:$H$102,8,FALSE),main!$K$26:$M$29,2,FALSE)+VLOOKUP(VLOOKUP(Z$1,main!$A$3:$H$102,7,FALSE),main!$K$19:$O$22,MATCH(VLOOKUP($A20,main!$A$3:$H$102,8,FALSE),main!$K$18:$O$18,0))))),1,0)</f>
        <v>0</v>
      </c>
      <c r="AA20">
        <f>IF((AND(VLOOKUP(AA$1,main!$A$3:$H$102,5,FALSE)-VLOOKUP($A20,main!$A$3:$H$102,6,FALSE)&gt;=(VLOOKUP(VLOOKUP(AA$1,main!$A$3:$H$102,8,FALSE),main!$K$26:$M$29,2,FALSE)+VLOOKUP(VLOOKUP(AA$1,main!$A$3:$H$102,7,FALSE),main!$K$19:$O$22,MATCH(VLOOKUP($A20,main!$A$3:$H$102,8,FALSE),main!$K$18:$O$18,0))))),1,0)</f>
        <v>0</v>
      </c>
      <c r="AB20">
        <f>IF((AND(VLOOKUP(AB$1,main!$A$3:$H$102,5,FALSE)-VLOOKUP($A20,main!$A$3:$H$102,6,FALSE)&gt;=(VLOOKUP(VLOOKUP(AB$1,main!$A$3:$H$102,8,FALSE),main!$K$26:$M$29,2,FALSE)+VLOOKUP(VLOOKUP(AB$1,main!$A$3:$H$102,7,FALSE),main!$K$19:$O$22,MATCH(VLOOKUP($A20,main!$A$3:$H$102,8,FALSE),main!$K$18:$O$18,0))))),1,0)</f>
        <v>0</v>
      </c>
      <c r="AC20">
        <f>IF((AND(VLOOKUP(AC$1,main!$A$3:$H$102,5,FALSE)-VLOOKUP($A20,main!$A$3:$H$102,6,FALSE)&gt;=(VLOOKUP(VLOOKUP(AC$1,main!$A$3:$H$102,8,FALSE),main!$K$26:$M$29,2,FALSE)+VLOOKUP(VLOOKUP(AC$1,main!$A$3:$H$102,7,FALSE),main!$K$19:$O$22,MATCH(VLOOKUP($A20,main!$A$3:$H$102,8,FALSE),main!$K$18:$O$18,0))))),1,0)</f>
        <v>0</v>
      </c>
      <c r="AD20">
        <f>IF((AND(VLOOKUP(AD$1,main!$A$3:$H$102,5,FALSE)-VLOOKUP($A20,main!$A$3:$H$102,6,FALSE)&gt;=(VLOOKUP(VLOOKUP(AD$1,main!$A$3:$H$102,8,FALSE),main!$K$26:$M$29,2,FALSE)+VLOOKUP(VLOOKUP(AD$1,main!$A$3:$H$102,7,FALSE),main!$K$19:$O$22,MATCH(VLOOKUP($A20,main!$A$3:$H$102,8,FALSE),main!$K$18:$O$18,0))))),1,0)</f>
        <v>0</v>
      </c>
      <c r="AE20">
        <f>IF((AND(VLOOKUP(AE$1,main!$A$3:$H$102,5,FALSE)-VLOOKUP($A20,main!$A$3:$H$102,6,FALSE)&gt;=(VLOOKUP(VLOOKUP(AE$1,main!$A$3:$H$102,8,FALSE),main!$K$26:$M$29,2,FALSE)+VLOOKUP(VLOOKUP(AE$1,main!$A$3:$H$102,7,FALSE),main!$K$19:$O$22,MATCH(VLOOKUP($A20,main!$A$3:$H$102,8,FALSE),main!$K$18:$O$18,0))))),1,0)</f>
        <v>0</v>
      </c>
      <c r="AF20">
        <f>IF((AND(VLOOKUP(AF$1,main!$A$3:$H$102,5,FALSE)-VLOOKUP($A20,main!$A$3:$H$102,6,FALSE)&gt;=(VLOOKUP(VLOOKUP(AF$1,main!$A$3:$H$102,8,FALSE),main!$K$26:$M$29,2,FALSE)+VLOOKUP(VLOOKUP(AF$1,main!$A$3:$H$102,7,FALSE),main!$K$19:$O$22,MATCH(VLOOKUP($A20,main!$A$3:$H$102,8,FALSE),main!$K$18:$O$18,0))))),1,0)</f>
        <v>0</v>
      </c>
      <c r="AG20">
        <f>IF((AND(VLOOKUP(AG$1,main!$A$3:$H$102,5,FALSE)-VLOOKUP($A20,main!$A$3:$H$102,6,FALSE)&gt;=(VLOOKUP(VLOOKUP(AG$1,main!$A$3:$H$102,8,FALSE),main!$K$26:$M$29,2,FALSE)+VLOOKUP(VLOOKUP(AG$1,main!$A$3:$H$102,7,FALSE),main!$K$19:$O$22,MATCH(VLOOKUP($A20,main!$A$3:$H$102,8,FALSE),main!$K$18:$O$18,0))))),1,0)</f>
        <v>0</v>
      </c>
      <c r="AH20">
        <f>IF((AND(VLOOKUP(AH$1,main!$A$3:$H$102,5,FALSE)-VLOOKUP($A20,main!$A$3:$H$102,6,FALSE)&gt;=(VLOOKUP(VLOOKUP(AH$1,main!$A$3:$H$102,8,FALSE),main!$K$26:$M$29,2,FALSE)+VLOOKUP(VLOOKUP(AH$1,main!$A$3:$H$102,7,FALSE),main!$K$19:$O$22,MATCH(VLOOKUP($A20,main!$A$3:$H$102,8,FALSE),main!$K$18:$O$18,0))))),1,0)</f>
        <v>0</v>
      </c>
      <c r="AI20">
        <f>IF((AND(VLOOKUP(AI$1,main!$A$3:$H$102,5,FALSE)-VLOOKUP($A20,main!$A$3:$H$102,6,FALSE)&gt;=(VLOOKUP(VLOOKUP(AI$1,main!$A$3:$H$102,8,FALSE),main!$K$26:$M$29,2,FALSE)+VLOOKUP(VLOOKUP(AI$1,main!$A$3:$H$102,7,FALSE),main!$K$19:$O$22,MATCH(VLOOKUP($A20,main!$A$3:$H$102,8,FALSE),main!$K$18:$O$18,0))))),1,0)</f>
        <v>0</v>
      </c>
      <c r="AJ20">
        <f>IF((AND(VLOOKUP(AJ$1,main!$A$3:$H$102,5,FALSE)-VLOOKUP($A20,main!$A$3:$H$102,6,FALSE)&gt;=(VLOOKUP(VLOOKUP(AJ$1,main!$A$3:$H$102,8,FALSE),main!$K$26:$M$29,2,FALSE)+VLOOKUP(VLOOKUP(AJ$1,main!$A$3:$H$102,7,FALSE),main!$K$19:$O$22,MATCH(VLOOKUP($A20,main!$A$3:$H$102,8,FALSE),main!$K$18:$O$18,0))))),1,0)</f>
        <v>0</v>
      </c>
      <c r="AK20">
        <f>IF((AND(VLOOKUP(AK$1,main!$A$3:$H$102,5,FALSE)-VLOOKUP($A20,main!$A$3:$H$102,6,FALSE)&gt;=(VLOOKUP(VLOOKUP(AK$1,main!$A$3:$H$102,8,FALSE),main!$K$26:$M$29,2,FALSE)+VLOOKUP(VLOOKUP(AK$1,main!$A$3:$H$102,7,FALSE),main!$K$19:$O$22,MATCH(VLOOKUP($A20,main!$A$3:$H$102,8,FALSE),main!$K$18:$O$18,0))))),1,0)</f>
        <v>0</v>
      </c>
      <c r="AL20">
        <f>IF((AND(VLOOKUP(AL$1,main!$A$3:$H$102,5,FALSE)-VLOOKUP($A20,main!$A$3:$H$102,6,FALSE)&gt;=(VLOOKUP(VLOOKUP(AL$1,main!$A$3:$H$102,8,FALSE),main!$K$26:$M$29,2,FALSE)+VLOOKUP(VLOOKUP(AL$1,main!$A$3:$H$102,7,FALSE),main!$K$19:$O$22,MATCH(VLOOKUP($A20,main!$A$3:$H$102,8,FALSE),main!$K$18:$O$18,0))))),1,0)</f>
        <v>0</v>
      </c>
      <c r="AM20">
        <f>IF((AND(VLOOKUP(AM$1,main!$A$3:$H$102,5,FALSE)-VLOOKUP($A20,main!$A$3:$H$102,6,FALSE)&gt;=(VLOOKUP(VLOOKUP(AM$1,main!$A$3:$H$102,8,FALSE),main!$K$26:$M$29,2,FALSE)+VLOOKUP(VLOOKUP(AM$1,main!$A$3:$H$102,7,FALSE),main!$K$19:$O$22,MATCH(VLOOKUP($A20,main!$A$3:$H$102,8,FALSE),main!$K$18:$O$18,0))))),1,0)</f>
        <v>0</v>
      </c>
      <c r="AN20">
        <f>IF((AND(VLOOKUP(AN$1,main!$A$3:$H$102,5,FALSE)-VLOOKUP($A20,main!$A$3:$H$102,6,FALSE)&gt;=(VLOOKUP(VLOOKUP(AN$1,main!$A$3:$H$102,8,FALSE),main!$K$26:$M$29,2,FALSE)+VLOOKUP(VLOOKUP(AN$1,main!$A$3:$H$102,7,FALSE),main!$K$19:$O$22,MATCH(VLOOKUP($A20,main!$A$3:$H$102,8,FALSE),main!$K$18:$O$18,0))))),1,0)</f>
        <v>0</v>
      </c>
      <c r="AO20">
        <f>IF((AND(VLOOKUP(AO$1,main!$A$3:$H$102,5,FALSE)-VLOOKUP($A20,main!$A$3:$H$102,6,FALSE)&gt;=(VLOOKUP(VLOOKUP(AO$1,main!$A$3:$H$102,8,FALSE),main!$K$26:$M$29,2,FALSE)+VLOOKUP(VLOOKUP(AO$1,main!$A$3:$H$102,7,FALSE),main!$K$19:$O$22,MATCH(VLOOKUP($A20,main!$A$3:$H$102,8,FALSE),main!$K$18:$O$18,0))))),1,0)</f>
        <v>0</v>
      </c>
      <c r="AP20">
        <f>IF((AND(VLOOKUP(AP$1,main!$A$3:$H$102,5,FALSE)-VLOOKUP($A20,main!$A$3:$H$102,6,FALSE)&gt;=(VLOOKUP(VLOOKUP(AP$1,main!$A$3:$H$102,8,FALSE),main!$K$26:$M$29,2,FALSE)+VLOOKUP(VLOOKUP(AP$1,main!$A$3:$H$102,7,FALSE),main!$K$19:$O$22,MATCH(VLOOKUP($A20,main!$A$3:$H$102,8,FALSE),main!$K$18:$O$18,0))))),1,0)</f>
        <v>1</v>
      </c>
      <c r="AQ20">
        <f>IF((AND(VLOOKUP(AQ$1,main!$A$3:$H$102,5,FALSE)-VLOOKUP($A20,main!$A$3:$H$102,6,FALSE)&gt;=(VLOOKUP(VLOOKUP(AQ$1,main!$A$3:$H$102,8,FALSE),main!$K$26:$M$29,2,FALSE)+VLOOKUP(VLOOKUP(AQ$1,main!$A$3:$H$102,7,FALSE),main!$K$19:$O$22,MATCH(VLOOKUP($A20,main!$A$3:$H$102,8,FALSE),main!$K$18:$O$18,0))))),1,0)</f>
        <v>0</v>
      </c>
      <c r="AR20">
        <f>IF((AND(VLOOKUP(AR$1,main!$A$3:$H$102,5,FALSE)-VLOOKUP($A20,main!$A$3:$H$102,6,FALSE)&gt;=(VLOOKUP(VLOOKUP(AR$1,main!$A$3:$H$102,8,FALSE),main!$K$26:$M$29,2,FALSE)+VLOOKUP(VLOOKUP(AR$1,main!$A$3:$H$102,7,FALSE),main!$K$19:$O$22,MATCH(VLOOKUP($A20,main!$A$3:$H$102,8,FALSE),main!$K$18:$O$18,0))))),1,0)</f>
        <v>0</v>
      </c>
      <c r="AS20">
        <f>IF((AND(VLOOKUP(AS$1,main!$A$3:$H$102,5,FALSE)-VLOOKUP($A20,main!$A$3:$H$102,6,FALSE)&gt;=(VLOOKUP(VLOOKUP(AS$1,main!$A$3:$H$102,8,FALSE),main!$K$26:$M$29,2,FALSE)+VLOOKUP(VLOOKUP(AS$1,main!$A$3:$H$102,7,FALSE),main!$K$19:$O$22,MATCH(VLOOKUP($A20,main!$A$3:$H$102,8,FALSE),main!$K$18:$O$18,0))))),1,0)</f>
        <v>0</v>
      </c>
      <c r="AT20">
        <f>IF((AND(VLOOKUP(AT$1,main!$A$3:$H$102,5,FALSE)-VLOOKUP($A20,main!$A$3:$H$102,6,FALSE)&gt;=(VLOOKUP(VLOOKUP(AT$1,main!$A$3:$H$102,8,FALSE),main!$K$26:$M$29,2,FALSE)+VLOOKUP(VLOOKUP(AT$1,main!$A$3:$H$102,7,FALSE),main!$K$19:$O$22,MATCH(VLOOKUP($A20,main!$A$3:$H$102,8,FALSE),main!$K$18:$O$18,0))))),1,0)</f>
        <v>0</v>
      </c>
      <c r="AU20">
        <f>IF((AND(VLOOKUP(AU$1,main!$A$3:$H$102,5,FALSE)-VLOOKUP($A20,main!$A$3:$H$102,6,FALSE)&gt;=(VLOOKUP(VLOOKUP(AU$1,main!$A$3:$H$102,8,FALSE),main!$K$26:$M$29,2,FALSE)+VLOOKUP(VLOOKUP(AU$1,main!$A$3:$H$102,7,FALSE),main!$K$19:$O$22,MATCH(VLOOKUP($A20,main!$A$3:$H$102,8,FALSE),main!$K$18:$O$18,0))))),1,0)</f>
        <v>0</v>
      </c>
      <c r="AV20">
        <f>IF((AND(VLOOKUP(AV$1,main!$A$3:$H$102,5,FALSE)-VLOOKUP($A20,main!$A$3:$H$102,6,FALSE)&gt;=(VLOOKUP(VLOOKUP(AV$1,main!$A$3:$H$102,8,FALSE),main!$K$26:$M$29,2,FALSE)+VLOOKUP(VLOOKUP(AV$1,main!$A$3:$H$102,7,FALSE),main!$K$19:$O$22,MATCH(VLOOKUP($A20,main!$A$3:$H$102,8,FALSE),main!$K$18:$O$18,0))))),1,0)</f>
        <v>0</v>
      </c>
      <c r="AW20">
        <f>IF((AND(VLOOKUP(AW$1,main!$A$3:$H$102,5,FALSE)-VLOOKUP($A20,main!$A$3:$H$102,6,FALSE)&gt;=(VLOOKUP(VLOOKUP(AW$1,main!$A$3:$H$102,8,FALSE),main!$K$26:$M$29,2,FALSE)+VLOOKUP(VLOOKUP(AW$1,main!$A$3:$H$102,7,FALSE),main!$K$19:$O$22,MATCH(VLOOKUP($A20,main!$A$3:$H$102,8,FALSE),main!$K$18:$O$18,0))))),1,0)</f>
        <v>0</v>
      </c>
      <c r="AX20">
        <f>IF((AND(VLOOKUP(AX$1,main!$A$3:$H$102,5,FALSE)-VLOOKUP($A20,main!$A$3:$H$102,6,FALSE)&gt;=(VLOOKUP(VLOOKUP(AX$1,main!$A$3:$H$102,8,FALSE),main!$K$26:$M$29,2,FALSE)+VLOOKUP(VLOOKUP(AX$1,main!$A$3:$H$102,7,FALSE),main!$K$19:$O$22,MATCH(VLOOKUP($A20,main!$A$3:$H$102,8,FALSE),main!$K$18:$O$18,0))))),1,0)</f>
        <v>0</v>
      </c>
      <c r="AY20">
        <f>IF((AND(VLOOKUP(AY$1,main!$A$3:$H$102,5,FALSE)-VLOOKUP($A20,main!$A$3:$H$102,6,FALSE)&gt;=(VLOOKUP(VLOOKUP(AY$1,main!$A$3:$H$102,8,FALSE),main!$K$26:$M$29,2,FALSE)+VLOOKUP(VLOOKUP(AY$1,main!$A$3:$H$102,7,FALSE),main!$K$19:$O$22,MATCH(VLOOKUP($A20,main!$A$3:$H$102,8,FALSE),main!$K$18:$O$18,0))))),1,0)</f>
        <v>0</v>
      </c>
      <c r="AZ20">
        <f>IF((AND(VLOOKUP(AZ$1,main!$A$3:$H$102,5,FALSE)-VLOOKUP($A20,main!$A$3:$H$102,6,FALSE)&gt;=(VLOOKUP(VLOOKUP(AZ$1,main!$A$3:$H$102,8,FALSE),main!$K$26:$M$29,2,FALSE)+VLOOKUP(VLOOKUP(AZ$1,main!$A$3:$H$102,7,FALSE),main!$K$19:$O$22,MATCH(VLOOKUP($A20,main!$A$3:$H$102,8,FALSE),main!$K$18:$O$18,0))))),1,0)</f>
        <v>0</v>
      </c>
      <c r="BA20">
        <f>IF((AND(VLOOKUP(BA$1,main!$A$3:$H$102,5,FALSE)-VLOOKUP($A20,main!$A$3:$H$102,6,FALSE)&gt;=(VLOOKUP(VLOOKUP(BA$1,main!$A$3:$H$102,8,FALSE),main!$K$26:$M$29,2,FALSE)+VLOOKUP(VLOOKUP(BA$1,main!$A$3:$H$102,7,FALSE),main!$K$19:$O$22,MATCH(VLOOKUP($A20,main!$A$3:$H$102,8,FALSE),main!$K$18:$O$18,0))))),1,0)</f>
        <v>0</v>
      </c>
      <c r="BB20">
        <f>IF((AND(VLOOKUP(BB$1,main!$A$3:$H$102,5,FALSE)-VLOOKUP($A20,main!$A$3:$H$102,6,FALSE)&gt;=(VLOOKUP(VLOOKUP(BB$1,main!$A$3:$H$102,8,FALSE),main!$K$26:$M$29,2,FALSE)+VLOOKUP(VLOOKUP(BB$1,main!$A$3:$H$102,7,FALSE),main!$K$19:$O$22,MATCH(VLOOKUP($A20,main!$A$3:$H$102,8,FALSE),main!$K$18:$O$18,0))))),1,0)</f>
        <v>0</v>
      </c>
      <c r="BC20">
        <f>IF((AND(VLOOKUP(BC$1,main!$A$3:$H$102,5,FALSE)-VLOOKUP($A20,main!$A$3:$H$102,6,FALSE)&gt;=(VLOOKUP(VLOOKUP(BC$1,main!$A$3:$H$102,8,FALSE),main!$K$26:$M$29,2,FALSE)+VLOOKUP(VLOOKUP(BC$1,main!$A$3:$H$102,7,FALSE),main!$K$19:$O$22,MATCH(VLOOKUP($A20,main!$A$3:$H$102,8,FALSE),main!$K$18:$O$18,0))))),1,0)</f>
        <v>0</v>
      </c>
      <c r="BD20">
        <f>IF((AND(VLOOKUP(BD$1,main!$A$3:$H$102,5,FALSE)-VLOOKUP($A20,main!$A$3:$H$102,6,FALSE)&gt;=(VLOOKUP(VLOOKUP(BD$1,main!$A$3:$H$102,8,FALSE),main!$K$26:$M$29,2,FALSE)+VLOOKUP(VLOOKUP(BD$1,main!$A$3:$H$102,7,FALSE),main!$K$19:$O$22,MATCH(VLOOKUP($A20,main!$A$3:$H$102,8,FALSE),main!$K$18:$O$18,0))))),1,0)</f>
        <v>0</v>
      </c>
      <c r="BE20">
        <f>IF((AND(VLOOKUP(BE$1,main!$A$3:$H$102,5,FALSE)-VLOOKUP($A20,main!$A$3:$H$102,6,FALSE)&gt;=(VLOOKUP(VLOOKUP(BE$1,main!$A$3:$H$102,8,FALSE),main!$K$26:$M$29,2,FALSE)+VLOOKUP(VLOOKUP(BE$1,main!$A$3:$H$102,7,FALSE),main!$K$19:$O$22,MATCH(VLOOKUP($A20,main!$A$3:$H$102,8,FALSE),main!$K$18:$O$18,0))))),1,0)</f>
        <v>0</v>
      </c>
      <c r="BF20">
        <f>IF((AND(VLOOKUP(BF$1,main!$A$3:$H$102,5,FALSE)-VLOOKUP($A20,main!$A$3:$H$102,6,FALSE)&gt;=(VLOOKUP(VLOOKUP(BF$1,main!$A$3:$H$102,8,FALSE),main!$K$26:$M$29,2,FALSE)+VLOOKUP(VLOOKUP(BF$1,main!$A$3:$H$102,7,FALSE),main!$K$19:$O$22,MATCH(VLOOKUP($A20,main!$A$3:$H$102,8,FALSE),main!$K$18:$O$18,0))))),1,0)</f>
        <v>0</v>
      </c>
      <c r="BG20">
        <f>IF((AND(VLOOKUP(BG$1,main!$A$3:$H$102,5,FALSE)-VLOOKUP($A20,main!$A$3:$H$102,6,FALSE)&gt;=(VLOOKUP(VLOOKUP(BG$1,main!$A$3:$H$102,8,FALSE),main!$K$26:$M$29,2,FALSE)+VLOOKUP(VLOOKUP(BG$1,main!$A$3:$H$102,7,FALSE),main!$K$19:$O$22,MATCH(VLOOKUP($A20,main!$A$3:$H$102,8,FALSE),main!$K$18:$O$18,0))))),1,0)</f>
        <v>0</v>
      </c>
      <c r="BH20">
        <f>IF((AND(VLOOKUP(BH$1,main!$A$3:$H$102,5,FALSE)-VLOOKUP($A20,main!$A$3:$H$102,6,FALSE)&gt;=(VLOOKUP(VLOOKUP(BH$1,main!$A$3:$H$102,8,FALSE),main!$K$26:$M$29,2,FALSE)+VLOOKUP(VLOOKUP(BH$1,main!$A$3:$H$102,7,FALSE),main!$K$19:$O$22,MATCH(VLOOKUP($A20,main!$A$3:$H$102,8,FALSE),main!$K$18:$O$18,0))))),1,0)</f>
        <v>0</v>
      </c>
      <c r="BI20">
        <f>IF((AND(VLOOKUP(BI$1,main!$A$3:$H$102,5,FALSE)-VLOOKUP($A20,main!$A$3:$H$102,6,FALSE)&gt;=(VLOOKUP(VLOOKUP(BI$1,main!$A$3:$H$102,8,FALSE),main!$K$26:$M$29,2,FALSE)+VLOOKUP(VLOOKUP(BI$1,main!$A$3:$H$102,7,FALSE),main!$K$19:$O$22,MATCH(VLOOKUP($A20,main!$A$3:$H$102,8,FALSE),main!$K$18:$O$18,0))))),1,0)</f>
        <v>1</v>
      </c>
      <c r="BJ20">
        <f>IF((AND(VLOOKUP(BJ$1,main!$A$3:$H$102,5,FALSE)-VLOOKUP($A20,main!$A$3:$H$102,6,FALSE)&gt;=(VLOOKUP(VLOOKUP(BJ$1,main!$A$3:$H$102,8,FALSE),main!$K$26:$M$29,2,FALSE)+VLOOKUP(VLOOKUP(BJ$1,main!$A$3:$H$102,7,FALSE),main!$K$19:$O$22,MATCH(VLOOKUP($A20,main!$A$3:$H$102,8,FALSE),main!$K$18:$O$18,0))))),1,0)</f>
        <v>0</v>
      </c>
      <c r="BK20">
        <f>IF((AND(VLOOKUP(BK$1,main!$A$3:$H$102,5,FALSE)-VLOOKUP($A20,main!$A$3:$H$102,6,FALSE)&gt;=(VLOOKUP(VLOOKUP(BK$1,main!$A$3:$H$102,8,FALSE),main!$K$26:$M$29,2,FALSE)+VLOOKUP(VLOOKUP(BK$1,main!$A$3:$H$102,7,FALSE),main!$K$19:$O$22,MATCH(VLOOKUP($A20,main!$A$3:$H$102,8,FALSE),main!$K$18:$O$18,0))))),1,0)</f>
        <v>0</v>
      </c>
      <c r="BL20">
        <f>IF((AND(VLOOKUP(BL$1,main!$A$3:$H$102,5,FALSE)-VLOOKUP($A20,main!$A$3:$H$102,6,FALSE)&gt;=(VLOOKUP(VLOOKUP(BL$1,main!$A$3:$H$102,8,FALSE),main!$K$26:$M$29,2,FALSE)+VLOOKUP(VLOOKUP(BL$1,main!$A$3:$H$102,7,FALSE),main!$K$19:$O$22,MATCH(VLOOKUP($A20,main!$A$3:$H$102,8,FALSE),main!$K$18:$O$18,0))))),1,0)</f>
        <v>0</v>
      </c>
      <c r="BM20">
        <f>IF((AND(VLOOKUP(BM$1,main!$A$3:$H$102,5,FALSE)-VLOOKUP($A20,main!$A$3:$H$102,6,FALSE)&gt;=(VLOOKUP(VLOOKUP(BM$1,main!$A$3:$H$102,8,FALSE),main!$K$26:$M$29,2,FALSE)+VLOOKUP(VLOOKUP(BM$1,main!$A$3:$H$102,7,FALSE),main!$K$19:$O$22,MATCH(VLOOKUP($A20,main!$A$3:$H$102,8,FALSE),main!$K$18:$O$18,0))))),1,0)</f>
        <v>0</v>
      </c>
      <c r="BN20">
        <f>IF((AND(VLOOKUP(BN$1,main!$A$3:$H$102,5,FALSE)-VLOOKUP($A20,main!$A$3:$H$102,6,FALSE)&gt;=(VLOOKUP(VLOOKUP(BN$1,main!$A$3:$H$102,8,FALSE),main!$K$26:$M$29,2,FALSE)+VLOOKUP(VLOOKUP(BN$1,main!$A$3:$H$102,7,FALSE),main!$K$19:$O$22,MATCH(VLOOKUP($A20,main!$A$3:$H$102,8,FALSE),main!$K$18:$O$18,0))))),1,0)</f>
        <v>0</v>
      </c>
      <c r="BO20">
        <f>IF((AND(VLOOKUP(BO$1,main!$A$3:$H$102,5,FALSE)-VLOOKUP($A20,main!$A$3:$H$102,6,FALSE)&gt;=(VLOOKUP(VLOOKUP(BO$1,main!$A$3:$H$102,8,FALSE),main!$K$26:$M$29,2,FALSE)+VLOOKUP(VLOOKUP(BO$1,main!$A$3:$H$102,7,FALSE),main!$K$19:$O$22,MATCH(VLOOKUP($A20,main!$A$3:$H$102,8,FALSE),main!$K$18:$O$18,0))))),1,0)</f>
        <v>0</v>
      </c>
      <c r="BP20">
        <f>IF((AND(VLOOKUP(BP$1,main!$A$3:$H$102,5,FALSE)-VLOOKUP($A20,main!$A$3:$H$102,6,FALSE)&gt;=(VLOOKUP(VLOOKUP(BP$1,main!$A$3:$H$102,8,FALSE),main!$K$26:$M$29,2,FALSE)+VLOOKUP(VLOOKUP(BP$1,main!$A$3:$H$102,7,FALSE),main!$K$19:$O$22,MATCH(VLOOKUP($A20,main!$A$3:$H$102,8,FALSE),main!$K$18:$O$18,0))))),1,0)</f>
        <v>0</v>
      </c>
      <c r="BQ20">
        <f>IF((AND(VLOOKUP(BQ$1,main!$A$3:$H$102,5,FALSE)-VLOOKUP($A20,main!$A$3:$H$102,6,FALSE)&gt;=(VLOOKUP(VLOOKUP(BQ$1,main!$A$3:$H$102,8,FALSE),main!$K$26:$M$29,2,FALSE)+VLOOKUP(VLOOKUP(BQ$1,main!$A$3:$H$102,7,FALSE),main!$K$19:$O$22,MATCH(VLOOKUP($A20,main!$A$3:$H$102,8,FALSE),main!$K$18:$O$18,0))))),1,0)</f>
        <v>0</v>
      </c>
      <c r="BR20">
        <f>IF((AND(VLOOKUP(BR$1,main!$A$3:$H$102,5,FALSE)-VLOOKUP($A20,main!$A$3:$H$102,6,FALSE)&gt;=(VLOOKUP(VLOOKUP(BR$1,main!$A$3:$H$102,8,FALSE),main!$K$26:$M$29,2,FALSE)+VLOOKUP(VLOOKUP(BR$1,main!$A$3:$H$102,7,FALSE),main!$K$19:$O$22,MATCH(VLOOKUP($A20,main!$A$3:$H$102,8,FALSE),main!$K$18:$O$18,0))))),1,0)</f>
        <v>0</v>
      </c>
      <c r="BS20">
        <f>IF((AND(VLOOKUP(BS$1,main!$A$3:$H$102,5,FALSE)-VLOOKUP($A20,main!$A$3:$H$102,6,FALSE)&gt;=(VLOOKUP(VLOOKUP(BS$1,main!$A$3:$H$102,8,FALSE),main!$K$26:$M$29,2,FALSE)+VLOOKUP(VLOOKUP(BS$1,main!$A$3:$H$102,7,FALSE),main!$K$19:$O$22,MATCH(VLOOKUP($A20,main!$A$3:$H$102,8,FALSE),main!$K$18:$O$18,0))))),1,0)</f>
        <v>0</v>
      </c>
      <c r="BT20">
        <f>IF((AND(VLOOKUP(BT$1,main!$A$3:$H$102,5,FALSE)-VLOOKUP($A20,main!$A$3:$H$102,6,FALSE)&gt;=(VLOOKUP(VLOOKUP(BT$1,main!$A$3:$H$102,8,FALSE),main!$K$26:$M$29,2,FALSE)+VLOOKUP(VLOOKUP(BT$1,main!$A$3:$H$102,7,FALSE),main!$K$19:$O$22,MATCH(VLOOKUP($A20,main!$A$3:$H$102,8,FALSE),main!$K$18:$O$18,0))))),1,0)</f>
        <v>0</v>
      </c>
      <c r="BU20">
        <f>IF((AND(VLOOKUP(BU$1,main!$A$3:$H$102,5,FALSE)-VLOOKUP($A20,main!$A$3:$H$102,6,FALSE)&gt;=(VLOOKUP(VLOOKUP(BU$1,main!$A$3:$H$102,8,FALSE),main!$K$26:$M$29,2,FALSE)+VLOOKUP(VLOOKUP(BU$1,main!$A$3:$H$102,7,FALSE),main!$K$19:$O$22,MATCH(VLOOKUP($A20,main!$A$3:$H$102,8,FALSE),main!$K$18:$O$18,0))))),1,0)</f>
        <v>0</v>
      </c>
      <c r="BV20">
        <f>IF((AND(VLOOKUP(BV$1,main!$A$3:$H$102,5,FALSE)-VLOOKUP($A20,main!$A$3:$H$102,6,FALSE)&gt;=(VLOOKUP(VLOOKUP(BV$1,main!$A$3:$H$102,8,FALSE),main!$K$26:$M$29,2,FALSE)+VLOOKUP(VLOOKUP(BV$1,main!$A$3:$H$102,7,FALSE),main!$K$19:$O$22,MATCH(VLOOKUP($A20,main!$A$3:$H$102,8,FALSE),main!$K$18:$O$18,0))))),1,0)</f>
        <v>0</v>
      </c>
      <c r="BW20">
        <f>IF((AND(VLOOKUP(BW$1,main!$A$3:$H$102,5,FALSE)-VLOOKUP($A20,main!$A$3:$H$102,6,FALSE)&gt;=(VLOOKUP(VLOOKUP(BW$1,main!$A$3:$H$102,8,FALSE),main!$K$26:$M$29,2,FALSE)+VLOOKUP(VLOOKUP(BW$1,main!$A$3:$H$102,7,FALSE),main!$K$19:$O$22,MATCH(VLOOKUP($A20,main!$A$3:$H$102,8,FALSE),main!$K$18:$O$18,0))))),1,0)</f>
        <v>0</v>
      </c>
      <c r="BX20">
        <f>IF((AND(VLOOKUP(BX$1,main!$A$3:$H$102,5,FALSE)-VLOOKUP($A20,main!$A$3:$H$102,6,FALSE)&gt;=(VLOOKUP(VLOOKUP(BX$1,main!$A$3:$H$102,8,FALSE),main!$K$26:$M$29,2,FALSE)+VLOOKUP(VLOOKUP(BX$1,main!$A$3:$H$102,7,FALSE),main!$K$19:$O$22,MATCH(VLOOKUP($A20,main!$A$3:$H$102,8,FALSE),main!$K$18:$O$18,0))))),1,0)</f>
        <v>0</v>
      </c>
      <c r="BY20">
        <f>IF((AND(VLOOKUP(BY$1,main!$A$3:$H$102,5,FALSE)-VLOOKUP($A20,main!$A$3:$H$102,6,FALSE)&gt;=(VLOOKUP(VLOOKUP(BY$1,main!$A$3:$H$102,8,FALSE),main!$K$26:$M$29,2,FALSE)+VLOOKUP(VLOOKUP(BY$1,main!$A$3:$H$102,7,FALSE),main!$K$19:$O$22,MATCH(VLOOKUP($A20,main!$A$3:$H$102,8,FALSE),main!$K$18:$O$18,0))))),1,0)</f>
        <v>0</v>
      </c>
      <c r="BZ20">
        <f>IF((AND(VLOOKUP(BZ$1,main!$A$3:$H$102,5,FALSE)-VLOOKUP($A20,main!$A$3:$H$102,6,FALSE)&gt;=(VLOOKUP(VLOOKUP(BZ$1,main!$A$3:$H$102,8,FALSE),main!$K$26:$M$29,2,FALSE)+VLOOKUP(VLOOKUP(BZ$1,main!$A$3:$H$102,7,FALSE),main!$K$19:$O$22,MATCH(VLOOKUP($A20,main!$A$3:$H$102,8,FALSE),main!$K$18:$O$18,0))))),1,0)</f>
        <v>0</v>
      </c>
      <c r="CA20">
        <f>IF((AND(VLOOKUP(CA$1,main!$A$3:$H$102,5,FALSE)-VLOOKUP($A20,main!$A$3:$H$102,6,FALSE)&gt;=(VLOOKUP(VLOOKUP(CA$1,main!$A$3:$H$102,8,FALSE),main!$K$26:$M$29,2,FALSE)+VLOOKUP(VLOOKUP(CA$1,main!$A$3:$H$102,7,FALSE),main!$K$19:$O$22,MATCH(VLOOKUP($A20,main!$A$3:$H$102,8,FALSE),main!$K$18:$O$18,0))))),1,0)</f>
        <v>0</v>
      </c>
      <c r="CB20">
        <f>IF((AND(VLOOKUP(CB$1,main!$A$3:$H$102,5,FALSE)-VLOOKUP($A20,main!$A$3:$H$102,6,FALSE)&gt;=(VLOOKUP(VLOOKUP(CB$1,main!$A$3:$H$102,8,FALSE),main!$K$26:$M$29,2,FALSE)+VLOOKUP(VLOOKUP(CB$1,main!$A$3:$H$102,7,FALSE),main!$K$19:$O$22,MATCH(VLOOKUP($A20,main!$A$3:$H$102,8,FALSE),main!$K$18:$O$18,0))))),1,0)</f>
        <v>0</v>
      </c>
      <c r="CC20">
        <f>IF((AND(VLOOKUP(CC$1,main!$A$3:$H$102,5,FALSE)-VLOOKUP($A20,main!$A$3:$H$102,6,FALSE)&gt;=(VLOOKUP(VLOOKUP(CC$1,main!$A$3:$H$102,8,FALSE),main!$K$26:$M$29,2,FALSE)+VLOOKUP(VLOOKUP(CC$1,main!$A$3:$H$102,7,FALSE),main!$K$19:$O$22,MATCH(VLOOKUP($A20,main!$A$3:$H$102,8,FALSE),main!$K$18:$O$18,0))))),1,0)</f>
        <v>0</v>
      </c>
      <c r="CD20">
        <f>IF((AND(VLOOKUP(CD$1,main!$A$3:$H$102,5,FALSE)-VLOOKUP($A20,main!$A$3:$H$102,6,FALSE)&gt;=(VLOOKUP(VLOOKUP(CD$1,main!$A$3:$H$102,8,FALSE),main!$K$26:$M$29,2,FALSE)+VLOOKUP(VLOOKUP(CD$1,main!$A$3:$H$102,7,FALSE),main!$K$19:$O$22,MATCH(VLOOKUP($A20,main!$A$3:$H$102,8,FALSE),main!$K$18:$O$18,0))))),1,0)</f>
        <v>0</v>
      </c>
      <c r="CE20">
        <f>IF((AND(VLOOKUP(CE$1,main!$A$3:$H$102,5,FALSE)-VLOOKUP($A20,main!$A$3:$H$102,6,FALSE)&gt;=(VLOOKUP(VLOOKUP(CE$1,main!$A$3:$H$102,8,FALSE),main!$K$26:$M$29,2,FALSE)+VLOOKUP(VLOOKUP(CE$1,main!$A$3:$H$102,7,FALSE),main!$K$19:$O$22,MATCH(VLOOKUP($A20,main!$A$3:$H$102,8,FALSE),main!$K$18:$O$18,0))))),1,0)</f>
        <v>0</v>
      </c>
      <c r="CF20">
        <f>IF((AND(VLOOKUP(CF$1,main!$A$3:$H$102,5,FALSE)-VLOOKUP($A20,main!$A$3:$H$102,6,FALSE)&gt;=(VLOOKUP(VLOOKUP(CF$1,main!$A$3:$H$102,8,FALSE),main!$K$26:$M$29,2,FALSE)+VLOOKUP(VLOOKUP(CF$1,main!$A$3:$H$102,7,FALSE),main!$K$19:$O$22,MATCH(VLOOKUP($A20,main!$A$3:$H$102,8,FALSE),main!$K$18:$O$18,0))))),1,0)</f>
        <v>0</v>
      </c>
      <c r="CG20">
        <f>IF((AND(VLOOKUP(CG$1,main!$A$3:$H$102,5,FALSE)-VLOOKUP($A20,main!$A$3:$H$102,6,FALSE)&gt;=(VLOOKUP(VLOOKUP(CG$1,main!$A$3:$H$102,8,FALSE),main!$K$26:$M$29,2,FALSE)+VLOOKUP(VLOOKUP(CG$1,main!$A$3:$H$102,7,FALSE),main!$K$19:$O$22,MATCH(VLOOKUP($A20,main!$A$3:$H$102,8,FALSE),main!$K$18:$O$18,0))))),1,0)</f>
        <v>0</v>
      </c>
      <c r="CH20">
        <f>IF((AND(VLOOKUP(CH$1,main!$A$3:$H$102,5,FALSE)-VLOOKUP($A20,main!$A$3:$H$102,6,FALSE)&gt;=(VLOOKUP(VLOOKUP(CH$1,main!$A$3:$H$102,8,FALSE),main!$K$26:$M$29,2,FALSE)+VLOOKUP(VLOOKUP(CH$1,main!$A$3:$H$102,7,FALSE),main!$K$19:$O$22,MATCH(VLOOKUP($A20,main!$A$3:$H$102,8,FALSE),main!$K$18:$O$18,0))))),1,0)</f>
        <v>0</v>
      </c>
      <c r="CI20">
        <f>IF((AND(VLOOKUP(CI$1,main!$A$3:$H$102,5,FALSE)-VLOOKUP($A20,main!$A$3:$H$102,6,FALSE)&gt;=(VLOOKUP(VLOOKUP(CI$1,main!$A$3:$H$102,8,FALSE),main!$K$26:$M$29,2,FALSE)+VLOOKUP(VLOOKUP(CI$1,main!$A$3:$H$102,7,FALSE),main!$K$19:$O$22,MATCH(VLOOKUP($A20,main!$A$3:$H$102,8,FALSE),main!$K$18:$O$18,0))))),1,0)</f>
        <v>1</v>
      </c>
      <c r="CJ20">
        <f>IF((AND(VLOOKUP(CJ$1,main!$A$3:$H$102,5,FALSE)-VLOOKUP($A20,main!$A$3:$H$102,6,FALSE)&gt;=(VLOOKUP(VLOOKUP(CJ$1,main!$A$3:$H$102,8,FALSE),main!$K$26:$M$29,2,FALSE)+VLOOKUP(VLOOKUP(CJ$1,main!$A$3:$H$102,7,FALSE),main!$K$19:$O$22,MATCH(VLOOKUP($A20,main!$A$3:$H$102,8,FALSE),main!$K$18:$O$18,0))))),1,0)</f>
        <v>0</v>
      </c>
      <c r="CK20">
        <f>IF((AND(VLOOKUP(CK$1,main!$A$3:$H$102,5,FALSE)-VLOOKUP($A20,main!$A$3:$H$102,6,FALSE)&gt;=(VLOOKUP(VLOOKUP(CK$1,main!$A$3:$H$102,8,FALSE),main!$K$26:$M$29,2,FALSE)+VLOOKUP(VLOOKUP(CK$1,main!$A$3:$H$102,7,FALSE),main!$K$19:$O$22,MATCH(VLOOKUP($A20,main!$A$3:$H$102,8,FALSE),main!$K$18:$O$18,0))))),1,0)</f>
        <v>0</v>
      </c>
      <c r="CL20">
        <f>IF((AND(VLOOKUP(CL$1,main!$A$3:$H$102,5,FALSE)-VLOOKUP($A20,main!$A$3:$H$102,6,FALSE)&gt;=(VLOOKUP(VLOOKUP(CL$1,main!$A$3:$H$102,8,FALSE),main!$K$26:$M$29,2,FALSE)+VLOOKUP(VLOOKUP(CL$1,main!$A$3:$H$102,7,FALSE),main!$K$19:$O$22,MATCH(VLOOKUP($A20,main!$A$3:$H$102,8,FALSE),main!$K$18:$O$18,0))))),1,0)</f>
        <v>0</v>
      </c>
      <c r="CM20">
        <f>IF((AND(VLOOKUP(CM$1,main!$A$3:$H$102,5,FALSE)-VLOOKUP($A20,main!$A$3:$H$102,6,FALSE)&gt;=(VLOOKUP(VLOOKUP(CM$1,main!$A$3:$H$102,8,FALSE),main!$K$26:$M$29,2,FALSE)+VLOOKUP(VLOOKUP(CM$1,main!$A$3:$H$102,7,FALSE),main!$K$19:$O$22,MATCH(VLOOKUP($A20,main!$A$3:$H$102,8,FALSE),main!$K$18:$O$18,0))))),1,0)</f>
        <v>0</v>
      </c>
      <c r="CN20">
        <f>IF((AND(VLOOKUP(CN$1,main!$A$3:$H$102,5,FALSE)-VLOOKUP($A20,main!$A$3:$H$102,6,FALSE)&gt;=(VLOOKUP(VLOOKUP(CN$1,main!$A$3:$H$102,8,FALSE),main!$K$26:$M$29,2,FALSE)+VLOOKUP(VLOOKUP(CN$1,main!$A$3:$H$102,7,FALSE),main!$K$19:$O$22,MATCH(VLOOKUP($A20,main!$A$3:$H$102,8,FALSE),main!$K$18:$O$18,0))))),1,0)</f>
        <v>1</v>
      </c>
      <c r="CO20">
        <f>IF((AND(VLOOKUP(CO$1,main!$A$3:$H$102,5,FALSE)-VLOOKUP($A20,main!$A$3:$H$102,6,FALSE)&gt;=(VLOOKUP(VLOOKUP(CO$1,main!$A$3:$H$102,8,FALSE),main!$K$26:$M$29,2,FALSE)+VLOOKUP(VLOOKUP(CO$1,main!$A$3:$H$102,7,FALSE),main!$K$19:$O$22,MATCH(VLOOKUP($A20,main!$A$3:$H$102,8,FALSE),main!$K$18:$O$18,0))))),1,0)</f>
        <v>0</v>
      </c>
      <c r="CP20">
        <f>IF((AND(VLOOKUP(CP$1,main!$A$3:$H$102,5,FALSE)-VLOOKUP($A20,main!$A$3:$H$102,6,FALSE)&gt;=(VLOOKUP(VLOOKUP(CP$1,main!$A$3:$H$102,8,FALSE),main!$K$26:$M$29,2,FALSE)+VLOOKUP(VLOOKUP(CP$1,main!$A$3:$H$102,7,FALSE),main!$K$19:$O$22,MATCH(VLOOKUP($A20,main!$A$3:$H$102,8,FALSE),main!$K$18:$O$18,0))))),1,0)</f>
        <v>0</v>
      </c>
      <c r="CQ20">
        <f>IF((AND(VLOOKUP(CQ$1,main!$A$3:$H$102,5,FALSE)-VLOOKUP($A20,main!$A$3:$H$102,6,FALSE)&gt;=(VLOOKUP(VLOOKUP(CQ$1,main!$A$3:$H$102,8,FALSE),main!$K$26:$M$29,2,FALSE)+VLOOKUP(VLOOKUP(CQ$1,main!$A$3:$H$102,7,FALSE),main!$K$19:$O$22,MATCH(VLOOKUP($A20,main!$A$3:$H$102,8,FALSE),main!$K$18:$O$18,0))))),1,0)</f>
        <v>0</v>
      </c>
      <c r="CR20">
        <f>IF((AND(VLOOKUP(CR$1,main!$A$3:$H$102,5,FALSE)-VLOOKUP($A20,main!$A$3:$H$102,6,FALSE)&gt;=(VLOOKUP(VLOOKUP(CR$1,main!$A$3:$H$102,8,FALSE),main!$K$26:$M$29,2,FALSE)+VLOOKUP(VLOOKUP(CR$1,main!$A$3:$H$102,7,FALSE),main!$K$19:$O$22,MATCH(VLOOKUP($A20,main!$A$3:$H$102,8,FALSE),main!$K$18:$O$18,0))))),1,0)</f>
        <v>0</v>
      </c>
      <c r="CS20">
        <f>IF((AND(VLOOKUP(CS$1,main!$A$3:$H$102,5,FALSE)-VLOOKUP($A20,main!$A$3:$H$102,6,FALSE)&gt;=(VLOOKUP(VLOOKUP(CS$1,main!$A$3:$H$102,8,FALSE),main!$K$26:$M$29,2,FALSE)+VLOOKUP(VLOOKUP(CS$1,main!$A$3:$H$102,7,FALSE),main!$K$19:$O$22,MATCH(VLOOKUP($A20,main!$A$3:$H$102,8,FALSE),main!$K$18:$O$18,0))))),1,0)</f>
        <v>0</v>
      </c>
      <c r="CT20">
        <f>IF((AND(VLOOKUP(CT$1,main!$A$3:$H$102,5,FALSE)-VLOOKUP($A20,main!$A$3:$H$102,6,FALSE)&gt;=(VLOOKUP(VLOOKUP(CT$1,main!$A$3:$H$102,8,FALSE),main!$K$26:$M$29,2,FALSE)+VLOOKUP(VLOOKUP(CT$1,main!$A$3:$H$102,7,FALSE),main!$K$19:$O$22,MATCH(VLOOKUP($A20,main!$A$3:$H$102,8,FALSE),main!$K$18:$O$18,0))))),1,0)</f>
        <v>0</v>
      </c>
      <c r="CU20">
        <f>IF((AND(VLOOKUP(CU$1,main!$A$3:$H$102,5,FALSE)-VLOOKUP($A20,main!$A$3:$H$102,6,FALSE)&gt;=(VLOOKUP(VLOOKUP(CU$1,main!$A$3:$H$102,8,FALSE),main!$K$26:$M$29,2,FALSE)+VLOOKUP(VLOOKUP(CU$1,main!$A$3:$H$102,7,FALSE),main!$K$19:$O$22,MATCH(VLOOKUP($A20,main!$A$3:$H$102,8,FALSE),main!$K$18:$O$18,0))))),1,0)</f>
        <v>0</v>
      </c>
      <c r="CV20">
        <f>IF((AND(VLOOKUP(CV$1,main!$A$3:$H$102,5,FALSE)-VLOOKUP($A20,main!$A$3:$H$102,6,FALSE)&gt;=(VLOOKUP(VLOOKUP(CV$1,main!$A$3:$H$102,8,FALSE),main!$K$26:$M$29,2,FALSE)+VLOOKUP(VLOOKUP(CV$1,main!$A$3:$H$102,7,FALSE),main!$K$19:$O$22,MATCH(VLOOKUP($A20,main!$A$3:$H$102,8,FALSE),main!$K$18:$O$18,0))))),1,0)</f>
        <v>0</v>
      </c>
      <c r="CW20">
        <f>IF((AND(VLOOKUP(CW$1,main!$A$3:$H$102,5,FALSE)-VLOOKUP($A20,main!$A$3:$H$102,6,FALSE)&gt;=(VLOOKUP(VLOOKUP(CW$1,main!$A$3:$H$102,8,FALSE),main!$K$26:$M$29,2,FALSE)+VLOOKUP(VLOOKUP(CW$1,main!$A$3:$H$102,7,FALSE),main!$K$19:$O$22,MATCH(VLOOKUP($A20,main!$A$3:$H$102,8,FALSE),main!$K$18:$O$18,0))))),1,0)</f>
        <v>0</v>
      </c>
      <c r="CX20">
        <f>IF((AND(VLOOKUP(CX$1,main!$A$3:$H$102,5,FALSE)-VLOOKUP($A20,main!$A$3:$H$102,6,FALSE)&gt;=(VLOOKUP(VLOOKUP(CX$1,main!$A$3:$H$102,8,FALSE),main!$K$26:$M$29,2,FALSE)+VLOOKUP(VLOOKUP(CX$1,main!$A$3:$H$102,7,FALSE),main!$K$19:$O$22,MATCH(VLOOKUP($A20,main!$A$3:$H$102,8,FALSE),main!$K$18:$O$18,0))))),1,0)</f>
        <v>0</v>
      </c>
    </row>
    <row r="21" spans="1:102" x14ac:dyDescent="0.25">
      <c r="A21" s="1">
        <v>19</v>
      </c>
      <c r="B21">
        <v>1</v>
      </c>
      <c r="C21">
        <f>IF((AND(VLOOKUP(C$1,main!$A$3:$H$102,5,FALSE)-VLOOKUP($A21,main!$A$3:$H$102,6,FALSE)&gt;=(VLOOKUP(VLOOKUP(C$1,main!$A$3:$H$102,8,FALSE),main!$K$26:$M$29,2,FALSE)+VLOOKUP(VLOOKUP(C$1,main!$A$3:$H$102,7,FALSE),main!$K$19:$O$22,MATCH(VLOOKUP($A21,main!$A$3:$H$102,8,FALSE),main!$K$18:$O$18,0))))),1,0)</f>
        <v>0</v>
      </c>
      <c r="D21">
        <f>IF((AND(VLOOKUP(D$1,main!$A$3:$H$102,5,FALSE)-VLOOKUP($A21,main!$A$3:$H$102,6,FALSE)&gt;=(VLOOKUP(VLOOKUP(D$1,main!$A$3:$H$102,8,FALSE),main!$K$26:$M$29,2,FALSE)+VLOOKUP(VLOOKUP(D$1,main!$A$3:$H$102,7,FALSE),main!$K$19:$O$22,MATCH(VLOOKUP($A21,main!$A$3:$H$102,8,FALSE),main!$K$18:$O$18,0))))),1,0)</f>
        <v>0</v>
      </c>
      <c r="E21">
        <f>IF((AND(VLOOKUP(E$1,main!$A$3:$H$102,5,FALSE)-VLOOKUP($A21,main!$A$3:$H$102,6,FALSE)&gt;=(VLOOKUP(VLOOKUP(E$1,main!$A$3:$H$102,8,FALSE),main!$K$26:$M$29,2,FALSE)+VLOOKUP(VLOOKUP(E$1,main!$A$3:$H$102,7,FALSE),main!$K$19:$O$22,MATCH(VLOOKUP($A21,main!$A$3:$H$102,8,FALSE),main!$K$18:$O$18,0))))),1,0)</f>
        <v>0</v>
      </c>
      <c r="F21">
        <f>IF((AND(VLOOKUP(F$1,main!$A$3:$H$102,5,FALSE)-VLOOKUP($A21,main!$A$3:$H$102,6,FALSE)&gt;=(VLOOKUP(VLOOKUP(F$1,main!$A$3:$H$102,8,FALSE),main!$K$26:$M$29,2,FALSE)+VLOOKUP(VLOOKUP(F$1,main!$A$3:$H$102,7,FALSE),main!$K$19:$O$22,MATCH(VLOOKUP($A21,main!$A$3:$H$102,8,FALSE),main!$K$18:$O$18,0))))),1,0)</f>
        <v>0</v>
      </c>
      <c r="G21">
        <f>IF((AND(VLOOKUP(G$1,main!$A$3:$H$102,5,FALSE)-VLOOKUP($A21,main!$A$3:$H$102,6,FALSE)&gt;=(VLOOKUP(VLOOKUP(G$1,main!$A$3:$H$102,8,FALSE),main!$K$26:$M$29,2,FALSE)+VLOOKUP(VLOOKUP(G$1,main!$A$3:$H$102,7,FALSE),main!$K$19:$O$22,MATCH(VLOOKUP($A21,main!$A$3:$H$102,8,FALSE),main!$K$18:$O$18,0))))),1,0)</f>
        <v>0</v>
      </c>
      <c r="H21">
        <f>IF((AND(VLOOKUP(H$1,main!$A$3:$H$102,5,FALSE)-VLOOKUP($A21,main!$A$3:$H$102,6,FALSE)&gt;=(VLOOKUP(VLOOKUP(H$1,main!$A$3:$H$102,8,FALSE),main!$K$26:$M$29,2,FALSE)+VLOOKUP(VLOOKUP(H$1,main!$A$3:$H$102,7,FALSE),main!$K$19:$O$22,MATCH(VLOOKUP($A21,main!$A$3:$H$102,8,FALSE),main!$K$18:$O$18,0))))),1,0)</f>
        <v>0</v>
      </c>
      <c r="I21">
        <f>IF((AND(VLOOKUP(I$1,main!$A$3:$H$102,5,FALSE)-VLOOKUP($A21,main!$A$3:$H$102,6,FALSE)&gt;=(VLOOKUP(VLOOKUP(I$1,main!$A$3:$H$102,8,FALSE),main!$K$26:$M$29,2,FALSE)+VLOOKUP(VLOOKUP(I$1,main!$A$3:$H$102,7,FALSE),main!$K$19:$O$22,MATCH(VLOOKUP($A21,main!$A$3:$H$102,8,FALSE),main!$K$18:$O$18,0))))),1,0)</f>
        <v>0</v>
      </c>
      <c r="J21">
        <f>IF((AND(VLOOKUP(J$1,main!$A$3:$H$102,5,FALSE)-VLOOKUP($A21,main!$A$3:$H$102,6,FALSE)&gt;=(VLOOKUP(VLOOKUP(J$1,main!$A$3:$H$102,8,FALSE),main!$K$26:$M$29,2,FALSE)+VLOOKUP(VLOOKUP(J$1,main!$A$3:$H$102,7,FALSE),main!$K$19:$O$22,MATCH(VLOOKUP($A21,main!$A$3:$H$102,8,FALSE),main!$K$18:$O$18,0))))),1,0)</f>
        <v>0</v>
      </c>
      <c r="K21">
        <f>IF((AND(VLOOKUP(K$1,main!$A$3:$H$102,5,FALSE)-VLOOKUP($A21,main!$A$3:$H$102,6,FALSE)&gt;=(VLOOKUP(VLOOKUP(K$1,main!$A$3:$H$102,8,FALSE),main!$K$26:$M$29,2,FALSE)+VLOOKUP(VLOOKUP(K$1,main!$A$3:$H$102,7,FALSE),main!$K$19:$O$22,MATCH(VLOOKUP($A21,main!$A$3:$H$102,8,FALSE),main!$K$18:$O$18,0))))),1,0)</f>
        <v>0</v>
      </c>
      <c r="L21">
        <f>IF((AND(VLOOKUP(L$1,main!$A$3:$H$102,5,FALSE)-VLOOKUP($A21,main!$A$3:$H$102,6,FALSE)&gt;=(VLOOKUP(VLOOKUP(L$1,main!$A$3:$H$102,8,FALSE),main!$K$26:$M$29,2,FALSE)+VLOOKUP(VLOOKUP(L$1,main!$A$3:$H$102,7,FALSE),main!$K$19:$O$22,MATCH(VLOOKUP($A21,main!$A$3:$H$102,8,FALSE),main!$K$18:$O$18,0))))),1,0)</f>
        <v>0</v>
      </c>
      <c r="M21">
        <f>IF((AND(VLOOKUP(M$1,main!$A$3:$H$102,5,FALSE)-VLOOKUP($A21,main!$A$3:$H$102,6,FALSE)&gt;=(VLOOKUP(VLOOKUP(M$1,main!$A$3:$H$102,8,FALSE),main!$K$26:$M$29,2,FALSE)+VLOOKUP(VLOOKUP(M$1,main!$A$3:$H$102,7,FALSE),main!$K$19:$O$22,MATCH(VLOOKUP($A21,main!$A$3:$H$102,8,FALSE),main!$K$18:$O$18,0))))),1,0)</f>
        <v>0</v>
      </c>
      <c r="N21">
        <f>IF((AND(VLOOKUP(N$1,main!$A$3:$H$102,5,FALSE)-VLOOKUP($A21,main!$A$3:$H$102,6,FALSE)&gt;=(VLOOKUP(VLOOKUP(N$1,main!$A$3:$H$102,8,FALSE),main!$K$26:$M$29,2,FALSE)+VLOOKUP(VLOOKUP(N$1,main!$A$3:$H$102,7,FALSE),main!$K$19:$O$22,MATCH(VLOOKUP($A21,main!$A$3:$H$102,8,FALSE),main!$K$18:$O$18,0))))),1,0)</f>
        <v>0</v>
      </c>
      <c r="O21">
        <f>IF((AND(VLOOKUP(O$1,main!$A$3:$H$102,5,FALSE)-VLOOKUP($A21,main!$A$3:$H$102,6,FALSE)&gt;=(VLOOKUP(VLOOKUP(O$1,main!$A$3:$H$102,8,FALSE),main!$K$26:$M$29,2,FALSE)+VLOOKUP(VLOOKUP(O$1,main!$A$3:$H$102,7,FALSE),main!$K$19:$O$22,MATCH(VLOOKUP($A21,main!$A$3:$H$102,8,FALSE),main!$K$18:$O$18,0))))),1,0)</f>
        <v>0</v>
      </c>
      <c r="P21">
        <f>IF((AND(VLOOKUP(P$1,main!$A$3:$H$102,5,FALSE)-VLOOKUP($A21,main!$A$3:$H$102,6,FALSE)&gt;=(VLOOKUP(VLOOKUP(P$1,main!$A$3:$H$102,8,FALSE),main!$K$26:$M$29,2,FALSE)+VLOOKUP(VLOOKUP(P$1,main!$A$3:$H$102,7,FALSE),main!$K$19:$O$22,MATCH(VLOOKUP($A21,main!$A$3:$H$102,8,FALSE),main!$K$18:$O$18,0))))),1,0)</f>
        <v>0</v>
      </c>
      <c r="Q21">
        <f>IF((AND(VLOOKUP(Q$1,main!$A$3:$H$102,5,FALSE)-VLOOKUP($A21,main!$A$3:$H$102,6,FALSE)&gt;=(VLOOKUP(VLOOKUP(Q$1,main!$A$3:$H$102,8,FALSE),main!$K$26:$M$29,2,FALSE)+VLOOKUP(VLOOKUP(Q$1,main!$A$3:$H$102,7,FALSE),main!$K$19:$O$22,MATCH(VLOOKUP($A21,main!$A$3:$H$102,8,FALSE),main!$K$18:$O$18,0))))),1,0)</f>
        <v>0</v>
      </c>
      <c r="R21">
        <f>IF((AND(VLOOKUP(R$1,main!$A$3:$H$102,5,FALSE)-VLOOKUP($A21,main!$A$3:$H$102,6,FALSE)&gt;=(VLOOKUP(VLOOKUP(R$1,main!$A$3:$H$102,8,FALSE),main!$K$26:$M$29,2,FALSE)+VLOOKUP(VLOOKUP(R$1,main!$A$3:$H$102,7,FALSE),main!$K$19:$O$22,MATCH(VLOOKUP($A21,main!$A$3:$H$102,8,FALSE),main!$K$18:$O$18,0))))),1,0)</f>
        <v>0</v>
      </c>
      <c r="S21">
        <f>IF((AND(VLOOKUP(S$1,main!$A$3:$H$102,5,FALSE)-VLOOKUP($A21,main!$A$3:$H$102,6,FALSE)&gt;=(VLOOKUP(VLOOKUP(S$1,main!$A$3:$H$102,8,FALSE),main!$K$26:$M$29,2,FALSE)+VLOOKUP(VLOOKUP(S$1,main!$A$3:$H$102,7,FALSE),main!$K$19:$O$22,MATCH(VLOOKUP($A21,main!$A$3:$H$102,8,FALSE),main!$K$18:$O$18,0))))),1,0)</f>
        <v>0</v>
      </c>
      <c r="T21">
        <f>IF((AND(VLOOKUP(T$1,main!$A$3:$H$102,5,FALSE)-VLOOKUP($A21,main!$A$3:$H$102,6,FALSE)&gt;=(VLOOKUP(VLOOKUP(T$1,main!$A$3:$H$102,8,FALSE),main!$K$26:$M$29,2,FALSE)+VLOOKUP(VLOOKUP(T$1,main!$A$3:$H$102,7,FALSE),main!$K$19:$O$22,MATCH(VLOOKUP($A21,main!$A$3:$H$102,8,FALSE),main!$K$18:$O$18,0))))),1,0)</f>
        <v>0</v>
      </c>
      <c r="U21">
        <f>IF((AND(VLOOKUP(U$1,main!$A$3:$H$102,5,FALSE)-VLOOKUP($A21,main!$A$3:$H$102,6,FALSE)&gt;=(VLOOKUP(VLOOKUP(U$1,main!$A$3:$H$102,8,FALSE),main!$K$26:$M$29,2,FALSE)+VLOOKUP(VLOOKUP(U$1,main!$A$3:$H$102,7,FALSE),main!$K$19:$O$22,MATCH(VLOOKUP($A21,main!$A$3:$H$102,8,FALSE),main!$K$18:$O$18,0))))),1,0)</f>
        <v>0</v>
      </c>
      <c r="V21">
        <f>IF((AND(VLOOKUP(V$1,main!$A$3:$H$102,5,FALSE)-VLOOKUP($A21,main!$A$3:$H$102,6,FALSE)&gt;=(VLOOKUP(VLOOKUP(V$1,main!$A$3:$H$102,8,FALSE),main!$K$26:$M$29,2,FALSE)+VLOOKUP(VLOOKUP(V$1,main!$A$3:$H$102,7,FALSE),main!$K$19:$O$22,MATCH(VLOOKUP($A21,main!$A$3:$H$102,8,FALSE),main!$K$18:$O$18,0))))),1,0)</f>
        <v>0</v>
      </c>
      <c r="W21">
        <f>IF((AND(VLOOKUP(W$1,main!$A$3:$H$102,5,FALSE)-VLOOKUP($A21,main!$A$3:$H$102,6,FALSE)&gt;=(VLOOKUP(VLOOKUP(W$1,main!$A$3:$H$102,8,FALSE),main!$K$26:$M$29,2,FALSE)+VLOOKUP(VLOOKUP(W$1,main!$A$3:$H$102,7,FALSE),main!$K$19:$O$22,MATCH(VLOOKUP($A21,main!$A$3:$H$102,8,FALSE),main!$K$18:$O$18,0))))),1,0)</f>
        <v>0</v>
      </c>
      <c r="X21">
        <f>IF((AND(VLOOKUP(X$1,main!$A$3:$H$102,5,FALSE)-VLOOKUP($A21,main!$A$3:$H$102,6,FALSE)&gt;=(VLOOKUP(VLOOKUP(X$1,main!$A$3:$H$102,8,FALSE),main!$K$26:$M$29,2,FALSE)+VLOOKUP(VLOOKUP(X$1,main!$A$3:$H$102,7,FALSE),main!$K$19:$O$22,MATCH(VLOOKUP($A21,main!$A$3:$H$102,8,FALSE),main!$K$18:$O$18,0))))),1,0)</f>
        <v>0</v>
      </c>
      <c r="Y21">
        <f>IF((AND(VLOOKUP(Y$1,main!$A$3:$H$102,5,FALSE)-VLOOKUP($A21,main!$A$3:$H$102,6,FALSE)&gt;=(VLOOKUP(VLOOKUP(Y$1,main!$A$3:$H$102,8,FALSE),main!$K$26:$M$29,2,FALSE)+VLOOKUP(VLOOKUP(Y$1,main!$A$3:$H$102,7,FALSE),main!$K$19:$O$22,MATCH(VLOOKUP($A21,main!$A$3:$H$102,8,FALSE),main!$K$18:$O$18,0))))),1,0)</f>
        <v>0</v>
      </c>
      <c r="Z21">
        <f>IF((AND(VLOOKUP(Z$1,main!$A$3:$H$102,5,FALSE)-VLOOKUP($A21,main!$A$3:$H$102,6,FALSE)&gt;=(VLOOKUP(VLOOKUP(Z$1,main!$A$3:$H$102,8,FALSE),main!$K$26:$M$29,2,FALSE)+VLOOKUP(VLOOKUP(Z$1,main!$A$3:$H$102,7,FALSE),main!$K$19:$O$22,MATCH(VLOOKUP($A21,main!$A$3:$H$102,8,FALSE),main!$K$18:$O$18,0))))),1,0)</f>
        <v>0</v>
      </c>
      <c r="AA21">
        <f>IF((AND(VLOOKUP(AA$1,main!$A$3:$H$102,5,FALSE)-VLOOKUP($A21,main!$A$3:$H$102,6,FALSE)&gt;=(VLOOKUP(VLOOKUP(AA$1,main!$A$3:$H$102,8,FALSE),main!$K$26:$M$29,2,FALSE)+VLOOKUP(VLOOKUP(AA$1,main!$A$3:$H$102,7,FALSE),main!$K$19:$O$22,MATCH(VLOOKUP($A21,main!$A$3:$H$102,8,FALSE),main!$K$18:$O$18,0))))),1,0)</f>
        <v>0</v>
      </c>
      <c r="AB21">
        <f>IF((AND(VLOOKUP(AB$1,main!$A$3:$H$102,5,FALSE)-VLOOKUP($A21,main!$A$3:$H$102,6,FALSE)&gt;=(VLOOKUP(VLOOKUP(AB$1,main!$A$3:$H$102,8,FALSE),main!$K$26:$M$29,2,FALSE)+VLOOKUP(VLOOKUP(AB$1,main!$A$3:$H$102,7,FALSE),main!$K$19:$O$22,MATCH(VLOOKUP($A21,main!$A$3:$H$102,8,FALSE),main!$K$18:$O$18,0))))),1,0)</f>
        <v>0</v>
      </c>
      <c r="AC21">
        <f>IF((AND(VLOOKUP(AC$1,main!$A$3:$H$102,5,FALSE)-VLOOKUP($A21,main!$A$3:$H$102,6,FALSE)&gt;=(VLOOKUP(VLOOKUP(AC$1,main!$A$3:$H$102,8,FALSE),main!$K$26:$M$29,2,FALSE)+VLOOKUP(VLOOKUP(AC$1,main!$A$3:$H$102,7,FALSE),main!$K$19:$O$22,MATCH(VLOOKUP($A21,main!$A$3:$H$102,8,FALSE),main!$K$18:$O$18,0))))),1,0)</f>
        <v>0</v>
      </c>
      <c r="AD21">
        <f>IF((AND(VLOOKUP(AD$1,main!$A$3:$H$102,5,FALSE)-VLOOKUP($A21,main!$A$3:$H$102,6,FALSE)&gt;=(VLOOKUP(VLOOKUP(AD$1,main!$A$3:$H$102,8,FALSE),main!$K$26:$M$29,2,FALSE)+VLOOKUP(VLOOKUP(AD$1,main!$A$3:$H$102,7,FALSE),main!$K$19:$O$22,MATCH(VLOOKUP($A21,main!$A$3:$H$102,8,FALSE),main!$K$18:$O$18,0))))),1,0)</f>
        <v>0</v>
      </c>
      <c r="AE21">
        <f>IF((AND(VLOOKUP(AE$1,main!$A$3:$H$102,5,FALSE)-VLOOKUP($A21,main!$A$3:$H$102,6,FALSE)&gt;=(VLOOKUP(VLOOKUP(AE$1,main!$A$3:$H$102,8,FALSE),main!$K$26:$M$29,2,FALSE)+VLOOKUP(VLOOKUP(AE$1,main!$A$3:$H$102,7,FALSE),main!$K$19:$O$22,MATCH(VLOOKUP($A21,main!$A$3:$H$102,8,FALSE),main!$K$18:$O$18,0))))),1,0)</f>
        <v>0</v>
      </c>
      <c r="AF21">
        <f>IF((AND(VLOOKUP(AF$1,main!$A$3:$H$102,5,FALSE)-VLOOKUP($A21,main!$A$3:$H$102,6,FALSE)&gt;=(VLOOKUP(VLOOKUP(AF$1,main!$A$3:$H$102,8,FALSE),main!$K$26:$M$29,2,FALSE)+VLOOKUP(VLOOKUP(AF$1,main!$A$3:$H$102,7,FALSE),main!$K$19:$O$22,MATCH(VLOOKUP($A21,main!$A$3:$H$102,8,FALSE),main!$K$18:$O$18,0))))),1,0)</f>
        <v>0</v>
      </c>
      <c r="AG21">
        <f>IF((AND(VLOOKUP(AG$1,main!$A$3:$H$102,5,FALSE)-VLOOKUP($A21,main!$A$3:$H$102,6,FALSE)&gt;=(VLOOKUP(VLOOKUP(AG$1,main!$A$3:$H$102,8,FALSE),main!$K$26:$M$29,2,FALSE)+VLOOKUP(VLOOKUP(AG$1,main!$A$3:$H$102,7,FALSE),main!$K$19:$O$22,MATCH(VLOOKUP($A21,main!$A$3:$H$102,8,FALSE),main!$K$18:$O$18,0))))),1,0)</f>
        <v>0</v>
      </c>
      <c r="AH21">
        <f>IF((AND(VLOOKUP(AH$1,main!$A$3:$H$102,5,FALSE)-VLOOKUP($A21,main!$A$3:$H$102,6,FALSE)&gt;=(VLOOKUP(VLOOKUP(AH$1,main!$A$3:$H$102,8,FALSE),main!$K$26:$M$29,2,FALSE)+VLOOKUP(VLOOKUP(AH$1,main!$A$3:$H$102,7,FALSE),main!$K$19:$O$22,MATCH(VLOOKUP($A21,main!$A$3:$H$102,8,FALSE),main!$K$18:$O$18,0))))),1,0)</f>
        <v>0</v>
      </c>
      <c r="AI21">
        <f>IF((AND(VLOOKUP(AI$1,main!$A$3:$H$102,5,FALSE)-VLOOKUP($A21,main!$A$3:$H$102,6,FALSE)&gt;=(VLOOKUP(VLOOKUP(AI$1,main!$A$3:$H$102,8,FALSE),main!$K$26:$M$29,2,FALSE)+VLOOKUP(VLOOKUP(AI$1,main!$A$3:$H$102,7,FALSE),main!$K$19:$O$22,MATCH(VLOOKUP($A21,main!$A$3:$H$102,8,FALSE),main!$K$18:$O$18,0))))),1,0)</f>
        <v>0</v>
      </c>
      <c r="AJ21">
        <f>IF((AND(VLOOKUP(AJ$1,main!$A$3:$H$102,5,FALSE)-VLOOKUP($A21,main!$A$3:$H$102,6,FALSE)&gt;=(VLOOKUP(VLOOKUP(AJ$1,main!$A$3:$H$102,8,FALSE),main!$K$26:$M$29,2,FALSE)+VLOOKUP(VLOOKUP(AJ$1,main!$A$3:$H$102,7,FALSE),main!$K$19:$O$22,MATCH(VLOOKUP($A21,main!$A$3:$H$102,8,FALSE),main!$K$18:$O$18,0))))),1,0)</f>
        <v>0</v>
      </c>
      <c r="AK21">
        <f>IF((AND(VLOOKUP(AK$1,main!$A$3:$H$102,5,FALSE)-VLOOKUP($A21,main!$A$3:$H$102,6,FALSE)&gt;=(VLOOKUP(VLOOKUP(AK$1,main!$A$3:$H$102,8,FALSE),main!$K$26:$M$29,2,FALSE)+VLOOKUP(VLOOKUP(AK$1,main!$A$3:$H$102,7,FALSE),main!$K$19:$O$22,MATCH(VLOOKUP($A21,main!$A$3:$H$102,8,FALSE),main!$K$18:$O$18,0))))),1,0)</f>
        <v>0</v>
      </c>
      <c r="AL21">
        <f>IF((AND(VLOOKUP(AL$1,main!$A$3:$H$102,5,FALSE)-VLOOKUP($A21,main!$A$3:$H$102,6,FALSE)&gt;=(VLOOKUP(VLOOKUP(AL$1,main!$A$3:$H$102,8,FALSE),main!$K$26:$M$29,2,FALSE)+VLOOKUP(VLOOKUP(AL$1,main!$A$3:$H$102,7,FALSE),main!$K$19:$O$22,MATCH(VLOOKUP($A21,main!$A$3:$H$102,8,FALSE),main!$K$18:$O$18,0))))),1,0)</f>
        <v>0</v>
      </c>
      <c r="AM21">
        <f>IF((AND(VLOOKUP(AM$1,main!$A$3:$H$102,5,FALSE)-VLOOKUP($A21,main!$A$3:$H$102,6,FALSE)&gt;=(VLOOKUP(VLOOKUP(AM$1,main!$A$3:$H$102,8,FALSE),main!$K$26:$M$29,2,FALSE)+VLOOKUP(VLOOKUP(AM$1,main!$A$3:$H$102,7,FALSE),main!$K$19:$O$22,MATCH(VLOOKUP($A21,main!$A$3:$H$102,8,FALSE),main!$K$18:$O$18,0))))),1,0)</f>
        <v>0</v>
      </c>
      <c r="AN21">
        <f>IF((AND(VLOOKUP(AN$1,main!$A$3:$H$102,5,FALSE)-VLOOKUP($A21,main!$A$3:$H$102,6,FALSE)&gt;=(VLOOKUP(VLOOKUP(AN$1,main!$A$3:$H$102,8,FALSE),main!$K$26:$M$29,2,FALSE)+VLOOKUP(VLOOKUP(AN$1,main!$A$3:$H$102,7,FALSE),main!$K$19:$O$22,MATCH(VLOOKUP($A21,main!$A$3:$H$102,8,FALSE),main!$K$18:$O$18,0))))),1,0)</f>
        <v>0</v>
      </c>
      <c r="AO21">
        <f>IF((AND(VLOOKUP(AO$1,main!$A$3:$H$102,5,FALSE)-VLOOKUP($A21,main!$A$3:$H$102,6,FALSE)&gt;=(VLOOKUP(VLOOKUP(AO$1,main!$A$3:$H$102,8,FALSE),main!$K$26:$M$29,2,FALSE)+VLOOKUP(VLOOKUP(AO$1,main!$A$3:$H$102,7,FALSE),main!$K$19:$O$22,MATCH(VLOOKUP($A21,main!$A$3:$H$102,8,FALSE),main!$K$18:$O$18,0))))),1,0)</f>
        <v>0</v>
      </c>
      <c r="AP21">
        <f>IF((AND(VLOOKUP(AP$1,main!$A$3:$H$102,5,FALSE)-VLOOKUP($A21,main!$A$3:$H$102,6,FALSE)&gt;=(VLOOKUP(VLOOKUP(AP$1,main!$A$3:$H$102,8,FALSE),main!$K$26:$M$29,2,FALSE)+VLOOKUP(VLOOKUP(AP$1,main!$A$3:$H$102,7,FALSE),main!$K$19:$O$22,MATCH(VLOOKUP($A21,main!$A$3:$H$102,8,FALSE),main!$K$18:$O$18,0))))),1,0)</f>
        <v>0</v>
      </c>
      <c r="AQ21">
        <f>IF((AND(VLOOKUP(AQ$1,main!$A$3:$H$102,5,FALSE)-VLOOKUP($A21,main!$A$3:$H$102,6,FALSE)&gt;=(VLOOKUP(VLOOKUP(AQ$1,main!$A$3:$H$102,8,FALSE),main!$K$26:$M$29,2,FALSE)+VLOOKUP(VLOOKUP(AQ$1,main!$A$3:$H$102,7,FALSE),main!$K$19:$O$22,MATCH(VLOOKUP($A21,main!$A$3:$H$102,8,FALSE),main!$K$18:$O$18,0))))),1,0)</f>
        <v>0</v>
      </c>
      <c r="AR21">
        <f>IF((AND(VLOOKUP(AR$1,main!$A$3:$H$102,5,FALSE)-VLOOKUP($A21,main!$A$3:$H$102,6,FALSE)&gt;=(VLOOKUP(VLOOKUP(AR$1,main!$A$3:$H$102,8,FALSE),main!$K$26:$M$29,2,FALSE)+VLOOKUP(VLOOKUP(AR$1,main!$A$3:$H$102,7,FALSE),main!$K$19:$O$22,MATCH(VLOOKUP($A21,main!$A$3:$H$102,8,FALSE),main!$K$18:$O$18,0))))),1,0)</f>
        <v>0</v>
      </c>
      <c r="AS21">
        <f>IF((AND(VLOOKUP(AS$1,main!$A$3:$H$102,5,FALSE)-VLOOKUP($A21,main!$A$3:$H$102,6,FALSE)&gt;=(VLOOKUP(VLOOKUP(AS$1,main!$A$3:$H$102,8,FALSE),main!$K$26:$M$29,2,FALSE)+VLOOKUP(VLOOKUP(AS$1,main!$A$3:$H$102,7,FALSE),main!$K$19:$O$22,MATCH(VLOOKUP($A21,main!$A$3:$H$102,8,FALSE),main!$K$18:$O$18,0))))),1,0)</f>
        <v>0</v>
      </c>
      <c r="AT21">
        <f>IF((AND(VLOOKUP(AT$1,main!$A$3:$H$102,5,FALSE)-VLOOKUP($A21,main!$A$3:$H$102,6,FALSE)&gt;=(VLOOKUP(VLOOKUP(AT$1,main!$A$3:$H$102,8,FALSE),main!$K$26:$M$29,2,FALSE)+VLOOKUP(VLOOKUP(AT$1,main!$A$3:$H$102,7,FALSE),main!$K$19:$O$22,MATCH(VLOOKUP($A21,main!$A$3:$H$102,8,FALSE),main!$K$18:$O$18,0))))),1,0)</f>
        <v>0</v>
      </c>
      <c r="AU21">
        <f>IF((AND(VLOOKUP(AU$1,main!$A$3:$H$102,5,FALSE)-VLOOKUP($A21,main!$A$3:$H$102,6,FALSE)&gt;=(VLOOKUP(VLOOKUP(AU$1,main!$A$3:$H$102,8,FALSE),main!$K$26:$M$29,2,FALSE)+VLOOKUP(VLOOKUP(AU$1,main!$A$3:$H$102,7,FALSE),main!$K$19:$O$22,MATCH(VLOOKUP($A21,main!$A$3:$H$102,8,FALSE),main!$K$18:$O$18,0))))),1,0)</f>
        <v>0</v>
      </c>
      <c r="AV21">
        <f>IF((AND(VLOOKUP(AV$1,main!$A$3:$H$102,5,FALSE)-VLOOKUP($A21,main!$A$3:$H$102,6,FALSE)&gt;=(VLOOKUP(VLOOKUP(AV$1,main!$A$3:$H$102,8,FALSE),main!$K$26:$M$29,2,FALSE)+VLOOKUP(VLOOKUP(AV$1,main!$A$3:$H$102,7,FALSE),main!$K$19:$O$22,MATCH(VLOOKUP($A21,main!$A$3:$H$102,8,FALSE),main!$K$18:$O$18,0))))),1,0)</f>
        <v>0</v>
      </c>
      <c r="AW21">
        <f>IF((AND(VLOOKUP(AW$1,main!$A$3:$H$102,5,FALSE)-VLOOKUP($A21,main!$A$3:$H$102,6,FALSE)&gt;=(VLOOKUP(VLOOKUP(AW$1,main!$A$3:$H$102,8,FALSE),main!$K$26:$M$29,2,FALSE)+VLOOKUP(VLOOKUP(AW$1,main!$A$3:$H$102,7,FALSE),main!$K$19:$O$22,MATCH(VLOOKUP($A21,main!$A$3:$H$102,8,FALSE),main!$K$18:$O$18,0))))),1,0)</f>
        <v>0</v>
      </c>
      <c r="AX21">
        <f>IF((AND(VLOOKUP(AX$1,main!$A$3:$H$102,5,FALSE)-VLOOKUP($A21,main!$A$3:$H$102,6,FALSE)&gt;=(VLOOKUP(VLOOKUP(AX$1,main!$A$3:$H$102,8,FALSE),main!$K$26:$M$29,2,FALSE)+VLOOKUP(VLOOKUP(AX$1,main!$A$3:$H$102,7,FALSE),main!$K$19:$O$22,MATCH(VLOOKUP($A21,main!$A$3:$H$102,8,FALSE),main!$K$18:$O$18,0))))),1,0)</f>
        <v>0</v>
      </c>
      <c r="AY21">
        <f>IF((AND(VLOOKUP(AY$1,main!$A$3:$H$102,5,FALSE)-VLOOKUP($A21,main!$A$3:$H$102,6,FALSE)&gt;=(VLOOKUP(VLOOKUP(AY$1,main!$A$3:$H$102,8,FALSE),main!$K$26:$M$29,2,FALSE)+VLOOKUP(VLOOKUP(AY$1,main!$A$3:$H$102,7,FALSE),main!$K$19:$O$22,MATCH(VLOOKUP($A21,main!$A$3:$H$102,8,FALSE),main!$K$18:$O$18,0))))),1,0)</f>
        <v>0</v>
      </c>
      <c r="AZ21">
        <f>IF((AND(VLOOKUP(AZ$1,main!$A$3:$H$102,5,FALSE)-VLOOKUP($A21,main!$A$3:$H$102,6,FALSE)&gt;=(VLOOKUP(VLOOKUP(AZ$1,main!$A$3:$H$102,8,FALSE),main!$K$26:$M$29,2,FALSE)+VLOOKUP(VLOOKUP(AZ$1,main!$A$3:$H$102,7,FALSE),main!$K$19:$O$22,MATCH(VLOOKUP($A21,main!$A$3:$H$102,8,FALSE),main!$K$18:$O$18,0))))),1,0)</f>
        <v>0</v>
      </c>
      <c r="BA21">
        <f>IF((AND(VLOOKUP(BA$1,main!$A$3:$H$102,5,FALSE)-VLOOKUP($A21,main!$A$3:$H$102,6,FALSE)&gt;=(VLOOKUP(VLOOKUP(BA$1,main!$A$3:$H$102,8,FALSE),main!$K$26:$M$29,2,FALSE)+VLOOKUP(VLOOKUP(BA$1,main!$A$3:$H$102,7,FALSE),main!$K$19:$O$22,MATCH(VLOOKUP($A21,main!$A$3:$H$102,8,FALSE),main!$K$18:$O$18,0))))),1,0)</f>
        <v>0</v>
      </c>
      <c r="BB21">
        <f>IF((AND(VLOOKUP(BB$1,main!$A$3:$H$102,5,FALSE)-VLOOKUP($A21,main!$A$3:$H$102,6,FALSE)&gt;=(VLOOKUP(VLOOKUP(BB$1,main!$A$3:$H$102,8,FALSE),main!$K$26:$M$29,2,FALSE)+VLOOKUP(VLOOKUP(BB$1,main!$A$3:$H$102,7,FALSE),main!$K$19:$O$22,MATCH(VLOOKUP($A21,main!$A$3:$H$102,8,FALSE),main!$K$18:$O$18,0))))),1,0)</f>
        <v>0</v>
      </c>
      <c r="BC21">
        <f>IF((AND(VLOOKUP(BC$1,main!$A$3:$H$102,5,FALSE)-VLOOKUP($A21,main!$A$3:$H$102,6,FALSE)&gt;=(VLOOKUP(VLOOKUP(BC$1,main!$A$3:$H$102,8,FALSE),main!$K$26:$M$29,2,FALSE)+VLOOKUP(VLOOKUP(BC$1,main!$A$3:$H$102,7,FALSE),main!$K$19:$O$22,MATCH(VLOOKUP($A21,main!$A$3:$H$102,8,FALSE),main!$K$18:$O$18,0))))),1,0)</f>
        <v>0</v>
      </c>
      <c r="BD21">
        <f>IF((AND(VLOOKUP(BD$1,main!$A$3:$H$102,5,FALSE)-VLOOKUP($A21,main!$A$3:$H$102,6,FALSE)&gt;=(VLOOKUP(VLOOKUP(BD$1,main!$A$3:$H$102,8,FALSE),main!$K$26:$M$29,2,FALSE)+VLOOKUP(VLOOKUP(BD$1,main!$A$3:$H$102,7,FALSE),main!$K$19:$O$22,MATCH(VLOOKUP($A21,main!$A$3:$H$102,8,FALSE),main!$K$18:$O$18,0))))),1,0)</f>
        <v>0</v>
      </c>
      <c r="BE21">
        <f>IF((AND(VLOOKUP(BE$1,main!$A$3:$H$102,5,FALSE)-VLOOKUP($A21,main!$A$3:$H$102,6,FALSE)&gt;=(VLOOKUP(VLOOKUP(BE$1,main!$A$3:$H$102,8,FALSE),main!$K$26:$M$29,2,FALSE)+VLOOKUP(VLOOKUP(BE$1,main!$A$3:$H$102,7,FALSE),main!$K$19:$O$22,MATCH(VLOOKUP($A21,main!$A$3:$H$102,8,FALSE),main!$K$18:$O$18,0))))),1,0)</f>
        <v>0</v>
      </c>
      <c r="BF21">
        <f>IF((AND(VLOOKUP(BF$1,main!$A$3:$H$102,5,FALSE)-VLOOKUP($A21,main!$A$3:$H$102,6,FALSE)&gt;=(VLOOKUP(VLOOKUP(BF$1,main!$A$3:$H$102,8,FALSE),main!$K$26:$M$29,2,FALSE)+VLOOKUP(VLOOKUP(BF$1,main!$A$3:$H$102,7,FALSE),main!$K$19:$O$22,MATCH(VLOOKUP($A21,main!$A$3:$H$102,8,FALSE),main!$K$18:$O$18,0))))),1,0)</f>
        <v>0</v>
      </c>
      <c r="BG21">
        <f>IF((AND(VLOOKUP(BG$1,main!$A$3:$H$102,5,FALSE)-VLOOKUP($A21,main!$A$3:$H$102,6,FALSE)&gt;=(VLOOKUP(VLOOKUP(BG$1,main!$A$3:$H$102,8,FALSE),main!$K$26:$M$29,2,FALSE)+VLOOKUP(VLOOKUP(BG$1,main!$A$3:$H$102,7,FALSE),main!$K$19:$O$22,MATCH(VLOOKUP($A21,main!$A$3:$H$102,8,FALSE),main!$K$18:$O$18,0))))),1,0)</f>
        <v>0</v>
      </c>
      <c r="BH21">
        <f>IF((AND(VLOOKUP(BH$1,main!$A$3:$H$102,5,FALSE)-VLOOKUP($A21,main!$A$3:$H$102,6,FALSE)&gt;=(VLOOKUP(VLOOKUP(BH$1,main!$A$3:$H$102,8,FALSE),main!$K$26:$M$29,2,FALSE)+VLOOKUP(VLOOKUP(BH$1,main!$A$3:$H$102,7,FALSE),main!$K$19:$O$22,MATCH(VLOOKUP($A21,main!$A$3:$H$102,8,FALSE),main!$K$18:$O$18,0))))),1,0)</f>
        <v>0</v>
      </c>
      <c r="BI21">
        <f>IF((AND(VLOOKUP(BI$1,main!$A$3:$H$102,5,FALSE)-VLOOKUP($A21,main!$A$3:$H$102,6,FALSE)&gt;=(VLOOKUP(VLOOKUP(BI$1,main!$A$3:$H$102,8,FALSE),main!$K$26:$M$29,2,FALSE)+VLOOKUP(VLOOKUP(BI$1,main!$A$3:$H$102,7,FALSE),main!$K$19:$O$22,MATCH(VLOOKUP($A21,main!$A$3:$H$102,8,FALSE),main!$K$18:$O$18,0))))),1,0)</f>
        <v>0</v>
      </c>
      <c r="BJ21">
        <f>IF((AND(VLOOKUP(BJ$1,main!$A$3:$H$102,5,FALSE)-VLOOKUP($A21,main!$A$3:$H$102,6,FALSE)&gt;=(VLOOKUP(VLOOKUP(BJ$1,main!$A$3:$H$102,8,FALSE),main!$K$26:$M$29,2,FALSE)+VLOOKUP(VLOOKUP(BJ$1,main!$A$3:$H$102,7,FALSE),main!$K$19:$O$22,MATCH(VLOOKUP($A21,main!$A$3:$H$102,8,FALSE),main!$K$18:$O$18,0))))),1,0)</f>
        <v>0</v>
      </c>
      <c r="BK21">
        <f>IF((AND(VLOOKUP(BK$1,main!$A$3:$H$102,5,FALSE)-VLOOKUP($A21,main!$A$3:$H$102,6,FALSE)&gt;=(VLOOKUP(VLOOKUP(BK$1,main!$A$3:$H$102,8,FALSE),main!$K$26:$M$29,2,FALSE)+VLOOKUP(VLOOKUP(BK$1,main!$A$3:$H$102,7,FALSE),main!$K$19:$O$22,MATCH(VLOOKUP($A21,main!$A$3:$H$102,8,FALSE),main!$K$18:$O$18,0))))),1,0)</f>
        <v>0</v>
      </c>
      <c r="BL21">
        <f>IF((AND(VLOOKUP(BL$1,main!$A$3:$H$102,5,FALSE)-VLOOKUP($A21,main!$A$3:$H$102,6,FALSE)&gt;=(VLOOKUP(VLOOKUP(BL$1,main!$A$3:$H$102,8,FALSE),main!$K$26:$M$29,2,FALSE)+VLOOKUP(VLOOKUP(BL$1,main!$A$3:$H$102,7,FALSE),main!$K$19:$O$22,MATCH(VLOOKUP($A21,main!$A$3:$H$102,8,FALSE),main!$K$18:$O$18,0))))),1,0)</f>
        <v>0</v>
      </c>
      <c r="BM21">
        <f>IF((AND(VLOOKUP(BM$1,main!$A$3:$H$102,5,FALSE)-VLOOKUP($A21,main!$A$3:$H$102,6,FALSE)&gt;=(VLOOKUP(VLOOKUP(BM$1,main!$A$3:$H$102,8,FALSE),main!$K$26:$M$29,2,FALSE)+VLOOKUP(VLOOKUP(BM$1,main!$A$3:$H$102,7,FALSE),main!$K$19:$O$22,MATCH(VLOOKUP($A21,main!$A$3:$H$102,8,FALSE),main!$K$18:$O$18,0))))),1,0)</f>
        <v>0</v>
      </c>
      <c r="BN21">
        <f>IF((AND(VLOOKUP(BN$1,main!$A$3:$H$102,5,FALSE)-VLOOKUP($A21,main!$A$3:$H$102,6,FALSE)&gt;=(VLOOKUP(VLOOKUP(BN$1,main!$A$3:$H$102,8,FALSE),main!$K$26:$M$29,2,FALSE)+VLOOKUP(VLOOKUP(BN$1,main!$A$3:$H$102,7,FALSE),main!$K$19:$O$22,MATCH(VLOOKUP($A21,main!$A$3:$H$102,8,FALSE),main!$K$18:$O$18,0))))),1,0)</f>
        <v>0</v>
      </c>
      <c r="BO21">
        <f>IF((AND(VLOOKUP(BO$1,main!$A$3:$H$102,5,FALSE)-VLOOKUP($A21,main!$A$3:$H$102,6,FALSE)&gt;=(VLOOKUP(VLOOKUP(BO$1,main!$A$3:$H$102,8,FALSE),main!$K$26:$M$29,2,FALSE)+VLOOKUP(VLOOKUP(BO$1,main!$A$3:$H$102,7,FALSE),main!$K$19:$O$22,MATCH(VLOOKUP($A21,main!$A$3:$H$102,8,FALSE),main!$K$18:$O$18,0))))),1,0)</f>
        <v>0</v>
      </c>
      <c r="BP21">
        <f>IF((AND(VLOOKUP(BP$1,main!$A$3:$H$102,5,FALSE)-VLOOKUP($A21,main!$A$3:$H$102,6,FALSE)&gt;=(VLOOKUP(VLOOKUP(BP$1,main!$A$3:$H$102,8,FALSE),main!$K$26:$M$29,2,FALSE)+VLOOKUP(VLOOKUP(BP$1,main!$A$3:$H$102,7,FALSE),main!$K$19:$O$22,MATCH(VLOOKUP($A21,main!$A$3:$H$102,8,FALSE),main!$K$18:$O$18,0))))),1,0)</f>
        <v>0</v>
      </c>
      <c r="BQ21">
        <f>IF((AND(VLOOKUP(BQ$1,main!$A$3:$H$102,5,FALSE)-VLOOKUP($A21,main!$A$3:$H$102,6,FALSE)&gt;=(VLOOKUP(VLOOKUP(BQ$1,main!$A$3:$H$102,8,FALSE),main!$K$26:$M$29,2,FALSE)+VLOOKUP(VLOOKUP(BQ$1,main!$A$3:$H$102,7,FALSE),main!$K$19:$O$22,MATCH(VLOOKUP($A21,main!$A$3:$H$102,8,FALSE),main!$K$18:$O$18,0))))),1,0)</f>
        <v>0</v>
      </c>
      <c r="BR21">
        <f>IF((AND(VLOOKUP(BR$1,main!$A$3:$H$102,5,FALSE)-VLOOKUP($A21,main!$A$3:$H$102,6,FALSE)&gt;=(VLOOKUP(VLOOKUP(BR$1,main!$A$3:$H$102,8,FALSE),main!$K$26:$M$29,2,FALSE)+VLOOKUP(VLOOKUP(BR$1,main!$A$3:$H$102,7,FALSE),main!$K$19:$O$22,MATCH(VLOOKUP($A21,main!$A$3:$H$102,8,FALSE),main!$K$18:$O$18,0))))),1,0)</f>
        <v>0</v>
      </c>
      <c r="BS21">
        <f>IF((AND(VLOOKUP(BS$1,main!$A$3:$H$102,5,FALSE)-VLOOKUP($A21,main!$A$3:$H$102,6,FALSE)&gt;=(VLOOKUP(VLOOKUP(BS$1,main!$A$3:$H$102,8,FALSE),main!$K$26:$M$29,2,FALSE)+VLOOKUP(VLOOKUP(BS$1,main!$A$3:$H$102,7,FALSE),main!$K$19:$O$22,MATCH(VLOOKUP($A21,main!$A$3:$H$102,8,FALSE),main!$K$18:$O$18,0))))),1,0)</f>
        <v>0</v>
      </c>
      <c r="BT21">
        <f>IF((AND(VLOOKUP(BT$1,main!$A$3:$H$102,5,FALSE)-VLOOKUP($A21,main!$A$3:$H$102,6,FALSE)&gt;=(VLOOKUP(VLOOKUP(BT$1,main!$A$3:$H$102,8,FALSE),main!$K$26:$M$29,2,FALSE)+VLOOKUP(VLOOKUP(BT$1,main!$A$3:$H$102,7,FALSE),main!$K$19:$O$22,MATCH(VLOOKUP($A21,main!$A$3:$H$102,8,FALSE),main!$K$18:$O$18,0))))),1,0)</f>
        <v>0</v>
      </c>
      <c r="BU21">
        <f>IF((AND(VLOOKUP(BU$1,main!$A$3:$H$102,5,FALSE)-VLOOKUP($A21,main!$A$3:$H$102,6,FALSE)&gt;=(VLOOKUP(VLOOKUP(BU$1,main!$A$3:$H$102,8,FALSE),main!$K$26:$M$29,2,FALSE)+VLOOKUP(VLOOKUP(BU$1,main!$A$3:$H$102,7,FALSE),main!$K$19:$O$22,MATCH(VLOOKUP($A21,main!$A$3:$H$102,8,FALSE),main!$K$18:$O$18,0))))),1,0)</f>
        <v>0</v>
      </c>
      <c r="BV21">
        <f>IF((AND(VLOOKUP(BV$1,main!$A$3:$H$102,5,FALSE)-VLOOKUP($A21,main!$A$3:$H$102,6,FALSE)&gt;=(VLOOKUP(VLOOKUP(BV$1,main!$A$3:$H$102,8,FALSE),main!$K$26:$M$29,2,FALSE)+VLOOKUP(VLOOKUP(BV$1,main!$A$3:$H$102,7,FALSE),main!$K$19:$O$22,MATCH(VLOOKUP($A21,main!$A$3:$H$102,8,FALSE),main!$K$18:$O$18,0))))),1,0)</f>
        <v>0</v>
      </c>
      <c r="BW21">
        <f>IF((AND(VLOOKUP(BW$1,main!$A$3:$H$102,5,FALSE)-VLOOKUP($A21,main!$A$3:$H$102,6,FALSE)&gt;=(VLOOKUP(VLOOKUP(BW$1,main!$A$3:$H$102,8,FALSE),main!$K$26:$M$29,2,FALSE)+VLOOKUP(VLOOKUP(BW$1,main!$A$3:$H$102,7,FALSE),main!$K$19:$O$22,MATCH(VLOOKUP($A21,main!$A$3:$H$102,8,FALSE),main!$K$18:$O$18,0))))),1,0)</f>
        <v>0</v>
      </c>
      <c r="BX21">
        <f>IF((AND(VLOOKUP(BX$1,main!$A$3:$H$102,5,FALSE)-VLOOKUP($A21,main!$A$3:$H$102,6,FALSE)&gt;=(VLOOKUP(VLOOKUP(BX$1,main!$A$3:$H$102,8,FALSE),main!$K$26:$M$29,2,FALSE)+VLOOKUP(VLOOKUP(BX$1,main!$A$3:$H$102,7,FALSE),main!$K$19:$O$22,MATCH(VLOOKUP($A21,main!$A$3:$H$102,8,FALSE),main!$K$18:$O$18,0))))),1,0)</f>
        <v>0</v>
      </c>
      <c r="BY21">
        <f>IF((AND(VLOOKUP(BY$1,main!$A$3:$H$102,5,FALSE)-VLOOKUP($A21,main!$A$3:$H$102,6,FALSE)&gt;=(VLOOKUP(VLOOKUP(BY$1,main!$A$3:$H$102,8,FALSE),main!$K$26:$M$29,2,FALSE)+VLOOKUP(VLOOKUP(BY$1,main!$A$3:$H$102,7,FALSE),main!$K$19:$O$22,MATCH(VLOOKUP($A21,main!$A$3:$H$102,8,FALSE),main!$K$18:$O$18,0))))),1,0)</f>
        <v>0</v>
      </c>
      <c r="BZ21">
        <f>IF((AND(VLOOKUP(BZ$1,main!$A$3:$H$102,5,FALSE)-VLOOKUP($A21,main!$A$3:$H$102,6,FALSE)&gt;=(VLOOKUP(VLOOKUP(BZ$1,main!$A$3:$H$102,8,FALSE),main!$K$26:$M$29,2,FALSE)+VLOOKUP(VLOOKUP(BZ$1,main!$A$3:$H$102,7,FALSE),main!$K$19:$O$22,MATCH(VLOOKUP($A21,main!$A$3:$H$102,8,FALSE),main!$K$18:$O$18,0))))),1,0)</f>
        <v>0</v>
      </c>
      <c r="CA21">
        <f>IF((AND(VLOOKUP(CA$1,main!$A$3:$H$102,5,FALSE)-VLOOKUP($A21,main!$A$3:$H$102,6,FALSE)&gt;=(VLOOKUP(VLOOKUP(CA$1,main!$A$3:$H$102,8,FALSE),main!$K$26:$M$29,2,FALSE)+VLOOKUP(VLOOKUP(CA$1,main!$A$3:$H$102,7,FALSE),main!$K$19:$O$22,MATCH(VLOOKUP($A21,main!$A$3:$H$102,8,FALSE),main!$K$18:$O$18,0))))),1,0)</f>
        <v>0</v>
      </c>
      <c r="CB21">
        <f>IF((AND(VLOOKUP(CB$1,main!$A$3:$H$102,5,FALSE)-VLOOKUP($A21,main!$A$3:$H$102,6,FALSE)&gt;=(VLOOKUP(VLOOKUP(CB$1,main!$A$3:$H$102,8,FALSE),main!$K$26:$M$29,2,FALSE)+VLOOKUP(VLOOKUP(CB$1,main!$A$3:$H$102,7,FALSE),main!$K$19:$O$22,MATCH(VLOOKUP($A21,main!$A$3:$H$102,8,FALSE),main!$K$18:$O$18,0))))),1,0)</f>
        <v>0</v>
      </c>
      <c r="CC21">
        <f>IF((AND(VLOOKUP(CC$1,main!$A$3:$H$102,5,FALSE)-VLOOKUP($A21,main!$A$3:$H$102,6,FALSE)&gt;=(VLOOKUP(VLOOKUP(CC$1,main!$A$3:$H$102,8,FALSE),main!$K$26:$M$29,2,FALSE)+VLOOKUP(VLOOKUP(CC$1,main!$A$3:$H$102,7,FALSE),main!$K$19:$O$22,MATCH(VLOOKUP($A21,main!$A$3:$H$102,8,FALSE),main!$K$18:$O$18,0))))),1,0)</f>
        <v>0</v>
      </c>
      <c r="CD21">
        <f>IF((AND(VLOOKUP(CD$1,main!$A$3:$H$102,5,FALSE)-VLOOKUP($A21,main!$A$3:$H$102,6,FALSE)&gt;=(VLOOKUP(VLOOKUP(CD$1,main!$A$3:$H$102,8,FALSE),main!$K$26:$M$29,2,FALSE)+VLOOKUP(VLOOKUP(CD$1,main!$A$3:$H$102,7,FALSE),main!$K$19:$O$22,MATCH(VLOOKUP($A21,main!$A$3:$H$102,8,FALSE),main!$K$18:$O$18,0))))),1,0)</f>
        <v>0</v>
      </c>
      <c r="CE21">
        <f>IF((AND(VLOOKUP(CE$1,main!$A$3:$H$102,5,FALSE)-VLOOKUP($A21,main!$A$3:$H$102,6,FALSE)&gt;=(VLOOKUP(VLOOKUP(CE$1,main!$A$3:$H$102,8,FALSE),main!$K$26:$M$29,2,FALSE)+VLOOKUP(VLOOKUP(CE$1,main!$A$3:$H$102,7,FALSE),main!$K$19:$O$22,MATCH(VLOOKUP($A21,main!$A$3:$H$102,8,FALSE),main!$K$18:$O$18,0))))),1,0)</f>
        <v>0</v>
      </c>
      <c r="CF21">
        <f>IF((AND(VLOOKUP(CF$1,main!$A$3:$H$102,5,FALSE)-VLOOKUP($A21,main!$A$3:$H$102,6,FALSE)&gt;=(VLOOKUP(VLOOKUP(CF$1,main!$A$3:$H$102,8,FALSE),main!$K$26:$M$29,2,FALSE)+VLOOKUP(VLOOKUP(CF$1,main!$A$3:$H$102,7,FALSE),main!$K$19:$O$22,MATCH(VLOOKUP($A21,main!$A$3:$H$102,8,FALSE),main!$K$18:$O$18,0))))),1,0)</f>
        <v>0</v>
      </c>
      <c r="CG21">
        <f>IF((AND(VLOOKUP(CG$1,main!$A$3:$H$102,5,FALSE)-VLOOKUP($A21,main!$A$3:$H$102,6,FALSE)&gt;=(VLOOKUP(VLOOKUP(CG$1,main!$A$3:$H$102,8,FALSE),main!$K$26:$M$29,2,FALSE)+VLOOKUP(VLOOKUP(CG$1,main!$A$3:$H$102,7,FALSE),main!$K$19:$O$22,MATCH(VLOOKUP($A21,main!$A$3:$H$102,8,FALSE),main!$K$18:$O$18,0))))),1,0)</f>
        <v>0</v>
      </c>
      <c r="CH21">
        <f>IF((AND(VLOOKUP(CH$1,main!$A$3:$H$102,5,FALSE)-VLOOKUP($A21,main!$A$3:$H$102,6,FALSE)&gt;=(VLOOKUP(VLOOKUP(CH$1,main!$A$3:$H$102,8,FALSE),main!$K$26:$M$29,2,FALSE)+VLOOKUP(VLOOKUP(CH$1,main!$A$3:$H$102,7,FALSE),main!$K$19:$O$22,MATCH(VLOOKUP($A21,main!$A$3:$H$102,8,FALSE),main!$K$18:$O$18,0))))),1,0)</f>
        <v>0</v>
      </c>
      <c r="CI21">
        <f>IF((AND(VLOOKUP(CI$1,main!$A$3:$H$102,5,FALSE)-VLOOKUP($A21,main!$A$3:$H$102,6,FALSE)&gt;=(VLOOKUP(VLOOKUP(CI$1,main!$A$3:$H$102,8,FALSE),main!$K$26:$M$29,2,FALSE)+VLOOKUP(VLOOKUP(CI$1,main!$A$3:$H$102,7,FALSE),main!$K$19:$O$22,MATCH(VLOOKUP($A21,main!$A$3:$H$102,8,FALSE),main!$K$18:$O$18,0))))),1,0)</f>
        <v>0</v>
      </c>
      <c r="CJ21">
        <f>IF((AND(VLOOKUP(CJ$1,main!$A$3:$H$102,5,FALSE)-VLOOKUP($A21,main!$A$3:$H$102,6,FALSE)&gt;=(VLOOKUP(VLOOKUP(CJ$1,main!$A$3:$H$102,8,FALSE),main!$K$26:$M$29,2,FALSE)+VLOOKUP(VLOOKUP(CJ$1,main!$A$3:$H$102,7,FALSE),main!$K$19:$O$22,MATCH(VLOOKUP($A21,main!$A$3:$H$102,8,FALSE),main!$K$18:$O$18,0))))),1,0)</f>
        <v>0</v>
      </c>
      <c r="CK21">
        <f>IF((AND(VLOOKUP(CK$1,main!$A$3:$H$102,5,FALSE)-VLOOKUP($A21,main!$A$3:$H$102,6,FALSE)&gt;=(VLOOKUP(VLOOKUP(CK$1,main!$A$3:$H$102,8,FALSE),main!$K$26:$M$29,2,FALSE)+VLOOKUP(VLOOKUP(CK$1,main!$A$3:$H$102,7,FALSE),main!$K$19:$O$22,MATCH(VLOOKUP($A21,main!$A$3:$H$102,8,FALSE),main!$K$18:$O$18,0))))),1,0)</f>
        <v>0</v>
      </c>
      <c r="CL21">
        <f>IF((AND(VLOOKUP(CL$1,main!$A$3:$H$102,5,FALSE)-VLOOKUP($A21,main!$A$3:$H$102,6,FALSE)&gt;=(VLOOKUP(VLOOKUP(CL$1,main!$A$3:$H$102,8,FALSE),main!$K$26:$M$29,2,FALSE)+VLOOKUP(VLOOKUP(CL$1,main!$A$3:$H$102,7,FALSE),main!$K$19:$O$22,MATCH(VLOOKUP($A21,main!$A$3:$H$102,8,FALSE),main!$K$18:$O$18,0))))),1,0)</f>
        <v>0</v>
      </c>
      <c r="CM21">
        <f>IF((AND(VLOOKUP(CM$1,main!$A$3:$H$102,5,FALSE)-VLOOKUP($A21,main!$A$3:$H$102,6,FALSE)&gt;=(VLOOKUP(VLOOKUP(CM$1,main!$A$3:$H$102,8,FALSE),main!$K$26:$M$29,2,FALSE)+VLOOKUP(VLOOKUP(CM$1,main!$A$3:$H$102,7,FALSE),main!$K$19:$O$22,MATCH(VLOOKUP($A21,main!$A$3:$H$102,8,FALSE),main!$K$18:$O$18,0))))),1,0)</f>
        <v>0</v>
      </c>
      <c r="CN21">
        <f>IF((AND(VLOOKUP(CN$1,main!$A$3:$H$102,5,FALSE)-VLOOKUP($A21,main!$A$3:$H$102,6,FALSE)&gt;=(VLOOKUP(VLOOKUP(CN$1,main!$A$3:$H$102,8,FALSE),main!$K$26:$M$29,2,FALSE)+VLOOKUP(VLOOKUP(CN$1,main!$A$3:$H$102,7,FALSE),main!$K$19:$O$22,MATCH(VLOOKUP($A21,main!$A$3:$H$102,8,FALSE),main!$K$18:$O$18,0))))),1,0)</f>
        <v>0</v>
      </c>
      <c r="CO21">
        <f>IF((AND(VLOOKUP(CO$1,main!$A$3:$H$102,5,FALSE)-VLOOKUP($A21,main!$A$3:$H$102,6,FALSE)&gt;=(VLOOKUP(VLOOKUP(CO$1,main!$A$3:$H$102,8,FALSE),main!$K$26:$M$29,2,FALSE)+VLOOKUP(VLOOKUP(CO$1,main!$A$3:$H$102,7,FALSE),main!$K$19:$O$22,MATCH(VLOOKUP($A21,main!$A$3:$H$102,8,FALSE),main!$K$18:$O$18,0))))),1,0)</f>
        <v>0</v>
      </c>
      <c r="CP21">
        <f>IF((AND(VLOOKUP(CP$1,main!$A$3:$H$102,5,FALSE)-VLOOKUP($A21,main!$A$3:$H$102,6,FALSE)&gt;=(VLOOKUP(VLOOKUP(CP$1,main!$A$3:$H$102,8,FALSE),main!$K$26:$M$29,2,FALSE)+VLOOKUP(VLOOKUP(CP$1,main!$A$3:$H$102,7,FALSE),main!$K$19:$O$22,MATCH(VLOOKUP($A21,main!$A$3:$H$102,8,FALSE),main!$K$18:$O$18,0))))),1,0)</f>
        <v>0</v>
      </c>
      <c r="CQ21">
        <f>IF((AND(VLOOKUP(CQ$1,main!$A$3:$H$102,5,FALSE)-VLOOKUP($A21,main!$A$3:$H$102,6,FALSE)&gt;=(VLOOKUP(VLOOKUP(CQ$1,main!$A$3:$H$102,8,FALSE),main!$K$26:$M$29,2,FALSE)+VLOOKUP(VLOOKUP(CQ$1,main!$A$3:$H$102,7,FALSE),main!$K$19:$O$22,MATCH(VLOOKUP($A21,main!$A$3:$H$102,8,FALSE),main!$K$18:$O$18,0))))),1,0)</f>
        <v>0</v>
      </c>
      <c r="CR21">
        <f>IF((AND(VLOOKUP(CR$1,main!$A$3:$H$102,5,FALSE)-VLOOKUP($A21,main!$A$3:$H$102,6,FALSE)&gt;=(VLOOKUP(VLOOKUP(CR$1,main!$A$3:$H$102,8,FALSE),main!$K$26:$M$29,2,FALSE)+VLOOKUP(VLOOKUP(CR$1,main!$A$3:$H$102,7,FALSE),main!$K$19:$O$22,MATCH(VLOOKUP($A21,main!$A$3:$H$102,8,FALSE),main!$K$18:$O$18,0))))),1,0)</f>
        <v>0</v>
      </c>
      <c r="CS21">
        <f>IF((AND(VLOOKUP(CS$1,main!$A$3:$H$102,5,FALSE)-VLOOKUP($A21,main!$A$3:$H$102,6,FALSE)&gt;=(VLOOKUP(VLOOKUP(CS$1,main!$A$3:$H$102,8,FALSE),main!$K$26:$M$29,2,FALSE)+VLOOKUP(VLOOKUP(CS$1,main!$A$3:$H$102,7,FALSE),main!$K$19:$O$22,MATCH(VLOOKUP($A21,main!$A$3:$H$102,8,FALSE),main!$K$18:$O$18,0))))),1,0)</f>
        <v>0</v>
      </c>
      <c r="CT21">
        <f>IF((AND(VLOOKUP(CT$1,main!$A$3:$H$102,5,FALSE)-VLOOKUP($A21,main!$A$3:$H$102,6,FALSE)&gt;=(VLOOKUP(VLOOKUP(CT$1,main!$A$3:$H$102,8,FALSE),main!$K$26:$M$29,2,FALSE)+VLOOKUP(VLOOKUP(CT$1,main!$A$3:$H$102,7,FALSE),main!$K$19:$O$22,MATCH(VLOOKUP($A21,main!$A$3:$H$102,8,FALSE),main!$K$18:$O$18,0))))),1,0)</f>
        <v>0</v>
      </c>
      <c r="CU21">
        <f>IF((AND(VLOOKUP(CU$1,main!$A$3:$H$102,5,FALSE)-VLOOKUP($A21,main!$A$3:$H$102,6,FALSE)&gt;=(VLOOKUP(VLOOKUP(CU$1,main!$A$3:$H$102,8,FALSE),main!$K$26:$M$29,2,FALSE)+VLOOKUP(VLOOKUP(CU$1,main!$A$3:$H$102,7,FALSE),main!$K$19:$O$22,MATCH(VLOOKUP($A21,main!$A$3:$H$102,8,FALSE),main!$K$18:$O$18,0))))),1,0)</f>
        <v>0</v>
      </c>
      <c r="CV21">
        <f>IF((AND(VLOOKUP(CV$1,main!$A$3:$H$102,5,FALSE)-VLOOKUP($A21,main!$A$3:$H$102,6,FALSE)&gt;=(VLOOKUP(VLOOKUP(CV$1,main!$A$3:$H$102,8,FALSE),main!$K$26:$M$29,2,FALSE)+VLOOKUP(VLOOKUP(CV$1,main!$A$3:$H$102,7,FALSE),main!$K$19:$O$22,MATCH(VLOOKUP($A21,main!$A$3:$H$102,8,FALSE),main!$K$18:$O$18,0))))),1,0)</f>
        <v>0</v>
      </c>
      <c r="CW21">
        <f>IF((AND(VLOOKUP(CW$1,main!$A$3:$H$102,5,FALSE)-VLOOKUP($A21,main!$A$3:$H$102,6,FALSE)&gt;=(VLOOKUP(VLOOKUP(CW$1,main!$A$3:$H$102,8,FALSE),main!$K$26:$M$29,2,FALSE)+VLOOKUP(VLOOKUP(CW$1,main!$A$3:$H$102,7,FALSE),main!$K$19:$O$22,MATCH(VLOOKUP($A21,main!$A$3:$H$102,8,FALSE),main!$K$18:$O$18,0))))),1,0)</f>
        <v>0</v>
      </c>
      <c r="CX21">
        <f>IF((AND(VLOOKUP(CX$1,main!$A$3:$H$102,5,FALSE)-VLOOKUP($A21,main!$A$3:$H$102,6,FALSE)&gt;=(VLOOKUP(VLOOKUP(CX$1,main!$A$3:$H$102,8,FALSE),main!$K$26:$M$29,2,FALSE)+VLOOKUP(VLOOKUP(CX$1,main!$A$3:$H$102,7,FALSE),main!$K$19:$O$22,MATCH(VLOOKUP($A21,main!$A$3:$H$102,8,FALSE),main!$K$18:$O$18,0))))),1,0)</f>
        <v>0</v>
      </c>
    </row>
    <row r="22" spans="1:102" x14ac:dyDescent="0.25">
      <c r="A22" s="1">
        <v>20</v>
      </c>
      <c r="B22">
        <v>1</v>
      </c>
      <c r="C22">
        <f>IF((AND(VLOOKUP(C$1,main!$A$3:$H$102,5,FALSE)-VLOOKUP($A22,main!$A$3:$H$102,6,FALSE)&gt;=(VLOOKUP(VLOOKUP(C$1,main!$A$3:$H$102,8,FALSE),main!$K$26:$M$29,2,FALSE)+VLOOKUP(VLOOKUP(C$1,main!$A$3:$H$102,7,FALSE),main!$K$19:$O$22,MATCH(VLOOKUP($A22,main!$A$3:$H$102,8,FALSE),main!$K$18:$O$18,0))))),1,0)</f>
        <v>0</v>
      </c>
      <c r="D22">
        <f>IF((AND(VLOOKUP(D$1,main!$A$3:$H$102,5,FALSE)-VLOOKUP($A22,main!$A$3:$H$102,6,FALSE)&gt;=(VLOOKUP(VLOOKUP(D$1,main!$A$3:$H$102,8,FALSE),main!$K$26:$M$29,2,FALSE)+VLOOKUP(VLOOKUP(D$1,main!$A$3:$H$102,7,FALSE),main!$K$19:$O$22,MATCH(VLOOKUP($A22,main!$A$3:$H$102,8,FALSE),main!$K$18:$O$18,0))))),1,0)</f>
        <v>0</v>
      </c>
      <c r="E22">
        <f>IF((AND(VLOOKUP(E$1,main!$A$3:$H$102,5,FALSE)-VLOOKUP($A22,main!$A$3:$H$102,6,FALSE)&gt;=(VLOOKUP(VLOOKUP(E$1,main!$A$3:$H$102,8,FALSE),main!$K$26:$M$29,2,FALSE)+VLOOKUP(VLOOKUP(E$1,main!$A$3:$H$102,7,FALSE),main!$K$19:$O$22,MATCH(VLOOKUP($A22,main!$A$3:$H$102,8,FALSE),main!$K$18:$O$18,0))))),1,0)</f>
        <v>0</v>
      </c>
      <c r="F22">
        <f>IF((AND(VLOOKUP(F$1,main!$A$3:$H$102,5,FALSE)-VLOOKUP($A22,main!$A$3:$H$102,6,FALSE)&gt;=(VLOOKUP(VLOOKUP(F$1,main!$A$3:$H$102,8,FALSE),main!$K$26:$M$29,2,FALSE)+VLOOKUP(VLOOKUP(F$1,main!$A$3:$H$102,7,FALSE),main!$K$19:$O$22,MATCH(VLOOKUP($A22,main!$A$3:$H$102,8,FALSE),main!$K$18:$O$18,0))))),1,0)</f>
        <v>0</v>
      </c>
      <c r="G22">
        <f>IF((AND(VLOOKUP(G$1,main!$A$3:$H$102,5,FALSE)-VLOOKUP($A22,main!$A$3:$H$102,6,FALSE)&gt;=(VLOOKUP(VLOOKUP(G$1,main!$A$3:$H$102,8,FALSE),main!$K$26:$M$29,2,FALSE)+VLOOKUP(VLOOKUP(G$1,main!$A$3:$H$102,7,FALSE),main!$K$19:$O$22,MATCH(VLOOKUP($A22,main!$A$3:$H$102,8,FALSE),main!$K$18:$O$18,0))))),1,0)</f>
        <v>0</v>
      </c>
      <c r="H22">
        <f>IF((AND(VLOOKUP(H$1,main!$A$3:$H$102,5,FALSE)-VLOOKUP($A22,main!$A$3:$H$102,6,FALSE)&gt;=(VLOOKUP(VLOOKUP(H$1,main!$A$3:$H$102,8,FALSE),main!$K$26:$M$29,2,FALSE)+VLOOKUP(VLOOKUP(H$1,main!$A$3:$H$102,7,FALSE),main!$K$19:$O$22,MATCH(VLOOKUP($A22,main!$A$3:$H$102,8,FALSE),main!$K$18:$O$18,0))))),1,0)</f>
        <v>0</v>
      </c>
      <c r="I22">
        <f>IF((AND(VLOOKUP(I$1,main!$A$3:$H$102,5,FALSE)-VLOOKUP($A22,main!$A$3:$H$102,6,FALSE)&gt;=(VLOOKUP(VLOOKUP(I$1,main!$A$3:$H$102,8,FALSE),main!$K$26:$M$29,2,FALSE)+VLOOKUP(VLOOKUP(I$1,main!$A$3:$H$102,7,FALSE),main!$K$19:$O$22,MATCH(VLOOKUP($A22,main!$A$3:$H$102,8,FALSE),main!$K$18:$O$18,0))))),1,0)</f>
        <v>0</v>
      </c>
      <c r="J22">
        <f>IF((AND(VLOOKUP(J$1,main!$A$3:$H$102,5,FALSE)-VLOOKUP($A22,main!$A$3:$H$102,6,FALSE)&gt;=(VLOOKUP(VLOOKUP(J$1,main!$A$3:$H$102,8,FALSE),main!$K$26:$M$29,2,FALSE)+VLOOKUP(VLOOKUP(J$1,main!$A$3:$H$102,7,FALSE),main!$K$19:$O$22,MATCH(VLOOKUP($A22,main!$A$3:$H$102,8,FALSE),main!$K$18:$O$18,0))))),1,0)</f>
        <v>0</v>
      </c>
      <c r="K22">
        <f>IF((AND(VLOOKUP(K$1,main!$A$3:$H$102,5,FALSE)-VLOOKUP($A22,main!$A$3:$H$102,6,FALSE)&gt;=(VLOOKUP(VLOOKUP(K$1,main!$A$3:$H$102,8,FALSE),main!$K$26:$M$29,2,FALSE)+VLOOKUP(VLOOKUP(K$1,main!$A$3:$H$102,7,FALSE),main!$K$19:$O$22,MATCH(VLOOKUP($A22,main!$A$3:$H$102,8,FALSE),main!$K$18:$O$18,0))))),1,0)</f>
        <v>0</v>
      </c>
      <c r="L22">
        <f>IF((AND(VLOOKUP(L$1,main!$A$3:$H$102,5,FALSE)-VLOOKUP($A22,main!$A$3:$H$102,6,FALSE)&gt;=(VLOOKUP(VLOOKUP(L$1,main!$A$3:$H$102,8,FALSE),main!$K$26:$M$29,2,FALSE)+VLOOKUP(VLOOKUP(L$1,main!$A$3:$H$102,7,FALSE),main!$K$19:$O$22,MATCH(VLOOKUP($A22,main!$A$3:$H$102,8,FALSE),main!$K$18:$O$18,0))))),1,0)</f>
        <v>0</v>
      </c>
      <c r="M22">
        <f>IF((AND(VLOOKUP(M$1,main!$A$3:$H$102,5,FALSE)-VLOOKUP($A22,main!$A$3:$H$102,6,FALSE)&gt;=(VLOOKUP(VLOOKUP(M$1,main!$A$3:$H$102,8,FALSE),main!$K$26:$M$29,2,FALSE)+VLOOKUP(VLOOKUP(M$1,main!$A$3:$H$102,7,FALSE),main!$K$19:$O$22,MATCH(VLOOKUP($A22,main!$A$3:$H$102,8,FALSE),main!$K$18:$O$18,0))))),1,0)</f>
        <v>0</v>
      </c>
      <c r="N22">
        <f>IF((AND(VLOOKUP(N$1,main!$A$3:$H$102,5,FALSE)-VLOOKUP($A22,main!$A$3:$H$102,6,FALSE)&gt;=(VLOOKUP(VLOOKUP(N$1,main!$A$3:$H$102,8,FALSE),main!$K$26:$M$29,2,FALSE)+VLOOKUP(VLOOKUP(N$1,main!$A$3:$H$102,7,FALSE),main!$K$19:$O$22,MATCH(VLOOKUP($A22,main!$A$3:$H$102,8,FALSE),main!$K$18:$O$18,0))))),1,0)</f>
        <v>0</v>
      </c>
      <c r="O22">
        <f>IF((AND(VLOOKUP(O$1,main!$A$3:$H$102,5,FALSE)-VLOOKUP($A22,main!$A$3:$H$102,6,FALSE)&gt;=(VLOOKUP(VLOOKUP(O$1,main!$A$3:$H$102,8,FALSE),main!$K$26:$M$29,2,FALSE)+VLOOKUP(VLOOKUP(O$1,main!$A$3:$H$102,7,FALSE),main!$K$19:$O$22,MATCH(VLOOKUP($A22,main!$A$3:$H$102,8,FALSE),main!$K$18:$O$18,0))))),1,0)</f>
        <v>0</v>
      </c>
      <c r="P22">
        <f>IF((AND(VLOOKUP(P$1,main!$A$3:$H$102,5,FALSE)-VLOOKUP($A22,main!$A$3:$H$102,6,FALSE)&gt;=(VLOOKUP(VLOOKUP(P$1,main!$A$3:$H$102,8,FALSE),main!$K$26:$M$29,2,FALSE)+VLOOKUP(VLOOKUP(P$1,main!$A$3:$H$102,7,FALSE),main!$K$19:$O$22,MATCH(VLOOKUP($A22,main!$A$3:$H$102,8,FALSE),main!$K$18:$O$18,0))))),1,0)</f>
        <v>0</v>
      </c>
      <c r="Q22">
        <f>IF((AND(VLOOKUP(Q$1,main!$A$3:$H$102,5,FALSE)-VLOOKUP($A22,main!$A$3:$H$102,6,FALSE)&gt;=(VLOOKUP(VLOOKUP(Q$1,main!$A$3:$H$102,8,FALSE),main!$K$26:$M$29,2,FALSE)+VLOOKUP(VLOOKUP(Q$1,main!$A$3:$H$102,7,FALSE),main!$K$19:$O$22,MATCH(VLOOKUP($A22,main!$A$3:$H$102,8,FALSE),main!$K$18:$O$18,0))))),1,0)</f>
        <v>0</v>
      </c>
      <c r="R22">
        <f>IF((AND(VLOOKUP(R$1,main!$A$3:$H$102,5,FALSE)-VLOOKUP($A22,main!$A$3:$H$102,6,FALSE)&gt;=(VLOOKUP(VLOOKUP(R$1,main!$A$3:$H$102,8,FALSE),main!$K$26:$M$29,2,FALSE)+VLOOKUP(VLOOKUP(R$1,main!$A$3:$H$102,7,FALSE),main!$K$19:$O$22,MATCH(VLOOKUP($A22,main!$A$3:$H$102,8,FALSE),main!$K$18:$O$18,0))))),1,0)</f>
        <v>0</v>
      </c>
      <c r="S22">
        <f>IF((AND(VLOOKUP(S$1,main!$A$3:$H$102,5,FALSE)-VLOOKUP($A22,main!$A$3:$H$102,6,FALSE)&gt;=(VLOOKUP(VLOOKUP(S$1,main!$A$3:$H$102,8,FALSE),main!$K$26:$M$29,2,FALSE)+VLOOKUP(VLOOKUP(S$1,main!$A$3:$H$102,7,FALSE),main!$K$19:$O$22,MATCH(VLOOKUP($A22,main!$A$3:$H$102,8,FALSE),main!$K$18:$O$18,0))))),1,0)</f>
        <v>0</v>
      </c>
      <c r="T22">
        <f>IF((AND(VLOOKUP(T$1,main!$A$3:$H$102,5,FALSE)-VLOOKUP($A22,main!$A$3:$H$102,6,FALSE)&gt;=(VLOOKUP(VLOOKUP(T$1,main!$A$3:$H$102,8,FALSE),main!$K$26:$M$29,2,FALSE)+VLOOKUP(VLOOKUP(T$1,main!$A$3:$H$102,7,FALSE),main!$K$19:$O$22,MATCH(VLOOKUP($A22,main!$A$3:$H$102,8,FALSE),main!$K$18:$O$18,0))))),1,0)</f>
        <v>0</v>
      </c>
      <c r="U22">
        <f>IF((AND(VLOOKUP(U$1,main!$A$3:$H$102,5,FALSE)-VLOOKUP($A22,main!$A$3:$H$102,6,FALSE)&gt;=(VLOOKUP(VLOOKUP(U$1,main!$A$3:$H$102,8,FALSE),main!$K$26:$M$29,2,FALSE)+VLOOKUP(VLOOKUP(U$1,main!$A$3:$H$102,7,FALSE),main!$K$19:$O$22,MATCH(VLOOKUP($A22,main!$A$3:$H$102,8,FALSE),main!$K$18:$O$18,0))))),1,0)</f>
        <v>0</v>
      </c>
      <c r="V22">
        <f>IF((AND(VLOOKUP(V$1,main!$A$3:$H$102,5,FALSE)-VLOOKUP($A22,main!$A$3:$H$102,6,FALSE)&gt;=(VLOOKUP(VLOOKUP(V$1,main!$A$3:$H$102,8,FALSE),main!$K$26:$M$29,2,FALSE)+VLOOKUP(VLOOKUP(V$1,main!$A$3:$H$102,7,FALSE),main!$K$19:$O$22,MATCH(VLOOKUP($A22,main!$A$3:$H$102,8,FALSE),main!$K$18:$O$18,0))))),1,0)</f>
        <v>0</v>
      </c>
      <c r="W22">
        <f>IF((AND(VLOOKUP(W$1,main!$A$3:$H$102,5,FALSE)-VLOOKUP($A22,main!$A$3:$H$102,6,FALSE)&gt;=(VLOOKUP(VLOOKUP(W$1,main!$A$3:$H$102,8,FALSE),main!$K$26:$M$29,2,FALSE)+VLOOKUP(VLOOKUP(W$1,main!$A$3:$H$102,7,FALSE),main!$K$19:$O$22,MATCH(VLOOKUP($A22,main!$A$3:$H$102,8,FALSE),main!$K$18:$O$18,0))))),1,0)</f>
        <v>0</v>
      </c>
      <c r="X22">
        <f>IF((AND(VLOOKUP(X$1,main!$A$3:$H$102,5,FALSE)-VLOOKUP($A22,main!$A$3:$H$102,6,FALSE)&gt;=(VLOOKUP(VLOOKUP(X$1,main!$A$3:$H$102,8,FALSE),main!$K$26:$M$29,2,FALSE)+VLOOKUP(VLOOKUP(X$1,main!$A$3:$H$102,7,FALSE),main!$K$19:$O$22,MATCH(VLOOKUP($A22,main!$A$3:$H$102,8,FALSE),main!$K$18:$O$18,0))))),1,0)</f>
        <v>0</v>
      </c>
      <c r="Y22">
        <f>IF((AND(VLOOKUP(Y$1,main!$A$3:$H$102,5,FALSE)-VLOOKUP($A22,main!$A$3:$H$102,6,FALSE)&gt;=(VLOOKUP(VLOOKUP(Y$1,main!$A$3:$H$102,8,FALSE),main!$K$26:$M$29,2,FALSE)+VLOOKUP(VLOOKUP(Y$1,main!$A$3:$H$102,7,FALSE),main!$K$19:$O$22,MATCH(VLOOKUP($A22,main!$A$3:$H$102,8,FALSE),main!$K$18:$O$18,0))))),1,0)</f>
        <v>0</v>
      </c>
      <c r="Z22">
        <f>IF((AND(VLOOKUP(Z$1,main!$A$3:$H$102,5,FALSE)-VLOOKUP($A22,main!$A$3:$H$102,6,FALSE)&gt;=(VLOOKUP(VLOOKUP(Z$1,main!$A$3:$H$102,8,FALSE),main!$K$26:$M$29,2,FALSE)+VLOOKUP(VLOOKUP(Z$1,main!$A$3:$H$102,7,FALSE),main!$K$19:$O$22,MATCH(VLOOKUP($A22,main!$A$3:$H$102,8,FALSE),main!$K$18:$O$18,0))))),1,0)</f>
        <v>0</v>
      </c>
      <c r="AA22">
        <f>IF((AND(VLOOKUP(AA$1,main!$A$3:$H$102,5,FALSE)-VLOOKUP($A22,main!$A$3:$H$102,6,FALSE)&gt;=(VLOOKUP(VLOOKUP(AA$1,main!$A$3:$H$102,8,FALSE),main!$K$26:$M$29,2,FALSE)+VLOOKUP(VLOOKUP(AA$1,main!$A$3:$H$102,7,FALSE),main!$K$19:$O$22,MATCH(VLOOKUP($A22,main!$A$3:$H$102,8,FALSE),main!$K$18:$O$18,0))))),1,0)</f>
        <v>0</v>
      </c>
      <c r="AB22">
        <f>IF((AND(VLOOKUP(AB$1,main!$A$3:$H$102,5,FALSE)-VLOOKUP($A22,main!$A$3:$H$102,6,FALSE)&gt;=(VLOOKUP(VLOOKUP(AB$1,main!$A$3:$H$102,8,FALSE),main!$K$26:$M$29,2,FALSE)+VLOOKUP(VLOOKUP(AB$1,main!$A$3:$H$102,7,FALSE),main!$K$19:$O$22,MATCH(VLOOKUP($A22,main!$A$3:$H$102,8,FALSE),main!$K$18:$O$18,0))))),1,0)</f>
        <v>0</v>
      </c>
      <c r="AC22">
        <f>IF((AND(VLOOKUP(AC$1,main!$A$3:$H$102,5,FALSE)-VLOOKUP($A22,main!$A$3:$H$102,6,FALSE)&gt;=(VLOOKUP(VLOOKUP(AC$1,main!$A$3:$H$102,8,FALSE),main!$K$26:$M$29,2,FALSE)+VLOOKUP(VLOOKUP(AC$1,main!$A$3:$H$102,7,FALSE),main!$K$19:$O$22,MATCH(VLOOKUP($A22,main!$A$3:$H$102,8,FALSE),main!$K$18:$O$18,0))))),1,0)</f>
        <v>0</v>
      </c>
      <c r="AD22">
        <f>IF((AND(VLOOKUP(AD$1,main!$A$3:$H$102,5,FALSE)-VLOOKUP($A22,main!$A$3:$H$102,6,FALSE)&gt;=(VLOOKUP(VLOOKUP(AD$1,main!$A$3:$H$102,8,FALSE),main!$K$26:$M$29,2,FALSE)+VLOOKUP(VLOOKUP(AD$1,main!$A$3:$H$102,7,FALSE),main!$K$19:$O$22,MATCH(VLOOKUP($A22,main!$A$3:$H$102,8,FALSE),main!$K$18:$O$18,0))))),1,0)</f>
        <v>0</v>
      </c>
      <c r="AE22">
        <f>IF((AND(VLOOKUP(AE$1,main!$A$3:$H$102,5,FALSE)-VLOOKUP($A22,main!$A$3:$H$102,6,FALSE)&gt;=(VLOOKUP(VLOOKUP(AE$1,main!$A$3:$H$102,8,FALSE),main!$K$26:$M$29,2,FALSE)+VLOOKUP(VLOOKUP(AE$1,main!$A$3:$H$102,7,FALSE),main!$K$19:$O$22,MATCH(VLOOKUP($A22,main!$A$3:$H$102,8,FALSE),main!$K$18:$O$18,0))))),1,0)</f>
        <v>0</v>
      </c>
      <c r="AF22">
        <f>IF((AND(VLOOKUP(AF$1,main!$A$3:$H$102,5,FALSE)-VLOOKUP($A22,main!$A$3:$H$102,6,FALSE)&gt;=(VLOOKUP(VLOOKUP(AF$1,main!$A$3:$H$102,8,FALSE),main!$K$26:$M$29,2,FALSE)+VLOOKUP(VLOOKUP(AF$1,main!$A$3:$H$102,7,FALSE),main!$K$19:$O$22,MATCH(VLOOKUP($A22,main!$A$3:$H$102,8,FALSE),main!$K$18:$O$18,0))))),1,0)</f>
        <v>0</v>
      </c>
      <c r="AG22">
        <f>IF((AND(VLOOKUP(AG$1,main!$A$3:$H$102,5,FALSE)-VLOOKUP($A22,main!$A$3:$H$102,6,FALSE)&gt;=(VLOOKUP(VLOOKUP(AG$1,main!$A$3:$H$102,8,FALSE),main!$K$26:$M$29,2,FALSE)+VLOOKUP(VLOOKUP(AG$1,main!$A$3:$H$102,7,FALSE),main!$K$19:$O$22,MATCH(VLOOKUP($A22,main!$A$3:$H$102,8,FALSE),main!$K$18:$O$18,0))))),1,0)</f>
        <v>0</v>
      </c>
      <c r="AH22">
        <f>IF((AND(VLOOKUP(AH$1,main!$A$3:$H$102,5,FALSE)-VLOOKUP($A22,main!$A$3:$H$102,6,FALSE)&gt;=(VLOOKUP(VLOOKUP(AH$1,main!$A$3:$H$102,8,FALSE),main!$K$26:$M$29,2,FALSE)+VLOOKUP(VLOOKUP(AH$1,main!$A$3:$H$102,7,FALSE),main!$K$19:$O$22,MATCH(VLOOKUP($A22,main!$A$3:$H$102,8,FALSE),main!$K$18:$O$18,0))))),1,0)</f>
        <v>0</v>
      </c>
      <c r="AI22">
        <f>IF((AND(VLOOKUP(AI$1,main!$A$3:$H$102,5,FALSE)-VLOOKUP($A22,main!$A$3:$H$102,6,FALSE)&gt;=(VLOOKUP(VLOOKUP(AI$1,main!$A$3:$H$102,8,FALSE),main!$K$26:$M$29,2,FALSE)+VLOOKUP(VLOOKUP(AI$1,main!$A$3:$H$102,7,FALSE),main!$K$19:$O$22,MATCH(VLOOKUP($A22,main!$A$3:$H$102,8,FALSE),main!$K$18:$O$18,0))))),1,0)</f>
        <v>0</v>
      </c>
      <c r="AJ22">
        <f>IF((AND(VLOOKUP(AJ$1,main!$A$3:$H$102,5,FALSE)-VLOOKUP($A22,main!$A$3:$H$102,6,FALSE)&gt;=(VLOOKUP(VLOOKUP(AJ$1,main!$A$3:$H$102,8,FALSE),main!$K$26:$M$29,2,FALSE)+VLOOKUP(VLOOKUP(AJ$1,main!$A$3:$H$102,7,FALSE),main!$K$19:$O$22,MATCH(VLOOKUP($A22,main!$A$3:$H$102,8,FALSE),main!$K$18:$O$18,0))))),1,0)</f>
        <v>0</v>
      </c>
      <c r="AK22">
        <f>IF((AND(VLOOKUP(AK$1,main!$A$3:$H$102,5,FALSE)-VLOOKUP($A22,main!$A$3:$H$102,6,FALSE)&gt;=(VLOOKUP(VLOOKUP(AK$1,main!$A$3:$H$102,8,FALSE),main!$K$26:$M$29,2,FALSE)+VLOOKUP(VLOOKUP(AK$1,main!$A$3:$H$102,7,FALSE),main!$K$19:$O$22,MATCH(VLOOKUP($A22,main!$A$3:$H$102,8,FALSE),main!$K$18:$O$18,0))))),1,0)</f>
        <v>0</v>
      </c>
      <c r="AL22">
        <f>IF((AND(VLOOKUP(AL$1,main!$A$3:$H$102,5,FALSE)-VLOOKUP($A22,main!$A$3:$H$102,6,FALSE)&gt;=(VLOOKUP(VLOOKUP(AL$1,main!$A$3:$H$102,8,FALSE),main!$K$26:$M$29,2,FALSE)+VLOOKUP(VLOOKUP(AL$1,main!$A$3:$H$102,7,FALSE),main!$K$19:$O$22,MATCH(VLOOKUP($A22,main!$A$3:$H$102,8,FALSE),main!$K$18:$O$18,0))))),1,0)</f>
        <v>0</v>
      </c>
      <c r="AM22">
        <f>IF((AND(VLOOKUP(AM$1,main!$A$3:$H$102,5,FALSE)-VLOOKUP($A22,main!$A$3:$H$102,6,FALSE)&gt;=(VLOOKUP(VLOOKUP(AM$1,main!$A$3:$H$102,8,FALSE),main!$K$26:$M$29,2,FALSE)+VLOOKUP(VLOOKUP(AM$1,main!$A$3:$H$102,7,FALSE),main!$K$19:$O$22,MATCH(VLOOKUP($A22,main!$A$3:$H$102,8,FALSE),main!$K$18:$O$18,0))))),1,0)</f>
        <v>0</v>
      </c>
      <c r="AN22">
        <f>IF((AND(VLOOKUP(AN$1,main!$A$3:$H$102,5,FALSE)-VLOOKUP($A22,main!$A$3:$H$102,6,FALSE)&gt;=(VLOOKUP(VLOOKUP(AN$1,main!$A$3:$H$102,8,FALSE),main!$K$26:$M$29,2,FALSE)+VLOOKUP(VLOOKUP(AN$1,main!$A$3:$H$102,7,FALSE),main!$K$19:$O$22,MATCH(VLOOKUP($A22,main!$A$3:$H$102,8,FALSE),main!$K$18:$O$18,0))))),1,0)</f>
        <v>0</v>
      </c>
      <c r="AO22">
        <f>IF((AND(VLOOKUP(AO$1,main!$A$3:$H$102,5,FALSE)-VLOOKUP($A22,main!$A$3:$H$102,6,FALSE)&gt;=(VLOOKUP(VLOOKUP(AO$1,main!$A$3:$H$102,8,FALSE),main!$K$26:$M$29,2,FALSE)+VLOOKUP(VLOOKUP(AO$1,main!$A$3:$H$102,7,FALSE),main!$K$19:$O$22,MATCH(VLOOKUP($A22,main!$A$3:$H$102,8,FALSE),main!$K$18:$O$18,0))))),1,0)</f>
        <v>0</v>
      </c>
      <c r="AP22">
        <f>IF((AND(VLOOKUP(AP$1,main!$A$3:$H$102,5,FALSE)-VLOOKUP($A22,main!$A$3:$H$102,6,FALSE)&gt;=(VLOOKUP(VLOOKUP(AP$1,main!$A$3:$H$102,8,FALSE),main!$K$26:$M$29,2,FALSE)+VLOOKUP(VLOOKUP(AP$1,main!$A$3:$H$102,7,FALSE),main!$K$19:$O$22,MATCH(VLOOKUP($A22,main!$A$3:$H$102,8,FALSE),main!$K$18:$O$18,0))))),1,0)</f>
        <v>0</v>
      </c>
      <c r="AQ22">
        <f>IF((AND(VLOOKUP(AQ$1,main!$A$3:$H$102,5,FALSE)-VLOOKUP($A22,main!$A$3:$H$102,6,FALSE)&gt;=(VLOOKUP(VLOOKUP(AQ$1,main!$A$3:$H$102,8,FALSE),main!$K$26:$M$29,2,FALSE)+VLOOKUP(VLOOKUP(AQ$1,main!$A$3:$H$102,7,FALSE),main!$K$19:$O$22,MATCH(VLOOKUP($A22,main!$A$3:$H$102,8,FALSE),main!$K$18:$O$18,0))))),1,0)</f>
        <v>0</v>
      </c>
      <c r="AR22">
        <f>IF((AND(VLOOKUP(AR$1,main!$A$3:$H$102,5,FALSE)-VLOOKUP($A22,main!$A$3:$H$102,6,FALSE)&gt;=(VLOOKUP(VLOOKUP(AR$1,main!$A$3:$H$102,8,FALSE),main!$K$26:$M$29,2,FALSE)+VLOOKUP(VLOOKUP(AR$1,main!$A$3:$H$102,7,FALSE),main!$K$19:$O$22,MATCH(VLOOKUP($A22,main!$A$3:$H$102,8,FALSE),main!$K$18:$O$18,0))))),1,0)</f>
        <v>0</v>
      </c>
      <c r="AS22">
        <f>IF((AND(VLOOKUP(AS$1,main!$A$3:$H$102,5,FALSE)-VLOOKUP($A22,main!$A$3:$H$102,6,FALSE)&gt;=(VLOOKUP(VLOOKUP(AS$1,main!$A$3:$H$102,8,FALSE),main!$K$26:$M$29,2,FALSE)+VLOOKUP(VLOOKUP(AS$1,main!$A$3:$H$102,7,FALSE),main!$K$19:$O$22,MATCH(VLOOKUP($A22,main!$A$3:$H$102,8,FALSE),main!$K$18:$O$18,0))))),1,0)</f>
        <v>0</v>
      </c>
      <c r="AT22">
        <f>IF((AND(VLOOKUP(AT$1,main!$A$3:$H$102,5,FALSE)-VLOOKUP($A22,main!$A$3:$H$102,6,FALSE)&gt;=(VLOOKUP(VLOOKUP(AT$1,main!$A$3:$H$102,8,FALSE),main!$K$26:$M$29,2,FALSE)+VLOOKUP(VLOOKUP(AT$1,main!$A$3:$H$102,7,FALSE),main!$K$19:$O$22,MATCH(VLOOKUP($A22,main!$A$3:$H$102,8,FALSE),main!$K$18:$O$18,0))))),1,0)</f>
        <v>0</v>
      </c>
      <c r="AU22">
        <f>IF((AND(VLOOKUP(AU$1,main!$A$3:$H$102,5,FALSE)-VLOOKUP($A22,main!$A$3:$H$102,6,FALSE)&gt;=(VLOOKUP(VLOOKUP(AU$1,main!$A$3:$H$102,8,FALSE),main!$K$26:$M$29,2,FALSE)+VLOOKUP(VLOOKUP(AU$1,main!$A$3:$H$102,7,FALSE),main!$K$19:$O$22,MATCH(VLOOKUP($A22,main!$A$3:$H$102,8,FALSE),main!$K$18:$O$18,0))))),1,0)</f>
        <v>0</v>
      </c>
      <c r="AV22">
        <f>IF((AND(VLOOKUP(AV$1,main!$A$3:$H$102,5,FALSE)-VLOOKUP($A22,main!$A$3:$H$102,6,FALSE)&gt;=(VLOOKUP(VLOOKUP(AV$1,main!$A$3:$H$102,8,FALSE),main!$K$26:$M$29,2,FALSE)+VLOOKUP(VLOOKUP(AV$1,main!$A$3:$H$102,7,FALSE),main!$K$19:$O$22,MATCH(VLOOKUP($A22,main!$A$3:$H$102,8,FALSE),main!$K$18:$O$18,0))))),1,0)</f>
        <v>0</v>
      </c>
      <c r="AW22">
        <f>IF((AND(VLOOKUP(AW$1,main!$A$3:$H$102,5,FALSE)-VLOOKUP($A22,main!$A$3:$H$102,6,FALSE)&gt;=(VLOOKUP(VLOOKUP(AW$1,main!$A$3:$H$102,8,FALSE),main!$K$26:$M$29,2,FALSE)+VLOOKUP(VLOOKUP(AW$1,main!$A$3:$H$102,7,FALSE),main!$K$19:$O$22,MATCH(VLOOKUP($A22,main!$A$3:$H$102,8,FALSE),main!$K$18:$O$18,0))))),1,0)</f>
        <v>0</v>
      </c>
      <c r="AX22">
        <f>IF((AND(VLOOKUP(AX$1,main!$A$3:$H$102,5,FALSE)-VLOOKUP($A22,main!$A$3:$H$102,6,FALSE)&gt;=(VLOOKUP(VLOOKUP(AX$1,main!$A$3:$H$102,8,FALSE),main!$K$26:$M$29,2,FALSE)+VLOOKUP(VLOOKUP(AX$1,main!$A$3:$H$102,7,FALSE),main!$K$19:$O$22,MATCH(VLOOKUP($A22,main!$A$3:$H$102,8,FALSE),main!$K$18:$O$18,0))))),1,0)</f>
        <v>0</v>
      </c>
      <c r="AY22">
        <f>IF((AND(VLOOKUP(AY$1,main!$A$3:$H$102,5,FALSE)-VLOOKUP($A22,main!$A$3:$H$102,6,FALSE)&gt;=(VLOOKUP(VLOOKUP(AY$1,main!$A$3:$H$102,8,FALSE),main!$K$26:$M$29,2,FALSE)+VLOOKUP(VLOOKUP(AY$1,main!$A$3:$H$102,7,FALSE),main!$K$19:$O$22,MATCH(VLOOKUP($A22,main!$A$3:$H$102,8,FALSE),main!$K$18:$O$18,0))))),1,0)</f>
        <v>0</v>
      </c>
      <c r="AZ22">
        <f>IF((AND(VLOOKUP(AZ$1,main!$A$3:$H$102,5,FALSE)-VLOOKUP($A22,main!$A$3:$H$102,6,FALSE)&gt;=(VLOOKUP(VLOOKUP(AZ$1,main!$A$3:$H$102,8,FALSE),main!$K$26:$M$29,2,FALSE)+VLOOKUP(VLOOKUP(AZ$1,main!$A$3:$H$102,7,FALSE),main!$K$19:$O$22,MATCH(VLOOKUP($A22,main!$A$3:$H$102,8,FALSE),main!$K$18:$O$18,0))))),1,0)</f>
        <v>0</v>
      </c>
      <c r="BA22">
        <f>IF((AND(VLOOKUP(BA$1,main!$A$3:$H$102,5,FALSE)-VLOOKUP($A22,main!$A$3:$H$102,6,FALSE)&gt;=(VLOOKUP(VLOOKUP(BA$1,main!$A$3:$H$102,8,FALSE),main!$K$26:$M$29,2,FALSE)+VLOOKUP(VLOOKUP(BA$1,main!$A$3:$H$102,7,FALSE),main!$K$19:$O$22,MATCH(VLOOKUP($A22,main!$A$3:$H$102,8,FALSE),main!$K$18:$O$18,0))))),1,0)</f>
        <v>0</v>
      </c>
      <c r="BB22">
        <f>IF((AND(VLOOKUP(BB$1,main!$A$3:$H$102,5,FALSE)-VLOOKUP($A22,main!$A$3:$H$102,6,FALSE)&gt;=(VLOOKUP(VLOOKUP(BB$1,main!$A$3:$H$102,8,FALSE),main!$K$26:$M$29,2,FALSE)+VLOOKUP(VLOOKUP(BB$1,main!$A$3:$H$102,7,FALSE),main!$K$19:$O$22,MATCH(VLOOKUP($A22,main!$A$3:$H$102,8,FALSE),main!$K$18:$O$18,0))))),1,0)</f>
        <v>0</v>
      </c>
      <c r="BC22">
        <f>IF((AND(VLOOKUP(BC$1,main!$A$3:$H$102,5,FALSE)-VLOOKUP($A22,main!$A$3:$H$102,6,FALSE)&gt;=(VLOOKUP(VLOOKUP(BC$1,main!$A$3:$H$102,8,FALSE),main!$K$26:$M$29,2,FALSE)+VLOOKUP(VLOOKUP(BC$1,main!$A$3:$H$102,7,FALSE),main!$K$19:$O$22,MATCH(VLOOKUP($A22,main!$A$3:$H$102,8,FALSE),main!$K$18:$O$18,0))))),1,0)</f>
        <v>0</v>
      </c>
      <c r="BD22">
        <f>IF((AND(VLOOKUP(BD$1,main!$A$3:$H$102,5,FALSE)-VLOOKUP($A22,main!$A$3:$H$102,6,FALSE)&gt;=(VLOOKUP(VLOOKUP(BD$1,main!$A$3:$H$102,8,FALSE),main!$K$26:$M$29,2,FALSE)+VLOOKUP(VLOOKUP(BD$1,main!$A$3:$H$102,7,FALSE),main!$K$19:$O$22,MATCH(VLOOKUP($A22,main!$A$3:$H$102,8,FALSE),main!$K$18:$O$18,0))))),1,0)</f>
        <v>0</v>
      </c>
      <c r="BE22">
        <f>IF((AND(VLOOKUP(BE$1,main!$A$3:$H$102,5,FALSE)-VLOOKUP($A22,main!$A$3:$H$102,6,FALSE)&gt;=(VLOOKUP(VLOOKUP(BE$1,main!$A$3:$H$102,8,FALSE),main!$K$26:$M$29,2,FALSE)+VLOOKUP(VLOOKUP(BE$1,main!$A$3:$H$102,7,FALSE),main!$K$19:$O$22,MATCH(VLOOKUP($A22,main!$A$3:$H$102,8,FALSE),main!$K$18:$O$18,0))))),1,0)</f>
        <v>0</v>
      </c>
      <c r="BF22">
        <f>IF((AND(VLOOKUP(BF$1,main!$A$3:$H$102,5,FALSE)-VLOOKUP($A22,main!$A$3:$H$102,6,FALSE)&gt;=(VLOOKUP(VLOOKUP(BF$1,main!$A$3:$H$102,8,FALSE),main!$K$26:$M$29,2,FALSE)+VLOOKUP(VLOOKUP(BF$1,main!$A$3:$H$102,7,FALSE),main!$K$19:$O$22,MATCH(VLOOKUP($A22,main!$A$3:$H$102,8,FALSE),main!$K$18:$O$18,0))))),1,0)</f>
        <v>0</v>
      </c>
      <c r="BG22">
        <f>IF((AND(VLOOKUP(BG$1,main!$A$3:$H$102,5,FALSE)-VLOOKUP($A22,main!$A$3:$H$102,6,FALSE)&gt;=(VLOOKUP(VLOOKUP(BG$1,main!$A$3:$H$102,8,FALSE),main!$K$26:$M$29,2,FALSE)+VLOOKUP(VLOOKUP(BG$1,main!$A$3:$H$102,7,FALSE),main!$K$19:$O$22,MATCH(VLOOKUP($A22,main!$A$3:$H$102,8,FALSE),main!$K$18:$O$18,0))))),1,0)</f>
        <v>0</v>
      </c>
      <c r="BH22">
        <f>IF((AND(VLOOKUP(BH$1,main!$A$3:$H$102,5,FALSE)-VLOOKUP($A22,main!$A$3:$H$102,6,FALSE)&gt;=(VLOOKUP(VLOOKUP(BH$1,main!$A$3:$H$102,8,FALSE),main!$K$26:$M$29,2,FALSE)+VLOOKUP(VLOOKUP(BH$1,main!$A$3:$H$102,7,FALSE),main!$K$19:$O$22,MATCH(VLOOKUP($A22,main!$A$3:$H$102,8,FALSE),main!$K$18:$O$18,0))))),1,0)</f>
        <v>0</v>
      </c>
      <c r="BI22">
        <f>IF((AND(VLOOKUP(BI$1,main!$A$3:$H$102,5,FALSE)-VLOOKUP($A22,main!$A$3:$H$102,6,FALSE)&gt;=(VLOOKUP(VLOOKUP(BI$1,main!$A$3:$H$102,8,FALSE),main!$K$26:$M$29,2,FALSE)+VLOOKUP(VLOOKUP(BI$1,main!$A$3:$H$102,7,FALSE),main!$K$19:$O$22,MATCH(VLOOKUP($A22,main!$A$3:$H$102,8,FALSE),main!$K$18:$O$18,0))))),1,0)</f>
        <v>0</v>
      </c>
      <c r="BJ22">
        <f>IF((AND(VLOOKUP(BJ$1,main!$A$3:$H$102,5,FALSE)-VLOOKUP($A22,main!$A$3:$H$102,6,FALSE)&gt;=(VLOOKUP(VLOOKUP(BJ$1,main!$A$3:$H$102,8,FALSE),main!$K$26:$M$29,2,FALSE)+VLOOKUP(VLOOKUP(BJ$1,main!$A$3:$H$102,7,FALSE),main!$K$19:$O$22,MATCH(VLOOKUP($A22,main!$A$3:$H$102,8,FALSE),main!$K$18:$O$18,0))))),1,0)</f>
        <v>0</v>
      </c>
      <c r="BK22">
        <f>IF((AND(VLOOKUP(BK$1,main!$A$3:$H$102,5,FALSE)-VLOOKUP($A22,main!$A$3:$H$102,6,FALSE)&gt;=(VLOOKUP(VLOOKUP(BK$1,main!$A$3:$H$102,8,FALSE),main!$K$26:$M$29,2,FALSE)+VLOOKUP(VLOOKUP(BK$1,main!$A$3:$H$102,7,FALSE),main!$K$19:$O$22,MATCH(VLOOKUP($A22,main!$A$3:$H$102,8,FALSE),main!$K$18:$O$18,0))))),1,0)</f>
        <v>0</v>
      </c>
      <c r="BL22">
        <f>IF((AND(VLOOKUP(BL$1,main!$A$3:$H$102,5,FALSE)-VLOOKUP($A22,main!$A$3:$H$102,6,FALSE)&gt;=(VLOOKUP(VLOOKUP(BL$1,main!$A$3:$H$102,8,FALSE),main!$K$26:$M$29,2,FALSE)+VLOOKUP(VLOOKUP(BL$1,main!$A$3:$H$102,7,FALSE),main!$K$19:$O$22,MATCH(VLOOKUP($A22,main!$A$3:$H$102,8,FALSE),main!$K$18:$O$18,0))))),1,0)</f>
        <v>0</v>
      </c>
      <c r="BM22">
        <f>IF((AND(VLOOKUP(BM$1,main!$A$3:$H$102,5,FALSE)-VLOOKUP($A22,main!$A$3:$H$102,6,FALSE)&gt;=(VLOOKUP(VLOOKUP(BM$1,main!$A$3:$H$102,8,FALSE),main!$K$26:$M$29,2,FALSE)+VLOOKUP(VLOOKUP(BM$1,main!$A$3:$H$102,7,FALSE),main!$K$19:$O$22,MATCH(VLOOKUP($A22,main!$A$3:$H$102,8,FALSE),main!$K$18:$O$18,0))))),1,0)</f>
        <v>0</v>
      </c>
      <c r="BN22">
        <f>IF((AND(VLOOKUP(BN$1,main!$A$3:$H$102,5,FALSE)-VLOOKUP($A22,main!$A$3:$H$102,6,FALSE)&gt;=(VLOOKUP(VLOOKUP(BN$1,main!$A$3:$H$102,8,FALSE),main!$K$26:$M$29,2,FALSE)+VLOOKUP(VLOOKUP(BN$1,main!$A$3:$H$102,7,FALSE),main!$K$19:$O$22,MATCH(VLOOKUP($A22,main!$A$3:$H$102,8,FALSE),main!$K$18:$O$18,0))))),1,0)</f>
        <v>0</v>
      </c>
      <c r="BO22">
        <f>IF((AND(VLOOKUP(BO$1,main!$A$3:$H$102,5,FALSE)-VLOOKUP($A22,main!$A$3:$H$102,6,FALSE)&gt;=(VLOOKUP(VLOOKUP(BO$1,main!$A$3:$H$102,8,FALSE),main!$K$26:$M$29,2,FALSE)+VLOOKUP(VLOOKUP(BO$1,main!$A$3:$H$102,7,FALSE),main!$K$19:$O$22,MATCH(VLOOKUP($A22,main!$A$3:$H$102,8,FALSE),main!$K$18:$O$18,0))))),1,0)</f>
        <v>0</v>
      </c>
      <c r="BP22">
        <f>IF((AND(VLOOKUP(BP$1,main!$A$3:$H$102,5,FALSE)-VLOOKUP($A22,main!$A$3:$H$102,6,FALSE)&gt;=(VLOOKUP(VLOOKUP(BP$1,main!$A$3:$H$102,8,FALSE),main!$K$26:$M$29,2,FALSE)+VLOOKUP(VLOOKUP(BP$1,main!$A$3:$H$102,7,FALSE),main!$K$19:$O$22,MATCH(VLOOKUP($A22,main!$A$3:$H$102,8,FALSE),main!$K$18:$O$18,0))))),1,0)</f>
        <v>0</v>
      </c>
      <c r="BQ22">
        <f>IF((AND(VLOOKUP(BQ$1,main!$A$3:$H$102,5,FALSE)-VLOOKUP($A22,main!$A$3:$H$102,6,FALSE)&gt;=(VLOOKUP(VLOOKUP(BQ$1,main!$A$3:$H$102,8,FALSE),main!$K$26:$M$29,2,FALSE)+VLOOKUP(VLOOKUP(BQ$1,main!$A$3:$H$102,7,FALSE),main!$K$19:$O$22,MATCH(VLOOKUP($A22,main!$A$3:$H$102,8,FALSE),main!$K$18:$O$18,0))))),1,0)</f>
        <v>0</v>
      </c>
      <c r="BR22">
        <f>IF((AND(VLOOKUP(BR$1,main!$A$3:$H$102,5,FALSE)-VLOOKUP($A22,main!$A$3:$H$102,6,FALSE)&gt;=(VLOOKUP(VLOOKUP(BR$1,main!$A$3:$H$102,8,FALSE),main!$K$26:$M$29,2,FALSE)+VLOOKUP(VLOOKUP(BR$1,main!$A$3:$H$102,7,FALSE),main!$K$19:$O$22,MATCH(VLOOKUP($A22,main!$A$3:$H$102,8,FALSE),main!$K$18:$O$18,0))))),1,0)</f>
        <v>0</v>
      </c>
      <c r="BS22">
        <f>IF((AND(VLOOKUP(BS$1,main!$A$3:$H$102,5,FALSE)-VLOOKUP($A22,main!$A$3:$H$102,6,FALSE)&gt;=(VLOOKUP(VLOOKUP(BS$1,main!$A$3:$H$102,8,FALSE),main!$K$26:$M$29,2,FALSE)+VLOOKUP(VLOOKUP(BS$1,main!$A$3:$H$102,7,FALSE),main!$K$19:$O$22,MATCH(VLOOKUP($A22,main!$A$3:$H$102,8,FALSE),main!$K$18:$O$18,0))))),1,0)</f>
        <v>0</v>
      </c>
      <c r="BT22">
        <f>IF((AND(VLOOKUP(BT$1,main!$A$3:$H$102,5,FALSE)-VLOOKUP($A22,main!$A$3:$H$102,6,FALSE)&gt;=(VLOOKUP(VLOOKUP(BT$1,main!$A$3:$H$102,8,FALSE),main!$K$26:$M$29,2,FALSE)+VLOOKUP(VLOOKUP(BT$1,main!$A$3:$H$102,7,FALSE),main!$K$19:$O$22,MATCH(VLOOKUP($A22,main!$A$3:$H$102,8,FALSE),main!$K$18:$O$18,0))))),1,0)</f>
        <v>0</v>
      </c>
      <c r="BU22">
        <f>IF((AND(VLOOKUP(BU$1,main!$A$3:$H$102,5,FALSE)-VLOOKUP($A22,main!$A$3:$H$102,6,FALSE)&gt;=(VLOOKUP(VLOOKUP(BU$1,main!$A$3:$H$102,8,FALSE),main!$K$26:$M$29,2,FALSE)+VLOOKUP(VLOOKUP(BU$1,main!$A$3:$H$102,7,FALSE),main!$K$19:$O$22,MATCH(VLOOKUP($A22,main!$A$3:$H$102,8,FALSE),main!$K$18:$O$18,0))))),1,0)</f>
        <v>0</v>
      </c>
      <c r="BV22">
        <f>IF((AND(VLOOKUP(BV$1,main!$A$3:$H$102,5,FALSE)-VLOOKUP($A22,main!$A$3:$H$102,6,FALSE)&gt;=(VLOOKUP(VLOOKUP(BV$1,main!$A$3:$H$102,8,FALSE),main!$K$26:$M$29,2,FALSE)+VLOOKUP(VLOOKUP(BV$1,main!$A$3:$H$102,7,FALSE),main!$K$19:$O$22,MATCH(VLOOKUP($A22,main!$A$3:$H$102,8,FALSE),main!$K$18:$O$18,0))))),1,0)</f>
        <v>0</v>
      </c>
      <c r="BW22">
        <f>IF((AND(VLOOKUP(BW$1,main!$A$3:$H$102,5,FALSE)-VLOOKUP($A22,main!$A$3:$H$102,6,FALSE)&gt;=(VLOOKUP(VLOOKUP(BW$1,main!$A$3:$H$102,8,FALSE),main!$K$26:$M$29,2,FALSE)+VLOOKUP(VLOOKUP(BW$1,main!$A$3:$H$102,7,FALSE),main!$K$19:$O$22,MATCH(VLOOKUP($A22,main!$A$3:$H$102,8,FALSE),main!$K$18:$O$18,0))))),1,0)</f>
        <v>0</v>
      </c>
      <c r="BX22">
        <f>IF((AND(VLOOKUP(BX$1,main!$A$3:$H$102,5,FALSE)-VLOOKUP($A22,main!$A$3:$H$102,6,FALSE)&gt;=(VLOOKUP(VLOOKUP(BX$1,main!$A$3:$H$102,8,FALSE),main!$K$26:$M$29,2,FALSE)+VLOOKUP(VLOOKUP(BX$1,main!$A$3:$H$102,7,FALSE),main!$K$19:$O$22,MATCH(VLOOKUP($A22,main!$A$3:$H$102,8,FALSE),main!$K$18:$O$18,0))))),1,0)</f>
        <v>0</v>
      </c>
      <c r="BY22">
        <f>IF((AND(VLOOKUP(BY$1,main!$A$3:$H$102,5,FALSE)-VLOOKUP($A22,main!$A$3:$H$102,6,FALSE)&gt;=(VLOOKUP(VLOOKUP(BY$1,main!$A$3:$H$102,8,FALSE),main!$K$26:$M$29,2,FALSE)+VLOOKUP(VLOOKUP(BY$1,main!$A$3:$H$102,7,FALSE),main!$K$19:$O$22,MATCH(VLOOKUP($A22,main!$A$3:$H$102,8,FALSE),main!$K$18:$O$18,0))))),1,0)</f>
        <v>0</v>
      </c>
      <c r="BZ22">
        <f>IF((AND(VLOOKUP(BZ$1,main!$A$3:$H$102,5,FALSE)-VLOOKUP($A22,main!$A$3:$H$102,6,FALSE)&gt;=(VLOOKUP(VLOOKUP(BZ$1,main!$A$3:$H$102,8,FALSE),main!$K$26:$M$29,2,FALSE)+VLOOKUP(VLOOKUP(BZ$1,main!$A$3:$H$102,7,FALSE),main!$K$19:$O$22,MATCH(VLOOKUP($A22,main!$A$3:$H$102,8,FALSE),main!$K$18:$O$18,0))))),1,0)</f>
        <v>0</v>
      </c>
      <c r="CA22">
        <f>IF((AND(VLOOKUP(CA$1,main!$A$3:$H$102,5,FALSE)-VLOOKUP($A22,main!$A$3:$H$102,6,FALSE)&gt;=(VLOOKUP(VLOOKUP(CA$1,main!$A$3:$H$102,8,FALSE),main!$K$26:$M$29,2,FALSE)+VLOOKUP(VLOOKUP(CA$1,main!$A$3:$H$102,7,FALSE),main!$K$19:$O$22,MATCH(VLOOKUP($A22,main!$A$3:$H$102,8,FALSE),main!$K$18:$O$18,0))))),1,0)</f>
        <v>0</v>
      </c>
      <c r="CB22">
        <f>IF((AND(VLOOKUP(CB$1,main!$A$3:$H$102,5,FALSE)-VLOOKUP($A22,main!$A$3:$H$102,6,FALSE)&gt;=(VLOOKUP(VLOOKUP(CB$1,main!$A$3:$H$102,8,FALSE),main!$K$26:$M$29,2,FALSE)+VLOOKUP(VLOOKUP(CB$1,main!$A$3:$H$102,7,FALSE),main!$K$19:$O$22,MATCH(VLOOKUP($A22,main!$A$3:$H$102,8,FALSE),main!$K$18:$O$18,0))))),1,0)</f>
        <v>0</v>
      </c>
      <c r="CC22">
        <f>IF((AND(VLOOKUP(CC$1,main!$A$3:$H$102,5,FALSE)-VLOOKUP($A22,main!$A$3:$H$102,6,FALSE)&gt;=(VLOOKUP(VLOOKUP(CC$1,main!$A$3:$H$102,8,FALSE),main!$K$26:$M$29,2,FALSE)+VLOOKUP(VLOOKUP(CC$1,main!$A$3:$H$102,7,FALSE),main!$K$19:$O$22,MATCH(VLOOKUP($A22,main!$A$3:$H$102,8,FALSE),main!$K$18:$O$18,0))))),1,0)</f>
        <v>0</v>
      </c>
      <c r="CD22">
        <f>IF((AND(VLOOKUP(CD$1,main!$A$3:$H$102,5,FALSE)-VLOOKUP($A22,main!$A$3:$H$102,6,FALSE)&gt;=(VLOOKUP(VLOOKUP(CD$1,main!$A$3:$H$102,8,FALSE),main!$K$26:$M$29,2,FALSE)+VLOOKUP(VLOOKUP(CD$1,main!$A$3:$H$102,7,FALSE),main!$K$19:$O$22,MATCH(VLOOKUP($A22,main!$A$3:$H$102,8,FALSE),main!$K$18:$O$18,0))))),1,0)</f>
        <v>0</v>
      </c>
      <c r="CE22">
        <f>IF((AND(VLOOKUP(CE$1,main!$A$3:$H$102,5,FALSE)-VLOOKUP($A22,main!$A$3:$H$102,6,FALSE)&gt;=(VLOOKUP(VLOOKUP(CE$1,main!$A$3:$H$102,8,FALSE),main!$K$26:$M$29,2,FALSE)+VLOOKUP(VLOOKUP(CE$1,main!$A$3:$H$102,7,FALSE),main!$K$19:$O$22,MATCH(VLOOKUP($A22,main!$A$3:$H$102,8,FALSE),main!$K$18:$O$18,0))))),1,0)</f>
        <v>0</v>
      </c>
      <c r="CF22">
        <f>IF((AND(VLOOKUP(CF$1,main!$A$3:$H$102,5,FALSE)-VLOOKUP($A22,main!$A$3:$H$102,6,FALSE)&gt;=(VLOOKUP(VLOOKUP(CF$1,main!$A$3:$H$102,8,FALSE),main!$K$26:$M$29,2,FALSE)+VLOOKUP(VLOOKUP(CF$1,main!$A$3:$H$102,7,FALSE),main!$K$19:$O$22,MATCH(VLOOKUP($A22,main!$A$3:$H$102,8,FALSE),main!$K$18:$O$18,0))))),1,0)</f>
        <v>0</v>
      </c>
      <c r="CG22">
        <f>IF((AND(VLOOKUP(CG$1,main!$A$3:$H$102,5,FALSE)-VLOOKUP($A22,main!$A$3:$H$102,6,FALSE)&gt;=(VLOOKUP(VLOOKUP(CG$1,main!$A$3:$H$102,8,FALSE),main!$K$26:$M$29,2,FALSE)+VLOOKUP(VLOOKUP(CG$1,main!$A$3:$H$102,7,FALSE),main!$K$19:$O$22,MATCH(VLOOKUP($A22,main!$A$3:$H$102,8,FALSE),main!$K$18:$O$18,0))))),1,0)</f>
        <v>0</v>
      </c>
      <c r="CH22">
        <f>IF((AND(VLOOKUP(CH$1,main!$A$3:$H$102,5,FALSE)-VLOOKUP($A22,main!$A$3:$H$102,6,FALSE)&gt;=(VLOOKUP(VLOOKUP(CH$1,main!$A$3:$H$102,8,FALSE),main!$K$26:$M$29,2,FALSE)+VLOOKUP(VLOOKUP(CH$1,main!$A$3:$H$102,7,FALSE),main!$K$19:$O$22,MATCH(VLOOKUP($A22,main!$A$3:$H$102,8,FALSE),main!$K$18:$O$18,0))))),1,0)</f>
        <v>0</v>
      </c>
      <c r="CI22">
        <f>IF((AND(VLOOKUP(CI$1,main!$A$3:$H$102,5,FALSE)-VLOOKUP($A22,main!$A$3:$H$102,6,FALSE)&gt;=(VLOOKUP(VLOOKUP(CI$1,main!$A$3:$H$102,8,FALSE),main!$K$26:$M$29,2,FALSE)+VLOOKUP(VLOOKUP(CI$1,main!$A$3:$H$102,7,FALSE),main!$K$19:$O$22,MATCH(VLOOKUP($A22,main!$A$3:$H$102,8,FALSE),main!$K$18:$O$18,0))))),1,0)</f>
        <v>0</v>
      </c>
      <c r="CJ22">
        <f>IF((AND(VLOOKUP(CJ$1,main!$A$3:$H$102,5,FALSE)-VLOOKUP($A22,main!$A$3:$H$102,6,FALSE)&gt;=(VLOOKUP(VLOOKUP(CJ$1,main!$A$3:$H$102,8,FALSE),main!$K$26:$M$29,2,FALSE)+VLOOKUP(VLOOKUP(CJ$1,main!$A$3:$H$102,7,FALSE),main!$K$19:$O$22,MATCH(VLOOKUP($A22,main!$A$3:$H$102,8,FALSE),main!$K$18:$O$18,0))))),1,0)</f>
        <v>0</v>
      </c>
      <c r="CK22">
        <f>IF((AND(VLOOKUP(CK$1,main!$A$3:$H$102,5,FALSE)-VLOOKUP($A22,main!$A$3:$H$102,6,FALSE)&gt;=(VLOOKUP(VLOOKUP(CK$1,main!$A$3:$H$102,8,FALSE),main!$K$26:$M$29,2,FALSE)+VLOOKUP(VLOOKUP(CK$1,main!$A$3:$H$102,7,FALSE),main!$K$19:$O$22,MATCH(VLOOKUP($A22,main!$A$3:$H$102,8,FALSE),main!$K$18:$O$18,0))))),1,0)</f>
        <v>0</v>
      </c>
      <c r="CL22">
        <f>IF((AND(VLOOKUP(CL$1,main!$A$3:$H$102,5,FALSE)-VLOOKUP($A22,main!$A$3:$H$102,6,FALSE)&gt;=(VLOOKUP(VLOOKUP(CL$1,main!$A$3:$H$102,8,FALSE),main!$K$26:$M$29,2,FALSE)+VLOOKUP(VLOOKUP(CL$1,main!$A$3:$H$102,7,FALSE),main!$K$19:$O$22,MATCH(VLOOKUP($A22,main!$A$3:$H$102,8,FALSE),main!$K$18:$O$18,0))))),1,0)</f>
        <v>0</v>
      </c>
      <c r="CM22">
        <f>IF((AND(VLOOKUP(CM$1,main!$A$3:$H$102,5,FALSE)-VLOOKUP($A22,main!$A$3:$H$102,6,FALSE)&gt;=(VLOOKUP(VLOOKUP(CM$1,main!$A$3:$H$102,8,FALSE),main!$K$26:$M$29,2,FALSE)+VLOOKUP(VLOOKUP(CM$1,main!$A$3:$H$102,7,FALSE),main!$K$19:$O$22,MATCH(VLOOKUP($A22,main!$A$3:$H$102,8,FALSE),main!$K$18:$O$18,0))))),1,0)</f>
        <v>0</v>
      </c>
      <c r="CN22">
        <f>IF((AND(VLOOKUP(CN$1,main!$A$3:$H$102,5,FALSE)-VLOOKUP($A22,main!$A$3:$H$102,6,FALSE)&gt;=(VLOOKUP(VLOOKUP(CN$1,main!$A$3:$H$102,8,FALSE),main!$K$26:$M$29,2,FALSE)+VLOOKUP(VLOOKUP(CN$1,main!$A$3:$H$102,7,FALSE),main!$K$19:$O$22,MATCH(VLOOKUP($A22,main!$A$3:$H$102,8,FALSE),main!$K$18:$O$18,0))))),1,0)</f>
        <v>0</v>
      </c>
      <c r="CO22">
        <f>IF((AND(VLOOKUP(CO$1,main!$A$3:$H$102,5,FALSE)-VLOOKUP($A22,main!$A$3:$H$102,6,FALSE)&gt;=(VLOOKUP(VLOOKUP(CO$1,main!$A$3:$H$102,8,FALSE),main!$K$26:$M$29,2,FALSE)+VLOOKUP(VLOOKUP(CO$1,main!$A$3:$H$102,7,FALSE),main!$K$19:$O$22,MATCH(VLOOKUP($A22,main!$A$3:$H$102,8,FALSE),main!$K$18:$O$18,0))))),1,0)</f>
        <v>0</v>
      </c>
      <c r="CP22">
        <f>IF((AND(VLOOKUP(CP$1,main!$A$3:$H$102,5,FALSE)-VLOOKUP($A22,main!$A$3:$H$102,6,FALSE)&gt;=(VLOOKUP(VLOOKUP(CP$1,main!$A$3:$H$102,8,FALSE),main!$K$26:$M$29,2,FALSE)+VLOOKUP(VLOOKUP(CP$1,main!$A$3:$H$102,7,FALSE),main!$K$19:$O$22,MATCH(VLOOKUP($A22,main!$A$3:$H$102,8,FALSE),main!$K$18:$O$18,0))))),1,0)</f>
        <v>0</v>
      </c>
      <c r="CQ22">
        <f>IF((AND(VLOOKUP(CQ$1,main!$A$3:$H$102,5,FALSE)-VLOOKUP($A22,main!$A$3:$H$102,6,FALSE)&gt;=(VLOOKUP(VLOOKUP(CQ$1,main!$A$3:$H$102,8,FALSE),main!$K$26:$M$29,2,FALSE)+VLOOKUP(VLOOKUP(CQ$1,main!$A$3:$H$102,7,FALSE),main!$K$19:$O$22,MATCH(VLOOKUP($A22,main!$A$3:$H$102,8,FALSE),main!$K$18:$O$18,0))))),1,0)</f>
        <v>0</v>
      </c>
      <c r="CR22">
        <f>IF((AND(VLOOKUP(CR$1,main!$A$3:$H$102,5,FALSE)-VLOOKUP($A22,main!$A$3:$H$102,6,FALSE)&gt;=(VLOOKUP(VLOOKUP(CR$1,main!$A$3:$H$102,8,FALSE),main!$K$26:$M$29,2,FALSE)+VLOOKUP(VLOOKUP(CR$1,main!$A$3:$H$102,7,FALSE),main!$K$19:$O$22,MATCH(VLOOKUP($A22,main!$A$3:$H$102,8,FALSE),main!$K$18:$O$18,0))))),1,0)</f>
        <v>0</v>
      </c>
      <c r="CS22">
        <f>IF((AND(VLOOKUP(CS$1,main!$A$3:$H$102,5,FALSE)-VLOOKUP($A22,main!$A$3:$H$102,6,FALSE)&gt;=(VLOOKUP(VLOOKUP(CS$1,main!$A$3:$H$102,8,FALSE),main!$K$26:$M$29,2,FALSE)+VLOOKUP(VLOOKUP(CS$1,main!$A$3:$H$102,7,FALSE),main!$K$19:$O$22,MATCH(VLOOKUP($A22,main!$A$3:$H$102,8,FALSE),main!$K$18:$O$18,0))))),1,0)</f>
        <v>0</v>
      </c>
      <c r="CT22">
        <f>IF((AND(VLOOKUP(CT$1,main!$A$3:$H$102,5,FALSE)-VLOOKUP($A22,main!$A$3:$H$102,6,FALSE)&gt;=(VLOOKUP(VLOOKUP(CT$1,main!$A$3:$H$102,8,FALSE),main!$K$26:$M$29,2,FALSE)+VLOOKUP(VLOOKUP(CT$1,main!$A$3:$H$102,7,FALSE),main!$K$19:$O$22,MATCH(VLOOKUP($A22,main!$A$3:$H$102,8,FALSE),main!$K$18:$O$18,0))))),1,0)</f>
        <v>0</v>
      </c>
      <c r="CU22">
        <f>IF((AND(VLOOKUP(CU$1,main!$A$3:$H$102,5,FALSE)-VLOOKUP($A22,main!$A$3:$H$102,6,FALSE)&gt;=(VLOOKUP(VLOOKUP(CU$1,main!$A$3:$H$102,8,FALSE),main!$K$26:$M$29,2,FALSE)+VLOOKUP(VLOOKUP(CU$1,main!$A$3:$H$102,7,FALSE),main!$K$19:$O$22,MATCH(VLOOKUP($A22,main!$A$3:$H$102,8,FALSE),main!$K$18:$O$18,0))))),1,0)</f>
        <v>0</v>
      </c>
      <c r="CV22">
        <f>IF((AND(VLOOKUP(CV$1,main!$A$3:$H$102,5,FALSE)-VLOOKUP($A22,main!$A$3:$H$102,6,FALSE)&gt;=(VLOOKUP(VLOOKUP(CV$1,main!$A$3:$H$102,8,FALSE),main!$K$26:$M$29,2,FALSE)+VLOOKUP(VLOOKUP(CV$1,main!$A$3:$H$102,7,FALSE),main!$K$19:$O$22,MATCH(VLOOKUP($A22,main!$A$3:$H$102,8,FALSE),main!$K$18:$O$18,0))))),1,0)</f>
        <v>0</v>
      </c>
      <c r="CW22">
        <f>IF((AND(VLOOKUP(CW$1,main!$A$3:$H$102,5,FALSE)-VLOOKUP($A22,main!$A$3:$H$102,6,FALSE)&gt;=(VLOOKUP(VLOOKUP(CW$1,main!$A$3:$H$102,8,FALSE),main!$K$26:$M$29,2,FALSE)+VLOOKUP(VLOOKUP(CW$1,main!$A$3:$H$102,7,FALSE),main!$K$19:$O$22,MATCH(VLOOKUP($A22,main!$A$3:$H$102,8,FALSE),main!$K$18:$O$18,0))))),1,0)</f>
        <v>0</v>
      </c>
      <c r="CX22">
        <f>IF((AND(VLOOKUP(CX$1,main!$A$3:$H$102,5,FALSE)-VLOOKUP($A22,main!$A$3:$H$102,6,FALSE)&gt;=(VLOOKUP(VLOOKUP(CX$1,main!$A$3:$H$102,8,FALSE),main!$K$26:$M$29,2,FALSE)+VLOOKUP(VLOOKUP(CX$1,main!$A$3:$H$102,7,FALSE),main!$K$19:$O$22,MATCH(VLOOKUP($A22,main!$A$3:$H$102,8,FALSE),main!$K$18:$O$18,0))))),1,0)</f>
        <v>0</v>
      </c>
    </row>
    <row r="23" spans="1:102" x14ac:dyDescent="0.25">
      <c r="A23" s="1">
        <v>21</v>
      </c>
      <c r="B23">
        <v>1</v>
      </c>
      <c r="C23">
        <f>IF((AND(VLOOKUP(C$1,main!$A$3:$H$102,5,FALSE)-VLOOKUP($A23,main!$A$3:$H$102,6,FALSE)&gt;=(VLOOKUP(VLOOKUP(C$1,main!$A$3:$H$102,8,FALSE),main!$K$26:$M$29,2,FALSE)+VLOOKUP(VLOOKUP(C$1,main!$A$3:$H$102,7,FALSE),main!$K$19:$O$22,MATCH(VLOOKUP($A23,main!$A$3:$H$102,8,FALSE),main!$K$18:$O$18,0))))),1,0)</f>
        <v>0</v>
      </c>
      <c r="D23">
        <f>IF((AND(VLOOKUP(D$1,main!$A$3:$H$102,5,FALSE)-VLOOKUP($A23,main!$A$3:$H$102,6,FALSE)&gt;=(VLOOKUP(VLOOKUP(D$1,main!$A$3:$H$102,8,FALSE),main!$K$26:$M$29,2,FALSE)+VLOOKUP(VLOOKUP(D$1,main!$A$3:$H$102,7,FALSE),main!$K$19:$O$22,MATCH(VLOOKUP($A23,main!$A$3:$H$102,8,FALSE),main!$K$18:$O$18,0))))),1,0)</f>
        <v>0</v>
      </c>
      <c r="E23">
        <f>IF((AND(VLOOKUP(E$1,main!$A$3:$H$102,5,FALSE)-VLOOKUP($A23,main!$A$3:$H$102,6,FALSE)&gt;=(VLOOKUP(VLOOKUP(E$1,main!$A$3:$H$102,8,FALSE),main!$K$26:$M$29,2,FALSE)+VLOOKUP(VLOOKUP(E$1,main!$A$3:$H$102,7,FALSE),main!$K$19:$O$22,MATCH(VLOOKUP($A23,main!$A$3:$H$102,8,FALSE),main!$K$18:$O$18,0))))),1,0)</f>
        <v>0</v>
      </c>
      <c r="F23">
        <f>IF((AND(VLOOKUP(F$1,main!$A$3:$H$102,5,FALSE)-VLOOKUP($A23,main!$A$3:$H$102,6,FALSE)&gt;=(VLOOKUP(VLOOKUP(F$1,main!$A$3:$H$102,8,FALSE),main!$K$26:$M$29,2,FALSE)+VLOOKUP(VLOOKUP(F$1,main!$A$3:$H$102,7,FALSE),main!$K$19:$O$22,MATCH(VLOOKUP($A23,main!$A$3:$H$102,8,FALSE),main!$K$18:$O$18,0))))),1,0)</f>
        <v>0</v>
      </c>
      <c r="G23">
        <f>IF((AND(VLOOKUP(G$1,main!$A$3:$H$102,5,FALSE)-VLOOKUP($A23,main!$A$3:$H$102,6,FALSE)&gt;=(VLOOKUP(VLOOKUP(G$1,main!$A$3:$H$102,8,FALSE),main!$K$26:$M$29,2,FALSE)+VLOOKUP(VLOOKUP(G$1,main!$A$3:$H$102,7,FALSE),main!$K$19:$O$22,MATCH(VLOOKUP($A23,main!$A$3:$H$102,8,FALSE),main!$K$18:$O$18,0))))),1,0)</f>
        <v>1</v>
      </c>
      <c r="H23">
        <f>IF((AND(VLOOKUP(H$1,main!$A$3:$H$102,5,FALSE)-VLOOKUP($A23,main!$A$3:$H$102,6,FALSE)&gt;=(VLOOKUP(VLOOKUP(H$1,main!$A$3:$H$102,8,FALSE),main!$K$26:$M$29,2,FALSE)+VLOOKUP(VLOOKUP(H$1,main!$A$3:$H$102,7,FALSE),main!$K$19:$O$22,MATCH(VLOOKUP($A23,main!$A$3:$H$102,8,FALSE),main!$K$18:$O$18,0))))),1,0)</f>
        <v>1</v>
      </c>
      <c r="I23">
        <f>IF((AND(VLOOKUP(I$1,main!$A$3:$H$102,5,FALSE)-VLOOKUP($A23,main!$A$3:$H$102,6,FALSE)&gt;=(VLOOKUP(VLOOKUP(I$1,main!$A$3:$H$102,8,FALSE),main!$K$26:$M$29,2,FALSE)+VLOOKUP(VLOOKUP(I$1,main!$A$3:$H$102,7,FALSE),main!$K$19:$O$22,MATCH(VLOOKUP($A23,main!$A$3:$H$102,8,FALSE),main!$K$18:$O$18,0))))),1,0)</f>
        <v>1</v>
      </c>
      <c r="J23">
        <f>IF((AND(VLOOKUP(J$1,main!$A$3:$H$102,5,FALSE)-VLOOKUP($A23,main!$A$3:$H$102,6,FALSE)&gt;=(VLOOKUP(VLOOKUP(J$1,main!$A$3:$H$102,8,FALSE),main!$K$26:$M$29,2,FALSE)+VLOOKUP(VLOOKUP(J$1,main!$A$3:$H$102,7,FALSE),main!$K$19:$O$22,MATCH(VLOOKUP($A23,main!$A$3:$H$102,8,FALSE),main!$K$18:$O$18,0))))),1,0)</f>
        <v>1</v>
      </c>
      <c r="K23">
        <f>IF((AND(VLOOKUP(K$1,main!$A$3:$H$102,5,FALSE)-VLOOKUP($A23,main!$A$3:$H$102,6,FALSE)&gt;=(VLOOKUP(VLOOKUP(K$1,main!$A$3:$H$102,8,FALSE),main!$K$26:$M$29,2,FALSE)+VLOOKUP(VLOOKUP(K$1,main!$A$3:$H$102,7,FALSE),main!$K$19:$O$22,MATCH(VLOOKUP($A23,main!$A$3:$H$102,8,FALSE),main!$K$18:$O$18,0))))),1,0)</f>
        <v>1</v>
      </c>
      <c r="L23">
        <f>IF((AND(VLOOKUP(L$1,main!$A$3:$H$102,5,FALSE)-VLOOKUP($A23,main!$A$3:$H$102,6,FALSE)&gt;=(VLOOKUP(VLOOKUP(L$1,main!$A$3:$H$102,8,FALSE),main!$K$26:$M$29,2,FALSE)+VLOOKUP(VLOOKUP(L$1,main!$A$3:$H$102,7,FALSE),main!$K$19:$O$22,MATCH(VLOOKUP($A23,main!$A$3:$H$102,8,FALSE),main!$K$18:$O$18,0))))),1,0)</f>
        <v>1</v>
      </c>
      <c r="M23">
        <f>IF((AND(VLOOKUP(M$1,main!$A$3:$H$102,5,FALSE)-VLOOKUP($A23,main!$A$3:$H$102,6,FALSE)&gt;=(VLOOKUP(VLOOKUP(M$1,main!$A$3:$H$102,8,FALSE),main!$K$26:$M$29,2,FALSE)+VLOOKUP(VLOOKUP(M$1,main!$A$3:$H$102,7,FALSE),main!$K$19:$O$22,MATCH(VLOOKUP($A23,main!$A$3:$H$102,8,FALSE),main!$K$18:$O$18,0))))),1,0)</f>
        <v>0</v>
      </c>
      <c r="N23">
        <f>IF((AND(VLOOKUP(N$1,main!$A$3:$H$102,5,FALSE)-VLOOKUP($A23,main!$A$3:$H$102,6,FALSE)&gt;=(VLOOKUP(VLOOKUP(N$1,main!$A$3:$H$102,8,FALSE),main!$K$26:$M$29,2,FALSE)+VLOOKUP(VLOOKUP(N$1,main!$A$3:$H$102,7,FALSE),main!$K$19:$O$22,MATCH(VLOOKUP($A23,main!$A$3:$H$102,8,FALSE),main!$K$18:$O$18,0))))),1,0)</f>
        <v>0</v>
      </c>
      <c r="O23">
        <f>IF((AND(VLOOKUP(O$1,main!$A$3:$H$102,5,FALSE)-VLOOKUP($A23,main!$A$3:$H$102,6,FALSE)&gt;=(VLOOKUP(VLOOKUP(O$1,main!$A$3:$H$102,8,FALSE),main!$K$26:$M$29,2,FALSE)+VLOOKUP(VLOOKUP(O$1,main!$A$3:$H$102,7,FALSE),main!$K$19:$O$22,MATCH(VLOOKUP($A23,main!$A$3:$H$102,8,FALSE),main!$K$18:$O$18,0))))),1,0)</f>
        <v>0</v>
      </c>
      <c r="P23">
        <f>IF((AND(VLOOKUP(P$1,main!$A$3:$H$102,5,FALSE)-VLOOKUP($A23,main!$A$3:$H$102,6,FALSE)&gt;=(VLOOKUP(VLOOKUP(P$1,main!$A$3:$H$102,8,FALSE),main!$K$26:$M$29,2,FALSE)+VLOOKUP(VLOOKUP(P$1,main!$A$3:$H$102,7,FALSE),main!$K$19:$O$22,MATCH(VLOOKUP($A23,main!$A$3:$H$102,8,FALSE),main!$K$18:$O$18,0))))),1,0)</f>
        <v>0</v>
      </c>
      <c r="Q23">
        <f>IF((AND(VLOOKUP(Q$1,main!$A$3:$H$102,5,FALSE)-VLOOKUP($A23,main!$A$3:$H$102,6,FALSE)&gt;=(VLOOKUP(VLOOKUP(Q$1,main!$A$3:$H$102,8,FALSE),main!$K$26:$M$29,2,FALSE)+VLOOKUP(VLOOKUP(Q$1,main!$A$3:$H$102,7,FALSE),main!$K$19:$O$22,MATCH(VLOOKUP($A23,main!$A$3:$H$102,8,FALSE),main!$K$18:$O$18,0))))),1,0)</f>
        <v>1</v>
      </c>
      <c r="R23">
        <f>IF((AND(VLOOKUP(R$1,main!$A$3:$H$102,5,FALSE)-VLOOKUP($A23,main!$A$3:$H$102,6,FALSE)&gt;=(VLOOKUP(VLOOKUP(R$1,main!$A$3:$H$102,8,FALSE),main!$K$26:$M$29,2,FALSE)+VLOOKUP(VLOOKUP(R$1,main!$A$3:$H$102,7,FALSE),main!$K$19:$O$22,MATCH(VLOOKUP($A23,main!$A$3:$H$102,8,FALSE),main!$K$18:$O$18,0))))),1,0)</f>
        <v>1</v>
      </c>
      <c r="S23">
        <f>IF((AND(VLOOKUP(S$1,main!$A$3:$H$102,5,FALSE)-VLOOKUP($A23,main!$A$3:$H$102,6,FALSE)&gt;=(VLOOKUP(VLOOKUP(S$1,main!$A$3:$H$102,8,FALSE),main!$K$26:$M$29,2,FALSE)+VLOOKUP(VLOOKUP(S$1,main!$A$3:$H$102,7,FALSE),main!$K$19:$O$22,MATCH(VLOOKUP($A23,main!$A$3:$H$102,8,FALSE),main!$K$18:$O$18,0))))),1,0)</f>
        <v>1</v>
      </c>
      <c r="T23">
        <f>IF((AND(VLOOKUP(T$1,main!$A$3:$H$102,5,FALSE)-VLOOKUP($A23,main!$A$3:$H$102,6,FALSE)&gt;=(VLOOKUP(VLOOKUP(T$1,main!$A$3:$H$102,8,FALSE),main!$K$26:$M$29,2,FALSE)+VLOOKUP(VLOOKUP(T$1,main!$A$3:$H$102,7,FALSE),main!$K$19:$O$22,MATCH(VLOOKUP($A23,main!$A$3:$H$102,8,FALSE),main!$K$18:$O$18,0))))),1,0)</f>
        <v>1</v>
      </c>
      <c r="U23">
        <f>IF((AND(VLOOKUP(U$1,main!$A$3:$H$102,5,FALSE)-VLOOKUP($A23,main!$A$3:$H$102,6,FALSE)&gt;=(VLOOKUP(VLOOKUP(U$1,main!$A$3:$H$102,8,FALSE),main!$K$26:$M$29,2,FALSE)+VLOOKUP(VLOOKUP(U$1,main!$A$3:$H$102,7,FALSE),main!$K$19:$O$22,MATCH(VLOOKUP($A23,main!$A$3:$H$102,8,FALSE),main!$K$18:$O$18,0))))),1,0)</f>
        <v>1</v>
      </c>
      <c r="V23">
        <f>IF((AND(VLOOKUP(V$1,main!$A$3:$H$102,5,FALSE)-VLOOKUP($A23,main!$A$3:$H$102,6,FALSE)&gt;=(VLOOKUP(VLOOKUP(V$1,main!$A$3:$H$102,8,FALSE),main!$K$26:$M$29,2,FALSE)+VLOOKUP(VLOOKUP(V$1,main!$A$3:$H$102,7,FALSE),main!$K$19:$O$22,MATCH(VLOOKUP($A23,main!$A$3:$H$102,8,FALSE),main!$K$18:$O$18,0))))),1,0)</f>
        <v>1</v>
      </c>
      <c r="W23">
        <f>IF((AND(VLOOKUP(W$1,main!$A$3:$H$102,5,FALSE)-VLOOKUP($A23,main!$A$3:$H$102,6,FALSE)&gt;=(VLOOKUP(VLOOKUP(W$1,main!$A$3:$H$102,8,FALSE),main!$K$26:$M$29,2,FALSE)+VLOOKUP(VLOOKUP(W$1,main!$A$3:$H$102,7,FALSE),main!$K$19:$O$22,MATCH(VLOOKUP($A23,main!$A$3:$H$102,8,FALSE),main!$K$18:$O$18,0))))),1,0)</f>
        <v>0</v>
      </c>
      <c r="X23">
        <f>IF((AND(VLOOKUP(X$1,main!$A$3:$H$102,5,FALSE)-VLOOKUP($A23,main!$A$3:$H$102,6,FALSE)&gt;=(VLOOKUP(VLOOKUP(X$1,main!$A$3:$H$102,8,FALSE),main!$K$26:$M$29,2,FALSE)+VLOOKUP(VLOOKUP(X$1,main!$A$3:$H$102,7,FALSE),main!$K$19:$O$22,MATCH(VLOOKUP($A23,main!$A$3:$H$102,8,FALSE),main!$K$18:$O$18,0))))),1,0)</f>
        <v>0</v>
      </c>
      <c r="Y23">
        <f>IF((AND(VLOOKUP(Y$1,main!$A$3:$H$102,5,FALSE)-VLOOKUP($A23,main!$A$3:$H$102,6,FALSE)&gt;=(VLOOKUP(VLOOKUP(Y$1,main!$A$3:$H$102,8,FALSE),main!$K$26:$M$29,2,FALSE)+VLOOKUP(VLOOKUP(Y$1,main!$A$3:$H$102,7,FALSE),main!$K$19:$O$22,MATCH(VLOOKUP($A23,main!$A$3:$H$102,8,FALSE),main!$K$18:$O$18,0))))),1,0)</f>
        <v>1</v>
      </c>
      <c r="Z23">
        <f>IF((AND(VLOOKUP(Z$1,main!$A$3:$H$102,5,FALSE)-VLOOKUP($A23,main!$A$3:$H$102,6,FALSE)&gt;=(VLOOKUP(VLOOKUP(Z$1,main!$A$3:$H$102,8,FALSE),main!$K$26:$M$29,2,FALSE)+VLOOKUP(VLOOKUP(Z$1,main!$A$3:$H$102,7,FALSE),main!$K$19:$O$22,MATCH(VLOOKUP($A23,main!$A$3:$H$102,8,FALSE),main!$K$18:$O$18,0))))),1,0)</f>
        <v>1</v>
      </c>
      <c r="AA23">
        <f>IF((AND(VLOOKUP(AA$1,main!$A$3:$H$102,5,FALSE)-VLOOKUP($A23,main!$A$3:$H$102,6,FALSE)&gt;=(VLOOKUP(VLOOKUP(AA$1,main!$A$3:$H$102,8,FALSE),main!$K$26:$M$29,2,FALSE)+VLOOKUP(VLOOKUP(AA$1,main!$A$3:$H$102,7,FALSE),main!$K$19:$O$22,MATCH(VLOOKUP($A23,main!$A$3:$H$102,8,FALSE),main!$K$18:$O$18,0))))),1,0)</f>
        <v>1</v>
      </c>
      <c r="AB23">
        <f>IF((AND(VLOOKUP(AB$1,main!$A$3:$H$102,5,FALSE)-VLOOKUP($A23,main!$A$3:$H$102,6,FALSE)&gt;=(VLOOKUP(VLOOKUP(AB$1,main!$A$3:$H$102,8,FALSE),main!$K$26:$M$29,2,FALSE)+VLOOKUP(VLOOKUP(AB$1,main!$A$3:$H$102,7,FALSE),main!$K$19:$O$22,MATCH(VLOOKUP($A23,main!$A$3:$H$102,8,FALSE),main!$K$18:$O$18,0))))),1,0)</f>
        <v>0</v>
      </c>
      <c r="AC23">
        <f>IF((AND(VLOOKUP(AC$1,main!$A$3:$H$102,5,FALSE)-VLOOKUP($A23,main!$A$3:$H$102,6,FALSE)&gt;=(VLOOKUP(VLOOKUP(AC$1,main!$A$3:$H$102,8,FALSE),main!$K$26:$M$29,2,FALSE)+VLOOKUP(VLOOKUP(AC$1,main!$A$3:$H$102,7,FALSE),main!$K$19:$O$22,MATCH(VLOOKUP($A23,main!$A$3:$H$102,8,FALSE),main!$K$18:$O$18,0))))),1,0)</f>
        <v>0</v>
      </c>
      <c r="AD23">
        <f>IF((AND(VLOOKUP(AD$1,main!$A$3:$H$102,5,FALSE)-VLOOKUP($A23,main!$A$3:$H$102,6,FALSE)&gt;=(VLOOKUP(VLOOKUP(AD$1,main!$A$3:$H$102,8,FALSE),main!$K$26:$M$29,2,FALSE)+VLOOKUP(VLOOKUP(AD$1,main!$A$3:$H$102,7,FALSE),main!$K$19:$O$22,MATCH(VLOOKUP($A23,main!$A$3:$H$102,8,FALSE),main!$K$18:$O$18,0))))),1,0)</f>
        <v>1</v>
      </c>
      <c r="AE23">
        <f>IF((AND(VLOOKUP(AE$1,main!$A$3:$H$102,5,FALSE)-VLOOKUP($A23,main!$A$3:$H$102,6,FALSE)&gt;=(VLOOKUP(VLOOKUP(AE$1,main!$A$3:$H$102,8,FALSE),main!$K$26:$M$29,2,FALSE)+VLOOKUP(VLOOKUP(AE$1,main!$A$3:$H$102,7,FALSE),main!$K$19:$O$22,MATCH(VLOOKUP($A23,main!$A$3:$H$102,8,FALSE),main!$K$18:$O$18,0))))),1,0)</f>
        <v>1</v>
      </c>
      <c r="AF23">
        <f>IF((AND(VLOOKUP(AF$1,main!$A$3:$H$102,5,FALSE)-VLOOKUP($A23,main!$A$3:$H$102,6,FALSE)&gt;=(VLOOKUP(VLOOKUP(AF$1,main!$A$3:$H$102,8,FALSE),main!$K$26:$M$29,2,FALSE)+VLOOKUP(VLOOKUP(AF$1,main!$A$3:$H$102,7,FALSE),main!$K$19:$O$22,MATCH(VLOOKUP($A23,main!$A$3:$H$102,8,FALSE),main!$K$18:$O$18,0))))),1,0)</f>
        <v>1</v>
      </c>
      <c r="AG23">
        <f>IF((AND(VLOOKUP(AG$1,main!$A$3:$H$102,5,FALSE)-VLOOKUP($A23,main!$A$3:$H$102,6,FALSE)&gt;=(VLOOKUP(VLOOKUP(AG$1,main!$A$3:$H$102,8,FALSE),main!$K$26:$M$29,2,FALSE)+VLOOKUP(VLOOKUP(AG$1,main!$A$3:$H$102,7,FALSE),main!$K$19:$O$22,MATCH(VLOOKUP($A23,main!$A$3:$H$102,8,FALSE),main!$K$18:$O$18,0))))),1,0)</f>
        <v>0</v>
      </c>
      <c r="AH23">
        <f>IF((AND(VLOOKUP(AH$1,main!$A$3:$H$102,5,FALSE)-VLOOKUP($A23,main!$A$3:$H$102,6,FALSE)&gt;=(VLOOKUP(VLOOKUP(AH$1,main!$A$3:$H$102,8,FALSE),main!$K$26:$M$29,2,FALSE)+VLOOKUP(VLOOKUP(AH$1,main!$A$3:$H$102,7,FALSE),main!$K$19:$O$22,MATCH(VLOOKUP($A23,main!$A$3:$H$102,8,FALSE),main!$K$18:$O$18,0))))),1,0)</f>
        <v>0</v>
      </c>
      <c r="AI23">
        <f>IF((AND(VLOOKUP(AI$1,main!$A$3:$H$102,5,FALSE)-VLOOKUP($A23,main!$A$3:$H$102,6,FALSE)&gt;=(VLOOKUP(VLOOKUP(AI$1,main!$A$3:$H$102,8,FALSE),main!$K$26:$M$29,2,FALSE)+VLOOKUP(VLOOKUP(AI$1,main!$A$3:$H$102,7,FALSE),main!$K$19:$O$22,MATCH(VLOOKUP($A23,main!$A$3:$H$102,8,FALSE),main!$K$18:$O$18,0))))),1,0)</f>
        <v>0</v>
      </c>
      <c r="AJ23">
        <f>IF((AND(VLOOKUP(AJ$1,main!$A$3:$H$102,5,FALSE)-VLOOKUP($A23,main!$A$3:$H$102,6,FALSE)&gt;=(VLOOKUP(VLOOKUP(AJ$1,main!$A$3:$H$102,8,FALSE),main!$K$26:$M$29,2,FALSE)+VLOOKUP(VLOOKUP(AJ$1,main!$A$3:$H$102,7,FALSE),main!$K$19:$O$22,MATCH(VLOOKUP($A23,main!$A$3:$H$102,8,FALSE),main!$K$18:$O$18,0))))),1,0)</f>
        <v>1</v>
      </c>
      <c r="AK23">
        <f>IF((AND(VLOOKUP(AK$1,main!$A$3:$H$102,5,FALSE)-VLOOKUP($A23,main!$A$3:$H$102,6,FALSE)&gt;=(VLOOKUP(VLOOKUP(AK$1,main!$A$3:$H$102,8,FALSE),main!$K$26:$M$29,2,FALSE)+VLOOKUP(VLOOKUP(AK$1,main!$A$3:$H$102,7,FALSE),main!$K$19:$O$22,MATCH(VLOOKUP($A23,main!$A$3:$H$102,8,FALSE),main!$K$18:$O$18,0))))),1,0)</f>
        <v>1</v>
      </c>
      <c r="AL23">
        <f>IF((AND(VLOOKUP(AL$1,main!$A$3:$H$102,5,FALSE)-VLOOKUP($A23,main!$A$3:$H$102,6,FALSE)&gt;=(VLOOKUP(VLOOKUP(AL$1,main!$A$3:$H$102,8,FALSE),main!$K$26:$M$29,2,FALSE)+VLOOKUP(VLOOKUP(AL$1,main!$A$3:$H$102,7,FALSE),main!$K$19:$O$22,MATCH(VLOOKUP($A23,main!$A$3:$H$102,8,FALSE),main!$K$18:$O$18,0))))),1,0)</f>
        <v>1</v>
      </c>
      <c r="AM23">
        <f>IF((AND(VLOOKUP(AM$1,main!$A$3:$H$102,5,FALSE)-VLOOKUP($A23,main!$A$3:$H$102,6,FALSE)&gt;=(VLOOKUP(VLOOKUP(AM$1,main!$A$3:$H$102,8,FALSE),main!$K$26:$M$29,2,FALSE)+VLOOKUP(VLOOKUP(AM$1,main!$A$3:$H$102,7,FALSE),main!$K$19:$O$22,MATCH(VLOOKUP($A23,main!$A$3:$H$102,8,FALSE),main!$K$18:$O$18,0))))),1,0)</f>
        <v>1</v>
      </c>
      <c r="AN23">
        <f>IF((AND(VLOOKUP(AN$1,main!$A$3:$H$102,5,FALSE)-VLOOKUP($A23,main!$A$3:$H$102,6,FALSE)&gt;=(VLOOKUP(VLOOKUP(AN$1,main!$A$3:$H$102,8,FALSE),main!$K$26:$M$29,2,FALSE)+VLOOKUP(VLOOKUP(AN$1,main!$A$3:$H$102,7,FALSE),main!$K$19:$O$22,MATCH(VLOOKUP($A23,main!$A$3:$H$102,8,FALSE),main!$K$18:$O$18,0))))),1,0)</f>
        <v>1</v>
      </c>
      <c r="AO23">
        <f>IF((AND(VLOOKUP(AO$1,main!$A$3:$H$102,5,FALSE)-VLOOKUP($A23,main!$A$3:$H$102,6,FALSE)&gt;=(VLOOKUP(VLOOKUP(AO$1,main!$A$3:$H$102,8,FALSE),main!$K$26:$M$29,2,FALSE)+VLOOKUP(VLOOKUP(AO$1,main!$A$3:$H$102,7,FALSE),main!$K$19:$O$22,MATCH(VLOOKUP($A23,main!$A$3:$H$102,8,FALSE),main!$K$18:$O$18,0))))),1,0)</f>
        <v>0</v>
      </c>
      <c r="AP23">
        <f>IF((AND(VLOOKUP(AP$1,main!$A$3:$H$102,5,FALSE)-VLOOKUP($A23,main!$A$3:$H$102,6,FALSE)&gt;=(VLOOKUP(VLOOKUP(AP$1,main!$A$3:$H$102,8,FALSE),main!$K$26:$M$29,2,FALSE)+VLOOKUP(VLOOKUP(AP$1,main!$A$3:$H$102,7,FALSE),main!$K$19:$O$22,MATCH(VLOOKUP($A23,main!$A$3:$H$102,8,FALSE),main!$K$18:$O$18,0))))),1,0)</f>
        <v>1</v>
      </c>
      <c r="AQ23">
        <f>IF((AND(VLOOKUP(AQ$1,main!$A$3:$H$102,5,FALSE)-VLOOKUP($A23,main!$A$3:$H$102,6,FALSE)&gt;=(VLOOKUP(VLOOKUP(AQ$1,main!$A$3:$H$102,8,FALSE),main!$K$26:$M$29,2,FALSE)+VLOOKUP(VLOOKUP(AQ$1,main!$A$3:$H$102,7,FALSE),main!$K$19:$O$22,MATCH(VLOOKUP($A23,main!$A$3:$H$102,8,FALSE),main!$K$18:$O$18,0))))),1,0)</f>
        <v>0</v>
      </c>
      <c r="AR23">
        <f>IF((AND(VLOOKUP(AR$1,main!$A$3:$H$102,5,FALSE)-VLOOKUP($A23,main!$A$3:$H$102,6,FALSE)&gt;=(VLOOKUP(VLOOKUP(AR$1,main!$A$3:$H$102,8,FALSE),main!$K$26:$M$29,2,FALSE)+VLOOKUP(VLOOKUP(AR$1,main!$A$3:$H$102,7,FALSE),main!$K$19:$O$22,MATCH(VLOOKUP($A23,main!$A$3:$H$102,8,FALSE),main!$K$18:$O$18,0))))),1,0)</f>
        <v>0</v>
      </c>
      <c r="AS23">
        <f>IF((AND(VLOOKUP(AS$1,main!$A$3:$H$102,5,FALSE)-VLOOKUP($A23,main!$A$3:$H$102,6,FALSE)&gt;=(VLOOKUP(VLOOKUP(AS$1,main!$A$3:$H$102,8,FALSE),main!$K$26:$M$29,2,FALSE)+VLOOKUP(VLOOKUP(AS$1,main!$A$3:$H$102,7,FALSE),main!$K$19:$O$22,MATCH(VLOOKUP($A23,main!$A$3:$H$102,8,FALSE),main!$K$18:$O$18,0))))),1,0)</f>
        <v>1</v>
      </c>
      <c r="AT23">
        <f>IF((AND(VLOOKUP(AT$1,main!$A$3:$H$102,5,FALSE)-VLOOKUP($A23,main!$A$3:$H$102,6,FALSE)&gt;=(VLOOKUP(VLOOKUP(AT$1,main!$A$3:$H$102,8,FALSE),main!$K$26:$M$29,2,FALSE)+VLOOKUP(VLOOKUP(AT$1,main!$A$3:$H$102,7,FALSE),main!$K$19:$O$22,MATCH(VLOOKUP($A23,main!$A$3:$H$102,8,FALSE),main!$K$18:$O$18,0))))),1,0)</f>
        <v>1</v>
      </c>
      <c r="AU23">
        <f>IF((AND(VLOOKUP(AU$1,main!$A$3:$H$102,5,FALSE)-VLOOKUP($A23,main!$A$3:$H$102,6,FALSE)&gt;=(VLOOKUP(VLOOKUP(AU$1,main!$A$3:$H$102,8,FALSE),main!$K$26:$M$29,2,FALSE)+VLOOKUP(VLOOKUP(AU$1,main!$A$3:$H$102,7,FALSE),main!$K$19:$O$22,MATCH(VLOOKUP($A23,main!$A$3:$H$102,8,FALSE),main!$K$18:$O$18,0))))),1,0)</f>
        <v>0</v>
      </c>
      <c r="AV23">
        <f>IF((AND(VLOOKUP(AV$1,main!$A$3:$H$102,5,FALSE)-VLOOKUP($A23,main!$A$3:$H$102,6,FALSE)&gt;=(VLOOKUP(VLOOKUP(AV$1,main!$A$3:$H$102,8,FALSE),main!$K$26:$M$29,2,FALSE)+VLOOKUP(VLOOKUP(AV$1,main!$A$3:$H$102,7,FALSE),main!$K$19:$O$22,MATCH(VLOOKUP($A23,main!$A$3:$H$102,8,FALSE),main!$K$18:$O$18,0))))),1,0)</f>
        <v>0</v>
      </c>
      <c r="AW23">
        <f>IF((AND(VLOOKUP(AW$1,main!$A$3:$H$102,5,FALSE)-VLOOKUP($A23,main!$A$3:$H$102,6,FALSE)&gt;=(VLOOKUP(VLOOKUP(AW$1,main!$A$3:$H$102,8,FALSE),main!$K$26:$M$29,2,FALSE)+VLOOKUP(VLOOKUP(AW$1,main!$A$3:$H$102,7,FALSE),main!$K$19:$O$22,MATCH(VLOOKUP($A23,main!$A$3:$H$102,8,FALSE),main!$K$18:$O$18,0))))),1,0)</f>
        <v>1</v>
      </c>
      <c r="AX23">
        <f>IF((AND(VLOOKUP(AX$1,main!$A$3:$H$102,5,FALSE)-VLOOKUP($A23,main!$A$3:$H$102,6,FALSE)&gt;=(VLOOKUP(VLOOKUP(AX$1,main!$A$3:$H$102,8,FALSE),main!$K$26:$M$29,2,FALSE)+VLOOKUP(VLOOKUP(AX$1,main!$A$3:$H$102,7,FALSE),main!$K$19:$O$22,MATCH(VLOOKUP($A23,main!$A$3:$H$102,8,FALSE),main!$K$18:$O$18,0))))),1,0)</f>
        <v>0</v>
      </c>
      <c r="AY23">
        <f>IF((AND(VLOOKUP(AY$1,main!$A$3:$H$102,5,FALSE)-VLOOKUP($A23,main!$A$3:$H$102,6,FALSE)&gt;=(VLOOKUP(VLOOKUP(AY$1,main!$A$3:$H$102,8,FALSE),main!$K$26:$M$29,2,FALSE)+VLOOKUP(VLOOKUP(AY$1,main!$A$3:$H$102,7,FALSE),main!$K$19:$O$22,MATCH(VLOOKUP($A23,main!$A$3:$H$102,8,FALSE),main!$K$18:$O$18,0))))),1,0)</f>
        <v>0</v>
      </c>
      <c r="AZ23">
        <f>IF((AND(VLOOKUP(AZ$1,main!$A$3:$H$102,5,FALSE)-VLOOKUP($A23,main!$A$3:$H$102,6,FALSE)&gt;=(VLOOKUP(VLOOKUP(AZ$1,main!$A$3:$H$102,8,FALSE),main!$K$26:$M$29,2,FALSE)+VLOOKUP(VLOOKUP(AZ$1,main!$A$3:$H$102,7,FALSE),main!$K$19:$O$22,MATCH(VLOOKUP($A23,main!$A$3:$H$102,8,FALSE),main!$K$18:$O$18,0))))),1,0)</f>
        <v>0</v>
      </c>
      <c r="BA23">
        <f>IF((AND(VLOOKUP(BA$1,main!$A$3:$H$102,5,FALSE)-VLOOKUP($A23,main!$A$3:$H$102,6,FALSE)&gt;=(VLOOKUP(VLOOKUP(BA$1,main!$A$3:$H$102,8,FALSE),main!$K$26:$M$29,2,FALSE)+VLOOKUP(VLOOKUP(BA$1,main!$A$3:$H$102,7,FALSE),main!$K$19:$O$22,MATCH(VLOOKUP($A23,main!$A$3:$H$102,8,FALSE),main!$K$18:$O$18,0))))),1,0)</f>
        <v>0</v>
      </c>
      <c r="BB23">
        <f>IF((AND(VLOOKUP(BB$1,main!$A$3:$H$102,5,FALSE)-VLOOKUP($A23,main!$A$3:$H$102,6,FALSE)&gt;=(VLOOKUP(VLOOKUP(BB$1,main!$A$3:$H$102,8,FALSE),main!$K$26:$M$29,2,FALSE)+VLOOKUP(VLOOKUP(BB$1,main!$A$3:$H$102,7,FALSE),main!$K$19:$O$22,MATCH(VLOOKUP($A23,main!$A$3:$H$102,8,FALSE),main!$K$18:$O$18,0))))),1,0)</f>
        <v>0</v>
      </c>
      <c r="BC23">
        <f>IF((AND(VLOOKUP(BC$1,main!$A$3:$H$102,5,FALSE)-VLOOKUP($A23,main!$A$3:$H$102,6,FALSE)&gt;=(VLOOKUP(VLOOKUP(BC$1,main!$A$3:$H$102,8,FALSE),main!$K$26:$M$29,2,FALSE)+VLOOKUP(VLOOKUP(BC$1,main!$A$3:$H$102,7,FALSE),main!$K$19:$O$22,MATCH(VLOOKUP($A23,main!$A$3:$H$102,8,FALSE),main!$K$18:$O$18,0))))),1,0)</f>
        <v>1</v>
      </c>
      <c r="BD23">
        <f>IF((AND(VLOOKUP(BD$1,main!$A$3:$H$102,5,FALSE)-VLOOKUP($A23,main!$A$3:$H$102,6,FALSE)&gt;=(VLOOKUP(VLOOKUP(BD$1,main!$A$3:$H$102,8,FALSE),main!$K$26:$M$29,2,FALSE)+VLOOKUP(VLOOKUP(BD$1,main!$A$3:$H$102,7,FALSE),main!$K$19:$O$22,MATCH(VLOOKUP($A23,main!$A$3:$H$102,8,FALSE),main!$K$18:$O$18,0))))),1,0)</f>
        <v>1</v>
      </c>
      <c r="BE23">
        <f>IF((AND(VLOOKUP(BE$1,main!$A$3:$H$102,5,FALSE)-VLOOKUP($A23,main!$A$3:$H$102,6,FALSE)&gt;=(VLOOKUP(VLOOKUP(BE$1,main!$A$3:$H$102,8,FALSE),main!$K$26:$M$29,2,FALSE)+VLOOKUP(VLOOKUP(BE$1,main!$A$3:$H$102,7,FALSE),main!$K$19:$O$22,MATCH(VLOOKUP($A23,main!$A$3:$H$102,8,FALSE),main!$K$18:$O$18,0))))),1,0)</f>
        <v>1</v>
      </c>
      <c r="BF23">
        <f>IF((AND(VLOOKUP(BF$1,main!$A$3:$H$102,5,FALSE)-VLOOKUP($A23,main!$A$3:$H$102,6,FALSE)&gt;=(VLOOKUP(VLOOKUP(BF$1,main!$A$3:$H$102,8,FALSE),main!$K$26:$M$29,2,FALSE)+VLOOKUP(VLOOKUP(BF$1,main!$A$3:$H$102,7,FALSE),main!$K$19:$O$22,MATCH(VLOOKUP($A23,main!$A$3:$H$102,8,FALSE),main!$K$18:$O$18,0))))),1,0)</f>
        <v>0</v>
      </c>
      <c r="BG23">
        <f>IF((AND(VLOOKUP(BG$1,main!$A$3:$H$102,5,FALSE)-VLOOKUP($A23,main!$A$3:$H$102,6,FALSE)&gt;=(VLOOKUP(VLOOKUP(BG$1,main!$A$3:$H$102,8,FALSE),main!$K$26:$M$29,2,FALSE)+VLOOKUP(VLOOKUP(BG$1,main!$A$3:$H$102,7,FALSE),main!$K$19:$O$22,MATCH(VLOOKUP($A23,main!$A$3:$H$102,8,FALSE),main!$K$18:$O$18,0))))),1,0)</f>
        <v>0</v>
      </c>
      <c r="BH23">
        <f>IF((AND(VLOOKUP(BH$1,main!$A$3:$H$102,5,FALSE)-VLOOKUP($A23,main!$A$3:$H$102,6,FALSE)&gt;=(VLOOKUP(VLOOKUP(BH$1,main!$A$3:$H$102,8,FALSE),main!$K$26:$M$29,2,FALSE)+VLOOKUP(VLOOKUP(BH$1,main!$A$3:$H$102,7,FALSE),main!$K$19:$O$22,MATCH(VLOOKUP($A23,main!$A$3:$H$102,8,FALSE),main!$K$18:$O$18,0))))),1,0)</f>
        <v>1</v>
      </c>
      <c r="BI23">
        <f>IF((AND(VLOOKUP(BI$1,main!$A$3:$H$102,5,FALSE)-VLOOKUP($A23,main!$A$3:$H$102,6,FALSE)&gt;=(VLOOKUP(VLOOKUP(BI$1,main!$A$3:$H$102,8,FALSE),main!$K$26:$M$29,2,FALSE)+VLOOKUP(VLOOKUP(BI$1,main!$A$3:$H$102,7,FALSE),main!$K$19:$O$22,MATCH(VLOOKUP($A23,main!$A$3:$H$102,8,FALSE),main!$K$18:$O$18,0))))),1,0)</f>
        <v>1</v>
      </c>
      <c r="BJ23">
        <f>IF((AND(VLOOKUP(BJ$1,main!$A$3:$H$102,5,FALSE)-VLOOKUP($A23,main!$A$3:$H$102,6,FALSE)&gt;=(VLOOKUP(VLOOKUP(BJ$1,main!$A$3:$H$102,8,FALSE),main!$K$26:$M$29,2,FALSE)+VLOOKUP(VLOOKUP(BJ$1,main!$A$3:$H$102,7,FALSE),main!$K$19:$O$22,MATCH(VLOOKUP($A23,main!$A$3:$H$102,8,FALSE),main!$K$18:$O$18,0))))),1,0)</f>
        <v>1</v>
      </c>
      <c r="BK23">
        <f>IF((AND(VLOOKUP(BK$1,main!$A$3:$H$102,5,FALSE)-VLOOKUP($A23,main!$A$3:$H$102,6,FALSE)&gt;=(VLOOKUP(VLOOKUP(BK$1,main!$A$3:$H$102,8,FALSE),main!$K$26:$M$29,2,FALSE)+VLOOKUP(VLOOKUP(BK$1,main!$A$3:$H$102,7,FALSE),main!$K$19:$O$22,MATCH(VLOOKUP($A23,main!$A$3:$H$102,8,FALSE),main!$K$18:$O$18,0))))),1,0)</f>
        <v>0</v>
      </c>
      <c r="BL23">
        <f>IF((AND(VLOOKUP(BL$1,main!$A$3:$H$102,5,FALSE)-VLOOKUP($A23,main!$A$3:$H$102,6,FALSE)&gt;=(VLOOKUP(VLOOKUP(BL$1,main!$A$3:$H$102,8,FALSE),main!$K$26:$M$29,2,FALSE)+VLOOKUP(VLOOKUP(BL$1,main!$A$3:$H$102,7,FALSE),main!$K$19:$O$22,MATCH(VLOOKUP($A23,main!$A$3:$H$102,8,FALSE),main!$K$18:$O$18,0))))),1,0)</f>
        <v>0</v>
      </c>
      <c r="BM23">
        <f>IF((AND(VLOOKUP(BM$1,main!$A$3:$H$102,5,FALSE)-VLOOKUP($A23,main!$A$3:$H$102,6,FALSE)&gt;=(VLOOKUP(VLOOKUP(BM$1,main!$A$3:$H$102,8,FALSE),main!$K$26:$M$29,2,FALSE)+VLOOKUP(VLOOKUP(BM$1,main!$A$3:$H$102,7,FALSE),main!$K$19:$O$22,MATCH(VLOOKUP($A23,main!$A$3:$H$102,8,FALSE),main!$K$18:$O$18,0))))),1,0)</f>
        <v>0</v>
      </c>
      <c r="BN23">
        <f>IF((AND(VLOOKUP(BN$1,main!$A$3:$H$102,5,FALSE)-VLOOKUP($A23,main!$A$3:$H$102,6,FALSE)&gt;=(VLOOKUP(VLOOKUP(BN$1,main!$A$3:$H$102,8,FALSE),main!$K$26:$M$29,2,FALSE)+VLOOKUP(VLOOKUP(BN$1,main!$A$3:$H$102,7,FALSE),main!$K$19:$O$22,MATCH(VLOOKUP($A23,main!$A$3:$H$102,8,FALSE),main!$K$18:$O$18,0))))),1,0)</f>
        <v>1</v>
      </c>
      <c r="BO23">
        <f>IF((AND(VLOOKUP(BO$1,main!$A$3:$H$102,5,FALSE)-VLOOKUP($A23,main!$A$3:$H$102,6,FALSE)&gt;=(VLOOKUP(VLOOKUP(BO$1,main!$A$3:$H$102,8,FALSE),main!$K$26:$M$29,2,FALSE)+VLOOKUP(VLOOKUP(BO$1,main!$A$3:$H$102,7,FALSE),main!$K$19:$O$22,MATCH(VLOOKUP($A23,main!$A$3:$H$102,8,FALSE),main!$K$18:$O$18,0))))),1,0)</f>
        <v>0</v>
      </c>
      <c r="BP23">
        <f>IF((AND(VLOOKUP(BP$1,main!$A$3:$H$102,5,FALSE)-VLOOKUP($A23,main!$A$3:$H$102,6,FALSE)&gt;=(VLOOKUP(VLOOKUP(BP$1,main!$A$3:$H$102,8,FALSE),main!$K$26:$M$29,2,FALSE)+VLOOKUP(VLOOKUP(BP$1,main!$A$3:$H$102,7,FALSE),main!$K$19:$O$22,MATCH(VLOOKUP($A23,main!$A$3:$H$102,8,FALSE),main!$K$18:$O$18,0))))),1,0)</f>
        <v>0</v>
      </c>
      <c r="BQ23">
        <f>IF((AND(VLOOKUP(BQ$1,main!$A$3:$H$102,5,FALSE)-VLOOKUP($A23,main!$A$3:$H$102,6,FALSE)&gt;=(VLOOKUP(VLOOKUP(BQ$1,main!$A$3:$H$102,8,FALSE),main!$K$26:$M$29,2,FALSE)+VLOOKUP(VLOOKUP(BQ$1,main!$A$3:$H$102,7,FALSE),main!$K$19:$O$22,MATCH(VLOOKUP($A23,main!$A$3:$H$102,8,FALSE),main!$K$18:$O$18,0))))),1,0)</f>
        <v>1</v>
      </c>
      <c r="BR23">
        <f>IF((AND(VLOOKUP(BR$1,main!$A$3:$H$102,5,FALSE)-VLOOKUP($A23,main!$A$3:$H$102,6,FALSE)&gt;=(VLOOKUP(VLOOKUP(BR$1,main!$A$3:$H$102,8,FALSE),main!$K$26:$M$29,2,FALSE)+VLOOKUP(VLOOKUP(BR$1,main!$A$3:$H$102,7,FALSE),main!$K$19:$O$22,MATCH(VLOOKUP($A23,main!$A$3:$H$102,8,FALSE),main!$K$18:$O$18,0))))),1,0)</f>
        <v>1</v>
      </c>
      <c r="BS23">
        <f>IF((AND(VLOOKUP(BS$1,main!$A$3:$H$102,5,FALSE)-VLOOKUP($A23,main!$A$3:$H$102,6,FALSE)&gt;=(VLOOKUP(VLOOKUP(BS$1,main!$A$3:$H$102,8,FALSE),main!$K$26:$M$29,2,FALSE)+VLOOKUP(VLOOKUP(BS$1,main!$A$3:$H$102,7,FALSE),main!$K$19:$O$22,MATCH(VLOOKUP($A23,main!$A$3:$H$102,8,FALSE),main!$K$18:$O$18,0))))),1,0)</f>
        <v>1</v>
      </c>
      <c r="BT23">
        <f>IF((AND(VLOOKUP(BT$1,main!$A$3:$H$102,5,FALSE)-VLOOKUP($A23,main!$A$3:$H$102,6,FALSE)&gt;=(VLOOKUP(VLOOKUP(BT$1,main!$A$3:$H$102,8,FALSE),main!$K$26:$M$29,2,FALSE)+VLOOKUP(VLOOKUP(BT$1,main!$A$3:$H$102,7,FALSE),main!$K$19:$O$22,MATCH(VLOOKUP($A23,main!$A$3:$H$102,8,FALSE),main!$K$18:$O$18,0))))),1,0)</f>
        <v>1</v>
      </c>
      <c r="BU23">
        <f>IF((AND(VLOOKUP(BU$1,main!$A$3:$H$102,5,FALSE)-VLOOKUP($A23,main!$A$3:$H$102,6,FALSE)&gt;=(VLOOKUP(VLOOKUP(BU$1,main!$A$3:$H$102,8,FALSE),main!$K$26:$M$29,2,FALSE)+VLOOKUP(VLOOKUP(BU$1,main!$A$3:$H$102,7,FALSE),main!$K$19:$O$22,MATCH(VLOOKUP($A23,main!$A$3:$H$102,8,FALSE),main!$K$18:$O$18,0))))),1,0)</f>
        <v>0</v>
      </c>
      <c r="BV23">
        <f>IF((AND(VLOOKUP(BV$1,main!$A$3:$H$102,5,FALSE)-VLOOKUP($A23,main!$A$3:$H$102,6,FALSE)&gt;=(VLOOKUP(VLOOKUP(BV$1,main!$A$3:$H$102,8,FALSE),main!$K$26:$M$29,2,FALSE)+VLOOKUP(VLOOKUP(BV$1,main!$A$3:$H$102,7,FALSE),main!$K$19:$O$22,MATCH(VLOOKUP($A23,main!$A$3:$H$102,8,FALSE),main!$K$18:$O$18,0))))),1,0)</f>
        <v>0</v>
      </c>
      <c r="BW23">
        <f>IF((AND(VLOOKUP(BW$1,main!$A$3:$H$102,5,FALSE)-VLOOKUP($A23,main!$A$3:$H$102,6,FALSE)&gt;=(VLOOKUP(VLOOKUP(BW$1,main!$A$3:$H$102,8,FALSE),main!$K$26:$M$29,2,FALSE)+VLOOKUP(VLOOKUP(BW$1,main!$A$3:$H$102,7,FALSE),main!$K$19:$O$22,MATCH(VLOOKUP($A23,main!$A$3:$H$102,8,FALSE),main!$K$18:$O$18,0))))),1,0)</f>
        <v>0</v>
      </c>
      <c r="BX23">
        <f>IF((AND(VLOOKUP(BX$1,main!$A$3:$H$102,5,FALSE)-VLOOKUP($A23,main!$A$3:$H$102,6,FALSE)&gt;=(VLOOKUP(VLOOKUP(BX$1,main!$A$3:$H$102,8,FALSE),main!$K$26:$M$29,2,FALSE)+VLOOKUP(VLOOKUP(BX$1,main!$A$3:$H$102,7,FALSE),main!$K$19:$O$22,MATCH(VLOOKUP($A23,main!$A$3:$H$102,8,FALSE),main!$K$18:$O$18,0))))),1,0)</f>
        <v>1</v>
      </c>
      <c r="BY23">
        <f>IF((AND(VLOOKUP(BY$1,main!$A$3:$H$102,5,FALSE)-VLOOKUP($A23,main!$A$3:$H$102,6,FALSE)&gt;=(VLOOKUP(VLOOKUP(BY$1,main!$A$3:$H$102,8,FALSE),main!$K$26:$M$29,2,FALSE)+VLOOKUP(VLOOKUP(BY$1,main!$A$3:$H$102,7,FALSE),main!$K$19:$O$22,MATCH(VLOOKUP($A23,main!$A$3:$H$102,8,FALSE),main!$K$18:$O$18,0))))),1,0)</f>
        <v>1</v>
      </c>
      <c r="BZ23">
        <f>IF((AND(VLOOKUP(BZ$1,main!$A$3:$H$102,5,FALSE)-VLOOKUP($A23,main!$A$3:$H$102,6,FALSE)&gt;=(VLOOKUP(VLOOKUP(BZ$1,main!$A$3:$H$102,8,FALSE),main!$K$26:$M$29,2,FALSE)+VLOOKUP(VLOOKUP(BZ$1,main!$A$3:$H$102,7,FALSE),main!$K$19:$O$22,MATCH(VLOOKUP($A23,main!$A$3:$H$102,8,FALSE),main!$K$18:$O$18,0))))),1,0)</f>
        <v>0</v>
      </c>
      <c r="CA23">
        <f>IF((AND(VLOOKUP(CA$1,main!$A$3:$H$102,5,FALSE)-VLOOKUP($A23,main!$A$3:$H$102,6,FALSE)&gt;=(VLOOKUP(VLOOKUP(CA$1,main!$A$3:$H$102,8,FALSE),main!$K$26:$M$29,2,FALSE)+VLOOKUP(VLOOKUP(CA$1,main!$A$3:$H$102,7,FALSE),main!$K$19:$O$22,MATCH(VLOOKUP($A23,main!$A$3:$H$102,8,FALSE),main!$K$18:$O$18,0))))),1,0)</f>
        <v>0</v>
      </c>
      <c r="CB23">
        <f>IF((AND(VLOOKUP(CB$1,main!$A$3:$H$102,5,FALSE)-VLOOKUP($A23,main!$A$3:$H$102,6,FALSE)&gt;=(VLOOKUP(VLOOKUP(CB$1,main!$A$3:$H$102,8,FALSE),main!$K$26:$M$29,2,FALSE)+VLOOKUP(VLOOKUP(CB$1,main!$A$3:$H$102,7,FALSE),main!$K$19:$O$22,MATCH(VLOOKUP($A23,main!$A$3:$H$102,8,FALSE),main!$K$18:$O$18,0))))),1,0)</f>
        <v>1</v>
      </c>
      <c r="CC23">
        <f>IF((AND(VLOOKUP(CC$1,main!$A$3:$H$102,5,FALSE)-VLOOKUP($A23,main!$A$3:$H$102,6,FALSE)&gt;=(VLOOKUP(VLOOKUP(CC$1,main!$A$3:$H$102,8,FALSE),main!$K$26:$M$29,2,FALSE)+VLOOKUP(VLOOKUP(CC$1,main!$A$3:$H$102,7,FALSE),main!$K$19:$O$22,MATCH(VLOOKUP($A23,main!$A$3:$H$102,8,FALSE),main!$K$18:$O$18,0))))),1,0)</f>
        <v>1</v>
      </c>
      <c r="CD23">
        <f>IF((AND(VLOOKUP(CD$1,main!$A$3:$H$102,5,FALSE)-VLOOKUP($A23,main!$A$3:$H$102,6,FALSE)&gt;=(VLOOKUP(VLOOKUP(CD$1,main!$A$3:$H$102,8,FALSE),main!$K$26:$M$29,2,FALSE)+VLOOKUP(VLOOKUP(CD$1,main!$A$3:$H$102,7,FALSE),main!$K$19:$O$22,MATCH(VLOOKUP($A23,main!$A$3:$H$102,8,FALSE),main!$K$18:$O$18,0))))),1,0)</f>
        <v>1</v>
      </c>
      <c r="CE23">
        <f>IF((AND(VLOOKUP(CE$1,main!$A$3:$H$102,5,FALSE)-VLOOKUP($A23,main!$A$3:$H$102,6,FALSE)&gt;=(VLOOKUP(VLOOKUP(CE$1,main!$A$3:$H$102,8,FALSE),main!$K$26:$M$29,2,FALSE)+VLOOKUP(VLOOKUP(CE$1,main!$A$3:$H$102,7,FALSE),main!$K$19:$O$22,MATCH(VLOOKUP($A23,main!$A$3:$H$102,8,FALSE),main!$K$18:$O$18,0))))),1,0)</f>
        <v>1</v>
      </c>
      <c r="CF23">
        <f>IF((AND(VLOOKUP(CF$1,main!$A$3:$H$102,5,FALSE)-VLOOKUP($A23,main!$A$3:$H$102,6,FALSE)&gt;=(VLOOKUP(VLOOKUP(CF$1,main!$A$3:$H$102,8,FALSE),main!$K$26:$M$29,2,FALSE)+VLOOKUP(VLOOKUP(CF$1,main!$A$3:$H$102,7,FALSE),main!$K$19:$O$22,MATCH(VLOOKUP($A23,main!$A$3:$H$102,8,FALSE),main!$K$18:$O$18,0))))),1,0)</f>
        <v>1</v>
      </c>
      <c r="CG23">
        <f>IF((AND(VLOOKUP(CG$1,main!$A$3:$H$102,5,FALSE)-VLOOKUP($A23,main!$A$3:$H$102,6,FALSE)&gt;=(VLOOKUP(VLOOKUP(CG$1,main!$A$3:$H$102,8,FALSE),main!$K$26:$M$29,2,FALSE)+VLOOKUP(VLOOKUP(CG$1,main!$A$3:$H$102,7,FALSE),main!$K$19:$O$22,MATCH(VLOOKUP($A23,main!$A$3:$H$102,8,FALSE),main!$K$18:$O$18,0))))),1,0)</f>
        <v>1</v>
      </c>
      <c r="CH23">
        <f>IF((AND(VLOOKUP(CH$1,main!$A$3:$H$102,5,FALSE)-VLOOKUP($A23,main!$A$3:$H$102,6,FALSE)&gt;=(VLOOKUP(VLOOKUP(CH$1,main!$A$3:$H$102,8,FALSE),main!$K$26:$M$29,2,FALSE)+VLOOKUP(VLOOKUP(CH$1,main!$A$3:$H$102,7,FALSE),main!$K$19:$O$22,MATCH(VLOOKUP($A23,main!$A$3:$H$102,8,FALSE),main!$K$18:$O$18,0))))),1,0)</f>
        <v>1</v>
      </c>
      <c r="CI23">
        <f>IF((AND(VLOOKUP(CI$1,main!$A$3:$H$102,5,FALSE)-VLOOKUP($A23,main!$A$3:$H$102,6,FALSE)&gt;=(VLOOKUP(VLOOKUP(CI$1,main!$A$3:$H$102,8,FALSE),main!$K$26:$M$29,2,FALSE)+VLOOKUP(VLOOKUP(CI$1,main!$A$3:$H$102,7,FALSE),main!$K$19:$O$22,MATCH(VLOOKUP($A23,main!$A$3:$H$102,8,FALSE),main!$K$18:$O$18,0))))),1,0)</f>
        <v>1</v>
      </c>
      <c r="CJ23">
        <f>IF((AND(VLOOKUP(CJ$1,main!$A$3:$H$102,5,FALSE)-VLOOKUP($A23,main!$A$3:$H$102,6,FALSE)&gt;=(VLOOKUP(VLOOKUP(CJ$1,main!$A$3:$H$102,8,FALSE),main!$K$26:$M$29,2,FALSE)+VLOOKUP(VLOOKUP(CJ$1,main!$A$3:$H$102,7,FALSE),main!$K$19:$O$22,MATCH(VLOOKUP($A23,main!$A$3:$H$102,8,FALSE),main!$K$18:$O$18,0))))),1,0)</f>
        <v>1</v>
      </c>
      <c r="CK23">
        <f>IF((AND(VLOOKUP(CK$1,main!$A$3:$H$102,5,FALSE)-VLOOKUP($A23,main!$A$3:$H$102,6,FALSE)&gt;=(VLOOKUP(VLOOKUP(CK$1,main!$A$3:$H$102,8,FALSE),main!$K$26:$M$29,2,FALSE)+VLOOKUP(VLOOKUP(CK$1,main!$A$3:$H$102,7,FALSE),main!$K$19:$O$22,MATCH(VLOOKUP($A23,main!$A$3:$H$102,8,FALSE),main!$K$18:$O$18,0))))),1,0)</f>
        <v>0</v>
      </c>
      <c r="CL23">
        <f>IF((AND(VLOOKUP(CL$1,main!$A$3:$H$102,5,FALSE)-VLOOKUP($A23,main!$A$3:$H$102,6,FALSE)&gt;=(VLOOKUP(VLOOKUP(CL$1,main!$A$3:$H$102,8,FALSE),main!$K$26:$M$29,2,FALSE)+VLOOKUP(VLOOKUP(CL$1,main!$A$3:$H$102,7,FALSE),main!$K$19:$O$22,MATCH(VLOOKUP($A23,main!$A$3:$H$102,8,FALSE),main!$K$18:$O$18,0))))),1,0)</f>
        <v>1</v>
      </c>
      <c r="CM23">
        <f>IF((AND(VLOOKUP(CM$1,main!$A$3:$H$102,5,FALSE)-VLOOKUP($A23,main!$A$3:$H$102,6,FALSE)&gt;=(VLOOKUP(VLOOKUP(CM$1,main!$A$3:$H$102,8,FALSE),main!$K$26:$M$29,2,FALSE)+VLOOKUP(VLOOKUP(CM$1,main!$A$3:$H$102,7,FALSE),main!$K$19:$O$22,MATCH(VLOOKUP($A23,main!$A$3:$H$102,8,FALSE),main!$K$18:$O$18,0))))),1,0)</f>
        <v>1</v>
      </c>
      <c r="CN23">
        <f>IF((AND(VLOOKUP(CN$1,main!$A$3:$H$102,5,FALSE)-VLOOKUP($A23,main!$A$3:$H$102,6,FALSE)&gt;=(VLOOKUP(VLOOKUP(CN$1,main!$A$3:$H$102,8,FALSE),main!$K$26:$M$29,2,FALSE)+VLOOKUP(VLOOKUP(CN$1,main!$A$3:$H$102,7,FALSE),main!$K$19:$O$22,MATCH(VLOOKUP($A23,main!$A$3:$H$102,8,FALSE),main!$K$18:$O$18,0))))),1,0)</f>
        <v>1</v>
      </c>
      <c r="CO23">
        <f>IF((AND(VLOOKUP(CO$1,main!$A$3:$H$102,5,FALSE)-VLOOKUP($A23,main!$A$3:$H$102,6,FALSE)&gt;=(VLOOKUP(VLOOKUP(CO$1,main!$A$3:$H$102,8,FALSE),main!$K$26:$M$29,2,FALSE)+VLOOKUP(VLOOKUP(CO$1,main!$A$3:$H$102,7,FALSE),main!$K$19:$O$22,MATCH(VLOOKUP($A23,main!$A$3:$H$102,8,FALSE),main!$K$18:$O$18,0))))),1,0)</f>
        <v>0</v>
      </c>
      <c r="CP23">
        <f>IF((AND(VLOOKUP(CP$1,main!$A$3:$H$102,5,FALSE)-VLOOKUP($A23,main!$A$3:$H$102,6,FALSE)&gt;=(VLOOKUP(VLOOKUP(CP$1,main!$A$3:$H$102,8,FALSE),main!$K$26:$M$29,2,FALSE)+VLOOKUP(VLOOKUP(CP$1,main!$A$3:$H$102,7,FALSE),main!$K$19:$O$22,MATCH(VLOOKUP($A23,main!$A$3:$H$102,8,FALSE),main!$K$18:$O$18,0))))),1,0)</f>
        <v>1</v>
      </c>
      <c r="CQ23">
        <f>IF((AND(VLOOKUP(CQ$1,main!$A$3:$H$102,5,FALSE)-VLOOKUP($A23,main!$A$3:$H$102,6,FALSE)&gt;=(VLOOKUP(VLOOKUP(CQ$1,main!$A$3:$H$102,8,FALSE),main!$K$26:$M$29,2,FALSE)+VLOOKUP(VLOOKUP(CQ$1,main!$A$3:$H$102,7,FALSE),main!$K$19:$O$22,MATCH(VLOOKUP($A23,main!$A$3:$H$102,8,FALSE),main!$K$18:$O$18,0))))),1,0)</f>
        <v>1</v>
      </c>
      <c r="CR23">
        <f>IF((AND(VLOOKUP(CR$1,main!$A$3:$H$102,5,FALSE)-VLOOKUP($A23,main!$A$3:$H$102,6,FALSE)&gt;=(VLOOKUP(VLOOKUP(CR$1,main!$A$3:$H$102,8,FALSE),main!$K$26:$M$29,2,FALSE)+VLOOKUP(VLOOKUP(CR$1,main!$A$3:$H$102,7,FALSE),main!$K$19:$O$22,MATCH(VLOOKUP($A23,main!$A$3:$H$102,8,FALSE),main!$K$18:$O$18,0))))),1,0)</f>
        <v>1</v>
      </c>
      <c r="CS23">
        <f>IF((AND(VLOOKUP(CS$1,main!$A$3:$H$102,5,FALSE)-VLOOKUP($A23,main!$A$3:$H$102,6,FALSE)&gt;=(VLOOKUP(VLOOKUP(CS$1,main!$A$3:$H$102,8,FALSE),main!$K$26:$M$29,2,FALSE)+VLOOKUP(VLOOKUP(CS$1,main!$A$3:$H$102,7,FALSE),main!$K$19:$O$22,MATCH(VLOOKUP($A23,main!$A$3:$H$102,8,FALSE),main!$K$18:$O$18,0))))),1,0)</f>
        <v>1</v>
      </c>
      <c r="CT23">
        <f>IF((AND(VLOOKUP(CT$1,main!$A$3:$H$102,5,FALSE)-VLOOKUP($A23,main!$A$3:$H$102,6,FALSE)&gt;=(VLOOKUP(VLOOKUP(CT$1,main!$A$3:$H$102,8,FALSE),main!$K$26:$M$29,2,FALSE)+VLOOKUP(VLOOKUP(CT$1,main!$A$3:$H$102,7,FALSE),main!$K$19:$O$22,MATCH(VLOOKUP($A23,main!$A$3:$H$102,8,FALSE),main!$K$18:$O$18,0))))),1,0)</f>
        <v>0</v>
      </c>
      <c r="CU23">
        <f>IF((AND(VLOOKUP(CU$1,main!$A$3:$H$102,5,FALSE)-VLOOKUP($A23,main!$A$3:$H$102,6,FALSE)&gt;=(VLOOKUP(VLOOKUP(CU$1,main!$A$3:$H$102,8,FALSE),main!$K$26:$M$29,2,FALSE)+VLOOKUP(VLOOKUP(CU$1,main!$A$3:$H$102,7,FALSE),main!$K$19:$O$22,MATCH(VLOOKUP($A23,main!$A$3:$H$102,8,FALSE),main!$K$18:$O$18,0))))),1,0)</f>
        <v>0</v>
      </c>
      <c r="CV23">
        <f>IF((AND(VLOOKUP(CV$1,main!$A$3:$H$102,5,FALSE)-VLOOKUP($A23,main!$A$3:$H$102,6,FALSE)&gt;=(VLOOKUP(VLOOKUP(CV$1,main!$A$3:$H$102,8,FALSE),main!$K$26:$M$29,2,FALSE)+VLOOKUP(VLOOKUP(CV$1,main!$A$3:$H$102,7,FALSE),main!$K$19:$O$22,MATCH(VLOOKUP($A23,main!$A$3:$H$102,8,FALSE),main!$K$18:$O$18,0))))),1,0)</f>
        <v>1</v>
      </c>
      <c r="CW23">
        <f>IF((AND(VLOOKUP(CW$1,main!$A$3:$H$102,5,FALSE)-VLOOKUP($A23,main!$A$3:$H$102,6,FALSE)&gt;=(VLOOKUP(VLOOKUP(CW$1,main!$A$3:$H$102,8,FALSE),main!$K$26:$M$29,2,FALSE)+VLOOKUP(VLOOKUP(CW$1,main!$A$3:$H$102,7,FALSE),main!$K$19:$O$22,MATCH(VLOOKUP($A23,main!$A$3:$H$102,8,FALSE),main!$K$18:$O$18,0))))),1,0)</f>
        <v>1</v>
      </c>
      <c r="CX23">
        <f>IF((AND(VLOOKUP(CX$1,main!$A$3:$H$102,5,FALSE)-VLOOKUP($A23,main!$A$3:$H$102,6,FALSE)&gt;=(VLOOKUP(VLOOKUP(CX$1,main!$A$3:$H$102,8,FALSE),main!$K$26:$M$29,2,FALSE)+VLOOKUP(VLOOKUP(CX$1,main!$A$3:$H$102,7,FALSE),main!$K$19:$O$22,MATCH(VLOOKUP($A23,main!$A$3:$H$102,8,FALSE),main!$K$18:$O$18,0))))),1,0)</f>
        <v>1</v>
      </c>
    </row>
    <row r="24" spans="1:102" x14ac:dyDescent="0.25">
      <c r="A24" s="1">
        <v>22</v>
      </c>
      <c r="B24">
        <v>1</v>
      </c>
      <c r="C24">
        <f>IF((AND(VLOOKUP(C$1,main!$A$3:$H$102,5,FALSE)-VLOOKUP($A24,main!$A$3:$H$102,6,FALSE)&gt;=(VLOOKUP(VLOOKUP(C$1,main!$A$3:$H$102,8,FALSE),main!$K$26:$M$29,2,FALSE)+VLOOKUP(VLOOKUP(C$1,main!$A$3:$H$102,7,FALSE),main!$K$19:$O$22,MATCH(VLOOKUP($A24,main!$A$3:$H$102,8,FALSE),main!$K$18:$O$18,0))))),1,0)</f>
        <v>0</v>
      </c>
      <c r="D24">
        <f>IF((AND(VLOOKUP(D$1,main!$A$3:$H$102,5,FALSE)-VLOOKUP($A24,main!$A$3:$H$102,6,FALSE)&gt;=(VLOOKUP(VLOOKUP(D$1,main!$A$3:$H$102,8,FALSE),main!$K$26:$M$29,2,FALSE)+VLOOKUP(VLOOKUP(D$1,main!$A$3:$H$102,7,FALSE),main!$K$19:$O$22,MATCH(VLOOKUP($A24,main!$A$3:$H$102,8,FALSE),main!$K$18:$O$18,0))))),1,0)</f>
        <v>0</v>
      </c>
      <c r="E24">
        <f>IF((AND(VLOOKUP(E$1,main!$A$3:$H$102,5,FALSE)-VLOOKUP($A24,main!$A$3:$H$102,6,FALSE)&gt;=(VLOOKUP(VLOOKUP(E$1,main!$A$3:$H$102,8,FALSE),main!$K$26:$M$29,2,FALSE)+VLOOKUP(VLOOKUP(E$1,main!$A$3:$H$102,7,FALSE),main!$K$19:$O$22,MATCH(VLOOKUP($A24,main!$A$3:$H$102,8,FALSE),main!$K$18:$O$18,0))))),1,0)</f>
        <v>0</v>
      </c>
      <c r="F24">
        <f>IF((AND(VLOOKUP(F$1,main!$A$3:$H$102,5,FALSE)-VLOOKUP($A24,main!$A$3:$H$102,6,FALSE)&gt;=(VLOOKUP(VLOOKUP(F$1,main!$A$3:$H$102,8,FALSE),main!$K$26:$M$29,2,FALSE)+VLOOKUP(VLOOKUP(F$1,main!$A$3:$H$102,7,FALSE),main!$K$19:$O$22,MATCH(VLOOKUP($A24,main!$A$3:$H$102,8,FALSE),main!$K$18:$O$18,0))))),1,0)</f>
        <v>0</v>
      </c>
      <c r="G24">
        <f>IF((AND(VLOOKUP(G$1,main!$A$3:$H$102,5,FALSE)-VLOOKUP($A24,main!$A$3:$H$102,6,FALSE)&gt;=(VLOOKUP(VLOOKUP(G$1,main!$A$3:$H$102,8,FALSE),main!$K$26:$M$29,2,FALSE)+VLOOKUP(VLOOKUP(G$1,main!$A$3:$H$102,7,FALSE),main!$K$19:$O$22,MATCH(VLOOKUP($A24,main!$A$3:$H$102,8,FALSE),main!$K$18:$O$18,0))))),1,0)</f>
        <v>1</v>
      </c>
      <c r="H24">
        <f>IF((AND(VLOOKUP(H$1,main!$A$3:$H$102,5,FALSE)-VLOOKUP($A24,main!$A$3:$H$102,6,FALSE)&gt;=(VLOOKUP(VLOOKUP(H$1,main!$A$3:$H$102,8,FALSE),main!$K$26:$M$29,2,FALSE)+VLOOKUP(VLOOKUP(H$1,main!$A$3:$H$102,7,FALSE),main!$K$19:$O$22,MATCH(VLOOKUP($A24,main!$A$3:$H$102,8,FALSE),main!$K$18:$O$18,0))))),1,0)</f>
        <v>1</v>
      </c>
      <c r="I24">
        <f>IF((AND(VLOOKUP(I$1,main!$A$3:$H$102,5,FALSE)-VLOOKUP($A24,main!$A$3:$H$102,6,FALSE)&gt;=(VLOOKUP(VLOOKUP(I$1,main!$A$3:$H$102,8,FALSE),main!$K$26:$M$29,2,FALSE)+VLOOKUP(VLOOKUP(I$1,main!$A$3:$H$102,7,FALSE),main!$K$19:$O$22,MATCH(VLOOKUP($A24,main!$A$3:$H$102,8,FALSE),main!$K$18:$O$18,0))))),1,0)</f>
        <v>1</v>
      </c>
      <c r="J24">
        <f>IF((AND(VLOOKUP(J$1,main!$A$3:$H$102,5,FALSE)-VLOOKUP($A24,main!$A$3:$H$102,6,FALSE)&gt;=(VLOOKUP(VLOOKUP(J$1,main!$A$3:$H$102,8,FALSE),main!$K$26:$M$29,2,FALSE)+VLOOKUP(VLOOKUP(J$1,main!$A$3:$H$102,7,FALSE),main!$K$19:$O$22,MATCH(VLOOKUP($A24,main!$A$3:$H$102,8,FALSE),main!$K$18:$O$18,0))))),1,0)</f>
        <v>1</v>
      </c>
      <c r="K24">
        <f>IF((AND(VLOOKUP(K$1,main!$A$3:$H$102,5,FALSE)-VLOOKUP($A24,main!$A$3:$H$102,6,FALSE)&gt;=(VLOOKUP(VLOOKUP(K$1,main!$A$3:$H$102,8,FALSE),main!$K$26:$M$29,2,FALSE)+VLOOKUP(VLOOKUP(K$1,main!$A$3:$H$102,7,FALSE),main!$K$19:$O$22,MATCH(VLOOKUP($A24,main!$A$3:$H$102,8,FALSE),main!$K$18:$O$18,0))))),1,0)</f>
        <v>1</v>
      </c>
      <c r="L24">
        <f>IF((AND(VLOOKUP(L$1,main!$A$3:$H$102,5,FALSE)-VLOOKUP($A24,main!$A$3:$H$102,6,FALSE)&gt;=(VLOOKUP(VLOOKUP(L$1,main!$A$3:$H$102,8,FALSE),main!$K$26:$M$29,2,FALSE)+VLOOKUP(VLOOKUP(L$1,main!$A$3:$H$102,7,FALSE),main!$K$19:$O$22,MATCH(VLOOKUP($A24,main!$A$3:$H$102,8,FALSE),main!$K$18:$O$18,0))))),1,0)</f>
        <v>1</v>
      </c>
      <c r="M24">
        <f>IF((AND(VLOOKUP(M$1,main!$A$3:$H$102,5,FALSE)-VLOOKUP($A24,main!$A$3:$H$102,6,FALSE)&gt;=(VLOOKUP(VLOOKUP(M$1,main!$A$3:$H$102,8,FALSE),main!$K$26:$M$29,2,FALSE)+VLOOKUP(VLOOKUP(M$1,main!$A$3:$H$102,7,FALSE),main!$K$19:$O$22,MATCH(VLOOKUP($A24,main!$A$3:$H$102,8,FALSE),main!$K$18:$O$18,0))))),1,0)</f>
        <v>0</v>
      </c>
      <c r="N24">
        <f>IF((AND(VLOOKUP(N$1,main!$A$3:$H$102,5,FALSE)-VLOOKUP($A24,main!$A$3:$H$102,6,FALSE)&gt;=(VLOOKUP(VLOOKUP(N$1,main!$A$3:$H$102,8,FALSE),main!$K$26:$M$29,2,FALSE)+VLOOKUP(VLOOKUP(N$1,main!$A$3:$H$102,7,FALSE),main!$K$19:$O$22,MATCH(VLOOKUP($A24,main!$A$3:$H$102,8,FALSE),main!$K$18:$O$18,0))))),1,0)</f>
        <v>0</v>
      </c>
      <c r="O24">
        <f>IF((AND(VLOOKUP(O$1,main!$A$3:$H$102,5,FALSE)-VLOOKUP($A24,main!$A$3:$H$102,6,FALSE)&gt;=(VLOOKUP(VLOOKUP(O$1,main!$A$3:$H$102,8,FALSE),main!$K$26:$M$29,2,FALSE)+VLOOKUP(VLOOKUP(O$1,main!$A$3:$H$102,7,FALSE),main!$K$19:$O$22,MATCH(VLOOKUP($A24,main!$A$3:$H$102,8,FALSE),main!$K$18:$O$18,0))))),1,0)</f>
        <v>0</v>
      </c>
      <c r="P24">
        <f>IF((AND(VLOOKUP(P$1,main!$A$3:$H$102,5,FALSE)-VLOOKUP($A24,main!$A$3:$H$102,6,FALSE)&gt;=(VLOOKUP(VLOOKUP(P$1,main!$A$3:$H$102,8,FALSE),main!$K$26:$M$29,2,FALSE)+VLOOKUP(VLOOKUP(P$1,main!$A$3:$H$102,7,FALSE),main!$K$19:$O$22,MATCH(VLOOKUP($A24,main!$A$3:$H$102,8,FALSE),main!$K$18:$O$18,0))))),1,0)</f>
        <v>0</v>
      </c>
      <c r="Q24">
        <f>IF((AND(VLOOKUP(Q$1,main!$A$3:$H$102,5,FALSE)-VLOOKUP($A24,main!$A$3:$H$102,6,FALSE)&gt;=(VLOOKUP(VLOOKUP(Q$1,main!$A$3:$H$102,8,FALSE),main!$K$26:$M$29,2,FALSE)+VLOOKUP(VLOOKUP(Q$1,main!$A$3:$H$102,7,FALSE),main!$K$19:$O$22,MATCH(VLOOKUP($A24,main!$A$3:$H$102,8,FALSE),main!$K$18:$O$18,0))))),1,0)</f>
        <v>0</v>
      </c>
      <c r="R24">
        <f>IF((AND(VLOOKUP(R$1,main!$A$3:$H$102,5,FALSE)-VLOOKUP($A24,main!$A$3:$H$102,6,FALSE)&gt;=(VLOOKUP(VLOOKUP(R$1,main!$A$3:$H$102,8,FALSE),main!$K$26:$M$29,2,FALSE)+VLOOKUP(VLOOKUP(R$1,main!$A$3:$H$102,7,FALSE),main!$K$19:$O$22,MATCH(VLOOKUP($A24,main!$A$3:$H$102,8,FALSE),main!$K$18:$O$18,0))))),1,0)</f>
        <v>0</v>
      </c>
      <c r="S24">
        <f>IF((AND(VLOOKUP(S$1,main!$A$3:$H$102,5,FALSE)-VLOOKUP($A24,main!$A$3:$H$102,6,FALSE)&gt;=(VLOOKUP(VLOOKUP(S$1,main!$A$3:$H$102,8,FALSE),main!$K$26:$M$29,2,FALSE)+VLOOKUP(VLOOKUP(S$1,main!$A$3:$H$102,7,FALSE),main!$K$19:$O$22,MATCH(VLOOKUP($A24,main!$A$3:$H$102,8,FALSE),main!$K$18:$O$18,0))))),1,0)</f>
        <v>1</v>
      </c>
      <c r="T24">
        <f>IF((AND(VLOOKUP(T$1,main!$A$3:$H$102,5,FALSE)-VLOOKUP($A24,main!$A$3:$H$102,6,FALSE)&gt;=(VLOOKUP(VLOOKUP(T$1,main!$A$3:$H$102,8,FALSE),main!$K$26:$M$29,2,FALSE)+VLOOKUP(VLOOKUP(T$1,main!$A$3:$H$102,7,FALSE),main!$K$19:$O$22,MATCH(VLOOKUP($A24,main!$A$3:$H$102,8,FALSE),main!$K$18:$O$18,0))))),1,0)</f>
        <v>1</v>
      </c>
      <c r="U24">
        <f>IF((AND(VLOOKUP(U$1,main!$A$3:$H$102,5,FALSE)-VLOOKUP($A24,main!$A$3:$H$102,6,FALSE)&gt;=(VLOOKUP(VLOOKUP(U$1,main!$A$3:$H$102,8,FALSE),main!$K$26:$M$29,2,FALSE)+VLOOKUP(VLOOKUP(U$1,main!$A$3:$H$102,7,FALSE),main!$K$19:$O$22,MATCH(VLOOKUP($A24,main!$A$3:$H$102,8,FALSE),main!$K$18:$O$18,0))))),1,0)</f>
        <v>1</v>
      </c>
      <c r="V24">
        <f>IF((AND(VLOOKUP(V$1,main!$A$3:$H$102,5,FALSE)-VLOOKUP($A24,main!$A$3:$H$102,6,FALSE)&gt;=(VLOOKUP(VLOOKUP(V$1,main!$A$3:$H$102,8,FALSE),main!$K$26:$M$29,2,FALSE)+VLOOKUP(VLOOKUP(V$1,main!$A$3:$H$102,7,FALSE),main!$K$19:$O$22,MATCH(VLOOKUP($A24,main!$A$3:$H$102,8,FALSE),main!$K$18:$O$18,0))))),1,0)</f>
        <v>1</v>
      </c>
      <c r="W24">
        <f>IF((AND(VLOOKUP(W$1,main!$A$3:$H$102,5,FALSE)-VLOOKUP($A24,main!$A$3:$H$102,6,FALSE)&gt;=(VLOOKUP(VLOOKUP(W$1,main!$A$3:$H$102,8,FALSE),main!$K$26:$M$29,2,FALSE)+VLOOKUP(VLOOKUP(W$1,main!$A$3:$H$102,7,FALSE),main!$K$19:$O$22,MATCH(VLOOKUP($A24,main!$A$3:$H$102,8,FALSE),main!$K$18:$O$18,0))))),1,0)</f>
        <v>0</v>
      </c>
      <c r="X24">
        <f>IF((AND(VLOOKUP(X$1,main!$A$3:$H$102,5,FALSE)-VLOOKUP($A24,main!$A$3:$H$102,6,FALSE)&gt;=(VLOOKUP(VLOOKUP(X$1,main!$A$3:$H$102,8,FALSE),main!$K$26:$M$29,2,FALSE)+VLOOKUP(VLOOKUP(X$1,main!$A$3:$H$102,7,FALSE),main!$K$19:$O$22,MATCH(VLOOKUP($A24,main!$A$3:$H$102,8,FALSE),main!$K$18:$O$18,0))))),1,0)</f>
        <v>0</v>
      </c>
      <c r="Y24">
        <f>IF((AND(VLOOKUP(Y$1,main!$A$3:$H$102,5,FALSE)-VLOOKUP($A24,main!$A$3:$H$102,6,FALSE)&gt;=(VLOOKUP(VLOOKUP(Y$1,main!$A$3:$H$102,8,FALSE),main!$K$26:$M$29,2,FALSE)+VLOOKUP(VLOOKUP(Y$1,main!$A$3:$H$102,7,FALSE),main!$K$19:$O$22,MATCH(VLOOKUP($A24,main!$A$3:$H$102,8,FALSE),main!$K$18:$O$18,0))))),1,0)</f>
        <v>0</v>
      </c>
      <c r="Z24">
        <f>IF((AND(VLOOKUP(Z$1,main!$A$3:$H$102,5,FALSE)-VLOOKUP($A24,main!$A$3:$H$102,6,FALSE)&gt;=(VLOOKUP(VLOOKUP(Z$1,main!$A$3:$H$102,8,FALSE),main!$K$26:$M$29,2,FALSE)+VLOOKUP(VLOOKUP(Z$1,main!$A$3:$H$102,7,FALSE),main!$K$19:$O$22,MATCH(VLOOKUP($A24,main!$A$3:$H$102,8,FALSE),main!$K$18:$O$18,0))))),1,0)</f>
        <v>1</v>
      </c>
      <c r="AA24">
        <f>IF((AND(VLOOKUP(AA$1,main!$A$3:$H$102,5,FALSE)-VLOOKUP($A24,main!$A$3:$H$102,6,FALSE)&gt;=(VLOOKUP(VLOOKUP(AA$1,main!$A$3:$H$102,8,FALSE),main!$K$26:$M$29,2,FALSE)+VLOOKUP(VLOOKUP(AA$1,main!$A$3:$H$102,7,FALSE),main!$K$19:$O$22,MATCH(VLOOKUP($A24,main!$A$3:$H$102,8,FALSE),main!$K$18:$O$18,0))))),1,0)</f>
        <v>1</v>
      </c>
      <c r="AB24">
        <f>IF((AND(VLOOKUP(AB$1,main!$A$3:$H$102,5,FALSE)-VLOOKUP($A24,main!$A$3:$H$102,6,FALSE)&gt;=(VLOOKUP(VLOOKUP(AB$1,main!$A$3:$H$102,8,FALSE),main!$K$26:$M$29,2,FALSE)+VLOOKUP(VLOOKUP(AB$1,main!$A$3:$H$102,7,FALSE),main!$K$19:$O$22,MATCH(VLOOKUP($A24,main!$A$3:$H$102,8,FALSE),main!$K$18:$O$18,0))))),1,0)</f>
        <v>0</v>
      </c>
      <c r="AC24">
        <f>IF((AND(VLOOKUP(AC$1,main!$A$3:$H$102,5,FALSE)-VLOOKUP($A24,main!$A$3:$H$102,6,FALSE)&gt;=(VLOOKUP(VLOOKUP(AC$1,main!$A$3:$H$102,8,FALSE),main!$K$26:$M$29,2,FALSE)+VLOOKUP(VLOOKUP(AC$1,main!$A$3:$H$102,7,FALSE),main!$K$19:$O$22,MATCH(VLOOKUP($A24,main!$A$3:$H$102,8,FALSE),main!$K$18:$O$18,0))))),1,0)</f>
        <v>0</v>
      </c>
      <c r="AD24">
        <f>IF((AND(VLOOKUP(AD$1,main!$A$3:$H$102,5,FALSE)-VLOOKUP($A24,main!$A$3:$H$102,6,FALSE)&gt;=(VLOOKUP(VLOOKUP(AD$1,main!$A$3:$H$102,8,FALSE),main!$K$26:$M$29,2,FALSE)+VLOOKUP(VLOOKUP(AD$1,main!$A$3:$H$102,7,FALSE),main!$K$19:$O$22,MATCH(VLOOKUP($A24,main!$A$3:$H$102,8,FALSE),main!$K$18:$O$18,0))))),1,0)</f>
        <v>0</v>
      </c>
      <c r="AE24">
        <f>IF((AND(VLOOKUP(AE$1,main!$A$3:$H$102,5,FALSE)-VLOOKUP($A24,main!$A$3:$H$102,6,FALSE)&gt;=(VLOOKUP(VLOOKUP(AE$1,main!$A$3:$H$102,8,FALSE),main!$K$26:$M$29,2,FALSE)+VLOOKUP(VLOOKUP(AE$1,main!$A$3:$H$102,7,FALSE),main!$K$19:$O$22,MATCH(VLOOKUP($A24,main!$A$3:$H$102,8,FALSE),main!$K$18:$O$18,0))))),1,0)</f>
        <v>1</v>
      </c>
      <c r="AF24">
        <f>IF((AND(VLOOKUP(AF$1,main!$A$3:$H$102,5,FALSE)-VLOOKUP($A24,main!$A$3:$H$102,6,FALSE)&gt;=(VLOOKUP(VLOOKUP(AF$1,main!$A$3:$H$102,8,FALSE),main!$K$26:$M$29,2,FALSE)+VLOOKUP(VLOOKUP(AF$1,main!$A$3:$H$102,7,FALSE),main!$K$19:$O$22,MATCH(VLOOKUP($A24,main!$A$3:$H$102,8,FALSE),main!$K$18:$O$18,0))))),1,0)</f>
        <v>1</v>
      </c>
      <c r="AG24">
        <f>IF((AND(VLOOKUP(AG$1,main!$A$3:$H$102,5,FALSE)-VLOOKUP($A24,main!$A$3:$H$102,6,FALSE)&gt;=(VLOOKUP(VLOOKUP(AG$1,main!$A$3:$H$102,8,FALSE),main!$K$26:$M$29,2,FALSE)+VLOOKUP(VLOOKUP(AG$1,main!$A$3:$H$102,7,FALSE),main!$K$19:$O$22,MATCH(VLOOKUP($A24,main!$A$3:$H$102,8,FALSE),main!$K$18:$O$18,0))))),1,0)</f>
        <v>0</v>
      </c>
      <c r="AH24">
        <f>IF((AND(VLOOKUP(AH$1,main!$A$3:$H$102,5,FALSE)-VLOOKUP($A24,main!$A$3:$H$102,6,FALSE)&gt;=(VLOOKUP(VLOOKUP(AH$1,main!$A$3:$H$102,8,FALSE),main!$K$26:$M$29,2,FALSE)+VLOOKUP(VLOOKUP(AH$1,main!$A$3:$H$102,7,FALSE),main!$K$19:$O$22,MATCH(VLOOKUP($A24,main!$A$3:$H$102,8,FALSE),main!$K$18:$O$18,0))))),1,0)</f>
        <v>0</v>
      </c>
      <c r="AI24">
        <f>IF((AND(VLOOKUP(AI$1,main!$A$3:$H$102,5,FALSE)-VLOOKUP($A24,main!$A$3:$H$102,6,FALSE)&gt;=(VLOOKUP(VLOOKUP(AI$1,main!$A$3:$H$102,8,FALSE),main!$K$26:$M$29,2,FALSE)+VLOOKUP(VLOOKUP(AI$1,main!$A$3:$H$102,7,FALSE),main!$K$19:$O$22,MATCH(VLOOKUP($A24,main!$A$3:$H$102,8,FALSE),main!$K$18:$O$18,0))))),1,0)</f>
        <v>0</v>
      </c>
      <c r="AJ24">
        <f>IF((AND(VLOOKUP(AJ$1,main!$A$3:$H$102,5,FALSE)-VLOOKUP($A24,main!$A$3:$H$102,6,FALSE)&gt;=(VLOOKUP(VLOOKUP(AJ$1,main!$A$3:$H$102,8,FALSE),main!$K$26:$M$29,2,FALSE)+VLOOKUP(VLOOKUP(AJ$1,main!$A$3:$H$102,7,FALSE),main!$K$19:$O$22,MATCH(VLOOKUP($A24,main!$A$3:$H$102,8,FALSE),main!$K$18:$O$18,0))))),1,0)</f>
        <v>0</v>
      </c>
      <c r="AK24">
        <f>IF((AND(VLOOKUP(AK$1,main!$A$3:$H$102,5,FALSE)-VLOOKUP($A24,main!$A$3:$H$102,6,FALSE)&gt;=(VLOOKUP(VLOOKUP(AK$1,main!$A$3:$H$102,8,FALSE),main!$K$26:$M$29,2,FALSE)+VLOOKUP(VLOOKUP(AK$1,main!$A$3:$H$102,7,FALSE),main!$K$19:$O$22,MATCH(VLOOKUP($A24,main!$A$3:$H$102,8,FALSE),main!$K$18:$O$18,0))))),1,0)</f>
        <v>1</v>
      </c>
      <c r="AL24">
        <f>IF((AND(VLOOKUP(AL$1,main!$A$3:$H$102,5,FALSE)-VLOOKUP($A24,main!$A$3:$H$102,6,FALSE)&gt;=(VLOOKUP(VLOOKUP(AL$1,main!$A$3:$H$102,8,FALSE),main!$K$26:$M$29,2,FALSE)+VLOOKUP(VLOOKUP(AL$1,main!$A$3:$H$102,7,FALSE),main!$K$19:$O$22,MATCH(VLOOKUP($A24,main!$A$3:$H$102,8,FALSE),main!$K$18:$O$18,0))))),1,0)</f>
        <v>1</v>
      </c>
      <c r="AM24">
        <f>IF((AND(VLOOKUP(AM$1,main!$A$3:$H$102,5,FALSE)-VLOOKUP($A24,main!$A$3:$H$102,6,FALSE)&gt;=(VLOOKUP(VLOOKUP(AM$1,main!$A$3:$H$102,8,FALSE),main!$K$26:$M$29,2,FALSE)+VLOOKUP(VLOOKUP(AM$1,main!$A$3:$H$102,7,FALSE),main!$K$19:$O$22,MATCH(VLOOKUP($A24,main!$A$3:$H$102,8,FALSE),main!$K$18:$O$18,0))))),1,0)</f>
        <v>1</v>
      </c>
      <c r="AN24">
        <f>IF((AND(VLOOKUP(AN$1,main!$A$3:$H$102,5,FALSE)-VLOOKUP($A24,main!$A$3:$H$102,6,FALSE)&gt;=(VLOOKUP(VLOOKUP(AN$1,main!$A$3:$H$102,8,FALSE),main!$K$26:$M$29,2,FALSE)+VLOOKUP(VLOOKUP(AN$1,main!$A$3:$H$102,7,FALSE),main!$K$19:$O$22,MATCH(VLOOKUP($A24,main!$A$3:$H$102,8,FALSE),main!$K$18:$O$18,0))))),1,0)</f>
        <v>1</v>
      </c>
      <c r="AO24">
        <f>IF((AND(VLOOKUP(AO$1,main!$A$3:$H$102,5,FALSE)-VLOOKUP($A24,main!$A$3:$H$102,6,FALSE)&gt;=(VLOOKUP(VLOOKUP(AO$1,main!$A$3:$H$102,8,FALSE),main!$K$26:$M$29,2,FALSE)+VLOOKUP(VLOOKUP(AO$1,main!$A$3:$H$102,7,FALSE),main!$K$19:$O$22,MATCH(VLOOKUP($A24,main!$A$3:$H$102,8,FALSE),main!$K$18:$O$18,0))))),1,0)</f>
        <v>0</v>
      </c>
      <c r="AP24">
        <f>IF((AND(VLOOKUP(AP$1,main!$A$3:$H$102,5,FALSE)-VLOOKUP($A24,main!$A$3:$H$102,6,FALSE)&gt;=(VLOOKUP(VLOOKUP(AP$1,main!$A$3:$H$102,8,FALSE),main!$K$26:$M$29,2,FALSE)+VLOOKUP(VLOOKUP(AP$1,main!$A$3:$H$102,7,FALSE),main!$K$19:$O$22,MATCH(VLOOKUP($A24,main!$A$3:$H$102,8,FALSE),main!$K$18:$O$18,0))))),1,0)</f>
        <v>1</v>
      </c>
      <c r="AQ24">
        <f>IF((AND(VLOOKUP(AQ$1,main!$A$3:$H$102,5,FALSE)-VLOOKUP($A24,main!$A$3:$H$102,6,FALSE)&gt;=(VLOOKUP(VLOOKUP(AQ$1,main!$A$3:$H$102,8,FALSE),main!$K$26:$M$29,2,FALSE)+VLOOKUP(VLOOKUP(AQ$1,main!$A$3:$H$102,7,FALSE),main!$K$19:$O$22,MATCH(VLOOKUP($A24,main!$A$3:$H$102,8,FALSE),main!$K$18:$O$18,0))))),1,0)</f>
        <v>0</v>
      </c>
      <c r="AR24">
        <f>IF((AND(VLOOKUP(AR$1,main!$A$3:$H$102,5,FALSE)-VLOOKUP($A24,main!$A$3:$H$102,6,FALSE)&gt;=(VLOOKUP(VLOOKUP(AR$1,main!$A$3:$H$102,8,FALSE),main!$K$26:$M$29,2,FALSE)+VLOOKUP(VLOOKUP(AR$1,main!$A$3:$H$102,7,FALSE),main!$K$19:$O$22,MATCH(VLOOKUP($A24,main!$A$3:$H$102,8,FALSE),main!$K$18:$O$18,0))))),1,0)</f>
        <v>0</v>
      </c>
      <c r="AS24">
        <f>IF((AND(VLOOKUP(AS$1,main!$A$3:$H$102,5,FALSE)-VLOOKUP($A24,main!$A$3:$H$102,6,FALSE)&gt;=(VLOOKUP(VLOOKUP(AS$1,main!$A$3:$H$102,8,FALSE),main!$K$26:$M$29,2,FALSE)+VLOOKUP(VLOOKUP(AS$1,main!$A$3:$H$102,7,FALSE),main!$K$19:$O$22,MATCH(VLOOKUP($A24,main!$A$3:$H$102,8,FALSE),main!$K$18:$O$18,0))))),1,0)</f>
        <v>0</v>
      </c>
      <c r="AT24">
        <f>IF((AND(VLOOKUP(AT$1,main!$A$3:$H$102,5,FALSE)-VLOOKUP($A24,main!$A$3:$H$102,6,FALSE)&gt;=(VLOOKUP(VLOOKUP(AT$1,main!$A$3:$H$102,8,FALSE),main!$K$26:$M$29,2,FALSE)+VLOOKUP(VLOOKUP(AT$1,main!$A$3:$H$102,7,FALSE),main!$K$19:$O$22,MATCH(VLOOKUP($A24,main!$A$3:$H$102,8,FALSE),main!$K$18:$O$18,0))))),1,0)</f>
        <v>1</v>
      </c>
      <c r="AU24">
        <f>IF((AND(VLOOKUP(AU$1,main!$A$3:$H$102,5,FALSE)-VLOOKUP($A24,main!$A$3:$H$102,6,FALSE)&gt;=(VLOOKUP(VLOOKUP(AU$1,main!$A$3:$H$102,8,FALSE),main!$K$26:$M$29,2,FALSE)+VLOOKUP(VLOOKUP(AU$1,main!$A$3:$H$102,7,FALSE),main!$K$19:$O$22,MATCH(VLOOKUP($A24,main!$A$3:$H$102,8,FALSE),main!$K$18:$O$18,0))))),1,0)</f>
        <v>0</v>
      </c>
      <c r="AV24">
        <f>IF((AND(VLOOKUP(AV$1,main!$A$3:$H$102,5,FALSE)-VLOOKUP($A24,main!$A$3:$H$102,6,FALSE)&gt;=(VLOOKUP(VLOOKUP(AV$1,main!$A$3:$H$102,8,FALSE),main!$K$26:$M$29,2,FALSE)+VLOOKUP(VLOOKUP(AV$1,main!$A$3:$H$102,7,FALSE),main!$K$19:$O$22,MATCH(VLOOKUP($A24,main!$A$3:$H$102,8,FALSE),main!$K$18:$O$18,0))))),1,0)</f>
        <v>0</v>
      </c>
      <c r="AW24">
        <f>IF((AND(VLOOKUP(AW$1,main!$A$3:$H$102,5,FALSE)-VLOOKUP($A24,main!$A$3:$H$102,6,FALSE)&gt;=(VLOOKUP(VLOOKUP(AW$1,main!$A$3:$H$102,8,FALSE),main!$K$26:$M$29,2,FALSE)+VLOOKUP(VLOOKUP(AW$1,main!$A$3:$H$102,7,FALSE),main!$K$19:$O$22,MATCH(VLOOKUP($A24,main!$A$3:$H$102,8,FALSE),main!$K$18:$O$18,0))))),1,0)</f>
        <v>1</v>
      </c>
      <c r="AX24">
        <f>IF((AND(VLOOKUP(AX$1,main!$A$3:$H$102,5,FALSE)-VLOOKUP($A24,main!$A$3:$H$102,6,FALSE)&gt;=(VLOOKUP(VLOOKUP(AX$1,main!$A$3:$H$102,8,FALSE),main!$K$26:$M$29,2,FALSE)+VLOOKUP(VLOOKUP(AX$1,main!$A$3:$H$102,7,FALSE),main!$K$19:$O$22,MATCH(VLOOKUP($A24,main!$A$3:$H$102,8,FALSE),main!$K$18:$O$18,0))))),1,0)</f>
        <v>0</v>
      </c>
      <c r="AY24">
        <f>IF((AND(VLOOKUP(AY$1,main!$A$3:$H$102,5,FALSE)-VLOOKUP($A24,main!$A$3:$H$102,6,FALSE)&gt;=(VLOOKUP(VLOOKUP(AY$1,main!$A$3:$H$102,8,FALSE),main!$K$26:$M$29,2,FALSE)+VLOOKUP(VLOOKUP(AY$1,main!$A$3:$H$102,7,FALSE),main!$K$19:$O$22,MATCH(VLOOKUP($A24,main!$A$3:$H$102,8,FALSE),main!$K$18:$O$18,0))))),1,0)</f>
        <v>0</v>
      </c>
      <c r="AZ24">
        <f>IF((AND(VLOOKUP(AZ$1,main!$A$3:$H$102,5,FALSE)-VLOOKUP($A24,main!$A$3:$H$102,6,FALSE)&gt;=(VLOOKUP(VLOOKUP(AZ$1,main!$A$3:$H$102,8,FALSE),main!$K$26:$M$29,2,FALSE)+VLOOKUP(VLOOKUP(AZ$1,main!$A$3:$H$102,7,FALSE),main!$K$19:$O$22,MATCH(VLOOKUP($A24,main!$A$3:$H$102,8,FALSE),main!$K$18:$O$18,0))))),1,0)</f>
        <v>0</v>
      </c>
      <c r="BA24">
        <f>IF((AND(VLOOKUP(BA$1,main!$A$3:$H$102,5,FALSE)-VLOOKUP($A24,main!$A$3:$H$102,6,FALSE)&gt;=(VLOOKUP(VLOOKUP(BA$1,main!$A$3:$H$102,8,FALSE),main!$K$26:$M$29,2,FALSE)+VLOOKUP(VLOOKUP(BA$1,main!$A$3:$H$102,7,FALSE),main!$K$19:$O$22,MATCH(VLOOKUP($A24,main!$A$3:$H$102,8,FALSE),main!$K$18:$O$18,0))))),1,0)</f>
        <v>0</v>
      </c>
      <c r="BB24">
        <f>IF((AND(VLOOKUP(BB$1,main!$A$3:$H$102,5,FALSE)-VLOOKUP($A24,main!$A$3:$H$102,6,FALSE)&gt;=(VLOOKUP(VLOOKUP(BB$1,main!$A$3:$H$102,8,FALSE),main!$K$26:$M$29,2,FALSE)+VLOOKUP(VLOOKUP(BB$1,main!$A$3:$H$102,7,FALSE),main!$K$19:$O$22,MATCH(VLOOKUP($A24,main!$A$3:$H$102,8,FALSE),main!$K$18:$O$18,0))))),1,0)</f>
        <v>0</v>
      </c>
      <c r="BC24">
        <f>IF((AND(VLOOKUP(BC$1,main!$A$3:$H$102,5,FALSE)-VLOOKUP($A24,main!$A$3:$H$102,6,FALSE)&gt;=(VLOOKUP(VLOOKUP(BC$1,main!$A$3:$H$102,8,FALSE),main!$K$26:$M$29,2,FALSE)+VLOOKUP(VLOOKUP(BC$1,main!$A$3:$H$102,7,FALSE),main!$K$19:$O$22,MATCH(VLOOKUP($A24,main!$A$3:$H$102,8,FALSE),main!$K$18:$O$18,0))))),1,0)</f>
        <v>1</v>
      </c>
      <c r="BD24">
        <f>IF((AND(VLOOKUP(BD$1,main!$A$3:$H$102,5,FALSE)-VLOOKUP($A24,main!$A$3:$H$102,6,FALSE)&gt;=(VLOOKUP(VLOOKUP(BD$1,main!$A$3:$H$102,8,FALSE),main!$K$26:$M$29,2,FALSE)+VLOOKUP(VLOOKUP(BD$1,main!$A$3:$H$102,7,FALSE),main!$K$19:$O$22,MATCH(VLOOKUP($A24,main!$A$3:$H$102,8,FALSE),main!$K$18:$O$18,0))))),1,0)</f>
        <v>1</v>
      </c>
      <c r="BE24">
        <f>IF((AND(VLOOKUP(BE$1,main!$A$3:$H$102,5,FALSE)-VLOOKUP($A24,main!$A$3:$H$102,6,FALSE)&gt;=(VLOOKUP(VLOOKUP(BE$1,main!$A$3:$H$102,8,FALSE),main!$K$26:$M$29,2,FALSE)+VLOOKUP(VLOOKUP(BE$1,main!$A$3:$H$102,7,FALSE),main!$K$19:$O$22,MATCH(VLOOKUP($A24,main!$A$3:$H$102,8,FALSE),main!$K$18:$O$18,0))))),1,0)</f>
        <v>1</v>
      </c>
      <c r="BF24">
        <f>IF((AND(VLOOKUP(BF$1,main!$A$3:$H$102,5,FALSE)-VLOOKUP($A24,main!$A$3:$H$102,6,FALSE)&gt;=(VLOOKUP(VLOOKUP(BF$1,main!$A$3:$H$102,8,FALSE),main!$K$26:$M$29,2,FALSE)+VLOOKUP(VLOOKUP(BF$1,main!$A$3:$H$102,7,FALSE),main!$K$19:$O$22,MATCH(VLOOKUP($A24,main!$A$3:$H$102,8,FALSE),main!$K$18:$O$18,0))))),1,0)</f>
        <v>0</v>
      </c>
      <c r="BG24">
        <f>IF((AND(VLOOKUP(BG$1,main!$A$3:$H$102,5,FALSE)-VLOOKUP($A24,main!$A$3:$H$102,6,FALSE)&gt;=(VLOOKUP(VLOOKUP(BG$1,main!$A$3:$H$102,8,FALSE),main!$K$26:$M$29,2,FALSE)+VLOOKUP(VLOOKUP(BG$1,main!$A$3:$H$102,7,FALSE),main!$K$19:$O$22,MATCH(VLOOKUP($A24,main!$A$3:$H$102,8,FALSE),main!$K$18:$O$18,0))))),1,0)</f>
        <v>0</v>
      </c>
      <c r="BH24">
        <f>IF((AND(VLOOKUP(BH$1,main!$A$3:$H$102,5,FALSE)-VLOOKUP($A24,main!$A$3:$H$102,6,FALSE)&gt;=(VLOOKUP(VLOOKUP(BH$1,main!$A$3:$H$102,8,FALSE),main!$K$26:$M$29,2,FALSE)+VLOOKUP(VLOOKUP(BH$1,main!$A$3:$H$102,7,FALSE),main!$K$19:$O$22,MATCH(VLOOKUP($A24,main!$A$3:$H$102,8,FALSE),main!$K$18:$O$18,0))))),1,0)</f>
        <v>1</v>
      </c>
      <c r="BI24">
        <f>IF((AND(VLOOKUP(BI$1,main!$A$3:$H$102,5,FALSE)-VLOOKUP($A24,main!$A$3:$H$102,6,FALSE)&gt;=(VLOOKUP(VLOOKUP(BI$1,main!$A$3:$H$102,8,FALSE),main!$K$26:$M$29,2,FALSE)+VLOOKUP(VLOOKUP(BI$1,main!$A$3:$H$102,7,FALSE),main!$K$19:$O$22,MATCH(VLOOKUP($A24,main!$A$3:$H$102,8,FALSE),main!$K$18:$O$18,0))))),1,0)</f>
        <v>1</v>
      </c>
      <c r="BJ24">
        <f>IF((AND(VLOOKUP(BJ$1,main!$A$3:$H$102,5,FALSE)-VLOOKUP($A24,main!$A$3:$H$102,6,FALSE)&gt;=(VLOOKUP(VLOOKUP(BJ$1,main!$A$3:$H$102,8,FALSE),main!$K$26:$M$29,2,FALSE)+VLOOKUP(VLOOKUP(BJ$1,main!$A$3:$H$102,7,FALSE),main!$K$19:$O$22,MATCH(VLOOKUP($A24,main!$A$3:$H$102,8,FALSE),main!$K$18:$O$18,0))))),1,0)</f>
        <v>1</v>
      </c>
      <c r="BK24">
        <f>IF((AND(VLOOKUP(BK$1,main!$A$3:$H$102,5,FALSE)-VLOOKUP($A24,main!$A$3:$H$102,6,FALSE)&gt;=(VLOOKUP(VLOOKUP(BK$1,main!$A$3:$H$102,8,FALSE),main!$K$26:$M$29,2,FALSE)+VLOOKUP(VLOOKUP(BK$1,main!$A$3:$H$102,7,FALSE),main!$K$19:$O$22,MATCH(VLOOKUP($A24,main!$A$3:$H$102,8,FALSE),main!$K$18:$O$18,0))))),1,0)</f>
        <v>0</v>
      </c>
      <c r="BL24">
        <f>IF((AND(VLOOKUP(BL$1,main!$A$3:$H$102,5,FALSE)-VLOOKUP($A24,main!$A$3:$H$102,6,FALSE)&gt;=(VLOOKUP(VLOOKUP(BL$1,main!$A$3:$H$102,8,FALSE),main!$K$26:$M$29,2,FALSE)+VLOOKUP(VLOOKUP(BL$1,main!$A$3:$H$102,7,FALSE),main!$K$19:$O$22,MATCH(VLOOKUP($A24,main!$A$3:$H$102,8,FALSE),main!$K$18:$O$18,0))))),1,0)</f>
        <v>0</v>
      </c>
      <c r="BM24">
        <f>IF((AND(VLOOKUP(BM$1,main!$A$3:$H$102,5,FALSE)-VLOOKUP($A24,main!$A$3:$H$102,6,FALSE)&gt;=(VLOOKUP(VLOOKUP(BM$1,main!$A$3:$H$102,8,FALSE),main!$K$26:$M$29,2,FALSE)+VLOOKUP(VLOOKUP(BM$1,main!$A$3:$H$102,7,FALSE),main!$K$19:$O$22,MATCH(VLOOKUP($A24,main!$A$3:$H$102,8,FALSE),main!$K$18:$O$18,0))))),1,0)</f>
        <v>0</v>
      </c>
      <c r="BN24">
        <f>IF((AND(VLOOKUP(BN$1,main!$A$3:$H$102,5,FALSE)-VLOOKUP($A24,main!$A$3:$H$102,6,FALSE)&gt;=(VLOOKUP(VLOOKUP(BN$1,main!$A$3:$H$102,8,FALSE),main!$K$26:$M$29,2,FALSE)+VLOOKUP(VLOOKUP(BN$1,main!$A$3:$H$102,7,FALSE),main!$K$19:$O$22,MATCH(VLOOKUP($A24,main!$A$3:$H$102,8,FALSE),main!$K$18:$O$18,0))))),1,0)</f>
        <v>1</v>
      </c>
      <c r="BO24">
        <f>IF((AND(VLOOKUP(BO$1,main!$A$3:$H$102,5,FALSE)-VLOOKUP($A24,main!$A$3:$H$102,6,FALSE)&gt;=(VLOOKUP(VLOOKUP(BO$1,main!$A$3:$H$102,8,FALSE),main!$K$26:$M$29,2,FALSE)+VLOOKUP(VLOOKUP(BO$1,main!$A$3:$H$102,7,FALSE),main!$K$19:$O$22,MATCH(VLOOKUP($A24,main!$A$3:$H$102,8,FALSE),main!$K$18:$O$18,0))))),1,0)</f>
        <v>0</v>
      </c>
      <c r="BP24">
        <f>IF((AND(VLOOKUP(BP$1,main!$A$3:$H$102,5,FALSE)-VLOOKUP($A24,main!$A$3:$H$102,6,FALSE)&gt;=(VLOOKUP(VLOOKUP(BP$1,main!$A$3:$H$102,8,FALSE),main!$K$26:$M$29,2,FALSE)+VLOOKUP(VLOOKUP(BP$1,main!$A$3:$H$102,7,FALSE),main!$K$19:$O$22,MATCH(VLOOKUP($A24,main!$A$3:$H$102,8,FALSE),main!$K$18:$O$18,0))))),1,0)</f>
        <v>0</v>
      </c>
      <c r="BQ24">
        <f>IF((AND(VLOOKUP(BQ$1,main!$A$3:$H$102,5,FALSE)-VLOOKUP($A24,main!$A$3:$H$102,6,FALSE)&gt;=(VLOOKUP(VLOOKUP(BQ$1,main!$A$3:$H$102,8,FALSE),main!$K$26:$M$29,2,FALSE)+VLOOKUP(VLOOKUP(BQ$1,main!$A$3:$H$102,7,FALSE),main!$K$19:$O$22,MATCH(VLOOKUP($A24,main!$A$3:$H$102,8,FALSE),main!$K$18:$O$18,0))))),1,0)</f>
        <v>0</v>
      </c>
      <c r="BR24">
        <f>IF((AND(VLOOKUP(BR$1,main!$A$3:$H$102,5,FALSE)-VLOOKUP($A24,main!$A$3:$H$102,6,FALSE)&gt;=(VLOOKUP(VLOOKUP(BR$1,main!$A$3:$H$102,8,FALSE),main!$K$26:$M$29,2,FALSE)+VLOOKUP(VLOOKUP(BR$1,main!$A$3:$H$102,7,FALSE),main!$K$19:$O$22,MATCH(VLOOKUP($A24,main!$A$3:$H$102,8,FALSE),main!$K$18:$O$18,0))))),1,0)</f>
        <v>0</v>
      </c>
      <c r="BS24">
        <f>IF((AND(VLOOKUP(BS$1,main!$A$3:$H$102,5,FALSE)-VLOOKUP($A24,main!$A$3:$H$102,6,FALSE)&gt;=(VLOOKUP(VLOOKUP(BS$1,main!$A$3:$H$102,8,FALSE),main!$K$26:$M$29,2,FALSE)+VLOOKUP(VLOOKUP(BS$1,main!$A$3:$H$102,7,FALSE),main!$K$19:$O$22,MATCH(VLOOKUP($A24,main!$A$3:$H$102,8,FALSE),main!$K$18:$O$18,0))))),1,0)</f>
        <v>0</v>
      </c>
      <c r="BT24">
        <f>IF((AND(VLOOKUP(BT$1,main!$A$3:$H$102,5,FALSE)-VLOOKUP($A24,main!$A$3:$H$102,6,FALSE)&gt;=(VLOOKUP(VLOOKUP(BT$1,main!$A$3:$H$102,8,FALSE),main!$K$26:$M$29,2,FALSE)+VLOOKUP(VLOOKUP(BT$1,main!$A$3:$H$102,7,FALSE),main!$K$19:$O$22,MATCH(VLOOKUP($A24,main!$A$3:$H$102,8,FALSE),main!$K$18:$O$18,0))))),1,0)</f>
        <v>0</v>
      </c>
      <c r="BU24">
        <f>IF((AND(VLOOKUP(BU$1,main!$A$3:$H$102,5,FALSE)-VLOOKUP($A24,main!$A$3:$H$102,6,FALSE)&gt;=(VLOOKUP(VLOOKUP(BU$1,main!$A$3:$H$102,8,FALSE),main!$K$26:$M$29,2,FALSE)+VLOOKUP(VLOOKUP(BU$1,main!$A$3:$H$102,7,FALSE),main!$K$19:$O$22,MATCH(VLOOKUP($A24,main!$A$3:$H$102,8,FALSE),main!$K$18:$O$18,0))))),1,0)</f>
        <v>0</v>
      </c>
      <c r="BV24">
        <f>IF((AND(VLOOKUP(BV$1,main!$A$3:$H$102,5,FALSE)-VLOOKUP($A24,main!$A$3:$H$102,6,FALSE)&gt;=(VLOOKUP(VLOOKUP(BV$1,main!$A$3:$H$102,8,FALSE),main!$K$26:$M$29,2,FALSE)+VLOOKUP(VLOOKUP(BV$1,main!$A$3:$H$102,7,FALSE),main!$K$19:$O$22,MATCH(VLOOKUP($A24,main!$A$3:$H$102,8,FALSE),main!$K$18:$O$18,0))))),1,0)</f>
        <v>0</v>
      </c>
      <c r="BW24">
        <f>IF((AND(VLOOKUP(BW$1,main!$A$3:$H$102,5,FALSE)-VLOOKUP($A24,main!$A$3:$H$102,6,FALSE)&gt;=(VLOOKUP(VLOOKUP(BW$1,main!$A$3:$H$102,8,FALSE),main!$K$26:$M$29,2,FALSE)+VLOOKUP(VLOOKUP(BW$1,main!$A$3:$H$102,7,FALSE),main!$K$19:$O$22,MATCH(VLOOKUP($A24,main!$A$3:$H$102,8,FALSE),main!$K$18:$O$18,0))))),1,0)</f>
        <v>0</v>
      </c>
      <c r="BX24">
        <f>IF((AND(VLOOKUP(BX$1,main!$A$3:$H$102,5,FALSE)-VLOOKUP($A24,main!$A$3:$H$102,6,FALSE)&gt;=(VLOOKUP(VLOOKUP(BX$1,main!$A$3:$H$102,8,FALSE),main!$K$26:$M$29,2,FALSE)+VLOOKUP(VLOOKUP(BX$1,main!$A$3:$H$102,7,FALSE),main!$K$19:$O$22,MATCH(VLOOKUP($A24,main!$A$3:$H$102,8,FALSE),main!$K$18:$O$18,0))))),1,0)</f>
        <v>0</v>
      </c>
      <c r="BY24">
        <f>IF((AND(VLOOKUP(BY$1,main!$A$3:$H$102,5,FALSE)-VLOOKUP($A24,main!$A$3:$H$102,6,FALSE)&gt;=(VLOOKUP(VLOOKUP(BY$1,main!$A$3:$H$102,8,FALSE),main!$K$26:$M$29,2,FALSE)+VLOOKUP(VLOOKUP(BY$1,main!$A$3:$H$102,7,FALSE),main!$K$19:$O$22,MATCH(VLOOKUP($A24,main!$A$3:$H$102,8,FALSE),main!$K$18:$O$18,0))))),1,0)</f>
        <v>1</v>
      </c>
      <c r="BZ24">
        <f>IF((AND(VLOOKUP(BZ$1,main!$A$3:$H$102,5,FALSE)-VLOOKUP($A24,main!$A$3:$H$102,6,FALSE)&gt;=(VLOOKUP(VLOOKUP(BZ$1,main!$A$3:$H$102,8,FALSE),main!$K$26:$M$29,2,FALSE)+VLOOKUP(VLOOKUP(BZ$1,main!$A$3:$H$102,7,FALSE),main!$K$19:$O$22,MATCH(VLOOKUP($A24,main!$A$3:$H$102,8,FALSE),main!$K$18:$O$18,0))))),1,0)</f>
        <v>0</v>
      </c>
      <c r="CA24">
        <f>IF((AND(VLOOKUP(CA$1,main!$A$3:$H$102,5,FALSE)-VLOOKUP($A24,main!$A$3:$H$102,6,FALSE)&gt;=(VLOOKUP(VLOOKUP(CA$1,main!$A$3:$H$102,8,FALSE),main!$K$26:$M$29,2,FALSE)+VLOOKUP(VLOOKUP(CA$1,main!$A$3:$H$102,7,FALSE),main!$K$19:$O$22,MATCH(VLOOKUP($A24,main!$A$3:$H$102,8,FALSE),main!$K$18:$O$18,0))))),1,0)</f>
        <v>0</v>
      </c>
      <c r="CB24">
        <f>IF((AND(VLOOKUP(CB$1,main!$A$3:$H$102,5,FALSE)-VLOOKUP($A24,main!$A$3:$H$102,6,FALSE)&gt;=(VLOOKUP(VLOOKUP(CB$1,main!$A$3:$H$102,8,FALSE),main!$K$26:$M$29,2,FALSE)+VLOOKUP(VLOOKUP(CB$1,main!$A$3:$H$102,7,FALSE),main!$K$19:$O$22,MATCH(VLOOKUP($A24,main!$A$3:$H$102,8,FALSE),main!$K$18:$O$18,0))))),1,0)</f>
        <v>1</v>
      </c>
      <c r="CC24">
        <f>IF((AND(VLOOKUP(CC$1,main!$A$3:$H$102,5,FALSE)-VLOOKUP($A24,main!$A$3:$H$102,6,FALSE)&gt;=(VLOOKUP(VLOOKUP(CC$1,main!$A$3:$H$102,8,FALSE),main!$K$26:$M$29,2,FALSE)+VLOOKUP(VLOOKUP(CC$1,main!$A$3:$H$102,7,FALSE),main!$K$19:$O$22,MATCH(VLOOKUP($A24,main!$A$3:$H$102,8,FALSE),main!$K$18:$O$18,0))))),1,0)</f>
        <v>1</v>
      </c>
      <c r="CD24">
        <f>IF((AND(VLOOKUP(CD$1,main!$A$3:$H$102,5,FALSE)-VLOOKUP($A24,main!$A$3:$H$102,6,FALSE)&gt;=(VLOOKUP(VLOOKUP(CD$1,main!$A$3:$H$102,8,FALSE),main!$K$26:$M$29,2,FALSE)+VLOOKUP(VLOOKUP(CD$1,main!$A$3:$H$102,7,FALSE),main!$K$19:$O$22,MATCH(VLOOKUP($A24,main!$A$3:$H$102,8,FALSE),main!$K$18:$O$18,0))))),1,0)</f>
        <v>1</v>
      </c>
      <c r="CE24">
        <f>IF((AND(VLOOKUP(CE$1,main!$A$3:$H$102,5,FALSE)-VLOOKUP($A24,main!$A$3:$H$102,6,FALSE)&gt;=(VLOOKUP(VLOOKUP(CE$1,main!$A$3:$H$102,8,FALSE),main!$K$26:$M$29,2,FALSE)+VLOOKUP(VLOOKUP(CE$1,main!$A$3:$H$102,7,FALSE),main!$K$19:$O$22,MATCH(VLOOKUP($A24,main!$A$3:$H$102,8,FALSE),main!$K$18:$O$18,0))))),1,0)</f>
        <v>0</v>
      </c>
      <c r="CF24">
        <f>IF((AND(VLOOKUP(CF$1,main!$A$3:$H$102,5,FALSE)-VLOOKUP($A24,main!$A$3:$H$102,6,FALSE)&gt;=(VLOOKUP(VLOOKUP(CF$1,main!$A$3:$H$102,8,FALSE),main!$K$26:$M$29,2,FALSE)+VLOOKUP(VLOOKUP(CF$1,main!$A$3:$H$102,7,FALSE),main!$K$19:$O$22,MATCH(VLOOKUP($A24,main!$A$3:$H$102,8,FALSE),main!$K$18:$O$18,0))))),1,0)</f>
        <v>0</v>
      </c>
      <c r="CG24">
        <f>IF((AND(VLOOKUP(CG$1,main!$A$3:$H$102,5,FALSE)-VLOOKUP($A24,main!$A$3:$H$102,6,FALSE)&gt;=(VLOOKUP(VLOOKUP(CG$1,main!$A$3:$H$102,8,FALSE),main!$K$26:$M$29,2,FALSE)+VLOOKUP(VLOOKUP(CG$1,main!$A$3:$H$102,7,FALSE),main!$K$19:$O$22,MATCH(VLOOKUP($A24,main!$A$3:$H$102,8,FALSE),main!$K$18:$O$18,0))))),1,0)</f>
        <v>1</v>
      </c>
      <c r="CH24">
        <f>IF((AND(VLOOKUP(CH$1,main!$A$3:$H$102,5,FALSE)-VLOOKUP($A24,main!$A$3:$H$102,6,FALSE)&gt;=(VLOOKUP(VLOOKUP(CH$1,main!$A$3:$H$102,8,FALSE),main!$K$26:$M$29,2,FALSE)+VLOOKUP(VLOOKUP(CH$1,main!$A$3:$H$102,7,FALSE),main!$K$19:$O$22,MATCH(VLOOKUP($A24,main!$A$3:$H$102,8,FALSE),main!$K$18:$O$18,0))))),1,0)</f>
        <v>1</v>
      </c>
      <c r="CI24">
        <f>IF((AND(VLOOKUP(CI$1,main!$A$3:$H$102,5,FALSE)-VLOOKUP($A24,main!$A$3:$H$102,6,FALSE)&gt;=(VLOOKUP(VLOOKUP(CI$1,main!$A$3:$H$102,8,FALSE),main!$K$26:$M$29,2,FALSE)+VLOOKUP(VLOOKUP(CI$1,main!$A$3:$H$102,7,FALSE),main!$K$19:$O$22,MATCH(VLOOKUP($A24,main!$A$3:$H$102,8,FALSE),main!$K$18:$O$18,0))))),1,0)</f>
        <v>1</v>
      </c>
      <c r="CJ24">
        <f>IF((AND(VLOOKUP(CJ$1,main!$A$3:$H$102,5,FALSE)-VLOOKUP($A24,main!$A$3:$H$102,6,FALSE)&gt;=(VLOOKUP(VLOOKUP(CJ$1,main!$A$3:$H$102,8,FALSE),main!$K$26:$M$29,2,FALSE)+VLOOKUP(VLOOKUP(CJ$1,main!$A$3:$H$102,7,FALSE),main!$K$19:$O$22,MATCH(VLOOKUP($A24,main!$A$3:$H$102,8,FALSE),main!$K$18:$O$18,0))))),1,0)</f>
        <v>1</v>
      </c>
      <c r="CK24">
        <f>IF((AND(VLOOKUP(CK$1,main!$A$3:$H$102,5,FALSE)-VLOOKUP($A24,main!$A$3:$H$102,6,FALSE)&gt;=(VLOOKUP(VLOOKUP(CK$1,main!$A$3:$H$102,8,FALSE),main!$K$26:$M$29,2,FALSE)+VLOOKUP(VLOOKUP(CK$1,main!$A$3:$H$102,7,FALSE),main!$K$19:$O$22,MATCH(VLOOKUP($A24,main!$A$3:$H$102,8,FALSE),main!$K$18:$O$18,0))))),1,0)</f>
        <v>0</v>
      </c>
      <c r="CL24">
        <f>IF((AND(VLOOKUP(CL$1,main!$A$3:$H$102,5,FALSE)-VLOOKUP($A24,main!$A$3:$H$102,6,FALSE)&gt;=(VLOOKUP(VLOOKUP(CL$1,main!$A$3:$H$102,8,FALSE),main!$K$26:$M$29,2,FALSE)+VLOOKUP(VLOOKUP(CL$1,main!$A$3:$H$102,7,FALSE),main!$K$19:$O$22,MATCH(VLOOKUP($A24,main!$A$3:$H$102,8,FALSE),main!$K$18:$O$18,0))))),1,0)</f>
        <v>1</v>
      </c>
      <c r="CM24">
        <f>IF((AND(VLOOKUP(CM$1,main!$A$3:$H$102,5,FALSE)-VLOOKUP($A24,main!$A$3:$H$102,6,FALSE)&gt;=(VLOOKUP(VLOOKUP(CM$1,main!$A$3:$H$102,8,FALSE),main!$K$26:$M$29,2,FALSE)+VLOOKUP(VLOOKUP(CM$1,main!$A$3:$H$102,7,FALSE),main!$K$19:$O$22,MATCH(VLOOKUP($A24,main!$A$3:$H$102,8,FALSE),main!$K$18:$O$18,0))))),1,0)</f>
        <v>1</v>
      </c>
      <c r="CN24">
        <f>IF((AND(VLOOKUP(CN$1,main!$A$3:$H$102,5,FALSE)-VLOOKUP($A24,main!$A$3:$H$102,6,FALSE)&gt;=(VLOOKUP(VLOOKUP(CN$1,main!$A$3:$H$102,8,FALSE),main!$K$26:$M$29,2,FALSE)+VLOOKUP(VLOOKUP(CN$1,main!$A$3:$H$102,7,FALSE),main!$K$19:$O$22,MATCH(VLOOKUP($A24,main!$A$3:$H$102,8,FALSE),main!$K$18:$O$18,0))))),1,0)</f>
        <v>1</v>
      </c>
      <c r="CO24">
        <f>IF((AND(VLOOKUP(CO$1,main!$A$3:$H$102,5,FALSE)-VLOOKUP($A24,main!$A$3:$H$102,6,FALSE)&gt;=(VLOOKUP(VLOOKUP(CO$1,main!$A$3:$H$102,8,FALSE),main!$K$26:$M$29,2,FALSE)+VLOOKUP(VLOOKUP(CO$1,main!$A$3:$H$102,7,FALSE),main!$K$19:$O$22,MATCH(VLOOKUP($A24,main!$A$3:$H$102,8,FALSE),main!$K$18:$O$18,0))))),1,0)</f>
        <v>0</v>
      </c>
      <c r="CP24">
        <f>IF((AND(VLOOKUP(CP$1,main!$A$3:$H$102,5,FALSE)-VLOOKUP($A24,main!$A$3:$H$102,6,FALSE)&gt;=(VLOOKUP(VLOOKUP(CP$1,main!$A$3:$H$102,8,FALSE),main!$K$26:$M$29,2,FALSE)+VLOOKUP(VLOOKUP(CP$1,main!$A$3:$H$102,7,FALSE),main!$K$19:$O$22,MATCH(VLOOKUP($A24,main!$A$3:$H$102,8,FALSE),main!$K$18:$O$18,0))))),1,0)</f>
        <v>0</v>
      </c>
      <c r="CQ24">
        <f>IF((AND(VLOOKUP(CQ$1,main!$A$3:$H$102,5,FALSE)-VLOOKUP($A24,main!$A$3:$H$102,6,FALSE)&gt;=(VLOOKUP(VLOOKUP(CQ$1,main!$A$3:$H$102,8,FALSE),main!$K$26:$M$29,2,FALSE)+VLOOKUP(VLOOKUP(CQ$1,main!$A$3:$H$102,7,FALSE),main!$K$19:$O$22,MATCH(VLOOKUP($A24,main!$A$3:$H$102,8,FALSE),main!$K$18:$O$18,0))))),1,0)</f>
        <v>0</v>
      </c>
      <c r="CR24">
        <f>IF((AND(VLOOKUP(CR$1,main!$A$3:$H$102,5,FALSE)-VLOOKUP($A24,main!$A$3:$H$102,6,FALSE)&gt;=(VLOOKUP(VLOOKUP(CR$1,main!$A$3:$H$102,8,FALSE),main!$K$26:$M$29,2,FALSE)+VLOOKUP(VLOOKUP(CR$1,main!$A$3:$H$102,7,FALSE),main!$K$19:$O$22,MATCH(VLOOKUP($A24,main!$A$3:$H$102,8,FALSE),main!$K$18:$O$18,0))))),1,0)</f>
        <v>1</v>
      </c>
      <c r="CS24">
        <f>IF((AND(VLOOKUP(CS$1,main!$A$3:$H$102,5,FALSE)-VLOOKUP($A24,main!$A$3:$H$102,6,FALSE)&gt;=(VLOOKUP(VLOOKUP(CS$1,main!$A$3:$H$102,8,FALSE),main!$K$26:$M$29,2,FALSE)+VLOOKUP(VLOOKUP(CS$1,main!$A$3:$H$102,7,FALSE),main!$K$19:$O$22,MATCH(VLOOKUP($A24,main!$A$3:$H$102,8,FALSE),main!$K$18:$O$18,0))))),1,0)</f>
        <v>1</v>
      </c>
      <c r="CT24">
        <f>IF((AND(VLOOKUP(CT$1,main!$A$3:$H$102,5,FALSE)-VLOOKUP($A24,main!$A$3:$H$102,6,FALSE)&gt;=(VLOOKUP(VLOOKUP(CT$1,main!$A$3:$H$102,8,FALSE),main!$K$26:$M$29,2,FALSE)+VLOOKUP(VLOOKUP(CT$1,main!$A$3:$H$102,7,FALSE),main!$K$19:$O$22,MATCH(VLOOKUP($A24,main!$A$3:$H$102,8,FALSE),main!$K$18:$O$18,0))))),1,0)</f>
        <v>0</v>
      </c>
      <c r="CU24">
        <f>IF((AND(VLOOKUP(CU$1,main!$A$3:$H$102,5,FALSE)-VLOOKUP($A24,main!$A$3:$H$102,6,FALSE)&gt;=(VLOOKUP(VLOOKUP(CU$1,main!$A$3:$H$102,8,FALSE),main!$K$26:$M$29,2,FALSE)+VLOOKUP(VLOOKUP(CU$1,main!$A$3:$H$102,7,FALSE),main!$K$19:$O$22,MATCH(VLOOKUP($A24,main!$A$3:$H$102,8,FALSE),main!$K$18:$O$18,0))))),1,0)</f>
        <v>0</v>
      </c>
      <c r="CV24">
        <f>IF((AND(VLOOKUP(CV$1,main!$A$3:$H$102,5,FALSE)-VLOOKUP($A24,main!$A$3:$H$102,6,FALSE)&gt;=(VLOOKUP(VLOOKUP(CV$1,main!$A$3:$H$102,8,FALSE),main!$K$26:$M$29,2,FALSE)+VLOOKUP(VLOOKUP(CV$1,main!$A$3:$H$102,7,FALSE),main!$K$19:$O$22,MATCH(VLOOKUP($A24,main!$A$3:$H$102,8,FALSE),main!$K$18:$O$18,0))))),1,0)</f>
        <v>0</v>
      </c>
      <c r="CW24">
        <f>IF((AND(VLOOKUP(CW$1,main!$A$3:$H$102,5,FALSE)-VLOOKUP($A24,main!$A$3:$H$102,6,FALSE)&gt;=(VLOOKUP(VLOOKUP(CW$1,main!$A$3:$H$102,8,FALSE),main!$K$26:$M$29,2,FALSE)+VLOOKUP(VLOOKUP(CW$1,main!$A$3:$H$102,7,FALSE),main!$K$19:$O$22,MATCH(VLOOKUP($A24,main!$A$3:$H$102,8,FALSE),main!$K$18:$O$18,0))))),1,0)</f>
        <v>1</v>
      </c>
      <c r="CX24">
        <f>IF((AND(VLOOKUP(CX$1,main!$A$3:$H$102,5,FALSE)-VLOOKUP($A24,main!$A$3:$H$102,6,FALSE)&gt;=(VLOOKUP(VLOOKUP(CX$1,main!$A$3:$H$102,8,FALSE),main!$K$26:$M$29,2,FALSE)+VLOOKUP(VLOOKUP(CX$1,main!$A$3:$H$102,7,FALSE),main!$K$19:$O$22,MATCH(VLOOKUP($A24,main!$A$3:$H$102,8,FALSE),main!$K$18:$O$18,0))))),1,0)</f>
        <v>1</v>
      </c>
    </row>
    <row r="25" spans="1:102" x14ac:dyDescent="0.25">
      <c r="A25" s="1">
        <v>23</v>
      </c>
      <c r="B25">
        <v>1</v>
      </c>
      <c r="C25">
        <f>IF((AND(VLOOKUP(C$1,main!$A$3:$H$102,5,FALSE)-VLOOKUP($A25,main!$A$3:$H$102,6,FALSE)&gt;=(VLOOKUP(VLOOKUP(C$1,main!$A$3:$H$102,8,FALSE),main!$K$26:$M$29,2,FALSE)+VLOOKUP(VLOOKUP(C$1,main!$A$3:$H$102,7,FALSE),main!$K$19:$O$22,MATCH(VLOOKUP($A25,main!$A$3:$H$102,8,FALSE),main!$K$18:$O$18,0))))),1,0)</f>
        <v>0</v>
      </c>
      <c r="D25">
        <f>IF((AND(VLOOKUP(D$1,main!$A$3:$H$102,5,FALSE)-VLOOKUP($A25,main!$A$3:$H$102,6,FALSE)&gt;=(VLOOKUP(VLOOKUP(D$1,main!$A$3:$H$102,8,FALSE),main!$K$26:$M$29,2,FALSE)+VLOOKUP(VLOOKUP(D$1,main!$A$3:$H$102,7,FALSE),main!$K$19:$O$22,MATCH(VLOOKUP($A25,main!$A$3:$H$102,8,FALSE),main!$K$18:$O$18,0))))),1,0)</f>
        <v>0</v>
      </c>
      <c r="E25">
        <f>IF((AND(VLOOKUP(E$1,main!$A$3:$H$102,5,FALSE)-VLOOKUP($A25,main!$A$3:$H$102,6,FALSE)&gt;=(VLOOKUP(VLOOKUP(E$1,main!$A$3:$H$102,8,FALSE),main!$K$26:$M$29,2,FALSE)+VLOOKUP(VLOOKUP(E$1,main!$A$3:$H$102,7,FALSE),main!$K$19:$O$22,MATCH(VLOOKUP($A25,main!$A$3:$H$102,8,FALSE),main!$K$18:$O$18,0))))),1,0)</f>
        <v>0</v>
      </c>
      <c r="F25">
        <f>IF((AND(VLOOKUP(F$1,main!$A$3:$H$102,5,FALSE)-VLOOKUP($A25,main!$A$3:$H$102,6,FALSE)&gt;=(VLOOKUP(VLOOKUP(F$1,main!$A$3:$H$102,8,FALSE),main!$K$26:$M$29,2,FALSE)+VLOOKUP(VLOOKUP(F$1,main!$A$3:$H$102,7,FALSE),main!$K$19:$O$22,MATCH(VLOOKUP($A25,main!$A$3:$H$102,8,FALSE),main!$K$18:$O$18,0))))),1,0)</f>
        <v>0</v>
      </c>
      <c r="G25">
        <f>IF((AND(VLOOKUP(G$1,main!$A$3:$H$102,5,FALSE)-VLOOKUP($A25,main!$A$3:$H$102,6,FALSE)&gt;=(VLOOKUP(VLOOKUP(G$1,main!$A$3:$H$102,8,FALSE),main!$K$26:$M$29,2,FALSE)+VLOOKUP(VLOOKUP(G$1,main!$A$3:$H$102,7,FALSE),main!$K$19:$O$22,MATCH(VLOOKUP($A25,main!$A$3:$H$102,8,FALSE),main!$K$18:$O$18,0))))),1,0)</f>
        <v>0</v>
      </c>
      <c r="H25">
        <f>IF((AND(VLOOKUP(H$1,main!$A$3:$H$102,5,FALSE)-VLOOKUP($A25,main!$A$3:$H$102,6,FALSE)&gt;=(VLOOKUP(VLOOKUP(H$1,main!$A$3:$H$102,8,FALSE),main!$K$26:$M$29,2,FALSE)+VLOOKUP(VLOOKUP(H$1,main!$A$3:$H$102,7,FALSE),main!$K$19:$O$22,MATCH(VLOOKUP($A25,main!$A$3:$H$102,8,FALSE),main!$K$18:$O$18,0))))),1,0)</f>
        <v>0</v>
      </c>
      <c r="I25">
        <f>IF((AND(VLOOKUP(I$1,main!$A$3:$H$102,5,FALSE)-VLOOKUP($A25,main!$A$3:$H$102,6,FALSE)&gt;=(VLOOKUP(VLOOKUP(I$1,main!$A$3:$H$102,8,FALSE),main!$K$26:$M$29,2,FALSE)+VLOOKUP(VLOOKUP(I$1,main!$A$3:$H$102,7,FALSE),main!$K$19:$O$22,MATCH(VLOOKUP($A25,main!$A$3:$H$102,8,FALSE),main!$K$18:$O$18,0))))),1,0)</f>
        <v>1</v>
      </c>
      <c r="J25">
        <f>IF((AND(VLOOKUP(J$1,main!$A$3:$H$102,5,FALSE)-VLOOKUP($A25,main!$A$3:$H$102,6,FALSE)&gt;=(VLOOKUP(VLOOKUP(J$1,main!$A$3:$H$102,8,FALSE),main!$K$26:$M$29,2,FALSE)+VLOOKUP(VLOOKUP(J$1,main!$A$3:$H$102,7,FALSE),main!$K$19:$O$22,MATCH(VLOOKUP($A25,main!$A$3:$H$102,8,FALSE),main!$K$18:$O$18,0))))),1,0)</f>
        <v>1</v>
      </c>
      <c r="K25">
        <f>IF((AND(VLOOKUP(K$1,main!$A$3:$H$102,5,FALSE)-VLOOKUP($A25,main!$A$3:$H$102,6,FALSE)&gt;=(VLOOKUP(VLOOKUP(K$1,main!$A$3:$H$102,8,FALSE),main!$K$26:$M$29,2,FALSE)+VLOOKUP(VLOOKUP(K$1,main!$A$3:$H$102,7,FALSE),main!$K$19:$O$22,MATCH(VLOOKUP($A25,main!$A$3:$H$102,8,FALSE),main!$K$18:$O$18,0))))),1,0)</f>
        <v>1</v>
      </c>
      <c r="L25">
        <f>IF((AND(VLOOKUP(L$1,main!$A$3:$H$102,5,FALSE)-VLOOKUP($A25,main!$A$3:$H$102,6,FALSE)&gt;=(VLOOKUP(VLOOKUP(L$1,main!$A$3:$H$102,8,FALSE),main!$K$26:$M$29,2,FALSE)+VLOOKUP(VLOOKUP(L$1,main!$A$3:$H$102,7,FALSE),main!$K$19:$O$22,MATCH(VLOOKUP($A25,main!$A$3:$H$102,8,FALSE),main!$K$18:$O$18,0))))),1,0)</f>
        <v>1</v>
      </c>
      <c r="M25">
        <f>IF((AND(VLOOKUP(M$1,main!$A$3:$H$102,5,FALSE)-VLOOKUP($A25,main!$A$3:$H$102,6,FALSE)&gt;=(VLOOKUP(VLOOKUP(M$1,main!$A$3:$H$102,8,FALSE),main!$K$26:$M$29,2,FALSE)+VLOOKUP(VLOOKUP(M$1,main!$A$3:$H$102,7,FALSE),main!$K$19:$O$22,MATCH(VLOOKUP($A25,main!$A$3:$H$102,8,FALSE),main!$K$18:$O$18,0))))),1,0)</f>
        <v>0</v>
      </c>
      <c r="N25">
        <f>IF((AND(VLOOKUP(N$1,main!$A$3:$H$102,5,FALSE)-VLOOKUP($A25,main!$A$3:$H$102,6,FALSE)&gt;=(VLOOKUP(VLOOKUP(N$1,main!$A$3:$H$102,8,FALSE),main!$K$26:$M$29,2,FALSE)+VLOOKUP(VLOOKUP(N$1,main!$A$3:$H$102,7,FALSE),main!$K$19:$O$22,MATCH(VLOOKUP($A25,main!$A$3:$H$102,8,FALSE),main!$K$18:$O$18,0))))),1,0)</f>
        <v>0</v>
      </c>
      <c r="O25">
        <f>IF((AND(VLOOKUP(O$1,main!$A$3:$H$102,5,FALSE)-VLOOKUP($A25,main!$A$3:$H$102,6,FALSE)&gt;=(VLOOKUP(VLOOKUP(O$1,main!$A$3:$H$102,8,FALSE),main!$K$26:$M$29,2,FALSE)+VLOOKUP(VLOOKUP(O$1,main!$A$3:$H$102,7,FALSE),main!$K$19:$O$22,MATCH(VLOOKUP($A25,main!$A$3:$H$102,8,FALSE),main!$K$18:$O$18,0))))),1,0)</f>
        <v>0</v>
      </c>
      <c r="P25">
        <f>IF((AND(VLOOKUP(P$1,main!$A$3:$H$102,5,FALSE)-VLOOKUP($A25,main!$A$3:$H$102,6,FALSE)&gt;=(VLOOKUP(VLOOKUP(P$1,main!$A$3:$H$102,8,FALSE),main!$K$26:$M$29,2,FALSE)+VLOOKUP(VLOOKUP(P$1,main!$A$3:$H$102,7,FALSE),main!$K$19:$O$22,MATCH(VLOOKUP($A25,main!$A$3:$H$102,8,FALSE),main!$K$18:$O$18,0))))),1,0)</f>
        <v>0</v>
      </c>
      <c r="Q25">
        <f>IF((AND(VLOOKUP(Q$1,main!$A$3:$H$102,5,FALSE)-VLOOKUP($A25,main!$A$3:$H$102,6,FALSE)&gt;=(VLOOKUP(VLOOKUP(Q$1,main!$A$3:$H$102,8,FALSE),main!$K$26:$M$29,2,FALSE)+VLOOKUP(VLOOKUP(Q$1,main!$A$3:$H$102,7,FALSE),main!$K$19:$O$22,MATCH(VLOOKUP($A25,main!$A$3:$H$102,8,FALSE),main!$K$18:$O$18,0))))),1,0)</f>
        <v>0</v>
      </c>
      <c r="R25">
        <f>IF((AND(VLOOKUP(R$1,main!$A$3:$H$102,5,FALSE)-VLOOKUP($A25,main!$A$3:$H$102,6,FALSE)&gt;=(VLOOKUP(VLOOKUP(R$1,main!$A$3:$H$102,8,FALSE),main!$K$26:$M$29,2,FALSE)+VLOOKUP(VLOOKUP(R$1,main!$A$3:$H$102,7,FALSE),main!$K$19:$O$22,MATCH(VLOOKUP($A25,main!$A$3:$H$102,8,FALSE),main!$K$18:$O$18,0))))),1,0)</f>
        <v>0</v>
      </c>
      <c r="S25">
        <f>IF((AND(VLOOKUP(S$1,main!$A$3:$H$102,5,FALSE)-VLOOKUP($A25,main!$A$3:$H$102,6,FALSE)&gt;=(VLOOKUP(VLOOKUP(S$1,main!$A$3:$H$102,8,FALSE),main!$K$26:$M$29,2,FALSE)+VLOOKUP(VLOOKUP(S$1,main!$A$3:$H$102,7,FALSE),main!$K$19:$O$22,MATCH(VLOOKUP($A25,main!$A$3:$H$102,8,FALSE),main!$K$18:$O$18,0))))),1,0)</f>
        <v>0</v>
      </c>
      <c r="T25">
        <f>IF((AND(VLOOKUP(T$1,main!$A$3:$H$102,5,FALSE)-VLOOKUP($A25,main!$A$3:$H$102,6,FALSE)&gt;=(VLOOKUP(VLOOKUP(T$1,main!$A$3:$H$102,8,FALSE),main!$K$26:$M$29,2,FALSE)+VLOOKUP(VLOOKUP(T$1,main!$A$3:$H$102,7,FALSE),main!$K$19:$O$22,MATCH(VLOOKUP($A25,main!$A$3:$H$102,8,FALSE),main!$K$18:$O$18,0))))),1,0)</f>
        <v>1</v>
      </c>
      <c r="U25">
        <f>IF((AND(VLOOKUP(U$1,main!$A$3:$H$102,5,FALSE)-VLOOKUP($A25,main!$A$3:$H$102,6,FALSE)&gt;=(VLOOKUP(VLOOKUP(U$1,main!$A$3:$H$102,8,FALSE),main!$K$26:$M$29,2,FALSE)+VLOOKUP(VLOOKUP(U$1,main!$A$3:$H$102,7,FALSE),main!$K$19:$O$22,MATCH(VLOOKUP($A25,main!$A$3:$H$102,8,FALSE),main!$K$18:$O$18,0))))),1,0)</f>
        <v>1</v>
      </c>
      <c r="V25">
        <f>IF((AND(VLOOKUP(V$1,main!$A$3:$H$102,5,FALSE)-VLOOKUP($A25,main!$A$3:$H$102,6,FALSE)&gt;=(VLOOKUP(VLOOKUP(V$1,main!$A$3:$H$102,8,FALSE),main!$K$26:$M$29,2,FALSE)+VLOOKUP(VLOOKUP(V$1,main!$A$3:$H$102,7,FALSE),main!$K$19:$O$22,MATCH(VLOOKUP($A25,main!$A$3:$H$102,8,FALSE),main!$K$18:$O$18,0))))),1,0)</f>
        <v>1</v>
      </c>
      <c r="W25">
        <f>IF((AND(VLOOKUP(W$1,main!$A$3:$H$102,5,FALSE)-VLOOKUP($A25,main!$A$3:$H$102,6,FALSE)&gt;=(VLOOKUP(VLOOKUP(W$1,main!$A$3:$H$102,8,FALSE),main!$K$26:$M$29,2,FALSE)+VLOOKUP(VLOOKUP(W$1,main!$A$3:$H$102,7,FALSE),main!$K$19:$O$22,MATCH(VLOOKUP($A25,main!$A$3:$H$102,8,FALSE),main!$K$18:$O$18,0))))),1,0)</f>
        <v>0</v>
      </c>
      <c r="X25">
        <f>IF((AND(VLOOKUP(X$1,main!$A$3:$H$102,5,FALSE)-VLOOKUP($A25,main!$A$3:$H$102,6,FALSE)&gt;=(VLOOKUP(VLOOKUP(X$1,main!$A$3:$H$102,8,FALSE),main!$K$26:$M$29,2,FALSE)+VLOOKUP(VLOOKUP(X$1,main!$A$3:$H$102,7,FALSE),main!$K$19:$O$22,MATCH(VLOOKUP($A25,main!$A$3:$H$102,8,FALSE),main!$K$18:$O$18,0))))),1,0)</f>
        <v>0</v>
      </c>
      <c r="Y25">
        <f>IF((AND(VLOOKUP(Y$1,main!$A$3:$H$102,5,FALSE)-VLOOKUP($A25,main!$A$3:$H$102,6,FALSE)&gt;=(VLOOKUP(VLOOKUP(Y$1,main!$A$3:$H$102,8,FALSE),main!$K$26:$M$29,2,FALSE)+VLOOKUP(VLOOKUP(Y$1,main!$A$3:$H$102,7,FALSE),main!$K$19:$O$22,MATCH(VLOOKUP($A25,main!$A$3:$H$102,8,FALSE),main!$K$18:$O$18,0))))),1,0)</f>
        <v>0</v>
      </c>
      <c r="Z25">
        <f>IF((AND(VLOOKUP(Z$1,main!$A$3:$H$102,5,FALSE)-VLOOKUP($A25,main!$A$3:$H$102,6,FALSE)&gt;=(VLOOKUP(VLOOKUP(Z$1,main!$A$3:$H$102,8,FALSE),main!$K$26:$M$29,2,FALSE)+VLOOKUP(VLOOKUP(Z$1,main!$A$3:$H$102,7,FALSE),main!$K$19:$O$22,MATCH(VLOOKUP($A25,main!$A$3:$H$102,8,FALSE),main!$K$18:$O$18,0))))),1,0)</f>
        <v>0</v>
      </c>
      <c r="AA25">
        <f>IF((AND(VLOOKUP(AA$1,main!$A$3:$H$102,5,FALSE)-VLOOKUP($A25,main!$A$3:$H$102,6,FALSE)&gt;=(VLOOKUP(VLOOKUP(AA$1,main!$A$3:$H$102,8,FALSE),main!$K$26:$M$29,2,FALSE)+VLOOKUP(VLOOKUP(AA$1,main!$A$3:$H$102,7,FALSE),main!$K$19:$O$22,MATCH(VLOOKUP($A25,main!$A$3:$H$102,8,FALSE),main!$K$18:$O$18,0))))),1,0)</f>
        <v>1</v>
      </c>
      <c r="AB25">
        <f>IF((AND(VLOOKUP(AB$1,main!$A$3:$H$102,5,FALSE)-VLOOKUP($A25,main!$A$3:$H$102,6,FALSE)&gt;=(VLOOKUP(VLOOKUP(AB$1,main!$A$3:$H$102,8,FALSE),main!$K$26:$M$29,2,FALSE)+VLOOKUP(VLOOKUP(AB$1,main!$A$3:$H$102,7,FALSE),main!$K$19:$O$22,MATCH(VLOOKUP($A25,main!$A$3:$H$102,8,FALSE),main!$K$18:$O$18,0))))),1,0)</f>
        <v>0</v>
      </c>
      <c r="AC25">
        <f>IF((AND(VLOOKUP(AC$1,main!$A$3:$H$102,5,FALSE)-VLOOKUP($A25,main!$A$3:$H$102,6,FALSE)&gt;=(VLOOKUP(VLOOKUP(AC$1,main!$A$3:$H$102,8,FALSE),main!$K$26:$M$29,2,FALSE)+VLOOKUP(VLOOKUP(AC$1,main!$A$3:$H$102,7,FALSE),main!$K$19:$O$22,MATCH(VLOOKUP($A25,main!$A$3:$H$102,8,FALSE),main!$K$18:$O$18,0))))),1,0)</f>
        <v>0</v>
      </c>
      <c r="AD25">
        <f>IF((AND(VLOOKUP(AD$1,main!$A$3:$H$102,5,FALSE)-VLOOKUP($A25,main!$A$3:$H$102,6,FALSE)&gt;=(VLOOKUP(VLOOKUP(AD$1,main!$A$3:$H$102,8,FALSE),main!$K$26:$M$29,2,FALSE)+VLOOKUP(VLOOKUP(AD$1,main!$A$3:$H$102,7,FALSE),main!$K$19:$O$22,MATCH(VLOOKUP($A25,main!$A$3:$H$102,8,FALSE),main!$K$18:$O$18,0))))),1,0)</f>
        <v>0</v>
      </c>
      <c r="AE25">
        <f>IF((AND(VLOOKUP(AE$1,main!$A$3:$H$102,5,FALSE)-VLOOKUP($A25,main!$A$3:$H$102,6,FALSE)&gt;=(VLOOKUP(VLOOKUP(AE$1,main!$A$3:$H$102,8,FALSE),main!$K$26:$M$29,2,FALSE)+VLOOKUP(VLOOKUP(AE$1,main!$A$3:$H$102,7,FALSE),main!$K$19:$O$22,MATCH(VLOOKUP($A25,main!$A$3:$H$102,8,FALSE),main!$K$18:$O$18,0))))),1,0)</f>
        <v>0</v>
      </c>
      <c r="AF25">
        <f>IF((AND(VLOOKUP(AF$1,main!$A$3:$H$102,5,FALSE)-VLOOKUP($A25,main!$A$3:$H$102,6,FALSE)&gt;=(VLOOKUP(VLOOKUP(AF$1,main!$A$3:$H$102,8,FALSE),main!$K$26:$M$29,2,FALSE)+VLOOKUP(VLOOKUP(AF$1,main!$A$3:$H$102,7,FALSE),main!$K$19:$O$22,MATCH(VLOOKUP($A25,main!$A$3:$H$102,8,FALSE),main!$K$18:$O$18,0))))),1,0)</f>
        <v>1</v>
      </c>
      <c r="AG25">
        <f>IF((AND(VLOOKUP(AG$1,main!$A$3:$H$102,5,FALSE)-VLOOKUP($A25,main!$A$3:$H$102,6,FALSE)&gt;=(VLOOKUP(VLOOKUP(AG$1,main!$A$3:$H$102,8,FALSE),main!$K$26:$M$29,2,FALSE)+VLOOKUP(VLOOKUP(AG$1,main!$A$3:$H$102,7,FALSE),main!$K$19:$O$22,MATCH(VLOOKUP($A25,main!$A$3:$H$102,8,FALSE),main!$K$18:$O$18,0))))),1,0)</f>
        <v>0</v>
      </c>
      <c r="AH25">
        <f>IF((AND(VLOOKUP(AH$1,main!$A$3:$H$102,5,FALSE)-VLOOKUP($A25,main!$A$3:$H$102,6,FALSE)&gt;=(VLOOKUP(VLOOKUP(AH$1,main!$A$3:$H$102,8,FALSE),main!$K$26:$M$29,2,FALSE)+VLOOKUP(VLOOKUP(AH$1,main!$A$3:$H$102,7,FALSE),main!$K$19:$O$22,MATCH(VLOOKUP($A25,main!$A$3:$H$102,8,FALSE),main!$K$18:$O$18,0))))),1,0)</f>
        <v>0</v>
      </c>
      <c r="AI25">
        <f>IF((AND(VLOOKUP(AI$1,main!$A$3:$H$102,5,FALSE)-VLOOKUP($A25,main!$A$3:$H$102,6,FALSE)&gt;=(VLOOKUP(VLOOKUP(AI$1,main!$A$3:$H$102,8,FALSE),main!$K$26:$M$29,2,FALSE)+VLOOKUP(VLOOKUP(AI$1,main!$A$3:$H$102,7,FALSE),main!$K$19:$O$22,MATCH(VLOOKUP($A25,main!$A$3:$H$102,8,FALSE),main!$K$18:$O$18,0))))),1,0)</f>
        <v>0</v>
      </c>
      <c r="AJ25">
        <f>IF((AND(VLOOKUP(AJ$1,main!$A$3:$H$102,5,FALSE)-VLOOKUP($A25,main!$A$3:$H$102,6,FALSE)&gt;=(VLOOKUP(VLOOKUP(AJ$1,main!$A$3:$H$102,8,FALSE),main!$K$26:$M$29,2,FALSE)+VLOOKUP(VLOOKUP(AJ$1,main!$A$3:$H$102,7,FALSE),main!$K$19:$O$22,MATCH(VLOOKUP($A25,main!$A$3:$H$102,8,FALSE),main!$K$18:$O$18,0))))),1,0)</f>
        <v>0</v>
      </c>
      <c r="AK25">
        <f>IF((AND(VLOOKUP(AK$1,main!$A$3:$H$102,5,FALSE)-VLOOKUP($A25,main!$A$3:$H$102,6,FALSE)&gt;=(VLOOKUP(VLOOKUP(AK$1,main!$A$3:$H$102,8,FALSE),main!$K$26:$M$29,2,FALSE)+VLOOKUP(VLOOKUP(AK$1,main!$A$3:$H$102,7,FALSE),main!$K$19:$O$22,MATCH(VLOOKUP($A25,main!$A$3:$H$102,8,FALSE),main!$K$18:$O$18,0))))),1,0)</f>
        <v>0</v>
      </c>
      <c r="AL25">
        <f>IF((AND(VLOOKUP(AL$1,main!$A$3:$H$102,5,FALSE)-VLOOKUP($A25,main!$A$3:$H$102,6,FALSE)&gt;=(VLOOKUP(VLOOKUP(AL$1,main!$A$3:$H$102,8,FALSE),main!$K$26:$M$29,2,FALSE)+VLOOKUP(VLOOKUP(AL$1,main!$A$3:$H$102,7,FALSE),main!$K$19:$O$22,MATCH(VLOOKUP($A25,main!$A$3:$H$102,8,FALSE),main!$K$18:$O$18,0))))),1,0)</f>
        <v>1</v>
      </c>
      <c r="AM25">
        <f>IF((AND(VLOOKUP(AM$1,main!$A$3:$H$102,5,FALSE)-VLOOKUP($A25,main!$A$3:$H$102,6,FALSE)&gt;=(VLOOKUP(VLOOKUP(AM$1,main!$A$3:$H$102,8,FALSE),main!$K$26:$M$29,2,FALSE)+VLOOKUP(VLOOKUP(AM$1,main!$A$3:$H$102,7,FALSE),main!$K$19:$O$22,MATCH(VLOOKUP($A25,main!$A$3:$H$102,8,FALSE),main!$K$18:$O$18,0))))),1,0)</f>
        <v>1</v>
      </c>
      <c r="AN25">
        <f>IF((AND(VLOOKUP(AN$1,main!$A$3:$H$102,5,FALSE)-VLOOKUP($A25,main!$A$3:$H$102,6,FALSE)&gt;=(VLOOKUP(VLOOKUP(AN$1,main!$A$3:$H$102,8,FALSE),main!$K$26:$M$29,2,FALSE)+VLOOKUP(VLOOKUP(AN$1,main!$A$3:$H$102,7,FALSE),main!$K$19:$O$22,MATCH(VLOOKUP($A25,main!$A$3:$H$102,8,FALSE),main!$K$18:$O$18,0))))),1,0)</f>
        <v>1</v>
      </c>
      <c r="AO25">
        <f>IF((AND(VLOOKUP(AO$1,main!$A$3:$H$102,5,FALSE)-VLOOKUP($A25,main!$A$3:$H$102,6,FALSE)&gt;=(VLOOKUP(VLOOKUP(AO$1,main!$A$3:$H$102,8,FALSE),main!$K$26:$M$29,2,FALSE)+VLOOKUP(VLOOKUP(AO$1,main!$A$3:$H$102,7,FALSE),main!$K$19:$O$22,MATCH(VLOOKUP($A25,main!$A$3:$H$102,8,FALSE),main!$K$18:$O$18,0))))),1,0)</f>
        <v>0</v>
      </c>
      <c r="AP25">
        <f>IF((AND(VLOOKUP(AP$1,main!$A$3:$H$102,5,FALSE)-VLOOKUP($A25,main!$A$3:$H$102,6,FALSE)&gt;=(VLOOKUP(VLOOKUP(AP$1,main!$A$3:$H$102,8,FALSE),main!$K$26:$M$29,2,FALSE)+VLOOKUP(VLOOKUP(AP$1,main!$A$3:$H$102,7,FALSE),main!$K$19:$O$22,MATCH(VLOOKUP($A25,main!$A$3:$H$102,8,FALSE),main!$K$18:$O$18,0))))),1,0)</f>
        <v>1</v>
      </c>
      <c r="AQ25">
        <f>IF((AND(VLOOKUP(AQ$1,main!$A$3:$H$102,5,FALSE)-VLOOKUP($A25,main!$A$3:$H$102,6,FALSE)&gt;=(VLOOKUP(VLOOKUP(AQ$1,main!$A$3:$H$102,8,FALSE),main!$K$26:$M$29,2,FALSE)+VLOOKUP(VLOOKUP(AQ$1,main!$A$3:$H$102,7,FALSE),main!$K$19:$O$22,MATCH(VLOOKUP($A25,main!$A$3:$H$102,8,FALSE),main!$K$18:$O$18,0))))),1,0)</f>
        <v>0</v>
      </c>
      <c r="AR25">
        <f>IF((AND(VLOOKUP(AR$1,main!$A$3:$H$102,5,FALSE)-VLOOKUP($A25,main!$A$3:$H$102,6,FALSE)&gt;=(VLOOKUP(VLOOKUP(AR$1,main!$A$3:$H$102,8,FALSE),main!$K$26:$M$29,2,FALSE)+VLOOKUP(VLOOKUP(AR$1,main!$A$3:$H$102,7,FALSE),main!$K$19:$O$22,MATCH(VLOOKUP($A25,main!$A$3:$H$102,8,FALSE),main!$K$18:$O$18,0))))),1,0)</f>
        <v>0</v>
      </c>
      <c r="AS25">
        <f>IF((AND(VLOOKUP(AS$1,main!$A$3:$H$102,5,FALSE)-VLOOKUP($A25,main!$A$3:$H$102,6,FALSE)&gt;=(VLOOKUP(VLOOKUP(AS$1,main!$A$3:$H$102,8,FALSE),main!$K$26:$M$29,2,FALSE)+VLOOKUP(VLOOKUP(AS$1,main!$A$3:$H$102,7,FALSE),main!$K$19:$O$22,MATCH(VLOOKUP($A25,main!$A$3:$H$102,8,FALSE),main!$K$18:$O$18,0))))),1,0)</f>
        <v>0</v>
      </c>
      <c r="AT25">
        <f>IF((AND(VLOOKUP(AT$1,main!$A$3:$H$102,5,FALSE)-VLOOKUP($A25,main!$A$3:$H$102,6,FALSE)&gt;=(VLOOKUP(VLOOKUP(AT$1,main!$A$3:$H$102,8,FALSE),main!$K$26:$M$29,2,FALSE)+VLOOKUP(VLOOKUP(AT$1,main!$A$3:$H$102,7,FALSE),main!$K$19:$O$22,MATCH(VLOOKUP($A25,main!$A$3:$H$102,8,FALSE),main!$K$18:$O$18,0))))),1,0)</f>
        <v>0</v>
      </c>
      <c r="AU25">
        <f>IF((AND(VLOOKUP(AU$1,main!$A$3:$H$102,5,FALSE)-VLOOKUP($A25,main!$A$3:$H$102,6,FALSE)&gt;=(VLOOKUP(VLOOKUP(AU$1,main!$A$3:$H$102,8,FALSE),main!$K$26:$M$29,2,FALSE)+VLOOKUP(VLOOKUP(AU$1,main!$A$3:$H$102,7,FALSE),main!$K$19:$O$22,MATCH(VLOOKUP($A25,main!$A$3:$H$102,8,FALSE),main!$K$18:$O$18,0))))),1,0)</f>
        <v>0</v>
      </c>
      <c r="AV25">
        <f>IF((AND(VLOOKUP(AV$1,main!$A$3:$H$102,5,FALSE)-VLOOKUP($A25,main!$A$3:$H$102,6,FALSE)&gt;=(VLOOKUP(VLOOKUP(AV$1,main!$A$3:$H$102,8,FALSE),main!$K$26:$M$29,2,FALSE)+VLOOKUP(VLOOKUP(AV$1,main!$A$3:$H$102,7,FALSE),main!$K$19:$O$22,MATCH(VLOOKUP($A25,main!$A$3:$H$102,8,FALSE),main!$K$18:$O$18,0))))),1,0)</f>
        <v>0</v>
      </c>
      <c r="AW25">
        <f>IF((AND(VLOOKUP(AW$1,main!$A$3:$H$102,5,FALSE)-VLOOKUP($A25,main!$A$3:$H$102,6,FALSE)&gt;=(VLOOKUP(VLOOKUP(AW$1,main!$A$3:$H$102,8,FALSE),main!$K$26:$M$29,2,FALSE)+VLOOKUP(VLOOKUP(AW$1,main!$A$3:$H$102,7,FALSE),main!$K$19:$O$22,MATCH(VLOOKUP($A25,main!$A$3:$H$102,8,FALSE),main!$K$18:$O$18,0))))),1,0)</f>
        <v>0</v>
      </c>
      <c r="AX25">
        <f>IF((AND(VLOOKUP(AX$1,main!$A$3:$H$102,5,FALSE)-VLOOKUP($A25,main!$A$3:$H$102,6,FALSE)&gt;=(VLOOKUP(VLOOKUP(AX$1,main!$A$3:$H$102,8,FALSE),main!$K$26:$M$29,2,FALSE)+VLOOKUP(VLOOKUP(AX$1,main!$A$3:$H$102,7,FALSE),main!$K$19:$O$22,MATCH(VLOOKUP($A25,main!$A$3:$H$102,8,FALSE),main!$K$18:$O$18,0))))),1,0)</f>
        <v>0</v>
      </c>
      <c r="AY25">
        <f>IF((AND(VLOOKUP(AY$1,main!$A$3:$H$102,5,FALSE)-VLOOKUP($A25,main!$A$3:$H$102,6,FALSE)&gt;=(VLOOKUP(VLOOKUP(AY$1,main!$A$3:$H$102,8,FALSE),main!$K$26:$M$29,2,FALSE)+VLOOKUP(VLOOKUP(AY$1,main!$A$3:$H$102,7,FALSE),main!$K$19:$O$22,MATCH(VLOOKUP($A25,main!$A$3:$H$102,8,FALSE),main!$K$18:$O$18,0))))),1,0)</f>
        <v>0</v>
      </c>
      <c r="AZ25">
        <f>IF((AND(VLOOKUP(AZ$1,main!$A$3:$H$102,5,FALSE)-VLOOKUP($A25,main!$A$3:$H$102,6,FALSE)&gt;=(VLOOKUP(VLOOKUP(AZ$1,main!$A$3:$H$102,8,FALSE),main!$K$26:$M$29,2,FALSE)+VLOOKUP(VLOOKUP(AZ$1,main!$A$3:$H$102,7,FALSE),main!$K$19:$O$22,MATCH(VLOOKUP($A25,main!$A$3:$H$102,8,FALSE),main!$K$18:$O$18,0))))),1,0)</f>
        <v>0</v>
      </c>
      <c r="BA25">
        <f>IF((AND(VLOOKUP(BA$1,main!$A$3:$H$102,5,FALSE)-VLOOKUP($A25,main!$A$3:$H$102,6,FALSE)&gt;=(VLOOKUP(VLOOKUP(BA$1,main!$A$3:$H$102,8,FALSE),main!$K$26:$M$29,2,FALSE)+VLOOKUP(VLOOKUP(BA$1,main!$A$3:$H$102,7,FALSE),main!$K$19:$O$22,MATCH(VLOOKUP($A25,main!$A$3:$H$102,8,FALSE),main!$K$18:$O$18,0))))),1,0)</f>
        <v>0</v>
      </c>
      <c r="BB25">
        <f>IF((AND(VLOOKUP(BB$1,main!$A$3:$H$102,5,FALSE)-VLOOKUP($A25,main!$A$3:$H$102,6,FALSE)&gt;=(VLOOKUP(VLOOKUP(BB$1,main!$A$3:$H$102,8,FALSE),main!$K$26:$M$29,2,FALSE)+VLOOKUP(VLOOKUP(BB$1,main!$A$3:$H$102,7,FALSE),main!$K$19:$O$22,MATCH(VLOOKUP($A25,main!$A$3:$H$102,8,FALSE),main!$K$18:$O$18,0))))),1,0)</f>
        <v>0</v>
      </c>
      <c r="BC25">
        <f>IF((AND(VLOOKUP(BC$1,main!$A$3:$H$102,5,FALSE)-VLOOKUP($A25,main!$A$3:$H$102,6,FALSE)&gt;=(VLOOKUP(VLOOKUP(BC$1,main!$A$3:$H$102,8,FALSE),main!$K$26:$M$29,2,FALSE)+VLOOKUP(VLOOKUP(BC$1,main!$A$3:$H$102,7,FALSE),main!$K$19:$O$22,MATCH(VLOOKUP($A25,main!$A$3:$H$102,8,FALSE),main!$K$18:$O$18,0))))),1,0)</f>
        <v>0</v>
      </c>
      <c r="BD25">
        <f>IF((AND(VLOOKUP(BD$1,main!$A$3:$H$102,5,FALSE)-VLOOKUP($A25,main!$A$3:$H$102,6,FALSE)&gt;=(VLOOKUP(VLOOKUP(BD$1,main!$A$3:$H$102,8,FALSE),main!$K$26:$M$29,2,FALSE)+VLOOKUP(VLOOKUP(BD$1,main!$A$3:$H$102,7,FALSE),main!$K$19:$O$22,MATCH(VLOOKUP($A25,main!$A$3:$H$102,8,FALSE),main!$K$18:$O$18,0))))),1,0)</f>
        <v>0</v>
      </c>
      <c r="BE25">
        <f>IF((AND(VLOOKUP(BE$1,main!$A$3:$H$102,5,FALSE)-VLOOKUP($A25,main!$A$3:$H$102,6,FALSE)&gt;=(VLOOKUP(VLOOKUP(BE$1,main!$A$3:$H$102,8,FALSE),main!$K$26:$M$29,2,FALSE)+VLOOKUP(VLOOKUP(BE$1,main!$A$3:$H$102,7,FALSE),main!$K$19:$O$22,MATCH(VLOOKUP($A25,main!$A$3:$H$102,8,FALSE),main!$K$18:$O$18,0))))),1,0)</f>
        <v>1</v>
      </c>
      <c r="BF25">
        <f>IF((AND(VLOOKUP(BF$1,main!$A$3:$H$102,5,FALSE)-VLOOKUP($A25,main!$A$3:$H$102,6,FALSE)&gt;=(VLOOKUP(VLOOKUP(BF$1,main!$A$3:$H$102,8,FALSE),main!$K$26:$M$29,2,FALSE)+VLOOKUP(VLOOKUP(BF$1,main!$A$3:$H$102,7,FALSE),main!$K$19:$O$22,MATCH(VLOOKUP($A25,main!$A$3:$H$102,8,FALSE),main!$K$18:$O$18,0))))),1,0)</f>
        <v>0</v>
      </c>
      <c r="BG25">
        <f>IF((AND(VLOOKUP(BG$1,main!$A$3:$H$102,5,FALSE)-VLOOKUP($A25,main!$A$3:$H$102,6,FALSE)&gt;=(VLOOKUP(VLOOKUP(BG$1,main!$A$3:$H$102,8,FALSE),main!$K$26:$M$29,2,FALSE)+VLOOKUP(VLOOKUP(BG$1,main!$A$3:$H$102,7,FALSE),main!$K$19:$O$22,MATCH(VLOOKUP($A25,main!$A$3:$H$102,8,FALSE),main!$K$18:$O$18,0))))),1,0)</f>
        <v>0</v>
      </c>
      <c r="BH25">
        <f>IF((AND(VLOOKUP(BH$1,main!$A$3:$H$102,5,FALSE)-VLOOKUP($A25,main!$A$3:$H$102,6,FALSE)&gt;=(VLOOKUP(VLOOKUP(BH$1,main!$A$3:$H$102,8,FALSE),main!$K$26:$M$29,2,FALSE)+VLOOKUP(VLOOKUP(BH$1,main!$A$3:$H$102,7,FALSE),main!$K$19:$O$22,MATCH(VLOOKUP($A25,main!$A$3:$H$102,8,FALSE),main!$K$18:$O$18,0))))),1,0)</f>
        <v>0</v>
      </c>
      <c r="BI25">
        <f>IF((AND(VLOOKUP(BI$1,main!$A$3:$H$102,5,FALSE)-VLOOKUP($A25,main!$A$3:$H$102,6,FALSE)&gt;=(VLOOKUP(VLOOKUP(BI$1,main!$A$3:$H$102,8,FALSE),main!$K$26:$M$29,2,FALSE)+VLOOKUP(VLOOKUP(BI$1,main!$A$3:$H$102,7,FALSE),main!$K$19:$O$22,MATCH(VLOOKUP($A25,main!$A$3:$H$102,8,FALSE),main!$K$18:$O$18,0))))),1,0)</f>
        <v>1</v>
      </c>
      <c r="BJ25">
        <f>IF((AND(VLOOKUP(BJ$1,main!$A$3:$H$102,5,FALSE)-VLOOKUP($A25,main!$A$3:$H$102,6,FALSE)&gt;=(VLOOKUP(VLOOKUP(BJ$1,main!$A$3:$H$102,8,FALSE),main!$K$26:$M$29,2,FALSE)+VLOOKUP(VLOOKUP(BJ$1,main!$A$3:$H$102,7,FALSE),main!$K$19:$O$22,MATCH(VLOOKUP($A25,main!$A$3:$H$102,8,FALSE),main!$K$18:$O$18,0))))),1,0)</f>
        <v>1</v>
      </c>
      <c r="BK25">
        <f>IF((AND(VLOOKUP(BK$1,main!$A$3:$H$102,5,FALSE)-VLOOKUP($A25,main!$A$3:$H$102,6,FALSE)&gt;=(VLOOKUP(VLOOKUP(BK$1,main!$A$3:$H$102,8,FALSE),main!$K$26:$M$29,2,FALSE)+VLOOKUP(VLOOKUP(BK$1,main!$A$3:$H$102,7,FALSE),main!$K$19:$O$22,MATCH(VLOOKUP($A25,main!$A$3:$H$102,8,FALSE),main!$K$18:$O$18,0))))),1,0)</f>
        <v>0</v>
      </c>
      <c r="BL25">
        <f>IF((AND(VLOOKUP(BL$1,main!$A$3:$H$102,5,FALSE)-VLOOKUP($A25,main!$A$3:$H$102,6,FALSE)&gt;=(VLOOKUP(VLOOKUP(BL$1,main!$A$3:$H$102,8,FALSE),main!$K$26:$M$29,2,FALSE)+VLOOKUP(VLOOKUP(BL$1,main!$A$3:$H$102,7,FALSE),main!$K$19:$O$22,MATCH(VLOOKUP($A25,main!$A$3:$H$102,8,FALSE),main!$K$18:$O$18,0))))),1,0)</f>
        <v>0</v>
      </c>
      <c r="BM25">
        <f>IF((AND(VLOOKUP(BM$1,main!$A$3:$H$102,5,FALSE)-VLOOKUP($A25,main!$A$3:$H$102,6,FALSE)&gt;=(VLOOKUP(VLOOKUP(BM$1,main!$A$3:$H$102,8,FALSE),main!$K$26:$M$29,2,FALSE)+VLOOKUP(VLOOKUP(BM$1,main!$A$3:$H$102,7,FALSE),main!$K$19:$O$22,MATCH(VLOOKUP($A25,main!$A$3:$H$102,8,FALSE),main!$K$18:$O$18,0))))),1,0)</f>
        <v>0</v>
      </c>
      <c r="BN25">
        <f>IF((AND(VLOOKUP(BN$1,main!$A$3:$H$102,5,FALSE)-VLOOKUP($A25,main!$A$3:$H$102,6,FALSE)&gt;=(VLOOKUP(VLOOKUP(BN$1,main!$A$3:$H$102,8,FALSE),main!$K$26:$M$29,2,FALSE)+VLOOKUP(VLOOKUP(BN$1,main!$A$3:$H$102,7,FALSE),main!$K$19:$O$22,MATCH(VLOOKUP($A25,main!$A$3:$H$102,8,FALSE),main!$K$18:$O$18,0))))),1,0)</f>
        <v>0</v>
      </c>
      <c r="BO25">
        <f>IF((AND(VLOOKUP(BO$1,main!$A$3:$H$102,5,FALSE)-VLOOKUP($A25,main!$A$3:$H$102,6,FALSE)&gt;=(VLOOKUP(VLOOKUP(BO$1,main!$A$3:$H$102,8,FALSE),main!$K$26:$M$29,2,FALSE)+VLOOKUP(VLOOKUP(BO$1,main!$A$3:$H$102,7,FALSE),main!$K$19:$O$22,MATCH(VLOOKUP($A25,main!$A$3:$H$102,8,FALSE),main!$K$18:$O$18,0))))),1,0)</f>
        <v>0</v>
      </c>
      <c r="BP25">
        <f>IF((AND(VLOOKUP(BP$1,main!$A$3:$H$102,5,FALSE)-VLOOKUP($A25,main!$A$3:$H$102,6,FALSE)&gt;=(VLOOKUP(VLOOKUP(BP$1,main!$A$3:$H$102,8,FALSE),main!$K$26:$M$29,2,FALSE)+VLOOKUP(VLOOKUP(BP$1,main!$A$3:$H$102,7,FALSE),main!$K$19:$O$22,MATCH(VLOOKUP($A25,main!$A$3:$H$102,8,FALSE),main!$K$18:$O$18,0))))),1,0)</f>
        <v>0</v>
      </c>
      <c r="BQ25">
        <f>IF((AND(VLOOKUP(BQ$1,main!$A$3:$H$102,5,FALSE)-VLOOKUP($A25,main!$A$3:$H$102,6,FALSE)&gt;=(VLOOKUP(VLOOKUP(BQ$1,main!$A$3:$H$102,8,FALSE),main!$K$26:$M$29,2,FALSE)+VLOOKUP(VLOOKUP(BQ$1,main!$A$3:$H$102,7,FALSE),main!$K$19:$O$22,MATCH(VLOOKUP($A25,main!$A$3:$H$102,8,FALSE),main!$K$18:$O$18,0))))),1,0)</f>
        <v>0</v>
      </c>
      <c r="BR25">
        <f>IF((AND(VLOOKUP(BR$1,main!$A$3:$H$102,5,FALSE)-VLOOKUP($A25,main!$A$3:$H$102,6,FALSE)&gt;=(VLOOKUP(VLOOKUP(BR$1,main!$A$3:$H$102,8,FALSE),main!$K$26:$M$29,2,FALSE)+VLOOKUP(VLOOKUP(BR$1,main!$A$3:$H$102,7,FALSE),main!$K$19:$O$22,MATCH(VLOOKUP($A25,main!$A$3:$H$102,8,FALSE),main!$K$18:$O$18,0))))),1,0)</f>
        <v>0</v>
      </c>
      <c r="BS25">
        <f>IF((AND(VLOOKUP(BS$1,main!$A$3:$H$102,5,FALSE)-VLOOKUP($A25,main!$A$3:$H$102,6,FALSE)&gt;=(VLOOKUP(VLOOKUP(BS$1,main!$A$3:$H$102,8,FALSE),main!$K$26:$M$29,2,FALSE)+VLOOKUP(VLOOKUP(BS$1,main!$A$3:$H$102,7,FALSE),main!$K$19:$O$22,MATCH(VLOOKUP($A25,main!$A$3:$H$102,8,FALSE),main!$K$18:$O$18,0))))),1,0)</f>
        <v>0</v>
      </c>
      <c r="BT25">
        <f>IF((AND(VLOOKUP(BT$1,main!$A$3:$H$102,5,FALSE)-VLOOKUP($A25,main!$A$3:$H$102,6,FALSE)&gt;=(VLOOKUP(VLOOKUP(BT$1,main!$A$3:$H$102,8,FALSE),main!$K$26:$M$29,2,FALSE)+VLOOKUP(VLOOKUP(BT$1,main!$A$3:$H$102,7,FALSE),main!$K$19:$O$22,MATCH(VLOOKUP($A25,main!$A$3:$H$102,8,FALSE),main!$K$18:$O$18,0))))),1,0)</f>
        <v>0</v>
      </c>
      <c r="BU25">
        <f>IF((AND(VLOOKUP(BU$1,main!$A$3:$H$102,5,FALSE)-VLOOKUP($A25,main!$A$3:$H$102,6,FALSE)&gt;=(VLOOKUP(VLOOKUP(BU$1,main!$A$3:$H$102,8,FALSE),main!$K$26:$M$29,2,FALSE)+VLOOKUP(VLOOKUP(BU$1,main!$A$3:$H$102,7,FALSE),main!$K$19:$O$22,MATCH(VLOOKUP($A25,main!$A$3:$H$102,8,FALSE),main!$K$18:$O$18,0))))),1,0)</f>
        <v>0</v>
      </c>
      <c r="BV25">
        <f>IF((AND(VLOOKUP(BV$1,main!$A$3:$H$102,5,FALSE)-VLOOKUP($A25,main!$A$3:$H$102,6,FALSE)&gt;=(VLOOKUP(VLOOKUP(BV$1,main!$A$3:$H$102,8,FALSE),main!$K$26:$M$29,2,FALSE)+VLOOKUP(VLOOKUP(BV$1,main!$A$3:$H$102,7,FALSE),main!$K$19:$O$22,MATCH(VLOOKUP($A25,main!$A$3:$H$102,8,FALSE),main!$K$18:$O$18,0))))),1,0)</f>
        <v>0</v>
      </c>
      <c r="BW25">
        <f>IF((AND(VLOOKUP(BW$1,main!$A$3:$H$102,5,FALSE)-VLOOKUP($A25,main!$A$3:$H$102,6,FALSE)&gt;=(VLOOKUP(VLOOKUP(BW$1,main!$A$3:$H$102,8,FALSE),main!$K$26:$M$29,2,FALSE)+VLOOKUP(VLOOKUP(BW$1,main!$A$3:$H$102,7,FALSE),main!$K$19:$O$22,MATCH(VLOOKUP($A25,main!$A$3:$H$102,8,FALSE),main!$K$18:$O$18,0))))),1,0)</f>
        <v>0</v>
      </c>
      <c r="BX25">
        <f>IF((AND(VLOOKUP(BX$1,main!$A$3:$H$102,5,FALSE)-VLOOKUP($A25,main!$A$3:$H$102,6,FALSE)&gt;=(VLOOKUP(VLOOKUP(BX$1,main!$A$3:$H$102,8,FALSE),main!$K$26:$M$29,2,FALSE)+VLOOKUP(VLOOKUP(BX$1,main!$A$3:$H$102,7,FALSE),main!$K$19:$O$22,MATCH(VLOOKUP($A25,main!$A$3:$H$102,8,FALSE),main!$K$18:$O$18,0))))),1,0)</f>
        <v>0</v>
      </c>
      <c r="BY25">
        <f>IF((AND(VLOOKUP(BY$1,main!$A$3:$H$102,5,FALSE)-VLOOKUP($A25,main!$A$3:$H$102,6,FALSE)&gt;=(VLOOKUP(VLOOKUP(BY$1,main!$A$3:$H$102,8,FALSE),main!$K$26:$M$29,2,FALSE)+VLOOKUP(VLOOKUP(BY$1,main!$A$3:$H$102,7,FALSE),main!$K$19:$O$22,MATCH(VLOOKUP($A25,main!$A$3:$H$102,8,FALSE),main!$K$18:$O$18,0))))),1,0)</f>
        <v>0</v>
      </c>
      <c r="BZ25">
        <f>IF((AND(VLOOKUP(BZ$1,main!$A$3:$H$102,5,FALSE)-VLOOKUP($A25,main!$A$3:$H$102,6,FALSE)&gt;=(VLOOKUP(VLOOKUP(BZ$1,main!$A$3:$H$102,8,FALSE),main!$K$26:$M$29,2,FALSE)+VLOOKUP(VLOOKUP(BZ$1,main!$A$3:$H$102,7,FALSE),main!$K$19:$O$22,MATCH(VLOOKUP($A25,main!$A$3:$H$102,8,FALSE),main!$K$18:$O$18,0))))),1,0)</f>
        <v>0</v>
      </c>
      <c r="CA25">
        <f>IF((AND(VLOOKUP(CA$1,main!$A$3:$H$102,5,FALSE)-VLOOKUP($A25,main!$A$3:$H$102,6,FALSE)&gt;=(VLOOKUP(VLOOKUP(CA$1,main!$A$3:$H$102,8,FALSE),main!$K$26:$M$29,2,FALSE)+VLOOKUP(VLOOKUP(CA$1,main!$A$3:$H$102,7,FALSE),main!$K$19:$O$22,MATCH(VLOOKUP($A25,main!$A$3:$H$102,8,FALSE),main!$K$18:$O$18,0))))),1,0)</f>
        <v>0</v>
      </c>
      <c r="CB25">
        <f>IF((AND(VLOOKUP(CB$1,main!$A$3:$H$102,5,FALSE)-VLOOKUP($A25,main!$A$3:$H$102,6,FALSE)&gt;=(VLOOKUP(VLOOKUP(CB$1,main!$A$3:$H$102,8,FALSE),main!$K$26:$M$29,2,FALSE)+VLOOKUP(VLOOKUP(CB$1,main!$A$3:$H$102,7,FALSE),main!$K$19:$O$22,MATCH(VLOOKUP($A25,main!$A$3:$H$102,8,FALSE),main!$K$18:$O$18,0))))),1,0)</f>
        <v>0</v>
      </c>
      <c r="CC25">
        <f>IF((AND(VLOOKUP(CC$1,main!$A$3:$H$102,5,FALSE)-VLOOKUP($A25,main!$A$3:$H$102,6,FALSE)&gt;=(VLOOKUP(VLOOKUP(CC$1,main!$A$3:$H$102,8,FALSE),main!$K$26:$M$29,2,FALSE)+VLOOKUP(VLOOKUP(CC$1,main!$A$3:$H$102,7,FALSE),main!$K$19:$O$22,MATCH(VLOOKUP($A25,main!$A$3:$H$102,8,FALSE),main!$K$18:$O$18,0))))),1,0)</f>
        <v>1</v>
      </c>
      <c r="CD25">
        <f>IF((AND(VLOOKUP(CD$1,main!$A$3:$H$102,5,FALSE)-VLOOKUP($A25,main!$A$3:$H$102,6,FALSE)&gt;=(VLOOKUP(VLOOKUP(CD$1,main!$A$3:$H$102,8,FALSE),main!$K$26:$M$29,2,FALSE)+VLOOKUP(VLOOKUP(CD$1,main!$A$3:$H$102,7,FALSE),main!$K$19:$O$22,MATCH(VLOOKUP($A25,main!$A$3:$H$102,8,FALSE),main!$K$18:$O$18,0))))),1,0)</f>
        <v>0</v>
      </c>
      <c r="CE25">
        <f>IF((AND(VLOOKUP(CE$1,main!$A$3:$H$102,5,FALSE)-VLOOKUP($A25,main!$A$3:$H$102,6,FALSE)&gt;=(VLOOKUP(VLOOKUP(CE$1,main!$A$3:$H$102,8,FALSE),main!$K$26:$M$29,2,FALSE)+VLOOKUP(VLOOKUP(CE$1,main!$A$3:$H$102,7,FALSE),main!$K$19:$O$22,MATCH(VLOOKUP($A25,main!$A$3:$H$102,8,FALSE),main!$K$18:$O$18,0))))),1,0)</f>
        <v>0</v>
      </c>
      <c r="CF25">
        <f>IF((AND(VLOOKUP(CF$1,main!$A$3:$H$102,5,FALSE)-VLOOKUP($A25,main!$A$3:$H$102,6,FALSE)&gt;=(VLOOKUP(VLOOKUP(CF$1,main!$A$3:$H$102,8,FALSE),main!$K$26:$M$29,2,FALSE)+VLOOKUP(VLOOKUP(CF$1,main!$A$3:$H$102,7,FALSE),main!$K$19:$O$22,MATCH(VLOOKUP($A25,main!$A$3:$H$102,8,FALSE),main!$K$18:$O$18,0))))),1,0)</f>
        <v>0</v>
      </c>
      <c r="CG25">
        <f>IF((AND(VLOOKUP(CG$1,main!$A$3:$H$102,5,FALSE)-VLOOKUP($A25,main!$A$3:$H$102,6,FALSE)&gt;=(VLOOKUP(VLOOKUP(CG$1,main!$A$3:$H$102,8,FALSE),main!$K$26:$M$29,2,FALSE)+VLOOKUP(VLOOKUP(CG$1,main!$A$3:$H$102,7,FALSE),main!$K$19:$O$22,MATCH(VLOOKUP($A25,main!$A$3:$H$102,8,FALSE),main!$K$18:$O$18,0))))),1,0)</f>
        <v>0</v>
      </c>
      <c r="CH25">
        <f>IF((AND(VLOOKUP(CH$1,main!$A$3:$H$102,5,FALSE)-VLOOKUP($A25,main!$A$3:$H$102,6,FALSE)&gt;=(VLOOKUP(VLOOKUP(CH$1,main!$A$3:$H$102,8,FALSE),main!$K$26:$M$29,2,FALSE)+VLOOKUP(VLOOKUP(CH$1,main!$A$3:$H$102,7,FALSE),main!$K$19:$O$22,MATCH(VLOOKUP($A25,main!$A$3:$H$102,8,FALSE),main!$K$18:$O$18,0))))),1,0)</f>
        <v>1</v>
      </c>
      <c r="CI25">
        <f>IF((AND(VLOOKUP(CI$1,main!$A$3:$H$102,5,FALSE)-VLOOKUP($A25,main!$A$3:$H$102,6,FALSE)&gt;=(VLOOKUP(VLOOKUP(CI$1,main!$A$3:$H$102,8,FALSE),main!$K$26:$M$29,2,FALSE)+VLOOKUP(VLOOKUP(CI$1,main!$A$3:$H$102,7,FALSE),main!$K$19:$O$22,MATCH(VLOOKUP($A25,main!$A$3:$H$102,8,FALSE),main!$K$18:$O$18,0))))),1,0)</f>
        <v>1</v>
      </c>
      <c r="CJ25">
        <f>IF((AND(VLOOKUP(CJ$1,main!$A$3:$H$102,5,FALSE)-VLOOKUP($A25,main!$A$3:$H$102,6,FALSE)&gt;=(VLOOKUP(VLOOKUP(CJ$1,main!$A$3:$H$102,8,FALSE),main!$K$26:$M$29,2,FALSE)+VLOOKUP(VLOOKUP(CJ$1,main!$A$3:$H$102,7,FALSE),main!$K$19:$O$22,MATCH(VLOOKUP($A25,main!$A$3:$H$102,8,FALSE),main!$K$18:$O$18,0))))),1,0)</f>
        <v>0</v>
      </c>
      <c r="CK25">
        <f>IF((AND(VLOOKUP(CK$1,main!$A$3:$H$102,5,FALSE)-VLOOKUP($A25,main!$A$3:$H$102,6,FALSE)&gt;=(VLOOKUP(VLOOKUP(CK$1,main!$A$3:$H$102,8,FALSE),main!$K$26:$M$29,2,FALSE)+VLOOKUP(VLOOKUP(CK$1,main!$A$3:$H$102,7,FALSE),main!$K$19:$O$22,MATCH(VLOOKUP($A25,main!$A$3:$H$102,8,FALSE),main!$K$18:$O$18,0))))),1,0)</f>
        <v>0</v>
      </c>
      <c r="CL25">
        <f>IF((AND(VLOOKUP(CL$1,main!$A$3:$H$102,5,FALSE)-VLOOKUP($A25,main!$A$3:$H$102,6,FALSE)&gt;=(VLOOKUP(VLOOKUP(CL$1,main!$A$3:$H$102,8,FALSE),main!$K$26:$M$29,2,FALSE)+VLOOKUP(VLOOKUP(CL$1,main!$A$3:$H$102,7,FALSE),main!$K$19:$O$22,MATCH(VLOOKUP($A25,main!$A$3:$H$102,8,FALSE),main!$K$18:$O$18,0))))),1,0)</f>
        <v>0</v>
      </c>
      <c r="CM25">
        <f>IF((AND(VLOOKUP(CM$1,main!$A$3:$H$102,5,FALSE)-VLOOKUP($A25,main!$A$3:$H$102,6,FALSE)&gt;=(VLOOKUP(VLOOKUP(CM$1,main!$A$3:$H$102,8,FALSE),main!$K$26:$M$29,2,FALSE)+VLOOKUP(VLOOKUP(CM$1,main!$A$3:$H$102,7,FALSE),main!$K$19:$O$22,MATCH(VLOOKUP($A25,main!$A$3:$H$102,8,FALSE),main!$K$18:$O$18,0))))),1,0)</f>
        <v>1</v>
      </c>
      <c r="CN25">
        <f>IF((AND(VLOOKUP(CN$1,main!$A$3:$H$102,5,FALSE)-VLOOKUP($A25,main!$A$3:$H$102,6,FALSE)&gt;=(VLOOKUP(VLOOKUP(CN$1,main!$A$3:$H$102,8,FALSE),main!$K$26:$M$29,2,FALSE)+VLOOKUP(VLOOKUP(CN$1,main!$A$3:$H$102,7,FALSE),main!$K$19:$O$22,MATCH(VLOOKUP($A25,main!$A$3:$H$102,8,FALSE),main!$K$18:$O$18,0))))),1,0)</f>
        <v>1</v>
      </c>
      <c r="CO25">
        <f>IF((AND(VLOOKUP(CO$1,main!$A$3:$H$102,5,FALSE)-VLOOKUP($A25,main!$A$3:$H$102,6,FALSE)&gt;=(VLOOKUP(VLOOKUP(CO$1,main!$A$3:$H$102,8,FALSE),main!$K$26:$M$29,2,FALSE)+VLOOKUP(VLOOKUP(CO$1,main!$A$3:$H$102,7,FALSE),main!$K$19:$O$22,MATCH(VLOOKUP($A25,main!$A$3:$H$102,8,FALSE),main!$K$18:$O$18,0))))),1,0)</f>
        <v>0</v>
      </c>
      <c r="CP25">
        <f>IF((AND(VLOOKUP(CP$1,main!$A$3:$H$102,5,FALSE)-VLOOKUP($A25,main!$A$3:$H$102,6,FALSE)&gt;=(VLOOKUP(VLOOKUP(CP$1,main!$A$3:$H$102,8,FALSE),main!$K$26:$M$29,2,FALSE)+VLOOKUP(VLOOKUP(CP$1,main!$A$3:$H$102,7,FALSE),main!$K$19:$O$22,MATCH(VLOOKUP($A25,main!$A$3:$H$102,8,FALSE),main!$K$18:$O$18,0))))),1,0)</f>
        <v>0</v>
      </c>
      <c r="CQ25">
        <f>IF((AND(VLOOKUP(CQ$1,main!$A$3:$H$102,5,FALSE)-VLOOKUP($A25,main!$A$3:$H$102,6,FALSE)&gt;=(VLOOKUP(VLOOKUP(CQ$1,main!$A$3:$H$102,8,FALSE),main!$K$26:$M$29,2,FALSE)+VLOOKUP(VLOOKUP(CQ$1,main!$A$3:$H$102,7,FALSE),main!$K$19:$O$22,MATCH(VLOOKUP($A25,main!$A$3:$H$102,8,FALSE),main!$K$18:$O$18,0))))),1,0)</f>
        <v>0</v>
      </c>
      <c r="CR25">
        <f>IF((AND(VLOOKUP(CR$1,main!$A$3:$H$102,5,FALSE)-VLOOKUP($A25,main!$A$3:$H$102,6,FALSE)&gt;=(VLOOKUP(VLOOKUP(CR$1,main!$A$3:$H$102,8,FALSE),main!$K$26:$M$29,2,FALSE)+VLOOKUP(VLOOKUP(CR$1,main!$A$3:$H$102,7,FALSE),main!$K$19:$O$22,MATCH(VLOOKUP($A25,main!$A$3:$H$102,8,FALSE),main!$K$18:$O$18,0))))),1,0)</f>
        <v>1</v>
      </c>
      <c r="CS25">
        <f>IF((AND(VLOOKUP(CS$1,main!$A$3:$H$102,5,FALSE)-VLOOKUP($A25,main!$A$3:$H$102,6,FALSE)&gt;=(VLOOKUP(VLOOKUP(CS$1,main!$A$3:$H$102,8,FALSE),main!$K$26:$M$29,2,FALSE)+VLOOKUP(VLOOKUP(CS$1,main!$A$3:$H$102,7,FALSE),main!$K$19:$O$22,MATCH(VLOOKUP($A25,main!$A$3:$H$102,8,FALSE),main!$K$18:$O$18,0))))),1,0)</f>
        <v>1</v>
      </c>
      <c r="CT25">
        <f>IF((AND(VLOOKUP(CT$1,main!$A$3:$H$102,5,FALSE)-VLOOKUP($A25,main!$A$3:$H$102,6,FALSE)&gt;=(VLOOKUP(VLOOKUP(CT$1,main!$A$3:$H$102,8,FALSE),main!$K$26:$M$29,2,FALSE)+VLOOKUP(VLOOKUP(CT$1,main!$A$3:$H$102,7,FALSE),main!$K$19:$O$22,MATCH(VLOOKUP($A25,main!$A$3:$H$102,8,FALSE),main!$K$18:$O$18,0))))),1,0)</f>
        <v>0</v>
      </c>
      <c r="CU25">
        <f>IF((AND(VLOOKUP(CU$1,main!$A$3:$H$102,5,FALSE)-VLOOKUP($A25,main!$A$3:$H$102,6,FALSE)&gt;=(VLOOKUP(VLOOKUP(CU$1,main!$A$3:$H$102,8,FALSE),main!$K$26:$M$29,2,FALSE)+VLOOKUP(VLOOKUP(CU$1,main!$A$3:$H$102,7,FALSE),main!$K$19:$O$22,MATCH(VLOOKUP($A25,main!$A$3:$H$102,8,FALSE),main!$K$18:$O$18,0))))),1,0)</f>
        <v>0</v>
      </c>
      <c r="CV25">
        <f>IF((AND(VLOOKUP(CV$1,main!$A$3:$H$102,5,FALSE)-VLOOKUP($A25,main!$A$3:$H$102,6,FALSE)&gt;=(VLOOKUP(VLOOKUP(CV$1,main!$A$3:$H$102,8,FALSE),main!$K$26:$M$29,2,FALSE)+VLOOKUP(VLOOKUP(CV$1,main!$A$3:$H$102,7,FALSE),main!$K$19:$O$22,MATCH(VLOOKUP($A25,main!$A$3:$H$102,8,FALSE),main!$K$18:$O$18,0))))),1,0)</f>
        <v>0</v>
      </c>
      <c r="CW25">
        <f>IF((AND(VLOOKUP(CW$1,main!$A$3:$H$102,5,FALSE)-VLOOKUP($A25,main!$A$3:$H$102,6,FALSE)&gt;=(VLOOKUP(VLOOKUP(CW$1,main!$A$3:$H$102,8,FALSE),main!$K$26:$M$29,2,FALSE)+VLOOKUP(VLOOKUP(CW$1,main!$A$3:$H$102,7,FALSE),main!$K$19:$O$22,MATCH(VLOOKUP($A25,main!$A$3:$H$102,8,FALSE),main!$K$18:$O$18,0))))),1,0)</f>
        <v>1</v>
      </c>
      <c r="CX25">
        <f>IF((AND(VLOOKUP(CX$1,main!$A$3:$H$102,5,FALSE)-VLOOKUP($A25,main!$A$3:$H$102,6,FALSE)&gt;=(VLOOKUP(VLOOKUP(CX$1,main!$A$3:$H$102,8,FALSE),main!$K$26:$M$29,2,FALSE)+VLOOKUP(VLOOKUP(CX$1,main!$A$3:$H$102,7,FALSE),main!$K$19:$O$22,MATCH(VLOOKUP($A25,main!$A$3:$H$102,8,FALSE),main!$K$18:$O$18,0))))),1,0)</f>
        <v>1</v>
      </c>
    </row>
    <row r="26" spans="1:102" x14ac:dyDescent="0.25">
      <c r="A26" s="1">
        <v>24</v>
      </c>
      <c r="B26">
        <v>1</v>
      </c>
      <c r="C26">
        <f>IF((AND(VLOOKUP(C$1,main!$A$3:$H$102,5,FALSE)-VLOOKUP($A26,main!$A$3:$H$102,6,FALSE)&gt;=(VLOOKUP(VLOOKUP(C$1,main!$A$3:$H$102,8,FALSE),main!$K$26:$M$29,2,FALSE)+VLOOKUP(VLOOKUP(C$1,main!$A$3:$H$102,7,FALSE),main!$K$19:$O$22,MATCH(VLOOKUP($A26,main!$A$3:$H$102,8,FALSE),main!$K$18:$O$18,0))))),1,0)</f>
        <v>0</v>
      </c>
      <c r="D26">
        <f>IF((AND(VLOOKUP(D$1,main!$A$3:$H$102,5,FALSE)-VLOOKUP($A26,main!$A$3:$H$102,6,FALSE)&gt;=(VLOOKUP(VLOOKUP(D$1,main!$A$3:$H$102,8,FALSE),main!$K$26:$M$29,2,FALSE)+VLOOKUP(VLOOKUP(D$1,main!$A$3:$H$102,7,FALSE),main!$K$19:$O$22,MATCH(VLOOKUP($A26,main!$A$3:$H$102,8,FALSE),main!$K$18:$O$18,0))))),1,0)</f>
        <v>0</v>
      </c>
      <c r="E26">
        <f>IF((AND(VLOOKUP(E$1,main!$A$3:$H$102,5,FALSE)-VLOOKUP($A26,main!$A$3:$H$102,6,FALSE)&gt;=(VLOOKUP(VLOOKUP(E$1,main!$A$3:$H$102,8,FALSE),main!$K$26:$M$29,2,FALSE)+VLOOKUP(VLOOKUP(E$1,main!$A$3:$H$102,7,FALSE),main!$K$19:$O$22,MATCH(VLOOKUP($A26,main!$A$3:$H$102,8,FALSE),main!$K$18:$O$18,0))))),1,0)</f>
        <v>0</v>
      </c>
      <c r="F26">
        <f>IF((AND(VLOOKUP(F$1,main!$A$3:$H$102,5,FALSE)-VLOOKUP($A26,main!$A$3:$H$102,6,FALSE)&gt;=(VLOOKUP(VLOOKUP(F$1,main!$A$3:$H$102,8,FALSE),main!$K$26:$M$29,2,FALSE)+VLOOKUP(VLOOKUP(F$1,main!$A$3:$H$102,7,FALSE),main!$K$19:$O$22,MATCH(VLOOKUP($A26,main!$A$3:$H$102,8,FALSE),main!$K$18:$O$18,0))))),1,0)</f>
        <v>0</v>
      </c>
      <c r="G26">
        <f>IF((AND(VLOOKUP(G$1,main!$A$3:$H$102,5,FALSE)-VLOOKUP($A26,main!$A$3:$H$102,6,FALSE)&gt;=(VLOOKUP(VLOOKUP(G$1,main!$A$3:$H$102,8,FALSE),main!$K$26:$M$29,2,FALSE)+VLOOKUP(VLOOKUP(G$1,main!$A$3:$H$102,7,FALSE),main!$K$19:$O$22,MATCH(VLOOKUP($A26,main!$A$3:$H$102,8,FALSE),main!$K$18:$O$18,0))))),1,0)</f>
        <v>0</v>
      </c>
      <c r="H26">
        <f>IF((AND(VLOOKUP(H$1,main!$A$3:$H$102,5,FALSE)-VLOOKUP($A26,main!$A$3:$H$102,6,FALSE)&gt;=(VLOOKUP(VLOOKUP(H$1,main!$A$3:$H$102,8,FALSE),main!$K$26:$M$29,2,FALSE)+VLOOKUP(VLOOKUP(H$1,main!$A$3:$H$102,7,FALSE),main!$K$19:$O$22,MATCH(VLOOKUP($A26,main!$A$3:$H$102,8,FALSE),main!$K$18:$O$18,0))))),1,0)</f>
        <v>0</v>
      </c>
      <c r="I26">
        <f>IF((AND(VLOOKUP(I$1,main!$A$3:$H$102,5,FALSE)-VLOOKUP($A26,main!$A$3:$H$102,6,FALSE)&gt;=(VLOOKUP(VLOOKUP(I$1,main!$A$3:$H$102,8,FALSE),main!$K$26:$M$29,2,FALSE)+VLOOKUP(VLOOKUP(I$1,main!$A$3:$H$102,7,FALSE),main!$K$19:$O$22,MATCH(VLOOKUP($A26,main!$A$3:$H$102,8,FALSE),main!$K$18:$O$18,0))))),1,0)</f>
        <v>0</v>
      </c>
      <c r="J26">
        <f>IF((AND(VLOOKUP(J$1,main!$A$3:$H$102,5,FALSE)-VLOOKUP($A26,main!$A$3:$H$102,6,FALSE)&gt;=(VLOOKUP(VLOOKUP(J$1,main!$A$3:$H$102,8,FALSE),main!$K$26:$M$29,2,FALSE)+VLOOKUP(VLOOKUP(J$1,main!$A$3:$H$102,7,FALSE),main!$K$19:$O$22,MATCH(VLOOKUP($A26,main!$A$3:$H$102,8,FALSE),main!$K$18:$O$18,0))))),1,0)</f>
        <v>0</v>
      </c>
      <c r="K26">
        <f>IF((AND(VLOOKUP(K$1,main!$A$3:$H$102,5,FALSE)-VLOOKUP($A26,main!$A$3:$H$102,6,FALSE)&gt;=(VLOOKUP(VLOOKUP(K$1,main!$A$3:$H$102,8,FALSE),main!$K$26:$M$29,2,FALSE)+VLOOKUP(VLOOKUP(K$1,main!$A$3:$H$102,7,FALSE),main!$K$19:$O$22,MATCH(VLOOKUP($A26,main!$A$3:$H$102,8,FALSE),main!$K$18:$O$18,0))))),1,0)</f>
        <v>0</v>
      </c>
      <c r="L26">
        <f>IF((AND(VLOOKUP(L$1,main!$A$3:$H$102,5,FALSE)-VLOOKUP($A26,main!$A$3:$H$102,6,FALSE)&gt;=(VLOOKUP(VLOOKUP(L$1,main!$A$3:$H$102,8,FALSE),main!$K$26:$M$29,2,FALSE)+VLOOKUP(VLOOKUP(L$1,main!$A$3:$H$102,7,FALSE),main!$K$19:$O$22,MATCH(VLOOKUP($A26,main!$A$3:$H$102,8,FALSE),main!$K$18:$O$18,0))))),1,0)</f>
        <v>1</v>
      </c>
      <c r="M26">
        <f>IF((AND(VLOOKUP(M$1,main!$A$3:$H$102,5,FALSE)-VLOOKUP($A26,main!$A$3:$H$102,6,FALSE)&gt;=(VLOOKUP(VLOOKUP(M$1,main!$A$3:$H$102,8,FALSE),main!$K$26:$M$29,2,FALSE)+VLOOKUP(VLOOKUP(M$1,main!$A$3:$H$102,7,FALSE),main!$K$19:$O$22,MATCH(VLOOKUP($A26,main!$A$3:$H$102,8,FALSE),main!$K$18:$O$18,0))))),1,0)</f>
        <v>0</v>
      </c>
      <c r="N26">
        <f>IF((AND(VLOOKUP(N$1,main!$A$3:$H$102,5,FALSE)-VLOOKUP($A26,main!$A$3:$H$102,6,FALSE)&gt;=(VLOOKUP(VLOOKUP(N$1,main!$A$3:$H$102,8,FALSE),main!$K$26:$M$29,2,FALSE)+VLOOKUP(VLOOKUP(N$1,main!$A$3:$H$102,7,FALSE),main!$K$19:$O$22,MATCH(VLOOKUP($A26,main!$A$3:$H$102,8,FALSE),main!$K$18:$O$18,0))))),1,0)</f>
        <v>0</v>
      </c>
      <c r="O26">
        <f>IF((AND(VLOOKUP(O$1,main!$A$3:$H$102,5,FALSE)-VLOOKUP($A26,main!$A$3:$H$102,6,FALSE)&gt;=(VLOOKUP(VLOOKUP(O$1,main!$A$3:$H$102,8,FALSE),main!$K$26:$M$29,2,FALSE)+VLOOKUP(VLOOKUP(O$1,main!$A$3:$H$102,7,FALSE),main!$K$19:$O$22,MATCH(VLOOKUP($A26,main!$A$3:$H$102,8,FALSE),main!$K$18:$O$18,0))))),1,0)</f>
        <v>0</v>
      </c>
      <c r="P26">
        <f>IF((AND(VLOOKUP(P$1,main!$A$3:$H$102,5,FALSE)-VLOOKUP($A26,main!$A$3:$H$102,6,FALSE)&gt;=(VLOOKUP(VLOOKUP(P$1,main!$A$3:$H$102,8,FALSE),main!$K$26:$M$29,2,FALSE)+VLOOKUP(VLOOKUP(P$1,main!$A$3:$H$102,7,FALSE),main!$K$19:$O$22,MATCH(VLOOKUP($A26,main!$A$3:$H$102,8,FALSE),main!$K$18:$O$18,0))))),1,0)</f>
        <v>0</v>
      </c>
      <c r="Q26">
        <f>IF((AND(VLOOKUP(Q$1,main!$A$3:$H$102,5,FALSE)-VLOOKUP($A26,main!$A$3:$H$102,6,FALSE)&gt;=(VLOOKUP(VLOOKUP(Q$1,main!$A$3:$H$102,8,FALSE),main!$K$26:$M$29,2,FALSE)+VLOOKUP(VLOOKUP(Q$1,main!$A$3:$H$102,7,FALSE),main!$K$19:$O$22,MATCH(VLOOKUP($A26,main!$A$3:$H$102,8,FALSE),main!$K$18:$O$18,0))))),1,0)</f>
        <v>0</v>
      </c>
      <c r="R26">
        <f>IF((AND(VLOOKUP(R$1,main!$A$3:$H$102,5,FALSE)-VLOOKUP($A26,main!$A$3:$H$102,6,FALSE)&gt;=(VLOOKUP(VLOOKUP(R$1,main!$A$3:$H$102,8,FALSE),main!$K$26:$M$29,2,FALSE)+VLOOKUP(VLOOKUP(R$1,main!$A$3:$H$102,7,FALSE),main!$K$19:$O$22,MATCH(VLOOKUP($A26,main!$A$3:$H$102,8,FALSE),main!$K$18:$O$18,0))))),1,0)</f>
        <v>0</v>
      </c>
      <c r="S26">
        <f>IF((AND(VLOOKUP(S$1,main!$A$3:$H$102,5,FALSE)-VLOOKUP($A26,main!$A$3:$H$102,6,FALSE)&gt;=(VLOOKUP(VLOOKUP(S$1,main!$A$3:$H$102,8,FALSE),main!$K$26:$M$29,2,FALSE)+VLOOKUP(VLOOKUP(S$1,main!$A$3:$H$102,7,FALSE),main!$K$19:$O$22,MATCH(VLOOKUP($A26,main!$A$3:$H$102,8,FALSE),main!$K$18:$O$18,0))))),1,0)</f>
        <v>0</v>
      </c>
      <c r="T26">
        <f>IF((AND(VLOOKUP(T$1,main!$A$3:$H$102,5,FALSE)-VLOOKUP($A26,main!$A$3:$H$102,6,FALSE)&gt;=(VLOOKUP(VLOOKUP(T$1,main!$A$3:$H$102,8,FALSE),main!$K$26:$M$29,2,FALSE)+VLOOKUP(VLOOKUP(T$1,main!$A$3:$H$102,7,FALSE),main!$K$19:$O$22,MATCH(VLOOKUP($A26,main!$A$3:$H$102,8,FALSE),main!$K$18:$O$18,0))))),1,0)</f>
        <v>0</v>
      </c>
      <c r="U26">
        <f>IF((AND(VLOOKUP(U$1,main!$A$3:$H$102,5,FALSE)-VLOOKUP($A26,main!$A$3:$H$102,6,FALSE)&gt;=(VLOOKUP(VLOOKUP(U$1,main!$A$3:$H$102,8,FALSE),main!$K$26:$M$29,2,FALSE)+VLOOKUP(VLOOKUP(U$1,main!$A$3:$H$102,7,FALSE),main!$K$19:$O$22,MATCH(VLOOKUP($A26,main!$A$3:$H$102,8,FALSE),main!$K$18:$O$18,0))))),1,0)</f>
        <v>0</v>
      </c>
      <c r="V26">
        <f>IF((AND(VLOOKUP(V$1,main!$A$3:$H$102,5,FALSE)-VLOOKUP($A26,main!$A$3:$H$102,6,FALSE)&gt;=(VLOOKUP(VLOOKUP(V$1,main!$A$3:$H$102,8,FALSE),main!$K$26:$M$29,2,FALSE)+VLOOKUP(VLOOKUP(V$1,main!$A$3:$H$102,7,FALSE),main!$K$19:$O$22,MATCH(VLOOKUP($A26,main!$A$3:$H$102,8,FALSE),main!$K$18:$O$18,0))))),1,0)</f>
        <v>1</v>
      </c>
      <c r="W26">
        <f>IF((AND(VLOOKUP(W$1,main!$A$3:$H$102,5,FALSE)-VLOOKUP($A26,main!$A$3:$H$102,6,FALSE)&gt;=(VLOOKUP(VLOOKUP(W$1,main!$A$3:$H$102,8,FALSE),main!$K$26:$M$29,2,FALSE)+VLOOKUP(VLOOKUP(W$1,main!$A$3:$H$102,7,FALSE),main!$K$19:$O$22,MATCH(VLOOKUP($A26,main!$A$3:$H$102,8,FALSE),main!$K$18:$O$18,0))))),1,0)</f>
        <v>0</v>
      </c>
      <c r="X26">
        <f>IF((AND(VLOOKUP(X$1,main!$A$3:$H$102,5,FALSE)-VLOOKUP($A26,main!$A$3:$H$102,6,FALSE)&gt;=(VLOOKUP(VLOOKUP(X$1,main!$A$3:$H$102,8,FALSE),main!$K$26:$M$29,2,FALSE)+VLOOKUP(VLOOKUP(X$1,main!$A$3:$H$102,7,FALSE),main!$K$19:$O$22,MATCH(VLOOKUP($A26,main!$A$3:$H$102,8,FALSE),main!$K$18:$O$18,0))))),1,0)</f>
        <v>0</v>
      </c>
      <c r="Y26">
        <f>IF((AND(VLOOKUP(Y$1,main!$A$3:$H$102,5,FALSE)-VLOOKUP($A26,main!$A$3:$H$102,6,FALSE)&gt;=(VLOOKUP(VLOOKUP(Y$1,main!$A$3:$H$102,8,FALSE),main!$K$26:$M$29,2,FALSE)+VLOOKUP(VLOOKUP(Y$1,main!$A$3:$H$102,7,FALSE),main!$K$19:$O$22,MATCH(VLOOKUP($A26,main!$A$3:$H$102,8,FALSE),main!$K$18:$O$18,0))))),1,0)</f>
        <v>0</v>
      </c>
      <c r="Z26">
        <f>IF((AND(VLOOKUP(Z$1,main!$A$3:$H$102,5,FALSE)-VLOOKUP($A26,main!$A$3:$H$102,6,FALSE)&gt;=(VLOOKUP(VLOOKUP(Z$1,main!$A$3:$H$102,8,FALSE),main!$K$26:$M$29,2,FALSE)+VLOOKUP(VLOOKUP(Z$1,main!$A$3:$H$102,7,FALSE),main!$K$19:$O$22,MATCH(VLOOKUP($A26,main!$A$3:$H$102,8,FALSE),main!$K$18:$O$18,0))))),1,0)</f>
        <v>0</v>
      </c>
      <c r="AA26">
        <f>IF((AND(VLOOKUP(AA$1,main!$A$3:$H$102,5,FALSE)-VLOOKUP($A26,main!$A$3:$H$102,6,FALSE)&gt;=(VLOOKUP(VLOOKUP(AA$1,main!$A$3:$H$102,8,FALSE),main!$K$26:$M$29,2,FALSE)+VLOOKUP(VLOOKUP(AA$1,main!$A$3:$H$102,7,FALSE),main!$K$19:$O$22,MATCH(VLOOKUP($A26,main!$A$3:$H$102,8,FALSE),main!$K$18:$O$18,0))))),1,0)</f>
        <v>0</v>
      </c>
      <c r="AB26">
        <f>IF((AND(VLOOKUP(AB$1,main!$A$3:$H$102,5,FALSE)-VLOOKUP($A26,main!$A$3:$H$102,6,FALSE)&gt;=(VLOOKUP(VLOOKUP(AB$1,main!$A$3:$H$102,8,FALSE),main!$K$26:$M$29,2,FALSE)+VLOOKUP(VLOOKUP(AB$1,main!$A$3:$H$102,7,FALSE),main!$K$19:$O$22,MATCH(VLOOKUP($A26,main!$A$3:$H$102,8,FALSE),main!$K$18:$O$18,0))))),1,0)</f>
        <v>0</v>
      </c>
      <c r="AC26">
        <f>IF((AND(VLOOKUP(AC$1,main!$A$3:$H$102,5,FALSE)-VLOOKUP($A26,main!$A$3:$H$102,6,FALSE)&gt;=(VLOOKUP(VLOOKUP(AC$1,main!$A$3:$H$102,8,FALSE),main!$K$26:$M$29,2,FALSE)+VLOOKUP(VLOOKUP(AC$1,main!$A$3:$H$102,7,FALSE),main!$K$19:$O$22,MATCH(VLOOKUP($A26,main!$A$3:$H$102,8,FALSE),main!$K$18:$O$18,0))))),1,0)</f>
        <v>0</v>
      </c>
      <c r="AD26">
        <f>IF((AND(VLOOKUP(AD$1,main!$A$3:$H$102,5,FALSE)-VLOOKUP($A26,main!$A$3:$H$102,6,FALSE)&gt;=(VLOOKUP(VLOOKUP(AD$1,main!$A$3:$H$102,8,FALSE),main!$K$26:$M$29,2,FALSE)+VLOOKUP(VLOOKUP(AD$1,main!$A$3:$H$102,7,FALSE),main!$K$19:$O$22,MATCH(VLOOKUP($A26,main!$A$3:$H$102,8,FALSE),main!$K$18:$O$18,0))))),1,0)</f>
        <v>0</v>
      </c>
      <c r="AE26">
        <f>IF((AND(VLOOKUP(AE$1,main!$A$3:$H$102,5,FALSE)-VLOOKUP($A26,main!$A$3:$H$102,6,FALSE)&gt;=(VLOOKUP(VLOOKUP(AE$1,main!$A$3:$H$102,8,FALSE),main!$K$26:$M$29,2,FALSE)+VLOOKUP(VLOOKUP(AE$1,main!$A$3:$H$102,7,FALSE),main!$K$19:$O$22,MATCH(VLOOKUP($A26,main!$A$3:$H$102,8,FALSE),main!$K$18:$O$18,0))))),1,0)</f>
        <v>0</v>
      </c>
      <c r="AF26">
        <f>IF((AND(VLOOKUP(AF$1,main!$A$3:$H$102,5,FALSE)-VLOOKUP($A26,main!$A$3:$H$102,6,FALSE)&gt;=(VLOOKUP(VLOOKUP(AF$1,main!$A$3:$H$102,8,FALSE),main!$K$26:$M$29,2,FALSE)+VLOOKUP(VLOOKUP(AF$1,main!$A$3:$H$102,7,FALSE),main!$K$19:$O$22,MATCH(VLOOKUP($A26,main!$A$3:$H$102,8,FALSE),main!$K$18:$O$18,0))))),1,0)</f>
        <v>0</v>
      </c>
      <c r="AG26">
        <f>IF((AND(VLOOKUP(AG$1,main!$A$3:$H$102,5,FALSE)-VLOOKUP($A26,main!$A$3:$H$102,6,FALSE)&gt;=(VLOOKUP(VLOOKUP(AG$1,main!$A$3:$H$102,8,FALSE),main!$K$26:$M$29,2,FALSE)+VLOOKUP(VLOOKUP(AG$1,main!$A$3:$H$102,7,FALSE),main!$K$19:$O$22,MATCH(VLOOKUP($A26,main!$A$3:$H$102,8,FALSE),main!$K$18:$O$18,0))))),1,0)</f>
        <v>0</v>
      </c>
      <c r="AH26">
        <f>IF((AND(VLOOKUP(AH$1,main!$A$3:$H$102,5,FALSE)-VLOOKUP($A26,main!$A$3:$H$102,6,FALSE)&gt;=(VLOOKUP(VLOOKUP(AH$1,main!$A$3:$H$102,8,FALSE),main!$K$26:$M$29,2,FALSE)+VLOOKUP(VLOOKUP(AH$1,main!$A$3:$H$102,7,FALSE),main!$K$19:$O$22,MATCH(VLOOKUP($A26,main!$A$3:$H$102,8,FALSE),main!$K$18:$O$18,0))))),1,0)</f>
        <v>0</v>
      </c>
      <c r="AI26">
        <f>IF((AND(VLOOKUP(AI$1,main!$A$3:$H$102,5,FALSE)-VLOOKUP($A26,main!$A$3:$H$102,6,FALSE)&gt;=(VLOOKUP(VLOOKUP(AI$1,main!$A$3:$H$102,8,FALSE),main!$K$26:$M$29,2,FALSE)+VLOOKUP(VLOOKUP(AI$1,main!$A$3:$H$102,7,FALSE),main!$K$19:$O$22,MATCH(VLOOKUP($A26,main!$A$3:$H$102,8,FALSE),main!$K$18:$O$18,0))))),1,0)</f>
        <v>0</v>
      </c>
      <c r="AJ26">
        <f>IF((AND(VLOOKUP(AJ$1,main!$A$3:$H$102,5,FALSE)-VLOOKUP($A26,main!$A$3:$H$102,6,FALSE)&gt;=(VLOOKUP(VLOOKUP(AJ$1,main!$A$3:$H$102,8,FALSE),main!$K$26:$M$29,2,FALSE)+VLOOKUP(VLOOKUP(AJ$1,main!$A$3:$H$102,7,FALSE),main!$K$19:$O$22,MATCH(VLOOKUP($A26,main!$A$3:$H$102,8,FALSE),main!$K$18:$O$18,0))))),1,0)</f>
        <v>0</v>
      </c>
      <c r="AK26">
        <f>IF((AND(VLOOKUP(AK$1,main!$A$3:$H$102,5,FALSE)-VLOOKUP($A26,main!$A$3:$H$102,6,FALSE)&gt;=(VLOOKUP(VLOOKUP(AK$1,main!$A$3:$H$102,8,FALSE),main!$K$26:$M$29,2,FALSE)+VLOOKUP(VLOOKUP(AK$1,main!$A$3:$H$102,7,FALSE),main!$K$19:$O$22,MATCH(VLOOKUP($A26,main!$A$3:$H$102,8,FALSE),main!$K$18:$O$18,0))))),1,0)</f>
        <v>0</v>
      </c>
      <c r="AL26">
        <f>IF((AND(VLOOKUP(AL$1,main!$A$3:$H$102,5,FALSE)-VLOOKUP($A26,main!$A$3:$H$102,6,FALSE)&gt;=(VLOOKUP(VLOOKUP(AL$1,main!$A$3:$H$102,8,FALSE),main!$K$26:$M$29,2,FALSE)+VLOOKUP(VLOOKUP(AL$1,main!$A$3:$H$102,7,FALSE),main!$K$19:$O$22,MATCH(VLOOKUP($A26,main!$A$3:$H$102,8,FALSE),main!$K$18:$O$18,0))))),1,0)</f>
        <v>0</v>
      </c>
      <c r="AM26">
        <f>IF((AND(VLOOKUP(AM$1,main!$A$3:$H$102,5,FALSE)-VLOOKUP($A26,main!$A$3:$H$102,6,FALSE)&gt;=(VLOOKUP(VLOOKUP(AM$1,main!$A$3:$H$102,8,FALSE),main!$K$26:$M$29,2,FALSE)+VLOOKUP(VLOOKUP(AM$1,main!$A$3:$H$102,7,FALSE),main!$K$19:$O$22,MATCH(VLOOKUP($A26,main!$A$3:$H$102,8,FALSE),main!$K$18:$O$18,0))))),1,0)</f>
        <v>0</v>
      </c>
      <c r="AN26">
        <f>IF((AND(VLOOKUP(AN$1,main!$A$3:$H$102,5,FALSE)-VLOOKUP($A26,main!$A$3:$H$102,6,FALSE)&gt;=(VLOOKUP(VLOOKUP(AN$1,main!$A$3:$H$102,8,FALSE),main!$K$26:$M$29,2,FALSE)+VLOOKUP(VLOOKUP(AN$1,main!$A$3:$H$102,7,FALSE),main!$K$19:$O$22,MATCH(VLOOKUP($A26,main!$A$3:$H$102,8,FALSE),main!$K$18:$O$18,0))))),1,0)</f>
        <v>0</v>
      </c>
      <c r="AO26">
        <f>IF((AND(VLOOKUP(AO$1,main!$A$3:$H$102,5,FALSE)-VLOOKUP($A26,main!$A$3:$H$102,6,FALSE)&gt;=(VLOOKUP(VLOOKUP(AO$1,main!$A$3:$H$102,8,FALSE),main!$K$26:$M$29,2,FALSE)+VLOOKUP(VLOOKUP(AO$1,main!$A$3:$H$102,7,FALSE),main!$K$19:$O$22,MATCH(VLOOKUP($A26,main!$A$3:$H$102,8,FALSE),main!$K$18:$O$18,0))))),1,0)</f>
        <v>0</v>
      </c>
      <c r="AP26">
        <f>IF((AND(VLOOKUP(AP$1,main!$A$3:$H$102,5,FALSE)-VLOOKUP($A26,main!$A$3:$H$102,6,FALSE)&gt;=(VLOOKUP(VLOOKUP(AP$1,main!$A$3:$H$102,8,FALSE),main!$K$26:$M$29,2,FALSE)+VLOOKUP(VLOOKUP(AP$1,main!$A$3:$H$102,7,FALSE),main!$K$19:$O$22,MATCH(VLOOKUP($A26,main!$A$3:$H$102,8,FALSE),main!$K$18:$O$18,0))))),1,0)</f>
        <v>1</v>
      </c>
      <c r="AQ26">
        <f>IF((AND(VLOOKUP(AQ$1,main!$A$3:$H$102,5,FALSE)-VLOOKUP($A26,main!$A$3:$H$102,6,FALSE)&gt;=(VLOOKUP(VLOOKUP(AQ$1,main!$A$3:$H$102,8,FALSE),main!$K$26:$M$29,2,FALSE)+VLOOKUP(VLOOKUP(AQ$1,main!$A$3:$H$102,7,FALSE),main!$K$19:$O$22,MATCH(VLOOKUP($A26,main!$A$3:$H$102,8,FALSE),main!$K$18:$O$18,0))))),1,0)</f>
        <v>0</v>
      </c>
      <c r="AR26">
        <f>IF((AND(VLOOKUP(AR$1,main!$A$3:$H$102,5,FALSE)-VLOOKUP($A26,main!$A$3:$H$102,6,FALSE)&gt;=(VLOOKUP(VLOOKUP(AR$1,main!$A$3:$H$102,8,FALSE),main!$K$26:$M$29,2,FALSE)+VLOOKUP(VLOOKUP(AR$1,main!$A$3:$H$102,7,FALSE),main!$K$19:$O$22,MATCH(VLOOKUP($A26,main!$A$3:$H$102,8,FALSE),main!$K$18:$O$18,0))))),1,0)</f>
        <v>0</v>
      </c>
      <c r="AS26">
        <f>IF((AND(VLOOKUP(AS$1,main!$A$3:$H$102,5,FALSE)-VLOOKUP($A26,main!$A$3:$H$102,6,FALSE)&gt;=(VLOOKUP(VLOOKUP(AS$1,main!$A$3:$H$102,8,FALSE),main!$K$26:$M$29,2,FALSE)+VLOOKUP(VLOOKUP(AS$1,main!$A$3:$H$102,7,FALSE),main!$K$19:$O$22,MATCH(VLOOKUP($A26,main!$A$3:$H$102,8,FALSE),main!$K$18:$O$18,0))))),1,0)</f>
        <v>0</v>
      </c>
      <c r="AT26">
        <f>IF((AND(VLOOKUP(AT$1,main!$A$3:$H$102,5,FALSE)-VLOOKUP($A26,main!$A$3:$H$102,6,FALSE)&gt;=(VLOOKUP(VLOOKUP(AT$1,main!$A$3:$H$102,8,FALSE),main!$K$26:$M$29,2,FALSE)+VLOOKUP(VLOOKUP(AT$1,main!$A$3:$H$102,7,FALSE),main!$K$19:$O$22,MATCH(VLOOKUP($A26,main!$A$3:$H$102,8,FALSE),main!$K$18:$O$18,0))))),1,0)</f>
        <v>0</v>
      </c>
      <c r="AU26">
        <f>IF((AND(VLOOKUP(AU$1,main!$A$3:$H$102,5,FALSE)-VLOOKUP($A26,main!$A$3:$H$102,6,FALSE)&gt;=(VLOOKUP(VLOOKUP(AU$1,main!$A$3:$H$102,8,FALSE),main!$K$26:$M$29,2,FALSE)+VLOOKUP(VLOOKUP(AU$1,main!$A$3:$H$102,7,FALSE),main!$K$19:$O$22,MATCH(VLOOKUP($A26,main!$A$3:$H$102,8,FALSE),main!$K$18:$O$18,0))))),1,0)</f>
        <v>0</v>
      </c>
      <c r="AV26">
        <f>IF((AND(VLOOKUP(AV$1,main!$A$3:$H$102,5,FALSE)-VLOOKUP($A26,main!$A$3:$H$102,6,FALSE)&gt;=(VLOOKUP(VLOOKUP(AV$1,main!$A$3:$H$102,8,FALSE),main!$K$26:$M$29,2,FALSE)+VLOOKUP(VLOOKUP(AV$1,main!$A$3:$H$102,7,FALSE),main!$K$19:$O$22,MATCH(VLOOKUP($A26,main!$A$3:$H$102,8,FALSE),main!$K$18:$O$18,0))))),1,0)</f>
        <v>0</v>
      </c>
      <c r="AW26">
        <f>IF((AND(VLOOKUP(AW$1,main!$A$3:$H$102,5,FALSE)-VLOOKUP($A26,main!$A$3:$H$102,6,FALSE)&gt;=(VLOOKUP(VLOOKUP(AW$1,main!$A$3:$H$102,8,FALSE),main!$K$26:$M$29,2,FALSE)+VLOOKUP(VLOOKUP(AW$1,main!$A$3:$H$102,7,FALSE),main!$K$19:$O$22,MATCH(VLOOKUP($A26,main!$A$3:$H$102,8,FALSE),main!$K$18:$O$18,0))))),1,0)</f>
        <v>0</v>
      </c>
      <c r="AX26">
        <f>IF((AND(VLOOKUP(AX$1,main!$A$3:$H$102,5,FALSE)-VLOOKUP($A26,main!$A$3:$H$102,6,FALSE)&gt;=(VLOOKUP(VLOOKUP(AX$1,main!$A$3:$H$102,8,FALSE),main!$K$26:$M$29,2,FALSE)+VLOOKUP(VLOOKUP(AX$1,main!$A$3:$H$102,7,FALSE),main!$K$19:$O$22,MATCH(VLOOKUP($A26,main!$A$3:$H$102,8,FALSE),main!$K$18:$O$18,0))))),1,0)</f>
        <v>0</v>
      </c>
      <c r="AY26">
        <f>IF((AND(VLOOKUP(AY$1,main!$A$3:$H$102,5,FALSE)-VLOOKUP($A26,main!$A$3:$H$102,6,FALSE)&gt;=(VLOOKUP(VLOOKUP(AY$1,main!$A$3:$H$102,8,FALSE),main!$K$26:$M$29,2,FALSE)+VLOOKUP(VLOOKUP(AY$1,main!$A$3:$H$102,7,FALSE),main!$K$19:$O$22,MATCH(VLOOKUP($A26,main!$A$3:$H$102,8,FALSE),main!$K$18:$O$18,0))))),1,0)</f>
        <v>0</v>
      </c>
      <c r="AZ26">
        <f>IF((AND(VLOOKUP(AZ$1,main!$A$3:$H$102,5,FALSE)-VLOOKUP($A26,main!$A$3:$H$102,6,FALSE)&gt;=(VLOOKUP(VLOOKUP(AZ$1,main!$A$3:$H$102,8,FALSE),main!$K$26:$M$29,2,FALSE)+VLOOKUP(VLOOKUP(AZ$1,main!$A$3:$H$102,7,FALSE),main!$K$19:$O$22,MATCH(VLOOKUP($A26,main!$A$3:$H$102,8,FALSE),main!$K$18:$O$18,0))))),1,0)</f>
        <v>0</v>
      </c>
      <c r="BA26">
        <f>IF((AND(VLOOKUP(BA$1,main!$A$3:$H$102,5,FALSE)-VLOOKUP($A26,main!$A$3:$H$102,6,FALSE)&gt;=(VLOOKUP(VLOOKUP(BA$1,main!$A$3:$H$102,8,FALSE),main!$K$26:$M$29,2,FALSE)+VLOOKUP(VLOOKUP(BA$1,main!$A$3:$H$102,7,FALSE),main!$K$19:$O$22,MATCH(VLOOKUP($A26,main!$A$3:$H$102,8,FALSE),main!$K$18:$O$18,0))))),1,0)</f>
        <v>0</v>
      </c>
      <c r="BB26">
        <f>IF((AND(VLOOKUP(BB$1,main!$A$3:$H$102,5,FALSE)-VLOOKUP($A26,main!$A$3:$H$102,6,FALSE)&gt;=(VLOOKUP(VLOOKUP(BB$1,main!$A$3:$H$102,8,FALSE),main!$K$26:$M$29,2,FALSE)+VLOOKUP(VLOOKUP(BB$1,main!$A$3:$H$102,7,FALSE),main!$K$19:$O$22,MATCH(VLOOKUP($A26,main!$A$3:$H$102,8,FALSE),main!$K$18:$O$18,0))))),1,0)</f>
        <v>0</v>
      </c>
      <c r="BC26">
        <f>IF((AND(VLOOKUP(BC$1,main!$A$3:$H$102,5,FALSE)-VLOOKUP($A26,main!$A$3:$H$102,6,FALSE)&gt;=(VLOOKUP(VLOOKUP(BC$1,main!$A$3:$H$102,8,FALSE),main!$K$26:$M$29,2,FALSE)+VLOOKUP(VLOOKUP(BC$1,main!$A$3:$H$102,7,FALSE),main!$K$19:$O$22,MATCH(VLOOKUP($A26,main!$A$3:$H$102,8,FALSE),main!$K$18:$O$18,0))))),1,0)</f>
        <v>0</v>
      </c>
      <c r="BD26">
        <f>IF((AND(VLOOKUP(BD$1,main!$A$3:$H$102,5,FALSE)-VLOOKUP($A26,main!$A$3:$H$102,6,FALSE)&gt;=(VLOOKUP(VLOOKUP(BD$1,main!$A$3:$H$102,8,FALSE),main!$K$26:$M$29,2,FALSE)+VLOOKUP(VLOOKUP(BD$1,main!$A$3:$H$102,7,FALSE),main!$K$19:$O$22,MATCH(VLOOKUP($A26,main!$A$3:$H$102,8,FALSE),main!$K$18:$O$18,0))))),1,0)</f>
        <v>0</v>
      </c>
      <c r="BE26">
        <f>IF((AND(VLOOKUP(BE$1,main!$A$3:$H$102,5,FALSE)-VLOOKUP($A26,main!$A$3:$H$102,6,FALSE)&gt;=(VLOOKUP(VLOOKUP(BE$1,main!$A$3:$H$102,8,FALSE),main!$K$26:$M$29,2,FALSE)+VLOOKUP(VLOOKUP(BE$1,main!$A$3:$H$102,7,FALSE),main!$K$19:$O$22,MATCH(VLOOKUP($A26,main!$A$3:$H$102,8,FALSE),main!$K$18:$O$18,0))))),1,0)</f>
        <v>0</v>
      </c>
      <c r="BF26">
        <f>IF((AND(VLOOKUP(BF$1,main!$A$3:$H$102,5,FALSE)-VLOOKUP($A26,main!$A$3:$H$102,6,FALSE)&gt;=(VLOOKUP(VLOOKUP(BF$1,main!$A$3:$H$102,8,FALSE),main!$K$26:$M$29,2,FALSE)+VLOOKUP(VLOOKUP(BF$1,main!$A$3:$H$102,7,FALSE),main!$K$19:$O$22,MATCH(VLOOKUP($A26,main!$A$3:$H$102,8,FALSE),main!$K$18:$O$18,0))))),1,0)</f>
        <v>0</v>
      </c>
      <c r="BG26">
        <f>IF((AND(VLOOKUP(BG$1,main!$A$3:$H$102,5,FALSE)-VLOOKUP($A26,main!$A$3:$H$102,6,FALSE)&gt;=(VLOOKUP(VLOOKUP(BG$1,main!$A$3:$H$102,8,FALSE),main!$K$26:$M$29,2,FALSE)+VLOOKUP(VLOOKUP(BG$1,main!$A$3:$H$102,7,FALSE),main!$K$19:$O$22,MATCH(VLOOKUP($A26,main!$A$3:$H$102,8,FALSE),main!$K$18:$O$18,0))))),1,0)</f>
        <v>0</v>
      </c>
      <c r="BH26">
        <f>IF((AND(VLOOKUP(BH$1,main!$A$3:$H$102,5,FALSE)-VLOOKUP($A26,main!$A$3:$H$102,6,FALSE)&gt;=(VLOOKUP(VLOOKUP(BH$1,main!$A$3:$H$102,8,FALSE),main!$K$26:$M$29,2,FALSE)+VLOOKUP(VLOOKUP(BH$1,main!$A$3:$H$102,7,FALSE),main!$K$19:$O$22,MATCH(VLOOKUP($A26,main!$A$3:$H$102,8,FALSE),main!$K$18:$O$18,0))))),1,0)</f>
        <v>0</v>
      </c>
      <c r="BI26">
        <f>IF((AND(VLOOKUP(BI$1,main!$A$3:$H$102,5,FALSE)-VLOOKUP($A26,main!$A$3:$H$102,6,FALSE)&gt;=(VLOOKUP(VLOOKUP(BI$1,main!$A$3:$H$102,8,FALSE),main!$K$26:$M$29,2,FALSE)+VLOOKUP(VLOOKUP(BI$1,main!$A$3:$H$102,7,FALSE),main!$K$19:$O$22,MATCH(VLOOKUP($A26,main!$A$3:$H$102,8,FALSE),main!$K$18:$O$18,0))))),1,0)</f>
        <v>1</v>
      </c>
      <c r="BJ26">
        <f>IF((AND(VLOOKUP(BJ$1,main!$A$3:$H$102,5,FALSE)-VLOOKUP($A26,main!$A$3:$H$102,6,FALSE)&gt;=(VLOOKUP(VLOOKUP(BJ$1,main!$A$3:$H$102,8,FALSE),main!$K$26:$M$29,2,FALSE)+VLOOKUP(VLOOKUP(BJ$1,main!$A$3:$H$102,7,FALSE),main!$K$19:$O$22,MATCH(VLOOKUP($A26,main!$A$3:$H$102,8,FALSE),main!$K$18:$O$18,0))))),1,0)</f>
        <v>0</v>
      </c>
      <c r="BK26">
        <f>IF((AND(VLOOKUP(BK$1,main!$A$3:$H$102,5,FALSE)-VLOOKUP($A26,main!$A$3:$H$102,6,FALSE)&gt;=(VLOOKUP(VLOOKUP(BK$1,main!$A$3:$H$102,8,FALSE),main!$K$26:$M$29,2,FALSE)+VLOOKUP(VLOOKUP(BK$1,main!$A$3:$H$102,7,FALSE),main!$K$19:$O$22,MATCH(VLOOKUP($A26,main!$A$3:$H$102,8,FALSE),main!$K$18:$O$18,0))))),1,0)</f>
        <v>0</v>
      </c>
      <c r="BL26">
        <f>IF((AND(VLOOKUP(BL$1,main!$A$3:$H$102,5,FALSE)-VLOOKUP($A26,main!$A$3:$H$102,6,FALSE)&gt;=(VLOOKUP(VLOOKUP(BL$1,main!$A$3:$H$102,8,FALSE),main!$K$26:$M$29,2,FALSE)+VLOOKUP(VLOOKUP(BL$1,main!$A$3:$H$102,7,FALSE),main!$K$19:$O$22,MATCH(VLOOKUP($A26,main!$A$3:$H$102,8,FALSE),main!$K$18:$O$18,0))))),1,0)</f>
        <v>0</v>
      </c>
      <c r="BM26">
        <f>IF((AND(VLOOKUP(BM$1,main!$A$3:$H$102,5,FALSE)-VLOOKUP($A26,main!$A$3:$H$102,6,FALSE)&gt;=(VLOOKUP(VLOOKUP(BM$1,main!$A$3:$H$102,8,FALSE),main!$K$26:$M$29,2,FALSE)+VLOOKUP(VLOOKUP(BM$1,main!$A$3:$H$102,7,FALSE),main!$K$19:$O$22,MATCH(VLOOKUP($A26,main!$A$3:$H$102,8,FALSE),main!$K$18:$O$18,0))))),1,0)</f>
        <v>0</v>
      </c>
      <c r="BN26">
        <f>IF((AND(VLOOKUP(BN$1,main!$A$3:$H$102,5,FALSE)-VLOOKUP($A26,main!$A$3:$H$102,6,FALSE)&gt;=(VLOOKUP(VLOOKUP(BN$1,main!$A$3:$H$102,8,FALSE),main!$K$26:$M$29,2,FALSE)+VLOOKUP(VLOOKUP(BN$1,main!$A$3:$H$102,7,FALSE),main!$K$19:$O$22,MATCH(VLOOKUP($A26,main!$A$3:$H$102,8,FALSE),main!$K$18:$O$18,0))))),1,0)</f>
        <v>0</v>
      </c>
      <c r="BO26">
        <f>IF((AND(VLOOKUP(BO$1,main!$A$3:$H$102,5,FALSE)-VLOOKUP($A26,main!$A$3:$H$102,6,FALSE)&gt;=(VLOOKUP(VLOOKUP(BO$1,main!$A$3:$H$102,8,FALSE),main!$K$26:$M$29,2,FALSE)+VLOOKUP(VLOOKUP(BO$1,main!$A$3:$H$102,7,FALSE),main!$K$19:$O$22,MATCH(VLOOKUP($A26,main!$A$3:$H$102,8,FALSE),main!$K$18:$O$18,0))))),1,0)</f>
        <v>0</v>
      </c>
      <c r="BP26">
        <f>IF((AND(VLOOKUP(BP$1,main!$A$3:$H$102,5,FALSE)-VLOOKUP($A26,main!$A$3:$H$102,6,FALSE)&gt;=(VLOOKUP(VLOOKUP(BP$1,main!$A$3:$H$102,8,FALSE),main!$K$26:$M$29,2,FALSE)+VLOOKUP(VLOOKUP(BP$1,main!$A$3:$H$102,7,FALSE),main!$K$19:$O$22,MATCH(VLOOKUP($A26,main!$A$3:$H$102,8,FALSE),main!$K$18:$O$18,0))))),1,0)</f>
        <v>0</v>
      </c>
      <c r="BQ26">
        <f>IF((AND(VLOOKUP(BQ$1,main!$A$3:$H$102,5,FALSE)-VLOOKUP($A26,main!$A$3:$H$102,6,FALSE)&gt;=(VLOOKUP(VLOOKUP(BQ$1,main!$A$3:$H$102,8,FALSE),main!$K$26:$M$29,2,FALSE)+VLOOKUP(VLOOKUP(BQ$1,main!$A$3:$H$102,7,FALSE),main!$K$19:$O$22,MATCH(VLOOKUP($A26,main!$A$3:$H$102,8,FALSE),main!$K$18:$O$18,0))))),1,0)</f>
        <v>0</v>
      </c>
      <c r="BR26">
        <f>IF((AND(VLOOKUP(BR$1,main!$A$3:$H$102,5,FALSE)-VLOOKUP($A26,main!$A$3:$H$102,6,FALSE)&gt;=(VLOOKUP(VLOOKUP(BR$1,main!$A$3:$H$102,8,FALSE),main!$K$26:$M$29,2,FALSE)+VLOOKUP(VLOOKUP(BR$1,main!$A$3:$H$102,7,FALSE),main!$K$19:$O$22,MATCH(VLOOKUP($A26,main!$A$3:$H$102,8,FALSE),main!$K$18:$O$18,0))))),1,0)</f>
        <v>0</v>
      </c>
      <c r="BS26">
        <f>IF((AND(VLOOKUP(BS$1,main!$A$3:$H$102,5,FALSE)-VLOOKUP($A26,main!$A$3:$H$102,6,FALSE)&gt;=(VLOOKUP(VLOOKUP(BS$1,main!$A$3:$H$102,8,FALSE),main!$K$26:$M$29,2,FALSE)+VLOOKUP(VLOOKUP(BS$1,main!$A$3:$H$102,7,FALSE),main!$K$19:$O$22,MATCH(VLOOKUP($A26,main!$A$3:$H$102,8,FALSE),main!$K$18:$O$18,0))))),1,0)</f>
        <v>0</v>
      </c>
      <c r="BT26">
        <f>IF((AND(VLOOKUP(BT$1,main!$A$3:$H$102,5,FALSE)-VLOOKUP($A26,main!$A$3:$H$102,6,FALSE)&gt;=(VLOOKUP(VLOOKUP(BT$1,main!$A$3:$H$102,8,FALSE),main!$K$26:$M$29,2,FALSE)+VLOOKUP(VLOOKUP(BT$1,main!$A$3:$H$102,7,FALSE),main!$K$19:$O$22,MATCH(VLOOKUP($A26,main!$A$3:$H$102,8,FALSE),main!$K$18:$O$18,0))))),1,0)</f>
        <v>0</v>
      </c>
      <c r="BU26">
        <f>IF((AND(VLOOKUP(BU$1,main!$A$3:$H$102,5,FALSE)-VLOOKUP($A26,main!$A$3:$H$102,6,FALSE)&gt;=(VLOOKUP(VLOOKUP(BU$1,main!$A$3:$H$102,8,FALSE),main!$K$26:$M$29,2,FALSE)+VLOOKUP(VLOOKUP(BU$1,main!$A$3:$H$102,7,FALSE),main!$K$19:$O$22,MATCH(VLOOKUP($A26,main!$A$3:$H$102,8,FALSE),main!$K$18:$O$18,0))))),1,0)</f>
        <v>0</v>
      </c>
      <c r="BV26">
        <f>IF((AND(VLOOKUP(BV$1,main!$A$3:$H$102,5,FALSE)-VLOOKUP($A26,main!$A$3:$H$102,6,FALSE)&gt;=(VLOOKUP(VLOOKUP(BV$1,main!$A$3:$H$102,8,FALSE),main!$K$26:$M$29,2,FALSE)+VLOOKUP(VLOOKUP(BV$1,main!$A$3:$H$102,7,FALSE),main!$K$19:$O$22,MATCH(VLOOKUP($A26,main!$A$3:$H$102,8,FALSE),main!$K$18:$O$18,0))))),1,0)</f>
        <v>0</v>
      </c>
      <c r="BW26">
        <f>IF((AND(VLOOKUP(BW$1,main!$A$3:$H$102,5,FALSE)-VLOOKUP($A26,main!$A$3:$H$102,6,FALSE)&gt;=(VLOOKUP(VLOOKUP(BW$1,main!$A$3:$H$102,8,FALSE),main!$K$26:$M$29,2,FALSE)+VLOOKUP(VLOOKUP(BW$1,main!$A$3:$H$102,7,FALSE),main!$K$19:$O$22,MATCH(VLOOKUP($A26,main!$A$3:$H$102,8,FALSE),main!$K$18:$O$18,0))))),1,0)</f>
        <v>0</v>
      </c>
      <c r="BX26">
        <f>IF((AND(VLOOKUP(BX$1,main!$A$3:$H$102,5,FALSE)-VLOOKUP($A26,main!$A$3:$H$102,6,FALSE)&gt;=(VLOOKUP(VLOOKUP(BX$1,main!$A$3:$H$102,8,FALSE),main!$K$26:$M$29,2,FALSE)+VLOOKUP(VLOOKUP(BX$1,main!$A$3:$H$102,7,FALSE),main!$K$19:$O$22,MATCH(VLOOKUP($A26,main!$A$3:$H$102,8,FALSE),main!$K$18:$O$18,0))))),1,0)</f>
        <v>0</v>
      </c>
      <c r="BY26">
        <f>IF((AND(VLOOKUP(BY$1,main!$A$3:$H$102,5,FALSE)-VLOOKUP($A26,main!$A$3:$H$102,6,FALSE)&gt;=(VLOOKUP(VLOOKUP(BY$1,main!$A$3:$H$102,8,FALSE),main!$K$26:$M$29,2,FALSE)+VLOOKUP(VLOOKUP(BY$1,main!$A$3:$H$102,7,FALSE),main!$K$19:$O$22,MATCH(VLOOKUP($A26,main!$A$3:$H$102,8,FALSE),main!$K$18:$O$18,0))))),1,0)</f>
        <v>0</v>
      </c>
      <c r="BZ26">
        <f>IF((AND(VLOOKUP(BZ$1,main!$A$3:$H$102,5,FALSE)-VLOOKUP($A26,main!$A$3:$H$102,6,FALSE)&gt;=(VLOOKUP(VLOOKUP(BZ$1,main!$A$3:$H$102,8,FALSE),main!$K$26:$M$29,2,FALSE)+VLOOKUP(VLOOKUP(BZ$1,main!$A$3:$H$102,7,FALSE),main!$K$19:$O$22,MATCH(VLOOKUP($A26,main!$A$3:$H$102,8,FALSE),main!$K$18:$O$18,0))))),1,0)</f>
        <v>0</v>
      </c>
      <c r="CA26">
        <f>IF((AND(VLOOKUP(CA$1,main!$A$3:$H$102,5,FALSE)-VLOOKUP($A26,main!$A$3:$H$102,6,FALSE)&gt;=(VLOOKUP(VLOOKUP(CA$1,main!$A$3:$H$102,8,FALSE),main!$K$26:$M$29,2,FALSE)+VLOOKUP(VLOOKUP(CA$1,main!$A$3:$H$102,7,FALSE),main!$K$19:$O$22,MATCH(VLOOKUP($A26,main!$A$3:$H$102,8,FALSE),main!$K$18:$O$18,0))))),1,0)</f>
        <v>0</v>
      </c>
      <c r="CB26">
        <f>IF((AND(VLOOKUP(CB$1,main!$A$3:$H$102,5,FALSE)-VLOOKUP($A26,main!$A$3:$H$102,6,FALSE)&gt;=(VLOOKUP(VLOOKUP(CB$1,main!$A$3:$H$102,8,FALSE),main!$K$26:$M$29,2,FALSE)+VLOOKUP(VLOOKUP(CB$1,main!$A$3:$H$102,7,FALSE),main!$K$19:$O$22,MATCH(VLOOKUP($A26,main!$A$3:$H$102,8,FALSE),main!$K$18:$O$18,0))))),1,0)</f>
        <v>0</v>
      </c>
      <c r="CC26">
        <f>IF((AND(VLOOKUP(CC$1,main!$A$3:$H$102,5,FALSE)-VLOOKUP($A26,main!$A$3:$H$102,6,FALSE)&gt;=(VLOOKUP(VLOOKUP(CC$1,main!$A$3:$H$102,8,FALSE),main!$K$26:$M$29,2,FALSE)+VLOOKUP(VLOOKUP(CC$1,main!$A$3:$H$102,7,FALSE),main!$K$19:$O$22,MATCH(VLOOKUP($A26,main!$A$3:$H$102,8,FALSE),main!$K$18:$O$18,0))))),1,0)</f>
        <v>0</v>
      </c>
      <c r="CD26">
        <f>IF((AND(VLOOKUP(CD$1,main!$A$3:$H$102,5,FALSE)-VLOOKUP($A26,main!$A$3:$H$102,6,FALSE)&gt;=(VLOOKUP(VLOOKUP(CD$1,main!$A$3:$H$102,8,FALSE),main!$K$26:$M$29,2,FALSE)+VLOOKUP(VLOOKUP(CD$1,main!$A$3:$H$102,7,FALSE),main!$K$19:$O$22,MATCH(VLOOKUP($A26,main!$A$3:$H$102,8,FALSE),main!$K$18:$O$18,0))))),1,0)</f>
        <v>0</v>
      </c>
      <c r="CE26">
        <f>IF((AND(VLOOKUP(CE$1,main!$A$3:$H$102,5,FALSE)-VLOOKUP($A26,main!$A$3:$H$102,6,FALSE)&gt;=(VLOOKUP(VLOOKUP(CE$1,main!$A$3:$H$102,8,FALSE),main!$K$26:$M$29,2,FALSE)+VLOOKUP(VLOOKUP(CE$1,main!$A$3:$H$102,7,FALSE),main!$K$19:$O$22,MATCH(VLOOKUP($A26,main!$A$3:$H$102,8,FALSE),main!$K$18:$O$18,0))))),1,0)</f>
        <v>0</v>
      </c>
      <c r="CF26">
        <f>IF((AND(VLOOKUP(CF$1,main!$A$3:$H$102,5,FALSE)-VLOOKUP($A26,main!$A$3:$H$102,6,FALSE)&gt;=(VLOOKUP(VLOOKUP(CF$1,main!$A$3:$H$102,8,FALSE),main!$K$26:$M$29,2,FALSE)+VLOOKUP(VLOOKUP(CF$1,main!$A$3:$H$102,7,FALSE),main!$K$19:$O$22,MATCH(VLOOKUP($A26,main!$A$3:$H$102,8,FALSE),main!$K$18:$O$18,0))))),1,0)</f>
        <v>0</v>
      </c>
      <c r="CG26">
        <f>IF((AND(VLOOKUP(CG$1,main!$A$3:$H$102,5,FALSE)-VLOOKUP($A26,main!$A$3:$H$102,6,FALSE)&gt;=(VLOOKUP(VLOOKUP(CG$1,main!$A$3:$H$102,8,FALSE),main!$K$26:$M$29,2,FALSE)+VLOOKUP(VLOOKUP(CG$1,main!$A$3:$H$102,7,FALSE),main!$K$19:$O$22,MATCH(VLOOKUP($A26,main!$A$3:$H$102,8,FALSE),main!$K$18:$O$18,0))))),1,0)</f>
        <v>0</v>
      </c>
      <c r="CH26">
        <f>IF((AND(VLOOKUP(CH$1,main!$A$3:$H$102,5,FALSE)-VLOOKUP($A26,main!$A$3:$H$102,6,FALSE)&gt;=(VLOOKUP(VLOOKUP(CH$1,main!$A$3:$H$102,8,FALSE),main!$K$26:$M$29,2,FALSE)+VLOOKUP(VLOOKUP(CH$1,main!$A$3:$H$102,7,FALSE),main!$K$19:$O$22,MATCH(VLOOKUP($A26,main!$A$3:$H$102,8,FALSE),main!$K$18:$O$18,0))))),1,0)</f>
        <v>0</v>
      </c>
      <c r="CI26">
        <f>IF((AND(VLOOKUP(CI$1,main!$A$3:$H$102,5,FALSE)-VLOOKUP($A26,main!$A$3:$H$102,6,FALSE)&gt;=(VLOOKUP(VLOOKUP(CI$1,main!$A$3:$H$102,8,FALSE),main!$K$26:$M$29,2,FALSE)+VLOOKUP(VLOOKUP(CI$1,main!$A$3:$H$102,7,FALSE),main!$K$19:$O$22,MATCH(VLOOKUP($A26,main!$A$3:$H$102,8,FALSE),main!$K$18:$O$18,0))))),1,0)</f>
        <v>1</v>
      </c>
      <c r="CJ26">
        <f>IF((AND(VLOOKUP(CJ$1,main!$A$3:$H$102,5,FALSE)-VLOOKUP($A26,main!$A$3:$H$102,6,FALSE)&gt;=(VLOOKUP(VLOOKUP(CJ$1,main!$A$3:$H$102,8,FALSE),main!$K$26:$M$29,2,FALSE)+VLOOKUP(VLOOKUP(CJ$1,main!$A$3:$H$102,7,FALSE),main!$K$19:$O$22,MATCH(VLOOKUP($A26,main!$A$3:$H$102,8,FALSE),main!$K$18:$O$18,0))))),1,0)</f>
        <v>0</v>
      </c>
      <c r="CK26">
        <f>IF((AND(VLOOKUP(CK$1,main!$A$3:$H$102,5,FALSE)-VLOOKUP($A26,main!$A$3:$H$102,6,FALSE)&gt;=(VLOOKUP(VLOOKUP(CK$1,main!$A$3:$H$102,8,FALSE),main!$K$26:$M$29,2,FALSE)+VLOOKUP(VLOOKUP(CK$1,main!$A$3:$H$102,7,FALSE),main!$K$19:$O$22,MATCH(VLOOKUP($A26,main!$A$3:$H$102,8,FALSE),main!$K$18:$O$18,0))))),1,0)</f>
        <v>0</v>
      </c>
      <c r="CL26">
        <f>IF((AND(VLOOKUP(CL$1,main!$A$3:$H$102,5,FALSE)-VLOOKUP($A26,main!$A$3:$H$102,6,FALSE)&gt;=(VLOOKUP(VLOOKUP(CL$1,main!$A$3:$H$102,8,FALSE),main!$K$26:$M$29,2,FALSE)+VLOOKUP(VLOOKUP(CL$1,main!$A$3:$H$102,7,FALSE),main!$K$19:$O$22,MATCH(VLOOKUP($A26,main!$A$3:$H$102,8,FALSE),main!$K$18:$O$18,0))))),1,0)</f>
        <v>0</v>
      </c>
      <c r="CM26">
        <f>IF((AND(VLOOKUP(CM$1,main!$A$3:$H$102,5,FALSE)-VLOOKUP($A26,main!$A$3:$H$102,6,FALSE)&gt;=(VLOOKUP(VLOOKUP(CM$1,main!$A$3:$H$102,8,FALSE),main!$K$26:$M$29,2,FALSE)+VLOOKUP(VLOOKUP(CM$1,main!$A$3:$H$102,7,FALSE),main!$K$19:$O$22,MATCH(VLOOKUP($A26,main!$A$3:$H$102,8,FALSE),main!$K$18:$O$18,0))))),1,0)</f>
        <v>0</v>
      </c>
      <c r="CN26">
        <f>IF((AND(VLOOKUP(CN$1,main!$A$3:$H$102,5,FALSE)-VLOOKUP($A26,main!$A$3:$H$102,6,FALSE)&gt;=(VLOOKUP(VLOOKUP(CN$1,main!$A$3:$H$102,8,FALSE),main!$K$26:$M$29,2,FALSE)+VLOOKUP(VLOOKUP(CN$1,main!$A$3:$H$102,7,FALSE),main!$K$19:$O$22,MATCH(VLOOKUP($A26,main!$A$3:$H$102,8,FALSE),main!$K$18:$O$18,0))))),1,0)</f>
        <v>1</v>
      </c>
      <c r="CO26">
        <f>IF((AND(VLOOKUP(CO$1,main!$A$3:$H$102,5,FALSE)-VLOOKUP($A26,main!$A$3:$H$102,6,FALSE)&gt;=(VLOOKUP(VLOOKUP(CO$1,main!$A$3:$H$102,8,FALSE),main!$K$26:$M$29,2,FALSE)+VLOOKUP(VLOOKUP(CO$1,main!$A$3:$H$102,7,FALSE),main!$K$19:$O$22,MATCH(VLOOKUP($A26,main!$A$3:$H$102,8,FALSE),main!$K$18:$O$18,0))))),1,0)</f>
        <v>0</v>
      </c>
      <c r="CP26">
        <f>IF((AND(VLOOKUP(CP$1,main!$A$3:$H$102,5,FALSE)-VLOOKUP($A26,main!$A$3:$H$102,6,FALSE)&gt;=(VLOOKUP(VLOOKUP(CP$1,main!$A$3:$H$102,8,FALSE),main!$K$26:$M$29,2,FALSE)+VLOOKUP(VLOOKUP(CP$1,main!$A$3:$H$102,7,FALSE),main!$K$19:$O$22,MATCH(VLOOKUP($A26,main!$A$3:$H$102,8,FALSE),main!$K$18:$O$18,0))))),1,0)</f>
        <v>0</v>
      </c>
      <c r="CQ26">
        <f>IF((AND(VLOOKUP(CQ$1,main!$A$3:$H$102,5,FALSE)-VLOOKUP($A26,main!$A$3:$H$102,6,FALSE)&gt;=(VLOOKUP(VLOOKUP(CQ$1,main!$A$3:$H$102,8,FALSE),main!$K$26:$M$29,2,FALSE)+VLOOKUP(VLOOKUP(CQ$1,main!$A$3:$H$102,7,FALSE),main!$K$19:$O$22,MATCH(VLOOKUP($A26,main!$A$3:$H$102,8,FALSE),main!$K$18:$O$18,0))))),1,0)</f>
        <v>0</v>
      </c>
      <c r="CR26">
        <f>IF((AND(VLOOKUP(CR$1,main!$A$3:$H$102,5,FALSE)-VLOOKUP($A26,main!$A$3:$H$102,6,FALSE)&gt;=(VLOOKUP(VLOOKUP(CR$1,main!$A$3:$H$102,8,FALSE),main!$K$26:$M$29,2,FALSE)+VLOOKUP(VLOOKUP(CR$1,main!$A$3:$H$102,7,FALSE),main!$K$19:$O$22,MATCH(VLOOKUP($A26,main!$A$3:$H$102,8,FALSE),main!$K$18:$O$18,0))))),1,0)</f>
        <v>0</v>
      </c>
      <c r="CS26">
        <f>IF((AND(VLOOKUP(CS$1,main!$A$3:$H$102,5,FALSE)-VLOOKUP($A26,main!$A$3:$H$102,6,FALSE)&gt;=(VLOOKUP(VLOOKUP(CS$1,main!$A$3:$H$102,8,FALSE),main!$K$26:$M$29,2,FALSE)+VLOOKUP(VLOOKUP(CS$1,main!$A$3:$H$102,7,FALSE),main!$K$19:$O$22,MATCH(VLOOKUP($A26,main!$A$3:$H$102,8,FALSE),main!$K$18:$O$18,0))))),1,0)</f>
        <v>0</v>
      </c>
      <c r="CT26">
        <f>IF((AND(VLOOKUP(CT$1,main!$A$3:$H$102,5,FALSE)-VLOOKUP($A26,main!$A$3:$H$102,6,FALSE)&gt;=(VLOOKUP(VLOOKUP(CT$1,main!$A$3:$H$102,8,FALSE),main!$K$26:$M$29,2,FALSE)+VLOOKUP(VLOOKUP(CT$1,main!$A$3:$H$102,7,FALSE),main!$K$19:$O$22,MATCH(VLOOKUP($A26,main!$A$3:$H$102,8,FALSE),main!$K$18:$O$18,0))))),1,0)</f>
        <v>0</v>
      </c>
      <c r="CU26">
        <f>IF((AND(VLOOKUP(CU$1,main!$A$3:$H$102,5,FALSE)-VLOOKUP($A26,main!$A$3:$H$102,6,FALSE)&gt;=(VLOOKUP(VLOOKUP(CU$1,main!$A$3:$H$102,8,FALSE),main!$K$26:$M$29,2,FALSE)+VLOOKUP(VLOOKUP(CU$1,main!$A$3:$H$102,7,FALSE),main!$K$19:$O$22,MATCH(VLOOKUP($A26,main!$A$3:$H$102,8,FALSE),main!$K$18:$O$18,0))))),1,0)</f>
        <v>0</v>
      </c>
      <c r="CV26">
        <f>IF((AND(VLOOKUP(CV$1,main!$A$3:$H$102,5,FALSE)-VLOOKUP($A26,main!$A$3:$H$102,6,FALSE)&gt;=(VLOOKUP(VLOOKUP(CV$1,main!$A$3:$H$102,8,FALSE),main!$K$26:$M$29,2,FALSE)+VLOOKUP(VLOOKUP(CV$1,main!$A$3:$H$102,7,FALSE),main!$K$19:$O$22,MATCH(VLOOKUP($A26,main!$A$3:$H$102,8,FALSE),main!$K$18:$O$18,0))))),1,0)</f>
        <v>0</v>
      </c>
      <c r="CW26">
        <f>IF((AND(VLOOKUP(CW$1,main!$A$3:$H$102,5,FALSE)-VLOOKUP($A26,main!$A$3:$H$102,6,FALSE)&gt;=(VLOOKUP(VLOOKUP(CW$1,main!$A$3:$H$102,8,FALSE),main!$K$26:$M$29,2,FALSE)+VLOOKUP(VLOOKUP(CW$1,main!$A$3:$H$102,7,FALSE),main!$K$19:$O$22,MATCH(VLOOKUP($A26,main!$A$3:$H$102,8,FALSE),main!$K$18:$O$18,0))))),1,0)</f>
        <v>0</v>
      </c>
      <c r="CX26">
        <f>IF((AND(VLOOKUP(CX$1,main!$A$3:$H$102,5,FALSE)-VLOOKUP($A26,main!$A$3:$H$102,6,FALSE)&gt;=(VLOOKUP(VLOOKUP(CX$1,main!$A$3:$H$102,8,FALSE),main!$K$26:$M$29,2,FALSE)+VLOOKUP(VLOOKUP(CX$1,main!$A$3:$H$102,7,FALSE),main!$K$19:$O$22,MATCH(VLOOKUP($A26,main!$A$3:$H$102,8,FALSE),main!$K$18:$O$18,0))))),1,0)</f>
        <v>0</v>
      </c>
    </row>
    <row r="27" spans="1:102" x14ac:dyDescent="0.25">
      <c r="A27" s="1">
        <v>25</v>
      </c>
      <c r="B27">
        <v>1</v>
      </c>
      <c r="C27">
        <f>IF((AND(VLOOKUP(C$1,main!$A$3:$H$102,5,FALSE)-VLOOKUP($A27,main!$A$3:$H$102,6,FALSE)&gt;=(VLOOKUP(VLOOKUP(C$1,main!$A$3:$H$102,8,FALSE),main!$K$26:$M$29,2,FALSE)+VLOOKUP(VLOOKUP(C$1,main!$A$3:$H$102,7,FALSE),main!$K$19:$O$22,MATCH(VLOOKUP($A27,main!$A$3:$H$102,8,FALSE),main!$K$18:$O$18,0))))),1,0)</f>
        <v>0</v>
      </c>
      <c r="D27">
        <f>IF((AND(VLOOKUP(D$1,main!$A$3:$H$102,5,FALSE)-VLOOKUP($A27,main!$A$3:$H$102,6,FALSE)&gt;=(VLOOKUP(VLOOKUP(D$1,main!$A$3:$H$102,8,FALSE),main!$K$26:$M$29,2,FALSE)+VLOOKUP(VLOOKUP(D$1,main!$A$3:$H$102,7,FALSE),main!$K$19:$O$22,MATCH(VLOOKUP($A27,main!$A$3:$H$102,8,FALSE),main!$K$18:$O$18,0))))),1,0)</f>
        <v>0</v>
      </c>
      <c r="E27">
        <f>IF((AND(VLOOKUP(E$1,main!$A$3:$H$102,5,FALSE)-VLOOKUP($A27,main!$A$3:$H$102,6,FALSE)&gt;=(VLOOKUP(VLOOKUP(E$1,main!$A$3:$H$102,8,FALSE),main!$K$26:$M$29,2,FALSE)+VLOOKUP(VLOOKUP(E$1,main!$A$3:$H$102,7,FALSE),main!$K$19:$O$22,MATCH(VLOOKUP($A27,main!$A$3:$H$102,8,FALSE),main!$K$18:$O$18,0))))),1,0)</f>
        <v>0</v>
      </c>
      <c r="F27">
        <f>IF((AND(VLOOKUP(F$1,main!$A$3:$H$102,5,FALSE)-VLOOKUP($A27,main!$A$3:$H$102,6,FALSE)&gt;=(VLOOKUP(VLOOKUP(F$1,main!$A$3:$H$102,8,FALSE),main!$K$26:$M$29,2,FALSE)+VLOOKUP(VLOOKUP(F$1,main!$A$3:$H$102,7,FALSE),main!$K$19:$O$22,MATCH(VLOOKUP($A27,main!$A$3:$H$102,8,FALSE),main!$K$18:$O$18,0))))),1,0)</f>
        <v>0</v>
      </c>
      <c r="G27">
        <f>IF((AND(VLOOKUP(G$1,main!$A$3:$H$102,5,FALSE)-VLOOKUP($A27,main!$A$3:$H$102,6,FALSE)&gt;=(VLOOKUP(VLOOKUP(G$1,main!$A$3:$H$102,8,FALSE),main!$K$26:$M$29,2,FALSE)+VLOOKUP(VLOOKUP(G$1,main!$A$3:$H$102,7,FALSE),main!$K$19:$O$22,MATCH(VLOOKUP($A27,main!$A$3:$H$102,8,FALSE),main!$K$18:$O$18,0))))),1,0)</f>
        <v>0</v>
      </c>
      <c r="H27">
        <f>IF((AND(VLOOKUP(H$1,main!$A$3:$H$102,5,FALSE)-VLOOKUP($A27,main!$A$3:$H$102,6,FALSE)&gt;=(VLOOKUP(VLOOKUP(H$1,main!$A$3:$H$102,8,FALSE),main!$K$26:$M$29,2,FALSE)+VLOOKUP(VLOOKUP(H$1,main!$A$3:$H$102,7,FALSE),main!$K$19:$O$22,MATCH(VLOOKUP($A27,main!$A$3:$H$102,8,FALSE),main!$K$18:$O$18,0))))),1,0)</f>
        <v>0</v>
      </c>
      <c r="I27">
        <f>IF((AND(VLOOKUP(I$1,main!$A$3:$H$102,5,FALSE)-VLOOKUP($A27,main!$A$3:$H$102,6,FALSE)&gt;=(VLOOKUP(VLOOKUP(I$1,main!$A$3:$H$102,8,FALSE),main!$K$26:$M$29,2,FALSE)+VLOOKUP(VLOOKUP(I$1,main!$A$3:$H$102,7,FALSE),main!$K$19:$O$22,MATCH(VLOOKUP($A27,main!$A$3:$H$102,8,FALSE),main!$K$18:$O$18,0))))),1,0)</f>
        <v>0</v>
      </c>
      <c r="J27">
        <f>IF((AND(VLOOKUP(J$1,main!$A$3:$H$102,5,FALSE)-VLOOKUP($A27,main!$A$3:$H$102,6,FALSE)&gt;=(VLOOKUP(VLOOKUP(J$1,main!$A$3:$H$102,8,FALSE),main!$K$26:$M$29,2,FALSE)+VLOOKUP(VLOOKUP(J$1,main!$A$3:$H$102,7,FALSE),main!$K$19:$O$22,MATCH(VLOOKUP($A27,main!$A$3:$H$102,8,FALSE),main!$K$18:$O$18,0))))),1,0)</f>
        <v>0</v>
      </c>
      <c r="K27">
        <f>IF((AND(VLOOKUP(K$1,main!$A$3:$H$102,5,FALSE)-VLOOKUP($A27,main!$A$3:$H$102,6,FALSE)&gt;=(VLOOKUP(VLOOKUP(K$1,main!$A$3:$H$102,8,FALSE),main!$K$26:$M$29,2,FALSE)+VLOOKUP(VLOOKUP(K$1,main!$A$3:$H$102,7,FALSE),main!$K$19:$O$22,MATCH(VLOOKUP($A27,main!$A$3:$H$102,8,FALSE),main!$K$18:$O$18,0))))),1,0)</f>
        <v>0</v>
      </c>
      <c r="L27">
        <f>IF((AND(VLOOKUP(L$1,main!$A$3:$H$102,5,FALSE)-VLOOKUP($A27,main!$A$3:$H$102,6,FALSE)&gt;=(VLOOKUP(VLOOKUP(L$1,main!$A$3:$H$102,8,FALSE),main!$K$26:$M$29,2,FALSE)+VLOOKUP(VLOOKUP(L$1,main!$A$3:$H$102,7,FALSE),main!$K$19:$O$22,MATCH(VLOOKUP($A27,main!$A$3:$H$102,8,FALSE),main!$K$18:$O$18,0))))),1,0)</f>
        <v>0</v>
      </c>
      <c r="M27">
        <f>IF((AND(VLOOKUP(M$1,main!$A$3:$H$102,5,FALSE)-VLOOKUP($A27,main!$A$3:$H$102,6,FALSE)&gt;=(VLOOKUP(VLOOKUP(M$1,main!$A$3:$H$102,8,FALSE),main!$K$26:$M$29,2,FALSE)+VLOOKUP(VLOOKUP(M$1,main!$A$3:$H$102,7,FALSE),main!$K$19:$O$22,MATCH(VLOOKUP($A27,main!$A$3:$H$102,8,FALSE),main!$K$18:$O$18,0))))),1,0)</f>
        <v>0</v>
      </c>
      <c r="N27">
        <f>IF((AND(VLOOKUP(N$1,main!$A$3:$H$102,5,FALSE)-VLOOKUP($A27,main!$A$3:$H$102,6,FALSE)&gt;=(VLOOKUP(VLOOKUP(N$1,main!$A$3:$H$102,8,FALSE),main!$K$26:$M$29,2,FALSE)+VLOOKUP(VLOOKUP(N$1,main!$A$3:$H$102,7,FALSE),main!$K$19:$O$22,MATCH(VLOOKUP($A27,main!$A$3:$H$102,8,FALSE),main!$K$18:$O$18,0))))),1,0)</f>
        <v>0</v>
      </c>
      <c r="O27">
        <f>IF((AND(VLOOKUP(O$1,main!$A$3:$H$102,5,FALSE)-VLOOKUP($A27,main!$A$3:$H$102,6,FALSE)&gt;=(VLOOKUP(VLOOKUP(O$1,main!$A$3:$H$102,8,FALSE),main!$K$26:$M$29,2,FALSE)+VLOOKUP(VLOOKUP(O$1,main!$A$3:$H$102,7,FALSE),main!$K$19:$O$22,MATCH(VLOOKUP($A27,main!$A$3:$H$102,8,FALSE),main!$K$18:$O$18,0))))),1,0)</f>
        <v>0</v>
      </c>
      <c r="P27">
        <f>IF((AND(VLOOKUP(P$1,main!$A$3:$H$102,5,FALSE)-VLOOKUP($A27,main!$A$3:$H$102,6,FALSE)&gt;=(VLOOKUP(VLOOKUP(P$1,main!$A$3:$H$102,8,FALSE),main!$K$26:$M$29,2,FALSE)+VLOOKUP(VLOOKUP(P$1,main!$A$3:$H$102,7,FALSE),main!$K$19:$O$22,MATCH(VLOOKUP($A27,main!$A$3:$H$102,8,FALSE),main!$K$18:$O$18,0))))),1,0)</f>
        <v>0</v>
      </c>
      <c r="Q27">
        <f>IF((AND(VLOOKUP(Q$1,main!$A$3:$H$102,5,FALSE)-VLOOKUP($A27,main!$A$3:$H$102,6,FALSE)&gt;=(VLOOKUP(VLOOKUP(Q$1,main!$A$3:$H$102,8,FALSE),main!$K$26:$M$29,2,FALSE)+VLOOKUP(VLOOKUP(Q$1,main!$A$3:$H$102,7,FALSE),main!$K$19:$O$22,MATCH(VLOOKUP($A27,main!$A$3:$H$102,8,FALSE),main!$K$18:$O$18,0))))),1,0)</f>
        <v>0</v>
      </c>
      <c r="R27">
        <f>IF((AND(VLOOKUP(R$1,main!$A$3:$H$102,5,FALSE)-VLOOKUP($A27,main!$A$3:$H$102,6,FALSE)&gt;=(VLOOKUP(VLOOKUP(R$1,main!$A$3:$H$102,8,FALSE),main!$K$26:$M$29,2,FALSE)+VLOOKUP(VLOOKUP(R$1,main!$A$3:$H$102,7,FALSE),main!$K$19:$O$22,MATCH(VLOOKUP($A27,main!$A$3:$H$102,8,FALSE),main!$K$18:$O$18,0))))),1,0)</f>
        <v>0</v>
      </c>
      <c r="S27">
        <f>IF((AND(VLOOKUP(S$1,main!$A$3:$H$102,5,FALSE)-VLOOKUP($A27,main!$A$3:$H$102,6,FALSE)&gt;=(VLOOKUP(VLOOKUP(S$1,main!$A$3:$H$102,8,FALSE),main!$K$26:$M$29,2,FALSE)+VLOOKUP(VLOOKUP(S$1,main!$A$3:$H$102,7,FALSE),main!$K$19:$O$22,MATCH(VLOOKUP($A27,main!$A$3:$H$102,8,FALSE),main!$K$18:$O$18,0))))),1,0)</f>
        <v>0</v>
      </c>
      <c r="T27">
        <f>IF((AND(VLOOKUP(T$1,main!$A$3:$H$102,5,FALSE)-VLOOKUP($A27,main!$A$3:$H$102,6,FALSE)&gt;=(VLOOKUP(VLOOKUP(T$1,main!$A$3:$H$102,8,FALSE),main!$K$26:$M$29,2,FALSE)+VLOOKUP(VLOOKUP(T$1,main!$A$3:$H$102,7,FALSE),main!$K$19:$O$22,MATCH(VLOOKUP($A27,main!$A$3:$H$102,8,FALSE),main!$K$18:$O$18,0))))),1,0)</f>
        <v>0</v>
      </c>
      <c r="U27">
        <f>IF((AND(VLOOKUP(U$1,main!$A$3:$H$102,5,FALSE)-VLOOKUP($A27,main!$A$3:$H$102,6,FALSE)&gt;=(VLOOKUP(VLOOKUP(U$1,main!$A$3:$H$102,8,FALSE),main!$K$26:$M$29,2,FALSE)+VLOOKUP(VLOOKUP(U$1,main!$A$3:$H$102,7,FALSE),main!$K$19:$O$22,MATCH(VLOOKUP($A27,main!$A$3:$H$102,8,FALSE),main!$K$18:$O$18,0))))),1,0)</f>
        <v>0</v>
      </c>
      <c r="V27">
        <f>IF((AND(VLOOKUP(V$1,main!$A$3:$H$102,5,FALSE)-VLOOKUP($A27,main!$A$3:$H$102,6,FALSE)&gt;=(VLOOKUP(VLOOKUP(V$1,main!$A$3:$H$102,8,FALSE),main!$K$26:$M$29,2,FALSE)+VLOOKUP(VLOOKUP(V$1,main!$A$3:$H$102,7,FALSE),main!$K$19:$O$22,MATCH(VLOOKUP($A27,main!$A$3:$H$102,8,FALSE),main!$K$18:$O$18,0))))),1,0)</f>
        <v>0</v>
      </c>
      <c r="W27">
        <f>IF((AND(VLOOKUP(W$1,main!$A$3:$H$102,5,FALSE)-VLOOKUP($A27,main!$A$3:$H$102,6,FALSE)&gt;=(VLOOKUP(VLOOKUP(W$1,main!$A$3:$H$102,8,FALSE),main!$K$26:$M$29,2,FALSE)+VLOOKUP(VLOOKUP(W$1,main!$A$3:$H$102,7,FALSE),main!$K$19:$O$22,MATCH(VLOOKUP($A27,main!$A$3:$H$102,8,FALSE),main!$K$18:$O$18,0))))),1,0)</f>
        <v>0</v>
      </c>
      <c r="X27">
        <f>IF((AND(VLOOKUP(X$1,main!$A$3:$H$102,5,FALSE)-VLOOKUP($A27,main!$A$3:$H$102,6,FALSE)&gt;=(VLOOKUP(VLOOKUP(X$1,main!$A$3:$H$102,8,FALSE),main!$K$26:$M$29,2,FALSE)+VLOOKUP(VLOOKUP(X$1,main!$A$3:$H$102,7,FALSE),main!$K$19:$O$22,MATCH(VLOOKUP($A27,main!$A$3:$H$102,8,FALSE),main!$K$18:$O$18,0))))),1,0)</f>
        <v>0</v>
      </c>
      <c r="Y27">
        <f>IF((AND(VLOOKUP(Y$1,main!$A$3:$H$102,5,FALSE)-VLOOKUP($A27,main!$A$3:$H$102,6,FALSE)&gt;=(VLOOKUP(VLOOKUP(Y$1,main!$A$3:$H$102,8,FALSE),main!$K$26:$M$29,2,FALSE)+VLOOKUP(VLOOKUP(Y$1,main!$A$3:$H$102,7,FALSE),main!$K$19:$O$22,MATCH(VLOOKUP($A27,main!$A$3:$H$102,8,FALSE),main!$K$18:$O$18,0))))),1,0)</f>
        <v>0</v>
      </c>
      <c r="Z27">
        <f>IF((AND(VLOOKUP(Z$1,main!$A$3:$H$102,5,FALSE)-VLOOKUP($A27,main!$A$3:$H$102,6,FALSE)&gt;=(VLOOKUP(VLOOKUP(Z$1,main!$A$3:$H$102,8,FALSE),main!$K$26:$M$29,2,FALSE)+VLOOKUP(VLOOKUP(Z$1,main!$A$3:$H$102,7,FALSE),main!$K$19:$O$22,MATCH(VLOOKUP($A27,main!$A$3:$H$102,8,FALSE),main!$K$18:$O$18,0))))),1,0)</f>
        <v>0</v>
      </c>
      <c r="AA27">
        <f>IF((AND(VLOOKUP(AA$1,main!$A$3:$H$102,5,FALSE)-VLOOKUP($A27,main!$A$3:$H$102,6,FALSE)&gt;=(VLOOKUP(VLOOKUP(AA$1,main!$A$3:$H$102,8,FALSE),main!$K$26:$M$29,2,FALSE)+VLOOKUP(VLOOKUP(AA$1,main!$A$3:$H$102,7,FALSE),main!$K$19:$O$22,MATCH(VLOOKUP($A27,main!$A$3:$H$102,8,FALSE),main!$K$18:$O$18,0))))),1,0)</f>
        <v>0</v>
      </c>
      <c r="AB27">
        <f>IF((AND(VLOOKUP(AB$1,main!$A$3:$H$102,5,FALSE)-VLOOKUP($A27,main!$A$3:$H$102,6,FALSE)&gt;=(VLOOKUP(VLOOKUP(AB$1,main!$A$3:$H$102,8,FALSE),main!$K$26:$M$29,2,FALSE)+VLOOKUP(VLOOKUP(AB$1,main!$A$3:$H$102,7,FALSE),main!$K$19:$O$22,MATCH(VLOOKUP($A27,main!$A$3:$H$102,8,FALSE),main!$K$18:$O$18,0))))),1,0)</f>
        <v>0</v>
      </c>
      <c r="AC27">
        <f>IF((AND(VLOOKUP(AC$1,main!$A$3:$H$102,5,FALSE)-VLOOKUP($A27,main!$A$3:$H$102,6,FALSE)&gt;=(VLOOKUP(VLOOKUP(AC$1,main!$A$3:$H$102,8,FALSE),main!$K$26:$M$29,2,FALSE)+VLOOKUP(VLOOKUP(AC$1,main!$A$3:$H$102,7,FALSE),main!$K$19:$O$22,MATCH(VLOOKUP($A27,main!$A$3:$H$102,8,FALSE),main!$K$18:$O$18,0))))),1,0)</f>
        <v>0</v>
      </c>
      <c r="AD27">
        <f>IF((AND(VLOOKUP(AD$1,main!$A$3:$H$102,5,FALSE)-VLOOKUP($A27,main!$A$3:$H$102,6,FALSE)&gt;=(VLOOKUP(VLOOKUP(AD$1,main!$A$3:$H$102,8,FALSE),main!$K$26:$M$29,2,FALSE)+VLOOKUP(VLOOKUP(AD$1,main!$A$3:$H$102,7,FALSE),main!$K$19:$O$22,MATCH(VLOOKUP($A27,main!$A$3:$H$102,8,FALSE),main!$K$18:$O$18,0))))),1,0)</f>
        <v>0</v>
      </c>
      <c r="AE27">
        <f>IF((AND(VLOOKUP(AE$1,main!$A$3:$H$102,5,FALSE)-VLOOKUP($A27,main!$A$3:$H$102,6,FALSE)&gt;=(VLOOKUP(VLOOKUP(AE$1,main!$A$3:$H$102,8,FALSE),main!$K$26:$M$29,2,FALSE)+VLOOKUP(VLOOKUP(AE$1,main!$A$3:$H$102,7,FALSE),main!$K$19:$O$22,MATCH(VLOOKUP($A27,main!$A$3:$H$102,8,FALSE),main!$K$18:$O$18,0))))),1,0)</f>
        <v>0</v>
      </c>
      <c r="AF27">
        <f>IF((AND(VLOOKUP(AF$1,main!$A$3:$H$102,5,FALSE)-VLOOKUP($A27,main!$A$3:$H$102,6,FALSE)&gt;=(VLOOKUP(VLOOKUP(AF$1,main!$A$3:$H$102,8,FALSE),main!$K$26:$M$29,2,FALSE)+VLOOKUP(VLOOKUP(AF$1,main!$A$3:$H$102,7,FALSE),main!$K$19:$O$22,MATCH(VLOOKUP($A27,main!$A$3:$H$102,8,FALSE),main!$K$18:$O$18,0))))),1,0)</f>
        <v>0</v>
      </c>
      <c r="AG27">
        <f>IF((AND(VLOOKUP(AG$1,main!$A$3:$H$102,5,FALSE)-VLOOKUP($A27,main!$A$3:$H$102,6,FALSE)&gt;=(VLOOKUP(VLOOKUP(AG$1,main!$A$3:$H$102,8,FALSE),main!$K$26:$M$29,2,FALSE)+VLOOKUP(VLOOKUP(AG$1,main!$A$3:$H$102,7,FALSE),main!$K$19:$O$22,MATCH(VLOOKUP($A27,main!$A$3:$H$102,8,FALSE),main!$K$18:$O$18,0))))),1,0)</f>
        <v>0</v>
      </c>
      <c r="AH27">
        <f>IF((AND(VLOOKUP(AH$1,main!$A$3:$H$102,5,FALSE)-VLOOKUP($A27,main!$A$3:$H$102,6,FALSE)&gt;=(VLOOKUP(VLOOKUP(AH$1,main!$A$3:$H$102,8,FALSE),main!$K$26:$M$29,2,FALSE)+VLOOKUP(VLOOKUP(AH$1,main!$A$3:$H$102,7,FALSE),main!$K$19:$O$22,MATCH(VLOOKUP($A27,main!$A$3:$H$102,8,FALSE),main!$K$18:$O$18,0))))),1,0)</f>
        <v>0</v>
      </c>
      <c r="AI27">
        <f>IF((AND(VLOOKUP(AI$1,main!$A$3:$H$102,5,FALSE)-VLOOKUP($A27,main!$A$3:$H$102,6,FALSE)&gt;=(VLOOKUP(VLOOKUP(AI$1,main!$A$3:$H$102,8,FALSE),main!$K$26:$M$29,2,FALSE)+VLOOKUP(VLOOKUP(AI$1,main!$A$3:$H$102,7,FALSE),main!$K$19:$O$22,MATCH(VLOOKUP($A27,main!$A$3:$H$102,8,FALSE),main!$K$18:$O$18,0))))),1,0)</f>
        <v>0</v>
      </c>
      <c r="AJ27">
        <f>IF((AND(VLOOKUP(AJ$1,main!$A$3:$H$102,5,FALSE)-VLOOKUP($A27,main!$A$3:$H$102,6,FALSE)&gt;=(VLOOKUP(VLOOKUP(AJ$1,main!$A$3:$H$102,8,FALSE),main!$K$26:$M$29,2,FALSE)+VLOOKUP(VLOOKUP(AJ$1,main!$A$3:$H$102,7,FALSE),main!$K$19:$O$22,MATCH(VLOOKUP($A27,main!$A$3:$H$102,8,FALSE),main!$K$18:$O$18,0))))),1,0)</f>
        <v>0</v>
      </c>
      <c r="AK27">
        <f>IF((AND(VLOOKUP(AK$1,main!$A$3:$H$102,5,FALSE)-VLOOKUP($A27,main!$A$3:$H$102,6,FALSE)&gt;=(VLOOKUP(VLOOKUP(AK$1,main!$A$3:$H$102,8,FALSE),main!$K$26:$M$29,2,FALSE)+VLOOKUP(VLOOKUP(AK$1,main!$A$3:$H$102,7,FALSE),main!$K$19:$O$22,MATCH(VLOOKUP($A27,main!$A$3:$H$102,8,FALSE),main!$K$18:$O$18,0))))),1,0)</f>
        <v>0</v>
      </c>
      <c r="AL27">
        <f>IF((AND(VLOOKUP(AL$1,main!$A$3:$H$102,5,FALSE)-VLOOKUP($A27,main!$A$3:$H$102,6,FALSE)&gt;=(VLOOKUP(VLOOKUP(AL$1,main!$A$3:$H$102,8,FALSE),main!$K$26:$M$29,2,FALSE)+VLOOKUP(VLOOKUP(AL$1,main!$A$3:$H$102,7,FALSE),main!$K$19:$O$22,MATCH(VLOOKUP($A27,main!$A$3:$H$102,8,FALSE),main!$K$18:$O$18,0))))),1,0)</f>
        <v>0</v>
      </c>
      <c r="AM27">
        <f>IF((AND(VLOOKUP(AM$1,main!$A$3:$H$102,5,FALSE)-VLOOKUP($A27,main!$A$3:$H$102,6,FALSE)&gt;=(VLOOKUP(VLOOKUP(AM$1,main!$A$3:$H$102,8,FALSE),main!$K$26:$M$29,2,FALSE)+VLOOKUP(VLOOKUP(AM$1,main!$A$3:$H$102,7,FALSE),main!$K$19:$O$22,MATCH(VLOOKUP($A27,main!$A$3:$H$102,8,FALSE),main!$K$18:$O$18,0))))),1,0)</f>
        <v>0</v>
      </c>
      <c r="AN27">
        <f>IF((AND(VLOOKUP(AN$1,main!$A$3:$H$102,5,FALSE)-VLOOKUP($A27,main!$A$3:$H$102,6,FALSE)&gt;=(VLOOKUP(VLOOKUP(AN$1,main!$A$3:$H$102,8,FALSE),main!$K$26:$M$29,2,FALSE)+VLOOKUP(VLOOKUP(AN$1,main!$A$3:$H$102,7,FALSE),main!$K$19:$O$22,MATCH(VLOOKUP($A27,main!$A$3:$H$102,8,FALSE),main!$K$18:$O$18,0))))),1,0)</f>
        <v>0</v>
      </c>
      <c r="AO27">
        <f>IF((AND(VLOOKUP(AO$1,main!$A$3:$H$102,5,FALSE)-VLOOKUP($A27,main!$A$3:$H$102,6,FALSE)&gt;=(VLOOKUP(VLOOKUP(AO$1,main!$A$3:$H$102,8,FALSE),main!$K$26:$M$29,2,FALSE)+VLOOKUP(VLOOKUP(AO$1,main!$A$3:$H$102,7,FALSE),main!$K$19:$O$22,MATCH(VLOOKUP($A27,main!$A$3:$H$102,8,FALSE),main!$K$18:$O$18,0))))),1,0)</f>
        <v>0</v>
      </c>
      <c r="AP27">
        <f>IF((AND(VLOOKUP(AP$1,main!$A$3:$H$102,5,FALSE)-VLOOKUP($A27,main!$A$3:$H$102,6,FALSE)&gt;=(VLOOKUP(VLOOKUP(AP$1,main!$A$3:$H$102,8,FALSE),main!$K$26:$M$29,2,FALSE)+VLOOKUP(VLOOKUP(AP$1,main!$A$3:$H$102,7,FALSE),main!$K$19:$O$22,MATCH(VLOOKUP($A27,main!$A$3:$H$102,8,FALSE),main!$K$18:$O$18,0))))),1,0)</f>
        <v>0</v>
      </c>
      <c r="AQ27">
        <f>IF((AND(VLOOKUP(AQ$1,main!$A$3:$H$102,5,FALSE)-VLOOKUP($A27,main!$A$3:$H$102,6,FALSE)&gt;=(VLOOKUP(VLOOKUP(AQ$1,main!$A$3:$H$102,8,FALSE),main!$K$26:$M$29,2,FALSE)+VLOOKUP(VLOOKUP(AQ$1,main!$A$3:$H$102,7,FALSE),main!$K$19:$O$22,MATCH(VLOOKUP($A27,main!$A$3:$H$102,8,FALSE),main!$K$18:$O$18,0))))),1,0)</f>
        <v>0</v>
      </c>
      <c r="AR27">
        <f>IF((AND(VLOOKUP(AR$1,main!$A$3:$H$102,5,FALSE)-VLOOKUP($A27,main!$A$3:$H$102,6,FALSE)&gt;=(VLOOKUP(VLOOKUP(AR$1,main!$A$3:$H$102,8,FALSE),main!$K$26:$M$29,2,FALSE)+VLOOKUP(VLOOKUP(AR$1,main!$A$3:$H$102,7,FALSE),main!$K$19:$O$22,MATCH(VLOOKUP($A27,main!$A$3:$H$102,8,FALSE),main!$K$18:$O$18,0))))),1,0)</f>
        <v>0</v>
      </c>
      <c r="AS27">
        <f>IF((AND(VLOOKUP(AS$1,main!$A$3:$H$102,5,FALSE)-VLOOKUP($A27,main!$A$3:$H$102,6,FALSE)&gt;=(VLOOKUP(VLOOKUP(AS$1,main!$A$3:$H$102,8,FALSE),main!$K$26:$M$29,2,FALSE)+VLOOKUP(VLOOKUP(AS$1,main!$A$3:$H$102,7,FALSE),main!$K$19:$O$22,MATCH(VLOOKUP($A27,main!$A$3:$H$102,8,FALSE),main!$K$18:$O$18,0))))),1,0)</f>
        <v>0</v>
      </c>
      <c r="AT27">
        <f>IF((AND(VLOOKUP(AT$1,main!$A$3:$H$102,5,FALSE)-VLOOKUP($A27,main!$A$3:$H$102,6,FALSE)&gt;=(VLOOKUP(VLOOKUP(AT$1,main!$A$3:$H$102,8,FALSE),main!$K$26:$M$29,2,FALSE)+VLOOKUP(VLOOKUP(AT$1,main!$A$3:$H$102,7,FALSE),main!$K$19:$O$22,MATCH(VLOOKUP($A27,main!$A$3:$H$102,8,FALSE),main!$K$18:$O$18,0))))),1,0)</f>
        <v>0</v>
      </c>
      <c r="AU27">
        <f>IF((AND(VLOOKUP(AU$1,main!$A$3:$H$102,5,FALSE)-VLOOKUP($A27,main!$A$3:$H$102,6,FALSE)&gt;=(VLOOKUP(VLOOKUP(AU$1,main!$A$3:$H$102,8,FALSE),main!$K$26:$M$29,2,FALSE)+VLOOKUP(VLOOKUP(AU$1,main!$A$3:$H$102,7,FALSE),main!$K$19:$O$22,MATCH(VLOOKUP($A27,main!$A$3:$H$102,8,FALSE),main!$K$18:$O$18,0))))),1,0)</f>
        <v>0</v>
      </c>
      <c r="AV27">
        <f>IF((AND(VLOOKUP(AV$1,main!$A$3:$H$102,5,FALSE)-VLOOKUP($A27,main!$A$3:$H$102,6,FALSE)&gt;=(VLOOKUP(VLOOKUP(AV$1,main!$A$3:$H$102,8,FALSE),main!$K$26:$M$29,2,FALSE)+VLOOKUP(VLOOKUP(AV$1,main!$A$3:$H$102,7,FALSE),main!$K$19:$O$22,MATCH(VLOOKUP($A27,main!$A$3:$H$102,8,FALSE),main!$K$18:$O$18,0))))),1,0)</f>
        <v>0</v>
      </c>
      <c r="AW27">
        <f>IF((AND(VLOOKUP(AW$1,main!$A$3:$H$102,5,FALSE)-VLOOKUP($A27,main!$A$3:$H$102,6,FALSE)&gt;=(VLOOKUP(VLOOKUP(AW$1,main!$A$3:$H$102,8,FALSE),main!$K$26:$M$29,2,FALSE)+VLOOKUP(VLOOKUP(AW$1,main!$A$3:$H$102,7,FALSE),main!$K$19:$O$22,MATCH(VLOOKUP($A27,main!$A$3:$H$102,8,FALSE),main!$K$18:$O$18,0))))),1,0)</f>
        <v>0</v>
      </c>
      <c r="AX27">
        <f>IF((AND(VLOOKUP(AX$1,main!$A$3:$H$102,5,FALSE)-VLOOKUP($A27,main!$A$3:$H$102,6,FALSE)&gt;=(VLOOKUP(VLOOKUP(AX$1,main!$A$3:$H$102,8,FALSE),main!$K$26:$M$29,2,FALSE)+VLOOKUP(VLOOKUP(AX$1,main!$A$3:$H$102,7,FALSE),main!$K$19:$O$22,MATCH(VLOOKUP($A27,main!$A$3:$H$102,8,FALSE),main!$K$18:$O$18,0))))),1,0)</f>
        <v>0</v>
      </c>
      <c r="AY27">
        <f>IF((AND(VLOOKUP(AY$1,main!$A$3:$H$102,5,FALSE)-VLOOKUP($A27,main!$A$3:$H$102,6,FALSE)&gt;=(VLOOKUP(VLOOKUP(AY$1,main!$A$3:$H$102,8,FALSE),main!$K$26:$M$29,2,FALSE)+VLOOKUP(VLOOKUP(AY$1,main!$A$3:$H$102,7,FALSE),main!$K$19:$O$22,MATCH(VLOOKUP($A27,main!$A$3:$H$102,8,FALSE),main!$K$18:$O$18,0))))),1,0)</f>
        <v>0</v>
      </c>
      <c r="AZ27">
        <f>IF((AND(VLOOKUP(AZ$1,main!$A$3:$H$102,5,FALSE)-VLOOKUP($A27,main!$A$3:$H$102,6,FALSE)&gt;=(VLOOKUP(VLOOKUP(AZ$1,main!$A$3:$H$102,8,FALSE),main!$K$26:$M$29,2,FALSE)+VLOOKUP(VLOOKUP(AZ$1,main!$A$3:$H$102,7,FALSE),main!$K$19:$O$22,MATCH(VLOOKUP($A27,main!$A$3:$H$102,8,FALSE),main!$K$18:$O$18,0))))),1,0)</f>
        <v>0</v>
      </c>
      <c r="BA27">
        <f>IF((AND(VLOOKUP(BA$1,main!$A$3:$H$102,5,FALSE)-VLOOKUP($A27,main!$A$3:$H$102,6,FALSE)&gt;=(VLOOKUP(VLOOKUP(BA$1,main!$A$3:$H$102,8,FALSE),main!$K$26:$M$29,2,FALSE)+VLOOKUP(VLOOKUP(BA$1,main!$A$3:$H$102,7,FALSE),main!$K$19:$O$22,MATCH(VLOOKUP($A27,main!$A$3:$H$102,8,FALSE),main!$K$18:$O$18,0))))),1,0)</f>
        <v>0</v>
      </c>
      <c r="BB27">
        <f>IF((AND(VLOOKUP(BB$1,main!$A$3:$H$102,5,FALSE)-VLOOKUP($A27,main!$A$3:$H$102,6,FALSE)&gt;=(VLOOKUP(VLOOKUP(BB$1,main!$A$3:$H$102,8,FALSE),main!$K$26:$M$29,2,FALSE)+VLOOKUP(VLOOKUP(BB$1,main!$A$3:$H$102,7,FALSE),main!$K$19:$O$22,MATCH(VLOOKUP($A27,main!$A$3:$H$102,8,FALSE),main!$K$18:$O$18,0))))),1,0)</f>
        <v>0</v>
      </c>
      <c r="BC27">
        <f>IF((AND(VLOOKUP(BC$1,main!$A$3:$H$102,5,FALSE)-VLOOKUP($A27,main!$A$3:$H$102,6,FALSE)&gt;=(VLOOKUP(VLOOKUP(BC$1,main!$A$3:$H$102,8,FALSE),main!$K$26:$M$29,2,FALSE)+VLOOKUP(VLOOKUP(BC$1,main!$A$3:$H$102,7,FALSE),main!$K$19:$O$22,MATCH(VLOOKUP($A27,main!$A$3:$H$102,8,FALSE),main!$K$18:$O$18,0))))),1,0)</f>
        <v>0</v>
      </c>
      <c r="BD27">
        <f>IF((AND(VLOOKUP(BD$1,main!$A$3:$H$102,5,FALSE)-VLOOKUP($A27,main!$A$3:$H$102,6,FALSE)&gt;=(VLOOKUP(VLOOKUP(BD$1,main!$A$3:$H$102,8,FALSE),main!$K$26:$M$29,2,FALSE)+VLOOKUP(VLOOKUP(BD$1,main!$A$3:$H$102,7,FALSE),main!$K$19:$O$22,MATCH(VLOOKUP($A27,main!$A$3:$H$102,8,FALSE),main!$K$18:$O$18,0))))),1,0)</f>
        <v>0</v>
      </c>
      <c r="BE27">
        <f>IF((AND(VLOOKUP(BE$1,main!$A$3:$H$102,5,FALSE)-VLOOKUP($A27,main!$A$3:$H$102,6,FALSE)&gt;=(VLOOKUP(VLOOKUP(BE$1,main!$A$3:$H$102,8,FALSE),main!$K$26:$M$29,2,FALSE)+VLOOKUP(VLOOKUP(BE$1,main!$A$3:$H$102,7,FALSE),main!$K$19:$O$22,MATCH(VLOOKUP($A27,main!$A$3:$H$102,8,FALSE),main!$K$18:$O$18,0))))),1,0)</f>
        <v>0</v>
      </c>
      <c r="BF27">
        <f>IF((AND(VLOOKUP(BF$1,main!$A$3:$H$102,5,FALSE)-VLOOKUP($A27,main!$A$3:$H$102,6,FALSE)&gt;=(VLOOKUP(VLOOKUP(BF$1,main!$A$3:$H$102,8,FALSE),main!$K$26:$M$29,2,FALSE)+VLOOKUP(VLOOKUP(BF$1,main!$A$3:$H$102,7,FALSE),main!$K$19:$O$22,MATCH(VLOOKUP($A27,main!$A$3:$H$102,8,FALSE),main!$K$18:$O$18,0))))),1,0)</f>
        <v>0</v>
      </c>
      <c r="BG27">
        <f>IF((AND(VLOOKUP(BG$1,main!$A$3:$H$102,5,FALSE)-VLOOKUP($A27,main!$A$3:$H$102,6,FALSE)&gt;=(VLOOKUP(VLOOKUP(BG$1,main!$A$3:$H$102,8,FALSE),main!$K$26:$M$29,2,FALSE)+VLOOKUP(VLOOKUP(BG$1,main!$A$3:$H$102,7,FALSE),main!$K$19:$O$22,MATCH(VLOOKUP($A27,main!$A$3:$H$102,8,FALSE),main!$K$18:$O$18,0))))),1,0)</f>
        <v>0</v>
      </c>
      <c r="BH27">
        <f>IF((AND(VLOOKUP(BH$1,main!$A$3:$H$102,5,FALSE)-VLOOKUP($A27,main!$A$3:$H$102,6,FALSE)&gt;=(VLOOKUP(VLOOKUP(BH$1,main!$A$3:$H$102,8,FALSE),main!$K$26:$M$29,2,FALSE)+VLOOKUP(VLOOKUP(BH$1,main!$A$3:$H$102,7,FALSE),main!$K$19:$O$22,MATCH(VLOOKUP($A27,main!$A$3:$H$102,8,FALSE),main!$K$18:$O$18,0))))),1,0)</f>
        <v>0</v>
      </c>
      <c r="BI27">
        <f>IF((AND(VLOOKUP(BI$1,main!$A$3:$H$102,5,FALSE)-VLOOKUP($A27,main!$A$3:$H$102,6,FALSE)&gt;=(VLOOKUP(VLOOKUP(BI$1,main!$A$3:$H$102,8,FALSE),main!$K$26:$M$29,2,FALSE)+VLOOKUP(VLOOKUP(BI$1,main!$A$3:$H$102,7,FALSE),main!$K$19:$O$22,MATCH(VLOOKUP($A27,main!$A$3:$H$102,8,FALSE),main!$K$18:$O$18,0))))),1,0)</f>
        <v>0</v>
      </c>
      <c r="BJ27">
        <f>IF((AND(VLOOKUP(BJ$1,main!$A$3:$H$102,5,FALSE)-VLOOKUP($A27,main!$A$3:$H$102,6,FALSE)&gt;=(VLOOKUP(VLOOKUP(BJ$1,main!$A$3:$H$102,8,FALSE),main!$K$26:$M$29,2,FALSE)+VLOOKUP(VLOOKUP(BJ$1,main!$A$3:$H$102,7,FALSE),main!$K$19:$O$22,MATCH(VLOOKUP($A27,main!$A$3:$H$102,8,FALSE),main!$K$18:$O$18,0))))),1,0)</f>
        <v>0</v>
      </c>
      <c r="BK27">
        <f>IF((AND(VLOOKUP(BK$1,main!$A$3:$H$102,5,FALSE)-VLOOKUP($A27,main!$A$3:$H$102,6,FALSE)&gt;=(VLOOKUP(VLOOKUP(BK$1,main!$A$3:$H$102,8,FALSE),main!$K$26:$M$29,2,FALSE)+VLOOKUP(VLOOKUP(BK$1,main!$A$3:$H$102,7,FALSE),main!$K$19:$O$22,MATCH(VLOOKUP($A27,main!$A$3:$H$102,8,FALSE),main!$K$18:$O$18,0))))),1,0)</f>
        <v>0</v>
      </c>
      <c r="BL27">
        <f>IF((AND(VLOOKUP(BL$1,main!$A$3:$H$102,5,FALSE)-VLOOKUP($A27,main!$A$3:$H$102,6,FALSE)&gt;=(VLOOKUP(VLOOKUP(BL$1,main!$A$3:$H$102,8,FALSE),main!$K$26:$M$29,2,FALSE)+VLOOKUP(VLOOKUP(BL$1,main!$A$3:$H$102,7,FALSE),main!$K$19:$O$22,MATCH(VLOOKUP($A27,main!$A$3:$H$102,8,FALSE),main!$K$18:$O$18,0))))),1,0)</f>
        <v>0</v>
      </c>
      <c r="BM27">
        <f>IF((AND(VLOOKUP(BM$1,main!$A$3:$H$102,5,FALSE)-VLOOKUP($A27,main!$A$3:$H$102,6,FALSE)&gt;=(VLOOKUP(VLOOKUP(BM$1,main!$A$3:$H$102,8,FALSE),main!$K$26:$M$29,2,FALSE)+VLOOKUP(VLOOKUP(BM$1,main!$A$3:$H$102,7,FALSE),main!$K$19:$O$22,MATCH(VLOOKUP($A27,main!$A$3:$H$102,8,FALSE),main!$K$18:$O$18,0))))),1,0)</f>
        <v>0</v>
      </c>
      <c r="BN27">
        <f>IF((AND(VLOOKUP(BN$1,main!$A$3:$H$102,5,FALSE)-VLOOKUP($A27,main!$A$3:$H$102,6,FALSE)&gt;=(VLOOKUP(VLOOKUP(BN$1,main!$A$3:$H$102,8,FALSE),main!$K$26:$M$29,2,FALSE)+VLOOKUP(VLOOKUP(BN$1,main!$A$3:$H$102,7,FALSE),main!$K$19:$O$22,MATCH(VLOOKUP($A27,main!$A$3:$H$102,8,FALSE),main!$K$18:$O$18,0))))),1,0)</f>
        <v>0</v>
      </c>
      <c r="BO27">
        <f>IF((AND(VLOOKUP(BO$1,main!$A$3:$H$102,5,FALSE)-VLOOKUP($A27,main!$A$3:$H$102,6,FALSE)&gt;=(VLOOKUP(VLOOKUP(BO$1,main!$A$3:$H$102,8,FALSE),main!$K$26:$M$29,2,FALSE)+VLOOKUP(VLOOKUP(BO$1,main!$A$3:$H$102,7,FALSE),main!$K$19:$O$22,MATCH(VLOOKUP($A27,main!$A$3:$H$102,8,FALSE),main!$K$18:$O$18,0))))),1,0)</f>
        <v>0</v>
      </c>
      <c r="BP27">
        <f>IF((AND(VLOOKUP(BP$1,main!$A$3:$H$102,5,FALSE)-VLOOKUP($A27,main!$A$3:$H$102,6,FALSE)&gt;=(VLOOKUP(VLOOKUP(BP$1,main!$A$3:$H$102,8,FALSE),main!$K$26:$M$29,2,FALSE)+VLOOKUP(VLOOKUP(BP$1,main!$A$3:$H$102,7,FALSE),main!$K$19:$O$22,MATCH(VLOOKUP($A27,main!$A$3:$H$102,8,FALSE),main!$K$18:$O$18,0))))),1,0)</f>
        <v>0</v>
      </c>
      <c r="BQ27">
        <f>IF((AND(VLOOKUP(BQ$1,main!$A$3:$H$102,5,FALSE)-VLOOKUP($A27,main!$A$3:$H$102,6,FALSE)&gt;=(VLOOKUP(VLOOKUP(BQ$1,main!$A$3:$H$102,8,FALSE),main!$K$26:$M$29,2,FALSE)+VLOOKUP(VLOOKUP(BQ$1,main!$A$3:$H$102,7,FALSE),main!$K$19:$O$22,MATCH(VLOOKUP($A27,main!$A$3:$H$102,8,FALSE),main!$K$18:$O$18,0))))),1,0)</f>
        <v>0</v>
      </c>
      <c r="BR27">
        <f>IF((AND(VLOOKUP(BR$1,main!$A$3:$H$102,5,FALSE)-VLOOKUP($A27,main!$A$3:$H$102,6,FALSE)&gt;=(VLOOKUP(VLOOKUP(BR$1,main!$A$3:$H$102,8,FALSE),main!$K$26:$M$29,2,FALSE)+VLOOKUP(VLOOKUP(BR$1,main!$A$3:$H$102,7,FALSE),main!$K$19:$O$22,MATCH(VLOOKUP($A27,main!$A$3:$H$102,8,FALSE),main!$K$18:$O$18,0))))),1,0)</f>
        <v>0</v>
      </c>
      <c r="BS27">
        <f>IF((AND(VLOOKUP(BS$1,main!$A$3:$H$102,5,FALSE)-VLOOKUP($A27,main!$A$3:$H$102,6,FALSE)&gt;=(VLOOKUP(VLOOKUP(BS$1,main!$A$3:$H$102,8,FALSE),main!$K$26:$M$29,2,FALSE)+VLOOKUP(VLOOKUP(BS$1,main!$A$3:$H$102,7,FALSE),main!$K$19:$O$22,MATCH(VLOOKUP($A27,main!$A$3:$H$102,8,FALSE),main!$K$18:$O$18,0))))),1,0)</f>
        <v>0</v>
      </c>
      <c r="BT27">
        <f>IF((AND(VLOOKUP(BT$1,main!$A$3:$H$102,5,FALSE)-VLOOKUP($A27,main!$A$3:$H$102,6,FALSE)&gt;=(VLOOKUP(VLOOKUP(BT$1,main!$A$3:$H$102,8,FALSE),main!$K$26:$M$29,2,FALSE)+VLOOKUP(VLOOKUP(BT$1,main!$A$3:$H$102,7,FALSE),main!$K$19:$O$22,MATCH(VLOOKUP($A27,main!$A$3:$H$102,8,FALSE),main!$K$18:$O$18,0))))),1,0)</f>
        <v>0</v>
      </c>
      <c r="BU27">
        <f>IF((AND(VLOOKUP(BU$1,main!$A$3:$H$102,5,FALSE)-VLOOKUP($A27,main!$A$3:$H$102,6,FALSE)&gt;=(VLOOKUP(VLOOKUP(BU$1,main!$A$3:$H$102,8,FALSE),main!$K$26:$M$29,2,FALSE)+VLOOKUP(VLOOKUP(BU$1,main!$A$3:$H$102,7,FALSE),main!$K$19:$O$22,MATCH(VLOOKUP($A27,main!$A$3:$H$102,8,FALSE),main!$K$18:$O$18,0))))),1,0)</f>
        <v>0</v>
      </c>
      <c r="BV27">
        <f>IF((AND(VLOOKUP(BV$1,main!$A$3:$H$102,5,FALSE)-VLOOKUP($A27,main!$A$3:$H$102,6,FALSE)&gt;=(VLOOKUP(VLOOKUP(BV$1,main!$A$3:$H$102,8,FALSE),main!$K$26:$M$29,2,FALSE)+VLOOKUP(VLOOKUP(BV$1,main!$A$3:$H$102,7,FALSE),main!$K$19:$O$22,MATCH(VLOOKUP($A27,main!$A$3:$H$102,8,FALSE),main!$K$18:$O$18,0))))),1,0)</f>
        <v>0</v>
      </c>
      <c r="BW27">
        <f>IF((AND(VLOOKUP(BW$1,main!$A$3:$H$102,5,FALSE)-VLOOKUP($A27,main!$A$3:$H$102,6,FALSE)&gt;=(VLOOKUP(VLOOKUP(BW$1,main!$A$3:$H$102,8,FALSE),main!$K$26:$M$29,2,FALSE)+VLOOKUP(VLOOKUP(BW$1,main!$A$3:$H$102,7,FALSE),main!$K$19:$O$22,MATCH(VLOOKUP($A27,main!$A$3:$H$102,8,FALSE),main!$K$18:$O$18,0))))),1,0)</f>
        <v>0</v>
      </c>
      <c r="BX27">
        <f>IF((AND(VLOOKUP(BX$1,main!$A$3:$H$102,5,FALSE)-VLOOKUP($A27,main!$A$3:$H$102,6,FALSE)&gt;=(VLOOKUP(VLOOKUP(BX$1,main!$A$3:$H$102,8,FALSE),main!$K$26:$M$29,2,FALSE)+VLOOKUP(VLOOKUP(BX$1,main!$A$3:$H$102,7,FALSE),main!$K$19:$O$22,MATCH(VLOOKUP($A27,main!$A$3:$H$102,8,FALSE),main!$K$18:$O$18,0))))),1,0)</f>
        <v>0</v>
      </c>
      <c r="BY27">
        <f>IF((AND(VLOOKUP(BY$1,main!$A$3:$H$102,5,FALSE)-VLOOKUP($A27,main!$A$3:$H$102,6,FALSE)&gt;=(VLOOKUP(VLOOKUP(BY$1,main!$A$3:$H$102,8,FALSE),main!$K$26:$M$29,2,FALSE)+VLOOKUP(VLOOKUP(BY$1,main!$A$3:$H$102,7,FALSE),main!$K$19:$O$22,MATCH(VLOOKUP($A27,main!$A$3:$H$102,8,FALSE),main!$K$18:$O$18,0))))),1,0)</f>
        <v>0</v>
      </c>
      <c r="BZ27">
        <f>IF((AND(VLOOKUP(BZ$1,main!$A$3:$H$102,5,FALSE)-VLOOKUP($A27,main!$A$3:$H$102,6,FALSE)&gt;=(VLOOKUP(VLOOKUP(BZ$1,main!$A$3:$H$102,8,FALSE),main!$K$26:$M$29,2,FALSE)+VLOOKUP(VLOOKUP(BZ$1,main!$A$3:$H$102,7,FALSE),main!$K$19:$O$22,MATCH(VLOOKUP($A27,main!$A$3:$H$102,8,FALSE),main!$K$18:$O$18,0))))),1,0)</f>
        <v>0</v>
      </c>
      <c r="CA27">
        <f>IF((AND(VLOOKUP(CA$1,main!$A$3:$H$102,5,FALSE)-VLOOKUP($A27,main!$A$3:$H$102,6,FALSE)&gt;=(VLOOKUP(VLOOKUP(CA$1,main!$A$3:$H$102,8,FALSE),main!$K$26:$M$29,2,FALSE)+VLOOKUP(VLOOKUP(CA$1,main!$A$3:$H$102,7,FALSE),main!$K$19:$O$22,MATCH(VLOOKUP($A27,main!$A$3:$H$102,8,FALSE),main!$K$18:$O$18,0))))),1,0)</f>
        <v>0</v>
      </c>
      <c r="CB27">
        <f>IF((AND(VLOOKUP(CB$1,main!$A$3:$H$102,5,FALSE)-VLOOKUP($A27,main!$A$3:$H$102,6,FALSE)&gt;=(VLOOKUP(VLOOKUP(CB$1,main!$A$3:$H$102,8,FALSE),main!$K$26:$M$29,2,FALSE)+VLOOKUP(VLOOKUP(CB$1,main!$A$3:$H$102,7,FALSE),main!$K$19:$O$22,MATCH(VLOOKUP($A27,main!$A$3:$H$102,8,FALSE),main!$K$18:$O$18,0))))),1,0)</f>
        <v>0</v>
      </c>
      <c r="CC27">
        <f>IF((AND(VLOOKUP(CC$1,main!$A$3:$H$102,5,FALSE)-VLOOKUP($A27,main!$A$3:$H$102,6,FALSE)&gt;=(VLOOKUP(VLOOKUP(CC$1,main!$A$3:$H$102,8,FALSE),main!$K$26:$M$29,2,FALSE)+VLOOKUP(VLOOKUP(CC$1,main!$A$3:$H$102,7,FALSE),main!$K$19:$O$22,MATCH(VLOOKUP($A27,main!$A$3:$H$102,8,FALSE),main!$K$18:$O$18,0))))),1,0)</f>
        <v>0</v>
      </c>
      <c r="CD27">
        <f>IF((AND(VLOOKUP(CD$1,main!$A$3:$H$102,5,FALSE)-VLOOKUP($A27,main!$A$3:$H$102,6,FALSE)&gt;=(VLOOKUP(VLOOKUP(CD$1,main!$A$3:$H$102,8,FALSE),main!$K$26:$M$29,2,FALSE)+VLOOKUP(VLOOKUP(CD$1,main!$A$3:$H$102,7,FALSE),main!$K$19:$O$22,MATCH(VLOOKUP($A27,main!$A$3:$H$102,8,FALSE),main!$K$18:$O$18,0))))),1,0)</f>
        <v>0</v>
      </c>
      <c r="CE27">
        <f>IF((AND(VLOOKUP(CE$1,main!$A$3:$H$102,5,FALSE)-VLOOKUP($A27,main!$A$3:$H$102,6,FALSE)&gt;=(VLOOKUP(VLOOKUP(CE$1,main!$A$3:$H$102,8,FALSE),main!$K$26:$M$29,2,FALSE)+VLOOKUP(VLOOKUP(CE$1,main!$A$3:$H$102,7,FALSE),main!$K$19:$O$22,MATCH(VLOOKUP($A27,main!$A$3:$H$102,8,FALSE),main!$K$18:$O$18,0))))),1,0)</f>
        <v>0</v>
      </c>
      <c r="CF27">
        <f>IF((AND(VLOOKUP(CF$1,main!$A$3:$H$102,5,FALSE)-VLOOKUP($A27,main!$A$3:$H$102,6,FALSE)&gt;=(VLOOKUP(VLOOKUP(CF$1,main!$A$3:$H$102,8,FALSE),main!$K$26:$M$29,2,FALSE)+VLOOKUP(VLOOKUP(CF$1,main!$A$3:$H$102,7,FALSE),main!$K$19:$O$22,MATCH(VLOOKUP($A27,main!$A$3:$H$102,8,FALSE),main!$K$18:$O$18,0))))),1,0)</f>
        <v>0</v>
      </c>
      <c r="CG27">
        <f>IF((AND(VLOOKUP(CG$1,main!$A$3:$H$102,5,FALSE)-VLOOKUP($A27,main!$A$3:$H$102,6,FALSE)&gt;=(VLOOKUP(VLOOKUP(CG$1,main!$A$3:$H$102,8,FALSE),main!$K$26:$M$29,2,FALSE)+VLOOKUP(VLOOKUP(CG$1,main!$A$3:$H$102,7,FALSE),main!$K$19:$O$22,MATCH(VLOOKUP($A27,main!$A$3:$H$102,8,FALSE),main!$K$18:$O$18,0))))),1,0)</f>
        <v>0</v>
      </c>
      <c r="CH27">
        <f>IF((AND(VLOOKUP(CH$1,main!$A$3:$H$102,5,FALSE)-VLOOKUP($A27,main!$A$3:$H$102,6,FALSE)&gt;=(VLOOKUP(VLOOKUP(CH$1,main!$A$3:$H$102,8,FALSE),main!$K$26:$M$29,2,FALSE)+VLOOKUP(VLOOKUP(CH$1,main!$A$3:$H$102,7,FALSE),main!$K$19:$O$22,MATCH(VLOOKUP($A27,main!$A$3:$H$102,8,FALSE),main!$K$18:$O$18,0))))),1,0)</f>
        <v>0</v>
      </c>
      <c r="CI27">
        <f>IF((AND(VLOOKUP(CI$1,main!$A$3:$H$102,5,FALSE)-VLOOKUP($A27,main!$A$3:$H$102,6,FALSE)&gt;=(VLOOKUP(VLOOKUP(CI$1,main!$A$3:$H$102,8,FALSE),main!$K$26:$M$29,2,FALSE)+VLOOKUP(VLOOKUP(CI$1,main!$A$3:$H$102,7,FALSE),main!$K$19:$O$22,MATCH(VLOOKUP($A27,main!$A$3:$H$102,8,FALSE),main!$K$18:$O$18,0))))),1,0)</f>
        <v>0</v>
      </c>
      <c r="CJ27">
        <f>IF((AND(VLOOKUP(CJ$1,main!$A$3:$H$102,5,FALSE)-VLOOKUP($A27,main!$A$3:$H$102,6,FALSE)&gt;=(VLOOKUP(VLOOKUP(CJ$1,main!$A$3:$H$102,8,FALSE),main!$K$26:$M$29,2,FALSE)+VLOOKUP(VLOOKUP(CJ$1,main!$A$3:$H$102,7,FALSE),main!$K$19:$O$22,MATCH(VLOOKUP($A27,main!$A$3:$H$102,8,FALSE),main!$K$18:$O$18,0))))),1,0)</f>
        <v>0</v>
      </c>
      <c r="CK27">
        <f>IF((AND(VLOOKUP(CK$1,main!$A$3:$H$102,5,FALSE)-VLOOKUP($A27,main!$A$3:$H$102,6,FALSE)&gt;=(VLOOKUP(VLOOKUP(CK$1,main!$A$3:$H$102,8,FALSE),main!$K$26:$M$29,2,FALSE)+VLOOKUP(VLOOKUP(CK$1,main!$A$3:$H$102,7,FALSE),main!$K$19:$O$22,MATCH(VLOOKUP($A27,main!$A$3:$H$102,8,FALSE),main!$K$18:$O$18,0))))),1,0)</f>
        <v>0</v>
      </c>
      <c r="CL27">
        <f>IF((AND(VLOOKUP(CL$1,main!$A$3:$H$102,5,FALSE)-VLOOKUP($A27,main!$A$3:$H$102,6,FALSE)&gt;=(VLOOKUP(VLOOKUP(CL$1,main!$A$3:$H$102,8,FALSE),main!$K$26:$M$29,2,FALSE)+VLOOKUP(VLOOKUP(CL$1,main!$A$3:$H$102,7,FALSE),main!$K$19:$O$22,MATCH(VLOOKUP($A27,main!$A$3:$H$102,8,FALSE),main!$K$18:$O$18,0))))),1,0)</f>
        <v>0</v>
      </c>
      <c r="CM27">
        <f>IF((AND(VLOOKUP(CM$1,main!$A$3:$H$102,5,FALSE)-VLOOKUP($A27,main!$A$3:$H$102,6,FALSE)&gt;=(VLOOKUP(VLOOKUP(CM$1,main!$A$3:$H$102,8,FALSE),main!$K$26:$M$29,2,FALSE)+VLOOKUP(VLOOKUP(CM$1,main!$A$3:$H$102,7,FALSE),main!$K$19:$O$22,MATCH(VLOOKUP($A27,main!$A$3:$H$102,8,FALSE),main!$K$18:$O$18,0))))),1,0)</f>
        <v>0</v>
      </c>
      <c r="CN27">
        <f>IF((AND(VLOOKUP(CN$1,main!$A$3:$H$102,5,FALSE)-VLOOKUP($A27,main!$A$3:$H$102,6,FALSE)&gt;=(VLOOKUP(VLOOKUP(CN$1,main!$A$3:$H$102,8,FALSE),main!$K$26:$M$29,2,FALSE)+VLOOKUP(VLOOKUP(CN$1,main!$A$3:$H$102,7,FALSE),main!$K$19:$O$22,MATCH(VLOOKUP($A27,main!$A$3:$H$102,8,FALSE),main!$K$18:$O$18,0))))),1,0)</f>
        <v>0</v>
      </c>
      <c r="CO27">
        <f>IF((AND(VLOOKUP(CO$1,main!$A$3:$H$102,5,FALSE)-VLOOKUP($A27,main!$A$3:$H$102,6,FALSE)&gt;=(VLOOKUP(VLOOKUP(CO$1,main!$A$3:$H$102,8,FALSE),main!$K$26:$M$29,2,FALSE)+VLOOKUP(VLOOKUP(CO$1,main!$A$3:$H$102,7,FALSE),main!$K$19:$O$22,MATCH(VLOOKUP($A27,main!$A$3:$H$102,8,FALSE),main!$K$18:$O$18,0))))),1,0)</f>
        <v>0</v>
      </c>
      <c r="CP27">
        <f>IF((AND(VLOOKUP(CP$1,main!$A$3:$H$102,5,FALSE)-VLOOKUP($A27,main!$A$3:$H$102,6,FALSE)&gt;=(VLOOKUP(VLOOKUP(CP$1,main!$A$3:$H$102,8,FALSE),main!$K$26:$M$29,2,FALSE)+VLOOKUP(VLOOKUP(CP$1,main!$A$3:$H$102,7,FALSE),main!$K$19:$O$22,MATCH(VLOOKUP($A27,main!$A$3:$H$102,8,FALSE),main!$K$18:$O$18,0))))),1,0)</f>
        <v>0</v>
      </c>
      <c r="CQ27">
        <f>IF((AND(VLOOKUP(CQ$1,main!$A$3:$H$102,5,FALSE)-VLOOKUP($A27,main!$A$3:$H$102,6,FALSE)&gt;=(VLOOKUP(VLOOKUP(CQ$1,main!$A$3:$H$102,8,FALSE),main!$K$26:$M$29,2,FALSE)+VLOOKUP(VLOOKUP(CQ$1,main!$A$3:$H$102,7,FALSE),main!$K$19:$O$22,MATCH(VLOOKUP($A27,main!$A$3:$H$102,8,FALSE),main!$K$18:$O$18,0))))),1,0)</f>
        <v>0</v>
      </c>
      <c r="CR27">
        <f>IF((AND(VLOOKUP(CR$1,main!$A$3:$H$102,5,FALSE)-VLOOKUP($A27,main!$A$3:$H$102,6,FALSE)&gt;=(VLOOKUP(VLOOKUP(CR$1,main!$A$3:$H$102,8,FALSE),main!$K$26:$M$29,2,FALSE)+VLOOKUP(VLOOKUP(CR$1,main!$A$3:$H$102,7,FALSE),main!$K$19:$O$22,MATCH(VLOOKUP($A27,main!$A$3:$H$102,8,FALSE),main!$K$18:$O$18,0))))),1,0)</f>
        <v>0</v>
      </c>
      <c r="CS27">
        <f>IF((AND(VLOOKUP(CS$1,main!$A$3:$H$102,5,FALSE)-VLOOKUP($A27,main!$A$3:$H$102,6,FALSE)&gt;=(VLOOKUP(VLOOKUP(CS$1,main!$A$3:$H$102,8,FALSE),main!$K$26:$M$29,2,FALSE)+VLOOKUP(VLOOKUP(CS$1,main!$A$3:$H$102,7,FALSE),main!$K$19:$O$22,MATCH(VLOOKUP($A27,main!$A$3:$H$102,8,FALSE),main!$K$18:$O$18,0))))),1,0)</f>
        <v>0</v>
      </c>
      <c r="CT27">
        <f>IF((AND(VLOOKUP(CT$1,main!$A$3:$H$102,5,FALSE)-VLOOKUP($A27,main!$A$3:$H$102,6,FALSE)&gt;=(VLOOKUP(VLOOKUP(CT$1,main!$A$3:$H$102,8,FALSE),main!$K$26:$M$29,2,FALSE)+VLOOKUP(VLOOKUP(CT$1,main!$A$3:$H$102,7,FALSE),main!$K$19:$O$22,MATCH(VLOOKUP($A27,main!$A$3:$H$102,8,FALSE),main!$K$18:$O$18,0))))),1,0)</f>
        <v>0</v>
      </c>
      <c r="CU27">
        <f>IF((AND(VLOOKUP(CU$1,main!$A$3:$H$102,5,FALSE)-VLOOKUP($A27,main!$A$3:$H$102,6,FALSE)&gt;=(VLOOKUP(VLOOKUP(CU$1,main!$A$3:$H$102,8,FALSE),main!$K$26:$M$29,2,FALSE)+VLOOKUP(VLOOKUP(CU$1,main!$A$3:$H$102,7,FALSE),main!$K$19:$O$22,MATCH(VLOOKUP($A27,main!$A$3:$H$102,8,FALSE),main!$K$18:$O$18,0))))),1,0)</f>
        <v>0</v>
      </c>
      <c r="CV27">
        <f>IF((AND(VLOOKUP(CV$1,main!$A$3:$H$102,5,FALSE)-VLOOKUP($A27,main!$A$3:$H$102,6,FALSE)&gt;=(VLOOKUP(VLOOKUP(CV$1,main!$A$3:$H$102,8,FALSE),main!$K$26:$M$29,2,FALSE)+VLOOKUP(VLOOKUP(CV$1,main!$A$3:$H$102,7,FALSE),main!$K$19:$O$22,MATCH(VLOOKUP($A27,main!$A$3:$H$102,8,FALSE),main!$K$18:$O$18,0))))),1,0)</f>
        <v>0</v>
      </c>
      <c r="CW27">
        <f>IF((AND(VLOOKUP(CW$1,main!$A$3:$H$102,5,FALSE)-VLOOKUP($A27,main!$A$3:$H$102,6,FALSE)&gt;=(VLOOKUP(VLOOKUP(CW$1,main!$A$3:$H$102,8,FALSE),main!$K$26:$M$29,2,FALSE)+VLOOKUP(VLOOKUP(CW$1,main!$A$3:$H$102,7,FALSE),main!$K$19:$O$22,MATCH(VLOOKUP($A27,main!$A$3:$H$102,8,FALSE),main!$K$18:$O$18,0))))),1,0)</f>
        <v>0</v>
      </c>
      <c r="CX27">
        <f>IF((AND(VLOOKUP(CX$1,main!$A$3:$H$102,5,FALSE)-VLOOKUP($A27,main!$A$3:$H$102,6,FALSE)&gt;=(VLOOKUP(VLOOKUP(CX$1,main!$A$3:$H$102,8,FALSE),main!$K$26:$M$29,2,FALSE)+VLOOKUP(VLOOKUP(CX$1,main!$A$3:$H$102,7,FALSE),main!$K$19:$O$22,MATCH(VLOOKUP($A27,main!$A$3:$H$102,8,FALSE),main!$K$18:$O$18,0))))),1,0)</f>
        <v>0</v>
      </c>
    </row>
    <row r="28" spans="1:102" x14ac:dyDescent="0.25">
      <c r="A28" s="1">
        <v>26</v>
      </c>
      <c r="B28">
        <v>1</v>
      </c>
      <c r="C28">
        <f>IF((AND(VLOOKUP(C$1,main!$A$3:$H$102,5,FALSE)-VLOOKUP($A28,main!$A$3:$H$102,6,FALSE)&gt;=(VLOOKUP(VLOOKUP(C$1,main!$A$3:$H$102,8,FALSE),main!$K$26:$M$29,2,FALSE)+VLOOKUP(VLOOKUP(C$1,main!$A$3:$H$102,7,FALSE),main!$K$19:$O$22,MATCH(VLOOKUP($A28,main!$A$3:$H$102,8,FALSE),main!$K$18:$O$18,0))))),1,0)</f>
        <v>0</v>
      </c>
      <c r="D28">
        <f>IF((AND(VLOOKUP(D$1,main!$A$3:$H$102,5,FALSE)-VLOOKUP($A28,main!$A$3:$H$102,6,FALSE)&gt;=(VLOOKUP(VLOOKUP(D$1,main!$A$3:$H$102,8,FALSE),main!$K$26:$M$29,2,FALSE)+VLOOKUP(VLOOKUP(D$1,main!$A$3:$H$102,7,FALSE),main!$K$19:$O$22,MATCH(VLOOKUP($A28,main!$A$3:$H$102,8,FALSE),main!$K$18:$O$18,0))))),1,0)</f>
        <v>0</v>
      </c>
      <c r="E28">
        <f>IF((AND(VLOOKUP(E$1,main!$A$3:$H$102,5,FALSE)-VLOOKUP($A28,main!$A$3:$H$102,6,FALSE)&gt;=(VLOOKUP(VLOOKUP(E$1,main!$A$3:$H$102,8,FALSE),main!$K$26:$M$29,2,FALSE)+VLOOKUP(VLOOKUP(E$1,main!$A$3:$H$102,7,FALSE),main!$K$19:$O$22,MATCH(VLOOKUP($A28,main!$A$3:$H$102,8,FALSE),main!$K$18:$O$18,0))))),1,0)</f>
        <v>1</v>
      </c>
      <c r="F28">
        <f>IF((AND(VLOOKUP(F$1,main!$A$3:$H$102,5,FALSE)-VLOOKUP($A28,main!$A$3:$H$102,6,FALSE)&gt;=(VLOOKUP(VLOOKUP(F$1,main!$A$3:$H$102,8,FALSE),main!$K$26:$M$29,2,FALSE)+VLOOKUP(VLOOKUP(F$1,main!$A$3:$H$102,7,FALSE),main!$K$19:$O$22,MATCH(VLOOKUP($A28,main!$A$3:$H$102,8,FALSE),main!$K$18:$O$18,0))))),1,0)</f>
        <v>1</v>
      </c>
      <c r="G28">
        <f>IF((AND(VLOOKUP(G$1,main!$A$3:$H$102,5,FALSE)-VLOOKUP($A28,main!$A$3:$H$102,6,FALSE)&gt;=(VLOOKUP(VLOOKUP(G$1,main!$A$3:$H$102,8,FALSE),main!$K$26:$M$29,2,FALSE)+VLOOKUP(VLOOKUP(G$1,main!$A$3:$H$102,7,FALSE),main!$K$19:$O$22,MATCH(VLOOKUP($A28,main!$A$3:$H$102,8,FALSE),main!$K$18:$O$18,0))))),1,0)</f>
        <v>1</v>
      </c>
      <c r="H28">
        <f>IF((AND(VLOOKUP(H$1,main!$A$3:$H$102,5,FALSE)-VLOOKUP($A28,main!$A$3:$H$102,6,FALSE)&gt;=(VLOOKUP(VLOOKUP(H$1,main!$A$3:$H$102,8,FALSE),main!$K$26:$M$29,2,FALSE)+VLOOKUP(VLOOKUP(H$1,main!$A$3:$H$102,7,FALSE),main!$K$19:$O$22,MATCH(VLOOKUP($A28,main!$A$3:$H$102,8,FALSE),main!$K$18:$O$18,0))))),1,0)</f>
        <v>1</v>
      </c>
      <c r="I28">
        <f>IF((AND(VLOOKUP(I$1,main!$A$3:$H$102,5,FALSE)-VLOOKUP($A28,main!$A$3:$H$102,6,FALSE)&gt;=(VLOOKUP(VLOOKUP(I$1,main!$A$3:$H$102,8,FALSE),main!$K$26:$M$29,2,FALSE)+VLOOKUP(VLOOKUP(I$1,main!$A$3:$H$102,7,FALSE),main!$K$19:$O$22,MATCH(VLOOKUP($A28,main!$A$3:$H$102,8,FALSE),main!$K$18:$O$18,0))))),1,0)</f>
        <v>1</v>
      </c>
      <c r="J28">
        <f>IF((AND(VLOOKUP(J$1,main!$A$3:$H$102,5,FALSE)-VLOOKUP($A28,main!$A$3:$H$102,6,FALSE)&gt;=(VLOOKUP(VLOOKUP(J$1,main!$A$3:$H$102,8,FALSE),main!$K$26:$M$29,2,FALSE)+VLOOKUP(VLOOKUP(J$1,main!$A$3:$H$102,7,FALSE),main!$K$19:$O$22,MATCH(VLOOKUP($A28,main!$A$3:$H$102,8,FALSE),main!$K$18:$O$18,0))))),1,0)</f>
        <v>1</v>
      </c>
      <c r="K28">
        <f>IF((AND(VLOOKUP(K$1,main!$A$3:$H$102,5,FALSE)-VLOOKUP($A28,main!$A$3:$H$102,6,FALSE)&gt;=(VLOOKUP(VLOOKUP(K$1,main!$A$3:$H$102,8,FALSE),main!$K$26:$M$29,2,FALSE)+VLOOKUP(VLOOKUP(K$1,main!$A$3:$H$102,7,FALSE),main!$K$19:$O$22,MATCH(VLOOKUP($A28,main!$A$3:$H$102,8,FALSE),main!$K$18:$O$18,0))))),1,0)</f>
        <v>1</v>
      </c>
      <c r="L28">
        <f>IF((AND(VLOOKUP(L$1,main!$A$3:$H$102,5,FALSE)-VLOOKUP($A28,main!$A$3:$H$102,6,FALSE)&gt;=(VLOOKUP(VLOOKUP(L$1,main!$A$3:$H$102,8,FALSE),main!$K$26:$M$29,2,FALSE)+VLOOKUP(VLOOKUP(L$1,main!$A$3:$H$102,7,FALSE),main!$K$19:$O$22,MATCH(VLOOKUP($A28,main!$A$3:$H$102,8,FALSE),main!$K$18:$O$18,0))))),1,0)</f>
        <v>1</v>
      </c>
      <c r="M28">
        <f>IF((AND(VLOOKUP(M$1,main!$A$3:$H$102,5,FALSE)-VLOOKUP($A28,main!$A$3:$H$102,6,FALSE)&gt;=(VLOOKUP(VLOOKUP(M$1,main!$A$3:$H$102,8,FALSE),main!$K$26:$M$29,2,FALSE)+VLOOKUP(VLOOKUP(M$1,main!$A$3:$H$102,7,FALSE),main!$K$19:$O$22,MATCH(VLOOKUP($A28,main!$A$3:$H$102,8,FALSE),main!$K$18:$O$18,0))))),1,0)</f>
        <v>0</v>
      </c>
      <c r="N28">
        <f>IF((AND(VLOOKUP(N$1,main!$A$3:$H$102,5,FALSE)-VLOOKUP($A28,main!$A$3:$H$102,6,FALSE)&gt;=(VLOOKUP(VLOOKUP(N$1,main!$A$3:$H$102,8,FALSE),main!$K$26:$M$29,2,FALSE)+VLOOKUP(VLOOKUP(N$1,main!$A$3:$H$102,7,FALSE),main!$K$19:$O$22,MATCH(VLOOKUP($A28,main!$A$3:$H$102,8,FALSE),main!$K$18:$O$18,0))))),1,0)</f>
        <v>0</v>
      </c>
      <c r="O28">
        <f>IF((AND(VLOOKUP(O$1,main!$A$3:$H$102,5,FALSE)-VLOOKUP($A28,main!$A$3:$H$102,6,FALSE)&gt;=(VLOOKUP(VLOOKUP(O$1,main!$A$3:$H$102,8,FALSE),main!$K$26:$M$29,2,FALSE)+VLOOKUP(VLOOKUP(O$1,main!$A$3:$H$102,7,FALSE),main!$K$19:$O$22,MATCH(VLOOKUP($A28,main!$A$3:$H$102,8,FALSE),main!$K$18:$O$18,0))))),1,0)</f>
        <v>0</v>
      </c>
      <c r="P28">
        <f>IF((AND(VLOOKUP(P$1,main!$A$3:$H$102,5,FALSE)-VLOOKUP($A28,main!$A$3:$H$102,6,FALSE)&gt;=(VLOOKUP(VLOOKUP(P$1,main!$A$3:$H$102,8,FALSE),main!$K$26:$M$29,2,FALSE)+VLOOKUP(VLOOKUP(P$1,main!$A$3:$H$102,7,FALSE),main!$K$19:$O$22,MATCH(VLOOKUP($A28,main!$A$3:$H$102,8,FALSE),main!$K$18:$O$18,0))))),1,0)</f>
        <v>1</v>
      </c>
      <c r="Q28">
        <f>IF((AND(VLOOKUP(Q$1,main!$A$3:$H$102,5,FALSE)-VLOOKUP($A28,main!$A$3:$H$102,6,FALSE)&gt;=(VLOOKUP(VLOOKUP(Q$1,main!$A$3:$H$102,8,FALSE),main!$K$26:$M$29,2,FALSE)+VLOOKUP(VLOOKUP(Q$1,main!$A$3:$H$102,7,FALSE),main!$K$19:$O$22,MATCH(VLOOKUP($A28,main!$A$3:$H$102,8,FALSE),main!$K$18:$O$18,0))))),1,0)</f>
        <v>1</v>
      </c>
      <c r="R28">
        <f>IF((AND(VLOOKUP(R$1,main!$A$3:$H$102,5,FALSE)-VLOOKUP($A28,main!$A$3:$H$102,6,FALSE)&gt;=(VLOOKUP(VLOOKUP(R$1,main!$A$3:$H$102,8,FALSE),main!$K$26:$M$29,2,FALSE)+VLOOKUP(VLOOKUP(R$1,main!$A$3:$H$102,7,FALSE),main!$K$19:$O$22,MATCH(VLOOKUP($A28,main!$A$3:$H$102,8,FALSE),main!$K$18:$O$18,0))))),1,0)</f>
        <v>1</v>
      </c>
      <c r="S28">
        <f>IF((AND(VLOOKUP(S$1,main!$A$3:$H$102,5,FALSE)-VLOOKUP($A28,main!$A$3:$H$102,6,FALSE)&gt;=(VLOOKUP(VLOOKUP(S$1,main!$A$3:$H$102,8,FALSE),main!$K$26:$M$29,2,FALSE)+VLOOKUP(VLOOKUP(S$1,main!$A$3:$H$102,7,FALSE),main!$K$19:$O$22,MATCH(VLOOKUP($A28,main!$A$3:$H$102,8,FALSE),main!$K$18:$O$18,0))))),1,0)</f>
        <v>1</v>
      </c>
      <c r="T28">
        <f>IF((AND(VLOOKUP(T$1,main!$A$3:$H$102,5,FALSE)-VLOOKUP($A28,main!$A$3:$H$102,6,FALSE)&gt;=(VLOOKUP(VLOOKUP(T$1,main!$A$3:$H$102,8,FALSE),main!$K$26:$M$29,2,FALSE)+VLOOKUP(VLOOKUP(T$1,main!$A$3:$H$102,7,FALSE),main!$K$19:$O$22,MATCH(VLOOKUP($A28,main!$A$3:$H$102,8,FALSE),main!$K$18:$O$18,0))))),1,0)</f>
        <v>1</v>
      </c>
      <c r="U28">
        <f>IF((AND(VLOOKUP(U$1,main!$A$3:$H$102,5,FALSE)-VLOOKUP($A28,main!$A$3:$H$102,6,FALSE)&gt;=(VLOOKUP(VLOOKUP(U$1,main!$A$3:$H$102,8,FALSE),main!$K$26:$M$29,2,FALSE)+VLOOKUP(VLOOKUP(U$1,main!$A$3:$H$102,7,FALSE),main!$K$19:$O$22,MATCH(VLOOKUP($A28,main!$A$3:$H$102,8,FALSE),main!$K$18:$O$18,0))))),1,0)</f>
        <v>1</v>
      </c>
      <c r="V28">
        <f>IF((AND(VLOOKUP(V$1,main!$A$3:$H$102,5,FALSE)-VLOOKUP($A28,main!$A$3:$H$102,6,FALSE)&gt;=(VLOOKUP(VLOOKUP(V$1,main!$A$3:$H$102,8,FALSE),main!$K$26:$M$29,2,FALSE)+VLOOKUP(VLOOKUP(V$1,main!$A$3:$H$102,7,FALSE),main!$K$19:$O$22,MATCH(VLOOKUP($A28,main!$A$3:$H$102,8,FALSE),main!$K$18:$O$18,0))))),1,0)</f>
        <v>1</v>
      </c>
      <c r="W28">
        <f>IF((AND(VLOOKUP(W$1,main!$A$3:$H$102,5,FALSE)-VLOOKUP($A28,main!$A$3:$H$102,6,FALSE)&gt;=(VLOOKUP(VLOOKUP(W$1,main!$A$3:$H$102,8,FALSE),main!$K$26:$M$29,2,FALSE)+VLOOKUP(VLOOKUP(W$1,main!$A$3:$H$102,7,FALSE),main!$K$19:$O$22,MATCH(VLOOKUP($A28,main!$A$3:$H$102,8,FALSE),main!$K$18:$O$18,0))))),1,0)</f>
        <v>0</v>
      </c>
      <c r="X28">
        <f>IF((AND(VLOOKUP(X$1,main!$A$3:$H$102,5,FALSE)-VLOOKUP($A28,main!$A$3:$H$102,6,FALSE)&gt;=(VLOOKUP(VLOOKUP(X$1,main!$A$3:$H$102,8,FALSE),main!$K$26:$M$29,2,FALSE)+VLOOKUP(VLOOKUP(X$1,main!$A$3:$H$102,7,FALSE),main!$K$19:$O$22,MATCH(VLOOKUP($A28,main!$A$3:$H$102,8,FALSE),main!$K$18:$O$18,0))))),1,0)</f>
        <v>0</v>
      </c>
      <c r="Y28">
        <f>IF((AND(VLOOKUP(Y$1,main!$A$3:$H$102,5,FALSE)-VLOOKUP($A28,main!$A$3:$H$102,6,FALSE)&gt;=(VLOOKUP(VLOOKUP(Y$1,main!$A$3:$H$102,8,FALSE),main!$K$26:$M$29,2,FALSE)+VLOOKUP(VLOOKUP(Y$1,main!$A$3:$H$102,7,FALSE),main!$K$19:$O$22,MATCH(VLOOKUP($A28,main!$A$3:$H$102,8,FALSE),main!$K$18:$O$18,0))))),1,0)</f>
        <v>1</v>
      </c>
      <c r="Z28">
        <f>IF((AND(VLOOKUP(Z$1,main!$A$3:$H$102,5,FALSE)-VLOOKUP($A28,main!$A$3:$H$102,6,FALSE)&gt;=(VLOOKUP(VLOOKUP(Z$1,main!$A$3:$H$102,8,FALSE),main!$K$26:$M$29,2,FALSE)+VLOOKUP(VLOOKUP(Z$1,main!$A$3:$H$102,7,FALSE),main!$K$19:$O$22,MATCH(VLOOKUP($A28,main!$A$3:$H$102,8,FALSE),main!$K$18:$O$18,0))))),1,0)</f>
        <v>1</v>
      </c>
      <c r="AA28">
        <f>IF((AND(VLOOKUP(AA$1,main!$A$3:$H$102,5,FALSE)-VLOOKUP($A28,main!$A$3:$H$102,6,FALSE)&gt;=(VLOOKUP(VLOOKUP(AA$1,main!$A$3:$H$102,8,FALSE),main!$K$26:$M$29,2,FALSE)+VLOOKUP(VLOOKUP(AA$1,main!$A$3:$H$102,7,FALSE),main!$K$19:$O$22,MATCH(VLOOKUP($A28,main!$A$3:$H$102,8,FALSE),main!$K$18:$O$18,0))))),1,0)</f>
        <v>1</v>
      </c>
      <c r="AB28">
        <f>IF((AND(VLOOKUP(AB$1,main!$A$3:$H$102,5,FALSE)-VLOOKUP($A28,main!$A$3:$H$102,6,FALSE)&gt;=(VLOOKUP(VLOOKUP(AB$1,main!$A$3:$H$102,8,FALSE),main!$K$26:$M$29,2,FALSE)+VLOOKUP(VLOOKUP(AB$1,main!$A$3:$H$102,7,FALSE),main!$K$19:$O$22,MATCH(VLOOKUP($A28,main!$A$3:$H$102,8,FALSE),main!$K$18:$O$18,0))))),1,0)</f>
        <v>0</v>
      </c>
      <c r="AC28">
        <f>IF((AND(VLOOKUP(AC$1,main!$A$3:$H$102,5,FALSE)-VLOOKUP($A28,main!$A$3:$H$102,6,FALSE)&gt;=(VLOOKUP(VLOOKUP(AC$1,main!$A$3:$H$102,8,FALSE),main!$K$26:$M$29,2,FALSE)+VLOOKUP(VLOOKUP(AC$1,main!$A$3:$H$102,7,FALSE),main!$K$19:$O$22,MATCH(VLOOKUP($A28,main!$A$3:$H$102,8,FALSE),main!$K$18:$O$18,0))))),1,0)</f>
        <v>0</v>
      </c>
      <c r="AD28">
        <f>IF((AND(VLOOKUP(AD$1,main!$A$3:$H$102,5,FALSE)-VLOOKUP($A28,main!$A$3:$H$102,6,FALSE)&gt;=(VLOOKUP(VLOOKUP(AD$1,main!$A$3:$H$102,8,FALSE),main!$K$26:$M$29,2,FALSE)+VLOOKUP(VLOOKUP(AD$1,main!$A$3:$H$102,7,FALSE),main!$K$19:$O$22,MATCH(VLOOKUP($A28,main!$A$3:$H$102,8,FALSE),main!$K$18:$O$18,0))))),1,0)</f>
        <v>1</v>
      </c>
      <c r="AE28">
        <f>IF((AND(VLOOKUP(AE$1,main!$A$3:$H$102,5,FALSE)-VLOOKUP($A28,main!$A$3:$H$102,6,FALSE)&gt;=(VLOOKUP(VLOOKUP(AE$1,main!$A$3:$H$102,8,FALSE),main!$K$26:$M$29,2,FALSE)+VLOOKUP(VLOOKUP(AE$1,main!$A$3:$H$102,7,FALSE),main!$K$19:$O$22,MATCH(VLOOKUP($A28,main!$A$3:$H$102,8,FALSE),main!$K$18:$O$18,0))))),1,0)</f>
        <v>1</v>
      </c>
      <c r="AF28">
        <f>IF((AND(VLOOKUP(AF$1,main!$A$3:$H$102,5,FALSE)-VLOOKUP($A28,main!$A$3:$H$102,6,FALSE)&gt;=(VLOOKUP(VLOOKUP(AF$1,main!$A$3:$H$102,8,FALSE),main!$K$26:$M$29,2,FALSE)+VLOOKUP(VLOOKUP(AF$1,main!$A$3:$H$102,7,FALSE),main!$K$19:$O$22,MATCH(VLOOKUP($A28,main!$A$3:$H$102,8,FALSE),main!$K$18:$O$18,0))))),1,0)</f>
        <v>1</v>
      </c>
      <c r="AG28">
        <f>IF((AND(VLOOKUP(AG$1,main!$A$3:$H$102,5,FALSE)-VLOOKUP($A28,main!$A$3:$H$102,6,FALSE)&gt;=(VLOOKUP(VLOOKUP(AG$1,main!$A$3:$H$102,8,FALSE),main!$K$26:$M$29,2,FALSE)+VLOOKUP(VLOOKUP(AG$1,main!$A$3:$H$102,7,FALSE),main!$K$19:$O$22,MATCH(VLOOKUP($A28,main!$A$3:$H$102,8,FALSE),main!$K$18:$O$18,0))))),1,0)</f>
        <v>0</v>
      </c>
      <c r="AH28">
        <f>IF((AND(VLOOKUP(AH$1,main!$A$3:$H$102,5,FALSE)-VLOOKUP($A28,main!$A$3:$H$102,6,FALSE)&gt;=(VLOOKUP(VLOOKUP(AH$1,main!$A$3:$H$102,8,FALSE),main!$K$26:$M$29,2,FALSE)+VLOOKUP(VLOOKUP(AH$1,main!$A$3:$H$102,7,FALSE),main!$K$19:$O$22,MATCH(VLOOKUP($A28,main!$A$3:$H$102,8,FALSE),main!$K$18:$O$18,0))))),1,0)</f>
        <v>0</v>
      </c>
      <c r="AI28">
        <f>IF((AND(VLOOKUP(AI$1,main!$A$3:$H$102,5,FALSE)-VLOOKUP($A28,main!$A$3:$H$102,6,FALSE)&gt;=(VLOOKUP(VLOOKUP(AI$1,main!$A$3:$H$102,8,FALSE),main!$K$26:$M$29,2,FALSE)+VLOOKUP(VLOOKUP(AI$1,main!$A$3:$H$102,7,FALSE),main!$K$19:$O$22,MATCH(VLOOKUP($A28,main!$A$3:$H$102,8,FALSE),main!$K$18:$O$18,0))))),1,0)</f>
        <v>1</v>
      </c>
      <c r="AJ28">
        <f>IF((AND(VLOOKUP(AJ$1,main!$A$3:$H$102,5,FALSE)-VLOOKUP($A28,main!$A$3:$H$102,6,FALSE)&gt;=(VLOOKUP(VLOOKUP(AJ$1,main!$A$3:$H$102,8,FALSE),main!$K$26:$M$29,2,FALSE)+VLOOKUP(VLOOKUP(AJ$1,main!$A$3:$H$102,7,FALSE),main!$K$19:$O$22,MATCH(VLOOKUP($A28,main!$A$3:$H$102,8,FALSE),main!$K$18:$O$18,0))))),1,0)</f>
        <v>1</v>
      </c>
      <c r="AK28">
        <f>IF((AND(VLOOKUP(AK$1,main!$A$3:$H$102,5,FALSE)-VLOOKUP($A28,main!$A$3:$H$102,6,FALSE)&gt;=(VLOOKUP(VLOOKUP(AK$1,main!$A$3:$H$102,8,FALSE),main!$K$26:$M$29,2,FALSE)+VLOOKUP(VLOOKUP(AK$1,main!$A$3:$H$102,7,FALSE),main!$K$19:$O$22,MATCH(VLOOKUP($A28,main!$A$3:$H$102,8,FALSE),main!$K$18:$O$18,0))))),1,0)</f>
        <v>1</v>
      </c>
      <c r="AL28">
        <f>IF((AND(VLOOKUP(AL$1,main!$A$3:$H$102,5,FALSE)-VLOOKUP($A28,main!$A$3:$H$102,6,FALSE)&gt;=(VLOOKUP(VLOOKUP(AL$1,main!$A$3:$H$102,8,FALSE),main!$K$26:$M$29,2,FALSE)+VLOOKUP(VLOOKUP(AL$1,main!$A$3:$H$102,7,FALSE),main!$K$19:$O$22,MATCH(VLOOKUP($A28,main!$A$3:$H$102,8,FALSE),main!$K$18:$O$18,0))))),1,0)</f>
        <v>1</v>
      </c>
      <c r="AM28">
        <f>IF((AND(VLOOKUP(AM$1,main!$A$3:$H$102,5,FALSE)-VLOOKUP($A28,main!$A$3:$H$102,6,FALSE)&gt;=(VLOOKUP(VLOOKUP(AM$1,main!$A$3:$H$102,8,FALSE),main!$K$26:$M$29,2,FALSE)+VLOOKUP(VLOOKUP(AM$1,main!$A$3:$H$102,7,FALSE),main!$K$19:$O$22,MATCH(VLOOKUP($A28,main!$A$3:$H$102,8,FALSE),main!$K$18:$O$18,0))))),1,0)</f>
        <v>1</v>
      </c>
      <c r="AN28">
        <f>IF((AND(VLOOKUP(AN$1,main!$A$3:$H$102,5,FALSE)-VLOOKUP($A28,main!$A$3:$H$102,6,FALSE)&gt;=(VLOOKUP(VLOOKUP(AN$1,main!$A$3:$H$102,8,FALSE),main!$K$26:$M$29,2,FALSE)+VLOOKUP(VLOOKUP(AN$1,main!$A$3:$H$102,7,FALSE),main!$K$19:$O$22,MATCH(VLOOKUP($A28,main!$A$3:$H$102,8,FALSE),main!$K$18:$O$18,0))))),1,0)</f>
        <v>1</v>
      </c>
      <c r="AO28">
        <f>IF((AND(VLOOKUP(AO$1,main!$A$3:$H$102,5,FALSE)-VLOOKUP($A28,main!$A$3:$H$102,6,FALSE)&gt;=(VLOOKUP(VLOOKUP(AO$1,main!$A$3:$H$102,8,FALSE),main!$K$26:$M$29,2,FALSE)+VLOOKUP(VLOOKUP(AO$1,main!$A$3:$H$102,7,FALSE),main!$K$19:$O$22,MATCH(VLOOKUP($A28,main!$A$3:$H$102,8,FALSE),main!$K$18:$O$18,0))))),1,0)</f>
        <v>0</v>
      </c>
      <c r="AP28">
        <f>IF((AND(VLOOKUP(AP$1,main!$A$3:$H$102,5,FALSE)-VLOOKUP($A28,main!$A$3:$H$102,6,FALSE)&gt;=(VLOOKUP(VLOOKUP(AP$1,main!$A$3:$H$102,8,FALSE),main!$K$26:$M$29,2,FALSE)+VLOOKUP(VLOOKUP(AP$1,main!$A$3:$H$102,7,FALSE),main!$K$19:$O$22,MATCH(VLOOKUP($A28,main!$A$3:$H$102,8,FALSE),main!$K$18:$O$18,0))))),1,0)</f>
        <v>1</v>
      </c>
      <c r="AQ28">
        <f>IF((AND(VLOOKUP(AQ$1,main!$A$3:$H$102,5,FALSE)-VLOOKUP($A28,main!$A$3:$H$102,6,FALSE)&gt;=(VLOOKUP(VLOOKUP(AQ$1,main!$A$3:$H$102,8,FALSE),main!$K$26:$M$29,2,FALSE)+VLOOKUP(VLOOKUP(AQ$1,main!$A$3:$H$102,7,FALSE),main!$K$19:$O$22,MATCH(VLOOKUP($A28,main!$A$3:$H$102,8,FALSE),main!$K$18:$O$18,0))))),1,0)</f>
        <v>0</v>
      </c>
      <c r="AR28">
        <f>IF((AND(VLOOKUP(AR$1,main!$A$3:$H$102,5,FALSE)-VLOOKUP($A28,main!$A$3:$H$102,6,FALSE)&gt;=(VLOOKUP(VLOOKUP(AR$1,main!$A$3:$H$102,8,FALSE),main!$K$26:$M$29,2,FALSE)+VLOOKUP(VLOOKUP(AR$1,main!$A$3:$H$102,7,FALSE),main!$K$19:$O$22,MATCH(VLOOKUP($A28,main!$A$3:$H$102,8,FALSE),main!$K$18:$O$18,0))))),1,0)</f>
        <v>0</v>
      </c>
      <c r="AS28">
        <f>IF((AND(VLOOKUP(AS$1,main!$A$3:$H$102,5,FALSE)-VLOOKUP($A28,main!$A$3:$H$102,6,FALSE)&gt;=(VLOOKUP(VLOOKUP(AS$1,main!$A$3:$H$102,8,FALSE),main!$K$26:$M$29,2,FALSE)+VLOOKUP(VLOOKUP(AS$1,main!$A$3:$H$102,7,FALSE),main!$K$19:$O$22,MATCH(VLOOKUP($A28,main!$A$3:$H$102,8,FALSE),main!$K$18:$O$18,0))))),1,0)</f>
        <v>1</v>
      </c>
      <c r="AT28">
        <f>IF((AND(VLOOKUP(AT$1,main!$A$3:$H$102,5,FALSE)-VLOOKUP($A28,main!$A$3:$H$102,6,FALSE)&gt;=(VLOOKUP(VLOOKUP(AT$1,main!$A$3:$H$102,8,FALSE),main!$K$26:$M$29,2,FALSE)+VLOOKUP(VLOOKUP(AT$1,main!$A$3:$H$102,7,FALSE),main!$K$19:$O$22,MATCH(VLOOKUP($A28,main!$A$3:$H$102,8,FALSE),main!$K$18:$O$18,0))))),1,0)</f>
        <v>1</v>
      </c>
      <c r="AU28">
        <f>IF((AND(VLOOKUP(AU$1,main!$A$3:$H$102,5,FALSE)-VLOOKUP($A28,main!$A$3:$H$102,6,FALSE)&gt;=(VLOOKUP(VLOOKUP(AU$1,main!$A$3:$H$102,8,FALSE),main!$K$26:$M$29,2,FALSE)+VLOOKUP(VLOOKUP(AU$1,main!$A$3:$H$102,7,FALSE),main!$K$19:$O$22,MATCH(VLOOKUP($A28,main!$A$3:$H$102,8,FALSE),main!$K$18:$O$18,0))))),1,0)</f>
        <v>0</v>
      </c>
      <c r="AV28">
        <f>IF((AND(VLOOKUP(AV$1,main!$A$3:$H$102,5,FALSE)-VLOOKUP($A28,main!$A$3:$H$102,6,FALSE)&gt;=(VLOOKUP(VLOOKUP(AV$1,main!$A$3:$H$102,8,FALSE),main!$K$26:$M$29,2,FALSE)+VLOOKUP(VLOOKUP(AV$1,main!$A$3:$H$102,7,FALSE),main!$K$19:$O$22,MATCH(VLOOKUP($A28,main!$A$3:$H$102,8,FALSE),main!$K$18:$O$18,0))))),1,0)</f>
        <v>0</v>
      </c>
      <c r="AW28">
        <f>IF((AND(VLOOKUP(AW$1,main!$A$3:$H$102,5,FALSE)-VLOOKUP($A28,main!$A$3:$H$102,6,FALSE)&gt;=(VLOOKUP(VLOOKUP(AW$1,main!$A$3:$H$102,8,FALSE),main!$K$26:$M$29,2,FALSE)+VLOOKUP(VLOOKUP(AW$1,main!$A$3:$H$102,7,FALSE),main!$K$19:$O$22,MATCH(VLOOKUP($A28,main!$A$3:$H$102,8,FALSE),main!$K$18:$O$18,0))))),1,0)</f>
        <v>1</v>
      </c>
      <c r="AX28">
        <f>IF((AND(VLOOKUP(AX$1,main!$A$3:$H$102,5,FALSE)-VLOOKUP($A28,main!$A$3:$H$102,6,FALSE)&gt;=(VLOOKUP(VLOOKUP(AX$1,main!$A$3:$H$102,8,FALSE),main!$K$26:$M$29,2,FALSE)+VLOOKUP(VLOOKUP(AX$1,main!$A$3:$H$102,7,FALSE),main!$K$19:$O$22,MATCH(VLOOKUP($A28,main!$A$3:$H$102,8,FALSE),main!$K$18:$O$18,0))))),1,0)</f>
        <v>1</v>
      </c>
      <c r="AY28">
        <f>IF((AND(VLOOKUP(AY$1,main!$A$3:$H$102,5,FALSE)-VLOOKUP($A28,main!$A$3:$H$102,6,FALSE)&gt;=(VLOOKUP(VLOOKUP(AY$1,main!$A$3:$H$102,8,FALSE),main!$K$26:$M$29,2,FALSE)+VLOOKUP(VLOOKUP(AY$1,main!$A$3:$H$102,7,FALSE),main!$K$19:$O$22,MATCH(VLOOKUP($A28,main!$A$3:$H$102,8,FALSE),main!$K$18:$O$18,0))))),1,0)</f>
        <v>0</v>
      </c>
      <c r="AZ28">
        <f>IF((AND(VLOOKUP(AZ$1,main!$A$3:$H$102,5,FALSE)-VLOOKUP($A28,main!$A$3:$H$102,6,FALSE)&gt;=(VLOOKUP(VLOOKUP(AZ$1,main!$A$3:$H$102,8,FALSE),main!$K$26:$M$29,2,FALSE)+VLOOKUP(VLOOKUP(AZ$1,main!$A$3:$H$102,7,FALSE),main!$K$19:$O$22,MATCH(VLOOKUP($A28,main!$A$3:$H$102,8,FALSE),main!$K$18:$O$18,0))))),1,0)</f>
        <v>1</v>
      </c>
      <c r="BA28">
        <f>IF((AND(VLOOKUP(BA$1,main!$A$3:$H$102,5,FALSE)-VLOOKUP($A28,main!$A$3:$H$102,6,FALSE)&gt;=(VLOOKUP(VLOOKUP(BA$1,main!$A$3:$H$102,8,FALSE),main!$K$26:$M$29,2,FALSE)+VLOOKUP(VLOOKUP(BA$1,main!$A$3:$H$102,7,FALSE),main!$K$19:$O$22,MATCH(VLOOKUP($A28,main!$A$3:$H$102,8,FALSE),main!$K$18:$O$18,0))))),1,0)</f>
        <v>0</v>
      </c>
      <c r="BB28">
        <f>IF((AND(VLOOKUP(BB$1,main!$A$3:$H$102,5,FALSE)-VLOOKUP($A28,main!$A$3:$H$102,6,FALSE)&gt;=(VLOOKUP(VLOOKUP(BB$1,main!$A$3:$H$102,8,FALSE),main!$K$26:$M$29,2,FALSE)+VLOOKUP(VLOOKUP(BB$1,main!$A$3:$H$102,7,FALSE),main!$K$19:$O$22,MATCH(VLOOKUP($A28,main!$A$3:$H$102,8,FALSE),main!$K$18:$O$18,0))))),1,0)</f>
        <v>1</v>
      </c>
      <c r="BC28">
        <f>IF((AND(VLOOKUP(BC$1,main!$A$3:$H$102,5,FALSE)-VLOOKUP($A28,main!$A$3:$H$102,6,FALSE)&gt;=(VLOOKUP(VLOOKUP(BC$1,main!$A$3:$H$102,8,FALSE),main!$K$26:$M$29,2,FALSE)+VLOOKUP(VLOOKUP(BC$1,main!$A$3:$H$102,7,FALSE),main!$K$19:$O$22,MATCH(VLOOKUP($A28,main!$A$3:$H$102,8,FALSE),main!$K$18:$O$18,0))))),1,0)</f>
        <v>1</v>
      </c>
      <c r="BD28">
        <f>IF((AND(VLOOKUP(BD$1,main!$A$3:$H$102,5,FALSE)-VLOOKUP($A28,main!$A$3:$H$102,6,FALSE)&gt;=(VLOOKUP(VLOOKUP(BD$1,main!$A$3:$H$102,8,FALSE),main!$K$26:$M$29,2,FALSE)+VLOOKUP(VLOOKUP(BD$1,main!$A$3:$H$102,7,FALSE),main!$K$19:$O$22,MATCH(VLOOKUP($A28,main!$A$3:$H$102,8,FALSE),main!$K$18:$O$18,0))))),1,0)</f>
        <v>1</v>
      </c>
      <c r="BE28">
        <f>IF((AND(VLOOKUP(BE$1,main!$A$3:$H$102,5,FALSE)-VLOOKUP($A28,main!$A$3:$H$102,6,FALSE)&gt;=(VLOOKUP(VLOOKUP(BE$1,main!$A$3:$H$102,8,FALSE),main!$K$26:$M$29,2,FALSE)+VLOOKUP(VLOOKUP(BE$1,main!$A$3:$H$102,7,FALSE),main!$K$19:$O$22,MATCH(VLOOKUP($A28,main!$A$3:$H$102,8,FALSE),main!$K$18:$O$18,0))))),1,0)</f>
        <v>1</v>
      </c>
      <c r="BF28">
        <f>IF((AND(VLOOKUP(BF$1,main!$A$3:$H$102,5,FALSE)-VLOOKUP($A28,main!$A$3:$H$102,6,FALSE)&gt;=(VLOOKUP(VLOOKUP(BF$1,main!$A$3:$H$102,8,FALSE),main!$K$26:$M$29,2,FALSE)+VLOOKUP(VLOOKUP(BF$1,main!$A$3:$H$102,7,FALSE),main!$K$19:$O$22,MATCH(VLOOKUP($A28,main!$A$3:$H$102,8,FALSE),main!$K$18:$O$18,0))))),1,0)</f>
        <v>0</v>
      </c>
      <c r="BG28">
        <f>IF((AND(VLOOKUP(BG$1,main!$A$3:$H$102,5,FALSE)-VLOOKUP($A28,main!$A$3:$H$102,6,FALSE)&gt;=(VLOOKUP(VLOOKUP(BG$1,main!$A$3:$H$102,8,FALSE),main!$K$26:$M$29,2,FALSE)+VLOOKUP(VLOOKUP(BG$1,main!$A$3:$H$102,7,FALSE),main!$K$19:$O$22,MATCH(VLOOKUP($A28,main!$A$3:$H$102,8,FALSE),main!$K$18:$O$18,0))))),1,0)</f>
        <v>0</v>
      </c>
      <c r="BH28">
        <f>IF((AND(VLOOKUP(BH$1,main!$A$3:$H$102,5,FALSE)-VLOOKUP($A28,main!$A$3:$H$102,6,FALSE)&gt;=(VLOOKUP(VLOOKUP(BH$1,main!$A$3:$H$102,8,FALSE),main!$K$26:$M$29,2,FALSE)+VLOOKUP(VLOOKUP(BH$1,main!$A$3:$H$102,7,FALSE),main!$K$19:$O$22,MATCH(VLOOKUP($A28,main!$A$3:$H$102,8,FALSE),main!$K$18:$O$18,0))))),1,0)</f>
        <v>1</v>
      </c>
      <c r="BI28">
        <f>IF((AND(VLOOKUP(BI$1,main!$A$3:$H$102,5,FALSE)-VLOOKUP($A28,main!$A$3:$H$102,6,FALSE)&gt;=(VLOOKUP(VLOOKUP(BI$1,main!$A$3:$H$102,8,FALSE),main!$K$26:$M$29,2,FALSE)+VLOOKUP(VLOOKUP(BI$1,main!$A$3:$H$102,7,FALSE),main!$K$19:$O$22,MATCH(VLOOKUP($A28,main!$A$3:$H$102,8,FALSE),main!$K$18:$O$18,0))))),1,0)</f>
        <v>1</v>
      </c>
      <c r="BJ28">
        <f>IF((AND(VLOOKUP(BJ$1,main!$A$3:$H$102,5,FALSE)-VLOOKUP($A28,main!$A$3:$H$102,6,FALSE)&gt;=(VLOOKUP(VLOOKUP(BJ$1,main!$A$3:$H$102,8,FALSE),main!$K$26:$M$29,2,FALSE)+VLOOKUP(VLOOKUP(BJ$1,main!$A$3:$H$102,7,FALSE),main!$K$19:$O$22,MATCH(VLOOKUP($A28,main!$A$3:$H$102,8,FALSE),main!$K$18:$O$18,0))))),1,0)</f>
        <v>1</v>
      </c>
      <c r="BK28">
        <f>IF((AND(VLOOKUP(BK$1,main!$A$3:$H$102,5,FALSE)-VLOOKUP($A28,main!$A$3:$H$102,6,FALSE)&gt;=(VLOOKUP(VLOOKUP(BK$1,main!$A$3:$H$102,8,FALSE),main!$K$26:$M$29,2,FALSE)+VLOOKUP(VLOOKUP(BK$1,main!$A$3:$H$102,7,FALSE),main!$K$19:$O$22,MATCH(VLOOKUP($A28,main!$A$3:$H$102,8,FALSE),main!$K$18:$O$18,0))))),1,0)</f>
        <v>0</v>
      </c>
      <c r="BL28">
        <f>IF((AND(VLOOKUP(BL$1,main!$A$3:$H$102,5,FALSE)-VLOOKUP($A28,main!$A$3:$H$102,6,FALSE)&gt;=(VLOOKUP(VLOOKUP(BL$1,main!$A$3:$H$102,8,FALSE),main!$K$26:$M$29,2,FALSE)+VLOOKUP(VLOOKUP(BL$1,main!$A$3:$H$102,7,FALSE),main!$K$19:$O$22,MATCH(VLOOKUP($A28,main!$A$3:$H$102,8,FALSE),main!$K$18:$O$18,0))))),1,0)</f>
        <v>0</v>
      </c>
      <c r="BM28">
        <f>IF((AND(VLOOKUP(BM$1,main!$A$3:$H$102,5,FALSE)-VLOOKUP($A28,main!$A$3:$H$102,6,FALSE)&gt;=(VLOOKUP(VLOOKUP(BM$1,main!$A$3:$H$102,8,FALSE),main!$K$26:$M$29,2,FALSE)+VLOOKUP(VLOOKUP(BM$1,main!$A$3:$H$102,7,FALSE),main!$K$19:$O$22,MATCH(VLOOKUP($A28,main!$A$3:$H$102,8,FALSE),main!$K$18:$O$18,0))))),1,0)</f>
        <v>0</v>
      </c>
      <c r="BN28">
        <f>IF((AND(VLOOKUP(BN$1,main!$A$3:$H$102,5,FALSE)-VLOOKUP($A28,main!$A$3:$H$102,6,FALSE)&gt;=(VLOOKUP(VLOOKUP(BN$1,main!$A$3:$H$102,8,FALSE),main!$K$26:$M$29,2,FALSE)+VLOOKUP(VLOOKUP(BN$1,main!$A$3:$H$102,7,FALSE),main!$K$19:$O$22,MATCH(VLOOKUP($A28,main!$A$3:$H$102,8,FALSE),main!$K$18:$O$18,0))))),1,0)</f>
        <v>1</v>
      </c>
      <c r="BO28">
        <f>IF((AND(VLOOKUP(BO$1,main!$A$3:$H$102,5,FALSE)-VLOOKUP($A28,main!$A$3:$H$102,6,FALSE)&gt;=(VLOOKUP(VLOOKUP(BO$1,main!$A$3:$H$102,8,FALSE),main!$K$26:$M$29,2,FALSE)+VLOOKUP(VLOOKUP(BO$1,main!$A$3:$H$102,7,FALSE),main!$K$19:$O$22,MATCH(VLOOKUP($A28,main!$A$3:$H$102,8,FALSE),main!$K$18:$O$18,0))))),1,0)</f>
        <v>0</v>
      </c>
      <c r="BP28">
        <f>IF((AND(VLOOKUP(BP$1,main!$A$3:$H$102,5,FALSE)-VLOOKUP($A28,main!$A$3:$H$102,6,FALSE)&gt;=(VLOOKUP(VLOOKUP(BP$1,main!$A$3:$H$102,8,FALSE),main!$K$26:$M$29,2,FALSE)+VLOOKUP(VLOOKUP(BP$1,main!$A$3:$H$102,7,FALSE),main!$K$19:$O$22,MATCH(VLOOKUP($A28,main!$A$3:$H$102,8,FALSE),main!$K$18:$O$18,0))))),1,0)</f>
        <v>0</v>
      </c>
      <c r="BQ28">
        <f>IF((AND(VLOOKUP(BQ$1,main!$A$3:$H$102,5,FALSE)-VLOOKUP($A28,main!$A$3:$H$102,6,FALSE)&gt;=(VLOOKUP(VLOOKUP(BQ$1,main!$A$3:$H$102,8,FALSE),main!$K$26:$M$29,2,FALSE)+VLOOKUP(VLOOKUP(BQ$1,main!$A$3:$H$102,7,FALSE),main!$K$19:$O$22,MATCH(VLOOKUP($A28,main!$A$3:$H$102,8,FALSE),main!$K$18:$O$18,0))))),1,0)</f>
        <v>1</v>
      </c>
      <c r="BR28">
        <f>IF((AND(VLOOKUP(BR$1,main!$A$3:$H$102,5,FALSE)-VLOOKUP($A28,main!$A$3:$H$102,6,FALSE)&gt;=(VLOOKUP(VLOOKUP(BR$1,main!$A$3:$H$102,8,FALSE),main!$K$26:$M$29,2,FALSE)+VLOOKUP(VLOOKUP(BR$1,main!$A$3:$H$102,7,FALSE),main!$K$19:$O$22,MATCH(VLOOKUP($A28,main!$A$3:$H$102,8,FALSE),main!$K$18:$O$18,0))))),1,0)</f>
        <v>1</v>
      </c>
      <c r="BS28">
        <f>IF((AND(VLOOKUP(BS$1,main!$A$3:$H$102,5,FALSE)-VLOOKUP($A28,main!$A$3:$H$102,6,FALSE)&gt;=(VLOOKUP(VLOOKUP(BS$1,main!$A$3:$H$102,8,FALSE),main!$K$26:$M$29,2,FALSE)+VLOOKUP(VLOOKUP(BS$1,main!$A$3:$H$102,7,FALSE),main!$K$19:$O$22,MATCH(VLOOKUP($A28,main!$A$3:$H$102,8,FALSE),main!$K$18:$O$18,0))))),1,0)</f>
        <v>1</v>
      </c>
      <c r="BT28">
        <f>IF((AND(VLOOKUP(BT$1,main!$A$3:$H$102,5,FALSE)-VLOOKUP($A28,main!$A$3:$H$102,6,FALSE)&gt;=(VLOOKUP(VLOOKUP(BT$1,main!$A$3:$H$102,8,FALSE),main!$K$26:$M$29,2,FALSE)+VLOOKUP(VLOOKUP(BT$1,main!$A$3:$H$102,7,FALSE),main!$K$19:$O$22,MATCH(VLOOKUP($A28,main!$A$3:$H$102,8,FALSE),main!$K$18:$O$18,0))))),1,0)</f>
        <v>1</v>
      </c>
      <c r="BU28">
        <f>IF((AND(VLOOKUP(BU$1,main!$A$3:$H$102,5,FALSE)-VLOOKUP($A28,main!$A$3:$H$102,6,FALSE)&gt;=(VLOOKUP(VLOOKUP(BU$1,main!$A$3:$H$102,8,FALSE),main!$K$26:$M$29,2,FALSE)+VLOOKUP(VLOOKUP(BU$1,main!$A$3:$H$102,7,FALSE),main!$K$19:$O$22,MATCH(VLOOKUP($A28,main!$A$3:$H$102,8,FALSE),main!$K$18:$O$18,0))))),1,0)</f>
        <v>0</v>
      </c>
      <c r="BV28">
        <f>IF((AND(VLOOKUP(BV$1,main!$A$3:$H$102,5,FALSE)-VLOOKUP($A28,main!$A$3:$H$102,6,FALSE)&gt;=(VLOOKUP(VLOOKUP(BV$1,main!$A$3:$H$102,8,FALSE),main!$K$26:$M$29,2,FALSE)+VLOOKUP(VLOOKUP(BV$1,main!$A$3:$H$102,7,FALSE),main!$K$19:$O$22,MATCH(VLOOKUP($A28,main!$A$3:$H$102,8,FALSE),main!$K$18:$O$18,0))))),1,0)</f>
        <v>0</v>
      </c>
      <c r="BW28">
        <f>IF((AND(VLOOKUP(BW$1,main!$A$3:$H$102,5,FALSE)-VLOOKUP($A28,main!$A$3:$H$102,6,FALSE)&gt;=(VLOOKUP(VLOOKUP(BW$1,main!$A$3:$H$102,8,FALSE),main!$K$26:$M$29,2,FALSE)+VLOOKUP(VLOOKUP(BW$1,main!$A$3:$H$102,7,FALSE),main!$K$19:$O$22,MATCH(VLOOKUP($A28,main!$A$3:$H$102,8,FALSE),main!$K$18:$O$18,0))))),1,0)</f>
        <v>0</v>
      </c>
      <c r="BX28">
        <f>IF((AND(VLOOKUP(BX$1,main!$A$3:$H$102,5,FALSE)-VLOOKUP($A28,main!$A$3:$H$102,6,FALSE)&gt;=(VLOOKUP(VLOOKUP(BX$1,main!$A$3:$H$102,8,FALSE),main!$K$26:$M$29,2,FALSE)+VLOOKUP(VLOOKUP(BX$1,main!$A$3:$H$102,7,FALSE),main!$K$19:$O$22,MATCH(VLOOKUP($A28,main!$A$3:$H$102,8,FALSE),main!$K$18:$O$18,0))))),1,0)</f>
        <v>1</v>
      </c>
      <c r="BY28">
        <f>IF((AND(VLOOKUP(BY$1,main!$A$3:$H$102,5,FALSE)-VLOOKUP($A28,main!$A$3:$H$102,6,FALSE)&gt;=(VLOOKUP(VLOOKUP(BY$1,main!$A$3:$H$102,8,FALSE),main!$K$26:$M$29,2,FALSE)+VLOOKUP(VLOOKUP(BY$1,main!$A$3:$H$102,7,FALSE),main!$K$19:$O$22,MATCH(VLOOKUP($A28,main!$A$3:$H$102,8,FALSE),main!$K$18:$O$18,0))))),1,0)</f>
        <v>1</v>
      </c>
      <c r="BZ28">
        <f>IF((AND(VLOOKUP(BZ$1,main!$A$3:$H$102,5,FALSE)-VLOOKUP($A28,main!$A$3:$H$102,6,FALSE)&gt;=(VLOOKUP(VLOOKUP(BZ$1,main!$A$3:$H$102,8,FALSE),main!$K$26:$M$29,2,FALSE)+VLOOKUP(VLOOKUP(BZ$1,main!$A$3:$H$102,7,FALSE),main!$K$19:$O$22,MATCH(VLOOKUP($A28,main!$A$3:$H$102,8,FALSE),main!$K$18:$O$18,0))))),1,0)</f>
        <v>0</v>
      </c>
      <c r="CA28">
        <f>IF((AND(VLOOKUP(CA$1,main!$A$3:$H$102,5,FALSE)-VLOOKUP($A28,main!$A$3:$H$102,6,FALSE)&gt;=(VLOOKUP(VLOOKUP(CA$1,main!$A$3:$H$102,8,FALSE),main!$K$26:$M$29,2,FALSE)+VLOOKUP(VLOOKUP(CA$1,main!$A$3:$H$102,7,FALSE),main!$K$19:$O$22,MATCH(VLOOKUP($A28,main!$A$3:$H$102,8,FALSE),main!$K$18:$O$18,0))))),1,0)</f>
        <v>0</v>
      </c>
      <c r="CB28">
        <f>IF((AND(VLOOKUP(CB$1,main!$A$3:$H$102,5,FALSE)-VLOOKUP($A28,main!$A$3:$H$102,6,FALSE)&gt;=(VLOOKUP(VLOOKUP(CB$1,main!$A$3:$H$102,8,FALSE),main!$K$26:$M$29,2,FALSE)+VLOOKUP(VLOOKUP(CB$1,main!$A$3:$H$102,7,FALSE),main!$K$19:$O$22,MATCH(VLOOKUP($A28,main!$A$3:$H$102,8,FALSE),main!$K$18:$O$18,0))))),1,0)</f>
        <v>1</v>
      </c>
      <c r="CC28">
        <f>IF((AND(VLOOKUP(CC$1,main!$A$3:$H$102,5,FALSE)-VLOOKUP($A28,main!$A$3:$H$102,6,FALSE)&gt;=(VLOOKUP(VLOOKUP(CC$1,main!$A$3:$H$102,8,FALSE),main!$K$26:$M$29,2,FALSE)+VLOOKUP(VLOOKUP(CC$1,main!$A$3:$H$102,7,FALSE),main!$K$19:$O$22,MATCH(VLOOKUP($A28,main!$A$3:$H$102,8,FALSE),main!$K$18:$O$18,0))))),1,0)</f>
        <v>1</v>
      </c>
      <c r="CD28">
        <f>IF((AND(VLOOKUP(CD$1,main!$A$3:$H$102,5,FALSE)-VLOOKUP($A28,main!$A$3:$H$102,6,FALSE)&gt;=(VLOOKUP(VLOOKUP(CD$1,main!$A$3:$H$102,8,FALSE),main!$K$26:$M$29,2,FALSE)+VLOOKUP(VLOOKUP(CD$1,main!$A$3:$H$102,7,FALSE),main!$K$19:$O$22,MATCH(VLOOKUP($A28,main!$A$3:$H$102,8,FALSE),main!$K$18:$O$18,0))))),1,0)</f>
        <v>1</v>
      </c>
      <c r="CE28">
        <f>IF((AND(VLOOKUP(CE$1,main!$A$3:$H$102,5,FALSE)-VLOOKUP($A28,main!$A$3:$H$102,6,FALSE)&gt;=(VLOOKUP(VLOOKUP(CE$1,main!$A$3:$H$102,8,FALSE),main!$K$26:$M$29,2,FALSE)+VLOOKUP(VLOOKUP(CE$1,main!$A$3:$H$102,7,FALSE),main!$K$19:$O$22,MATCH(VLOOKUP($A28,main!$A$3:$H$102,8,FALSE),main!$K$18:$O$18,0))))),1,0)</f>
        <v>1</v>
      </c>
      <c r="CF28">
        <f>IF((AND(VLOOKUP(CF$1,main!$A$3:$H$102,5,FALSE)-VLOOKUP($A28,main!$A$3:$H$102,6,FALSE)&gt;=(VLOOKUP(VLOOKUP(CF$1,main!$A$3:$H$102,8,FALSE),main!$K$26:$M$29,2,FALSE)+VLOOKUP(VLOOKUP(CF$1,main!$A$3:$H$102,7,FALSE),main!$K$19:$O$22,MATCH(VLOOKUP($A28,main!$A$3:$H$102,8,FALSE),main!$K$18:$O$18,0))))),1,0)</f>
        <v>1</v>
      </c>
      <c r="CG28">
        <f>IF((AND(VLOOKUP(CG$1,main!$A$3:$H$102,5,FALSE)-VLOOKUP($A28,main!$A$3:$H$102,6,FALSE)&gt;=(VLOOKUP(VLOOKUP(CG$1,main!$A$3:$H$102,8,FALSE),main!$K$26:$M$29,2,FALSE)+VLOOKUP(VLOOKUP(CG$1,main!$A$3:$H$102,7,FALSE),main!$K$19:$O$22,MATCH(VLOOKUP($A28,main!$A$3:$H$102,8,FALSE),main!$K$18:$O$18,0))))),1,0)</f>
        <v>1</v>
      </c>
      <c r="CH28">
        <f>IF((AND(VLOOKUP(CH$1,main!$A$3:$H$102,5,FALSE)-VLOOKUP($A28,main!$A$3:$H$102,6,FALSE)&gt;=(VLOOKUP(VLOOKUP(CH$1,main!$A$3:$H$102,8,FALSE),main!$K$26:$M$29,2,FALSE)+VLOOKUP(VLOOKUP(CH$1,main!$A$3:$H$102,7,FALSE),main!$K$19:$O$22,MATCH(VLOOKUP($A28,main!$A$3:$H$102,8,FALSE),main!$K$18:$O$18,0))))),1,0)</f>
        <v>1</v>
      </c>
      <c r="CI28">
        <f>IF((AND(VLOOKUP(CI$1,main!$A$3:$H$102,5,FALSE)-VLOOKUP($A28,main!$A$3:$H$102,6,FALSE)&gt;=(VLOOKUP(VLOOKUP(CI$1,main!$A$3:$H$102,8,FALSE),main!$K$26:$M$29,2,FALSE)+VLOOKUP(VLOOKUP(CI$1,main!$A$3:$H$102,7,FALSE),main!$K$19:$O$22,MATCH(VLOOKUP($A28,main!$A$3:$H$102,8,FALSE),main!$K$18:$O$18,0))))),1,0)</f>
        <v>1</v>
      </c>
      <c r="CJ28">
        <f>IF((AND(VLOOKUP(CJ$1,main!$A$3:$H$102,5,FALSE)-VLOOKUP($A28,main!$A$3:$H$102,6,FALSE)&gt;=(VLOOKUP(VLOOKUP(CJ$1,main!$A$3:$H$102,8,FALSE),main!$K$26:$M$29,2,FALSE)+VLOOKUP(VLOOKUP(CJ$1,main!$A$3:$H$102,7,FALSE),main!$K$19:$O$22,MATCH(VLOOKUP($A28,main!$A$3:$H$102,8,FALSE),main!$K$18:$O$18,0))))),1,0)</f>
        <v>1</v>
      </c>
      <c r="CK28">
        <f>IF((AND(VLOOKUP(CK$1,main!$A$3:$H$102,5,FALSE)-VLOOKUP($A28,main!$A$3:$H$102,6,FALSE)&gt;=(VLOOKUP(VLOOKUP(CK$1,main!$A$3:$H$102,8,FALSE),main!$K$26:$M$29,2,FALSE)+VLOOKUP(VLOOKUP(CK$1,main!$A$3:$H$102,7,FALSE),main!$K$19:$O$22,MATCH(VLOOKUP($A28,main!$A$3:$H$102,8,FALSE),main!$K$18:$O$18,0))))),1,0)</f>
        <v>1</v>
      </c>
      <c r="CL28">
        <f>IF((AND(VLOOKUP(CL$1,main!$A$3:$H$102,5,FALSE)-VLOOKUP($A28,main!$A$3:$H$102,6,FALSE)&gt;=(VLOOKUP(VLOOKUP(CL$1,main!$A$3:$H$102,8,FALSE),main!$K$26:$M$29,2,FALSE)+VLOOKUP(VLOOKUP(CL$1,main!$A$3:$H$102,7,FALSE),main!$K$19:$O$22,MATCH(VLOOKUP($A28,main!$A$3:$H$102,8,FALSE),main!$K$18:$O$18,0))))),1,0)</f>
        <v>1</v>
      </c>
      <c r="CM28">
        <f>IF((AND(VLOOKUP(CM$1,main!$A$3:$H$102,5,FALSE)-VLOOKUP($A28,main!$A$3:$H$102,6,FALSE)&gt;=(VLOOKUP(VLOOKUP(CM$1,main!$A$3:$H$102,8,FALSE),main!$K$26:$M$29,2,FALSE)+VLOOKUP(VLOOKUP(CM$1,main!$A$3:$H$102,7,FALSE),main!$K$19:$O$22,MATCH(VLOOKUP($A28,main!$A$3:$H$102,8,FALSE),main!$K$18:$O$18,0))))),1,0)</f>
        <v>1</v>
      </c>
      <c r="CN28">
        <f>IF((AND(VLOOKUP(CN$1,main!$A$3:$H$102,5,FALSE)-VLOOKUP($A28,main!$A$3:$H$102,6,FALSE)&gt;=(VLOOKUP(VLOOKUP(CN$1,main!$A$3:$H$102,8,FALSE),main!$K$26:$M$29,2,FALSE)+VLOOKUP(VLOOKUP(CN$1,main!$A$3:$H$102,7,FALSE),main!$K$19:$O$22,MATCH(VLOOKUP($A28,main!$A$3:$H$102,8,FALSE),main!$K$18:$O$18,0))))),1,0)</f>
        <v>1</v>
      </c>
      <c r="CO28">
        <f>IF((AND(VLOOKUP(CO$1,main!$A$3:$H$102,5,FALSE)-VLOOKUP($A28,main!$A$3:$H$102,6,FALSE)&gt;=(VLOOKUP(VLOOKUP(CO$1,main!$A$3:$H$102,8,FALSE),main!$K$26:$M$29,2,FALSE)+VLOOKUP(VLOOKUP(CO$1,main!$A$3:$H$102,7,FALSE),main!$K$19:$O$22,MATCH(VLOOKUP($A28,main!$A$3:$H$102,8,FALSE),main!$K$18:$O$18,0))))),1,0)</f>
        <v>0</v>
      </c>
      <c r="CP28">
        <f>IF((AND(VLOOKUP(CP$1,main!$A$3:$H$102,5,FALSE)-VLOOKUP($A28,main!$A$3:$H$102,6,FALSE)&gt;=(VLOOKUP(VLOOKUP(CP$1,main!$A$3:$H$102,8,FALSE),main!$K$26:$M$29,2,FALSE)+VLOOKUP(VLOOKUP(CP$1,main!$A$3:$H$102,7,FALSE),main!$K$19:$O$22,MATCH(VLOOKUP($A28,main!$A$3:$H$102,8,FALSE),main!$K$18:$O$18,0))))),1,0)</f>
        <v>1</v>
      </c>
      <c r="CQ28">
        <f>IF((AND(VLOOKUP(CQ$1,main!$A$3:$H$102,5,FALSE)-VLOOKUP($A28,main!$A$3:$H$102,6,FALSE)&gt;=(VLOOKUP(VLOOKUP(CQ$1,main!$A$3:$H$102,8,FALSE),main!$K$26:$M$29,2,FALSE)+VLOOKUP(VLOOKUP(CQ$1,main!$A$3:$H$102,7,FALSE),main!$K$19:$O$22,MATCH(VLOOKUP($A28,main!$A$3:$H$102,8,FALSE),main!$K$18:$O$18,0))))),1,0)</f>
        <v>1</v>
      </c>
      <c r="CR28">
        <f>IF((AND(VLOOKUP(CR$1,main!$A$3:$H$102,5,FALSE)-VLOOKUP($A28,main!$A$3:$H$102,6,FALSE)&gt;=(VLOOKUP(VLOOKUP(CR$1,main!$A$3:$H$102,8,FALSE),main!$K$26:$M$29,2,FALSE)+VLOOKUP(VLOOKUP(CR$1,main!$A$3:$H$102,7,FALSE),main!$K$19:$O$22,MATCH(VLOOKUP($A28,main!$A$3:$H$102,8,FALSE),main!$K$18:$O$18,0))))),1,0)</f>
        <v>1</v>
      </c>
      <c r="CS28">
        <f>IF((AND(VLOOKUP(CS$1,main!$A$3:$H$102,5,FALSE)-VLOOKUP($A28,main!$A$3:$H$102,6,FALSE)&gt;=(VLOOKUP(VLOOKUP(CS$1,main!$A$3:$H$102,8,FALSE),main!$K$26:$M$29,2,FALSE)+VLOOKUP(VLOOKUP(CS$1,main!$A$3:$H$102,7,FALSE),main!$K$19:$O$22,MATCH(VLOOKUP($A28,main!$A$3:$H$102,8,FALSE),main!$K$18:$O$18,0))))),1,0)</f>
        <v>1</v>
      </c>
      <c r="CT28">
        <f>IF((AND(VLOOKUP(CT$1,main!$A$3:$H$102,5,FALSE)-VLOOKUP($A28,main!$A$3:$H$102,6,FALSE)&gt;=(VLOOKUP(VLOOKUP(CT$1,main!$A$3:$H$102,8,FALSE),main!$K$26:$M$29,2,FALSE)+VLOOKUP(VLOOKUP(CT$1,main!$A$3:$H$102,7,FALSE),main!$K$19:$O$22,MATCH(VLOOKUP($A28,main!$A$3:$H$102,8,FALSE),main!$K$18:$O$18,0))))),1,0)</f>
        <v>0</v>
      </c>
      <c r="CU28">
        <f>IF((AND(VLOOKUP(CU$1,main!$A$3:$H$102,5,FALSE)-VLOOKUP($A28,main!$A$3:$H$102,6,FALSE)&gt;=(VLOOKUP(VLOOKUP(CU$1,main!$A$3:$H$102,8,FALSE),main!$K$26:$M$29,2,FALSE)+VLOOKUP(VLOOKUP(CU$1,main!$A$3:$H$102,7,FALSE),main!$K$19:$O$22,MATCH(VLOOKUP($A28,main!$A$3:$H$102,8,FALSE),main!$K$18:$O$18,0))))),1,0)</f>
        <v>0</v>
      </c>
      <c r="CV28">
        <f>IF((AND(VLOOKUP(CV$1,main!$A$3:$H$102,5,FALSE)-VLOOKUP($A28,main!$A$3:$H$102,6,FALSE)&gt;=(VLOOKUP(VLOOKUP(CV$1,main!$A$3:$H$102,8,FALSE),main!$K$26:$M$29,2,FALSE)+VLOOKUP(VLOOKUP(CV$1,main!$A$3:$H$102,7,FALSE),main!$K$19:$O$22,MATCH(VLOOKUP($A28,main!$A$3:$H$102,8,FALSE),main!$K$18:$O$18,0))))),1,0)</f>
        <v>1</v>
      </c>
      <c r="CW28">
        <f>IF((AND(VLOOKUP(CW$1,main!$A$3:$H$102,5,FALSE)-VLOOKUP($A28,main!$A$3:$H$102,6,FALSE)&gt;=(VLOOKUP(VLOOKUP(CW$1,main!$A$3:$H$102,8,FALSE),main!$K$26:$M$29,2,FALSE)+VLOOKUP(VLOOKUP(CW$1,main!$A$3:$H$102,7,FALSE),main!$K$19:$O$22,MATCH(VLOOKUP($A28,main!$A$3:$H$102,8,FALSE),main!$K$18:$O$18,0))))),1,0)</f>
        <v>1</v>
      </c>
      <c r="CX28">
        <f>IF((AND(VLOOKUP(CX$1,main!$A$3:$H$102,5,FALSE)-VLOOKUP($A28,main!$A$3:$H$102,6,FALSE)&gt;=(VLOOKUP(VLOOKUP(CX$1,main!$A$3:$H$102,8,FALSE),main!$K$26:$M$29,2,FALSE)+VLOOKUP(VLOOKUP(CX$1,main!$A$3:$H$102,7,FALSE),main!$K$19:$O$22,MATCH(VLOOKUP($A28,main!$A$3:$H$102,8,FALSE),main!$K$18:$O$18,0))))),1,0)</f>
        <v>1</v>
      </c>
    </row>
    <row r="29" spans="1:102" x14ac:dyDescent="0.25">
      <c r="A29" s="1">
        <v>27</v>
      </c>
      <c r="B29">
        <v>1</v>
      </c>
      <c r="C29">
        <f>IF((AND(VLOOKUP(C$1,main!$A$3:$H$102,5,FALSE)-VLOOKUP($A29,main!$A$3:$H$102,6,FALSE)&gt;=(VLOOKUP(VLOOKUP(C$1,main!$A$3:$H$102,8,FALSE),main!$K$26:$M$29,2,FALSE)+VLOOKUP(VLOOKUP(C$1,main!$A$3:$H$102,7,FALSE),main!$K$19:$O$22,MATCH(VLOOKUP($A29,main!$A$3:$H$102,8,FALSE),main!$K$18:$O$18,0))))),1,0)</f>
        <v>0</v>
      </c>
      <c r="D29">
        <f>IF((AND(VLOOKUP(D$1,main!$A$3:$H$102,5,FALSE)-VLOOKUP($A29,main!$A$3:$H$102,6,FALSE)&gt;=(VLOOKUP(VLOOKUP(D$1,main!$A$3:$H$102,8,FALSE),main!$K$26:$M$29,2,FALSE)+VLOOKUP(VLOOKUP(D$1,main!$A$3:$H$102,7,FALSE),main!$K$19:$O$22,MATCH(VLOOKUP($A29,main!$A$3:$H$102,8,FALSE),main!$K$18:$O$18,0))))),1,0)</f>
        <v>0</v>
      </c>
      <c r="E29">
        <f>IF((AND(VLOOKUP(E$1,main!$A$3:$H$102,5,FALSE)-VLOOKUP($A29,main!$A$3:$H$102,6,FALSE)&gt;=(VLOOKUP(VLOOKUP(E$1,main!$A$3:$H$102,8,FALSE),main!$K$26:$M$29,2,FALSE)+VLOOKUP(VLOOKUP(E$1,main!$A$3:$H$102,7,FALSE),main!$K$19:$O$22,MATCH(VLOOKUP($A29,main!$A$3:$H$102,8,FALSE),main!$K$18:$O$18,0))))),1,0)</f>
        <v>1</v>
      </c>
      <c r="F29">
        <f>IF((AND(VLOOKUP(F$1,main!$A$3:$H$102,5,FALSE)-VLOOKUP($A29,main!$A$3:$H$102,6,FALSE)&gt;=(VLOOKUP(VLOOKUP(F$1,main!$A$3:$H$102,8,FALSE),main!$K$26:$M$29,2,FALSE)+VLOOKUP(VLOOKUP(F$1,main!$A$3:$H$102,7,FALSE),main!$K$19:$O$22,MATCH(VLOOKUP($A29,main!$A$3:$H$102,8,FALSE),main!$K$18:$O$18,0))))),1,0)</f>
        <v>1</v>
      </c>
      <c r="G29">
        <f>IF((AND(VLOOKUP(G$1,main!$A$3:$H$102,5,FALSE)-VLOOKUP($A29,main!$A$3:$H$102,6,FALSE)&gt;=(VLOOKUP(VLOOKUP(G$1,main!$A$3:$H$102,8,FALSE),main!$K$26:$M$29,2,FALSE)+VLOOKUP(VLOOKUP(G$1,main!$A$3:$H$102,7,FALSE),main!$K$19:$O$22,MATCH(VLOOKUP($A29,main!$A$3:$H$102,8,FALSE),main!$K$18:$O$18,0))))),1,0)</f>
        <v>1</v>
      </c>
      <c r="H29">
        <f>IF((AND(VLOOKUP(H$1,main!$A$3:$H$102,5,FALSE)-VLOOKUP($A29,main!$A$3:$H$102,6,FALSE)&gt;=(VLOOKUP(VLOOKUP(H$1,main!$A$3:$H$102,8,FALSE),main!$K$26:$M$29,2,FALSE)+VLOOKUP(VLOOKUP(H$1,main!$A$3:$H$102,7,FALSE),main!$K$19:$O$22,MATCH(VLOOKUP($A29,main!$A$3:$H$102,8,FALSE),main!$K$18:$O$18,0))))),1,0)</f>
        <v>1</v>
      </c>
      <c r="I29">
        <f>IF((AND(VLOOKUP(I$1,main!$A$3:$H$102,5,FALSE)-VLOOKUP($A29,main!$A$3:$H$102,6,FALSE)&gt;=(VLOOKUP(VLOOKUP(I$1,main!$A$3:$H$102,8,FALSE),main!$K$26:$M$29,2,FALSE)+VLOOKUP(VLOOKUP(I$1,main!$A$3:$H$102,7,FALSE),main!$K$19:$O$22,MATCH(VLOOKUP($A29,main!$A$3:$H$102,8,FALSE),main!$K$18:$O$18,0))))),1,0)</f>
        <v>1</v>
      </c>
      <c r="J29">
        <f>IF((AND(VLOOKUP(J$1,main!$A$3:$H$102,5,FALSE)-VLOOKUP($A29,main!$A$3:$H$102,6,FALSE)&gt;=(VLOOKUP(VLOOKUP(J$1,main!$A$3:$H$102,8,FALSE),main!$K$26:$M$29,2,FALSE)+VLOOKUP(VLOOKUP(J$1,main!$A$3:$H$102,7,FALSE),main!$K$19:$O$22,MATCH(VLOOKUP($A29,main!$A$3:$H$102,8,FALSE),main!$K$18:$O$18,0))))),1,0)</f>
        <v>1</v>
      </c>
      <c r="K29">
        <f>IF((AND(VLOOKUP(K$1,main!$A$3:$H$102,5,FALSE)-VLOOKUP($A29,main!$A$3:$H$102,6,FALSE)&gt;=(VLOOKUP(VLOOKUP(K$1,main!$A$3:$H$102,8,FALSE),main!$K$26:$M$29,2,FALSE)+VLOOKUP(VLOOKUP(K$1,main!$A$3:$H$102,7,FALSE),main!$K$19:$O$22,MATCH(VLOOKUP($A29,main!$A$3:$H$102,8,FALSE),main!$K$18:$O$18,0))))),1,0)</f>
        <v>1</v>
      </c>
      <c r="L29">
        <f>IF((AND(VLOOKUP(L$1,main!$A$3:$H$102,5,FALSE)-VLOOKUP($A29,main!$A$3:$H$102,6,FALSE)&gt;=(VLOOKUP(VLOOKUP(L$1,main!$A$3:$H$102,8,FALSE),main!$K$26:$M$29,2,FALSE)+VLOOKUP(VLOOKUP(L$1,main!$A$3:$H$102,7,FALSE),main!$K$19:$O$22,MATCH(VLOOKUP($A29,main!$A$3:$H$102,8,FALSE),main!$K$18:$O$18,0))))),1,0)</f>
        <v>1</v>
      </c>
      <c r="M29">
        <f>IF((AND(VLOOKUP(M$1,main!$A$3:$H$102,5,FALSE)-VLOOKUP($A29,main!$A$3:$H$102,6,FALSE)&gt;=(VLOOKUP(VLOOKUP(M$1,main!$A$3:$H$102,8,FALSE),main!$K$26:$M$29,2,FALSE)+VLOOKUP(VLOOKUP(M$1,main!$A$3:$H$102,7,FALSE),main!$K$19:$O$22,MATCH(VLOOKUP($A29,main!$A$3:$H$102,8,FALSE),main!$K$18:$O$18,0))))),1,0)</f>
        <v>0</v>
      </c>
      <c r="N29">
        <f>IF((AND(VLOOKUP(N$1,main!$A$3:$H$102,5,FALSE)-VLOOKUP($A29,main!$A$3:$H$102,6,FALSE)&gt;=(VLOOKUP(VLOOKUP(N$1,main!$A$3:$H$102,8,FALSE),main!$K$26:$M$29,2,FALSE)+VLOOKUP(VLOOKUP(N$1,main!$A$3:$H$102,7,FALSE),main!$K$19:$O$22,MATCH(VLOOKUP($A29,main!$A$3:$H$102,8,FALSE),main!$K$18:$O$18,0))))),1,0)</f>
        <v>0</v>
      </c>
      <c r="O29">
        <f>IF((AND(VLOOKUP(O$1,main!$A$3:$H$102,5,FALSE)-VLOOKUP($A29,main!$A$3:$H$102,6,FALSE)&gt;=(VLOOKUP(VLOOKUP(O$1,main!$A$3:$H$102,8,FALSE),main!$K$26:$M$29,2,FALSE)+VLOOKUP(VLOOKUP(O$1,main!$A$3:$H$102,7,FALSE),main!$K$19:$O$22,MATCH(VLOOKUP($A29,main!$A$3:$H$102,8,FALSE),main!$K$18:$O$18,0))))),1,0)</f>
        <v>0</v>
      </c>
      <c r="P29">
        <f>IF((AND(VLOOKUP(P$1,main!$A$3:$H$102,5,FALSE)-VLOOKUP($A29,main!$A$3:$H$102,6,FALSE)&gt;=(VLOOKUP(VLOOKUP(P$1,main!$A$3:$H$102,8,FALSE),main!$K$26:$M$29,2,FALSE)+VLOOKUP(VLOOKUP(P$1,main!$A$3:$H$102,7,FALSE),main!$K$19:$O$22,MATCH(VLOOKUP($A29,main!$A$3:$H$102,8,FALSE),main!$K$18:$O$18,0))))),1,0)</f>
        <v>0</v>
      </c>
      <c r="Q29">
        <f>IF((AND(VLOOKUP(Q$1,main!$A$3:$H$102,5,FALSE)-VLOOKUP($A29,main!$A$3:$H$102,6,FALSE)&gt;=(VLOOKUP(VLOOKUP(Q$1,main!$A$3:$H$102,8,FALSE),main!$K$26:$M$29,2,FALSE)+VLOOKUP(VLOOKUP(Q$1,main!$A$3:$H$102,7,FALSE),main!$K$19:$O$22,MATCH(VLOOKUP($A29,main!$A$3:$H$102,8,FALSE),main!$K$18:$O$18,0))))),1,0)</f>
        <v>1</v>
      </c>
      <c r="R29">
        <f>IF((AND(VLOOKUP(R$1,main!$A$3:$H$102,5,FALSE)-VLOOKUP($A29,main!$A$3:$H$102,6,FALSE)&gt;=(VLOOKUP(VLOOKUP(R$1,main!$A$3:$H$102,8,FALSE),main!$K$26:$M$29,2,FALSE)+VLOOKUP(VLOOKUP(R$1,main!$A$3:$H$102,7,FALSE),main!$K$19:$O$22,MATCH(VLOOKUP($A29,main!$A$3:$H$102,8,FALSE),main!$K$18:$O$18,0))))),1,0)</f>
        <v>1</v>
      </c>
      <c r="S29">
        <f>IF((AND(VLOOKUP(S$1,main!$A$3:$H$102,5,FALSE)-VLOOKUP($A29,main!$A$3:$H$102,6,FALSE)&gt;=(VLOOKUP(VLOOKUP(S$1,main!$A$3:$H$102,8,FALSE),main!$K$26:$M$29,2,FALSE)+VLOOKUP(VLOOKUP(S$1,main!$A$3:$H$102,7,FALSE),main!$K$19:$O$22,MATCH(VLOOKUP($A29,main!$A$3:$H$102,8,FALSE),main!$K$18:$O$18,0))))),1,0)</f>
        <v>1</v>
      </c>
      <c r="T29">
        <f>IF((AND(VLOOKUP(T$1,main!$A$3:$H$102,5,FALSE)-VLOOKUP($A29,main!$A$3:$H$102,6,FALSE)&gt;=(VLOOKUP(VLOOKUP(T$1,main!$A$3:$H$102,8,FALSE),main!$K$26:$M$29,2,FALSE)+VLOOKUP(VLOOKUP(T$1,main!$A$3:$H$102,7,FALSE),main!$K$19:$O$22,MATCH(VLOOKUP($A29,main!$A$3:$H$102,8,FALSE),main!$K$18:$O$18,0))))),1,0)</f>
        <v>1</v>
      </c>
      <c r="U29">
        <f>IF((AND(VLOOKUP(U$1,main!$A$3:$H$102,5,FALSE)-VLOOKUP($A29,main!$A$3:$H$102,6,FALSE)&gt;=(VLOOKUP(VLOOKUP(U$1,main!$A$3:$H$102,8,FALSE),main!$K$26:$M$29,2,FALSE)+VLOOKUP(VLOOKUP(U$1,main!$A$3:$H$102,7,FALSE),main!$K$19:$O$22,MATCH(VLOOKUP($A29,main!$A$3:$H$102,8,FALSE),main!$K$18:$O$18,0))))),1,0)</f>
        <v>1</v>
      </c>
      <c r="V29">
        <f>IF((AND(VLOOKUP(V$1,main!$A$3:$H$102,5,FALSE)-VLOOKUP($A29,main!$A$3:$H$102,6,FALSE)&gt;=(VLOOKUP(VLOOKUP(V$1,main!$A$3:$H$102,8,FALSE),main!$K$26:$M$29,2,FALSE)+VLOOKUP(VLOOKUP(V$1,main!$A$3:$H$102,7,FALSE),main!$K$19:$O$22,MATCH(VLOOKUP($A29,main!$A$3:$H$102,8,FALSE),main!$K$18:$O$18,0))))),1,0)</f>
        <v>1</v>
      </c>
      <c r="W29">
        <f>IF((AND(VLOOKUP(W$1,main!$A$3:$H$102,5,FALSE)-VLOOKUP($A29,main!$A$3:$H$102,6,FALSE)&gt;=(VLOOKUP(VLOOKUP(W$1,main!$A$3:$H$102,8,FALSE),main!$K$26:$M$29,2,FALSE)+VLOOKUP(VLOOKUP(W$1,main!$A$3:$H$102,7,FALSE),main!$K$19:$O$22,MATCH(VLOOKUP($A29,main!$A$3:$H$102,8,FALSE),main!$K$18:$O$18,0))))),1,0)</f>
        <v>0</v>
      </c>
      <c r="X29">
        <f>IF((AND(VLOOKUP(X$1,main!$A$3:$H$102,5,FALSE)-VLOOKUP($A29,main!$A$3:$H$102,6,FALSE)&gt;=(VLOOKUP(VLOOKUP(X$1,main!$A$3:$H$102,8,FALSE),main!$K$26:$M$29,2,FALSE)+VLOOKUP(VLOOKUP(X$1,main!$A$3:$H$102,7,FALSE),main!$K$19:$O$22,MATCH(VLOOKUP($A29,main!$A$3:$H$102,8,FALSE),main!$K$18:$O$18,0))))),1,0)</f>
        <v>0</v>
      </c>
      <c r="Y29">
        <f>IF((AND(VLOOKUP(Y$1,main!$A$3:$H$102,5,FALSE)-VLOOKUP($A29,main!$A$3:$H$102,6,FALSE)&gt;=(VLOOKUP(VLOOKUP(Y$1,main!$A$3:$H$102,8,FALSE),main!$K$26:$M$29,2,FALSE)+VLOOKUP(VLOOKUP(Y$1,main!$A$3:$H$102,7,FALSE),main!$K$19:$O$22,MATCH(VLOOKUP($A29,main!$A$3:$H$102,8,FALSE),main!$K$18:$O$18,0))))),1,0)</f>
        <v>1</v>
      </c>
      <c r="Z29">
        <f>IF((AND(VLOOKUP(Z$1,main!$A$3:$H$102,5,FALSE)-VLOOKUP($A29,main!$A$3:$H$102,6,FALSE)&gt;=(VLOOKUP(VLOOKUP(Z$1,main!$A$3:$H$102,8,FALSE),main!$K$26:$M$29,2,FALSE)+VLOOKUP(VLOOKUP(Z$1,main!$A$3:$H$102,7,FALSE),main!$K$19:$O$22,MATCH(VLOOKUP($A29,main!$A$3:$H$102,8,FALSE),main!$K$18:$O$18,0))))),1,0)</f>
        <v>1</v>
      </c>
      <c r="AA29">
        <f>IF((AND(VLOOKUP(AA$1,main!$A$3:$H$102,5,FALSE)-VLOOKUP($A29,main!$A$3:$H$102,6,FALSE)&gt;=(VLOOKUP(VLOOKUP(AA$1,main!$A$3:$H$102,8,FALSE),main!$K$26:$M$29,2,FALSE)+VLOOKUP(VLOOKUP(AA$1,main!$A$3:$H$102,7,FALSE),main!$K$19:$O$22,MATCH(VLOOKUP($A29,main!$A$3:$H$102,8,FALSE),main!$K$18:$O$18,0))))),1,0)</f>
        <v>1</v>
      </c>
      <c r="AB29">
        <f>IF((AND(VLOOKUP(AB$1,main!$A$3:$H$102,5,FALSE)-VLOOKUP($A29,main!$A$3:$H$102,6,FALSE)&gt;=(VLOOKUP(VLOOKUP(AB$1,main!$A$3:$H$102,8,FALSE),main!$K$26:$M$29,2,FALSE)+VLOOKUP(VLOOKUP(AB$1,main!$A$3:$H$102,7,FALSE),main!$K$19:$O$22,MATCH(VLOOKUP($A29,main!$A$3:$H$102,8,FALSE),main!$K$18:$O$18,0))))),1,0)</f>
        <v>0</v>
      </c>
      <c r="AC29">
        <f>IF((AND(VLOOKUP(AC$1,main!$A$3:$H$102,5,FALSE)-VLOOKUP($A29,main!$A$3:$H$102,6,FALSE)&gt;=(VLOOKUP(VLOOKUP(AC$1,main!$A$3:$H$102,8,FALSE),main!$K$26:$M$29,2,FALSE)+VLOOKUP(VLOOKUP(AC$1,main!$A$3:$H$102,7,FALSE),main!$K$19:$O$22,MATCH(VLOOKUP($A29,main!$A$3:$H$102,8,FALSE),main!$K$18:$O$18,0))))),1,0)</f>
        <v>0</v>
      </c>
      <c r="AD29">
        <f>IF((AND(VLOOKUP(AD$1,main!$A$3:$H$102,5,FALSE)-VLOOKUP($A29,main!$A$3:$H$102,6,FALSE)&gt;=(VLOOKUP(VLOOKUP(AD$1,main!$A$3:$H$102,8,FALSE),main!$K$26:$M$29,2,FALSE)+VLOOKUP(VLOOKUP(AD$1,main!$A$3:$H$102,7,FALSE),main!$K$19:$O$22,MATCH(VLOOKUP($A29,main!$A$3:$H$102,8,FALSE),main!$K$18:$O$18,0))))),1,0)</f>
        <v>1</v>
      </c>
      <c r="AE29">
        <f>IF((AND(VLOOKUP(AE$1,main!$A$3:$H$102,5,FALSE)-VLOOKUP($A29,main!$A$3:$H$102,6,FALSE)&gt;=(VLOOKUP(VLOOKUP(AE$1,main!$A$3:$H$102,8,FALSE),main!$K$26:$M$29,2,FALSE)+VLOOKUP(VLOOKUP(AE$1,main!$A$3:$H$102,7,FALSE),main!$K$19:$O$22,MATCH(VLOOKUP($A29,main!$A$3:$H$102,8,FALSE),main!$K$18:$O$18,0))))),1,0)</f>
        <v>1</v>
      </c>
      <c r="AF29">
        <f>IF((AND(VLOOKUP(AF$1,main!$A$3:$H$102,5,FALSE)-VLOOKUP($A29,main!$A$3:$H$102,6,FALSE)&gt;=(VLOOKUP(VLOOKUP(AF$1,main!$A$3:$H$102,8,FALSE),main!$K$26:$M$29,2,FALSE)+VLOOKUP(VLOOKUP(AF$1,main!$A$3:$H$102,7,FALSE),main!$K$19:$O$22,MATCH(VLOOKUP($A29,main!$A$3:$H$102,8,FALSE),main!$K$18:$O$18,0))))),1,0)</f>
        <v>1</v>
      </c>
      <c r="AG29">
        <f>IF((AND(VLOOKUP(AG$1,main!$A$3:$H$102,5,FALSE)-VLOOKUP($A29,main!$A$3:$H$102,6,FALSE)&gt;=(VLOOKUP(VLOOKUP(AG$1,main!$A$3:$H$102,8,FALSE),main!$K$26:$M$29,2,FALSE)+VLOOKUP(VLOOKUP(AG$1,main!$A$3:$H$102,7,FALSE),main!$K$19:$O$22,MATCH(VLOOKUP($A29,main!$A$3:$H$102,8,FALSE),main!$K$18:$O$18,0))))),1,0)</f>
        <v>0</v>
      </c>
      <c r="AH29">
        <f>IF((AND(VLOOKUP(AH$1,main!$A$3:$H$102,5,FALSE)-VLOOKUP($A29,main!$A$3:$H$102,6,FALSE)&gt;=(VLOOKUP(VLOOKUP(AH$1,main!$A$3:$H$102,8,FALSE),main!$K$26:$M$29,2,FALSE)+VLOOKUP(VLOOKUP(AH$1,main!$A$3:$H$102,7,FALSE),main!$K$19:$O$22,MATCH(VLOOKUP($A29,main!$A$3:$H$102,8,FALSE),main!$K$18:$O$18,0))))),1,0)</f>
        <v>0</v>
      </c>
      <c r="AI29">
        <f>IF((AND(VLOOKUP(AI$1,main!$A$3:$H$102,5,FALSE)-VLOOKUP($A29,main!$A$3:$H$102,6,FALSE)&gt;=(VLOOKUP(VLOOKUP(AI$1,main!$A$3:$H$102,8,FALSE),main!$K$26:$M$29,2,FALSE)+VLOOKUP(VLOOKUP(AI$1,main!$A$3:$H$102,7,FALSE),main!$K$19:$O$22,MATCH(VLOOKUP($A29,main!$A$3:$H$102,8,FALSE),main!$K$18:$O$18,0))))),1,0)</f>
        <v>1</v>
      </c>
      <c r="AJ29">
        <f>IF((AND(VLOOKUP(AJ$1,main!$A$3:$H$102,5,FALSE)-VLOOKUP($A29,main!$A$3:$H$102,6,FALSE)&gt;=(VLOOKUP(VLOOKUP(AJ$1,main!$A$3:$H$102,8,FALSE),main!$K$26:$M$29,2,FALSE)+VLOOKUP(VLOOKUP(AJ$1,main!$A$3:$H$102,7,FALSE),main!$K$19:$O$22,MATCH(VLOOKUP($A29,main!$A$3:$H$102,8,FALSE),main!$K$18:$O$18,0))))),1,0)</f>
        <v>1</v>
      </c>
      <c r="AK29">
        <f>IF((AND(VLOOKUP(AK$1,main!$A$3:$H$102,5,FALSE)-VLOOKUP($A29,main!$A$3:$H$102,6,FALSE)&gt;=(VLOOKUP(VLOOKUP(AK$1,main!$A$3:$H$102,8,FALSE),main!$K$26:$M$29,2,FALSE)+VLOOKUP(VLOOKUP(AK$1,main!$A$3:$H$102,7,FALSE),main!$K$19:$O$22,MATCH(VLOOKUP($A29,main!$A$3:$H$102,8,FALSE),main!$K$18:$O$18,0))))),1,0)</f>
        <v>1</v>
      </c>
      <c r="AL29">
        <f>IF((AND(VLOOKUP(AL$1,main!$A$3:$H$102,5,FALSE)-VLOOKUP($A29,main!$A$3:$H$102,6,FALSE)&gt;=(VLOOKUP(VLOOKUP(AL$1,main!$A$3:$H$102,8,FALSE),main!$K$26:$M$29,2,FALSE)+VLOOKUP(VLOOKUP(AL$1,main!$A$3:$H$102,7,FALSE),main!$K$19:$O$22,MATCH(VLOOKUP($A29,main!$A$3:$H$102,8,FALSE),main!$K$18:$O$18,0))))),1,0)</f>
        <v>1</v>
      </c>
      <c r="AM29">
        <f>IF((AND(VLOOKUP(AM$1,main!$A$3:$H$102,5,FALSE)-VLOOKUP($A29,main!$A$3:$H$102,6,FALSE)&gt;=(VLOOKUP(VLOOKUP(AM$1,main!$A$3:$H$102,8,FALSE),main!$K$26:$M$29,2,FALSE)+VLOOKUP(VLOOKUP(AM$1,main!$A$3:$H$102,7,FALSE),main!$K$19:$O$22,MATCH(VLOOKUP($A29,main!$A$3:$H$102,8,FALSE),main!$K$18:$O$18,0))))),1,0)</f>
        <v>1</v>
      </c>
      <c r="AN29">
        <f>IF((AND(VLOOKUP(AN$1,main!$A$3:$H$102,5,FALSE)-VLOOKUP($A29,main!$A$3:$H$102,6,FALSE)&gt;=(VLOOKUP(VLOOKUP(AN$1,main!$A$3:$H$102,8,FALSE),main!$K$26:$M$29,2,FALSE)+VLOOKUP(VLOOKUP(AN$1,main!$A$3:$H$102,7,FALSE),main!$K$19:$O$22,MATCH(VLOOKUP($A29,main!$A$3:$H$102,8,FALSE),main!$K$18:$O$18,0))))),1,0)</f>
        <v>1</v>
      </c>
      <c r="AO29">
        <f>IF((AND(VLOOKUP(AO$1,main!$A$3:$H$102,5,FALSE)-VLOOKUP($A29,main!$A$3:$H$102,6,FALSE)&gt;=(VLOOKUP(VLOOKUP(AO$1,main!$A$3:$H$102,8,FALSE),main!$K$26:$M$29,2,FALSE)+VLOOKUP(VLOOKUP(AO$1,main!$A$3:$H$102,7,FALSE),main!$K$19:$O$22,MATCH(VLOOKUP($A29,main!$A$3:$H$102,8,FALSE),main!$K$18:$O$18,0))))),1,0)</f>
        <v>0</v>
      </c>
      <c r="AP29">
        <f>IF((AND(VLOOKUP(AP$1,main!$A$3:$H$102,5,FALSE)-VLOOKUP($A29,main!$A$3:$H$102,6,FALSE)&gt;=(VLOOKUP(VLOOKUP(AP$1,main!$A$3:$H$102,8,FALSE),main!$K$26:$M$29,2,FALSE)+VLOOKUP(VLOOKUP(AP$1,main!$A$3:$H$102,7,FALSE),main!$K$19:$O$22,MATCH(VLOOKUP($A29,main!$A$3:$H$102,8,FALSE),main!$K$18:$O$18,0))))),1,0)</f>
        <v>1</v>
      </c>
      <c r="AQ29">
        <f>IF((AND(VLOOKUP(AQ$1,main!$A$3:$H$102,5,FALSE)-VLOOKUP($A29,main!$A$3:$H$102,6,FALSE)&gt;=(VLOOKUP(VLOOKUP(AQ$1,main!$A$3:$H$102,8,FALSE),main!$K$26:$M$29,2,FALSE)+VLOOKUP(VLOOKUP(AQ$1,main!$A$3:$H$102,7,FALSE),main!$K$19:$O$22,MATCH(VLOOKUP($A29,main!$A$3:$H$102,8,FALSE),main!$K$18:$O$18,0))))),1,0)</f>
        <v>0</v>
      </c>
      <c r="AR29">
        <f>IF((AND(VLOOKUP(AR$1,main!$A$3:$H$102,5,FALSE)-VLOOKUP($A29,main!$A$3:$H$102,6,FALSE)&gt;=(VLOOKUP(VLOOKUP(AR$1,main!$A$3:$H$102,8,FALSE),main!$K$26:$M$29,2,FALSE)+VLOOKUP(VLOOKUP(AR$1,main!$A$3:$H$102,7,FALSE),main!$K$19:$O$22,MATCH(VLOOKUP($A29,main!$A$3:$H$102,8,FALSE),main!$K$18:$O$18,0))))),1,0)</f>
        <v>0</v>
      </c>
      <c r="AS29">
        <f>IF((AND(VLOOKUP(AS$1,main!$A$3:$H$102,5,FALSE)-VLOOKUP($A29,main!$A$3:$H$102,6,FALSE)&gt;=(VLOOKUP(VLOOKUP(AS$1,main!$A$3:$H$102,8,FALSE),main!$K$26:$M$29,2,FALSE)+VLOOKUP(VLOOKUP(AS$1,main!$A$3:$H$102,7,FALSE),main!$K$19:$O$22,MATCH(VLOOKUP($A29,main!$A$3:$H$102,8,FALSE),main!$K$18:$O$18,0))))),1,0)</f>
        <v>1</v>
      </c>
      <c r="AT29">
        <f>IF((AND(VLOOKUP(AT$1,main!$A$3:$H$102,5,FALSE)-VLOOKUP($A29,main!$A$3:$H$102,6,FALSE)&gt;=(VLOOKUP(VLOOKUP(AT$1,main!$A$3:$H$102,8,FALSE),main!$K$26:$M$29,2,FALSE)+VLOOKUP(VLOOKUP(AT$1,main!$A$3:$H$102,7,FALSE),main!$K$19:$O$22,MATCH(VLOOKUP($A29,main!$A$3:$H$102,8,FALSE),main!$K$18:$O$18,0))))),1,0)</f>
        <v>1</v>
      </c>
      <c r="AU29">
        <f>IF((AND(VLOOKUP(AU$1,main!$A$3:$H$102,5,FALSE)-VLOOKUP($A29,main!$A$3:$H$102,6,FALSE)&gt;=(VLOOKUP(VLOOKUP(AU$1,main!$A$3:$H$102,8,FALSE),main!$K$26:$M$29,2,FALSE)+VLOOKUP(VLOOKUP(AU$1,main!$A$3:$H$102,7,FALSE),main!$K$19:$O$22,MATCH(VLOOKUP($A29,main!$A$3:$H$102,8,FALSE),main!$K$18:$O$18,0))))),1,0)</f>
        <v>0</v>
      </c>
      <c r="AV29">
        <f>IF((AND(VLOOKUP(AV$1,main!$A$3:$H$102,5,FALSE)-VLOOKUP($A29,main!$A$3:$H$102,6,FALSE)&gt;=(VLOOKUP(VLOOKUP(AV$1,main!$A$3:$H$102,8,FALSE),main!$K$26:$M$29,2,FALSE)+VLOOKUP(VLOOKUP(AV$1,main!$A$3:$H$102,7,FALSE),main!$K$19:$O$22,MATCH(VLOOKUP($A29,main!$A$3:$H$102,8,FALSE),main!$K$18:$O$18,0))))),1,0)</f>
        <v>0</v>
      </c>
      <c r="AW29">
        <f>IF((AND(VLOOKUP(AW$1,main!$A$3:$H$102,5,FALSE)-VLOOKUP($A29,main!$A$3:$H$102,6,FALSE)&gt;=(VLOOKUP(VLOOKUP(AW$1,main!$A$3:$H$102,8,FALSE),main!$K$26:$M$29,2,FALSE)+VLOOKUP(VLOOKUP(AW$1,main!$A$3:$H$102,7,FALSE),main!$K$19:$O$22,MATCH(VLOOKUP($A29,main!$A$3:$H$102,8,FALSE),main!$K$18:$O$18,0))))),1,0)</f>
        <v>1</v>
      </c>
      <c r="AX29">
        <f>IF((AND(VLOOKUP(AX$1,main!$A$3:$H$102,5,FALSE)-VLOOKUP($A29,main!$A$3:$H$102,6,FALSE)&gt;=(VLOOKUP(VLOOKUP(AX$1,main!$A$3:$H$102,8,FALSE),main!$K$26:$M$29,2,FALSE)+VLOOKUP(VLOOKUP(AX$1,main!$A$3:$H$102,7,FALSE),main!$K$19:$O$22,MATCH(VLOOKUP($A29,main!$A$3:$H$102,8,FALSE),main!$K$18:$O$18,0))))),1,0)</f>
        <v>1</v>
      </c>
      <c r="AY29">
        <f>IF((AND(VLOOKUP(AY$1,main!$A$3:$H$102,5,FALSE)-VLOOKUP($A29,main!$A$3:$H$102,6,FALSE)&gt;=(VLOOKUP(VLOOKUP(AY$1,main!$A$3:$H$102,8,FALSE),main!$K$26:$M$29,2,FALSE)+VLOOKUP(VLOOKUP(AY$1,main!$A$3:$H$102,7,FALSE),main!$K$19:$O$22,MATCH(VLOOKUP($A29,main!$A$3:$H$102,8,FALSE),main!$K$18:$O$18,0))))),1,0)</f>
        <v>0</v>
      </c>
      <c r="AZ29">
        <f>IF((AND(VLOOKUP(AZ$1,main!$A$3:$H$102,5,FALSE)-VLOOKUP($A29,main!$A$3:$H$102,6,FALSE)&gt;=(VLOOKUP(VLOOKUP(AZ$1,main!$A$3:$H$102,8,FALSE),main!$K$26:$M$29,2,FALSE)+VLOOKUP(VLOOKUP(AZ$1,main!$A$3:$H$102,7,FALSE),main!$K$19:$O$22,MATCH(VLOOKUP($A29,main!$A$3:$H$102,8,FALSE),main!$K$18:$O$18,0))))),1,0)</f>
        <v>1</v>
      </c>
      <c r="BA29">
        <f>IF((AND(VLOOKUP(BA$1,main!$A$3:$H$102,5,FALSE)-VLOOKUP($A29,main!$A$3:$H$102,6,FALSE)&gt;=(VLOOKUP(VLOOKUP(BA$1,main!$A$3:$H$102,8,FALSE),main!$K$26:$M$29,2,FALSE)+VLOOKUP(VLOOKUP(BA$1,main!$A$3:$H$102,7,FALSE),main!$K$19:$O$22,MATCH(VLOOKUP($A29,main!$A$3:$H$102,8,FALSE),main!$K$18:$O$18,0))))),1,0)</f>
        <v>0</v>
      </c>
      <c r="BB29">
        <f>IF((AND(VLOOKUP(BB$1,main!$A$3:$H$102,5,FALSE)-VLOOKUP($A29,main!$A$3:$H$102,6,FALSE)&gt;=(VLOOKUP(VLOOKUP(BB$1,main!$A$3:$H$102,8,FALSE),main!$K$26:$M$29,2,FALSE)+VLOOKUP(VLOOKUP(BB$1,main!$A$3:$H$102,7,FALSE),main!$K$19:$O$22,MATCH(VLOOKUP($A29,main!$A$3:$H$102,8,FALSE),main!$K$18:$O$18,0))))),1,0)</f>
        <v>1</v>
      </c>
      <c r="BC29">
        <f>IF((AND(VLOOKUP(BC$1,main!$A$3:$H$102,5,FALSE)-VLOOKUP($A29,main!$A$3:$H$102,6,FALSE)&gt;=(VLOOKUP(VLOOKUP(BC$1,main!$A$3:$H$102,8,FALSE),main!$K$26:$M$29,2,FALSE)+VLOOKUP(VLOOKUP(BC$1,main!$A$3:$H$102,7,FALSE),main!$K$19:$O$22,MATCH(VLOOKUP($A29,main!$A$3:$H$102,8,FALSE),main!$K$18:$O$18,0))))),1,0)</f>
        <v>1</v>
      </c>
      <c r="BD29">
        <f>IF((AND(VLOOKUP(BD$1,main!$A$3:$H$102,5,FALSE)-VLOOKUP($A29,main!$A$3:$H$102,6,FALSE)&gt;=(VLOOKUP(VLOOKUP(BD$1,main!$A$3:$H$102,8,FALSE),main!$K$26:$M$29,2,FALSE)+VLOOKUP(VLOOKUP(BD$1,main!$A$3:$H$102,7,FALSE),main!$K$19:$O$22,MATCH(VLOOKUP($A29,main!$A$3:$H$102,8,FALSE),main!$K$18:$O$18,0))))),1,0)</f>
        <v>1</v>
      </c>
      <c r="BE29">
        <f>IF((AND(VLOOKUP(BE$1,main!$A$3:$H$102,5,FALSE)-VLOOKUP($A29,main!$A$3:$H$102,6,FALSE)&gt;=(VLOOKUP(VLOOKUP(BE$1,main!$A$3:$H$102,8,FALSE),main!$K$26:$M$29,2,FALSE)+VLOOKUP(VLOOKUP(BE$1,main!$A$3:$H$102,7,FALSE),main!$K$19:$O$22,MATCH(VLOOKUP($A29,main!$A$3:$H$102,8,FALSE),main!$K$18:$O$18,0))))),1,0)</f>
        <v>1</v>
      </c>
      <c r="BF29">
        <f>IF((AND(VLOOKUP(BF$1,main!$A$3:$H$102,5,FALSE)-VLOOKUP($A29,main!$A$3:$H$102,6,FALSE)&gt;=(VLOOKUP(VLOOKUP(BF$1,main!$A$3:$H$102,8,FALSE),main!$K$26:$M$29,2,FALSE)+VLOOKUP(VLOOKUP(BF$1,main!$A$3:$H$102,7,FALSE),main!$K$19:$O$22,MATCH(VLOOKUP($A29,main!$A$3:$H$102,8,FALSE),main!$K$18:$O$18,0))))),1,0)</f>
        <v>0</v>
      </c>
      <c r="BG29">
        <f>IF((AND(VLOOKUP(BG$1,main!$A$3:$H$102,5,FALSE)-VLOOKUP($A29,main!$A$3:$H$102,6,FALSE)&gt;=(VLOOKUP(VLOOKUP(BG$1,main!$A$3:$H$102,8,FALSE),main!$K$26:$M$29,2,FALSE)+VLOOKUP(VLOOKUP(BG$1,main!$A$3:$H$102,7,FALSE),main!$K$19:$O$22,MATCH(VLOOKUP($A29,main!$A$3:$H$102,8,FALSE),main!$K$18:$O$18,0))))),1,0)</f>
        <v>0</v>
      </c>
      <c r="BH29">
        <f>IF((AND(VLOOKUP(BH$1,main!$A$3:$H$102,5,FALSE)-VLOOKUP($A29,main!$A$3:$H$102,6,FALSE)&gt;=(VLOOKUP(VLOOKUP(BH$1,main!$A$3:$H$102,8,FALSE),main!$K$26:$M$29,2,FALSE)+VLOOKUP(VLOOKUP(BH$1,main!$A$3:$H$102,7,FALSE),main!$K$19:$O$22,MATCH(VLOOKUP($A29,main!$A$3:$H$102,8,FALSE),main!$K$18:$O$18,0))))),1,0)</f>
        <v>1</v>
      </c>
      <c r="BI29">
        <f>IF((AND(VLOOKUP(BI$1,main!$A$3:$H$102,5,FALSE)-VLOOKUP($A29,main!$A$3:$H$102,6,FALSE)&gt;=(VLOOKUP(VLOOKUP(BI$1,main!$A$3:$H$102,8,FALSE),main!$K$26:$M$29,2,FALSE)+VLOOKUP(VLOOKUP(BI$1,main!$A$3:$H$102,7,FALSE),main!$K$19:$O$22,MATCH(VLOOKUP($A29,main!$A$3:$H$102,8,FALSE),main!$K$18:$O$18,0))))),1,0)</f>
        <v>1</v>
      </c>
      <c r="BJ29">
        <f>IF((AND(VLOOKUP(BJ$1,main!$A$3:$H$102,5,FALSE)-VLOOKUP($A29,main!$A$3:$H$102,6,FALSE)&gt;=(VLOOKUP(VLOOKUP(BJ$1,main!$A$3:$H$102,8,FALSE),main!$K$26:$M$29,2,FALSE)+VLOOKUP(VLOOKUP(BJ$1,main!$A$3:$H$102,7,FALSE),main!$K$19:$O$22,MATCH(VLOOKUP($A29,main!$A$3:$H$102,8,FALSE),main!$K$18:$O$18,0))))),1,0)</f>
        <v>1</v>
      </c>
      <c r="BK29">
        <f>IF((AND(VLOOKUP(BK$1,main!$A$3:$H$102,5,FALSE)-VLOOKUP($A29,main!$A$3:$H$102,6,FALSE)&gt;=(VLOOKUP(VLOOKUP(BK$1,main!$A$3:$H$102,8,FALSE),main!$K$26:$M$29,2,FALSE)+VLOOKUP(VLOOKUP(BK$1,main!$A$3:$H$102,7,FALSE),main!$K$19:$O$22,MATCH(VLOOKUP($A29,main!$A$3:$H$102,8,FALSE),main!$K$18:$O$18,0))))),1,0)</f>
        <v>0</v>
      </c>
      <c r="BL29">
        <f>IF((AND(VLOOKUP(BL$1,main!$A$3:$H$102,5,FALSE)-VLOOKUP($A29,main!$A$3:$H$102,6,FALSE)&gt;=(VLOOKUP(VLOOKUP(BL$1,main!$A$3:$H$102,8,FALSE),main!$K$26:$M$29,2,FALSE)+VLOOKUP(VLOOKUP(BL$1,main!$A$3:$H$102,7,FALSE),main!$K$19:$O$22,MATCH(VLOOKUP($A29,main!$A$3:$H$102,8,FALSE),main!$K$18:$O$18,0))))),1,0)</f>
        <v>0</v>
      </c>
      <c r="BM29">
        <f>IF((AND(VLOOKUP(BM$1,main!$A$3:$H$102,5,FALSE)-VLOOKUP($A29,main!$A$3:$H$102,6,FALSE)&gt;=(VLOOKUP(VLOOKUP(BM$1,main!$A$3:$H$102,8,FALSE),main!$K$26:$M$29,2,FALSE)+VLOOKUP(VLOOKUP(BM$1,main!$A$3:$H$102,7,FALSE),main!$K$19:$O$22,MATCH(VLOOKUP($A29,main!$A$3:$H$102,8,FALSE),main!$K$18:$O$18,0))))),1,0)</f>
        <v>0</v>
      </c>
      <c r="BN29">
        <f>IF((AND(VLOOKUP(BN$1,main!$A$3:$H$102,5,FALSE)-VLOOKUP($A29,main!$A$3:$H$102,6,FALSE)&gt;=(VLOOKUP(VLOOKUP(BN$1,main!$A$3:$H$102,8,FALSE),main!$K$26:$M$29,2,FALSE)+VLOOKUP(VLOOKUP(BN$1,main!$A$3:$H$102,7,FALSE),main!$K$19:$O$22,MATCH(VLOOKUP($A29,main!$A$3:$H$102,8,FALSE),main!$K$18:$O$18,0))))),1,0)</f>
        <v>1</v>
      </c>
      <c r="BO29">
        <f>IF((AND(VLOOKUP(BO$1,main!$A$3:$H$102,5,FALSE)-VLOOKUP($A29,main!$A$3:$H$102,6,FALSE)&gt;=(VLOOKUP(VLOOKUP(BO$1,main!$A$3:$H$102,8,FALSE),main!$K$26:$M$29,2,FALSE)+VLOOKUP(VLOOKUP(BO$1,main!$A$3:$H$102,7,FALSE),main!$K$19:$O$22,MATCH(VLOOKUP($A29,main!$A$3:$H$102,8,FALSE),main!$K$18:$O$18,0))))),1,0)</f>
        <v>0</v>
      </c>
      <c r="BP29">
        <f>IF((AND(VLOOKUP(BP$1,main!$A$3:$H$102,5,FALSE)-VLOOKUP($A29,main!$A$3:$H$102,6,FALSE)&gt;=(VLOOKUP(VLOOKUP(BP$1,main!$A$3:$H$102,8,FALSE),main!$K$26:$M$29,2,FALSE)+VLOOKUP(VLOOKUP(BP$1,main!$A$3:$H$102,7,FALSE),main!$K$19:$O$22,MATCH(VLOOKUP($A29,main!$A$3:$H$102,8,FALSE),main!$K$18:$O$18,0))))),1,0)</f>
        <v>0</v>
      </c>
      <c r="BQ29">
        <f>IF((AND(VLOOKUP(BQ$1,main!$A$3:$H$102,5,FALSE)-VLOOKUP($A29,main!$A$3:$H$102,6,FALSE)&gt;=(VLOOKUP(VLOOKUP(BQ$1,main!$A$3:$H$102,8,FALSE),main!$K$26:$M$29,2,FALSE)+VLOOKUP(VLOOKUP(BQ$1,main!$A$3:$H$102,7,FALSE),main!$K$19:$O$22,MATCH(VLOOKUP($A29,main!$A$3:$H$102,8,FALSE),main!$K$18:$O$18,0))))),1,0)</f>
        <v>1</v>
      </c>
      <c r="BR29">
        <f>IF((AND(VLOOKUP(BR$1,main!$A$3:$H$102,5,FALSE)-VLOOKUP($A29,main!$A$3:$H$102,6,FALSE)&gt;=(VLOOKUP(VLOOKUP(BR$1,main!$A$3:$H$102,8,FALSE),main!$K$26:$M$29,2,FALSE)+VLOOKUP(VLOOKUP(BR$1,main!$A$3:$H$102,7,FALSE),main!$K$19:$O$22,MATCH(VLOOKUP($A29,main!$A$3:$H$102,8,FALSE),main!$K$18:$O$18,0))))),1,0)</f>
        <v>1</v>
      </c>
      <c r="BS29">
        <f>IF((AND(VLOOKUP(BS$1,main!$A$3:$H$102,5,FALSE)-VLOOKUP($A29,main!$A$3:$H$102,6,FALSE)&gt;=(VLOOKUP(VLOOKUP(BS$1,main!$A$3:$H$102,8,FALSE),main!$K$26:$M$29,2,FALSE)+VLOOKUP(VLOOKUP(BS$1,main!$A$3:$H$102,7,FALSE),main!$K$19:$O$22,MATCH(VLOOKUP($A29,main!$A$3:$H$102,8,FALSE),main!$K$18:$O$18,0))))),1,0)</f>
        <v>1</v>
      </c>
      <c r="BT29">
        <f>IF((AND(VLOOKUP(BT$1,main!$A$3:$H$102,5,FALSE)-VLOOKUP($A29,main!$A$3:$H$102,6,FALSE)&gt;=(VLOOKUP(VLOOKUP(BT$1,main!$A$3:$H$102,8,FALSE),main!$K$26:$M$29,2,FALSE)+VLOOKUP(VLOOKUP(BT$1,main!$A$3:$H$102,7,FALSE),main!$K$19:$O$22,MATCH(VLOOKUP($A29,main!$A$3:$H$102,8,FALSE),main!$K$18:$O$18,0))))),1,0)</f>
        <v>1</v>
      </c>
      <c r="BU29">
        <f>IF((AND(VLOOKUP(BU$1,main!$A$3:$H$102,5,FALSE)-VLOOKUP($A29,main!$A$3:$H$102,6,FALSE)&gt;=(VLOOKUP(VLOOKUP(BU$1,main!$A$3:$H$102,8,FALSE),main!$K$26:$M$29,2,FALSE)+VLOOKUP(VLOOKUP(BU$1,main!$A$3:$H$102,7,FALSE),main!$K$19:$O$22,MATCH(VLOOKUP($A29,main!$A$3:$H$102,8,FALSE),main!$K$18:$O$18,0))))),1,0)</f>
        <v>0</v>
      </c>
      <c r="BV29">
        <f>IF((AND(VLOOKUP(BV$1,main!$A$3:$H$102,5,FALSE)-VLOOKUP($A29,main!$A$3:$H$102,6,FALSE)&gt;=(VLOOKUP(VLOOKUP(BV$1,main!$A$3:$H$102,8,FALSE),main!$K$26:$M$29,2,FALSE)+VLOOKUP(VLOOKUP(BV$1,main!$A$3:$H$102,7,FALSE),main!$K$19:$O$22,MATCH(VLOOKUP($A29,main!$A$3:$H$102,8,FALSE),main!$K$18:$O$18,0))))),1,0)</f>
        <v>0</v>
      </c>
      <c r="BW29">
        <f>IF((AND(VLOOKUP(BW$1,main!$A$3:$H$102,5,FALSE)-VLOOKUP($A29,main!$A$3:$H$102,6,FALSE)&gt;=(VLOOKUP(VLOOKUP(BW$1,main!$A$3:$H$102,8,FALSE),main!$K$26:$M$29,2,FALSE)+VLOOKUP(VLOOKUP(BW$1,main!$A$3:$H$102,7,FALSE),main!$K$19:$O$22,MATCH(VLOOKUP($A29,main!$A$3:$H$102,8,FALSE),main!$K$18:$O$18,0))))),1,0)</f>
        <v>0</v>
      </c>
      <c r="BX29">
        <f>IF((AND(VLOOKUP(BX$1,main!$A$3:$H$102,5,FALSE)-VLOOKUP($A29,main!$A$3:$H$102,6,FALSE)&gt;=(VLOOKUP(VLOOKUP(BX$1,main!$A$3:$H$102,8,FALSE),main!$K$26:$M$29,2,FALSE)+VLOOKUP(VLOOKUP(BX$1,main!$A$3:$H$102,7,FALSE),main!$K$19:$O$22,MATCH(VLOOKUP($A29,main!$A$3:$H$102,8,FALSE),main!$K$18:$O$18,0))))),1,0)</f>
        <v>1</v>
      </c>
      <c r="BY29">
        <f>IF((AND(VLOOKUP(BY$1,main!$A$3:$H$102,5,FALSE)-VLOOKUP($A29,main!$A$3:$H$102,6,FALSE)&gt;=(VLOOKUP(VLOOKUP(BY$1,main!$A$3:$H$102,8,FALSE),main!$K$26:$M$29,2,FALSE)+VLOOKUP(VLOOKUP(BY$1,main!$A$3:$H$102,7,FALSE),main!$K$19:$O$22,MATCH(VLOOKUP($A29,main!$A$3:$H$102,8,FALSE),main!$K$18:$O$18,0))))),1,0)</f>
        <v>1</v>
      </c>
      <c r="BZ29">
        <f>IF((AND(VLOOKUP(BZ$1,main!$A$3:$H$102,5,FALSE)-VLOOKUP($A29,main!$A$3:$H$102,6,FALSE)&gt;=(VLOOKUP(VLOOKUP(BZ$1,main!$A$3:$H$102,8,FALSE),main!$K$26:$M$29,2,FALSE)+VLOOKUP(VLOOKUP(BZ$1,main!$A$3:$H$102,7,FALSE),main!$K$19:$O$22,MATCH(VLOOKUP($A29,main!$A$3:$H$102,8,FALSE),main!$K$18:$O$18,0))))),1,0)</f>
        <v>0</v>
      </c>
      <c r="CA29">
        <f>IF((AND(VLOOKUP(CA$1,main!$A$3:$H$102,5,FALSE)-VLOOKUP($A29,main!$A$3:$H$102,6,FALSE)&gt;=(VLOOKUP(VLOOKUP(CA$1,main!$A$3:$H$102,8,FALSE),main!$K$26:$M$29,2,FALSE)+VLOOKUP(VLOOKUP(CA$1,main!$A$3:$H$102,7,FALSE),main!$K$19:$O$22,MATCH(VLOOKUP($A29,main!$A$3:$H$102,8,FALSE),main!$K$18:$O$18,0))))),1,0)</f>
        <v>0</v>
      </c>
      <c r="CB29">
        <f>IF((AND(VLOOKUP(CB$1,main!$A$3:$H$102,5,FALSE)-VLOOKUP($A29,main!$A$3:$H$102,6,FALSE)&gt;=(VLOOKUP(VLOOKUP(CB$1,main!$A$3:$H$102,8,FALSE),main!$K$26:$M$29,2,FALSE)+VLOOKUP(VLOOKUP(CB$1,main!$A$3:$H$102,7,FALSE),main!$K$19:$O$22,MATCH(VLOOKUP($A29,main!$A$3:$H$102,8,FALSE),main!$K$18:$O$18,0))))),1,0)</f>
        <v>1</v>
      </c>
      <c r="CC29">
        <f>IF((AND(VLOOKUP(CC$1,main!$A$3:$H$102,5,FALSE)-VLOOKUP($A29,main!$A$3:$H$102,6,FALSE)&gt;=(VLOOKUP(VLOOKUP(CC$1,main!$A$3:$H$102,8,FALSE),main!$K$26:$M$29,2,FALSE)+VLOOKUP(VLOOKUP(CC$1,main!$A$3:$H$102,7,FALSE),main!$K$19:$O$22,MATCH(VLOOKUP($A29,main!$A$3:$H$102,8,FALSE),main!$K$18:$O$18,0))))),1,0)</f>
        <v>1</v>
      </c>
      <c r="CD29">
        <f>IF((AND(VLOOKUP(CD$1,main!$A$3:$H$102,5,FALSE)-VLOOKUP($A29,main!$A$3:$H$102,6,FALSE)&gt;=(VLOOKUP(VLOOKUP(CD$1,main!$A$3:$H$102,8,FALSE),main!$K$26:$M$29,2,FALSE)+VLOOKUP(VLOOKUP(CD$1,main!$A$3:$H$102,7,FALSE),main!$K$19:$O$22,MATCH(VLOOKUP($A29,main!$A$3:$H$102,8,FALSE),main!$K$18:$O$18,0))))),1,0)</f>
        <v>1</v>
      </c>
      <c r="CE29">
        <f>IF((AND(VLOOKUP(CE$1,main!$A$3:$H$102,5,FALSE)-VLOOKUP($A29,main!$A$3:$H$102,6,FALSE)&gt;=(VLOOKUP(VLOOKUP(CE$1,main!$A$3:$H$102,8,FALSE),main!$K$26:$M$29,2,FALSE)+VLOOKUP(VLOOKUP(CE$1,main!$A$3:$H$102,7,FALSE),main!$K$19:$O$22,MATCH(VLOOKUP($A29,main!$A$3:$H$102,8,FALSE),main!$K$18:$O$18,0))))),1,0)</f>
        <v>1</v>
      </c>
      <c r="CF29">
        <f>IF((AND(VLOOKUP(CF$1,main!$A$3:$H$102,5,FALSE)-VLOOKUP($A29,main!$A$3:$H$102,6,FALSE)&gt;=(VLOOKUP(VLOOKUP(CF$1,main!$A$3:$H$102,8,FALSE),main!$K$26:$M$29,2,FALSE)+VLOOKUP(VLOOKUP(CF$1,main!$A$3:$H$102,7,FALSE),main!$K$19:$O$22,MATCH(VLOOKUP($A29,main!$A$3:$H$102,8,FALSE),main!$K$18:$O$18,0))))),1,0)</f>
        <v>1</v>
      </c>
      <c r="CG29">
        <f>IF((AND(VLOOKUP(CG$1,main!$A$3:$H$102,5,FALSE)-VLOOKUP($A29,main!$A$3:$H$102,6,FALSE)&gt;=(VLOOKUP(VLOOKUP(CG$1,main!$A$3:$H$102,8,FALSE),main!$K$26:$M$29,2,FALSE)+VLOOKUP(VLOOKUP(CG$1,main!$A$3:$H$102,7,FALSE),main!$K$19:$O$22,MATCH(VLOOKUP($A29,main!$A$3:$H$102,8,FALSE),main!$K$18:$O$18,0))))),1,0)</f>
        <v>1</v>
      </c>
      <c r="CH29">
        <f>IF((AND(VLOOKUP(CH$1,main!$A$3:$H$102,5,FALSE)-VLOOKUP($A29,main!$A$3:$H$102,6,FALSE)&gt;=(VLOOKUP(VLOOKUP(CH$1,main!$A$3:$H$102,8,FALSE),main!$K$26:$M$29,2,FALSE)+VLOOKUP(VLOOKUP(CH$1,main!$A$3:$H$102,7,FALSE),main!$K$19:$O$22,MATCH(VLOOKUP($A29,main!$A$3:$H$102,8,FALSE),main!$K$18:$O$18,0))))),1,0)</f>
        <v>1</v>
      </c>
      <c r="CI29">
        <f>IF((AND(VLOOKUP(CI$1,main!$A$3:$H$102,5,FALSE)-VLOOKUP($A29,main!$A$3:$H$102,6,FALSE)&gt;=(VLOOKUP(VLOOKUP(CI$1,main!$A$3:$H$102,8,FALSE),main!$K$26:$M$29,2,FALSE)+VLOOKUP(VLOOKUP(CI$1,main!$A$3:$H$102,7,FALSE),main!$K$19:$O$22,MATCH(VLOOKUP($A29,main!$A$3:$H$102,8,FALSE),main!$K$18:$O$18,0))))),1,0)</f>
        <v>1</v>
      </c>
      <c r="CJ29">
        <f>IF((AND(VLOOKUP(CJ$1,main!$A$3:$H$102,5,FALSE)-VLOOKUP($A29,main!$A$3:$H$102,6,FALSE)&gt;=(VLOOKUP(VLOOKUP(CJ$1,main!$A$3:$H$102,8,FALSE),main!$K$26:$M$29,2,FALSE)+VLOOKUP(VLOOKUP(CJ$1,main!$A$3:$H$102,7,FALSE),main!$K$19:$O$22,MATCH(VLOOKUP($A29,main!$A$3:$H$102,8,FALSE),main!$K$18:$O$18,0))))),1,0)</f>
        <v>1</v>
      </c>
      <c r="CK29">
        <f>IF((AND(VLOOKUP(CK$1,main!$A$3:$H$102,5,FALSE)-VLOOKUP($A29,main!$A$3:$H$102,6,FALSE)&gt;=(VLOOKUP(VLOOKUP(CK$1,main!$A$3:$H$102,8,FALSE),main!$K$26:$M$29,2,FALSE)+VLOOKUP(VLOOKUP(CK$1,main!$A$3:$H$102,7,FALSE),main!$K$19:$O$22,MATCH(VLOOKUP($A29,main!$A$3:$H$102,8,FALSE),main!$K$18:$O$18,0))))),1,0)</f>
        <v>1</v>
      </c>
      <c r="CL29">
        <f>IF((AND(VLOOKUP(CL$1,main!$A$3:$H$102,5,FALSE)-VLOOKUP($A29,main!$A$3:$H$102,6,FALSE)&gt;=(VLOOKUP(VLOOKUP(CL$1,main!$A$3:$H$102,8,FALSE),main!$K$26:$M$29,2,FALSE)+VLOOKUP(VLOOKUP(CL$1,main!$A$3:$H$102,7,FALSE),main!$K$19:$O$22,MATCH(VLOOKUP($A29,main!$A$3:$H$102,8,FALSE),main!$K$18:$O$18,0))))),1,0)</f>
        <v>1</v>
      </c>
      <c r="CM29">
        <f>IF((AND(VLOOKUP(CM$1,main!$A$3:$H$102,5,FALSE)-VLOOKUP($A29,main!$A$3:$H$102,6,FALSE)&gt;=(VLOOKUP(VLOOKUP(CM$1,main!$A$3:$H$102,8,FALSE),main!$K$26:$M$29,2,FALSE)+VLOOKUP(VLOOKUP(CM$1,main!$A$3:$H$102,7,FALSE),main!$K$19:$O$22,MATCH(VLOOKUP($A29,main!$A$3:$H$102,8,FALSE),main!$K$18:$O$18,0))))),1,0)</f>
        <v>1</v>
      </c>
      <c r="CN29">
        <f>IF((AND(VLOOKUP(CN$1,main!$A$3:$H$102,5,FALSE)-VLOOKUP($A29,main!$A$3:$H$102,6,FALSE)&gt;=(VLOOKUP(VLOOKUP(CN$1,main!$A$3:$H$102,8,FALSE),main!$K$26:$M$29,2,FALSE)+VLOOKUP(VLOOKUP(CN$1,main!$A$3:$H$102,7,FALSE),main!$K$19:$O$22,MATCH(VLOOKUP($A29,main!$A$3:$H$102,8,FALSE),main!$K$18:$O$18,0))))),1,0)</f>
        <v>1</v>
      </c>
      <c r="CO29">
        <f>IF((AND(VLOOKUP(CO$1,main!$A$3:$H$102,5,FALSE)-VLOOKUP($A29,main!$A$3:$H$102,6,FALSE)&gt;=(VLOOKUP(VLOOKUP(CO$1,main!$A$3:$H$102,8,FALSE),main!$K$26:$M$29,2,FALSE)+VLOOKUP(VLOOKUP(CO$1,main!$A$3:$H$102,7,FALSE),main!$K$19:$O$22,MATCH(VLOOKUP($A29,main!$A$3:$H$102,8,FALSE),main!$K$18:$O$18,0))))),1,0)</f>
        <v>0</v>
      </c>
      <c r="CP29">
        <f>IF((AND(VLOOKUP(CP$1,main!$A$3:$H$102,5,FALSE)-VLOOKUP($A29,main!$A$3:$H$102,6,FALSE)&gt;=(VLOOKUP(VLOOKUP(CP$1,main!$A$3:$H$102,8,FALSE),main!$K$26:$M$29,2,FALSE)+VLOOKUP(VLOOKUP(CP$1,main!$A$3:$H$102,7,FALSE),main!$K$19:$O$22,MATCH(VLOOKUP($A29,main!$A$3:$H$102,8,FALSE),main!$K$18:$O$18,0))))),1,0)</f>
        <v>1</v>
      </c>
      <c r="CQ29">
        <f>IF((AND(VLOOKUP(CQ$1,main!$A$3:$H$102,5,FALSE)-VLOOKUP($A29,main!$A$3:$H$102,6,FALSE)&gt;=(VLOOKUP(VLOOKUP(CQ$1,main!$A$3:$H$102,8,FALSE),main!$K$26:$M$29,2,FALSE)+VLOOKUP(VLOOKUP(CQ$1,main!$A$3:$H$102,7,FALSE),main!$K$19:$O$22,MATCH(VLOOKUP($A29,main!$A$3:$H$102,8,FALSE),main!$K$18:$O$18,0))))),1,0)</f>
        <v>1</v>
      </c>
      <c r="CR29">
        <f>IF((AND(VLOOKUP(CR$1,main!$A$3:$H$102,5,FALSE)-VLOOKUP($A29,main!$A$3:$H$102,6,FALSE)&gt;=(VLOOKUP(VLOOKUP(CR$1,main!$A$3:$H$102,8,FALSE),main!$K$26:$M$29,2,FALSE)+VLOOKUP(VLOOKUP(CR$1,main!$A$3:$H$102,7,FALSE),main!$K$19:$O$22,MATCH(VLOOKUP($A29,main!$A$3:$H$102,8,FALSE),main!$K$18:$O$18,0))))),1,0)</f>
        <v>1</v>
      </c>
      <c r="CS29">
        <f>IF((AND(VLOOKUP(CS$1,main!$A$3:$H$102,5,FALSE)-VLOOKUP($A29,main!$A$3:$H$102,6,FALSE)&gt;=(VLOOKUP(VLOOKUP(CS$1,main!$A$3:$H$102,8,FALSE),main!$K$26:$M$29,2,FALSE)+VLOOKUP(VLOOKUP(CS$1,main!$A$3:$H$102,7,FALSE),main!$K$19:$O$22,MATCH(VLOOKUP($A29,main!$A$3:$H$102,8,FALSE),main!$K$18:$O$18,0))))),1,0)</f>
        <v>1</v>
      </c>
      <c r="CT29">
        <f>IF((AND(VLOOKUP(CT$1,main!$A$3:$H$102,5,FALSE)-VLOOKUP($A29,main!$A$3:$H$102,6,FALSE)&gt;=(VLOOKUP(VLOOKUP(CT$1,main!$A$3:$H$102,8,FALSE),main!$K$26:$M$29,2,FALSE)+VLOOKUP(VLOOKUP(CT$1,main!$A$3:$H$102,7,FALSE),main!$K$19:$O$22,MATCH(VLOOKUP($A29,main!$A$3:$H$102,8,FALSE),main!$K$18:$O$18,0))))),1,0)</f>
        <v>0</v>
      </c>
      <c r="CU29">
        <f>IF((AND(VLOOKUP(CU$1,main!$A$3:$H$102,5,FALSE)-VLOOKUP($A29,main!$A$3:$H$102,6,FALSE)&gt;=(VLOOKUP(VLOOKUP(CU$1,main!$A$3:$H$102,8,FALSE),main!$K$26:$M$29,2,FALSE)+VLOOKUP(VLOOKUP(CU$1,main!$A$3:$H$102,7,FALSE),main!$K$19:$O$22,MATCH(VLOOKUP($A29,main!$A$3:$H$102,8,FALSE),main!$K$18:$O$18,0))))),1,0)</f>
        <v>0</v>
      </c>
      <c r="CV29">
        <f>IF((AND(VLOOKUP(CV$1,main!$A$3:$H$102,5,FALSE)-VLOOKUP($A29,main!$A$3:$H$102,6,FALSE)&gt;=(VLOOKUP(VLOOKUP(CV$1,main!$A$3:$H$102,8,FALSE),main!$K$26:$M$29,2,FALSE)+VLOOKUP(VLOOKUP(CV$1,main!$A$3:$H$102,7,FALSE),main!$K$19:$O$22,MATCH(VLOOKUP($A29,main!$A$3:$H$102,8,FALSE),main!$K$18:$O$18,0))))),1,0)</f>
        <v>1</v>
      </c>
      <c r="CW29">
        <f>IF((AND(VLOOKUP(CW$1,main!$A$3:$H$102,5,FALSE)-VLOOKUP($A29,main!$A$3:$H$102,6,FALSE)&gt;=(VLOOKUP(VLOOKUP(CW$1,main!$A$3:$H$102,8,FALSE),main!$K$26:$M$29,2,FALSE)+VLOOKUP(VLOOKUP(CW$1,main!$A$3:$H$102,7,FALSE),main!$K$19:$O$22,MATCH(VLOOKUP($A29,main!$A$3:$H$102,8,FALSE),main!$K$18:$O$18,0))))),1,0)</f>
        <v>1</v>
      </c>
      <c r="CX29">
        <f>IF((AND(VLOOKUP(CX$1,main!$A$3:$H$102,5,FALSE)-VLOOKUP($A29,main!$A$3:$H$102,6,FALSE)&gt;=(VLOOKUP(VLOOKUP(CX$1,main!$A$3:$H$102,8,FALSE),main!$K$26:$M$29,2,FALSE)+VLOOKUP(VLOOKUP(CX$1,main!$A$3:$H$102,7,FALSE),main!$K$19:$O$22,MATCH(VLOOKUP($A29,main!$A$3:$H$102,8,FALSE),main!$K$18:$O$18,0))))),1,0)</f>
        <v>1</v>
      </c>
    </row>
    <row r="30" spans="1:102" x14ac:dyDescent="0.25">
      <c r="A30" s="1">
        <v>28</v>
      </c>
      <c r="B30">
        <v>1</v>
      </c>
      <c r="C30">
        <f>IF((AND(VLOOKUP(C$1,main!$A$3:$H$102,5,FALSE)-VLOOKUP($A30,main!$A$3:$H$102,6,FALSE)&gt;=(VLOOKUP(VLOOKUP(C$1,main!$A$3:$H$102,8,FALSE),main!$K$26:$M$29,2,FALSE)+VLOOKUP(VLOOKUP(C$1,main!$A$3:$H$102,7,FALSE),main!$K$19:$O$22,MATCH(VLOOKUP($A30,main!$A$3:$H$102,8,FALSE),main!$K$18:$O$18,0))))),1,0)</f>
        <v>0</v>
      </c>
      <c r="D30">
        <f>IF((AND(VLOOKUP(D$1,main!$A$3:$H$102,5,FALSE)-VLOOKUP($A30,main!$A$3:$H$102,6,FALSE)&gt;=(VLOOKUP(VLOOKUP(D$1,main!$A$3:$H$102,8,FALSE),main!$K$26:$M$29,2,FALSE)+VLOOKUP(VLOOKUP(D$1,main!$A$3:$H$102,7,FALSE),main!$K$19:$O$22,MATCH(VLOOKUP($A30,main!$A$3:$H$102,8,FALSE),main!$K$18:$O$18,0))))),1,0)</f>
        <v>0</v>
      </c>
      <c r="E30">
        <f>IF((AND(VLOOKUP(E$1,main!$A$3:$H$102,5,FALSE)-VLOOKUP($A30,main!$A$3:$H$102,6,FALSE)&gt;=(VLOOKUP(VLOOKUP(E$1,main!$A$3:$H$102,8,FALSE),main!$K$26:$M$29,2,FALSE)+VLOOKUP(VLOOKUP(E$1,main!$A$3:$H$102,7,FALSE),main!$K$19:$O$22,MATCH(VLOOKUP($A30,main!$A$3:$H$102,8,FALSE),main!$K$18:$O$18,0))))),1,0)</f>
        <v>0</v>
      </c>
      <c r="F30">
        <f>IF((AND(VLOOKUP(F$1,main!$A$3:$H$102,5,FALSE)-VLOOKUP($A30,main!$A$3:$H$102,6,FALSE)&gt;=(VLOOKUP(VLOOKUP(F$1,main!$A$3:$H$102,8,FALSE),main!$K$26:$M$29,2,FALSE)+VLOOKUP(VLOOKUP(F$1,main!$A$3:$H$102,7,FALSE),main!$K$19:$O$22,MATCH(VLOOKUP($A30,main!$A$3:$H$102,8,FALSE),main!$K$18:$O$18,0))))),1,0)</f>
        <v>0</v>
      </c>
      <c r="G30">
        <f>IF((AND(VLOOKUP(G$1,main!$A$3:$H$102,5,FALSE)-VLOOKUP($A30,main!$A$3:$H$102,6,FALSE)&gt;=(VLOOKUP(VLOOKUP(G$1,main!$A$3:$H$102,8,FALSE),main!$K$26:$M$29,2,FALSE)+VLOOKUP(VLOOKUP(G$1,main!$A$3:$H$102,7,FALSE),main!$K$19:$O$22,MATCH(VLOOKUP($A30,main!$A$3:$H$102,8,FALSE),main!$K$18:$O$18,0))))),1,0)</f>
        <v>0</v>
      </c>
      <c r="H30">
        <f>IF((AND(VLOOKUP(H$1,main!$A$3:$H$102,5,FALSE)-VLOOKUP($A30,main!$A$3:$H$102,6,FALSE)&gt;=(VLOOKUP(VLOOKUP(H$1,main!$A$3:$H$102,8,FALSE),main!$K$26:$M$29,2,FALSE)+VLOOKUP(VLOOKUP(H$1,main!$A$3:$H$102,7,FALSE),main!$K$19:$O$22,MATCH(VLOOKUP($A30,main!$A$3:$H$102,8,FALSE),main!$K$18:$O$18,0))))),1,0)</f>
        <v>0</v>
      </c>
      <c r="I30">
        <f>IF((AND(VLOOKUP(I$1,main!$A$3:$H$102,5,FALSE)-VLOOKUP($A30,main!$A$3:$H$102,6,FALSE)&gt;=(VLOOKUP(VLOOKUP(I$1,main!$A$3:$H$102,8,FALSE),main!$K$26:$M$29,2,FALSE)+VLOOKUP(VLOOKUP(I$1,main!$A$3:$H$102,7,FALSE),main!$K$19:$O$22,MATCH(VLOOKUP($A30,main!$A$3:$H$102,8,FALSE),main!$K$18:$O$18,0))))),1,0)</f>
        <v>1</v>
      </c>
      <c r="J30">
        <f>IF((AND(VLOOKUP(J$1,main!$A$3:$H$102,5,FALSE)-VLOOKUP($A30,main!$A$3:$H$102,6,FALSE)&gt;=(VLOOKUP(VLOOKUP(J$1,main!$A$3:$H$102,8,FALSE),main!$K$26:$M$29,2,FALSE)+VLOOKUP(VLOOKUP(J$1,main!$A$3:$H$102,7,FALSE),main!$K$19:$O$22,MATCH(VLOOKUP($A30,main!$A$3:$H$102,8,FALSE),main!$K$18:$O$18,0))))),1,0)</f>
        <v>1</v>
      </c>
      <c r="K30">
        <f>IF((AND(VLOOKUP(K$1,main!$A$3:$H$102,5,FALSE)-VLOOKUP($A30,main!$A$3:$H$102,6,FALSE)&gt;=(VLOOKUP(VLOOKUP(K$1,main!$A$3:$H$102,8,FALSE),main!$K$26:$M$29,2,FALSE)+VLOOKUP(VLOOKUP(K$1,main!$A$3:$H$102,7,FALSE),main!$K$19:$O$22,MATCH(VLOOKUP($A30,main!$A$3:$H$102,8,FALSE),main!$K$18:$O$18,0))))),1,0)</f>
        <v>1</v>
      </c>
      <c r="L30">
        <f>IF((AND(VLOOKUP(L$1,main!$A$3:$H$102,5,FALSE)-VLOOKUP($A30,main!$A$3:$H$102,6,FALSE)&gt;=(VLOOKUP(VLOOKUP(L$1,main!$A$3:$H$102,8,FALSE),main!$K$26:$M$29,2,FALSE)+VLOOKUP(VLOOKUP(L$1,main!$A$3:$H$102,7,FALSE),main!$K$19:$O$22,MATCH(VLOOKUP($A30,main!$A$3:$H$102,8,FALSE),main!$K$18:$O$18,0))))),1,0)</f>
        <v>1</v>
      </c>
      <c r="M30">
        <f>IF((AND(VLOOKUP(M$1,main!$A$3:$H$102,5,FALSE)-VLOOKUP($A30,main!$A$3:$H$102,6,FALSE)&gt;=(VLOOKUP(VLOOKUP(M$1,main!$A$3:$H$102,8,FALSE),main!$K$26:$M$29,2,FALSE)+VLOOKUP(VLOOKUP(M$1,main!$A$3:$H$102,7,FALSE),main!$K$19:$O$22,MATCH(VLOOKUP($A30,main!$A$3:$H$102,8,FALSE),main!$K$18:$O$18,0))))),1,0)</f>
        <v>0</v>
      </c>
      <c r="N30">
        <f>IF((AND(VLOOKUP(N$1,main!$A$3:$H$102,5,FALSE)-VLOOKUP($A30,main!$A$3:$H$102,6,FALSE)&gt;=(VLOOKUP(VLOOKUP(N$1,main!$A$3:$H$102,8,FALSE),main!$K$26:$M$29,2,FALSE)+VLOOKUP(VLOOKUP(N$1,main!$A$3:$H$102,7,FALSE),main!$K$19:$O$22,MATCH(VLOOKUP($A30,main!$A$3:$H$102,8,FALSE),main!$K$18:$O$18,0))))),1,0)</f>
        <v>0</v>
      </c>
      <c r="O30">
        <f>IF((AND(VLOOKUP(O$1,main!$A$3:$H$102,5,FALSE)-VLOOKUP($A30,main!$A$3:$H$102,6,FALSE)&gt;=(VLOOKUP(VLOOKUP(O$1,main!$A$3:$H$102,8,FALSE),main!$K$26:$M$29,2,FALSE)+VLOOKUP(VLOOKUP(O$1,main!$A$3:$H$102,7,FALSE),main!$K$19:$O$22,MATCH(VLOOKUP($A30,main!$A$3:$H$102,8,FALSE),main!$K$18:$O$18,0))))),1,0)</f>
        <v>0</v>
      </c>
      <c r="P30">
        <f>IF((AND(VLOOKUP(P$1,main!$A$3:$H$102,5,FALSE)-VLOOKUP($A30,main!$A$3:$H$102,6,FALSE)&gt;=(VLOOKUP(VLOOKUP(P$1,main!$A$3:$H$102,8,FALSE),main!$K$26:$M$29,2,FALSE)+VLOOKUP(VLOOKUP(P$1,main!$A$3:$H$102,7,FALSE),main!$K$19:$O$22,MATCH(VLOOKUP($A30,main!$A$3:$H$102,8,FALSE),main!$K$18:$O$18,0))))),1,0)</f>
        <v>0</v>
      </c>
      <c r="Q30">
        <f>IF((AND(VLOOKUP(Q$1,main!$A$3:$H$102,5,FALSE)-VLOOKUP($A30,main!$A$3:$H$102,6,FALSE)&gt;=(VLOOKUP(VLOOKUP(Q$1,main!$A$3:$H$102,8,FALSE),main!$K$26:$M$29,2,FALSE)+VLOOKUP(VLOOKUP(Q$1,main!$A$3:$H$102,7,FALSE),main!$K$19:$O$22,MATCH(VLOOKUP($A30,main!$A$3:$H$102,8,FALSE),main!$K$18:$O$18,0))))),1,0)</f>
        <v>0</v>
      </c>
      <c r="R30">
        <f>IF((AND(VLOOKUP(R$1,main!$A$3:$H$102,5,FALSE)-VLOOKUP($A30,main!$A$3:$H$102,6,FALSE)&gt;=(VLOOKUP(VLOOKUP(R$1,main!$A$3:$H$102,8,FALSE),main!$K$26:$M$29,2,FALSE)+VLOOKUP(VLOOKUP(R$1,main!$A$3:$H$102,7,FALSE),main!$K$19:$O$22,MATCH(VLOOKUP($A30,main!$A$3:$H$102,8,FALSE),main!$K$18:$O$18,0))))),1,0)</f>
        <v>0</v>
      </c>
      <c r="S30">
        <f>IF((AND(VLOOKUP(S$1,main!$A$3:$H$102,5,FALSE)-VLOOKUP($A30,main!$A$3:$H$102,6,FALSE)&gt;=(VLOOKUP(VLOOKUP(S$1,main!$A$3:$H$102,8,FALSE),main!$K$26:$M$29,2,FALSE)+VLOOKUP(VLOOKUP(S$1,main!$A$3:$H$102,7,FALSE),main!$K$19:$O$22,MATCH(VLOOKUP($A30,main!$A$3:$H$102,8,FALSE),main!$K$18:$O$18,0))))),1,0)</f>
        <v>0</v>
      </c>
      <c r="T30">
        <f>IF((AND(VLOOKUP(T$1,main!$A$3:$H$102,5,FALSE)-VLOOKUP($A30,main!$A$3:$H$102,6,FALSE)&gt;=(VLOOKUP(VLOOKUP(T$1,main!$A$3:$H$102,8,FALSE),main!$K$26:$M$29,2,FALSE)+VLOOKUP(VLOOKUP(T$1,main!$A$3:$H$102,7,FALSE),main!$K$19:$O$22,MATCH(VLOOKUP($A30,main!$A$3:$H$102,8,FALSE),main!$K$18:$O$18,0))))),1,0)</f>
        <v>1</v>
      </c>
      <c r="U30">
        <f>IF((AND(VLOOKUP(U$1,main!$A$3:$H$102,5,FALSE)-VLOOKUP($A30,main!$A$3:$H$102,6,FALSE)&gt;=(VLOOKUP(VLOOKUP(U$1,main!$A$3:$H$102,8,FALSE),main!$K$26:$M$29,2,FALSE)+VLOOKUP(VLOOKUP(U$1,main!$A$3:$H$102,7,FALSE),main!$K$19:$O$22,MATCH(VLOOKUP($A30,main!$A$3:$H$102,8,FALSE),main!$K$18:$O$18,0))))),1,0)</f>
        <v>1</v>
      </c>
      <c r="V30">
        <f>IF((AND(VLOOKUP(V$1,main!$A$3:$H$102,5,FALSE)-VLOOKUP($A30,main!$A$3:$H$102,6,FALSE)&gt;=(VLOOKUP(VLOOKUP(V$1,main!$A$3:$H$102,8,FALSE),main!$K$26:$M$29,2,FALSE)+VLOOKUP(VLOOKUP(V$1,main!$A$3:$H$102,7,FALSE),main!$K$19:$O$22,MATCH(VLOOKUP($A30,main!$A$3:$H$102,8,FALSE),main!$K$18:$O$18,0))))),1,0)</f>
        <v>1</v>
      </c>
      <c r="W30">
        <f>IF((AND(VLOOKUP(W$1,main!$A$3:$H$102,5,FALSE)-VLOOKUP($A30,main!$A$3:$H$102,6,FALSE)&gt;=(VLOOKUP(VLOOKUP(W$1,main!$A$3:$H$102,8,FALSE),main!$K$26:$M$29,2,FALSE)+VLOOKUP(VLOOKUP(W$1,main!$A$3:$H$102,7,FALSE),main!$K$19:$O$22,MATCH(VLOOKUP($A30,main!$A$3:$H$102,8,FALSE),main!$K$18:$O$18,0))))),1,0)</f>
        <v>0</v>
      </c>
      <c r="X30">
        <f>IF((AND(VLOOKUP(X$1,main!$A$3:$H$102,5,FALSE)-VLOOKUP($A30,main!$A$3:$H$102,6,FALSE)&gt;=(VLOOKUP(VLOOKUP(X$1,main!$A$3:$H$102,8,FALSE),main!$K$26:$M$29,2,FALSE)+VLOOKUP(VLOOKUP(X$1,main!$A$3:$H$102,7,FALSE),main!$K$19:$O$22,MATCH(VLOOKUP($A30,main!$A$3:$H$102,8,FALSE),main!$K$18:$O$18,0))))),1,0)</f>
        <v>0</v>
      </c>
      <c r="Y30">
        <f>IF((AND(VLOOKUP(Y$1,main!$A$3:$H$102,5,FALSE)-VLOOKUP($A30,main!$A$3:$H$102,6,FALSE)&gt;=(VLOOKUP(VLOOKUP(Y$1,main!$A$3:$H$102,8,FALSE),main!$K$26:$M$29,2,FALSE)+VLOOKUP(VLOOKUP(Y$1,main!$A$3:$H$102,7,FALSE),main!$K$19:$O$22,MATCH(VLOOKUP($A30,main!$A$3:$H$102,8,FALSE),main!$K$18:$O$18,0))))),1,0)</f>
        <v>0</v>
      </c>
      <c r="Z30">
        <f>IF((AND(VLOOKUP(Z$1,main!$A$3:$H$102,5,FALSE)-VLOOKUP($A30,main!$A$3:$H$102,6,FALSE)&gt;=(VLOOKUP(VLOOKUP(Z$1,main!$A$3:$H$102,8,FALSE),main!$K$26:$M$29,2,FALSE)+VLOOKUP(VLOOKUP(Z$1,main!$A$3:$H$102,7,FALSE),main!$K$19:$O$22,MATCH(VLOOKUP($A30,main!$A$3:$H$102,8,FALSE),main!$K$18:$O$18,0))))),1,0)</f>
        <v>1</v>
      </c>
      <c r="AA30">
        <f>IF((AND(VLOOKUP(AA$1,main!$A$3:$H$102,5,FALSE)-VLOOKUP($A30,main!$A$3:$H$102,6,FALSE)&gt;=(VLOOKUP(VLOOKUP(AA$1,main!$A$3:$H$102,8,FALSE),main!$K$26:$M$29,2,FALSE)+VLOOKUP(VLOOKUP(AA$1,main!$A$3:$H$102,7,FALSE),main!$K$19:$O$22,MATCH(VLOOKUP($A30,main!$A$3:$H$102,8,FALSE),main!$K$18:$O$18,0))))),1,0)</f>
        <v>1</v>
      </c>
      <c r="AB30">
        <f>IF((AND(VLOOKUP(AB$1,main!$A$3:$H$102,5,FALSE)-VLOOKUP($A30,main!$A$3:$H$102,6,FALSE)&gt;=(VLOOKUP(VLOOKUP(AB$1,main!$A$3:$H$102,8,FALSE),main!$K$26:$M$29,2,FALSE)+VLOOKUP(VLOOKUP(AB$1,main!$A$3:$H$102,7,FALSE),main!$K$19:$O$22,MATCH(VLOOKUP($A30,main!$A$3:$H$102,8,FALSE),main!$K$18:$O$18,0))))),1,0)</f>
        <v>0</v>
      </c>
      <c r="AC30">
        <f>IF((AND(VLOOKUP(AC$1,main!$A$3:$H$102,5,FALSE)-VLOOKUP($A30,main!$A$3:$H$102,6,FALSE)&gt;=(VLOOKUP(VLOOKUP(AC$1,main!$A$3:$H$102,8,FALSE),main!$K$26:$M$29,2,FALSE)+VLOOKUP(VLOOKUP(AC$1,main!$A$3:$H$102,7,FALSE),main!$K$19:$O$22,MATCH(VLOOKUP($A30,main!$A$3:$H$102,8,FALSE),main!$K$18:$O$18,0))))),1,0)</f>
        <v>0</v>
      </c>
      <c r="AD30">
        <f>IF((AND(VLOOKUP(AD$1,main!$A$3:$H$102,5,FALSE)-VLOOKUP($A30,main!$A$3:$H$102,6,FALSE)&gt;=(VLOOKUP(VLOOKUP(AD$1,main!$A$3:$H$102,8,FALSE),main!$K$26:$M$29,2,FALSE)+VLOOKUP(VLOOKUP(AD$1,main!$A$3:$H$102,7,FALSE),main!$K$19:$O$22,MATCH(VLOOKUP($A30,main!$A$3:$H$102,8,FALSE),main!$K$18:$O$18,0))))),1,0)</f>
        <v>0</v>
      </c>
      <c r="AE30">
        <f>IF((AND(VLOOKUP(AE$1,main!$A$3:$H$102,5,FALSE)-VLOOKUP($A30,main!$A$3:$H$102,6,FALSE)&gt;=(VLOOKUP(VLOOKUP(AE$1,main!$A$3:$H$102,8,FALSE),main!$K$26:$M$29,2,FALSE)+VLOOKUP(VLOOKUP(AE$1,main!$A$3:$H$102,7,FALSE),main!$K$19:$O$22,MATCH(VLOOKUP($A30,main!$A$3:$H$102,8,FALSE),main!$K$18:$O$18,0))))),1,0)</f>
        <v>0</v>
      </c>
      <c r="AF30">
        <f>IF((AND(VLOOKUP(AF$1,main!$A$3:$H$102,5,FALSE)-VLOOKUP($A30,main!$A$3:$H$102,6,FALSE)&gt;=(VLOOKUP(VLOOKUP(AF$1,main!$A$3:$H$102,8,FALSE),main!$K$26:$M$29,2,FALSE)+VLOOKUP(VLOOKUP(AF$1,main!$A$3:$H$102,7,FALSE),main!$K$19:$O$22,MATCH(VLOOKUP($A30,main!$A$3:$H$102,8,FALSE),main!$K$18:$O$18,0))))),1,0)</f>
        <v>1</v>
      </c>
      <c r="AG30">
        <f>IF((AND(VLOOKUP(AG$1,main!$A$3:$H$102,5,FALSE)-VLOOKUP($A30,main!$A$3:$H$102,6,FALSE)&gt;=(VLOOKUP(VLOOKUP(AG$1,main!$A$3:$H$102,8,FALSE),main!$K$26:$M$29,2,FALSE)+VLOOKUP(VLOOKUP(AG$1,main!$A$3:$H$102,7,FALSE),main!$K$19:$O$22,MATCH(VLOOKUP($A30,main!$A$3:$H$102,8,FALSE),main!$K$18:$O$18,0))))),1,0)</f>
        <v>0</v>
      </c>
      <c r="AH30">
        <f>IF((AND(VLOOKUP(AH$1,main!$A$3:$H$102,5,FALSE)-VLOOKUP($A30,main!$A$3:$H$102,6,FALSE)&gt;=(VLOOKUP(VLOOKUP(AH$1,main!$A$3:$H$102,8,FALSE),main!$K$26:$M$29,2,FALSE)+VLOOKUP(VLOOKUP(AH$1,main!$A$3:$H$102,7,FALSE),main!$K$19:$O$22,MATCH(VLOOKUP($A30,main!$A$3:$H$102,8,FALSE),main!$K$18:$O$18,0))))),1,0)</f>
        <v>0</v>
      </c>
      <c r="AI30">
        <f>IF((AND(VLOOKUP(AI$1,main!$A$3:$H$102,5,FALSE)-VLOOKUP($A30,main!$A$3:$H$102,6,FALSE)&gt;=(VLOOKUP(VLOOKUP(AI$1,main!$A$3:$H$102,8,FALSE),main!$K$26:$M$29,2,FALSE)+VLOOKUP(VLOOKUP(AI$1,main!$A$3:$H$102,7,FALSE),main!$K$19:$O$22,MATCH(VLOOKUP($A30,main!$A$3:$H$102,8,FALSE),main!$K$18:$O$18,0))))),1,0)</f>
        <v>0</v>
      </c>
      <c r="AJ30">
        <f>IF((AND(VLOOKUP(AJ$1,main!$A$3:$H$102,5,FALSE)-VLOOKUP($A30,main!$A$3:$H$102,6,FALSE)&gt;=(VLOOKUP(VLOOKUP(AJ$1,main!$A$3:$H$102,8,FALSE),main!$K$26:$M$29,2,FALSE)+VLOOKUP(VLOOKUP(AJ$1,main!$A$3:$H$102,7,FALSE),main!$K$19:$O$22,MATCH(VLOOKUP($A30,main!$A$3:$H$102,8,FALSE),main!$K$18:$O$18,0))))),1,0)</f>
        <v>0</v>
      </c>
      <c r="AK30">
        <f>IF((AND(VLOOKUP(AK$1,main!$A$3:$H$102,5,FALSE)-VLOOKUP($A30,main!$A$3:$H$102,6,FALSE)&gt;=(VLOOKUP(VLOOKUP(AK$1,main!$A$3:$H$102,8,FALSE),main!$K$26:$M$29,2,FALSE)+VLOOKUP(VLOOKUP(AK$1,main!$A$3:$H$102,7,FALSE),main!$K$19:$O$22,MATCH(VLOOKUP($A30,main!$A$3:$H$102,8,FALSE),main!$K$18:$O$18,0))))),1,0)</f>
        <v>0</v>
      </c>
      <c r="AL30">
        <f>IF((AND(VLOOKUP(AL$1,main!$A$3:$H$102,5,FALSE)-VLOOKUP($A30,main!$A$3:$H$102,6,FALSE)&gt;=(VLOOKUP(VLOOKUP(AL$1,main!$A$3:$H$102,8,FALSE),main!$K$26:$M$29,2,FALSE)+VLOOKUP(VLOOKUP(AL$1,main!$A$3:$H$102,7,FALSE),main!$K$19:$O$22,MATCH(VLOOKUP($A30,main!$A$3:$H$102,8,FALSE),main!$K$18:$O$18,0))))),1,0)</f>
        <v>1</v>
      </c>
      <c r="AM30">
        <f>IF((AND(VLOOKUP(AM$1,main!$A$3:$H$102,5,FALSE)-VLOOKUP($A30,main!$A$3:$H$102,6,FALSE)&gt;=(VLOOKUP(VLOOKUP(AM$1,main!$A$3:$H$102,8,FALSE),main!$K$26:$M$29,2,FALSE)+VLOOKUP(VLOOKUP(AM$1,main!$A$3:$H$102,7,FALSE),main!$K$19:$O$22,MATCH(VLOOKUP($A30,main!$A$3:$H$102,8,FALSE),main!$K$18:$O$18,0))))),1,0)</f>
        <v>1</v>
      </c>
      <c r="AN30">
        <f>IF((AND(VLOOKUP(AN$1,main!$A$3:$H$102,5,FALSE)-VLOOKUP($A30,main!$A$3:$H$102,6,FALSE)&gt;=(VLOOKUP(VLOOKUP(AN$1,main!$A$3:$H$102,8,FALSE),main!$K$26:$M$29,2,FALSE)+VLOOKUP(VLOOKUP(AN$1,main!$A$3:$H$102,7,FALSE),main!$K$19:$O$22,MATCH(VLOOKUP($A30,main!$A$3:$H$102,8,FALSE),main!$K$18:$O$18,0))))),1,0)</f>
        <v>1</v>
      </c>
      <c r="AO30">
        <f>IF((AND(VLOOKUP(AO$1,main!$A$3:$H$102,5,FALSE)-VLOOKUP($A30,main!$A$3:$H$102,6,FALSE)&gt;=(VLOOKUP(VLOOKUP(AO$1,main!$A$3:$H$102,8,FALSE),main!$K$26:$M$29,2,FALSE)+VLOOKUP(VLOOKUP(AO$1,main!$A$3:$H$102,7,FALSE),main!$K$19:$O$22,MATCH(VLOOKUP($A30,main!$A$3:$H$102,8,FALSE),main!$K$18:$O$18,0))))),1,0)</f>
        <v>0</v>
      </c>
      <c r="AP30">
        <f>IF((AND(VLOOKUP(AP$1,main!$A$3:$H$102,5,FALSE)-VLOOKUP($A30,main!$A$3:$H$102,6,FALSE)&gt;=(VLOOKUP(VLOOKUP(AP$1,main!$A$3:$H$102,8,FALSE),main!$K$26:$M$29,2,FALSE)+VLOOKUP(VLOOKUP(AP$1,main!$A$3:$H$102,7,FALSE),main!$K$19:$O$22,MATCH(VLOOKUP($A30,main!$A$3:$H$102,8,FALSE),main!$K$18:$O$18,0))))),1,0)</f>
        <v>1</v>
      </c>
      <c r="AQ30">
        <f>IF((AND(VLOOKUP(AQ$1,main!$A$3:$H$102,5,FALSE)-VLOOKUP($A30,main!$A$3:$H$102,6,FALSE)&gt;=(VLOOKUP(VLOOKUP(AQ$1,main!$A$3:$H$102,8,FALSE),main!$K$26:$M$29,2,FALSE)+VLOOKUP(VLOOKUP(AQ$1,main!$A$3:$H$102,7,FALSE),main!$K$19:$O$22,MATCH(VLOOKUP($A30,main!$A$3:$H$102,8,FALSE),main!$K$18:$O$18,0))))),1,0)</f>
        <v>0</v>
      </c>
      <c r="AR30">
        <f>IF((AND(VLOOKUP(AR$1,main!$A$3:$H$102,5,FALSE)-VLOOKUP($A30,main!$A$3:$H$102,6,FALSE)&gt;=(VLOOKUP(VLOOKUP(AR$1,main!$A$3:$H$102,8,FALSE),main!$K$26:$M$29,2,FALSE)+VLOOKUP(VLOOKUP(AR$1,main!$A$3:$H$102,7,FALSE),main!$K$19:$O$22,MATCH(VLOOKUP($A30,main!$A$3:$H$102,8,FALSE),main!$K$18:$O$18,0))))),1,0)</f>
        <v>0</v>
      </c>
      <c r="AS30">
        <f>IF((AND(VLOOKUP(AS$1,main!$A$3:$H$102,5,FALSE)-VLOOKUP($A30,main!$A$3:$H$102,6,FALSE)&gt;=(VLOOKUP(VLOOKUP(AS$1,main!$A$3:$H$102,8,FALSE),main!$K$26:$M$29,2,FALSE)+VLOOKUP(VLOOKUP(AS$1,main!$A$3:$H$102,7,FALSE),main!$K$19:$O$22,MATCH(VLOOKUP($A30,main!$A$3:$H$102,8,FALSE),main!$K$18:$O$18,0))))),1,0)</f>
        <v>0</v>
      </c>
      <c r="AT30">
        <f>IF((AND(VLOOKUP(AT$1,main!$A$3:$H$102,5,FALSE)-VLOOKUP($A30,main!$A$3:$H$102,6,FALSE)&gt;=(VLOOKUP(VLOOKUP(AT$1,main!$A$3:$H$102,8,FALSE),main!$K$26:$M$29,2,FALSE)+VLOOKUP(VLOOKUP(AT$1,main!$A$3:$H$102,7,FALSE),main!$K$19:$O$22,MATCH(VLOOKUP($A30,main!$A$3:$H$102,8,FALSE),main!$K$18:$O$18,0))))),1,0)</f>
        <v>1</v>
      </c>
      <c r="AU30">
        <f>IF((AND(VLOOKUP(AU$1,main!$A$3:$H$102,5,FALSE)-VLOOKUP($A30,main!$A$3:$H$102,6,FALSE)&gt;=(VLOOKUP(VLOOKUP(AU$1,main!$A$3:$H$102,8,FALSE),main!$K$26:$M$29,2,FALSE)+VLOOKUP(VLOOKUP(AU$1,main!$A$3:$H$102,7,FALSE),main!$K$19:$O$22,MATCH(VLOOKUP($A30,main!$A$3:$H$102,8,FALSE),main!$K$18:$O$18,0))))),1,0)</f>
        <v>0</v>
      </c>
      <c r="AV30">
        <f>IF((AND(VLOOKUP(AV$1,main!$A$3:$H$102,5,FALSE)-VLOOKUP($A30,main!$A$3:$H$102,6,FALSE)&gt;=(VLOOKUP(VLOOKUP(AV$1,main!$A$3:$H$102,8,FALSE),main!$K$26:$M$29,2,FALSE)+VLOOKUP(VLOOKUP(AV$1,main!$A$3:$H$102,7,FALSE),main!$K$19:$O$22,MATCH(VLOOKUP($A30,main!$A$3:$H$102,8,FALSE),main!$K$18:$O$18,0))))),1,0)</f>
        <v>0</v>
      </c>
      <c r="AW30">
        <f>IF((AND(VLOOKUP(AW$1,main!$A$3:$H$102,5,FALSE)-VLOOKUP($A30,main!$A$3:$H$102,6,FALSE)&gt;=(VLOOKUP(VLOOKUP(AW$1,main!$A$3:$H$102,8,FALSE),main!$K$26:$M$29,2,FALSE)+VLOOKUP(VLOOKUP(AW$1,main!$A$3:$H$102,7,FALSE),main!$K$19:$O$22,MATCH(VLOOKUP($A30,main!$A$3:$H$102,8,FALSE),main!$K$18:$O$18,0))))),1,0)</f>
        <v>0</v>
      </c>
      <c r="AX30">
        <f>IF((AND(VLOOKUP(AX$1,main!$A$3:$H$102,5,FALSE)-VLOOKUP($A30,main!$A$3:$H$102,6,FALSE)&gt;=(VLOOKUP(VLOOKUP(AX$1,main!$A$3:$H$102,8,FALSE),main!$K$26:$M$29,2,FALSE)+VLOOKUP(VLOOKUP(AX$1,main!$A$3:$H$102,7,FALSE),main!$K$19:$O$22,MATCH(VLOOKUP($A30,main!$A$3:$H$102,8,FALSE),main!$K$18:$O$18,0))))),1,0)</f>
        <v>0</v>
      </c>
      <c r="AY30">
        <f>IF((AND(VLOOKUP(AY$1,main!$A$3:$H$102,5,FALSE)-VLOOKUP($A30,main!$A$3:$H$102,6,FALSE)&gt;=(VLOOKUP(VLOOKUP(AY$1,main!$A$3:$H$102,8,FALSE),main!$K$26:$M$29,2,FALSE)+VLOOKUP(VLOOKUP(AY$1,main!$A$3:$H$102,7,FALSE),main!$K$19:$O$22,MATCH(VLOOKUP($A30,main!$A$3:$H$102,8,FALSE),main!$K$18:$O$18,0))))),1,0)</f>
        <v>0</v>
      </c>
      <c r="AZ30">
        <f>IF((AND(VLOOKUP(AZ$1,main!$A$3:$H$102,5,FALSE)-VLOOKUP($A30,main!$A$3:$H$102,6,FALSE)&gt;=(VLOOKUP(VLOOKUP(AZ$1,main!$A$3:$H$102,8,FALSE),main!$K$26:$M$29,2,FALSE)+VLOOKUP(VLOOKUP(AZ$1,main!$A$3:$H$102,7,FALSE),main!$K$19:$O$22,MATCH(VLOOKUP($A30,main!$A$3:$H$102,8,FALSE),main!$K$18:$O$18,0))))),1,0)</f>
        <v>0</v>
      </c>
      <c r="BA30">
        <f>IF((AND(VLOOKUP(BA$1,main!$A$3:$H$102,5,FALSE)-VLOOKUP($A30,main!$A$3:$H$102,6,FALSE)&gt;=(VLOOKUP(VLOOKUP(BA$1,main!$A$3:$H$102,8,FALSE),main!$K$26:$M$29,2,FALSE)+VLOOKUP(VLOOKUP(BA$1,main!$A$3:$H$102,7,FALSE),main!$K$19:$O$22,MATCH(VLOOKUP($A30,main!$A$3:$H$102,8,FALSE),main!$K$18:$O$18,0))))),1,0)</f>
        <v>0</v>
      </c>
      <c r="BB30">
        <f>IF((AND(VLOOKUP(BB$1,main!$A$3:$H$102,5,FALSE)-VLOOKUP($A30,main!$A$3:$H$102,6,FALSE)&gt;=(VLOOKUP(VLOOKUP(BB$1,main!$A$3:$H$102,8,FALSE),main!$K$26:$M$29,2,FALSE)+VLOOKUP(VLOOKUP(BB$1,main!$A$3:$H$102,7,FALSE),main!$K$19:$O$22,MATCH(VLOOKUP($A30,main!$A$3:$H$102,8,FALSE),main!$K$18:$O$18,0))))),1,0)</f>
        <v>0</v>
      </c>
      <c r="BC30">
        <f>IF((AND(VLOOKUP(BC$1,main!$A$3:$H$102,5,FALSE)-VLOOKUP($A30,main!$A$3:$H$102,6,FALSE)&gt;=(VLOOKUP(VLOOKUP(BC$1,main!$A$3:$H$102,8,FALSE),main!$K$26:$M$29,2,FALSE)+VLOOKUP(VLOOKUP(BC$1,main!$A$3:$H$102,7,FALSE),main!$K$19:$O$22,MATCH(VLOOKUP($A30,main!$A$3:$H$102,8,FALSE),main!$K$18:$O$18,0))))),1,0)</f>
        <v>0</v>
      </c>
      <c r="BD30">
        <f>IF((AND(VLOOKUP(BD$1,main!$A$3:$H$102,5,FALSE)-VLOOKUP($A30,main!$A$3:$H$102,6,FALSE)&gt;=(VLOOKUP(VLOOKUP(BD$1,main!$A$3:$H$102,8,FALSE),main!$K$26:$M$29,2,FALSE)+VLOOKUP(VLOOKUP(BD$1,main!$A$3:$H$102,7,FALSE),main!$K$19:$O$22,MATCH(VLOOKUP($A30,main!$A$3:$H$102,8,FALSE),main!$K$18:$O$18,0))))),1,0)</f>
        <v>0</v>
      </c>
      <c r="BE30">
        <f>IF((AND(VLOOKUP(BE$1,main!$A$3:$H$102,5,FALSE)-VLOOKUP($A30,main!$A$3:$H$102,6,FALSE)&gt;=(VLOOKUP(VLOOKUP(BE$1,main!$A$3:$H$102,8,FALSE),main!$K$26:$M$29,2,FALSE)+VLOOKUP(VLOOKUP(BE$1,main!$A$3:$H$102,7,FALSE),main!$K$19:$O$22,MATCH(VLOOKUP($A30,main!$A$3:$H$102,8,FALSE),main!$K$18:$O$18,0))))),1,0)</f>
        <v>1</v>
      </c>
      <c r="BF30">
        <f>IF((AND(VLOOKUP(BF$1,main!$A$3:$H$102,5,FALSE)-VLOOKUP($A30,main!$A$3:$H$102,6,FALSE)&gt;=(VLOOKUP(VLOOKUP(BF$1,main!$A$3:$H$102,8,FALSE),main!$K$26:$M$29,2,FALSE)+VLOOKUP(VLOOKUP(BF$1,main!$A$3:$H$102,7,FALSE),main!$K$19:$O$22,MATCH(VLOOKUP($A30,main!$A$3:$H$102,8,FALSE),main!$K$18:$O$18,0))))),1,0)</f>
        <v>0</v>
      </c>
      <c r="BG30">
        <f>IF((AND(VLOOKUP(BG$1,main!$A$3:$H$102,5,FALSE)-VLOOKUP($A30,main!$A$3:$H$102,6,FALSE)&gt;=(VLOOKUP(VLOOKUP(BG$1,main!$A$3:$H$102,8,FALSE),main!$K$26:$M$29,2,FALSE)+VLOOKUP(VLOOKUP(BG$1,main!$A$3:$H$102,7,FALSE),main!$K$19:$O$22,MATCH(VLOOKUP($A30,main!$A$3:$H$102,8,FALSE),main!$K$18:$O$18,0))))),1,0)</f>
        <v>0</v>
      </c>
      <c r="BH30">
        <f>IF((AND(VLOOKUP(BH$1,main!$A$3:$H$102,5,FALSE)-VLOOKUP($A30,main!$A$3:$H$102,6,FALSE)&gt;=(VLOOKUP(VLOOKUP(BH$1,main!$A$3:$H$102,8,FALSE),main!$K$26:$M$29,2,FALSE)+VLOOKUP(VLOOKUP(BH$1,main!$A$3:$H$102,7,FALSE),main!$K$19:$O$22,MATCH(VLOOKUP($A30,main!$A$3:$H$102,8,FALSE),main!$K$18:$O$18,0))))),1,0)</f>
        <v>0</v>
      </c>
      <c r="BI30">
        <f>IF((AND(VLOOKUP(BI$1,main!$A$3:$H$102,5,FALSE)-VLOOKUP($A30,main!$A$3:$H$102,6,FALSE)&gt;=(VLOOKUP(VLOOKUP(BI$1,main!$A$3:$H$102,8,FALSE),main!$K$26:$M$29,2,FALSE)+VLOOKUP(VLOOKUP(BI$1,main!$A$3:$H$102,7,FALSE),main!$K$19:$O$22,MATCH(VLOOKUP($A30,main!$A$3:$H$102,8,FALSE),main!$K$18:$O$18,0))))),1,0)</f>
        <v>1</v>
      </c>
      <c r="BJ30">
        <f>IF((AND(VLOOKUP(BJ$1,main!$A$3:$H$102,5,FALSE)-VLOOKUP($A30,main!$A$3:$H$102,6,FALSE)&gt;=(VLOOKUP(VLOOKUP(BJ$1,main!$A$3:$H$102,8,FALSE),main!$K$26:$M$29,2,FALSE)+VLOOKUP(VLOOKUP(BJ$1,main!$A$3:$H$102,7,FALSE),main!$K$19:$O$22,MATCH(VLOOKUP($A30,main!$A$3:$H$102,8,FALSE),main!$K$18:$O$18,0))))),1,0)</f>
        <v>1</v>
      </c>
      <c r="BK30">
        <f>IF((AND(VLOOKUP(BK$1,main!$A$3:$H$102,5,FALSE)-VLOOKUP($A30,main!$A$3:$H$102,6,FALSE)&gt;=(VLOOKUP(VLOOKUP(BK$1,main!$A$3:$H$102,8,FALSE),main!$K$26:$M$29,2,FALSE)+VLOOKUP(VLOOKUP(BK$1,main!$A$3:$H$102,7,FALSE),main!$K$19:$O$22,MATCH(VLOOKUP($A30,main!$A$3:$H$102,8,FALSE),main!$K$18:$O$18,0))))),1,0)</f>
        <v>0</v>
      </c>
      <c r="BL30">
        <f>IF((AND(VLOOKUP(BL$1,main!$A$3:$H$102,5,FALSE)-VLOOKUP($A30,main!$A$3:$H$102,6,FALSE)&gt;=(VLOOKUP(VLOOKUP(BL$1,main!$A$3:$H$102,8,FALSE),main!$K$26:$M$29,2,FALSE)+VLOOKUP(VLOOKUP(BL$1,main!$A$3:$H$102,7,FALSE),main!$K$19:$O$22,MATCH(VLOOKUP($A30,main!$A$3:$H$102,8,FALSE),main!$K$18:$O$18,0))))),1,0)</f>
        <v>0</v>
      </c>
      <c r="BM30">
        <f>IF((AND(VLOOKUP(BM$1,main!$A$3:$H$102,5,FALSE)-VLOOKUP($A30,main!$A$3:$H$102,6,FALSE)&gt;=(VLOOKUP(VLOOKUP(BM$1,main!$A$3:$H$102,8,FALSE),main!$K$26:$M$29,2,FALSE)+VLOOKUP(VLOOKUP(BM$1,main!$A$3:$H$102,7,FALSE),main!$K$19:$O$22,MATCH(VLOOKUP($A30,main!$A$3:$H$102,8,FALSE),main!$K$18:$O$18,0))))),1,0)</f>
        <v>0</v>
      </c>
      <c r="BN30">
        <f>IF((AND(VLOOKUP(BN$1,main!$A$3:$H$102,5,FALSE)-VLOOKUP($A30,main!$A$3:$H$102,6,FALSE)&gt;=(VLOOKUP(VLOOKUP(BN$1,main!$A$3:$H$102,8,FALSE),main!$K$26:$M$29,2,FALSE)+VLOOKUP(VLOOKUP(BN$1,main!$A$3:$H$102,7,FALSE),main!$K$19:$O$22,MATCH(VLOOKUP($A30,main!$A$3:$H$102,8,FALSE),main!$K$18:$O$18,0))))),1,0)</f>
        <v>0</v>
      </c>
      <c r="BO30">
        <f>IF((AND(VLOOKUP(BO$1,main!$A$3:$H$102,5,FALSE)-VLOOKUP($A30,main!$A$3:$H$102,6,FALSE)&gt;=(VLOOKUP(VLOOKUP(BO$1,main!$A$3:$H$102,8,FALSE),main!$K$26:$M$29,2,FALSE)+VLOOKUP(VLOOKUP(BO$1,main!$A$3:$H$102,7,FALSE),main!$K$19:$O$22,MATCH(VLOOKUP($A30,main!$A$3:$H$102,8,FALSE),main!$K$18:$O$18,0))))),1,0)</f>
        <v>0</v>
      </c>
      <c r="BP30">
        <f>IF((AND(VLOOKUP(BP$1,main!$A$3:$H$102,5,FALSE)-VLOOKUP($A30,main!$A$3:$H$102,6,FALSE)&gt;=(VLOOKUP(VLOOKUP(BP$1,main!$A$3:$H$102,8,FALSE),main!$K$26:$M$29,2,FALSE)+VLOOKUP(VLOOKUP(BP$1,main!$A$3:$H$102,7,FALSE),main!$K$19:$O$22,MATCH(VLOOKUP($A30,main!$A$3:$H$102,8,FALSE),main!$K$18:$O$18,0))))),1,0)</f>
        <v>0</v>
      </c>
      <c r="BQ30">
        <f>IF((AND(VLOOKUP(BQ$1,main!$A$3:$H$102,5,FALSE)-VLOOKUP($A30,main!$A$3:$H$102,6,FALSE)&gt;=(VLOOKUP(VLOOKUP(BQ$1,main!$A$3:$H$102,8,FALSE),main!$K$26:$M$29,2,FALSE)+VLOOKUP(VLOOKUP(BQ$1,main!$A$3:$H$102,7,FALSE),main!$K$19:$O$22,MATCH(VLOOKUP($A30,main!$A$3:$H$102,8,FALSE),main!$K$18:$O$18,0))))),1,0)</f>
        <v>0</v>
      </c>
      <c r="BR30">
        <f>IF((AND(VLOOKUP(BR$1,main!$A$3:$H$102,5,FALSE)-VLOOKUP($A30,main!$A$3:$H$102,6,FALSE)&gt;=(VLOOKUP(VLOOKUP(BR$1,main!$A$3:$H$102,8,FALSE),main!$K$26:$M$29,2,FALSE)+VLOOKUP(VLOOKUP(BR$1,main!$A$3:$H$102,7,FALSE),main!$K$19:$O$22,MATCH(VLOOKUP($A30,main!$A$3:$H$102,8,FALSE),main!$K$18:$O$18,0))))),1,0)</f>
        <v>0</v>
      </c>
      <c r="BS30">
        <f>IF((AND(VLOOKUP(BS$1,main!$A$3:$H$102,5,FALSE)-VLOOKUP($A30,main!$A$3:$H$102,6,FALSE)&gt;=(VLOOKUP(VLOOKUP(BS$1,main!$A$3:$H$102,8,FALSE),main!$K$26:$M$29,2,FALSE)+VLOOKUP(VLOOKUP(BS$1,main!$A$3:$H$102,7,FALSE),main!$K$19:$O$22,MATCH(VLOOKUP($A30,main!$A$3:$H$102,8,FALSE),main!$K$18:$O$18,0))))),1,0)</f>
        <v>0</v>
      </c>
      <c r="BT30">
        <f>IF((AND(VLOOKUP(BT$1,main!$A$3:$H$102,5,FALSE)-VLOOKUP($A30,main!$A$3:$H$102,6,FALSE)&gt;=(VLOOKUP(VLOOKUP(BT$1,main!$A$3:$H$102,8,FALSE),main!$K$26:$M$29,2,FALSE)+VLOOKUP(VLOOKUP(BT$1,main!$A$3:$H$102,7,FALSE),main!$K$19:$O$22,MATCH(VLOOKUP($A30,main!$A$3:$H$102,8,FALSE),main!$K$18:$O$18,0))))),1,0)</f>
        <v>0</v>
      </c>
      <c r="BU30">
        <f>IF((AND(VLOOKUP(BU$1,main!$A$3:$H$102,5,FALSE)-VLOOKUP($A30,main!$A$3:$H$102,6,FALSE)&gt;=(VLOOKUP(VLOOKUP(BU$1,main!$A$3:$H$102,8,FALSE),main!$K$26:$M$29,2,FALSE)+VLOOKUP(VLOOKUP(BU$1,main!$A$3:$H$102,7,FALSE),main!$K$19:$O$22,MATCH(VLOOKUP($A30,main!$A$3:$H$102,8,FALSE),main!$K$18:$O$18,0))))),1,0)</f>
        <v>0</v>
      </c>
      <c r="BV30">
        <f>IF((AND(VLOOKUP(BV$1,main!$A$3:$H$102,5,FALSE)-VLOOKUP($A30,main!$A$3:$H$102,6,FALSE)&gt;=(VLOOKUP(VLOOKUP(BV$1,main!$A$3:$H$102,8,FALSE),main!$K$26:$M$29,2,FALSE)+VLOOKUP(VLOOKUP(BV$1,main!$A$3:$H$102,7,FALSE),main!$K$19:$O$22,MATCH(VLOOKUP($A30,main!$A$3:$H$102,8,FALSE),main!$K$18:$O$18,0))))),1,0)</f>
        <v>0</v>
      </c>
      <c r="BW30">
        <f>IF((AND(VLOOKUP(BW$1,main!$A$3:$H$102,5,FALSE)-VLOOKUP($A30,main!$A$3:$H$102,6,FALSE)&gt;=(VLOOKUP(VLOOKUP(BW$1,main!$A$3:$H$102,8,FALSE),main!$K$26:$M$29,2,FALSE)+VLOOKUP(VLOOKUP(BW$1,main!$A$3:$H$102,7,FALSE),main!$K$19:$O$22,MATCH(VLOOKUP($A30,main!$A$3:$H$102,8,FALSE),main!$K$18:$O$18,0))))),1,0)</f>
        <v>0</v>
      </c>
      <c r="BX30">
        <f>IF((AND(VLOOKUP(BX$1,main!$A$3:$H$102,5,FALSE)-VLOOKUP($A30,main!$A$3:$H$102,6,FALSE)&gt;=(VLOOKUP(VLOOKUP(BX$1,main!$A$3:$H$102,8,FALSE),main!$K$26:$M$29,2,FALSE)+VLOOKUP(VLOOKUP(BX$1,main!$A$3:$H$102,7,FALSE),main!$K$19:$O$22,MATCH(VLOOKUP($A30,main!$A$3:$H$102,8,FALSE),main!$K$18:$O$18,0))))),1,0)</f>
        <v>0</v>
      </c>
      <c r="BY30">
        <f>IF((AND(VLOOKUP(BY$1,main!$A$3:$H$102,5,FALSE)-VLOOKUP($A30,main!$A$3:$H$102,6,FALSE)&gt;=(VLOOKUP(VLOOKUP(BY$1,main!$A$3:$H$102,8,FALSE),main!$K$26:$M$29,2,FALSE)+VLOOKUP(VLOOKUP(BY$1,main!$A$3:$H$102,7,FALSE),main!$K$19:$O$22,MATCH(VLOOKUP($A30,main!$A$3:$H$102,8,FALSE),main!$K$18:$O$18,0))))),1,0)</f>
        <v>0</v>
      </c>
      <c r="BZ30">
        <f>IF((AND(VLOOKUP(BZ$1,main!$A$3:$H$102,5,FALSE)-VLOOKUP($A30,main!$A$3:$H$102,6,FALSE)&gt;=(VLOOKUP(VLOOKUP(BZ$1,main!$A$3:$H$102,8,FALSE),main!$K$26:$M$29,2,FALSE)+VLOOKUP(VLOOKUP(BZ$1,main!$A$3:$H$102,7,FALSE),main!$K$19:$O$22,MATCH(VLOOKUP($A30,main!$A$3:$H$102,8,FALSE),main!$K$18:$O$18,0))))),1,0)</f>
        <v>0</v>
      </c>
      <c r="CA30">
        <f>IF((AND(VLOOKUP(CA$1,main!$A$3:$H$102,5,FALSE)-VLOOKUP($A30,main!$A$3:$H$102,6,FALSE)&gt;=(VLOOKUP(VLOOKUP(CA$1,main!$A$3:$H$102,8,FALSE),main!$K$26:$M$29,2,FALSE)+VLOOKUP(VLOOKUP(CA$1,main!$A$3:$H$102,7,FALSE),main!$K$19:$O$22,MATCH(VLOOKUP($A30,main!$A$3:$H$102,8,FALSE),main!$K$18:$O$18,0))))),1,0)</f>
        <v>0</v>
      </c>
      <c r="CB30">
        <f>IF((AND(VLOOKUP(CB$1,main!$A$3:$H$102,5,FALSE)-VLOOKUP($A30,main!$A$3:$H$102,6,FALSE)&gt;=(VLOOKUP(VLOOKUP(CB$1,main!$A$3:$H$102,8,FALSE),main!$K$26:$M$29,2,FALSE)+VLOOKUP(VLOOKUP(CB$1,main!$A$3:$H$102,7,FALSE),main!$K$19:$O$22,MATCH(VLOOKUP($A30,main!$A$3:$H$102,8,FALSE),main!$K$18:$O$18,0))))),1,0)</f>
        <v>0</v>
      </c>
      <c r="CC30">
        <f>IF((AND(VLOOKUP(CC$1,main!$A$3:$H$102,5,FALSE)-VLOOKUP($A30,main!$A$3:$H$102,6,FALSE)&gt;=(VLOOKUP(VLOOKUP(CC$1,main!$A$3:$H$102,8,FALSE),main!$K$26:$M$29,2,FALSE)+VLOOKUP(VLOOKUP(CC$1,main!$A$3:$H$102,7,FALSE),main!$K$19:$O$22,MATCH(VLOOKUP($A30,main!$A$3:$H$102,8,FALSE),main!$K$18:$O$18,0))))),1,0)</f>
        <v>1</v>
      </c>
      <c r="CD30">
        <f>IF((AND(VLOOKUP(CD$1,main!$A$3:$H$102,5,FALSE)-VLOOKUP($A30,main!$A$3:$H$102,6,FALSE)&gt;=(VLOOKUP(VLOOKUP(CD$1,main!$A$3:$H$102,8,FALSE),main!$K$26:$M$29,2,FALSE)+VLOOKUP(VLOOKUP(CD$1,main!$A$3:$H$102,7,FALSE),main!$K$19:$O$22,MATCH(VLOOKUP($A30,main!$A$3:$H$102,8,FALSE),main!$K$18:$O$18,0))))),1,0)</f>
        <v>0</v>
      </c>
      <c r="CE30">
        <f>IF((AND(VLOOKUP(CE$1,main!$A$3:$H$102,5,FALSE)-VLOOKUP($A30,main!$A$3:$H$102,6,FALSE)&gt;=(VLOOKUP(VLOOKUP(CE$1,main!$A$3:$H$102,8,FALSE),main!$K$26:$M$29,2,FALSE)+VLOOKUP(VLOOKUP(CE$1,main!$A$3:$H$102,7,FALSE),main!$K$19:$O$22,MATCH(VLOOKUP($A30,main!$A$3:$H$102,8,FALSE),main!$K$18:$O$18,0))))),1,0)</f>
        <v>0</v>
      </c>
      <c r="CF30">
        <f>IF((AND(VLOOKUP(CF$1,main!$A$3:$H$102,5,FALSE)-VLOOKUP($A30,main!$A$3:$H$102,6,FALSE)&gt;=(VLOOKUP(VLOOKUP(CF$1,main!$A$3:$H$102,8,FALSE),main!$K$26:$M$29,2,FALSE)+VLOOKUP(VLOOKUP(CF$1,main!$A$3:$H$102,7,FALSE),main!$K$19:$O$22,MATCH(VLOOKUP($A30,main!$A$3:$H$102,8,FALSE),main!$K$18:$O$18,0))))),1,0)</f>
        <v>0</v>
      </c>
      <c r="CG30">
        <f>IF((AND(VLOOKUP(CG$1,main!$A$3:$H$102,5,FALSE)-VLOOKUP($A30,main!$A$3:$H$102,6,FALSE)&gt;=(VLOOKUP(VLOOKUP(CG$1,main!$A$3:$H$102,8,FALSE),main!$K$26:$M$29,2,FALSE)+VLOOKUP(VLOOKUP(CG$1,main!$A$3:$H$102,7,FALSE),main!$K$19:$O$22,MATCH(VLOOKUP($A30,main!$A$3:$H$102,8,FALSE),main!$K$18:$O$18,0))))),1,0)</f>
        <v>0</v>
      </c>
      <c r="CH30">
        <f>IF((AND(VLOOKUP(CH$1,main!$A$3:$H$102,5,FALSE)-VLOOKUP($A30,main!$A$3:$H$102,6,FALSE)&gt;=(VLOOKUP(VLOOKUP(CH$1,main!$A$3:$H$102,8,FALSE),main!$K$26:$M$29,2,FALSE)+VLOOKUP(VLOOKUP(CH$1,main!$A$3:$H$102,7,FALSE),main!$K$19:$O$22,MATCH(VLOOKUP($A30,main!$A$3:$H$102,8,FALSE),main!$K$18:$O$18,0))))),1,0)</f>
        <v>1</v>
      </c>
      <c r="CI30">
        <f>IF((AND(VLOOKUP(CI$1,main!$A$3:$H$102,5,FALSE)-VLOOKUP($A30,main!$A$3:$H$102,6,FALSE)&gt;=(VLOOKUP(VLOOKUP(CI$1,main!$A$3:$H$102,8,FALSE),main!$K$26:$M$29,2,FALSE)+VLOOKUP(VLOOKUP(CI$1,main!$A$3:$H$102,7,FALSE),main!$K$19:$O$22,MATCH(VLOOKUP($A30,main!$A$3:$H$102,8,FALSE),main!$K$18:$O$18,0))))),1,0)</f>
        <v>1</v>
      </c>
      <c r="CJ30">
        <f>IF((AND(VLOOKUP(CJ$1,main!$A$3:$H$102,5,FALSE)-VLOOKUP($A30,main!$A$3:$H$102,6,FALSE)&gt;=(VLOOKUP(VLOOKUP(CJ$1,main!$A$3:$H$102,8,FALSE),main!$K$26:$M$29,2,FALSE)+VLOOKUP(VLOOKUP(CJ$1,main!$A$3:$H$102,7,FALSE),main!$K$19:$O$22,MATCH(VLOOKUP($A30,main!$A$3:$H$102,8,FALSE),main!$K$18:$O$18,0))))),1,0)</f>
        <v>0</v>
      </c>
      <c r="CK30">
        <f>IF((AND(VLOOKUP(CK$1,main!$A$3:$H$102,5,FALSE)-VLOOKUP($A30,main!$A$3:$H$102,6,FALSE)&gt;=(VLOOKUP(VLOOKUP(CK$1,main!$A$3:$H$102,8,FALSE),main!$K$26:$M$29,2,FALSE)+VLOOKUP(VLOOKUP(CK$1,main!$A$3:$H$102,7,FALSE),main!$K$19:$O$22,MATCH(VLOOKUP($A30,main!$A$3:$H$102,8,FALSE),main!$K$18:$O$18,0))))),1,0)</f>
        <v>0</v>
      </c>
      <c r="CL30">
        <f>IF((AND(VLOOKUP(CL$1,main!$A$3:$H$102,5,FALSE)-VLOOKUP($A30,main!$A$3:$H$102,6,FALSE)&gt;=(VLOOKUP(VLOOKUP(CL$1,main!$A$3:$H$102,8,FALSE),main!$K$26:$M$29,2,FALSE)+VLOOKUP(VLOOKUP(CL$1,main!$A$3:$H$102,7,FALSE),main!$K$19:$O$22,MATCH(VLOOKUP($A30,main!$A$3:$H$102,8,FALSE),main!$K$18:$O$18,0))))),1,0)</f>
        <v>0</v>
      </c>
      <c r="CM30">
        <f>IF((AND(VLOOKUP(CM$1,main!$A$3:$H$102,5,FALSE)-VLOOKUP($A30,main!$A$3:$H$102,6,FALSE)&gt;=(VLOOKUP(VLOOKUP(CM$1,main!$A$3:$H$102,8,FALSE),main!$K$26:$M$29,2,FALSE)+VLOOKUP(VLOOKUP(CM$1,main!$A$3:$H$102,7,FALSE),main!$K$19:$O$22,MATCH(VLOOKUP($A30,main!$A$3:$H$102,8,FALSE),main!$K$18:$O$18,0))))),1,0)</f>
        <v>1</v>
      </c>
      <c r="CN30">
        <f>IF((AND(VLOOKUP(CN$1,main!$A$3:$H$102,5,FALSE)-VLOOKUP($A30,main!$A$3:$H$102,6,FALSE)&gt;=(VLOOKUP(VLOOKUP(CN$1,main!$A$3:$H$102,8,FALSE),main!$K$26:$M$29,2,FALSE)+VLOOKUP(VLOOKUP(CN$1,main!$A$3:$H$102,7,FALSE),main!$K$19:$O$22,MATCH(VLOOKUP($A30,main!$A$3:$H$102,8,FALSE),main!$K$18:$O$18,0))))),1,0)</f>
        <v>1</v>
      </c>
      <c r="CO30">
        <f>IF((AND(VLOOKUP(CO$1,main!$A$3:$H$102,5,FALSE)-VLOOKUP($A30,main!$A$3:$H$102,6,FALSE)&gt;=(VLOOKUP(VLOOKUP(CO$1,main!$A$3:$H$102,8,FALSE),main!$K$26:$M$29,2,FALSE)+VLOOKUP(VLOOKUP(CO$1,main!$A$3:$H$102,7,FALSE),main!$K$19:$O$22,MATCH(VLOOKUP($A30,main!$A$3:$H$102,8,FALSE),main!$K$18:$O$18,0))))),1,0)</f>
        <v>0</v>
      </c>
      <c r="CP30">
        <f>IF((AND(VLOOKUP(CP$1,main!$A$3:$H$102,5,FALSE)-VLOOKUP($A30,main!$A$3:$H$102,6,FALSE)&gt;=(VLOOKUP(VLOOKUP(CP$1,main!$A$3:$H$102,8,FALSE),main!$K$26:$M$29,2,FALSE)+VLOOKUP(VLOOKUP(CP$1,main!$A$3:$H$102,7,FALSE),main!$K$19:$O$22,MATCH(VLOOKUP($A30,main!$A$3:$H$102,8,FALSE),main!$K$18:$O$18,0))))),1,0)</f>
        <v>0</v>
      </c>
      <c r="CQ30">
        <f>IF((AND(VLOOKUP(CQ$1,main!$A$3:$H$102,5,FALSE)-VLOOKUP($A30,main!$A$3:$H$102,6,FALSE)&gt;=(VLOOKUP(VLOOKUP(CQ$1,main!$A$3:$H$102,8,FALSE),main!$K$26:$M$29,2,FALSE)+VLOOKUP(VLOOKUP(CQ$1,main!$A$3:$H$102,7,FALSE),main!$K$19:$O$22,MATCH(VLOOKUP($A30,main!$A$3:$H$102,8,FALSE),main!$K$18:$O$18,0))))),1,0)</f>
        <v>0</v>
      </c>
      <c r="CR30">
        <f>IF((AND(VLOOKUP(CR$1,main!$A$3:$H$102,5,FALSE)-VLOOKUP($A30,main!$A$3:$H$102,6,FALSE)&gt;=(VLOOKUP(VLOOKUP(CR$1,main!$A$3:$H$102,8,FALSE),main!$K$26:$M$29,2,FALSE)+VLOOKUP(VLOOKUP(CR$1,main!$A$3:$H$102,7,FALSE),main!$K$19:$O$22,MATCH(VLOOKUP($A30,main!$A$3:$H$102,8,FALSE),main!$K$18:$O$18,0))))),1,0)</f>
        <v>1</v>
      </c>
      <c r="CS30">
        <f>IF((AND(VLOOKUP(CS$1,main!$A$3:$H$102,5,FALSE)-VLOOKUP($A30,main!$A$3:$H$102,6,FALSE)&gt;=(VLOOKUP(VLOOKUP(CS$1,main!$A$3:$H$102,8,FALSE),main!$K$26:$M$29,2,FALSE)+VLOOKUP(VLOOKUP(CS$1,main!$A$3:$H$102,7,FALSE),main!$K$19:$O$22,MATCH(VLOOKUP($A30,main!$A$3:$H$102,8,FALSE),main!$K$18:$O$18,0))))),1,0)</f>
        <v>1</v>
      </c>
      <c r="CT30">
        <f>IF((AND(VLOOKUP(CT$1,main!$A$3:$H$102,5,FALSE)-VLOOKUP($A30,main!$A$3:$H$102,6,FALSE)&gt;=(VLOOKUP(VLOOKUP(CT$1,main!$A$3:$H$102,8,FALSE),main!$K$26:$M$29,2,FALSE)+VLOOKUP(VLOOKUP(CT$1,main!$A$3:$H$102,7,FALSE),main!$K$19:$O$22,MATCH(VLOOKUP($A30,main!$A$3:$H$102,8,FALSE),main!$K$18:$O$18,0))))),1,0)</f>
        <v>0</v>
      </c>
      <c r="CU30">
        <f>IF((AND(VLOOKUP(CU$1,main!$A$3:$H$102,5,FALSE)-VLOOKUP($A30,main!$A$3:$H$102,6,FALSE)&gt;=(VLOOKUP(VLOOKUP(CU$1,main!$A$3:$H$102,8,FALSE),main!$K$26:$M$29,2,FALSE)+VLOOKUP(VLOOKUP(CU$1,main!$A$3:$H$102,7,FALSE),main!$K$19:$O$22,MATCH(VLOOKUP($A30,main!$A$3:$H$102,8,FALSE),main!$K$18:$O$18,0))))),1,0)</f>
        <v>0</v>
      </c>
      <c r="CV30">
        <f>IF((AND(VLOOKUP(CV$1,main!$A$3:$H$102,5,FALSE)-VLOOKUP($A30,main!$A$3:$H$102,6,FALSE)&gt;=(VLOOKUP(VLOOKUP(CV$1,main!$A$3:$H$102,8,FALSE),main!$K$26:$M$29,2,FALSE)+VLOOKUP(VLOOKUP(CV$1,main!$A$3:$H$102,7,FALSE),main!$K$19:$O$22,MATCH(VLOOKUP($A30,main!$A$3:$H$102,8,FALSE),main!$K$18:$O$18,0))))),1,0)</f>
        <v>0</v>
      </c>
      <c r="CW30">
        <f>IF((AND(VLOOKUP(CW$1,main!$A$3:$H$102,5,FALSE)-VLOOKUP($A30,main!$A$3:$H$102,6,FALSE)&gt;=(VLOOKUP(VLOOKUP(CW$1,main!$A$3:$H$102,8,FALSE),main!$K$26:$M$29,2,FALSE)+VLOOKUP(VLOOKUP(CW$1,main!$A$3:$H$102,7,FALSE),main!$K$19:$O$22,MATCH(VLOOKUP($A30,main!$A$3:$H$102,8,FALSE),main!$K$18:$O$18,0))))),1,0)</f>
        <v>1</v>
      </c>
      <c r="CX30">
        <f>IF((AND(VLOOKUP(CX$1,main!$A$3:$H$102,5,FALSE)-VLOOKUP($A30,main!$A$3:$H$102,6,FALSE)&gt;=(VLOOKUP(VLOOKUP(CX$1,main!$A$3:$H$102,8,FALSE),main!$K$26:$M$29,2,FALSE)+VLOOKUP(VLOOKUP(CX$1,main!$A$3:$H$102,7,FALSE),main!$K$19:$O$22,MATCH(VLOOKUP($A30,main!$A$3:$H$102,8,FALSE),main!$K$18:$O$18,0))))),1,0)</f>
        <v>1</v>
      </c>
    </row>
    <row r="31" spans="1:102" x14ac:dyDescent="0.25">
      <c r="A31" s="1">
        <v>29</v>
      </c>
      <c r="B31">
        <v>1</v>
      </c>
      <c r="C31">
        <f>IF((AND(VLOOKUP(C$1,main!$A$3:$H$102,5,FALSE)-VLOOKUP($A31,main!$A$3:$H$102,6,FALSE)&gt;=(VLOOKUP(VLOOKUP(C$1,main!$A$3:$H$102,8,FALSE),main!$K$26:$M$29,2,FALSE)+VLOOKUP(VLOOKUP(C$1,main!$A$3:$H$102,7,FALSE),main!$K$19:$O$22,MATCH(VLOOKUP($A31,main!$A$3:$H$102,8,FALSE),main!$K$18:$O$18,0))))),1,0)</f>
        <v>0</v>
      </c>
      <c r="D31">
        <f>IF((AND(VLOOKUP(D$1,main!$A$3:$H$102,5,FALSE)-VLOOKUP($A31,main!$A$3:$H$102,6,FALSE)&gt;=(VLOOKUP(VLOOKUP(D$1,main!$A$3:$H$102,8,FALSE),main!$K$26:$M$29,2,FALSE)+VLOOKUP(VLOOKUP(D$1,main!$A$3:$H$102,7,FALSE),main!$K$19:$O$22,MATCH(VLOOKUP($A31,main!$A$3:$H$102,8,FALSE),main!$K$18:$O$18,0))))),1,0)</f>
        <v>0</v>
      </c>
      <c r="E31">
        <f>IF((AND(VLOOKUP(E$1,main!$A$3:$H$102,5,FALSE)-VLOOKUP($A31,main!$A$3:$H$102,6,FALSE)&gt;=(VLOOKUP(VLOOKUP(E$1,main!$A$3:$H$102,8,FALSE),main!$K$26:$M$29,2,FALSE)+VLOOKUP(VLOOKUP(E$1,main!$A$3:$H$102,7,FALSE),main!$K$19:$O$22,MATCH(VLOOKUP($A31,main!$A$3:$H$102,8,FALSE),main!$K$18:$O$18,0))))),1,0)</f>
        <v>0</v>
      </c>
      <c r="F31">
        <f>IF((AND(VLOOKUP(F$1,main!$A$3:$H$102,5,FALSE)-VLOOKUP($A31,main!$A$3:$H$102,6,FALSE)&gt;=(VLOOKUP(VLOOKUP(F$1,main!$A$3:$H$102,8,FALSE),main!$K$26:$M$29,2,FALSE)+VLOOKUP(VLOOKUP(F$1,main!$A$3:$H$102,7,FALSE),main!$K$19:$O$22,MATCH(VLOOKUP($A31,main!$A$3:$H$102,8,FALSE),main!$K$18:$O$18,0))))),1,0)</f>
        <v>0</v>
      </c>
      <c r="G31">
        <f>IF((AND(VLOOKUP(G$1,main!$A$3:$H$102,5,FALSE)-VLOOKUP($A31,main!$A$3:$H$102,6,FALSE)&gt;=(VLOOKUP(VLOOKUP(G$1,main!$A$3:$H$102,8,FALSE),main!$K$26:$M$29,2,FALSE)+VLOOKUP(VLOOKUP(G$1,main!$A$3:$H$102,7,FALSE),main!$K$19:$O$22,MATCH(VLOOKUP($A31,main!$A$3:$H$102,8,FALSE),main!$K$18:$O$18,0))))),1,0)</f>
        <v>0</v>
      </c>
      <c r="H31">
        <f>IF((AND(VLOOKUP(H$1,main!$A$3:$H$102,5,FALSE)-VLOOKUP($A31,main!$A$3:$H$102,6,FALSE)&gt;=(VLOOKUP(VLOOKUP(H$1,main!$A$3:$H$102,8,FALSE),main!$K$26:$M$29,2,FALSE)+VLOOKUP(VLOOKUP(H$1,main!$A$3:$H$102,7,FALSE),main!$K$19:$O$22,MATCH(VLOOKUP($A31,main!$A$3:$H$102,8,FALSE),main!$K$18:$O$18,0))))),1,0)</f>
        <v>0</v>
      </c>
      <c r="I31">
        <f>IF((AND(VLOOKUP(I$1,main!$A$3:$H$102,5,FALSE)-VLOOKUP($A31,main!$A$3:$H$102,6,FALSE)&gt;=(VLOOKUP(VLOOKUP(I$1,main!$A$3:$H$102,8,FALSE),main!$K$26:$M$29,2,FALSE)+VLOOKUP(VLOOKUP(I$1,main!$A$3:$H$102,7,FALSE),main!$K$19:$O$22,MATCH(VLOOKUP($A31,main!$A$3:$H$102,8,FALSE),main!$K$18:$O$18,0))))),1,0)</f>
        <v>0</v>
      </c>
      <c r="J31">
        <f>IF((AND(VLOOKUP(J$1,main!$A$3:$H$102,5,FALSE)-VLOOKUP($A31,main!$A$3:$H$102,6,FALSE)&gt;=(VLOOKUP(VLOOKUP(J$1,main!$A$3:$H$102,8,FALSE),main!$K$26:$M$29,2,FALSE)+VLOOKUP(VLOOKUP(J$1,main!$A$3:$H$102,7,FALSE),main!$K$19:$O$22,MATCH(VLOOKUP($A31,main!$A$3:$H$102,8,FALSE),main!$K$18:$O$18,0))))),1,0)</f>
        <v>0</v>
      </c>
      <c r="K31">
        <f>IF((AND(VLOOKUP(K$1,main!$A$3:$H$102,5,FALSE)-VLOOKUP($A31,main!$A$3:$H$102,6,FALSE)&gt;=(VLOOKUP(VLOOKUP(K$1,main!$A$3:$H$102,8,FALSE),main!$K$26:$M$29,2,FALSE)+VLOOKUP(VLOOKUP(K$1,main!$A$3:$H$102,7,FALSE),main!$K$19:$O$22,MATCH(VLOOKUP($A31,main!$A$3:$H$102,8,FALSE),main!$K$18:$O$18,0))))),1,0)</f>
        <v>0</v>
      </c>
      <c r="L31">
        <f>IF((AND(VLOOKUP(L$1,main!$A$3:$H$102,5,FALSE)-VLOOKUP($A31,main!$A$3:$H$102,6,FALSE)&gt;=(VLOOKUP(VLOOKUP(L$1,main!$A$3:$H$102,8,FALSE),main!$K$26:$M$29,2,FALSE)+VLOOKUP(VLOOKUP(L$1,main!$A$3:$H$102,7,FALSE),main!$K$19:$O$22,MATCH(VLOOKUP($A31,main!$A$3:$H$102,8,FALSE),main!$K$18:$O$18,0))))),1,0)</f>
        <v>1</v>
      </c>
      <c r="M31">
        <f>IF((AND(VLOOKUP(M$1,main!$A$3:$H$102,5,FALSE)-VLOOKUP($A31,main!$A$3:$H$102,6,FALSE)&gt;=(VLOOKUP(VLOOKUP(M$1,main!$A$3:$H$102,8,FALSE),main!$K$26:$M$29,2,FALSE)+VLOOKUP(VLOOKUP(M$1,main!$A$3:$H$102,7,FALSE),main!$K$19:$O$22,MATCH(VLOOKUP($A31,main!$A$3:$H$102,8,FALSE),main!$K$18:$O$18,0))))),1,0)</f>
        <v>0</v>
      </c>
      <c r="N31">
        <f>IF((AND(VLOOKUP(N$1,main!$A$3:$H$102,5,FALSE)-VLOOKUP($A31,main!$A$3:$H$102,6,FALSE)&gt;=(VLOOKUP(VLOOKUP(N$1,main!$A$3:$H$102,8,FALSE),main!$K$26:$M$29,2,FALSE)+VLOOKUP(VLOOKUP(N$1,main!$A$3:$H$102,7,FALSE),main!$K$19:$O$22,MATCH(VLOOKUP($A31,main!$A$3:$H$102,8,FALSE),main!$K$18:$O$18,0))))),1,0)</f>
        <v>0</v>
      </c>
      <c r="O31">
        <f>IF((AND(VLOOKUP(O$1,main!$A$3:$H$102,5,FALSE)-VLOOKUP($A31,main!$A$3:$H$102,6,FALSE)&gt;=(VLOOKUP(VLOOKUP(O$1,main!$A$3:$H$102,8,FALSE),main!$K$26:$M$29,2,FALSE)+VLOOKUP(VLOOKUP(O$1,main!$A$3:$H$102,7,FALSE),main!$K$19:$O$22,MATCH(VLOOKUP($A31,main!$A$3:$H$102,8,FALSE),main!$K$18:$O$18,0))))),1,0)</f>
        <v>0</v>
      </c>
      <c r="P31">
        <f>IF((AND(VLOOKUP(P$1,main!$A$3:$H$102,5,FALSE)-VLOOKUP($A31,main!$A$3:$H$102,6,FALSE)&gt;=(VLOOKUP(VLOOKUP(P$1,main!$A$3:$H$102,8,FALSE),main!$K$26:$M$29,2,FALSE)+VLOOKUP(VLOOKUP(P$1,main!$A$3:$H$102,7,FALSE),main!$K$19:$O$22,MATCH(VLOOKUP($A31,main!$A$3:$H$102,8,FALSE),main!$K$18:$O$18,0))))),1,0)</f>
        <v>0</v>
      </c>
      <c r="Q31">
        <f>IF((AND(VLOOKUP(Q$1,main!$A$3:$H$102,5,FALSE)-VLOOKUP($A31,main!$A$3:$H$102,6,FALSE)&gt;=(VLOOKUP(VLOOKUP(Q$1,main!$A$3:$H$102,8,FALSE),main!$K$26:$M$29,2,FALSE)+VLOOKUP(VLOOKUP(Q$1,main!$A$3:$H$102,7,FALSE),main!$K$19:$O$22,MATCH(VLOOKUP($A31,main!$A$3:$H$102,8,FALSE),main!$K$18:$O$18,0))))),1,0)</f>
        <v>0</v>
      </c>
      <c r="R31">
        <f>IF((AND(VLOOKUP(R$1,main!$A$3:$H$102,5,FALSE)-VLOOKUP($A31,main!$A$3:$H$102,6,FALSE)&gt;=(VLOOKUP(VLOOKUP(R$1,main!$A$3:$H$102,8,FALSE),main!$K$26:$M$29,2,FALSE)+VLOOKUP(VLOOKUP(R$1,main!$A$3:$H$102,7,FALSE),main!$K$19:$O$22,MATCH(VLOOKUP($A31,main!$A$3:$H$102,8,FALSE),main!$K$18:$O$18,0))))),1,0)</f>
        <v>0</v>
      </c>
      <c r="S31">
        <f>IF((AND(VLOOKUP(S$1,main!$A$3:$H$102,5,FALSE)-VLOOKUP($A31,main!$A$3:$H$102,6,FALSE)&gt;=(VLOOKUP(VLOOKUP(S$1,main!$A$3:$H$102,8,FALSE),main!$K$26:$M$29,2,FALSE)+VLOOKUP(VLOOKUP(S$1,main!$A$3:$H$102,7,FALSE),main!$K$19:$O$22,MATCH(VLOOKUP($A31,main!$A$3:$H$102,8,FALSE),main!$K$18:$O$18,0))))),1,0)</f>
        <v>0</v>
      </c>
      <c r="T31">
        <f>IF((AND(VLOOKUP(T$1,main!$A$3:$H$102,5,FALSE)-VLOOKUP($A31,main!$A$3:$H$102,6,FALSE)&gt;=(VLOOKUP(VLOOKUP(T$1,main!$A$3:$H$102,8,FALSE),main!$K$26:$M$29,2,FALSE)+VLOOKUP(VLOOKUP(T$1,main!$A$3:$H$102,7,FALSE),main!$K$19:$O$22,MATCH(VLOOKUP($A31,main!$A$3:$H$102,8,FALSE),main!$K$18:$O$18,0))))),1,0)</f>
        <v>0</v>
      </c>
      <c r="U31">
        <f>IF((AND(VLOOKUP(U$1,main!$A$3:$H$102,5,FALSE)-VLOOKUP($A31,main!$A$3:$H$102,6,FALSE)&gt;=(VLOOKUP(VLOOKUP(U$1,main!$A$3:$H$102,8,FALSE),main!$K$26:$M$29,2,FALSE)+VLOOKUP(VLOOKUP(U$1,main!$A$3:$H$102,7,FALSE),main!$K$19:$O$22,MATCH(VLOOKUP($A31,main!$A$3:$H$102,8,FALSE),main!$K$18:$O$18,0))))),1,0)</f>
        <v>1</v>
      </c>
      <c r="V31">
        <f>IF((AND(VLOOKUP(V$1,main!$A$3:$H$102,5,FALSE)-VLOOKUP($A31,main!$A$3:$H$102,6,FALSE)&gt;=(VLOOKUP(VLOOKUP(V$1,main!$A$3:$H$102,8,FALSE),main!$K$26:$M$29,2,FALSE)+VLOOKUP(VLOOKUP(V$1,main!$A$3:$H$102,7,FALSE),main!$K$19:$O$22,MATCH(VLOOKUP($A31,main!$A$3:$H$102,8,FALSE),main!$K$18:$O$18,0))))),1,0)</f>
        <v>1</v>
      </c>
      <c r="W31">
        <f>IF((AND(VLOOKUP(W$1,main!$A$3:$H$102,5,FALSE)-VLOOKUP($A31,main!$A$3:$H$102,6,FALSE)&gt;=(VLOOKUP(VLOOKUP(W$1,main!$A$3:$H$102,8,FALSE),main!$K$26:$M$29,2,FALSE)+VLOOKUP(VLOOKUP(W$1,main!$A$3:$H$102,7,FALSE),main!$K$19:$O$22,MATCH(VLOOKUP($A31,main!$A$3:$H$102,8,FALSE),main!$K$18:$O$18,0))))),1,0)</f>
        <v>0</v>
      </c>
      <c r="X31">
        <f>IF((AND(VLOOKUP(X$1,main!$A$3:$H$102,5,FALSE)-VLOOKUP($A31,main!$A$3:$H$102,6,FALSE)&gt;=(VLOOKUP(VLOOKUP(X$1,main!$A$3:$H$102,8,FALSE),main!$K$26:$M$29,2,FALSE)+VLOOKUP(VLOOKUP(X$1,main!$A$3:$H$102,7,FALSE),main!$K$19:$O$22,MATCH(VLOOKUP($A31,main!$A$3:$H$102,8,FALSE),main!$K$18:$O$18,0))))),1,0)</f>
        <v>0</v>
      </c>
      <c r="Y31">
        <f>IF((AND(VLOOKUP(Y$1,main!$A$3:$H$102,5,FALSE)-VLOOKUP($A31,main!$A$3:$H$102,6,FALSE)&gt;=(VLOOKUP(VLOOKUP(Y$1,main!$A$3:$H$102,8,FALSE),main!$K$26:$M$29,2,FALSE)+VLOOKUP(VLOOKUP(Y$1,main!$A$3:$H$102,7,FALSE),main!$K$19:$O$22,MATCH(VLOOKUP($A31,main!$A$3:$H$102,8,FALSE),main!$K$18:$O$18,0))))),1,0)</f>
        <v>0</v>
      </c>
      <c r="Z31">
        <f>IF((AND(VLOOKUP(Z$1,main!$A$3:$H$102,5,FALSE)-VLOOKUP($A31,main!$A$3:$H$102,6,FALSE)&gt;=(VLOOKUP(VLOOKUP(Z$1,main!$A$3:$H$102,8,FALSE),main!$K$26:$M$29,2,FALSE)+VLOOKUP(VLOOKUP(Z$1,main!$A$3:$H$102,7,FALSE),main!$K$19:$O$22,MATCH(VLOOKUP($A31,main!$A$3:$H$102,8,FALSE),main!$K$18:$O$18,0))))),1,0)</f>
        <v>0</v>
      </c>
      <c r="AA31">
        <f>IF((AND(VLOOKUP(AA$1,main!$A$3:$H$102,5,FALSE)-VLOOKUP($A31,main!$A$3:$H$102,6,FALSE)&gt;=(VLOOKUP(VLOOKUP(AA$1,main!$A$3:$H$102,8,FALSE),main!$K$26:$M$29,2,FALSE)+VLOOKUP(VLOOKUP(AA$1,main!$A$3:$H$102,7,FALSE),main!$K$19:$O$22,MATCH(VLOOKUP($A31,main!$A$3:$H$102,8,FALSE),main!$K$18:$O$18,0))))),1,0)</f>
        <v>1</v>
      </c>
      <c r="AB31">
        <f>IF((AND(VLOOKUP(AB$1,main!$A$3:$H$102,5,FALSE)-VLOOKUP($A31,main!$A$3:$H$102,6,FALSE)&gt;=(VLOOKUP(VLOOKUP(AB$1,main!$A$3:$H$102,8,FALSE),main!$K$26:$M$29,2,FALSE)+VLOOKUP(VLOOKUP(AB$1,main!$A$3:$H$102,7,FALSE),main!$K$19:$O$22,MATCH(VLOOKUP($A31,main!$A$3:$H$102,8,FALSE),main!$K$18:$O$18,0))))),1,0)</f>
        <v>0</v>
      </c>
      <c r="AC31">
        <f>IF((AND(VLOOKUP(AC$1,main!$A$3:$H$102,5,FALSE)-VLOOKUP($A31,main!$A$3:$H$102,6,FALSE)&gt;=(VLOOKUP(VLOOKUP(AC$1,main!$A$3:$H$102,8,FALSE),main!$K$26:$M$29,2,FALSE)+VLOOKUP(VLOOKUP(AC$1,main!$A$3:$H$102,7,FALSE),main!$K$19:$O$22,MATCH(VLOOKUP($A31,main!$A$3:$H$102,8,FALSE),main!$K$18:$O$18,0))))),1,0)</f>
        <v>0</v>
      </c>
      <c r="AD31">
        <f>IF((AND(VLOOKUP(AD$1,main!$A$3:$H$102,5,FALSE)-VLOOKUP($A31,main!$A$3:$H$102,6,FALSE)&gt;=(VLOOKUP(VLOOKUP(AD$1,main!$A$3:$H$102,8,FALSE),main!$K$26:$M$29,2,FALSE)+VLOOKUP(VLOOKUP(AD$1,main!$A$3:$H$102,7,FALSE),main!$K$19:$O$22,MATCH(VLOOKUP($A31,main!$A$3:$H$102,8,FALSE),main!$K$18:$O$18,0))))),1,0)</f>
        <v>0</v>
      </c>
      <c r="AE31">
        <f>IF((AND(VLOOKUP(AE$1,main!$A$3:$H$102,5,FALSE)-VLOOKUP($A31,main!$A$3:$H$102,6,FALSE)&gt;=(VLOOKUP(VLOOKUP(AE$1,main!$A$3:$H$102,8,FALSE),main!$K$26:$M$29,2,FALSE)+VLOOKUP(VLOOKUP(AE$1,main!$A$3:$H$102,7,FALSE),main!$K$19:$O$22,MATCH(VLOOKUP($A31,main!$A$3:$H$102,8,FALSE),main!$K$18:$O$18,0))))),1,0)</f>
        <v>0</v>
      </c>
      <c r="AF31">
        <f>IF((AND(VLOOKUP(AF$1,main!$A$3:$H$102,5,FALSE)-VLOOKUP($A31,main!$A$3:$H$102,6,FALSE)&gt;=(VLOOKUP(VLOOKUP(AF$1,main!$A$3:$H$102,8,FALSE),main!$K$26:$M$29,2,FALSE)+VLOOKUP(VLOOKUP(AF$1,main!$A$3:$H$102,7,FALSE),main!$K$19:$O$22,MATCH(VLOOKUP($A31,main!$A$3:$H$102,8,FALSE),main!$K$18:$O$18,0))))),1,0)</f>
        <v>0</v>
      </c>
      <c r="AG31">
        <f>IF((AND(VLOOKUP(AG$1,main!$A$3:$H$102,5,FALSE)-VLOOKUP($A31,main!$A$3:$H$102,6,FALSE)&gt;=(VLOOKUP(VLOOKUP(AG$1,main!$A$3:$H$102,8,FALSE),main!$K$26:$M$29,2,FALSE)+VLOOKUP(VLOOKUP(AG$1,main!$A$3:$H$102,7,FALSE),main!$K$19:$O$22,MATCH(VLOOKUP($A31,main!$A$3:$H$102,8,FALSE),main!$K$18:$O$18,0))))),1,0)</f>
        <v>0</v>
      </c>
      <c r="AH31">
        <f>IF((AND(VLOOKUP(AH$1,main!$A$3:$H$102,5,FALSE)-VLOOKUP($A31,main!$A$3:$H$102,6,FALSE)&gt;=(VLOOKUP(VLOOKUP(AH$1,main!$A$3:$H$102,8,FALSE),main!$K$26:$M$29,2,FALSE)+VLOOKUP(VLOOKUP(AH$1,main!$A$3:$H$102,7,FALSE),main!$K$19:$O$22,MATCH(VLOOKUP($A31,main!$A$3:$H$102,8,FALSE),main!$K$18:$O$18,0))))),1,0)</f>
        <v>0</v>
      </c>
      <c r="AI31">
        <f>IF((AND(VLOOKUP(AI$1,main!$A$3:$H$102,5,FALSE)-VLOOKUP($A31,main!$A$3:$H$102,6,FALSE)&gt;=(VLOOKUP(VLOOKUP(AI$1,main!$A$3:$H$102,8,FALSE),main!$K$26:$M$29,2,FALSE)+VLOOKUP(VLOOKUP(AI$1,main!$A$3:$H$102,7,FALSE),main!$K$19:$O$22,MATCH(VLOOKUP($A31,main!$A$3:$H$102,8,FALSE),main!$K$18:$O$18,0))))),1,0)</f>
        <v>0</v>
      </c>
      <c r="AJ31">
        <f>IF((AND(VLOOKUP(AJ$1,main!$A$3:$H$102,5,FALSE)-VLOOKUP($A31,main!$A$3:$H$102,6,FALSE)&gt;=(VLOOKUP(VLOOKUP(AJ$1,main!$A$3:$H$102,8,FALSE),main!$K$26:$M$29,2,FALSE)+VLOOKUP(VLOOKUP(AJ$1,main!$A$3:$H$102,7,FALSE),main!$K$19:$O$22,MATCH(VLOOKUP($A31,main!$A$3:$H$102,8,FALSE),main!$K$18:$O$18,0))))),1,0)</f>
        <v>0</v>
      </c>
      <c r="AK31">
        <f>IF((AND(VLOOKUP(AK$1,main!$A$3:$H$102,5,FALSE)-VLOOKUP($A31,main!$A$3:$H$102,6,FALSE)&gt;=(VLOOKUP(VLOOKUP(AK$1,main!$A$3:$H$102,8,FALSE),main!$K$26:$M$29,2,FALSE)+VLOOKUP(VLOOKUP(AK$1,main!$A$3:$H$102,7,FALSE),main!$K$19:$O$22,MATCH(VLOOKUP($A31,main!$A$3:$H$102,8,FALSE),main!$K$18:$O$18,0))))),1,0)</f>
        <v>0</v>
      </c>
      <c r="AL31">
        <f>IF((AND(VLOOKUP(AL$1,main!$A$3:$H$102,5,FALSE)-VLOOKUP($A31,main!$A$3:$H$102,6,FALSE)&gt;=(VLOOKUP(VLOOKUP(AL$1,main!$A$3:$H$102,8,FALSE),main!$K$26:$M$29,2,FALSE)+VLOOKUP(VLOOKUP(AL$1,main!$A$3:$H$102,7,FALSE),main!$K$19:$O$22,MATCH(VLOOKUP($A31,main!$A$3:$H$102,8,FALSE),main!$K$18:$O$18,0))))),1,0)</f>
        <v>0</v>
      </c>
      <c r="AM31">
        <f>IF((AND(VLOOKUP(AM$1,main!$A$3:$H$102,5,FALSE)-VLOOKUP($A31,main!$A$3:$H$102,6,FALSE)&gt;=(VLOOKUP(VLOOKUP(AM$1,main!$A$3:$H$102,8,FALSE),main!$K$26:$M$29,2,FALSE)+VLOOKUP(VLOOKUP(AM$1,main!$A$3:$H$102,7,FALSE),main!$K$19:$O$22,MATCH(VLOOKUP($A31,main!$A$3:$H$102,8,FALSE),main!$K$18:$O$18,0))))),1,0)</f>
        <v>0</v>
      </c>
      <c r="AN31">
        <f>IF((AND(VLOOKUP(AN$1,main!$A$3:$H$102,5,FALSE)-VLOOKUP($A31,main!$A$3:$H$102,6,FALSE)&gt;=(VLOOKUP(VLOOKUP(AN$1,main!$A$3:$H$102,8,FALSE),main!$K$26:$M$29,2,FALSE)+VLOOKUP(VLOOKUP(AN$1,main!$A$3:$H$102,7,FALSE),main!$K$19:$O$22,MATCH(VLOOKUP($A31,main!$A$3:$H$102,8,FALSE),main!$K$18:$O$18,0))))),1,0)</f>
        <v>1</v>
      </c>
      <c r="AO31">
        <f>IF((AND(VLOOKUP(AO$1,main!$A$3:$H$102,5,FALSE)-VLOOKUP($A31,main!$A$3:$H$102,6,FALSE)&gt;=(VLOOKUP(VLOOKUP(AO$1,main!$A$3:$H$102,8,FALSE),main!$K$26:$M$29,2,FALSE)+VLOOKUP(VLOOKUP(AO$1,main!$A$3:$H$102,7,FALSE),main!$K$19:$O$22,MATCH(VLOOKUP($A31,main!$A$3:$H$102,8,FALSE),main!$K$18:$O$18,0))))),1,0)</f>
        <v>0</v>
      </c>
      <c r="AP31">
        <f>IF((AND(VLOOKUP(AP$1,main!$A$3:$H$102,5,FALSE)-VLOOKUP($A31,main!$A$3:$H$102,6,FALSE)&gt;=(VLOOKUP(VLOOKUP(AP$1,main!$A$3:$H$102,8,FALSE),main!$K$26:$M$29,2,FALSE)+VLOOKUP(VLOOKUP(AP$1,main!$A$3:$H$102,7,FALSE),main!$K$19:$O$22,MATCH(VLOOKUP($A31,main!$A$3:$H$102,8,FALSE),main!$K$18:$O$18,0))))),1,0)</f>
        <v>1</v>
      </c>
      <c r="AQ31">
        <f>IF((AND(VLOOKUP(AQ$1,main!$A$3:$H$102,5,FALSE)-VLOOKUP($A31,main!$A$3:$H$102,6,FALSE)&gt;=(VLOOKUP(VLOOKUP(AQ$1,main!$A$3:$H$102,8,FALSE),main!$K$26:$M$29,2,FALSE)+VLOOKUP(VLOOKUP(AQ$1,main!$A$3:$H$102,7,FALSE),main!$K$19:$O$22,MATCH(VLOOKUP($A31,main!$A$3:$H$102,8,FALSE),main!$K$18:$O$18,0))))),1,0)</f>
        <v>0</v>
      </c>
      <c r="AR31">
        <f>IF((AND(VLOOKUP(AR$1,main!$A$3:$H$102,5,FALSE)-VLOOKUP($A31,main!$A$3:$H$102,6,FALSE)&gt;=(VLOOKUP(VLOOKUP(AR$1,main!$A$3:$H$102,8,FALSE),main!$K$26:$M$29,2,FALSE)+VLOOKUP(VLOOKUP(AR$1,main!$A$3:$H$102,7,FALSE),main!$K$19:$O$22,MATCH(VLOOKUP($A31,main!$A$3:$H$102,8,FALSE),main!$K$18:$O$18,0))))),1,0)</f>
        <v>0</v>
      </c>
      <c r="AS31">
        <f>IF((AND(VLOOKUP(AS$1,main!$A$3:$H$102,5,FALSE)-VLOOKUP($A31,main!$A$3:$H$102,6,FALSE)&gt;=(VLOOKUP(VLOOKUP(AS$1,main!$A$3:$H$102,8,FALSE),main!$K$26:$M$29,2,FALSE)+VLOOKUP(VLOOKUP(AS$1,main!$A$3:$H$102,7,FALSE),main!$K$19:$O$22,MATCH(VLOOKUP($A31,main!$A$3:$H$102,8,FALSE),main!$K$18:$O$18,0))))),1,0)</f>
        <v>0</v>
      </c>
      <c r="AT31">
        <f>IF((AND(VLOOKUP(AT$1,main!$A$3:$H$102,5,FALSE)-VLOOKUP($A31,main!$A$3:$H$102,6,FALSE)&gt;=(VLOOKUP(VLOOKUP(AT$1,main!$A$3:$H$102,8,FALSE),main!$K$26:$M$29,2,FALSE)+VLOOKUP(VLOOKUP(AT$1,main!$A$3:$H$102,7,FALSE),main!$K$19:$O$22,MATCH(VLOOKUP($A31,main!$A$3:$H$102,8,FALSE),main!$K$18:$O$18,0))))),1,0)</f>
        <v>0</v>
      </c>
      <c r="AU31">
        <f>IF((AND(VLOOKUP(AU$1,main!$A$3:$H$102,5,FALSE)-VLOOKUP($A31,main!$A$3:$H$102,6,FALSE)&gt;=(VLOOKUP(VLOOKUP(AU$1,main!$A$3:$H$102,8,FALSE),main!$K$26:$M$29,2,FALSE)+VLOOKUP(VLOOKUP(AU$1,main!$A$3:$H$102,7,FALSE),main!$K$19:$O$22,MATCH(VLOOKUP($A31,main!$A$3:$H$102,8,FALSE),main!$K$18:$O$18,0))))),1,0)</f>
        <v>0</v>
      </c>
      <c r="AV31">
        <f>IF((AND(VLOOKUP(AV$1,main!$A$3:$H$102,5,FALSE)-VLOOKUP($A31,main!$A$3:$H$102,6,FALSE)&gt;=(VLOOKUP(VLOOKUP(AV$1,main!$A$3:$H$102,8,FALSE),main!$K$26:$M$29,2,FALSE)+VLOOKUP(VLOOKUP(AV$1,main!$A$3:$H$102,7,FALSE),main!$K$19:$O$22,MATCH(VLOOKUP($A31,main!$A$3:$H$102,8,FALSE),main!$K$18:$O$18,0))))),1,0)</f>
        <v>0</v>
      </c>
      <c r="AW31">
        <f>IF((AND(VLOOKUP(AW$1,main!$A$3:$H$102,5,FALSE)-VLOOKUP($A31,main!$A$3:$H$102,6,FALSE)&gt;=(VLOOKUP(VLOOKUP(AW$1,main!$A$3:$H$102,8,FALSE),main!$K$26:$M$29,2,FALSE)+VLOOKUP(VLOOKUP(AW$1,main!$A$3:$H$102,7,FALSE),main!$K$19:$O$22,MATCH(VLOOKUP($A31,main!$A$3:$H$102,8,FALSE),main!$K$18:$O$18,0))))),1,0)</f>
        <v>0</v>
      </c>
      <c r="AX31">
        <f>IF((AND(VLOOKUP(AX$1,main!$A$3:$H$102,5,FALSE)-VLOOKUP($A31,main!$A$3:$H$102,6,FALSE)&gt;=(VLOOKUP(VLOOKUP(AX$1,main!$A$3:$H$102,8,FALSE),main!$K$26:$M$29,2,FALSE)+VLOOKUP(VLOOKUP(AX$1,main!$A$3:$H$102,7,FALSE),main!$K$19:$O$22,MATCH(VLOOKUP($A31,main!$A$3:$H$102,8,FALSE),main!$K$18:$O$18,0))))),1,0)</f>
        <v>0</v>
      </c>
      <c r="AY31">
        <f>IF((AND(VLOOKUP(AY$1,main!$A$3:$H$102,5,FALSE)-VLOOKUP($A31,main!$A$3:$H$102,6,FALSE)&gt;=(VLOOKUP(VLOOKUP(AY$1,main!$A$3:$H$102,8,FALSE),main!$K$26:$M$29,2,FALSE)+VLOOKUP(VLOOKUP(AY$1,main!$A$3:$H$102,7,FALSE),main!$K$19:$O$22,MATCH(VLOOKUP($A31,main!$A$3:$H$102,8,FALSE),main!$K$18:$O$18,0))))),1,0)</f>
        <v>0</v>
      </c>
      <c r="AZ31">
        <f>IF((AND(VLOOKUP(AZ$1,main!$A$3:$H$102,5,FALSE)-VLOOKUP($A31,main!$A$3:$H$102,6,FALSE)&gt;=(VLOOKUP(VLOOKUP(AZ$1,main!$A$3:$H$102,8,FALSE),main!$K$26:$M$29,2,FALSE)+VLOOKUP(VLOOKUP(AZ$1,main!$A$3:$H$102,7,FALSE),main!$K$19:$O$22,MATCH(VLOOKUP($A31,main!$A$3:$H$102,8,FALSE),main!$K$18:$O$18,0))))),1,0)</f>
        <v>0</v>
      </c>
      <c r="BA31">
        <f>IF((AND(VLOOKUP(BA$1,main!$A$3:$H$102,5,FALSE)-VLOOKUP($A31,main!$A$3:$H$102,6,FALSE)&gt;=(VLOOKUP(VLOOKUP(BA$1,main!$A$3:$H$102,8,FALSE),main!$K$26:$M$29,2,FALSE)+VLOOKUP(VLOOKUP(BA$1,main!$A$3:$H$102,7,FALSE),main!$K$19:$O$22,MATCH(VLOOKUP($A31,main!$A$3:$H$102,8,FALSE),main!$K$18:$O$18,0))))),1,0)</f>
        <v>0</v>
      </c>
      <c r="BB31">
        <f>IF((AND(VLOOKUP(BB$1,main!$A$3:$H$102,5,FALSE)-VLOOKUP($A31,main!$A$3:$H$102,6,FALSE)&gt;=(VLOOKUP(VLOOKUP(BB$1,main!$A$3:$H$102,8,FALSE),main!$K$26:$M$29,2,FALSE)+VLOOKUP(VLOOKUP(BB$1,main!$A$3:$H$102,7,FALSE),main!$K$19:$O$22,MATCH(VLOOKUP($A31,main!$A$3:$H$102,8,FALSE),main!$K$18:$O$18,0))))),1,0)</f>
        <v>0</v>
      </c>
      <c r="BC31">
        <f>IF((AND(VLOOKUP(BC$1,main!$A$3:$H$102,5,FALSE)-VLOOKUP($A31,main!$A$3:$H$102,6,FALSE)&gt;=(VLOOKUP(VLOOKUP(BC$1,main!$A$3:$H$102,8,FALSE),main!$K$26:$M$29,2,FALSE)+VLOOKUP(VLOOKUP(BC$1,main!$A$3:$H$102,7,FALSE),main!$K$19:$O$22,MATCH(VLOOKUP($A31,main!$A$3:$H$102,8,FALSE),main!$K$18:$O$18,0))))),1,0)</f>
        <v>0</v>
      </c>
      <c r="BD31">
        <f>IF((AND(VLOOKUP(BD$1,main!$A$3:$H$102,5,FALSE)-VLOOKUP($A31,main!$A$3:$H$102,6,FALSE)&gt;=(VLOOKUP(VLOOKUP(BD$1,main!$A$3:$H$102,8,FALSE),main!$K$26:$M$29,2,FALSE)+VLOOKUP(VLOOKUP(BD$1,main!$A$3:$H$102,7,FALSE),main!$K$19:$O$22,MATCH(VLOOKUP($A31,main!$A$3:$H$102,8,FALSE),main!$K$18:$O$18,0))))),1,0)</f>
        <v>0</v>
      </c>
      <c r="BE31">
        <f>IF((AND(VLOOKUP(BE$1,main!$A$3:$H$102,5,FALSE)-VLOOKUP($A31,main!$A$3:$H$102,6,FALSE)&gt;=(VLOOKUP(VLOOKUP(BE$1,main!$A$3:$H$102,8,FALSE),main!$K$26:$M$29,2,FALSE)+VLOOKUP(VLOOKUP(BE$1,main!$A$3:$H$102,7,FALSE),main!$K$19:$O$22,MATCH(VLOOKUP($A31,main!$A$3:$H$102,8,FALSE),main!$K$18:$O$18,0))))),1,0)</f>
        <v>0</v>
      </c>
      <c r="BF31">
        <f>IF((AND(VLOOKUP(BF$1,main!$A$3:$H$102,5,FALSE)-VLOOKUP($A31,main!$A$3:$H$102,6,FALSE)&gt;=(VLOOKUP(VLOOKUP(BF$1,main!$A$3:$H$102,8,FALSE),main!$K$26:$M$29,2,FALSE)+VLOOKUP(VLOOKUP(BF$1,main!$A$3:$H$102,7,FALSE),main!$K$19:$O$22,MATCH(VLOOKUP($A31,main!$A$3:$H$102,8,FALSE),main!$K$18:$O$18,0))))),1,0)</f>
        <v>0</v>
      </c>
      <c r="BG31">
        <f>IF((AND(VLOOKUP(BG$1,main!$A$3:$H$102,5,FALSE)-VLOOKUP($A31,main!$A$3:$H$102,6,FALSE)&gt;=(VLOOKUP(VLOOKUP(BG$1,main!$A$3:$H$102,8,FALSE),main!$K$26:$M$29,2,FALSE)+VLOOKUP(VLOOKUP(BG$1,main!$A$3:$H$102,7,FALSE),main!$K$19:$O$22,MATCH(VLOOKUP($A31,main!$A$3:$H$102,8,FALSE),main!$K$18:$O$18,0))))),1,0)</f>
        <v>0</v>
      </c>
      <c r="BH31">
        <f>IF((AND(VLOOKUP(BH$1,main!$A$3:$H$102,5,FALSE)-VLOOKUP($A31,main!$A$3:$H$102,6,FALSE)&gt;=(VLOOKUP(VLOOKUP(BH$1,main!$A$3:$H$102,8,FALSE),main!$K$26:$M$29,2,FALSE)+VLOOKUP(VLOOKUP(BH$1,main!$A$3:$H$102,7,FALSE),main!$K$19:$O$22,MATCH(VLOOKUP($A31,main!$A$3:$H$102,8,FALSE),main!$K$18:$O$18,0))))),1,0)</f>
        <v>0</v>
      </c>
      <c r="BI31">
        <f>IF((AND(VLOOKUP(BI$1,main!$A$3:$H$102,5,FALSE)-VLOOKUP($A31,main!$A$3:$H$102,6,FALSE)&gt;=(VLOOKUP(VLOOKUP(BI$1,main!$A$3:$H$102,8,FALSE),main!$K$26:$M$29,2,FALSE)+VLOOKUP(VLOOKUP(BI$1,main!$A$3:$H$102,7,FALSE),main!$K$19:$O$22,MATCH(VLOOKUP($A31,main!$A$3:$H$102,8,FALSE),main!$K$18:$O$18,0))))),1,0)</f>
        <v>1</v>
      </c>
      <c r="BJ31">
        <f>IF((AND(VLOOKUP(BJ$1,main!$A$3:$H$102,5,FALSE)-VLOOKUP($A31,main!$A$3:$H$102,6,FALSE)&gt;=(VLOOKUP(VLOOKUP(BJ$1,main!$A$3:$H$102,8,FALSE),main!$K$26:$M$29,2,FALSE)+VLOOKUP(VLOOKUP(BJ$1,main!$A$3:$H$102,7,FALSE),main!$K$19:$O$22,MATCH(VLOOKUP($A31,main!$A$3:$H$102,8,FALSE),main!$K$18:$O$18,0))))),1,0)</f>
        <v>0</v>
      </c>
      <c r="BK31">
        <f>IF((AND(VLOOKUP(BK$1,main!$A$3:$H$102,5,FALSE)-VLOOKUP($A31,main!$A$3:$H$102,6,FALSE)&gt;=(VLOOKUP(VLOOKUP(BK$1,main!$A$3:$H$102,8,FALSE),main!$K$26:$M$29,2,FALSE)+VLOOKUP(VLOOKUP(BK$1,main!$A$3:$H$102,7,FALSE),main!$K$19:$O$22,MATCH(VLOOKUP($A31,main!$A$3:$H$102,8,FALSE),main!$K$18:$O$18,0))))),1,0)</f>
        <v>0</v>
      </c>
      <c r="BL31">
        <f>IF((AND(VLOOKUP(BL$1,main!$A$3:$H$102,5,FALSE)-VLOOKUP($A31,main!$A$3:$H$102,6,FALSE)&gt;=(VLOOKUP(VLOOKUP(BL$1,main!$A$3:$H$102,8,FALSE),main!$K$26:$M$29,2,FALSE)+VLOOKUP(VLOOKUP(BL$1,main!$A$3:$H$102,7,FALSE),main!$K$19:$O$22,MATCH(VLOOKUP($A31,main!$A$3:$H$102,8,FALSE),main!$K$18:$O$18,0))))),1,0)</f>
        <v>0</v>
      </c>
      <c r="BM31">
        <f>IF((AND(VLOOKUP(BM$1,main!$A$3:$H$102,5,FALSE)-VLOOKUP($A31,main!$A$3:$H$102,6,FALSE)&gt;=(VLOOKUP(VLOOKUP(BM$1,main!$A$3:$H$102,8,FALSE),main!$K$26:$M$29,2,FALSE)+VLOOKUP(VLOOKUP(BM$1,main!$A$3:$H$102,7,FALSE),main!$K$19:$O$22,MATCH(VLOOKUP($A31,main!$A$3:$H$102,8,FALSE),main!$K$18:$O$18,0))))),1,0)</f>
        <v>0</v>
      </c>
      <c r="BN31">
        <f>IF((AND(VLOOKUP(BN$1,main!$A$3:$H$102,5,FALSE)-VLOOKUP($A31,main!$A$3:$H$102,6,FALSE)&gt;=(VLOOKUP(VLOOKUP(BN$1,main!$A$3:$H$102,8,FALSE),main!$K$26:$M$29,2,FALSE)+VLOOKUP(VLOOKUP(BN$1,main!$A$3:$H$102,7,FALSE),main!$K$19:$O$22,MATCH(VLOOKUP($A31,main!$A$3:$H$102,8,FALSE),main!$K$18:$O$18,0))))),1,0)</f>
        <v>0</v>
      </c>
      <c r="BO31">
        <f>IF((AND(VLOOKUP(BO$1,main!$A$3:$H$102,5,FALSE)-VLOOKUP($A31,main!$A$3:$H$102,6,FALSE)&gt;=(VLOOKUP(VLOOKUP(BO$1,main!$A$3:$H$102,8,FALSE),main!$K$26:$M$29,2,FALSE)+VLOOKUP(VLOOKUP(BO$1,main!$A$3:$H$102,7,FALSE),main!$K$19:$O$22,MATCH(VLOOKUP($A31,main!$A$3:$H$102,8,FALSE),main!$K$18:$O$18,0))))),1,0)</f>
        <v>0</v>
      </c>
      <c r="BP31">
        <f>IF((AND(VLOOKUP(BP$1,main!$A$3:$H$102,5,FALSE)-VLOOKUP($A31,main!$A$3:$H$102,6,FALSE)&gt;=(VLOOKUP(VLOOKUP(BP$1,main!$A$3:$H$102,8,FALSE),main!$K$26:$M$29,2,FALSE)+VLOOKUP(VLOOKUP(BP$1,main!$A$3:$H$102,7,FALSE),main!$K$19:$O$22,MATCH(VLOOKUP($A31,main!$A$3:$H$102,8,FALSE),main!$K$18:$O$18,0))))),1,0)</f>
        <v>0</v>
      </c>
      <c r="BQ31">
        <f>IF((AND(VLOOKUP(BQ$1,main!$A$3:$H$102,5,FALSE)-VLOOKUP($A31,main!$A$3:$H$102,6,FALSE)&gt;=(VLOOKUP(VLOOKUP(BQ$1,main!$A$3:$H$102,8,FALSE),main!$K$26:$M$29,2,FALSE)+VLOOKUP(VLOOKUP(BQ$1,main!$A$3:$H$102,7,FALSE),main!$K$19:$O$22,MATCH(VLOOKUP($A31,main!$A$3:$H$102,8,FALSE),main!$K$18:$O$18,0))))),1,0)</f>
        <v>0</v>
      </c>
      <c r="BR31">
        <f>IF((AND(VLOOKUP(BR$1,main!$A$3:$H$102,5,FALSE)-VLOOKUP($A31,main!$A$3:$H$102,6,FALSE)&gt;=(VLOOKUP(VLOOKUP(BR$1,main!$A$3:$H$102,8,FALSE),main!$K$26:$M$29,2,FALSE)+VLOOKUP(VLOOKUP(BR$1,main!$A$3:$H$102,7,FALSE),main!$K$19:$O$22,MATCH(VLOOKUP($A31,main!$A$3:$H$102,8,FALSE),main!$K$18:$O$18,0))))),1,0)</f>
        <v>0</v>
      </c>
      <c r="BS31">
        <f>IF((AND(VLOOKUP(BS$1,main!$A$3:$H$102,5,FALSE)-VLOOKUP($A31,main!$A$3:$H$102,6,FALSE)&gt;=(VLOOKUP(VLOOKUP(BS$1,main!$A$3:$H$102,8,FALSE),main!$K$26:$M$29,2,FALSE)+VLOOKUP(VLOOKUP(BS$1,main!$A$3:$H$102,7,FALSE),main!$K$19:$O$22,MATCH(VLOOKUP($A31,main!$A$3:$H$102,8,FALSE),main!$K$18:$O$18,0))))),1,0)</f>
        <v>0</v>
      </c>
      <c r="BT31">
        <f>IF((AND(VLOOKUP(BT$1,main!$A$3:$H$102,5,FALSE)-VLOOKUP($A31,main!$A$3:$H$102,6,FALSE)&gt;=(VLOOKUP(VLOOKUP(BT$1,main!$A$3:$H$102,8,FALSE),main!$K$26:$M$29,2,FALSE)+VLOOKUP(VLOOKUP(BT$1,main!$A$3:$H$102,7,FALSE),main!$K$19:$O$22,MATCH(VLOOKUP($A31,main!$A$3:$H$102,8,FALSE),main!$K$18:$O$18,0))))),1,0)</f>
        <v>0</v>
      </c>
      <c r="BU31">
        <f>IF((AND(VLOOKUP(BU$1,main!$A$3:$H$102,5,FALSE)-VLOOKUP($A31,main!$A$3:$H$102,6,FALSE)&gt;=(VLOOKUP(VLOOKUP(BU$1,main!$A$3:$H$102,8,FALSE),main!$K$26:$M$29,2,FALSE)+VLOOKUP(VLOOKUP(BU$1,main!$A$3:$H$102,7,FALSE),main!$K$19:$O$22,MATCH(VLOOKUP($A31,main!$A$3:$H$102,8,FALSE),main!$K$18:$O$18,0))))),1,0)</f>
        <v>0</v>
      </c>
      <c r="BV31">
        <f>IF((AND(VLOOKUP(BV$1,main!$A$3:$H$102,5,FALSE)-VLOOKUP($A31,main!$A$3:$H$102,6,FALSE)&gt;=(VLOOKUP(VLOOKUP(BV$1,main!$A$3:$H$102,8,FALSE),main!$K$26:$M$29,2,FALSE)+VLOOKUP(VLOOKUP(BV$1,main!$A$3:$H$102,7,FALSE),main!$K$19:$O$22,MATCH(VLOOKUP($A31,main!$A$3:$H$102,8,FALSE),main!$K$18:$O$18,0))))),1,0)</f>
        <v>0</v>
      </c>
      <c r="BW31">
        <f>IF((AND(VLOOKUP(BW$1,main!$A$3:$H$102,5,FALSE)-VLOOKUP($A31,main!$A$3:$H$102,6,FALSE)&gt;=(VLOOKUP(VLOOKUP(BW$1,main!$A$3:$H$102,8,FALSE),main!$K$26:$M$29,2,FALSE)+VLOOKUP(VLOOKUP(BW$1,main!$A$3:$H$102,7,FALSE),main!$K$19:$O$22,MATCH(VLOOKUP($A31,main!$A$3:$H$102,8,FALSE),main!$K$18:$O$18,0))))),1,0)</f>
        <v>0</v>
      </c>
      <c r="BX31">
        <f>IF((AND(VLOOKUP(BX$1,main!$A$3:$H$102,5,FALSE)-VLOOKUP($A31,main!$A$3:$H$102,6,FALSE)&gt;=(VLOOKUP(VLOOKUP(BX$1,main!$A$3:$H$102,8,FALSE),main!$K$26:$M$29,2,FALSE)+VLOOKUP(VLOOKUP(BX$1,main!$A$3:$H$102,7,FALSE),main!$K$19:$O$22,MATCH(VLOOKUP($A31,main!$A$3:$H$102,8,FALSE),main!$K$18:$O$18,0))))),1,0)</f>
        <v>0</v>
      </c>
      <c r="BY31">
        <f>IF((AND(VLOOKUP(BY$1,main!$A$3:$H$102,5,FALSE)-VLOOKUP($A31,main!$A$3:$H$102,6,FALSE)&gt;=(VLOOKUP(VLOOKUP(BY$1,main!$A$3:$H$102,8,FALSE),main!$K$26:$M$29,2,FALSE)+VLOOKUP(VLOOKUP(BY$1,main!$A$3:$H$102,7,FALSE),main!$K$19:$O$22,MATCH(VLOOKUP($A31,main!$A$3:$H$102,8,FALSE),main!$K$18:$O$18,0))))),1,0)</f>
        <v>0</v>
      </c>
      <c r="BZ31">
        <f>IF((AND(VLOOKUP(BZ$1,main!$A$3:$H$102,5,FALSE)-VLOOKUP($A31,main!$A$3:$H$102,6,FALSE)&gt;=(VLOOKUP(VLOOKUP(BZ$1,main!$A$3:$H$102,8,FALSE),main!$K$26:$M$29,2,FALSE)+VLOOKUP(VLOOKUP(BZ$1,main!$A$3:$H$102,7,FALSE),main!$K$19:$O$22,MATCH(VLOOKUP($A31,main!$A$3:$H$102,8,FALSE),main!$K$18:$O$18,0))))),1,0)</f>
        <v>0</v>
      </c>
      <c r="CA31">
        <f>IF((AND(VLOOKUP(CA$1,main!$A$3:$H$102,5,FALSE)-VLOOKUP($A31,main!$A$3:$H$102,6,FALSE)&gt;=(VLOOKUP(VLOOKUP(CA$1,main!$A$3:$H$102,8,FALSE),main!$K$26:$M$29,2,FALSE)+VLOOKUP(VLOOKUP(CA$1,main!$A$3:$H$102,7,FALSE),main!$K$19:$O$22,MATCH(VLOOKUP($A31,main!$A$3:$H$102,8,FALSE),main!$K$18:$O$18,0))))),1,0)</f>
        <v>0</v>
      </c>
      <c r="CB31">
        <f>IF((AND(VLOOKUP(CB$1,main!$A$3:$H$102,5,FALSE)-VLOOKUP($A31,main!$A$3:$H$102,6,FALSE)&gt;=(VLOOKUP(VLOOKUP(CB$1,main!$A$3:$H$102,8,FALSE),main!$K$26:$M$29,2,FALSE)+VLOOKUP(VLOOKUP(CB$1,main!$A$3:$H$102,7,FALSE),main!$K$19:$O$22,MATCH(VLOOKUP($A31,main!$A$3:$H$102,8,FALSE),main!$K$18:$O$18,0))))),1,0)</f>
        <v>0</v>
      </c>
      <c r="CC31">
        <f>IF((AND(VLOOKUP(CC$1,main!$A$3:$H$102,5,FALSE)-VLOOKUP($A31,main!$A$3:$H$102,6,FALSE)&gt;=(VLOOKUP(VLOOKUP(CC$1,main!$A$3:$H$102,8,FALSE),main!$K$26:$M$29,2,FALSE)+VLOOKUP(VLOOKUP(CC$1,main!$A$3:$H$102,7,FALSE),main!$K$19:$O$22,MATCH(VLOOKUP($A31,main!$A$3:$H$102,8,FALSE),main!$K$18:$O$18,0))))),1,0)</f>
        <v>0</v>
      </c>
      <c r="CD31">
        <f>IF((AND(VLOOKUP(CD$1,main!$A$3:$H$102,5,FALSE)-VLOOKUP($A31,main!$A$3:$H$102,6,FALSE)&gt;=(VLOOKUP(VLOOKUP(CD$1,main!$A$3:$H$102,8,FALSE),main!$K$26:$M$29,2,FALSE)+VLOOKUP(VLOOKUP(CD$1,main!$A$3:$H$102,7,FALSE),main!$K$19:$O$22,MATCH(VLOOKUP($A31,main!$A$3:$H$102,8,FALSE),main!$K$18:$O$18,0))))),1,0)</f>
        <v>0</v>
      </c>
      <c r="CE31">
        <f>IF((AND(VLOOKUP(CE$1,main!$A$3:$H$102,5,FALSE)-VLOOKUP($A31,main!$A$3:$H$102,6,FALSE)&gt;=(VLOOKUP(VLOOKUP(CE$1,main!$A$3:$H$102,8,FALSE),main!$K$26:$M$29,2,FALSE)+VLOOKUP(VLOOKUP(CE$1,main!$A$3:$H$102,7,FALSE),main!$K$19:$O$22,MATCH(VLOOKUP($A31,main!$A$3:$H$102,8,FALSE),main!$K$18:$O$18,0))))),1,0)</f>
        <v>0</v>
      </c>
      <c r="CF31">
        <f>IF((AND(VLOOKUP(CF$1,main!$A$3:$H$102,5,FALSE)-VLOOKUP($A31,main!$A$3:$H$102,6,FALSE)&gt;=(VLOOKUP(VLOOKUP(CF$1,main!$A$3:$H$102,8,FALSE),main!$K$26:$M$29,2,FALSE)+VLOOKUP(VLOOKUP(CF$1,main!$A$3:$H$102,7,FALSE),main!$K$19:$O$22,MATCH(VLOOKUP($A31,main!$A$3:$H$102,8,FALSE),main!$K$18:$O$18,0))))),1,0)</f>
        <v>0</v>
      </c>
      <c r="CG31">
        <f>IF((AND(VLOOKUP(CG$1,main!$A$3:$H$102,5,FALSE)-VLOOKUP($A31,main!$A$3:$H$102,6,FALSE)&gt;=(VLOOKUP(VLOOKUP(CG$1,main!$A$3:$H$102,8,FALSE),main!$K$26:$M$29,2,FALSE)+VLOOKUP(VLOOKUP(CG$1,main!$A$3:$H$102,7,FALSE),main!$K$19:$O$22,MATCH(VLOOKUP($A31,main!$A$3:$H$102,8,FALSE),main!$K$18:$O$18,0))))),1,0)</f>
        <v>0</v>
      </c>
      <c r="CH31">
        <f>IF((AND(VLOOKUP(CH$1,main!$A$3:$H$102,5,FALSE)-VLOOKUP($A31,main!$A$3:$H$102,6,FALSE)&gt;=(VLOOKUP(VLOOKUP(CH$1,main!$A$3:$H$102,8,FALSE),main!$K$26:$M$29,2,FALSE)+VLOOKUP(VLOOKUP(CH$1,main!$A$3:$H$102,7,FALSE),main!$K$19:$O$22,MATCH(VLOOKUP($A31,main!$A$3:$H$102,8,FALSE),main!$K$18:$O$18,0))))),1,0)</f>
        <v>0</v>
      </c>
      <c r="CI31">
        <f>IF((AND(VLOOKUP(CI$1,main!$A$3:$H$102,5,FALSE)-VLOOKUP($A31,main!$A$3:$H$102,6,FALSE)&gt;=(VLOOKUP(VLOOKUP(CI$1,main!$A$3:$H$102,8,FALSE),main!$K$26:$M$29,2,FALSE)+VLOOKUP(VLOOKUP(CI$1,main!$A$3:$H$102,7,FALSE),main!$K$19:$O$22,MATCH(VLOOKUP($A31,main!$A$3:$H$102,8,FALSE),main!$K$18:$O$18,0))))),1,0)</f>
        <v>1</v>
      </c>
      <c r="CJ31">
        <f>IF((AND(VLOOKUP(CJ$1,main!$A$3:$H$102,5,FALSE)-VLOOKUP($A31,main!$A$3:$H$102,6,FALSE)&gt;=(VLOOKUP(VLOOKUP(CJ$1,main!$A$3:$H$102,8,FALSE),main!$K$26:$M$29,2,FALSE)+VLOOKUP(VLOOKUP(CJ$1,main!$A$3:$H$102,7,FALSE),main!$K$19:$O$22,MATCH(VLOOKUP($A31,main!$A$3:$H$102,8,FALSE),main!$K$18:$O$18,0))))),1,0)</f>
        <v>0</v>
      </c>
      <c r="CK31">
        <f>IF((AND(VLOOKUP(CK$1,main!$A$3:$H$102,5,FALSE)-VLOOKUP($A31,main!$A$3:$H$102,6,FALSE)&gt;=(VLOOKUP(VLOOKUP(CK$1,main!$A$3:$H$102,8,FALSE),main!$K$26:$M$29,2,FALSE)+VLOOKUP(VLOOKUP(CK$1,main!$A$3:$H$102,7,FALSE),main!$K$19:$O$22,MATCH(VLOOKUP($A31,main!$A$3:$H$102,8,FALSE),main!$K$18:$O$18,0))))),1,0)</f>
        <v>0</v>
      </c>
      <c r="CL31">
        <f>IF((AND(VLOOKUP(CL$1,main!$A$3:$H$102,5,FALSE)-VLOOKUP($A31,main!$A$3:$H$102,6,FALSE)&gt;=(VLOOKUP(VLOOKUP(CL$1,main!$A$3:$H$102,8,FALSE),main!$K$26:$M$29,2,FALSE)+VLOOKUP(VLOOKUP(CL$1,main!$A$3:$H$102,7,FALSE),main!$K$19:$O$22,MATCH(VLOOKUP($A31,main!$A$3:$H$102,8,FALSE),main!$K$18:$O$18,0))))),1,0)</f>
        <v>0</v>
      </c>
      <c r="CM31">
        <f>IF((AND(VLOOKUP(CM$1,main!$A$3:$H$102,5,FALSE)-VLOOKUP($A31,main!$A$3:$H$102,6,FALSE)&gt;=(VLOOKUP(VLOOKUP(CM$1,main!$A$3:$H$102,8,FALSE),main!$K$26:$M$29,2,FALSE)+VLOOKUP(VLOOKUP(CM$1,main!$A$3:$H$102,7,FALSE),main!$K$19:$O$22,MATCH(VLOOKUP($A31,main!$A$3:$H$102,8,FALSE),main!$K$18:$O$18,0))))),1,0)</f>
        <v>0</v>
      </c>
      <c r="CN31">
        <f>IF((AND(VLOOKUP(CN$1,main!$A$3:$H$102,5,FALSE)-VLOOKUP($A31,main!$A$3:$H$102,6,FALSE)&gt;=(VLOOKUP(VLOOKUP(CN$1,main!$A$3:$H$102,8,FALSE),main!$K$26:$M$29,2,FALSE)+VLOOKUP(VLOOKUP(CN$1,main!$A$3:$H$102,7,FALSE),main!$K$19:$O$22,MATCH(VLOOKUP($A31,main!$A$3:$H$102,8,FALSE),main!$K$18:$O$18,0))))),1,0)</f>
        <v>1</v>
      </c>
      <c r="CO31">
        <f>IF((AND(VLOOKUP(CO$1,main!$A$3:$H$102,5,FALSE)-VLOOKUP($A31,main!$A$3:$H$102,6,FALSE)&gt;=(VLOOKUP(VLOOKUP(CO$1,main!$A$3:$H$102,8,FALSE),main!$K$26:$M$29,2,FALSE)+VLOOKUP(VLOOKUP(CO$1,main!$A$3:$H$102,7,FALSE),main!$K$19:$O$22,MATCH(VLOOKUP($A31,main!$A$3:$H$102,8,FALSE),main!$K$18:$O$18,0))))),1,0)</f>
        <v>0</v>
      </c>
      <c r="CP31">
        <f>IF((AND(VLOOKUP(CP$1,main!$A$3:$H$102,5,FALSE)-VLOOKUP($A31,main!$A$3:$H$102,6,FALSE)&gt;=(VLOOKUP(VLOOKUP(CP$1,main!$A$3:$H$102,8,FALSE),main!$K$26:$M$29,2,FALSE)+VLOOKUP(VLOOKUP(CP$1,main!$A$3:$H$102,7,FALSE),main!$K$19:$O$22,MATCH(VLOOKUP($A31,main!$A$3:$H$102,8,FALSE),main!$K$18:$O$18,0))))),1,0)</f>
        <v>0</v>
      </c>
      <c r="CQ31">
        <f>IF((AND(VLOOKUP(CQ$1,main!$A$3:$H$102,5,FALSE)-VLOOKUP($A31,main!$A$3:$H$102,6,FALSE)&gt;=(VLOOKUP(VLOOKUP(CQ$1,main!$A$3:$H$102,8,FALSE),main!$K$26:$M$29,2,FALSE)+VLOOKUP(VLOOKUP(CQ$1,main!$A$3:$H$102,7,FALSE),main!$K$19:$O$22,MATCH(VLOOKUP($A31,main!$A$3:$H$102,8,FALSE),main!$K$18:$O$18,0))))),1,0)</f>
        <v>0</v>
      </c>
      <c r="CR31">
        <f>IF((AND(VLOOKUP(CR$1,main!$A$3:$H$102,5,FALSE)-VLOOKUP($A31,main!$A$3:$H$102,6,FALSE)&gt;=(VLOOKUP(VLOOKUP(CR$1,main!$A$3:$H$102,8,FALSE),main!$K$26:$M$29,2,FALSE)+VLOOKUP(VLOOKUP(CR$1,main!$A$3:$H$102,7,FALSE),main!$K$19:$O$22,MATCH(VLOOKUP($A31,main!$A$3:$H$102,8,FALSE),main!$K$18:$O$18,0))))),1,0)</f>
        <v>0</v>
      </c>
      <c r="CS31">
        <f>IF((AND(VLOOKUP(CS$1,main!$A$3:$H$102,5,FALSE)-VLOOKUP($A31,main!$A$3:$H$102,6,FALSE)&gt;=(VLOOKUP(VLOOKUP(CS$1,main!$A$3:$H$102,8,FALSE),main!$K$26:$M$29,2,FALSE)+VLOOKUP(VLOOKUP(CS$1,main!$A$3:$H$102,7,FALSE),main!$K$19:$O$22,MATCH(VLOOKUP($A31,main!$A$3:$H$102,8,FALSE),main!$K$18:$O$18,0))))),1,0)</f>
        <v>0</v>
      </c>
      <c r="CT31">
        <f>IF((AND(VLOOKUP(CT$1,main!$A$3:$H$102,5,FALSE)-VLOOKUP($A31,main!$A$3:$H$102,6,FALSE)&gt;=(VLOOKUP(VLOOKUP(CT$1,main!$A$3:$H$102,8,FALSE),main!$K$26:$M$29,2,FALSE)+VLOOKUP(VLOOKUP(CT$1,main!$A$3:$H$102,7,FALSE),main!$K$19:$O$22,MATCH(VLOOKUP($A31,main!$A$3:$H$102,8,FALSE),main!$K$18:$O$18,0))))),1,0)</f>
        <v>0</v>
      </c>
      <c r="CU31">
        <f>IF((AND(VLOOKUP(CU$1,main!$A$3:$H$102,5,FALSE)-VLOOKUP($A31,main!$A$3:$H$102,6,FALSE)&gt;=(VLOOKUP(VLOOKUP(CU$1,main!$A$3:$H$102,8,FALSE),main!$K$26:$M$29,2,FALSE)+VLOOKUP(VLOOKUP(CU$1,main!$A$3:$H$102,7,FALSE),main!$K$19:$O$22,MATCH(VLOOKUP($A31,main!$A$3:$H$102,8,FALSE),main!$K$18:$O$18,0))))),1,0)</f>
        <v>0</v>
      </c>
      <c r="CV31">
        <f>IF((AND(VLOOKUP(CV$1,main!$A$3:$H$102,5,FALSE)-VLOOKUP($A31,main!$A$3:$H$102,6,FALSE)&gt;=(VLOOKUP(VLOOKUP(CV$1,main!$A$3:$H$102,8,FALSE),main!$K$26:$M$29,2,FALSE)+VLOOKUP(VLOOKUP(CV$1,main!$A$3:$H$102,7,FALSE),main!$K$19:$O$22,MATCH(VLOOKUP($A31,main!$A$3:$H$102,8,FALSE),main!$K$18:$O$18,0))))),1,0)</f>
        <v>0</v>
      </c>
      <c r="CW31">
        <f>IF((AND(VLOOKUP(CW$1,main!$A$3:$H$102,5,FALSE)-VLOOKUP($A31,main!$A$3:$H$102,6,FALSE)&gt;=(VLOOKUP(VLOOKUP(CW$1,main!$A$3:$H$102,8,FALSE),main!$K$26:$M$29,2,FALSE)+VLOOKUP(VLOOKUP(CW$1,main!$A$3:$H$102,7,FALSE),main!$K$19:$O$22,MATCH(VLOOKUP($A31,main!$A$3:$H$102,8,FALSE),main!$K$18:$O$18,0))))),1,0)</f>
        <v>0</v>
      </c>
      <c r="CX31">
        <f>IF((AND(VLOOKUP(CX$1,main!$A$3:$H$102,5,FALSE)-VLOOKUP($A31,main!$A$3:$H$102,6,FALSE)&gt;=(VLOOKUP(VLOOKUP(CX$1,main!$A$3:$H$102,8,FALSE),main!$K$26:$M$29,2,FALSE)+VLOOKUP(VLOOKUP(CX$1,main!$A$3:$H$102,7,FALSE),main!$K$19:$O$22,MATCH(VLOOKUP($A31,main!$A$3:$H$102,8,FALSE),main!$K$18:$O$18,0))))),1,0)</f>
        <v>0</v>
      </c>
    </row>
    <row r="32" spans="1:102" x14ac:dyDescent="0.25">
      <c r="A32" s="1">
        <v>30</v>
      </c>
      <c r="B32">
        <v>1</v>
      </c>
      <c r="C32">
        <f>IF((AND(VLOOKUP(C$1,main!$A$3:$H$102,5,FALSE)-VLOOKUP($A32,main!$A$3:$H$102,6,FALSE)&gt;=(VLOOKUP(VLOOKUP(C$1,main!$A$3:$H$102,8,FALSE),main!$K$26:$M$29,2,FALSE)+VLOOKUP(VLOOKUP(C$1,main!$A$3:$H$102,7,FALSE),main!$K$19:$O$22,MATCH(VLOOKUP($A32,main!$A$3:$H$102,8,FALSE),main!$K$18:$O$18,0))))),1,0)</f>
        <v>0</v>
      </c>
      <c r="D32">
        <f>IF((AND(VLOOKUP(D$1,main!$A$3:$H$102,5,FALSE)-VLOOKUP($A32,main!$A$3:$H$102,6,FALSE)&gt;=(VLOOKUP(VLOOKUP(D$1,main!$A$3:$H$102,8,FALSE),main!$K$26:$M$29,2,FALSE)+VLOOKUP(VLOOKUP(D$1,main!$A$3:$H$102,7,FALSE),main!$K$19:$O$22,MATCH(VLOOKUP($A32,main!$A$3:$H$102,8,FALSE),main!$K$18:$O$18,0))))),1,0)</f>
        <v>0</v>
      </c>
      <c r="E32">
        <f>IF((AND(VLOOKUP(E$1,main!$A$3:$H$102,5,FALSE)-VLOOKUP($A32,main!$A$3:$H$102,6,FALSE)&gt;=(VLOOKUP(VLOOKUP(E$1,main!$A$3:$H$102,8,FALSE),main!$K$26:$M$29,2,FALSE)+VLOOKUP(VLOOKUP(E$1,main!$A$3:$H$102,7,FALSE),main!$K$19:$O$22,MATCH(VLOOKUP($A32,main!$A$3:$H$102,8,FALSE),main!$K$18:$O$18,0))))),1,0)</f>
        <v>0</v>
      </c>
      <c r="F32">
        <f>IF((AND(VLOOKUP(F$1,main!$A$3:$H$102,5,FALSE)-VLOOKUP($A32,main!$A$3:$H$102,6,FALSE)&gt;=(VLOOKUP(VLOOKUP(F$1,main!$A$3:$H$102,8,FALSE),main!$K$26:$M$29,2,FALSE)+VLOOKUP(VLOOKUP(F$1,main!$A$3:$H$102,7,FALSE),main!$K$19:$O$22,MATCH(VLOOKUP($A32,main!$A$3:$H$102,8,FALSE),main!$K$18:$O$18,0))))),1,0)</f>
        <v>0</v>
      </c>
      <c r="G32">
        <f>IF((AND(VLOOKUP(G$1,main!$A$3:$H$102,5,FALSE)-VLOOKUP($A32,main!$A$3:$H$102,6,FALSE)&gt;=(VLOOKUP(VLOOKUP(G$1,main!$A$3:$H$102,8,FALSE),main!$K$26:$M$29,2,FALSE)+VLOOKUP(VLOOKUP(G$1,main!$A$3:$H$102,7,FALSE),main!$K$19:$O$22,MATCH(VLOOKUP($A32,main!$A$3:$H$102,8,FALSE),main!$K$18:$O$18,0))))),1,0)</f>
        <v>0</v>
      </c>
      <c r="H32">
        <f>IF((AND(VLOOKUP(H$1,main!$A$3:$H$102,5,FALSE)-VLOOKUP($A32,main!$A$3:$H$102,6,FALSE)&gt;=(VLOOKUP(VLOOKUP(H$1,main!$A$3:$H$102,8,FALSE),main!$K$26:$M$29,2,FALSE)+VLOOKUP(VLOOKUP(H$1,main!$A$3:$H$102,7,FALSE),main!$K$19:$O$22,MATCH(VLOOKUP($A32,main!$A$3:$H$102,8,FALSE),main!$K$18:$O$18,0))))),1,0)</f>
        <v>0</v>
      </c>
      <c r="I32">
        <f>IF((AND(VLOOKUP(I$1,main!$A$3:$H$102,5,FALSE)-VLOOKUP($A32,main!$A$3:$H$102,6,FALSE)&gt;=(VLOOKUP(VLOOKUP(I$1,main!$A$3:$H$102,8,FALSE),main!$K$26:$M$29,2,FALSE)+VLOOKUP(VLOOKUP(I$1,main!$A$3:$H$102,7,FALSE),main!$K$19:$O$22,MATCH(VLOOKUP($A32,main!$A$3:$H$102,8,FALSE),main!$K$18:$O$18,0))))),1,0)</f>
        <v>0</v>
      </c>
      <c r="J32">
        <f>IF((AND(VLOOKUP(J$1,main!$A$3:$H$102,5,FALSE)-VLOOKUP($A32,main!$A$3:$H$102,6,FALSE)&gt;=(VLOOKUP(VLOOKUP(J$1,main!$A$3:$H$102,8,FALSE),main!$K$26:$M$29,2,FALSE)+VLOOKUP(VLOOKUP(J$1,main!$A$3:$H$102,7,FALSE),main!$K$19:$O$22,MATCH(VLOOKUP($A32,main!$A$3:$H$102,8,FALSE),main!$K$18:$O$18,0))))),1,0)</f>
        <v>0</v>
      </c>
      <c r="K32">
        <f>IF((AND(VLOOKUP(K$1,main!$A$3:$H$102,5,FALSE)-VLOOKUP($A32,main!$A$3:$H$102,6,FALSE)&gt;=(VLOOKUP(VLOOKUP(K$1,main!$A$3:$H$102,8,FALSE),main!$K$26:$M$29,2,FALSE)+VLOOKUP(VLOOKUP(K$1,main!$A$3:$H$102,7,FALSE),main!$K$19:$O$22,MATCH(VLOOKUP($A32,main!$A$3:$H$102,8,FALSE),main!$K$18:$O$18,0))))),1,0)</f>
        <v>0</v>
      </c>
      <c r="L32">
        <f>IF((AND(VLOOKUP(L$1,main!$A$3:$H$102,5,FALSE)-VLOOKUP($A32,main!$A$3:$H$102,6,FALSE)&gt;=(VLOOKUP(VLOOKUP(L$1,main!$A$3:$H$102,8,FALSE),main!$K$26:$M$29,2,FALSE)+VLOOKUP(VLOOKUP(L$1,main!$A$3:$H$102,7,FALSE),main!$K$19:$O$22,MATCH(VLOOKUP($A32,main!$A$3:$H$102,8,FALSE),main!$K$18:$O$18,0))))),1,0)</f>
        <v>0</v>
      </c>
      <c r="M32">
        <f>IF((AND(VLOOKUP(M$1,main!$A$3:$H$102,5,FALSE)-VLOOKUP($A32,main!$A$3:$H$102,6,FALSE)&gt;=(VLOOKUP(VLOOKUP(M$1,main!$A$3:$H$102,8,FALSE),main!$K$26:$M$29,2,FALSE)+VLOOKUP(VLOOKUP(M$1,main!$A$3:$H$102,7,FALSE),main!$K$19:$O$22,MATCH(VLOOKUP($A32,main!$A$3:$H$102,8,FALSE),main!$K$18:$O$18,0))))),1,0)</f>
        <v>0</v>
      </c>
      <c r="N32">
        <f>IF((AND(VLOOKUP(N$1,main!$A$3:$H$102,5,FALSE)-VLOOKUP($A32,main!$A$3:$H$102,6,FALSE)&gt;=(VLOOKUP(VLOOKUP(N$1,main!$A$3:$H$102,8,FALSE),main!$K$26:$M$29,2,FALSE)+VLOOKUP(VLOOKUP(N$1,main!$A$3:$H$102,7,FALSE),main!$K$19:$O$22,MATCH(VLOOKUP($A32,main!$A$3:$H$102,8,FALSE),main!$K$18:$O$18,0))))),1,0)</f>
        <v>0</v>
      </c>
      <c r="O32">
        <f>IF((AND(VLOOKUP(O$1,main!$A$3:$H$102,5,FALSE)-VLOOKUP($A32,main!$A$3:$H$102,6,FALSE)&gt;=(VLOOKUP(VLOOKUP(O$1,main!$A$3:$H$102,8,FALSE),main!$K$26:$M$29,2,FALSE)+VLOOKUP(VLOOKUP(O$1,main!$A$3:$H$102,7,FALSE),main!$K$19:$O$22,MATCH(VLOOKUP($A32,main!$A$3:$H$102,8,FALSE),main!$K$18:$O$18,0))))),1,0)</f>
        <v>0</v>
      </c>
      <c r="P32">
        <f>IF((AND(VLOOKUP(P$1,main!$A$3:$H$102,5,FALSE)-VLOOKUP($A32,main!$A$3:$H$102,6,FALSE)&gt;=(VLOOKUP(VLOOKUP(P$1,main!$A$3:$H$102,8,FALSE),main!$K$26:$M$29,2,FALSE)+VLOOKUP(VLOOKUP(P$1,main!$A$3:$H$102,7,FALSE),main!$K$19:$O$22,MATCH(VLOOKUP($A32,main!$A$3:$H$102,8,FALSE),main!$K$18:$O$18,0))))),1,0)</f>
        <v>0</v>
      </c>
      <c r="Q32">
        <f>IF((AND(VLOOKUP(Q$1,main!$A$3:$H$102,5,FALSE)-VLOOKUP($A32,main!$A$3:$H$102,6,FALSE)&gt;=(VLOOKUP(VLOOKUP(Q$1,main!$A$3:$H$102,8,FALSE),main!$K$26:$M$29,2,FALSE)+VLOOKUP(VLOOKUP(Q$1,main!$A$3:$H$102,7,FALSE),main!$K$19:$O$22,MATCH(VLOOKUP($A32,main!$A$3:$H$102,8,FALSE),main!$K$18:$O$18,0))))),1,0)</f>
        <v>0</v>
      </c>
      <c r="R32">
        <f>IF((AND(VLOOKUP(R$1,main!$A$3:$H$102,5,FALSE)-VLOOKUP($A32,main!$A$3:$H$102,6,FALSE)&gt;=(VLOOKUP(VLOOKUP(R$1,main!$A$3:$H$102,8,FALSE),main!$K$26:$M$29,2,FALSE)+VLOOKUP(VLOOKUP(R$1,main!$A$3:$H$102,7,FALSE),main!$K$19:$O$22,MATCH(VLOOKUP($A32,main!$A$3:$H$102,8,FALSE),main!$K$18:$O$18,0))))),1,0)</f>
        <v>0</v>
      </c>
      <c r="S32">
        <f>IF((AND(VLOOKUP(S$1,main!$A$3:$H$102,5,FALSE)-VLOOKUP($A32,main!$A$3:$H$102,6,FALSE)&gt;=(VLOOKUP(VLOOKUP(S$1,main!$A$3:$H$102,8,FALSE),main!$K$26:$M$29,2,FALSE)+VLOOKUP(VLOOKUP(S$1,main!$A$3:$H$102,7,FALSE),main!$K$19:$O$22,MATCH(VLOOKUP($A32,main!$A$3:$H$102,8,FALSE),main!$K$18:$O$18,0))))),1,0)</f>
        <v>0</v>
      </c>
      <c r="T32">
        <f>IF((AND(VLOOKUP(T$1,main!$A$3:$H$102,5,FALSE)-VLOOKUP($A32,main!$A$3:$H$102,6,FALSE)&gt;=(VLOOKUP(VLOOKUP(T$1,main!$A$3:$H$102,8,FALSE),main!$K$26:$M$29,2,FALSE)+VLOOKUP(VLOOKUP(T$1,main!$A$3:$H$102,7,FALSE),main!$K$19:$O$22,MATCH(VLOOKUP($A32,main!$A$3:$H$102,8,FALSE),main!$K$18:$O$18,0))))),1,0)</f>
        <v>0</v>
      </c>
      <c r="U32">
        <f>IF((AND(VLOOKUP(U$1,main!$A$3:$H$102,5,FALSE)-VLOOKUP($A32,main!$A$3:$H$102,6,FALSE)&gt;=(VLOOKUP(VLOOKUP(U$1,main!$A$3:$H$102,8,FALSE),main!$K$26:$M$29,2,FALSE)+VLOOKUP(VLOOKUP(U$1,main!$A$3:$H$102,7,FALSE),main!$K$19:$O$22,MATCH(VLOOKUP($A32,main!$A$3:$H$102,8,FALSE),main!$K$18:$O$18,0))))),1,0)</f>
        <v>0</v>
      </c>
      <c r="V32">
        <f>IF((AND(VLOOKUP(V$1,main!$A$3:$H$102,5,FALSE)-VLOOKUP($A32,main!$A$3:$H$102,6,FALSE)&gt;=(VLOOKUP(VLOOKUP(V$1,main!$A$3:$H$102,8,FALSE),main!$K$26:$M$29,2,FALSE)+VLOOKUP(VLOOKUP(V$1,main!$A$3:$H$102,7,FALSE),main!$K$19:$O$22,MATCH(VLOOKUP($A32,main!$A$3:$H$102,8,FALSE),main!$K$18:$O$18,0))))),1,0)</f>
        <v>0</v>
      </c>
      <c r="W32">
        <f>IF((AND(VLOOKUP(W$1,main!$A$3:$H$102,5,FALSE)-VLOOKUP($A32,main!$A$3:$H$102,6,FALSE)&gt;=(VLOOKUP(VLOOKUP(W$1,main!$A$3:$H$102,8,FALSE),main!$K$26:$M$29,2,FALSE)+VLOOKUP(VLOOKUP(W$1,main!$A$3:$H$102,7,FALSE),main!$K$19:$O$22,MATCH(VLOOKUP($A32,main!$A$3:$H$102,8,FALSE),main!$K$18:$O$18,0))))),1,0)</f>
        <v>0</v>
      </c>
      <c r="X32">
        <f>IF((AND(VLOOKUP(X$1,main!$A$3:$H$102,5,FALSE)-VLOOKUP($A32,main!$A$3:$H$102,6,FALSE)&gt;=(VLOOKUP(VLOOKUP(X$1,main!$A$3:$H$102,8,FALSE),main!$K$26:$M$29,2,FALSE)+VLOOKUP(VLOOKUP(X$1,main!$A$3:$H$102,7,FALSE),main!$K$19:$O$22,MATCH(VLOOKUP($A32,main!$A$3:$H$102,8,FALSE),main!$K$18:$O$18,0))))),1,0)</f>
        <v>0</v>
      </c>
      <c r="Y32">
        <f>IF((AND(VLOOKUP(Y$1,main!$A$3:$H$102,5,FALSE)-VLOOKUP($A32,main!$A$3:$H$102,6,FALSE)&gt;=(VLOOKUP(VLOOKUP(Y$1,main!$A$3:$H$102,8,FALSE),main!$K$26:$M$29,2,FALSE)+VLOOKUP(VLOOKUP(Y$1,main!$A$3:$H$102,7,FALSE),main!$K$19:$O$22,MATCH(VLOOKUP($A32,main!$A$3:$H$102,8,FALSE),main!$K$18:$O$18,0))))),1,0)</f>
        <v>0</v>
      </c>
      <c r="Z32">
        <f>IF((AND(VLOOKUP(Z$1,main!$A$3:$H$102,5,FALSE)-VLOOKUP($A32,main!$A$3:$H$102,6,FALSE)&gt;=(VLOOKUP(VLOOKUP(Z$1,main!$A$3:$H$102,8,FALSE),main!$K$26:$M$29,2,FALSE)+VLOOKUP(VLOOKUP(Z$1,main!$A$3:$H$102,7,FALSE),main!$K$19:$O$22,MATCH(VLOOKUP($A32,main!$A$3:$H$102,8,FALSE),main!$K$18:$O$18,0))))),1,0)</f>
        <v>0</v>
      </c>
      <c r="AA32">
        <f>IF((AND(VLOOKUP(AA$1,main!$A$3:$H$102,5,FALSE)-VLOOKUP($A32,main!$A$3:$H$102,6,FALSE)&gt;=(VLOOKUP(VLOOKUP(AA$1,main!$A$3:$H$102,8,FALSE),main!$K$26:$M$29,2,FALSE)+VLOOKUP(VLOOKUP(AA$1,main!$A$3:$H$102,7,FALSE),main!$K$19:$O$22,MATCH(VLOOKUP($A32,main!$A$3:$H$102,8,FALSE),main!$K$18:$O$18,0))))),1,0)</f>
        <v>0</v>
      </c>
      <c r="AB32">
        <f>IF((AND(VLOOKUP(AB$1,main!$A$3:$H$102,5,FALSE)-VLOOKUP($A32,main!$A$3:$H$102,6,FALSE)&gt;=(VLOOKUP(VLOOKUP(AB$1,main!$A$3:$H$102,8,FALSE),main!$K$26:$M$29,2,FALSE)+VLOOKUP(VLOOKUP(AB$1,main!$A$3:$H$102,7,FALSE),main!$K$19:$O$22,MATCH(VLOOKUP($A32,main!$A$3:$H$102,8,FALSE),main!$K$18:$O$18,0))))),1,0)</f>
        <v>0</v>
      </c>
      <c r="AC32">
        <f>IF((AND(VLOOKUP(AC$1,main!$A$3:$H$102,5,FALSE)-VLOOKUP($A32,main!$A$3:$H$102,6,FALSE)&gt;=(VLOOKUP(VLOOKUP(AC$1,main!$A$3:$H$102,8,FALSE),main!$K$26:$M$29,2,FALSE)+VLOOKUP(VLOOKUP(AC$1,main!$A$3:$H$102,7,FALSE),main!$K$19:$O$22,MATCH(VLOOKUP($A32,main!$A$3:$H$102,8,FALSE),main!$K$18:$O$18,0))))),1,0)</f>
        <v>0</v>
      </c>
      <c r="AD32">
        <f>IF((AND(VLOOKUP(AD$1,main!$A$3:$H$102,5,FALSE)-VLOOKUP($A32,main!$A$3:$H$102,6,FALSE)&gt;=(VLOOKUP(VLOOKUP(AD$1,main!$A$3:$H$102,8,FALSE),main!$K$26:$M$29,2,FALSE)+VLOOKUP(VLOOKUP(AD$1,main!$A$3:$H$102,7,FALSE),main!$K$19:$O$22,MATCH(VLOOKUP($A32,main!$A$3:$H$102,8,FALSE),main!$K$18:$O$18,0))))),1,0)</f>
        <v>0</v>
      </c>
      <c r="AE32">
        <f>IF((AND(VLOOKUP(AE$1,main!$A$3:$H$102,5,FALSE)-VLOOKUP($A32,main!$A$3:$H$102,6,FALSE)&gt;=(VLOOKUP(VLOOKUP(AE$1,main!$A$3:$H$102,8,FALSE),main!$K$26:$M$29,2,FALSE)+VLOOKUP(VLOOKUP(AE$1,main!$A$3:$H$102,7,FALSE),main!$K$19:$O$22,MATCH(VLOOKUP($A32,main!$A$3:$H$102,8,FALSE),main!$K$18:$O$18,0))))),1,0)</f>
        <v>0</v>
      </c>
      <c r="AF32">
        <f>IF((AND(VLOOKUP(AF$1,main!$A$3:$H$102,5,FALSE)-VLOOKUP($A32,main!$A$3:$H$102,6,FALSE)&gt;=(VLOOKUP(VLOOKUP(AF$1,main!$A$3:$H$102,8,FALSE),main!$K$26:$M$29,2,FALSE)+VLOOKUP(VLOOKUP(AF$1,main!$A$3:$H$102,7,FALSE),main!$K$19:$O$22,MATCH(VLOOKUP($A32,main!$A$3:$H$102,8,FALSE),main!$K$18:$O$18,0))))),1,0)</f>
        <v>0</v>
      </c>
      <c r="AG32">
        <f>IF((AND(VLOOKUP(AG$1,main!$A$3:$H$102,5,FALSE)-VLOOKUP($A32,main!$A$3:$H$102,6,FALSE)&gt;=(VLOOKUP(VLOOKUP(AG$1,main!$A$3:$H$102,8,FALSE),main!$K$26:$M$29,2,FALSE)+VLOOKUP(VLOOKUP(AG$1,main!$A$3:$H$102,7,FALSE),main!$K$19:$O$22,MATCH(VLOOKUP($A32,main!$A$3:$H$102,8,FALSE),main!$K$18:$O$18,0))))),1,0)</f>
        <v>0</v>
      </c>
      <c r="AH32">
        <f>IF((AND(VLOOKUP(AH$1,main!$A$3:$H$102,5,FALSE)-VLOOKUP($A32,main!$A$3:$H$102,6,FALSE)&gt;=(VLOOKUP(VLOOKUP(AH$1,main!$A$3:$H$102,8,FALSE),main!$K$26:$M$29,2,FALSE)+VLOOKUP(VLOOKUP(AH$1,main!$A$3:$H$102,7,FALSE),main!$K$19:$O$22,MATCH(VLOOKUP($A32,main!$A$3:$H$102,8,FALSE),main!$K$18:$O$18,0))))),1,0)</f>
        <v>0</v>
      </c>
      <c r="AI32">
        <f>IF((AND(VLOOKUP(AI$1,main!$A$3:$H$102,5,FALSE)-VLOOKUP($A32,main!$A$3:$H$102,6,FALSE)&gt;=(VLOOKUP(VLOOKUP(AI$1,main!$A$3:$H$102,8,FALSE),main!$K$26:$M$29,2,FALSE)+VLOOKUP(VLOOKUP(AI$1,main!$A$3:$H$102,7,FALSE),main!$K$19:$O$22,MATCH(VLOOKUP($A32,main!$A$3:$H$102,8,FALSE),main!$K$18:$O$18,0))))),1,0)</f>
        <v>0</v>
      </c>
      <c r="AJ32">
        <f>IF((AND(VLOOKUP(AJ$1,main!$A$3:$H$102,5,FALSE)-VLOOKUP($A32,main!$A$3:$H$102,6,FALSE)&gt;=(VLOOKUP(VLOOKUP(AJ$1,main!$A$3:$H$102,8,FALSE),main!$K$26:$M$29,2,FALSE)+VLOOKUP(VLOOKUP(AJ$1,main!$A$3:$H$102,7,FALSE),main!$K$19:$O$22,MATCH(VLOOKUP($A32,main!$A$3:$H$102,8,FALSE),main!$K$18:$O$18,0))))),1,0)</f>
        <v>0</v>
      </c>
      <c r="AK32">
        <f>IF((AND(VLOOKUP(AK$1,main!$A$3:$H$102,5,FALSE)-VLOOKUP($A32,main!$A$3:$H$102,6,FALSE)&gt;=(VLOOKUP(VLOOKUP(AK$1,main!$A$3:$H$102,8,FALSE),main!$K$26:$M$29,2,FALSE)+VLOOKUP(VLOOKUP(AK$1,main!$A$3:$H$102,7,FALSE),main!$K$19:$O$22,MATCH(VLOOKUP($A32,main!$A$3:$H$102,8,FALSE),main!$K$18:$O$18,0))))),1,0)</f>
        <v>0</v>
      </c>
      <c r="AL32">
        <f>IF((AND(VLOOKUP(AL$1,main!$A$3:$H$102,5,FALSE)-VLOOKUP($A32,main!$A$3:$H$102,6,FALSE)&gt;=(VLOOKUP(VLOOKUP(AL$1,main!$A$3:$H$102,8,FALSE),main!$K$26:$M$29,2,FALSE)+VLOOKUP(VLOOKUP(AL$1,main!$A$3:$H$102,7,FALSE),main!$K$19:$O$22,MATCH(VLOOKUP($A32,main!$A$3:$H$102,8,FALSE),main!$K$18:$O$18,0))))),1,0)</f>
        <v>0</v>
      </c>
      <c r="AM32">
        <f>IF((AND(VLOOKUP(AM$1,main!$A$3:$H$102,5,FALSE)-VLOOKUP($A32,main!$A$3:$H$102,6,FALSE)&gt;=(VLOOKUP(VLOOKUP(AM$1,main!$A$3:$H$102,8,FALSE),main!$K$26:$M$29,2,FALSE)+VLOOKUP(VLOOKUP(AM$1,main!$A$3:$H$102,7,FALSE),main!$K$19:$O$22,MATCH(VLOOKUP($A32,main!$A$3:$H$102,8,FALSE),main!$K$18:$O$18,0))))),1,0)</f>
        <v>0</v>
      </c>
      <c r="AN32">
        <f>IF((AND(VLOOKUP(AN$1,main!$A$3:$H$102,5,FALSE)-VLOOKUP($A32,main!$A$3:$H$102,6,FALSE)&gt;=(VLOOKUP(VLOOKUP(AN$1,main!$A$3:$H$102,8,FALSE),main!$K$26:$M$29,2,FALSE)+VLOOKUP(VLOOKUP(AN$1,main!$A$3:$H$102,7,FALSE),main!$K$19:$O$22,MATCH(VLOOKUP($A32,main!$A$3:$H$102,8,FALSE),main!$K$18:$O$18,0))))),1,0)</f>
        <v>0</v>
      </c>
      <c r="AO32">
        <f>IF((AND(VLOOKUP(AO$1,main!$A$3:$H$102,5,FALSE)-VLOOKUP($A32,main!$A$3:$H$102,6,FALSE)&gt;=(VLOOKUP(VLOOKUP(AO$1,main!$A$3:$H$102,8,FALSE),main!$K$26:$M$29,2,FALSE)+VLOOKUP(VLOOKUP(AO$1,main!$A$3:$H$102,7,FALSE),main!$K$19:$O$22,MATCH(VLOOKUP($A32,main!$A$3:$H$102,8,FALSE),main!$K$18:$O$18,0))))),1,0)</f>
        <v>0</v>
      </c>
      <c r="AP32">
        <f>IF((AND(VLOOKUP(AP$1,main!$A$3:$H$102,5,FALSE)-VLOOKUP($A32,main!$A$3:$H$102,6,FALSE)&gt;=(VLOOKUP(VLOOKUP(AP$1,main!$A$3:$H$102,8,FALSE),main!$K$26:$M$29,2,FALSE)+VLOOKUP(VLOOKUP(AP$1,main!$A$3:$H$102,7,FALSE),main!$K$19:$O$22,MATCH(VLOOKUP($A32,main!$A$3:$H$102,8,FALSE),main!$K$18:$O$18,0))))),1,0)</f>
        <v>0</v>
      </c>
      <c r="AQ32">
        <f>IF((AND(VLOOKUP(AQ$1,main!$A$3:$H$102,5,FALSE)-VLOOKUP($A32,main!$A$3:$H$102,6,FALSE)&gt;=(VLOOKUP(VLOOKUP(AQ$1,main!$A$3:$H$102,8,FALSE),main!$K$26:$M$29,2,FALSE)+VLOOKUP(VLOOKUP(AQ$1,main!$A$3:$H$102,7,FALSE),main!$K$19:$O$22,MATCH(VLOOKUP($A32,main!$A$3:$H$102,8,FALSE),main!$K$18:$O$18,0))))),1,0)</f>
        <v>0</v>
      </c>
      <c r="AR32">
        <f>IF((AND(VLOOKUP(AR$1,main!$A$3:$H$102,5,FALSE)-VLOOKUP($A32,main!$A$3:$H$102,6,FALSE)&gt;=(VLOOKUP(VLOOKUP(AR$1,main!$A$3:$H$102,8,FALSE),main!$K$26:$M$29,2,FALSE)+VLOOKUP(VLOOKUP(AR$1,main!$A$3:$H$102,7,FALSE),main!$K$19:$O$22,MATCH(VLOOKUP($A32,main!$A$3:$H$102,8,FALSE),main!$K$18:$O$18,0))))),1,0)</f>
        <v>0</v>
      </c>
      <c r="AS32">
        <f>IF((AND(VLOOKUP(AS$1,main!$A$3:$H$102,5,FALSE)-VLOOKUP($A32,main!$A$3:$H$102,6,FALSE)&gt;=(VLOOKUP(VLOOKUP(AS$1,main!$A$3:$H$102,8,FALSE),main!$K$26:$M$29,2,FALSE)+VLOOKUP(VLOOKUP(AS$1,main!$A$3:$H$102,7,FALSE),main!$K$19:$O$22,MATCH(VLOOKUP($A32,main!$A$3:$H$102,8,FALSE),main!$K$18:$O$18,0))))),1,0)</f>
        <v>0</v>
      </c>
      <c r="AT32">
        <f>IF((AND(VLOOKUP(AT$1,main!$A$3:$H$102,5,FALSE)-VLOOKUP($A32,main!$A$3:$H$102,6,FALSE)&gt;=(VLOOKUP(VLOOKUP(AT$1,main!$A$3:$H$102,8,FALSE),main!$K$26:$M$29,2,FALSE)+VLOOKUP(VLOOKUP(AT$1,main!$A$3:$H$102,7,FALSE),main!$K$19:$O$22,MATCH(VLOOKUP($A32,main!$A$3:$H$102,8,FALSE),main!$K$18:$O$18,0))))),1,0)</f>
        <v>0</v>
      </c>
      <c r="AU32">
        <f>IF((AND(VLOOKUP(AU$1,main!$A$3:$H$102,5,FALSE)-VLOOKUP($A32,main!$A$3:$H$102,6,FALSE)&gt;=(VLOOKUP(VLOOKUP(AU$1,main!$A$3:$H$102,8,FALSE),main!$K$26:$M$29,2,FALSE)+VLOOKUP(VLOOKUP(AU$1,main!$A$3:$H$102,7,FALSE),main!$K$19:$O$22,MATCH(VLOOKUP($A32,main!$A$3:$H$102,8,FALSE),main!$K$18:$O$18,0))))),1,0)</f>
        <v>0</v>
      </c>
      <c r="AV32">
        <f>IF((AND(VLOOKUP(AV$1,main!$A$3:$H$102,5,FALSE)-VLOOKUP($A32,main!$A$3:$H$102,6,FALSE)&gt;=(VLOOKUP(VLOOKUP(AV$1,main!$A$3:$H$102,8,FALSE),main!$K$26:$M$29,2,FALSE)+VLOOKUP(VLOOKUP(AV$1,main!$A$3:$H$102,7,FALSE),main!$K$19:$O$22,MATCH(VLOOKUP($A32,main!$A$3:$H$102,8,FALSE),main!$K$18:$O$18,0))))),1,0)</f>
        <v>0</v>
      </c>
      <c r="AW32">
        <f>IF((AND(VLOOKUP(AW$1,main!$A$3:$H$102,5,FALSE)-VLOOKUP($A32,main!$A$3:$H$102,6,FALSE)&gt;=(VLOOKUP(VLOOKUP(AW$1,main!$A$3:$H$102,8,FALSE),main!$K$26:$M$29,2,FALSE)+VLOOKUP(VLOOKUP(AW$1,main!$A$3:$H$102,7,FALSE),main!$K$19:$O$22,MATCH(VLOOKUP($A32,main!$A$3:$H$102,8,FALSE),main!$K$18:$O$18,0))))),1,0)</f>
        <v>0</v>
      </c>
      <c r="AX32">
        <f>IF((AND(VLOOKUP(AX$1,main!$A$3:$H$102,5,FALSE)-VLOOKUP($A32,main!$A$3:$H$102,6,FALSE)&gt;=(VLOOKUP(VLOOKUP(AX$1,main!$A$3:$H$102,8,FALSE),main!$K$26:$M$29,2,FALSE)+VLOOKUP(VLOOKUP(AX$1,main!$A$3:$H$102,7,FALSE),main!$K$19:$O$22,MATCH(VLOOKUP($A32,main!$A$3:$H$102,8,FALSE),main!$K$18:$O$18,0))))),1,0)</f>
        <v>0</v>
      </c>
      <c r="AY32">
        <f>IF((AND(VLOOKUP(AY$1,main!$A$3:$H$102,5,FALSE)-VLOOKUP($A32,main!$A$3:$H$102,6,FALSE)&gt;=(VLOOKUP(VLOOKUP(AY$1,main!$A$3:$H$102,8,FALSE),main!$K$26:$M$29,2,FALSE)+VLOOKUP(VLOOKUP(AY$1,main!$A$3:$H$102,7,FALSE),main!$K$19:$O$22,MATCH(VLOOKUP($A32,main!$A$3:$H$102,8,FALSE),main!$K$18:$O$18,0))))),1,0)</f>
        <v>0</v>
      </c>
      <c r="AZ32">
        <f>IF((AND(VLOOKUP(AZ$1,main!$A$3:$H$102,5,FALSE)-VLOOKUP($A32,main!$A$3:$H$102,6,FALSE)&gt;=(VLOOKUP(VLOOKUP(AZ$1,main!$A$3:$H$102,8,FALSE),main!$K$26:$M$29,2,FALSE)+VLOOKUP(VLOOKUP(AZ$1,main!$A$3:$H$102,7,FALSE),main!$K$19:$O$22,MATCH(VLOOKUP($A32,main!$A$3:$H$102,8,FALSE),main!$K$18:$O$18,0))))),1,0)</f>
        <v>0</v>
      </c>
      <c r="BA32">
        <f>IF((AND(VLOOKUP(BA$1,main!$A$3:$H$102,5,FALSE)-VLOOKUP($A32,main!$A$3:$H$102,6,FALSE)&gt;=(VLOOKUP(VLOOKUP(BA$1,main!$A$3:$H$102,8,FALSE),main!$K$26:$M$29,2,FALSE)+VLOOKUP(VLOOKUP(BA$1,main!$A$3:$H$102,7,FALSE),main!$K$19:$O$22,MATCH(VLOOKUP($A32,main!$A$3:$H$102,8,FALSE),main!$K$18:$O$18,0))))),1,0)</f>
        <v>0</v>
      </c>
      <c r="BB32">
        <f>IF((AND(VLOOKUP(BB$1,main!$A$3:$H$102,5,FALSE)-VLOOKUP($A32,main!$A$3:$H$102,6,FALSE)&gt;=(VLOOKUP(VLOOKUP(BB$1,main!$A$3:$H$102,8,FALSE),main!$K$26:$M$29,2,FALSE)+VLOOKUP(VLOOKUP(BB$1,main!$A$3:$H$102,7,FALSE),main!$K$19:$O$22,MATCH(VLOOKUP($A32,main!$A$3:$H$102,8,FALSE),main!$K$18:$O$18,0))))),1,0)</f>
        <v>0</v>
      </c>
      <c r="BC32">
        <f>IF((AND(VLOOKUP(BC$1,main!$A$3:$H$102,5,FALSE)-VLOOKUP($A32,main!$A$3:$H$102,6,FALSE)&gt;=(VLOOKUP(VLOOKUP(BC$1,main!$A$3:$H$102,8,FALSE),main!$K$26:$M$29,2,FALSE)+VLOOKUP(VLOOKUP(BC$1,main!$A$3:$H$102,7,FALSE),main!$K$19:$O$22,MATCH(VLOOKUP($A32,main!$A$3:$H$102,8,FALSE),main!$K$18:$O$18,0))))),1,0)</f>
        <v>0</v>
      </c>
      <c r="BD32">
        <f>IF((AND(VLOOKUP(BD$1,main!$A$3:$H$102,5,FALSE)-VLOOKUP($A32,main!$A$3:$H$102,6,FALSE)&gt;=(VLOOKUP(VLOOKUP(BD$1,main!$A$3:$H$102,8,FALSE),main!$K$26:$M$29,2,FALSE)+VLOOKUP(VLOOKUP(BD$1,main!$A$3:$H$102,7,FALSE),main!$K$19:$O$22,MATCH(VLOOKUP($A32,main!$A$3:$H$102,8,FALSE),main!$K$18:$O$18,0))))),1,0)</f>
        <v>0</v>
      </c>
      <c r="BE32">
        <f>IF((AND(VLOOKUP(BE$1,main!$A$3:$H$102,5,FALSE)-VLOOKUP($A32,main!$A$3:$H$102,6,FALSE)&gt;=(VLOOKUP(VLOOKUP(BE$1,main!$A$3:$H$102,8,FALSE),main!$K$26:$M$29,2,FALSE)+VLOOKUP(VLOOKUP(BE$1,main!$A$3:$H$102,7,FALSE),main!$K$19:$O$22,MATCH(VLOOKUP($A32,main!$A$3:$H$102,8,FALSE),main!$K$18:$O$18,0))))),1,0)</f>
        <v>0</v>
      </c>
      <c r="BF32">
        <f>IF((AND(VLOOKUP(BF$1,main!$A$3:$H$102,5,FALSE)-VLOOKUP($A32,main!$A$3:$H$102,6,FALSE)&gt;=(VLOOKUP(VLOOKUP(BF$1,main!$A$3:$H$102,8,FALSE),main!$K$26:$M$29,2,FALSE)+VLOOKUP(VLOOKUP(BF$1,main!$A$3:$H$102,7,FALSE),main!$K$19:$O$22,MATCH(VLOOKUP($A32,main!$A$3:$H$102,8,FALSE),main!$K$18:$O$18,0))))),1,0)</f>
        <v>0</v>
      </c>
      <c r="BG32">
        <f>IF((AND(VLOOKUP(BG$1,main!$A$3:$H$102,5,FALSE)-VLOOKUP($A32,main!$A$3:$H$102,6,FALSE)&gt;=(VLOOKUP(VLOOKUP(BG$1,main!$A$3:$H$102,8,FALSE),main!$K$26:$M$29,2,FALSE)+VLOOKUP(VLOOKUP(BG$1,main!$A$3:$H$102,7,FALSE),main!$K$19:$O$22,MATCH(VLOOKUP($A32,main!$A$3:$H$102,8,FALSE),main!$K$18:$O$18,0))))),1,0)</f>
        <v>0</v>
      </c>
      <c r="BH32">
        <f>IF((AND(VLOOKUP(BH$1,main!$A$3:$H$102,5,FALSE)-VLOOKUP($A32,main!$A$3:$H$102,6,FALSE)&gt;=(VLOOKUP(VLOOKUP(BH$1,main!$A$3:$H$102,8,FALSE),main!$K$26:$M$29,2,FALSE)+VLOOKUP(VLOOKUP(BH$1,main!$A$3:$H$102,7,FALSE),main!$K$19:$O$22,MATCH(VLOOKUP($A32,main!$A$3:$H$102,8,FALSE),main!$K$18:$O$18,0))))),1,0)</f>
        <v>0</v>
      </c>
      <c r="BI32">
        <f>IF((AND(VLOOKUP(BI$1,main!$A$3:$H$102,5,FALSE)-VLOOKUP($A32,main!$A$3:$H$102,6,FALSE)&gt;=(VLOOKUP(VLOOKUP(BI$1,main!$A$3:$H$102,8,FALSE),main!$K$26:$M$29,2,FALSE)+VLOOKUP(VLOOKUP(BI$1,main!$A$3:$H$102,7,FALSE),main!$K$19:$O$22,MATCH(VLOOKUP($A32,main!$A$3:$H$102,8,FALSE),main!$K$18:$O$18,0))))),1,0)</f>
        <v>0</v>
      </c>
      <c r="BJ32">
        <f>IF((AND(VLOOKUP(BJ$1,main!$A$3:$H$102,5,FALSE)-VLOOKUP($A32,main!$A$3:$H$102,6,FALSE)&gt;=(VLOOKUP(VLOOKUP(BJ$1,main!$A$3:$H$102,8,FALSE),main!$K$26:$M$29,2,FALSE)+VLOOKUP(VLOOKUP(BJ$1,main!$A$3:$H$102,7,FALSE),main!$K$19:$O$22,MATCH(VLOOKUP($A32,main!$A$3:$H$102,8,FALSE),main!$K$18:$O$18,0))))),1,0)</f>
        <v>0</v>
      </c>
      <c r="BK32">
        <f>IF((AND(VLOOKUP(BK$1,main!$A$3:$H$102,5,FALSE)-VLOOKUP($A32,main!$A$3:$H$102,6,FALSE)&gt;=(VLOOKUP(VLOOKUP(BK$1,main!$A$3:$H$102,8,FALSE),main!$K$26:$M$29,2,FALSE)+VLOOKUP(VLOOKUP(BK$1,main!$A$3:$H$102,7,FALSE),main!$K$19:$O$22,MATCH(VLOOKUP($A32,main!$A$3:$H$102,8,FALSE),main!$K$18:$O$18,0))))),1,0)</f>
        <v>0</v>
      </c>
      <c r="BL32">
        <f>IF((AND(VLOOKUP(BL$1,main!$A$3:$H$102,5,FALSE)-VLOOKUP($A32,main!$A$3:$H$102,6,FALSE)&gt;=(VLOOKUP(VLOOKUP(BL$1,main!$A$3:$H$102,8,FALSE),main!$K$26:$M$29,2,FALSE)+VLOOKUP(VLOOKUP(BL$1,main!$A$3:$H$102,7,FALSE),main!$K$19:$O$22,MATCH(VLOOKUP($A32,main!$A$3:$H$102,8,FALSE),main!$K$18:$O$18,0))))),1,0)</f>
        <v>0</v>
      </c>
      <c r="BM32">
        <f>IF((AND(VLOOKUP(BM$1,main!$A$3:$H$102,5,FALSE)-VLOOKUP($A32,main!$A$3:$H$102,6,FALSE)&gt;=(VLOOKUP(VLOOKUP(BM$1,main!$A$3:$H$102,8,FALSE),main!$K$26:$M$29,2,FALSE)+VLOOKUP(VLOOKUP(BM$1,main!$A$3:$H$102,7,FALSE),main!$K$19:$O$22,MATCH(VLOOKUP($A32,main!$A$3:$H$102,8,FALSE),main!$K$18:$O$18,0))))),1,0)</f>
        <v>0</v>
      </c>
      <c r="BN32">
        <f>IF((AND(VLOOKUP(BN$1,main!$A$3:$H$102,5,FALSE)-VLOOKUP($A32,main!$A$3:$H$102,6,FALSE)&gt;=(VLOOKUP(VLOOKUP(BN$1,main!$A$3:$H$102,8,FALSE),main!$K$26:$M$29,2,FALSE)+VLOOKUP(VLOOKUP(BN$1,main!$A$3:$H$102,7,FALSE),main!$K$19:$O$22,MATCH(VLOOKUP($A32,main!$A$3:$H$102,8,FALSE),main!$K$18:$O$18,0))))),1,0)</f>
        <v>0</v>
      </c>
      <c r="BO32">
        <f>IF((AND(VLOOKUP(BO$1,main!$A$3:$H$102,5,FALSE)-VLOOKUP($A32,main!$A$3:$H$102,6,FALSE)&gt;=(VLOOKUP(VLOOKUP(BO$1,main!$A$3:$H$102,8,FALSE),main!$K$26:$M$29,2,FALSE)+VLOOKUP(VLOOKUP(BO$1,main!$A$3:$H$102,7,FALSE),main!$K$19:$O$22,MATCH(VLOOKUP($A32,main!$A$3:$H$102,8,FALSE),main!$K$18:$O$18,0))))),1,0)</f>
        <v>0</v>
      </c>
      <c r="BP32">
        <f>IF((AND(VLOOKUP(BP$1,main!$A$3:$H$102,5,FALSE)-VLOOKUP($A32,main!$A$3:$H$102,6,FALSE)&gt;=(VLOOKUP(VLOOKUP(BP$1,main!$A$3:$H$102,8,FALSE),main!$K$26:$M$29,2,FALSE)+VLOOKUP(VLOOKUP(BP$1,main!$A$3:$H$102,7,FALSE),main!$K$19:$O$22,MATCH(VLOOKUP($A32,main!$A$3:$H$102,8,FALSE),main!$K$18:$O$18,0))))),1,0)</f>
        <v>0</v>
      </c>
      <c r="BQ32">
        <f>IF((AND(VLOOKUP(BQ$1,main!$A$3:$H$102,5,FALSE)-VLOOKUP($A32,main!$A$3:$H$102,6,FALSE)&gt;=(VLOOKUP(VLOOKUP(BQ$1,main!$A$3:$H$102,8,FALSE),main!$K$26:$M$29,2,FALSE)+VLOOKUP(VLOOKUP(BQ$1,main!$A$3:$H$102,7,FALSE),main!$K$19:$O$22,MATCH(VLOOKUP($A32,main!$A$3:$H$102,8,FALSE),main!$K$18:$O$18,0))))),1,0)</f>
        <v>0</v>
      </c>
      <c r="BR32">
        <f>IF((AND(VLOOKUP(BR$1,main!$A$3:$H$102,5,FALSE)-VLOOKUP($A32,main!$A$3:$H$102,6,FALSE)&gt;=(VLOOKUP(VLOOKUP(BR$1,main!$A$3:$H$102,8,FALSE),main!$K$26:$M$29,2,FALSE)+VLOOKUP(VLOOKUP(BR$1,main!$A$3:$H$102,7,FALSE),main!$K$19:$O$22,MATCH(VLOOKUP($A32,main!$A$3:$H$102,8,FALSE),main!$K$18:$O$18,0))))),1,0)</f>
        <v>0</v>
      </c>
      <c r="BS32">
        <f>IF((AND(VLOOKUP(BS$1,main!$A$3:$H$102,5,FALSE)-VLOOKUP($A32,main!$A$3:$H$102,6,FALSE)&gt;=(VLOOKUP(VLOOKUP(BS$1,main!$A$3:$H$102,8,FALSE),main!$K$26:$M$29,2,FALSE)+VLOOKUP(VLOOKUP(BS$1,main!$A$3:$H$102,7,FALSE),main!$K$19:$O$22,MATCH(VLOOKUP($A32,main!$A$3:$H$102,8,FALSE),main!$K$18:$O$18,0))))),1,0)</f>
        <v>0</v>
      </c>
      <c r="BT32">
        <f>IF((AND(VLOOKUP(BT$1,main!$A$3:$H$102,5,FALSE)-VLOOKUP($A32,main!$A$3:$H$102,6,FALSE)&gt;=(VLOOKUP(VLOOKUP(BT$1,main!$A$3:$H$102,8,FALSE),main!$K$26:$M$29,2,FALSE)+VLOOKUP(VLOOKUP(BT$1,main!$A$3:$H$102,7,FALSE),main!$K$19:$O$22,MATCH(VLOOKUP($A32,main!$A$3:$H$102,8,FALSE),main!$K$18:$O$18,0))))),1,0)</f>
        <v>0</v>
      </c>
      <c r="BU32">
        <f>IF((AND(VLOOKUP(BU$1,main!$A$3:$H$102,5,FALSE)-VLOOKUP($A32,main!$A$3:$H$102,6,FALSE)&gt;=(VLOOKUP(VLOOKUP(BU$1,main!$A$3:$H$102,8,FALSE),main!$K$26:$M$29,2,FALSE)+VLOOKUP(VLOOKUP(BU$1,main!$A$3:$H$102,7,FALSE),main!$K$19:$O$22,MATCH(VLOOKUP($A32,main!$A$3:$H$102,8,FALSE),main!$K$18:$O$18,0))))),1,0)</f>
        <v>0</v>
      </c>
      <c r="BV32">
        <f>IF((AND(VLOOKUP(BV$1,main!$A$3:$H$102,5,FALSE)-VLOOKUP($A32,main!$A$3:$H$102,6,FALSE)&gt;=(VLOOKUP(VLOOKUP(BV$1,main!$A$3:$H$102,8,FALSE),main!$K$26:$M$29,2,FALSE)+VLOOKUP(VLOOKUP(BV$1,main!$A$3:$H$102,7,FALSE),main!$K$19:$O$22,MATCH(VLOOKUP($A32,main!$A$3:$H$102,8,FALSE),main!$K$18:$O$18,0))))),1,0)</f>
        <v>0</v>
      </c>
      <c r="BW32">
        <f>IF((AND(VLOOKUP(BW$1,main!$A$3:$H$102,5,FALSE)-VLOOKUP($A32,main!$A$3:$H$102,6,FALSE)&gt;=(VLOOKUP(VLOOKUP(BW$1,main!$A$3:$H$102,8,FALSE),main!$K$26:$M$29,2,FALSE)+VLOOKUP(VLOOKUP(BW$1,main!$A$3:$H$102,7,FALSE),main!$K$19:$O$22,MATCH(VLOOKUP($A32,main!$A$3:$H$102,8,FALSE),main!$K$18:$O$18,0))))),1,0)</f>
        <v>0</v>
      </c>
      <c r="BX32">
        <f>IF((AND(VLOOKUP(BX$1,main!$A$3:$H$102,5,FALSE)-VLOOKUP($A32,main!$A$3:$H$102,6,FALSE)&gt;=(VLOOKUP(VLOOKUP(BX$1,main!$A$3:$H$102,8,FALSE),main!$K$26:$M$29,2,FALSE)+VLOOKUP(VLOOKUP(BX$1,main!$A$3:$H$102,7,FALSE),main!$K$19:$O$22,MATCH(VLOOKUP($A32,main!$A$3:$H$102,8,FALSE),main!$K$18:$O$18,0))))),1,0)</f>
        <v>0</v>
      </c>
      <c r="BY32">
        <f>IF((AND(VLOOKUP(BY$1,main!$A$3:$H$102,5,FALSE)-VLOOKUP($A32,main!$A$3:$H$102,6,FALSE)&gt;=(VLOOKUP(VLOOKUP(BY$1,main!$A$3:$H$102,8,FALSE),main!$K$26:$M$29,2,FALSE)+VLOOKUP(VLOOKUP(BY$1,main!$A$3:$H$102,7,FALSE),main!$K$19:$O$22,MATCH(VLOOKUP($A32,main!$A$3:$H$102,8,FALSE),main!$K$18:$O$18,0))))),1,0)</f>
        <v>0</v>
      </c>
      <c r="BZ32">
        <f>IF((AND(VLOOKUP(BZ$1,main!$A$3:$H$102,5,FALSE)-VLOOKUP($A32,main!$A$3:$H$102,6,FALSE)&gt;=(VLOOKUP(VLOOKUP(BZ$1,main!$A$3:$H$102,8,FALSE),main!$K$26:$M$29,2,FALSE)+VLOOKUP(VLOOKUP(BZ$1,main!$A$3:$H$102,7,FALSE),main!$K$19:$O$22,MATCH(VLOOKUP($A32,main!$A$3:$H$102,8,FALSE),main!$K$18:$O$18,0))))),1,0)</f>
        <v>0</v>
      </c>
      <c r="CA32">
        <f>IF((AND(VLOOKUP(CA$1,main!$A$3:$H$102,5,FALSE)-VLOOKUP($A32,main!$A$3:$H$102,6,FALSE)&gt;=(VLOOKUP(VLOOKUP(CA$1,main!$A$3:$H$102,8,FALSE),main!$K$26:$M$29,2,FALSE)+VLOOKUP(VLOOKUP(CA$1,main!$A$3:$H$102,7,FALSE),main!$K$19:$O$22,MATCH(VLOOKUP($A32,main!$A$3:$H$102,8,FALSE),main!$K$18:$O$18,0))))),1,0)</f>
        <v>0</v>
      </c>
      <c r="CB32">
        <f>IF((AND(VLOOKUP(CB$1,main!$A$3:$H$102,5,FALSE)-VLOOKUP($A32,main!$A$3:$H$102,6,FALSE)&gt;=(VLOOKUP(VLOOKUP(CB$1,main!$A$3:$H$102,8,FALSE),main!$K$26:$M$29,2,FALSE)+VLOOKUP(VLOOKUP(CB$1,main!$A$3:$H$102,7,FALSE),main!$K$19:$O$22,MATCH(VLOOKUP($A32,main!$A$3:$H$102,8,FALSE),main!$K$18:$O$18,0))))),1,0)</f>
        <v>0</v>
      </c>
      <c r="CC32">
        <f>IF((AND(VLOOKUP(CC$1,main!$A$3:$H$102,5,FALSE)-VLOOKUP($A32,main!$A$3:$H$102,6,FALSE)&gt;=(VLOOKUP(VLOOKUP(CC$1,main!$A$3:$H$102,8,FALSE),main!$K$26:$M$29,2,FALSE)+VLOOKUP(VLOOKUP(CC$1,main!$A$3:$H$102,7,FALSE),main!$K$19:$O$22,MATCH(VLOOKUP($A32,main!$A$3:$H$102,8,FALSE),main!$K$18:$O$18,0))))),1,0)</f>
        <v>0</v>
      </c>
      <c r="CD32">
        <f>IF((AND(VLOOKUP(CD$1,main!$A$3:$H$102,5,FALSE)-VLOOKUP($A32,main!$A$3:$H$102,6,FALSE)&gt;=(VLOOKUP(VLOOKUP(CD$1,main!$A$3:$H$102,8,FALSE),main!$K$26:$M$29,2,FALSE)+VLOOKUP(VLOOKUP(CD$1,main!$A$3:$H$102,7,FALSE),main!$K$19:$O$22,MATCH(VLOOKUP($A32,main!$A$3:$H$102,8,FALSE),main!$K$18:$O$18,0))))),1,0)</f>
        <v>0</v>
      </c>
      <c r="CE32">
        <f>IF((AND(VLOOKUP(CE$1,main!$A$3:$H$102,5,FALSE)-VLOOKUP($A32,main!$A$3:$H$102,6,FALSE)&gt;=(VLOOKUP(VLOOKUP(CE$1,main!$A$3:$H$102,8,FALSE),main!$K$26:$M$29,2,FALSE)+VLOOKUP(VLOOKUP(CE$1,main!$A$3:$H$102,7,FALSE),main!$K$19:$O$22,MATCH(VLOOKUP($A32,main!$A$3:$H$102,8,FALSE),main!$K$18:$O$18,0))))),1,0)</f>
        <v>0</v>
      </c>
      <c r="CF32">
        <f>IF((AND(VLOOKUP(CF$1,main!$A$3:$H$102,5,FALSE)-VLOOKUP($A32,main!$A$3:$H$102,6,FALSE)&gt;=(VLOOKUP(VLOOKUP(CF$1,main!$A$3:$H$102,8,FALSE),main!$K$26:$M$29,2,FALSE)+VLOOKUP(VLOOKUP(CF$1,main!$A$3:$H$102,7,FALSE),main!$K$19:$O$22,MATCH(VLOOKUP($A32,main!$A$3:$H$102,8,FALSE),main!$K$18:$O$18,0))))),1,0)</f>
        <v>0</v>
      </c>
      <c r="CG32">
        <f>IF((AND(VLOOKUP(CG$1,main!$A$3:$H$102,5,FALSE)-VLOOKUP($A32,main!$A$3:$H$102,6,FALSE)&gt;=(VLOOKUP(VLOOKUP(CG$1,main!$A$3:$H$102,8,FALSE),main!$K$26:$M$29,2,FALSE)+VLOOKUP(VLOOKUP(CG$1,main!$A$3:$H$102,7,FALSE),main!$K$19:$O$22,MATCH(VLOOKUP($A32,main!$A$3:$H$102,8,FALSE),main!$K$18:$O$18,0))))),1,0)</f>
        <v>0</v>
      </c>
      <c r="CH32">
        <f>IF((AND(VLOOKUP(CH$1,main!$A$3:$H$102,5,FALSE)-VLOOKUP($A32,main!$A$3:$H$102,6,FALSE)&gt;=(VLOOKUP(VLOOKUP(CH$1,main!$A$3:$H$102,8,FALSE),main!$K$26:$M$29,2,FALSE)+VLOOKUP(VLOOKUP(CH$1,main!$A$3:$H$102,7,FALSE),main!$K$19:$O$22,MATCH(VLOOKUP($A32,main!$A$3:$H$102,8,FALSE),main!$K$18:$O$18,0))))),1,0)</f>
        <v>0</v>
      </c>
      <c r="CI32">
        <f>IF((AND(VLOOKUP(CI$1,main!$A$3:$H$102,5,FALSE)-VLOOKUP($A32,main!$A$3:$H$102,6,FALSE)&gt;=(VLOOKUP(VLOOKUP(CI$1,main!$A$3:$H$102,8,FALSE),main!$K$26:$M$29,2,FALSE)+VLOOKUP(VLOOKUP(CI$1,main!$A$3:$H$102,7,FALSE),main!$K$19:$O$22,MATCH(VLOOKUP($A32,main!$A$3:$H$102,8,FALSE),main!$K$18:$O$18,0))))),1,0)</f>
        <v>0</v>
      </c>
      <c r="CJ32">
        <f>IF((AND(VLOOKUP(CJ$1,main!$A$3:$H$102,5,FALSE)-VLOOKUP($A32,main!$A$3:$H$102,6,FALSE)&gt;=(VLOOKUP(VLOOKUP(CJ$1,main!$A$3:$H$102,8,FALSE),main!$K$26:$M$29,2,FALSE)+VLOOKUP(VLOOKUP(CJ$1,main!$A$3:$H$102,7,FALSE),main!$K$19:$O$22,MATCH(VLOOKUP($A32,main!$A$3:$H$102,8,FALSE),main!$K$18:$O$18,0))))),1,0)</f>
        <v>0</v>
      </c>
      <c r="CK32">
        <f>IF((AND(VLOOKUP(CK$1,main!$A$3:$H$102,5,FALSE)-VLOOKUP($A32,main!$A$3:$H$102,6,FALSE)&gt;=(VLOOKUP(VLOOKUP(CK$1,main!$A$3:$H$102,8,FALSE),main!$K$26:$M$29,2,FALSE)+VLOOKUP(VLOOKUP(CK$1,main!$A$3:$H$102,7,FALSE),main!$K$19:$O$22,MATCH(VLOOKUP($A32,main!$A$3:$H$102,8,FALSE),main!$K$18:$O$18,0))))),1,0)</f>
        <v>0</v>
      </c>
      <c r="CL32">
        <f>IF((AND(VLOOKUP(CL$1,main!$A$3:$H$102,5,FALSE)-VLOOKUP($A32,main!$A$3:$H$102,6,FALSE)&gt;=(VLOOKUP(VLOOKUP(CL$1,main!$A$3:$H$102,8,FALSE),main!$K$26:$M$29,2,FALSE)+VLOOKUP(VLOOKUP(CL$1,main!$A$3:$H$102,7,FALSE),main!$K$19:$O$22,MATCH(VLOOKUP($A32,main!$A$3:$H$102,8,FALSE),main!$K$18:$O$18,0))))),1,0)</f>
        <v>0</v>
      </c>
      <c r="CM32">
        <f>IF((AND(VLOOKUP(CM$1,main!$A$3:$H$102,5,FALSE)-VLOOKUP($A32,main!$A$3:$H$102,6,FALSE)&gt;=(VLOOKUP(VLOOKUP(CM$1,main!$A$3:$H$102,8,FALSE),main!$K$26:$M$29,2,FALSE)+VLOOKUP(VLOOKUP(CM$1,main!$A$3:$H$102,7,FALSE),main!$K$19:$O$22,MATCH(VLOOKUP($A32,main!$A$3:$H$102,8,FALSE),main!$K$18:$O$18,0))))),1,0)</f>
        <v>0</v>
      </c>
      <c r="CN32">
        <f>IF((AND(VLOOKUP(CN$1,main!$A$3:$H$102,5,FALSE)-VLOOKUP($A32,main!$A$3:$H$102,6,FALSE)&gt;=(VLOOKUP(VLOOKUP(CN$1,main!$A$3:$H$102,8,FALSE),main!$K$26:$M$29,2,FALSE)+VLOOKUP(VLOOKUP(CN$1,main!$A$3:$H$102,7,FALSE),main!$K$19:$O$22,MATCH(VLOOKUP($A32,main!$A$3:$H$102,8,FALSE),main!$K$18:$O$18,0))))),1,0)</f>
        <v>0</v>
      </c>
      <c r="CO32">
        <f>IF((AND(VLOOKUP(CO$1,main!$A$3:$H$102,5,FALSE)-VLOOKUP($A32,main!$A$3:$H$102,6,FALSE)&gt;=(VLOOKUP(VLOOKUP(CO$1,main!$A$3:$H$102,8,FALSE),main!$K$26:$M$29,2,FALSE)+VLOOKUP(VLOOKUP(CO$1,main!$A$3:$H$102,7,FALSE),main!$K$19:$O$22,MATCH(VLOOKUP($A32,main!$A$3:$H$102,8,FALSE),main!$K$18:$O$18,0))))),1,0)</f>
        <v>0</v>
      </c>
      <c r="CP32">
        <f>IF((AND(VLOOKUP(CP$1,main!$A$3:$H$102,5,FALSE)-VLOOKUP($A32,main!$A$3:$H$102,6,FALSE)&gt;=(VLOOKUP(VLOOKUP(CP$1,main!$A$3:$H$102,8,FALSE),main!$K$26:$M$29,2,FALSE)+VLOOKUP(VLOOKUP(CP$1,main!$A$3:$H$102,7,FALSE),main!$K$19:$O$22,MATCH(VLOOKUP($A32,main!$A$3:$H$102,8,FALSE),main!$K$18:$O$18,0))))),1,0)</f>
        <v>0</v>
      </c>
      <c r="CQ32">
        <f>IF((AND(VLOOKUP(CQ$1,main!$A$3:$H$102,5,FALSE)-VLOOKUP($A32,main!$A$3:$H$102,6,FALSE)&gt;=(VLOOKUP(VLOOKUP(CQ$1,main!$A$3:$H$102,8,FALSE),main!$K$26:$M$29,2,FALSE)+VLOOKUP(VLOOKUP(CQ$1,main!$A$3:$H$102,7,FALSE),main!$K$19:$O$22,MATCH(VLOOKUP($A32,main!$A$3:$H$102,8,FALSE),main!$K$18:$O$18,0))))),1,0)</f>
        <v>0</v>
      </c>
      <c r="CR32">
        <f>IF((AND(VLOOKUP(CR$1,main!$A$3:$H$102,5,FALSE)-VLOOKUP($A32,main!$A$3:$H$102,6,FALSE)&gt;=(VLOOKUP(VLOOKUP(CR$1,main!$A$3:$H$102,8,FALSE),main!$K$26:$M$29,2,FALSE)+VLOOKUP(VLOOKUP(CR$1,main!$A$3:$H$102,7,FALSE),main!$K$19:$O$22,MATCH(VLOOKUP($A32,main!$A$3:$H$102,8,FALSE),main!$K$18:$O$18,0))))),1,0)</f>
        <v>0</v>
      </c>
      <c r="CS32">
        <f>IF((AND(VLOOKUP(CS$1,main!$A$3:$H$102,5,FALSE)-VLOOKUP($A32,main!$A$3:$H$102,6,FALSE)&gt;=(VLOOKUP(VLOOKUP(CS$1,main!$A$3:$H$102,8,FALSE),main!$K$26:$M$29,2,FALSE)+VLOOKUP(VLOOKUP(CS$1,main!$A$3:$H$102,7,FALSE),main!$K$19:$O$22,MATCH(VLOOKUP($A32,main!$A$3:$H$102,8,FALSE),main!$K$18:$O$18,0))))),1,0)</f>
        <v>0</v>
      </c>
      <c r="CT32">
        <f>IF((AND(VLOOKUP(CT$1,main!$A$3:$H$102,5,FALSE)-VLOOKUP($A32,main!$A$3:$H$102,6,FALSE)&gt;=(VLOOKUP(VLOOKUP(CT$1,main!$A$3:$H$102,8,FALSE),main!$K$26:$M$29,2,FALSE)+VLOOKUP(VLOOKUP(CT$1,main!$A$3:$H$102,7,FALSE),main!$K$19:$O$22,MATCH(VLOOKUP($A32,main!$A$3:$H$102,8,FALSE),main!$K$18:$O$18,0))))),1,0)</f>
        <v>0</v>
      </c>
      <c r="CU32">
        <f>IF((AND(VLOOKUP(CU$1,main!$A$3:$H$102,5,FALSE)-VLOOKUP($A32,main!$A$3:$H$102,6,FALSE)&gt;=(VLOOKUP(VLOOKUP(CU$1,main!$A$3:$H$102,8,FALSE),main!$K$26:$M$29,2,FALSE)+VLOOKUP(VLOOKUP(CU$1,main!$A$3:$H$102,7,FALSE),main!$K$19:$O$22,MATCH(VLOOKUP($A32,main!$A$3:$H$102,8,FALSE),main!$K$18:$O$18,0))))),1,0)</f>
        <v>0</v>
      </c>
      <c r="CV32">
        <f>IF((AND(VLOOKUP(CV$1,main!$A$3:$H$102,5,FALSE)-VLOOKUP($A32,main!$A$3:$H$102,6,FALSE)&gt;=(VLOOKUP(VLOOKUP(CV$1,main!$A$3:$H$102,8,FALSE),main!$K$26:$M$29,2,FALSE)+VLOOKUP(VLOOKUP(CV$1,main!$A$3:$H$102,7,FALSE),main!$K$19:$O$22,MATCH(VLOOKUP($A32,main!$A$3:$H$102,8,FALSE),main!$K$18:$O$18,0))))),1,0)</f>
        <v>0</v>
      </c>
      <c r="CW32">
        <f>IF((AND(VLOOKUP(CW$1,main!$A$3:$H$102,5,FALSE)-VLOOKUP($A32,main!$A$3:$H$102,6,FALSE)&gt;=(VLOOKUP(VLOOKUP(CW$1,main!$A$3:$H$102,8,FALSE),main!$K$26:$M$29,2,FALSE)+VLOOKUP(VLOOKUP(CW$1,main!$A$3:$H$102,7,FALSE),main!$K$19:$O$22,MATCH(VLOOKUP($A32,main!$A$3:$H$102,8,FALSE),main!$K$18:$O$18,0))))),1,0)</f>
        <v>0</v>
      </c>
      <c r="CX32">
        <f>IF((AND(VLOOKUP(CX$1,main!$A$3:$H$102,5,FALSE)-VLOOKUP($A32,main!$A$3:$H$102,6,FALSE)&gt;=(VLOOKUP(VLOOKUP(CX$1,main!$A$3:$H$102,8,FALSE),main!$K$26:$M$29,2,FALSE)+VLOOKUP(VLOOKUP(CX$1,main!$A$3:$H$102,7,FALSE),main!$K$19:$O$22,MATCH(VLOOKUP($A32,main!$A$3:$H$102,8,FALSE),main!$K$18:$O$18,0))))),1,0)</f>
        <v>0</v>
      </c>
    </row>
    <row r="33" spans="1:102" x14ac:dyDescent="0.25">
      <c r="A33" s="1">
        <v>31</v>
      </c>
      <c r="B33">
        <v>1</v>
      </c>
      <c r="C33">
        <f>IF((AND(VLOOKUP(C$1,main!$A$3:$H$102,5,FALSE)-VLOOKUP($A33,main!$A$3:$H$102,6,FALSE)&gt;=(VLOOKUP(VLOOKUP(C$1,main!$A$3:$H$102,8,FALSE),main!$K$26:$M$29,2,FALSE)+VLOOKUP(VLOOKUP(C$1,main!$A$3:$H$102,7,FALSE),main!$K$19:$O$22,MATCH(VLOOKUP($A33,main!$A$3:$H$102,8,FALSE),main!$K$18:$O$18,0))))),1,0)</f>
        <v>0</v>
      </c>
      <c r="D33">
        <f>IF((AND(VLOOKUP(D$1,main!$A$3:$H$102,5,FALSE)-VLOOKUP($A33,main!$A$3:$H$102,6,FALSE)&gt;=(VLOOKUP(VLOOKUP(D$1,main!$A$3:$H$102,8,FALSE),main!$K$26:$M$29,2,FALSE)+VLOOKUP(VLOOKUP(D$1,main!$A$3:$H$102,7,FALSE),main!$K$19:$O$22,MATCH(VLOOKUP($A33,main!$A$3:$H$102,8,FALSE),main!$K$18:$O$18,0))))),1,0)</f>
        <v>0</v>
      </c>
      <c r="E33">
        <f>IF((AND(VLOOKUP(E$1,main!$A$3:$H$102,5,FALSE)-VLOOKUP($A33,main!$A$3:$H$102,6,FALSE)&gt;=(VLOOKUP(VLOOKUP(E$1,main!$A$3:$H$102,8,FALSE),main!$K$26:$M$29,2,FALSE)+VLOOKUP(VLOOKUP(E$1,main!$A$3:$H$102,7,FALSE),main!$K$19:$O$22,MATCH(VLOOKUP($A33,main!$A$3:$H$102,8,FALSE),main!$K$18:$O$18,0))))),1,0)</f>
        <v>1</v>
      </c>
      <c r="F33">
        <f>IF((AND(VLOOKUP(F$1,main!$A$3:$H$102,5,FALSE)-VLOOKUP($A33,main!$A$3:$H$102,6,FALSE)&gt;=(VLOOKUP(VLOOKUP(F$1,main!$A$3:$H$102,8,FALSE),main!$K$26:$M$29,2,FALSE)+VLOOKUP(VLOOKUP(F$1,main!$A$3:$H$102,7,FALSE),main!$K$19:$O$22,MATCH(VLOOKUP($A33,main!$A$3:$H$102,8,FALSE),main!$K$18:$O$18,0))))),1,0)</f>
        <v>1</v>
      </c>
      <c r="G33">
        <f>IF((AND(VLOOKUP(G$1,main!$A$3:$H$102,5,FALSE)-VLOOKUP($A33,main!$A$3:$H$102,6,FALSE)&gt;=(VLOOKUP(VLOOKUP(G$1,main!$A$3:$H$102,8,FALSE),main!$K$26:$M$29,2,FALSE)+VLOOKUP(VLOOKUP(G$1,main!$A$3:$H$102,7,FALSE),main!$K$19:$O$22,MATCH(VLOOKUP($A33,main!$A$3:$H$102,8,FALSE),main!$K$18:$O$18,0))))),1,0)</f>
        <v>1</v>
      </c>
      <c r="H33">
        <f>IF((AND(VLOOKUP(H$1,main!$A$3:$H$102,5,FALSE)-VLOOKUP($A33,main!$A$3:$H$102,6,FALSE)&gt;=(VLOOKUP(VLOOKUP(H$1,main!$A$3:$H$102,8,FALSE),main!$K$26:$M$29,2,FALSE)+VLOOKUP(VLOOKUP(H$1,main!$A$3:$H$102,7,FALSE),main!$K$19:$O$22,MATCH(VLOOKUP($A33,main!$A$3:$H$102,8,FALSE),main!$K$18:$O$18,0))))),1,0)</f>
        <v>1</v>
      </c>
      <c r="I33">
        <f>IF((AND(VLOOKUP(I$1,main!$A$3:$H$102,5,FALSE)-VLOOKUP($A33,main!$A$3:$H$102,6,FALSE)&gt;=(VLOOKUP(VLOOKUP(I$1,main!$A$3:$H$102,8,FALSE),main!$K$26:$M$29,2,FALSE)+VLOOKUP(VLOOKUP(I$1,main!$A$3:$H$102,7,FALSE),main!$K$19:$O$22,MATCH(VLOOKUP($A33,main!$A$3:$H$102,8,FALSE),main!$K$18:$O$18,0))))),1,0)</f>
        <v>1</v>
      </c>
      <c r="J33">
        <f>IF((AND(VLOOKUP(J$1,main!$A$3:$H$102,5,FALSE)-VLOOKUP($A33,main!$A$3:$H$102,6,FALSE)&gt;=(VLOOKUP(VLOOKUP(J$1,main!$A$3:$H$102,8,FALSE),main!$K$26:$M$29,2,FALSE)+VLOOKUP(VLOOKUP(J$1,main!$A$3:$H$102,7,FALSE),main!$K$19:$O$22,MATCH(VLOOKUP($A33,main!$A$3:$H$102,8,FALSE),main!$K$18:$O$18,0))))),1,0)</f>
        <v>1</v>
      </c>
      <c r="K33">
        <f>IF((AND(VLOOKUP(K$1,main!$A$3:$H$102,5,FALSE)-VLOOKUP($A33,main!$A$3:$H$102,6,FALSE)&gt;=(VLOOKUP(VLOOKUP(K$1,main!$A$3:$H$102,8,FALSE),main!$K$26:$M$29,2,FALSE)+VLOOKUP(VLOOKUP(K$1,main!$A$3:$H$102,7,FALSE),main!$K$19:$O$22,MATCH(VLOOKUP($A33,main!$A$3:$H$102,8,FALSE),main!$K$18:$O$18,0))))),1,0)</f>
        <v>1</v>
      </c>
      <c r="L33">
        <f>IF((AND(VLOOKUP(L$1,main!$A$3:$H$102,5,FALSE)-VLOOKUP($A33,main!$A$3:$H$102,6,FALSE)&gt;=(VLOOKUP(VLOOKUP(L$1,main!$A$3:$H$102,8,FALSE),main!$K$26:$M$29,2,FALSE)+VLOOKUP(VLOOKUP(L$1,main!$A$3:$H$102,7,FALSE),main!$K$19:$O$22,MATCH(VLOOKUP($A33,main!$A$3:$H$102,8,FALSE),main!$K$18:$O$18,0))))),1,0)</f>
        <v>1</v>
      </c>
      <c r="M33">
        <f>IF((AND(VLOOKUP(M$1,main!$A$3:$H$102,5,FALSE)-VLOOKUP($A33,main!$A$3:$H$102,6,FALSE)&gt;=(VLOOKUP(VLOOKUP(M$1,main!$A$3:$H$102,8,FALSE),main!$K$26:$M$29,2,FALSE)+VLOOKUP(VLOOKUP(M$1,main!$A$3:$H$102,7,FALSE),main!$K$19:$O$22,MATCH(VLOOKUP($A33,main!$A$3:$H$102,8,FALSE),main!$K$18:$O$18,0))))),1,0)</f>
        <v>0</v>
      </c>
      <c r="N33">
        <f>IF((AND(VLOOKUP(N$1,main!$A$3:$H$102,5,FALSE)-VLOOKUP($A33,main!$A$3:$H$102,6,FALSE)&gt;=(VLOOKUP(VLOOKUP(N$1,main!$A$3:$H$102,8,FALSE),main!$K$26:$M$29,2,FALSE)+VLOOKUP(VLOOKUP(N$1,main!$A$3:$H$102,7,FALSE),main!$K$19:$O$22,MATCH(VLOOKUP($A33,main!$A$3:$H$102,8,FALSE),main!$K$18:$O$18,0))))),1,0)</f>
        <v>0</v>
      </c>
      <c r="O33">
        <f>IF((AND(VLOOKUP(O$1,main!$A$3:$H$102,5,FALSE)-VLOOKUP($A33,main!$A$3:$H$102,6,FALSE)&gt;=(VLOOKUP(VLOOKUP(O$1,main!$A$3:$H$102,8,FALSE),main!$K$26:$M$29,2,FALSE)+VLOOKUP(VLOOKUP(O$1,main!$A$3:$H$102,7,FALSE),main!$K$19:$O$22,MATCH(VLOOKUP($A33,main!$A$3:$H$102,8,FALSE),main!$K$18:$O$18,0))))),1,0)</f>
        <v>0</v>
      </c>
      <c r="P33">
        <f>IF((AND(VLOOKUP(P$1,main!$A$3:$H$102,5,FALSE)-VLOOKUP($A33,main!$A$3:$H$102,6,FALSE)&gt;=(VLOOKUP(VLOOKUP(P$1,main!$A$3:$H$102,8,FALSE),main!$K$26:$M$29,2,FALSE)+VLOOKUP(VLOOKUP(P$1,main!$A$3:$H$102,7,FALSE),main!$K$19:$O$22,MATCH(VLOOKUP($A33,main!$A$3:$H$102,8,FALSE),main!$K$18:$O$18,0))))),1,0)</f>
        <v>0</v>
      </c>
      <c r="Q33">
        <f>IF((AND(VLOOKUP(Q$1,main!$A$3:$H$102,5,FALSE)-VLOOKUP($A33,main!$A$3:$H$102,6,FALSE)&gt;=(VLOOKUP(VLOOKUP(Q$1,main!$A$3:$H$102,8,FALSE),main!$K$26:$M$29,2,FALSE)+VLOOKUP(VLOOKUP(Q$1,main!$A$3:$H$102,7,FALSE),main!$K$19:$O$22,MATCH(VLOOKUP($A33,main!$A$3:$H$102,8,FALSE),main!$K$18:$O$18,0))))),1,0)</f>
        <v>1</v>
      </c>
      <c r="R33">
        <f>IF((AND(VLOOKUP(R$1,main!$A$3:$H$102,5,FALSE)-VLOOKUP($A33,main!$A$3:$H$102,6,FALSE)&gt;=(VLOOKUP(VLOOKUP(R$1,main!$A$3:$H$102,8,FALSE),main!$K$26:$M$29,2,FALSE)+VLOOKUP(VLOOKUP(R$1,main!$A$3:$H$102,7,FALSE),main!$K$19:$O$22,MATCH(VLOOKUP($A33,main!$A$3:$H$102,8,FALSE),main!$K$18:$O$18,0))))),1,0)</f>
        <v>1</v>
      </c>
      <c r="S33">
        <f>IF((AND(VLOOKUP(S$1,main!$A$3:$H$102,5,FALSE)-VLOOKUP($A33,main!$A$3:$H$102,6,FALSE)&gt;=(VLOOKUP(VLOOKUP(S$1,main!$A$3:$H$102,8,FALSE),main!$K$26:$M$29,2,FALSE)+VLOOKUP(VLOOKUP(S$1,main!$A$3:$H$102,7,FALSE),main!$K$19:$O$22,MATCH(VLOOKUP($A33,main!$A$3:$H$102,8,FALSE),main!$K$18:$O$18,0))))),1,0)</f>
        <v>1</v>
      </c>
      <c r="T33">
        <f>IF((AND(VLOOKUP(T$1,main!$A$3:$H$102,5,FALSE)-VLOOKUP($A33,main!$A$3:$H$102,6,FALSE)&gt;=(VLOOKUP(VLOOKUP(T$1,main!$A$3:$H$102,8,FALSE),main!$K$26:$M$29,2,FALSE)+VLOOKUP(VLOOKUP(T$1,main!$A$3:$H$102,7,FALSE),main!$K$19:$O$22,MATCH(VLOOKUP($A33,main!$A$3:$H$102,8,FALSE),main!$K$18:$O$18,0))))),1,0)</f>
        <v>1</v>
      </c>
      <c r="U33">
        <f>IF((AND(VLOOKUP(U$1,main!$A$3:$H$102,5,FALSE)-VLOOKUP($A33,main!$A$3:$H$102,6,FALSE)&gt;=(VLOOKUP(VLOOKUP(U$1,main!$A$3:$H$102,8,FALSE),main!$K$26:$M$29,2,FALSE)+VLOOKUP(VLOOKUP(U$1,main!$A$3:$H$102,7,FALSE),main!$K$19:$O$22,MATCH(VLOOKUP($A33,main!$A$3:$H$102,8,FALSE),main!$K$18:$O$18,0))))),1,0)</f>
        <v>1</v>
      </c>
      <c r="V33">
        <f>IF((AND(VLOOKUP(V$1,main!$A$3:$H$102,5,FALSE)-VLOOKUP($A33,main!$A$3:$H$102,6,FALSE)&gt;=(VLOOKUP(VLOOKUP(V$1,main!$A$3:$H$102,8,FALSE),main!$K$26:$M$29,2,FALSE)+VLOOKUP(VLOOKUP(V$1,main!$A$3:$H$102,7,FALSE),main!$K$19:$O$22,MATCH(VLOOKUP($A33,main!$A$3:$H$102,8,FALSE),main!$K$18:$O$18,0))))),1,0)</f>
        <v>1</v>
      </c>
      <c r="W33">
        <f>IF((AND(VLOOKUP(W$1,main!$A$3:$H$102,5,FALSE)-VLOOKUP($A33,main!$A$3:$H$102,6,FALSE)&gt;=(VLOOKUP(VLOOKUP(W$1,main!$A$3:$H$102,8,FALSE),main!$K$26:$M$29,2,FALSE)+VLOOKUP(VLOOKUP(W$1,main!$A$3:$H$102,7,FALSE),main!$K$19:$O$22,MATCH(VLOOKUP($A33,main!$A$3:$H$102,8,FALSE),main!$K$18:$O$18,0))))),1,0)</f>
        <v>0</v>
      </c>
      <c r="X33">
        <f>IF((AND(VLOOKUP(X$1,main!$A$3:$H$102,5,FALSE)-VLOOKUP($A33,main!$A$3:$H$102,6,FALSE)&gt;=(VLOOKUP(VLOOKUP(X$1,main!$A$3:$H$102,8,FALSE),main!$K$26:$M$29,2,FALSE)+VLOOKUP(VLOOKUP(X$1,main!$A$3:$H$102,7,FALSE),main!$K$19:$O$22,MATCH(VLOOKUP($A33,main!$A$3:$H$102,8,FALSE),main!$K$18:$O$18,0))))),1,0)</f>
        <v>0</v>
      </c>
      <c r="Y33">
        <f>IF((AND(VLOOKUP(Y$1,main!$A$3:$H$102,5,FALSE)-VLOOKUP($A33,main!$A$3:$H$102,6,FALSE)&gt;=(VLOOKUP(VLOOKUP(Y$1,main!$A$3:$H$102,8,FALSE),main!$K$26:$M$29,2,FALSE)+VLOOKUP(VLOOKUP(Y$1,main!$A$3:$H$102,7,FALSE),main!$K$19:$O$22,MATCH(VLOOKUP($A33,main!$A$3:$H$102,8,FALSE),main!$K$18:$O$18,0))))),1,0)</f>
        <v>1</v>
      </c>
      <c r="Z33">
        <f>IF((AND(VLOOKUP(Z$1,main!$A$3:$H$102,5,FALSE)-VLOOKUP($A33,main!$A$3:$H$102,6,FALSE)&gt;=(VLOOKUP(VLOOKUP(Z$1,main!$A$3:$H$102,8,FALSE),main!$K$26:$M$29,2,FALSE)+VLOOKUP(VLOOKUP(Z$1,main!$A$3:$H$102,7,FALSE),main!$K$19:$O$22,MATCH(VLOOKUP($A33,main!$A$3:$H$102,8,FALSE),main!$K$18:$O$18,0))))),1,0)</f>
        <v>1</v>
      </c>
      <c r="AA33">
        <f>IF((AND(VLOOKUP(AA$1,main!$A$3:$H$102,5,FALSE)-VLOOKUP($A33,main!$A$3:$H$102,6,FALSE)&gt;=(VLOOKUP(VLOOKUP(AA$1,main!$A$3:$H$102,8,FALSE),main!$K$26:$M$29,2,FALSE)+VLOOKUP(VLOOKUP(AA$1,main!$A$3:$H$102,7,FALSE),main!$K$19:$O$22,MATCH(VLOOKUP($A33,main!$A$3:$H$102,8,FALSE),main!$K$18:$O$18,0))))),1,0)</f>
        <v>1</v>
      </c>
      <c r="AB33">
        <f>IF((AND(VLOOKUP(AB$1,main!$A$3:$H$102,5,FALSE)-VLOOKUP($A33,main!$A$3:$H$102,6,FALSE)&gt;=(VLOOKUP(VLOOKUP(AB$1,main!$A$3:$H$102,8,FALSE),main!$K$26:$M$29,2,FALSE)+VLOOKUP(VLOOKUP(AB$1,main!$A$3:$H$102,7,FALSE),main!$K$19:$O$22,MATCH(VLOOKUP($A33,main!$A$3:$H$102,8,FALSE),main!$K$18:$O$18,0))))),1,0)</f>
        <v>0</v>
      </c>
      <c r="AC33">
        <f>IF((AND(VLOOKUP(AC$1,main!$A$3:$H$102,5,FALSE)-VLOOKUP($A33,main!$A$3:$H$102,6,FALSE)&gt;=(VLOOKUP(VLOOKUP(AC$1,main!$A$3:$H$102,8,FALSE),main!$K$26:$M$29,2,FALSE)+VLOOKUP(VLOOKUP(AC$1,main!$A$3:$H$102,7,FALSE),main!$K$19:$O$22,MATCH(VLOOKUP($A33,main!$A$3:$H$102,8,FALSE),main!$K$18:$O$18,0))))),1,0)</f>
        <v>0</v>
      </c>
      <c r="AD33">
        <f>IF((AND(VLOOKUP(AD$1,main!$A$3:$H$102,5,FALSE)-VLOOKUP($A33,main!$A$3:$H$102,6,FALSE)&gt;=(VLOOKUP(VLOOKUP(AD$1,main!$A$3:$H$102,8,FALSE),main!$K$26:$M$29,2,FALSE)+VLOOKUP(VLOOKUP(AD$1,main!$A$3:$H$102,7,FALSE),main!$K$19:$O$22,MATCH(VLOOKUP($A33,main!$A$3:$H$102,8,FALSE),main!$K$18:$O$18,0))))),1,0)</f>
        <v>1</v>
      </c>
      <c r="AE33">
        <f>IF((AND(VLOOKUP(AE$1,main!$A$3:$H$102,5,FALSE)-VLOOKUP($A33,main!$A$3:$H$102,6,FALSE)&gt;=(VLOOKUP(VLOOKUP(AE$1,main!$A$3:$H$102,8,FALSE),main!$K$26:$M$29,2,FALSE)+VLOOKUP(VLOOKUP(AE$1,main!$A$3:$H$102,7,FALSE),main!$K$19:$O$22,MATCH(VLOOKUP($A33,main!$A$3:$H$102,8,FALSE),main!$K$18:$O$18,0))))),1,0)</f>
        <v>1</v>
      </c>
      <c r="AF33">
        <f>IF((AND(VLOOKUP(AF$1,main!$A$3:$H$102,5,FALSE)-VLOOKUP($A33,main!$A$3:$H$102,6,FALSE)&gt;=(VLOOKUP(VLOOKUP(AF$1,main!$A$3:$H$102,8,FALSE),main!$K$26:$M$29,2,FALSE)+VLOOKUP(VLOOKUP(AF$1,main!$A$3:$H$102,7,FALSE),main!$K$19:$O$22,MATCH(VLOOKUP($A33,main!$A$3:$H$102,8,FALSE),main!$K$18:$O$18,0))))),1,0)</f>
        <v>1</v>
      </c>
      <c r="AG33">
        <f>IF((AND(VLOOKUP(AG$1,main!$A$3:$H$102,5,FALSE)-VLOOKUP($A33,main!$A$3:$H$102,6,FALSE)&gt;=(VLOOKUP(VLOOKUP(AG$1,main!$A$3:$H$102,8,FALSE),main!$K$26:$M$29,2,FALSE)+VLOOKUP(VLOOKUP(AG$1,main!$A$3:$H$102,7,FALSE),main!$K$19:$O$22,MATCH(VLOOKUP($A33,main!$A$3:$H$102,8,FALSE),main!$K$18:$O$18,0))))),1,0)</f>
        <v>0</v>
      </c>
      <c r="AH33">
        <f>IF((AND(VLOOKUP(AH$1,main!$A$3:$H$102,5,FALSE)-VLOOKUP($A33,main!$A$3:$H$102,6,FALSE)&gt;=(VLOOKUP(VLOOKUP(AH$1,main!$A$3:$H$102,8,FALSE),main!$K$26:$M$29,2,FALSE)+VLOOKUP(VLOOKUP(AH$1,main!$A$3:$H$102,7,FALSE),main!$K$19:$O$22,MATCH(VLOOKUP($A33,main!$A$3:$H$102,8,FALSE),main!$K$18:$O$18,0))))),1,0)</f>
        <v>0</v>
      </c>
      <c r="AI33">
        <f>IF((AND(VLOOKUP(AI$1,main!$A$3:$H$102,5,FALSE)-VLOOKUP($A33,main!$A$3:$H$102,6,FALSE)&gt;=(VLOOKUP(VLOOKUP(AI$1,main!$A$3:$H$102,8,FALSE),main!$K$26:$M$29,2,FALSE)+VLOOKUP(VLOOKUP(AI$1,main!$A$3:$H$102,7,FALSE),main!$K$19:$O$22,MATCH(VLOOKUP($A33,main!$A$3:$H$102,8,FALSE),main!$K$18:$O$18,0))))),1,0)</f>
        <v>1</v>
      </c>
      <c r="AJ33">
        <f>IF((AND(VLOOKUP(AJ$1,main!$A$3:$H$102,5,FALSE)-VLOOKUP($A33,main!$A$3:$H$102,6,FALSE)&gt;=(VLOOKUP(VLOOKUP(AJ$1,main!$A$3:$H$102,8,FALSE),main!$K$26:$M$29,2,FALSE)+VLOOKUP(VLOOKUP(AJ$1,main!$A$3:$H$102,7,FALSE),main!$K$19:$O$22,MATCH(VLOOKUP($A33,main!$A$3:$H$102,8,FALSE),main!$K$18:$O$18,0))))),1,0)</f>
        <v>1</v>
      </c>
      <c r="AK33">
        <f>IF((AND(VLOOKUP(AK$1,main!$A$3:$H$102,5,FALSE)-VLOOKUP($A33,main!$A$3:$H$102,6,FALSE)&gt;=(VLOOKUP(VLOOKUP(AK$1,main!$A$3:$H$102,8,FALSE),main!$K$26:$M$29,2,FALSE)+VLOOKUP(VLOOKUP(AK$1,main!$A$3:$H$102,7,FALSE),main!$K$19:$O$22,MATCH(VLOOKUP($A33,main!$A$3:$H$102,8,FALSE),main!$K$18:$O$18,0))))),1,0)</f>
        <v>1</v>
      </c>
      <c r="AL33">
        <f>IF((AND(VLOOKUP(AL$1,main!$A$3:$H$102,5,FALSE)-VLOOKUP($A33,main!$A$3:$H$102,6,FALSE)&gt;=(VLOOKUP(VLOOKUP(AL$1,main!$A$3:$H$102,8,FALSE),main!$K$26:$M$29,2,FALSE)+VLOOKUP(VLOOKUP(AL$1,main!$A$3:$H$102,7,FALSE),main!$K$19:$O$22,MATCH(VLOOKUP($A33,main!$A$3:$H$102,8,FALSE),main!$K$18:$O$18,0))))),1,0)</f>
        <v>1</v>
      </c>
      <c r="AM33">
        <f>IF((AND(VLOOKUP(AM$1,main!$A$3:$H$102,5,FALSE)-VLOOKUP($A33,main!$A$3:$H$102,6,FALSE)&gt;=(VLOOKUP(VLOOKUP(AM$1,main!$A$3:$H$102,8,FALSE),main!$K$26:$M$29,2,FALSE)+VLOOKUP(VLOOKUP(AM$1,main!$A$3:$H$102,7,FALSE),main!$K$19:$O$22,MATCH(VLOOKUP($A33,main!$A$3:$H$102,8,FALSE),main!$K$18:$O$18,0))))),1,0)</f>
        <v>1</v>
      </c>
      <c r="AN33">
        <f>IF((AND(VLOOKUP(AN$1,main!$A$3:$H$102,5,FALSE)-VLOOKUP($A33,main!$A$3:$H$102,6,FALSE)&gt;=(VLOOKUP(VLOOKUP(AN$1,main!$A$3:$H$102,8,FALSE),main!$K$26:$M$29,2,FALSE)+VLOOKUP(VLOOKUP(AN$1,main!$A$3:$H$102,7,FALSE),main!$K$19:$O$22,MATCH(VLOOKUP($A33,main!$A$3:$H$102,8,FALSE),main!$K$18:$O$18,0))))),1,0)</f>
        <v>1</v>
      </c>
      <c r="AO33">
        <f>IF((AND(VLOOKUP(AO$1,main!$A$3:$H$102,5,FALSE)-VLOOKUP($A33,main!$A$3:$H$102,6,FALSE)&gt;=(VLOOKUP(VLOOKUP(AO$1,main!$A$3:$H$102,8,FALSE),main!$K$26:$M$29,2,FALSE)+VLOOKUP(VLOOKUP(AO$1,main!$A$3:$H$102,7,FALSE),main!$K$19:$O$22,MATCH(VLOOKUP($A33,main!$A$3:$H$102,8,FALSE),main!$K$18:$O$18,0))))),1,0)</f>
        <v>0</v>
      </c>
      <c r="AP33">
        <f>IF((AND(VLOOKUP(AP$1,main!$A$3:$H$102,5,FALSE)-VLOOKUP($A33,main!$A$3:$H$102,6,FALSE)&gt;=(VLOOKUP(VLOOKUP(AP$1,main!$A$3:$H$102,8,FALSE),main!$K$26:$M$29,2,FALSE)+VLOOKUP(VLOOKUP(AP$1,main!$A$3:$H$102,7,FALSE),main!$K$19:$O$22,MATCH(VLOOKUP($A33,main!$A$3:$H$102,8,FALSE),main!$K$18:$O$18,0))))),1,0)</f>
        <v>1</v>
      </c>
      <c r="AQ33">
        <f>IF((AND(VLOOKUP(AQ$1,main!$A$3:$H$102,5,FALSE)-VLOOKUP($A33,main!$A$3:$H$102,6,FALSE)&gt;=(VLOOKUP(VLOOKUP(AQ$1,main!$A$3:$H$102,8,FALSE),main!$K$26:$M$29,2,FALSE)+VLOOKUP(VLOOKUP(AQ$1,main!$A$3:$H$102,7,FALSE),main!$K$19:$O$22,MATCH(VLOOKUP($A33,main!$A$3:$H$102,8,FALSE),main!$K$18:$O$18,0))))),1,0)</f>
        <v>0</v>
      </c>
      <c r="AR33">
        <f>IF((AND(VLOOKUP(AR$1,main!$A$3:$H$102,5,FALSE)-VLOOKUP($A33,main!$A$3:$H$102,6,FALSE)&gt;=(VLOOKUP(VLOOKUP(AR$1,main!$A$3:$H$102,8,FALSE),main!$K$26:$M$29,2,FALSE)+VLOOKUP(VLOOKUP(AR$1,main!$A$3:$H$102,7,FALSE),main!$K$19:$O$22,MATCH(VLOOKUP($A33,main!$A$3:$H$102,8,FALSE),main!$K$18:$O$18,0))))),1,0)</f>
        <v>0</v>
      </c>
      <c r="AS33">
        <f>IF((AND(VLOOKUP(AS$1,main!$A$3:$H$102,5,FALSE)-VLOOKUP($A33,main!$A$3:$H$102,6,FALSE)&gt;=(VLOOKUP(VLOOKUP(AS$1,main!$A$3:$H$102,8,FALSE),main!$K$26:$M$29,2,FALSE)+VLOOKUP(VLOOKUP(AS$1,main!$A$3:$H$102,7,FALSE),main!$K$19:$O$22,MATCH(VLOOKUP($A33,main!$A$3:$H$102,8,FALSE),main!$K$18:$O$18,0))))),1,0)</f>
        <v>1</v>
      </c>
      <c r="AT33">
        <f>IF((AND(VLOOKUP(AT$1,main!$A$3:$H$102,5,FALSE)-VLOOKUP($A33,main!$A$3:$H$102,6,FALSE)&gt;=(VLOOKUP(VLOOKUP(AT$1,main!$A$3:$H$102,8,FALSE),main!$K$26:$M$29,2,FALSE)+VLOOKUP(VLOOKUP(AT$1,main!$A$3:$H$102,7,FALSE),main!$K$19:$O$22,MATCH(VLOOKUP($A33,main!$A$3:$H$102,8,FALSE),main!$K$18:$O$18,0))))),1,0)</f>
        <v>1</v>
      </c>
      <c r="AU33">
        <f>IF((AND(VLOOKUP(AU$1,main!$A$3:$H$102,5,FALSE)-VLOOKUP($A33,main!$A$3:$H$102,6,FALSE)&gt;=(VLOOKUP(VLOOKUP(AU$1,main!$A$3:$H$102,8,FALSE),main!$K$26:$M$29,2,FALSE)+VLOOKUP(VLOOKUP(AU$1,main!$A$3:$H$102,7,FALSE),main!$K$19:$O$22,MATCH(VLOOKUP($A33,main!$A$3:$H$102,8,FALSE),main!$K$18:$O$18,0))))),1,0)</f>
        <v>0</v>
      </c>
      <c r="AV33">
        <f>IF((AND(VLOOKUP(AV$1,main!$A$3:$H$102,5,FALSE)-VLOOKUP($A33,main!$A$3:$H$102,6,FALSE)&gt;=(VLOOKUP(VLOOKUP(AV$1,main!$A$3:$H$102,8,FALSE),main!$K$26:$M$29,2,FALSE)+VLOOKUP(VLOOKUP(AV$1,main!$A$3:$H$102,7,FALSE),main!$K$19:$O$22,MATCH(VLOOKUP($A33,main!$A$3:$H$102,8,FALSE),main!$K$18:$O$18,0))))),1,0)</f>
        <v>0</v>
      </c>
      <c r="AW33">
        <f>IF((AND(VLOOKUP(AW$1,main!$A$3:$H$102,5,FALSE)-VLOOKUP($A33,main!$A$3:$H$102,6,FALSE)&gt;=(VLOOKUP(VLOOKUP(AW$1,main!$A$3:$H$102,8,FALSE),main!$K$26:$M$29,2,FALSE)+VLOOKUP(VLOOKUP(AW$1,main!$A$3:$H$102,7,FALSE),main!$K$19:$O$22,MATCH(VLOOKUP($A33,main!$A$3:$H$102,8,FALSE),main!$K$18:$O$18,0))))),1,0)</f>
        <v>1</v>
      </c>
      <c r="AX33">
        <f>IF((AND(VLOOKUP(AX$1,main!$A$3:$H$102,5,FALSE)-VLOOKUP($A33,main!$A$3:$H$102,6,FALSE)&gt;=(VLOOKUP(VLOOKUP(AX$1,main!$A$3:$H$102,8,FALSE),main!$K$26:$M$29,2,FALSE)+VLOOKUP(VLOOKUP(AX$1,main!$A$3:$H$102,7,FALSE),main!$K$19:$O$22,MATCH(VLOOKUP($A33,main!$A$3:$H$102,8,FALSE),main!$K$18:$O$18,0))))),1,0)</f>
        <v>1</v>
      </c>
      <c r="AY33">
        <f>IF((AND(VLOOKUP(AY$1,main!$A$3:$H$102,5,FALSE)-VLOOKUP($A33,main!$A$3:$H$102,6,FALSE)&gt;=(VLOOKUP(VLOOKUP(AY$1,main!$A$3:$H$102,8,FALSE),main!$K$26:$M$29,2,FALSE)+VLOOKUP(VLOOKUP(AY$1,main!$A$3:$H$102,7,FALSE),main!$K$19:$O$22,MATCH(VLOOKUP($A33,main!$A$3:$H$102,8,FALSE),main!$K$18:$O$18,0))))),1,0)</f>
        <v>0</v>
      </c>
      <c r="AZ33">
        <f>IF((AND(VLOOKUP(AZ$1,main!$A$3:$H$102,5,FALSE)-VLOOKUP($A33,main!$A$3:$H$102,6,FALSE)&gt;=(VLOOKUP(VLOOKUP(AZ$1,main!$A$3:$H$102,8,FALSE),main!$K$26:$M$29,2,FALSE)+VLOOKUP(VLOOKUP(AZ$1,main!$A$3:$H$102,7,FALSE),main!$K$19:$O$22,MATCH(VLOOKUP($A33,main!$A$3:$H$102,8,FALSE),main!$K$18:$O$18,0))))),1,0)</f>
        <v>1</v>
      </c>
      <c r="BA33">
        <f>IF((AND(VLOOKUP(BA$1,main!$A$3:$H$102,5,FALSE)-VLOOKUP($A33,main!$A$3:$H$102,6,FALSE)&gt;=(VLOOKUP(VLOOKUP(BA$1,main!$A$3:$H$102,8,FALSE),main!$K$26:$M$29,2,FALSE)+VLOOKUP(VLOOKUP(BA$1,main!$A$3:$H$102,7,FALSE),main!$K$19:$O$22,MATCH(VLOOKUP($A33,main!$A$3:$H$102,8,FALSE),main!$K$18:$O$18,0))))),1,0)</f>
        <v>0</v>
      </c>
      <c r="BB33">
        <f>IF((AND(VLOOKUP(BB$1,main!$A$3:$H$102,5,FALSE)-VLOOKUP($A33,main!$A$3:$H$102,6,FALSE)&gt;=(VLOOKUP(VLOOKUP(BB$1,main!$A$3:$H$102,8,FALSE),main!$K$26:$M$29,2,FALSE)+VLOOKUP(VLOOKUP(BB$1,main!$A$3:$H$102,7,FALSE),main!$K$19:$O$22,MATCH(VLOOKUP($A33,main!$A$3:$H$102,8,FALSE),main!$K$18:$O$18,0))))),1,0)</f>
        <v>1</v>
      </c>
      <c r="BC33">
        <f>IF((AND(VLOOKUP(BC$1,main!$A$3:$H$102,5,FALSE)-VLOOKUP($A33,main!$A$3:$H$102,6,FALSE)&gt;=(VLOOKUP(VLOOKUP(BC$1,main!$A$3:$H$102,8,FALSE),main!$K$26:$M$29,2,FALSE)+VLOOKUP(VLOOKUP(BC$1,main!$A$3:$H$102,7,FALSE),main!$K$19:$O$22,MATCH(VLOOKUP($A33,main!$A$3:$H$102,8,FALSE),main!$K$18:$O$18,0))))),1,0)</f>
        <v>1</v>
      </c>
      <c r="BD33">
        <f>IF((AND(VLOOKUP(BD$1,main!$A$3:$H$102,5,FALSE)-VLOOKUP($A33,main!$A$3:$H$102,6,FALSE)&gt;=(VLOOKUP(VLOOKUP(BD$1,main!$A$3:$H$102,8,FALSE),main!$K$26:$M$29,2,FALSE)+VLOOKUP(VLOOKUP(BD$1,main!$A$3:$H$102,7,FALSE),main!$K$19:$O$22,MATCH(VLOOKUP($A33,main!$A$3:$H$102,8,FALSE),main!$K$18:$O$18,0))))),1,0)</f>
        <v>1</v>
      </c>
      <c r="BE33">
        <f>IF((AND(VLOOKUP(BE$1,main!$A$3:$H$102,5,FALSE)-VLOOKUP($A33,main!$A$3:$H$102,6,FALSE)&gt;=(VLOOKUP(VLOOKUP(BE$1,main!$A$3:$H$102,8,FALSE),main!$K$26:$M$29,2,FALSE)+VLOOKUP(VLOOKUP(BE$1,main!$A$3:$H$102,7,FALSE),main!$K$19:$O$22,MATCH(VLOOKUP($A33,main!$A$3:$H$102,8,FALSE),main!$K$18:$O$18,0))))),1,0)</f>
        <v>1</v>
      </c>
      <c r="BF33">
        <f>IF((AND(VLOOKUP(BF$1,main!$A$3:$H$102,5,FALSE)-VLOOKUP($A33,main!$A$3:$H$102,6,FALSE)&gt;=(VLOOKUP(VLOOKUP(BF$1,main!$A$3:$H$102,8,FALSE),main!$K$26:$M$29,2,FALSE)+VLOOKUP(VLOOKUP(BF$1,main!$A$3:$H$102,7,FALSE),main!$K$19:$O$22,MATCH(VLOOKUP($A33,main!$A$3:$H$102,8,FALSE),main!$K$18:$O$18,0))))),1,0)</f>
        <v>0</v>
      </c>
      <c r="BG33">
        <f>IF((AND(VLOOKUP(BG$1,main!$A$3:$H$102,5,FALSE)-VLOOKUP($A33,main!$A$3:$H$102,6,FALSE)&gt;=(VLOOKUP(VLOOKUP(BG$1,main!$A$3:$H$102,8,FALSE),main!$K$26:$M$29,2,FALSE)+VLOOKUP(VLOOKUP(BG$1,main!$A$3:$H$102,7,FALSE),main!$K$19:$O$22,MATCH(VLOOKUP($A33,main!$A$3:$H$102,8,FALSE),main!$K$18:$O$18,0))))),1,0)</f>
        <v>0</v>
      </c>
      <c r="BH33">
        <f>IF((AND(VLOOKUP(BH$1,main!$A$3:$H$102,5,FALSE)-VLOOKUP($A33,main!$A$3:$H$102,6,FALSE)&gt;=(VLOOKUP(VLOOKUP(BH$1,main!$A$3:$H$102,8,FALSE),main!$K$26:$M$29,2,FALSE)+VLOOKUP(VLOOKUP(BH$1,main!$A$3:$H$102,7,FALSE),main!$K$19:$O$22,MATCH(VLOOKUP($A33,main!$A$3:$H$102,8,FALSE),main!$K$18:$O$18,0))))),1,0)</f>
        <v>1</v>
      </c>
      <c r="BI33">
        <f>IF((AND(VLOOKUP(BI$1,main!$A$3:$H$102,5,FALSE)-VLOOKUP($A33,main!$A$3:$H$102,6,FALSE)&gt;=(VLOOKUP(VLOOKUP(BI$1,main!$A$3:$H$102,8,FALSE),main!$K$26:$M$29,2,FALSE)+VLOOKUP(VLOOKUP(BI$1,main!$A$3:$H$102,7,FALSE),main!$K$19:$O$22,MATCH(VLOOKUP($A33,main!$A$3:$H$102,8,FALSE),main!$K$18:$O$18,0))))),1,0)</f>
        <v>1</v>
      </c>
      <c r="BJ33">
        <f>IF((AND(VLOOKUP(BJ$1,main!$A$3:$H$102,5,FALSE)-VLOOKUP($A33,main!$A$3:$H$102,6,FALSE)&gt;=(VLOOKUP(VLOOKUP(BJ$1,main!$A$3:$H$102,8,FALSE),main!$K$26:$M$29,2,FALSE)+VLOOKUP(VLOOKUP(BJ$1,main!$A$3:$H$102,7,FALSE),main!$K$19:$O$22,MATCH(VLOOKUP($A33,main!$A$3:$H$102,8,FALSE),main!$K$18:$O$18,0))))),1,0)</f>
        <v>1</v>
      </c>
      <c r="BK33">
        <f>IF((AND(VLOOKUP(BK$1,main!$A$3:$H$102,5,FALSE)-VLOOKUP($A33,main!$A$3:$H$102,6,FALSE)&gt;=(VLOOKUP(VLOOKUP(BK$1,main!$A$3:$H$102,8,FALSE),main!$K$26:$M$29,2,FALSE)+VLOOKUP(VLOOKUP(BK$1,main!$A$3:$H$102,7,FALSE),main!$K$19:$O$22,MATCH(VLOOKUP($A33,main!$A$3:$H$102,8,FALSE),main!$K$18:$O$18,0))))),1,0)</f>
        <v>0</v>
      </c>
      <c r="BL33">
        <f>IF((AND(VLOOKUP(BL$1,main!$A$3:$H$102,5,FALSE)-VLOOKUP($A33,main!$A$3:$H$102,6,FALSE)&gt;=(VLOOKUP(VLOOKUP(BL$1,main!$A$3:$H$102,8,FALSE),main!$K$26:$M$29,2,FALSE)+VLOOKUP(VLOOKUP(BL$1,main!$A$3:$H$102,7,FALSE),main!$K$19:$O$22,MATCH(VLOOKUP($A33,main!$A$3:$H$102,8,FALSE),main!$K$18:$O$18,0))))),1,0)</f>
        <v>0</v>
      </c>
      <c r="BM33">
        <f>IF((AND(VLOOKUP(BM$1,main!$A$3:$H$102,5,FALSE)-VLOOKUP($A33,main!$A$3:$H$102,6,FALSE)&gt;=(VLOOKUP(VLOOKUP(BM$1,main!$A$3:$H$102,8,FALSE),main!$K$26:$M$29,2,FALSE)+VLOOKUP(VLOOKUP(BM$1,main!$A$3:$H$102,7,FALSE),main!$K$19:$O$22,MATCH(VLOOKUP($A33,main!$A$3:$H$102,8,FALSE),main!$K$18:$O$18,0))))),1,0)</f>
        <v>0</v>
      </c>
      <c r="BN33">
        <f>IF((AND(VLOOKUP(BN$1,main!$A$3:$H$102,5,FALSE)-VLOOKUP($A33,main!$A$3:$H$102,6,FALSE)&gt;=(VLOOKUP(VLOOKUP(BN$1,main!$A$3:$H$102,8,FALSE),main!$K$26:$M$29,2,FALSE)+VLOOKUP(VLOOKUP(BN$1,main!$A$3:$H$102,7,FALSE),main!$K$19:$O$22,MATCH(VLOOKUP($A33,main!$A$3:$H$102,8,FALSE),main!$K$18:$O$18,0))))),1,0)</f>
        <v>1</v>
      </c>
      <c r="BO33">
        <f>IF((AND(VLOOKUP(BO$1,main!$A$3:$H$102,5,FALSE)-VLOOKUP($A33,main!$A$3:$H$102,6,FALSE)&gt;=(VLOOKUP(VLOOKUP(BO$1,main!$A$3:$H$102,8,FALSE),main!$K$26:$M$29,2,FALSE)+VLOOKUP(VLOOKUP(BO$1,main!$A$3:$H$102,7,FALSE),main!$K$19:$O$22,MATCH(VLOOKUP($A33,main!$A$3:$H$102,8,FALSE),main!$K$18:$O$18,0))))),1,0)</f>
        <v>0</v>
      </c>
      <c r="BP33">
        <f>IF((AND(VLOOKUP(BP$1,main!$A$3:$H$102,5,FALSE)-VLOOKUP($A33,main!$A$3:$H$102,6,FALSE)&gt;=(VLOOKUP(VLOOKUP(BP$1,main!$A$3:$H$102,8,FALSE),main!$K$26:$M$29,2,FALSE)+VLOOKUP(VLOOKUP(BP$1,main!$A$3:$H$102,7,FALSE),main!$K$19:$O$22,MATCH(VLOOKUP($A33,main!$A$3:$H$102,8,FALSE),main!$K$18:$O$18,0))))),1,0)</f>
        <v>0</v>
      </c>
      <c r="BQ33">
        <f>IF((AND(VLOOKUP(BQ$1,main!$A$3:$H$102,5,FALSE)-VLOOKUP($A33,main!$A$3:$H$102,6,FALSE)&gt;=(VLOOKUP(VLOOKUP(BQ$1,main!$A$3:$H$102,8,FALSE),main!$K$26:$M$29,2,FALSE)+VLOOKUP(VLOOKUP(BQ$1,main!$A$3:$H$102,7,FALSE),main!$K$19:$O$22,MATCH(VLOOKUP($A33,main!$A$3:$H$102,8,FALSE),main!$K$18:$O$18,0))))),1,0)</f>
        <v>1</v>
      </c>
      <c r="BR33">
        <f>IF((AND(VLOOKUP(BR$1,main!$A$3:$H$102,5,FALSE)-VLOOKUP($A33,main!$A$3:$H$102,6,FALSE)&gt;=(VLOOKUP(VLOOKUP(BR$1,main!$A$3:$H$102,8,FALSE),main!$K$26:$M$29,2,FALSE)+VLOOKUP(VLOOKUP(BR$1,main!$A$3:$H$102,7,FALSE),main!$K$19:$O$22,MATCH(VLOOKUP($A33,main!$A$3:$H$102,8,FALSE),main!$K$18:$O$18,0))))),1,0)</f>
        <v>1</v>
      </c>
      <c r="BS33">
        <f>IF((AND(VLOOKUP(BS$1,main!$A$3:$H$102,5,FALSE)-VLOOKUP($A33,main!$A$3:$H$102,6,FALSE)&gt;=(VLOOKUP(VLOOKUP(BS$1,main!$A$3:$H$102,8,FALSE),main!$K$26:$M$29,2,FALSE)+VLOOKUP(VLOOKUP(BS$1,main!$A$3:$H$102,7,FALSE),main!$K$19:$O$22,MATCH(VLOOKUP($A33,main!$A$3:$H$102,8,FALSE),main!$K$18:$O$18,0))))),1,0)</f>
        <v>1</v>
      </c>
      <c r="BT33">
        <f>IF((AND(VLOOKUP(BT$1,main!$A$3:$H$102,5,FALSE)-VLOOKUP($A33,main!$A$3:$H$102,6,FALSE)&gt;=(VLOOKUP(VLOOKUP(BT$1,main!$A$3:$H$102,8,FALSE),main!$K$26:$M$29,2,FALSE)+VLOOKUP(VLOOKUP(BT$1,main!$A$3:$H$102,7,FALSE),main!$K$19:$O$22,MATCH(VLOOKUP($A33,main!$A$3:$H$102,8,FALSE),main!$K$18:$O$18,0))))),1,0)</f>
        <v>1</v>
      </c>
      <c r="BU33">
        <f>IF((AND(VLOOKUP(BU$1,main!$A$3:$H$102,5,FALSE)-VLOOKUP($A33,main!$A$3:$H$102,6,FALSE)&gt;=(VLOOKUP(VLOOKUP(BU$1,main!$A$3:$H$102,8,FALSE),main!$K$26:$M$29,2,FALSE)+VLOOKUP(VLOOKUP(BU$1,main!$A$3:$H$102,7,FALSE),main!$K$19:$O$22,MATCH(VLOOKUP($A33,main!$A$3:$H$102,8,FALSE),main!$K$18:$O$18,0))))),1,0)</f>
        <v>0</v>
      </c>
      <c r="BV33">
        <f>IF((AND(VLOOKUP(BV$1,main!$A$3:$H$102,5,FALSE)-VLOOKUP($A33,main!$A$3:$H$102,6,FALSE)&gt;=(VLOOKUP(VLOOKUP(BV$1,main!$A$3:$H$102,8,FALSE),main!$K$26:$M$29,2,FALSE)+VLOOKUP(VLOOKUP(BV$1,main!$A$3:$H$102,7,FALSE),main!$K$19:$O$22,MATCH(VLOOKUP($A33,main!$A$3:$H$102,8,FALSE),main!$K$18:$O$18,0))))),1,0)</f>
        <v>0</v>
      </c>
      <c r="BW33">
        <f>IF((AND(VLOOKUP(BW$1,main!$A$3:$H$102,5,FALSE)-VLOOKUP($A33,main!$A$3:$H$102,6,FALSE)&gt;=(VLOOKUP(VLOOKUP(BW$1,main!$A$3:$H$102,8,FALSE),main!$K$26:$M$29,2,FALSE)+VLOOKUP(VLOOKUP(BW$1,main!$A$3:$H$102,7,FALSE),main!$K$19:$O$22,MATCH(VLOOKUP($A33,main!$A$3:$H$102,8,FALSE),main!$K$18:$O$18,0))))),1,0)</f>
        <v>0</v>
      </c>
      <c r="BX33">
        <f>IF((AND(VLOOKUP(BX$1,main!$A$3:$H$102,5,FALSE)-VLOOKUP($A33,main!$A$3:$H$102,6,FALSE)&gt;=(VLOOKUP(VLOOKUP(BX$1,main!$A$3:$H$102,8,FALSE),main!$K$26:$M$29,2,FALSE)+VLOOKUP(VLOOKUP(BX$1,main!$A$3:$H$102,7,FALSE),main!$K$19:$O$22,MATCH(VLOOKUP($A33,main!$A$3:$H$102,8,FALSE),main!$K$18:$O$18,0))))),1,0)</f>
        <v>1</v>
      </c>
      <c r="BY33">
        <f>IF((AND(VLOOKUP(BY$1,main!$A$3:$H$102,5,FALSE)-VLOOKUP($A33,main!$A$3:$H$102,6,FALSE)&gt;=(VLOOKUP(VLOOKUP(BY$1,main!$A$3:$H$102,8,FALSE),main!$K$26:$M$29,2,FALSE)+VLOOKUP(VLOOKUP(BY$1,main!$A$3:$H$102,7,FALSE),main!$K$19:$O$22,MATCH(VLOOKUP($A33,main!$A$3:$H$102,8,FALSE),main!$K$18:$O$18,0))))),1,0)</f>
        <v>1</v>
      </c>
      <c r="BZ33">
        <f>IF((AND(VLOOKUP(BZ$1,main!$A$3:$H$102,5,FALSE)-VLOOKUP($A33,main!$A$3:$H$102,6,FALSE)&gt;=(VLOOKUP(VLOOKUP(BZ$1,main!$A$3:$H$102,8,FALSE),main!$K$26:$M$29,2,FALSE)+VLOOKUP(VLOOKUP(BZ$1,main!$A$3:$H$102,7,FALSE),main!$K$19:$O$22,MATCH(VLOOKUP($A33,main!$A$3:$H$102,8,FALSE),main!$K$18:$O$18,0))))),1,0)</f>
        <v>0</v>
      </c>
      <c r="CA33">
        <f>IF((AND(VLOOKUP(CA$1,main!$A$3:$H$102,5,FALSE)-VLOOKUP($A33,main!$A$3:$H$102,6,FALSE)&gt;=(VLOOKUP(VLOOKUP(CA$1,main!$A$3:$H$102,8,FALSE),main!$K$26:$M$29,2,FALSE)+VLOOKUP(VLOOKUP(CA$1,main!$A$3:$H$102,7,FALSE),main!$K$19:$O$22,MATCH(VLOOKUP($A33,main!$A$3:$H$102,8,FALSE),main!$K$18:$O$18,0))))),1,0)</f>
        <v>0</v>
      </c>
      <c r="CB33">
        <f>IF((AND(VLOOKUP(CB$1,main!$A$3:$H$102,5,FALSE)-VLOOKUP($A33,main!$A$3:$H$102,6,FALSE)&gt;=(VLOOKUP(VLOOKUP(CB$1,main!$A$3:$H$102,8,FALSE),main!$K$26:$M$29,2,FALSE)+VLOOKUP(VLOOKUP(CB$1,main!$A$3:$H$102,7,FALSE),main!$K$19:$O$22,MATCH(VLOOKUP($A33,main!$A$3:$H$102,8,FALSE),main!$K$18:$O$18,0))))),1,0)</f>
        <v>1</v>
      </c>
      <c r="CC33">
        <f>IF((AND(VLOOKUP(CC$1,main!$A$3:$H$102,5,FALSE)-VLOOKUP($A33,main!$A$3:$H$102,6,FALSE)&gt;=(VLOOKUP(VLOOKUP(CC$1,main!$A$3:$H$102,8,FALSE),main!$K$26:$M$29,2,FALSE)+VLOOKUP(VLOOKUP(CC$1,main!$A$3:$H$102,7,FALSE),main!$K$19:$O$22,MATCH(VLOOKUP($A33,main!$A$3:$H$102,8,FALSE),main!$K$18:$O$18,0))))),1,0)</f>
        <v>1</v>
      </c>
      <c r="CD33">
        <f>IF((AND(VLOOKUP(CD$1,main!$A$3:$H$102,5,FALSE)-VLOOKUP($A33,main!$A$3:$H$102,6,FALSE)&gt;=(VLOOKUP(VLOOKUP(CD$1,main!$A$3:$H$102,8,FALSE),main!$K$26:$M$29,2,FALSE)+VLOOKUP(VLOOKUP(CD$1,main!$A$3:$H$102,7,FALSE),main!$K$19:$O$22,MATCH(VLOOKUP($A33,main!$A$3:$H$102,8,FALSE),main!$K$18:$O$18,0))))),1,0)</f>
        <v>1</v>
      </c>
      <c r="CE33">
        <f>IF((AND(VLOOKUP(CE$1,main!$A$3:$H$102,5,FALSE)-VLOOKUP($A33,main!$A$3:$H$102,6,FALSE)&gt;=(VLOOKUP(VLOOKUP(CE$1,main!$A$3:$H$102,8,FALSE),main!$K$26:$M$29,2,FALSE)+VLOOKUP(VLOOKUP(CE$1,main!$A$3:$H$102,7,FALSE),main!$K$19:$O$22,MATCH(VLOOKUP($A33,main!$A$3:$H$102,8,FALSE),main!$K$18:$O$18,0))))),1,0)</f>
        <v>0</v>
      </c>
      <c r="CF33">
        <f>IF((AND(VLOOKUP(CF$1,main!$A$3:$H$102,5,FALSE)-VLOOKUP($A33,main!$A$3:$H$102,6,FALSE)&gt;=(VLOOKUP(VLOOKUP(CF$1,main!$A$3:$H$102,8,FALSE),main!$K$26:$M$29,2,FALSE)+VLOOKUP(VLOOKUP(CF$1,main!$A$3:$H$102,7,FALSE),main!$K$19:$O$22,MATCH(VLOOKUP($A33,main!$A$3:$H$102,8,FALSE),main!$K$18:$O$18,0))))),1,0)</f>
        <v>1</v>
      </c>
      <c r="CG33">
        <f>IF((AND(VLOOKUP(CG$1,main!$A$3:$H$102,5,FALSE)-VLOOKUP($A33,main!$A$3:$H$102,6,FALSE)&gt;=(VLOOKUP(VLOOKUP(CG$1,main!$A$3:$H$102,8,FALSE),main!$K$26:$M$29,2,FALSE)+VLOOKUP(VLOOKUP(CG$1,main!$A$3:$H$102,7,FALSE),main!$K$19:$O$22,MATCH(VLOOKUP($A33,main!$A$3:$H$102,8,FALSE),main!$K$18:$O$18,0))))),1,0)</f>
        <v>1</v>
      </c>
      <c r="CH33">
        <f>IF((AND(VLOOKUP(CH$1,main!$A$3:$H$102,5,FALSE)-VLOOKUP($A33,main!$A$3:$H$102,6,FALSE)&gt;=(VLOOKUP(VLOOKUP(CH$1,main!$A$3:$H$102,8,FALSE),main!$K$26:$M$29,2,FALSE)+VLOOKUP(VLOOKUP(CH$1,main!$A$3:$H$102,7,FALSE),main!$K$19:$O$22,MATCH(VLOOKUP($A33,main!$A$3:$H$102,8,FALSE),main!$K$18:$O$18,0))))),1,0)</f>
        <v>1</v>
      </c>
      <c r="CI33">
        <f>IF((AND(VLOOKUP(CI$1,main!$A$3:$H$102,5,FALSE)-VLOOKUP($A33,main!$A$3:$H$102,6,FALSE)&gt;=(VLOOKUP(VLOOKUP(CI$1,main!$A$3:$H$102,8,FALSE),main!$K$26:$M$29,2,FALSE)+VLOOKUP(VLOOKUP(CI$1,main!$A$3:$H$102,7,FALSE),main!$K$19:$O$22,MATCH(VLOOKUP($A33,main!$A$3:$H$102,8,FALSE),main!$K$18:$O$18,0))))),1,0)</f>
        <v>1</v>
      </c>
      <c r="CJ33">
        <f>IF((AND(VLOOKUP(CJ$1,main!$A$3:$H$102,5,FALSE)-VLOOKUP($A33,main!$A$3:$H$102,6,FALSE)&gt;=(VLOOKUP(VLOOKUP(CJ$1,main!$A$3:$H$102,8,FALSE),main!$K$26:$M$29,2,FALSE)+VLOOKUP(VLOOKUP(CJ$1,main!$A$3:$H$102,7,FALSE),main!$K$19:$O$22,MATCH(VLOOKUP($A33,main!$A$3:$H$102,8,FALSE),main!$K$18:$O$18,0))))),1,0)</f>
        <v>1</v>
      </c>
      <c r="CK33">
        <f>IF((AND(VLOOKUP(CK$1,main!$A$3:$H$102,5,FALSE)-VLOOKUP($A33,main!$A$3:$H$102,6,FALSE)&gt;=(VLOOKUP(VLOOKUP(CK$1,main!$A$3:$H$102,8,FALSE),main!$K$26:$M$29,2,FALSE)+VLOOKUP(VLOOKUP(CK$1,main!$A$3:$H$102,7,FALSE),main!$K$19:$O$22,MATCH(VLOOKUP($A33,main!$A$3:$H$102,8,FALSE),main!$K$18:$O$18,0))))),1,0)</f>
        <v>0</v>
      </c>
      <c r="CL33">
        <f>IF((AND(VLOOKUP(CL$1,main!$A$3:$H$102,5,FALSE)-VLOOKUP($A33,main!$A$3:$H$102,6,FALSE)&gt;=(VLOOKUP(VLOOKUP(CL$1,main!$A$3:$H$102,8,FALSE),main!$K$26:$M$29,2,FALSE)+VLOOKUP(VLOOKUP(CL$1,main!$A$3:$H$102,7,FALSE),main!$K$19:$O$22,MATCH(VLOOKUP($A33,main!$A$3:$H$102,8,FALSE),main!$K$18:$O$18,0))))),1,0)</f>
        <v>1</v>
      </c>
      <c r="CM33">
        <f>IF((AND(VLOOKUP(CM$1,main!$A$3:$H$102,5,FALSE)-VLOOKUP($A33,main!$A$3:$H$102,6,FALSE)&gt;=(VLOOKUP(VLOOKUP(CM$1,main!$A$3:$H$102,8,FALSE),main!$K$26:$M$29,2,FALSE)+VLOOKUP(VLOOKUP(CM$1,main!$A$3:$H$102,7,FALSE),main!$K$19:$O$22,MATCH(VLOOKUP($A33,main!$A$3:$H$102,8,FALSE),main!$K$18:$O$18,0))))),1,0)</f>
        <v>1</v>
      </c>
      <c r="CN33">
        <f>IF((AND(VLOOKUP(CN$1,main!$A$3:$H$102,5,FALSE)-VLOOKUP($A33,main!$A$3:$H$102,6,FALSE)&gt;=(VLOOKUP(VLOOKUP(CN$1,main!$A$3:$H$102,8,FALSE),main!$K$26:$M$29,2,FALSE)+VLOOKUP(VLOOKUP(CN$1,main!$A$3:$H$102,7,FALSE),main!$K$19:$O$22,MATCH(VLOOKUP($A33,main!$A$3:$H$102,8,FALSE),main!$K$18:$O$18,0))))),1,0)</f>
        <v>1</v>
      </c>
      <c r="CO33">
        <f>IF((AND(VLOOKUP(CO$1,main!$A$3:$H$102,5,FALSE)-VLOOKUP($A33,main!$A$3:$H$102,6,FALSE)&gt;=(VLOOKUP(VLOOKUP(CO$1,main!$A$3:$H$102,8,FALSE),main!$K$26:$M$29,2,FALSE)+VLOOKUP(VLOOKUP(CO$1,main!$A$3:$H$102,7,FALSE),main!$K$19:$O$22,MATCH(VLOOKUP($A33,main!$A$3:$H$102,8,FALSE),main!$K$18:$O$18,0))))),1,0)</f>
        <v>0</v>
      </c>
      <c r="CP33">
        <f>IF((AND(VLOOKUP(CP$1,main!$A$3:$H$102,5,FALSE)-VLOOKUP($A33,main!$A$3:$H$102,6,FALSE)&gt;=(VLOOKUP(VLOOKUP(CP$1,main!$A$3:$H$102,8,FALSE),main!$K$26:$M$29,2,FALSE)+VLOOKUP(VLOOKUP(CP$1,main!$A$3:$H$102,7,FALSE),main!$K$19:$O$22,MATCH(VLOOKUP($A33,main!$A$3:$H$102,8,FALSE),main!$K$18:$O$18,0))))),1,0)</f>
        <v>1</v>
      </c>
      <c r="CQ33">
        <f>IF((AND(VLOOKUP(CQ$1,main!$A$3:$H$102,5,FALSE)-VLOOKUP($A33,main!$A$3:$H$102,6,FALSE)&gt;=(VLOOKUP(VLOOKUP(CQ$1,main!$A$3:$H$102,8,FALSE),main!$K$26:$M$29,2,FALSE)+VLOOKUP(VLOOKUP(CQ$1,main!$A$3:$H$102,7,FALSE),main!$K$19:$O$22,MATCH(VLOOKUP($A33,main!$A$3:$H$102,8,FALSE),main!$K$18:$O$18,0))))),1,0)</f>
        <v>1</v>
      </c>
      <c r="CR33">
        <f>IF((AND(VLOOKUP(CR$1,main!$A$3:$H$102,5,FALSE)-VLOOKUP($A33,main!$A$3:$H$102,6,FALSE)&gt;=(VLOOKUP(VLOOKUP(CR$1,main!$A$3:$H$102,8,FALSE),main!$K$26:$M$29,2,FALSE)+VLOOKUP(VLOOKUP(CR$1,main!$A$3:$H$102,7,FALSE),main!$K$19:$O$22,MATCH(VLOOKUP($A33,main!$A$3:$H$102,8,FALSE),main!$K$18:$O$18,0))))),1,0)</f>
        <v>1</v>
      </c>
      <c r="CS33">
        <f>IF((AND(VLOOKUP(CS$1,main!$A$3:$H$102,5,FALSE)-VLOOKUP($A33,main!$A$3:$H$102,6,FALSE)&gt;=(VLOOKUP(VLOOKUP(CS$1,main!$A$3:$H$102,8,FALSE),main!$K$26:$M$29,2,FALSE)+VLOOKUP(VLOOKUP(CS$1,main!$A$3:$H$102,7,FALSE),main!$K$19:$O$22,MATCH(VLOOKUP($A33,main!$A$3:$H$102,8,FALSE),main!$K$18:$O$18,0))))),1,0)</f>
        <v>1</v>
      </c>
      <c r="CT33">
        <f>IF((AND(VLOOKUP(CT$1,main!$A$3:$H$102,5,FALSE)-VLOOKUP($A33,main!$A$3:$H$102,6,FALSE)&gt;=(VLOOKUP(VLOOKUP(CT$1,main!$A$3:$H$102,8,FALSE),main!$K$26:$M$29,2,FALSE)+VLOOKUP(VLOOKUP(CT$1,main!$A$3:$H$102,7,FALSE),main!$K$19:$O$22,MATCH(VLOOKUP($A33,main!$A$3:$H$102,8,FALSE),main!$K$18:$O$18,0))))),1,0)</f>
        <v>0</v>
      </c>
      <c r="CU33">
        <f>IF((AND(VLOOKUP(CU$1,main!$A$3:$H$102,5,FALSE)-VLOOKUP($A33,main!$A$3:$H$102,6,FALSE)&gt;=(VLOOKUP(VLOOKUP(CU$1,main!$A$3:$H$102,8,FALSE),main!$K$26:$M$29,2,FALSE)+VLOOKUP(VLOOKUP(CU$1,main!$A$3:$H$102,7,FALSE),main!$K$19:$O$22,MATCH(VLOOKUP($A33,main!$A$3:$H$102,8,FALSE),main!$K$18:$O$18,0))))),1,0)</f>
        <v>0</v>
      </c>
      <c r="CV33">
        <f>IF((AND(VLOOKUP(CV$1,main!$A$3:$H$102,5,FALSE)-VLOOKUP($A33,main!$A$3:$H$102,6,FALSE)&gt;=(VLOOKUP(VLOOKUP(CV$1,main!$A$3:$H$102,8,FALSE),main!$K$26:$M$29,2,FALSE)+VLOOKUP(VLOOKUP(CV$1,main!$A$3:$H$102,7,FALSE),main!$K$19:$O$22,MATCH(VLOOKUP($A33,main!$A$3:$H$102,8,FALSE),main!$K$18:$O$18,0))))),1,0)</f>
        <v>1</v>
      </c>
      <c r="CW33">
        <f>IF((AND(VLOOKUP(CW$1,main!$A$3:$H$102,5,FALSE)-VLOOKUP($A33,main!$A$3:$H$102,6,FALSE)&gt;=(VLOOKUP(VLOOKUP(CW$1,main!$A$3:$H$102,8,FALSE),main!$K$26:$M$29,2,FALSE)+VLOOKUP(VLOOKUP(CW$1,main!$A$3:$H$102,7,FALSE),main!$K$19:$O$22,MATCH(VLOOKUP($A33,main!$A$3:$H$102,8,FALSE),main!$K$18:$O$18,0))))),1,0)</f>
        <v>1</v>
      </c>
      <c r="CX33">
        <f>IF((AND(VLOOKUP(CX$1,main!$A$3:$H$102,5,FALSE)-VLOOKUP($A33,main!$A$3:$H$102,6,FALSE)&gt;=(VLOOKUP(VLOOKUP(CX$1,main!$A$3:$H$102,8,FALSE),main!$K$26:$M$29,2,FALSE)+VLOOKUP(VLOOKUP(CX$1,main!$A$3:$H$102,7,FALSE),main!$K$19:$O$22,MATCH(VLOOKUP($A33,main!$A$3:$H$102,8,FALSE),main!$K$18:$O$18,0))))),1,0)</f>
        <v>1</v>
      </c>
    </row>
    <row r="34" spans="1:102" x14ac:dyDescent="0.25">
      <c r="A34" s="1">
        <v>32</v>
      </c>
      <c r="B34">
        <v>1</v>
      </c>
      <c r="C34">
        <f>IF((AND(VLOOKUP(C$1,main!$A$3:$H$102,5,FALSE)-VLOOKUP($A34,main!$A$3:$H$102,6,FALSE)&gt;=(VLOOKUP(VLOOKUP(C$1,main!$A$3:$H$102,8,FALSE),main!$K$26:$M$29,2,FALSE)+VLOOKUP(VLOOKUP(C$1,main!$A$3:$H$102,7,FALSE),main!$K$19:$O$22,MATCH(VLOOKUP($A34,main!$A$3:$H$102,8,FALSE),main!$K$18:$O$18,0))))),1,0)</f>
        <v>0</v>
      </c>
      <c r="D34">
        <f>IF((AND(VLOOKUP(D$1,main!$A$3:$H$102,5,FALSE)-VLOOKUP($A34,main!$A$3:$H$102,6,FALSE)&gt;=(VLOOKUP(VLOOKUP(D$1,main!$A$3:$H$102,8,FALSE),main!$K$26:$M$29,2,FALSE)+VLOOKUP(VLOOKUP(D$1,main!$A$3:$H$102,7,FALSE),main!$K$19:$O$22,MATCH(VLOOKUP($A34,main!$A$3:$H$102,8,FALSE),main!$K$18:$O$18,0))))),1,0)</f>
        <v>0</v>
      </c>
      <c r="E34">
        <f>IF((AND(VLOOKUP(E$1,main!$A$3:$H$102,5,FALSE)-VLOOKUP($A34,main!$A$3:$H$102,6,FALSE)&gt;=(VLOOKUP(VLOOKUP(E$1,main!$A$3:$H$102,8,FALSE),main!$K$26:$M$29,2,FALSE)+VLOOKUP(VLOOKUP(E$1,main!$A$3:$H$102,7,FALSE),main!$K$19:$O$22,MATCH(VLOOKUP($A34,main!$A$3:$H$102,8,FALSE),main!$K$18:$O$18,0))))),1,0)</f>
        <v>0</v>
      </c>
      <c r="F34">
        <f>IF((AND(VLOOKUP(F$1,main!$A$3:$H$102,5,FALSE)-VLOOKUP($A34,main!$A$3:$H$102,6,FALSE)&gt;=(VLOOKUP(VLOOKUP(F$1,main!$A$3:$H$102,8,FALSE),main!$K$26:$M$29,2,FALSE)+VLOOKUP(VLOOKUP(F$1,main!$A$3:$H$102,7,FALSE),main!$K$19:$O$22,MATCH(VLOOKUP($A34,main!$A$3:$H$102,8,FALSE),main!$K$18:$O$18,0))))),1,0)</f>
        <v>0</v>
      </c>
      <c r="G34">
        <f>IF((AND(VLOOKUP(G$1,main!$A$3:$H$102,5,FALSE)-VLOOKUP($A34,main!$A$3:$H$102,6,FALSE)&gt;=(VLOOKUP(VLOOKUP(G$1,main!$A$3:$H$102,8,FALSE),main!$K$26:$M$29,2,FALSE)+VLOOKUP(VLOOKUP(G$1,main!$A$3:$H$102,7,FALSE),main!$K$19:$O$22,MATCH(VLOOKUP($A34,main!$A$3:$H$102,8,FALSE),main!$K$18:$O$18,0))))),1,0)</f>
        <v>1</v>
      </c>
      <c r="H34">
        <f>IF((AND(VLOOKUP(H$1,main!$A$3:$H$102,5,FALSE)-VLOOKUP($A34,main!$A$3:$H$102,6,FALSE)&gt;=(VLOOKUP(VLOOKUP(H$1,main!$A$3:$H$102,8,FALSE),main!$K$26:$M$29,2,FALSE)+VLOOKUP(VLOOKUP(H$1,main!$A$3:$H$102,7,FALSE),main!$K$19:$O$22,MATCH(VLOOKUP($A34,main!$A$3:$H$102,8,FALSE),main!$K$18:$O$18,0))))),1,0)</f>
        <v>1</v>
      </c>
      <c r="I34">
        <f>IF((AND(VLOOKUP(I$1,main!$A$3:$H$102,5,FALSE)-VLOOKUP($A34,main!$A$3:$H$102,6,FALSE)&gt;=(VLOOKUP(VLOOKUP(I$1,main!$A$3:$H$102,8,FALSE),main!$K$26:$M$29,2,FALSE)+VLOOKUP(VLOOKUP(I$1,main!$A$3:$H$102,7,FALSE),main!$K$19:$O$22,MATCH(VLOOKUP($A34,main!$A$3:$H$102,8,FALSE),main!$K$18:$O$18,0))))),1,0)</f>
        <v>1</v>
      </c>
      <c r="J34">
        <f>IF((AND(VLOOKUP(J$1,main!$A$3:$H$102,5,FALSE)-VLOOKUP($A34,main!$A$3:$H$102,6,FALSE)&gt;=(VLOOKUP(VLOOKUP(J$1,main!$A$3:$H$102,8,FALSE),main!$K$26:$M$29,2,FALSE)+VLOOKUP(VLOOKUP(J$1,main!$A$3:$H$102,7,FALSE),main!$K$19:$O$22,MATCH(VLOOKUP($A34,main!$A$3:$H$102,8,FALSE),main!$K$18:$O$18,0))))),1,0)</f>
        <v>1</v>
      </c>
      <c r="K34">
        <f>IF((AND(VLOOKUP(K$1,main!$A$3:$H$102,5,FALSE)-VLOOKUP($A34,main!$A$3:$H$102,6,FALSE)&gt;=(VLOOKUP(VLOOKUP(K$1,main!$A$3:$H$102,8,FALSE),main!$K$26:$M$29,2,FALSE)+VLOOKUP(VLOOKUP(K$1,main!$A$3:$H$102,7,FALSE),main!$K$19:$O$22,MATCH(VLOOKUP($A34,main!$A$3:$H$102,8,FALSE),main!$K$18:$O$18,0))))),1,0)</f>
        <v>1</v>
      </c>
      <c r="L34">
        <f>IF((AND(VLOOKUP(L$1,main!$A$3:$H$102,5,FALSE)-VLOOKUP($A34,main!$A$3:$H$102,6,FALSE)&gt;=(VLOOKUP(VLOOKUP(L$1,main!$A$3:$H$102,8,FALSE),main!$K$26:$M$29,2,FALSE)+VLOOKUP(VLOOKUP(L$1,main!$A$3:$H$102,7,FALSE),main!$K$19:$O$22,MATCH(VLOOKUP($A34,main!$A$3:$H$102,8,FALSE),main!$K$18:$O$18,0))))),1,0)</f>
        <v>1</v>
      </c>
      <c r="M34">
        <f>IF((AND(VLOOKUP(M$1,main!$A$3:$H$102,5,FALSE)-VLOOKUP($A34,main!$A$3:$H$102,6,FALSE)&gt;=(VLOOKUP(VLOOKUP(M$1,main!$A$3:$H$102,8,FALSE),main!$K$26:$M$29,2,FALSE)+VLOOKUP(VLOOKUP(M$1,main!$A$3:$H$102,7,FALSE),main!$K$19:$O$22,MATCH(VLOOKUP($A34,main!$A$3:$H$102,8,FALSE),main!$K$18:$O$18,0))))),1,0)</f>
        <v>0</v>
      </c>
      <c r="N34">
        <f>IF((AND(VLOOKUP(N$1,main!$A$3:$H$102,5,FALSE)-VLOOKUP($A34,main!$A$3:$H$102,6,FALSE)&gt;=(VLOOKUP(VLOOKUP(N$1,main!$A$3:$H$102,8,FALSE),main!$K$26:$M$29,2,FALSE)+VLOOKUP(VLOOKUP(N$1,main!$A$3:$H$102,7,FALSE),main!$K$19:$O$22,MATCH(VLOOKUP($A34,main!$A$3:$H$102,8,FALSE),main!$K$18:$O$18,0))))),1,0)</f>
        <v>0</v>
      </c>
      <c r="O34">
        <f>IF((AND(VLOOKUP(O$1,main!$A$3:$H$102,5,FALSE)-VLOOKUP($A34,main!$A$3:$H$102,6,FALSE)&gt;=(VLOOKUP(VLOOKUP(O$1,main!$A$3:$H$102,8,FALSE),main!$K$26:$M$29,2,FALSE)+VLOOKUP(VLOOKUP(O$1,main!$A$3:$H$102,7,FALSE),main!$K$19:$O$22,MATCH(VLOOKUP($A34,main!$A$3:$H$102,8,FALSE),main!$K$18:$O$18,0))))),1,0)</f>
        <v>0</v>
      </c>
      <c r="P34">
        <f>IF((AND(VLOOKUP(P$1,main!$A$3:$H$102,5,FALSE)-VLOOKUP($A34,main!$A$3:$H$102,6,FALSE)&gt;=(VLOOKUP(VLOOKUP(P$1,main!$A$3:$H$102,8,FALSE),main!$K$26:$M$29,2,FALSE)+VLOOKUP(VLOOKUP(P$1,main!$A$3:$H$102,7,FALSE),main!$K$19:$O$22,MATCH(VLOOKUP($A34,main!$A$3:$H$102,8,FALSE),main!$K$18:$O$18,0))))),1,0)</f>
        <v>0</v>
      </c>
      <c r="Q34">
        <f>IF((AND(VLOOKUP(Q$1,main!$A$3:$H$102,5,FALSE)-VLOOKUP($A34,main!$A$3:$H$102,6,FALSE)&gt;=(VLOOKUP(VLOOKUP(Q$1,main!$A$3:$H$102,8,FALSE),main!$K$26:$M$29,2,FALSE)+VLOOKUP(VLOOKUP(Q$1,main!$A$3:$H$102,7,FALSE),main!$K$19:$O$22,MATCH(VLOOKUP($A34,main!$A$3:$H$102,8,FALSE),main!$K$18:$O$18,0))))),1,0)</f>
        <v>0</v>
      </c>
      <c r="R34">
        <f>IF((AND(VLOOKUP(R$1,main!$A$3:$H$102,5,FALSE)-VLOOKUP($A34,main!$A$3:$H$102,6,FALSE)&gt;=(VLOOKUP(VLOOKUP(R$1,main!$A$3:$H$102,8,FALSE),main!$K$26:$M$29,2,FALSE)+VLOOKUP(VLOOKUP(R$1,main!$A$3:$H$102,7,FALSE),main!$K$19:$O$22,MATCH(VLOOKUP($A34,main!$A$3:$H$102,8,FALSE),main!$K$18:$O$18,0))))),1,0)</f>
        <v>1</v>
      </c>
      <c r="S34">
        <f>IF((AND(VLOOKUP(S$1,main!$A$3:$H$102,5,FALSE)-VLOOKUP($A34,main!$A$3:$H$102,6,FALSE)&gt;=(VLOOKUP(VLOOKUP(S$1,main!$A$3:$H$102,8,FALSE),main!$K$26:$M$29,2,FALSE)+VLOOKUP(VLOOKUP(S$1,main!$A$3:$H$102,7,FALSE),main!$K$19:$O$22,MATCH(VLOOKUP($A34,main!$A$3:$H$102,8,FALSE),main!$K$18:$O$18,0))))),1,0)</f>
        <v>1</v>
      </c>
      <c r="T34">
        <f>IF((AND(VLOOKUP(T$1,main!$A$3:$H$102,5,FALSE)-VLOOKUP($A34,main!$A$3:$H$102,6,FALSE)&gt;=(VLOOKUP(VLOOKUP(T$1,main!$A$3:$H$102,8,FALSE),main!$K$26:$M$29,2,FALSE)+VLOOKUP(VLOOKUP(T$1,main!$A$3:$H$102,7,FALSE),main!$K$19:$O$22,MATCH(VLOOKUP($A34,main!$A$3:$H$102,8,FALSE),main!$K$18:$O$18,0))))),1,0)</f>
        <v>1</v>
      </c>
      <c r="U34">
        <f>IF((AND(VLOOKUP(U$1,main!$A$3:$H$102,5,FALSE)-VLOOKUP($A34,main!$A$3:$H$102,6,FALSE)&gt;=(VLOOKUP(VLOOKUP(U$1,main!$A$3:$H$102,8,FALSE),main!$K$26:$M$29,2,FALSE)+VLOOKUP(VLOOKUP(U$1,main!$A$3:$H$102,7,FALSE),main!$K$19:$O$22,MATCH(VLOOKUP($A34,main!$A$3:$H$102,8,FALSE),main!$K$18:$O$18,0))))),1,0)</f>
        <v>1</v>
      </c>
      <c r="V34">
        <f>IF((AND(VLOOKUP(V$1,main!$A$3:$H$102,5,FALSE)-VLOOKUP($A34,main!$A$3:$H$102,6,FALSE)&gt;=(VLOOKUP(VLOOKUP(V$1,main!$A$3:$H$102,8,FALSE),main!$K$26:$M$29,2,FALSE)+VLOOKUP(VLOOKUP(V$1,main!$A$3:$H$102,7,FALSE),main!$K$19:$O$22,MATCH(VLOOKUP($A34,main!$A$3:$H$102,8,FALSE),main!$K$18:$O$18,0))))),1,0)</f>
        <v>1</v>
      </c>
      <c r="W34">
        <f>IF((AND(VLOOKUP(W$1,main!$A$3:$H$102,5,FALSE)-VLOOKUP($A34,main!$A$3:$H$102,6,FALSE)&gt;=(VLOOKUP(VLOOKUP(W$1,main!$A$3:$H$102,8,FALSE),main!$K$26:$M$29,2,FALSE)+VLOOKUP(VLOOKUP(W$1,main!$A$3:$H$102,7,FALSE),main!$K$19:$O$22,MATCH(VLOOKUP($A34,main!$A$3:$H$102,8,FALSE),main!$K$18:$O$18,0))))),1,0)</f>
        <v>0</v>
      </c>
      <c r="X34">
        <f>IF((AND(VLOOKUP(X$1,main!$A$3:$H$102,5,FALSE)-VLOOKUP($A34,main!$A$3:$H$102,6,FALSE)&gt;=(VLOOKUP(VLOOKUP(X$1,main!$A$3:$H$102,8,FALSE),main!$K$26:$M$29,2,FALSE)+VLOOKUP(VLOOKUP(X$1,main!$A$3:$H$102,7,FALSE),main!$K$19:$O$22,MATCH(VLOOKUP($A34,main!$A$3:$H$102,8,FALSE),main!$K$18:$O$18,0))))),1,0)</f>
        <v>0</v>
      </c>
      <c r="Y34">
        <f>IF((AND(VLOOKUP(Y$1,main!$A$3:$H$102,5,FALSE)-VLOOKUP($A34,main!$A$3:$H$102,6,FALSE)&gt;=(VLOOKUP(VLOOKUP(Y$1,main!$A$3:$H$102,8,FALSE),main!$K$26:$M$29,2,FALSE)+VLOOKUP(VLOOKUP(Y$1,main!$A$3:$H$102,7,FALSE),main!$K$19:$O$22,MATCH(VLOOKUP($A34,main!$A$3:$H$102,8,FALSE),main!$K$18:$O$18,0))))),1,0)</f>
        <v>1</v>
      </c>
      <c r="Z34">
        <f>IF((AND(VLOOKUP(Z$1,main!$A$3:$H$102,5,FALSE)-VLOOKUP($A34,main!$A$3:$H$102,6,FALSE)&gt;=(VLOOKUP(VLOOKUP(Z$1,main!$A$3:$H$102,8,FALSE),main!$K$26:$M$29,2,FALSE)+VLOOKUP(VLOOKUP(Z$1,main!$A$3:$H$102,7,FALSE),main!$K$19:$O$22,MATCH(VLOOKUP($A34,main!$A$3:$H$102,8,FALSE),main!$K$18:$O$18,0))))),1,0)</f>
        <v>1</v>
      </c>
      <c r="AA34">
        <f>IF((AND(VLOOKUP(AA$1,main!$A$3:$H$102,5,FALSE)-VLOOKUP($A34,main!$A$3:$H$102,6,FALSE)&gt;=(VLOOKUP(VLOOKUP(AA$1,main!$A$3:$H$102,8,FALSE),main!$K$26:$M$29,2,FALSE)+VLOOKUP(VLOOKUP(AA$1,main!$A$3:$H$102,7,FALSE),main!$K$19:$O$22,MATCH(VLOOKUP($A34,main!$A$3:$H$102,8,FALSE),main!$K$18:$O$18,0))))),1,0)</f>
        <v>1</v>
      </c>
      <c r="AB34">
        <f>IF((AND(VLOOKUP(AB$1,main!$A$3:$H$102,5,FALSE)-VLOOKUP($A34,main!$A$3:$H$102,6,FALSE)&gt;=(VLOOKUP(VLOOKUP(AB$1,main!$A$3:$H$102,8,FALSE),main!$K$26:$M$29,2,FALSE)+VLOOKUP(VLOOKUP(AB$1,main!$A$3:$H$102,7,FALSE),main!$K$19:$O$22,MATCH(VLOOKUP($A34,main!$A$3:$H$102,8,FALSE),main!$K$18:$O$18,0))))),1,0)</f>
        <v>0</v>
      </c>
      <c r="AC34">
        <f>IF((AND(VLOOKUP(AC$1,main!$A$3:$H$102,5,FALSE)-VLOOKUP($A34,main!$A$3:$H$102,6,FALSE)&gt;=(VLOOKUP(VLOOKUP(AC$1,main!$A$3:$H$102,8,FALSE),main!$K$26:$M$29,2,FALSE)+VLOOKUP(VLOOKUP(AC$1,main!$A$3:$H$102,7,FALSE),main!$K$19:$O$22,MATCH(VLOOKUP($A34,main!$A$3:$H$102,8,FALSE),main!$K$18:$O$18,0))))),1,0)</f>
        <v>0</v>
      </c>
      <c r="AD34">
        <f>IF((AND(VLOOKUP(AD$1,main!$A$3:$H$102,5,FALSE)-VLOOKUP($A34,main!$A$3:$H$102,6,FALSE)&gt;=(VLOOKUP(VLOOKUP(AD$1,main!$A$3:$H$102,8,FALSE),main!$K$26:$M$29,2,FALSE)+VLOOKUP(VLOOKUP(AD$1,main!$A$3:$H$102,7,FALSE),main!$K$19:$O$22,MATCH(VLOOKUP($A34,main!$A$3:$H$102,8,FALSE),main!$K$18:$O$18,0))))),1,0)</f>
        <v>0</v>
      </c>
      <c r="AE34">
        <f>IF((AND(VLOOKUP(AE$1,main!$A$3:$H$102,5,FALSE)-VLOOKUP($A34,main!$A$3:$H$102,6,FALSE)&gt;=(VLOOKUP(VLOOKUP(AE$1,main!$A$3:$H$102,8,FALSE),main!$K$26:$M$29,2,FALSE)+VLOOKUP(VLOOKUP(AE$1,main!$A$3:$H$102,7,FALSE),main!$K$19:$O$22,MATCH(VLOOKUP($A34,main!$A$3:$H$102,8,FALSE),main!$K$18:$O$18,0))))),1,0)</f>
        <v>1</v>
      </c>
      <c r="AF34">
        <f>IF((AND(VLOOKUP(AF$1,main!$A$3:$H$102,5,FALSE)-VLOOKUP($A34,main!$A$3:$H$102,6,FALSE)&gt;=(VLOOKUP(VLOOKUP(AF$1,main!$A$3:$H$102,8,FALSE),main!$K$26:$M$29,2,FALSE)+VLOOKUP(VLOOKUP(AF$1,main!$A$3:$H$102,7,FALSE),main!$K$19:$O$22,MATCH(VLOOKUP($A34,main!$A$3:$H$102,8,FALSE),main!$K$18:$O$18,0))))),1,0)</f>
        <v>1</v>
      </c>
      <c r="AG34">
        <f>IF((AND(VLOOKUP(AG$1,main!$A$3:$H$102,5,FALSE)-VLOOKUP($A34,main!$A$3:$H$102,6,FALSE)&gt;=(VLOOKUP(VLOOKUP(AG$1,main!$A$3:$H$102,8,FALSE),main!$K$26:$M$29,2,FALSE)+VLOOKUP(VLOOKUP(AG$1,main!$A$3:$H$102,7,FALSE),main!$K$19:$O$22,MATCH(VLOOKUP($A34,main!$A$3:$H$102,8,FALSE),main!$K$18:$O$18,0))))),1,0)</f>
        <v>0</v>
      </c>
      <c r="AH34">
        <f>IF((AND(VLOOKUP(AH$1,main!$A$3:$H$102,5,FALSE)-VLOOKUP($A34,main!$A$3:$H$102,6,FALSE)&gt;=(VLOOKUP(VLOOKUP(AH$1,main!$A$3:$H$102,8,FALSE),main!$K$26:$M$29,2,FALSE)+VLOOKUP(VLOOKUP(AH$1,main!$A$3:$H$102,7,FALSE),main!$K$19:$O$22,MATCH(VLOOKUP($A34,main!$A$3:$H$102,8,FALSE),main!$K$18:$O$18,0))))),1,0)</f>
        <v>0</v>
      </c>
      <c r="AI34">
        <f>IF((AND(VLOOKUP(AI$1,main!$A$3:$H$102,5,FALSE)-VLOOKUP($A34,main!$A$3:$H$102,6,FALSE)&gt;=(VLOOKUP(VLOOKUP(AI$1,main!$A$3:$H$102,8,FALSE),main!$K$26:$M$29,2,FALSE)+VLOOKUP(VLOOKUP(AI$1,main!$A$3:$H$102,7,FALSE),main!$K$19:$O$22,MATCH(VLOOKUP($A34,main!$A$3:$H$102,8,FALSE),main!$K$18:$O$18,0))))),1,0)</f>
        <v>0</v>
      </c>
      <c r="AJ34">
        <f>IF((AND(VLOOKUP(AJ$1,main!$A$3:$H$102,5,FALSE)-VLOOKUP($A34,main!$A$3:$H$102,6,FALSE)&gt;=(VLOOKUP(VLOOKUP(AJ$1,main!$A$3:$H$102,8,FALSE),main!$K$26:$M$29,2,FALSE)+VLOOKUP(VLOOKUP(AJ$1,main!$A$3:$H$102,7,FALSE),main!$K$19:$O$22,MATCH(VLOOKUP($A34,main!$A$3:$H$102,8,FALSE),main!$K$18:$O$18,0))))),1,0)</f>
        <v>1</v>
      </c>
      <c r="AK34">
        <f>IF((AND(VLOOKUP(AK$1,main!$A$3:$H$102,5,FALSE)-VLOOKUP($A34,main!$A$3:$H$102,6,FALSE)&gt;=(VLOOKUP(VLOOKUP(AK$1,main!$A$3:$H$102,8,FALSE),main!$K$26:$M$29,2,FALSE)+VLOOKUP(VLOOKUP(AK$1,main!$A$3:$H$102,7,FALSE),main!$K$19:$O$22,MATCH(VLOOKUP($A34,main!$A$3:$H$102,8,FALSE),main!$K$18:$O$18,0))))),1,0)</f>
        <v>1</v>
      </c>
      <c r="AL34">
        <f>IF((AND(VLOOKUP(AL$1,main!$A$3:$H$102,5,FALSE)-VLOOKUP($A34,main!$A$3:$H$102,6,FALSE)&gt;=(VLOOKUP(VLOOKUP(AL$1,main!$A$3:$H$102,8,FALSE),main!$K$26:$M$29,2,FALSE)+VLOOKUP(VLOOKUP(AL$1,main!$A$3:$H$102,7,FALSE),main!$K$19:$O$22,MATCH(VLOOKUP($A34,main!$A$3:$H$102,8,FALSE),main!$K$18:$O$18,0))))),1,0)</f>
        <v>1</v>
      </c>
      <c r="AM34">
        <f>IF((AND(VLOOKUP(AM$1,main!$A$3:$H$102,5,FALSE)-VLOOKUP($A34,main!$A$3:$H$102,6,FALSE)&gt;=(VLOOKUP(VLOOKUP(AM$1,main!$A$3:$H$102,8,FALSE),main!$K$26:$M$29,2,FALSE)+VLOOKUP(VLOOKUP(AM$1,main!$A$3:$H$102,7,FALSE),main!$K$19:$O$22,MATCH(VLOOKUP($A34,main!$A$3:$H$102,8,FALSE),main!$K$18:$O$18,0))))),1,0)</f>
        <v>1</v>
      </c>
      <c r="AN34">
        <f>IF((AND(VLOOKUP(AN$1,main!$A$3:$H$102,5,FALSE)-VLOOKUP($A34,main!$A$3:$H$102,6,FALSE)&gt;=(VLOOKUP(VLOOKUP(AN$1,main!$A$3:$H$102,8,FALSE),main!$K$26:$M$29,2,FALSE)+VLOOKUP(VLOOKUP(AN$1,main!$A$3:$H$102,7,FALSE),main!$K$19:$O$22,MATCH(VLOOKUP($A34,main!$A$3:$H$102,8,FALSE),main!$K$18:$O$18,0))))),1,0)</f>
        <v>1</v>
      </c>
      <c r="AO34">
        <f>IF((AND(VLOOKUP(AO$1,main!$A$3:$H$102,5,FALSE)-VLOOKUP($A34,main!$A$3:$H$102,6,FALSE)&gt;=(VLOOKUP(VLOOKUP(AO$1,main!$A$3:$H$102,8,FALSE),main!$K$26:$M$29,2,FALSE)+VLOOKUP(VLOOKUP(AO$1,main!$A$3:$H$102,7,FALSE),main!$K$19:$O$22,MATCH(VLOOKUP($A34,main!$A$3:$H$102,8,FALSE),main!$K$18:$O$18,0))))),1,0)</f>
        <v>0</v>
      </c>
      <c r="AP34">
        <f>IF((AND(VLOOKUP(AP$1,main!$A$3:$H$102,5,FALSE)-VLOOKUP($A34,main!$A$3:$H$102,6,FALSE)&gt;=(VLOOKUP(VLOOKUP(AP$1,main!$A$3:$H$102,8,FALSE),main!$K$26:$M$29,2,FALSE)+VLOOKUP(VLOOKUP(AP$1,main!$A$3:$H$102,7,FALSE),main!$K$19:$O$22,MATCH(VLOOKUP($A34,main!$A$3:$H$102,8,FALSE),main!$K$18:$O$18,0))))),1,0)</f>
        <v>1</v>
      </c>
      <c r="AQ34">
        <f>IF((AND(VLOOKUP(AQ$1,main!$A$3:$H$102,5,FALSE)-VLOOKUP($A34,main!$A$3:$H$102,6,FALSE)&gt;=(VLOOKUP(VLOOKUP(AQ$1,main!$A$3:$H$102,8,FALSE),main!$K$26:$M$29,2,FALSE)+VLOOKUP(VLOOKUP(AQ$1,main!$A$3:$H$102,7,FALSE),main!$K$19:$O$22,MATCH(VLOOKUP($A34,main!$A$3:$H$102,8,FALSE),main!$K$18:$O$18,0))))),1,0)</f>
        <v>0</v>
      </c>
      <c r="AR34">
        <f>IF((AND(VLOOKUP(AR$1,main!$A$3:$H$102,5,FALSE)-VLOOKUP($A34,main!$A$3:$H$102,6,FALSE)&gt;=(VLOOKUP(VLOOKUP(AR$1,main!$A$3:$H$102,8,FALSE),main!$K$26:$M$29,2,FALSE)+VLOOKUP(VLOOKUP(AR$1,main!$A$3:$H$102,7,FALSE),main!$K$19:$O$22,MATCH(VLOOKUP($A34,main!$A$3:$H$102,8,FALSE),main!$K$18:$O$18,0))))),1,0)</f>
        <v>0</v>
      </c>
      <c r="AS34">
        <f>IF((AND(VLOOKUP(AS$1,main!$A$3:$H$102,5,FALSE)-VLOOKUP($A34,main!$A$3:$H$102,6,FALSE)&gt;=(VLOOKUP(VLOOKUP(AS$1,main!$A$3:$H$102,8,FALSE),main!$K$26:$M$29,2,FALSE)+VLOOKUP(VLOOKUP(AS$1,main!$A$3:$H$102,7,FALSE),main!$K$19:$O$22,MATCH(VLOOKUP($A34,main!$A$3:$H$102,8,FALSE),main!$K$18:$O$18,0))))),1,0)</f>
        <v>0</v>
      </c>
      <c r="AT34">
        <f>IF((AND(VLOOKUP(AT$1,main!$A$3:$H$102,5,FALSE)-VLOOKUP($A34,main!$A$3:$H$102,6,FALSE)&gt;=(VLOOKUP(VLOOKUP(AT$1,main!$A$3:$H$102,8,FALSE),main!$K$26:$M$29,2,FALSE)+VLOOKUP(VLOOKUP(AT$1,main!$A$3:$H$102,7,FALSE),main!$K$19:$O$22,MATCH(VLOOKUP($A34,main!$A$3:$H$102,8,FALSE),main!$K$18:$O$18,0))))),1,0)</f>
        <v>1</v>
      </c>
      <c r="AU34">
        <f>IF((AND(VLOOKUP(AU$1,main!$A$3:$H$102,5,FALSE)-VLOOKUP($A34,main!$A$3:$H$102,6,FALSE)&gt;=(VLOOKUP(VLOOKUP(AU$1,main!$A$3:$H$102,8,FALSE),main!$K$26:$M$29,2,FALSE)+VLOOKUP(VLOOKUP(AU$1,main!$A$3:$H$102,7,FALSE),main!$K$19:$O$22,MATCH(VLOOKUP($A34,main!$A$3:$H$102,8,FALSE),main!$K$18:$O$18,0))))),1,0)</f>
        <v>0</v>
      </c>
      <c r="AV34">
        <f>IF((AND(VLOOKUP(AV$1,main!$A$3:$H$102,5,FALSE)-VLOOKUP($A34,main!$A$3:$H$102,6,FALSE)&gt;=(VLOOKUP(VLOOKUP(AV$1,main!$A$3:$H$102,8,FALSE),main!$K$26:$M$29,2,FALSE)+VLOOKUP(VLOOKUP(AV$1,main!$A$3:$H$102,7,FALSE),main!$K$19:$O$22,MATCH(VLOOKUP($A34,main!$A$3:$H$102,8,FALSE),main!$K$18:$O$18,0))))),1,0)</f>
        <v>0</v>
      </c>
      <c r="AW34">
        <f>IF((AND(VLOOKUP(AW$1,main!$A$3:$H$102,5,FALSE)-VLOOKUP($A34,main!$A$3:$H$102,6,FALSE)&gt;=(VLOOKUP(VLOOKUP(AW$1,main!$A$3:$H$102,8,FALSE),main!$K$26:$M$29,2,FALSE)+VLOOKUP(VLOOKUP(AW$1,main!$A$3:$H$102,7,FALSE),main!$K$19:$O$22,MATCH(VLOOKUP($A34,main!$A$3:$H$102,8,FALSE),main!$K$18:$O$18,0))))),1,0)</f>
        <v>1</v>
      </c>
      <c r="AX34">
        <f>IF((AND(VLOOKUP(AX$1,main!$A$3:$H$102,5,FALSE)-VLOOKUP($A34,main!$A$3:$H$102,6,FALSE)&gt;=(VLOOKUP(VLOOKUP(AX$1,main!$A$3:$H$102,8,FALSE),main!$K$26:$M$29,2,FALSE)+VLOOKUP(VLOOKUP(AX$1,main!$A$3:$H$102,7,FALSE),main!$K$19:$O$22,MATCH(VLOOKUP($A34,main!$A$3:$H$102,8,FALSE),main!$K$18:$O$18,0))))),1,0)</f>
        <v>0</v>
      </c>
      <c r="AY34">
        <f>IF((AND(VLOOKUP(AY$1,main!$A$3:$H$102,5,FALSE)-VLOOKUP($A34,main!$A$3:$H$102,6,FALSE)&gt;=(VLOOKUP(VLOOKUP(AY$1,main!$A$3:$H$102,8,FALSE),main!$K$26:$M$29,2,FALSE)+VLOOKUP(VLOOKUP(AY$1,main!$A$3:$H$102,7,FALSE),main!$K$19:$O$22,MATCH(VLOOKUP($A34,main!$A$3:$H$102,8,FALSE),main!$K$18:$O$18,0))))),1,0)</f>
        <v>0</v>
      </c>
      <c r="AZ34">
        <f>IF((AND(VLOOKUP(AZ$1,main!$A$3:$H$102,5,FALSE)-VLOOKUP($A34,main!$A$3:$H$102,6,FALSE)&gt;=(VLOOKUP(VLOOKUP(AZ$1,main!$A$3:$H$102,8,FALSE),main!$K$26:$M$29,2,FALSE)+VLOOKUP(VLOOKUP(AZ$1,main!$A$3:$H$102,7,FALSE),main!$K$19:$O$22,MATCH(VLOOKUP($A34,main!$A$3:$H$102,8,FALSE),main!$K$18:$O$18,0))))),1,0)</f>
        <v>0</v>
      </c>
      <c r="BA34">
        <f>IF((AND(VLOOKUP(BA$1,main!$A$3:$H$102,5,FALSE)-VLOOKUP($A34,main!$A$3:$H$102,6,FALSE)&gt;=(VLOOKUP(VLOOKUP(BA$1,main!$A$3:$H$102,8,FALSE),main!$K$26:$M$29,2,FALSE)+VLOOKUP(VLOOKUP(BA$1,main!$A$3:$H$102,7,FALSE),main!$K$19:$O$22,MATCH(VLOOKUP($A34,main!$A$3:$H$102,8,FALSE),main!$K$18:$O$18,0))))),1,0)</f>
        <v>0</v>
      </c>
      <c r="BB34">
        <f>IF((AND(VLOOKUP(BB$1,main!$A$3:$H$102,5,FALSE)-VLOOKUP($A34,main!$A$3:$H$102,6,FALSE)&gt;=(VLOOKUP(VLOOKUP(BB$1,main!$A$3:$H$102,8,FALSE),main!$K$26:$M$29,2,FALSE)+VLOOKUP(VLOOKUP(BB$1,main!$A$3:$H$102,7,FALSE),main!$K$19:$O$22,MATCH(VLOOKUP($A34,main!$A$3:$H$102,8,FALSE),main!$K$18:$O$18,0))))),1,0)</f>
        <v>0</v>
      </c>
      <c r="BC34">
        <f>IF((AND(VLOOKUP(BC$1,main!$A$3:$H$102,5,FALSE)-VLOOKUP($A34,main!$A$3:$H$102,6,FALSE)&gt;=(VLOOKUP(VLOOKUP(BC$1,main!$A$3:$H$102,8,FALSE),main!$K$26:$M$29,2,FALSE)+VLOOKUP(VLOOKUP(BC$1,main!$A$3:$H$102,7,FALSE),main!$K$19:$O$22,MATCH(VLOOKUP($A34,main!$A$3:$H$102,8,FALSE),main!$K$18:$O$18,0))))),1,0)</f>
        <v>1</v>
      </c>
      <c r="BD34">
        <f>IF((AND(VLOOKUP(BD$1,main!$A$3:$H$102,5,FALSE)-VLOOKUP($A34,main!$A$3:$H$102,6,FALSE)&gt;=(VLOOKUP(VLOOKUP(BD$1,main!$A$3:$H$102,8,FALSE),main!$K$26:$M$29,2,FALSE)+VLOOKUP(VLOOKUP(BD$1,main!$A$3:$H$102,7,FALSE),main!$K$19:$O$22,MATCH(VLOOKUP($A34,main!$A$3:$H$102,8,FALSE),main!$K$18:$O$18,0))))),1,0)</f>
        <v>1</v>
      </c>
      <c r="BE34">
        <f>IF((AND(VLOOKUP(BE$1,main!$A$3:$H$102,5,FALSE)-VLOOKUP($A34,main!$A$3:$H$102,6,FALSE)&gt;=(VLOOKUP(VLOOKUP(BE$1,main!$A$3:$H$102,8,FALSE),main!$K$26:$M$29,2,FALSE)+VLOOKUP(VLOOKUP(BE$1,main!$A$3:$H$102,7,FALSE),main!$K$19:$O$22,MATCH(VLOOKUP($A34,main!$A$3:$H$102,8,FALSE),main!$K$18:$O$18,0))))),1,0)</f>
        <v>1</v>
      </c>
      <c r="BF34">
        <f>IF((AND(VLOOKUP(BF$1,main!$A$3:$H$102,5,FALSE)-VLOOKUP($A34,main!$A$3:$H$102,6,FALSE)&gt;=(VLOOKUP(VLOOKUP(BF$1,main!$A$3:$H$102,8,FALSE),main!$K$26:$M$29,2,FALSE)+VLOOKUP(VLOOKUP(BF$1,main!$A$3:$H$102,7,FALSE),main!$K$19:$O$22,MATCH(VLOOKUP($A34,main!$A$3:$H$102,8,FALSE),main!$K$18:$O$18,0))))),1,0)</f>
        <v>0</v>
      </c>
      <c r="BG34">
        <f>IF((AND(VLOOKUP(BG$1,main!$A$3:$H$102,5,FALSE)-VLOOKUP($A34,main!$A$3:$H$102,6,FALSE)&gt;=(VLOOKUP(VLOOKUP(BG$1,main!$A$3:$H$102,8,FALSE),main!$K$26:$M$29,2,FALSE)+VLOOKUP(VLOOKUP(BG$1,main!$A$3:$H$102,7,FALSE),main!$K$19:$O$22,MATCH(VLOOKUP($A34,main!$A$3:$H$102,8,FALSE),main!$K$18:$O$18,0))))),1,0)</f>
        <v>0</v>
      </c>
      <c r="BH34">
        <f>IF((AND(VLOOKUP(BH$1,main!$A$3:$H$102,5,FALSE)-VLOOKUP($A34,main!$A$3:$H$102,6,FALSE)&gt;=(VLOOKUP(VLOOKUP(BH$1,main!$A$3:$H$102,8,FALSE),main!$K$26:$M$29,2,FALSE)+VLOOKUP(VLOOKUP(BH$1,main!$A$3:$H$102,7,FALSE),main!$K$19:$O$22,MATCH(VLOOKUP($A34,main!$A$3:$H$102,8,FALSE),main!$K$18:$O$18,0))))),1,0)</f>
        <v>1</v>
      </c>
      <c r="BI34">
        <f>IF((AND(VLOOKUP(BI$1,main!$A$3:$H$102,5,FALSE)-VLOOKUP($A34,main!$A$3:$H$102,6,FALSE)&gt;=(VLOOKUP(VLOOKUP(BI$1,main!$A$3:$H$102,8,FALSE),main!$K$26:$M$29,2,FALSE)+VLOOKUP(VLOOKUP(BI$1,main!$A$3:$H$102,7,FALSE),main!$K$19:$O$22,MATCH(VLOOKUP($A34,main!$A$3:$H$102,8,FALSE),main!$K$18:$O$18,0))))),1,0)</f>
        <v>1</v>
      </c>
      <c r="BJ34">
        <f>IF((AND(VLOOKUP(BJ$1,main!$A$3:$H$102,5,FALSE)-VLOOKUP($A34,main!$A$3:$H$102,6,FALSE)&gt;=(VLOOKUP(VLOOKUP(BJ$1,main!$A$3:$H$102,8,FALSE),main!$K$26:$M$29,2,FALSE)+VLOOKUP(VLOOKUP(BJ$1,main!$A$3:$H$102,7,FALSE),main!$K$19:$O$22,MATCH(VLOOKUP($A34,main!$A$3:$H$102,8,FALSE),main!$K$18:$O$18,0))))),1,0)</f>
        <v>1</v>
      </c>
      <c r="BK34">
        <f>IF((AND(VLOOKUP(BK$1,main!$A$3:$H$102,5,FALSE)-VLOOKUP($A34,main!$A$3:$H$102,6,FALSE)&gt;=(VLOOKUP(VLOOKUP(BK$1,main!$A$3:$H$102,8,FALSE),main!$K$26:$M$29,2,FALSE)+VLOOKUP(VLOOKUP(BK$1,main!$A$3:$H$102,7,FALSE),main!$K$19:$O$22,MATCH(VLOOKUP($A34,main!$A$3:$H$102,8,FALSE),main!$K$18:$O$18,0))))),1,0)</f>
        <v>0</v>
      </c>
      <c r="BL34">
        <f>IF((AND(VLOOKUP(BL$1,main!$A$3:$H$102,5,FALSE)-VLOOKUP($A34,main!$A$3:$H$102,6,FALSE)&gt;=(VLOOKUP(VLOOKUP(BL$1,main!$A$3:$H$102,8,FALSE),main!$K$26:$M$29,2,FALSE)+VLOOKUP(VLOOKUP(BL$1,main!$A$3:$H$102,7,FALSE),main!$K$19:$O$22,MATCH(VLOOKUP($A34,main!$A$3:$H$102,8,FALSE),main!$K$18:$O$18,0))))),1,0)</f>
        <v>0</v>
      </c>
      <c r="BM34">
        <f>IF((AND(VLOOKUP(BM$1,main!$A$3:$H$102,5,FALSE)-VLOOKUP($A34,main!$A$3:$H$102,6,FALSE)&gt;=(VLOOKUP(VLOOKUP(BM$1,main!$A$3:$H$102,8,FALSE),main!$K$26:$M$29,2,FALSE)+VLOOKUP(VLOOKUP(BM$1,main!$A$3:$H$102,7,FALSE),main!$K$19:$O$22,MATCH(VLOOKUP($A34,main!$A$3:$H$102,8,FALSE),main!$K$18:$O$18,0))))),1,0)</f>
        <v>0</v>
      </c>
      <c r="BN34">
        <f>IF((AND(VLOOKUP(BN$1,main!$A$3:$H$102,5,FALSE)-VLOOKUP($A34,main!$A$3:$H$102,6,FALSE)&gt;=(VLOOKUP(VLOOKUP(BN$1,main!$A$3:$H$102,8,FALSE),main!$K$26:$M$29,2,FALSE)+VLOOKUP(VLOOKUP(BN$1,main!$A$3:$H$102,7,FALSE),main!$K$19:$O$22,MATCH(VLOOKUP($A34,main!$A$3:$H$102,8,FALSE),main!$K$18:$O$18,0))))),1,0)</f>
        <v>1</v>
      </c>
      <c r="BO34">
        <f>IF((AND(VLOOKUP(BO$1,main!$A$3:$H$102,5,FALSE)-VLOOKUP($A34,main!$A$3:$H$102,6,FALSE)&gt;=(VLOOKUP(VLOOKUP(BO$1,main!$A$3:$H$102,8,FALSE),main!$K$26:$M$29,2,FALSE)+VLOOKUP(VLOOKUP(BO$1,main!$A$3:$H$102,7,FALSE),main!$K$19:$O$22,MATCH(VLOOKUP($A34,main!$A$3:$H$102,8,FALSE),main!$K$18:$O$18,0))))),1,0)</f>
        <v>0</v>
      </c>
      <c r="BP34">
        <f>IF((AND(VLOOKUP(BP$1,main!$A$3:$H$102,5,FALSE)-VLOOKUP($A34,main!$A$3:$H$102,6,FALSE)&gt;=(VLOOKUP(VLOOKUP(BP$1,main!$A$3:$H$102,8,FALSE),main!$K$26:$M$29,2,FALSE)+VLOOKUP(VLOOKUP(BP$1,main!$A$3:$H$102,7,FALSE),main!$K$19:$O$22,MATCH(VLOOKUP($A34,main!$A$3:$H$102,8,FALSE),main!$K$18:$O$18,0))))),1,0)</f>
        <v>0</v>
      </c>
      <c r="BQ34">
        <f>IF((AND(VLOOKUP(BQ$1,main!$A$3:$H$102,5,FALSE)-VLOOKUP($A34,main!$A$3:$H$102,6,FALSE)&gt;=(VLOOKUP(VLOOKUP(BQ$1,main!$A$3:$H$102,8,FALSE),main!$K$26:$M$29,2,FALSE)+VLOOKUP(VLOOKUP(BQ$1,main!$A$3:$H$102,7,FALSE),main!$K$19:$O$22,MATCH(VLOOKUP($A34,main!$A$3:$H$102,8,FALSE),main!$K$18:$O$18,0))))),1,0)</f>
        <v>0</v>
      </c>
      <c r="BR34">
        <f>IF((AND(VLOOKUP(BR$1,main!$A$3:$H$102,5,FALSE)-VLOOKUP($A34,main!$A$3:$H$102,6,FALSE)&gt;=(VLOOKUP(VLOOKUP(BR$1,main!$A$3:$H$102,8,FALSE),main!$K$26:$M$29,2,FALSE)+VLOOKUP(VLOOKUP(BR$1,main!$A$3:$H$102,7,FALSE),main!$K$19:$O$22,MATCH(VLOOKUP($A34,main!$A$3:$H$102,8,FALSE),main!$K$18:$O$18,0))))),1,0)</f>
        <v>0</v>
      </c>
      <c r="BS34">
        <f>IF((AND(VLOOKUP(BS$1,main!$A$3:$H$102,5,FALSE)-VLOOKUP($A34,main!$A$3:$H$102,6,FALSE)&gt;=(VLOOKUP(VLOOKUP(BS$1,main!$A$3:$H$102,8,FALSE),main!$K$26:$M$29,2,FALSE)+VLOOKUP(VLOOKUP(BS$1,main!$A$3:$H$102,7,FALSE),main!$K$19:$O$22,MATCH(VLOOKUP($A34,main!$A$3:$H$102,8,FALSE),main!$K$18:$O$18,0))))),1,0)</f>
        <v>0</v>
      </c>
      <c r="BT34">
        <f>IF((AND(VLOOKUP(BT$1,main!$A$3:$H$102,5,FALSE)-VLOOKUP($A34,main!$A$3:$H$102,6,FALSE)&gt;=(VLOOKUP(VLOOKUP(BT$1,main!$A$3:$H$102,8,FALSE),main!$K$26:$M$29,2,FALSE)+VLOOKUP(VLOOKUP(BT$1,main!$A$3:$H$102,7,FALSE),main!$K$19:$O$22,MATCH(VLOOKUP($A34,main!$A$3:$H$102,8,FALSE),main!$K$18:$O$18,0))))),1,0)</f>
        <v>0</v>
      </c>
      <c r="BU34">
        <f>IF((AND(VLOOKUP(BU$1,main!$A$3:$H$102,5,FALSE)-VLOOKUP($A34,main!$A$3:$H$102,6,FALSE)&gt;=(VLOOKUP(VLOOKUP(BU$1,main!$A$3:$H$102,8,FALSE),main!$K$26:$M$29,2,FALSE)+VLOOKUP(VLOOKUP(BU$1,main!$A$3:$H$102,7,FALSE),main!$K$19:$O$22,MATCH(VLOOKUP($A34,main!$A$3:$H$102,8,FALSE),main!$K$18:$O$18,0))))),1,0)</f>
        <v>0</v>
      </c>
      <c r="BV34">
        <f>IF((AND(VLOOKUP(BV$1,main!$A$3:$H$102,5,FALSE)-VLOOKUP($A34,main!$A$3:$H$102,6,FALSE)&gt;=(VLOOKUP(VLOOKUP(BV$1,main!$A$3:$H$102,8,FALSE),main!$K$26:$M$29,2,FALSE)+VLOOKUP(VLOOKUP(BV$1,main!$A$3:$H$102,7,FALSE),main!$K$19:$O$22,MATCH(VLOOKUP($A34,main!$A$3:$H$102,8,FALSE),main!$K$18:$O$18,0))))),1,0)</f>
        <v>0</v>
      </c>
      <c r="BW34">
        <f>IF((AND(VLOOKUP(BW$1,main!$A$3:$H$102,5,FALSE)-VLOOKUP($A34,main!$A$3:$H$102,6,FALSE)&gt;=(VLOOKUP(VLOOKUP(BW$1,main!$A$3:$H$102,8,FALSE),main!$K$26:$M$29,2,FALSE)+VLOOKUP(VLOOKUP(BW$1,main!$A$3:$H$102,7,FALSE),main!$K$19:$O$22,MATCH(VLOOKUP($A34,main!$A$3:$H$102,8,FALSE),main!$K$18:$O$18,0))))),1,0)</f>
        <v>0</v>
      </c>
      <c r="BX34">
        <f>IF((AND(VLOOKUP(BX$1,main!$A$3:$H$102,5,FALSE)-VLOOKUP($A34,main!$A$3:$H$102,6,FALSE)&gt;=(VLOOKUP(VLOOKUP(BX$1,main!$A$3:$H$102,8,FALSE),main!$K$26:$M$29,2,FALSE)+VLOOKUP(VLOOKUP(BX$1,main!$A$3:$H$102,7,FALSE),main!$K$19:$O$22,MATCH(VLOOKUP($A34,main!$A$3:$H$102,8,FALSE),main!$K$18:$O$18,0))))),1,0)</f>
        <v>0</v>
      </c>
      <c r="BY34">
        <f>IF((AND(VLOOKUP(BY$1,main!$A$3:$H$102,5,FALSE)-VLOOKUP($A34,main!$A$3:$H$102,6,FALSE)&gt;=(VLOOKUP(VLOOKUP(BY$1,main!$A$3:$H$102,8,FALSE),main!$K$26:$M$29,2,FALSE)+VLOOKUP(VLOOKUP(BY$1,main!$A$3:$H$102,7,FALSE),main!$K$19:$O$22,MATCH(VLOOKUP($A34,main!$A$3:$H$102,8,FALSE),main!$K$18:$O$18,0))))),1,0)</f>
        <v>1</v>
      </c>
      <c r="BZ34">
        <f>IF((AND(VLOOKUP(BZ$1,main!$A$3:$H$102,5,FALSE)-VLOOKUP($A34,main!$A$3:$H$102,6,FALSE)&gt;=(VLOOKUP(VLOOKUP(BZ$1,main!$A$3:$H$102,8,FALSE),main!$K$26:$M$29,2,FALSE)+VLOOKUP(VLOOKUP(BZ$1,main!$A$3:$H$102,7,FALSE),main!$K$19:$O$22,MATCH(VLOOKUP($A34,main!$A$3:$H$102,8,FALSE),main!$K$18:$O$18,0))))),1,0)</f>
        <v>0</v>
      </c>
      <c r="CA34">
        <f>IF((AND(VLOOKUP(CA$1,main!$A$3:$H$102,5,FALSE)-VLOOKUP($A34,main!$A$3:$H$102,6,FALSE)&gt;=(VLOOKUP(VLOOKUP(CA$1,main!$A$3:$H$102,8,FALSE),main!$K$26:$M$29,2,FALSE)+VLOOKUP(VLOOKUP(CA$1,main!$A$3:$H$102,7,FALSE),main!$K$19:$O$22,MATCH(VLOOKUP($A34,main!$A$3:$H$102,8,FALSE),main!$K$18:$O$18,0))))),1,0)</f>
        <v>0</v>
      </c>
      <c r="CB34">
        <f>IF((AND(VLOOKUP(CB$1,main!$A$3:$H$102,5,FALSE)-VLOOKUP($A34,main!$A$3:$H$102,6,FALSE)&gt;=(VLOOKUP(VLOOKUP(CB$1,main!$A$3:$H$102,8,FALSE),main!$K$26:$M$29,2,FALSE)+VLOOKUP(VLOOKUP(CB$1,main!$A$3:$H$102,7,FALSE),main!$K$19:$O$22,MATCH(VLOOKUP($A34,main!$A$3:$H$102,8,FALSE),main!$K$18:$O$18,0))))),1,0)</f>
        <v>1</v>
      </c>
      <c r="CC34">
        <f>IF((AND(VLOOKUP(CC$1,main!$A$3:$H$102,5,FALSE)-VLOOKUP($A34,main!$A$3:$H$102,6,FALSE)&gt;=(VLOOKUP(VLOOKUP(CC$1,main!$A$3:$H$102,8,FALSE),main!$K$26:$M$29,2,FALSE)+VLOOKUP(VLOOKUP(CC$1,main!$A$3:$H$102,7,FALSE),main!$K$19:$O$22,MATCH(VLOOKUP($A34,main!$A$3:$H$102,8,FALSE),main!$K$18:$O$18,0))))),1,0)</f>
        <v>1</v>
      </c>
      <c r="CD34">
        <f>IF((AND(VLOOKUP(CD$1,main!$A$3:$H$102,5,FALSE)-VLOOKUP($A34,main!$A$3:$H$102,6,FALSE)&gt;=(VLOOKUP(VLOOKUP(CD$1,main!$A$3:$H$102,8,FALSE),main!$K$26:$M$29,2,FALSE)+VLOOKUP(VLOOKUP(CD$1,main!$A$3:$H$102,7,FALSE),main!$K$19:$O$22,MATCH(VLOOKUP($A34,main!$A$3:$H$102,8,FALSE),main!$K$18:$O$18,0))))),1,0)</f>
        <v>1</v>
      </c>
      <c r="CE34">
        <f>IF((AND(VLOOKUP(CE$1,main!$A$3:$H$102,5,FALSE)-VLOOKUP($A34,main!$A$3:$H$102,6,FALSE)&gt;=(VLOOKUP(VLOOKUP(CE$1,main!$A$3:$H$102,8,FALSE),main!$K$26:$M$29,2,FALSE)+VLOOKUP(VLOOKUP(CE$1,main!$A$3:$H$102,7,FALSE),main!$K$19:$O$22,MATCH(VLOOKUP($A34,main!$A$3:$H$102,8,FALSE),main!$K$18:$O$18,0))))),1,0)</f>
        <v>0</v>
      </c>
      <c r="CF34">
        <f>IF((AND(VLOOKUP(CF$1,main!$A$3:$H$102,5,FALSE)-VLOOKUP($A34,main!$A$3:$H$102,6,FALSE)&gt;=(VLOOKUP(VLOOKUP(CF$1,main!$A$3:$H$102,8,FALSE),main!$K$26:$M$29,2,FALSE)+VLOOKUP(VLOOKUP(CF$1,main!$A$3:$H$102,7,FALSE),main!$K$19:$O$22,MATCH(VLOOKUP($A34,main!$A$3:$H$102,8,FALSE),main!$K$18:$O$18,0))))),1,0)</f>
        <v>0</v>
      </c>
      <c r="CG34">
        <f>IF((AND(VLOOKUP(CG$1,main!$A$3:$H$102,5,FALSE)-VLOOKUP($A34,main!$A$3:$H$102,6,FALSE)&gt;=(VLOOKUP(VLOOKUP(CG$1,main!$A$3:$H$102,8,FALSE),main!$K$26:$M$29,2,FALSE)+VLOOKUP(VLOOKUP(CG$1,main!$A$3:$H$102,7,FALSE),main!$K$19:$O$22,MATCH(VLOOKUP($A34,main!$A$3:$H$102,8,FALSE),main!$K$18:$O$18,0))))),1,0)</f>
        <v>0</v>
      </c>
      <c r="CH34">
        <f>IF((AND(VLOOKUP(CH$1,main!$A$3:$H$102,5,FALSE)-VLOOKUP($A34,main!$A$3:$H$102,6,FALSE)&gt;=(VLOOKUP(VLOOKUP(CH$1,main!$A$3:$H$102,8,FALSE),main!$K$26:$M$29,2,FALSE)+VLOOKUP(VLOOKUP(CH$1,main!$A$3:$H$102,7,FALSE),main!$K$19:$O$22,MATCH(VLOOKUP($A34,main!$A$3:$H$102,8,FALSE),main!$K$18:$O$18,0))))),1,0)</f>
        <v>1</v>
      </c>
      <c r="CI34">
        <f>IF((AND(VLOOKUP(CI$1,main!$A$3:$H$102,5,FALSE)-VLOOKUP($A34,main!$A$3:$H$102,6,FALSE)&gt;=(VLOOKUP(VLOOKUP(CI$1,main!$A$3:$H$102,8,FALSE),main!$K$26:$M$29,2,FALSE)+VLOOKUP(VLOOKUP(CI$1,main!$A$3:$H$102,7,FALSE),main!$K$19:$O$22,MATCH(VLOOKUP($A34,main!$A$3:$H$102,8,FALSE),main!$K$18:$O$18,0))))),1,0)</f>
        <v>1</v>
      </c>
      <c r="CJ34">
        <f>IF((AND(VLOOKUP(CJ$1,main!$A$3:$H$102,5,FALSE)-VLOOKUP($A34,main!$A$3:$H$102,6,FALSE)&gt;=(VLOOKUP(VLOOKUP(CJ$1,main!$A$3:$H$102,8,FALSE),main!$K$26:$M$29,2,FALSE)+VLOOKUP(VLOOKUP(CJ$1,main!$A$3:$H$102,7,FALSE),main!$K$19:$O$22,MATCH(VLOOKUP($A34,main!$A$3:$H$102,8,FALSE),main!$K$18:$O$18,0))))),1,0)</f>
        <v>0</v>
      </c>
      <c r="CK34">
        <f>IF((AND(VLOOKUP(CK$1,main!$A$3:$H$102,5,FALSE)-VLOOKUP($A34,main!$A$3:$H$102,6,FALSE)&gt;=(VLOOKUP(VLOOKUP(CK$1,main!$A$3:$H$102,8,FALSE),main!$K$26:$M$29,2,FALSE)+VLOOKUP(VLOOKUP(CK$1,main!$A$3:$H$102,7,FALSE),main!$K$19:$O$22,MATCH(VLOOKUP($A34,main!$A$3:$H$102,8,FALSE),main!$K$18:$O$18,0))))),1,0)</f>
        <v>0</v>
      </c>
      <c r="CL34">
        <f>IF((AND(VLOOKUP(CL$1,main!$A$3:$H$102,5,FALSE)-VLOOKUP($A34,main!$A$3:$H$102,6,FALSE)&gt;=(VLOOKUP(VLOOKUP(CL$1,main!$A$3:$H$102,8,FALSE),main!$K$26:$M$29,2,FALSE)+VLOOKUP(VLOOKUP(CL$1,main!$A$3:$H$102,7,FALSE),main!$K$19:$O$22,MATCH(VLOOKUP($A34,main!$A$3:$H$102,8,FALSE),main!$K$18:$O$18,0))))),1,0)</f>
        <v>0</v>
      </c>
      <c r="CM34">
        <f>IF((AND(VLOOKUP(CM$1,main!$A$3:$H$102,5,FALSE)-VLOOKUP($A34,main!$A$3:$H$102,6,FALSE)&gt;=(VLOOKUP(VLOOKUP(CM$1,main!$A$3:$H$102,8,FALSE),main!$K$26:$M$29,2,FALSE)+VLOOKUP(VLOOKUP(CM$1,main!$A$3:$H$102,7,FALSE),main!$K$19:$O$22,MATCH(VLOOKUP($A34,main!$A$3:$H$102,8,FALSE),main!$K$18:$O$18,0))))),1,0)</f>
        <v>1</v>
      </c>
      <c r="CN34">
        <f>IF((AND(VLOOKUP(CN$1,main!$A$3:$H$102,5,FALSE)-VLOOKUP($A34,main!$A$3:$H$102,6,FALSE)&gt;=(VLOOKUP(VLOOKUP(CN$1,main!$A$3:$H$102,8,FALSE),main!$K$26:$M$29,2,FALSE)+VLOOKUP(VLOOKUP(CN$1,main!$A$3:$H$102,7,FALSE),main!$K$19:$O$22,MATCH(VLOOKUP($A34,main!$A$3:$H$102,8,FALSE),main!$K$18:$O$18,0))))),1,0)</f>
        <v>1</v>
      </c>
      <c r="CO34">
        <f>IF((AND(VLOOKUP(CO$1,main!$A$3:$H$102,5,FALSE)-VLOOKUP($A34,main!$A$3:$H$102,6,FALSE)&gt;=(VLOOKUP(VLOOKUP(CO$1,main!$A$3:$H$102,8,FALSE),main!$K$26:$M$29,2,FALSE)+VLOOKUP(VLOOKUP(CO$1,main!$A$3:$H$102,7,FALSE),main!$K$19:$O$22,MATCH(VLOOKUP($A34,main!$A$3:$H$102,8,FALSE),main!$K$18:$O$18,0))))),1,0)</f>
        <v>0</v>
      </c>
      <c r="CP34">
        <f>IF((AND(VLOOKUP(CP$1,main!$A$3:$H$102,5,FALSE)-VLOOKUP($A34,main!$A$3:$H$102,6,FALSE)&gt;=(VLOOKUP(VLOOKUP(CP$1,main!$A$3:$H$102,8,FALSE),main!$K$26:$M$29,2,FALSE)+VLOOKUP(VLOOKUP(CP$1,main!$A$3:$H$102,7,FALSE),main!$K$19:$O$22,MATCH(VLOOKUP($A34,main!$A$3:$H$102,8,FALSE),main!$K$18:$O$18,0))))),1,0)</f>
        <v>0</v>
      </c>
      <c r="CQ34">
        <f>IF((AND(VLOOKUP(CQ$1,main!$A$3:$H$102,5,FALSE)-VLOOKUP($A34,main!$A$3:$H$102,6,FALSE)&gt;=(VLOOKUP(VLOOKUP(CQ$1,main!$A$3:$H$102,8,FALSE),main!$K$26:$M$29,2,FALSE)+VLOOKUP(VLOOKUP(CQ$1,main!$A$3:$H$102,7,FALSE),main!$K$19:$O$22,MATCH(VLOOKUP($A34,main!$A$3:$H$102,8,FALSE),main!$K$18:$O$18,0))))),1,0)</f>
        <v>0</v>
      </c>
      <c r="CR34">
        <f>IF((AND(VLOOKUP(CR$1,main!$A$3:$H$102,5,FALSE)-VLOOKUP($A34,main!$A$3:$H$102,6,FALSE)&gt;=(VLOOKUP(VLOOKUP(CR$1,main!$A$3:$H$102,8,FALSE),main!$K$26:$M$29,2,FALSE)+VLOOKUP(VLOOKUP(CR$1,main!$A$3:$H$102,7,FALSE),main!$K$19:$O$22,MATCH(VLOOKUP($A34,main!$A$3:$H$102,8,FALSE),main!$K$18:$O$18,0))))),1,0)</f>
        <v>1</v>
      </c>
      <c r="CS34">
        <f>IF((AND(VLOOKUP(CS$1,main!$A$3:$H$102,5,FALSE)-VLOOKUP($A34,main!$A$3:$H$102,6,FALSE)&gt;=(VLOOKUP(VLOOKUP(CS$1,main!$A$3:$H$102,8,FALSE),main!$K$26:$M$29,2,FALSE)+VLOOKUP(VLOOKUP(CS$1,main!$A$3:$H$102,7,FALSE),main!$K$19:$O$22,MATCH(VLOOKUP($A34,main!$A$3:$H$102,8,FALSE),main!$K$18:$O$18,0))))),1,0)</f>
        <v>1</v>
      </c>
      <c r="CT34">
        <f>IF((AND(VLOOKUP(CT$1,main!$A$3:$H$102,5,FALSE)-VLOOKUP($A34,main!$A$3:$H$102,6,FALSE)&gt;=(VLOOKUP(VLOOKUP(CT$1,main!$A$3:$H$102,8,FALSE),main!$K$26:$M$29,2,FALSE)+VLOOKUP(VLOOKUP(CT$1,main!$A$3:$H$102,7,FALSE),main!$K$19:$O$22,MATCH(VLOOKUP($A34,main!$A$3:$H$102,8,FALSE),main!$K$18:$O$18,0))))),1,0)</f>
        <v>0</v>
      </c>
      <c r="CU34">
        <f>IF((AND(VLOOKUP(CU$1,main!$A$3:$H$102,5,FALSE)-VLOOKUP($A34,main!$A$3:$H$102,6,FALSE)&gt;=(VLOOKUP(VLOOKUP(CU$1,main!$A$3:$H$102,8,FALSE),main!$K$26:$M$29,2,FALSE)+VLOOKUP(VLOOKUP(CU$1,main!$A$3:$H$102,7,FALSE),main!$K$19:$O$22,MATCH(VLOOKUP($A34,main!$A$3:$H$102,8,FALSE),main!$K$18:$O$18,0))))),1,0)</f>
        <v>0</v>
      </c>
      <c r="CV34">
        <f>IF((AND(VLOOKUP(CV$1,main!$A$3:$H$102,5,FALSE)-VLOOKUP($A34,main!$A$3:$H$102,6,FALSE)&gt;=(VLOOKUP(VLOOKUP(CV$1,main!$A$3:$H$102,8,FALSE),main!$K$26:$M$29,2,FALSE)+VLOOKUP(VLOOKUP(CV$1,main!$A$3:$H$102,7,FALSE),main!$K$19:$O$22,MATCH(VLOOKUP($A34,main!$A$3:$H$102,8,FALSE),main!$K$18:$O$18,0))))),1,0)</f>
        <v>0</v>
      </c>
      <c r="CW34">
        <f>IF((AND(VLOOKUP(CW$1,main!$A$3:$H$102,5,FALSE)-VLOOKUP($A34,main!$A$3:$H$102,6,FALSE)&gt;=(VLOOKUP(VLOOKUP(CW$1,main!$A$3:$H$102,8,FALSE),main!$K$26:$M$29,2,FALSE)+VLOOKUP(VLOOKUP(CW$1,main!$A$3:$H$102,7,FALSE),main!$K$19:$O$22,MATCH(VLOOKUP($A34,main!$A$3:$H$102,8,FALSE),main!$K$18:$O$18,0))))),1,0)</f>
        <v>1</v>
      </c>
      <c r="CX34">
        <f>IF((AND(VLOOKUP(CX$1,main!$A$3:$H$102,5,FALSE)-VLOOKUP($A34,main!$A$3:$H$102,6,FALSE)&gt;=(VLOOKUP(VLOOKUP(CX$1,main!$A$3:$H$102,8,FALSE),main!$K$26:$M$29,2,FALSE)+VLOOKUP(VLOOKUP(CX$1,main!$A$3:$H$102,7,FALSE),main!$K$19:$O$22,MATCH(VLOOKUP($A34,main!$A$3:$H$102,8,FALSE),main!$K$18:$O$18,0))))),1,0)</f>
        <v>1</v>
      </c>
    </row>
    <row r="35" spans="1:102" x14ac:dyDescent="0.25">
      <c r="A35" s="1">
        <v>33</v>
      </c>
      <c r="B35">
        <v>1</v>
      </c>
      <c r="C35">
        <f>IF((AND(VLOOKUP(C$1,main!$A$3:$H$102,5,FALSE)-VLOOKUP($A35,main!$A$3:$H$102,6,FALSE)&gt;=(VLOOKUP(VLOOKUP(C$1,main!$A$3:$H$102,8,FALSE),main!$K$26:$M$29,2,FALSE)+VLOOKUP(VLOOKUP(C$1,main!$A$3:$H$102,7,FALSE),main!$K$19:$O$22,MATCH(VLOOKUP($A35,main!$A$3:$H$102,8,FALSE),main!$K$18:$O$18,0))))),1,0)</f>
        <v>0</v>
      </c>
      <c r="D35">
        <f>IF((AND(VLOOKUP(D$1,main!$A$3:$H$102,5,FALSE)-VLOOKUP($A35,main!$A$3:$H$102,6,FALSE)&gt;=(VLOOKUP(VLOOKUP(D$1,main!$A$3:$H$102,8,FALSE),main!$K$26:$M$29,2,FALSE)+VLOOKUP(VLOOKUP(D$1,main!$A$3:$H$102,7,FALSE),main!$K$19:$O$22,MATCH(VLOOKUP($A35,main!$A$3:$H$102,8,FALSE),main!$K$18:$O$18,0))))),1,0)</f>
        <v>0</v>
      </c>
      <c r="E35">
        <f>IF((AND(VLOOKUP(E$1,main!$A$3:$H$102,5,FALSE)-VLOOKUP($A35,main!$A$3:$H$102,6,FALSE)&gt;=(VLOOKUP(VLOOKUP(E$1,main!$A$3:$H$102,8,FALSE),main!$K$26:$M$29,2,FALSE)+VLOOKUP(VLOOKUP(E$1,main!$A$3:$H$102,7,FALSE),main!$K$19:$O$22,MATCH(VLOOKUP($A35,main!$A$3:$H$102,8,FALSE),main!$K$18:$O$18,0))))),1,0)</f>
        <v>0</v>
      </c>
      <c r="F35">
        <f>IF((AND(VLOOKUP(F$1,main!$A$3:$H$102,5,FALSE)-VLOOKUP($A35,main!$A$3:$H$102,6,FALSE)&gt;=(VLOOKUP(VLOOKUP(F$1,main!$A$3:$H$102,8,FALSE),main!$K$26:$M$29,2,FALSE)+VLOOKUP(VLOOKUP(F$1,main!$A$3:$H$102,7,FALSE),main!$K$19:$O$22,MATCH(VLOOKUP($A35,main!$A$3:$H$102,8,FALSE),main!$K$18:$O$18,0))))),1,0)</f>
        <v>0</v>
      </c>
      <c r="G35">
        <f>IF((AND(VLOOKUP(G$1,main!$A$3:$H$102,5,FALSE)-VLOOKUP($A35,main!$A$3:$H$102,6,FALSE)&gt;=(VLOOKUP(VLOOKUP(G$1,main!$A$3:$H$102,8,FALSE),main!$K$26:$M$29,2,FALSE)+VLOOKUP(VLOOKUP(G$1,main!$A$3:$H$102,7,FALSE),main!$K$19:$O$22,MATCH(VLOOKUP($A35,main!$A$3:$H$102,8,FALSE),main!$K$18:$O$18,0))))),1,0)</f>
        <v>0</v>
      </c>
      <c r="H35">
        <f>IF((AND(VLOOKUP(H$1,main!$A$3:$H$102,5,FALSE)-VLOOKUP($A35,main!$A$3:$H$102,6,FALSE)&gt;=(VLOOKUP(VLOOKUP(H$1,main!$A$3:$H$102,8,FALSE),main!$K$26:$M$29,2,FALSE)+VLOOKUP(VLOOKUP(H$1,main!$A$3:$H$102,7,FALSE),main!$K$19:$O$22,MATCH(VLOOKUP($A35,main!$A$3:$H$102,8,FALSE),main!$K$18:$O$18,0))))),1,0)</f>
        <v>1</v>
      </c>
      <c r="I35">
        <f>IF((AND(VLOOKUP(I$1,main!$A$3:$H$102,5,FALSE)-VLOOKUP($A35,main!$A$3:$H$102,6,FALSE)&gt;=(VLOOKUP(VLOOKUP(I$1,main!$A$3:$H$102,8,FALSE),main!$K$26:$M$29,2,FALSE)+VLOOKUP(VLOOKUP(I$1,main!$A$3:$H$102,7,FALSE),main!$K$19:$O$22,MATCH(VLOOKUP($A35,main!$A$3:$H$102,8,FALSE),main!$K$18:$O$18,0))))),1,0)</f>
        <v>1</v>
      </c>
      <c r="J35">
        <f>IF((AND(VLOOKUP(J$1,main!$A$3:$H$102,5,FALSE)-VLOOKUP($A35,main!$A$3:$H$102,6,FALSE)&gt;=(VLOOKUP(VLOOKUP(J$1,main!$A$3:$H$102,8,FALSE),main!$K$26:$M$29,2,FALSE)+VLOOKUP(VLOOKUP(J$1,main!$A$3:$H$102,7,FALSE),main!$K$19:$O$22,MATCH(VLOOKUP($A35,main!$A$3:$H$102,8,FALSE),main!$K$18:$O$18,0))))),1,0)</f>
        <v>1</v>
      </c>
      <c r="K35">
        <f>IF((AND(VLOOKUP(K$1,main!$A$3:$H$102,5,FALSE)-VLOOKUP($A35,main!$A$3:$H$102,6,FALSE)&gt;=(VLOOKUP(VLOOKUP(K$1,main!$A$3:$H$102,8,FALSE),main!$K$26:$M$29,2,FALSE)+VLOOKUP(VLOOKUP(K$1,main!$A$3:$H$102,7,FALSE),main!$K$19:$O$22,MATCH(VLOOKUP($A35,main!$A$3:$H$102,8,FALSE),main!$K$18:$O$18,0))))),1,0)</f>
        <v>1</v>
      </c>
      <c r="L35">
        <f>IF((AND(VLOOKUP(L$1,main!$A$3:$H$102,5,FALSE)-VLOOKUP($A35,main!$A$3:$H$102,6,FALSE)&gt;=(VLOOKUP(VLOOKUP(L$1,main!$A$3:$H$102,8,FALSE),main!$K$26:$M$29,2,FALSE)+VLOOKUP(VLOOKUP(L$1,main!$A$3:$H$102,7,FALSE),main!$K$19:$O$22,MATCH(VLOOKUP($A35,main!$A$3:$H$102,8,FALSE),main!$K$18:$O$18,0))))),1,0)</f>
        <v>1</v>
      </c>
      <c r="M35">
        <f>IF((AND(VLOOKUP(M$1,main!$A$3:$H$102,5,FALSE)-VLOOKUP($A35,main!$A$3:$H$102,6,FALSE)&gt;=(VLOOKUP(VLOOKUP(M$1,main!$A$3:$H$102,8,FALSE),main!$K$26:$M$29,2,FALSE)+VLOOKUP(VLOOKUP(M$1,main!$A$3:$H$102,7,FALSE),main!$K$19:$O$22,MATCH(VLOOKUP($A35,main!$A$3:$H$102,8,FALSE),main!$K$18:$O$18,0))))),1,0)</f>
        <v>0</v>
      </c>
      <c r="N35">
        <f>IF((AND(VLOOKUP(N$1,main!$A$3:$H$102,5,FALSE)-VLOOKUP($A35,main!$A$3:$H$102,6,FALSE)&gt;=(VLOOKUP(VLOOKUP(N$1,main!$A$3:$H$102,8,FALSE),main!$K$26:$M$29,2,FALSE)+VLOOKUP(VLOOKUP(N$1,main!$A$3:$H$102,7,FALSE),main!$K$19:$O$22,MATCH(VLOOKUP($A35,main!$A$3:$H$102,8,FALSE),main!$K$18:$O$18,0))))),1,0)</f>
        <v>0</v>
      </c>
      <c r="O35">
        <f>IF((AND(VLOOKUP(O$1,main!$A$3:$H$102,5,FALSE)-VLOOKUP($A35,main!$A$3:$H$102,6,FALSE)&gt;=(VLOOKUP(VLOOKUP(O$1,main!$A$3:$H$102,8,FALSE),main!$K$26:$M$29,2,FALSE)+VLOOKUP(VLOOKUP(O$1,main!$A$3:$H$102,7,FALSE),main!$K$19:$O$22,MATCH(VLOOKUP($A35,main!$A$3:$H$102,8,FALSE),main!$K$18:$O$18,0))))),1,0)</f>
        <v>0</v>
      </c>
      <c r="P35">
        <f>IF((AND(VLOOKUP(P$1,main!$A$3:$H$102,5,FALSE)-VLOOKUP($A35,main!$A$3:$H$102,6,FALSE)&gt;=(VLOOKUP(VLOOKUP(P$1,main!$A$3:$H$102,8,FALSE),main!$K$26:$M$29,2,FALSE)+VLOOKUP(VLOOKUP(P$1,main!$A$3:$H$102,7,FALSE),main!$K$19:$O$22,MATCH(VLOOKUP($A35,main!$A$3:$H$102,8,FALSE),main!$K$18:$O$18,0))))),1,0)</f>
        <v>0</v>
      </c>
      <c r="Q35">
        <f>IF((AND(VLOOKUP(Q$1,main!$A$3:$H$102,5,FALSE)-VLOOKUP($A35,main!$A$3:$H$102,6,FALSE)&gt;=(VLOOKUP(VLOOKUP(Q$1,main!$A$3:$H$102,8,FALSE),main!$K$26:$M$29,2,FALSE)+VLOOKUP(VLOOKUP(Q$1,main!$A$3:$H$102,7,FALSE),main!$K$19:$O$22,MATCH(VLOOKUP($A35,main!$A$3:$H$102,8,FALSE),main!$K$18:$O$18,0))))),1,0)</f>
        <v>0</v>
      </c>
      <c r="R35">
        <f>IF((AND(VLOOKUP(R$1,main!$A$3:$H$102,5,FALSE)-VLOOKUP($A35,main!$A$3:$H$102,6,FALSE)&gt;=(VLOOKUP(VLOOKUP(R$1,main!$A$3:$H$102,8,FALSE),main!$K$26:$M$29,2,FALSE)+VLOOKUP(VLOOKUP(R$1,main!$A$3:$H$102,7,FALSE),main!$K$19:$O$22,MATCH(VLOOKUP($A35,main!$A$3:$H$102,8,FALSE),main!$K$18:$O$18,0))))),1,0)</f>
        <v>0</v>
      </c>
      <c r="S35">
        <f>IF((AND(VLOOKUP(S$1,main!$A$3:$H$102,5,FALSE)-VLOOKUP($A35,main!$A$3:$H$102,6,FALSE)&gt;=(VLOOKUP(VLOOKUP(S$1,main!$A$3:$H$102,8,FALSE),main!$K$26:$M$29,2,FALSE)+VLOOKUP(VLOOKUP(S$1,main!$A$3:$H$102,7,FALSE),main!$K$19:$O$22,MATCH(VLOOKUP($A35,main!$A$3:$H$102,8,FALSE),main!$K$18:$O$18,0))))),1,0)</f>
        <v>1</v>
      </c>
      <c r="T35">
        <f>IF((AND(VLOOKUP(T$1,main!$A$3:$H$102,5,FALSE)-VLOOKUP($A35,main!$A$3:$H$102,6,FALSE)&gt;=(VLOOKUP(VLOOKUP(T$1,main!$A$3:$H$102,8,FALSE),main!$K$26:$M$29,2,FALSE)+VLOOKUP(VLOOKUP(T$1,main!$A$3:$H$102,7,FALSE),main!$K$19:$O$22,MATCH(VLOOKUP($A35,main!$A$3:$H$102,8,FALSE),main!$K$18:$O$18,0))))),1,0)</f>
        <v>1</v>
      </c>
      <c r="U35">
        <f>IF((AND(VLOOKUP(U$1,main!$A$3:$H$102,5,FALSE)-VLOOKUP($A35,main!$A$3:$H$102,6,FALSE)&gt;=(VLOOKUP(VLOOKUP(U$1,main!$A$3:$H$102,8,FALSE),main!$K$26:$M$29,2,FALSE)+VLOOKUP(VLOOKUP(U$1,main!$A$3:$H$102,7,FALSE),main!$K$19:$O$22,MATCH(VLOOKUP($A35,main!$A$3:$H$102,8,FALSE),main!$K$18:$O$18,0))))),1,0)</f>
        <v>1</v>
      </c>
      <c r="V35">
        <f>IF((AND(VLOOKUP(V$1,main!$A$3:$H$102,5,FALSE)-VLOOKUP($A35,main!$A$3:$H$102,6,FALSE)&gt;=(VLOOKUP(VLOOKUP(V$1,main!$A$3:$H$102,8,FALSE),main!$K$26:$M$29,2,FALSE)+VLOOKUP(VLOOKUP(V$1,main!$A$3:$H$102,7,FALSE),main!$K$19:$O$22,MATCH(VLOOKUP($A35,main!$A$3:$H$102,8,FALSE),main!$K$18:$O$18,0))))),1,0)</f>
        <v>1</v>
      </c>
      <c r="W35">
        <f>IF((AND(VLOOKUP(W$1,main!$A$3:$H$102,5,FALSE)-VLOOKUP($A35,main!$A$3:$H$102,6,FALSE)&gt;=(VLOOKUP(VLOOKUP(W$1,main!$A$3:$H$102,8,FALSE),main!$K$26:$M$29,2,FALSE)+VLOOKUP(VLOOKUP(W$1,main!$A$3:$H$102,7,FALSE),main!$K$19:$O$22,MATCH(VLOOKUP($A35,main!$A$3:$H$102,8,FALSE),main!$K$18:$O$18,0))))),1,0)</f>
        <v>0</v>
      </c>
      <c r="X35">
        <f>IF((AND(VLOOKUP(X$1,main!$A$3:$H$102,5,FALSE)-VLOOKUP($A35,main!$A$3:$H$102,6,FALSE)&gt;=(VLOOKUP(VLOOKUP(X$1,main!$A$3:$H$102,8,FALSE),main!$K$26:$M$29,2,FALSE)+VLOOKUP(VLOOKUP(X$1,main!$A$3:$H$102,7,FALSE),main!$K$19:$O$22,MATCH(VLOOKUP($A35,main!$A$3:$H$102,8,FALSE),main!$K$18:$O$18,0))))),1,0)</f>
        <v>0</v>
      </c>
      <c r="Y35">
        <f>IF((AND(VLOOKUP(Y$1,main!$A$3:$H$102,5,FALSE)-VLOOKUP($A35,main!$A$3:$H$102,6,FALSE)&gt;=(VLOOKUP(VLOOKUP(Y$1,main!$A$3:$H$102,8,FALSE),main!$K$26:$M$29,2,FALSE)+VLOOKUP(VLOOKUP(Y$1,main!$A$3:$H$102,7,FALSE),main!$K$19:$O$22,MATCH(VLOOKUP($A35,main!$A$3:$H$102,8,FALSE),main!$K$18:$O$18,0))))),1,0)</f>
        <v>0</v>
      </c>
      <c r="Z35">
        <f>IF((AND(VLOOKUP(Z$1,main!$A$3:$H$102,5,FALSE)-VLOOKUP($A35,main!$A$3:$H$102,6,FALSE)&gt;=(VLOOKUP(VLOOKUP(Z$1,main!$A$3:$H$102,8,FALSE),main!$K$26:$M$29,2,FALSE)+VLOOKUP(VLOOKUP(Z$1,main!$A$3:$H$102,7,FALSE),main!$K$19:$O$22,MATCH(VLOOKUP($A35,main!$A$3:$H$102,8,FALSE),main!$K$18:$O$18,0))))),1,0)</f>
        <v>1</v>
      </c>
      <c r="AA35">
        <f>IF((AND(VLOOKUP(AA$1,main!$A$3:$H$102,5,FALSE)-VLOOKUP($A35,main!$A$3:$H$102,6,FALSE)&gt;=(VLOOKUP(VLOOKUP(AA$1,main!$A$3:$H$102,8,FALSE),main!$K$26:$M$29,2,FALSE)+VLOOKUP(VLOOKUP(AA$1,main!$A$3:$H$102,7,FALSE),main!$K$19:$O$22,MATCH(VLOOKUP($A35,main!$A$3:$H$102,8,FALSE),main!$K$18:$O$18,0))))),1,0)</f>
        <v>1</v>
      </c>
      <c r="AB35">
        <f>IF((AND(VLOOKUP(AB$1,main!$A$3:$H$102,5,FALSE)-VLOOKUP($A35,main!$A$3:$H$102,6,FALSE)&gt;=(VLOOKUP(VLOOKUP(AB$1,main!$A$3:$H$102,8,FALSE),main!$K$26:$M$29,2,FALSE)+VLOOKUP(VLOOKUP(AB$1,main!$A$3:$H$102,7,FALSE),main!$K$19:$O$22,MATCH(VLOOKUP($A35,main!$A$3:$H$102,8,FALSE),main!$K$18:$O$18,0))))),1,0)</f>
        <v>0</v>
      </c>
      <c r="AC35">
        <f>IF((AND(VLOOKUP(AC$1,main!$A$3:$H$102,5,FALSE)-VLOOKUP($A35,main!$A$3:$H$102,6,FALSE)&gt;=(VLOOKUP(VLOOKUP(AC$1,main!$A$3:$H$102,8,FALSE),main!$K$26:$M$29,2,FALSE)+VLOOKUP(VLOOKUP(AC$1,main!$A$3:$H$102,7,FALSE),main!$K$19:$O$22,MATCH(VLOOKUP($A35,main!$A$3:$H$102,8,FALSE),main!$K$18:$O$18,0))))),1,0)</f>
        <v>0</v>
      </c>
      <c r="AD35">
        <f>IF((AND(VLOOKUP(AD$1,main!$A$3:$H$102,5,FALSE)-VLOOKUP($A35,main!$A$3:$H$102,6,FALSE)&gt;=(VLOOKUP(VLOOKUP(AD$1,main!$A$3:$H$102,8,FALSE),main!$K$26:$M$29,2,FALSE)+VLOOKUP(VLOOKUP(AD$1,main!$A$3:$H$102,7,FALSE),main!$K$19:$O$22,MATCH(VLOOKUP($A35,main!$A$3:$H$102,8,FALSE),main!$K$18:$O$18,0))))),1,0)</f>
        <v>0</v>
      </c>
      <c r="AE35">
        <f>IF((AND(VLOOKUP(AE$1,main!$A$3:$H$102,5,FALSE)-VLOOKUP($A35,main!$A$3:$H$102,6,FALSE)&gt;=(VLOOKUP(VLOOKUP(AE$1,main!$A$3:$H$102,8,FALSE),main!$K$26:$M$29,2,FALSE)+VLOOKUP(VLOOKUP(AE$1,main!$A$3:$H$102,7,FALSE),main!$K$19:$O$22,MATCH(VLOOKUP($A35,main!$A$3:$H$102,8,FALSE),main!$K$18:$O$18,0))))),1,0)</f>
        <v>1</v>
      </c>
      <c r="AF35">
        <f>IF((AND(VLOOKUP(AF$1,main!$A$3:$H$102,5,FALSE)-VLOOKUP($A35,main!$A$3:$H$102,6,FALSE)&gt;=(VLOOKUP(VLOOKUP(AF$1,main!$A$3:$H$102,8,FALSE),main!$K$26:$M$29,2,FALSE)+VLOOKUP(VLOOKUP(AF$1,main!$A$3:$H$102,7,FALSE),main!$K$19:$O$22,MATCH(VLOOKUP($A35,main!$A$3:$H$102,8,FALSE),main!$K$18:$O$18,0))))),1,0)</f>
        <v>1</v>
      </c>
      <c r="AG35">
        <f>IF((AND(VLOOKUP(AG$1,main!$A$3:$H$102,5,FALSE)-VLOOKUP($A35,main!$A$3:$H$102,6,FALSE)&gt;=(VLOOKUP(VLOOKUP(AG$1,main!$A$3:$H$102,8,FALSE),main!$K$26:$M$29,2,FALSE)+VLOOKUP(VLOOKUP(AG$1,main!$A$3:$H$102,7,FALSE),main!$K$19:$O$22,MATCH(VLOOKUP($A35,main!$A$3:$H$102,8,FALSE),main!$K$18:$O$18,0))))),1,0)</f>
        <v>0</v>
      </c>
      <c r="AH35">
        <f>IF((AND(VLOOKUP(AH$1,main!$A$3:$H$102,5,FALSE)-VLOOKUP($A35,main!$A$3:$H$102,6,FALSE)&gt;=(VLOOKUP(VLOOKUP(AH$1,main!$A$3:$H$102,8,FALSE),main!$K$26:$M$29,2,FALSE)+VLOOKUP(VLOOKUP(AH$1,main!$A$3:$H$102,7,FALSE),main!$K$19:$O$22,MATCH(VLOOKUP($A35,main!$A$3:$H$102,8,FALSE),main!$K$18:$O$18,0))))),1,0)</f>
        <v>0</v>
      </c>
      <c r="AI35">
        <f>IF((AND(VLOOKUP(AI$1,main!$A$3:$H$102,5,FALSE)-VLOOKUP($A35,main!$A$3:$H$102,6,FALSE)&gt;=(VLOOKUP(VLOOKUP(AI$1,main!$A$3:$H$102,8,FALSE),main!$K$26:$M$29,2,FALSE)+VLOOKUP(VLOOKUP(AI$1,main!$A$3:$H$102,7,FALSE),main!$K$19:$O$22,MATCH(VLOOKUP($A35,main!$A$3:$H$102,8,FALSE),main!$K$18:$O$18,0))))),1,0)</f>
        <v>0</v>
      </c>
      <c r="AJ35">
        <f>IF((AND(VLOOKUP(AJ$1,main!$A$3:$H$102,5,FALSE)-VLOOKUP($A35,main!$A$3:$H$102,6,FALSE)&gt;=(VLOOKUP(VLOOKUP(AJ$1,main!$A$3:$H$102,8,FALSE),main!$K$26:$M$29,2,FALSE)+VLOOKUP(VLOOKUP(AJ$1,main!$A$3:$H$102,7,FALSE),main!$K$19:$O$22,MATCH(VLOOKUP($A35,main!$A$3:$H$102,8,FALSE),main!$K$18:$O$18,0))))),1,0)</f>
        <v>0</v>
      </c>
      <c r="AK35">
        <f>IF((AND(VLOOKUP(AK$1,main!$A$3:$H$102,5,FALSE)-VLOOKUP($A35,main!$A$3:$H$102,6,FALSE)&gt;=(VLOOKUP(VLOOKUP(AK$1,main!$A$3:$H$102,8,FALSE),main!$K$26:$M$29,2,FALSE)+VLOOKUP(VLOOKUP(AK$1,main!$A$3:$H$102,7,FALSE),main!$K$19:$O$22,MATCH(VLOOKUP($A35,main!$A$3:$H$102,8,FALSE),main!$K$18:$O$18,0))))),1,0)</f>
        <v>1</v>
      </c>
      <c r="AL35">
        <f>IF((AND(VLOOKUP(AL$1,main!$A$3:$H$102,5,FALSE)-VLOOKUP($A35,main!$A$3:$H$102,6,FALSE)&gt;=(VLOOKUP(VLOOKUP(AL$1,main!$A$3:$H$102,8,FALSE),main!$K$26:$M$29,2,FALSE)+VLOOKUP(VLOOKUP(AL$1,main!$A$3:$H$102,7,FALSE),main!$K$19:$O$22,MATCH(VLOOKUP($A35,main!$A$3:$H$102,8,FALSE),main!$K$18:$O$18,0))))),1,0)</f>
        <v>1</v>
      </c>
      <c r="AM35">
        <f>IF((AND(VLOOKUP(AM$1,main!$A$3:$H$102,5,FALSE)-VLOOKUP($A35,main!$A$3:$H$102,6,FALSE)&gt;=(VLOOKUP(VLOOKUP(AM$1,main!$A$3:$H$102,8,FALSE),main!$K$26:$M$29,2,FALSE)+VLOOKUP(VLOOKUP(AM$1,main!$A$3:$H$102,7,FALSE),main!$K$19:$O$22,MATCH(VLOOKUP($A35,main!$A$3:$H$102,8,FALSE),main!$K$18:$O$18,0))))),1,0)</f>
        <v>1</v>
      </c>
      <c r="AN35">
        <f>IF((AND(VLOOKUP(AN$1,main!$A$3:$H$102,5,FALSE)-VLOOKUP($A35,main!$A$3:$H$102,6,FALSE)&gt;=(VLOOKUP(VLOOKUP(AN$1,main!$A$3:$H$102,8,FALSE),main!$K$26:$M$29,2,FALSE)+VLOOKUP(VLOOKUP(AN$1,main!$A$3:$H$102,7,FALSE),main!$K$19:$O$22,MATCH(VLOOKUP($A35,main!$A$3:$H$102,8,FALSE),main!$K$18:$O$18,0))))),1,0)</f>
        <v>1</v>
      </c>
      <c r="AO35">
        <f>IF((AND(VLOOKUP(AO$1,main!$A$3:$H$102,5,FALSE)-VLOOKUP($A35,main!$A$3:$H$102,6,FALSE)&gt;=(VLOOKUP(VLOOKUP(AO$1,main!$A$3:$H$102,8,FALSE),main!$K$26:$M$29,2,FALSE)+VLOOKUP(VLOOKUP(AO$1,main!$A$3:$H$102,7,FALSE),main!$K$19:$O$22,MATCH(VLOOKUP($A35,main!$A$3:$H$102,8,FALSE),main!$K$18:$O$18,0))))),1,0)</f>
        <v>0</v>
      </c>
      <c r="AP35">
        <f>IF((AND(VLOOKUP(AP$1,main!$A$3:$H$102,5,FALSE)-VLOOKUP($A35,main!$A$3:$H$102,6,FALSE)&gt;=(VLOOKUP(VLOOKUP(AP$1,main!$A$3:$H$102,8,FALSE),main!$K$26:$M$29,2,FALSE)+VLOOKUP(VLOOKUP(AP$1,main!$A$3:$H$102,7,FALSE),main!$K$19:$O$22,MATCH(VLOOKUP($A35,main!$A$3:$H$102,8,FALSE),main!$K$18:$O$18,0))))),1,0)</f>
        <v>1</v>
      </c>
      <c r="AQ35">
        <f>IF((AND(VLOOKUP(AQ$1,main!$A$3:$H$102,5,FALSE)-VLOOKUP($A35,main!$A$3:$H$102,6,FALSE)&gt;=(VLOOKUP(VLOOKUP(AQ$1,main!$A$3:$H$102,8,FALSE),main!$K$26:$M$29,2,FALSE)+VLOOKUP(VLOOKUP(AQ$1,main!$A$3:$H$102,7,FALSE),main!$K$19:$O$22,MATCH(VLOOKUP($A35,main!$A$3:$H$102,8,FALSE),main!$K$18:$O$18,0))))),1,0)</f>
        <v>0</v>
      </c>
      <c r="AR35">
        <f>IF((AND(VLOOKUP(AR$1,main!$A$3:$H$102,5,FALSE)-VLOOKUP($A35,main!$A$3:$H$102,6,FALSE)&gt;=(VLOOKUP(VLOOKUP(AR$1,main!$A$3:$H$102,8,FALSE),main!$K$26:$M$29,2,FALSE)+VLOOKUP(VLOOKUP(AR$1,main!$A$3:$H$102,7,FALSE),main!$K$19:$O$22,MATCH(VLOOKUP($A35,main!$A$3:$H$102,8,FALSE),main!$K$18:$O$18,0))))),1,0)</f>
        <v>0</v>
      </c>
      <c r="AS35">
        <f>IF((AND(VLOOKUP(AS$1,main!$A$3:$H$102,5,FALSE)-VLOOKUP($A35,main!$A$3:$H$102,6,FALSE)&gt;=(VLOOKUP(VLOOKUP(AS$1,main!$A$3:$H$102,8,FALSE),main!$K$26:$M$29,2,FALSE)+VLOOKUP(VLOOKUP(AS$1,main!$A$3:$H$102,7,FALSE),main!$K$19:$O$22,MATCH(VLOOKUP($A35,main!$A$3:$H$102,8,FALSE),main!$K$18:$O$18,0))))),1,0)</f>
        <v>0</v>
      </c>
      <c r="AT35">
        <f>IF((AND(VLOOKUP(AT$1,main!$A$3:$H$102,5,FALSE)-VLOOKUP($A35,main!$A$3:$H$102,6,FALSE)&gt;=(VLOOKUP(VLOOKUP(AT$1,main!$A$3:$H$102,8,FALSE),main!$K$26:$M$29,2,FALSE)+VLOOKUP(VLOOKUP(AT$1,main!$A$3:$H$102,7,FALSE),main!$K$19:$O$22,MATCH(VLOOKUP($A35,main!$A$3:$H$102,8,FALSE),main!$K$18:$O$18,0))))),1,0)</f>
        <v>1</v>
      </c>
      <c r="AU35">
        <f>IF((AND(VLOOKUP(AU$1,main!$A$3:$H$102,5,FALSE)-VLOOKUP($A35,main!$A$3:$H$102,6,FALSE)&gt;=(VLOOKUP(VLOOKUP(AU$1,main!$A$3:$H$102,8,FALSE),main!$K$26:$M$29,2,FALSE)+VLOOKUP(VLOOKUP(AU$1,main!$A$3:$H$102,7,FALSE),main!$K$19:$O$22,MATCH(VLOOKUP($A35,main!$A$3:$H$102,8,FALSE),main!$K$18:$O$18,0))))),1,0)</f>
        <v>0</v>
      </c>
      <c r="AV35">
        <f>IF((AND(VLOOKUP(AV$1,main!$A$3:$H$102,5,FALSE)-VLOOKUP($A35,main!$A$3:$H$102,6,FALSE)&gt;=(VLOOKUP(VLOOKUP(AV$1,main!$A$3:$H$102,8,FALSE),main!$K$26:$M$29,2,FALSE)+VLOOKUP(VLOOKUP(AV$1,main!$A$3:$H$102,7,FALSE),main!$K$19:$O$22,MATCH(VLOOKUP($A35,main!$A$3:$H$102,8,FALSE),main!$K$18:$O$18,0))))),1,0)</f>
        <v>0</v>
      </c>
      <c r="AW35">
        <f>IF((AND(VLOOKUP(AW$1,main!$A$3:$H$102,5,FALSE)-VLOOKUP($A35,main!$A$3:$H$102,6,FALSE)&gt;=(VLOOKUP(VLOOKUP(AW$1,main!$A$3:$H$102,8,FALSE),main!$K$26:$M$29,2,FALSE)+VLOOKUP(VLOOKUP(AW$1,main!$A$3:$H$102,7,FALSE),main!$K$19:$O$22,MATCH(VLOOKUP($A35,main!$A$3:$H$102,8,FALSE),main!$K$18:$O$18,0))))),1,0)</f>
        <v>1</v>
      </c>
      <c r="AX35">
        <f>IF((AND(VLOOKUP(AX$1,main!$A$3:$H$102,5,FALSE)-VLOOKUP($A35,main!$A$3:$H$102,6,FALSE)&gt;=(VLOOKUP(VLOOKUP(AX$1,main!$A$3:$H$102,8,FALSE),main!$K$26:$M$29,2,FALSE)+VLOOKUP(VLOOKUP(AX$1,main!$A$3:$H$102,7,FALSE),main!$K$19:$O$22,MATCH(VLOOKUP($A35,main!$A$3:$H$102,8,FALSE),main!$K$18:$O$18,0))))),1,0)</f>
        <v>0</v>
      </c>
      <c r="AY35">
        <f>IF((AND(VLOOKUP(AY$1,main!$A$3:$H$102,5,FALSE)-VLOOKUP($A35,main!$A$3:$H$102,6,FALSE)&gt;=(VLOOKUP(VLOOKUP(AY$1,main!$A$3:$H$102,8,FALSE),main!$K$26:$M$29,2,FALSE)+VLOOKUP(VLOOKUP(AY$1,main!$A$3:$H$102,7,FALSE),main!$K$19:$O$22,MATCH(VLOOKUP($A35,main!$A$3:$H$102,8,FALSE),main!$K$18:$O$18,0))))),1,0)</f>
        <v>0</v>
      </c>
      <c r="AZ35">
        <f>IF((AND(VLOOKUP(AZ$1,main!$A$3:$H$102,5,FALSE)-VLOOKUP($A35,main!$A$3:$H$102,6,FALSE)&gt;=(VLOOKUP(VLOOKUP(AZ$1,main!$A$3:$H$102,8,FALSE),main!$K$26:$M$29,2,FALSE)+VLOOKUP(VLOOKUP(AZ$1,main!$A$3:$H$102,7,FALSE),main!$K$19:$O$22,MATCH(VLOOKUP($A35,main!$A$3:$H$102,8,FALSE),main!$K$18:$O$18,0))))),1,0)</f>
        <v>0</v>
      </c>
      <c r="BA35">
        <f>IF((AND(VLOOKUP(BA$1,main!$A$3:$H$102,5,FALSE)-VLOOKUP($A35,main!$A$3:$H$102,6,FALSE)&gt;=(VLOOKUP(VLOOKUP(BA$1,main!$A$3:$H$102,8,FALSE),main!$K$26:$M$29,2,FALSE)+VLOOKUP(VLOOKUP(BA$1,main!$A$3:$H$102,7,FALSE),main!$K$19:$O$22,MATCH(VLOOKUP($A35,main!$A$3:$H$102,8,FALSE),main!$K$18:$O$18,0))))),1,0)</f>
        <v>0</v>
      </c>
      <c r="BB35">
        <f>IF((AND(VLOOKUP(BB$1,main!$A$3:$H$102,5,FALSE)-VLOOKUP($A35,main!$A$3:$H$102,6,FALSE)&gt;=(VLOOKUP(VLOOKUP(BB$1,main!$A$3:$H$102,8,FALSE),main!$K$26:$M$29,2,FALSE)+VLOOKUP(VLOOKUP(BB$1,main!$A$3:$H$102,7,FALSE),main!$K$19:$O$22,MATCH(VLOOKUP($A35,main!$A$3:$H$102,8,FALSE),main!$K$18:$O$18,0))))),1,0)</f>
        <v>0</v>
      </c>
      <c r="BC35">
        <f>IF((AND(VLOOKUP(BC$1,main!$A$3:$H$102,5,FALSE)-VLOOKUP($A35,main!$A$3:$H$102,6,FALSE)&gt;=(VLOOKUP(VLOOKUP(BC$1,main!$A$3:$H$102,8,FALSE),main!$K$26:$M$29,2,FALSE)+VLOOKUP(VLOOKUP(BC$1,main!$A$3:$H$102,7,FALSE),main!$K$19:$O$22,MATCH(VLOOKUP($A35,main!$A$3:$H$102,8,FALSE),main!$K$18:$O$18,0))))),1,0)</f>
        <v>0</v>
      </c>
      <c r="BD35">
        <f>IF((AND(VLOOKUP(BD$1,main!$A$3:$H$102,5,FALSE)-VLOOKUP($A35,main!$A$3:$H$102,6,FALSE)&gt;=(VLOOKUP(VLOOKUP(BD$1,main!$A$3:$H$102,8,FALSE),main!$K$26:$M$29,2,FALSE)+VLOOKUP(VLOOKUP(BD$1,main!$A$3:$H$102,7,FALSE),main!$K$19:$O$22,MATCH(VLOOKUP($A35,main!$A$3:$H$102,8,FALSE),main!$K$18:$O$18,0))))),1,0)</f>
        <v>1</v>
      </c>
      <c r="BE35">
        <f>IF((AND(VLOOKUP(BE$1,main!$A$3:$H$102,5,FALSE)-VLOOKUP($A35,main!$A$3:$H$102,6,FALSE)&gt;=(VLOOKUP(VLOOKUP(BE$1,main!$A$3:$H$102,8,FALSE),main!$K$26:$M$29,2,FALSE)+VLOOKUP(VLOOKUP(BE$1,main!$A$3:$H$102,7,FALSE),main!$K$19:$O$22,MATCH(VLOOKUP($A35,main!$A$3:$H$102,8,FALSE),main!$K$18:$O$18,0))))),1,0)</f>
        <v>1</v>
      </c>
      <c r="BF35">
        <f>IF((AND(VLOOKUP(BF$1,main!$A$3:$H$102,5,FALSE)-VLOOKUP($A35,main!$A$3:$H$102,6,FALSE)&gt;=(VLOOKUP(VLOOKUP(BF$1,main!$A$3:$H$102,8,FALSE),main!$K$26:$M$29,2,FALSE)+VLOOKUP(VLOOKUP(BF$1,main!$A$3:$H$102,7,FALSE),main!$K$19:$O$22,MATCH(VLOOKUP($A35,main!$A$3:$H$102,8,FALSE),main!$K$18:$O$18,0))))),1,0)</f>
        <v>0</v>
      </c>
      <c r="BG35">
        <f>IF((AND(VLOOKUP(BG$1,main!$A$3:$H$102,5,FALSE)-VLOOKUP($A35,main!$A$3:$H$102,6,FALSE)&gt;=(VLOOKUP(VLOOKUP(BG$1,main!$A$3:$H$102,8,FALSE),main!$K$26:$M$29,2,FALSE)+VLOOKUP(VLOOKUP(BG$1,main!$A$3:$H$102,7,FALSE),main!$K$19:$O$22,MATCH(VLOOKUP($A35,main!$A$3:$H$102,8,FALSE),main!$K$18:$O$18,0))))),1,0)</f>
        <v>0</v>
      </c>
      <c r="BH35">
        <f>IF((AND(VLOOKUP(BH$1,main!$A$3:$H$102,5,FALSE)-VLOOKUP($A35,main!$A$3:$H$102,6,FALSE)&gt;=(VLOOKUP(VLOOKUP(BH$1,main!$A$3:$H$102,8,FALSE),main!$K$26:$M$29,2,FALSE)+VLOOKUP(VLOOKUP(BH$1,main!$A$3:$H$102,7,FALSE),main!$K$19:$O$22,MATCH(VLOOKUP($A35,main!$A$3:$H$102,8,FALSE),main!$K$18:$O$18,0))))),1,0)</f>
        <v>0</v>
      </c>
      <c r="BI35">
        <f>IF((AND(VLOOKUP(BI$1,main!$A$3:$H$102,5,FALSE)-VLOOKUP($A35,main!$A$3:$H$102,6,FALSE)&gt;=(VLOOKUP(VLOOKUP(BI$1,main!$A$3:$H$102,8,FALSE),main!$K$26:$M$29,2,FALSE)+VLOOKUP(VLOOKUP(BI$1,main!$A$3:$H$102,7,FALSE),main!$K$19:$O$22,MATCH(VLOOKUP($A35,main!$A$3:$H$102,8,FALSE),main!$K$18:$O$18,0))))),1,0)</f>
        <v>1</v>
      </c>
      <c r="BJ35">
        <f>IF((AND(VLOOKUP(BJ$1,main!$A$3:$H$102,5,FALSE)-VLOOKUP($A35,main!$A$3:$H$102,6,FALSE)&gt;=(VLOOKUP(VLOOKUP(BJ$1,main!$A$3:$H$102,8,FALSE),main!$K$26:$M$29,2,FALSE)+VLOOKUP(VLOOKUP(BJ$1,main!$A$3:$H$102,7,FALSE),main!$K$19:$O$22,MATCH(VLOOKUP($A35,main!$A$3:$H$102,8,FALSE),main!$K$18:$O$18,0))))),1,0)</f>
        <v>1</v>
      </c>
      <c r="BK35">
        <f>IF((AND(VLOOKUP(BK$1,main!$A$3:$H$102,5,FALSE)-VLOOKUP($A35,main!$A$3:$H$102,6,FALSE)&gt;=(VLOOKUP(VLOOKUP(BK$1,main!$A$3:$H$102,8,FALSE),main!$K$26:$M$29,2,FALSE)+VLOOKUP(VLOOKUP(BK$1,main!$A$3:$H$102,7,FALSE),main!$K$19:$O$22,MATCH(VLOOKUP($A35,main!$A$3:$H$102,8,FALSE),main!$K$18:$O$18,0))))),1,0)</f>
        <v>0</v>
      </c>
      <c r="BL35">
        <f>IF((AND(VLOOKUP(BL$1,main!$A$3:$H$102,5,FALSE)-VLOOKUP($A35,main!$A$3:$H$102,6,FALSE)&gt;=(VLOOKUP(VLOOKUP(BL$1,main!$A$3:$H$102,8,FALSE),main!$K$26:$M$29,2,FALSE)+VLOOKUP(VLOOKUP(BL$1,main!$A$3:$H$102,7,FALSE),main!$K$19:$O$22,MATCH(VLOOKUP($A35,main!$A$3:$H$102,8,FALSE),main!$K$18:$O$18,0))))),1,0)</f>
        <v>0</v>
      </c>
      <c r="BM35">
        <f>IF((AND(VLOOKUP(BM$1,main!$A$3:$H$102,5,FALSE)-VLOOKUP($A35,main!$A$3:$H$102,6,FALSE)&gt;=(VLOOKUP(VLOOKUP(BM$1,main!$A$3:$H$102,8,FALSE),main!$K$26:$M$29,2,FALSE)+VLOOKUP(VLOOKUP(BM$1,main!$A$3:$H$102,7,FALSE),main!$K$19:$O$22,MATCH(VLOOKUP($A35,main!$A$3:$H$102,8,FALSE),main!$K$18:$O$18,0))))),1,0)</f>
        <v>0</v>
      </c>
      <c r="BN35">
        <f>IF((AND(VLOOKUP(BN$1,main!$A$3:$H$102,5,FALSE)-VLOOKUP($A35,main!$A$3:$H$102,6,FALSE)&gt;=(VLOOKUP(VLOOKUP(BN$1,main!$A$3:$H$102,8,FALSE),main!$K$26:$M$29,2,FALSE)+VLOOKUP(VLOOKUP(BN$1,main!$A$3:$H$102,7,FALSE),main!$K$19:$O$22,MATCH(VLOOKUP($A35,main!$A$3:$H$102,8,FALSE),main!$K$18:$O$18,0))))),1,0)</f>
        <v>1</v>
      </c>
      <c r="BO35">
        <f>IF((AND(VLOOKUP(BO$1,main!$A$3:$H$102,5,FALSE)-VLOOKUP($A35,main!$A$3:$H$102,6,FALSE)&gt;=(VLOOKUP(VLOOKUP(BO$1,main!$A$3:$H$102,8,FALSE),main!$K$26:$M$29,2,FALSE)+VLOOKUP(VLOOKUP(BO$1,main!$A$3:$H$102,7,FALSE),main!$K$19:$O$22,MATCH(VLOOKUP($A35,main!$A$3:$H$102,8,FALSE),main!$K$18:$O$18,0))))),1,0)</f>
        <v>0</v>
      </c>
      <c r="BP35">
        <f>IF((AND(VLOOKUP(BP$1,main!$A$3:$H$102,5,FALSE)-VLOOKUP($A35,main!$A$3:$H$102,6,FALSE)&gt;=(VLOOKUP(VLOOKUP(BP$1,main!$A$3:$H$102,8,FALSE),main!$K$26:$M$29,2,FALSE)+VLOOKUP(VLOOKUP(BP$1,main!$A$3:$H$102,7,FALSE),main!$K$19:$O$22,MATCH(VLOOKUP($A35,main!$A$3:$H$102,8,FALSE),main!$K$18:$O$18,0))))),1,0)</f>
        <v>0</v>
      </c>
      <c r="BQ35">
        <f>IF((AND(VLOOKUP(BQ$1,main!$A$3:$H$102,5,FALSE)-VLOOKUP($A35,main!$A$3:$H$102,6,FALSE)&gt;=(VLOOKUP(VLOOKUP(BQ$1,main!$A$3:$H$102,8,FALSE),main!$K$26:$M$29,2,FALSE)+VLOOKUP(VLOOKUP(BQ$1,main!$A$3:$H$102,7,FALSE),main!$K$19:$O$22,MATCH(VLOOKUP($A35,main!$A$3:$H$102,8,FALSE),main!$K$18:$O$18,0))))),1,0)</f>
        <v>0</v>
      </c>
      <c r="BR35">
        <f>IF((AND(VLOOKUP(BR$1,main!$A$3:$H$102,5,FALSE)-VLOOKUP($A35,main!$A$3:$H$102,6,FALSE)&gt;=(VLOOKUP(VLOOKUP(BR$1,main!$A$3:$H$102,8,FALSE),main!$K$26:$M$29,2,FALSE)+VLOOKUP(VLOOKUP(BR$1,main!$A$3:$H$102,7,FALSE),main!$K$19:$O$22,MATCH(VLOOKUP($A35,main!$A$3:$H$102,8,FALSE),main!$K$18:$O$18,0))))),1,0)</f>
        <v>0</v>
      </c>
      <c r="BS35">
        <f>IF((AND(VLOOKUP(BS$1,main!$A$3:$H$102,5,FALSE)-VLOOKUP($A35,main!$A$3:$H$102,6,FALSE)&gt;=(VLOOKUP(VLOOKUP(BS$1,main!$A$3:$H$102,8,FALSE),main!$K$26:$M$29,2,FALSE)+VLOOKUP(VLOOKUP(BS$1,main!$A$3:$H$102,7,FALSE),main!$K$19:$O$22,MATCH(VLOOKUP($A35,main!$A$3:$H$102,8,FALSE),main!$K$18:$O$18,0))))),1,0)</f>
        <v>0</v>
      </c>
      <c r="BT35">
        <f>IF((AND(VLOOKUP(BT$1,main!$A$3:$H$102,5,FALSE)-VLOOKUP($A35,main!$A$3:$H$102,6,FALSE)&gt;=(VLOOKUP(VLOOKUP(BT$1,main!$A$3:$H$102,8,FALSE),main!$K$26:$M$29,2,FALSE)+VLOOKUP(VLOOKUP(BT$1,main!$A$3:$H$102,7,FALSE),main!$K$19:$O$22,MATCH(VLOOKUP($A35,main!$A$3:$H$102,8,FALSE),main!$K$18:$O$18,0))))),1,0)</f>
        <v>0</v>
      </c>
      <c r="BU35">
        <f>IF((AND(VLOOKUP(BU$1,main!$A$3:$H$102,5,FALSE)-VLOOKUP($A35,main!$A$3:$H$102,6,FALSE)&gt;=(VLOOKUP(VLOOKUP(BU$1,main!$A$3:$H$102,8,FALSE),main!$K$26:$M$29,2,FALSE)+VLOOKUP(VLOOKUP(BU$1,main!$A$3:$H$102,7,FALSE),main!$K$19:$O$22,MATCH(VLOOKUP($A35,main!$A$3:$H$102,8,FALSE),main!$K$18:$O$18,0))))),1,0)</f>
        <v>0</v>
      </c>
      <c r="BV35">
        <f>IF((AND(VLOOKUP(BV$1,main!$A$3:$H$102,5,FALSE)-VLOOKUP($A35,main!$A$3:$H$102,6,FALSE)&gt;=(VLOOKUP(VLOOKUP(BV$1,main!$A$3:$H$102,8,FALSE),main!$K$26:$M$29,2,FALSE)+VLOOKUP(VLOOKUP(BV$1,main!$A$3:$H$102,7,FALSE),main!$K$19:$O$22,MATCH(VLOOKUP($A35,main!$A$3:$H$102,8,FALSE),main!$K$18:$O$18,0))))),1,0)</f>
        <v>0</v>
      </c>
      <c r="BW35">
        <f>IF((AND(VLOOKUP(BW$1,main!$A$3:$H$102,5,FALSE)-VLOOKUP($A35,main!$A$3:$H$102,6,FALSE)&gt;=(VLOOKUP(VLOOKUP(BW$1,main!$A$3:$H$102,8,FALSE),main!$K$26:$M$29,2,FALSE)+VLOOKUP(VLOOKUP(BW$1,main!$A$3:$H$102,7,FALSE),main!$K$19:$O$22,MATCH(VLOOKUP($A35,main!$A$3:$H$102,8,FALSE),main!$K$18:$O$18,0))))),1,0)</f>
        <v>0</v>
      </c>
      <c r="BX35">
        <f>IF((AND(VLOOKUP(BX$1,main!$A$3:$H$102,5,FALSE)-VLOOKUP($A35,main!$A$3:$H$102,6,FALSE)&gt;=(VLOOKUP(VLOOKUP(BX$1,main!$A$3:$H$102,8,FALSE),main!$K$26:$M$29,2,FALSE)+VLOOKUP(VLOOKUP(BX$1,main!$A$3:$H$102,7,FALSE),main!$K$19:$O$22,MATCH(VLOOKUP($A35,main!$A$3:$H$102,8,FALSE),main!$K$18:$O$18,0))))),1,0)</f>
        <v>0</v>
      </c>
      <c r="BY35">
        <f>IF((AND(VLOOKUP(BY$1,main!$A$3:$H$102,5,FALSE)-VLOOKUP($A35,main!$A$3:$H$102,6,FALSE)&gt;=(VLOOKUP(VLOOKUP(BY$1,main!$A$3:$H$102,8,FALSE),main!$K$26:$M$29,2,FALSE)+VLOOKUP(VLOOKUP(BY$1,main!$A$3:$H$102,7,FALSE),main!$K$19:$O$22,MATCH(VLOOKUP($A35,main!$A$3:$H$102,8,FALSE),main!$K$18:$O$18,0))))),1,0)</f>
        <v>0</v>
      </c>
      <c r="BZ35">
        <f>IF((AND(VLOOKUP(BZ$1,main!$A$3:$H$102,5,FALSE)-VLOOKUP($A35,main!$A$3:$H$102,6,FALSE)&gt;=(VLOOKUP(VLOOKUP(BZ$1,main!$A$3:$H$102,8,FALSE),main!$K$26:$M$29,2,FALSE)+VLOOKUP(VLOOKUP(BZ$1,main!$A$3:$H$102,7,FALSE),main!$K$19:$O$22,MATCH(VLOOKUP($A35,main!$A$3:$H$102,8,FALSE),main!$K$18:$O$18,0))))),1,0)</f>
        <v>0</v>
      </c>
      <c r="CA35">
        <f>IF((AND(VLOOKUP(CA$1,main!$A$3:$H$102,5,FALSE)-VLOOKUP($A35,main!$A$3:$H$102,6,FALSE)&gt;=(VLOOKUP(VLOOKUP(CA$1,main!$A$3:$H$102,8,FALSE),main!$K$26:$M$29,2,FALSE)+VLOOKUP(VLOOKUP(CA$1,main!$A$3:$H$102,7,FALSE),main!$K$19:$O$22,MATCH(VLOOKUP($A35,main!$A$3:$H$102,8,FALSE),main!$K$18:$O$18,0))))),1,0)</f>
        <v>0</v>
      </c>
      <c r="CB35">
        <f>IF((AND(VLOOKUP(CB$1,main!$A$3:$H$102,5,FALSE)-VLOOKUP($A35,main!$A$3:$H$102,6,FALSE)&gt;=(VLOOKUP(VLOOKUP(CB$1,main!$A$3:$H$102,8,FALSE),main!$K$26:$M$29,2,FALSE)+VLOOKUP(VLOOKUP(CB$1,main!$A$3:$H$102,7,FALSE),main!$K$19:$O$22,MATCH(VLOOKUP($A35,main!$A$3:$H$102,8,FALSE),main!$K$18:$O$18,0))))),1,0)</f>
        <v>1</v>
      </c>
      <c r="CC35">
        <f>IF((AND(VLOOKUP(CC$1,main!$A$3:$H$102,5,FALSE)-VLOOKUP($A35,main!$A$3:$H$102,6,FALSE)&gt;=(VLOOKUP(VLOOKUP(CC$1,main!$A$3:$H$102,8,FALSE),main!$K$26:$M$29,2,FALSE)+VLOOKUP(VLOOKUP(CC$1,main!$A$3:$H$102,7,FALSE),main!$K$19:$O$22,MATCH(VLOOKUP($A35,main!$A$3:$H$102,8,FALSE),main!$K$18:$O$18,0))))),1,0)</f>
        <v>1</v>
      </c>
      <c r="CD35">
        <f>IF((AND(VLOOKUP(CD$1,main!$A$3:$H$102,5,FALSE)-VLOOKUP($A35,main!$A$3:$H$102,6,FALSE)&gt;=(VLOOKUP(VLOOKUP(CD$1,main!$A$3:$H$102,8,FALSE),main!$K$26:$M$29,2,FALSE)+VLOOKUP(VLOOKUP(CD$1,main!$A$3:$H$102,7,FALSE),main!$K$19:$O$22,MATCH(VLOOKUP($A35,main!$A$3:$H$102,8,FALSE),main!$K$18:$O$18,0))))),1,0)</f>
        <v>0</v>
      </c>
      <c r="CE35">
        <f>IF((AND(VLOOKUP(CE$1,main!$A$3:$H$102,5,FALSE)-VLOOKUP($A35,main!$A$3:$H$102,6,FALSE)&gt;=(VLOOKUP(VLOOKUP(CE$1,main!$A$3:$H$102,8,FALSE),main!$K$26:$M$29,2,FALSE)+VLOOKUP(VLOOKUP(CE$1,main!$A$3:$H$102,7,FALSE),main!$K$19:$O$22,MATCH(VLOOKUP($A35,main!$A$3:$H$102,8,FALSE),main!$K$18:$O$18,0))))),1,0)</f>
        <v>0</v>
      </c>
      <c r="CF35">
        <f>IF((AND(VLOOKUP(CF$1,main!$A$3:$H$102,5,FALSE)-VLOOKUP($A35,main!$A$3:$H$102,6,FALSE)&gt;=(VLOOKUP(VLOOKUP(CF$1,main!$A$3:$H$102,8,FALSE),main!$K$26:$M$29,2,FALSE)+VLOOKUP(VLOOKUP(CF$1,main!$A$3:$H$102,7,FALSE),main!$K$19:$O$22,MATCH(VLOOKUP($A35,main!$A$3:$H$102,8,FALSE),main!$K$18:$O$18,0))))),1,0)</f>
        <v>0</v>
      </c>
      <c r="CG35">
        <f>IF((AND(VLOOKUP(CG$1,main!$A$3:$H$102,5,FALSE)-VLOOKUP($A35,main!$A$3:$H$102,6,FALSE)&gt;=(VLOOKUP(VLOOKUP(CG$1,main!$A$3:$H$102,8,FALSE),main!$K$26:$M$29,2,FALSE)+VLOOKUP(VLOOKUP(CG$1,main!$A$3:$H$102,7,FALSE),main!$K$19:$O$22,MATCH(VLOOKUP($A35,main!$A$3:$H$102,8,FALSE),main!$K$18:$O$18,0))))),1,0)</f>
        <v>0</v>
      </c>
      <c r="CH35">
        <f>IF((AND(VLOOKUP(CH$1,main!$A$3:$H$102,5,FALSE)-VLOOKUP($A35,main!$A$3:$H$102,6,FALSE)&gt;=(VLOOKUP(VLOOKUP(CH$1,main!$A$3:$H$102,8,FALSE),main!$K$26:$M$29,2,FALSE)+VLOOKUP(VLOOKUP(CH$1,main!$A$3:$H$102,7,FALSE),main!$K$19:$O$22,MATCH(VLOOKUP($A35,main!$A$3:$H$102,8,FALSE),main!$K$18:$O$18,0))))),1,0)</f>
        <v>1</v>
      </c>
      <c r="CI35">
        <f>IF((AND(VLOOKUP(CI$1,main!$A$3:$H$102,5,FALSE)-VLOOKUP($A35,main!$A$3:$H$102,6,FALSE)&gt;=(VLOOKUP(VLOOKUP(CI$1,main!$A$3:$H$102,8,FALSE),main!$K$26:$M$29,2,FALSE)+VLOOKUP(VLOOKUP(CI$1,main!$A$3:$H$102,7,FALSE),main!$K$19:$O$22,MATCH(VLOOKUP($A35,main!$A$3:$H$102,8,FALSE),main!$K$18:$O$18,0))))),1,0)</f>
        <v>1</v>
      </c>
      <c r="CJ35">
        <f>IF((AND(VLOOKUP(CJ$1,main!$A$3:$H$102,5,FALSE)-VLOOKUP($A35,main!$A$3:$H$102,6,FALSE)&gt;=(VLOOKUP(VLOOKUP(CJ$1,main!$A$3:$H$102,8,FALSE),main!$K$26:$M$29,2,FALSE)+VLOOKUP(VLOOKUP(CJ$1,main!$A$3:$H$102,7,FALSE),main!$K$19:$O$22,MATCH(VLOOKUP($A35,main!$A$3:$H$102,8,FALSE),main!$K$18:$O$18,0))))),1,0)</f>
        <v>0</v>
      </c>
      <c r="CK35">
        <f>IF((AND(VLOOKUP(CK$1,main!$A$3:$H$102,5,FALSE)-VLOOKUP($A35,main!$A$3:$H$102,6,FALSE)&gt;=(VLOOKUP(VLOOKUP(CK$1,main!$A$3:$H$102,8,FALSE),main!$K$26:$M$29,2,FALSE)+VLOOKUP(VLOOKUP(CK$1,main!$A$3:$H$102,7,FALSE),main!$K$19:$O$22,MATCH(VLOOKUP($A35,main!$A$3:$H$102,8,FALSE),main!$K$18:$O$18,0))))),1,0)</f>
        <v>0</v>
      </c>
      <c r="CL35">
        <f>IF((AND(VLOOKUP(CL$1,main!$A$3:$H$102,5,FALSE)-VLOOKUP($A35,main!$A$3:$H$102,6,FALSE)&gt;=(VLOOKUP(VLOOKUP(CL$1,main!$A$3:$H$102,8,FALSE),main!$K$26:$M$29,2,FALSE)+VLOOKUP(VLOOKUP(CL$1,main!$A$3:$H$102,7,FALSE),main!$K$19:$O$22,MATCH(VLOOKUP($A35,main!$A$3:$H$102,8,FALSE),main!$K$18:$O$18,0))))),1,0)</f>
        <v>0</v>
      </c>
      <c r="CM35">
        <f>IF((AND(VLOOKUP(CM$1,main!$A$3:$H$102,5,FALSE)-VLOOKUP($A35,main!$A$3:$H$102,6,FALSE)&gt;=(VLOOKUP(VLOOKUP(CM$1,main!$A$3:$H$102,8,FALSE),main!$K$26:$M$29,2,FALSE)+VLOOKUP(VLOOKUP(CM$1,main!$A$3:$H$102,7,FALSE),main!$K$19:$O$22,MATCH(VLOOKUP($A35,main!$A$3:$H$102,8,FALSE),main!$K$18:$O$18,0))))),1,0)</f>
        <v>1</v>
      </c>
      <c r="CN35">
        <f>IF((AND(VLOOKUP(CN$1,main!$A$3:$H$102,5,FALSE)-VLOOKUP($A35,main!$A$3:$H$102,6,FALSE)&gt;=(VLOOKUP(VLOOKUP(CN$1,main!$A$3:$H$102,8,FALSE),main!$K$26:$M$29,2,FALSE)+VLOOKUP(VLOOKUP(CN$1,main!$A$3:$H$102,7,FALSE),main!$K$19:$O$22,MATCH(VLOOKUP($A35,main!$A$3:$H$102,8,FALSE),main!$K$18:$O$18,0))))),1,0)</f>
        <v>1</v>
      </c>
      <c r="CO35">
        <f>IF((AND(VLOOKUP(CO$1,main!$A$3:$H$102,5,FALSE)-VLOOKUP($A35,main!$A$3:$H$102,6,FALSE)&gt;=(VLOOKUP(VLOOKUP(CO$1,main!$A$3:$H$102,8,FALSE),main!$K$26:$M$29,2,FALSE)+VLOOKUP(VLOOKUP(CO$1,main!$A$3:$H$102,7,FALSE),main!$K$19:$O$22,MATCH(VLOOKUP($A35,main!$A$3:$H$102,8,FALSE),main!$K$18:$O$18,0))))),1,0)</f>
        <v>0</v>
      </c>
      <c r="CP35">
        <f>IF((AND(VLOOKUP(CP$1,main!$A$3:$H$102,5,FALSE)-VLOOKUP($A35,main!$A$3:$H$102,6,FALSE)&gt;=(VLOOKUP(VLOOKUP(CP$1,main!$A$3:$H$102,8,FALSE),main!$K$26:$M$29,2,FALSE)+VLOOKUP(VLOOKUP(CP$1,main!$A$3:$H$102,7,FALSE),main!$K$19:$O$22,MATCH(VLOOKUP($A35,main!$A$3:$H$102,8,FALSE),main!$K$18:$O$18,0))))),1,0)</f>
        <v>0</v>
      </c>
      <c r="CQ35">
        <f>IF((AND(VLOOKUP(CQ$1,main!$A$3:$H$102,5,FALSE)-VLOOKUP($A35,main!$A$3:$H$102,6,FALSE)&gt;=(VLOOKUP(VLOOKUP(CQ$1,main!$A$3:$H$102,8,FALSE),main!$K$26:$M$29,2,FALSE)+VLOOKUP(VLOOKUP(CQ$1,main!$A$3:$H$102,7,FALSE),main!$K$19:$O$22,MATCH(VLOOKUP($A35,main!$A$3:$H$102,8,FALSE),main!$K$18:$O$18,0))))),1,0)</f>
        <v>0</v>
      </c>
      <c r="CR35">
        <f>IF((AND(VLOOKUP(CR$1,main!$A$3:$H$102,5,FALSE)-VLOOKUP($A35,main!$A$3:$H$102,6,FALSE)&gt;=(VLOOKUP(VLOOKUP(CR$1,main!$A$3:$H$102,8,FALSE),main!$K$26:$M$29,2,FALSE)+VLOOKUP(VLOOKUP(CR$1,main!$A$3:$H$102,7,FALSE),main!$K$19:$O$22,MATCH(VLOOKUP($A35,main!$A$3:$H$102,8,FALSE),main!$K$18:$O$18,0))))),1,0)</f>
        <v>1</v>
      </c>
      <c r="CS35">
        <f>IF((AND(VLOOKUP(CS$1,main!$A$3:$H$102,5,FALSE)-VLOOKUP($A35,main!$A$3:$H$102,6,FALSE)&gt;=(VLOOKUP(VLOOKUP(CS$1,main!$A$3:$H$102,8,FALSE),main!$K$26:$M$29,2,FALSE)+VLOOKUP(VLOOKUP(CS$1,main!$A$3:$H$102,7,FALSE),main!$K$19:$O$22,MATCH(VLOOKUP($A35,main!$A$3:$H$102,8,FALSE),main!$K$18:$O$18,0))))),1,0)</f>
        <v>1</v>
      </c>
      <c r="CT35">
        <f>IF((AND(VLOOKUP(CT$1,main!$A$3:$H$102,5,FALSE)-VLOOKUP($A35,main!$A$3:$H$102,6,FALSE)&gt;=(VLOOKUP(VLOOKUP(CT$1,main!$A$3:$H$102,8,FALSE),main!$K$26:$M$29,2,FALSE)+VLOOKUP(VLOOKUP(CT$1,main!$A$3:$H$102,7,FALSE),main!$K$19:$O$22,MATCH(VLOOKUP($A35,main!$A$3:$H$102,8,FALSE),main!$K$18:$O$18,0))))),1,0)</f>
        <v>0</v>
      </c>
      <c r="CU35">
        <f>IF((AND(VLOOKUP(CU$1,main!$A$3:$H$102,5,FALSE)-VLOOKUP($A35,main!$A$3:$H$102,6,FALSE)&gt;=(VLOOKUP(VLOOKUP(CU$1,main!$A$3:$H$102,8,FALSE),main!$K$26:$M$29,2,FALSE)+VLOOKUP(VLOOKUP(CU$1,main!$A$3:$H$102,7,FALSE),main!$K$19:$O$22,MATCH(VLOOKUP($A35,main!$A$3:$H$102,8,FALSE),main!$K$18:$O$18,0))))),1,0)</f>
        <v>0</v>
      </c>
      <c r="CV35">
        <f>IF((AND(VLOOKUP(CV$1,main!$A$3:$H$102,5,FALSE)-VLOOKUP($A35,main!$A$3:$H$102,6,FALSE)&gt;=(VLOOKUP(VLOOKUP(CV$1,main!$A$3:$H$102,8,FALSE),main!$K$26:$M$29,2,FALSE)+VLOOKUP(VLOOKUP(CV$1,main!$A$3:$H$102,7,FALSE),main!$K$19:$O$22,MATCH(VLOOKUP($A35,main!$A$3:$H$102,8,FALSE),main!$K$18:$O$18,0))))),1,0)</f>
        <v>0</v>
      </c>
      <c r="CW35">
        <f>IF((AND(VLOOKUP(CW$1,main!$A$3:$H$102,5,FALSE)-VLOOKUP($A35,main!$A$3:$H$102,6,FALSE)&gt;=(VLOOKUP(VLOOKUP(CW$1,main!$A$3:$H$102,8,FALSE),main!$K$26:$M$29,2,FALSE)+VLOOKUP(VLOOKUP(CW$1,main!$A$3:$H$102,7,FALSE),main!$K$19:$O$22,MATCH(VLOOKUP($A35,main!$A$3:$H$102,8,FALSE),main!$K$18:$O$18,0))))),1,0)</f>
        <v>1</v>
      </c>
      <c r="CX35">
        <f>IF((AND(VLOOKUP(CX$1,main!$A$3:$H$102,5,FALSE)-VLOOKUP($A35,main!$A$3:$H$102,6,FALSE)&gt;=(VLOOKUP(VLOOKUP(CX$1,main!$A$3:$H$102,8,FALSE),main!$K$26:$M$29,2,FALSE)+VLOOKUP(VLOOKUP(CX$1,main!$A$3:$H$102,7,FALSE),main!$K$19:$O$22,MATCH(VLOOKUP($A35,main!$A$3:$H$102,8,FALSE),main!$K$18:$O$18,0))))),1,0)</f>
        <v>1</v>
      </c>
    </row>
    <row r="36" spans="1:102" x14ac:dyDescent="0.25">
      <c r="A36" s="1">
        <v>34</v>
      </c>
      <c r="B36">
        <v>1</v>
      </c>
      <c r="C36">
        <f>IF((AND(VLOOKUP(C$1,main!$A$3:$H$102,5,FALSE)-VLOOKUP($A36,main!$A$3:$H$102,6,FALSE)&gt;=(VLOOKUP(VLOOKUP(C$1,main!$A$3:$H$102,8,FALSE),main!$K$26:$M$29,2,FALSE)+VLOOKUP(VLOOKUP(C$1,main!$A$3:$H$102,7,FALSE),main!$K$19:$O$22,MATCH(VLOOKUP($A36,main!$A$3:$H$102,8,FALSE),main!$K$18:$O$18,0))))),1,0)</f>
        <v>0</v>
      </c>
      <c r="D36">
        <f>IF((AND(VLOOKUP(D$1,main!$A$3:$H$102,5,FALSE)-VLOOKUP($A36,main!$A$3:$H$102,6,FALSE)&gt;=(VLOOKUP(VLOOKUP(D$1,main!$A$3:$H$102,8,FALSE),main!$K$26:$M$29,2,FALSE)+VLOOKUP(VLOOKUP(D$1,main!$A$3:$H$102,7,FALSE),main!$K$19:$O$22,MATCH(VLOOKUP($A36,main!$A$3:$H$102,8,FALSE),main!$K$18:$O$18,0))))),1,0)</f>
        <v>0</v>
      </c>
      <c r="E36">
        <f>IF((AND(VLOOKUP(E$1,main!$A$3:$H$102,5,FALSE)-VLOOKUP($A36,main!$A$3:$H$102,6,FALSE)&gt;=(VLOOKUP(VLOOKUP(E$1,main!$A$3:$H$102,8,FALSE),main!$K$26:$M$29,2,FALSE)+VLOOKUP(VLOOKUP(E$1,main!$A$3:$H$102,7,FALSE),main!$K$19:$O$22,MATCH(VLOOKUP($A36,main!$A$3:$H$102,8,FALSE),main!$K$18:$O$18,0))))),1,0)</f>
        <v>0</v>
      </c>
      <c r="F36">
        <f>IF((AND(VLOOKUP(F$1,main!$A$3:$H$102,5,FALSE)-VLOOKUP($A36,main!$A$3:$H$102,6,FALSE)&gt;=(VLOOKUP(VLOOKUP(F$1,main!$A$3:$H$102,8,FALSE),main!$K$26:$M$29,2,FALSE)+VLOOKUP(VLOOKUP(F$1,main!$A$3:$H$102,7,FALSE),main!$K$19:$O$22,MATCH(VLOOKUP($A36,main!$A$3:$H$102,8,FALSE),main!$K$18:$O$18,0))))),1,0)</f>
        <v>0</v>
      </c>
      <c r="G36">
        <f>IF((AND(VLOOKUP(G$1,main!$A$3:$H$102,5,FALSE)-VLOOKUP($A36,main!$A$3:$H$102,6,FALSE)&gt;=(VLOOKUP(VLOOKUP(G$1,main!$A$3:$H$102,8,FALSE),main!$K$26:$M$29,2,FALSE)+VLOOKUP(VLOOKUP(G$1,main!$A$3:$H$102,7,FALSE),main!$K$19:$O$22,MATCH(VLOOKUP($A36,main!$A$3:$H$102,8,FALSE),main!$K$18:$O$18,0))))),1,0)</f>
        <v>0</v>
      </c>
      <c r="H36">
        <f>IF((AND(VLOOKUP(H$1,main!$A$3:$H$102,5,FALSE)-VLOOKUP($A36,main!$A$3:$H$102,6,FALSE)&gt;=(VLOOKUP(VLOOKUP(H$1,main!$A$3:$H$102,8,FALSE),main!$K$26:$M$29,2,FALSE)+VLOOKUP(VLOOKUP(H$1,main!$A$3:$H$102,7,FALSE),main!$K$19:$O$22,MATCH(VLOOKUP($A36,main!$A$3:$H$102,8,FALSE),main!$K$18:$O$18,0))))),1,0)</f>
        <v>0</v>
      </c>
      <c r="I36">
        <f>IF((AND(VLOOKUP(I$1,main!$A$3:$H$102,5,FALSE)-VLOOKUP($A36,main!$A$3:$H$102,6,FALSE)&gt;=(VLOOKUP(VLOOKUP(I$1,main!$A$3:$H$102,8,FALSE),main!$K$26:$M$29,2,FALSE)+VLOOKUP(VLOOKUP(I$1,main!$A$3:$H$102,7,FALSE),main!$K$19:$O$22,MATCH(VLOOKUP($A36,main!$A$3:$H$102,8,FALSE),main!$K$18:$O$18,0))))),1,0)</f>
        <v>1</v>
      </c>
      <c r="J36">
        <f>IF((AND(VLOOKUP(J$1,main!$A$3:$H$102,5,FALSE)-VLOOKUP($A36,main!$A$3:$H$102,6,FALSE)&gt;=(VLOOKUP(VLOOKUP(J$1,main!$A$3:$H$102,8,FALSE),main!$K$26:$M$29,2,FALSE)+VLOOKUP(VLOOKUP(J$1,main!$A$3:$H$102,7,FALSE),main!$K$19:$O$22,MATCH(VLOOKUP($A36,main!$A$3:$H$102,8,FALSE),main!$K$18:$O$18,0))))),1,0)</f>
        <v>1</v>
      </c>
      <c r="K36">
        <f>IF((AND(VLOOKUP(K$1,main!$A$3:$H$102,5,FALSE)-VLOOKUP($A36,main!$A$3:$H$102,6,FALSE)&gt;=(VLOOKUP(VLOOKUP(K$1,main!$A$3:$H$102,8,FALSE),main!$K$26:$M$29,2,FALSE)+VLOOKUP(VLOOKUP(K$1,main!$A$3:$H$102,7,FALSE),main!$K$19:$O$22,MATCH(VLOOKUP($A36,main!$A$3:$H$102,8,FALSE),main!$K$18:$O$18,0))))),1,0)</f>
        <v>1</v>
      </c>
      <c r="L36">
        <f>IF((AND(VLOOKUP(L$1,main!$A$3:$H$102,5,FALSE)-VLOOKUP($A36,main!$A$3:$H$102,6,FALSE)&gt;=(VLOOKUP(VLOOKUP(L$1,main!$A$3:$H$102,8,FALSE),main!$K$26:$M$29,2,FALSE)+VLOOKUP(VLOOKUP(L$1,main!$A$3:$H$102,7,FALSE),main!$K$19:$O$22,MATCH(VLOOKUP($A36,main!$A$3:$H$102,8,FALSE),main!$K$18:$O$18,0))))),1,0)</f>
        <v>1</v>
      </c>
      <c r="M36">
        <f>IF((AND(VLOOKUP(M$1,main!$A$3:$H$102,5,FALSE)-VLOOKUP($A36,main!$A$3:$H$102,6,FALSE)&gt;=(VLOOKUP(VLOOKUP(M$1,main!$A$3:$H$102,8,FALSE),main!$K$26:$M$29,2,FALSE)+VLOOKUP(VLOOKUP(M$1,main!$A$3:$H$102,7,FALSE),main!$K$19:$O$22,MATCH(VLOOKUP($A36,main!$A$3:$H$102,8,FALSE),main!$K$18:$O$18,0))))),1,0)</f>
        <v>0</v>
      </c>
      <c r="N36">
        <f>IF((AND(VLOOKUP(N$1,main!$A$3:$H$102,5,FALSE)-VLOOKUP($A36,main!$A$3:$H$102,6,FALSE)&gt;=(VLOOKUP(VLOOKUP(N$1,main!$A$3:$H$102,8,FALSE),main!$K$26:$M$29,2,FALSE)+VLOOKUP(VLOOKUP(N$1,main!$A$3:$H$102,7,FALSE),main!$K$19:$O$22,MATCH(VLOOKUP($A36,main!$A$3:$H$102,8,FALSE),main!$K$18:$O$18,0))))),1,0)</f>
        <v>0</v>
      </c>
      <c r="O36">
        <f>IF((AND(VLOOKUP(O$1,main!$A$3:$H$102,5,FALSE)-VLOOKUP($A36,main!$A$3:$H$102,6,FALSE)&gt;=(VLOOKUP(VLOOKUP(O$1,main!$A$3:$H$102,8,FALSE),main!$K$26:$M$29,2,FALSE)+VLOOKUP(VLOOKUP(O$1,main!$A$3:$H$102,7,FALSE),main!$K$19:$O$22,MATCH(VLOOKUP($A36,main!$A$3:$H$102,8,FALSE),main!$K$18:$O$18,0))))),1,0)</f>
        <v>0</v>
      </c>
      <c r="P36">
        <f>IF((AND(VLOOKUP(P$1,main!$A$3:$H$102,5,FALSE)-VLOOKUP($A36,main!$A$3:$H$102,6,FALSE)&gt;=(VLOOKUP(VLOOKUP(P$1,main!$A$3:$H$102,8,FALSE),main!$K$26:$M$29,2,FALSE)+VLOOKUP(VLOOKUP(P$1,main!$A$3:$H$102,7,FALSE),main!$K$19:$O$22,MATCH(VLOOKUP($A36,main!$A$3:$H$102,8,FALSE),main!$K$18:$O$18,0))))),1,0)</f>
        <v>0</v>
      </c>
      <c r="Q36">
        <f>IF((AND(VLOOKUP(Q$1,main!$A$3:$H$102,5,FALSE)-VLOOKUP($A36,main!$A$3:$H$102,6,FALSE)&gt;=(VLOOKUP(VLOOKUP(Q$1,main!$A$3:$H$102,8,FALSE),main!$K$26:$M$29,2,FALSE)+VLOOKUP(VLOOKUP(Q$1,main!$A$3:$H$102,7,FALSE),main!$K$19:$O$22,MATCH(VLOOKUP($A36,main!$A$3:$H$102,8,FALSE),main!$K$18:$O$18,0))))),1,0)</f>
        <v>0</v>
      </c>
      <c r="R36">
        <f>IF((AND(VLOOKUP(R$1,main!$A$3:$H$102,5,FALSE)-VLOOKUP($A36,main!$A$3:$H$102,6,FALSE)&gt;=(VLOOKUP(VLOOKUP(R$1,main!$A$3:$H$102,8,FALSE),main!$K$26:$M$29,2,FALSE)+VLOOKUP(VLOOKUP(R$1,main!$A$3:$H$102,7,FALSE),main!$K$19:$O$22,MATCH(VLOOKUP($A36,main!$A$3:$H$102,8,FALSE),main!$K$18:$O$18,0))))),1,0)</f>
        <v>0</v>
      </c>
      <c r="S36">
        <f>IF((AND(VLOOKUP(S$1,main!$A$3:$H$102,5,FALSE)-VLOOKUP($A36,main!$A$3:$H$102,6,FALSE)&gt;=(VLOOKUP(VLOOKUP(S$1,main!$A$3:$H$102,8,FALSE),main!$K$26:$M$29,2,FALSE)+VLOOKUP(VLOOKUP(S$1,main!$A$3:$H$102,7,FALSE),main!$K$19:$O$22,MATCH(VLOOKUP($A36,main!$A$3:$H$102,8,FALSE),main!$K$18:$O$18,0))))),1,0)</f>
        <v>0</v>
      </c>
      <c r="T36">
        <f>IF((AND(VLOOKUP(T$1,main!$A$3:$H$102,5,FALSE)-VLOOKUP($A36,main!$A$3:$H$102,6,FALSE)&gt;=(VLOOKUP(VLOOKUP(T$1,main!$A$3:$H$102,8,FALSE),main!$K$26:$M$29,2,FALSE)+VLOOKUP(VLOOKUP(T$1,main!$A$3:$H$102,7,FALSE),main!$K$19:$O$22,MATCH(VLOOKUP($A36,main!$A$3:$H$102,8,FALSE),main!$K$18:$O$18,0))))),1,0)</f>
        <v>1</v>
      </c>
      <c r="U36">
        <f>IF((AND(VLOOKUP(U$1,main!$A$3:$H$102,5,FALSE)-VLOOKUP($A36,main!$A$3:$H$102,6,FALSE)&gt;=(VLOOKUP(VLOOKUP(U$1,main!$A$3:$H$102,8,FALSE),main!$K$26:$M$29,2,FALSE)+VLOOKUP(VLOOKUP(U$1,main!$A$3:$H$102,7,FALSE),main!$K$19:$O$22,MATCH(VLOOKUP($A36,main!$A$3:$H$102,8,FALSE),main!$K$18:$O$18,0))))),1,0)</f>
        <v>1</v>
      </c>
      <c r="V36">
        <f>IF((AND(VLOOKUP(V$1,main!$A$3:$H$102,5,FALSE)-VLOOKUP($A36,main!$A$3:$H$102,6,FALSE)&gt;=(VLOOKUP(VLOOKUP(V$1,main!$A$3:$H$102,8,FALSE),main!$K$26:$M$29,2,FALSE)+VLOOKUP(VLOOKUP(V$1,main!$A$3:$H$102,7,FALSE),main!$K$19:$O$22,MATCH(VLOOKUP($A36,main!$A$3:$H$102,8,FALSE),main!$K$18:$O$18,0))))),1,0)</f>
        <v>1</v>
      </c>
      <c r="W36">
        <f>IF((AND(VLOOKUP(W$1,main!$A$3:$H$102,5,FALSE)-VLOOKUP($A36,main!$A$3:$H$102,6,FALSE)&gt;=(VLOOKUP(VLOOKUP(W$1,main!$A$3:$H$102,8,FALSE),main!$K$26:$M$29,2,FALSE)+VLOOKUP(VLOOKUP(W$1,main!$A$3:$H$102,7,FALSE),main!$K$19:$O$22,MATCH(VLOOKUP($A36,main!$A$3:$H$102,8,FALSE),main!$K$18:$O$18,0))))),1,0)</f>
        <v>0</v>
      </c>
      <c r="X36">
        <f>IF((AND(VLOOKUP(X$1,main!$A$3:$H$102,5,FALSE)-VLOOKUP($A36,main!$A$3:$H$102,6,FALSE)&gt;=(VLOOKUP(VLOOKUP(X$1,main!$A$3:$H$102,8,FALSE),main!$K$26:$M$29,2,FALSE)+VLOOKUP(VLOOKUP(X$1,main!$A$3:$H$102,7,FALSE),main!$K$19:$O$22,MATCH(VLOOKUP($A36,main!$A$3:$H$102,8,FALSE),main!$K$18:$O$18,0))))),1,0)</f>
        <v>0</v>
      </c>
      <c r="Y36">
        <f>IF((AND(VLOOKUP(Y$1,main!$A$3:$H$102,5,FALSE)-VLOOKUP($A36,main!$A$3:$H$102,6,FALSE)&gt;=(VLOOKUP(VLOOKUP(Y$1,main!$A$3:$H$102,8,FALSE),main!$K$26:$M$29,2,FALSE)+VLOOKUP(VLOOKUP(Y$1,main!$A$3:$H$102,7,FALSE),main!$K$19:$O$22,MATCH(VLOOKUP($A36,main!$A$3:$H$102,8,FALSE),main!$K$18:$O$18,0))))),1,0)</f>
        <v>0</v>
      </c>
      <c r="Z36">
        <f>IF((AND(VLOOKUP(Z$1,main!$A$3:$H$102,5,FALSE)-VLOOKUP($A36,main!$A$3:$H$102,6,FALSE)&gt;=(VLOOKUP(VLOOKUP(Z$1,main!$A$3:$H$102,8,FALSE),main!$K$26:$M$29,2,FALSE)+VLOOKUP(VLOOKUP(Z$1,main!$A$3:$H$102,7,FALSE),main!$K$19:$O$22,MATCH(VLOOKUP($A36,main!$A$3:$H$102,8,FALSE),main!$K$18:$O$18,0))))),1,0)</f>
        <v>1</v>
      </c>
      <c r="AA36">
        <f>IF((AND(VLOOKUP(AA$1,main!$A$3:$H$102,5,FALSE)-VLOOKUP($A36,main!$A$3:$H$102,6,FALSE)&gt;=(VLOOKUP(VLOOKUP(AA$1,main!$A$3:$H$102,8,FALSE),main!$K$26:$M$29,2,FALSE)+VLOOKUP(VLOOKUP(AA$1,main!$A$3:$H$102,7,FALSE),main!$K$19:$O$22,MATCH(VLOOKUP($A36,main!$A$3:$H$102,8,FALSE),main!$K$18:$O$18,0))))),1,0)</f>
        <v>1</v>
      </c>
      <c r="AB36">
        <f>IF((AND(VLOOKUP(AB$1,main!$A$3:$H$102,5,FALSE)-VLOOKUP($A36,main!$A$3:$H$102,6,FALSE)&gt;=(VLOOKUP(VLOOKUP(AB$1,main!$A$3:$H$102,8,FALSE),main!$K$26:$M$29,2,FALSE)+VLOOKUP(VLOOKUP(AB$1,main!$A$3:$H$102,7,FALSE),main!$K$19:$O$22,MATCH(VLOOKUP($A36,main!$A$3:$H$102,8,FALSE),main!$K$18:$O$18,0))))),1,0)</f>
        <v>0</v>
      </c>
      <c r="AC36">
        <f>IF((AND(VLOOKUP(AC$1,main!$A$3:$H$102,5,FALSE)-VLOOKUP($A36,main!$A$3:$H$102,6,FALSE)&gt;=(VLOOKUP(VLOOKUP(AC$1,main!$A$3:$H$102,8,FALSE),main!$K$26:$M$29,2,FALSE)+VLOOKUP(VLOOKUP(AC$1,main!$A$3:$H$102,7,FALSE),main!$K$19:$O$22,MATCH(VLOOKUP($A36,main!$A$3:$H$102,8,FALSE),main!$K$18:$O$18,0))))),1,0)</f>
        <v>0</v>
      </c>
      <c r="AD36">
        <f>IF((AND(VLOOKUP(AD$1,main!$A$3:$H$102,5,FALSE)-VLOOKUP($A36,main!$A$3:$H$102,6,FALSE)&gt;=(VLOOKUP(VLOOKUP(AD$1,main!$A$3:$H$102,8,FALSE),main!$K$26:$M$29,2,FALSE)+VLOOKUP(VLOOKUP(AD$1,main!$A$3:$H$102,7,FALSE),main!$K$19:$O$22,MATCH(VLOOKUP($A36,main!$A$3:$H$102,8,FALSE),main!$K$18:$O$18,0))))),1,0)</f>
        <v>0</v>
      </c>
      <c r="AE36">
        <f>IF((AND(VLOOKUP(AE$1,main!$A$3:$H$102,5,FALSE)-VLOOKUP($A36,main!$A$3:$H$102,6,FALSE)&gt;=(VLOOKUP(VLOOKUP(AE$1,main!$A$3:$H$102,8,FALSE),main!$K$26:$M$29,2,FALSE)+VLOOKUP(VLOOKUP(AE$1,main!$A$3:$H$102,7,FALSE),main!$K$19:$O$22,MATCH(VLOOKUP($A36,main!$A$3:$H$102,8,FALSE),main!$K$18:$O$18,0))))),1,0)</f>
        <v>0</v>
      </c>
      <c r="AF36">
        <f>IF((AND(VLOOKUP(AF$1,main!$A$3:$H$102,5,FALSE)-VLOOKUP($A36,main!$A$3:$H$102,6,FALSE)&gt;=(VLOOKUP(VLOOKUP(AF$1,main!$A$3:$H$102,8,FALSE),main!$K$26:$M$29,2,FALSE)+VLOOKUP(VLOOKUP(AF$1,main!$A$3:$H$102,7,FALSE),main!$K$19:$O$22,MATCH(VLOOKUP($A36,main!$A$3:$H$102,8,FALSE),main!$K$18:$O$18,0))))),1,0)</f>
        <v>1</v>
      </c>
      <c r="AG36">
        <f>IF((AND(VLOOKUP(AG$1,main!$A$3:$H$102,5,FALSE)-VLOOKUP($A36,main!$A$3:$H$102,6,FALSE)&gt;=(VLOOKUP(VLOOKUP(AG$1,main!$A$3:$H$102,8,FALSE),main!$K$26:$M$29,2,FALSE)+VLOOKUP(VLOOKUP(AG$1,main!$A$3:$H$102,7,FALSE),main!$K$19:$O$22,MATCH(VLOOKUP($A36,main!$A$3:$H$102,8,FALSE),main!$K$18:$O$18,0))))),1,0)</f>
        <v>0</v>
      </c>
      <c r="AH36">
        <f>IF((AND(VLOOKUP(AH$1,main!$A$3:$H$102,5,FALSE)-VLOOKUP($A36,main!$A$3:$H$102,6,FALSE)&gt;=(VLOOKUP(VLOOKUP(AH$1,main!$A$3:$H$102,8,FALSE),main!$K$26:$M$29,2,FALSE)+VLOOKUP(VLOOKUP(AH$1,main!$A$3:$H$102,7,FALSE),main!$K$19:$O$22,MATCH(VLOOKUP($A36,main!$A$3:$H$102,8,FALSE),main!$K$18:$O$18,0))))),1,0)</f>
        <v>0</v>
      </c>
      <c r="AI36">
        <f>IF((AND(VLOOKUP(AI$1,main!$A$3:$H$102,5,FALSE)-VLOOKUP($A36,main!$A$3:$H$102,6,FALSE)&gt;=(VLOOKUP(VLOOKUP(AI$1,main!$A$3:$H$102,8,FALSE),main!$K$26:$M$29,2,FALSE)+VLOOKUP(VLOOKUP(AI$1,main!$A$3:$H$102,7,FALSE),main!$K$19:$O$22,MATCH(VLOOKUP($A36,main!$A$3:$H$102,8,FALSE),main!$K$18:$O$18,0))))),1,0)</f>
        <v>0</v>
      </c>
      <c r="AJ36">
        <f>IF((AND(VLOOKUP(AJ$1,main!$A$3:$H$102,5,FALSE)-VLOOKUP($A36,main!$A$3:$H$102,6,FALSE)&gt;=(VLOOKUP(VLOOKUP(AJ$1,main!$A$3:$H$102,8,FALSE),main!$K$26:$M$29,2,FALSE)+VLOOKUP(VLOOKUP(AJ$1,main!$A$3:$H$102,7,FALSE),main!$K$19:$O$22,MATCH(VLOOKUP($A36,main!$A$3:$H$102,8,FALSE),main!$K$18:$O$18,0))))),1,0)</f>
        <v>0</v>
      </c>
      <c r="AK36">
        <f>IF((AND(VLOOKUP(AK$1,main!$A$3:$H$102,5,FALSE)-VLOOKUP($A36,main!$A$3:$H$102,6,FALSE)&gt;=(VLOOKUP(VLOOKUP(AK$1,main!$A$3:$H$102,8,FALSE),main!$K$26:$M$29,2,FALSE)+VLOOKUP(VLOOKUP(AK$1,main!$A$3:$H$102,7,FALSE),main!$K$19:$O$22,MATCH(VLOOKUP($A36,main!$A$3:$H$102,8,FALSE),main!$K$18:$O$18,0))))),1,0)</f>
        <v>0</v>
      </c>
      <c r="AL36">
        <f>IF((AND(VLOOKUP(AL$1,main!$A$3:$H$102,5,FALSE)-VLOOKUP($A36,main!$A$3:$H$102,6,FALSE)&gt;=(VLOOKUP(VLOOKUP(AL$1,main!$A$3:$H$102,8,FALSE),main!$K$26:$M$29,2,FALSE)+VLOOKUP(VLOOKUP(AL$1,main!$A$3:$H$102,7,FALSE),main!$K$19:$O$22,MATCH(VLOOKUP($A36,main!$A$3:$H$102,8,FALSE),main!$K$18:$O$18,0))))),1,0)</f>
        <v>1</v>
      </c>
      <c r="AM36">
        <f>IF((AND(VLOOKUP(AM$1,main!$A$3:$H$102,5,FALSE)-VLOOKUP($A36,main!$A$3:$H$102,6,FALSE)&gt;=(VLOOKUP(VLOOKUP(AM$1,main!$A$3:$H$102,8,FALSE),main!$K$26:$M$29,2,FALSE)+VLOOKUP(VLOOKUP(AM$1,main!$A$3:$H$102,7,FALSE),main!$K$19:$O$22,MATCH(VLOOKUP($A36,main!$A$3:$H$102,8,FALSE),main!$K$18:$O$18,0))))),1,0)</f>
        <v>1</v>
      </c>
      <c r="AN36">
        <f>IF((AND(VLOOKUP(AN$1,main!$A$3:$H$102,5,FALSE)-VLOOKUP($A36,main!$A$3:$H$102,6,FALSE)&gt;=(VLOOKUP(VLOOKUP(AN$1,main!$A$3:$H$102,8,FALSE),main!$K$26:$M$29,2,FALSE)+VLOOKUP(VLOOKUP(AN$1,main!$A$3:$H$102,7,FALSE),main!$K$19:$O$22,MATCH(VLOOKUP($A36,main!$A$3:$H$102,8,FALSE),main!$K$18:$O$18,0))))),1,0)</f>
        <v>1</v>
      </c>
      <c r="AO36">
        <f>IF((AND(VLOOKUP(AO$1,main!$A$3:$H$102,5,FALSE)-VLOOKUP($A36,main!$A$3:$H$102,6,FALSE)&gt;=(VLOOKUP(VLOOKUP(AO$1,main!$A$3:$H$102,8,FALSE),main!$K$26:$M$29,2,FALSE)+VLOOKUP(VLOOKUP(AO$1,main!$A$3:$H$102,7,FALSE),main!$K$19:$O$22,MATCH(VLOOKUP($A36,main!$A$3:$H$102,8,FALSE),main!$K$18:$O$18,0))))),1,0)</f>
        <v>0</v>
      </c>
      <c r="AP36">
        <f>IF((AND(VLOOKUP(AP$1,main!$A$3:$H$102,5,FALSE)-VLOOKUP($A36,main!$A$3:$H$102,6,FALSE)&gt;=(VLOOKUP(VLOOKUP(AP$1,main!$A$3:$H$102,8,FALSE),main!$K$26:$M$29,2,FALSE)+VLOOKUP(VLOOKUP(AP$1,main!$A$3:$H$102,7,FALSE),main!$K$19:$O$22,MATCH(VLOOKUP($A36,main!$A$3:$H$102,8,FALSE),main!$K$18:$O$18,0))))),1,0)</f>
        <v>1</v>
      </c>
      <c r="AQ36">
        <f>IF((AND(VLOOKUP(AQ$1,main!$A$3:$H$102,5,FALSE)-VLOOKUP($A36,main!$A$3:$H$102,6,FALSE)&gt;=(VLOOKUP(VLOOKUP(AQ$1,main!$A$3:$H$102,8,FALSE),main!$K$26:$M$29,2,FALSE)+VLOOKUP(VLOOKUP(AQ$1,main!$A$3:$H$102,7,FALSE),main!$K$19:$O$22,MATCH(VLOOKUP($A36,main!$A$3:$H$102,8,FALSE),main!$K$18:$O$18,0))))),1,0)</f>
        <v>0</v>
      </c>
      <c r="AR36">
        <f>IF((AND(VLOOKUP(AR$1,main!$A$3:$H$102,5,FALSE)-VLOOKUP($A36,main!$A$3:$H$102,6,FALSE)&gt;=(VLOOKUP(VLOOKUP(AR$1,main!$A$3:$H$102,8,FALSE),main!$K$26:$M$29,2,FALSE)+VLOOKUP(VLOOKUP(AR$1,main!$A$3:$H$102,7,FALSE),main!$K$19:$O$22,MATCH(VLOOKUP($A36,main!$A$3:$H$102,8,FALSE),main!$K$18:$O$18,0))))),1,0)</f>
        <v>0</v>
      </c>
      <c r="AS36">
        <f>IF((AND(VLOOKUP(AS$1,main!$A$3:$H$102,5,FALSE)-VLOOKUP($A36,main!$A$3:$H$102,6,FALSE)&gt;=(VLOOKUP(VLOOKUP(AS$1,main!$A$3:$H$102,8,FALSE),main!$K$26:$M$29,2,FALSE)+VLOOKUP(VLOOKUP(AS$1,main!$A$3:$H$102,7,FALSE),main!$K$19:$O$22,MATCH(VLOOKUP($A36,main!$A$3:$H$102,8,FALSE),main!$K$18:$O$18,0))))),1,0)</f>
        <v>0</v>
      </c>
      <c r="AT36">
        <f>IF((AND(VLOOKUP(AT$1,main!$A$3:$H$102,5,FALSE)-VLOOKUP($A36,main!$A$3:$H$102,6,FALSE)&gt;=(VLOOKUP(VLOOKUP(AT$1,main!$A$3:$H$102,8,FALSE),main!$K$26:$M$29,2,FALSE)+VLOOKUP(VLOOKUP(AT$1,main!$A$3:$H$102,7,FALSE),main!$K$19:$O$22,MATCH(VLOOKUP($A36,main!$A$3:$H$102,8,FALSE),main!$K$18:$O$18,0))))),1,0)</f>
        <v>0</v>
      </c>
      <c r="AU36">
        <f>IF((AND(VLOOKUP(AU$1,main!$A$3:$H$102,5,FALSE)-VLOOKUP($A36,main!$A$3:$H$102,6,FALSE)&gt;=(VLOOKUP(VLOOKUP(AU$1,main!$A$3:$H$102,8,FALSE),main!$K$26:$M$29,2,FALSE)+VLOOKUP(VLOOKUP(AU$1,main!$A$3:$H$102,7,FALSE),main!$K$19:$O$22,MATCH(VLOOKUP($A36,main!$A$3:$H$102,8,FALSE),main!$K$18:$O$18,0))))),1,0)</f>
        <v>0</v>
      </c>
      <c r="AV36">
        <f>IF((AND(VLOOKUP(AV$1,main!$A$3:$H$102,5,FALSE)-VLOOKUP($A36,main!$A$3:$H$102,6,FALSE)&gt;=(VLOOKUP(VLOOKUP(AV$1,main!$A$3:$H$102,8,FALSE),main!$K$26:$M$29,2,FALSE)+VLOOKUP(VLOOKUP(AV$1,main!$A$3:$H$102,7,FALSE),main!$K$19:$O$22,MATCH(VLOOKUP($A36,main!$A$3:$H$102,8,FALSE),main!$K$18:$O$18,0))))),1,0)</f>
        <v>0</v>
      </c>
      <c r="AW36">
        <f>IF((AND(VLOOKUP(AW$1,main!$A$3:$H$102,5,FALSE)-VLOOKUP($A36,main!$A$3:$H$102,6,FALSE)&gt;=(VLOOKUP(VLOOKUP(AW$1,main!$A$3:$H$102,8,FALSE),main!$K$26:$M$29,2,FALSE)+VLOOKUP(VLOOKUP(AW$1,main!$A$3:$H$102,7,FALSE),main!$K$19:$O$22,MATCH(VLOOKUP($A36,main!$A$3:$H$102,8,FALSE),main!$K$18:$O$18,0))))),1,0)</f>
        <v>0</v>
      </c>
      <c r="AX36">
        <f>IF((AND(VLOOKUP(AX$1,main!$A$3:$H$102,5,FALSE)-VLOOKUP($A36,main!$A$3:$H$102,6,FALSE)&gt;=(VLOOKUP(VLOOKUP(AX$1,main!$A$3:$H$102,8,FALSE),main!$K$26:$M$29,2,FALSE)+VLOOKUP(VLOOKUP(AX$1,main!$A$3:$H$102,7,FALSE),main!$K$19:$O$22,MATCH(VLOOKUP($A36,main!$A$3:$H$102,8,FALSE),main!$K$18:$O$18,0))))),1,0)</f>
        <v>0</v>
      </c>
      <c r="AY36">
        <f>IF((AND(VLOOKUP(AY$1,main!$A$3:$H$102,5,FALSE)-VLOOKUP($A36,main!$A$3:$H$102,6,FALSE)&gt;=(VLOOKUP(VLOOKUP(AY$1,main!$A$3:$H$102,8,FALSE),main!$K$26:$M$29,2,FALSE)+VLOOKUP(VLOOKUP(AY$1,main!$A$3:$H$102,7,FALSE),main!$K$19:$O$22,MATCH(VLOOKUP($A36,main!$A$3:$H$102,8,FALSE),main!$K$18:$O$18,0))))),1,0)</f>
        <v>0</v>
      </c>
      <c r="AZ36">
        <f>IF((AND(VLOOKUP(AZ$1,main!$A$3:$H$102,5,FALSE)-VLOOKUP($A36,main!$A$3:$H$102,6,FALSE)&gt;=(VLOOKUP(VLOOKUP(AZ$1,main!$A$3:$H$102,8,FALSE),main!$K$26:$M$29,2,FALSE)+VLOOKUP(VLOOKUP(AZ$1,main!$A$3:$H$102,7,FALSE),main!$K$19:$O$22,MATCH(VLOOKUP($A36,main!$A$3:$H$102,8,FALSE),main!$K$18:$O$18,0))))),1,0)</f>
        <v>0</v>
      </c>
      <c r="BA36">
        <f>IF((AND(VLOOKUP(BA$1,main!$A$3:$H$102,5,FALSE)-VLOOKUP($A36,main!$A$3:$H$102,6,FALSE)&gt;=(VLOOKUP(VLOOKUP(BA$1,main!$A$3:$H$102,8,FALSE),main!$K$26:$M$29,2,FALSE)+VLOOKUP(VLOOKUP(BA$1,main!$A$3:$H$102,7,FALSE),main!$K$19:$O$22,MATCH(VLOOKUP($A36,main!$A$3:$H$102,8,FALSE),main!$K$18:$O$18,0))))),1,0)</f>
        <v>0</v>
      </c>
      <c r="BB36">
        <f>IF((AND(VLOOKUP(BB$1,main!$A$3:$H$102,5,FALSE)-VLOOKUP($A36,main!$A$3:$H$102,6,FALSE)&gt;=(VLOOKUP(VLOOKUP(BB$1,main!$A$3:$H$102,8,FALSE),main!$K$26:$M$29,2,FALSE)+VLOOKUP(VLOOKUP(BB$1,main!$A$3:$H$102,7,FALSE),main!$K$19:$O$22,MATCH(VLOOKUP($A36,main!$A$3:$H$102,8,FALSE),main!$K$18:$O$18,0))))),1,0)</f>
        <v>0</v>
      </c>
      <c r="BC36">
        <f>IF((AND(VLOOKUP(BC$1,main!$A$3:$H$102,5,FALSE)-VLOOKUP($A36,main!$A$3:$H$102,6,FALSE)&gt;=(VLOOKUP(VLOOKUP(BC$1,main!$A$3:$H$102,8,FALSE),main!$K$26:$M$29,2,FALSE)+VLOOKUP(VLOOKUP(BC$1,main!$A$3:$H$102,7,FALSE),main!$K$19:$O$22,MATCH(VLOOKUP($A36,main!$A$3:$H$102,8,FALSE),main!$K$18:$O$18,0))))),1,0)</f>
        <v>0</v>
      </c>
      <c r="BD36">
        <f>IF((AND(VLOOKUP(BD$1,main!$A$3:$H$102,5,FALSE)-VLOOKUP($A36,main!$A$3:$H$102,6,FALSE)&gt;=(VLOOKUP(VLOOKUP(BD$1,main!$A$3:$H$102,8,FALSE),main!$K$26:$M$29,2,FALSE)+VLOOKUP(VLOOKUP(BD$1,main!$A$3:$H$102,7,FALSE),main!$K$19:$O$22,MATCH(VLOOKUP($A36,main!$A$3:$H$102,8,FALSE),main!$K$18:$O$18,0))))),1,0)</f>
        <v>0</v>
      </c>
      <c r="BE36">
        <f>IF((AND(VLOOKUP(BE$1,main!$A$3:$H$102,5,FALSE)-VLOOKUP($A36,main!$A$3:$H$102,6,FALSE)&gt;=(VLOOKUP(VLOOKUP(BE$1,main!$A$3:$H$102,8,FALSE),main!$K$26:$M$29,2,FALSE)+VLOOKUP(VLOOKUP(BE$1,main!$A$3:$H$102,7,FALSE),main!$K$19:$O$22,MATCH(VLOOKUP($A36,main!$A$3:$H$102,8,FALSE),main!$K$18:$O$18,0))))),1,0)</f>
        <v>1</v>
      </c>
      <c r="BF36">
        <f>IF((AND(VLOOKUP(BF$1,main!$A$3:$H$102,5,FALSE)-VLOOKUP($A36,main!$A$3:$H$102,6,FALSE)&gt;=(VLOOKUP(VLOOKUP(BF$1,main!$A$3:$H$102,8,FALSE),main!$K$26:$M$29,2,FALSE)+VLOOKUP(VLOOKUP(BF$1,main!$A$3:$H$102,7,FALSE),main!$K$19:$O$22,MATCH(VLOOKUP($A36,main!$A$3:$H$102,8,FALSE),main!$K$18:$O$18,0))))),1,0)</f>
        <v>0</v>
      </c>
      <c r="BG36">
        <f>IF((AND(VLOOKUP(BG$1,main!$A$3:$H$102,5,FALSE)-VLOOKUP($A36,main!$A$3:$H$102,6,FALSE)&gt;=(VLOOKUP(VLOOKUP(BG$1,main!$A$3:$H$102,8,FALSE),main!$K$26:$M$29,2,FALSE)+VLOOKUP(VLOOKUP(BG$1,main!$A$3:$H$102,7,FALSE),main!$K$19:$O$22,MATCH(VLOOKUP($A36,main!$A$3:$H$102,8,FALSE),main!$K$18:$O$18,0))))),1,0)</f>
        <v>0</v>
      </c>
      <c r="BH36">
        <f>IF((AND(VLOOKUP(BH$1,main!$A$3:$H$102,5,FALSE)-VLOOKUP($A36,main!$A$3:$H$102,6,FALSE)&gt;=(VLOOKUP(VLOOKUP(BH$1,main!$A$3:$H$102,8,FALSE),main!$K$26:$M$29,2,FALSE)+VLOOKUP(VLOOKUP(BH$1,main!$A$3:$H$102,7,FALSE),main!$K$19:$O$22,MATCH(VLOOKUP($A36,main!$A$3:$H$102,8,FALSE),main!$K$18:$O$18,0))))),1,0)</f>
        <v>0</v>
      </c>
      <c r="BI36">
        <f>IF((AND(VLOOKUP(BI$1,main!$A$3:$H$102,5,FALSE)-VLOOKUP($A36,main!$A$3:$H$102,6,FALSE)&gt;=(VLOOKUP(VLOOKUP(BI$1,main!$A$3:$H$102,8,FALSE),main!$K$26:$M$29,2,FALSE)+VLOOKUP(VLOOKUP(BI$1,main!$A$3:$H$102,7,FALSE),main!$K$19:$O$22,MATCH(VLOOKUP($A36,main!$A$3:$H$102,8,FALSE),main!$K$18:$O$18,0))))),1,0)</f>
        <v>1</v>
      </c>
      <c r="BJ36">
        <f>IF((AND(VLOOKUP(BJ$1,main!$A$3:$H$102,5,FALSE)-VLOOKUP($A36,main!$A$3:$H$102,6,FALSE)&gt;=(VLOOKUP(VLOOKUP(BJ$1,main!$A$3:$H$102,8,FALSE),main!$K$26:$M$29,2,FALSE)+VLOOKUP(VLOOKUP(BJ$1,main!$A$3:$H$102,7,FALSE),main!$K$19:$O$22,MATCH(VLOOKUP($A36,main!$A$3:$H$102,8,FALSE),main!$K$18:$O$18,0))))),1,0)</f>
        <v>1</v>
      </c>
      <c r="BK36">
        <f>IF((AND(VLOOKUP(BK$1,main!$A$3:$H$102,5,FALSE)-VLOOKUP($A36,main!$A$3:$H$102,6,FALSE)&gt;=(VLOOKUP(VLOOKUP(BK$1,main!$A$3:$H$102,8,FALSE),main!$K$26:$M$29,2,FALSE)+VLOOKUP(VLOOKUP(BK$1,main!$A$3:$H$102,7,FALSE),main!$K$19:$O$22,MATCH(VLOOKUP($A36,main!$A$3:$H$102,8,FALSE),main!$K$18:$O$18,0))))),1,0)</f>
        <v>0</v>
      </c>
      <c r="BL36">
        <f>IF((AND(VLOOKUP(BL$1,main!$A$3:$H$102,5,FALSE)-VLOOKUP($A36,main!$A$3:$H$102,6,FALSE)&gt;=(VLOOKUP(VLOOKUP(BL$1,main!$A$3:$H$102,8,FALSE),main!$K$26:$M$29,2,FALSE)+VLOOKUP(VLOOKUP(BL$1,main!$A$3:$H$102,7,FALSE),main!$K$19:$O$22,MATCH(VLOOKUP($A36,main!$A$3:$H$102,8,FALSE),main!$K$18:$O$18,0))))),1,0)</f>
        <v>0</v>
      </c>
      <c r="BM36">
        <f>IF((AND(VLOOKUP(BM$1,main!$A$3:$H$102,5,FALSE)-VLOOKUP($A36,main!$A$3:$H$102,6,FALSE)&gt;=(VLOOKUP(VLOOKUP(BM$1,main!$A$3:$H$102,8,FALSE),main!$K$26:$M$29,2,FALSE)+VLOOKUP(VLOOKUP(BM$1,main!$A$3:$H$102,7,FALSE),main!$K$19:$O$22,MATCH(VLOOKUP($A36,main!$A$3:$H$102,8,FALSE),main!$K$18:$O$18,0))))),1,0)</f>
        <v>0</v>
      </c>
      <c r="BN36">
        <f>IF((AND(VLOOKUP(BN$1,main!$A$3:$H$102,5,FALSE)-VLOOKUP($A36,main!$A$3:$H$102,6,FALSE)&gt;=(VLOOKUP(VLOOKUP(BN$1,main!$A$3:$H$102,8,FALSE),main!$K$26:$M$29,2,FALSE)+VLOOKUP(VLOOKUP(BN$1,main!$A$3:$H$102,7,FALSE),main!$K$19:$O$22,MATCH(VLOOKUP($A36,main!$A$3:$H$102,8,FALSE),main!$K$18:$O$18,0))))),1,0)</f>
        <v>0</v>
      </c>
      <c r="BO36">
        <f>IF((AND(VLOOKUP(BO$1,main!$A$3:$H$102,5,FALSE)-VLOOKUP($A36,main!$A$3:$H$102,6,FALSE)&gt;=(VLOOKUP(VLOOKUP(BO$1,main!$A$3:$H$102,8,FALSE),main!$K$26:$M$29,2,FALSE)+VLOOKUP(VLOOKUP(BO$1,main!$A$3:$H$102,7,FALSE),main!$K$19:$O$22,MATCH(VLOOKUP($A36,main!$A$3:$H$102,8,FALSE),main!$K$18:$O$18,0))))),1,0)</f>
        <v>0</v>
      </c>
      <c r="BP36">
        <f>IF((AND(VLOOKUP(BP$1,main!$A$3:$H$102,5,FALSE)-VLOOKUP($A36,main!$A$3:$H$102,6,FALSE)&gt;=(VLOOKUP(VLOOKUP(BP$1,main!$A$3:$H$102,8,FALSE),main!$K$26:$M$29,2,FALSE)+VLOOKUP(VLOOKUP(BP$1,main!$A$3:$H$102,7,FALSE),main!$K$19:$O$22,MATCH(VLOOKUP($A36,main!$A$3:$H$102,8,FALSE),main!$K$18:$O$18,0))))),1,0)</f>
        <v>0</v>
      </c>
      <c r="BQ36">
        <f>IF((AND(VLOOKUP(BQ$1,main!$A$3:$H$102,5,FALSE)-VLOOKUP($A36,main!$A$3:$H$102,6,FALSE)&gt;=(VLOOKUP(VLOOKUP(BQ$1,main!$A$3:$H$102,8,FALSE),main!$K$26:$M$29,2,FALSE)+VLOOKUP(VLOOKUP(BQ$1,main!$A$3:$H$102,7,FALSE),main!$K$19:$O$22,MATCH(VLOOKUP($A36,main!$A$3:$H$102,8,FALSE),main!$K$18:$O$18,0))))),1,0)</f>
        <v>0</v>
      </c>
      <c r="BR36">
        <f>IF((AND(VLOOKUP(BR$1,main!$A$3:$H$102,5,FALSE)-VLOOKUP($A36,main!$A$3:$H$102,6,FALSE)&gt;=(VLOOKUP(VLOOKUP(BR$1,main!$A$3:$H$102,8,FALSE),main!$K$26:$M$29,2,FALSE)+VLOOKUP(VLOOKUP(BR$1,main!$A$3:$H$102,7,FALSE),main!$K$19:$O$22,MATCH(VLOOKUP($A36,main!$A$3:$H$102,8,FALSE),main!$K$18:$O$18,0))))),1,0)</f>
        <v>0</v>
      </c>
      <c r="BS36">
        <f>IF((AND(VLOOKUP(BS$1,main!$A$3:$H$102,5,FALSE)-VLOOKUP($A36,main!$A$3:$H$102,6,FALSE)&gt;=(VLOOKUP(VLOOKUP(BS$1,main!$A$3:$H$102,8,FALSE),main!$K$26:$M$29,2,FALSE)+VLOOKUP(VLOOKUP(BS$1,main!$A$3:$H$102,7,FALSE),main!$K$19:$O$22,MATCH(VLOOKUP($A36,main!$A$3:$H$102,8,FALSE),main!$K$18:$O$18,0))))),1,0)</f>
        <v>0</v>
      </c>
      <c r="BT36">
        <f>IF((AND(VLOOKUP(BT$1,main!$A$3:$H$102,5,FALSE)-VLOOKUP($A36,main!$A$3:$H$102,6,FALSE)&gt;=(VLOOKUP(VLOOKUP(BT$1,main!$A$3:$H$102,8,FALSE),main!$K$26:$M$29,2,FALSE)+VLOOKUP(VLOOKUP(BT$1,main!$A$3:$H$102,7,FALSE),main!$K$19:$O$22,MATCH(VLOOKUP($A36,main!$A$3:$H$102,8,FALSE),main!$K$18:$O$18,0))))),1,0)</f>
        <v>0</v>
      </c>
      <c r="BU36">
        <f>IF((AND(VLOOKUP(BU$1,main!$A$3:$H$102,5,FALSE)-VLOOKUP($A36,main!$A$3:$H$102,6,FALSE)&gt;=(VLOOKUP(VLOOKUP(BU$1,main!$A$3:$H$102,8,FALSE),main!$K$26:$M$29,2,FALSE)+VLOOKUP(VLOOKUP(BU$1,main!$A$3:$H$102,7,FALSE),main!$K$19:$O$22,MATCH(VLOOKUP($A36,main!$A$3:$H$102,8,FALSE),main!$K$18:$O$18,0))))),1,0)</f>
        <v>0</v>
      </c>
      <c r="BV36">
        <f>IF((AND(VLOOKUP(BV$1,main!$A$3:$H$102,5,FALSE)-VLOOKUP($A36,main!$A$3:$H$102,6,FALSE)&gt;=(VLOOKUP(VLOOKUP(BV$1,main!$A$3:$H$102,8,FALSE),main!$K$26:$M$29,2,FALSE)+VLOOKUP(VLOOKUP(BV$1,main!$A$3:$H$102,7,FALSE),main!$K$19:$O$22,MATCH(VLOOKUP($A36,main!$A$3:$H$102,8,FALSE),main!$K$18:$O$18,0))))),1,0)</f>
        <v>0</v>
      </c>
      <c r="BW36">
        <f>IF((AND(VLOOKUP(BW$1,main!$A$3:$H$102,5,FALSE)-VLOOKUP($A36,main!$A$3:$H$102,6,FALSE)&gt;=(VLOOKUP(VLOOKUP(BW$1,main!$A$3:$H$102,8,FALSE),main!$K$26:$M$29,2,FALSE)+VLOOKUP(VLOOKUP(BW$1,main!$A$3:$H$102,7,FALSE),main!$K$19:$O$22,MATCH(VLOOKUP($A36,main!$A$3:$H$102,8,FALSE),main!$K$18:$O$18,0))))),1,0)</f>
        <v>0</v>
      </c>
      <c r="BX36">
        <f>IF((AND(VLOOKUP(BX$1,main!$A$3:$H$102,5,FALSE)-VLOOKUP($A36,main!$A$3:$H$102,6,FALSE)&gt;=(VLOOKUP(VLOOKUP(BX$1,main!$A$3:$H$102,8,FALSE),main!$K$26:$M$29,2,FALSE)+VLOOKUP(VLOOKUP(BX$1,main!$A$3:$H$102,7,FALSE),main!$K$19:$O$22,MATCH(VLOOKUP($A36,main!$A$3:$H$102,8,FALSE),main!$K$18:$O$18,0))))),1,0)</f>
        <v>0</v>
      </c>
      <c r="BY36">
        <f>IF((AND(VLOOKUP(BY$1,main!$A$3:$H$102,5,FALSE)-VLOOKUP($A36,main!$A$3:$H$102,6,FALSE)&gt;=(VLOOKUP(VLOOKUP(BY$1,main!$A$3:$H$102,8,FALSE),main!$K$26:$M$29,2,FALSE)+VLOOKUP(VLOOKUP(BY$1,main!$A$3:$H$102,7,FALSE),main!$K$19:$O$22,MATCH(VLOOKUP($A36,main!$A$3:$H$102,8,FALSE),main!$K$18:$O$18,0))))),1,0)</f>
        <v>0</v>
      </c>
      <c r="BZ36">
        <f>IF((AND(VLOOKUP(BZ$1,main!$A$3:$H$102,5,FALSE)-VLOOKUP($A36,main!$A$3:$H$102,6,FALSE)&gt;=(VLOOKUP(VLOOKUP(BZ$1,main!$A$3:$H$102,8,FALSE),main!$K$26:$M$29,2,FALSE)+VLOOKUP(VLOOKUP(BZ$1,main!$A$3:$H$102,7,FALSE),main!$K$19:$O$22,MATCH(VLOOKUP($A36,main!$A$3:$H$102,8,FALSE),main!$K$18:$O$18,0))))),1,0)</f>
        <v>0</v>
      </c>
      <c r="CA36">
        <f>IF((AND(VLOOKUP(CA$1,main!$A$3:$H$102,5,FALSE)-VLOOKUP($A36,main!$A$3:$H$102,6,FALSE)&gt;=(VLOOKUP(VLOOKUP(CA$1,main!$A$3:$H$102,8,FALSE),main!$K$26:$M$29,2,FALSE)+VLOOKUP(VLOOKUP(CA$1,main!$A$3:$H$102,7,FALSE),main!$K$19:$O$22,MATCH(VLOOKUP($A36,main!$A$3:$H$102,8,FALSE),main!$K$18:$O$18,0))))),1,0)</f>
        <v>0</v>
      </c>
      <c r="CB36">
        <f>IF((AND(VLOOKUP(CB$1,main!$A$3:$H$102,5,FALSE)-VLOOKUP($A36,main!$A$3:$H$102,6,FALSE)&gt;=(VLOOKUP(VLOOKUP(CB$1,main!$A$3:$H$102,8,FALSE),main!$K$26:$M$29,2,FALSE)+VLOOKUP(VLOOKUP(CB$1,main!$A$3:$H$102,7,FALSE),main!$K$19:$O$22,MATCH(VLOOKUP($A36,main!$A$3:$H$102,8,FALSE),main!$K$18:$O$18,0))))),1,0)</f>
        <v>0</v>
      </c>
      <c r="CC36">
        <f>IF((AND(VLOOKUP(CC$1,main!$A$3:$H$102,5,FALSE)-VLOOKUP($A36,main!$A$3:$H$102,6,FALSE)&gt;=(VLOOKUP(VLOOKUP(CC$1,main!$A$3:$H$102,8,FALSE),main!$K$26:$M$29,2,FALSE)+VLOOKUP(VLOOKUP(CC$1,main!$A$3:$H$102,7,FALSE),main!$K$19:$O$22,MATCH(VLOOKUP($A36,main!$A$3:$H$102,8,FALSE),main!$K$18:$O$18,0))))),1,0)</f>
        <v>1</v>
      </c>
      <c r="CD36">
        <f>IF((AND(VLOOKUP(CD$1,main!$A$3:$H$102,5,FALSE)-VLOOKUP($A36,main!$A$3:$H$102,6,FALSE)&gt;=(VLOOKUP(VLOOKUP(CD$1,main!$A$3:$H$102,8,FALSE),main!$K$26:$M$29,2,FALSE)+VLOOKUP(VLOOKUP(CD$1,main!$A$3:$H$102,7,FALSE),main!$K$19:$O$22,MATCH(VLOOKUP($A36,main!$A$3:$H$102,8,FALSE),main!$K$18:$O$18,0))))),1,0)</f>
        <v>0</v>
      </c>
      <c r="CE36">
        <f>IF((AND(VLOOKUP(CE$1,main!$A$3:$H$102,5,FALSE)-VLOOKUP($A36,main!$A$3:$H$102,6,FALSE)&gt;=(VLOOKUP(VLOOKUP(CE$1,main!$A$3:$H$102,8,FALSE),main!$K$26:$M$29,2,FALSE)+VLOOKUP(VLOOKUP(CE$1,main!$A$3:$H$102,7,FALSE),main!$K$19:$O$22,MATCH(VLOOKUP($A36,main!$A$3:$H$102,8,FALSE),main!$K$18:$O$18,0))))),1,0)</f>
        <v>0</v>
      </c>
      <c r="CF36">
        <f>IF((AND(VLOOKUP(CF$1,main!$A$3:$H$102,5,FALSE)-VLOOKUP($A36,main!$A$3:$H$102,6,FALSE)&gt;=(VLOOKUP(VLOOKUP(CF$1,main!$A$3:$H$102,8,FALSE),main!$K$26:$M$29,2,FALSE)+VLOOKUP(VLOOKUP(CF$1,main!$A$3:$H$102,7,FALSE),main!$K$19:$O$22,MATCH(VLOOKUP($A36,main!$A$3:$H$102,8,FALSE),main!$K$18:$O$18,0))))),1,0)</f>
        <v>0</v>
      </c>
      <c r="CG36">
        <f>IF((AND(VLOOKUP(CG$1,main!$A$3:$H$102,5,FALSE)-VLOOKUP($A36,main!$A$3:$H$102,6,FALSE)&gt;=(VLOOKUP(VLOOKUP(CG$1,main!$A$3:$H$102,8,FALSE),main!$K$26:$M$29,2,FALSE)+VLOOKUP(VLOOKUP(CG$1,main!$A$3:$H$102,7,FALSE),main!$K$19:$O$22,MATCH(VLOOKUP($A36,main!$A$3:$H$102,8,FALSE),main!$K$18:$O$18,0))))),1,0)</f>
        <v>0</v>
      </c>
      <c r="CH36">
        <f>IF((AND(VLOOKUP(CH$1,main!$A$3:$H$102,5,FALSE)-VLOOKUP($A36,main!$A$3:$H$102,6,FALSE)&gt;=(VLOOKUP(VLOOKUP(CH$1,main!$A$3:$H$102,8,FALSE),main!$K$26:$M$29,2,FALSE)+VLOOKUP(VLOOKUP(CH$1,main!$A$3:$H$102,7,FALSE),main!$K$19:$O$22,MATCH(VLOOKUP($A36,main!$A$3:$H$102,8,FALSE),main!$K$18:$O$18,0))))),1,0)</f>
        <v>1</v>
      </c>
      <c r="CI36">
        <f>IF((AND(VLOOKUP(CI$1,main!$A$3:$H$102,5,FALSE)-VLOOKUP($A36,main!$A$3:$H$102,6,FALSE)&gt;=(VLOOKUP(VLOOKUP(CI$1,main!$A$3:$H$102,8,FALSE),main!$K$26:$M$29,2,FALSE)+VLOOKUP(VLOOKUP(CI$1,main!$A$3:$H$102,7,FALSE),main!$K$19:$O$22,MATCH(VLOOKUP($A36,main!$A$3:$H$102,8,FALSE),main!$K$18:$O$18,0))))),1,0)</f>
        <v>1</v>
      </c>
      <c r="CJ36">
        <f>IF((AND(VLOOKUP(CJ$1,main!$A$3:$H$102,5,FALSE)-VLOOKUP($A36,main!$A$3:$H$102,6,FALSE)&gt;=(VLOOKUP(VLOOKUP(CJ$1,main!$A$3:$H$102,8,FALSE),main!$K$26:$M$29,2,FALSE)+VLOOKUP(VLOOKUP(CJ$1,main!$A$3:$H$102,7,FALSE),main!$K$19:$O$22,MATCH(VLOOKUP($A36,main!$A$3:$H$102,8,FALSE),main!$K$18:$O$18,0))))),1,0)</f>
        <v>0</v>
      </c>
      <c r="CK36">
        <f>IF((AND(VLOOKUP(CK$1,main!$A$3:$H$102,5,FALSE)-VLOOKUP($A36,main!$A$3:$H$102,6,FALSE)&gt;=(VLOOKUP(VLOOKUP(CK$1,main!$A$3:$H$102,8,FALSE),main!$K$26:$M$29,2,FALSE)+VLOOKUP(VLOOKUP(CK$1,main!$A$3:$H$102,7,FALSE),main!$K$19:$O$22,MATCH(VLOOKUP($A36,main!$A$3:$H$102,8,FALSE),main!$K$18:$O$18,0))))),1,0)</f>
        <v>0</v>
      </c>
      <c r="CL36">
        <f>IF((AND(VLOOKUP(CL$1,main!$A$3:$H$102,5,FALSE)-VLOOKUP($A36,main!$A$3:$H$102,6,FALSE)&gt;=(VLOOKUP(VLOOKUP(CL$1,main!$A$3:$H$102,8,FALSE),main!$K$26:$M$29,2,FALSE)+VLOOKUP(VLOOKUP(CL$1,main!$A$3:$H$102,7,FALSE),main!$K$19:$O$22,MATCH(VLOOKUP($A36,main!$A$3:$H$102,8,FALSE),main!$K$18:$O$18,0))))),1,0)</f>
        <v>0</v>
      </c>
      <c r="CM36">
        <f>IF((AND(VLOOKUP(CM$1,main!$A$3:$H$102,5,FALSE)-VLOOKUP($A36,main!$A$3:$H$102,6,FALSE)&gt;=(VLOOKUP(VLOOKUP(CM$1,main!$A$3:$H$102,8,FALSE),main!$K$26:$M$29,2,FALSE)+VLOOKUP(VLOOKUP(CM$1,main!$A$3:$H$102,7,FALSE),main!$K$19:$O$22,MATCH(VLOOKUP($A36,main!$A$3:$H$102,8,FALSE),main!$K$18:$O$18,0))))),1,0)</f>
        <v>0</v>
      </c>
      <c r="CN36">
        <f>IF((AND(VLOOKUP(CN$1,main!$A$3:$H$102,5,FALSE)-VLOOKUP($A36,main!$A$3:$H$102,6,FALSE)&gt;=(VLOOKUP(VLOOKUP(CN$1,main!$A$3:$H$102,8,FALSE),main!$K$26:$M$29,2,FALSE)+VLOOKUP(VLOOKUP(CN$1,main!$A$3:$H$102,7,FALSE),main!$K$19:$O$22,MATCH(VLOOKUP($A36,main!$A$3:$H$102,8,FALSE),main!$K$18:$O$18,0))))),1,0)</f>
        <v>1</v>
      </c>
      <c r="CO36">
        <f>IF((AND(VLOOKUP(CO$1,main!$A$3:$H$102,5,FALSE)-VLOOKUP($A36,main!$A$3:$H$102,6,FALSE)&gt;=(VLOOKUP(VLOOKUP(CO$1,main!$A$3:$H$102,8,FALSE),main!$K$26:$M$29,2,FALSE)+VLOOKUP(VLOOKUP(CO$1,main!$A$3:$H$102,7,FALSE),main!$K$19:$O$22,MATCH(VLOOKUP($A36,main!$A$3:$H$102,8,FALSE),main!$K$18:$O$18,0))))),1,0)</f>
        <v>0</v>
      </c>
      <c r="CP36">
        <f>IF((AND(VLOOKUP(CP$1,main!$A$3:$H$102,5,FALSE)-VLOOKUP($A36,main!$A$3:$H$102,6,FALSE)&gt;=(VLOOKUP(VLOOKUP(CP$1,main!$A$3:$H$102,8,FALSE),main!$K$26:$M$29,2,FALSE)+VLOOKUP(VLOOKUP(CP$1,main!$A$3:$H$102,7,FALSE),main!$K$19:$O$22,MATCH(VLOOKUP($A36,main!$A$3:$H$102,8,FALSE),main!$K$18:$O$18,0))))),1,0)</f>
        <v>0</v>
      </c>
      <c r="CQ36">
        <f>IF((AND(VLOOKUP(CQ$1,main!$A$3:$H$102,5,FALSE)-VLOOKUP($A36,main!$A$3:$H$102,6,FALSE)&gt;=(VLOOKUP(VLOOKUP(CQ$1,main!$A$3:$H$102,8,FALSE),main!$K$26:$M$29,2,FALSE)+VLOOKUP(VLOOKUP(CQ$1,main!$A$3:$H$102,7,FALSE),main!$K$19:$O$22,MATCH(VLOOKUP($A36,main!$A$3:$H$102,8,FALSE),main!$K$18:$O$18,0))))),1,0)</f>
        <v>0</v>
      </c>
      <c r="CR36">
        <f>IF((AND(VLOOKUP(CR$1,main!$A$3:$H$102,5,FALSE)-VLOOKUP($A36,main!$A$3:$H$102,6,FALSE)&gt;=(VLOOKUP(VLOOKUP(CR$1,main!$A$3:$H$102,8,FALSE),main!$K$26:$M$29,2,FALSE)+VLOOKUP(VLOOKUP(CR$1,main!$A$3:$H$102,7,FALSE),main!$K$19:$O$22,MATCH(VLOOKUP($A36,main!$A$3:$H$102,8,FALSE),main!$K$18:$O$18,0))))),1,0)</f>
        <v>0</v>
      </c>
      <c r="CS36">
        <f>IF((AND(VLOOKUP(CS$1,main!$A$3:$H$102,5,FALSE)-VLOOKUP($A36,main!$A$3:$H$102,6,FALSE)&gt;=(VLOOKUP(VLOOKUP(CS$1,main!$A$3:$H$102,8,FALSE),main!$K$26:$M$29,2,FALSE)+VLOOKUP(VLOOKUP(CS$1,main!$A$3:$H$102,7,FALSE),main!$K$19:$O$22,MATCH(VLOOKUP($A36,main!$A$3:$H$102,8,FALSE),main!$K$18:$O$18,0))))),1,0)</f>
        <v>0</v>
      </c>
      <c r="CT36">
        <f>IF((AND(VLOOKUP(CT$1,main!$A$3:$H$102,5,FALSE)-VLOOKUP($A36,main!$A$3:$H$102,6,FALSE)&gt;=(VLOOKUP(VLOOKUP(CT$1,main!$A$3:$H$102,8,FALSE),main!$K$26:$M$29,2,FALSE)+VLOOKUP(VLOOKUP(CT$1,main!$A$3:$H$102,7,FALSE),main!$K$19:$O$22,MATCH(VLOOKUP($A36,main!$A$3:$H$102,8,FALSE),main!$K$18:$O$18,0))))),1,0)</f>
        <v>0</v>
      </c>
      <c r="CU36">
        <f>IF((AND(VLOOKUP(CU$1,main!$A$3:$H$102,5,FALSE)-VLOOKUP($A36,main!$A$3:$H$102,6,FALSE)&gt;=(VLOOKUP(VLOOKUP(CU$1,main!$A$3:$H$102,8,FALSE),main!$K$26:$M$29,2,FALSE)+VLOOKUP(VLOOKUP(CU$1,main!$A$3:$H$102,7,FALSE),main!$K$19:$O$22,MATCH(VLOOKUP($A36,main!$A$3:$H$102,8,FALSE),main!$K$18:$O$18,0))))),1,0)</f>
        <v>0</v>
      </c>
      <c r="CV36">
        <f>IF((AND(VLOOKUP(CV$1,main!$A$3:$H$102,5,FALSE)-VLOOKUP($A36,main!$A$3:$H$102,6,FALSE)&gt;=(VLOOKUP(VLOOKUP(CV$1,main!$A$3:$H$102,8,FALSE),main!$K$26:$M$29,2,FALSE)+VLOOKUP(VLOOKUP(CV$1,main!$A$3:$H$102,7,FALSE),main!$K$19:$O$22,MATCH(VLOOKUP($A36,main!$A$3:$H$102,8,FALSE),main!$K$18:$O$18,0))))),1,0)</f>
        <v>0</v>
      </c>
      <c r="CW36">
        <f>IF((AND(VLOOKUP(CW$1,main!$A$3:$H$102,5,FALSE)-VLOOKUP($A36,main!$A$3:$H$102,6,FALSE)&gt;=(VLOOKUP(VLOOKUP(CW$1,main!$A$3:$H$102,8,FALSE),main!$K$26:$M$29,2,FALSE)+VLOOKUP(VLOOKUP(CW$1,main!$A$3:$H$102,7,FALSE),main!$K$19:$O$22,MATCH(VLOOKUP($A36,main!$A$3:$H$102,8,FALSE),main!$K$18:$O$18,0))))),1,0)</f>
        <v>0</v>
      </c>
      <c r="CX36">
        <f>IF((AND(VLOOKUP(CX$1,main!$A$3:$H$102,5,FALSE)-VLOOKUP($A36,main!$A$3:$H$102,6,FALSE)&gt;=(VLOOKUP(VLOOKUP(CX$1,main!$A$3:$H$102,8,FALSE),main!$K$26:$M$29,2,FALSE)+VLOOKUP(VLOOKUP(CX$1,main!$A$3:$H$102,7,FALSE),main!$K$19:$O$22,MATCH(VLOOKUP($A36,main!$A$3:$H$102,8,FALSE),main!$K$18:$O$18,0))))),1,0)</f>
        <v>1</v>
      </c>
    </row>
    <row r="37" spans="1:102" x14ac:dyDescent="0.25">
      <c r="A37" s="1">
        <v>35</v>
      </c>
      <c r="B37">
        <v>1</v>
      </c>
      <c r="C37">
        <f>IF((AND(VLOOKUP(C$1,main!$A$3:$H$102,5,FALSE)-VLOOKUP($A37,main!$A$3:$H$102,6,FALSE)&gt;=(VLOOKUP(VLOOKUP(C$1,main!$A$3:$H$102,8,FALSE),main!$K$26:$M$29,2,FALSE)+VLOOKUP(VLOOKUP(C$1,main!$A$3:$H$102,7,FALSE),main!$K$19:$O$22,MATCH(VLOOKUP($A37,main!$A$3:$H$102,8,FALSE),main!$K$18:$O$18,0))))),1,0)</f>
        <v>0</v>
      </c>
      <c r="D37">
        <f>IF((AND(VLOOKUP(D$1,main!$A$3:$H$102,5,FALSE)-VLOOKUP($A37,main!$A$3:$H$102,6,FALSE)&gt;=(VLOOKUP(VLOOKUP(D$1,main!$A$3:$H$102,8,FALSE),main!$K$26:$M$29,2,FALSE)+VLOOKUP(VLOOKUP(D$1,main!$A$3:$H$102,7,FALSE),main!$K$19:$O$22,MATCH(VLOOKUP($A37,main!$A$3:$H$102,8,FALSE),main!$K$18:$O$18,0))))),1,0)</f>
        <v>0</v>
      </c>
      <c r="E37">
        <f>IF((AND(VLOOKUP(E$1,main!$A$3:$H$102,5,FALSE)-VLOOKUP($A37,main!$A$3:$H$102,6,FALSE)&gt;=(VLOOKUP(VLOOKUP(E$1,main!$A$3:$H$102,8,FALSE),main!$K$26:$M$29,2,FALSE)+VLOOKUP(VLOOKUP(E$1,main!$A$3:$H$102,7,FALSE),main!$K$19:$O$22,MATCH(VLOOKUP($A37,main!$A$3:$H$102,8,FALSE),main!$K$18:$O$18,0))))),1,0)</f>
        <v>0</v>
      </c>
      <c r="F37">
        <f>IF((AND(VLOOKUP(F$1,main!$A$3:$H$102,5,FALSE)-VLOOKUP($A37,main!$A$3:$H$102,6,FALSE)&gt;=(VLOOKUP(VLOOKUP(F$1,main!$A$3:$H$102,8,FALSE),main!$K$26:$M$29,2,FALSE)+VLOOKUP(VLOOKUP(F$1,main!$A$3:$H$102,7,FALSE),main!$K$19:$O$22,MATCH(VLOOKUP($A37,main!$A$3:$H$102,8,FALSE),main!$K$18:$O$18,0))))),1,0)</f>
        <v>0</v>
      </c>
      <c r="G37">
        <f>IF((AND(VLOOKUP(G$1,main!$A$3:$H$102,5,FALSE)-VLOOKUP($A37,main!$A$3:$H$102,6,FALSE)&gt;=(VLOOKUP(VLOOKUP(G$1,main!$A$3:$H$102,8,FALSE),main!$K$26:$M$29,2,FALSE)+VLOOKUP(VLOOKUP(G$1,main!$A$3:$H$102,7,FALSE),main!$K$19:$O$22,MATCH(VLOOKUP($A37,main!$A$3:$H$102,8,FALSE),main!$K$18:$O$18,0))))),1,0)</f>
        <v>0</v>
      </c>
      <c r="H37">
        <f>IF((AND(VLOOKUP(H$1,main!$A$3:$H$102,5,FALSE)-VLOOKUP($A37,main!$A$3:$H$102,6,FALSE)&gt;=(VLOOKUP(VLOOKUP(H$1,main!$A$3:$H$102,8,FALSE),main!$K$26:$M$29,2,FALSE)+VLOOKUP(VLOOKUP(H$1,main!$A$3:$H$102,7,FALSE),main!$K$19:$O$22,MATCH(VLOOKUP($A37,main!$A$3:$H$102,8,FALSE),main!$K$18:$O$18,0))))),1,0)</f>
        <v>0</v>
      </c>
      <c r="I37">
        <f>IF((AND(VLOOKUP(I$1,main!$A$3:$H$102,5,FALSE)-VLOOKUP($A37,main!$A$3:$H$102,6,FALSE)&gt;=(VLOOKUP(VLOOKUP(I$1,main!$A$3:$H$102,8,FALSE),main!$K$26:$M$29,2,FALSE)+VLOOKUP(VLOOKUP(I$1,main!$A$3:$H$102,7,FALSE),main!$K$19:$O$22,MATCH(VLOOKUP($A37,main!$A$3:$H$102,8,FALSE),main!$K$18:$O$18,0))))),1,0)</f>
        <v>0</v>
      </c>
      <c r="J37">
        <f>IF((AND(VLOOKUP(J$1,main!$A$3:$H$102,5,FALSE)-VLOOKUP($A37,main!$A$3:$H$102,6,FALSE)&gt;=(VLOOKUP(VLOOKUP(J$1,main!$A$3:$H$102,8,FALSE),main!$K$26:$M$29,2,FALSE)+VLOOKUP(VLOOKUP(J$1,main!$A$3:$H$102,7,FALSE),main!$K$19:$O$22,MATCH(VLOOKUP($A37,main!$A$3:$H$102,8,FALSE),main!$K$18:$O$18,0))))),1,0)</f>
        <v>0</v>
      </c>
      <c r="K37">
        <f>IF((AND(VLOOKUP(K$1,main!$A$3:$H$102,5,FALSE)-VLOOKUP($A37,main!$A$3:$H$102,6,FALSE)&gt;=(VLOOKUP(VLOOKUP(K$1,main!$A$3:$H$102,8,FALSE),main!$K$26:$M$29,2,FALSE)+VLOOKUP(VLOOKUP(K$1,main!$A$3:$H$102,7,FALSE),main!$K$19:$O$22,MATCH(VLOOKUP($A37,main!$A$3:$H$102,8,FALSE),main!$K$18:$O$18,0))))),1,0)</f>
        <v>1</v>
      </c>
      <c r="L37">
        <f>IF((AND(VLOOKUP(L$1,main!$A$3:$H$102,5,FALSE)-VLOOKUP($A37,main!$A$3:$H$102,6,FALSE)&gt;=(VLOOKUP(VLOOKUP(L$1,main!$A$3:$H$102,8,FALSE),main!$K$26:$M$29,2,FALSE)+VLOOKUP(VLOOKUP(L$1,main!$A$3:$H$102,7,FALSE),main!$K$19:$O$22,MATCH(VLOOKUP($A37,main!$A$3:$H$102,8,FALSE),main!$K$18:$O$18,0))))),1,0)</f>
        <v>1</v>
      </c>
      <c r="M37">
        <f>IF((AND(VLOOKUP(M$1,main!$A$3:$H$102,5,FALSE)-VLOOKUP($A37,main!$A$3:$H$102,6,FALSE)&gt;=(VLOOKUP(VLOOKUP(M$1,main!$A$3:$H$102,8,FALSE),main!$K$26:$M$29,2,FALSE)+VLOOKUP(VLOOKUP(M$1,main!$A$3:$H$102,7,FALSE),main!$K$19:$O$22,MATCH(VLOOKUP($A37,main!$A$3:$H$102,8,FALSE),main!$K$18:$O$18,0))))),1,0)</f>
        <v>0</v>
      </c>
      <c r="N37">
        <f>IF((AND(VLOOKUP(N$1,main!$A$3:$H$102,5,FALSE)-VLOOKUP($A37,main!$A$3:$H$102,6,FALSE)&gt;=(VLOOKUP(VLOOKUP(N$1,main!$A$3:$H$102,8,FALSE),main!$K$26:$M$29,2,FALSE)+VLOOKUP(VLOOKUP(N$1,main!$A$3:$H$102,7,FALSE),main!$K$19:$O$22,MATCH(VLOOKUP($A37,main!$A$3:$H$102,8,FALSE),main!$K$18:$O$18,0))))),1,0)</f>
        <v>0</v>
      </c>
      <c r="O37">
        <f>IF((AND(VLOOKUP(O$1,main!$A$3:$H$102,5,FALSE)-VLOOKUP($A37,main!$A$3:$H$102,6,FALSE)&gt;=(VLOOKUP(VLOOKUP(O$1,main!$A$3:$H$102,8,FALSE),main!$K$26:$M$29,2,FALSE)+VLOOKUP(VLOOKUP(O$1,main!$A$3:$H$102,7,FALSE),main!$K$19:$O$22,MATCH(VLOOKUP($A37,main!$A$3:$H$102,8,FALSE),main!$K$18:$O$18,0))))),1,0)</f>
        <v>0</v>
      </c>
      <c r="P37">
        <f>IF((AND(VLOOKUP(P$1,main!$A$3:$H$102,5,FALSE)-VLOOKUP($A37,main!$A$3:$H$102,6,FALSE)&gt;=(VLOOKUP(VLOOKUP(P$1,main!$A$3:$H$102,8,FALSE),main!$K$26:$M$29,2,FALSE)+VLOOKUP(VLOOKUP(P$1,main!$A$3:$H$102,7,FALSE),main!$K$19:$O$22,MATCH(VLOOKUP($A37,main!$A$3:$H$102,8,FALSE),main!$K$18:$O$18,0))))),1,0)</f>
        <v>0</v>
      </c>
      <c r="Q37">
        <f>IF((AND(VLOOKUP(Q$1,main!$A$3:$H$102,5,FALSE)-VLOOKUP($A37,main!$A$3:$H$102,6,FALSE)&gt;=(VLOOKUP(VLOOKUP(Q$1,main!$A$3:$H$102,8,FALSE),main!$K$26:$M$29,2,FALSE)+VLOOKUP(VLOOKUP(Q$1,main!$A$3:$H$102,7,FALSE),main!$K$19:$O$22,MATCH(VLOOKUP($A37,main!$A$3:$H$102,8,FALSE),main!$K$18:$O$18,0))))),1,0)</f>
        <v>0</v>
      </c>
      <c r="R37">
        <f>IF((AND(VLOOKUP(R$1,main!$A$3:$H$102,5,FALSE)-VLOOKUP($A37,main!$A$3:$H$102,6,FALSE)&gt;=(VLOOKUP(VLOOKUP(R$1,main!$A$3:$H$102,8,FALSE),main!$K$26:$M$29,2,FALSE)+VLOOKUP(VLOOKUP(R$1,main!$A$3:$H$102,7,FALSE),main!$K$19:$O$22,MATCH(VLOOKUP($A37,main!$A$3:$H$102,8,FALSE),main!$K$18:$O$18,0))))),1,0)</f>
        <v>0</v>
      </c>
      <c r="S37">
        <f>IF((AND(VLOOKUP(S$1,main!$A$3:$H$102,5,FALSE)-VLOOKUP($A37,main!$A$3:$H$102,6,FALSE)&gt;=(VLOOKUP(VLOOKUP(S$1,main!$A$3:$H$102,8,FALSE),main!$K$26:$M$29,2,FALSE)+VLOOKUP(VLOOKUP(S$1,main!$A$3:$H$102,7,FALSE),main!$K$19:$O$22,MATCH(VLOOKUP($A37,main!$A$3:$H$102,8,FALSE),main!$K$18:$O$18,0))))),1,0)</f>
        <v>0</v>
      </c>
      <c r="T37">
        <f>IF((AND(VLOOKUP(T$1,main!$A$3:$H$102,5,FALSE)-VLOOKUP($A37,main!$A$3:$H$102,6,FALSE)&gt;=(VLOOKUP(VLOOKUP(T$1,main!$A$3:$H$102,8,FALSE),main!$K$26:$M$29,2,FALSE)+VLOOKUP(VLOOKUP(T$1,main!$A$3:$H$102,7,FALSE),main!$K$19:$O$22,MATCH(VLOOKUP($A37,main!$A$3:$H$102,8,FALSE),main!$K$18:$O$18,0))))),1,0)</f>
        <v>0</v>
      </c>
      <c r="U37">
        <f>IF((AND(VLOOKUP(U$1,main!$A$3:$H$102,5,FALSE)-VLOOKUP($A37,main!$A$3:$H$102,6,FALSE)&gt;=(VLOOKUP(VLOOKUP(U$1,main!$A$3:$H$102,8,FALSE),main!$K$26:$M$29,2,FALSE)+VLOOKUP(VLOOKUP(U$1,main!$A$3:$H$102,7,FALSE),main!$K$19:$O$22,MATCH(VLOOKUP($A37,main!$A$3:$H$102,8,FALSE),main!$K$18:$O$18,0))))),1,0)</f>
        <v>1</v>
      </c>
      <c r="V37">
        <f>IF((AND(VLOOKUP(V$1,main!$A$3:$H$102,5,FALSE)-VLOOKUP($A37,main!$A$3:$H$102,6,FALSE)&gt;=(VLOOKUP(VLOOKUP(V$1,main!$A$3:$H$102,8,FALSE),main!$K$26:$M$29,2,FALSE)+VLOOKUP(VLOOKUP(V$1,main!$A$3:$H$102,7,FALSE),main!$K$19:$O$22,MATCH(VLOOKUP($A37,main!$A$3:$H$102,8,FALSE),main!$K$18:$O$18,0))))),1,0)</f>
        <v>1</v>
      </c>
      <c r="W37">
        <f>IF((AND(VLOOKUP(W$1,main!$A$3:$H$102,5,FALSE)-VLOOKUP($A37,main!$A$3:$H$102,6,FALSE)&gt;=(VLOOKUP(VLOOKUP(W$1,main!$A$3:$H$102,8,FALSE),main!$K$26:$M$29,2,FALSE)+VLOOKUP(VLOOKUP(W$1,main!$A$3:$H$102,7,FALSE),main!$K$19:$O$22,MATCH(VLOOKUP($A37,main!$A$3:$H$102,8,FALSE),main!$K$18:$O$18,0))))),1,0)</f>
        <v>0</v>
      </c>
      <c r="X37">
        <f>IF((AND(VLOOKUP(X$1,main!$A$3:$H$102,5,FALSE)-VLOOKUP($A37,main!$A$3:$H$102,6,FALSE)&gt;=(VLOOKUP(VLOOKUP(X$1,main!$A$3:$H$102,8,FALSE),main!$K$26:$M$29,2,FALSE)+VLOOKUP(VLOOKUP(X$1,main!$A$3:$H$102,7,FALSE),main!$K$19:$O$22,MATCH(VLOOKUP($A37,main!$A$3:$H$102,8,FALSE),main!$K$18:$O$18,0))))),1,0)</f>
        <v>0</v>
      </c>
      <c r="Y37">
        <f>IF((AND(VLOOKUP(Y$1,main!$A$3:$H$102,5,FALSE)-VLOOKUP($A37,main!$A$3:$H$102,6,FALSE)&gt;=(VLOOKUP(VLOOKUP(Y$1,main!$A$3:$H$102,8,FALSE),main!$K$26:$M$29,2,FALSE)+VLOOKUP(VLOOKUP(Y$1,main!$A$3:$H$102,7,FALSE),main!$K$19:$O$22,MATCH(VLOOKUP($A37,main!$A$3:$H$102,8,FALSE),main!$K$18:$O$18,0))))),1,0)</f>
        <v>0</v>
      </c>
      <c r="Z37">
        <f>IF((AND(VLOOKUP(Z$1,main!$A$3:$H$102,5,FALSE)-VLOOKUP($A37,main!$A$3:$H$102,6,FALSE)&gt;=(VLOOKUP(VLOOKUP(Z$1,main!$A$3:$H$102,8,FALSE),main!$K$26:$M$29,2,FALSE)+VLOOKUP(VLOOKUP(Z$1,main!$A$3:$H$102,7,FALSE),main!$K$19:$O$22,MATCH(VLOOKUP($A37,main!$A$3:$H$102,8,FALSE),main!$K$18:$O$18,0))))),1,0)</f>
        <v>0</v>
      </c>
      <c r="AA37">
        <f>IF((AND(VLOOKUP(AA$1,main!$A$3:$H$102,5,FALSE)-VLOOKUP($A37,main!$A$3:$H$102,6,FALSE)&gt;=(VLOOKUP(VLOOKUP(AA$1,main!$A$3:$H$102,8,FALSE),main!$K$26:$M$29,2,FALSE)+VLOOKUP(VLOOKUP(AA$1,main!$A$3:$H$102,7,FALSE),main!$K$19:$O$22,MATCH(VLOOKUP($A37,main!$A$3:$H$102,8,FALSE),main!$K$18:$O$18,0))))),1,0)</f>
        <v>1</v>
      </c>
      <c r="AB37">
        <f>IF((AND(VLOOKUP(AB$1,main!$A$3:$H$102,5,FALSE)-VLOOKUP($A37,main!$A$3:$H$102,6,FALSE)&gt;=(VLOOKUP(VLOOKUP(AB$1,main!$A$3:$H$102,8,FALSE),main!$K$26:$M$29,2,FALSE)+VLOOKUP(VLOOKUP(AB$1,main!$A$3:$H$102,7,FALSE),main!$K$19:$O$22,MATCH(VLOOKUP($A37,main!$A$3:$H$102,8,FALSE),main!$K$18:$O$18,0))))),1,0)</f>
        <v>0</v>
      </c>
      <c r="AC37">
        <f>IF((AND(VLOOKUP(AC$1,main!$A$3:$H$102,5,FALSE)-VLOOKUP($A37,main!$A$3:$H$102,6,FALSE)&gt;=(VLOOKUP(VLOOKUP(AC$1,main!$A$3:$H$102,8,FALSE),main!$K$26:$M$29,2,FALSE)+VLOOKUP(VLOOKUP(AC$1,main!$A$3:$H$102,7,FALSE),main!$K$19:$O$22,MATCH(VLOOKUP($A37,main!$A$3:$H$102,8,FALSE),main!$K$18:$O$18,0))))),1,0)</f>
        <v>0</v>
      </c>
      <c r="AD37">
        <f>IF((AND(VLOOKUP(AD$1,main!$A$3:$H$102,5,FALSE)-VLOOKUP($A37,main!$A$3:$H$102,6,FALSE)&gt;=(VLOOKUP(VLOOKUP(AD$1,main!$A$3:$H$102,8,FALSE),main!$K$26:$M$29,2,FALSE)+VLOOKUP(VLOOKUP(AD$1,main!$A$3:$H$102,7,FALSE),main!$K$19:$O$22,MATCH(VLOOKUP($A37,main!$A$3:$H$102,8,FALSE),main!$K$18:$O$18,0))))),1,0)</f>
        <v>0</v>
      </c>
      <c r="AE37">
        <f>IF((AND(VLOOKUP(AE$1,main!$A$3:$H$102,5,FALSE)-VLOOKUP($A37,main!$A$3:$H$102,6,FALSE)&gt;=(VLOOKUP(VLOOKUP(AE$1,main!$A$3:$H$102,8,FALSE),main!$K$26:$M$29,2,FALSE)+VLOOKUP(VLOOKUP(AE$1,main!$A$3:$H$102,7,FALSE),main!$K$19:$O$22,MATCH(VLOOKUP($A37,main!$A$3:$H$102,8,FALSE),main!$K$18:$O$18,0))))),1,0)</f>
        <v>0</v>
      </c>
      <c r="AF37">
        <f>IF((AND(VLOOKUP(AF$1,main!$A$3:$H$102,5,FALSE)-VLOOKUP($A37,main!$A$3:$H$102,6,FALSE)&gt;=(VLOOKUP(VLOOKUP(AF$1,main!$A$3:$H$102,8,FALSE),main!$K$26:$M$29,2,FALSE)+VLOOKUP(VLOOKUP(AF$1,main!$A$3:$H$102,7,FALSE),main!$K$19:$O$22,MATCH(VLOOKUP($A37,main!$A$3:$H$102,8,FALSE),main!$K$18:$O$18,0))))),1,0)</f>
        <v>1</v>
      </c>
      <c r="AG37">
        <f>IF((AND(VLOOKUP(AG$1,main!$A$3:$H$102,5,FALSE)-VLOOKUP($A37,main!$A$3:$H$102,6,FALSE)&gt;=(VLOOKUP(VLOOKUP(AG$1,main!$A$3:$H$102,8,FALSE),main!$K$26:$M$29,2,FALSE)+VLOOKUP(VLOOKUP(AG$1,main!$A$3:$H$102,7,FALSE),main!$K$19:$O$22,MATCH(VLOOKUP($A37,main!$A$3:$H$102,8,FALSE),main!$K$18:$O$18,0))))),1,0)</f>
        <v>0</v>
      </c>
      <c r="AH37">
        <f>IF((AND(VLOOKUP(AH$1,main!$A$3:$H$102,5,FALSE)-VLOOKUP($A37,main!$A$3:$H$102,6,FALSE)&gt;=(VLOOKUP(VLOOKUP(AH$1,main!$A$3:$H$102,8,FALSE),main!$K$26:$M$29,2,FALSE)+VLOOKUP(VLOOKUP(AH$1,main!$A$3:$H$102,7,FALSE),main!$K$19:$O$22,MATCH(VLOOKUP($A37,main!$A$3:$H$102,8,FALSE),main!$K$18:$O$18,0))))),1,0)</f>
        <v>0</v>
      </c>
      <c r="AI37">
        <f>IF((AND(VLOOKUP(AI$1,main!$A$3:$H$102,5,FALSE)-VLOOKUP($A37,main!$A$3:$H$102,6,FALSE)&gt;=(VLOOKUP(VLOOKUP(AI$1,main!$A$3:$H$102,8,FALSE),main!$K$26:$M$29,2,FALSE)+VLOOKUP(VLOOKUP(AI$1,main!$A$3:$H$102,7,FALSE),main!$K$19:$O$22,MATCH(VLOOKUP($A37,main!$A$3:$H$102,8,FALSE),main!$K$18:$O$18,0))))),1,0)</f>
        <v>0</v>
      </c>
      <c r="AJ37">
        <f>IF((AND(VLOOKUP(AJ$1,main!$A$3:$H$102,5,FALSE)-VLOOKUP($A37,main!$A$3:$H$102,6,FALSE)&gt;=(VLOOKUP(VLOOKUP(AJ$1,main!$A$3:$H$102,8,FALSE),main!$K$26:$M$29,2,FALSE)+VLOOKUP(VLOOKUP(AJ$1,main!$A$3:$H$102,7,FALSE),main!$K$19:$O$22,MATCH(VLOOKUP($A37,main!$A$3:$H$102,8,FALSE),main!$K$18:$O$18,0))))),1,0)</f>
        <v>0</v>
      </c>
      <c r="AK37">
        <f>IF((AND(VLOOKUP(AK$1,main!$A$3:$H$102,5,FALSE)-VLOOKUP($A37,main!$A$3:$H$102,6,FALSE)&gt;=(VLOOKUP(VLOOKUP(AK$1,main!$A$3:$H$102,8,FALSE),main!$K$26:$M$29,2,FALSE)+VLOOKUP(VLOOKUP(AK$1,main!$A$3:$H$102,7,FALSE),main!$K$19:$O$22,MATCH(VLOOKUP($A37,main!$A$3:$H$102,8,FALSE),main!$K$18:$O$18,0))))),1,0)</f>
        <v>0</v>
      </c>
      <c r="AL37">
        <f>IF((AND(VLOOKUP(AL$1,main!$A$3:$H$102,5,FALSE)-VLOOKUP($A37,main!$A$3:$H$102,6,FALSE)&gt;=(VLOOKUP(VLOOKUP(AL$1,main!$A$3:$H$102,8,FALSE),main!$K$26:$M$29,2,FALSE)+VLOOKUP(VLOOKUP(AL$1,main!$A$3:$H$102,7,FALSE),main!$K$19:$O$22,MATCH(VLOOKUP($A37,main!$A$3:$H$102,8,FALSE),main!$K$18:$O$18,0))))),1,0)</f>
        <v>0</v>
      </c>
      <c r="AM37">
        <f>IF((AND(VLOOKUP(AM$1,main!$A$3:$H$102,5,FALSE)-VLOOKUP($A37,main!$A$3:$H$102,6,FALSE)&gt;=(VLOOKUP(VLOOKUP(AM$1,main!$A$3:$H$102,8,FALSE),main!$K$26:$M$29,2,FALSE)+VLOOKUP(VLOOKUP(AM$1,main!$A$3:$H$102,7,FALSE),main!$K$19:$O$22,MATCH(VLOOKUP($A37,main!$A$3:$H$102,8,FALSE),main!$K$18:$O$18,0))))),1,0)</f>
        <v>1</v>
      </c>
      <c r="AN37">
        <f>IF((AND(VLOOKUP(AN$1,main!$A$3:$H$102,5,FALSE)-VLOOKUP($A37,main!$A$3:$H$102,6,FALSE)&gt;=(VLOOKUP(VLOOKUP(AN$1,main!$A$3:$H$102,8,FALSE),main!$K$26:$M$29,2,FALSE)+VLOOKUP(VLOOKUP(AN$1,main!$A$3:$H$102,7,FALSE),main!$K$19:$O$22,MATCH(VLOOKUP($A37,main!$A$3:$H$102,8,FALSE),main!$K$18:$O$18,0))))),1,0)</f>
        <v>1</v>
      </c>
      <c r="AO37">
        <f>IF((AND(VLOOKUP(AO$1,main!$A$3:$H$102,5,FALSE)-VLOOKUP($A37,main!$A$3:$H$102,6,FALSE)&gt;=(VLOOKUP(VLOOKUP(AO$1,main!$A$3:$H$102,8,FALSE),main!$K$26:$M$29,2,FALSE)+VLOOKUP(VLOOKUP(AO$1,main!$A$3:$H$102,7,FALSE),main!$K$19:$O$22,MATCH(VLOOKUP($A37,main!$A$3:$H$102,8,FALSE),main!$K$18:$O$18,0))))),1,0)</f>
        <v>0</v>
      </c>
      <c r="AP37">
        <f>IF((AND(VLOOKUP(AP$1,main!$A$3:$H$102,5,FALSE)-VLOOKUP($A37,main!$A$3:$H$102,6,FALSE)&gt;=(VLOOKUP(VLOOKUP(AP$1,main!$A$3:$H$102,8,FALSE),main!$K$26:$M$29,2,FALSE)+VLOOKUP(VLOOKUP(AP$1,main!$A$3:$H$102,7,FALSE),main!$K$19:$O$22,MATCH(VLOOKUP($A37,main!$A$3:$H$102,8,FALSE),main!$K$18:$O$18,0))))),1,0)</f>
        <v>1</v>
      </c>
      <c r="AQ37">
        <f>IF((AND(VLOOKUP(AQ$1,main!$A$3:$H$102,5,FALSE)-VLOOKUP($A37,main!$A$3:$H$102,6,FALSE)&gt;=(VLOOKUP(VLOOKUP(AQ$1,main!$A$3:$H$102,8,FALSE),main!$K$26:$M$29,2,FALSE)+VLOOKUP(VLOOKUP(AQ$1,main!$A$3:$H$102,7,FALSE),main!$K$19:$O$22,MATCH(VLOOKUP($A37,main!$A$3:$H$102,8,FALSE),main!$K$18:$O$18,0))))),1,0)</f>
        <v>0</v>
      </c>
      <c r="AR37">
        <f>IF((AND(VLOOKUP(AR$1,main!$A$3:$H$102,5,FALSE)-VLOOKUP($A37,main!$A$3:$H$102,6,FALSE)&gt;=(VLOOKUP(VLOOKUP(AR$1,main!$A$3:$H$102,8,FALSE),main!$K$26:$M$29,2,FALSE)+VLOOKUP(VLOOKUP(AR$1,main!$A$3:$H$102,7,FALSE),main!$K$19:$O$22,MATCH(VLOOKUP($A37,main!$A$3:$H$102,8,FALSE),main!$K$18:$O$18,0))))),1,0)</f>
        <v>0</v>
      </c>
      <c r="AS37">
        <f>IF((AND(VLOOKUP(AS$1,main!$A$3:$H$102,5,FALSE)-VLOOKUP($A37,main!$A$3:$H$102,6,FALSE)&gt;=(VLOOKUP(VLOOKUP(AS$1,main!$A$3:$H$102,8,FALSE),main!$K$26:$M$29,2,FALSE)+VLOOKUP(VLOOKUP(AS$1,main!$A$3:$H$102,7,FALSE),main!$K$19:$O$22,MATCH(VLOOKUP($A37,main!$A$3:$H$102,8,FALSE),main!$K$18:$O$18,0))))),1,0)</f>
        <v>0</v>
      </c>
      <c r="AT37">
        <f>IF((AND(VLOOKUP(AT$1,main!$A$3:$H$102,5,FALSE)-VLOOKUP($A37,main!$A$3:$H$102,6,FALSE)&gt;=(VLOOKUP(VLOOKUP(AT$1,main!$A$3:$H$102,8,FALSE),main!$K$26:$M$29,2,FALSE)+VLOOKUP(VLOOKUP(AT$1,main!$A$3:$H$102,7,FALSE),main!$K$19:$O$22,MATCH(VLOOKUP($A37,main!$A$3:$H$102,8,FALSE),main!$K$18:$O$18,0))))),1,0)</f>
        <v>0</v>
      </c>
      <c r="AU37">
        <f>IF((AND(VLOOKUP(AU$1,main!$A$3:$H$102,5,FALSE)-VLOOKUP($A37,main!$A$3:$H$102,6,FALSE)&gt;=(VLOOKUP(VLOOKUP(AU$1,main!$A$3:$H$102,8,FALSE),main!$K$26:$M$29,2,FALSE)+VLOOKUP(VLOOKUP(AU$1,main!$A$3:$H$102,7,FALSE),main!$K$19:$O$22,MATCH(VLOOKUP($A37,main!$A$3:$H$102,8,FALSE),main!$K$18:$O$18,0))))),1,0)</f>
        <v>0</v>
      </c>
      <c r="AV37">
        <f>IF((AND(VLOOKUP(AV$1,main!$A$3:$H$102,5,FALSE)-VLOOKUP($A37,main!$A$3:$H$102,6,FALSE)&gt;=(VLOOKUP(VLOOKUP(AV$1,main!$A$3:$H$102,8,FALSE),main!$K$26:$M$29,2,FALSE)+VLOOKUP(VLOOKUP(AV$1,main!$A$3:$H$102,7,FALSE),main!$K$19:$O$22,MATCH(VLOOKUP($A37,main!$A$3:$H$102,8,FALSE),main!$K$18:$O$18,0))))),1,0)</f>
        <v>0</v>
      </c>
      <c r="AW37">
        <f>IF((AND(VLOOKUP(AW$1,main!$A$3:$H$102,5,FALSE)-VLOOKUP($A37,main!$A$3:$H$102,6,FALSE)&gt;=(VLOOKUP(VLOOKUP(AW$1,main!$A$3:$H$102,8,FALSE),main!$K$26:$M$29,2,FALSE)+VLOOKUP(VLOOKUP(AW$1,main!$A$3:$H$102,7,FALSE),main!$K$19:$O$22,MATCH(VLOOKUP($A37,main!$A$3:$H$102,8,FALSE),main!$K$18:$O$18,0))))),1,0)</f>
        <v>0</v>
      </c>
      <c r="AX37">
        <f>IF((AND(VLOOKUP(AX$1,main!$A$3:$H$102,5,FALSE)-VLOOKUP($A37,main!$A$3:$H$102,6,FALSE)&gt;=(VLOOKUP(VLOOKUP(AX$1,main!$A$3:$H$102,8,FALSE),main!$K$26:$M$29,2,FALSE)+VLOOKUP(VLOOKUP(AX$1,main!$A$3:$H$102,7,FALSE),main!$K$19:$O$22,MATCH(VLOOKUP($A37,main!$A$3:$H$102,8,FALSE),main!$K$18:$O$18,0))))),1,0)</f>
        <v>0</v>
      </c>
      <c r="AY37">
        <f>IF((AND(VLOOKUP(AY$1,main!$A$3:$H$102,5,FALSE)-VLOOKUP($A37,main!$A$3:$H$102,6,FALSE)&gt;=(VLOOKUP(VLOOKUP(AY$1,main!$A$3:$H$102,8,FALSE),main!$K$26:$M$29,2,FALSE)+VLOOKUP(VLOOKUP(AY$1,main!$A$3:$H$102,7,FALSE),main!$K$19:$O$22,MATCH(VLOOKUP($A37,main!$A$3:$H$102,8,FALSE),main!$K$18:$O$18,0))))),1,0)</f>
        <v>0</v>
      </c>
      <c r="AZ37">
        <f>IF((AND(VLOOKUP(AZ$1,main!$A$3:$H$102,5,FALSE)-VLOOKUP($A37,main!$A$3:$H$102,6,FALSE)&gt;=(VLOOKUP(VLOOKUP(AZ$1,main!$A$3:$H$102,8,FALSE),main!$K$26:$M$29,2,FALSE)+VLOOKUP(VLOOKUP(AZ$1,main!$A$3:$H$102,7,FALSE),main!$K$19:$O$22,MATCH(VLOOKUP($A37,main!$A$3:$H$102,8,FALSE),main!$K$18:$O$18,0))))),1,0)</f>
        <v>0</v>
      </c>
      <c r="BA37">
        <f>IF((AND(VLOOKUP(BA$1,main!$A$3:$H$102,5,FALSE)-VLOOKUP($A37,main!$A$3:$H$102,6,FALSE)&gt;=(VLOOKUP(VLOOKUP(BA$1,main!$A$3:$H$102,8,FALSE),main!$K$26:$M$29,2,FALSE)+VLOOKUP(VLOOKUP(BA$1,main!$A$3:$H$102,7,FALSE),main!$K$19:$O$22,MATCH(VLOOKUP($A37,main!$A$3:$H$102,8,FALSE),main!$K$18:$O$18,0))))),1,0)</f>
        <v>0</v>
      </c>
      <c r="BB37">
        <f>IF((AND(VLOOKUP(BB$1,main!$A$3:$H$102,5,FALSE)-VLOOKUP($A37,main!$A$3:$H$102,6,FALSE)&gt;=(VLOOKUP(VLOOKUP(BB$1,main!$A$3:$H$102,8,FALSE),main!$K$26:$M$29,2,FALSE)+VLOOKUP(VLOOKUP(BB$1,main!$A$3:$H$102,7,FALSE),main!$K$19:$O$22,MATCH(VLOOKUP($A37,main!$A$3:$H$102,8,FALSE),main!$K$18:$O$18,0))))),1,0)</f>
        <v>0</v>
      </c>
      <c r="BC37">
        <f>IF((AND(VLOOKUP(BC$1,main!$A$3:$H$102,5,FALSE)-VLOOKUP($A37,main!$A$3:$H$102,6,FALSE)&gt;=(VLOOKUP(VLOOKUP(BC$1,main!$A$3:$H$102,8,FALSE),main!$K$26:$M$29,2,FALSE)+VLOOKUP(VLOOKUP(BC$1,main!$A$3:$H$102,7,FALSE),main!$K$19:$O$22,MATCH(VLOOKUP($A37,main!$A$3:$H$102,8,FALSE),main!$K$18:$O$18,0))))),1,0)</f>
        <v>0</v>
      </c>
      <c r="BD37">
        <f>IF((AND(VLOOKUP(BD$1,main!$A$3:$H$102,5,FALSE)-VLOOKUP($A37,main!$A$3:$H$102,6,FALSE)&gt;=(VLOOKUP(VLOOKUP(BD$1,main!$A$3:$H$102,8,FALSE),main!$K$26:$M$29,2,FALSE)+VLOOKUP(VLOOKUP(BD$1,main!$A$3:$H$102,7,FALSE),main!$K$19:$O$22,MATCH(VLOOKUP($A37,main!$A$3:$H$102,8,FALSE),main!$K$18:$O$18,0))))),1,0)</f>
        <v>0</v>
      </c>
      <c r="BE37">
        <f>IF((AND(VLOOKUP(BE$1,main!$A$3:$H$102,5,FALSE)-VLOOKUP($A37,main!$A$3:$H$102,6,FALSE)&gt;=(VLOOKUP(VLOOKUP(BE$1,main!$A$3:$H$102,8,FALSE),main!$K$26:$M$29,2,FALSE)+VLOOKUP(VLOOKUP(BE$1,main!$A$3:$H$102,7,FALSE),main!$K$19:$O$22,MATCH(VLOOKUP($A37,main!$A$3:$H$102,8,FALSE),main!$K$18:$O$18,0))))),1,0)</f>
        <v>0</v>
      </c>
      <c r="BF37">
        <f>IF((AND(VLOOKUP(BF$1,main!$A$3:$H$102,5,FALSE)-VLOOKUP($A37,main!$A$3:$H$102,6,FALSE)&gt;=(VLOOKUP(VLOOKUP(BF$1,main!$A$3:$H$102,8,FALSE),main!$K$26:$M$29,2,FALSE)+VLOOKUP(VLOOKUP(BF$1,main!$A$3:$H$102,7,FALSE),main!$K$19:$O$22,MATCH(VLOOKUP($A37,main!$A$3:$H$102,8,FALSE),main!$K$18:$O$18,0))))),1,0)</f>
        <v>0</v>
      </c>
      <c r="BG37">
        <f>IF((AND(VLOOKUP(BG$1,main!$A$3:$H$102,5,FALSE)-VLOOKUP($A37,main!$A$3:$H$102,6,FALSE)&gt;=(VLOOKUP(VLOOKUP(BG$1,main!$A$3:$H$102,8,FALSE),main!$K$26:$M$29,2,FALSE)+VLOOKUP(VLOOKUP(BG$1,main!$A$3:$H$102,7,FALSE),main!$K$19:$O$22,MATCH(VLOOKUP($A37,main!$A$3:$H$102,8,FALSE),main!$K$18:$O$18,0))))),1,0)</f>
        <v>0</v>
      </c>
      <c r="BH37">
        <f>IF((AND(VLOOKUP(BH$1,main!$A$3:$H$102,5,FALSE)-VLOOKUP($A37,main!$A$3:$H$102,6,FALSE)&gt;=(VLOOKUP(VLOOKUP(BH$1,main!$A$3:$H$102,8,FALSE),main!$K$26:$M$29,2,FALSE)+VLOOKUP(VLOOKUP(BH$1,main!$A$3:$H$102,7,FALSE),main!$K$19:$O$22,MATCH(VLOOKUP($A37,main!$A$3:$H$102,8,FALSE),main!$K$18:$O$18,0))))),1,0)</f>
        <v>0</v>
      </c>
      <c r="BI37">
        <f>IF((AND(VLOOKUP(BI$1,main!$A$3:$H$102,5,FALSE)-VLOOKUP($A37,main!$A$3:$H$102,6,FALSE)&gt;=(VLOOKUP(VLOOKUP(BI$1,main!$A$3:$H$102,8,FALSE),main!$K$26:$M$29,2,FALSE)+VLOOKUP(VLOOKUP(BI$1,main!$A$3:$H$102,7,FALSE),main!$K$19:$O$22,MATCH(VLOOKUP($A37,main!$A$3:$H$102,8,FALSE),main!$K$18:$O$18,0))))),1,0)</f>
        <v>1</v>
      </c>
      <c r="BJ37">
        <f>IF((AND(VLOOKUP(BJ$1,main!$A$3:$H$102,5,FALSE)-VLOOKUP($A37,main!$A$3:$H$102,6,FALSE)&gt;=(VLOOKUP(VLOOKUP(BJ$1,main!$A$3:$H$102,8,FALSE),main!$K$26:$M$29,2,FALSE)+VLOOKUP(VLOOKUP(BJ$1,main!$A$3:$H$102,7,FALSE),main!$K$19:$O$22,MATCH(VLOOKUP($A37,main!$A$3:$H$102,8,FALSE),main!$K$18:$O$18,0))))),1,0)</f>
        <v>0</v>
      </c>
      <c r="BK37">
        <f>IF((AND(VLOOKUP(BK$1,main!$A$3:$H$102,5,FALSE)-VLOOKUP($A37,main!$A$3:$H$102,6,FALSE)&gt;=(VLOOKUP(VLOOKUP(BK$1,main!$A$3:$H$102,8,FALSE),main!$K$26:$M$29,2,FALSE)+VLOOKUP(VLOOKUP(BK$1,main!$A$3:$H$102,7,FALSE),main!$K$19:$O$22,MATCH(VLOOKUP($A37,main!$A$3:$H$102,8,FALSE),main!$K$18:$O$18,0))))),1,0)</f>
        <v>0</v>
      </c>
      <c r="BL37">
        <f>IF((AND(VLOOKUP(BL$1,main!$A$3:$H$102,5,FALSE)-VLOOKUP($A37,main!$A$3:$H$102,6,FALSE)&gt;=(VLOOKUP(VLOOKUP(BL$1,main!$A$3:$H$102,8,FALSE),main!$K$26:$M$29,2,FALSE)+VLOOKUP(VLOOKUP(BL$1,main!$A$3:$H$102,7,FALSE),main!$K$19:$O$22,MATCH(VLOOKUP($A37,main!$A$3:$H$102,8,FALSE),main!$K$18:$O$18,0))))),1,0)</f>
        <v>0</v>
      </c>
      <c r="BM37">
        <f>IF((AND(VLOOKUP(BM$1,main!$A$3:$H$102,5,FALSE)-VLOOKUP($A37,main!$A$3:$H$102,6,FALSE)&gt;=(VLOOKUP(VLOOKUP(BM$1,main!$A$3:$H$102,8,FALSE),main!$K$26:$M$29,2,FALSE)+VLOOKUP(VLOOKUP(BM$1,main!$A$3:$H$102,7,FALSE),main!$K$19:$O$22,MATCH(VLOOKUP($A37,main!$A$3:$H$102,8,FALSE),main!$K$18:$O$18,0))))),1,0)</f>
        <v>0</v>
      </c>
      <c r="BN37">
        <f>IF((AND(VLOOKUP(BN$1,main!$A$3:$H$102,5,FALSE)-VLOOKUP($A37,main!$A$3:$H$102,6,FALSE)&gt;=(VLOOKUP(VLOOKUP(BN$1,main!$A$3:$H$102,8,FALSE),main!$K$26:$M$29,2,FALSE)+VLOOKUP(VLOOKUP(BN$1,main!$A$3:$H$102,7,FALSE),main!$K$19:$O$22,MATCH(VLOOKUP($A37,main!$A$3:$H$102,8,FALSE),main!$K$18:$O$18,0))))),1,0)</f>
        <v>0</v>
      </c>
      <c r="BO37">
        <f>IF((AND(VLOOKUP(BO$1,main!$A$3:$H$102,5,FALSE)-VLOOKUP($A37,main!$A$3:$H$102,6,FALSE)&gt;=(VLOOKUP(VLOOKUP(BO$1,main!$A$3:$H$102,8,FALSE),main!$K$26:$M$29,2,FALSE)+VLOOKUP(VLOOKUP(BO$1,main!$A$3:$H$102,7,FALSE),main!$K$19:$O$22,MATCH(VLOOKUP($A37,main!$A$3:$H$102,8,FALSE),main!$K$18:$O$18,0))))),1,0)</f>
        <v>0</v>
      </c>
      <c r="BP37">
        <f>IF((AND(VLOOKUP(BP$1,main!$A$3:$H$102,5,FALSE)-VLOOKUP($A37,main!$A$3:$H$102,6,FALSE)&gt;=(VLOOKUP(VLOOKUP(BP$1,main!$A$3:$H$102,8,FALSE),main!$K$26:$M$29,2,FALSE)+VLOOKUP(VLOOKUP(BP$1,main!$A$3:$H$102,7,FALSE),main!$K$19:$O$22,MATCH(VLOOKUP($A37,main!$A$3:$H$102,8,FALSE),main!$K$18:$O$18,0))))),1,0)</f>
        <v>0</v>
      </c>
      <c r="BQ37">
        <f>IF((AND(VLOOKUP(BQ$1,main!$A$3:$H$102,5,FALSE)-VLOOKUP($A37,main!$A$3:$H$102,6,FALSE)&gt;=(VLOOKUP(VLOOKUP(BQ$1,main!$A$3:$H$102,8,FALSE),main!$K$26:$M$29,2,FALSE)+VLOOKUP(VLOOKUP(BQ$1,main!$A$3:$H$102,7,FALSE),main!$K$19:$O$22,MATCH(VLOOKUP($A37,main!$A$3:$H$102,8,FALSE),main!$K$18:$O$18,0))))),1,0)</f>
        <v>0</v>
      </c>
      <c r="BR37">
        <f>IF((AND(VLOOKUP(BR$1,main!$A$3:$H$102,5,FALSE)-VLOOKUP($A37,main!$A$3:$H$102,6,FALSE)&gt;=(VLOOKUP(VLOOKUP(BR$1,main!$A$3:$H$102,8,FALSE),main!$K$26:$M$29,2,FALSE)+VLOOKUP(VLOOKUP(BR$1,main!$A$3:$H$102,7,FALSE),main!$K$19:$O$22,MATCH(VLOOKUP($A37,main!$A$3:$H$102,8,FALSE),main!$K$18:$O$18,0))))),1,0)</f>
        <v>0</v>
      </c>
      <c r="BS37">
        <f>IF((AND(VLOOKUP(BS$1,main!$A$3:$H$102,5,FALSE)-VLOOKUP($A37,main!$A$3:$H$102,6,FALSE)&gt;=(VLOOKUP(VLOOKUP(BS$1,main!$A$3:$H$102,8,FALSE),main!$K$26:$M$29,2,FALSE)+VLOOKUP(VLOOKUP(BS$1,main!$A$3:$H$102,7,FALSE),main!$K$19:$O$22,MATCH(VLOOKUP($A37,main!$A$3:$H$102,8,FALSE),main!$K$18:$O$18,0))))),1,0)</f>
        <v>0</v>
      </c>
      <c r="BT37">
        <f>IF((AND(VLOOKUP(BT$1,main!$A$3:$H$102,5,FALSE)-VLOOKUP($A37,main!$A$3:$H$102,6,FALSE)&gt;=(VLOOKUP(VLOOKUP(BT$1,main!$A$3:$H$102,8,FALSE),main!$K$26:$M$29,2,FALSE)+VLOOKUP(VLOOKUP(BT$1,main!$A$3:$H$102,7,FALSE),main!$K$19:$O$22,MATCH(VLOOKUP($A37,main!$A$3:$H$102,8,FALSE),main!$K$18:$O$18,0))))),1,0)</f>
        <v>0</v>
      </c>
      <c r="BU37">
        <f>IF((AND(VLOOKUP(BU$1,main!$A$3:$H$102,5,FALSE)-VLOOKUP($A37,main!$A$3:$H$102,6,FALSE)&gt;=(VLOOKUP(VLOOKUP(BU$1,main!$A$3:$H$102,8,FALSE),main!$K$26:$M$29,2,FALSE)+VLOOKUP(VLOOKUP(BU$1,main!$A$3:$H$102,7,FALSE),main!$K$19:$O$22,MATCH(VLOOKUP($A37,main!$A$3:$H$102,8,FALSE),main!$K$18:$O$18,0))))),1,0)</f>
        <v>0</v>
      </c>
      <c r="BV37">
        <f>IF((AND(VLOOKUP(BV$1,main!$A$3:$H$102,5,FALSE)-VLOOKUP($A37,main!$A$3:$H$102,6,FALSE)&gt;=(VLOOKUP(VLOOKUP(BV$1,main!$A$3:$H$102,8,FALSE),main!$K$26:$M$29,2,FALSE)+VLOOKUP(VLOOKUP(BV$1,main!$A$3:$H$102,7,FALSE),main!$K$19:$O$22,MATCH(VLOOKUP($A37,main!$A$3:$H$102,8,FALSE),main!$K$18:$O$18,0))))),1,0)</f>
        <v>0</v>
      </c>
      <c r="BW37">
        <f>IF((AND(VLOOKUP(BW$1,main!$A$3:$H$102,5,FALSE)-VLOOKUP($A37,main!$A$3:$H$102,6,FALSE)&gt;=(VLOOKUP(VLOOKUP(BW$1,main!$A$3:$H$102,8,FALSE),main!$K$26:$M$29,2,FALSE)+VLOOKUP(VLOOKUP(BW$1,main!$A$3:$H$102,7,FALSE),main!$K$19:$O$22,MATCH(VLOOKUP($A37,main!$A$3:$H$102,8,FALSE),main!$K$18:$O$18,0))))),1,0)</f>
        <v>0</v>
      </c>
      <c r="BX37">
        <f>IF((AND(VLOOKUP(BX$1,main!$A$3:$H$102,5,FALSE)-VLOOKUP($A37,main!$A$3:$H$102,6,FALSE)&gt;=(VLOOKUP(VLOOKUP(BX$1,main!$A$3:$H$102,8,FALSE),main!$K$26:$M$29,2,FALSE)+VLOOKUP(VLOOKUP(BX$1,main!$A$3:$H$102,7,FALSE),main!$K$19:$O$22,MATCH(VLOOKUP($A37,main!$A$3:$H$102,8,FALSE),main!$K$18:$O$18,0))))),1,0)</f>
        <v>0</v>
      </c>
      <c r="BY37">
        <f>IF((AND(VLOOKUP(BY$1,main!$A$3:$H$102,5,FALSE)-VLOOKUP($A37,main!$A$3:$H$102,6,FALSE)&gt;=(VLOOKUP(VLOOKUP(BY$1,main!$A$3:$H$102,8,FALSE),main!$K$26:$M$29,2,FALSE)+VLOOKUP(VLOOKUP(BY$1,main!$A$3:$H$102,7,FALSE),main!$K$19:$O$22,MATCH(VLOOKUP($A37,main!$A$3:$H$102,8,FALSE),main!$K$18:$O$18,0))))),1,0)</f>
        <v>0</v>
      </c>
      <c r="BZ37">
        <f>IF((AND(VLOOKUP(BZ$1,main!$A$3:$H$102,5,FALSE)-VLOOKUP($A37,main!$A$3:$H$102,6,FALSE)&gt;=(VLOOKUP(VLOOKUP(BZ$1,main!$A$3:$H$102,8,FALSE),main!$K$26:$M$29,2,FALSE)+VLOOKUP(VLOOKUP(BZ$1,main!$A$3:$H$102,7,FALSE),main!$K$19:$O$22,MATCH(VLOOKUP($A37,main!$A$3:$H$102,8,FALSE),main!$K$18:$O$18,0))))),1,0)</f>
        <v>0</v>
      </c>
      <c r="CA37">
        <f>IF((AND(VLOOKUP(CA$1,main!$A$3:$H$102,5,FALSE)-VLOOKUP($A37,main!$A$3:$H$102,6,FALSE)&gt;=(VLOOKUP(VLOOKUP(CA$1,main!$A$3:$H$102,8,FALSE),main!$K$26:$M$29,2,FALSE)+VLOOKUP(VLOOKUP(CA$1,main!$A$3:$H$102,7,FALSE),main!$K$19:$O$22,MATCH(VLOOKUP($A37,main!$A$3:$H$102,8,FALSE),main!$K$18:$O$18,0))))),1,0)</f>
        <v>0</v>
      </c>
      <c r="CB37">
        <f>IF((AND(VLOOKUP(CB$1,main!$A$3:$H$102,5,FALSE)-VLOOKUP($A37,main!$A$3:$H$102,6,FALSE)&gt;=(VLOOKUP(VLOOKUP(CB$1,main!$A$3:$H$102,8,FALSE),main!$K$26:$M$29,2,FALSE)+VLOOKUP(VLOOKUP(CB$1,main!$A$3:$H$102,7,FALSE),main!$K$19:$O$22,MATCH(VLOOKUP($A37,main!$A$3:$H$102,8,FALSE),main!$K$18:$O$18,0))))),1,0)</f>
        <v>0</v>
      </c>
      <c r="CC37">
        <f>IF((AND(VLOOKUP(CC$1,main!$A$3:$H$102,5,FALSE)-VLOOKUP($A37,main!$A$3:$H$102,6,FALSE)&gt;=(VLOOKUP(VLOOKUP(CC$1,main!$A$3:$H$102,8,FALSE),main!$K$26:$M$29,2,FALSE)+VLOOKUP(VLOOKUP(CC$1,main!$A$3:$H$102,7,FALSE),main!$K$19:$O$22,MATCH(VLOOKUP($A37,main!$A$3:$H$102,8,FALSE),main!$K$18:$O$18,0))))),1,0)</f>
        <v>1</v>
      </c>
      <c r="CD37">
        <f>IF((AND(VLOOKUP(CD$1,main!$A$3:$H$102,5,FALSE)-VLOOKUP($A37,main!$A$3:$H$102,6,FALSE)&gt;=(VLOOKUP(VLOOKUP(CD$1,main!$A$3:$H$102,8,FALSE),main!$K$26:$M$29,2,FALSE)+VLOOKUP(VLOOKUP(CD$1,main!$A$3:$H$102,7,FALSE),main!$K$19:$O$22,MATCH(VLOOKUP($A37,main!$A$3:$H$102,8,FALSE),main!$K$18:$O$18,0))))),1,0)</f>
        <v>0</v>
      </c>
      <c r="CE37">
        <f>IF((AND(VLOOKUP(CE$1,main!$A$3:$H$102,5,FALSE)-VLOOKUP($A37,main!$A$3:$H$102,6,FALSE)&gt;=(VLOOKUP(VLOOKUP(CE$1,main!$A$3:$H$102,8,FALSE),main!$K$26:$M$29,2,FALSE)+VLOOKUP(VLOOKUP(CE$1,main!$A$3:$H$102,7,FALSE),main!$K$19:$O$22,MATCH(VLOOKUP($A37,main!$A$3:$H$102,8,FALSE),main!$K$18:$O$18,0))))),1,0)</f>
        <v>0</v>
      </c>
      <c r="CF37">
        <f>IF((AND(VLOOKUP(CF$1,main!$A$3:$H$102,5,FALSE)-VLOOKUP($A37,main!$A$3:$H$102,6,FALSE)&gt;=(VLOOKUP(VLOOKUP(CF$1,main!$A$3:$H$102,8,FALSE),main!$K$26:$M$29,2,FALSE)+VLOOKUP(VLOOKUP(CF$1,main!$A$3:$H$102,7,FALSE),main!$K$19:$O$22,MATCH(VLOOKUP($A37,main!$A$3:$H$102,8,FALSE),main!$K$18:$O$18,0))))),1,0)</f>
        <v>0</v>
      </c>
      <c r="CG37">
        <f>IF((AND(VLOOKUP(CG$1,main!$A$3:$H$102,5,FALSE)-VLOOKUP($A37,main!$A$3:$H$102,6,FALSE)&gt;=(VLOOKUP(VLOOKUP(CG$1,main!$A$3:$H$102,8,FALSE),main!$K$26:$M$29,2,FALSE)+VLOOKUP(VLOOKUP(CG$1,main!$A$3:$H$102,7,FALSE),main!$K$19:$O$22,MATCH(VLOOKUP($A37,main!$A$3:$H$102,8,FALSE),main!$K$18:$O$18,0))))),1,0)</f>
        <v>0</v>
      </c>
      <c r="CH37">
        <f>IF((AND(VLOOKUP(CH$1,main!$A$3:$H$102,5,FALSE)-VLOOKUP($A37,main!$A$3:$H$102,6,FALSE)&gt;=(VLOOKUP(VLOOKUP(CH$1,main!$A$3:$H$102,8,FALSE),main!$K$26:$M$29,2,FALSE)+VLOOKUP(VLOOKUP(CH$1,main!$A$3:$H$102,7,FALSE),main!$K$19:$O$22,MATCH(VLOOKUP($A37,main!$A$3:$H$102,8,FALSE),main!$K$18:$O$18,0))))),1,0)</f>
        <v>0</v>
      </c>
      <c r="CI37">
        <f>IF((AND(VLOOKUP(CI$1,main!$A$3:$H$102,5,FALSE)-VLOOKUP($A37,main!$A$3:$H$102,6,FALSE)&gt;=(VLOOKUP(VLOOKUP(CI$1,main!$A$3:$H$102,8,FALSE),main!$K$26:$M$29,2,FALSE)+VLOOKUP(VLOOKUP(CI$1,main!$A$3:$H$102,7,FALSE),main!$K$19:$O$22,MATCH(VLOOKUP($A37,main!$A$3:$H$102,8,FALSE),main!$K$18:$O$18,0))))),1,0)</f>
        <v>1</v>
      </c>
      <c r="CJ37">
        <f>IF((AND(VLOOKUP(CJ$1,main!$A$3:$H$102,5,FALSE)-VLOOKUP($A37,main!$A$3:$H$102,6,FALSE)&gt;=(VLOOKUP(VLOOKUP(CJ$1,main!$A$3:$H$102,8,FALSE),main!$K$26:$M$29,2,FALSE)+VLOOKUP(VLOOKUP(CJ$1,main!$A$3:$H$102,7,FALSE),main!$K$19:$O$22,MATCH(VLOOKUP($A37,main!$A$3:$H$102,8,FALSE),main!$K$18:$O$18,0))))),1,0)</f>
        <v>0</v>
      </c>
      <c r="CK37">
        <f>IF((AND(VLOOKUP(CK$1,main!$A$3:$H$102,5,FALSE)-VLOOKUP($A37,main!$A$3:$H$102,6,FALSE)&gt;=(VLOOKUP(VLOOKUP(CK$1,main!$A$3:$H$102,8,FALSE),main!$K$26:$M$29,2,FALSE)+VLOOKUP(VLOOKUP(CK$1,main!$A$3:$H$102,7,FALSE),main!$K$19:$O$22,MATCH(VLOOKUP($A37,main!$A$3:$H$102,8,FALSE),main!$K$18:$O$18,0))))),1,0)</f>
        <v>0</v>
      </c>
      <c r="CL37">
        <f>IF((AND(VLOOKUP(CL$1,main!$A$3:$H$102,5,FALSE)-VLOOKUP($A37,main!$A$3:$H$102,6,FALSE)&gt;=(VLOOKUP(VLOOKUP(CL$1,main!$A$3:$H$102,8,FALSE),main!$K$26:$M$29,2,FALSE)+VLOOKUP(VLOOKUP(CL$1,main!$A$3:$H$102,7,FALSE),main!$K$19:$O$22,MATCH(VLOOKUP($A37,main!$A$3:$H$102,8,FALSE),main!$K$18:$O$18,0))))),1,0)</f>
        <v>0</v>
      </c>
      <c r="CM37">
        <f>IF((AND(VLOOKUP(CM$1,main!$A$3:$H$102,5,FALSE)-VLOOKUP($A37,main!$A$3:$H$102,6,FALSE)&gt;=(VLOOKUP(VLOOKUP(CM$1,main!$A$3:$H$102,8,FALSE),main!$K$26:$M$29,2,FALSE)+VLOOKUP(VLOOKUP(CM$1,main!$A$3:$H$102,7,FALSE),main!$K$19:$O$22,MATCH(VLOOKUP($A37,main!$A$3:$H$102,8,FALSE),main!$K$18:$O$18,0))))),1,0)</f>
        <v>0</v>
      </c>
      <c r="CN37">
        <f>IF((AND(VLOOKUP(CN$1,main!$A$3:$H$102,5,FALSE)-VLOOKUP($A37,main!$A$3:$H$102,6,FALSE)&gt;=(VLOOKUP(VLOOKUP(CN$1,main!$A$3:$H$102,8,FALSE),main!$K$26:$M$29,2,FALSE)+VLOOKUP(VLOOKUP(CN$1,main!$A$3:$H$102,7,FALSE),main!$K$19:$O$22,MATCH(VLOOKUP($A37,main!$A$3:$H$102,8,FALSE),main!$K$18:$O$18,0))))),1,0)</f>
        <v>1</v>
      </c>
      <c r="CO37">
        <f>IF((AND(VLOOKUP(CO$1,main!$A$3:$H$102,5,FALSE)-VLOOKUP($A37,main!$A$3:$H$102,6,FALSE)&gt;=(VLOOKUP(VLOOKUP(CO$1,main!$A$3:$H$102,8,FALSE),main!$K$26:$M$29,2,FALSE)+VLOOKUP(VLOOKUP(CO$1,main!$A$3:$H$102,7,FALSE),main!$K$19:$O$22,MATCH(VLOOKUP($A37,main!$A$3:$H$102,8,FALSE),main!$K$18:$O$18,0))))),1,0)</f>
        <v>0</v>
      </c>
      <c r="CP37">
        <f>IF((AND(VLOOKUP(CP$1,main!$A$3:$H$102,5,FALSE)-VLOOKUP($A37,main!$A$3:$H$102,6,FALSE)&gt;=(VLOOKUP(VLOOKUP(CP$1,main!$A$3:$H$102,8,FALSE),main!$K$26:$M$29,2,FALSE)+VLOOKUP(VLOOKUP(CP$1,main!$A$3:$H$102,7,FALSE),main!$K$19:$O$22,MATCH(VLOOKUP($A37,main!$A$3:$H$102,8,FALSE),main!$K$18:$O$18,0))))),1,0)</f>
        <v>0</v>
      </c>
      <c r="CQ37">
        <f>IF((AND(VLOOKUP(CQ$1,main!$A$3:$H$102,5,FALSE)-VLOOKUP($A37,main!$A$3:$H$102,6,FALSE)&gt;=(VLOOKUP(VLOOKUP(CQ$1,main!$A$3:$H$102,8,FALSE),main!$K$26:$M$29,2,FALSE)+VLOOKUP(VLOOKUP(CQ$1,main!$A$3:$H$102,7,FALSE),main!$K$19:$O$22,MATCH(VLOOKUP($A37,main!$A$3:$H$102,8,FALSE),main!$K$18:$O$18,0))))),1,0)</f>
        <v>0</v>
      </c>
      <c r="CR37">
        <f>IF((AND(VLOOKUP(CR$1,main!$A$3:$H$102,5,FALSE)-VLOOKUP($A37,main!$A$3:$H$102,6,FALSE)&gt;=(VLOOKUP(VLOOKUP(CR$1,main!$A$3:$H$102,8,FALSE),main!$K$26:$M$29,2,FALSE)+VLOOKUP(VLOOKUP(CR$1,main!$A$3:$H$102,7,FALSE),main!$K$19:$O$22,MATCH(VLOOKUP($A37,main!$A$3:$H$102,8,FALSE),main!$K$18:$O$18,0))))),1,0)</f>
        <v>0</v>
      </c>
      <c r="CS37">
        <f>IF((AND(VLOOKUP(CS$1,main!$A$3:$H$102,5,FALSE)-VLOOKUP($A37,main!$A$3:$H$102,6,FALSE)&gt;=(VLOOKUP(VLOOKUP(CS$1,main!$A$3:$H$102,8,FALSE),main!$K$26:$M$29,2,FALSE)+VLOOKUP(VLOOKUP(CS$1,main!$A$3:$H$102,7,FALSE),main!$K$19:$O$22,MATCH(VLOOKUP($A37,main!$A$3:$H$102,8,FALSE),main!$K$18:$O$18,0))))),1,0)</f>
        <v>0</v>
      </c>
      <c r="CT37">
        <f>IF((AND(VLOOKUP(CT$1,main!$A$3:$H$102,5,FALSE)-VLOOKUP($A37,main!$A$3:$H$102,6,FALSE)&gt;=(VLOOKUP(VLOOKUP(CT$1,main!$A$3:$H$102,8,FALSE),main!$K$26:$M$29,2,FALSE)+VLOOKUP(VLOOKUP(CT$1,main!$A$3:$H$102,7,FALSE),main!$K$19:$O$22,MATCH(VLOOKUP($A37,main!$A$3:$H$102,8,FALSE),main!$K$18:$O$18,0))))),1,0)</f>
        <v>0</v>
      </c>
      <c r="CU37">
        <f>IF((AND(VLOOKUP(CU$1,main!$A$3:$H$102,5,FALSE)-VLOOKUP($A37,main!$A$3:$H$102,6,FALSE)&gt;=(VLOOKUP(VLOOKUP(CU$1,main!$A$3:$H$102,8,FALSE),main!$K$26:$M$29,2,FALSE)+VLOOKUP(VLOOKUP(CU$1,main!$A$3:$H$102,7,FALSE),main!$K$19:$O$22,MATCH(VLOOKUP($A37,main!$A$3:$H$102,8,FALSE),main!$K$18:$O$18,0))))),1,0)</f>
        <v>0</v>
      </c>
      <c r="CV37">
        <f>IF((AND(VLOOKUP(CV$1,main!$A$3:$H$102,5,FALSE)-VLOOKUP($A37,main!$A$3:$H$102,6,FALSE)&gt;=(VLOOKUP(VLOOKUP(CV$1,main!$A$3:$H$102,8,FALSE),main!$K$26:$M$29,2,FALSE)+VLOOKUP(VLOOKUP(CV$1,main!$A$3:$H$102,7,FALSE),main!$K$19:$O$22,MATCH(VLOOKUP($A37,main!$A$3:$H$102,8,FALSE),main!$K$18:$O$18,0))))),1,0)</f>
        <v>0</v>
      </c>
      <c r="CW37">
        <f>IF((AND(VLOOKUP(CW$1,main!$A$3:$H$102,5,FALSE)-VLOOKUP($A37,main!$A$3:$H$102,6,FALSE)&gt;=(VLOOKUP(VLOOKUP(CW$1,main!$A$3:$H$102,8,FALSE),main!$K$26:$M$29,2,FALSE)+VLOOKUP(VLOOKUP(CW$1,main!$A$3:$H$102,7,FALSE),main!$K$19:$O$22,MATCH(VLOOKUP($A37,main!$A$3:$H$102,8,FALSE),main!$K$18:$O$18,0))))),1,0)</f>
        <v>0</v>
      </c>
      <c r="CX37">
        <f>IF((AND(VLOOKUP(CX$1,main!$A$3:$H$102,5,FALSE)-VLOOKUP($A37,main!$A$3:$H$102,6,FALSE)&gt;=(VLOOKUP(VLOOKUP(CX$1,main!$A$3:$H$102,8,FALSE),main!$K$26:$M$29,2,FALSE)+VLOOKUP(VLOOKUP(CX$1,main!$A$3:$H$102,7,FALSE),main!$K$19:$O$22,MATCH(VLOOKUP($A37,main!$A$3:$H$102,8,FALSE),main!$K$18:$O$18,0))))),1,0)</f>
        <v>0</v>
      </c>
    </row>
    <row r="38" spans="1:102" x14ac:dyDescent="0.25">
      <c r="A38" s="1">
        <v>36</v>
      </c>
      <c r="B38">
        <v>1</v>
      </c>
      <c r="C38">
        <f>IF((AND(VLOOKUP(C$1,main!$A$3:$H$102,5,FALSE)-VLOOKUP($A38,main!$A$3:$H$102,6,FALSE)&gt;=(VLOOKUP(VLOOKUP(C$1,main!$A$3:$H$102,8,FALSE),main!$K$26:$M$29,2,FALSE)+VLOOKUP(VLOOKUP(C$1,main!$A$3:$H$102,7,FALSE),main!$K$19:$O$22,MATCH(VLOOKUP($A38,main!$A$3:$H$102,8,FALSE),main!$K$18:$O$18,0))))),1,0)</f>
        <v>0</v>
      </c>
      <c r="D38">
        <f>IF((AND(VLOOKUP(D$1,main!$A$3:$H$102,5,FALSE)-VLOOKUP($A38,main!$A$3:$H$102,6,FALSE)&gt;=(VLOOKUP(VLOOKUP(D$1,main!$A$3:$H$102,8,FALSE),main!$K$26:$M$29,2,FALSE)+VLOOKUP(VLOOKUP(D$1,main!$A$3:$H$102,7,FALSE),main!$K$19:$O$22,MATCH(VLOOKUP($A38,main!$A$3:$H$102,8,FALSE),main!$K$18:$O$18,0))))),1,0)</f>
        <v>0</v>
      </c>
      <c r="E38">
        <f>IF((AND(VLOOKUP(E$1,main!$A$3:$H$102,5,FALSE)-VLOOKUP($A38,main!$A$3:$H$102,6,FALSE)&gt;=(VLOOKUP(VLOOKUP(E$1,main!$A$3:$H$102,8,FALSE),main!$K$26:$M$29,2,FALSE)+VLOOKUP(VLOOKUP(E$1,main!$A$3:$H$102,7,FALSE),main!$K$19:$O$22,MATCH(VLOOKUP($A38,main!$A$3:$H$102,8,FALSE),main!$K$18:$O$18,0))))),1,0)</f>
        <v>0</v>
      </c>
      <c r="F38">
        <f>IF((AND(VLOOKUP(F$1,main!$A$3:$H$102,5,FALSE)-VLOOKUP($A38,main!$A$3:$H$102,6,FALSE)&gt;=(VLOOKUP(VLOOKUP(F$1,main!$A$3:$H$102,8,FALSE),main!$K$26:$M$29,2,FALSE)+VLOOKUP(VLOOKUP(F$1,main!$A$3:$H$102,7,FALSE),main!$K$19:$O$22,MATCH(VLOOKUP($A38,main!$A$3:$H$102,8,FALSE),main!$K$18:$O$18,0))))),1,0)</f>
        <v>0</v>
      </c>
      <c r="G38">
        <f>IF((AND(VLOOKUP(G$1,main!$A$3:$H$102,5,FALSE)-VLOOKUP($A38,main!$A$3:$H$102,6,FALSE)&gt;=(VLOOKUP(VLOOKUP(G$1,main!$A$3:$H$102,8,FALSE),main!$K$26:$M$29,2,FALSE)+VLOOKUP(VLOOKUP(G$1,main!$A$3:$H$102,7,FALSE),main!$K$19:$O$22,MATCH(VLOOKUP($A38,main!$A$3:$H$102,8,FALSE),main!$K$18:$O$18,0))))),1,0)</f>
        <v>0</v>
      </c>
      <c r="H38">
        <f>IF((AND(VLOOKUP(H$1,main!$A$3:$H$102,5,FALSE)-VLOOKUP($A38,main!$A$3:$H$102,6,FALSE)&gt;=(VLOOKUP(VLOOKUP(H$1,main!$A$3:$H$102,8,FALSE),main!$K$26:$M$29,2,FALSE)+VLOOKUP(VLOOKUP(H$1,main!$A$3:$H$102,7,FALSE),main!$K$19:$O$22,MATCH(VLOOKUP($A38,main!$A$3:$H$102,8,FALSE),main!$K$18:$O$18,0))))),1,0)</f>
        <v>0</v>
      </c>
      <c r="I38">
        <f>IF((AND(VLOOKUP(I$1,main!$A$3:$H$102,5,FALSE)-VLOOKUP($A38,main!$A$3:$H$102,6,FALSE)&gt;=(VLOOKUP(VLOOKUP(I$1,main!$A$3:$H$102,8,FALSE),main!$K$26:$M$29,2,FALSE)+VLOOKUP(VLOOKUP(I$1,main!$A$3:$H$102,7,FALSE),main!$K$19:$O$22,MATCH(VLOOKUP($A38,main!$A$3:$H$102,8,FALSE),main!$K$18:$O$18,0))))),1,0)</f>
        <v>0</v>
      </c>
      <c r="J38">
        <f>IF((AND(VLOOKUP(J$1,main!$A$3:$H$102,5,FALSE)-VLOOKUP($A38,main!$A$3:$H$102,6,FALSE)&gt;=(VLOOKUP(VLOOKUP(J$1,main!$A$3:$H$102,8,FALSE),main!$K$26:$M$29,2,FALSE)+VLOOKUP(VLOOKUP(J$1,main!$A$3:$H$102,7,FALSE),main!$K$19:$O$22,MATCH(VLOOKUP($A38,main!$A$3:$H$102,8,FALSE),main!$K$18:$O$18,0))))),1,0)</f>
        <v>0</v>
      </c>
      <c r="K38">
        <f>IF((AND(VLOOKUP(K$1,main!$A$3:$H$102,5,FALSE)-VLOOKUP($A38,main!$A$3:$H$102,6,FALSE)&gt;=(VLOOKUP(VLOOKUP(K$1,main!$A$3:$H$102,8,FALSE),main!$K$26:$M$29,2,FALSE)+VLOOKUP(VLOOKUP(K$1,main!$A$3:$H$102,7,FALSE),main!$K$19:$O$22,MATCH(VLOOKUP($A38,main!$A$3:$H$102,8,FALSE),main!$K$18:$O$18,0))))),1,0)</f>
        <v>0</v>
      </c>
      <c r="L38">
        <f>IF((AND(VLOOKUP(L$1,main!$A$3:$H$102,5,FALSE)-VLOOKUP($A38,main!$A$3:$H$102,6,FALSE)&gt;=(VLOOKUP(VLOOKUP(L$1,main!$A$3:$H$102,8,FALSE),main!$K$26:$M$29,2,FALSE)+VLOOKUP(VLOOKUP(L$1,main!$A$3:$H$102,7,FALSE),main!$K$19:$O$22,MATCH(VLOOKUP($A38,main!$A$3:$H$102,8,FALSE),main!$K$18:$O$18,0))))),1,0)</f>
        <v>1</v>
      </c>
      <c r="M38">
        <f>IF((AND(VLOOKUP(M$1,main!$A$3:$H$102,5,FALSE)-VLOOKUP($A38,main!$A$3:$H$102,6,FALSE)&gt;=(VLOOKUP(VLOOKUP(M$1,main!$A$3:$H$102,8,FALSE),main!$K$26:$M$29,2,FALSE)+VLOOKUP(VLOOKUP(M$1,main!$A$3:$H$102,7,FALSE),main!$K$19:$O$22,MATCH(VLOOKUP($A38,main!$A$3:$H$102,8,FALSE),main!$K$18:$O$18,0))))),1,0)</f>
        <v>0</v>
      </c>
      <c r="N38">
        <f>IF((AND(VLOOKUP(N$1,main!$A$3:$H$102,5,FALSE)-VLOOKUP($A38,main!$A$3:$H$102,6,FALSE)&gt;=(VLOOKUP(VLOOKUP(N$1,main!$A$3:$H$102,8,FALSE),main!$K$26:$M$29,2,FALSE)+VLOOKUP(VLOOKUP(N$1,main!$A$3:$H$102,7,FALSE),main!$K$19:$O$22,MATCH(VLOOKUP($A38,main!$A$3:$H$102,8,FALSE),main!$K$18:$O$18,0))))),1,0)</f>
        <v>0</v>
      </c>
      <c r="O38">
        <f>IF((AND(VLOOKUP(O$1,main!$A$3:$H$102,5,FALSE)-VLOOKUP($A38,main!$A$3:$H$102,6,FALSE)&gt;=(VLOOKUP(VLOOKUP(O$1,main!$A$3:$H$102,8,FALSE),main!$K$26:$M$29,2,FALSE)+VLOOKUP(VLOOKUP(O$1,main!$A$3:$H$102,7,FALSE),main!$K$19:$O$22,MATCH(VLOOKUP($A38,main!$A$3:$H$102,8,FALSE),main!$K$18:$O$18,0))))),1,0)</f>
        <v>0</v>
      </c>
      <c r="P38">
        <f>IF((AND(VLOOKUP(P$1,main!$A$3:$H$102,5,FALSE)-VLOOKUP($A38,main!$A$3:$H$102,6,FALSE)&gt;=(VLOOKUP(VLOOKUP(P$1,main!$A$3:$H$102,8,FALSE),main!$K$26:$M$29,2,FALSE)+VLOOKUP(VLOOKUP(P$1,main!$A$3:$H$102,7,FALSE),main!$K$19:$O$22,MATCH(VLOOKUP($A38,main!$A$3:$H$102,8,FALSE),main!$K$18:$O$18,0))))),1,0)</f>
        <v>0</v>
      </c>
      <c r="Q38">
        <f>IF((AND(VLOOKUP(Q$1,main!$A$3:$H$102,5,FALSE)-VLOOKUP($A38,main!$A$3:$H$102,6,FALSE)&gt;=(VLOOKUP(VLOOKUP(Q$1,main!$A$3:$H$102,8,FALSE),main!$K$26:$M$29,2,FALSE)+VLOOKUP(VLOOKUP(Q$1,main!$A$3:$H$102,7,FALSE),main!$K$19:$O$22,MATCH(VLOOKUP($A38,main!$A$3:$H$102,8,FALSE),main!$K$18:$O$18,0))))),1,0)</f>
        <v>0</v>
      </c>
      <c r="R38">
        <f>IF((AND(VLOOKUP(R$1,main!$A$3:$H$102,5,FALSE)-VLOOKUP($A38,main!$A$3:$H$102,6,FALSE)&gt;=(VLOOKUP(VLOOKUP(R$1,main!$A$3:$H$102,8,FALSE),main!$K$26:$M$29,2,FALSE)+VLOOKUP(VLOOKUP(R$1,main!$A$3:$H$102,7,FALSE),main!$K$19:$O$22,MATCH(VLOOKUP($A38,main!$A$3:$H$102,8,FALSE),main!$K$18:$O$18,0))))),1,0)</f>
        <v>0</v>
      </c>
      <c r="S38">
        <f>IF((AND(VLOOKUP(S$1,main!$A$3:$H$102,5,FALSE)-VLOOKUP($A38,main!$A$3:$H$102,6,FALSE)&gt;=(VLOOKUP(VLOOKUP(S$1,main!$A$3:$H$102,8,FALSE),main!$K$26:$M$29,2,FALSE)+VLOOKUP(VLOOKUP(S$1,main!$A$3:$H$102,7,FALSE),main!$K$19:$O$22,MATCH(VLOOKUP($A38,main!$A$3:$H$102,8,FALSE),main!$K$18:$O$18,0))))),1,0)</f>
        <v>0</v>
      </c>
      <c r="T38">
        <f>IF((AND(VLOOKUP(T$1,main!$A$3:$H$102,5,FALSE)-VLOOKUP($A38,main!$A$3:$H$102,6,FALSE)&gt;=(VLOOKUP(VLOOKUP(T$1,main!$A$3:$H$102,8,FALSE),main!$K$26:$M$29,2,FALSE)+VLOOKUP(VLOOKUP(T$1,main!$A$3:$H$102,7,FALSE),main!$K$19:$O$22,MATCH(VLOOKUP($A38,main!$A$3:$H$102,8,FALSE),main!$K$18:$O$18,0))))),1,0)</f>
        <v>0</v>
      </c>
      <c r="U38">
        <f>IF((AND(VLOOKUP(U$1,main!$A$3:$H$102,5,FALSE)-VLOOKUP($A38,main!$A$3:$H$102,6,FALSE)&gt;=(VLOOKUP(VLOOKUP(U$1,main!$A$3:$H$102,8,FALSE),main!$K$26:$M$29,2,FALSE)+VLOOKUP(VLOOKUP(U$1,main!$A$3:$H$102,7,FALSE),main!$K$19:$O$22,MATCH(VLOOKUP($A38,main!$A$3:$H$102,8,FALSE),main!$K$18:$O$18,0))))),1,0)</f>
        <v>1</v>
      </c>
      <c r="V38">
        <f>IF((AND(VLOOKUP(V$1,main!$A$3:$H$102,5,FALSE)-VLOOKUP($A38,main!$A$3:$H$102,6,FALSE)&gt;=(VLOOKUP(VLOOKUP(V$1,main!$A$3:$H$102,8,FALSE),main!$K$26:$M$29,2,FALSE)+VLOOKUP(VLOOKUP(V$1,main!$A$3:$H$102,7,FALSE),main!$K$19:$O$22,MATCH(VLOOKUP($A38,main!$A$3:$H$102,8,FALSE),main!$K$18:$O$18,0))))),1,0)</f>
        <v>1</v>
      </c>
      <c r="W38">
        <f>IF((AND(VLOOKUP(W$1,main!$A$3:$H$102,5,FALSE)-VLOOKUP($A38,main!$A$3:$H$102,6,FALSE)&gt;=(VLOOKUP(VLOOKUP(W$1,main!$A$3:$H$102,8,FALSE),main!$K$26:$M$29,2,FALSE)+VLOOKUP(VLOOKUP(W$1,main!$A$3:$H$102,7,FALSE),main!$K$19:$O$22,MATCH(VLOOKUP($A38,main!$A$3:$H$102,8,FALSE),main!$K$18:$O$18,0))))),1,0)</f>
        <v>0</v>
      </c>
      <c r="X38">
        <f>IF((AND(VLOOKUP(X$1,main!$A$3:$H$102,5,FALSE)-VLOOKUP($A38,main!$A$3:$H$102,6,FALSE)&gt;=(VLOOKUP(VLOOKUP(X$1,main!$A$3:$H$102,8,FALSE),main!$K$26:$M$29,2,FALSE)+VLOOKUP(VLOOKUP(X$1,main!$A$3:$H$102,7,FALSE),main!$K$19:$O$22,MATCH(VLOOKUP($A38,main!$A$3:$H$102,8,FALSE),main!$K$18:$O$18,0))))),1,0)</f>
        <v>0</v>
      </c>
      <c r="Y38">
        <f>IF((AND(VLOOKUP(Y$1,main!$A$3:$H$102,5,FALSE)-VLOOKUP($A38,main!$A$3:$H$102,6,FALSE)&gt;=(VLOOKUP(VLOOKUP(Y$1,main!$A$3:$H$102,8,FALSE),main!$K$26:$M$29,2,FALSE)+VLOOKUP(VLOOKUP(Y$1,main!$A$3:$H$102,7,FALSE),main!$K$19:$O$22,MATCH(VLOOKUP($A38,main!$A$3:$H$102,8,FALSE),main!$K$18:$O$18,0))))),1,0)</f>
        <v>0</v>
      </c>
      <c r="Z38">
        <f>IF((AND(VLOOKUP(Z$1,main!$A$3:$H$102,5,FALSE)-VLOOKUP($A38,main!$A$3:$H$102,6,FALSE)&gt;=(VLOOKUP(VLOOKUP(Z$1,main!$A$3:$H$102,8,FALSE),main!$K$26:$M$29,2,FALSE)+VLOOKUP(VLOOKUP(Z$1,main!$A$3:$H$102,7,FALSE),main!$K$19:$O$22,MATCH(VLOOKUP($A38,main!$A$3:$H$102,8,FALSE),main!$K$18:$O$18,0))))),1,0)</f>
        <v>0</v>
      </c>
      <c r="AA38">
        <f>IF((AND(VLOOKUP(AA$1,main!$A$3:$H$102,5,FALSE)-VLOOKUP($A38,main!$A$3:$H$102,6,FALSE)&gt;=(VLOOKUP(VLOOKUP(AA$1,main!$A$3:$H$102,8,FALSE),main!$K$26:$M$29,2,FALSE)+VLOOKUP(VLOOKUP(AA$1,main!$A$3:$H$102,7,FALSE),main!$K$19:$O$22,MATCH(VLOOKUP($A38,main!$A$3:$H$102,8,FALSE),main!$K$18:$O$18,0))))),1,0)</f>
        <v>0</v>
      </c>
      <c r="AB38">
        <f>IF((AND(VLOOKUP(AB$1,main!$A$3:$H$102,5,FALSE)-VLOOKUP($A38,main!$A$3:$H$102,6,FALSE)&gt;=(VLOOKUP(VLOOKUP(AB$1,main!$A$3:$H$102,8,FALSE),main!$K$26:$M$29,2,FALSE)+VLOOKUP(VLOOKUP(AB$1,main!$A$3:$H$102,7,FALSE),main!$K$19:$O$22,MATCH(VLOOKUP($A38,main!$A$3:$H$102,8,FALSE),main!$K$18:$O$18,0))))),1,0)</f>
        <v>0</v>
      </c>
      <c r="AC38">
        <f>IF((AND(VLOOKUP(AC$1,main!$A$3:$H$102,5,FALSE)-VLOOKUP($A38,main!$A$3:$H$102,6,FALSE)&gt;=(VLOOKUP(VLOOKUP(AC$1,main!$A$3:$H$102,8,FALSE),main!$K$26:$M$29,2,FALSE)+VLOOKUP(VLOOKUP(AC$1,main!$A$3:$H$102,7,FALSE),main!$K$19:$O$22,MATCH(VLOOKUP($A38,main!$A$3:$H$102,8,FALSE),main!$K$18:$O$18,0))))),1,0)</f>
        <v>0</v>
      </c>
      <c r="AD38">
        <f>IF((AND(VLOOKUP(AD$1,main!$A$3:$H$102,5,FALSE)-VLOOKUP($A38,main!$A$3:$H$102,6,FALSE)&gt;=(VLOOKUP(VLOOKUP(AD$1,main!$A$3:$H$102,8,FALSE),main!$K$26:$M$29,2,FALSE)+VLOOKUP(VLOOKUP(AD$1,main!$A$3:$H$102,7,FALSE),main!$K$19:$O$22,MATCH(VLOOKUP($A38,main!$A$3:$H$102,8,FALSE),main!$K$18:$O$18,0))))),1,0)</f>
        <v>0</v>
      </c>
      <c r="AE38">
        <f>IF((AND(VLOOKUP(AE$1,main!$A$3:$H$102,5,FALSE)-VLOOKUP($A38,main!$A$3:$H$102,6,FALSE)&gt;=(VLOOKUP(VLOOKUP(AE$1,main!$A$3:$H$102,8,FALSE),main!$K$26:$M$29,2,FALSE)+VLOOKUP(VLOOKUP(AE$1,main!$A$3:$H$102,7,FALSE),main!$K$19:$O$22,MATCH(VLOOKUP($A38,main!$A$3:$H$102,8,FALSE),main!$K$18:$O$18,0))))),1,0)</f>
        <v>0</v>
      </c>
      <c r="AF38">
        <f>IF((AND(VLOOKUP(AF$1,main!$A$3:$H$102,5,FALSE)-VLOOKUP($A38,main!$A$3:$H$102,6,FALSE)&gt;=(VLOOKUP(VLOOKUP(AF$1,main!$A$3:$H$102,8,FALSE),main!$K$26:$M$29,2,FALSE)+VLOOKUP(VLOOKUP(AF$1,main!$A$3:$H$102,7,FALSE),main!$K$19:$O$22,MATCH(VLOOKUP($A38,main!$A$3:$H$102,8,FALSE),main!$K$18:$O$18,0))))),1,0)</f>
        <v>0</v>
      </c>
      <c r="AG38">
        <f>IF((AND(VLOOKUP(AG$1,main!$A$3:$H$102,5,FALSE)-VLOOKUP($A38,main!$A$3:$H$102,6,FALSE)&gt;=(VLOOKUP(VLOOKUP(AG$1,main!$A$3:$H$102,8,FALSE),main!$K$26:$M$29,2,FALSE)+VLOOKUP(VLOOKUP(AG$1,main!$A$3:$H$102,7,FALSE),main!$K$19:$O$22,MATCH(VLOOKUP($A38,main!$A$3:$H$102,8,FALSE),main!$K$18:$O$18,0))))),1,0)</f>
        <v>0</v>
      </c>
      <c r="AH38">
        <f>IF((AND(VLOOKUP(AH$1,main!$A$3:$H$102,5,FALSE)-VLOOKUP($A38,main!$A$3:$H$102,6,FALSE)&gt;=(VLOOKUP(VLOOKUP(AH$1,main!$A$3:$H$102,8,FALSE),main!$K$26:$M$29,2,FALSE)+VLOOKUP(VLOOKUP(AH$1,main!$A$3:$H$102,7,FALSE),main!$K$19:$O$22,MATCH(VLOOKUP($A38,main!$A$3:$H$102,8,FALSE),main!$K$18:$O$18,0))))),1,0)</f>
        <v>0</v>
      </c>
      <c r="AI38">
        <f>IF((AND(VLOOKUP(AI$1,main!$A$3:$H$102,5,FALSE)-VLOOKUP($A38,main!$A$3:$H$102,6,FALSE)&gt;=(VLOOKUP(VLOOKUP(AI$1,main!$A$3:$H$102,8,FALSE),main!$K$26:$M$29,2,FALSE)+VLOOKUP(VLOOKUP(AI$1,main!$A$3:$H$102,7,FALSE),main!$K$19:$O$22,MATCH(VLOOKUP($A38,main!$A$3:$H$102,8,FALSE),main!$K$18:$O$18,0))))),1,0)</f>
        <v>0</v>
      </c>
      <c r="AJ38">
        <f>IF((AND(VLOOKUP(AJ$1,main!$A$3:$H$102,5,FALSE)-VLOOKUP($A38,main!$A$3:$H$102,6,FALSE)&gt;=(VLOOKUP(VLOOKUP(AJ$1,main!$A$3:$H$102,8,FALSE),main!$K$26:$M$29,2,FALSE)+VLOOKUP(VLOOKUP(AJ$1,main!$A$3:$H$102,7,FALSE),main!$K$19:$O$22,MATCH(VLOOKUP($A38,main!$A$3:$H$102,8,FALSE),main!$K$18:$O$18,0))))),1,0)</f>
        <v>0</v>
      </c>
      <c r="AK38">
        <f>IF((AND(VLOOKUP(AK$1,main!$A$3:$H$102,5,FALSE)-VLOOKUP($A38,main!$A$3:$H$102,6,FALSE)&gt;=(VLOOKUP(VLOOKUP(AK$1,main!$A$3:$H$102,8,FALSE),main!$K$26:$M$29,2,FALSE)+VLOOKUP(VLOOKUP(AK$1,main!$A$3:$H$102,7,FALSE),main!$K$19:$O$22,MATCH(VLOOKUP($A38,main!$A$3:$H$102,8,FALSE),main!$K$18:$O$18,0))))),1,0)</f>
        <v>0</v>
      </c>
      <c r="AL38">
        <f>IF((AND(VLOOKUP(AL$1,main!$A$3:$H$102,5,FALSE)-VLOOKUP($A38,main!$A$3:$H$102,6,FALSE)&gt;=(VLOOKUP(VLOOKUP(AL$1,main!$A$3:$H$102,8,FALSE),main!$K$26:$M$29,2,FALSE)+VLOOKUP(VLOOKUP(AL$1,main!$A$3:$H$102,7,FALSE),main!$K$19:$O$22,MATCH(VLOOKUP($A38,main!$A$3:$H$102,8,FALSE),main!$K$18:$O$18,0))))),1,0)</f>
        <v>0</v>
      </c>
      <c r="AM38">
        <f>IF((AND(VLOOKUP(AM$1,main!$A$3:$H$102,5,FALSE)-VLOOKUP($A38,main!$A$3:$H$102,6,FALSE)&gt;=(VLOOKUP(VLOOKUP(AM$1,main!$A$3:$H$102,8,FALSE),main!$K$26:$M$29,2,FALSE)+VLOOKUP(VLOOKUP(AM$1,main!$A$3:$H$102,7,FALSE),main!$K$19:$O$22,MATCH(VLOOKUP($A38,main!$A$3:$H$102,8,FALSE),main!$K$18:$O$18,0))))),1,0)</f>
        <v>0</v>
      </c>
      <c r="AN38">
        <f>IF((AND(VLOOKUP(AN$1,main!$A$3:$H$102,5,FALSE)-VLOOKUP($A38,main!$A$3:$H$102,6,FALSE)&gt;=(VLOOKUP(VLOOKUP(AN$1,main!$A$3:$H$102,8,FALSE),main!$K$26:$M$29,2,FALSE)+VLOOKUP(VLOOKUP(AN$1,main!$A$3:$H$102,7,FALSE),main!$K$19:$O$22,MATCH(VLOOKUP($A38,main!$A$3:$H$102,8,FALSE),main!$K$18:$O$18,0))))),1,0)</f>
        <v>0</v>
      </c>
      <c r="AO38">
        <f>IF((AND(VLOOKUP(AO$1,main!$A$3:$H$102,5,FALSE)-VLOOKUP($A38,main!$A$3:$H$102,6,FALSE)&gt;=(VLOOKUP(VLOOKUP(AO$1,main!$A$3:$H$102,8,FALSE),main!$K$26:$M$29,2,FALSE)+VLOOKUP(VLOOKUP(AO$1,main!$A$3:$H$102,7,FALSE),main!$K$19:$O$22,MATCH(VLOOKUP($A38,main!$A$3:$H$102,8,FALSE),main!$K$18:$O$18,0))))),1,0)</f>
        <v>0</v>
      </c>
      <c r="AP38">
        <f>IF((AND(VLOOKUP(AP$1,main!$A$3:$H$102,5,FALSE)-VLOOKUP($A38,main!$A$3:$H$102,6,FALSE)&gt;=(VLOOKUP(VLOOKUP(AP$1,main!$A$3:$H$102,8,FALSE),main!$K$26:$M$29,2,FALSE)+VLOOKUP(VLOOKUP(AP$1,main!$A$3:$H$102,7,FALSE),main!$K$19:$O$22,MATCH(VLOOKUP($A38,main!$A$3:$H$102,8,FALSE),main!$K$18:$O$18,0))))),1,0)</f>
        <v>1</v>
      </c>
      <c r="AQ38">
        <f>IF((AND(VLOOKUP(AQ$1,main!$A$3:$H$102,5,FALSE)-VLOOKUP($A38,main!$A$3:$H$102,6,FALSE)&gt;=(VLOOKUP(VLOOKUP(AQ$1,main!$A$3:$H$102,8,FALSE),main!$K$26:$M$29,2,FALSE)+VLOOKUP(VLOOKUP(AQ$1,main!$A$3:$H$102,7,FALSE),main!$K$19:$O$22,MATCH(VLOOKUP($A38,main!$A$3:$H$102,8,FALSE),main!$K$18:$O$18,0))))),1,0)</f>
        <v>0</v>
      </c>
      <c r="AR38">
        <f>IF((AND(VLOOKUP(AR$1,main!$A$3:$H$102,5,FALSE)-VLOOKUP($A38,main!$A$3:$H$102,6,FALSE)&gt;=(VLOOKUP(VLOOKUP(AR$1,main!$A$3:$H$102,8,FALSE),main!$K$26:$M$29,2,FALSE)+VLOOKUP(VLOOKUP(AR$1,main!$A$3:$H$102,7,FALSE),main!$K$19:$O$22,MATCH(VLOOKUP($A38,main!$A$3:$H$102,8,FALSE),main!$K$18:$O$18,0))))),1,0)</f>
        <v>0</v>
      </c>
      <c r="AS38">
        <f>IF((AND(VLOOKUP(AS$1,main!$A$3:$H$102,5,FALSE)-VLOOKUP($A38,main!$A$3:$H$102,6,FALSE)&gt;=(VLOOKUP(VLOOKUP(AS$1,main!$A$3:$H$102,8,FALSE),main!$K$26:$M$29,2,FALSE)+VLOOKUP(VLOOKUP(AS$1,main!$A$3:$H$102,7,FALSE),main!$K$19:$O$22,MATCH(VLOOKUP($A38,main!$A$3:$H$102,8,FALSE),main!$K$18:$O$18,0))))),1,0)</f>
        <v>0</v>
      </c>
      <c r="AT38">
        <f>IF((AND(VLOOKUP(AT$1,main!$A$3:$H$102,5,FALSE)-VLOOKUP($A38,main!$A$3:$H$102,6,FALSE)&gt;=(VLOOKUP(VLOOKUP(AT$1,main!$A$3:$H$102,8,FALSE),main!$K$26:$M$29,2,FALSE)+VLOOKUP(VLOOKUP(AT$1,main!$A$3:$H$102,7,FALSE),main!$K$19:$O$22,MATCH(VLOOKUP($A38,main!$A$3:$H$102,8,FALSE),main!$K$18:$O$18,0))))),1,0)</f>
        <v>0</v>
      </c>
      <c r="AU38">
        <f>IF((AND(VLOOKUP(AU$1,main!$A$3:$H$102,5,FALSE)-VLOOKUP($A38,main!$A$3:$H$102,6,FALSE)&gt;=(VLOOKUP(VLOOKUP(AU$1,main!$A$3:$H$102,8,FALSE),main!$K$26:$M$29,2,FALSE)+VLOOKUP(VLOOKUP(AU$1,main!$A$3:$H$102,7,FALSE),main!$K$19:$O$22,MATCH(VLOOKUP($A38,main!$A$3:$H$102,8,FALSE),main!$K$18:$O$18,0))))),1,0)</f>
        <v>0</v>
      </c>
      <c r="AV38">
        <f>IF((AND(VLOOKUP(AV$1,main!$A$3:$H$102,5,FALSE)-VLOOKUP($A38,main!$A$3:$H$102,6,FALSE)&gt;=(VLOOKUP(VLOOKUP(AV$1,main!$A$3:$H$102,8,FALSE),main!$K$26:$M$29,2,FALSE)+VLOOKUP(VLOOKUP(AV$1,main!$A$3:$H$102,7,FALSE),main!$K$19:$O$22,MATCH(VLOOKUP($A38,main!$A$3:$H$102,8,FALSE),main!$K$18:$O$18,0))))),1,0)</f>
        <v>0</v>
      </c>
      <c r="AW38">
        <f>IF((AND(VLOOKUP(AW$1,main!$A$3:$H$102,5,FALSE)-VLOOKUP($A38,main!$A$3:$H$102,6,FALSE)&gt;=(VLOOKUP(VLOOKUP(AW$1,main!$A$3:$H$102,8,FALSE),main!$K$26:$M$29,2,FALSE)+VLOOKUP(VLOOKUP(AW$1,main!$A$3:$H$102,7,FALSE),main!$K$19:$O$22,MATCH(VLOOKUP($A38,main!$A$3:$H$102,8,FALSE),main!$K$18:$O$18,0))))),1,0)</f>
        <v>0</v>
      </c>
      <c r="AX38">
        <f>IF((AND(VLOOKUP(AX$1,main!$A$3:$H$102,5,FALSE)-VLOOKUP($A38,main!$A$3:$H$102,6,FALSE)&gt;=(VLOOKUP(VLOOKUP(AX$1,main!$A$3:$H$102,8,FALSE),main!$K$26:$M$29,2,FALSE)+VLOOKUP(VLOOKUP(AX$1,main!$A$3:$H$102,7,FALSE),main!$K$19:$O$22,MATCH(VLOOKUP($A38,main!$A$3:$H$102,8,FALSE),main!$K$18:$O$18,0))))),1,0)</f>
        <v>0</v>
      </c>
      <c r="AY38">
        <f>IF((AND(VLOOKUP(AY$1,main!$A$3:$H$102,5,FALSE)-VLOOKUP($A38,main!$A$3:$H$102,6,FALSE)&gt;=(VLOOKUP(VLOOKUP(AY$1,main!$A$3:$H$102,8,FALSE),main!$K$26:$M$29,2,FALSE)+VLOOKUP(VLOOKUP(AY$1,main!$A$3:$H$102,7,FALSE),main!$K$19:$O$22,MATCH(VLOOKUP($A38,main!$A$3:$H$102,8,FALSE),main!$K$18:$O$18,0))))),1,0)</f>
        <v>0</v>
      </c>
      <c r="AZ38">
        <f>IF((AND(VLOOKUP(AZ$1,main!$A$3:$H$102,5,FALSE)-VLOOKUP($A38,main!$A$3:$H$102,6,FALSE)&gt;=(VLOOKUP(VLOOKUP(AZ$1,main!$A$3:$H$102,8,FALSE),main!$K$26:$M$29,2,FALSE)+VLOOKUP(VLOOKUP(AZ$1,main!$A$3:$H$102,7,FALSE),main!$K$19:$O$22,MATCH(VLOOKUP($A38,main!$A$3:$H$102,8,FALSE),main!$K$18:$O$18,0))))),1,0)</f>
        <v>0</v>
      </c>
      <c r="BA38">
        <f>IF((AND(VLOOKUP(BA$1,main!$A$3:$H$102,5,FALSE)-VLOOKUP($A38,main!$A$3:$H$102,6,FALSE)&gt;=(VLOOKUP(VLOOKUP(BA$1,main!$A$3:$H$102,8,FALSE),main!$K$26:$M$29,2,FALSE)+VLOOKUP(VLOOKUP(BA$1,main!$A$3:$H$102,7,FALSE),main!$K$19:$O$22,MATCH(VLOOKUP($A38,main!$A$3:$H$102,8,FALSE),main!$K$18:$O$18,0))))),1,0)</f>
        <v>0</v>
      </c>
      <c r="BB38">
        <f>IF((AND(VLOOKUP(BB$1,main!$A$3:$H$102,5,FALSE)-VLOOKUP($A38,main!$A$3:$H$102,6,FALSE)&gt;=(VLOOKUP(VLOOKUP(BB$1,main!$A$3:$H$102,8,FALSE),main!$K$26:$M$29,2,FALSE)+VLOOKUP(VLOOKUP(BB$1,main!$A$3:$H$102,7,FALSE),main!$K$19:$O$22,MATCH(VLOOKUP($A38,main!$A$3:$H$102,8,FALSE),main!$K$18:$O$18,0))))),1,0)</f>
        <v>0</v>
      </c>
      <c r="BC38">
        <f>IF((AND(VLOOKUP(BC$1,main!$A$3:$H$102,5,FALSE)-VLOOKUP($A38,main!$A$3:$H$102,6,FALSE)&gt;=(VLOOKUP(VLOOKUP(BC$1,main!$A$3:$H$102,8,FALSE),main!$K$26:$M$29,2,FALSE)+VLOOKUP(VLOOKUP(BC$1,main!$A$3:$H$102,7,FALSE),main!$K$19:$O$22,MATCH(VLOOKUP($A38,main!$A$3:$H$102,8,FALSE),main!$K$18:$O$18,0))))),1,0)</f>
        <v>0</v>
      </c>
      <c r="BD38">
        <f>IF((AND(VLOOKUP(BD$1,main!$A$3:$H$102,5,FALSE)-VLOOKUP($A38,main!$A$3:$H$102,6,FALSE)&gt;=(VLOOKUP(VLOOKUP(BD$1,main!$A$3:$H$102,8,FALSE),main!$K$26:$M$29,2,FALSE)+VLOOKUP(VLOOKUP(BD$1,main!$A$3:$H$102,7,FALSE),main!$K$19:$O$22,MATCH(VLOOKUP($A38,main!$A$3:$H$102,8,FALSE),main!$K$18:$O$18,0))))),1,0)</f>
        <v>0</v>
      </c>
      <c r="BE38">
        <f>IF((AND(VLOOKUP(BE$1,main!$A$3:$H$102,5,FALSE)-VLOOKUP($A38,main!$A$3:$H$102,6,FALSE)&gt;=(VLOOKUP(VLOOKUP(BE$1,main!$A$3:$H$102,8,FALSE),main!$K$26:$M$29,2,FALSE)+VLOOKUP(VLOOKUP(BE$1,main!$A$3:$H$102,7,FALSE),main!$K$19:$O$22,MATCH(VLOOKUP($A38,main!$A$3:$H$102,8,FALSE),main!$K$18:$O$18,0))))),1,0)</f>
        <v>0</v>
      </c>
      <c r="BF38">
        <f>IF((AND(VLOOKUP(BF$1,main!$A$3:$H$102,5,FALSE)-VLOOKUP($A38,main!$A$3:$H$102,6,FALSE)&gt;=(VLOOKUP(VLOOKUP(BF$1,main!$A$3:$H$102,8,FALSE),main!$K$26:$M$29,2,FALSE)+VLOOKUP(VLOOKUP(BF$1,main!$A$3:$H$102,7,FALSE),main!$K$19:$O$22,MATCH(VLOOKUP($A38,main!$A$3:$H$102,8,FALSE),main!$K$18:$O$18,0))))),1,0)</f>
        <v>0</v>
      </c>
      <c r="BG38">
        <f>IF((AND(VLOOKUP(BG$1,main!$A$3:$H$102,5,FALSE)-VLOOKUP($A38,main!$A$3:$H$102,6,FALSE)&gt;=(VLOOKUP(VLOOKUP(BG$1,main!$A$3:$H$102,8,FALSE),main!$K$26:$M$29,2,FALSE)+VLOOKUP(VLOOKUP(BG$1,main!$A$3:$H$102,7,FALSE),main!$K$19:$O$22,MATCH(VLOOKUP($A38,main!$A$3:$H$102,8,FALSE),main!$K$18:$O$18,0))))),1,0)</f>
        <v>0</v>
      </c>
      <c r="BH38">
        <f>IF((AND(VLOOKUP(BH$1,main!$A$3:$H$102,5,FALSE)-VLOOKUP($A38,main!$A$3:$H$102,6,FALSE)&gt;=(VLOOKUP(VLOOKUP(BH$1,main!$A$3:$H$102,8,FALSE),main!$K$26:$M$29,2,FALSE)+VLOOKUP(VLOOKUP(BH$1,main!$A$3:$H$102,7,FALSE),main!$K$19:$O$22,MATCH(VLOOKUP($A38,main!$A$3:$H$102,8,FALSE),main!$K$18:$O$18,0))))),1,0)</f>
        <v>0</v>
      </c>
      <c r="BI38">
        <f>IF((AND(VLOOKUP(BI$1,main!$A$3:$H$102,5,FALSE)-VLOOKUP($A38,main!$A$3:$H$102,6,FALSE)&gt;=(VLOOKUP(VLOOKUP(BI$1,main!$A$3:$H$102,8,FALSE),main!$K$26:$M$29,2,FALSE)+VLOOKUP(VLOOKUP(BI$1,main!$A$3:$H$102,7,FALSE),main!$K$19:$O$22,MATCH(VLOOKUP($A38,main!$A$3:$H$102,8,FALSE),main!$K$18:$O$18,0))))),1,0)</f>
        <v>1</v>
      </c>
      <c r="BJ38">
        <f>IF((AND(VLOOKUP(BJ$1,main!$A$3:$H$102,5,FALSE)-VLOOKUP($A38,main!$A$3:$H$102,6,FALSE)&gt;=(VLOOKUP(VLOOKUP(BJ$1,main!$A$3:$H$102,8,FALSE),main!$K$26:$M$29,2,FALSE)+VLOOKUP(VLOOKUP(BJ$1,main!$A$3:$H$102,7,FALSE),main!$K$19:$O$22,MATCH(VLOOKUP($A38,main!$A$3:$H$102,8,FALSE),main!$K$18:$O$18,0))))),1,0)</f>
        <v>0</v>
      </c>
      <c r="BK38">
        <f>IF((AND(VLOOKUP(BK$1,main!$A$3:$H$102,5,FALSE)-VLOOKUP($A38,main!$A$3:$H$102,6,FALSE)&gt;=(VLOOKUP(VLOOKUP(BK$1,main!$A$3:$H$102,8,FALSE),main!$K$26:$M$29,2,FALSE)+VLOOKUP(VLOOKUP(BK$1,main!$A$3:$H$102,7,FALSE),main!$K$19:$O$22,MATCH(VLOOKUP($A38,main!$A$3:$H$102,8,FALSE),main!$K$18:$O$18,0))))),1,0)</f>
        <v>0</v>
      </c>
      <c r="BL38">
        <f>IF((AND(VLOOKUP(BL$1,main!$A$3:$H$102,5,FALSE)-VLOOKUP($A38,main!$A$3:$H$102,6,FALSE)&gt;=(VLOOKUP(VLOOKUP(BL$1,main!$A$3:$H$102,8,FALSE),main!$K$26:$M$29,2,FALSE)+VLOOKUP(VLOOKUP(BL$1,main!$A$3:$H$102,7,FALSE),main!$K$19:$O$22,MATCH(VLOOKUP($A38,main!$A$3:$H$102,8,FALSE),main!$K$18:$O$18,0))))),1,0)</f>
        <v>0</v>
      </c>
      <c r="BM38">
        <f>IF((AND(VLOOKUP(BM$1,main!$A$3:$H$102,5,FALSE)-VLOOKUP($A38,main!$A$3:$H$102,6,FALSE)&gt;=(VLOOKUP(VLOOKUP(BM$1,main!$A$3:$H$102,8,FALSE),main!$K$26:$M$29,2,FALSE)+VLOOKUP(VLOOKUP(BM$1,main!$A$3:$H$102,7,FALSE),main!$K$19:$O$22,MATCH(VLOOKUP($A38,main!$A$3:$H$102,8,FALSE),main!$K$18:$O$18,0))))),1,0)</f>
        <v>0</v>
      </c>
      <c r="BN38">
        <f>IF((AND(VLOOKUP(BN$1,main!$A$3:$H$102,5,FALSE)-VLOOKUP($A38,main!$A$3:$H$102,6,FALSE)&gt;=(VLOOKUP(VLOOKUP(BN$1,main!$A$3:$H$102,8,FALSE),main!$K$26:$M$29,2,FALSE)+VLOOKUP(VLOOKUP(BN$1,main!$A$3:$H$102,7,FALSE),main!$K$19:$O$22,MATCH(VLOOKUP($A38,main!$A$3:$H$102,8,FALSE),main!$K$18:$O$18,0))))),1,0)</f>
        <v>0</v>
      </c>
      <c r="BO38">
        <f>IF((AND(VLOOKUP(BO$1,main!$A$3:$H$102,5,FALSE)-VLOOKUP($A38,main!$A$3:$H$102,6,FALSE)&gt;=(VLOOKUP(VLOOKUP(BO$1,main!$A$3:$H$102,8,FALSE),main!$K$26:$M$29,2,FALSE)+VLOOKUP(VLOOKUP(BO$1,main!$A$3:$H$102,7,FALSE),main!$K$19:$O$22,MATCH(VLOOKUP($A38,main!$A$3:$H$102,8,FALSE),main!$K$18:$O$18,0))))),1,0)</f>
        <v>0</v>
      </c>
      <c r="BP38">
        <f>IF((AND(VLOOKUP(BP$1,main!$A$3:$H$102,5,FALSE)-VLOOKUP($A38,main!$A$3:$H$102,6,FALSE)&gt;=(VLOOKUP(VLOOKUP(BP$1,main!$A$3:$H$102,8,FALSE),main!$K$26:$M$29,2,FALSE)+VLOOKUP(VLOOKUP(BP$1,main!$A$3:$H$102,7,FALSE),main!$K$19:$O$22,MATCH(VLOOKUP($A38,main!$A$3:$H$102,8,FALSE),main!$K$18:$O$18,0))))),1,0)</f>
        <v>0</v>
      </c>
      <c r="BQ38">
        <f>IF((AND(VLOOKUP(BQ$1,main!$A$3:$H$102,5,FALSE)-VLOOKUP($A38,main!$A$3:$H$102,6,FALSE)&gt;=(VLOOKUP(VLOOKUP(BQ$1,main!$A$3:$H$102,8,FALSE),main!$K$26:$M$29,2,FALSE)+VLOOKUP(VLOOKUP(BQ$1,main!$A$3:$H$102,7,FALSE),main!$K$19:$O$22,MATCH(VLOOKUP($A38,main!$A$3:$H$102,8,FALSE),main!$K$18:$O$18,0))))),1,0)</f>
        <v>0</v>
      </c>
      <c r="BR38">
        <f>IF((AND(VLOOKUP(BR$1,main!$A$3:$H$102,5,FALSE)-VLOOKUP($A38,main!$A$3:$H$102,6,FALSE)&gt;=(VLOOKUP(VLOOKUP(BR$1,main!$A$3:$H$102,8,FALSE),main!$K$26:$M$29,2,FALSE)+VLOOKUP(VLOOKUP(BR$1,main!$A$3:$H$102,7,FALSE),main!$K$19:$O$22,MATCH(VLOOKUP($A38,main!$A$3:$H$102,8,FALSE),main!$K$18:$O$18,0))))),1,0)</f>
        <v>0</v>
      </c>
      <c r="BS38">
        <f>IF((AND(VLOOKUP(BS$1,main!$A$3:$H$102,5,FALSE)-VLOOKUP($A38,main!$A$3:$H$102,6,FALSE)&gt;=(VLOOKUP(VLOOKUP(BS$1,main!$A$3:$H$102,8,FALSE),main!$K$26:$M$29,2,FALSE)+VLOOKUP(VLOOKUP(BS$1,main!$A$3:$H$102,7,FALSE),main!$K$19:$O$22,MATCH(VLOOKUP($A38,main!$A$3:$H$102,8,FALSE),main!$K$18:$O$18,0))))),1,0)</f>
        <v>0</v>
      </c>
      <c r="BT38">
        <f>IF((AND(VLOOKUP(BT$1,main!$A$3:$H$102,5,FALSE)-VLOOKUP($A38,main!$A$3:$H$102,6,FALSE)&gt;=(VLOOKUP(VLOOKUP(BT$1,main!$A$3:$H$102,8,FALSE),main!$K$26:$M$29,2,FALSE)+VLOOKUP(VLOOKUP(BT$1,main!$A$3:$H$102,7,FALSE),main!$K$19:$O$22,MATCH(VLOOKUP($A38,main!$A$3:$H$102,8,FALSE),main!$K$18:$O$18,0))))),1,0)</f>
        <v>0</v>
      </c>
      <c r="BU38">
        <f>IF((AND(VLOOKUP(BU$1,main!$A$3:$H$102,5,FALSE)-VLOOKUP($A38,main!$A$3:$H$102,6,FALSE)&gt;=(VLOOKUP(VLOOKUP(BU$1,main!$A$3:$H$102,8,FALSE),main!$K$26:$M$29,2,FALSE)+VLOOKUP(VLOOKUP(BU$1,main!$A$3:$H$102,7,FALSE),main!$K$19:$O$22,MATCH(VLOOKUP($A38,main!$A$3:$H$102,8,FALSE),main!$K$18:$O$18,0))))),1,0)</f>
        <v>0</v>
      </c>
      <c r="BV38">
        <f>IF((AND(VLOOKUP(BV$1,main!$A$3:$H$102,5,FALSE)-VLOOKUP($A38,main!$A$3:$H$102,6,FALSE)&gt;=(VLOOKUP(VLOOKUP(BV$1,main!$A$3:$H$102,8,FALSE),main!$K$26:$M$29,2,FALSE)+VLOOKUP(VLOOKUP(BV$1,main!$A$3:$H$102,7,FALSE),main!$K$19:$O$22,MATCH(VLOOKUP($A38,main!$A$3:$H$102,8,FALSE),main!$K$18:$O$18,0))))),1,0)</f>
        <v>0</v>
      </c>
      <c r="BW38">
        <f>IF((AND(VLOOKUP(BW$1,main!$A$3:$H$102,5,FALSE)-VLOOKUP($A38,main!$A$3:$H$102,6,FALSE)&gt;=(VLOOKUP(VLOOKUP(BW$1,main!$A$3:$H$102,8,FALSE),main!$K$26:$M$29,2,FALSE)+VLOOKUP(VLOOKUP(BW$1,main!$A$3:$H$102,7,FALSE),main!$K$19:$O$22,MATCH(VLOOKUP($A38,main!$A$3:$H$102,8,FALSE),main!$K$18:$O$18,0))))),1,0)</f>
        <v>0</v>
      </c>
      <c r="BX38">
        <f>IF((AND(VLOOKUP(BX$1,main!$A$3:$H$102,5,FALSE)-VLOOKUP($A38,main!$A$3:$H$102,6,FALSE)&gt;=(VLOOKUP(VLOOKUP(BX$1,main!$A$3:$H$102,8,FALSE),main!$K$26:$M$29,2,FALSE)+VLOOKUP(VLOOKUP(BX$1,main!$A$3:$H$102,7,FALSE),main!$K$19:$O$22,MATCH(VLOOKUP($A38,main!$A$3:$H$102,8,FALSE),main!$K$18:$O$18,0))))),1,0)</f>
        <v>0</v>
      </c>
      <c r="BY38">
        <f>IF((AND(VLOOKUP(BY$1,main!$A$3:$H$102,5,FALSE)-VLOOKUP($A38,main!$A$3:$H$102,6,FALSE)&gt;=(VLOOKUP(VLOOKUP(BY$1,main!$A$3:$H$102,8,FALSE),main!$K$26:$M$29,2,FALSE)+VLOOKUP(VLOOKUP(BY$1,main!$A$3:$H$102,7,FALSE),main!$K$19:$O$22,MATCH(VLOOKUP($A38,main!$A$3:$H$102,8,FALSE),main!$K$18:$O$18,0))))),1,0)</f>
        <v>0</v>
      </c>
      <c r="BZ38">
        <f>IF((AND(VLOOKUP(BZ$1,main!$A$3:$H$102,5,FALSE)-VLOOKUP($A38,main!$A$3:$H$102,6,FALSE)&gt;=(VLOOKUP(VLOOKUP(BZ$1,main!$A$3:$H$102,8,FALSE),main!$K$26:$M$29,2,FALSE)+VLOOKUP(VLOOKUP(BZ$1,main!$A$3:$H$102,7,FALSE),main!$K$19:$O$22,MATCH(VLOOKUP($A38,main!$A$3:$H$102,8,FALSE),main!$K$18:$O$18,0))))),1,0)</f>
        <v>0</v>
      </c>
      <c r="CA38">
        <f>IF((AND(VLOOKUP(CA$1,main!$A$3:$H$102,5,FALSE)-VLOOKUP($A38,main!$A$3:$H$102,6,FALSE)&gt;=(VLOOKUP(VLOOKUP(CA$1,main!$A$3:$H$102,8,FALSE),main!$K$26:$M$29,2,FALSE)+VLOOKUP(VLOOKUP(CA$1,main!$A$3:$H$102,7,FALSE),main!$K$19:$O$22,MATCH(VLOOKUP($A38,main!$A$3:$H$102,8,FALSE),main!$K$18:$O$18,0))))),1,0)</f>
        <v>0</v>
      </c>
      <c r="CB38">
        <f>IF((AND(VLOOKUP(CB$1,main!$A$3:$H$102,5,FALSE)-VLOOKUP($A38,main!$A$3:$H$102,6,FALSE)&gt;=(VLOOKUP(VLOOKUP(CB$1,main!$A$3:$H$102,8,FALSE),main!$K$26:$M$29,2,FALSE)+VLOOKUP(VLOOKUP(CB$1,main!$A$3:$H$102,7,FALSE),main!$K$19:$O$22,MATCH(VLOOKUP($A38,main!$A$3:$H$102,8,FALSE),main!$K$18:$O$18,0))))),1,0)</f>
        <v>0</v>
      </c>
      <c r="CC38">
        <f>IF((AND(VLOOKUP(CC$1,main!$A$3:$H$102,5,FALSE)-VLOOKUP($A38,main!$A$3:$H$102,6,FALSE)&gt;=(VLOOKUP(VLOOKUP(CC$1,main!$A$3:$H$102,8,FALSE),main!$K$26:$M$29,2,FALSE)+VLOOKUP(VLOOKUP(CC$1,main!$A$3:$H$102,7,FALSE),main!$K$19:$O$22,MATCH(VLOOKUP($A38,main!$A$3:$H$102,8,FALSE),main!$K$18:$O$18,0))))),1,0)</f>
        <v>0</v>
      </c>
      <c r="CD38">
        <f>IF((AND(VLOOKUP(CD$1,main!$A$3:$H$102,5,FALSE)-VLOOKUP($A38,main!$A$3:$H$102,6,FALSE)&gt;=(VLOOKUP(VLOOKUP(CD$1,main!$A$3:$H$102,8,FALSE),main!$K$26:$M$29,2,FALSE)+VLOOKUP(VLOOKUP(CD$1,main!$A$3:$H$102,7,FALSE),main!$K$19:$O$22,MATCH(VLOOKUP($A38,main!$A$3:$H$102,8,FALSE),main!$K$18:$O$18,0))))),1,0)</f>
        <v>0</v>
      </c>
      <c r="CE38">
        <f>IF((AND(VLOOKUP(CE$1,main!$A$3:$H$102,5,FALSE)-VLOOKUP($A38,main!$A$3:$H$102,6,FALSE)&gt;=(VLOOKUP(VLOOKUP(CE$1,main!$A$3:$H$102,8,FALSE),main!$K$26:$M$29,2,FALSE)+VLOOKUP(VLOOKUP(CE$1,main!$A$3:$H$102,7,FALSE),main!$K$19:$O$22,MATCH(VLOOKUP($A38,main!$A$3:$H$102,8,FALSE),main!$K$18:$O$18,0))))),1,0)</f>
        <v>0</v>
      </c>
      <c r="CF38">
        <f>IF((AND(VLOOKUP(CF$1,main!$A$3:$H$102,5,FALSE)-VLOOKUP($A38,main!$A$3:$H$102,6,FALSE)&gt;=(VLOOKUP(VLOOKUP(CF$1,main!$A$3:$H$102,8,FALSE),main!$K$26:$M$29,2,FALSE)+VLOOKUP(VLOOKUP(CF$1,main!$A$3:$H$102,7,FALSE),main!$K$19:$O$22,MATCH(VLOOKUP($A38,main!$A$3:$H$102,8,FALSE),main!$K$18:$O$18,0))))),1,0)</f>
        <v>0</v>
      </c>
      <c r="CG38">
        <f>IF((AND(VLOOKUP(CG$1,main!$A$3:$H$102,5,FALSE)-VLOOKUP($A38,main!$A$3:$H$102,6,FALSE)&gt;=(VLOOKUP(VLOOKUP(CG$1,main!$A$3:$H$102,8,FALSE),main!$K$26:$M$29,2,FALSE)+VLOOKUP(VLOOKUP(CG$1,main!$A$3:$H$102,7,FALSE),main!$K$19:$O$22,MATCH(VLOOKUP($A38,main!$A$3:$H$102,8,FALSE),main!$K$18:$O$18,0))))),1,0)</f>
        <v>0</v>
      </c>
      <c r="CH38">
        <f>IF((AND(VLOOKUP(CH$1,main!$A$3:$H$102,5,FALSE)-VLOOKUP($A38,main!$A$3:$H$102,6,FALSE)&gt;=(VLOOKUP(VLOOKUP(CH$1,main!$A$3:$H$102,8,FALSE),main!$K$26:$M$29,2,FALSE)+VLOOKUP(VLOOKUP(CH$1,main!$A$3:$H$102,7,FALSE),main!$K$19:$O$22,MATCH(VLOOKUP($A38,main!$A$3:$H$102,8,FALSE),main!$K$18:$O$18,0))))),1,0)</f>
        <v>0</v>
      </c>
      <c r="CI38">
        <f>IF((AND(VLOOKUP(CI$1,main!$A$3:$H$102,5,FALSE)-VLOOKUP($A38,main!$A$3:$H$102,6,FALSE)&gt;=(VLOOKUP(VLOOKUP(CI$1,main!$A$3:$H$102,8,FALSE),main!$K$26:$M$29,2,FALSE)+VLOOKUP(VLOOKUP(CI$1,main!$A$3:$H$102,7,FALSE),main!$K$19:$O$22,MATCH(VLOOKUP($A38,main!$A$3:$H$102,8,FALSE),main!$K$18:$O$18,0))))),1,0)</f>
        <v>1</v>
      </c>
      <c r="CJ38">
        <f>IF((AND(VLOOKUP(CJ$1,main!$A$3:$H$102,5,FALSE)-VLOOKUP($A38,main!$A$3:$H$102,6,FALSE)&gt;=(VLOOKUP(VLOOKUP(CJ$1,main!$A$3:$H$102,8,FALSE),main!$K$26:$M$29,2,FALSE)+VLOOKUP(VLOOKUP(CJ$1,main!$A$3:$H$102,7,FALSE),main!$K$19:$O$22,MATCH(VLOOKUP($A38,main!$A$3:$H$102,8,FALSE),main!$K$18:$O$18,0))))),1,0)</f>
        <v>0</v>
      </c>
      <c r="CK38">
        <f>IF((AND(VLOOKUP(CK$1,main!$A$3:$H$102,5,FALSE)-VLOOKUP($A38,main!$A$3:$H$102,6,FALSE)&gt;=(VLOOKUP(VLOOKUP(CK$1,main!$A$3:$H$102,8,FALSE),main!$K$26:$M$29,2,FALSE)+VLOOKUP(VLOOKUP(CK$1,main!$A$3:$H$102,7,FALSE),main!$K$19:$O$22,MATCH(VLOOKUP($A38,main!$A$3:$H$102,8,FALSE),main!$K$18:$O$18,0))))),1,0)</f>
        <v>0</v>
      </c>
      <c r="CL38">
        <f>IF((AND(VLOOKUP(CL$1,main!$A$3:$H$102,5,FALSE)-VLOOKUP($A38,main!$A$3:$H$102,6,FALSE)&gt;=(VLOOKUP(VLOOKUP(CL$1,main!$A$3:$H$102,8,FALSE),main!$K$26:$M$29,2,FALSE)+VLOOKUP(VLOOKUP(CL$1,main!$A$3:$H$102,7,FALSE),main!$K$19:$O$22,MATCH(VLOOKUP($A38,main!$A$3:$H$102,8,FALSE),main!$K$18:$O$18,0))))),1,0)</f>
        <v>0</v>
      </c>
      <c r="CM38">
        <f>IF((AND(VLOOKUP(CM$1,main!$A$3:$H$102,5,FALSE)-VLOOKUP($A38,main!$A$3:$H$102,6,FALSE)&gt;=(VLOOKUP(VLOOKUP(CM$1,main!$A$3:$H$102,8,FALSE),main!$K$26:$M$29,2,FALSE)+VLOOKUP(VLOOKUP(CM$1,main!$A$3:$H$102,7,FALSE),main!$K$19:$O$22,MATCH(VLOOKUP($A38,main!$A$3:$H$102,8,FALSE),main!$K$18:$O$18,0))))),1,0)</f>
        <v>0</v>
      </c>
      <c r="CN38">
        <f>IF((AND(VLOOKUP(CN$1,main!$A$3:$H$102,5,FALSE)-VLOOKUP($A38,main!$A$3:$H$102,6,FALSE)&gt;=(VLOOKUP(VLOOKUP(CN$1,main!$A$3:$H$102,8,FALSE),main!$K$26:$M$29,2,FALSE)+VLOOKUP(VLOOKUP(CN$1,main!$A$3:$H$102,7,FALSE),main!$K$19:$O$22,MATCH(VLOOKUP($A38,main!$A$3:$H$102,8,FALSE),main!$K$18:$O$18,0))))),1,0)</f>
        <v>1</v>
      </c>
      <c r="CO38">
        <f>IF((AND(VLOOKUP(CO$1,main!$A$3:$H$102,5,FALSE)-VLOOKUP($A38,main!$A$3:$H$102,6,FALSE)&gt;=(VLOOKUP(VLOOKUP(CO$1,main!$A$3:$H$102,8,FALSE),main!$K$26:$M$29,2,FALSE)+VLOOKUP(VLOOKUP(CO$1,main!$A$3:$H$102,7,FALSE),main!$K$19:$O$22,MATCH(VLOOKUP($A38,main!$A$3:$H$102,8,FALSE),main!$K$18:$O$18,0))))),1,0)</f>
        <v>0</v>
      </c>
      <c r="CP38">
        <f>IF((AND(VLOOKUP(CP$1,main!$A$3:$H$102,5,FALSE)-VLOOKUP($A38,main!$A$3:$H$102,6,FALSE)&gt;=(VLOOKUP(VLOOKUP(CP$1,main!$A$3:$H$102,8,FALSE),main!$K$26:$M$29,2,FALSE)+VLOOKUP(VLOOKUP(CP$1,main!$A$3:$H$102,7,FALSE),main!$K$19:$O$22,MATCH(VLOOKUP($A38,main!$A$3:$H$102,8,FALSE),main!$K$18:$O$18,0))))),1,0)</f>
        <v>0</v>
      </c>
      <c r="CQ38">
        <f>IF((AND(VLOOKUP(CQ$1,main!$A$3:$H$102,5,FALSE)-VLOOKUP($A38,main!$A$3:$H$102,6,FALSE)&gt;=(VLOOKUP(VLOOKUP(CQ$1,main!$A$3:$H$102,8,FALSE),main!$K$26:$M$29,2,FALSE)+VLOOKUP(VLOOKUP(CQ$1,main!$A$3:$H$102,7,FALSE),main!$K$19:$O$22,MATCH(VLOOKUP($A38,main!$A$3:$H$102,8,FALSE),main!$K$18:$O$18,0))))),1,0)</f>
        <v>0</v>
      </c>
      <c r="CR38">
        <f>IF((AND(VLOOKUP(CR$1,main!$A$3:$H$102,5,FALSE)-VLOOKUP($A38,main!$A$3:$H$102,6,FALSE)&gt;=(VLOOKUP(VLOOKUP(CR$1,main!$A$3:$H$102,8,FALSE),main!$K$26:$M$29,2,FALSE)+VLOOKUP(VLOOKUP(CR$1,main!$A$3:$H$102,7,FALSE),main!$K$19:$O$22,MATCH(VLOOKUP($A38,main!$A$3:$H$102,8,FALSE),main!$K$18:$O$18,0))))),1,0)</f>
        <v>0</v>
      </c>
      <c r="CS38">
        <f>IF((AND(VLOOKUP(CS$1,main!$A$3:$H$102,5,FALSE)-VLOOKUP($A38,main!$A$3:$H$102,6,FALSE)&gt;=(VLOOKUP(VLOOKUP(CS$1,main!$A$3:$H$102,8,FALSE),main!$K$26:$M$29,2,FALSE)+VLOOKUP(VLOOKUP(CS$1,main!$A$3:$H$102,7,FALSE),main!$K$19:$O$22,MATCH(VLOOKUP($A38,main!$A$3:$H$102,8,FALSE),main!$K$18:$O$18,0))))),1,0)</f>
        <v>0</v>
      </c>
      <c r="CT38">
        <f>IF((AND(VLOOKUP(CT$1,main!$A$3:$H$102,5,FALSE)-VLOOKUP($A38,main!$A$3:$H$102,6,FALSE)&gt;=(VLOOKUP(VLOOKUP(CT$1,main!$A$3:$H$102,8,FALSE),main!$K$26:$M$29,2,FALSE)+VLOOKUP(VLOOKUP(CT$1,main!$A$3:$H$102,7,FALSE),main!$K$19:$O$22,MATCH(VLOOKUP($A38,main!$A$3:$H$102,8,FALSE),main!$K$18:$O$18,0))))),1,0)</f>
        <v>0</v>
      </c>
      <c r="CU38">
        <f>IF((AND(VLOOKUP(CU$1,main!$A$3:$H$102,5,FALSE)-VLOOKUP($A38,main!$A$3:$H$102,6,FALSE)&gt;=(VLOOKUP(VLOOKUP(CU$1,main!$A$3:$H$102,8,FALSE),main!$K$26:$M$29,2,FALSE)+VLOOKUP(VLOOKUP(CU$1,main!$A$3:$H$102,7,FALSE),main!$K$19:$O$22,MATCH(VLOOKUP($A38,main!$A$3:$H$102,8,FALSE),main!$K$18:$O$18,0))))),1,0)</f>
        <v>0</v>
      </c>
      <c r="CV38">
        <f>IF((AND(VLOOKUP(CV$1,main!$A$3:$H$102,5,FALSE)-VLOOKUP($A38,main!$A$3:$H$102,6,FALSE)&gt;=(VLOOKUP(VLOOKUP(CV$1,main!$A$3:$H$102,8,FALSE),main!$K$26:$M$29,2,FALSE)+VLOOKUP(VLOOKUP(CV$1,main!$A$3:$H$102,7,FALSE),main!$K$19:$O$22,MATCH(VLOOKUP($A38,main!$A$3:$H$102,8,FALSE),main!$K$18:$O$18,0))))),1,0)</f>
        <v>0</v>
      </c>
      <c r="CW38">
        <f>IF((AND(VLOOKUP(CW$1,main!$A$3:$H$102,5,FALSE)-VLOOKUP($A38,main!$A$3:$H$102,6,FALSE)&gt;=(VLOOKUP(VLOOKUP(CW$1,main!$A$3:$H$102,8,FALSE),main!$K$26:$M$29,2,FALSE)+VLOOKUP(VLOOKUP(CW$1,main!$A$3:$H$102,7,FALSE),main!$K$19:$O$22,MATCH(VLOOKUP($A38,main!$A$3:$H$102,8,FALSE),main!$K$18:$O$18,0))))),1,0)</f>
        <v>0</v>
      </c>
      <c r="CX38">
        <f>IF((AND(VLOOKUP(CX$1,main!$A$3:$H$102,5,FALSE)-VLOOKUP($A38,main!$A$3:$H$102,6,FALSE)&gt;=(VLOOKUP(VLOOKUP(CX$1,main!$A$3:$H$102,8,FALSE),main!$K$26:$M$29,2,FALSE)+VLOOKUP(VLOOKUP(CX$1,main!$A$3:$H$102,7,FALSE),main!$K$19:$O$22,MATCH(VLOOKUP($A38,main!$A$3:$H$102,8,FALSE),main!$K$18:$O$18,0))))),1,0)</f>
        <v>0</v>
      </c>
    </row>
    <row r="39" spans="1:102" x14ac:dyDescent="0.25">
      <c r="A39" s="1">
        <v>37</v>
      </c>
      <c r="B39">
        <v>1</v>
      </c>
      <c r="C39">
        <f>IF((AND(VLOOKUP(C$1,main!$A$3:$H$102,5,FALSE)-VLOOKUP($A39,main!$A$3:$H$102,6,FALSE)&gt;=(VLOOKUP(VLOOKUP(C$1,main!$A$3:$H$102,8,FALSE),main!$K$26:$M$29,2,FALSE)+VLOOKUP(VLOOKUP(C$1,main!$A$3:$H$102,7,FALSE),main!$K$19:$O$22,MATCH(VLOOKUP($A39,main!$A$3:$H$102,8,FALSE),main!$K$18:$O$18,0))))),1,0)</f>
        <v>0</v>
      </c>
      <c r="D39">
        <f>IF((AND(VLOOKUP(D$1,main!$A$3:$H$102,5,FALSE)-VLOOKUP($A39,main!$A$3:$H$102,6,FALSE)&gt;=(VLOOKUP(VLOOKUP(D$1,main!$A$3:$H$102,8,FALSE),main!$K$26:$M$29,2,FALSE)+VLOOKUP(VLOOKUP(D$1,main!$A$3:$H$102,7,FALSE),main!$K$19:$O$22,MATCH(VLOOKUP($A39,main!$A$3:$H$102,8,FALSE),main!$K$18:$O$18,0))))),1,0)</f>
        <v>0</v>
      </c>
      <c r="E39">
        <f>IF((AND(VLOOKUP(E$1,main!$A$3:$H$102,5,FALSE)-VLOOKUP($A39,main!$A$3:$H$102,6,FALSE)&gt;=(VLOOKUP(VLOOKUP(E$1,main!$A$3:$H$102,8,FALSE),main!$K$26:$M$29,2,FALSE)+VLOOKUP(VLOOKUP(E$1,main!$A$3:$H$102,7,FALSE),main!$K$19:$O$22,MATCH(VLOOKUP($A39,main!$A$3:$H$102,8,FALSE),main!$K$18:$O$18,0))))),1,0)</f>
        <v>0</v>
      </c>
      <c r="F39">
        <f>IF((AND(VLOOKUP(F$1,main!$A$3:$H$102,5,FALSE)-VLOOKUP($A39,main!$A$3:$H$102,6,FALSE)&gt;=(VLOOKUP(VLOOKUP(F$1,main!$A$3:$H$102,8,FALSE),main!$K$26:$M$29,2,FALSE)+VLOOKUP(VLOOKUP(F$1,main!$A$3:$H$102,7,FALSE),main!$K$19:$O$22,MATCH(VLOOKUP($A39,main!$A$3:$H$102,8,FALSE),main!$K$18:$O$18,0))))),1,0)</f>
        <v>0</v>
      </c>
      <c r="G39">
        <f>IF((AND(VLOOKUP(G$1,main!$A$3:$H$102,5,FALSE)-VLOOKUP($A39,main!$A$3:$H$102,6,FALSE)&gt;=(VLOOKUP(VLOOKUP(G$1,main!$A$3:$H$102,8,FALSE),main!$K$26:$M$29,2,FALSE)+VLOOKUP(VLOOKUP(G$1,main!$A$3:$H$102,7,FALSE),main!$K$19:$O$22,MATCH(VLOOKUP($A39,main!$A$3:$H$102,8,FALSE),main!$K$18:$O$18,0))))),1,0)</f>
        <v>0</v>
      </c>
      <c r="H39">
        <f>IF((AND(VLOOKUP(H$1,main!$A$3:$H$102,5,FALSE)-VLOOKUP($A39,main!$A$3:$H$102,6,FALSE)&gt;=(VLOOKUP(VLOOKUP(H$1,main!$A$3:$H$102,8,FALSE),main!$K$26:$M$29,2,FALSE)+VLOOKUP(VLOOKUP(H$1,main!$A$3:$H$102,7,FALSE),main!$K$19:$O$22,MATCH(VLOOKUP($A39,main!$A$3:$H$102,8,FALSE),main!$K$18:$O$18,0))))),1,0)</f>
        <v>0</v>
      </c>
      <c r="I39">
        <f>IF((AND(VLOOKUP(I$1,main!$A$3:$H$102,5,FALSE)-VLOOKUP($A39,main!$A$3:$H$102,6,FALSE)&gt;=(VLOOKUP(VLOOKUP(I$1,main!$A$3:$H$102,8,FALSE),main!$K$26:$M$29,2,FALSE)+VLOOKUP(VLOOKUP(I$1,main!$A$3:$H$102,7,FALSE),main!$K$19:$O$22,MATCH(VLOOKUP($A39,main!$A$3:$H$102,8,FALSE),main!$K$18:$O$18,0))))),1,0)</f>
        <v>0</v>
      </c>
      <c r="J39">
        <f>IF((AND(VLOOKUP(J$1,main!$A$3:$H$102,5,FALSE)-VLOOKUP($A39,main!$A$3:$H$102,6,FALSE)&gt;=(VLOOKUP(VLOOKUP(J$1,main!$A$3:$H$102,8,FALSE),main!$K$26:$M$29,2,FALSE)+VLOOKUP(VLOOKUP(J$1,main!$A$3:$H$102,7,FALSE),main!$K$19:$O$22,MATCH(VLOOKUP($A39,main!$A$3:$H$102,8,FALSE),main!$K$18:$O$18,0))))),1,0)</f>
        <v>0</v>
      </c>
      <c r="K39">
        <f>IF((AND(VLOOKUP(K$1,main!$A$3:$H$102,5,FALSE)-VLOOKUP($A39,main!$A$3:$H$102,6,FALSE)&gt;=(VLOOKUP(VLOOKUP(K$1,main!$A$3:$H$102,8,FALSE),main!$K$26:$M$29,2,FALSE)+VLOOKUP(VLOOKUP(K$1,main!$A$3:$H$102,7,FALSE),main!$K$19:$O$22,MATCH(VLOOKUP($A39,main!$A$3:$H$102,8,FALSE),main!$K$18:$O$18,0))))),1,0)</f>
        <v>0</v>
      </c>
      <c r="L39">
        <f>IF((AND(VLOOKUP(L$1,main!$A$3:$H$102,5,FALSE)-VLOOKUP($A39,main!$A$3:$H$102,6,FALSE)&gt;=(VLOOKUP(VLOOKUP(L$1,main!$A$3:$H$102,8,FALSE),main!$K$26:$M$29,2,FALSE)+VLOOKUP(VLOOKUP(L$1,main!$A$3:$H$102,7,FALSE),main!$K$19:$O$22,MATCH(VLOOKUP($A39,main!$A$3:$H$102,8,FALSE),main!$K$18:$O$18,0))))),1,0)</f>
        <v>0</v>
      </c>
      <c r="M39">
        <f>IF((AND(VLOOKUP(M$1,main!$A$3:$H$102,5,FALSE)-VLOOKUP($A39,main!$A$3:$H$102,6,FALSE)&gt;=(VLOOKUP(VLOOKUP(M$1,main!$A$3:$H$102,8,FALSE),main!$K$26:$M$29,2,FALSE)+VLOOKUP(VLOOKUP(M$1,main!$A$3:$H$102,7,FALSE),main!$K$19:$O$22,MATCH(VLOOKUP($A39,main!$A$3:$H$102,8,FALSE),main!$K$18:$O$18,0))))),1,0)</f>
        <v>0</v>
      </c>
      <c r="N39">
        <f>IF((AND(VLOOKUP(N$1,main!$A$3:$H$102,5,FALSE)-VLOOKUP($A39,main!$A$3:$H$102,6,FALSE)&gt;=(VLOOKUP(VLOOKUP(N$1,main!$A$3:$H$102,8,FALSE),main!$K$26:$M$29,2,FALSE)+VLOOKUP(VLOOKUP(N$1,main!$A$3:$H$102,7,FALSE),main!$K$19:$O$22,MATCH(VLOOKUP($A39,main!$A$3:$H$102,8,FALSE),main!$K$18:$O$18,0))))),1,0)</f>
        <v>0</v>
      </c>
      <c r="O39">
        <f>IF((AND(VLOOKUP(O$1,main!$A$3:$H$102,5,FALSE)-VLOOKUP($A39,main!$A$3:$H$102,6,FALSE)&gt;=(VLOOKUP(VLOOKUP(O$1,main!$A$3:$H$102,8,FALSE),main!$K$26:$M$29,2,FALSE)+VLOOKUP(VLOOKUP(O$1,main!$A$3:$H$102,7,FALSE),main!$K$19:$O$22,MATCH(VLOOKUP($A39,main!$A$3:$H$102,8,FALSE),main!$K$18:$O$18,0))))),1,0)</f>
        <v>0</v>
      </c>
      <c r="P39">
        <f>IF((AND(VLOOKUP(P$1,main!$A$3:$H$102,5,FALSE)-VLOOKUP($A39,main!$A$3:$H$102,6,FALSE)&gt;=(VLOOKUP(VLOOKUP(P$1,main!$A$3:$H$102,8,FALSE),main!$K$26:$M$29,2,FALSE)+VLOOKUP(VLOOKUP(P$1,main!$A$3:$H$102,7,FALSE),main!$K$19:$O$22,MATCH(VLOOKUP($A39,main!$A$3:$H$102,8,FALSE),main!$K$18:$O$18,0))))),1,0)</f>
        <v>0</v>
      </c>
      <c r="Q39">
        <f>IF((AND(VLOOKUP(Q$1,main!$A$3:$H$102,5,FALSE)-VLOOKUP($A39,main!$A$3:$H$102,6,FALSE)&gt;=(VLOOKUP(VLOOKUP(Q$1,main!$A$3:$H$102,8,FALSE),main!$K$26:$M$29,2,FALSE)+VLOOKUP(VLOOKUP(Q$1,main!$A$3:$H$102,7,FALSE),main!$K$19:$O$22,MATCH(VLOOKUP($A39,main!$A$3:$H$102,8,FALSE),main!$K$18:$O$18,0))))),1,0)</f>
        <v>0</v>
      </c>
      <c r="R39">
        <f>IF((AND(VLOOKUP(R$1,main!$A$3:$H$102,5,FALSE)-VLOOKUP($A39,main!$A$3:$H$102,6,FALSE)&gt;=(VLOOKUP(VLOOKUP(R$1,main!$A$3:$H$102,8,FALSE),main!$K$26:$M$29,2,FALSE)+VLOOKUP(VLOOKUP(R$1,main!$A$3:$H$102,7,FALSE),main!$K$19:$O$22,MATCH(VLOOKUP($A39,main!$A$3:$H$102,8,FALSE),main!$K$18:$O$18,0))))),1,0)</f>
        <v>0</v>
      </c>
      <c r="S39">
        <f>IF((AND(VLOOKUP(S$1,main!$A$3:$H$102,5,FALSE)-VLOOKUP($A39,main!$A$3:$H$102,6,FALSE)&gt;=(VLOOKUP(VLOOKUP(S$1,main!$A$3:$H$102,8,FALSE),main!$K$26:$M$29,2,FALSE)+VLOOKUP(VLOOKUP(S$1,main!$A$3:$H$102,7,FALSE),main!$K$19:$O$22,MATCH(VLOOKUP($A39,main!$A$3:$H$102,8,FALSE),main!$K$18:$O$18,0))))),1,0)</f>
        <v>0</v>
      </c>
      <c r="T39">
        <f>IF((AND(VLOOKUP(T$1,main!$A$3:$H$102,5,FALSE)-VLOOKUP($A39,main!$A$3:$H$102,6,FALSE)&gt;=(VLOOKUP(VLOOKUP(T$1,main!$A$3:$H$102,8,FALSE),main!$K$26:$M$29,2,FALSE)+VLOOKUP(VLOOKUP(T$1,main!$A$3:$H$102,7,FALSE),main!$K$19:$O$22,MATCH(VLOOKUP($A39,main!$A$3:$H$102,8,FALSE),main!$K$18:$O$18,0))))),1,0)</f>
        <v>0</v>
      </c>
      <c r="U39">
        <f>IF((AND(VLOOKUP(U$1,main!$A$3:$H$102,5,FALSE)-VLOOKUP($A39,main!$A$3:$H$102,6,FALSE)&gt;=(VLOOKUP(VLOOKUP(U$1,main!$A$3:$H$102,8,FALSE),main!$K$26:$M$29,2,FALSE)+VLOOKUP(VLOOKUP(U$1,main!$A$3:$H$102,7,FALSE),main!$K$19:$O$22,MATCH(VLOOKUP($A39,main!$A$3:$H$102,8,FALSE),main!$K$18:$O$18,0))))),1,0)</f>
        <v>0</v>
      </c>
      <c r="V39">
        <f>IF((AND(VLOOKUP(V$1,main!$A$3:$H$102,5,FALSE)-VLOOKUP($A39,main!$A$3:$H$102,6,FALSE)&gt;=(VLOOKUP(VLOOKUP(V$1,main!$A$3:$H$102,8,FALSE),main!$K$26:$M$29,2,FALSE)+VLOOKUP(VLOOKUP(V$1,main!$A$3:$H$102,7,FALSE),main!$K$19:$O$22,MATCH(VLOOKUP($A39,main!$A$3:$H$102,8,FALSE),main!$K$18:$O$18,0))))),1,0)</f>
        <v>0</v>
      </c>
      <c r="W39">
        <f>IF((AND(VLOOKUP(W$1,main!$A$3:$H$102,5,FALSE)-VLOOKUP($A39,main!$A$3:$H$102,6,FALSE)&gt;=(VLOOKUP(VLOOKUP(W$1,main!$A$3:$H$102,8,FALSE),main!$K$26:$M$29,2,FALSE)+VLOOKUP(VLOOKUP(W$1,main!$A$3:$H$102,7,FALSE),main!$K$19:$O$22,MATCH(VLOOKUP($A39,main!$A$3:$H$102,8,FALSE),main!$K$18:$O$18,0))))),1,0)</f>
        <v>0</v>
      </c>
      <c r="X39">
        <f>IF((AND(VLOOKUP(X$1,main!$A$3:$H$102,5,FALSE)-VLOOKUP($A39,main!$A$3:$H$102,6,FALSE)&gt;=(VLOOKUP(VLOOKUP(X$1,main!$A$3:$H$102,8,FALSE),main!$K$26:$M$29,2,FALSE)+VLOOKUP(VLOOKUP(X$1,main!$A$3:$H$102,7,FALSE),main!$K$19:$O$22,MATCH(VLOOKUP($A39,main!$A$3:$H$102,8,FALSE),main!$K$18:$O$18,0))))),1,0)</f>
        <v>0</v>
      </c>
      <c r="Y39">
        <f>IF((AND(VLOOKUP(Y$1,main!$A$3:$H$102,5,FALSE)-VLOOKUP($A39,main!$A$3:$H$102,6,FALSE)&gt;=(VLOOKUP(VLOOKUP(Y$1,main!$A$3:$H$102,8,FALSE),main!$K$26:$M$29,2,FALSE)+VLOOKUP(VLOOKUP(Y$1,main!$A$3:$H$102,7,FALSE),main!$K$19:$O$22,MATCH(VLOOKUP($A39,main!$A$3:$H$102,8,FALSE),main!$K$18:$O$18,0))))),1,0)</f>
        <v>0</v>
      </c>
      <c r="Z39">
        <f>IF((AND(VLOOKUP(Z$1,main!$A$3:$H$102,5,FALSE)-VLOOKUP($A39,main!$A$3:$H$102,6,FALSE)&gt;=(VLOOKUP(VLOOKUP(Z$1,main!$A$3:$H$102,8,FALSE),main!$K$26:$M$29,2,FALSE)+VLOOKUP(VLOOKUP(Z$1,main!$A$3:$H$102,7,FALSE),main!$K$19:$O$22,MATCH(VLOOKUP($A39,main!$A$3:$H$102,8,FALSE),main!$K$18:$O$18,0))))),1,0)</f>
        <v>0</v>
      </c>
      <c r="AA39">
        <f>IF((AND(VLOOKUP(AA$1,main!$A$3:$H$102,5,FALSE)-VLOOKUP($A39,main!$A$3:$H$102,6,FALSE)&gt;=(VLOOKUP(VLOOKUP(AA$1,main!$A$3:$H$102,8,FALSE),main!$K$26:$M$29,2,FALSE)+VLOOKUP(VLOOKUP(AA$1,main!$A$3:$H$102,7,FALSE),main!$K$19:$O$22,MATCH(VLOOKUP($A39,main!$A$3:$H$102,8,FALSE),main!$K$18:$O$18,0))))),1,0)</f>
        <v>0</v>
      </c>
      <c r="AB39">
        <f>IF((AND(VLOOKUP(AB$1,main!$A$3:$H$102,5,FALSE)-VLOOKUP($A39,main!$A$3:$H$102,6,FALSE)&gt;=(VLOOKUP(VLOOKUP(AB$1,main!$A$3:$H$102,8,FALSE),main!$K$26:$M$29,2,FALSE)+VLOOKUP(VLOOKUP(AB$1,main!$A$3:$H$102,7,FALSE),main!$K$19:$O$22,MATCH(VLOOKUP($A39,main!$A$3:$H$102,8,FALSE),main!$K$18:$O$18,0))))),1,0)</f>
        <v>0</v>
      </c>
      <c r="AC39">
        <f>IF((AND(VLOOKUP(AC$1,main!$A$3:$H$102,5,FALSE)-VLOOKUP($A39,main!$A$3:$H$102,6,FALSE)&gt;=(VLOOKUP(VLOOKUP(AC$1,main!$A$3:$H$102,8,FALSE),main!$K$26:$M$29,2,FALSE)+VLOOKUP(VLOOKUP(AC$1,main!$A$3:$H$102,7,FALSE),main!$K$19:$O$22,MATCH(VLOOKUP($A39,main!$A$3:$H$102,8,FALSE),main!$K$18:$O$18,0))))),1,0)</f>
        <v>0</v>
      </c>
      <c r="AD39">
        <f>IF((AND(VLOOKUP(AD$1,main!$A$3:$H$102,5,FALSE)-VLOOKUP($A39,main!$A$3:$H$102,6,FALSE)&gt;=(VLOOKUP(VLOOKUP(AD$1,main!$A$3:$H$102,8,FALSE),main!$K$26:$M$29,2,FALSE)+VLOOKUP(VLOOKUP(AD$1,main!$A$3:$H$102,7,FALSE),main!$K$19:$O$22,MATCH(VLOOKUP($A39,main!$A$3:$H$102,8,FALSE),main!$K$18:$O$18,0))))),1,0)</f>
        <v>0</v>
      </c>
      <c r="AE39">
        <f>IF((AND(VLOOKUP(AE$1,main!$A$3:$H$102,5,FALSE)-VLOOKUP($A39,main!$A$3:$H$102,6,FALSE)&gt;=(VLOOKUP(VLOOKUP(AE$1,main!$A$3:$H$102,8,FALSE),main!$K$26:$M$29,2,FALSE)+VLOOKUP(VLOOKUP(AE$1,main!$A$3:$H$102,7,FALSE),main!$K$19:$O$22,MATCH(VLOOKUP($A39,main!$A$3:$H$102,8,FALSE),main!$K$18:$O$18,0))))),1,0)</f>
        <v>0</v>
      </c>
      <c r="AF39">
        <f>IF((AND(VLOOKUP(AF$1,main!$A$3:$H$102,5,FALSE)-VLOOKUP($A39,main!$A$3:$H$102,6,FALSE)&gt;=(VLOOKUP(VLOOKUP(AF$1,main!$A$3:$H$102,8,FALSE),main!$K$26:$M$29,2,FALSE)+VLOOKUP(VLOOKUP(AF$1,main!$A$3:$H$102,7,FALSE),main!$K$19:$O$22,MATCH(VLOOKUP($A39,main!$A$3:$H$102,8,FALSE),main!$K$18:$O$18,0))))),1,0)</f>
        <v>0</v>
      </c>
      <c r="AG39">
        <f>IF((AND(VLOOKUP(AG$1,main!$A$3:$H$102,5,FALSE)-VLOOKUP($A39,main!$A$3:$H$102,6,FALSE)&gt;=(VLOOKUP(VLOOKUP(AG$1,main!$A$3:$H$102,8,FALSE),main!$K$26:$M$29,2,FALSE)+VLOOKUP(VLOOKUP(AG$1,main!$A$3:$H$102,7,FALSE),main!$K$19:$O$22,MATCH(VLOOKUP($A39,main!$A$3:$H$102,8,FALSE),main!$K$18:$O$18,0))))),1,0)</f>
        <v>0</v>
      </c>
      <c r="AH39">
        <f>IF((AND(VLOOKUP(AH$1,main!$A$3:$H$102,5,FALSE)-VLOOKUP($A39,main!$A$3:$H$102,6,FALSE)&gt;=(VLOOKUP(VLOOKUP(AH$1,main!$A$3:$H$102,8,FALSE),main!$K$26:$M$29,2,FALSE)+VLOOKUP(VLOOKUP(AH$1,main!$A$3:$H$102,7,FALSE),main!$K$19:$O$22,MATCH(VLOOKUP($A39,main!$A$3:$H$102,8,FALSE),main!$K$18:$O$18,0))))),1,0)</f>
        <v>0</v>
      </c>
      <c r="AI39">
        <f>IF((AND(VLOOKUP(AI$1,main!$A$3:$H$102,5,FALSE)-VLOOKUP($A39,main!$A$3:$H$102,6,FALSE)&gt;=(VLOOKUP(VLOOKUP(AI$1,main!$A$3:$H$102,8,FALSE),main!$K$26:$M$29,2,FALSE)+VLOOKUP(VLOOKUP(AI$1,main!$A$3:$H$102,7,FALSE),main!$K$19:$O$22,MATCH(VLOOKUP($A39,main!$A$3:$H$102,8,FALSE),main!$K$18:$O$18,0))))),1,0)</f>
        <v>0</v>
      </c>
      <c r="AJ39">
        <f>IF((AND(VLOOKUP(AJ$1,main!$A$3:$H$102,5,FALSE)-VLOOKUP($A39,main!$A$3:$H$102,6,FALSE)&gt;=(VLOOKUP(VLOOKUP(AJ$1,main!$A$3:$H$102,8,FALSE),main!$K$26:$M$29,2,FALSE)+VLOOKUP(VLOOKUP(AJ$1,main!$A$3:$H$102,7,FALSE),main!$K$19:$O$22,MATCH(VLOOKUP($A39,main!$A$3:$H$102,8,FALSE),main!$K$18:$O$18,0))))),1,0)</f>
        <v>0</v>
      </c>
      <c r="AK39">
        <f>IF((AND(VLOOKUP(AK$1,main!$A$3:$H$102,5,FALSE)-VLOOKUP($A39,main!$A$3:$H$102,6,FALSE)&gt;=(VLOOKUP(VLOOKUP(AK$1,main!$A$3:$H$102,8,FALSE),main!$K$26:$M$29,2,FALSE)+VLOOKUP(VLOOKUP(AK$1,main!$A$3:$H$102,7,FALSE),main!$K$19:$O$22,MATCH(VLOOKUP($A39,main!$A$3:$H$102,8,FALSE),main!$K$18:$O$18,0))))),1,0)</f>
        <v>0</v>
      </c>
      <c r="AL39">
        <f>IF((AND(VLOOKUP(AL$1,main!$A$3:$H$102,5,FALSE)-VLOOKUP($A39,main!$A$3:$H$102,6,FALSE)&gt;=(VLOOKUP(VLOOKUP(AL$1,main!$A$3:$H$102,8,FALSE),main!$K$26:$M$29,2,FALSE)+VLOOKUP(VLOOKUP(AL$1,main!$A$3:$H$102,7,FALSE),main!$K$19:$O$22,MATCH(VLOOKUP($A39,main!$A$3:$H$102,8,FALSE),main!$K$18:$O$18,0))))),1,0)</f>
        <v>0</v>
      </c>
      <c r="AM39">
        <f>IF((AND(VLOOKUP(AM$1,main!$A$3:$H$102,5,FALSE)-VLOOKUP($A39,main!$A$3:$H$102,6,FALSE)&gt;=(VLOOKUP(VLOOKUP(AM$1,main!$A$3:$H$102,8,FALSE),main!$K$26:$M$29,2,FALSE)+VLOOKUP(VLOOKUP(AM$1,main!$A$3:$H$102,7,FALSE),main!$K$19:$O$22,MATCH(VLOOKUP($A39,main!$A$3:$H$102,8,FALSE),main!$K$18:$O$18,0))))),1,0)</f>
        <v>0</v>
      </c>
      <c r="AN39">
        <f>IF((AND(VLOOKUP(AN$1,main!$A$3:$H$102,5,FALSE)-VLOOKUP($A39,main!$A$3:$H$102,6,FALSE)&gt;=(VLOOKUP(VLOOKUP(AN$1,main!$A$3:$H$102,8,FALSE),main!$K$26:$M$29,2,FALSE)+VLOOKUP(VLOOKUP(AN$1,main!$A$3:$H$102,7,FALSE),main!$K$19:$O$22,MATCH(VLOOKUP($A39,main!$A$3:$H$102,8,FALSE),main!$K$18:$O$18,0))))),1,0)</f>
        <v>0</v>
      </c>
      <c r="AO39">
        <f>IF((AND(VLOOKUP(AO$1,main!$A$3:$H$102,5,FALSE)-VLOOKUP($A39,main!$A$3:$H$102,6,FALSE)&gt;=(VLOOKUP(VLOOKUP(AO$1,main!$A$3:$H$102,8,FALSE),main!$K$26:$M$29,2,FALSE)+VLOOKUP(VLOOKUP(AO$1,main!$A$3:$H$102,7,FALSE),main!$K$19:$O$22,MATCH(VLOOKUP($A39,main!$A$3:$H$102,8,FALSE),main!$K$18:$O$18,0))))),1,0)</f>
        <v>0</v>
      </c>
      <c r="AP39">
        <f>IF((AND(VLOOKUP(AP$1,main!$A$3:$H$102,5,FALSE)-VLOOKUP($A39,main!$A$3:$H$102,6,FALSE)&gt;=(VLOOKUP(VLOOKUP(AP$1,main!$A$3:$H$102,8,FALSE),main!$K$26:$M$29,2,FALSE)+VLOOKUP(VLOOKUP(AP$1,main!$A$3:$H$102,7,FALSE),main!$K$19:$O$22,MATCH(VLOOKUP($A39,main!$A$3:$H$102,8,FALSE),main!$K$18:$O$18,0))))),1,0)</f>
        <v>0</v>
      </c>
      <c r="AQ39">
        <f>IF((AND(VLOOKUP(AQ$1,main!$A$3:$H$102,5,FALSE)-VLOOKUP($A39,main!$A$3:$H$102,6,FALSE)&gt;=(VLOOKUP(VLOOKUP(AQ$1,main!$A$3:$H$102,8,FALSE),main!$K$26:$M$29,2,FALSE)+VLOOKUP(VLOOKUP(AQ$1,main!$A$3:$H$102,7,FALSE),main!$K$19:$O$22,MATCH(VLOOKUP($A39,main!$A$3:$H$102,8,FALSE),main!$K$18:$O$18,0))))),1,0)</f>
        <v>0</v>
      </c>
      <c r="AR39">
        <f>IF((AND(VLOOKUP(AR$1,main!$A$3:$H$102,5,FALSE)-VLOOKUP($A39,main!$A$3:$H$102,6,FALSE)&gt;=(VLOOKUP(VLOOKUP(AR$1,main!$A$3:$H$102,8,FALSE),main!$K$26:$M$29,2,FALSE)+VLOOKUP(VLOOKUP(AR$1,main!$A$3:$H$102,7,FALSE),main!$K$19:$O$22,MATCH(VLOOKUP($A39,main!$A$3:$H$102,8,FALSE),main!$K$18:$O$18,0))))),1,0)</f>
        <v>0</v>
      </c>
      <c r="AS39">
        <f>IF((AND(VLOOKUP(AS$1,main!$A$3:$H$102,5,FALSE)-VLOOKUP($A39,main!$A$3:$H$102,6,FALSE)&gt;=(VLOOKUP(VLOOKUP(AS$1,main!$A$3:$H$102,8,FALSE),main!$K$26:$M$29,2,FALSE)+VLOOKUP(VLOOKUP(AS$1,main!$A$3:$H$102,7,FALSE),main!$K$19:$O$22,MATCH(VLOOKUP($A39,main!$A$3:$H$102,8,FALSE),main!$K$18:$O$18,0))))),1,0)</f>
        <v>0</v>
      </c>
      <c r="AT39">
        <f>IF((AND(VLOOKUP(AT$1,main!$A$3:$H$102,5,FALSE)-VLOOKUP($A39,main!$A$3:$H$102,6,FALSE)&gt;=(VLOOKUP(VLOOKUP(AT$1,main!$A$3:$H$102,8,FALSE),main!$K$26:$M$29,2,FALSE)+VLOOKUP(VLOOKUP(AT$1,main!$A$3:$H$102,7,FALSE),main!$K$19:$O$22,MATCH(VLOOKUP($A39,main!$A$3:$H$102,8,FALSE),main!$K$18:$O$18,0))))),1,0)</f>
        <v>0</v>
      </c>
      <c r="AU39">
        <f>IF((AND(VLOOKUP(AU$1,main!$A$3:$H$102,5,FALSE)-VLOOKUP($A39,main!$A$3:$H$102,6,FALSE)&gt;=(VLOOKUP(VLOOKUP(AU$1,main!$A$3:$H$102,8,FALSE),main!$K$26:$M$29,2,FALSE)+VLOOKUP(VLOOKUP(AU$1,main!$A$3:$H$102,7,FALSE),main!$K$19:$O$22,MATCH(VLOOKUP($A39,main!$A$3:$H$102,8,FALSE),main!$K$18:$O$18,0))))),1,0)</f>
        <v>0</v>
      </c>
      <c r="AV39">
        <f>IF((AND(VLOOKUP(AV$1,main!$A$3:$H$102,5,FALSE)-VLOOKUP($A39,main!$A$3:$H$102,6,FALSE)&gt;=(VLOOKUP(VLOOKUP(AV$1,main!$A$3:$H$102,8,FALSE),main!$K$26:$M$29,2,FALSE)+VLOOKUP(VLOOKUP(AV$1,main!$A$3:$H$102,7,FALSE),main!$K$19:$O$22,MATCH(VLOOKUP($A39,main!$A$3:$H$102,8,FALSE),main!$K$18:$O$18,0))))),1,0)</f>
        <v>0</v>
      </c>
      <c r="AW39">
        <f>IF((AND(VLOOKUP(AW$1,main!$A$3:$H$102,5,FALSE)-VLOOKUP($A39,main!$A$3:$H$102,6,FALSE)&gt;=(VLOOKUP(VLOOKUP(AW$1,main!$A$3:$H$102,8,FALSE),main!$K$26:$M$29,2,FALSE)+VLOOKUP(VLOOKUP(AW$1,main!$A$3:$H$102,7,FALSE),main!$K$19:$O$22,MATCH(VLOOKUP($A39,main!$A$3:$H$102,8,FALSE),main!$K$18:$O$18,0))))),1,0)</f>
        <v>0</v>
      </c>
      <c r="AX39">
        <f>IF((AND(VLOOKUP(AX$1,main!$A$3:$H$102,5,FALSE)-VLOOKUP($A39,main!$A$3:$H$102,6,FALSE)&gt;=(VLOOKUP(VLOOKUP(AX$1,main!$A$3:$H$102,8,FALSE),main!$K$26:$M$29,2,FALSE)+VLOOKUP(VLOOKUP(AX$1,main!$A$3:$H$102,7,FALSE),main!$K$19:$O$22,MATCH(VLOOKUP($A39,main!$A$3:$H$102,8,FALSE),main!$K$18:$O$18,0))))),1,0)</f>
        <v>0</v>
      </c>
      <c r="AY39">
        <f>IF((AND(VLOOKUP(AY$1,main!$A$3:$H$102,5,FALSE)-VLOOKUP($A39,main!$A$3:$H$102,6,FALSE)&gt;=(VLOOKUP(VLOOKUP(AY$1,main!$A$3:$H$102,8,FALSE),main!$K$26:$M$29,2,FALSE)+VLOOKUP(VLOOKUP(AY$1,main!$A$3:$H$102,7,FALSE),main!$K$19:$O$22,MATCH(VLOOKUP($A39,main!$A$3:$H$102,8,FALSE),main!$K$18:$O$18,0))))),1,0)</f>
        <v>0</v>
      </c>
      <c r="AZ39">
        <f>IF((AND(VLOOKUP(AZ$1,main!$A$3:$H$102,5,FALSE)-VLOOKUP($A39,main!$A$3:$H$102,6,FALSE)&gt;=(VLOOKUP(VLOOKUP(AZ$1,main!$A$3:$H$102,8,FALSE),main!$K$26:$M$29,2,FALSE)+VLOOKUP(VLOOKUP(AZ$1,main!$A$3:$H$102,7,FALSE),main!$K$19:$O$22,MATCH(VLOOKUP($A39,main!$A$3:$H$102,8,FALSE),main!$K$18:$O$18,0))))),1,0)</f>
        <v>0</v>
      </c>
      <c r="BA39">
        <f>IF((AND(VLOOKUP(BA$1,main!$A$3:$H$102,5,FALSE)-VLOOKUP($A39,main!$A$3:$H$102,6,FALSE)&gt;=(VLOOKUP(VLOOKUP(BA$1,main!$A$3:$H$102,8,FALSE),main!$K$26:$M$29,2,FALSE)+VLOOKUP(VLOOKUP(BA$1,main!$A$3:$H$102,7,FALSE),main!$K$19:$O$22,MATCH(VLOOKUP($A39,main!$A$3:$H$102,8,FALSE),main!$K$18:$O$18,0))))),1,0)</f>
        <v>0</v>
      </c>
      <c r="BB39">
        <f>IF((AND(VLOOKUP(BB$1,main!$A$3:$H$102,5,FALSE)-VLOOKUP($A39,main!$A$3:$H$102,6,FALSE)&gt;=(VLOOKUP(VLOOKUP(BB$1,main!$A$3:$H$102,8,FALSE),main!$K$26:$M$29,2,FALSE)+VLOOKUP(VLOOKUP(BB$1,main!$A$3:$H$102,7,FALSE),main!$K$19:$O$22,MATCH(VLOOKUP($A39,main!$A$3:$H$102,8,FALSE),main!$K$18:$O$18,0))))),1,0)</f>
        <v>0</v>
      </c>
      <c r="BC39">
        <f>IF((AND(VLOOKUP(BC$1,main!$A$3:$H$102,5,FALSE)-VLOOKUP($A39,main!$A$3:$H$102,6,FALSE)&gt;=(VLOOKUP(VLOOKUP(BC$1,main!$A$3:$H$102,8,FALSE),main!$K$26:$M$29,2,FALSE)+VLOOKUP(VLOOKUP(BC$1,main!$A$3:$H$102,7,FALSE),main!$K$19:$O$22,MATCH(VLOOKUP($A39,main!$A$3:$H$102,8,FALSE),main!$K$18:$O$18,0))))),1,0)</f>
        <v>0</v>
      </c>
      <c r="BD39">
        <f>IF((AND(VLOOKUP(BD$1,main!$A$3:$H$102,5,FALSE)-VLOOKUP($A39,main!$A$3:$H$102,6,FALSE)&gt;=(VLOOKUP(VLOOKUP(BD$1,main!$A$3:$H$102,8,FALSE),main!$K$26:$M$29,2,FALSE)+VLOOKUP(VLOOKUP(BD$1,main!$A$3:$H$102,7,FALSE),main!$K$19:$O$22,MATCH(VLOOKUP($A39,main!$A$3:$H$102,8,FALSE),main!$K$18:$O$18,0))))),1,0)</f>
        <v>0</v>
      </c>
      <c r="BE39">
        <f>IF((AND(VLOOKUP(BE$1,main!$A$3:$H$102,5,FALSE)-VLOOKUP($A39,main!$A$3:$H$102,6,FALSE)&gt;=(VLOOKUP(VLOOKUP(BE$1,main!$A$3:$H$102,8,FALSE),main!$K$26:$M$29,2,FALSE)+VLOOKUP(VLOOKUP(BE$1,main!$A$3:$H$102,7,FALSE),main!$K$19:$O$22,MATCH(VLOOKUP($A39,main!$A$3:$H$102,8,FALSE),main!$K$18:$O$18,0))))),1,0)</f>
        <v>0</v>
      </c>
      <c r="BF39">
        <f>IF((AND(VLOOKUP(BF$1,main!$A$3:$H$102,5,FALSE)-VLOOKUP($A39,main!$A$3:$H$102,6,FALSE)&gt;=(VLOOKUP(VLOOKUP(BF$1,main!$A$3:$H$102,8,FALSE),main!$K$26:$M$29,2,FALSE)+VLOOKUP(VLOOKUP(BF$1,main!$A$3:$H$102,7,FALSE),main!$K$19:$O$22,MATCH(VLOOKUP($A39,main!$A$3:$H$102,8,FALSE),main!$K$18:$O$18,0))))),1,0)</f>
        <v>0</v>
      </c>
      <c r="BG39">
        <f>IF((AND(VLOOKUP(BG$1,main!$A$3:$H$102,5,FALSE)-VLOOKUP($A39,main!$A$3:$H$102,6,FALSE)&gt;=(VLOOKUP(VLOOKUP(BG$1,main!$A$3:$H$102,8,FALSE),main!$K$26:$M$29,2,FALSE)+VLOOKUP(VLOOKUP(BG$1,main!$A$3:$H$102,7,FALSE),main!$K$19:$O$22,MATCH(VLOOKUP($A39,main!$A$3:$H$102,8,FALSE),main!$K$18:$O$18,0))))),1,0)</f>
        <v>0</v>
      </c>
      <c r="BH39">
        <f>IF((AND(VLOOKUP(BH$1,main!$A$3:$H$102,5,FALSE)-VLOOKUP($A39,main!$A$3:$H$102,6,FALSE)&gt;=(VLOOKUP(VLOOKUP(BH$1,main!$A$3:$H$102,8,FALSE),main!$K$26:$M$29,2,FALSE)+VLOOKUP(VLOOKUP(BH$1,main!$A$3:$H$102,7,FALSE),main!$K$19:$O$22,MATCH(VLOOKUP($A39,main!$A$3:$H$102,8,FALSE),main!$K$18:$O$18,0))))),1,0)</f>
        <v>0</v>
      </c>
      <c r="BI39">
        <f>IF((AND(VLOOKUP(BI$1,main!$A$3:$H$102,5,FALSE)-VLOOKUP($A39,main!$A$3:$H$102,6,FALSE)&gt;=(VLOOKUP(VLOOKUP(BI$1,main!$A$3:$H$102,8,FALSE),main!$K$26:$M$29,2,FALSE)+VLOOKUP(VLOOKUP(BI$1,main!$A$3:$H$102,7,FALSE),main!$K$19:$O$22,MATCH(VLOOKUP($A39,main!$A$3:$H$102,8,FALSE),main!$K$18:$O$18,0))))),1,0)</f>
        <v>0</v>
      </c>
      <c r="BJ39">
        <f>IF((AND(VLOOKUP(BJ$1,main!$A$3:$H$102,5,FALSE)-VLOOKUP($A39,main!$A$3:$H$102,6,FALSE)&gt;=(VLOOKUP(VLOOKUP(BJ$1,main!$A$3:$H$102,8,FALSE),main!$K$26:$M$29,2,FALSE)+VLOOKUP(VLOOKUP(BJ$1,main!$A$3:$H$102,7,FALSE),main!$K$19:$O$22,MATCH(VLOOKUP($A39,main!$A$3:$H$102,8,FALSE),main!$K$18:$O$18,0))))),1,0)</f>
        <v>0</v>
      </c>
      <c r="BK39">
        <f>IF((AND(VLOOKUP(BK$1,main!$A$3:$H$102,5,FALSE)-VLOOKUP($A39,main!$A$3:$H$102,6,FALSE)&gt;=(VLOOKUP(VLOOKUP(BK$1,main!$A$3:$H$102,8,FALSE),main!$K$26:$M$29,2,FALSE)+VLOOKUP(VLOOKUP(BK$1,main!$A$3:$H$102,7,FALSE),main!$K$19:$O$22,MATCH(VLOOKUP($A39,main!$A$3:$H$102,8,FALSE),main!$K$18:$O$18,0))))),1,0)</f>
        <v>0</v>
      </c>
      <c r="BL39">
        <f>IF((AND(VLOOKUP(BL$1,main!$A$3:$H$102,5,FALSE)-VLOOKUP($A39,main!$A$3:$H$102,6,FALSE)&gt;=(VLOOKUP(VLOOKUP(BL$1,main!$A$3:$H$102,8,FALSE),main!$K$26:$M$29,2,FALSE)+VLOOKUP(VLOOKUP(BL$1,main!$A$3:$H$102,7,FALSE),main!$K$19:$O$22,MATCH(VLOOKUP($A39,main!$A$3:$H$102,8,FALSE),main!$K$18:$O$18,0))))),1,0)</f>
        <v>0</v>
      </c>
      <c r="BM39">
        <f>IF((AND(VLOOKUP(BM$1,main!$A$3:$H$102,5,FALSE)-VLOOKUP($A39,main!$A$3:$H$102,6,FALSE)&gt;=(VLOOKUP(VLOOKUP(BM$1,main!$A$3:$H$102,8,FALSE),main!$K$26:$M$29,2,FALSE)+VLOOKUP(VLOOKUP(BM$1,main!$A$3:$H$102,7,FALSE),main!$K$19:$O$22,MATCH(VLOOKUP($A39,main!$A$3:$H$102,8,FALSE),main!$K$18:$O$18,0))))),1,0)</f>
        <v>0</v>
      </c>
      <c r="BN39">
        <f>IF((AND(VLOOKUP(BN$1,main!$A$3:$H$102,5,FALSE)-VLOOKUP($A39,main!$A$3:$H$102,6,FALSE)&gt;=(VLOOKUP(VLOOKUP(BN$1,main!$A$3:$H$102,8,FALSE),main!$K$26:$M$29,2,FALSE)+VLOOKUP(VLOOKUP(BN$1,main!$A$3:$H$102,7,FALSE),main!$K$19:$O$22,MATCH(VLOOKUP($A39,main!$A$3:$H$102,8,FALSE),main!$K$18:$O$18,0))))),1,0)</f>
        <v>0</v>
      </c>
      <c r="BO39">
        <f>IF((AND(VLOOKUP(BO$1,main!$A$3:$H$102,5,FALSE)-VLOOKUP($A39,main!$A$3:$H$102,6,FALSE)&gt;=(VLOOKUP(VLOOKUP(BO$1,main!$A$3:$H$102,8,FALSE),main!$K$26:$M$29,2,FALSE)+VLOOKUP(VLOOKUP(BO$1,main!$A$3:$H$102,7,FALSE),main!$K$19:$O$22,MATCH(VLOOKUP($A39,main!$A$3:$H$102,8,FALSE),main!$K$18:$O$18,0))))),1,0)</f>
        <v>0</v>
      </c>
      <c r="BP39">
        <f>IF((AND(VLOOKUP(BP$1,main!$A$3:$H$102,5,FALSE)-VLOOKUP($A39,main!$A$3:$H$102,6,FALSE)&gt;=(VLOOKUP(VLOOKUP(BP$1,main!$A$3:$H$102,8,FALSE),main!$K$26:$M$29,2,FALSE)+VLOOKUP(VLOOKUP(BP$1,main!$A$3:$H$102,7,FALSE),main!$K$19:$O$22,MATCH(VLOOKUP($A39,main!$A$3:$H$102,8,FALSE),main!$K$18:$O$18,0))))),1,0)</f>
        <v>0</v>
      </c>
      <c r="BQ39">
        <f>IF((AND(VLOOKUP(BQ$1,main!$A$3:$H$102,5,FALSE)-VLOOKUP($A39,main!$A$3:$H$102,6,FALSE)&gt;=(VLOOKUP(VLOOKUP(BQ$1,main!$A$3:$H$102,8,FALSE),main!$K$26:$M$29,2,FALSE)+VLOOKUP(VLOOKUP(BQ$1,main!$A$3:$H$102,7,FALSE),main!$K$19:$O$22,MATCH(VLOOKUP($A39,main!$A$3:$H$102,8,FALSE),main!$K$18:$O$18,0))))),1,0)</f>
        <v>0</v>
      </c>
      <c r="BR39">
        <f>IF((AND(VLOOKUP(BR$1,main!$A$3:$H$102,5,FALSE)-VLOOKUP($A39,main!$A$3:$H$102,6,FALSE)&gt;=(VLOOKUP(VLOOKUP(BR$1,main!$A$3:$H$102,8,FALSE),main!$K$26:$M$29,2,FALSE)+VLOOKUP(VLOOKUP(BR$1,main!$A$3:$H$102,7,FALSE),main!$K$19:$O$22,MATCH(VLOOKUP($A39,main!$A$3:$H$102,8,FALSE),main!$K$18:$O$18,0))))),1,0)</f>
        <v>0</v>
      </c>
      <c r="BS39">
        <f>IF((AND(VLOOKUP(BS$1,main!$A$3:$H$102,5,FALSE)-VLOOKUP($A39,main!$A$3:$H$102,6,FALSE)&gt;=(VLOOKUP(VLOOKUP(BS$1,main!$A$3:$H$102,8,FALSE),main!$K$26:$M$29,2,FALSE)+VLOOKUP(VLOOKUP(BS$1,main!$A$3:$H$102,7,FALSE),main!$K$19:$O$22,MATCH(VLOOKUP($A39,main!$A$3:$H$102,8,FALSE),main!$K$18:$O$18,0))))),1,0)</f>
        <v>0</v>
      </c>
      <c r="BT39">
        <f>IF((AND(VLOOKUP(BT$1,main!$A$3:$H$102,5,FALSE)-VLOOKUP($A39,main!$A$3:$H$102,6,FALSE)&gt;=(VLOOKUP(VLOOKUP(BT$1,main!$A$3:$H$102,8,FALSE),main!$K$26:$M$29,2,FALSE)+VLOOKUP(VLOOKUP(BT$1,main!$A$3:$H$102,7,FALSE),main!$K$19:$O$22,MATCH(VLOOKUP($A39,main!$A$3:$H$102,8,FALSE),main!$K$18:$O$18,0))))),1,0)</f>
        <v>0</v>
      </c>
      <c r="BU39">
        <f>IF((AND(VLOOKUP(BU$1,main!$A$3:$H$102,5,FALSE)-VLOOKUP($A39,main!$A$3:$H$102,6,FALSE)&gt;=(VLOOKUP(VLOOKUP(BU$1,main!$A$3:$H$102,8,FALSE),main!$K$26:$M$29,2,FALSE)+VLOOKUP(VLOOKUP(BU$1,main!$A$3:$H$102,7,FALSE),main!$K$19:$O$22,MATCH(VLOOKUP($A39,main!$A$3:$H$102,8,FALSE),main!$K$18:$O$18,0))))),1,0)</f>
        <v>0</v>
      </c>
      <c r="BV39">
        <f>IF((AND(VLOOKUP(BV$1,main!$A$3:$H$102,5,FALSE)-VLOOKUP($A39,main!$A$3:$H$102,6,FALSE)&gt;=(VLOOKUP(VLOOKUP(BV$1,main!$A$3:$H$102,8,FALSE),main!$K$26:$M$29,2,FALSE)+VLOOKUP(VLOOKUP(BV$1,main!$A$3:$H$102,7,FALSE),main!$K$19:$O$22,MATCH(VLOOKUP($A39,main!$A$3:$H$102,8,FALSE),main!$K$18:$O$18,0))))),1,0)</f>
        <v>0</v>
      </c>
      <c r="BW39">
        <f>IF((AND(VLOOKUP(BW$1,main!$A$3:$H$102,5,FALSE)-VLOOKUP($A39,main!$A$3:$H$102,6,FALSE)&gt;=(VLOOKUP(VLOOKUP(BW$1,main!$A$3:$H$102,8,FALSE),main!$K$26:$M$29,2,FALSE)+VLOOKUP(VLOOKUP(BW$1,main!$A$3:$H$102,7,FALSE),main!$K$19:$O$22,MATCH(VLOOKUP($A39,main!$A$3:$H$102,8,FALSE),main!$K$18:$O$18,0))))),1,0)</f>
        <v>0</v>
      </c>
      <c r="BX39">
        <f>IF((AND(VLOOKUP(BX$1,main!$A$3:$H$102,5,FALSE)-VLOOKUP($A39,main!$A$3:$H$102,6,FALSE)&gt;=(VLOOKUP(VLOOKUP(BX$1,main!$A$3:$H$102,8,FALSE),main!$K$26:$M$29,2,FALSE)+VLOOKUP(VLOOKUP(BX$1,main!$A$3:$H$102,7,FALSE),main!$K$19:$O$22,MATCH(VLOOKUP($A39,main!$A$3:$H$102,8,FALSE),main!$K$18:$O$18,0))))),1,0)</f>
        <v>0</v>
      </c>
      <c r="BY39">
        <f>IF((AND(VLOOKUP(BY$1,main!$A$3:$H$102,5,FALSE)-VLOOKUP($A39,main!$A$3:$H$102,6,FALSE)&gt;=(VLOOKUP(VLOOKUP(BY$1,main!$A$3:$H$102,8,FALSE),main!$K$26:$M$29,2,FALSE)+VLOOKUP(VLOOKUP(BY$1,main!$A$3:$H$102,7,FALSE),main!$K$19:$O$22,MATCH(VLOOKUP($A39,main!$A$3:$H$102,8,FALSE),main!$K$18:$O$18,0))))),1,0)</f>
        <v>0</v>
      </c>
      <c r="BZ39">
        <f>IF((AND(VLOOKUP(BZ$1,main!$A$3:$H$102,5,FALSE)-VLOOKUP($A39,main!$A$3:$H$102,6,FALSE)&gt;=(VLOOKUP(VLOOKUP(BZ$1,main!$A$3:$H$102,8,FALSE),main!$K$26:$M$29,2,FALSE)+VLOOKUP(VLOOKUP(BZ$1,main!$A$3:$H$102,7,FALSE),main!$K$19:$O$22,MATCH(VLOOKUP($A39,main!$A$3:$H$102,8,FALSE),main!$K$18:$O$18,0))))),1,0)</f>
        <v>0</v>
      </c>
      <c r="CA39">
        <f>IF((AND(VLOOKUP(CA$1,main!$A$3:$H$102,5,FALSE)-VLOOKUP($A39,main!$A$3:$H$102,6,FALSE)&gt;=(VLOOKUP(VLOOKUP(CA$1,main!$A$3:$H$102,8,FALSE),main!$K$26:$M$29,2,FALSE)+VLOOKUP(VLOOKUP(CA$1,main!$A$3:$H$102,7,FALSE),main!$K$19:$O$22,MATCH(VLOOKUP($A39,main!$A$3:$H$102,8,FALSE),main!$K$18:$O$18,0))))),1,0)</f>
        <v>0</v>
      </c>
      <c r="CB39">
        <f>IF((AND(VLOOKUP(CB$1,main!$A$3:$H$102,5,FALSE)-VLOOKUP($A39,main!$A$3:$H$102,6,FALSE)&gt;=(VLOOKUP(VLOOKUP(CB$1,main!$A$3:$H$102,8,FALSE),main!$K$26:$M$29,2,FALSE)+VLOOKUP(VLOOKUP(CB$1,main!$A$3:$H$102,7,FALSE),main!$K$19:$O$22,MATCH(VLOOKUP($A39,main!$A$3:$H$102,8,FALSE),main!$K$18:$O$18,0))))),1,0)</f>
        <v>0</v>
      </c>
      <c r="CC39">
        <f>IF((AND(VLOOKUP(CC$1,main!$A$3:$H$102,5,FALSE)-VLOOKUP($A39,main!$A$3:$H$102,6,FALSE)&gt;=(VLOOKUP(VLOOKUP(CC$1,main!$A$3:$H$102,8,FALSE),main!$K$26:$M$29,2,FALSE)+VLOOKUP(VLOOKUP(CC$1,main!$A$3:$H$102,7,FALSE),main!$K$19:$O$22,MATCH(VLOOKUP($A39,main!$A$3:$H$102,8,FALSE),main!$K$18:$O$18,0))))),1,0)</f>
        <v>0</v>
      </c>
      <c r="CD39">
        <f>IF((AND(VLOOKUP(CD$1,main!$A$3:$H$102,5,FALSE)-VLOOKUP($A39,main!$A$3:$H$102,6,FALSE)&gt;=(VLOOKUP(VLOOKUP(CD$1,main!$A$3:$H$102,8,FALSE),main!$K$26:$M$29,2,FALSE)+VLOOKUP(VLOOKUP(CD$1,main!$A$3:$H$102,7,FALSE),main!$K$19:$O$22,MATCH(VLOOKUP($A39,main!$A$3:$H$102,8,FALSE),main!$K$18:$O$18,0))))),1,0)</f>
        <v>0</v>
      </c>
      <c r="CE39">
        <f>IF((AND(VLOOKUP(CE$1,main!$A$3:$H$102,5,FALSE)-VLOOKUP($A39,main!$A$3:$H$102,6,FALSE)&gt;=(VLOOKUP(VLOOKUP(CE$1,main!$A$3:$H$102,8,FALSE),main!$K$26:$M$29,2,FALSE)+VLOOKUP(VLOOKUP(CE$1,main!$A$3:$H$102,7,FALSE),main!$K$19:$O$22,MATCH(VLOOKUP($A39,main!$A$3:$H$102,8,FALSE),main!$K$18:$O$18,0))))),1,0)</f>
        <v>0</v>
      </c>
      <c r="CF39">
        <f>IF((AND(VLOOKUP(CF$1,main!$A$3:$H$102,5,FALSE)-VLOOKUP($A39,main!$A$3:$H$102,6,FALSE)&gt;=(VLOOKUP(VLOOKUP(CF$1,main!$A$3:$H$102,8,FALSE),main!$K$26:$M$29,2,FALSE)+VLOOKUP(VLOOKUP(CF$1,main!$A$3:$H$102,7,FALSE),main!$K$19:$O$22,MATCH(VLOOKUP($A39,main!$A$3:$H$102,8,FALSE),main!$K$18:$O$18,0))))),1,0)</f>
        <v>0</v>
      </c>
      <c r="CG39">
        <f>IF((AND(VLOOKUP(CG$1,main!$A$3:$H$102,5,FALSE)-VLOOKUP($A39,main!$A$3:$H$102,6,FALSE)&gt;=(VLOOKUP(VLOOKUP(CG$1,main!$A$3:$H$102,8,FALSE),main!$K$26:$M$29,2,FALSE)+VLOOKUP(VLOOKUP(CG$1,main!$A$3:$H$102,7,FALSE),main!$K$19:$O$22,MATCH(VLOOKUP($A39,main!$A$3:$H$102,8,FALSE),main!$K$18:$O$18,0))))),1,0)</f>
        <v>0</v>
      </c>
      <c r="CH39">
        <f>IF((AND(VLOOKUP(CH$1,main!$A$3:$H$102,5,FALSE)-VLOOKUP($A39,main!$A$3:$H$102,6,FALSE)&gt;=(VLOOKUP(VLOOKUP(CH$1,main!$A$3:$H$102,8,FALSE),main!$K$26:$M$29,2,FALSE)+VLOOKUP(VLOOKUP(CH$1,main!$A$3:$H$102,7,FALSE),main!$K$19:$O$22,MATCH(VLOOKUP($A39,main!$A$3:$H$102,8,FALSE),main!$K$18:$O$18,0))))),1,0)</f>
        <v>0</v>
      </c>
      <c r="CI39">
        <f>IF((AND(VLOOKUP(CI$1,main!$A$3:$H$102,5,FALSE)-VLOOKUP($A39,main!$A$3:$H$102,6,FALSE)&gt;=(VLOOKUP(VLOOKUP(CI$1,main!$A$3:$H$102,8,FALSE),main!$K$26:$M$29,2,FALSE)+VLOOKUP(VLOOKUP(CI$1,main!$A$3:$H$102,7,FALSE),main!$K$19:$O$22,MATCH(VLOOKUP($A39,main!$A$3:$H$102,8,FALSE),main!$K$18:$O$18,0))))),1,0)</f>
        <v>0</v>
      </c>
      <c r="CJ39">
        <f>IF((AND(VLOOKUP(CJ$1,main!$A$3:$H$102,5,FALSE)-VLOOKUP($A39,main!$A$3:$H$102,6,FALSE)&gt;=(VLOOKUP(VLOOKUP(CJ$1,main!$A$3:$H$102,8,FALSE),main!$K$26:$M$29,2,FALSE)+VLOOKUP(VLOOKUP(CJ$1,main!$A$3:$H$102,7,FALSE),main!$K$19:$O$22,MATCH(VLOOKUP($A39,main!$A$3:$H$102,8,FALSE),main!$K$18:$O$18,0))))),1,0)</f>
        <v>0</v>
      </c>
      <c r="CK39">
        <f>IF((AND(VLOOKUP(CK$1,main!$A$3:$H$102,5,FALSE)-VLOOKUP($A39,main!$A$3:$H$102,6,FALSE)&gt;=(VLOOKUP(VLOOKUP(CK$1,main!$A$3:$H$102,8,FALSE),main!$K$26:$M$29,2,FALSE)+VLOOKUP(VLOOKUP(CK$1,main!$A$3:$H$102,7,FALSE),main!$K$19:$O$22,MATCH(VLOOKUP($A39,main!$A$3:$H$102,8,FALSE),main!$K$18:$O$18,0))))),1,0)</f>
        <v>0</v>
      </c>
      <c r="CL39">
        <f>IF((AND(VLOOKUP(CL$1,main!$A$3:$H$102,5,FALSE)-VLOOKUP($A39,main!$A$3:$H$102,6,FALSE)&gt;=(VLOOKUP(VLOOKUP(CL$1,main!$A$3:$H$102,8,FALSE),main!$K$26:$M$29,2,FALSE)+VLOOKUP(VLOOKUP(CL$1,main!$A$3:$H$102,7,FALSE),main!$K$19:$O$22,MATCH(VLOOKUP($A39,main!$A$3:$H$102,8,FALSE),main!$K$18:$O$18,0))))),1,0)</f>
        <v>0</v>
      </c>
      <c r="CM39">
        <f>IF((AND(VLOOKUP(CM$1,main!$A$3:$H$102,5,FALSE)-VLOOKUP($A39,main!$A$3:$H$102,6,FALSE)&gt;=(VLOOKUP(VLOOKUP(CM$1,main!$A$3:$H$102,8,FALSE),main!$K$26:$M$29,2,FALSE)+VLOOKUP(VLOOKUP(CM$1,main!$A$3:$H$102,7,FALSE),main!$K$19:$O$22,MATCH(VLOOKUP($A39,main!$A$3:$H$102,8,FALSE),main!$K$18:$O$18,0))))),1,0)</f>
        <v>0</v>
      </c>
      <c r="CN39">
        <f>IF((AND(VLOOKUP(CN$1,main!$A$3:$H$102,5,FALSE)-VLOOKUP($A39,main!$A$3:$H$102,6,FALSE)&gt;=(VLOOKUP(VLOOKUP(CN$1,main!$A$3:$H$102,8,FALSE),main!$K$26:$M$29,2,FALSE)+VLOOKUP(VLOOKUP(CN$1,main!$A$3:$H$102,7,FALSE),main!$K$19:$O$22,MATCH(VLOOKUP($A39,main!$A$3:$H$102,8,FALSE),main!$K$18:$O$18,0))))),1,0)</f>
        <v>0</v>
      </c>
      <c r="CO39">
        <f>IF((AND(VLOOKUP(CO$1,main!$A$3:$H$102,5,FALSE)-VLOOKUP($A39,main!$A$3:$H$102,6,FALSE)&gt;=(VLOOKUP(VLOOKUP(CO$1,main!$A$3:$H$102,8,FALSE),main!$K$26:$M$29,2,FALSE)+VLOOKUP(VLOOKUP(CO$1,main!$A$3:$H$102,7,FALSE),main!$K$19:$O$22,MATCH(VLOOKUP($A39,main!$A$3:$H$102,8,FALSE),main!$K$18:$O$18,0))))),1,0)</f>
        <v>0</v>
      </c>
      <c r="CP39">
        <f>IF((AND(VLOOKUP(CP$1,main!$A$3:$H$102,5,FALSE)-VLOOKUP($A39,main!$A$3:$H$102,6,FALSE)&gt;=(VLOOKUP(VLOOKUP(CP$1,main!$A$3:$H$102,8,FALSE),main!$K$26:$M$29,2,FALSE)+VLOOKUP(VLOOKUP(CP$1,main!$A$3:$H$102,7,FALSE),main!$K$19:$O$22,MATCH(VLOOKUP($A39,main!$A$3:$H$102,8,FALSE),main!$K$18:$O$18,0))))),1,0)</f>
        <v>0</v>
      </c>
      <c r="CQ39">
        <f>IF((AND(VLOOKUP(CQ$1,main!$A$3:$H$102,5,FALSE)-VLOOKUP($A39,main!$A$3:$H$102,6,FALSE)&gt;=(VLOOKUP(VLOOKUP(CQ$1,main!$A$3:$H$102,8,FALSE),main!$K$26:$M$29,2,FALSE)+VLOOKUP(VLOOKUP(CQ$1,main!$A$3:$H$102,7,FALSE),main!$K$19:$O$22,MATCH(VLOOKUP($A39,main!$A$3:$H$102,8,FALSE),main!$K$18:$O$18,0))))),1,0)</f>
        <v>0</v>
      </c>
      <c r="CR39">
        <f>IF((AND(VLOOKUP(CR$1,main!$A$3:$H$102,5,FALSE)-VLOOKUP($A39,main!$A$3:$H$102,6,FALSE)&gt;=(VLOOKUP(VLOOKUP(CR$1,main!$A$3:$H$102,8,FALSE),main!$K$26:$M$29,2,FALSE)+VLOOKUP(VLOOKUP(CR$1,main!$A$3:$H$102,7,FALSE),main!$K$19:$O$22,MATCH(VLOOKUP($A39,main!$A$3:$H$102,8,FALSE),main!$K$18:$O$18,0))))),1,0)</f>
        <v>0</v>
      </c>
      <c r="CS39">
        <f>IF((AND(VLOOKUP(CS$1,main!$A$3:$H$102,5,FALSE)-VLOOKUP($A39,main!$A$3:$H$102,6,FALSE)&gt;=(VLOOKUP(VLOOKUP(CS$1,main!$A$3:$H$102,8,FALSE),main!$K$26:$M$29,2,FALSE)+VLOOKUP(VLOOKUP(CS$1,main!$A$3:$H$102,7,FALSE),main!$K$19:$O$22,MATCH(VLOOKUP($A39,main!$A$3:$H$102,8,FALSE),main!$K$18:$O$18,0))))),1,0)</f>
        <v>0</v>
      </c>
      <c r="CT39">
        <f>IF((AND(VLOOKUP(CT$1,main!$A$3:$H$102,5,FALSE)-VLOOKUP($A39,main!$A$3:$H$102,6,FALSE)&gt;=(VLOOKUP(VLOOKUP(CT$1,main!$A$3:$H$102,8,FALSE),main!$K$26:$M$29,2,FALSE)+VLOOKUP(VLOOKUP(CT$1,main!$A$3:$H$102,7,FALSE),main!$K$19:$O$22,MATCH(VLOOKUP($A39,main!$A$3:$H$102,8,FALSE),main!$K$18:$O$18,0))))),1,0)</f>
        <v>0</v>
      </c>
      <c r="CU39">
        <f>IF((AND(VLOOKUP(CU$1,main!$A$3:$H$102,5,FALSE)-VLOOKUP($A39,main!$A$3:$H$102,6,FALSE)&gt;=(VLOOKUP(VLOOKUP(CU$1,main!$A$3:$H$102,8,FALSE),main!$K$26:$M$29,2,FALSE)+VLOOKUP(VLOOKUP(CU$1,main!$A$3:$H$102,7,FALSE),main!$K$19:$O$22,MATCH(VLOOKUP($A39,main!$A$3:$H$102,8,FALSE),main!$K$18:$O$18,0))))),1,0)</f>
        <v>0</v>
      </c>
      <c r="CV39">
        <f>IF((AND(VLOOKUP(CV$1,main!$A$3:$H$102,5,FALSE)-VLOOKUP($A39,main!$A$3:$H$102,6,FALSE)&gt;=(VLOOKUP(VLOOKUP(CV$1,main!$A$3:$H$102,8,FALSE),main!$K$26:$M$29,2,FALSE)+VLOOKUP(VLOOKUP(CV$1,main!$A$3:$H$102,7,FALSE),main!$K$19:$O$22,MATCH(VLOOKUP($A39,main!$A$3:$H$102,8,FALSE),main!$K$18:$O$18,0))))),1,0)</f>
        <v>0</v>
      </c>
      <c r="CW39">
        <f>IF((AND(VLOOKUP(CW$1,main!$A$3:$H$102,5,FALSE)-VLOOKUP($A39,main!$A$3:$H$102,6,FALSE)&gt;=(VLOOKUP(VLOOKUP(CW$1,main!$A$3:$H$102,8,FALSE),main!$K$26:$M$29,2,FALSE)+VLOOKUP(VLOOKUP(CW$1,main!$A$3:$H$102,7,FALSE),main!$K$19:$O$22,MATCH(VLOOKUP($A39,main!$A$3:$H$102,8,FALSE),main!$K$18:$O$18,0))))),1,0)</f>
        <v>0</v>
      </c>
      <c r="CX39">
        <f>IF((AND(VLOOKUP(CX$1,main!$A$3:$H$102,5,FALSE)-VLOOKUP($A39,main!$A$3:$H$102,6,FALSE)&gt;=(VLOOKUP(VLOOKUP(CX$1,main!$A$3:$H$102,8,FALSE),main!$K$26:$M$29,2,FALSE)+VLOOKUP(VLOOKUP(CX$1,main!$A$3:$H$102,7,FALSE),main!$K$19:$O$22,MATCH(VLOOKUP($A39,main!$A$3:$H$102,8,FALSE),main!$K$18:$O$18,0))))),1,0)</f>
        <v>0</v>
      </c>
    </row>
    <row r="40" spans="1:102" x14ac:dyDescent="0.25">
      <c r="A40" s="1">
        <v>38</v>
      </c>
      <c r="B40">
        <v>1</v>
      </c>
      <c r="C40">
        <f>IF((AND(VLOOKUP(C$1,main!$A$3:$H$102,5,FALSE)-VLOOKUP($A40,main!$A$3:$H$102,6,FALSE)&gt;=(VLOOKUP(VLOOKUP(C$1,main!$A$3:$H$102,8,FALSE),main!$K$26:$M$29,2,FALSE)+VLOOKUP(VLOOKUP(C$1,main!$A$3:$H$102,7,FALSE),main!$K$19:$O$22,MATCH(VLOOKUP($A40,main!$A$3:$H$102,8,FALSE),main!$K$18:$O$18,0))))),1,0)</f>
        <v>0</v>
      </c>
      <c r="D40">
        <f>IF((AND(VLOOKUP(D$1,main!$A$3:$H$102,5,FALSE)-VLOOKUP($A40,main!$A$3:$H$102,6,FALSE)&gt;=(VLOOKUP(VLOOKUP(D$1,main!$A$3:$H$102,8,FALSE),main!$K$26:$M$29,2,FALSE)+VLOOKUP(VLOOKUP(D$1,main!$A$3:$H$102,7,FALSE),main!$K$19:$O$22,MATCH(VLOOKUP($A40,main!$A$3:$H$102,8,FALSE),main!$K$18:$O$18,0))))),1,0)</f>
        <v>0</v>
      </c>
      <c r="E40">
        <f>IF((AND(VLOOKUP(E$1,main!$A$3:$H$102,5,FALSE)-VLOOKUP($A40,main!$A$3:$H$102,6,FALSE)&gt;=(VLOOKUP(VLOOKUP(E$1,main!$A$3:$H$102,8,FALSE),main!$K$26:$M$29,2,FALSE)+VLOOKUP(VLOOKUP(E$1,main!$A$3:$H$102,7,FALSE),main!$K$19:$O$22,MATCH(VLOOKUP($A40,main!$A$3:$H$102,8,FALSE),main!$K$18:$O$18,0))))),1,0)</f>
        <v>0</v>
      </c>
      <c r="F40">
        <f>IF((AND(VLOOKUP(F$1,main!$A$3:$H$102,5,FALSE)-VLOOKUP($A40,main!$A$3:$H$102,6,FALSE)&gt;=(VLOOKUP(VLOOKUP(F$1,main!$A$3:$H$102,8,FALSE),main!$K$26:$M$29,2,FALSE)+VLOOKUP(VLOOKUP(F$1,main!$A$3:$H$102,7,FALSE),main!$K$19:$O$22,MATCH(VLOOKUP($A40,main!$A$3:$H$102,8,FALSE),main!$K$18:$O$18,0))))),1,0)</f>
        <v>0</v>
      </c>
      <c r="G40">
        <f>IF((AND(VLOOKUP(G$1,main!$A$3:$H$102,5,FALSE)-VLOOKUP($A40,main!$A$3:$H$102,6,FALSE)&gt;=(VLOOKUP(VLOOKUP(G$1,main!$A$3:$H$102,8,FALSE),main!$K$26:$M$29,2,FALSE)+VLOOKUP(VLOOKUP(G$1,main!$A$3:$H$102,7,FALSE),main!$K$19:$O$22,MATCH(VLOOKUP($A40,main!$A$3:$H$102,8,FALSE),main!$K$18:$O$18,0))))),1,0)</f>
        <v>0</v>
      </c>
      <c r="H40">
        <f>IF((AND(VLOOKUP(H$1,main!$A$3:$H$102,5,FALSE)-VLOOKUP($A40,main!$A$3:$H$102,6,FALSE)&gt;=(VLOOKUP(VLOOKUP(H$1,main!$A$3:$H$102,8,FALSE),main!$K$26:$M$29,2,FALSE)+VLOOKUP(VLOOKUP(H$1,main!$A$3:$H$102,7,FALSE),main!$K$19:$O$22,MATCH(VLOOKUP($A40,main!$A$3:$H$102,8,FALSE),main!$K$18:$O$18,0))))),1,0)</f>
        <v>0</v>
      </c>
      <c r="I40">
        <f>IF((AND(VLOOKUP(I$1,main!$A$3:$H$102,5,FALSE)-VLOOKUP($A40,main!$A$3:$H$102,6,FALSE)&gt;=(VLOOKUP(VLOOKUP(I$1,main!$A$3:$H$102,8,FALSE),main!$K$26:$M$29,2,FALSE)+VLOOKUP(VLOOKUP(I$1,main!$A$3:$H$102,7,FALSE),main!$K$19:$O$22,MATCH(VLOOKUP($A40,main!$A$3:$H$102,8,FALSE),main!$K$18:$O$18,0))))),1,0)</f>
        <v>0</v>
      </c>
      <c r="J40">
        <f>IF((AND(VLOOKUP(J$1,main!$A$3:$H$102,5,FALSE)-VLOOKUP($A40,main!$A$3:$H$102,6,FALSE)&gt;=(VLOOKUP(VLOOKUP(J$1,main!$A$3:$H$102,8,FALSE),main!$K$26:$M$29,2,FALSE)+VLOOKUP(VLOOKUP(J$1,main!$A$3:$H$102,7,FALSE),main!$K$19:$O$22,MATCH(VLOOKUP($A40,main!$A$3:$H$102,8,FALSE),main!$K$18:$O$18,0))))),1,0)</f>
        <v>0</v>
      </c>
      <c r="K40">
        <f>IF((AND(VLOOKUP(K$1,main!$A$3:$H$102,5,FALSE)-VLOOKUP($A40,main!$A$3:$H$102,6,FALSE)&gt;=(VLOOKUP(VLOOKUP(K$1,main!$A$3:$H$102,8,FALSE),main!$K$26:$M$29,2,FALSE)+VLOOKUP(VLOOKUP(K$1,main!$A$3:$H$102,7,FALSE),main!$K$19:$O$22,MATCH(VLOOKUP($A40,main!$A$3:$H$102,8,FALSE),main!$K$18:$O$18,0))))),1,0)</f>
        <v>0</v>
      </c>
      <c r="L40">
        <f>IF((AND(VLOOKUP(L$1,main!$A$3:$H$102,5,FALSE)-VLOOKUP($A40,main!$A$3:$H$102,6,FALSE)&gt;=(VLOOKUP(VLOOKUP(L$1,main!$A$3:$H$102,8,FALSE),main!$K$26:$M$29,2,FALSE)+VLOOKUP(VLOOKUP(L$1,main!$A$3:$H$102,7,FALSE),main!$K$19:$O$22,MATCH(VLOOKUP($A40,main!$A$3:$H$102,8,FALSE),main!$K$18:$O$18,0))))),1,0)</f>
        <v>0</v>
      </c>
      <c r="M40">
        <f>IF((AND(VLOOKUP(M$1,main!$A$3:$H$102,5,FALSE)-VLOOKUP($A40,main!$A$3:$H$102,6,FALSE)&gt;=(VLOOKUP(VLOOKUP(M$1,main!$A$3:$H$102,8,FALSE),main!$K$26:$M$29,2,FALSE)+VLOOKUP(VLOOKUP(M$1,main!$A$3:$H$102,7,FALSE),main!$K$19:$O$22,MATCH(VLOOKUP($A40,main!$A$3:$H$102,8,FALSE),main!$K$18:$O$18,0))))),1,0)</f>
        <v>0</v>
      </c>
      <c r="N40">
        <f>IF((AND(VLOOKUP(N$1,main!$A$3:$H$102,5,FALSE)-VLOOKUP($A40,main!$A$3:$H$102,6,FALSE)&gt;=(VLOOKUP(VLOOKUP(N$1,main!$A$3:$H$102,8,FALSE),main!$K$26:$M$29,2,FALSE)+VLOOKUP(VLOOKUP(N$1,main!$A$3:$H$102,7,FALSE),main!$K$19:$O$22,MATCH(VLOOKUP($A40,main!$A$3:$H$102,8,FALSE),main!$K$18:$O$18,0))))),1,0)</f>
        <v>0</v>
      </c>
      <c r="O40">
        <f>IF((AND(VLOOKUP(O$1,main!$A$3:$H$102,5,FALSE)-VLOOKUP($A40,main!$A$3:$H$102,6,FALSE)&gt;=(VLOOKUP(VLOOKUP(O$1,main!$A$3:$H$102,8,FALSE),main!$K$26:$M$29,2,FALSE)+VLOOKUP(VLOOKUP(O$1,main!$A$3:$H$102,7,FALSE),main!$K$19:$O$22,MATCH(VLOOKUP($A40,main!$A$3:$H$102,8,FALSE),main!$K$18:$O$18,0))))),1,0)</f>
        <v>0</v>
      </c>
      <c r="P40">
        <f>IF((AND(VLOOKUP(P$1,main!$A$3:$H$102,5,FALSE)-VLOOKUP($A40,main!$A$3:$H$102,6,FALSE)&gt;=(VLOOKUP(VLOOKUP(P$1,main!$A$3:$H$102,8,FALSE),main!$K$26:$M$29,2,FALSE)+VLOOKUP(VLOOKUP(P$1,main!$A$3:$H$102,7,FALSE),main!$K$19:$O$22,MATCH(VLOOKUP($A40,main!$A$3:$H$102,8,FALSE),main!$K$18:$O$18,0))))),1,0)</f>
        <v>0</v>
      </c>
      <c r="Q40">
        <f>IF((AND(VLOOKUP(Q$1,main!$A$3:$H$102,5,FALSE)-VLOOKUP($A40,main!$A$3:$H$102,6,FALSE)&gt;=(VLOOKUP(VLOOKUP(Q$1,main!$A$3:$H$102,8,FALSE),main!$K$26:$M$29,2,FALSE)+VLOOKUP(VLOOKUP(Q$1,main!$A$3:$H$102,7,FALSE),main!$K$19:$O$22,MATCH(VLOOKUP($A40,main!$A$3:$H$102,8,FALSE),main!$K$18:$O$18,0))))),1,0)</f>
        <v>0</v>
      </c>
      <c r="R40">
        <f>IF((AND(VLOOKUP(R$1,main!$A$3:$H$102,5,FALSE)-VLOOKUP($A40,main!$A$3:$H$102,6,FALSE)&gt;=(VLOOKUP(VLOOKUP(R$1,main!$A$3:$H$102,8,FALSE),main!$K$26:$M$29,2,FALSE)+VLOOKUP(VLOOKUP(R$1,main!$A$3:$H$102,7,FALSE),main!$K$19:$O$22,MATCH(VLOOKUP($A40,main!$A$3:$H$102,8,FALSE),main!$K$18:$O$18,0))))),1,0)</f>
        <v>0</v>
      </c>
      <c r="S40">
        <f>IF((AND(VLOOKUP(S$1,main!$A$3:$H$102,5,FALSE)-VLOOKUP($A40,main!$A$3:$H$102,6,FALSE)&gt;=(VLOOKUP(VLOOKUP(S$1,main!$A$3:$H$102,8,FALSE),main!$K$26:$M$29,2,FALSE)+VLOOKUP(VLOOKUP(S$1,main!$A$3:$H$102,7,FALSE),main!$K$19:$O$22,MATCH(VLOOKUP($A40,main!$A$3:$H$102,8,FALSE),main!$K$18:$O$18,0))))),1,0)</f>
        <v>0</v>
      </c>
      <c r="T40">
        <f>IF((AND(VLOOKUP(T$1,main!$A$3:$H$102,5,FALSE)-VLOOKUP($A40,main!$A$3:$H$102,6,FALSE)&gt;=(VLOOKUP(VLOOKUP(T$1,main!$A$3:$H$102,8,FALSE),main!$K$26:$M$29,2,FALSE)+VLOOKUP(VLOOKUP(T$1,main!$A$3:$H$102,7,FALSE),main!$K$19:$O$22,MATCH(VLOOKUP($A40,main!$A$3:$H$102,8,FALSE),main!$K$18:$O$18,0))))),1,0)</f>
        <v>0</v>
      </c>
      <c r="U40">
        <f>IF((AND(VLOOKUP(U$1,main!$A$3:$H$102,5,FALSE)-VLOOKUP($A40,main!$A$3:$H$102,6,FALSE)&gt;=(VLOOKUP(VLOOKUP(U$1,main!$A$3:$H$102,8,FALSE),main!$K$26:$M$29,2,FALSE)+VLOOKUP(VLOOKUP(U$1,main!$A$3:$H$102,7,FALSE),main!$K$19:$O$22,MATCH(VLOOKUP($A40,main!$A$3:$H$102,8,FALSE),main!$K$18:$O$18,0))))),1,0)</f>
        <v>0</v>
      </c>
      <c r="V40">
        <f>IF((AND(VLOOKUP(V$1,main!$A$3:$H$102,5,FALSE)-VLOOKUP($A40,main!$A$3:$H$102,6,FALSE)&gt;=(VLOOKUP(VLOOKUP(V$1,main!$A$3:$H$102,8,FALSE),main!$K$26:$M$29,2,FALSE)+VLOOKUP(VLOOKUP(V$1,main!$A$3:$H$102,7,FALSE),main!$K$19:$O$22,MATCH(VLOOKUP($A40,main!$A$3:$H$102,8,FALSE),main!$K$18:$O$18,0))))),1,0)</f>
        <v>0</v>
      </c>
      <c r="W40">
        <f>IF((AND(VLOOKUP(W$1,main!$A$3:$H$102,5,FALSE)-VLOOKUP($A40,main!$A$3:$H$102,6,FALSE)&gt;=(VLOOKUP(VLOOKUP(W$1,main!$A$3:$H$102,8,FALSE),main!$K$26:$M$29,2,FALSE)+VLOOKUP(VLOOKUP(W$1,main!$A$3:$H$102,7,FALSE),main!$K$19:$O$22,MATCH(VLOOKUP($A40,main!$A$3:$H$102,8,FALSE),main!$K$18:$O$18,0))))),1,0)</f>
        <v>0</v>
      </c>
      <c r="X40">
        <f>IF((AND(VLOOKUP(X$1,main!$A$3:$H$102,5,FALSE)-VLOOKUP($A40,main!$A$3:$H$102,6,FALSE)&gt;=(VLOOKUP(VLOOKUP(X$1,main!$A$3:$H$102,8,FALSE),main!$K$26:$M$29,2,FALSE)+VLOOKUP(VLOOKUP(X$1,main!$A$3:$H$102,7,FALSE),main!$K$19:$O$22,MATCH(VLOOKUP($A40,main!$A$3:$H$102,8,FALSE),main!$K$18:$O$18,0))))),1,0)</f>
        <v>0</v>
      </c>
      <c r="Y40">
        <f>IF((AND(VLOOKUP(Y$1,main!$A$3:$H$102,5,FALSE)-VLOOKUP($A40,main!$A$3:$H$102,6,FALSE)&gt;=(VLOOKUP(VLOOKUP(Y$1,main!$A$3:$H$102,8,FALSE),main!$K$26:$M$29,2,FALSE)+VLOOKUP(VLOOKUP(Y$1,main!$A$3:$H$102,7,FALSE),main!$K$19:$O$22,MATCH(VLOOKUP($A40,main!$A$3:$H$102,8,FALSE),main!$K$18:$O$18,0))))),1,0)</f>
        <v>0</v>
      </c>
      <c r="Z40">
        <f>IF((AND(VLOOKUP(Z$1,main!$A$3:$H$102,5,FALSE)-VLOOKUP($A40,main!$A$3:$H$102,6,FALSE)&gt;=(VLOOKUP(VLOOKUP(Z$1,main!$A$3:$H$102,8,FALSE),main!$K$26:$M$29,2,FALSE)+VLOOKUP(VLOOKUP(Z$1,main!$A$3:$H$102,7,FALSE),main!$K$19:$O$22,MATCH(VLOOKUP($A40,main!$A$3:$H$102,8,FALSE),main!$K$18:$O$18,0))))),1,0)</f>
        <v>0</v>
      </c>
      <c r="AA40">
        <f>IF((AND(VLOOKUP(AA$1,main!$A$3:$H$102,5,FALSE)-VLOOKUP($A40,main!$A$3:$H$102,6,FALSE)&gt;=(VLOOKUP(VLOOKUP(AA$1,main!$A$3:$H$102,8,FALSE),main!$K$26:$M$29,2,FALSE)+VLOOKUP(VLOOKUP(AA$1,main!$A$3:$H$102,7,FALSE),main!$K$19:$O$22,MATCH(VLOOKUP($A40,main!$A$3:$H$102,8,FALSE),main!$K$18:$O$18,0))))),1,0)</f>
        <v>0</v>
      </c>
      <c r="AB40">
        <f>IF((AND(VLOOKUP(AB$1,main!$A$3:$H$102,5,FALSE)-VLOOKUP($A40,main!$A$3:$H$102,6,FALSE)&gt;=(VLOOKUP(VLOOKUP(AB$1,main!$A$3:$H$102,8,FALSE),main!$K$26:$M$29,2,FALSE)+VLOOKUP(VLOOKUP(AB$1,main!$A$3:$H$102,7,FALSE),main!$K$19:$O$22,MATCH(VLOOKUP($A40,main!$A$3:$H$102,8,FALSE),main!$K$18:$O$18,0))))),1,0)</f>
        <v>0</v>
      </c>
      <c r="AC40">
        <f>IF((AND(VLOOKUP(AC$1,main!$A$3:$H$102,5,FALSE)-VLOOKUP($A40,main!$A$3:$H$102,6,FALSE)&gt;=(VLOOKUP(VLOOKUP(AC$1,main!$A$3:$H$102,8,FALSE),main!$K$26:$M$29,2,FALSE)+VLOOKUP(VLOOKUP(AC$1,main!$A$3:$H$102,7,FALSE),main!$K$19:$O$22,MATCH(VLOOKUP($A40,main!$A$3:$H$102,8,FALSE),main!$K$18:$O$18,0))))),1,0)</f>
        <v>0</v>
      </c>
      <c r="AD40">
        <f>IF((AND(VLOOKUP(AD$1,main!$A$3:$H$102,5,FALSE)-VLOOKUP($A40,main!$A$3:$H$102,6,FALSE)&gt;=(VLOOKUP(VLOOKUP(AD$1,main!$A$3:$H$102,8,FALSE),main!$K$26:$M$29,2,FALSE)+VLOOKUP(VLOOKUP(AD$1,main!$A$3:$H$102,7,FALSE),main!$K$19:$O$22,MATCH(VLOOKUP($A40,main!$A$3:$H$102,8,FALSE),main!$K$18:$O$18,0))))),1,0)</f>
        <v>0</v>
      </c>
      <c r="AE40">
        <f>IF((AND(VLOOKUP(AE$1,main!$A$3:$H$102,5,FALSE)-VLOOKUP($A40,main!$A$3:$H$102,6,FALSE)&gt;=(VLOOKUP(VLOOKUP(AE$1,main!$A$3:$H$102,8,FALSE),main!$K$26:$M$29,2,FALSE)+VLOOKUP(VLOOKUP(AE$1,main!$A$3:$H$102,7,FALSE),main!$K$19:$O$22,MATCH(VLOOKUP($A40,main!$A$3:$H$102,8,FALSE),main!$K$18:$O$18,0))))),1,0)</f>
        <v>0</v>
      </c>
      <c r="AF40">
        <f>IF((AND(VLOOKUP(AF$1,main!$A$3:$H$102,5,FALSE)-VLOOKUP($A40,main!$A$3:$H$102,6,FALSE)&gt;=(VLOOKUP(VLOOKUP(AF$1,main!$A$3:$H$102,8,FALSE),main!$K$26:$M$29,2,FALSE)+VLOOKUP(VLOOKUP(AF$1,main!$A$3:$H$102,7,FALSE),main!$K$19:$O$22,MATCH(VLOOKUP($A40,main!$A$3:$H$102,8,FALSE),main!$K$18:$O$18,0))))),1,0)</f>
        <v>0</v>
      </c>
      <c r="AG40">
        <f>IF((AND(VLOOKUP(AG$1,main!$A$3:$H$102,5,FALSE)-VLOOKUP($A40,main!$A$3:$H$102,6,FALSE)&gt;=(VLOOKUP(VLOOKUP(AG$1,main!$A$3:$H$102,8,FALSE),main!$K$26:$M$29,2,FALSE)+VLOOKUP(VLOOKUP(AG$1,main!$A$3:$H$102,7,FALSE),main!$K$19:$O$22,MATCH(VLOOKUP($A40,main!$A$3:$H$102,8,FALSE),main!$K$18:$O$18,0))))),1,0)</f>
        <v>0</v>
      </c>
      <c r="AH40">
        <f>IF((AND(VLOOKUP(AH$1,main!$A$3:$H$102,5,FALSE)-VLOOKUP($A40,main!$A$3:$H$102,6,FALSE)&gt;=(VLOOKUP(VLOOKUP(AH$1,main!$A$3:$H$102,8,FALSE),main!$K$26:$M$29,2,FALSE)+VLOOKUP(VLOOKUP(AH$1,main!$A$3:$H$102,7,FALSE),main!$K$19:$O$22,MATCH(VLOOKUP($A40,main!$A$3:$H$102,8,FALSE),main!$K$18:$O$18,0))))),1,0)</f>
        <v>0</v>
      </c>
      <c r="AI40">
        <f>IF((AND(VLOOKUP(AI$1,main!$A$3:$H$102,5,FALSE)-VLOOKUP($A40,main!$A$3:$H$102,6,FALSE)&gt;=(VLOOKUP(VLOOKUP(AI$1,main!$A$3:$H$102,8,FALSE),main!$K$26:$M$29,2,FALSE)+VLOOKUP(VLOOKUP(AI$1,main!$A$3:$H$102,7,FALSE),main!$K$19:$O$22,MATCH(VLOOKUP($A40,main!$A$3:$H$102,8,FALSE),main!$K$18:$O$18,0))))),1,0)</f>
        <v>0</v>
      </c>
      <c r="AJ40">
        <f>IF((AND(VLOOKUP(AJ$1,main!$A$3:$H$102,5,FALSE)-VLOOKUP($A40,main!$A$3:$H$102,6,FALSE)&gt;=(VLOOKUP(VLOOKUP(AJ$1,main!$A$3:$H$102,8,FALSE),main!$K$26:$M$29,2,FALSE)+VLOOKUP(VLOOKUP(AJ$1,main!$A$3:$H$102,7,FALSE),main!$K$19:$O$22,MATCH(VLOOKUP($A40,main!$A$3:$H$102,8,FALSE),main!$K$18:$O$18,0))))),1,0)</f>
        <v>0</v>
      </c>
      <c r="AK40">
        <f>IF((AND(VLOOKUP(AK$1,main!$A$3:$H$102,5,FALSE)-VLOOKUP($A40,main!$A$3:$H$102,6,FALSE)&gt;=(VLOOKUP(VLOOKUP(AK$1,main!$A$3:$H$102,8,FALSE),main!$K$26:$M$29,2,FALSE)+VLOOKUP(VLOOKUP(AK$1,main!$A$3:$H$102,7,FALSE),main!$K$19:$O$22,MATCH(VLOOKUP($A40,main!$A$3:$H$102,8,FALSE),main!$K$18:$O$18,0))))),1,0)</f>
        <v>0</v>
      </c>
      <c r="AL40">
        <f>IF((AND(VLOOKUP(AL$1,main!$A$3:$H$102,5,FALSE)-VLOOKUP($A40,main!$A$3:$H$102,6,FALSE)&gt;=(VLOOKUP(VLOOKUP(AL$1,main!$A$3:$H$102,8,FALSE),main!$K$26:$M$29,2,FALSE)+VLOOKUP(VLOOKUP(AL$1,main!$A$3:$H$102,7,FALSE),main!$K$19:$O$22,MATCH(VLOOKUP($A40,main!$A$3:$H$102,8,FALSE),main!$K$18:$O$18,0))))),1,0)</f>
        <v>0</v>
      </c>
      <c r="AM40">
        <f>IF((AND(VLOOKUP(AM$1,main!$A$3:$H$102,5,FALSE)-VLOOKUP($A40,main!$A$3:$H$102,6,FALSE)&gt;=(VLOOKUP(VLOOKUP(AM$1,main!$A$3:$H$102,8,FALSE),main!$K$26:$M$29,2,FALSE)+VLOOKUP(VLOOKUP(AM$1,main!$A$3:$H$102,7,FALSE),main!$K$19:$O$22,MATCH(VLOOKUP($A40,main!$A$3:$H$102,8,FALSE),main!$K$18:$O$18,0))))),1,0)</f>
        <v>0</v>
      </c>
      <c r="AN40">
        <f>IF((AND(VLOOKUP(AN$1,main!$A$3:$H$102,5,FALSE)-VLOOKUP($A40,main!$A$3:$H$102,6,FALSE)&gt;=(VLOOKUP(VLOOKUP(AN$1,main!$A$3:$H$102,8,FALSE),main!$K$26:$M$29,2,FALSE)+VLOOKUP(VLOOKUP(AN$1,main!$A$3:$H$102,7,FALSE),main!$K$19:$O$22,MATCH(VLOOKUP($A40,main!$A$3:$H$102,8,FALSE),main!$K$18:$O$18,0))))),1,0)</f>
        <v>0</v>
      </c>
      <c r="AO40">
        <f>IF((AND(VLOOKUP(AO$1,main!$A$3:$H$102,5,FALSE)-VLOOKUP($A40,main!$A$3:$H$102,6,FALSE)&gt;=(VLOOKUP(VLOOKUP(AO$1,main!$A$3:$H$102,8,FALSE),main!$K$26:$M$29,2,FALSE)+VLOOKUP(VLOOKUP(AO$1,main!$A$3:$H$102,7,FALSE),main!$K$19:$O$22,MATCH(VLOOKUP($A40,main!$A$3:$H$102,8,FALSE),main!$K$18:$O$18,0))))),1,0)</f>
        <v>0</v>
      </c>
      <c r="AP40">
        <f>IF((AND(VLOOKUP(AP$1,main!$A$3:$H$102,5,FALSE)-VLOOKUP($A40,main!$A$3:$H$102,6,FALSE)&gt;=(VLOOKUP(VLOOKUP(AP$1,main!$A$3:$H$102,8,FALSE),main!$K$26:$M$29,2,FALSE)+VLOOKUP(VLOOKUP(AP$1,main!$A$3:$H$102,7,FALSE),main!$K$19:$O$22,MATCH(VLOOKUP($A40,main!$A$3:$H$102,8,FALSE),main!$K$18:$O$18,0))))),1,0)</f>
        <v>0</v>
      </c>
      <c r="AQ40">
        <f>IF((AND(VLOOKUP(AQ$1,main!$A$3:$H$102,5,FALSE)-VLOOKUP($A40,main!$A$3:$H$102,6,FALSE)&gt;=(VLOOKUP(VLOOKUP(AQ$1,main!$A$3:$H$102,8,FALSE),main!$K$26:$M$29,2,FALSE)+VLOOKUP(VLOOKUP(AQ$1,main!$A$3:$H$102,7,FALSE),main!$K$19:$O$22,MATCH(VLOOKUP($A40,main!$A$3:$H$102,8,FALSE),main!$K$18:$O$18,0))))),1,0)</f>
        <v>0</v>
      </c>
      <c r="AR40">
        <f>IF((AND(VLOOKUP(AR$1,main!$A$3:$H$102,5,FALSE)-VLOOKUP($A40,main!$A$3:$H$102,6,FALSE)&gt;=(VLOOKUP(VLOOKUP(AR$1,main!$A$3:$H$102,8,FALSE),main!$K$26:$M$29,2,FALSE)+VLOOKUP(VLOOKUP(AR$1,main!$A$3:$H$102,7,FALSE),main!$K$19:$O$22,MATCH(VLOOKUP($A40,main!$A$3:$H$102,8,FALSE),main!$K$18:$O$18,0))))),1,0)</f>
        <v>0</v>
      </c>
      <c r="AS40">
        <f>IF((AND(VLOOKUP(AS$1,main!$A$3:$H$102,5,FALSE)-VLOOKUP($A40,main!$A$3:$H$102,6,FALSE)&gt;=(VLOOKUP(VLOOKUP(AS$1,main!$A$3:$H$102,8,FALSE),main!$K$26:$M$29,2,FALSE)+VLOOKUP(VLOOKUP(AS$1,main!$A$3:$H$102,7,FALSE),main!$K$19:$O$22,MATCH(VLOOKUP($A40,main!$A$3:$H$102,8,FALSE),main!$K$18:$O$18,0))))),1,0)</f>
        <v>0</v>
      </c>
      <c r="AT40">
        <f>IF((AND(VLOOKUP(AT$1,main!$A$3:$H$102,5,FALSE)-VLOOKUP($A40,main!$A$3:$H$102,6,FALSE)&gt;=(VLOOKUP(VLOOKUP(AT$1,main!$A$3:$H$102,8,FALSE),main!$K$26:$M$29,2,FALSE)+VLOOKUP(VLOOKUP(AT$1,main!$A$3:$H$102,7,FALSE),main!$K$19:$O$22,MATCH(VLOOKUP($A40,main!$A$3:$H$102,8,FALSE),main!$K$18:$O$18,0))))),1,0)</f>
        <v>0</v>
      </c>
      <c r="AU40">
        <f>IF((AND(VLOOKUP(AU$1,main!$A$3:$H$102,5,FALSE)-VLOOKUP($A40,main!$A$3:$H$102,6,FALSE)&gt;=(VLOOKUP(VLOOKUP(AU$1,main!$A$3:$H$102,8,FALSE),main!$K$26:$M$29,2,FALSE)+VLOOKUP(VLOOKUP(AU$1,main!$A$3:$H$102,7,FALSE),main!$K$19:$O$22,MATCH(VLOOKUP($A40,main!$A$3:$H$102,8,FALSE),main!$K$18:$O$18,0))))),1,0)</f>
        <v>0</v>
      </c>
      <c r="AV40">
        <f>IF((AND(VLOOKUP(AV$1,main!$A$3:$H$102,5,FALSE)-VLOOKUP($A40,main!$A$3:$H$102,6,FALSE)&gt;=(VLOOKUP(VLOOKUP(AV$1,main!$A$3:$H$102,8,FALSE),main!$K$26:$M$29,2,FALSE)+VLOOKUP(VLOOKUP(AV$1,main!$A$3:$H$102,7,FALSE),main!$K$19:$O$22,MATCH(VLOOKUP($A40,main!$A$3:$H$102,8,FALSE),main!$K$18:$O$18,0))))),1,0)</f>
        <v>0</v>
      </c>
      <c r="AW40">
        <f>IF((AND(VLOOKUP(AW$1,main!$A$3:$H$102,5,FALSE)-VLOOKUP($A40,main!$A$3:$H$102,6,FALSE)&gt;=(VLOOKUP(VLOOKUP(AW$1,main!$A$3:$H$102,8,FALSE),main!$K$26:$M$29,2,FALSE)+VLOOKUP(VLOOKUP(AW$1,main!$A$3:$H$102,7,FALSE),main!$K$19:$O$22,MATCH(VLOOKUP($A40,main!$A$3:$H$102,8,FALSE),main!$K$18:$O$18,0))))),1,0)</f>
        <v>0</v>
      </c>
      <c r="AX40">
        <f>IF((AND(VLOOKUP(AX$1,main!$A$3:$H$102,5,FALSE)-VLOOKUP($A40,main!$A$3:$H$102,6,FALSE)&gt;=(VLOOKUP(VLOOKUP(AX$1,main!$A$3:$H$102,8,FALSE),main!$K$26:$M$29,2,FALSE)+VLOOKUP(VLOOKUP(AX$1,main!$A$3:$H$102,7,FALSE),main!$K$19:$O$22,MATCH(VLOOKUP($A40,main!$A$3:$H$102,8,FALSE),main!$K$18:$O$18,0))))),1,0)</f>
        <v>0</v>
      </c>
      <c r="AY40">
        <f>IF((AND(VLOOKUP(AY$1,main!$A$3:$H$102,5,FALSE)-VLOOKUP($A40,main!$A$3:$H$102,6,FALSE)&gt;=(VLOOKUP(VLOOKUP(AY$1,main!$A$3:$H$102,8,FALSE),main!$K$26:$M$29,2,FALSE)+VLOOKUP(VLOOKUP(AY$1,main!$A$3:$H$102,7,FALSE),main!$K$19:$O$22,MATCH(VLOOKUP($A40,main!$A$3:$H$102,8,FALSE),main!$K$18:$O$18,0))))),1,0)</f>
        <v>0</v>
      </c>
      <c r="AZ40">
        <f>IF((AND(VLOOKUP(AZ$1,main!$A$3:$H$102,5,FALSE)-VLOOKUP($A40,main!$A$3:$H$102,6,FALSE)&gt;=(VLOOKUP(VLOOKUP(AZ$1,main!$A$3:$H$102,8,FALSE),main!$K$26:$M$29,2,FALSE)+VLOOKUP(VLOOKUP(AZ$1,main!$A$3:$H$102,7,FALSE),main!$K$19:$O$22,MATCH(VLOOKUP($A40,main!$A$3:$H$102,8,FALSE),main!$K$18:$O$18,0))))),1,0)</f>
        <v>0</v>
      </c>
      <c r="BA40">
        <f>IF((AND(VLOOKUP(BA$1,main!$A$3:$H$102,5,FALSE)-VLOOKUP($A40,main!$A$3:$H$102,6,FALSE)&gt;=(VLOOKUP(VLOOKUP(BA$1,main!$A$3:$H$102,8,FALSE),main!$K$26:$M$29,2,FALSE)+VLOOKUP(VLOOKUP(BA$1,main!$A$3:$H$102,7,FALSE),main!$K$19:$O$22,MATCH(VLOOKUP($A40,main!$A$3:$H$102,8,FALSE),main!$K$18:$O$18,0))))),1,0)</f>
        <v>0</v>
      </c>
      <c r="BB40">
        <f>IF((AND(VLOOKUP(BB$1,main!$A$3:$H$102,5,FALSE)-VLOOKUP($A40,main!$A$3:$H$102,6,FALSE)&gt;=(VLOOKUP(VLOOKUP(BB$1,main!$A$3:$H$102,8,FALSE),main!$K$26:$M$29,2,FALSE)+VLOOKUP(VLOOKUP(BB$1,main!$A$3:$H$102,7,FALSE),main!$K$19:$O$22,MATCH(VLOOKUP($A40,main!$A$3:$H$102,8,FALSE),main!$K$18:$O$18,0))))),1,0)</f>
        <v>0</v>
      </c>
      <c r="BC40">
        <f>IF((AND(VLOOKUP(BC$1,main!$A$3:$H$102,5,FALSE)-VLOOKUP($A40,main!$A$3:$H$102,6,FALSE)&gt;=(VLOOKUP(VLOOKUP(BC$1,main!$A$3:$H$102,8,FALSE),main!$K$26:$M$29,2,FALSE)+VLOOKUP(VLOOKUP(BC$1,main!$A$3:$H$102,7,FALSE),main!$K$19:$O$22,MATCH(VLOOKUP($A40,main!$A$3:$H$102,8,FALSE),main!$K$18:$O$18,0))))),1,0)</f>
        <v>0</v>
      </c>
      <c r="BD40">
        <f>IF((AND(VLOOKUP(BD$1,main!$A$3:$H$102,5,FALSE)-VLOOKUP($A40,main!$A$3:$H$102,6,FALSE)&gt;=(VLOOKUP(VLOOKUP(BD$1,main!$A$3:$H$102,8,FALSE),main!$K$26:$M$29,2,FALSE)+VLOOKUP(VLOOKUP(BD$1,main!$A$3:$H$102,7,FALSE),main!$K$19:$O$22,MATCH(VLOOKUP($A40,main!$A$3:$H$102,8,FALSE),main!$K$18:$O$18,0))))),1,0)</f>
        <v>0</v>
      </c>
      <c r="BE40">
        <f>IF((AND(VLOOKUP(BE$1,main!$A$3:$H$102,5,FALSE)-VLOOKUP($A40,main!$A$3:$H$102,6,FALSE)&gt;=(VLOOKUP(VLOOKUP(BE$1,main!$A$3:$H$102,8,FALSE),main!$K$26:$M$29,2,FALSE)+VLOOKUP(VLOOKUP(BE$1,main!$A$3:$H$102,7,FALSE),main!$K$19:$O$22,MATCH(VLOOKUP($A40,main!$A$3:$H$102,8,FALSE),main!$K$18:$O$18,0))))),1,0)</f>
        <v>0</v>
      </c>
      <c r="BF40">
        <f>IF((AND(VLOOKUP(BF$1,main!$A$3:$H$102,5,FALSE)-VLOOKUP($A40,main!$A$3:$H$102,6,FALSE)&gt;=(VLOOKUP(VLOOKUP(BF$1,main!$A$3:$H$102,8,FALSE),main!$K$26:$M$29,2,FALSE)+VLOOKUP(VLOOKUP(BF$1,main!$A$3:$H$102,7,FALSE),main!$K$19:$O$22,MATCH(VLOOKUP($A40,main!$A$3:$H$102,8,FALSE),main!$K$18:$O$18,0))))),1,0)</f>
        <v>0</v>
      </c>
      <c r="BG40">
        <f>IF((AND(VLOOKUP(BG$1,main!$A$3:$H$102,5,FALSE)-VLOOKUP($A40,main!$A$3:$H$102,6,FALSE)&gt;=(VLOOKUP(VLOOKUP(BG$1,main!$A$3:$H$102,8,FALSE),main!$K$26:$M$29,2,FALSE)+VLOOKUP(VLOOKUP(BG$1,main!$A$3:$H$102,7,FALSE),main!$K$19:$O$22,MATCH(VLOOKUP($A40,main!$A$3:$H$102,8,FALSE),main!$K$18:$O$18,0))))),1,0)</f>
        <v>0</v>
      </c>
      <c r="BH40">
        <f>IF((AND(VLOOKUP(BH$1,main!$A$3:$H$102,5,FALSE)-VLOOKUP($A40,main!$A$3:$H$102,6,FALSE)&gt;=(VLOOKUP(VLOOKUP(BH$1,main!$A$3:$H$102,8,FALSE),main!$K$26:$M$29,2,FALSE)+VLOOKUP(VLOOKUP(BH$1,main!$A$3:$H$102,7,FALSE),main!$K$19:$O$22,MATCH(VLOOKUP($A40,main!$A$3:$H$102,8,FALSE),main!$K$18:$O$18,0))))),1,0)</f>
        <v>0</v>
      </c>
      <c r="BI40">
        <f>IF((AND(VLOOKUP(BI$1,main!$A$3:$H$102,5,FALSE)-VLOOKUP($A40,main!$A$3:$H$102,6,FALSE)&gt;=(VLOOKUP(VLOOKUP(BI$1,main!$A$3:$H$102,8,FALSE),main!$K$26:$M$29,2,FALSE)+VLOOKUP(VLOOKUP(BI$1,main!$A$3:$H$102,7,FALSE),main!$K$19:$O$22,MATCH(VLOOKUP($A40,main!$A$3:$H$102,8,FALSE),main!$K$18:$O$18,0))))),1,0)</f>
        <v>0</v>
      </c>
      <c r="BJ40">
        <f>IF((AND(VLOOKUP(BJ$1,main!$A$3:$H$102,5,FALSE)-VLOOKUP($A40,main!$A$3:$H$102,6,FALSE)&gt;=(VLOOKUP(VLOOKUP(BJ$1,main!$A$3:$H$102,8,FALSE),main!$K$26:$M$29,2,FALSE)+VLOOKUP(VLOOKUP(BJ$1,main!$A$3:$H$102,7,FALSE),main!$K$19:$O$22,MATCH(VLOOKUP($A40,main!$A$3:$H$102,8,FALSE),main!$K$18:$O$18,0))))),1,0)</f>
        <v>0</v>
      </c>
      <c r="BK40">
        <f>IF((AND(VLOOKUP(BK$1,main!$A$3:$H$102,5,FALSE)-VLOOKUP($A40,main!$A$3:$H$102,6,FALSE)&gt;=(VLOOKUP(VLOOKUP(BK$1,main!$A$3:$H$102,8,FALSE),main!$K$26:$M$29,2,FALSE)+VLOOKUP(VLOOKUP(BK$1,main!$A$3:$H$102,7,FALSE),main!$K$19:$O$22,MATCH(VLOOKUP($A40,main!$A$3:$H$102,8,FALSE),main!$K$18:$O$18,0))))),1,0)</f>
        <v>0</v>
      </c>
      <c r="BL40">
        <f>IF((AND(VLOOKUP(BL$1,main!$A$3:$H$102,5,FALSE)-VLOOKUP($A40,main!$A$3:$H$102,6,FALSE)&gt;=(VLOOKUP(VLOOKUP(BL$1,main!$A$3:$H$102,8,FALSE),main!$K$26:$M$29,2,FALSE)+VLOOKUP(VLOOKUP(BL$1,main!$A$3:$H$102,7,FALSE),main!$K$19:$O$22,MATCH(VLOOKUP($A40,main!$A$3:$H$102,8,FALSE),main!$K$18:$O$18,0))))),1,0)</f>
        <v>0</v>
      </c>
      <c r="BM40">
        <f>IF((AND(VLOOKUP(BM$1,main!$A$3:$H$102,5,FALSE)-VLOOKUP($A40,main!$A$3:$H$102,6,FALSE)&gt;=(VLOOKUP(VLOOKUP(BM$1,main!$A$3:$H$102,8,FALSE),main!$K$26:$M$29,2,FALSE)+VLOOKUP(VLOOKUP(BM$1,main!$A$3:$H$102,7,FALSE),main!$K$19:$O$22,MATCH(VLOOKUP($A40,main!$A$3:$H$102,8,FALSE),main!$K$18:$O$18,0))))),1,0)</f>
        <v>0</v>
      </c>
      <c r="BN40">
        <f>IF((AND(VLOOKUP(BN$1,main!$A$3:$H$102,5,FALSE)-VLOOKUP($A40,main!$A$3:$H$102,6,FALSE)&gt;=(VLOOKUP(VLOOKUP(BN$1,main!$A$3:$H$102,8,FALSE),main!$K$26:$M$29,2,FALSE)+VLOOKUP(VLOOKUP(BN$1,main!$A$3:$H$102,7,FALSE),main!$K$19:$O$22,MATCH(VLOOKUP($A40,main!$A$3:$H$102,8,FALSE),main!$K$18:$O$18,0))))),1,0)</f>
        <v>0</v>
      </c>
      <c r="BO40">
        <f>IF((AND(VLOOKUP(BO$1,main!$A$3:$H$102,5,FALSE)-VLOOKUP($A40,main!$A$3:$H$102,6,FALSE)&gt;=(VLOOKUP(VLOOKUP(BO$1,main!$A$3:$H$102,8,FALSE),main!$K$26:$M$29,2,FALSE)+VLOOKUP(VLOOKUP(BO$1,main!$A$3:$H$102,7,FALSE),main!$K$19:$O$22,MATCH(VLOOKUP($A40,main!$A$3:$H$102,8,FALSE),main!$K$18:$O$18,0))))),1,0)</f>
        <v>0</v>
      </c>
      <c r="BP40">
        <f>IF((AND(VLOOKUP(BP$1,main!$A$3:$H$102,5,FALSE)-VLOOKUP($A40,main!$A$3:$H$102,6,FALSE)&gt;=(VLOOKUP(VLOOKUP(BP$1,main!$A$3:$H$102,8,FALSE),main!$K$26:$M$29,2,FALSE)+VLOOKUP(VLOOKUP(BP$1,main!$A$3:$H$102,7,FALSE),main!$K$19:$O$22,MATCH(VLOOKUP($A40,main!$A$3:$H$102,8,FALSE),main!$K$18:$O$18,0))))),1,0)</f>
        <v>0</v>
      </c>
      <c r="BQ40">
        <f>IF((AND(VLOOKUP(BQ$1,main!$A$3:$H$102,5,FALSE)-VLOOKUP($A40,main!$A$3:$H$102,6,FALSE)&gt;=(VLOOKUP(VLOOKUP(BQ$1,main!$A$3:$H$102,8,FALSE),main!$K$26:$M$29,2,FALSE)+VLOOKUP(VLOOKUP(BQ$1,main!$A$3:$H$102,7,FALSE),main!$K$19:$O$22,MATCH(VLOOKUP($A40,main!$A$3:$H$102,8,FALSE),main!$K$18:$O$18,0))))),1,0)</f>
        <v>0</v>
      </c>
      <c r="BR40">
        <f>IF((AND(VLOOKUP(BR$1,main!$A$3:$H$102,5,FALSE)-VLOOKUP($A40,main!$A$3:$H$102,6,FALSE)&gt;=(VLOOKUP(VLOOKUP(BR$1,main!$A$3:$H$102,8,FALSE),main!$K$26:$M$29,2,FALSE)+VLOOKUP(VLOOKUP(BR$1,main!$A$3:$H$102,7,FALSE),main!$K$19:$O$22,MATCH(VLOOKUP($A40,main!$A$3:$H$102,8,FALSE),main!$K$18:$O$18,0))))),1,0)</f>
        <v>0</v>
      </c>
      <c r="BS40">
        <f>IF((AND(VLOOKUP(BS$1,main!$A$3:$H$102,5,FALSE)-VLOOKUP($A40,main!$A$3:$H$102,6,FALSE)&gt;=(VLOOKUP(VLOOKUP(BS$1,main!$A$3:$H$102,8,FALSE),main!$K$26:$M$29,2,FALSE)+VLOOKUP(VLOOKUP(BS$1,main!$A$3:$H$102,7,FALSE),main!$K$19:$O$22,MATCH(VLOOKUP($A40,main!$A$3:$H$102,8,FALSE),main!$K$18:$O$18,0))))),1,0)</f>
        <v>0</v>
      </c>
      <c r="BT40">
        <f>IF((AND(VLOOKUP(BT$1,main!$A$3:$H$102,5,FALSE)-VLOOKUP($A40,main!$A$3:$H$102,6,FALSE)&gt;=(VLOOKUP(VLOOKUP(BT$1,main!$A$3:$H$102,8,FALSE),main!$K$26:$M$29,2,FALSE)+VLOOKUP(VLOOKUP(BT$1,main!$A$3:$H$102,7,FALSE),main!$K$19:$O$22,MATCH(VLOOKUP($A40,main!$A$3:$H$102,8,FALSE),main!$K$18:$O$18,0))))),1,0)</f>
        <v>0</v>
      </c>
      <c r="BU40">
        <f>IF((AND(VLOOKUP(BU$1,main!$A$3:$H$102,5,FALSE)-VLOOKUP($A40,main!$A$3:$H$102,6,FALSE)&gt;=(VLOOKUP(VLOOKUP(BU$1,main!$A$3:$H$102,8,FALSE),main!$K$26:$M$29,2,FALSE)+VLOOKUP(VLOOKUP(BU$1,main!$A$3:$H$102,7,FALSE),main!$K$19:$O$22,MATCH(VLOOKUP($A40,main!$A$3:$H$102,8,FALSE),main!$K$18:$O$18,0))))),1,0)</f>
        <v>0</v>
      </c>
      <c r="BV40">
        <f>IF((AND(VLOOKUP(BV$1,main!$A$3:$H$102,5,FALSE)-VLOOKUP($A40,main!$A$3:$H$102,6,FALSE)&gt;=(VLOOKUP(VLOOKUP(BV$1,main!$A$3:$H$102,8,FALSE),main!$K$26:$M$29,2,FALSE)+VLOOKUP(VLOOKUP(BV$1,main!$A$3:$H$102,7,FALSE),main!$K$19:$O$22,MATCH(VLOOKUP($A40,main!$A$3:$H$102,8,FALSE),main!$K$18:$O$18,0))))),1,0)</f>
        <v>0</v>
      </c>
      <c r="BW40">
        <f>IF((AND(VLOOKUP(BW$1,main!$A$3:$H$102,5,FALSE)-VLOOKUP($A40,main!$A$3:$H$102,6,FALSE)&gt;=(VLOOKUP(VLOOKUP(BW$1,main!$A$3:$H$102,8,FALSE),main!$K$26:$M$29,2,FALSE)+VLOOKUP(VLOOKUP(BW$1,main!$A$3:$H$102,7,FALSE),main!$K$19:$O$22,MATCH(VLOOKUP($A40,main!$A$3:$H$102,8,FALSE),main!$K$18:$O$18,0))))),1,0)</f>
        <v>0</v>
      </c>
      <c r="BX40">
        <f>IF((AND(VLOOKUP(BX$1,main!$A$3:$H$102,5,FALSE)-VLOOKUP($A40,main!$A$3:$H$102,6,FALSE)&gt;=(VLOOKUP(VLOOKUP(BX$1,main!$A$3:$H$102,8,FALSE),main!$K$26:$M$29,2,FALSE)+VLOOKUP(VLOOKUP(BX$1,main!$A$3:$H$102,7,FALSE),main!$K$19:$O$22,MATCH(VLOOKUP($A40,main!$A$3:$H$102,8,FALSE),main!$K$18:$O$18,0))))),1,0)</f>
        <v>0</v>
      </c>
      <c r="BY40">
        <f>IF((AND(VLOOKUP(BY$1,main!$A$3:$H$102,5,FALSE)-VLOOKUP($A40,main!$A$3:$H$102,6,FALSE)&gt;=(VLOOKUP(VLOOKUP(BY$1,main!$A$3:$H$102,8,FALSE),main!$K$26:$M$29,2,FALSE)+VLOOKUP(VLOOKUP(BY$1,main!$A$3:$H$102,7,FALSE),main!$K$19:$O$22,MATCH(VLOOKUP($A40,main!$A$3:$H$102,8,FALSE),main!$K$18:$O$18,0))))),1,0)</f>
        <v>0</v>
      </c>
      <c r="BZ40">
        <f>IF((AND(VLOOKUP(BZ$1,main!$A$3:$H$102,5,FALSE)-VLOOKUP($A40,main!$A$3:$H$102,6,FALSE)&gt;=(VLOOKUP(VLOOKUP(BZ$1,main!$A$3:$H$102,8,FALSE),main!$K$26:$M$29,2,FALSE)+VLOOKUP(VLOOKUP(BZ$1,main!$A$3:$H$102,7,FALSE),main!$K$19:$O$22,MATCH(VLOOKUP($A40,main!$A$3:$H$102,8,FALSE),main!$K$18:$O$18,0))))),1,0)</f>
        <v>0</v>
      </c>
      <c r="CA40">
        <f>IF((AND(VLOOKUP(CA$1,main!$A$3:$H$102,5,FALSE)-VLOOKUP($A40,main!$A$3:$H$102,6,FALSE)&gt;=(VLOOKUP(VLOOKUP(CA$1,main!$A$3:$H$102,8,FALSE),main!$K$26:$M$29,2,FALSE)+VLOOKUP(VLOOKUP(CA$1,main!$A$3:$H$102,7,FALSE),main!$K$19:$O$22,MATCH(VLOOKUP($A40,main!$A$3:$H$102,8,FALSE),main!$K$18:$O$18,0))))),1,0)</f>
        <v>0</v>
      </c>
      <c r="CB40">
        <f>IF((AND(VLOOKUP(CB$1,main!$A$3:$H$102,5,FALSE)-VLOOKUP($A40,main!$A$3:$H$102,6,FALSE)&gt;=(VLOOKUP(VLOOKUP(CB$1,main!$A$3:$H$102,8,FALSE),main!$K$26:$M$29,2,FALSE)+VLOOKUP(VLOOKUP(CB$1,main!$A$3:$H$102,7,FALSE),main!$K$19:$O$22,MATCH(VLOOKUP($A40,main!$A$3:$H$102,8,FALSE),main!$K$18:$O$18,0))))),1,0)</f>
        <v>0</v>
      </c>
      <c r="CC40">
        <f>IF((AND(VLOOKUP(CC$1,main!$A$3:$H$102,5,FALSE)-VLOOKUP($A40,main!$A$3:$H$102,6,FALSE)&gt;=(VLOOKUP(VLOOKUP(CC$1,main!$A$3:$H$102,8,FALSE),main!$K$26:$M$29,2,FALSE)+VLOOKUP(VLOOKUP(CC$1,main!$A$3:$H$102,7,FALSE),main!$K$19:$O$22,MATCH(VLOOKUP($A40,main!$A$3:$H$102,8,FALSE),main!$K$18:$O$18,0))))),1,0)</f>
        <v>0</v>
      </c>
      <c r="CD40">
        <f>IF((AND(VLOOKUP(CD$1,main!$A$3:$H$102,5,FALSE)-VLOOKUP($A40,main!$A$3:$H$102,6,FALSE)&gt;=(VLOOKUP(VLOOKUP(CD$1,main!$A$3:$H$102,8,FALSE),main!$K$26:$M$29,2,FALSE)+VLOOKUP(VLOOKUP(CD$1,main!$A$3:$H$102,7,FALSE),main!$K$19:$O$22,MATCH(VLOOKUP($A40,main!$A$3:$H$102,8,FALSE),main!$K$18:$O$18,0))))),1,0)</f>
        <v>0</v>
      </c>
      <c r="CE40">
        <f>IF((AND(VLOOKUP(CE$1,main!$A$3:$H$102,5,FALSE)-VLOOKUP($A40,main!$A$3:$H$102,6,FALSE)&gt;=(VLOOKUP(VLOOKUP(CE$1,main!$A$3:$H$102,8,FALSE),main!$K$26:$M$29,2,FALSE)+VLOOKUP(VLOOKUP(CE$1,main!$A$3:$H$102,7,FALSE),main!$K$19:$O$22,MATCH(VLOOKUP($A40,main!$A$3:$H$102,8,FALSE),main!$K$18:$O$18,0))))),1,0)</f>
        <v>0</v>
      </c>
      <c r="CF40">
        <f>IF((AND(VLOOKUP(CF$1,main!$A$3:$H$102,5,FALSE)-VLOOKUP($A40,main!$A$3:$H$102,6,FALSE)&gt;=(VLOOKUP(VLOOKUP(CF$1,main!$A$3:$H$102,8,FALSE),main!$K$26:$M$29,2,FALSE)+VLOOKUP(VLOOKUP(CF$1,main!$A$3:$H$102,7,FALSE),main!$K$19:$O$22,MATCH(VLOOKUP($A40,main!$A$3:$H$102,8,FALSE),main!$K$18:$O$18,0))))),1,0)</f>
        <v>0</v>
      </c>
      <c r="CG40">
        <f>IF((AND(VLOOKUP(CG$1,main!$A$3:$H$102,5,FALSE)-VLOOKUP($A40,main!$A$3:$H$102,6,FALSE)&gt;=(VLOOKUP(VLOOKUP(CG$1,main!$A$3:$H$102,8,FALSE),main!$K$26:$M$29,2,FALSE)+VLOOKUP(VLOOKUP(CG$1,main!$A$3:$H$102,7,FALSE),main!$K$19:$O$22,MATCH(VLOOKUP($A40,main!$A$3:$H$102,8,FALSE),main!$K$18:$O$18,0))))),1,0)</f>
        <v>0</v>
      </c>
      <c r="CH40">
        <f>IF((AND(VLOOKUP(CH$1,main!$A$3:$H$102,5,FALSE)-VLOOKUP($A40,main!$A$3:$H$102,6,FALSE)&gt;=(VLOOKUP(VLOOKUP(CH$1,main!$A$3:$H$102,8,FALSE),main!$K$26:$M$29,2,FALSE)+VLOOKUP(VLOOKUP(CH$1,main!$A$3:$H$102,7,FALSE),main!$K$19:$O$22,MATCH(VLOOKUP($A40,main!$A$3:$H$102,8,FALSE),main!$K$18:$O$18,0))))),1,0)</f>
        <v>0</v>
      </c>
      <c r="CI40">
        <f>IF((AND(VLOOKUP(CI$1,main!$A$3:$H$102,5,FALSE)-VLOOKUP($A40,main!$A$3:$H$102,6,FALSE)&gt;=(VLOOKUP(VLOOKUP(CI$1,main!$A$3:$H$102,8,FALSE),main!$K$26:$M$29,2,FALSE)+VLOOKUP(VLOOKUP(CI$1,main!$A$3:$H$102,7,FALSE),main!$K$19:$O$22,MATCH(VLOOKUP($A40,main!$A$3:$H$102,8,FALSE),main!$K$18:$O$18,0))))),1,0)</f>
        <v>0</v>
      </c>
      <c r="CJ40">
        <f>IF((AND(VLOOKUP(CJ$1,main!$A$3:$H$102,5,FALSE)-VLOOKUP($A40,main!$A$3:$H$102,6,FALSE)&gt;=(VLOOKUP(VLOOKUP(CJ$1,main!$A$3:$H$102,8,FALSE),main!$K$26:$M$29,2,FALSE)+VLOOKUP(VLOOKUP(CJ$1,main!$A$3:$H$102,7,FALSE),main!$K$19:$O$22,MATCH(VLOOKUP($A40,main!$A$3:$H$102,8,FALSE),main!$K$18:$O$18,0))))),1,0)</f>
        <v>0</v>
      </c>
      <c r="CK40">
        <f>IF((AND(VLOOKUP(CK$1,main!$A$3:$H$102,5,FALSE)-VLOOKUP($A40,main!$A$3:$H$102,6,FALSE)&gt;=(VLOOKUP(VLOOKUP(CK$1,main!$A$3:$H$102,8,FALSE),main!$K$26:$M$29,2,FALSE)+VLOOKUP(VLOOKUP(CK$1,main!$A$3:$H$102,7,FALSE),main!$K$19:$O$22,MATCH(VLOOKUP($A40,main!$A$3:$H$102,8,FALSE),main!$K$18:$O$18,0))))),1,0)</f>
        <v>0</v>
      </c>
      <c r="CL40">
        <f>IF((AND(VLOOKUP(CL$1,main!$A$3:$H$102,5,FALSE)-VLOOKUP($A40,main!$A$3:$H$102,6,FALSE)&gt;=(VLOOKUP(VLOOKUP(CL$1,main!$A$3:$H$102,8,FALSE),main!$K$26:$M$29,2,FALSE)+VLOOKUP(VLOOKUP(CL$1,main!$A$3:$H$102,7,FALSE),main!$K$19:$O$22,MATCH(VLOOKUP($A40,main!$A$3:$H$102,8,FALSE),main!$K$18:$O$18,0))))),1,0)</f>
        <v>0</v>
      </c>
      <c r="CM40">
        <f>IF((AND(VLOOKUP(CM$1,main!$A$3:$H$102,5,FALSE)-VLOOKUP($A40,main!$A$3:$H$102,6,FALSE)&gt;=(VLOOKUP(VLOOKUP(CM$1,main!$A$3:$H$102,8,FALSE),main!$K$26:$M$29,2,FALSE)+VLOOKUP(VLOOKUP(CM$1,main!$A$3:$H$102,7,FALSE),main!$K$19:$O$22,MATCH(VLOOKUP($A40,main!$A$3:$H$102,8,FALSE),main!$K$18:$O$18,0))))),1,0)</f>
        <v>0</v>
      </c>
      <c r="CN40">
        <f>IF((AND(VLOOKUP(CN$1,main!$A$3:$H$102,5,FALSE)-VLOOKUP($A40,main!$A$3:$H$102,6,FALSE)&gt;=(VLOOKUP(VLOOKUP(CN$1,main!$A$3:$H$102,8,FALSE),main!$K$26:$M$29,2,FALSE)+VLOOKUP(VLOOKUP(CN$1,main!$A$3:$H$102,7,FALSE),main!$K$19:$O$22,MATCH(VLOOKUP($A40,main!$A$3:$H$102,8,FALSE),main!$K$18:$O$18,0))))),1,0)</f>
        <v>0</v>
      </c>
      <c r="CO40">
        <f>IF((AND(VLOOKUP(CO$1,main!$A$3:$H$102,5,FALSE)-VLOOKUP($A40,main!$A$3:$H$102,6,FALSE)&gt;=(VLOOKUP(VLOOKUP(CO$1,main!$A$3:$H$102,8,FALSE),main!$K$26:$M$29,2,FALSE)+VLOOKUP(VLOOKUP(CO$1,main!$A$3:$H$102,7,FALSE),main!$K$19:$O$22,MATCH(VLOOKUP($A40,main!$A$3:$H$102,8,FALSE),main!$K$18:$O$18,0))))),1,0)</f>
        <v>0</v>
      </c>
      <c r="CP40">
        <f>IF((AND(VLOOKUP(CP$1,main!$A$3:$H$102,5,FALSE)-VLOOKUP($A40,main!$A$3:$H$102,6,FALSE)&gt;=(VLOOKUP(VLOOKUP(CP$1,main!$A$3:$H$102,8,FALSE),main!$K$26:$M$29,2,FALSE)+VLOOKUP(VLOOKUP(CP$1,main!$A$3:$H$102,7,FALSE),main!$K$19:$O$22,MATCH(VLOOKUP($A40,main!$A$3:$H$102,8,FALSE),main!$K$18:$O$18,0))))),1,0)</f>
        <v>0</v>
      </c>
      <c r="CQ40">
        <f>IF((AND(VLOOKUP(CQ$1,main!$A$3:$H$102,5,FALSE)-VLOOKUP($A40,main!$A$3:$H$102,6,FALSE)&gt;=(VLOOKUP(VLOOKUP(CQ$1,main!$A$3:$H$102,8,FALSE),main!$K$26:$M$29,2,FALSE)+VLOOKUP(VLOOKUP(CQ$1,main!$A$3:$H$102,7,FALSE),main!$K$19:$O$22,MATCH(VLOOKUP($A40,main!$A$3:$H$102,8,FALSE),main!$K$18:$O$18,0))))),1,0)</f>
        <v>0</v>
      </c>
      <c r="CR40">
        <f>IF((AND(VLOOKUP(CR$1,main!$A$3:$H$102,5,FALSE)-VLOOKUP($A40,main!$A$3:$H$102,6,FALSE)&gt;=(VLOOKUP(VLOOKUP(CR$1,main!$A$3:$H$102,8,FALSE),main!$K$26:$M$29,2,FALSE)+VLOOKUP(VLOOKUP(CR$1,main!$A$3:$H$102,7,FALSE),main!$K$19:$O$22,MATCH(VLOOKUP($A40,main!$A$3:$H$102,8,FALSE),main!$K$18:$O$18,0))))),1,0)</f>
        <v>0</v>
      </c>
      <c r="CS40">
        <f>IF((AND(VLOOKUP(CS$1,main!$A$3:$H$102,5,FALSE)-VLOOKUP($A40,main!$A$3:$H$102,6,FALSE)&gt;=(VLOOKUP(VLOOKUP(CS$1,main!$A$3:$H$102,8,FALSE),main!$K$26:$M$29,2,FALSE)+VLOOKUP(VLOOKUP(CS$1,main!$A$3:$H$102,7,FALSE),main!$K$19:$O$22,MATCH(VLOOKUP($A40,main!$A$3:$H$102,8,FALSE),main!$K$18:$O$18,0))))),1,0)</f>
        <v>0</v>
      </c>
      <c r="CT40">
        <f>IF((AND(VLOOKUP(CT$1,main!$A$3:$H$102,5,FALSE)-VLOOKUP($A40,main!$A$3:$H$102,6,FALSE)&gt;=(VLOOKUP(VLOOKUP(CT$1,main!$A$3:$H$102,8,FALSE),main!$K$26:$M$29,2,FALSE)+VLOOKUP(VLOOKUP(CT$1,main!$A$3:$H$102,7,FALSE),main!$K$19:$O$22,MATCH(VLOOKUP($A40,main!$A$3:$H$102,8,FALSE),main!$K$18:$O$18,0))))),1,0)</f>
        <v>0</v>
      </c>
      <c r="CU40">
        <f>IF((AND(VLOOKUP(CU$1,main!$A$3:$H$102,5,FALSE)-VLOOKUP($A40,main!$A$3:$H$102,6,FALSE)&gt;=(VLOOKUP(VLOOKUP(CU$1,main!$A$3:$H$102,8,FALSE),main!$K$26:$M$29,2,FALSE)+VLOOKUP(VLOOKUP(CU$1,main!$A$3:$H$102,7,FALSE),main!$K$19:$O$22,MATCH(VLOOKUP($A40,main!$A$3:$H$102,8,FALSE),main!$K$18:$O$18,0))))),1,0)</f>
        <v>0</v>
      </c>
      <c r="CV40">
        <f>IF((AND(VLOOKUP(CV$1,main!$A$3:$H$102,5,FALSE)-VLOOKUP($A40,main!$A$3:$H$102,6,FALSE)&gt;=(VLOOKUP(VLOOKUP(CV$1,main!$A$3:$H$102,8,FALSE),main!$K$26:$M$29,2,FALSE)+VLOOKUP(VLOOKUP(CV$1,main!$A$3:$H$102,7,FALSE),main!$K$19:$O$22,MATCH(VLOOKUP($A40,main!$A$3:$H$102,8,FALSE),main!$K$18:$O$18,0))))),1,0)</f>
        <v>0</v>
      </c>
      <c r="CW40">
        <f>IF((AND(VLOOKUP(CW$1,main!$A$3:$H$102,5,FALSE)-VLOOKUP($A40,main!$A$3:$H$102,6,FALSE)&gt;=(VLOOKUP(VLOOKUP(CW$1,main!$A$3:$H$102,8,FALSE),main!$K$26:$M$29,2,FALSE)+VLOOKUP(VLOOKUP(CW$1,main!$A$3:$H$102,7,FALSE),main!$K$19:$O$22,MATCH(VLOOKUP($A40,main!$A$3:$H$102,8,FALSE),main!$K$18:$O$18,0))))),1,0)</f>
        <v>0</v>
      </c>
      <c r="CX40">
        <f>IF((AND(VLOOKUP(CX$1,main!$A$3:$H$102,5,FALSE)-VLOOKUP($A40,main!$A$3:$H$102,6,FALSE)&gt;=(VLOOKUP(VLOOKUP(CX$1,main!$A$3:$H$102,8,FALSE),main!$K$26:$M$29,2,FALSE)+VLOOKUP(VLOOKUP(CX$1,main!$A$3:$H$102,7,FALSE),main!$K$19:$O$22,MATCH(VLOOKUP($A40,main!$A$3:$H$102,8,FALSE),main!$K$18:$O$18,0))))),1,0)</f>
        <v>0</v>
      </c>
    </row>
    <row r="41" spans="1:102" x14ac:dyDescent="0.25">
      <c r="A41" s="1">
        <v>39</v>
      </c>
      <c r="B41">
        <v>1</v>
      </c>
      <c r="C41">
        <f>IF((AND(VLOOKUP(C$1,main!$A$3:$H$102,5,FALSE)-VLOOKUP($A41,main!$A$3:$H$102,6,FALSE)&gt;=(VLOOKUP(VLOOKUP(C$1,main!$A$3:$H$102,8,FALSE),main!$K$26:$M$29,2,FALSE)+VLOOKUP(VLOOKUP(C$1,main!$A$3:$H$102,7,FALSE),main!$K$19:$O$22,MATCH(VLOOKUP($A41,main!$A$3:$H$102,8,FALSE),main!$K$18:$O$18,0))))),1,0)</f>
        <v>0</v>
      </c>
      <c r="D41">
        <f>IF((AND(VLOOKUP(D$1,main!$A$3:$H$102,5,FALSE)-VLOOKUP($A41,main!$A$3:$H$102,6,FALSE)&gt;=(VLOOKUP(VLOOKUP(D$1,main!$A$3:$H$102,8,FALSE),main!$K$26:$M$29,2,FALSE)+VLOOKUP(VLOOKUP(D$1,main!$A$3:$H$102,7,FALSE),main!$K$19:$O$22,MATCH(VLOOKUP($A41,main!$A$3:$H$102,8,FALSE),main!$K$18:$O$18,0))))),1,0)</f>
        <v>0</v>
      </c>
      <c r="E41">
        <f>IF((AND(VLOOKUP(E$1,main!$A$3:$H$102,5,FALSE)-VLOOKUP($A41,main!$A$3:$H$102,6,FALSE)&gt;=(VLOOKUP(VLOOKUP(E$1,main!$A$3:$H$102,8,FALSE),main!$K$26:$M$29,2,FALSE)+VLOOKUP(VLOOKUP(E$1,main!$A$3:$H$102,7,FALSE),main!$K$19:$O$22,MATCH(VLOOKUP($A41,main!$A$3:$H$102,8,FALSE),main!$K$18:$O$18,0))))),1,0)</f>
        <v>1</v>
      </c>
      <c r="F41">
        <f>IF((AND(VLOOKUP(F$1,main!$A$3:$H$102,5,FALSE)-VLOOKUP($A41,main!$A$3:$H$102,6,FALSE)&gt;=(VLOOKUP(VLOOKUP(F$1,main!$A$3:$H$102,8,FALSE),main!$K$26:$M$29,2,FALSE)+VLOOKUP(VLOOKUP(F$1,main!$A$3:$H$102,7,FALSE),main!$K$19:$O$22,MATCH(VLOOKUP($A41,main!$A$3:$H$102,8,FALSE),main!$K$18:$O$18,0))))),1,0)</f>
        <v>1</v>
      </c>
      <c r="G41">
        <f>IF((AND(VLOOKUP(G$1,main!$A$3:$H$102,5,FALSE)-VLOOKUP($A41,main!$A$3:$H$102,6,FALSE)&gt;=(VLOOKUP(VLOOKUP(G$1,main!$A$3:$H$102,8,FALSE),main!$K$26:$M$29,2,FALSE)+VLOOKUP(VLOOKUP(G$1,main!$A$3:$H$102,7,FALSE),main!$K$19:$O$22,MATCH(VLOOKUP($A41,main!$A$3:$H$102,8,FALSE),main!$K$18:$O$18,0))))),1,0)</f>
        <v>1</v>
      </c>
      <c r="H41">
        <f>IF((AND(VLOOKUP(H$1,main!$A$3:$H$102,5,FALSE)-VLOOKUP($A41,main!$A$3:$H$102,6,FALSE)&gt;=(VLOOKUP(VLOOKUP(H$1,main!$A$3:$H$102,8,FALSE),main!$K$26:$M$29,2,FALSE)+VLOOKUP(VLOOKUP(H$1,main!$A$3:$H$102,7,FALSE),main!$K$19:$O$22,MATCH(VLOOKUP($A41,main!$A$3:$H$102,8,FALSE),main!$K$18:$O$18,0))))),1,0)</f>
        <v>1</v>
      </c>
      <c r="I41">
        <f>IF((AND(VLOOKUP(I$1,main!$A$3:$H$102,5,FALSE)-VLOOKUP($A41,main!$A$3:$H$102,6,FALSE)&gt;=(VLOOKUP(VLOOKUP(I$1,main!$A$3:$H$102,8,FALSE),main!$K$26:$M$29,2,FALSE)+VLOOKUP(VLOOKUP(I$1,main!$A$3:$H$102,7,FALSE),main!$K$19:$O$22,MATCH(VLOOKUP($A41,main!$A$3:$H$102,8,FALSE),main!$K$18:$O$18,0))))),1,0)</f>
        <v>1</v>
      </c>
      <c r="J41">
        <f>IF((AND(VLOOKUP(J$1,main!$A$3:$H$102,5,FALSE)-VLOOKUP($A41,main!$A$3:$H$102,6,FALSE)&gt;=(VLOOKUP(VLOOKUP(J$1,main!$A$3:$H$102,8,FALSE),main!$K$26:$M$29,2,FALSE)+VLOOKUP(VLOOKUP(J$1,main!$A$3:$H$102,7,FALSE),main!$K$19:$O$22,MATCH(VLOOKUP($A41,main!$A$3:$H$102,8,FALSE),main!$K$18:$O$18,0))))),1,0)</f>
        <v>1</v>
      </c>
      <c r="K41">
        <f>IF((AND(VLOOKUP(K$1,main!$A$3:$H$102,5,FALSE)-VLOOKUP($A41,main!$A$3:$H$102,6,FALSE)&gt;=(VLOOKUP(VLOOKUP(K$1,main!$A$3:$H$102,8,FALSE),main!$K$26:$M$29,2,FALSE)+VLOOKUP(VLOOKUP(K$1,main!$A$3:$H$102,7,FALSE),main!$K$19:$O$22,MATCH(VLOOKUP($A41,main!$A$3:$H$102,8,FALSE),main!$K$18:$O$18,0))))),1,0)</f>
        <v>1</v>
      </c>
      <c r="L41">
        <f>IF((AND(VLOOKUP(L$1,main!$A$3:$H$102,5,FALSE)-VLOOKUP($A41,main!$A$3:$H$102,6,FALSE)&gt;=(VLOOKUP(VLOOKUP(L$1,main!$A$3:$H$102,8,FALSE),main!$K$26:$M$29,2,FALSE)+VLOOKUP(VLOOKUP(L$1,main!$A$3:$H$102,7,FALSE),main!$K$19:$O$22,MATCH(VLOOKUP($A41,main!$A$3:$H$102,8,FALSE),main!$K$18:$O$18,0))))),1,0)</f>
        <v>1</v>
      </c>
      <c r="M41">
        <f>IF((AND(VLOOKUP(M$1,main!$A$3:$H$102,5,FALSE)-VLOOKUP($A41,main!$A$3:$H$102,6,FALSE)&gt;=(VLOOKUP(VLOOKUP(M$1,main!$A$3:$H$102,8,FALSE),main!$K$26:$M$29,2,FALSE)+VLOOKUP(VLOOKUP(M$1,main!$A$3:$H$102,7,FALSE),main!$K$19:$O$22,MATCH(VLOOKUP($A41,main!$A$3:$H$102,8,FALSE),main!$K$18:$O$18,0))))),1,0)</f>
        <v>0</v>
      </c>
      <c r="N41">
        <f>IF((AND(VLOOKUP(N$1,main!$A$3:$H$102,5,FALSE)-VLOOKUP($A41,main!$A$3:$H$102,6,FALSE)&gt;=(VLOOKUP(VLOOKUP(N$1,main!$A$3:$H$102,8,FALSE),main!$K$26:$M$29,2,FALSE)+VLOOKUP(VLOOKUP(N$1,main!$A$3:$H$102,7,FALSE),main!$K$19:$O$22,MATCH(VLOOKUP($A41,main!$A$3:$H$102,8,FALSE),main!$K$18:$O$18,0))))),1,0)</f>
        <v>0</v>
      </c>
      <c r="O41">
        <f>IF((AND(VLOOKUP(O$1,main!$A$3:$H$102,5,FALSE)-VLOOKUP($A41,main!$A$3:$H$102,6,FALSE)&gt;=(VLOOKUP(VLOOKUP(O$1,main!$A$3:$H$102,8,FALSE),main!$K$26:$M$29,2,FALSE)+VLOOKUP(VLOOKUP(O$1,main!$A$3:$H$102,7,FALSE),main!$K$19:$O$22,MATCH(VLOOKUP($A41,main!$A$3:$H$102,8,FALSE),main!$K$18:$O$18,0))))),1,0)</f>
        <v>1</v>
      </c>
      <c r="P41">
        <f>IF((AND(VLOOKUP(P$1,main!$A$3:$H$102,5,FALSE)-VLOOKUP($A41,main!$A$3:$H$102,6,FALSE)&gt;=(VLOOKUP(VLOOKUP(P$1,main!$A$3:$H$102,8,FALSE),main!$K$26:$M$29,2,FALSE)+VLOOKUP(VLOOKUP(P$1,main!$A$3:$H$102,7,FALSE),main!$K$19:$O$22,MATCH(VLOOKUP($A41,main!$A$3:$H$102,8,FALSE),main!$K$18:$O$18,0))))),1,0)</f>
        <v>1</v>
      </c>
      <c r="Q41">
        <f>IF((AND(VLOOKUP(Q$1,main!$A$3:$H$102,5,FALSE)-VLOOKUP($A41,main!$A$3:$H$102,6,FALSE)&gt;=(VLOOKUP(VLOOKUP(Q$1,main!$A$3:$H$102,8,FALSE),main!$K$26:$M$29,2,FALSE)+VLOOKUP(VLOOKUP(Q$1,main!$A$3:$H$102,7,FALSE),main!$K$19:$O$22,MATCH(VLOOKUP($A41,main!$A$3:$H$102,8,FALSE),main!$K$18:$O$18,0))))),1,0)</f>
        <v>1</v>
      </c>
      <c r="R41">
        <f>IF((AND(VLOOKUP(R$1,main!$A$3:$H$102,5,FALSE)-VLOOKUP($A41,main!$A$3:$H$102,6,FALSE)&gt;=(VLOOKUP(VLOOKUP(R$1,main!$A$3:$H$102,8,FALSE),main!$K$26:$M$29,2,FALSE)+VLOOKUP(VLOOKUP(R$1,main!$A$3:$H$102,7,FALSE),main!$K$19:$O$22,MATCH(VLOOKUP($A41,main!$A$3:$H$102,8,FALSE),main!$K$18:$O$18,0))))),1,0)</f>
        <v>1</v>
      </c>
      <c r="S41">
        <f>IF((AND(VLOOKUP(S$1,main!$A$3:$H$102,5,FALSE)-VLOOKUP($A41,main!$A$3:$H$102,6,FALSE)&gt;=(VLOOKUP(VLOOKUP(S$1,main!$A$3:$H$102,8,FALSE),main!$K$26:$M$29,2,FALSE)+VLOOKUP(VLOOKUP(S$1,main!$A$3:$H$102,7,FALSE),main!$K$19:$O$22,MATCH(VLOOKUP($A41,main!$A$3:$H$102,8,FALSE),main!$K$18:$O$18,0))))),1,0)</f>
        <v>1</v>
      </c>
      <c r="T41">
        <f>IF((AND(VLOOKUP(T$1,main!$A$3:$H$102,5,FALSE)-VLOOKUP($A41,main!$A$3:$H$102,6,FALSE)&gt;=(VLOOKUP(VLOOKUP(T$1,main!$A$3:$H$102,8,FALSE),main!$K$26:$M$29,2,FALSE)+VLOOKUP(VLOOKUP(T$1,main!$A$3:$H$102,7,FALSE),main!$K$19:$O$22,MATCH(VLOOKUP($A41,main!$A$3:$H$102,8,FALSE),main!$K$18:$O$18,0))))),1,0)</f>
        <v>1</v>
      </c>
      <c r="U41">
        <f>IF((AND(VLOOKUP(U$1,main!$A$3:$H$102,5,FALSE)-VLOOKUP($A41,main!$A$3:$H$102,6,FALSE)&gt;=(VLOOKUP(VLOOKUP(U$1,main!$A$3:$H$102,8,FALSE),main!$K$26:$M$29,2,FALSE)+VLOOKUP(VLOOKUP(U$1,main!$A$3:$H$102,7,FALSE),main!$K$19:$O$22,MATCH(VLOOKUP($A41,main!$A$3:$H$102,8,FALSE),main!$K$18:$O$18,0))))),1,0)</f>
        <v>1</v>
      </c>
      <c r="V41">
        <f>IF((AND(VLOOKUP(V$1,main!$A$3:$H$102,5,FALSE)-VLOOKUP($A41,main!$A$3:$H$102,6,FALSE)&gt;=(VLOOKUP(VLOOKUP(V$1,main!$A$3:$H$102,8,FALSE),main!$K$26:$M$29,2,FALSE)+VLOOKUP(VLOOKUP(V$1,main!$A$3:$H$102,7,FALSE),main!$K$19:$O$22,MATCH(VLOOKUP($A41,main!$A$3:$H$102,8,FALSE),main!$K$18:$O$18,0))))),1,0)</f>
        <v>1</v>
      </c>
      <c r="W41">
        <f>IF((AND(VLOOKUP(W$1,main!$A$3:$H$102,5,FALSE)-VLOOKUP($A41,main!$A$3:$H$102,6,FALSE)&gt;=(VLOOKUP(VLOOKUP(W$1,main!$A$3:$H$102,8,FALSE),main!$K$26:$M$29,2,FALSE)+VLOOKUP(VLOOKUP(W$1,main!$A$3:$H$102,7,FALSE),main!$K$19:$O$22,MATCH(VLOOKUP($A41,main!$A$3:$H$102,8,FALSE),main!$K$18:$O$18,0))))),1,0)</f>
        <v>0</v>
      </c>
      <c r="X41">
        <f>IF((AND(VLOOKUP(X$1,main!$A$3:$H$102,5,FALSE)-VLOOKUP($A41,main!$A$3:$H$102,6,FALSE)&gt;=(VLOOKUP(VLOOKUP(X$1,main!$A$3:$H$102,8,FALSE),main!$K$26:$M$29,2,FALSE)+VLOOKUP(VLOOKUP(X$1,main!$A$3:$H$102,7,FALSE),main!$K$19:$O$22,MATCH(VLOOKUP($A41,main!$A$3:$H$102,8,FALSE),main!$K$18:$O$18,0))))),1,0)</f>
        <v>1</v>
      </c>
      <c r="Y41">
        <f>IF((AND(VLOOKUP(Y$1,main!$A$3:$H$102,5,FALSE)-VLOOKUP($A41,main!$A$3:$H$102,6,FALSE)&gt;=(VLOOKUP(VLOOKUP(Y$1,main!$A$3:$H$102,8,FALSE),main!$K$26:$M$29,2,FALSE)+VLOOKUP(VLOOKUP(Y$1,main!$A$3:$H$102,7,FALSE),main!$K$19:$O$22,MATCH(VLOOKUP($A41,main!$A$3:$H$102,8,FALSE),main!$K$18:$O$18,0))))),1,0)</f>
        <v>1</v>
      </c>
      <c r="Z41">
        <f>IF((AND(VLOOKUP(Z$1,main!$A$3:$H$102,5,FALSE)-VLOOKUP($A41,main!$A$3:$H$102,6,FALSE)&gt;=(VLOOKUP(VLOOKUP(Z$1,main!$A$3:$H$102,8,FALSE),main!$K$26:$M$29,2,FALSE)+VLOOKUP(VLOOKUP(Z$1,main!$A$3:$H$102,7,FALSE),main!$K$19:$O$22,MATCH(VLOOKUP($A41,main!$A$3:$H$102,8,FALSE),main!$K$18:$O$18,0))))),1,0)</f>
        <v>1</v>
      </c>
      <c r="AA41">
        <f>IF((AND(VLOOKUP(AA$1,main!$A$3:$H$102,5,FALSE)-VLOOKUP($A41,main!$A$3:$H$102,6,FALSE)&gt;=(VLOOKUP(VLOOKUP(AA$1,main!$A$3:$H$102,8,FALSE),main!$K$26:$M$29,2,FALSE)+VLOOKUP(VLOOKUP(AA$1,main!$A$3:$H$102,7,FALSE),main!$K$19:$O$22,MATCH(VLOOKUP($A41,main!$A$3:$H$102,8,FALSE),main!$K$18:$O$18,0))))),1,0)</f>
        <v>1</v>
      </c>
      <c r="AB41">
        <f>IF((AND(VLOOKUP(AB$1,main!$A$3:$H$102,5,FALSE)-VLOOKUP($A41,main!$A$3:$H$102,6,FALSE)&gt;=(VLOOKUP(VLOOKUP(AB$1,main!$A$3:$H$102,8,FALSE),main!$K$26:$M$29,2,FALSE)+VLOOKUP(VLOOKUP(AB$1,main!$A$3:$H$102,7,FALSE),main!$K$19:$O$22,MATCH(VLOOKUP($A41,main!$A$3:$H$102,8,FALSE),main!$K$18:$O$18,0))))),1,0)</f>
        <v>0</v>
      </c>
      <c r="AC41">
        <f>IF((AND(VLOOKUP(AC$1,main!$A$3:$H$102,5,FALSE)-VLOOKUP($A41,main!$A$3:$H$102,6,FALSE)&gt;=(VLOOKUP(VLOOKUP(AC$1,main!$A$3:$H$102,8,FALSE),main!$K$26:$M$29,2,FALSE)+VLOOKUP(VLOOKUP(AC$1,main!$A$3:$H$102,7,FALSE),main!$K$19:$O$22,MATCH(VLOOKUP($A41,main!$A$3:$H$102,8,FALSE),main!$K$18:$O$18,0))))),1,0)</f>
        <v>0</v>
      </c>
      <c r="AD41">
        <f>IF((AND(VLOOKUP(AD$1,main!$A$3:$H$102,5,FALSE)-VLOOKUP($A41,main!$A$3:$H$102,6,FALSE)&gt;=(VLOOKUP(VLOOKUP(AD$1,main!$A$3:$H$102,8,FALSE),main!$K$26:$M$29,2,FALSE)+VLOOKUP(VLOOKUP(AD$1,main!$A$3:$H$102,7,FALSE),main!$K$19:$O$22,MATCH(VLOOKUP($A41,main!$A$3:$H$102,8,FALSE),main!$K$18:$O$18,0))))),1,0)</f>
        <v>1</v>
      </c>
      <c r="AE41">
        <f>IF((AND(VLOOKUP(AE$1,main!$A$3:$H$102,5,FALSE)-VLOOKUP($A41,main!$A$3:$H$102,6,FALSE)&gt;=(VLOOKUP(VLOOKUP(AE$1,main!$A$3:$H$102,8,FALSE),main!$K$26:$M$29,2,FALSE)+VLOOKUP(VLOOKUP(AE$1,main!$A$3:$H$102,7,FALSE),main!$K$19:$O$22,MATCH(VLOOKUP($A41,main!$A$3:$H$102,8,FALSE),main!$K$18:$O$18,0))))),1,0)</f>
        <v>1</v>
      </c>
      <c r="AF41">
        <f>IF((AND(VLOOKUP(AF$1,main!$A$3:$H$102,5,FALSE)-VLOOKUP($A41,main!$A$3:$H$102,6,FALSE)&gt;=(VLOOKUP(VLOOKUP(AF$1,main!$A$3:$H$102,8,FALSE),main!$K$26:$M$29,2,FALSE)+VLOOKUP(VLOOKUP(AF$1,main!$A$3:$H$102,7,FALSE),main!$K$19:$O$22,MATCH(VLOOKUP($A41,main!$A$3:$H$102,8,FALSE),main!$K$18:$O$18,0))))),1,0)</f>
        <v>1</v>
      </c>
      <c r="AG41">
        <f>IF((AND(VLOOKUP(AG$1,main!$A$3:$H$102,5,FALSE)-VLOOKUP($A41,main!$A$3:$H$102,6,FALSE)&gt;=(VLOOKUP(VLOOKUP(AG$1,main!$A$3:$H$102,8,FALSE),main!$K$26:$M$29,2,FALSE)+VLOOKUP(VLOOKUP(AG$1,main!$A$3:$H$102,7,FALSE),main!$K$19:$O$22,MATCH(VLOOKUP($A41,main!$A$3:$H$102,8,FALSE),main!$K$18:$O$18,0))))),1,0)</f>
        <v>0</v>
      </c>
      <c r="AH41">
        <f>IF((AND(VLOOKUP(AH$1,main!$A$3:$H$102,5,FALSE)-VLOOKUP($A41,main!$A$3:$H$102,6,FALSE)&gt;=(VLOOKUP(VLOOKUP(AH$1,main!$A$3:$H$102,8,FALSE),main!$K$26:$M$29,2,FALSE)+VLOOKUP(VLOOKUP(AH$1,main!$A$3:$H$102,7,FALSE),main!$K$19:$O$22,MATCH(VLOOKUP($A41,main!$A$3:$H$102,8,FALSE),main!$K$18:$O$18,0))))),1,0)</f>
        <v>1</v>
      </c>
      <c r="AI41">
        <f>IF((AND(VLOOKUP(AI$1,main!$A$3:$H$102,5,FALSE)-VLOOKUP($A41,main!$A$3:$H$102,6,FALSE)&gt;=(VLOOKUP(VLOOKUP(AI$1,main!$A$3:$H$102,8,FALSE),main!$K$26:$M$29,2,FALSE)+VLOOKUP(VLOOKUP(AI$1,main!$A$3:$H$102,7,FALSE),main!$K$19:$O$22,MATCH(VLOOKUP($A41,main!$A$3:$H$102,8,FALSE),main!$K$18:$O$18,0))))),1,0)</f>
        <v>1</v>
      </c>
      <c r="AJ41">
        <f>IF((AND(VLOOKUP(AJ$1,main!$A$3:$H$102,5,FALSE)-VLOOKUP($A41,main!$A$3:$H$102,6,FALSE)&gt;=(VLOOKUP(VLOOKUP(AJ$1,main!$A$3:$H$102,8,FALSE),main!$K$26:$M$29,2,FALSE)+VLOOKUP(VLOOKUP(AJ$1,main!$A$3:$H$102,7,FALSE),main!$K$19:$O$22,MATCH(VLOOKUP($A41,main!$A$3:$H$102,8,FALSE),main!$K$18:$O$18,0))))),1,0)</f>
        <v>1</v>
      </c>
      <c r="AK41">
        <f>IF((AND(VLOOKUP(AK$1,main!$A$3:$H$102,5,FALSE)-VLOOKUP($A41,main!$A$3:$H$102,6,FALSE)&gt;=(VLOOKUP(VLOOKUP(AK$1,main!$A$3:$H$102,8,FALSE),main!$K$26:$M$29,2,FALSE)+VLOOKUP(VLOOKUP(AK$1,main!$A$3:$H$102,7,FALSE),main!$K$19:$O$22,MATCH(VLOOKUP($A41,main!$A$3:$H$102,8,FALSE),main!$K$18:$O$18,0))))),1,0)</f>
        <v>1</v>
      </c>
      <c r="AL41">
        <f>IF((AND(VLOOKUP(AL$1,main!$A$3:$H$102,5,FALSE)-VLOOKUP($A41,main!$A$3:$H$102,6,FALSE)&gt;=(VLOOKUP(VLOOKUP(AL$1,main!$A$3:$H$102,8,FALSE),main!$K$26:$M$29,2,FALSE)+VLOOKUP(VLOOKUP(AL$1,main!$A$3:$H$102,7,FALSE),main!$K$19:$O$22,MATCH(VLOOKUP($A41,main!$A$3:$H$102,8,FALSE),main!$K$18:$O$18,0))))),1,0)</f>
        <v>1</v>
      </c>
      <c r="AM41">
        <f>IF((AND(VLOOKUP(AM$1,main!$A$3:$H$102,5,FALSE)-VLOOKUP($A41,main!$A$3:$H$102,6,FALSE)&gt;=(VLOOKUP(VLOOKUP(AM$1,main!$A$3:$H$102,8,FALSE),main!$K$26:$M$29,2,FALSE)+VLOOKUP(VLOOKUP(AM$1,main!$A$3:$H$102,7,FALSE),main!$K$19:$O$22,MATCH(VLOOKUP($A41,main!$A$3:$H$102,8,FALSE),main!$K$18:$O$18,0))))),1,0)</f>
        <v>1</v>
      </c>
      <c r="AN41">
        <f>IF((AND(VLOOKUP(AN$1,main!$A$3:$H$102,5,FALSE)-VLOOKUP($A41,main!$A$3:$H$102,6,FALSE)&gt;=(VLOOKUP(VLOOKUP(AN$1,main!$A$3:$H$102,8,FALSE),main!$K$26:$M$29,2,FALSE)+VLOOKUP(VLOOKUP(AN$1,main!$A$3:$H$102,7,FALSE),main!$K$19:$O$22,MATCH(VLOOKUP($A41,main!$A$3:$H$102,8,FALSE),main!$K$18:$O$18,0))))),1,0)</f>
        <v>1</v>
      </c>
      <c r="AO41">
        <f>IF((AND(VLOOKUP(AO$1,main!$A$3:$H$102,5,FALSE)-VLOOKUP($A41,main!$A$3:$H$102,6,FALSE)&gt;=(VLOOKUP(VLOOKUP(AO$1,main!$A$3:$H$102,8,FALSE),main!$K$26:$M$29,2,FALSE)+VLOOKUP(VLOOKUP(AO$1,main!$A$3:$H$102,7,FALSE),main!$K$19:$O$22,MATCH(VLOOKUP($A41,main!$A$3:$H$102,8,FALSE),main!$K$18:$O$18,0))))),1,0)</f>
        <v>0</v>
      </c>
      <c r="AP41">
        <f>IF((AND(VLOOKUP(AP$1,main!$A$3:$H$102,5,FALSE)-VLOOKUP($A41,main!$A$3:$H$102,6,FALSE)&gt;=(VLOOKUP(VLOOKUP(AP$1,main!$A$3:$H$102,8,FALSE),main!$K$26:$M$29,2,FALSE)+VLOOKUP(VLOOKUP(AP$1,main!$A$3:$H$102,7,FALSE),main!$K$19:$O$22,MATCH(VLOOKUP($A41,main!$A$3:$H$102,8,FALSE),main!$K$18:$O$18,0))))),1,0)</f>
        <v>1</v>
      </c>
      <c r="AQ41">
        <f>IF((AND(VLOOKUP(AQ$1,main!$A$3:$H$102,5,FALSE)-VLOOKUP($A41,main!$A$3:$H$102,6,FALSE)&gt;=(VLOOKUP(VLOOKUP(AQ$1,main!$A$3:$H$102,8,FALSE),main!$K$26:$M$29,2,FALSE)+VLOOKUP(VLOOKUP(AQ$1,main!$A$3:$H$102,7,FALSE),main!$K$19:$O$22,MATCH(VLOOKUP($A41,main!$A$3:$H$102,8,FALSE),main!$K$18:$O$18,0))))),1,0)</f>
        <v>0</v>
      </c>
      <c r="AR41">
        <f>IF((AND(VLOOKUP(AR$1,main!$A$3:$H$102,5,FALSE)-VLOOKUP($A41,main!$A$3:$H$102,6,FALSE)&gt;=(VLOOKUP(VLOOKUP(AR$1,main!$A$3:$H$102,8,FALSE),main!$K$26:$M$29,2,FALSE)+VLOOKUP(VLOOKUP(AR$1,main!$A$3:$H$102,7,FALSE),main!$K$19:$O$22,MATCH(VLOOKUP($A41,main!$A$3:$H$102,8,FALSE),main!$K$18:$O$18,0))))),1,0)</f>
        <v>0</v>
      </c>
      <c r="AS41">
        <f>IF((AND(VLOOKUP(AS$1,main!$A$3:$H$102,5,FALSE)-VLOOKUP($A41,main!$A$3:$H$102,6,FALSE)&gt;=(VLOOKUP(VLOOKUP(AS$1,main!$A$3:$H$102,8,FALSE),main!$K$26:$M$29,2,FALSE)+VLOOKUP(VLOOKUP(AS$1,main!$A$3:$H$102,7,FALSE),main!$K$19:$O$22,MATCH(VLOOKUP($A41,main!$A$3:$H$102,8,FALSE),main!$K$18:$O$18,0))))),1,0)</f>
        <v>1</v>
      </c>
      <c r="AT41">
        <f>IF((AND(VLOOKUP(AT$1,main!$A$3:$H$102,5,FALSE)-VLOOKUP($A41,main!$A$3:$H$102,6,FALSE)&gt;=(VLOOKUP(VLOOKUP(AT$1,main!$A$3:$H$102,8,FALSE),main!$K$26:$M$29,2,FALSE)+VLOOKUP(VLOOKUP(AT$1,main!$A$3:$H$102,7,FALSE),main!$K$19:$O$22,MATCH(VLOOKUP($A41,main!$A$3:$H$102,8,FALSE),main!$K$18:$O$18,0))))),1,0)</f>
        <v>1</v>
      </c>
      <c r="AU41">
        <f>IF((AND(VLOOKUP(AU$1,main!$A$3:$H$102,5,FALSE)-VLOOKUP($A41,main!$A$3:$H$102,6,FALSE)&gt;=(VLOOKUP(VLOOKUP(AU$1,main!$A$3:$H$102,8,FALSE),main!$K$26:$M$29,2,FALSE)+VLOOKUP(VLOOKUP(AU$1,main!$A$3:$H$102,7,FALSE),main!$K$19:$O$22,MATCH(VLOOKUP($A41,main!$A$3:$H$102,8,FALSE),main!$K$18:$O$18,0))))),1,0)</f>
        <v>0</v>
      </c>
      <c r="AV41">
        <f>IF((AND(VLOOKUP(AV$1,main!$A$3:$H$102,5,FALSE)-VLOOKUP($A41,main!$A$3:$H$102,6,FALSE)&gt;=(VLOOKUP(VLOOKUP(AV$1,main!$A$3:$H$102,8,FALSE),main!$K$26:$M$29,2,FALSE)+VLOOKUP(VLOOKUP(AV$1,main!$A$3:$H$102,7,FALSE),main!$K$19:$O$22,MATCH(VLOOKUP($A41,main!$A$3:$H$102,8,FALSE),main!$K$18:$O$18,0))))),1,0)</f>
        <v>0</v>
      </c>
      <c r="AW41">
        <f>IF((AND(VLOOKUP(AW$1,main!$A$3:$H$102,5,FALSE)-VLOOKUP($A41,main!$A$3:$H$102,6,FALSE)&gt;=(VLOOKUP(VLOOKUP(AW$1,main!$A$3:$H$102,8,FALSE),main!$K$26:$M$29,2,FALSE)+VLOOKUP(VLOOKUP(AW$1,main!$A$3:$H$102,7,FALSE),main!$K$19:$O$22,MATCH(VLOOKUP($A41,main!$A$3:$H$102,8,FALSE),main!$K$18:$O$18,0))))),1,0)</f>
        <v>1</v>
      </c>
      <c r="AX41">
        <f>IF((AND(VLOOKUP(AX$1,main!$A$3:$H$102,5,FALSE)-VLOOKUP($A41,main!$A$3:$H$102,6,FALSE)&gt;=(VLOOKUP(VLOOKUP(AX$1,main!$A$3:$H$102,8,FALSE),main!$K$26:$M$29,2,FALSE)+VLOOKUP(VLOOKUP(AX$1,main!$A$3:$H$102,7,FALSE),main!$K$19:$O$22,MATCH(VLOOKUP($A41,main!$A$3:$H$102,8,FALSE),main!$K$18:$O$18,0))))),1,0)</f>
        <v>1</v>
      </c>
      <c r="AY41">
        <f>IF((AND(VLOOKUP(AY$1,main!$A$3:$H$102,5,FALSE)-VLOOKUP($A41,main!$A$3:$H$102,6,FALSE)&gt;=(VLOOKUP(VLOOKUP(AY$1,main!$A$3:$H$102,8,FALSE),main!$K$26:$M$29,2,FALSE)+VLOOKUP(VLOOKUP(AY$1,main!$A$3:$H$102,7,FALSE),main!$K$19:$O$22,MATCH(VLOOKUP($A41,main!$A$3:$H$102,8,FALSE),main!$K$18:$O$18,0))))),1,0)</f>
        <v>0</v>
      </c>
      <c r="AZ41">
        <f>IF((AND(VLOOKUP(AZ$1,main!$A$3:$H$102,5,FALSE)-VLOOKUP($A41,main!$A$3:$H$102,6,FALSE)&gt;=(VLOOKUP(VLOOKUP(AZ$1,main!$A$3:$H$102,8,FALSE),main!$K$26:$M$29,2,FALSE)+VLOOKUP(VLOOKUP(AZ$1,main!$A$3:$H$102,7,FALSE),main!$K$19:$O$22,MATCH(VLOOKUP($A41,main!$A$3:$H$102,8,FALSE),main!$K$18:$O$18,0))))),1,0)</f>
        <v>1</v>
      </c>
      <c r="BA41">
        <f>IF((AND(VLOOKUP(BA$1,main!$A$3:$H$102,5,FALSE)-VLOOKUP($A41,main!$A$3:$H$102,6,FALSE)&gt;=(VLOOKUP(VLOOKUP(BA$1,main!$A$3:$H$102,8,FALSE),main!$K$26:$M$29,2,FALSE)+VLOOKUP(VLOOKUP(BA$1,main!$A$3:$H$102,7,FALSE),main!$K$19:$O$22,MATCH(VLOOKUP($A41,main!$A$3:$H$102,8,FALSE),main!$K$18:$O$18,0))))),1,0)</f>
        <v>0</v>
      </c>
      <c r="BB41">
        <f>IF((AND(VLOOKUP(BB$1,main!$A$3:$H$102,5,FALSE)-VLOOKUP($A41,main!$A$3:$H$102,6,FALSE)&gt;=(VLOOKUP(VLOOKUP(BB$1,main!$A$3:$H$102,8,FALSE),main!$K$26:$M$29,2,FALSE)+VLOOKUP(VLOOKUP(BB$1,main!$A$3:$H$102,7,FALSE),main!$K$19:$O$22,MATCH(VLOOKUP($A41,main!$A$3:$H$102,8,FALSE),main!$K$18:$O$18,0))))),1,0)</f>
        <v>1</v>
      </c>
      <c r="BC41">
        <f>IF((AND(VLOOKUP(BC$1,main!$A$3:$H$102,5,FALSE)-VLOOKUP($A41,main!$A$3:$H$102,6,FALSE)&gt;=(VLOOKUP(VLOOKUP(BC$1,main!$A$3:$H$102,8,FALSE),main!$K$26:$M$29,2,FALSE)+VLOOKUP(VLOOKUP(BC$1,main!$A$3:$H$102,7,FALSE),main!$K$19:$O$22,MATCH(VLOOKUP($A41,main!$A$3:$H$102,8,FALSE),main!$K$18:$O$18,0))))),1,0)</f>
        <v>1</v>
      </c>
      <c r="BD41">
        <f>IF((AND(VLOOKUP(BD$1,main!$A$3:$H$102,5,FALSE)-VLOOKUP($A41,main!$A$3:$H$102,6,FALSE)&gt;=(VLOOKUP(VLOOKUP(BD$1,main!$A$3:$H$102,8,FALSE),main!$K$26:$M$29,2,FALSE)+VLOOKUP(VLOOKUP(BD$1,main!$A$3:$H$102,7,FALSE),main!$K$19:$O$22,MATCH(VLOOKUP($A41,main!$A$3:$H$102,8,FALSE),main!$K$18:$O$18,0))))),1,0)</f>
        <v>1</v>
      </c>
      <c r="BE41">
        <f>IF((AND(VLOOKUP(BE$1,main!$A$3:$H$102,5,FALSE)-VLOOKUP($A41,main!$A$3:$H$102,6,FALSE)&gt;=(VLOOKUP(VLOOKUP(BE$1,main!$A$3:$H$102,8,FALSE),main!$K$26:$M$29,2,FALSE)+VLOOKUP(VLOOKUP(BE$1,main!$A$3:$H$102,7,FALSE),main!$K$19:$O$22,MATCH(VLOOKUP($A41,main!$A$3:$H$102,8,FALSE),main!$K$18:$O$18,0))))),1,0)</f>
        <v>1</v>
      </c>
      <c r="BF41">
        <f>IF((AND(VLOOKUP(BF$1,main!$A$3:$H$102,5,FALSE)-VLOOKUP($A41,main!$A$3:$H$102,6,FALSE)&gt;=(VLOOKUP(VLOOKUP(BF$1,main!$A$3:$H$102,8,FALSE),main!$K$26:$M$29,2,FALSE)+VLOOKUP(VLOOKUP(BF$1,main!$A$3:$H$102,7,FALSE),main!$K$19:$O$22,MATCH(VLOOKUP($A41,main!$A$3:$H$102,8,FALSE),main!$K$18:$O$18,0))))),1,0)</f>
        <v>0</v>
      </c>
      <c r="BG41">
        <f>IF((AND(VLOOKUP(BG$1,main!$A$3:$H$102,5,FALSE)-VLOOKUP($A41,main!$A$3:$H$102,6,FALSE)&gt;=(VLOOKUP(VLOOKUP(BG$1,main!$A$3:$H$102,8,FALSE),main!$K$26:$M$29,2,FALSE)+VLOOKUP(VLOOKUP(BG$1,main!$A$3:$H$102,7,FALSE),main!$K$19:$O$22,MATCH(VLOOKUP($A41,main!$A$3:$H$102,8,FALSE),main!$K$18:$O$18,0))))),1,0)</f>
        <v>1</v>
      </c>
      <c r="BH41">
        <f>IF((AND(VLOOKUP(BH$1,main!$A$3:$H$102,5,FALSE)-VLOOKUP($A41,main!$A$3:$H$102,6,FALSE)&gt;=(VLOOKUP(VLOOKUP(BH$1,main!$A$3:$H$102,8,FALSE),main!$K$26:$M$29,2,FALSE)+VLOOKUP(VLOOKUP(BH$1,main!$A$3:$H$102,7,FALSE),main!$K$19:$O$22,MATCH(VLOOKUP($A41,main!$A$3:$H$102,8,FALSE),main!$K$18:$O$18,0))))),1,0)</f>
        <v>1</v>
      </c>
      <c r="BI41">
        <f>IF((AND(VLOOKUP(BI$1,main!$A$3:$H$102,5,FALSE)-VLOOKUP($A41,main!$A$3:$H$102,6,FALSE)&gt;=(VLOOKUP(VLOOKUP(BI$1,main!$A$3:$H$102,8,FALSE),main!$K$26:$M$29,2,FALSE)+VLOOKUP(VLOOKUP(BI$1,main!$A$3:$H$102,7,FALSE),main!$K$19:$O$22,MATCH(VLOOKUP($A41,main!$A$3:$H$102,8,FALSE),main!$K$18:$O$18,0))))),1,0)</f>
        <v>1</v>
      </c>
      <c r="BJ41">
        <f>IF((AND(VLOOKUP(BJ$1,main!$A$3:$H$102,5,FALSE)-VLOOKUP($A41,main!$A$3:$H$102,6,FALSE)&gt;=(VLOOKUP(VLOOKUP(BJ$1,main!$A$3:$H$102,8,FALSE),main!$K$26:$M$29,2,FALSE)+VLOOKUP(VLOOKUP(BJ$1,main!$A$3:$H$102,7,FALSE),main!$K$19:$O$22,MATCH(VLOOKUP($A41,main!$A$3:$H$102,8,FALSE),main!$K$18:$O$18,0))))),1,0)</f>
        <v>1</v>
      </c>
      <c r="BK41">
        <f>IF((AND(VLOOKUP(BK$1,main!$A$3:$H$102,5,FALSE)-VLOOKUP($A41,main!$A$3:$H$102,6,FALSE)&gt;=(VLOOKUP(VLOOKUP(BK$1,main!$A$3:$H$102,8,FALSE),main!$K$26:$M$29,2,FALSE)+VLOOKUP(VLOOKUP(BK$1,main!$A$3:$H$102,7,FALSE),main!$K$19:$O$22,MATCH(VLOOKUP($A41,main!$A$3:$H$102,8,FALSE),main!$K$18:$O$18,0))))),1,0)</f>
        <v>0</v>
      </c>
      <c r="BL41">
        <f>IF((AND(VLOOKUP(BL$1,main!$A$3:$H$102,5,FALSE)-VLOOKUP($A41,main!$A$3:$H$102,6,FALSE)&gt;=(VLOOKUP(VLOOKUP(BL$1,main!$A$3:$H$102,8,FALSE),main!$K$26:$M$29,2,FALSE)+VLOOKUP(VLOOKUP(BL$1,main!$A$3:$H$102,7,FALSE),main!$K$19:$O$22,MATCH(VLOOKUP($A41,main!$A$3:$H$102,8,FALSE),main!$K$18:$O$18,0))))),1,0)</f>
        <v>0</v>
      </c>
      <c r="BM41">
        <f>IF((AND(VLOOKUP(BM$1,main!$A$3:$H$102,5,FALSE)-VLOOKUP($A41,main!$A$3:$H$102,6,FALSE)&gt;=(VLOOKUP(VLOOKUP(BM$1,main!$A$3:$H$102,8,FALSE),main!$K$26:$M$29,2,FALSE)+VLOOKUP(VLOOKUP(BM$1,main!$A$3:$H$102,7,FALSE),main!$K$19:$O$22,MATCH(VLOOKUP($A41,main!$A$3:$H$102,8,FALSE),main!$K$18:$O$18,0))))),1,0)</f>
        <v>1</v>
      </c>
      <c r="BN41">
        <f>IF((AND(VLOOKUP(BN$1,main!$A$3:$H$102,5,FALSE)-VLOOKUP($A41,main!$A$3:$H$102,6,FALSE)&gt;=(VLOOKUP(VLOOKUP(BN$1,main!$A$3:$H$102,8,FALSE),main!$K$26:$M$29,2,FALSE)+VLOOKUP(VLOOKUP(BN$1,main!$A$3:$H$102,7,FALSE),main!$K$19:$O$22,MATCH(VLOOKUP($A41,main!$A$3:$H$102,8,FALSE),main!$K$18:$O$18,0))))),1,0)</f>
        <v>1</v>
      </c>
      <c r="BO41">
        <f>IF((AND(VLOOKUP(BO$1,main!$A$3:$H$102,5,FALSE)-VLOOKUP($A41,main!$A$3:$H$102,6,FALSE)&gt;=(VLOOKUP(VLOOKUP(BO$1,main!$A$3:$H$102,8,FALSE),main!$K$26:$M$29,2,FALSE)+VLOOKUP(VLOOKUP(BO$1,main!$A$3:$H$102,7,FALSE),main!$K$19:$O$22,MATCH(VLOOKUP($A41,main!$A$3:$H$102,8,FALSE),main!$K$18:$O$18,0))))),1,0)</f>
        <v>0</v>
      </c>
      <c r="BP41">
        <f>IF((AND(VLOOKUP(BP$1,main!$A$3:$H$102,5,FALSE)-VLOOKUP($A41,main!$A$3:$H$102,6,FALSE)&gt;=(VLOOKUP(VLOOKUP(BP$1,main!$A$3:$H$102,8,FALSE),main!$K$26:$M$29,2,FALSE)+VLOOKUP(VLOOKUP(BP$1,main!$A$3:$H$102,7,FALSE),main!$K$19:$O$22,MATCH(VLOOKUP($A41,main!$A$3:$H$102,8,FALSE),main!$K$18:$O$18,0))))),1,0)</f>
        <v>0</v>
      </c>
      <c r="BQ41">
        <f>IF((AND(VLOOKUP(BQ$1,main!$A$3:$H$102,5,FALSE)-VLOOKUP($A41,main!$A$3:$H$102,6,FALSE)&gt;=(VLOOKUP(VLOOKUP(BQ$1,main!$A$3:$H$102,8,FALSE),main!$K$26:$M$29,2,FALSE)+VLOOKUP(VLOOKUP(BQ$1,main!$A$3:$H$102,7,FALSE),main!$K$19:$O$22,MATCH(VLOOKUP($A41,main!$A$3:$H$102,8,FALSE),main!$K$18:$O$18,0))))),1,0)</f>
        <v>1</v>
      </c>
      <c r="BR41">
        <f>IF((AND(VLOOKUP(BR$1,main!$A$3:$H$102,5,FALSE)-VLOOKUP($A41,main!$A$3:$H$102,6,FALSE)&gt;=(VLOOKUP(VLOOKUP(BR$1,main!$A$3:$H$102,8,FALSE),main!$K$26:$M$29,2,FALSE)+VLOOKUP(VLOOKUP(BR$1,main!$A$3:$H$102,7,FALSE),main!$K$19:$O$22,MATCH(VLOOKUP($A41,main!$A$3:$H$102,8,FALSE),main!$K$18:$O$18,0))))),1,0)</f>
        <v>1</v>
      </c>
      <c r="BS41">
        <f>IF((AND(VLOOKUP(BS$1,main!$A$3:$H$102,5,FALSE)-VLOOKUP($A41,main!$A$3:$H$102,6,FALSE)&gt;=(VLOOKUP(VLOOKUP(BS$1,main!$A$3:$H$102,8,FALSE),main!$K$26:$M$29,2,FALSE)+VLOOKUP(VLOOKUP(BS$1,main!$A$3:$H$102,7,FALSE),main!$K$19:$O$22,MATCH(VLOOKUP($A41,main!$A$3:$H$102,8,FALSE),main!$K$18:$O$18,0))))),1,0)</f>
        <v>1</v>
      </c>
      <c r="BT41">
        <f>IF((AND(VLOOKUP(BT$1,main!$A$3:$H$102,5,FALSE)-VLOOKUP($A41,main!$A$3:$H$102,6,FALSE)&gt;=(VLOOKUP(VLOOKUP(BT$1,main!$A$3:$H$102,8,FALSE),main!$K$26:$M$29,2,FALSE)+VLOOKUP(VLOOKUP(BT$1,main!$A$3:$H$102,7,FALSE),main!$K$19:$O$22,MATCH(VLOOKUP($A41,main!$A$3:$H$102,8,FALSE),main!$K$18:$O$18,0))))),1,0)</f>
        <v>1</v>
      </c>
      <c r="BU41">
        <f>IF((AND(VLOOKUP(BU$1,main!$A$3:$H$102,5,FALSE)-VLOOKUP($A41,main!$A$3:$H$102,6,FALSE)&gt;=(VLOOKUP(VLOOKUP(BU$1,main!$A$3:$H$102,8,FALSE),main!$K$26:$M$29,2,FALSE)+VLOOKUP(VLOOKUP(BU$1,main!$A$3:$H$102,7,FALSE),main!$K$19:$O$22,MATCH(VLOOKUP($A41,main!$A$3:$H$102,8,FALSE),main!$K$18:$O$18,0))))),1,0)</f>
        <v>0</v>
      </c>
      <c r="BV41">
        <f>IF((AND(VLOOKUP(BV$1,main!$A$3:$H$102,5,FALSE)-VLOOKUP($A41,main!$A$3:$H$102,6,FALSE)&gt;=(VLOOKUP(VLOOKUP(BV$1,main!$A$3:$H$102,8,FALSE),main!$K$26:$M$29,2,FALSE)+VLOOKUP(VLOOKUP(BV$1,main!$A$3:$H$102,7,FALSE),main!$K$19:$O$22,MATCH(VLOOKUP($A41,main!$A$3:$H$102,8,FALSE),main!$K$18:$O$18,0))))),1,0)</f>
        <v>0</v>
      </c>
      <c r="BW41">
        <f>IF((AND(VLOOKUP(BW$1,main!$A$3:$H$102,5,FALSE)-VLOOKUP($A41,main!$A$3:$H$102,6,FALSE)&gt;=(VLOOKUP(VLOOKUP(BW$1,main!$A$3:$H$102,8,FALSE),main!$K$26:$M$29,2,FALSE)+VLOOKUP(VLOOKUP(BW$1,main!$A$3:$H$102,7,FALSE),main!$K$19:$O$22,MATCH(VLOOKUP($A41,main!$A$3:$H$102,8,FALSE),main!$K$18:$O$18,0))))),1,0)</f>
        <v>0</v>
      </c>
      <c r="BX41">
        <f>IF((AND(VLOOKUP(BX$1,main!$A$3:$H$102,5,FALSE)-VLOOKUP($A41,main!$A$3:$H$102,6,FALSE)&gt;=(VLOOKUP(VLOOKUP(BX$1,main!$A$3:$H$102,8,FALSE),main!$K$26:$M$29,2,FALSE)+VLOOKUP(VLOOKUP(BX$1,main!$A$3:$H$102,7,FALSE),main!$K$19:$O$22,MATCH(VLOOKUP($A41,main!$A$3:$H$102,8,FALSE),main!$K$18:$O$18,0))))),1,0)</f>
        <v>1</v>
      </c>
      <c r="BY41">
        <f>IF((AND(VLOOKUP(BY$1,main!$A$3:$H$102,5,FALSE)-VLOOKUP($A41,main!$A$3:$H$102,6,FALSE)&gt;=(VLOOKUP(VLOOKUP(BY$1,main!$A$3:$H$102,8,FALSE),main!$K$26:$M$29,2,FALSE)+VLOOKUP(VLOOKUP(BY$1,main!$A$3:$H$102,7,FALSE),main!$K$19:$O$22,MATCH(VLOOKUP($A41,main!$A$3:$H$102,8,FALSE),main!$K$18:$O$18,0))))),1,0)</f>
        <v>1</v>
      </c>
      <c r="BZ41">
        <f>IF((AND(VLOOKUP(BZ$1,main!$A$3:$H$102,5,FALSE)-VLOOKUP($A41,main!$A$3:$H$102,6,FALSE)&gt;=(VLOOKUP(VLOOKUP(BZ$1,main!$A$3:$H$102,8,FALSE),main!$K$26:$M$29,2,FALSE)+VLOOKUP(VLOOKUP(BZ$1,main!$A$3:$H$102,7,FALSE),main!$K$19:$O$22,MATCH(VLOOKUP($A41,main!$A$3:$H$102,8,FALSE),main!$K$18:$O$18,0))))),1,0)</f>
        <v>0</v>
      </c>
      <c r="CA41">
        <f>IF((AND(VLOOKUP(CA$1,main!$A$3:$H$102,5,FALSE)-VLOOKUP($A41,main!$A$3:$H$102,6,FALSE)&gt;=(VLOOKUP(VLOOKUP(CA$1,main!$A$3:$H$102,8,FALSE),main!$K$26:$M$29,2,FALSE)+VLOOKUP(VLOOKUP(CA$1,main!$A$3:$H$102,7,FALSE),main!$K$19:$O$22,MATCH(VLOOKUP($A41,main!$A$3:$H$102,8,FALSE),main!$K$18:$O$18,0))))),1,0)</f>
        <v>0</v>
      </c>
      <c r="CB41">
        <f>IF((AND(VLOOKUP(CB$1,main!$A$3:$H$102,5,FALSE)-VLOOKUP($A41,main!$A$3:$H$102,6,FALSE)&gt;=(VLOOKUP(VLOOKUP(CB$1,main!$A$3:$H$102,8,FALSE),main!$K$26:$M$29,2,FALSE)+VLOOKUP(VLOOKUP(CB$1,main!$A$3:$H$102,7,FALSE),main!$K$19:$O$22,MATCH(VLOOKUP($A41,main!$A$3:$H$102,8,FALSE),main!$K$18:$O$18,0))))),1,0)</f>
        <v>1</v>
      </c>
      <c r="CC41">
        <f>IF((AND(VLOOKUP(CC$1,main!$A$3:$H$102,5,FALSE)-VLOOKUP($A41,main!$A$3:$H$102,6,FALSE)&gt;=(VLOOKUP(VLOOKUP(CC$1,main!$A$3:$H$102,8,FALSE),main!$K$26:$M$29,2,FALSE)+VLOOKUP(VLOOKUP(CC$1,main!$A$3:$H$102,7,FALSE),main!$K$19:$O$22,MATCH(VLOOKUP($A41,main!$A$3:$H$102,8,FALSE),main!$K$18:$O$18,0))))),1,0)</f>
        <v>1</v>
      </c>
      <c r="CD41">
        <f>IF((AND(VLOOKUP(CD$1,main!$A$3:$H$102,5,FALSE)-VLOOKUP($A41,main!$A$3:$H$102,6,FALSE)&gt;=(VLOOKUP(VLOOKUP(CD$1,main!$A$3:$H$102,8,FALSE),main!$K$26:$M$29,2,FALSE)+VLOOKUP(VLOOKUP(CD$1,main!$A$3:$H$102,7,FALSE),main!$K$19:$O$22,MATCH(VLOOKUP($A41,main!$A$3:$H$102,8,FALSE),main!$K$18:$O$18,0))))),1,0)</f>
        <v>1</v>
      </c>
      <c r="CE41">
        <f>IF((AND(VLOOKUP(CE$1,main!$A$3:$H$102,5,FALSE)-VLOOKUP($A41,main!$A$3:$H$102,6,FALSE)&gt;=(VLOOKUP(VLOOKUP(CE$1,main!$A$3:$H$102,8,FALSE),main!$K$26:$M$29,2,FALSE)+VLOOKUP(VLOOKUP(CE$1,main!$A$3:$H$102,7,FALSE),main!$K$19:$O$22,MATCH(VLOOKUP($A41,main!$A$3:$H$102,8,FALSE),main!$K$18:$O$18,0))))),1,0)</f>
        <v>1</v>
      </c>
      <c r="CF41">
        <f>IF((AND(VLOOKUP(CF$1,main!$A$3:$H$102,5,FALSE)-VLOOKUP($A41,main!$A$3:$H$102,6,FALSE)&gt;=(VLOOKUP(VLOOKUP(CF$1,main!$A$3:$H$102,8,FALSE),main!$K$26:$M$29,2,FALSE)+VLOOKUP(VLOOKUP(CF$1,main!$A$3:$H$102,7,FALSE),main!$K$19:$O$22,MATCH(VLOOKUP($A41,main!$A$3:$H$102,8,FALSE),main!$K$18:$O$18,0))))),1,0)</f>
        <v>1</v>
      </c>
      <c r="CG41">
        <f>IF((AND(VLOOKUP(CG$1,main!$A$3:$H$102,5,FALSE)-VLOOKUP($A41,main!$A$3:$H$102,6,FALSE)&gt;=(VLOOKUP(VLOOKUP(CG$1,main!$A$3:$H$102,8,FALSE),main!$K$26:$M$29,2,FALSE)+VLOOKUP(VLOOKUP(CG$1,main!$A$3:$H$102,7,FALSE),main!$K$19:$O$22,MATCH(VLOOKUP($A41,main!$A$3:$H$102,8,FALSE),main!$K$18:$O$18,0))))),1,0)</f>
        <v>1</v>
      </c>
      <c r="CH41">
        <f>IF((AND(VLOOKUP(CH$1,main!$A$3:$H$102,5,FALSE)-VLOOKUP($A41,main!$A$3:$H$102,6,FALSE)&gt;=(VLOOKUP(VLOOKUP(CH$1,main!$A$3:$H$102,8,FALSE),main!$K$26:$M$29,2,FALSE)+VLOOKUP(VLOOKUP(CH$1,main!$A$3:$H$102,7,FALSE),main!$K$19:$O$22,MATCH(VLOOKUP($A41,main!$A$3:$H$102,8,FALSE),main!$K$18:$O$18,0))))),1,0)</f>
        <v>1</v>
      </c>
      <c r="CI41">
        <f>IF((AND(VLOOKUP(CI$1,main!$A$3:$H$102,5,FALSE)-VLOOKUP($A41,main!$A$3:$H$102,6,FALSE)&gt;=(VLOOKUP(VLOOKUP(CI$1,main!$A$3:$H$102,8,FALSE),main!$K$26:$M$29,2,FALSE)+VLOOKUP(VLOOKUP(CI$1,main!$A$3:$H$102,7,FALSE),main!$K$19:$O$22,MATCH(VLOOKUP($A41,main!$A$3:$H$102,8,FALSE),main!$K$18:$O$18,0))))),1,0)</f>
        <v>1</v>
      </c>
      <c r="CJ41">
        <f>IF((AND(VLOOKUP(CJ$1,main!$A$3:$H$102,5,FALSE)-VLOOKUP($A41,main!$A$3:$H$102,6,FALSE)&gt;=(VLOOKUP(VLOOKUP(CJ$1,main!$A$3:$H$102,8,FALSE),main!$K$26:$M$29,2,FALSE)+VLOOKUP(VLOOKUP(CJ$1,main!$A$3:$H$102,7,FALSE),main!$K$19:$O$22,MATCH(VLOOKUP($A41,main!$A$3:$H$102,8,FALSE),main!$K$18:$O$18,0))))),1,0)</f>
        <v>1</v>
      </c>
      <c r="CK41">
        <f>IF((AND(VLOOKUP(CK$1,main!$A$3:$H$102,5,FALSE)-VLOOKUP($A41,main!$A$3:$H$102,6,FALSE)&gt;=(VLOOKUP(VLOOKUP(CK$1,main!$A$3:$H$102,8,FALSE),main!$K$26:$M$29,2,FALSE)+VLOOKUP(VLOOKUP(CK$1,main!$A$3:$H$102,7,FALSE),main!$K$19:$O$22,MATCH(VLOOKUP($A41,main!$A$3:$H$102,8,FALSE),main!$K$18:$O$18,0))))),1,0)</f>
        <v>1</v>
      </c>
      <c r="CL41">
        <f>IF((AND(VLOOKUP(CL$1,main!$A$3:$H$102,5,FALSE)-VLOOKUP($A41,main!$A$3:$H$102,6,FALSE)&gt;=(VLOOKUP(VLOOKUP(CL$1,main!$A$3:$H$102,8,FALSE),main!$K$26:$M$29,2,FALSE)+VLOOKUP(VLOOKUP(CL$1,main!$A$3:$H$102,7,FALSE),main!$K$19:$O$22,MATCH(VLOOKUP($A41,main!$A$3:$H$102,8,FALSE),main!$K$18:$O$18,0))))),1,0)</f>
        <v>1</v>
      </c>
      <c r="CM41">
        <f>IF((AND(VLOOKUP(CM$1,main!$A$3:$H$102,5,FALSE)-VLOOKUP($A41,main!$A$3:$H$102,6,FALSE)&gt;=(VLOOKUP(VLOOKUP(CM$1,main!$A$3:$H$102,8,FALSE),main!$K$26:$M$29,2,FALSE)+VLOOKUP(VLOOKUP(CM$1,main!$A$3:$H$102,7,FALSE),main!$K$19:$O$22,MATCH(VLOOKUP($A41,main!$A$3:$H$102,8,FALSE),main!$K$18:$O$18,0))))),1,0)</f>
        <v>1</v>
      </c>
      <c r="CN41">
        <f>IF((AND(VLOOKUP(CN$1,main!$A$3:$H$102,5,FALSE)-VLOOKUP($A41,main!$A$3:$H$102,6,FALSE)&gt;=(VLOOKUP(VLOOKUP(CN$1,main!$A$3:$H$102,8,FALSE),main!$K$26:$M$29,2,FALSE)+VLOOKUP(VLOOKUP(CN$1,main!$A$3:$H$102,7,FALSE),main!$K$19:$O$22,MATCH(VLOOKUP($A41,main!$A$3:$H$102,8,FALSE),main!$K$18:$O$18,0))))),1,0)</f>
        <v>1</v>
      </c>
      <c r="CO41">
        <f>IF((AND(VLOOKUP(CO$1,main!$A$3:$H$102,5,FALSE)-VLOOKUP($A41,main!$A$3:$H$102,6,FALSE)&gt;=(VLOOKUP(VLOOKUP(CO$1,main!$A$3:$H$102,8,FALSE),main!$K$26:$M$29,2,FALSE)+VLOOKUP(VLOOKUP(CO$1,main!$A$3:$H$102,7,FALSE),main!$K$19:$O$22,MATCH(VLOOKUP($A41,main!$A$3:$H$102,8,FALSE),main!$K$18:$O$18,0))))),1,0)</f>
        <v>0</v>
      </c>
      <c r="CP41">
        <f>IF((AND(VLOOKUP(CP$1,main!$A$3:$H$102,5,FALSE)-VLOOKUP($A41,main!$A$3:$H$102,6,FALSE)&gt;=(VLOOKUP(VLOOKUP(CP$1,main!$A$3:$H$102,8,FALSE),main!$K$26:$M$29,2,FALSE)+VLOOKUP(VLOOKUP(CP$1,main!$A$3:$H$102,7,FALSE),main!$K$19:$O$22,MATCH(VLOOKUP($A41,main!$A$3:$H$102,8,FALSE),main!$K$18:$O$18,0))))),1,0)</f>
        <v>1</v>
      </c>
      <c r="CQ41">
        <f>IF((AND(VLOOKUP(CQ$1,main!$A$3:$H$102,5,FALSE)-VLOOKUP($A41,main!$A$3:$H$102,6,FALSE)&gt;=(VLOOKUP(VLOOKUP(CQ$1,main!$A$3:$H$102,8,FALSE),main!$K$26:$M$29,2,FALSE)+VLOOKUP(VLOOKUP(CQ$1,main!$A$3:$H$102,7,FALSE),main!$K$19:$O$22,MATCH(VLOOKUP($A41,main!$A$3:$H$102,8,FALSE),main!$K$18:$O$18,0))))),1,0)</f>
        <v>1</v>
      </c>
      <c r="CR41">
        <f>IF((AND(VLOOKUP(CR$1,main!$A$3:$H$102,5,FALSE)-VLOOKUP($A41,main!$A$3:$H$102,6,FALSE)&gt;=(VLOOKUP(VLOOKUP(CR$1,main!$A$3:$H$102,8,FALSE),main!$K$26:$M$29,2,FALSE)+VLOOKUP(VLOOKUP(CR$1,main!$A$3:$H$102,7,FALSE),main!$K$19:$O$22,MATCH(VLOOKUP($A41,main!$A$3:$H$102,8,FALSE),main!$K$18:$O$18,0))))),1,0)</f>
        <v>1</v>
      </c>
      <c r="CS41">
        <f>IF((AND(VLOOKUP(CS$1,main!$A$3:$H$102,5,FALSE)-VLOOKUP($A41,main!$A$3:$H$102,6,FALSE)&gt;=(VLOOKUP(VLOOKUP(CS$1,main!$A$3:$H$102,8,FALSE),main!$K$26:$M$29,2,FALSE)+VLOOKUP(VLOOKUP(CS$1,main!$A$3:$H$102,7,FALSE),main!$K$19:$O$22,MATCH(VLOOKUP($A41,main!$A$3:$H$102,8,FALSE),main!$K$18:$O$18,0))))),1,0)</f>
        <v>1</v>
      </c>
      <c r="CT41">
        <f>IF((AND(VLOOKUP(CT$1,main!$A$3:$H$102,5,FALSE)-VLOOKUP($A41,main!$A$3:$H$102,6,FALSE)&gt;=(VLOOKUP(VLOOKUP(CT$1,main!$A$3:$H$102,8,FALSE),main!$K$26:$M$29,2,FALSE)+VLOOKUP(VLOOKUP(CT$1,main!$A$3:$H$102,7,FALSE),main!$K$19:$O$22,MATCH(VLOOKUP($A41,main!$A$3:$H$102,8,FALSE),main!$K$18:$O$18,0))))),1,0)</f>
        <v>0</v>
      </c>
      <c r="CU41">
        <f>IF((AND(VLOOKUP(CU$1,main!$A$3:$H$102,5,FALSE)-VLOOKUP($A41,main!$A$3:$H$102,6,FALSE)&gt;=(VLOOKUP(VLOOKUP(CU$1,main!$A$3:$H$102,8,FALSE),main!$K$26:$M$29,2,FALSE)+VLOOKUP(VLOOKUP(CU$1,main!$A$3:$H$102,7,FALSE),main!$K$19:$O$22,MATCH(VLOOKUP($A41,main!$A$3:$H$102,8,FALSE),main!$K$18:$O$18,0))))),1,0)</f>
        <v>0</v>
      </c>
      <c r="CV41">
        <f>IF((AND(VLOOKUP(CV$1,main!$A$3:$H$102,5,FALSE)-VLOOKUP($A41,main!$A$3:$H$102,6,FALSE)&gt;=(VLOOKUP(VLOOKUP(CV$1,main!$A$3:$H$102,8,FALSE),main!$K$26:$M$29,2,FALSE)+VLOOKUP(VLOOKUP(CV$1,main!$A$3:$H$102,7,FALSE),main!$K$19:$O$22,MATCH(VLOOKUP($A41,main!$A$3:$H$102,8,FALSE),main!$K$18:$O$18,0))))),1,0)</f>
        <v>1</v>
      </c>
      <c r="CW41">
        <f>IF((AND(VLOOKUP(CW$1,main!$A$3:$H$102,5,FALSE)-VLOOKUP($A41,main!$A$3:$H$102,6,FALSE)&gt;=(VLOOKUP(VLOOKUP(CW$1,main!$A$3:$H$102,8,FALSE),main!$K$26:$M$29,2,FALSE)+VLOOKUP(VLOOKUP(CW$1,main!$A$3:$H$102,7,FALSE),main!$K$19:$O$22,MATCH(VLOOKUP($A41,main!$A$3:$H$102,8,FALSE),main!$K$18:$O$18,0))))),1,0)</f>
        <v>1</v>
      </c>
      <c r="CX41">
        <f>IF((AND(VLOOKUP(CX$1,main!$A$3:$H$102,5,FALSE)-VLOOKUP($A41,main!$A$3:$H$102,6,FALSE)&gt;=(VLOOKUP(VLOOKUP(CX$1,main!$A$3:$H$102,8,FALSE),main!$K$26:$M$29,2,FALSE)+VLOOKUP(VLOOKUP(CX$1,main!$A$3:$H$102,7,FALSE),main!$K$19:$O$22,MATCH(VLOOKUP($A41,main!$A$3:$H$102,8,FALSE),main!$K$18:$O$18,0))))),1,0)</f>
        <v>1</v>
      </c>
    </row>
    <row r="42" spans="1:102" x14ac:dyDescent="0.25">
      <c r="A42" s="1">
        <v>40</v>
      </c>
      <c r="B42">
        <v>1</v>
      </c>
      <c r="C42">
        <f>IF((AND(VLOOKUP(C$1,main!$A$3:$H$102,5,FALSE)-VLOOKUP($A42,main!$A$3:$H$102,6,FALSE)&gt;=(VLOOKUP(VLOOKUP(C$1,main!$A$3:$H$102,8,FALSE),main!$K$26:$M$29,2,FALSE)+VLOOKUP(VLOOKUP(C$1,main!$A$3:$H$102,7,FALSE),main!$K$19:$O$22,MATCH(VLOOKUP($A42,main!$A$3:$H$102,8,FALSE),main!$K$18:$O$18,0))))),1,0)</f>
        <v>0</v>
      </c>
      <c r="D42">
        <f>IF((AND(VLOOKUP(D$1,main!$A$3:$H$102,5,FALSE)-VLOOKUP($A42,main!$A$3:$H$102,6,FALSE)&gt;=(VLOOKUP(VLOOKUP(D$1,main!$A$3:$H$102,8,FALSE),main!$K$26:$M$29,2,FALSE)+VLOOKUP(VLOOKUP(D$1,main!$A$3:$H$102,7,FALSE),main!$K$19:$O$22,MATCH(VLOOKUP($A42,main!$A$3:$H$102,8,FALSE),main!$K$18:$O$18,0))))),1,0)</f>
        <v>0</v>
      </c>
      <c r="E42">
        <f>IF((AND(VLOOKUP(E$1,main!$A$3:$H$102,5,FALSE)-VLOOKUP($A42,main!$A$3:$H$102,6,FALSE)&gt;=(VLOOKUP(VLOOKUP(E$1,main!$A$3:$H$102,8,FALSE),main!$K$26:$M$29,2,FALSE)+VLOOKUP(VLOOKUP(E$1,main!$A$3:$H$102,7,FALSE),main!$K$19:$O$22,MATCH(VLOOKUP($A42,main!$A$3:$H$102,8,FALSE),main!$K$18:$O$18,0))))),1,0)</f>
        <v>0</v>
      </c>
      <c r="F42">
        <f>IF((AND(VLOOKUP(F$1,main!$A$3:$H$102,5,FALSE)-VLOOKUP($A42,main!$A$3:$H$102,6,FALSE)&gt;=(VLOOKUP(VLOOKUP(F$1,main!$A$3:$H$102,8,FALSE),main!$K$26:$M$29,2,FALSE)+VLOOKUP(VLOOKUP(F$1,main!$A$3:$H$102,7,FALSE),main!$K$19:$O$22,MATCH(VLOOKUP($A42,main!$A$3:$H$102,8,FALSE),main!$K$18:$O$18,0))))),1,0)</f>
        <v>0</v>
      </c>
      <c r="G42">
        <f>IF((AND(VLOOKUP(G$1,main!$A$3:$H$102,5,FALSE)-VLOOKUP($A42,main!$A$3:$H$102,6,FALSE)&gt;=(VLOOKUP(VLOOKUP(G$1,main!$A$3:$H$102,8,FALSE),main!$K$26:$M$29,2,FALSE)+VLOOKUP(VLOOKUP(G$1,main!$A$3:$H$102,7,FALSE),main!$K$19:$O$22,MATCH(VLOOKUP($A42,main!$A$3:$H$102,8,FALSE),main!$K$18:$O$18,0))))),1,0)</f>
        <v>0</v>
      </c>
      <c r="H42">
        <f>IF((AND(VLOOKUP(H$1,main!$A$3:$H$102,5,FALSE)-VLOOKUP($A42,main!$A$3:$H$102,6,FALSE)&gt;=(VLOOKUP(VLOOKUP(H$1,main!$A$3:$H$102,8,FALSE),main!$K$26:$M$29,2,FALSE)+VLOOKUP(VLOOKUP(H$1,main!$A$3:$H$102,7,FALSE),main!$K$19:$O$22,MATCH(VLOOKUP($A42,main!$A$3:$H$102,8,FALSE),main!$K$18:$O$18,0))))),1,0)</f>
        <v>0</v>
      </c>
      <c r="I42">
        <f>IF((AND(VLOOKUP(I$1,main!$A$3:$H$102,5,FALSE)-VLOOKUP($A42,main!$A$3:$H$102,6,FALSE)&gt;=(VLOOKUP(VLOOKUP(I$1,main!$A$3:$H$102,8,FALSE),main!$K$26:$M$29,2,FALSE)+VLOOKUP(VLOOKUP(I$1,main!$A$3:$H$102,7,FALSE),main!$K$19:$O$22,MATCH(VLOOKUP($A42,main!$A$3:$H$102,8,FALSE),main!$K$18:$O$18,0))))),1,0)</f>
        <v>0</v>
      </c>
      <c r="J42">
        <f>IF((AND(VLOOKUP(J$1,main!$A$3:$H$102,5,FALSE)-VLOOKUP($A42,main!$A$3:$H$102,6,FALSE)&gt;=(VLOOKUP(VLOOKUP(J$1,main!$A$3:$H$102,8,FALSE),main!$K$26:$M$29,2,FALSE)+VLOOKUP(VLOOKUP(J$1,main!$A$3:$H$102,7,FALSE),main!$K$19:$O$22,MATCH(VLOOKUP($A42,main!$A$3:$H$102,8,FALSE),main!$K$18:$O$18,0))))),1,0)</f>
        <v>0</v>
      </c>
      <c r="K42">
        <f>IF((AND(VLOOKUP(K$1,main!$A$3:$H$102,5,FALSE)-VLOOKUP($A42,main!$A$3:$H$102,6,FALSE)&gt;=(VLOOKUP(VLOOKUP(K$1,main!$A$3:$H$102,8,FALSE),main!$K$26:$M$29,2,FALSE)+VLOOKUP(VLOOKUP(K$1,main!$A$3:$H$102,7,FALSE),main!$K$19:$O$22,MATCH(VLOOKUP($A42,main!$A$3:$H$102,8,FALSE),main!$K$18:$O$18,0))))),1,0)</f>
        <v>0</v>
      </c>
      <c r="L42">
        <f>IF((AND(VLOOKUP(L$1,main!$A$3:$H$102,5,FALSE)-VLOOKUP($A42,main!$A$3:$H$102,6,FALSE)&gt;=(VLOOKUP(VLOOKUP(L$1,main!$A$3:$H$102,8,FALSE),main!$K$26:$M$29,2,FALSE)+VLOOKUP(VLOOKUP(L$1,main!$A$3:$H$102,7,FALSE),main!$K$19:$O$22,MATCH(VLOOKUP($A42,main!$A$3:$H$102,8,FALSE),main!$K$18:$O$18,0))))),1,0)</f>
        <v>0</v>
      </c>
      <c r="M42">
        <f>IF((AND(VLOOKUP(M$1,main!$A$3:$H$102,5,FALSE)-VLOOKUP($A42,main!$A$3:$H$102,6,FALSE)&gt;=(VLOOKUP(VLOOKUP(M$1,main!$A$3:$H$102,8,FALSE),main!$K$26:$M$29,2,FALSE)+VLOOKUP(VLOOKUP(M$1,main!$A$3:$H$102,7,FALSE),main!$K$19:$O$22,MATCH(VLOOKUP($A42,main!$A$3:$H$102,8,FALSE),main!$K$18:$O$18,0))))),1,0)</f>
        <v>0</v>
      </c>
      <c r="N42">
        <f>IF((AND(VLOOKUP(N$1,main!$A$3:$H$102,5,FALSE)-VLOOKUP($A42,main!$A$3:$H$102,6,FALSE)&gt;=(VLOOKUP(VLOOKUP(N$1,main!$A$3:$H$102,8,FALSE),main!$K$26:$M$29,2,FALSE)+VLOOKUP(VLOOKUP(N$1,main!$A$3:$H$102,7,FALSE),main!$K$19:$O$22,MATCH(VLOOKUP($A42,main!$A$3:$H$102,8,FALSE),main!$K$18:$O$18,0))))),1,0)</f>
        <v>0</v>
      </c>
      <c r="O42">
        <f>IF((AND(VLOOKUP(O$1,main!$A$3:$H$102,5,FALSE)-VLOOKUP($A42,main!$A$3:$H$102,6,FALSE)&gt;=(VLOOKUP(VLOOKUP(O$1,main!$A$3:$H$102,8,FALSE),main!$K$26:$M$29,2,FALSE)+VLOOKUP(VLOOKUP(O$1,main!$A$3:$H$102,7,FALSE),main!$K$19:$O$22,MATCH(VLOOKUP($A42,main!$A$3:$H$102,8,FALSE),main!$K$18:$O$18,0))))),1,0)</f>
        <v>0</v>
      </c>
      <c r="P42">
        <f>IF((AND(VLOOKUP(P$1,main!$A$3:$H$102,5,FALSE)-VLOOKUP($A42,main!$A$3:$H$102,6,FALSE)&gt;=(VLOOKUP(VLOOKUP(P$1,main!$A$3:$H$102,8,FALSE),main!$K$26:$M$29,2,FALSE)+VLOOKUP(VLOOKUP(P$1,main!$A$3:$H$102,7,FALSE),main!$K$19:$O$22,MATCH(VLOOKUP($A42,main!$A$3:$H$102,8,FALSE),main!$K$18:$O$18,0))))),1,0)</f>
        <v>0</v>
      </c>
      <c r="Q42">
        <f>IF((AND(VLOOKUP(Q$1,main!$A$3:$H$102,5,FALSE)-VLOOKUP($A42,main!$A$3:$H$102,6,FALSE)&gt;=(VLOOKUP(VLOOKUP(Q$1,main!$A$3:$H$102,8,FALSE),main!$K$26:$M$29,2,FALSE)+VLOOKUP(VLOOKUP(Q$1,main!$A$3:$H$102,7,FALSE),main!$K$19:$O$22,MATCH(VLOOKUP($A42,main!$A$3:$H$102,8,FALSE),main!$K$18:$O$18,0))))),1,0)</f>
        <v>0</v>
      </c>
      <c r="R42">
        <f>IF((AND(VLOOKUP(R$1,main!$A$3:$H$102,5,FALSE)-VLOOKUP($A42,main!$A$3:$H$102,6,FALSE)&gt;=(VLOOKUP(VLOOKUP(R$1,main!$A$3:$H$102,8,FALSE),main!$K$26:$M$29,2,FALSE)+VLOOKUP(VLOOKUP(R$1,main!$A$3:$H$102,7,FALSE),main!$K$19:$O$22,MATCH(VLOOKUP($A42,main!$A$3:$H$102,8,FALSE),main!$K$18:$O$18,0))))),1,0)</f>
        <v>0</v>
      </c>
      <c r="S42">
        <f>IF((AND(VLOOKUP(S$1,main!$A$3:$H$102,5,FALSE)-VLOOKUP($A42,main!$A$3:$H$102,6,FALSE)&gt;=(VLOOKUP(VLOOKUP(S$1,main!$A$3:$H$102,8,FALSE),main!$K$26:$M$29,2,FALSE)+VLOOKUP(VLOOKUP(S$1,main!$A$3:$H$102,7,FALSE),main!$K$19:$O$22,MATCH(VLOOKUP($A42,main!$A$3:$H$102,8,FALSE),main!$K$18:$O$18,0))))),1,0)</f>
        <v>0</v>
      </c>
      <c r="T42">
        <f>IF((AND(VLOOKUP(T$1,main!$A$3:$H$102,5,FALSE)-VLOOKUP($A42,main!$A$3:$H$102,6,FALSE)&gt;=(VLOOKUP(VLOOKUP(T$1,main!$A$3:$H$102,8,FALSE),main!$K$26:$M$29,2,FALSE)+VLOOKUP(VLOOKUP(T$1,main!$A$3:$H$102,7,FALSE),main!$K$19:$O$22,MATCH(VLOOKUP($A42,main!$A$3:$H$102,8,FALSE),main!$K$18:$O$18,0))))),1,0)</f>
        <v>0</v>
      </c>
      <c r="U42">
        <f>IF((AND(VLOOKUP(U$1,main!$A$3:$H$102,5,FALSE)-VLOOKUP($A42,main!$A$3:$H$102,6,FALSE)&gt;=(VLOOKUP(VLOOKUP(U$1,main!$A$3:$H$102,8,FALSE),main!$K$26:$M$29,2,FALSE)+VLOOKUP(VLOOKUP(U$1,main!$A$3:$H$102,7,FALSE),main!$K$19:$O$22,MATCH(VLOOKUP($A42,main!$A$3:$H$102,8,FALSE),main!$K$18:$O$18,0))))),1,0)</f>
        <v>0</v>
      </c>
      <c r="V42">
        <f>IF((AND(VLOOKUP(V$1,main!$A$3:$H$102,5,FALSE)-VLOOKUP($A42,main!$A$3:$H$102,6,FALSE)&gt;=(VLOOKUP(VLOOKUP(V$1,main!$A$3:$H$102,8,FALSE),main!$K$26:$M$29,2,FALSE)+VLOOKUP(VLOOKUP(V$1,main!$A$3:$H$102,7,FALSE),main!$K$19:$O$22,MATCH(VLOOKUP($A42,main!$A$3:$H$102,8,FALSE),main!$K$18:$O$18,0))))),1,0)</f>
        <v>0</v>
      </c>
      <c r="W42">
        <f>IF((AND(VLOOKUP(W$1,main!$A$3:$H$102,5,FALSE)-VLOOKUP($A42,main!$A$3:$H$102,6,FALSE)&gt;=(VLOOKUP(VLOOKUP(W$1,main!$A$3:$H$102,8,FALSE),main!$K$26:$M$29,2,FALSE)+VLOOKUP(VLOOKUP(W$1,main!$A$3:$H$102,7,FALSE),main!$K$19:$O$22,MATCH(VLOOKUP($A42,main!$A$3:$H$102,8,FALSE),main!$K$18:$O$18,0))))),1,0)</f>
        <v>0</v>
      </c>
      <c r="X42">
        <f>IF((AND(VLOOKUP(X$1,main!$A$3:$H$102,5,FALSE)-VLOOKUP($A42,main!$A$3:$H$102,6,FALSE)&gt;=(VLOOKUP(VLOOKUP(X$1,main!$A$3:$H$102,8,FALSE),main!$K$26:$M$29,2,FALSE)+VLOOKUP(VLOOKUP(X$1,main!$A$3:$H$102,7,FALSE),main!$K$19:$O$22,MATCH(VLOOKUP($A42,main!$A$3:$H$102,8,FALSE),main!$K$18:$O$18,0))))),1,0)</f>
        <v>0</v>
      </c>
      <c r="Y42">
        <f>IF((AND(VLOOKUP(Y$1,main!$A$3:$H$102,5,FALSE)-VLOOKUP($A42,main!$A$3:$H$102,6,FALSE)&gt;=(VLOOKUP(VLOOKUP(Y$1,main!$A$3:$H$102,8,FALSE),main!$K$26:$M$29,2,FALSE)+VLOOKUP(VLOOKUP(Y$1,main!$A$3:$H$102,7,FALSE),main!$K$19:$O$22,MATCH(VLOOKUP($A42,main!$A$3:$H$102,8,FALSE),main!$K$18:$O$18,0))))),1,0)</f>
        <v>0</v>
      </c>
      <c r="Z42">
        <f>IF((AND(VLOOKUP(Z$1,main!$A$3:$H$102,5,FALSE)-VLOOKUP($A42,main!$A$3:$H$102,6,FALSE)&gt;=(VLOOKUP(VLOOKUP(Z$1,main!$A$3:$H$102,8,FALSE),main!$K$26:$M$29,2,FALSE)+VLOOKUP(VLOOKUP(Z$1,main!$A$3:$H$102,7,FALSE),main!$K$19:$O$22,MATCH(VLOOKUP($A42,main!$A$3:$H$102,8,FALSE),main!$K$18:$O$18,0))))),1,0)</f>
        <v>0</v>
      </c>
      <c r="AA42">
        <f>IF((AND(VLOOKUP(AA$1,main!$A$3:$H$102,5,FALSE)-VLOOKUP($A42,main!$A$3:$H$102,6,FALSE)&gt;=(VLOOKUP(VLOOKUP(AA$1,main!$A$3:$H$102,8,FALSE),main!$K$26:$M$29,2,FALSE)+VLOOKUP(VLOOKUP(AA$1,main!$A$3:$H$102,7,FALSE),main!$K$19:$O$22,MATCH(VLOOKUP($A42,main!$A$3:$H$102,8,FALSE),main!$K$18:$O$18,0))))),1,0)</f>
        <v>0</v>
      </c>
      <c r="AB42">
        <f>IF((AND(VLOOKUP(AB$1,main!$A$3:$H$102,5,FALSE)-VLOOKUP($A42,main!$A$3:$H$102,6,FALSE)&gt;=(VLOOKUP(VLOOKUP(AB$1,main!$A$3:$H$102,8,FALSE),main!$K$26:$M$29,2,FALSE)+VLOOKUP(VLOOKUP(AB$1,main!$A$3:$H$102,7,FALSE),main!$K$19:$O$22,MATCH(VLOOKUP($A42,main!$A$3:$H$102,8,FALSE),main!$K$18:$O$18,0))))),1,0)</f>
        <v>0</v>
      </c>
      <c r="AC42">
        <f>IF((AND(VLOOKUP(AC$1,main!$A$3:$H$102,5,FALSE)-VLOOKUP($A42,main!$A$3:$H$102,6,FALSE)&gt;=(VLOOKUP(VLOOKUP(AC$1,main!$A$3:$H$102,8,FALSE),main!$K$26:$M$29,2,FALSE)+VLOOKUP(VLOOKUP(AC$1,main!$A$3:$H$102,7,FALSE),main!$K$19:$O$22,MATCH(VLOOKUP($A42,main!$A$3:$H$102,8,FALSE),main!$K$18:$O$18,0))))),1,0)</f>
        <v>0</v>
      </c>
      <c r="AD42">
        <f>IF((AND(VLOOKUP(AD$1,main!$A$3:$H$102,5,FALSE)-VLOOKUP($A42,main!$A$3:$H$102,6,FALSE)&gt;=(VLOOKUP(VLOOKUP(AD$1,main!$A$3:$H$102,8,FALSE),main!$K$26:$M$29,2,FALSE)+VLOOKUP(VLOOKUP(AD$1,main!$A$3:$H$102,7,FALSE),main!$K$19:$O$22,MATCH(VLOOKUP($A42,main!$A$3:$H$102,8,FALSE),main!$K$18:$O$18,0))))),1,0)</f>
        <v>0</v>
      </c>
      <c r="AE42">
        <f>IF((AND(VLOOKUP(AE$1,main!$A$3:$H$102,5,FALSE)-VLOOKUP($A42,main!$A$3:$H$102,6,FALSE)&gt;=(VLOOKUP(VLOOKUP(AE$1,main!$A$3:$H$102,8,FALSE),main!$K$26:$M$29,2,FALSE)+VLOOKUP(VLOOKUP(AE$1,main!$A$3:$H$102,7,FALSE),main!$K$19:$O$22,MATCH(VLOOKUP($A42,main!$A$3:$H$102,8,FALSE),main!$K$18:$O$18,0))))),1,0)</f>
        <v>0</v>
      </c>
      <c r="AF42">
        <f>IF((AND(VLOOKUP(AF$1,main!$A$3:$H$102,5,FALSE)-VLOOKUP($A42,main!$A$3:$H$102,6,FALSE)&gt;=(VLOOKUP(VLOOKUP(AF$1,main!$A$3:$H$102,8,FALSE),main!$K$26:$M$29,2,FALSE)+VLOOKUP(VLOOKUP(AF$1,main!$A$3:$H$102,7,FALSE),main!$K$19:$O$22,MATCH(VLOOKUP($A42,main!$A$3:$H$102,8,FALSE),main!$K$18:$O$18,0))))),1,0)</f>
        <v>0</v>
      </c>
      <c r="AG42">
        <f>IF((AND(VLOOKUP(AG$1,main!$A$3:$H$102,5,FALSE)-VLOOKUP($A42,main!$A$3:$H$102,6,FALSE)&gt;=(VLOOKUP(VLOOKUP(AG$1,main!$A$3:$H$102,8,FALSE),main!$K$26:$M$29,2,FALSE)+VLOOKUP(VLOOKUP(AG$1,main!$A$3:$H$102,7,FALSE),main!$K$19:$O$22,MATCH(VLOOKUP($A42,main!$A$3:$H$102,8,FALSE),main!$K$18:$O$18,0))))),1,0)</f>
        <v>0</v>
      </c>
      <c r="AH42">
        <f>IF((AND(VLOOKUP(AH$1,main!$A$3:$H$102,5,FALSE)-VLOOKUP($A42,main!$A$3:$H$102,6,FALSE)&gt;=(VLOOKUP(VLOOKUP(AH$1,main!$A$3:$H$102,8,FALSE),main!$K$26:$M$29,2,FALSE)+VLOOKUP(VLOOKUP(AH$1,main!$A$3:$H$102,7,FALSE),main!$K$19:$O$22,MATCH(VLOOKUP($A42,main!$A$3:$H$102,8,FALSE),main!$K$18:$O$18,0))))),1,0)</f>
        <v>0</v>
      </c>
      <c r="AI42">
        <f>IF((AND(VLOOKUP(AI$1,main!$A$3:$H$102,5,FALSE)-VLOOKUP($A42,main!$A$3:$H$102,6,FALSE)&gt;=(VLOOKUP(VLOOKUP(AI$1,main!$A$3:$H$102,8,FALSE),main!$K$26:$M$29,2,FALSE)+VLOOKUP(VLOOKUP(AI$1,main!$A$3:$H$102,7,FALSE),main!$K$19:$O$22,MATCH(VLOOKUP($A42,main!$A$3:$H$102,8,FALSE),main!$K$18:$O$18,0))))),1,0)</f>
        <v>0</v>
      </c>
      <c r="AJ42">
        <f>IF((AND(VLOOKUP(AJ$1,main!$A$3:$H$102,5,FALSE)-VLOOKUP($A42,main!$A$3:$H$102,6,FALSE)&gt;=(VLOOKUP(VLOOKUP(AJ$1,main!$A$3:$H$102,8,FALSE),main!$K$26:$M$29,2,FALSE)+VLOOKUP(VLOOKUP(AJ$1,main!$A$3:$H$102,7,FALSE),main!$K$19:$O$22,MATCH(VLOOKUP($A42,main!$A$3:$H$102,8,FALSE),main!$K$18:$O$18,0))))),1,0)</f>
        <v>0</v>
      </c>
      <c r="AK42">
        <f>IF((AND(VLOOKUP(AK$1,main!$A$3:$H$102,5,FALSE)-VLOOKUP($A42,main!$A$3:$H$102,6,FALSE)&gt;=(VLOOKUP(VLOOKUP(AK$1,main!$A$3:$H$102,8,FALSE),main!$K$26:$M$29,2,FALSE)+VLOOKUP(VLOOKUP(AK$1,main!$A$3:$H$102,7,FALSE),main!$K$19:$O$22,MATCH(VLOOKUP($A42,main!$A$3:$H$102,8,FALSE),main!$K$18:$O$18,0))))),1,0)</f>
        <v>0</v>
      </c>
      <c r="AL42">
        <f>IF((AND(VLOOKUP(AL$1,main!$A$3:$H$102,5,FALSE)-VLOOKUP($A42,main!$A$3:$H$102,6,FALSE)&gt;=(VLOOKUP(VLOOKUP(AL$1,main!$A$3:$H$102,8,FALSE),main!$K$26:$M$29,2,FALSE)+VLOOKUP(VLOOKUP(AL$1,main!$A$3:$H$102,7,FALSE),main!$K$19:$O$22,MATCH(VLOOKUP($A42,main!$A$3:$H$102,8,FALSE),main!$K$18:$O$18,0))))),1,0)</f>
        <v>0</v>
      </c>
      <c r="AM42">
        <f>IF((AND(VLOOKUP(AM$1,main!$A$3:$H$102,5,FALSE)-VLOOKUP($A42,main!$A$3:$H$102,6,FALSE)&gt;=(VLOOKUP(VLOOKUP(AM$1,main!$A$3:$H$102,8,FALSE),main!$K$26:$M$29,2,FALSE)+VLOOKUP(VLOOKUP(AM$1,main!$A$3:$H$102,7,FALSE),main!$K$19:$O$22,MATCH(VLOOKUP($A42,main!$A$3:$H$102,8,FALSE),main!$K$18:$O$18,0))))),1,0)</f>
        <v>0</v>
      </c>
      <c r="AN42">
        <f>IF((AND(VLOOKUP(AN$1,main!$A$3:$H$102,5,FALSE)-VLOOKUP($A42,main!$A$3:$H$102,6,FALSE)&gt;=(VLOOKUP(VLOOKUP(AN$1,main!$A$3:$H$102,8,FALSE),main!$K$26:$M$29,2,FALSE)+VLOOKUP(VLOOKUP(AN$1,main!$A$3:$H$102,7,FALSE),main!$K$19:$O$22,MATCH(VLOOKUP($A42,main!$A$3:$H$102,8,FALSE),main!$K$18:$O$18,0))))),1,0)</f>
        <v>0</v>
      </c>
      <c r="AO42">
        <f>IF((AND(VLOOKUP(AO$1,main!$A$3:$H$102,5,FALSE)-VLOOKUP($A42,main!$A$3:$H$102,6,FALSE)&gt;=(VLOOKUP(VLOOKUP(AO$1,main!$A$3:$H$102,8,FALSE),main!$K$26:$M$29,2,FALSE)+VLOOKUP(VLOOKUP(AO$1,main!$A$3:$H$102,7,FALSE),main!$K$19:$O$22,MATCH(VLOOKUP($A42,main!$A$3:$H$102,8,FALSE),main!$K$18:$O$18,0))))),1,0)</f>
        <v>0</v>
      </c>
      <c r="AP42">
        <f>IF((AND(VLOOKUP(AP$1,main!$A$3:$H$102,5,FALSE)-VLOOKUP($A42,main!$A$3:$H$102,6,FALSE)&gt;=(VLOOKUP(VLOOKUP(AP$1,main!$A$3:$H$102,8,FALSE),main!$K$26:$M$29,2,FALSE)+VLOOKUP(VLOOKUP(AP$1,main!$A$3:$H$102,7,FALSE),main!$K$19:$O$22,MATCH(VLOOKUP($A42,main!$A$3:$H$102,8,FALSE),main!$K$18:$O$18,0))))),1,0)</f>
        <v>0</v>
      </c>
      <c r="AQ42">
        <f>IF((AND(VLOOKUP(AQ$1,main!$A$3:$H$102,5,FALSE)-VLOOKUP($A42,main!$A$3:$H$102,6,FALSE)&gt;=(VLOOKUP(VLOOKUP(AQ$1,main!$A$3:$H$102,8,FALSE),main!$K$26:$M$29,2,FALSE)+VLOOKUP(VLOOKUP(AQ$1,main!$A$3:$H$102,7,FALSE),main!$K$19:$O$22,MATCH(VLOOKUP($A42,main!$A$3:$H$102,8,FALSE),main!$K$18:$O$18,0))))),1,0)</f>
        <v>0</v>
      </c>
      <c r="AR42">
        <f>IF((AND(VLOOKUP(AR$1,main!$A$3:$H$102,5,FALSE)-VLOOKUP($A42,main!$A$3:$H$102,6,FALSE)&gt;=(VLOOKUP(VLOOKUP(AR$1,main!$A$3:$H$102,8,FALSE),main!$K$26:$M$29,2,FALSE)+VLOOKUP(VLOOKUP(AR$1,main!$A$3:$H$102,7,FALSE),main!$K$19:$O$22,MATCH(VLOOKUP($A42,main!$A$3:$H$102,8,FALSE),main!$K$18:$O$18,0))))),1,0)</f>
        <v>0</v>
      </c>
      <c r="AS42">
        <f>IF((AND(VLOOKUP(AS$1,main!$A$3:$H$102,5,FALSE)-VLOOKUP($A42,main!$A$3:$H$102,6,FALSE)&gt;=(VLOOKUP(VLOOKUP(AS$1,main!$A$3:$H$102,8,FALSE),main!$K$26:$M$29,2,FALSE)+VLOOKUP(VLOOKUP(AS$1,main!$A$3:$H$102,7,FALSE),main!$K$19:$O$22,MATCH(VLOOKUP($A42,main!$A$3:$H$102,8,FALSE),main!$K$18:$O$18,0))))),1,0)</f>
        <v>0</v>
      </c>
      <c r="AT42">
        <f>IF((AND(VLOOKUP(AT$1,main!$A$3:$H$102,5,FALSE)-VLOOKUP($A42,main!$A$3:$H$102,6,FALSE)&gt;=(VLOOKUP(VLOOKUP(AT$1,main!$A$3:$H$102,8,FALSE),main!$K$26:$M$29,2,FALSE)+VLOOKUP(VLOOKUP(AT$1,main!$A$3:$H$102,7,FALSE),main!$K$19:$O$22,MATCH(VLOOKUP($A42,main!$A$3:$H$102,8,FALSE),main!$K$18:$O$18,0))))),1,0)</f>
        <v>0</v>
      </c>
      <c r="AU42">
        <f>IF((AND(VLOOKUP(AU$1,main!$A$3:$H$102,5,FALSE)-VLOOKUP($A42,main!$A$3:$H$102,6,FALSE)&gt;=(VLOOKUP(VLOOKUP(AU$1,main!$A$3:$H$102,8,FALSE),main!$K$26:$M$29,2,FALSE)+VLOOKUP(VLOOKUP(AU$1,main!$A$3:$H$102,7,FALSE),main!$K$19:$O$22,MATCH(VLOOKUP($A42,main!$A$3:$H$102,8,FALSE),main!$K$18:$O$18,0))))),1,0)</f>
        <v>0</v>
      </c>
      <c r="AV42">
        <f>IF((AND(VLOOKUP(AV$1,main!$A$3:$H$102,5,FALSE)-VLOOKUP($A42,main!$A$3:$H$102,6,FALSE)&gt;=(VLOOKUP(VLOOKUP(AV$1,main!$A$3:$H$102,8,FALSE),main!$K$26:$M$29,2,FALSE)+VLOOKUP(VLOOKUP(AV$1,main!$A$3:$H$102,7,FALSE),main!$K$19:$O$22,MATCH(VLOOKUP($A42,main!$A$3:$H$102,8,FALSE),main!$K$18:$O$18,0))))),1,0)</f>
        <v>0</v>
      </c>
      <c r="AW42">
        <f>IF((AND(VLOOKUP(AW$1,main!$A$3:$H$102,5,FALSE)-VLOOKUP($A42,main!$A$3:$H$102,6,FALSE)&gt;=(VLOOKUP(VLOOKUP(AW$1,main!$A$3:$H$102,8,FALSE),main!$K$26:$M$29,2,FALSE)+VLOOKUP(VLOOKUP(AW$1,main!$A$3:$H$102,7,FALSE),main!$K$19:$O$22,MATCH(VLOOKUP($A42,main!$A$3:$H$102,8,FALSE),main!$K$18:$O$18,0))))),1,0)</f>
        <v>0</v>
      </c>
      <c r="AX42">
        <f>IF((AND(VLOOKUP(AX$1,main!$A$3:$H$102,5,FALSE)-VLOOKUP($A42,main!$A$3:$H$102,6,FALSE)&gt;=(VLOOKUP(VLOOKUP(AX$1,main!$A$3:$H$102,8,FALSE),main!$K$26:$M$29,2,FALSE)+VLOOKUP(VLOOKUP(AX$1,main!$A$3:$H$102,7,FALSE),main!$K$19:$O$22,MATCH(VLOOKUP($A42,main!$A$3:$H$102,8,FALSE),main!$K$18:$O$18,0))))),1,0)</f>
        <v>0</v>
      </c>
      <c r="AY42">
        <f>IF((AND(VLOOKUP(AY$1,main!$A$3:$H$102,5,FALSE)-VLOOKUP($A42,main!$A$3:$H$102,6,FALSE)&gt;=(VLOOKUP(VLOOKUP(AY$1,main!$A$3:$H$102,8,FALSE),main!$K$26:$M$29,2,FALSE)+VLOOKUP(VLOOKUP(AY$1,main!$A$3:$H$102,7,FALSE),main!$K$19:$O$22,MATCH(VLOOKUP($A42,main!$A$3:$H$102,8,FALSE),main!$K$18:$O$18,0))))),1,0)</f>
        <v>0</v>
      </c>
      <c r="AZ42">
        <f>IF((AND(VLOOKUP(AZ$1,main!$A$3:$H$102,5,FALSE)-VLOOKUP($A42,main!$A$3:$H$102,6,FALSE)&gt;=(VLOOKUP(VLOOKUP(AZ$1,main!$A$3:$H$102,8,FALSE),main!$K$26:$M$29,2,FALSE)+VLOOKUP(VLOOKUP(AZ$1,main!$A$3:$H$102,7,FALSE),main!$K$19:$O$22,MATCH(VLOOKUP($A42,main!$A$3:$H$102,8,FALSE),main!$K$18:$O$18,0))))),1,0)</f>
        <v>0</v>
      </c>
      <c r="BA42">
        <f>IF((AND(VLOOKUP(BA$1,main!$A$3:$H$102,5,FALSE)-VLOOKUP($A42,main!$A$3:$H$102,6,FALSE)&gt;=(VLOOKUP(VLOOKUP(BA$1,main!$A$3:$H$102,8,FALSE),main!$K$26:$M$29,2,FALSE)+VLOOKUP(VLOOKUP(BA$1,main!$A$3:$H$102,7,FALSE),main!$K$19:$O$22,MATCH(VLOOKUP($A42,main!$A$3:$H$102,8,FALSE),main!$K$18:$O$18,0))))),1,0)</f>
        <v>0</v>
      </c>
      <c r="BB42">
        <f>IF((AND(VLOOKUP(BB$1,main!$A$3:$H$102,5,FALSE)-VLOOKUP($A42,main!$A$3:$H$102,6,FALSE)&gt;=(VLOOKUP(VLOOKUP(BB$1,main!$A$3:$H$102,8,FALSE),main!$K$26:$M$29,2,FALSE)+VLOOKUP(VLOOKUP(BB$1,main!$A$3:$H$102,7,FALSE),main!$K$19:$O$22,MATCH(VLOOKUP($A42,main!$A$3:$H$102,8,FALSE),main!$K$18:$O$18,0))))),1,0)</f>
        <v>0</v>
      </c>
      <c r="BC42">
        <f>IF((AND(VLOOKUP(BC$1,main!$A$3:$H$102,5,FALSE)-VLOOKUP($A42,main!$A$3:$H$102,6,FALSE)&gt;=(VLOOKUP(VLOOKUP(BC$1,main!$A$3:$H$102,8,FALSE),main!$K$26:$M$29,2,FALSE)+VLOOKUP(VLOOKUP(BC$1,main!$A$3:$H$102,7,FALSE),main!$K$19:$O$22,MATCH(VLOOKUP($A42,main!$A$3:$H$102,8,FALSE),main!$K$18:$O$18,0))))),1,0)</f>
        <v>0</v>
      </c>
      <c r="BD42">
        <f>IF((AND(VLOOKUP(BD$1,main!$A$3:$H$102,5,FALSE)-VLOOKUP($A42,main!$A$3:$H$102,6,FALSE)&gt;=(VLOOKUP(VLOOKUP(BD$1,main!$A$3:$H$102,8,FALSE),main!$K$26:$M$29,2,FALSE)+VLOOKUP(VLOOKUP(BD$1,main!$A$3:$H$102,7,FALSE),main!$K$19:$O$22,MATCH(VLOOKUP($A42,main!$A$3:$H$102,8,FALSE),main!$K$18:$O$18,0))))),1,0)</f>
        <v>0</v>
      </c>
      <c r="BE42">
        <f>IF((AND(VLOOKUP(BE$1,main!$A$3:$H$102,5,FALSE)-VLOOKUP($A42,main!$A$3:$H$102,6,FALSE)&gt;=(VLOOKUP(VLOOKUP(BE$1,main!$A$3:$H$102,8,FALSE),main!$K$26:$M$29,2,FALSE)+VLOOKUP(VLOOKUP(BE$1,main!$A$3:$H$102,7,FALSE),main!$K$19:$O$22,MATCH(VLOOKUP($A42,main!$A$3:$H$102,8,FALSE),main!$K$18:$O$18,0))))),1,0)</f>
        <v>0</v>
      </c>
      <c r="BF42">
        <f>IF((AND(VLOOKUP(BF$1,main!$A$3:$H$102,5,FALSE)-VLOOKUP($A42,main!$A$3:$H$102,6,FALSE)&gt;=(VLOOKUP(VLOOKUP(BF$1,main!$A$3:$H$102,8,FALSE),main!$K$26:$M$29,2,FALSE)+VLOOKUP(VLOOKUP(BF$1,main!$A$3:$H$102,7,FALSE),main!$K$19:$O$22,MATCH(VLOOKUP($A42,main!$A$3:$H$102,8,FALSE),main!$K$18:$O$18,0))))),1,0)</f>
        <v>0</v>
      </c>
      <c r="BG42">
        <f>IF((AND(VLOOKUP(BG$1,main!$A$3:$H$102,5,FALSE)-VLOOKUP($A42,main!$A$3:$H$102,6,FALSE)&gt;=(VLOOKUP(VLOOKUP(BG$1,main!$A$3:$H$102,8,FALSE),main!$K$26:$M$29,2,FALSE)+VLOOKUP(VLOOKUP(BG$1,main!$A$3:$H$102,7,FALSE),main!$K$19:$O$22,MATCH(VLOOKUP($A42,main!$A$3:$H$102,8,FALSE),main!$K$18:$O$18,0))))),1,0)</f>
        <v>0</v>
      </c>
      <c r="BH42">
        <f>IF((AND(VLOOKUP(BH$1,main!$A$3:$H$102,5,FALSE)-VLOOKUP($A42,main!$A$3:$H$102,6,FALSE)&gt;=(VLOOKUP(VLOOKUP(BH$1,main!$A$3:$H$102,8,FALSE),main!$K$26:$M$29,2,FALSE)+VLOOKUP(VLOOKUP(BH$1,main!$A$3:$H$102,7,FALSE),main!$K$19:$O$22,MATCH(VLOOKUP($A42,main!$A$3:$H$102,8,FALSE),main!$K$18:$O$18,0))))),1,0)</f>
        <v>0</v>
      </c>
      <c r="BI42">
        <f>IF((AND(VLOOKUP(BI$1,main!$A$3:$H$102,5,FALSE)-VLOOKUP($A42,main!$A$3:$H$102,6,FALSE)&gt;=(VLOOKUP(VLOOKUP(BI$1,main!$A$3:$H$102,8,FALSE),main!$K$26:$M$29,2,FALSE)+VLOOKUP(VLOOKUP(BI$1,main!$A$3:$H$102,7,FALSE),main!$K$19:$O$22,MATCH(VLOOKUP($A42,main!$A$3:$H$102,8,FALSE),main!$K$18:$O$18,0))))),1,0)</f>
        <v>0</v>
      </c>
      <c r="BJ42">
        <f>IF((AND(VLOOKUP(BJ$1,main!$A$3:$H$102,5,FALSE)-VLOOKUP($A42,main!$A$3:$H$102,6,FALSE)&gt;=(VLOOKUP(VLOOKUP(BJ$1,main!$A$3:$H$102,8,FALSE),main!$K$26:$M$29,2,FALSE)+VLOOKUP(VLOOKUP(BJ$1,main!$A$3:$H$102,7,FALSE),main!$K$19:$O$22,MATCH(VLOOKUP($A42,main!$A$3:$H$102,8,FALSE),main!$K$18:$O$18,0))))),1,0)</f>
        <v>0</v>
      </c>
      <c r="BK42">
        <f>IF((AND(VLOOKUP(BK$1,main!$A$3:$H$102,5,FALSE)-VLOOKUP($A42,main!$A$3:$H$102,6,FALSE)&gt;=(VLOOKUP(VLOOKUP(BK$1,main!$A$3:$H$102,8,FALSE),main!$K$26:$M$29,2,FALSE)+VLOOKUP(VLOOKUP(BK$1,main!$A$3:$H$102,7,FALSE),main!$K$19:$O$22,MATCH(VLOOKUP($A42,main!$A$3:$H$102,8,FALSE),main!$K$18:$O$18,0))))),1,0)</f>
        <v>0</v>
      </c>
      <c r="BL42">
        <f>IF((AND(VLOOKUP(BL$1,main!$A$3:$H$102,5,FALSE)-VLOOKUP($A42,main!$A$3:$H$102,6,FALSE)&gt;=(VLOOKUP(VLOOKUP(BL$1,main!$A$3:$H$102,8,FALSE),main!$K$26:$M$29,2,FALSE)+VLOOKUP(VLOOKUP(BL$1,main!$A$3:$H$102,7,FALSE),main!$K$19:$O$22,MATCH(VLOOKUP($A42,main!$A$3:$H$102,8,FALSE),main!$K$18:$O$18,0))))),1,0)</f>
        <v>0</v>
      </c>
      <c r="BM42">
        <f>IF((AND(VLOOKUP(BM$1,main!$A$3:$H$102,5,FALSE)-VLOOKUP($A42,main!$A$3:$H$102,6,FALSE)&gt;=(VLOOKUP(VLOOKUP(BM$1,main!$A$3:$H$102,8,FALSE),main!$K$26:$M$29,2,FALSE)+VLOOKUP(VLOOKUP(BM$1,main!$A$3:$H$102,7,FALSE),main!$K$19:$O$22,MATCH(VLOOKUP($A42,main!$A$3:$H$102,8,FALSE),main!$K$18:$O$18,0))))),1,0)</f>
        <v>0</v>
      </c>
      <c r="BN42">
        <f>IF((AND(VLOOKUP(BN$1,main!$A$3:$H$102,5,FALSE)-VLOOKUP($A42,main!$A$3:$H$102,6,FALSE)&gt;=(VLOOKUP(VLOOKUP(BN$1,main!$A$3:$H$102,8,FALSE),main!$K$26:$M$29,2,FALSE)+VLOOKUP(VLOOKUP(BN$1,main!$A$3:$H$102,7,FALSE),main!$K$19:$O$22,MATCH(VLOOKUP($A42,main!$A$3:$H$102,8,FALSE),main!$K$18:$O$18,0))))),1,0)</f>
        <v>0</v>
      </c>
      <c r="BO42">
        <f>IF((AND(VLOOKUP(BO$1,main!$A$3:$H$102,5,FALSE)-VLOOKUP($A42,main!$A$3:$H$102,6,FALSE)&gt;=(VLOOKUP(VLOOKUP(BO$1,main!$A$3:$H$102,8,FALSE),main!$K$26:$M$29,2,FALSE)+VLOOKUP(VLOOKUP(BO$1,main!$A$3:$H$102,7,FALSE),main!$K$19:$O$22,MATCH(VLOOKUP($A42,main!$A$3:$H$102,8,FALSE),main!$K$18:$O$18,0))))),1,0)</f>
        <v>0</v>
      </c>
      <c r="BP42">
        <f>IF((AND(VLOOKUP(BP$1,main!$A$3:$H$102,5,FALSE)-VLOOKUP($A42,main!$A$3:$H$102,6,FALSE)&gt;=(VLOOKUP(VLOOKUP(BP$1,main!$A$3:$H$102,8,FALSE),main!$K$26:$M$29,2,FALSE)+VLOOKUP(VLOOKUP(BP$1,main!$A$3:$H$102,7,FALSE),main!$K$19:$O$22,MATCH(VLOOKUP($A42,main!$A$3:$H$102,8,FALSE),main!$K$18:$O$18,0))))),1,0)</f>
        <v>0</v>
      </c>
      <c r="BQ42">
        <f>IF((AND(VLOOKUP(BQ$1,main!$A$3:$H$102,5,FALSE)-VLOOKUP($A42,main!$A$3:$H$102,6,FALSE)&gt;=(VLOOKUP(VLOOKUP(BQ$1,main!$A$3:$H$102,8,FALSE),main!$K$26:$M$29,2,FALSE)+VLOOKUP(VLOOKUP(BQ$1,main!$A$3:$H$102,7,FALSE),main!$K$19:$O$22,MATCH(VLOOKUP($A42,main!$A$3:$H$102,8,FALSE),main!$K$18:$O$18,0))))),1,0)</f>
        <v>0</v>
      </c>
      <c r="BR42">
        <f>IF((AND(VLOOKUP(BR$1,main!$A$3:$H$102,5,FALSE)-VLOOKUP($A42,main!$A$3:$H$102,6,FALSE)&gt;=(VLOOKUP(VLOOKUP(BR$1,main!$A$3:$H$102,8,FALSE),main!$K$26:$M$29,2,FALSE)+VLOOKUP(VLOOKUP(BR$1,main!$A$3:$H$102,7,FALSE),main!$K$19:$O$22,MATCH(VLOOKUP($A42,main!$A$3:$H$102,8,FALSE),main!$K$18:$O$18,0))))),1,0)</f>
        <v>0</v>
      </c>
      <c r="BS42">
        <f>IF((AND(VLOOKUP(BS$1,main!$A$3:$H$102,5,FALSE)-VLOOKUP($A42,main!$A$3:$H$102,6,FALSE)&gt;=(VLOOKUP(VLOOKUP(BS$1,main!$A$3:$H$102,8,FALSE),main!$K$26:$M$29,2,FALSE)+VLOOKUP(VLOOKUP(BS$1,main!$A$3:$H$102,7,FALSE),main!$K$19:$O$22,MATCH(VLOOKUP($A42,main!$A$3:$H$102,8,FALSE),main!$K$18:$O$18,0))))),1,0)</f>
        <v>0</v>
      </c>
      <c r="BT42">
        <f>IF((AND(VLOOKUP(BT$1,main!$A$3:$H$102,5,FALSE)-VLOOKUP($A42,main!$A$3:$H$102,6,FALSE)&gt;=(VLOOKUP(VLOOKUP(BT$1,main!$A$3:$H$102,8,FALSE),main!$K$26:$M$29,2,FALSE)+VLOOKUP(VLOOKUP(BT$1,main!$A$3:$H$102,7,FALSE),main!$K$19:$O$22,MATCH(VLOOKUP($A42,main!$A$3:$H$102,8,FALSE),main!$K$18:$O$18,0))))),1,0)</f>
        <v>0</v>
      </c>
      <c r="BU42">
        <f>IF((AND(VLOOKUP(BU$1,main!$A$3:$H$102,5,FALSE)-VLOOKUP($A42,main!$A$3:$H$102,6,FALSE)&gt;=(VLOOKUP(VLOOKUP(BU$1,main!$A$3:$H$102,8,FALSE),main!$K$26:$M$29,2,FALSE)+VLOOKUP(VLOOKUP(BU$1,main!$A$3:$H$102,7,FALSE),main!$K$19:$O$22,MATCH(VLOOKUP($A42,main!$A$3:$H$102,8,FALSE),main!$K$18:$O$18,0))))),1,0)</f>
        <v>0</v>
      </c>
      <c r="BV42">
        <f>IF((AND(VLOOKUP(BV$1,main!$A$3:$H$102,5,FALSE)-VLOOKUP($A42,main!$A$3:$H$102,6,FALSE)&gt;=(VLOOKUP(VLOOKUP(BV$1,main!$A$3:$H$102,8,FALSE),main!$K$26:$M$29,2,FALSE)+VLOOKUP(VLOOKUP(BV$1,main!$A$3:$H$102,7,FALSE),main!$K$19:$O$22,MATCH(VLOOKUP($A42,main!$A$3:$H$102,8,FALSE),main!$K$18:$O$18,0))))),1,0)</f>
        <v>0</v>
      </c>
      <c r="BW42">
        <f>IF((AND(VLOOKUP(BW$1,main!$A$3:$H$102,5,FALSE)-VLOOKUP($A42,main!$A$3:$H$102,6,FALSE)&gt;=(VLOOKUP(VLOOKUP(BW$1,main!$A$3:$H$102,8,FALSE),main!$K$26:$M$29,2,FALSE)+VLOOKUP(VLOOKUP(BW$1,main!$A$3:$H$102,7,FALSE),main!$K$19:$O$22,MATCH(VLOOKUP($A42,main!$A$3:$H$102,8,FALSE),main!$K$18:$O$18,0))))),1,0)</f>
        <v>0</v>
      </c>
      <c r="BX42">
        <f>IF((AND(VLOOKUP(BX$1,main!$A$3:$H$102,5,FALSE)-VLOOKUP($A42,main!$A$3:$H$102,6,FALSE)&gt;=(VLOOKUP(VLOOKUP(BX$1,main!$A$3:$H$102,8,FALSE),main!$K$26:$M$29,2,FALSE)+VLOOKUP(VLOOKUP(BX$1,main!$A$3:$H$102,7,FALSE),main!$K$19:$O$22,MATCH(VLOOKUP($A42,main!$A$3:$H$102,8,FALSE),main!$K$18:$O$18,0))))),1,0)</f>
        <v>0</v>
      </c>
      <c r="BY42">
        <f>IF((AND(VLOOKUP(BY$1,main!$A$3:$H$102,5,FALSE)-VLOOKUP($A42,main!$A$3:$H$102,6,FALSE)&gt;=(VLOOKUP(VLOOKUP(BY$1,main!$A$3:$H$102,8,FALSE),main!$K$26:$M$29,2,FALSE)+VLOOKUP(VLOOKUP(BY$1,main!$A$3:$H$102,7,FALSE),main!$K$19:$O$22,MATCH(VLOOKUP($A42,main!$A$3:$H$102,8,FALSE),main!$K$18:$O$18,0))))),1,0)</f>
        <v>0</v>
      </c>
      <c r="BZ42">
        <f>IF((AND(VLOOKUP(BZ$1,main!$A$3:$H$102,5,FALSE)-VLOOKUP($A42,main!$A$3:$H$102,6,FALSE)&gt;=(VLOOKUP(VLOOKUP(BZ$1,main!$A$3:$H$102,8,FALSE),main!$K$26:$M$29,2,FALSE)+VLOOKUP(VLOOKUP(BZ$1,main!$A$3:$H$102,7,FALSE),main!$K$19:$O$22,MATCH(VLOOKUP($A42,main!$A$3:$H$102,8,FALSE),main!$K$18:$O$18,0))))),1,0)</f>
        <v>0</v>
      </c>
      <c r="CA42">
        <f>IF((AND(VLOOKUP(CA$1,main!$A$3:$H$102,5,FALSE)-VLOOKUP($A42,main!$A$3:$H$102,6,FALSE)&gt;=(VLOOKUP(VLOOKUP(CA$1,main!$A$3:$H$102,8,FALSE),main!$K$26:$M$29,2,FALSE)+VLOOKUP(VLOOKUP(CA$1,main!$A$3:$H$102,7,FALSE),main!$K$19:$O$22,MATCH(VLOOKUP($A42,main!$A$3:$H$102,8,FALSE),main!$K$18:$O$18,0))))),1,0)</f>
        <v>0</v>
      </c>
      <c r="CB42">
        <f>IF((AND(VLOOKUP(CB$1,main!$A$3:$H$102,5,FALSE)-VLOOKUP($A42,main!$A$3:$H$102,6,FALSE)&gt;=(VLOOKUP(VLOOKUP(CB$1,main!$A$3:$H$102,8,FALSE),main!$K$26:$M$29,2,FALSE)+VLOOKUP(VLOOKUP(CB$1,main!$A$3:$H$102,7,FALSE),main!$K$19:$O$22,MATCH(VLOOKUP($A42,main!$A$3:$H$102,8,FALSE),main!$K$18:$O$18,0))))),1,0)</f>
        <v>0</v>
      </c>
      <c r="CC42">
        <f>IF((AND(VLOOKUP(CC$1,main!$A$3:$H$102,5,FALSE)-VLOOKUP($A42,main!$A$3:$H$102,6,FALSE)&gt;=(VLOOKUP(VLOOKUP(CC$1,main!$A$3:$H$102,8,FALSE),main!$K$26:$M$29,2,FALSE)+VLOOKUP(VLOOKUP(CC$1,main!$A$3:$H$102,7,FALSE),main!$K$19:$O$22,MATCH(VLOOKUP($A42,main!$A$3:$H$102,8,FALSE),main!$K$18:$O$18,0))))),1,0)</f>
        <v>0</v>
      </c>
      <c r="CD42">
        <f>IF((AND(VLOOKUP(CD$1,main!$A$3:$H$102,5,FALSE)-VLOOKUP($A42,main!$A$3:$H$102,6,FALSE)&gt;=(VLOOKUP(VLOOKUP(CD$1,main!$A$3:$H$102,8,FALSE),main!$K$26:$M$29,2,FALSE)+VLOOKUP(VLOOKUP(CD$1,main!$A$3:$H$102,7,FALSE),main!$K$19:$O$22,MATCH(VLOOKUP($A42,main!$A$3:$H$102,8,FALSE),main!$K$18:$O$18,0))))),1,0)</f>
        <v>0</v>
      </c>
      <c r="CE42">
        <f>IF((AND(VLOOKUP(CE$1,main!$A$3:$H$102,5,FALSE)-VLOOKUP($A42,main!$A$3:$H$102,6,FALSE)&gt;=(VLOOKUP(VLOOKUP(CE$1,main!$A$3:$H$102,8,FALSE),main!$K$26:$M$29,2,FALSE)+VLOOKUP(VLOOKUP(CE$1,main!$A$3:$H$102,7,FALSE),main!$K$19:$O$22,MATCH(VLOOKUP($A42,main!$A$3:$H$102,8,FALSE),main!$K$18:$O$18,0))))),1,0)</f>
        <v>0</v>
      </c>
      <c r="CF42">
        <f>IF((AND(VLOOKUP(CF$1,main!$A$3:$H$102,5,FALSE)-VLOOKUP($A42,main!$A$3:$H$102,6,FALSE)&gt;=(VLOOKUP(VLOOKUP(CF$1,main!$A$3:$H$102,8,FALSE),main!$K$26:$M$29,2,FALSE)+VLOOKUP(VLOOKUP(CF$1,main!$A$3:$H$102,7,FALSE),main!$K$19:$O$22,MATCH(VLOOKUP($A42,main!$A$3:$H$102,8,FALSE),main!$K$18:$O$18,0))))),1,0)</f>
        <v>0</v>
      </c>
      <c r="CG42">
        <f>IF((AND(VLOOKUP(CG$1,main!$A$3:$H$102,5,FALSE)-VLOOKUP($A42,main!$A$3:$H$102,6,FALSE)&gt;=(VLOOKUP(VLOOKUP(CG$1,main!$A$3:$H$102,8,FALSE),main!$K$26:$M$29,2,FALSE)+VLOOKUP(VLOOKUP(CG$1,main!$A$3:$H$102,7,FALSE),main!$K$19:$O$22,MATCH(VLOOKUP($A42,main!$A$3:$H$102,8,FALSE),main!$K$18:$O$18,0))))),1,0)</f>
        <v>0</v>
      </c>
      <c r="CH42">
        <f>IF((AND(VLOOKUP(CH$1,main!$A$3:$H$102,5,FALSE)-VLOOKUP($A42,main!$A$3:$H$102,6,FALSE)&gt;=(VLOOKUP(VLOOKUP(CH$1,main!$A$3:$H$102,8,FALSE),main!$K$26:$M$29,2,FALSE)+VLOOKUP(VLOOKUP(CH$1,main!$A$3:$H$102,7,FALSE),main!$K$19:$O$22,MATCH(VLOOKUP($A42,main!$A$3:$H$102,8,FALSE),main!$K$18:$O$18,0))))),1,0)</f>
        <v>0</v>
      </c>
      <c r="CI42">
        <f>IF((AND(VLOOKUP(CI$1,main!$A$3:$H$102,5,FALSE)-VLOOKUP($A42,main!$A$3:$H$102,6,FALSE)&gt;=(VLOOKUP(VLOOKUP(CI$1,main!$A$3:$H$102,8,FALSE),main!$K$26:$M$29,2,FALSE)+VLOOKUP(VLOOKUP(CI$1,main!$A$3:$H$102,7,FALSE),main!$K$19:$O$22,MATCH(VLOOKUP($A42,main!$A$3:$H$102,8,FALSE),main!$K$18:$O$18,0))))),1,0)</f>
        <v>0</v>
      </c>
      <c r="CJ42">
        <f>IF((AND(VLOOKUP(CJ$1,main!$A$3:$H$102,5,FALSE)-VLOOKUP($A42,main!$A$3:$H$102,6,FALSE)&gt;=(VLOOKUP(VLOOKUP(CJ$1,main!$A$3:$H$102,8,FALSE),main!$K$26:$M$29,2,FALSE)+VLOOKUP(VLOOKUP(CJ$1,main!$A$3:$H$102,7,FALSE),main!$K$19:$O$22,MATCH(VLOOKUP($A42,main!$A$3:$H$102,8,FALSE),main!$K$18:$O$18,0))))),1,0)</f>
        <v>0</v>
      </c>
      <c r="CK42">
        <f>IF((AND(VLOOKUP(CK$1,main!$A$3:$H$102,5,FALSE)-VLOOKUP($A42,main!$A$3:$H$102,6,FALSE)&gt;=(VLOOKUP(VLOOKUP(CK$1,main!$A$3:$H$102,8,FALSE),main!$K$26:$M$29,2,FALSE)+VLOOKUP(VLOOKUP(CK$1,main!$A$3:$H$102,7,FALSE),main!$K$19:$O$22,MATCH(VLOOKUP($A42,main!$A$3:$H$102,8,FALSE),main!$K$18:$O$18,0))))),1,0)</f>
        <v>0</v>
      </c>
      <c r="CL42">
        <f>IF((AND(VLOOKUP(CL$1,main!$A$3:$H$102,5,FALSE)-VLOOKUP($A42,main!$A$3:$H$102,6,FALSE)&gt;=(VLOOKUP(VLOOKUP(CL$1,main!$A$3:$H$102,8,FALSE),main!$K$26:$M$29,2,FALSE)+VLOOKUP(VLOOKUP(CL$1,main!$A$3:$H$102,7,FALSE),main!$K$19:$O$22,MATCH(VLOOKUP($A42,main!$A$3:$H$102,8,FALSE),main!$K$18:$O$18,0))))),1,0)</f>
        <v>0</v>
      </c>
      <c r="CM42">
        <f>IF((AND(VLOOKUP(CM$1,main!$A$3:$H$102,5,FALSE)-VLOOKUP($A42,main!$A$3:$H$102,6,FALSE)&gt;=(VLOOKUP(VLOOKUP(CM$1,main!$A$3:$H$102,8,FALSE),main!$K$26:$M$29,2,FALSE)+VLOOKUP(VLOOKUP(CM$1,main!$A$3:$H$102,7,FALSE),main!$K$19:$O$22,MATCH(VLOOKUP($A42,main!$A$3:$H$102,8,FALSE),main!$K$18:$O$18,0))))),1,0)</f>
        <v>0</v>
      </c>
      <c r="CN42">
        <f>IF((AND(VLOOKUP(CN$1,main!$A$3:$H$102,5,FALSE)-VLOOKUP($A42,main!$A$3:$H$102,6,FALSE)&gt;=(VLOOKUP(VLOOKUP(CN$1,main!$A$3:$H$102,8,FALSE),main!$K$26:$M$29,2,FALSE)+VLOOKUP(VLOOKUP(CN$1,main!$A$3:$H$102,7,FALSE),main!$K$19:$O$22,MATCH(VLOOKUP($A42,main!$A$3:$H$102,8,FALSE),main!$K$18:$O$18,0))))),1,0)</f>
        <v>0</v>
      </c>
      <c r="CO42">
        <f>IF((AND(VLOOKUP(CO$1,main!$A$3:$H$102,5,FALSE)-VLOOKUP($A42,main!$A$3:$H$102,6,FALSE)&gt;=(VLOOKUP(VLOOKUP(CO$1,main!$A$3:$H$102,8,FALSE),main!$K$26:$M$29,2,FALSE)+VLOOKUP(VLOOKUP(CO$1,main!$A$3:$H$102,7,FALSE),main!$K$19:$O$22,MATCH(VLOOKUP($A42,main!$A$3:$H$102,8,FALSE),main!$K$18:$O$18,0))))),1,0)</f>
        <v>0</v>
      </c>
      <c r="CP42">
        <f>IF((AND(VLOOKUP(CP$1,main!$A$3:$H$102,5,FALSE)-VLOOKUP($A42,main!$A$3:$H$102,6,FALSE)&gt;=(VLOOKUP(VLOOKUP(CP$1,main!$A$3:$H$102,8,FALSE),main!$K$26:$M$29,2,FALSE)+VLOOKUP(VLOOKUP(CP$1,main!$A$3:$H$102,7,FALSE),main!$K$19:$O$22,MATCH(VLOOKUP($A42,main!$A$3:$H$102,8,FALSE),main!$K$18:$O$18,0))))),1,0)</f>
        <v>0</v>
      </c>
      <c r="CQ42">
        <f>IF((AND(VLOOKUP(CQ$1,main!$A$3:$H$102,5,FALSE)-VLOOKUP($A42,main!$A$3:$H$102,6,FALSE)&gt;=(VLOOKUP(VLOOKUP(CQ$1,main!$A$3:$H$102,8,FALSE),main!$K$26:$M$29,2,FALSE)+VLOOKUP(VLOOKUP(CQ$1,main!$A$3:$H$102,7,FALSE),main!$K$19:$O$22,MATCH(VLOOKUP($A42,main!$A$3:$H$102,8,FALSE),main!$K$18:$O$18,0))))),1,0)</f>
        <v>0</v>
      </c>
      <c r="CR42">
        <f>IF((AND(VLOOKUP(CR$1,main!$A$3:$H$102,5,FALSE)-VLOOKUP($A42,main!$A$3:$H$102,6,FALSE)&gt;=(VLOOKUP(VLOOKUP(CR$1,main!$A$3:$H$102,8,FALSE),main!$K$26:$M$29,2,FALSE)+VLOOKUP(VLOOKUP(CR$1,main!$A$3:$H$102,7,FALSE),main!$K$19:$O$22,MATCH(VLOOKUP($A42,main!$A$3:$H$102,8,FALSE),main!$K$18:$O$18,0))))),1,0)</f>
        <v>0</v>
      </c>
      <c r="CS42">
        <f>IF((AND(VLOOKUP(CS$1,main!$A$3:$H$102,5,FALSE)-VLOOKUP($A42,main!$A$3:$H$102,6,FALSE)&gt;=(VLOOKUP(VLOOKUP(CS$1,main!$A$3:$H$102,8,FALSE),main!$K$26:$M$29,2,FALSE)+VLOOKUP(VLOOKUP(CS$1,main!$A$3:$H$102,7,FALSE),main!$K$19:$O$22,MATCH(VLOOKUP($A42,main!$A$3:$H$102,8,FALSE),main!$K$18:$O$18,0))))),1,0)</f>
        <v>0</v>
      </c>
      <c r="CT42">
        <f>IF((AND(VLOOKUP(CT$1,main!$A$3:$H$102,5,FALSE)-VLOOKUP($A42,main!$A$3:$H$102,6,FALSE)&gt;=(VLOOKUP(VLOOKUP(CT$1,main!$A$3:$H$102,8,FALSE),main!$K$26:$M$29,2,FALSE)+VLOOKUP(VLOOKUP(CT$1,main!$A$3:$H$102,7,FALSE),main!$K$19:$O$22,MATCH(VLOOKUP($A42,main!$A$3:$H$102,8,FALSE),main!$K$18:$O$18,0))))),1,0)</f>
        <v>0</v>
      </c>
      <c r="CU42">
        <f>IF((AND(VLOOKUP(CU$1,main!$A$3:$H$102,5,FALSE)-VLOOKUP($A42,main!$A$3:$H$102,6,FALSE)&gt;=(VLOOKUP(VLOOKUP(CU$1,main!$A$3:$H$102,8,FALSE),main!$K$26:$M$29,2,FALSE)+VLOOKUP(VLOOKUP(CU$1,main!$A$3:$H$102,7,FALSE),main!$K$19:$O$22,MATCH(VLOOKUP($A42,main!$A$3:$H$102,8,FALSE),main!$K$18:$O$18,0))))),1,0)</f>
        <v>0</v>
      </c>
      <c r="CV42">
        <f>IF((AND(VLOOKUP(CV$1,main!$A$3:$H$102,5,FALSE)-VLOOKUP($A42,main!$A$3:$H$102,6,FALSE)&gt;=(VLOOKUP(VLOOKUP(CV$1,main!$A$3:$H$102,8,FALSE),main!$K$26:$M$29,2,FALSE)+VLOOKUP(VLOOKUP(CV$1,main!$A$3:$H$102,7,FALSE),main!$K$19:$O$22,MATCH(VLOOKUP($A42,main!$A$3:$H$102,8,FALSE),main!$K$18:$O$18,0))))),1,0)</f>
        <v>0</v>
      </c>
      <c r="CW42">
        <f>IF((AND(VLOOKUP(CW$1,main!$A$3:$H$102,5,FALSE)-VLOOKUP($A42,main!$A$3:$H$102,6,FALSE)&gt;=(VLOOKUP(VLOOKUP(CW$1,main!$A$3:$H$102,8,FALSE),main!$K$26:$M$29,2,FALSE)+VLOOKUP(VLOOKUP(CW$1,main!$A$3:$H$102,7,FALSE),main!$K$19:$O$22,MATCH(VLOOKUP($A42,main!$A$3:$H$102,8,FALSE),main!$K$18:$O$18,0))))),1,0)</f>
        <v>0</v>
      </c>
      <c r="CX42">
        <f>IF((AND(VLOOKUP(CX$1,main!$A$3:$H$102,5,FALSE)-VLOOKUP($A42,main!$A$3:$H$102,6,FALSE)&gt;=(VLOOKUP(VLOOKUP(CX$1,main!$A$3:$H$102,8,FALSE),main!$K$26:$M$29,2,FALSE)+VLOOKUP(VLOOKUP(CX$1,main!$A$3:$H$102,7,FALSE),main!$K$19:$O$22,MATCH(VLOOKUP($A42,main!$A$3:$H$102,8,FALSE),main!$K$18:$O$18,0))))),1,0)</f>
        <v>0</v>
      </c>
    </row>
    <row r="43" spans="1:102" x14ac:dyDescent="0.25">
      <c r="A43" s="1">
        <v>41</v>
      </c>
      <c r="B43">
        <v>1</v>
      </c>
      <c r="C43">
        <f>IF((AND(VLOOKUP(C$1,main!$A$3:$H$102,5,FALSE)-VLOOKUP($A43,main!$A$3:$H$102,6,FALSE)&gt;=(VLOOKUP(VLOOKUP(C$1,main!$A$3:$H$102,8,FALSE),main!$K$26:$M$29,2,FALSE)+VLOOKUP(VLOOKUP(C$1,main!$A$3:$H$102,7,FALSE),main!$K$19:$O$22,MATCH(VLOOKUP($A43,main!$A$3:$H$102,8,FALSE),main!$K$18:$O$18,0))))),1,0)</f>
        <v>0</v>
      </c>
      <c r="D43">
        <f>IF((AND(VLOOKUP(D$1,main!$A$3:$H$102,5,FALSE)-VLOOKUP($A43,main!$A$3:$H$102,6,FALSE)&gt;=(VLOOKUP(VLOOKUP(D$1,main!$A$3:$H$102,8,FALSE),main!$K$26:$M$29,2,FALSE)+VLOOKUP(VLOOKUP(D$1,main!$A$3:$H$102,7,FALSE),main!$K$19:$O$22,MATCH(VLOOKUP($A43,main!$A$3:$H$102,8,FALSE),main!$K$18:$O$18,0))))),1,0)</f>
        <v>0</v>
      </c>
      <c r="E43">
        <f>IF((AND(VLOOKUP(E$1,main!$A$3:$H$102,5,FALSE)-VLOOKUP($A43,main!$A$3:$H$102,6,FALSE)&gt;=(VLOOKUP(VLOOKUP(E$1,main!$A$3:$H$102,8,FALSE),main!$K$26:$M$29,2,FALSE)+VLOOKUP(VLOOKUP(E$1,main!$A$3:$H$102,7,FALSE),main!$K$19:$O$22,MATCH(VLOOKUP($A43,main!$A$3:$H$102,8,FALSE),main!$K$18:$O$18,0))))),1,0)</f>
        <v>1</v>
      </c>
      <c r="F43">
        <f>IF((AND(VLOOKUP(F$1,main!$A$3:$H$102,5,FALSE)-VLOOKUP($A43,main!$A$3:$H$102,6,FALSE)&gt;=(VLOOKUP(VLOOKUP(F$1,main!$A$3:$H$102,8,FALSE),main!$K$26:$M$29,2,FALSE)+VLOOKUP(VLOOKUP(F$1,main!$A$3:$H$102,7,FALSE),main!$K$19:$O$22,MATCH(VLOOKUP($A43,main!$A$3:$H$102,8,FALSE),main!$K$18:$O$18,0))))),1,0)</f>
        <v>1</v>
      </c>
      <c r="G43">
        <f>IF((AND(VLOOKUP(G$1,main!$A$3:$H$102,5,FALSE)-VLOOKUP($A43,main!$A$3:$H$102,6,FALSE)&gt;=(VLOOKUP(VLOOKUP(G$1,main!$A$3:$H$102,8,FALSE),main!$K$26:$M$29,2,FALSE)+VLOOKUP(VLOOKUP(G$1,main!$A$3:$H$102,7,FALSE),main!$K$19:$O$22,MATCH(VLOOKUP($A43,main!$A$3:$H$102,8,FALSE),main!$K$18:$O$18,0))))),1,0)</f>
        <v>1</v>
      </c>
      <c r="H43">
        <f>IF((AND(VLOOKUP(H$1,main!$A$3:$H$102,5,FALSE)-VLOOKUP($A43,main!$A$3:$H$102,6,FALSE)&gt;=(VLOOKUP(VLOOKUP(H$1,main!$A$3:$H$102,8,FALSE),main!$K$26:$M$29,2,FALSE)+VLOOKUP(VLOOKUP(H$1,main!$A$3:$H$102,7,FALSE),main!$K$19:$O$22,MATCH(VLOOKUP($A43,main!$A$3:$H$102,8,FALSE),main!$K$18:$O$18,0))))),1,0)</f>
        <v>1</v>
      </c>
      <c r="I43">
        <f>IF((AND(VLOOKUP(I$1,main!$A$3:$H$102,5,FALSE)-VLOOKUP($A43,main!$A$3:$H$102,6,FALSE)&gt;=(VLOOKUP(VLOOKUP(I$1,main!$A$3:$H$102,8,FALSE),main!$K$26:$M$29,2,FALSE)+VLOOKUP(VLOOKUP(I$1,main!$A$3:$H$102,7,FALSE),main!$K$19:$O$22,MATCH(VLOOKUP($A43,main!$A$3:$H$102,8,FALSE),main!$K$18:$O$18,0))))),1,0)</f>
        <v>1</v>
      </c>
      <c r="J43">
        <f>IF((AND(VLOOKUP(J$1,main!$A$3:$H$102,5,FALSE)-VLOOKUP($A43,main!$A$3:$H$102,6,FALSE)&gt;=(VLOOKUP(VLOOKUP(J$1,main!$A$3:$H$102,8,FALSE),main!$K$26:$M$29,2,FALSE)+VLOOKUP(VLOOKUP(J$1,main!$A$3:$H$102,7,FALSE),main!$K$19:$O$22,MATCH(VLOOKUP($A43,main!$A$3:$H$102,8,FALSE),main!$K$18:$O$18,0))))),1,0)</f>
        <v>1</v>
      </c>
      <c r="K43">
        <f>IF((AND(VLOOKUP(K$1,main!$A$3:$H$102,5,FALSE)-VLOOKUP($A43,main!$A$3:$H$102,6,FALSE)&gt;=(VLOOKUP(VLOOKUP(K$1,main!$A$3:$H$102,8,FALSE),main!$K$26:$M$29,2,FALSE)+VLOOKUP(VLOOKUP(K$1,main!$A$3:$H$102,7,FALSE),main!$K$19:$O$22,MATCH(VLOOKUP($A43,main!$A$3:$H$102,8,FALSE),main!$K$18:$O$18,0))))),1,0)</f>
        <v>1</v>
      </c>
      <c r="L43">
        <f>IF((AND(VLOOKUP(L$1,main!$A$3:$H$102,5,FALSE)-VLOOKUP($A43,main!$A$3:$H$102,6,FALSE)&gt;=(VLOOKUP(VLOOKUP(L$1,main!$A$3:$H$102,8,FALSE),main!$K$26:$M$29,2,FALSE)+VLOOKUP(VLOOKUP(L$1,main!$A$3:$H$102,7,FALSE),main!$K$19:$O$22,MATCH(VLOOKUP($A43,main!$A$3:$H$102,8,FALSE),main!$K$18:$O$18,0))))),1,0)</f>
        <v>1</v>
      </c>
      <c r="M43">
        <f>IF((AND(VLOOKUP(M$1,main!$A$3:$H$102,5,FALSE)-VLOOKUP($A43,main!$A$3:$H$102,6,FALSE)&gt;=(VLOOKUP(VLOOKUP(M$1,main!$A$3:$H$102,8,FALSE),main!$K$26:$M$29,2,FALSE)+VLOOKUP(VLOOKUP(M$1,main!$A$3:$H$102,7,FALSE),main!$K$19:$O$22,MATCH(VLOOKUP($A43,main!$A$3:$H$102,8,FALSE),main!$K$18:$O$18,0))))),1,0)</f>
        <v>0</v>
      </c>
      <c r="N43">
        <f>IF((AND(VLOOKUP(N$1,main!$A$3:$H$102,5,FALSE)-VLOOKUP($A43,main!$A$3:$H$102,6,FALSE)&gt;=(VLOOKUP(VLOOKUP(N$1,main!$A$3:$H$102,8,FALSE),main!$K$26:$M$29,2,FALSE)+VLOOKUP(VLOOKUP(N$1,main!$A$3:$H$102,7,FALSE),main!$K$19:$O$22,MATCH(VLOOKUP($A43,main!$A$3:$H$102,8,FALSE),main!$K$18:$O$18,0))))),1,0)</f>
        <v>0</v>
      </c>
      <c r="O43">
        <f>IF((AND(VLOOKUP(O$1,main!$A$3:$H$102,5,FALSE)-VLOOKUP($A43,main!$A$3:$H$102,6,FALSE)&gt;=(VLOOKUP(VLOOKUP(O$1,main!$A$3:$H$102,8,FALSE),main!$K$26:$M$29,2,FALSE)+VLOOKUP(VLOOKUP(O$1,main!$A$3:$H$102,7,FALSE),main!$K$19:$O$22,MATCH(VLOOKUP($A43,main!$A$3:$H$102,8,FALSE),main!$K$18:$O$18,0))))),1,0)</f>
        <v>0</v>
      </c>
      <c r="P43">
        <f>IF((AND(VLOOKUP(P$1,main!$A$3:$H$102,5,FALSE)-VLOOKUP($A43,main!$A$3:$H$102,6,FALSE)&gt;=(VLOOKUP(VLOOKUP(P$1,main!$A$3:$H$102,8,FALSE),main!$K$26:$M$29,2,FALSE)+VLOOKUP(VLOOKUP(P$1,main!$A$3:$H$102,7,FALSE),main!$K$19:$O$22,MATCH(VLOOKUP($A43,main!$A$3:$H$102,8,FALSE),main!$K$18:$O$18,0))))),1,0)</f>
        <v>1</v>
      </c>
      <c r="Q43">
        <f>IF((AND(VLOOKUP(Q$1,main!$A$3:$H$102,5,FALSE)-VLOOKUP($A43,main!$A$3:$H$102,6,FALSE)&gt;=(VLOOKUP(VLOOKUP(Q$1,main!$A$3:$H$102,8,FALSE),main!$K$26:$M$29,2,FALSE)+VLOOKUP(VLOOKUP(Q$1,main!$A$3:$H$102,7,FALSE),main!$K$19:$O$22,MATCH(VLOOKUP($A43,main!$A$3:$H$102,8,FALSE),main!$K$18:$O$18,0))))),1,0)</f>
        <v>1</v>
      </c>
      <c r="R43">
        <f>IF((AND(VLOOKUP(R$1,main!$A$3:$H$102,5,FALSE)-VLOOKUP($A43,main!$A$3:$H$102,6,FALSE)&gt;=(VLOOKUP(VLOOKUP(R$1,main!$A$3:$H$102,8,FALSE),main!$K$26:$M$29,2,FALSE)+VLOOKUP(VLOOKUP(R$1,main!$A$3:$H$102,7,FALSE),main!$K$19:$O$22,MATCH(VLOOKUP($A43,main!$A$3:$H$102,8,FALSE),main!$K$18:$O$18,0))))),1,0)</f>
        <v>1</v>
      </c>
      <c r="S43">
        <f>IF((AND(VLOOKUP(S$1,main!$A$3:$H$102,5,FALSE)-VLOOKUP($A43,main!$A$3:$H$102,6,FALSE)&gt;=(VLOOKUP(VLOOKUP(S$1,main!$A$3:$H$102,8,FALSE),main!$K$26:$M$29,2,FALSE)+VLOOKUP(VLOOKUP(S$1,main!$A$3:$H$102,7,FALSE),main!$K$19:$O$22,MATCH(VLOOKUP($A43,main!$A$3:$H$102,8,FALSE),main!$K$18:$O$18,0))))),1,0)</f>
        <v>1</v>
      </c>
      <c r="T43">
        <f>IF((AND(VLOOKUP(T$1,main!$A$3:$H$102,5,FALSE)-VLOOKUP($A43,main!$A$3:$H$102,6,FALSE)&gt;=(VLOOKUP(VLOOKUP(T$1,main!$A$3:$H$102,8,FALSE),main!$K$26:$M$29,2,FALSE)+VLOOKUP(VLOOKUP(T$1,main!$A$3:$H$102,7,FALSE),main!$K$19:$O$22,MATCH(VLOOKUP($A43,main!$A$3:$H$102,8,FALSE),main!$K$18:$O$18,0))))),1,0)</f>
        <v>1</v>
      </c>
      <c r="U43">
        <f>IF((AND(VLOOKUP(U$1,main!$A$3:$H$102,5,FALSE)-VLOOKUP($A43,main!$A$3:$H$102,6,FALSE)&gt;=(VLOOKUP(VLOOKUP(U$1,main!$A$3:$H$102,8,FALSE),main!$K$26:$M$29,2,FALSE)+VLOOKUP(VLOOKUP(U$1,main!$A$3:$H$102,7,FALSE),main!$K$19:$O$22,MATCH(VLOOKUP($A43,main!$A$3:$H$102,8,FALSE),main!$K$18:$O$18,0))))),1,0)</f>
        <v>1</v>
      </c>
      <c r="V43">
        <f>IF((AND(VLOOKUP(V$1,main!$A$3:$H$102,5,FALSE)-VLOOKUP($A43,main!$A$3:$H$102,6,FALSE)&gt;=(VLOOKUP(VLOOKUP(V$1,main!$A$3:$H$102,8,FALSE),main!$K$26:$M$29,2,FALSE)+VLOOKUP(VLOOKUP(V$1,main!$A$3:$H$102,7,FALSE),main!$K$19:$O$22,MATCH(VLOOKUP($A43,main!$A$3:$H$102,8,FALSE),main!$K$18:$O$18,0))))),1,0)</f>
        <v>1</v>
      </c>
      <c r="W43">
        <f>IF((AND(VLOOKUP(W$1,main!$A$3:$H$102,5,FALSE)-VLOOKUP($A43,main!$A$3:$H$102,6,FALSE)&gt;=(VLOOKUP(VLOOKUP(W$1,main!$A$3:$H$102,8,FALSE),main!$K$26:$M$29,2,FALSE)+VLOOKUP(VLOOKUP(W$1,main!$A$3:$H$102,7,FALSE),main!$K$19:$O$22,MATCH(VLOOKUP($A43,main!$A$3:$H$102,8,FALSE),main!$K$18:$O$18,0))))),1,0)</f>
        <v>0</v>
      </c>
      <c r="X43">
        <f>IF((AND(VLOOKUP(X$1,main!$A$3:$H$102,5,FALSE)-VLOOKUP($A43,main!$A$3:$H$102,6,FALSE)&gt;=(VLOOKUP(VLOOKUP(X$1,main!$A$3:$H$102,8,FALSE),main!$K$26:$M$29,2,FALSE)+VLOOKUP(VLOOKUP(X$1,main!$A$3:$H$102,7,FALSE),main!$K$19:$O$22,MATCH(VLOOKUP($A43,main!$A$3:$H$102,8,FALSE),main!$K$18:$O$18,0))))),1,0)</f>
        <v>1</v>
      </c>
      <c r="Y43">
        <f>IF((AND(VLOOKUP(Y$1,main!$A$3:$H$102,5,FALSE)-VLOOKUP($A43,main!$A$3:$H$102,6,FALSE)&gt;=(VLOOKUP(VLOOKUP(Y$1,main!$A$3:$H$102,8,FALSE),main!$K$26:$M$29,2,FALSE)+VLOOKUP(VLOOKUP(Y$1,main!$A$3:$H$102,7,FALSE),main!$K$19:$O$22,MATCH(VLOOKUP($A43,main!$A$3:$H$102,8,FALSE),main!$K$18:$O$18,0))))),1,0)</f>
        <v>1</v>
      </c>
      <c r="Z43">
        <f>IF((AND(VLOOKUP(Z$1,main!$A$3:$H$102,5,FALSE)-VLOOKUP($A43,main!$A$3:$H$102,6,FALSE)&gt;=(VLOOKUP(VLOOKUP(Z$1,main!$A$3:$H$102,8,FALSE),main!$K$26:$M$29,2,FALSE)+VLOOKUP(VLOOKUP(Z$1,main!$A$3:$H$102,7,FALSE),main!$K$19:$O$22,MATCH(VLOOKUP($A43,main!$A$3:$H$102,8,FALSE),main!$K$18:$O$18,0))))),1,0)</f>
        <v>1</v>
      </c>
      <c r="AA43">
        <f>IF((AND(VLOOKUP(AA$1,main!$A$3:$H$102,5,FALSE)-VLOOKUP($A43,main!$A$3:$H$102,6,FALSE)&gt;=(VLOOKUP(VLOOKUP(AA$1,main!$A$3:$H$102,8,FALSE),main!$K$26:$M$29,2,FALSE)+VLOOKUP(VLOOKUP(AA$1,main!$A$3:$H$102,7,FALSE),main!$K$19:$O$22,MATCH(VLOOKUP($A43,main!$A$3:$H$102,8,FALSE),main!$K$18:$O$18,0))))),1,0)</f>
        <v>1</v>
      </c>
      <c r="AB43">
        <f>IF((AND(VLOOKUP(AB$1,main!$A$3:$H$102,5,FALSE)-VLOOKUP($A43,main!$A$3:$H$102,6,FALSE)&gt;=(VLOOKUP(VLOOKUP(AB$1,main!$A$3:$H$102,8,FALSE),main!$K$26:$M$29,2,FALSE)+VLOOKUP(VLOOKUP(AB$1,main!$A$3:$H$102,7,FALSE),main!$K$19:$O$22,MATCH(VLOOKUP($A43,main!$A$3:$H$102,8,FALSE),main!$K$18:$O$18,0))))),1,0)</f>
        <v>0</v>
      </c>
      <c r="AC43">
        <f>IF((AND(VLOOKUP(AC$1,main!$A$3:$H$102,5,FALSE)-VLOOKUP($A43,main!$A$3:$H$102,6,FALSE)&gt;=(VLOOKUP(VLOOKUP(AC$1,main!$A$3:$H$102,8,FALSE),main!$K$26:$M$29,2,FALSE)+VLOOKUP(VLOOKUP(AC$1,main!$A$3:$H$102,7,FALSE),main!$K$19:$O$22,MATCH(VLOOKUP($A43,main!$A$3:$H$102,8,FALSE),main!$K$18:$O$18,0))))),1,0)</f>
        <v>0</v>
      </c>
      <c r="AD43">
        <f>IF((AND(VLOOKUP(AD$1,main!$A$3:$H$102,5,FALSE)-VLOOKUP($A43,main!$A$3:$H$102,6,FALSE)&gt;=(VLOOKUP(VLOOKUP(AD$1,main!$A$3:$H$102,8,FALSE),main!$K$26:$M$29,2,FALSE)+VLOOKUP(VLOOKUP(AD$1,main!$A$3:$H$102,7,FALSE),main!$K$19:$O$22,MATCH(VLOOKUP($A43,main!$A$3:$H$102,8,FALSE),main!$K$18:$O$18,0))))),1,0)</f>
        <v>1</v>
      </c>
      <c r="AE43">
        <f>IF((AND(VLOOKUP(AE$1,main!$A$3:$H$102,5,FALSE)-VLOOKUP($A43,main!$A$3:$H$102,6,FALSE)&gt;=(VLOOKUP(VLOOKUP(AE$1,main!$A$3:$H$102,8,FALSE),main!$K$26:$M$29,2,FALSE)+VLOOKUP(VLOOKUP(AE$1,main!$A$3:$H$102,7,FALSE),main!$K$19:$O$22,MATCH(VLOOKUP($A43,main!$A$3:$H$102,8,FALSE),main!$K$18:$O$18,0))))),1,0)</f>
        <v>1</v>
      </c>
      <c r="AF43">
        <f>IF((AND(VLOOKUP(AF$1,main!$A$3:$H$102,5,FALSE)-VLOOKUP($A43,main!$A$3:$H$102,6,FALSE)&gt;=(VLOOKUP(VLOOKUP(AF$1,main!$A$3:$H$102,8,FALSE),main!$K$26:$M$29,2,FALSE)+VLOOKUP(VLOOKUP(AF$1,main!$A$3:$H$102,7,FALSE),main!$K$19:$O$22,MATCH(VLOOKUP($A43,main!$A$3:$H$102,8,FALSE),main!$K$18:$O$18,0))))),1,0)</f>
        <v>1</v>
      </c>
      <c r="AG43">
        <f>IF((AND(VLOOKUP(AG$1,main!$A$3:$H$102,5,FALSE)-VLOOKUP($A43,main!$A$3:$H$102,6,FALSE)&gt;=(VLOOKUP(VLOOKUP(AG$1,main!$A$3:$H$102,8,FALSE),main!$K$26:$M$29,2,FALSE)+VLOOKUP(VLOOKUP(AG$1,main!$A$3:$H$102,7,FALSE),main!$K$19:$O$22,MATCH(VLOOKUP($A43,main!$A$3:$H$102,8,FALSE),main!$K$18:$O$18,0))))),1,0)</f>
        <v>0</v>
      </c>
      <c r="AH43">
        <f>IF((AND(VLOOKUP(AH$1,main!$A$3:$H$102,5,FALSE)-VLOOKUP($A43,main!$A$3:$H$102,6,FALSE)&gt;=(VLOOKUP(VLOOKUP(AH$1,main!$A$3:$H$102,8,FALSE),main!$K$26:$M$29,2,FALSE)+VLOOKUP(VLOOKUP(AH$1,main!$A$3:$H$102,7,FALSE),main!$K$19:$O$22,MATCH(VLOOKUP($A43,main!$A$3:$H$102,8,FALSE),main!$K$18:$O$18,0))))),1,0)</f>
        <v>1</v>
      </c>
      <c r="AI43">
        <f>IF((AND(VLOOKUP(AI$1,main!$A$3:$H$102,5,FALSE)-VLOOKUP($A43,main!$A$3:$H$102,6,FALSE)&gt;=(VLOOKUP(VLOOKUP(AI$1,main!$A$3:$H$102,8,FALSE),main!$K$26:$M$29,2,FALSE)+VLOOKUP(VLOOKUP(AI$1,main!$A$3:$H$102,7,FALSE),main!$K$19:$O$22,MATCH(VLOOKUP($A43,main!$A$3:$H$102,8,FALSE),main!$K$18:$O$18,0))))),1,0)</f>
        <v>1</v>
      </c>
      <c r="AJ43">
        <f>IF((AND(VLOOKUP(AJ$1,main!$A$3:$H$102,5,FALSE)-VLOOKUP($A43,main!$A$3:$H$102,6,FALSE)&gt;=(VLOOKUP(VLOOKUP(AJ$1,main!$A$3:$H$102,8,FALSE),main!$K$26:$M$29,2,FALSE)+VLOOKUP(VLOOKUP(AJ$1,main!$A$3:$H$102,7,FALSE),main!$K$19:$O$22,MATCH(VLOOKUP($A43,main!$A$3:$H$102,8,FALSE),main!$K$18:$O$18,0))))),1,0)</f>
        <v>1</v>
      </c>
      <c r="AK43">
        <f>IF((AND(VLOOKUP(AK$1,main!$A$3:$H$102,5,FALSE)-VLOOKUP($A43,main!$A$3:$H$102,6,FALSE)&gt;=(VLOOKUP(VLOOKUP(AK$1,main!$A$3:$H$102,8,FALSE),main!$K$26:$M$29,2,FALSE)+VLOOKUP(VLOOKUP(AK$1,main!$A$3:$H$102,7,FALSE),main!$K$19:$O$22,MATCH(VLOOKUP($A43,main!$A$3:$H$102,8,FALSE),main!$K$18:$O$18,0))))),1,0)</f>
        <v>1</v>
      </c>
      <c r="AL43">
        <f>IF((AND(VLOOKUP(AL$1,main!$A$3:$H$102,5,FALSE)-VLOOKUP($A43,main!$A$3:$H$102,6,FALSE)&gt;=(VLOOKUP(VLOOKUP(AL$1,main!$A$3:$H$102,8,FALSE),main!$K$26:$M$29,2,FALSE)+VLOOKUP(VLOOKUP(AL$1,main!$A$3:$H$102,7,FALSE),main!$K$19:$O$22,MATCH(VLOOKUP($A43,main!$A$3:$H$102,8,FALSE),main!$K$18:$O$18,0))))),1,0)</f>
        <v>1</v>
      </c>
      <c r="AM43">
        <f>IF((AND(VLOOKUP(AM$1,main!$A$3:$H$102,5,FALSE)-VLOOKUP($A43,main!$A$3:$H$102,6,FALSE)&gt;=(VLOOKUP(VLOOKUP(AM$1,main!$A$3:$H$102,8,FALSE),main!$K$26:$M$29,2,FALSE)+VLOOKUP(VLOOKUP(AM$1,main!$A$3:$H$102,7,FALSE),main!$K$19:$O$22,MATCH(VLOOKUP($A43,main!$A$3:$H$102,8,FALSE),main!$K$18:$O$18,0))))),1,0)</f>
        <v>1</v>
      </c>
      <c r="AN43">
        <f>IF((AND(VLOOKUP(AN$1,main!$A$3:$H$102,5,FALSE)-VLOOKUP($A43,main!$A$3:$H$102,6,FALSE)&gt;=(VLOOKUP(VLOOKUP(AN$1,main!$A$3:$H$102,8,FALSE),main!$K$26:$M$29,2,FALSE)+VLOOKUP(VLOOKUP(AN$1,main!$A$3:$H$102,7,FALSE),main!$K$19:$O$22,MATCH(VLOOKUP($A43,main!$A$3:$H$102,8,FALSE),main!$K$18:$O$18,0))))),1,0)</f>
        <v>1</v>
      </c>
      <c r="AO43">
        <f>IF((AND(VLOOKUP(AO$1,main!$A$3:$H$102,5,FALSE)-VLOOKUP($A43,main!$A$3:$H$102,6,FALSE)&gt;=(VLOOKUP(VLOOKUP(AO$1,main!$A$3:$H$102,8,FALSE),main!$K$26:$M$29,2,FALSE)+VLOOKUP(VLOOKUP(AO$1,main!$A$3:$H$102,7,FALSE),main!$K$19:$O$22,MATCH(VLOOKUP($A43,main!$A$3:$H$102,8,FALSE),main!$K$18:$O$18,0))))),1,0)</f>
        <v>0</v>
      </c>
      <c r="AP43">
        <f>IF((AND(VLOOKUP(AP$1,main!$A$3:$H$102,5,FALSE)-VLOOKUP($A43,main!$A$3:$H$102,6,FALSE)&gt;=(VLOOKUP(VLOOKUP(AP$1,main!$A$3:$H$102,8,FALSE),main!$K$26:$M$29,2,FALSE)+VLOOKUP(VLOOKUP(AP$1,main!$A$3:$H$102,7,FALSE),main!$K$19:$O$22,MATCH(VLOOKUP($A43,main!$A$3:$H$102,8,FALSE),main!$K$18:$O$18,0))))),1,0)</f>
        <v>1</v>
      </c>
      <c r="AQ43">
        <f>IF((AND(VLOOKUP(AQ$1,main!$A$3:$H$102,5,FALSE)-VLOOKUP($A43,main!$A$3:$H$102,6,FALSE)&gt;=(VLOOKUP(VLOOKUP(AQ$1,main!$A$3:$H$102,8,FALSE),main!$K$26:$M$29,2,FALSE)+VLOOKUP(VLOOKUP(AQ$1,main!$A$3:$H$102,7,FALSE),main!$K$19:$O$22,MATCH(VLOOKUP($A43,main!$A$3:$H$102,8,FALSE),main!$K$18:$O$18,0))))),1,0)</f>
        <v>0</v>
      </c>
      <c r="AR43">
        <f>IF((AND(VLOOKUP(AR$1,main!$A$3:$H$102,5,FALSE)-VLOOKUP($A43,main!$A$3:$H$102,6,FALSE)&gt;=(VLOOKUP(VLOOKUP(AR$1,main!$A$3:$H$102,8,FALSE),main!$K$26:$M$29,2,FALSE)+VLOOKUP(VLOOKUP(AR$1,main!$A$3:$H$102,7,FALSE),main!$K$19:$O$22,MATCH(VLOOKUP($A43,main!$A$3:$H$102,8,FALSE),main!$K$18:$O$18,0))))),1,0)</f>
        <v>0</v>
      </c>
      <c r="AS43">
        <f>IF((AND(VLOOKUP(AS$1,main!$A$3:$H$102,5,FALSE)-VLOOKUP($A43,main!$A$3:$H$102,6,FALSE)&gt;=(VLOOKUP(VLOOKUP(AS$1,main!$A$3:$H$102,8,FALSE),main!$K$26:$M$29,2,FALSE)+VLOOKUP(VLOOKUP(AS$1,main!$A$3:$H$102,7,FALSE),main!$K$19:$O$22,MATCH(VLOOKUP($A43,main!$A$3:$H$102,8,FALSE),main!$K$18:$O$18,0))))),1,0)</f>
        <v>1</v>
      </c>
      <c r="AT43">
        <f>IF((AND(VLOOKUP(AT$1,main!$A$3:$H$102,5,FALSE)-VLOOKUP($A43,main!$A$3:$H$102,6,FALSE)&gt;=(VLOOKUP(VLOOKUP(AT$1,main!$A$3:$H$102,8,FALSE),main!$K$26:$M$29,2,FALSE)+VLOOKUP(VLOOKUP(AT$1,main!$A$3:$H$102,7,FALSE),main!$K$19:$O$22,MATCH(VLOOKUP($A43,main!$A$3:$H$102,8,FALSE),main!$K$18:$O$18,0))))),1,0)</f>
        <v>1</v>
      </c>
      <c r="AU43">
        <f>IF((AND(VLOOKUP(AU$1,main!$A$3:$H$102,5,FALSE)-VLOOKUP($A43,main!$A$3:$H$102,6,FALSE)&gt;=(VLOOKUP(VLOOKUP(AU$1,main!$A$3:$H$102,8,FALSE),main!$K$26:$M$29,2,FALSE)+VLOOKUP(VLOOKUP(AU$1,main!$A$3:$H$102,7,FALSE),main!$K$19:$O$22,MATCH(VLOOKUP($A43,main!$A$3:$H$102,8,FALSE),main!$K$18:$O$18,0))))),1,0)</f>
        <v>0</v>
      </c>
      <c r="AV43">
        <f>IF((AND(VLOOKUP(AV$1,main!$A$3:$H$102,5,FALSE)-VLOOKUP($A43,main!$A$3:$H$102,6,FALSE)&gt;=(VLOOKUP(VLOOKUP(AV$1,main!$A$3:$H$102,8,FALSE),main!$K$26:$M$29,2,FALSE)+VLOOKUP(VLOOKUP(AV$1,main!$A$3:$H$102,7,FALSE),main!$K$19:$O$22,MATCH(VLOOKUP($A43,main!$A$3:$H$102,8,FALSE),main!$K$18:$O$18,0))))),1,0)</f>
        <v>0</v>
      </c>
      <c r="AW43">
        <f>IF((AND(VLOOKUP(AW$1,main!$A$3:$H$102,5,FALSE)-VLOOKUP($A43,main!$A$3:$H$102,6,FALSE)&gt;=(VLOOKUP(VLOOKUP(AW$1,main!$A$3:$H$102,8,FALSE),main!$K$26:$M$29,2,FALSE)+VLOOKUP(VLOOKUP(AW$1,main!$A$3:$H$102,7,FALSE),main!$K$19:$O$22,MATCH(VLOOKUP($A43,main!$A$3:$H$102,8,FALSE),main!$K$18:$O$18,0))))),1,0)</f>
        <v>1</v>
      </c>
      <c r="AX43">
        <f>IF((AND(VLOOKUP(AX$1,main!$A$3:$H$102,5,FALSE)-VLOOKUP($A43,main!$A$3:$H$102,6,FALSE)&gt;=(VLOOKUP(VLOOKUP(AX$1,main!$A$3:$H$102,8,FALSE),main!$K$26:$M$29,2,FALSE)+VLOOKUP(VLOOKUP(AX$1,main!$A$3:$H$102,7,FALSE),main!$K$19:$O$22,MATCH(VLOOKUP($A43,main!$A$3:$H$102,8,FALSE),main!$K$18:$O$18,0))))),1,0)</f>
        <v>1</v>
      </c>
      <c r="AY43">
        <f>IF((AND(VLOOKUP(AY$1,main!$A$3:$H$102,5,FALSE)-VLOOKUP($A43,main!$A$3:$H$102,6,FALSE)&gt;=(VLOOKUP(VLOOKUP(AY$1,main!$A$3:$H$102,8,FALSE),main!$K$26:$M$29,2,FALSE)+VLOOKUP(VLOOKUP(AY$1,main!$A$3:$H$102,7,FALSE),main!$K$19:$O$22,MATCH(VLOOKUP($A43,main!$A$3:$H$102,8,FALSE),main!$K$18:$O$18,0))))),1,0)</f>
        <v>0</v>
      </c>
      <c r="AZ43">
        <f>IF((AND(VLOOKUP(AZ$1,main!$A$3:$H$102,5,FALSE)-VLOOKUP($A43,main!$A$3:$H$102,6,FALSE)&gt;=(VLOOKUP(VLOOKUP(AZ$1,main!$A$3:$H$102,8,FALSE),main!$K$26:$M$29,2,FALSE)+VLOOKUP(VLOOKUP(AZ$1,main!$A$3:$H$102,7,FALSE),main!$K$19:$O$22,MATCH(VLOOKUP($A43,main!$A$3:$H$102,8,FALSE),main!$K$18:$O$18,0))))),1,0)</f>
        <v>1</v>
      </c>
      <c r="BA43">
        <f>IF((AND(VLOOKUP(BA$1,main!$A$3:$H$102,5,FALSE)-VLOOKUP($A43,main!$A$3:$H$102,6,FALSE)&gt;=(VLOOKUP(VLOOKUP(BA$1,main!$A$3:$H$102,8,FALSE),main!$K$26:$M$29,2,FALSE)+VLOOKUP(VLOOKUP(BA$1,main!$A$3:$H$102,7,FALSE),main!$K$19:$O$22,MATCH(VLOOKUP($A43,main!$A$3:$H$102,8,FALSE),main!$K$18:$O$18,0))))),1,0)</f>
        <v>0</v>
      </c>
      <c r="BB43">
        <f>IF((AND(VLOOKUP(BB$1,main!$A$3:$H$102,5,FALSE)-VLOOKUP($A43,main!$A$3:$H$102,6,FALSE)&gt;=(VLOOKUP(VLOOKUP(BB$1,main!$A$3:$H$102,8,FALSE),main!$K$26:$M$29,2,FALSE)+VLOOKUP(VLOOKUP(BB$1,main!$A$3:$H$102,7,FALSE),main!$K$19:$O$22,MATCH(VLOOKUP($A43,main!$A$3:$H$102,8,FALSE),main!$K$18:$O$18,0))))),1,0)</f>
        <v>1</v>
      </c>
      <c r="BC43">
        <f>IF((AND(VLOOKUP(BC$1,main!$A$3:$H$102,5,FALSE)-VLOOKUP($A43,main!$A$3:$H$102,6,FALSE)&gt;=(VLOOKUP(VLOOKUP(BC$1,main!$A$3:$H$102,8,FALSE),main!$K$26:$M$29,2,FALSE)+VLOOKUP(VLOOKUP(BC$1,main!$A$3:$H$102,7,FALSE),main!$K$19:$O$22,MATCH(VLOOKUP($A43,main!$A$3:$H$102,8,FALSE),main!$K$18:$O$18,0))))),1,0)</f>
        <v>1</v>
      </c>
      <c r="BD43">
        <f>IF((AND(VLOOKUP(BD$1,main!$A$3:$H$102,5,FALSE)-VLOOKUP($A43,main!$A$3:$H$102,6,FALSE)&gt;=(VLOOKUP(VLOOKUP(BD$1,main!$A$3:$H$102,8,FALSE),main!$K$26:$M$29,2,FALSE)+VLOOKUP(VLOOKUP(BD$1,main!$A$3:$H$102,7,FALSE),main!$K$19:$O$22,MATCH(VLOOKUP($A43,main!$A$3:$H$102,8,FALSE),main!$K$18:$O$18,0))))),1,0)</f>
        <v>1</v>
      </c>
      <c r="BE43">
        <f>IF((AND(VLOOKUP(BE$1,main!$A$3:$H$102,5,FALSE)-VLOOKUP($A43,main!$A$3:$H$102,6,FALSE)&gt;=(VLOOKUP(VLOOKUP(BE$1,main!$A$3:$H$102,8,FALSE),main!$K$26:$M$29,2,FALSE)+VLOOKUP(VLOOKUP(BE$1,main!$A$3:$H$102,7,FALSE),main!$K$19:$O$22,MATCH(VLOOKUP($A43,main!$A$3:$H$102,8,FALSE),main!$K$18:$O$18,0))))),1,0)</f>
        <v>1</v>
      </c>
      <c r="BF43">
        <f>IF((AND(VLOOKUP(BF$1,main!$A$3:$H$102,5,FALSE)-VLOOKUP($A43,main!$A$3:$H$102,6,FALSE)&gt;=(VLOOKUP(VLOOKUP(BF$1,main!$A$3:$H$102,8,FALSE),main!$K$26:$M$29,2,FALSE)+VLOOKUP(VLOOKUP(BF$1,main!$A$3:$H$102,7,FALSE),main!$K$19:$O$22,MATCH(VLOOKUP($A43,main!$A$3:$H$102,8,FALSE),main!$K$18:$O$18,0))))),1,0)</f>
        <v>0</v>
      </c>
      <c r="BG43">
        <f>IF((AND(VLOOKUP(BG$1,main!$A$3:$H$102,5,FALSE)-VLOOKUP($A43,main!$A$3:$H$102,6,FALSE)&gt;=(VLOOKUP(VLOOKUP(BG$1,main!$A$3:$H$102,8,FALSE),main!$K$26:$M$29,2,FALSE)+VLOOKUP(VLOOKUP(BG$1,main!$A$3:$H$102,7,FALSE),main!$K$19:$O$22,MATCH(VLOOKUP($A43,main!$A$3:$H$102,8,FALSE),main!$K$18:$O$18,0))))),1,0)</f>
        <v>1</v>
      </c>
      <c r="BH43">
        <f>IF((AND(VLOOKUP(BH$1,main!$A$3:$H$102,5,FALSE)-VLOOKUP($A43,main!$A$3:$H$102,6,FALSE)&gt;=(VLOOKUP(VLOOKUP(BH$1,main!$A$3:$H$102,8,FALSE),main!$K$26:$M$29,2,FALSE)+VLOOKUP(VLOOKUP(BH$1,main!$A$3:$H$102,7,FALSE),main!$K$19:$O$22,MATCH(VLOOKUP($A43,main!$A$3:$H$102,8,FALSE),main!$K$18:$O$18,0))))),1,0)</f>
        <v>1</v>
      </c>
      <c r="BI43">
        <f>IF((AND(VLOOKUP(BI$1,main!$A$3:$H$102,5,FALSE)-VLOOKUP($A43,main!$A$3:$H$102,6,FALSE)&gt;=(VLOOKUP(VLOOKUP(BI$1,main!$A$3:$H$102,8,FALSE),main!$K$26:$M$29,2,FALSE)+VLOOKUP(VLOOKUP(BI$1,main!$A$3:$H$102,7,FALSE),main!$K$19:$O$22,MATCH(VLOOKUP($A43,main!$A$3:$H$102,8,FALSE),main!$K$18:$O$18,0))))),1,0)</f>
        <v>1</v>
      </c>
      <c r="BJ43">
        <f>IF((AND(VLOOKUP(BJ$1,main!$A$3:$H$102,5,FALSE)-VLOOKUP($A43,main!$A$3:$H$102,6,FALSE)&gt;=(VLOOKUP(VLOOKUP(BJ$1,main!$A$3:$H$102,8,FALSE),main!$K$26:$M$29,2,FALSE)+VLOOKUP(VLOOKUP(BJ$1,main!$A$3:$H$102,7,FALSE),main!$K$19:$O$22,MATCH(VLOOKUP($A43,main!$A$3:$H$102,8,FALSE),main!$K$18:$O$18,0))))),1,0)</f>
        <v>1</v>
      </c>
      <c r="BK43">
        <f>IF((AND(VLOOKUP(BK$1,main!$A$3:$H$102,5,FALSE)-VLOOKUP($A43,main!$A$3:$H$102,6,FALSE)&gt;=(VLOOKUP(VLOOKUP(BK$1,main!$A$3:$H$102,8,FALSE),main!$K$26:$M$29,2,FALSE)+VLOOKUP(VLOOKUP(BK$1,main!$A$3:$H$102,7,FALSE),main!$K$19:$O$22,MATCH(VLOOKUP($A43,main!$A$3:$H$102,8,FALSE),main!$K$18:$O$18,0))))),1,0)</f>
        <v>0</v>
      </c>
      <c r="BL43">
        <f>IF((AND(VLOOKUP(BL$1,main!$A$3:$H$102,5,FALSE)-VLOOKUP($A43,main!$A$3:$H$102,6,FALSE)&gt;=(VLOOKUP(VLOOKUP(BL$1,main!$A$3:$H$102,8,FALSE),main!$K$26:$M$29,2,FALSE)+VLOOKUP(VLOOKUP(BL$1,main!$A$3:$H$102,7,FALSE),main!$K$19:$O$22,MATCH(VLOOKUP($A43,main!$A$3:$H$102,8,FALSE),main!$K$18:$O$18,0))))),1,0)</f>
        <v>0</v>
      </c>
      <c r="BM43">
        <f>IF((AND(VLOOKUP(BM$1,main!$A$3:$H$102,5,FALSE)-VLOOKUP($A43,main!$A$3:$H$102,6,FALSE)&gt;=(VLOOKUP(VLOOKUP(BM$1,main!$A$3:$H$102,8,FALSE),main!$K$26:$M$29,2,FALSE)+VLOOKUP(VLOOKUP(BM$1,main!$A$3:$H$102,7,FALSE),main!$K$19:$O$22,MATCH(VLOOKUP($A43,main!$A$3:$H$102,8,FALSE),main!$K$18:$O$18,0))))),1,0)</f>
        <v>1</v>
      </c>
      <c r="BN43">
        <f>IF((AND(VLOOKUP(BN$1,main!$A$3:$H$102,5,FALSE)-VLOOKUP($A43,main!$A$3:$H$102,6,FALSE)&gt;=(VLOOKUP(VLOOKUP(BN$1,main!$A$3:$H$102,8,FALSE),main!$K$26:$M$29,2,FALSE)+VLOOKUP(VLOOKUP(BN$1,main!$A$3:$H$102,7,FALSE),main!$K$19:$O$22,MATCH(VLOOKUP($A43,main!$A$3:$H$102,8,FALSE),main!$K$18:$O$18,0))))),1,0)</f>
        <v>1</v>
      </c>
      <c r="BO43">
        <f>IF((AND(VLOOKUP(BO$1,main!$A$3:$H$102,5,FALSE)-VLOOKUP($A43,main!$A$3:$H$102,6,FALSE)&gt;=(VLOOKUP(VLOOKUP(BO$1,main!$A$3:$H$102,8,FALSE),main!$K$26:$M$29,2,FALSE)+VLOOKUP(VLOOKUP(BO$1,main!$A$3:$H$102,7,FALSE),main!$K$19:$O$22,MATCH(VLOOKUP($A43,main!$A$3:$H$102,8,FALSE),main!$K$18:$O$18,0))))),1,0)</f>
        <v>0</v>
      </c>
      <c r="BP43">
        <f>IF((AND(VLOOKUP(BP$1,main!$A$3:$H$102,5,FALSE)-VLOOKUP($A43,main!$A$3:$H$102,6,FALSE)&gt;=(VLOOKUP(VLOOKUP(BP$1,main!$A$3:$H$102,8,FALSE),main!$K$26:$M$29,2,FALSE)+VLOOKUP(VLOOKUP(BP$1,main!$A$3:$H$102,7,FALSE),main!$K$19:$O$22,MATCH(VLOOKUP($A43,main!$A$3:$H$102,8,FALSE),main!$K$18:$O$18,0))))),1,0)</f>
        <v>0</v>
      </c>
      <c r="BQ43">
        <f>IF((AND(VLOOKUP(BQ$1,main!$A$3:$H$102,5,FALSE)-VLOOKUP($A43,main!$A$3:$H$102,6,FALSE)&gt;=(VLOOKUP(VLOOKUP(BQ$1,main!$A$3:$H$102,8,FALSE),main!$K$26:$M$29,2,FALSE)+VLOOKUP(VLOOKUP(BQ$1,main!$A$3:$H$102,7,FALSE),main!$K$19:$O$22,MATCH(VLOOKUP($A43,main!$A$3:$H$102,8,FALSE),main!$K$18:$O$18,0))))),1,0)</f>
        <v>1</v>
      </c>
      <c r="BR43">
        <f>IF((AND(VLOOKUP(BR$1,main!$A$3:$H$102,5,FALSE)-VLOOKUP($A43,main!$A$3:$H$102,6,FALSE)&gt;=(VLOOKUP(VLOOKUP(BR$1,main!$A$3:$H$102,8,FALSE),main!$K$26:$M$29,2,FALSE)+VLOOKUP(VLOOKUP(BR$1,main!$A$3:$H$102,7,FALSE),main!$K$19:$O$22,MATCH(VLOOKUP($A43,main!$A$3:$H$102,8,FALSE),main!$K$18:$O$18,0))))),1,0)</f>
        <v>1</v>
      </c>
      <c r="BS43">
        <f>IF((AND(VLOOKUP(BS$1,main!$A$3:$H$102,5,FALSE)-VLOOKUP($A43,main!$A$3:$H$102,6,FALSE)&gt;=(VLOOKUP(VLOOKUP(BS$1,main!$A$3:$H$102,8,FALSE),main!$K$26:$M$29,2,FALSE)+VLOOKUP(VLOOKUP(BS$1,main!$A$3:$H$102,7,FALSE),main!$K$19:$O$22,MATCH(VLOOKUP($A43,main!$A$3:$H$102,8,FALSE),main!$K$18:$O$18,0))))),1,0)</f>
        <v>1</v>
      </c>
      <c r="BT43">
        <f>IF((AND(VLOOKUP(BT$1,main!$A$3:$H$102,5,FALSE)-VLOOKUP($A43,main!$A$3:$H$102,6,FALSE)&gt;=(VLOOKUP(VLOOKUP(BT$1,main!$A$3:$H$102,8,FALSE),main!$K$26:$M$29,2,FALSE)+VLOOKUP(VLOOKUP(BT$1,main!$A$3:$H$102,7,FALSE),main!$K$19:$O$22,MATCH(VLOOKUP($A43,main!$A$3:$H$102,8,FALSE),main!$K$18:$O$18,0))))),1,0)</f>
        <v>1</v>
      </c>
      <c r="BU43">
        <f>IF((AND(VLOOKUP(BU$1,main!$A$3:$H$102,5,FALSE)-VLOOKUP($A43,main!$A$3:$H$102,6,FALSE)&gt;=(VLOOKUP(VLOOKUP(BU$1,main!$A$3:$H$102,8,FALSE),main!$K$26:$M$29,2,FALSE)+VLOOKUP(VLOOKUP(BU$1,main!$A$3:$H$102,7,FALSE),main!$K$19:$O$22,MATCH(VLOOKUP($A43,main!$A$3:$H$102,8,FALSE),main!$K$18:$O$18,0))))),1,0)</f>
        <v>0</v>
      </c>
      <c r="BV43">
        <f>IF((AND(VLOOKUP(BV$1,main!$A$3:$H$102,5,FALSE)-VLOOKUP($A43,main!$A$3:$H$102,6,FALSE)&gt;=(VLOOKUP(VLOOKUP(BV$1,main!$A$3:$H$102,8,FALSE),main!$K$26:$M$29,2,FALSE)+VLOOKUP(VLOOKUP(BV$1,main!$A$3:$H$102,7,FALSE),main!$K$19:$O$22,MATCH(VLOOKUP($A43,main!$A$3:$H$102,8,FALSE),main!$K$18:$O$18,0))))),1,0)</f>
        <v>0</v>
      </c>
      <c r="BW43">
        <f>IF((AND(VLOOKUP(BW$1,main!$A$3:$H$102,5,FALSE)-VLOOKUP($A43,main!$A$3:$H$102,6,FALSE)&gt;=(VLOOKUP(VLOOKUP(BW$1,main!$A$3:$H$102,8,FALSE),main!$K$26:$M$29,2,FALSE)+VLOOKUP(VLOOKUP(BW$1,main!$A$3:$H$102,7,FALSE),main!$K$19:$O$22,MATCH(VLOOKUP($A43,main!$A$3:$H$102,8,FALSE),main!$K$18:$O$18,0))))),1,0)</f>
        <v>1</v>
      </c>
      <c r="BX43">
        <f>IF((AND(VLOOKUP(BX$1,main!$A$3:$H$102,5,FALSE)-VLOOKUP($A43,main!$A$3:$H$102,6,FALSE)&gt;=(VLOOKUP(VLOOKUP(BX$1,main!$A$3:$H$102,8,FALSE),main!$K$26:$M$29,2,FALSE)+VLOOKUP(VLOOKUP(BX$1,main!$A$3:$H$102,7,FALSE),main!$K$19:$O$22,MATCH(VLOOKUP($A43,main!$A$3:$H$102,8,FALSE),main!$K$18:$O$18,0))))),1,0)</f>
        <v>1</v>
      </c>
      <c r="BY43">
        <f>IF((AND(VLOOKUP(BY$1,main!$A$3:$H$102,5,FALSE)-VLOOKUP($A43,main!$A$3:$H$102,6,FALSE)&gt;=(VLOOKUP(VLOOKUP(BY$1,main!$A$3:$H$102,8,FALSE),main!$K$26:$M$29,2,FALSE)+VLOOKUP(VLOOKUP(BY$1,main!$A$3:$H$102,7,FALSE),main!$K$19:$O$22,MATCH(VLOOKUP($A43,main!$A$3:$H$102,8,FALSE),main!$K$18:$O$18,0))))),1,0)</f>
        <v>1</v>
      </c>
      <c r="BZ43">
        <f>IF((AND(VLOOKUP(BZ$1,main!$A$3:$H$102,5,FALSE)-VLOOKUP($A43,main!$A$3:$H$102,6,FALSE)&gt;=(VLOOKUP(VLOOKUP(BZ$1,main!$A$3:$H$102,8,FALSE),main!$K$26:$M$29,2,FALSE)+VLOOKUP(VLOOKUP(BZ$1,main!$A$3:$H$102,7,FALSE),main!$K$19:$O$22,MATCH(VLOOKUP($A43,main!$A$3:$H$102,8,FALSE),main!$K$18:$O$18,0))))),1,0)</f>
        <v>0</v>
      </c>
      <c r="CA43">
        <f>IF((AND(VLOOKUP(CA$1,main!$A$3:$H$102,5,FALSE)-VLOOKUP($A43,main!$A$3:$H$102,6,FALSE)&gt;=(VLOOKUP(VLOOKUP(CA$1,main!$A$3:$H$102,8,FALSE),main!$K$26:$M$29,2,FALSE)+VLOOKUP(VLOOKUP(CA$1,main!$A$3:$H$102,7,FALSE),main!$K$19:$O$22,MATCH(VLOOKUP($A43,main!$A$3:$H$102,8,FALSE),main!$K$18:$O$18,0))))),1,0)</f>
        <v>1</v>
      </c>
      <c r="CB43">
        <f>IF((AND(VLOOKUP(CB$1,main!$A$3:$H$102,5,FALSE)-VLOOKUP($A43,main!$A$3:$H$102,6,FALSE)&gt;=(VLOOKUP(VLOOKUP(CB$1,main!$A$3:$H$102,8,FALSE),main!$K$26:$M$29,2,FALSE)+VLOOKUP(VLOOKUP(CB$1,main!$A$3:$H$102,7,FALSE),main!$K$19:$O$22,MATCH(VLOOKUP($A43,main!$A$3:$H$102,8,FALSE),main!$K$18:$O$18,0))))),1,0)</f>
        <v>1</v>
      </c>
      <c r="CC43">
        <f>IF((AND(VLOOKUP(CC$1,main!$A$3:$H$102,5,FALSE)-VLOOKUP($A43,main!$A$3:$H$102,6,FALSE)&gt;=(VLOOKUP(VLOOKUP(CC$1,main!$A$3:$H$102,8,FALSE),main!$K$26:$M$29,2,FALSE)+VLOOKUP(VLOOKUP(CC$1,main!$A$3:$H$102,7,FALSE),main!$K$19:$O$22,MATCH(VLOOKUP($A43,main!$A$3:$H$102,8,FALSE),main!$K$18:$O$18,0))))),1,0)</f>
        <v>1</v>
      </c>
      <c r="CD43">
        <f>IF((AND(VLOOKUP(CD$1,main!$A$3:$H$102,5,FALSE)-VLOOKUP($A43,main!$A$3:$H$102,6,FALSE)&gt;=(VLOOKUP(VLOOKUP(CD$1,main!$A$3:$H$102,8,FALSE),main!$K$26:$M$29,2,FALSE)+VLOOKUP(VLOOKUP(CD$1,main!$A$3:$H$102,7,FALSE),main!$K$19:$O$22,MATCH(VLOOKUP($A43,main!$A$3:$H$102,8,FALSE),main!$K$18:$O$18,0))))),1,0)</f>
        <v>1</v>
      </c>
      <c r="CE43">
        <f>IF((AND(VLOOKUP(CE$1,main!$A$3:$H$102,5,FALSE)-VLOOKUP($A43,main!$A$3:$H$102,6,FALSE)&gt;=(VLOOKUP(VLOOKUP(CE$1,main!$A$3:$H$102,8,FALSE),main!$K$26:$M$29,2,FALSE)+VLOOKUP(VLOOKUP(CE$1,main!$A$3:$H$102,7,FALSE),main!$K$19:$O$22,MATCH(VLOOKUP($A43,main!$A$3:$H$102,8,FALSE),main!$K$18:$O$18,0))))),1,0)</f>
        <v>1</v>
      </c>
      <c r="CF43">
        <f>IF((AND(VLOOKUP(CF$1,main!$A$3:$H$102,5,FALSE)-VLOOKUP($A43,main!$A$3:$H$102,6,FALSE)&gt;=(VLOOKUP(VLOOKUP(CF$1,main!$A$3:$H$102,8,FALSE),main!$K$26:$M$29,2,FALSE)+VLOOKUP(VLOOKUP(CF$1,main!$A$3:$H$102,7,FALSE),main!$K$19:$O$22,MATCH(VLOOKUP($A43,main!$A$3:$H$102,8,FALSE),main!$K$18:$O$18,0))))),1,0)</f>
        <v>1</v>
      </c>
      <c r="CG43">
        <f>IF((AND(VLOOKUP(CG$1,main!$A$3:$H$102,5,FALSE)-VLOOKUP($A43,main!$A$3:$H$102,6,FALSE)&gt;=(VLOOKUP(VLOOKUP(CG$1,main!$A$3:$H$102,8,FALSE),main!$K$26:$M$29,2,FALSE)+VLOOKUP(VLOOKUP(CG$1,main!$A$3:$H$102,7,FALSE),main!$K$19:$O$22,MATCH(VLOOKUP($A43,main!$A$3:$H$102,8,FALSE),main!$K$18:$O$18,0))))),1,0)</f>
        <v>1</v>
      </c>
      <c r="CH43">
        <f>IF((AND(VLOOKUP(CH$1,main!$A$3:$H$102,5,FALSE)-VLOOKUP($A43,main!$A$3:$H$102,6,FALSE)&gt;=(VLOOKUP(VLOOKUP(CH$1,main!$A$3:$H$102,8,FALSE),main!$K$26:$M$29,2,FALSE)+VLOOKUP(VLOOKUP(CH$1,main!$A$3:$H$102,7,FALSE),main!$K$19:$O$22,MATCH(VLOOKUP($A43,main!$A$3:$H$102,8,FALSE),main!$K$18:$O$18,0))))),1,0)</f>
        <v>1</v>
      </c>
      <c r="CI43">
        <f>IF((AND(VLOOKUP(CI$1,main!$A$3:$H$102,5,FALSE)-VLOOKUP($A43,main!$A$3:$H$102,6,FALSE)&gt;=(VLOOKUP(VLOOKUP(CI$1,main!$A$3:$H$102,8,FALSE),main!$K$26:$M$29,2,FALSE)+VLOOKUP(VLOOKUP(CI$1,main!$A$3:$H$102,7,FALSE),main!$K$19:$O$22,MATCH(VLOOKUP($A43,main!$A$3:$H$102,8,FALSE),main!$K$18:$O$18,0))))),1,0)</f>
        <v>1</v>
      </c>
      <c r="CJ43">
        <f>IF((AND(VLOOKUP(CJ$1,main!$A$3:$H$102,5,FALSE)-VLOOKUP($A43,main!$A$3:$H$102,6,FALSE)&gt;=(VLOOKUP(VLOOKUP(CJ$1,main!$A$3:$H$102,8,FALSE),main!$K$26:$M$29,2,FALSE)+VLOOKUP(VLOOKUP(CJ$1,main!$A$3:$H$102,7,FALSE),main!$K$19:$O$22,MATCH(VLOOKUP($A43,main!$A$3:$H$102,8,FALSE),main!$K$18:$O$18,0))))),1,0)</f>
        <v>1</v>
      </c>
      <c r="CK43">
        <f>IF((AND(VLOOKUP(CK$1,main!$A$3:$H$102,5,FALSE)-VLOOKUP($A43,main!$A$3:$H$102,6,FALSE)&gt;=(VLOOKUP(VLOOKUP(CK$1,main!$A$3:$H$102,8,FALSE),main!$K$26:$M$29,2,FALSE)+VLOOKUP(VLOOKUP(CK$1,main!$A$3:$H$102,7,FALSE),main!$K$19:$O$22,MATCH(VLOOKUP($A43,main!$A$3:$H$102,8,FALSE),main!$K$18:$O$18,0))))),1,0)</f>
        <v>1</v>
      </c>
      <c r="CL43">
        <f>IF((AND(VLOOKUP(CL$1,main!$A$3:$H$102,5,FALSE)-VLOOKUP($A43,main!$A$3:$H$102,6,FALSE)&gt;=(VLOOKUP(VLOOKUP(CL$1,main!$A$3:$H$102,8,FALSE),main!$K$26:$M$29,2,FALSE)+VLOOKUP(VLOOKUP(CL$1,main!$A$3:$H$102,7,FALSE),main!$K$19:$O$22,MATCH(VLOOKUP($A43,main!$A$3:$H$102,8,FALSE),main!$K$18:$O$18,0))))),1,0)</f>
        <v>1</v>
      </c>
      <c r="CM43">
        <f>IF((AND(VLOOKUP(CM$1,main!$A$3:$H$102,5,FALSE)-VLOOKUP($A43,main!$A$3:$H$102,6,FALSE)&gt;=(VLOOKUP(VLOOKUP(CM$1,main!$A$3:$H$102,8,FALSE),main!$K$26:$M$29,2,FALSE)+VLOOKUP(VLOOKUP(CM$1,main!$A$3:$H$102,7,FALSE),main!$K$19:$O$22,MATCH(VLOOKUP($A43,main!$A$3:$H$102,8,FALSE),main!$K$18:$O$18,0))))),1,0)</f>
        <v>1</v>
      </c>
      <c r="CN43">
        <f>IF((AND(VLOOKUP(CN$1,main!$A$3:$H$102,5,FALSE)-VLOOKUP($A43,main!$A$3:$H$102,6,FALSE)&gt;=(VLOOKUP(VLOOKUP(CN$1,main!$A$3:$H$102,8,FALSE),main!$K$26:$M$29,2,FALSE)+VLOOKUP(VLOOKUP(CN$1,main!$A$3:$H$102,7,FALSE),main!$K$19:$O$22,MATCH(VLOOKUP($A43,main!$A$3:$H$102,8,FALSE),main!$K$18:$O$18,0))))),1,0)</f>
        <v>1</v>
      </c>
      <c r="CO43">
        <f>IF((AND(VLOOKUP(CO$1,main!$A$3:$H$102,5,FALSE)-VLOOKUP($A43,main!$A$3:$H$102,6,FALSE)&gt;=(VLOOKUP(VLOOKUP(CO$1,main!$A$3:$H$102,8,FALSE),main!$K$26:$M$29,2,FALSE)+VLOOKUP(VLOOKUP(CO$1,main!$A$3:$H$102,7,FALSE),main!$K$19:$O$22,MATCH(VLOOKUP($A43,main!$A$3:$H$102,8,FALSE),main!$K$18:$O$18,0))))),1,0)</f>
        <v>0</v>
      </c>
      <c r="CP43">
        <f>IF((AND(VLOOKUP(CP$1,main!$A$3:$H$102,5,FALSE)-VLOOKUP($A43,main!$A$3:$H$102,6,FALSE)&gt;=(VLOOKUP(VLOOKUP(CP$1,main!$A$3:$H$102,8,FALSE),main!$K$26:$M$29,2,FALSE)+VLOOKUP(VLOOKUP(CP$1,main!$A$3:$H$102,7,FALSE),main!$K$19:$O$22,MATCH(VLOOKUP($A43,main!$A$3:$H$102,8,FALSE),main!$K$18:$O$18,0))))),1,0)</f>
        <v>1</v>
      </c>
      <c r="CQ43">
        <f>IF((AND(VLOOKUP(CQ$1,main!$A$3:$H$102,5,FALSE)-VLOOKUP($A43,main!$A$3:$H$102,6,FALSE)&gt;=(VLOOKUP(VLOOKUP(CQ$1,main!$A$3:$H$102,8,FALSE),main!$K$26:$M$29,2,FALSE)+VLOOKUP(VLOOKUP(CQ$1,main!$A$3:$H$102,7,FALSE),main!$K$19:$O$22,MATCH(VLOOKUP($A43,main!$A$3:$H$102,8,FALSE),main!$K$18:$O$18,0))))),1,0)</f>
        <v>1</v>
      </c>
      <c r="CR43">
        <f>IF((AND(VLOOKUP(CR$1,main!$A$3:$H$102,5,FALSE)-VLOOKUP($A43,main!$A$3:$H$102,6,FALSE)&gt;=(VLOOKUP(VLOOKUP(CR$1,main!$A$3:$H$102,8,FALSE),main!$K$26:$M$29,2,FALSE)+VLOOKUP(VLOOKUP(CR$1,main!$A$3:$H$102,7,FALSE),main!$K$19:$O$22,MATCH(VLOOKUP($A43,main!$A$3:$H$102,8,FALSE),main!$K$18:$O$18,0))))),1,0)</f>
        <v>1</v>
      </c>
      <c r="CS43">
        <f>IF((AND(VLOOKUP(CS$1,main!$A$3:$H$102,5,FALSE)-VLOOKUP($A43,main!$A$3:$H$102,6,FALSE)&gt;=(VLOOKUP(VLOOKUP(CS$1,main!$A$3:$H$102,8,FALSE),main!$K$26:$M$29,2,FALSE)+VLOOKUP(VLOOKUP(CS$1,main!$A$3:$H$102,7,FALSE),main!$K$19:$O$22,MATCH(VLOOKUP($A43,main!$A$3:$H$102,8,FALSE),main!$K$18:$O$18,0))))),1,0)</f>
        <v>1</v>
      </c>
      <c r="CT43">
        <f>IF((AND(VLOOKUP(CT$1,main!$A$3:$H$102,5,FALSE)-VLOOKUP($A43,main!$A$3:$H$102,6,FALSE)&gt;=(VLOOKUP(VLOOKUP(CT$1,main!$A$3:$H$102,8,FALSE),main!$K$26:$M$29,2,FALSE)+VLOOKUP(VLOOKUP(CT$1,main!$A$3:$H$102,7,FALSE),main!$K$19:$O$22,MATCH(VLOOKUP($A43,main!$A$3:$H$102,8,FALSE),main!$K$18:$O$18,0))))),1,0)</f>
        <v>0</v>
      </c>
      <c r="CU43">
        <f>IF((AND(VLOOKUP(CU$1,main!$A$3:$H$102,5,FALSE)-VLOOKUP($A43,main!$A$3:$H$102,6,FALSE)&gt;=(VLOOKUP(VLOOKUP(CU$1,main!$A$3:$H$102,8,FALSE),main!$K$26:$M$29,2,FALSE)+VLOOKUP(VLOOKUP(CU$1,main!$A$3:$H$102,7,FALSE),main!$K$19:$O$22,MATCH(VLOOKUP($A43,main!$A$3:$H$102,8,FALSE),main!$K$18:$O$18,0))))),1,0)</f>
        <v>0</v>
      </c>
      <c r="CV43">
        <f>IF((AND(VLOOKUP(CV$1,main!$A$3:$H$102,5,FALSE)-VLOOKUP($A43,main!$A$3:$H$102,6,FALSE)&gt;=(VLOOKUP(VLOOKUP(CV$1,main!$A$3:$H$102,8,FALSE),main!$K$26:$M$29,2,FALSE)+VLOOKUP(VLOOKUP(CV$1,main!$A$3:$H$102,7,FALSE),main!$K$19:$O$22,MATCH(VLOOKUP($A43,main!$A$3:$H$102,8,FALSE),main!$K$18:$O$18,0))))),1,0)</f>
        <v>1</v>
      </c>
      <c r="CW43">
        <f>IF((AND(VLOOKUP(CW$1,main!$A$3:$H$102,5,FALSE)-VLOOKUP($A43,main!$A$3:$H$102,6,FALSE)&gt;=(VLOOKUP(VLOOKUP(CW$1,main!$A$3:$H$102,8,FALSE),main!$K$26:$M$29,2,FALSE)+VLOOKUP(VLOOKUP(CW$1,main!$A$3:$H$102,7,FALSE),main!$K$19:$O$22,MATCH(VLOOKUP($A43,main!$A$3:$H$102,8,FALSE),main!$K$18:$O$18,0))))),1,0)</f>
        <v>1</v>
      </c>
      <c r="CX43">
        <f>IF((AND(VLOOKUP(CX$1,main!$A$3:$H$102,5,FALSE)-VLOOKUP($A43,main!$A$3:$H$102,6,FALSE)&gt;=(VLOOKUP(VLOOKUP(CX$1,main!$A$3:$H$102,8,FALSE),main!$K$26:$M$29,2,FALSE)+VLOOKUP(VLOOKUP(CX$1,main!$A$3:$H$102,7,FALSE),main!$K$19:$O$22,MATCH(VLOOKUP($A43,main!$A$3:$H$102,8,FALSE),main!$K$18:$O$18,0))))),1,0)</f>
        <v>1</v>
      </c>
    </row>
    <row r="44" spans="1:102" x14ac:dyDescent="0.25">
      <c r="A44" s="1">
        <v>42</v>
      </c>
      <c r="B44">
        <v>1</v>
      </c>
      <c r="C44">
        <f>IF((AND(VLOOKUP(C$1,main!$A$3:$H$102,5,FALSE)-VLOOKUP($A44,main!$A$3:$H$102,6,FALSE)&gt;=(VLOOKUP(VLOOKUP(C$1,main!$A$3:$H$102,8,FALSE),main!$K$26:$M$29,2,FALSE)+VLOOKUP(VLOOKUP(C$1,main!$A$3:$H$102,7,FALSE),main!$K$19:$O$22,MATCH(VLOOKUP($A44,main!$A$3:$H$102,8,FALSE),main!$K$18:$O$18,0))))),1,0)</f>
        <v>0</v>
      </c>
      <c r="D44">
        <f>IF((AND(VLOOKUP(D$1,main!$A$3:$H$102,5,FALSE)-VLOOKUP($A44,main!$A$3:$H$102,6,FALSE)&gt;=(VLOOKUP(VLOOKUP(D$1,main!$A$3:$H$102,8,FALSE),main!$K$26:$M$29,2,FALSE)+VLOOKUP(VLOOKUP(D$1,main!$A$3:$H$102,7,FALSE),main!$K$19:$O$22,MATCH(VLOOKUP($A44,main!$A$3:$H$102,8,FALSE),main!$K$18:$O$18,0))))),1,0)</f>
        <v>0</v>
      </c>
      <c r="E44">
        <f>IF((AND(VLOOKUP(E$1,main!$A$3:$H$102,5,FALSE)-VLOOKUP($A44,main!$A$3:$H$102,6,FALSE)&gt;=(VLOOKUP(VLOOKUP(E$1,main!$A$3:$H$102,8,FALSE),main!$K$26:$M$29,2,FALSE)+VLOOKUP(VLOOKUP(E$1,main!$A$3:$H$102,7,FALSE),main!$K$19:$O$22,MATCH(VLOOKUP($A44,main!$A$3:$H$102,8,FALSE),main!$K$18:$O$18,0))))),1,0)</f>
        <v>0</v>
      </c>
      <c r="F44">
        <f>IF((AND(VLOOKUP(F$1,main!$A$3:$H$102,5,FALSE)-VLOOKUP($A44,main!$A$3:$H$102,6,FALSE)&gt;=(VLOOKUP(VLOOKUP(F$1,main!$A$3:$H$102,8,FALSE),main!$K$26:$M$29,2,FALSE)+VLOOKUP(VLOOKUP(F$1,main!$A$3:$H$102,7,FALSE),main!$K$19:$O$22,MATCH(VLOOKUP($A44,main!$A$3:$H$102,8,FALSE),main!$K$18:$O$18,0))))),1,0)</f>
        <v>0</v>
      </c>
      <c r="G44">
        <f>IF((AND(VLOOKUP(G$1,main!$A$3:$H$102,5,FALSE)-VLOOKUP($A44,main!$A$3:$H$102,6,FALSE)&gt;=(VLOOKUP(VLOOKUP(G$1,main!$A$3:$H$102,8,FALSE),main!$K$26:$M$29,2,FALSE)+VLOOKUP(VLOOKUP(G$1,main!$A$3:$H$102,7,FALSE),main!$K$19:$O$22,MATCH(VLOOKUP($A44,main!$A$3:$H$102,8,FALSE),main!$K$18:$O$18,0))))),1,0)</f>
        <v>1</v>
      </c>
      <c r="H44">
        <f>IF((AND(VLOOKUP(H$1,main!$A$3:$H$102,5,FALSE)-VLOOKUP($A44,main!$A$3:$H$102,6,FALSE)&gt;=(VLOOKUP(VLOOKUP(H$1,main!$A$3:$H$102,8,FALSE),main!$K$26:$M$29,2,FALSE)+VLOOKUP(VLOOKUP(H$1,main!$A$3:$H$102,7,FALSE),main!$K$19:$O$22,MATCH(VLOOKUP($A44,main!$A$3:$H$102,8,FALSE),main!$K$18:$O$18,0))))),1,0)</f>
        <v>1</v>
      </c>
      <c r="I44">
        <f>IF((AND(VLOOKUP(I$1,main!$A$3:$H$102,5,FALSE)-VLOOKUP($A44,main!$A$3:$H$102,6,FALSE)&gt;=(VLOOKUP(VLOOKUP(I$1,main!$A$3:$H$102,8,FALSE),main!$K$26:$M$29,2,FALSE)+VLOOKUP(VLOOKUP(I$1,main!$A$3:$H$102,7,FALSE),main!$K$19:$O$22,MATCH(VLOOKUP($A44,main!$A$3:$H$102,8,FALSE),main!$K$18:$O$18,0))))),1,0)</f>
        <v>1</v>
      </c>
      <c r="J44">
        <f>IF((AND(VLOOKUP(J$1,main!$A$3:$H$102,5,FALSE)-VLOOKUP($A44,main!$A$3:$H$102,6,FALSE)&gt;=(VLOOKUP(VLOOKUP(J$1,main!$A$3:$H$102,8,FALSE),main!$K$26:$M$29,2,FALSE)+VLOOKUP(VLOOKUP(J$1,main!$A$3:$H$102,7,FALSE),main!$K$19:$O$22,MATCH(VLOOKUP($A44,main!$A$3:$H$102,8,FALSE),main!$K$18:$O$18,0))))),1,0)</f>
        <v>1</v>
      </c>
      <c r="K44">
        <f>IF((AND(VLOOKUP(K$1,main!$A$3:$H$102,5,FALSE)-VLOOKUP($A44,main!$A$3:$H$102,6,FALSE)&gt;=(VLOOKUP(VLOOKUP(K$1,main!$A$3:$H$102,8,FALSE),main!$K$26:$M$29,2,FALSE)+VLOOKUP(VLOOKUP(K$1,main!$A$3:$H$102,7,FALSE),main!$K$19:$O$22,MATCH(VLOOKUP($A44,main!$A$3:$H$102,8,FALSE),main!$K$18:$O$18,0))))),1,0)</f>
        <v>1</v>
      </c>
      <c r="L44">
        <f>IF((AND(VLOOKUP(L$1,main!$A$3:$H$102,5,FALSE)-VLOOKUP($A44,main!$A$3:$H$102,6,FALSE)&gt;=(VLOOKUP(VLOOKUP(L$1,main!$A$3:$H$102,8,FALSE),main!$K$26:$M$29,2,FALSE)+VLOOKUP(VLOOKUP(L$1,main!$A$3:$H$102,7,FALSE),main!$K$19:$O$22,MATCH(VLOOKUP($A44,main!$A$3:$H$102,8,FALSE),main!$K$18:$O$18,0))))),1,0)</f>
        <v>1</v>
      </c>
      <c r="M44">
        <f>IF((AND(VLOOKUP(M$1,main!$A$3:$H$102,5,FALSE)-VLOOKUP($A44,main!$A$3:$H$102,6,FALSE)&gt;=(VLOOKUP(VLOOKUP(M$1,main!$A$3:$H$102,8,FALSE),main!$K$26:$M$29,2,FALSE)+VLOOKUP(VLOOKUP(M$1,main!$A$3:$H$102,7,FALSE),main!$K$19:$O$22,MATCH(VLOOKUP($A44,main!$A$3:$H$102,8,FALSE),main!$K$18:$O$18,0))))),1,0)</f>
        <v>0</v>
      </c>
      <c r="N44">
        <f>IF((AND(VLOOKUP(N$1,main!$A$3:$H$102,5,FALSE)-VLOOKUP($A44,main!$A$3:$H$102,6,FALSE)&gt;=(VLOOKUP(VLOOKUP(N$1,main!$A$3:$H$102,8,FALSE),main!$K$26:$M$29,2,FALSE)+VLOOKUP(VLOOKUP(N$1,main!$A$3:$H$102,7,FALSE),main!$K$19:$O$22,MATCH(VLOOKUP($A44,main!$A$3:$H$102,8,FALSE),main!$K$18:$O$18,0))))),1,0)</f>
        <v>0</v>
      </c>
      <c r="O44">
        <f>IF((AND(VLOOKUP(O$1,main!$A$3:$H$102,5,FALSE)-VLOOKUP($A44,main!$A$3:$H$102,6,FALSE)&gt;=(VLOOKUP(VLOOKUP(O$1,main!$A$3:$H$102,8,FALSE),main!$K$26:$M$29,2,FALSE)+VLOOKUP(VLOOKUP(O$1,main!$A$3:$H$102,7,FALSE),main!$K$19:$O$22,MATCH(VLOOKUP($A44,main!$A$3:$H$102,8,FALSE),main!$K$18:$O$18,0))))),1,0)</f>
        <v>0</v>
      </c>
      <c r="P44">
        <f>IF((AND(VLOOKUP(P$1,main!$A$3:$H$102,5,FALSE)-VLOOKUP($A44,main!$A$3:$H$102,6,FALSE)&gt;=(VLOOKUP(VLOOKUP(P$1,main!$A$3:$H$102,8,FALSE),main!$K$26:$M$29,2,FALSE)+VLOOKUP(VLOOKUP(P$1,main!$A$3:$H$102,7,FALSE),main!$K$19:$O$22,MATCH(VLOOKUP($A44,main!$A$3:$H$102,8,FALSE),main!$K$18:$O$18,0))))),1,0)</f>
        <v>0</v>
      </c>
      <c r="Q44">
        <f>IF((AND(VLOOKUP(Q$1,main!$A$3:$H$102,5,FALSE)-VLOOKUP($A44,main!$A$3:$H$102,6,FALSE)&gt;=(VLOOKUP(VLOOKUP(Q$1,main!$A$3:$H$102,8,FALSE),main!$K$26:$M$29,2,FALSE)+VLOOKUP(VLOOKUP(Q$1,main!$A$3:$H$102,7,FALSE),main!$K$19:$O$22,MATCH(VLOOKUP($A44,main!$A$3:$H$102,8,FALSE),main!$K$18:$O$18,0))))),1,0)</f>
        <v>0</v>
      </c>
      <c r="R44">
        <f>IF((AND(VLOOKUP(R$1,main!$A$3:$H$102,5,FALSE)-VLOOKUP($A44,main!$A$3:$H$102,6,FALSE)&gt;=(VLOOKUP(VLOOKUP(R$1,main!$A$3:$H$102,8,FALSE),main!$K$26:$M$29,2,FALSE)+VLOOKUP(VLOOKUP(R$1,main!$A$3:$H$102,7,FALSE),main!$K$19:$O$22,MATCH(VLOOKUP($A44,main!$A$3:$H$102,8,FALSE),main!$K$18:$O$18,0))))),1,0)</f>
        <v>1</v>
      </c>
      <c r="S44">
        <f>IF((AND(VLOOKUP(S$1,main!$A$3:$H$102,5,FALSE)-VLOOKUP($A44,main!$A$3:$H$102,6,FALSE)&gt;=(VLOOKUP(VLOOKUP(S$1,main!$A$3:$H$102,8,FALSE),main!$K$26:$M$29,2,FALSE)+VLOOKUP(VLOOKUP(S$1,main!$A$3:$H$102,7,FALSE),main!$K$19:$O$22,MATCH(VLOOKUP($A44,main!$A$3:$H$102,8,FALSE),main!$K$18:$O$18,0))))),1,0)</f>
        <v>1</v>
      </c>
      <c r="T44">
        <f>IF((AND(VLOOKUP(T$1,main!$A$3:$H$102,5,FALSE)-VLOOKUP($A44,main!$A$3:$H$102,6,FALSE)&gt;=(VLOOKUP(VLOOKUP(T$1,main!$A$3:$H$102,8,FALSE),main!$K$26:$M$29,2,FALSE)+VLOOKUP(VLOOKUP(T$1,main!$A$3:$H$102,7,FALSE),main!$K$19:$O$22,MATCH(VLOOKUP($A44,main!$A$3:$H$102,8,FALSE),main!$K$18:$O$18,0))))),1,0)</f>
        <v>1</v>
      </c>
      <c r="U44">
        <f>IF((AND(VLOOKUP(U$1,main!$A$3:$H$102,5,FALSE)-VLOOKUP($A44,main!$A$3:$H$102,6,FALSE)&gt;=(VLOOKUP(VLOOKUP(U$1,main!$A$3:$H$102,8,FALSE),main!$K$26:$M$29,2,FALSE)+VLOOKUP(VLOOKUP(U$1,main!$A$3:$H$102,7,FALSE),main!$K$19:$O$22,MATCH(VLOOKUP($A44,main!$A$3:$H$102,8,FALSE),main!$K$18:$O$18,0))))),1,0)</f>
        <v>1</v>
      </c>
      <c r="V44">
        <f>IF((AND(VLOOKUP(V$1,main!$A$3:$H$102,5,FALSE)-VLOOKUP($A44,main!$A$3:$H$102,6,FALSE)&gt;=(VLOOKUP(VLOOKUP(V$1,main!$A$3:$H$102,8,FALSE),main!$K$26:$M$29,2,FALSE)+VLOOKUP(VLOOKUP(V$1,main!$A$3:$H$102,7,FALSE),main!$K$19:$O$22,MATCH(VLOOKUP($A44,main!$A$3:$H$102,8,FALSE),main!$K$18:$O$18,0))))),1,0)</f>
        <v>1</v>
      </c>
      <c r="W44">
        <f>IF((AND(VLOOKUP(W$1,main!$A$3:$H$102,5,FALSE)-VLOOKUP($A44,main!$A$3:$H$102,6,FALSE)&gt;=(VLOOKUP(VLOOKUP(W$1,main!$A$3:$H$102,8,FALSE),main!$K$26:$M$29,2,FALSE)+VLOOKUP(VLOOKUP(W$1,main!$A$3:$H$102,7,FALSE),main!$K$19:$O$22,MATCH(VLOOKUP($A44,main!$A$3:$H$102,8,FALSE),main!$K$18:$O$18,0))))),1,0)</f>
        <v>0</v>
      </c>
      <c r="X44">
        <f>IF((AND(VLOOKUP(X$1,main!$A$3:$H$102,5,FALSE)-VLOOKUP($A44,main!$A$3:$H$102,6,FALSE)&gt;=(VLOOKUP(VLOOKUP(X$1,main!$A$3:$H$102,8,FALSE),main!$K$26:$M$29,2,FALSE)+VLOOKUP(VLOOKUP(X$1,main!$A$3:$H$102,7,FALSE),main!$K$19:$O$22,MATCH(VLOOKUP($A44,main!$A$3:$H$102,8,FALSE),main!$K$18:$O$18,0))))),1,0)</f>
        <v>0</v>
      </c>
      <c r="Y44">
        <f>IF((AND(VLOOKUP(Y$1,main!$A$3:$H$102,5,FALSE)-VLOOKUP($A44,main!$A$3:$H$102,6,FALSE)&gt;=(VLOOKUP(VLOOKUP(Y$1,main!$A$3:$H$102,8,FALSE),main!$K$26:$M$29,2,FALSE)+VLOOKUP(VLOOKUP(Y$1,main!$A$3:$H$102,7,FALSE),main!$K$19:$O$22,MATCH(VLOOKUP($A44,main!$A$3:$H$102,8,FALSE),main!$K$18:$O$18,0))))),1,0)</f>
        <v>1</v>
      </c>
      <c r="Z44">
        <f>IF((AND(VLOOKUP(Z$1,main!$A$3:$H$102,5,FALSE)-VLOOKUP($A44,main!$A$3:$H$102,6,FALSE)&gt;=(VLOOKUP(VLOOKUP(Z$1,main!$A$3:$H$102,8,FALSE),main!$K$26:$M$29,2,FALSE)+VLOOKUP(VLOOKUP(Z$1,main!$A$3:$H$102,7,FALSE),main!$K$19:$O$22,MATCH(VLOOKUP($A44,main!$A$3:$H$102,8,FALSE),main!$K$18:$O$18,0))))),1,0)</f>
        <v>1</v>
      </c>
      <c r="AA44">
        <f>IF((AND(VLOOKUP(AA$1,main!$A$3:$H$102,5,FALSE)-VLOOKUP($A44,main!$A$3:$H$102,6,FALSE)&gt;=(VLOOKUP(VLOOKUP(AA$1,main!$A$3:$H$102,8,FALSE),main!$K$26:$M$29,2,FALSE)+VLOOKUP(VLOOKUP(AA$1,main!$A$3:$H$102,7,FALSE),main!$K$19:$O$22,MATCH(VLOOKUP($A44,main!$A$3:$H$102,8,FALSE),main!$K$18:$O$18,0))))),1,0)</f>
        <v>1</v>
      </c>
      <c r="AB44">
        <f>IF((AND(VLOOKUP(AB$1,main!$A$3:$H$102,5,FALSE)-VLOOKUP($A44,main!$A$3:$H$102,6,FALSE)&gt;=(VLOOKUP(VLOOKUP(AB$1,main!$A$3:$H$102,8,FALSE),main!$K$26:$M$29,2,FALSE)+VLOOKUP(VLOOKUP(AB$1,main!$A$3:$H$102,7,FALSE),main!$K$19:$O$22,MATCH(VLOOKUP($A44,main!$A$3:$H$102,8,FALSE),main!$K$18:$O$18,0))))),1,0)</f>
        <v>0</v>
      </c>
      <c r="AC44">
        <f>IF((AND(VLOOKUP(AC$1,main!$A$3:$H$102,5,FALSE)-VLOOKUP($A44,main!$A$3:$H$102,6,FALSE)&gt;=(VLOOKUP(VLOOKUP(AC$1,main!$A$3:$H$102,8,FALSE),main!$K$26:$M$29,2,FALSE)+VLOOKUP(VLOOKUP(AC$1,main!$A$3:$H$102,7,FALSE),main!$K$19:$O$22,MATCH(VLOOKUP($A44,main!$A$3:$H$102,8,FALSE),main!$K$18:$O$18,0))))),1,0)</f>
        <v>0</v>
      </c>
      <c r="AD44">
        <f>IF((AND(VLOOKUP(AD$1,main!$A$3:$H$102,5,FALSE)-VLOOKUP($A44,main!$A$3:$H$102,6,FALSE)&gt;=(VLOOKUP(VLOOKUP(AD$1,main!$A$3:$H$102,8,FALSE),main!$K$26:$M$29,2,FALSE)+VLOOKUP(VLOOKUP(AD$1,main!$A$3:$H$102,7,FALSE),main!$K$19:$O$22,MATCH(VLOOKUP($A44,main!$A$3:$H$102,8,FALSE),main!$K$18:$O$18,0))))),1,0)</f>
        <v>0</v>
      </c>
      <c r="AE44">
        <f>IF((AND(VLOOKUP(AE$1,main!$A$3:$H$102,5,FALSE)-VLOOKUP($A44,main!$A$3:$H$102,6,FALSE)&gt;=(VLOOKUP(VLOOKUP(AE$1,main!$A$3:$H$102,8,FALSE),main!$K$26:$M$29,2,FALSE)+VLOOKUP(VLOOKUP(AE$1,main!$A$3:$H$102,7,FALSE),main!$K$19:$O$22,MATCH(VLOOKUP($A44,main!$A$3:$H$102,8,FALSE),main!$K$18:$O$18,0))))),1,0)</f>
        <v>1</v>
      </c>
      <c r="AF44">
        <f>IF((AND(VLOOKUP(AF$1,main!$A$3:$H$102,5,FALSE)-VLOOKUP($A44,main!$A$3:$H$102,6,FALSE)&gt;=(VLOOKUP(VLOOKUP(AF$1,main!$A$3:$H$102,8,FALSE),main!$K$26:$M$29,2,FALSE)+VLOOKUP(VLOOKUP(AF$1,main!$A$3:$H$102,7,FALSE),main!$K$19:$O$22,MATCH(VLOOKUP($A44,main!$A$3:$H$102,8,FALSE),main!$K$18:$O$18,0))))),1,0)</f>
        <v>1</v>
      </c>
      <c r="AG44">
        <f>IF((AND(VLOOKUP(AG$1,main!$A$3:$H$102,5,FALSE)-VLOOKUP($A44,main!$A$3:$H$102,6,FALSE)&gt;=(VLOOKUP(VLOOKUP(AG$1,main!$A$3:$H$102,8,FALSE),main!$K$26:$M$29,2,FALSE)+VLOOKUP(VLOOKUP(AG$1,main!$A$3:$H$102,7,FALSE),main!$K$19:$O$22,MATCH(VLOOKUP($A44,main!$A$3:$H$102,8,FALSE),main!$K$18:$O$18,0))))),1,0)</f>
        <v>0</v>
      </c>
      <c r="AH44">
        <f>IF((AND(VLOOKUP(AH$1,main!$A$3:$H$102,5,FALSE)-VLOOKUP($A44,main!$A$3:$H$102,6,FALSE)&gt;=(VLOOKUP(VLOOKUP(AH$1,main!$A$3:$H$102,8,FALSE),main!$K$26:$M$29,2,FALSE)+VLOOKUP(VLOOKUP(AH$1,main!$A$3:$H$102,7,FALSE),main!$K$19:$O$22,MATCH(VLOOKUP($A44,main!$A$3:$H$102,8,FALSE),main!$K$18:$O$18,0))))),1,0)</f>
        <v>0</v>
      </c>
      <c r="AI44">
        <f>IF((AND(VLOOKUP(AI$1,main!$A$3:$H$102,5,FALSE)-VLOOKUP($A44,main!$A$3:$H$102,6,FALSE)&gt;=(VLOOKUP(VLOOKUP(AI$1,main!$A$3:$H$102,8,FALSE),main!$K$26:$M$29,2,FALSE)+VLOOKUP(VLOOKUP(AI$1,main!$A$3:$H$102,7,FALSE),main!$K$19:$O$22,MATCH(VLOOKUP($A44,main!$A$3:$H$102,8,FALSE),main!$K$18:$O$18,0))))),1,0)</f>
        <v>0</v>
      </c>
      <c r="AJ44">
        <f>IF((AND(VLOOKUP(AJ$1,main!$A$3:$H$102,5,FALSE)-VLOOKUP($A44,main!$A$3:$H$102,6,FALSE)&gt;=(VLOOKUP(VLOOKUP(AJ$1,main!$A$3:$H$102,8,FALSE),main!$K$26:$M$29,2,FALSE)+VLOOKUP(VLOOKUP(AJ$1,main!$A$3:$H$102,7,FALSE),main!$K$19:$O$22,MATCH(VLOOKUP($A44,main!$A$3:$H$102,8,FALSE),main!$K$18:$O$18,0))))),1,0)</f>
        <v>1</v>
      </c>
      <c r="AK44">
        <f>IF((AND(VLOOKUP(AK$1,main!$A$3:$H$102,5,FALSE)-VLOOKUP($A44,main!$A$3:$H$102,6,FALSE)&gt;=(VLOOKUP(VLOOKUP(AK$1,main!$A$3:$H$102,8,FALSE),main!$K$26:$M$29,2,FALSE)+VLOOKUP(VLOOKUP(AK$1,main!$A$3:$H$102,7,FALSE),main!$K$19:$O$22,MATCH(VLOOKUP($A44,main!$A$3:$H$102,8,FALSE),main!$K$18:$O$18,0))))),1,0)</f>
        <v>1</v>
      </c>
      <c r="AL44">
        <f>IF((AND(VLOOKUP(AL$1,main!$A$3:$H$102,5,FALSE)-VLOOKUP($A44,main!$A$3:$H$102,6,FALSE)&gt;=(VLOOKUP(VLOOKUP(AL$1,main!$A$3:$H$102,8,FALSE),main!$K$26:$M$29,2,FALSE)+VLOOKUP(VLOOKUP(AL$1,main!$A$3:$H$102,7,FALSE),main!$K$19:$O$22,MATCH(VLOOKUP($A44,main!$A$3:$H$102,8,FALSE),main!$K$18:$O$18,0))))),1,0)</f>
        <v>1</v>
      </c>
      <c r="AM44">
        <f>IF((AND(VLOOKUP(AM$1,main!$A$3:$H$102,5,FALSE)-VLOOKUP($A44,main!$A$3:$H$102,6,FALSE)&gt;=(VLOOKUP(VLOOKUP(AM$1,main!$A$3:$H$102,8,FALSE),main!$K$26:$M$29,2,FALSE)+VLOOKUP(VLOOKUP(AM$1,main!$A$3:$H$102,7,FALSE),main!$K$19:$O$22,MATCH(VLOOKUP($A44,main!$A$3:$H$102,8,FALSE),main!$K$18:$O$18,0))))),1,0)</f>
        <v>1</v>
      </c>
      <c r="AN44">
        <f>IF((AND(VLOOKUP(AN$1,main!$A$3:$H$102,5,FALSE)-VLOOKUP($A44,main!$A$3:$H$102,6,FALSE)&gt;=(VLOOKUP(VLOOKUP(AN$1,main!$A$3:$H$102,8,FALSE),main!$K$26:$M$29,2,FALSE)+VLOOKUP(VLOOKUP(AN$1,main!$A$3:$H$102,7,FALSE),main!$K$19:$O$22,MATCH(VLOOKUP($A44,main!$A$3:$H$102,8,FALSE),main!$K$18:$O$18,0))))),1,0)</f>
        <v>1</v>
      </c>
      <c r="AO44">
        <f>IF((AND(VLOOKUP(AO$1,main!$A$3:$H$102,5,FALSE)-VLOOKUP($A44,main!$A$3:$H$102,6,FALSE)&gt;=(VLOOKUP(VLOOKUP(AO$1,main!$A$3:$H$102,8,FALSE),main!$K$26:$M$29,2,FALSE)+VLOOKUP(VLOOKUP(AO$1,main!$A$3:$H$102,7,FALSE),main!$K$19:$O$22,MATCH(VLOOKUP($A44,main!$A$3:$H$102,8,FALSE),main!$K$18:$O$18,0))))),1,0)</f>
        <v>0</v>
      </c>
      <c r="AP44">
        <f>IF((AND(VLOOKUP(AP$1,main!$A$3:$H$102,5,FALSE)-VLOOKUP($A44,main!$A$3:$H$102,6,FALSE)&gt;=(VLOOKUP(VLOOKUP(AP$1,main!$A$3:$H$102,8,FALSE),main!$K$26:$M$29,2,FALSE)+VLOOKUP(VLOOKUP(AP$1,main!$A$3:$H$102,7,FALSE),main!$K$19:$O$22,MATCH(VLOOKUP($A44,main!$A$3:$H$102,8,FALSE),main!$K$18:$O$18,0))))),1,0)</f>
        <v>1</v>
      </c>
      <c r="AQ44">
        <f>IF((AND(VLOOKUP(AQ$1,main!$A$3:$H$102,5,FALSE)-VLOOKUP($A44,main!$A$3:$H$102,6,FALSE)&gt;=(VLOOKUP(VLOOKUP(AQ$1,main!$A$3:$H$102,8,FALSE),main!$K$26:$M$29,2,FALSE)+VLOOKUP(VLOOKUP(AQ$1,main!$A$3:$H$102,7,FALSE),main!$K$19:$O$22,MATCH(VLOOKUP($A44,main!$A$3:$H$102,8,FALSE),main!$K$18:$O$18,0))))),1,0)</f>
        <v>0</v>
      </c>
      <c r="AR44">
        <f>IF((AND(VLOOKUP(AR$1,main!$A$3:$H$102,5,FALSE)-VLOOKUP($A44,main!$A$3:$H$102,6,FALSE)&gt;=(VLOOKUP(VLOOKUP(AR$1,main!$A$3:$H$102,8,FALSE),main!$K$26:$M$29,2,FALSE)+VLOOKUP(VLOOKUP(AR$1,main!$A$3:$H$102,7,FALSE),main!$K$19:$O$22,MATCH(VLOOKUP($A44,main!$A$3:$H$102,8,FALSE),main!$K$18:$O$18,0))))),1,0)</f>
        <v>0</v>
      </c>
      <c r="AS44">
        <f>IF((AND(VLOOKUP(AS$1,main!$A$3:$H$102,5,FALSE)-VLOOKUP($A44,main!$A$3:$H$102,6,FALSE)&gt;=(VLOOKUP(VLOOKUP(AS$1,main!$A$3:$H$102,8,FALSE),main!$K$26:$M$29,2,FALSE)+VLOOKUP(VLOOKUP(AS$1,main!$A$3:$H$102,7,FALSE),main!$K$19:$O$22,MATCH(VLOOKUP($A44,main!$A$3:$H$102,8,FALSE),main!$K$18:$O$18,0))))),1,0)</f>
        <v>1</v>
      </c>
      <c r="AT44">
        <f>IF((AND(VLOOKUP(AT$1,main!$A$3:$H$102,5,FALSE)-VLOOKUP($A44,main!$A$3:$H$102,6,FALSE)&gt;=(VLOOKUP(VLOOKUP(AT$1,main!$A$3:$H$102,8,FALSE),main!$K$26:$M$29,2,FALSE)+VLOOKUP(VLOOKUP(AT$1,main!$A$3:$H$102,7,FALSE),main!$K$19:$O$22,MATCH(VLOOKUP($A44,main!$A$3:$H$102,8,FALSE),main!$K$18:$O$18,0))))),1,0)</f>
        <v>1</v>
      </c>
      <c r="AU44">
        <f>IF((AND(VLOOKUP(AU$1,main!$A$3:$H$102,5,FALSE)-VLOOKUP($A44,main!$A$3:$H$102,6,FALSE)&gt;=(VLOOKUP(VLOOKUP(AU$1,main!$A$3:$H$102,8,FALSE),main!$K$26:$M$29,2,FALSE)+VLOOKUP(VLOOKUP(AU$1,main!$A$3:$H$102,7,FALSE),main!$K$19:$O$22,MATCH(VLOOKUP($A44,main!$A$3:$H$102,8,FALSE),main!$K$18:$O$18,0))))),1,0)</f>
        <v>0</v>
      </c>
      <c r="AV44">
        <f>IF((AND(VLOOKUP(AV$1,main!$A$3:$H$102,5,FALSE)-VLOOKUP($A44,main!$A$3:$H$102,6,FALSE)&gt;=(VLOOKUP(VLOOKUP(AV$1,main!$A$3:$H$102,8,FALSE),main!$K$26:$M$29,2,FALSE)+VLOOKUP(VLOOKUP(AV$1,main!$A$3:$H$102,7,FALSE),main!$K$19:$O$22,MATCH(VLOOKUP($A44,main!$A$3:$H$102,8,FALSE),main!$K$18:$O$18,0))))),1,0)</f>
        <v>0</v>
      </c>
      <c r="AW44">
        <f>IF((AND(VLOOKUP(AW$1,main!$A$3:$H$102,5,FALSE)-VLOOKUP($A44,main!$A$3:$H$102,6,FALSE)&gt;=(VLOOKUP(VLOOKUP(AW$1,main!$A$3:$H$102,8,FALSE),main!$K$26:$M$29,2,FALSE)+VLOOKUP(VLOOKUP(AW$1,main!$A$3:$H$102,7,FALSE),main!$K$19:$O$22,MATCH(VLOOKUP($A44,main!$A$3:$H$102,8,FALSE),main!$K$18:$O$18,0))))),1,0)</f>
        <v>1</v>
      </c>
      <c r="AX44">
        <f>IF((AND(VLOOKUP(AX$1,main!$A$3:$H$102,5,FALSE)-VLOOKUP($A44,main!$A$3:$H$102,6,FALSE)&gt;=(VLOOKUP(VLOOKUP(AX$1,main!$A$3:$H$102,8,FALSE),main!$K$26:$M$29,2,FALSE)+VLOOKUP(VLOOKUP(AX$1,main!$A$3:$H$102,7,FALSE),main!$K$19:$O$22,MATCH(VLOOKUP($A44,main!$A$3:$H$102,8,FALSE),main!$K$18:$O$18,0))))),1,0)</f>
        <v>0</v>
      </c>
      <c r="AY44">
        <f>IF((AND(VLOOKUP(AY$1,main!$A$3:$H$102,5,FALSE)-VLOOKUP($A44,main!$A$3:$H$102,6,FALSE)&gt;=(VLOOKUP(VLOOKUP(AY$1,main!$A$3:$H$102,8,FALSE),main!$K$26:$M$29,2,FALSE)+VLOOKUP(VLOOKUP(AY$1,main!$A$3:$H$102,7,FALSE),main!$K$19:$O$22,MATCH(VLOOKUP($A44,main!$A$3:$H$102,8,FALSE),main!$K$18:$O$18,0))))),1,0)</f>
        <v>0</v>
      </c>
      <c r="AZ44">
        <f>IF((AND(VLOOKUP(AZ$1,main!$A$3:$H$102,5,FALSE)-VLOOKUP($A44,main!$A$3:$H$102,6,FALSE)&gt;=(VLOOKUP(VLOOKUP(AZ$1,main!$A$3:$H$102,8,FALSE),main!$K$26:$M$29,2,FALSE)+VLOOKUP(VLOOKUP(AZ$1,main!$A$3:$H$102,7,FALSE),main!$K$19:$O$22,MATCH(VLOOKUP($A44,main!$A$3:$H$102,8,FALSE),main!$K$18:$O$18,0))))),1,0)</f>
        <v>0</v>
      </c>
      <c r="BA44">
        <f>IF((AND(VLOOKUP(BA$1,main!$A$3:$H$102,5,FALSE)-VLOOKUP($A44,main!$A$3:$H$102,6,FALSE)&gt;=(VLOOKUP(VLOOKUP(BA$1,main!$A$3:$H$102,8,FALSE),main!$K$26:$M$29,2,FALSE)+VLOOKUP(VLOOKUP(BA$1,main!$A$3:$H$102,7,FALSE),main!$K$19:$O$22,MATCH(VLOOKUP($A44,main!$A$3:$H$102,8,FALSE),main!$K$18:$O$18,0))))),1,0)</f>
        <v>0</v>
      </c>
      <c r="BB44">
        <f>IF((AND(VLOOKUP(BB$1,main!$A$3:$H$102,5,FALSE)-VLOOKUP($A44,main!$A$3:$H$102,6,FALSE)&gt;=(VLOOKUP(VLOOKUP(BB$1,main!$A$3:$H$102,8,FALSE),main!$K$26:$M$29,2,FALSE)+VLOOKUP(VLOOKUP(BB$1,main!$A$3:$H$102,7,FALSE),main!$K$19:$O$22,MATCH(VLOOKUP($A44,main!$A$3:$H$102,8,FALSE),main!$K$18:$O$18,0))))),1,0)</f>
        <v>0</v>
      </c>
      <c r="BC44">
        <f>IF((AND(VLOOKUP(BC$1,main!$A$3:$H$102,5,FALSE)-VLOOKUP($A44,main!$A$3:$H$102,6,FALSE)&gt;=(VLOOKUP(VLOOKUP(BC$1,main!$A$3:$H$102,8,FALSE),main!$K$26:$M$29,2,FALSE)+VLOOKUP(VLOOKUP(BC$1,main!$A$3:$H$102,7,FALSE),main!$K$19:$O$22,MATCH(VLOOKUP($A44,main!$A$3:$H$102,8,FALSE),main!$K$18:$O$18,0))))),1,0)</f>
        <v>1</v>
      </c>
      <c r="BD44">
        <f>IF((AND(VLOOKUP(BD$1,main!$A$3:$H$102,5,FALSE)-VLOOKUP($A44,main!$A$3:$H$102,6,FALSE)&gt;=(VLOOKUP(VLOOKUP(BD$1,main!$A$3:$H$102,8,FALSE),main!$K$26:$M$29,2,FALSE)+VLOOKUP(VLOOKUP(BD$1,main!$A$3:$H$102,7,FALSE),main!$K$19:$O$22,MATCH(VLOOKUP($A44,main!$A$3:$H$102,8,FALSE),main!$K$18:$O$18,0))))),1,0)</f>
        <v>1</v>
      </c>
      <c r="BE44">
        <f>IF((AND(VLOOKUP(BE$1,main!$A$3:$H$102,5,FALSE)-VLOOKUP($A44,main!$A$3:$H$102,6,FALSE)&gt;=(VLOOKUP(VLOOKUP(BE$1,main!$A$3:$H$102,8,FALSE),main!$K$26:$M$29,2,FALSE)+VLOOKUP(VLOOKUP(BE$1,main!$A$3:$H$102,7,FALSE),main!$K$19:$O$22,MATCH(VLOOKUP($A44,main!$A$3:$H$102,8,FALSE),main!$K$18:$O$18,0))))),1,0)</f>
        <v>1</v>
      </c>
      <c r="BF44">
        <f>IF((AND(VLOOKUP(BF$1,main!$A$3:$H$102,5,FALSE)-VLOOKUP($A44,main!$A$3:$H$102,6,FALSE)&gt;=(VLOOKUP(VLOOKUP(BF$1,main!$A$3:$H$102,8,FALSE),main!$K$26:$M$29,2,FALSE)+VLOOKUP(VLOOKUP(BF$1,main!$A$3:$H$102,7,FALSE),main!$K$19:$O$22,MATCH(VLOOKUP($A44,main!$A$3:$H$102,8,FALSE),main!$K$18:$O$18,0))))),1,0)</f>
        <v>0</v>
      </c>
      <c r="BG44">
        <f>IF((AND(VLOOKUP(BG$1,main!$A$3:$H$102,5,FALSE)-VLOOKUP($A44,main!$A$3:$H$102,6,FALSE)&gt;=(VLOOKUP(VLOOKUP(BG$1,main!$A$3:$H$102,8,FALSE),main!$K$26:$M$29,2,FALSE)+VLOOKUP(VLOOKUP(BG$1,main!$A$3:$H$102,7,FALSE),main!$K$19:$O$22,MATCH(VLOOKUP($A44,main!$A$3:$H$102,8,FALSE),main!$K$18:$O$18,0))))),1,0)</f>
        <v>0</v>
      </c>
      <c r="BH44">
        <f>IF((AND(VLOOKUP(BH$1,main!$A$3:$H$102,5,FALSE)-VLOOKUP($A44,main!$A$3:$H$102,6,FALSE)&gt;=(VLOOKUP(VLOOKUP(BH$1,main!$A$3:$H$102,8,FALSE),main!$K$26:$M$29,2,FALSE)+VLOOKUP(VLOOKUP(BH$1,main!$A$3:$H$102,7,FALSE),main!$K$19:$O$22,MATCH(VLOOKUP($A44,main!$A$3:$H$102,8,FALSE),main!$K$18:$O$18,0))))),1,0)</f>
        <v>1</v>
      </c>
      <c r="BI44">
        <f>IF((AND(VLOOKUP(BI$1,main!$A$3:$H$102,5,FALSE)-VLOOKUP($A44,main!$A$3:$H$102,6,FALSE)&gt;=(VLOOKUP(VLOOKUP(BI$1,main!$A$3:$H$102,8,FALSE),main!$K$26:$M$29,2,FALSE)+VLOOKUP(VLOOKUP(BI$1,main!$A$3:$H$102,7,FALSE),main!$K$19:$O$22,MATCH(VLOOKUP($A44,main!$A$3:$H$102,8,FALSE),main!$K$18:$O$18,0))))),1,0)</f>
        <v>1</v>
      </c>
      <c r="BJ44">
        <f>IF((AND(VLOOKUP(BJ$1,main!$A$3:$H$102,5,FALSE)-VLOOKUP($A44,main!$A$3:$H$102,6,FALSE)&gt;=(VLOOKUP(VLOOKUP(BJ$1,main!$A$3:$H$102,8,FALSE),main!$K$26:$M$29,2,FALSE)+VLOOKUP(VLOOKUP(BJ$1,main!$A$3:$H$102,7,FALSE),main!$K$19:$O$22,MATCH(VLOOKUP($A44,main!$A$3:$H$102,8,FALSE),main!$K$18:$O$18,0))))),1,0)</f>
        <v>1</v>
      </c>
      <c r="BK44">
        <f>IF((AND(VLOOKUP(BK$1,main!$A$3:$H$102,5,FALSE)-VLOOKUP($A44,main!$A$3:$H$102,6,FALSE)&gt;=(VLOOKUP(VLOOKUP(BK$1,main!$A$3:$H$102,8,FALSE),main!$K$26:$M$29,2,FALSE)+VLOOKUP(VLOOKUP(BK$1,main!$A$3:$H$102,7,FALSE),main!$K$19:$O$22,MATCH(VLOOKUP($A44,main!$A$3:$H$102,8,FALSE),main!$K$18:$O$18,0))))),1,0)</f>
        <v>0</v>
      </c>
      <c r="BL44">
        <f>IF((AND(VLOOKUP(BL$1,main!$A$3:$H$102,5,FALSE)-VLOOKUP($A44,main!$A$3:$H$102,6,FALSE)&gt;=(VLOOKUP(VLOOKUP(BL$1,main!$A$3:$H$102,8,FALSE),main!$K$26:$M$29,2,FALSE)+VLOOKUP(VLOOKUP(BL$1,main!$A$3:$H$102,7,FALSE),main!$K$19:$O$22,MATCH(VLOOKUP($A44,main!$A$3:$H$102,8,FALSE),main!$K$18:$O$18,0))))),1,0)</f>
        <v>0</v>
      </c>
      <c r="BM44">
        <f>IF((AND(VLOOKUP(BM$1,main!$A$3:$H$102,5,FALSE)-VLOOKUP($A44,main!$A$3:$H$102,6,FALSE)&gt;=(VLOOKUP(VLOOKUP(BM$1,main!$A$3:$H$102,8,FALSE),main!$K$26:$M$29,2,FALSE)+VLOOKUP(VLOOKUP(BM$1,main!$A$3:$H$102,7,FALSE),main!$K$19:$O$22,MATCH(VLOOKUP($A44,main!$A$3:$H$102,8,FALSE),main!$K$18:$O$18,0))))),1,0)</f>
        <v>0</v>
      </c>
      <c r="BN44">
        <f>IF((AND(VLOOKUP(BN$1,main!$A$3:$H$102,5,FALSE)-VLOOKUP($A44,main!$A$3:$H$102,6,FALSE)&gt;=(VLOOKUP(VLOOKUP(BN$1,main!$A$3:$H$102,8,FALSE),main!$K$26:$M$29,2,FALSE)+VLOOKUP(VLOOKUP(BN$1,main!$A$3:$H$102,7,FALSE),main!$K$19:$O$22,MATCH(VLOOKUP($A44,main!$A$3:$H$102,8,FALSE),main!$K$18:$O$18,0))))),1,0)</f>
        <v>1</v>
      </c>
      <c r="BO44">
        <f>IF((AND(VLOOKUP(BO$1,main!$A$3:$H$102,5,FALSE)-VLOOKUP($A44,main!$A$3:$H$102,6,FALSE)&gt;=(VLOOKUP(VLOOKUP(BO$1,main!$A$3:$H$102,8,FALSE),main!$K$26:$M$29,2,FALSE)+VLOOKUP(VLOOKUP(BO$1,main!$A$3:$H$102,7,FALSE),main!$K$19:$O$22,MATCH(VLOOKUP($A44,main!$A$3:$H$102,8,FALSE),main!$K$18:$O$18,0))))),1,0)</f>
        <v>0</v>
      </c>
      <c r="BP44">
        <f>IF((AND(VLOOKUP(BP$1,main!$A$3:$H$102,5,FALSE)-VLOOKUP($A44,main!$A$3:$H$102,6,FALSE)&gt;=(VLOOKUP(VLOOKUP(BP$1,main!$A$3:$H$102,8,FALSE),main!$K$26:$M$29,2,FALSE)+VLOOKUP(VLOOKUP(BP$1,main!$A$3:$H$102,7,FALSE),main!$K$19:$O$22,MATCH(VLOOKUP($A44,main!$A$3:$H$102,8,FALSE),main!$K$18:$O$18,0))))),1,0)</f>
        <v>0</v>
      </c>
      <c r="BQ44">
        <f>IF((AND(VLOOKUP(BQ$1,main!$A$3:$H$102,5,FALSE)-VLOOKUP($A44,main!$A$3:$H$102,6,FALSE)&gt;=(VLOOKUP(VLOOKUP(BQ$1,main!$A$3:$H$102,8,FALSE),main!$K$26:$M$29,2,FALSE)+VLOOKUP(VLOOKUP(BQ$1,main!$A$3:$H$102,7,FALSE),main!$K$19:$O$22,MATCH(VLOOKUP($A44,main!$A$3:$H$102,8,FALSE),main!$K$18:$O$18,0))))),1,0)</f>
        <v>1</v>
      </c>
      <c r="BR44">
        <f>IF((AND(VLOOKUP(BR$1,main!$A$3:$H$102,5,FALSE)-VLOOKUP($A44,main!$A$3:$H$102,6,FALSE)&gt;=(VLOOKUP(VLOOKUP(BR$1,main!$A$3:$H$102,8,FALSE),main!$K$26:$M$29,2,FALSE)+VLOOKUP(VLOOKUP(BR$1,main!$A$3:$H$102,7,FALSE),main!$K$19:$O$22,MATCH(VLOOKUP($A44,main!$A$3:$H$102,8,FALSE),main!$K$18:$O$18,0))))),1,0)</f>
        <v>1</v>
      </c>
      <c r="BS44">
        <f>IF((AND(VLOOKUP(BS$1,main!$A$3:$H$102,5,FALSE)-VLOOKUP($A44,main!$A$3:$H$102,6,FALSE)&gt;=(VLOOKUP(VLOOKUP(BS$1,main!$A$3:$H$102,8,FALSE),main!$K$26:$M$29,2,FALSE)+VLOOKUP(VLOOKUP(BS$1,main!$A$3:$H$102,7,FALSE),main!$K$19:$O$22,MATCH(VLOOKUP($A44,main!$A$3:$H$102,8,FALSE),main!$K$18:$O$18,0))))),1,0)</f>
        <v>1</v>
      </c>
      <c r="BT44">
        <f>IF((AND(VLOOKUP(BT$1,main!$A$3:$H$102,5,FALSE)-VLOOKUP($A44,main!$A$3:$H$102,6,FALSE)&gt;=(VLOOKUP(VLOOKUP(BT$1,main!$A$3:$H$102,8,FALSE),main!$K$26:$M$29,2,FALSE)+VLOOKUP(VLOOKUP(BT$1,main!$A$3:$H$102,7,FALSE),main!$K$19:$O$22,MATCH(VLOOKUP($A44,main!$A$3:$H$102,8,FALSE),main!$K$18:$O$18,0))))),1,0)</f>
        <v>1</v>
      </c>
      <c r="BU44">
        <f>IF((AND(VLOOKUP(BU$1,main!$A$3:$H$102,5,FALSE)-VLOOKUP($A44,main!$A$3:$H$102,6,FALSE)&gt;=(VLOOKUP(VLOOKUP(BU$1,main!$A$3:$H$102,8,FALSE),main!$K$26:$M$29,2,FALSE)+VLOOKUP(VLOOKUP(BU$1,main!$A$3:$H$102,7,FALSE),main!$K$19:$O$22,MATCH(VLOOKUP($A44,main!$A$3:$H$102,8,FALSE),main!$K$18:$O$18,0))))),1,0)</f>
        <v>0</v>
      </c>
      <c r="BV44">
        <f>IF((AND(VLOOKUP(BV$1,main!$A$3:$H$102,5,FALSE)-VLOOKUP($A44,main!$A$3:$H$102,6,FALSE)&gt;=(VLOOKUP(VLOOKUP(BV$1,main!$A$3:$H$102,8,FALSE),main!$K$26:$M$29,2,FALSE)+VLOOKUP(VLOOKUP(BV$1,main!$A$3:$H$102,7,FALSE),main!$K$19:$O$22,MATCH(VLOOKUP($A44,main!$A$3:$H$102,8,FALSE),main!$K$18:$O$18,0))))),1,0)</f>
        <v>0</v>
      </c>
      <c r="BW44">
        <f>IF((AND(VLOOKUP(BW$1,main!$A$3:$H$102,5,FALSE)-VLOOKUP($A44,main!$A$3:$H$102,6,FALSE)&gt;=(VLOOKUP(VLOOKUP(BW$1,main!$A$3:$H$102,8,FALSE),main!$K$26:$M$29,2,FALSE)+VLOOKUP(VLOOKUP(BW$1,main!$A$3:$H$102,7,FALSE),main!$K$19:$O$22,MATCH(VLOOKUP($A44,main!$A$3:$H$102,8,FALSE),main!$K$18:$O$18,0))))),1,0)</f>
        <v>0</v>
      </c>
      <c r="BX44">
        <f>IF((AND(VLOOKUP(BX$1,main!$A$3:$H$102,5,FALSE)-VLOOKUP($A44,main!$A$3:$H$102,6,FALSE)&gt;=(VLOOKUP(VLOOKUP(BX$1,main!$A$3:$H$102,8,FALSE),main!$K$26:$M$29,2,FALSE)+VLOOKUP(VLOOKUP(BX$1,main!$A$3:$H$102,7,FALSE),main!$K$19:$O$22,MATCH(VLOOKUP($A44,main!$A$3:$H$102,8,FALSE),main!$K$18:$O$18,0))))),1,0)</f>
        <v>1</v>
      </c>
      <c r="BY44">
        <f>IF((AND(VLOOKUP(BY$1,main!$A$3:$H$102,5,FALSE)-VLOOKUP($A44,main!$A$3:$H$102,6,FALSE)&gt;=(VLOOKUP(VLOOKUP(BY$1,main!$A$3:$H$102,8,FALSE),main!$K$26:$M$29,2,FALSE)+VLOOKUP(VLOOKUP(BY$1,main!$A$3:$H$102,7,FALSE),main!$K$19:$O$22,MATCH(VLOOKUP($A44,main!$A$3:$H$102,8,FALSE),main!$K$18:$O$18,0))))),1,0)</f>
        <v>1</v>
      </c>
      <c r="BZ44">
        <f>IF((AND(VLOOKUP(BZ$1,main!$A$3:$H$102,5,FALSE)-VLOOKUP($A44,main!$A$3:$H$102,6,FALSE)&gt;=(VLOOKUP(VLOOKUP(BZ$1,main!$A$3:$H$102,8,FALSE),main!$K$26:$M$29,2,FALSE)+VLOOKUP(VLOOKUP(BZ$1,main!$A$3:$H$102,7,FALSE),main!$K$19:$O$22,MATCH(VLOOKUP($A44,main!$A$3:$H$102,8,FALSE),main!$K$18:$O$18,0))))),1,0)</f>
        <v>0</v>
      </c>
      <c r="CA44">
        <f>IF((AND(VLOOKUP(CA$1,main!$A$3:$H$102,5,FALSE)-VLOOKUP($A44,main!$A$3:$H$102,6,FALSE)&gt;=(VLOOKUP(VLOOKUP(CA$1,main!$A$3:$H$102,8,FALSE),main!$K$26:$M$29,2,FALSE)+VLOOKUP(VLOOKUP(CA$1,main!$A$3:$H$102,7,FALSE),main!$K$19:$O$22,MATCH(VLOOKUP($A44,main!$A$3:$H$102,8,FALSE),main!$K$18:$O$18,0))))),1,0)</f>
        <v>0</v>
      </c>
      <c r="CB44">
        <f>IF((AND(VLOOKUP(CB$1,main!$A$3:$H$102,5,FALSE)-VLOOKUP($A44,main!$A$3:$H$102,6,FALSE)&gt;=(VLOOKUP(VLOOKUP(CB$1,main!$A$3:$H$102,8,FALSE),main!$K$26:$M$29,2,FALSE)+VLOOKUP(VLOOKUP(CB$1,main!$A$3:$H$102,7,FALSE),main!$K$19:$O$22,MATCH(VLOOKUP($A44,main!$A$3:$H$102,8,FALSE),main!$K$18:$O$18,0))))),1,0)</f>
        <v>1</v>
      </c>
      <c r="CC44">
        <f>IF((AND(VLOOKUP(CC$1,main!$A$3:$H$102,5,FALSE)-VLOOKUP($A44,main!$A$3:$H$102,6,FALSE)&gt;=(VLOOKUP(VLOOKUP(CC$1,main!$A$3:$H$102,8,FALSE),main!$K$26:$M$29,2,FALSE)+VLOOKUP(VLOOKUP(CC$1,main!$A$3:$H$102,7,FALSE),main!$K$19:$O$22,MATCH(VLOOKUP($A44,main!$A$3:$H$102,8,FALSE),main!$K$18:$O$18,0))))),1,0)</f>
        <v>1</v>
      </c>
      <c r="CD44">
        <f>IF((AND(VLOOKUP(CD$1,main!$A$3:$H$102,5,FALSE)-VLOOKUP($A44,main!$A$3:$H$102,6,FALSE)&gt;=(VLOOKUP(VLOOKUP(CD$1,main!$A$3:$H$102,8,FALSE),main!$K$26:$M$29,2,FALSE)+VLOOKUP(VLOOKUP(CD$1,main!$A$3:$H$102,7,FALSE),main!$K$19:$O$22,MATCH(VLOOKUP($A44,main!$A$3:$H$102,8,FALSE),main!$K$18:$O$18,0))))),1,0)</f>
        <v>1</v>
      </c>
      <c r="CE44">
        <f>IF((AND(VLOOKUP(CE$1,main!$A$3:$H$102,5,FALSE)-VLOOKUP($A44,main!$A$3:$H$102,6,FALSE)&gt;=(VLOOKUP(VLOOKUP(CE$1,main!$A$3:$H$102,8,FALSE),main!$K$26:$M$29,2,FALSE)+VLOOKUP(VLOOKUP(CE$1,main!$A$3:$H$102,7,FALSE),main!$K$19:$O$22,MATCH(VLOOKUP($A44,main!$A$3:$H$102,8,FALSE),main!$K$18:$O$18,0))))),1,0)</f>
        <v>0</v>
      </c>
      <c r="CF44">
        <f>IF((AND(VLOOKUP(CF$1,main!$A$3:$H$102,5,FALSE)-VLOOKUP($A44,main!$A$3:$H$102,6,FALSE)&gt;=(VLOOKUP(VLOOKUP(CF$1,main!$A$3:$H$102,8,FALSE),main!$K$26:$M$29,2,FALSE)+VLOOKUP(VLOOKUP(CF$1,main!$A$3:$H$102,7,FALSE),main!$K$19:$O$22,MATCH(VLOOKUP($A44,main!$A$3:$H$102,8,FALSE),main!$K$18:$O$18,0))))),1,0)</f>
        <v>0</v>
      </c>
      <c r="CG44">
        <f>IF((AND(VLOOKUP(CG$1,main!$A$3:$H$102,5,FALSE)-VLOOKUP($A44,main!$A$3:$H$102,6,FALSE)&gt;=(VLOOKUP(VLOOKUP(CG$1,main!$A$3:$H$102,8,FALSE),main!$K$26:$M$29,2,FALSE)+VLOOKUP(VLOOKUP(CG$1,main!$A$3:$H$102,7,FALSE),main!$K$19:$O$22,MATCH(VLOOKUP($A44,main!$A$3:$H$102,8,FALSE),main!$K$18:$O$18,0))))),1,0)</f>
        <v>1</v>
      </c>
      <c r="CH44">
        <f>IF((AND(VLOOKUP(CH$1,main!$A$3:$H$102,5,FALSE)-VLOOKUP($A44,main!$A$3:$H$102,6,FALSE)&gt;=(VLOOKUP(VLOOKUP(CH$1,main!$A$3:$H$102,8,FALSE),main!$K$26:$M$29,2,FALSE)+VLOOKUP(VLOOKUP(CH$1,main!$A$3:$H$102,7,FALSE),main!$K$19:$O$22,MATCH(VLOOKUP($A44,main!$A$3:$H$102,8,FALSE),main!$K$18:$O$18,0))))),1,0)</f>
        <v>1</v>
      </c>
      <c r="CI44">
        <f>IF((AND(VLOOKUP(CI$1,main!$A$3:$H$102,5,FALSE)-VLOOKUP($A44,main!$A$3:$H$102,6,FALSE)&gt;=(VLOOKUP(VLOOKUP(CI$1,main!$A$3:$H$102,8,FALSE),main!$K$26:$M$29,2,FALSE)+VLOOKUP(VLOOKUP(CI$1,main!$A$3:$H$102,7,FALSE),main!$K$19:$O$22,MATCH(VLOOKUP($A44,main!$A$3:$H$102,8,FALSE),main!$K$18:$O$18,0))))),1,0)</f>
        <v>1</v>
      </c>
      <c r="CJ44">
        <f>IF((AND(VLOOKUP(CJ$1,main!$A$3:$H$102,5,FALSE)-VLOOKUP($A44,main!$A$3:$H$102,6,FALSE)&gt;=(VLOOKUP(VLOOKUP(CJ$1,main!$A$3:$H$102,8,FALSE),main!$K$26:$M$29,2,FALSE)+VLOOKUP(VLOOKUP(CJ$1,main!$A$3:$H$102,7,FALSE),main!$K$19:$O$22,MATCH(VLOOKUP($A44,main!$A$3:$H$102,8,FALSE),main!$K$18:$O$18,0))))),1,0)</f>
        <v>1</v>
      </c>
      <c r="CK44">
        <f>IF((AND(VLOOKUP(CK$1,main!$A$3:$H$102,5,FALSE)-VLOOKUP($A44,main!$A$3:$H$102,6,FALSE)&gt;=(VLOOKUP(VLOOKUP(CK$1,main!$A$3:$H$102,8,FALSE),main!$K$26:$M$29,2,FALSE)+VLOOKUP(VLOOKUP(CK$1,main!$A$3:$H$102,7,FALSE),main!$K$19:$O$22,MATCH(VLOOKUP($A44,main!$A$3:$H$102,8,FALSE),main!$K$18:$O$18,0))))),1,0)</f>
        <v>0</v>
      </c>
      <c r="CL44">
        <f>IF((AND(VLOOKUP(CL$1,main!$A$3:$H$102,5,FALSE)-VLOOKUP($A44,main!$A$3:$H$102,6,FALSE)&gt;=(VLOOKUP(VLOOKUP(CL$1,main!$A$3:$H$102,8,FALSE),main!$K$26:$M$29,2,FALSE)+VLOOKUP(VLOOKUP(CL$1,main!$A$3:$H$102,7,FALSE),main!$K$19:$O$22,MATCH(VLOOKUP($A44,main!$A$3:$H$102,8,FALSE),main!$K$18:$O$18,0))))),1,0)</f>
        <v>1</v>
      </c>
      <c r="CM44">
        <f>IF((AND(VLOOKUP(CM$1,main!$A$3:$H$102,5,FALSE)-VLOOKUP($A44,main!$A$3:$H$102,6,FALSE)&gt;=(VLOOKUP(VLOOKUP(CM$1,main!$A$3:$H$102,8,FALSE),main!$K$26:$M$29,2,FALSE)+VLOOKUP(VLOOKUP(CM$1,main!$A$3:$H$102,7,FALSE),main!$K$19:$O$22,MATCH(VLOOKUP($A44,main!$A$3:$H$102,8,FALSE),main!$K$18:$O$18,0))))),1,0)</f>
        <v>1</v>
      </c>
      <c r="CN44">
        <f>IF((AND(VLOOKUP(CN$1,main!$A$3:$H$102,5,FALSE)-VLOOKUP($A44,main!$A$3:$H$102,6,FALSE)&gt;=(VLOOKUP(VLOOKUP(CN$1,main!$A$3:$H$102,8,FALSE),main!$K$26:$M$29,2,FALSE)+VLOOKUP(VLOOKUP(CN$1,main!$A$3:$H$102,7,FALSE),main!$K$19:$O$22,MATCH(VLOOKUP($A44,main!$A$3:$H$102,8,FALSE),main!$K$18:$O$18,0))))),1,0)</f>
        <v>1</v>
      </c>
      <c r="CO44">
        <f>IF((AND(VLOOKUP(CO$1,main!$A$3:$H$102,5,FALSE)-VLOOKUP($A44,main!$A$3:$H$102,6,FALSE)&gt;=(VLOOKUP(VLOOKUP(CO$1,main!$A$3:$H$102,8,FALSE),main!$K$26:$M$29,2,FALSE)+VLOOKUP(VLOOKUP(CO$1,main!$A$3:$H$102,7,FALSE),main!$K$19:$O$22,MATCH(VLOOKUP($A44,main!$A$3:$H$102,8,FALSE),main!$K$18:$O$18,0))))),1,0)</f>
        <v>0</v>
      </c>
      <c r="CP44">
        <f>IF((AND(VLOOKUP(CP$1,main!$A$3:$H$102,5,FALSE)-VLOOKUP($A44,main!$A$3:$H$102,6,FALSE)&gt;=(VLOOKUP(VLOOKUP(CP$1,main!$A$3:$H$102,8,FALSE),main!$K$26:$M$29,2,FALSE)+VLOOKUP(VLOOKUP(CP$1,main!$A$3:$H$102,7,FALSE),main!$K$19:$O$22,MATCH(VLOOKUP($A44,main!$A$3:$H$102,8,FALSE),main!$K$18:$O$18,0))))),1,0)</f>
        <v>0</v>
      </c>
      <c r="CQ44">
        <f>IF((AND(VLOOKUP(CQ$1,main!$A$3:$H$102,5,FALSE)-VLOOKUP($A44,main!$A$3:$H$102,6,FALSE)&gt;=(VLOOKUP(VLOOKUP(CQ$1,main!$A$3:$H$102,8,FALSE),main!$K$26:$M$29,2,FALSE)+VLOOKUP(VLOOKUP(CQ$1,main!$A$3:$H$102,7,FALSE),main!$K$19:$O$22,MATCH(VLOOKUP($A44,main!$A$3:$H$102,8,FALSE),main!$K$18:$O$18,0))))),1,0)</f>
        <v>0</v>
      </c>
      <c r="CR44">
        <f>IF((AND(VLOOKUP(CR$1,main!$A$3:$H$102,5,FALSE)-VLOOKUP($A44,main!$A$3:$H$102,6,FALSE)&gt;=(VLOOKUP(VLOOKUP(CR$1,main!$A$3:$H$102,8,FALSE),main!$K$26:$M$29,2,FALSE)+VLOOKUP(VLOOKUP(CR$1,main!$A$3:$H$102,7,FALSE),main!$K$19:$O$22,MATCH(VLOOKUP($A44,main!$A$3:$H$102,8,FALSE),main!$K$18:$O$18,0))))),1,0)</f>
        <v>1</v>
      </c>
      <c r="CS44">
        <f>IF((AND(VLOOKUP(CS$1,main!$A$3:$H$102,5,FALSE)-VLOOKUP($A44,main!$A$3:$H$102,6,FALSE)&gt;=(VLOOKUP(VLOOKUP(CS$1,main!$A$3:$H$102,8,FALSE),main!$K$26:$M$29,2,FALSE)+VLOOKUP(VLOOKUP(CS$1,main!$A$3:$H$102,7,FALSE),main!$K$19:$O$22,MATCH(VLOOKUP($A44,main!$A$3:$H$102,8,FALSE),main!$K$18:$O$18,0))))),1,0)</f>
        <v>1</v>
      </c>
      <c r="CT44">
        <f>IF((AND(VLOOKUP(CT$1,main!$A$3:$H$102,5,FALSE)-VLOOKUP($A44,main!$A$3:$H$102,6,FALSE)&gt;=(VLOOKUP(VLOOKUP(CT$1,main!$A$3:$H$102,8,FALSE),main!$K$26:$M$29,2,FALSE)+VLOOKUP(VLOOKUP(CT$1,main!$A$3:$H$102,7,FALSE),main!$K$19:$O$22,MATCH(VLOOKUP($A44,main!$A$3:$H$102,8,FALSE),main!$K$18:$O$18,0))))),1,0)</f>
        <v>0</v>
      </c>
      <c r="CU44">
        <f>IF((AND(VLOOKUP(CU$1,main!$A$3:$H$102,5,FALSE)-VLOOKUP($A44,main!$A$3:$H$102,6,FALSE)&gt;=(VLOOKUP(VLOOKUP(CU$1,main!$A$3:$H$102,8,FALSE),main!$K$26:$M$29,2,FALSE)+VLOOKUP(VLOOKUP(CU$1,main!$A$3:$H$102,7,FALSE),main!$K$19:$O$22,MATCH(VLOOKUP($A44,main!$A$3:$H$102,8,FALSE),main!$K$18:$O$18,0))))),1,0)</f>
        <v>0</v>
      </c>
      <c r="CV44">
        <f>IF((AND(VLOOKUP(CV$1,main!$A$3:$H$102,5,FALSE)-VLOOKUP($A44,main!$A$3:$H$102,6,FALSE)&gt;=(VLOOKUP(VLOOKUP(CV$1,main!$A$3:$H$102,8,FALSE),main!$K$26:$M$29,2,FALSE)+VLOOKUP(VLOOKUP(CV$1,main!$A$3:$H$102,7,FALSE),main!$K$19:$O$22,MATCH(VLOOKUP($A44,main!$A$3:$H$102,8,FALSE),main!$K$18:$O$18,0))))),1,0)</f>
        <v>0</v>
      </c>
      <c r="CW44">
        <f>IF((AND(VLOOKUP(CW$1,main!$A$3:$H$102,5,FALSE)-VLOOKUP($A44,main!$A$3:$H$102,6,FALSE)&gt;=(VLOOKUP(VLOOKUP(CW$1,main!$A$3:$H$102,8,FALSE),main!$K$26:$M$29,2,FALSE)+VLOOKUP(VLOOKUP(CW$1,main!$A$3:$H$102,7,FALSE),main!$K$19:$O$22,MATCH(VLOOKUP($A44,main!$A$3:$H$102,8,FALSE),main!$K$18:$O$18,0))))),1,0)</f>
        <v>1</v>
      </c>
      <c r="CX44">
        <f>IF((AND(VLOOKUP(CX$1,main!$A$3:$H$102,5,FALSE)-VLOOKUP($A44,main!$A$3:$H$102,6,FALSE)&gt;=(VLOOKUP(VLOOKUP(CX$1,main!$A$3:$H$102,8,FALSE),main!$K$26:$M$29,2,FALSE)+VLOOKUP(VLOOKUP(CX$1,main!$A$3:$H$102,7,FALSE),main!$K$19:$O$22,MATCH(VLOOKUP($A44,main!$A$3:$H$102,8,FALSE),main!$K$18:$O$18,0))))),1,0)</f>
        <v>1</v>
      </c>
    </row>
    <row r="45" spans="1:102" x14ac:dyDescent="0.25">
      <c r="A45" s="1">
        <v>43</v>
      </c>
      <c r="B45">
        <v>1</v>
      </c>
      <c r="C45">
        <f>IF((AND(VLOOKUP(C$1,main!$A$3:$H$102,5,FALSE)-VLOOKUP($A45,main!$A$3:$H$102,6,FALSE)&gt;=(VLOOKUP(VLOOKUP(C$1,main!$A$3:$H$102,8,FALSE),main!$K$26:$M$29,2,FALSE)+VLOOKUP(VLOOKUP(C$1,main!$A$3:$H$102,7,FALSE),main!$K$19:$O$22,MATCH(VLOOKUP($A45,main!$A$3:$H$102,8,FALSE),main!$K$18:$O$18,0))))),1,0)</f>
        <v>0</v>
      </c>
      <c r="D45">
        <f>IF((AND(VLOOKUP(D$1,main!$A$3:$H$102,5,FALSE)-VLOOKUP($A45,main!$A$3:$H$102,6,FALSE)&gt;=(VLOOKUP(VLOOKUP(D$1,main!$A$3:$H$102,8,FALSE),main!$K$26:$M$29,2,FALSE)+VLOOKUP(VLOOKUP(D$1,main!$A$3:$H$102,7,FALSE),main!$K$19:$O$22,MATCH(VLOOKUP($A45,main!$A$3:$H$102,8,FALSE),main!$K$18:$O$18,0))))),1,0)</f>
        <v>0</v>
      </c>
      <c r="E45">
        <f>IF((AND(VLOOKUP(E$1,main!$A$3:$H$102,5,FALSE)-VLOOKUP($A45,main!$A$3:$H$102,6,FALSE)&gt;=(VLOOKUP(VLOOKUP(E$1,main!$A$3:$H$102,8,FALSE),main!$K$26:$M$29,2,FALSE)+VLOOKUP(VLOOKUP(E$1,main!$A$3:$H$102,7,FALSE),main!$K$19:$O$22,MATCH(VLOOKUP($A45,main!$A$3:$H$102,8,FALSE),main!$K$18:$O$18,0))))),1,0)</f>
        <v>0</v>
      </c>
      <c r="F45">
        <f>IF((AND(VLOOKUP(F$1,main!$A$3:$H$102,5,FALSE)-VLOOKUP($A45,main!$A$3:$H$102,6,FALSE)&gt;=(VLOOKUP(VLOOKUP(F$1,main!$A$3:$H$102,8,FALSE),main!$K$26:$M$29,2,FALSE)+VLOOKUP(VLOOKUP(F$1,main!$A$3:$H$102,7,FALSE),main!$K$19:$O$22,MATCH(VLOOKUP($A45,main!$A$3:$H$102,8,FALSE),main!$K$18:$O$18,0))))),1,0)</f>
        <v>0</v>
      </c>
      <c r="G45">
        <f>IF((AND(VLOOKUP(G$1,main!$A$3:$H$102,5,FALSE)-VLOOKUP($A45,main!$A$3:$H$102,6,FALSE)&gt;=(VLOOKUP(VLOOKUP(G$1,main!$A$3:$H$102,8,FALSE),main!$K$26:$M$29,2,FALSE)+VLOOKUP(VLOOKUP(G$1,main!$A$3:$H$102,7,FALSE),main!$K$19:$O$22,MATCH(VLOOKUP($A45,main!$A$3:$H$102,8,FALSE),main!$K$18:$O$18,0))))),1,0)</f>
        <v>0</v>
      </c>
      <c r="H45">
        <f>IF((AND(VLOOKUP(H$1,main!$A$3:$H$102,5,FALSE)-VLOOKUP($A45,main!$A$3:$H$102,6,FALSE)&gt;=(VLOOKUP(VLOOKUP(H$1,main!$A$3:$H$102,8,FALSE),main!$K$26:$M$29,2,FALSE)+VLOOKUP(VLOOKUP(H$1,main!$A$3:$H$102,7,FALSE),main!$K$19:$O$22,MATCH(VLOOKUP($A45,main!$A$3:$H$102,8,FALSE),main!$K$18:$O$18,0))))),1,0)</f>
        <v>0</v>
      </c>
      <c r="I45">
        <f>IF((AND(VLOOKUP(I$1,main!$A$3:$H$102,5,FALSE)-VLOOKUP($A45,main!$A$3:$H$102,6,FALSE)&gt;=(VLOOKUP(VLOOKUP(I$1,main!$A$3:$H$102,8,FALSE),main!$K$26:$M$29,2,FALSE)+VLOOKUP(VLOOKUP(I$1,main!$A$3:$H$102,7,FALSE),main!$K$19:$O$22,MATCH(VLOOKUP($A45,main!$A$3:$H$102,8,FALSE),main!$K$18:$O$18,0))))),1,0)</f>
        <v>1</v>
      </c>
      <c r="J45">
        <f>IF((AND(VLOOKUP(J$1,main!$A$3:$H$102,5,FALSE)-VLOOKUP($A45,main!$A$3:$H$102,6,FALSE)&gt;=(VLOOKUP(VLOOKUP(J$1,main!$A$3:$H$102,8,FALSE),main!$K$26:$M$29,2,FALSE)+VLOOKUP(VLOOKUP(J$1,main!$A$3:$H$102,7,FALSE),main!$K$19:$O$22,MATCH(VLOOKUP($A45,main!$A$3:$H$102,8,FALSE),main!$K$18:$O$18,0))))),1,0)</f>
        <v>1</v>
      </c>
      <c r="K45">
        <f>IF((AND(VLOOKUP(K$1,main!$A$3:$H$102,5,FALSE)-VLOOKUP($A45,main!$A$3:$H$102,6,FALSE)&gt;=(VLOOKUP(VLOOKUP(K$1,main!$A$3:$H$102,8,FALSE),main!$K$26:$M$29,2,FALSE)+VLOOKUP(VLOOKUP(K$1,main!$A$3:$H$102,7,FALSE),main!$K$19:$O$22,MATCH(VLOOKUP($A45,main!$A$3:$H$102,8,FALSE),main!$K$18:$O$18,0))))),1,0)</f>
        <v>1</v>
      </c>
      <c r="L45">
        <f>IF((AND(VLOOKUP(L$1,main!$A$3:$H$102,5,FALSE)-VLOOKUP($A45,main!$A$3:$H$102,6,FALSE)&gt;=(VLOOKUP(VLOOKUP(L$1,main!$A$3:$H$102,8,FALSE),main!$K$26:$M$29,2,FALSE)+VLOOKUP(VLOOKUP(L$1,main!$A$3:$H$102,7,FALSE),main!$K$19:$O$22,MATCH(VLOOKUP($A45,main!$A$3:$H$102,8,FALSE),main!$K$18:$O$18,0))))),1,0)</f>
        <v>1</v>
      </c>
      <c r="M45">
        <f>IF((AND(VLOOKUP(M$1,main!$A$3:$H$102,5,FALSE)-VLOOKUP($A45,main!$A$3:$H$102,6,FALSE)&gt;=(VLOOKUP(VLOOKUP(M$1,main!$A$3:$H$102,8,FALSE),main!$K$26:$M$29,2,FALSE)+VLOOKUP(VLOOKUP(M$1,main!$A$3:$H$102,7,FALSE),main!$K$19:$O$22,MATCH(VLOOKUP($A45,main!$A$3:$H$102,8,FALSE),main!$K$18:$O$18,0))))),1,0)</f>
        <v>0</v>
      </c>
      <c r="N45">
        <f>IF((AND(VLOOKUP(N$1,main!$A$3:$H$102,5,FALSE)-VLOOKUP($A45,main!$A$3:$H$102,6,FALSE)&gt;=(VLOOKUP(VLOOKUP(N$1,main!$A$3:$H$102,8,FALSE),main!$K$26:$M$29,2,FALSE)+VLOOKUP(VLOOKUP(N$1,main!$A$3:$H$102,7,FALSE),main!$K$19:$O$22,MATCH(VLOOKUP($A45,main!$A$3:$H$102,8,FALSE),main!$K$18:$O$18,0))))),1,0)</f>
        <v>0</v>
      </c>
      <c r="O45">
        <f>IF((AND(VLOOKUP(O$1,main!$A$3:$H$102,5,FALSE)-VLOOKUP($A45,main!$A$3:$H$102,6,FALSE)&gt;=(VLOOKUP(VLOOKUP(O$1,main!$A$3:$H$102,8,FALSE),main!$K$26:$M$29,2,FALSE)+VLOOKUP(VLOOKUP(O$1,main!$A$3:$H$102,7,FALSE),main!$K$19:$O$22,MATCH(VLOOKUP($A45,main!$A$3:$H$102,8,FALSE),main!$K$18:$O$18,0))))),1,0)</f>
        <v>0</v>
      </c>
      <c r="P45">
        <f>IF((AND(VLOOKUP(P$1,main!$A$3:$H$102,5,FALSE)-VLOOKUP($A45,main!$A$3:$H$102,6,FALSE)&gt;=(VLOOKUP(VLOOKUP(P$1,main!$A$3:$H$102,8,FALSE),main!$K$26:$M$29,2,FALSE)+VLOOKUP(VLOOKUP(P$1,main!$A$3:$H$102,7,FALSE),main!$K$19:$O$22,MATCH(VLOOKUP($A45,main!$A$3:$H$102,8,FALSE),main!$K$18:$O$18,0))))),1,0)</f>
        <v>0</v>
      </c>
      <c r="Q45">
        <f>IF((AND(VLOOKUP(Q$1,main!$A$3:$H$102,5,FALSE)-VLOOKUP($A45,main!$A$3:$H$102,6,FALSE)&gt;=(VLOOKUP(VLOOKUP(Q$1,main!$A$3:$H$102,8,FALSE),main!$K$26:$M$29,2,FALSE)+VLOOKUP(VLOOKUP(Q$1,main!$A$3:$H$102,7,FALSE),main!$K$19:$O$22,MATCH(VLOOKUP($A45,main!$A$3:$H$102,8,FALSE),main!$K$18:$O$18,0))))),1,0)</f>
        <v>0</v>
      </c>
      <c r="R45">
        <f>IF((AND(VLOOKUP(R$1,main!$A$3:$H$102,5,FALSE)-VLOOKUP($A45,main!$A$3:$H$102,6,FALSE)&gt;=(VLOOKUP(VLOOKUP(R$1,main!$A$3:$H$102,8,FALSE),main!$K$26:$M$29,2,FALSE)+VLOOKUP(VLOOKUP(R$1,main!$A$3:$H$102,7,FALSE),main!$K$19:$O$22,MATCH(VLOOKUP($A45,main!$A$3:$H$102,8,FALSE),main!$K$18:$O$18,0))))),1,0)</f>
        <v>0</v>
      </c>
      <c r="S45">
        <f>IF((AND(VLOOKUP(S$1,main!$A$3:$H$102,5,FALSE)-VLOOKUP($A45,main!$A$3:$H$102,6,FALSE)&gt;=(VLOOKUP(VLOOKUP(S$1,main!$A$3:$H$102,8,FALSE),main!$K$26:$M$29,2,FALSE)+VLOOKUP(VLOOKUP(S$1,main!$A$3:$H$102,7,FALSE),main!$K$19:$O$22,MATCH(VLOOKUP($A45,main!$A$3:$H$102,8,FALSE),main!$K$18:$O$18,0))))),1,0)</f>
        <v>0</v>
      </c>
      <c r="T45">
        <f>IF((AND(VLOOKUP(T$1,main!$A$3:$H$102,5,FALSE)-VLOOKUP($A45,main!$A$3:$H$102,6,FALSE)&gt;=(VLOOKUP(VLOOKUP(T$1,main!$A$3:$H$102,8,FALSE),main!$K$26:$M$29,2,FALSE)+VLOOKUP(VLOOKUP(T$1,main!$A$3:$H$102,7,FALSE),main!$K$19:$O$22,MATCH(VLOOKUP($A45,main!$A$3:$H$102,8,FALSE),main!$K$18:$O$18,0))))),1,0)</f>
        <v>1</v>
      </c>
      <c r="U45">
        <f>IF((AND(VLOOKUP(U$1,main!$A$3:$H$102,5,FALSE)-VLOOKUP($A45,main!$A$3:$H$102,6,FALSE)&gt;=(VLOOKUP(VLOOKUP(U$1,main!$A$3:$H$102,8,FALSE),main!$K$26:$M$29,2,FALSE)+VLOOKUP(VLOOKUP(U$1,main!$A$3:$H$102,7,FALSE),main!$K$19:$O$22,MATCH(VLOOKUP($A45,main!$A$3:$H$102,8,FALSE),main!$K$18:$O$18,0))))),1,0)</f>
        <v>1</v>
      </c>
      <c r="V45">
        <f>IF((AND(VLOOKUP(V$1,main!$A$3:$H$102,5,FALSE)-VLOOKUP($A45,main!$A$3:$H$102,6,FALSE)&gt;=(VLOOKUP(VLOOKUP(V$1,main!$A$3:$H$102,8,FALSE),main!$K$26:$M$29,2,FALSE)+VLOOKUP(VLOOKUP(V$1,main!$A$3:$H$102,7,FALSE),main!$K$19:$O$22,MATCH(VLOOKUP($A45,main!$A$3:$H$102,8,FALSE),main!$K$18:$O$18,0))))),1,0)</f>
        <v>1</v>
      </c>
      <c r="W45">
        <f>IF((AND(VLOOKUP(W$1,main!$A$3:$H$102,5,FALSE)-VLOOKUP($A45,main!$A$3:$H$102,6,FALSE)&gt;=(VLOOKUP(VLOOKUP(W$1,main!$A$3:$H$102,8,FALSE),main!$K$26:$M$29,2,FALSE)+VLOOKUP(VLOOKUP(W$1,main!$A$3:$H$102,7,FALSE),main!$K$19:$O$22,MATCH(VLOOKUP($A45,main!$A$3:$H$102,8,FALSE),main!$K$18:$O$18,0))))),1,0)</f>
        <v>0</v>
      </c>
      <c r="X45">
        <f>IF((AND(VLOOKUP(X$1,main!$A$3:$H$102,5,FALSE)-VLOOKUP($A45,main!$A$3:$H$102,6,FALSE)&gt;=(VLOOKUP(VLOOKUP(X$1,main!$A$3:$H$102,8,FALSE),main!$K$26:$M$29,2,FALSE)+VLOOKUP(VLOOKUP(X$1,main!$A$3:$H$102,7,FALSE),main!$K$19:$O$22,MATCH(VLOOKUP($A45,main!$A$3:$H$102,8,FALSE),main!$K$18:$O$18,0))))),1,0)</f>
        <v>0</v>
      </c>
      <c r="Y45">
        <f>IF((AND(VLOOKUP(Y$1,main!$A$3:$H$102,5,FALSE)-VLOOKUP($A45,main!$A$3:$H$102,6,FALSE)&gt;=(VLOOKUP(VLOOKUP(Y$1,main!$A$3:$H$102,8,FALSE),main!$K$26:$M$29,2,FALSE)+VLOOKUP(VLOOKUP(Y$1,main!$A$3:$H$102,7,FALSE),main!$K$19:$O$22,MATCH(VLOOKUP($A45,main!$A$3:$H$102,8,FALSE),main!$K$18:$O$18,0))))),1,0)</f>
        <v>0</v>
      </c>
      <c r="Z45">
        <f>IF((AND(VLOOKUP(Z$1,main!$A$3:$H$102,5,FALSE)-VLOOKUP($A45,main!$A$3:$H$102,6,FALSE)&gt;=(VLOOKUP(VLOOKUP(Z$1,main!$A$3:$H$102,8,FALSE),main!$K$26:$M$29,2,FALSE)+VLOOKUP(VLOOKUP(Z$1,main!$A$3:$H$102,7,FALSE),main!$K$19:$O$22,MATCH(VLOOKUP($A45,main!$A$3:$H$102,8,FALSE),main!$K$18:$O$18,0))))),1,0)</f>
        <v>1</v>
      </c>
      <c r="AA45">
        <f>IF((AND(VLOOKUP(AA$1,main!$A$3:$H$102,5,FALSE)-VLOOKUP($A45,main!$A$3:$H$102,6,FALSE)&gt;=(VLOOKUP(VLOOKUP(AA$1,main!$A$3:$H$102,8,FALSE),main!$K$26:$M$29,2,FALSE)+VLOOKUP(VLOOKUP(AA$1,main!$A$3:$H$102,7,FALSE),main!$K$19:$O$22,MATCH(VLOOKUP($A45,main!$A$3:$H$102,8,FALSE),main!$K$18:$O$18,0))))),1,0)</f>
        <v>1</v>
      </c>
      <c r="AB45">
        <f>IF((AND(VLOOKUP(AB$1,main!$A$3:$H$102,5,FALSE)-VLOOKUP($A45,main!$A$3:$H$102,6,FALSE)&gt;=(VLOOKUP(VLOOKUP(AB$1,main!$A$3:$H$102,8,FALSE),main!$K$26:$M$29,2,FALSE)+VLOOKUP(VLOOKUP(AB$1,main!$A$3:$H$102,7,FALSE),main!$K$19:$O$22,MATCH(VLOOKUP($A45,main!$A$3:$H$102,8,FALSE),main!$K$18:$O$18,0))))),1,0)</f>
        <v>0</v>
      </c>
      <c r="AC45">
        <f>IF((AND(VLOOKUP(AC$1,main!$A$3:$H$102,5,FALSE)-VLOOKUP($A45,main!$A$3:$H$102,6,FALSE)&gt;=(VLOOKUP(VLOOKUP(AC$1,main!$A$3:$H$102,8,FALSE),main!$K$26:$M$29,2,FALSE)+VLOOKUP(VLOOKUP(AC$1,main!$A$3:$H$102,7,FALSE),main!$K$19:$O$22,MATCH(VLOOKUP($A45,main!$A$3:$H$102,8,FALSE),main!$K$18:$O$18,0))))),1,0)</f>
        <v>0</v>
      </c>
      <c r="AD45">
        <f>IF((AND(VLOOKUP(AD$1,main!$A$3:$H$102,5,FALSE)-VLOOKUP($A45,main!$A$3:$H$102,6,FALSE)&gt;=(VLOOKUP(VLOOKUP(AD$1,main!$A$3:$H$102,8,FALSE),main!$K$26:$M$29,2,FALSE)+VLOOKUP(VLOOKUP(AD$1,main!$A$3:$H$102,7,FALSE),main!$K$19:$O$22,MATCH(VLOOKUP($A45,main!$A$3:$H$102,8,FALSE),main!$K$18:$O$18,0))))),1,0)</f>
        <v>0</v>
      </c>
      <c r="AE45">
        <f>IF((AND(VLOOKUP(AE$1,main!$A$3:$H$102,5,FALSE)-VLOOKUP($A45,main!$A$3:$H$102,6,FALSE)&gt;=(VLOOKUP(VLOOKUP(AE$1,main!$A$3:$H$102,8,FALSE),main!$K$26:$M$29,2,FALSE)+VLOOKUP(VLOOKUP(AE$1,main!$A$3:$H$102,7,FALSE),main!$K$19:$O$22,MATCH(VLOOKUP($A45,main!$A$3:$H$102,8,FALSE),main!$K$18:$O$18,0))))),1,0)</f>
        <v>0</v>
      </c>
      <c r="AF45">
        <f>IF((AND(VLOOKUP(AF$1,main!$A$3:$H$102,5,FALSE)-VLOOKUP($A45,main!$A$3:$H$102,6,FALSE)&gt;=(VLOOKUP(VLOOKUP(AF$1,main!$A$3:$H$102,8,FALSE),main!$K$26:$M$29,2,FALSE)+VLOOKUP(VLOOKUP(AF$1,main!$A$3:$H$102,7,FALSE),main!$K$19:$O$22,MATCH(VLOOKUP($A45,main!$A$3:$H$102,8,FALSE),main!$K$18:$O$18,0))))),1,0)</f>
        <v>1</v>
      </c>
      <c r="AG45">
        <f>IF((AND(VLOOKUP(AG$1,main!$A$3:$H$102,5,FALSE)-VLOOKUP($A45,main!$A$3:$H$102,6,FALSE)&gt;=(VLOOKUP(VLOOKUP(AG$1,main!$A$3:$H$102,8,FALSE),main!$K$26:$M$29,2,FALSE)+VLOOKUP(VLOOKUP(AG$1,main!$A$3:$H$102,7,FALSE),main!$K$19:$O$22,MATCH(VLOOKUP($A45,main!$A$3:$H$102,8,FALSE),main!$K$18:$O$18,0))))),1,0)</f>
        <v>0</v>
      </c>
      <c r="AH45">
        <f>IF((AND(VLOOKUP(AH$1,main!$A$3:$H$102,5,FALSE)-VLOOKUP($A45,main!$A$3:$H$102,6,FALSE)&gt;=(VLOOKUP(VLOOKUP(AH$1,main!$A$3:$H$102,8,FALSE),main!$K$26:$M$29,2,FALSE)+VLOOKUP(VLOOKUP(AH$1,main!$A$3:$H$102,7,FALSE),main!$K$19:$O$22,MATCH(VLOOKUP($A45,main!$A$3:$H$102,8,FALSE),main!$K$18:$O$18,0))))),1,0)</f>
        <v>0</v>
      </c>
      <c r="AI45">
        <f>IF((AND(VLOOKUP(AI$1,main!$A$3:$H$102,5,FALSE)-VLOOKUP($A45,main!$A$3:$H$102,6,FALSE)&gt;=(VLOOKUP(VLOOKUP(AI$1,main!$A$3:$H$102,8,FALSE),main!$K$26:$M$29,2,FALSE)+VLOOKUP(VLOOKUP(AI$1,main!$A$3:$H$102,7,FALSE),main!$K$19:$O$22,MATCH(VLOOKUP($A45,main!$A$3:$H$102,8,FALSE),main!$K$18:$O$18,0))))),1,0)</f>
        <v>0</v>
      </c>
      <c r="AJ45">
        <f>IF((AND(VLOOKUP(AJ$1,main!$A$3:$H$102,5,FALSE)-VLOOKUP($A45,main!$A$3:$H$102,6,FALSE)&gt;=(VLOOKUP(VLOOKUP(AJ$1,main!$A$3:$H$102,8,FALSE),main!$K$26:$M$29,2,FALSE)+VLOOKUP(VLOOKUP(AJ$1,main!$A$3:$H$102,7,FALSE),main!$K$19:$O$22,MATCH(VLOOKUP($A45,main!$A$3:$H$102,8,FALSE),main!$K$18:$O$18,0))))),1,0)</f>
        <v>0</v>
      </c>
      <c r="AK45">
        <f>IF((AND(VLOOKUP(AK$1,main!$A$3:$H$102,5,FALSE)-VLOOKUP($A45,main!$A$3:$H$102,6,FALSE)&gt;=(VLOOKUP(VLOOKUP(AK$1,main!$A$3:$H$102,8,FALSE),main!$K$26:$M$29,2,FALSE)+VLOOKUP(VLOOKUP(AK$1,main!$A$3:$H$102,7,FALSE),main!$K$19:$O$22,MATCH(VLOOKUP($A45,main!$A$3:$H$102,8,FALSE),main!$K$18:$O$18,0))))),1,0)</f>
        <v>0</v>
      </c>
      <c r="AL45">
        <f>IF((AND(VLOOKUP(AL$1,main!$A$3:$H$102,5,FALSE)-VLOOKUP($A45,main!$A$3:$H$102,6,FALSE)&gt;=(VLOOKUP(VLOOKUP(AL$1,main!$A$3:$H$102,8,FALSE),main!$K$26:$M$29,2,FALSE)+VLOOKUP(VLOOKUP(AL$1,main!$A$3:$H$102,7,FALSE),main!$K$19:$O$22,MATCH(VLOOKUP($A45,main!$A$3:$H$102,8,FALSE),main!$K$18:$O$18,0))))),1,0)</f>
        <v>1</v>
      </c>
      <c r="AM45">
        <f>IF((AND(VLOOKUP(AM$1,main!$A$3:$H$102,5,FALSE)-VLOOKUP($A45,main!$A$3:$H$102,6,FALSE)&gt;=(VLOOKUP(VLOOKUP(AM$1,main!$A$3:$H$102,8,FALSE),main!$K$26:$M$29,2,FALSE)+VLOOKUP(VLOOKUP(AM$1,main!$A$3:$H$102,7,FALSE),main!$K$19:$O$22,MATCH(VLOOKUP($A45,main!$A$3:$H$102,8,FALSE),main!$K$18:$O$18,0))))),1,0)</f>
        <v>1</v>
      </c>
      <c r="AN45">
        <f>IF((AND(VLOOKUP(AN$1,main!$A$3:$H$102,5,FALSE)-VLOOKUP($A45,main!$A$3:$H$102,6,FALSE)&gt;=(VLOOKUP(VLOOKUP(AN$1,main!$A$3:$H$102,8,FALSE),main!$K$26:$M$29,2,FALSE)+VLOOKUP(VLOOKUP(AN$1,main!$A$3:$H$102,7,FALSE),main!$K$19:$O$22,MATCH(VLOOKUP($A45,main!$A$3:$H$102,8,FALSE),main!$K$18:$O$18,0))))),1,0)</f>
        <v>1</v>
      </c>
      <c r="AO45">
        <f>IF((AND(VLOOKUP(AO$1,main!$A$3:$H$102,5,FALSE)-VLOOKUP($A45,main!$A$3:$H$102,6,FALSE)&gt;=(VLOOKUP(VLOOKUP(AO$1,main!$A$3:$H$102,8,FALSE),main!$K$26:$M$29,2,FALSE)+VLOOKUP(VLOOKUP(AO$1,main!$A$3:$H$102,7,FALSE),main!$K$19:$O$22,MATCH(VLOOKUP($A45,main!$A$3:$H$102,8,FALSE),main!$K$18:$O$18,0))))),1,0)</f>
        <v>0</v>
      </c>
      <c r="AP45">
        <f>IF((AND(VLOOKUP(AP$1,main!$A$3:$H$102,5,FALSE)-VLOOKUP($A45,main!$A$3:$H$102,6,FALSE)&gt;=(VLOOKUP(VLOOKUP(AP$1,main!$A$3:$H$102,8,FALSE),main!$K$26:$M$29,2,FALSE)+VLOOKUP(VLOOKUP(AP$1,main!$A$3:$H$102,7,FALSE),main!$K$19:$O$22,MATCH(VLOOKUP($A45,main!$A$3:$H$102,8,FALSE),main!$K$18:$O$18,0))))),1,0)</f>
        <v>1</v>
      </c>
      <c r="AQ45">
        <f>IF((AND(VLOOKUP(AQ$1,main!$A$3:$H$102,5,FALSE)-VLOOKUP($A45,main!$A$3:$H$102,6,FALSE)&gt;=(VLOOKUP(VLOOKUP(AQ$1,main!$A$3:$H$102,8,FALSE),main!$K$26:$M$29,2,FALSE)+VLOOKUP(VLOOKUP(AQ$1,main!$A$3:$H$102,7,FALSE),main!$K$19:$O$22,MATCH(VLOOKUP($A45,main!$A$3:$H$102,8,FALSE),main!$K$18:$O$18,0))))),1,0)</f>
        <v>0</v>
      </c>
      <c r="AR45">
        <f>IF((AND(VLOOKUP(AR$1,main!$A$3:$H$102,5,FALSE)-VLOOKUP($A45,main!$A$3:$H$102,6,FALSE)&gt;=(VLOOKUP(VLOOKUP(AR$1,main!$A$3:$H$102,8,FALSE),main!$K$26:$M$29,2,FALSE)+VLOOKUP(VLOOKUP(AR$1,main!$A$3:$H$102,7,FALSE),main!$K$19:$O$22,MATCH(VLOOKUP($A45,main!$A$3:$H$102,8,FALSE),main!$K$18:$O$18,0))))),1,0)</f>
        <v>0</v>
      </c>
      <c r="AS45">
        <f>IF((AND(VLOOKUP(AS$1,main!$A$3:$H$102,5,FALSE)-VLOOKUP($A45,main!$A$3:$H$102,6,FALSE)&gt;=(VLOOKUP(VLOOKUP(AS$1,main!$A$3:$H$102,8,FALSE),main!$K$26:$M$29,2,FALSE)+VLOOKUP(VLOOKUP(AS$1,main!$A$3:$H$102,7,FALSE),main!$K$19:$O$22,MATCH(VLOOKUP($A45,main!$A$3:$H$102,8,FALSE),main!$K$18:$O$18,0))))),1,0)</f>
        <v>0</v>
      </c>
      <c r="AT45">
        <f>IF((AND(VLOOKUP(AT$1,main!$A$3:$H$102,5,FALSE)-VLOOKUP($A45,main!$A$3:$H$102,6,FALSE)&gt;=(VLOOKUP(VLOOKUP(AT$1,main!$A$3:$H$102,8,FALSE),main!$K$26:$M$29,2,FALSE)+VLOOKUP(VLOOKUP(AT$1,main!$A$3:$H$102,7,FALSE),main!$K$19:$O$22,MATCH(VLOOKUP($A45,main!$A$3:$H$102,8,FALSE),main!$K$18:$O$18,0))))),1,0)</f>
        <v>0</v>
      </c>
      <c r="AU45">
        <f>IF((AND(VLOOKUP(AU$1,main!$A$3:$H$102,5,FALSE)-VLOOKUP($A45,main!$A$3:$H$102,6,FALSE)&gt;=(VLOOKUP(VLOOKUP(AU$1,main!$A$3:$H$102,8,FALSE),main!$K$26:$M$29,2,FALSE)+VLOOKUP(VLOOKUP(AU$1,main!$A$3:$H$102,7,FALSE),main!$K$19:$O$22,MATCH(VLOOKUP($A45,main!$A$3:$H$102,8,FALSE),main!$K$18:$O$18,0))))),1,0)</f>
        <v>0</v>
      </c>
      <c r="AV45">
        <f>IF((AND(VLOOKUP(AV$1,main!$A$3:$H$102,5,FALSE)-VLOOKUP($A45,main!$A$3:$H$102,6,FALSE)&gt;=(VLOOKUP(VLOOKUP(AV$1,main!$A$3:$H$102,8,FALSE),main!$K$26:$M$29,2,FALSE)+VLOOKUP(VLOOKUP(AV$1,main!$A$3:$H$102,7,FALSE),main!$K$19:$O$22,MATCH(VLOOKUP($A45,main!$A$3:$H$102,8,FALSE),main!$K$18:$O$18,0))))),1,0)</f>
        <v>0</v>
      </c>
      <c r="AW45">
        <f>IF((AND(VLOOKUP(AW$1,main!$A$3:$H$102,5,FALSE)-VLOOKUP($A45,main!$A$3:$H$102,6,FALSE)&gt;=(VLOOKUP(VLOOKUP(AW$1,main!$A$3:$H$102,8,FALSE),main!$K$26:$M$29,2,FALSE)+VLOOKUP(VLOOKUP(AW$1,main!$A$3:$H$102,7,FALSE),main!$K$19:$O$22,MATCH(VLOOKUP($A45,main!$A$3:$H$102,8,FALSE),main!$K$18:$O$18,0))))),1,0)</f>
        <v>0</v>
      </c>
      <c r="AX45">
        <f>IF((AND(VLOOKUP(AX$1,main!$A$3:$H$102,5,FALSE)-VLOOKUP($A45,main!$A$3:$H$102,6,FALSE)&gt;=(VLOOKUP(VLOOKUP(AX$1,main!$A$3:$H$102,8,FALSE),main!$K$26:$M$29,2,FALSE)+VLOOKUP(VLOOKUP(AX$1,main!$A$3:$H$102,7,FALSE),main!$K$19:$O$22,MATCH(VLOOKUP($A45,main!$A$3:$H$102,8,FALSE),main!$K$18:$O$18,0))))),1,0)</f>
        <v>0</v>
      </c>
      <c r="AY45">
        <f>IF((AND(VLOOKUP(AY$1,main!$A$3:$H$102,5,FALSE)-VLOOKUP($A45,main!$A$3:$H$102,6,FALSE)&gt;=(VLOOKUP(VLOOKUP(AY$1,main!$A$3:$H$102,8,FALSE),main!$K$26:$M$29,2,FALSE)+VLOOKUP(VLOOKUP(AY$1,main!$A$3:$H$102,7,FALSE),main!$K$19:$O$22,MATCH(VLOOKUP($A45,main!$A$3:$H$102,8,FALSE),main!$K$18:$O$18,0))))),1,0)</f>
        <v>0</v>
      </c>
      <c r="AZ45">
        <f>IF((AND(VLOOKUP(AZ$1,main!$A$3:$H$102,5,FALSE)-VLOOKUP($A45,main!$A$3:$H$102,6,FALSE)&gt;=(VLOOKUP(VLOOKUP(AZ$1,main!$A$3:$H$102,8,FALSE),main!$K$26:$M$29,2,FALSE)+VLOOKUP(VLOOKUP(AZ$1,main!$A$3:$H$102,7,FALSE),main!$K$19:$O$22,MATCH(VLOOKUP($A45,main!$A$3:$H$102,8,FALSE),main!$K$18:$O$18,0))))),1,0)</f>
        <v>0</v>
      </c>
      <c r="BA45">
        <f>IF((AND(VLOOKUP(BA$1,main!$A$3:$H$102,5,FALSE)-VLOOKUP($A45,main!$A$3:$H$102,6,FALSE)&gt;=(VLOOKUP(VLOOKUP(BA$1,main!$A$3:$H$102,8,FALSE),main!$K$26:$M$29,2,FALSE)+VLOOKUP(VLOOKUP(BA$1,main!$A$3:$H$102,7,FALSE),main!$K$19:$O$22,MATCH(VLOOKUP($A45,main!$A$3:$H$102,8,FALSE),main!$K$18:$O$18,0))))),1,0)</f>
        <v>0</v>
      </c>
      <c r="BB45">
        <f>IF((AND(VLOOKUP(BB$1,main!$A$3:$H$102,5,FALSE)-VLOOKUP($A45,main!$A$3:$H$102,6,FALSE)&gt;=(VLOOKUP(VLOOKUP(BB$1,main!$A$3:$H$102,8,FALSE),main!$K$26:$M$29,2,FALSE)+VLOOKUP(VLOOKUP(BB$1,main!$A$3:$H$102,7,FALSE),main!$K$19:$O$22,MATCH(VLOOKUP($A45,main!$A$3:$H$102,8,FALSE),main!$K$18:$O$18,0))))),1,0)</f>
        <v>0</v>
      </c>
      <c r="BC45">
        <f>IF((AND(VLOOKUP(BC$1,main!$A$3:$H$102,5,FALSE)-VLOOKUP($A45,main!$A$3:$H$102,6,FALSE)&gt;=(VLOOKUP(VLOOKUP(BC$1,main!$A$3:$H$102,8,FALSE),main!$K$26:$M$29,2,FALSE)+VLOOKUP(VLOOKUP(BC$1,main!$A$3:$H$102,7,FALSE),main!$K$19:$O$22,MATCH(VLOOKUP($A45,main!$A$3:$H$102,8,FALSE),main!$K$18:$O$18,0))))),1,0)</f>
        <v>0</v>
      </c>
      <c r="BD45">
        <f>IF((AND(VLOOKUP(BD$1,main!$A$3:$H$102,5,FALSE)-VLOOKUP($A45,main!$A$3:$H$102,6,FALSE)&gt;=(VLOOKUP(VLOOKUP(BD$1,main!$A$3:$H$102,8,FALSE),main!$K$26:$M$29,2,FALSE)+VLOOKUP(VLOOKUP(BD$1,main!$A$3:$H$102,7,FALSE),main!$K$19:$O$22,MATCH(VLOOKUP($A45,main!$A$3:$H$102,8,FALSE),main!$K$18:$O$18,0))))),1,0)</f>
        <v>0</v>
      </c>
      <c r="BE45">
        <f>IF((AND(VLOOKUP(BE$1,main!$A$3:$H$102,5,FALSE)-VLOOKUP($A45,main!$A$3:$H$102,6,FALSE)&gt;=(VLOOKUP(VLOOKUP(BE$1,main!$A$3:$H$102,8,FALSE),main!$K$26:$M$29,2,FALSE)+VLOOKUP(VLOOKUP(BE$1,main!$A$3:$H$102,7,FALSE),main!$K$19:$O$22,MATCH(VLOOKUP($A45,main!$A$3:$H$102,8,FALSE),main!$K$18:$O$18,0))))),1,0)</f>
        <v>1</v>
      </c>
      <c r="BF45">
        <f>IF((AND(VLOOKUP(BF$1,main!$A$3:$H$102,5,FALSE)-VLOOKUP($A45,main!$A$3:$H$102,6,FALSE)&gt;=(VLOOKUP(VLOOKUP(BF$1,main!$A$3:$H$102,8,FALSE),main!$K$26:$M$29,2,FALSE)+VLOOKUP(VLOOKUP(BF$1,main!$A$3:$H$102,7,FALSE),main!$K$19:$O$22,MATCH(VLOOKUP($A45,main!$A$3:$H$102,8,FALSE),main!$K$18:$O$18,0))))),1,0)</f>
        <v>0</v>
      </c>
      <c r="BG45">
        <f>IF((AND(VLOOKUP(BG$1,main!$A$3:$H$102,5,FALSE)-VLOOKUP($A45,main!$A$3:$H$102,6,FALSE)&gt;=(VLOOKUP(VLOOKUP(BG$1,main!$A$3:$H$102,8,FALSE),main!$K$26:$M$29,2,FALSE)+VLOOKUP(VLOOKUP(BG$1,main!$A$3:$H$102,7,FALSE),main!$K$19:$O$22,MATCH(VLOOKUP($A45,main!$A$3:$H$102,8,FALSE),main!$K$18:$O$18,0))))),1,0)</f>
        <v>0</v>
      </c>
      <c r="BH45">
        <f>IF((AND(VLOOKUP(BH$1,main!$A$3:$H$102,5,FALSE)-VLOOKUP($A45,main!$A$3:$H$102,6,FALSE)&gt;=(VLOOKUP(VLOOKUP(BH$1,main!$A$3:$H$102,8,FALSE),main!$K$26:$M$29,2,FALSE)+VLOOKUP(VLOOKUP(BH$1,main!$A$3:$H$102,7,FALSE),main!$K$19:$O$22,MATCH(VLOOKUP($A45,main!$A$3:$H$102,8,FALSE),main!$K$18:$O$18,0))))),1,0)</f>
        <v>0</v>
      </c>
      <c r="BI45">
        <f>IF((AND(VLOOKUP(BI$1,main!$A$3:$H$102,5,FALSE)-VLOOKUP($A45,main!$A$3:$H$102,6,FALSE)&gt;=(VLOOKUP(VLOOKUP(BI$1,main!$A$3:$H$102,8,FALSE),main!$K$26:$M$29,2,FALSE)+VLOOKUP(VLOOKUP(BI$1,main!$A$3:$H$102,7,FALSE),main!$K$19:$O$22,MATCH(VLOOKUP($A45,main!$A$3:$H$102,8,FALSE),main!$K$18:$O$18,0))))),1,0)</f>
        <v>1</v>
      </c>
      <c r="BJ45">
        <f>IF((AND(VLOOKUP(BJ$1,main!$A$3:$H$102,5,FALSE)-VLOOKUP($A45,main!$A$3:$H$102,6,FALSE)&gt;=(VLOOKUP(VLOOKUP(BJ$1,main!$A$3:$H$102,8,FALSE),main!$K$26:$M$29,2,FALSE)+VLOOKUP(VLOOKUP(BJ$1,main!$A$3:$H$102,7,FALSE),main!$K$19:$O$22,MATCH(VLOOKUP($A45,main!$A$3:$H$102,8,FALSE),main!$K$18:$O$18,0))))),1,0)</f>
        <v>1</v>
      </c>
      <c r="BK45">
        <f>IF((AND(VLOOKUP(BK$1,main!$A$3:$H$102,5,FALSE)-VLOOKUP($A45,main!$A$3:$H$102,6,FALSE)&gt;=(VLOOKUP(VLOOKUP(BK$1,main!$A$3:$H$102,8,FALSE),main!$K$26:$M$29,2,FALSE)+VLOOKUP(VLOOKUP(BK$1,main!$A$3:$H$102,7,FALSE),main!$K$19:$O$22,MATCH(VLOOKUP($A45,main!$A$3:$H$102,8,FALSE),main!$K$18:$O$18,0))))),1,0)</f>
        <v>0</v>
      </c>
      <c r="BL45">
        <f>IF((AND(VLOOKUP(BL$1,main!$A$3:$H$102,5,FALSE)-VLOOKUP($A45,main!$A$3:$H$102,6,FALSE)&gt;=(VLOOKUP(VLOOKUP(BL$1,main!$A$3:$H$102,8,FALSE),main!$K$26:$M$29,2,FALSE)+VLOOKUP(VLOOKUP(BL$1,main!$A$3:$H$102,7,FALSE),main!$K$19:$O$22,MATCH(VLOOKUP($A45,main!$A$3:$H$102,8,FALSE),main!$K$18:$O$18,0))))),1,0)</f>
        <v>0</v>
      </c>
      <c r="BM45">
        <f>IF((AND(VLOOKUP(BM$1,main!$A$3:$H$102,5,FALSE)-VLOOKUP($A45,main!$A$3:$H$102,6,FALSE)&gt;=(VLOOKUP(VLOOKUP(BM$1,main!$A$3:$H$102,8,FALSE),main!$K$26:$M$29,2,FALSE)+VLOOKUP(VLOOKUP(BM$1,main!$A$3:$H$102,7,FALSE),main!$K$19:$O$22,MATCH(VLOOKUP($A45,main!$A$3:$H$102,8,FALSE),main!$K$18:$O$18,0))))),1,0)</f>
        <v>0</v>
      </c>
      <c r="BN45">
        <f>IF((AND(VLOOKUP(BN$1,main!$A$3:$H$102,5,FALSE)-VLOOKUP($A45,main!$A$3:$H$102,6,FALSE)&gt;=(VLOOKUP(VLOOKUP(BN$1,main!$A$3:$H$102,8,FALSE),main!$K$26:$M$29,2,FALSE)+VLOOKUP(VLOOKUP(BN$1,main!$A$3:$H$102,7,FALSE),main!$K$19:$O$22,MATCH(VLOOKUP($A45,main!$A$3:$H$102,8,FALSE),main!$K$18:$O$18,0))))),1,0)</f>
        <v>0</v>
      </c>
      <c r="BO45">
        <f>IF((AND(VLOOKUP(BO$1,main!$A$3:$H$102,5,FALSE)-VLOOKUP($A45,main!$A$3:$H$102,6,FALSE)&gt;=(VLOOKUP(VLOOKUP(BO$1,main!$A$3:$H$102,8,FALSE),main!$K$26:$M$29,2,FALSE)+VLOOKUP(VLOOKUP(BO$1,main!$A$3:$H$102,7,FALSE),main!$K$19:$O$22,MATCH(VLOOKUP($A45,main!$A$3:$H$102,8,FALSE),main!$K$18:$O$18,0))))),1,0)</f>
        <v>0</v>
      </c>
      <c r="BP45">
        <f>IF((AND(VLOOKUP(BP$1,main!$A$3:$H$102,5,FALSE)-VLOOKUP($A45,main!$A$3:$H$102,6,FALSE)&gt;=(VLOOKUP(VLOOKUP(BP$1,main!$A$3:$H$102,8,FALSE),main!$K$26:$M$29,2,FALSE)+VLOOKUP(VLOOKUP(BP$1,main!$A$3:$H$102,7,FALSE),main!$K$19:$O$22,MATCH(VLOOKUP($A45,main!$A$3:$H$102,8,FALSE),main!$K$18:$O$18,0))))),1,0)</f>
        <v>0</v>
      </c>
      <c r="BQ45">
        <f>IF((AND(VLOOKUP(BQ$1,main!$A$3:$H$102,5,FALSE)-VLOOKUP($A45,main!$A$3:$H$102,6,FALSE)&gt;=(VLOOKUP(VLOOKUP(BQ$1,main!$A$3:$H$102,8,FALSE),main!$K$26:$M$29,2,FALSE)+VLOOKUP(VLOOKUP(BQ$1,main!$A$3:$H$102,7,FALSE),main!$K$19:$O$22,MATCH(VLOOKUP($A45,main!$A$3:$H$102,8,FALSE),main!$K$18:$O$18,0))))),1,0)</f>
        <v>0</v>
      </c>
      <c r="BR45">
        <f>IF((AND(VLOOKUP(BR$1,main!$A$3:$H$102,5,FALSE)-VLOOKUP($A45,main!$A$3:$H$102,6,FALSE)&gt;=(VLOOKUP(VLOOKUP(BR$1,main!$A$3:$H$102,8,FALSE),main!$K$26:$M$29,2,FALSE)+VLOOKUP(VLOOKUP(BR$1,main!$A$3:$H$102,7,FALSE),main!$K$19:$O$22,MATCH(VLOOKUP($A45,main!$A$3:$H$102,8,FALSE),main!$K$18:$O$18,0))))),1,0)</f>
        <v>0</v>
      </c>
      <c r="BS45">
        <f>IF((AND(VLOOKUP(BS$1,main!$A$3:$H$102,5,FALSE)-VLOOKUP($A45,main!$A$3:$H$102,6,FALSE)&gt;=(VLOOKUP(VLOOKUP(BS$1,main!$A$3:$H$102,8,FALSE),main!$K$26:$M$29,2,FALSE)+VLOOKUP(VLOOKUP(BS$1,main!$A$3:$H$102,7,FALSE),main!$K$19:$O$22,MATCH(VLOOKUP($A45,main!$A$3:$H$102,8,FALSE),main!$K$18:$O$18,0))))),1,0)</f>
        <v>0</v>
      </c>
      <c r="BT45">
        <f>IF((AND(VLOOKUP(BT$1,main!$A$3:$H$102,5,FALSE)-VLOOKUP($A45,main!$A$3:$H$102,6,FALSE)&gt;=(VLOOKUP(VLOOKUP(BT$1,main!$A$3:$H$102,8,FALSE),main!$K$26:$M$29,2,FALSE)+VLOOKUP(VLOOKUP(BT$1,main!$A$3:$H$102,7,FALSE),main!$K$19:$O$22,MATCH(VLOOKUP($A45,main!$A$3:$H$102,8,FALSE),main!$K$18:$O$18,0))))),1,0)</f>
        <v>0</v>
      </c>
      <c r="BU45">
        <f>IF((AND(VLOOKUP(BU$1,main!$A$3:$H$102,5,FALSE)-VLOOKUP($A45,main!$A$3:$H$102,6,FALSE)&gt;=(VLOOKUP(VLOOKUP(BU$1,main!$A$3:$H$102,8,FALSE),main!$K$26:$M$29,2,FALSE)+VLOOKUP(VLOOKUP(BU$1,main!$A$3:$H$102,7,FALSE),main!$K$19:$O$22,MATCH(VLOOKUP($A45,main!$A$3:$H$102,8,FALSE),main!$K$18:$O$18,0))))),1,0)</f>
        <v>0</v>
      </c>
      <c r="BV45">
        <f>IF((AND(VLOOKUP(BV$1,main!$A$3:$H$102,5,FALSE)-VLOOKUP($A45,main!$A$3:$H$102,6,FALSE)&gt;=(VLOOKUP(VLOOKUP(BV$1,main!$A$3:$H$102,8,FALSE),main!$K$26:$M$29,2,FALSE)+VLOOKUP(VLOOKUP(BV$1,main!$A$3:$H$102,7,FALSE),main!$K$19:$O$22,MATCH(VLOOKUP($A45,main!$A$3:$H$102,8,FALSE),main!$K$18:$O$18,0))))),1,0)</f>
        <v>0</v>
      </c>
      <c r="BW45">
        <f>IF((AND(VLOOKUP(BW$1,main!$A$3:$H$102,5,FALSE)-VLOOKUP($A45,main!$A$3:$H$102,6,FALSE)&gt;=(VLOOKUP(VLOOKUP(BW$1,main!$A$3:$H$102,8,FALSE),main!$K$26:$M$29,2,FALSE)+VLOOKUP(VLOOKUP(BW$1,main!$A$3:$H$102,7,FALSE),main!$K$19:$O$22,MATCH(VLOOKUP($A45,main!$A$3:$H$102,8,FALSE),main!$K$18:$O$18,0))))),1,0)</f>
        <v>0</v>
      </c>
      <c r="BX45">
        <f>IF((AND(VLOOKUP(BX$1,main!$A$3:$H$102,5,FALSE)-VLOOKUP($A45,main!$A$3:$H$102,6,FALSE)&gt;=(VLOOKUP(VLOOKUP(BX$1,main!$A$3:$H$102,8,FALSE),main!$K$26:$M$29,2,FALSE)+VLOOKUP(VLOOKUP(BX$1,main!$A$3:$H$102,7,FALSE),main!$K$19:$O$22,MATCH(VLOOKUP($A45,main!$A$3:$H$102,8,FALSE),main!$K$18:$O$18,0))))),1,0)</f>
        <v>0</v>
      </c>
      <c r="BY45">
        <f>IF((AND(VLOOKUP(BY$1,main!$A$3:$H$102,5,FALSE)-VLOOKUP($A45,main!$A$3:$H$102,6,FALSE)&gt;=(VLOOKUP(VLOOKUP(BY$1,main!$A$3:$H$102,8,FALSE),main!$K$26:$M$29,2,FALSE)+VLOOKUP(VLOOKUP(BY$1,main!$A$3:$H$102,7,FALSE),main!$K$19:$O$22,MATCH(VLOOKUP($A45,main!$A$3:$H$102,8,FALSE),main!$K$18:$O$18,0))))),1,0)</f>
        <v>0</v>
      </c>
      <c r="BZ45">
        <f>IF((AND(VLOOKUP(BZ$1,main!$A$3:$H$102,5,FALSE)-VLOOKUP($A45,main!$A$3:$H$102,6,FALSE)&gt;=(VLOOKUP(VLOOKUP(BZ$1,main!$A$3:$H$102,8,FALSE),main!$K$26:$M$29,2,FALSE)+VLOOKUP(VLOOKUP(BZ$1,main!$A$3:$H$102,7,FALSE),main!$K$19:$O$22,MATCH(VLOOKUP($A45,main!$A$3:$H$102,8,FALSE),main!$K$18:$O$18,0))))),1,0)</f>
        <v>0</v>
      </c>
      <c r="CA45">
        <f>IF((AND(VLOOKUP(CA$1,main!$A$3:$H$102,5,FALSE)-VLOOKUP($A45,main!$A$3:$H$102,6,FALSE)&gt;=(VLOOKUP(VLOOKUP(CA$1,main!$A$3:$H$102,8,FALSE),main!$K$26:$M$29,2,FALSE)+VLOOKUP(VLOOKUP(CA$1,main!$A$3:$H$102,7,FALSE),main!$K$19:$O$22,MATCH(VLOOKUP($A45,main!$A$3:$H$102,8,FALSE),main!$K$18:$O$18,0))))),1,0)</f>
        <v>0</v>
      </c>
      <c r="CB45">
        <f>IF((AND(VLOOKUP(CB$1,main!$A$3:$H$102,5,FALSE)-VLOOKUP($A45,main!$A$3:$H$102,6,FALSE)&gt;=(VLOOKUP(VLOOKUP(CB$1,main!$A$3:$H$102,8,FALSE),main!$K$26:$M$29,2,FALSE)+VLOOKUP(VLOOKUP(CB$1,main!$A$3:$H$102,7,FALSE),main!$K$19:$O$22,MATCH(VLOOKUP($A45,main!$A$3:$H$102,8,FALSE),main!$K$18:$O$18,0))))),1,0)</f>
        <v>0</v>
      </c>
      <c r="CC45">
        <f>IF((AND(VLOOKUP(CC$1,main!$A$3:$H$102,5,FALSE)-VLOOKUP($A45,main!$A$3:$H$102,6,FALSE)&gt;=(VLOOKUP(VLOOKUP(CC$1,main!$A$3:$H$102,8,FALSE),main!$K$26:$M$29,2,FALSE)+VLOOKUP(VLOOKUP(CC$1,main!$A$3:$H$102,7,FALSE),main!$K$19:$O$22,MATCH(VLOOKUP($A45,main!$A$3:$H$102,8,FALSE),main!$K$18:$O$18,0))))),1,0)</f>
        <v>1</v>
      </c>
      <c r="CD45">
        <f>IF((AND(VLOOKUP(CD$1,main!$A$3:$H$102,5,FALSE)-VLOOKUP($A45,main!$A$3:$H$102,6,FALSE)&gt;=(VLOOKUP(VLOOKUP(CD$1,main!$A$3:$H$102,8,FALSE),main!$K$26:$M$29,2,FALSE)+VLOOKUP(VLOOKUP(CD$1,main!$A$3:$H$102,7,FALSE),main!$K$19:$O$22,MATCH(VLOOKUP($A45,main!$A$3:$H$102,8,FALSE),main!$K$18:$O$18,0))))),1,0)</f>
        <v>0</v>
      </c>
      <c r="CE45">
        <f>IF((AND(VLOOKUP(CE$1,main!$A$3:$H$102,5,FALSE)-VLOOKUP($A45,main!$A$3:$H$102,6,FALSE)&gt;=(VLOOKUP(VLOOKUP(CE$1,main!$A$3:$H$102,8,FALSE),main!$K$26:$M$29,2,FALSE)+VLOOKUP(VLOOKUP(CE$1,main!$A$3:$H$102,7,FALSE),main!$K$19:$O$22,MATCH(VLOOKUP($A45,main!$A$3:$H$102,8,FALSE),main!$K$18:$O$18,0))))),1,0)</f>
        <v>0</v>
      </c>
      <c r="CF45">
        <f>IF((AND(VLOOKUP(CF$1,main!$A$3:$H$102,5,FALSE)-VLOOKUP($A45,main!$A$3:$H$102,6,FALSE)&gt;=(VLOOKUP(VLOOKUP(CF$1,main!$A$3:$H$102,8,FALSE),main!$K$26:$M$29,2,FALSE)+VLOOKUP(VLOOKUP(CF$1,main!$A$3:$H$102,7,FALSE),main!$K$19:$O$22,MATCH(VLOOKUP($A45,main!$A$3:$H$102,8,FALSE),main!$K$18:$O$18,0))))),1,0)</f>
        <v>0</v>
      </c>
      <c r="CG45">
        <f>IF((AND(VLOOKUP(CG$1,main!$A$3:$H$102,5,FALSE)-VLOOKUP($A45,main!$A$3:$H$102,6,FALSE)&gt;=(VLOOKUP(VLOOKUP(CG$1,main!$A$3:$H$102,8,FALSE),main!$K$26:$M$29,2,FALSE)+VLOOKUP(VLOOKUP(CG$1,main!$A$3:$H$102,7,FALSE),main!$K$19:$O$22,MATCH(VLOOKUP($A45,main!$A$3:$H$102,8,FALSE),main!$K$18:$O$18,0))))),1,0)</f>
        <v>0</v>
      </c>
      <c r="CH45">
        <f>IF((AND(VLOOKUP(CH$1,main!$A$3:$H$102,5,FALSE)-VLOOKUP($A45,main!$A$3:$H$102,6,FALSE)&gt;=(VLOOKUP(VLOOKUP(CH$1,main!$A$3:$H$102,8,FALSE),main!$K$26:$M$29,2,FALSE)+VLOOKUP(VLOOKUP(CH$1,main!$A$3:$H$102,7,FALSE),main!$K$19:$O$22,MATCH(VLOOKUP($A45,main!$A$3:$H$102,8,FALSE),main!$K$18:$O$18,0))))),1,0)</f>
        <v>1</v>
      </c>
      <c r="CI45">
        <f>IF((AND(VLOOKUP(CI$1,main!$A$3:$H$102,5,FALSE)-VLOOKUP($A45,main!$A$3:$H$102,6,FALSE)&gt;=(VLOOKUP(VLOOKUP(CI$1,main!$A$3:$H$102,8,FALSE),main!$K$26:$M$29,2,FALSE)+VLOOKUP(VLOOKUP(CI$1,main!$A$3:$H$102,7,FALSE),main!$K$19:$O$22,MATCH(VLOOKUP($A45,main!$A$3:$H$102,8,FALSE),main!$K$18:$O$18,0))))),1,0)</f>
        <v>1</v>
      </c>
      <c r="CJ45">
        <f>IF((AND(VLOOKUP(CJ$1,main!$A$3:$H$102,5,FALSE)-VLOOKUP($A45,main!$A$3:$H$102,6,FALSE)&gt;=(VLOOKUP(VLOOKUP(CJ$1,main!$A$3:$H$102,8,FALSE),main!$K$26:$M$29,2,FALSE)+VLOOKUP(VLOOKUP(CJ$1,main!$A$3:$H$102,7,FALSE),main!$K$19:$O$22,MATCH(VLOOKUP($A45,main!$A$3:$H$102,8,FALSE),main!$K$18:$O$18,0))))),1,0)</f>
        <v>0</v>
      </c>
      <c r="CK45">
        <f>IF((AND(VLOOKUP(CK$1,main!$A$3:$H$102,5,FALSE)-VLOOKUP($A45,main!$A$3:$H$102,6,FALSE)&gt;=(VLOOKUP(VLOOKUP(CK$1,main!$A$3:$H$102,8,FALSE),main!$K$26:$M$29,2,FALSE)+VLOOKUP(VLOOKUP(CK$1,main!$A$3:$H$102,7,FALSE),main!$K$19:$O$22,MATCH(VLOOKUP($A45,main!$A$3:$H$102,8,FALSE),main!$K$18:$O$18,0))))),1,0)</f>
        <v>0</v>
      </c>
      <c r="CL45">
        <f>IF((AND(VLOOKUP(CL$1,main!$A$3:$H$102,5,FALSE)-VLOOKUP($A45,main!$A$3:$H$102,6,FALSE)&gt;=(VLOOKUP(VLOOKUP(CL$1,main!$A$3:$H$102,8,FALSE),main!$K$26:$M$29,2,FALSE)+VLOOKUP(VLOOKUP(CL$1,main!$A$3:$H$102,7,FALSE),main!$K$19:$O$22,MATCH(VLOOKUP($A45,main!$A$3:$H$102,8,FALSE),main!$K$18:$O$18,0))))),1,0)</f>
        <v>0</v>
      </c>
      <c r="CM45">
        <f>IF((AND(VLOOKUP(CM$1,main!$A$3:$H$102,5,FALSE)-VLOOKUP($A45,main!$A$3:$H$102,6,FALSE)&gt;=(VLOOKUP(VLOOKUP(CM$1,main!$A$3:$H$102,8,FALSE),main!$K$26:$M$29,2,FALSE)+VLOOKUP(VLOOKUP(CM$1,main!$A$3:$H$102,7,FALSE),main!$K$19:$O$22,MATCH(VLOOKUP($A45,main!$A$3:$H$102,8,FALSE),main!$K$18:$O$18,0))))),1,0)</f>
        <v>1</v>
      </c>
      <c r="CN45">
        <f>IF((AND(VLOOKUP(CN$1,main!$A$3:$H$102,5,FALSE)-VLOOKUP($A45,main!$A$3:$H$102,6,FALSE)&gt;=(VLOOKUP(VLOOKUP(CN$1,main!$A$3:$H$102,8,FALSE),main!$K$26:$M$29,2,FALSE)+VLOOKUP(VLOOKUP(CN$1,main!$A$3:$H$102,7,FALSE),main!$K$19:$O$22,MATCH(VLOOKUP($A45,main!$A$3:$H$102,8,FALSE),main!$K$18:$O$18,0))))),1,0)</f>
        <v>1</v>
      </c>
      <c r="CO45">
        <f>IF((AND(VLOOKUP(CO$1,main!$A$3:$H$102,5,FALSE)-VLOOKUP($A45,main!$A$3:$H$102,6,FALSE)&gt;=(VLOOKUP(VLOOKUP(CO$1,main!$A$3:$H$102,8,FALSE),main!$K$26:$M$29,2,FALSE)+VLOOKUP(VLOOKUP(CO$1,main!$A$3:$H$102,7,FALSE),main!$K$19:$O$22,MATCH(VLOOKUP($A45,main!$A$3:$H$102,8,FALSE),main!$K$18:$O$18,0))))),1,0)</f>
        <v>0</v>
      </c>
      <c r="CP45">
        <f>IF((AND(VLOOKUP(CP$1,main!$A$3:$H$102,5,FALSE)-VLOOKUP($A45,main!$A$3:$H$102,6,FALSE)&gt;=(VLOOKUP(VLOOKUP(CP$1,main!$A$3:$H$102,8,FALSE),main!$K$26:$M$29,2,FALSE)+VLOOKUP(VLOOKUP(CP$1,main!$A$3:$H$102,7,FALSE),main!$K$19:$O$22,MATCH(VLOOKUP($A45,main!$A$3:$H$102,8,FALSE),main!$K$18:$O$18,0))))),1,0)</f>
        <v>0</v>
      </c>
      <c r="CQ45">
        <f>IF((AND(VLOOKUP(CQ$1,main!$A$3:$H$102,5,FALSE)-VLOOKUP($A45,main!$A$3:$H$102,6,FALSE)&gt;=(VLOOKUP(VLOOKUP(CQ$1,main!$A$3:$H$102,8,FALSE),main!$K$26:$M$29,2,FALSE)+VLOOKUP(VLOOKUP(CQ$1,main!$A$3:$H$102,7,FALSE),main!$K$19:$O$22,MATCH(VLOOKUP($A45,main!$A$3:$H$102,8,FALSE),main!$K$18:$O$18,0))))),1,0)</f>
        <v>0</v>
      </c>
      <c r="CR45">
        <f>IF((AND(VLOOKUP(CR$1,main!$A$3:$H$102,5,FALSE)-VLOOKUP($A45,main!$A$3:$H$102,6,FALSE)&gt;=(VLOOKUP(VLOOKUP(CR$1,main!$A$3:$H$102,8,FALSE),main!$K$26:$M$29,2,FALSE)+VLOOKUP(VLOOKUP(CR$1,main!$A$3:$H$102,7,FALSE),main!$K$19:$O$22,MATCH(VLOOKUP($A45,main!$A$3:$H$102,8,FALSE),main!$K$18:$O$18,0))))),1,0)</f>
        <v>0</v>
      </c>
      <c r="CS45">
        <f>IF((AND(VLOOKUP(CS$1,main!$A$3:$H$102,5,FALSE)-VLOOKUP($A45,main!$A$3:$H$102,6,FALSE)&gt;=(VLOOKUP(VLOOKUP(CS$1,main!$A$3:$H$102,8,FALSE),main!$K$26:$M$29,2,FALSE)+VLOOKUP(VLOOKUP(CS$1,main!$A$3:$H$102,7,FALSE),main!$K$19:$O$22,MATCH(VLOOKUP($A45,main!$A$3:$H$102,8,FALSE),main!$K$18:$O$18,0))))),1,0)</f>
        <v>1</v>
      </c>
      <c r="CT45">
        <f>IF((AND(VLOOKUP(CT$1,main!$A$3:$H$102,5,FALSE)-VLOOKUP($A45,main!$A$3:$H$102,6,FALSE)&gt;=(VLOOKUP(VLOOKUP(CT$1,main!$A$3:$H$102,8,FALSE),main!$K$26:$M$29,2,FALSE)+VLOOKUP(VLOOKUP(CT$1,main!$A$3:$H$102,7,FALSE),main!$K$19:$O$22,MATCH(VLOOKUP($A45,main!$A$3:$H$102,8,FALSE),main!$K$18:$O$18,0))))),1,0)</f>
        <v>0</v>
      </c>
      <c r="CU45">
        <f>IF((AND(VLOOKUP(CU$1,main!$A$3:$H$102,5,FALSE)-VLOOKUP($A45,main!$A$3:$H$102,6,FALSE)&gt;=(VLOOKUP(VLOOKUP(CU$1,main!$A$3:$H$102,8,FALSE),main!$K$26:$M$29,2,FALSE)+VLOOKUP(VLOOKUP(CU$1,main!$A$3:$H$102,7,FALSE),main!$K$19:$O$22,MATCH(VLOOKUP($A45,main!$A$3:$H$102,8,FALSE),main!$K$18:$O$18,0))))),1,0)</f>
        <v>0</v>
      </c>
      <c r="CV45">
        <f>IF((AND(VLOOKUP(CV$1,main!$A$3:$H$102,5,FALSE)-VLOOKUP($A45,main!$A$3:$H$102,6,FALSE)&gt;=(VLOOKUP(VLOOKUP(CV$1,main!$A$3:$H$102,8,FALSE),main!$K$26:$M$29,2,FALSE)+VLOOKUP(VLOOKUP(CV$1,main!$A$3:$H$102,7,FALSE),main!$K$19:$O$22,MATCH(VLOOKUP($A45,main!$A$3:$H$102,8,FALSE),main!$K$18:$O$18,0))))),1,0)</f>
        <v>0</v>
      </c>
      <c r="CW45">
        <f>IF((AND(VLOOKUP(CW$1,main!$A$3:$H$102,5,FALSE)-VLOOKUP($A45,main!$A$3:$H$102,6,FALSE)&gt;=(VLOOKUP(VLOOKUP(CW$1,main!$A$3:$H$102,8,FALSE),main!$K$26:$M$29,2,FALSE)+VLOOKUP(VLOOKUP(CW$1,main!$A$3:$H$102,7,FALSE),main!$K$19:$O$22,MATCH(VLOOKUP($A45,main!$A$3:$H$102,8,FALSE),main!$K$18:$O$18,0))))),1,0)</f>
        <v>0</v>
      </c>
      <c r="CX45">
        <f>IF((AND(VLOOKUP(CX$1,main!$A$3:$H$102,5,FALSE)-VLOOKUP($A45,main!$A$3:$H$102,6,FALSE)&gt;=(VLOOKUP(VLOOKUP(CX$1,main!$A$3:$H$102,8,FALSE),main!$K$26:$M$29,2,FALSE)+VLOOKUP(VLOOKUP(CX$1,main!$A$3:$H$102,7,FALSE),main!$K$19:$O$22,MATCH(VLOOKUP($A45,main!$A$3:$H$102,8,FALSE),main!$K$18:$O$18,0))))),1,0)</f>
        <v>1</v>
      </c>
    </row>
    <row r="46" spans="1:102" x14ac:dyDescent="0.25">
      <c r="A46" s="1">
        <v>44</v>
      </c>
      <c r="B46">
        <v>1</v>
      </c>
      <c r="C46">
        <f>IF((AND(VLOOKUP(C$1,main!$A$3:$H$102,5,FALSE)-VLOOKUP($A46,main!$A$3:$H$102,6,FALSE)&gt;=(VLOOKUP(VLOOKUP(C$1,main!$A$3:$H$102,8,FALSE),main!$K$26:$M$29,2,FALSE)+VLOOKUP(VLOOKUP(C$1,main!$A$3:$H$102,7,FALSE),main!$K$19:$O$22,MATCH(VLOOKUP($A46,main!$A$3:$H$102,8,FALSE),main!$K$18:$O$18,0))))),1,0)</f>
        <v>0</v>
      </c>
      <c r="D46">
        <f>IF((AND(VLOOKUP(D$1,main!$A$3:$H$102,5,FALSE)-VLOOKUP($A46,main!$A$3:$H$102,6,FALSE)&gt;=(VLOOKUP(VLOOKUP(D$1,main!$A$3:$H$102,8,FALSE),main!$K$26:$M$29,2,FALSE)+VLOOKUP(VLOOKUP(D$1,main!$A$3:$H$102,7,FALSE),main!$K$19:$O$22,MATCH(VLOOKUP($A46,main!$A$3:$H$102,8,FALSE),main!$K$18:$O$18,0))))),1,0)</f>
        <v>0</v>
      </c>
      <c r="E46">
        <f>IF((AND(VLOOKUP(E$1,main!$A$3:$H$102,5,FALSE)-VLOOKUP($A46,main!$A$3:$H$102,6,FALSE)&gt;=(VLOOKUP(VLOOKUP(E$1,main!$A$3:$H$102,8,FALSE),main!$K$26:$M$29,2,FALSE)+VLOOKUP(VLOOKUP(E$1,main!$A$3:$H$102,7,FALSE),main!$K$19:$O$22,MATCH(VLOOKUP($A46,main!$A$3:$H$102,8,FALSE),main!$K$18:$O$18,0))))),1,0)</f>
        <v>0</v>
      </c>
      <c r="F46">
        <f>IF((AND(VLOOKUP(F$1,main!$A$3:$H$102,5,FALSE)-VLOOKUP($A46,main!$A$3:$H$102,6,FALSE)&gt;=(VLOOKUP(VLOOKUP(F$1,main!$A$3:$H$102,8,FALSE),main!$K$26:$M$29,2,FALSE)+VLOOKUP(VLOOKUP(F$1,main!$A$3:$H$102,7,FALSE),main!$K$19:$O$22,MATCH(VLOOKUP($A46,main!$A$3:$H$102,8,FALSE),main!$K$18:$O$18,0))))),1,0)</f>
        <v>0</v>
      </c>
      <c r="G46">
        <f>IF((AND(VLOOKUP(G$1,main!$A$3:$H$102,5,FALSE)-VLOOKUP($A46,main!$A$3:$H$102,6,FALSE)&gt;=(VLOOKUP(VLOOKUP(G$1,main!$A$3:$H$102,8,FALSE),main!$K$26:$M$29,2,FALSE)+VLOOKUP(VLOOKUP(G$1,main!$A$3:$H$102,7,FALSE),main!$K$19:$O$22,MATCH(VLOOKUP($A46,main!$A$3:$H$102,8,FALSE),main!$K$18:$O$18,0))))),1,0)</f>
        <v>0</v>
      </c>
      <c r="H46">
        <f>IF((AND(VLOOKUP(H$1,main!$A$3:$H$102,5,FALSE)-VLOOKUP($A46,main!$A$3:$H$102,6,FALSE)&gt;=(VLOOKUP(VLOOKUP(H$1,main!$A$3:$H$102,8,FALSE),main!$K$26:$M$29,2,FALSE)+VLOOKUP(VLOOKUP(H$1,main!$A$3:$H$102,7,FALSE),main!$K$19:$O$22,MATCH(VLOOKUP($A46,main!$A$3:$H$102,8,FALSE),main!$K$18:$O$18,0))))),1,0)</f>
        <v>0</v>
      </c>
      <c r="I46">
        <f>IF((AND(VLOOKUP(I$1,main!$A$3:$H$102,5,FALSE)-VLOOKUP($A46,main!$A$3:$H$102,6,FALSE)&gt;=(VLOOKUP(VLOOKUP(I$1,main!$A$3:$H$102,8,FALSE),main!$K$26:$M$29,2,FALSE)+VLOOKUP(VLOOKUP(I$1,main!$A$3:$H$102,7,FALSE),main!$K$19:$O$22,MATCH(VLOOKUP($A46,main!$A$3:$H$102,8,FALSE),main!$K$18:$O$18,0))))),1,0)</f>
        <v>0</v>
      </c>
      <c r="J46">
        <f>IF((AND(VLOOKUP(J$1,main!$A$3:$H$102,5,FALSE)-VLOOKUP($A46,main!$A$3:$H$102,6,FALSE)&gt;=(VLOOKUP(VLOOKUP(J$1,main!$A$3:$H$102,8,FALSE),main!$K$26:$M$29,2,FALSE)+VLOOKUP(VLOOKUP(J$1,main!$A$3:$H$102,7,FALSE),main!$K$19:$O$22,MATCH(VLOOKUP($A46,main!$A$3:$H$102,8,FALSE),main!$K$18:$O$18,0))))),1,0)</f>
        <v>0</v>
      </c>
      <c r="K46">
        <f>IF((AND(VLOOKUP(K$1,main!$A$3:$H$102,5,FALSE)-VLOOKUP($A46,main!$A$3:$H$102,6,FALSE)&gt;=(VLOOKUP(VLOOKUP(K$1,main!$A$3:$H$102,8,FALSE),main!$K$26:$M$29,2,FALSE)+VLOOKUP(VLOOKUP(K$1,main!$A$3:$H$102,7,FALSE),main!$K$19:$O$22,MATCH(VLOOKUP($A46,main!$A$3:$H$102,8,FALSE),main!$K$18:$O$18,0))))),1,0)</f>
        <v>0</v>
      </c>
      <c r="L46">
        <f>IF((AND(VLOOKUP(L$1,main!$A$3:$H$102,5,FALSE)-VLOOKUP($A46,main!$A$3:$H$102,6,FALSE)&gt;=(VLOOKUP(VLOOKUP(L$1,main!$A$3:$H$102,8,FALSE),main!$K$26:$M$29,2,FALSE)+VLOOKUP(VLOOKUP(L$1,main!$A$3:$H$102,7,FALSE),main!$K$19:$O$22,MATCH(VLOOKUP($A46,main!$A$3:$H$102,8,FALSE),main!$K$18:$O$18,0))))),1,0)</f>
        <v>1</v>
      </c>
      <c r="M46">
        <f>IF((AND(VLOOKUP(M$1,main!$A$3:$H$102,5,FALSE)-VLOOKUP($A46,main!$A$3:$H$102,6,FALSE)&gt;=(VLOOKUP(VLOOKUP(M$1,main!$A$3:$H$102,8,FALSE),main!$K$26:$M$29,2,FALSE)+VLOOKUP(VLOOKUP(M$1,main!$A$3:$H$102,7,FALSE),main!$K$19:$O$22,MATCH(VLOOKUP($A46,main!$A$3:$H$102,8,FALSE),main!$K$18:$O$18,0))))),1,0)</f>
        <v>0</v>
      </c>
      <c r="N46">
        <f>IF((AND(VLOOKUP(N$1,main!$A$3:$H$102,5,FALSE)-VLOOKUP($A46,main!$A$3:$H$102,6,FALSE)&gt;=(VLOOKUP(VLOOKUP(N$1,main!$A$3:$H$102,8,FALSE),main!$K$26:$M$29,2,FALSE)+VLOOKUP(VLOOKUP(N$1,main!$A$3:$H$102,7,FALSE),main!$K$19:$O$22,MATCH(VLOOKUP($A46,main!$A$3:$H$102,8,FALSE),main!$K$18:$O$18,0))))),1,0)</f>
        <v>0</v>
      </c>
      <c r="O46">
        <f>IF((AND(VLOOKUP(O$1,main!$A$3:$H$102,5,FALSE)-VLOOKUP($A46,main!$A$3:$H$102,6,FALSE)&gt;=(VLOOKUP(VLOOKUP(O$1,main!$A$3:$H$102,8,FALSE),main!$K$26:$M$29,2,FALSE)+VLOOKUP(VLOOKUP(O$1,main!$A$3:$H$102,7,FALSE),main!$K$19:$O$22,MATCH(VLOOKUP($A46,main!$A$3:$H$102,8,FALSE),main!$K$18:$O$18,0))))),1,0)</f>
        <v>0</v>
      </c>
      <c r="P46">
        <f>IF((AND(VLOOKUP(P$1,main!$A$3:$H$102,5,FALSE)-VLOOKUP($A46,main!$A$3:$H$102,6,FALSE)&gt;=(VLOOKUP(VLOOKUP(P$1,main!$A$3:$H$102,8,FALSE),main!$K$26:$M$29,2,FALSE)+VLOOKUP(VLOOKUP(P$1,main!$A$3:$H$102,7,FALSE),main!$K$19:$O$22,MATCH(VLOOKUP($A46,main!$A$3:$H$102,8,FALSE),main!$K$18:$O$18,0))))),1,0)</f>
        <v>0</v>
      </c>
      <c r="Q46">
        <f>IF((AND(VLOOKUP(Q$1,main!$A$3:$H$102,5,FALSE)-VLOOKUP($A46,main!$A$3:$H$102,6,FALSE)&gt;=(VLOOKUP(VLOOKUP(Q$1,main!$A$3:$H$102,8,FALSE),main!$K$26:$M$29,2,FALSE)+VLOOKUP(VLOOKUP(Q$1,main!$A$3:$H$102,7,FALSE),main!$K$19:$O$22,MATCH(VLOOKUP($A46,main!$A$3:$H$102,8,FALSE),main!$K$18:$O$18,0))))),1,0)</f>
        <v>0</v>
      </c>
      <c r="R46">
        <f>IF((AND(VLOOKUP(R$1,main!$A$3:$H$102,5,FALSE)-VLOOKUP($A46,main!$A$3:$H$102,6,FALSE)&gt;=(VLOOKUP(VLOOKUP(R$1,main!$A$3:$H$102,8,FALSE),main!$K$26:$M$29,2,FALSE)+VLOOKUP(VLOOKUP(R$1,main!$A$3:$H$102,7,FALSE),main!$K$19:$O$22,MATCH(VLOOKUP($A46,main!$A$3:$H$102,8,FALSE),main!$K$18:$O$18,0))))),1,0)</f>
        <v>0</v>
      </c>
      <c r="S46">
        <f>IF((AND(VLOOKUP(S$1,main!$A$3:$H$102,5,FALSE)-VLOOKUP($A46,main!$A$3:$H$102,6,FALSE)&gt;=(VLOOKUP(VLOOKUP(S$1,main!$A$3:$H$102,8,FALSE),main!$K$26:$M$29,2,FALSE)+VLOOKUP(VLOOKUP(S$1,main!$A$3:$H$102,7,FALSE),main!$K$19:$O$22,MATCH(VLOOKUP($A46,main!$A$3:$H$102,8,FALSE),main!$K$18:$O$18,0))))),1,0)</f>
        <v>0</v>
      </c>
      <c r="T46">
        <f>IF((AND(VLOOKUP(T$1,main!$A$3:$H$102,5,FALSE)-VLOOKUP($A46,main!$A$3:$H$102,6,FALSE)&gt;=(VLOOKUP(VLOOKUP(T$1,main!$A$3:$H$102,8,FALSE),main!$K$26:$M$29,2,FALSE)+VLOOKUP(VLOOKUP(T$1,main!$A$3:$H$102,7,FALSE),main!$K$19:$O$22,MATCH(VLOOKUP($A46,main!$A$3:$H$102,8,FALSE),main!$K$18:$O$18,0))))),1,0)</f>
        <v>0</v>
      </c>
      <c r="U46">
        <f>IF((AND(VLOOKUP(U$1,main!$A$3:$H$102,5,FALSE)-VLOOKUP($A46,main!$A$3:$H$102,6,FALSE)&gt;=(VLOOKUP(VLOOKUP(U$1,main!$A$3:$H$102,8,FALSE),main!$K$26:$M$29,2,FALSE)+VLOOKUP(VLOOKUP(U$1,main!$A$3:$H$102,7,FALSE),main!$K$19:$O$22,MATCH(VLOOKUP($A46,main!$A$3:$H$102,8,FALSE),main!$K$18:$O$18,0))))),1,0)</f>
        <v>0</v>
      </c>
      <c r="V46">
        <f>IF((AND(VLOOKUP(V$1,main!$A$3:$H$102,5,FALSE)-VLOOKUP($A46,main!$A$3:$H$102,6,FALSE)&gt;=(VLOOKUP(VLOOKUP(V$1,main!$A$3:$H$102,8,FALSE),main!$K$26:$M$29,2,FALSE)+VLOOKUP(VLOOKUP(V$1,main!$A$3:$H$102,7,FALSE),main!$K$19:$O$22,MATCH(VLOOKUP($A46,main!$A$3:$H$102,8,FALSE),main!$K$18:$O$18,0))))),1,0)</f>
        <v>1</v>
      </c>
      <c r="W46">
        <f>IF((AND(VLOOKUP(W$1,main!$A$3:$H$102,5,FALSE)-VLOOKUP($A46,main!$A$3:$H$102,6,FALSE)&gt;=(VLOOKUP(VLOOKUP(W$1,main!$A$3:$H$102,8,FALSE),main!$K$26:$M$29,2,FALSE)+VLOOKUP(VLOOKUP(W$1,main!$A$3:$H$102,7,FALSE),main!$K$19:$O$22,MATCH(VLOOKUP($A46,main!$A$3:$H$102,8,FALSE),main!$K$18:$O$18,0))))),1,0)</f>
        <v>0</v>
      </c>
      <c r="X46">
        <f>IF((AND(VLOOKUP(X$1,main!$A$3:$H$102,5,FALSE)-VLOOKUP($A46,main!$A$3:$H$102,6,FALSE)&gt;=(VLOOKUP(VLOOKUP(X$1,main!$A$3:$H$102,8,FALSE),main!$K$26:$M$29,2,FALSE)+VLOOKUP(VLOOKUP(X$1,main!$A$3:$H$102,7,FALSE),main!$K$19:$O$22,MATCH(VLOOKUP($A46,main!$A$3:$H$102,8,FALSE),main!$K$18:$O$18,0))))),1,0)</f>
        <v>0</v>
      </c>
      <c r="Y46">
        <f>IF((AND(VLOOKUP(Y$1,main!$A$3:$H$102,5,FALSE)-VLOOKUP($A46,main!$A$3:$H$102,6,FALSE)&gt;=(VLOOKUP(VLOOKUP(Y$1,main!$A$3:$H$102,8,FALSE),main!$K$26:$M$29,2,FALSE)+VLOOKUP(VLOOKUP(Y$1,main!$A$3:$H$102,7,FALSE),main!$K$19:$O$22,MATCH(VLOOKUP($A46,main!$A$3:$H$102,8,FALSE),main!$K$18:$O$18,0))))),1,0)</f>
        <v>0</v>
      </c>
      <c r="Z46">
        <f>IF((AND(VLOOKUP(Z$1,main!$A$3:$H$102,5,FALSE)-VLOOKUP($A46,main!$A$3:$H$102,6,FALSE)&gt;=(VLOOKUP(VLOOKUP(Z$1,main!$A$3:$H$102,8,FALSE),main!$K$26:$M$29,2,FALSE)+VLOOKUP(VLOOKUP(Z$1,main!$A$3:$H$102,7,FALSE),main!$K$19:$O$22,MATCH(VLOOKUP($A46,main!$A$3:$H$102,8,FALSE),main!$K$18:$O$18,0))))),1,0)</f>
        <v>0</v>
      </c>
      <c r="AA46">
        <f>IF((AND(VLOOKUP(AA$1,main!$A$3:$H$102,5,FALSE)-VLOOKUP($A46,main!$A$3:$H$102,6,FALSE)&gt;=(VLOOKUP(VLOOKUP(AA$1,main!$A$3:$H$102,8,FALSE),main!$K$26:$M$29,2,FALSE)+VLOOKUP(VLOOKUP(AA$1,main!$A$3:$H$102,7,FALSE),main!$K$19:$O$22,MATCH(VLOOKUP($A46,main!$A$3:$H$102,8,FALSE),main!$K$18:$O$18,0))))),1,0)</f>
        <v>0</v>
      </c>
      <c r="AB46">
        <f>IF((AND(VLOOKUP(AB$1,main!$A$3:$H$102,5,FALSE)-VLOOKUP($A46,main!$A$3:$H$102,6,FALSE)&gt;=(VLOOKUP(VLOOKUP(AB$1,main!$A$3:$H$102,8,FALSE),main!$K$26:$M$29,2,FALSE)+VLOOKUP(VLOOKUP(AB$1,main!$A$3:$H$102,7,FALSE),main!$K$19:$O$22,MATCH(VLOOKUP($A46,main!$A$3:$H$102,8,FALSE),main!$K$18:$O$18,0))))),1,0)</f>
        <v>0</v>
      </c>
      <c r="AC46">
        <f>IF((AND(VLOOKUP(AC$1,main!$A$3:$H$102,5,FALSE)-VLOOKUP($A46,main!$A$3:$H$102,6,FALSE)&gt;=(VLOOKUP(VLOOKUP(AC$1,main!$A$3:$H$102,8,FALSE),main!$K$26:$M$29,2,FALSE)+VLOOKUP(VLOOKUP(AC$1,main!$A$3:$H$102,7,FALSE),main!$K$19:$O$22,MATCH(VLOOKUP($A46,main!$A$3:$H$102,8,FALSE),main!$K$18:$O$18,0))))),1,0)</f>
        <v>0</v>
      </c>
      <c r="AD46">
        <f>IF((AND(VLOOKUP(AD$1,main!$A$3:$H$102,5,FALSE)-VLOOKUP($A46,main!$A$3:$H$102,6,FALSE)&gt;=(VLOOKUP(VLOOKUP(AD$1,main!$A$3:$H$102,8,FALSE),main!$K$26:$M$29,2,FALSE)+VLOOKUP(VLOOKUP(AD$1,main!$A$3:$H$102,7,FALSE),main!$K$19:$O$22,MATCH(VLOOKUP($A46,main!$A$3:$H$102,8,FALSE),main!$K$18:$O$18,0))))),1,0)</f>
        <v>0</v>
      </c>
      <c r="AE46">
        <f>IF((AND(VLOOKUP(AE$1,main!$A$3:$H$102,5,FALSE)-VLOOKUP($A46,main!$A$3:$H$102,6,FALSE)&gt;=(VLOOKUP(VLOOKUP(AE$1,main!$A$3:$H$102,8,FALSE),main!$K$26:$M$29,2,FALSE)+VLOOKUP(VLOOKUP(AE$1,main!$A$3:$H$102,7,FALSE),main!$K$19:$O$22,MATCH(VLOOKUP($A46,main!$A$3:$H$102,8,FALSE),main!$K$18:$O$18,0))))),1,0)</f>
        <v>0</v>
      </c>
      <c r="AF46">
        <f>IF((AND(VLOOKUP(AF$1,main!$A$3:$H$102,5,FALSE)-VLOOKUP($A46,main!$A$3:$H$102,6,FALSE)&gt;=(VLOOKUP(VLOOKUP(AF$1,main!$A$3:$H$102,8,FALSE),main!$K$26:$M$29,2,FALSE)+VLOOKUP(VLOOKUP(AF$1,main!$A$3:$H$102,7,FALSE),main!$K$19:$O$22,MATCH(VLOOKUP($A46,main!$A$3:$H$102,8,FALSE),main!$K$18:$O$18,0))))),1,0)</f>
        <v>0</v>
      </c>
      <c r="AG46">
        <f>IF((AND(VLOOKUP(AG$1,main!$A$3:$H$102,5,FALSE)-VLOOKUP($A46,main!$A$3:$H$102,6,FALSE)&gt;=(VLOOKUP(VLOOKUP(AG$1,main!$A$3:$H$102,8,FALSE),main!$K$26:$M$29,2,FALSE)+VLOOKUP(VLOOKUP(AG$1,main!$A$3:$H$102,7,FALSE),main!$K$19:$O$22,MATCH(VLOOKUP($A46,main!$A$3:$H$102,8,FALSE),main!$K$18:$O$18,0))))),1,0)</f>
        <v>0</v>
      </c>
      <c r="AH46">
        <f>IF((AND(VLOOKUP(AH$1,main!$A$3:$H$102,5,FALSE)-VLOOKUP($A46,main!$A$3:$H$102,6,FALSE)&gt;=(VLOOKUP(VLOOKUP(AH$1,main!$A$3:$H$102,8,FALSE),main!$K$26:$M$29,2,FALSE)+VLOOKUP(VLOOKUP(AH$1,main!$A$3:$H$102,7,FALSE),main!$K$19:$O$22,MATCH(VLOOKUP($A46,main!$A$3:$H$102,8,FALSE),main!$K$18:$O$18,0))))),1,0)</f>
        <v>0</v>
      </c>
      <c r="AI46">
        <f>IF((AND(VLOOKUP(AI$1,main!$A$3:$H$102,5,FALSE)-VLOOKUP($A46,main!$A$3:$H$102,6,FALSE)&gt;=(VLOOKUP(VLOOKUP(AI$1,main!$A$3:$H$102,8,FALSE),main!$K$26:$M$29,2,FALSE)+VLOOKUP(VLOOKUP(AI$1,main!$A$3:$H$102,7,FALSE),main!$K$19:$O$22,MATCH(VLOOKUP($A46,main!$A$3:$H$102,8,FALSE),main!$K$18:$O$18,0))))),1,0)</f>
        <v>0</v>
      </c>
      <c r="AJ46">
        <f>IF((AND(VLOOKUP(AJ$1,main!$A$3:$H$102,5,FALSE)-VLOOKUP($A46,main!$A$3:$H$102,6,FALSE)&gt;=(VLOOKUP(VLOOKUP(AJ$1,main!$A$3:$H$102,8,FALSE),main!$K$26:$M$29,2,FALSE)+VLOOKUP(VLOOKUP(AJ$1,main!$A$3:$H$102,7,FALSE),main!$K$19:$O$22,MATCH(VLOOKUP($A46,main!$A$3:$H$102,8,FALSE),main!$K$18:$O$18,0))))),1,0)</f>
        <v>0</v>
      </c>
      <c r="AK46">
        <f>IF((AND(VLOOKUP(AK$1,main!$A$3:$H$102,5,FALSE)-VLOOKUP($A46,main!$A$3:$H$102,6,FALSE)&gt;=(VLOOKUP(VLOOKUP(AK$1,main!$A$3:$H$102,8,FALSE),main!$K$26:$M$29,2,FALSE)+VLOOKUP(VLOOKUP(AK$1,main!$A$3:$H$102,7,FALSE),main!$K$19:$O$22,MATCH(VLOOKUP($A46,main!$A$3:$H$102,8,FALSE),main!$K$18:$O$18,0))))),1,0)</f>
        <v>0</v>
      </c>
      <c r="AL46">
        <f>IF((AND(VLOOKUP(AL$1,main!$A$3:$H$102,5,FALSE)-VLOOKUP($A46,main!$A$3:$H$102,6,FALSE)&gt;=(VLOOKUP(VLOOKUP(AL$1,main!$A$3:$H$102,8,FALSE),main!$K$26:$M$29,2,FALSE)+VLOOKUP(VLOOKUP(AL$1,main!$A$3:$H$102,7,FALSE),main!$K$19:$O$22,MATCH(VLOOKUP($A46,main!$A$3:$H$102,8,FALSE),main!$K$18:$O$18,0))))),1,0)</f>
        <v>0</v>
      </c>
      <c r="AM46">
        <f>IF((AND(VLOOKUP(AM$1,main!$A$3:$H$102,5,FALSE)-VLOOKUP($A46,main!$A$3:$H$102,6,FALSE)&gt;=(VLOOKUP(VLOOKUP(AM$1,main!$A$3:$H$102,8,FALSE),main!$K$26:$M$29,2,FALSE)+VLOOKUP(VLOOKUP(AM$1,main!$A$3:$H$102,7,FALSE),main!$K$19:$O$22,MATCH(VLOOKUP($A46,main!$A$3:$H$102,8,FALSE),main!$K$18:$O$18,0))))),1,0)</f>
        <v>0</v>
      </c>
      <c r="AN46">
        <f>IF((AND(VLOOKUP(AN$1,main!$A$3:$H$102,5,FALSE)-VLOOKUP($A46,main!$A$3:$H$102,6,FALSE)&gt;=(VLOOKUP(VLOOKUP(AN$1,main!$A$3:$H$102,8,FALSE),main!$K$26:$M$29,2,FALSE)+VLOOKUP(VLOOKUP(AN$1,main!$A$3:$H$102,7,FALSE),main!$K$19:$O$22,MATCH(VLOOKUP($A46,main!$A$3:$H$102,8,FALSE),main!$K$18:$O$18,0))))),1,0)</f>
        <v>0</v>
      </c>
      <c r="AO46">
        <f>IF((AND(VLOOKUP(AO$1,main!$A$3:$H$102,5,FALSE)-VLOOKUP($A46,main!$A$3:$H$102,6,FALSE)&gt;=(VLOOKUP(VLOOKUP(AO$1,main!$A$3:$H$102,8,FALSE),main!$K$26:$M$29,2,FALSE)+VLOOKUP(VLOOKUP(AO$1,main!$A$3:$H$102,7,FALSE),main!$K$19:$O$22,MATCH(VLOOKUP($A46,main!$A$3:$H$102,8,FALSE),main!$K$18:$O$18,0))))),1,0)</f>
        <v>0</v>
      </c>
      <c r="AP46">
        <f>IF((AND(VLOOKUP(AP$1,main!$A$3:$H$102,5,FALSE)-VLOOKUP($A46,main!$A$3:$H$102,6,FALSE)&gt;=(VLOOKUP(VLOOKUP(AP$1,main!$A$3:$H$102,8,FALSE),main!$K$26:$M$29,2,FALSE)+VLOOKUP(VLOOKUP(AP$1,main!$A$3:$H$102,7,FALSE),main!$K$19:$O$22,MATCH(VLOOKUP($A46,main!$A$3:$H$102,8,FALSE),main!$K$18:$O$18,0))))),1,0)</f>
        <v>1</v>
      </c>
      <c r="AQ46">
        <f>IF((AND(VLOOKUP(AQ$1,main!$A$3:$H$102,5,FALSE)-VLOOKUP($A46,main!$A$3:$H$102,6,FALSE)&gt;=(VLOOKUP(VLOOKUP(AQ$1,main!$A$3:$H$102,8,FALSE),main!$K$26:$M$29,2,FALSE)+VLOOKUP(VLOOKUP(AQ$1,main!$A$3:$H$102,7,FALSE),main!$K$19:$O$22,MATCH(VLOOKUP($A46,main!$A$3:$H$102,8,FALSE),main!$K$18:$O$18,0))))),1,0)</f>
        <v>0</v>
      </c>
      <c r="AR46">
        <f>IF((AND(VLOOKUP(AR$1,main!$A$3:$H$102,5,FALSE)-VLOOKUP($A46,main!$A$3:$H$102,6,FALSE)&gt;=(VLOOKUP(VLOOKUP(AR$1,main!$A$3:$H$102,8,FALSE),main!$K$26:$M$29,2,FALSE)+VLOOKUP(VLOOKUP(AR$1,main!$A$3:$H$102,7,FALSE),main!$K$19:$O$22,MATCH(VLOOKUP($A46,main!$A$3:$H$102,8,FALSE),main!$K$18:$O$18,0))))),1,0)</f>
        <v>0</v>
      </c>
      <c r="AS46">
        <f>IF((AND(VLOOKUP(AS$1,main!$A$3:$H$102,5,FALSE)-VLOOKUP($A46,main!$A$3:$H$102,6,FALSE)&gt;=(VLOOKUP(VLOOKUP(AS$1,main!$A$3:$H$102,8,FALSE),main!$K$26:$M$29,2,FALSE)+VLOOKUP(VLOOKUP(AS$1,main!$A$3:$H$102,7,FALSE),main!$K$19:$O$22,MATCH(VLOOKUP($A46,main!$A$3:$H$102,8,FALSE),main!$K$18:$O$18,0))))),1,0)</f>
        <v>0</v>
      </c>
      <c r="AT46">
        <f>IF((AND(VLOOKUP(AT$1,main!$A$3:$H$102,5,FALSE)-VLOOKUP($A46,main!$A$3:$H$102,6,FALSE)&gt;=(VLOOKUP(VLOOKUP(AT$1,main!$A$3:$H$102,8,FALSE),main!$K$26:$M$29,2,FALSE)+VLOOKUP(VLOOKUP(AT$1,main!$A$3:$H$102,7,FALSE),main!$K$19:$O$22,MATCH(VLOOKUP($A46,main!$A$3:$H$102,8,FALSE),main!$K$18:$O$18,0))))),1,0)</f>
        <v>0</v>
      </c>
      <c r="AU46">
        <f>IF((AND(VLOOKUP(AU$1,main!$A$3:$H$102,5,FALSE)-VLOOKUP($A46,main!$A$3:$H$102,6,FALSE)&gt;=(VLOOKUP(VLOOKUP(AU$1,main!$A$3:$H$102,8,FALSE),main!$K$26:$M$29,2,FALSE)+VLOOKUP(VLOOKUP(AU$1,main!$A$3:$H$102,7,FALSE),main!$K$19:$O$22,MATCH(VLOOKUP($A46,main!$A$3:$H$102,8,FALSE),main!$K$18:$O$18,0))))),1,0)</f>
        <v>0</v>
      </c>
      <c r="AV46">
        <f>IF((AND(VLOOKUP(AV$1,main!$A$3:$H$102,5,FALSE)-VLOOKUP($A46,main!$A$3:$H$102,6,FALSE)&gt;=(VLOOKUP(VLOOKUP(AV$1,main!$A$3:$H$102,8,FALSE),main!$K$26:$M$29,2,FALSE)+VLOOKUP(VLOOKUP(AV$1,main!$A$3:$H$102,7,FALSE),main!$K$19:$O$22,MATCH(VLOOKUP($A46,main!$A$3:$H$102,8,FALSE),main!$K$18:$O$18,0))))),1,0)</f>
        <v>0</v>
      </c>
      <c r="AW46">
        <f>IF((AND(VLOOKUP(AW$1,main!$A$3:$H$102,5,FALSE)-VLOOKUP($A46,main!$A$3:$H$102,6,FALSE)&gt;=(VLOOKUP(VLOOKUP(AW$1,main!$A$3:$H$102,8,FALSE),main!$K$26:$M$29,2,FALSE)+VLOOKUP(VLOOKUP(AW$1,main!$A$3:$H$102,7,FALSE),main!$K$19:$O$22,MATCH(VLOOKUP($A46,main!$A$3:$H$102,8,FALSE),main!$K$18:$O$18,0))))),1,0)</f>
        <v>0</v>
      </c>
      <c r="AX46">
        <f>IF((AND(VLOOKUP(AX$1,main!$A$3:$H$102,5,FALSE)-VLOOKUP($A46,main!$A$3:$H$102,6,FALSE)&gt;=(VLOOKUP(VLOOKUP(AX$1,main!$A$3:$H$102,8,FALSE),main!$K$26:$M$29,2,FALSE)+VLOOKUP(VLOOKUP(AX$1,main!$A$3:$H$102,7,FALSE),main!$K$19:$O$22,MATCH(VLOOKUP($A46,main!$A$3:$H$102,8,FALSE),main!$K$18:$O$18,0))))),1,0)</f>
        <v>0</v>
      </c>
      <c r="AY46">
        <f>IF((AND(VLOOKUP(AY$1,main!$A$3:$H$102,5,FALSE)-VLOOKUP($A46,main!$A$3:$H$102,6,FALSE)&gt;=(VLOOKUP(VLOOKUP(AY$1,main!$A$3:$H$102,8,FALSE),main!$K$26:$M$29,2,FALSE)+VLOOKUP(VLOOKUP(AY$1,main!$A$3:$H$102,7,FALSE),main!$K$19:$O$22,MATCH(VLOOKUP($A46,main!$A$3:$H$102,8,FALSE),main!$K$18:$O$18,0))))),1,0)</f>
        <v>0</v>
      </c>
      <c r="AZ46">
        <f>IF((AND(VLOOKUP(AZ$1,main!$A$3:$H$102,5,FALSE)-VLOOKUP($A46,main!$A$3:$H$102,6,FALSE)&gt;=(VLOOKUP(VLOOKUP(AZ$1,main!$A$3:$H$102,8,FALSE),main!$K$26:$M$29,2,FALSE)+VLOOKUP(VLOOKUP(AZ$1,main!$A$3:$H$102,7,FALSE),main!$K$19:$O$22,MATCH(VLOOKUP($A46,main!$A$3:$H$102,8,FALSE),main!$K$18:$O$18,0))))),1,0)</f>
        <v>0</v>
      </c>
      <c r="BA46">
        <f>IF((AND(VLOOKUP(BA$1,main!$A$3:$H$102,5,FALSE)-VLOOKUP($A46,main!$A$3:$H$102,6,FALSE)&gt;=(VLOOKUP(VLOOKUP(BA$1,main!$A$3:$H$102,8,FALSE),main!$K$26:$M$29,2,FALSE)+VLOOKUP(VLOOKUP(BA$1,main!$A$3:$H$102,7,FALSE),main!$K$19:$O$22,MATCH(VLOOKUP($A46,main!$A$3:$H$102,8,FALSE),main!$K$18:$O$18,0))))),1,0)</f>
        <v>0</v>
      </c>
      <c r="BB46">
        <f>IF((AND(VLOOKUP(BB$1,main!$A$3:$H$102,5,FALSE)-VLOOKUP($A46,main!$A$3:$H$102,6,FALSE)&gt;=(VLOOKUP(VLOOKUP(BB$1,main!$A$3:$H$102,8,FALSE),main!$K$26:$M$29,2,FALSE)+VLOOKUP(VLOOKUP(BB$1,main!$A$3:$H$102,7,FALSE),main!$K$19:$O$22,MATCH(VLOOKUP($A46,main!$A$3:$H$102,8,FALSE),main!$K$18:$O$18,0))))),1,0)</f>
        <v>0</v>
      </c>
      <c r="BC46">
        <f>IF((AND(VLOOKUP(BC$1,main!$A$3:$H$102,5,FALSE)-VLOOKUP($A46,main!$A$3:$H$102,6,FALSE)&gt;=(VLOOKUP(VLOOKUP(BC$1,main!$A$3:$H$102,8,FALSE),main!$K$26:$M$29,2,FALSE)+VLOOKUP(VLOOKUP(BC$1,main!$A$3:$H$102,7,FALSE),main!$K$19:$O$22,MATCH(VLOOKUP($A46,main!$A$3:$H$102,8,FALSE),main!$K$18:$O$18,0))))),1,0)</f>
        <v>0</v>
      </c>
      <c r="BD46">
        <f>IF((AND(VLOOKUP(BD$1,main!$A$3:$H$102,5,FALSE)-VLOOKUP($A46,main!$A$3:$H$102,6,FALSE)&gt;=(VLOOKUP(VLOOKUP(BD$1,main!$A$3:$H$102,8,FALSE),main!$K$26:$M$29,2,FALSE)+VLOOKUP(VLOOKUP(BD$1,main!$A$3:$H$102,7,FALSE),main!$K$19:$O$22,MATCH(VLOOKUP($A46,main!$A$3:$H$102,8,FALSE),main!$K$18:$O$18,0))))),1,0)</f>
        <v>0</v>
      </c>
      <c r="BE46">
        <f>IF((AND(VLOOKUP(BE$1,main!$A$3:$H$102,5,FALSE)-VLOOKUP($A46,main!$A$3:$H$102,6,FALSE)&gt;=(VLOOKUP(VLOOKUP(BE$1,main!$A$3:$H$102,8,FALSE),main!$K$26:$M$29,2,FALSE)+VLOOKUP(VLOOKUP(BE$1,main!$A$3:$H$102,7,FALSE),main!$K$19:$O$22,MATCH(VLOOKUP($A46,main!$A$3:$H$102,8,FALSE),main!$K$18:$O$18,0))))),1,0)</f>
        <v>0</v>
      </c>
      <c r="BF46">
        <f>IF((AND(VLOOKUP(BF$1,main!$A$3:$H$102,5,FALSE)-VLOOKUP($A46,main!$A$3:$H$102,6,FALSE)&gt;=(VLOOKUP(VLOOKUP(BF$1,main!$A$3:$H$102,8,FALSE),main!$K$26:$M$29,2,FALSE)+VLOOKUP(VLOOKUP(BF$1,main!$A$3:$H$102,7,FALSE),main!$K$19:$O$22,MATCH(VLOOKUP($A46,main!$A$3:$H$102,8,FALSE),main!$K$18:$O$18,0))))),1,0)</f>
        <v>0</v>
      </c>
      <c r="BG46">
        <f>IF((AND(VLOOKUP(BG$1,main!$A$3:$H$102,5,FALSE)-VLOOKUP($A46,main!$A$3:$H$102,6,FALSE)&gt;=(VLOOKUP(VLOOKUP(BG$1,main!$A$3:$H$102,8,FALSE),main!$K$26:$M$29,2,FALSE)+VLOOKUP(VLOOKUP(BG$1,main!$A$3:$H$102,7,FALSE),main!$K$19:$O$22,MATCH(VLOOKUP($A46,main!$A$3:$H$102,8,FALSE),main!$K$18:$O$18,0))))),1,0)</f>
        <v>0</v>
      </c>
      <c r="BH46">
        <f>IF((AND(VLOOKUP(BH$1,main!$A$3:$H$102,5,FALSE)-VLOOKUP($A46,main!$A$3:$H$102,6,FALSE)&gt;=(VLOOKUP(VLOOKUP(BH$1,main!$A$3:$H$102,8,FALSE),main!$K$26:$M$29,2,FALSE)+VLOOKUP(VLOOKUP(BH$1,main!$A$3:$H$102,7,FALSE),main!$K$19:$O$22,MATCH(VLOOKUP($A46,main!$A$3:$H$102,8,FALSE),main!$K$18:$O$18,0))))),1,0)</f>
        <v>0</v>
      </c>
      <c r="BI46">
        <f>IF((AND(VLOOKUP(BI$1,main!$A$3:$H$102,5,FALSE)-VLOOKUP($A46,main!$A$3:$H$102,6,FALSE)&gt;=(VLOOKUP(VLOOKUP(BI$1,main!$A$3:$H$102,8,FALSE),main!$K$26:$M$29,2,FALSE)+VLOOKUP(VLOOKUP(BI$1,main!$A$3:$H$102,7,FALSE),main!$K$19:$O$22,MATCH(VLOOKUP($A46,main!$A$3:$H$102,8,FALSE),main!$K$18:$O$18,0))))),1,0)</f>
        <v>1</v>
      </c>
      <c r="BJ46">
        <f>IF((AND(VLOOKUP(BJ$1,main!$A$3:$H$102,5,FALSE)-VLOOKUP($A46,main!$A$3:$H$102,6,FALSE)&gt;=(VLOOKUP(VLOOKUP(BJ$1,main!$A$3:$H$102,8,FALSE),main!$K$26:$M$29,2,FALSE)+VLOOKUP(VLOOKUP(BJ$1,main!$A$3:$H$102,7,FALSE),main!$K$19:$O$22,MATCH(VLOOKUP($A46,main!$A$3:$H$102,8,FALSE),main!$K$18:$O$18,0))))),1,0)</f>
        <v>0</v>
      </c>
      <c r="BK46">
        <f>IF((AND(VLOOKUP(BK$1,main!$A$3:$H$102,5,FALSE)-VLOOKUP($A46,main!$A$3:$H$102,6,FALSE)&gt;=(VLOOKUP(VLOOKUP(BK$1,main!$A$3:$H$102,8,FALSE),main!$K$26:$M$29,2,FALSE)+VLOOKUP(VLOOKUP(BK$1,main!$A$3:$H$102,7,FALSE),main!$K$19:$O$22,MATCH(VLOOKUP($A46,main!$A$3:$H$102,8,FALSE),main!$K$18:$O$18,0))))),1,0)</f>
        <v>0</v>
      </c>
      <c r="BL46">
        <f>IF((AND(VLOOKUP(BL$1,main!$A$3:$H$102,5,FALSE)-VLOOKUP($A46,main!$A$3:$H$102,6,FALSE)&gt;=(VLOOKUP(VLOOKUP(BL$1,main!$A$3:$H$102,8,FALSE),main!$K$26:$M$29,2,FALSE)+VLOOKUP(VLOOKUP(BL$1,main!$A$3:$H$102,7,FALSE),main!$K$19:$O$22,MATCH(VLOOKUP($A46,main!$A$3:$H$102,8,FALSE),main!$K$18:$O$18,0))))),1,0)</f>
        <v>0</v>
      </c>
      <c r="BM46">
        <f>IF((AND(VLOOKUP(BM$1,main!$A$3:$H$102,5,FALSE)-VLOOKUP($A46,main!$A$3:$H$102,6,FALSE)&gt;=(VLOOKUP(VLOOKUP(BM$1,main!$A$3:$H$102,8,FALSE),main!$K$26:$M$29,2,FALSE)+VLOOKUP(VLOOKUP(BM$1,main!$A$3:$H$102,7,FALSE),main!$K$19:$O$22,MATCH(VLOOKUP($A46,main!$A$3:$H$102,8,FALSE),main!$K$18:$O$18,0))))),1,0)</f>
        <v>0</v>
      </c>
      <c r="BN46">
        <f>IF((AND(VLOOKUP(BN$1,main!$A$3:$H$102,5,FALSE)-VLOOKUP($A46,main!$A$3:$H$102,6,FALSE)&gt;=(VLOOKUP(VLOOKUP(BN$1,main!$A$3:$H$102,8,FALSE),main!$K$26:$M$29,2,FALSE)+VLOOKUP(VLOOKUP(BN$1,main!$A$3:$H$102,7,FALSE),main!$K$19:$O$22,MATCH(VLOOKUP($A46,main!$A$3:$H$102,8,FALSE),main!$K$18:$O$18,0))))),1,0)</f>
        <v>0</v>
      </c>
      <c r="BO46">
        <f>IF((AND(VLOOKUP(BO$1,main!$A$3:$H$102,5,FALSE)-VLOOKUP($A46,main!$A$3:$H$102,6,FALSE)&gt;=(VLOOKUP(VLOOKUP(BO$1,main!$A$3:$H$102,8,FALSE),main!$K$26:$M$29,2,FALSE)+VLOOKUP(VLOOKUP(BO$1,main!$A$3:$H$102,7,FALSE),main!$K$19:$O$22,MATCH(VLOOKUP($A46,main!$A$3:$H$102,8,FALSE),main!$K$18:$O$18,0))))),1,0)</f>
        <v>0</v>
      </c>
      <c r="BP46">
        <f>IF((AND(VLOOKUP(BP$1,main!$A$3:$H$102,5,FALSE)-VLOOKUP($A46,main!$A$3:$H$102,6,FALSE)&gt;=(VLOOKUP(VLOOKUP(BP$1,main!$A$3:$H$102,8,FALSE),main!$K$26:$M$29,2,FALSE)+VLOOKUP(VLOOKUP(BP$1,main!$A$3:$H$102,7,FALSE),main!$K$19:$O$22,MATCH(VLOOKUP($A46,main!$A$3:$H$102,8,FALSE),main!$K$18:$O$18,0))))),1,0)</f>
        <v>0</v>
      </c>
      <c r="BQ46">
        <f>IF((AND(VLOOKUP(BQ$1,main!$A$3:$H$102,5,FALSE)-VLOOKUP($A46,main!$A$3:$H$102,6,FALSE)&gt;=(VLOOKUP(VLOOKUP(BQ$1,main!$A$3:$H$102,8,FALSE),main!$K$26:$M$29,2,FALSE)+VLOOKUP(VLOOKUP(BQ$1,main!$A$3:$H$102,7,FALSE),main!$K$19:$O$22,MATCH(VLOOKUP($A46,main!$A$3:$H$102,8,FALSE),main!$K$18:$O$18,0))))),1,0)</f>
        <v>0</v>
      </c>
      <c r="BR46">
        <f>IF((AND(VLOOKUP(BR$1,main!$A$3:$H$102,5,FALSE)-VLOOKUP($A46,main!$A$3:$H$102,6,FALSE)&gt;=(VLOOKUP(VLOOKUP(BR$1,main!$A$3:$H$102,8,FALSE),main!$K$26:$M$29,2,FALSE)+VLOOKUP(VLOOKUP(BR$1,main!$A$3:$H$102,7,FALSE),main!$K$19:$O$22,MATCH(VLOOKUP($A46,main!$A$3:$H$102,8,FALSE),main!$K$18:$O$18,0))))),1,0)</f>
        <v>0</v>
      </c>
      <c r="BS46">
        <f>IF((AND(VLOOKUP(BS$1,main!$A$3:$H$102,5,FALSE)-VLOOKUP($A46,main!$A$3:$H$102,6,FALSE)&gt;=(VLOOKUP(VLOOKUP(BS$1,main!$A$3:$H$102,8,FALSE),main!$K$26:$M$29,2,FALSE)+VLOOKUP(VLOOKUP(BS$1,main!$A$3:$H$102,7,FALSE),main!$K$19:$O$22,MATCH(VLOOKUP($A46,main!$A$3:$H$102,8,FALSE),main!$K$18:$O$18,0))))),1,0)</f>
        <v>0</v>
      </c>
      <c r="BT46">
        <f>IF((AND(VLOOKUP(BT$1,main!$A$3:$H$102,5,FALSE)-VLOOKUP($A46,main!$A$3:$H$102,6,FALSE)&gt;=(VLOOKUP(VLOOKUP(BT$1,main!$A$3:$H$102,8,FALSE),main!$K$26:$M$29,2,FALSE)+VLOOKUP(VLOOKUP(BT$1,main!$A$3:$H$102,7,FALSE),main!$K$19:$O$22,MATCH(VLOOKUP($A46,main!$A$3:$H$102,8,FALSE),main!$K$18:$O$18,0))))),1,0)</f>
        <v>0</v>
      </c>
      <c r="BU46">
        <f>IF((AND(VLOOKUP(BU$1,main!$A$3:$H$102,5,FALSE)-VLOOKUP($A46,main!$A$3:$H$102,6,FALSE)&gt;=(VLOOKUP(VLOOKUP(BU$1,main!$A$3:$H$102,8,FALSE),main!$K$26:$M$29,2,FALSE)+VLOOKUP(VLOOKUP(BU$1,main!$A$3:$H$102,7,FALSE),main!$K$19:$O$22,MATCH(VLOOKUP($A46,main!$A$3:$H$102,8,FALSE),main!$K$18:$O$18,0))))),1,0)</f>
        <v>0</v>
      </c>
      <c r="BV46">
        <f>IF((AND(VLOOKUP(BV$1,main!$A$3:$H$102,5,FALSE)-VLOOKUP($A46,main!$A$3:$H$102,6,FALSE)&gt;=(VLOOKUP(VLOOKUP(BV$1,main!$A$3:$H$102,8,FALSE),main!$K$26:$M$29,2,FALSE)+VLOOKUP(VLOOKUP(BV$1,main!$A$3:$H$102,7,FALSE),main!$K$19:$O$22,MATCH(VLOOKUP($A46,main!$A$3:$H$102,8,FALSE),main!$K$18:$O$18,0))))),1,0)</f>
        <v>0</v>
      </c>
      <c r="BW46">
        <f>IF((AND(VLOOKUP(BW$1,main!$A$3:$H$102,5,FALSE)-VLOOKUP($A46,main!$A$3:$H$102,6,FALSE)&gt;=(VLOOKUP(VLOOKUP(BW$1,main!$A$3:$H$102,8,FALSE),main!$K$26:$M$29,2,FALSE)+VLOOKUP(VLOOKUP(BW$1,main!$A$3:$H$102,7,FALSE),main!$K$19:$O$22,MATCH(VLOOKUP($A46,main!$A$3:$H$102,8,FALSE),main!$K$18:$O$18,0))))),1,0)</f>
        <v>0</v>
      </c>
      <c r="BX46">
        <f>IF((AND(VLOOKUP(BX$1,main!$A$3:$H$102,5,FALSE)-VLOOKUP($A46,main!$A$3:$H$102,6,FALSE)&gt;=(VLOOKUP(VLOOKUP(BX$1,main!$A$3:$H$102,8,FALSE),main!$K$26:$M$29,2,FALSE)+VLOOKUP(VLOOKUP(BX$1,main!$A$3:$H$102,7,FALSE),main!$K$19:$O$22,MATCH(VLOOKUP($A46,main!$A$3:$H$102,8,FALSE),main!$K$18:$O$18,0))))),1,0)</f>
        <v>0</v>
      </c>
      <c r="BY46">
        <f>IF((AND(VLOOKUP(BY$1,main!$A$3:$H$102,5,FALSE)-VLOOKUP($A46,main!$A$3:$H$102,6,FALSE)&gt;=(VLOOKUP(VLOOKUP(BY$1,main!$A$3:$H$102,8,FALSE),main!$K$26:$M$29,2,FALSE)+VLOOKUP(VLOOKUP(BY$1,main!$A$3:$H$102,7,FALSE),main!$K$19:$O$22,MATCH(VLOOKUP($A46,main!$A$3:$H$102,8,FALSE),main!$K$18:$O$18,0))))),1,0)</f>
        <v>0</v>
      </c>
      <c r="BZ46">
        <f>IF((AND(VLOOKUP(BZ$1,main!$A$3:$H$102,5,FALSE)-VLOOKUP($A46,main!$A$3:$H$102,6,FALSE)&gt;=(VLOOKUP(VLOOKUP(BZ$1,main!$A$3:$H$102,8,FALSE),main!$K$26:$M$29,2,FALSE)+VLOOKUP(VLOOKUP(BZ$1,main!$A$3:$H$102,7,FALSE),main!$K$19:$O$22,MATCH(VLOOKUP($A46,main!$A$3:$H$102,8,FALSE),main!$K$18:$O$18,0))))),1,0)</f>
        <v>0</v>
      </c>
      <c r="CA46">
        <f>IF((AND(VLOOKUP(CA$1,main!$A$3:$H$102,5,FALSE)-VLOOKUP($A46,main!$A$3:$H$102,6,FALSE)&gt;=(VLOOKUP(VLOOKUP(CA$1,main!$A$3:$H$102,8,FALSE),main!$K$26:$M$29,2,FALSE)+VLOOKUP(VLOOKUP(CA$1,main!$A$3:$H$102,7,FALSE),main!$K$19:$O$22,MATCH(VLOOKUP($A46,main!$A$3:$H$102,8,FALSE),main!$K$18:$O$18,0))))),1,0)</f>
        <v>0</v>
      </c>
      <c r="CB46">
        <f>IF((AND(VLOOKUP(CB$1,main!$A$3:$H$102,5,FALSE)-VLOOKUP($A46,main!$A$3:$H$102,6,FALSE)&gt;=(VLOOKUP(VLOOKUP(CB$1,main!$A$3:$H$102,8,FALSE),main!$K$26:$M$29,2,FALSE)+VLOOKUP(VLOOKUP(CB$1,main!$A$3:$H$102,7,FALSE),main!$K$19:$O$22,MATCH(VLOOKUP($A46,main!$A$3:$H$102,8,FALSE),main!$K$18:$O$18,0))))),1,0)</f>
        <v>0</v>
      </c>
      <c r="CC46">
        <f>IF((AND(VLOOKUP(CC$1,main!$A$3:$H$102,5,FALSE)-VLOOKUP($A46,main!$A$3:$H$102,6,FALSE)&gt;=(VLOOKUP(VLOOKUP(CC$1,main!$A$3:$H$102,8,FALSE),main!$K$26:$M$29,2,FALSE)+VLOOKUP(VLOOKUP(CC$1,main!$A$3:$H$102,7,FALSE),main!$K$19:$O$22,MATCH(VLOOKUP($A46,main!$A$3:$H$102,8,FALSE),main!$K$18:$O$18,0))))),1,0)</f>
        <v>0</v>
      </c>
      <c r="CD46">
        <f>IF((AND(VLOOKUP(CD$1,main!$A$3:$H$102,5,FALSE)-VLOOKUP($A46,main!$A$3:$H$102,6,FALSE)&gt;=(VLOOKUP(VLOOKUP(CD$1,main!$A$3:$H$102,8,FALSE),main!$K$26:$M$29,2,FALSE)+VLOOKUP(VLOOKUP(CD$1,main!$A$3:$H$102,7,FALSE),main!$K$19:$O$22,MATCH(VLOOKUP($A46,main!$A$3:$H$102,8,FALSE),main!$K$18:$O$18,0))))),1,0)</f>
        <v>0</v>
      </c>
      <c r="CE46">
        <f>IF((AND(VLOOKUP(CE$1,main!$A$3:$H$102,5,FALSE)-VLOOKUP($A46,main!$A$3:$H$102,6,FALSE)&gt;=(VLOOKUP(VLOOKUP(CE$1,main!$A$3:$H$102,8,FALSE),main!$K$26:$M$29,2,FALSE)+VLOOKUP(VLOOKUP(CE$1,main!$A$3:$H$102,7,FALSE),main!$K$19:$O$22,MATCH(VLOOKUP($A46,main!$A$3:$H$102,8,FALSE),main!$K$18:$O$18,0))))),1,0)</f>
        <v>0</v>
      </c>
      <c r="CF46">
        <f>IF((AND(VLOOKUP(CF$1,main!$A$3:$H$102,5,FALSE)-VLOOKUP($A46,main!$A$3:$H$102,6,FALSE)&gt;=(VLOOKUP(VLOOKUP(CF$1,main!$A$3:$H$102,8,FALSE),main!$K$26:$M$29,2,FALSE)+VLOOKUP(VLOOKUP(CF$1,main!$A$3:$H$102,7,FALSE),main!$K$19:$O$22,MATCH(VLOOKUP($A46,main!$A$3:$H$102,8,FALSE),main!$K$18:$O$18,0))))),1,0)</f>
        <v>0</v>
      </c>
      <c r="CG46">
        <f>IF((AND(VLOOKUP(CG$1,main!$A$3:$H$102,5,FALSE)-VLOOKUP($A46,main!$A$3:$H$102,6,FALSE)&gt;=(VLOOKUP(VLOOKUP(CG$1,main!$A$3:$H$102,8,FALSE),main!$K$26:$M$29,2,FALSE)+VLOOKUP(VLOOKUP(CG$1,main!$A$3:$H$102,7,FALSE),main!$K$19:$O$22,MATCH(VLOOKUP($A46,main!$A$3:$H$102,8,FALSE),main!$K$18:$O$18,0))))),1,0)</f>
        <v>0</v>
      </c>
      <c r="CH46">
        <f>IF((AND(VLOOKUP(CH$1,main!$A$3:$H$102,5,FALSE)-VLOOKUP($A46,main!$A$3:$H$102,6,FALSE)&gt;=(VLOOKUP(VLOOKUP(CH$1,main!$A$3:$H$102,8,FALSE),main!$K$26:$M$29,2,FALSE)+VLOOKUP(VLOOKUP(CH$1,main!$A$3:$H$102,7,FALSE),main!$K$19:$O$22,MATCH(VLOOKUP($A46,main!$A$3:$H$102,8,FALSE),main!$K$18:$O$18,0))))),1,0)</f>
        <v>0</v>
      </c>
      <c r="CI46">
        <f>IF((AND(VLOOKUP(CI$1,main!$A$3:$H$102,5,FALSE)-VLOOKUP($A46,main!$A$3:$H$102,6,FALSE)&gt;=(VLOOKUP(VLOOKUP(CI$1,main!$A$3:$H$102,8,FALSE),main!$K$26:$M$29,2,FALSE)+VLOOKUP(VLOOKUP(CI$1,main!$A$3:$H$102,7,FALSE),main!$K$19:$O$22,MATCH(VLOOKUP($A46,main!$A$3:$H$102,8,FALSE),main!$K$18:$O$18,0))))),1,0)</f>
        <v>1</v>
      </c>
      <c r="CJ46">
        <f>IF((AND(VLOOKUP(CJ$1,main!$A$3:$H$102,5,FALSE)-VLOOKUP($A46,main!$A$3:$H$102,6,FALSE)&gt;=(VLOOKUP(VLOOKUP(CJ$1,main!$A$3:$H$102,8,FALSE),main!$K$26:$M$29,2,FALSE)+VLOOKUP(VLOOKUP(CJ$1,main!$A$3:$H$102,7,FALSE),main!$K$19:$O$22,MATCH(VLOOKUP($A46,main!$A$3:$H$102,8,FALSE),main!$K$18:$O$18,0))))),1,0)</f>
        <v>0</v>
      </c>
      <c r="CK46">
        <f>IF((AND(VLOOKUP(CK$1,main!$A$3:$H$102,5,FALSE)-VLOOKUP($A46,main!$A$3:$H$102,6,FALSE)&gt;=(VLOOKUP(VLOOKUP(CK$1,main!$A$3:$H$102,8,FALSE),main!$K$26:$M$29,2,FALSE)+VLOOKUP(VLOOKUP(CK$1,main!$A$3:$H$102,7,FALSE),main!$K$19:$O$22,MATCH(VLOOKUP($A46,main!$A$3:$H$102,8,FALSE),main!$K$18:$O$18,0))))),1,0)</f>
        <v>0</v>
      </c>
      <c r="CL46">
        <f>IF((AND(VLOOKUP(CL$1,main!$A$3:$H$102,5,FALSE)-VLOOKUP($A46,main!$A$3:$H$102,6,FALSE)&gt;=(VLOOKUP(VLOOKUP(CL$1,main!$A$3:$H$102,8,FALSE),main!$K$26:$M$29,2,FALSE)+VLOOKUP(VLOOKUP(CL$1,main!$A$3:$H$102,7,FALSE),main!$K$19:$O$22,MATCH(VLOOKUP($A46,main!$A$3:$H$102,8,FALSE),main!$K$18:$O$18,0))))),1,0)</f>
        <v>0</v>
      </c>
      <c r="CM46">
        <f>IF((AND(VLOOKUP(CM$1,main!$A$3:$H$102,5,FALSE)-VLOOKUP($A46,main!$A$3:$H$102,6,FALSE)&gt;=(VLOOKUP(VLOOKUP(CM$1,main!$A$3:$H$102,8,FALSE),main!$K$26:$M$29,2,FALSE)+VLOOKUP(VLOOKUP(CM$1,main!$A$3:$H$102,7,FALSE),main!$K$19:$O$22,MATCH(VLOOKUP($A46,main!$A$3:$H$102,8,FALSE),main!$K$18:$O$18,0))))),1,0)</f>
        <v>0</v>
      </c>
      <c r="CN46">
        <f>IF((AND(VLOOKUP(CN$1,main!$A$3:$H$102,5,FALSE)-VLOOKUP($A46,main!$A$3:$H$102,6,FALSE)&gt;=(VLOOKUP(VLOOKUP(CN$1,main!$A$3:$H$102,8,FALSE),main!$K$26:$M$29,2,FALSE)+VLOOKUP(VLOOKUP(CN$1,main!$A$3:$H$102,7,FALSE),main!$K$19:$O$22,MATCH(VLOOKUP($A46,main!$A$3:$H$102,8,FALSE),main!$K$18:$O$18,0))))),1,0)</f>
        <v>1</v>
      </c>
      <c r="CO46">
        <f>IF((AND(VLOOKUP(CO$1,main!$A$3:$H$102,5,FALSE)-VLOOKUP($A46,main!$A$3:$H$102,6,FALSE)&gt;=(VLOOKUP(VLOOKUP(CO$1,main!$A$3:$H$102,8,FALSE),main!$K$26:$M$29,2,FALSE)+VLOOKUP(VLOOKUP(CO$1,main!$A$3:$H$102,7,FALSE),main!$K$19:$O$22,MATCH(VLOOKUP($A46,main!$A$3:$H$102,8,FALSE),main!$K$18:$O$18,0))))),1,0)</f>
        <v>0</v>
      </c>
      <c r="CP46">
        <f>IF((AND(VLOOKUP(CP$1,main!$A$3:$H$102,5,FALSE)-VLOOKUP($A46,main!$A$3:$H$102,6,FALSE)&gt;=(VLOOKUP(VLOOKUP(CP$1,main!$A$3:$H$102,8,FALSE),main!$K$26:$M$29,2,FALSE)+VLOOKUP(VLOOKUP(CP$1,main!$A$3:$H$102,7,FALSE),main!$K$19:$O$22,MATCH(VLOOKUP($A46,main!$A$3:$H$102,8,FALSE),main!$K$18:$O$18,0))))),1,0)</f>
        <v>0</v>
      </c>
      <c r="CQ46">
        <f>IF((AND(VLOOKUP(CQ$1,main!$A$3:$H$102,5,FALSE)-VLOOKUP($A46,main!$A$3:$H$102,6,FALSE)&gt;=(VLOOKUP(VLOOKUP(CQ$1,main!$A$3:$H$102,8,FALSE),main!$K$26:$M$29,2,FALSE)+VLOOKUP(VLOOKUP(CQ$1,main!$A$3:$H$102,7,FALSE),main!$K$19:$O$22,MATCH(VLOOKUP($A46,main!$A$3:$H$102,8,FALSE),main!$K$18:$O$18,0))))),1,0)</f>
        <v>0</v>
      </c>
      <c r="CR46">
        <f>IF((AND(VLOOKUP(CR$1,main!$A$3:$H$102,5,FALSE)-VLOOKUP($A46,main!$A$3:$H$102,6,FALSE)&gt;=(VLOOKUP(VLOOKUP(CR$1,main!$A$3:$H$102,8,FALSE),main!$K$26:$M$29,2,FALSE)+VLOOKUP(VLOOKUP(CR$1,main!$A$3:$H$102,7,FALSE),main!$K$19:$O$22,MATCH(VLOOKUP($A46,main!$A$3:$H$102,8,FALSE),main!$K$18:$O$18,0))))),1,0)</f>
        <v>0</v>
      </c>
      <c r="CS46">
        <f>IF((AND(VLOOKUP(CS$1,main!$A$3:$H$102,5,FALSE)-VLOOKUP($A46,main!$A$3:$H$102,6,FALSE)&gt;=(VLOOKUP(VLOOKUP(CS$1,main!$A$3:$H$102,8,FALSE),main!$K$26:$M$29,2,FALSE)+VLOOKUP(VLOOKUP(CS$1,main!$A$3:$H$102,7,FALSE),main!$K$19:$O$22,MATCH(VLOOKUP($A46,main!$A$3:$H$102,8,FALSE),main!$K$18:$O$18,0))))),1,0)</f>
        <v>0</v>
      </c>
      <c r="CT46">
        <f>IF((AND(VLOOKUP(CT$1,main!$A$3:$H$102,5,FALSE)-VLOOKUP($A46,main!$A$3:$H$102,6,FALSE)&gt;=(VLOOKUP(VLOOKUP(CT$1,main!$A$3:$H$102,8,FALSE),main!$K$26:$M$29,2,FALSE)+VLOOKUP(VLOOKUP(CT$1,main!$A$3:$H$102,7,FALSE),main!$K$19:$O$22,MATCH(VLOOKUP($A46,main!$A$3:$H$102,8,FALSE),main!$K$18:$O$18,0))))),1,0)</f>
        <v>0</v>
      </c>
      <c r="CU46">
        <f>IF((AND(VLOOKUP(CU$1,main!$A$3:$H$102,5,FALSE)-VLOOKUP($A46,main!$A$3:$H$102,6,FALSE)&gt;=(VLOOKUP(VLOOKUP(CU$1,main!$A$3:$H$102,8,FALSE),main!$K$26:$M$29,2,FALSE)+VLOOKUP(VLOOKUP(CU$1,main!$A$3:$H$102,7,FALSE),main!$K$19:$O$22,MATCH(VLOOKUP($A46,main!$A$3:$H$102,8,FALSE),main!$K$18:$O$18,0))))),1,0)</f>
        <v>0</v>
      </c>
      <c r="CV46">
        <f>IF((AND(VLOOKUP(CV$1,main!$A$3:$H$102,5,FALSE)-VLOOKUP($A46,main!$A$3:$H$102,6,FALSE)&gt;=(VLOOKUP(VLOOKUP(CV$1,main!$A$3:$H$102,8,FALSE),main!$K$26:$M$29,2,FALSE)+VLOOKUP(VLOOKUP(CV$1,main!$A$3:$H$102,7,FALSE),main!$K$19:$O$22,MATCH(VLOOKUP($A46,main!$A$3:$H$102,8,FALSE),main!$K$18:$O$18,0))))),1,0)</f>
        <v>0</v>
      </c>
      <c r="CW46">
        <f>IF((AND(VLOOKUP(CW$1,main!$A$3:$H$102,5,FALSE)-VLOOKUP($A46,main!$A$3:$H$102,6,FALSE)&gt;=(VLOOKUP(VLOOKUP(CW$1,main!$A$3:$H$102,8,FALSE),main!$K$26:$M$29,2,FALSE)+VLOOKUP(VLOOKUP(CW$1,main!$A$3:$H$102,7,FALSE),main!$K$19:$O$22,MATCH(VLOOKUP($A46,main!$A$3:$H$102,8,FALSE),main!$K$18:$O$18,0))))),1,0)</f>
        <v>0</v>
      </c>
      <c r="CX46">
        <f>IF((AND(VLOOKUP(CX$1,main!$A$3:$H$102,5,FALSE)-VLOOKUP($A46,main!$A$3:$H$102,6,FALSE)&gt;=(VLOOKUP(VLOOKUP(CX$1,main!$A$3:$H$102,8,FALSE),main!$K$26:$M$29,2,FALSE)+VLOOKUP(VLOOKUP(CX$1,main!$A$3:$H$102,7,FALSE),main!$K$19:$O$22,MATCH(VLOOKUP($A46,main!$A$3:$H$102,8,FALSE),main!$K$18:$O$18,0))))),1,0)</f>
        <v>0</v>
      </c>
    </row>
    <row r="47" spans="1:102" x14ac:dyDescent="0.25">
      <c r="A47" s="1">
        <v>45</v>
      </c>
      <c r="B47">
        <v>1</v>
      </c>
      <c r="C47">
        <f>IF((AND(VLOOKUP(C$1,main!$A$3:$H$102,5,FALSE)-VLOOKUP($A47,main!$A$3:$H$102,6,FALSE)&gt;=(VLOOKUP(VLOOKUP(C$1,main!$A$3:$H$102,8,FALSE),main!$K$26:$M$29,2,FALSE)+VLOOKUP(VLOOKUP(C$1,main!$A$3:$H$102,7,FALSE),main!$K$19:$O$22,MATCH(VLOOKUP($A47,main!$A$3:$H$102,8,FALSE),main!$K$18:$O$18,0))))),1,0)</f>
        <v>0</v>
      </c>
      <c r="D47">
        <f>IF((AND(VLOOKUP(D$1,main!$A$3:$H$102,5,FALSE)-VLOOKUP($A47,main!$A$3:$H$102,6,FALSE)&gt;=(VLOOKUP(VLOOKUP(D$1,main!$A$3:$H$102,8,FALSE),main!$K$26:$M$29,2,FALSE)+VLOOKUP(VLOOKUP(D$1,main!$A$3:$H$102,7,FALSE),main!$K$19:$O$22,MATCH(VLOOKUP($A47,main!$A$3:$H$102,8,FALSE),main!$K$18:$O$18,0))))),1,0)</f>
        <v>0</v>
      </c>
      <c r="E47">
        <f>IF((AND(VLOOKUP(E$1,main!$A$3:$H$102,5,FALSE)-VLOOKUP($A47,main!$A$3:$H$102,6,FALSE)&gt;=(VLOOKUP(VLOOKUP(E$1,main!$A$3:$H$102,8,FALSE),main!$K$26:$M$29,2,FALSE)+VLOOKUP(VLOOKUP(E$1,main!$A$3:$H$102,7,FALSE),main!$K$19:$O$22,MATCH(VLOOKUP($A47,main!$A$3:$H$102,8,FALSE),main!$K$18:$O$18,0))))),1,0)</f>
        <v>1</v>
      </c>
      <c r="F47">
        <f>IF((AND(VLOOKUP(F$1,main!$A$3:$H$102,5,FALSE)-VLOOKUP($A47,main!$A$3:$H$102,6,FALSE)&gt;=(VLOOKUP(VLOOKUP(F$1,main!$A$3:$H$102,8,FALSE),main!$K$26:$M$29,2,FALSE)+VLOOKUP(VLOOKUP(F$1,main!$A$3:$H$102,7,FALSE),main!$K$19:$O$22,MATCH(VLOOKUP($A47,main!$A$3:$H$102,8,FALSE),main!$K$18:$O$18,0))))),1,0)</f>
        <v>1</v>
      </c>
      <c r="G47">
        <f>IF((AND(VLOOKUP(G$1,main!$A$3:$H$102,5,FALSE)-VLOOKUP($A47,main!$A$3:$H$102,6,FALSE)&gt;=(VLOOKUP(VLOOKUP(G$1,main!$A$3:$H$102,8,FALSE),main!$K$26:$M$29,2,FALSE)+VLOOKUP(VLOOKUP(G$1,main!$A$3:$H$102,7,FALSE),main!$K$19:$O$22,MATCH(VLOOKUP($A47,main!$A$3:$H$102,8,FALSE),main!$K$18:$O$18,0))))),1,0)</f>
        <v>1</v>
      </c>
      <c r="H47">
        <f>IF((AND(VLOOKUP(H$1,main!$A$3:$H$102,5,FALSE)-VLOOKUP($A47,main!$A$3:$H$102,6,FALSE)&gt;=(VLOOKUP(VLOOKUP(H$1,main!$A$3:$H$102,8,FALSE),main!$K$26:$M$29,2,FALSE)+VLOOKUP(VLOOKUP(H$1,main!$A$3:$H$102,7,FALSE),main!$K$19:$O$22,MATCH(VLOOKUP($A47,main!$A$3:$H$102,8,FALSE),main!$K$18:$O$18,0))))),1,0)</f>
        <v>1</v>
      </c>
      <c r="I47">
        <f>IF((AND(VLOOKUP(I$1,main!$A$3:$H$102,5,FALSE)-VLOOKUP($A47,main!$A$3:$H$102,6,FALSE)&gt;=(VLOOKUP(VLOOKUP(I$1,main!$A$3:$H$102,8,FALSE),main!$K$26:$M$29,2,FALSE)+VLOOKUP(VLOOKUP(I$1,main!$A$3:$H$102,7,FALSE),main!$K$19:$O$22,MATCH(VLOOKUP($A47,main!$A$3:$H$102,8,FALSE),main!$K$18:$O$18,0))))),1,0)</f>
        <v>1</v>
      </c>
      <c r="J47">
        <f>IF((AND(VLOOKUP(J$1,main!$A$3:$H$102,5,FALSE)-VLOOKUP($A47,main!$A$3:$H$102,6,FALSE)&gt;=(VLOOKUP(VLOOKUP(J$1,main!$A$3:$H$102,8,FALSE),main!$K$26:$M$29,2,FALSE)+VLOOKUP(VLOOKUP(J$1,main!$A$3:$H$102,7,FALSE),main!$K$19:$O$22,MATCH(VLOOKUP($A47,main!$A$3:$H$102,8,FALSE),main!$K$18:$O$18,0))))),1,0)</f>
        <v>1</v>
      </c>
      <c r="K47">
        <f>IF((AND(VLOOKUP(K$1,main!$A$3:$H$102,5,FALSE)-VLOOKUP($A47,main!$A$3:$H$102,6,FALSE)&gt;=(VLOOKUP(VLOOKUP(K$1,main!$A$3:$H$102,8,FALSE),main!$K$26:$M$29,2,FALSE)+VLOOKUP(VLOOKUP(K$1,main!$A$3:$H$102,7,FALSE),main!$K$19:$O$22,MATCH(VLOOKUP($A47,main!$A$3:$H$102,8,FALSE),main!$K$18:$O$18,0))))),1,0)</f>
        <v>1</v>
      </c>
      <c r="L47">
        <f>IF((AND(VLOOKUP(L$1,main!$A$3:$H$102,5,FALSE)-VLOOKUP($A47,main!$A$3:$H$102,6,FALSE)&gt;=(VLOOKUP(VLOOKUP(L$1,main!$A$3:$H$102,8,FALSE),main!$K$26:$M$29,2,FALSE)+VLOOKUP(VLOOKUP(L$1,main!$A$3:$H$102,7,FALSE),main!$K$19:$O$22,MATCH(VLOOKUP($A47,main!$A$3:$H$102,8,FALSE),main!$K$18:$O$18,0))))),1,0)</f>
        <v>1</v>
      </c>
      <c r="M47">
        <f>IF((AND(VLOOKUP(M$1,main!$A$3:$H$102,5,FALSE)-VLOOKUP($A47,main!$A$3:$H$102,6,FALSE)&gt;=(VLOOKUP(VLOOKUP(M$1,main!$A$3:$H$102,8,FALSE),main!$K$26:$M$29,2,FALSE)+VLOOKUP(VLOOKUP(M$1,main!$A$3:$H$102,7,FALSE),main!$K$19:$O$22,MATCH(VLOOKUP($A47,main!$A$3:$H$102,8,FALSE),main!$K$18:$O$18,0))))),1,0)</f>
        <v>0</v>
      </c>
      <c r="N47">
        <f>IF((AND(VLOOKUP(N$1,main!$A$3:$H$102,5,FALSE)-VLOOKUP($A47,main!$A$3:$H$102,6,FALSE)&gt;=(VLOOKUP(VLOOKUP(N$1,main!$A$3:$H$102,8,FALSE),main!$K$26:$M$29,2,FALSE)+VLOOKUP(VLOOKUP(N$1,main!$A$3:$H$102,7,FALSE),main!$K$19:$O$22,MATCH(VLOOKUP($A47,main!$A$3:$H$102,8,FALSE),main!$K$18:$O$18,0))))),1,0)</f>
        <v>1</v>
      </c>
      <c r="O47">
        <f>IF((AND(VLOOKUP(O$1,main!$A$3:$H$102,5,FALSE)-VLOOKUP($A47,main!$A$3:$H$102,6,FALSE)&gt;=(VLOOKUP(VLOOKUP(O$1,main!$A$3:$H$102,8,FALSE),main!$K$26:$M$29,2,FALSE)+VLOOKUP(VLOOKUP(O$1,main!$A$3:$H$102,7,FALSE),main!$K$19:$O$22,MATCH(VLOOKUP($A47,main!$A$3:$H$102,8,FALSE),main!$K$18:$O$18,0))))),1,0)</f>
        <v>1</v>
      </c>
      <c r="P47">
        <f>IF((AND(VLOOKUP(P$1,main!$A$3:$H$102,5,FALSE)-VLOOKUP($A47,main!$A$3:$H$102,6,FALSE)&gt;=(VLOOKUP(VLOOKUP(P$1,main!$A$3:$H$102,8,FALSE),main!$K$26:$M$29,2,FALSE)+VLOOKUP(VLOOKUP(P$1,main!$A$3:$H$102,7,FALSE),main!$K$19:$O$22,MATCH(VLOOKUP($A47,main!$A$3:$H$102,8,FALSE),main!$K$18:$O$18,0))))),1,0)</f>
        <v>1</v>
      </c>
      <c r="Q47">
        <f>IF((AND(VLOOKUP(Q$1,main!$A$3:$H$102,5,FALSE)-VLOOKUP($A47,main!$A$3:$H$102,6,FALSE)&gt;=(VLOOKUP(VLOOKUP(Q$1,main!$A$3:$H$102,8,FALSE),main!$K$26:$M$29,2,FALSE)+VLOOKUP(VLOOKUP(Q$1,main!$A$3:$H$102,7,FALSE),main!$K$19:$O$22,MATCH(VLOOKUP($A47,main!$A$3:$H$102,8,FALSE),main!$K$18:$O$18,0))))),1,0)</f>
        <v>1</v>
      </c>
      <c r="R47">
        <f>IF((AND(VLOOKUP(R$1,main!$A$3:$H$102,5,FALSE)-VLOOKUP($A47,main!$A$3:$H$102,6,FALSE)&gt;=(VLOOKUP(VLOOKUP(R$1,main!$A$3:$H$102,8,FALSE),main!$K$26:$M$29,2,FALSE)+VLOOKUP(VLOOKUP(R$1,main!$A$3:$H$102,7,FALSE),main!$K$19:$O$22,MATCH(VLOOKUP($A47,main!$A$3:$H$102,8,FALSE),main!$K$18:$O$18,0))))),1,0)</f>
        <v>1</v>
      </c>
      <c r="S47">
        <f>IF((AND(VLOOKUP(S$1,main!$A$3:$H$102,5,FALSE)-VLOOKUP($A47,main!$A$3:$H$102,6,FALSE)&gt;=(VLOOKUP(VLOOKUP(S$1,main!$A$3:$H$102,8,FALSE),main!$K$26:$M$29,2,FALSE)+VLOOKUP(VLOOKUP(S$1,main!$A$3:$H$102,7,FALSE),main!$K$19:$O$22,MATCH(VLOOKUP($A47,main!$A$3:$H$102,8,FALSE),main!$K$18:$O$18,0))))),1,0)</f>
        <v>1</v>
      </c>
      <c r="T47">
        <f>IF((AND(VLOOKUP(T$1,main!$A$3:$H$102,5,FALSE)-VLOOKUP($A47,main!$A$3:$H$102,6,FALSE)&gt;=(VLOOKUP(VLOOKUP(T$1,main!$A$3:$H$102,8,FALSE),main!$K$26:$M$29,2,FALSE)+VLOOKUP(VLOOKUP(T$1,main!$A$3:$H$102,7,FALSE),main!$K$19:$O$22,MATCH(VLOOKUP($A47,main!$A$3:$H$102,8,FALSE),main!$K$18:$O$18,0))))),1,0)</f>
        <v>1</v>
      </c>
      <c r="U47">
        <f>IF((AND(VLOOKUP(U$1,main!$A$3:$H$102,5,FALSE)-VLOOKUP($A47,main!$A$3:$H$102,6,FALSE)&gt;=(VLOOKUP(VLOOKUP(U$1,main!$A$3:$H$102,8,FALSE),main!$K$26:$M$29,2,FALSE)+VLOOKUP(VLOOKUP(U$1,main!$A$3:$H$102,7,FALSE),main!$K$19:$O$22,MATCH(VLOOKUP($A47,main!$A$3:$H$102,8,FALSE),main!$K$18:$O$18,0))))),1,0)</f>
        <v>1</v>
      </c>
      <c r="V47">
        <f>IF((AND(VLOOKUP(V$1,main!$A$3:$H$102,5,FALSE)-VLOOKUP($A47,main!$A$3:$H$102,6,FALSE)&gt;=(VLOOKUP(VLOOKUP(V$1,main!$A$3:$H$102,8,FALSE),main!$K$26:$M$29,2,FALSE)+VLOOKUP(VLOOKUP(V$1,main!$A$3:$H$102,7,FALSE),main!$K$19:$O$22,MATCH(VLOOKUP($A47,main!$A$3:$H$102,8,FALSE),main!$K$18:$O$18,0))))),1,0)</f>
        <v>1</v>
      </c>
      <c r="W47">
        <f>IF((AND(VLOOKUP(W$1,main!$A$3:$H$102,5,FALSE)-VLOOKUP($A47,main!$A$3:$H$102,6,FALSE)&gt;=(VLOOKUP(VLOOKUP(W$1,main!$A$3:$H$102,8,FALSE),main!$K$26:$M$29,2,FALSE)+VLOOKUP(VLOOKUP(W$1,main!$A$3:$H$102,7,FALSE),main!$K$19:$O$22,MATCH(VLOOKUP($A47,main!$A$3:$H$102,8,FALSE),main!$K$18:$O$18,0))))),1,0)</f>
        <v>0</v>
      </c>
      <c r="X47">
        <f>IF((AND(VLOOKUP(X$1,main!$A$3:$H$102,5,FALSE)-VLOOKUP($A47,main!$A$3:$H$102,6,FALSE)&gt;=(VLOOKUP(VLOOKUP(X$1,main!$A$3:$H$102,8,FALSE),main!$K$26:$M$29,2,FALSE)+VLOOKUP(VLOOKUP(X$1,main!$A$3:$H$102,7,FALSE),main!$K$19:$O$22,MATCH(VLOOKUP($A47,main!$A$3:$H$102,8,FALSE),main!$K$18:$O$18,0))))),1,0)</f>
        <v>1</v>
      </c>
      <c r="Y47">
        <f>IF((AND(VLOOKUP(Y$1,main!$A$3:$H$102,5,FALSE)-VLOOKUP($A47,main!$A$3:$H$102,6,FALSE)&gt;=(VLOOKUP(VLOOKUP(Y$1,main!$A$3:$H$102,8,FALSE),main!$K$26:$M$29,2,FALSE)+VLOOKUP(VLOOKUP(Y$1,main!$A$3:$H$102,7,FALSE),main!$K$19:$O$22,MATCH(VLOOKUP($A47,main!$A$3:$H$102,8,FALSE),main!$K$18:$O$18,0))))),1,0)</f>
        <v>1</v>
      </c>
      <c r="Z47">
        <f>IF((AND(VLOOKUP(Z$1,main!$A$3:$H$102,5,FALSE)-VLOOKUP($A47,main!$A$3:$H$102,6,FALSE)&gt;=(VLOOKUP(VLOOKUP(Z$1,main!$A$3:$H$102,8,FALSE),main!$K$26:$M$29,2,FALSE)+VLOOKUP(VLOOKUP(Z$1,main!$A$3:$H$102,7,FALSE),main!$K$19:$O$22,MATCH(VLOOKUP($A47,main!$A$3:$H$102,8,FALSE),main!$K$18:$O$18,0))))),1,0)</f>
        <v>1</v>
      </c>
      <c r="AA47">
        <f>IF((AND(VLOOKUP(AA$1,main!$A$3:$H$102,5,FALSE)-VLOOKUP($A47,main!$A$3:$H$102,6,FALSE)&gt;=(VLOOKUP(VLOOKUP(AA$1,main!$A$3:$H$102,8,FALSE),main!$K$26:$M$29,2,FALSE)+VLOOKUP(VLOOKUP(AA$1,main!$A$3:$H$102,7,FALSE),main!$K$19:$O$22,MATCH(VLOOKUP($A47,main!$A$3:$H$102,8,FALSE),main!$K$18:$O$18,0))))),1,0)</f>
        <v>1</v>
      </c>
      <c r="AB47">
        <f>IF((AND(VLOOKUP(AB$1,main!$A$3:$H$102,5,FALSE)-VLOOKUP($A47,main!$A$3:$H$102,6,FALSE)&gt;=(VLOOKUP(VLOOKUP(AB$1,main!$A$3:$H$102,8,FALSE),main!$K$26:$M$29,2,FALSE)+VLOOKUP(VLOOKUP(AB$1,main!$A$3:$H$102,7,FALSE),main!$K$19:$O$22,MATCH(VLOOKUP($A47,main!$A$3:$H$102,8,FALSE),main!$K$18:$O$18,0))))),1,0)</f>
        <v>0</v>
      </c>
      <c r="AC47">
        <f>IF((AND(VLOOKUP(AC$1,main!$A$3:$H$102,5,FALSE)-VLOOKUP($A47,main!$A$3:$H$102,6,FALSE)&gt;=(VLOOKUP(VLOOKUP(AC$1,main!$A$3:$H$102,8,FALSE),main!$K$26:$M$29,2,FALSE)+VLOOKUP(VLOOKUP(AC$1,main!$A$3:$H$102,7,FALSE),main!$K$19:$O$22,MATCH(VLOOKUP($A47,main!$A$3:$H$102,8,FALSE),main!$K$18:$O$18,0))))),1,0)</f>
        <v>0</v>
      </c>
      <c r="AD47">
        <f>IF((AND(VLOOKUP(AD$1,main!$A$3:$H$102,5,FALSE)-VLOOKUP($A47,main!$A$3:$H$102,6,FALSE)&gt;=(VLOOKUP(VLOOKUP(AD$1,main!$A$3:$H$102,8,FALSE),main!$K$26:$M$29,2,FALSE)+VLOOKUP(VLOOKUP(AD$1,main!$A$3:$H$102,7,FALSE),main!$K$19:$O$22,MATCH(VLOOKUP($A47,main!$A$3:$H$102,8,FALSE),main!$K$18:$O$18,0))))),1,0)</f>
        <v>1</v>
      </c>
      <c r="AE47">
        <f>IF((AND(VLOOKUP(AE$1,main!$A$3:$H$102,5,FALSE)-VLOOKUP($A47,main!$A$3:$H$102,6,FALSE)&gt;=(VLOOKUP(VLOOKUP(AE$1,main!$A$3:$H$102,8,FALSE),main!$K$26:$M$29,2,FALSE)+VLOOKUP(VLOOKUP(AE$1,main!$A$3:$H$102,7,FALSE),main!$K$19:$O$22,MATCH(VLOOKUP($A47,main!$A$3:$H$102,8,FALSE),main!$K$18:$O$18,0))))),1,0)</f>
        <v>1</v>
      </c>
      <c r="AF47">
        <f>IF((AND(VLOOKUP(AF$1,main!$A$3:$H$102,5,FALSE)-VLOOKUP($A47,main!$A$3:$H$102,6,FALSE)&gt;=(VLOOKUP(VLOOKUP(AF$1,main!$A$3:$H$102,8,FALSE),main!$K$26:$M$29,2,FALSE)+VLOOKUP(VLOOKUP(AF$1,main!$A$3:$H$102,7,FALSE),main!$K$19:$O$22,MATCH(VLOOKUP($A47,main!$A$3:$H$102,8,FALSE),main!$K$18:$O$18,0))))),1,0)</f>
        <v>1</v>
      </c>
      <c r="AG47">
        <f>IF((AND(VLOOKUP(AG$1,main!$A$3:$H$102,5,FALSE)-VLOOKUP($A47,main!$A$3:$H$102,6,FALSE)&gt;=(VLOOKUP(VLOOKUP(AG$1,main!$A$3:$H$102,8,FALSE),main!$K$26:$M$29,2,FALSE)+VLOOKUP(VLOOKUP(AG$1,main!$A$3:$H$102,7,FALSE),main!$K$19:$O$22,MATCH(VLOOKUP($A47,main!$A$3:$H$102,8,FALSE),main!$K$18:$O$18,0))))),1,0)</f>
        <v>0</v>
      </c>
      <c r="AH47">
        <f>IF((AND(VLOOKUP(AH$1,main!$A$3:$H$102,5,FALSE)-VLOOKUP($A47,main!$A$3:$H$102,6,FALSE)&gt;=(VLOOKUP(VLOOKUP(AH$1,main!$A$3:$H$102,8,FALSE),main!$K$26:$M$29,2,FALSE)+VLOOKUP(VLOOKUP(AH$1,main!$A$3:$H$102,7,FALSE),main!$K$19:$O$22,MATCH(VLOOKUP($A47,main!$A$3:$H$102,8,FALSE),main!$K$18:$O$18,0))))),1,0)</f>
        <v>1</v>
      </c>
      <c r="AI47">
        <f>IF((AND(VLOOKUP(AI$1,main!$A$3:$H$102,5,FALSE)-VLOOKUP($A47,main!$A$3:$H$102,6,FALSE)&gt;=(VLOOKUP(VLOOKUP(AI$1,main!$A$3:$H$102,8,FALSE),main!$K$26:$M$29,2,FALSE)+VLOOKUP(VLOOKUP(AI$1,main!$A$3:$H$102,7,FALSE),main!$K$19:$O$22,MATCH(VLOOKUP($A47,main!$A$3:$H$102,8,FALSE),main!$K$18:$O$18,0))))),1,0)</f>
        <v>1</v>
      </c>
      <c r="AJ47">
        <f>IF((AND(VLOOKUP(AJ$1,main!$A$3:$H$102,5,FALSE)-VLOOKUP($A47,main!$A$3:$H$102,6,FALSE)&gt;=(VLOOKUP(VLOOKUP(AJ$1,main!$A$3:$H$102,8,FALSE),main!$K$26:$M$29,2,FALSE)+VLOOKUP(VLOOKUP(AJ$1,main!$A$3:$H$102,7,FALSE),main!$K$19:$O$22,MATCH(VLOOKUP($A47,main!$A$3:$H$102,8,FALSE),main!$K$18:$O$18,0))))),1,0)</f>
        <v>1</v>
      </c>
      <c r="AK47">
        <f>IF((AND(VLOOKUP(AK$1,main!$A$3:$H$102,5,FALSE)-VLOOKUP($A47,main!$A$3:$H$102,6,FALSE)&gt;=(VLOOKUP(VLOOKUP(AK$1,main!$A$3:$H$102,8,FALSE),main!$K$26:$M$29,2,FALSE)+VLOOKUP(VLOOKUP(AK$1,main!$A$3:$H$102,7,FALSE),main!$K$19:$O$22,MATCH(VLOOKUP($A47,main!$A$3:$H$102,8,FALSE),main!$K$18:$O$18,0))))),1,0)</f>
        <v>1</v>
      </c>
      <c r="AL47">
        <f>IF((AND(VLOOKUP(AL$1,main!$A$3:$H$102,5,FALSE)-VLOOKUP($A47,main!$A$3:$H$102,6,FALSE)&gt;=(VLOOKUP(VLOOKUP(AL$1,main!$A$3:$H$102,8,FALSE),main!$K$26:$M$29,2,FALSE)+VLOOKUP(VLOOKUP(AL$1,main!$A$3:$H$102,7,FALSE),main!$K$19:$O$22,MATCH(VLOOKUP($A47,main!$A$3:$H$102,8,FALSE),main!$K$18:$O$18,0))))),1,0)</f>
        <v>1</v>
      </c>
      <c r="AM47">
        <f>IF((AND(VLOOKUP(AM$1,main!$A$3:$H$102,5,FALSE)-VLOOKUP($A47,main!$A$3:$H$102,6,FALSE)&gt;=(VLOOKUP(VLOOKUP(AM$1,main!$A$3:$H$102,8,FALSE),main!$K$26:$M$29,2,FALSE)+VLOOKUP(VLOOKUP(AM$1,main!$A$3:$H$102,7,FALSE),main!$K$19:$O$22,MATCH(VLOOKUP($A47,main!$A$3:$H$102,8,FALSE),main!$K$18:$O$18,0))))),1,0)</f>
        <v>1</v>
      </c>
      <c r="AN47">
        <f>IF((AND(VLOOKUP(AN$1,main!$A$3:$H$102,5,FALSE)-VLOOKUP($A47,main!$A$3:$H$102,6,FALSE)&gt;=(VLOOKUP(VLOOKUP(AN$1,main!$A$3:$H$102,8,FALSE),main!$K$26:$M$29,2,FALSE)+VLOOKUP(VLOOKUP(AN$1,main!$A$3:$H$102,7,FALSE),main!$K$19:$O$22,MATCH(VLOOKUP($A47,main!$A$3:$H$102,8,FALSE),main!$K$18:$O$18,0))))),1,0)</f>
        <v>1</v>
      </c>
      <c r="AO47">
        <f>IF((AND(VLOOKUP(AO$1,main!$A$3:$H$102,5,FALSE)-VLOOKUP($A47,main!$A$3:$H$102,6,FALSE)&gt;=(VLOOKUP(VLOOKUP(AO$1,main!$A$3:$H$102,8,FALSE),main!$K$26:$M$29,2,FALSE)+VLOOKUP(VLOOKUP(AO$1,main!$A$3:$H$102,7,FALSE),main!$K$19:$O$22,MATCH(VLOOKUP($A47,main!$A$3:$H$102,8,FALSE),main!$K$18:$O$18,0))))),1,0)</f>
        <v>0</v>
      </c>
      <c r="AP47">
        <f>IF((AND(VLOOKUP(AP$1,main!$A$3:$H$102,5,FALSE)-VLOOKUP($A47,main!$A$3:$H$102,6,FALSE)&gt;=(VLOOKUP(VLOOKUP(AP$1,main!$A$3:$H$102,8,FALSE),main!$K$26:$M$29,2,FALSE)+VLOOKUP(VLOOKUP(AP$1,main!$A$3:$H$102,7,FALSE),main!$K$19:$O$22,MATCH(VLOOKUP($A47,main!$A$3:$H$102,8,FALSE),main!$K$18:$O$18,0))))),1,0)</f>
        <v>1</v>
      </c>
      <c r="AQ47">
        <f>IF((AND(VLOOKUP(AQ$1,main!$A$3:$H$102,5,FALSE)-VLOOKUP($A47,main!$A$3:$H$102,6,FALSE)&gt;=(VLOOKUP(VLOOKUP(AQ$1,main!$A$3:$H$102,8,FALSE),main!$K$26:$M$29,2,FALSE)+VLOOKUP(VLOOKUP(AQ$1,main!$A$3:$H$102,7,FALSE),main!$K$19:$O$22,MATCH(VLOOKUP($A47,main!$A$3:$H$102,8,FALSE),main!$K$18:$O$18,0))))),1,0)</f>
        <v>0</v>
      </c>
      <c r="AR47">
        <f>IF((AND(VLOOKUP(AR$1,main!$A$3:$H$102,5,FALSE)-VLOOKUP($A47,main!$A$3:$H$102,6,FALSE)&gt;=(VLOOKUP(VLOOKUP(AR$1,main!$A$3:$H$102,8,FALSE),main!$K$26:$M$29,2,FALSE)+VLOOKUP(VLOOKUP(AR$1,main!$A$3:$H$102,7,FALSE),main!$K$19:$O$22,MATCH(VLOOKUP($A47,main!$A$3:$H$102,8,FALSE),main!$K$18:$O$18,0))))),1,0)</f>
        <v>1</v>
      </c>
      <c r="AS47">
        <f>IF((AND(VLOOKUP(AS$1,main!$A$3:$H$102,5,FALSE)-VLOOKUP($A47,main!$A$3:$H$102,6,FALSE)&gt;=(VLOOKUP(VLOOKUP(AS$1,main!$A$3:$H$102,8,FALSE),main!$K$26:$M$29,2,FALSE)+VLOOKUP(VLOOKUP(AS$1,main!$A$3:$H$102,7,FALSE),main!$K$19:$O$22,MATCH(VLOOKUP($A47,main!$A$3:$H$102,8,FALSE),main!$K$18:$O$18,0))))),1,0)</f>
        <v>1</v>
      </c>
      <c r="AT47">
        <f>IF((AND(VLOOKUP(AT$1,main!$A$3:$H$102,5,FALSE)-VLOOKUP($A47,main!$A$3:$H$102,6,FALSE)&gt;=(VLOOKUP(VLOOKUP(AT$1,main!$A$3:$H$102,8,FALSE),main!$K$26:$M$29,2,FALSE)+VLOOKUP(VLOOKUP(AT$1,main!$A$3:$H$102,7,FALSE),main!$K$19:$O$22,MATCH(VLOOKUP($A47,main!$A$3:$H$102,8,FALSE),main!$K$18:$O$18,0))))),1,0)</f>
        <v>1</v>
      </c>
      <c r="AU47">
        <f>IF((AND(VLOOKUP(AU$1,main!$A$3:$H$102,5,FALSE)-VLOOKUP($A47,main!$A$3:$H$102,6,FALSE)&gt;=(VLOOKUP(VLOOKUP(AU$1,main!$A$3:$H$102,8,FALSE),main!$K$26:$M$29,2,FALSE)+VLOOKUP(VLOOKUP(AU$1,main!$A$3:$H$102,7,FALSE),main!$K$19:$O$22,MATCH(VLOOKUP($A47,main!$A$3:$H$102,8,FALSE),main!$K$18:$O$18,0))))),1,0)</f>
        <v>0</v>
      </c>
      <c r="AV47">
        <f>IF((AND(VLOOKUP(AV$1,main!$A$3:$H$102,5,FALSE)-VLOOKUP($A47,main!$A$3:$H$102,6,FALSE)&gt;=(VLOOKUP(VLOOKUP(AV$1,main!$A$3:$H$102,8,FALSE),main!$K$26:$M$29,2,FALSE)+VLOOKUP(VLOOKUP(AV$1,main!$A$3:$H$102,7,FALSE),main!$K$19:$O$22,MATCH(VLOOKUP($A47,main!$A$3:$H$102,8,FALSE),main!$K$18:$O$18,0))))),1,0)</f>
        <v>0</v>
      </c>
      <c r="AW47">
        <f>IF((AND(VLOOKUP(AW$1,main!$A$3:$H$102,5,FALSE)-VLOOKUP($A47,main!$A$3:$H$102,6,FALSE)&gt;=(VLOOKUP(VLOOKUP(AW$1,main!$A$3:$H$102,8,FALSE),main!$K$26:$M$29,2,FALSE)+VLOOKUP(VLOOKUP(AW$1,main!$A$3:$H$102,7,FALSE),main!$K$19:$O$22,MATCH(VLOOKUP($A47,main!$A$3:$H$102,8,FALSE),main!$K$18:$O$18,0))))),1,0)</f>
        <v>1</v>
      </c>
      <c r="AX47">
        <f>IF((AND(VLOOKUP(AX$1,main!$A$3:$H$102,5,FALSE)-VLOOKUP($A47,main!$A$3:$H$102,6,FALSE)&gt;=(VLOOKUP(VLOOKUP(AX$1,main!$A$3:$H$102,8,FALSE),main!$K$26:$M$29,2,FALSE)+VLOOKUP(VLOOKUP(AX$1,main!$A$3:$H$102,7,FALSE),main!$K$19:$O$22,MATCH(VLOOKUP($A47,main!$A$3:$H$102,8,FALSE),main!$K$18:$O$18,0))))),1,0)</f>
        <v>1</v>
      </c>
      <c r="AY47">
        <f>IF((AND(VLOOKUP(AY$1,main!$A$3:$H$102,5,FALSE)-VLOOKUP($A47,main!$A$3:$H$102,6,FALSE)&gt;=(VLOOKUP(VLOOKUP(AY$1,main!$A$3:$H$102,8,FALSE),main!$K$26:$M$29,2,FALSE)+VLOOKUP(VLOOKUP(AY$1,main!$A$3:$H$102,7,FALSE),main!$K$19:$O$22,MATCH(VLOOKUP($A47,main!$A$3:$H$102,8,FALSE),main!$K$18:$O$18,0))))),1,0)</f>
        <v>1</v>
      </c>
      <c r="AZ47">
        <f>IF((AND(VLOOKUP(AZ$1,main!$A$3:$H$102,5,FALSE)-VLOOKUP($A47,main!$A$3:$H$102,6,FALSE)&gt;=(VLOOKUP(VLOOKUP(AZ$1,main!$A$3:$H$102,8,FALSE),main!$K$26:$M$29,2,FALSE)+VLOOKUP(VLOOKUP(AZ$1,main!$A$3:$H$102,7,FALSE),main!$K$19:$O$22,MATCH(VLOOKUP($A47,main!$A$3:$H$102,8,FALSE),main!$K$18:$O$18,0))))),1,0)</f>
        <v>1</v>
      </c>
      <c r="BA47">
        <f>IF((AND(VLOOKUP(BA$1,main!$A$3:$H$102,5,FALSE)-VLOOKUP($A47,main!$A$3:$H$102,6,FALSE)&gt;=(VLOOKUP(VLOOKUP(BA$1,main!$A$3:$H$102,8,FALSE),main!$K$26:$M$29,2,FALSE)+VLOOKUP(VLOOKUP(BA$1,main!$A$3:$H$102,7,FALSE),main!$K$19:$O$22,MATCH(VLOOKUP($A47,main!$A$3:$H$102,8,FALSE),main!$K$18:$O$18,0))))),1,0)</f>
        <v>1</v>
      </c>
      <c r="BB47">
        <f>IF((AND(VLOOKUP(BB$1,main!$A$3:$H$102,5,FALSE)-VLOOKUP($A47,main!$A$3:$H$102,6,FALSE)&gt;=(VLOOKUP(VLOOKUP(BB$1,main!$A$3:$H$102,8,FALSE),main!$K$26:$M$29,2,FALSE)+VLOOKUP(VLOOKUP(BB$1,main!$A$3:$H$102,7,FALSE),main!$K$19:$O$22,MATCH(VLOOKUP($A47,main!$A$3:$H$102,8,FALSE),main!$K$18:$O$18,0))))),1,0)</f>
        <v>1</v>
      </c>
      <c r="BC47">
        <f>IF((AND(VLOOKUP(BC$1,main!$A$3:$H$102,5,FALSE)-VLOOKUP($A47,main!$A$3:$H$102,6,FALSE)&gt;=(VLOOKUP(VLOOKUP(BC$1,main!$A$3:$H$102,8,FALSE),main!$K$26:$M$29,2,FALSE)+VLOOKUP(VLOOKUP(BC$1,main!$A$3:$H$102,7,FALSE),main!$K$19:$O$22,MATCH(VLOOKUP($A47,main!$A$3:$H$102,8,FALSE),main!$K$18:$O$18,0))))),1,0)</f>
        <v>1</v>
      </c>
      <c r="BD47">
        <f>IF((AND(VLOOKUP(BD$1,main!$A$3:$H$102,5,FALSE)-VLOOKUP($A47,main!$A$3:$H$102,6,FALSE)&gt;=(VLOOKUP(VLOOKUP(BD$1,main!$A$3:$H$102,8,FALSE),main!$K$26:$M$29,2,FALSE)+VLOOKUP(VLOOKUP(BD$1,main!$A$3:$H$102,7,FALSE),main!$K$19:$O$22,MATCH(VLOOKUP($A47,main!$A$3:$H$102,8,FALSE),main!$K$18:$O$18,0))))),1,0)</f>
        <v>1</v>
      </c>
      <c r="BE47">
        <f>IF((AND(VLOOKUP(BE$1,main!$A$3:$H$102,5,FALSE)-VLOOKUP($A47,main!$A$3:$H$102,6,FALSE)&gt;=(VLOOKUP(VLOOKUP(BE$1,main!$A$3:$H$102,8,FALSE),main!$K$26:$M$29,2,FALSE)+VLOOKUP(VLOOKUP(BE$1,main!$A$3:$H$102,7,FALSE),main!$K$19:$O$22,MATCH(VLOOKUP($A47,main!$A$3:$H$102,8,FALSE),main!$K$18:$O$18,0))))),1,0)</f>
        <v>1</v>
      </c>
      <c r="BF47">
        <f>IF((AND(VLOOKUP(BF$1,main!$A$3:$H$102,5,FALSE)-VLOOKUP($A47,main!$A$3:$H$102,6,FALSE)&gt;=(VLOOKUP(VLOOKUP(BF$1,main!$A$3:$H$102,8,FALSE),main!$K$26:$M$29,2,FALSE)+VLOOKUP(VLOOKUP(BF$1,main!$A$3:$H$102,7,FALSE),main!$K$19:$O$22,MATCH(VLOOKUP($A47,main!$A$3:$H$102,8,FALSE),main!$K$18:$O$18,0))))),1,0)</f>
        <v>1</v>
      </c>
      <c r="BG47">
        <f>IF((AND(VLOOKUP(BG$1,main!$A$3:$H$102,5,FALSE)-VLOOKUP($A47,main!$A$3:$H$102,6,FALSE)&gt;=(VLOOKUP(VLOOKUP(BG$1,main!$A$3:$H$102,8,FALSE),main!$K$26:$M$29,2,FALSE)+VLOOKUP(VLOOKUP(BG$1,main!$A$3:$H$102,7,FALSE),main!$K$19:$O$22,MATCH(VLOOKUP($A47,main!$A$3:$H$102,8,FALSE),main!$K$18:$O$18,0))))),1,0)</f>
        <v>1</v>
      </c>
      <c r="BH47">
        <f>IF((AND(VLOOKUP(BH$1,main!$A$3:$H$102,5,FALSE)-VLOOKUP($A47,main!$A$3:$H$102,6,FALSE)&gt;=(VLOOKUP(VLOOKUP(BH$1,main!$A$3:$H$102,8,FALSE),main!$K$26:$M$29,2,FALSE)+VLOOKUP(VLOOKUP(BH$1,main!$A$3:$H$102,7,FALSE),main!$K$19:$O$22,MATCH(VLOOKUP($A47,main!$A$3:$H$102,8,FALSE),main!$K$18:$O$18,0))))),1,0)</f>
        <v>1</v>
      </c>
      <c r="BI47">
        <f>IF((AND(VLOOKUP(BI$1,main!$A$3:$H$102,5,FALSE)-VLOOKUP($A47,main!$A$3:$H$102,6,FALSE)&gt;=(VLOOKUP(VLOOKUP(BI$1,main!$A$3:$H$102,8,FALSE),main!$K$26:$M$29,2,FALSE)+VLOOKUP(VLOOKUP(BI$1,main!$A$3:$H$102,7,FALSE),main!$K$19:$O$22,MATCH(VLOOKUP($A47,main!$A$3:$H$102,8,FALSE),main!$K$18:$O$18,0))))),1,0)</f>
        <v>1</v>
      </c>
      <c r="BJ47">
        <f>IF((AND(VLOOKUP(BJ$1,main!$A$3:$H$102,5,FALSE)-VLOOKUP($A47,main!$A$3:$H$102,6,FALSE)&gt;=(VLOOKUP(VLOOKUP(BJ$1,main!$A$3:$H$102,8,FALSE),main!$K$26:$M$29,2,FALSE)+VLOOKUP(VLOOKUP(BJ$1,main!$A$3:$H$102,7,FALSE),main!$K$19:$O$22,MATCH(VLOOKUP($A47,main!$A$3:$H$102,8,FALSE),main!$K$18:$O$18,0))))),1,0)</f>
        <v>1</v>
      </c>
      <c r="BK47">
        <f>IF((AND(VLOOKUP(BK$1,main!$A$3:$H$102,5,FALSE)-VLOOKUP($A47,main!$A$3:$H$102,6,FALSE)&gt;=(VLOOKUP(VLOOKUP(BK$1,main!$A$3:$H$102,8,FALSE),main!$K$26:$M$29,2,FALSE)+VLOOKUP(VLOOKUP(BK$1,main!$A$3:$H$102,7,FALSE),main!$K$19:$O$22,MATCH(VLOOKUP($A47,main!$A$3:$H$102,8,FALSE),main!$K$18:$O$18,0))))),1,0)</f>
        <v>0</v>
      </c>
      <c r="BL47">
        <f>IF((AND(VLOOKUP(BL$1,main!$A$3:$H$102,5,FALSE)-VLOOKUP($A47,main!$A$3:$H$102,6,FALSE)&gt;=(VLOOKUP(VLOOKUP(BL$1,main!$A$3:$H$102,8,FALSE),main!$K$26:$M$29,2,FALSE)+VLOOKUP(VLOOKUP(BL$1,main!$A$3:$H$102,7,FALSE),main!$K$19:$O$22,MATCH(VLOOKUP($A47,main!$A$3:$H$102,8,FALSE),main!$K$18:$O$18,0))))),1,0)</f>
        <v>1</v>
      </c>
      <c r="BM47">
        <f>IF((AND(VLOOKUP(BM$1,main!$A$3:$H$102,5,FALSE)-VLOOKUP($A47,main!$A$3:$H$102,6,FALSE)&gt;=(VLOOKUP(VLOOKUP(BM$1,main!$A$3:$H$102,8,FALSE),main!$K$26:$M$29,2,FALSE)+VLOOKUP(VLOOKUP(BM$1,main!$A$3:$H$102,7,FALSE),main!$K$19:$O$22,MATCH(VLOOKUP($A47,main!$A$3:$H$102,8,FALSE),main!$K$18:$O$18,0))))),1,0)</f>
        <v>1</v>
      </c>
      <c r="BN47">
        <f>IF((AND(VLOOKUP(BN$1,main!$A$3:$H$102,5,FALSE)-VLOOKUP($A47,main!$A$3:$H$102,6,FALSE)&gt;=(VLOOKUP(VLOOKUP(BN$1,main!$A$3:$H$102,8,FALSE),main!$K$26:$M$29,2,FALSE)+VLOOKUP(VLOOKUP(BN$1,main!$A$3:$H$102,7,FALSE),main!$K$19:$O$22,MATCH(VLOOKUP($A47,main!$A$3:$H$102,8,FALSE),main!$K$18:$O$18,0))))),1,0)</f>
        <v>1</v>
      </c>
      <c r="BO47">
        <f>IF((AND(VLOOKUP(BO$1,main!$A$3:$H$102,5,FALSE)-VLOOKUP($A47,main!$A$3:$H$102,6,FALSE)&gt;=(VLOOKUP(VLOOKUP(BO$1,main!$A$3:$H$102,8,FALSE),main!$K$26:$M$29,2,FALSE)+VLOOKUP(VLOOKUP(BO$1,main!$A$3:$H$102,7,FALSE),main!$K$19:$O$22,MATCH(VLOOKUP($A47,main!$A$3:$H$102,8,FALSE),main!$K$18:$O$18,0))))),1,0)</f>
        <v>0</v>
      </c>
      <c r="BP47">
        <f>IF((AND(VLOOKUP(BP$1,main!$A$3:$H$102,5,FALSE)-VLOOKUP($A47,main!$A$3:$H$102,6,FALSE)&gt;=(VLOOKUP(VLOOKUP(BP$1,main!$A$3:$H$102,8,FALSE),main!$K$26:$M$29,2,FALSE)+VLOOKUP(VLOOKUP(BP$1,main!$A$3:$H$102,7,FALSE),main!$K$19:$O$22,MATCH(VLOOKUP($A47,main!$A$3:$H$102,8,FALSE),main!$K$18:$O$18,0))))),1,0)</f>
        <v>0</v>
      </c>
      <c r="BQ47">
        <f>IF((AND(VLOOKUP(BQ$1,main!$A$3:$H$102,5,FALSE)-VLOOKUP($A47,main!$A$3:$H$102,6,FALSE)&gt;=(VLOOKUP(VLOOKUP(BQ$1,main!$A$3:$H$102,8,FALSE),main!$K$26:$M$29,2,FALSE)+VLOOKUP(VLOOKUP(BQ$1,main!$A$3:$H$102,7,FALSE),main!$K$19:$O$22,MATCH(VLOOKUP($A47,main!$A$3:$H$102,8,FALSE),main!$K$18:$O$18,0))))),1,0)</f>
        <v>1</v>
      </c>
      <c r="BR47">
        <f>IF((AND(VLOOKUP(BR$1,main!$A$3:$H$102,5,FALSE)-VLOOKUP($A47,main!$A$3:$H$102,6,FALSE)&gt;=(VLOOKUP(VLOOKUP(BR$1,main!$A$3:$H$102,8,FALSE),main!$K$26:$M$29,2,FALSE)+VLOOKUP(VLOOKUP(BR$1,main!$A$3:$H$102,7,FALSE),main!$K$19:$O$22,MATCH(VLOOKUP($A47,main!$A$3:$H$102,8,FALSE),main!$K$18:$O$18,0))))),1,0)</f>
        <v>1</v>
      </c>
      <c r="BS47">
        <f>IF((AND(VLOOKUP(BS$1,main!$A$3:$H$102,5,FALSE)-VLOOKUP($A47,main!$A$3:$H$102,6,FALSE)&gt;=(VLOOKUP(VLOOKUP(BS$1,main!$A$3:$H$102,8,FALSE),main!$K$26:$M$29,2,FALSE)+VLOOKUP(VLOOKUP(BS$1,main!$A$3:$H$102,7,FALSE),main!$K$19:$O$22,MATCH(VLOOKUP($A47,main!$A$3:$H$102,8,FALSE),main!$K$18:$O$18,0))))),1,0)</f>
        <v>1</v>
      </c>
      <c r="BT47">
        <f>IF((AND(VLOOKUP(BT$1,main!$A$3:$H$102,5,FALSE)-VLOOKUP($A47,main!$A$3:$H$102,6,FALSE)&gt;=(VLOOKUP(VLOOKUP(BT$1,main!$A$3:$H$102,8,FALSE),main!$K$26:$M$29,2,FALSE)+VLOOKUP(VLOOKUP(BT$1,main!$A$3:$H$102,7,FALSE),main!$K$19:$O$22,MATCH(VLOOKUP($A47,main!$A$3:$H$102,8,FALSE),main!$K$18:$O$18,0))))),1,0)</f>
        <v>1</v>
      </c>
      <c r="BU47">
        <f>IF((AND(VLOOKUP(BU$1,main!$A$3:$H$102,5,FALSE)-VLOOKUP($A47,main!$A$3:$H$102,6,FALSE)&gt;=(VLOOKUP(VLOOKUP(BU$1,main!$A$3:$H$102,8,FALSE),main!$K$26:$M$29,2,FALSE)+VLOOKUP(VLOOKUP(BU$1,main!$A$3:$H$102,7,FALSE),main!$K$19:$O$22,MATCH(VLOOKUP($A47,main!$A$3:$H$102,8,FALSE),main!$K$18:$O$18,0))))),1,0)</f>
        <v>0</v>
      </c>
      <c r="BV47">
        <f>IF((AND(VLOOKUP(BV$1,main!$A$3:$H$102,5,FALSE)-VLOOKUP($A47,main!$A$3:$H$102,6,FALSE)&gt;=(VLOOKUP(VLOOKUP(BV$1,main!$A$3:$H$102,8,FALSE),main!$K$26:$M$29,2,FALSE)+VLOOKUP(VLOOKUP(BV$1,main!$A$3:$H$102,7,FALSE),main!$K$19:$O$22,MATCH(VLOOKUP($A47,main!$A$3:$H$102,8,FALSE),main!$K$18:$O$18,0))))),1,0)</f>
        <v>1</v>
      </c>
      <c r="BW47">
        <f>IF((AND(VLOOKUP(BW$1,main!$A$3:$H$102,5,FALSE)-VLOOKUP($A47,main!$A$3:$H$102,6,FALSE)&gt;=(VLOOKUP(VLOOKUP(BW$1,main!$A$3:$H$102,8,FALSE),main!$K$26:$M$29,2,FALSE)+VLOOKUP(VLOOKUP(BW$1,main!$A$3:$H$102,7,FALSE),main!$K$19:$O$22,MATCH(VLOOKUP($A47,main!$A$3:$H$102,8,FALSE),main!$K$18:$O$18,0))))),1,0)</f>
        <v>1</v>
      </c>
      <c r="BX47">
        <f>IF((AND(VLOOKUP(BX$1,main!$A$3:$H$102,5,FALSE)-VLOOKUP($A47,main!$A$3:$H$102,6,FALSE)&gt;=(VLOOKUP(VLOOKUP(BX$1,main!$A$3:$H$102,8,FALSE),main!$K$26:$M$29,2,FALSE)+VLOOKUP(VLOOKUP(BX$1,main!$A$3:$H$102,7,FALSE),main!$K$19:$O$22,MATCH(VLOOKUP($A47,main!$A$3:$H$102,8,FALSE),main!$K$18:$O$18,0))))),1,0)</f>
        <v>1</v>
      </c>
      <c r="BY47">
        <f>IF((AND(VLOOKUP(BY$1,main!$A$3:$H$102,5,FALSE)-VLOOKUP($A47,main!$A$3:$H$102,6,FALSE)&gt;=(VLOOKUP(VLOOKUP(BY$1,main!$A$3:$H$102,8,FALSE),main!$K$26:$M$29,2,FALSE)+VLOOKUP(VLOOKUP(BY$1,main!$A$3:$H$102,7,FALSE),main!$K$19:$O$22,MATCH(VLOOKUP($A47,main!$A$3:$H$102,8,FALSE),main!$K$18:$O$18,0))))),1,0)</f>
        <v>1</v>
      </c>
      <c r="BZ47">
        <f>IF((AND(VLOOKUP(BZ$1,main!$A$3:$H$102,5,FALSE)-VLOOKUP($A47,main!$A$3:$H$102,6,FALSE)&gt;=(VLOOKUP(VLOOKUP(BZ$1,main!$A$3:$H$102,8,FALSE),main!$K$26:$M$29,2,FALSE)+VLOOKUP(VLOOKUP(BZ$1,main!$A$3:$H$102,7,FALSE),main!$K$19:$O$22,MATCH(VLOOKUP($A47,main!$A$3:$H$102,8,FALSE),main!$K$18:$O$18,0))))),1,0)</f>
        <v>0</v>
      </c>
      <c r="CA47">
        <f>IF((AND(VLOOKUP(CA$1,main!$A$3:$H$102,5,FALSE)-VLOOKUP($A47,main!$A$3:$H$102,6,FALSE)&gt;=(VLOOKUP(VLOOKUP(CA$1,main!$A$3:$H$102,8,FALSE),main!$K$26:$M$29,2,FALSE)+VLOOKUP(VLOOKUP(CA$1,main!$A$3:$H$102,7,FALSE),main!$K$19:$O$22,MATCH(VLOOKUP($A47,main!$A$3:$H$102,8,FALSE),main!$K$18:$O$18,0))))),1,0)</f>
        <v>1</v>
      </c>
      <c r="CB47">
        <f>IF((AND(VLOOKUP(CB$1,main!$A$3:$H$102,5,FALSE)-VLOOKUP($A47,main!$A$3:$H$102,6,FALSE)&gt;=(VLOOKUP(VLOOKUP(CB$1,main!$A$3:$H$102,8,FALSE),main!$K$26:$M$29,2,FALSE)+VLOOKUP(VLOOKUP(CB$1,main!$A$3:$H$102,7,FALSE),main!$K$19:$O$22,MATCH(VLOOKUP($A47,main!$A$3:$H$102,8,FALSE),main!$K$18:$O$18,0))))),1,0)</f>
        <v>1</v>
      </c>
      <c r="CC47">
        <f>IF((AND(VLOOKUP(CC$1,main!$A$3:$H$102,5,FALSE)-VLOOKUP($A47,main!$A$3:$H$102,6,FALSE)&gt;=(VLOOKUP(VLOOKUP(CC$1,main!$A$3:$H$102,8,FALSE),main!$K$26:$M$29,2,FALSE)+VLOOKUP(VLOOKUP(CC$1,main!$A$3:$H$102,7,FALSE),main!$K$19:$O$22,MATCH(VLOOKUP($A47,main!$A$3:$H$102,8,FALSE),main!$K$18:$O$18,0))))),1,0)</f>
        <v>1</v>
      </c>
      <c r="CD47">
        <f>IF((AND(VLOOKUP(CD$1,main!$A$3:$H$102,5,FALSE)-VLOOKUP($A47,main!$A$3:$H$102,6,FALSE)&gt;=(VLOOKUP(VLOOKUP(CD$1,main!$A$3:$H$102,8,FALSE),main!$K$26:$M$29,2,FALSE)+VLOOKUP(VLOOKUP(CD$1,main!$A$3:$H$102,7,FALSE),main!$K$19:$O$22,MATCH(VLOOKUP($A47,main!$A$3:$H$102,8,FALSE),main!$K$18:$O$18,0))))),1,0)</f>
        <v>1</v>
      </c>
      <c r="CE47">
        <f>IF((AND(VLOOKUP(CE$1,main!$A$3:$H$102,5,FALSE)-VLOOKUP($A47,main!$A$3:$H$102,6,FALSE)&gt;=(VLOOKUP(VLOOKUP(CE$1,main!$A$3:$H$102,8,FALSE),main!$K$26:$M$29,2,FALSE)+VLOOKUP(VLOOKUP(CE$1,main!$A$3:$H$102,7,FALSE),main!$K$19:$O$22,MATCH(VLOOKUP($A47,main!$A$3:$H$102,8,FALSE),main!$K$18:$O$18,0))))),1,0)</f>
        <v>1</v>
      </c>
      <c r="CF47">
        <f>IF((AND(VLOOKUP(CF$1,main!$A$3:$H$102,5,FALSE)-VLOOKUP($A47,main!$A$3:$H$102,6,FALSE)&gt;=(VLOOKUP(VLOOKUP(CF$1,main!$A$3:$H$102,8,FALSE),main!$K$26:$M$29,2,FALSE)+VLOOKUP(VLOOKUP(CF$1,main!$A$3:$H$102,7,FALSE),main!$K$19:$O$22,MATCH(VLOOKUP($A47,main!$A$3:$H$102,8,FALSE),main!$K$18:$O$18,0))))),1,0)</f>
        <v>1</v>
      </c>
      <c r="CG47">
        <f>IF((AND(VLOOKUP(CG$1,main!$A$3:$H$102,5,FALSE)-VLOOKUP($A47,main!$A$3:$H$102,6,FALSE)&gt;=(VLOOKUP(VLOOKUP(CG$1,main!$A$3:$H$102,8,FALSE),main!$K$26:$M$29,2,FALSE)+VLOOKUP(VLOOKUP(CG$1,main!$A$3:$H$102,7,FALSE),main!$K$19:$O$22,MATCH(VLOOKUP($A47,main!$A$3:$H$102,8,FALSE),main!$K$18:$O$18,0))))),1,0)</f>
        <v>1</v>
      </c>
      <c r="CH47">
        <f>IF((AND(VLOOKUP(CH$1,main!$A$3:$H$102,5,FALSE)-VLOOKUP($A47,main!$A$3:$H$102,6,FALSE)&gt;=(VLOOKUP(VLOOKUP(CH$1,main!$A$3:$H$102,8,FALSE),main!$K$26:$M$29,2,FALSE)+VLOOKUP(VLOOKUP(CH$1,main!$A$3:$H$102,7,FALSE),main!$K$19:$O$22,MATCH(VLOOKUP($A47,main!$A$3:$H$102,8,FALSE),main!$K$18:$O$18,0))))),1,0)</f>
        <v>1</v>
      </c>
      <c r="CI47">
        <f>IF((AND(VLOOKUP(CI$1,main!$A$3:$H$102,5,FALSE)-VLOOKUP($A47,main!$A$3:$H$102,6,FALSE)&gt;=(VLOOKUP(VLOOKUP(CI$1,main!$A$3:$H$102,8,FALSE),main!$K$26:$M$29,2,FALSE)+VLOOKUP(VLOOKUP(CI$1,main!$A$3:$H$102,7,FALSE),main!$K$19:$O$22,MATCH(VLOOKUP($A47,main!$A$3:$H$102,8,FALSE),main!$K$18:$O$18,0))))),1,0)</f>
        <v>1</v>
      </c>
      <c r="CJ47">
        <f>IF((AND(VLOOKUP(CJ$1,main!$A$3:$H$102,5,FALSE)-VLOOKUP($A47,main!$A$3:$H$102,6,FALSE)&gt;=(VLOOKUP(VLOOKUP(CJ$1,main!$A$3:$H$102,8,FALSE),main!$K$26:$M$29,2,FALSE)+VLOOKUP(VLOOKUP(CJ$1,main!$A$3:$H$102,7,FALSE),main!$K$19:$O$22,MATCH(VLOOKUP($A47,main!$A$3:$H$102,8,FALSE),main!$K$18:$O$18,0))))),1,0)</f>
        <v>1</v>
      </c>
      <c r="CK47">
        <f>IF((AND(VLOOKUP(CK$1,main!$A$3:$H$102,5,FALSE)-VLOOKUP($A47,main!$A$3:$H$102,6,FALSE)&gt;=(VLOOKUP(VLOOKUP(CK$1,main!$A$3:$H$102,8,FALSE),main!$K$26:$M$29,2,FALSE)+VLOOKUP(VLOOKUP(CK$1,main!$A$3:$H$102,7,FALSE),main!$K$19:$O$22,MATCH(VLOOKUP($A47,main!$A$3:$H$102,8,FALSE),main!$K$18:$O$18,0))))),1,0)</f>
        <v>1</v>
      </c>
      <c r="CL47">
        <f>IF((AND(VLOOKUP(CL$1,main!$A$3:$H$102,5,FALSE)-VLOOKUP($A47,main!$A$3:$H$102,6,FALSE)&gt;=(VLOOKUP(VLOOKUP(CL$1,main!$A$3:$H$102,8,FALSE),main!$K$26:$M$29,2,FALSE)+VLOOKUP(VLOOKUP(CL$1,main!$A$3:$H$102,7,FALSE),main!$K$19:$O$22,MATCH(VLOOKUP($A47,main!$A$3:$H$102,8,FALSE),main!$K$18:$O$18,0))))),1,0)</f>
        <v>1</v>
      </c>
      <c r="CM47">
        <f>IF((AND(VLOOKUP(CM$1,main!$A$3:$H$102,5,FALSE)-VLOOKUP($A47,main!$A$3:$H$102,6,FALSE)&gt;=(VLOOKUP(VLOOKUP(CM$1,main!$A$3:$H$102,8,FALSE),main!$K$26:$M$29,2,FALSE)+VLOOKUP(VLOOKUP(CM$1,main!$A$3:$H$102,7,FALSE),main!$K$19:$O$22,MATCH(VLOOKUP($A47,main!$A$3:$H$102,8,FALSE),main!$K$18:$O$18,0))))),1,0)</f>
        <v>1</v>
      </c>
      <c r="CN47">
        <f>IF((AND(VLOOKUP(CN$1,main!$A$3:$H$102,5,FALSE)-VLOOKUP($A47,main!$A$3:$H$102,6,FALSE)&gt;=(VLOOKUP(VLOOKUP(CN$1,main!$A$3:$H$102,8,FALSE),main!$K$26:$M$29,2,FALSE)+VLOOKUP(VLOOKUP(CN$1,main!$A$3:$H$102,7,FALSE),main!$K$19:$O$22,MATCH(VLOOKUP($A47,main!$A$3:$H$102,8,FALSE),main!$K$18:$O$18,0))))),1,0)</f>
        <v>1</v>
      </c>
      <c r="CO47">
        <f>IF((AND(VLOOKUP(CO$1,main!$A$3:$H$102,5,FALSE)-VLOOKUP($A47,main!$A$3:$H$102,6,FALSE)&gt;=(VLOOKUP(VLOOKUP(CO$1,main!$A$3:$H$102,8,FALSE),main!$K$26:$M$29,2,FALSE)+VLOOKUP(VLOOKUP(CO$1,main!$A$3:$H$102,7,FALSE),main!$K$19:$O$22,MATCH(VLOOKUP($A47,main!$A$3:$H$102,8,FALSE),main!$K$18:$O$18,0))))),1,0)</f>
        <v>1</v>
      </c>
      <c r="CP47">
        <f>IF((AND(VLOOKUP(CP$1,main!$A$3:$H$102,5,FALSE)-VLOOKUP($A47,main!$A$3:$H$102,6,FALSE)&gt;=(VLOOKUP(VLOOKUP(CP$1,main!$A$3:$H$102,8,FALSE),main!$K$26:$M$29,2,FALSE)+VLOOKUP(VLOOKUP(CP$1,main!$A$3:$H$102,7,FALSE),main!$K$19:$O$22,MATCH(VLOOKUP($A47,main!$A$3:$H$102,8,FALSE),main!$K$18:$O$18,0))))),1,0)</f>
        <v>1</v>
      </c>
      <c r="CQ47">
        <f>IF((AND(VLOOKUP(CQ$1,main!$A$3:$H$102,5,FALSE)-VLOOKUP($A47,main!$A$3:$H$102,6,FALSE)&gt;=(VLOOKUP(VLOOKUP(CQ$1,main!$A$3:$H$102,8,FALSE),main!$K$26:$M$29,2,FALSE)+VLOOKUP(VLOOKUP(CQ$1,main!$A$3:$H$102,7,FALSE),main!$K$19:$O$22,MATCH(VLOOKUP($A47,main!$A$3:$H$102,8,FALSE),main!$K$18:$O$18,0))))),1,0)</f>
        <v>1</v>
      </c>
      <c r="CR47">
        <f>IF((AND(VLOOKUP(CR$1,main!$A$3:$H$102,5,FALSE)-VLOOKUP($A47,main!$A$3:$H$102,6,FALSE)&gt;=(VLOOKUP(VLOOKUP(CR$1,main!$A$3:$H$102,8,FALSE),main!$K$26:$M$29,2,FALSE)+VLOOKUP(VLOOKUP(CR$1,main!$A$3:$H$102,7,FALSE),main!$K$19:$O$22,MATCH(VLOOKUP($A47,main!$A$3:$H$102,8,FALSE),main!$K$18:$O$18,0))))),1,0)</f>
        <v>1</v>
      </c>
      <c r="CS47">
        <f>IF((AND(VLOOKUP(CS$1,main!$A$3:$H$102,5,FALSE)-VLOOKUP($A47,main!$A$3:$H$102,6,FALSE)&gt;=(VLOOKUP(VLOOKUP(CS$1,main!$A$3:$H$102,8,FALSE),main!$K$26:$M$29,2,FALSE)+VLOOKUP(VLOOKUP(CS$1,main!$A$3:$H$102,7,FALSE),main!$K$19:$O$22,MATCH(VLOOKUP($A47,main!$A$3:$H$102,8,FALSE),main!$K$18:$O$18,0))))),1,0)</f>
        <v>1</v>
      </c>
      <c r="CT47">
        <f>IF((AND(VLOOKUP(CT$1,main!$A$3:$H$102,5,FALSE)-VLOOKUP($A47,main!$A$3:$H$102,6,FALSE)&gt;=(VLOOKUP(VLOOKUP(CT$1,main!$A$3:$H$102,8,FALSE),main!$K$26:$M$29,2,FALSE)+VLOOKUP(VLOOKUP(CT$1,main!$A$3:$H$102,7,FALSE),main!$K$19:$O$22,MATCH(VLOOKUP($A47,main!$A$3:$H$102,8,FALSE),main!$K$18:$O$18,0))))),1,0)</f>
        <v>0</v>
      </c>
      <c r="CU47">
        <f>IF((AND(VLOOKUP(CU$1,main!$A$3:$H$102,5,FALSE)-VLOOKUP($A47,main!$A$3:$H$102,6,FALSE)&gt;=(VLOOKUP(VLOOKUP(CU$1,main!$A$3:$H$102,8,FALSE),main!$K$26:$M$29,2,FALSE)+VLOOKUP(VLOOKUP(CU$1,main!$A$3:$H$102,7,FALSE),main!$K$19:$O$22,MATCH(VLOOKUP($A47,main!$A$3:$H$102,8,FALSE),main!$K$18:$O$18,0))))),1,0)</f>
        <v>1</v>
      </c>
      <c r="CV47">
        <f>IF((AND(VLOOKUP(CV$1,main!$A$3:$H$102,5,FALSE)-VLOOKUP($A47,main!$A$3:$H$102,6,FALSE)&gt;=(VLOOKUP(VLOOKUP(CV$1,main!$A$3:$H$102,8,FALSE),main!$K$26:$M$29,2,FALSE)+VLOOKUP(VLOOKUP(CV$1,main!$A$3:$H$102,7,FALSE),main!$K$19:$O$22,MATCH(VLOOKUP($A47,main!$A$3:$H$102,8,FALSE),main!$K$18:$O$18,0))))),1,0)</f>
        <v>1</v>
      </c>
      <c r="CW47">
        <f>IF((AND(VLOOKUP(CW$1,main!$A$3:$H$102,5,FALSE)-VLOOKUP($A47,main!$A$3:$H$102,6,FALSE)&gt;=(VLOOKUP(VLOOKUP(CW$1,main!$A$3:$H$102,8,FALSE),main!$K$26:$M$29,2,FALSE)+VLOOKUP(VLOOKUP(CW$1,main!$A$3:$H$102,7,FALSE),main!$K$19:$O$22,MATCH(VLOOKUP($A47,main!$A$3:$H$102,8,FALSE),main!$K$18:$O$18,0))))),1,0)</f>
        <v>1</v>
      </c>
      <c r="CX47">
        <f>IF((AND(VLOOKUP(CX$1,main!$A$3:$H$102,5,FALSE)-VLOOKUP($A47,main!$A$3:$H$102,6,FALSE)&gt;=(VLOOKUP(VLOOKUP(CX$1,main!$A$3:$H$102,8,FALSE),main!$K$26:$M$29,2,FALSE)+VLOOKUP(VLOOKUP(CX$1,main!$A$3:$H$102,7,FALSE),main!$K$19:$O$22,MATCH(VLOOKUP($A47,main!$A$3:$H$102,8,FALSE),main!$K$18:$O$18,0))))),1,0)</f>
        <v>1</v>
      </c>
    </row>
    <row r="48" spans="1:102" x14ac:dyDescent="0.25">
      <c r="A48" s="1">
        <v>46</v>
      </c>
      <c r="B48">
        <v>1</v>
      </c>
      <c r="C48">
        <f>IF((AND(VLOOKUP(C$1,main!$A$3:$H$102,5,FALSE)-VLOOKUP($A48,main!$A$3:$H$102,6,FALSE)&gt;=(VLOOKUP(VLOOKUP(C$1,main!$A$3:$H$102,8,FALSE),main!$K$26:$M$29,2,FALSE)+VLOOKUP(VLOOKUP(C$1,main!$A$3:$H$102,7,FALSE),main!$K$19:$O$22,MATCH(VLOOKUP($A48,main!$A$3:$H$102,8,FALSE),main!$K$18:$O$18,0))))),1,0)</f>
        <v>0</v>
      </c>
      <c r="D48">
        <f>IF((AND(VLOOKUP(D$1,main!$A$3:$H$102,5,FALSE)-VLOOKUP($A48,main!$A$3:$H$102,6,FALSE)&gt;=(VLOOKUP(VLOOKUP(D$1,main!$A$3:$H$102,8,FALSE),main!$K$26:$M$29,2,FALSE)+VLOOKUP(VLOOKUP(D$1,main!$A$3:$H$102,7,FALSE),main!$K$19:$O$22,MATCH(VLOOKUP($A48,main!$A$3:$H$102,8,FALSE),main!$K$18:$O$18,0))))),1,0)</f>
        <v>0</v>
      </c>
      <c r="E48">
        <f>IF((AND(VLOOKUP(E$1,main!$A$3:$H$102,5,FALSE)-VLOOKUP($A48,main!$A$3:$H$102,6,FALSE)&gt;=(VLOOKUP(VLOOKUP(E$1,main!$A$3:$H$102,8,FALSE),main!$K$26:$M$29,2,FALSE)+VLOOKUP(VLOOKUP(E$1,main!$A$3:$H$102,7,FALSE),main!$K$19:$O$22,MATCH(VLOOKUP($A48,main!$A$3:$H$102,8,FALSE),main!$K$18:$O$18,0))))),1,0)</f>
        <v>1</v>
      </c>
      <c r="F48">
        <f>IF((AND(VLOOKUP(F$1,main!$A$3:$H$102,5,FALSE)-VLOOKUP($A48,main!$A$3:$H$102,6,FALSE)&gt;=(VLOOKUP(VLOOKUP(F$1,main!$A$3:$H$102,8,FALSE),main!$K$26:$M$29,2,FALSE)+VLOOKUP(VLOOKUP(F$1,main!$A$3:$H$102,7,FALSE),main!$K$19:$O$22,MATCH(VLOOKUP($A48,main!$A$3:$H$102,8,FALSE),main!$K$18:$O$18,0))))),1,0)</f>
        <v>1</v>
      </c>
      <c r="G48">
        <f>IF((AND(VLOOKUP(G$1,main!$A$3:$H$102,5,FALSE)-VLOOKUP($A48,main!$A$3:$H$102,6,FALSE)&gt;=(VLOOKUP(VLOOKUP(G$1,main!$A$3:$H$102,8,FALSE),main!$K$26:$M$29,2,FALSE)+VLOOKUP(VLOOKUP(G$1,main!$A$3:$H$102,7,FALSE),main!$K$19:$O$22,MATCH(VLOOKUP($A48,main!$A$3:$H$102,8,FALSE),main!$K$18:$O$18,0))))),1,0)</f>
        <v>1</v>
      </c>
      <c r="H48">
        <f>IF((AND(VLOOKUP(H$1,main!$A$3:$H$102,5,FALSE)-VLOOKUP($A48,main!$A$3:$H$102,6,FALSE)&gt;=(VLOOKUP(VLOOKUP(H$1,main!$A$3:$H$102,8,FALSE),main!$K$26:$M$29,2,FALSE)+VLOOKUP(VLOOKUP(H$1,main!$A$3:$H$102,7,FALSE),main!$K$19:$O$22,MATCH(VLOOKUP($A48,main!$A$3:$H$102,8,FALSE),main!$K$18:$O$18,0))))),1,0)</f>
        <v>1</v>
      </c>
      <c r="I48">
        <f>IF((AND(VLOOKUP(I$1,main!$A$3:$H$102,5,FALSE)-VLOOKUP($A48,main!$A$3:$H$102,6,FALSE)&gt;=(VLOOKUP(VLOOKUP(I$1,main!$A$3:$H$102,8,FALSE),main!$K$26:$M$29,2,FALSE)+VLOOKUP(VLOOKUP(I$1,main!$A$3:$H$102,7,FALSE),main!$K$19:$O$22,MATCH(VLOOKUP($A48,main!$A$3:$H$102,8,FALSE),main!$K$18:$O$18,0))))),1,0)</f>
        <v>1</v>
      </c>
      <c r="J48">
        <f>IF((AND(VLOOKUP(J$1,main!$A$3:$H$102,5,FALSE)-VLOOKUP($A48,main!$A$3:$H$102,6,FALSE)&gt;=(VLOOKUP(VLOOKUP(J$1,main!$A$3:$H$102,8,FALSE),main!$K$26:$M$29,2,FALSE)+VLOOKUP(VLOOKUP(J$1,main!$A$3:$H$102,7,FALSE),main!$K$19:$O$22,MATCH(VLOOKUP($A48,main!$A$3:$H$102,8,FALSE),main!$K$18:$O$18,0))))),1,0)</f>
        <v>1</v>
      </c>
      <c r="K48">
        <f>IF((AND(VLOOKUP(K$1,main!$A$3:$H$102,5,FALSE)-VLOOKUP($A48,main!$A$3:$H$102,6,FALSE)&gt;=(VLOOKUP(VLOOKUP(K$1,main!$A$3:$H$102,8,FALSE),main!$K$26:$M$29,2,FALSE)+VLOOKUP(VLOOKUP(K$1,main!$A$3:$H$102,7,FALSE),main!$K$19:$O$22,MATCH(VLOOKUP($A48,main!$A$3:$H$102,8,FALSE),main!$K$18:$O$18,0))))),1,0)</f>
        <v>1</v>
      </c>
      <c r="L48">
        <f>IF((AND(VLOOKUP(L$1,main!$A$3:$H$102,5,FALSE)-VLOOKUP($A48,main!$A$3:$H$102,6,FALSE)&gt;=(VLOOKUP(VLOOKUP(L$1,main!$A$3:$H$102,8,FALSE),main!$K$26:$M$29,2,FALSE)+VLOOKUP(VLOOKUP(L$1,main!$A$3:$H$102,7,FALSE),main!$K$19:$O$22,MATCH(VLOOKUP($A48,main!$A$3:$H$102,8,FALSE),main!$K$18:$O$18,0))))),1,0)</f>
        <v>1</v>
      </c>
      <c r="M48">
        <f>IF((AND(VLOOKUP(M$1,main!$A$3:$H$102,5,FALSE)-VLOOKUP($A48,main!$A$3:$H$102,6,FALSE)&gt;=(VLOOKUP(VLOOKUP(M$1,main!$A$3:$H$102,8,FALSE),main!$K$26:$M$29,2,FALSE)+VLOOKUP(VLOOKUP(M$1,main!$A$3:$H$102,7,FALSE),main!$K$19:$O$22,MATCH(VLOOKUP($A48,main!$A$3:$H$102,8,FALSE),main!$K$18:$O$18,0))))),1,0)</f>
        <v>0</v>
      </c>
      <c r="N48">
        <f>IF((AND(VLOOKUP(N$1,main!$A$3:$H$102,5,FALSE)-VLOOKUP($A48,main!$A$3:$H$102,6,FALSE)&gt;=(VLOOKUP(VLOOKUP(N$1,main!$A$3:$H$102,8,FALSE),main!$K$26:$M$29,2,FALSE)+VLOOKUP(VLOOKUP(N$1,main!$A$3:$H$102,7,FALSE),main!$K$19:$O$22,MATCH(VLOOKUP($A48,main!$A$3:$H$102,8,FALSE),main!$K$18:$O$18,0))))),1,0)</f>
        <v>0</v>
      </c>
      <c r="O48">
        <f>IF((AND(VLOOKUP(O$1,main!$A$3:$H$102,5,FALSE)-VLOOKUP($A48,main!$A$3:$H$102,6,FALSE)&gt;=(VLOOKUP(VLOOKUP(O$1,main!$A$3:$H$102,8,FALSE),main!$K$26:$M$29,2,FALSE)+VLOOKUP(VLOOKUP(O$1,main!$A$3:$H$102,7,FALSE),main!$K$19:$O$22,MATCH(VLOOKUP($A48,main!$A$3:$H$102,8,FALSE),main!$K$18:$O$18,0))))),1,0)</f>
        <v>0</v>
      </c>
      <c r="P48">
        <f>IF((AND(VLOOKUP(P$1,main!$A$3:$H$102,5,FALSE)-VLOOKUP($A48,main!$A$3:$H$102,6,FALSE)&gt;=(VLOOKUP(VLOOKUP(P$1,main!$A$3:$H$102,8,FALSE),main!$K$26:$M$29,2,FALSE)+VLOOKUP(VLOOKUP(P$1,main!$A$3:$H$102,7,FALSE),main!$K$19:$O$22,MATCH(VLOOKUP($A48,main!$A$3:$H$102,8,FALSE),main!$K$18:$O$18,0))))),1,0)</f>
        <v>1</v>
      </c>
      <c r="Q48">
        <f>IF((AND(VLOOKUP(Q$1,main!$A$3:$H$102,5,FALSE)-VLOOKUP($A48,main!$A$3:$H$102,6,FALSE)&gt;=(VLOOKUP(VLOOKUP(Q$1,main!$A$3:$H$102,8,FALSE),main!$K$26:$M$29,2,FALSE)+VLOOKUP(VLOOKUP(Q$1,main!$A$3:$H$102,7,FALSE),main!$K$19:$O$22,MATCH(VLOOKUP($A48,main!$A$3:$H$102,8,FALSE),main!$K$18:$O$18,0))))),1,0)</f>
        <v>1</v>
      </c>
      <c r="R48">
        <f>IF((AND(VLOOKUP(R$1,main!$A$3:$H$102,5,FALSE)-VLOOKUP($A48,main!$A$3:$H$102,6,FALSE)&gt;=(VLOOKUP(VLOOKUP(R$1,main!$A$3:$H$102,8,FALSE),main!$K$26:$M$29,2,FALSE)+VLOOKUP(VLOOKUP(R$1,main!$A$3:$H$102,7,FALSE),main!$K$19:$O$22,MATCH(VLOOKUP($A48,main!$A$3:$H$102,8,FALSE),main!$K$18:$O$18,0))))),1,0)</f>
        <v>1</v>
      </c>
      <c r="S48">
        <f>IF((AND(VLOOKUP(S$1,main!$A$3:$H$102,5,FALSE)-VLOOKUP($A48,main!$A$3:$H$102,6,FALSE)&gt;=(VLOOKUP(VLOOKUP(S$1,main!$A$3:$H$102,8,FALSE),main!$K$26:$M$29,2,FALSE)+VLOOKUP(VLOOKUP(S$1,main!$A$3:$H$102,7,FALSE),main!$K$19:$O$22,MATCH(VLOOKUP($A48,main!$A$3:$H$102,8,FALSE),main!$K$18:$O$18,0))))),1,0)</f>
        <v>1</v>
      </c>
      <c r="T48">
        <f>IF((AND(VLOOKUP(T$1,main!$A$3:$H$102,5,FALSE)-VLOOKUP($A48,main!$A$3:$H$102,6,FALSE)&gt;=(VLOOKUP(VLOOKUP(T$1,main!$A$3:$H$102,8,FALSE),main!$K$26:$M$29,2,FALSE)+VLOOKUP(VLOOKUP(T$1,main!$A$3:$H$102,7,FALSE),main!$K$19:$O$22,MATCH(VLOOKUP($A48,main!$A$3:$H$102,8,FALSE),main!$K$18:$O$18,0))))),1,0)</f>
        <v>1</v>
      </c>
      <c r="U48">
        <f>IF((AND(VLOOKUP(U$1,main!$A$3:$H$102,5,FALSE)-VLOOKUP($A48,main!$A$3:$H$102,6,FALSE)&gt;=(VLOOKUP(VLOOKUP(U$1,main!$A$3:$H$102,8,FALSE),main!$K$26:$M$29,2,FALSE)+VLOOKUP(VLOOKUP(U$1,main!$A$3:$H$102,7,FALSE),main!$K$19:$O$22,MATCH(VLOOKUP($A48,main!$A$3:$H$102,8,FALSE),main!$K$18:$O$18,0))))),1,0)</f>
        <v>1</v>
      </c>
      <c r="V48">
        <f>IF((AND(VLOOKUP(V$1,main!$A$3:$H$102,5,FALSE)-VLOOKUP($A48,main!$A$3:$H$102,6,FALSE)&gt;=(VLOOKUP(VLOOKUP(V$1,main!$A$3:$H$102,8,FALSE),main!$K$26:$M$29,2,FALSE)+VLOOKUP(VLOOKUP(V$1,main!$A$3:$H$102,7,FALSE),main!$K$19:$O$22,MATCH(VLOOKUP($A48,main!$A$3:$H$102,8,FALSE),main!$K$18:$O$18,0))))),1,0)</f>
        <v>1</v>
      </c>
      <c r="W48">
        <f>IF((AND(VLOOKUP(W$1,main!$A$3:$H$102,5,FALSE)-VLOOKUP($A48,main!$A$3:$H$102,6,FALSE)&gt;=(VLOOKUP(VLOOKUP(W$1,main!$A$3:$H$102,8,FALSE),main!$K$26:$M$29,2,FALSE)+VLOOKUP(VLOOKUP(W$1,main!$A$3:$H$102,7,FALSE),main!$K$19:$O$22,MATCH(VLOOKUP($A48,main!$A$3:$H$102,8,FALSE),main!$K$18:$O$18,0))))),1,0)</f>
        <v>0</v>
      </c>
      <c r="X48">
        <f>IF((AND(VLOOKUP(X$1,main!$A$3:$H$102,5,FALSE)-VLOOKUP($A48,main!$A$3:$H$102,6,FALSE)&gt;=(VLOOKUP(VLOOKUP(X$1,main!$A$3:$H$102,8,FALSE),main!$K$26:$M$29,2,FALSE)+VLOOKUP(VLOOKUP(X$1,main!$A$3:$H$102,7,FALSE),main!$K$19:$O$22,MATCH(VLOOKUP($A48,main!$A$3:$H$102,8,FALSE),main!$K$18:$O$18,0))))),1,0)</f>
        <v>1</v>
      </c>
      <c r="Y48">
        <f>IF((AND(VLOOKUP(Y$1,main!$A$3:$H$102,5,FALSE)-VLOOKUP($A48,main!$A$3:$H$102,6,FALSE)&gt;=(VLOOKUP(VLOOKUP(Y$1,main!$A$3:$H$102,8,FALSE),main!$K$26:$M$29,2,FALSE)+VLOOKUP(VLOOKUP(Y$1,main!$A$3:$H$102,7,FALSE),main!$K$19:$O$22,MATCH(VLOOKUP($A48,main!$A$3:$H$102,8,FALSE),main!$K$18:$O$18,0))))),1,0)</f>
        <v>1</v>
      </c>
      <c r="Z48">
        <f>IF((AND(VLOOKUP(Z$1,main!$A$3:$H$102,5,FALSE)-VLOOKUP($A48,main!$A$3:$H$102,6,FALSE)&gt;=(VLOOKUP(VLOOKUP(Z$1,main!$A$3:$H$102,8,FALSE),main!$K$26:$M$29,2,FALSE)+VLOOKUP(VLOOKUP(Z$1,main!$A$3:$H$102,7,FALSE),main!$K$19:$O$22,MATCH(VLOOKUP($A48,main!$A$3:$H$102,8,FALSE),main!$K$18:$O$18,0))))),1,0)</f>
        <v>1</v>
      </c>
      <c r="AA48">
        <f>IF((AND(VLOOKUP(AA$1,main!$A$3:$H$102,5,FALSE)-VLOOKUP($A48,main!$A$3:$H$102,6,FALSE)&gt;=(VLOOKUP(VLOOKUP(AA$1,main!$A$3:$H$102,8,FALSE),main!$K$26:$M$29,2,FALSE)+VLOOKUP(VLOOKUP(AA$1,main!$A$3:$H$102,7,FALSE),main!$K$19:$O$22,MATCH(VLOOKUP($A48,main!$A$3:$H$102,8,FALSE),main!$K$18:$O$18,0))))),1,0)</f>
        <v>1</v>
      </c>
      <c r="AB48">
        <f>IF((AND(VLOOKUP(AB$1,main!$A$3:$H$102,5,FALSE)-VLOOKUP($A48,main!$A$3:$H$102,6,FALSE)&gt;=(VLOOKUP(VLOOKUP(AB$1,main!$A$3:$H$102,8,FALSE),main!$K$26:$M$29,2,FALSE)+VLOOKUP(VLOOKUP(AB$1,main!$A$3:$H$102,7,FALSE),main!$K$19:$O$22,MATCH(VLOOKUP($A48,main!$A$3:$H$102,8,FALSE),main!$K$18:$O$18,0))))),1,0)</f>
        <v>0</v>
      </c>
      <c r="AC48">
        <f>IF((AND(VLOOKUP(AC$1,main!$A$3:$H$102,5,FALSE)-VLOOKUP($A48,main!$A$3:$H$102,6,FALSE)&gt;=(VLOOKUP(VLOOKUP(AC$1,main!$A$3:$H$102,8,FALSE),main!$K$26:$M$29,2,FALSE)+VLOOKUP(VLOOKUP(AC$1,main!$A$3:$H$102,7,FALSE),main!$K$19:$O$22,MATCH(VLOOKUP($A48,main!$A$3:$H$102,8,FALSE),main!$K$18:$O$18,0))))),1,0)</f>
        <v>0</v>
      </c>
      <c r="AD48">
        <f>IF((AND(VLOOKUP(AD$1,main!$A$3:$H$102,5,FALSE)-VLOOKUP($A48,main!$A$3:$H$102,6,FALSE)&gt;=(VLOOKUP(VLOOKUP(AD$1,main!$A$3:$H$102,8,FALSE),main!$K$26:$M$29,2,FALSE)+VLOOKUP(VLOOKUP(AD$1,main!$A$3:$H$102,7,FALSE),main!$K$19:$O$22,MATCH(VLOOKUP($A48,main!$A$3:$H$102,8,FALSE),main!$K$18:$O$18,0))))),1,0)</f>
        <v>1</v>
      </c>
      <c r="AE48">
        <f>IF((AND(VLOOKUP(AE$1,main!$A$3:$H$102,5,FALSE)-VLOOKUP($A48,main!$A$3:$H$102,6,FALSE)&gt;=(VLOOKUP(VLOOKUP(AE$1,main!$A$3:$H$102,8,FALSE),main!$K$26:$M$29,2,FALSE)+VLOOKUP(VLOOKUP(AE$1,main!$A$3:$H$102,7,FALSE),main!$K$19:$O$22,MATCH(VLOOKUP($A48,main!$A$3:$H$102,8,FALSE),main!$K$18:$O$18,0))))),1,0)</f>
        <v>1</v>
      </c>
      <c r="AF48">
        <f>IF((AND(VLOOKUP(AF$1,main!$A$3:$H$102,5,FALSE)-VLOOKUP($A48,main!$A$3:$H$102,6,FALSE)&gt;=(VLOOKUP(VLOOKUP(AF$1,main!$A$3:$H$102,8,FALSE),main!$K$26:$M$29,2,FALSE)+VLOOKUP(VLOOKUP(AF$1,main!$A$3:$H$102,7,FALSE),main!$K$19:$O$22,MATCH(VLOOKUP($A48,main!$A$3:$H$102,8,FALSE),main!$K$18:$O$18,0))))),1,0)</f>
        <v>1</v>
      </c>
      <c r="AG48">
        <f>IF((AND(VLOOKUP(AG$1,main!$A$3:$H$102,5,FALSE)-VLOOKUP($A48,main!$A$3:$H$102,6,FALSE)&gt;=(VLOOKUP(VLOOKUP(AG$1,main!$A$3:$H$102,8,FALSE),main!$K$26:$M$29,2,FALSE)+VLOOKUP(VLOOKUP(AG$1,main!$A$3:$H$102,7,FALSE),main!$K$19:$O$22,MATCH(VLOOKUP($A48,main!$A$3:$H$102,8,FALSE),main!$K$18:$O$18,0))))),1,0)</f>
        <v>0</v>
      </c>
      <c r="AH48">
        <f>IF((AND(VLOOKUP(AH$1,main!$A$3:$H$102,5,FALSE)-VLOOKUP($A48,main!$A$3:$H$102,6,FALSE)&gt;=(VLOOKUP(VLOOKUP(AH$1,main!$A$3:$H$102,8,FALSE),main!$K$26:$M$29,2,FALSE)+VLOOKUP(VLOOKUP(AH$1,main!$A$3:$H$102,7,FALSE),main!$K$19:$O$22,MATCH(VLOOKUP($A48,main!$A$3:$H$102,8,FALSE),main!$K$18:$O$18,0))))),1,0)</f>
        <v>1</v>
      </c>
      <c r="AI48">
        <f>IF((AND(VLOOKUP(AI$1,main!$A$3:$H$102,5,FALSE)-VLOOKUP($A48,main!$A$3:$H$102,6,FALSE)&gt;=(VLOOKUP(VLOOKUP(AI$1,main!$A$3:$H$102,8,FALSE),main!$K$26:$M$29,2,FALSE)+VLOOKUP(VLOOKUP(AI$1,main!$A$3:$H$102,7,FALSE),main!$K$19:$O$22,MATCH(VLOOKUP($A48,main!$A$3:$H$102,8,FALSE),main!$K$18:$O$18,0))))),1,0)</f>
        <v>1</v>
      </c>
      <c r="AJ48">
        <f>IF((AND(VLOOKUP(AJ$1,main!$A$3:$H$102,5,FALSE)-VLOOKUP($A48,main!$A$3:$H$102,6,FALSE)&gt;=(VLOOKUP(VLOOKUP(AJ$1,main!$A$3:$H$102,8,FALSE),main!$K$26:$M$29,2,FALSE)+VLOOKUP(VLOOKUP(AJ$1,main!$A$3:$H$102,7,FALSE),main!$K$19:$O$22,MATCH(VLOOKUP($A48,main!$A$3:$H$102,8,FALSE),main!$K$18:$O$18,0))))),1,0)</f>
        <v>1</v>
      </c>
      <c r="AK48">
        <f>IF((AND(VLOOKUP(AK$1,main!$A$3:$H$102,5,FALSE)-VLOOKUP($A48,main!$A$3:$H$102,6,FALSE)&gt;=(VLOOKUP(VLOOKUP(AK$1,main!$A$3:$H$102,8,FALSE),main!$K$26:$M$29,2,FALSE)+VLOOKUP(VLOOKUP(AK$1,main!$A$3:$H$102,7,FALSE),main!$K$19:$O$22,MATCH(VLOOKUP($A48,main!$A$3:$H$102,8,FALSE),main!$K$18:$O$18,0))))),1,0)</f>
        <v>1</v>
      </c>
      <c r="AL48">
        <f>IF((AND(VLOOKUP(AL$1,main!$A$3:$H$102,5,FALSE)-VLOOKUP($A48,main!$A$3:$H$102,6,FALSE)&gt;=(VLOOKUP(VLOOKUP(AL$1,main!$A$3:$H$102,8,FALSE),main!$K$26:$M$29,2,FALSE)+VLOOKUP(VLOOKUP(AL$1,main!$A$3:$H$102,7,FALSE),main!$K$19:$O$22,MATCH(VLOOKUP($A48,main!$A$3:$H$102,8,FALSE),main!$K$18:$O$18,0))))),1,0)</f>
        <v>1</v>
      </c>
      <c r="AM48">
        <f>IF((AND(VLOOKUP(AM$1,main!$A$3:$H$102,5,FALSE)-VLOOKUP($A48,main!$A$3:$H$102,6,FALSE)&gt;=(VLOOKUP(VLOOKUP(AM$1,main!$A$3:$H$102,8,FALSE),main!$K$26:$M$29,2,FALSE)+VLOOKUP(VLOOKUP(AM$1,main!$A$3:$H$102,7,FALSE),main!$K$19:$O$22,MATCH(VLOOKUP($A48,main!$A$3:$H$102,8,FALSE),main!$K$18:$O$18,0))))),1,0)</f>
        <v>1</v>
      </c>
      <c r="AN48">
        <f>IF((AND(VLOOKUP(AN$1,main!$A$3:$H$102,5,FALSE)-VLOOKUP($A48,main!$A$3:$H$102,6,FALSE)&gt;=(VLOOKUP(VLOOKUP(AN$1,main!$A$3:$H$102,8,FALSE),main!$K$26:$M$29,2,FALSE)+VLOOKUP(VLOOKUP(AN$1,main!$A$3:$H$102,7,FALSE),main!$K$19:$O$22,MATCH(VLOOKUP($A48,main!$A$3:$H$102,8,FALSE),main!$K$18:$O$18,0))))),1,0)</f>
        <v>1</v>
      </c>
      <c r="AO48">
        <f>IF((AND(VLOOKUP(AO$1,main!$A$3:$H$102,5,FALSE)-VLOOKUP($A48,main!$A$3:$H$102,6,FALSE)&gt;=(VLOOKUP(VLOOKUP(AO$1,main!$A$3:$H$102,8,FALSE),main!$K$26:$M$29,2,FALSE)+VLOOKUP(VLOOKUP(AO$1,main!$A$3:$H$102,7,FALSE),main!$K$19:$O$22,MATCH(VLOOKUP($A48,main!$A$3:$H$102,8,FALSE),main!$K$18:$O$18,0))))),1,0)</f>
        <v>0</v>
      </c>
      <c r="AP48">
        <f>IF((AND(VLOOKUP(AP$1,main!$A$3:$H$102,5,FALSE)-VLOOKUP($A48,main!$A$3:$H$102,6,FALSE)&gt;=(VLOOKUP(VLOOKUP(AP$1,main!$A$3:$H$102,8,FALSE),main!$K$26:$M$29,2,FALSE)+VLOOKUP(VLOOKUP(AP$1,main!$A$3:$H$102,7,FALSE),main!$K$19:$O$22,MATCH(VLOOKUP($A48,main!$A$3:$H$102,8,FALSE),main!$K$18:$O$18,0))))),1,0)</f>
        <v>1</v>
      </c>
      <c r="AQ48">
        <f>IF((AND(VLOOKUP(AQ$1,main!$A$3:$H$102,5,FALSE)-VLOOKUP($A48,main!$A$3:$H$102,6,FALSE)&gt;=(VLOOKUP(VLOOKUP(AQ$1,main!$A$3:$H$102,8,FALSE),main!$K$26:$M$29,2,FALSE)+VLOOKUP(VLOOKUP(AQ$1,main!$A$3:$H$102,7,FALSE),main!$K$19:$O$22,MATCH(VLOOKUP($A48,main!$A$3:$H$102,8,FALSE),main!$K$18:$O$18,0))))),1,0)</f>
        <v>0</v>
      </c>
      <c r="AR48">
        <f>IF((AND(VLOOKUP(AR$1,main!$A$3:$H$102,5,FALSE)-VLOOKUP($A48,main!$A$3:$H$102,6,FALSE)&gt;=(VLOOKUP(VLOOKUP(AR$1,main!$A$3:$H$102,8,FALSE),main!$K$26:$M$29,2,FALSE)+VLOOKUP(VLOOKUP(AR$1,main!$A$3:$H$102,7,FALSE),main!$K$19:$O$22,MATCH(VLOOKUP($A48,main!$A$3:$H$102,8,FALSE),main!$K$18:$O$18,0))))),1,0)</f>
        <v>0</v>
      </c>
      <c r="AS48">
        <f>IF((AND(VLOOKUP(AS$1,main!$A$3:$H$102,5,FALSE)-VLOOKUP($A48,main!$A$3:$H$102,6,FALSE)&gt;=(VLOOKUP(VLOOKUP(AS$1,main!$A$3:$H$102,8,FALSE),main!$K$26:$M$29,2,FALSE)+VLOOKUP(VLOOKUP(AS$1,main!$A$3:$H$102,7,FALSE),main!$K$19:$O$22,MATCH(VLOOKUP($A48,main!$A$3:$H$102,8,FALSE),main!$K$18:$O$18,0))))),1,0)</f>
        <v>1</v>
      </c>
      <c r="AT48">
        <f>IF((AND(VLOOKUP(AT$1,main!$A$3:$H$102,5,FALSE)-VLOOKUP($A48,main!$A$3:$H$102,6,FALSE)&gt;=(VLOOKUP(VLOOKUP(AT$1,main!$A$3:$H$102,8,FALSE),main!$K$26:$M$29,2,FALSE)+VLOOKUP(VLOOKUP(AT$1,main!$A$3:$H$102,7,FALSE),main!$K$19:$O$22,MATCH(VLOOKUP($A48,main!$A$3:$H$102,8,FALSE),main!$K$18:$O$18,0))))),1,0)</f>
        <v>1</v>
      </c>
      <c r="AU48">
        <f>IF((AND(VLOOKUP(AU$1,main!$A$3:$H$102,5,FALSE)-VLOOKUP($A48,main!$A$3:$H$102,6,FALSE)&gt;=(VLOOKUP(VLOOKUP(AU$1,main!$A$3:$H$102,8,FALSE),main!$K$26:$M$29,2,FALSE)+VLOOKUP(VLOOKUP(AU$1,main!$A$3:$H$102,7,FALSE),main!$K$19:$O$22,MATCH(VLOOKUP($A48,main!$A$3:$H$102,8,FALSE),main!$K$18:$O$18,0))))),1,0)</f>
        <v>0</v>
      </c>
      <c r="AV48">
        <f>IF((AND(VLOOKUP(AV$1,main!$A$3:$H$102,5,FALSE)-VLOOKUP($A48,main!$A$3:$H$102,6,FALSE)&gt;=(VLOOKUP(VLOOKUP(AV$1,main!$A$3:$H$102,8,FALSE),main!$K$26:$M$29,2,FALSE)+VLOOKUP(VLOOKUP(AV$1,main!$A$3:$H$102,7,FALSE),main!$K$19:$O$22,MATCH(VLOOKUP($A48,main!$A$3:$H$102,8,FALSE),main!$K$18:$O$18,0))))),1,0)</f>
        <v>0</v>
      </c>
      <c r="AW48">
        <f>IF((AND(VLOOKUP(AW$1,main!$A$3:$H$102,5,FALSE)-VLOOKUP($A48,main!$A$3:$H$102,6,FALSE)&gt;=(VLOOKUP(VLOOKUP(AW$1,main!$A$3:$H$102,8,FALSE),main!$K$26:$M$29,2,FALSE)+VLOOKUP(VLOOKUP(AW$1,main!$A$3:$H$102,7,FALSE),main!$K$19:$O$22,MATCH(VLOOKUP($A48,main!$A$3:$H$102,8,FALSE),main!$K$18:$O$18,0))))),1,0)</f>
        <v>1</v>
      </c>
      <c r="AX48">
        <f>IF((AND(VLOOKUP(AX$1,main!$A$3:$H$102,5,FALSE)-VLOOKUP($A48,main!$A$3:$H$102,6,FALSE)&gt;=(VLOOKUP(VLOOKUP(AX$1,main!$A$3:$H$102,8,FALSE),main!$K$26:$M$29,2,FALSE)+VLOOKUP(VLOOKUP(AX$1,main!$A$3:$H$102,7,FALSE),main!$K$19:$O$22,MATCH(VLOOKUP($A48,main!$A$3:$H$102,8,FALSE),main!$K$18:$O$18,0))))),1,0)</f>
        <v>1</v>
      </c>
      <c r="AY48">
        <f>IF((AND(VLOOKUP(AY$1,main!$A$3:$H$102,5,FALSE)-VLOOKUP($A48,main!$A$3:$H$102,6,FALSE)&gt;=(VLOOKUP(VLOOKUP(AY$1,main!$A$3:$H$102,8,FALSE),main!$K$26:$M$29,2,FALSE)+VLOOKUP(VLOOKUP(AY$1,main!$A$3:$H$102,7,FALSE),main!$K$19:$O$22,MATCH(VLOOKUP($A48,main!$A$3:$H$102,8,FALSE),main!$K$18:$O$18,0))))),1,0)</f>
        <v>0</v>
      </c>
      <c r="AZ48">
        <f>IF((AND(VLOOKUP(AZ$1,main!$A$3:$H$102,5,FALSE)-VLOOKUP($A48,main!$A$3:$H$102,6,FALSE)&gt;=(VLOOKUP(VLOOKUP(AZ$1,main!$A$3:$H$102,8,FALSE),main!$K$26:$M$29,2,FALSE)+VLOOKUP(VLOOKUP(AZ$1,main!$A$3:$H$102,7,FALSE),main!$K$19:$O$22,MATCH(VLOOKUP($A48,main!$A$3:$H$102,8,FALSE),main!$K$18:$O$18,0))))),1,0)</f>
        <v>1</v>
      </c>
      <c r="BA48">
        <f>IF((AND(VLOOKUP(BA$1,main!$A$3:$H$102,5,FALSE)-VLOOKUP($A48,main!$A$3:$H$102,6,FALSE)&gt;=(VLOOKUP(VLOOKUP(BA$1,main!$A$3:$H$102,8,FALSE),main!$K$26:$M$29,2,FALSE)+VLOOKUP(VLOOKUP(BA$1,main!$A$3:$H$102,7,FALSE),main!$K$19:$O$22,MATCH(VLOOKUP($A48,main!$A$3:$H$102,8,FALSE),main!$K$18:$O$18,0))))),1,0)</f>
        <v>0</v>
      </c>
      <c r="BB48">
        <f>IF((AND(VLOOKUP(BB$1,main!$A$3:$H$102,5,FALSE)-VLOOKUP($A48,main!$A$3:$H$102,6,FALSE)&gt;=(VLOOKUP(VLOOKUP(BB$1,main!$A$3:$H$102,8,FALSE),main!$K$26:$M$29,2,FALSE)+VLOOKUP(VLOOKUP(BB$1,main!$A$3:$H$102,7,FALSE),main!$K$19:$O$22,MATCH(VLOOKUP($A48,main!$A$3:$H$102,8,FALSE),main!$K$18:$O$18,0))))),1,0)</f>
        <v>1</v>
      </c>
      <c r="BC48">
        <f>IF((AND(VLOOKUP(BC$1,main!$A$3:$H$102,5,FALSE)-VLOOKUP($A48,main!$A$3:$H$102,6,FALSE)&gt;=(VLOOKUP(VLOOKUP(BC$1,main!$A$3:$H$102,8,FALSE),main!$K$26:$M$29,2,FALSE)+VLOOKUP(VLOOKUP(BC$1,main!$A$3:$H$102,7,FALSE),main!$K$19:$O$22,MATCH(VLOOKUP($A48,main!$A$3:$H$102,8,FALSE),main!$K$18:$O$18,0))))),1,0)</f>
        <v>1</v>
      </c>
      <c r="BD48">
        <f>IF((AND(VLOOKUP(BD$1,main!$A$3:$H$102,5,FALSE)-VLOOKUP($A48,main!$A$3:$H$102,6,FALSE)&gt;=(VLOOKUP(VLOOKUP(BD$1,main!$A$3:$H$102,8,FALSE),main!$K$26:$M$29,2,FALSE)+VLOOKUP(VLOOKUP(BD$1,main!$A$3:$H$102,7,FALSE),main!$K$19:$O$22,MATCH(VLOOKUP($A48,main!$A$3:$H$102,8,FALSE),main!$K$18:$O$18,0))))),1,0)</f>
        <v>1</v>
      </c>
      <c r="BE48">
        <f>IF((AND(VLOOKUP(BE$1,main!$A$3:$H$102,5,FALSE)-VLOOKUP($A48,main!$A$3:$H$102,6,FALSE)&gt;=(VLOOKUP(VLOOKUP(BE$1,main!$A$3:$H$102,8,FALSE),main!$K$26:$M$29,2,FALSE)+VLOOKUP(VLOOKUP(BE$1,main!$A$3:$H$102,7,FALSE),main!$K$19:$O$22,MATCH(VLOOKUP($A48,main!$A$3:$H$102,8,FALSE),main!$K$18:$O$18,0))))),1,0)</f>
        <v>1</v>
      </c>
      <c r="BF48">
        <f>IF((AND(VLOOKUP(BF$1,main!$A$3:$H$102,5,FALSE)-VLOOKUP($A48,main!$A$3:$H$102,6,FALSE)&gt;=(VLOOKUP(VLOOKUP(BF$1,main!$A$3:$H$102,8,FALSE),main!$K$26:$M$29,2,FALSE)+VLOOKUP(VLOOKUP(BF$1,main!$A$3:$H$102,7,FALSE),main!$K$19:$O$22,MATCH(VLOOKUP($A48,main!$A$3:$H$102,8,FALSE),main!$K$18:$O$18,0))))),1,0)</f>
        <v>1</v>
      </c>
      <c r="BG48">
        <f>IF((AND(VLOOKUP(BG$1,main!$A$3:$H$102,5,FALSE)-VLOOKUP($A48,main!$A$3:$H$102,6,FALSE)&gt;=(VLOOKUP(VLOOKUP(BG$1,main!$A$3:$H$102,8,FALSE),main!$K$26:$M$29,2,FALSE)+VLOOKUP(VLOOKUP(BG$1,main!$A$3:$H$102,7,FALSE),main!$K$19:$O$22,MATCH(VLOOKUP($A48,main!$A$3:$H$102,8,FALSE),main!$K$18:$O$18,0))))),1,0)</f>
        <v>1</v>
      </c>
      <c r="BH48">
        <f>IF((AND(VLOOKUP(BH$1,main!$A$3:$H$102,5,FALSE)-VLOOKUP($A48,main!$A$3:$H$102,6,FALSE)&gt;=(VLOOKUP(VLOOKUP(BH$1,main!$A$3:$H$102,8,FALSE),main!$K$26:$M$29,2,FALSE)+VLOOKUP(VLOOKUP(BH$1,main!$A$3:$H$102,7,FALSE),main!$K$19:$O$22,MATCH(VLOOKUP($A48,main!$A$3:$H$102,8,FALSE),main!$K$18:$O$18,0))))),1,0)</f>
        <v>1</v>
      </c>
      <c r="BI48">
        <f>IF((AND(VLOOKUP(BI$1,main!$A$3:$H$102,5,FALSE)-VLOOKUP($A48,main!$A$3:$H$102,6,FALSE)&gt;=(VLOOKUP(VLOOKUP(BI$1,main!$A$3:$H$102,8,FALSE),main!$K$26:$M$29,2,FALSE)+VLOOKUP(VLOOKUP(BI$1,main!$A$3:$H$102,7,FALSE),main!$K$19:$O$22,MATCH(VLOOKUP($A48,main!$A$3:$H$102,8,FALSE),main!$K$18:$O$18,0))))),1,0)</f>
        <v>1</v>
      </c>
      <c r="BJ48">
        <f>IF((AND(VLOOKUP(BJ$1,main!$A$3:$H$102,5,FALSE)-VLOOKUP($A48,main!$A$3:$H$102,6,FALSE)&gt;=(VLOOKUP(VLOOKUP(BJ$1,main!$A$3:$H$102,8,FALSE),main!$K$26:$M$29,2,FALSE)+VLOOKUP(VLOOKUP(BJ$1,main!$A$3:$H$102,7,FALSE),main!$K$19:$O$22,MATCH(VLOOKUP($A48,main!$A$3:$H$102,8,FALSE),main!$K$18:$O$18,0))))),1,0)</f>
        <v>1</v>
      </c>
      <c r="BK48">
        <f>IF((AND(VLOOKUP(BK$1,main!$A$3:$H$102,5,FALSE)-VLOOKUP($A48,main!$A$3:$H$102,6,FALSE)&gt;=(VLOOKUP(VLOOKUP(BK$1,main!$A$3:$H$102,8,FALSE),main!$K$26:$M$29,2,FALSE)+VLOOKUP(VLOOKUP(BK$1,main!$A$3:$H$102,7,FALSE),main!$K$19:$O$22,MATCH(VLOOKUP($A48,main!$A$3:$H$102,8,FALSE),main!$K$18:$O$18,0))))),1,0)</f>
        <v>0</v>
      </c>
      <c r="BL48">
        <f>IF((AND(VLOOKUP(BL$1,main!$A$3:$H$102,5,FALSE)-VLOOKUP($A48,main!$A$3:$H$102,6,FALSE)&gt;=(VLOOKUP(VLOOKUP(BL$1,main!$A$3:$H$102,8,FALSE),main!$K$26:$M$29,2,FALSE)+VLOOKUP(VLOOKUP(BL$1,main!$A$3:$H$102,7,FALSE),main!$K$19:$O$22,MATCH(VLOOKUP($A48,main!$A$3:$H$102,8,FALSE),main!$K$18:$O$18,0))))),1,0)</f>
        <v>0</v>
      </c>
      <c r="BM48">
        <f>IF((AND(VLOOKUP(BM$1,main!$A$3:$H$102,5,FALSE)-VLOOKUP($A48,main!$A$3:$H$102,6,FALSE)&gt;=(VLOOKUP(VLOOKUP(BM$1,main!$A$3:$H$102,8,FALSE),main!$K$26:$M$29,2,FALSE)+VLOOKUP(VLOOKUP(BM$1,main!$A$3:$H$102,7,FALSE),main!$K$19:$O$22,MATCH(VLOOKUP($A48,main!$A$3:$H$102,8,FALSE),main!$K$18:$O$18,0))))),1,0)</f>
        <v>1</v>
      </c>
      <c r="BN48">
        <f>IF((AND(VLOOKUP(BN$1,main!$A$3:$H$102,5,FALSE)-VLOOKUP($A48,main!$A$3:$H$102,6,FALSE)&gt;=(VLOOKUP(VLOOKUP(BN$1,main!$A$3:$H$102,8,FALSE),main!$K$26:$M$29,2,FALSE)+VLOOKUP(VLOOKUP(BN$1,main!$A$3:$H$102,7,FALSE),main!$K$19:$O$22,MATCH(VLOOKUP($A48,main!$A$3:$H$102,8,FALSE),main!$K$18:$O$18,0))))),1,0)</f>
        <v>1</v>
      </c>
      <c r="BO48">
        <f>IF((AND(VLOOKUP(BO$1,main!$A$3:$H$102,5,FALSE)-VLOOKUP($A48,main!$A$3:$H$102,6,FALSE)&gt;=(VLOOKUP(VLOOKUP(BO$1,main!$A$3:$H$102,8,FALSE),main!$K$26:$M$29,2,FALSE)+VLOOKUP(VLOOKUP(BO$1,main!$A$3:$H$102,7,FALSE),main!$K$19:$O$22,MATCH(VLOOKUP($A48,main!$A$3:$H$102,8,FALSE),main!$K$18:$O$18,0))))),1,0)</f>
        <v>0</v>
      </c>
      <c r="BP48">
        <f>IF((AND(VLOOKUP(BP$1,main!$A$3:$H$102,5,FALSE)-VLOOKUP($A48,main!$A$3:$H$102,6,FALSE)&gt;=(VLOOKUP(VLOOKUP(BP$1,main!$A$3:$H$102,8,FALSE),main!$K$26:$M$29,2,FALSE)+VLOOKUP(VLOOKUP(BP$1,main!$A$3:$H$102,7,FALSE),main!$K$19:$O$22,MATCH(VLOOKUP($A48,main!$A$3:$H$102,8,FALSE),main!$K$18:$O$18,0))))),1,0)</f>
        <v>0</v>
      </c>
      <c r="BQ48">
        <f>IF((AND(VLOOKUP(BQ$1,main!$A$3:$H$102,5,FALSE)-VLOOKUP($A48,main!$A$3:$H$102,6,FALSE)&gt;=(VLOOKUP(VLOOKUP(BQ$1,main!$A$3:$H$102,8,FALSE),main!$K$26:$M$29,2,FALSE)+VLOOKUP(VLOOKUP(BQ$1,main!$A$3:$H$102,7,FALSE),main!$K$19:$O$22,MATCH(VLOOKUP($A48,main!$A$3:$H$102,8,FALSE),main!$K$18:$O$18,0))))),1,0)</f>
        <v>1</v>
      </c>
      <c r="BR48">
        <f>IF((AND(VLOOKUP(BR$1,main!$A$3:$H$102,5,FALSE)-VLOOKUP($A48,main!$A$3:$H$102,6,FALSE)&gt;=(VLOOKUP(VLOOKUP(BR$1,main!$A$3:$H$102,8,FALSE),main!$K$26:$M$29,2,FALSE)+VLOOKUP(VLOOKUP(BR$1,main!$A$3:$H$102,7,FALSE),main!$K$19:$O$22,MATCH(VLOOKUP($A48,main!$A$3:$H$102,8,FALSE),main!$K$18:$O$18,0))))),1,0)</f>
        <v>1</v>
      </c>
      <c r="BS48">
        <f>IF((AND(VLOOKUP(BS$1,main!$A$3:$H$102,5,FALSE)-VLOOKUP($A48,main!$A$3:$H$102,6,FALSE)&gt;=(VLOOKUP(VLOOKUP(BS$1,main!$A$3:$H$102,8,FALSE),main!$K$26:$M$29,2,FALSE)+VLOOKUP(VLOOKUP(BS$1,main!$A$3:$H$102,7,FALSE),main!$K$19:$O$22,MATCH(VLOOKUP($A48,main!$A$3:$H$102,8,FALSE),main!$K$18:$O$18,0))))),1,0)</f>
        <v>1</v>
      </c>
      <c r="BT48">
        <f>IF((AND(VLOOKUP(BT$1,main!$A$3:$H$102,5,FALSE)-VLOOKUP($A48,main!$A$3:$H$102,6,FALSE)&gt;=(VLOOKUP(VLOOKUP(BT$1,main!$A$3:$H$102,8,FALSE),main!$K$26:$M$29,2,FALSE)+VLOOKUP(VLOOKUP(BT$1,main!$A$3:$H$102,7,FALSE),main!$K$19:$O$22,MATCH(VLOOKUP($A48,main!$A$3:$H$102,8,FALSE),main!$K$18:$O$18,0))))),1,0)</f>
        <v>1</v>
      </c>
      <c r="BU48">
        <f>IF((AND(VLOOKUP(BU$1,main!$A$3:$H$102,5,FALSE)-VLOOKUP($A48,main!$A$3:$H$102,6,FALSE)&gt;=(VLOOKUP(VLOOKUP(BU$1,main!$A$3:$H$102,8,FALSE),main!$K$26:$M$29,2,FALSE)+VLOOKUP(VLOOKUP(BU$1,main!$A$3:$H$102,7,FALSE),main!$K$19:$O$22,MATCH(VLOOKUP($A48,main!$A$3:$H$102,8,FALSE),main!$K$18:$O$18,0))))),1,0)</f>
        <v>0</v>
      </c>
      <c r="BV48">
        <f>IF((AND(VLOOKUP(BV$1,main!$A$3:$H$102,5,FALSE)-VLOOKUP($A48,main!$A$3:$H$102,6,FALSE)&gt;=(VLOOKUP(VLOOKUP(BV$1,main!$A$3:$H$102,8,FALSE),main!$K$26:$M$29,2,FALSE)+VLOOKUP(VLOOKUP(BV$1,main!$A$3:$H$102,7,FALSE),main!$K$19:$O$22,MATCH(VLOOKUP($A48,main!$A$3:$H$102,8,FALSE),main!$K$18:$O$18,0))))),1,0)</f>
        <v>0</v>
      </c>
      <c r="BW48">
        <f>IF((AND(VLOOKUP(BW$1,main!$A$3:$H$102,5,FALSE)-VLOOKUP($A48,main!$A$3:$H$102,6,FALSE)&gt;=(VLOOKUP(VLOOKUP(BW$1,main!$A$3:$H$102,8,FALSE),main!$K$26:$M$29,2,FALSE)+VLOOKUP(VLOOKUP(BW$1,main!$A$3:$H$102,7,FALSE),main!$K$19:$O$22,MATCH(VLOOKUP($A48,main!$A$3:$H$102,8,FALSE),main!$K$18:$O$18,0))))),1,0)</f>
        <v>1</v>
      </c>
      <c r="BX48">
        <f>IF((AND(VLOOKUP(BX$1,main!$A$3:$H$102,5,FALSE)-VLOOKUP($A48,main!$A$3:$H$102,6,FALSE)&gt;=(VLOOKUP(VLOOKUP(BX$1,main!$A$3:$H$102,8,FALSE),main!$K$26:$M$29,2,FALSE)+VLOOKUP(VLOOKUP(BX$1,main!$A$3:$H$102,7,FALSE),main!$K$19:$O$22,MATCH(VLOOKUP($A48,main!$A$3:$H$102,8,FALSE),main!$K$18:$O$18,0))))),1,0)</f>
        <v>1</v>
      </c>
      <c r="BY48">
        <f>IF((AND(VLOOKUP(BY$1,main!$A$3:$H$102,5,FALSE)-VLOOKUP($A48,main!$A$3:$H$102,6,FALSE)&gt;=(VLOOKUP(VLOOKUP(BY$1,main!$A$3:$H$102,8,FALSE),main!$K$26:$M$29,2,FALSE)+VLOOKUP(VLOOKUP(BY$1,main!$A$3:$H$102,7,FALSE),main!$K$19:$O$22,MATCH(VLOOKUP($A48,main!$A$3:$H$102,8,FALSE),main!$K$18:$O$18,0))))),1,0)</f>
        <v>1</v>
      </c>
      <c r="BZ48">
        <f>IF((AND(VLOOKUP(BZ$1,main!$A$3:$H$102,5,FALSE)-VLOOKUP($A48,main!$A$3:$H$102,6,FALSE)&gt;=(VLOOKUP(VLOOKUP(BZ$1,main!$A$3:$H$102,8,FALSE),main!$K$26:$M$29,2,FALSE)+VLOOKUP(VLOOKUP(BZ$1,main!$A$3:$H$102,7,FALSE),main!$K$19:$O$22,MATCH(VLOOKUP($A48,main!$A$3:$H$102,8,FALSE),main!$K$18:$O$18,0))))),1,0)</f>
        <v>0</v>
      </c>
      <c r="CA48">
        <f>IF((AND(VLOOKUP(CA$1,main!$A$3:$H$102,5,FALSE)-VLOOKUP($A48,main!$A$3:$H$102,6,FALSE)&gt;=(VLOOKUP(VLOOKUP(CA$1,main!$A$3:$H$102,8,FALSE),main!$K$26:$M$29,2,FALSE)+VLOOKUP(VLOOKUP(CA$1,main!$A$3:$H$102,7,FALSE),main!$K$19:$O$22,MATCH(VLOOKUP($A48,main!$A$3:$H$102,8,FALSE),main!$K$18:$O$18,0))))),1,0)</f>
        <v>1</v>
      </c>
      <c r="CB48">
        <f>IF((AND(VLOOKUP(CB$1,main!$A$3:$H$102,5,FALSE)-VLOOKUP($A48,main!$A$3:$H$102,6,FALSE)&gt;=(VLOOKUP(VLOOKUP(CB$1,main!$A$3:$H$102,8,FALSE),main!$K$26:$M$29,2,FALSE)+VLOOKUP(VLOOKUP(CB$1,main!$A$3:$H$102,7,FALSE),main!$K$19:$O$22,MATCH(VLOOKUP($A48,main!$A$3:$H$102,8,FALSE),main!$K$18:$O$18,0))))),1,0)</f>
        <v>1</v>
      </c>
      <c r="CC48">
        <f>IF((AND(VLOOKUP(CC$1,main!$A$3:$H$102,5,FALSE)-VLOOKUP($A48,main!$A$3:$H$102,6,FALSE)&gt;=(VLOOKUP(VLOOKUP(CC$1,main!$A$3:$H$102,8,FALSE),main!$K$26:$M$29,2,FALSE)+VLOOKUP(VLOOKUP(CC$1,main!$A$3:$H$102,7,FALSE),main!$K$19:$O$22,MATCH(VLOOKUP($A48,main!$A$3:$H$102,8,FALSE),main!$K$18:$O$18,0))))),1,0)</f>
        <v>1</v>
      </c>
      <c r="CD48">
        <f>IF((AND(VLOOKUP(CD$1,main!$A$3:$H$102,5,FALSE)-VLOOKUP($A48,main!$A$3:$H$102,6,FALSE)&gt;=(VLOOKUP(VLOOKUP(CD$1,main!$A$3:$H$102,8,FALSE),main!$K$26:$M$29,2,FALSE)+VLOOKUP(VLOOKUP(CD$1,main!$A$3:$H$102,7,FALSE),main!$K$19:$O$22,MATCH(VLOOKUP($A48,main!$A$3:$H$102,8,FALSE),main!$K$18:$O$18,0))))),1,0)</f>
        <v>1</v>
      </c>
      <c r="CE48">
        <f>IF((AND(VLOOKUP(CE$1,main!$A$3:$H$102,5,FALSE)-VLOOKUP($A48,main!$A$3:$H$102,6,FALSE)&gt;=(VLOOKUP(VLOOKUP(CE$1,main!$A$3:$H$102,8,FALSE),main!$K$26:$M$29,2,FALSE)+VLOOKUP(VLOOKUP(CE$1,main!$A$3:$H$102,7,FALSE),main!$K$19:$O$22,MATCH(VLOOKUP($A48,main!$A$3:$H$102,8,FALSE),main!$K$18:$O$18,0))))),1,0)</f>
        <v>1</v>
      </c>
      <c r="CF48">
        <f>IF((AND(VLOOKUP(CF$1,main!$A$3:$H$102,5,FALSE)-VLOOKUP($A48,main!$A$3:$H$102,6,FALSE)&gt;=(VLOOKUP(VLOOKUP(CF$1,main!$A$3:$H$102,8,FALSE),main!$K$26:$M$29,2,FALSE)+VLOOKUP(VLOOKUP(CF$1,main!$A$3:$H$102,7,FALSE),main!$K$19:$O$22,MATCH(VLOOKUP($A48,main!$A$3:$H$102,8,FALSE),main!$K$18:$O$18,0))))),1,0)</f>
        <v>1</v>
      </c>
      <c r="CG48">
        <f>IF((AND(VLOOKUP(CG$1,main!$A$3:$H$102,5,FALSE)-VLOOKUP($A48,main!$A$3:$H$102,6,FALSE)&gt;=(VLOOKUP(VLOOKUP(CG$1,main!$A$3:$H$102,8,FALSE),main!$K$26:$M$29,2,FALSE)+VLOOKUP(VLOOKUP(CG$1,main!$A$3:$H$102,7,FALSE),main!$K$19:$O$22,MATCH(VLOOKUP($A48,main!$A$3:$H$102,8,FALSE),main!$K$18:$O$18,0))))),1,0)</f>
        <v>1</v>
      </c>
      <c r="CH48">
        <f>IF((AND(VLOOKUP(CH$1,main!$A$3:$H$102,5,FALSE)-VLOOKUP($A48,main!$A$3:$H$102,6,FALSE)&gt;=(VLOOKUP(VLOOKUP(CH$1,main!$A$3:$H$102,8,FALSE),main!$K$26:$M$29,2,FALSE)+VLOOKUP(VLOOKUP(CH$1,main!$A$3:$H$102,7,FALSE),main!$K$19:$O$22,MATCH(VLOOKUP($A48,main!$A$3:$H$102,8,FALSE),main!$K$18:$O$18,0))))),1,0)</f>
        <v>1</v>
      </c>
      <c r="CI48">
        <f>IF((AND(VLOOKUP(CI$1,main!$A$3:$H$102,5,FALSE)-VLOOKUP($A48,main!$A$3:$H$102,6,FALSE)&gt;=(VLOOKUP(VLOOKUP(CI$1,main!$A$3:$H$102,8,FALSE),main!$K$26:$M$29,2,FALSE)+VLOOKUP(VLOOKUP(CI$1,main!$A$3:$H$102,7,FALSE),main!$K$19:$O$22,MATCH(VLOOKUP($A48,main!$A$3:$H$102,8,FALSE),main!$K$18:$O$18,0))))),1,0)</f>
        <v>1</v>
      </c>
      <c r="CJ48">
        <f>IF((AND(VLOOKUP(CJ$1,main!$A$3:$H$102,5,FALSE)-VLOOKUP($A48,main!$A$3:$H$102,6,FALSE)&gt;=(VLOOKUP(VLOOKUP(CJ$1,main!$A$3:$H$102,8,FALSE),main!$K$26:$M$29,2,FALSE)+VLOOKUP(VLOOKUP(CJ$1,main!$A$3:$H$102,7,FALSE),main!$K$19:$O$22,MATCH(VLOOKUP($A48,main!$A$3:$H$102,8,FALSE),main!$K$18:$O$18,0))))),1,0)</f>
        <v>1</v>
      </c>
      <c r="CK48">
        <f>IF((AND(VLOOKUP(CK$1,main!$A$3:$H$102,5,FALSE)-VLOOKUP($A48,main!$A$3:$H$102,6,FALSE)&gt;=(VLOOKUP(VLOOKUP(CK$1,main!$A$3:$H$102,8,FALSE),main!$K$26:$M$29,2,FALSE)+VLOOKUP(VLOOKUP(CK$1,main!$A$3:$H$102,7,FALSE),main!$K$19:$O$22,MATCH(VLOOKUP($A48,main!$A$3:$H$102,8,FALSE),main!$K$18:$O$18,0))))),1,0)</f>
        <v>1</v>
      </c>
      <c r="CL48">
        <f>IF((AND(VLOOKUP(CL$1,main!$A$3:$H$102,5,FALSE)-VLOOKUP($A48,main!$A$3:$H$102,6,FALSE)&gt;=(VLOOKUP(VLOOKUP(CL$1,main!$A$3:$H$102,8,FALSE),main!$K$26:$M$29,2,FALSE)+VLOOKUP(VLOOKUP(CL$1,main!$A$3:$H$102,7,FALSE),main!$K$19:$O$22,MATCH(VLOOKUP($A48,main!$A$3:$H$102,8,FALSE),main!$K$18:$O$18,0))))),1,0)</f>
        <v>1</v>
      </c>
      <c r="CM48">
        <f>IF((AND(VLOOKUP(CM$1,main!$A$3:$H$102,5,FALSE)-VLOOKUP($A48,main!$A$3:$H$102,6,FALSE)&gt;=(VLOOKUP(VLOOKUP(CM$1,main!$A$3:$H$102,8,FALSE),main!$K$26:$M$29,2,FALSE)+VLOOKUP(VLOOKUP(CM$1,main!$A$3:$H$102,7,FALSE),main!$K$19:$O$22,MATCH(VLOOKUP($A48,main!$A$3:$H$102,8,FALSE),main!$K$18:$O$18,0))))),1,0)</f>
        <v>1</v>
      </c>
      <c r="CN48">
        <f>IF((AND(VLOOKUP(CN$1,main!$A$3:$H$102,5,FALSE)-VLOOKUP($A48,main!$A$3:$H$102,6,FALSE)&gt;=(VLOOKUP(VLOOKUP(CN$1,main!$A$3:$H$102,8,FALSE),main!$K$26:$M$29,2,FALSE)+VLOOKUP(VLOOKUP(CN$1,main!$A$3:$H$102,7,FALSE),main!$K$19:$O$22,MATCH(VLOOKUP($A48,main!$A$3:$H$102,8,FALSE),main!$K$18:$O$18,0))))),1,0)</f>
        <v>1</v>
      </c>
      <c r="CO48">
        <f>IF((AND(VLOOKUP(CO$1,main!$A$3:$H$102,5,FALSE)-VLOOKUP($A48,main!$A$3:$H$102,6,FALSE)&gt;=(VLOOKUP(VLOOKUP(CO$1,main!$A$3:$H$102,8,FALSE),main!$K$26:$M$29,2,FALSE)+VLOOKUP(VLOOKUP(CO$1,main!$A$3:$H$102,7,FALSE),main!$K$19:$O$22,MATCH(VLOOKUP($A48,main!$A$3:$H$102,8,FALSE),main!$K$18:$O$18,0))))),1,0)</f>
        <v>0</v>
      </c>
      <c r="CP48">
        <f>IF((AND(VLOOKUP(CP$1,main!$A$3:$H$102,5,FALSE)-VLOOKUP($A48,main!$A$3:$H$102,6,FALSE)&gt;=(VLOOKUP(VLOOKUP(CP$1,main!$A$3:$H$102,8,FALSE),main!$K$26:$M$29,2,FALSE)+VLOOKUP(VLOOKUP(CP$1,main!$A$3:$H$102,7,FALSE),main!$K$19:$O$22,MATCH(VLOOKUP($A48,main!$A$3:$H$102,8,FALSE),main!$K$18:$O$18,0))))),1,0)</f>
        <v>1</v>
      </c>
      <c r="CQ48">
        <f>IF((AND(VLOOKUP(CQ$1,main!$A$3:$H$102,5,FALSE)-VLOOKUP($A48,main!$A$3:$H$102,6,FALSE)&gt;=(VLOOKUP(VLOOKUP(CQ$1,main!$A$3:$H$102,8,FALSE),main!$K$26:$M$29,2,FALSE)+VLOOKUP(VLOOKUP(CQ$1,main!$A$3:$H$102,7,FALSE),main!$K$19:$O$22,MATCH(VLOOKUP($A48,main!$A$3:$H$102,8,FALSE),main!$K$18:$O$18,0))))),1,0)</f>
        <v>1</v>
      </c>
      <c r="CR48">
        <f>IF((AND(VLOOKUP(CR$1,main!$A$3:$H$102,5,FALSE)-VLOOKUP($A48,main!$A$3:$H$102,6,FALSE)&gt;=(VLOOKUP(VLOOKUP(CR$1,main!$A$3:$H$102,8,FALSE),main!$K$26:$M$29,2,FALSE)+VLOOKUP(VLOOKUP(CR$1,main!$A$3:$H$102,7,FALSE),main!$K$19:$O$22,MATCH(VLOOKUP($A48,main!$A$3:$H$102,8,FALSE),main!$K$18:$O$18,0))))),1,0)</f>
        <v>1</v>
      </c>
      <c r="CS48">
        <f>IF((AND(VLOOKUP(CS$1,main!$A$3:$H$102,5,FALSE)-VLOOKUP($A48,main!$A$3:$H$102,6,FALSE)&gt;=(VLOOKUP(VLOOKUP(CS$1,main!$A$3:$H$102,8,FALSE),main!$K$26:$M$29,2,FALSE)+VLOOKUP(VLOOKUP(CS$1,main!$A$3:$H$102,7,FALSE),main!$K$19:$O$22,MATCH(VLOOKUP($A48,main!$A$3:$H$102,8,FALSE),main!$K$18:$O$18,0))))),1,0)</f>
        <v>1</v>
      </c>
      <c r="CT48">
        <f>IF((AND(VLOOKUP(CT$1,main!$A$3:$H$102,5,FALSE)-VLOOKUP($A48,main!$A$3:$H$102,6,FALSE)&gt;=(VLOOKUP(VLOOKUP(CT$1,main!$A$3:$H$102,8,FALSE),main!$K$26:$M$29,2,FALSE)+VLOOKUP(VLOOKUP(CT$1,main!$A$3:$H$102,7,FALSE),main!$K$19:$O$22,MATCH(VLOOKUP($A48,main!$A$3:$H$102,8,FALSE),main!$K$18:$O$18,0))))),1,0)</f>
        <v>0</v>
      </c>
      <c r="CU48">
        <f>IF((AND(VLOOKUP(CU$1,main!$A$3:$H$102,5,FALSE)-VLOOKUP($A48,main!$A$3:$H$102,6,FALSE)&gt;=(VLOOKUP(VLOOKUP(CU$1,main!$A$3:$H$102,8,FALSE),main!$K$26:$M$29,2,FALSE)+VLOOKUP(VLOOKUP(CU$1,main!$A$3:$H$102,7,FALSE),main!$K$19:$O$22,MATCH(VLOOKUP($A48,main!$A$3:$H$102,8,FALSE),main!$K$18:$O$18,0))))),1,0)</f>
        <v>0</v>
      </c>
      <c r="CV48">
        <f>IF((AND(VLOOKUP(CV$1,main!$A$3:$H$102,5,FALSE)-VLOOKUP($A48,main!$A$3:$H$102,6,FALSE)&gt;=(VLOOKUP(VLOOKUP(CV$1,main!$A$3:$H$102,8,FALSE),main!$K$26:$M$29,2,FALSE)+VLOOKUP(VLOOKUP(CV$1,main!$A$3:$H$102,7,FALSE),main!$K$19:$O$22,MATCH(VLOOKUP($A48,main!$A$3:$H$102,8,FALSE),main!$K$18:$O$18,0))))),1,0)</f>
        <v>1</v>
      </c>
      <c r="CW48">
        <f>IF((AND(VLOOKUP(CW$1,main!$A$3:$H$102,5,FALSE)-VLOOKUP($A48,main!$A$3:$H$102,6,FALSE)&gt;=(VLOOKUP(VLOOKUP(CW$1,main!$A$3:$H$102,8,FALSE),main!$K$26:$M$29,2,FALSE)+VLOOKUP(VLOOKUP(CW$1,main!$A$3:$H$102,7,FALSE),main!$K$19:$O$22,MATCH(VLOOKUP($A48,main!$A$3:$H$102,8,FALSE),main!$K$18:$O$18,0))))),1,0)</f>
        <v>1</v>
      </c>
      <c r="CX48">
        <f>IF((AND(VLOOKUP(CX$1,main!$A$3:$H$102,5,FALSE)-VLOOKUP($A48,main!$A$3:$H$102,6,FALSE)&gt;=(VLOOKUP(VLOOKUP(CX$1,main!$A$3:$H$102,8,FALSE),main!$K$26:$M$29,2,FALSE)+VLOOKUP(VLOOKUP(CX$1,main!$A$3:$H$102,7,FALSE),main!$K$19:$O$22,MATCH(VLOOKUP($A48,main!$A$3:$H$102,8,FALSE),main!$K$18:$O$18,0))))),1,0)</f>
        <v>1</v>
      </c>
    </row>
    <row r="49" spans="1:102" x14ac:dyDescent="0.25">
      <c r="A49" s="1">
        <v>47</v>
      </c>
      <c r="B49">
        <v>1</v>
      </c>
      <c r="C49">
        <f>IF((AND(VLOOKUP(C$1,main!$A$3:$H$102,5,FALSE)-VLOOKUP($A49,main!$A$3:$H$102,6,FALSE)&gt;=(VLOOKUP(VLOOKUP(C$1,main!$A$3:$H$102,8,FALSE),main!$K$26:$M$29,2,FALSE)+VLOOKUP(VLOOKUP(C$1,main!$A$3:$H$102,7,FALSE),main!$K$19:$O$22,MATCH(VLOOKUP($A49,main!$A$3:$H$102,8,FALSE),main!$K$18:$O$18,0))))),1,0)</f>
        <v>0</v>
      </c>
      <c r="D49">
        <f>IF((AND(VLOOKUP(D$1,main!$A$3:$H$102,5,FALSE)-VLOOKUP($A49,main!$A$3:$H$102,6,FALSE)&gt;=(VLOOKUP(VLOOKUP(D$1,main!$A$3:$H$102,8,FALSE),main!$K$26:$M$29,2,FALSE)+VLOOKUP(VLOOKUP(D$1,main!$A$3:$H$102,7,FALSE),main!$K$19:$O$22,MATCH(VLOOKUP($A49,main!$A$3:$H$102,8,FALSE),main!$K$18:$O$18,0))))),1,0)</f>
        <v>0</v>
      </c>
      <c r="E49">
        <f>IF((AND(VLOOKUP(E$1,main!$A$3:$H$102,5,FALSE)-VLOOKUP($A49,main!$A$3:$H$102,6,FALSE)&gt;=(VLOOKUP(VLOOKUP(E$1,main!$A$3:$H$102,8,FALSE),main!$K$26:$M$29,2,FALSE)+VLOOKUP(VLOOKUP(E$1,main!$A$3:$H$102,7,FALSE),main!$K$19:$O$22,MATCH(VLOOKUP($A49,main!$A$3:$H$102,8,FALSE),main!$K$18:$O$18,0))))),1,0)</f>
        <v>0</v>
      </c>
      <c r="F49">
        <f>IF((AND(VLOOKUP(F$1,main!$A$3:$H$102,5,FALSE)-VLOOKUP($A49,main!$A$3:$H$102,6,FALSE)&gt;=(VLOOKUP(VLOOKUP(F$1,main!$A$3:$H$102,8,FALSE),main!$K$26:$M$29,2,FALSE)+VLOOKUP(VLOOKUP(F$1,main!$A$3:$H$102,7,FALSE),main!$K$19:$O$22,MATCH(VLOOKUP($A49,main!$A$3:$H$102,8,FALSE),main!$K$18:$O$18,0))))),1,0)</f>
        <v>0</v>
      </c>
      <c r="G49">
        <f>IF((AND(VLOOKUP(G$1,main!$A$3:$H$102,5,FALSE)-VLOOKUP($A49,main!$A$3:$H$102,6,FALSE)&gt;=(VLOOKUP(VLOOKUP(G$1,main!$A$3:$H$102,8,FALSE),main!$K$26:$M$29,2,FALSE)+VLOOKUP(VLOOKUP(G$1,main!$A$3:$H$102,7,FALSE),main!$K$19:$O$22,MATCH(VLOOKUP($A49,main!$A$3:$H$102,8,FALSE),main!$K$18:$O$18,0))))),1,0)</f>
        <v>0</v>
      </c>
      <c r="H49">
        <f>IF((AND(VLOOKUP(H$1,main!$A$3:$H$102,5,FALSE)-VLOOKUP($A49,main!$A$3:$H$102,6,FALSE)&gt;=(VLOOKUP(VLOOKUP(H$1,main!$A$3:$H$102,8,FALSE),main!$K$26:$M$29,2,FALSE)+VLOOKUP(VLOOKUP(H$1,main!$A$3:$H$102,7,FALSE),main!$K$19:$O$22,MATCH(VLOOKUP($A49,main!$A$3:$H$102,8,FALSE),main!$K$18:$O$18,0))))),1,0)</f>
        <v>0</v>
      </c>
      <c r="I49">
        <f>IF((AND(VLOOKUP(I$1,main!$A$3:$H$102,5,FALSE)-VLOOKUP($A49,main!$A$3:$H$102,6,FALSE)&gt;=(VLOOKUP(VLOOKUP(I$1,main!$A$3:$H$102,8,FALSE),main!$K$26:$M$29,2,FALSE)+VLOOKUP(VLOOKUP(I$1,main!$A$3:$H$102,7,FALSE),main!$K$19:$O$22,MATCH(VLOOKUP($A49,main!$A$3:$H$102,8,FALSE),main!$K$18:$O$18,0))))),1,0)</f>
        <v>0</v>
      </c>
      <c r="J49">
        <f>IF((AND(VLOOKUP(J$1,main!$A$3:$H$102,5,FALSE)-VLOOKUP($A49,main!$A$3:$H$102,6,FALSE)&gt;=(VLOOKUP(VLOOKUP(J$1,main!$A$3:$H$102,8,FALSE),main!$K$26:$M$29,2,FALSE)+VLOOKUP(VLOOKUP(J$1,main!$A$3:$H$102,7,FALSE),main!$K$19:$O$22,MATCH(VLOOKUP($A49,main!$A$3:$H$102,8,FALSE),main!$K$18:$O$18,0))))),1,0)</f>
        <v>0</v>
      </c>
      <c r="K49">
        <f>IF((AND(VLOOKUP(K$1,main!$A$3:$H$102,5,FALSE)-VLOOKUP($A49,main!$A$3:$H$102,6,FALSE)&gt;=(VLOOKUP(VLOOKUP(K$1,main!$A$3:$H$102,8,FALSE),main!$K$26:$M$29,2,FALSE)+VLOOKUP(VLOOKUP(K$1,main!$A$3:$H$102,7,FALSE),main!$K$19:$O$22,MATCH(VLOOKUP($A49,main!$A$3:$H$102,8,FALSE),main!$K$18:$O$18,0))))),1,0)</f>
        <v>1</v>
      </c>
      <c r="L49">
        <f>IF((AND(VLOOKUP(L$1,main!$A$3:$H$102,5,FALSE)-VLOOKUP($A49,main!$A$3:$H$102,6,FALSE)&gt;=(VLOOKUP(VLOOKUP(L$1,main!$A$3:$H$102,8,FALSE),main!$K$26:$M$29,2,FALSE)+VLOOKUP(VLOOKUP(L$1,main!$A$3:$H$102,7,FALSE),main!$K$19:$O$22,MATCH(VLOOKUP($A49,main!$A$3:$H$102,8,FALSE),main!$K$18:$O$18,0))))),1,0)</f>
        <v>1</v>
      </c>
      <c r="M49">
        <f>IF((AND(VLOOKUP(M$1,main!$A$3:$H$102,5,FALSE)-VLOOKUP($A49,main!$A$3:$H$102,6,FALSE)&gt;=(VLOOKUP(VLOOKUP(M$1,main!$A$3:$H$102,8,FALSE),main!$K$26:$M$29,2,FALSE)+VLOOKUP(VLOOKUP(M$1,main!$A$3:$H$102,7,FALSE),main!$K$19:$O$22,MATCH(VLOOKUP($A49,main!$A$3:$H$102,8,FALSE),main!$K$18:$O$18,0))))),1,0)</f>
        <v>0</v>
      </c>
      <c r="N49">
        <f>IF((AND(VLOOKUP(N$1,main!$A$3:$H$102,5,FALSE)-VLOOKUP($A49,main!$A$3:$H$102,6,FALSE)&gt;=(VLOOKUP(VLOOKUP(N$1,main!$A$3:$H$102,8,FALSE),main!$K$26:$M$29,2,FALSE)+VLOOKUP(VLOOKUP(N$1,main!$A$3:$H$102,7,FALSE),main!$K$19:$O$22,MATCH(VLOOKUP($A49,main!$A$3:$H$102,8,FALSE),main!$K$18:$O$18,0))))),1,0)</f>
        <v>0</v>
      </c>
      <c r="O49">
        <f>IF((AND(VLOOKUP(O$1,main!$A$3:$H$102,5,FALSE)-VLOOKUP($A49,main!$A$3:$H$102,6,FALSE)&gt;=(VLOOKUP(VLOOKUP(O$1,main!$A$3:$H$102,8,FALSE),main!$K$26:$M$29,2,FALSE)+VLOOKUP(VLOOKUP(O$1,main!$A$3:$H$102,7,FALSE),main!$K$19:$O$22,MATCH(VLOOKUP($A49,main!$A$3:$H$102,8,FALSE),main!$K$18:$O$18,0))))),1,0)</f>
        <v>0</v>
      </c>
      <c r="P49">
        <f>IF((AND(VLOOKUP(P$1,main!$A$3:$H$102,5,FALSE)-VLOOKUP($A49,main!$A$3:$H$102,6,FALSE)&gt;=(VLOOKUP(VLOOKUP(P$1,main!$A$3:$H$102,8,FALSE),main!$K$26:$M$29,2,FALSE)+VLOOKUP(VLOOKUP(P$1,main!$A$3:$H$102,7,FALSE),main!$K$19:$O$22,MATCH(VLOOKUP($A49,main!$A$3:$H$102,8,FALSE),main!$K$18:$O$18,0))))),1,0)</f>
        <v>0</v>
      </c>
      <c r="Q49">
        <f>IF((AND(VLOOKUP(Q$1,main!$A$3:$H$102,5,FALSE)-VLOOKUP($A49,main!$A$3:$H$102,6,FALSE)&gt;=(VLOOKUP(VLOOKUP(Q$1,main!$A$3:$H$102,8,FALSE),main!$K$26:$M$29,2,FALSE)+VLOOKUP(VLOOKUP(Q$1,main!$A$3:$H$102,7,FALSE),main!$K$19:$O$22,MATCH(VLOOKUP($A49,main!$A$3:$H$102,8,FALSE),main!$K$18:$O$18,0))))),1,0)</f>
        <v>0</v>
      </c>
      <c r="R49">
        <f>IF((AND(VLOOKUP(R$1,main!$A$3:$H$102,5,FALSE)-VLOOKUP($A49,main!$A$3:$H$102,6,FALSE)&gt;=(VLOOKUP(VLOOKUP(R$1,main!$A$3:$H$102,8,FALSE),main!$K$26:$M$29,2,FALSE)+VLOOKUP(VLOOKUP(R$1,main!$A$3:$H$102,7,FALSE),main!$K$19:$O$22,MATCH(VLOOKUP($A49,main!$A$3:$H$102,8,FALSE),main!$K$18:$O$18,0))))),1,0)</f>
        <v>0</v>
      </c>
      <c r="S49">
        <f>IF((AND(VLOOKUP(S$1,main!$A$3:$H$102,5,FALSE)-VLOOKUP($A49,main!$A$3:$H$102,6,FALSE)&gt;=(VLOOKUP(VLOOKUP(S$1,main!$A$3:$H$102,8,FALSE),main!$K$26:$M$29,2,FALSE)+VLOOKUP(VLOOKUP(S$1,main!$A$3:$H$102,7,FALSE),main!$K$19:$O$22,MATCH(VLOOKUP($A49,main!$A$3:$H$102,8,FALSE),main!$K$18:$O$18,0))))),1,0)</f>
        <v>0</v>
      </c>
      <c r="T49">
        <f>IF((AND(VLOOKUP(T$1,main!$A$3:$H$102,5,FALSE)-VLOOKUP($A49,main!$A$3:$H$102,6,FALSE)&gt;=(VLOOKUP(VLOOKUP(T$1,main!$A$3:$H$102,8,FALSE),main!$K$26:$M$29,2,FALSE)+VLOOKUP(VLOOKUP(T$1,main!$A$3:$H$102,7,FALSE),main!$K$19:$O$22,MATCH(VLOOKUP($A49,main!$A$3:$H$102,8,FALSE),main!$K$18:$O$18,0))))),1,0)</f>
        <v>0</v>
      </c>
      <c r="U49">
        <f>IF((AND(VLOOKUP(U$1,main!$A$3:$H$102,5,FALSE)-VLOOKUP($A49,main!$A$3:$H$102,6,FALSE)&gt;=(VLOOKUP(VLOOKUP(U$1,main!$A$3:$H$102,8,FALSE),main!$K$26:$M$29,2,FALSE)+VLOOKUP(VLOOKUP(U$1,main!$A$3:$H$102,7,FALSE),main!$K$19:$O$22,MATCH(VLOOKUP($A49,main!$A$3:$H$102,8,FALSE),main!$K$18:$O$18,0))))),1,0)</f>
        <v>1</v>
      </c>
      <c r="V49">
        <f>IF((AND(VLOOKUP(V$1,main!$A$3:$H$102,5,FALSE)-VLOOKUP($A49,main!$A$3:$H$102,6,FALSE)&gt;=(VLOOKUP(VLOOKUP(V$1,main!$A$3:$H$102,8,FALSE),main!$K$26:$M$29,2,FALSE)+VLOOKUP(VLOOKUP(V$1,main!$A$3:$H$102,7,FALSE),main!$K$19:$O$22,MATCH(VLOOKUP($A49,main!$A$3:$H$102,8,FALSE),main!$K$18:$O$18,0))))),1,0)</f>
        <v>1</v>
      </c>
      <c r="W49">
        <f>IF((AND(VLOOKUP(W$1,main!$A$3:$H$102,5,FALSE)-VLOOKUP($A49,main!$A$3:$H$102,6,FALSE)&gt;=(VLOOKUP(VLOOKUP(W$1,main!$A$3:$H$102,8,FALSE),main!$K$26:$M$29,2,FALSE)+VLOOKUP(VLOOKUP(W$1,main!$A$3:$H$102,7,FALSE),main!$K$19:$O$22,MATCH(VLOOKUP($A49,main!$A$3:$H$102,8,FALSE),main!$K$18:$O$18,0))))),1,0)</f>
        <v>0</v>
      </c>
      <c r="X49">
        <f>IF((AND(VLOOKUP(X$1,main!$A$3:$H$102,5,FALSE)-VLOOKUP($A49,main!$A$3:$H$102,6,FALSE)&gt;=(VLOOKUP(VLOOKUP(X$1,main!$A$3:$H$102,8,FALSE),main!$K$26:$M$29,2,FALSE)+VLOOKUP(VLOOKUP(X$1,main!$A$3:$H$102,7,FALSE),main!$K$19:$O$22,MATCH(VLOOKUP($A49,main!$A$3:$H$102,8,FALSE),main!$K$18:$O$18,0))))),1,0)</f>
        <v>0</v>
      </c>
      <c r="Y49">
        <f>IF((AND(VLOOKUP(Y$1,main!$A$3:$H$102,5,FALSE)-VLOOKUP($A49,main!$A$3:$H$102,6,FALSE)&gt;=(VLOOKUP(VLOOKUP(Y$1,main!$A$3:$H$102,8,FALSE),main!$K$26:$M$29,2,FALSE)+VLOOKUP(VLOOKUP(Y$1,main!$A$3:$H$102,7,FALSE),main!$K$19:$O$22,MATCH(VLOOKUP($A49,main!$A$3:$H$102,8,FALSE),main!$K$18:$O$18,0))))),1,0)</f>
        <v>0</v>
      </c>
      <c r="Z49">
        <f>IF((AND(VLOOKUP(Z$1,main!$A$3:$H$102,5,FALSE)-VLOOKUP($A49,main!$A$3:$H$102,6,FALSE)&gt;=(VLOOKUP(VLOOKUP(Z$1,main!$A$3:$H$102,8,FALSE),main!$K$26:$M$29,2,FALSE)+VLOOKUP(VLOOKUP(Z$1,main!$A$3:$H$102,7,FALSE),main!$K$19:$O$22,MATCH(VLOOKUP($A49,main!$A$3:$H$102,8,FALSE),main!$K$18:$O$18,0))))),1,0)</f>
        <v>0</v>
      </c>
      <c r="AA49">
        <f>IF((AND(VLOOKUP(AA$1,main!$A$3:$H$102,5,FALSE)-VLOOKUP($A49,main!$A$3:$H$102,6,FALSE)&gt;=(VLOOKUP(VLOOKUP(AA$1,main!$A$3:$H$102,8,FALSE),main!$K$26:$M$29,2,FALSE)+VLOOKUP(VLOOKUP(AA$1,main!$A$3:$H$102,7,FALSE),main!$K$19:$O$22,MATCH(VLOOKUP($A49,main!$A$3:$H$102,8,FALSE),main!$K$18:$O$18,0))))),1,0)</f>
        <v>1</v>
      </c>
      <c r="AB49">
        <f>IF((AND(VLOOKUP(AB$1,main!$A$3:$H$102,5,FALSE)-VLOOKUP($A49,main!$A$3:$H$102,6,FALSE)&gt;=(VLOOKUP(VLOOKUP(AB$1,main!$A$3:$H$102,8,FALSE),main!$K$26:$M$29,2,FALSE)+VLOOKUP(VLOOKUP(AB$1,main!$A$3:$H$102,7,FALSE),main!$K$19:$O$22,MATCH(VLOOKUP($A49,main!$A$3:$H$102,8,FALSE),main!$K$18:$O$18,0))))),1,0)</f>
        <v>0</v>
      </c>
      <c r="AC49">
        <f>IF((AND(VLOOKUP(AC$1,main!$A$3:$H$102,5,FALSE)-VLOOKUP($A49,main!$A$3:$H$102,6,FALSE)&gt;=(VLOOKUP(VLOOKUP(AC$1,main!$A$3:$H$102,8,FALSE),main!$K$26:$M$29,2,FALSE)+VLOOKUP(VLOOKUP(AC$1,main!$A$3:$H$102,7,FALSE),main!$K$19:$O$22,MATCH(VLOOKUP($A49,main!$A$3:$H$102,8,FALSE),main!$K$18:$O$18,0))))),1,0)</f>
        <v>0</v>
      </c>
      <c r="AD49">
        <f>IF((AND(VLOOKUP(AD$1,main!$A$3:$H$102,5,FALSE)-VLOOKUP($A49,main!$A$3:$H$102,6,FALSE)&gt;=(VLOOKUP(VLOOKUP(AD$1,main!$A$3:$H$102,8,FALSE),main!$K$26:$M$29,2,FALSE)+VLOOKUP(VLOOKUP(AD$1,main!$A$3:$H$102,7,FALSE),main!$K$19:$O$22,MATCH(VLOOKUP($A49,main!$A$3:$H$102,8,FALSE),main!$K$18:$O$18,0))))),1,0)</f>
        <v>0</v>
      </c>
      <c r="AE49">
        <f>IF((AND(VLOOKUP(AE$1,main!$A$3:$H$102,5,FALSE)-VLOOKUP($A49,main!$A$3:$H$102,6,FALSE)&gt;=(VLOOKUP(VLOOKUP(AE$1,main!$A$3:$H$102,8,FALSE),main!$K$26:$M$29,2,FALSE)+VLOOKUP(VLOOKUP(AE$1,main!$A$3:$H$102,7,FALSE),main!$K$19:$O$22,MATCH(VLOOKUP($A49,main!$A$3:$H$102,8,FALSE),main!$K$18:$O$18,0))))),1,0)</f>
        <v>0</v>
      </c>
      <c r="AF49">
        <f>IF((AND(VLOOKUP(AF$1,main!$A$3:$H$102,5,FALSE)-VLOOKUP($A49,main!$A$3:$H$102,6,FALSE)&gt;=(VLOOKUP(VLOOKUP(AF$1,main!$A$3:$H$102,8,FALSE),main!$K$26:$M$29,2,FALSE)+VLOOKUP(VLOOKUP(AF$1,main!$A$3:$H$102,7,FALSE),main!$K$19:$O$22,MATCH(VLOOKUP($A49,main!$A$3:$H$102,8,FALSE),main!$K$18:$O$18,0))))),1,0)</f>
        <v>1</v>
      </c>
      <c r="AG49">
        <f>IF((AND(VLOOKUP(AG$1,main!$A$3:$H$102,5,FALSE)-VLOOKUP($A49,main!$A$3:$H$102,6,FALSE)&gt;=(VLOOKUP(VLOOKUP(AG$1,main!$A$3:$H$102,8,FALSE),main!$K$26:$M$29,2,FALSE)+VLOOKUP(VLOOKUP(AG$1,main!$A$3:$H$102,7,FALSE),main!$K$19:$O$22,MATCH(VLOOKUP($A49,main!$A$3:$H$102,8,FALSE),main!$K$18:$O$18,0))))),1,0)</f>
        <v>0</v>
      </c>
      <c r="AH49">
        <f>IF((AND(VLOOKUP(AH$1,main!$A$3:$H$102,5,FALSE)-VLOOKUP($A49,main!$A$3:$H$102,6,FALSE)&gt;=(VLOOKUP(VLOOKUP(AH$1,main!$A$3:$H$102,8,FALSE),main!$K$26:$M$29,2,FALSE)+VLOOKUP(VLOOKUP(AH$1,main!$A$3:$H$102,7,FALSE),main!$K$19:$O$22,MATCH(VLOOKUP($A49,main!$A$3:$H$102,8,FALSE),main!$K$18:$O$18,0))))),1,0)</f>
        <v>0</v>
      </c>
      <c r="AI49">
        <f>IF((AND(VLOOKUP(AI$1,main!$A$3:$H$102,5,FALSE)-VLOOKUP($A49,main!$A$3:$H$102,6,FALSE)&gt;=(VLOOKUP(VLOOKUP(AI$1,main!$A$3:$H$102,8,FALSE),main!$K$26:$M$29,2,FALSE)+VLOOKUP(VLOOKUP(AI$1,main!$A$3:$H$102,7,FALSE),main!$K$19:$O$22,MATCH(VLOOKUP($A49,main!$A$3:$H$102,8,FALSE),main!$K$18:$O$18,0))))),1,0)</f>
        <v>0</v>
      </c>
      <c r="AJ49">
        <f>IF((AND(VLOOKUP(AJ$1,main!$A$3:$H$102,5,FALSE)-VLOOKUP($A49,main!$A$3:$H$102,6,FALSE)&gt;=(VLOOKUP(VLOOKUP(AJ$1,main!$A$3:$H$102,8,FALSE),main!$K$26:$M$29,2,FALSE)+VLOOKUP(VLOOKUP(AJ$1,main!$A$3:$H$102,7,FALSE),main!$K$19:$O$22,MATCH(VLOOKUP($A49,main!$A$3:$H$102,8,FALSE),main!$K$18:$O$18,0))))),1,0)</f>
        <v>0</v>
      </c>
      <c r="AK49">
        <f>IF((AND(VLOOKUP(AK$1,main!$A$3:$H$102,5,FALSE)-VLOOKUP($A49,main!$A$3:$H$102,6,FALSE)&gt;=(VLOOKUP(VLOOKUP(AK$1,main!$A$3:$H$102,8,FALSE),main!$K$26:$M$29,2,FALSE)+VLOOKUP(VLOOKUP(AK$1,main!$A$3:$H$102,7,FALSE),main!$K$19:$O$22,MATCH(VLOOKUP($A49,main!$A$3:$H$102,8,FALSE),main!$K$18:$O$18,0))))),1,0)</f>
        <v>0</v>
      </c>
      <c r="AL49">
        <f>IF((AND(VLOOKUP(AL$1,main!$A$3:$H$102,5,FALSE)-VLOOKUP($A49,main!$A$3:$H$102,6,FALSE)&gt;=(VLOOKUP(VLOOKUP(AL$1,main!$A$3:$H$102,8,FALSE),main!$K$26:$M$29,2,FALSE)+VLOOKUP(VLOOKUP(AL$1,main!$A$3:$H$102,7,FALSE),main!$K$19:$O$22,MATCH(VLOOKUP($A49,main!$A$3:$H$102,8,FALSE),main!$K$18:$O$18,0))))),1,0)</f>
        <v>0</v>
      </c>
      <c r="AM49">
        <f>IF((AND(VLOOKUP(AM$1,main!$A$3:$H$102,5,FALSE)-VLOOKUP($A49,main!$A$3:$H$102,6,FALSE)&gt;=(VLOOKUP(VLOOKUP(AM$1,main!$A$3:$H$102,8,FALSE),main!$K$26:$M$29,2,FALSE)+VLOOKUP(VLOOKUP(AM$1,main!$A$3:$H$102,7,FALSE),main!$K$19:$O$22,MATCH(VLOOKUP($A49,main!$A$3:$H$102,8,FALSE),main!$K$18:$O$18,0))))),1,0)</f>
        <v>1</v>
      </c>
      <c r="AN49">
        <f>IF((AND(VLOOKUP(AN$1,main!$A$3:$H$102,5,FALSE)-VLOOKUP($A49,main!$A$3:$H$102,6,FALSE)&gt;=(VLOOKUP(VLOOKUP(AN$1,main!$A$3:$H$102,8,FALSE),main!$K$26:$M$29,2,FALSE)+VLOOKUP(VLOOKUP(AN$1,main!$A$3:$H$102,7,FALSE),main!$K$19:$O$22,MATCH(VLOOKUP($A49,main!$A$3:$H$102,8,FALSE),main!$K$18:$O$18,0))))),1,0)</f>
        <v>1</v>
      </c>
      <c r="AO49">
        <f>IF((AND(VLOOKUP(AO$1,main!$A$3:$H$102,5,FALSE)-VLOOKUP($A49,main!$A$3:$H$102,6,FALSE)&gt;=(VLOOKUP(VLOOKUP(AO$1,main!$A$3:$H$102,8,FALSE),main!$K$26:$M$29,2,FALSE)+VLOOKUP(VLOOKUP(AO$1,main!$A$3:$H$102,7,FALSE),main!$K$19:$O$22,MATCH(VLOOKUP($A49,main!$A$3:$H$102,8,FALSE),main!$K$18:$O$18,0))))),1,0)</f>
        <v>0</v>
      </c>
      <c r="AP49">
        <f>IF((AND(VLOOKUP(AP$1,main!$A$3:$H$102,5,FALSE)-VLOOKUP($A49,main!$A$3:$H$102,6,FALSE)&gt;=(VLOOKUP(VLOOKUP(AP$1,main!$A$3:$H$102,8,FALSE),main!$K$26:$M$29,2,FALSE)+VLOOKUP(VLOOKUP(AP$1,main!$A$3:$H$102,7,FALSE),main!$K$19:$O$22,MATCH(VLOOKUP($A49,main!$A$3:$H$102,8,FALSE),main!$K$18:$O$18,0))))),1,0)</f>
        <v>1</v>
      </c>
      <c r="AQ49">
        <f>IF((AND(VLOOKUP(AQ$1,main!$A$3:$H$102,5,FALSE)-VLOOKUP($A49,main!$A$3:$H$102,6,FALSE)&gt;=(VLOOKUP(VLOOKUP(AQ$1,main!$A$3:$H$102,8,FALSE),main!$K$26:$M$29,2,FALSE)+VLOOKUP(VLOOKUP(AQ$1,main!$A$3:$H$102,7,FALSE),main!$K$19:$O$22,MATCH(VLOOKUP($A49,main!$A$3:$H$102,8,FALSE),main!$K$18:$O$18,0))))),1,0)</f>
        <v>0</v>
      </c>
      <c r="AR49">
        <f>IF((AND(VLOOKUP(AR$1,main!$A$3:$H$102,5,FALSE)-VLOOKUP($A49,main!$A$3:$H$102,6,FALSE)&gt;=(VLOOKUP(VLOOKUP(AR$1,main!$A$3:$H$102,8,FALSE),main!$K$26:$M$29,2,FALSE)+VLOOKUP(VLOOKUP(AR$1,main!$A$3:$H$102,7,FALSE),main!$K$19:$O$22,MATCH(VLOOKUP($A49,main!$A$3:$H$102,8,FALSE),main!$K$18:$O$18,0))))),1,0)</f>
        <v>0</v>
      </c>
      <c r="AS49">
        <f>IF((AND(VLOOKUP(AS$1,main!$A$3:$H$102,5,FALSE)-VLOOKUP($A49,main!$A$3:$H$102,6,FALSE)&gt;=(VLOOKUP(VLOOKUP(AS$1,main!$A$3:$H$102,8,FALSE),main!$K$26:$M$29,2,FALSE)+VLOOKUP(VLOOKUP(AS$1,main!$A$3:$H$102,7,FALSE),main!$K$19:$O$22,MATCH(VLOOKUP($A49,main!$A$3:$H$102,8,FALSE),main!$K$18:$O$18,0))))),1,0)</f>
        <v>0</v>
      </c>
      <c r="AT49">
        <f>IF((AND(VLOOKUP(AT$1,main!$A$3:$H$102,5,FALSE)-VLOOKUP($A49,main!$A$3:$H$102,6,FALSE)&gt;=(VLOOKUP(VLOOKUP(AT$1,main!$A$3:$H$102,8,FALSE),main!$K$26:$M$29,2,FALSE)+VLOOKUP(VLOOKUP(AT$1,main!$A$3:$H$102,7,FALSE),main!$K$19:$O$22,MATCH(VLOOKUP($A49,main!$A$3:$H$102,8,FALSE),main!$K$18:$O$18,0))))),1,0)</f>
        <v>0</v>
      </c>
      <c r="AU49">
        <f>IF((AND(VLOOKUP(AU$1,main!$A$3:$H$102,5,FALSE)-VLOOKUP($A49,main!$A$3:$H$102,6,FALSE)&gt;=(VLOOKUP(VLOOKUP(AU$1,main!$A$3:$H$102,8,FALSE),main!$K$26:$M$29,2,FALSE)+VLOOKUP(VLOOKUP(AU$1,main!$A$3:$H$102,7,FALSE),main!$K$19:$O$22,MATCH(VLOOKUP($A49,main!$A$3:$H$102,8,FALSE),main!$K$18:$O$18,0))))),1,0)</f>
        <v>0</v>
      </c>
      <c r="AV49">
        <f>IF((AND(VLOOKUP(AV$1,main!$A$3:$H$102,5,FALSE)-VLOOKUP($A49,main!$A$3:$H$102,6,FALSE)&gt;=(VLOOKUP(VLOOKUP(AV$1,main!$A$3:$H$102,8,FALSE),main!$K$26:$M$29,2,FALSE)+VLOOKUP(VLOOKUP(AV$1,main!$A$3:$H$102,7,FALSE),main!$K$19:$O$22,MATCH(VLOOKUP($A49,main!$A$3:$H$102,8,FALSE),main!$K$18:$O$18,0))))),1,0)</f>
        <v>0</v>
      </c>
      <c r="AW49">
        <f>IF((AND(VLOOKUP(AW$1,main!$A$3:$H$102,5,FALSE)-VLOOKUP($A49,main!$A$3:$H$102,6,FALSE)&gt;=(VLOOKUP(VLOOKUP(AW$1,main!$A$3:$H$102,8,FALSE),main!$K$26:$M$29,2,FALSE)+VLOOKUP(VLOOKUP(AW$1,main!$A$3:$H$102,7,FALSE),main!$K$19:$O$22,MATCH(VLOOKUP($A49,main!$A$3:$H$102,8,FALSE),main!$K$18:$O$18,0))))),1,0)</f>
        <v>0</v>
      </c>
      <c r="AX49">
        <f>IF((AND(VLOOKUP(AX$1,main!$A$3:$H$102,5,FALSE)-VLOOKUP($A49,main!$A$3:$H$102,6,FALSE)&gt;=(VLOOKUP(VLOOKUP(AX$1,main!$A$3:$H$102,8,FALSE),main!$K$26:$M$29,2,FALSE)+VLOOKUP(VLOOKUP(AX$1,main!$A$3:$H$102,7,FALSE),main!$K$19:$O$22,MATCH(VLOOKUP($A49,main!$A$3:$H$102,8,FALSE),main!$K$18:$O$18,0))))),1,0)</f>
        <v>0</v>
      </c>
      <c r="AY49">
        <f>IF((AND(VLOOKUP(AY$1,main!$A$3:$H$102,5,FALSE)-VLOOKUP($A49,main!$A$3:$H$102,6,FALSE)&gt;=(VLOOKUP(VLOOKUP(AY$1,main!$A$3:$H$102,8,FALSE),main!$K$26:$M$29,2,FALSE)+VLOOKUP(VLOOKUP(AY$1,main!$A$3:$H$102,7,FALSE),main!$K$19:$O$22,MATCH(VLOOKUP($A49,main!$A$3:$H$102,8,FALSE),main!$K$18:$O$18,0))))),1,0)</f>
        <v>0</v>
      </c>
      <c r="AZ49">
        <f>IF((AND(VLOOKUP(AZ$1,main!$A$3:$H$102,5,FALSE)-VLOOKUP($A49,main!$A$3:$H$102,6,FALSE)&gt;=(VLOOKUP(VLOOKUP(AZ$1,main!$A$3:$H$102,8,FALSE),main!$K$26:$M$29,2,FALSE)+VLOOKUP(VLOOKUP(AZ$1,main!$A$3:$H$102,7,FALSE),main!$K$19:$O$22,MATCH(VLOOKUP($A49,main!$A$3:$H$102,8,FALSE),main!$K$18:$O$18,0))))),1,0)</f>
        <v>0</v>
      </c>
      <c r="BA49">
        <f>IF((AND(VLOOKUP(BA$1,main!$A$3:$H$102,5,FALSE)-VLOOKUP($A49,main!$A$3:$H$102,6,FALSE)&gt;=(VLOOKUP(VLOOKUP(BA$1,main!$A$3:$H$102,8,FALSE),main!$K$26:$M$29,2,FALSE)+VLOOKUP(VLOOKUP(BA$1,main!$A$3:$H$102,7,FALSE),main!$K$19:$O$22,MATCH(VLOOKUP($A49,main!$A$3:$H$102,8,FALSE),main!$K$18:$O$18,0))))),1,0)</f>
        <v>0</v>
      </c>
      <c r="BB49">
        <f>IF((AND(VLOOKUP(BB$1,main!$A$3:$H$102,5,FALSE)-VLOOKUP($A49,main!$A$3:$H$102,6,FALSE)&gt;=(VLOOKUP(VLOOKUP(BB$1,main!$A$3:$H$102,8,FALSE),main!$K$26:$M$29,2,FALSE)+VLOOKUP(VLOOKUP(BB$1,main!$A$3:$H$102,7,FALSE),main!$K$19:$O$22,MATCH(VLOOKUP($A49,main!$A$3:$H$102,8,FALSE),main!$K$18:$O$18,0))))),1,0)</f>
        <v>0</v>
      </c>
      <c r="BC49">
        <f>IF((AND(VLOOKUP(BC$1,main!$A$3:$H$102,5,FALSE)-VLOOKUP($A49,main!$A$3:$H$102,6,FALSE)&gt;=(VLOOKUP(VLOOKUP(BC$1,main!$A$3:$H$102,8,FALSE),main!$K$26:$M$29,2,FALSE)+VLOOKUP(VLOOKUP(BC$1,main!$A$3:$H$102,7,FALSE),main!$K$19:$O$22,MATCH(VLOOKUP($A49,main!$A$3:$H$102,8,FALSE),main!$K$18:$O$18,0))))),1,0)</f>
        <v>0</v>
      </c>
      <c r="BD49">
        <f>IF((AND(VLOOKUP(BD$1,main!$A$3:$H$102,5,FALSE)-VLOOKUP($A49,main!$A$3:$H$102,6,FALSE)&gt;=(VLOOKUP(VLOOKUP(BD$1,main!$A$3:$H$102,8,FALSE),main!$K$26:$M$29,2,FALSE)+VLOOKUP(VLOOKUP(BD$1,main!$A$3:$H$102,7,FALSE),main!$K$19:$O$22,MATCH(VLOOKUP($A49,main!$A$3:$H$102,8,FALSE),main!$K$18:$O$18,0))))),1,0)</f>
        <v>0</v>
      </c>
      <c r="BE49">
        <f>IF((AND(VLOOKUP(BE$1,main!$A$3:$H$102,5,FALSE)-VLOOKUP($A49,main!$A$3:$H$102,6,FALSE)&gt;=(VLOOKUP(VLOOKUP(BE$1,main!$A$3:$H$102,8,FALSE),main!$K$26:$M$29,2,FALSE)+VLOOKUP(VLOOKUP(BE$1,main!$A$3:$H$102,7,FALSE),main!$K$19:$O$22,MATCH(VLOOKUP($A49,main!$A$3:$H$102,8,FALSE),main!$K$18:$O$18,0))))),1,0)</f>
        <v>1</v>
      </c>
      <c r="BF49">
        <f>IF((AND(VLOOKUP(BF$1,main!$A$3:$H$102,5,FALSE)-VLOOKUP($A49,main!$A$3:$H$102,6,FALSE)&gt;=(VLOOKUP(VLOOKUP(BF$1,main!$A$3:$H$102,8,FALSE),main!$K$26:$M$29,2,FALSE)+VLOOKUP(VLOOKUP(BF$1,main!$A$3:$H$102,7,FALSE),main!$K$19:$O$22,MATCH(VLOOKUP($A49,main!$A$3:$H$102,8,FALSE),main!$K$18:$O$18,0))))),1,0)</f>
        <v>0</v>
      </c>
      <c r="BG49">
        <f>IF((AND(VLOOKUP(BG$1,main!$A$3:$H$102,5,FALSE)-VLOOKUP($A49,main!$A$3:$H$102,6,FALSE)&gt;=(VLOOKUP(VLOOKUP(BG$1,main!$A$3:$H$102,8,FALSE),main!$K$26:$M$29,2,FALSE)+VLOOKUP(VLOOKUP(BG$1,main!$A$3:$H$102,7,FALSE),main!$K$19:$O$22,MATCH(VLOOKUP($A49,main!$A$3:$H$102,8,FALSE),main!$K$18:$O$18,0))))),1,0)</f>
        <v>0</v>
      </c>
      <c r="BH49">
        <f>IF((AND(VLOOKUP(BH$1,main!$A$3:$H$102,5,FALSE)-VLOOKUP($A49,main!$A$3:$H$102,6,FALSE)&gt;=(VLOOKUP(VLOOKUP(BH$1,main!$A$3:$H$102,8,FALSE),main!$K$26:$M$29,2,FALSE)+VLOOKUP(VLOOKUP(BH$1,main!$A$3:$H$102,7,FALSE),main!$K$19:$O$22,MATCH(VLOOKUP($A49,main!$A$3:$H$102,8,FALSE),main!$K$18:$O$18,0))))),1,0)</f>
        <v>0</v>
      </c>
      <c r="BI49">
        <f>IF((AND(VLOOKUP(BI$1,main!$A$3:$H$102,5,FALSE)-VLOOKUP($A49,main!$A$3:$H$102,6,FALSE)&gt;=(VLOOKUP(VLOOKUP(BI$1,main!$A$3:$H$102,8,FALSE),main!$K$26:$M$29,2,FALSE)+VLOOKUP(VLOOKUP(BI$1,main!$A$3:$H$102,7,FALSE),main!$K$19:$O$22,MATCH(VLOOKUP($A49,main!$A$3:$H$102,8,FALSE),main!$K$18:$O$18,0))))),1,0)</f>
        <v>1</v>
      </c>
      <c r="BJ49">
        <f>IF((AND(VLOOKUP(BJ$1,main!$A$3:$H$102,5,FALSE)-VLOOKUP($A49,main!$A$3:$H$102,6,FALSE)&gt;=(VLOOKUP(VLOOKUP(BJ$1,main!$A$3:$H$102,8,FALSE),main!$K$26:$M$29,2,FALSE)+VLOOKUP(VLOOKUP(BJ$1,main!$A$3:$H$102,7,FALSE),main!$K$19:$O$22,MATCH(VLOOKUP($A49,main!$A$3:$H$102,8,FALSE),main!$K$18:$O$18,0))))),1,0)</f>
        <v>0</v>
      </c>
      <c r="BK49">
        <f>IF((AND(VLOOKUP(BK$1,main!$A$3:$H$102,5,FALSE)-VLOOKUP($A49,main!$A$3:$H$102,6,FALSE)&gt;=(VLOOKUP(VLOOKUP(BK$1,main!$A$3:$H$102,8,FALSE),main!$K$26:$M$29,2,FALSE)+VLOOKUP(VLOOKUP(BK$1,main!$A$3:$H$102,7,FALSE),main!$K$19:$O$22,MATCH(VLOOKUP($A49,main!$A$3:$H$102,8,FALSE),main!$K$18:$O$18,0))))),1,0)</f>
        <v>0</v>
      </c>
      <c r="BL49">
        <f>IF((AND(VLOOKUP(BL$1,main!$A$3:$H$102,5,FALSE)-VLOOKUP($A49,main!$A$3:$H$102,6,FALSE)&gt;=(VLOOKUP(VLOOKUP(BL$1,main!$A$3:$H$102,8,FALSE),main!$K$26:$M$29,2,FALSE)+VLOOKUP(VLOOKUP(BL$1,main!$A$3:$H$102,7,FALSE),main!$K$19:$O$22,MATCH(VLOOKUP($A49,main!$A$3:$H$102,8,FALSE),main!$K$18:$O$18,0))))),1,0)</f>
        <v>0</v>
      </c>
      <c r="BM49">
        <f>IF((AND(VLOOKUP(BM$1,main!$A$3:$H$102,5,FALSE)-VLOOKUP($A49,main!$A$3:$H$102,6,FALSE)&gt;=(VLOOKUP(VLOOKUP(BM$1,main!$A$3:$H$102,8,FALSE),main!$K$26:$M$29,2,FALSE)+VLOOKUP(VLOOKUP(BM$1,main!$A$3:$H$102,7,FALSE),main!$K$19:$O$22,MATCH(VLOOKUP($A49,main!$A$3:$H$102,8,FALSE),main!$K$18:$O$18,0))))),1,0)</f>
        <v>0</v>
      </c>
      <c r="BN49">
        <f>IF((AND(VLOOKUP(BN$1,main!$A$3:$H$102,5,FALSE)-VLOOKUP($A49,main!$A$3:$H$102,6,FALSE)&gt;=(VLOOKUP(VLOOKUP(BN$1,main!$A$3:$H$102,8,FALSE),main!$K$26:$M$29,2,FALSE)+VLOOKUP(VLOOKUP(BN$1,main!$A$3:$H$102,7,FALSE),main!$K$19:$O$22,MATCH(VLOOKUP($A49,main!$A$3:$H$102,8,FALSE),main!$K$18:$O$18,0))))),1,0)</f>
        <v>0</v>
      </c>
      <c r="BO49">
        <f>IF((AND(VLOOKUP(BO$1,main!$A$3:$H$102,5,FALSE)-VLOOKUP($A49,main!$A$3:$H$102,6,FALSE)&gt;=(VLOOKUP(VLOOKUP(BO$1,main!$A$3:$H$102,8,FALSE),main!$K$26:$M$29,2,FALSE)+VLOOKUP(VLOOKUP(BO$1,main!$A$3:$H$102,7,FALSE),main!$K$19:$O$22,MATCH(VLOOKUP($A49,main!$A$3:$H$102,8,FALSE),main!$K$18:$O$18,0))))),1,0)</f>
        <v>0</v>
      </c>
      <c r="BP49">
        <f>IF((AND(VLOOKUP(BP$1,main!$A$3:$H$102,5,FALSE)-VLOOKUP($A49,main!$A$3:$H$102,6,FALSE)&gt;=(VLOOKUP(VLOOKUP(BP$1,main!$A$3:$H$102,8,FALSE),main!$K$26:$M$29,2,FALSE)+VLOOKUP(VLOOKUP(BP$1,main!$A$3:$H$102,7,FALSE),main!$K$19:$O$22,MATCH(VLOOKUP($A49,main!$A$3:$H$102,8,FALSE),main!$K$18:$O$18,0))))),1,0)</f>
        <v>0</v>
      </c>
      <c r="BQ49">
        <f>IF((AND(VLOOKUP(BQ$1,main!$A$3:$H$102,5,FALSE)-VLOOKUP($A49,main!$A$3:$H$102,6,FALSE)&gt;=(VLOOKUP(VLOOKUP(BQ$1,main!$A$3:$H$102,8,FALSE),main!$K$26:$M$29,2,FALSE)+VLOOKUP(VLOOKUP(BQ$1,main!$A$3:$H$102,7,FALSE),main!$K$19:$O$22,MATCH(VLOOKUP($A49,main!$A$3:$H$102,8,FALSE),main!$K$18:$O$18,0))))),1,0)</f>
        <v>0</v>
      </c>
      <c r="BR49">
        <f>IF((AND(VLOOKUP(BR$1,main!$A$3:$H$102,5,FALSE)-VLOOKUP($A49,main!$A$3:$H$102,6,FALSE)&gt;=(VLOOKUP(VLOOKUP(BR$1,main!$A$3:$H$102,8,FALSE),main!$K$26:$M$29,2,FALSE)+VLOOKUP(VLOOKUP(BR$1,main!$A$3:$H$102,7,FALSE),main!$K$19:$O$22,MATCH(VLOOKUP($A49,main!$A$3:$H$102,8,FALSE),main!$K$18:$O$18,0))))),1,0)</f>
        <v>0</v>
      </c>
      <c r="BS49">
        <f>IF((AND(VLOOKUP(BS$1,main!$A$3:$H$102,5,FALSE)-VLOOKUP($A49,main!$A$3:$H$102,6,FALSE)&gt;=(VLOOKUP(VLOOKUP(BS$1,main!$A$3:$H$102,8,FALSE),main!$K$26:$M$29,2,FALSE)+VLOOKUP(VLOOKUP(BS$1,main!$A$3:$H$102,7,FALSE),main!$K$19:$O$22,MATCH(VLOOKUP($A49,main!$A$3:$H$102,8,FALSE),main!$K$18:$O$18,0))))),1,0)</f>
        <v>0</v>
      </c>
      <c r="BT49">
        <f>IF((AND(VLOOKUP(BT$1,main!$A$3:$H$102,5,FALSE)-VLOOKUP($A49,main!$A$3:$H$102,6,FALSE)&gt;=(VLOOKUP(VLOOKUP(BT$1,main!$A$3:$H$102,8,FALSE),main!$K$26:$M$29,2,FALSE)+VLOOKUP(VLOOKUP(BT$1,main!$A$3:$H$102,7,FALSE),main!$K$19:$O$22,MATCH(VLOOKUP($A49,main!$A$3:$H$102,8,FALSE),main!$K$18:$O$18,0))))),1,0)</f>
        <v>0</v>
      </c>
      <c r="BU49">
        <f>IF((AND(VLOOKUP(BU$1,main!$A$3:$H$102,5,FALSE)-VLOOKUP($A49,main!$A$3:$H$102,6,FALSE)&gt;=(VLOOKUP(VLOOKUP(BU$1,main!$A$3:$H$102,8,FALSE),main!$K$26:$M$29,2,FALSE)+VLOOKUP(VLOOKUP(BU$1,main!$A$3:$H$102,7,FALSE),main!$K$19:$O$22,MATCH(VLOOKUP($A49,main!$A$3:$H$102,8,FALSE),main!$K$18:$O$18,0))))),1,0)</f>
        <v>0</v>
      </c>
      <c r="BV49">
        <f>IF((AND(VLOOKUP(BV$1,main!$A$3:$H$102,5,FALSE)-VLOOKUP($A49,main!$A$3:$H$102,6,FALSE)&gt;=(VLOOKUP(VLOOKUP(BV$1,main!$A$3:$H$102,8,FALSE),main!$K$26:$M$29,2,FALSE)+VLOOKUP(VLOOKUP(BV$1,main!$A$3:$H$102,7,FALSE),main!$K$19:$O$22,MATCH(VLOOKUP($A49,main!$A$3:$H$102,8,FALSE),main!$K$18:$O$18,0))))),1,0)</f>
        <v>0</v>
      </c>
      <c r="BW49">
        <f>IF((AND(VLOOKUP(BW$1,main!$A$3:$H$102,5,FALSE)-VLOOKUP($A49,main!$A$3:$H$102,6,FALSE)&gt;=(VLOOKUP(VLOOKUP(BW$1,main!$A$3:$H$102,8,FALSE),main!$K$26:$M$29,2,FALSE)+VLOOKUP(VLOOKUP(BW$1,main!$A$3:$H$102,7,FALSE),main!$K$19:$O$22,MATCH(VLOOKUP($A49,main!$A$3:$H$102,8,FALSE),main!$K$18:$O$18,0))))),1,0)</f>
        <v>0</v>
      </c>
      <c r="BX49">
        <f>IF((AND(VLOOKUP(BX$1,main!$A$3:$H$102,5,FALSE)-VLOOKUP($A49,main!$A$3:$H$102,6,FALSE)&gt;=(VLOOKUP(VLOOKUP(BX$1,main!$A$3:$H$102,8,FALSE),main!$K$26:$M$29,2,FALSE)+VLOOKUP(VLOOKUP(BX$1,main!$A$3:$H$102,7,FALSE),main!$K$19:$O$22,MATCH(VLOOKUP($A49,main!$A$3:$H$102,8,FALSE),main!$K$18:$O$18,0))))),1,0)</f>
        <v>0</v>
      </c>
      <c r="BY49">
        <f>IF((AND(VLOOKUP(BY$1,main!$A$3:$H$102,5,FALSE)-VLOOKUP($A49,main!$A$3:$H$102,6,FALSE)&gt;=(VLOOKUP(VLOOKUP(BY$1,main!$A$3:$H$102,8,FALSE),main!$K$26:$M$29,2,FALSE)+VLOOKUP(VLOOKUP(BY$1,main!$A$3:$H$102,7,FALSE),main!$K$19:$O$22,MATCH(VLOOKUP($A49,main!$A$3:$H$102,8,FALSE),main!$K$18:$O$18,0))))),1,0)</f>
        <v>0</v>
      </c>
      <c r="BZ49">
        <f>IF((AND(VLOOKUP(BZ$1,main!$A$3:$H$102,5,FALSE)-VLOOKUP($A49,main!$A$3:$H$102,6,FALSE)&gt;=(VLOOKUP(VLOOKUP(BZ$1,main!$A$3:$H$102,8,FALSE),main!$K$26:$M$29,2,FALSE)+VLOOKUP(VLOOKUP(BZ$1,main!$A$3:$H$102,7,FALSE),main!$K$19:$O$22,MATCH(VLOOKUP($A49,main!$A$3:$H$102,8,FALSE),main!$K$18:$O$18,0))))),1,0)</f>
        <v>0</v>
      </c>
      <c r="CA49">
        <f>IF((AND(VLOOKUP(CA$1,main!$A$3:$H$102,5,FALSE)-VLOOKUP($A49,main!$A$3:$H$102,6,FALSE)&gt;=(VLOOKUP(VLOOKUP(CA$1,main!$A$3:$H$102,8,FALSE),main!$K$26:$M$29,2,FALSE)+VLOOKUP(VLOOKUP(CA$1,main!$A$3:$H$102,7,FALSE),main!$K$19:$O$22,MATCH(VLOOKUP($A49,main!$A$3:$H$102,8,FALSE),main!$K$18:$O$18,0))))),1,0)</f>
        <v>0</v>
      </c>
      <c r="CB49">
        <f>IF((AND(VLOOKUP(CB$1,main!$A$3:$H$102,5,FALSE)-VLOOKUP($A49,main!$A$3:$H$102,6,FALSE)&gt;=(VLOOKUP(VLOOKUP(CB$1,main!$A$3:$H$102,8,FALSE),main!$K$26:$M$29,2,FALSE)+VLOOKUP(VLOOKUP(CB$1,main!$A$3:$H$102,7,FALSE),main!$K$19:$O$22,MATCH(VLOOKUP($A49,main!$A$3:$H$102,8,FALSE),main!$K$18:$O$18,0))))),1,0)</f>
        <v>0</v>
      </c>
      <c r="CC49">
        <f>IF((AND(VLOOKUP(CC$1,main!$A$3:$H$102,5,FALSE)-VLOOKUP($A49,main!$A$3:$H$102,6,FALSE)&gt;=(VLOOKUP(VLOOKUP(CC$1,main!$A$3:$H$102,8,FALSE),main!$K$26:$M$29,2,FALSE)+VLOOKUP(VLOOKUP(CC$1,main!$A$3:$H$102,7,FALSE),main!$K$19:$O$22,MATCH(VLOOKUP($A49,main!$A$3:$H$102,8,FALSE),main!$K$18:$O$18,0))))),1,0)</f>
        <v>1</v>
      </c>
      <c r="CD49">
        <f>IF((AND(VLOOKUP(CD$1,main!$A$3:$H$102,5,FALSE)-VLOOKUP($A49,main!$A$3:$H$102,6,FALSE)&gt;=(VLOOKUP(VLOOKUP(CD$1,main!$A$3:$H$102,8,FALSE),main!$K$26:$M$29,2,FALSE)+VLOOKUP(VLOOKUP(CD$1,main!$A$3:$H$102,7,FALSE),main!$K$19:$O$22,MATCH(VLOOKUP($A49,main!$A$3:$H$102,8,FALSE),main!$K$18:$O$18,0))))),1,0)</f>
        <v>0</v>
      </c>
      <c r="CE49">
        <f>IF((AND(VLOOKUP(CE$1,main!$A$3:$H$102,5,FALSE)-VLOOKUP($A49,main!$A$3:$H$102,6,FALSE)&gt;=(VLOOKUP(VLOOKUP(CE$1,main!$A$3:$H$102,8,FALSE),main!$K$26:$M$29,2,FALSE)+VLOOKUP(VLOOKUP(CE$1,main!$A$3:$H$102,7,FALSE),main!$K$19:$O$22,MATCH(VLOOKUP($A49,main!$A$3:$H$102,8,FALSE),main!$K$18:$O$18,0))))),1,0)</f>
        <v>0</v>
      </c>
      <c r="CF49">
        <f>IF((AND(VLOOKUP(CF$1,main!$A$3:$H$102,5,FALSE)-VLOOKUP($A49,main!$A$3:$H$102,6,FALSE)&gt;=(VLOOKUP(VLOOKUP(CF$1,main!$A$3:$H$102,8,FALSE),main!$K$26:$M$29,2,FALSE)+VLOOKUP(VLOOKUP(CF$1,main!$A$3:$H$102,7,FALSE),main!$K$19:$O$22,MATCH(VLOOKUP($A49,main!$A$3:$H$102,8,FALSE),main!$K$18:$O$18,0))))),1,0)</f>
        <v>0</v>
      </c>
      <c r="CG49">
        <f>IF((AND(VLOOKUP(CG$1,main!$A$3:$H$102,5,FALSE)-VLOOKUP($A49,main!$A$3:$H$102,6,FALSE)&gt;=(VLOOKUP(VLOOKUP(CG$1,main!$A$3:$H$102,8,FALSE),main!$K$26:$M$29,2,FALSE)+VLOOKUP(VLOOKUP(CG$1,main!$A$3:$H$102,7,FALSE),main!$K$19:$O$22,MATCH(VLOOKUP($A49,main!$A$3:$H$102,8,FALSE),main!$K$18:$O$18,0))))),1,0)</f>
        <v>0</v>
      </c>
      <c r="CH49">
        <f>IF((AND(VLOOKUP(CH$1,main!$A$3:$H$102,5,FALSE)-VLOOKUP($A49,main!$A$3:$H$102,6,FALSE)&gt;=(VLOOKUP(VLOOKUP(CH$1,main!$A$3:$H$102,8,FALSE),main!$K$26:$M$29,2,FALSE)+VLOOKUP(VLOOKUP(CH$1,main!$A$3:$H$102,7,FALSE),main!$K$19:$O$22,MATCH(VLOOKUP($A49,main!$A$3:$H$102,8,FALSE),main!$K$18:$O$18,0))))),1,0)</f>
        <v>0</v>
      </c>
      <c r="CI49">
        <f>IF((AND(VLOOKUP(CI$1,main!$A$3:$H$102,5,FALSE)-VLOOKUP($A49,main!$A$3:$H$102,6,FALSE)&gt;=(VLOOKUP(VLOOKUP(CI$1,main!$A$3:$H$102,8,FALSE),main!$K$26:$M$29,2,FALSE)+VLOOKUP(VLOOKUP(CI$1,main!$A$3:$H$102,7,FALSE),main!$K$19:$O$22,MATCH(VLOOKUP($A49,main!$A$3:$H$102,8,FALSE),main!$K$18:$O$18,0))))),1,0)</f>
        <v>1</v>
      </c>
      <c r="CJ49">
        <f>IF((AND(VLOOKUP(CJ$1,main!$A$3:$H$102,5,FALSE)-VLOOKUP($A49,main!$A$3:$H$102,6,FALSE)&gt;=(VLOOKUP(VLOOKUP(CJ$1,main!$A$3:$H$102,8,FALSE),main!$K$26:$M$29,2,FALSE)+VLOOKUP(VLOOKUP(CJ$1,main!$A$3:$H$102,7,FALSE),main!$K$19:$O$22,MATCH(VLOOKUP($A49,main!$A$3:$H$102,8,FALSE),main!$K$18:$O$18,0))))),1,0)</f>
        <v>0</v>
      </c>
      <c r="CK49">
        <f>IF((AND(VLOOKUP(CK$1,main!$A$3:$H$102,5,FALSE)-VLOOKUP($A49,main!$A$3:$H$102,6,FALSE)&gt;=(VLOOKUP(VLOOKUP(CK$1,main!$A$3:$H$102,8,FALSE),main!$K$26:$M$29,2,FALSE)+VLOOKUP(VLOOKUP(CK$1,main!$A$3:$H$102,7,FALSE),main!$K$19:$O$22,MATCH(VLOOKUP($A49,main!$A$3:$H$102,8,FALSE),main!$K$18:$O$18,0))))),1,0)</f>
        <v>0</v>
      </c>
      <c r="CL49">
        <f>IF((AND(VLOOKUP(CL$1,main!$A$3:$H$102,5,FALSE)-VLOOKUP($A49,main!$A$3:$H$102,6,FALSE)&gt;=(VLOOKUP(VLOOKUP(CL$1,main!$A$3:$H$102,8,FALSE),main!$K$26:$M$29,2,FALSE)+VLOOKUP(VLOOKUP(CL$1,main!$A$3:$H$102,7,FALSE),main!$K$19:$O$22,MATCH(VLOOKUP($A49,main!$A$3:$H$102,8,FALSE),main!$K$18:$O$18,0))))),1,0)</f>
        <v>0</v>
      </c>
      <c r="CM49">
        <f>IF((AND(VLOOKUP(CM$1,main!$A$3:$H$102,5,FALSE)-VLOOKUP($A49,main!$A$3:$H$102,6,FALSE)&gt;=(VLOOKUP(VLOOKUP(CM$1,main!$A$3:$H$102,8,FALSE),main!$K$26:$M$29,2,FALSE)+VLOOKUP(VLOOKUP(CM$1,main!$A$3:$H$102,7,FALSE),main!$K$19:$O$22,MATCH(VLOOKUP($A49,main!$A$3:$H$102,8,FALSE),main!$K$18:$O$18,0))))),1,0)</f>
        <v>0</v>
      </c>
      <c r="CN49">
        <f>IF((AND(VLOOKUP(CN$1,main!$A$3:$H$102,5,FALSE)-VLOOKUP($A49,main!$A$3:$H$102,6,FALSE)&gt;=(VLOOKUP(VLOOKUP(CN$1,main!$A$3:$H$102,8,FALSE),main!$K$26:$M$29,2,FALSE)+VLOOKUP(VLOOKUP(CN$1,main!$A$3:$H$102,7,FALSE),main!$K$19:$O$22,MATCH(VLOOKUP($A49,main!$A$3:$H$102,8,FALSE),main!$K$18:$O$18,0))))),1,0)</f>
        <v>1</v>
      </c>
      <c r="CO49">
        <f>IF((AND(VLOOKUP(CO$1,main!$A$3:$H$102,5,FALSE)-VLOOKUP($A49,main!$A$3:$H$102,6,FALSE)&gt;=(VLOOKUP(VLOOKUP(CO$1,main!$A$3:$H$102,8,FALSE),main!$K$26:$M$29,2,FALSE)+VLOOKUP(VLOOKUP(CO$1,main!$A$3:$H$102,7,FALSE),main!$K$19:$O$22,MATCH(VLOOKUP($A49,main!$A$3:$H$102,8,FALSE),main!$K$18:$O$18,0))))),1,0)</f>
        <v>0</v>
      </c>
      <c r="CP49">
        <f>IF((AND(VLOOKUP(CP$1,main!$A$3:$H$102,5,FALSE)-VLOOKUP($A49,main!$A$3:$H$102,6,FALSE)&gt;=(VLOOKUP(VLOOKUP(CP$1,main!$A$3:$H$102,8,FALSE),main!$K$26:$M$29,2,FALSE)+VLOOKUP(VLOOKUP(CP$1,main!$A$3:$H$102,7,FALSE),main!$K$19:$O$22,MATCH(VLOOKUP($A49,main!$A$3:$H$102,8,FALSE),main!$K$18:$O$18,0))))),1,0)</f>
        <v>0</v>
      </c>
      <c r="CQ49">
        <f>IF((AND(VLOOKUP(CQ$1,main!$A$3:$H$102,5,FALSE)-VLOOKUP($A49,main!$A$3:$H$102,6,FALSE)&gt;=(VLOOKUP(VLOOKUP(CQ$1,main!$A$3:$H$102,8,FALSE),main!$K$26:$M$29,2,FALSE)+VLOOKUP(VLOOKUP(CQ$1,main!$A$3:$H$102,7,FALSE),main!$K$19:$O$22,MATCH(VLOOKUP($A49,main!$A$3:$H$102,8,FALSE),main!$K$18:$O$18,0))))),1,0)</f>
        <v>0</v>
      </c>
      <c r="CR49">
        <f>IF((AND(VLOOKUP(CR$1,main!$A$3:$H$102,5,FALSE)-VLOOKUP($A49,main!$A$3:$H$102,6,FALSE)&gt;=(VLOOKUP(VLOOKUP(CR$1,main!$A$3:$H$102,8,FALSE),main!$K$26:$M$29,2,FALSE)+VLOOKUP(VLOOKUP(CR$1,main!$A$3:$H$102,7,FALSE),main!$K$19:$O$22,MATCH(VLOOKUP($A49,main!$A$3:$H$102,8,FALSE),main!$K$18:$O$18,0))))),1,0)</f>
        <v>0</v>
      </c>
      <c r="CS49">
        <f>IF((AND(VLOOKUP(CS$1,main!$A$3:$H$102,5,FALSE)-VLOOKUP($A49,main!$A$3:$H$102,6,FALSE)&gt;=(VLOOKUP(VLOOKUP(CS$1,main!$A$3:$H$102,8,FALSE),main!$K$26:$M$29,2,FALSE)+VLOOKUP(VLOOKUP(CS$1,main!$A$3:$H$102,7,FALSE),main!$K$19:$O$22,MATCH(VLOOKUP($A49,main!$A$3:$H$102,8,FALSE),main!$K$18:$O$18,0))))),1,0)</f>
        <v>0</v>
      </c>
      <c r="CT49">
        <f>IF((AND(VLOOKUP(CT$1,main!$A$3:$H$102,5,FALSE)-VLOOKUP($A49,main!$A$3:$H$102,6,FALSE)&gt;=(VLOOKUP(VLOOKUP(CT$1,main!$A$3:$H$102,8,FALSE),main!$K$26:$M$29,2,FALSE)+VLOOKUP(VLOOKUP(CT$1,main!$A$3:$H$102,7,FALSE),main!$K$19:$O$22,MATCH(VLOOKUP($A49,main!$A$3:$H$102,8,FALSE),main!$K$18:$O$18,0))))),1,0)</f>
        <v>0</v>
      </c>
      <c r="CU49">
        <f>IF((AND(VLOOKUP(CU$1,main!$A$3:$H$102,5,FALSE)-VLOOKUP($A49,main!$A$3:$H$102,6,FALSE)&gt;=(VLOOKUP(VLOOKUP(CU$1,main!$A$3:$H$102,8,FALSE),main!$K$26:$M$29,2,FALSE)+VLOOKUP(VLOOKUP(CU$1,main!$A$3:$H$102,7,FALSE),main!$K$19:$O$22,MATCH(VLOOKUP($A49,main!$A$3:$H$102,8,FALSE),main!$K$18:$O$18,0))))),1,0)</f>
        <v>0</v>
      </c>
      <c r="CV49">
        <f>IF((AND(VLOOKUP(CV$1,main!$A$3:$H$102,5,FALSE)-VLOOKUP($A49,main!$A$3:$H$102,6,FALSE)&gt;=(VLOOKUP(VLOOKUP(CV$1,main!$A$3:$H$102,8,FALSE),main!$K$26:$M$29,2,FALSE)+VLOOKUP(VLOOKUP(CV$1,main!$A$3:$H$102,7,FALSE),main!$K$19:$O$22,MATCH(VLOOKUP($A49,main!$A$3:$H$102,8,FALSE),main!$K$18:$O$18,0))))),1,0)</f>
        <v>0</v>
      </c>
      <c r="CW49">
        <f>IF((AND(VLOOKUP(CW$1,main!$A$3:$H$102,5,FALSE)-VLOOKUP($A49,main!$A$3:$H$102,6,FALSE)&gt;=(VLOOKUP(VLOOKUP(CW$1,main!$A$3:$H$102,8,FALSE),main!$K$26:$M$29,2,FALSE)+VLOOKUP(VLOOKUP(CW$1,main!$A$3:$H$102,7,FALSE),main!$K$19:$O$22,MATCH(VLOOKUP($A49,main!$A$3:$H$102,8,FALSE),main!$K$18:$O$18,0))))),1,0)</f>
        <v>0</v>
      </c>
      <c r="CX49">
        <f>IF((AND(VLOOKUP(CX$1,main!$A$3:$H$102,5,FALSE)-VLOOKUP($A49,main!$A$3:$H$102,6,FALSE)&gt;=(VLOOKUP(VLOOKUP(CX$1,main!$A$3:$H$102,8,FALSE),main!$K$26:$M$29,2,FALSE)+VLOOKUP(VLOOKUP(CX$1,main!$A$3:$H$102,7,FALSE),main!$K$19:$O$22,MATCH(VLOOKUP($A49,main!$A$3:$H$102,8,FALSE),main!$K$18:$O$18,0))))),1,0)</f>
        <v>0</v>
      </c>
    </row>
    <row r="50" spans="1:102" x14ac:dyDescent="0.25">
      <c r="A50" s="1">
        <v>48</v>
      </c>
      <c r="B50">
        <v>1</v>
      </c>
      <c r="C50">
        <f>IF((AND(VLOOKUP(C$1,main!$A$3:$H$102,5,FALSE)-VLOOKUP($A50,main!$A$3:$H$102,6,FALSE)&gt;=(VLOOKUP(VLOOKUP(C$1,main!$A$3:$H$102,8,FALSE),main!$K$26:$M$29,2,FALSE)+VLOOKUP(VLOOKUP(C$1,main!$A$3:$H$102,7,FALSE),main!$K$19:$O$22,MATCH(VLOOKUP($A50,main!$A$3:$H$102,8,FALSE),main!$K$18:$O$18,0))))),1,0)</f>
        <v>0</v>
      </c>
      <c r="D50">
        <f>IF((AND(VLOOKUP(D$1,main!$A$3:$H$102,5,FALSE)-VLOOKUP($A50,main!$A$3:$H$102,6,FALSE)&gt;=(VLOOKUP(VLOOKUP(D$1,main!$A$3:$H$102,8,FALSE),main!$K$26:$M$29,2,FALSE)+VLOOKUP(VLOOKUP(D$1,main!$A$3:$H$102,7,FALSE),main!$K$19:$O$22,MATCH(VLOOKUP($A50,main!$A$3:$H$102,8,FALSE),main!$K$18:$O$18,0))))),1,0)</f>
        <v>0</v>
      </c>
      <c r="E50">
        <f>IF((AND(VLOOKUP(E$1,main!$A$3:$H$102,5,FALSE)-VLOOKUP($A50,main!$A$3:$H$102,6,FALSE)&gt;=(VLOOKUP(VLOOKUP(E$1,main!$A$3:$H$102,8,FALSE),main!$K$26:$M$29,2,FALSE)+VLOOKUP(VLOOKUP(E$1,main!$A$3:$H$102,7,FALSE),main!$K$19:$O$22,MATCH(VLOOKUP($A50,main!$A$3:$H$102,8,FALSE),main!$K$18:$O$18,0))))),1,0)</f>
        <v>0</v>
      </c>
      <c r="F50">
        <f>IF((AND(VLOOKUP(F$1,main!$A$3:$H$102,5,FALSE)-VLOOKUP($A50,main!$A$3:$H$102,6,FALSE)&gt;=(VLOOKUP(VLOOKUP(F$1,main!$A$3:$H$102,8,FALSE),main!$K$26:$M$29,2,FALSE)+VLOOKUP(VLOOKUP(F$1,main!$A$3:$H$102,7,FALSE),main!$K$19:$O$22,MATCH(VLOOKUP($A50,main!$A$3:$H$102,8,FALSE),main!$K$18:$O$18,0))))),1,0)</f>
        <v>0</v>
      </c>
      <c r="G50">
        <f>IF((AND(VLOOKUP(G$1,main!$A$3:$H$102,5,FALSE)-VLOOKUP($A50,main!$A$3:$H$102,6,FALSE)&gt;=(VLOOKUP(VLOOKUP(G$1,main!$A$3:$H$102,8,FALSE),main!$K$26:$M$29,2,FALSE)+VLOOKUP(VLOOKUP(G$1,main!$A$3:$H$102,7,FALSE),main!$K$19:$O$22,MATCH(VLOOKUP($A50,main!$A$3:$H$102,8,FALSE),main!$K$18:$O$18,0))))),1,0)</f>
        <v>0</v>
      </c>
      <c r="H50">
        <f>IF((AND(VLOOKUP(H$1,main!$A$3:$H$102,5,FALSE)-VLOOKUP($A50,main!$A$3:$H$102,6,FALSE)&gt;=(VLOOKUP(VLOOKUP(H$1,main!$A$3:$H$102,8,FALSE),main!$K$26:$M$29,2,FALSE)+VLOOKUP(VLOOKUP(H$1,main!$A$3:$H$102,7,FALSE),main!$K$19:$O$22,MATCH(VLOOKUP($A50,main!$A$3:$H$102,8,FALSE),main!$K$18:$O$18,0))))),1,0)</f>
        <v>1</v>
      </c>
      <c r="I50">
        <f>IF((AND(VLOOKUP(I$1,main!$A$3:$H$102,5,FALSE)-VLOOKUP($A50,main!$A$3:$H$102,6,FALSE)&gt;=(VLOOKUP(VLOOKUP(I$1,main!$A$3:$H$102,8,FALSE),main!$K$26:$M$29,2,FALSE)+VLOOKUP(VLOOKUP(I$1,main!$A$3:$H$102,7,FALSE),main!$K$19:$O$22,MATCH(VLOOKUP($A50,main!$A$3:$H$102,8,FALSE),main!$K$18:$O$18,0))))),1,0)</f>
        <v>1</v>
      </c>
      <c r="J50">
        <f>IF((AND(VLOOKUP(J$1,main!$A$3:$H$102,5,FALSE)-VLOOKUP($A50,main!$A$3:$H$102,6,FALSE)&gt;=(VLOOKUP(VLOOKUP(J$1,main!$A$3:$H$102,8,FALSE),main!$K$26:$M$29,2,FALSE)+VLOOKUP(VLOOKUP(J$1,main!$A$3:$H$102,7,FALSE),main!$K$19:$O$22,MATCH(VLOOKUP($A50,main!$A$3:$H$102,8,FALSE),main!$K$18:$O$18,0))))),1,0)</f>
        <v>1</v>
      </c>
      <c r="K50">
        <f>IF((AND(VLOOKUP(K$1,main!$A$3:$H$102,5,FALSE)-VLOOKUP($A50,main!$A$3:$H$102,6,FALSE)&gt;=(VLOOKUP(VLOOKUP(K$1,main!$A$3:$H$102,8,FALSE),main!$K$26:$M$29,2,FALSE)+VLOOKUP(VLOOKUP(K$1,main!$A$3:$H$102,7,FALSE),main!$K$19:$O$22,MATCH(VLOOKUP($A50,main!$A$3:$H$102,8,FALSE),main!$K$18:$O$18,0))))),1,0)</f>
        <v>1</v>
      </c>
      <c r="L50">
        <f>IF((AND(VLOOKUP(L$1,main!$A$3:$H$102,5,FALSE)-VLOOKUP($A50,main!$A$3:$H$102,6,FALSE)&gt;=(VLOOKUP(VLOOKUP(L$1,main!$A$3:$H$102,8,FALSE),main!$K$26:$M$29,2,FALSE)+VLOOKUP(VLOOKUP(L$1,main!$A$3:$H$102,7,FALSE),main!$K$19:$O$22,MATCH(VLOOKUP($A50,main!$A$3:$H$102,8,FALSE),main!$K$18:$O$18,0))))),1,0)</f>
        <v>1</v>
      </c>
      <c r="M50">
        <f>IF((AND(VLOOKUP(M$1,main!$A$3:$H$102,5,FALSE)-VLOOKUP($A50,main!$A$3:$H$102,6,FALSE)&gt;=(VLOOKUP(VLOOKUP(M$1,main!$A$3:$H$102,8,FALSE),main!$K$26:$M$29,2,FALSE)+VLOOKUP(VLOOKUP(M$1,main!$A$3:$H$102,7,FALSE),main!$K$19:$O$22,MATCH(VLOOKUP($A50,main!$A$3:$H$102,8,FALSE),main!$K$18:$O$18,0))))),1,0)</f>
        <v>0</v>
      </c>
      <c r="N50">
        <f>IF((AND(VLOOKUP(N$1,main!$A$3:$H$102,5,FALSE)-VLOOKUP($A50,main!$A$3:$H$102,6,FALSE)&gt;=(VLOOKUP(VLOOKUP(N$1,main!$A$3:$H$102,8,FALSE),main!$K$26:$M$29,2,FALSE)+VLOOKUP(VLOOKUP(N$1,main!$A$3:$H$102,7,FALSE),main!$K$19:$O$22,MATCH(VLOOKUP($A50,main!$A$3:$H$102,8,FALSE),main!$K$18:$O$18,0))))),1,0)</f>
        <v>0</v>
      </c>
      <c r="O50">
        <f>IF((AND(VLOOKUP(O$1,main!$A$3:$H$102,5,FALSE)-VLOOKUP($A50,main!$A$3:$H$102,6,FALSE)&gt;=(VLOOKUP(VLOOKUP(O$1,main!$A$3:$H$102,8,FALSE),main!$K$26:$M$29,2,FALSE)+VLOOKUP(VLOOKUP(O$1,main!$A$3:$H$102,7,FALSE),main!$K$19:$O$22,MATCH(VLOOKUP($A50,main!$A$3:$H$102,8,FALSE),main!$K$18:$O$18,0))))),1,0)</f>
        <v>0</v>
      </c>
      <c r="P50">
        <f>IF((AND(VLOOKUP(P$1,main!$A$3:$H$102,5,FALSE)-VLOOKUP($A50,main!$A$3:$H$102,6,FALSE)&gt;=(VLOOKUP(VLOOKUP(P$1,main!$A$3:$H$102,8,FALSE),main!$K$26:$M$29,2,FALSE)+VLOOKUP(VLOOKUP(P$1,main!$A$3:$H$102,7,FALSE),main!$K$19:$O$22,MATCH(VLOOKUP($A50,main!$A$3:$H$102,8,FALSE),main!$K$18:$O$18,0))))),1,0)</f>
        <v>0</v>
      </c>
      <c r="Q50">
        <f>IF((AND(VLOOKUP(Q$1,main!$A$3:$H$102,5,FALSE)-VLOOKUP($A50,main!$A$3:$H$102,6,FALSE)&gt;=(VLOOKUP(VLOOKUP(Q$1,main!$A$3:$H$102,8,FALSE),main!$K$26:$M$29,2,FALSE)+VLOOKUP(VLOOKUP(Q$1,main!$A$3:$H$102,7,FALSE),main!$K$19:$O$22,MATCH(VLOOKUP($A50,main!$A$3:$H$102,8,FALSE),main!$K$18:$O$18,0))))),1,0)</f>
        <v>0</v>
      </c>
      <c r="R50">
        <f>IF((AND(VLOOKUP(R$1,main!$A$3:$H$102,5,FALSE)-VLOOKUP($A50,main!$A$3:$H$102,6,FALSE)&gt;=(VLOOKUP(VLOOKUP(R$1,main!$A$3:$H$102,8,FALSE),main!$K$26:$M$29,2,FALSE)+VLOOKUP(VLOOKUP(R$1,main!$A$3:$H$102,7,FALSE),main!$K$19:$O$22,MATCH(VLOOKUP($A50,main!$A$3:$H$102,8,FALSE),main!$K$18:$O$18,0))))),1,0)</f>
        <v>0</v>
      </c>
      <c r="S50">
        <f>IF((AND(VLOOKUP(S$1,main!$A$3:$H$102,5,FALSE)-VLOOKUP($A50,main!$A$3:$H$102,6,FALSE)&gt;=(VLOOKUP(VLOOKUP(S$1,main!$A$3:$H$102,8,FALSE),main!$K$26:$M$29,2,FALSE)+VLOOKUP(VLOOKUP(S$1,main!$A$3:$H$102,7,FALSE),main!$K$19:$O$22,MATCH(VLOOKUP($A50,main!$A$3:$H$102,8,FALSE),main!$K$18:$O$18,0))))),1,0)</f>
        <v>1</v>
      </c>
      <c r="T50">
        <f>IF((AND(VLOOKUP(T$1,main!$A$3:$H$102,5,FALSE)-VLOOKUP($A50,main!$A$3:$H$102,6,FALSE)&gt;=(VLOOKUP(VLOOKUP(T$1,main!$A$3:$H$102,8,FALSE),main!$K$26:$M$29,2,FALSE)+VLOOKUP(VLOOKUP(T$1,main!$A$3:$H$102,7,FALSE),main!$K$19:$O$22,MATCH(VLOOKUP($A50,main!$A$3:$H$102,8,FALSE),main!$K$18:$O$18,0))))),1,0)</f>
        <v>1</v>
      </c>
      <c r="U50">
        <f>IF((AND(VLOOKUP(U$1,main!$A$3:$H$102,5,FALSE)-VLOOKUP($A50,main!$A$3:$H$102,6,FALSE)&gt;=(VLOOKUP(VLOOKUP(U$1,main!$A$3:$H$102,8,FALSE),main!$K$26:$M$29,2,FALSE)+VLOOKUP(VLOOKUP(U$1,main!$A$3:$H$102,7,FALSE),main!$K$19:$O$22,MATCH(VLOOKUP($A50,main!$A$3:$H$102,8,FALSE),main!$K$18:$O$18,0))))),1,0)</f>
        <v>1</v>
      </c>
      <c r="V50">
        <f>IF((AND(VLOOKUP(V$1,main!$A$3:$H$102,5,FALSE)-VLOOKUP($A50,main!$A$3:$H$102,6,FALSE)&gt;=(VLOOKUP(VLOOKUP(V$1,main!$A$3:$H$102,8,FALSE),main!$K$26:$M$29,2,FALSE)+VLOOKUP(VLOOKUP(V$1,main!$A$3:$H$102,7,FALSE),main!$K$19:$O$22,MATCH(VLOOKUP($A50,main!$A$3:$H$102,8,FALSE),main!$K$18:$O$18,0))))),1,0)</f>
        <v>1</v>
      </c>
      <c r="W50">
        <f>IF((AND(VLOOKUP(W$1,main!$A$3:$H$102,5,FALSE)-VLOOKUP($A50,main!$A$3:$H$102,6,FALSE)&gt;=(VLOOKUP(VLOOKUP(W$1,main!$A$3:$H$102,8,FALSE),main!$K$26:$M$29,2,FALSE)+VLOOKUP(VLOOKUP(W$1,main!$A$3:$H$102,7,FALSE),main!$K$19:$O$22,MATCH(VLOOKUP($A50,main!$A$3:$H$102,8,FALSE),main!$K$18:$O$18,0))))),1,0)</f>
        <v>0</v>
      </c>
      <c r="X50">
        <f>IF((AND(VLOOKUP(X$1,main!$A$3:$H$102,5,FALSE)-VLOOKUP($A50,main!$A$3:$H$102,6,FALSE)&gt;=(VLOOKUP(VLOOKUP(X$1,main!$A$3:$H$102,8,FALSE),main!$K$26:$M$29,2,FALSE)+VLOOKUP(VLOOKUP(X$1,main!$A$3:$H$102,7,FALSE),main!$K$19:$O$22,MATCH(VLOOKUP($A50,main!$A$3:$H$102,8,FALSE),main!$K$18:$O$18,0))))),1,0)</f>
        <v>0</v>
      </c>
      <c r="Y50">
        <f>IF((AND(VLOOKUP(Y$1,main!$A$3:$H$102,5,FALSE)-VLOOKUP($A50,main!$A$3:$H$102,6,FALSE)&gt;=(VLOOKUP(VLOOKUP(Y$1,main!$A$3:$H$102,8,FALSE),main!$K$26:$M$29,2,FALSE)+VLOOKUP(VLOOKUP(Y$1,main!$A$3:$H$102,7,FALSE),main!$K$19:$O$22,MATCH(VLOOKUP($A50,main!$A$3:$H$102,8,FALSE),main!$K$18:$O$18,0))))),1,0)</f>
        <v>0</v>
      </c>
      <c r="Z50">
        <f>IF((AND(VLOOKUP(Z$1,main!$A$3:$H$102,5,FALSE)-VLOOKUP($A50,main!$A$3:$H$102,6,FALSE)&gt;=(VLOOKUP(VLOOKUP(Z$1,main!$A$3:$H$102,8,FALSE),main!$K$26:$M$29,2,FALSE)+VLOOKUP(VLOOKUP(Z$1,main!$A$3:$H$102,7,FALSE),main!$K$19:$O$22,MATCH(VLOOKUP($A50,main!$A$3:$H$102,8,FALSE),main!$K$18:$O$18,0))))),1,0)</f>
        <v>1</v>
      </c>
      <c r="AA50">
        <f>IF((AND(VLOOKUP(AA$1,main!$A$3:$H$102,5,FALSE)-VLOOKUP($A50,main!$A$3:$H$102,6,FALSE)&gt;=(VLOOKUP(VLOOKUP(AA$1,main!$A$3:$H$102,8,FALSE),main!$K$26:$M$29,2,FALSE)+VLOOKUP(VLOOKUP(AA$1,main!$A$3:$H$102,7,FALSE),main!$K$19:$O$22,MATCH(VLOOKUP($A50,main!$A$3:$H$102,8,FALSE),main!$K$18:$O$18,0))))),1,0)</f>
        <v>1</v>
      </c>
      <c r="AB50">
        <f>IF((AND(VLOOKUP(AB$1,main!$A$3:$H$102,5,FALSE)-VLOOKUP($A50,main!$A$3:$H$102,6,FALSE)&gt;=(VLOOKUP(VLOOKUP(AB$1,main!$A$3:$H$102,8,FALSE),main!$K$26:$M$29,2,FALSE)+VLOOKUP(VLOOKUP(AB$1,main!$A$3:$H$102,7,FALSE),main!$K$19:$O$22,MATCH(VLOOKUP($A50,main!$A$3:$H$102,8,FALSE),main!$K$18:$O$18,0))))),1,0)</f>
        <v>0</v>
      </c>
      <c r="AC50">
        <f>IF((AND(VLOOKUP(AC$1,main!$A$3:$H$102,5,FALSE)-VLOOKUP($A50,main!$A$3:$H$102,6,FALSE)&gt;=(VLOOKUP(VLOOKUP(AC$1,main!$A$3:$H$102,8,FALSE),main!$K$26:$M$29,2,FALSE)+VLOOKUP(VLOOKUP(AC$1,main!$A$3:$H$102,7,FALSE),main!$K$19:$O$22,MATCH(VLOOKUP($A50,main!$A$3:$H$102,8,FALSE),main!$K$18:$O$18,0))))),1,0)</f>
        <v>0</v>
      </c>
      <c r="AD50">
        <f>IF((AND(VLOOKUP(AD$1,main!$A$3:$H$102,5,FALSE)-VLOOKUP($A50,main!$A$3:$H$102,6,FALSE)&gt;=(VLOOKUP(VLOOKUP(AD$1,main!$A$3:$H$102,8,FALSE),main!$K$26:$M$29,2,FALSE)+VLOOKUP(VLOOKUP(AD$1,main!$A$3:$H$102,7,FALSE),main!$K$19:$O$22,MATCH(VLOOKUP($A50,main!$A$3:$H$102,8,FALSE),main!$K$18:$O$18,0))))),1,0)</f>
        <v>0</v>
      </c>
      <c r="AE50">
        <f>IF((AND(VLOOKUP(AE$1,main!$A$3:$H$102,5,FALSE)-VLOOKUP($A50,main!$A$3:$H$102,6,FALSE)&gt;=(VLOOKUP(VLOOKUP(AE$1,main!$A$3:$H$102,8,FALSE),main!$K$26:$M$29,2,FALSE)+VLOOKUP(VLOOKUP(AE$1,main!$A$3:$H$102,7,FALSE),main!$K$19:$O$22,MATCH(VLOOKUP($A50,main!$A$3:$H$102,8,FALSE),main!$K$18:$O$18,0))))),1,0)</f>
        <v>1</v>
      </c>
      <c r="AF50">
        <f>IF((AND(VLOOKUP(AF$1,main!$A$3:$H$102,5,FALSE)-VLOOKUP($A50,main!$A$3:$H$102,6,FALSE)&gt;=(VLOOKUP(VLOOKUP(AF$1,main!$A$3:$H$102,8,FALSE),main!$K$26:$M$29,2,FALSE)+VLOOKUP(VLOOKUP(AF$1,main!$A$3:$H$102,7,FALSE),main!$K$19:$O$22,MATCH(VLOOKUP($A50,main!$A$3:$H$102,8,FALSE),main!$K$18:$O$18,0))))),1,0)</f>
        <v>1</v>
      </c>
      <c r="AG50">
        <f>IF((AND(VLOOKUP(AG$1,main!$A$3:$H$102,5,FALSE)-VLOOKUP($A50,main!$A$3:$H$102,6,FALSE)&gt;=(VLOOKUP(VLOOKUP(AG$1,main!$A$3:$H$102,8,FALSE),main!$K$26:$M$29,2,FALSE)+VLOOKUP(VLOOKUP(AG$1,main!$A$3:$H$102,7,FALSE),main!$K$19:$O$22,MATCH(VLOOKUP($A50,main!$A$3:$H$102,8,FALSE),main!$K$18:$O$18,0))))),1,0)</f>
        <v>0</v>
      </c>
      <c r="AH50">
        <f>IF((AND(VLOOKUP(AH$1,main!$A$3:$H$102,5,FALSE)-VLOOKUP($A50,main!$A$3:$H$102,6,FALSE)&gt;=(VLOOKUP(VLOOKUP(AH$1,main!$A$3:$H$102,8,FALSE),main!$K$26:$M$29,2,FALSE)+VLOOKUP(VLOOKUP(AH$1,main!$A$3:$H$102,7,FALSE),main!$K$19:$O$22,MATCH(VLOOKUP($A50,main!$A$3:$H$102,8,FALSE),main!$K$18:$O$18,0))))),1,0)</f>
        <v>0</v>
      </c>
      <c r="AI50">
        <f>IF((AND(VLOOKUP(AI$1,main!$A$3:$H$102,5,FALSE)-VLOOKUP($A50,main!$A$3:$H$102,6,FALSE)&gt;=(VLOOKUP(VLOOKUP(AI$1,main!$A$3:$H$102,8,FALSE),main!$K$26:$M$29,2,FALSE)+VLOOKUP(VLOOKUP(AI$1,main!$A$3:$H$102,7,FALSE),main!$K$19:$O$22,MATCH(VLOOKUP($A50,main!$A$3:$H$102,8,FALSE),main!$K$18:$O$18,0))))),1,0)</f>
        <v>0</v>
      </c>
      <c r="AJ50">
        <f>IF((AND(VLOOKUP(AJ$1,main!$A$3:$H$102,5,FALSE)-VLOOKUP($A50,main!$A$3:$H$102,6,FALSE)&gt;=(VLOOKUP(VLOOKUP(AJ$1,main!$A$3:$H$102,8,FALSE),main!$K$26:$M$29,2,FALSE)+VLOOKUP(VLOOKUP(AJ$1,main!$A$3:$H$102,7,FALSE),main!$K$19:$O$22,MATCH(VLOOKUP($A50,main!$A$3:$H$102,8,FALSE),main!$K$18:$O$18,0))))),1,0)</f>
        <v>0</v>
      </c>
      <c r="AK50">
        <f>IF((AND(VLOOKUP(AK$1,main!$A$3:$H$102,5,FALSE)-VLOOKUP($A50,main!$A$3:$H$102,6,FALSE)&gt;=(VLOOKUP(VLOOKUP(AK$1,main!$A$3:$H$102,8,FALSE),main!$K$26:$M$29,2,FALSE)+VLOOKUP(VLOOKUP(AK$1,main!$A$3:$H$102,7,FALSE),main!$K$19:$O$22,MATCH(VLOOKUP($A50,main!$A$3:$H$102,8,FALSE),main!$K$18:$O$18,0))))),1,0)</f>
        <v>1</v>
      </c>
      <c r="AL50">
        <f>IF((AND(VLOOKUP(AL$1,main!$A$3:$H$102,5,FALSE)-VLOOKUP($A50,main!$A$3:$H$102,6,FALSE)&gt;=(VLOOKUP(VLOOKUP(AL$1,main!$A$3:$H$102,8,FALSE),main!$K$26:$M$29,2,FALSE)+VLOOKUP(VLOOKUP(AL$1,main!$A$3:$H$102,7,FALSE),main!$K$19:$O$22,MATCH(VLOOKUP($A50,main!$A$3:$H$102,8,FALSE),main!$K$18:$O$18,0))))),1,0)</f>
        <v>1</v>
      </c>
      <c r="AM50">
        <f>IF((AND(VLOOKUP(AM$1,main!$A$3:$H$102,5,FALSE)-VLOOKUP($A50,main!$A$3:$H$102,6,FALSE)&gt;=(VLOOKUP(VLOOKUP(AM$1,main!$A$3:$H$102,8,FALSE),main!$K$26:$M$29,2,FALSE)+VLOOKUP(VLOOKUP(AM$1,main!$A$3:$H$102,7,FALSE),main!$K$19:$O$22,MATCH(VLOOKUP($A50,main!$A$3:$H$102,8,FALSE),main!$K$18:$O$18,0))))),1,0)</f>
        <v>1</v>
      </c>
      <c r="AN50">
        <f>IF((AND(VLOOKUP(AN$1,main!$A$3:$H$102,5,FALSE)-VLOOKUP($A50,main!$A$3:$H$102,6,FALSE)&gt;=(VLOOKUP(VLOOKUP(AN$1,main!$A$3:$H$102,8,FALSE),main!$K$26:$M$29,2,FALSE)+VLOOKUP(VLOOKUP(AN$1,main!$A$3:$H$102,7,FALSE),main!$K$19:$O$22,MATCH(VLOOKUP($A50,main!$A$3:$H$102,8,FALSE),main!$K$18:$O$18,0))))),1,0)</f>
        <v>1</v>
      </c>
      <c r="AO50">
        <f>IF((AND(VLOOKUP(AO$1,main!$A$3:$H$102,5,FALSE)-VLOOKUP($A50,main!$A$3:$H$102,6,FALSE)&gt;=(VLOOKUP(VLOOKUP(AO$1,main!$A$3:$H$102,8,FALSE),main!$K$26:$M$29,2,FALSE)+VLOOKUP(VLOOKUP(AO$1,main!$A$3:$H$102,7,FALSE),main!$K$19:$O$22,MATCH(VLOOKUP($A50,main!$A$3:$H$102,8,FALSE),main!$K$18:$O$18,0))))),1,0)</f>
        <v>0</v>
      </c>
      <c r="AP50">
        <f>IF((AND(VLOOKUP(AP$1,main!$A$3:$H$102,5,FALSE)-VLOOKUP($A50,main!$A$3:$H$102,6,FALSE)&gt;=(VLOOKUP(VLOOKUP(AP$1,main!$A$3:$H$102,8,FALSE),main!$K$26:$M$29,2,FALSE)+VLOOKUP(VLOOKUP(AP$1,main!$A$3:$H$102,7,FALSE),main!$K$19:$O$22,MATCH(VLOOKUP($A50,main!$A$3:$H$102,8,FALSE),main!$K$18:$O$18,0))))),1,0)</f>
        <v>1</v>
      </c>
      <c r="AQ50">
        <f>IF((AND(VLOOKUP(AQ$1,main!$A$3:$H$102,5,FALSE)-VLOOKUP($A50,main!$A$3:$H$102,6,FALSE)&gt;=(VLOOKUP(VLOOKUP(AQ$1,main!$A$3:$H$102,8,FALSE),main!$K$26:$M$29,2,FALSE)+VLOOKUP(VLOOKUP(AQ$1,main!$A$3:$H$102,7,FALSE),main!$K$19:$O$22,MATCH(VLOOKUP($A50,main!$A$3:$H$102,8,FALSE),main!$K$18:$O$18,0))))),1,0)</f>
        <v>0</v>
      </c>
      <c r="AR50">
        <f>IF((AND(VLOOKUP(AR$1,main!$A$3:$H$102,5,FALSE)-VLOOKUP($A50,main!$A$3:$H$102,6,FALSE)&gt;=(VLOOKUP(VLOOKUP(AR$1,main!$A$3:$H$102,8,FALSE),main!$K$26:$M$29,2,FALSE)+VLOOKUP(VLOOKUP(AR$1,main!$A$3:$H$102,7,FALSE),main!$K$19:$O$22,MATCH(VLOOKUP($A50,main!$A$3:$H$102,8,FALSE),main!$K$18:$O$18,0))))),1,0)</f>
        <v>0</v>
      </c>
      <c r="AS50">
        <f>IF((AND(VLOOKUP(AS$1,main!$A$3:$H$102,5,FALSE)-VLOOKUP($A50,main!$A$3:$H$102,6,FALSE)&gt;=(VLOOKUP(VLOOKUP(AS$1,main!$A$3:$H$102,8,FALSE),main!$K$26:$M$29,2,FALSE)+VLOOKUP(VLOOKUP(AS$1,main!$A$3:$H$102,7,FALSE),main!$K$19:$O$22,MATCH(VLOOKUP($A50,main!$A$3:$H$102,8,FALSE),main!$K$18:$O$18,0))))),1,0)</f>
        <v>0</v>
      </c>
      <c r="AT50">
        <f>IF((AND(VLOOKUP(AT$1,main!$A$3:$H$102,5,FALSE)-VLOOKUP($A50,main!$A$3:$H$102,6,FALSE)&gt;=(VLOOKUP(VLOOKUP(AT$1,main!$A$3:$H$102,8,FALSE),main!$K$26:$M$29,2,FALSE)+VLOOKUP(VLOOKUP(AT$1,main!$A$3:$H$102,7,FALSE),main!$K$19:$O$22,MATCH(VLOOKUP($A50,main!$A$3:$H$102,8,FALSE),main!$K$18:$O$18,0))))),1,0)</f>
        <v>1</v>
      </c>
      <c r="AU50">
        <f>IF((AND(VLOOKUP(AU$1,main!$A$3:$H$102,5,FALSE)-VLOOKUP($A50,main!$A$3:$H$102,6,FALSE)&gt;=(VLOOKUP(VLOOKUP(AU$1,main!$A$3:$H$102,8,FALSE),main!$K$26:$M$29,2,FALSE)+VLOOKUP(VLOOKUP(AU$1,main!$A$3:$H$102,7,FALSE),main!$K$19:$O$22,MATCH(VLOOKUP($A50,main!$A$3:$H$102,8,FALSE),main!$K$18:$O$18,0))))),1,0)</f>
        <v>0</v>
      </c>
      <c r="AV50">
        <f>IF((AND(VLOOKUP(AV$1,main!$A$3:$H$102,5,FALSE)-VLOOKUP($A50,main!$A$3:$H$102,6,FALSE)&gt;=(VLOOKUP(VLOOKUP(AV$1,main!$A$3:$H$102,8,FALSE),main!$K$26:$M$29,2,FALSE)+VLOOKUP(VLOOKUP(AV$1,main!$A$3:$H$102,7,FALSE),main!$K$19:$O$22,MATCH(VLOOKUP($A50,main!$A$3:$H$102,8,FALSE),main!$K$18:$O$18,0))))),1,0)</f>
        <v>0</v>
      </c>
      <c r="AW50">
        <f>IF((AND(VLOOKUP(AW$1,main!$A$3:$H$102,5,FALSE)-VLOOKUP($A50,main!$A$3:$H$102,6,FALSE)&gt;=(VLOOKUP(VLOOKUP(AW$1,main!$A$3:$H$102,8,FALSE),main!$K$26:$M$29,2,FALSE)+VLOOKUP(VLOOKUP(AW$1,main!$A$3:$H$102,7,FALSE),main!$K$19:$O$22,MATCH(VLOOKUP($A50,main!$A$3:$H$102,8,FALSE),main!$K$18:$O$18,0))))),1,0)</f>
        <v>1</v>
      </c>
      <c r="AX50">
        <f>IF((AND(VLOOKUP(AX$1,main!$A$3:$H$102,5,FALSE)-VLOOKUP($A50,main!$A$3:$H$102,6,FALSE)&gt;=(VLOOKUP(VLOOKUP(AX$1,main!$A$3:$H$102,8,FALSE),main!$K$26:$M$29,2,FALSE)+VLOOKUP(VLOOKUP(AX$1,main!$A$3:$H$102,7,FALSE),main!$K$19:$O$22,MATCH(VLOOKUP($A50,main!$A$3:$H$102,8,FALSE),main!$K$18:$O$18,0))))),1,0)</f>
        <v>0</v>
      </c>
      <c r="AY50">
        <f>IF((AND(VLOOKUP(AY$1,main!$A$3:$H$102,5,FALSE)-VLOOKUP($A50,main!$A$3:$H$102,6,FALSE)&gt;=(VLOOKUP(VLOOKUP(AY$1,main!$A$3:$H$102,8,FALSE),main!$K$26:$M$29,2,FALSE)+VLOOKUP(VLOOKUP(AY$1,main!$A$3:$H$102,7,FALSE),main!$K$19:$O$22,MATCH(VLOOKUP($A50,main!$A$3:$H$102,8,FALSE),main!$K$18:$O$18,0))))),1,0)</f>
        <v>0</v>
      </c>
      <c r="AZ50">
        <f>IF((AND(VLOOKUP(AZ$1,main!$A$3:$H$102,5,FALSE)-VLOOKUP($A50,main!$A$3:$H$102,6,FALSE)&gt;=(VLOOKUP(VLOOKUP(AZ$1,main!$A$3:$H$102,8,FALSE),main!$K$26:$M$29,2,FALSE)+VLOOKUP(VLOOKUP(AZ$1,main!$A$3:$H$102,7,FALSE),main!$K$19:$O$22,MATCH(VLOOKUP($A50,main!$A$3:$H$102,8,FALSE),main!$K$18:$O$18,0))))),1,0)</f>
        <v>0</v>
      </c>
      <c r="BA50">
        <f>IF((AND(VLOOKUP(BA$1,main!$A$3:$H$102,5,FALSE)-VLOOKUP($A50,main!$A$3:$H$102,6,FALSE)&gt;=(VLOOKUP(VLOOKUP(BA$1,main!$A$3:$H$102,8,FALSE),main!$K$26:$M$29,2,FALSE)+VLOOKUP(VLOOKUP(BA$1,main!$A$3:$H$102,7,FALSE),main!$K$19:$O$22,MATCH(VLOOKUP($A50,main!$A$3:$H$102,8,FALSE),main!$K$18:$O$18,0))))),1,0)</f>
        <v>0</v>
      </c>
      <c r="BB50">
        <f>IF((AND(VLOOKUP(BB$1,main!$A$3:$H$102,5,FALSE)-VLOOKUP($A50,main!$A$3:$H$102,6,FALSE)&gt;=(VLOOKUP(VLOOKUP(BB$1,main!$A$3:$H$102,8,FALSE),main!$K$26:$M$29,2,FALSE)+VLOOKUP(VLOOKUP(BB$1,main!$A$3:$H$102,7,FALSE),main!$K$19:$O$22,MATCH(VLOOKUP($A50,main!$A$3:$H$102,8,FALSE),main!$K$18:$O$18,0))))),1,0)</f>
        <v>0</v>
      </c>
      <c r="BC50">
        <f>IF((AND(VLOOKUP(BC$1,main!$A$3:$H$102,5,FALSE)-VLOOKUP($A50,main!$A$3:$H$102,6,FALSE)&gt;=(VLOOKUP(VLOOKUP(BC$1,main!$A$3:$H$102,8,FALSE),main!$K$26:$M$29,2,FALSE)+VLOOKUP(VLOOKUP(BC$1,main!$A$3:$H$102,7,FALSE),main!$K$19:$O$22,MATCH(VLOOKUP($A50,main!$A$3:$H$102,8,FALSE),main!$K$18:$O$18,0))))),1,0)</f>
        <v>1</v>
      </c>
      <c r="BD50">
        <f>IF((AND(VLOOKUP(BD$1,main!$A$3:$H$102,5,FALSE)-VLOOKUP($A50,main!$A$3:$H$102,6,FALSE)&gt;=(VLOOKUP(VLOOKUP(BD$1,main!$A$3:$H$102,8,FALSE),main!$K$26:$M$29,2,FALSE)+VLOOKUP(VLOOKUP(BD$1,main!$A$3:$H$102,7,FALSE),main!$K$19:$O$22,MATCH(VLOOKUP($A50,main!$A$3:$H$102,8,FALSE),main!$K$18:$O$18,0))))),1,0)</f>
        <v>1</v>
      </c>
      <c r="BE50">
        <f>IF((AND(VLOOKUP(BE$1,main!$A$3:$H$102,5,FALSE)-VLOOKUP($A50,main!$A$3:$H$102,6,FALSE)&gt;=(VLOOKUP(VLOOKUP(BE$1,main!$A$3:$H$102,8,FALSE),main!$K$26:$M$29,2,FALSE)+VLOOKUP(VLOOKUP(BE$1,main!$A$3:$H$102,7,FALSE),main!$K$19:$O$22,MATCH(VLOOKUP($A50,main!$A$3:$H$102,8,FALSE),main!$K$18:$O$18,0))))),1,0)</f>
        <v>1</v>
      </c>
      <c r="BF50">
        <f>IF((AND(VLOOKUP(BF$1,main!$A$3:$H$102,5,FALSE)-VLOOKUP($A50,main!$A$3:$H$102,6,FALSE)&gt;=(VLOOKUP(VLOOKUP(BF$1,main!$A$3:$H$102,8,FALSE),main!$K$26:$M$29,2,FALSE)+VLOOKUP(VLOOKUP(BF$1,main!$A$3:$H$102,7,FALSE),main!$K$19:$O$22,MATCH(VLOOKUP($A50,main!$A$3:$H$102,8,FALSE),main!$K$18:$O$18,0))))),1,0)</f>
        <v>0</v>
      </c>
      <c r="BG50">
        <f>IF((AND(VLOOKUP(BG$1,main!$A$3:$H$102,5,FALSE)-VLOOKUP($A50,main!$A$3:$H$102,6,FALSE)&gt;=(VLOOKUP(VLOOKUP(BG$1,main!$A$3:$H$102,8,FALSE),main!$K$26:$M$29,2,FALSE)+VLOOKUP(VLOOKUP(BG$1,main!$A$3:$H$102,7,FALSE),main!$K$19:$O$22,MATCH(VLOOKUP($A50,main!$A$3:$H$102,8,FALSE),main!$K$18:$O$18,0))))),1,0)</f>
        <v>0</v>
      </c>
      <c r="BH50">
        <f>IF((AND(VLOOKUP(BH$1,main!$A$3:$H$102,5,FALSE)-VLOOKUP($A50,main!$A$3:$H$102,6,FALSE)&gt;=(VLOOKUP(VLOOKUP(BH$1,main!$A$3:$H$102,8,FALSE),main!$K$26:$M$29,2,FALSE)+VLOOKUP(VLOOKUP(BH$1,main!$A$3:$H$102,7,FALSE),main!$K$19:$O$22,MATCH(VLOOKUP($A50,main!$A$3:$H$102,8,FALSE),main!$K$18:$O$18,0))))),1,0)</f>
        <v>0</v>
      </c>
      <c r="BI50">
        <f>IF((AND(VLOOKUP(BI$1,main!$A$3:$H$102,5,FALSE)-VLOOKUP($A50,main!$A$3:$H$102,6,FALSE)&gt;=(VLOOKUP(VLOOKUP(BI$1,main!$A$3:$H$102,8,FALSE),main!$K$26:$M$29,2,FALSE)+VLOOKUP(VLOOKUP(BI$1,main!$A$3:$H$102,7,FALSE),main!$K$19:$O$22,MATCH(VLOOKUP($A50,main!$A$3:$H$102,8,FALSE),main!$K$18:$O$18,0))))),1,0)</f>
        <v>1</v>
      </c>
      <c r="BJ50">
        <f>IF((AND(VLOOKUP(BJ$1,main!$A$3:$H$102,5,FALSE)-VLOOKUP($A50,main!$A$3:$H$102,6,FALSE)&gt;=(VLOOKUP(VLOOKUP(BJ$1,main!$A$3:$H$102,8,FALSE),main!$K$26:$M$29,2,FALSE)+VLOOKUP(VLOOKUP(BJ$1,main!$A$3:$H$102,7,FALSE),main!$K$19:$O$22,MATCH(VLOOKUP($A50,main!$A$3:$H$102,8,FALSE),main!$K$18:$O$18,0))))),1,0)</f>
        <v>1</v>
      </c>
      <c r="BK50">
        <f>IF((AND(VLOOKUP(BK$1,main!$A$3:$H$102,5,FALSE)-VLOOKUP($A50,main!$A$3:$H$102,6,FALSE)&gt;=(VLOOKUP(VLOOKUP(BK$1,main!$A$3:$H$102,8,FALSE),main!$K$26:$M$29,2,FALSE)+VLOOKUP(VLOOKUP(BK$1,main!$A$3:$H$102,7,FALSE),main!$K$19:$O$22,MATCH(VLOOKUP($A50,main!$A$3:$H$102,8,FALSE),main!$K$18:$O$18,0))))),1,0)</f>
        <v>0</v>
      </c>
      <c r="BL50">
        <f>IF((AND(VLOOKUP(BL$1,main!$A$3:$H$102,5,FALSE)-VLOOKUP($A50,main!$A$3:$H$102,6,FALSE)&gt;=(VLOOKUP(VLOOKUP(BL$1,main!$A$3:$H$102,8,FALSE),main!$K$26:$M$29,2,FALSE)+VLOOKUP(VLOOKUP(BL$1,main!$A$3:$H$102,7,FALSE),main!$K$19:$O$22,MATCH(VLOOKUP($A50,main!$A$3:$H$102,8,FALSE),main!$K$18:$O$18,0))))),1,0)</f>
        <v>0</v>
      </c>
      <c r="BM50">
        <f>IF((AND(VLOOKUP(BM$1,main!$A$3:$H$102,5,FALSE)-VLOOKUP($A50,main!$A$3:$H$102,6,FALSE)&gt;=(VLOOKUP(VLOOKUP(BM$1,main!$A$3:$H$102,8,FALSE),main!$K$26:$M$29,2,FALSE)+VLOOKUP(VLOOKUP(BM$1,main!$A$3:$H$102,7,FALSE),main!$K$19:$O$22,MATCH(VLOOKUP($A50,main!$A$3:$H$102,8,FALSE),main!$K$18:$O$18,0))))),1,0)</f>
        <v>0</v>
      </c>
      <c r="BN50">
        <f>IF((AND(VLOOKUP(BN$1,main!$A$3:$H$102,5,FALSE)-VLOOKUP($A50,main!$A$3:$H$102,6,FALSE)&gt;=(VLOOKUP(VLOOKUP(BN$1,main!$A$3:$H$102,8,FALSE),main!$K$26:$M$29,2,FALSE)+VLOOKUP(VLOOKUP(BN$1,main!$A$3:$H$102,7,FALSE),main!$K$19:$O$22,MATCH(VLOOKUP($A50,main!$A$3:$H$102,8,FALSE),main!$K$18:$O$18,0))))),1,0)</f>
        <v>1</v>
      </c>
      <c r="BO50">
        <f>IF((AND(VLOOKUP(BO$1,main!$A$3:$H$102,5,FALSE)-VLOOKUP($A50,main!$A$3:$H$102,6,FALSE)&gt;=(VLOOKUP(VLOOKUP(BO$1,main!$A$3:$H$102,8,FALSE),main!$K$26:$M$29,2,FALSE)+VLOOKUP(VLOOKUP(BO$1,main!$A$3:$H$102,7,FALSE),main!$K$19:$O$22,MATCH(VLOOKUP($A50,main!$A$3:$H$102,8,FALSE),main!$K$18:$O$18,0))))),1,0)</f>
        <v>0</v>
      </c>
      <c r="BP50">
        <f>IF((AND(VLOOKUP(BP$1,main!$A$3:$H$102,5,FALSE)-VLOOKUP($A50,main!$A$3:$H$102,6,FALSE)&gt;=(VLOOKUP(VLOOKUP(BP$1,main!$A$3:$H$102,8,FALSE),main!$K$26:$M$29,2,FALSE)+VLOOKUP(VLOOKUP(BP$1,main!$A$3:$H$102,7,FALSE),main!$K$19:$O$22,MATCH(VLOOKUP($A50,main!$A$3:$H$102,8,FALSE),main!$K$18:$O$18,0))))),1,0)</f>
        <v>0</v>
      </c>
      <c r="BQ50">
        <f>IF((AND(VLOOKUP(BQ$1,main!$A$3:$H$102,5,FALSE)-VLOOKUP($A50,main!$A$3:$H$102,6,FALSE)&gt;=(VLOOKUP(VLOOKUP(BQ$1,main!$A$3:$H$102,8,FALSE),main!$K$26:$M$29,2,FALSE)+VLOOKUP(VLOOKUP(BQ$1,main!$A$3:$H$102,7,FALSE),main!$K$19:$O$22,MATCH(VLOOKUP($A50,main!$A$3:$H$102,8,FALSE),main!$K$18:$O$18,0))))),1,0)</f>
        <v>0</v>
      </c>
      <c r="BR50">
        <f>IF((AND(VLOOKUP(BR$1,main!$A$3:$H$102,5,FALSE)-VLOOKUP($A50,main!$A$3:$H$102,6,FALSE)&gt;=(VLOOKUP(VLOOKUP(BR$1,main!$A$3:$H$102,8,FALSE),main!$K$26:$M$29,2,FALSE)+VLOOKUP(VLOOKUP(BR$1,main!$A$3:$H$102,7,FALSE),main!$K$19:$O$22,MATCH(VLOOKUP($A50,main!$A$3:$H$102,8,FALSE),main!$K$18:$O$18,0))))),1,0)</f>
        <v>0</v>
      </c>
      <c r="BS50">
        <f>IF((AND(VLOOKUP(BS$1,main!$A$3:$H$102,5,FALSE)-VLOOKUP($A50,main!$A$3:$H$102,6,FALSE)&gt;=(VLOOKUP(VLOOKUP(BS$1,main!$A$3:$H$102,8,FALSE),main!$K$26:$M$29,2,FALSE)+VLOOKUP(VLOOKUP(BS$1,main!$A$3:$H$102,7,FALSE),main!$K$19:$O$22,MATCH(VLOOKUP($A50,main!$A$3:$H$102,8,FALSE),main!$K$18:$O$18,0))))),1,0)</f>
        <v>0</v>
      </c>
      <c r="BT50">
        <f>IF((AND(VLOOKUP(BT$1,main!$A$3:$H$102,5,FALSE)-VLOOKUP($A50,main!$A$3:$H$102,6,FALSE)&gt;=(VLOOKUP(VLOOKUP(BT$1,main!$A$3:$H$102,8,FALSE),main!$K$26:$M$29,2,FALSE)+VLOOKUP(VLOOKUP(BT$1,main!$A$3:$H$102,7,FALSE),main!$K$19:$O$22,MATCH(VLOOKUP($A50,main!$A$3:$H$102,8,FALSE),main!$K$18:$O$18,0))))),1,0)</f>
        <v>0</v>
      </c>
      <c r="BU50">
        <f>IF((AND(VLOOKUP(BU$1,main!$A$3:$H$102,5,FALSE)-VLOOKUP($A50,main!$A$3:$H$102,6,FALSE)&gt;=(VLOOKUP(VLOOKUP(BU$1,main!$A$3:$H$102,8,FALSE),main!$K$26:$M$29,2,FALSE)+VLOOKUP(VLOOKUP(BU$1,main!$A$3:$H$102,7,FALSE),main!$K$19:$O$22,MATCH(VLOOKUP($A50,main!$A$3:$H$102,8,FALSE),main!$K$18:$O$18,0))))),1,0)</f>
        <v>0</v>
      </c>
      <c r="BV50">
        <f>IF((AND(VLOOKUP(BV$1,main!$A$3:$H$102,5,FALSE)-VLOOKUP($A50,main!$A$3:$H$102,6,FALSE)&gt;=(VLOOKUP(VLOOKUP(BV$1,main!$A$3:$H$102,8,FALSE),main!$K$26:$M$29,2,FALSE)+VLOOKUP(VLOOKUP(BV$1,main!$A$3:$H$102,7,FALSE),main!$K$19:$O$22,MATCH(VLOOKUP($A50,main!$A$3:$H$102,8,FALSE),main!$K$18:$O$18,0))))),1,0)</f>
        <v>0</v>
      </c>
      <c r="BW50">
        <f>IF((AND(VLOOKUP(BW$1,main!$A$3:$H$102,5,FALSE)-VLOOKUP($A50,main!$A$3:$H$102,6,FALSE)&gt;=(VLOOKUP(VLOOKUP(BW$1,main!$A$3:$H$102,8,FALSE),main!$K$26:$M$29,2,FALSE)+VLOOKUP(VLOOKUP(BW$1,main!$A$3:$H$102,7,FALSE),main!$K$19:$O$22,MATCH(VLOOKUP($A50,main!$A$3:$H$102,8,FALSE),main!$K$18:$O$18,0))))),1,0)</f>
        <v>0</v>
      </c>
      <c r="BX50">
        <f>IF((AND(VLOOKUP(BX$1,main!$A$3:$H$102,5,FALSE)-VLOOKUP($A50,main!$A$3:$H$102,6,FALSE)&gt;=(VLOOKUP(VLOOKUP(BX$1,main!$A$3:$H$102,8,FALSE),main!$K$26:$M$29,2,FALSE)+VLOOKUP(VLOOKUP(BX$1,main!$A$3:$H$102,7,FALSE),main!$K$19:$O$22,MATCH(VLOOKUP($A50,main!$A$3:$H$102,8,FALSE),main!$K$18:$O$18,0))))),1,0)</f>
        <v>0</v>
      </c>
      <c r="BY50">
        <f>IF((AND(VLOOKUP(BY$1,main!$A$3:$H$102,5,FALSE)-VLOOKUP($A50,main!$A$3:$H$102,6,FALSE)&gt;=(VLOOKUP(VLOOKUP(BY$1,main!$A$3:$H$102,8,FALSE),main!$K$26:$M$29,2,FALSE)+VLOOKUP(VLOOKUP(BY$1,main!$A$3:$H$102,7,FALSE),main!$K$19:$O$22,MATCH(VLOOKUP($A50,main!$A$3:$H$102,8,FALSE),main!$K$18:$O$18,0))))),1,0)</f>
        <v>0</v>
      </c>
      <c r="BZ50">
        <f>IF((AND(VLOOKUP(BZ$1,main!$A$3:$H$102,5,FALSE)-VLOOKUP($A50,main!$A$3:$H$102,6,FALSE)&gt;=(VLOOKUP(VLOOKUP(BZ$1,main!$A$3:$H$102,8,FALSE),main!$K$26:$M$29,2,FALSE)+VLOOKUP(VLOOKUP(BZ$1,main!$A$3:$H$102,7,FALSE),main!$K$19:$O$22,MATCH(VLOOKUP($A50,main!$A$3:$H$102,8,FALSE),main!$K$18:$O$18,0))))),1,0)</f>
        <v>0</v>
      </c>
      <c r="CA50">
        <f>IF((AND(VLOOKUP(CA$1,main!$A$3:$H$102,5,FALSE)-VLOOKUP($A50,main!$A$3:$H$102,6,FALSE)&gt;=(VLOOKUP(VLOOKUP(CA$1,main!$A$3:$H$102,8,FALSE),main!$K$26:$M$29,2,FALSE)+VLOOKUP(VLOOKUP(CA$1,main!$A$3:$H$102,7,FALSE),main!$K$19:$O$22,MATCH(VLOOKUP($A50,main!$A$3:$H$102,8,FALSE),main!$K$18:$O$18,0))))),1,0)</f>
        <v>0</v>
      </c>
      <c r="CB50">
        <f>IF((AND(VLOOKUP(CB$1,main!$A$3:$H$102,5,FALSE)-VLOOKUP($A50,main!$A$3:$H$102,6,FALSE)&gt;=(VLOOKUP(VLOOKUP(CB$1,main!$A$3:$H$102,8,FALSE),main!$K$26:$M$29,2,FALSE)+VLOOKUP(VLOOKUP(CB$1,main!$A$3:$H$102,7,FALSE),main!$K$19:$O$22,MATCH(VLOOKUP($A50,main!$A$3:$H$102,8,FALSE),main!$K$18:$O$18,0))))),1,0)</f>
        <v>1</v>
      </c>
      <c r="CC50">
        <f>IF((AND(VLOOKUP(CC$1,main!$A$3:$H$102,5,FALSE)-VLOOKUP($A50,main!$A$3:$H$102,6,FALSE)&gt;=(VLOOKUP(VLOOKUP(CC$1,main!$A$3:$H$102,8,FALSE),main!$K$26:$M$29,2,FALSE)+VLOOKUP(VLOOKUP(CC$1,main!$A$3:$H$102,7,FALSE),main!$K$19:$O$22,MATCH(VLOOKUP($A50,main!$A$3:$H$102,8,FALSE),main!$K$18:$O$18,0))))),1,0)</f>
        <v>1</v>
      </c>
      <c r="CD50">
        <f>IF((AND(VLOOKUP(CD$1,main!$A$3:$H$102,5,FALSE)-VLOOKUP($A50,main!$A$3:$H$102,6,FALSE)&gt;=(VLOOKUP(VLOOKUP(CD$1,main!$A$3:$H$102,8,FALSE),main!$K$26:$M$29,2,FALSE)+VLOOKUP(VLOOKUP(CD$1,main!$A$3:$H$102,7,FALSE),main!$K$19:$O$22,MATCH(VLOOKUP($A50,main!$A$3:$H$102,8,FALSE),main!$K$18:$O$18,0))))),1,0)</f>
        <v>0</v>
      </c>
      <c r="CE50">
        <f>IF((AND(VLOOKUP(CE$1,main!$A$3:$H$102,5,FALSE)-VLOOKUP($A50,main!$A$3:$H$102,6,FALSE)&gt;=(VLOOKUP(VLOOKUP(CE$1,main!$A$3:$H$102,8,FALSE),main!$K$26:$M$29,2,FALSE)+VLOOKUP(VLOOKUP(CE$1,main!$A$3:$H$102,7,FALSE),main!$K$19:$O$22,MATCH(VLOOKUP($A50,main!$A$3:$H$102,8,FALSE),main!$K$18:$O$18,0))))),1,0)</f>
        <v>0</v>
      </c>
      <c r="CF50">
        <f>IF((AND(VLOOKUP(CF$1,main!$A$3:$H$102,5,FALSE)-VLOOKUP($A50,main!$A$3:$H$102,6,FALSE)&gt;=(VLOOKUP(VLOOKUP(CF$1,main!$A$3:$H$102,8,FALSE),main!$K$26:$M$29,2,FALSE)+VLOOKUP(VLOOKUP(CF$1,main!$A$3:$H$102,7,FALSE),main!$K$19:$O$22,MATCH(VLOOKUP($A50,main!$A$3:$H$102,8,FALSE),main!$K$18:$O$18,0))))),1,0)</f>
        <v>0</v>
      </c>
      <c r="CG50">
        <f>IF((AND(VLOOKUP(CG$1,main!$A$3:$H$102,5,FALSE)-VLOOKUP($A50,main!$A$3:$H$102,6,FALSE)&gt;=(VLOOKUP(VLOOKUP(CG$1,main!$A$3:$H$102,8,FALSE),main!$K$26:$M$29,2,FALSE)+VLOOKUP(VLOOKUP(CG$1,main!$A$3:$H$102,7,FALSE),main!$K$19:$O$22,MATCH(VLOOKUP($A50,main!$A$3:$H$102,8,FALSE),main!$K$18:$O$18,0))))),1,0)</f>
        <v>0</v>
      </c>
      <c r="CH50">
        <f>IF((AND(VLOOKUP(CH$1,main!$A$3:$H$102,5,FALSE)-VLOOKUP($A50,main!$A$3:$H$102,6,FALSE)&gt;=(VLOOKUP(VLOOKUP(CH$1,main!$A$3:$H$102,8,FALSE),main!$K$26:$M$29,2,FALSE)+VLOOKUP(VLOOKUP(CH$1,main!$A$3:$H$102,7,FALSE),main!$K$19:$O$22,MATCH(VLOOKUP($A50,main!$A$3:$H$102,8,FALSE),main!$K$18:$O$18,0))))),1,0)</f>
        <v>1</v>
      </c>
      <c r="CI50">
        <f>IF((AND(VLOOKUP(CI$1,main!$A$3:$H$102,5,FALSE)-VLOOKUP($A50,main!$A$3:$H$102,6,FALSE)&gt;=(VLOOKUP(VLOOKUP(CI$1,main!$A$3:$H$102,8,FALSE),main!$K$26:$M$29,2,FALSE)+VLOOKUP(VLOOKUP(CI$1,main!$A$3:$H$102,7,FALSE),main!$K$19:$O$22,MATCH(VLOOKUP($A50,main!$A$3:$H$102,8,FALSE),main!$K$18:$O$18,0))))),1,0)</f>
        <v>1</v>
      </c>
      <c r="CJ50">
        <f>IF((AND(VLOOKUP(CJ$1,main!$A$3:$H$102,5,FALSE)-VLOOKUP($A50,main!$A$3:$H$102,6,FALSE)&gt;=(VLOOKUP(VLOOKUP(CJ$1,main!$A$3:$H$102,8,FALSE),main!$K$26:$M$29,2,FALSE)+VLOOKUP(VLOOKUP(CJ$1,main!$A$3:$H$102,7,FALSE),main!$K$19:$O$22,MATCH(VLOOKUP($A50,main!$A$3:$H$102,8,FALSE),main!$K$18:$O$18,0))))),1,0)</f>
        <v>0</v>
      </c>
      <c r="CK50">
        <f>IF((AND(VLOOKUP(CK$1,main!$A$3:$H$102,5,FALSE)-VLOOKUP($A50,main!$A$3:$H$102,6,FALSE)&gt;=(VLOOKUP(VLOOKUP(CK$1,main!$A$3:$H$102,8,FALSE),main!$K$26:$M$29,2,FALSE)+VLOOKUP(VLOOKUP(CK$1,main!$A$3:$H$102,7,FALSE),main!$K$19:$O$22,MATCH(VLOOKUP($A50,main!$A$3:$H$102,8,FALSE),main!$K$18:$O$18,0))))),1,0)</f>
        <v>0</v>
      </c>
      <c r="CL50">
        <f>IF((AND(VLOOKUP(CL$1,main!$A$3:$H$102,5,FALSE)-VLOOKUP($A50,main!$A$3:$H$102,6,FALSE)&gt;=(VLOOKUP(VLOOKUP(CL$1,main!$A$3:$H$102,8,FALSE),main!$K$26:$M$29,2,FALSE)+VLOOKUP(VLOOKUP(CL$1,main!$A$3:$H$102,7,FALSE),main!$K$19:$O$22,MATCH(VLOOKUP($A50,main!$A$3:$H$102,8,FALSE),main!$K$18:$O$18,0))))),1,0)</f>
        <v>0</v>
      </c>
      <c r="CM50">
        <f>IF((AND(VLOOKUP(CM$1,main!$A$3:$H$102,5,FALSE)-VLOOKUP($A50,main!$A$3:$H$102,6,FALSE)&gt;=(VLOOKUP(VLOOKUP(CM$1,main!$A$3:$H$102,8,FALSE),main!$K$26:$M$29,2,FALSE)+VLOOKUP(VLOOKUP(CM$1,main!$A$3:$H$102,7,FALSE),main!$K$19:$O$22,MATCH(VLOOKUP($A50,main!$A$3:$H$102,8,FALSE),main!$K$18:$O$18,0))))),1,0)</f>
        <v>1</v>
      </c>
      <c r="CN50">
        <f>IF((AND(VLOOKUP(CN$1,main!$A$3:$H$102,5,FALSE)-VLOOKUP($A50,main!$A$3:$H$102,6,FALSE)&gt;=(VLOOKUP(VLOOKUP(CN$1,main!$A$3:$H$102,8,FALSE),main!$K$26:$M$29,2,FALSE)+VLOOKUP(VLOOKUP(CN$1,main!$A$3:$H$102,7,FALSE),main!$K$19:$O$22,MATCH(VLOOKUP($A50,main!$A$3:$H$102,8,FALSE),main!$K$18:$O$18,0))))),1,0)</f>
        <v>1</v>
      </c>
      <c r="CO50">
        <f>IF((AND(VLOOKUP(CO$1,main!$A$3:$H$102,5,FALSE)-VLOOKUP($A50,main!$A$3:$H$102,6,FALSE)&gt;=(VLOOKUP(VLOOKUP(CO$1,main!$A$3:$H$102,8,FALSE),main!$K$26:$M$29,2,FALSE)+VLOOKUP(VLOOKUP(CO$1,main!$A$3:$H$102,7,FALSE),main!$K$19:$O$22,MATCH(VLOOKUP($A50,main!$A$3:$H$102,8,FALSE),main!$K$18:$O$18,0))))),1,0)</f>
        <v>0</v>
      </c>
      <c r="CP50">
        <f>IF((AND(VLOOKUP(CP$1,main!$A$3:$H$102,5,FALSE)-VLOOKUP($A50,main!$A$3:$H$102,6,FALSE)&gt;=(VLOOKUP(VLOOKUP(CP$1,main!$A$3:$H$102,8,FALSE),main!$K$26:$M$29,2,FALSE)+VLOOKUP(VLOOKUP(CP$1,main!$A$3:$H$102,7,FALSE),main!$K$19:$O$22,MATCH(VLOOKUP($A50,main!$A$3:$H$102,8,FALSE),main!$K$18:$O$18,0))))),1,0)</f>
        <v>0</v>
      </c>
      <c r="CQ50">
        <f>IF((AND(VLOOKUP(CQ$1,main!$A$3:$H$102,5,FALSE)-VLOOKUP($A50,main!$A$3:$H$102,6,FALSE)&gt;=(VLOOKUP(VLOOKUP(CQ$1,main!$A$3:$H$102,8,FALSE),main!$K$26:$M$29,2,FALSE)+VLOOKUP(VLOOKUP(CQ$1,main!$A$3:$H$102,7,FALSE),main!$K$19:$O$22,MATCH(VLOOKUP($A50,main!$A$3:$H$102,8,FALSE),main!$K$18:$O$18,0))))),1,0)</f>
        <v>0</v>
      </c>
      <c r="CR50">
        <f>IF((AND(VLOOKUP(CR$1,main!$A$3:$H$102,5,FALSE)-VLOOKUP($A50,main!$A$3:$H$102,6,FALSE)&gt;=(VLOOKUP(VLOOKUP(CR$1,main!$A$3:$H$102,8,FALSE),main!$K$26:$M$29,2,FALSE)+VLOOKUP(VLOOKUP(CR$1,main!$A$3:$H$102,7,FALSE),main!$K$19:$O$22,MATCH(VLOOKUP($A50,main!$A$3:$H$102,8,FALSE),main!$K$18:$O$18,0))))),1,0)</f>
        <v>1</v>
      </c>
      <c r="CS50">
        <f>IF((AND(VLOOKUP(CS$1,main!$A$3:$H$102,5,FALSE)-VLOOKUP($A50,main!$A$3:$H$102,6,FALSE)&gt;=(VLOOKUP(VLOOKUP(CS$1,main!$A$3:$H$102,8,FALSE),main!$K$26:$M$29,2,FALSE)+VLOOKUP(VLOOKUP(CS$1,main!$A$3:$H$102,7,FALSE),main!$K$19:$O$22,MATCH(VLOOKUP($A50,main!$A$3:$H$102,8,FALSE),main!$K$18:$O$18,0))))),1,0)</f>
        <v>1</v>
      </c>
      <c r="CT50">
        <f>IF((AND(VLOOKUP(CT$1,main!$A$3:$H$102,5,FALSE)-VLOOKUP($A50,main!$A$3:$H$102,6,FALSE)&gt;=(VLOOKUP(VLOOKUP(CT$1,main!$A$3:$H$102,8,FALSE),main!$K$26:$M$29,2,FALSE)+VLOOKUP(VLOOKUP(CT$1,main!$A$3:$H$102,7,FALSE),main!$K$19:$O$22,MATCH(VLOOKUP($A50,main!$A$3:$H$102,8,FALSE),main!$K$18:$O$18,0))))),1,0)</f>
        <v>0</v>
      </c>
      <c r="CU50">
        <f>IF((AND(VLOOKUP(CU$1,main!$A$3:$H$102,5,FALSE)-VLOOKUP($A50,main!$A$3:$H$102,6,FALSE)&gt;=(VLOOKUP(VLOOKUP(CU$1,main!$A$3:$H$102,8,FALSE),main!$K$26:$M$29,2,FALSE)+VLOOKUP(VLOOKUP(CU$1,main!$A$3:$H$102,7,FALSE),main!$K$19:$O$22,MATCH(VLOOKUP($A50,main!$A$3:$H$102,8,FALSE),main!$K$18:$O$18,0))))),1,0)</f>
        <v>0</v>
      </c>
      <c r="CV50">
        <f>IF((AND(VLOOKUP(CV$1,main!$A$3:$H$102,5,FALSE)-VLOOKUP($A50,main!$A$3:$H$102,6,FALSE)&gt;=(VLOOKUP(VLOOKUP(CV$1,main!$A$3:$H$102,8,FALSE),main!$K$26:$M$29,2,FALSE)+VLOOKUP(VLOOKUP(CV$1,main!$A$3:$H$102,7,FALSE),main!$K$19:$O$22,MATCH(VLOOKUP($A50,main!$A$3:$H$102,8,FALSE),main!$K$18:$O$18,0))))),1,0)</f>
        <v>0</v>
      </c>
      <c r="CW50">
        <f>IF((AND(VLOOKUP(CW$1,main!$A$3:$H$102,5,FALSE)-VLOOKUP($A50,main!$A$3:$H$102,6,FALSE)&gt;=(VLOOKUP(VLOOKUP(CW$1,main!$A$3:$H$102,8,FALSE),main!$K$26:$M$29,2,FALSE)+VLOOKUP(VLOOKUP(CW$1,main!$A$3:$H$102,7,FALSE),main!$K$19:$O$22,MATCH(VLOOKUP($A50,main!$A$3:$H$102,8,FALSE),main!$K$18:$O$18,0))))),1,0)</f>
        <v>1</v>
      </c>
      <c r="CX50">
        <f>IF((AND(VLOOKUP(CX$1,main!$A$3:$H$102,5,FALSE)-VLOOKUP($A50,main!$A$3:$H$102,6,FALSE)&gt;=(VLOOKUP(VLOOKUP(CX$1,main!$A$3:$H$102,8,FALSE),main!$K$26:$M$29,2,FALSE)+VLOOKUP(VLOOKUP(CX$1,main!$A$3:$H$102,7,FALSE),main!$K$19:$O$22,MATCH(VLOOKUP($A50,main!$A$3:$H$102,8,FALSE),main!$K$18:$O$18,0))))),1,0)</f>
        <v>1</v>
      </c>
    </row>
    <row r="51" spans="1:102" x14ac:dyDescent="0.25">
      <c r="A51" s="1">
        <v>49</v>
      </c>
      <c r="B51">
        <v>1</v>
      </c>
      <c r="C51">
        <f>IF((AND(VLOOKUP(C$1,main!$A$3:$H$102,5,FALSE)-VLOOKUP($A51,main!$A$3:$H$102,6,FALSE)&gt;=(VLOOKUP(VLOOKUP(C$1,main!$A$3:$H$102,8,FALSE),main!$K$26:$M$29,2,FALSE)+VLOOKUP(VLOOKUP(C$1,main!$A$3:$H$102,7,FALSE),main!$K$19:$O$22,MATCH(VLOOKUP($A51,main!$A$3:$H$102,8,FALSE),main!$K$18:$O$18,0))))),1,0)</f>
        <v>0</v>
      </c>
      <c r="D51">
        <f>IF((AND(VLOOKUP(D$1,main!$A$3:$H$102,5,FALSE)-VLOOKUP($A51,main!$A$3:$H$102,6,FALSE)&gt;=(VLOOKUP(VLOOKUP(D$1,main!$A$3:$H$102,8,FALSE),main!$K$26:$M$29,2,FALSE)+VLOOKUP(VLOOKUP(D$1,main!$A$3:$H$102,7,FALSE),main!$K$19:$O$22,MATCH(VLOOKUP($A51,main!$A$3:$H$102,8,FALSE),main!$K$18:$O$18,0))))),1,0)</f>
        <v>0</v>
      </c>
      <c r="E51">
        <f>IF((AND(VLOOKUP(E$1,main!$A$3:$H$102,5,FALSE)-VLOOKUP($A51,main!$A$3:$H$102,6,FALSE)&gt;=(VLOOKUP(VLOOKUP(E$1,main!$A$3:$H$102,8,FALSE),main!$K$26:$M$29,2,FALSE)+VLOOKUP(VLOOKUP(E$1,main!$A$3:$H$102,7,FALSE),main!$K$19:$O$22,MATCH(VLOOKUP($A51,main!$A$3:$H$102,8,FALSE),main!$K$18:$O$18,0))))),1,0)</f>
        <v>0</v>
      </c>
      <c r="F51">
        <f>IF((AND(VLOOKUP(F$1,main!$A$3:$H$102,5,FALSE)-VLOOKUP($A51,main!$A$3:$H$102,6,FALSE)&gt;=(VLOOKUP(VLOOKUP(F$1,main!$A$3:$H$102,8,FALSE),main!$K$26:$M$29,2,FALSE)+VLOOKUP(VLOOKUP(F$1,main!$A$3:$H$102,7,FALSE),main!$K$19:$O$22,MATCH(VLOOKUP($A51,main!$A$3:$H$102,8,FALSE),main!$K$18:$O$18,0))))),1,0)</f>
        <v>1</v>
      </c>
      <c r="G51">
        <f>IF((AND(VLOOKUP(G$1,main!$A$3:$H$102,5,FALSE)-VLOOKUP($A51,main!$A$3:$H$102,6,FALSE)&gt;=(VLOOKUP(VLOOKUP(G$1,main!$A$3:$H$102,8,FALSE),main!$K$26:$M$29,2,FALSE)+VLOOKUP(VLOOKUP(G$1,main!$A$3:$H$102,7,FALSE),main!$K$19:$O$22,MATCH(VLOOKUP($A51,main!$A$3:$H$102,8,FALSE),main!$K$18:$O$18,0))))),1,0)</f>
        <v>1</v>
      </c>
      <c r="H51">
        <f>IF((AND(VLOOKUP(H$1,main!$A$3:$H$102,5,FALSE)-VLOOKUP($A51,main!$A$3:$H$102,6,FALSE)&gt;=(VLOOKUP(VLOOKUP(H$1,main!$A$3:$H$102,8,FALSE),main!$K$26:$M$29,2,FALSE)+VLOOKUP(VLOOKUP(H$1,main!$A$3:$H$102,7,FALSE),main!$K$19:$O$22,MATCH(VLOOKUP($A51,main!$A$3:$H$102,8,FALSE),main!$K$18:$O$18,0))))),1,0)</f>
        <v>1</v>
      </c>
      <c r="I51">
        <f>IF((AND(VLOOKUP(I$1,main!$A$3:$H$102,5,FALSE)-VLOOKUP($A51,main!$A$3:$H$102,6,FALSE)&gt;=(VLOOKUP(VLOOKUP(I$1,main!$A$3:$H$102,8,FALSE),main!$K$26:$M$29,2,FALSE)+VLOOKUP(VLOOKUP(I$1,main!$A$3:$H$102,7,FALSE),main!$K$19:$O$22,MATCH(VLOOKUP($A51,main!$A$3:$H$102,8,FALSE),main!$K$18:$O$18,0))))),1,0)</f>
        <v>1</v>
      </c>
      <c r="J51">
        <f>IF((AND(VLOOKUP(J$1,main!$A$3:$H$102,5,FALSE)-VLOOKUP($A51,main!$A$3:$H$102,6,FALSE)&gt;=(VLOOKUP(VLOOKUP(J$1,main!$A$3:$H$102,8,FALSE),main!$K$26:$M$29,2,FALSE)+VLOOKUP(VLOOKUP(J$1,main!$A$3:$H$102,7,FALSE),main!$K$19:$O$22,MATCH(VLOOKUP($A51,main!$A$3:$H$102,8,FALSE),main!$K$18:$O$18,0))))),1,0)</f>
        <v>1</v>
      </c>
      <c r="K51">
        <f>IF((AND(VLOOKUP(K$1,main!$A$3:$H$102,5,FALSE)-VLOOKUP($A51,main!$A$3:$H$102,6,FALSE)&gt;=(VLOOKUP(VLOOKUP(K$1,main!$A$3:$H$102,8,FALSE),main!$K$26:$M$29,2,FALSE)+VLOOKUP(VLOOKUP(K$1,main!$A$3:$H$102,7,FALSE),main!$K$19:$O$22,MATCH(VLOOKUP($A51,main!$A$3:$H$102,8,FALSE),main!$K$18:$O$18,0))))),1,0)</f>
        <v>1</v>
      </c>
      <c r="L51">
        <f>IF((AND(VLOOKUP(L$1,main!$A$3:$H$102,5,FALSE)-VLOOKUP($A51,main!$A$3:$H$102,6,FALSE)&gt;=(VLOOKUP(VLOOKUP(L$1,main!$A$3:$H$102,8,FALSE),main!$K$26:$M$29,2,FALSE)+VLOOKUP(VLOOKUP(L$1,main!$A$3:$H$102,7,FALSE),main!$K$19:$O$22,MATCH(VLOOKUP($A51,main!$A$3:$H$102,8,FALSE),main!$K$18:$O$18,0))))),1,0)</f>
        <v>1</v>
      </c>
      <c r="M51">
        <f>IF((AND(VLOOKUP(M$1,main!$A$3:$H$102,5,FALSE)-VLOOKUP($A51,main!$A$3:$H$102,6,FALSE)&gt;=(VLOOKUP(VLOOKUP(M$1,main!$A$3:$H$102,8,FALSE),main!$K$26:$M$29,2,FALSE)+VLOOKUP(VLOOKUP(M$1,main!$A$3:$H$102,7,FALSE),main!$K$19:$O$22,MATCH(VLOOKUP($A51,main!$A$3:$H$102,8,FALSE),main!$K$18:$O$18,0))))),1,0)</f>
        <v>0</v>
      </c>
      <c r="N51">
        <f>IF((AND(VLOOKUP(N$1,main!$A$3:$H$102,5,FALSE)-VLOOKUP($A51,main!$A$3:$H$102,6,FALSE)&gt;=(VLOOKUP(VLOOKUP(N$1,main!$A$3:$H$102,8,FALSE),main!$K$26:$M$29,2,FALSE)+VLOOKUP(VLOOKUP(N$1,main!$A$3:$H$102,7,FALSE),main!$K$19:$O$22,MATCH(VLOOKUP($A51,main!$A$3:$H$102,8,FALSE),main!$K$18:$O$18,0))))),1,0)</f>
        <v>0</v>
      </c>
      <c r="O51">
        <f>IF((AND(VLOOKUP(O$1,main!$A$3:$H$102,5,FALSE)-VLOOKUP($A51,main!$A$3:$H$102,6,FALSE)&gt;=(VLOOKUP(VLOOKUP(O$1,main!$A$3:$H$102,8,FALSE),main!$K$26:$M$29,2,FALSE)+VLOOKUP(VLOOKUP(O$1,main!$A$3:$H$102,7,FALSE),main!$K$19:$O$22,MATCH(VLOOKUP($A51,main!$A$3:$H$102,8,FALSE),main!$K$18:$O$18,0))))),1,0)</f>
        <v>0</v>
      </c>
      <c r="P51">
        <f>IF((AND(VLOOKUP(P$1,main!$A$3:$H$102,5,FALSE)-VLOOKUP($A51,main!$A$3:$H$102,6,FALSE)&gt;=(VLOOKUP(VLOOKUP(P$1,main!$A$3:$H$102,8,FALSE),main!$K$26:$M$29,2,FALSE)+VLOOKUP(VLOOKUP(P$1,main!$A$3:$H$102,7,FALSE),main!$K$19:$O$22,MATCH(VLOOKUP($A51,main!$A$3:$H$102,8,FALSE),main!$K$18:$O$18,0))))),1,0)</f>
        <v>0</v>
      </c>
      <c r="Q51">
        <f>IF((AND(VLOOKUP(Q$1,main!$A$3:$H$102,5,FALSE)-VLOOKUP($A51,main!$A$3:$H$102,6,FALSE)&gt;=(VLOOKUP(VLOOKUP(Q$1,main!$A$3:$H$102,8,FALSE),main!$K$26:$M$29,2,FALSE)+VLOOKUP(VLOOKUP(Q$1,main!$A$3:$H$102,7,FALSE),main!$K$19:$O$22,MATCH(VLOOKUP($A51,main!$A$3:$H$102,8,FALSE),main!$K$18:$O$18,0))))),1,0)</f>
        <v>1</v>
      </c>
      <c r="R51">
        <f>IF((AND(VLOOKUP(R$1,main!$A$3:$H$102,5,FALSE)-VLOOKUP($A51,main!$A$3:$H$102,6,FALSE)&gt;=(VLOOKUP(VLOOKUP(R$1,main!$A$3:$H$102,8,FALSE),main!$K$26:$M$29,2,FALSE)+VLOOKUP(VLOOKUP(R$1,main!$A$3:$H$102,7,FALSE),main!$K$19:$O$22,MATCH(VLOOKUP($A51,main!$A$3:$H$102,8,FALSE),main!$K$18:$O$18,0))))),1,0)</f>
        <v>1</v>
      </c>
      <c r="S51">
        <f>IF((AND(VLOOKUP(S$1,main!$A$3:$H$102,5,FALSE)-VLOOKUP($A51,main!$A$3:$H$102,6,FALSE)&gt;=(VLOOKUP(VLOOKUP(S$1,main!$A$3:$H$102,8,FALSE),main!$K$26:$M$29,2,FALSE)+VLOOKUP(VLOOKUP(S$1,main!$A$3:$H$102,7,FALSE),main!$K$19:$O$22,MATCH(VLOOKUP($A51,main!$A$3:$H$102,8,FALSE),main!$K$18:$O$18,0))))),1,0)</f>
        <v>1</v>
      </c>
      <c r="T51">
        <f>IF((AND(VLOOKUP(T$1,main!$A$3:$H$102,5,FALSE)-VLOOKUP($A51,main!$A$3:$H$102,6,FALSE)&gt;=(VLOOKUP(VLOOKUP(T$1,main!$A$3:$H$102,8,FALSE),main!$K$26:$M$29,2,FALSE)+VLOOKUP(VLOOKUP(T$1,main!$A$3:$H$102,7,FALSE),main!$K$19:$O$22,MATCH(VLOOKUP($A51,main!$A$3:$H$102,8,FALSE),main!$K$18:$O$18,0))))),1,0)</f>
        <v>1</v>
      </c>
      <c r="U51">
        <f>IF((AND(VLOOKUP(U$1,main!$A$3:$H$102,5,FALSE)-VLOOKUP($A51,main!$A$3:$H$102,6,FALSE)&gt;=(VLOOKUP(VLOOKUP(U$1,main!$A$3:$H$102,8,FALSE),main!$K$26:$M$29,2,FALSE)+VLOOKUP(VLOOKUP(U$1,main!$A$3:$H$102,7,FALSE),main!$K$19:$O$22,MATCH(VLOOKUP($A51,main!$A$3:$H$102,8,FALSE),main!$K$18:$O$18,0))))),1,0)</f>
        <v>1</v>
      </c>
      <c r="V51">
        <f>IF((AND(VLOOKUP(V$1,main!$A$3:$H$102,5,FALSE)-VLOOKUP($A51,main!$A$3:$H$102,6,FALSE)&gt;=(VLOOKUP(VLOOKUP(V$1,main!$A$3:$H$102,8,FALSE),main!$K$26:$M$29,2,FALSE)+VLOOKUP(VLOOKUP(V$1,main!$A$3:$H$102,7,FALSE),main!$K$19:$O$22,MATCH(VLOOKUP($A51,main!$A$3:$H$102,8,FALSE),main!$K$18:$O$18,0))))),1,0)</f>
        <v>1</v>
      </c>
      <c r="W51">
        <f>IF((AND(VLOOKUP(W$1,main!$A$3:$H$102,5,FALSE)-VLOOKUP($A51,main!$A$3:$H$102,6,FALSE)&gt;=(VLOOKUP(VLOOKUP(W$1,main!$A$3:$H$102,8,FALSE),main!$K$26:$M$29,2,FALSE)+VLOOKUP(VLOOKUP(W$1,main!$A$3:$H$102,7,FALSE),main!$K$19:$O$22,MATCH(VLOOKUP($A51,main!$A$3:$H$102,8,FALSE),main!$K$18:$O$18,0))))),1,0)</f>
        <v>0</v>
      </c>
      <c r="X51">
        <f>IF((AND(VLOOKUP(X$1,main!$A$3:$H$102,5,FALSE)-VLOOKUP($A51,main!$A$3:$H$102,6,FALSE)&gt;=(VLOOKUP(VLOOKUP(X$1,main!$A$3:$H$102,8,FALSE),main!$K$26:$M$29,2,FALSE)+VLOOKUP(VLOOKUP(X$1,main!$A$3:$H$102,7,FALSE),main!$K$19:$O$22,MATCH(VLOOKUP($A51,main!$A$3:$H$102,8,FALSE),main!$K$18:$O$18,0))))),1,0)</f>
        <v>0</v>
      </c>
      <c r="Y51">
        <f>IF((AND(VLOOKUP(Y$1,main!$A$3:$H$102,5,FALSE)-VLOOKUP($A51,main!$A$3:$H$102,6,FALSE)&gt;=(VLOOKUP(VLOOKUP(Y$1,main!$A$3:$H$102,8,FALSE),main!$K$26:$M$29,2,FALSE)+VLOOKUP(VLOOKUP(Y$1,main!$A$3:$H$102,7,FALSE),main!$K$19:$O$22,MATCH(VLOOKUP($A51,main!$A$3:$H$102,8,FALSE),main!$K$18:$O$18,0))))),1,0)</f>
        <v>1</v>
      </c>
      <c r="Z51">
        <f>IF((AND(VLOOKUP(Z$1,main!$A$3:$H$102,5,FALSE)-VLOOKUP($A51,main!$A$3:$H$102,6,FALSE)&gt;=(VLOOKUP(VLOOKUP(Z$1,main!$A$3:$H$102,8,FALSE),main!$K$26:$M$29,2,FALSE)+VLOOKUP(VLOOKUP(Z$1,main!$A$3:$H$102,7,FALSE),main!$K$19:$O$22,MATCH(VLOOKUP($A51,main!$A$3:$H$102,8,FALSE),main!$K$18:$O$18,0))))),1,0)</f>
        <v>1</v>
      </c>
      <c r="AA51">
        <f>IF((AND(VLOOKUP(AA$1,main!$A$3:$H$102,5,FALSE)-VLOOKUP($A51,main!$A$3:$H$102,6,FALSE)&gt;=(VLOOKUP(VLOOKUP(AA$1,main!$A$3:$H$102,8,FALSE),main!$K$26:$M$29,2,FALSE)+VLOOKUP(VLOOKUP(AA$1,main!$A$3:$H$102,7,FALSE),main!$K$19:$O$22,MATCH(VLOOKUP($A51,main!$A$3:$H$102,8,FALSE),main!$K$18:$O$18,0))))),1,0)</f>
        <v>1</v>
      </c>
      <c r="AB51">
        <f>IF((AND(VLOOKUP(AB$1,main!$A$3:$H$102,5,FALSE)-VLOOKUP($A51,main!$A$3:$H$102,6,FALSE)&gt;=(VLOOKUP(VLOOKUP(AB$1,main!$A$3:$H$102,8,FALSE),main!$K$26:$M$29,2,FALSE)+VLOOKUP(VLOOKUP(AB$1,main!$A$3:$H$102,7,FALSE),main!$K$19:$O$22,MATCH(VLOOKUP($A51,main!$A$3:$H$102,8,FALSE),main!$K$18:$O$18,0))))),1,0)</f>
        <v>0</v>
      </c>
      <c r="AC51">
        <f>IF((AND(VLOOKUP(AC$1,main!$A$3:$H$102,5,FALSE)-VLOOKUP($A51,main!$A$3:$H$102,6,FALSE)&gt;=(VLOOKUP(VLOOKUP(AC$1,main!$A$3:$H$102,8,FALSE),main!$K$26:$M$29,2,FALSE)+VLOOKUP(VLOOKUP(AC$1,main!$A$3:$H$102,7,FALSE),main!$K$19:$O$22,MATCH(VLOOKUP($A51,main!$A$3:$H$102,8,FALSE),main!$K$18:$O$18,0))))),1,0)</f>
        <v>0</v>
      </c>
      <c r="AD51">
        <f>IF((AND(VLOOKUP(AD$1,main!$A$3:$H$102,5,FALSE)-VLOOKUP($A51,main!$A$3:$H$102,6,FALSE)&gt;=(VLOOKUP(VLOOKUP(AD$1,main!$A$3:$H$102,8,FALSE),main!$K$26:$M$29,2,FALSE)+VLOOKUP(VLOOKUP(AD$1,main!$A$3:$H$102,7,FALSE),main!$K$19:$O$22,MATCH(VLOOKUP($A51,main!$A$3:$H$102,8,FALSE),main!$K$18:$O$18,0))))),1,0)</f>
        <v>1</v>
      </c>
      <c r="AE51">
        <f>IF((AND(VLOOKUP(AE$1,main!$A$3:$H$102,5,FALSE)-VLOOKUP($A51,main!$A$3:$H$102,6,FALSE)&gt;=(VLOOKUP(VLOOKUP(AE$1,main!$A$3:$H$102,8,FALSE),main!$K$26:$M$29,2,FALSE)+VLOOKUP(VLOOKUP(AE$1,main!$A$3:$H$102,7,FALSE),main!$K$19:$O$22,MATCH(VLOOKUP($A51,main!$A$3:$H$102,8,FALSE),main!$K$18:$O$18,0))))),1,0)</f>
        <v>1</v>
      </c>
      <c r="AF51">
        <f>IF((AND(VLOOKUP(AF$1,main!$A$3:$H$102,5,FALSE)-VLOOKUP($A51,main!$A$3:$H$102,6,FALSE)&gt;=(VLOOKUP(VLOOKUP(AF$1,main!$A$3:$H$102,8,FALSE),main!$K$26:$M$29,2,FALSE)+VLOOKUP(VLOOKUP(AF$1,main!$A$3:$H$102,7,FALSE),main!$K$19:$O$22,MATCH(VLOOKUP($A51,main!$A$3:$H$102,8,FALSE),main!$K$18:$O$18,0))))),1,0)</f>
        <v>1</v>
      </c>
      <c r="AG51">
        <f>IF((AND(VLOOKUP(AG$1,main!$A$3:$H$102,5,FALSE)-VLOOKUP($A51,main!$A$3:$H$102,6,FALSE)&gt;=(VLOOKUP(VLOOKUP(AG$1,main!$A$3:$H$102,8,FALSE),main!$K$26:$M$29,2,FALSE)+VLOOKUP(VLOOKUP(AG$1,main!$A$3:$H$102,7,FALSE),main!$K$19:$O$22,MATCH(VLOOKUP($A51,main!$A$3:$H$102,8,FALSE),main!$K$18:$O$18,0))))),1,0)</f>
        <v>0</v>
      </c>
      <c r="AH51">
        <f>IF((AND(VLOOKUP(AH$1,main!$A$3:$H$102,5,FALSE)-VLOOKUP($A51,main!$A$3:$H$102,6,FALSE)&gt;=(VLOOKUP(VLOOKUP(AH$1,main!$A$3:$H$102,8,FALSE),main!$K$26:$M$29,2,FALSE)+VLOOKUP(VLOOKUP(AH$1,main!$A$3:$H$102,7,FALSE),main!$K$19:$O$22,MATCH(VLOOKUP($A51,main!$A$3:$H$102,8,FALSE),main!$K$18:$O$18,0))))),1,0)</f>
        <v>0</v>
      </c>
      <c r="AI51">
        <f>IF((AND(VLOOKUP(AI$1,main!$A$3:$H$102,5,FALSE)-VLOOKUP($A51,main!$A$3:$H$102,6,FALSE)&gt;=(VLOOKUP(VLOOKUP(AI$1,main!$A$3:$H$102,8,FALSE),main!$K$26:$M$29,2,FALSE)+VLOOKUP(VLOOKUP(AI$1,main!$A$3:$H$102,7,FALSE),main!$K$19:$O$22,MATCH(VLOOKUP($A51,main!$A$3:$H$102,8,FALSE),main!$K$18:$O$18,0))))),1,0)</f>
        <v>0</v>
      </c>
      <c r="AJ51">
        <f>IF((AND(VLOOKUP(AJ$1,main!$A$3:$H$102,5,FALSE)-VLOOKUP($A51,main!$A$3:$H$102,6,FALSE)&gt;=(VLOOKUP(VLOOKUP(AJ$1,main!$A$3:$H$102,8,FALSE),main!$K$26:$M$29,2,FALSE)+VLOOKUP(VLOOKUP(AJ$1,main!$A$3:$H$102,7,FALSE),main!$K$19:$O$22,MATCH(VLOOKUP($A51,main!$A$3:$H$102,8,FALSE),main!$K$18:$O$18,0))))),1,0)</f>
        <v>1</v>
      </c>
      <c r="AK51">
        <f>IF((AND(VLOOKUP(AK$1,main!$A$3:$H$102,5,FALSE)-VLOOKUP($A51,main!$A$3:$H$102,6,FALSE)&gt;=(VLOOKUP(VLOOKUP(AK$1,main!$A$3:$H$102,8,FALSE),main!$K$26:$M$29,2,FALSE)+VLOOKUP(VLOOKUP(AK$1,main!$A$3:$H$102,7,FALSE),main!$K$19:$O$22,MATCH(VLOOKUP($A51,main!$A$3:$H$102,8,FALSE),main!$K$18:$O$18,0))))),1,0)</f>
        <v>1</v>
      </c>
      <c r="AL51">
        <f>IF((AND(VLOOKUP(AL$1,main!$A$3:$H$102,5,FALSE)-VLOOKUP($A51,main!$A$3:$H$102,6,FALSE)&gt;=(VLOOKUP(VLOOKUP(AL$1,main!$A$3:$H$102,8,FALSE),main!$K$26:$M$29,2,FALSE)+VLOOKUP(VLOOKUP(AL$1,main!$A$3:$H$102,7,FALSE),main!$K$19:$O$22,MATCH(VLOOKUP($A51,main!$A$3:$H$102,8,FALSE),main!$K$18:$O$18,0))))),1,0)</f>
        <v>1</v>
      </c>
      <c r="AM51">
        <f>IF((AND(VLOOKUP(AM$1,main!$A$3:$H$102,5,FALSE)-VLOOKUP($A51,main!$A$3:$H$102,6,FALSE)&gt;=(VLOOKUP(VLOOKUP(AM$1,main!$A$3:$H$102,8,FALSE),main!$K$26:$M$29,2,FALSE)+VLOOKUP(VLOOKUP(AM$1,main!$A$3:$H$102,7,FALSE),main!$K$19:$O$22,MATCH(VLOOKUP($A51,main!$A$3:$H$102,8,FALSE),main!$K$18:$O$18,0))))),1,0)</f>
        <v>1</v>
      </c>
      <c r="AN51">
        <f>IF((AND(VLOOKUP(AN$1,main!$A$3:$H$102,5,FALSE)-VLOOKUP($A51,main!$A$3:$H$102,6,FALSE)&gt;=(VLOOKUP(VLOOKUP(AN$1,main!$A$3:$H$102,8,FALSE),main!$K$26:$M$29,2,FALSE)+VLOOKUP(VLOOKUP(AN$1,main!$A$3:$H$102,7,FALSE),main!$K$19:$O$22,MATCH(VLOOKUP($A51,main!$A$3:$H$102,8,FALSE),main!$K$18:$O$18,0))))),1,0)</f>
        <v>1</v>
      </c>
      <c r="AO51">
        <f>IF((AND(VLOOKUP(AO$1,main!$A$3:$H$102,5,FALSE)-VLOOKUP($A51,main!$A$3:$H$102,6,FALSE)&gt;=(VLOOKUP(VLOOKUP(AO$1,main!$A$3:$H$102,8,FALSE),main!$K$26:$M$29,2,FALSE)+VLOOKUP(VLOOKUP(AO$1,main!$A$3:$H$102,7,FALSE),main!$K$19:$O$22,MATCH(VLOOKUP($A51,main!$A$3:$H$102,8,FALSE),main!$K$18:$O$18,0))))),1,0)</f>
        <v>0</v>
      </c>
      <c r="AP51">
        <f>IF((AND(VLOOKUP(AP$1,main!$A$3:$H$102,5,FALSE)-VLOOKUP($A51,main!$A$3:$H$102,6,FALSE)&gt;=(VLOOKUP(VLOOKUP(AP$1,main!$A$3:$H$102,8,FALSE),main!$K$26:$M$29,2,FALSE)+VLOOKUP(VLOOKUP(AP$1,main!$A$3:$H$102,7,FALSE),main!$K$19:$O$22,MATCH(VLOOKUP($A51,main!$A$3:$H$102,8,FALSE),main!$K$18:$O$18,0))))),1,0)</f>
        <v>1</v>
      </c>
      <c r="AQ51">
        <f>IF((AND(VLOOKUP(AQ$1,main!$A$3:$H$102,5,FALSE)-VLOOKUP($A51,main!$A$3:$H$102,6,FALSE)&gt;=(VLOOKUP(VLOOKUP(AQ$1,main!$A$3:$H$102,8,FALSE),main!$K$26:$M$29,2,FALSE)+VLOOKUP(VLOOKUP(AQ$1,main!$A$3:$H$102,7,FALSE),main!$K$19:$O$22,MATCH(VLOOKUP($A51,main!$A$3:$H$102,8,FALSE),main!$K$18:$O$18,0))))),1,0)</f>
        <v>0</v>
      </c>
      <c r="AR51">
        <f>IF((AND(VLOOKUP(AR$1,main!$A$3:$H$102,5,FALSE)-VLOOKUP($A51,main!$A$3:$H$102,6,FALSE)&gt;=(VLOOKUP(VLOOKUP(AR$1,main!$A$3:$H$102,8,FALSE),main!$K$26:$M$29,2,FALSE)+VLOOKUP(VLOOKUP(AR$1,main!$A$3:$H$102,7,FALSE),main!$K$19:$O$22,MATCH(VLOOKUP($A51,main!$A$3:$H$102,8,FALSE),main!$K$18:$O$18,0))))),1,0)</f>
        <v>0</v>
      </c>
      <c r="AS51">
        <f>IF((AND(VLOOKUP(AS$1,main!$A$3:$H$102,5,FALSE)-VLOOKUP($A51,main!$A$3:$H$102,6,FALSE)&gt;=(VLOOKUP(VLOOKUP(AS$1,main!$A$3:$H$102,8,FALSE),main!$K$26:$M$29,2,FALSE)+VLOOKUP(VLOOKUP(AS$1,main!$A$3:$H$102,7,FALSE),main!$K$19:$O$22,MATCH(VLOOKUP($A51,main!$A$3:$H$102,8,FALSE),main!$K$18:$O$18,0))))),1,0)</f>
        <v>1</v>
      </c>
      <c r="AT51">
        <f>IF((AND(VLOOKUP(AT$1,main!$A$3:$H$102,5,FALSE)-VLOOKUP($A51,main!$A$3:$H$102,6,FALSE)&gt;=(VLOOKUP(VLOOKUP(AT$1,main!$A$3:$H$102,8,FALSE),main!$K$26:$M$29,2,FALSE)+VLOOKUP(VLOOKUP(AT$1,main!$A$3:$H$102,7,FALSE),main!$K$19:$O$22,MATCH(VLOOKUP($A51,main!$A$3:$H$102,8,FALSE),main!$K$18:$O$18,0))))),1,0)</f>
        <v>1</v>
      </c>
      <c r="AU51">
        <f>IF((AND(VLOOKUP(AU$1,main!$A$3:$H$102,5,FALSE)-VLOOKUP($A51,main!$A$3:$H$102,6,FALSE)&gt;=(VLOOKUP(VLOOKUP(AU$1,main!$A$3:$H$102,8,FALSE),main!$K$26:$M$29,2,FALSE)+VLOOKUP(VLOOKUP(AU$1,main!$A$3:$H$102,7,FALSE),main!$K$19:$O$22,MATCH(VLOOKUP($A51,main!$A$3:$H$102,8,FALSE),main!$K$18:$O$18,0))))),1,0)</f>
        <v>0</v>
      </c>
      <c r="AV51">
        <f>IF((AND(VLOOKUP(AV$1,main!$A$3:$H$102,5,FALSE)-VLOOKUP($A51,main!$A$3:$H$102,6,FALSE)&gt;=(VLOOKUP(VLOOKUP(AV$1,main!$A$3:$H$102,8,FALSE),main!$K$26:$M$29,2,FALSE)+VLOOKUP(VLOOKUP(AV$1,main!$A$3:$H$102,7,FALSE),main!$K$19:$O$22,MATCH(VLOOKUP($A51,main!$A$3:$H$102,8,FALSE),main!$K$18:$O$18,0))))),1,0)</f>
        <v>0</v>
      </c>
      <c r="AW51">
        <f>IF((AND(VLOOKUP(AW$1,main!$A$3:$H$102,5,FALSE)-VLOOKUP($A51,main!$A$3:$H$102,6,FALSE)&gt;=(VLOOKUP(VLOOKUP(AW$1,main!$A$3:$H$102,8,FALSE),main!$K$26:$M$29,2,FALSE)+VLOOKUP(VLOOKUP(AW$1,main!$A$3:$H$102,7,FALSE),main!$K$19:$O$22,MATCH(VLOOKUP($A51,main!$A$3:$H$102,8,FALSE),main!$K$18:$O$18,0))))),1,0)</f>
        <v>1</v>
      </c>
      <c r="AX51">
        <f>IF((AND(VLOOKUP(AX$1,main!$A$3:$H$102,5,FALSE)-VLOOKUP($A51,main!$A$3:$H$102,6,FALSE)&gt;=(VLOOKUP(VLOOKUP(AX$1,main!$A$3:$H$102,8,FALSE),main!$K$26:$M$29,2,FALSE)+VLOOKUP(VLOOKUP(AX$1,main!$A$3:$H$102,7,FALSE),main!$K$19:$O$22,MATCH(VLOOKUP($A51,main!$A$3:$H$102,8,FALSE),main!$K$18:$O$18,0))))),1,0)</f>
        <v>1</v>
      </c>
      <c r="AY51">
        <f>IF((AND(VLOOKUP(AY$1,main!$A$3:$H$102,5,FALSE)-VLOOKUP($A51,main!$A$3:$H$102,6,FALSE)&gt;=(VLOOKUP(VLOOKUP(AY$1,main!$A$3:$H$102,8,FALSE),main!$K$26:$M$29,2,FALSE)+VLOOKUP(VLOOKUP(AY$1,main!$A$3:$H$102,7,FALSE),main!$K$19:$O$22,MATCH(VLOOKUP($A51,main!$A$3:$H$102,8,FALSE),main!$K$18:$O$18,0))))),1,0)</f>
        <v>0</v>
      </c>
      <c r="AZ51">
        <f>IF((AND(VLOOKUP(AZ$1,main!$A$3:$H$102,5,FALSE)-VLOOKUP($A51,main!$A$3:$H$102,6,FALSE)&gt;=(VLOOKUP(VLOOKUP(AZ$1,main!$A$3:$H$102,8,FALSE),main!$K$26:$M$29,2,FALSE)+VLOOKUP(VLOOKUP(AZ$1,main!$A$3:$H$102,7,FALSE),main!$K$19:$O$22,MATCH(VLOOKUP($A51,main!$A$3:$H$102,8,FALSE),main!$K$18:$O$18,0))))),1,0)</f>
        <v>0</v>
      </c>
      <c r="BA51">
        <f>IF((AND(VLOOKUP(BA$1,main!$A$3:$H$102,5,FALSE)-VLOOKUP($A51,main!$A$3:$H$102,6,FALSE)&gt;=(VLOOKUP(VLOOKUP(BA$1,main!$A$3:$H$102,8,FALSE),main!$K$26:$M$29,2,FALSE)+VLOOKUP(VLOOKUP(BA$1,main!$A$3:$H$102,7,FALSE),main!$K$19:$O$22,MATCH(VLOOKUP($A51,main!$A$3:$H$102,8,FALSE),main!$K$18:$O$18,0))))),1,0)</f>
        <v>0</v>
      </c>
      <c r="BB51">
        <f>IF((AND(VLOOKUP(BB$1,main!$A$3:$H$102,5,FALSE)-VLOOKUP($A51,main!$A$3:$H$102,6,FALSE)&gt;=(VLOOKUP(VLOOKUP(BB$1,main!$A$3:$H$102,8,FALSE),main!$K$26:$M$29,2,FALSE)+VLOOKUP(VLOOKUP(BB$1,main!$A$3:$H$102,7,FALSE),main!$K$19:$O$22,MATCH(VLOOKUP($A51,main!$A$3:$H$102,8,FALSE),main!$K$18:$O$18,0))))),1,0)</f>
        <v>1</v>
      </c>
      <c r="BC51">
        <f>IF((AND(VLOOKUP(BC$1,main!$A$3:$H$102,5,FALSE)-VLOOKUP($A51,main!$A$3:$H$102,6,FALSE)&gt;=(VLOOKUP(VLOOKUP(BC$1,main!$A$3:$H$102,8,FALSE),main!$K$26:$M$29,2,FALSE)+VLOOKUP(VLOOKUP(BC$1,main!$A$3:$H$102,7,FALSE),main!$K$19:$O$22,MATCH(VLOOKUP($A51,main!$A$3:$H$102,8,FALSE),main!$K$18:$O$18,0))))),1,0)</f>
        <v>1</v>
      </c>
      <c r="BD51">
        <f>IF((AND(VLOOKUP(BD$1,main!$A$3:$H$102,5,FALSE)-VLOOKUP($A51,main!$A$3:$H$102,6,FALSE)&gt;=(VLOOKUP(VLOOKUP(BD$1,main!$A$3:$H$102,8,FALSE),main!$K$26:$M$29,2,FALSE)+VLOOKUP(VLOOKUP(BD$1,main!$A$3:$H$102,7,FALSE),main!$K$19:$O$22,MATCH(VLOOKUP($A51,main!$A$3:$H$102,8,FALSE),main!$K$18:$O$18,0))))),1,0)</f>
        <v>1</v>
      </c>
      <c r="BE51">
        <f>IF((AND(VLOOKUP(BE$1,main!$A$3:$H$102,5,FALSE)-VLOOKUP($A51,main!$A$3:$H$102,6,FALSE)&gt;=(VLOOKUP(VLOOKUP(BE$1,main!$A$3:$H$102,8,FALSE),main!$K$26:$M$29,2,FALSE)+VLOOKUP(VLOOKUP(BE$1,main!$A$3:$H$102,7,FALSE),main!$K$19:$O$22,MATCH(VLOOKUP($A51,main!$A$3:$H$102,8,FALSE),main!$K$18:$O$18,0))))),1,0)</f>
        <v>1</v>
      </c>
      <c r="BF51">
        <f>IF((AND(VLOOKUP(BF$1,main!$A$3:$H$102,5,FALSE)-VLOOKUP($A51,main!$A$3:$H$102,6,FALSE)&gt;=(VLOOKUP(VLOOKUP(BF$1,main!$A$3:$H$102,8,FALSE),main!$K$26:$M$29,2,FALSE)+VLOOKUP(VLOOKUP(BF$1,main!$A$3:$H$102,7,FALSE),main!$K$19:$O$22,MATCH(VLOOKUP($A51,main!$A$3:$H$102,8,FALSE),main!$K$18:$O$18,0))))),1,0)</f>
        <v>0</v>
      </c>
      <c r="BG51">
        <f>IF((AND(VLOOKUP(BG$1,main!$A$3:$H$102,5,FALSE)-VLOOKUP($A51,main!$A$3:$H$102,6,FALSE)&gt;=(VLOOKUP(VLOOKUP(BG$1,main!$A$3:$H$102,8,FALSE),main!$K$26:$M$29,2,FALSE)+VLOOKUP(VLOOKUP(BG$1,main!$A$3:$H$102,7,FALSE),main!$K$19:$O$22,MATCH(VLOOKUP($A51,main!$A$3:$H$102,8,FALSE),main!$K$18:$O$18,0))))),1,0)</f>
        <v>0</v>
      </c>
      <c r="BH51">
        <f>IF((AND(VLOOKUP(BH$1,main!$A$3:$H$102,5,FALSE)-VLOOKUP($A51,main!$A$3:$H$102,6,FALSE)&gt;=(VLOOKUP(VLOOKUP(BH$1,main!$A$3:$H$102,8,FALSE),main!$K$26:$M$29,2,FALSE)+VLOOKUP(VLOOKUP(BH$1,main!$A$3:$H$102,7,FALSE),main!$K$19:$O$22,MATCH(VLOOKUP($A51,main!$A$3:$H$102,8,FALSE),main!$K$18:$O$18,0))))),1,0)</f>
        <v>1</v>
      </c>
      <c r="BI51">
        <f>IF((AND(VLOOKUP(BI$1,main!$A$3:$H$102,5,FALSE)-VLOOKUP($A51,main!$A$3:$H$102,6,FALSE)&gt;=(VLOOKUP(VLOOKUP(BI$1,main!$A$3:$H$102,8,FALSE),main!$K$26:$M$29,2,FALSE)+VLOOKUP(VLOOKUP(BI$1,main!$A$3:$H$102,7,FALSE),main!$K$19:$O$22,MATCH(VLOOKUP($A51,main!$A$3:$H$102,8,FALSE),main!$K$18:$O$18,0))))),1,0)</f>
        <v>1</v>
      </c>
      <c r="BJ51">
        <f>IF((AND(VLOOKUP(BJ$1,main!$A$3:$H$102,5,FALSE)-VLOOKUP($A51,main!$A$3:$H$102,6,FALSE)&gt;=(VLOOKUP(VLOOKUP(BJ$1,main!$A$3:$H$102,8,FALSE),main!$K$26:$M$29,2,FALSE)+VLOOKUP(VLOOKUP(BJ$1,main!$A$3:$H$102,7,FALSE),main!$K$19:$O$22,MATCH(VLOOKUP($A51,main!$A$3:$H$102,8,FALSE),main!$K$18:$O$18,0))))),1,0)</f>
        <v>1</v>
      </c>
      <c r="BK51">
        <f>IF((AND(VLOOKUP(BK$1,main!$A$3:$H$102,5,FALSE)-VLOOKUP($A51,main!$A$3:$H$102,6,FALSE)&gt;=(VLOOKUP(VLOOKUP(BK$1,main!$A$3:$H$102,8,FALSE),main!$K$26:$M$29,2,FALSE)+VLOOKUP(VLOOKUP(BK$1,main!$A$3:$H$102,7,FALSE),main!$K$19:$O$22,MATCH(VLOOKUP($A51,main!$A$3:$H$102,8,FALSE),main!$K$18:$O$18,0))))),1,0)</f>
        <v>0</v>
      </c>
      <c r="BL51">
        <f>IF((AND(VLOOKUP(BL$1,main!$A$3:$H$102,5,FALSE)-VLOOKUP($A51,main!$A$3:$H$102,6,FALSE)&gt;=(VLOOKUP(VLOOKUP(BL$1,main!$A$3:$H$102,8,FALSE),main!$K$26:$M$29,2,FALSE)+VLOOKUP(VLOOKUP(BL$1,main!$A$3:$H$102,7,FALSE),main!$K$19:$O$22,MATCH(VLOOKUP($A51,main!$A$3:$H$102,8,FALSE),main!$K$18:$O$18,0))))),1,0)</f>
        <v>0</v>
      </c>
      <c r="BM51">
        <f>IF((AND(VLOOKUP(BM$1,main!$A$3:$H$102,5,FALSE)-VLOOKUP($A51,main!$A$3:$H$102,6,FALSE)&gt;=(VLOOKUP(VLOOKUP(BM$1,main!$A$3:$H$102,8,FALSE),main!$K$26:$M$29,2,FALSE)+VLOOKUP(VLOOKUP(BM$1,main!$A$3:$H$102,7,FALSE),main!$K$19:$O$22,MATCH(VLOOKUP($A51,main!$A$3:$H$102,8,FALSE),main!$K$18:$O$18,0))))),1,0)</f>
        <v>0</v>
      </c>
      <c r="BN51">
        <f>IF((AND(VLOOKUP(BN$1,main!$A$3:$H$102,5,FALSE)-VLOOKUP($A51,main!$A$3:$H$102,6,FALSE)&gt;=(VLOOKUP(VLOOKUP(BN$1,main!$A$3:$H$102,8,FALSE),main!$K$26:$M$29,2,FALSE)+VLOOKUP(VLOOKUP(BN$1,main!$A$3:$H$102,7,FALSE),main!$K$19:$O$22,MATCH(VLOOKUP($A51,main!$A$3:$H$102,8,FALSE),main!$K$18:$O$18,0))))),1,0)</f>
        <v>1</v>
      </c>
      <c r="BO51">
        <f>IF((AND(VLOOKUP(BO$1,main!$A$3:$H$102,5,FALSE)-VLOOKUP($A51,main!$A$3:$H$102,6,FALSE)&gt;=(VLOOKUP(VLOOKUP(BO$1,main!$A$3:$H$102,8,FALSE),main!$K$26:$M$29,2,FALSE)+VLOOKUP(VLOOKUP(BO$1,main!$A$3:$H$102,7,FALSE),main!$K$19:$O$22,MATCH(VLOOKUP($A51,main!$A$3:$H$102,8,FALSE),main!$K$18:$O$18,0))))),1,0)</f>
        <v>0</v>
      </c>
      <c r="BP51">
        <f>IF((AND(VLOOKUP(BP$1,main!$A$3:$H$102,5,FALSE)-VLOOKUP($A51,main!$A$3:$H$102,6,FALSE)&gt;=(VLOOKUP(VLOOKUP(BP$1,main!$A$3:$H$102,8,FALSE),main!$K$26:$M$29,2,FALSE)+VLOOKUP(VLOOKUP(BP$1,main!$A$3:$H$102,7,FALSE),main!$K$19:$O$22,MATCH(VLOOKUP($A51,main!$A$3:$H$102,8,FALSE),main!$K$18:$O$18,0))))),1,0)</f>
        <v>0</v>
      </c>
      <c r="BQ51">
        <f>IF((AND(VLOOKUP(BQ$1,main!$A$3:$H$102,5,FALSE)-VLOOKUP($A51,main!$A$3:$H$102,6,FALSE)&gt;=(VLOOKUP(VLOOKUP(BQ$1,main!$A$3:$H$102,8,FALSE),main!$K$26:$M$29,2,FALSE)+VLOOKUP(VLOOKUP(BQ$1,main!$A$3:$H$102,7,FALSE),main!$K$19:$O$22,MATCH(VLOOKUP($A51,main!$A$3:$H$102,8,FALSE),main!$K$18:$O$18,0))))),1,0)</f>
        <v>1</v>
      </c>
      <c r="BR51">
        <f>IF((AND(VLOOKUP(BR$1,main!$A$3:$H$102,5,FALSE)-VLOOKUP($A51,main!$A$3:$H$102,6,FALSE)&gt;=(VLOOKUP(VLOOKUP(BR$1,main!$A$3:$H$102,8,FALSE),main!$K$26:$M$29,2,FALSE)+VLOOKUP(VLOOKUP(BR$1,main!$A$3:$H$102,7,FALSE),main!$K$19:$O$22,MATCH(VLOOKUP($A51,main!$A$3:$H$102,8,FALSE),main!$K$18:$O$18,0))))),1,0)</f>
        <v>1</v>
      </c>
      <c r="BS51">
        <f>IF((AND(VLOOKUP(BS$1,main!$A$3:$H$102,5,FALSE)-VLOOKUP($A51,main!$A$3:$H$102,6,FALSE)&gt;=(VLOOKUP(VLOOKUP(BS$1,main!$A$3:$H$102,8,FALSE),main!$K$26:$M$29,2,FALSE)+VLOOKUP(VLOOKUP(BS$1,main!$A$3:$H$102,7,FALSE),main!$K$19:$O$22,MATCH(VLOOKUP($A51,main!$A$3:$H$102,8,FALSE),main!$K$18:$O$18,0))))),1,0)</f>
        <v>1</v>
      </c>
      <c r="BT51">
        <f>IF((AND(VLOOKUP(BT$1,main!$A$3:$H$102,5,FALSE)-VLOOKUP($A51,main!$A$3:$H$102,6,FALSE)&gt;=(VLOOKUP(VLOOKUP(BT$1,main!$A$3:$H$102,8,FALSE),main!$K$26:$M$29,2,FALSE)+VLOOKUP(VLOOKUP(BT$1,main!$A$3:$H$102,7,FALSE),main!$K$19:$O$22,MATCH(VLOOKUP($A51,main!$A$3:$H$102,8,FALSE),main!$K$18:$O$18,0))))),1,0)</f>
        <v>1</v>
      </c>
      <c r="BU51">
        <f>IF((AND(VLOOKUP(BU$1,main!$A$3:$H$102,5,FALSE)-VLOOKUP($A51,main!$A$3:$H$102,6,FALSE)&gt;=(VLOOKUP(VLOOKUP(BU$1,main!$A$3:$H$102,8,FALSE),main!$K$26:$M$29,2,FALSE)+VLOOKUP(VLOOKUP(BU$1,main!$A$3:$H$102,7,FALSE),main!$K$19:$O$22,MATCH(VLOOKUP($A51,main!$A$3:$H$102,8,FALSE),main!$K$18:$O$18,0))))),1,0)</f>
        <v>0</v>
      </c>
      <c r="BV51">
        <f>IF((AND(VLOOKUP(BV$1,main!$A$3:$H$102,5,FALSE)-VLOOKUP($A51,main!$A$3:$H$102,6,FALSE)&gt;=(VLOOKUP(VLOOKUP(BV$1,main!$A$3:$H$102,8,FALSE),main!$K$26:$M$29,2,FALSE)+VLOOKUP(VLOOKUP(BV$1,main!$A$3:$H$102,7,FALSE),main!$K$19:$O$22,MATCH(VLOOKUP($A51,main!$A$3:$H$102,8,FALSE),main!$K$18:$O$18,0))))),1,0)</f>
        <v>0</v>
      </c>
      <c r="BW51">
        <f>IF((AND(VLOOKUP(BW$1,main!$A$3:$H$102,5,FALSE)-VLOOKUP($A51,main!$A$3:$H$102,6,FALSE)&gt;=(VLOOKUP(VLOOKUP(BW$1,main!$A$3:$H$102,8,FALSE),main!$K$26:$M$29,2,FALSE)+VLOOKUP(VLOOKUP(BW$1,main!$A$3:$H$102,7,FALSE),main!$K$19:$O$22,MATCH(VLOOKUP($A51,main!$A$3:$H$102,8,FALSE),main!$K$18:$O$18,0))))),1,0)</f>
        <v>0</v>
      </c>
      <c r="BX51">
        <f>IF((AND(VLOOKUP(BX$1,main!$A$3:$H$102,5,FALSE)-VLOOKUP($A51,main!$A$3:$H$102,6,FALSE)&gt;=(VLOOKUP(VLOOKUP(BX$1,main!$A$3:$H$102,8,FALSE),main!$K$26:$M$29,2,FALSE)+VLOOKUP(VLOOKUP(BX$1,main!$A$3:$H$102,7,FALSE),main!$K$19:$O$22,MATCH(VLOOKUP($A51,main!$A$3:$H$102,8,FALSE),main!$K$18:$O$18,0))))),1,0)</f>
        <v>1</v>
      </c>
      <c r="BY51">
        <f>IF((AND(VLOOKUP(BY$1,main!$A$3:$H$102,5,FALSE)-VLOOKUP($A51,main!$A$3:$H$102,6,FALSE)&gt;=(VLOOKUP(VLOOKUP(BY$1,main!$A$3:$H$102,8,FALSE),main!$K$26:$M$29,2,FALSE)+VLOOKUP(VLOOKUP(BY$1,main!$A$3:$H$102,7,FALSE),main!$K$19:$O$22,MATCH(VLOOKUP($A51,main!$A$3:$H$102,8,FALSE),main!$K$18:$O$18,0))))),1,0)</f>
        <v>1</v>
      </c>
      <c r="BZ51">
        <f>IF((AND(VLOOKUP(BZ$1,main!$A$3:$H$102,5,FALSE)-VLOOKUP($A51,main!$A$3:$H$102,6,FALSE)&gt;=(VLOOKUP(VLOOKUP(BZ$1,main!$A$3:$H$102,8,FALSE),main!$K$26:$M$29,2,FALSE)+VLOOKUP(VLOOKUP(BZ$1,main!$A$3:$H$102,7,FALSE),main!$K$19:$O$22,MATCH(VLOOKUP($A51,main!$A$3:$H$102,8,FALSE),main!$K$18:$O$18,0))))),1,0)</f>
        <v>0</v>
      </c>
      <c r="CA51">
        <f>IF((AND(VLOOKUP(CA$1,main!$A$3:$H$102,5,FALSE)-VLOOKUP($A51,main!$A$3:$H$102,6,FALSE)&gt;=(VLOOKUP(VLOOKUP(CA$1,main!$A$3:$H$102,8,FALSE),main!$K$26:$M$29,2,FALSE)+VLOOKUP(VLOOKUP(CA$1,main!$A$3:$H$102,7,FALSE),main!$K$19:$O$22,MATCH(VLOOKUP($A51,main!$A$3:$H$102,8,FALSE),main!$K$18:$O$18,0))))),1,0)</f>
        <v>0</v>
      </c>
      <c r="CB51">
        <f>IF((AND(VLOOKUP(CB$1,main!$A$3:$H$102,5,FALSE)-VLOOKUP($A51,main!$A$3:$H$102,6,FALSE)&gt;=(VLOOKUP(VLOOKUP(CB$1,main!$A$3:$H$102,8,FALSE),main!$K$26:$M$29,2,FALSE)+VLOOKUP(VLOOKUP(CB$1,main!$A$3:$H$102,7,FALSE),main!$K$19:$O$22,MATCH(VLOOKUP($A51,main!$A$3:$H$102,8,FALSE),main!$K$18:$O$18,0))))),1,0)</f>
        <v>1</v>
      </c>
      <c r="CC51">
        <f>IF((AND(VLOOKUP(CC$1,main!$A$3:$H$102,5,FALSE)-VLOOKUP($A51,main!$A$3:$H$102,6,FALSE)&gt;=(VLOOKUP(VLOOKUP(CC$1,main!$A$3:$H$102,8,FALSE),main!$K$26:$M$29,2,FALSE)+VLOOKUP(VLOOKUP(CC$1,main!$A$3:$H$102,7,FALSE),main!$K$19:$O$22,MATCH(VLOOKUP($A51,main!$A$3:$H$102,8,FALSE),main!$K$18:$O$18,0))))),1,0)</f>
        <v>1</v>
      </c>
      <c r="CD51">
        <f>IF((AND(VLOOKUP(CD$1,main!$A$3:$H$102,5,FALSE)-VLOOKUP($A51,main!$A$3:$H$102,6,FALSE)&gt;=(VLOOKUP(VLOOKUP(CD$1,main!$A$3:$H$102,8,FALSE),main!$K$26:$M$29,2,FALSE)+VLOOKUP(VLOOKUP(CD$1,main!$A$3:$H$102,7,FALSE),main!$K$19:$O$22,MATCH(VLOOKUP($A51,main!$A$3:$H$102,8,FALSE),main!$K$18:$O$18,0))))),1,0)</f>
        <v>1</v>
      </c>
      <c r="CE51">
        <f>IF((AND(VLOOKUP(CE$1,main!$A$3:$H$102,5,FALSE)-VLOOKUP($A51,main!$A$3:$H$102,6,FALSE)&gt;=(VLOOKUP(VLOOKUP(CE$1,main!$A$3:$H$102,8,FALSE),main!$K$26:$M$29,2,FALSE)+VLOOKUP(VLOOKUP(CE$1,main!$A$3:$H$102,7,FALSE),main!$K$19:$O$22,MATCH(VLOOKUP($A51,main!$A$3:$H$102,8,FALSE),main!$K$18:$O$18,0))))),1,0)</f>
        <v>0</v>
      </c>
      <c r="CF51">
        <f>IF((AND(VLOOKUP(CF$1,main!$A$3:$H$102,5,FALSE)-VLOOKUP($A51,main!$A$3:$H$102,6,FALSE)&gt;=(VLOOKUP(VLOOKUP(CF$1,main!$A$3:$H$102,8,FALSE),main!$K$26:$M$29,2,FALSE)+VLOOKUP(VLOOKUP(CF$1,main!$A$3:$H$102,7,FALSE),main!$K$19:$O$22,MATCH(VLOOKUP($A51,main!$A$3:$H$102,8,FALSE),main!$K$18:$O$18,0))))),1,0)</f>
        <v>1</v>
      </c>
      <c r="CG51">
        <f>IF((AND(VLOOKUP(CG$1,main!$A$3:$H$102,5,FALSE)-VLOOKUP($A51,main!$A$3:$H$102,6,FALSE)&gt;=(VLOOKUP(VLOOKUP(CG$1,main!$A$3:$H$102,8,FALSE),main!$K$26:$M$29,2,FALSE)+VLOOKUP(VLOOKUP(CG$1,main!$A$3:$H$102,7,FALSE),main!$K$19:$O$22,MATCH(VLOOKUP($A51,main!$A$3:$H$102,8,FALSE),main!$K$18:$O$18,0))))),1,0)</f>
        <v>1</v>
      </c>
      <c r="CH51">
        <f>IF((AND(VLOOKUP(CH$1,main!$A$3:$H$102,5,FALSE)-VLOOKUP($A51,main!$A$3:$H$102,6,FALSE)&gt;=(VLOOKUP(VLOOKUP(CH$1,main!$A$3:$H$102,8,FALSE),main!$K$26:$M$29,2,FALSE)+VLOOKUP(VLOOKUP(CH$1,main!$A$3:$H$102,7,FALSE),main!$K$19:$O$22,MATCH(VLOOKUP($A51,main!$A$3:$H$102,8,FALSE),main!$K$18:$O$18,0))))),1,0)</f>
        <v>1</v>
      </c>
      <c r="CI51">
        <f>IF((AND(VLOOKUP(CI$1,main!$A$3:$H$102,5,FALSE)-VLOOKUP($A51,main!$A$3:$H$102,6,FALSE)&gt;=(VLOOKUP(VLOOKUP(CI$1,main!$A$3:$H$102,8,FALSE),main!$K$26:$M$29,2,FALSE)+VLOOKUP(VLOOKUP(CI$1,main!$A$3:$H$102,7,FALSE),main!$K$19:$O$22,MATCH(VLOOKUP($A51,main!$A$3:$H$102,8,FALSE),main!$K$18:$O$18,0))))),1,0)</f>
        <v>1</v>
      </c>
      <c r="CJ51">
        <f>IF((AND(VLOOKUP(CJ$1,main!$A$3:$H$102,5,FALSE)-VLOOKUP($A51,main!$A$3:$H$102,6,FALSE)&gt;=(VLOOKUP(VLOOKUP(CJ$1,main!$A$3:$H$102,8,FALSE),main!$K$26:$M$29,2,FALSE)+VLOOKUP(VLOOKUP(CJ$1,main!$A$3:$H$102,7,FALSE),main!$K$19:$O$22,MATCH(VLOOKUP($A51,main!$A$3:$H$102,8,FALSE),main!$K$18:$O$18,0))))),1,0)</f>
        <v>1</v>
      </c>
      <c r="CK51">
        <f>IF((AND(VLOOKUP(CK$1,main!$A$3:$H$102,5,FALSE)-VLOOKUP($A51,main!$A$3:$H$102,6,FALSE)&gt;=(VLOOKUP(VLOOKUP(CK$1,main!$A$3:$H$102,8,FALSE),main!$K$26:$M$29,2,FALSE)+VLOOKUP(VLOOKUP(CK$1,main!$A$3:$H$102,7,FALSE),main!$K$19:$O$22,MATCH(VLOOKUP($A51,main!$A$3:$H$102,8,FALSE),main!$K$18:$O$18,0))))),1,0)</f>
        <v>0</v>
      </c>
      <c r="CL51">
        <f>IF((AND(VLOOKUP(CL$1,main!$A$3:$H$102,5,FALSE)-VLOOKUP($A51,main!$A$3:$H$102,6,FALSE)&gt;=(VLOOKUP(VLOOKUP(CL$1,main!$A$3:$H$102,8,FALSE),main!$K$26:$M$29,2,FALSE)+VLOOKUP(VLOOKUP(CL$1,main!$A$3:$H$102,7,FALSE),main!$K$19:$O$22,MATCH(VLOOKUP($A51,main!$A$3:$H$102,8,FALSE),main!$K$18:$O$18,0))))),1,0)</f>
        <v>1</v>
      </c>
      <c r="CM51">
        <f>IF((AND(VLOOKUP(CM$1,main!$A$3:$H$102,5,FALSE)-VLOOKUP($A51,main!$A$3:$H$102,6,FALSE)&gt;=(VLOOKUP(VLOOKUP(CM$1,main!$A$3:$H$102,8,FALSE),main!$K$26:$M$29,2,FALSE)+VLOOKUP(VLOOKUP(CM$1,main!$A$3:$H$102,7,FALSE),main!$K$19:$O$22,MATCH(VLOOKUP($A51,main!$A$3:$H$102,8,FALSE),main!$K$18:$O$18,0))))),1,0)</f>
        <v>1</v>
      </c>
      <c r="CN51">
        <f>IF((AND(VLOOKUP(CN$1,main!$A$3:$H$102,5,FALSE)-VLOOKUP($A51,main!$A$3:$H$102,6,FALSE)&gt;=(VLOOKUP(VLOOKUP(CN$1,main!$A$3:$H$102,8,FALSE),main!$K$26:$M$29,2,FALSE)+VLOOKUP(VLOOKUP(CN$1,main!$A$3:$H$102,7,FALSE),main!$K$19:$O$22,MATCH(VLOOKUP($A51,main!$A$3:$H$102,8,FALSE),main!$K$18:$O$18,0))))),1,0)</f>
        <v>1</v>
      </c>
      <c r="CO51">
        <f>IF((AND(VLOOKUP(CO$1,main!$A$3:$H$102,5,FALSE)-VLOOKUP($A51,main!$A$3:$H$102,6,FALSE)&gt;=(VLOOKUP(VLOOKUP(CO$1,main!$A$3:$H$102,8,FALSE),main!$K$26:$M$29,2,FALSE)+VLOOKUP(VLOOKUP(CO$1,main!$A$3:$H$102,7,FALSE),main!$K$19:$O$22,MATCH(VLOOKUP($A51,main!$A$3:$H$102,8,FALSE),main!$K$18:$O$18,0))))),1,0)</f>
        <v>0</v>
      </c>
      <c r="CP51">
        <f>IF((AND(VLOOKUP(CP$1,main!$A$3:$H$102,5,FALSE)-VLOOKUP($A51,main!$A$3:$H$102,6,FALSE)&gt;=(VLOOKUP(VLOOKUP(CP$1,main!$A$3:$H$102,8,FALSE),main!$K$26:$M$29,2,FALSE)+VLOOKUP(VLOOKUP(CP$1,main!$A$3:$H$102,7,FALSE),main!$K$19:$O$22,MATCH(VLOOKUP($A51,main!$A$3:$H$102,8,FALSE),main!$K$18:$O$18,0))))),1,0)</f>
        <v>1</v>
      </c>
      <c r="CQ51">
        <f>IF((AND(VLOOKUP(CQ$1,main!$A$3:$H$102,5,FALSE)-VLOOKUP($A51,main!$A$3:$H$102,6,FALSE)&gt;=(VLOOKUP(VLOOKUP(CQ$1,main!$A$3:$H$102,8,FALSE),main!$K$26:$M$29,2,FALSE)+VLOOKUP(VLOOKUP(CQ$1,main!$A$3:$H$102,7,FALSE),main!$K$19:$O$22,MATCH(VLOOKUP($A51,main!$A$3:$H$102,8,FALSE),main!$K$18:$O$18,0))))),1,0)</f>
        <v>1</v>
      </c>
      <c r="CR51">
        <f>IF((AND(VLOOKUP(CR$1,main!$A$3:$H$102,5,FALSE)-VLOOKUP($A51,main!$A$3:$H$102,6,FALSE)&gt;=(VLOOKUP(VLOOKUP(CR$1,main!$A$3:$H$102,8,FALSE),main!$K$26:$M$29,2,FALSE)+VLOOKUP(VLOOKUP(CR$1,main!$A$3:$H$102,7,FALSE),main!$K$19:$O$22,MATCH(VLOOKUP($A51,main!$A$3:$H$102,8,FALSE),main!$K$18:$O$18,0))))),1,0)</f>
        <v>1</v>
      </c>
      <c r="CS51">
        <f>IF((AND(VLOOKUP(CS$1,main!$A$3:$H$102,5,FALSE)-VLOOKUP($A51,main!$A$3:$H$102,6,FALSE)&gt;=(VLOOKUP(VLOOKUP(CS$1,main!$A$3:$H$102,8,FALSE),main!$K$26:$M$29,2,FALSE)+VLOOKUP(VLOOKUP(CS$1,main!$A$3:$H$102,7,FALSE),main!$K$19:$O$22,MATCH(VLOOKUP($A51,main!$A$3:$H$102,8,FALSE),main!$K$18:$O$18,0))))),1,0)</f>
        <v>1</v>
      </c>
      <c r="CT51">
        <f>IF((AND(VLOOKUP(CT$1,main!$A$3:$H$102,5,FALSE)-VLOOKUP($A51,main!$A$3:$H$102,6,FALSE)&gt;=(VLOOKUP(VLOOKUP(CT$1,main!$A$3:$H$102,8,FALSE),main!$K$26:$M$29,2,FALSE)+VLOOKUP(VLOOKUP(CT$1,main!$A$3:$H$102,7,FALSE),main!$K$19:$O$22,MATCH(VLOOKUP($A51,main!$A$3:$H$102,8,FALSE),main!$K$18:$O$18,0))))),1,0)</f>
        <v>0</v>
      </c>
      <c r="CU51">
        <f>IF((AND(VLOOKUP(CU$1,main!$A$3:$H$102,5,FALSE)-VLOOKUP($A51,main!$A$3:$H$102,6,FALSE)&gt;=(VLOOKUP(VLOOKUP(CU$1,main!$A$3:$H$102,8,FALSE),main!$K$26:$M$29,2,FALSE)+VLOOKUP(VLOOKUP(CU$1,main!$A$3:$H$102,7,FALSE),main!$K$19:$O$22,MATCH(VLOOKUP($A51,main!$A$3:$H$102,8,FALSE),main!$K$18:$O$18,0))))),1,0)</f>
        <v>0</v>
      </c>
      <c r="CV51">
        <f>IF((AND(VLOOKUP(CV$1,main!$A$3:$H$102,5,FALSE)-VLOOKUP($A51,main!$A$3:$H$102,6,FALSE)&gt;=(VLOOKUP(VLOOKUP(CV$1,main!$A$3:$H$102,8,FALSE),main!$K$26:$M$29,2,FALSE)+VLOOKUP(VLOOKUP(CV$1,main!$A$3:$H$102,7,FALSE),main!$K$19:$O$22,MATCH(VLOOKUP($A51,main!$A$3:$H$102,8,FALSE),main!$K$18:$O$18,0))))),1,0)</f>
        <v>1</v>
      </c>
      <c r="CW51">
        <f>IF((AND(VLOOKUP(CW$1,main!$A$3:$H$102,5,FALSE)-VLOOKUP($A51,main!$A$3:$H$102,6,FALSE)&gt;=(VLOOKUP(VLOOKUP(CW$1,main!$A$3:$H$102,8,FALSE),main!$K$26:$M$29,2,FALSE)+VLOOKUP(VLOOKUP(CW$1,main!$A$3:$H$102,7,FALSE),main!$K$19:$O$22,MATCH(VLOOKUP($A51,main!$A$3:$H$102,8,FALSE),main!$K$18:$O$18,0))))),1,0)</f>
        <v>1</v>
      </c>
      <c r="CX51">
        <f>IF((AND(VLOOKUP(CX$1,main!$A$3:$H$102,5,FALSE)-VLOOKUP($A51,main!$A$3:$H$102,6,FALSE)&gt;=(VLOOKUP(VLOOKUP(CX$1,main!$A$3:$H$102,8,FALSE),main!$K$26:$M$29,2,FALSE)+VLOOKUP(VLOOKUP(CX$1,main!$A$3:$H$102,7,FALSE),main!$K$19:$O$22,MATCH(VLOOKUP($A51,main!$A$3:$H$102,8,FALSE),main!$K$18:$O$18,0))))),1,0)</f>
        <v>1</v>
      </c>
    </row>
    <row r="52" spans="1:102" x14ac:dyDescent="0.25">
      <c r="A52" s="1">
        <v>50</v>
      </c>
      <c r="B52">
        <v>1</v>
      </c>
      <c r="C52">
        <f>IF((AND(VLOOKUP(C$1,main!$A$3:$H$102,5,FALSE)-VLOOKUP($A52,main!$A$3:$H$102,6,FALSE)&gt;=(VLOOKUP(VLOOKUP(C$1,main!$A$3:$H$102,8,FALSE),main!$K$26:$M$29,2,FALSE)+VLOOKUP(VLOOKUP(C$1,main!$A$3:$H$102,7,FALSE),main!$K$19:$O$22,MATCH(VLOOKUP($A52,main!$A$3:$H$102,8,FALSE),main!$K$18:$O$18,0))))),1,0)</f>
        <v>0</v>
      </c>
      <c r="D52">
        <f>IF((AND(VLOOKUP(D$1,main!$A$3:$H$102,5,FALSE)-VLOOKUP($A52,main!$A$3:$H$102,6,FALSE)&gt;=(VLOOKUP(VLOOKUP(D$1,main!$A$3:$H$102,8,FALSE),main!$K$26:$M$29,2,FALSE)+VLOOKUP(VLOOKUP(D$1,main!$A$3:$H$102,7,FALSE),main!$K$19:$O$22,MATCH(VLOOKUP($A52,main!$A$3:$H$102,8,FALSE),main!$K$18:$O$18,0))))),1,0)</f>
        <v>0</v>
      </c>
      <c r="E52">
        <f>IF((AND(VLOOKUP(E$1,main!$A$3:$H$102,5,FALSE)-VLOOKUP($A52,main!$A$3:$H$102,6,FALSE)&gt;=(VLOOKUP(VLOOKUP(E$1,main!$A$3:$H$102,8,FALSE),main!$K$26:$M$29,2,FALSE)+VLOOKUP(VLOOKUP(E$1,main!$A$3:$H$102,7,FALSE),main!$K$19:$O$22,MATCH(VLOOKUP($A52,main!$A$3:$H$102,8,FALSE),main!$K$18:$O$18,0))))),1,0)</f>
        <v>0</v>
      </c>
      <c r="F52">
        <f>IF((AND(VLOOKUP(F$1,main!$A$3:$H$102,5,FALSE)-VLOOKUP($A52,main!$A$3:$H$102,6,FALSE)&gt;=(VLOOKUP(VLOOKUP(F$1,main!$A$3:$H$102,8,FALSE),main!$K$26:$M$29,2,FALSE)+VLOOKUP(VLOOKUP(F$1,main!$A$3:$H$102,7,FALSE),main!$K$19:$O$22,MATCH(VLOOKUP($A52,main!$A$3:$H$102,8,FALSE),main!$K$18:$O$18,0))))),1,0)</f>
        <v>0</v>
      </c>
      <c r="G52">
        <f>IF((AND(VLOOKUP(G$1,main!$A$3:$H$102,5,FALSE)-VLOOKUP($A52,main!$A$3:$H$102,6,FALSE)&gt;=(VLOOKUP(VLOOKUP(G$1,main!$A$3:$H$102,8,FALSE),main!$K$26:$M$29,2,FALSE)+VLOOKUP(VLOOKUP(G$1,main!$A$3:$H$102,7,FALSE),main!$K$19:$O$22,MATCH(VLOOKUP($A52,main!$A$3:$H$102,8,FALSE),main!$K$18:$O$18,0))))),1,0)</f>
        <v>0</v>
      </c>
      <c r="H52">
        <f>IF((AND(VLOOKUP(H$1,main!$A$3:$H$102,5,FALSE)-VLOOKUP($A52,main!$A$3:$H$102,6,FALSE)&gt;=(VLOOKUP(VLOOKUP(H$1,main!$A$3:$H$102,8,FALSE),main!$K$26:$M$29,2,FALSE)+VLOOKUP(VLOOKUP(H$1,main!$A$3:$H$102,7,FALSE),main!$K$19:$O$22,MATCH(VLOOKUP($A52,main!$A$3:$H$102,8,FALSE),main!$K$18:$O$18,0))))),1,0)</f>
        <v>1</v>
      </c>
      <c r="I52">
        <f>IF((AND(VLOOKUP(I$1,main!$A$3:$H$102,5,FALSE)-VLOOKUP($A52,main!$A$3:$H$102,6,FALSE)&gt;=(VLOOKUP(VLOOKUP(I$1,main!$A$3:$H$102,8,FALSE),main!$K$26:$M$29,2,FALSE)+VLOOKUP(VLOOKUP(I$1,main!$A$3:$H$102,7,FALSE),main!$K$19:$O$22,MATCH(VLOOKUP($A52,main!$A$3:$H$102,8,FALSE),main!$K$18:$O$18,0))))),1,0)</f>
        <v>1</v>
      </c>
      <c r="J52">
        <f>IF((AND(VLOOKUP(J$1,main!$A$3:$H$102,5,FALSE)-VLOOKUP($A52,main!$A$3:$H$102,6,FALSE)&gt;=(VLOOKUP(VLOOKUP(J$1,main!$A$3:$H$102,8,FALSE),main!$K$26:$M$29,2,FALSE)+VLOOKUP(VLOOKUP(J$1,main!$A$3:$H$102,7,FALSE),main!$K$19:$O$22,MATCH(VLOOKUP($A52,main!$A$3:$H$102,8,FALSE),main!$K$18:$O$18,0))))),1,0)</f>
        <v>1</v>
      </c>
      <c r="K52">
        <f>IF((AND(VLOOKUP(K$1,main!$A$3:$H$102,5,FALSE)-VLOOKUP($A52,main!$A$3:$H$102,6,FALSE)&gt;=(VLOOKUP(VLOOKUP(K$1,main!$A$3:$H$102,8,FALSE),main!$K$26:$M$29,2,FALSE)+VLOOKUP(VLOOKUP(K$1,main!$A$3:$H$102,7,FALSE),main!$K$19:$O$22,MATCH(VLOOKUP($A52,main!$A$3:$H$102,8,FALSE),main!$K$18:$O$18,0))))),1,0)</f>
        <v>1</v>
      </c>
      <c r="L52">
        <f>IF((AND(VLOOKUP(L$1,main!$A$3:$H$102,5,FALSE)-VLOOKUP($A52,main!$A$3:$H$102,6,FALSE)&gt;=(VLOOKUP(VLOOKUP(L$1,main!$A$3:$H$102,8,FALSE),main!$K$26:$M$29,2,FALSE)+VLOOKUP(VLOOKUP(L$1,main!$A$3:$H$102,7,FALSE),main!$K$19:$O$22,MATCH(VLOOKUP($A52,main!$A$3:$H$102,8,FALSE),main!$K$18:$O$18,0))))),1,0)</f>
        <v>1</v>
      </c>
      <c r="M52">
        <f>IF((AND(VLOOKUP(M$1,main!$A$3:$H$102,5,FALSE)-VLOOKUP($A52,main!$A$3:$H$102,6,FALSE)&gt;=(VLOOKUP(VLOOKUP(M$1,main!$A$3:$H$102,8,FALSE),main!$K$26:$M$29,2,FALSE)+VLOOKUP(VLOOKUP(M$1,main!$A$3:$H$102,7,FALSE),main!$K$19:$O$22,MATCH(VLOOKUP($A52,main!$A$3:$H$102,8,FALSE),main!$K$18:$O$18,0))))),1,0)</f>
        <v>0</v>
      </c>
      <c r="N52">
        <f>IF((AND(VLOOKUP(N$1,main!$A$3:$H$102,5,FALSE)-VLOOKUP($A52,main!$A$3:$H$102,6,FALSE)&gt;=(VLOOKUP(VLOOKUP(N$1,main!$A$3:$H$102,8,FALSE),main!$K$26:$M$29,2,FALSE)+VLOOKUP(VLOOKUP(N$1,main!$A$3:$H$102,7,FALSE),main!$K$19:$O$22,MATCH(VLOOKUP($A52,main!$A$3:$H$102,8,FALSE),main!$K$18:$O$18,0))))),1,0)</f>
        <v>0</v>
      </c>
      <c r="O52">
        <f>IF((AND(VLOOKUP(O$1,main!$A$3:$H$102,5,FALSE)-VLOOKUP($A52,main!$A$3:$H$102,6,FALSE)&gt;=(VLOOKUP(VLOOKUP(O$1,main!$A$3:$H$102,8,FALSE),main!$K$26:$M$29,2,FALSE)+VLOOKUP(VLOOKUP(O$1,main!$A$3:$H$102,7,FALSE),main!$K$19:$O$22,MATCH(VLOOKUP($A52,main!$A$3:$H$102,8,FALSE),main!$K$18:$O$18,0))))),1,0)</f>
        <v>0</v>
      </c>
      <c r="P52">
        <f>IF((AND(VLOOKUP(P$1,main!$A$3:$H$102,5,FALSE)-VLOOKUP($A52,main!$A$3:$H$102,6,FALSE)&gt;=(VLOOKUP(VLOOKUP(P$1,main!$A$3:$H$102,8,FALSE),main!$K$26:$M$29,2,FALSE)+VLOOKUP(VLOOKUP(P$1,main!$A$3:$H$102,7,FALSE),main!$K$19:$O$22,MATCH(VLOOKUP($A52,main!$A$3:$H$102,8,FALSE),main!$K$18:$O$18,0))))),1,0)</f>
        <v>0</v>
      </c>
      <c r="Q52">
        <f>IF((AND(VLOOKUP(Q$1,main!$A$3:$H$102,5,FALSE)-VLOOKUP($A52,main!$A$3:$H$102,6,FALSE)&gt;=(VLOOKUP(VLOOKUP(Q$1,main!$A$3:$H$102,8,FALSE),main!$K$26:$M$29,2,FALSE)+VLOOKUP(VLOOKUP(Q$1,main!$A$3:$H$102,7,FALSE),main!$K$19:$O$22,MATCH(VLOOKUP($A52,main!$A$3:$H$102,8,FALSE),main!$K$18:$O$18,0))))),1,0)</f>
        <v>0</v>
      </c>
      <c r="R52">
        <f>IF((AND(VLOOKUP(R$1,main!$A$3:$H$102,5,FALSE)-VLOOKUP($A52,main!$A$3:$H$102,6,FALSE)&gt;=(VLOOKUP(VLOOKUP(R$1,main!$A$3:$H$102,8,FALSE),main!$K$26:$M$29,2,FALSE)+VLOOKUP(VLOOKUP(R$1,main!$A$3:$H$102,7,FALSE),main!$K$19:$O$22,MATCH(VLOOKUP($A52,main!$A$3:$H$102,8,FALSE),main!$K$18:$O$18,0))))),1,0)</f>
        <v>0</v>
      </c>
      <c r="S52">
        <f>IF((AND(VLOOKUP(S$1,main!$A$3:$H$102,5,FALSE)-VLOOKUP($A52,main!$A$3:$H$102,6,FALSE)&gt;=(VLOOKUP(VLOOKUP(S$1,main!$A$3:$H$102,8,FALSE),main!$K$26:$M$29,2,FALSE)+VLOOKUP(VLOOKUP(S$1,main!$A$3:$H$102,7,FALSE),main!$K$19:$O$22,MATCH(VLOOKUP($A52,main!$A$3:$H$102,8,FALSE),main!$K$18:$O$18,0))))),1,0)</f>
        <v>1</v>
      </c>
      <c r="T52">
        <f>IF((AND(VLOOKUP(T$1,main!$A$3:$H$102,5,FALSE)-VLOOKUP($A52,main!$A$3:$H$102,6,FALSE)&gt;=(VLOOKUP(VLOOKUP(T$1,main!$A$3:$H$102,8,FALSE),main!$K$26:$M$29,2,FALSE)+VLOOKUP(VLOOKUP(T$1,main!$A$3:$H$102,7,FALSE),main!$K$19:$O$22,MATCH(VLOOKUP($A52,main!$A$3:$H$102,8,FALSE),main!$K$18:$O$18,0))))),1,0)</f>
        <v>1</v>
      </c>
      <c r="U52">
        <f>IF((AND(VLOOKUP(U$1,main!$A$3:$H$102,5,FALSE)-VLOOKUP($A52,main!$A$3:$H$102,6,FALSE)&gt;=(VLOOKUP(VLOOKUP(U$1,main!$A$3:$H$102,8,FALSE),main!$K$26:$M$29,2,FALSE)+VLOOKUP(VLOOKUP(U$1,main!$A$3:$H$102,7,FALSE),main!$K$19:$O$22,MATCH(VLOOKUP($A52,main!$A$3:$H$102,8,FALSE),main!$K$18:$O$18,0))))),1,0)</f>
        <v>1</v>
      </c>
      <c r="V52">
        <f>IF((AND(VLOOKUP(V$1,main!$A$3:$H$102,5,FALSE)-VLOOKUP($A52,main!$A$3:$H$102,6,FALSE)&gt;=(VLOOKUP(VLOOKUP(V$1,main!$A$3:$H$102,8,FALSE),main!$K$26:$M$29,2,FALSE)+VLOOKUP(VLOOKUP(V$1,main!$A$3:$H$102,7,FALSE),main!$K$19:$O$22,MATCH(VLOOKUP($A52,main!$A$3:$H$102,8,FALSE),main!$K$18:$O$18,0))))),1,0)</f>
        <v>1</v>
      </c>
      <c r="W52">
        <f>IF((AND(VLOOKUP(W$1,main!$A$3:$H$102,5,FALSE)-VLOOKUP($A52,main!$A$3:$H$102,6,FALSE)&gt;=(VLOOKUP(VLOOKUP(W$1,main!$A$3:$H$102,8,FALSE),main!$K$26:$M$29,2,FALSE)+VLOOKUP(VLOOKUP(W$1,main!$A$3:$H$102,7,FALSE),main!$K$19:$O$22,MATCH(VLOOKUP($A52,main!$A$3:$H$102,8,FALSE),main!$K$18:$O$18,0))))),1,0)</f>
        <v>0</v>
      </c>
      <c r="X52">
        <f>IF((AND(VLOOKUP(X$1,main!$A$3:$H$102,5,FALSE)-VLOOKUP($A52,main!$A$3:$H$102,6,FALSE)&gt;=(VLOOKUP(VLOOKUP(X$1,main!$A$3:$H$102,8,FALSE),main!$K$26:$M$29,2,FALSE)+VLOOKUP(VLOOKUP(X$1,main!$A$3:$H$102,7,FALSE),main!$K$19:$O$22,MATCH(VLOOKUP($A52,main!$A$3:$H$102,8,FALSE),main!$K$18:$O$18,0))))),1,0)</f>
        <v>0</v>
      </c>
      <c r="Y52">
        <f>IF((AND(VLOOKUP(Y$1,main!$A$3:$H$102,5,FALSE)-VLOOKUP($A52,main!$A$3:$H$102,6,FALSE)&gt;=(VLOOKUP(VLOOKUP(Y$1,main!$A$3:$H$102,8,FALSE),main!$K$26:$M$29,2,FALSE)+VLOOKUP(VLOOKUP(Y$1,main!$A$3:$H$102,7,FALSE),main!$K$19:$O$22,MATCH(VLOOKUP($A52,main!$A$3:$H$102,8,FALSE),main!$K$18:$O$18,0))))),1,0)</f>
        <v>0</v>
      </c>
      <c r="Z52">
        <f>IF((AND(VLOOKUP(Z$1,main!$A$3:$H$102,5,FALSE)-VLOOKUP($A52,main!$A$3:$H$102,6,FALSE)&gt;=(VLOOKUP(VLOOKUP(Z$1,main!$A$3:$H$102,8,FALSE),main!$K$26:$M$29,2,FALSE)+VLOOKUP(VLOOKUP(Z$1,main!$A$3:$H$102,7,FALSE),main!$K$19:$O$22,MATCH(VLOOKUP($A52,main!$A$3:$H$102,8,FALSE),main!$K$18:$O$18,0))))),1,0)</f>
        <v>1</v>
      </c>
      <c r="AA52">
        <f>IF((AND(VLOOKUP(AA$1,main!$A$3:$H$102,5,FALSE)-VLOOKUP($A52,main!$A$3:$H$102,6,FALSE)&gt;=(VLOOKUP(VLOOKUP(AA$1,main!$A$3:$H$102,8,FALSE),main!$K$26:$M$29,2,FALSE)+VLOOKUP(VLOOKUP(AA$1,main!$A$3:$H$102,7,FALSE),main!$K$19:$O$22,MATCH(VLOOKUP($A52,main!$A$3:$H$102,8,FALSE),main!$K$18:$O$18,0))))),1,0)</f>
        <v>1</v>
      </c>
      <c r="AB52">
        <f>IF((AND(VLOOKUP(AB$1,main!$A$3:$H$102,5,FALSE)-VLOOKUP($A52,main!$A$3:$H$102,6,FALSE)&gt;=(VLOOKUP(VLOOKUP(AB$1,main!$A$3:$H$102,8,FALSE),main!$K$26:$M$29,2,FALSE)+VLOOKUP(VLOOKUP(AB$1,main!$A$3:$H$102,7,FALSE),main!$K$19:$O$22,MATCH(VLOOKUP($A52,main!$A$3:$H$102,8,FALSE),main!$K$18:$O$18,0))))),1,0)</f>
        <v>0</v>
      </c>
      <c r="AC52">
        <f>IF((AND(VLOOKUP(AC$1,main!$A$3:$H$102,5,FALSE)-VLOOKUP($A52,main!$A$3:$H$102,6,FALSE)&gt;=(VLOOKUP(VLOOKUP(AC$1,main!$A$3:$H$102,8,FALSE),main!$K$26:$M$29,2,FALSE)+VLOOKUP(VLOOKUP(AC$1,main!$A$3:$H$102,7,FALSE),main!$K$19:$O$22,MATCH(VLOOKUP($A52,main!$A$3:$H$102,8,FALSE),main!$K$18:$O$18,0))))),1,0)</f>
        <v>0</v>
      </c>
      <c r="AD52">
        <f>IF((AND(VLOOKUP(AD$1,main!$A$3:$H$102,5,FALSE)-VLOOKUP($A52,main!$A$3:$H$102,6,FALSE)&gt;=(VLOOKUP(VLOOKUP(AD$1,main!$A$3:$H$102,8,FALSE),main!$K$26:$M$29,2,FALSE)+VLOOKUP(VLOOKUP(AD$1,main!$A$3:$H$102,7,FALSE),main!$K$19:$O$22,MATCH(VLOOKUP($A52,main!$A$3:$H$102,8,FALSE),main!$K$18:$O$18,0))))),1,0)</f>
        <v>0</v>
      </c>
      <c r="AE52">
        <f>IF((AND(VLOOKUP(AE$1,main!$A$3:$H$102,5,FALSE)-VLOOKUP($A52,main!$A$3:$H$102,6,FALSE)&gt;=(VLOOKUP(VLOOKUP(AE$1,main!$A$3:$H$102,8,FALSE),main!$K$26:$M$29,2,FALSE)+VLOOKUP(VLOOKUP(AE$1,main!$A$3:$H$102,7,FALSE),main!$K$19:$O$22,MATCH(VLOOKUP($A52,main!$A$3:$H$102,8,FALSE),main!$K$18:$O$18,0))))),1,0)</f>
        <v>1</v>
      </c>
      <c r="AF52">
        <f>IF((AND(VLOOKUP(AF$1,main!$A$3:$H$102,5,FALSE)-VLOOKUP($A52,main!$A$3:$H$102,6,FALSE)&gt;=(VLOOKUP(VLOOKUP(AF$1,main!$A$3:$H$102,8,FALSE),main!$K$26:$M$29,2,FALSE)+VLOOKUP(VLOOKUP(AF$1,main!$A$3:$H$102,7,FALSE),main!$K$19:$O$22,MATCH(VLOOKUP($A52,main!$A$3:$H$102,8,FALSE),main!$K$18:$O$18,0))))),1,0)</f>
        <v>1</v>
      </c>
      <c r="AG52">
        <f>IF((AND(VLOOKUP(AG$1,main!$A$3:$H$102,5,FALSE)-VLOOKUP($A52,main!$A$3:$H$102,6,FALSE)&gt;=(VLOOKUP(VLOOKUP(AG$1,main!$A$3:$H$102,8,FALSE),main!$K$26:$M$29,2,FALSE)+VLOOKUP(VLOOKUP(AG$1,main!$A$3:$H$102,7,FALSE),main!$K$19:$O$22,MATCH(VLOOKUP($A52,main!$A$3:$H$102,8,FALSE),main!$K$18:$O$18,0))))),1,0)</f>
        <v>0</v>
      </c>
      <c r="AH52">
        <f>IF((AND(VLOOKUP(AH$1,main!$A$3:$H$102,5,FALSE)-VLOOKUP($A52,main!$A$3:$H$102,6,FALSE)&gt;=(VLOOKUP(VLOOKUP(AH$1,main!$A$3:$H$102,8,FALSE),main!$K$26:$M$29,2,FALSE)+VLOOKUP(VLOOKUP(AH$1,main!$A$3:$H$102,7,FALSE),main!$K$19:$O$22,MATCH(VLOOKUP($A52,main!$A$3:$H$102,8,FALSE),main!$K$18:$O$18,0))))),1,0)</f>
        <v>0</v>
      </c>
      <c r="AI52">
        <f>IF((AND(VLOOKUP(AI$1,main!$A$3:$H$102,5,FALSE)-VLOOKUP($A52,main!$A$3:$H$102,6,FALSE)&gt;=(VLOOKUP(VLOOKUP(AI$1,main!$A$3:$H$102,8,FALSE),main!$K$26:$M$29,2,FALSE)+VLOOKUP(VLOOKUP(AI$1,main!$A$3:$H$102,7,FALSE),main!$K$19:$O$22,MATCH(VLOOKUP($A52,main!$A$3:$H$102,8,FALSE),main!$K$18:$O$18,0))))),1,0)</f>
        <v>0</v>
      </c>
      <c r="AJ52">
        <f>IF((AND(VLOOKUP(AJ$1,main!$A$3:$H$102,5,FALSE)-VLOOKUP($A52,main!$A$3:$H$102,6,FALSE)&gt;=(VLOOKUP(VLOOKUP(AJ$1,main!$A$3:$H$102,8,FALSE),main!$K$26:$M$29,2,FALSE)+VLOOKUP(VLOOKUP(AJ$1,main!$A$3:$H$102,7,FALSE),main!$K$19:$O$22,MATCH(VLOOKUP($A52,main!$A$3:$H$102,8,FALSE),main!$K$18:$O$18,0))))),1,0)</f>
        <v>0</v>
      </c>
      <c r="AK52">
        <f>IF((AND(VLOOKUP(AK$1,main!$A$3:$H$102,5,FALSE)-VLOOKUP($A52,main!$A$3:$H$102,6,FALSE)&gt;=(VLOOKUP(VLOOKUP(AK$1,main!$A$3:$H$102,8,FALSE),main!$K$26:$M$29,2,FALSE)+VLOOKUP(VLOOKUP(AK$1,main!$A$3:$H$102,7,FALSE),main!$K$19:$O$22,MATCH(VLOOKUP($A52,main!$A$3:$H$102,8,FALSE),main!$K$18:$O$18,0))))),1,0)</f>
        <v>0</v>
      </c>
      <c r="AL52">
        <f>IF((AND(VLOOKUP(AL$1,main!$A$3:$H$102,5,FALSE)-VLOOKUP($A52,main!$A$3:$H$102,6,FALSE)&gt;=(VLOOKUP(VLOOKUP(AL$1,main!$A$3:$H$102,8,FALSE),main!$K$26:$M$29,2,FALSE)+VLOOKUP(VLOOKUP(AL$1,main!$A$3:$H$102,7,FALSE),main!$K$19:$O$22,MATCH(VLOOKUP($A52,main!$A$3:$H$102,8,FALSE),main!$K$18:$O$18,0))))),1,0)</f>
        <v>1</v>
      </c>
      <c r="AM52">
        <f>IF((AND(VLOOKUP(AM$1,main!$A$3:$H$102,5,FALSE)-VLOOKUP($A52,main!$A$3:$H$102,6,FALSE)&gt;=(VLOOKUP(VLOOKUP(AM$1,main!$A$3:$H$102,8,FALSE),main!$K$26:$M$29,2,FALSE)+VLOOKUP(VLOOKUP(AM$1,main!$A$3:$H$102,7,FALSE),main!$K$19:$O$22,MATCH(VLOOKUP($A52,main!$A$3:$H$102,8,FALSE),main!$K$18:$O$18,0))))),1,0)</f>
        <v>1</v>
      </c>
      <c r="AN52">
        <f>IF((AND(VLOOKUP(AN$1,main!$A$3:$H$102,5,FALSE)-VLOOKUP($A52,main!$A$3:$H$102,6,FALSE)&gt;=(VLOOKUP(VLOOKUP(AN$1,main!$A$3:$H$102,8,FALSE),main!$K$26:$M$29,2,FALSE)+VLOOKUP(VLOOKUP(AN$1,main!$A$3:$H$102,7,FALSE),main!$K$19:$O$22,MATCH(VLOOKUP($A52,main!$A$3:$H$102,8,FALSE),main!$K$18:$O$18,0))))),1,0)</f>
        <v>1</v>
      </c>
      <c r="AO52">
        <f>IF((AND(VLOOKUP(AO$1,main!$A$3:$H$102,5,FALSE)-VLOOKUP($A52,main!$A$3:$H$102,6,FALSE)&gt;=(VLOOKUP(VLOOKUP(AO$1,main!$A$3:$H$102,8,FALSE),main!$K$26:$M$29,2,FALSE)+VLOOKUP(VLOOKUP(AO$1,main!$A$3:$H$102,7,FALSE),main!$K$19:$O$22,MATCH(VLOOKUP($A52,main!$A$3:$H$102,8,FALSE),main!$K$18:$O$18,0))))),1,0)</f>
        <v>0</v>
      </c>
      <c r="AP52">
        <f>IF((AND(VLOOKUP(AP$1,main!$A$3:$H$102,5,FALSE)-VLOOKUP($A52,main!$A$3:$H$102,6,FALSE)&gt;=(VLOOKUP(VLOOKUP(AP$1,main!$A$3:$H$102,8,FALSE),main!$K$26:$M$29,2,FALSE)+VLOOKUP(VLOOKUP(AP$1,main!$A$3:$H$102,7,FALSE),main!$K$19:$O$22,MATCH(VLOOKUP($A52,main!$A$3:$H$102,8,FALSE),main!$K$18:$O$18,0))))),1,0)</f>
        <v>1</v>
      </c>
      <c r="AQ52">
        <f>IF((AND(VLOOKUP(AQ$1,main!$A$3:$H$102,5,FALSE)-VLOOKUP($A52,main!$A$3:$H$102,6,FALSE)&gt;=(VLOOKUP(VLOOKUP(AQ$1,main!$A$3:$H$102,8,FALSE),main!$K$26:$M$29,2,FALSE)+VLOOKUP(VLOOKUP(AQ$1,main!$A$3:$H$102,7,FALSE),main!$K$19:$O$22,MATCH(VLOOKUP($A52,main!$A$3:$H$102,8,FALSE),main!$K$18:$O$18,0))))),1,0)</f>
        <v>0</v>
      </c>
      <c r="AR52">
        <f>IF((AND(VLOOKUP(AR$1,main!$A$3:$H$102,5,FALSE)-VLOOKUP($A52,main!$A$3:$H$102,6,FALSE)&gt;=(VLOOKUP(VLOOKUP(AR$1,main!$A$3:$H$102,8,FALSE),main!$K$26:$M$29,2,FALSE)+VLOOKUP(VLOOKUP(AR$1,main!$A$3:$H$102,7,FALSE),main!$K$19:$O$22,MATCH(VLOOKUP($A52,main!$A$3:$H$102,8,FALSE),main!$K$18:$O$18,0))))),1,0)</f>
        <v>0</v>
      </c>
      <c r="AS52">
        <f>IF((AND(VLOOKUP(AS$1,main!$A$3:$H$102,5,FALSE)-VLOOKUP($A52,main!$A$3:$H$102,6,FALSE)&gt;=(VLOOKUP(VLOOKUP(AS$1,main!$A$3:$H$102,8,FALSE),main!$K$26:$M$29,2,FALSE)+VLOOKUP(VLOOKUP(AS$1,main!$A$3:$H$102,7,FALSE),main!$K$19:$O$22,MATCH(VLOOKUP($A52,main!$A$3:$H$102,8,FALSE),main!$K$18:$O$18,0))))),1,0)</f>
        <v>0</v>
      </c>
      <c r="AT52">
        <f>IF((AND(VLOOKUP(AT$1,main!$A$3:$H$102,5,FALSE)-VLOOKUP($A52,main!$A$3:$H$102,6,FALSE)&gt;=(VLOOKUP(VLOOKUP(AT$1,main!$A$3:$H$102,8,FALSE),main!$K$26:$M$29,2,FALSE)+VLOOKUP(VLOOKUP(AT$1,main!$A$3:$H$102,7,FALSE),main!$K$19:$O$22,MATCH(VLOOKUP($A52,main!$A$3:$H$102,8,FALSE),main!$K$18:$O$18,0))))),1,0)</f>
        <v>1</v>
      </c>
      <c r="AU52">
        <f>IF((AND(VLOOKUP(AU$1,main!$A$3:$H$102,5,FALSE)-VLOOKUP($A52,main!$A$3:$H$102,6,FALSE)&gt;=(VLOOKUP(VLOOKUP(AU$1,main!$A$3:$H$102,8,FALSE),main!$K$26:$M$29,2,FALSE)+VLOOKUP(VLOOKUP(AU$1,main!$A$3:$H$102,7,FALSE),main!$K$19:$O$22,MATCH(VLOOKUP($A52,main!$A$3:$H$102,8,FALSE),main!$K$18:$O$18,0))))),1,0)</f>
        <v>0</v>
      </c>
      <c r="AV52">
        <f>IF((AND(VLOOKUP(AV$1,main!$A$3:$H$102,5,FALSE)-VLOOKUP($A52,main!$A$3:$H$102,6,FALSE)&gt;=(VLOOKUP(VLOOKUP(AV$1,main!$A$3:$H$102,8,FALSE),main!$K$26:$M$29,2,FALSE)+VLOOKUP(VLOOKUP(AV$1,main!$A$3:$H$102,7,FALSE),main!$K$19:$O$22,MATCH(VLOOKUP($A52,main!$A$3:$H$102,8,FALSE),main!$K$18:$O$18,0))))),1,0)</f>
        <v>0</v>
      </c>
      <c r="AW52">
        <f>IF((AND(VLOOKUP(AW$1,main!$A$3:$H$102,5,FALSE)-VLOOKUP($A52,main!$A$3:$H$102,6,FALSE)&gt;=(VLOOKUP(VLOOKUP(AW$1,main!$A$3:$H$102,8,FALSE),main!$K$26:$M$29,2,FALSE)+VLOOKUP(VLOOKUP(AW$1,main!$A$3:$H$102,7,FALSE),main!$K$19:$O$22,MATCH(VLOOKUP($A52,main!$A$3:$H$102,8,FALSE),main!$K$18:$O$18,0))))),1,0)</f>
        <v>0</v>
      </c>
      <c r="AX52">
        <f>IF((AND(VLOOKUP(AX$1,main!$A$3:$H$102,5,FALSE)-VLOOKUP($A52,main!$A$3:$H$102,6,FALSE)&gt;=(VLOOKUP(VLOOKUP(AX$1,main!$A$3:$H$102,8,FALSE),main!$K$26:$M$29,2,FALSE)+VLOOKUP(VLOOKUP(AX$1,main!$A$3:$H$102,7,FALSE),main!$K$19:$O$22,MATCH(VLOOKUP($A52,main!$A$3:$H$102,8,FALSE),main!$K$18:$O$18,0))))),1,0)</f>
        <v>0</v>
      </c>
      <c r="AY52">
        <f>IF((AND(VLOOKUP(AY$1,main!$A$3:$H$102,5,FALSE)-VLOOKUP($A52,main!$A$3:$H$102,6,FALSE)&gt;=(VLOOKUP(VLOOKUP(AY$1,main!$A$3:$H$102,8,FALSE),main!$K$26:$M$29,2,FALSE)+VLOOKUP(VLOOKUP(AY$1,main!$A$3:$H$102,7,FALSE),main!$K$19:$O$22,MATCH(VLOOKUP($A52,main!$A$3:$H$102,8,FALSE),main!$K$18:$O$18,0))))),1,0)</f>
        <v>0</v>
      </c>
      <c r="AZ52">
        <f>IF((AND(VLOOKUP(AZ$1,main!$A$3:$H$102,5,FALSE)-VLOOKUP($A52,main!$A$3:$H$102,6,FALSE)&gt;=(VLOOKUP(VLOOKUP(AZ$1,main!$A$3:$H$102,8,FALSE),main!$K$26:$M$29,2,FALSE)+VLOOKUP(VLOOKUP(AZ$1,main!$A$3:$H$102,7,FALSE),main!$K$19:$O$22,MATCH(VLOOKUP($A52,main!$A$3:$H$102,8,FALSE),main!$K$18:$O$18,0))))),1,0)</f>
        <v>0</v>
      </c>
      <c r="BA52">
        <f>IF((AND(VLOOKUP(BA$1,main!$A$3:$H$102,5,FALSE)-VLOOKUP($A52,main!$A$3:$H$102,6,FALSE)&gt;=(VLOOKUP(VLOOKUP(BA$1,main!$A$3:$H$102,8,FALSE),main!$K$26:$M$29,2,FALSE)+VLOOKUP(VLOOKUP(BA$1,main!$A$3:$H$102,7,FALSE),main!$K$19:$O$22,MATCH(VLOOKUP($A52,main!$A$3:$H$102,8,FALSE),main!$K$18:$O$18,0))))),1,0)</f>
        <v>0</v>
      </c>
      <c r="BB52">
        <f>IF((AND(VLOOKUP(BB$1,main!$A$3:$H$102,5,FALSE)-VLOOKUP($A52,main!$A$3:$H$102,6,FALSE)&gt;=(VLOOKUP(VLOOKUP(BB$1,main!$A$3:$H$102,8,FALSE),main!$K$26:$M$29,2,FALSE)+VLOOKUP(VLOOKUP(BB$1,main!$A$3:$H$102,7,FALSE),main!$K$19:$O$22,MATCH(VLOOKUP($A52,main!$A$3:$H$102,8,FALSE),main!$K$18:$O$18,0))))),1,0)</f>
        <v>0</v>
      </c>
      <c r="BC52">
        <f>IF((AND(VLOOKUP(BC$1,main!$A$3:$H$102,5,FALSE)-VLOOKUP($A52,main!$A$3:$H$102,6,FALSE)&gt;=(VLOOKUP(VLOOKUP(BC$1,main!$A$3:$H$102,8,FALSE),main!$K$26:$M$29,2,FALSE)+VLOOKUP(VLOOKUP(BC$1,main!$A$3:$H$102,7,FALSE),main!$K$19:$O$22,MATCH(VLOOKUP($A52,main!$A$3:$H$102,8,FALSE),main!$K$18:$O$18,0))))),1,0)</f>
        <v>0</v>
      </c>
      <c r="BD52">
        <f>IF((AND(VLOOKUP(BD$1,main!$A$3:$H$102,5,FALSE)-VLOOKUP($A52,main!$A$3:$H$102,6,FALSE)&gt;=(VLOOKUP(VLOOKUP(BD$1,main!$A$3:$H$102,8,FALSE),main!$K$26:$M$29,2,FALSE)+VLOOKUP(VLOOKUP(BD$1,main!$A$3:$H$102,7,FALSE),main!$K$19:$O$22,MATCH(VLOOKUP($A52,main!$A$3:$H$102,8,FALSE),main!$K$18:$O$18,0))))),1,0)</f>
        <v>1</v>
      </c>
      <c r="BE52">
        <f>IF((AND(VLOOKUP(BE$1,main!$A$3:$H$102,5,FALSE)-VLOOKUP($A52,main!$A$3:$H$102,6,FALSE)&gt;=(VLOOKUP(VLOOKUP(BE$1,main!$A$3:$H$102,8,FALSE),main!$K$26:$M$29,2,FALSE)+VLOOKUP(VLOOKUP(BE$1,main!$A$3:$H$102,7,FALSE),main!$K$19:$O$22,MATCH(VLOOKUP($A52,main!$A$3:$H$102,8,FALSE),main!$K$18:$O$18,0))))),1,0)</f>
        <v>1</v>
      </c>
      <c r="BF52">
        <f>IF((AND(VLOOKUP(BF$1,main!$A$3:$H$102,5,FALSE)-VLOOKUP($A52,main!$A$3:$H$102,6,FALSE)&gt;=(VLOOKUP(VLOOKUP(BF$1,main!$A$3:$H$102,8,FALSE),main!$K$26:$M$29,2,FALSE)+VLOOKUP(VLOOKUP(BF$1,main!$A$3:$H$102,7,FALSE),main!$K$19:$O$22,MATCH(VLOOKUP($A52,main!$A$3:$H$102,8,FALSE),main!$K$18:$O$18,0))))),1,0)</f>
        <v>0</v>
      </c>
      <c r="BG52">
        <f>IF((AND(VLOOKUP(BG$1,main!$A$3:$H$102,5,FALSE)-VLOOKUP($A52,main!$A$3:$H$102,6,FALSE)&gt;=(VLOOKUP(VLOOKUP(BG$1,main!$A$3:$H$102,8,FALSE),main!$K$26:$M$29,2,FALSE)+VLOOKUP(VLOOKUP(BG$1,main!$A$3:$H$102,7,FALSE),main!$K$19:$O$22,MATCH(VLOOKUP($A52,main!$A$3:$H$102,8,FALSE),main!$K$18:$O$18,0))))),1,0)</f>
        <v>0</v>
      </c>
      <c r="BH52">
        <f>IF((AND(VLOOKUP(BH$1,main!$A$3:$H$102,5,FALSE)-VLOOKUP($A52,main!$A$3:$H$102,6,FALSE)&gt;=(VLOOKUP(VLOOKUP(BH$1,main!$A$3:$H$102,8,FALSE),main!$K$26:$M$29,2,FALSE)+VLOOKUP(VLOOKUP(BH$1,main!$A$3:$H$102,7,FALSE),main!$K$19:$O$22,MATCH(VLOOKUP($A52,main!$A$3:$H$102,8,FALSE),main!$K$18:$O$18,0))))),1,0)</f>
        <v>0</v>
      </c>
      <c r="BI52">
        <f>IF((AND(VLOOKUP(BI$1,main!$A$3:$H$102,5,FALSE)-VLOOKUP($A52,main!$A$3:$H$102,6,FALSE)&gt;=(VLOOKUP(VLOOKUP(BI$1,main!$A$3:$H$102,8,FALSE),main!$K$26:$M$29,2,FALSE)+VLOOKUP(VLOOKUP(BI$1,main!$A$3:$H$102,7,FALSE),main!$K$19:$O$22,MATCH(VLOOKUP($A52,main!$A$3:$H$102,8,FALSE),main!$K$18:$O$18,0))))),1,0)</f>
        <v>1</v>
      </c>
      <c r="BJ52">
        <f>IF((AND(VLOOKUP(BJ$1,main!$A$3:$H$102,5,FALSE)-VLOOKUP($A52,main!$A$3:$H$102,6,FALSE)&gt;=(VLOOKUP(VLOOKUP(BJ$1,main!$A$3:$H$102,8,FALSE),main!$K$26:$M$29,2,FALSE)+VLOOKUP(VLOOKUP(BJ$1,main!$A$3:$H$102,7,FALSE),main!$K$19:$O$22,MATCH(VLOOKUP($A52,main!$A$3:$H$102,8,FALSE),main!$K$18:$O$18,0))))),1,0)</f>
        <v>1</v>
      </c>
      <c r="BK52">
        <f>IF((AND(VLOOKUP(BK$1,main!$A$3:$H$102,5,FALSE)-VLOOKUP($A52,main!$A$3:$H$102,6,FALSE)&gt;=(VLOOKUP(VLOOKUP(BK$1,main!$A$3:$H$102,8,FALSE),main!$K$26:$M$29,2,FALSE)+VLOOKUP(VLOOKUP(BK$1,main!$A$3:$H$102,7,FALSE),main!$K$19:$O$22,MATCH(VLOOKUP($A52,main!$A$3:$H$102,8,FALSE),main!$K$18:$O$18,0))))),1,0)</f>
        <v>0</v>
      </c>
      <c r="BL52">
        <f>IF((AND(VLOOKUP(BL$1,main!$A$3:$H$102,5,FALSE)-VLOOKUP($A52,main!$A$3:$H$102,6,FALSE)&gt;=(VLOOKUP(VLOOKUP(BL$1,main!$A$3:$H$102,8,FALSE),main!$K$26:$M$29,2,FALSE)+VLOOKUP(VLOOKUP(BL$1,main!$A$3:$H$102,7,FALSE),main!$K$19:$O$22,MATCH(VLOOKUP($A52,main!$A$3:$H$102,8,FALSE),main!$K$18:$O$18,0))))),1,0)</f>
        <v>0</v>
      </c>
      <c r="BM52">
        <f>IF((AND(VLOOKUP(BM$1,main!$A$3:$H$102,5,FALSE)-VLOOKUP($A52,main!$A$3:$H$102,6,FALSE)&gt;=(VLOOKUP(VLOOKUP(BM$1,main!$A$3:$H$102,8,FALSE),main!$K$26:$M$29,2,FALSE)+VLOOKUP(VLOOKUP(BM$1,main!$A$3:$H$102,7,FALSE),main!$K$19:$O$22,MATCH(VLOOKUP($A52,main!$A$3:$H$102,8,FALSE),main!$K$18:$O$18,0))))),1,0)</f>
        <v>0</v>
      </c>
      <c r="BN52">
        <f>IF((AND(VLOOKUP(BN$1,main!$A$3:$H$102,5,FALSE)-VLOOKUP($A52,main!$A$3:$H$102,6,FALSE)&gt;=(VLOOKUP(VLOOKUP(BN$1,main!$A$3:$H$102,8,FALSE),main!$K$26:$M$29,2,FALSE)+VLOOKUP(VLOOKUP(BN$1,main!$A$3:$H$102,7,FALSE),main!$K$19:$O$22,MATCH(VLOOKUP($A52,main!$A$3:$H$102,8,FALSE),main!$K$18:$O$18,0))))),1,0)</f>
        <v>1</v>
      </c>
      <c r="BO52">
        <f>IF((AND(VLOOKUP(BO$1,main!$A$3:$H$102,5,FALSE)-VLOOKUP($A52,main!$A$3:$H$102,6,FALSE)&gt;=(VLOOKUP(VLOOKUP(BO$1,main!$A$3:$H$102,8,FALSE),main!$K$26:$M$29,2,FALSE)+VLOOKUP(VLOOKUP(BO$1,main!$A$3:$H$102,7,FALSE),main!$K$19:$O$22,MATCH(VLOOKUP($A52,main!$A$3:$H$102,8,FALSE),main!$K$18:$O$18,0))))),1,0)</f>
        <v>0</v>
      </c>
      <c r="BP52">
        <f>IF((AND(VLOOKUP(BP$1,main!$A$3:$H$102,5,FALSE)-VLOOKUP($A52,main!$A$3:$H$102,6,FALSE)&gt;=(VLOOKUP(VLOOKUP(BP$1,main!$A$3:$H$102,8,FALSE),main!$K$26:$M$29,2,FALSE)+VLOOKUP(VLOOKUP(BP$1,main!$A$3:$H$102,7,FALSE),main!$K$19:$O$22,MATCH(VLOOKUP($A52,main!$A$3:$H$102,8,FALSE),main!$K$18:$O$18,0))))),1,0)</f>
        <v>0</v>
      </c>
      <c r="BQ52">
        <f>IF((AND(VLOOKUP(BQ$1,main!$A$3:$H$102,5,FALSE)-VLOOKUP($A52,main!$A$3:$H$102,6,FALSE)&gt;=(VLOOKUP(VLOOKUP(BQ$1,main!$A$3:$H$102,8,FALSE),main!$K$26:$M$29,2,FALSE)+VLOOKUP(VLOOKUP(BQ$1,main!$A$3:$H$102,7,FALSE),main!$K$19:$O$22,MATCH(VLOOKUP($A52,main!$A$3:$H$102,8,FALSE),main!$K$18:$O$18,0))))),1,0)</f>
        <v>0</v>
      </c>
      <c r="BR52">
        <f>IF((AND(VLOOKUP(BR$1,main!$A$3:$H$102,5,FALSE)-VLOOKUP($A52,main!$A$3:$H$102,6,FALSE)&gt;=(VLOOKUP(VLOOKUP(BR$1,main!$A$3:$H$102,8,FALSE),main!$K$26:$M$29,2,FALSE)+VLOOKUP(VLOOKUP(BR$1,main!$A$3:$H$102,7,FALSE),main!$K$19:$O$22,MATCH(VLOOKUP($A52,main!$A$3:$H$102,8,FALSE),main!$K$18:$O$18,0))))),1,0)</f>
        <v>0</v>
      </c>
      <c r="BS52">
        <f>IF((AND(VLOOKUP(BS$1,main!$A$3:$H$102,5,FALSE)-VLOOKUP($A52,main!$A$3:$H$102,6,FALSE)&gt;=(VLOOKUP(VLOOKUP(BS$1,main!$A$3:$H$102,8,FALSE),main!$K$26:$M$29,2,FALSE)+VLOOKUP(VLOOKUP(BS$1,main!$A$3:$H$102,7,FALSE),main!$K$19:$O$22,MATCH(VLOOKUP($A52,main!$A$3:$H$102,8,FALSE),main!$K$18:$O$18,0))))),1,0)</f>
        <v>0</v>
      </c>
      <c r="BT52">
        <f>IF((AND(VLOOKUP(BT$1,main!$A$3:$H$102,5,FALSE)-VLOOKUP($A52,main!$A$3:$H$102,6,FALSE)&gt;=(VLOOKUP(VLOOKUP(BT$1,main!$A$3:$H$102,8,FALSE),main!$K$26:$M$29,2,FALSE)+VLOOKUP(VLOOKUP(BT$1,main!$A$3:$H$102,7,FALSE),main!$K$19:$O$22,MATCH(VLOOKUP($A52,main!$A$3:$H$102,8,FALSE),main!$K$18:$O$18,0))))),1,0)</f>
        <v>0</v>
      </c>
      <c r="BU52">
        <f>IF((AND(VLOOKUP(BU$1,main!$A$3:$H$102,5,FALSE)-VLOOKUP($A52,main!$A$3:$H$102,6,FALSE)&gt;=(VLOOKUP(VLOOKUP(BU$1,main!$A$3:$H$102,8,FALSE),main!$K$26:$M$29,2,FALSE)+VLOOKUP(VLOOKUP(BU$1,main!$A$3:$H$102,7,FALSE),main!$K$19:$O$22,MATCH(VLOOKUP($A52,main!$A$3:$H$102,8,FALSE),main!$K$18:$O$18,0))))),1,0)</f>
        <v>0</v>
      </c>
      <c r="BV52">
        <f>IF((AND(VLOOKUP(BV$1,main!$A$3:$H$102,5,FALSE)-VLOOKUP($A52,main!$A$3:$H$102,6,FALSE)&gt;=(VLOOKUP(VLOOKUP(BV$1,main!$A$3:$H$102,8,FALSE),main!$K$26:$M$29,2,FALSE)+VLOOKUP(VLOOKUP(BV$1,main!$A$3:$H$102,7,FALSE),main!$K$19:$O$22,MATCH(VLOOKUP($A52,main!$A$3:$H$102,8,FALSE),main!$K$18:$O$18,0))))),1,0)</f>
        <v>0</v>
      </c>
      <c r="BW52">
        <f>IF((AND(VLOOKUP(BW$1,main!$A$3:$H$102,5,FALSE)-VLOOKUP($A52,main!$A$3:$H$102,6,FALSE)&gt;=(VLOOKUP(VLOOKUP(BW$1,main!$A$3:$H$102,8,FALSE),main!$K$26:$M$29,2,FALSE)+VLOOKUP(VLOOKUP(BW$1,main!$A$3:$H$102,7,FALSE),main!$K$19:$O$22,MATCH(VLOOKUP($A52,main!$A$3:$H$102,8,FALSE),main!$K$18:$O$18,0))))),1,0)</f>
        <v>0</v>
      </c>
      <c r="BX52">
        <f>IF((AND(VLOOKUP(BX$1,main!$A$3:$H$102,5,FALSE)-VLOOKUP($A52,main!$A$3:$H$102,6,FALSE)&gt;=(VLOOKUP(VLOOKUP(BX$1,main!$A$3:$H$102,8,FALSE),main!$K$26:$M$29,2,FALSE)+VLOOKUP(VLOOKUP(BX$1,main!$A$3:$H$102,7,FALSE),main!$K$19:$O$22,MATCH(VLOOKUP($A52,main!$A$3:$H$102,8,FALSE),main!$K$18:$O$18,0))))),1,0)</f>
        <v>0</v>
      </c>
      <c r="BY52">
        <f>IF((AND(VLOOKUP(BY$1,main!$A$3:$H$102,5,FALSE)-VLOOKUP($A52,main!$A$3:$H$102,6,FALSE)&gt;=(VLOOKUP(VLOOKUP(BY$1,main!$A$3:$H$102,8,FALSE),main!$K$26:$M$29,2,FALSE)+VLOOKUP(VLOOKUP(BY$1,main!$A$3:$H$102,7,FALSE),main!$K$19:$O$22,MATCH(VLOOKUP($A52,main!$A$3:$H$102,8,FALSE),main!$K$18:$O$18,0))))),1,0)</f>
        <v>0</v>
      </c>
      <c r="BZ52">
        <f>IF((AND(VLOOKUP(BZ$1,main!$A$3:$H$102,5,FALSE)-VLOOKUP($A52,main!$A$3:$H$102,6,FALSE)&gt;=(VLOOKUP(VLOOKUP(BZ$1,main!$A$3:$H$102,8,FALSE),main!$K$26:$M$29,2,FALSE)+VLOOKUP(VLOOKUP(BZ$1,main!$A$3:$H$102,7,FALSE),main!$K$19:$O$22,MATCH(VLOOKUP($A52,main!$A$3:$H$102,8,FALSE),main!$K$18:$O$18,0))))),1,0)</f>
        <v>0</v>
      </c>
      <c r="CA52">
        <f>IF((AND(VLOOKUP(CA$1,main!$A$3:$H$102,5,FALSE)-VLOOKUP($A52,main!$A$3:$H$102,6,FALSE)&gt;=(VLOOKUP(VLOOKUP(CA$1,main!$A$3:$H$102,8,FALSE),main!$K$26:$M$29,2,FALSE)+VLOOKUP(VLOOKUP(CA$1,main!$A$3:$H$102,7,FALSE),main!$K$19:$O$22,MATCH(VLOOKUP($A52,main!$A$3:$H$102,8,FALSE),main!$K$18:$O$18,0))))),1,0)</f>
        <v>0</v>
      </c>
      <c r="CB52">
        <f>IF((AND(VLOOKUP(CB$1,main!$A$3:$H$102,5,FALSE)-VLOOKUP($A52,main!$A$3:$H$102,6,FALSE)&gt;=(VLOOKUP(VLOOKUP(CB$1,main!$A$3:$H$102,8,FALSE),main!$K$26:$M$29,2,FALSE)+VLOOKUP(VLOOKUP(CB$1,main!$A$3:$H$102,7,FALSE),main!$K$19:$O$22,MATCH(VLOOKUP($A52,main!$A$3:$H$102,8,FALSE),main!$K$18:$O$18,0))))),1,0)</f>
        <v>1</v>
      </c>
      <c r="CC52">
        <f>IF((AND(VLOOKUP(CC$1,main!$A$3:$H$102,5,FALSE)-VLOOKUP($A52,main!$A$3:$H$102,6,FALSE)&gt;=(VLOOKUP(VLOOKUP(CC$1,main!$A$3:$H$102,8,FALSE),main!$K$26:$M$29,2,FALSE)+VLOOKUP(VLOOKUP(CC$1,main!$A$3:$H$102,7,FALSE),main!$K$19:$O$22,MATCH(VLOOKUP($A52,main!$A$3:$H$102,8,FALSE),main!$K$18:$O$18,0))))),1,0)</f>
        <v>1</v>
      </c>
      <c r="CD52">
        <f>IF((AND(VLOOKUP(CD$1,main!$A$3:$H$102,5,FALSE)-VLOOKUP($A52,main!$A$3:$H$102,6,FALSE)&gt;=(VLOOKUP(VLOOKUP(CD$1,main!$A$3:$H$102,8,FALSE),main!$K$26:$M$29,2,FALSE)+VLOOKUP(VLOOKUP(CD$1,main!$A$3:$H$102,7,FALSE),main!$K$19:$O$22,MATCH(VLOOKUP($A52,main!$A$3:$H$102,8,FALSE),main!$K$18:$O$18,0))))),1,0)</f>
        <v>0</v>
      </c>
      <c r="CE52">
        <f>IF((AND(VLOOKUP(CE$1,main!$A$3:$H$102,5,FALSE)-VLOOKUP($A52,main!$A$3:$H$102,6,FALSE)&gt;=(VLOOKUP(VLOOKUP(CE$1,main!$A$3:$H$102,8,FALSE),main!$K$26:$M$29,2,FALSE)+VLOOKUP(VLOOKUP(CE$1,main!$A$3:$H$102,7,FALSE),main!$K$19:$O$22,MATCH(VLOOKUP($A52,main!$A$3:$H$102,8,FALSE),main!$K$18:$O$18,0))))),1,0)</f>
        <v>0</v>
      </c>
      <c r="CF52">
        <f>IF((AND(VLOOKUP(CF$1,main!$A$3:$H$102,5,FALSE)-VLOOKUP($A52,main!$A$3:$H$102,6,FALSE)&gt;=(VLOOKUP(VLOOKUP(CF$1,main!$A$3:$H$102,8,FALSE),main!$K$26:$M$29,2,FALSE)+VLOOKUP(VLOOKUP(CF$1,main!$A$3:$H$102,7,FALSE),main!$K$19:$O$22,MATCH(VLOOKUP($A52,main!$A$3:$H$102,8,FALSE),main!$K$18:$O$18,0))))),1,0)</f>
        <v>0</v>
      </c>
      <c r="CG52">
        <f>IF((AND(VLOOKUP(CG$1,main!$A$3:$H$102,5,FALSE)-VLOOKUP($A52,main!$A$3:$H$102,6,FALSE)&gt;=(VLOOKUP(VLOOKUP(CG$1,main!$A$3:$H$102,8,FALSE),main!$K$26:$M$29,2,FALSE)+VLOOKUP(VLOOKUP(CG$1,main!$A$3:$H$102,7,FALSE),main!$K$19:$O$22,MATCH(VLOOKUP($A52,main!$A$3:$H$102,8,FALSE),main!$K$18:$O$18,0))))),1,0)</f>
        <v>0</v>
      </c>
      <c r="CH52">
        <f>IF((AND(VLOOKUP(CH$1,main!$A$3:$H$102,5,FALSE)-VLOOKUP($A52,main!$A$3:$H$102,6,FALSE)&gt;=(VLOOKUP(VLOOKUP(CH$1,main!$A$3:$H$102,8,FALSE),main!$K$26:$M$29,2,FALSE)+VLOOKUP(VLOOKUP(CH$1,main!$A$3:$H$102,7,FALSE),main!$K$19:$O$22,MATCH(VLOOKUP($A52,main!$A$3:$H$102,8,FALSE),main!$K$18:$O$18,0))))),1,0)</f>
        <v>1</v>
      </c>
      <c r="CI52">
        <f>IF((AND(VLOOKUP(CI$1,main!$A$3:$H$102,5,FALSE)-VLOOKUP($A52,main!$A$3:$H$102,6,FALSE)&gt;=(VLOOKUP(VLOOKUP(CI$1,main!$A$3:$H$102,8,FALSE),main!$K$26:$M$29,2,FALSE)+VLOOKUP(VLOOKUP(CI$1,main!$A$3:$H$102,7,FALSE),main!$K$19:$O$22,MATCH(VLOOKUP($A52,main!$A$3:$H$102,8,FALSE),main!$K$18:$O$18,0))))),1,0)</f>
        <v>1</v>
      </c>
      <c r="CJ52">
        <f>IF((AND(VLOOKUP(CJ$1,main!$A$3:$H$102,5,FALSE)-VLOOKUP($A52,main!$A$3:$H$102,6,FALSE)&gt;=(VLOOKUP(VLOOKUP(CJ$1,main!$A$3:$H$102,8,FALSE),main!$K$26:$M$29,2,FALSE)+VLOOKUP(VLOOKUP(CJ$1,main!$A$3:$H$102,7,FALSE),main!$K$19:$O$22,MATCH(VLOOKUP($A52,main!$A$3:$H$102,8,FALSE),main!$K$18:$O$18,0))))),1,0)</f>
        <v>0</v>
      </c>
      <c r="CK52">
        <f>IF((AND(VLOOKUP(CK$1,main!$A$3:$H$102,5,FALSE)-VLOOKUP($A52,main!$A$3:$H$102,6,FALSE)&gt;=(VLOOKUP(VLOOKUP(CK$1,main!$A$3:$H$102,8,FALSE),main!$K$26:$M$29,2,FALSE)+VLOOKUP(VLOOKUP(CK$1,main!$A$3:$H$102,7,FALSE),main!$K$19:$O$22,MATCH(VLOOKUP($A52,main!$A$3:$H$102,8,FALSE),main!$K$18:$O$18,0))))),1,0)</f>
        <v>0</v>
      </c>
      <c r="CL52">
        <f>IF((AND(VLOOKUP(CL$1,main!$A$3:$H$102,5,FALSE)-VLOOKUP($A52,main!$A$3:$H$102,6,FALSE)&gt;=(VLOOKUP(VLOOKUP(CL$1,main!$A$3:$H$102,8,FALSE),main!$K$26:$M$29,2,FALSE)+VLOOKUP(VLOOKUP(CL$1,main!$A$3:$H$102,7,FALSE),main!$K$19:$O$22,MATCH(VLOOKUP($A52,main!$A$3:$H$102,8,FALSE),main!$K$18:$O$18,0))))),1,0)</f>
        <v>0</v>
      </c>
      <c r="CM52">
        <f>IF((AND(VLOOKUP(CM$1,main!$A$3:$H$102,5,FALSE)-VLOOKUP($A52,main!$A$3:$H$102,6,FALSE)&gt;=(VLOOKUP(VLOOKUP(CM$1,main!$A$3:$H$102,8,FALSE),main!$K$26:$M$29,2,FALSE)+VLOOKUP(VLOOKUP(CM$1,main!$A$3:$H$102,7,FALSE),main!$K$19:$O$22,MATCH(VLOOKUP($A52,main!$A$3:$H$102,8,FALSE),main!$K$18:$O$18,0))))),1,0)</f>
        <v>1</v>
      </c>
      <c r="CN52">
        <f>IF((AND(VLOOKUP(CN$1,main!$A$3:$H$102,5,FALSE)-VLOOKUP($A52,main!$A$3:$H$102,6,FALSE)&gt;=(VLOOKUP(VLOOKUP(CN$1,main!$A$3:$H$102,8,FALSE),main!$K$26:$M$29,2,FALSE)+VLOOKUP(VLOOKUP(CN$1,main!$A$3:$H$102,7,FALSE),main!$K$19:$O$22,MATCH(VLOOKUP($A52,main!$A$3:$H$102,8,FALSE),main!$K$18:$O$18,0))))),1,0)</f>
        <v>1</v>
      </c>
      <c r="CO52">
        <f>IF((AND(VLOOKUP(CO$1,main!$A$3:$H$102,5,FALSE)-VLOOKUP($A52,main!$A$3:$H$102,6,FALSE)&gt;=(VLOOKUP(VLOOKUP(CO$1,main!$A$3:$H$102,8,FALSE),main!$K$26:$M$29,2,FALSE)+VLOOKUP(VLOOKUP(CO$1,main!$A$3:$H$102,7,FALSE),main!$K$19:$O$22,MATCH(VLOOKUP($A52,main!$A$3:$H$102,8,FALSE),main!$K$18:$O$18,0))))),1,0)</f>
        <v>0</v>
      </c>
      <c r="CP52">
        <f>IF((AND(VLOOKUP(CP$1,main!$A$3:$H$102,5,FALSE)-VLOOKUP($A52,main!$A$3:$H$102,6,FALSE)&gt;=(VLOOKUP(VLOOKUP(CP$1,main!$A$3:$H$102,8,FALSE),main!$K$26:$M$29,2,FALSE)+VLOOKUP(VLOOKUP(CP$1,main!$A$3:$H$102,7,FALSE),main!$K$19:$O$22,MATCH(VLOOKUP($A52,main!$A$3:$H$102,8,FALSE),main!$K$18:$O$18,0))))),1,0)</f>
        <v>0</v>
      </c>
      <c r="CQ52">
        <f>IF((AND(VLOOKUP(CQ$1,main!$A$3:$H$102,5,FALSE)-VLOOKUP($A52,main!$A$3:$H$102,6,FALSE)&gt;=(VLOOKUP(VLOOKUP(CQ$1,main!$A$3:$H$102,8,FALSE),main!$K$26:$M$29,2,FALSE)+VLOOKUP(VLOOKUP(CQ$1,main!$A$3:$H$102,7,FALSE),main!$K$19:$O$22,MATCH(VLOOKUP($A52,main!$A$3:$H$102,8,FALSE),main!$K$18:$O$18,0))))),1,0)</f>
        <v>0</v>
      </c>
      <c r="CR52">
        <f>IF((AND(VLOOKUP(CR$1,main!$A$3:$H$102,5,FALSE)-VLOOKUP($A52,main!$A$3:$H$102,6,FALSE)&gt;=(VLOOKUP(VLOOKUP(CR$1,main!$A$3:$H$102,8,FALSE),main!$K$26:$M$29,2,FALSE)+VLOOKUP(VLOOKUP(CR$1,main!$A$3:$H$102,7,FALSE),main!$K$19:$O$22,MATCH(VLOOKUP($A52,main!$A$3:$H$102,8,FALSE),main!$K$18:$O$18,0))))),1,0)</f>
        <v>1</v>
      </c>
      <c r="CS52">
        <f>IF((AND(VLOOKUP(CS$1,main!$A$3:$H$102,5,FALSE)-VLOOKUP($A52,main!$A$3:$H$102,6,FALSE)&gt;=(VLOOKUP(VLOOKUP(CS$1,main!$A$3:$H$102,8,FALSE),main!$K$26:$M$29,2,FALSE)+VLOOKUP(VLOOKUP(CS$1,main!$A$3:$H$102,7,FALSE),main!$K$19:$O$22,MATCH(VLOOKUP($A52,main!$A$3:$H$102,8,FALSE),main!$K$18:$O$18,0))))),1,0)</f>
        <v>1</v>
      </c>
      <c r="CT52">
        <f>IF((AND(VLOOKUP(CT$1,main!$A$3:$H$102,5,FALSE)-VLOOKUP($A52,main!$A$3:$H$102,6,FALSE)&gt;=(VLOOKUP(VLOOKUP(CT$1,main!$A$3:$H$102,8,FALSE),main!$K$26:$M$29,2,FALSE)+VLOOKUP(VLOOKUP(CT$1,main!$A$3:$H$102,7,FALSE),main!$K$19:$O$22,MATCH(VLOOKUP($A52,main!$A$3:$H$102,8,FALSE),main!$K$18:$O$18,0))))),1,0)</f>
        <v>0</v>
      </c>
      <c r="CU52">
        <f>IF((AND(VLOOKUP(CU$1,main!$A$3:$H$102,5,FALSE)-VLOOKUP($A52,main!$A$3:$H$102,6,FALSE)&gt;=(VLOOKUP(VLOOKUP(CU$1,main!$A$3:$H$102,8,FALSE),main!$K$26:$M$29,2,FALSE)+VLOOKUP(VLOOKUP(CU$1,main!$A$3:$H$102,7,FALSE),main!$K$19:$O$22,MATCH(VLOOKUP($A52,main!$A$3:$H$102,8,FALSE),main!$K$18:$O$18,0))))),1,0)</f>
        <v>0</v>
      </c>
      <c r="CV52">
        <f>IF((AND(VLOOKUP(CV$1,main!$A$3:$H$102,5,FALSE)-VLOOKUP($A52,main!$A$3:$H$102,6,FALSE)&gt;=(VLOOKUP(VLOOKUP(CV$1,main!$A$3:$H$102,8,FALSE),main!$K$26:$M$29,2,FALSE)+VLOOKUP(VLOOKUP(CV$1,main!$A$3:$H$102,7,FALSE),main!$K$19:$O$22,MATCH(VLOOKUP($A52,main!$A$3:$H$102,8,FALSE),main!$K$18:$O$18,0))))),1,0)</f>
        <v>0</v>
      </c>
      <c r="CW52">
        <f>IF((AND(VLOOKUP(CW$1,main!$A$3:$H$102,5,FALSE)-VLOOKUP($A52,main!$A$3:$H$102,6,FALSE)&gt;=(VLOOKUP(VLOOKUP(CW$1,main!$A$3:$H$102,8,FALSE),main!$K$26:$M$29,2,FALSE)+VLOOKUP(VLOOKUP(CW$1,main!$A$3:$H$102,7,FALSE),main!$K$19:$O$22,MATCH(VLOOKUP($A52,main!$A$3:$H$102,8,FALSE),main!$K$18:$O$18,0))))),1,0)</f>
        <v>1</v>
      </c>
      <c r="CX52">
        <f>IF((AND(VLOOKUP(CX$1,main!$A$3:$H$102,5,FALSE)-VLOOKUP($A52,main!$A$3:$H$102,6,FALSE)&gt;=(VLOOKUP(VLOOKUP(CX$1,main!$A$3:$H$102,8,FALSE),main!$K$26:$M$29,2,FALSE)+VLOOKUP(VLOOKUP(CX$1,main!$A$3:$H$102,7,FALSE),main!$K$19:$O$22,MATCH(VLOOKUP($A52,main!$A$3:$H$102,8,FALSE),main!$K$18:$O$18,0))))),1,0)</f>
        <v>1</v>
      </c>
    </row>
    <row r="53" spans="1:102" x14ac:dyDescent="0.25">
      <c r="A53" s="1">
        <v>51</v>
      </c>
      <c r="B53">
        <v>1</v>
      </c>
      <c r="C53">
        <f>IF((AND(VLOOKUP(C$1,main!$A$3:$H$102,5,FALSE)-VLOOKUP($A53,main!$A$3:$H$102,6,FALSE)&gt;=(VLOOKUP(VLOOKUP(C$1,main!$A$3:$H$102,8,FALSE),main!$K$26:$M$29,2,FALSE)+VLOOKUP(VLOOKUP(C$1,main!$A$3:$H$102,7,FALSE),main!$K$19:$O$22,MATCH(VLOOKUP($A53,main!$A$3:$H$102,8,FALSE),main!$K$18:$O$18,0))))),1,0)</f>
        <v>0</v>
      </c>
      <c r="D53">
        <f>IF((AND(VLOOKUP(D$1,main!$A$3:$H$102,5,FALSE)-VLOOKUP($A53,main!$A$3:$H$102,6,FALSE)&gt;=(VLOOKUP(VLOOKUP(D$1,main!$A$3:$H$102,8,FALSE),main!$K$26:$M$29,2,FALSE)+VLOOKUP(VLOOKUP(D$1,main!$A$3:$H$102,7,FALSE),main!$K$19:$O$22,MATCH(VLOOKUP($A53,main!$A$3:$H$102,8,FALSE),main!$K$18:$O$18,0))))),1,0)</f>
        <v>0</v>
      </c>
      <c r="E53">
        <f>IF((AND(VLOOKUP(E$1,main!$A$3:$H$102,5,FALSE)-VLOOKUP($A53,main!$A$3:$H$102,6,FALSE)&gt;=(VLOOKUP(VLOOKUP(E$1,main!$A$3:$H$102,8,FALSE),main!$K$26:$M$29,2,FALSE)+VLOOKUP(VLOOKUP(E$1,main!$A$3:$H$102,7,FALSE),main!$K$19:$O$22,MATCH(VLOOKUP($A53,main!$A$3:$H$102,8,FALSE),main!$K$18:$O$18,0))))),1,0)</f>
        <v>0</v>
      </c>
      <c r="F53">
        <f>IF((AND(VLOOKUP(F$1,main!$A$3:$H$102,5,FALSE)-VLOOKUP($A53,main!$A$3:$H$102,6,FALSE)&gt;=(VLOOKUP(VLOOKUP(F$1,main!$A$3:$H$102,8,FALSE),main!$K$26:$M$29,2,FALSE)+VLOOKUP(VLOOKUP(F$1,main!$A$3:$H$102,7,FALSE),main!$K$19:$O$22,MATCH(VLOOKUP($A53,main!$A$3:$H$102,8,FALSE),main!$K$18:$O$18,0))))),1,0)</f>
        <v>1</v>
      </c>
      <c r="G53">
        <f>IF((AND(VLOOKUP(G$1,main!$A$3:$H$102,5,FALSE)-VLOOKUP($A53,main!$A$3:$H$102,6,FALSE)&gt;=(VLOOKUP(VLOOKUP(G$1,main!$A$3:$H$102,8,FALSE),main!$K$26:$M$29,2,FALSE)+VLOOKUP(VLOOKUP(G$1,main!$A$3:$H$102,7,FALSE),main!$K$19:$O$22,MATCH(VLOOKUP($A53,main!$A$3:$H$102,8,FALSE),main!$K$18:$O$18,0))))),1,0)</f>
        <v>1</v>
      </c>
      <c r="H53">
        <f>IF((AND(VLOOKUP(H$1,main!$A$3:$H$102,5,FALSE)-VLOOKUP($A53,main!$A$3:$H$102,6,FALSE)&gt;=(VLOOKUP(VLOOKUP(H$1,main!$A$3:$H$102,8,FALSE),main!$K$26:$M$29,2,FALSE)+VLOOKUP(VLOOKUP(H$1,main!$A$3:$H$102,7,FALSE),main!$K$19:$O$22,MATCH(VLOOKUP($A53,main!$A$3:$H$102,8,FALSE),main!$K$18:$O$18,0))))),1,0)</f>
        <v>1</v>
      </c>
      <c r="I53">
        <f>IF((AND(VLOOKUP(I$1,main!$A$3:$H$102,5,FALSE)-VLOOKUP($A53,main!$A$3:$H$102,6,FALSE)&gt;=(VLOOKUP(VLOOKUP(I$1,main!$A$3:$H$102,8,FALSE),main!$K$26:$M$29,2,FALSE)+VLOOKUP(VLOOKUP(I$1,main!$A$3:$H$102,7,FALSE),main!$K$19:$O$22,MATCH(VLOOKUP($A53,main!$A$3:$H$102,8,FALSE),main!$K$18:$O$18,0))))),1,0)</f>
        <v>1</v>
      </c>
      <c r="J53">
        <f>IF((AND(VLOOKUP(J$1,main!$A$3:$H$102,5,FALSE)-VLOOKUP($A53,main!$A$3:$H$102,6,FALSE)&gt;=(VLOOKUP(VLOOKUP(J$1,main!$A$3:$H$102,8,FALSE),main!$K$26:$M$29,2,FALSE)+VLOOKUP(VLOOKUP(J$1,main!$A$3:$H$102,7,FALSE),main!$K$19:$O$22,MATCH(VLOOKUP($A53,main!$A$3:$H$102,8,FALSE),main!$K$18:$O$18,0))))),1,0)</f>
        <v>1</v>
      </c>
      <c r="K53">
        <f>IF((AND(VLOOKUP(K$1,main!$A$3:$H$102,5,FALSE)-VLOOKUP($A53,main!$A$3:$H$102,6,FALSE)&gt;=(VLOOKUP(VLOOKUP(K$1,main!$A$3:$H$102,8,FALSE),main!$K$26:$M$29,2,FALSE)+VLOOKUP(VLOOKUP(K$1,main!$A$3:$H$102,7,FALSE),main!$K$19:$O$22,MATCH(VLOOKUP($A53,main!$A$3:$H$102,8,FALSE),main!$K$18:$O$18,0))))),1,0)</f>
        <v>1</v>
      </c>
      <c r="L53">
        <f>IF((AND(VLOOKUP(L$1,main!$A$3:$H$102,5,FALSE)-VLOOKUP($A53,main!$A$3:$H$102,6,FALSE)&gt;=(VLOOKUP(VLOOKUP(L$1,main!$A$3:$H$102,8,FALSE),main!$K$26:$M$29,2,FALSE)+VLOOKUP(VLOOKUP(L$1,main!$A$3:$H$102,7,FALSE),main!$K$19:$O$22,MATCH(VLOOKUP($A53,main!$A$3:$H$102,8,FALSE),main!$K$18:$O$18,0))))),1,0)</f>
        <v>1</v>
      </c>
      <c r="M53">
        <f>IF((AND(VLOOKUP(M$1,main!$A$3:$H$102,5,FALSE)-VLOOKUP($A53,main!$A$3:$H$102,6,FALSE)&gt;=(VLOOKUP(VLOOKUP(M$1,main!$A$3:$H$102,8,FALSE),main!$K$26:$M$29,2,FALSE)+VLOOKUP(VLOOKUP(M$1,main!$A$3:$H$102,7,FALSE),main!$K$19:$O$22,MATCH(VLOOKUP($A53,main!$A$3:$H$102,8,FALSE),main!$K$18:$O$18,0))))),1,0)</f>
        <v>0</v>
      </c>
      <c r="N53">
        <f>IF((AND(VLOOKUP(N$1,main!$A$3:$H$102,5,FALSE)-VLOOKUP($A53,main!$A$3:$H$102,6,FALSE)&gt;=(VLOOKUP(VLOOKUP(N$1,main!$A$3:$H$102,8,FALSE),main!$K$26:$M$29,2,FALSE)+VLOOKUP(VLOOKUP(N$1,main!$A$3:$H$102,7,FALSE),main!$K$19:$O$22,MATCH(VLOOKUP($A53,main!$A$3:$H$102,8,FALSE),main!$K$18:$O$18,0))))),1,0)</f>
        <v>0</v>
      </c>
      <c r="O53">
        <f>IF((AND(VLOOKUP(O$1,main!$A$3:$H$102,5,FALSE)-VLOOKUP($A53,main!$A$3:$H$102,6,FALSE)&gt;=(VLOOKUP(VLOOKUP(O$1,main!$A$3:$H$102,8,FALSE),main!$K$26:$M$29,2,FALSE)+VLOOKUP(VLOOKUP(O$1,main!$A$3:$H$102,7,FALSE),main!$K$19:$O$22,MATCH(VLOOKUP($A53,main!$A$3:$H$102,8,FALSE),main!$K$18:$O$18,0))))),1,0)</f>
        <v>0</v>
      </c>
      <c r="P53">
        <f>IF((AND(VLOOKUP(P$1,main!$A$3:$H$102,5,FALSE)-VLOOKUP($A53,main!$A$3:$H$102,6,FALSE)&gt;=(VLOOKUP(VLOOKUP(P$1,main!$A$3:$H$102,8,FALSE),main!$K$26:$M$29,2,FALSE)+VLOOKUP(VLOOKUP(P$1,main!$A$3:$H$102,7,FALSE),main!$K$19:$O$22,MATCH(VLOOKUP($A53,main!$A$3:$H$102,8,FALSE),main!$K$18:$O$18,0))))),1,0)</f>
        <v>0</v>
      </c>
      <c r="Q53">
        <f>IF((AND(VLOOKUP(Q$1,main!$A$3:$H$102,5,FALSE)-VLOOKUP($A53,main!$A$3:$H$102,6,FALSE)&gt;=(VLOOKUP(VLOOKUP(Q$1,main!$A$3:$H$102,8,FALSE),main!$K$26:$M$29,2,FALSE)+VLOOKUP(VLOOKUP(Q$1,main!$A$3:$H$102,7,FALSE),main!$K$19:$O$22,MATCH(VLOOKUP($A53,main!$A$3:$H$102,8,FALSE),main!$K$18:$O$18,0))))),1,0)</f>
        <v>1</v>
      </c>
      <c r="R53">
        <f>IF((AND(VLOOKUP(R$1,main!$A$3:$H$102,5,FALSE)-VLOOKUP($A53,main!$A$3:$H$102,6,FALSE)&gt;=(VLOOKUP(VLOOKUP(R$1,main!$A$3:$H$102,8,FALSE),main!$K$26:$M$29,2,FALSE)+VLOOKUP(VLOOKUP(R$1,main!$A$3:$H$102,7,FALSE),main!$K$19:$O$22,MATCH(VLOOKUP($A53,main!$A$3:$H$102,8,FALSE),main!$K$18:$O$18,0))))),1,0)</f>
        <v>1</v>
      </c>
      <c r="S53">
        <f>IF((AND(VLOOKUP(S$1,main!$A$3:$H$102,5,FALSE)-VLOOKUP($A53,main!$A$3:$H$102,6,FALSE)&gt;=(VLOOKUP(VLOOKUP(S$1,main!$A$3:$H$102,8,FALSE),main!$K$26:$M$29,2,FALSE)+VLOOKUP(VLOOKUP(S$1,main!$A$3:$H$102,7,FALSE),main!$K$19:$O$22,MATCH(VLOOKUP($A53,main!$A$3:$H$102,8,FALSE),main!$K$18:$O$18,0))))),1,0)</f>
        <v>1</v>
      </c>
      <c r="T53">
        <f>IF((AND(VLOOKUP(T$1,main!$A$3:$H$102,5,FALSE)-VLOOKUP($A53,main!$A$3:$H$102,6,FALSE)&gt;=(VLOOKUP(VLOOKUP(T$1,main!$A$3:$H$102,8,FALSE),main!$K$26:$M$29,2,FALSE)+VLOOKUP(VLOOKUP(T$1,main!$A$3:$H$102,7,FALSE),main!$K$19:$O$22,MATCH(VLOOKUP($A53,main!$A$3:$H$102,8,FALSE),main!$K$18:$O$18,0))))),1,0)</f>
        <v>1</v>
      </c>
      <c r="U53">
        <f>IF((AND(VLOOKUP(U$1,main!$A$3:$H$102,5,FALSE)-VLOOKUP($A53,main!$A$3:$H$102,6,FALSE)&gt;=(VLOOKUP(VLOOKUP(U$1,main!$A$3:$H$102,8,FALSE),main!$K$26:$M$29,2,FALSE)+VLOOKUP(VLOOKUP(U$1,main!$A$3:$H$102,7,FALSE),main!$K$19:$O$22,MATCH(VLOOKUP($A53,main!$A$3:$H$102,8,FALSE),main!$K$18:$O$18,0))))),1,0)</f>
        <v>1</v>
      </c>
      <c r="V53">
        <f>IF((AND(VLOOKUP(V$1,main!$A$3:$H$102,5,FALSE)-VLOOKUP($A53,main!$A$3:$H$102,6,FALSE)&gt;=(VLOOKUP(VLOOKUP(V$1,main!$A$3:$H$102,8,FALSE),main!$K$26:$M$29,2,FALSE)+VLOOKUP(VLOOKUP(V$1,main!$A$3:$H$102,7,FALSE),main!$K$19:$O$22,MATCH(VLOOKUP($A53,main!$A$3:$H$102,8,FALSE),main!$K$18:$O$18,0))))),1,0)</f>
        <v>1</v>
      </c>
      <c r="W53">
        <f>IF((AND(VLOOKUP(W$1,main!$A$3:$H$102,5,FALSE)-VLOOKUP($A53,main!$A$3:$H$102,6,FALSE)&gt;=(VLOOKUP(VLOOKUP(W$1,main!$A$3:$H$102,8,FALSE),main!$K$26:$M$29,2,FALSE)+VLOOKUP(VLOOKUP(W$1,main!$A$3:$H$102,7,FALSE),main!$K$19:$O$22,MATCH(VLOOKUP($A53,main!$A$3:$H$102,8,FALSE),main!$K$18:$O$18,0))))),1,0)</f>
        <v>0</v>
      </c>
      <c r="X53">
        <f>IF((AND(VLOOKUP(X$1,main!$A$3:$H$102,5,FALSE)-VLOOKUP($A53,main!$A$3:$H$102,6,FALSE)&gt;=(VLOOKUP(VLOOKUP(X$1,main!$A$3:$H$102,8,FALSE),main!$K$26:$M$29,2,FALSE)+VLOOKUP(VLOOKUP(X$1,main!$A$3:$H$102,7,FALSE),main!$K$19:$O$22,MATCH(VLOOKUP($A53,main!$A$3:$H$102,8,FALSE),main!$K$18:$O$18,0))))),1,0)</f>
        <v>0</v>
      </c>
      <c r="Y53">
        <f>IF((AND(VLOOKUP(Y$1,main!$A$3:$H$102,5,FALSE)-VLOOKUP($A53,main!$A$3:$H$102,6,FALSE)&gt;=(VLOOKUP(VLOOKUP(Y$1,main!$A$3:$H$102,8,FALSE),main!$K$26:$M$29,2,FALSE)+VLOOKUP(VLOOKUP(Y$1,main!$A$3:$H$102,7,FALSE),main!$K$19:$O$22,MATCH(VLOOKUP($A53,main!$A$3:$H$102,8,FALSE),main!$K$18:$O$18,0))))),1,0)</f>
        <v>1</v>
      </c>
      <c r="Z53">
        <f>IF((AND(VLOOKUP(Z$1,main!$A$3:$H$102,5,FALSE)-VLOOKUP($A53,main!$A$3:$H$102,6,FALSE)&gt;=(VLOOKUP(VLOOKUP(Z$1,main!$A$3:$H$102,8,FALSE),main!$K$26:$M$29,2,FALSE)+VLOOKUP(VLOOKUP(Z$1,main!$A$3:$H$102,7,FALSE),main!$K$19:$O$22,MATCH(VLOOKUP($A53,main!$A$3:$H$102,8,FALSE),main!$K$18:$O$18,0))))),1,0)</f>
        <v>1</v>
      </c>
      <c r="AA53">
        <f>IF((AND(VLOOKUP(AA$1,main!$A$3:$H$102,5,FALSE)-VLOOKUP($A53,main!$A$3:$H$102,6,FALSE)&gt;=(VLOOKUP(VLOOKUP(AA$1,main!$A$3:$H$102,8,FALSE),main!$K$26:$M$29,2,FALSE)+VLOOKUP(VLOOKUP(AA$1,main!$A$3:$H$102,7,FALSE),main!$K$19:$O$22,MATCH(VLOOKUP($A53,main!$A$3:$H$102,8,FALSE),main!$K$18:$O$18,0))))),1,0)</f>
        <v>1</v>
      </c>
      <c r="AB53">
        <f>IF((AND(VLOOKUP(AB$1,main!$A$3:$H$102,5,FALSE)-VLOOKUP($A53,main!$A$3:$H$102,6,FALSE)&gt;=(VLOOKUP(VLOOKUP(AB$1,main!$A$3:$H$102,8,FALSE),main!$K$26:$M$29,2,FALSE)+VLOOKUP(VLOOKUP(AB$1,main!$A$3:$H$102,7,FALSE),main!$K$19:$O$22,MATCH(VLOOKUP($A53,main!$A$3:$H$102,8,FALSE),main!$K$18:$O$18,0))))),1,0)</f>
        <v>0</v>
      </c>
      <c r="AC53">
        <f>IF((AND(VLOOKUP(AC$1,main!$A$3:$H$102,5,FALSE)-VLOOKUP($A53,main!$A$3:$H$102,6,FALSE)&gt;=(VLOOKUP(VLOOKUP(AC$1,main!$A$3:$H$102,8,FALSE),main!$K$26:$M$29,2,FALSE)+VLOOKUP(VLOOKUP(AC$1,main!$A$3:$H$102,7,FALSE),main!$K$19:$O$22,MATCH(VLOOKUP($A53,main!$A$3:$H$102,8,FALSE),main!$K$18:$O$18,0))))),1,0)</f>
        <v>0</v>
      </c>
      <c r="AD53">
        <f>IF((AND(VLOOKUP(AD$1,main!$A$3:$H$102,5,FALSE)-VLOOKUP($A53,main!$A$3:$H$102,6,FALSE)&gt;=(VLOOKUP(VLOOKUP(AD$1,main!$A$3:$H$102,8,FALSE),main!$K$26:$M$29,2,FALSE)+VLOOKUP(VLOOKUP(AD$1,main!$A$3:$H$102,7,FALSE),main!$K$19:$O$22,MATCH(VLOOKUP($A53,main!$A$3:$H$102,8,FALSE),main!$K$18:$O$18,0))))),1,0)</f>
        <v>1</v>
      </c>
      <c r="AE53">
        <f>IF((AND(VLOOKUP(AE$1,main!$A$3:$H$102,5,FALSE)-VLOOKUP($A53,main!$A$3:$H$102,6,FALSE)&gt;=(VLOOKUP(VLOOKUP(AE$1,main!$A$3:$H$102,8,FALSE),main!$K$26:$M$29,2,FALSE)+VLOOKUP(VLOOKUP(AE$1,main!$A$3:$H$102,7,FALSE),main!$K$19:$O$22,MATCH(VLOOKUP($A53,main!$A$3:$H$102,8,FALSE),main!$K$18:$O$18,0))))),1,0)</f>
        <v>1</v>
      </c>
      <c r="AF53">
        <f>IF((AND(VLOOKUP(AF$1,main!$A$3:$H$102,5,FALSE)-VLOOKUP($A53,main!$A$3:$H$102,6,FALSE)&gt;=(VLOOKUP(VLOOKUP(AF$1,main!$A$3:$H$102,8,FALSE),main!$K$26:$M$29,2,FALSE)+VLOOKUP(VLOOKUP(AF$1,main!$A$3:$H$102,7,FALSE),main!$K$19:$O$22,MATCH(VLOOKUP($A53,main!$A$3:$H$102,8,FALSE),main!$K$18:$O$18,0))))),1,0)</f>
        <v>1</v>
      </c>
      <c r="AG53">
        <f>IF((AND(VLOOKUP(AG$1,main!$A$3:$H$102,5,FALSE)-VLOOKUP($A53,main!$A$3:$H$102,6,FALSE)&gt;=(VLOOKUP(VLOOKUP(AG$1,main!$A$3:$H$102,8,FALSE),main!$K$26:$M$29,2,FALSE)+VLOOKUP(VLOOKUP(AG$1,main!$A$3:$H$102,7,FALSE),main!$K$19:$O$22,MATCH(VLOOKUP($A53,main!$A$3:$H$102,8,FALSE),main!$K$18:$O$18,0))))),1,0)</f>
        <v>0</v>
      </c>
      <c r="AH53">
        <f>IF((AND(VLOOKUP(AH$1,main!$A$3:$H$102,5,FALSE)-VLOOKUP($A53,main!$A$3:$H$102,6,FALSE)&gt;=(VLOOKUP(VLOOKUP(AH$1,main!$A$3:$H$102,8,FALSE),main!$K$26:$M$29,2,FALSE)+VLOOKUP(VLOOKUP(AH$1,main!$A$3:$H$102,7,FALSE),main!$K$19:$O$22,MATCH(VLOOKUP($A53,main!$A$3:$H$102,8,FALSE),main!$K$18:$O$18,0))))),1,0)</f>
        <v>0</v>
      </c>
      <c r="AI53">
        <f>IF((AND(VLOOKUP(AI$1,main!$A$3:$H$102,5,FALSE)-VLOOKUP($A53,main!$A$3:$H$102,6,FALSE)&gt;=(VLOOKUP(VLOOKUP(AI$1,main!$A$3:$H$102,8,FALSE),main!$K$26:$M$29,2,FALSE)+VLOOKUP(VLOOKUP(AI$1,main!$A$3:$H$102,7,FALSE),main!$K$19:$O$22,MATCH(VLOOKUP($A53,main!$A$3:$H$102,8,FALSE),main!$K$18:$O$18,0))))),1,0)</f>
        <v>0</v>
      </c>
      <c r="AJ53">
        <f>IF((AND(VLOOKUP(AJ$1,main!$A$3:$H$102,5,FALSE)-VLOOKUP($A53,main!$A$3:$H$102,6,FALSE)&gt;=(VLOOKUP(VLOOKUP(AJ$1,main!$A$3:$H$102,8,FALSE),main!$K$26:$M$29,2,FALSE)+VLOOKUP(VLOOKUP(AJ$1,main!$A$3:$H$102,7,FALSE),main!$K$19:$O$22,MATCH(VLOOKUP($A53,main!$A$3:$H$102,8,FALSE),main!$K$18:$O$18,0))))),1,0)</f>
        <v>1</v>
      </c>
      <c r="AK53">
        <f>IF((AND(VLOOKUP(AK$1,main!$A$3:$H$102,5,FALSE)-VLOOKUP($A53,main!$A$3:$H$102,6,FALSE)&gt;=(VLOOKUP(VLOOKUP(AK$1,main!$A$3:$H$102,8,FALSE),main!$K$26:$M$29,2,FALSE)+VLOOKUP(VLOOKUP(AK$1,main!$A$3:$H$102,7,FALSE),main!$K$19:$O$22,MATCH(VLOOKUP($A53,main!$A$3:$H$102,8,FALSE),main!$K$18:$O$18,0))))),1,0)</f>
        <v>1</v>
      </c>
      <c r="AL53">
        <f>IF((AND(VLOOKUP(AL$1,main!$A$3:$H$102,5,FALSE)-VLOOKUP($A53,main!$A$3:$H$102,6,FALSE)&gt;=(VLOOKUP(VLOOKUP(AL$1,main!$A$3:$H$102,8,FALSE),main!$K$26:$M$29,2,FALSE)+VLOOKUP(VLOOKUP(AL$1,main!$A$3:$H$102,7,FALSE),main!$K$19:$O$22,MATCH(VLOOKUP($A53,main!$A$3:$H$102,8,FALSE),main!$K$18:$O$18,0))))),1,0)</f>
        <v>1</v>
      </c>
      <c r="AM53">
        <f>IF((AND(VLOOKUP(AM$1,main!$A$3:$H$102,5,FALSE)-VLOOKUP($A53,main!$A$3:$H$102,6,FALSE)&gt;=(VLOOKUP(VLOOKUP(AM$1,main!$A$3:$H$102,8,FALSE),main!$K$26:$M$29,2,FALSE)+VLOOKUP(VLOOKUP(AM$1,main!$A$3:$H$102,7,FALSE),main!$K$19:$O$22,MATCH(VLOOKUP($A53,main!$A$3:$H$102,8,FALSE),main!$K$18:$O$18,0))))),1,0)</f>
        <v>1</v>
      </c>
      <c r="AN53">
        <f>IF((AND(VLOOKUP(AN$1,main!$A$3:$H$102,5,FALSE)-VLOOKUP($A53,main!$A$3:$H$102,6,FALSE)&gt;=(VLOOKUP(VLOOKUP(AN$1,main!$A$3:$H$102,8,FALSE),main!$K$26:$M$29,2,FALSE)+VLOOKUP(VLOOKUP(AN$1,main!$A$3:$H$102,7,FALSE),main!$K$19:$O$22,MATCH(VLOOKUP($A53,main!$A$3:$H$102,8,FALSE),main!$K$18:$O$18,0))))),1,0)</f>
        <v>1</v>
      </c>
      <c r="AO53">
        <f>IF((AND(VLOOKUP(AO$1,main!$A$3:$H$102,5,FALSE)-VLOOKUP($A53,main!$A$3:$H$102,6,FALSE)&gt;=(VLOOKUP(VLOOKUP(AO$1,main!$A$3:$H$102,8,FALSE),main!$K$26:$M$29,2,FALSE)+VLOOKUP(VLOOKUP(AO$1,main!$A$3:$H$102,7,FALSE),main!$K$19:$O$22,MATCH(VLOOKUP($A53,main!$A$3:$H$102,8,FALSE),main!$K$18:$O$18,0))))),1,0)</f>
        <v>0</v>
      </c>
      <c r="AP53">
        <f>IF((AND(VLOOKUP(AP$1,main!$A$3:$H$102,5,FALSE)-VLOOKUP($A53,main!$A$3:$H$102,6,FALSE)&gt;=(VLOOKUP(VLOOKUP(AP$1,main!$A$3:$H$102,8,FALSE),main!$K$26:$M$29,2,FALSE)+VLOOKUP(VLOOKUP(AP$1,main!$A$3:$H$102,7,FALSE),main!$K$19:$O$22,MATCH(VLOOKUP($A53,main!$A$3:$H$102,8,FALSE),main!$K$18:$O$18,0))))),1,0)</f>
        <v>1</v>
      </c>
      <c r="AQ53">
        <f>IF((AND(VLOOKUP(AQ$1,main!$A$3:$H$102,5,FALSE)-VLOOKUP($A53,main!$A$3:$H$102,6,FALSE)&gt;=(VLOOKUP(VLOOKUP(AQ$1,main!$A$3:$H$102,8,FALSE),main!$K$26:$M$29,2,FALSE)+VLOOKUP(VLOOKUP(AQ$1,main!$A$3:$H$102,7,FALSE),main!$K$19:$O$22,MATCH(VLOOKUP($A53,main!$A$3:$H$102,8,FALSE),main!$K$18:$O$18,0))))),1,0)</f>
        <v>0</v>
      </c>
      <c r="AR53">
        <f>IF((AND(VLOOKUP(AR$1,main!$A$3:$H$102,5,FALSE)-VLOOKUP($A53,main!$A$3:$H$102,6,FALSE)&gt;=(VLOOKUP(VLOOKUP(AR$1,main!$A$3:$H$102,8,FALSE),main!$K$26:$M$29,2,FALSE)+VLOOKUP(VLOOKUP(AR$1,main!$A$3:$H$102,7,FALSE),main!$K$19:$O$22,MATCH(VLOOKUP($A53,main!$A$3:$H$102,8,FALSE),main!$K$18:$O$18,0))))),1,0)</f>
        <v>0</v>
      </c>
      <c r="AS53">
        <f>IF((AND(VLOOKUP(AS$1,main!$A$3:$H$102,5,FALSE)-VLOOKUP($A53,main!$A$3:$H$102,6,FALSE)&gt;=(VLOOKUP(VLOOKUP(AS$1,main!$A$3:$H$102,8,FALSE),main!$K$26:$M$29,2,FALSE)+VLOOKUP(VLOOKUP(AS$1,main!$A$3:$H$102,7,FALSE),main!$K$19:$O$22,MATCH(VLOOKUP($A53,main!$A$3:$H$102,8,FALSE),main!$K$18:$O$18,0))))),1,0)</f>
        <v>1</v>
      </c>
      <c r="AT53">
        <f>IF((AND(VLOOKUP(AT$1,main!$A$3:$H$102,5,FALSE)-VLOOKUP($A53,main!$A$3:$H$102,6,FALSE)&gt;=(VLOOKUP(VLOOKUP(AT$1,main!$A$3:$H$102,8,FALSE),main!$K$26:$M$29,2,FALSE)+VLOOKUP(VLOOKUP(AT$1,main!$A$3:$H$102,7,FALSE),main!$K$19:$O$22,MATCH(VLOOKUP($A53,main!$A$3:$H$102,8,FALSE),main!$K$18:$O$18,0))))),1,0)</f>
        <v>1</v>
      </c>
      <c r="AU53">
        <f>IF((AND(VLOOKUP(AU$1,main!$A$3:$H$102,5,FALSE)-VLOOKUP($A53,main!$A$3:$H$102,6,FALSE)&gt;=(VLOOKUP(VLOOKUP(AU$1,main!$A$3:$H$102,8,FALSE),main!$K$26:$M$29,2,FALSE)+VLOOKUP(VLOOKUP(AU$1,main!$A$3:$H$102,7,FALSE),main!$K$19:$O$22,MATCH(VLOOKUP($A53,main!$A$3:$H$102,8,FALSE),main!$K$18:$O$18,0))))),1,0)</f>
        <v>0</v>
      </c>
      <c r="AV53">
        <f>IF((AND(VLOOKUP(AV$1,main!$A$3:$H$102,5,FALSE)-VLOOKUP($A53,main!$A$3:$H$102,6,FALSE)&gt;=(VLOOKUP(VLOOKUP(AV$1,main!$A$3:$H$102,8,FALSE),main!$K$26:$M$29,2,FALSE)+VLOOKUP(VLOOKUP(AV$1,main!$A$3:$H$102,7,FALSE),main!$K$19:$O$22,MATCH(VLOOKUP($A53,main!$A$3:$H$102,8,FALSE),main!$K$18:$O$18,0))))),1,0)</f>
        <v>0</v>
      </c>
      <c r="AW53">
        <f>IF((AND(VLOOKUP(AW$1,main!$A$3:$H$102,5,FALSE)-VLOOKUP($A53,main!$A$3:$H$102,6,FALSE)&gt;=(VLOOKUP(VLOOKUP(AW$1,main!$A$3:$H$102,8,FALSE),main!$K$26:$M$29,2,FALSE)+VLOOKUP(VLOOKUP(AW$1,main!$A$3:$H$102,7,FALSE),main!$K$19:$O$22,MATCH(VLOOKUP($A53,main!$A$3:$H$102,8,FALSE),main!$K$18:$O$18,0))))),1,0)</f>
        <v>1</v>
      </c>
      <c r="AX53">
        <f>IF((AND(VLOOKUP(AX$1,main!$A$3:$H$102,5,FALSE)-VLOOKUP($A53,main!$A$3:$H$102,6,FALSE)&gt;=(VLOOKUP(VLOOKUP(AX$1,main!$A$3:$H$102,8,FALSE),main!$K$26:$M$29,2,FALSE)+VLOOKUP(VLOOKUP(AX$1,main!$A$3:$H$102,7,FALSE),main!$K$19:$O$22,MATCH(VLOOKUP($A53,main!$A$3:$H$102,8,FALSE),main!$K$18:$O$18,0))))),1,0)</f>
        <v>0</v>
      </c>
      <c r="AY53">
        <f>IF((AND(VLOOKUP(AY$1,main!$A$3:$H$102,5,FALSE)-VLOOKUP($A53,main!$A$3:$H$102,6,FALSE)&gt;=(VLOOKUP(VLOOKUP(AY$1,main!$A$3:$H$102,8,FALSE),main!$K$26:$M$29,2,FALSE)+VLOOKUP(VLOOKUP(AY$1,main!$A$3:$H$102,7,FALSE),main!$K$19:$O$22,MATCH(VLOOKUP($A53,main!$A$3:$H$102,8,FALSE),main!$K$18:$O$18,0))))),1,0)</f>
        <v>0</v>
      </c>
      <c r="AZ53">
        <f>IF((AND(VLOOKUP(AZ$1,main!$A$3:$H$102,5,FALSE)-VLOOKUP($A53,main!$A$3:$H$102,6,FALSE)&gt;=(VLOOKUP(VLOOKUP(AZ$1,main!$A$3:$H$102,8,FALSE),main!$K$26:$M$29,2,FALSE)+VLOOKUP(VLOOKUP(AZ$1,main!$A$3:$H$102,7,FALSE),main!$K$19:$O$22,MATCH(VLOOKUP($A53,main!$A$3:$H$102,8,FALSE),main!$K$18:$O$18,0))))),1,0)</f>
        <v>0</v>
      </c>
      <c r="BA53">
        <f>IF((AND(VLOOKUP(BA$1,main!$A$3:$H$102,5,FALSE)-VLOOKUP($A53,main!$A$3:$H$102,6,FALSE)&gt;=(VLOOKUP(VLOOKUP(BA$1,main!$A$3:$H$102,8,FALSE),main!$K$26:$M$29,2,FALSE)+VLOOKUP(VLOOKUP(BA$1,main!$A$3:$H$102,7,FALSE),main!$K$19:$O$22,MATCH(VLOOKUP($A53,main!$A$3:$H$102,8,FALSE),main!$K$18:$O$18,0))))),1,0)</f>
        <v>0</v>
      </c>
      <c r="BB53">
        <f>IF((AND(VLOOKUP(BB$1,main!$A$3:$H$102,5,FALSE)-VLOOKUP($A53,main!$A$3:$H$102,6,FALSE)&gt;=(VLOOKUP(VLOOKUP(BB$1,main!$A$3:$H$102,8,FALSE),main!$K$26:$M$29,2,FALSE)+VLOOKUP(VLOOKUP(BB$1,main!$A$3:$H$102,7,FALSE),main!$K$19:$O$22,MATCH(VLOOKUP($A53,main!$A$3:$H$102,8,FALSE),main!$K$18:$O$18,0))))),1,0)</f>
        <v>0</v>
      </c>
      <c r="BC53">
        <f>IF((AND(VLOOKUP(BC$1,main!$A$3:$H$102,5,FALSE)-VLOOKUP($A53,main!$A$3:$H$102,6,FALSE)&gt;=(VLOOKUP(VLOOKUP(BC$1,main!$A$3:$H$102,8,FALSE),main!$K$26:$M$29,2,FALSE)+VLOOKUP(VLOOKUP(BC$1,main!$A$3:$H$102,7,FALSE),main!$K$19:$O$22,MATCH(VLOOKUP($A53,main!$A$3:$H$102,8,FALSE),main!$K$18:$O$18,0))))),1,0)</f>
        <v>1</v>
      </c>
      <c r="BD53">
        <f>IF((AND(VLOOKUP(BD$1,main!$A$3:$H$102,5,FALSE)-VLOOKUP($A53,main!$A$3:$H$102,6,FALSE)&gt;=(VLOOKUP(VLOOKUP(BD$1,main!$A$3:$H$102,8,FALSE),main!$K$26:$M$29,2,FALSE)+VLOOKUP(VLOOKUP(BD$1,main!$A$3:$H$102,7,FALSE),main!$K$19:$O$22,MATCH(VLOOKUP($A53,main!$A$3:$H$102,8,FALSE),main!$K$18:$O$18,0))))),1,0)</f>
        <v>1</v>
      </c>
      <c r="BE53">
        <f>IF((AND(VLOOKUP(BE$1,main!$A$3:$H$102,5,FALSE)-VLOOKUP($A53,main!$A$3:$H$102,6,FALSE)&gt;=(VLOOKUP(VLOOKUP(BE$1,main!$A$3:$H$102,8,FALSE),main!$K$26:$M$29,2,FALSE)+VLOOKUP(VLOOKUP(BE$1,main!$A$3:$H$102,7,FALSE),main!$K$19:$O$22,MATCH(VLOOKUP($A53,main!$A$3:$H$102,8,FALSE),main!$K$18:$O$18,0))))),1,0)</f>
        <v>1</v>
      </c>
      <c r="BF53">
        <f>IF((AND(VLOOKUP(BF$1,main!$A$3:$H$102,5,FALSE)-VLOOKUP($A53,main!$A$3:$H$102,6,FALSE)&gt;=(VLOOKUP(VLOOKUP(BF$1,main!$A$3:$H$102,8,FALSE),main!$K$26:$M$29,2,FALSE)+VLOOKUP(VLOOKUP(BF$1,main!$A$3:$H$102,7,FALSE),main!$K$19:$O$22,MATCH(VLOOKUP($A53,main!$A$3:$H$102,8,FALSE),main!$K$18:$O$18,0))))),1,0)</f>
        <v>0</v>
      </c>
      <c r="BG53">
        <f>IF((AND(VLOOKUP(BG$1,main!$A$3:$H$102,5,FALSE)-VLOOKUP($A53,main!$A$3:$H$102,6,FALSE)&gt;=(VLOOKUP(VLOOKUP(BG$1,main!$A$3:$H$102,8,FALSE),main!$K$26:$M$29,2,FALSE)+VLOOKUP(VLOOKUP(BG$1,main!$A$3:$H$102,7,FALSE),main!$K$19:$O$22,MATCH(VLOOKUP($A53,main!$A$3:$H$102,8,FALSE),main!$K$18:$O$18,0))))),1,0)</f>
        <v>0</v>
      </c>
      <c r="BH53">
        <f>IF((AND(VLOOKUP(BH$1,main!$A$3:$H$102,5,FALSE)-VLOOKUP($A53,main!$A$3:$H$102,6,FALSE)&gt;=(VLOOKUP(VLOOKUP(BH$1,main!$A$3:$H$102,8,FALSE),main!$K$26:$M$29,2,FALSE)+VLOOKUP(VLOOKUP(BH$1,main!$A$3:$H$102,7,FALSE),main!$K$19:$O$22,MATCH(VLOOKUP($A53,main!$A$3:$H$102,8,FALSE),main!$K$18:$O$18,0))))),1,0)</f>
        <v>1</v>
      </c>
      <c r="BI53">
        <f>IF((AND(VLOOKUP(BI$1,main!$A$3:$H$102,5,FALSE)-VLOOKUP($A53,main!$A$3:$H$102,6,FALSE)&gt;=(VLOOKUP(VLOOKUP(BI$1,main!$A$3:$H$102,8,FALSE),main!$K$26:$M$29,2,FALSE)+VLOOKUP(VLOOKUP(BI$1,main!$A$3:$H$102,7,FALSE),main!$K$19:$O$22,MATCH(VLOOKUP($A53,main!$A$3:$H$102,8,FALSE),main!$K$18:$O$18,0))))),1,0)</f>
        <v>1</v>
      </c>
      <c r="BJ53">
        <f>IF((AND(VLOOKUP(BJ$1,main!$A$3:$H$102,5,FALSE)-VLOOKUP($A53,main!$A$3:$H$102,6,FALSE)&gt;=(VLOOKUP(VLOOKUP(BJ$1,main!$A$3:$H$102,8,FALSE),main!$K$26:$M$29,2,FALSE)+VLOOKUP(VLOOKUP(BJ$1,main!$A$3:$H$102,7,FALSE),main!$K$19:$O$22,MATCH(VLOOKUP($A53,main!$A$3:$H$102,8,FALSE),main!$K$18:$O$18,0))))),1,0)</f>
        <v>1</v>
      </c>
      <c r="BK53">
        <f>IF((AND(VLOOKUP(BK$1,main!$A$3:$H$102,5,FALSE)-VLOOKUP($A53,main!$A$3:$H$102,6,FALSE)&gt;=(VLOOKUP(VLOOKUP(BK$1,main!$A$3:$H$102,8,FALSE),main!$K$26:$M$29,2,FALSE)+VLOOKUP(VLOOKUP(BK$1,main!$A$3:$H$102,7,FALSE),main!$K$19:$O$22,MATCH(VLOOKUP($A53,main!$A$3:$H$102,8,FALSE),main!$K$18:$O$18,0))))),1,0)</f>
        <v>0</v>
      </c>
      <c r="BL53">
        <f>IF((AND(VLOOKUP(BL$1,main!$A$3:$H$102,5,FALSE)-VLOOKUP($A53,main!$A$3:$H$102,6,FALSE)&gt;=(VLOOKUP(VLOOKUP(BL$1,main!$A$3:$H$102,8,FALSE),main!$K$26:$M$29,2,FALSE)+VLOOKUP(VLOOKUP(BL$1,main!$A$3:$H$102,7,FALSE),main!$K$19:$O$22,MATCH(VLOOKUP($A53,main!$A$3:$H$102,8,FALSE),main!$K$18:$O$18,0))))),1,0)</f>
        <v>0</v>
      </c>
      <c r="BM53">
        <f>IF((AND(VLOOKUP(BM$1,main!$A$3:$H$102,5,FALSE)-VLOOKUP($A53,main!$A$3:$H$102,6,FALSE)&gt;=(VLOOKUP(VLOOKUP(BM$1,main!$A$3:$H$102,8,FALSE),main!$K$26:$M$29,2,FALSE)+VLOOKUP(VLOOKUP(BM$1,main!$A$3:$H$102,7,FALSE),main!$K$19:$O$22,MATCH(VLOOKUP($A53,main!$A$3:$H$102,8,FALSE),main!$K$18:$O$18,0))))),1,0)</f>
        <v>0</v>
      </c>
      <c r="BN53">
        <f>IF((AND(VLOOKUP(BN$1,main!$A$3:$H$102,5,FALSE)-VLOOKUP($A53,main!$A$3:$H$102,6,FALSE)&gt;=(VLOOKUP(VLOOKUP(BN$1,main!$A$3:$H$102,8,FALSE),main!$K$26:$M$29,2,FALSE)+VLOOKUP(VLOOKUP(BN$1,main!$A$3:$H$102,7,FALSE),main!$K$19:$O$22,MATCH(VLOOKUP($A53,main!$A$3:$H$102,8,FALSE),main!$K$18:$O$18,0))))),1,0)</f>
        <v>1</v>
      </c>
      <c r="BO53">
        <f>IF((AND(VLOOKUP(BO$1,main!$A$3:$H$102,5,FALSE)-VLOOKUP($A53,main!$A$3:$H$102,6,FALSE)&gt;=(VLOOKUP(VLOOKUP(BO$1,main!$A$3:$H$102,8,FALSE),main!$K$26:$M$29,2,FALSE)+VLOOKUP(VLOOKUP(BO$1,main!$A$3:$H$102,7,FALSE),main!$K$19:$O$22,MATCH(VLOOKUP($A53,main!$A$3:$H$102,8,FALSE),main!$K$18:$O$18,0))))),1,0)</f>
        <v>0</v>
      </c>
      <c r="BP53">
        <f>IF((AND(VLOOKUP(BP$1,main!$A$3:$H$102,5,FALSE)-VLOOKUP($A53,main!$A$3:$H$102,6,FALSE)&gt;=(VLOOKUP(VLOOKUP(BP$1,main!$A$3:$H$102,8,FALSE),main!$K$26:$M$29,2,FALSE)+VLOOKUP(VLOOKUP(BP$1,main!$A$3:$H$102,7,FALSE),main!$K$19:$O$22,MATCH(VLOOKUP($A53,main!$A$3:$H$102,8,FALSE),main!$K$18:$O$18,0))))),1,0)</f>
        <v>0</v>
      </c>
      <c r="BQ53">
        <f>IF((AND(VLOOKUP(BQ$1,main!$A$3:$H$102,5,FALSE)-VLOOKUP($A53,main!$A$3:$H$102,6,FALSE)&gt;=(VLOOKUP(VLOOKUP(BQ$1,main!$A$3:$H$102,8,FALSE),main!$K$26:$M$29,2,FALSE)+VLOOKUP(VLOOKUP(BQ$1,main!$A$3:$H$102,7,FALSE),main!$K$19:$O$22,MATCH(VLOOKUP($A53,main!$A$3:$H$102,8,FALSE),main!$K$18:$O$18,0))))),1,0)</f>
        <v>1</v>
      </c>
      <c r="BR53">
        <f>IF((AND(VLOOKUP(BR$1,main!$A$3:$H$102,5,FALSE)-VLOOKUP($A53,main!$A$3:$H$102,6,FALSE)&gt;=(VLOOKUP(VLOOKUP(BR$1,main!$A$3:$H$102,8,FALSE),main!$K$26:$M$29,2,FALSE)+VLOOKUP(VLOOKUP(BR$1,main!$A$3:$H$102,7,FALSE),main!$K$19:$O$22,MATCH(VLOOKUP($A53,main!$A$3:$H$102,8,FALSE),main!$K$18:$O$18,0))))),1,0)</f>
        <v>1</v>
      </c>
      <c r="BS53">
        <f>IF((AND(VLOOKUP(BS$1,main!$A$3:$H$102,5,FALSE)-VLOOKUP($A53,main!$A$3:$H$102,6,FALSE)&gt;=(VLOOKUP(VLOOKUP(BS$1,main!$A$3:$H$102,8,FALSE),main!$K$26:$M$29,2,FALSE)+VLOOKUP(VLOOKUP(BS$1,main!$A$3:$H$102,7,FALSE),main!$K$19:$O$22,MATCH(VLOOKUP($A53,main!$A$3:$H$102,8,FALSE),main!$K$18:$O$18,0))))),1,0)</f>
        <v>1</v>
      </c>
      <c r="BT53">
        <f>IF((AND(VLOOKUP(BT$1,main!$A$3:$H$102,5,FALSE)-VLOOKUP($A53,main!$A$3:$H$102,6,FALSE)&gt;=(VLOOKUP(VLOOKUP(BT$1,main!$A$3:$H$102,8,FALSE),main!$K$26:$M$29,2,FALSE)+VLOOKUP(VLOOKUP(BT$1,main!$A$3:$H$102,7,FALSE),main!$K$19:$O$22,MATCH(VLOOKUP($A53,main!$A$3:$H$102,8,FALSE),main!$K$18:$O$18,0))))),1,0)</f>
        <v>0</v>
      </c>
      <c r="BU53">
        <f>IF((AND(VLOOKUP(BU$1,main!$A$3:$H$102,5,FALSE)-VLOOKUP($A53,main!$A$3:$H$102,6,FALSE)&gt;=(VLOOKUP(VLOOKUP(BU$1,main!$A$3:$H$102,8,FALSE),main!$K$26:$M$29,2,FALSE)+VLOOKUP(VLOOKUP(BU$1,main!$A$3:$H$102,7,FALSE),main!$K$19:$O$22,MATCH(VLOOKUP($A53,main!$A$3:$H$102,8,FALSE),main!$K$18:$O$18,0))))),1,0)</f>
        <v>0</v>
      </c>
      <c r="BV53">
        <f>IF((AND(VLOOKUP(BV$1,main!$A$3:$H$102,5,FALSE)-VLOOKUP($A53,main!$A$3:$H$102,6,FALSE)&gt;=(VLOOKUP(VLOOKUP(BV$1,main!$A$3:$H$102,8,FALSE),main!$K$26:$M$29,2,FALSE)+VLOOKUP(VLOOKUP(BV$1,main!$A$3:$H$102,7,FALSE),main!$K$19:$O$22,MATCH(VLOOKUP($A53,main!$A$3:$H$102,8,FALSE),main!$K$18:$O$18,0))))),1,0)</f>
        <v>0</v>
      </c>
      <c r="BW53">
        <f>IF((AND(VLOOKUP(BW$1,main!$A$3:$H$102,5,FALSE)-VLOOKUP($A53,main!$A$3:$H$102,6,FALSE)&gt;=(VLOOKUP(VLOOKUP(BW$1,main!$A$3:$H$102,8,FALSE),main!$K$26:$M$29,2,FALSE)+VLOOKUP(VLOOKUP(BW$1,main!$A$3:$H$102,7,FALSE),main!$K$19:$O$22,MATCH(VLOOKUP($A53,main!$A$3:$H$102,8,FALSE),main!$K$18:$O$18,0))))),1,0)</f>
        <v>0</v>
      </c>
      <c r="BX53">
        <f>IF((AND(VLOOKUP(BX$1,main!$A$3:$H$102,5,FALSE)-VLOOKUP($A53,main!$A$3:$H$102,6,FALSE)&gt;=(VLOOKUP(VLOOKUP(BX$1,main!$A$3:$H$102,8,FALSE),main!$K$26:$M$29,2,FALSE)+VLOOKUP(VLOOKUP(BX$1,main!$A$3:$H$102,7,FALSE),main!$K$19:$O$22,MATCH(VLOOKUP($A53,main!$A$3:$H$102,8,FALSE),main!$K$18:$O$18,0))))),1,0)</f>
        <v>1</v>
      </c>
      <c r="BY53">
        <f>IF((AND(VLOOKUP(BY$1,main!$A$3:$H$102,5,FALSE)-VLOOKUP($A53,main!$A$3:$H$102,6,FALSE)&gt;=(VLOOKUP(VLOOKUP(BY$1,main!$A$3:$H$102,8,FALSE),main!$K$26:$M$29,2,FALSE)+VLOOKUP(VLOOKUP(BY$1,main!$A$3:$H$102,7,FALSE),main!$K$19:$O$22,MATCH(VLOOKUP($A53,main!$A$3:$H$102,8,FALSE),main!$K$18:$O$18,0))))),1,0)</f>
        <v>1</v>
      </c>
      <c r="BZ53">
        <f>IF((AND(VLOOKUP(BZ$1,main!$A$3:$H$102,5,FALSE)-VLOOKUP($A53,main!$A$3:$H$102,6,FALSE)&gt;=(VLOOKUP(VLOOKUP(BZ$1,main!$A$3:$H$102,8,FALSE),main!$K$26:$M$29,2,FALSE)+VLOOKUP(VLOOKUP(BZ$1,main!$A$3:$H$102,7,FALSE),main!$K$19:$O$22,MATCH(VLOOKUP($A53,main!$A$3:$H$102,8,FALSE),main!$K$18:$O$18,0))))),1,0)</f>
        <v>0</v>
      </c>
      <c r="CA53">
        <f>IF((AND(VLOOKUP(CA$1,main!$A$3:$H$102,5,FALSE)-VLOOKUP($A53,main!$A$3:$H$102,6,FALSE)&gt;=(VLOOKUP(VLOOKUP(CA$1,main!$A$3:$H$102,8,FALSE),main!$K$26:$M$29,2,FALSE)+VLOOKUP(VLOOKUP(CA$1,main!$A$3:$H$102,7,FALSE),main!$K$19:$O$22,MATCH(VLOOKUP($A53,main!$A$3:$H$102,8,FALSE),main!$K$18:$O$18,0))))),1,0)</f>
        <v>0</v>
      </c>
      <c r="CB53">
        <f>IF((AND(VLOOKUP(CB$1,main!$A$3:$H$102,5,FALSE)-VLOOKUP($A53,main!$A$3:$H$102,6,FALSE)&gt;=(VLOOKUP(VLOOKUP(CB$1,main!$A$3:$H$102,8,FALSE),main!$K$26:$M$29,2,FALSE)+VLOOKUP(VLOOKUP(CB$1,main!$A$3:$H$102,7,FALSE),main!$K$19:$O$22,MATCH(VLOOKUP($A53,main!$A$3:$H$102,8,FALSE),main!$K$18:$O$18,0))))),1,0)</f>
        <v>1</v>
      </c>
      <c r="CC53">
        <f>IF((AND(VLOOKUP(CC$1,main!$A$3:$H$102,5,FALSE)-VLOOKUP($A53,main!$A$3:$H$102,6,FALSE)&gt;=(VLOOKUP(VLOOKUP(CC$1,main!$A$3:$H$102,8,FALSE),main!$K$26:$M$29,2,FALSE)+VLOOKUP(VLOOKUP(CC$1,main!$A$3:$H$102,7,FALSE),main!$K$19:$O$22,MATCH(VLOOKUP($A53,main!$A$3:$H$102,8,FALSE),main!$K$18:$O$18,0))))),1,0)</f>
        <v>1</v>
      </c>
      <c r="CD53">
        <f>IF((AND(VLOOKUP(CD$1,main!$A$3:$H$102,5,FALSE)-VLOOKUP($A53,main!$A$3:$H$102,6,FALSE)&gt;=(VLOOKUP(VLOOKUP(CD$1,main!$A$3:$H$102,8,FALSE),main!$K$26:$M$29,2,FALSE)+VLOOKUP(VLOOKUP(CD$1,main!$A$3:$H$102,7,FALSE),main!$K$19:$O$22,MATCH(VLOOKUP($A53,main!$A$3:$H$102,8,FALSE),main!$K$18:$O$18,0))))),1,0)</f>
        <v>1</v>
      </c>
      <c r="CE53">
        <f>IF((AND(VLOOKUP(CE$1,main!$A$3:$H$102,5,FALSE)-VLOOKUP($A53,main!$A$3:$H$102,6,FALSE)&gt;=(VLOOKUP(VLOOKUP(CE$1,main!$A$3:$H$102,8,FALSE),main!$K$26:$M$29,2,FALSE)+VLOOKUP(VLOOKUP(CE$1,main!$A$3:$H$102,7,FALSE),main!$K$19:$O$22,MATCH(VLOOKUP($A53,main!$A$3:$H$102,8,FALSE),main!$K$18:$O$18,0))))),1,0)</f>
        <v>0</v>
      </c>
      <c r="CF53">
        <f>IF((AND(VLOOKUP(CF$1,main!$A$3:$H$102,5,FALSE)-VLOOKUP($A53,main!$A$3:$H$102,6,FALSE)&gt;=(VLOOKUP(VLOOKUP(CF$1,main!$A$3:$H$102,8,FALSE),main!$K$26:$M$29,2,FALSE)+VLOOKUP(VLOOKUP(CF$1,main!$A$3:$H$102,7,FALSE),main!$K$19:$O$22,MATCH(VLOOKUP($A53,main!$A$3:$H$102,8,FALSE),main!$K$18:$O$18,0))))),1,0)</f>
        <v>0</v>
      </c>
      <c r="CG53">
        <f>IF((AND(VLOOKUP(CG$1,main!$A$3:$H$102,5,FALSE)-VLOOKUP($A53,main!$A$3:$H$102,6,FALSE)&gt;=(VLOOKUP(VLOOKUP(CG$1,main!$A$3:$H$102,8,FALSE),main!$K$26:$M$29,2,FALSE)+VLOOKUP(VLOOKUP(CG$1,main!$A$3:$H$102,7,FALSE),main!$K$19:$O$22,MATCH(VLOOKUP($A53,main!$A$3:$H$102,8,FALSE),main!$K$18:$O$18,0))))),1,0)</f>
        <v>1</v>
      </c>
      <c r="CH53">
        <f>IF((AND(VLOOKUP(CH$1,main!$A$3:$H$102,5,FALSE)-VLOOKUP($A53,main!$A$3:$H$102,6,FALSE)&gt;=(VLOOKUP(VLOOKUP(CH$1,main!$A$3:$H$102,8,FALSE),main!$K$26:$M$29,2,FALSE)+VLOOKUP(VLOOKUP(CH$1,main!$A$3:$H$102,7,FALSE),main!$K$19:$O$22,MATCH(VLOOKUP($A53,main!$A$3:$H$102,8,FALSE),main!$K$18:$O$18,0))))),1,0)</f>
        <v>1</v>
      </c>
      <c r="CI53">
        <f>IF((AND(VLOOKUP(CI$1,main!$A$3:$H$102,5,FALSE)-VLOOKUP($A53,main!$A$3:$H$102,6,FALSE)&gt;=(VLOOKUP(VLOOKUP(CI$1,main!$A$3:$H$102,8,FALSE),main!$K$26:$M$29,2,FALSE)+VLOOKUP(VLOOKUP(CI$1,main!$A$3:$H$102,7,FALSE),main!$K$19:$O$22,MATCH(VLOOKUP($A53,main!$A$3:$H$102,8,FALSE),main!$K$18:$O$18,0))))),1,0)</f>
        <v>1</v>
      </c>
      <c r="CJ53">
        <f>IF((AND(VLOOKUP(CJ$1,main!$A$3:$H$102,5,FALSE)-VLOOKUP($A53,main!$A$3:$H$102,6,FALSE)&gt;=(VLOOKUP(VLOOKUP(CJ$1,main!$A$3:$H$102,8,FALSE),main!$K$26:$M$29,2,FALSE)+VLOOKUP(VLOOKUP(CJ$1,main!$A$3:$H$102,7,FALSE),main!$K$19:$O$22,MATCH(VLOOKUP($A53,main!$A$3:$H$102,8,FALSE),main!$K$18:$O$18,0))))),1,0)</f>
        <v>1</v>
      </c>
      <c r="CK53">
        <f>IF((AND(VLOOKUP(CK$1,main!$A$3:$H$102,5,FALSE)-VLOOKUP($A53,main!$A$3:$H$102,6,FALSE)&gt;=(VLOOKUP(VLOOKUP(CK$1,main!$A$3:$H$102,8,FALSE),main!$K$26:$M$29,2,FALSE)+VLOOKUP(VLOOKUP(CK$1,main!$A$3:$H$102,7,FALSE),main!$K$19:$O$22,MATCH(VLOOKUP($A53,main!$A$3:$H$102,8,FALSE),main!$K$18:$O$18,0))))),1,0)</f>
        <v>0</v>
      </c>
      <c r="CL53">
        <f>IF((AND(VLOOKUP(CL$1,main!$A$3:$H$102,5,FALSE)-VLOOKUP($A53,main!$A$3:$H$102,6,FALSE)&gt;=(VLOOKUP(VLOOKUP(CL$1,main!$A$3:$H$102,8,FALSE),main!$K$26:$M$29,2,FALSE)+VLOOKUP(VLOOKUP(CL$1,main!$A$3:$H$102,7,FALSE),main!$K$19:$O$22,MATCH(VLOOKUP($A53,main!$A$3:$H$102,8,FALSE),main!$K$18:$O$18,0))))),1,0)</f>
        <v>1</v>
      </c>
      <c r="CM53">
        <f>IF((AND(VLOOKUP(CM$1,main!$A$3:$H$102,5,FALSE)-VLOOKUP($A53,main!$A$3:$H$102,6,FALSE)&gt;=(VLOOKUP(VLOOKUP(CM$1,main!$A$3:$H$102,8,FALSE),main!$K$26:$M$29,2,FALSE)+VLOOKUP(VLOOKUP(CM$1,main!$A$3:$H$102,7,FALSE),main!$K$19:$O$22,MATCH(VLOOKUP($A53,main!$A$3:$H$102,8,FALSE),main!$K$18:$O$18,0))))),1,0)</f>
        <v>1</v>
      </c>
      <c r="CN53">
        <f>IF((AND(VLOOKUP(CN$1,main!$A$3:$H$102,5,FALSE)-VLOOKUP($A53,main!$A$3:$H$102,6,FALSE)&gt;=(VLOOKUP(VLOOKUP(CN$1,main!$A$3:$H$102,8,FALSE),main!$K$26:$M$29,2,FALSE)+VLOOKUP(VLOOKUP(CN$1,main!$A$3:$H$102,7,FALSE),main!$K$19:$O$22,MATCH(VLOOKUP($A53,main!$A$3:$H$102,8,FALSE),main!$K$18:$O$18,0))))),1,0)</f>
        <v>1</v>
      </c>
      <c r="CO53">
        <f>IF((AND(VLOOKUP(CO$1,main!$A$3:$H$102,5,FALSE)-VLOOKUP($A53,main!$A$3:$H$102,6,FALSE)&gt;=(VLOOKUP(VLOOKUP(CO$1,main!$A$3:$H$102,8,FALSE),main!$K$26:$M$29,2,FALSE)+VLOOKUP(VLOOKUP(CO$1,main!$A$3:$H$102,7,FALSE),main!$K$19:$O$22,MATCH(VLOOKUP($A53,main!$A$3:$H$102,8,FALSE),main!$K$18:$O$18,0))))),1,0)</f>
        <v>0</v>
      </c>
      <c r="CP53">
        <f>IF((AND(VLOOKUP(CP$1,main!$A$3:$H$102,5,FALSE)-VLOOKUP($A53,main!$A$3:$H$102,6,FALSE)&gt;=(VLOOKUP(VLOOKUP(CP$1,main!$A$3:$H$102,8,FALSE),main!$K$26:$M$29,2,FALSE)+VLOOKUP(VLOOKUP(CP$1,main!$A$3:$H$102,7,FALSE),main!$K$19:$O$22,MATCH(VLOOKUP($A53,main!$A$3:$H$102,8,FALSE),main!$K$18:$O$18,0))))),1,0)</f>
        <v>1</v>
      </c>
      <c r="CQ53">
        <f>IF((AND(VLOOKUP(CQ$1,main!$A$3:$H$102,5,FALSE)-VLOOKUP($A53,main!$A$3:$H$102,6,FALSE)&gt;=(VLOOKUP(VLOOKUP(CQ$1,main!$A$3:$H$102,8,FALSE),main!$K$26:$M$29,2,FALSE)+VLOOKUP(VLOOKUP(CQ$1,main!$A$3:$H$102,7,FALSE),main!$K$19:$O$22,MATCH(VLOOKUP($A53,main!$A$3:$H$102,8,FALSE),main!$K$18:$O$18,0))))),1,0)</f>
        <v>1</v>
      </c>
      <c r="CR53">
        <f>IF((AND(VLOOKUP(CR$1,main!$A$3:$H$102,5,FALSE)-VLOOKUP($A53,main!$A$3:$H$102,6,FALSE)&gt;=(VLOOKUP(VLOOKUP(CR$1,main!$A$3:$H$102,8,FALSE),main!$K$26:$M$29,2,FALSE)+VLOOKUP(VLOOKUP(CR$1,main!$A$3:$H$102,7,FALSE),main!$K$19:$O$22,MATCH(VLOOKUP($A53,main!$A$3:$H$102,8,FALSE),main!$K$18:$O$18,0))))),1,0)</f>
        <v>1</v>
      </c>
      <c r="CS53">
        <f>IF((AND(VLOOKUP(CS$1,main!$A$3:$H$102,5,FALSE)-VLOOKUP($A53,main!$A$3:$H$102,6,FALSE)&gt;=(VLOOKUP(VLOOKUP(CS$1,main!$A$3:$H$102,8,FALSE),main!$K$26:$M$29,2,FALSE)+VLOOKUP(VLOOKUP(CS$1,main!$A$3:$H$102,7,FALSE),main!$K$19:$O$22,MATCH(VLOOKUP($A53,main!$A$3:$H$102,8,FALSE),main!$K$18:$O$18,0))))),1,0)</f>
        <v>1</v>
      </c>
      <c r="CT53">
        <f>IF((AND(VLOOKUP(CT$1,main!$A$3:$H$102,5,FALSE)-VLOOKUP($A53,main!$A$3:$H$102,6,FALSE)&gt;=(VLOOKUP(VLOOKUP(CT$1,main!$A$3:$H$102,8,FALSE),main!$K$26:$M$29,2,FALSE)+VLOOKUP(VLOOKUP(CT$1,main!$A$3:$H$102,7,FALSE),main!$K$19:$O$22,MATCH(VLOOKUP($A53,main!$A$3:$H$102,8,FALSE),main!$K$18:$O$18,0))))),1,0)</f>
        <v>0</v>
      </c>
      <c r="CU53">
        <f>IF((AND(VLOOKUP(CU$1,main!$A$3:$H$102,5,FALSE)-VLOOKUP($A53,main!$A$3:$H$102,6,FALSE)&gt;=(VLOOKUP(VLOOKUP(CU$1,main!$A$3:$H$102,8,FALSE),main!$K$26:$M$29,2,FALSE)+VLOOKUP(VLOOKUP(CU$1,main!$A$3:$H$102,7,FALSE),main!$K$19:$O$22,MATCH(VLOOKUP($A53,main!$A$3:$H$102,8,FALSE),main!$K$18:$O$18,0))))),1,0)</f>
        <v>0</v>
      </c>
      <c r="CV53">
        <f>IF((AND(VLOOKUP(CV$1,main!$A$3:$H$102,5,FALSE)-VLOOKUP($A53,main!$A$3:$H$102,6,FALSE)&gt;=(VLOOKUP(VLOOKUP(CV$1,main!$A$3:$H$102,8,FALSE),main!$K$26:$M$29,2,FALSE)+VLOOKUP(VLOOKUP(CV$1,main!$A$3:$H$102,7,FALSE),main!$K$19:$O$22,MATCH(VLOOKUP($A53,main!$A$3:$H$102,8,FALSE),main!$K$18:$O$18,0))))),1,0)</f>
        <v>1</v>
      </c>
      <c r="CW53">
        <f>IF((AND(VLOOKUP(CW$1,main!$A$3:$H$102,5,FALSE)-VLOOKUP($A53,main!$A$3:$H$102,6,FALSE)&gt;=(VLOOKUP(VLOOKUP(CW$1,main!$A$3:$H$102,8,FALSE),main!$K$26:$M$29,2,FALSE)+VLOOKUP(VLOOKUP(CW$1,main!$A$3:$H$102,7,FALSE),main!$K$19:$O$22,MATCH(VLOOKUP($A53,main!$A$3:$H$102,8,FALSE),main!$K$18:$O$18,0))))),1,0)</f>
        <v>1</v>
      </c>
      <c r="CX53">
        <f>IF((AND(VLOOKUP(CX$1,main!$A$3:$H$102,5,FALSE)-VLOOKUP($A53,main!$A$3:$H$102,6,FALSE)&gt;=(VLOOKUP(VLOOKUP(CX$1,main!$A$3:$H$102,8,FALSE),main!$K$26:$M$29,2,FALSE)+VLOOKUP(VLOOKUP(CX$1,main!$A$3:$H$102,7,FALSE),main!$K$19:$O$22,MATCH(VLOOKUP($A53,main!$A$3:$H$102,8,FALSE),main!$K$18:$O$18,0))))),1,0)</f>
        <v>1</v>
      </c>
    </row>
    <row r="54" spans="1:102" x14ac:dyDescent="0.25">
      <c r="A54" s="1">
        <v>52</v>
      </c>
      <c r="B54">
        <v>1</v>
      </c>
      <c r="C54">
        <f>IF((AND(VLOOKUP(C$1,main!$A$3:$H$102,5,FALSE)-VLOOKUP($A54,main!$A$3:$H$102,6,FALSE)&gt;=(VLOOKUP(VLOOKUP(C$1,main!$A$3:$H$102,8,FALSE),main!$K$26:$M$29,2,FALSE)+VLOOKUP(VLOOKUP(C$1,main!$A$3:$H$102,7,FALSE),main!$K$19:$O$22,MATCH(VLOOKUP($A54,main!$A$3:$H$102,8,FALSE),main!$K$18:$O$18,0))))),1,0)</f>
        <v>0</v>
      </c>
      <c r="D54">
        <f>IF((AND(VLOOKUP(D$1,main!$A$3:$H$102,5,FALSE)-VLOOKUP($A54,main!$A$3:$H$102,6,FALSE)&gt;=(VLOOKUP(VLOOKUP(D$1,main!$A$3:$H$102,8,FALSE),main!$K$26:$M$29,2,FALSE)+VLOOKUP(VLOOKUP(D$1,main!$A$3:$H$102,7,FALSE),main!$K$19:$O$22,MATCH(VLOOKUP($A54,main!$A$3:$H$102,8,FALSE),main!$K$18:$O$18,0))))),1,0)</f>
        <v>0</v>
      </c>
      <c r="E54">
        <f>IF((AND(VLOOKUP(E$1,main!$A$3:$H$102,5,FALSE)-VLOOKUP($A54,main!$A$3:$H$102,6,FALSE)&gt;=(VLOOKUP(VLOOKUP(E$1,main!$A$3:$H$102,8,FALSE),main!$K$26:$M$29,2,FALSE)+VLOOKUP(VLOOKUP(E$1,main!$A$3:$H$102,7,FALSE),main!$K$19:$O$22,MATCH(VLOOKUP($A54,main!$A$3:$H$102,8,FALSE),main!$K$18:$O$18,0))))),1,0)</f>
        <v>0</v>
      </c>
      <c r="F54">
        <f>IF((AND(VLOOKUP(F$1,main!$A$3:$H$102,5,FALSE)-VLOOKUP($A54,main!$A$3:$H$102,6,FALSE)&gt;=(VLOOKUP(VLOOKUP(F$1,main!$A$3:$H$102,8,FALSE),main!$K$26:$M$29,2,FALSE)+VLOOKUP(VLOOKUP(F$1,main!$A$3:$H$102,7,FALSE),main!$K$19:$O$22,MATCH(VLOOKUP($A54,main!$A$3:$H$102,8,FALSE),main!$K$18:$O$18,0))))),1,0)</f>
        <v>0</v>
      </c>
      <c r="G54">
        <f>IF((AND(VLOOKUP(G$1,main!$A$3:$H$102,5,FALSE)-VLOOKUP($A54,main!$A$3:$H$102,6,FALSE)&gt;=(VLOOKUP(VLOOKUP(G$1,main!$A$3:$H$102,8,FALSE),main!$K$26:$M$29,2,FALSE)+VLOOKUP(VLOOKUP(G$1,main!$A$3:$H$102,7,FALSE),main!$K$19:$O$22,MATCH(VLOOKUP($A54,main!$A$3:$H$102,8,FALSE),main!$K$18:$O$18,0))))),1,0)</f>
        <v>0</v>
      </c>
      <c r="H54">
        <f>IF((AND(VLOOKUP(H$1,main!$A$3:$H$102,5,FALSE)-VLOOKUP($A54,main!$A$3:$H$102,6,FALSE)&gt;=(VLOOKUP(VLOOKUP(H$1,main!$A$3:$H$102,8,FALSE),main!$K$26:$M$29,2,FALSE)+VLOOKUP(VLOOKUP(H$1,main!$A$3:$H$102,7,FALSE),main!$K$19:$O$22,MATCH(VLOOKUP($A54,main!$A$3:$H$102,8,FALSE),main!$K$18:$O$18,0))))),1,0)</f>
        <v>1</v>
      </c>
      <c r="I54">
        <f>IF((AND(VLOOKUP(I$1,main!$A$3:$H$102,5,FALSE)-VLOOKUP($A54,main!$A$3:$H$102,6,FALSE)&gt;=(VLOOKUP(VLOOKUP(I$1,main!$A$3:$H$102,8,FALSE),main!$K$26:$M$29,2,FALSE)+VLOOKUP(VLOOKUP(I$1,main!$A$3:$H$102,7,FALSE),main!$K$19:$O$22,MATCH(VLOOKUP($A54,main!$A$3:$H$102,8,FALSE),main!$K$18:$O$18,0))))),1,0)</f>
        <v>1</v>
      </c>
      <c r="J54">
        <f>IF((AND(VLOOKUP(J$1,main!$A$3:$H$102,5,FALSE)-VLOOKUP($A54,main!$A$3:$H$102,6,FALSE)&gt;=(VLOOKUP(VLOOKUP(J$1,main!$A$3:$H$102,8,FALSE),main!$K$26:$M$29,2,FALSE)+VLOOKUP(VLOOKUP(J$1,main!$A$3:$H$102,7,FALSE),main!$K$19:$O$22,MATCH(VLOOKUP($A54,main!$A$3:$H$102,8,FALSE),main!$K$18:$O$18,0))))),1,0)</f>
        <v>1</v>
      </c>
      <c r="K54">
        <f>IF((AND(VLOOKUP(K$1,main!$A$3:$H$102,5,FALSE)-VLOOKUP($A54,main!$A$3:$H$102,6,FALSE)&gt;=(VLOOKUP(VLOOKUP(K$1,main!$A$3:$H$102,8,FALSE),main!$K$26:$M$29,2,FALSE)+VLOOKUP(VLOOKUP(K$1,main!$A$3:$H$102,7,FALSE),main!$K$19:$O$22,MATCH(VLOOKUP($A54,main!$A$3:$H$102,8,FALSE),main!$K$18:$O$18,0))))),1,0)</f>
        <v>1</v>
      </c>
      <c r="L54">
        <f>IF((AND(VLOOKUP(L$1,main!$A$3:$H$102,5,FALSE)-VLOOKUP($A54,main!$A$3:$H$102,6,FALSE)&gt;=(VLOOKUP(VLOOKUP(L$1,main!$A$3:$H$102,8,FALSE),main!$K$26:$M$29,2,FALSE)+VLOOKUP(VLOOKUP(L$1,main!$A$3:$H$102,7,FALSE),main!$K$19:$O$22,MATCH(VLOOKUP($A54,main!$A$3:$H$102,8,FALSE),main!$K$18:$O$18,0))))),1,0)</f>
        <v>1</v>
      </c>
      <c r="M54">
        <f>IF((AND(VLOOKUP(M$1,main!$A$3:$H$102,5,FALSE)-VLOOKUP($A54,main!$A$3:$H$102,6,FALSE)&gt;=(VLOOKUP(VLOOKUP(M$1,main!$A$3:$H$102,8,FALSE),main!$K$26:$M$29,2,FALSE)+VLOOKUP(VLOOKUP(M$1,main!$A$3:$H$102,7,FALSE),main!$K$19:$O$22,MATCH(VLOOKUP($A54,main!$A$3:$H$102,8,FALSE),main!$K$18:$O$18,0))))),1,0)</f>
        <v>0</v>
      </c>
      <c r="N54">
        <f>IF((AND(VLOOKUP(N$1,main!$A$3:$H$102,5,FALSE)-VLOOKUP($A54,main!$A$3:$H$102,6,FALSE)&gt;=(VLOOKUP(VLOOKUP(N$1,main!$A$3:$H$102,8,FALSE),main!$K$26:$M$29,2,FALSE)+VLOOKUP(VLOOKUP(N$1,main!$A$3:$H$102,7,FALSE),main!$K$19:$O$22,MATCH(VLOOKUP($A54,main!$A$3:$H$102,8,FALSE),main!$K$18:$O$18,0))))),1,0)</f>
        <v>0</v>
      </c>
      <c r="O54">
        <f>IF((AND(VLOOKUP(O$1,main!$A$3:$H$102,5,FALSE)-VLOOKUP($A54,main!$A$3:$H$102,6,FALSE)&gt;=(VLOOKUP(VLOOKUP(O$1,main!$A$3:$H$102,8,FALSE),main!$K$26:$M$29,2,FALSE)+VLOOKUP(VLOOKUP(O$1,main!$A$3:$H$102,7,FALSE),main!$K$19:$O$22,MATCH(VLOOKUP($A54,main!$A$3:$H$102,8,FALSE),main!$K$18:$O$18,0))))),1,0)</f>
        <v>0</v>
      </c>
      <c r="P54">
        <f>IF((AND(VLOOKUP(P$1,main!$A$3:$H$102,5,FALSE)-VLOOKUP($A54,main!$A$3:$H$102,6,FALSE)&gt;=(VLOOKUP(VLOOKUP(P$1,main!$A$3:$H$102,8,FALSE),main!$K$26:$M$29,2,FALSE)+VLOOKUP(VLOOKUP(P$1,main!$A$3:$H$102,7,FALSE),main!$K$19:$O$22,MATCH(VLOOKUP($A54,main!$A$3:$H$102,8,FALSE),main!$K$18:$O$18,0))))),1,0)</f>
        <v>0</v>
      </c>
      <c r="Q54">
        <f>IF((AND(VLOOKUP(Q$1,main!$A$3:$H$102,5,FALSE)-VLOOKUP($A54,main!$A$3:$H$102,6,FALSE)&gt;=(VLOOKUP(VLOOKUP(Q$1,main!$A$3:$H$102,8,FALSE),main!$K$26:$M$29,2,FALSE)+VLOOKUP(VLOOKUP(Q$1,main!$A$3:$H$102,7,FALSE),main!$K$19:$O$22,MATCH(VLOOKUP($A54,main!$A$3:$H$102,8,FALSE),main!$K$18:$O$18,0))))),1,0)</f>
        <v>0</v>
      </c>
      <c r="R54">
        <f>IF((AND(VLOOKUP(R$1,main!$A$3:$H$102,5,FALSE)-VLOOKUP($A54,main!$A$3:$H$102,6,FALSE)&gt;=(VLOOKUP(VLOOKUP(R$1,main!$A$3:$H$102,8,FALSE),main!$K$26:$M$29,2,FALSE)+VLOOKUP(VLOOKUP(R$1,main!$A$3:$H$102,7,FALSE),main!$K$19:$O$22,MATCH(VLOOKUP($A54,main!$A$3:$H$102,8,FALSE),main!$K$18:$O$18,0))))),1,0)</f>
        <v>0</v>
      </c>
      <c r="S54">
        <f>IF((AND(VLOOKUP(S$1,main!$A$3:$H$102,5,FALSE)-VLOOKUP($A54,main!$A$3:$H$102,6,FALSE)&gt;=(VLOOKUP(VLOOKUP(S$1,main!$A$3:$H$102,8,FALSE),main!$K$26:$M$29,2,FALSE)+VLOOKUP(VLOOKUP(S$1,main!$A$3:$H$102,7,FALSE),main!$K$19:$O$22,MATCH(VLOOKUP($A54,main!$A$3:$H$102,8,FALSE),main!$K$18:$O$18,0))))),1,0)</f>
        <v>1</v>
      </c>
      <c r="T54">
        <f>IF((AND(VLOOKUP(T$1,main!$A$3:$H$102,5,FALSE)-VLOOKUP($A54,main!$A$3:$H$102,6,FALSE)&gt;=(VLOOKUP(VLOOKUP(T$1,main!$A$3:$H$102,8,FALSE),main!$K$26:$M$29,2,FALSE)+VLOOKUP(VLOOKUP(T$1,main!$A$3:$H$102,7,FALSE),main!$K$19:$O$22,MATCH(VLOOKUP($A54,main!$A$3:$H$102,8,FALSE),main!$K$18:$O$18,0))))),1,0)</f>
        <v>1</v>
      </c>
      <c r="U54">
        <f>IF((AND(VLOOKUP(U$1,main!$A$3:$H$102,5,FALSE)-VLOOKUP($A54,main!$A$3:$H$102,6,FALSE)&gt;=(VLOOKUP(VLOOKUP(U$1,main!$A$3:$H$102,8,FALSE),main!$K$26:$M$29,2,FALSE)+VLOOKUP(VLOOKUP(U$1,main!$A$3:$H$102,7,FALSE),main!$K$19:$O$22,MATCH(VLOOKUP($A54,main!$A$3:$H$102,8,FALSE),main!$K$18:$O$18,0))))),1,0)</f>
        <v>1</v>
      </c>
      <c r="V54">
        <f>IF((AND(VLOOKUP(V$1,main!$A$3:$H$102,5,FALSE)-VLOOKUP($A54,main!$A$3:$H$102,6,FALSE)&gt;=(VLOOKUP(VLOOKUP(V$1,main!$A$3:$H$102,8,FALSE),main!$K$26:$M$29,2,FALSE)+VLOOKUP(VLOOKUP(V$1,main!$A$3:$H$102,7,FALSE),main!$K$19:$O$22,MATCH(VLOOKUP($A54,main!$A$3:$H$102,8,FALSE),main!$K$18:$O$18,0))))),1,0)</f>
        <v>1</v>
      </c>
      <c r="W54">
        <f>IF((AND(VLOOKUP(W$1,main!$A$3:$H$102,5,FALSE)-VLOOKUP($A54,main!$A$3:$H$102,6,FALSE)&gt;=(VLOOKUP(VLOOKUP(W$1,main!$A$3:$H$102,8,FALSE),main!$K$26:$M$29,2,FALSE)+VLOOKUP(VLOOKUP(W$1,main!$A$3:$H$102,7,FALSE),main!$K$19:$O$22,MATCH(VLOOKUP($A54,main!$A$3:$H$102,8,FALSE),main!$K$18:$O$18,0))))),1,0)</f>
        <v>0</v>
      </c>
      <c r="X54">
        <f>IF((AND(VLOOKUP(X$1,main!$A$3:$H$102,5,FALSE)-VLOOKUP($A54,main!$A$3:$H$102,6,FALSE)&gt;=(VLOOKUP(VLOOKUP(X$1,main!$A$3:$H$102,8,FALSE),main!$K$26:$M$29,2,FALSE)+VLOOKUP(VLOOKUP(X$1,main!$A$3:$H$102,7,FALSE),main!$K$19:$O$22,MATCH(VLOOKUP($A54,main!$A$3:$H$102,8,FALSE),main!$K$18:$O$18,0))))),1,0)</f>
        <v>0</v>
      </c>
      <c r="Y54">
        <f>IF((AND(VLOOKUP(Y$1,main!$A$3:$H$102,5,FALSE)-VLOOKUP($A54,main!$A$3:$H$102,6,FALSE)&gt;=(VLOOKUP(VLOOKUP(Y$1,main!$A$3:$H$102,8,FALSE),main!$K$26:$M$29,2,FALSE)+VLOOKUP(VLOOKUP(Y$1,main!$A$3:$H$102,7,FALSE),main!$K$19:$O$22,MATCH(VLOOKUP($A54,main!$A$3:$H$102,8,FALSE),main!$K$18:$O$18,0))))),1,0)</f>
        <v>0</v>
      </c>
      <c r="Z54">
        <f>IF((AND(VLOOKUP(Z$1,main!$A$3:$H$102,5,FALSE)-VLOOKUP($A54,main!$A$3:$H$102,6,FALSE)&gt;=(VLOOKUP(VLOOKUP(Z$1,main!$A$3:$H$102,8,FALSE),main!$K$26:$M$29,2,FALSE)+VLOOKUP(VLOOKUP(Z$1,main!$A$3:$H$102,7,FALSE),main!$K$19:$O$22,MATCH(VLOOKUP($A54,main!$A$3:$H$102,8,FALSE),main!$K$18:$O$18,0))))),1,0)</f>
        <v>1</v>
      </c>
      <c r="AA54">
        <f>IF((AND(VLOOKUP(AA$1,main!$A$3:$H$102,5,FALSE)-VLOOKUP($A54,main!$A$3:$H$102,6,FALSE)&gt;=(VLOOKUP(VLOOKUP(AA$1,main!$A$3:$H$102,8,FALSE),main!$K$26:$M$29,2,FALSE)+VLOOKUP(VLOOKUP(AA$1,main!$A$3:$H$102,7,FALSE),main!$K$19:$O$22,MATCH(VLOOKUP($A54,main!$A$3:$H$102,8,FALSE),main!$K$18:$O$18,0))))),1,0)</f>
        <v>1</v>
      </c>
      <c r="AB54">
        <f>IF((AND(VLOOKUP(AB$1,main!$A$3:$H$102,5,FALSE)-VLOOKUP($A54,main!$A$3:$H$102,6,FALSE)&gt;=(VLOOKUP(VLOOKUP(AB$1,main!$A$3:$H$102,8,FALSE),main!$K$26:$M$29,2,FALSE)+VLOOKUP(VLOOKUP(AB$1,main!$A$3:$H$102,7,FALSE),main!$K$19:$O$22,MATCH(VLOOKUP($A54,main!$A$3:$H$102,8,FALSE),main!$K$18:$O$18,0))))),1,0)</f>
        <v>0</v>
      </c>
      <c r="AC54">
        <f>IF((AND(VLOOKUP(AC$1,main!$A$3:$H$102,5,FALSE)-VLOOKUP($A54,main!$A$3:$H$102,6,FALSE)&gt;=(VLOOKUP(VLOOKUP(AC$1,main!$A$3:$H$102,8,FALSE),main!$K$26:$M$29,2,FALSE)+VLOOKUP(VLOOKUP(AC$1,main!$A$3:$H$102,7,FALSE),main!$K$19:$O$22,MATCH(VLOOKUP($A54,main!$A$3:$H$102,8,FALSE),main!$K$18:$O$18,0))))),1,0)</f>
        <v>0</v>
      </c>
      <c r="AD54">
        <f>IF((AND(VLOOKUP(AD$1,main!$A$3:$H$102,5,FALSE)-VLOOKUP($A54,main!$A$3:$H$102,6,FALSE)&gt;=(VLOOKUP(VLOOKUP(AD$1,main!$A$3:$H$102,8,FALSE),main!$K$26:$M$29,2,FALSE)+VLOOKUP(VLOOKUP(AD$1,main!$A$3:$H$102,7,FALSE),main!$K$19:$O$22,MATCH(VLOOKUP($A54,main!$A$3:$H$102,8,FALSE),main!$K$18:$O$18,0))))),1,0)</f>
        <v>0</v>
      </c>
      <c r="AE54">
        <f>IF((AND(VLOOKUP(AE$1,main!$A$3:$H$102,5,FALSE)-VLOOKUP($A54,main!$A$3:$H$102,6,FALSE)&gt;=(VLOOKUP(VLOOKUP(AE$1,main!$A$3:$H$102,8,FALSE),main!$K$26:$M$29,2,FALSE)+VLOOKUP(VLOOKUP(AE$1,main!$A$3:$H$102,7,FALSE),main!$K$19:$O$22,MATCH(VLOOKUP($A54,main!$A$3:$H$102,8,FALSE),main!$K$18:$O$18,0))))),1,0)</f>
        <v>1</v>
      </c>
      <c r="AF54">
        <f>IF((AND(VLOOKUP(AF$1,main!$A$3:$H$102,5,FALSE)-VLOOKUP($A54,main!$A$3:$H$102,6,FALSE)&gt;=(VLOOKUP(VLOOKUP(AF$1,main!$A$3:$H$102,8,FALSE),main!$K$26:$M$29,2,FALSE)+VLOOKUP(VLOOKUP(AF$1,main!$A$3:$H$102,7,FALSE),main!$K$19:$O$22,MATCH(VLOOKUP($A54,main!$A$3:$H$102,8,FALSE),main!$K$18:$O$18,0))))),1,0)</f>
        <v>1</v>
      </c>
      <c r="AG54">
        <f>IF((AND(VLOOKUP(AG$1,main!$A$3:$H$102,5,FALSE)-VLOOKUP($A54,main!$A$3:$H$102,6,FALSE)&gt;=(VLOOKUP(VLOOKUP(AG$1,main!$A$3:$H$102,8,FALSE),main!$K$26:$M$29,2,FALSE)+VLOOKUP(VLOOKUP(AG$1,main!$A$3:$H$102,7,FALSE),main!$K$19:$O$22,MATCH(VLOOKUP($A54,main!$A$3:$H$102,8,FALSE),main!$K$18:$O$18,0))))),1,0)</f>
        <v>0</v>
      </c>
      <c r="AH54">
        <f>IF((AND(VLOOKUP(AH$1,main!$A$3:$H$102,5,FALSE)-VLOOKUP($A54,main!$A$3:$H$102,6,FALSE)&gt;=(VLOOKUP(VLOOKUP(AH$1,main!$A$3:$H$102,8,FALSE),main!$K$26:$M$29,2,FALSE)+VLOOKUP(VLOOKUP(AH$1,main!$A$3:$H$102,7,FALSE),main!$K$19:$O$22,MATCH(VLOOKUP($A54,main!$A$3:$H$102,8,FALSE),main!$K$18:$O$18,0))))),1,0)</f>
        <v>0</v>
      </c>
      <c r="AI54">
        <f>IF((AND(VLOOKUP(AI$1,main!$A$3:$H$102,5,FALSE)-VLOOKUP($A54,main!$A$3:$H$102,6,FALSE)&gt;=(VLOOKUP(VLOOKUP(AI$1,main!$A$3:$H$102,8,FALSE),main!$K$26:$M$29,2,FALSE)+VLOOKUP(VLOOKUP(AI$1,main!$A$3:$H$102,7,FALSE),main!$K$19:$O$22,MATCH(VLOOKUP($A54,main!$A$3:$H$102,8,FALSE),main!$K$18:$O$18,0))))),1,0)</f>
        <v>0</v>
      </c>
      <c r="AJ54">
        <f>IF((AND(VLOOKUP(AJ$1,main!$A$3:$H$102,5,FALSE)-VLOOKUP($A54,main!$A$3:$H$102,6,FALSE)&gt;=(VLOOKUP(VLOOKUP(AJ$1,main!$A$3:$H$102,8,FALSE),main!$K$26:$M$29,2,FALSE)+VLOOKUP(VLOOKUP(AJ$1,main!$A$3:$H$102,7,FALSE),main!$K$19:$O$22,MATCH(VLOOKUP($A54,main!$A$3:$H$102,8,FALSE),main!$K$18:$O$18,0))))),1,0)</f>
        <v>0</v>
      </c>
      <c r="AK54">
        <f>IF((AND(VLOOKUP(AK$1,main!$A$3:$H$102,5,FALSE)-VLOOKUP($A54,main!$A$3:$H$102,6,FALSE)&gt;=(VLOOKUP(VLOOKUP(AK$1,main!$A$3:$H$102,8,FALSE),main!$K$26:$M$29,2,FALSE)+VLOOKUP(VLOOKUP(AK$1,main!$A$3:$H$102,7,FALSE),main!$K$19:$O$22,MATCH(VLOOKUP($A54,main!$A$3:$H$102,8,FALSE),main!$K$18:$O$18,0))))),1,0)</f>
        <v>0</v>
      </c>
      <c r="AL54">
        <f>IF((AND(VLOOKUP(AL$1,main!$A$3:$H$102,5,FALSE)-VLOOKUP($A54,main!$A$3:$H$102,6,FALSE)&gt;=(VLOOKUP(VLOOKUP(AL$1,main!$A$3:$H$102,8,FALSE),main!$K$26:$M$29,2,FALSE)+VLOOKUP(VLOOKUP(AL$1,main!$A$3:$H$102,7,FALSE),main!$K$19:$O$22,MATCH(VLOOKUP($A54,main!$A$3:$H$102,8,FALSE),main!$K$18:$O$18,0))))),1,0)</f>
        <v>1</v>
      </c>
      <c r="AM54">
        <f>IF((AND(VLOOKUP(AM$1,main!$A$3:$H$102,5,FALSE)-VLOOKUP($A54,main!$A$3:$H$102,6,FALSE)&gt;=(VLOOKUP(VLOOKUP(AM$1,main!$A$3:$H$102,8,FALSE),main!$K$26:$M$29,2,FALSE)+VLOOKUP(VLOOKUP(AM$1,main!$A$3:$H$102,7,FALSE),main!$K$19:$O$22,MATCH(VLOOKUP($A54,main!$A$3:$H$102,8,FALSE),main!$K$18:$O$18,0))))),1,0)</f>
        <v>1</v>
      </c>
      <c r="AN54">
        <f>IF((AND(VLOOKUP(AN$1,main!$A$3:$H$102,5,FALSE)-VLOOKUP($A54,main!$A$3:$H$102,6,FALSE)&gt;=(VLOOKUP(VLOOKUP(AN$1,main!$A$3:$H$102,8,FALSE),main!$K$26:$M$29,2,FALSE)+VLOOKUP(VLOOKUP(AN$1,main!$A$3:$H$102,7,FALSE),main!$K$19:$O$22,MATCH(VLOOKUP($A54,main!$A$3:$H$102,8,FALSE),main!$K$18:$O$18,0))))),1,0)</f>
        <v>1</v>
      </c>
      <c r="AO54">
        <f>IF((AND(VLOOKUP(AO$1,main!$A$3:$H$102,5,FALSE)-VLOOKUP($A54,main!$A$3:$H$102,6,FALSE)&gt;=(VLOOKUP(VLOOKUP(AO$1,main!$A$3:$H$102,8,FALSE),main!$K$26:$M$29,2,FALSE)+VLOOKUP(VLOOKUP(AO$1,main!$A$3:$H$102,7,FALSE),main!$K$19:$O$22,MATCH(VLOOKUP($A54,main!$A$3:$H$102,8,FALSE),main!$K$18:$O$18,0))))),1,0)</f>
        <v>0</v>
      </c>
      <c r="AP54">
        <f>IF((AND(VLOOKUP(AP$1,main!$A$3:$H$102,5,FALSE)-VLOOKUP($A54,main!$A$3:$H$102,6,FALSE)&gt;=(VLOOKUP(VLOOKUP(AP$1,main!$A$3:$H$102,8,FALSE),main!$K$26:$M$29,2,FALSE)+VLOOKUP(VLOOKUP(AP$1,main!$A$3:$H$102,7,FALSE),main!$K$19:$O$22,MATCH(VLOOKUP($A54,main!$A$3:$H$102,8,FALSE),main!$K$18:$O$18,0))))),1,0)</f>
        <v>1</v>
      </c>
      <c r="AQ54">
        <f>IF((AND(VLOOKUP(AQ$1,main!$A$3:$H$102,5,FALSE)-VLOOKUP($A54,main!$A$3:$H$102,6,FALSE)&gt;=(VLOOKUP(VLOOKUP(AQ$1,main!$A$3:$H$102,8,FALSE),main!$K$26:$M$29,2,FALSE)+VLOOKUP(VLOOKUP(AQ$1,main!$A$3:$H$102,7,FALSE),main!$K$19:$O$22,MATCH(VLOOKUP($A54,main!$A$3:$H$102,8,FALSE),main!$K$18:$O$18,0))))),1,0)</f>
        <v>0</v>
      </c>
      <c r="AR54">
        <f>IF((AND(VLOOKUP(AR$1,main!$A$3:$H$102,5,FALSE)-VLOOKUP($A54,main!$A$3:$H$102,6,FALSE)&gt;=(VLOOKUP(VLOOKUP(AR$1,main!$A$3:$H$102,8,FALSE),main!$K$26:$M$29,2,FALSE)+VLOOKUP(VLOOKUP(AR$1,main!$A$3:$H$102,7,FALSE),main!$K$19:$O$22,MATCH(VLOOKUP($A54,main!$A$3:$H$102,8,FALSE),main!$K$18:$O$18,0))))),1,0)</f>
        <v>0</v>
      </c>
      <c r="AS54">
        <f>IF((AND(VLOOKUP(AS$1,main!$A$3:$H$102,5,FALSE)-VLOOKUP($A54,main!$A$3:$H$102,6,FALSE)&gt;=(VLOOKUP(VLOOKUP(AS$1,main!$A$3:$H$102,8,FALSE),main!$K$26:$M$29,2,FALSE)+VLOOKUP(VLOOKUP(AS$1,main!$A$3:$H$102,7,FALSE),main!$K$19:$O$22,MATCH(VLOOKUP($A54,main!$A$3:$H$102,8,FALSE),main!$K$18:$O$18,0))))),1,0)</f>
        <v>0</v>
      </c>
      <c r="AT54">
        <f>IF((AND(VLOOKUP(AT$1,main!$A$3:$H$102,5,FALSE)-VLOOKUP($A54,main!$A$3:$H$102,6,FALSE)&gt;=(VLOOKUP(VLOOKUP(AT$1,main!$A$3:$H$102,8,FALSE),main!$K$26:$M$29,2,FALSE)+VLOOKUP(VLOOKUP(AT$1,main!$A$3:$H$102,7,FALSE),main!$K$19:$O$22,MATCH(VLOOKUP($A54,main!$A$3:$H$102,8,FALSE),main!$K$18:$O$18,0))))),1,0)</f>
        <v>1</v>
      </c>
      <c r="AU54">
        <f>IF((AND(VLOOKUP(AU$1,main!$A$3:$H$102,5,FALSE)-VLOOKUP($A54,main!$A$3:$H$102,6,FALSE)&gt;=(VLOOKUP(VLOOKUP(AU$1,main!$A$3:$H$102,8,FALSE),main!$K$26:$M$29,2,FALSE)+VLOOKUP(VLOOKUP(AU$1,main!$A$3:$H$102,7,FALSE),main!$K$19:$O$22,MATCH(VLOOKUP($A54,main!$A$3:$H$102,8,FALSE),main!$K$18:$O$18,0))))),1,0)</f>
        <v>0</v>
      </c>
      <c r="AV54">
        <f>IF((AND(VLOOKUP(AV$1,main!$A$3:$H$102,5,FALSE)-VLOOKUP($A54,main!$A$3:$H$102,6,FALSE)&gt;=(VLOOKUP(VLOOKUP(AV$1,main!$A$3:$H$102,8,FALSE),main!$K$26:$M$29,2,FALSE)+VLOOKUP(VLOOKUP(AV$1,main!$A$3:$H$102,7,FALSE),main!$K$19:$O$22,MATCH(VLOOKUP($A54,main!$A$3:$H$102,8,FALSE),main!$K$18:$O$18,0))))),1,0)</f>
        <v>0</v>
      </c>
      <c r="AW54">
        <f>IF((AND(VLOOKUP(AW$1,main!$A$3:$H$102,5,FALSE)-VLOOKUP($A54,main!$A$3:$H$102,6,FALSE)&gt;=(VLOOKUP(VLOOKUP(AW$1,main!$A$3:$H$102,8,FALSE),main!$K$26:$M$29,2,FALSE)+VLOOKUP(VLOOKUP(AW$1,main!$A$3:$H$102,7,FALSE),main!$K$19:$O$22,MATCH(VLOOKUP($A54,main!$A$3:$H$102,8,FALSE),main!$K$18:$O$18,0))))),1,0)</f>
        <v>0</v>
      </c>
      <c r="AX54">
        <f>IF((AND(VLOOKUP(AX$1,main!$A$3:$H$102,5,FALSE)-VLOOKUP($A54,main!$A$3:$H$102,6,FALSE)&gt;=(VLOOKUP(VLOOKUP(AX$1,main!$A$3:$H$102,8,FALSE),main!$K$26:$M$29,2,FALSE)+VLOOKUP(VLOOKUP(AX$1,main!$A$3:$H$102,7,FALSE),main!$K$19:$O$22,MATCH(VLOOKUP($A54,main!$A$3:$H$102,8,FALSE),main!$K$18:$O$18,0))))),1,0)</f>
        <v>0</v>
      </c>
      <c r="AY54">
        <f>IF((AND(VLOOKUP(AY$1,main!$A$3:$H$102,5,FALSE)-VLOOKUP($A54,main!$A$3:$H$102,6,FALSE)&gt;=(VLOOKUP(VLOOKUP(AY$1,main!$A$3:$H$102,8,FALSE),main!$K$26:$M$29,2,FALSE)+VLOOKUP(VLOOKUP(AY$1,main!$A$3:$H$102,7,FALSE),main!$K$19:$O$22,MATCH(VLOOKUP($A54,main!$A$3:$H$102,8,FALSE),main!$K$18:$O$18,0))))),1,0)</f>
        <v>0</v>
      </c>
      <c r="AZ54">
        <f>IF((AND(VLOOKUP(AZ$1,main!$A$3:$H$102,5,FALSE)-VLOOKUP($A54,main!$A$3:$H$102,6,FALSE)&gt;=(VLOOKUP(VLOOKUP(AZ$1,main!$A$3:$H$102,8,FALSE),main!$K$26:$M$29,2,FALSE)+VLOOKUP(VLOOKUP(AZ$1,main!$A$3:$H$102,7,FALSE),main!$K$19:$O$22,MATCH(VLOOKUP($A54,main!$A$3:$H$102,8,FALSE),main!$K$18:$O$18,0))))),1,0)</f>
        <v>0</v>
      </c>
      <c r="BA54">
        <f>IF((AND(VLOOKUP(BA$1,main!$A$3:$H$102,5,FALSE)-VLOOKUP($A54,main!$A$3:$H$102,6,FALSE)&gt;=(VLOOKUP(VLOOKUP(BA$1,main!$A$3:$H$102,8,FALSE),main!$K$26:$M$29,2,FALSE)+VLOOKUP(VLOOKUP(BA$1,main!$A$3:$H$102,7,FALSE),main!$K$19:$O$22,MATCH(VLOOKUP($A54,main!$A$3:$H$102,8,FALSE),main!$K$18:$O$18,0))))),1,0)</f>
        <v>0</v>
      </c>
      <c r="BB54">
        <f>IF((AND(VLOOKUP(BB$1,main!$A$3:$H$102,5,FALSE)-VLOOKUP($A54,main!$A$3:$H$102,6,FALSE)&gt;=(VLOOKUP(VLOOKUP(BB$1,main!$A$3:$H$102,8,FALSE),main!$K$26:$M$29,2,FALSE)+VLOOKUP(VLOOKUP(BB$1,main!$A$3:$H$102,7,FALSE),main!$K$19:$O$22,MATCH(VLOOKUP($A54,main!$A$3:$H$102,8,FALSE),main!$K$18:$O$18,0))))),1,0)</f>
        <v>0</v>
      </c>
      <c r="BC54">
        <f>IF((AND(VLOOKUP(BC$1,main!$A$3:$H$102,5,FALSE)-VLOOKUP($A54,main!$A$3:$H$102,6,FALSE)&gt;=(VLOOKUP(VLOOKUP(BC$1,main!$A$3:$H$102,8,FALSE),main!$K$26:$M$29,2,FALSE)+VLOOKUP(VLOOKUP(BC$1,main!$A$3:$H$102,7,FALSE),main!$K$19:$O$22,MATCH(VLOOKUP($A54,main!$A$3:$H$102,8,FALSE),main!$K$18:$O$18,0))))),1,0)</f>
        <v>0</v>
      </c>
      <c r="BD54">
        <f>IF((AND(VLOOKUP(BD$1,main!$A$3:$H$102,5,FALSE)-VLOOKUP($A54,main!$A$3:$H$102,6,FALSE)&gt;=(VLOOKUP(VLOOKUP(BD$1,main!$A$3:$H$102,8,FALSE),main!$K$26:$M$29,2,FALSE)+VLOOKUP(VLOOKUP(BD$1,main!$A$3:$H$102,7,FALSE),main!$K$19:$O$22,MATCH(VLOOKUP($A54,main!$A$3:$H$102,8,FALSE),main!$K$18:$O$18,0))))),1,0)</f>
        <v>0</v>
      </c>
      <c r="BE54">
        <f>IF((AND(VLOOKUP(BE$1,main!$A$3:$H$102,5,FALSE)-VLOOKUP($A54,main!$A$3:$H$102,6,FALSE)&gt;=(VLOOKUP(VLOOKUP(BE$1,main!$A$3:$H$102,8,FALSE),main!$K$26:$M$29,2,FALSE)+VLOOKUP(VLOOKUP(BE$1,main!$A$3:$H$102,7,FALSE),main!$K$19:$O$22,MATCH(VLOOKUP($A54,main!$A$3:$H$102,8,FALSE),main!$K$18:$O$18,0))))),1,0)</f>
        <v>1</v>
      </c>
      <c r="BF54">
        <f>IF((AND(VLOOKUP(BF$1,main!$A$3:$H$102,5,FALSE)-VLOOKUP($A54,main!$A$3:$H$102,6,FALSE)&gt;=(VLOOKUP(VLOOKUP(BF$1,main!$A$3:$H$102,8,FALSE),main!$K$26:$M$29,2,FALSE)+VLOOKUP(VLOOKUP(BF$1,main!$A$3:$H$102,7,FALSE),main!$K$19:$O$22,MATCH(VLOOKUP($A54,main!$A$3:$H$102,8,FALSE),main!$K$18:$O$18,0))))),1,0)</f>
        <v>0</v>
      </c>
      <c r="BG54">
        <f>IF((AND(VLOOKUP(BG$1,main!$A$3:$H$102,5,FALSE)-VLOOKUP($A54,main!$A$3:$H$102,6,FALSE)&gt;=(VLOOKUP(VLOOKUP(BG$1,main!$A$3:$H$102,8,FALSE),main!$K$26:$M$29,2,FALSE)+VLOOKUP(VLOOKUP(BG$1,main!$A$3:$H$102,7,FALSE),main!$K$19:$O$22,MATCH(VLOOKUP($A54,main!$A$3:$H$102,8,FALSE),main!$K$18:$O$18,0))))),1,0)</f>
        <v>0</v>
      </c>
      <c r="BH54">
        <f>IF((AND(VLOOKUP(BH$1,main!$A$3:$H$102,5,FALSE)-VLOOKUP($A54,main!$A$3:$H$102,6,FALSE)&gt;=(VLOOKUP(VLOOKUP(BH$1,main!$A$3:$H$102,8,FALSE),main!$K$26:$M$29,2,FALSE)+VLOOKUP(VLOOKUP(BH$1,main!$A$3:$H$102,7,FALSE),main!$K$19:$O$22,MATCH(VLOOKUP($A54,main!$A$3:$H$102,8,FALSE),main!$K$18:$O$18,0))))),1,0)</f>
        <v>0</v>
      </c>
      <c r="BI54">
        <f>IF((AND(VLOOKUP(BI$1,main!$A$3:$H$102,5,FALSE)-VLOOKUP($A54,main!$A$3:$H$102,6,FALSE)&gt;=(VLOOKUP(VLOOKUP(BI$1,main!$A$3:$H$102,8,FALSE),main!$K$26:$M$29,2,FALSE)+VLOOKUP(VLOOKUP(BI$1,main!$A$3:$H$102,7,FALSE),main!$K$19:$O$22,MATCH(VLOOKUP($A54,main!$A$3:$H$102,8,FALSE),main!$K$18:$O$18,0))))),1,0)</f>
        <v>1</v>
      </c>
      <c r="BJ54">
        <f>IF((AND(VLOOKUP(BJ$1,main!$A$3:$H$102,5,FALSE)-VLOOKUP($A54,main!$A$3:$H$102,6,FALSE)&gt;=(VLOOKUP(VLOOKUP(BJ$1,main!$A$3:$H$102,8,FALSE),main!$K$26:$M$29,2,FALSE)+VLOOKUP(VLOOKUP(BJ$1,main!$A$3:$H$102,7,FALSE),main!$K$19:$O$22,MATCH(VLOOKUP($A54,main!$A$3:$H$102,8,FALSE),main!$K$18:$O$18,0))))),1,0)</f>
        <v>1</v>
      </c>
      <c r="BK54">
        <f>IF((AND(VLOOKUP(BK$1,main!$A$3:$H$102,5,FALSE)-VLOOKUP($A54,main!$A$3:$H$102,6,FALSE)&gt;=(VLOOKUP(VLOOKUP(BK$1,main!$A$3:$H$102,8,FALSE),main!$K$26:$M$29,2,FALSE)+VLOOKUP(VLOOKUP(BK$1,main!$A$3:$H$102,7,FALSE),main!$K$19:$O$22,MATCH(VLOOKUP($A54,main!$A$3:$H$102,8,FALSE),main!$K$18:$O$18,0))))),1,0)</f>
        <v>0</v>
      </c>
      <c r="BL54">
        <f>IF((AND(VLOOKUP(BL$1,main!$A$3:$H$102,5,FALSE)-VLOOKUP($A54,main!$A$3:$H$102,6,FALSE)&gt;=(VLOOKUP(VLOOKUP(BL$1,main!$A$3:$H$102,8,FALSE),main!$K$26:$M$29,2,FALSE)+VLOOKUP(VLOOKUP(BL$1,main!$A$3:$H$102,7,FALSE),main!$K$19:$O$22,MATCH(VLOOKUP($A54,main!$A$3:$H$102,8,FALSE),main!$K$18:$O$18,0))))),1,0)</f>
        <v>0</v>
      </c>
      <c r="BM54">
        <f>IF((AND(VLOOKUP(BM$1,main!$A$3:$H$102,5,FALSE)-VLOOKUP($A54,main!$A$3:$H$102,6,FALSE)&gt;=(VLOOKUP(VLOOKUP(BM$1,main!$A$3:$H$102,8,FALSE),main!$K$26:$M$29,2,FALSE)+VLOOKUP(VLOOKUP(BM$1,main!$A$3:$H$102,7,FALSE),main!$K$19:$O$22,MATCH(VLOOKUP($A54,main!$A$3:$H$102,8,FALSE),main!$K$18:$O$18,0))))),1,0)</f>
        <v>0</v>
      </c>
      <c r="BN54">
        <f>IF((AND(VLOOKUP(BN$1,main!$A$3:$H$102,5,FALSE)-VLOOKUP($A54,main!$A$3:$H$102,6,FALSE)&gt;=(VLOOKUP(VLOOKUP(BN$1,main!$A$3:$H$102,8,FALSE),main!$K$26:$M$29,2,FALSE)+VLOOKUP(VLOOKUP(BN$1,main!$A$3:$H$102,7,FALSE),main!$K$19:$O$22,MATCH(VLOOKUP($A54,main!$A$3:$H$102,8,FALSE),main!$K$18:$O$18,0))))),1,0)</f>
        <v>0</v>
      </c>
      <c r="BO54">
        <f>IF((AND(VLOOKUP(BO$1,main!$A$3:$H$102,5,FALSE)-VLOOKUP($A54,main!$A$3:$H$102,6,FALSE)&gt;=(VLOOKUP(VLOOKUP(BO$1,main!$A$3:$H$102,8,FALSE),main!$K$26:$M$29,2,FALSE)+VLOOKUP(VLOOKUP(BO$1,main!$A$3:$H$102,7,FALSE),main!$K$19:$O$22,MATCH(VLOOKUP($A54,main!$A$3:$H$102,8,FALSE),main!$K$18:$O$18,0))))),1,0)</f>
        <v>0</v>
      </c>
      <c r="BP54">
        <f>IF((AND(VLOOKUP(BP$1,main!$A$3:$H$102,5,FALSE)-VLOOKUP($A54,main!$A$3:$H$102,6,FALSE)&gt;=(VLOOKUP(VLOOKUP(BP$1,main!$A$3:$H$102,8,FALSE),main!$K$26:$M$29,2,FALSE)+VLOOKUP(VLOOKUP(BP$1,main!$A$3:$H$102,7,FALSE),main!$K$19:$O$22,MATCH(VLOOKUP($A54,main!$A$3:$H$102,8,FALSE),main!$K$18:$O$18,0))))),1,0)</f>
        <v>0</v>
      </c>
      <c r="BQ54">
        <f>IF((AND(VLOOKUP(BQ$1,main!$A$3:$H$102,5,FALSE)-VLOOKUP($A54,main!$A$3:$H$102,6,FALSE)&gt;=(VLOOKUP(VLOOKUP(BQ$1,main!$A$3:$H$102,8,FALSE),main!$K$26:$M$29,2,FALSE)+VLOOKUP(VLOOKUP(BQ$1,main!$A$3:$H$102,7,FALSE),main!$K$19:$O$22,MATCH(VLOOKUP($A54,main!$A$3:$H$102,8,FALSE),main!$K$18:$O$18,0))))),1,0)</f>
        <v>0</v>
      </c>
      <c r="BR54">
        <f>IF((AND(VLOOKUP(BR$1,main!$A$3:$H$102,5,FALSE)-VLOOKUP($A54,main!$A$3:$H$102,6,FALSE)&gt;=(VLOOKUP(VLOOKUP(BR$1,main!$A$3:$H$102,8,FALSE),main!$K$26:$M$29,2,FALSE)+VLOOKUP(VLOOKUP(BR$1,main!$A$3:$H$102,7,FALSE),main!$K$19:$O$22,MATCH(VLOOKUP($A54,main!$A$3:$H$102,8,FALSE),main!$K$18:$O$18,0))))),1,0)</f>
        <v>0</v>
      </c>
      <c r="BS54">
        <f>IF((AND(VLOOKUP(BS$1,main!$A$3:$H$102,5,FALSE)-VLOOKUP($A54,main!$A$3:$H$102,6,FALSE)&gt;=(VLOOKUP(VLOOKUP(BS$1,main!$A$3:$H$102,8,FALSE),main!$K$26:$M$29,2,FALSE)+VLOOKUP(VLOOKUP(BS$1,main!$A$3:$H$102,7,FALSE),main!$K$19:$O$22,MATCH(VLOOKUP($A54,main!$A$3:$H$102,8,FALSE),main!$K$18:$O$18,0))))),1,0)</f>
        <v>0</v>
      </c>
      <c r="BT54">
        <f>IF((AND(VLOOKUP(BT$1,main!$A$3:$H$102,5,FALSE)-VLOOKUP($A54,main!$A$3:$H$102,6,FALSE)&gt;=(VLOOKUP(VLOOKUP(BT$1,main!$A$3:$H$102,8,FALSE),main!$K$26:$M$29,2,FALSE)+VLOOKUP(VLOOKUP(BT$1,main!$A$3:$H$102,7,FALSE),main!$K$19:$O$22,MATCH(VLOOKUP($A54,main!$A$3:$H$102,8,FALSE),main!$K$18:$O$18,0))))),1,0)</f>
        <v>0</v>
      </c>
      <c r="BU54">
        <f>IF((AND(VLOOKUP(BU$1,main!$A$3:$H$102,5,FALSE)-VLOOKUP($A54,main!$A$3:$H$102,6,FALSE)&gt;=(VLOOKUP(VLOOKUP(BU$1,main!$A$3:$H$102,8,FALSE),main!$K$26:$M$29,2,FALSE)+VLOOKUP(VLOOKUP(BU$1,main!$A$3:$H$102,7,FALSE),main!$K$19:$O$22,MATCH(VLOOKUP($A54,main!$A$3:$H$102,8,FALSE),main!$K$18:$O$18,0))))),1,0)</f>
        <v>0</v>
      </c>
      <c r="BV54">
        <f>IF((AND(VLOOKUP(BV$1,main!$A$3:$H$102,5,FALSE)-VLOOKUP($A54,main!$A$3:$H$102,6,FALSE)&gt;=(VLOOKUP(VLOOKUP(BV$1,main!$A$3:$H$102,8,FALSE),main!$K$26:$M$29,2,FALSE)+VLOOKUP(VLOOKUP(BV$1,main!$A$3:$H$102,7,FALSE),main!$K$19:$O$22,MATCH(VLOOKUP($A54,main!$A$3:$H$102,8,FALSE),main!$K$18:$O$18,0))))),1,0)</f>
        <v>0</v>
      </c>
      <c r="BW54">
        <f>IF((AND(VLOOKUP(BW$1,main!$A$3:$H$102,5,FALSE)-VLOOKUP($A54,main!$A$3:$H$102,6,FALSE)&gt;=(VLOOKUP(VLOOKUP(BW$1,main!$A$3:$H$102,8,FALSE),main!$K$26:$M$29,2,FALSE)+VLOOKUP(VLOOKUP(BW$1,main!$A$3:$H$102,7,FALSE),main!$K$19:$O$22,MATCH(VLOOKUP($A54,main!$A$3:$H$102,8,FALSE),main!$K$18:$O$18,0))))),1,0)</f>
        <v>0</v>
      </c>
      <c r="BX54">
        <f>IF((AND(VLOOKUP(BX$1,main!$A$3:$H$102,5,FALSE)-VLOOKUP($A54,main!$A$3:$H$102,6,FALSE)&gt;=(VLOOKUP(VLOOKUP(BX$1,main!$A$3:$H$102,8,FALSE),main!$K$26:$M$29,2,FALSE)+VLOOKUP(VLOOKUP(BX$1,main!$A$3:$H$102,7,FALSE),main!$K$19:$O$22,MATCH(VLOOKUP($A54,main!$A$3:$H$102,8,FALSE),main!$K$18:$O$18,0))))),1,0)</f>
        <v>0</v>
      </c>
      <c r="BY54">
        <f>IF((AND(VLOOKUP(BY$1,main!$A$3:$H$102,5,FALSE)-VLOOKUP($A54,main!$A$3:$H$102,6,FALSE)&gt;=(VLOOKUP(VLOOKUP(BY$1,main!$A$3:$H$102,8,FALSE),main!$K$26:$M$29,2,FALSE)+VLOOKUP(VLOOKUP(BY$1,main!$A$3:$H$102,7,FALSE),main!$K$19:$O$22,MATCH(VLOOKUP($A54,main!$A$3:$H$102,8,FALSE),main!$K$18:$O$18,0))))),1,0)</f>
        <v>0</v>
      </c>
      <c r="BZ54">
        <f>IF((AND(VLOOKUP(BZ$1,main!$A$3:$H$102,5,FALSE)-VLOOKUP($A54,main!$A$3:$H$102,6,FALSE)&gt;=(VLOOKUP(VLOOKUP(BZ$1,main!$A$3:$H$102,8,FALSE),main!$K$26:$M$29,2,FALSE)+VLOOKUP(VLOOKUP(BZ$1,main!$A$3:$H$102,7,FALSE),main!$K$19:$O$22,MATCH(VLOOKUP($A54,main!$A$3:$H$102,8,FALSE),main!$K$18:$O$18,0))))),1,0)</f>
        <v>0</v>
      </c>
      <c r="CA54">
        <f>IF((AND(VLOOKUP(CA$1,main!$A$3:$H$102,5,FALSE)-VLOOKUP($A54,main!$A$3:$H$102,6,FALSE)&gt;=(VLOOKUP(VLOOKUP(CA$1,main!$A$3:$H$102,8,FALSE),main!$K$26:$M$29,2,FALSE)+VLOOKUP(VLOOKUP(CA$1,main!$A$3:$H$102,7,FALSE),main!$K$19:$O$22,MATCH(VLOOKUP($A54,main!$A$3:$H$102,8,FALSE),main!$K$18:$O$18,0))))),1,0)</f>
        <v>0</v>
      </c>
      <c r="CB54">
        <f>IF((AND(VLOOKUP(CB$1,main!$A$3:$H$102,5,FALSE)-VLOOKUP($A54,main!$A$3:$H$102,6,FALSE)&gt;=(VLOOKUP(VLOOKUP(CB$1,main!$A$3:$H$102,8,FALSE),main!$K$26:$M$29,2,FALSE)+VLOOKUP(VLOOKUP(CB$1,main!$A$3:$H$102,7,FALSE),main!$K$19:$O$22,MATCH(VLOOKUP($A54,main!$A$3:$H$102,8,FALSE),main!$K$18:$O$18,0))))),1,0)</f>
        <v>0</v>
      </c>
      <c r="CC54">
        <f>IF((AND(VLOOKUP(CC$1,main!$A$3:$H$102,5,FALSE)-VLOOKUP($A54,main!$A$3:$H$102,6,FALSE)&gt;=(VLOOKUP(VLOOKUP(CC$1,main!$A$3:$H$102,8,FALSE),main!$K$26:$M$29,2,FALSE)+VLOOKUP(VLOOKUP(CC$1,main!$A$3:$H$102,7,FALSE),main!$K$19:$O$22,MATCH(VLOOKUP($A54,main!$A$3:$H$102,8,FALSE),main!$K$18:$O$18,0))))),1,0)</f>
        <v>1</v>
      </c>
      <c r="CD54">
        <f>IF((AND(VLOOKUP(CD$1,main!$A$3:$H$102,5,FALSE)-VLOOKUP($A54,main!$A$3:$H$102,6,FALSE)&gt;=(VLOOKUP(VLOOKUP(CD$1,main!$A$3:$H$102,8,FALSE),main!$K$26:$M$29,2,FALSE)+VLOOKUP(VLOOKUP(CD$1,main!$A$3:$H$102,7,FALSE),main!$K$19:$O$22,MATCH(VLOOKUP($A54,main!$A$3:$H$102,8,FALSE),main!$K$18:$O$18,0))))),1,0)</f>
        <v>0</v>
      </c>
      <c r="CE54">
        <f>IF((AND(VLOOKUP(CE$1,main!$A$3:$H$102,5,FALSE)-VLOOKUP($A54,main!$A$3:$H$102,6,FALSE)&gt;=(VLOOKUP(VLOOKUP(CE$1,main!$A$3:$H$102,8,FALSE),main!$K$26:$M$29,2,FALSE)+VLOOKUP(VLOOKUP(CE$1,main!$A$3:$H$102,7,FALSE),main!$K$19:$O$22,MATCH(VLOOKUP($A54,main!$A$3:$H$102,8,FALSE),main!$K$18:$O$18,0))))),1,0)</f>
        <v>0</v>
      </c>
      <c r="CF54">
        <f>IF((AND(VLOOKUP(CF$1,main!$A$3:$H$102,5,FALSE)-VLOOKUP($A54,main!$A$3:$H$102,6,FALSE)&gt;=(VLOOKUP(VLOOKUP(CF$1,main!$A$3:$H$102,8,FALSE),main!$K$26:$M$29,2,FALSE)+VLOOKUP(VLOOKUP(CF$1,main!$A$3:$H$102,7,FALSE),main!$K$19:$O$22,MATCH(VLOOKUP($A54,main!$A$3:$H$102,8,FALSE),main!$K$18:$O$18,0))))),1,0)</f>
        <v>0</v>
      </c>
      <c r="CG54">
        <f>IF((AND(VLOOKUP(CG$1,main!$A$3:$H$102,5,FALSE)-VLOOKUP($A54,main!$A$3:$H$102,6,FALSE)&gt;=(VLOOKUP(VLOOKUP(CG$1,main!$A$3:$H$102,8,FALSE),main!$K$26:$M$29,2,FALSE)+VLOOKUP(VLOOKUP(CG$1,main!$A$3:$H$102,7,FALSE),main!$K$19:$O$22,MATCH(VLOOKUP($A54,main!$A$3:$H$102,8,FALSE),main!$K$18:$O$18,0))))),1,0)</f>
        <v>0</v>
      </c>
      <c r="CH54">
        <f>IF((AND(VLOOKUP(CH$1,main!$A$3:$H$102,5,FALSE)-VLOOKUP($A54,main!$A$3:$H$102,6,FALSE)&gt;=(VLOOKUP(VLOOKUP(CH$1,main!$A$3:$H$102,8,FALSE),main!$K$26:$M$29,2,FALSE)+VLOOKUP(VLOOKUP(CH$1,main!$A$3:$H$102,7,FALSE),main!$K$19:$O$22,MATCH(VLOOKUP($A54,main!$A$3:$H$102,8,FALSE),main!$K$18:$O$18,0))))),1,0)</f>
        <v>1</v>
      </c>
      <c r="CI54">
        <f>IF((AND(VLOOKUP(CI$1,main!$A$3:$H$102,5,FALSE)-VLOOKUP($A54,main!$A$3:$H$102,6,FALSE)&gt;=(VLOOKUP(VLOOKUP(CI$1,main!$A$3:$H$102,8,FALSE),main!$K$26:$M$29,2,FALSE)+VLOOKUP(VLOOKUP(CI$1,main!$A$3:$H$102,7,FALSE),main!$K$19:$O$22,MATCH(VLOOKUP($A54,main!$A$3:$H$102,8,FALSE),main!$K$18:$O$18,0))))),1,0)</f>
        <v>1</v>
      </c>
      <c r="CJ54">
        <f>IF((AND(VLOOKUP(CJ$1,main!$A$3:$H$102,5,FALSE)-VLOOKUP($A54,main!$A$3:$H$102,6,FALSE)&gt;=(VLOOKUP(VLOOKUP(CJ$1,main!$A$3:$H$102,8,FALSE),main!$K$26:$M$29,2,FALSE)+VLOOKUP(VLOOKUP(CJ$1,main!$A$3:$H$102,7,FALSE),main!$K$19:$O$22,MATCH(VLOOKUP($A54,main!$A$3:$H$102,8,FALSE),main!$K$18:$O$18,0))))),1,0)</f>
        <v>0</v>
      </c>
      <c r="CK54">
        <f>IF((AND(VLOOKUP(CK$1,main!$A$3:$H$102,5,FALSE)-VLOOKUP($A54,main!$A$3:$H$102,6,FALSE)&gt;=(VLOOKUP(VLOOKUP(CK$1,main!$A$3:$H$102,8,FALSE),main!$K$26:$M$29,2,FALSE)+VLOOKUP(VLOOKUP(CK$1,main!$A$3:$H$102,7,FALSE),main!$K$19:$O$22,MATCH(VLOOKUP($A54,main!$A$3:$H$102,8,FALSE),main!$K$18:$O$18,0))))),1,0)</f>
        <v>0</v>
      </c>
      <c r="CL54">
        <f>IF((AND(VLOOKUP(CL$1,main!$A$3:$H$102,5,FALSE)-VLOOKUP($A54,main!$A$3:$H$102,6,FALSE)&gt;=(VLOOKUP(VLOOKUP(CL$1,main!$A$3:$H$102,8,FALSE),main!$K$26:$M$29,2,FALSE)+VLOOKUP(VLOOKUP(CL$1,main!$A$3:$H$102,7,FALSE),main!$K$19:$O$22,MATCH(VLOOKUP($A54,main!$A$3:$H$102,8,FALSE),main!$K$18:$O$18,0))))),1,0)</f>
        <v>0</v>
      </c>
      <c r="CM54">
        <f>IF((AND(VLOOKUP(CM$1,main!$A$3:$H$102,5,FALSE)-VLOOKUP($A54,main!$A$3:$H$102,6,FALSE)&gt;=(VLOOKUP(VLOOKUP(CM$1,main!$A$3:$H$102,8,FALSE),main!$K$26:$M$29,2,FALSE)+VLOOKUP(VLOOKUP(CM$1,main!$A$3:$H$102,7,FALSE),main!$K$19:$O$22,MATCH(VLOOKUP($A54,main!$A$3:$H$102,8,FALSE),main!$K$18:$O$18,0))))),1,0)</f>
        <v>1</v>
      </c>
      <c r="CN54">
        <f>IF((AND(VLOOKUP(CN$1,main!$A$3:$H$102,5,FALSE)-VLOOKUP($A54,main!$A$3:$H$102,6,FALSE)&gt;=(VLOOKUP(VLOOKUP(CN$1,main!$A$3:$H$102,8,FALSE),main!$K$26:$M$29,2,FALSE)+VLOOKUP(VLOOKUP(CN$1,main!$A$3:$H$102,7,FALSE),main!$K$19:$O$22,MATCH(VLOOKUP($A54,main!$A$3:$H$102,8,FALSE),main!$K$18:$O$18,0))))),1,0)</f>
        <v>1</v>
      </c>
      <c r="CO54">
        <f>IF((AND(VLOOKUP(CO$1,main!$A$3:$H$102,5,FALSE)-VLOOKUP($A54,main!$A$3:$H$102,6,FALSE)&gt;=(VLOOKUP(VLOOKUP(CO$1,main!$A$3:$H$102,8,FALSE),main!$K$26:$M$29,2,FALSE)+VLOOKUP(VLOOKUP(CO$1,main!$A$3:$H$102,7,FALSE),main!$K$19:$O$22,MATCH(VLOOKUP($A54,main!$A$3:$H$102,8,FALSE),main!$K$18:$O$18,0))))),1,0)</f>
        <v>0</v>
      </c>
      <c r="CP54">
        <f>IF((AND(VLOOKUP(CP$1,main!$A$3:$H$102,5,FALSE)-VLOOKUP($A54,main!$A$3:$H$102,6,FALSE)&gt;=(VLOOKUP(VLOOKUP(CP$1,main!$A$3:$H$102,8,FALSE),main!$K$26:$M$29,2,FALSE)+VLOOKUP(VLOOKUP(CP$1,main!$A$3:$H$102,7,FALSE),main!$K$19:$O$22,MATCH(VLOOKUP($A54,main!$A$3:$H$102,8,FALSE),main!$K$18:$O$18,0))))),1,0)</f>
        <v>0</v>
      </c>
      <c r="CQ54">
        <f>IF((AND(VLOOKUP(CQ$1,main!$A$3:$H$102,5,FALSE)-VLOOKUP($A54,main!$A$3:$H$102,6,FALSE)&gt;=(VLOOKUP(VLOOKUP(CQ$1,main!$A$3:$H$102,8,FALSE),main!$K$26:$M$29,2,FALSE)+VLOOKUP(VLOOKUP(CQ$1,main!$A$3:$H$102,7,FALSE),main!$K$19:$O$22,MATCH(VLOOKUP($A54,main!$A$3:$H$102,8,FALSE),main!$K$18:$O$18,0))))),1,0)</f>
        <v>0</v>
      </c>
      <c r="CR54">
        <f>IF((AND(VLOOKUP(CR$1,main!$A$3:$H$102,5,FALSE)-VLOOKUP($A54,main!$A$3:$H$102,6,FALSE)&gt;=(VLOOKUP(VLOOKUP(CR$1,main!$A$3:$H$102,8,FALSE),main!$K$26:$M$29,2,FALSE)+VLOOKUP(VLOOKUP(CR$1,main!$A$3:$H$102,7,FALSE),main!$K$19:$O$22,MATCH(VLOOKUP($A54,main!$A$3:$H$102,8,FALSE),main!$K$18:$O$18,0))))),1,0)</f>
        <v>1</v>
      </c>
      <c r="CS54">
        <f>IF((AND(VLOOKUP(CS$1,main!$A$3:$H$102,5,FALSE)-VLOOKUP($A54,main!$A$3:$H$102,6,FALSE)&gt;=(VLOOKUP(VLOOKUP(CS$1,main!$A$3:$H$102,8,FALSE),main!$K$26:$M$29,2,FALSE)+VLOOKUP(VLOOKUP(CS$1,main!$A$3:$H$102,7,FALSE),main!$K$19:$O$22,MATCH(VLOOKUP($A54,main!$A$3:$H$102,8,FALSE),main!$K$18:$O$18,0))))),1,0)</f>
        <v>1</v>
      </c>
      <c r="CT54">
        <f>IF((AND(VLOOKUP(CT$1,main!$A$3:$H$102,5,FALSE)-VLOOKUP($A54,main!$A$3:$H$102,6,FALSE)&gt;=(VLOOKUP(VLOOKUP(CT$1,main!$A$3:$H$102,8,FALSE),main!$K$26:$M$29,2,FALSE)+VLOOKUP(VLOOKUP(CT$1,main!$A$3:$H$102,7,FALSE),main!$K$19:$O$22,MATCH(VLOOKUP($A54,main!$A$3:$H$102,8,FALSE),main!$K$18:$O$18,0))))),1,0)</f>
        <v>0</v>
      </c>
      <c r="CU54">
        <f>IF((AND(VLOOKUP(CU$1,main!$A$3:$H$102,5,FALSE)-VLOOKUP($A54,main!$A$3:$H$102,6,FALSE)&gt;=(VLOOKUP(VLOOKUP(CU$1,main!$A$3:$H$102,8,FALSE),main!$K$26:$M$29,2,FALSE)+VLOOKUP(VLOOKUP(CU$1,main!$A$3:$H$102,7,FALSE),main!$K$19:$O$22,MATCH(VLOOKUP($A54,main!$A$3:$H$102,8,FALSE),main!$K$18:$O$18,0))))),1,0)</f>
        <v>0</v>
      </c>
      <c r="CV54">
        <f>IF((AND(VLOOKUP(CV$1,main!$A$3:$H$102,5,FALSE)-VLOOKUP($A54,main!$A$3:$H$102,6,FALSE)&gt;=(VLOOKUP(VLOOKUP(CV$1,main!$A$3:$H$102,8,FALSE),main!$K$26:$M$29,2,FALSE)+VLOOKUP(VLOOKUP(CV$1,main!$A$3:$H$102,7,FALSE),main!$K$19:$O$22,MATCH(VLOOKUP($A54,main!$A$3:$H$102,8,FALSE),main!$K$18:$O$18,0))))),1,0)</f>
        <v>0</v>
      </c>
      <c r="CW54">
        <f>IF((AND(VLOOKUP(CW$1,main!$A$3:$H$102,5,FALSE)-VLOOKUP($A54,main!$A$3:$H$102,6,FALSE)&gt;=(VLOOKUP(VLOOKUP(CW$1,main!$A$3:$H$102,8,FALSE),main!$K$26:$M$29,2,FALSE)+VLOOKUP(VLOOKUP(CW$1,main!$A$3:$H$102,7,FALSE),main!$K$19:$O$22,MATCH(VLOOKUP($A54,main!$A$3:$H$102,8,FALSE),main!$K$18:$O$18,0))))),1,0)</f>
        <v>1</v>
      </c>
      <c r="CX54">
        <f>IF((AND(VLOOKUP(CX$1,main!$A$3:$H$102,5,FALSE)-VLOOKUP($A54,main!$A$3:$H$102,6,FALSE)&gt;=(VLOOKUP(VLOOKUP(CX$1,main!$A$3:$H$102,8,FALSE),main!$K$26:$M$29,2,FALSE)+VLOOKUP(VLOOKUP(CX$1,main!$A$3:$H$102,7,FALSE),main!$K$19:$O$22,MATCH(VLOOKUP($A54,main!$A$3:$H$102,8,FALSE),main!$K$18:$O$18,0))))),1,0)</f>
        <v>1</v>
      </c>
    </row>
    <row r="55" spans="1:102" x14ac:dyDescent="0.25">
      <c r="A55" s="1">
        <v>53</v>
      </c>
      <c r="B55">
        <v>1</v>
      </c>
      <c r="C55">
        <f>IF((AND(VLOOKUP(C$1,main!$A$3:$H$102,5,FALSE)-VLOOKUP($A55,main!$A$3:$H$102,6,FALSE)&gt;=(VLOOKUP(VLOOKUP(C$1,main!$A$3:$H$102,8,FALSE),main!$K$26:$M$29,2,FALSE)+VLOOKUP(VLOOKUP(C$1,main!$A$3:$H$102,7,FALSE),main!$K$19:$O$22,MATCH(VLOOKUP($A55,main!$A$3:$H$102,8,FALSE),main!$K$18:$O$18,0))))),1,0)</f>
        <v>0</v>
      </c>
      <c r="D55">
        <f>IF((AND(VLOOKUP(D$1,main!$A$3:$H$102,5,FALSE)-VLOOKUP($A55,main!$A$3:$H$102,6,FALSE)&gt;=(VLOOKUP(VLOOKUP(D$1,main!$A$3:$H$102,8,FALSE),main!$K$26:$M$29,2,FALSE)+VLOOKUP(VLOOKUP(D$1,main!$A$3:$H$102,7,FALSE),main!$K$19:$O$22,MATCH(VLOOKUP($A55,main!$A$3:$H$102,8,FALSE),main!$K$18:$O$18,0))))),1,0)</f>
        <v>0</v>
      </c>
      <c r="E55">
        <f>IF((AND(VLOOKUP(E$1,main!$A$3:$H$102,5,FALSE)-VLOOKUP($A55,main!$A$3:$H$102,6,FALSE)&gt;=(VLOOKUP(VLOOKUP(E$1,main!$A$3:$H$102,8,FALSE),main!$K$26:$M$29,2,FALSE)+VLOOKUP(VLOOKUP(E$1,main!$A$3:$H$102,7,FALSE),main!$K$19:$O$22,MATCH(VLOOKUP($A55,main!$A$3:$H$102,8,FALSE),main!$K$18:$O$18,0))))),1,0)</f>
        <v>0</v>
      </c>
      <c r="F55">
        <f>IF((AND(VLOOKUP(F$1,main!$A$3:$H$102,5,FALSE)-VLOOKUP($A55,main!$A$3:$H$102,6,FALSE)&gt;=(VLOOKUP(VLOOKUP(F$1,main!$A$3:$H$102,8,FALSE),main!$K$26:$M$29,2,FALSE)+VLOOKUP(VLOOKUP(F$1,main!$A$3:$H$102,7,FALSE),main!$K$19:$O$22,MATCH(VLOOKUP($A55,main!$A$3:$H$102,8,FALSE),main!$K$18:$O$18,0))))),1,0)</f>
        <v>0</v>
      </c>
      <c r="G55">
        <f>IF((AND(VLOOKUP(G$1,main!$A$3:$H$102,5,FALSE)-VLOOKUP($A55,main!$A$3:$H$102,6,FALSE)&gt;=(VLOOKUP(VLOOKUP(G$1,main!$A$3:$H$102,8,FALSE),main!$K$26:$M$29,2,FALSE)+VLOOKUP(VLOOKUP(G$1,main!$A$3:$H$102,7,FALSE),main!$K$19:$O$22,MATCH(VLOOKUP($A55,main!$A$3:$H$102,8,FALSE),main!$K$18:$O$18,0))))),1,0)</f>
        <v>0</v>
      </c>
      <c r="H55">
        <f>IF((AND(VLOOKUP(H$1,main!$A$3:$H$102,5,FALSE)-VLOOKUP($A55,main!$A$3:$H$102,6,FALSE)&gt;=(VLOOKUP(VLOOKUP(H$1,main!$A$3:$H$102,8,FALSE),main!$K$26:$M$29,2,FALSE)+VLOOKUP(VLOOKUP(H$1,main!$A$3:$H$102,7,FALSE),main!$K$19:$O$22,MATCH(VLOOKUP($A55,main!$A$3:$H$102,8,FALSE),main!$K$18:$O$18,0))))),1,0)</f>
        <v>0</v>
      </c>
      <c r="I55">
        <f>IF((AND(VLOOKUP(I$1,main!$A$3:$H$102,5,FALSE)-VLOOKUP($A55,main!$A$3:$H$102,6,FALSE)&gt;=(VLOOKUP(VLOOKUP(I$1,main!$A$3:$H$102,8,FALSE),main!$K$26:$M$29,2,FALSE)+VLOOKUP(VLOOKUP(I$1,main!$A$3:$H$102,7,FALSE),main!$K$19:$O$22,MATCH(VLOOKUP($A55,main!$A$3:$H$102,8,FALSE),main!$K$18:$O$18,0))))),1,0)</f>
        <v>0</v>
      </c>
      <c r="J55">
        <f>IF((AND(VLOOKUP(J$1,main!$A$3:$H$102,5,FALSE)-VLOOKUP($A55,main!$A$3:$H$102,6,FALSE)&gt;=(VLOOKUP(VLOOKUP(J$1,main!$A$3:$H$102,8,FALSE),main!$K$26:$M$29,2,FALSE)+VLOOKUP(VLOOKUP(J$1,main!$A$3:$H$102,7,FALSE),main!$K$19:$O$22,MATCH(VLOOKUP($A55,main!$A$3:$H$102,8,FALSE),main!$K$18:$O$18,0))))),1,0)</f>
        <v>1</v>
      </c>
      <c r="K55">
        <f>IF((AND(VLOOKUP(K$1,main!$A$3:$H$102,5,FALSE)-VLOOKUP($A55,main!$A$3:$H$102,6,FALSE)&gt;=(VLOOKUP(VLOOKUP(K$1,main!$A$3:$H$102,8,FALSE),main!$K$26:$M$29,2,FALSE)+VLOOKUP(VLOOKUP(K$1,main!$A$3:$H$102,7,FALSE),main!$K$19:$O$22,MATCH(VLOOKUP($A55,main!$A$3:$H$102,8,FALSE),main!$K$18:$O$18,0))))),1,0)</f>
        <v>1</v>
      </c>
      <c r="L55">
        <f>IF((AND(VLOOKUP(L$1,main!$A$3:$H$102,5,FALSE)-VLOOKUP($A55,main!$A$3:$H$102,6,FALSE)&gt;=(VLOOKUP(VLOOKUP(L$1,main!$A$3:$H$102,8,FALSE),main!$K$26:$M$29,2,FALSE)+VLOOKUP(VLOOKUP(L$1,main!$A$3:$H$102,7,FALSE),main!$K$19:$O$22,MATCH(VLOOKUP($A55,main!$A$3:$H$102,8,FALSE),main!$K$18:$O$18,0))))),1,0)</f>
        <v>1</v>
      </c>
      <c r="M55">
        <f>IF((AND(VLOOKUP(M$1,main!$A$3:$H$102,5,FALSE)-VLOOKUP($A55,main!$A$3:$H$102,6,FALSE)&gt;=(VLOOKUP(VLOOKUP(M$1,main!$A$3:$H$102,8,FALSE),main!$K$26:$M$29,2,FALSE)+VLOOKUP(VLOOKUP(M$1,main!$A$3:$H$102,7,FALSE),main!$K$19:$O$22,MATCH(VLOOKUP($A55,main!$A$3:$H$102,8,FALSE),main!$K$18:$O$18,0))))),1,0)</f>
        <v>0</v>
      </c>
      <c r="N55">
        <f>IF((AND(VLOOKUP(N$1,main!$A$3:$H$102,5,FALSE)-VLOOKUP($A55,main!$A$3:$H$102,6,FALSE)&gt;=(VLOOKUP(VLOOKUP(N$1,main!$A$3:$H$102,8,FALSE),main!$K$26:$M$29,2,FALSE)+VLOOKUP(VLOOKUP(N$1,main!$A$3:$H$102,7,FALSE),main!$K$19:$O$22,MATCH(VLOOKUP($A55,main!$A$3:$H$102,8,FALSE),main!$K$18:$O$18,0))))),1,0)</f>
        <v>0</v>
      </c>
      <c r="O55">
        <f>IF((AND(VLOOKUP(O$1,main!$A$3:$H$102,5,FALSE)-VLOOKUP($A55,main!$A$3:$H$102,6,FALSE)&gt;=(VLOOKUP(VLOOKUP(O$1,main!$A$3:$H$102,8,FALSE),main!$K$26:$M$29,2,FALSE)+VLOOKUP(VLOOKUP(O$1,main!$A$3:$H$102,7,FALSE),main!$K$19:$O$22,MATCH(VLOOKUP($A55,main!$A$3:$H$102,8,FALSE),main!$K$18:$O$18,0))))),1,0)</f>
        <v>0</v>
      </c>
      <c r="P55">
        <f>IF((AND(VLOOKUP(P$1,main!$A$3:$H$102,5,FALSE)-VLOOKUP($A55,main!$A$3:$H$102,6,FALSE)&gt;=(VLOOKUP(VLOOKUP(P$1,main!$A$3:$H$102,8,FALSE),main!$K$26:$M$29,2,FALSE)+VLOOKUP(VLOOKUP(P$1,main!$A$3:$H$102,7,FALSE),main!$K$19:$O$22,MATCH(VLOOKUP($A55,main!$A$3:$H$102,8,FALSE),main!$K$18:$O$18,0))))),1,0)</f>
        <v>0</v>
      </c>
      <c r="Q55">
        <f>IF((AND(VLOOKUP(Q$1,main!$A$3:$H$102,5,FALSE)-VLOOKUP($A55,main!$A$3:$H$102,6,FALSE)&gt;=(VLOOKUP(VLOOKUP(Q$1,main!$A$3:$H$102,8,FALSE),main!$K$26:$M$29,2,FALSE)+VLOOKUP(VLOOKUP(Q$1,main!$A$3:$H$102,7,FALSE),main!$K$19:$O$22,MATCH(VLOOKUP($A55,main!$A$3:$H$102,8,FALSE),main!$K$18:$O$18,0))))),1,0)</f>
        <v>0</v>
      </c>
      <c r="R55">
        <f>IF((AND(VLOOKUP(R$1,main!$A$3:$H$102,5,FALSE)-VLOOKUP($A55,main!$A$3:$H$102,6,FALSE)&gt;=(VLOOKUP(VLOOKUP(R$1,main!$A$3:$H$102,8,FALSE),main!$K$26:$M$29,2,FALSE)+VLOOKUP(VLOOKUP(R$1,main!$A$3:$H$102,7,FALSE),main!$K$19:$O$22,MATCH(VLOOKUP($A55,main!$A$3:$H$102,8,FALSE),main!$K$18:$O$18,0))))),1,0)</f>
        <v>0</v>
      </c>
      <c r="S55">
        <f>IF((AND(VLOOKUP(S$1,main!$A$3:$H$102,5,FALSE)-VLOOKUP($A55,main!$A$3:$H$102,6,FALSE)&gt;=(VLOOKUP(VLOOKUP(S$1,main!$A$3:$H$102,8,FALSE),main!$K$26:$M$29,2,FALSE)+VLOOKUP(VLOOKUP(S$1,main!$A$3:$H$102,7,FALSE),main!$K$19:$O$22,MATCH(VLOOKUP($A55,main!$A$3:$H$102,8,FALSE),main!$K$18:$O$18,0))))),1,0)</f>
        <v>0</v>
      </c>
      <c r="T55">
        <f>IF((AND(VLOOKUP(T$1,main!$A$3:$H$102,5,FALSE)-VLOOKUP($A55,main!$A$3:$H$102,6,FALSE)&gt;=(VLOOKUP(VLOOKUP(T$1,main!$A$3:$H$102,8,FALSE),main!$K$26:$M$29,2,FALSE)+VLOOKUP(VLOOKUP(T$1,main!$A$3:$H$102,7,FALSE),main!$K$19:$O$22,MATCH(VLOOKUP($A55,main!$A$3:$H$102,8,FALSE),main!$K$18:$O$18,0))))),1,0)</f>
        <v>0</v>
      </c>
      <c r="U55">
        <f>IF((AND(VLOOKUP(U$1,main!$A$3:$H$102,5,FALSE)-VLOOKUP($A55,main!$A$3:$H$102,6,FALSE)&gt;=(VLOOKUP(VLOOKUP(U$1,main!$A$3:$H$102,8,FALSE),main!$K$26:$M$29,2,FALSE)+VLOOKUP(VLOOKUP(U$1,main!$A$3:$H$102,7,FALSE),main!$K$19:$O$22,MATCH(VLOOKUP($A55,main!$A$3:$H$102,8,FALSE),main!$K$18:$O$18,0))))),1,0)</f>
        <v>1</v>
      </c>
      <c r="V55">
        <f>IF((AND(VLOOKUP(V$1,main!$A$3:$H$102,5,FALSE)-VLOOKUP($A55,main!$A$3:$H$102,6,FALSE)&gt;=(VLOOKUP(VLOOKUP(V$1,main!$A$3:$H$102,8,FALSE),main!$K$26:$M$29,2,FALSE)+VLOOKUP(VLOOKUP(V$1,main!$A$3:$H$102,7,FALSE),main!$K$19:$O$22,MATCH(VLOOKUP($A55,main!$A$3:$H$102,8,FALSE),main!$K$18:$O$18,0))))),1,0)</f>
        <v>1</v>
      </c>
      <c r="W55">
        <f>IF((AND(VLOOKUP(W$1,main!$A$3:$H$102,5,FALSE)-VLOOKUP($A55,main!$A$3:$H$102,6,FALSE)&gt;=(VLOOKUP(VLOOKUP(W$1,main!$A$3:$H$102,8,FALSE),main!$K$26:$M$29,2,FALSE)+VLOOKUP(VLOOKUP(W$1,main!$A$3:$H$102,7,FALSE),main!$K$19:$O$22,MATCH(VLOOKUP($A55,main!$A$3:$H$102,8,FALSE),main!$K$18:$O$18,0))))),1,0)</f>
        <v>0</v>
      </c>
      <c r="X55">
        <f>IF((AND(VLOOKUP(X$1,main!$A$3:$H$102,5,FALSE)-VLOOKUP($A55,main!$A$3:$H$102,6,FALSE)&gt;=(VLOOKUP(VLOOKUP(X$1,main!$A$3:$H$102,8,FALSE),main!$K$26:$M$29,2,FALSE)+VLOOKUP(VLOOKUP(X$1,main!$A$3:$H$102,7,FALSE),main!$K$19:$O$22,MATCH(VLOOKUP($A55,main!$A$3:$H$102,8,FALSE),main!$K$18:$O$18,0))))),1,0)</f>
        <v>0</v>
      </c>
      <c r="Y55">
        <f>IF((AND(VLOOKUP(Y$1,main!$A$3:$H$102,5,FALSE)-VLOOKUP($A55,main!$A$3:$H$102,6,FALSE)&gt;=(VLOOKUP(VLOOKUP(Y$1,main!$A$3:$H$102,8,FALSE),main!$K$26:$M$29,2,FALSE)+VLOOKUP(VLOOKUP(Y$1,main!$A$3:$H$102,7,FALSE),main!$K$19:$O$22,MATCH(VLOOKUP($A55,main!$A$3:$H$102,8,FALSE),main!$K$18:$O$18,0))))),1,0)</f>
        <v>0</v>
      </c>
      <c r="Z55">
        <f>IF((AND(VLOOKUP(Z$1,main!$A$3:$H$102,5,FALSE)-VLOOKUP($A55,main!$A$3:$H$102,6,FALSE)&gt;=(VLOOKUP(VLOOKUP(Z$1,main!$A$3:$H$102,8,FALSE),main!$K$26:$M$29,2,FALSE)+VLOOKUP(VLOOKUP(Z$1,main!$A$3:$H$102,7,FALSE),main!$K$19:$O$22,MATCH(VLOOKUP($A55,main!$A$3:$H$102,8,FALSE),main!$K$18:$O$18,0))))),1,0)</f>
        <v>0</v>
      </c>
      <c r="AA55">
        <f>IF((AND(VLOOKUP(AA$1,main!$A$3:$H$102,5,FALSE)-VLOOKUP($A55,main!$A$3:$H$102,6,FALSE)&gt;=(VLOOKUP(VLOOKUP(AA$1,main!$A$3:$H$102,8,FALSE),main!$K$26:$M$29,2,FALSE)+VLOOKUP(VLOOKUP(AA$1,main!$A$3:$H$102,7,FALSE),main!$K$19:$O$22,MATCH(VLOOKUP($A55,main!$A$3:$H$102,8,FALSE),main!$K$18:$O$18,0))))),1,0)</f>
        <v>1</v>
      </c>
      <c r="AB55">
        <f>IF((AND(VLOOKUP(AB$1,main!$A$3:$H$102,5,FALSE)-VLOOKUP($A55,main!$A$3:$H$102,6,FALSE)&gt;=(VLOOKUP(VLOOKUP(AB$1,main!$A$3:$H$102,8,FALSE),main!$K$26:$M$29,2,FALSE)+VLOOKUP(VLOOKUP(AB$1,main!$A$3:$H$102,7,FALSE),main!$K$19:$O$22,MATCH(VLOOKUP($A55,main!$A$3:$H$102,8,FALSE),main!$K$18:$O$18,0))))),1,0)</f>
        <v>0</v>
      </c>
      <c r="AC55">
        <f>IF((AND(VLOOKUP(AC$1,main!$A$3:$H$102,5,FALSE)-VLOOKUP($A55,main!$A$3:$H$102,6,FALSE)&gt;=(VLOOKUP(VLOOKUP(AC$1,main!$A$3:$H$102,8,FALSE),main!$K$26:$M$29,2,FALSE)+VLOOKUP(VLOOKUP(AC$1,main!$A$3:$H$102,7,FALSE),main!$K$19:$O$22,MATCH(VLOOKUP($A55,main!$A$3:$H$102,8,FALSE),main!$K$18:$O$18,0))))),1,0)</f>
        <v>0</v>
      </c>
      <c r="AD55">
        <f>IF((AND(VLOOKUP(AD$1,main!$A$3:$H$102,5,FALSE)-VLOOKUP($A55,main!$A$3:$H$102,6,FALSE)&gt;=(VLOOKUP(VLOOKUP(AD$1,main!$A$3:$H$102,8,FALSE),main!$K$26:$M$29,2,FALSE)+VLOOKUP(VLOOKUP(AD$1,main!$A$3:$H$102,7,FALSE),main!$K$19:$O$22,MATCH(VLOOKUP($A55,main!$A$3:$H$102,8,FALSE),main!$K$18:$O$18,0))))),1,0)</f>
        <v>0</v>
      </c>
      <c r="AE55">
        <f>IF((AND(VLOOKUP(AE$1,main!$A$3:$H$102,5,FALSE)-VLOOKUP($A55,main!$A$3:$H$102,6,FALSE)&gt;=(VLOOKUP(VLOOKUP(AE$1,main!$A$3:$H$102,8,FALSE),main!$K$26:$M$29,2,FALSE)+VLOOKUP(VLOOKUP(AE$1,main!$A$3:$H$102,7,FALSE),main!$K$19:$O$22,MATCH(VLOOKUP($A55,main!$A$3:$H$102,8,FALSE),main!$K$18:$O$18,0))))),1,0)</f>
        <v>0</v>
      </c>
      <c r="AF55">
        <f>IF((AND(VLOOKUP(AF$1,main!$A$3:$H$102,5,FALSE)-VLOOKUP($A55,main!$A$3:$H$102,6,FALSE)&gt;=(VLOOKUP(VLOOKUP(AF$1,main!$A$3:$H$102,8,FALSE),main!$K$26:$M$29,2,FALSE)+VLOOKUP(VLOOKUP(AF$1,main!$A$3:$H$102,7,FALSE),main!$K$19:$O$22,MATCH(VLOOKUP($A55,main!$A$3:$H$102,8,FALSE),main!$K$18:$O$18,0))))),1,0)</f>
        <v>1</v>
      </c>
      <c r="AG55">
        <f>IF((AND(VLOOKUP(AG$1,main!$A$3:$H$102,5,FALSE)-VLOOKUP($A55,main!$A$3:$H$102,6,FALSE)&gt;=(VLOOKUP(VLOOKUP(AG$1,main!$A$3:$H$102,8,FALSE),main!$K$26:$M$29,2,FALSE)+VLOOKUP(VLOOKUP(AG$1,main!$A$3:$H$102,7,FALSE),main!$K$19:$O$22,MATCH(VLOOKUP($A55,main!$A$3:$H$102,8,FALSE),main!$K$18:$O$18,0))))),1,0)</f>
        <v>0</v>
      </c>
      <c r="AH55">
        <f>IF((AND(VLOOKUP(AH$1,main!$A$3:$H$102,5,FALSE)-VLOOKUP($A55,main!$A$3:$H$102,6,FALSE)&gt;=(VLOOKUP(VLOOKUP(AH$1,main!$A$3:$H$102,8,FALSE),main!$K$26:$M$29,2,FALSE)+VLOOKUP(VLOOKUP(AH$1,main!$A$3:$H$102,7,FALSE),main!$K$19:$O$22,MATCH(VLOOKUP($A55,main!$A$3:$H$102,8,FALSE),main!$K$18:$O$18,0))))),1,0)</f>
        <v>0</v>
      </c>
      <c r="AI55">
        <f>IF((AND(VLOOKUP(AI$1,main!$A$3:$H$102,5,FALSE)-VLOOKUP($A55,main!$A$3:$H$102,6,FALSE)&gt;=(VLOOKUP(VLOOKUP(AI$1,main!$A$3:$H$102,8,FALSE),main!$K$26:$M$29,2,FALSE)+VLOOKUP(VLOOKUP(AI$1,main!$A$3:$H$102,7,FALSE),main!$K$19:$O$22,MATCH(VLOOKUP($A55,main!$A$3:$H$102,8,FALSE),main!$K$18:$O$18,0))))),1,0)</f>
        <v>0</v>
      </c>
      <c r="AJ55">
        <f>IF((AND(VLOOKUP(AJ$1,main!$A$3:$H$102,5,FALSE)-VLOOKUP($A55,main!$A$3:$H$102,6,FALSE)&gt;=(VLOOKUP(VLOOKUP(AJ$1,main!$A$3:$H$102,8,FALSE),main!$K$26:$M$29,2,FALSE)+VLOOKUP(VLOOKUP(AJ$1,main!$A$3:$H$102,7,FALSE),main!$K$19:$O$22,MATCH(VLOOKUP($A55,main!$A$3:$H$102,8,FALSE),main!$K$18:$O$18,0))))),1,0)</f>
        <v>0</v>
      </c>
      <c r="AK55">
        <f>IF((AND(VLOOKUP(AK$1,main!$A$3:$H$102,5,FALSE)-VLOOKUP($A55,main!$A$3:$H$102,6,FALSE)&gt;=(VLOOKUP(VLOOKUP(AK$1,main!$A$3:$H$102,8,FALSE),main!$K$26:$M$29,2,FALSE)+VLOOKUP(VLOOKUP(AK$1,main!$A$3:$H$102,7,FALSE),main!$K$19:$O$22,MATCH(VLOOKUP($A55,main!$A$3:$H$102,8,FALSE),main!$K$18:$O$18,0))))),1,0)</f>
        <v>0</v>
      </c>
      <c r="AL55">
        <f>IF((AND(VLOOKUP(AL$1,main!$A$3:$H$102,5,FALSE)-VLOOKUP($A55,main!$A$3:$H$102,6,FALSE)&gt;=(VLOOKUP(VLOOKUP(AL$1,main!$A$3:$H$102,8,FALSE),main!$K$26:$M$29,2,FALSE)+VLOOKUP(VLOOKUP(AL$1,main!$A$3:$H$102,7,FALSE),main!$K$19:$O$22,MATCH(VLOOKUP($A55,main!$A$3:$H$102,8,FALSE),main!$K$18:$O$18,0))))),1,0)</f>
        <v>0</v>
      </c>
      <c r="AM55">
        <f>IF((AND(VLOOKUP(AM$1,main!$A$3:$H$102,5,FALSE)-VLOOKUP($A55,main!$A$3:$H$102,6,FALSE)&gt;=(VLOOKUP(VLOOKUP(AM$1,main!$A$3:$H$102,8,FALSE),main!$K$26:$M$29,2,FALSE)+VLOOKUP(VLOOKUP(AM$1,main!$A$3:$H$102,7,FALSE),main!$K$19:$O$22,MATCH(VLOOKUP($A55,main!$A$3:$H$102,8,FALSE),main!$K$18:$O$18,0))))),1,0)</f>
        <v>1</v>
      </c>
      <c r="AN55">
        <f>IF((AND(VLOOKUP(AN$1,main!$A$3:$H$102,5,FALSE)-VLOOKUP($A55,main!$A$3:$H$102,6,FALSE)&gt;=(VLOOKUP(VLOOKUP(AN$1,main!$A$3:$H$102,8,FALSE),main!$K$26:$M$29,2,FALSE)+VLOOKUP(VLOOKUP(AN$1,main!$A$3:$H$102,7,FALSE),main!$K$19:$O$22,MATCH(VLOOKUP($A55,main!$A$3:$H$102,8,FALSE),main!$K$18:$O$18,0))))),1,0)</f>
        <v>1</v>
      </c>
      <c r="AO55">
        <f>IF((AND(VLOOKUP(AO$1,main!$A$3:$H$102,5,FALSE)-VLOOKUP($A55,main!$A$3:$H$102,6,FALSE)&gt;=(VLOOKUP(VLOOKUP(AO$1,main!$A$3:$H$102,8,FALSE),main!$K$26:$M$29,2,FALSE)+VLOOKUP(VLOOKUP(AO$1,main!$A$3:$H$102,7,FALSE),main!$K$19:$O$22,MATCH(VLOOKUP($A55,main!$A$3:$H$102,8,FALSE),main!$K$18:$O$18,0))))),1,0)</f>
        <v>0</v>
      </c>
      <c r="AP55">
        <f>IF((AND(VLOOKUP(AP$1,main!$A$3:$H$102,5,FALSE)-VLOOKUP($A55,main!$A$3:$H$102,6,FALSE)&gt;=(VLOOKUP(VLOOKUP(AP$1,main!$A$3:$H$102,8,FALSE),main!$K$26:$M$29,2,FALSE)+VLOOKUP(VLOOKUP(AP$1,main!$A$3:$H$102,7,FALSE),main!$K$19:$O$22,MATCH(VLOOKUP($A55,main!$A$3:$H$102,8,FALSE),main!$K$18:$O$18,0))))),1,0)</f>
        <v>1</v>
      </c>
      <c r="AQ55">
        <f>IF((AND(VLOOKUP(AQ$1,main!$A$3:$H$102,5,FALSE)-VLOOKUP($A55,main!$A$3:$H$102,6,FALSE)&gt;=(VLOOKUP(VLOOKUP(AQ$1,main!$A$3:$H$102,8,FALSE),main!$K$26:$M$29,2,FALSE)+VLOOKUP(VLOOKUP(AQ$1,main!$A$3:$H$102,7,FALSE),main!$K$19:$O$22,MATCH(VLOOKUP($A55,main!$A$3:$H$102,8,FALSE),main!$K$18:$O$18,0))))),1,0)</f>
        <v>0</v>
      </c>
      <c r="AR55">
        <f>IF((AND(VLOOKUP(AR$1,main!$A$3:$H$102,5,FALSE)-VLOOKUP($A55,main!$A$3:$H$102,6,FALSE)&gt;=(VLOOKUP(VLOOKUP(AR$1,main!$A$3:$H$102,8,FALSE),main!$K$26:$M$29,2,FALSE)+VLOOKUP(VLOOKUP(AR$1,main!$A$3:$H$102,7,FALSE),main!$K$19:$O$22,MATCH(VLOOKUP($A55,main!$A$3:$H$102,8,FALSE),main!$K$18:$O$18,0))))),1,0)</f>
        <v>0</v>
      </c>
      <c r="AS55">
        <f>IF((AND(VLOOKUP(AS$1,main!$A$3:$H$102,5,FALSE)-VLOOKUP($A55,main!$A$3:$H$102,6,FALSE)&gt;=(VLOOKUP(VLOOKUP(AS$1,main!$A$3:$H$102,8,FALSE),main!$K$26:$M$29,2,FALSE)+VLOOKUP(VLOOKUP(AS$1,main!$A$3:$H$102,7,FALSE),main!$K$19:$O$22,MATCH(VLOOKUP($A55,main!$A$3:$H$102,8,FALSE),main!$K$18:$O$18,0))))),1,0)</f>
        <v>0</v>
      </c>
      <c r="AT55">
        <f>IF((AND(VLOOKUP(AT$1,main!$A$3:$H$102,5,FALSE)-VLOOKUP($A55,main!$A$3:$H$102,6,FALSE)&gt;=(VLOOKUP(VLOOKUP(AT$1,main!$A$3:$H$102,8,FALSE),main!$K$26:$M$29,2,FALSE)+VLOOKUP(VLOOKUP(AT$1,main!$A$3:$H$102,7,FALSE),main!$K$19:$O$22,MATCH(VLOOKUP($A55,main!$A$3:$H$102,8,FALSE),main!$K$18:$O$18,0))))),1,0)</f>
        <v>0</v>
      </c>
      <c r="AU55">
        <f>IF((AND(VLOOKUP(AU$1,main!$A$3:$H$102,5,FALSE)-VLOOKUP($A55,main!$A$3:$H$102,6,FALSE)&gt;=(VLOOKUP(VLOOKUP(AU$1,main!$A$3:$H$102,8,FALSE),main!$K$26:$M$29,2,FALSE)+VLOOKUP(VLOOKUP(AU$1,main!$A$3:$H$102,7,FALSE),main!$K$19:$O$22,MATCH(VLOOKUP($A55,main!$A$3:$H$102,8,FALSE),main!$K$18:$O$18,0))))),1,0)</f>
        <v>0</v>
      </c>
      <c r="AV55">
        <f>IF((AND(VLOOKUP(AV$1,main!$A$3:$H$102,5,FALSE)-VLOOKUP($A55,main!$A$3:$H$102,6,FALSE)&gt;=(VLOOKUP(VLOOKUP(AV$1,main!$A$3:$H$102,8,FALSE),main!$K$26:$M$29,2,FALSE)+VLOOKUP(VLOOKUP(AV$1,main!$A$3:$H$102,7,FALSE),main!$K$19:$O$22,MATCH(VLOOKUP($A55,main!$A$3:$H$102,8,FALSE),main!$K$18:$O$18,0))))),1,0)</f>
        <v>0</v>
      </c>
      <c r="AW55">
        <f>IF((AND(VLOOKUP(AW$1,main!$A$3:$H$102,5,FALSE)-VLOOKUP($A55,main!$A$3:$H$102,6,FALSE)&gt;=(VLOOKUP(VLOOKUP(AW$1,main!$A$3:$H$102,8,FALSE),main!$K$26:$M$29,2,FALSE)+VLOOKUP(VLOOKUP(AW$1,main!$A$3:$H$102,7,FALSE),main!$K$19:$O$22,MATCH(VLOOKUP($A55,main!$A$3:$H$102,8,FALSE),main!$K$18:$O$18,0))))),1,0)</f>
        <v>0</v>
      </c>
      <c r="AX55">
        <f>IF((AND(VLOOKUP(AX$1,main!$A$3:$H$102,5,FALSE)-VLOOKUP($A55,main!$A$3:$H$102,6,FALSE)&gt;=(VLOOKUP(VLOOKUP(AX$1,main!$A$3:$H$102,8,FALSE),main!$K$26:$M$29,2,FALSE)+VLOOKUP(VLOOKUP(AX$1,main!$A$3:$H$102,7,FALSE),main!$K$19:$O$22,MATCH(VLOOKUP($A55,main!$A$3:$H$102,8,FALSE),main!$K$18:$O$18,0))))),1,0)</f>
        <v>0</v>
      </c>
      <c r="AY55">
        <f>IF((AND(VLOOKUP(AY$1,main!$A$3:$H$102,5,FALSE)-VLOOKUP($A55,main!$A$3:$H$102,6,FALSE)&gt;=(VLOOKUP(VLOOKUP(AY$1,main!$A$3:$H$102,8,FALSE),main!$K$26:$M$29,2,FALSE)+VLOOKUP(VLOOKUP(AY$1,main!$A$3:$H$102,7,FALSE),main!$K$19:$O$22,MATCH(VLOOKUP($A55,main!$A$3:$H$102,8,FALSE),main!$K$18:$O$18,0))))),1,0)</f>
        <v>0</v>
      </c>
      <c r="AZ55">
        <f>IF((AND(VLOOKUP(AZ$1,main!$A$3:$H$102,5,FALSE)-VLOOKUP($A55,main!$A$3:$H$102,6,FALSE)&gt;=(VLOOKUP(VLOOKUP(AZ$1,main!$A$3:$H$102,8,FALSE),main!$K$26:$M$29,2,FALSE)+VLOOKUP(VLOOKUP(AZ$1,main!$A$3:$H$102,7,FALSE),main!$K$19:$O$22,MATCH(VLOOKUP($A55,main!$A$3:$H$102,8,FALSE),main!$K$18:$O$18,0))))),1,0)</f>
        <v>0</v>
      </c>
      <c r="BA55">
        <f>IF((AND(VLOOKUP(BA$1,main!$A$3:$H$102,5,FALSE)-VLOOKUP($A55,main!$A$3:$H$102,6,FALSE)&gt;=(VLOOKUP(VLOOKUP(BA$1,main!$A$3:$H$102,8,FALSE),main!$K$26:$M$29,2,FALSE)+VLOOKUP(VLOOKUP(BA$1,main!$A$3:$H$102,7,FALSE),main!$K$19:$O$22,MATCH(VLOOKUP($A55,main!$A$3:$H$102,8,FALSE),main!$K$18:$O$18,0))))),1,0)</f>
        <v>0</v>
      </c>
      <c r="BB55">
        <f>IF((AND(VLOOKUP(BB$1,main!$A$3:$H$102,5,FALSE)-VLOOKUP($A55,main!$A$3:$H$102,6,FALSE)&gt;=(VLOOKUP(VLOOKUP(BB$1,main!$A$3:$H$102,8,FALSE),main!$K$26:$M$29,2,FALSE)+VLOOKUP(VLOOKUP(BB$1,main!$A$3:$H$102,7,FALSE),main!$K$19:$O$22,MATCH(VLOOKUP($A55,main!$A$3:$H$102,8,FALSE),main!$K$18:$O$18,0))))),1,0)</f>
        <v>0</v>
      </c>
      <c r="BC55">
        <f>IF((AND(VLOOKUP(BC$1,main!$A$3:$H$102,5,FALSE)-VLOOKUP($A55,main!$A$3:$H$102,6,FALSE)&gt;=(VLOOKUP(VLOOKUP(BC$1,main!$A$3:$H$102,8,FALSE),main!$K$26:$M$29,2,FALSE)+VLOOKUP(VLOOKUP(BC$1,main!$A$3:$H$102,7,FALSE),main!$K$19:$O$22,MATCH(VLOOKUP($A55,main!$A$3:$H$102,8,FALSE),main!$K$18:$O$18,0))))),1,0)</f>
        <v>0</v>
      </c>
      <c r="BD55">
        <f>IF((AND(VLOOKUP(BD$1,main!$A$3:$H$102,5,FALSE)-VLOOKUP($A55,main!$A$3:$H$102,6,FALSE)&gt;=(VLOOKUP(VLOOKUP(BD$1,main!$A$3:$H$102,8,FALSE),main!$K$26:$M$29,2,FALSE)+VLOOKUP(VLOOKUP(BD$1,main!$A$3:$H$102,7,FALSE),main!$K$19:$O$22,MATCH(VLOOKUP($A55,main!$A$3:$H$102,8,FALSE),main!$K$18:$O$18,0))))),1,0)</f>
        <v>0</v>
      </c>
      <c r="BE55">
        <f>IF((AND(VLOOKUP(BE$1,main!$A$3:$H$102,5,FALSE)-VLOOKUP($A55,main!$A$3:$H$102,6,FALSE)&gt;=(VLOOKUP(VLOOKUP(BE$1,main!$A$3:$H$102,8,FALSE),main!$K$26:$M$29,2,FALSE)+VLOOKUP(VLOOKUP(BE$1,main!$A$3:$H$102,7,FALSE),main!$K$19:$O$22,MATCH(VLOOKUP($A55,main!$A$3:$H$102,8,FALSE),main!$K$18:$O$18,0))))),1,0)</f>
        <v>0</v>
      </c>
      <c r="BF55">
        <f>IF((AND(VLOOKUP(BF$1,main!$A$3:$H$102,5,FALSE)-VLOOKUP($A55,main!$A$3:$H$102,6,FALSE)&gt;=(VLOOKUP(VLOOKUP(BF$1,main!$A$3:$H$102,8,FALSE),main!$K$26:$M$29,2,FALSE)+VLOOKUP(VLOOKUP(BF$1,main!$A$3:$H$102,7,FALSE),main!$K$19:$O$22,MATCH(VLOOKUP($A55,main!$A$3:$H$102,8,FALSE),main!$K$18:$O$18,0))))),1,0)</f>
        <v>0</v>
      </c>
      <c r="BG55">
        <f>IF((AND(VLOOKUP(BG$1,main!$A$3:$H$102,5,FALSE)-VLOOKUP($A55,main!$A$3:$H$102,6,FALSE)&gt;=(VLOOKUP(VLOOKUP(BG$1,main!$A$3:$H$102,8,FALSE),main!$K$26:$M$29,2,FALSE)+VLOOKUP(VLOOKUP(BG$1,main!$A$3:$H$102,7,FALSE),main!$K$19:$O$22,MATCH(VLOOKUP($A55,main!$A$3:$H$102,8,FALSE),main!$K$18:$O$18,0))))),1,0)</f>
        <v>0</v>
      </c>
      <c r="BH55">
        <f>IF((AND(VLOOKUP(BH$1,main!$A$3:$H$102,5,FALSE)-VLOOKUP($A55,main!$A$3:$H$102,6,FALSE)&gt;=(VLOOKUP(VLOOKUP(BH$1,main!$A$3:$H$102,8,FALSE),main!$K$26:$M$29,2,FALSE)+VLOOKUP(VLOOKUP(BH$1,main!$A$3:$H$102,7,FALSE),main!$K$19:$O$22,MATCH(VLOOKUP($A55,main!$A$3:$H$102,8,FALSE),main!$K$18:$O$18,0))))),1,0)</f>
        <v>0</v>
      </c>
      <c r="BI55">
        <f>IF((AND(VLOOKUP(BI$1,main!$A$3:$H$102,5,FALSE)-VLOOKUP($A55,main!$A$3:$H$102,6,FALSE)&gt;=(VLOOKUP(VLOOKUP(BI$1,main!$A$3:$H$102,8,FALSE),main!$K$26:$M$29,2,FALSE)+VLOOKUP(VLOOKUP(BI$1,main!$A$3:$H$102,7,FALSE),main!$K$19:$O$22,MATCH(VLOOKUP($A55,main!$A$3:$H$102,8,FALSE),main!$K$18:$O$18,0))))),1,0)</f>
        <v>1</v>
      </c>
      <c r="BJ55">
        <f>IF((AND(VLOOKUP(BJ$1,main!$A$3:$H$102,5,FALSE)-VLOOKUP($A55,main!$A$3:$H$102,6,FALSE)&gt;=(VLOOKUP(VLOOKUP(BJ$1,main!$A$3:$H$102,8,FALSE),main!$K$26:$M$29,2,FALSE)+VLOOKUP(VLOOKUP(BJ$1,main!$A$3:$H$102,7,FALSE),main!$K$19:$O$22,MATCH(VLOOKUP($A55,main!$A$3:$H$102,8,FALSE),main!$K$18:$O$18,0))))),1,0)</f>
        <v>0</v>
      </c>
      <c r="BK55">
        <f>IF((AND(VLOOKUP(BK$1,main!$A$3:$H$102,5,FALSE)-VLOOKUP($A55,main!$A$3:$H$102,6,FALSE)&gt;=(VLOOKUP(VLOOKUP(BK$1,main!$A$3:$H$102,8,FALSE),main!$K$26:$M$29,2,FALSE)+VLOOKUP(VLOOKUP(BK$1,main!$A$3:$H$102,7,FALSE),main!$K$19:$O$22,MATCH(VLOOKUP($A55,main!$A$3:$H$102,8,FALSE),main!$K$18:$O$18,0))))),1,0)</f>
        <v>0</v>
      </c>
      <c r="BL55">
        <f>IF((AND(VLOOKUP(BL$1,main!$A$3:$H$102,5,FALSE)-VLOOKUP($A55,main!$A$3:$H$102,6,FALSE)&gt;=(VLOOKUP(VLOOKUP(BL$1,main!$A$3:$H$102,8,FALSE),main!$K$26:$M$29,2,FALSE)+VLOOKUP(VLOOKUP(BL$1,main!$A$3:$H$102,7,FALSE),main!$K$19:$O$22,MATCH(VLOOKUP($A55,main!$A$3:$H$102,8,FALSE),main!$K$18:$O$18,0))))),1,0)</f>
        <v>0</v>
      </c>
      <c r="BM55">
        <f>IF((AND(VLOOKUP(BM$1,main!$A$3:$H$102,5,FALSE)-VLOOKUP($A55,main!$A$3:$H$102,6,FALSE)&gt;=(VLOOKUP(VLOOKUP(BM$1,main!$A$3:$H$102,8,FALSE),main!$K$26:$M$29,2,FALSE)+VLOOKUP(VLOOKUP(BM$1,main!$A$3:$H$102,7,FALSE),main!$K$19:$O$22,MATCH(VLOOKUP($A55,main!$A$3:$H$102,8,FALSE),main!$K$18:$O$18,0))))),1,0)</f>
        <v>0</v>
      </c>
      <c r="BN55">
        <f>IF((AND(VLOOKUP(BN$1,main!$A$3:$H$102,5,FALSE)-VLOOKUP($A55,main!$A$3:$H$102,6,FALSE)&gt;=(VLOOKUP(VLOOKUP(BN$1,main!$A$3:$H$102,8,FALSE),main!$K$26:$M$29,2,FALSE)+VLOOKUP(VLOOKUP(BN$1,main!$A$3:$H$102,7,FALSE),main!$K$19:$O$22,MATCH(VLOOKUP($A55,main!$A$3:$H$102,8,FALSE),main!$K$18:$O$18,0))))),1,0)</f>
        <v>0</v>
      </c>
      <c r="BO55">
        <f>IF((AND(VLOOKUP(BO$1,main!$A$3:$H$102,5,FALSE)-VLOOKUP($A55,main!$A$3:$H$102,6,FALSE)&gt;=(VLOOKUP(VLOOKUP(BO$1,main!$A$3:$H$102,8,FALSE),main!$K$26:$M$29,2,FALSE)+VLOOKUP(VLOOKUP(BO$1,main!$A$3:$H$102,7,FALSE),main!$K$19:$O$22,MATCH(VLOOKUP($A55,main!$A$3:$H$102,8,FALSE),main!$K$18:$O$18,0))))),1,0)</f>
        <v>0</v>
      </c>
      <c r="BP55">
        <f>IF((AND(VLOOKUP(BP$1,main!$A$3:$H$102,5,FALSE)-VLOOKUP($A55,main!$A$3:$H$102,6,FALSE)&gt;=(VLOOKUP(VLOOKUP(BP$1,main!$A$3:$H$102,8,FALSE),main!$K$26:$M$29,2,FALSE)+VLOOKUP(VLOOKUP(BP$1,main!$A$3:$H$102,7,FALSE),main!$K$19:$O$22,MATCH(VLOOKUP($A55,main!$A$3:$H$102,8,FALSE),main!$K$18:$O$18,0))))),1,0)</f>
        <v>0</v>
      </c>
      <c r="BQ55">
        <f>IF((AND(VLOOKUP(BQ$1,main!$A$3:$H$102,5,FALSE)-VLOOKUP($A55,main!$A$3:$H$102,6,FALSE)&gt;=(VLOOKUP(VLOOKUP(BQ$1,main!$A$3:$H$102,8,FALSE),main!$K$26:$M$29,2,FALSE)+VLOOKUP(VLOOKUP(BQ$1,main!$A$3:$H$102,7,FALSE),main!$K$19:$O$22,MATCH(VLOOKUP($A55,main!$A$3:$H$102,8,FALSE),main!$K$18:$O$18,0))))),1,0)</f>
        <v>0</v>
      </c>
      <c r="BR55">
        <f>IF((AND(VLOOKUP(BR$1,main!$A$3:$H$102,5,FALSE)-VLOOKUP($A55,main!$A$3:$H$102,6,FALSE)&gt;=(VLOOKUP(VLOOKUP(BR$1,main!$A$3:$H$102,8,FALSE),main!$K$26:$M$29,2,FALSE)+VLOOKUP(VLOOKUP(BR$1,main!$A$3:$H$102,7,FALSE),main!$K$19:$O$22,MATCH(VLOOKUP($A55,main!$A$3:$H$102,8,FALSE),main!$K$18:$O$18,0))))),1,0)</f>
        <v>0</v>
      </c>
      <c r="BS55">
        <f>IF((AND(VLOOKUP(BS$1,main!$A$3:$H$102,5,FALSE)-VLOOKUP($A55,main!$A$3:$H$102,6,FALSE)&gt;=(VLOOKUP(VLOOKUP(BS$1,main!$A$3:$H$102,8,FALSE),main!$K$26:$M$29,2,FALSE)+VLOOKUP(VLOOKUP(BS$1,main!$A$3:$H$102,7,FALSE),main!$K$19:$O$22,MATCH(VLOOKUP($A55,main!$A$3:$H$102,8,FALSE),main!$K$18:$O$18,0))))),1,0)</f>
        <v>0</v>
      </c>
      <c r="BT55">
        <f>IF((AND(VLOOKUP(BT$1,main!$A$3:$H$102,5,FALSE)-VLOOKUP($A55,main!$A$3:$H$102,6,FALSE)&gt;=(VLOOKUP(VLOOKUP(BT$1,main!$A$3:$H$102,8,FALSE),main!$K$26:$M$29,2,FALSE)+VLOOKUP(VLOOKUP(BT$1,main!$A$3:$H$102,7,FALSE),main!$K$19:$O$22,MATCH(VLOOKUP($A55,main!$A$3:$H$102,8,FALSE),main!$K$18:$O$18,0))))),1,0)</f>
        <v>0</v>
      </c>
      <c r="BU55">
        <f>IF((AND(VLOOKUP(BU$1,main!$A$3:$H$102,5,FALSE)-VLOOKUP($A55,main!$A$3:$H$102,6,FALSE)&gt;=(VLOOKUP(VLOOKUP(BU$1,main!$A$3:$H$102,8,FALSE),main!$K$26:$M$29,2,FALSE)+VLOOKUP(VLOOKUP(BU$1,main!$A$3:$H$102,7,FALSE),main!$K$19:$O$22,MATCH(VLOOKUP($A55,main!$A$3:$H$102,8,FALSE),main!$K$18:$O$18,0))))),1,0)</f>
        <v>0</v>
      </c>
      <c r="BV55">
        <f>IF((AND(VLOOKUP(BV$1,main!$A$3:$H$102,5,FALSE)-VLOOKUP($A55,main!$A$3:$H$102,6,FALSE)&gt;=(VLOOKUP(VLOOKUP(BV$1,main!$A$3:$H$102,8,FALSE),main!$K$26:$M$29,2,FALSE)+VLOOKUP(VLOOKUP(BV$1,main!$A$3:$H$102,7,FALSE),main!$K$19:$O$22,MATCH(VLOOKUP($A55,main!$A$3:$H$102,8,FALSE),main!$K$18:$O$18,0))))),1,0)</f>
        <v>0</v>
      </c>
      <c r="BW55">
        <f>IF((AND(VLOOKUP(BW$1,main!$A$3:$H$102,5,FALSE)-VLOOKUP($A55,main!$A$3:$H$102,6,FALSE)&gt;=(VLOOKUP(VLOOKUP(BW$1,main!$A$3:$H$102,8,FALSE),main!$K$26:$M$29,2,FALSE)+VLOOKUP(VLOOKUP(BW$1,main!$A$3:$H$102,7,FALSE),main!$K$19:$O$22,MATCH(VLOOKUP($A55,main!$A$3:$H$102,8,FALSE),main!$K$18:$O$18,0))))),1,0)</f>
        <v>0</v>
      </c>
      <c r="BX55">
        <f>IF((AND(VLOOKUP(BX$1,main!$A$3:$H$102,5,FALSE)-VLOOKUP($A55,main!$A$3:$H$102,6,FALSE)&gt;=(VLOOKUP(VLOOKUP(BX$1,main!$A$3:$H$102,8,FALSE),main!$K$26:$M$29,2,FALSE)+VLOOKUP(VLOOKUP(BX$1,main!$A$3:$H$102,7,FALSE),main!$K$19:$O$22,MATCH(VLOOKUP($A55,main!$A$3:$H$102,8,FALSE),main!$K$18:$O$18,0))))),1,0)</f>
        <v>0</v>
      </c>
      <c r="BY55">
        <f>IF((AND(VLOOKUP(BY$1,main!$A$3:$H$102,5,FALSE)-VLOOKUP($A55,main!$A$3:$H$102,6,FALSE)&gt;=(VLOOKUP(VLOOKUP(BY$1,main!$A$3:$H$102,8,FALSE),main!$K$26:$M$29,2,FALSE)+VLOOKUP(VLOOKUP(BY$1,main!$A$3:$H$102,7,FALSE),main!$K$19:$O$22,MATCH(VLOOKUP($A55,main!$A$3:$H$102,8,FALSE),main!$K$18:$O$18,0))))),1,0)</f>
        <v>0</v>
      </c>
      <c r="BZ55">
        <f>IF((AND(VLOOKUP(BZ$1,main!$A$3:$H$102,5,FALSE)-VLOOKUP($A55,main!$A$3:$H$102,6,FALSE)&gt;=(VLOOKUP(VLOOKUP(BZ$1,main!$A$3:$H$102,8,FALSE),main!$K$26:$M$29,2,FALSE)+VLOOKUP(VLOOKUP(BZ$1,main!$A$3:$H$102,7,FALSE),main!$K$19:$O$22,MATCH(VLOOKUP($A55,main!$A$3:$H$102,8,FALSE),main!$K$18:$O$18,0))))),1,0)</f>
        <v>0</v>
      </c>
      <c r="CA55">
        <f>IF((AND(VLOOKUP(CA$1,main!$A$3:$H$102,5,FALSE)-VLOOKUP($A55,main!$A$3:$H$102,6,FALSE)&gt;=(VLOOKUP(VLOOKUP(CA$1,main!$A$3:$H$102,8,FALSE),main!$K$26:$M$29,2,FALSE)+VLOOKUP(VLOOKUP(CA$1,main!$A$3:$H$102,7,FALSE),main!$K$19:$O$22,MATCH(VLOOKUP($A55,main!$A$3:$H$102,8,FALSE),main!$K$18:$O$18,0))))),1,0)</f>
        <v>0</v>
      </c>
      <c r="CB55">
        <f>IF((AND(VLOOKUP(CB$1,main!$A$3:$H$102,5,FALSE)-VLOOKUP($A55,main!$A$3:$H$102,6,FALSE)&gt;=(VLOOKUP(VLOOKUP(CB$1,main!$A$3:$H$102,8,FALSE),main!$K$26:$M$29,2,FALSE)+VLOOKUP(VLOOKUP(CB$1,main!$A$3:$H$102,7,FALSE),main!$K$19:$O$22,MATCH(VLOOKUP($A55,main!$A$3:$H$102,8,FALSE),main!$K$18:$O$18,0))))),1,0)</f>
        <v>0</v>
      </c>
      <c r="CC55">
        <f>IF((AND(VLOOKUP(CC$1,main!$A$3:$H$102,5,FALSE)-VLOOKUP($A55,main!$A$3:$H$102,6,FALSE)&gt;=(VLOOKUP(VLOOKUP(CC$1,main!$A$3:$H$102,8,FALSE),main!$K$26:$M$29,2,FALSE)+VLOOKUP(VLOOKUP(CC$1,main!$A$3:$H$102,7,FALSE),main!$K$19:$O$22,MATCH(VLOOKUP($A55,main!$A$3:$H$102,8,FALSE),main!$K$18:$O$18,0))))),1,0)</f>
        <v>1</v>
      </c>
      <c r="CD55">
        <f>IF((AND(VLOOKUP(CD$1,main!$A$3:$H$102,5,FALSE)-VLOOKUP($A55,main!$A$3:$H$102,6,FALSE)&gt;=(VLOOKUP(VLOOKUP(CD$1,main!$A$3:$H$102,8,FALSE),main!$K$26:$M$29,2,FALSE)+VLOOKUP(VLOOKUP(CD$1,main!$A$3:$H$102,7,FALSE),main!$K$19:$O$22,MATCH(VLOOKUP($A55,main!$A$3:$H$102,8,FALSE),main!$K$18:$O$18,0))))),1,0)</f>
        <v>0</v>
      </c>
      <c r="CE55">
        <f>IF((AND(VLOOKUP(CE$1,main!$A$3:$H$102,5,FALSE)-VLOOKUP($A55,main!$A$3:$H$102,6,FALSE)&gt;=(VLOOKUP(VLOOKUP(CE$1,main!$A$3:$H$102,8,FALSE),main!$K$26:$M$29,2,FALSE)+VLOOKUP(VLOOKUP(CE$1,main!$A$3:$H$102,7,FALSE),main!$K$19:$O$22,MATCH(VLOOKUP($A55,main!$A$3:$H$102,8,FALSE),main!$K$18:$O$18,0))))),1,0)</f>
        <v>0</v>
      </c>
      <c r="CF55">
        <f>IF((AND(VLOOKUP(CF$1,main!$A$3:$H$102,5,FALSE)-VLOOKUP($A55,main!$A$3:$H$102,6,FALSE)&gt;=(VLOOKUP(VLOOKUP(CF$1,main!$A$3:$H$102,8,FALSE),main!$K$26:$M$29,2,FALSE)+VLOOKUP(VLOOKUP(CF$1,main!$A$3:$H$102,7,FALSE),main!$K$19:$O$22,MATCH(VLOOKUP($A55,main!$A$3:$H$102,8,FALSE),main!$K$18:$O$18,0))))),1,0)</f>
        <v>0</v>
      </c>
      <c r="CG55">
        <f>IF((AND(VLOOKUP(CG$1,main!$A$3:$H$102,5,FALSE)-VLOOKUP($A55,main!$A$3:$H$102,6,FALSE)&gt;=(VLOOKUP(VLOOKUP(CG$1,main!$A$3:$H$102,8,FALSE),main!$K$26:$M$29,2,FALSE)+VLOOKUP(VLOOKUP(CG$1,main!$A$3:$H$102,7,FALSE),main!$K$19:$O$22,MATCH(VLOOKUP($A55,main!$A$3:$H$102,8,FALSE),main!$K$18:$O$18,0))))),1,0)</f>
        <v>0</v>
      </c>
      <c r="CH55">
        <f>IF((AND(VLOOKUP(CH$1,main!$A$3:$H$102,5,FALSE)-VLOOKUP($A55,main!$A$3:$H$102,6,FALSE)&gt;=(VLOOKUP(VLOOKUP(CH$1,main!$A$3:$H$102,8,FALSE),main!$K$26:$M$29,2,FALSE)+VLOOKUP(VLOOKUP(CH$1,main!$A$3:$H$102,7,FALSE),main!$K$19:$O$22,MATCH(VLOOKUP($A55,main!$A$3:$H$102,8,FALSE),main!$K$18:$O$18,0))))),1,0)</f>
        <v>0</v>
      </c>
      <c r="CI55">
        <f>IF((AND(VLOOKUP(CI$1,main!$A$3:$H$102,5,FALSE)-VLOOKUP($A55,main!$A$3:$H$102,6,FALSE)&gt;=(VLOOKUP(VLOOKUP(CI$1,main!$A$3:$H$102,8,FALSE),main!$K$26:$M$29,2,FALSE)+VLOOKUP(VLOOKUP(CI$1,main!$A$3:$H$102,7,FALSE),main!$K$19:$O$22,MATCH(VLOOKUP($A55,main!$A$3:$H$102,8,FALSE),main!$K$18:$O$18,0))))),1,0)</f>
        <v>1</v>
      </c>
      <c r="CJ55">
        <f>IF((AND(VLOOKUP(CJ$1,main!$A$3:$H$102,5,FALSE)-VLOOKUP($A55,main!$A$3:$H$102,6,FALSE)&gt;=(VLOOKUP(VLOOKUP(CJ$1,main!$A$3:$H$102,8,FALSE),main!$K$26:$M$29,2,FALSE)+VLOOKUP(VLOOKUP(CJ$1,main!$A$3:$H$102,7,FALSE),main!$K$19:$O$22,MATCH(VLOOKUP($A55,main!$A$3:$H$102,8,FALSE),main!$K$18:$O$18,0))))),1,0)</f>
        <v>0</v>
      </c>
      <c r="CK55">
        <f>IF((AND(VLOOKUP(CK$1,main!$A$3:$H$102,5,FALSE)-VLOOKUP($A55,main!$A$3:$H$102,6,FALSE)&gt;=(VLOOKUP(VLOOKUP(CK$1,main!$A$3:$H$102,8,FALSE),main!$K$26:$M$29,2,FALSE)+VLOOKUP(VLOOKUP(CK$1,main!$A$3:$H$102,7,FALSE),main!$K$19:$O$22,MATCH(VLOOKUP($A55,main!$A$3:$H$102,8,FALSE),main!$K$18:$O$18,0))))),1,0)</f>
        <v>0</v>
      </c>
      <c r="CL55">
        <f>IF((AND(VLOOKUP(CL$1,main!$A$3:$H$102,5,FALSE)-VLOOKUP($A55,main!$A$3:$H$102,6,FALSE)&gt;=(VLOOKUP(VLOOKUP(CL$1,main!$A$3:$H$102,8,FALSE),main!$K$26:$M$29,2,FALSE)+VLOOKUP(VLOOKUP(CL$1,main!$A$3:$H$102,7,FALSE),main!$K$19:$O$22,MATCH(VLOOKUP($A55,main!$A$3:$H$102,8,FALSE),main!$K$18:$O$18,0))))),1,0)</f>
        <v>0</v>
      </c>
      <c r="CM55">
        <f>IF((AND(VLOOKUP(CM$1,main!$A$3:$H$102,5,FALSE)-VLOOKUP($A55,main!$A$3:$H$102,6,FALSE)&gt;=(VLOOKUP(VLOOKUP(CM$1,main!$A$3:$H$102,8,FALSE),main!$K$26:$M$29,2,FALSE)+VLOOKUP(VLOOKUP(CM$1,main!$A$3:$H$102,7,FALSE),main!$K$19:$O$22,MATCH(VLOOKUP($A55,main!$A$3:$H$102,8,FALSE),main!$K$18:$O$18,0))))),1,0)</f>
        <v>0</v>
      </c>
      <c r="CN55">
        <f>IF((AND(VLOOKUP(CN$1,main!$A$3:$H$102,5,FALSE)-VLOOKUP($A55,main!$A$3:$H$102,6,FALSE)&gt;=(VLOOKUP(VLOOKUP(CN$1,main!$A$3:$H$102,8,FALSE),main!$K$26:$M$29,2,FALSE)+VLOOKUP(VLOOKUP(CN$1,main!$A$3:$H$102,7,FALSE),main!$K$19:$O$22,MATCH(VLOOKUP($A55,main!$A$3:$H$102,8,FALSE),main!$K$18:$O$18,0))))),1,0)</f>
        <v>1</v>
      </c>
      <c r="CO55">
        <f>IF((AND(VLOOKUP(CO$1,main!$A$3:$H$102,5,FALSE)-VLOOKUP($A55,main!$A$3:$H$102,6,FALSE)&gt;=(VLOOKUP(VLOOKUP(CO$1,main!$A$3:$H$102,8,FALSE),main!$K$26:$M$29,2,FALSE)+VLOOKUP(VLOOKUP(CO$1,main!$A$3:$H$102,7,FALSE),main!$K$19:$O$22,MATCH(VLOOKUP($A55,main!$A$3:$H$102,8,FALSE),main!$K$18:$O$18,0))))),1,0)</f>
        <v>0</v>
      </c>
      <c r="CP55">
        <f>IF((AND(VLOOKUP(CP$1,main!$A$3:$H$102,5,FALSE)-VLOOKUP($A55,main!$A$3:$H$102,6,FALSE)&gt;=(VLOOKUP(VLOOKUP(CP$1,main!$A$3:$H$102,8,FALSE),main!$K$26:$M$29,2,FALSE)+VLOOKUP(VLOOKUP(CP$1,main!$A$3:$H$102,7,FALSE),main!$K$19:$O$22,MATCH(VLOOKUP($A55,main!$A$3:$H$102,8,FALSE),main!$K$18:$O$18,0))))),1,0)</f>
        <v>0</v>
      </c>
      <c r="CQ55">
        <f>IF((AND(VLOOKUP(CQ$1,main!$A$3:$H$102,5,FALSE)-VLOOKUP($A55,main!$A$3:$H$102,6,FALSE)&gt;=(VLOOKUP(VLOOKUP(CQ$1,main!$A$3:$H$102,8,FALSE),main!$K$26:$M$29,2,FALSE)+VLOOKUP(VLOOKUP(CQ$1,main!$A$3:$H$102,7,FALSE),main!$K$19:$O$22,MATCH(VLOOKUP($A55,main!$A$3:$H$102,8,FALSE),main!$K$18:$O$18,0))))),1,0)</f>
        <v>0</v>
      </c>
      <c r="CR55">
        <f>IF((AND(VLOOKUP(CR$1,main!$A$3:$H$102,5,FALSE)-VLOOKUP($A55,main!$A$3:$H$102,6,FALSE)&gt;=(VLOOKUP(VLOOKUP(CR$1,main!$A$3:$H$102,8,FALSE),main!$K$26:$M$29,2,FALSE)+VLOOKUP(VLOOKUP(CR$1,main!$A$3:$H$102,7,FALSE),main!$K$19:$O$22,MATCH(VLOOKUP($A55,main!$A$3:$H$102,8,FALSE),main!$K$18:$O$18,0))))),1,0)</f>
        <v>0</v>
      </c>
      <c r="CS55">
        <f>IF((AND(VLOOKUP(CS$1,main!$A$3:$H$102,5,FALSE)-VLOOKUP($A55,main!$A$3:$H$102,6,FALSE)&gt;=(VLOOKUP(VLOOKUP(CS$1,main!$A$3:$H$102,8,FALSE),main!$K$26:$M$29,2,FALSE)+VLOOKUP(VLOOKUP(CS$1,main!$A$3:$H$102,7,FALSE),main!$K$19:$O$22,MATCH(VLOOKUP($A55,main!$A$3:$H$102,8,FALSE),main!$K$18:$O$18,0))))),1,0)</f>
        <v>0</v>
      </c>
      <c r="CT55">
        <f>IF((AND(VLOOKUP(CT$1,main!$A$3:$H$102,5,FALSE)-VLOOKUP($A55,main!$A$3:$H$102,6,FALSE)&gt;=(VLOOKUP(VLOOKUP(CT$1,main!$A$3:$H$102,8,FALSE),main!$K$26:$M$29,2,FALSE)+VLOOKUP(VLOOKUP(CT$1,main!$A$3:$H$102,7,FALSE),main!$K$19:$O$22,MATCH(VLOOKUP($A55,main!$A$3:$H$102,8,FALSE),main!$K$18:$O$18,0))))),1,0)</f>
        <v>0</v>
      </c>
      <c r="CU55">
        <f>IF((AND(VLOOKUP(CU$1,main!$A$3:$H$102,5,FALSE)-VLOOKUP($A55,main!$A$3:$H$102,6,FALSE)&gt;=(VLOOKUP(VLOOKUP(CU$1,main!$A$3:$H$102,8,FALSE),main!$K$26:$M$29,2,FALSE)+VLOOKUP(VLOOKUP(CU$1,main!$A$3:$H$102,7,FALSE),main!$K$19:$O$22,MATCH(VLOOKUP($A55,main!$A$3:$H$102,8,FALSE),main!$K$18:$O$18,0))))),1,0)</f>
        <v>0</v>
      </c>
      <c r="CV55">
        <f>IF((AND(VLOOKUP(CV$1,main!$A$3:$H$102,5,FALSE)-VLOOKUP($A55,main!$A$3:$H$102,6,FALSE)&gt;=(VLOOKUP(VLOOKUP(CV$1,main!$A$3:$H$102,8,FALSE),main!$K$26:$M$29,2,FALSE)+VLOOKUP(VLOOKUP(CV$1,main!$A$3:$H$102,7,FALSE),main!$K$19:$O$22,MATCH(VLOOKUP($A55,main!$A$3:$H$102,8,FALSE),main!$K$18:$O$18,0))))),1,0)</f>
        <v>0</v>
      </c>
      <c r="CW55">
        <f>IF((AND(VLOOKUP(CW$1,main!$A$3:$H$102,5,FALSE)-VLOOKUP($A55,main!$A$3:$H$102,6,FALSE)&gt;=(VLOOKUP(VLOOKUP(CW$1,main!$A$3:$H$102,8,FALSE),main!$K$26:$M$29,2,FALSE)+VLOOKUP(VLOOKUP(CW$1,main!$A$3:$H$102,7,FALSE),main!$K$19:$O$22,MATCH(VLOOKUP($A55,main!$A$3:$H$102,8,FALSE),main!$K$18:$O$18,0))))),1,0)</f>
        <v>0</v>
      </c>
      <c r="CX55">
        <f>IF((AND(VLOOKUP(CX$1,main!$A$3:$H$102,5,FALSE)-VLOOKUP($A55,main!$A$3:$H$102,6,FALSE)&gt;=(VLOOKUP(VLOOKUP(CX$1,main!$A$3:$H$102,8,FALSE),main!$K$26:$M$29,2,FALSE)+VLOOKUP(VLOOKUP(CX$1,main!$A$3:$H$102,7,FALSE),main!$K$19:$O$22,MATCH(VLOOKUP($A55,main!$A$3:$H$102,8,FALSE),main!$K$18:$O$18,0))))),1,0)</f>
        <v>0</v>
      </c>
    </row>
    <row r="56" spans="1:102" x14ac:dyDescent="0.25">
      <c r="A56" s="1">
        <v>54</v>
      </c>
      <c r="B56">
        <v>1</v>
      </c>
      <c r="C56">
        <f>IF((AND(VLOOKUP(C$1,main!$A$3:$H$102,5,FALSE)-VLOOKUP($A56,main!$A$3:$H$102,6,FALSE)&gt;=(VLOOKUP(VLOOKUP(C$1,main!$A$3:$H$102,8,FALSE),main!$K$26:$M$29,2,FALSE)+VLOOKUP(VLOOKUP(C$1,main!$A$3:$H$102,7,FALSE),main!$K$19:$O$22,MATCH(VLOOKUP($A56,main!$A$3:$H$102,8,FALSE),main!$K$18:$O$18,0))))),1,0)</f>
        <v>0</v>
      </c>
      <c r="D56">
        <f>IF((AND(VLOOKUP(D$1,main!$A$3:$H$102,5,FALSE)-VLOOKUP($A56,main!$A$3:$H$102,6,FALSE)&gt;=(VLOOKUP(VLOOKUP(D$1,main!$A$3:$H$102,8,FALSE),main!$K$26:$M$29,2,FALSE)+VLOOKUP(VLOOKUP(D$1,main!$A$3:$H$102,7,FALSE),main!$K$19:$O$22,MATCH(VLOOKUP($A56,main!$A$3:$H$102,8,FALSE),main!$K$18:$O$18,0))))),1,0)</f>
        <v>0</v>
      </c>
      <c r="E56">
        <f>IF((AND(VLOOKUP(E$1,main!$A$3:$H$102,5,FALSE)-VLOOKUP($A56,main!$A$3:$H$102,6,FALSE)&gt;=(VLOOKUP(VLOOKUP(E$1,main!$A$3:$H$102,8,FALSE),main!$K$26:$M$29,2,FALSE)+VLOOKUP(VLOOKUP(E$1,main!$A$3:$H$102,7,FALSE),main!$K$19:$O$22,MATCH(VLOOKUP($A56,main!$A$3:$H$102,8,FALSE),main!$K$18:$O$18,0))))),1,0)</f>
        <v>0</v>
      </c>
      <c r="F56">
        <f>IF((AND(VLOOKUP(F$1,main!$A$3:$H$102,5,FALSE)-VLOOKUP($A56,main!$A$3:$H$102,6,FALSE)&gt;=(VLOOKUP(VLOOKUP(F$1,main!$A$3:$H$102,8,FALSE),main!$K$26:$M$29,2,FALSE)+VLOOKUP(VLOOKUP(F$1,main!$A$3:$H$102,7,FALSE),main!$K$19:$O$22,MATCH(VLOOKUP($A56,main!$A$3:$H$102,8,FALSE),main!$K$18:$O$18,0))))),1,0)</f>
        <v>0</v>
      </c>
      <c r="G56">
        <f>IF((AND(VLOOKUP(G$1,main!$A$3:$H$102,5,FALSE)-VLOOKUP($A56,main!$A$3:$H$102,6,FALSE)&gt;=(VLOOKUP(VLOOKUP(G$1,main!$A$3:$H$102,8,FALSE),main!$K$26:$M$29,2,FALSE)+VLOOKUP(VLOOKUP(G$1,main!$A$3:$H$102,7,FALSE),main!$K$19:$O$22,MATCH(VLOOKUP($A56,main!$A$3:$H$102,8,FALSE),main!$K$18:$O$18,0))))),1,0)</f>
        <v>0</v>
      </c>
      <c r="H56">
        <f>IF((AND(VLOOKUP(H$1,main!$A$3:$H$102,5,FALSE)-VLOOKUP($A56,main!$A$3:$H$102,6,FALSE)&gt;=(VLOOKUP(VLOOKUP(H$1,main!$A$3:$H$102,8,FALSE),main!$K$26:$M$29,2,FALSE)+VLOOKUP(VLOOKUP(H$1,main!$A$3:$H$102,7,FALSE),main!$K$19:$O$22,MATCH(VLOOKUP($A56,main!$A$3:$H$102,8,FALSE),main!$K$18:$O$18,0))))),1,0)</f>
        <v>0</v>
      </c>
      <c r="I56">
        <f>IF((AND(VLOOKUP(I$1,main!$A$3:$H$102,5,FALSE)-VLOOKUP($A56,main!$A$3:$H$102,6,FALSE)&gt;=(VLOOKUP(VLOOKUP(I$1,main!$A$3:$H$102,8,FALSE),main!$K$26:$M$29,2,FALSE)+VLOOKUP(VLOOKUP(I$1,main!$A$3:$H$102,7,FALSE),main!$K$19:$O$22,MATCH(VLOOKUP($A56,main!$A$3:$H$102,8,FALSE),main!$K$18:$O$18,0))))),1,0)</f>
        <v>0</v>
      </c>
      <c r="J56">
        <f>IF((AND(VLOOKUP(J$1,main!$A$3:$H$102,5,FALSE)-VLOOKUP($A56,main!$A$3:$H$102,6,FALSE)&gt;=(VLOOKUP(VLOOKUP(J$1,main!$A$3:$H$102,8,FALSE),main!$K$26:$M$29,2,FALSE)+VLOOKUP(VLOOKUP(J$1,main!$A$3:$H$102,7,FALSE),main!$K$19:$O$22,MATCH(VLOOKUP($A56,main!$A$3:$H$102,8,FALSE),main!$K$18:$O$18,0))))),1,0)</f>
        <v>0</v>
      </c>
      <c r="K56">
        <f>IF((AND(VLOOKUP(K$1,main!$A$3:$H$102,5,FALSE)-VLOOKUP($A56,main!$A$3:$H$102,6,FALSE)&gt;=(VLOOKUP(VLOOKUP(K$1,main!$A$3:$H$102,8,FALSE),main!$K$26:$M$29,2,FALSE)+VLOOKUP(VLOOKUP(K$1,main!$A$3:$H$102,7,FALSE),main!$K$19:$O$22,MATCH(VLOOKUP($A56,main!$A$3:$H$102,8,FALSE),main!$K$18:$O$18,0))))),1,0)</f>
        <v>1</v>
      </c>
      <c r="L56">
        <f>IF((AND(VLOOKUP(L$1,main!$A$3:$H$102,5,FALSE)-VLOOKUP($A56,main!$A$3:$H$102,6,FALSE)&gt;=(VLOOKUP(VLOOKUP(L$1,main!$A$3:$H$102,8,FALSE),main!$K$26:$M$29,2,FALSE)+VLOOKUP(VLOOKUP(L$1,main!$A$3:$H$102,7,FALSE),main!$K$19:$O$22,MATCH(VLOOKUP($A56,main!$A$3:$H$102,8,FALSE),main!$K$18:$O$18,0))))),1,0)</f>
        <v>1</v>
      </c>
      <c r="M56">
        <f>IF((AND(VLOOKUP(M$1,main!$A$3:$H$102,5,FALSE)-VLOOKUP($A56,main!$A$3:$H$102,6,FALSE)&gt;=(VLOOKUP(VLOOKUP(M$1,main!$A$3:$H$102,8,FALSE),main!$K$26:$M$29,2,FALSE)+VLOOKUP(VLOOKUP(M$1,main!$A$3:$H$102,7,FALSE),main!$K$19:$O$22,MATCH(VLOOKUP($A56,main!$A$3:$H$102,8,FALSE),main!$K$18:$O$18,0))))),1,0)</f>
        <v>0</v>
      </c>
      <c r="N56">
        <f>IF((AND(VLOOKUP(N$1,main!$A$3:$H$102,5,FALSE)-VLOOKUP($A56,main!$A$3:$H$102,6,FALSE)&gt;=(VLOOKUP(VLOOKUP(N$1,main!$A$3:$H$102,8,FALSE),main!$K$26:$M$29,2,FALSE)+VLOOKUP(VLOOKUP(N$1,main!$A$3:$H$102,7,FALSE),main!$K$19:$O$22,MATCH(VLOOKUP($A56,main!$A$3:$H$102,8,FALSE),main!$K$18:$O$18,0))))),1,0)</f>
        <v>0</v>
      </c>
      <c r="O56">
        <f>IF((AND(VLOOKUP(O$1,main!$A$3:$H$102,5,FALSE)-VLOOKUP($A56,main!$A$3:$H$102,6,FALSE)&gt;=(VLOOKUP(VLOOKUP(O$1,main!$A$3:$H$102,8,FALSE),main!$K$26:$M$29,2,FALSE)+VLOOKUP(VLOOKUP(O$1,main!$A$3:$H$102,7,FALSE),main!$K$19:$O$22,MATCH(VLOOKUP($A56,main!$A$3:$H$102,8,FALSE),main!$K$18:$O$18,0))))),1,0)</f>
        <v>0</v>
      </c>
      <c r="P56">
        <f>IF((AND(VLOOKUP(P$1,main!$A$3:$H$102,5,FALSE)-VLOOKUP($A56,main!$A$3:$H$102,6,FALSE)&gt;=(VLOOKUP(VLOOKUP(P$1,main!$A$3:$H$102,8,FALSE),main!$K$26:$M$29,2,FALSE)+VLOOKUP(VLOOKUP(P$1,main!$A$3:$H$102,7,FALSE),main!$K$19:$O$22,MATCH(VLOOKUP($A56,main!$A$3:$H$102,8,FALSE),main!$K$18:$O$18,0))))),1,0)</f>
        <v>0</v>
      </c>
      <c r="Q56">
        <f>IF((AND(VLOOKUP(Q$1,main!$A$3:$H$102,5,FALSE)-VLOOKUP($A56,main!$A$3:$H$102,6,FALSE)&gt;=(VLOOKUP(VLOOKUP(Q$1,main!$A$3:$H$102,8,FALSE),main!$K$26:$M$29,2,FALSE)+VLOOKUP(VLOOKUP(Q$1,main!$A$3:$H$102,7,FALSE),main!$K$19:$O$22,MATCH(VLOOKUP($A56,main!$A$3:$H$102,8,FALSE),main!$K$18:$O$18,0))))),1,0)</f>
        <v>0</v>
      </c>
      <c r="R56">
        <f>IF((AND(VLOOKUP(R$1,main!$A$3:$H$102,5,FALSE)-VLOOKUP($A56,main!$A$3:$H$102,6,FALSE)&gt;=(VLOOKUP(VLOOKUP(R$1,main!$A$3:$H$102,8,FALSE),main!$K$26:$M$29,2,FALSE)+VLOOKUP(VLOOKUP(R$1,main!$A$3:$H$102,7,FALSE),main!$K$19:$O$22,MATCH(VLOOKUP($A56,main!$A$3:$H$102,8,FALSE),main!$K$18:$O$18,0))))),1,0)</f>
        <v>0</v>
      </c>
      <c r="S56">
        <f>IF((AND(VLOOKUP(S$1,main!$A$3:$H$102,5,FALSE)-VLOOKUP($A56,main!$A$3:$H$102,6,FALSE)&gt;=(VLOOKUP(VLOOKUP(S$1,main!$A$3:$H$102,8,FALSE),main!$K$26:$M$29,2,FALSE)+VLOOKUP(VLOOKUP(S$1,main!$A$3:$H$102,7,FALSE),main!$K$19:$O$22,MATCH(VLOOKUP($A56,main!$A$3:$H$102,8,FALSE),main!$K$18:$O$18,0))))),1,0)</f>
        <v>0</v>
      </c>
      <c r="T56">
        <f>IF((AND(VLOOKUP(T$1,main!$A$3:$H$102,5,FALSE)-VLOOKUP($A56,main!$A$3:$H$102,6,FALSE)&gt;=(VLOOKUP(VLOOKUP(T$1,main!$A$3:$H$102,8,FALSE),main!$K$26:$M$29,2,FALSE)+VLOOKUP(VLOOKUP(T$1,main!$A$3:$H$102,7,FALSE),main!$K$19:$O$22,MATCH(VLOOKUP($A56,main!$A$3:$H$102,8,FALSE),main!$K$18:$O$18,0))))),1,0)</f>
        <v>0</v>
      </c>
      <c r="U56">
        <f>IF((AND(VLOOKUP(U$1,main!$A$3:$H$102,5,FALSE)-VLOOKUP($A56,main!$A$3:$H$102,6,FALSE)&gt;=(VLOOKUP(VLOOKUP(U$1,main!$A$3:$H$102,8,FALSE),main!$K$26:$M$29,2,FALSE)+VLOOKUP(VLOOKUP(U$1,main!$A$3:$H$102,7,FALSE),main!$K$19:$O$22,MATCH(VLOOKUP($A56,main!$A$3:$H$102,8,FALSE),main!$K$18:$O$18,0))))),1,0)</f>
        <v>1</v>
      </c>
      <c r="V56">
        <f>IF((AND(VLOOKUP(V$1,main!$A$3:$H$102,5,FALSE)-VLOOKUP($A56,main!$A$3:$H$102,6,FALSE)&gt;=(VLOOKUP(VLOOKUP(V$1,main!$A$3:$H$102,8,FALSE),main!$K$26:$M$29,2,FALSE)+VLOOKUP(VLOOKUP(V$1,main!$A$3:$H$102,7,FALSE),main!$K$19:$O$22,MATCH(VLOOKUP($A56,main!$A$3:$H$102,8,FALSE),main!$K$18:$O$18,0))))),1,0)</f>
        <v>1</v>
      </c>
      <c r="W56">
        <f>IF((AND(VLOOKUP(W$1,main!$A$3:$H$102,5,FALSE)-VLOOKUP($A56,main!$A$3:$H$102,6,FALSE)&gt;=(VLOOKUP(VLOOKUP(W$1,main!$A$3:$H$102,8,FALSE),main!$K$26:$M$29,2,FALSE)+VLOOKUP(VLOOKUP(W$1,main!$A$3:$H$102,7,FALSE),main!$K$19:$O$22,MATCH(VLOOKUP($A56,main!$A$3:$H$102,8,FALSE),main!$K$18:$O$18,0))))),1,0)</f>
        <v>0</v>
      </c>
      <c r="X56">
        <f>IF((AND(VLOOKUP(X$1,main!$A$3:$H$102,5,FALSE)-VLOOKUP($A56,main!$A$3:$H$102,6,FALSE)&gt;=(VLOOKUP(VLOOKUP(X$1,main!$A$3:$H$102,8,FALSE),main!$K$26:$M$29,2,FALSE)+VLOOKUP(VLOOKUP(X$1,main!$A$3:$H$102,7,FALSE),main!$K$19:$O$22,MATCH(VLOOKUP($A56,main!$A$3:$H$102,8,FALSE),main!$K$18:$O$18,0))))),1,0)</f>
        <v>0</v>
      </c>
      <c r="Y56">
        <f>IF((AND(VLOOKUP(Y$1,main!$A$3:$H$102,5,FALSE)-VLOOKUP($A56,main!$A$3:$H$102,6,FALSE)&gt;=(VLOOKUP(VLOOKUP(Y$1,main!$A$3:$H$102,8,FALSE),main!$K$26:$M$29,2,FALSE)+VLOOKUP(VLOOKUP(Y$1,main!$A$3:$H$102,7,FALSE),main!$K$19:$O$22,MATCH(VLOOKUP($A56,main!$A$3:$H$102,8,FALSE),main!$K$18:$O$18,0))))),1,0)</f>
        <v>0</v>
      </c>
      <c r="Z56">
        <f>IF((AND(VLOOKUP(Z$1,main!$A$3:$H$102,5,FALSE)-VLOOKUP($A56,main!$A$3:$H$102,6,FALSE)&gt;=(VLOOKUP(VLOOKUP(Z$1,main!$A$3:$H$102,8,FALSE),main!$K$26:$M$29,2,FALSE)+VLOOKUP(VLOOKUP(Z$1,main!$A$3:$H$102,7,FALSE),main!$K$19:$O$22,MATCH(VLOOKUP($A56,main!$A$3:$H$102,8,FALSE),main!$K$18:$O$18,0))))),1,0)</f>
        <v>0</v>
      </c>
      <c r="AA56">
        <f>IF((AND(VLOOKUP(AA$1,main!$A$3:$H$102,5,FALSE)-VLOOKUP($A56,main!$A$3:$H$102,6,FALSE)&gt;=(VLOOKUP(VLOOKUP(AA$1,main!$A$3:$H$102,8,FALSE),main!$K$26:$M$29,2,FALSE)+VLOOKUP(VLOOKUP(AA$1,main!$A$3:$H$102,7,FALSE),main!$K$19:$O$22,MATCH(VLOOKUP($A56,main!$A$3:$H$102,8,FALSE),main!$K$18:$O$18,0))))),1,0)</f>
        <v>1</v>
      </c>
      <c r="AB56">
        <f>IF((AND(VLOOKUP(AB$1,main!$A$3:$H$102,5,FALSE)-VLOOKUP($A56,main!$A$3:$H$102,6,FALSE)&gt;=(VLOOKUP(VLOOKUP(AB$1,main!$A$3:$H$102,8,FALSE),main!$K$26:$M$29,2,FALSE)+VLOOKUP(VLOOKUP(AB$1,main!$A$3:$H$102,7,FALSE),main!$K$19:$O$22,MATCH(VLOOKUP($A56,main!$A$3:$H$102,8,FALSE),main!$K$18:$O$18,0))))),1,0)</f>
        <v>0</v>
      </c>
      <c r="AC56">
        <f>IF((AND(VLOOKUP(AC$1,main!$A$3:$H$102,5,FALSE)-VLOOKUP($A56,main!$A$3:$H$102,6,FALSE)&gt;=(VLOOKUP(VLOOKUP(AC$1,main!$A$3:$H$102,8,FALSE),main!$K$26:$M$29,2,FALSE)+VLOOKUP(VLOOKUP(AC$1,main!$A$3:$H$102,7,FALSE),main!$K$19:$O$22,MATCH(VLOOKUP($A56,main!$A$3:$H$102,8,FALSE),main!$K$18:$O$18,0))))),1,0)</f>
        <v>0</v>
      </c>
      <c r="AD56">
        <f>IF((AND(VLOOKUP(AD$1,main!$A$3:$H$102,5,FALSE)-VLOOKUP($A56,main!$A$3:$H$102,6,FALSE)&gt;=(VLOOKUP(VLOOKUP(AD$1,main!$A$3:$H$102,8,FALSE),main!$K$26:$M$29,2,FALSE)+VLOOKUP(VLOOKUP(AD$1,main!$A$3:$H$102,7,FALSE),main!$K$19:$O$22,MATCH(VLOOKUP($A56,main!$A$3:$H$102,8,FALSE),main!$K$18:$O$18,0))))),1,0)</f>
        <v>0</v>
      </c>
      <c r="AE56">
        <f>IF((AND(VLOOKUP(AE$1,main!$A$3:$H$102,5,FALSE)-VLOOKUP($A56,main!$A$3:$H$102,6,FALSE)&gt;=(VLOOKUP(VLOOKUP(AE$1,main!$A$3:$H$102,8,FALSE),main!$K$26:$M$29,2,FALSE)+VLOOKUP(VLOOKUP(AE$1,main!$A$3:$H$102,7,FALSE),main!$K$19:$O$22,MATCH(VLOOKUP($A56,main!$A$3:$H$102,8,FALSE),main!$K$18:$O$18,0))))),1,0)</f>
        <v>0</v>
      </c>
      <c r="AF56">
        <f>IF((AND(VLOOKUP(AF$1,main!$A$3:$H$102,5,FALSE)-VLOOKUP($A56,main!$A$3:$H$102,6,FALSE)&gt;=(VLOOKUP(VLOOKUP(AF$1,main!$A$3:$H$102,8,FALSE),main!$K$26:$M$29,2,FALSE)+VLOOKUP(VLOOKUP(AF$1,main!$A$3:$H$102,7,FALSE),main!$K$19:$O$22,MATCH(VLOOKUP($A56,main!$A$3:$H$102,8,FALSE),main!$K$18:$O$18,0))))),1,0)</f>
        <v>1</v>
      </c>
      <c r="AG56">
        <f>IF((AND(VLOOKUP(AG$1,main!$A$3:$H$102,5,FALSE)-VLOOKUP($A56,main!$A$3:$H$102,6,FALSE)&gt;=(VLOOKUP(VLOOKUP(AG$1,main!$A$3:$H$102,8,FALSE),main!$K$26:$M$29,2,FALSE)+VLOOKUP(VLOOKUP(AG$1,main!$A$3:$H$102,7,FALSE),main!$K$19:$O$22,MATCH(VLOOKUP($A56,main!$A$3:$H$102,8,FALSE),main!$K$18:$O$18,0))))),1,0)</f>
        <v>0</v>
      </c>
      <c r="AH56">
        <f>IF((AND(VLOOKUP(AH$1,main!$A$3:$H$102,5,FALSE)-VLOOKUP($A56,main!$A$3:$H$102,6,FALSE)&gt;=(VLOOKUP(VLOOKUP(AH$1,main!$A$3:$H$102,8,FALSE),main!$K$26:$M$29,2,FALSE)+VLOOKUP(VLOOKUP(AH$1,main!$A$3:$H$102,7,FALSE),main!$K$19:$O$22,MATCH(VLOOKUP($A56,main!$A$3:$H$102,8,FALSE),main!$K$18:$O$18,0))))),1,0)</f>
        <v>0</v>
      </c>
      <c r="AI56">
        <f>IF((AND(VLOOKUP(AI$1,main!$A$3:$H$102,5,FALSE)-VLOOKUP($A56,main!$A$3:$H$102,6,FALSE)&gt;=(VLOOKUP(VLOOKUP(AI$1,main!$A$3:$H$102,8,FALSE),main!$K$26:$M$29,2,FALSE)+VLOOKUP(VLOOKUP(AI$1,main!$A$3:$H$102,7,FALSE),main!$K$19:$O$22,MATCH(VLOOKUP($A56,main!$A$3:$H$102,8,FALSE),main!$K$18:$O$18,0))))),1,0)</f>
        <v>0</v>
      </c>
      <c r="AJ56">
        <f>IF((AND(VLOOKUP(AJ$1,main!$A$3:$H$102,5,FALSE)-VLOOKUP($A56,main!$A$3:$H$102,6,FALSE)&gt;=(VLOOKUP(VLOOKUP(AJ$1,main!$A$3:$H$102,8,FALSE),main!$K$26:$M$29,2,FALSE)+VLOOKUP(VLOOKUP(AJ$1,main!$A$3:$H$102,7,FALSE),main!$K$19:$O$22,MATCH(VLOOKUP($A56,main!$A$3:$H$102,8,FALSE),main!$K$18:$O$18,0))))),1,0)</f>
        <v>0</v>
      </c>
      <c r="AK56">
        <f>IF((AND(VLOOKUP(AK$1,main!$A$3:$H$102,5,FALSE)-VLOOKUP($A56,main!$A$3:$H$102,6,FALSE)&gt;=(VLOOKUP(VLOOKUP(AK$1,main!$A$3:$H$102,8,FALSE),main!$K$26:$M$29,2,FALSE)+VLOOKUP(VLOOKUP(AK$1,main!$A$3:$H$102,7,FALSE),main!$K$19:$O$22,MATCH(VLOOKUP($A56,main!$A$3:$H$102,8,FALSE),main!$K$18:$O$18,0))))),1,0)</f>
        <v>0</v>
      </c>
      <c r="AL56">
        <f>IF((AND(VLOOKUP(AL$1,main!$A$3:$H$102,5,FALSE)-VLOOKUP($A56,main!$A$3:$H$102,6,FALSE)&gt;=(VLOOKUP(VLOOKUP(AL$1,main!$A$3:$H$102,8,FALSE),main!$K$26:$M$29,2,FALSE)+VLOOKUP(VLOOKUP(AL$1,main!$A$3:$H$102,7,FALSE),main!$K$19:$O$22,MATCH(VLOOKUP($A56,main!$A$3:$H$102,8,FALSE),main!$K$18:$O$18,0))))),1,0)</f>
        <v>0</v>
      </c>
      <c r="AM56">
        <f>IF((AND(VLOOKUP(AM$1,main!$A$3:$H$102,5,FALSE)-VLOOKUP($A56,main!$A$3:$H$102,6,FALSE)&gt;=(VLOOKUP(VLOOKUP(AM$1,main!$A$3:$H$102,8,FALSE),main!$K$26:$M$29,2,FALSE)+VLOOKUP(VLOOKUP(AM$1,main!$A$3:$H$102,7,FALSE),main!$K$19:$O$22,MATCH(VLOOKUP($A56,main!$A$3:$H$102,8,FALSE),main!$K$18:$O$18,0))))),1,0)</f>
        <v>0</v>
      </c>
      <c r="AN56">
        <f>IF((AND(VLOOKUP(AN$1,main!$A$3:$H$102,5,FALSE)-VLOOKUP($A56,main!$A$3:$H$102,6,FALSE)&gt;=(VLOOKUP(VLOOKUP(AN$1,main!$A$3:$H$102,8,FALSE),main!$K$26:$M$29,2,FALSE)+VLOOKUP(VLOOKUP(AN$1,main!$A$3:$H$102,7,FALSE),main!$K$19:$O$22,MATCH(VLOOKUP($A56,main!$A$3:$H$102,8,FALSE),main!$K$18:$O$18,0))))),1,0)</f>
        <v>1</v>
      </c>
      <c r="AO56">
        <f>IF((AND(VLOOKUP(AO$1,main!$A$3:$H$102,5,FALSE)-VLOOKUP($A56,main!$A$3:$H$102,6,FALSE)&gt;=(VLOOKUP(VLOOKUP(AO$1,main!$A$3:$H$102,8,FALSE),main!$K$26:$M$29,2,FALSE)+VLOOKUP(VLOOKUP(AO$1,main!$A$3:$H$102,7,FALSE),main!$K$19:$O$22,MATCH(VLOOKUP($A56,main!$A$3:$H$102,8,FALSE),main!$K$18:$O$18,0))))),1,0)</f>
        <v>0</v>
      </c>
      <c r="AP56">
        <f>IF((AND(VLOOKUP(AP$1,main!$A$3:$H$102,5,FALSE)-VLOOKUP($A56,main!$A$3:$H$102,6,FALSE)&gt;=(VLOOKUP(VLOOKUP(AP$1,main!$A$3:$H$102,8,FALSE),main!$K$26:$M$29,2,FALSE)+VLOOKUP(VLOOKUP(AP$1,main!$A$3:$H$102,7,FALSE),main!$K$19:$O$22,MATCH(VLOOKUP($A56,main!$A$3:$H$102,8,FALSE),main!$K$18:$O$18,0))))),1,0)</f>
        <v>1</v>
      </c>
      <c r="AQ56">
        <f>IF((AND(VLOOKUP(AQ$1,main!$A$3:$H$102,5,FALSE)-VLOOKUP($A56,main!$A$3:$H$102,6,FALSE)&gt;=(VLOOKUP(VLOOKUP(AQ$1,main!$A$3:$H$102,8,FALSE),main!$K$26:$M$29,2,FALSE)+VLOOKUP(VLOOKUP(AQ$1,main!$A$3:$H$102,7,FALSE),main!$K$19:$O$22,MATCH(VLOOKUP($A56,main!$A$3:$H$102,8,FALSE),main!$K$18:$O$18,0))))),1,0)</f>
        <v>0</v>
      </c>
      <c r="AR56">
        <f>IF((AND(VLOOKUP(AR$1,main!$A$3:$H$102,5,FALSE)-VLOOKUP($A56,main!$A$3:$H$102,6,FALSE)&gt;=(VLOOKUP(VLOOKUP(AR$1,main!$A$3:$H$102,8,FALSE),main!$K$26:$M$29,2,FALSE)+VLOOKUP(VLOOKUP(AR$1,main!$A$3:$H$102,7,FALSE),main!$K$19:$O$22,MATCH(VLOOKUP($A56,main!$A$3:$H$102,8,FALSE),main!$K$18:$O$18,0))))),1,0)</f>
        <v>0</v>
      </c>
      <c r="AS56">
        <f>IF((AND(VLOOKUP(AS$1,main!$A$3:$H$102,5,FALSE)-VLOOKUP($A56,main!$A$3:$H$102,6,FALSE)&gt;=(VLOOKUP(VLOOKUP(AS$1,main!$A$3:$H$102,8,FALSE),main!$K$26:$M$29,2,FALSE)+VLOOKUP(VLOOKUP(AS$1,main!$A$3:$H$102,7,FALSE),main!$K$19:$O$22,MATCH(VLOOKUP($A56,main!$A$3:$H$102,8,FALSE),main!$K$18:$O$18,0))))),1,0)</f>
        <v>0</v>
      </c>
      <c r="AT56">
        <f>IF((AND(VLOOKUP(AT$1,main!$A$3:$H$102,5,FALSE)-VLOOKUP($A56,main!$A$3:$H$102,6,FALSE)&gt;=(VLOOKUP(VLOOKUP(AT$1,main!$A$3:$H$102,8,FALSE),main!$K$26:$M$29,2,FALSE)+VLOOKUP(VLOOKUP(AT$1,main!$A$3:$H$102,7,FALSE),main!$K$19:$O$22,MATCH(VLOOKUP($A56,main!$A$3:$H$102,8,FALSE),main!$K$18:$O$18,0))))),1,0)</f>
        <v>0</v>
      </c>
      <c r="AU56">
        <f>IF((AND(VLOOKUP(AU$1,main!$A$3:$H$102,5,FALSE)-VLOOKUP($A56,main!$A$3:$H$102,6,FALSE)&gt;=(VLOOKUP(VLOOKUP(AU$1,main!$A$3:$H$102,8,FALSE),main!$K$26:$M$29,2,FALSE)+VLOOKUP(VLOOKUP(AU$1,main!$A$3:$H$102,7,FALSE),main!$K$19:$O$22,MATCH(VLOOKUP($A56,main!$A$3:$H$102,8,FALSE),main!$K$18:$O$18,0))))),1,0)</f>
        <v>0</v>
      </c>
      <c r="AV56">
        <f>IF((AND(VLOOKUP(AV$1,main!$A$3:$H$102,5,FALSE)-VLOOKUP($A56,main!$A$3:$H$102,6,FALSE)&gt;=(VLOOKUP(VLOOKUP(AV$1,main!$A$3:$H$102,8,FALSE),main!$K$26:$M$29,2,FALSE)+VLOOKUP(VLOOKUP(AV$1,main!$A$3:$H$102,7,FALSE),main!$K$19:$O$22,MATCH(VLOOKUP($A56,main!$A$3:$H$102,8,FALSE),main!$K$18:$O$18,0))))),1,0)</f>
        <v>0</v>
      </c>
      <c r="AW56">
        <f>IF((AND(VLOOKUP(AW$1,main!$A$3:$H$102,5,FALSE)-VLOOKUP($A56,main!$A$3:$H$102,6,FALSE)&gt;=(VLOOKUP(VLOOKUP(AW$1,main!$A$3:$H$102,8,FALSE),main!$K$26:$M$29,2,FALSE)+VLOOKUP(VLOOKUP(AW$1,main!$A$3:$H$102,7,FALSE),main!$K$19:$O$22,MATCH(VLOOKUP($A56,main!$A$3:$H$102,8,FALSE),main!$K$18:$O$18,0))))),1,0)</f>
        <v>0</v>
      </c>
      <c r="AX56">
        <f>IF((AND(VLOOKUP(AX$1,main!$A$3:$H$102,5,FALSE)-VLOOKUP($A56,main!$A$3:$H$102,6,FALSE)&gt;=(VLOOKUP(VLOOKUP(AX$1,main!$A$3:$H$102,8,FALSE),main!$K$26:$M$29,2,FALSE)+VLOOKUP(VLOOKUP(AX$1,main!$A$3:$H$102,7,FALSE),main!$K$19:$O$22,MATCH(VLOOKUP($A56,main!$A$3:$H$102,8,FALSE),main!$K$18:$O$18,0))))),1,0)</f>
        <v>0</v>
      </c>
      <c r="AY56">
        <f>IF((AND(VLOOKUP(AY$1,main!$A$3:$H$102,5,FALSE)-VLOOKUP($A56,main!$A$3:$H$102,6,FALSE)&gt;=(VLOOKUP(VLOOKUP(AY$1,main!$A$3:$H$102,8,FALSE),main!$K$26:$M$29,2,FALSE)+VLOOKUP(VLOOKUP(AY$1,main!$A$3:$H$102,7,FALSE),main!$K$19:$O$22,MATCH(VLOOKUP($A56,main!$A$3:$H$102,8,FALSE),main!$K$18:$O$18,0))))),1,0)</f>
        <v>0</v>
      </c>
      <c r="AZ56">
        <f>IF((AND(VLOOKUP(AZ$1,main!$A$3:$H$102,5,FALSE)-VLOOKUP($A56,main!$A$3:$H$102,6,FALSE)&gt;=(VLOOKUP(VLOOKUP(AZ$1,main!$A$3:$H$102,8,FALSE),main!$K$26:$M$29,2,FALSE)+VLOOKUP(VLOOKUP(AZ$1,main!$A$3:$H$102,7,FALSE),main!$K$19:$O$22,MATCH(VLOOKUP($A56,main!$A$3:$H$102,8,FALSE),main!$K$18:$O$18,0))))),1,0)</f>
        <v>0</v>
      </c>
      <c r="BA56">
        <f>IF((AND(VLOOKUP(BA$1,main!$A$3:$H$102,5,FALSE)-VLOOKUP($A56,main!$A$3:$H$102,6,FALSE)&gt;=(VLOOKUP(VLOOKUP(BA$1,main!$A$3:$H$102,8,FALSE),main!$K$26:$M$29,2,FALSE)+VLOOKUP(VLOOKUP(BA$1,main!$A$3:$H$102,7,FALSE),main!$K$19:$O$22,MATCH(VLOOKUP($A56,main!$A$3:$H$102,8,FALSE),main!$K$18:$O$18,0))))),1,0)</f>
        <v>0</v>
      </c>
      <c r="BB56">
        <f>IF((AND(VLOOKUP(BB$1,main!$A$3:$H$102,5,FALSE)-VLOOKUP($A56,main!$A$3:$H$102,6,FALSE)&gt;=(VLOOKUP(VLOOKUP(BB$1,main!$A$3:$H$102,8,FALSE),main!$K$26:$M$29,2,FALSE)+VLOOKUP(VLOOKUP(BB$1,main!$A$3:$H$102,7,FALSE),main!$K$19:$O$22,MATCH(VLOOKUP($A56,main!$A$3:$H$102,8,FALSE),main!$K$18:$O$18,0))))),1,0)</f>
        <v>0</v>
      </c>
      <c r="BC56">
        <f>IF((AND(VLOOKUP(BC$1,main!$A$3:$H$102,5,FALSE)-VLOOKUP($A56,main!$A$3:$H$102,6,FALSE)&gt;=(VLOOKUP(VLOOKUP(BC$1,main!$A$3:$H$102,8,FALSE),main!$K$26:$M$29,2,FALSE)+VLOOKUP(VLOOKUP(BC$1,main!$A$3:$H$102,7,FALSE),main!$K$19:$O$22,MATCH(VLOOKUP($A56,main!$A$3:$H$102,8,FALSE),main!$K$18:$O$18,0))))),1,0)</f>
        <v>0</v>
      </c>
      <c r="BD56">
        <f>IF((AND(VLOOKUP(BD$1,main!$A$3:$H$102,5,FALSE)-VLOOKUP($A56,main!$A$3:$H$102,6,FALSE)&gt;=(VLOOKUP(VLOOKUP(BD$1,main!$A$3:$H$102,8,FALSE),main!$K$26:$M$29,2,FALSE)+VLOOKUP(VLOOKUP(BD$1,main!$A$3:$H$102,7,FALSE),main!$K$19:$O$22,MATCH(VLOOKUP($A56,main!$A$3:$H$102,8,FALSE),main!$K$18:$O$18,0))))),1,0)</f>
        <v>0</v>
      </c>
      <c r="BE56">
        <f>IF((AND(VLOOKUP(BE$1,main!$A$3:$H$102,5,FALSE)-VLOOKUP($A56,main!$A$3:$H$102,6,FALSE)&gt;=(VLOOKUP(VLOOKUP(BE$1,main!$A$3:$H$102,8,FALSE),main!$K$26:$M$29,2,FALSE)+VLOOKUP(VLOOKUP(BE$1,main!$A$3:$H$102,7,FALSE),main!$K$19:$O$22,MATCH(VLOOKUP($A56,main!$A$3:$H$102,8,FALSE),main!$K$18:$O$18,0))))),1,0)</f>
        <v>0</v>
      </c>
      <c r="BF56">
        <f>IF((AND(VLOOKUP(BF$1,main!$A$3:$H$102,5,FALSE)-VLOOKUP($A56,main!$A$3:$H$102,6,FALSE)&gt;=(VLOOKUP(VLOOKUP(BF$1,main!$A$3:$H$102,8,FALSE),main!$K$26:$M$29,2,FALSE)+VLOOKUP(VLOOKUP(BF$1,main!$A$3:$H$102,7,FALSE),main!$K$19:$O$22,MATCH(VLOOKUP($A56,main!$A$3:$H$102,8,FALSE),main!$K$18:$O$18,0))))),1,0)</f>
        <v>0</v>
      </c>
      <c r="BG56">
        <f>IF((AND(VLOOKUP(BG$1,main!$A$3:$H$102,5,FALSE)-VLOOKUP($A56,main!$A$3:$H$102,6,FALSE)&gt;=(VLOOKUP(VLOOKUP(BG$1,main!$A$3:$H$102,8,FALSE),main!$K$26:$M$29,2,FALSE)+VLOOKUP(VLOOKUP(BG$1,main!$A$3:$H$102,7,FALSE),main!$K$19:$O$22,MATCH(VLOOKUP($A56,main!$A$3:$H$102,8,FALSE),main!$K$18:$O$18,0))))),1,0)</f>
        <v>0</v>
      </c>
      <c r="BH56">
        <f>IF((AND(VLOOKUP(BH$1,main!$A$3:$H$102,5,FALSE)-VLOOKUP($A56,main!$A$3:$H$102,6,FALSE)&gt;=(VLOOKUP(VLOOKUP(BH$1,main!$A$3:$H$102,8,FALSE),main!$K$26:$M$29,2,FALSE)+VLOOKUP(VLOOKUP(BH$1,main!$A$3:$H$102,7,FALSE),main!$K$19:$O$22,MATCH(VLOOKUP($A56,main!$A$3:$H$102,8,FALSE),main!$K$18:$O$18,0))))),1,0)</f>
        <v>0</v>
      </c>
      <c r="BI56">
        <f>IF((AND(VLOOKUP(BI$1,main!$A$3:$H$102,5,FALSE)-VLOOKUP($A56,main!$A$3:$H$102,6,FALSE)&gt;=(VLOOKUP(VLOOKUP(BI$1,main!$A$3:$H$102,8,FALSE),main!$K$26:$M$29,2,FALSE)+VLOOKUP(VLOOKUP(BI$1,main!$A$3:$H$102,7,FALSE),main!$K$19:$O$22,MATCH(VLOOKUP($A56,main!$A$3:$H$102,8,FALSE),main!$K$18:$O$18,0))))),1,0)</f>
        <v>1</v>
      </c>
      <c r="BJ56">
        <f>IF((AND(VLOOKUP(BJ$1,main!$A$3:$H$102,5,FALSE)-VLOOKUP($A56,main!$A$3:$H$102,6,FALSE)&gt;=(VLOOKUP(VLOOKUP(BJ$1,main!$A$3:$H$102,8,FALSE),main!$K$26:$M$29,2,FALSE)+VLOOKUP(VLOOKUP(BJ$1,main!$A$3:$H$102,7,FALSE),main!$K$19:$O$22,MATCH(VLOOKUP($A56,main!$A$3:$H$102,8,FALSE),main!$K$18:$O$18,0))))),1,0)</f>
        <v>0</v>
      </c>
      <c r="BK56">
        <f>IF((AND(VLOOKUP(BK$1,main!$A$3:$H$102,5,FALSE)-VLOOKUP($A56,main!$A$3:$H$102,6,FALSE)&gt;=(VLOOKUP(VLOOKUP(BK$1,main!$A$3:$H$102,8,FALSE),main!$K$26:$M$29,2,FALSE)+VLOOKUP(VLOOKUP(BK$1,main!$A$3:$H$102,7,FALSE),main!$K$19:$O$22,MATCH(VLOOKUP($A56,main!$A$3:$H$102,8,FALSE),main!$K$18:$O$18,0))))),1,0)</f>
        <v>0</v>
      </c>
      <c r="BL56">
        <f>IF((AND(VLOOKUP(BL$1,main!$A$3:$H$102,5,FALSE)-VLOOKUP($A56,main!$A$3:$H$102,6,FALSE)&gt;=(VLOOKUP(VLOOKUP(BL$1,main!$A$3:$H$102,8,FALSE),main!$K$26:$M$29,2,FALSE)+VLOOKUP(VLOOKUP(BL$1,main!$A$3:$H$102,7,FALSE),main!$K$19:$O$22,MATCH(VLOOKUP($A56,main!$A$3:$H$102,8,FALSE),main!$K$18:$O$18,0))))),1,0)</f>
        <v>0</v>
      </c>
      <c r="BM56">
        <f>IF((AND(VLOOKUP(BM$1,main!$A$3:$H$102,5,FALSE)-VLOOKUP($A56,main!$A$3:$H$102,6,FALSE)&gt;=(VLOOKUP(VLOOKUP(BM$1,main!$A$3:$H$102,8,FALSE),main!$K$26:$M$29,2,FALSE)+VLOOKUP(VLOOKUP(BM$1,main!$A$3:$H$102,7,FALSE),main!$K$19:$O$22,MATCH(VLOOKUP($A56,main!$A$3:$H$102,8,FALSE),main!$K$18:$O$18,0))))),1,0)</f>
        <v>0</v>
      </c>
      <c r="BN56">
        <f>IF((AND(VLOOKUP(BN$1,main!$A$3:$H$102,5,FALSE)-VLOOKUP($A56,main!$A$3:$H$102,6,FALSE)&gt;=(VLOOKUP(VLOOKUP(BN$1,main!$A$3:$H$102,8,FALSE),main!$K$26:$M$29,2,FALSE)+VLOOKUP(VLOOKUP(BN$1,main!$A$3:$H$102,7,FALSE),main!$K$19:$O$22,MATCH(VLOOKUP($A56,main!$A$3:$H$102,8,FALSE),main!$K$18:$O$18,0))))),1,0)</f>
        <v>0</v>
      </c>
      <c r="BO56">
        <f>IF((AND(VLOOKUP(BO$1,main!$A$3:$H$102,5,FALSE)-VLOOKUP($A56,main!$A$3:$H$102,6,FALSE)&gt;=(VLOOKUP(VLOOKUP(BO$1,main!$A$3:$H$102,8,FALSE),main!$K$26:$M$29,2,FALSE)+VLOOKUP(VLOOKUP(BO$1,main!$A$3:$H$102,7,FALSE),main!$K$19:$O$22,MATCH(VLOOKUP($A56,main!$A$3:$H$102,8,FALSE),main!$K$18:$O$18,0))))),1,0)</f>
        <v>0</v>
      </c>
      <c r="BP56">
        <f>IF((AND(VLOOKUP(BP$1,main!$A$3:$H$102,5,FALSE)-VLOOKUP($A56,main!$A$3:$H$102,6,FALSE)&gt;=(VLOOKUP(VLOOKUP(BP$1,main!$A$3:$H$102,8,FALSE),main!$K$26:$M$29,2,FALSE)+VLOOKUP(VLOOKUP(BP$1,main!$A$3:$H$102,7,FALSE),main!$K$19:$O$22,MATCH(VLOOKUP($A56,main!$A$3:$H$102,8,FALSE),main!$K$18:$O$18,0))))),1,0)</f>
        <v>0</v>
      </c>
      <c r="BQ56">
        <f>IF((AND(VLOOKUP(BQ$1,main!$A$3:$H$102,5,FALSE)-VLOOKUP($A56,main!$A$3:$H$102,6,FALSE)&gt;=(VLOOKUP(VLOOKUP(BQ$1,main!$A$3:$H$102,8,FALSE),main!$K$26:$M$29,2,FALSE)+VLOOKUP(VLOOKUP(BQ$1,main!$A$3:$H$102,7,FALSE),main!$K$19:$O$22,MATCH(VLOOKUP($A56,main!$A$3:$H$102,8,FALSE),main!$K$18:$O$18,0))))),1,0)</f>
        <v>0</v>
      </c>
      <c r="BR56">
        <f>IF((AND(VLOOKUP(BR$1,main!$A$3:$H$102,5,FALSE)-VLOOKUP($A56,main!$A$3:$H$102,6,FALSE)&gt;=(VLOOKUP(VLOOKUP(BR$1,main!$A$3:$H$102,8,FALSE),main!$K$26:$M$29,2,FALSE)+VLOOKUP(VLOOKUP(BR$1,main!$A$3:$H$102,7,FALSE),main!$K$19:$O$22,MATCH(VLOOKUP($A56,main!$A$3:$H$102,8,FALSE),main!$K$18:$O$18,0))))),1,0)</f>
        <v>0</v>
      </c>
      <c r="BS56">
        <f>IF((AND(VLOOKUP(BS$1,main!$A$3:$H$102,5,FALSE)-VLOOKUP($A56,main!$A$3:$H$102,6,FALSE)&gt;=(VLOOKUP(VLOOKUP(BS$1,main!$A$3:$H$102,8,FALSE),main!$K$26:$M$29,2,FALSE)+VLOOKUP(VLOOKUP(BS$1,main!$A$3:$H$102,7,FALSE),main!$K$19:$O$22,MATCH(VLOOKUP($A56,main!$A$3:$H$102,8,FALSE),main!$K$18:$O$18,0))))),1,0)</f>
        <v>0</v>
      </c>
      <c r="BT56">
        <f>IF((AND(VLOOKUP(BT$1,main!$A$3:$H$102,5,FALSE)-VLOOKUP($A56,main!$A$3:$H$102,6,FALSE)&gt;=(VLOOKUP(VLOOKUP(BT$1,main!$A$3:$H$102,8,FALSE),main!$K$26:$M$29,2,FALSE)+VLOOKUP(VLOOKUP(BT$1,main!$A$3:$H$102,7,FALSE),main!$K$19:$O$22,MATCH(VLOOKUP($A56,main!$A$3:$H$102,8,FALSE),main!$K$18:$O$18,0))))),1,0)</f>
        <v>0</v>
      </c>
      <c r="BU56">
        <f>IF((AND(VLOOKUP(BU$1,main!$A$3:$H$102,5,FALSE)-VLOOKUP($A56,main!$A$3:$H$102,6,FALSE)&gt;=(VLOOKUP(VLOOKUP(BU$1,main!$A$3:$H$102,8,FALSE),main!$K$26:$M$29,2,FALSE)+VLOOKUP(VLOOKUP(BU$1,main!$A$3:$H$102,7,FALSE),main!$K$19:$O$22,MATCH(VLOOKUP($A56,main!$A$3:$H$102,8,FALSE),main!$K$18:$O$18,0))))),1,0)</f>
        <v>0</v>
      </c>
      <c r="BV56">
        <f>IF((AND(VLOOKUP(BV$1,main!$A$3:$H$102,5,FALSE)-VLOOKUP($A56,main!$A$3:$H$102,6,FALSE)&gt;=(VLOOKUP(VLOOKUP(BV$1,main!$A$3:$H$102,8,FALSE),main!$K$26:$M$29,2,FALSE)+VLOOKUP(VLOOKUP(BV$1,main!$A$3:$H$102,7,FALSE),main!$K$19:$O$22,MATCH(VLOOKUP($A56,main!$A$3:$H$102,8,FALSE),main!$K$18:$O$18,0))))),1,0)</f>
        <v>0</v>
      </c>
      <c r="BW56">
        <f>IF((AND(VLOOKUP(BW$1,main!$A$3:$H$102,5,FALSE)-VLOOKUP($A56,main!$A$3:$H$102,6,FALSE)&gt;=(VLOOKUP(VLOOKUP(BW$1,main!$A$3:$H$102,8,FALSE),main!$K$26:$M$29,2,FALSE)+VLOOKUP(VLOOKUP(BW$1,main!$A$3:$H$102,7,FALSE),main!$K$19:$O$22,MATCH(VLOOKUP($A56,main!$A$3:$H$102,8,FALSE),main!$K$18:$O$18,0))))),1,0)</f>
        <v>0</v>
      </c>
      <c r="BX56">
        <f>IF((AND(VLOOKUP(BX$1,main!$A$3:$H$102,5,FALSE)-VLOOKUP($A56,main!$A$3:$H$102,6,FALSE)&gt;=(VLOOKUP(VLOOKUP(BX$1,main!$A$3:$H$102,8,FALSE),main!$K$26:$M$29,2,FALSE)+VLOOKUP(VLOOKUP(BX$1,main!$A$3:$H$102,7,FALSE),main!$K$19:$O$22,MATCH(VLOOKUP($A56,main!$A$3:$H$102,8,FALSE),main!$K$18:$O$18,0))))),1,0)</f>
        <v>0</v>
      </c>
      <c r="BY56">
        <f>IF((AND(VLOOKUP(BY$1,main!$A$3:$H$102,5,FALSE)-VLOOKUP($A56,main!$A$3:$H$102,6,FALSE)&gt;=(VLOOKUP(VLOOKUP(BY$1,main!$A$3:$H$102,8,FALSE),main!$K$26:$M$29,2,FALSE)+VLOOKUP(VLOOKUP(BY$1,main!$A$3:$H$102,7,FALSE),main!$K$19:$O$22,MATCH(VLOOKUP($A56,main!$A$3:$H$102,8,FALSE),main!$K$18:$O$18,0))))),1,0)</f>
        <v>0</v>
      </c>
      <c r="BZ56">
        <f>IF((AND(VLOOKUP(BZ$1,main!$A$3:$H$102,5,FALSE)-VLOOKUP($A56,main!$A$3:$H$102,6,FALSE)&gt;=(VLOOKUP(VLOOKUP(BZ$1,main!$A$3:$H$102,8,FALSE),main!$K$26:$M$29,2,FALSE)+VLOOKUP(VLOOKUP(BZ$1,main!$A$3:$H$102,7,FALSE),main!$K$19:$O$22,MATCH(VLOOKUP($A56,main!$A$3:$H$102,8,FALSE),main!$K$18:$O$18,0))))),1,0)</f>
        <v>0</v>
      </c>
      <c r="CA56">
        <f>IF((AND(VLOOKUP(CA$1,main!$A$3:$H$102,5,FALSE)-VLOOKUP($A56,main!$A$3:$H$102,6,FALSE)&gt;=(VLOOKUP(VLOOKUP(CA$1,main!$A$3:$H$102,8,FALSE),main!$K$26:$M$29,2,FALSE)+VLOOKUP(VLOOKUP(CA$1,main!$A$3:$H$102,7,FALSE),main!$K$19:$O$22,MATCH(VLOOKUP($A56,main!$A$3:$H$102,8,FALSE),main!$K$18:$O$18,0))))),1,0)</f>
        <v>0</v>
      </c>
      <c r="CB56">
        <f>IF((AND(VLOOKUP(CB$1,main!$A$3:$H$102,5,FALSE)-VLOOKUP($A56,main!$A$3:$H$102,6,FALSE)&gt;=(VLOOKUP(VLOOKUP(CB$1,main!$A$3:$H$102,8,FALSE),main!$K$26:$M$29,2,FALSE)+VLOOKUP(VLOOKUP(CB$1,main!$A$3:$H$102,7,FALSE),main!$K$19:$O$22,MATCH(VLOOKUP($A56,main!$A$3:$H$102,8,FALSE),main!$K$18:$O$18,0))))),1,0)</f>
        <v>0</v>
      </c>
      <c r="CC56">
        <f>IF((AND(VLOOKUP(CC$1,main!$A$3:$H$102,5,FALSE)-VLOOKUP($A56,main!$A$3:$H$102,6,FALSE)&gt;=(VLOOKUP(VLOOKUP(CC$1,main!$A$3:$H$102,8,FALSE),main!$K$26:$M$29,2,FALSE)+VLOOKUP(VLOOKUP(CC$1,main!$A$3:$H$102,7,FALSE),main!$K$19:$O$22,MATCH(VLOOKUP($A56,main!$A$3:$H$102,8,FALSE),main!$K$18:$O$18,0))))),1,0)</f>
        <v>1</v>
      </c>
      <c r="CD56">
        <f>IF((AND(VLOOKUP(CD$1,main!$A$3:$H$102,5,FALSE)-VLOOKUP($A56,main!$A$3:$H$102,6,FALSE)&gt;=(VLOOKUP(VLOOKUP(CD$1,main!$A$3:$H$102,8,FALSE),main!$K$26:$M$29,2,FALSE)+VLOOKUP(VLOOKUP(CD$1,main!$A$3:$H$102,7,FALSE),main!$K$19:$O$22,MATCH(VLOOKUP($A56,main!$A$3:$H$102,8,FALSE),main!$K$18:$O$18,0))))),1,0)</f>
        <v>0</v>
      </c>
      <c r="CE56">
        <f>IF((AND(VLOOKUP(CE$1,main!$A$3:$H$102,5,FALSE)-VLOOKUP($A56,main!$A$3:$H$102,6,FALSE)&gt;=(VLOOKUP(VLOOKUP(CE$1,main!$A$3:$H$102,8,FALSE),main!$K$26:$M$29,2,FALSE)+VLOOKUP(VLOOKUP(CE$1,main!$A$3:$H$102,7,FALSE),main!$K$19:$O$22,MATCH(VLOOKUP($A56,main!$A$3:$H$102,8,FALSE),main!$K$18:$O$18,0))))),1,0)</f>
        <v>0</v>
      </c>
      <c r="CF56">
        <f>IF((AND(VLOOKUP(CF$1,main!$A$3:$H$102,5,FALSE)-VLOOKUP($A56,main!$A$3:$H$102,6,FALSE)&gt;=(VLOOKUP(VLOOKUP(CF$1,main!$A$3:$H$102,8,FALSE),main!$K$26:$M$29,2,FALSE)+VLOOKUP(VLOOKUP(CF$1,main!$A$3:$H$102,7,FALSE),main!$K$19:$O$22,MATCH(VLOOKUP($A56,main!$A$3:$H$102,8,FALSE),main!$K$18:$O$18,0))))),1,0)</f>
        <v>0</v>
      </c>
      <c r="CG56">
        <f>IF((AND(VLOOKUP(CG$1,main!$A$3:$H$102,5,FALSE)-VLOOKUP($A56,main!$A$3:$H$102,6,FALSE)&gt;=(VLOOKUP(VLOOKUP(CG$1,main!$A$3:$H$102,8,FALSE),main!$K$26:$M$29,2,FALSE)+VLOOKUP(VLOOKUP(CG$1,main!$A$3:$H$102,7,FALSE),main!$K$19:$O$22,MATCH(VLOOKUP($A56,main!$A$3:$H$102,8,FALSE),main!$K$18:$O$18,0))))),1,0)</f>
        <v>0</v>
      </c>
      <c r="CH56">
        <f>IF((AND(VLOOKUP(CH$1,main!$A$3:$H$102,5,FALSE)-VLOOKUP($A56,main!$A$3:$H$102,6,FALSE)&gt;=(VLOOKUP(VLOOKUP(CH$1,main!$A$3:$H$102,8,FALSE),main!$K$26:$M$29,2,FALSE)+VLOOKUP(VLOOKUP(CH$1,main!$A$3:$H$102,7,FALSE),main!$K$19:$O$22,MATCH(VLOOKUP($A56,main!$A$3:$H$102,8,FALSE),main!$K$18:$O$18,0))))),1,0)</f>
        <v>0</v>
      </c>
      <c r="CI56">
        <f>IF((AND(VLOOKUP(CI$1,main!$A$3:$H$102,5,FALSE)-VLOOKUP($A56,main!$A$3:$H$102,6,FALSE)&gt;=(VLOOKUP(VLOOKUP(CI$1,main!$A$3:$H$102,8,FALSE),main!$K$26:$M$29,2,FALSE)+VLOOKUP(VLOOKUP(CI$1,main!$A$3:$H$102,7,FALSE),main!$K$19:$O$22,MATCH(VLOOKUP($A56,main!$A$3:$H$102,8,FALSE),main!$K$18:$O$18,0))))),1,0)</f>
        <v>1</v>
      </c>
      <c r="CJ56">
        <f>IF((AND(VLOOKUP(CJ$1,main!$A$3:$H$102,5,FALSE)-VLOOKUP($A56,main!$A$3:$H$102,6,FALSE)&gt;=(VLOOKUP(VLOOKUP(CJ$1,main!$A$3:$H$102,8,FALSE),main!$K$26:$M$29,2,FALSE)+VLOOKUP(VLOOKUP(CJ$1,main!$A$3:$H$102,7,FALSE),main!$K$19:$O$22,MATCH(VLOOKUP($A56,main!$A$3:$H$102,8,FALSE),main!$K$18:$O$18,0))))),1,0)</f>
        <v>0</v>
      </c>
      <c r="CK56">
        <f>IF((AND(VLOOKUP(CK$1,main!$A$3:$H$102,5,FALSE)-VLOOKUP($A56,main!$A$3:$H$102,6,FALSE)&gt;=(VLOOKUP(VLOOKUP(CK$1,main!$A$3:$H$102,8,FALSE),main!$K$26:$M$29,2,FALSE)+VLOOKUP(VLOOKUP(CK$1,main!$A$3:$H$102,7,FALSE),main!$K$19:$O$22,MATCH(VLOOKUP($A56,main!$A$3:$H$102,8,FALSE),main!$K$18:$O$18,0))))),1,0)</f>
        <v>0</v>
      </c>
      <c r="CL56">
        <f>IF((AND(VLOOKUP(CL$1,main!$A$3:$H$102,5,FALSE)-VLOOKUP($A56,main!$A$3:$H$102,6,FALSE)&gt;=(VLOOKUP(VLOOKUP(CL$1,main!$A$3:$H$102,8,FALSE),main!$K$26:$M$29,2,FALSE)+VLOOKUP(VLOOKUP(CL$1,main!$A$3:$H$102,7,FALSE),main!$K$19:$O$22,MATCH(VLOOKUP($A56,main!$A$3:$H$102,8,FALSE),main!$K$18:$O$18,0))))),1,0)</f>
        <v>0</v>
      </c>
      <c r="CM56">
        <f>IF((AND(VLOOKUP(CM$1,main!$A$3:$H$102,5,FALSE)-VLOOKUP($A56,main!$A$3:$H$102,6,FALSE)&gt;=(VLOOKUP(VLOOKUP(CM$1,main!$A$3:$H$102,8,FALSE),main!$K$26:$M$29,2,FALSE)+VLOOKUP(VLOOKUP(CM$1,main!$A$3:$H$102,7,FALSE),main!$K$19:$O$22,MATCH(VLOOKUP($A56,main!$A$3:$H$102,8,FALSE),main!$K$18:$O$18,0))))),1,0)</f>
        <v>0</v>
      </c>
      <c r="CN56">
        <f>IF((AND(VLOOKUP(CN$1,main!$A$3:$H$102,5,FALSE)-VLOOKUP($A56,main!$A$3:$H$102,6,FALSE)&gt;=(VLOOKUP(VLOOKUP(CN$1,main!$A$3:$H$102,8,FALSE),main!$K$26:$M$29,2,FALSE)+VLOOKUP(VLOOKUP(CN$1,main!$A$3:$H$102,7,FALSE),main!$K$19:$O$22,MATCH(VLOOKUP($A56,main!$A$3:$H$102,8,FALSE),main!$K$18:$O$18,0))))),1,0)</f>
        <v>1</v>
      </c>
      <c r="CO56">
        <f>IF((AND(VLOOKUP(CO$1,main!$A$3:$H$102,5,FALSE)-VLOOKUP($A56,main!$A$3:$H$102,6,FALSE)&gt;=(VLOOKUP(VLOOKUP(CO$1,main!$A$3:$H$102,8,FALSE),main!$K$26:$M$29,2,FALSE)+VLOOKUP(VLOOKUP(CO$1,main!$A$3:$H$102,7,FALSE),main!$K$19:$O$22,MATCH(VLOOKUP($A56,main!$A$3:$H$102,8,FALSE),main!$K$18:$O$18,0))))),1,0)</f>
        <v>0</v>
      </c>
      <c r="CP56">
        <f>IF((AND(VLOOKUP(CP$1,main!$A$3:$H$102,5,FALSE)-VLOOKUP($A56,main!$A$3:$H$102,6,FALSE)&gt;=(VLOOKUP(VLOOKUP(CP$1,main!$A$3:$H$102,8,FALSE),main!$K$26:$M$29,2,FALSE)+VLOOKUP(VLOOKUP(CP$1,main!$A$3:$H$102,7,FALSE),main!$K$19:$O$22,MATCH(VLOOKUP($A56,main!$A$3:$H$102,8,FALSE),main!$K$18:$O$18,0))))),1,0)</f>
        <v>0</v>
      </c>
      <c r="CQ56">
        <f>IF((AND(VLOOKUP(CQ$1,main!$A$3:$H$102,5,FALSE)-VLOOKUP($A56,main!$A$3:$H$102,6,FALSE)&gt;=(VLOOKUP(VLOOKUP(CQ$1,main!$A$3:$H$102,8,FALSE),main!$K$26:$M$29,2,FALSE)+VLOOKUP(VLOOKUP(CQ$1,main!$A$3:$H$102,7,FALSE),main!$K$19:$O$22,MATCH(VLOOKUP($A56,main!$A$3:$H$102,8,FALSE),main!$K$18:$O$18,0))))),1,0)</f>
        <v>0</v>
      </c>
      <c r="CR56">
        <f>IF((AND(VLOOKUP(CR$1,main!$A$3:$H$102,5,FALSE)-VLOOKUP($A56,main!$A$3:$H$102,6,FALSE)&gt;=(VLOOKUP(VLOOKUP(CR$1,main!$A$3:$H$102,8,FALSE),main!$K$26:$M$29,2,FALSE)+VLOOKUP(VLOOKUP(CR$1,main!$A$3:$H$102,7,FALSE),main!$K$19:$O$22,MATCH(VLOOKUP($A56,main!$A$3:$H$102,8,FALSE),main!$K$18:$O$18,0))))),1,0)</f>
        <v>0</v>
      </c>
      <c r="CS56">
        <f>IF((AND(VLOOKUP(CS$1,main!$A$3:$H$102,5,FALSE)-VLOOKUP($A56,main!$A$3:$H$102,6,FALSE)&gt;=(VLOOKUP(VLOOKUP(CS$1,main!$A$3:$H$102,8,FALSE),main!$K$26:$M$29,2,FALSE)+VLOOKUP(VLOOKUP(CS$1,main!$A$3:$H$102,7,FALSE),main!$K$19:$O$22,MATCH(VLOOKUP($A56,main!$A$3:$H$102,8,FALSE),main!$K$18:$O$18,0))))),1,0)</f>
        <v>0</v>
      </c>
      <c r="CT56">
        <f>IF((AND(VLOOKUP(CT$1,main!$A$3:$H$102,5,FALSE)-VLOOKUP($A56,main!$A$3:$H$102,6,FALSE)&gt;=(VLOOKUP(VLOOKUP(CT$1,main!$A$3:$H$102,8,FALSE),main!$K$26:$M$29,2,FALSE)+VLOOKUP(VLOOKUP(CT$1,main!$A$3:$H$102,7,FALSE),main!$K$19:$O$22,MATCH(VLOOKUP($A56,main!$A$3:$H$102,8,FALSE),main!$K$18:$O$18,0))))),1,0)</f>
        <v>0</v>
      </c>
      <c r="CU56">
        <f>IF((AND(VLOOKUP(CU$1,main!$A$3:$H$102,5,FALSE)-VLOOKUP($A56,main!$A$3:$H$102,6,FALSE)&gt;=(VLOOKUP(VLOOKUP(CU$1,main!$A$3:$H$102,8,FALSE),main!$K$26:$M$29,2,FALSE)+VLOOKUP(VLOOKUP(CU$1,main!$A$3:$H$102,7,FALSE),main!$K$19:$O$22,MATCH(VLOOKUP($A56,main!$A$3:$H$102,8,FALSE),main!$K$18:$O$18,0))))),1,0)</f>
        <v>0</v>
      </c>
      <c r="CV56">
        <f>IF((AND(VLOOKUP(CV$1,main!$A$3:$H$102,5,FALSE)-VLOOKUP($A56,main!$A$3:$H$102,6,FALSE)&gt;=(VLOOKUP(VLOOKUP(CV$1,main!$A$3:$H$102,8,FALSE),main!$K$26:$M$29,2,FALSE)+VLOOKUP(VLOOKUP(CV$1,main!$A$3:$H$102,7,FALSE),main!$K$19:$O$22,MATCH(VLOOKUP($A56,main!$A$3:$H$102,8,FALSE),main!$K$18:$O$18,0))))),1,0)</f>
        <v>0</v>
      </c>
      <c r="CW56">
        <f>IF((AND(VLOOKUP(CW$1,main!$A$3:$H$102,5,FALSE)-VLOOKUP($A56,main!$A$3:$H$102,6,FALSE)&gt;=(VLOOKUP(VLOOKUP(CW$1,main!$A$3:$H$102,8,FALSE),main!$K$26:$M$29,2,FALSE)+VLOOKUP(VLOOKUP(CW$1,main!$A$3:$H$102,7,FALSE),main!$K$19:$O$22,MATCH(VLOOKUP($A56,main!$A$3:$H$102,8,FALSE),main!$K$18:$O$18,0))))),1,0)</f>
        <v>0</v>
      </c>
      <c r="CX56">
        <f>IF((AND(VLOOKUP(CX$1,main!$A$3:$H$102,5,FALSE)-VLOOKUP($A56,main!$A$3:$H$102,6,FALSE)&gt;=(VLOOKUP(VLOOKUP(CX$1,main!$A$3:$H$102,8,FALSE),main!$K$26:$M$29,2,FALSE)+VLOOKUP(VLOOKUP(CX$1,main!$A$3:$H$102,7,FALSE),main!$K$19:$O$22,MATCH(VLOOKUP($A56,main!$A$3:$H$102,8,FALSE),main!$K$18:$O$18,0))))),1,0)</f>
        <v>0</v>
      </c>
    </row>
    <row r="57" spans="1:102" x14ac:dyDescent="0.25">
      <c r="A57" s="1">
        <v>55</v>
      </c>
      <c r="B57">
        <v>1</v>
      </c>
      <c r="C57">
        <f>IF((AND(VLOOKUP(C$1,main!$A$3:$H$102,5,FALSE)-VLOOKUP($A57,main!$A$3:$H$102,6,FALSE)&gt;=(VLOOKUP(VLOOKUP(C$1,main!$A$3:$H$102,8,FALSE),main!$K$26:$M$29,2,FALSE)+VLOOKUP(VLOOKUP(C$1,main!$A$3:$H$102,7,FALSE),main!$K$19:$O$22,MATCH(VLOOKUP($A57,main!$A$3:$H$102,8,FALSE),main!$K$18:$O$18,0))))),1,0)</f>
        <v>0</v>
      </c>
      <c r="D57">
        <f>IF((AND(VLOOKUP(D$1,main!$A$3:$H$102,5,FALSE)-VLOOKUP($A57,main!$A$3:$H$102,6,FALSE)&gt;=(VLOOKUP(VLOOKUP(D$1,main!$A$3:$H$102,8,FALSE),main!$K$26:$M$29,2,FALSE)+VLOOKUP(VLOOKUP(D$1,main!$A$3:$H$102,7,FALSE),main!$K$19:$O$22,MATCH(VLOOKUP($A57,main!$A$3:$H$102,8,FALSE),main!$K$18:$O$18,0))))),1,0)</f>
        <v>0</v>
      </c>
      <c r="E57">
        <f>IF((AND(VLOOKUP(E$1,main!$A$3:$H$102,5,FALSE)-VLOOKUP($A57,main!$A$3:$H$102,6,FALSE)&gt;=(VLOOKUP(VLOOKUP(E$1,main!$A$3:$H$102,8,FALSE),main!$K$26:$M$29,2,FALSE)+VLOOKUP(VLOOKUP(E$1,main!$A$3:$H$102,7,FALSE),main!$K$19:$O$22,MATCH(VLOOKUP($A57,main!$A$3:$H$102,8,FALSE),main!$K$18:$O$18,0))))),1,0)</f>
        <v>0</v>
      </c>
      <c r="F57">
        <f>IF((AND(VLOOKUP(F$1,main!$A$3:$H$102,5,FALSE)-VLOOKUP($A57,main!$A$3:$H$102,6,FALSE)&gt;=(VLOOKUP(VLOOKUP(F$1,main!$A$3:$H$102,8,FALSE),main!$K$26:$M$29,2,FALSE)+VLOOKUP(VLOOKUP(F$1,main!$A$3:$H$102,7,FALSE),main!$K$19:$O$22,MATCH(VLOOKUP($A57,main!$A$3:$H$102,8,FALSE),main!$K$18:$O$18,0))))),1,0)</f>
        <v>0</v>
      </c>
      <c r="G57">
        <f>IF((AND(VLOOKUP(G$1,main!$A$3:$H$102,5,FALSE)-VLOOKUP($A57,main!$A$3:$H$102,6,FALSE)&gt;=(VLOOKUP(VLOOKUP(G$1,main!$A$3:$H$102,8,FALSE),main!$K$26:$M$29,2,FALSE)+VLOOKUP(VLOOKUP(G$1,main!$A$3:$H$102,7,FALSE),main!$K$19:$O$22,MATCH(VLOOKUP($A57,main!$A$3:$H$102,8,FALSE),main!$K$18:$O$18,0))))),1,0)</f>
        <v>0</v>
      </c>
      <c r="H57">
        <f>IF((AND(VLOOKUP(H$1,main!$A$3:$H$102,5,FALSE)-VLOOKUP($A57,main!$A$3:$H$102,6,FALSE)&gt;=(VLOOKUP(VLOOKUP(H$1,main!$A$3:$H$102,8,FALSE),main!$K$26:$M$29,2,FALSE)+VLOOKUP(VLOOKUP(H$1,main!$A$3:$H$102,7,FALSE),main!$K$19:$O$22,MATCH(VLOOKUP($A57,main!$A$3:$H$102,8,FALSE),main!$K$18:$O$18,0))))),1,0)</f>
        <v>0</v>
      </c>
      <c r="I57">
        <f>IF((AND(VLOOKUP(I$1,main!$A$3:$H$102,5,FALSE)-VLOOKUP($A57,main!$A$3:$H$102,6,FALSE)&gt;=(VLOOKUP(VLOOKUP(I$1,main!$A$3:$H$102,8,FALSE),main!$K$26:$M$29,2,FALSE)+VLOOKUP(VLOOKUP(I$1,main!$A$3:$H$102,7,FALSE),main!$K$19:$O$22,MATCH(VLOOKUP($A57,main!$A$3:$H$102,8,FALSE),main!$K$18:$O$18,0))))),1,0)</f>
        <v>0</v>
      </c>
      <c r="J57">
        <f>IF((AND(VLOOKUP(J$1,main!$A$3:$H$102,5,FALSE)-VLOOKUP($A57,main!$A$3:$H$102,6,FALSE)&gt;=(VLOOKUP(VLOOKUP(J$1,main!$A$3:$H$102,8,FALSE),main!$K$26:$M$29,2,FALSE)+VLOOKUP(VLOOKUP(J$1,main!$A$3:$H$102,7,FALSE),main!$K$19:$O$22,MATCH(VLOOKUP($A57,main!$A$3:$H$102,8,FALSE),main!$K$18:$O$18,0))))),1,0)</f>
        <v>0</v>
      </c>
      <c r="K57">
        <f>IF((AND(VLOOKUP(K$1,main!$A$3:$H$102,5,FALSE)-VLOOKUP($A57,main!$A$3:$H$102,6,FALSE)&gt;=(VLOOKUP(VLOOKUP(K$1,main!$A$3:$H$102,8,FALSE),main!$K$26:$M$29,2,FALSE)+VLOOKUP(VLOOKUP(K$1,main!$A$3:$H$102,7,FALSE),main!$K$19:$O$22,MATCH(VLOOKUP($A57,main!$A$3:$H$102,8,FALSE),main!$K$18:$O$18,0))))),1,0)</f>
        <v>0</v>
      </c>
      <c r="L57">
        <f>IF((AND(VLOOKUP(L$1,main!$A$3:$H$102,5,FALSE)-VLOOKUP($A57,main!$A$3:$H$102,6,FALSE)&gt;=(VLOOKUP(VLOOKUP(L$1,main!$A$3:$H$102,8,FALSE),main!$K$26:$M$29,2,FALSE)+VLOOKUP(VLOOKUP(L$1,main!$A$3:$H$102,7,FALSE),main!$K$19:$O$22,MATCH(VLOOKUP($A57,main!$A$3:$H$102,8,FALSE),main!$K$18:$O$18,0))))),1,0)</f>
        <v>0</v>
      </c>
      <c r="M57">
        <f>IF((AND(VLOOKUP(M$1,main!$A$3:$H$102,5,FALSE)-VLOOKUP($A57,main!$A$3:$H$102,6,FALSE)&gt;=(VLOOKUP(VLOOKUP(M$1,main!$A$3:$H$102,8,FALSE),main!$K$26:$M$29,2,FALSE)+VLOOKUP(VLOOKUP(M$1,main!$A$3:$H$102,7,FALSE),main!$K$19:$O$22,MATCH(VLOOKUP($A57,main!$A$3:$H$102,8,FALSE),main!$K$18:$O$18,0))))),1,0)</f>
        <v>0</v>
      </c>
      <c r="N57">
        <f>IF((AND(VLOOKUP(N$1,main!$A$3:$H$102,5,FALSE)-VLOOKUP($A57,main!$A$3:$H$102,6,FALSE)&gt;=(VLOOKUP(VLOOKUP(N$1,main!$A$3:$H$102,8,FALSE),main!$K$26:$M$29,2,FALSE)+VLOOKUP(VLOOKUP(N$1,main!$A$3:$H$102,7,FALSE),main!$K$19:$O$22,MATCH(VLOOKUP($A57,main!$A$3:$H$102,8,FALSE),main!$K$18:$O$18,0))))),1,0)</f>
        <v>0</v>
      </c>
      <c r="O57">
        <f>IF((AND(VLOOKUP(O$1,main!$A$3:$H$102,5,FALSE)-VLOOKUP($A57,main!$A$3:$H$102,6,FALSE)&gt;=(VLOOKUP(VLOOKUP(O$1,main!$A$3:$H$102,8,FALSE),main!$K$26:$M$29,2,FALSE)+VLOOKUP(VLOOKUP(O$1,main!$A$3:$H$102,7,FALSE),main!$K$19:$O$22,MATCH(VLOOKUP($A57,main!$A$3:$H$102,8,FALSE),main!$K$18:$O$18,0))))),1,0)</f>
        <v>0</v>
      </c>
      <c r="P57">
        <f>IF((AND(VLOOKUP(P$1,main!$A$3:$H$102,5,FALSE)-VLOOKUP($A57,main!$A$3:$H$102,6,FALSE)&gt;=(VLOOKUP(VLOOKUP(P$1,main!$A$3:$H$102,8,FALSE),main!$K$26:$M$29,2,FALSE)+VLOOKUP(VLOOKUP(P$1,main!$A$3:$H$102,7,FALSE),main!$K$19:$O$22,MATCH(VLOOKUP($A57,main!$A$3:$H$102,8,FALSE),main!$K$18:$O$18,0))))),1,0)</f>
        <v>0</v>
      </c>
      <c r="Q57">
        <f>IF((AND(VLOOKUP(Q$1,main!$A$3:$H$102,5,FALSE)-VLOOKUP($A57,main!$A$3:$H$102,6,FALSE)&gt;=(VLOOKUP(VLOOKUP(Q$1,main!$A$3:$H$102,8,FALSE),main!$K$26:$M$29,2,FALSE)+VLOOKUP(VLOOKUP(Q$1,main!$A$3:$H$102,7,FALSE),main!$K$19:$O$22,MATCH(VLOOKUP($A57,main!$A$3:$H$102,8,FALSE),main!$K$18:$O$18,0))))),1,0)</f>
        <v>0</v>
      </c>
      <c r="R57">
        <f>IF((AND(VLOOKUP(R$1,main!$A$3:$H$102,5,FALSE)-VLOOKUP($A57,main!$A$3:$H$102,6,FALSE)&gt;=(VLOOKUP(VLOOKUP(R$1,main!$A$3:$H$102,8,FALSE),main!$K$26:$M$29,2,FALSE)+VLOOKUP(VLOOKUP(R$1,main!$A$3:$H$102,7,FALSE),main!$K$19:$O$22,MATCH(VLOOKUP($A57,main!$A$3:$H$102,8,FALSE),main!$K$18:$O$18,0))))),1,0)</f>
        <v>0</v>
      </c>
      <c r="S57">
        <f>IF((AND(VLOOKUP(S$1,main!$A$3:$H$102,5,FALSE)-VLOOKUP($A57,main!$A$3:$H$102,6,FALSE)&gt;=(VLOOKUP(VLOOKUP(S$1,main!$A$3:$H$102,8,FALSE),main!$K$26:$M$29,2,FALSE)+VLOOKUP(VLOOKUP(S$1,main!$A$3:$H$102,7,FALSE),main!$K$19:$O$22,MATCH(VLOOKUP($A57,main!$A$3:$H$102,8,FALSE),main!$K$18:$O$18,0))))),1,0)</f>
        <v>0</v>
      </c>
      <c r="T57">
        <f>IF((AND(VLOOKUP(T$1,main!$A$3:$H$102,5,FALSE)-VLOOKUP($A57,main!$A$3:$H$102,6,FALSE)&gt;=(VLOOKUP(VLOOKUP(T$1,main!$A$3:$H$102,8,FALSE),main!$K$26:$M$29,2,FALSE)+VLOOKUP(VLOOKUP(T$1,main!$A$3:$H$102,7,FALSE),main!$K$19:$O$22,MATCH(VLOOKUP($A57,main!$A$3:$H$102,8,FALSE),main!$K$18:$O$18,0))))),1,0)</f>
        <v>0</v>
      </c>
      <c r="U57">
        <f>IF((AND(VLOOKUP(U$1,main!$A$3:$H$102,5,FALSE)-VLOOKUP($A57,main!$A$3:$H$102,6,FALSE)&gt;=(VLOOKUP(VLOOKUP(U$1,main!$A$3:$H$102,8,FALSE),main!$K$26:$M$29,2,FALSE)+VLOOKUP(VLOOKUP(U$1,main!$A$3:$H$102,7,FALSE),main!$K$19:$O$22,MATCH(VLOOKUP($A57,main!$A$3:$H$102,8,FALSE),main!$K$18:$O$18,0))))),1,0)</f>
        <v>0</v>
      </c>
      <c r="V57">
        <f>IF((AND(VLOOKUP(V$1,main!$A$3:$H$102,5,FALSE)-VLOOKUP($A57,main!$A$3:$H$102,6,FALSE)&gt;=(VLOOKUP(VLOOKUP(V$1,main!$A$3:$H$102,8,FALSE),main!$K$26:$M$29,2,FALSE)+VLOOKUP(VLOOKUP(V$1,main!$A$3:$H$102,7,FALSE),main!$K$19:$O$22,MATCH(VLOOKUP($A57,main!$A$3:$H$102,8,FALSE),main!$K$18:$O$18,0))))),1,0)</f>
        <v>1</v>
      </c>
      <c r="W57">
        <f>IF((AND(VLOOKUP(W$1,main!$A$3:$H$102,5,FALSE)-VLOOKUP($A57,main!$A$3:$H$102,6,FALSE)&gt;=(VLOOKUP(VLOOKUP(W$1,main!$A$3:$H$102,8,FALSE),main!$K$26:$M$29,2,FALSE)+VLOOKUP(VLOOKUP(W$1,main!$A$3:$H$102,7,FALSE),main!$K$19:$O$22,MATCH(VLOOKUP($A57,main!$A$3:$H$102,8,FALSE),main!$K$18:$O$18,0))))),1,0)</f>
        <v>0</v>
      </c>
      <c r="X57">
        <f>IF((AND(VLOOKUP(X$1,main!$A$3:$H$102,5,FALSE)-VLOOKUP($A57,main!$A$3:$H$102,6,FALSE)&gt;=(VLOOKUP(VLOOKUP(X$1,main!$A$3:$H$102,8,FALSE),main!$K$26:$M$29,2,FALSE)+VLOOKUP(VLOOKUP(X$1,main!$A$3:$H$102,7,FALSE),main!$K$19:$O$22,MATCH(VLOOKUP($A57,main!$A$3:$H$102,8,FALSE),main!$K$18:$O$18,0))))),1,0)</f>
        <v>0</v>
      </c>
      <c r="Y57">
        <f>IF((AND(VLOOKUP(Y$1,main!$A$3:$H$102,5,FALSE)-VLOOKUP($A57,main!$A$3:$H$102,6,FALSE)&gt;=(VLOOKUP(VLOOKUP(Y$1,main!$A$3:$H$102,8,FALSE),main!$K$26:$M$29,2,FALSE)+VLOOKUP(VLOOKUP(Y$1,main!$A$3:$H$102,7,FALSE),main!$K$19:$O$22,MATCH(VLOOKUP($A57,main!$A$3:$H$102,8,FALSE),main!$K$18:$O$18,0))))),1,0)</f>
        <v>0</v>
      </c>
      <c r="Z57">
        <f>IF((AND(VLOOKUP(Z$1,main!$A$3:$H$102,5,FALSE)-VLOOKUP($A57,main!$A$3:$H$102,6,FALSE)&gt;=(VLOOKUP(VLOOKUP(Z$1,main!$A$3:$H$102,8,FALSE),main!$K$26:$M$29,2,FALSE)+VLOOKUP(VLOOKUP(Z$1,main!$A$3:$H$102,7,FALSE),main!$K$19:$O$22,MATCH(VLOOKUP($A57,main!$A$3:$H$102,8,FALSE),main!$K$18:$O$18,0))))),1,0)</f>
        <v>0</v>
      </c>
      <c r="AA57">
        <f>IF((AND(VLOOKUP(AA$1,main!$A$3:$H$102,5,FALSE)-VLOOKUP($A57,main!$A$3:$H$102,6,FALSE)&gt;=(VLOOKUP(VLOOKUP(AA$1,main!$A$3:$H$102,8,FALSE),main!$K$26:$M$29,2,FALSE)+VLOOKUP(VLOOKUP(AA$1,main!$A$3:$H$102,7,FALSE),main!$K$19:$O$22,MATCH(VLOOKUP($A57,main!$A$3:$H$102,8,FALSE),main!$K$18:$O$18,0))))),1,0)</f>
        <v>0</v>
      </c>
      <c r="AB57">
        <f>IF((AND(VLOOKUP(AB$1,main!$A$3:$H$102,5,FALSE)-VLOOKUP($A57,main!$A$3:$H$102,6,FALSE)&gt;=(VLOOKUP(VLOOKUP(AB$1,main!$A$3:$H$102,8,FALSE),main!$K$26:$M$29,2,FALSE)+VLOOKUP(VLOOKUP(AB$1,main!$A$3:$H$102,7,FALSE),main!$K$19:$O$22,MATCH(VLOOKUP($A57,main!$A$3:$H$102,8,FALSE),main!$K$18:$O$18,0))))),1,0)</f>
        <v>0</v>
      </c>
      <c r="AC57">
        <f>IF((AND(VLOOKUP(AC$1,main!$A$3:$H$102,5,FALSE)-VLOOKUP($A57,main!$A$3:$H$102,6,FALSE)&gt;=(VLOOKUP(VLOOKUP(AC$1,main!$A$3:$H$102,8,FALSE),main!$K$26:$M$29,2,FALSE)+VLOOKUP(VLOOKUP(AC$1,main!$A$3:$H$102,7,FALSE),main!$K$19:$O$22,MATCH(VLOOKUP($A57,main!$A$3:$H$102,8,FALSE),main!$K$18:$O$18,0))))),1,0)</f>
        <v>0</v>
      </c>
      <c r="AD57">
        <f>IF((AND(VLOOKUP(AD$1,main!$A$3:$H$102,5,FALSE)-VLOOKUP($A57,main!$A$3:$H$102,6,FALSE)&gt;=(VLOOKUP(VLOOKUP(AD$1,main!$A$3:$H$102,8,FALSE),main!$K$26:$M$29,2,FALSE)+VLOOKUP(VLOOKUP(AD$1,main!$A$3:$H$102,7,FALSE),main!$K$19:$O$22,MATCH(VLOOKUP($A57,main!$A$3:$H$102,8,FALSE),main!$K$18:$O$18,0))))),1,0)</f>
        <v>0</v>
      </c>
      <c r="AE57">
        <f>IF((AND(VLOOKUP(AE$1,main!$A$3:$H$102,5,FALSE)-VLOOKUP($A57,main!$A$3:$H$102,6,FALSE)&gt;=(VLOOKUP(VLOOKUP(AE$1,main!$A$3:$H$102,8,FALSE),main!$K$26:$M$29,2,FALSE)+VLOOKUP(VLOOKUP(AE$1,main!$A$3:$H$102,7,FALSE),main!$K$19:$O$22,MATCH(VLOOKUP($A57,main!$A$3:$H$102,8,FALSE),main!$K$18:$O$18,0))))),1,0)</f>
        <v>0</v>
      </c>
      <c r="AF57">
        <f>IF((AND(VLOOKUP(AF$1,main!$A$3:$H$102,5,FALSE)-VLOOKUP($A57,main!$A$3:$H$102,6,FALSE)&gt;=(VLOOKUP(VLOOKUP(AF$1,main!$A$3:$H$102,8,FALSE),main!$K$26:$M$29,2,FALSE)+VLOOKUP(VLOOKUP(AF$1,main!$A$3:$H$102,7,FALSE),main!$K$19:$O$22,MATCH(VLOOKUP($A57,main!$A$3:$H$102,8,FALSE),main!$K$18:$O$18,0))))),1,0)</f>
        <v>0</v>
      </c>
      <c r="AG57">
        <f>IF((AND(VLOOKUP(AG$1,main!$A$3:$H$102,5,FALSE)-VLOOKUP($A57,main!$A$3:$H$102,6,FALSE)&gt;=(VLOOKUP(VLOOKUP(AG$1,main!$A$3:$H$102,8,FALSE),main!$K$26:$M$29,2,FALSE)+VLOOKUP(VLOOKUP(AG$1,main!$A$3:$H$102,7,FALSE),main!$K$19:$O$22,MATCH(VLOOKUP($A57,main!$A$3:$H$102,8,FALSE),main!$K$18:$O$18,0))))),1,0)</f>
        <v>0</v>
      </c>
      <c r="AH57">
        <f>IF((AND(VLOOKUP(AH$1,main!$A$3:$H$102,5,FALSE)-VLOOKUP($A57,main!$A$3:$H$102,6,FALSE)&gt;=(VLOOKUP(VLOOKUP(AH$1,main!$A$3:$H$102,8,FALSE),main!$K$26:$M$29,2,FALSE)+VLOOKUP(VLOOKUP(AH$1,main!$A$3:$H$102,7,FALSE),main!$K$19:$O$22,MATCH(VLOOKUP($A57,main!$A$3:$H$102,8,FALSE),main!$K$18:$O$18,0))))),1,0)</f>
        <v>0</v>
      </c>
      <c r="AI57">
        <f>IF((AND(VLOOKUP(AI$1,main!$A$3:$H$102,5,FALSE)-VLOOKUP($A57,main!$A$3:$H$102,6,FALSE)&gt;=(VLOOKUP(VLOOKUP(AI$1,main!$A$3:$H$102,8,FALSE),main!$K$26:$M$29,2,FALSE)+VLOOKUP(VLOOKUP(AI$1,main!$A$3:$H$102,7,FALSE),main!$K$19:$O$22,MATCH(VLOOKUP($A57,main!$A$3:$H$102,8,FALSE),main!$K$18:$O$18,0))))),1,0)</f>
        <v>0</v>
      </c>
      <c r="AJ57">
        <f>IF((AND(VLOOKUP(AJ$1,main!$A$3:$H$102,5,FALSE)-VLOOKUP($A57,main!$A$3:$H$102,6,FALSE)&gt;=(VLOOKUP(VLOOKUP(AJ$1,main!$A$3:$H$102,8,FALSE),main!$K$26:$M$29,2,FALSE)+VLOOKUP(VLOOKUP(AJ$1,main!$A$3:$H$102,7,FALSE),main!$K$19:$O$22,MATCH(VLOOKUP($A57,main!$A$3:$H$102,8,FALSE),main!$K$18:$O$18,0))))),1,0)</f>
        <v>0</v>
      </c>
      <c r="AK57">
        <f>IF((AND(VLOOKUP(AK$1,main!$A$3:$H$102,5,FALSE)-VLOOKUP($A57,main!$A$3:$H$102,6,FALSE)&gt;=(VLOOKUP(VLOOKUP(AK$1,main!$A$3:$H$102,8,FALSE),main!$K$26:$M$29,2,FALSE)+VLOOKUP(VLOOKUP(AK$1,main!$A$3:$H$102,7,FALSE),main!$K$19:$O$22,MATCH(VLOOKUP($A57,main!$A$3:$H$102,8,FALSE),main!$K$18:$O$18,0))))),1,0)</f>
        <v>0</v>
      </c>
      <c r="AL57">
        <f>IF((AND(VLOOKUP(AL$1,main!$A$3:$H$102,5,FALSE)-VLOOKUP($A57,main!$A$3:$H$102,6,FALSE)&gt;=(VLOOKUP(VLOOKUP(AL$1,main!$A$3:$H$102,8,FALSE),main!$K$26:$M$29,2,FALSE)+VLOOKUP(VLOOKUP(AL$1,main!$A$3:$H$102,7,FALSE),main!$K$19:$O$22,MATCH(VLOOKUP($A57,main!$A$3:$H$102,8,FALSE),main!$K$18:$O$18,0))))),1,0)</f>
        <v>0</v>
      </c>
      <c r="AM57">
        <f>IF((AND(VLOOKUP(AM$1,main!$A$3:$H$102,5,FALSE)-VLOOKUP($A57,main!$A$3:$H$102,6,FALSE)&gt;=(VLOOKUP(VLOOKUP(AM$1,main!$A$3:$H$102,8,FALSE),main!$K$26:$M$29,2,FALSE)+VLOOKUP(VLOOKUP(AM$1,main!$A$3:$H$102,7,FALSE),main!$K$19:$O$22,MATCH(VLOOKUP($A57,main!$A$3:$H$102,8,FALSE),main!$K$18:$O$18,0))))),1,0)</f>
        <v>0</v>
      </c>
      <c r="AN57">
        <f>IF((AND(VLOOKUP(AN$1,main!$A$3:$H$102,5,FALSE)-VLOOKUP($A57,main!$A$3:$H$102,6,FALSE)&gt;=(VLOOKUP(VLOOKUP(AN$1,main!$A$3:$H$102,8,FALSE),main!$K$26:$M$29,2,FALSE)+VLOOKUP(VLOOKUP(AN$1,main!$A$3:$H$102,7,FALSE),main!$K$19:$O$22,MATCH(VLOOKUP($A57,main!$A$3:$H$102,8,FALSE),main!$K$18:$O$18,0))))),1,0)</f>
        <v>0</v>
      </c>
      <c r="AO57">
        <f>IF((AND(VLOOKUP(AO$1,main!$A$3:$H$102,5,FALSE)-VLOOKUP($A57,main!$A$3:$H$102,6,FALSE)&gt;=(VLOOKUP(VLOOKUP(AO$1,main!$A$3:$H$102,8,FALSE),main!$K$26:$M$29,2,FALSE)+VLOOKUP(VLOOKUP(AO$1,main!$A$3:$H$102,7,FALSE),main!$K$19:$O$22,MATCH(VLOOKUP($A57,main!$A$3:$H$102,8,FALSE),main!$K$18:$O$18,0))))),1,0)</f>
        <v>0</v>
      </c>
      <c r="AP57">
        <f>IF((AND(VLOOKUP(AP$1,main!$A$3:$H$102,5,FALSE)-VLOOKUP($A57,main!$A$3:$H$102,6,FALSE)&gt;=(VLOOKUP(VLOOKUP(AP$1,main!$A$3:$H$102,8,FALSE),main!$K$26:$M$29,2,FALSE)+VLOOKUP(VLOOKUP(AP$1,main!$A$3:$H$102,7,FALSE),main!$K$19:$O$22,MATCH(VLOOKUP($A57,main!$A$3:$H$102,8,FALSE),main!$K$18:$O$18,0))))),1,0)</f>
        <v>0</v>
      </c>
      <c r="AQ57">
        <f>IF((AND(VLOOKUP(AQ$1,main!$A$3:$H$102,5,FALSE)-VLOOKUP($A57,main!$A$3:$H$102,6,FALSE)&gt;=(VLOOKUP(VLOOKUP(AQ$1,main!$A$3:$H$102,8,FALSE),main!$K$26:$M$29,2,FALSE)+VLOOKUP(VLOOKUP(AQ$1,main!$A$3:$H$102,7,FALSE),main!$K$19:$O$22,MATCH(VLOOKUP($A57,main!$A$3:$H$102,8,FALSE),main!$K$18:$O$18,0))))),1,0)</f>
        <v>0</v>
      </c>
      <c r="AR57">
        <f>IF((AND(VLOOKUP(AR$1,main!$A$3:$H$102,5,FALSE)-VLOOKUP($A57,main!$A$3:$H$102,6,FALSE)&gt;=(VLOOKUP(VLOOKUP(AR$1,main!$A$3:$H$102,8,FALSE),main!$K$26:$M$29,2,FALSE)+VLOOKUP(VLOOKUP(AR$1,main!$A$3:$H$102,7,FALSE),main!$K$19:$O$22,MATCH(VLOOKUP($A57,main!$A$3:$H$102,8,FALSE),main!$K$18:$O$18,0))))),1,0)</f>
        <v>0</v>
      </c>
      <c r="AS57">
        <f>IF((AND(VLOOKUP(AS$1,main!$A$3:$H$102,5,FALSE)-VLOOKUP($A57,main!$A$3:$H$102,6,FALSE)&gt;=(VLOOKUP(VLOOKUP(AS$1,main!$A$3:$H$102,8,FALSE),main!$K$26:$M$29,2,FALSE)+VLOOKUP(VLOOKUP(AS$1,main!$A$3:$H$102,7,FALSE),main!$K$19:$O$22,MATCH(VLOOKUP($A57,main!$A$3:$H$102,8,FALSE),main!$K$18:$O$18,0))))),1,0)</f>
        <v>0</v>
      </c>
      <c r="AT57">
        <f>IF((AND(VLOOKUP(AT$1,main!$A$3:$H$102,5,FALSE)-VLOOKUP($A57,main!$A$3:$H$102,6,FALSE)&gt;=(VLOOKUP(VLOOKUP(AT$1,main!$A$3:$H$102,8,FALSE),main!$K$26:$M$29,2,FALSE)+VLOOKUP(VLOOKUP(AT$1,main!$A$3:$H$102,7,FALSE),main!$K$19:$O$22,MATCH(VLOOKUP($A57,main!$A$3:$H$102,8,FALSE),main!$K$18:$O$18,0))))),1,0)</f>
        <v>0</v>
      </c>
      <c r="AU57">
        <f>IF((AND(VLOOKUP(AU$1,main!$A$3:$H$102,5,FALSE)-VLOOKUP($A57,main!$A$3:$H$102,6,FALSE)&gt;=(VLOOKUP(VLOOKUP(AU$1,main!$A$3:$H$102,8,FALSE),main!$K$26:$M$29,2,FALSE)+VLOOKUP(VLOOKUP(AU$1,main!$A$3:$H$102,7,FALSE),main!$K$19:$O$22,MATCH(VLOOKUP($A57,main!$A$3:$H$102,8,FALSE),main!$K$18:$O$18,0))))),1,0)</f>
        <v>0</v>
      </c>
      <c r="AV57">
        <f>IF((AND(VLOOKUP(AV$1,main!$A$3:$H$102,5,FALSE)-VLOOKUP($A57,main!$A$3:$H$102,6,FALSE)&gt;=(VLOOKUP(VLOOKUP(AV$1,main!$A$3:$H$102,8,FALSE),main!$K$26:$M$29,2,FALSE)+VLOOKUP(VLOOKUP(AV$1,main!$A$3:$H$102,7,FALSE),main!$K$19:$O$22,MATCH(VLOOKUP($A57,main!$A$3:$H$102,8,FALSE),main!$K$18:$O$18,0))))),1,0)</f>
        <v>0</v>
      </c>
      <c r="AW57">
        <f>IF((AND(VLOOKUP(AW$1,main!$A$3:$H$102,5,FALSE)-VLOOKUP($A57,main!$A$3:$H$102,6,FALSE)&gt;=(VLOOKUP(VLOOKUP(AW$1,main!$A$3:$H$102,8,FALSE),main!$K$26:$M$29,2,FALSE)+VLOOKUP(VLOOKUP(AW$1,main!$A$3:$H$102,7,FALSE),main!$K$19:$O$22,MATCH(VLOOKUP($A57,main!$A$3:$H$102,8,FALSE),main!$K$18:$O$18,0))))),1,0)</f>
        <v>0</v>
      </c>
      <c r="AX57">
        <f>IF((AND(VLOOKUP(AX$1,main!$A$3:$H$102,5,FALSE)-VLOOKUP($A57,main!$A$3:$H$102,6,FALSE)&gt;=(VLOOKUP(VLOOKUP(AX$1,main!$A$3:$H$102,8,FALSE),main!$K$26:$M$29,2,FALSE)+VLOOKUP(VLOOKUP(AX$1,main!$A$3:$H$102,7,FALSE),main!$K$19:$O$22,MATCH(VLOOKUP($A57,main!$A$3:$H$102,8,FALSE),main!$K$18:$O$18,0))))),1,0)</f>
        <v>0</v>
      </c>
      <c r="AY57">
        <f>IF((AND(VLOOKUP(AY$1,main!$A$3:$H$102,5,FALSE)-VLOOKUP($A57,main!$A$3:$H$102,6,FALSE)&gt;=(VLOOKUP(VLOOKUP(AY$1,main!$A$3:$H$102,8,FALSE),main!$K$26:$M$29,2,FALSE)+VLOOKUP(VLOOKUP(AY$1,main!$A$3:$H$102,7,FALSE),main!$K$19:$O$22,MATCH(VLOOKUP($A57,main!$A$3:$H$102,8,FALSE),main!$K$18:$O$18,0))))),1,0)</f>
        <v>0</v>
      </c>
      <c r="AZ57">
        <f>IF((AND(VLOOKUP(AZ$1,main!$A$3:$H$102,5,FALSE)-VLOOKUP($A57,main!$A$3:$H$102,6,FALSE)&gt;=(VLOOKUP(VLOOKUP(AZ$1,main!$A$3:$H$102,8,FALSE),main!$K$26:$M$29,2,FALSE)+VLOOKUP(VLOOKUP(AZ$1,main!$A$3:$H$102,7,FALSE),main!$K$19:$O$22,MATCH(VLOOKUP($A57,main!$A$3:$H$102,8,FALSE),main!$K$18:$O$18,0))))),1,0)</f>
        <v>0</v>
      </c>
      <c r="BA57">
        <f>IF((AND(VLOOKUP(BA$1,main!$A$3:$H$102,5,FALSE)-VLOOKUP($A57,main!$A$3:$H$102,6,FALSE)&gt;=(VLOOKUP(VLOOKUP(BA$1,main!$A$3:$H$102,8,FALSE),main!$K$26:$M$29,2,FALSE)+VLOOKUP(VLOOKUP(BA$1,main!$A$3:$H$102,7,FALSE),main!$K$19:$O$22,MATCH(VLOOKUP($A57,main!$A$3:$H$102,8,FALSE),main!$K$18:$O$18,0))))),1,0)</f>
        <v>0</v>
      </c>
      <c r="BB57">
        <f>IF((AND(VLOOKUP(BB$1,main!$A$3:$H$102,5,FALSE)-VLOOKUP($A57,main!$A$3:$H$102,6,FALSE)&gt;=(VLOOKUP(VLOOKUP(BB$1,main!$A$3:$H$102,8,FALSE),main!$K$26:$M$29,2,FALSE)+VLOOKUP(VLOOKUP(BB$1,main!$A$3:$H$102,7,FALSE),main!$K$19:$O$22,MATCH(VLOOKUP($A57,main!$A$3:$H$102,8,FALSE),main!$K$18:$O$18,0))))),1,0)</f>
        <v>0</v>
      </c>
      <c r="BC57">
        <f>IF((AND(VLOOKUP(BC$1,main!$A$3:$H$102,5,FALSE)-VLOOKUP($A57,main!$A$3:$H$102,6,FALSE)&gt;=(VLOOKUP(VLOOKUP(BC$1,main!$A$3:$H$102,8,FALSE),main!$K$26:$M$29,2,FALSE)+VLOOKUP(VLOOKUP(BC$1,main!$A$3:$H$102,7,FALSE),main!$K$19:$O$22,MATCH(VLOOKUP($A57,main!$A$3:$H$102,8,FALSE),main!$K$18:$O$18,0))))),1,0)</f>
        <v>0</v>
      </c>
      <c r="BD57">
        <f>IF((AND(VLOOKUP(BD$1,main!$A$3:$H$102,5,FALSE)-VLOOKUP($A57,main!$A$3:$H$102,6,FALSE)&gt;=(VLOOKUP(VLOOKUP(BD$1,main!$A$3:$H$102,8,FALSE),main!$K$26:$M$29,2,FALSE)+VLOOKUP(VLOOKUP(BD$1,main!$A$3:$H$102,7,FALSE),main!$K$19:$O$22,MATCH(VLOOKUP($A57,main!$A$3:$H$102,8,FALSE),main!$K$18:$O$18,0))))),1,0)</f>
        <v>0</v>
      </c>
      <c r="BE57">
        <f>IF((AND(VLOOKUP(BE$1,main!$A$3:$H$102,5,FALSE)-VLOOKUP($A57,main!$A$3:$H$102,6,FALSE)&gt;=(VLOOKUP(VLOOKUP(BE$1,main!$A$3:$H$102,8,FALSE),main!$K$26:$M$29,2,FALSE)+VLOOKUP(VLOOKUP(BE$1,main!$A$3:$H$102,7,FALSE),main!$K$19:$O$22,MATCH(VLOOKUP($A57,main!$A$3:$H$102,8,FALSE),main!$K$18:$O$18,0))))),1,0)</f>
        <v>0</v>
      </c>
      <c r="BF57">
        <f>IF((AND(VLOOKUP(BF$1,main!$A$3:$H$102,5,FALSE)-VLOOKUP($A57,main!$A$3:$H$102,6,FALSE)&gt;=(VLOOKUP(VLOOKUP(BF$1,main!$A$3:$H$102,8,FALSE),main!$K$26:$M$29,2,FALSE)+VLOOKUP(VLOOKUP(BF$1,main!$A$3:$H$102,7,FALSE),main!$K$19:$O$22,MATCH(VLOOKUP($A57,main!$A$3:$H$102,8,FALSE),main!$K$18:$O$18,0))))),1,0)</f>
        <v>0</v>
      </c>
      <c r="BG57">
        <f>IF((AND(VLOOKUP(BG$1,main!$A$3:$H$102,5,FALSE)-VLOOKUP($A57,main!$A$3:$H$102,6,FALSE)&gt;=(VLOOKUP(VLOOKUP(BG$1,main!$A$3:$H$102,8,FALSE),main!$K$26:$M$29,2,FALSE)+VLOOKUP(VLOOKUP(BG$1,main!$A$3:$H$102,7,FALSE),main!$K$19:$O$22,MATCH(VLOOKUP($A57,main!$A$3:$H$102,8,FALSE),main!$K$18:$O$18,0))))),1,0)</f>
        <v>0</v>
      </c>
      <c r="BH57">
        <f>IF((AND(VLOOKUP(BH$1,main!$A$3:$H$102,5,FALSE)-VLOOKUP($A57,main!$A$3:$H$102,6,FALSE)&gt;=(VLOOKUP(VLOOKUP(BH$1,main!$A$3:$H$102,8,FALSE),main!$K$26:$M$29,2,FALSE)+VLOOKUP(VLOOKUP(BH$1,main!$A$3:$H$102,7,FALSE),main!$K$19:$O$22,MATCH(VLOOKUP($A57,main!$A$3:$H$102,8,FALSE),main!$K$18:$O$18,0))))),1,0)</f>
        <v>0</v>
      </c>
      <c r="BI57">
        <f>IF((AND(VLOOKUP(BI$1,main!$A$3:$H$102,5,FALSE)-VLOOKUP($A57,main!$A$3:$H$102,6,FALSE)&gt;=(VLOOKUP(VLOOKUP(BI$1,main!$A$3:$H$102,8,FALSE),main!$K$26:$M$29,2,FALSE)+VLOOKUP(VLOOKUP(BI$1,main!$A$3:$H$102,7,FALSE),main!$K$19:$O$22,MATCH(VLOOKUP($A57,main!$A$3:$H$102,8,FALSE),main!$K$18:$O$18,0))))),1,0)</f>
        <v>0</v>
      </c>
      <c r="BJ57">
        <f>IF((AND(VLOOKUP(BJ$1,main!$A$3:$H$102,5,FALSE)-VLOOKUP($A57,main!$A$3:$H$102,6,FALSE)&gt;=(VLOOKUP(VLOOKUP(BJ$1,main!$A$3:$H$102,8,FALSE),main!$K$26:$M$29,2,FALSE)+VLOOKUP(VLOOKUP(BJ$1,main!$A$3:$H$102,7,FALSE),main!$K$19:$O$22,MATCH(VLOOKUP($A57,main!$A$3:$H$102,8,FALSE),main!$K$18:$O$18,0))))),1,0)</f>
        <v>0</v>
      </c>
      <c r="BK57">
        <f>IF((AND(VLOOKUP(BK$1,main!$A$3:$H$102,5,FALSE)-VLOOKUP($A57,main!$A$3:$H$102,6,FALSE)&gt;=(VLOOKUP(VLOOKUP(BK$1,main!$A$3:$H$102,8,FALSE),main!$K$26:$M$29,2,FALSE)+VLOOKUP(VLOOKUP(BK$1,main!$A$3:$H$102,7,FALSE),main!$K$19:$O$22,MATCH(VLOOKUP($A57,main!$A$3:$H$102,8,FALSE),main!$K$18:$O$18,0))))),1,0)</f>
        <v>0</v>
      </c>
      <c r="BL57">
        <f>IF((AND(VLOOKUP(BL$1,main!$A$3:$H$102,5,FALSE)-VLOOKUP($A57,main!$A$3:$H$102,6,FALSE)&gt;=(VLOOKUP(VLOOKUP(BL$1,main!$A$3:$H$102,8,FALSE),main!$K$26:$M$29,2,FALSE)+VLOOKUP(VLOOKUP(BL$1,main!$A$3:$H$102,7,FALSE),main!$K$19:$O$22,MATCH(VLOOKUP($A57,main!$A$3:$H$102,8,FALSE),main!$K$18:$O$18,0))))),1,0)</f>
        <v>0</v>
      </c>
      <c r="BM57">
        <f>IF((AND(VLOOKUP(BM$1,main!$A$3:$H$102,5,FALSE)-VLOOKUP($A57,main!$A$3:$H$102,6,FALSE)&gt;=(VLOOKUP(VLOOKUP(BM$1,main!$A$3:$H$102,8,FALSE),main!$K$26:$M$29,2,FALSE)+VLOOKUP(VLOOKUP(BM$1,main!$A$3:$H$102,7,FALSE),main!$K$19:$O$22,MATCH(VLOOKUP($A57,main!$A$3:$H$102,8,FALSE),main!$K$18:$O$18,0))))),1,0)</f>
        <v>0</v>
      </c>
      <c r="BN57">
        <f>IF((AND(VLOOKUP(BN$1,main!$A$3:$H$102,5,FALSE)-VLOOKUP($A57,main!$A$3:$H$102,6,FALSE)&gt;=(VLOOKUP(VLOOKUP(BN$1,main!$A$3:$H$102,8,FALSE),main!$K$26:$M$29,2,FALSE)+VLOOKUP(VLOOKUP(BN$1,main!$A$3:$H$102,7,FALSE),main!$K$19:$O$22,MATCH(VLOOKUP($A57,main!$A$3:$H$102,8,FALSE),main!$K$18:$O$18,0))))),1,0)</f>
        <v>0</v>
      </c>
      <c r="BO57">
        <f>IF((AND(VLOOKUP(BO$1,main!$A$3:$H$102,5,FALSE)-VLOOKUP($A57,main!$A$3:$H$102,6,FALSE)&gt;=(VLOOKUP(VLOOKUP(BO$1,main!$A$3:$H$102,8,FALSE),main!$K$26:$M$29,2,FALSE)+VLOOKUP(VLOOKUP(BO$1,main!$A$3:$H$102,7,FALSE),main!$K$19:$O$22,MATCH(VLOOKUP($A57,main!$A$3:$H$102,8,FALSE),main!$K$18:$O$18,0))))),1,0)</f>
        <v>0</v>
      </c>
      <c r="BP57">
        <f>IF((AND(VLOOKUP(BP$1,main!$A$3:$H$102,5,FALSE)-VLOOKUP($A57,main!$A$3:$H$102,6,FALSE)&gt;=(VLOOKUP(VLOOKUP(BP$1,main!$A$3:$H$102,8,FALSE),main!$K$26:$M$29,2,FALSE)+VLOOKUP(VLOOKUP(BP$1,main!$A$3:$H$102,7,FALSE),main!$K$19:$O$22,MATCH(VLOOKUP($A57,main!$A$3:$H$102,8,FALSE),main!$K$18:$O$18,0))))),1,0)</f>
        <v>0</v>
      </c>
      <c r="BQ57">
        <f>IF((AND(VLOOKUP(BQ$1,main!$A$3:$H$102,5,FALSE)-VLOOKUP($A57,main!$A$3:$H$102,6,FALSE)&gt;=(VLOOKUP(VLOOKUP(BQ$1,main!$A$3:$H$102,8,FALSE),main!$K$26:$M$29,2,FALSE)+VLOOKUP(VLOOKUP(BQ$1,main!$A$3:$H$102,7,FALSE),main!$K$19:$O$22,MATCH(VLOOKUP($A57,main!$A$3:$H$102,8,FALSE),main!$K$18:$O$18,0))))),1,0)</f>
        <v>0</v>
      </c>
      <c r="BR57">
        <f>IF((AND(VLOOKUP(BR$1,main!$A$3:$H$102,5,FALSE)-VLOOKUP($A57,main!$A$3:$H$102,6,FALSE)&gt;=(VLOOKUP(VLOOKUP(BR$1,main!$A$3:$H$102,8,FALSE),main!$K$26:$M$29,2,FALSE)+VLOOKUP(VLOOKUP(BR$1,main!$A$3:$H$102,7,FALSE),main!$K$19:$O$22,MATCH(VLOOKUP($A57,main!$A$3:$H$102,8,FALSE),main!$K$18:$O$18,0))))),1,0)</f>
        <v>0</v>
      </c>
      <c r="BS57">
        <f>IF((AND(VLOOKUP(BS$1,main!$A$3:$H$102,5,FALSE)-VLOOKUP($A57,main!$A$3:$H$102,6,FALSE)&gt;=(VLOOKUP(VLOOKUP(BS$1,main!$A$3:$H$102,8,FALSE),main!$K$26:$M$29,2,FALSE)+VLOOKUP(VLOOKUP(BS$1,main!$A$3:$H$102,7,FALSE),main!$K$19:$O$22,MATCH(VLOOKUP($A57,main!$A$3:$H$102,8,FALSE),main!$K$18:$O$18,0))))),1,0)</f>
        <v>0</v>
      </c>
      <c r="BT57">
        <f>IF((AND(VLOOKUP(BT$1,main!$A$3:$H$102,5,FALSE)-VLOOKUP($A57,main!$A$3:$H$102,6,FALSE)&gt;=(VLOOKUP(VLOOKUP(BT$1,main!$A$3:$H$102,8,FALSE),main!$K$26:$M$29,2,FALSE)+VLOOKUP(VLOOKUP(BT$1,main!$A$3:$H$102,7,FALSE),main!$K$19:$O$22,MATCH(VLOOKUP($A57,main!$A$3:$H$102,8,FALSE),main!$K$18:$O$18,0))))),1,0)</f>
        <v>0</v>
      </c>
      <c r="BU57">
        <f>IF((AND(VLOOKUP(BU$1,main!$A$3:$H$102,5,FALSE)-VLOOKUP($A57,main!$A$3:$H$102,6,FALSE)&gt;=(VLOOKUP(VLOOKUP(BU$1,main!$A$3:$H$102,8,FALSE),main!$K$26:$M$29,2,FALSE)+VLOOKUP(VLOOKUP(BU$1,main!$A$3:$H$102,7,FALSE),main!$K$19:$O$22,MATCH(VLOOKUP($A57,main!$A$3:$H$102,8,FALSE),main!$K$18:$O$18,0))))),1,0)</f>
        <v>0</v>
      </c>
      <c r="BV57">
        <f>IF((AND(VLOOKUP(BV$1,main!$A$3:$H$102,5,FALSE)-VLOOKUP($A57,main!$A$3:$H$102,6,FALSE)&gt;=(VLOOKUP(VLOOKUP(BV$1,main!$A$3:$H$102,8,FALSE),main!$K$26:$M$29,2,FALSE)+VLOOKUP(VLOOKUP(BV$1,main!$A$3:$H$102,7,FALSE),main!$K$19:$O$22,MATCH(VLOOKUP($A57,main!$A$3:$H$102,8,FALSE),main!$K$18:$O$18,0))))),1,0)</f>
        <v>0</v>
      </c>
      <c r="BW57">
        <f>IF((AND(VLOOKUP(BW$1,main!$A$3:$H$102,5,FALSE)-VLOOKUP($A57,main!$A$3:$H$102,6,FALSE)&gt;=(VLOOKUP(VLOOKUP(BW$1,main!$A$3:$H$102,8,FALSE),main!$K$26:$M$29,2,FALSE)+VLOOKUP(VLOOKUP(BW$1,main!$A$3:$H$102,7,FALSE),main!$K$19:$O$22,MATCH(VLOOKUP($A57,main!$A$3:$H$102,8,FALSE),main!$K$18:$O$18,0))))),1,0)</f>
        <v>0</v>
      </c>
      <c r="BX57">
        <f>IF((AND(VLOOKUP(BX$1,main!$A$3:$H$102,5,FALSE)-VLOOKUP($A57,main!$A$3:$H$102,6,FALSE)&gt;=(VLOOKUP(VLOOKUP(BX$1,main!$A$3:$H$102,8,FALSE),main!$K$26:$M$29,2,FALSE)+VLOOKUP(VLOOKUP(BX$1,main!$A$3:$H$102,7,FALSE),main!$K$19:$O$22,MATCH(VLOOKUP($A57,main!$A$3:$H$102,8,FALSE),main!$K$18:$O$18,0))))),1,0)</f>
        <v>0</v>
      </c>
      <c r="BY57">
        <f>IF((AND(VLOOKUP(BY$1,main!$A$3:$H$102,5,FALSE)-VLOOKUP($A57,main!$A$3:$H$102,6,FALSE)&gt;=(VLOOKUP(VLOOKUP(BY$1,main!$A$3:$H$102,8,FALSE),main!$K$26:$M$29,2,FALSE)+VLOOKUP(VLOOKUP(BY$1,main!$A$3:$H$102,7,FALSE),main!$K$19:$O$22,MATCH(VLOOKUP($A57,main!$A$3:$H$102,8,FALSE),main!$K$18:$O$18,0))))),1,0)</f>
        <v>0</v>
      </c>
      <c r="BZ57">
        <f>IF((AND(VLOOKUP(BZ$1,main!$A$3:$H$102,5,FALSE)-VLOOKUP($A57,main!$A$3:$H$102,6,FALSE)&gt;=(VLOOKUP(VLOOKUP(BZ$1,main!$A$3:$H$102,8,FALSE),main!$K$26:$M$29,2,FALSE)+VLOOKUP(VLOOKUP(BZ$1,main!$A$3:$H$102,7,FALSE),main!$K$19:$O$22,MATCH(VLOOKUP($A57,main!$A$3:$H$102,8,FALSE),main!$K$18:$O$18,0))))),1,0)</f>
        <v>0</v>
      </c>
      <c r="CA57">
        <f>IF((AND(VLOOKUP(CA$1,main!$A$3:$H$102,5,FALSE)-VLOOKUP($A57,main!$A$3:$H$102,6,FALSE)&gt;=(VLOOKUP(VLOOKUP(CA$1,main!$A$3:$H$102,8,FALSE),main!$K$26:$M$29,2,FALSE)+VLOOKUP(VLOOKUP(CA$1,main!$A$3:$H$102,7,FALSE),main!$K$19:$O$22,MATCH(VLOOKUP($A57,main!$A$3:$H$102,8,FALSE),main!$K$18:$O$18,0))))),1,0)</f>
        <v>0</v>
      </c>
      <c r="CB57">
        <f>IF((AND(VLOOKUP(CB$1,main!$A$3:$H$102,5,FALSE)-VLOOKUP($A57,main!$A$3:$H$102,6,FALSE)&gt;=(VLOOKUP(VLOOKUP(CB$1,main!$A$3:$H$102,8,FALSE),main!$K$26:$M$29,2,FALSE)+VLOOKUP(VLOOKUP(CB$1,main!$A$3:$H$102,7,FALSE),main!$K$19:$O$22,MATCH(VLOOKUP($A57,main!$A$3:$H$102,8,FALSE),main!$K$18:$O$18,0))))),1,0)</f>
        <v>0</v>
      </c>
      <c r="CC57">
        <f>IF((AND(VLOOKUP(CC$1,main!$A$3:$H$102,5,FALSE)-VLOOKUP($A57,main!$A$3:$H$102,6,FALSE)&gt;=(VLOOKUP(VLOOKUP(CC$1,main!$A$3:$H$102,8,FALSE),main!$K$26:$M$29,2,FALSE)+VLOOKUP(VLOOKUP(CC$1,main!$A$3:$H$102,7,FALSE),main!$K$19:$O$22,MATCH(VLOOKUP($A57,main!$A$3:$H$102,8,FALSE),main!$K$18:$O$18,0))))),1,0)</f>
        <v>0</v>
      </c>
      <c r="CD57">
        <f>IF((AND(VLOOKUP(CD$1,main!$A$3:$H$102,5,FALSE)-VLOOKUP($A57,main!$A$3:$H$102,6,FALSE)&gt;=(VLOOKUP(VLOOKUP(CD$1,main!$A$3:$H$102,8,FALSE),main!$K$26:$M$29,2,FALSE)+VLOOKUP(VLOOKUP(CD$1,main!$A$3:$H$102,7,FALSE),main!$K$19:$O$22,MATCH(VLOOKUP($A57,main!$A$3:$H$102,8,FALSE),main!$K$18:$O$18,0))))),1,0)</f>
        <v>0</v>
      </c>
      <c r="CE57">
        <f>IF((AND(VLOOKUP(CE$1,main!$A$3:$H$102,5,FALSE)-VLOOKUP($A57,main!$A$3:$H$102,6,FALSE)&gt;=(VLOOKUP(VLOOKUP(CE$1,main!$A$3:$H$102,8,FALSE),main!$K$26:$M$29,2,FALSE)+VLOOKUP(VLOOKUP(CE$1,main!$A$3:$H$102,7,FALSE),main!$K$19:$O$22,MATCH(VLOOKUP($A57,main!$A$3:$H$102,8,FALSE),main!$K$18:$O$18,0))))),1,0)</f>
        <v>0</v>
      </c>
      <c r="CF57">
        <f>IF((AND(VLOOKUP(CF$1,main!$A$3:$H$102,5,FALSE)-VLOOKUP($A57,main!$A$3:$H$102,6,FALSE)&gt;=(VLOOKUP(VLOOKUP(CF$1,main!$A$3:$H$102,8,FALSE),main!$K$26:$M$29,2,FALSE)+VLOOKUP(VLOOKUP(CF$1,main!$A$3:$H$102,7,FALSE),main!$K$19:$O$22,MATCH(VLOOKUP($A57,main!$A$3:$H$102,8,FALSE),main!$K$18:$O$18,0))))),1,0)</f>
        <v>0</v>
      </c>
      <c r="CG57">
        <f>IF((AND(VLOOKUP(CG$1,main!$A$3:$H$102,5,FALSE)-VLOOKUP($A57,main!$A$3:$H$102,6,FALSE)&gt;=(VLOOKUP(VLOOKUP(CG$1,main!$A$3:$H$102,8,FALSE),main!$K$26:$M$29,2,FALSE)+VLOOKUP(VLOOKUP(CG$1,main!$A$3:$H$102,7,FALSE),main!$K$19:$O$22,MATCH(VLOOKUP($A57,main!$A$3:$H$102,8,FALSE),main!$K$18:$O$18,0))))),1,0)</f>
        <v>0</v>
      </c>
      <c r="CH57">
        <f>IF((AND(VLOOKUP(CH$1,main!$A$3:$H$102,5,FALSE)-VLOOKUP($A57,main!$A$3:$H$102,6,FALSE)&gt;=(VLOOKUP(VLOOKUP(CH$1,main!$A$3:$H$102,8,FALSE),main!$K$26:$M$29,2,FALSE)+VLOOKUP(VLOOKUP(CH$1,main!$A$3:$H$102,7,FALSE),main!$K$19:$O$22,MATCH(VLOOKUP($A57,main!$A$3:$H$102,8,FALSE),main!$K$18:$O$18,0))))),1,0)</f>
        <v>0</v>
      </c>
      <c r="CI57">
        <f>IF((AND(VLOOKUP(CI$1,main!$A$3:$H$102,5,FALSE)-VLOOKUP($A57,main!$A$3:$H$102,6,FALSE)&gt;=(VLOOKUP(VLOOKUP(CI$1,main!$A$3:$H$102,8,FALSE),main!$K$26:$M$29,2,FALSE)+VLOOKUP(VLOOKUP(CI$1,main!$A$3:$H$102,7,FALSE),main!$K$19:$O$22,MATCH(VLOOKUP($A57,main!$A$3:$H$102,8,FALSE),main!$K$18:$O$18,0))))),1,0)</f>
        <v>0</v>
      </c>
      <c r="CJ57">
        <f>IF((AND(VLOOKUP(CJ$1,main!$A$3:$H$102,5,FALSE)-VLOOKUP($A57,main!$A$3:$H$102,6,FALSE)&gt;=(VLOOKUP(VLOOKUP(CJ$1,main!$A$3:$H$102,8,FALSE),main!$K$26:$M$29,2,FALSE)+VLOOKUP(VLOOKUP(CJ$1,main!$A$3:$H$102,7,FALSE),main!$K$19:$O$22,MATCH(VLOOKUP($A57,main!$A$3:$H$102,8,FALSE),main!$K$18:$O$18,0))))),1,0)</f>
        <v>0</v>
      </c>
      <c r="CK57">
        <f>IF((AND(VLOOKUP(CK$1,main!$A$3:$H$102,5,FALSE)-VLOOKUP($A57,main!$A$3:$H$102,6,FALSE)&gt;=(VLOOKUP(VLOOKUP(CK$1,main!$A$3:$H$102,8,FALSE),main!$K$26:$M$29,2,FALSE)+VLOOKUP(VLOOKUP(CK$1,main!$A$3:$H$102,7,FALSE),main!$K$19:$O$22,MATCH(VLOOKUP($A57,main!$A$3:$H$102,8,FALSE),main!$K$18:$O$18,0))))),1,0)</f>
        <v>0</v>
      </c>
      <c r="CL57">
        <f>IF((AND(VLOOKUP(CL$1,main!$A$3:$H$102,5,FALSE)-VLOOKUP($A57,main!$A$3:$H$102,6,FALSE)&gt;=(VLOOKUP(VLOOKUP(CL$1,main!$A$3:$H$102,8,FALSE),main!$K$26:$M$29,2,FALSE)+VLOOKUP(VLOOKUP(CL$1,main!$A$3:$H$102,7,FALSE),main!$K$19:$O$22,MATCH(VLOOKUP($A57,main!$A$3:$H$102,8,FALSE),main!$K$18:$O$18,0))))),1,0)</f>
        <v>0</v>
      </c>
      <c r="CM57">
        <f>IF((AND(VLOOKUP(CM$1,main!$A$3:$H$102,5,FALSE)-VLOOKUP($A57,main!$A$3:$H$102,6,FALSE)&gt;=(VLOOKUP(VLOOKUP(CM$1,main!$A$3:$H$102,8,FALSE),main!$K$26:$M$29,2,FALSE)+VLOOKUP(VLOOKUP(CM$1,main!$A$3:$H$102,7,FALSE),main!$K$19:$O$22,MATCH(VLOOKUP($A57,main!$A$3:$H$102,8,FALSE),main!$K$18:$O$18,0))))),1,0)</f>
        <v>0</v>
      </c>
      <c r="CN57">
        <f>IF((AND(VLOOKUP(CN$1,main!$A$3:$H$102,5,FALSE)-VLOOKUP($A57,main!$A$3:$H$102,6,FALSE)&gt;=(VLOOKUP(VLOOKUP(CN$1,main!$A$3:$H$102,8,FALSE),main!$K$26:$M$29,2,FALSE)+VLOOKUP(VLOOKUP(CN$1,main!$A$3:$H$102,7,FALSE),main!$K$19:$O$22,MATCH(VLOOKUP($A57,main!$A$3:$H$102,8,FALSE),main!$K$18:$O$18,0))))),1,0)</f>
        <v>0</v>
      </c>
      <c r="CO57">
        <f>IF((AND(VLOOKUP(CO$1,main!$A$3:$H$102,5,FALSE)-VLOOKUP($A57,main!$A$3:$H$102,6,FALSE)&gt;=(VLOOKUP(VLOOKUP(CO$1,main!$A$3:$H$102,8,FALSE),main!$K$26:$M$29,2,FALSE)+VLOOKUP(VLOOKUP(CO$1,main!$A$3:$H$102,7,FALSE),main!$K$19:$O$22,MATCH(VLOOKUP($A57,main!$A$3:$H$102,8,FALSE),main!$K$18:$O$18,0))))),1,0)</f>
        <v>0</v>
      </c>
      <c r="CP57">
        <f>IF((AND(VLOOKUP(CP$1,main!$A$3:$H$102,5,FALSE)-VLOOKUP($A57,main!$A$3:$H$102,6,FALSE)&gt;=(VLOOKUP(VLOOKUP(CP$1,main!$A$3:$H$102,8,FALSE),main!$K$26:$M$29,2,FALSE)+VLOOKUP(VLOOKUP(CP$1,main!$A$3:$H$102,7,FALSE),main!$K$19:$O$22,MATCH(VLOOKUP($A57,main!$A$3:$H$102,8,FALSE),main!$K$18:$O$18,0))))),1,0)</f>
        <v>0</v>
      </c>
      <c r="CQ57">
        <f>IF((AND(VLOOKUP(CQ$1,main!$A$3:$H$102,5,FALSE)-VLOOKUP($A57,main!$A$3:$H$102,6,FALSE)&gt;=(VLOOKUP(VLOOKUP(CQ$1,main!$A$3:$H$102,8,FALSE),main!$K$26:$M$29,2,FALSE)+VLOOKUP(VLOOKUP(CQ$1,main!$A$3:$H$102,7,FALSE),main!$K$19:$O$22,MATCH(VLOOKUP($A57,main!$A$3:$H$102,8,FALSE),main!$K$18:$O$18,0))))),1,0)</f>
        <v>0</v>
      </c>
      <c r="CR57">
        <f>IF((AND(VLOOKUP(CR$1,main!$A$3:$H$102,5,FALSE)-VLOOKUP($A57,main!$A$3:$H$102,6,FALSE)&gt;=(VLOOKUP(VLOOKUP(CR$1,main!$A$3:$H$102,8,FALSE),main!$K$26:$M$29,2,FALSE)+VLOOKUP(VLOOKUP(CR$1,main!$A$3:$H$102,7,FALSE),main!$K$19:$O$22,MATCH(VLOOKUP($A57,main!$A$3:$H$102,8,FALSE),main!$K$18:$O$18,0))))),1,0)</f>
        <v>0</v>
      </c>
      <c r="CS57">
        <f>IF((AND(VLOOKUP(CS$1,main!$A$3:$H$102,5,FALSE)-VLOOKUP($A57,main!$A$3:$H$102,6,FALSE)&gt;=(VLOOKUP(VLOOKUP(CS$1,main!$A$3:$H$102,8,FALSE),main!$K$26:$M$29,2,FALSE)+VLOOKUP(VLOOKUP(CS$1,main!$A$3:$H$102,7,FALSE),main!$K$19:$O$22,MATCH(VLOOKUP($A57,main!$A$3:$H$102,8,FALSE),main!$K$18:$O$18,0))))),1,0)</f>
        <v>0</v>
      </c>
      <c r="CT57">
        <f>IF((AND(VLOOKUP(CT$1,main!$A$3:$H$102,5,FALSE)-VLOOKUP($A57,main!$A$3:$H$102,6,FALSE)&gt;=(VLOOKUP(VLOOKUP(CT$1,main!$A$3:$H$102,8,FALSE),main!$K$26:$M$29,2,FALSE)+VLOOKUP(VLOOKUP(CT$1,main!$A$3:$H$102,7,FALSE),main!$K$19:$O$22,MATCH(VLOOKUP($A57,main!$A$3:$H$102,8,FALSE),main!$K$18:$O$18,0))))),1,0)</f>
        <v>0</v>
      </c>
      <c r="CU57">
        <f>IF((AND(VLOOKUP(CU$1,main!$A$3:$H$102,5,FALSE)-VLOOKUP($A57,main!$A$3:$H$102,6,FALSE)&gt;=(VLOOKUP(VLOOKUP(CU$1,main!$A$3:$H$102,8,FALSE),main!$K$26:$M$29,2,FALSE)+VLOOKUP(VLOOKUP(CU$1,main!$A$3:$H$102,7,FALSE),main!$K$19:$O$22,MATCH(VLOOKUP($A57,main!$A$3:$H$102,8,FALSE),main!$K$18:$O$18,0))))),1,0)</f>
        <v>0</v>
      </c>
      <c r="CV57">
        <f>IF((AND(VLOOKUP(CV$1,main!$A$3:$H$102,5,FALSE)-VLOOKUP($A57,main!$A$3:$H$102,6,FALSE)&gt;=(VLOOKUP(VLOOKUP(CV$1,main!$A$3:$H$102,8,FALSE),main!$K$26:$M$29,2,FALSE)+VLOOKUP(VLOOKUP(CV$1,main!$A$3:$H$102,7,FALSE),main!$K$19:$O$22,MATCH(VLOOKUP($A57,main!$A$3:$H$102,8,FALSE),main!$K$18:$O$18,0))))),1,0)</f>
        <v>0</v>
      </c>
      <c r="CW57">
        <f>IF((AND(VLOOKUP(CW$1,main!$A$3:$H$102,5,FALSE)-VLOOKUP($A57,main!$A$3:$H$102,6,FALSE)&gt;=(VLOOKUP(VLOOKUP(CW$1,main!$A$3:$H$102,8,FALSE),main!$K$26:$M$29,2,FALSE)+VLOOKUP(VLOOKUP(CW$1,main!$A$3:$H$102,7,FALSE),main!$K$19:$O$22,MATCH(VLOOKUP($A57,main!$A$3:$H$102,8,FALSE),main!$K$18:$O$18,0))))),1,0)</f>
        <v>0</v>
      </c>
      <c r="CX57">
        <f>IF((AND(VLOOKUP(CX$1,main!$A$3:$H$102,5,FALSE)-VLOOKUP($A57,main!$A$3:$H$102,6,FALSE)&gt;=(VLOOKUP(VLOOKUP(CX$1,main!$A$3:$H$102,8,FALSE),main!$K$26:$M$29,2,FALSE)+VLOOKUP(VLOOKUP(CX$1,main!$A$3:$H$102,7,FALSE),main!$K$19:$O$22,MATCH(VLOOKUP($A57,main!$A$3:$H$102,8,FALSE),main!$K$18:$O$18,0))))),1,0)</f>
        <v>0</v>
      </c>
    </row>
    <row r="58" spans="1:102" x14ac:dyDescent="0.25">
      <c r="A58" s="1">
        <v>56</v>
      </c>
      <c r="B58">
        <v>1</v>
      </c>
      <c r="C58">
        <f>IF((AND(VLOOKUP(C$1,main!$A$3:$H$102,5,FALSE)-VLOOKUP($A58,main!$A$3:$H$102,6,FALSE)&gt;=(VLOOKUP(VLOOKUP(C$1,main!$A$3:$H$102,8,FALSE),main!$K$26:$M$29,2,FALSE)+VLOOKUP(VLOOKUP(C$1,main!$A$3:$H$102,7,FALSE),main!$K$19:$O$22,MATCH(VLOOKUP($A58,main!$A$3:$H$102,8,FALSE),main!$K$18:$O$18,0))))),1,0)</f>
        <v>0</v>
      </c>
      <c r="D58">
        <f>IF((AND(VLOOKUP(D$1,main!$A$3:$H$102,5,FALSE)-VLOOKUP($A58,main!$A$3:$H$102,6,FALSE)&gt;=(VLOOKUP(VLOOKUP(D$1,main!$A$3:$H$102,8,FALSE),main!$K$26:$M$29,2,FALSE)+VLOOKUP(VLOOKUP(D$1,main!$A$3:$H$102,7,FALSE),main!$K$19:$O$22,MATCH(VLOOKUP($A58,main!$A$3:$H$102,8,FALSE),main!$K$18:$O$18,0))))),1,0)</f>
        <v>0</v>
      </c>
      <c r="E58">
        <f>IF((AND(VLOOKUP(E$1,main!$A$3:$H$102,5,FALSE)-VLOOKUP($A58,main!$A$3:$H$102,6,FALSE)&gt;=(VLOOKUP(VLOOKUP(E$1,main!$A$3:$H$102,8,FALSE),main!$K$26:$M$29,2,FALSE)+VLOOKUP(VLOOKUP(E$1,main!$A$3:$H$102,7,FALSE),main!$K$19:$O$22,MATCH(VLOOKUP($A58,main!$A$3:$H$102,8,FALSE),main!$K$18:$O$18,0))))),1,0)</f>
        <v>1</v>
      </c>
      <c r="F58">
        <f>IF((AND(VLOOKUP(F$1,main!$A$3:$H$102,5,FALSE)-VLOOKUP($A58,main!$A$3:$H$102,6,FALSE)&gt;=(VLOOKUP(VLOOKUP(F$1,main!$A$3:$H$102,8,FALSE),main!$K$26:$M$29,2,FALSE)+VLOOKUP(VLOOKUP(F$1,main!$A$3:$H$102,7,FALSE),main!$K$19:$O$22,MATCH(VLOOKUP($A58,main!$A$3:$H$102,8,FALSE),main!$K$18:$O$18,0))))),1,0)</f>
        <v>1</v>
      </c>
      <c r="G58">
        <f>IF((AND(VLOOKUP(G$1,main!$A$3:$H$102,5,FALSE)-VLOOKUP($A58,main!$A$3:$H$102,6,FALSE)&gt;=(VLOOKUP(VLOOKUP(G$1,main!$A$3:$H$102,8,FALSE),main!$K$26:$M$29,2,FALSE)+VLOOKUP(VLOOKUP(G$1,main!$A$3:$H$102,7,FALSE),main!$K$19:$O$22,MATCH(VLOOKUP($A58,main!$A$3:$H$102,8,FALSE),main!$K$18:$O$18,0))))),1,0)</f>
        <v>1</v>
      </c>
      <c r="H58">
        <f>IF((AND(VLOOKUP(H$1,main!$A$3:$H$102,5,FALSE)-VLOOKUP($A58,main!$A$3:$H$102,6,FALSE)&gt;=(VLOOKUP(VLOOKUP(H$1,main!$A$3:$H$102,8,FALSE),main!$K$26:$M$29,2,FALSE)+VLOOKUP(VLOOKUP(H$1,main!$A$3:$H$102,7,FALSE),main!$K$19:$O$22,MATCH(VLOOKUP($A58,main!$A$3:$H$102,8,FALSE),main!$K$18:$O$18,0))))),1,0)</f>
        <v>1</v>
      </c>
      <c r="I58">
        <f>IF((AND(VLOOKUP(I$1,main!$A$3:$H$102,5,FALSE)-VLOOKUP($A58,main!$A$3:$H$102,6,FALSE)&gt;=(VLOOKUP(VLOOKUP(I$1,main!$A$3:$H$102,8,FALSE),main!$K$26:$M$29,2,FALSE)+VLOOKUP(VLOOKUP(I$1,main!$A$3:$H$102,7,FALSE),main!$K$19:$O$22,MATCH(VLOOKUP($A58,main!$A$3:$H$102,8,FALSE),main!$K$18:$O$18,0))))),1,0)</f>
        <v>1</v>
      </c>
      <c r="J58">
        <f>IF((AND(VLOOKUP(J$1,main!$A$3:$H$102,5,FALSE)-VLOOKUP($A58,main!$A$3:$H$102,6,FALSE)&gt;=(VLOOKUP(VLOOKUP(J$1,main!$A$3:$H$102,8,FALSE),main!$K$26:$M$29,2,FALSE)+VLOOKUP(VLOOKUP(J$1,main!$A$3:$H$102,7,FALSE),main!$K$19:$O$22,MATCH(VLOOKUP($A58,main!$A$3:$H$102,8,FALSE),main!$K$18:$O$18,0))))),1,0)</f>
        <v>1</v>
      </c>
      <c r="K58">
        <f>IF((AND(VLOOKUP(K$1,main!$A$3:$H$102,5,FALSE)-VLOOKUP($A58,main!$A$3:$H$102,6,FALSE)&gt;=(VLOOKUP(VLOOKUP(K$1,main!$A$3:$H$102,8,FALSE),main!$K$26:$M$29,2,FALSE)+VLOOKUP(VLOOKUP(K$1,main!$A$3:$H$102,7,FALSE),main!$K$19:$O$22,MATCH(VLOOKUP($A58,main!$A$3:$H$102,8,FALSE),main!$K$18:$O$18,0))))),1,0)</f>
        <v>1</v>
      </c>
      <c r="L58">
        <f>IF((AND(VLOOKUP(L$1,main!$A$3:$H$102,5,FALSE)-VLOOKUP($A58,main!$A$3:$H$102,6,FALSE)&gt;=(VLOOKUP(VLOOKUP(L$1,main!$A$3:$H$102,8,FALSE),main!$K$26:$M$29,2,FALSE)+VLOOKUP(VLOOKUP(L$1,main!$A$3:$H$102,7,FALSE),main!$K$19:$O$22,MATCH(VLOOKUP($A58,main!$A$3:$H$102,8,FALSE),main!$K$18:$O$18,0))))),1,0)</f>
        <v>1</v>
      </c>
      <c r="M58">
        <f>IF((AND(VLOOKUP(M$1,main!$A$3:$H$102,5,FALSE)-VLOOKUP($A58,main!$A$3:$H$102,6,FALSE)&gt;=(VLOOKUP(VLOOKUP(M$1,main!$A$3:$H$102,8,FALSE),main!$K$26:$M$29,2,FALSE)+VLOOKUP(VLOOKUP(M$1,main!$A$3:$H$102,7,FALSE),main!$K$19:$O$22,MATCH(VLOOKUP($A58,main!$A$3:$H$102,8,FALSE),main!$K$18:$O$18,0))))),1,0)</f>
        <v>0</v>
      </c>
      <c r="N58">
        <f>IF((AND(VLOOKUP(N$1,main!$A$3:$H$102,5,FALSE)-VLOOKUP($A58,main!$A$3:$H$102,6,FALSE)&gt;=(VLOOKUP(VLOOKUP(N$1,main!$A$3:$H$102,8,FALSE),main!$K$26:$M$29,2,FALSE)+VLOOKUP(VLOOKUP(N$1,main!$A$3:$H$102,7,FALSE),main!$K$19:$O$22,MATCH(VLOOKUP($A58,main!$A$3:$H$102,8,FALSE),main!$K$18:$O$18,0))))),1,0)</f>
        <v>0</v>
      </c>
      <c r="O58">
        <f>IF((AND(VLOOKUP(O$1,main!$A$3:$H$102,5,FALSE)-VLOOKUP($A58,main!$A$3:$H$102,6,FALSE)&gt;=(VLOOKUP(VLOOKUP(O$1,main!$A$3:$H$102,8,FALSE),main!$K$26:$M$29,2,FALSE)+VLOOKUP(VLOOKUP(O$1,main!$A$3:$H$102,7,FALSE),main!$K$19:$O$22,MATCH(VLOOKUP($A58,main!$A$3:$H$102,8,FALSE),main!$K$18:$O$18,0))))),1,0)</f>
        <v>0</v>
      </c>
      <c r="P58">
        <f>IF((AND(VLOOKUP(P$1,main!$A$3:$H$102,5,FALSE)-VLOOKUP($A58,main!$A$3:$H$102,6,FALSE)&gt;=(VLOOKUP(VLOOKUP(P$1,main!$A$3:$H$102,8,FALSE),main!$K$26:$M$29,2,FALSE)+VLOOKUP(VLOOKUP(P$1,main!$A$3:$H$102,7,FALSE),main!$K$19:$O$22,MATCH(VLOOKUP($A58,main!$A$3:$H$102,8,FALSE),main!$K$18:$O$18,0))))),1,0)</f>
        <v>0</v>
      </c>
      <c r="Q58">
        <f>IF((AND(VLOOKUP(Q$1,main!$A$3:$H$102,5,FALSE)-VLOOKUP($A58,main!$A$3:$H$102,6,FALSE)&gt;=(VLOOKUP(VLOOKUP(Q$1,main!$A$3:$H$102,8,FALSE),main!$K$26:$M$29,2,FALSE)+VLOOKUP(VLOOKUP(Q$1,main!$A$3:$H$102,7,FALSE),main!$K$19:$O$22,MATCH(VLOOKUP($A58,main!$A$3:$H$102,8,FALSE),main!$K$18:$O$18,0))))),1,0)</f>
        <v>1</v>
      </c>
      <c r="R58">
        <f>IF((AND(VLOOKUP(R$1,main!$A$3:$H$102,5,FALSE)-VLOOKUP($A58,main!$A$3:$H$102,6,FALSE)&gt;=(VLOOKUP(VLOOKUP(R$1,main!$A$3:$H$102,8,FALSE),main!$K$26:$M$29,2,FALSE)+VLOOKUP(VLOOKUP(R$1,main!$A$3:$H$102,7,FALSE),main!$K$19:$O$22,MATCH(VLOOKUP($A58,main!$A$3:$H$102,8,FALSE),main!$K$18:$O$18,0))))),1,0)</f>
        <v>1</v>
      </c>
      <c r="S58">
        <f>IF((AND(VLOOKUP(S$1,main!$A$3:$H$102,5,FALSE)-VLOOKUP($A58,main!$A$3:$H$102,6,FALSE)&gt;=(VLOOKUP(VLOOKUP(S$1,main!$A$3:$H$102,8,FALSE),main!$K$26:$M$29,2,FALSE)+VLOOKUP(VLOOKUP(S$1,main!$A$3:$H$102,7,FALSE),main!$K$19:$O$22,MATCH(VLOOKUP($A58,main!$A$3:$H$102,8,FALSE),main!$K$18:$O$18,0))))),1,0)</f>
        <v>1</v>
      </c>
      <c r="T58">
        <f>IF((AND(VLOOKUP(T$1,main!$A$3:$H$102,5,FALSE)-VLOOKUP($A58,main!$A$3:$H$102,6,FALSE)&gt;=(VLOOKUP(VLOOKUP(T$1,main!$A$3:$H$102,8,FALSE),main!$K$26:$M$29,2,FALSE)+VLOOKUP(VLOOKUP(T$1,main!$A$3:$H$102,7,FALSE),main!$K$19:$O$22,MATCH(VLOOKUP($A58,main!$A$3:$H$102,8,FALSE),main!$K$18:$O$18,0))))),1,0)</f>
        <v>1</v>
      </c>
      <c r="U58">
        <f>IF((AND(VLOOKUP(U$1,main!$A$3:$H$102,5,FALSE)-VLOOKUP($A58,main!$A$3:$H$102,6,FALSE)&gt;=(VLOOKUP(VLOOKUP(U$1,main!$A$3:$H$102,8,FALSE),main!$K$26:$M$29,2,FALSE)+VLOOKUP(VLOOKUP(U$1,main!$A$3:$H$102,7,FALSE),main!$K$19:$O$22,MATCH(VLOOKUP($A58,main!$A$3:$H$102,8,FALSE),main!$K$18:$O$18,0))))),1,0)</f>
        <v>1</v>
      </c>
      <c r="V58">
        <f>IF((AND(VLOOKUP(V$1,main!$A$3:$H$102,5,FALSE)-VLOOKUP($A58,main!$A$3:$H$102,6,FALSE)&gt;=(VLOOKUP(VLOOKUP(V$1,main!$A$3:$H$102,8,FALSE),main!$K$26:$M$29,2,FALSE)+VLOOKUP(VLOOKUP(V$1,main!$A$3:$H$102,7,FALSE),main!$K$19:$O$22,MATCH(VLOOKUP($A58,main!$A$3:$H$102,8,FALSE),main!$K$18:$O$18,0))))),1,0)</f>
        <v>1</v>
      </c>
      <c r="W58">
        <f>IF((AND(VLOOKUP(W$1,main!$A$3:$H$102,5,FALSE)-VLOOKUP($A58,main!$A$3:$H$102,6,FALSE)&gt;=(VLOOKUP(VLOOKUP(W$1,main!$A$3:$H$102,8,FALSE),main!$K$26:$M$29,2,FALSE)+VLOOKUP(VLOOKUP(W$1,main!$A$3:$H$102,7,FALSE),main!$K$19:$O$22,MATCH(VLOOKUP($A58,main!$A$3:$H$102,8,FALSE),main!$K$18:$O$18,0))))),1,0)</f>
        <v>0</v>
      </c>
      <c r="X58">
        <f>IF((AND(VLOOKUP(X$1,main!$A$3:$H$102,5,FALSE)-VLOOKUP($A58,main!$A$3:$H$102,6,FALSE)&gt;=(VLOOKUP(VLOOKUP(X$1,main!$A$3:$H$102,8,FALSE),main!$K$26:$M$29,2,FALSE)+VLOOKUP(VLOOKUP(X$1,main!$A$3:$H$102,7,FALSE),main!$K$19:$O$22,MATCH(VLOOKUP($A58,main!$A$3:$H$102,8,FALSE),main!$K$18:$O$18,0))))),1,0)</f>
        <v>0</v>
      </c>
      <c r="Y58">
        <f>IF((AND(VLOOKUP(Y$1,main!$A$3:$H$102,5,FALSE)-VLOOKUP($A58,main!$A$3:$H$102,6,FALSE)&gt;=(VLOOKUP(VLOOKUP(Y$1,main!$A$3:$H$102,8,FALSE),main!$K$26:$M$29,2,FALSE)+VLOOKUP(VLOOKUP(Y$1,main!$A$3:$H$102,7,FALSE),main!$K$19:$O$22,MATCH(VLOOKUP($A58,main!$A$3:$H$102,8,FALSE),main!$K$18:$O$18,0))))),1,0)</f>
        <v>1</v>
      </c>
      <c r="Z58">
        <f>IF((AND(VLOOKUP(Z$1,main!$A$3:$H$102,5,FALSE)-VLOOKUP($A58,main!$A$3:$H$102,6,FALSE)&gt;=(VLOOKUP(VLOOKUP(Z$1,main!$A$3:$H$102,8,FALSE),main!$K$26:$M$29,2,FALSE)+VLOOKUP(VLOOKUP(Z$1,main!$A$3:$H$102,7,FALSE),main!$K$19:$O$22,MATCH(VLOOKUP($A58,main!$A$3:$H$102,8,FALSE),main!$K$18:$O$18,0))))),1,0)</f>
        <v>1</v>
      </c>
      <c r="AA58">
        <f>IF((AND(VLOOKUP(AA$1,main!$A$3:$H$102,5,FALSE)-VLOOKUP($A58,main!$A$3:$H$102,6,FALSE)&gt;=(VLOOKUP(VLOOKUP(AA$1,main!$A$3:$H$102,8,FALSE),main!$K$26:$M$29,2,FALSE)+VLOOKUP(VLOOKUP(AA$1,main!$A$3:$H$102,7,FALSE),main!$K$19:$O$22,MATCH(VLOOKUP($A58,main!$A$3:$H$102,8,FALSE),main!$K$18:$O$18,0))))),1,0)</f>
        <v>1</v>
      </c>
      <c r="AB58">
        <f>IF((AND(VLOOKUP(AB$1,main!$A$3:$H$102,5,FALSE)-VLOOKUP($A58,main!$A$3:$H$102,6,FALSE)&gt;=(VLOOKUP(VLOOKUP(AB$1,main!$A$3:$H$102,8,FALSE),main!$K$26:$M$29,2,FALSE)+VLOOKUP(VLOOKUP(AB$1,main!$A$3:$H$102,7,FALSE),main!$K$19:$O$22,MATCH(VLOOKUP($A58,main!$A$3:$H$102,8,FALSE),main!$K$18:$O$18,0))))),1,0)</f>
        <v>0</v>
      </c>
      <c r="AC58">
        <f>IF((AND(VLOOKUP(AC$1,main!$A$3:$H$102,5,FALSE)-VLOOKUP($A58,main!$A$3:$H$102,6,FALSE)&gt;=(VLOOKUP(VLOOKUP(AC$1,main!$A$3:$H$102,8,FALSE),main!$K$26:$M$29,2,FALSE)+VLOOKUP(VLOOKUP(AC$1,main!$A$3:$H$102,7,FALSE),main!$K$19:$O$22,MATCH(VLOOKUP($A58,main!$A$3:$H$102,8,FALSE),main!$K$18:$O$18,0))))),1,0)</f>
        <v>0</v>
      </c>
      <c r="AD58">
        <f>IF((AND(VLOOKUP(AD$1,main!$A$3:$H$102,5,FALSE)-VLOOKUP($A58,main!$A$3:$H$102,6,FALSE)&gt;=(VLOOKUP(VLOOKUP(AD$1,main!$A$3:$H$102,8,FALSE),main!$K$26:$M$29,2,FALSE)+VLOOKUP(VLOOKUP(AD$1,main!$A$3:$H$102,7,FALSE),main!$K$19:$O$22,MATCH(VLOOKUP($A58,main!$A$3:$H$102,8,FALSE),main!$K$18:$O$18,0))))),1,0)</f>
        <v>1</v>
      </c>
      <c r="AE58">
        <f>IF((AND(VLOOKUP(AE$1,main!$A$3:$H$102,5,FALSE)-VLOOKUP($A58,main!$A$3:$H$102,6,FALSE)&gt;=(VLOOKUP(VLOOKUP(AE$1,main!$A$3:$H$102,8,FALSE),main!$K$26:$M$29,2,FALSE)+VLOOKUP(VLOOKUP(AE$1,main!$A$3:$H$102,7,FALSE),main!$K$19:$O$22,MATCH(VLOOKUP($A58,main!$A$3:$H$102,8,FALSE),main!$K$18:$O$18,0))))),1,0)</f>
        <v>1</v>
      </c>
      <c r="AF58">
        <f>IF((AND(VLOOKUP(AF$1,main!$A$3:$H$102,5,FALSE)-VLOOKUP($A58,main!$A$3:$H$102,6,FALSE)&gt;=(VLOOKUP(VLOOKUP(AF$1,main!$A$3:$H$102,8,FALSE),main!$K$26:$M$29,2,FALSE)+VLOOKUP(VLOOKUP(AF$1,main!$A$3:$H$102,7,FALSE),main!$K$19:$O$22,MATCH(VLOOKUP($A58,main!$A$3:$H$102,8,FALSE),main!$K$18:$O$18,0))))),1,0)</f>
        <v>1</v>
      </c>
      <c r="AG58">
        <f>IF((AND(VLOOKUP(AG$1,main!$A$3:$H$102,5,FALSE)-VLOOKUP($A58,main!$A$3:$H$102,6,FALSE)&gt;=(VLOOKUP(VLOOKUP(AG$1,main!$A$3:$H$102,8,FALSE),main!$K$26:$M$29,2,FALSE)+VLOOKUP(VLOOKUP(AG$1,main!$A$3:$H$102,7,FALSE),main!$K$19:$O$22,MATCH(VLOOKUP($A58,main!$A$3:$H$102,8,FALSE),main!$K$18:$O$18,0))))),1,0)</f>
        <v>0</v>
      </c>
      <c r="AH58">
        <f>IF((AND(VLOOKUP(AH$1,main!$A$3:$H$102,5,FALSE)-VLOOKUP($A58,main!$A$3:$H$102,6,FALSE)&gt;=(VLOOKUP(VLOOKUP(AH$1,main!$A$3:$H$102,8,FALSE),main!$K$26:$M$29,2,FALSE)+VLOOKUP(VLOOKUP(AH$1,main!$A$3:$H$102,7,FALSE),main!$K$19:$O$22,MATCH(VLOOKUP($A58,main!$A$3:$H$102,8,FALSE),main!$K$18:$O$18,0))))),1,0)</f>
        <v>0</v>
      </c>
      <c r="AI58">
        <f>IF((AND(VLOOKUP(AI$1,main!$A$3:$H$102,5,FALSE)-VLOOKUP($A58,main!$A$3:$H$102,6,FALSE)&gt;=(VLOOKUP(VLOOKUP(AI$1,main!$A$3:$H$102,8,FALSE),main!$K$26:$M$29,2,FALSE)+VLOOKUP(VLOOKUP(AI$1,main!$A$3:$H$102,7,FALSE),main!$K$19:$O$22,MATCH(VLOOKUP($A58,main!$A$3:$H$102,8,FALSE),main!$K$18:$O$18,0))))),1,0)</f>
        <v>0</v>
      </c>
      <c r="AJ58">
        <f>IF((AND(VLOOKUP(AJ$1,main!$A$3:$H$102,5,FALSE)-VLOOKUP($A58,main!$A$3:$H$102,6,FALSE)&gt;=(VLOOKUP(VLOOKUP(AJ$1,main!$A$3:$H$102,8,FALSE),main!$K$26:$M$29,2,FALSE)+VLOOKUP(VLOOKUP(AJ$1,main!$A$3:$H$102,7,FALSE),main!$K$19:$O$22,MATCH(VLOOKUP($A58,main!$A$3:$H$102,8,FALSE),main!$K$18:$O$18,0))))),1,0)</f>
        <v>1</v>
      </c>
      <c r="AK58">
        <f>IF((AND(VLOOKUP(AK$1,main!$A$3:$H$102,5,FALSE)-VLOOKUP($A58,main!$A$3:$H$102,6,FALSE)&gt;=(VLOOKUP(VLOOKUP(AK$1,main!$A$3:$H$102,8,FALSE),main!$K$26:$M$29,2,FALSE)+VLOOKUP(VLOOKUP(AK$1,main!$A$3:$H$102,7,FALSE),main!$K$19:$O$22,MATCH(VLOOKUP($A58,main!$A$3:$H$102,8,FALSE),main!$K$18:$O$18,0))))),1,0)</f>
        <v>1</v>
      </c>
      <c r="AL58">
        <f>IF((AND(VLOOKUP(AL$1,main!$A$3:$H$102,5,FALSE)-VLOOKUP($A58,main!$A$3:$H$102,6,FALSE)&gt;=(VLOOKUP(VLOOKUP(AL$1,main!$A$3:$H$102,8,FALSE),main!$K$26:$M$29,2,FALSE)+VLOOKUP(VLOOKUP(AL$1,main!$A$3:$H$102,7,FALSE),main!$K$19:$O$22,MATCH(VLOOKUP($A58,main!$A$3:$H$102,8,FALSE),main!$K$18:$O$18,0))))),1,0)</f>
        <v>1</v>
      </c>
      <c r="AM58">
        <f>IF((AND(VLOOKUP(AM$1,main!$A$3:$H$102,5,FALSE)-VLOOKUP($A58,main!$A$3:$H$102,6,FALSE)&gt;=(VLOOKUP(VLOOKUP(AM$1,main!$A$3:$H$102,8,FALSE),main!$K$26:$M$29,2,FALSE)+VLOOKUP(VLOOKUP(AM$1,main!$A$3:$H$102,7,FALSE),main!$K$19:$O$22,MATCH(VLOOKUP($A58,main!$A$3:$H$102,8,FALSE),main!$K$18:$O$18,0))))),1,0)</f>
        <v>1</v>
      </c>
      <c r="AN58">
        <f>IF((AND(VLOOKUP(AN$1,main!$A$3:$H$102,5,FALSE)-VLOOKUP($A58,main!$A$3:$H$102,6,FALSE)&gt;=(VLOOKUP(VLOOKUP(AN$1,main!$A$3:$H$102,8,FALSE),main!$K$26:$M$29,2,FALSE)+VLOOKUP(VLOOKUP(AN$1,main!$A$3:$H$102,7,FALSE),main!$K$19:$O$22,MATCH(VLOOKUP($A58,main!$A$3:$H$102,8,FALSE),main!$K$18:$O$18,0))))),1,0)</f>
        <v>1</v>
      </c>
      <c r="AO58">
        <f>IF((AND(VLOOKUP(AO$1,main!$A$3:$H$102,5,FALSE)-VLOOKUP($A58,main!$A$3:$H$102,6,FALSE)&gt;=(VLOOKUP(VLOOKUP(AO$1,main!$A$3:$H$102,8,FALSE),main!$K$26:$M$29,2,FALSE)+VLOOKUP(VLOOKUP(AO$1,main!$A$3:$H$102,7,FALSE),main!$K$19:$O$22,MATCH(VLOOKUP($A58,main!$A$3:$H$102,8,FALSE),main!$K$18:$O$18,0))))),1,0)</f>
        <v>0</v>
      </c>
      <c r="AP58">
        <f>IF((AND(VLOOKUP(AP$1,main!$A$3:$H$102,5,FALSE)-VLOOKUP($A58,main!$A$3:$H$102,6,FALSE)&gt;=(VLOOKUP(VLOOKUP(AP$1,main!$A$3:$H$102,8,FALSE),main!$K$26:$M$29,2,FALSE)+VLOOKUP(VLOOKUP(AP$1,main!$A$3:$H$102,7,FALSE),main!$K$19:$O$22,MATCH(VLOOKUP($A58,main!$A$3:$H$102,8,FALSE),main!$K$18:$O$18,0))))),1,0)</f>
        <v>1</v>
      </c>
      <c r="AQ58">
        <f>IF((AND(VLOOKUP(AQ$1,main!$A$3:$H$102,5,FALSE)-VLOOKUP($A58,main!$A$3:$H$102,6,FALSE)&gt;=(VLOOKUP(VLOOKUP(AQ$1,main!$A$3:$H$102,8,FALSE),main!$K$26:$M$29,2,FALSE)+VLOOKUP(VLOOKUP(AQ$1,main!$A$3:$H$102,7,FALSE),main!$K$19:$O$22,MATCH(VLOOKUP($A58,main!$A$3:$H$102,8,FALSE),main!$K$18:$O$18,0))))),1,0)</f>
        <v>0</v>
      </c>
      <c r="AR58">
        <f>IF((AND(VLOOKUP(AR$1,main!$A$3:$H$102,5,FALSE)-VLOOKUP($A58,main!$A$3:$H$102,6,FALSE)&gt;=(VLOOKUP(VLOOKUP(AR$1,main!$A$3:$H$102,8,FALSE),main!$K$26:$M$29,2,FALSE)+VLOOKUP(VLOOKUP(AR$1,main!$A$3:$H$102,7,FALSE),main!$K$19:$O$22,MATCH(VLOOKUP($A58,main!$A$3:$H$102,8,FALSE),main!$K$18:$O$18,0))))),1,0)</f>
        <v>0</v>
      </c>
      <c r="AS58">
        <f>IF((AND(VLOOKUP(AS$1,main!$A$3:$H$102,5,FALSE)-VLOOKUP($A58,main!$A$3:$H$102,6,FALSE)&gt;=(VLOOKUP(VLOOKUP(AS$1,main!$A$3:$H$102,8,FALSE),main!$K$26:$M$29,2,FALSE)+VLOOKUP(VLOOKUP(AS$1,main!$A$3:$H$102,7,FALSE),main!$K$19:$O$22,MATCH(VLOOKUP($A58,main!$A$3:$H$102,8,FALSE),main!$K$18:$O$18,0))))),1,0)</f>
        <v>1</v>
      </c>
      <c r="AT58">
        <f>IF((AND(VLOOKUP(AT$1,main!$A$3:$H$102,5,FALSE)-VLOOKUP($A58,main!$A$3:$H$102,6,FALSE)&gt;=(VLOOKUP(VLOOKUP(AT$1,main!$A$3:$H$102,8,FALSE),main!$K$26:$M$29,2,FALSE)+VLOOKUP(VLOOKUP(AT$1,main!$A$3:$H$102,7,FALSE),main!$K$19:$O$22,MATCH(VLOOKUP($A58,main!$A$3:$H$102,8,FALSE),main!$K$18:$O$18,0))))),1,0)</f>
        <v>1</v>
      </c>
      <c r="AU58">
        <f>IF((AND(VLOOKUP(AU$1,main!$A$3:$H$102,5,FALSE)-VLOOKUP($A58,main!$A$3:$H$102,6,FALSE)&gt;=(VLOOKUP(VLOOKUP(AU$1,main!$A$3:$H$102,8,FALSE),main!$K$26:$M$29,2,FALSE)+VLOOKUP(VLOOKUP(AU$1,main!$A$3:$H$102,7,FALSE),main!$K$19:$O$22,MATCH(VLOOKUP($A58,main!$A$3:$H$102,8,FALSE),main!$K$18:$O$18,0))))),1,0)</f>
        <v>0</v>
      </c>
      <c r="AV58">
        <f>IF((AND(VLOOKUP(AV$1,main!$A$3:$H$102,5,FALSE)-VLOOKUP($A58,main!$A$3:$H$102,6,FALSE)&gt;=(VLOOKUP(VLOOKUP(AV$1,main!$A$3:$H$102,8,FALSE),main!$K$26:$M$29,2,FALSE)+VLOOKUP(VLOOKUP(AV$1,main!$A$3:$H$102,7,FALSE),main!$K$19:$O$22,MATCH(VLOOKUP($A58,main!$A$3:$H$102,8,FALSE),main!$K$18:$O$18,0))))),1,0)</f>
        <v>0</v>
      </c>
      <c r="AW58">
        <f>IF((AND(VLOOKUP(AW$1,main!$A$3:$H$102,5,FALSE)-VLOOKUP($A58,main!$A$3:$H$102,6,FALSE)&gt;=(VLOOKUP(VLOOKUP(AW$1,main!$A$3:$H$102,8,FALSE),main!$K$26:$M$29,2,FALSE)+VLOOKUP(VLOOKUP(AW$1,main!$A$3:$H$102,7,FALSE),main!$K$19:$O$22,MATCH(VLOOKUP($A58,main!$A$3:$H$102,8,FALSE),main!$K$18:$O$18,0))))),1,0)</f>
        <v>1</v>
      </c>
      <c r="AX58">
        <f>IF((AND(VLOOKUP(AX$1,main!$A$3:$H$102,5,FALSE)-VLOOKUP($A58,main!$A$3:$H$102,6,FALSE)&gt;=(VLOOKUP(VLOOKUP(AX$1,main!$A$3:$H$102,8,FALSE),main!$K$26:$M$29,2,FALSE)+VLOOKUP(VLOOKUP(AX$1,main!$A$3:$H$102,7,FALSE),main!$K$19:$O$22,MATCH(VLOOKUP($A58,main!$A$3:$H$102,8,FALSE),main!$K$18:$O$18,0))))),1,0)</f>
        <v>1</v>
      </c>
      <c r="AY58">
        <f>IF((AND(VLOOKUP(AY$1,main!$A$3:$H$102,5,FALSE)-VLOOKUP($A58,main!$A$3:$H$102,6,FALSE)&gt;=(VLOOKUP(VLOOKUP(AY$1,main!$A$3:$H$102,8,FALSE),main!$K$26:$M$29,2,FALSE)+VLOOKUP(VLOOKUP(AY$1,main!$A$3:$H$102,7,FALSE),main!$K$19:$O$22,MATCH(VLOOKUP($A58,main!$A$3:$H$102,8,FALSE),main!$K$18:$O$18,0))))),1,0)</f>
        <v>0</v>
      </c>
      <c r="AZ58">
        <f>IF((AND(VLOOKUP(AZ$1,main!$A$3:$H$102,5,FALSE)-VLOOKUP($A58,main!$A$3:$H$102,6,FALSE)&gt;=(VLOOKUP(VLOOKUP(AZ$1,main!$A$3:$H$102,8,FALSE),main!$K$26:$M$29,2,FALSE)+VLOOKUP(VLOOKUP(AZ$1,main!$A$3:$H$102,7,FALSE),main!$K$19:$O$22,MATCH(VLOOKUP($A58,main!$A$3:$H$102,8,FALSE),main!$K$18:$O$18,0))))),1,0)</f>
        <v>0</v>
      </c>
      <c r="BA58">
        <f>IF((AND(VLOOKUP(BA$1,main!$A$3:$H$102,5,FALSE)-VLOOKUP($A58,main!$A$3:$H$102,6,FALSE)&gt;=(VLOOKUP(VLOOKUP(BA$1,main!$A$3:$H$102,8,FALSE),main!$K$26:$M$29,2,FALSE)+VLOOKUP(VLOOKUP(BA$1,main!$A$3:$H$102,7,FALSE),main!$K$19:$O$22,MATCH(VLOOKUP($A58,main!$A$3:$H$102,8,FALSE),main!$K$18:$O$18,0))))),1,0)</f>
        <v>0</v>
      </c>
      <c r="BB58">
        <f>IF((AND(VLOOKUP(BB$1,main!$A$3:$H$102,5,FALSE)-VLOOKUP($A58,main!$A$3:$H$102,6,FALSE)&gt;=(VLOOKUP(VLOOKUP(BB$1,main!$A$3:$H$102,8,FALSE),main!$K$26:$M$29,2,FALSE)+VLOOKUP(VLOOKUP(BB$1,main!$A$3:$H$102,7,FALSE),main!$K$19:$O$22,MATCH(VLOOKUP($A58,main!$A$3:$H$102,8,FALSE),main!$K$18:$O$18,0))))),1,0)</f>
        <v>0</v>
      </c>
      <c r="BC58">
        <f>IF((AND(VLOOKUP(BC$1,main!$A$3:$H$102,5,FALSE)-VLOOKUP($A58,main!$A$3:$H$102,6,FALSE)&gt;=(VLOOKUP(VLOOKUP(BC$1,main!$A$3:$H$102,8,FALSE),main!$K$26:$M$29,2,FALSE)+VLOOKUP(VLOOKUP(BC$1,main!$A$3:$H$102,7,FALSE),main!$K$19:$O$22,MATCH(VLOOKUP($A58,main!$A$3:$H$102,8,FALSE),main!$K$18:$O$18,0))))),1,0)</f>
        <v>1</v>
      </c>
      <c r="BD58">
        <f>IF((AND(VLOOKUP(BD$1,main!$A$3:$H$102,5,FALSE)-VLOOKUP($A58,main!$A$3:$H$102,6,FALSE)&gt;=(VLOOKUP(VLOOKUP(BD$1,main!$A$3:$H$102,8,FALSE),main!$K$26:$M$29,2,FALSE)+VLOOKUP(VLOOKUP(BD$1,main!$A$3:$H$102,7,FALSE),main!$K$19:$O$22,MATCH(VLOOKUP($A58,main!$A$3:$H$102,8,FALSE),main!$K$18:$O$18,0))))),1,0)</f>
        <v>1</v>
      </c>
      <c r="BE58">
        <f>IF((AND(VLOOKUP(BE$1,main!$A$3:$H$102,5,FALSE)-VLOOKUP($A58,main!$A$3:$H$102,6,FALSE)&gt;=(VLOOKUP(VLOOKUP(BE$1,main!$A$3:$H$102,8,FALSE),main!$K$26:$M$29,2,FALSE)+VLOOKUP(VLOOKUP(BE$1,main!$A$3:$H$102,7,FALSE),main!$K$19:$O$22,MATCH(VLOOKUP($A58,main!$A$3:$H$102,8,FALSE),main!$K$18:$O$18,0))))),1,0)</f>
        <v>1</v>
      </c>
      <c r="BF58">
        <f>IF((AND(VLOOKUP(BF$1,main!$A$3:$H$102,5,FALSE)-VLOOKUP($A58,main!$A$3:$H$102,6,FALSE)&gt;=(VLOOKUP(VLOOKUP(BF$1,main!$A$3:$H$102,8,FALSE),main!$K$26:$M$29,2,FALSE)+VLOOKUP(VLOOKUP(BF$1,main!$A$3:$H$102,7,FALSE),main!$K$19:$O$22,MATCH(VLOOKUP($A58,main!$A$3:$H$102,8,FALSE),main!$K$18:$O$18,0))))),1,0)</f>
        <v>0</v>
      </c>
      <c r="BG58">
        <f>IF((AND(VLOOKUP(BG$1,main!$A$3:$H$102,5,FALSE)-VLOOKUP($A58,main!$A$3:$H$102,6,FALSE)&gt;=(VLOOKUP(VLOOKUP(BG$1,main!$A$3:$H$102,8,FALSE),main!$K$26:$M$29,2,FALSE)+VLOOKUP(VLOOKUP(BG$1,main!$A$3:$H$102,7,FALSE),main!$K$19:$O$22,MATCH(VLOOKUP($A58,main!$A$3:$H$102,8,FALSE),main!$K$18:$O$18,0))))),1,0)</f>
        <v>0</v>
      </c>
      <c r="BH58">
        <f>IF((AND(VLOOKUP(BH$1,main!$A$3:$H$102,5,FALSE)-VLOOKUP($A58,main!$A$3:$H$102,6,FALSE)&gt;=(VLOOKUP(VLOOKUP(BH$1,main!$A$3:$H$102,8,FALSE),main!$K$26:$M$29,2,FALSE)+VLOOKUP(VLOOKUP(BH$1,main!$A$3:$H$102,7,FALSE),main!$K$19:$O$22,MATCH(VLOOKUP($A58,main!$A$3:$H$102,8,FALSE),main!$K$18:$O$18,0))))),1,0)</f>
        <v>1</v>
      </c>
      <c r="BI58">
        <f>IF((AND(VLOOKUP(BI$1,main!$A$3:$H$102,5,FALSE)-VLOOKUP($A58,main!$A$3:$H$102,6,FALSE)&gt;=(VLOOKUP(VLOOKUP(BI$1,main!$A$3:$H$102,8,FALSE),main!$K$26:$M$29,2,FALSE)+VLOOKUP(VLOOKUP(BI$1,main!$A$3:$H$102,7,FALSE),main!$K$19:$O$22,MATCH(VLOOKUP($A58,main!$A$3:$H$102,8,FALSE),main!$K$18:$O$18,0))))),1,0)</f>
        <v>1</v>
      </c>
      <c r="BJ58">
        <f>IF((AND(VLOOKUP(BJ$1,main!$A$3:$H$102,5,FALSE)-VLOOKUP($A58,main!$A$3:$H$102,6,FALSE)&gt;=(VLOOKUP(VLOOKUP(BJ$1,main!$A$3:$H$102,8,FALSE),main!$K$26:$M$29,2,FALSE)+VLOOKUP(VLOOKUP(BJ$1,main!$A$3:$H$102,7,FALSE),main!$K$19:$O$22,MATCH(VLOOKUP($A58,main!$A$3:$H$102,8,FALSE),main!$K$18:$O$18,0))))),1,0)</f>
        <v>1</v>
      </c>
      <c r="BK58">
        <f>IF((AND(VLOOKUP(BK$1,main!$A$3:$H$102,5,FALSE)-VLOOKUP($A58,main!$A$3:$H$102,6,FALSE)&gt;=(VLOOKUP(VLOOKUP(BK$1,main!$A$3:$H$102,8,FALSE),main!$K$26:$M$29,2,FALSE)+VLOOKUP(VLOOKUP(BK$1,main!$A$3:$H$102,7,FALSE),main!$K$19:$O$22,MATCH(VLOOKUP($A58,main!$A$3:$H$102,8,FALSE),main!$K$18:$O$18,0))))),1,0)</f>
        <v>0</v>
      </c>
      <c r="BL58">
        <f>IF((AND(VLOOKUP(BL$1,main!$A$3:$H$102,5,FALSE)-VLOOKUP($A58,main!$A$3:$H$102,6,FALSE)&gt;=(VLOOKUP(VLOOKUP(BL$1,main!$A$3:$H$102,8,FALSE),main!$K$26:$M$29,2,FALSE)+VLOOKUP(VLOOKUP(BL$1,main!$A$3:$H$102,7,FALSE),main!$K$19:$O$22,MATCH(VLOOKUP($A58,main!$A$3:$H$102,8,FALSE),main!$K$18:$O$18,0))))),1,0)</f>
        <v>0</v>
      </c>
      <c r="BM58">
        <f>IF((AND(VLOOKUP(BM$1,main!$A$3:$H$102,5,FALSE)-VLOOKUP($A58,main!$A$3:$H$102,6,FALSE)&gt;=(VLOOKUP(VLOOKUP(BM$1,main!$A$3:$H$102,8,FALSE),main!$K$26:$M$29,2,FALSE)+VLOOKUP(VLOOKUP(BM$1,main!$A$3:$H$102,7,FALSE),main!$K$19:$O$22,MATCH(VLOOKUP($A58,main!$A$3:$H$102,8,FALSE),main!$K$18:$O$18,0))))),1,0)</f>
        <v>0</v>
      </c>
      <c r="BN58">
        <f>IF((AND(VLOOKUP(BN$1,main!$A$3:$H$102,5,FALSE)-VLOOKUP($A58,main!$A$3:$H$102,6,FALSE)&gt;=(VLOOKUP(VLOOKUP(BN$1,main!$A$3:$H$102,8,FALSE),main!$K$26:$M$29,2,FALSE)+VLOOKUP(VLOOKUP(BN$1,main!$A$3:$H$102,7,FALSE),main!$K$19:$O$22,MATCH(VLOOKUP($A58,main!$A$3:$H$102,8,FALSE),main!$K$18:$O$18,0))))),1,0)</f>
        <v>1</v>
      </c>
      <c r="BO58">
        <f>IF((AND(VLOOKUP(BO$1,main!$A$3:$H$102,5,FALSE)-VLOOKUP($A58,main!$A$3:$H$102,6,FALSE)&gt;=(VLOOKUP(VLOOKUP(BO$1,main!$A$3:$H$102,8,FALSE),main!$K$26:$M$29,2,FALSE)+VLOOKUP(VLOOKUP(BO$1,main!$A$3:$H$102,7,FALSE),main!$K$19:$O$22,MATCH(VLOOKUP($A58,main!$A$3:$H$102,8,FALSE),main!$K$18:$O$18,0))))),1,0)</f>
        <v>0</v>
      </c>
      <c r="BP58">
        <f>IF((AND(VLOOKUP(BP$1,main!$A$3:$H$102,5,FALSE)-VLOOKUP($A58,main!$A$3:$H$102,6,FALSE)&gt;=(VLOOKUP(VLOOKUP(BP$1,main!$A$3:$H$102,8,FALSE),main!$K$26:$M$29,2,FALSE)+VLOOKUP(VLOOKUP(BP$1,main!$A$3:$H$102,7,FALSE),main!$K$19:$O$22,MATCH(VLOOKUP($A58,main!$A$3:$H$102,8,FALSE),main!$K$18:$O$18,0))))),1,0)</f>
        <v>0</v>
      </c>
      <c r="BQ58">
        <f>IF((AND(VLOOKUP(BQ$1,main!$A$3:$H$102,5,FALSE)-VLOOKUP($A58,main!$A$3:$H$102,6,FALSE)&gt;=(VLOOKUP(VLOOKUP(BQ$1,main!$A$3:$H$102,8,FALSE),main!$K$26:$M$29,2,FALSE)+VLOOKUP(VLOOKUP(BQ$1,main!$A$3:$H$102,7,FALSE),main!$K$19:$O$22,MATCH(VLOOKUP($A58,main!$A$3:$H$102,8,FALSE),main!$K$18:$O$18,0))))),1,0)</f>
        <v>1</v>
      </c>
      <c r="BR58">
        <f>IF((AND(VLOOKUP(BR$1,main!$A$3:$H$102,5,FALSE)-VLOOKUP($A58,main!$A$3:$H$102,6,FALSE)&gt;=(VLOOKUP(VLOOKUP(BR$1,main!$A$3:$H$102,8,FALSE),main!$K$26:$M$29,2,FALSE)+VLOOKUP(VLOOKUP(BR$1,main!$A$3:$H$102,7,FALSE),main!$K$19:$O$22,MATCH(VLOOKUP($A58,main!$A$3:$H$102,8,FALSE),main!$K$18:$O$18,0))))),1,0)</f>
        <v>1</v>
      </c>
      <c r="BS58">
        <f>IF((AND(VLOOKUP(BS$1,main!$A$3:$H$102,5,FALSE)-VLOOKUP($A58,main!$A$3:$H$102,6,FALSE)&gt;=(VLOOKUP(VLOOKUP(BS$1,main!$A$3:$H$102,8,FALSE),main!$K$26:$M$29,2,FALSE)+VLOOKUP(VLOOKUP(BS$1,main!$A$3:$H$102,7,FALSE),main!$K$19:$O$22,MATCH(VLOOKUP($A58,main!$A$3:$H$102,8,FALSE),main!$K$18:$O$18,0))))),1,0)</f>
        <v>1</v>
      </c>
      <c r="BT58">
        <f>IF((AND(VLOOKUP(BT$1,main!$A$3:$H$102,5,FALSE)-VLOOKUP($A58,main!$A$3:$H$102,6,FALSE)&gt;=(VLOOKUP(VLOOKUP(BT$1,main!$A$3:$H$102,8,FALSE),main!$K$26:$M$29,2,FALSE)+VLOOKUP(VLOOKUP(BT$1,main!$A$3:$H$102,7,FALSE),main!$K$19:$O$22,MATCH(VLOOKUP($A58,main!$A$3:$H$102,8,FALSE),main!$K$18:$O$18,0))))),1,0)</f>
        <v>1</v>
      </c>
      <c r="BU58">
        <f>IF((AND(VLOOKUP(BU$1,main!$A$3:$H$102,5,FALSE)-VLOOKUP($A58,main!$A$3:$H$102,6,FALSE)&gt;=(VLOOKUP(VLOOKUP(BU$1,main!$A$3:$H$102,8,FALSE),main!$K$26:$M$29,2,FALSE)+VLOOKUP(VLOOKUP(BU$1,main!$A$3:$H$102,7,FALSE),main!$K$19:$O$22,MATCH(VLOOKUP($A58,main!$A$3:$H$102,8,FALSE),main!$K$18:$O$18,0))))),1,0)</f>
        <v>0</v>
      </c>
      <c r="BV58">
        <f>IF((AND(VLOOKUP(BV$1,main!$A$3:$H$102,5,FALSE)-VLOOKUP($A58,main!$A$3:$H$102,6,FALSE)&gt;=(VLOOKUP(VLOOKUP(BV$1,main!$A$3:$H$102,8,FALSE),main!$K$26:$M$29,2,FALSE)+VLOOKUP(VLOOKUP(BV$1,main!$A$3:$H$102,7,FALSE),main!$K$19:$O$22,MATCH(VLOOKUP($A58,main!$A$3:$H$102,8,FALSE),main!$K$18:$O$18,0))))),1,0)</f>
        <v>0</v>
      </c>
      <c r="BW58">
        <f>IF((AND(VLOOKUP(BW$1,main!$A$3:$H$102,5,FALSE)-VLOOKUP($A58,main!$A$3:$H$102,6,FALSE)&gt;=(VLOOKUP(VLOOKUP(BW$1,main!$A$3:$H$102,8,FALSE),main!$K$26:$M$29,2,FALSE)+VLOOKUP(VLOOKUP(BW$1,main!$A$3:$H$102,7,FALSE),main!$K$19:$O$22,MATCH(VLOOKUP($A58,main!$A$3:$H$102,8,FALSE),main!$K$18:$O$18,0))))),1,0)</f>
        <v>0</v>
      </c>
      <c r="BX58">
        <f>IF((AND(VLOOKUP(BX$1,main!$A$3:$H$102,5,FALSE)-VLOOKUP($A58,main!$A$3:$H$102,6,FALSE)&gt;=(VLOOKUP(VLOOKUP(BX$1,main!$A$3:$H$102,8,FALSE),main!$K$26:$M$29,2,FALSE)+VLOOKUP(VLOOKUP(BX$1,main!$A$3:$H$102,7,FALSE),main!$K$19:$O$22,MATCH(VLOOKUP($A58,main!$A$3:$H$102,8,FALSE),main!$K$18:$O$18,0))))),1,0)</f>
        <v>1</v>
      </c>
      <c r="BY58">
        <f>IF((AND(VLOOKUP(BY$1,main!$A$3:$H$102,5,FALSE)-VLOOKUP($A58,main!$A$3:$H$102,6,FALSE)&gt;=(VLOOKUP(VLOOKUP(BY$1,main!$A$3:$H$102,8,FALSE),main!$K$26:$M$29,2,FALSE)+VLOOKUP(VLOOKUP(BY$1,main!$A$3:$H$102,7,FALSE),main!$K$19:$O$22,MATCH(VLOOKUP($A58,main!$A$3:$H$102,8,FALSE),main!$K$18:$O$18,0))))),1,0)</f>
        <v>1</v>
      </c>
      <c r="BZ58">
        <f>IF((AND(VLOOKUP(BZ$1,main!$A$3:$H$102,5,FALSE)-VLOOKUP($A58,main!$A$3:$H$102,6,FALSE)&gt;=(VLOOKUP(VLOOKUP(BZ$1,main!$A$3:$H$102,8,FALSE),main!$K$26:$M$29,2,FALSE)+VLOOKUP(VLOOKUP(BZ$1,main!$A$3:$H$102,7,FALSE),main!$K$19:$O$22,MATCH(VLOOKUP($A58,main!$A$3:$H$102,8,FALSE),main!$K$18:$O$18,0))))),1,0)</f>
        <v>0</v>
      </c>
      <c r="CA58">
        <f>IF((AND(VLOOKUP(CA$1,main!$A$3:$H$102,5,FALSE)-VLOOKUP($A58,main!$A$3:$H$102,6,FALSE)&gt;=(VLOOKUP(VLOOKUP(CA$1,main!$A$3:$H$102,8,FALSE),main!$K$26:$M$29,2,FALSE)+VLOOKUP(VLOOKUP(CA$1,main!$A$3:$H$102,7,FALSE),main!$K$19:$O$22,MATCH(VLOOKUP($A58,main!$A$3:$H$102,8,FALSE),main!$K$18:$O$18,0))))),1,0)</f>
        <v>0</v>
      </c>
      <c r="CB58">
        <f>IF((AND(VLOOKUP(CB$1,main!$A$3:$H$102,5,FALSE)-VLOOKUP($A58,main!$A$3:$H$102,6,FALSE)&gt;=(VLOOKUP(VLOOKUP(CB$1,main!$A$3:$H$102,8,FALSE),main!$K$26:$M$29,2,FALSE)+VLOOKUP(VLOOKUP(CB$1,main!$A$3:$H$102,7,FALSE),main!$K$19:$O$22,MATCH(VLOOKUP($A58,main!$A$3:$H$102,8,FALSE),main!$K$18:$O$18,0))))),1,0)</f>
        <v>1</v>
      </c>
      <c r="CC58">
        <f>IF((AND(VLOOKUP(CC$1,main!$A$3:$H$102,5,FALSE)-VLOOKUP($A58,main!$A$3:$H$102,6,FALSE)&gt;=(VLOOKUP(VLOOKUP(CC$1,main!$A$3:$H$102,8,FALSE),main!$K$26:$M$29,2,FALSE)+VLOOKUP(VLOOKUP(CC$1,main!$A$3:$H$102,7,FALSE),main!$K$19:$O$22,MATCH(VLOOKUP($A58,main!$A$3:$H$102,8,FALSE),main!$K$18:$O$18,0))))),1,0)</f>
        <v>1</v>
      </c>
      <c r="CD58">
        <f>IF((AND(VLOOKUP(CD$1,main!$A$3:$H$102,5,FALSE)-VLOOKUP($A58,main!$A$3:$H$102,6,FALSE)&gt;=(VLOOKUP(VLOOKUP(CD$1,main!$A$3:$H$102,8,FALSE),main!$K$26:$M$29,2,FALSE)+VLOOKUP(VLOOKUP(CD$1,main!$A$3:$H$102,7,FALSE),main!$K$19:$O$22,MATCH(VLOOKUP($A58,main!$A$3:$H$102,8,FALSE),main!$K$18:$O$18,0))))),1,0)</f>
        <v>1</v>
      </c>
      <c r="CE58">
        <f>IF((AND(VLOOKUP(CE$1,main!$A$3:$H$102,5,FALSE)-VLOOKUP($A58,main!$A$3:$H$102,6,FALSE)&gt;=(VLOOKUP(VLOOKUP(CE$1,main!$A$3:$H$102,8,FALSE),main!$K$26:$M$29,2,FALSE)+VLOOKUP(VLOOKUP(CE$1,main!$A$3:$H$102,7,FALSE),main!$K$19:$O$22,MATCH(VLOOKUP($A58,main!$A$3:$H$102,8,FALSE),main!$K$18:$O$18,0))))),1,0)</f>
        <v>0</v>
      </c>
      <c r="CF58">
        <f>IF((AND(VLOOKUP(CF$1,main!$A$3:$H$102,5,FALSE)-VLOOKUP($A58,main!$A$3:$H$102,6,FALSE)&gt;=(VLOOKUP(VLOOKUP(CF$1,main!$A$3:$H$102,8,FALSE),main!$K$26:$M$29,2,FALSE)+VLOOKUP(VLOOKUP(CF$1,main!$A$3:$H$102,7,FALSE),main!$K$19:$O$22,MATCH(VLOOKUP($A58,main!$A$3:$H$102,8,FALSE),main!$K$18:$O$18,0))))),1,0)</f>
        <v>1</v>
      </c>
      <c r="CG58">
        <f>IF((AND(VLOOKUP(CG$1,main!$A$3:$H$102,5,FALSE)-VLOOKUP($A58,main!$A$3:$H$102,6,FALSE)&gt;=(VLOOKUP(VLOOKUP(CG$1,main!$A$3:$H$102,8,FALSE),main!$K$26:$M$29,2,FALSE)+VLOOKUP(VLOOKUP(CG$1,main!$A$3:$H$102,7,FALSE),main!$K$19:$O$22,MATCH(VLOOKUP($A58,main!$A$3:$H$102,8,FALSE),main!$K$18:$O$18,0))))),1,0)</f>
        <v>1</v>
      </c>
      <c r="CH58">
        <f>IF((AND(VLOOKUP(CH$1,main!$A$3:$H$102,5,FALSE)-VLOOKUP($A58,main!$A$3:$H$102,6,FALSE)&gt;=(VLOOKUP(VLOOKUP(CH$1,main!$A$3:$H$102,8,FALSE),main!$K$26:$M$29,2,FALSE)+VLOOKUP(VLOOKUP(CH$1,main!$A$3:$H$102,7,FALSE),main!$K$19:$O$22,MATCH(VLOOKUP($A58,main!$A$3:$H$102,8,FALSE),main!$K$18:$O$18,0))))),1,0)</f>
        <v>1</v>
      </c>
      <c r="CI58">
        <f>IF((AND(VLOOKUP(CI$1,main!$A$3:$H$102,5,FALSE)-VLOOKUP($A58,main!$A$3:$H$102,6,FALSE)&gt;=(VLOOKUP(VLOOKUP(CI$1,main!$A$3:$H$102,8,FALSE),main!$K$26:$M$29,2,FALSE)+VLOOKUP(VLOOKUP(CI$1,main!$A$3:$H$102,7,FALSE),main!$K$19:$O$22,MATCH(VLOOKUP($A58,main!$A$3:$H$102,8,FALSE),main!$K$18:$O$18,0))))),1,0)</f>
        <v>1</v>
      </c>
      <c r="CJ58">
        <f>IF((AND(VLOOKUP(CJ$1,main!$A$3:$H$102,5,FALSE)-VLOOKUP($A58,main!$A$3:$H$102,6,FALSE)&gt;=(VLOOKUP(VLOOKUP(CJ$1,main!$A$3:$H$102,8,FALSE),main!$K$26:$M$29,2,FALSE)+VLOOKUP(VLOOKUP(CJ$1,main!$A$3:$H$102,7,FALSE),main!$K$19:$O$22,MATCH(VLOOKUP($A58,main!$A$3:$H$102,8,FALSE),main!$K$18:$O$18,0))))),1,0)</f>
        <v>1</v>
      </c>
      <c r="CK58">
        <f>IF((AND(VLOOKUP(CK$1,main!$A$3:$H$102,5,FALSE)-VLOOKUP($A58,main!$A$3:$H$102,6,FALSE)&gt;=(VLOOKUP(VLOOKUP(CK$1,main!$A$3:$H$102,8,FALSE),main!$K$26:$M$29,2,FALSE)+VLOOKUP(VLOOKUP(CK$1,main!$A$3:$H$102,7,FALSE),main!$K$19:$O$22,MATCH(VLOOKUP($A58,main!$A$3:$H$102,8,FALSE),main!$K$18:$O$18,0))))),1,0)</f>
        <v>0</v>
      </c>
      <c r="CL58">
        <f>IF((AND(VLOOKUP(CL$1,main!$A$3:$H$102,5,FALSE)-VLOOKUP($A58,main!$A$3:$H$102,6,FALSE)&gt;=(VLOOKUP(VLOOKUP(CL$1,main!$A$3:$H$102,8,FALSE),main!$K$26:$M$29,2,FALSE)+VLOOKUP(VLOOKUP(CL$1,main!$A$3:$H$102,7,FALSE),main!$K$19:$O$22,MATCH(VLOOKUP($A58,main!$A$3:$H$102,8,FALSE),main!$K$18:$O$18,0))))),1,0)</f>
        <v>1</v>
      </c>
      <c r="CM58">
        <f>IF((AND(VLOOKUP(CM$1,main!$A$3:$H$102,5,FALSE)-VLOOKUP($A58,main!$A$3:$H$102,6,FALSE)&gt;=(VLOOKUP(VLOOKUP(CM$1,main!$A$3:$H$102,8,FALSE),main!$K$26:$M$29,2,FALSE)+VLOOKUP(VLOOKUP(CM$1,main!$A$3:$H$102,7,FALSE),main!$K$19:$O$22,MATCH(VLOOKUP($A58,main!$A$3:$H$102,8,FALSE),main!$K$18:$O$18,0))))),1,0)</f>
        <v>1</v>
      </c>
      <c r="CN58">
        <f>IF((AND(VLOOKUP(CN$1,main!$A$3:$H$102,5,FALSE)-VLOOKUP($A58,main!$A$3:$H$102,6,FALSE)&gt;=(VLOOKUP(VLOOKUP(CN$1,main!$A$3:$H$102,8,FALSE),main!$K$26:$M$29,2,FALSE)+VLOOKUP(VLOOKUP(CN$1,main!$A$3:$H$102,7,FALSE),main!$K$19:$O$22,MATCH(VLOOKUP($A58,main!$A$3:$H$102,8,FALSE),main!$K$18:$O$18,0))))),1,0)</f>
        <v>1</v>
      </c>
      <c r="CO58">
        <f>IF((AND(VLOOKUP(CO$1,main!$A$3:$H$102,5,FALSE)-VLOOKUP($A58,main!$A$3:$H$102,6,FALSE)&gt;=(VLOOKUP(VLOOKUP(CO$1,main!$A$3:$H$102,8,FALSE),main!$K$26:$M$29,2,FALSE)+VLOOKUP(VLOOKUP(CO$1,main!$A$3:$H$102,7,FALSE),main!$K$19:$O$22,MATCH(VLOOKUP($A58,main!$A$3:$H$102,8,FALSE),main!$K$18:$O$18,0))))),1,0)</f>
        <v>0</v>
      </c>
      <c r="CP58">
        <f>IF((AND(VLOOKUP(CP$1,main!$A$3:$H$102,5,FALSE)-VLOOKUP($A58,main!$A$3:$H$102,6,FALSE)&gt;=(VLOOKUP(VLOOKUP(CP$1,main!$A$3:$H$102,8,FALSE),main!$K$26:$M$29,2,FALSE)+VLOOKUP(VLOOKUP(CP$1,main!$A$3:$H$102,7,FALSE),main!$K$19:$O$22,MATCH(VLOOKUP($A58,main!$A$3:$H$102,8,FALSE),main!$K$18:$O$18,0))))),1,0)</f>
        <v>1</v>
      </c>
      <c r="CQ58">
        <f>IF((AND(VLOOKUP(CQ$1,main!$A$3:$H$102,5,FALSE)-VLOOKUP($A58,main!$A$3:$H$102,6,FALSE)&gt;=(VLOOKUP(VLOOKUP(CQ$1,main!$A$3:$H$102,8,FALSE),main!$K$26:$M$29,2,FALSE)+VLOOKUP(VLOOKUP(CQ$1,main!$A$3:$H$102,7,FALSE),main!$K$19:$O$22,MATCH(VLOOKUP($A58,main!$A$3:$H$102,8,FALSE),main!$K$18:$O$18,0))))),1,0)</f>
        <v>1</v>
      </c>
      <c r="CR58">
        <f>IF((AND(VLOOKUP(CR$1,main!$A$3:$H$102,5,FALSE)-VLOOKUP($A58,main!$A$3:$H$102,6,FALSE)&gt;=(VLOOKUP(VLOOKUP(CR$1,main!$A$3:$H$102,8,FALSE),main!$K$26:$M$29,2,FALSE)+VLOOKUP(VLOOKUP(CR$1,main!$A$3:$H$102,7,FALSE),main!$K$19:$O$22,MATCH(VLOOKUP($A58,main!$A$3:$H$102,8,FALSE),main!$K$18:$O$18,0))))),1,0)</f>
        <v>1</v>
      </c>
      <c r="CS58">
        <f>IF((AND(VLOOKUP(CS$1,main!$A$3:$H$102,5,FALSE)-VLOOKUP($A58,main!$A$3:$H$102,6,FALSE)&gt;=(VLOOKUP(VLOOKUP(CS$1,main!$A$3:$H$102,8,FALSE),main!$K$26:$M$29,2,FALSE)+VLOOKUP(VLOOKUP(CS$1,main!$A$3:$H$102,7,FALSE),main!$K$19:$O$22,MATCH(VLOOKUP($A58,main!$A$3:$H$102,8,FALSE),main!$K$18:$O$18,0))))),1,0)</f>
        <v>1</v>
      </c>
      <c r="CT58">
        <f>IF((AND(VLOOKUP(CT$1,main!$A$3:$H$102,5,FALSE)-VLOOKUP($A58,main!$A$3:$H$102,6,FALSE)&gt;=(VLOOKUP(VLOOKUP(CT$1,main!$A$3:$H$102,8,FALSE),main!$K$26:$M$29,2,FALSE)+VLOOKUP(VLOOKUP(CT$1,main!$A$3:$H$102,7,FALSE),main!$K$19:$O$22,MATCH(VLOOKUP($A58,main!$A$3:$H$102,8,FALSE),main!$K$18:$O$18,0))))),1,0)</f>
        <v>0</v>
      </c>
      <c r="CU58">
        <f>IF((AND(VLOOKUP(CU$1,main!$A$3:$H$102,5,FALSE)-VLOOKUP($A58,main!$A$3:$H$102,6,FALSE)&gt;=(VLOOKUP(VLOOKUP(CU$1,main!$A$3:$H$102,8,FALSE),main!$K$26:$M$29,2,FALSE)+VLOOKUP(VLOOKUP(CU$1,main!$A$3:$H$102,7,FALSE),main!$K$19:$O$22,MATCH(VLOOKUP($A58,main!$A$3:$H$102,8,FALSE),main!$K$18:$O$18,0))))),1,0)</f>
        <v>0</v>
      </c>
      <c r="CV58">
        <f>IF((AND(VLOOKUP(CV$1,main!$A$3:$H$102,5,FALSE)-VLOOKUP($A58,main!$A$3:$H$102,6,FALSE)&gt;=(VLOOKUP(VLOOKUP(CV$1,main!$A$3:$H$102,8,FALSE),main!$K$26:$M$29,2,FALSE)+VLOOKUP(VLOOKUP(CV$1,main!$A$3:$H$102,7,FALSE),main!$K$19:$O$22,MATCH(VLOOKUP($A58,main!$A$3:$H$102,8,FALSE),main!$K$18:$O$18,0))))),1,0)</f>
        <v>1</v>
      </c>
      <c r="CW58">
        <f>IF((AND(VLOOKUP(CW$1,main!$A$3:$H$102,5,FALSE)-VLOOKUP($A58,main!$A$3:$H$102,6,FALSE)&gt;=(VLOOKUP(VLOOKUP(CW$1,main!$A$3:$H$102,8,FALSE),main!$K$26:$M$29,2,FALSE)+VLOOKUP(VLOOKUP(CW$1,main!$A$3:$H$102,7,FALSE),main!$K$19:$O$22,MATCH(VLOOKUP($A58,main!$A$3:$H$102,8,FALSE),main!$K$18:$O$18,0))))),1,0)</f>
        <v>1</v>
      </c>
      <c r="CX58">
        <f>IF((AND(VLOOKUP(CX$1,main!$A$3:$H$102,5,FALSE)-VLOOKUP($A58,main!$A$3:$H$102,6,FALSE)&gt;=(VLOOKUP(VLOOKUP(CX$1,main!$A$3:$H$102,8,FALSE),main!$K$26:$M$29,2,FALSE)+VLOOKUP(VLOOKUP(CX$1,main!$A$3:$H$102,7,FALSE),main!$K$19:$O$22,MATCH(VLOOKUP($A58,main!$A$3:$H$102,8,FALSE),main!$K$18:$O$18,0))))),1,0)</f>
        <v>1</v>
      </c>
    </row>
    <row r="59" spans="1:102" x14ac:dyDescent="0.25">
      <c r="A59" s="1">
        <v>57</v>
      </c>
      <c r="B59">
        <v>1</v>
      </c>
      <c r="C59">
        <f>IF((AND(VLOOKUP(C$1,main!$A$3:$H$102,5,FALSE)-VLOOKUP($A59,main!$A$3:$H$102,6,FALSE)&gt;=(VLOOKUP(VLOOKUP(C$1,main!$A$3:$H$102,8,FALSE),main!$K$26:$M$29,2,FALSE)+VLOOKUP(VLOOKUP(C$1,main!$A$3:$H$102,7,FALSE),main!$K$19:$O$22,MATCH(VLOOKUP($A59,main!$A$3:$H$102,8,FALSE),main!$K$18:$O$18,0))))),1,0)</f>
        <v>0</v>
      </c>
      <c r="D59">
        <f>IF((AND(VLOOKUP(D$1,main!$A$3:$H$102,5,FALSE)-VLOOKUP($A59,main!$A$3:$H$102,6,FALSE)&gt;=(VLOOKUP(VLOOKUP(D$1,main!$A$3:$H$102,8,FALSE),main!$K$26:$M$29,2,FALSE)+VLOOKUP(VLOOKUP(D$1,main!$A$3:$H$102,7,FALSE),main!$K$19:$O$22,MATCH(VLOOKUP($A59,main!$A$3:$H$102,8,FALSE),main!$K$18:$O$18,0))))),1,0)</f>
        <v>0</v>
      </c>
      <c r="E59">
        <f>IF((AND(VLOOKUP(E$1,main!$A$3:$H$102,5,FALSE)-VLOOKUP($A59,main!$A$3:$H$102,6,FALSE)&gt;=(VLOOKUP(VLOOKUP(E$1,main!$A$3:$H$102,8,FALSE),main!$K$26:$M$29,2,FALSE)+VLOOKUP(VLOOKUP(E$1,main!$A$3:$H$102,7,FALSE),main!$K$19:$O$22,MATCH(VLOOKUP($A59,main!$A$3:$H$102,8,FALSE),main!$K$18:$O$18,0))))),1,0)</f>
        <v>0</v>
      </c>
      <c r="F59">
        <f>IF((AND(VLOOKUP(F$1,main!$A$3:$H$102,5,FALSE)-VLOOKUP($A59,main!$A$3:$H$102,6,FALSE)&gt;=(VLOOKUP(VLOOKUP(F$1,main!$A$3:$H$102,8,FALSE),main!$K$26:$M$29,2,FALSE)+VLOOKUP(VLOOKUP(F$1,main!$A$3:$H$102,7,FALSE),main!$K$19:$O$22,MATCH(VLOOKUP($A59,main!$A$3:$H$102,8,FALSE),main!$K$18:$O$18,0))))),1,0)</f>
        <v>0</v>
      </c>
      <c r="G59">
        <f>IF((AND(VLOOKUP(G$1,main!$A$3:$H$102,5,FALSE)-VLOOKUP($A59,main!$A$3:$H$102,6,FALSE)&gt;=(VLOOKUP(VLOOKUP(G$1,main!$A$3:$H$102,8,FALSE),main!$K$26:$M$29,2,FALSE)+VLOOKUP(VLOOKUP(G$1,main!$A$3:$H$102,7,FALSE),main!$K$19:$O$22,MATCH(VLOOKUP($A59,main!$A$3:$H$102,8,FALSE),main!$K$18:$O$18,0))))),1,0)</f>
        <v>1</v>
      </c>
      <c r="H59">
        <f>IF((AND(VLOOKUP(H$1,main!$A$3:$H$102,5,FALSE)-VLOOKUP($A59,main!$A$3:$H$102,6,FALSE)&gt;=(VLOOKUP(VLOOKUP(H$1,main!$A$3:$H$102,8,FALSE),main!$K$26:$M$29,2,FALSE)+VLOOKUP(VLOOKUP(H$1,main!$A$3:$H$102,7,FALSE),main!$K$19:$O$22,MATCH(VLOOKUP($A59,main!$A$3:$H$102,8,FALSE),main!$K$18:$O$18,0))))),1,0)</f>
        <v>1</v>
      </c>
      <c r="I59">
        <f>IF((AND(VLOOKUP(I$1,main!$A$3:$H$102,5,FALSE)-VLOOKUP($A59,main!$A$3:$H$102,6,FALSE)&gt;=(VLOOKUP(VLOOKUP(I$1,main!$A$3:$H$102,8,FALSE),main!$K$26:$M$29,2,FALSE)+VLOOKUP(VLOOKUP(I$1,main!$A$3:$H$102,7,FALSE),main!$K$19:$O$22,MATCH(VLOOKUP($A59,main!$A$3:$H$102,8,FALSE),main!$K$18:$O$18,0))))),1,0)</f>
        <v>1</v>
      </c>
      <c r="J59">
        <f>IF((AND(VLOOKUP(J$1,main!$A$3:$H$102,5,FALSE)-VLOOKUP($A59,main!$A$3:$H$102,6,FALSE)&gt;=(VLOOKUP(VLOOKUP(J$1,main!$A$3:$H$102,8,FALSE),main!$K$26:$M$29,2,FALSE)+VLOOKUP(VLOOKUP(J$1,main!$A$3:$H$102,7,FALSE),main!$K$19:$O$22,MATCH(VLOOKUP($A59,main!$A$3:$H$102,8,FALSE),main!$K$18:$O$18,0))))),1,0)</f>
        <v>1</v>
      </c>
      <c r="K59">
        <f>IF((AND(VLOOKUP(K$1,main!$A$3:$H$102,5,FALSE)-VLOOKUP($A59,main!$A$3:$H$102,6,FALSE)&gt;=(VLOOKUP(VLOOKUP(K$1,main!$A$3:$H$102,8,FALSE),main!$K$26:$M$29,2,FALSE)+VLOOKUP(VLOOKUP(K$1,main!$A$3:$H$102,7,FALSE),main!$K$19:$O$22,MATCH(VLOOKUP($A59,main!$A$3:$H$102,8,FALSE),main!$K$18:$O$18,0))))),1,0)</f>
        <v>1</v>
      </c>
      <c r="L59">
        <f>IF((AND(VLOOKUP(L$1,main!$A$3:$H$102,5,FALSE)-VLOOKUP($A59,main!$A$3:$H$102,6,FALSE)&gt;=(VLOOKUP(VLOOKUP(L$1,main!$A$3:$H$102,8,FALSE),main!$K$26:$M$29,2,FALSE)+VLOOKUP(VLOOKUP(L$1,main!$A$3:$H$102,7,FALSE),main!$K$19:$O$22,MATCH(VLOOKUP($A59,main!$A$3:$H$102,8,FALSE),main!$K$18:$O$18,0))))),1,0)</f>
        <v>1</v>
      </c>
      <c r="M59">
        <f>IF((AND(VLOOKUP(M$1,main!$A$3:$H$102,5,FALSE)-VLOOKUP($A59,main!$A$3:$H$102,6,FALSE)&gt;=(VLOOKUP(VLOOKUP(M$1,main!$A$3:$H$102,8,FALSE),main!$K$26:$M$29,2,FALSE)+VLOOKUP(VLOOKUP(M$1,main!$A$3:$H$102,7,FALSE),main!$K$19:$O$22,MATCH(VLOOKUP($A59,main!$A$3:$H$102,8,FALSE),main!$K$18:$O$18,0))))),1,0)</f>
        <v>0</v>
      </c>
      <c r="N59">
        <f>IF((AND(VLOOKUP(N$1,main!$A$3:$H$102,5,FALSE)-VLOOKUP($A59,main!$A$3:$H$102,6,FALSE)&gt;=(VLOOKUP(VLOOKUP(N$1,main!$A$3:$H$102,8,FALSE),main!$K$26:$M$29,2,FALSE)+VLOOKUP(VLOOKUP(N$1,main!$A$3:$H$102,7,FALSE),main!$K$19:$O$22,MATCH(VLOOKUP($A59,main!$A$3:$H$102,8,FALSE),main!$K$18:$O$18,0))))),1,0)</f>
        <v>0</v>
      </c>
      <c r="O59">
        <f>IF((AND(VLOOKUP(O$1,main!$A$3:$H$102,5,FALSE)-VLOOKUP($A59,main!$A$3:$H$102,6,FALSE)&gt;=(VLOOKUP(VLOOKUP(O$1,main!$A$3:$H$102,8,FALSE),main!$K$26:$M$29,2,FALSE)+VLOOKUP(VLOOKUP(O$1,main!$A$3:$H$102,7,FALSE),main!$K$19:$O$22,MATCH(VLOOKUP($A59,main!$A$3:$H$102,8,FALSE),main!$K$18:$O$18,0))))),1,0)</f>
        <v>0</v>
      </c>
      <c r="P59">
        <f>IF((AND(VLOOKUP(P$1,main!$A$3:$H$102,5,FALSE)-VLOOKUP($A59,main!$A$3:$H$102,6,FALSE)&gt;=(VLOOKUP(VLOOKUP(P$1,main!$A$3:$H$102,8,FALSE),main!$K$26:$M$29,2,FALSE)+VLOOKUP(VLOOKUP(P$1,main!$A$3:$H$102,7,FALSE),main!$K$19:$O$22,MATCH(VLOOKUP($A59,main!$A$3:$H$102,8,FALSE),main!$K$18:$O$18,0))))),1,0)</f>
        <v>0</v>
      </c>
      <c r="Q59">
        <f>IF((AND(VLOOKUP(Q$1,main!$A$3:$H$102,5,FALSE)-VLOOKUP($A59,main!$A$3:$H$102,6,FALSE)&gt;=(VLOOKUP(VLOOKUP(Q$1,main!$A$3:$H$102,8,FALSE),main!$K$26:$M$29,2,FALSE)+VLOOKUP(VLOOKUP(Q$1,main!$A$3:$H$102,7,FALSE),main!$K$19:$O$22,MATCH(VLOOKUP($A59,main!$A$3:$H$102,8,FALSE),main!$K$18:$O$18,0))))),1,0)</f>
        <v>0</v>
      </c>
      <c r="R59">
        <f>IF((AND(VLOOKUP(R$1,main!$A$3:$H$102,5,FALSE)-VLOOKUP($A59,main!$A$3:$H$102,6,FALSE)&gt;=(VLOOKUP(VLOOKUP(R$1,main!$A$3:$H$102,8,FALSE),main!$K$26:$M$29,2,FALSE)+VLOOKUP(VLOOKUP(R$1,main!$A$3:$H$102,7,FALSE),main!$K$19:$O$22,MATCH(VLOOKUP($A59,main!$A$3:$H$102,8,FALSE),main!$K$18:$O$18,0))))),1,0)</f>
        <v>1</v>
      </c>
      <c r="S59">
        <f>IF((AND(VLOOKUP(S$1,main!$A$3:$H$102,5,FALSE)-VLOOKUP($A59,main!$A$3:$H$102,6,FALSE)&gt;=(VLOOKUP(VLOOKUP(S$1,main!$A$3:$H$102,8,FALSE),main!$K$26:$M$29,2,FALSE)+VLOOKUP(VLOOKUP(S$1,main!$A$3:$H$102,7,FALSE),main!$K$19:$O$22,MATCH(VLOOKUP($A59,main!$A$3:$H$102,8,FALSE),main!$K$18:$O$18,0))))),1,0)</f>
        <v>1</v>
      </c>
      <c r="T59">
        <f>IF((AND(VLOOKUP(T$1,main!$A$3:$H$102,5,FALSE)-VLOOKUP($A59,main!$A$3:$H$102,6,FALSE)&gt;=(VLOOKUP(VLOOKUP(T$1,main!$A$3:$H$102,8,FALSE),main!$K$26:$M$29,2,FALSE)+VLOOKUP(VLOOKUP(T$1,main!$A$3:$H$102,7,FALSE),main!$K$19:$O$22,MATCH(VLOOKUP($A59,main!$A$3:$H$102,8,FALSE),main!$K$18:$O$18,0))))),1,0)</f>
        <v>1</v>
      </c>
      <c r="U59">
        <f>IF((AND(VLOOKUP(U$1,main!$A$3:$H$102,5,FALSE)-VLOOKUP($A59,main!$A$3:$H$102,6,FALSE)&gt;=(VLOOKUP(VLOOKUP(U$1,main!$A$3:$H$102,8,FALSE),main!$K$26:$M$29,2,FALSE)+VLOOKUP(VLOOKUP(U$1,main!$A$3:$H$102,7,FALSE),main!$K$19:$O$22,MATCH(VLOOKUP($A59,main!$A$3:$H$102,8,FALSE),main!$K$18:$O$18,0))))),1,0)</f>
        <v>1</v>
      </c>
      <c r="V59">
        <f>IF((AND(VLOOKUP(V$1,main!$A$3:$H$102,5,FALSE)-VLOOKUP($A59,main!$A$3:$H$102,6,FALSE)&gt;=(VLOOKUP(VLOOKUP(V$1,main!$A$3:$H$102,8,FALSE),main!$K$26:$M$29,2,FALSE)+VLOOKUP(VLOOKUP(V$1,main!$A$3:$H$102,7,FALSE),main!$K$19:$O$22,MATCH(VLOOKUP($A59,main!$A$3:$H$102,8,FALSE),main!$K$18:$O$18,0))))),1,0)</f>
        <v>1</v>
      </c>
      <c r="W59">
        <f>IF((AND(VLOOKUP(W$1,main!$A$3:$H$102,5,FALSE)-VLOOKUP($A59,main!$A$3:$H$102,6,FALSE)&gt;=(VLOOKUP(VLOOKUP(W$1,main!$A$3:$H$102,8,FALSE),main!$K$26:$M$29,2,FALSE)+VLOOKUP(VLOOKUP(W$1,main!$A$3:$H$102,7,FALSE),main!$K$19:$O$22,MATCH(VLOOKUP($A59,main!$A$3:$H$102,8,FALSE),main!$K$18:$O$18,0))))),1,0)</f>
        <v>0</v>
      </c>
      <c r="X59">
        <f>IF((AND(VLOOKUP(X$1,main!$A$3:$H$102,5,FALSE)-VLOOKUP($A59,main!$A$3:$H$102,6,FALSE)&gt;=(VLOOKUP(VLOOKUP(X$1,main!$A$3:$H$102,8,FALSE),main!$K$26:$M$29,2,FALSE)+VLOOKUP(VLOOKUP(X$1,main!$A$3:$H$102,7,FALSE),main!$K$19:$O$22,MATCH(VLOOKUP($A59,main!$A$3:$H$102,8,FALSE),main!$K$18:$O$18,0))))),1,0)</f>
        <v>0</v>
      </c>
      <c r="Y59">
        <f>IF((AND(VLOOKUP(Y$1,main!$A$3:$H$102,5,FALSE)-VLOOKUP($A59,main!$A$3:$H$102,6,FALSE)&gt;=(VLOOKUP(VLOOKUP(Y$1,main!$A$3:$H$102,8,FALSE),main!$K$26:$M$29,2,FALSE)+VLOOKUP(VLOOKUP(Y$1,main!$A$3:$H$102,7,FALSE),main!$K$19:$O$22,MATCH(VLOOKUP($A59,main!$A$3:$H$102,8,FALSE),main!$K$18:$O$18,0))))),1,0)</f>
        <v>1</v>
      </c>
      <c r="Z59">
        <f>IF((AND(VLOOKUP(Z$1,main!$A$3:$H$102,5,FALSE)-VLOOKUP($A59,main!$A$3:$H$102,6,FALSE)&gt;=(VLOOKUP(VLOOKUP(Z$1,main!$A$3:$H$102,8,FALSE),main!$K$26:$M$29,2,FALSE)+VLOOKUP(VLOOKUP(Z$1,main!$A$3:$H$102,7,FALSE),main!$K$19:$O$22,MATCH(VLOOKUP($A59,main!$A$3:$H$102,8,FALSE),main!$K$18:$O$18,0))))),1,0)</f>
        <v>1</v>
      </c>
      <c r="AA59">
        <f>IF((AND(VLOOKUP(AA$1,main!$A$3:$H$102,5,FALSE)-VLOOKUP($A59,main!$A$3:$H$102,6,FALSE)&gt;=(VLOOKUP(VLOOKUP(AA$1,main!$A$3:$H$102,8,FALSE),main!$K$26:$M$29,2,FALSE)+VLOOKUP(VLOOKUP(AA$1,main!$A$3:$H$102,7,FALSE),main!$K$19:$O$22,MATCH(VLOOKUP($A59,main!$A$3:$H$102,8,FALSE),main!$K$18:$O$18,0))))),1,0)</f>
        <v>1</v>
      </c>
      <c r="AB59">
        <f>IF((AND(VLOOKUP(AB$1,main!$A$3:$H$102,5,FALSE)-VLOOKUP($A59,main!$A$3:$H$102,6,FALSE)&gt;=(VLOOKUP(VLOOKUP(AB$1,main!$A$3:$H$102,8,FALSE),main!$K$26:$M$29,2,FALSE)+VLOOKUP(VLOOKUP(AB$1,main!$A$3:$H$102,7,FALSE),main!$K$19:$O$22,MATCH(VLOOKUP($A59,main!$A$3:$H$102,8,FALSE),main!$K$18:$O$18,0))))),1,0)</f>
        <v>0</v>
      </c>
      <c r="AC59">
        <f>IF((AND(VLOOKUP(AC$1,main!$A$3:$H$102,5,FALSE)-VLOOKUP($A59,main!$A$3:$H$102,6,FALSE)&gt;=(VLOOKUP(VLOOKUP(AC$1,main!$A$3:$H$102,8,FALSE),main!$K$26:$M$29,2,FALSE)+VLOOKUP(VLOOKUP(AC$1,main!$A$3:$H$102,7,FALSE),main!$K$19:$O$22,MATCH(VLOOKUP($A59,main!$A$3:$H$102,8,FALSE),main!$K$18:$O$18,0))))),1,0)</f>
        <v>0</v>
      </c>
      <c r="AD59">
        <f>IF((AND(VLOOKUP(AD$1,main!$A$3:$H$102,5,FALSE)-VLOOKUP($A59,main!$A$3:$H$102,6,FALSE)&gt;=(VLOOKUP(VLOOKUP(AD$1,main!$A$3:$H$102,8,FALSE),main!$K$26:$M$29,2,FALSE)+VLOOKUP(VLOOKUP(AD$1,main!$A$3:$H$102,7,FALSE),main!$K$19:$O$22,MATCH(VLOOKUP($A59,main!$A$3:$H$102,8,FALSE),main!$K$18:$O$18,0))))),1,0)</f>
        <v>0</v>
      </c>
      <c r="AE59">
        <f>IF((AND(VLOOKUP(AE$1,main!$A$3:$H$102,5,FALSE)-VLOOKUP($A59,main!$A$3:$H$102,6,FALSE)&gt;=(VLOOKUP(VLOOKUP(AE$1,main!$A$3:$H$102,8,FALSE),main!$K$26:$M$29,2,FALSE)+VLOOKUP(VLOOKUP(AE$1,main!$A$3:$H$102,7,FALSE),main!$K$19:$O$22,MATCH(VLOOKUP($A59,main!$A$3:$H$102,8,FALSE),main!$K$18:$O$18,0))))),1,0)</f>
        <v>1</v>
      </c>
      <c r="AF59">
        <f>IF((AND(VLOOKUP(AF$1,main!$A$3:$H$102,5,FALSE)-VLOOKUP($A59,main!$A$3:$H$102,6,FALSE)&gt;=(VLOOKUP(VLOOKUP(AF$1,main!$A$3:$H$102,8,FALSE),main!$K$26:$M$29,2,FALSE)+VLOOKUP(VLOOKUP(AF$1,main!$A$3:$H$102,7,FALSE),main!$K$19:$O$22,MATCH(VLOOKUP($A59,main!$A$3:$H$102,8,FALSE),main!$K$18:$O$18,0))))),1,0)</f>
        <v>1</v>
      </c>
      <c r="AG59">
        <f>IF((AND(VLOOKUP(AG$1,main!$A$3:$H$102,5,FALSE)-VLOOKUP($A59,main!$A$3:$H$102,6,FALSE)&gt;=(VLOOKUP(VLOOKUP(AG$1,main!$A$3:$H$102,8,FALSE),main!$K$26:$M$29,2,FALSE)+VLOOKUP(VLOOKUP(AG$1,main!$A$3:$H$102,7,FALSE),main!$K$19:$O$22,MATCH(VLOOKUP($A59,main!$A$3:$H$102,8,FALSE),main!$K$18:$O$18,0))))),1,0)</f>
        <v>0</v>
      </c>
      <c r="AH59">
        <f>IF((AND(VLOOKUP(AH$1,main!$A$3:$H$102,5,FALSE)-VLOOKUP($A59,main!$A$3:$H$102,6,FALSE)&gt;=(VLOOKUP(VLOOKUP(AH$1,main!$A$3:$H$102,8,FALSE),main!$K$26:$M$29,2,FALSE)+VLOOKUP(VLOOKUP(AH$1,main!$A$3:$H$102,7,FALSE),main!$K$19:$O$22,MATCH(VLOOKUP($A59,main!$A$3:$H$102,8,FALSE),main!$K$18:$O$18,0))))),1,0)</f>
        <v>0</v>
      </c>
      <c r="AI59">
        <f>IF((AND(VLOOKUP(AI$1,main!$A$3:$H$102,5,FALSE)-VLOOKUP($A59,main!$A$3:$H$102,6,FALSE)&gt;=(VLOOKUP(VLOOKUP(AI$1,main!$A$3:$H$102,8,FALSE),main!$K$26:$M$29,2,FALSE)+VLOOKUP(VLOOKUP(AI$1,main!$A$3:$H$102,7,FALSE),main!$K$19:$O$22,MATCH(VLOOKUP($A59,main!$A$3:$H$102,8,FALSE),main!$K$18:$O$18,0))))),1,0)</f>
        <v>0</v>
      </c>
      <c r="AJ59">
        <f>IF((AND(VLOOKUP(AJ$1,main!$A$3:$H$102,5,FALSE)-VLOOKUP($A59,main!$A$3:$H$102,6,FALSE)&gt;=(VLOOKUP(VLOOKUP(AJ$1,main!$A$3:$H$102,8,FALSE),main!$K$26:$M$29,2,FALSE)+VLOOKUP(VLOOKUP(AJ$1,main!$A$3:$H$102,7,FALSE),main!$K$19:$O$22,MATCH(VLOOKUP($A59,main!$A$3:$H$102,8,FALSE),main!$K$18:$O$18,0))))),1,0)</f>
        <v>1</v>
      </c>
      <c r="AK59">
        <f>IF((AND(VLOOKUP(AK$1,main!$A$3:$H$102,5,FALSE)-VLOOKUP($A59,main!$A$3:$H$102,6,FALSE)&gt;=(VLOOKUP(VLOOKUP(AK$1,main!$A$3:$H$102,8,FALSE),main!$K$26:$M$29,2,FALSE)+VLOOKUP(VLOOKUP(AK$1,main!$A$3:$H$102,7,FALSE),main!$K$19:$O$22,MATCH(VLOOKUP($A59,main!$A$3:$H$102,8,FALSE),main!$K$18:$O$18,0))))),1,0)</f>
        <v>1</v>
      </c>
      <c r="AL59">
        <f>IF((AND(VLOOKUP(AL$1,main!$A$3:$H$102,5,FALSE)-VLOOKUP($A59,main!$A$3:$H$102,6,FALSE)&gt;=(VLOOKUP(VLOOKUP(AL$1,main!$A$3:$H$102,8,FALSE),main!$K$26:$M$29,2,FALSE)+VLOOKUP(VLOOKUP(AL$1,main!$A$3:$H$102,7,FALSE),main!$K$19:$O$22,MATCH(VLOOKUP($A59,main!$A$3:$H$102,8,FALSE),main!$K$18:$O$18,0))))),1,0)</f>
        <v>1</v>
      </c>
      <c r="AM59">
        <f>IF((AND(VLOOKUP(AM$1,main!$A$3:$H$102,5,FALSE)-VLOOKUP($A59,main!$A$3:$H$102,6,FALSE)&gt;=(VLOOKUP(VLOOKUP(AM$1,main!$A$3:$H$102,8,FALSE),main!$K$26:$M$29,2,FALSE)+VLOOKUP(VLOOKUP(AM$1,main!$A$3:$H$102,7,FALSE),main!$K$19:$O$22,MATCH(VLOOKUP($A59,main!$A$3:$H$102,8,FALSE),main!$K$18:$O$18,0))))),1,0)</f>
        <v>1</v>
      </c>
      <c r="AN59">
        <f>IF((AND(VLOOKUP(AN$1,main!$A$3:$H$102,5,FALSE)-VLOOKUP($A59,main!$A$3:$H$102,6,FALSE)&gt;=(VLOOKUP(VLOOKUP(AN$1,main!$A$3:$H$102,8,FALSE),main!$K$26:$M$29,2,FALSE)+VLOOKUP(VLOOKUP(AN$1,main!$A$3:$H$102,7,FALSE),main!$K$19:$O$22,MATCH(VLOOKUP($A59,main!$A$3:$H$102,8,FALSE),main!$K$18:$O$18,0))))),1,0)</f>
        <v>1</v>
      </c>
      <c r="AO59">
        <f>IF((AND(VLOOKUP(AO$1,main!$A$3:$H$102,5,FALSE)-VLOOKUP($A59,main!$A$3:$H$102,6,FALSE)&gt;=(VLOOKUP(VLOOKUP(AO$1,main!$A$3:$H$102,8,FALSE),main!$K$26:$M$29,2,FALSE)+VLOOKUP(VLOOKUP(AO$1,main!$A$3:$H$102,7,FALSE),main!$K$19:$O$22,MATCH(VLOOKUP($A59,main!$A$3:$H$102,8,FALSE),main!$K$18:$O$18,0))))),1,0)</f>
        <v>0</v>
      </c>
      <c r="AP59">
        <f>IF((AND(VLOOKUP(AP$1,main!$A$3:$H$102,5,FALSE)-VLOOKUP($A59,main!$A$3:$H$102,6,FALSE)&gt;=(VLOOKUP(VLOOKUP(AP$1,main!$A$3:$H$102,8,FALSE),main!$K$26:$M$29,2,FALSE)+VLOOKUP(VLOOKUP(AP$1,main!$A$3:$H$102,7,FALSE),main!$K$19:$O$22,MATCH(VLOOKUP($A59,main!$A$3:$H$102,8,FALSE),main!$K$18:$O$18,0))))),1,0)</f>
        <v>1</v>
      </c>
      <c r="AQ59">
        <f>IF((AND(VLOOKUP(AQ$1,main!$A$3:$H$102,5,FALSE)-VLOOKUP($A59,main!$A$3:$H$102,6,FALSE)&gt;=(VLOOKUP(VLOOKUP(AQ$1,main!$A$3:$H$102,8,FALSE),main!$K$26:$M$29,2,FALSE)+VLOOKUP(VLOOKUP(AQ$1,main!$A$3:$H$102,7,FALSE),main!$K$19:$O$22,MATCH(VLOOKUP($A59,main!$A$3:$H$102,8,FALSE),main!$K$18:$O$18,0))))),1,0)</f>
        <v>0</v>
      </c>
      <c r="AR59">
        <f>IF((AND(VLOOKUP(AR$1,main!$A$3:$H$102,5,FALSE)-VLOOKUP($A59,main!$A$3:$H$102,6,FALSE)&gt;=(VLOOKUP(VLOOKUP(AR$1,main!$A$3:$H$102,8,FALSE),main!$K$26:$M$29,2,FALSE)+VLOOKUP(VLOOKUP(AR$1,main!$A$3:$H$102,7,FALSE),main!$K$19:$O$22,MATCH(VLOOKUP($A59,main!$A$3:$H$102,8,FALSE),main!$K$18:$O$18,0))))),1,0)</f>
        <v>0</v>
      </c>
      <c r="AS59">
        <f>IF((AND(VLOOKUP(AS$1,main!$A$3:$H$102,5,FALSE)-VLOOKUP($A59,main!$A$3:$H$102,6,FALSE)&gt;=(VLOOKUP(VLOOKUP(AS$1,main!$A$3:$H$102,8,FALSE),main!$K$26:$M$29,2,FALSE)+VLOOKUP(VLOOKUP(AS$1,main!$A$3:$H$102,7,FALSE),main!$K$19:$O$22,MATCH(VLOOKUP($A59,main!$A$3:$H$102,8,FALSE),main!$K$18:$O$18,0))))),1,0)</f>
        <v>1</v>
      </c>
      <c r="AT59">
        <f>IF((AND(VLOOKUP(AT$1,main!$A$3:$H$102,5,FALSE)-VLOOKUP($A59,main!$A$3:$H$102,6,FALSE)&gt;=(VLOOKUP(VLOOKUP(AT$1,main!$A$3:$H$102,8,FALSE),main!$K$26:$M$29,2,FALSE)+VLOOKUP(VLOOKUP(AT$1,main!$A$3:$H$102,7,FALSE),main!$K$19:$O$22,MATCH(VLOOKUP($A59,main!$A$3:$H$102,8,FALSE),main!$K$18:$O$18,0))))),1,0)</f>
        <v>1</v>
      </c>
      <c r="AU59">
        <f>IF((AND(VLOOKUP(AU$1,main!$A$3:$H$102,5,FALSE)-VLOOKUP($A59,main!$A$3:$H$102,6,FALSE)&gt;=(VLOOKUP(VLOOKUP(AU$1,main!$A$3:$H$102,8,FALSE),main!$K$26:$M$29,2,FALSE)+VLOOKUP(VLOOKUP(AU$1,main!$A$3:$H$102,7,FALSE),main!$K$19:$O$22,MATCH(VLOOKUP($A59,main!$A$3:$H$102,8,FALSE),main!$K$18:$O$18,0))))),1,0)</f>
        <v>0</v>
      </c>
      <c r="AV59">
        <f>IF((AND(VLOOKUP(AV$1,main!$A$3:$H$102,5,FALSE)-VLOOKUP($A59,main!$A$3:$H$102,6,FALSE)&gt;=(VLOOKUP(VLOOKUP(AV$1,main!$A$3:$H$102,8,FALSE),main!$K$26:$M$29,2,FALSE)+VLOOKUP(VLOOKUP(AV$1,main!$A$3:$H$102,7,FALSE),main!$K$19:$O$22,MATCH(VLOOKUP($A59,main!$A$3:$H$102,8,FALSE),main!$K$18:$O$18,0))))),1,0)</f>
        <v>0</v>
      </c>
      <c r="AW59">
        <f>IF((AND(VLOOKUP(AW$1,main!$A$3:$H$102,5,FALSE)-VLOOKUP($A59,main!$A$3:$H$102,6,FALSE)&gt;=(VLOOKUP(VLOOKUP(AW$1,main!$A$3:$H$102,8,FALSE),main!$K$26:$M$29,2,FALSE)+VLOOKUP(VLOOKUP(AW$1,main!$A$3:$H$102,7,FALSE),main!$K$19:$O$22,MATCH(VLOOKUP($A59,main!$A$3:$H$102,8,FALSE),main!$K$18:$O$18,0))))),1,0)</f>
        <v>1</v>
      </c>
      <c r="AX59">
        <f>IF((AND(VLOOKUP(AX$1,main!$A$3:$H$102,5,FALSE)-VLOOKUP($A59,main!$A$3:$H$102,6,FALSE)&gt;=(VLOOKUP(VLOOKUP(AX$1,main!$A$3:$H$102,8,FALSE),main!$K$26:$M$29,2,FALSE)+VLOOKUP(VLOOKUP(AX$1,main!$A$3:$H$102,7,FALSE),main!$K$19:$O$22,MATCH(VLOOKUP($A59,main!$A$3:$H$102,8,FALSE),main!$K$18:$O$18,0))))),1,0)</f>
        <v>0</v>
      </c>
      <c r="AY59">
        <f>IF((AND(VLOOKUP(AY$1,main!$A$3:$H$102,5,FALSE)-VLOOKUP($A59,main!$A$3:$H$102,6,FALSE)&gt;=(VLOOKUP(VLOOKUP(AY$1,main!$A$3:$H$102,8,FALSE),main!$K$26:$M$29,2,FALSE)+VLOOKUP(VLOOKUP(AY$1,main!$A$3:$H$102,7,FALSE),main!$K$19:$O$22,MATCH(VLOOKUP($A59,main!$A$3:$H$102,8,FALSE),main!$K$18:$O$18,0))))),1,0)</f>
        <v>0</v>
      </c>
      <c r="AZ59">
        <f>IF((AND(VLOOKUP(AZ$1,main!$A$3:$H$102,5,FALSE)-VLOOKUP($A59,main!$A$3:$H$102,6,FALSE)&gt;=(VLOOKUP(VLOOKUP(AZ$1,main!$A$3:$H$102,8,FALSE),main!$K$26:$M$29,2,FALSE)+VLOOKUP(VLOOKUP(AZ$1,main!$A$3:$H$102,7,FALSE),main!$K$19:$O$22,MATCH(VLOOKUP($A59,main!$A$3:$H$102,8,FALSE),main!$K$18:$O$18,0))))),1,0)</f>
        <v>0</v>
      </c>
      <c r="BA59">
        <f>IF((AND(VLOOKUP(BA$1,main!$A$3:$H$102,5,FALSE)-VLOOKUP($A59,main!$A$3:$H$102,6,FALSE)&gt;=(VLOOKUP(VLOOKUP(BA$1,main!$A$3:$H$102,8,FALSE),main!$K$26:$M$29,2,FALSE)+VLOOKUP(VLOOKUP(BA$1,main!$A$3:$H$102,7,FALSE),main!$K$19:$O$22,MATCH(VLOOKUP($A59,main!$A$3:$H$102,8,FALSE),main!$K$18:$O$18,0))))),1,0)</f>
        <v>0</v>
      </c>
      <c r="BB59">
        <f>IF((AND(VLOOKUP(BB$1,main!$A$3:$H$102,5,FALSE)-VLOOKUP($A59,main!$A$3:$H$102,6,FALSE)&gt;=(VLOOKUP(VLOOKUP(BB$1,main!$A$3:$H$102,8,FALSE),main!$K$26:$M$29,2,FALSE)+VLOOKUP(VLOOKUP(BB$1,main!$A$3:$H$102,7,FALSE),main!$K$19:$O$22,MATCH(VLOOKUP($A59,main!$A$3:$H$102,8,FALSE),main!$K$18:$O$18,0))))),1,0)</f>
        <v>0</v>
      </c>
      <c r="BC59">
        <f>IF((AND(VLOOKUP(BC$1,main!$A$3:$H$102,5,FALSE)-VLOOKUP($A59,main!$A$3:$H$102,6,FALSE)&gt;=(VLOOKUP(VLOOKUP(BC$1,main!$A$3:$H$102,8,FALSE),main!$K$26:$M$29,2,FALSE)+VLOOKUP(VLOOKUP(BC$1,main!$A$3:$H$102,7,FALSE),main!$K$19:$O$22,MATCH(VLOOKUP($A59,main!$A$3:$H$102,8,FALSE),main!$K$18:$O$18,0))))),1,0)</f>
        <v>1</v>
      </c>
      <c r="BD59">
        <f>IF((AND(VLOOKUP(BD$1,main!$A$3:$H$102,5,FALSE)-VLOOKUP($A59,main!$A$3:$H$102,6,FALSE)&gt;=(VLOOKUP(VLOOKUP(BD$1,main!$A$3:$H$102,8,FALSE),main!$K$26:$M$29,2,FALSE)+VLOOKUP(VLOOKUP(BD$1,main!$A$3:$H$102,7,FALSE),main!$K$19:$O$22,MATCH(VLOOKUP($A59,main!$A$3:$H$102,8,FALSE),main!$K$18:$O$18,0))))),1,0)</f>
        <v>1</v>
      </c>
      <c r="BE59">
        <f>IF((AND(VLOOKUP(BE$1,main!$A$3:$H$102,5,FALSE)-VLOOKUP($A59,main!$A$3:$H$102,6,FALSE)&gt;=(VLOOKUP(VLOOKUP(BE$1,main!$A$3:$H$102,8,FALSE),main!$K$26:$M$29,2,FALSE)+VLOOKUP(VLOOKUP(BE$1,main!$A$3:$H$102,7,FALSE),main!$K$19:$O$22,MATCH(VLOOKUP($A59,main!$A$3:$H$102,8,FALSE),main!$K$18:$O$18,0))))),1,0)</f>
        <v>1</v>
      </c>
      <c r="BF59">
        <f>IF((AND(VLOOKUP(BF$1,main!$A$3:$H$102,5,FALSE)-VLOOKUP($A59,main!$A$3:$H$102,6,FALSE)&gt;=(VLOOKUP(VLOOKUP(BF$1,main!$A$3:$H$102,8,FALSE),main!$K$26:$M$29,2,FALSE)+VLOOKUP(VLOOKUP(BF$1,main!$A$3:$H$102,7,FALSE),main!$K$19:$O$22,MATCH(VLOOKUP($A59,main!$A$3:$H$102,8,FALSE),main!$K$18:$O$18,0))))),1,0)</f>
        <v>0</v>
      </c>
      <c r="BG59">
        <f>IF((AND(VLOOKUP(BG$1,main!$A$3:$H$102,5,FALSE)-VLOOKUP($A59,main!$A$3:$H$102,6,FALSE)&gt;=(VLOOKUP(VLOOKUP(BG$1,main!$A$3:$H$102,8,FALSE),main!$K$26:$M$29,2,FALSE)+VLOOKUP(VLOOKUP(BG$1,main!$A$3:$H$102,7,FALSE),main!$K$19:$O$22,MATCH(VLOOKUP($A59,main!$A$3:$H$102,8,FALSE),main!$K$18:$O$18,0))))),1,0)</f>
        <v>0</v>
      </c>
      <c r="BH59">
        <f>IF((AND(VLOOKUP(BH$1,main!$A$3:$H$102,5,FALSE)-VLOOKUP($A59,main!$A$3:$H$102,6,FALSE)&gt;=(VLOOKUP(VLOOKUP(BH$1,main!$A$3:$H$102,8,FALSE),main!$K$26:$M$29,2,FALSE)+VLOOKUP(VLOOKUP(BH$1,main!$A$3:$H$102,7,FALSE),main!$K$19:$O$22,MATCH(VLOOKUP($A59,main!$A$3:$H$102,8,FALSE),main!$K$18:$O$18,0))))),1,0)</f>
        <v>1</v>
      </c>
      <c r="BI59">
        <f>IF((AND(VLOOKUP(BI$1,main!$A$3:$H$102,5,FALSE)-VLOOKUP($A59,main!$A$3:$H$102,6,FALSE)&gt;=(VLOOKUP(VLOOKUP(BI$1,main!$A$3:$H$102,8,FALSE),main!$K$26:$M$29,2,FALSE)+VLOOKUP(VLOOKUP(BI$1,main!$A$3:$H$102,7,FALSE),main!$K$19:$O$22,MATCH(VLOOKUP($A59,main!$A$3:$H$102,8,FALSE),main!$K$18:$O$18,0))))),1,0)</f>
        <v>1</v>
      </c>
      <c r="BJ59">
        <f>IF((AND(VLOOKUP(BJ$1,main!$A$3:$H$102,5,FALSE)-VLOOKUP($A59,main!$A$3:$H$102,6,FALSE)&gt;=(VLOOKUP(VLOOKUP(BJ$1,main!$A$3:$H$102,8,FALSE),main!$K$26:$M$29,2,FALSE)+VLOOKUP(VLOOKUP(BJ$1,main!$A$3:$H$102,7,FALSE),main!$K$19:$O$22,MATCH(VLOOKUP($A59,main!$A$3:$H$102,8,FALSE),main!$K$18:$O$18,0))))),1,0)</f>
        <v>1</v>
      </c>
      <c r="BK59">
        <f>IF((AND(VLOOKUP(BK$1,main!$A$3:$H$102,5,FALSE)-VLOOKUP($A59,main!$A$3:$H$102,6,FALSE)&gt;=(VLOOKUP(VLOOKUP(BK$1,main!$A$3:$H$102,8,FALSE),main!$K$26:$M$29,2,FALSE)+VLOOKUP(VLOOKUP(BK$1,main!$A$3:$H$102,7,FALSE),main!$K$19:$O$22,MATCH(VLOOKUP($A59,main!$A$3:$H$102,8,FALSE),main!$K$18:$O$18,0))))),1,0)</f>
        <v>0</v>
      </c>
      <c r="BL59">
        <f>IF((AND(VLOOKUP(BL$1,main!$A$3:$H$102,5,FALSE)-VLOOKUP($A59,main!$A$3:$H$102,6,FALSE)&gt;=(VLOOKUP(VLOOKUP(BL$1,main!$A$3:$H$102,8,FALSE),main!$K$26:$M$29,2,FALSE)+VLOOKUP(VLOOKUP(BL$1,main!$A$3:$H$102,7,FALSE),main!$K$19:$O$22,MATCH(VLOOKUP($A59,main!$A$3:$H$102,8,FALSE),main!$K$18:$O$18,0))))),1,0)</f>
        <v>0</v>
      </c>
      <c r="BM59">
        <f>IF((AND(VLOOKUP(BM$1,main!$A$3:$H$102,5,FALSE)-VLOOKUP($A59,main!$A$3:$H$102,6,FALSE)&gt;=(VLOOKUP(VLOOKUP(BM$1,main!$A$3:$H$102,8,FALSE),main!$K$26:$M$29,2,FALSE)+VLOOKUP(VLOOKUP(BM$1,main!$A$3:$H$102,7,FALSE),main!$K$19:$O$22,MATCH(VLOOKUP($A59,main!$A$3:$H$102,8,FALSE),main!$K$18:$O$18,0))))),1,0)</f>
        <v>0</v>
      </c>
      <c r="BN59">
        <f>IF((AND(VLOOKUP(BN$1,main!$A$3:$H$102,5,FALSE)-VLOOKUP($A59,main!$A$3:$H$102,6,FALSE)&gt;=(VLOOKUP(VLOOKUP(BN$1,main!$A$3:$H$102,8,FALSE),main!$K$26:$M$29,2,FALSE)+VLOOKUP(VLOOKUP(BN$1,main!$A$3:$H$102,7,FALSE),main!$K$19:$O$22,MATCH(VLOOKUP($A59,main!$A$3:$H$102,8,FALSE),main!$K$18:$O$18,0))))),1,0)</f>
        <v>1</v>
      </c>
      <c r="BO59">
        <f>IF((AND(VLOOKUP(BO$1,main!$A$3:$H$102,5,FALSE)-VLOOKUP($A59,main!$A$3:$H$102,6,FALSE)&gt;=(VLOOKUP(VLOOKUP(BO$1,main!$A$3:$H$102,8,FALSE),main!$K$26:$M$29,2,FALSE)+VLOOKUP(VLOOKUP(BO$1,main!$A$3:$H$102,7,FALSE),main!$K$19:$O$22,MATCH(VLOOKUP($A59,main!$A$3:$H$102,8,FALSE),main!$K$18:$O$18,0))))),1,0)</f>
        <v>0</v>
      </c>
      <c r="BP59">
        <f>IF((AND(VLOOKUP(BP$1,main!$A$3:$H$102,5,FALSE)-VLOOKUP($A59,main!$A$3:$H$102,6,FALSE)&gt;=(VLOOKUP(VLOOKUP(BP$1,main!$A$3:$H$102,8,FALSE),main!$K$26:$M$29,2,FALSE)+VLOOKUP(VLOOKUP(BP$1,main!$A$3:$H$102,7,FALSE),main!$K$19:$O$22,MATCH(VLOOKUP($A59,main!$A$3:$H$102,8,FALSE),main!$K$18:$O$18,0))))),1,0)</f>
        <v>0</v>
      </c>
      <c r="BQ59">
        <f>IF((AND(VLOOKUP(BQ$1,main!$A$3:$H$102,5,FALSE)-VLOOKUP($A59,main!$A$3:$H$102,6,FALSE)&gt;=(VLOOKUP(VLOOKUP(BQ$1,main!$A$3:$H$102,8,FALSE),main!$K$26:$M$29,2,FALSE)+VLOOKUP(VLOOKUP(BQ$1,main!$A$3:$H$102,7,FALSE),main!$K$19:$O$22,MATCH(VLOOKUP($A59,main!$A$3:$H$102,8,FALSE),main!$K$18:$O$18,0))))),1,0)</f>
        <v>0</v>
      </c>
      <c r="BR59">
        <f>IF((AND(VLOOKUP(BR$1,main!$A$3:$H$102,5,FALSE)-VLOOKUP($A59,main!$A$3:$H$102,6,FALSE)&gt;=(VLOOKUP(VLOOKUP(BR$1,main!$A$3:$H$102,8,FALSE),main!$K$26:$M$29,2,FALSE)+VLOOKUP(VLOOKUP(BR$1,main!$A$3:$H$102,7,FALSE),main!$K$19:$O$22,MATCH(VLOOKUP($A59,main!$A$3:$H$102,8,FALSE),main!$K$18:$O$18,0))))),1,0)</f>
        <v>1</v>
      </c>
      <c r="BS59">
        <f>IF((AND(VLOOKUP(BS$1,main!$A$3:$H$102,5,FALSE)-VLOOKUP($A59,main!$A$3:$H$102,6,FALSE)&gt;=(VLOOKUP(VLOOKUP(BS$1,main!$A$3:$H$102,8,FALSE),main!$K$26:$M$29,2,FALSE)+VLOOKUP(VLOOKUP(BS$1,main!$A$3:$H$102,7,FALSE),main!$K$19:$O$22,MATCH(VLOOKUP($A59,main!$A$3:$H$102,8,FALSE),main!$K$18:$O$18,0))))),1,0)</f>
        <v>1</v>
      </c>
      <c r="BT59">
        <f>IF((AND(VLOOKUP(BT$1,main!$A$3:$H$102,5,FALSE)-VLOOKUP($A59,main!$A$3:$H$102,6,FALSE)&gt;=(VLOOKUP(VLOOKUP(BT$1,main!$A$3:$H$102,8,FALSE),main!$K$26:$M$29,2,FALSE)+VLOOKUP(VLOOKUP(BT$1,main!$A$3:$H$102,7,FALSE),main!$K$19:$O$22,MATCH(VLOOKUP($A59,main!$A$3:$H$102,8,FALSE),main!$K$18:$O$18,0))))),1,0)</f>
        <v>0</v>
      </c>
      <c r="BU59">
        <f>IF((AND(VLOOKUP(BU$1,main!$A$3:$H$102,5,FALSE)-VLOOKUP($A59,main!$A$3:$H$102,6,FALSE)&gt;=(VLOOKUP(VLOOKUP(BU$1,main!$A$3:$H$102,8,FALSE),main!$K$26:$M$29,2,FALSE)+VLOOKUP(VLOOKUP(BU$1,main!$A$3:$H$102,7,FALSE),main!$K$19:$O$22,MATCH(VLOOKUP($A59,main!$A$3:$H$102,8,FALSE),main!$K$18:$O$18,0))))),1,0)</f>
        <v>0</v>
      </c>
      <c r="BV59">
        <f>IF((AND(VLOOKUP(BV$1,main!$A$3:$H$102,5,FALSE)-VLOOKUP($A59,main!$A$3:$H$102,6,FALSE)&gt;=(VLOOKUP(VLOOKUP(BV$1,main!$A$3:$H$102,8,FALSE),main!$K$26:$M$29,2,FALSE)+VLOOKUP(VLOOKUP(BV$1,main!$A$3:$H$102,7,FALSE),main!$K$19:$O$22,MATCH(VLOOKUP($A59,main!$A$3:$H$102,8,FALSE),main!$K$18:$O$18,0))))),1,0)</f>
        <v>0</v>
      </c>
      <c r="BW59">
        <f>IF((AND(VLOOKUP(BW$1,main!$A$3:$H$102,5,FALSE)-VLOOKUP($A59,main!$A$3:$H$102,6,FALSE)&gt;=(VLOOKUP(VLOOKUP(BW$1,main!$A$3:$H$102,8,FALSE),main!$K$26:$M$29,2,FALSE)+VLOOKUP(VLOOKUP(BW$1,main!$A$3:$H$102,7,FALSE),main!$K$19:$O$22,MATCH(VLOOKUP($A59,main!$A$3:$H$102,8,FALSE),main!$K$18:$O$18,0))))),1,0)</f>
        <v>0</v>
      </c>
      <c r="BX59">
        <f>IF((AND(VLOOKUP(BX$1,main!$A$3:$H$102,5,FALSE)-VLOOKUP($A59,main!$A$3:$H$102,6,FALSE)&gt;=(VLOOKUP(VLOOKUP(BX$1,main!$A$3:$H$102,8,FALSE),main!$K$26:$M$29,2,FALSE)+VLOOKUP(VLOOKUP(BX$1,main!$A$3:$H$102,7,FALSE),main!$K$19:$O$22,MATCH(VLOOKUP($A59,main!$A$3:$H$102,8,FALSE),main!$K$18:$O$18,0))))),1,0)</f>
        <v>0</v>
      </c>
      <c r="BY59">
        <f>IF((AND(VLOOKUP(BY$1,main!$A$3:$H$102,5,FALSE)-VLOOKUP($A59,main!$A$3:$H$102,6,FALSE)&gt;=(VLOOKUP(VLOOKUP(BY$1,main!$A$3:$H$102,8,FALSE),main!$K$26:$M$29,2,FALSE)+VLOOKUP(VLOOKUP(BY$1,main!$A$3:$H$102,7,FALSE),main!$K$19:$O$22,MATCH(VLOOKUP($A59,main!$A$3:$H$102,8,FALSE),main!$K$18:$O$18,0))))),1,0)</f>
        <v>1</v>
      </c>
      <c r="BZ59">
        <f>IF((AND(VLOOKUP(BZ$1,main!$A$3:$H$102,5,FALSE)-VLOOKUP($A59,main!$A$3:$H$102,6,FALSE)&gt;=(VLOOKUP(VLOOKUP(BZ$1,main!$A$3:$H$102,8,FALSE),main!$K$26:$M$29,2,FALSE)+VLOOKUP(VLOOKUP(BZ$1,main!$A$3:$H$102,7,FALSE),main!$K$19:$O$22,MATCH(VLOOKUP($A59,main!$A$3:$H$102,8,FALSE),main!$K$18:$O$18,0))))),1,0)</f>
        <v>0</v>
      </c>
      <c r="CA59">
        <f>IF((AND(VLOOKUP(CA$1,main!$A$3:$H$102,5,FALSE)-VLOOKUP($A59,main!$A$3:$H$102,6,FALSE)&gt;=(VLOOKUP(VLOOKUP(CA$1,main!$A$3:$H$102,8,FALSE),main!$K$26:$M$29,2,FALSE)+VLOOKUP(VLOOKUP(CA$1,main!$A$3:$H$102,7,FALSE),main!$K$19:$O$22,MATCH(VLOOKUP($A59,main!$A$3:$H$102,8,FALSE),main!$K$18:$O$18,0))))),1,0)</f>
        <v>0</v>
      </c>
      <c r="CB59">
        <f>IF((AND(VLOOKUP(CB$1,main!$A$3:$H$102,5,FALSE)-VLOOKUP($A59,main!$A$3:$H$102,6,FALSE)&gt;=(VLOOKUP(VLOOKUP(CB$1,main!$A$3:$H$102,8,FALSE),main!$K$26:$M$29,2,FALSE)+VLOOKUP(VLOOKUP(CB$1,main!$A$3:$H$102,7,FALSE),main!$K$19:$O$22,MATCH(VLOOKUP($A59,main!$A$3:$H$102,8,FALSE),main!$K$18:$O$18,0))))),1,0)</f>
        <v>1</v>
      </c>
      <c r="CC59">
        <f>IF((AND(VLOOKUP(CC$1,main!$A$3:$H$102,5,FALSE)-VLOOKUP($A59,main!$A$3:$H$102,6,FALSE)&gt;=(VLOOKUP(VLOOKUP(CC$1,main!$A$3:$H$102,8,FALSE),main!$K$26:$M$29,2,FALSE)+VLOOKUP(VLOOKUP(CC$1,main!$A$3:$H$102,7,FALSE),main!$K$19:$O$22,MATCH(VLOOKUP($A59,main!$A$3:$H$102,8,FALSE),main!$K$18:$O$18,0))))),1,0)</f>
        <v>1</v>
      </c>
      <c r="CD59">
        <f>IF((AND(VLOOKUP(CD$1,main!$A$3:$H$102,5,FALSE)-VLOOKUP($A59,main!$A$3:$H$102,6,FALSE)&gt;=(VLOOKUP(VLOOKUP(CD$1,main!$A$3:$H$102,8,FALSE),main!$K$26:$M$29,2,FALSE)+VLOOKUP(VLOOKUP(CD$1,main!$A$3:$H$102,7,FALSE),main!$K$19:$O$22,MATCH(VLOOKUP($A59,main!$A$3:$H$102,8,FALSE),main!$K$18:$O$18,0))))),1,0)</f>
        <v>1</v>
      </c>
      <c r="CE59">
        <f>IF((AND(VLOOKUP(CE$1,main!$A$3:$H$102,5,FALSE)-VLOOKUP($A59,main!$A$3:$H$102,6,FALSE)&gt;=(VLOOKUP(VLOOKUP(CE$1,main!$A$3:$H$102,8,FALSE),main!$K$26:$M$29,2,FALSE)+VLOOKUP(VLOOKUP(CE$1,main!$A$3:$H$102,7,FALSE),main!$K$19:$O$22,MATCH(VLOOKUP($A59,main!$A$3:$H$102,8,FALSE),main!$K$18:$O$18,0))))),1,0)</f>
        <v>0</v>
      </c>
      <c r="CF59">
        <f>IF((AND(VLOOKUP(CF$1,main!$A$3:$H$102,5,FALSE)-VLOOKUP($A59,main!$A$3:$H$102,6,FALSE)&gt;=(VLOOKUP(VLOOKUP(CF$1,main!$A$3:$H$102,8,FALSE),main!$K$26:$M$29,2,FALSE)+VLOOKUP(VLOOKUP(CF$1,main!$A$3:$H$102,7,FALSE),main!$K$19:$O$22,MATCH(VLOOKUP($A59,main!$A$3:$H$102,8,FALSE),main!$K$18:$O$18,0))))),1,0)</f>
        <v>0</v>
      </c>
      <c r="CG59">
        <f>IF((AND(VLOOKUP(CG$1,main!$A$3:$H$102,5,FALSE)-VLOOKUP($A59,main!$A$3:$H$102,6,FALSE)&gt;=(VLOOKUP(VLOOKUP(CG$1,main!$A$3:$H$102,8,FALSE),main!$K$26:$M$29,2,FALSE)+VLOOKUP(VLOOKUP(CG$1,main!$A$3:$H$102,7,FALSE),main!$K$19:$O$22,MATCH(VLOOKUP($A59,main!$A$3:$H$102,8,FALSE),main!$K$18:$O$18,0))))),1,0)</f>
        <v>1</v>
      </c>
      <c r="CH59">
        <f>IF((AND(VLOOKUP(CH$1,main!$A$3:$H$102,5,FALSE)-VLOOKUP($A59,main!$A$3:$H$102,6,FALSE)&gt;=(VLOOKUP(VLOOKUP(CH$1,main!$A$3:$H$102,8,FALSE),main!$K$26:$M$29,2,FALSE)+VLOOKUP(VLOOKUP(CH$1,main!$A$3:$H$102,7,FALSE),main!$K$19:$O$22,MATCH(VLOOKUP($A59,main!$A$3:$H$102,8,FALSE),main!$K$18:$O$18,0))))),1,0)</f>
        <v>1</v>
      </c>
      <c r="CI59">
        <f>IF((AND(VLOOKUP(CI$1,main!$A$3:$H$102,5,FALSE)-VLOOKUP($A59,main!$A$3:$H$102,6,FALSE)&gt;=(VLOOKUP(VLOOKUP(CI$1,main!$A$3:$H$102,8,FALSE),main!$K$26:$M$29,2,FALSE)+VLOOKUP(VLOOKUP(CI$1,main!$A$3:$H$102,7,FALSE),main!$K$19:$O$22,MATCH(VLOOKUP($A59,main!$A$3:$H$102,8,FALSE),main!$K$18:$O$18,0))))),1,0)</f>
        <v>1</v>
      </c>
      <c r="CJ59">
        <f>IF((AND(VLOOKUP(CJ$1,main!$A$3:$H$102,5,FALSE)-VLOOKUP($A59,main!$A$3:$H$102,6,FALSE)&gt;=(VLOOKUP(VLOOKUP(CJ$1,main!$A$3:$H$102,8,FALSE),main!$K$26:$M$29,2,FALSE)+VLOOKUP(VLOOKUP(CJ$1,main!$A$3:$H$102,7,FALSE),main!$K$19:$O$22,MATCH(VLOOKUP($A59,main!$A$3:$H$102,8,FALSE),main!$K$18:$O$18,0))))),1,0)</f>
        <v>0</v>
      </c>
      <c r="CK59">
        <f>IF((AND(VLOOKUP(CK$1,main!$A$3:$H$102,5,FALSE)-VLOOKUP($A59,main!$A$3:$H$102,6,FALSE)&gt;=(VLOOKUP(VLOOKUP(CK$1,main!$A$3:$H$102,8,FALSE),main!$K$26:$M$29,2,FALSE)+VLOOKUP(VLOOKUP(CK$1,main!$A$3:$H$102,7,FALSE),main!$K$19:$O$22,MATCH(VLOOKUP($A59,main!$A$3:$H$102,8,FALSE),main!$K$18:$O$18,0))))),1,0)</f>
        <v>0</v>
      </c>
      <c r="CL59">
        <f>IF((AND(VLOOKUP(CL$1,main!$A$3:$H$102,5,FALSE)-VLOOKUP($A59,main!$A$3:$H$102,6,FALSE)&gt;=(VLOOKUP(VLOOKUP(CL$1,main!$A$3:$H$102,8,FALSE),main!$K$26:$M$29,2,FALSE)+VLOOKUP(VLOOKUP(CL$1,main!$A$3:$H$102,7,FALSE),main!$K$19:$O$22,MATCH(VLOOKUP($A59,main!$A$3:$H$102,8,FALSE),main!$K$18:$O$18,0))))),1,0)</f>
        <v>1</v>
      </c>
      <c r="CM59">
        <f>IF((AND(VLOOKUP(CM$1,main!$A$3:$H$102,5,FALSE)-VLOOKUP($A59,main!$A$3:$H$102,6,FALSE)&gt;=(VLOOKUP(VLOOKUP(CM$1,main!$A$3:$H$102,8,FALSE),main!$K$26:$M$29,2,FALSE)+VLOOKUP(VLOOKUP(CM$1,main!$A$3:$H$102,7,FALSE),main!$K$19:$O$22,MATCH(VLOOKUP($A59,main!$A$3:$H$102,8,FALSE),main!$K$18:$O$18,0))))),1,0)</f>
        <v>1</v>
      </c>
      <c r="CN59">
        <f>IF((AND(VLOOKUP(CN$1,main!$A$3:$H$102,5,FALSE)-VLOOKUP($A59,main!$A$3:$H$102,6,FALSE)&gt;=(VLOOKUP(VLOOKUP(CN$1,main!$A$3:$H$102,8,FALSE),main!$K$26:$M$29,2,FALSE)+VLOOKUP(VLOOKUP(CN$1,main!$A$3:$H$102,7,FALSE),main!$K$19:$O$22,MATCH(VLOOKUP($A59,main!$A$3:$H$102,8,FALSE),main!$K$18:$O$18,0))))),1,0)</f>
        <v>1</v>
      </c>
      <c r="CO59">
        <f>IF((AND(VLOOKUP(CO$1,main!$A$3:$H$102,5,FALSE)-VLOOKUP($A59,main!$A$3:$H$102,6,FALSE)&gt;=(VLOOKUP(VLOOKUP(CO$1,main!$A$3:$H$102,8,FALSE),main!$K$26:$M$29,2,FALSE)+VLOOKUP(VLOOKUP(CO$1,main!$A$3:$H$102,7,FALSE),main!$K$19:$O$22,MATCH(VLOOKUP($A59,main!$A$3:$H$102,8,FALSE),main!$K$18:$O$18,0))))),1,0)</f>
        <v>0</v>
      </c>
      <c r="CP59">
        <f>IF((AND(VLOOKUP(CP$1,main!$A$3:$H$102,5,FALSE)-VLOOKUP($A59,main!$A$3:$H$102,6,FALSE)&gt;=(VLOOKUP(VLOOKUP(CP$1,main!$A$3:$H$102,8,FALSE),main!$K$26:$M$29,2,FALSE)+VLOOKUP(VLOOKUP(CP$1,main!$A$3:$H$102,7,FALSE),main!$K$19:$O$22,MATCH(VLOOKUP($A59,main!$A$3:$H$102,8,FALSE),main!$K$18:$O$18,0))))),1,0)</f>
        <v>0</v>
      </c>
      <c r="CQ59">
        <f>IF((AND(VLOOKUP(CQ$1,main!$A$3:$H$102,5,FALSE)-VLOOKUP($A59,main!$A$3:$H$102,6,FALSE)&gt;=(VLOOKUP(VLOOKUP(CQ$1,main!$A$3:$H$102,8,FALSE),main!$K$26:$M$29,2,FALSE)+VLOOKUP(VLOOKUP(CQ$1,main!$A$3:$H$102,7,FALSE),main!$K$19:$O$22,MATCH(VLOOKUP($A59,main!$A$3:$H$102,8,FALSE),main!$K$18:$O$18,0))))),1,0)</f>
        <v>0</v>
      </c>
      <c r="CR59">
        <f>IF((AND(VLOOKUP(CR$1,main!$A$3:$H$102,5,FALSE)-VLOOKUP($A59,main!$A$3:$H$102,6,FALSE)&gt;=(VLOOKUP(VLOOKUP(CR$1,main!$A$3:$H$102,8,FALSE),main!$K$26:$M$29,2,FALSE)+VLOOKUP(VLOOKUP(CR$1,main!$A$3:$H$102,7,FALSE),main!$K$19:$O$22,MATCH(VLOOKUP($A59,main!$A$3:$H$102,8,FALSE),main!$K$18:$O$18,0))))),1,0)</f>
        <v>1</v>
      </c>
      <c r="CS59">
        <f>IF((AND(VLOOKUP(CS$1,main!$A$3:$H$102,5,FALSE)-VLOOKUP($A59,main!$A$3:$H$102,6,FALSE)&gt;=(VLOOKUP(VLOOKUP(CS$1,main!$A$3:$H$102,8,FALSE),main!$K$26:$M$29,2,FALSE)+VLOOKUP(VLOOKUP(CS$1,main!$A$3:$H$102,7,FALSE),main!$K$19:$O$22,MATCH(VLOOKUP($A59,main!$A$3:$H$102,8,FALSE),main!$K$18:$O$18,0))))),1,0)</f>
        <v>1</v>
      </c>
      <c r="CT59">
        <f>IF((AND(VLOOKUP(CT$1,main!$A$3:$H$102,5,FALSE)-VLOOKUP($A59,main!$A$3:$H$102,6,FALSE)&gt;=(VLOOKUP(VLOOKUP(CT$1,main!$A$3:$H$102,8,FALSE),main!$K$26:$M$29,2,FALSE)+VLOOKUP(VLOOKUP(CT$1,main!$A$3:$H$102,7,FALSE),main!$K$19:$O$22,MATCH(VLOOKUP($A59,main!$A$3:$H$102,8,FALSE),main!$K$18:$O$18,0))))),1,0)</f>
        <v>0</v>
      </c>
      <c r="CU59">
        <f>IF((AND(VLOOKUP(CU$1,main!$A$3:$H$102,5,FALSE)-VLOOKUP($A59,main!$A$3:$H$102,6,FALSE)&gt;=(VLOOKUP(VLOOKUP(CU$1,main!$A$3:$H$102,8,FALSE),main!$K$26:$M$29,2,FALSE)+VLOOKUP(VLOOKUP(CU$1,main!$A$3:$H$102,7,FALSE),main!$K$19:$O$22,MATCH(VLOOKUP($A59,main!$A$3:$H$102,8,FALSE),main!$K$18:$O$18,0))))),1,0)</f>
        <v>0</v>
      </c>
      <c r="CV59">
        <f>IF((AND(VLOOKUP(CV$1,main!$A$3:$H$102,5,FALSE)-VLOOKUP($A59,main!$A$3:$H$102,6,FALSE)&gt;=(VLOOKUP(VLOOKUP(CV$1,main!$A$3:$H$102,8,FALSE),main!$K$26:$M$29,2,FALSE)+VLOOKUP(VLOOKUP(CV$1,main!$A$3:$H$102,7,FALSE),main!$K$19:$O$22,MATCH(VLOOKUP($A59,main!$A$3:$H$102,8,FALSE),main!$K$18:$O$18,0))))),1,0)</f>
        <v>0</v>
      </c>
      <c r="CW59">
        <f>IF((AND(VLOOKUP(CW$1,main!$A$3:$H$102,5,FALSE)-VLOOKUP($A59,main!$A$3:$H$102,6,FALSE)&gt;=(VLOOKUP(VLOOKUP(CW$1,main!$A$3:$H$102,8,FALSE),main!$K$26:$M$29,2,FALSE)+VLOOKUP(VLOOKUP(CW$1,main!$A$3:$H$102,7,FALSE),main!$K$19:$O$22,MATCH(VLOOKUP($A59,main!$A$3:$H$102,8,FALSE),main!$K$18:$O$18,0))))),1,0)</f>
        <v>1</v>
      </c>
      <c r="CX59">
        <f>IF((AND(VLOOKUP(CX$1,main!$A$3:$H$102,5,FALSE)-VLOOKUP($A59,main!$A$3:$H$102,6,FALSE)&gt;=(VLOOKUP(VLOOKUP(CX$1,main!$A$3:$H$102,8,FALSE),main!$K$26:$M$29,2,FALSE)+VLOOKUP(VLOOKUP(CX$1,main!$A$3:$H$102,7,FALSE),main!$K$19:$O$22,MATCH(VLOOKUP($A59,main!$A$3:$H$102,8,FALSE),main!$K$18:$O$18,0))))),1,0)</f>
        <v>1</v>
      </c>
    </row>
    <row r="60" spans="1:102" x14ac:dyDescent="0.25">
      <c r="A60" s="1">
        <v>58</v>
      </c>
      <c r="B60">
        <v>1</v>
      </c>
      <c r="C60">
        <f>IF((AND(VLOOKUP(C$1,main!$A$3:$H$102,5,FALSE)-VLOOKUP($A60,main!$A$3:$H$102,6,FALSE)&gt;=(VLOOKUP(VLOOKUP(C$1,main!$A$3:$H$102,8,FALSE),main!$K$26:$M$29,2,FALSE)+VLOOKUP(VLOOKUP(C$1,main!$A$3:$H$102,7,FALSE),main!$K$19:$O$22,MATCH(VLOOKUP($A60,main!$A$3:$H$102,8,FALSE),main!$K$18:$O$18,0))))),1,0)</f>
        <v>0</v>
      </c>
      <c r="D60">
        <f>IF((AND(VLOOKUP(D$1,main!$A$3:$H$102,5,FALSE)-VLOOKUP($A60,main!$A$3:$H$102,6,FALSE)&gt;=(VLOOKUP(VLOOKUP(D$1,main!$A$3:$H$102,8,FALSE),main!$K$26:$M$29,2,FALSE)+VLOOKUP(VLOOKUP(D$1,main!$A$3:$H$102,7,FALSE),main!$K$19:$O$22,MATCH(VLOOKUP($A60,main!$A$3:$H$102,8,FALSE),main!$K$18:$O$18,0))))),1,0)</f>
        <v>0</v>
      </c>
      <c r="E60">
        <f>IF((AND(VLOOKUP(E$1,main!$A$3:$H$102,5,FALSE)-VLOOKUP($A60,main!$A$3:$H$102,6,FALSE)&gt;=(VLOOKUP(VLOOKUP(E$1,main!$A$3:$H$102,8,FALSE),main!$K$26:$M$29,2,FALSE)+VLOOKUP(VLOOKUP(E$1,main!$A$3:$H$102,7,FALSE),main!$K$19:$O$22,MATCH(VLOOKUP($A60,main!$A$3:$H$102,8,FALSE),main!$K$18:$O$18,0))))),1,0)</f>
        <v>0</v>
      </c>
      <c r="F60">
        <f>IF((AND(VLOOKUP(F$1,main!$A$3:$H$102,5,FALSE)-VLOOKUP($A60,main!$A$3:$H$102,6,FALSE)&gt;=(VLOOKUP(VLOOKUP(F$1,main!$A$3:$H$102,8,FALSE),main!$K$26:$M$29,2,FALSE)+VLOOKUP(VLOOKUP(F$1,main!$A$3:$H$102,7,FALSE),main!$K$19:$O$22,MATCH(VLOOKUP($A60,main!$A$3:$H$102,8,FALSE),main!$K$18:$O$18,0))))),1,0)</f>
        <v>0</v>
      </c>
      <c r="G60">
        <f>IF((AND(VLOOKUP(G$1,main!$A$3:$H$102,5,FALSE)-VLOOKUP($A60,main!$A$3:$H$102,6,FALSE)&gt;=(VLOOKUP(VLOOKUP(G$1,main!$A$3:$H$102,8,FALSE),main!$K$26:$M$29,2,FALSE)+VLOOKUP(VLOOKUP(G$1,main!$A$3:$H$102,7,FALSE),main!$K$19:$O$22,MATCH(VLOOKUP($A60,main!$A$3:$H$102,8,FALSE),main!$K$18:$O$18,0))))),1,0)</f>
        <v>0</v>
      </c>
      <c r="H60">
        <f>IF((AND(VLOOKUP(H$1,main!$A$3:$H$102,5,FALSE)-VLOOKUP($A60,main!$A$3:$H$102,6,FALSE)&gt;=(VLOOKUP(VLOOKUP(H$1,main!$A$3:$H$102,8,FALSE),main!$K$26:$M$29,2,FALSE)+VLOOKUP(VLOOKUP(H$1,main!$A$3:$H$102,7,FALSE),main!$K$19:$O$22,MATCH(VLOOKUP($A60,main!$A$3:$H$102,8,FALSE),main!$K$18:$O$18,0))))),1,0)</f>
        <v>0</v>
      </c>
      <c r="I60">
        <f>IF((AND(VLOOKUP(I$1,main!$A$3:$H$102,5,FALSE)-VLOOKUP($A60,main!$A$3:$H$102,6,FALSE)&gt;=(VLOOKUP(VLOOKUP(I$1,main!$A$3:$H$102,8,FALSE),main!$K$26:$M$29,2,FALSE)+VLOOKUP(VLOOKUP(I$1,main!$A$3:$H$102,7,FALSE),main!$K$19:$O$22,MATCH(VLOOKUP($A60,main!$A$3:$H$102,8,FALSE),main!$K$18:$O$18,0))))),1,0)</f>
        <v>1</v>
      </c>
      <c r="J60">
        <f>IF((AND(VLOOKUP(J$1,main!$A$3:$H$102,5,FALSE)-VLOOKUP($A60,main!$A$3:$H$102,6,FALSE)&gt;=(VLOOKUP(VLOOKUP(J$1,main!$A$3:$H$102,8,FALSE),main!$K$26:$M$29,2,FALSE)+VLOOKUP(VLOOKUP(J$1,main!$A$3:$H$102,7,FALSE),main!$K$19:$O$22,MATCH(VLOOKUP($A60,main!$A$3:$H$102,8,FALSE),main!$K$18:$O$18,0))))),1,0)</f>
        <v>1</v>
      </c>
      <c r="K60">
        <f>IF((AND(VLOOKUP(K$1,main!$A$3:$H$102,5,FALSE)-VLOOKUP($A60,main!$A$3:$H$102,6,FALSE)&gt;=(VLOOKUP(VLOOKUP(K$1,main!$A$3:$H$102,8,FALSE),main!$K$26:$M$29,2,FALSE)+VLOOKUP(VLOOKUP(K$1,main!$A$3:$H$102,7,FALSE),main!$K$19:$O$22,MATCH(VLOOKUP($A60,main!$A$3:$H$102,8,FALSE),main!$K$18:$O$18,0))))),1,0)</f>
        <v>1</v>
      </c>
      <c r="L60">
        <f>IF((AND(VLOOKUP(L$1,main!$A$3:$H$102,5,FALSE)-VLOOKUP($A60,main!$A$3:$H$102,6,FALSE)&gt;=(VLOOKUP(VLOOKUP(L$1,main!$A$3:$H$102,8,FALSE),main!$K$26:$M$29,2,FALSE)+VLOOKUP(VLOOKUP(L$1,main!$A$3:$H$102,7,FALSE),main!$K$19:$O$22,MATCH(VLOOKUP($A60,main!$A$3:$H$102,8,FALSE),main!$K$18:$O$18,0))))),1,0)</f>
        <v>1</v>
      </c>
      <c r="M60">
        <f>IF((AND(VLOOKUP(M$1,main!$A$3:$H$102,5,FALSE)-VLOOKUP($A60,main!$A$3:$H$102,6,FALSE)&gt;=(VLOOKUP(VLOOKUP(M$1,main!$A$3:$H$102,8,FALSE),main!$K$26:$M$29,2,FALSE)+VLOOKUP(VLOOKUP(M$1,main!$A$3:$H$102,7,FALSE),main!$K$19:$O$22,MATCH(VLOOKUP($A60,main!$A$3:$H$102,8,FALSE),main!$K$18:$O$18,0))))),1,0)</f>
        <v>0</v>
      </c>
      <c r="N60">
        <f>IF((AND(VLOOKUP(N$1,main!$A$3:$H$102,5,FALSE)-VLOOKUP($A60,main!$A$3:$H$102,6,FALSE)&gt;=(VLOOKUP(VLOOKUP(N$1,main!$A$3:$H$102,8,FALSE),main!$K$26:$M$29,2,FALSE)+VLOOKUP(VLOOKUP(N$1,main!$A$3:$H$102,7,FALSE),main!$K$19:$O$22,MATCH(VLOOKUP($A60,main!$A$3:$H$102,8,FALSE),main!$K$18:$O$18,0))))),1,0)</f>
        <v>0</v>
      </c>
      <c r="O60">
        <f>IF((AND(VLOOKUP(O$1,main!$A$3:$H$102,5,FALSE)-VLOOKUP($A60,main!$A$3:$H$102,6,FALSE)&gt;=(VLOOKUP(VLOOKUP(O$1,main!$A$3:$H$102,8,FALSE),main!$K$26:$M$29,2,FALSE)+VLOOKUP(VLOOKUP(O$1,main!$A$3:$H$102,7,FALSE),main!$K$19:$O$22,MATCH(VLOOKUP($A60,main!$A$3:$H$102,8,FALSE),main!$K$18:$O$18,0))))),1,0)</f>
        <v>0</v>
      </c>
      <c r="P60">
        <f>IF((AND(VLOOKUP(P$1,main!$A$3:$H$102,5,FALSE)-VLOOKUP($A60,main!$A$3:$H$102,6,FALSE)&gt;=(VLOOKUP(VLOOKUP(P$1,main!$A$3:$H$102,8,FALSE),main!$K$26:$M$29,2,FALSE)+VLOOKUP(VLOOKUP(P$1,main!$A$3:$H$102,7,FALSE),main!$K$19:$O$22,MATCH(VLOOKUP($A60,main!$A$3:$H$102,8,FALSE),main!$K$18:$O$18,0))))),1,0)</f>
        <v>0</v>
      </c>
      <c r="Q60">
        <f>IF((AND(VLOOKUP(Q$1,main!$A$3:$H$102,5,FALSE)-VLOOKUP($A60,main!$A$3:$H$102,6,FALSE)&gt;=(VLOOKUP(VLOOKUP(Q$1,main!$A$3:$H$102,8,FALSE),main!$K$26:$M$29,2,FALSE)+VLOOKUP(VLOOKUP(Q$1,main!$A$3:$H$102,7,FALSE),main!$K$19:$O$22,MATCH(VLOOKUP($A60,main!$A$3:$H$102,8,FALSE),main!$K$18:$O$18,0))))),1,0)</f>
        <v>0</v>
      </c>
      <c r="R60">
        <f>IF((AND(VLOOKUP(R$1,main!$A$3:$H$102,5,FALSE)-VLOOKUP($A60,main!$A$3:$H$102,6,FALSE)&gt;=(VLOOKUP(VLOOKUP(R$1,main!$A$3:$H$102,8,FALSE),main!$K$26:$M$29,2,FALSE)+VLOOKUP(VLOOKUP(R$1,main!$A$3:$H$102,7,FALSE),main!$K$19:$O$22,MATCH(VLOOKUP($A60,main!$A$3:$H$102,8,FALSE),main!$K$18:$O$18,0))))),1,0)</f>
        <v>0</v>
      </c>
      <c r="S60">
        <f>IF((AND(VLOOKUP(S$1,main!$A$3:$H$102,5,FALSE)-VLOOKUP($A60,main!$A$3:$H$102,6,FALSE)&gt;=(VLOOKUP(VLOOKUP(S$1,main!$A$3:$H$102,8,FALSE),main!$K$26:$M$29,2,FALSE)+VLOOKUP(VLOOKUP(S$1,main!$A$3:$H$102,7,FALSE),main!$K$19:$O$22,MATCH(VLOOKUP($A60,main!$A$3:$H$102,8,FALSE),main!$K$18:$O$18,0))))),1,0)</f>
        <v>0</v>
      </c>
      <c r="T60">
        <f>IF((AND(VLOOKUP(T$1,main!$A$3:$H$102,5,FALSE)-VLOOKUP($A60,main!$A$3:$H$102,6,FALSE)&gt;=(VLOOKUP(VLOOKUP(T$1,main!$A$3:$H$102,8,FALSE),main!$K$26:$M$29,2,FALSE)+VLOOKUP(VLOOKUP(T$1,main!$A$3:$H$102,7,FALSE),main!$K$19:$O$22,MATCH(VLOOKUP($A60,main!$A$3:$H$102,8,FALSE),main!$K$18:$O$18,0))))),1,0)</f>
        <v>1</v>
      </c>
      <c r="U60">
        <f>IF((AND(VLOOKUP(U$1,main!$A$3:$H$102,5,FALSE)-VLOOKUP($A60,main!$A$3:$H$102,6,FALSE)&gt;=(VLOOKUP(VLOOKUP(U$1,main!$A$3:$H$102,8,FALSE),main!$K$26:$M$29,2,FALSE)+VLOOKUP(VLOOKUP(U$1,main!$A$3:$H$102,7,FALSE),main!$K$19:$O$22,MATCH(VLOOKUP($A60,main!$A$3:$H$102,8,FALSE),main!$K$18:$O$18,0))))),1,0)</f>
        <v>1</v>
      </c>
      <c r="V60">
        <f>IF((AND(VLOOKUP(V$1,main!$A$3:$H$102,5,FALSE)-VLOOKUP($A60,main!$A$3:$H$102,6,FALSE)&gt;=(VLOOKUP(VLOOKUP(V$1,main!$A$3:$H$102,8,FALSE),main!$K$26:$M$29,2,FALSE)+VLOOKUP(VLOOKUP(V$1,main!$A$3:$H$102,7,FALSE),main!$K$19:$O$22,MATCH(VLOOKUP($A60,main!$A$3:$H$102,8,FALSE),main!$K$18:$O$18,0))))),1,0)</f>
        <v>1</v>
      </c>
      <c r="W60">
        <f>IF((AND(VLOOKUP(W$1,main!$A$3:$H$102,5,FALSE)-VLOOKUP($A60,main!$A$3:$H$102,6,FALSE)&gt;=(VLOOKUP(VLOOKUP(W$1,main!$A$3:$H$102,8,FALSE),main!$K$26:$M$29,2,FALSE)+VLOOKUP(VLOOKUP(W$1,main!$A$3:$H$102,7,FALSE),main!$K$19:$O$22,MATCH(VLOOKUP($A60,main!$A$3:$H$102,8,FALSE),main!$K$18:$O$18,0))))),1,0)</f>
        <v>0</v>
      </c>
      <c r="X60">
        <f>IF((AND(VLOOKUP(X$1,main!$A$3:$H$102,5,FALSE)-VLOOKUP($A60,main!$A$3:$H$102,6,FALSE)&gt;=(VLOOKUP(VLOOKUP(X$1,main!$A$3:$H$102,8,FALSE),main!$K$26:$M$29,2,FALSE)+VLOOKUP(VLOOKUP(X$1,main!$A$3:$H$102,7,FALSE),main!$K$19:$O$22,MATCH(VLOOKUP($A60,main!$A$3:$H$102,8,FALSE),main!$K$18:$O$18,0))))),1,0)</f>
        <v>0</v>
      </c>
      <c r="Y60">
        <f>IF((AND(VLOOKUP(Y$1,main!$A$3:$H$102,5,FALSE)-VLOOKUP($A60,main!$A$3:$H$102,6,FALSE)&gt;=(VLOOKUP(VLOOKUP(Y$1,main!$A$3:$H$102,8,FALSE),main!$K$26:$M$29,2,FALSE)+VLOOKUP(VLOOKUP(Y$1,main!$A$3:$H$102,7,FALSE),main!$K$19:$O$22,MATCH(VLOOKUP($A60,main!$A$3:$H$102,8,FALSE),main!$K$18:$O$18,0))))),1,0)</f>
        <v>0</v>
      </c>
      <c r="Z60">
        <f>IF((AND(VLOOKUP(Z$1,main!$A$3:$H$102,5,FALSE)-VLOOKUP($A60,main!$A$3:$H$102,6,FALSE)&gt;=(VLOOKUP(VLOOKUP(Z$1,main!$A$3:$H$102,8,FALSE),main!$K$26:$M$29,2,FALSE)+VLOOKUP(VLOOKUP(Z$1,main!$A$3:$H$102,7,FALSE),main!$K$19:$O$22,MATCH(VLOOKUP($A60,main!$A$3:$H$102,8,FALSE),main!$K$18:$O$18,0))))),1,0)</f>
        <v>1</v>
      </c>
      <c r="AA60">
        <f>IF((AND(VLOOKUP(AA$1,main!$A$3:$H$102,5,FALSE)-VLOOKUP($A60,main!$A$3:$H$102,6,FALSE)&gt;=(VLOOKUP(VLOOKUP(AA$1,main!$A$3:$H$102,8,FALSE),main!$K$26:$M$29,2,FALSE)+VLOOKUP(VLOOKUP(AA$1,main!$A$3:$H$102,7,FALSE),main!$K$19:$O$22,MATCH(VLOOKUP($A60,main!$A$3:$H$102,8,FALSE),main!$K$18:$O$18,0))))),1,0)</f>
        <v>1</v>
      </c>
      <c r="AB60">
        <f>IF((AND(VLOOKUP(AB$1,main!$A$3:$H$102,5,FALSE)-VLOOKUP($A60,main!$A$3:$H$102,6,FALSE)&gt;=(VLOOKUP(VLOOKUP(AB$1,main!$A$3:$H$102,8,FALSE),main!$K$26:$M$29,2,FALSE)+VLOOKUP(VLOOKUP(AB$1,main!$A$3:$H$102,7,FALSE),main!$K$19:$O$22,MATCH(VLOOKUP($A60,main!$A$3:$H$102,8,FALSE),main!$K$18:$O$18,0))))),1,0)</f>
        <v>0</v>
      </c>
      <c r="AC60">
        <f>IF((AND(VLOOKUP(AC$1,main!$A$3:$H$102,5,FALSE)-VLOOKUP($A60,main!$A$3:$H$102,6,FALSE)&gt;=(VLOOKUP(VLOOKUP(AC$1,main!$A$3:$H$102,8,FALSE),main!$K$26:$M$29,2,FALSE)+VLOOKUP(VLOOKUP(AC$1,main!$A$3:$H$102,7,FALSE),main!$K$19:$O$22,MATCH(VLOOKUP($A60,main!$A$3:$H$102,8,FALSE),main!$K$18:$O$18,0))))),1,0)</f>
        <v>0</v>
      </c>
      <c r="AD60">
        <f>IF((AND(VLOOKUP(AD$1,main!$A$3:$H$102,5,FALSE)-VLOOKUP($A60,main!$A$3:$H$102,6,FALSE)&gt;=(VLOOKUP(VLOOKUP(AD$1,main!$A$3:$H$102,8,FALSE),main!$K$26:$M$29,2,FALSE)+VLOOKUP(VLOOKUP(AD$1,main!$A$3:$H$102,7,FALSE),main!$K$19:$O$22,MATCH(VLOOKUP($A60,main!$A$3:$H$102,8,FALSE),main!$K$18:$O$18,0))))),1,0)</f>
        <v>0</v>
      </c>
      <c r="AE60">
        <f>IF((AND(VLOOKUP(AE$1,main!$A$3:$H$102,5,FALSE)-VLOOKUP($A60,main!$A$3:$H$102,6,FALSE)&gt;=(VLOOKUP(VLOOKUP(AE$1,main!$A$3:$H$102,8,FALSE),main!$K$26:$M$29,2,FALSE)+VLOOKUP(VLOOKUP(AE$1,main!$A$3:$H$102,7,FALSE),main!$K$19:$O$22,MATCH(VLOOKUP($A60,main!$A$3:$H$102,8,FALSE),main!$K$18:$O$18,0))))),1,0)</f>
        <v>0</v>
      </c>
      <c r="AF60">
        <f>IF((AND(VLOOKUP(AF$1,main!$A$3:$H$102,5,FALSE)-VLOOKUP($A60,main!$A$3:$H$102,6,FALSE)&gt;=(VLOOKUP(VLOOKUP(AF$1,main!$A$3:$H$102,8,FALSE),main!$K$26:$M$29,2,FALSE)+VLOOKUP(VLOOKUP(AF$1,main!$A$3:$H$102,7,FALSE),main!$K$19:$O$22,MATCH(VLOOKUP($A60,main!$A$3:$H$102,8,FALSE),main!$K$18:$O$18,0))))),1,0)</f>
        <v>1</v>
      </c>
      <c r="AG60">
        <f>IF((AND(VLOOKUP(AG$1,main!$A$3:$H$102,5,FALSE)-VLOOKUP($A60,main!$A$3:$H$102,6,FALSE)&gt;=(VLOOKUP(VLOOKUP(AG$1,main!$A$3:$H$102,8,FALSE),main!$K$26:$M$29,2,FALSE)+VLOOKUP(VLOOKUP(AG$1,main!$A$3:$H$102,7,FALSE),main!$K$19:$O$22,MATCH(VLOOKUP($A60,main!$A$3:$H$102,8,FALSE),main!$K$18:$O$18,0))))),1,0)</f>
        <v>0</v>
      </c>
      <c r="AH60">
        <f>IF((AND(VLOOKUP(AH$1,main!$A$3:$H$102,5,FALSE)-VLOOKUP($A60,main!$A$3:$H$102,6,FALSE)&gt;=(VLOOKUP(VLOOKUP(AH$1,main!$A$3:$H$102,8,FALSE),main!$K$26:$M$29,2,FALSE)+VLOOKUP(VLOOKUP(AH$1,main!$A$3:$H$102,7,FALSE),main!$K$19:$O$22,MATCH(VLOOKUP($A60,main!$A$3:$H$102,8,FALSE),main!$K$18:$O$18,0))))),1,0)</f>
        <v>0</v>
      </c>
      <c r="AI60">
        <f>IF((AND(VLOOKUP(AI$1,main!$A$3:$H$102,5,FALSE)-VLOOKUP($A60,main!$A$3:$H$102,6,FALSE)&gt;=(VLOOKUP(VLOOKUP(AI$1,main!$A$3:$H$102,8,FALSE),main!$K$26:$M$29,2,FALSE)+VLOOKUP(VLOOKUP(AI$1,main!$A$3:$H$102,7,FALSE),main!$K$19:$O$22,MATCH(VLOOKUP($A60,main!$A$3:$H$102,8,FALSE),main!$K$18:$O$18,0))))),1,0)</f>
        <v>0</v>
      </c>
      <c r="AJ60">
        <f>IF((AND(VLOOKUP(AJ$1,main!$A$3:$H$102,5,FALSE)-VLOOKUP($A60,main!$A$3:$H$102,6,FALSE)&gt;=(VLOOKUP(VLOOKUP(AJ$1,main!$A$3:$H$102,8,FALSE),main!$K$26:$M$29,2,FALSE)+VLOOKUP(VLOOKUP(AJ$1,main!$A$3:$H$102,7,FALSE),main!$K$19:$O$22,MATCH(VLOOKUP($A60,main!$A$3:$H$102,8,FALSE),main!$K$18:$O$18,0))))),1,0)</f>
        <v>0</v>
      </c>
      <c r="AK60">
        <f>IF((AND(VLOOKUP(AK$1,main!$A$3:$H$102,5,FALSE)-VLOOKUP($A60,main!$A$3:$H$102,6,FALSE)&gt;=(VLOOKUP(VLOOKUP(AK$1,main!$A$3:$H$102,8,FALSE),main!$K$26:$M$29,2,FALSE)+VLOOKUP(VLOOKUP(AK$1,main!$A$3:$H$102,7,FALSE),main!$K$19:$O$22,MATCH(VLOOKUP($A60,main!$A$3:$H$102,8,FALSE),main!$K$18:$O$18,0))))),1,0)</f>
        <v>0</v>
      </c>
      <c r="AL60">
        <f>IF((AND(VLOOKUP(AL$1,main!$A$3:$H$102,5,FALSE)-VLOOKUP($A60,main!$A$3:$H$102,6,FALSE)&gt;=(VLOOKUP(VLOOKUP(AL$1,main!$A$3:$H$102,8,FALSE),main!$K$26:$M$29,2,FALSE)+VLOOKUP(VLOOKUP(AL$1,main!$A$3:$H$102,7,FALSE),main!$K$19:$O$22,MATCH(VLOOKUP($A60,main!$A$3:$H$102,8,FALSE),main!$K$18:$O$18,0))))),1,0)</f>
        <v>1</v>
      </c>
      <c r="AM60">
        <f>IF((AND(VLOOKUP(AM$1,main!$A$3:$H$102,5,FALSE)-VLOOKUP($A60,main!$A$3:$H$102,6,FALSE)&gt;=(VLOOKUP(VLOOKUP(AM$1,main!$A$3:$H$102,8,FALSE),main!$K$26:$M$29,2,FALSE)+VLOOKUP(VLOOKUP(AM$1,main!$A$3:$H$102,7,FALSE),main!$K$19:$O$22,MATCH(VLOOKUP($A60,main!$A$3:$H$102,8,FALSE),main!$K$18:$O$18,0))))),1,0)</f>
        <v>1</v>
      </c>
      <c r="AN60">
        <f>IF((AND(VLOOKUP(AN$1,main!$A$3:$H$102,5,FALSE)-VLOOKUP($A60,main!$A$3:$H$102,6,FALSE)&gt;=(VLOOKUP(VLOOKUP(AN$1,main!$A$3:$H$102,8,FALSE),main!$K$26:$M$29,2,FALSE)+VLOOKUP(VLOOKUP(AN$1,main!$A$3:$H$102,7,FALSE),main!$K$19:$O$22,MATCH(VLOOKUP($A60,main!$A$3:$H$102,8,FALSE),main!$K$18:$O$18,0))))),1,0)</f>
        <v>1</v>
      </c>
      <c r="AO60">
        <f>IF((AND(VLOOKUP(AO$1,main!$A$3:$H$102,5,FALSE)-VLOOKUP($A60,main!$A$3:$H$102,6,FALSE)&gt;=(VLOOKUP(VLOOKUP(AO$1,main!$A$3:$H$102,8,FALSE),main!$K$26:$M$29,2,FALSE)+VLOOKUP(VLOOKUP(AO$1,main!$A$3:$H$102,7,FALSE),main!$K$19:$O$22,MATCH(VLOOKUP($A60,main!$A$3:$H$102,8,FALSE),main!$K$18:$O$18,0))))),1,0)</f>
        <v>0</v>
      </c>
      <c r="AP60">
        <f>IF((AND(VLOOKUP(AP$1,main!$A$3:$H$102,5,FALSE)-VLOOKUP($A60,main!$A$3:$H$102,6,FALSE)&gt;=(VLOOKUP(VLOOKUP(AP$1,main!$A$3:$H$102,8,FALSE),main!$K$26:$M$29,2,FALSE)+VLOOKUP(VLOOKUP(AP$1,main!$A$3:$H$102,7,FALSE),main!$K$19:$O$22,MATCH(VLOOKUP($A60,main!$A$3:$H$102,8,FALSE),main!$K$18:$O$18,0))))),1,0)</f>
        <v>1</v>
      </c>
      <c r="AQ60">
        <f>IF((AND(VLOOKUP(AQ$1,main!$A$3:$H$102,5,FALSE)-VLOOKUP($A60,main!$A$3:$H$102,6,FALSE)&gt;=(VLOOKUP(VLOOKUP(AQ$1,main!$A$3:$H$102,8,FALSE),main!$K$26:$M$29,2,FALSE)+VLOOKUP(VLOOKUP(AQ$1,main!$A$3:$H$102,7,FALSE),main!$K$19:$O$22,MATCH(VLOOKUP($A60,main!$A$3:$H$102,8,FALSE),main!$K$18:$O$18,0))))),1,0)</f>
        <v>0</v>
      </c>
      <c r="AR60">
        <f>IF((AND(VLOOKUP(AR$1,main!$A$3:$H$102,5,FALSE)-VLOOKUP($A60,main!$A$3:$H$102,6,FALSE)&gt;=(VLOOKUP(VLOOKUP(AR$1,main!$A$3:$H$102,8,FALSE),main!$K$26:$M$29,2,FALSE)+VLOOKUP(VLOOKUP(AR$1,main!$A$3:$H$102,7,FALSE),main!$K$19:$O$22,MATCH(VLOOKUP($A60,main!$A$3:$H$102,8,FALSE),main!$K$18:$O$18,0))))),1,0)</f>
        <v>0</v>
      </c>
      <c r="AS60">
        <f>IF((AND(VLOOKUP(AS$1,main!$A$3:$H$102,5,FALSE)-VLOOKUP($A60,main!$A$3:$H$102,6,FALSE)&gt;=(VLOOKUP(VLOOKUP(AS$1,main!$A$3:$H$102,8,FALSE),main!$K$26:$M$29,2,FALSE)+VLOOKUP(VLOOKUP(AS$1,main!$A$3:$H$102,7,FALSE),main!$K$19:$O$22,MATCH(VLOOKUP($A60,main!$A$3:$H$102,8,FALSE),main!$K$18:$O$18,0))))),1,0)</f>
        <v>0</v>
      </c>
      <c r="AT60">
        <f>IF((AND(VLOOKUP(AT$1,main!$A$3:$H$102,5,FALSE)-VLOOKUP($A60,main!$A$3:$H$102,6,FALSE)&gt;=(VLOOKUP(VLOOKUP(AT$1,main!$A$3:$H$102,8,FALSE),main!$K$26:$M$29,2,FALSE)+VLOOKUP(VLOOKUP(AT$1,main!$A$3:$H$102,7,FALSE),main!$K$19:$O$22,MATCH(VLOOKUP($A60,main!$A$3:$H$102,8,FALSE),main!$K$18:$O$18,0))))),1,0)</f>
        <v>0</v>
      </c>
      <c r="AU60">
        <f>IF((AND(VLOOKUP(AU$1,main!$A$3:$H$102,5,FALSE)-VLOOKUP($A60,main!$A$3:$H$102,6,FALSE)&gt;=(VLOOKUP(VLOOKUP(AU$1,main!$A$3:$H$102,8,FALSE),main!$K$26:$M$29,2,FALSE)+VLOOKUP(VLOOKUP(AU$1,main!$A$3:$H$102,7,FALSE),main!$K$19:$O$22,MATCH(VLOOKUP($A60,main!$A$3:$H$102,8,FALSE),main!$K$18:$O$18,0))))),1,0)</f>
        <v>0</v>
      </c>
      <c r="AV60">
        <f>IF((AND(VLOOKUP(AV$1,main!$A$3:$H$102,5,FALSE)-VLOOKUP($A60,main!$A$3:$H$102,6,FALSE)&gt;=(VLOOKUP(VLOOKUP(AV$1,main!$A$3:$H$102,8,FALSE),main!$K$26:$M$29,2,FALSE)+VLOOKUP(VLOOKUP(AV$1,main!$A$3:$H$102,7,FALSE),main!$K$19:$O$22,MATCH(VLOOKUP($A60,main!$A$3:$H$102,8,FALSE),main!$K$18:$O$18,0))))),1,0)</f>
        <v>0</v>
      </c>
      <c r="AW60">
        <f>IF((AND(VLOOKUP(AW$1,main!$A$3:$H$102,5,FALSE)-VLOOKUP($A60,main!$A$3:$H$102,6,FALSE)&gt;=(VLOOKUP(VLOOKUP(AW$1,main!$A$3:$H$102,8,FALSE),main!$K$26:$M$29,2,FALSE)+VLOOKUP(VLOOKUP(AW$1,main!$A$3:$H$102,7,FALSE),main!$K$19:$O$22,MATCH(VLOOKUP($A60,main!$A$3:$H$102,8,FALSE),main!$K$18:$O$18,0))))),1,0)</f>
        <v>0</v>
      </c>
      <c r="AX60">
        <f>IF((AND(VLOOKUP(AX$1,main!$A$3:$H$102,5,FALSE)-VLOOKUP($A60,main!$A$3:$H$102,6,FALSE)&gt;=(VLOOKUP(VLOOKUP(AX$1,main!$A$3:$H$102,8,FALSE),main!$K$26:$M$29,2,FALSE)+VLOOKUP(VLOOKUP(AX$1,main!$A$3:$H$102,7,FALSE),main!$K$19:$O$22,MATCH(VLOOKUP($A60,main!$A$3:$H$102,8,FALSE),main!$K$18:$O$18,0))))),1,0)</f>
        <v>0</v>
      </c>
      <c r="AY60">
        <f>IF((AND(VLOOKUP(AY$1,main!$A$3:$H$102,5,FALSE)-VLOOKUP($A60,main!$A$3:$H$102,6,FALSE)&gt;=(VLOOKUP(VLOOKUP(AY$1,main!$A$3:$H$102,8,FALSE),main!$K$26:$M$29,2,FALSE)+VLOOKUP(VLOOKUP(AY$1,main!$A$3:$H$102,7,FALSE),main!$K$19:$O$22,MATCH(VLOOKUP($A60,main!$A$3:$H$102,8,FALSE),main!$K$18:$O$18,0))))),1,0)</f>
        <v>0</v>
      </c>
      <c r="AZ60">
        <f>IF((AND(VLOOKUP(AZ$1,main!$A$3:$H$102,5,FALSE)-VLOOKUP($A60,main!$A$3:$H$102,6,FALSE)&gt;=(VLOOKUP(VLOOKUP(AZ$1,main!$A$3:$H$102,8,FALSE),main!$K$26:$M$29,2,FALSE)+VLOOKUP(VLOOKUP(AZ$1,main!$A$3:$H$102,7,FALSE),main!$K$19:$O$22,MATCH(VLOOKUP($A60,main!$A$3:$H$102,8,FALSE),main!$K$18:$O$18,0))))),1,0)</f>
        <v>0</v>
      </c>
      <c r="BA60">
        <f>IF((AND(VLOOKUP(BA$1,main!$A$3:$H$102,5,FALSE)-VLOOKUP($A60,main!$A$3:$H$102,6,FALSE)&gt;=(VLOOKUP(VLOOKUP(BA$1,main!$A$3:$H$102,8,FALSE),main!$K$26:$M$29,2,FALSE)+VLOOKUP(VLOOKUP(BA$1,main!$A$3:$H$102,7,FALSE),main!$K$19:$O$22,MATCH(VLOOKUP($A60,main!$A$3:$H$102,8,FALSE),main!$K$18:$O$18,0))))),1,0)</f>
        <v>0</v>
      </c>
      <c r="BB60">
        <f>IF((AND(VLOOKUP(BB$1,main!$A$3:$H$102,5,FALSE)-VLOOKUP($A60,main!$A$3:$H$102,6,FALSE)&gt;=(VLOOKUP(VLOOKUP(BB$1,main!$A$3:$H$102,8,FALSE),main!$K$26:$M$29,2,FALSE)+VLOOKUP(VLOOKUP(BB$1,main!$A$3:$H$102,7,FALSE),main!$K$19:$O$22,MATCH(VLOOKUP($A60,main!$A$3:$H$102,8,FALSE),main!$K$18:$O$18,0))))),1,0)</f>
        <v>0</v>
      </c>
      <c r="BC60">
        <f>IF((AND(VLOOKUP(BC$1,main!$A$3:$H$102,5,FALSE)-VLOOKUP($A60,main!$A$3:$H$102,6,FALSE)&gt;=(VLOOKUP(VLOOKUP(BC$1,main!$A$3:$H$102,8,FALSE),main!$K$26:$M$29,2,FALSE)+VLOOKUP(VLOOKUP(BC$1,main!$A$3:$H$102,7,FALSE),main!$K$19:$O$22,MATCH(VLOOKUP($A60,main!$A$3:$H$102,8,FALSE),main!$K$18:$O$18,0))))),1,0)</f>
        <v>0</v>
      </c>
      <c r="BD60">
        <f>IF((AND(VLOOKUP(BD$1,main!$A$3:$H$102,5,FALSE)-VLOOKUP($A60,main!$A$3:$H$102,6,FALSE)&gt;=(VLOOKUP(VLOOKUP(BD$1,main!$A$3:$H$102,8,FALSE),main!$K$26:$M$29,2,FALSE)+VLOOKUP(VLOOKUP(BD$1,main!$A$3:$H$102,7,FALSE),main!$K$19:$O$22,MATCH(VLOOKUP($A60,main!$A$3:$H$102,8,FALSE),main!$K$18:$O$18,0))))),1,0)</f>
        <v>0</v>
      </c>
      <c r="BE60">
        <f>IF((AND(VLOOKUP(BE$1,main!$A$3:$H$102,5,FALSE)-VLOOKUP($A60,main!$A$3:$H$102,6,FALSE)&gt;=(VLOOKUP(VLOOKUP(BE$1,main!$A$3:$H$102,8,FALSE),main!$K$26:$M$29,2,FALSE)+VLOOKUP(VLOOKUP(BE$1,main!$A$3:$H$102,7,FALSE),main!$K$19:$O$22,MATCH(VLOOKUP($A60,main!$A$3:$H$102,8,FALSE),main!$K$18:$O$18,0))))),1,0)</f>
        <v>1</v>
      </c>
      <c r="BF60">
        <f>IF((AND(VLOOKUP(BF$1,main!$A$3:$H$102,5,FALSE)-VLOOKUP($A60,main!$A$3:$H$102,6,FALSE)&gt;=(VLOOKUP(VLOOKUP(BF$1,main!$A$3:$H$102,8,FALSE),main!$K$26:$M$29,2,FALSE)+VLOOKUP(VLOOKUP(BF$1,main!$A$3:$H$102,7,FALSE),main!$K$19:$O$22,MATCH(VLOOKUP($A60,main!$A$3:$H$102,8,FALSE),main!$K$18:$O$18,0))))),1,0)</f>
        <v>0</v>
      </c>
      <c r="BG60">
        <f>IF((AND(VLOOKUP(BG$1,main!$A$3:$H$102,5,FALSE)-VLOOKUP($A60,main!$A$3:$H$102,6,FALSE)&gt;=(VLOOKUP(VLOOKUP(BG$1,main!$A$3:$H$102,8,FALSE),main!$K$26:$M$29,2,FALSE)+VLOOKUP(VLOOKUP(BG$1,main!$A$3:$H$102,7,FALSE),main!$K$19:$O$22,MATCH(VLOOKUP($A60,main!$A$3:$H$102,8,FALSE),main!$K$18:$O$18,0))))),1,0)</f>
        <v>0</v>
      </c>
      <c r="BH60">
        <f>IF((AND(VLOOKUP(BH$1,main!$A$3:$H$102,5,FALSE)-VLOOKUP($A60,main!$A$3:$H$102,6,FALSE)&gt;=(VLOOKUP(VLOOKUP(BH$1,main!$A$3:$H$102,8,FALSE),main!$K$26:$M$29,2,FALSE)+VLOOKUP(VLOOKUP(BH$1,main!$A$3:$H$102,7,FALSE),main!$K$19:$O$22,MATCH(VLOOKUP($A60,main!$A$3:$H$102,8,FALSE),main!$K$18:$O$18,0))))),1,0)</f>
        <v>0</v>
      </c>
      <c r="BI60">
        <f>IF((AND(VLOOKUP(BI$1,main!$A$3:$H$102,5,FALSE)-VLOOKUP($A60,main!$A$3:$H$102,6,FALSE)&gt;=(VLOOKUP(VLOOKUP(BI$1,main!$A$3:$H$102,8,FALSE),main!$K$26:$M$29,2,FALSE)+VLOOKUP(VLOOKUP(BI$1,main!$A$3:$H$102,7,FALSE),main!$K$19:$O$22,MATCH(VLOOKUP($A60,main!$A$3:$H$102,8,FALSE),main!$K$18:$O$18,0))))),1,0)</f>
        <v>1</v>
      </c>
      <c r="BJ60">
        <f>IF((AND(VLOOKUP(BJ$1,main!$A$3:$H$102,5,FALSE)-VLOOKUP($A60,main!$A$3:$H$102,6,FALSE)&gt;=(VLOOKUP(VLOOKUP(BJ$1,main!$A$3:$H$102,8,FALSE),main!$K$26:$M$29,2,FALSE)+VLOOKUP(VLOOKUP(BJ$1,main!$A$3:$H$102,7,FALSE),main!$K$19:$O$22,MATCH(VLOOKUP($A60,main!$A$3:$H$102,8,FALSE),main!$K$18:$O$18,0))))),1,0)</f>
        <v>1</v>
      </c>
      <c r="BK60">
        <f>IF((AND(VLOOKUP(BK$1,main!$A$3:$H$102,5,FALSE)-VLOOKUP($A60,main!$A$3:$H$102,6,FALSE)&gt;=(VLOOKUP(VLOOKUP(BK$1,main!$A$3:$H$102,8,FALSE),main!$K$26:$M$29,2,FALSE)+VLOOKUP(VLOOKUP(BK$1,main!$A$3:$H$102,7,FALSE),main!$K$19:$O$22,MATCH(VLOOKUP($A60,main!$A$3:$H$102,8,FALSE),main!$K$18:$O$18,0))))),1,0)</f>
        <v>0</v>
      </c>
      <c r="BL60">
        <f>IF((AND(VLOOKUP(BL$1,main!$A$3:$H$102,5,FALSE)-VLOOKUP($A60,main!$A$3:$H$102,6,FALSE)&gt;=(VLOOKUP(VLOOKUP(BL$1,main!$A$3:$H$102,8,FALSE),main!$K$26:$M$29,2,FALSE)+VLOOKUP(VLOOKUP(BL$1,main!$A$3:$H$102,7,FALSE),main!$K$19:$O$22,MATCH(VLOOKUP($A60,main!$A$3:$H$102,8,FALSE),main!$K$18:$O$18,0))))),1,0)</f>
        <v>0</v>
      </c>
      <c r="BM60">
        <f>IF((AND(VLOOKUP(BM$1,main!$A$3:$H$102,5,FALSE)-VLOOKUP($A60,main!$A$3:$H$102,6,FALSE)&gt;=(VLOOKUP(VLOOKUP(BM$1,main!$A$3:$H$102,8,FALSE),main!$K$26:$M$29,2,FALSE)+VLOOKUP(VLOOKUP(BM$1,main!$A$3:$H$102,7,FALSE),main!$K$19:$O$22,MATCH(VLOOKUP($A60,main!$A$3:$H$102,8,FALSE),main!$K$18:$O$18,0))))),1,0)</f>
        <v>0</v>
      </c>
      <c r="BN60">
        <f>IF((AND(VLOOKUP(BN$1,main!$A$3:$H$102,5,FALSE)-VLOOKUP($A60,main!$A$3:$H$102,6,FALSE)&gt;=(VLOOKUP(VLOOKUP(BN$1,main!$A$3:$H$102,8,FALSE),main!$K$26:$M$29,2,FALSE)+VLOOKUP(VLOOKUP(BN$1,main!$A$3:$H$102,7,FALSE),main!$K$19:$O$22,MATCH(VLOOKUP($A60,main!$A$3:$H$102,8,FALSE),main!$K$18:$O$18,0))))),1,0)</f>
        <v>0</v>
      </c>
      <c r="BO60">
        <f>IF((AND(VLOOKUP(BO$1,main!$A$3:$H$102,5,FALSE)-VLOOKUP($A60,main!$A$3:$H$102,6,FALSE)&gt;=(VLOOKUP(VLOOKUP(BO$1,main!$A$3:$H$102,8,FALSE),main!$K$26:$M$29,2,FALSE)+VLOOKUP(VLOOKUP(BO$1,main!$A$3:$H$102,7,FALSE),main!$K$19:$O$22,MATCH(VLOOKUP($A60,main!$A$3:$H$102,8,FALSE),main!$K$18:$O$18,0))))),1,0)</f>
        <v>0</v>
      </c>
      <c r="BP60">
        <f>IF((AND(VLOOKUP(BP$1,main!$A$3:$H$102,5,FALSE)-VLOOKUP($A60,main!$A$3:$H$102,6,FALSE)&gt;=(VLOOKUP(VLOOKUP(BP$1,main!$A$3:$H$102,8,FALSE),main!$K$26:$M$29,2,FALSE)+VLOOKUP(VLOOKUP(BP$1,main!$A$3:$H$102,7,FALSE),main!$K$19:$O$22,MATCH(VLOOKUP($A60,main!$A$3:$H$102,8,FALSE),main!$K$18:$O$18,0))))),1,0)</f>
        <v>0</v>
      </c>
      <c r="BQ60">
        <f>IF((AND(VLOOKUP(BQ$1,main!$A$3:$H$102,5,FALSE)-VLOOKUP($A60,main!$A$3:$H$102,6,FALSE)&gt;=(VLOOKUP(VLOOKUP(BQ$1,main!$A$3:$H$102,8,FALSE),main!$K$26:$M$29,2,FALSE)+VLOOKUP(VLOOKUP(BQ$1,main!$A$3:$H$102,7,FALSE),main!$K$19:$O$22,MATCH(VLOOKUP($A60,main!$A$3:$H$102,8,FALSE),main!$K$18:$O$18,0))))),1,0)</f>
        <v>0</v>
      </c>
      <c r="BR60">
        <f>IF((AND(VLOOKUP(BR$1,main!$A$3:$H$102,5,FALSE)-VLOOKUP($A60,main!$A$3:$H$102,6,FALSE)&gt;=(VLOOKUP(VLOOKUP(BR$1,main!$A$3:$H$102,8,FALSE),main!$K$26:$M$29,2,FALSE)+VLOOKUP(VLOOKUP(BR$1,main!$A$3:$H$102,7,FALSE),main!$K$19:$O$22,MATCH(VLOOKUP($A60,main!$A$3:$H$102,8,FALSE),main!$K$18:$O$18,0))))),1,0)</f>
        <v>0</v>
      </c>
      <c r="BS60">
        <f>IF((AND(VLOOKUP(BS$1,main!$A$3:$H$102,5,FALSE)-VLOOKUP($A60,main!$A$3:$H$102,6,FALSE)&gt;=(VLOOKUP(VLOOKUP(BS$1,main!$A$3:$H$102,8,FALSE),main!$K$26:$M$29,2,FALSE)+VLOOKUP(VLOOKUP(BS$1,main!$A$3:$H$102,7,FALSE),main!$K$19:$O$22,MATCH(VLOOKUP($A60,main!$A$3:$H$102,8,FALSE),main!$K$18:$O$18,0))))),1,0)</f>
        <v>0</v>
      </c>
      <c r="BT60">
        <f>IF((AND(VLOOKUP(BT$1,main!$A$3:$H$102,5,FALSE)-VLOOKUP($A60,main!$A$3:$H$102,6,FALSE)&gt;=(VLOOKUP(VLOOKUP(BT$1,main!$A$3:$H$102,8,FALSE),main!$K$26:$M$29,2,FALSE)+VLOOKUP(VLOOKUP(BT$1,main!$A$3:$H$102,7,FALSE),main!$K$19:$O$22,MATCH(VLOOKUP($A60,main!$A$3:$H$102,8,FALSE),main!$K$18:$O$18,0))))),1,0)</f>
        <v>0</v>
      </c>
      <c r="BU60">
        <f>IF((AND(VLOOKUP(BU$1,main!$A$3:$H$102,5,FALSE)-VLOOKUP($A60,main!$A$3:$H$102,6,FALSE)&gt;=(VLOOKUP(VLOOKUP(BU$1,main!$A$3:$H$102,8,FALSE),main!$K$26:$M$29,2,FALSE)+VLOOKUP(VLOOKUP(BU$1,main!$A$3:$H$102,7,FALSE),main!$K$19:$O$22,MATCH(VLOOKUP($A60,main!$A$3:$H$102,8,FALSE),main!$K$18:$O$18,0))))),1,0)</f>
        <v>0</v>
      </c>
      <c r="BV60">
        <f>IF((AND(VLOOKUP(BV$1,main!$A$3:$H$102,5,FALSE)-VLOOKUP($A60,main!$A$3:$H$102,6,FALSE)&gt;=(VLOOKUP(VLOOKUP(BV$1,main!$A$3:$H$102,8,FALSE),main!$K$26:$M$29,2,FALSE)+VLOOKUP(VLOOKUP(BV$1,main!$A$3:$H$102,7,FALSE),main!$K$19:$O$22,MATCH(VLOOKUP($A60,main!$A$3:$H$102,8,FALSE),main!$K$18:$O$18,0))))),1,0)</f>
        <v>0</v>
      </c>
      <c r="BW60">
        <f>IF((AND(VLOOKUP(BW$1,main!$A$3:$H$102,5,FALSE)-VLOOKUP($A60,main!$A$3:$H$102,6,FALSE)&gt;=(VLOOKUP(VLOOKUP(BW$1,main!$A$3:$H$102,8,FALSE),main!$K$26:$M$29,2,FALSE)+VLOOKUP(VLOOKUP(BW$1,main!$A$3:$H$102,7,FALSE),main!$K$19:$O$22,MATCH(VLOOKUP($A60,main!$A$3:$H$102,8,FALSE),main!$K$18:$O$18,0))))),1,0)</f>
        <v>0</v>
      </c>
      <c r="BX60">
        <f>IF((AND(VLOOKUP(BX$1,main!$A$3:$H$102,5,FALSE)-VLOOKUP($A60,main!$A$3:$H$102,6,FALSE)&gt;=(VLOOKUP(VLOOKUP(BX$1,main!$A$3:$H$102,8,FALSE),main!$K$26:$M$29,2,FALSE)+VLOOKUP(VLOOKUP(BX$1,main!$A$3:$H$102,7,FALSE),main!$K$19:$O$22,MATCH(VLOOKUP($A60,main!$A$3:$H$102,8,FALSE),main!$K$18:$O$18,0))))),1,0)</f>
        <v>0</v>
      </c>
      <c r="BY60">
        <f>IF((AND(VLOOKUP(BY$1,main!$A$3:$H$102,5,FALSE)-VLOOKUP($A60,main!$A$3:$H$102,6,FALSE)&gt;=(VLOOKUP(VLOOKUP(BY$1,main!$A$3:$H$102,8,FALSE),main!$K$26:$M$29,2,FALSE)+VLOOKUP(VLOOKUP(BY$1,main!$A$3:$H$102,7,FALSE),main!$K$19:$O$22,MATCH(VLOOKUP($A60,main!$A$3:$H$102,8,FALSE),main!$K$18:$O$18,0))))),1,0)</f>
        <v>0</v>
      </c>
      <c r="BZ60">
        <f>IF((AND(VLOOKUP(BZ$1,main!$A$3:$H$102,5,FALSE)-VLOOKUP($A60,main!$A$3:$H$102,6,FALSE)&gt;=(VLOOKUP(VLOOKUP(BZ$1,main!$A$3:$H$102,8,FALSE),main!$K$26:$M$29,2,FALSE)+VLOOKUP(VLOOKUP(BZ$1,main!$A$3:$H$102,7,FALSE),main!$K$19:$O$22,MATCH(VLOOKUP($A60,main!$A$3:$H$102,8,FALSE),main!$K$18:$O$18,0))))),1,0)</f>
        <v>0</v>
      </c>
      <c r="CA60">
        <f>IF((AND(VLOOKUP(CA$1,main!$A$3:$H$102,5,FALSE)-VLOOKUP($A60,main!$A$3:$H$102,6,FALSE)&gt;=(VLOOKUP(VLOOKUP(CA$1,main!$A$3:$H$102,8,FALSE),main!$K$26:$M$29,2,FALSE)+VLOOKUP(VLOOKUP(CA$1,main!$A$3:$H$102,7,FALSE),main!$K$19:$O$22,MATCH(VLOOKUP($A60,main!$A$3:$H$102,8,FALSE),main!$K$18:$O$18,0))))),1,0)</f>
        <v>0</v>
      </c>
      <c r="CB60">
        <f>IF((AND(VLOOKUP(CB$1,main!$A$3:$H$102,5,FALSE)-VLOOKUP($A60,main!$A$3:$H$102,6,FALSE)&gt;=(VLOOKUP(VLOOKUP(CB$1,main!$A$3:$H$102,8,FALSE),main!$K$26:$M$29,2,FALSE)+VLOOKUP(VLOOKUP(CB$1,main!$A$3:$H$102,7,FALSE),main!$K$19:$O$22,MATCH(VLOOKUP($A60,main!$A$3:$H$102,8,FALSE),main!$K$18:$O$18,0))))),1,0)</f>
        <v>0</v>
      </c>
      <c r="CC60">
        <f>IF((AND(VLOOKUP(CC$1,main!$A$3:$H$102,5,FALSE)-VLOOKUP($A60,main!$A$3:$H$102,6,FALSE)&gt;=(VLOOKUP(VLOOKUP(CC$1,main!$A$3:$H$102,8,FALSE),main!$K$26:$M$29,2,FALSE)+VLOOKUP(VLOOKUP(CC$1,main!$A$3:$H$102,7,FALSE),main!$K$19:$O$22,MATCH(VLOOKUP($A60,main!$A$3:$H$102,8,FALSE),main!$K$18:$O$18,0))))),1,0)</f>
        <v>1</v>
      </c>
      <c r="CD60">
        <f>IF((AND(VLOOKUP(CD$1,main!$A$3:$H$102,5,FALSE)-VLOOKUP($A60,main!$A$3:$H$102,6,FALSE)&gt;=(VLOOKUP(VLOOKUP(CD$1,main!$A$3:$H$102,8,FALSE),main!$K$26:$M$29,2,FALSE)+VLOOKUP(VLOOKUP(CD$1,main!$A$3:$H$102,7,FALSE),main!$K$19:$O$22,MATCH(VLOOKUP($A60,main!$A$3:$H$102,8,FALSE),main!$K$18:$O$18,0))))),1,0)</f>
        <v>0</v>
      </c>
      <c r="CE60">
        <f>IF((AND(VLOOKUP(CE$1,main!$A$3:$H$102,5,FALSE)-VLOOKUP($A60,main!$A$3:$H$102,6,FALSE)&gt;=(VLOOKUP(VLOOKUP(CE$1,main!$A$3:$H$102,8,FALSE),main!$K$26:$M$29,2,FALSE)+VLOOKUP(VLOOKUP(CE$1,main!$A$3:$H$102,7,FALSE),main!$K$19:$O$22,MATCH(VLOOKUP($A60,main!$A$3:$H$102,8,FALSE),main!$K$18:$O$18,0))))),1,0)</f>
        <v>0</v>
      </c>
      <c r="CF60">
        <f>IF((AND(VLOOKUP(CF$1,main!$A$3:$H$102,5,FALSE)-VLOOKUP($A60,main!$A$3:$H$102,6,FALSE)&gt;=(VLOOKUP(VLOOKUP(CF$1,main!$A$3:$H$102,8,FALSE),main!$K$26:$M$29,2,FALSE)+VLOOKUP(VLOOKUP(CF$1,main!$A$3:$H$102,7,FALSE),main!$K$19:$O$22,MATCH(VLOOKUP($A60,main!$A$3:$H$102,8,FALSE),main!$K$18:$O$18,0))))),1,0)</f>
        <v>0</v>
      </c>
      <c r="CG60">
        <f>IF((AND(VLOOKUP(CG$1,main!$A$3:$H$102,5,FALSE)-VLOOKUP($A60,main!$A$3:$H$102,6,FALSE)&gt;=(VLOOKUP(VLOOKUP(CG$1,main!$A$3:$H$102,8,FALSE),main!$K$26:$M$29,2,FALSE)+VLOOKUP(VLOOKUP(CG$1,main!$A$3:$H$102,7,FALSE),main!$K$19:$O$22,MATCH(VLOOKUP($A60,main!$A$3:$H$102,8,FALSE),main!$K$18:$O$18,0))))),1,0)</f>
        <v>0</v>
      </c>
      <c r="CH60">
        <f>IF((AND(VLOOKUP(CH$1,main!$A$3:$H$102,5,FALSE)-VLOOKUP($A60,main!$A$3:$H$102,6,FALSE)&gt;=(VLOOKUP(VLOOKUP(CH$1,main!$A$3:$H$102,8,FALSE),main!$K$26:$M$29,2,FALSE)+VLOOKUP(VLOOKUP(CH$1,main!$A$3:$H$102,7,FALSE),main!$K$19:$O$22,MATCH(VLOOKUP($A60,main!$A$3:$H$102,8,FALSE),main!$K$18:$O$18,0))))),1,0)</f>
        <v>1</v>
      </c>
      <c r="CI60">
        <f>IF((AND(VLOOKUP(CI$1,main!$A$3:$H$102,5,FALSE)-VLOOKUP($A60,main!$A$3:$H$102,6,FALSE)&gt;=(VLOOKUP(VLOOKUP(CI$1,main!$A$3:$H$102,8,FALSE),main!$K$26:$M$29,2,FALSE)+VLOOKUP(VLOOKUP(CI$1,main!$A$3:$H$102,7,FALSE),main!$K$19:$O$22,MATCH(VLOOKUP($A60,main!$A$3:$H$102,8,FALSE),main!$K$18:$O$18,0))))),1,0)</f>
        <v>1</v>
      </c>
      <c r="CJ60">
        <f>IF((AND(VLOOKUP(CJ$1,main!$A$3:$H$102,5,FALSE)-VLOOKUP($A60,main!$A$3:$H$102,6,FALSE)&gt;=(VLOOKUP(VLOOKUP(CJ$1,main!$A$3:$H$102,8,FALSE),main!$K$26:$M$29,2,FALSE)+VLOOKUP(VLOOKUP(CJ$1,main!$A$3:$H$102,7,FALSE),main!$K$19:$O$22,MATCH(VLOOKUP($A60,main!$A$3:$H$102,8,FALSE),main!$K$18:$O$18,0))))),1,0)</f>
        <v>0</v>
      </c>
      <c r="CK60">
        <f>IF((AND(VLOOKUP(CK$1,main!$A$3:$H$102,5,FALSE)-VLOOKUP($A60,main!$A$3:$H$102,6,FALSE)&gt;=(VLOOKUP(VLOOKUP(CK$1,main!$A$3:$H$102,8,FALSE),main!$K$26:$M$29,2,FALSE)+VLOOKUP(VLOOKUP(CK$1,main!$A$3:$H$102,7,FALSE),main!$K$19:$O$22,MATCH(VLOOKUP($A60,main!$A$3:$H$102,8,FALSE),main!$K$18:$O$18,0))))),1,0)</f>
        <v>0</v>
      </c>
      <c r="CL60">
        <f>IF((AND(VLOOKUP(CL$1,main!$A$3:$H$102,5,FALSE)-VLOOKUP($A60,main!$A$3:$H$102,6,FALSE)&gt;=(VLOOKUP(VLOOKUP(CL$1,main!$A$3:$H$102,8,FALSE),main!$K$26:$M$29,2,FALSE)+VLOOKUP(VLOOKUP(CL$1,main!$A$3:$H$102,7,FALSE),main!$K$19:$O$22,MATCH(VLOOKUP($A60,main!$A$3:$H$102,8,FALSE),main!$K$18:$O$18,0))))),1,0)</f>
        <v>0</v>
      </c>
      <c r="CM60">
        <f>IF((AND(VLOOKUP(CM$1,main!$A$3:$H$102,5,FALSE)-VLOOKUP($A60,main!$A$3:$H$102,6,FALSE)&gt;=(VLOOKUP(VLOOKUP(CM$1,main!$A$3:$H$102,8,FALSE),main!$K$26:$M$29,2,FALSE)+VLOOKUP(VLOOKUP(CM$1,main!$A$3:$H$102,7,FALSE),main!$K$19:$O$22,MATCH(VLOOKUP($A60,main!$A$3:$H$102,8,FALSE),main!$K$18:$O$18,0))))),1,0)</f>
        <v>0</v>
      </c>
      <c r="CN60">
        <f>IF((AND(VLOOKUP(CN$1,main!$A$3:$H$102,5,FALSE)-VLOOKUP($A60,main!$A$3:$H$102,6,FALSE)&gt;=(VLOOKUP(VLOOKUP(CN$1,main!$A$3:$H$102,8,FALSE),main!$K$26:$M$29,2,FALSE)+VLOOKUP(VLOOKUP(CN$1,main!$A$3:$H$102,7,FALSE),main!$K$19:$O$22,MATCH(VLOOKUP($A60,main!$A$3:$H$102,8,FALSE),main!$K$18:$O$18,0))))),1,0)</f>
        <v>1</v>
      </c>
      <c r="CO60">
        <f>IF((AND(VLOOKUP(CO$1,main!$A$3:$H$102,5,FALSE)-VLOOKUP($A60,main!$A$3:$H$102,6,FALSE)&gt;=(VLOOKUP(VLOOKUP(CO$1,main!$A$3:$H$102,8,FALSE),main!$K$26:$M$29,2,FALSE)+VLOOKUP(VLOOKUP(CO$1,main!$A$3:$H$102,7,FALSE),main!$K$19:$O$22,MATCH(VLOOKUP($A60,main!$A$3:$H$102,8,FALSE),main!$K$18:$O$18,0))))),1,0)</f>
        <v>0</v>
      </c>
      <c r="CP60">
        <f>IF((AND(VLOOKUP(CP$1,main!$A$3:$H$102,5,FALSE)-VLOOKUP($A60,main!$A$3:$H$102,6,FALSE)&gt;=(VLOOKUP(VLOOKUP(CP$1,main!$A$3:$H$102,8,FALSE),main!$K$26:$M$29,2,FALSE)+VLOOKUP(VLOOKUP(CP$1,main!$A$3:$H$102,7,FALSE),main!$K$19:$O$22,MATCH(VLOOKUP($A60,main!$A$3:$H$102,8,FALSE),main!$K$18:$O$18,0))))),1,0)</f>
        <v>0</v>
      </c>
      <c r="CQ60">
        <f>IF((AND(VLOOKUP(CQ$1,main!$A$3:$H$102,5,FALSE)-VLOOKUP($A60,main!$A$3:$H$102,6,FALSE)&gt;=(VLOOKUP(VLOOKUP(CQ$1,main!$A$3:$H$102,8,FALSE),main!$K$26:$M$29,2,FALSE)+VLOOKUP(VLOOKUP(CQ$1,main!$A$3:$H$102,7,FALSE),main!$K$19:$O$22,MATCH(VLOOKUP($A60,main!$A$3:$H$102,8,FALSE),main!$K$18:$O$18,0))))),1,0)</f>
        <v>0</v>
      </c>
      <c r="CR60">
        <f>IF((AND(VLOOKUP(CR$1,main!$A$3:$H$102,5,FALSE)-VLOOKUP($A60,main!$A$3:$H$102,6,FALSE)&gt;=(VLOOKUP(VLOOKUP(CR$1,main!$A$3:$H$102,8,FALSE),main!$K$26:$M$29,2,FALSE)+VLOOKUP(VLOOKUP(CR$1,main!$A$3:$H$102,7,FALSE),main!$K$19:$O$22,MATCH(VLOOKUP($A60,main!$A$3:$H$102,8,FALSE),main!$K$18:$O$18,0))))),1,0)</f>
        <v>0</v>
      </c>
      <c r="CS60">
        <f>IF((AND(VLOOKUP(CS$1,main!$A$3:$H$102,5,FALSE)-VLOOKUP($A60,main!$A$3:$H$102,6,FALSE)&gt;=(VLOOKUP(VLOOKUP(CS$1,main!$A$3:$H$102,8,FALSE),main!$K$26:$M$29,2,FALSE)+VLOOKUP(VLOOKUP(CS$1,main!$A$3:$H$102,7,FALSE),main!$K$19:$O$22,MATCH(VLOOKUP($A60,main!$A$3:$H$102,8,FALSE),main!$K$18:$O$18,0))))),1,0)</f>
        <v>0</v>
      </c>
      <c r="CT60">
        <f>IF((AND(VLOOKUP(CT$1,main!$A$3:$H$102,5,FALSE)-VLOOKUP($A60,main!$A$3:$H$102,6,FALSE)&gt;=(VLOOKUP(VLOOKUP(CT$1,main!$A$3:$H$102,8,FALSE),main!$K$26:$M$29,2,FALSE)+VLOOKUP(VLOOKUP(CT$1,main!$A$3:$H$102,7,FALSE),main!$K$19:$O$22,MATCH(VLOOKUP($A60,main!$A$3:$H$102,8,FALSE),main!$K$18:$O$18,0))))),1,0)</f>
        <v>0</v>
      </c>
      <c r="CU60">
        <f>IF((AND(VLOOKUP(CU$1,main!$A$3:$H$102,5,FALSE)-VLOOKUP($A60,main!$A$3:$H$102,6,FALSE)&gt;=(VLOOKUP(VLOOKUP(CU$1,main!$A$3:$H$102,8,FALSE),main!$K$26:$M$29,2,FALSE)+VLOOKUP(VLOOKUP(CU$1,main!$A$3:$H$102,7,FALSE),main!$K$19:$O$22,MATCH(VLOOKUP($A60,main!$A$3:$H$102,8,FALSE),main!$K$18:$O$18,0))))),1,0)</f>
        <v>0</v>
      </c>
      <c r="CV60">
        <f>IF((AND(VLOOKUP(CV$1,main!$A$3:$H$102,5,FALSE)-VLOOKUP($A60,main!$A$3:$H$102,6,FALSE)&gt;=(VLOOKUP(VLOOKUP(CV$1,main!$A$3:$H$102,8,FALSE),main!$K$26:$M$29,2,FALSE)+VLOOKUP(VLOOKUP(CV$1,main!$A$3:$H$102,7,FALSE),main!$K$19:$O$22,MATCH(VLOOKUP($A60,main!$A$3:$H$102,8,FALSE),main!$K$18:$O$18,0))))),1,0)</f>
        <v>0</v>
      </c>
      <c r="CW60">
        <f>IF((AND(VLOOKUP(CW$1,main!$A$3:$H$102,5,FALSE)-VLOOKUP($A60,main!$A$3:$H$102,6,FALSE)&gt;=(VLOOKUP(VLOOKUP(CW$1,main!$A$3:$H$102,8,FALSE),main!$K$26:$M$29,2,FALSE)+VLOOKUP(VLOOKUP(CW$1,main!$A$3:$H$102,7,FALSE),main!$K$19:$O$22,MATCH(VLOOKUP($A60,main!$A$3:$H$102,8,FALSE),main!$K$18:$O$18,0))))),1,0)</f>
        <v>0</v>
      </c>
      <c r="CX60">
        <f>IF((AND(VLOOKUP(CX$1,main!$A$3:$H$102,5,FALSE)-VLOOKUP($A60,main!$A$3:$H$102,6,FALSE)&gt;=(VLOOKUP(VLOOKUP(CX$1,main!$A$3:$H$102,8,FALSE),main!$K$26:$M$29,2,FALSE)+VLOOKUP(VLOOKUP(CX$1,main!$A$3:$H$102,7,FALSE),main!$K$19:$O$22,MATCH(VLOOKUP($A60,main!$A$3:$H$102,8,FALSE),main!$K$18:$O$18,0))))),1,0)</f>
        <v>1</v>
      </c>
    </row>
    <row r="61" spans="1:102" x14ac:dyDescent="0.25">
      <c r="A61" s="1">
        <v>59</v>
      </c>
      <c r="B61">
        <v>1</v>
      </c>
      <c r="C61">
        <f>IF((AND(VLOOKUP(C$1,main!$A$3:$H$102,5,FALSE)-VLOOKUP($A61,main!$A$3:$H$102,6,FALSE)&gt;=(VLOOKUP(VLOOKUP(C$1,main!$A$3:$H$102,8,FALSE),main!$K$26:$M$29,2,FALSE)+VLOOKUP(VLOOKUP(C$1,main!$A$3:$H$102,7,FALSE),main!$K$19:$O$22,MATCH(VLOOKUP($A61,main!$A$3:$H$102,8,FALSE),main!$K$18:$O$18,0))))),1,0)</f>
        <v>0</v>
      </c>
      <c r="D61">
        <f>IF((AND(VLOOKUP(D$1,main!$A$3:$H$102,5,FALSE)-VLOOKUP($A61,main!$A$3:$H$102,6,FALSE)&gt;=(VLOOKUP(VLOOKUP(D$1,main!$A$3:$H$102,8,FALSE),main!$K$26:$M$29,2,FALSE)+VLOOKUP(VLOOKUP(D$1,main!$A$3:$H$102,7,FALSE),main!$K$19:$O$22,MATCH(VLOOKUP($A61,main!$A$3:$H$102,8,FALSE),main!$K$18:$O$18,0))))),1,0)</f>
        <v>0</v>
      </c>
      <c r="E61">
        <f>IF((AND(VLOOKUP(E$1,main!$A$3:$H$102,5,FALSE)-VLOOKUP($A61,main!$A$3:$H$102,6,FALSE)&gt;=(VLOOKUP(VLOOKUP(E$1,main!$A$3:$H$102,8,FALSE),main!$K$26:$M$29,2,FALSE)+VLOOKUP(VLOOKUP(E$1,main!$A$3:$H$102,7,FALSE),main!$K$19:$O$22,MATCH(VLOOKUP($A61,main!$A$3:$H$102,8,FALSE),main!$K$18:$O$18,0))))),1,0)</f>
        <v>0</v>
      </c>
      <c r="F61">
        <f>IF((AND(VLOOKUP(F$1,main!$A$3:$H$102,5,FALSE)-VLOOKUP($A61,main!$A$3:$H$102,6,FALSE)&gt;=(VLOOKUP(VLOOKUP(F$1,main!$A$3:$H$102,8,FALSE),main!$K$26:$M$29,2,FALSE)+VLOOKUP(VLOOKUP(F$1,main!$A$3:$H$102,7,FALSE),main!$K$19:$O$22,MATCH(VLOOKUP($A61,main!$A$3:$H$102,8,FALSE),main!$K$18:$O$18,0))))),1,0)</f>
        <v>0</v>
      </c>
      <c r="G61">
        <f>IF((AND(VLOOKUP(G$1,main!$A$3:$H$102,5,FALSE)-VLOOKUP($A61,main!$A$3:$H$102,6,FALSE)&gt;=(VLOOKUP(VLOOKUP(G$1,main!$A$3:$H$102,8,FALSE),main!$K$26:$M$29,2,FALSE)+VLOOKUP(VLOOKUP(G$1,main!$A$3:$H$102,7,FALSE),main!$K$19:$O$22,MATCH(VLOOKUP($A61,main!$A$3:$H$102,8,FALSE),main!$K$18:$O$18,0))))),1,0)</f>
        <v>0</v>
      </c>
      <c r="H61">
        <f>IF((AND(VLOOKUP(H$1,main!$A$3:$H$102,5,FALSE)-VLOOKUP($A61,main!$A$3:$H$102,6,FALSE)&gt;=(VLOOKUP(VLOOKUP(H$1,main!$A$3:$H$102,8,FALSE),main!$K$26:$M$29,2,FALSE)+VLOOKUP(VLOOKUP(H$1,main!$A$3:$H$102,7,FALSE),main!$K$19:$O$22,MATCH(VLOOKUP($A61,main!$A$3:$H$102,8,FALSE),main!$K$18:$O$18,0))))),1,0)</f>
        <v>0</v>
      </c>
      <c r="I61">
        <f>IF((AND(VLOOKUP(I$1,main!$A$3:$H$102,5,FALSE)-VLOOKUP($A61,main!$A$3:$H$102,6,FALSE)&gt;=(VLOOKUP(VLOOKUP(I$1,main!$A$3:$H$102,8,FALSE),main!$K$26:$M$29,2,FALSE)+VLOOKUP(VLOOKUP(I$1,main!$A$3:$H$102,7,FALSE),main!$K$19:$O$22,MATCH(VLOOKUP($A61,main!$A$3:$H$102,8,FALSE),main!$K$18:$O$18,0))))),1,0)</f>
        <v>0</v>
      </c>
      <c r="J61">
        <f>IF((AND(VLOOKUP(J$1,main!$A$3:$H$102,5,FALSE)-VLOOKUP($A61,main!$A$3:$H$102,6,FALSE)&gt;=(VLOOKUP(VLOOKUP(J$1,main!$A$3:$H$102,8,FALSE),main!$K$26:$M$29,2,FALSE)+VLOOKUP(VLOOKUP(J$1,main!$A$3:$H$102,7,FALSE),main!$K$19:$O$22,MATCH(VLOOKUP($A61,main!$A$3:$H$102,8,FALSE),main!$K$18:$O$18,0))))),1,0)</f>
        <v>0</v>
      </c>
      <c r="K61">
        <f>IF((AND(VLOOKUP(K$1,main!$A$3:$H$102,5,FALSE)-VLOOKUP($A61,main!$A$3:$H$102,6,FALSE)&gt;=(VLOOKUP(VLOOKUP(K$1,main!$A$3:$H$102,8,FALSE),main!$K$26:$M$29,2,FALSE)+VLOOKUP(VLOOKUP(K$1,main!$A$3:$H$102,7,FALSE),main!$K$19:$O$22,MATCH(VLOOKUP($A61,main!$A$3:$H$102,8,FALSE),main!$K$18:$O$18,0))))),1,0)</f>
        <v>0</v>
      </c>
      <c r="L61">
        <f>IF((AND(VLOOKUP(L$1,main!$A$3:$H$102,5,FALSE)-VLOOKUP($A61,main!$A$3:$H$102,6,FALSE)&gt;=(VLOOKUP(VLOOKUP(L$1,main!$A$3:$H$102,8,FALSE),main!$K$26:$M$29,2,FALSE)+VLOOKUP(VLOOKUP(L$1,main!$A$3:$H$102,7,FALSE),main!$K$19:$O$22,MATCH(VLOOKUP($A61,main!$A$3:$H$102,8,FALSE),main!$K$18:$O$18,0))))),1,0)</f>
        <v>0</v>
      </c>
      <c r="M61">
        <f>IF((AND(VLOOKUP(M$1,main!$A$3:$H$102,5,FALSE)-VLOOKUP($A61,main!$A$3:$H$102,6,FALSE)&gt;=(VLOOKUP(VLOOKUP(M$1,main!$A$3:$H$102,8,FALSE),main!$K$26:$M$29,2,FALSE)+VLOOKUP(VLOOKUP(M$1,main!$A$3:$H$102,7,FALSE),main!$K$19:$O$22,MATCH(VLOOKUP($A61,main!$A$3:$H$102,8,FALSE),main!$K$18:$O$18,0))))),1,0)</f>
        <v>0</v>
      </c>
      <c r="N61">
        <f>IF((AND(VLOOKUP(N$1,main!$A$3:$H$102,5,FALSE)-VLOOKUP($A61,main!$A$3:$H$102,6,FALSE)&gt;=(VLOOKUP(VLOOKUP(N$1,main!$A$3:$H$102,8,FALSE),main!$K$26:$M$29,2,FALSE)+VLOOKUP(VLOOKUP(N$1,main!$A$3:$H$102,7,FALSE),main!$K$19:$O$22,MATCH(VLOOKUP($A61,main!$A$3:$H$102,8,FALSE),main!$K$18:$O$18,0))))),1,0)</f>
        <v>0</v>
      </c>
      <c r="O61">
        <f>IF((AND(VLOOKUP(O$1,main!$A$3:$H$102,5,FALSE)-VLOOKUP($A61,main!$A$3:$H$102,6,FALSE)&gt;=(VLOOKUP(VLOOKUP(O$1,main!$A$3:$H$102,8,FALSE),main!$K$26:$M$29,2,FALSE)+VLOOKUP(VLOOKUP(O$1,main!$A$3:$H$102,7,FALSE),main!$K$19:$O$22,MATCH(VLOOKUP($A61,main!$A$3:$H$102,8,FALSE),main!$K$18:$O$18,0))))),1,0)</f>
        <v>0</v>
      </c>
      <c r="P61">
        <f>IF((AND(VLOOKUP(P$1,main!$A$3:$H$102,5,FALSE)-VLOOKUP($A61,main!$A$3:$H$102,6,FALSE)&gt;=(VLOOKUP(VLOOKUP(P$1,main!$A$3:$H$102,8,FALSE),main!$K$26:$M$29,2,FALSE)+VLOOKUP(VLOOKUP(P$1,main!$A$3:$H$102,7,FALSE),main!$K$19:$O$22,MATCH(VLOOKUP($A61,main!$A$3:$H$102,8,FALSE),main!$K$18:$O$18,0))))),1,0)</f>
        <v>0</v>
      </c>
      <c r="Q61">
        <f>IF((AND(VLOOKUP(Q$1,main!$A$3:$H$102,5,FALSE)-VLOOKUP($A61,main!$A$3:$H$102,6,FALSE)&gt;=(VLOOKUP(VLOOKUP(Q$1,main!$A$3:$H$102,8,FALSE),main!$K$26:$M$29,2,FALSE)+VLOOKUP(VLOOKUP(Q$1,main!$A$3:$H$102,7,FALSE),main!$K$19:$O$22,MATCH(VLOOKUP($A61,main!$A$3:$H$102,8,FALSE),main!$K$18:$O$18,0))))),1,0)</f>
        <v>0</v>
      </c>
      <c r="R61">
        <f>IF((AND(VLOOKUP(R$1,main!$A$3:$H$102,5,FALSE)-VLOOKUP($A61,main!$A$3:$H$102,6,FALSE)&gt;=(VLOOKUP(VLOOKUP(R$1,main!$A$3:$H$102,8,FALSE),main!$K$26:$M$29,2,FALSE)+VLOOKUP(VLOOKUP(R$1,main!$A$3:$H$102,7,FALSE),main!$K$19:$O$22,MATCH(VLOOKUP($A61,main!$A$3:$H$102,8,FALSE),main!$K$18:$O$18,0))))),1,0)</f>
        <v>0</v>
      </c>
      <c r="S61">
        <f>IF((AND(VLOOKUP(S$1,main!$A$3:$H$102,5,FALSE)-VLOOKUP($A61,main!$A$3:$H$102,6,FALSE)&gt;=(VLOOKUP(VLOOKUP(S$1,main!$A$3:$H$102,8,FALSE),main!$K$26:$M$29,2,FALSE)+VLOOKUP(VLOOKUP(S$1,main!$A$3:$H$102,7,FALSE),main!$K$19:$O$22,MATCH(VLOOKUP($A61,main!$A$3:$H$102,8,FALSE),main!$K$18:$O$18,0))))),1,0)</f>
        <v>0</v>
      </c>
      <c r="T61">
        <f>IF((AND(VLOOKUP(T$1,main!$A$3:$H$102,5,FALSE)-VLOOKUP($A61,main!$A$3:$H$102,6,FALSE)&gt;=(VLOOKUP(VLOOKUP(T$1,main!$A$3:$H$102,8,FALSE),main!$K$26:$M$29,2,FALSE)+VLOOKUP(VLOOKUP(T$1,main!$A$3:$H$102,7,FALSE),main!$K$19:$O$22,MATCH(VLOOKUP($A61,main!$A$3:$H$102,8,FALSE),main!$K$18:$O$18,0))))),1,0)</f>
        <v>0</v>
      </c>
      <c r="U61">
        <f>IF((AND(VLOOKUP(U$1,main!$A$3:$H$102,5,FALSE)-VLOOKUP($A61,main!$A$3:$H$102,6,FALSE)&gt;=(VLOOKUP(VLOOKUP(U$1,main!$A$3:$H$102,8,FALSE),main!$K$26:$M$29,2,FALSE)+VLOOKUP(VLOOKUP(U$1,main!$A$3:$H$102,7,FALSE),main!$K$19:$O$22,MATCH(VLOOKUP($A61,main!$A$3:$H$102,8,FALSE),main!$K$18:$O$18,0))))),1,0)</f>
        <v>0</v>
      </c>
      <c r="V61">
        <f>IF((AND(VLOOKUP(V$1,main!$A$3:$H$102,5,FALSE)-VLOOKUP($A61,main!$A$3:$H$102,6,FALSE)&gt;=(VLOOKUP(VLOOKUP(V$1,main!$A$3:$H$102,8,FALSE),main!$K$26:$M$29,2,FALSE)+VLOOKUP(VLOOKUP(V$1,main!$A$3:$H$102,7,FALSE),main!$K$19:$O$22,MATCH(VLOOKUP($A61,main!$A$3:$H$102,8,FALSE),main!$K$18:$O$18,0))))),1,0)</f>
        <v>0</v>
      </c>
      <c r="W61">
        <f>IF((AND(VLOOKUP(W$1,main!$A$3:$H$102,5,FALSE)-VLOOKUP($A61,main!$A$3:$H$102,6,FALSE)&gt;=(VLOOKUP(VLOOKUP(W$1,main!$A$3:$H$102,8,FALSE),main!$K$26:$M$29,2,FALSE)+VLOOKUP(VLOOKUP(W$1,main!$A$3:$H$102,7,FALSE),main!$K$19:$O$22,MATCH(VLOOKUP($A61,main!$A$3:$H$102,8,FALSE),main!$K$18:$O$18,0))))),1,0)</f>
        <v>0</v>
      </c>
      <c r="X61">
        <f>IF((AND(VLOOKUP(X$1,main!$A$3:$H$102,5,FALSE)-VLOOKUP($A61,main!$A$3:$H$102,6,FALSE)&gt;=(VLOOKUP(VLOOKUP(X$1,main!$A$3:$H$102,8,FALSE),main!$K$26:$M$29,2,FALSE)+VLOOKUP(VLOOKUP(X$1,main!$A$3:$H$102,7,FALSE),main!$K$19:$O$22,MATCH(VLOOKUP($A61,main!$A$3:$H$102,8,FALSE),main!$K$18:$O$18,0))))),1,0)</f>
        <v>0</v>
      </c>
      <c r="Y61">
        <f>IF((AND(VLOOKUP(Y$1,main!$A$3:$H$102,5,FALSE)-VLOOKUP($A61,main!$A$3:$H$102,6,FALSE)&gt;=(VLOOKUP(VLOOKUP(Y$1,main!$A$3:$H$102,8,FALSE),main!$K$26:$M$29,2,FALSE)+VLOOKUP(VLOOKUP(Y$1,main!$A$3:$H$102,7,FALSE),main!$K$19:$O$22,MATCH(VLOOKUP($A61,main!$A$3:$H$102,8,FALSE),main!$K$18:$O$18,0))))),1,0)</f>
        <v>0</v>
      </c>
      <c r="Z61">
        <f>IF((AND(VLOOKUP(Z$1,main!$A$3:$H$102,5,FALSE)-VLOOKUP($A61,main!$A$3:$H$102,6,FALSE)&gt;=(VLOOKUP(VLOOKUP(Z$1,main!$A$3:$H$102,8,FALSE),main!$K$26:$M$29,2,FALSE)+VLOOKUP(VLOOKUP(Z$1,main!$A$3:$H$102,7,FALSE),main!$K$19:$O$22,MATCH(VLOOKUP($A61,main!$A$3:$H$102,8,FALSE),main!$K$18:$O$18,0))))),1,0)</f>
        <v>0</v>
      </c>
      <c r="AA61">
        <f>IF((AND(VLOOKUP(AA$1,main!$A$3:$H$102,5,FALSE)-VLOOKUP($A61,main!$A$3:$H$102,6,FALSE)&gt;=(VLOOKUP(VLOOKUP(AA$1,main!$A$3:$H$102,8,FALSE),main!$K$26:$M$29,2,FALSE)+VLOOKUP(VLOOKUP(AA$1,main!$A$3:$H$102,7,FALSE),main!$K$19:$O$22,MATCH(VLOOKUP($A61,main!$A$3:$H$102,8,FALSE),main!$K$18:$O$18,0))))),1,0)</f>
        <v>0</v>
      </c>
      <c r="AB61">
        <f>IF((AND(VLOOKUP(AB$1,main!$A$3:$H$102,5,FALSE)-VLOOKUP($A61,main!$A$3:$H$102,6,FALSE)&gt;=(VLOOKUP(VLOOKUP(AB$1,main!$A$3:$H$102,8,FALSE),main!$K$26:$M$29,2,FALSE)+VLOOKUP(VLOOKUP(AB$1,main!$A$3:$H$102,7,FALSE),main!$K$19:$O$22,MATCH(VLOOKUP($A61,main!$A$3:$H$102,8,FALSE),main!$K$18:$O$18,0))))),1,0)</f>
        <v>0</v>
      </c>
      <c r="AC61">
        <f>IF((AND(VLOOKUP(AC$1,main!$A$3:$H$102,5,FALSE)-VLOOKUP($A61,main!$A$3:$H$102,6,FALSE)&gt;=(VLOOKUP(VLOOKUP(AC$1,main!$A$3:$H$102,8,FALSE),main!$K$26:$M$29,2,FALSE)+VLOOKUP(VLOOKUP(AC$1,main!$A$3:$H$102,7,FALSE),main!$K$19:$O$22,MATCH(VLOOKUP($A61,main!$A$3:$H$102,8,FALSE),main!$K$18:$O$18,0))))),1,0)</f>
        <v>0</v>
      </c>
      <c r="AD61">
        <f>IF((AND(VLOOKUP(AD$1,main!$A$3:$H$102,5,FALSE)-VLOOKUP($A61,main!$A$3:$H$102,6,FALSE)&gt;=(VLOOKUP(VLOOKUP(AD$1,main!$A$3:$H$102,8,FALSE),main!$K$26:$M$29,2,FALSE)+VLOOKUP(VLOOKUP(AD$1,main!$A$3:$H$102,7,FALSE),main!$K$19:$O$22,MATCH(VLOOKUP($A61,main!$A$3:$H$102,8,FALSE),main!$K$18:$O$18,0))))),1,0)</f>
        <v>0</v>
      </c>
      <c r="AE61">
        <f>IF((AND(VLOOKUP(AE$1,main!$A$3:$H$102,5,FALSE)-VLOOKUP($A61,main!$A$3:$H$102,6,FALSE)&gt;=(VLOOKUP(VLOOKUP(AE$1,main!$A$3:$H$102,8,FALSE),main!$K$26:$M$29,2,FALSE)+VLOOKUP(VLOOKUP(AE$1,main!$A$3:$H$102,7,FALSE),main!$K$19:$O$22,MATCH(VLOOKUP($A61,main!$A$3:$H$102,8,FALSE),main!$K$18:$O$18,0))))),1,0)</f>
        <v>0</v>
      </c>
      <c r="AF61">
        <f>IF((AND(VLOOKUP(AF$1,main!$A$3:$H$102,5,FALSE)-VLOOKUP($A61,main!$A$3:$H$102,6,FALSE)&gt;=(VLOOKUP(VLOOKUP(AF$1,main!$A$3:$H$102,8,FALSE),main!$K$26:$M$29,2,FALSE)+VLOOKUP(VLOOKUP(AF$1,main!$A$3:$H$102,7,FALSE),main!$K$19:$O$22,MATCH(VLOOKUP($A61,main!$A$3:$H$102,8,FALSE),main!$K$18:$O$18,0))))),1,0)</f>
        <v>0</v>
      </c>
      <c r="AG61">
        <f>IF((AND(VLOOKUP(AG$1,main!$A$3:$H$102,5,FALSE)-VLOOKUP($A61,main!$A$3:$H$102,6,FALSE)&gt;=(VLOOKUP(VLOOKUP(AG$1,main!$A$3:$H$102,8,FALSE),main!$K$26:$M$29,2,FALSE)+VLOOKUP(VLOOKUP(AG$1,main!$A$3:$H$102,7,FALSE),main!$K$19:$O$22,MATCH(VLOOKUP($A61,main!$A$3:$H$102,8,FALSE),main!$K$18:$O$18,0))))),1,0)</f>
        <v>0</v>
      </c>
      <c r="AH61">
        <f>IF((AND(VLOOKUP(AH$1,main!$A$3:$H$102,5,FALSE)-VLOOKUP($A61,main!$A$3:$H$102,6,FALSE)&gt;=(VLOOKUP(VLOOKUP(AH$1,main!$A$3:$H$102,8,FALSE),main!$K$26:$M$29,2,FALSE)+VLOOKUP(VLOOKUP(AH$1,main!$A$3:$H$102,7,FALSE),main!$K$19:$O$22,MATCH(VLOOKUP($A61,main!$A$3:$H$102,8,FALSE),main!$K$18:$O$18,0))))),1,0)</f>
        <v>0</v>
      </c>
      <c r="AI61">
        <f>IF((AND(VLOOKUP(AI$1,main!$A$3:$H$102,5,FALSE)-VLOOKUP($A61,main!$A$3:$H$102,6,FALSE)&gt;=(VLOOKUP(VLOOKUP(AI$1,main!$A$3:$H$102,8,FALSE),main!$K$26:$M$29,2,FALSE)+VLOOKUP(VLOOKUP(AI$1,main!$A$3:$H$102,7,FALSE),main!$K$19:$O$22,MATCH(VLOOKUP($A61,main!$A$3:$H$102,8,FALSE),main!$K$18:$O$18,0))))),1,0)</f>
        <v>0</v>
      </c>
      <c r="AJ61">
        <f>IF((AND(VLOOKUP(AJ$1,main!$A$3:$H$102,5,FALSE)-VLOOKUP($A61,main!$A$3:$H$102,6,FALSE)&gt;=(VLOOKUP(VLOOKUP(AJ$1,main!$A$3:$H$102,8,FALSE),main!$K$26:$M$29,2,FALSE)+VLOOKUP(VLOOKUP(AJ$1,main!$A$3:$H$102,7,FALSE),main!$K$19:$O$22,MATCH(VLOOKUP($A61,main!$A$3:$H$102,8,FALSE),main!$K$18:$O$18,0))))),1,0)</f>
        <v>0</v>
      </c>
      <c r="AK61">
        <f>IF((AND(VLOOKUP(AK$1,main!$A$3:$H$102,5,FALSE)-VLOOKUP($A61,main!$A$3:$H$102,6,FALSE)&gt;=(VLOOKUP(VLOOKUP(AK$1,main!$A$3:$H$102,8,FALSE),main!$K$26:$M$29,2,FALSE)+VLOOKUP(VLOOKUP(AK$1,main!$A$3:$H$102,7,FALSE),main!$K$19:$O$22,MATCH(VLOOKUP($A61,main!$A$3:$H$102,8,FALSE),main!$K$18:$O$18,0))))),1,0)</f>
        <v>0</v>
      </c>
      <c r="AL61">
        <f>IF((AND(VLOOKUP(AL$1,main!$A$3:$H$102,5,FALSE)-VLOOKUP($A61,main!$A$3:$H$102,6,FALSE)&gt;=(VLOOKUP(VLOOKUP(AL$1,main!$A$3:$H$102,8,FALSE),main!$K$26:$M$29,2,FALSE)+VLOOKUP(VLOOKUP(AL$1,main!$A$3:$H$102,7,FALSE),main!$K$19:$O$22,MATCH(VLOOKUP($A61,main!$A$3:$H$102,8,FALSE),main!$K$18:$O$18,0))))),1,0)</f>
        <v>0</v>
      </c>
      <c r="AM61">
        <f>IF((AND(VLOOKUP(AM$1,main!$A$3:$H$102,5,FALSE)-VLOOKUP($A61,main!$A$3:$H$102,6,FALSE)&gt;=(VLOOKUP(VLOOKUP(AM$1,main!$A$3:$H$102,8,FALSE),main!$K$26:$M$29,2,FALSE)+VLOOKUP(VLOOKUP(AM$1,main!$A$3:$H$102,7,FALSE),main!$K$19:$O$22,MATCH(VLOOKUP($A61,main!$A$3:$H$102,8,FALSE),main!$K$18:$O$18,0))))),1,0)</f>
        <v>0</v>
      </c>
      <c r="AN61">
        <f>IF((AND(VLOOKUP(AN$1,main!$A$3:$H$102,5,FALSE)-VLOOKUP($A61,main!$A$3:$H$102,6,FALSE)&gt;=(VLOOKUP(VLOOKUP(AN$1,main!$A$3:$H$102,8,FALSE),main!$K$26:$M$29,2,FALSE)+VLOOKUP(VLOOKUP(AN$1,main!$A$3:$H$102,7,FALSE),main!$K$19:$O$22,MATCH(VLOOKUP($A61,main!$A$3:$H$102,8,FALSE),main!$K$18:$O$18,0))))),1,0)</f>
        <v>0</v>
      </c>
      <c r="AO61">
        <f>IF((AND(VLOOKUP(AO$1,main!$A$3:$H$102,5,FALSE)-VLOOKUP($A61,main!$A$3:$H$102,6,FALSE)&gt;=(VLOOKUP(VLOOKUP(AO$1,main!$A$3:$H$102,8,FALSE),main!$K$26:$M$29,2,FALSE)+VLOOKUP(VLOOKUP(AO$1,main!$A$3:$H$102,7,FALSE),main!$K$19:$O$22,MATCH(VLOOKUP($A61,main!$A$3:$H$102,8,FALSE),main!$K$18:$O$18,0))))),1,0)</f>
        <v>0</v>
      </c>
      <c r="AP61">
        <f>IF((AND(VLOOKUP(AP$1,main!$A$3:$H$102,5,FALSE)-VLOOKUP($A61,main!$A$3:$H$102,6,FALSE)&gt;=(VLOOKUP(VLOOKUP(AP$1,main!$A$3:$H$102,8,FALSE),main!$K$26:$M$29,2,FALSE)+VLOOKUP(VLOOKUP(AP$1,main!$A$3:$H$102,7,FALSE),main!$K$19:$O$22,MATCH(VLOOKUP($A61,main!$A$3:$H$102,8,FALSE),main!$K$18:$O$18,0))))),1,0)</f>
        <v>0</v>
      </c>
      <c r="AQ61">
        <f>IF((AND(VLOOKUP(AQ$1,main!$A$3:$H$102,5,FALSE)-VLOOKUP($A61,main!$A$3:$H$102,6,FALSE)&gt;=(VLOOKUP(VLOOKUP(AQ$1,main!$A$3:$H$102,8,FALSE),main!$K$26:$M$29,2,FALSE)+VLOOKUP(VLOOKUP(AQ$1,main!$A$3:$H$102,7,FALSE),main!$K$19:$O$22,MATCH(VLOOKUP($A61,main!$A$3:$H$102,8,FALSE),main!$K$18:$O$18,0))))),1,0)</f>
        <v>0</v>
      </c>
      <c r="AR61">
        <f>IF((AND(VLOOKUP(AR$1,main!$A$3:$H$102,5,FALSE)-VLOOKUP($A61,main!$A$3:$H$102,6,FALSE)&gt;=(VLOOKUP(VLOOKUP(AR$1,main!$A$3:$H$102,8,FALSE),main!$K$26:$M$29,2,FALSE)+VLOOKUP(VLOOKUP(AR$1,main!$A$3:$H$102,7,FALSE),main!$K$19:$O$22,MATCH(VLOOKUP($A61,main!$A$3:$H$102,8,FALSE),main!$K$18:$O$18,0))))),1,0)</f>
        <v>0</v>
      </c>
      <c r="AS61">
        <f>IF((AND(VLOOKUP(AS$1,main!$A$3:$H$102,5,FALSE)-VLOOKUP($A61,main!$A$3:$H$102,6,FALSE)&gt;=(VLOOKUP(VLOOKUP(AS$1,main!$A$3:$H$102,8,FALSE),main!$K$26:$M$29,2,FALSE)+VLOOKUP(VLOOKUP(AS$1,main!$A$3:$H$102,7,FALSE),main!$K$19:$O$22,MATCH(VLOOKUP($A61,main!$A$3:$H$102,8,FALSE),main!$K$18:$O$18,0))))),1,0)</f>
        <v>0</v>
      </c>
      <c r="AT61">
        <f>IF((AND(VLOOKUP(AT$1,main!$A$3:$H$102,5,FALSE)-VLOOKUP($A61,main!$A$3:$H$102,6,FALSE)&gt;=(VLOOKUP(VLOOKUP(AT$1,main!$A$3:$H$102,8,FALSE),main!$K$26:$M$29,2,FALSE)+VLOOKUP(VLOOKUP(AT$1,main!$A$3:$H$102,7,FALSE),main!$K$19:$O$22,MATCH(VLOOKUP($A61,main!$A$3:$H$102,8,FALSE),main!$K$18:$O$18,0))))),1,0)</f>
        <v>0</v>
      </c>
      <c r="AU61">
        <f>IF((AND(VLOOKUP(AU$1,main!$A$3:$H$102,5,FALSE)-VLOOKUP($A61,main!$A$3:$H$102,6,FALSE)&gt;=(VLOOKUP(VLOOKUP(AU$1,main!$A$3:$H$102,8,FALSE),main!$K$26:$M$29,2,FALSE)+VLOOKUP(VLOOKUP(AU$1,main!$A$3:$H$102,7,FALSE),main!$K$19:$O$22,MATCH(VLOOKUP($A61,main!$A$3:$H$102,8,FALSE),main!$K$18:$O$18,0))))),1,0)</f>
        <v>0</v>
      </c>
      <c r="AV61">
        <f>IF((AND(VLOOKUP(AV$1,main!$A$3:$H$102,5,FALSE)-VLOOKUP($A61,main!$A$3:$H$102,6,FALSE)&gt;=(VLOOKUP(VLOOKUP(AV$1,main!$A$3:$H$102,8,FALSE),main!$K$26:$M$29,2,FALSE)+VLOOKUP(VLOOKUP(AV$1,main!$A$3:$H$102,7,FALSE),main!$K$19:$O$22,MATCH(VLOOKUP($A61,main!$A$3:$H$102,8,FALSE),main!$K$18:$O$18,0))))),1,0)</f>
        <v>0</v>
      </c>
      <c r="AW61">
        <f>IF((AND(VLOOKUP(AW$1,main!$A$3:$H$102,5,FALSE)-VLOOKUP($A61,main!$A$3:$H$102,6,FALSE)&gt;=(VLOOKUP(VLOOKUP(AW$1,main!$A$3:$H$102,8,FALSE),main!$K$26:$M$29,2,FALSE)+VLOOKUP(VLOOKUP(AW$1,main!$A$3:$H$102,7,FALSE),main!$K$19:$O$22,MATCH(VLOOKUP($A61,main!$A$3:$H$102,8,FALSE),main!$K$18:$O$18,0))))),1,0)</f>
        <v>0</v>
      </c>
      <c r="AX61">
        <f>IF((AND(VLOOKUP(AX$1,main!$A$3:$H$102,5,FALSE)-VLOOKUP($A61,main!$A$3:$H$102,6,FALSE)&gt;=(VLOOKUP(VLOOKUP(AX$1,main!$A$3:$H$102,8,FALSE),main!$K$26:$M$29,2,FALSE)+VLOOKUP(VLOOKUP(AX$1,main!$A$3:$H$102,7,FALSE),main!$K$19:$O$22,MATCH(VLOOKUP($A61,main!$A$3:$H$102,8,FALSE),main!$K$18:$O$18,0))))),1,0)</f>
        <v>0</v>
      </c>
      <c r="AY61">
        <f>IF((AND(VLOOKUP(AY$1,main!$A$3:$H$102,5,FALSE)-VLOOKUP($A61,main!$A$3:$H$102,6,FALSE)&gt;=(VLOOKUP(VLOOKUP(AY$1,main!$A$3:$H$102,8,FALSE),main!$K$26:$M$29,2,FALSE)+VLOOKUP(VLOOKUP(AY$1,main!$A$3:$H$102,7,FALSE),main!$K$19:$O$22,MATCH(VLOOKUP($A61,main!$A$3:$H$102,8,FALSE),main!$K$18:$O$18,0))))),1,0)</f>
        <v>0</v>
      </c>
      <c r="AZ61">
        <f>IF((AND(VLOOKUP(AZ$1,main!$A$3:$H$102,5,FALSE)-VLOOKUP($A61,main!$A$3:$H$102,6,FALSE)&gt;=(VLOOKUP(VLOOKUP(AZ$1,main!$A$3:$H$102,8,FALSE),main!$K$26:$M$29,2,FALSE)+VLOOKUP(VLOOKUP(AZ$1,main!$A$3:$H$102,7,FALSE),main!$K$19:$O$22,MATCH(VLOOKUP($A61,main!$A$3:$H$102,8,FALSE),main!$K$18:$O$18,0))))),1,0)</f>
        <v>0</v>
      </c>
      <c r="BA61">
        <f>IF((AND(VLOOKUP(BA$1,main!$A$3:$H$102,5,FALSE)-VLOOKUP($A61,main!$A$3:$H$102,6,FALSE)&gt;=(VLOOKUP(VLOOKUP(BA$1,main!$A$3:$H$102,8,FALSE),main!$K$26:$M$29,2,FALSE)+VLOOKUP(VLOOKUP(BA$1,main!$A$3:$H$102,7,FALSE),main!$K$19:$O$22,MATCH(VLOOKUP($A61,main!$A$3:$H$102,8,FALSE),main!$K$18:$O$18,0))))),1,0)</f>
        <v>0</v>
      </c>
      <c r="BB61">
        <f>IF((AND(VLOOKUP(BB$1,main!$A$3:$H$102,5,FALSE)-VLOOKUP($A61,main!$A$3:$H$102,6,FALSE)&gt;=(VLOOKUP(VLOOKUP(BB$1,main!$A$3:$H$102,8,FALSE),main!$K$26:$M$29,2,FALSE)+VLOOKUP(VLOOKUP(BB$1,main!$A$3:$H$102,7,FALSE),main!$K$19:$O$22,MATCH(VLOOKUP($A61,main!$A$3:$H$102,8,FALSE),main!$K$18:$O$18,0))))),1,0)</f>
        <v>0</v>
      </c>
      <c r="BC61">
        <f>IF((AND(VLOOKUP(BC$1,main!$A$3:$H$102,5,FALSE)-VLOOKUP($A61,main!$A$3:$H$102,6,FALSE)&gt;=(VLOOKUP(VLOOKUP(BC$1,main!$A$3:$H$102,8,FALSE),main!$K$26:$M$29,2,FALSE)+VLOOKUP(VLOOKUP(BC$1,main!$A$3:$H$102,7,FALSE),main!$K$19:$O$22,MATCH(VLOOKUP($A61,main!$A$3:$H$102,8,FALSE),main!$K$18:$O$18,0))))),1,0)</f>
        <v>0</v>
      </c>
      <c r="BD61">
        <f>IF((AND(VLOOKUP(BD$1,main!$A$3:$H$102,5,FALSE)-VLOOKUP($A61,main!$A$3:$H$102,6,FALSE)&gt;=(VLOOKUP(VLOOKUP(BD$1,main!$A$3:$H$102,8,FALSE),main!$K$26:$M$29,2,FALSE)+VLOOKUP(VLOOKUP(BD$1,main!$A$3:$H$102,7,FALSE),main!$K$19:$O$22,MATCH(VLOOKUP($A61,main!$A$3:$H$102,8,FALSE),main!$K$18:$O$18,0))))),1,0)</f>
        <v>0</v>
      </c>
      <c r="BE61">
        <f>IF((AND(VLOOKUP(BE$1,main!$A$3:$H$102,5,FALSE)-VLOOKUP($A61,main!$A$3:$H$102,6,FALSE)&gt;=(VLOOKUP(VLOOKUP(BE$1,main!$A$3:$H$102,8,FALSE),main!$K$26:$M$29,2,FALSE)+VLOOKUP(VLOOKUP(BE$1,main!$A$3:$H$102,7,FALSE),main!$K$19:$O$22,MATCH(VLOOKUP($A61,main!$A$3:$H$102,8,FALSE),main!$K$18:$O$18,0))))),1,0)</f>
        <v>0</v>
      </c>
      <c r="BF61">
        <f>IF((AND(VLOOKUP(BF$1,main!$A$3:$H$102,5,FALSE)-VLOOKUP($A61,main!$A$3:$H$102,6,FALSE)&gt;=(VLOOKUP(VLOOKUP(BF$1,main!$A$3:$H$102,8,FALSE),main!$K$26:$M$29,2,FALSE)+VLOOKUP(VLOOKUP(BF$1,main!$A$3:$H$102,7,FALSE),main!$K$19:$O$22,MATCH(VLOOKUP($A61,main!$A$3:$H$102,8,FALSE),main!$K$18:$O$18,0))))),1,0)</f>
        <v>0</v>
      </c>
      <c r="BG61">
        <f>IF((AND(VLOOKUP(BG$1,main!$A$3:$H$102,5,FALSE)-VLOOKUP($A61,main!$A$3:$H$102,6,FALSE)&gt;=(VLOOKUP(VLOOKUP(BG$1,main!$A$3:$H$102,8,FALSE),main!$K$26:$M$29,2,FALSE)+VLOOKUP(VLOOKUP(BG$1,main!$A$3:$H$102,7,FALSE),main!$K$19:$O$22,MATCH(VLOOKUP($A61,main!$A$3:$H$102,8,FALSE),main!$K$18:$O$18,0))))),1,0)</f>
        <v>0</v>
      </c>
      <c r="BH61">
        <f>IF((AND(VLOOKUP(BH$1,main!$A$3:$H$102,5,FALSE)-VLOOKUP($A61,main!$A$3:$H$102,6,FALSE)&gt;=(VLOOKUP(VLOOKUP(BH$1,main!$A$3:$H$102,8,FALSE),main!$K$26:$M$29,2,FALSE)+VLOOKUP(VLOOKUP(BH$1,main!$A$3:$H$102,7,FALSE),main!$K$19:$O$22,MATCH(VLOOKUP($A61,main!$A$3:$H$102,8,FALSE),main!$K$18:$O$18,0))))),1,0)</f>
        <v>0</v>
      </c>
      <c r="BI61">
        <f>IF((AND(VLOOKUP(BI$1,main!$A$3:$H$102,5,FALSE)-VLOOKUP($A61,main!$A$3:$H$102,6,FALSE)&gt;=(VLOOKUP(VLOOKUP(BI$1,main!$A$3:$H$102,8,FALSE),main!$K$26:$M$29,2,FALSE)+VLOOKUP(VLOOKUP(BI$1,main!$A$3:$H$102,7,FALSE),main!$K$19:$O$22,MATCH(VLOOKUP($A61,main!$A$3:$H$102,8,FALSE),main!$K$18:$O$18,0))))),1,0)</f>
        <v>0</v>
      </c>
      <c r="BJ61">
        <f>IF((AND(VLOOKUP(BJ$1,main!$A$3:$H$102,5,FALSE)-VLOOKUP($A61,main!$A$3:$H$102,6,FALSE)&gt;=(VLOOKUP(VLOOKUP(BJ$1,main!$A$3:$H$102,8,FALSE),main!$K$26:$M$29,2,FALSE)+VLOOKUP(VLOOKUP(BJ$1,main!$A$3:$H$102,7,FALSE),main!$K$19:$O$22,MATCH(VLOOKUP($A61,main!$A$3:$H$102,8,FALSE),main!$K$18:$O$18,0))))),1,0)</f>
        <v>0</v>
      </c>
      <c r="BK61">
        <f>IF((AND(VLOOKUP(BK$1,main!$A$3:$H$102,5,FALSE)-VLOOKUP($A61,main!$A$3:$H$102,6,FALSE)&gt;=(VLOOKUP(VLOOKUP(BK$1,main!$A$3:$H$102,8,FALSE),main!$K$26:$M$29,2,FALSE)+VLOOKUP(VLOOKUP(BK$1,main!$A$3:$H$102,7,FALSE),main!$K$19:$O$22,MATCH(VLOOKUP($A61,main!$A$3:$H$102,8,FALSE),main!$K$18:$O$18,0))))),1,0)</f>
        <v>0</v>
      </c>
      <c r="BL61">
        <f>IF((AND(VLOOKUP(BL$1,main!$A$3:$H$102,5,FALSE)-VLOOKUP($A61,main!$A$3:$H$102,6,FALSE)&gt;=(VLOOKUP(VLOOKUP(BL$1,main!$A$3:$H$102,8,FALSE),main!$K$26:$M$29,2,FALSE)+VLOOKUP(VLOOKUP(BL$1,main!$A$3:$H$102,7,FALSE),main!$K$19:$O$22,MATCH(VLOOKUP($A61,main!$A$3:$H$102,8,FALSE),main!$K$18:$O$18,0))))),1,0)</f>
        <v>0</v>
      </c>
      <c r="BM61">
        <f>IF((AND(VLOOKUP(BM$1,main!$A$3:$H$102,5,FALSE)-VLOOKUP($A61,main!$A$3:$H$102,6,FALSE)&gt;=(VLOOKUP(VLOOKUP(BM$1,main!$A$3:$H$102,8,FALSE),main!$K$26:$M$29,2,FALSE)+VLOOKUP(VLOOKUP(BM$1,main!$A$3:$H$102,7,FALSE),main!$K$19:$O$22,MATCH(VLOOKUP($A61,main!$A$3:$H$102,8,FALSE),main!$K$18:$O$18,0))))),1,0)</f>
        <v>0</v>
      </c>
      <c r="BN61">
        <f>IF((AND(VLOOKUP(BN$1,main!$A$3:$H$102,5,FALSE)-VLOOKUP($A61,main!$A$3:$H$102,6,FALSE)&gt;=(VLOOKUP(VLOOKUP(BN$1,main!$A$3:$H$102,8,FALSE),main!$K$26:$M$29,2,FALSE)+VLOOKUP(VLOOKUP(BN$1,main!$A$3:$H$102,7,FALSE),main!$K$19:$O$22,MATCH(VLOOKUP($A61,main!$A$3:$H$102,8,FALSE),main!$K$18:$O$18,0))))),1,0)</f>
        <v>0</v>
      </c>
      <c r="BO61">
        <f>IF((AND(VLOOKUP(BO$1,main!$A$3:$H$102,5,FALSE)-VLOOKUP($A61,main!$A$3:$H$102,6,FALSE)&gt;=(VLOOKUP(VLOOKUP(BO$1,main!$A$3:$H$102,8,FALSE),main!$K$26:$M$29,2,FALSE)+VLOOKUP(VLOOKUP(BO$1,main!$A$3:$H$102,7,FALSE),main!$K$19:$O$22,MATCH(VLOOKUP($A61,main!$A$3:$H$102,8,FALSE),main!$K$18:$O$18,0))))),1,0)</f>
        <v>0</v>
      </c>
      <c r="BP61">
        <f>IF((AND(VLOOKUP(BP$1,main!$A$3:$H$102,5,FALSE)-VLOOKUP($A61,main!$A$3:$H$102,6,FALSE)&gt;=(VLOOKUP(VLOOKUP(BP$1,main!$A$3:$H$102,8,FALSE),main!$K$26:$M$29,2,FALSE)+VLOOKUP(VLOOKUP(BP$1,main!$A$3:$H$102,7,FALSE),main!$K$19:$O$22,MATCH(VLOOKUP($A61,main!$A$3:$H$102,8,FALSE),main!$K$18:$O$18,0))))),1,0)</f>
        <v>0</v>
      </c>
      <c r="BQ61">
        <f>IF((AND(VLOOKUP(BQ$1,main!$A$3:$H$102,5,FALSE)-VLOOKUP($A61,main!$A$3:$H$102,6,FALSE)&gt;=(VLOOKUP(VLOOKUP(BQ$1,main!$A$3:$H$102,8,FALSE),main!$K$26:$M$29,2,FALSE)+VLOOKUP(VLOOKUP(BQ$1,main!$A$3:$H$102,7,FALSE),main!$K$19:$O$22,MATCH(VLOOKUP($A61,main!$A$3:$H$102,8,FALSE),main!$K$18:$O$18,0))))),1,0)</f>
        <v>0</v>
      </c>
      <c r="BR61">
        <f>IF((AND(VLOOKUP(BR$1,main!$A$3:$H$102,5,FALSE)-VLOOKUP($A61,main!$A$3:$H$102,6,FALSE)&gt;=(VLOOKUP(VLOOKUP(BR$1,main!$A$3:$H$102,8,FALSE),main!$K$26:$M$29,2,FALSE)+VLOOKUP(VLOOKUP(BR$1,main!$A$3:$H$102,7,FALSE),main!$K$19:$O$22,MATCH(VLOOKUP($A61,main!$A$3:$H$102,8,FALSE),main!$K$18:$O$18,0))))),1,0)</f>
        <v>0</v>
      </c>
      <c r="BS61">
        <f>IF((AND(VLOOKUP(BS$1,main!$A$3:$H$102,5,FALSE)-VLOOKUP($A61,main!$A$3:$H$102,6,FALSE)&gt;=(VLOOKUP(VLOOKUP(BS$1,main!$A$3:$H$102,8,FALSE),main!$K$26:$M$29,2,FALSE)+VLOOKUP(VLOOKUP(BS$1,main!$A$3:$H$102,7,FALSE),main!$K$19:$O$22,MATCH(VLOOKUP($A61,main!$A$3:$H$102,8,FALSE),main!$K$18:$O$18,0))))),1,0)</f>
        <v>0</v>
      </c>
      <c r="BT61">
        <f>IF((AND(VLOOKUP(BT$1,main!$A$3:$H$102,5,FALSE)-VLOOKUP($A61,main!$A$3:$H$102,6,FALSE)&gt;=(VLOOKUP(VLOOKUP(BT$1,main!$A$3:$H$102,8,FALSE),main!$K$26:$M$29,2,FALSE)+VLOOKUP(VLOOKUP(BT$1,main!$A$3:$H$102,7,FALSE),main!$K$19:$O$22,MATCH(VLOOKUP($A61,main!$A$3:$H$102,8,FALSE),main!$K$18:$O$18,0))))),1,0)</f>
        <v>0</v>
      </c>
      <c r="BU61">
        <f>IF((AND(VLOOKUP(BU$1,main!$A$3:$H$102,5,FALSE)-VLOOKUP($A61,main!$A$3:$H$102,6,FALSE)&gt;=(VLOOKUP(VLOOKUP(BU$1,main!$A$3:$H$102,8,FALSE),main!$K$26:$M$29,2,FALSE)+VLOOKUP(VLOOKUP(BU$1,main!$A$3:$H$102,7,FALSE),main!$K$19:$O$22,MATCH(VLOOKUP($A61,main!$A$3:$H$102,8,FALSE),main!$K$18:$O$18,0))))),1,0)</f>
        <v>0</v>
      </c>
      <c r="BV61">
        <f>IF((AND(VLOOKUP(BV$1,main!$A$3:$H$102,5,FALSE)-VLOOKUP($A61,main!$A$3:$H$102,6,FALSE)&gt;=(VLOOKUP(VLOOKUP(BV$1,main!$A$3:$H$102,8,FALSE),main!$K$26:$M$29,2,FALSE)+VLOOKUP(VLOOKUP(BV$1,main!$A$3:$H$102,7,FALSE),main!$K$19:$O$22,MATCH(VLOOKUP($A61,main!$A$3:$H$102,8,FALSE),main!$K$18:$O$18,0))))),1,0)</f>
        <v>0</v>
      </c>
      <c r="BW61">
        <f>IF((AND(VLOOKUP(BW$1,main!$A$3:$H$102,5,FALSE)-VLOOKUP($A61,main!$A$3:$H$102,6,FALSE)&gt;=(VLOOKUP(VLOOKUP(BW$1,main!$A$3:$H$102,8,FALSE),main!$K$26:$M$29,2,FALSE)+VLOOKUP(VLOOKUP(BW$1,main!$A$3:$H$102,7,FALSE),main!$K$19:$O$22,MATCH(VLOOKUP($A61,main!$A$3:$H$102,8,FALSE),main!$K$18:$O$18,0))))),1,0)</f>
        <v>0</v>
      </c>
      <c r="BX61">
        <f>IF((AND(VLOOKUP(BX$1,main!$A$3:$H$102,5,FALSE)-VLOOKUP($A61,main!$A$3:$H$102,6,FALSE)&gt;=(VLOOKUP(VLOOKUP(BX$1,main!$A$3:$H$102,8,FALSE),main!$K$26:$M$29,2,FALSE)+VLOOKUP(VLOOKUP(BX$1,main!$A$3:$H$102,7,FALSE),main!$K$19:$O$22,MATCH(VLOOKUP($A61,main!$A$3:$H$102,8,FALSE),main!$K$18:$O$18,0))))),1,0)</f>
        <v>0</v>
      </c>
      <c r="BY61">
        <f>IF((AND(VLOOKUP(BY$1,main!$A$3:$H$102,5,FALSE)-VLOOKUP($A61,main!$A$3:$H$102,6,FALSE)&gt;=(VLOOKUP(VLOOKUP(BY$1,main!$A$3:$H$102,8,FALSE),main!$K$26:$M$29,2,FALSE)+VLOOKUP(VLOOKUP(BY$1,main!$A$3:$H$102,7,FALSE),main!$K$19:$O$22,MATCH(VLOOKUP($A61,main!$A$3:$H$102,8,FALSE),main!$K$18:$O$18,0))))),1,0)</f>
        <v>0</v>
      </c>
      <c r="BZ61">
        <f>IF((AND(VLOOKUP(BZ$1,main!$A$3:$H$102,5,FALSE)-VLOOKUP($A61,main!$A$3:$H$102,6,FALSE)&gt;=(VLOOKUP(VLOOKUP(BZ$1,main!$A$3:$H$102,8,FALSE),main!$K$26:$M$29,2,FALSE)+VLOOKUP(VLOOKUP(BZ$1,main!$A$3:$H$102,7,FALSE),main!$K$19:$O$22,MATCH(VLOOKUP($A61,main!$A$3:$H$102,8,FALSE),main!$K$18:$O$18,0))))),1,0)</f>
        <v>0</v>
      </c>
      <c r="CA61">
        <f>IF((AND(VLOOKUP(CA$1,main!$A$3:$H$102,5,FALSE)-VLOOKUP($A61,main!$A$3:$H$102,6,FALSE)&gt;=(VLOOKUP(VLOOKUP(CA$1,main!$A$3:$H$102,8,FALSE),main!$K$26:$M$29,2,FALSE)+VLOOKUP(VLOOKUP(CA$1,main!$A$3:$H$102,7,FALSE),main!$K$19:$O$22,MATCH(VLOOKUP($A61,main!$A$3:$H$102,8,FALSE),main!$K$18:$O$18,0))))),1,0)</f>
        <v>0</v>
      </c>
      <c r="CB61">
        <f>IF((AND(VLOOKUP(CB$1,main!$A$3:$H$102,5,FALSE)-VLOOKUP($A61,main!$A$3:$H$102,6,FALSE)&gt;=(VLOOKUP(VLOOKUP(CB$1,main!$A$3:$H$102,8,FALSE),main!$K$26:$M$29,2,FALSE)+VLOOKUP(VLOOKUP(CB$1,main!$A$3:$H$102,7,FALSE),main!$K$19:$O$22,MATCH(VLOOKUP($A61,main!$A$3:$H$102,8,FALSE),main!$K$18:$O$18,0))))),1,0)</f>
        <v>0</v>
      </c>
      <c r="CC61">
        <f>IF((AND(VLOOKUP(CC$1,main!$A$3:$H$102,5,FALSE)-VLOOKUP($A61,main!$A$3:$H$102,6,FALSE)&gt;=(VLOOKUP(VLOOKUP(CC$1,main!$A$3:$H$102,8,FALSE),main!$K$26:$M$29,2,FALSE)+VLOOKUP(VLOOKUP(CC$1,main!$A$3:$H$102,7,FALSE),main!$K$19:$O$22,MATCH(VLOOKUP($A61,main!$A$3:$H$102,8,FALSE),main!$K$18:$O$18,0))))),1,0)</f>
        <v>0</v>
      </c>
      <c r="CD61">
        <f>IF((AND(VLOOKUP(CD$1,main!$A$3:$H$102,5,FALSE)-VLOOKUP($A61,main!$A$3:$H$102,6,FALSE)&gt;=(VLOOKUP(VLOOKUP(CD$1,main!$A$3:$H$102,8,FALSE),main!$K$26:$M$29,2,FALSE)+VLOOKUP(VLOOKUP(CD$1,main!$A$3:$H$102,7,FALSE),main!$K$19:$O$22,MATCH(VLOOKUP($A61,main!$A$3:$H$102,8,FALSE),main!$K$18:$O$18,0))))),1,0)</f>
        <v>0</v>
      </c>
      <c r="CE61">
        <f>IF((AND(VLOOKUP(CE$1,main!$A$3:$H$102,5,FALSE)-VLOOKUP($A61,main!$A$3:$H$102,6,FALSE)&gt;=(VLOOKUP(VLOOKUP(CE$1,main!$A$3:$H$102,8,FALSE),main!$K$26:$M$29,2,FALSE)+VLOOKUP(VLOOKUP(CE$1,main!$A$3:$H$102,7,FALSE),main!$K$19:$O$22,MATCH(VLOOKUP($A61,main!$A$3:$H$102,8,FALSE),main!$K$18:$O$18,0))))),1,0)</f>
        <v>0</v>
      </c>
      <c r="CF61">
        <f>IF((AND(VLOOKUP(CF$1,main!$A$3:$H$102,5,FALSE)-VLOOKUP($A61,main!$A$3:$H$102,6,FALSE)&gt;=(VLOOKUP(VLOOKUP(CF$1,main!$A$3:$H$102,8,FALSE),main!$K$26:$M$29,2,FALSE)+VLOOKUP(VLOOKUP(CF$1,main!$A$3:$H$102,7,FALSE),main!$K$19:$O$22,MATCH(VLOOKUP($A61,main!$A$3:$H$102,8,FALSE),main!$K$18:$O$18,0))))),1,0)</f>
        <v>0</v>
      </c>
      <c r="CG61">
        <f>IF((AND(VLOOKUP(CG$1,main!$A$3:$H$102,5,FALSE)-VLOOKUP($A61,main!$A$3:$H$102,6,FALSE)&gt;=(VLOOKUP(VLOOKUP(CG$1,main!$A$3:$H$102,8,FALSE),main!$K$26:$M$29,2,FALSE)+VLOOKUP(VLOOKUP(CG$1,main!$A$3:$H$102,7,FALSE),main!$K$19:$O$22,MATCH(VLOOKUP($A61,main!$A$3:$H$102,8,FALSE),main!$K$18:$O$18,0))))),1,0)</f>
        <v>0</v>
      </c>
      <c r="CH61">
        <f>IF((AND(VLOOKUP(CH$1,main!$A$3:$H$102,5,FALSE)-VLOOKUP($A61,main!$A$3:$H$102,6,FALSE)&gt;=(VLOOKUP(VLOOKUP(CH$1,main!$A$3:$H$102,8,FALSE),main!$K$26:$M$29,2,FALSE)+VLOOKUP(VLOOKUP(CH$1,main!$A$3:$H$102,7,FALSE),main!$K$19:$O$22,MATCH(VLOOKUP($A61,main!$A$3:$H$102,8,FALSE),main!$K$18:$O$18,0))))),1,0)</f>
        <v>0</v>
      </c>
      <c r="CI61">
        <f>IF((AND(VLOOKUP(CI$1,main!$A$3:$H$102,5,FALSE)-VLOOKUP($A61,main!$A$3:$H$102,6,FALSE)&gt;=(VLOOKUP(VLOOKUP(CI$1,main!$A$3:$H$102,8,FALSE),main!$K$26:$M$29,2,FALSE)+VLOOKUP(VLOOKUP(CI$1,main!$A$3:$H$102,7,FALSE),main!$K$19:$O$22,MATCH(VLOOKUP($A61,main!$A$3:$H$102,8,FALSE),main!$K$18:$O$18,0))))),1,0)</f>
        <v>0</v>
      </c>
      <c r="CJ61">
        <f>IF((AND(VLOOKUP(CJ$1,main!$A$3:$H$102,5,FALSE)-VLOOKUP($A61,main!$A$3:$H$102,6,FALSE)&gt;=(VLOOKUP(VLOOKUP(CJ$1,main!$A$3:$H$102,8,FALSE),main!$K$26:$M$29,2,FALSE)+VLOOKUP(VLOOKUP(CJ$1,main!$A$3:$H$102,7,FALSE),main!$K$19:$O$22,MATCH(VLOOKUP($A61,main!$A$3:$H$102,8,FALSE),main!$K$18:$O$18,0))))),1,0)</f>
        <v>0</v>
      </c>
      <c r="CK61">
        <f>IF((AND(VLOOKUP(CK$1,main!$A$3:$H$102,5,FALSE)-VLOOKUP($A61,main!$A$3:$H$102,6,FALSE)&gt;=(VLOOKUP(VLOOKUP(CK$1,main!$A$3:$H$102,8,FALSE),main!$K$26:$M$29,2,FALSE)+VLOOKUP(VLOOKUP(CK$1,main!$A$3:$H$102,7,FALSE),main!$K$19:$O$22,MATCH(VLOOKUP($A61,main!$A$3:$H$102,8,FALSE),main!$K$18:$O$18,0))))),1,0)</f>
        <v>0</v>
      </c>
      <c r="CL61">
        <f>IF((AND(VLOOKUP(CL$1,main!$A$3:$H$102,5,FALSE)-VLOOKUP($A61,main!$A$3:$H$102,6,FALSE)&gt;=(VLOOKUP(VLOOKUP(CL$1,main!$A$3:$H$102,8,FALSE),main!$K$26:$M$29,2,FALSE)+VLOOKUP(VLOOKUP(CL$1,main!$A$3:$H$102,7,FALSE),main!$K$19:$O$22,MATCH(VLOOKUP($A61,main!$A$3:$H$102,8,FALSE),main!$K$18:$O$18,0))))),1,0)</f>
        <v>0</v>
      </c>
      <c r="CM61">
        <f>IF((AND(VLOOKUP(CM$1,main!$A$3:$H$102,5,FALSE)-VLOOKUP($A61,main!$A$3:$H$102,6,FALSE)&gt;=(VLOOKUP(VLOOKUP(CM$1,main!$A$3:$H$102,8,FALSE),main!$K$26:$M$29,2,FALSE)+VLOOKUP(VLOOKUP(CM$1,main!$A$3:$H$102,7,FALSE),main!$K$19:$O$22,MATCH(VLOOKUP($A61,main!$A$3:$H$102,8,FALSE),main!$K$18:$O$18,0))))),1,0)</f>
        <v>0</v>
      </c>
      <c r="CN61">
        <f>IF((AND(VLOOKUP(CN$1,main!$A$3:$H$102,5,FALSE)-VLOOKUP($A61,main!$A$3:$H$102,6,FALSE)&gt;=(VLOOKUP(VLOOKUP(CN$1,main!$A$3:$H$102,8,FALSE),main!$K$26:$M$29,2,FALSE)+VLOOKUP(VLOOKUP(CN$1,main!$A$3:$H$102,7,FALSE),main!$K$19:$O$22,MATCH(VLOOKUP($A61,main!$A$3:$H$102,8,FALSE),main!$K$18:$O$18,0))))),1,0)</f>
        <v>0</v>
      </c>
      <c r="CO61">
        <f>IF((AND(VLOOKUP(CO$1,main!$A$3:$H$102,5,FALSE)-VLOOKUP($A61,main!$A$3:$H$102,6,FALSE)&gt;=(VLOOKUP(VLOOKUP(CO$1,main!$A$3:$H$102,8,FALSE),main!$K$26:$M$29,2,FALSE)+VLOOKUP(VLOOKUP(CO$1,main!$A$3:$H$102,7,FALSE),main!$K$19:$O$22,MATCH(VLOOKUP($A61,main!$A$3:$H$102,8,FALSE),main!$K$18:$O$18,0))))),1,0)</f>
        <v>0</v>
      </c>
      <c r="CP61">
        <f>IF((AND(VLOOKUP(CP$1,main!$A$3:$H$102,5,FALSE)-VLOOKUP($A61,main!$A$3:$H$102,6,FALSE)&gt;=(VLOOKUP(VLOOKUP(CP$1,main!$A$3:$H$102,8,FALSE),main!$K$26:$M$29,2,FALSE)+VLOOKUP(VLOOKUP(CP$1,main!$A$3:$H$102,7,FALSE),main!$K$19:$O$22,MATCH(VLOOKUP($A61,main!$A$3:$H$102,8,FALSE),main!$K$18:$O$18,0))))),1,0)</f>
        <v>0</v>
      </c>
      <c r="CQ61">
        <f>IF((AND(VLOOKUP(CQ$1,main!$A$3:$H$102,5,FALSE)-VLOOKUP($A61,main!$A$3:$H$102,6,FALSE)&gt;=(VLOOKUP(VLOOKUP(CQ$1,main!$A$3:$H$102,8,FALSE),main!$K$26:$M$29,2,FALSE)+VLOOKUP(VLOOKUP(CQ$1,main!$A$3:$H$102,7,FALSE),main!$K$19:$O$22,MATCH(VLOOKUP($A61,main!$A$3:$H$102,8,FALSE),main!$K$18:$O$18,0))))),1,0)</f>
        <v>0</v>
      </c>
      <c r="CR61">
        <f>IF((AND(VLOOKUP(CR$1,main!$A$3:$H$102,5,FALSE)-VLOOKUP($A61,main!$A$3:$H$102,6,FALSE)&gt;=(VLOOKUP(VLOOKUP(CR$1,main!$A$3:$H$102,8,FALSE),main!$K$26:$M$29,2,FALSE)+VLOOKUP(VLOOKUP(CR$1,main!$A$3:$H$102,7,FALSE),main!$K$19:$O$22,MATCH(VLOOKUP($A61,main!$A$3:$H$102,8,FALSE),main!$K$18:$O$18,0))))),1,0)</f>
        <v>0</v>
      </c>
      <c r="CS61">
        <f>IF((AND(VLOOKUP(CS$1,main!$A$3:$H$102,5,FALSE)-VLOOKUP($A61,main!$A$3:$H$102,6,FALSE)&gt;=(VLOOKUP(VLOOKUP(CS$1,main!$A$3:$H$102,8,FALSE),main!$K$26:$M$29,2,FALSE)+VLOOKUP(VLOOKUP(CS$1,main!$A$3:$H$102,7,FALSE),main!$K$19:$O$22,MATCH(VLOOKUP($A61,main!$A$3:$H$102,8,FALSE),main!$K$18:$O$18,0))))),1,0)</f>
        <v>0</v>
      </c>
      <c r="CT61">
        <f>IF((AND(VLOOKUP(CT$1,main!$A$3:$H$102,5,FALSE)-VLOOKUP($A61,main!$A$3:$H$102,6,FALSE)&gt;=(VLOOKUP(VLOOKUP(CT$1,main!$A$3:$H$102,8,FALSE),main!$K$26:$M$29,2,FALSE)+VLOOKUP(VLOOKUP(CT$1,main!$A$3:$H$102,7,FALSE),main!$K$19:$O$22,MATCH(VLOOKUP($A61,main!$A$3:$H$102,8,FALSE),main!$K$18:$O$18,0))))),1,0)</f>
        <v>0</v>
      </c>
      <c r="CU61">
        <f>IF((AND(VLOOKUP(CU$1,main!$A$3:$H$102,5,FALSE)-VLOOKUP($A61,main!$A$3:$H$102,6,FALSE)&gt;=(VLOOKUP(VLOOKUP(CU$1,main!$A$3:$H$102,8,FALSE),main!$K$26:$M$29,2,FALSE)+VLOOKUP(VLOOKUP(CU$1,main!$A$3:$H$102,7,FALSE),main!$K$19:$O$22,MATCH(VLOOKUP($A61,main!$A$3:$H$102,8,FALSE),main!$K$18:$O$18,0))))),1,0)</f>
        <v>0</v>
      </c>
      <c r="CV61">
        <f>IF((AND(VLOOKUP(CV$1,main!$A$3:$H$102,5,FALSE)-VLOOKUP($A61,main!$A$3:$H$102,6,FALSE)&gt;=(VLOOKUP(VLOOKUP(CV$1,main!$A$3:$H$102,8,FALSE),main!$K$26:$M$29,2,FALSE)+VLOOKUP(VLOOKUP(CV$1,main!$A$3:$H$102,7,FALSE),main!$K$19:$O$22,MATCH(VLOOKUP($A61,main!$A$3:$H$102,8,FALSE),main!$K$18:$O$18,0))))),1,0)</f>
        <v>0</v>
      </c>
      <c r="CW61">
        <f>IF((AND(VLOOKUP(CW$1,main!$A$3:$H$102,5,FALSE)-VLOOKUP($A61,main!$A$3:$H$102,6,FALSE)&gt;=(VLOOKUP(VLOOKUP(CW$1,main!$A$3:$H$102,8,FALSE),main!$K$26:$M$29,2,FALSE)+VLOOKUP(VLOOKUP(CW$1,main!$A$3:$H$102,7,FALSE),main!$K$19:$O$22,MATCH(VLOOKUP($A61,main!$A$3:$H$102,8,FALSE),main!$K$18:$O$18,0))))),1,0)</f>
        <v>0</v>
      </c>
      <c r="CX61">
        <f>IF((AND(VLOOKUP(CX$1,main!$A$3:$H$102,5,FALSE)-VLOOKUP($A61,main!$A$3:$H$102,6,FALSE)&gt;=(VLOOKUP(VLOOKUP(CX$1,main!$A$3:$H$102,8,FALSE),main!$K$26:$M$29,2,FALSE)+VLOOKUP(VLOOKUP(CX$1,main!$A$3:$H$102,7,FALSE),main!$K$19:$O$22,MATCH(VLOOKUP($A61,main!$A$3:$H$102,8,FALSE),main!$K$18:$O$18,0))))),1,0)</f>
        <v>0</v>
      </c>
    </row>
    <row r="62" spans="1:102" x14ac:dyDescent="0.25">
      <c r="A62" s="1">
        <v>60</v>
      </c>
      <c r="B62">
        <v>1</v>
      </c>
      <c r="C62">
        <f>IF((AND(VLOOKUP(C$1,main!$A$3:$H$102,5,FALSE)-VLOOKUP($A62,main!$A$3:$H$102,6,FALSE)&gt;=(VLOOKUP(VLOOKUP(C$1,main!$A$3:$H$102,8,FALSE),main!$K$26:$M$29,2,FALSE)+VLOOKUP(VLOOKUP(C$1,main!$A$3:$H$102,7,FALSE),main!$K$19:$O$22,MATCH(VLOOKUP($A62,main!$A$3:$H$102,8,FALSE),main!$K$18:$O$18,0))))),1,0)</f>
        <v>0</v>
      </c>
      <c r="D62">
        <f>IF((AND(VLOOKUP(D$1,main!$A$3:$H$102,5,FALSE)-VLOOKUP($A62,main!$A$3:$H$102,6,FALSE)&gt;=(VLOOKUP(VLOOKUP(D$1,main!$A$3:$H$102,8,FALSE),main!$K$26:$M$29,2,FALSE)+VLOOKUP(VLOOKUP(D$1,main!$A$3:$H$102,7,FALSE),main!$K$19:$O$22,MATCH(VLOOKUP($A62,main!$A$3:$H$102,8,FALSE),main!$K$18:$O$18,0))))),1,0)</f>
        <v>0</v>
      </c>
      <c r="E62">
        <f>IF((AND(VLOOKUP(E$1,main!$A$3:$H$102,5,FALSE)-VLOOKUP($A62,main!$A$3:$H$102,6,FALSE)&gt;=(VLOOKUP(VLOOKUP(E$1,main!$A$3:$H$102,8,FALSE),main!$K$26:$M$29,2,FALSE)+VLOOKUP(VLOOKUP(E$1,main!$A$3:$H$102,7,FALSE),main!$K$19:$O$22,MATCH(VLOOKUP($A62,main!$A$3:$H$102,8,FALSE),main!$K$18:$O$18,0))))),1,0)</f>
        <v>0</v>
      </c>
      <c r="F62">
        <f>IF((AND(VLOOKUP(F$1,main!$A$3:$H$102,5,FALSE)-VLOOKUP($A62,main!$A$3:$H$102,6,FALSE)&gt;=(VLOOKUP(VLOOKUP(F$1,main!$A$3:$H$102,8,FALSE),main!$K$26:$M$29,2,FALSE)+VLOOKUP(VLOOKUP(F$1,main!$A$3:$H$102,7,FALSE),main!$K$19:$O$22,MATCH(VLOOKUP($A62,main!$A$3:$H$102,8,FALSE),main!$K$18:$O$18,0))))),1,0)</f>
        <v>0</v>
      </c>
      <c r="G62">
        <f>IF((AND(VLOOKUP(G$1,main!$A$3:$H$102,5,FALSE)-VLOOKUP($A62,main!$A$3:$H$102,6,FALSE)&gt;=(VLOOKUP(VLOOKUP(G$1,main!$A$3:$H$102,8,FALSE),main!$K$26:$M$29,2,FALSE)+VLOOKUP(VLOOKUP(G$1,main!$A$3:$H$102,7,FALSE),main!$K$19:$O$22,MATCH(VLOOKUP($A62,main!$A$3:$H$102,8,FALSE),main!$K$18:$O$18,0))))),1,0)</f>
        <v>0</v>
      </c>
      <c r="H62">
        <f>IF((AND(VLOOKUP(H$1,main!$A$3:$H$102,5,FALSE)-VLOOKUP($A62,main!$A$3:$H$102,6,FALSE)&gt;=(VLOOKUP(VLOOKUP(H$1,main!$A$3:$H$102,8,FALSE),main!$K$26:$M$29,2,FALSE)+VLOOKUP(VLOOKUP(H$1,main!$A$3:$H$102,7,FALSE),main!$K$19:$O$22,MATCH(VLOOKUP($A62,main!$A$3:$H$102,8,FALSE),main!$K$18:$O$18,0))))),1,0)</f>
        <v>0</v>
      </c>
      <c r="I62">
        <f>IF((AND(VLOOKUP(I$1,main!$A$3:$H$102,5,FALSE)-VLOOKUP($A62,main!$A$3:$H$102,6,FALSE)&gt;=(VLOOKUP(VLOOKUP(I$1,main!$A$3:$H$102,8,FALSE),main!$K$26:$M$29,2,FALSE)+VLOOKUP(VLOOKUP(I$1,main!$A$3:$H$102,7,FALSE),main!$K$19:$O$22,MATCH(VLOOKUP($A62,main!$A$3:$H$102,8,FALSE),main!$K$18:$O$18,0))))),1,0)</f>
        <v>0</v>
      </c>
      <c r="J62">
        <f>IF((AND(VLOOKUP(J$1,main!$A$3:$H$102,5,FALSE)-VLOOKUP($A62,main!$A$3:$H$102,6,FALSE)&gt;=(VLOOKUP(VLOOKUP(J$1,main!$A$3:$H$102,8,FALSE),main!$K$26:$M$29,2,FALSE)+VLOOKUP(VLOOKUP(J$1,main!$A$3:$H$102,7,FALSE),main!$K$19:$O$22,MATCH(VLOOKUP($A62,main!$A$3:$H$102,8,FALSE),main!$K$18:$O$18,0))))),1,0)</f>
        <v>0</v>
      </c>
      <c r="K62">
        <f>IF((AND(VLOOKUP(K$1,main!$A$3:$H$102,5,FALSE)-VLOOKUP($A62,main!$A$3:$H$102,6,FALSE)&gt;=(VLOOKUP(VLOOKUP(K$1,main!$A$3:$H$102,8,FALSE),main!$K$26:$M$29,2,FALSE)+VLOOKUP(VLOOKUP(K$1,main!$A$3:$H$102,7,FALSE),main!$K$19:$O$22,MATCH(VLOOKUP($A62,main!$A$3:$H$102,8,FALSE),main!$K$18:$O$18,0))))),1,0)</f>
        <v>0</v>
      </c>
      <c r="L62">
        <f>IF((AND(VLOOKUP(L$1,main!$A$3:$H$102,5,FALSE)-VLOOKUP($A62,main!$A$3:$H$102,6,FALSE)&gt;=(VLOOKUP(VLOOKUP(L$1,main!$A$3:$H$102,8,FALSE),main!$K$26:$M$29,2,FALSE)+VLOOKUP(VLOOKUP(L$1,main!$A$3:$H$102,7,FALSE),main!$K$19:$O$22,MATCH(VLOOKUP($A62,main!$A$3:$H$102,8,FALSE),main!$K$18:$O$18,0))))),1,0)</f>
        <v>1</v>
      </c>
      <c r="M62">
        <f>IF((AND(VLOOKUP(M$1,main!$A$3:$H$102,5,FALSE)-VLOOKUP($A62,main!$A$3:$H$102,6,FALSE)&gt;=(VLOOKUP(VLOOKUP(M$1,main!$A$3:$H$102,8,FALSE),main!$K$26:$M$29,2,FALSE)+VLOOKUP(VLOOKUP(M$1,main!$A$3:$H$102,7,FALSE),main!$K$19:$O$22,MATCH(VLOOKUP($A62,main!$A$3:$H$102,8,FALSE),main!$K$18:$O$18,0))))),1,0)</f>
        <v>0</v>
      </c>
      <c r="N62">
        <f>IF((AND(VLOOKUP(N$1,main!$A$3:$H$102,5,FALSE)-VLOOKUP($A62,main!$A$3:$H$102,6,FALSE)&gt;=(VLOOKUP(VLOOKUP(N$1,main!$A$3:$H$102,8,FALSE),main!$K$26:$M$29,2,FALSE)+VLOOKUP(VLOOKUP(N$1,main!$A$3:$H$102,7,FALSE),main!$K$19:$O$22,MATCH(VLOOKUP($A62,main!$A$3:$H$102,8,FALSE),main!$K$18:$O$18,0))))),1,0)</f>
        <v>0</v>
      </c>
      <c r="O62">
        <f>IF((AND(VLOOKUP(O$1,main!$A$3:$H$102,5,FALSE)-VLOOKUP($A62,main!$A$3:$H$102,6,FALSE)&gt;=(VLOOKUP(VLOOKUP(O$1,main!$A$3:$H$102,8,FALSE),main!$K$26:$M$29,2,FALSE)+VLOOKUP(VLOOKUP(O$1,main!$A$3:$H$102,7,FALSE),main!$K$19:$O$22,MATCH(VLOOKUP($A62,main!$A$3:$H$102,8,FALSE),main!$K$18:$O$18,0))))),1,0)</f>
        <v>0</v>
      </c>
      <c r="P62">
        <f>IF((AND(VLOOKUP(P$1,main!$A$3:$H$102,5,FALSE)-VLOOKUP($A62,main!$A$3:$H$102,6,FALSE)&gt;=(VLOOKUP(VLOOKUP(P$1,main!$A$3:$H$102,8,FALSE),main!$K$26:$M$29,2,FALSE)+VLOOKUP(VLOOKUP(P$1,main!$A$3:$H$102,7,FALSE),main!$K$19:$O$22,MATCH(VLOOKUP($A62,main!$A$3:$H$102,8,FALSE),main!$K$18:$O$18,0))))),1,0)</f>
        <v>0</v>
      </c>
      <c r="Q62">
        <f>IF((AND(VLOOKUP(Q$1,main!$A$3:$H$102,5,FALSE)-VLOOKUP($A62,main!$A$3:$H$102,6,FALSE)&gt;=(VLOOKUP(VLOOKUP(Q$1,main!$A$3:$H$102,8,FALSE),main!$K$26:$M$29,2,FALSE)+VLOOKUP(VLOOKUP(Q$1,main!$A$3:$H$102,7,FALSE),main!$K$19:$O$22,MATCH(VLOOKUP($A62,main!$A$3:$H$102,8,FALSE),main!$K$18:$O$18,0))))),1,0)</f>
        <v>0</v>
      </c>
      <c r="R62">
        <f>IF((AND(VLOOKUP(R$1,main!$A$3:$H$102,5,FALSE)-VLOOKUP($A62,main!$A$3:$H$102,6,FALSE)&gt;=(VLOOKUP(VLOOKUP(R$1,main!$A$3:$H$102,8,FALSE),main!$K$26:$M$29,2,FALSE)+VLOOKUP(VLOOKUP(R$1,main!$A$3:$H$102,7,FALSE),main!$K$19:$O$22,MATCH(VLOOKUP($A62,main!$A$3:$H$102,8,FALSE),main!$K$18:$O$18,0))))),1,0)</f>
        <v>0</v>
      </c>
      <c r="S62">
        <f>IF((AND(VLOOKUP(S$1,main!$A$3:$H$102,5,FALSE)-VLOOKUP($A62,main!$A$3:$H$102,6,FALSE)&gt;=(VLOOKUP(VLOOKUP(S$1,main!$A$3:$H$102,8,FALSE),main!$K$26:$M$29,2,FALSE)+VLOOKUP(VLOOKUP(S$1,main!$A$3:$H$102,7,FALSE),main!$K$19:$O$22,MATCH(VLOOKUP($A62,main!$A$3:$H$102,8,FALSE),main!$K$18:$O$18,0))))),1,0)</f>
        <v>0</v>
      </c>
      <c r="T62">
        <f>IF((AND(VLOOKUP(T$1,main!$A$3:$H$102,5,FALSE)-VLOOKUP($A62,main!$A$3:$H$102,6,FALSE)&gt;=(VLOOKUP(VLOOKUP(T$1,main!$A$3:$H$102,8,FALSE),main!$K$26:$M$29,2,FALSE)+VLOOKUP(VLOOKUP(T$1,main!$A$3:$H$102,7,FALSE),main!$K$19:$O$22,MATCH(VLOOKUP($A62,main!$A$3:$H$102,8,FALSE),main!$K$18:$O$18,0))))),1,0)</f>
        <v>0</v>
      </c>
      <c r="U62">
        <f>IF((AND(VLOOKUP(U$1,main!$A$3:$H$102,5,FALSE)-VLOOKUP($A62,main!$A$3:$H$102,6,FALSE)&gt;=(VLOOKUP(VLOOKUP(U$1,main!$A$3:$H$102,8,FALSE),main!$K$26:$M$29,2,FALSE)+VLOOKUP(VLOOKUP(U$1,main!$A$3:$H$102,7,FALSE),main!$K$19:$O$22,MATCH(VLOOKUP($A62,main!$A$3:$H$102,8,FALSE),main!$K$18:$O$18,0))))),1,0)</f>
        <v>1</v>
      </c>
      <c r="V62">
        <f>IF((AND(VLOOKUP(V$1,main!$A$3:$H$102,5,FALSE)-VLOOKUP($A62,main!$A$3:$H$102,6,FALSE)&gt;=(VLOOKUP(VLOOKUP(V$1,main!$A$3:$H$102,8,FALSE),main!$K$26:$M$29,2,FALSE)+VLOOKUP(VLOOKUP(V$1,main!$A$3:$H$102,7,FALSE),main!$K$19:$O$22,MATCH(VLOOKUP($A62,main!$A$3:$H$102,8,FALSE),main!$K$18:$O$18,0))))),1,0)</f>
        <v>1</v>
      </c>
      <c r="W62">
        <f>IF((AND(VLOOKUP(W$1,main!$A$3:$H$102,5,FALSE)-VLOOKUP($A62,main!$A$3:$H$102,6,FALSE)&gt;=(VLOOKUP(VLOOKUP(W$1,main!$A$3:$H$102,8,FALSE),main!$K$26:$M$29,2,FALSE)+VLOOKUP(VLOOKUP(W$1,main!$A$3:$H$102,7,FALSE),main!$K$19:$O$22,MATCH(VLOOKUP($A62,main!$A$3:$H$102,8,FALSE),main!$K$18:$O$18,0))))),1,0)</f>
        <v>0</v>
      </c>
      <c r="X62">
        <f>IF((AND(VLOOKUP(X$1,main!$A$3:$H$102,5,FALSE)-VLOOKUP($A62,main!$A$3:$H$102,6,FALSE)&gt;=(VLOOKUP(VLOOKUP(X$1,main!$A$3:$H$102,8,FALSE),main!$K$26:$M$29,2,FALSE)+VLOOKUP(VLOOKUP(X$1,main!$A$3:$H$102,7,FALSE),main!$K$19:$O$22,MATCH(VLOOKUP($A62,main!$A$3:$H$102,8,FALSE),main!$K$18:$O$18,0))))),1,0)</f>
        <v>0</v>
      </c>
      <c r="Y62">
        <f>IF((AND(VLOOKUP(Y$1,main!$A$3:$H$102,5,FALSE)-VLOOKUP($A62,main!$A$3:$H$102,6,FALSE)&gt;=(VLOOKUP(VLOOKUP(Y$1,main!$A$3:$H$102,8,FALSE),main!$K$26:$M$29,2,FALSE)+VLOOKUP(VLOOKUP(Y$1,main!$A$3:$H$102,7,FALSE),main!$K$19:$O$22,MATCH(VLOOKUP($A62,main!$A$3:$H$102,8,FALSE),main!$K$18:$O$18,0))))),1,0)</f>
        <v>0</v>
      </c>
      <c r="Z62">
        <f>IF((AND(VLOOKUP(Z$1,main!$A$3:$H$102,5,FALSE)-VLOOKUP($A62,main!$A$3:$H$102,6,FALSE)&gt;=(VLOOKUP(VLOOKUP(Z$1,main!$A$3:$H$102,8,FALSE),main!$K$26:$M$29,2,FALSE)+VLOOKUP(VLOOKUP(Z$1,main!$A$3:$H$102,7,FALSE),main!$K$19:$O$22,MATCH(VLOOKUP($A62,main!$A$3:$H$102,8,FALSE),main!$K$18:$O$18,0))))),1,0)</f>
        <v>0</v>
      </c>
      <c r="AA62">
        <f>IF((AND(VLOOKUP(AA$1,main!$A$3:$H$102,5,FALSE)-VLOOKUP($A62,main!$A$3:$H$102,6,FALSE)&gt;=(VLOOKUP(VLOOKUP(AA$1,main!$A$3:$H$102,8,FALSE),main!$K$26:$M$29,2,FALSE)+VLOOKUP(VLOOKUP(AA$1,main!$A$3:$H$102,7,FALSE),main!$K$19:$O$22,MATCH(VLOOKUP($A62,main!$A$3:$H$102,8,FALSE),main!$K$18:$O$18,0))))),1,0)</f>
        <v>1</v>
      </c>
      <c r="AB62">
        <f>IF((AND(VLOOKUP(AB$1,main!$A$3:$H$102,5,FALSE)-VLOOKUP($A62,main!$A$3:$H$102,6,FALSE)&gt;=(VLOOKUP(VLOOKUP(AB$1,main!$A$3:$H$102,8,FALSE),main!$K$26:$M$29,2,FALSE)+VLOOKUP(VLOOKUP(AB$1,main!$A$3:$H$102,7,FALSE),main!$K$19:$O$22,MATCH(VLOOKUP($A62,main!$A$3:$H$102,8,FALSE),main!$K$18:$O$18,0))))),1,0)</f>
        <v>0</v>
      </c>
      <c r="AC62">
        <f>IF((AND(VLOOKUP(AC$1,main!$A$3:$H$102,5,FALSE)-VLOOKUP($A62,main!$A$3:$H$102,6,FALSE)&gt;=(VLOOKUP(VLOOKUP(AC$1,main!$A$3:$H$102,8,FALSE),main!$K$26:$M$29,2,FALSE)+VLOOKUP(VLOOKUP(AC$1,main!$A$3:$H$102,7,FALSE),main!$K$19:$O$22,MATCH(VLOOKUP($A62,main!$A$3:$H$102,8,FALSE),main!$K$18:$O$18,0))))),1,0)</f>
        <v>0</v>
      </c>
      <c r="AD62">
        <f>IF((AND(VLOOKUP(AD$1,main!$A$3:$H$102,5,FALSE)-VLOOKUP($A62,main!$A$3:$H$102,6,FALSE)&gt;=(VLOOKUP(VLOOKUP(AD$1,main!$A$3:$H$102,8,FALSE),main!$K$26:$M$29,2,FALSE)+VLOOKUP(VLOOKUP(AD$1,main!$A$3:$H$102,7,FALSE),main!$K$19:$O$22,MATCH(VLOOKUP($A62,main!$A$3:$H$102,8,FALSE),main!$K$18:$O$18,0))))),1,0)</f>
        <v>0</v>
      </c>
      <c r="AE62">
        <f>IF((AND(VLOOKUP(AE$1,main!$A$3:$H$102,5,FALSE)-VLOOKUP($A62,main!$A$3:$H$102,6,FALSE)&gt;=(VLOOKUP(VLOOKUP(AE$1,main!$A$3:$H$102,8,FALSE),main!$K$26:$M$29,2,FALSE)+VLOOKUP(VLOOKUP(AE$1,main!$A$3:$H$102,7,FALSE),main!$K$19:$O$22,MATCH(VLOOKUP($A62,main!$A$3:$H$102,8,FALSE),main!$K$18:$O$18,0))))),1,0)</f>
        <v>0</v>
      </c>
      <c r="AF62">
        <f>IF((AND(VLOOKUP(AF$1,main!$A$3:$H$102,5,FALSE)-VLOOKUP($A62,main!$A$3:$H$102,6,FALSE)&gt;=(VLOOKUP(VLOOKUP(AF$1,main!$A$3:$H$102,8,FALSE),main!$K$26:$M$29,2,FALSE)+VLOOKUP(VLOOKUP(AF$1,main!$A$3:$H$102,7,FALSE),main!$K$19:$O$22,MATCH(VLOOKUP($A62,main!$A$3:$H$102,8,FALSE),main!$K$18:$O$18,0))))),1,0)</f>
        <v>0</v>
      </c>
      <c r="AG62">
        <f>IF((AND(VLOOKUP(AG$1,main!$A$3:$H$102,5,FALSE)-VLOOKUP($A62,main!$A$3:$H$102,6,FALSE)&gt;=(VLOOKUP(VLOOKUP(AG$1,main!$A$3:$H$102,8,FALSE),main!$K$26:$M$29,2,FALSE)+VLOOKUP(VLOOKUP(AG$1,main!$A$3:$H$102,7,FALSE),main!$K$19:$O$22,MATCH(VLOOKUP($A62,main!$A$3:$H$102,8,FALSE),main!$K$18:$O$18,0))))),1,0)</f>
        <v>0</v>
      </c>
      <c r="AH62">
        <f>IF((AND(VLOOKUP(AH$1,main!$A$3:$H$102,5,FALSE)-VLOOKUP($A62,main!$A$3:$H$102,6,FALSE)&gt;=(VLOOKUP(VLOOKUP(AH$1,main!$A$3:$H$102,8,FALSE),main!$K$26:$M$29,2,FALSE)+VLOOKUP(VLOOKUP(AH$1,main!$A$3:$H$102,7,FALSE),main!$K$19:$O$22,MATCH(VLOOKUP($A62,main!$A$3:$H$102,8,FALSE),main!$K$18:$O$18,0))))),1,0)</f>
        <v>0</v>
      </c>
      <c r="AI62">
        <f>IF((AND(VLOOKUP(AI$1,main!$A$3:$H$102,5,FALSE)-VLOOKUP($A62,main!$A$3:$H$102,6,FALSE)&gt;=(VLOOKUP(VLOOKUP(AI$1,main!$A$3:$H$102,8,FALSE),main!$K$26:$M$29,2,FALSE)+VLOOKUP(VLOOKUP(AI$1,main!$A$3:$H$102,7,FALSE),main!$K$19:$O$22,MATCH(VLOOKUP($A62,main!$A$3:$H$102,8,FALSE),main!$K$18:$O$18,0))))),1,0)</f>
        <v>0</v>
      </c>
      <c r="AJ62">
        <f>IF((AND(VLOOKUP(AJ$1,main!$A$3:$H$102,5,FALSE)-VLOOKUP($A62,main!$A$3:$H$102,6,FALSE)&gt;=(VLOOKUP(VLOOKUP(AJ$1,main!$A$3:$H$102,8,FALSE),main!$K$26:$M$29,2,FALSE)+VLOOKUP(VLOOKUP(AJ$1,main!$A$3:$H$102,7,FALSE),main!$K$19:$O$22,MATCH(VLOOKUP($A62,main!$A$3:$H$102,8,FALSE),main!$K$18:$O$18,0))))),1,0)</f>
        <v>0</v>
      </c>
      <c r="AK62">
        <f>IF((AND(VLOOKUP(AK$1,main!$A$3:$H$102,5,FALSE)-VLOOKUP($A62,main!$A$3:$H$102,6,FALSE)&gt;=(VLOOKUP(VLOOKUP(AK$1,main!$A$3:$H$102,8,FALSE),main!$K$26:$M$29,2,FALSE)+VLOOKUP(VLOOKUP(AK$1,main!$A$3:$H$102,7,FALSE),main!$K$19:$O$22,MATCH(VLOOKUP($A62,main!$A$3:$H$102,8,FALSE),main!$K$18:$O$18,0))))),1,0)</f>
        <v>0</v>
      </c>
      <c r="AL62">
        <f>IF((AND(VLOOKUP(AL$1,main!$A$3:$H$102,5,FALSE)-VLOOKUP($A62,main!$A$3:$H$102,6,FALSE)&gt;=(VLOOKUP(VLOOKUP(AL$1,main!$A$3:$H$102,8,FALSE),main!$K$26:$M$29,2,FALSE)+VLOOKUP(VLOOKUP(AL$1,main!$A$3:$H$102,7,FALSE),main!$K$19:$O$22,MATCH(VLOOKUP($A62,main!$A$3:$H$102,8,FALSE),main!$K$18:$O$18,0))))),1,0)</f>
        <v>0</v>
      </c>
      <c r="AM62">
        <f>IF((AND(VLOOKUP(AM$1,main!$A$3:$H$102,5,FALSE)-VLOOKUP($A62,main!$A$3:$H$102,6,FALSE)&gt;=(VLOOKUP(VLOOKUP(AM$1,main!$A$3:$H$102,8,FALSE),main!$K$26:$M$29,2,FALSE)+VLOOKUP(VLOOKUP(AM$1,main!$A$3:$H$102,7,FALSE),main!$K$19:$O$22,MATCH(VLOOKUP($A62,main!$A$3:$H$102,8,FALSE),main!$K$18:$O$18,0))))),1,0)</f>
        <v>0</v>
      </c>
      <c r="AN62">
        <f>IF((AND(VLOOKUP(AN$1,main!$A$3:$H$102,5,FALSE)-VLOOKUP($A62,main!$A$3:$H$102,6,FALSE)&gt;=(VLOOKUP(VLOOKUP(AN$1,main!$A$3:$H$102,8,FALSE),main!$K$26:$M$29,2,FALSE)+VLOOKUP(VLOOKUP(AN$1,main!$A$3:$H$102,7,FALSE),main!$K$19:$O$22,MATCH(VLOOKUP($A62,main!$A$3:$H$102,8,FALSE),main!$K$18:$O$18,0))))),1,0)</f>
        <v>1</v>
      </c>
      <c r="AO62">
        <f>IF((AND(VLOOKUP(AO$1,main!$A$3:$H$102,5,FALSE)-VLOOKUP($A62,main!$A$3:$H$102,6,FALSE)&gt;=(VLOOKUP(VLOOKUP(AO$1,main!$A$3:$H$102,8,FALSE),main!$K$26:$M$29,2,FALSE)+VLOOKUP(VLOOKUP(AO$1,main!$A$3:$H$102,7,FALSE),main!$K$19:$O$22,MATCH(VLOOKUP($A62,main!$A$3:$H$102,8,FALSE),main!$K$18:$O$18,0))))),1,0)</f>
        <v>0</v>
      </c>
      <c r="AP62">
        <f>IF((AND(VLOOKUP(AP$1,main!$A$3:$H$102,5,FALSE)-VLOOKUP($A62,main!$A$3:$H$102,6,FALSE)&gt;=(VLOOKUP(VLOOKUP(AP$1,main!$A$3:$H$102,8,FALSE),main!$K$26:$M$29,2,FALSE)+VLOOKUP(VLOOKUP(AP$1,main!$A$3:$H$102,7,FALSE),main!$K$19:$O$22,MATCH(VLOOKUP($A62,main!$A$3:$H$102,8,FALSE),main!$K$18:$O$18,0))))),1,0)</f>
        <v>1</v>
      </c>
      <c r="AQ62">
        <f>IF((AND(VLOOKUP(AQ$1,main!$A$3:$H$102,5,FALSE)-VLOOKUP($A62,main!$A$3:$H$102,6,FALSE)&gt;=(VLOOKUP(VLOOKUP(AQ$1,main!$A$3:$H$102,8,FALSE),main!$K$26:$M$29,2,FALSE)+VLOOKUP(VLOOKUP(AQ$1,main!$A$3:$H$102,7,FALSE),main!$K$19:$O$22,MATCH(VLOOKUP($A62,main!$A$3:$H$102,8,FALSE),main!$K$18:$O$18,0))))),1,0)</f>
        <v>0</v>
      </c>
      <c r="AR62">
        <f>IF((AND(VLOOKUP(AR$1,main!$A$3:$H$102,5,FALSE)-VLOOKUP($A62,main!$A$3:$H$102,6,FALSE)&gt;=(VLOOKUP(VLOOKUP(AR$1,main!$A$3:$H$102,8,FALSE),main!$K$26:$M$29,2,FALSE)+VLOOKUP(VLOOKUP(AR$1,main!$A$3:$H$102,7,FALSE),main!$K$19:$O$22,MATCH(VLOOKUP($A62,main!$A$3:$H$102,8,FALSE),main!$K$18:$O$18,0))))),1,0)</f>
        <v>0</v>
      </c>
      <c r="AS62">
        <f>IF((AND(VLOOKUP(AS$1,main!$A$3:$H$102,5,FALSE)-VLOOKUP($A62,main!$A$3:$H$102,6,FALSE)&gt;=(VLOOKUP(VLOOKUP(AS$1,main!$A$3:$H$102,8,FALSE),main!$K$26:$M$29,2,FALSE)+VLOOKUP(VLOOKUP(AS$1,main!$A$3:$H$102,7,FALSE),main!$K$19:$O$22,MATCH(VLOOKUP($A62,main!$A$3:$H$102,8,FALSE),main!$K$18:$O$18,0))))),1,0)</f>
        <v>0</v>
      </c>
      <c r="AT62">
        <f>IF((AND(VLOOKUP(AT$1,main!$A$3:$H$102,5,FALSE)-VLOOKUP($A62,main!$A$3:$H$102,6,FALSE)&gt;=(VLOOKUP(VLOOKUP(AT$1,main!$A$3:$H$102,8,FALSE),main!$K$26:$M$29,2,FALSE)+VLOOKUP(VLOOKUP(AT$1,main!$A$3:$H$102,7,FALSE),main!$K$19:$O$22,MATCH(VLOOKUP($A62,main!$A$3:$H$102,8,FALSE),main!$K$18:$O$18,0))))),1,0)</f>
        <v>0</v>
      </c>
      <c r="AU62">
        <f>IF((AND(VLOOKUP(AU$1,main!$A$3:$H$102,5,FALSE)-VLOOKUP($A62,main!$A$3:$H$102,6,FALSE)&gt;=(VLOOKUP(VLOOKUP(AU$1,main!$A$3:$H$102,8,FALSE),main!$K$26:$M$29,2,FALSE)+VLOOKUP(VLOOKUP(AU$1,main!$A$3:$H$102,7,FALSE),main!$K$19:$O$22,MATCH(VLOOKUP($A62,main!$A$3:$H$102,8,FALSE),main!$K$18:$O$18,0))))),1,0)</f>
        <v>0</v>
      </c>
      <c r="AV62">
        <f>IF((AND(VLOOKUP(AV$1,main!$A$3:$H$102,5,FALSE)-VLOOKUP($A62,main!$A$3:$H$102,6,FALSE)&gt;=(VLOOKUP(VLOOKUP(AV$1,main!$A$3:$H$102,8,FALSE),main!$K$26:$M$29,2,FALSE)+VLOOKUP(VLOOKUP(AV$1,main!$A$3:$H$102,7,FALSE),main!$K$19:$O$22,MATCH(VLOOKUP($A62,main!$A$3:$H$102,8,FALSE),main!$K$18:$O$18,0))))),1,0)</f>
        <v>0</v>
      </c>
      <c r="AW62">
        <f>IF((AND(VLOOKUP(AW$1,main!$A$3:$H$102,5,FALSE)-VLOOKUP($A62,main!$A$3:$H$102,6,FALSE)&gt;=(VLOOKUP(VLOOKUP(AW$1,main!$A$3:$H$102,8,FALSE),main!$K$26:$M$29,2,FALSE)+VLOOKUP(VLOOKUP(AW$1,main!$A$3:$H$102,7,FALSE),main!$K$19:$O$22,MATCH(VLOOKUP($A62,main!$A$3:$H$102,8,FALSE),main!$K$18:$O$18,0))))),1,0)</f>
        <v>0</v>
      </c>
      <c r="AX62">
        <f>IF((AND(VLOOKUP(AX$1,main!$A$3:$H$102,5,FALSE)-VLOOKUP($A62,main!$A$3:$H$102,6,FALSE)&gt;=(VLOOKUP(VLOOKUP(AX$1,main!$A$3:$H$102,8,FALSE),main!$K$26:$M$29,2,FALSE)+VLOOKUP(VLOOKUP(AX$1,main!$A$3:$H$102,7,FALSE),main!$K$19:$O$22,MATCH(VLOOKUP($A62,main!$A$3:$H$102,8,FALSE),main!$K$18:$O$18,0))))),1,0)</f>
        <v>0</v>
      </c>
      <c r="AY62">
        <f>IF((AND(VLOOKUP(AY$1,main!$A$3:$H$102,5,FALSE)-VLOOKUP($A62,main!$A$3:$H$102,6,FALSE)&gt;=(VLOOKUP(VLOOKUP(AY$1,main!$A$3:$H$102,8,FALSE),main!$K$26:$M$29,2,FALSE)+VLOOKUP(VLOOKUP(AY$1,main!$A$3:$H$102,7,FALSE),main!$K$19:$O$22,MATCH(VLOOKUP($A62,main!$A$3:$H$102,8,FALSE),main!$K$18:$O$18,0))))),1,0)</f>
        <v>0</v>
      </c>
      <c r="AZ62">
        <f>IF((AND(VLOOKUP(AZ$1,main!$A$3:$H$102,5,FALSE)-VLOOKUP($A62,main!$A$3:$H$102,6,FALSE)&gt;=(VLOOKUP(VLOOKUP(AZ$1,main!$A$3:$H$102,8,FALSE),main!$K$26:$M$29,2,FALSE)+VLOOKUP(VLOOKUP(AZ$1,main!$A$3:$H$102,7,FALSE),main!$K$19:$O$22,MATCH(VLOOKUP($A62,main!$A$3:$H$102,8,FALSE),main!$K$18:$O$18,0))))),1,0)</f>
        <v>0</v>
      </c>
      <c r="BA62">
        <f>IF((AND(VLOOKUP(BA$1,main!$A$3:$H$102,5,FALSE)-VLOOKUP($A62,main!$A$3:$H$102,6,FALSE)&gt;=(VLOOKUP(VLOOKUP(BA$1,main!$A$3:$H$102,8,FALSE),main!$K$26:$M$29,2,FALSE)+VLOOKUP(VLOOKUP(BA$1,main!$A$3:$H$102,7,FALSE),main!$K$19:$O$22,MATCH(VLOOKUP($A62,main!$A$3:$H$102,8,FALSE),main!$K$18:$O$18,0))))),1,0)</f>
        <v>0</v>
      </c>
      <c r="BB62">
        <f>IF((AND(VLOOKUP(BB$1,main!$A$3:$H$102,5,FALSE)-VLOOKUP($A62,main!$A$3:$H$102,6,FALSE)&gt;=(VLOOKUP(VLOOKUP(BB$1,main!$A$3:$H$102,8,FALSE),main!$K$26:$M$29,2,FALSE)+VLOOKUP(VLOOKUP(BB$1,main!$A$3:$H$102,7,FALSE),main!$K$19:$O$22,MATCH(VLOOKUP($A62,main!$A$3:$H$102,8,FALSE),main!$K$18:$O$18,0))))),1,0)</f>
        <v>0</v>
      </c>
      <c r="BC62">
        <f>IF((AND(VLOOKUP(BC$1,main!$A$3:$H$102,5,FALSE)-VLOOKUP($A62,main!$A$3:$H$102,6,FALSE)&gt;=(VLOOKUP(VLOOKUP(BC$1,main!$A$3:$H$102,8,FALSE),main!$K$26:$M$29,2,FALSE)+VLOOKUP(VLOOKUP(BC$1,main!$A$3:$H$102,7,FALSE),main!$K$19:$O$22,MATCH(VLOOKUP($A62,main!$A$3:$H$102,8,FALSE),main!$K$18:$O$18,0))))),1,0)</f>
        <v>0</v>
      </c>
      <c r="BD62">
        <f>IF((AND(VLOOKUP(BD$1,main!$A$3:$H$102,5,FALSE)-VLOOKUP($A62,main!$A$3:$H$102,6,FALSE)&gt;=(VLOOKUP(VLOOKUP(BD$1,main!$A$3:$H$102,8,FALSE),main!$K$26:$M$29,2,FALSE)+VLOOKUP(VLOOKUP(BD$1,main!$A$3:$H$102,7,FALSE),main!$K$19:$O$22,MATCH(VLOOKUP($A62,main!$A$3:$H$102,8,FALSE),main!$K$18:$O$18,0))))),1,0)</f>
        <v>0</v>
      </c>
      <c r="BE62">
        <f>IF((AND(VLOOKUP(BE$1,main!$A$3:$H$102,5,FALSE)-VLOOKUP($A62,main!$A$3:$H$102,6,FALSE)&gt;=(VLOOKUP(VLOOKUP(BE$1,main!$A$3:$H$102,8,FALSE),main!$K$26:$M$29,2,FALSE)+VLOOKUP(VLOOKUP(BE$1,main!$A$3:$H$102,7,FALSE),main!$K$19:$O$22,MATCH(VLOOKUP($A62,main!$A$3:$H$102,8,FALSE),main!$K$18:$O$18,0))))),1,0)</f>
        <v>0</v>
      </c>
      <c r="BF62">
        <f>IF((AND(VLOOKUP(BF$1,main!$A$3:$H$102,5,FALSE)-VLOOKUP($A62,main!$A$3:$H$102,6,FALSE)&gt;=(VLOOKUP(VLOOKUP(BF$1,main!$A$3:$H$102,8,FALSE),main!$K$26:$M$29,2,FALSE)+VLOOKUP(VLOOKUP(BF$1,main!$A$3:$H$102,7,FALSE),main!$K$19:$O$22,MATCH(VLOOKUP($A62,main!$A$3:$H$102,8,FALSE),main!$K$18:$O$18,0))))),1,0)</f>
        <v>0</v>
      </c>
      <c r="BG62">
        <f>IF((AND(VLOOKUP(BG$1,main!$A$3:$H$102,5,FALSE)-VLOOKUP($A62,main!$A$3:$H$102,6,FALSE)&gt;=(VLOOKUP(VLOOKUP(BG$1,main!$A$3:$H$102,8,FALSE),main!$K$26:$M$29,2,FALSE)+VLOOKUP(VLOOKUP(BG$1,main!$A$3:$H$102,7,FALSE),main!$K$19:$O$22,MATCH(VLOOKUP($A62,main!$A$3:$H$102,8,FALSE),main!$K$18:$O$18,0))))),1,0)</f>
        <v>0</v>
      </c>
      <c r="BH62">
        <f>IF((AND(VLOOKUP(BH$1,main!$A$3:$H$102,5,FALSE)-VLOOKUP($A62,main!$A$3:$H$102,6,FALSE)&gt;=(VLOOKUP(VLOOKUP(BH$1,main!$A$3:$H$102,8,FALSE),main!$K$26:$M$29,2,FALSE)+VLOOKUP(VLOOKUP(BH$1,main!$A$3:$H$102,7,FALSE),main!$K$19:$O$22,MATCH(VLOOKUP($A62,main!$A$3:$H$102,8,FALSE),main!$K$18:$O$18,0))))),1,0)</f>
        <v>0</v>
      </c>
      <c r="BI62">
        <f>IF((AND(VLOOKUP(BI$1,main!$A$3:$H$102,5,FALSE)-VLOOKUP($A62,main!$A$3:$H$102,6,FALSE)&gt;=(VLOOKUP(VLOOKUP(BI$1,main!$A$3:$H$102,8,FALSE),main!$K$26:$M$29,2,FALSE)+VLOOKUP(VLOOKUP(BI$1,main!$A$3:$H$102,7,FALSE),main!$K$19:$O$22,MATCH(VLOOKUP($A62,main!$A$3:$H$102,8,FALSE),main!$K$18:$O$18,0))))),1,0)</f>
        <v>1</v>
      </c>
      <c r="BJ62">
        <f>IF((AND(VLOOKUP(BJ$1,main!$A$3:$H$102,5,FALSE)-VLOOKUP($A62,main!$A$3:$H$102,6,FALSE)&gt;=(VLOOKUP(VLOOKUP(BJ$1,main!$A$3:$H$102,8,FALSE),main!$K$26:$M$29,2,FALSE)+VLOOKUP(VLOOKUP(BJ$1,main!$A$3:$H$102,7,FALSE),main!$K$19:$O$22,MATCH(VLOOKUP($A62,main!$A$3:$H$102,8,FALSE),main!$K$18:$O$18,0))))),1,0)</f>
        <v>0</v>
      </c>
      <c r="BK62">
        <f>IF((AND(VLOOKUP(BK$1,main!$A$3:$H$102,5,FALSE)-VLOOKUP($A62,main!$A$3:$H$102,6,FALSE)&gt;=(VLOOKUP(VLOOKUP(BK$1,main!$A$3:$H$102,8,FALSE),main!$K$26:$M$29,2,FALSE)+VLOOKUP(VLOOKUP(BK$1,main!$A$3:$H$102,7,FALSE),main!$K$19:$O$22,MATCH(VLOOKUP($A62,main!$A$3:$H$102,8,FALSE),main!$K$18:$O$18,0))))),1,0)</f>
        <v>0</v>
      </c>
      <c r="BL62">
        <f>IF((AND(VLOOKUP(BL$1,main!$A$3:$H$102,5,FALSE)-VLOOKUP($A62,main!$A$3:$H$102,6,FALSE)&gt;=(VLOOKUP(VLOOKUP(BL$1,main!$A$3:$H$102,8,FALSE),main!$K$26:$M$29,2,FALSE)+VLOOKUP(VLOOKUP(BL$1,main!$A$3:$H$102,7,FALSE),main!$K$19:$O$22,MATCH(VLOOKUP($A62,main!$A$3:$H$102,8,FALSE),main!$K$18:$O$18,0))))),1,0)</f>
        <v>0</v>
      </c>
      <c r="BM62">
        <f>IF((AND(VLOOKUP(BM$1,main!$A$3:$H$102,5,FALSE)-VLOOKUP($A62,main!$A$3:$H$102,6,FALSE)&gt;=(VLOOKUP(VLOOKUP(BM$1,main!$A$3:$H$102,8,FALSE),main!$K$26:$M$29,2,FALSE)+VLOOKUP(VLOOKUP(BM$1,main!$A$3:$H$102,7,FALSE),main!$K$19:$O$22,MATCH(VLOOKUP($A62,main!$A$3:$H$102,8,FALSE),main!$K$18:$O$18,0))))),1,0)</f>
        <v>0</v>
      </c>
      <c r="BN62">
        <f>IF((AND(VLOOKUP(BN$1,main!$A$3:$H$102,5,FALSE)-VLOOKUP($A62,main!$A$3:$H$102,6,FALSE)&gt;=(VLOOKUP(VLOOKUP(BN$1,main!$A$3:$H$102,8,FALSE),main!$K$26:$M$29,2,FALSE)+VLOOKUP(VLOOKUP(BN$1,main!$A$3:$H$102,7,FALSE),main!$K$19:$O$22,MATCH(VLOOKUP($A62,main!$A$3:$H$102,8,FALSE),main!$K$18:$O$18,0))))),1,0)</f>
        <v>0</v>
      </c>
      <c r="BO62">
        <f>IF((AND(VLOOKUP(BO$1,main!$A$3:$H$102,5,FALSE)-VLOOKUP($A62,main!$A$3:$H$102,6,FALSE)&gt;=(VLOOKUP(VLOOKUP(BO$1,main!$A$3:$H$102,8,FALSE),main!$K$26:$M$29,2,FALSE)+VLOOKUP(VLOOKUP(BO$1,main!$A$3:$H$102,7,FALSE),main!$K$19:$O$22,MATCH(VLOOKUP($A62,main!$A$3:$H$102,8,FALSE),main!$K$18:$O$18,0))))),1,0)</f>
        <v>0</v>
      </c>
      <c r="BP62">
        <f>IF((AND(VLOOKUP(BP$1,main!$A$3:$H$102,5,FALSE)-VLOOKUP($A62,main!$A$3:$H$102,6,FALSE)&gt;=(VLOOKUP(VLOOKUP(BP$1,main!$A$3:$H$102,8,FALSE),main!$K$26:$M$29,2,FALSE)+VLOOKUP(VLOOKUP(BP$1,main!$A$3:$H$102,7,FALSE),main!$K$19:$O$22,MATCH(VLOOKUP($A62,main!$A$3:$H$102,8,FALSE),main!$K$18:$O$18,0))))),1,0)</f>
        <v>0</v>
      </c>
      <c r="BQ62">
        <f>IF((AND(VLOOKUP(BQ$1,main!$A$3:$H$102,5,FALSE)-VLOOKUP($A62,main!$A$3:$H$102,6,FALSE)&gt;=(VLOOKUP(VLOOKUP(BQ$1,main!$A$3:$H$102,8,FALSE),main!$K$26:$M$29,2,FALSE)+VLOOKUP(VLOOKUP(BQ$1,main!$A$3:$H$102,7,FALSE),main!$K$19:$O$22,MATCH(VLOOKUP($A62,main!$A$3:$H$102,8,FALSE),main!$K$18:$O$18,0))))),1,0)</f>
        <v>0</v>
      </c>
      <c r="BR62">
        <f>IF((AND(VLOOKUP(BR$1,main!$A$3:$H$102,5,FALSE)-VLOOKUP($A62,main!$A$3:$H$102,6,FALSE)&gt;=(VLOOKUP(VLOOKUP(BR$1,main!$A$3:$H$102,8,FALSE),main!$K$26:$M$29,2,FALSE)+VLOOKUP(VLOOKUP(BR$1,main!$A$3:$H$102,7,FALSE),main!$K$19:$O$22,MATCH(VLOOKUP($A62,main!$A$3:$H$102,8,FALSE),main!$K$18:$O$18,0))))),1,0)</f>
        <v>0</v>
      </c>
      <c r="BS62">
        <f>IF((AND(VLOOKUP(BS$1,main!$A$3:$H$102,5,FALSE)-VLOOKUP($A62,main!$A$3:$H$102,6,FALSE)&gt;=(VLOOKUP(VLOOKUP(BS$1,main!$A$3:$H$102,8,FALSE),main!$K$26:$M$29,2,FALSE)+VLOOKUP(VLOOKUP(BS$1,main!$A$3:$H$102,7,FALSE),main!$K$19:$O$22,MATCH(VLOOKUP($A62,main!$A$3:$H$102,8,FALSE),main!$K$18:$O$18,0))))),1,0)</f>
        <v>0</v>
      </c>
      <c r="BT62">
        <f>IF((AND(VLOOKUP(BT$1,main!$A$3:$H$102,5,FALSE)-VLOOKUP($A62,main!$A$3:$H$102,6,FALSE)&gt;=(VLOOKUP(VLOOKUP(BT$1,main!$A$3:$H$102,8,FALSE),main!$K$26:$M$29,2,FALSE)+VLOOKUP(VLOOKUP(BT$1,main!$A$3:$H$102,7,FALSE),main!$K$19:$O$22,MATCH(VLOOKUP($A62,main!$A$3:$H$102,8,FALSE),main!$K$18:$O$18,0))))),1,0)</f>
        <v>0</v>
      </c>
      <c r="BU62">
        <f>IF((AND(VLOOKUP(BU$1,main!$A$3:$H$102,5,FALSE)-VLOOKUP($A62,main!$A$3:$H$102,6,FALSE)&gt;=(VLOOKUP(VLOOKUP(BU$1,main!$A$3:$H$102,8,FALSE),main!$K$26:$M$29,2,FALSE)+VLOOKUP(VLOOKUP(BU$1,main!$A$3:$H$102,7,FALSE),main!$K$19:$O$22,MATCH(VLOOKUP($A62,main!$A$3:$H$102,8,FALSE),main!$K$18:$O$18,0))))),1,0)</f>
        <v>0</v>
      </c>
      <c r="BV62">
        <f>IF((AND(VLOOKUP(BV$1,main!$A$3:$H$102,5,FALSE)-VLOOKUP($A62,main!$A$3:$H$102,6,FALSE)&gt;=(VLOOKUP(VLOOKUP(BV$1,main!$A$3:$H$102,8,FALSE),main!$K$26:$M$29,2,FALSE)+VLOOKUP(VLOOKUP(BV$1,main!$A$3:$H$102,7,FALSE),main!$K$19:$O$22,MATCH(VLOOKUP($A62,main!$A$3:$H$102,8,FALSE),main!$K$18:$O$18,0))))),1,0)</f>
        <v>0</v>
      </c>
      <c r="BW62">
        <f>IF((AND(VLOOKUP(BW$1,main!$A$3:$H$102,5,FALSE)-VLOOKUP($A62,main!$A$3:$H$102,6,FALSE)&gt;=(VLOOKUP(VLOOKUP(BW$1,main!$A$3:$H$102,8,FALSE),main!$K$26:$M$29,2,FALSE)+VLOOKUP(VLOOKUP(BW$1,main!$A$3:$H$102,7,FALSE),main!$K$19:$O$22,MATCH(VLOOKUP($A62,main!$A$3:$H$102,8,FALSE),main!$K$18:$O$18,0))))),1,0)</f>
        <v>0</v>
      </c>
      <c r="BX62">
        <f>IF((AND(VLOOKUP(BX$1,main!$A$3:$H$102,5,FALSE)-VLOOKUP($A62,main!$A$3:$H$102,6,FALSE)&gt;=(VLOOKUP(VLOOKUP(BX$1,main!$A$3:$H$102,8,FALSE),main!$K$26:$M$29,2,FALSE)+VLOOKUP(VLOOKUP(BX$1,main!$A$3:$H$102,7,FALSE),main!$K$19:$O$22,MATCH(VLOOKUP($A62,main!$A$3:$H$102,8,FALSE),main!$K$18:$O$18,0))))),1,0)</f>
        <v>0</v>
      </c>
      <c r="BY62">
        <f>IF((AND(VLOOKUP(BY$1,main!$A$3:$H$102,5,FALSE)-VLOOKUP($A62,main!$A$3:$H$102,6,FALSE)&gt;=(VLOOKUP(VLOOKUP(BY$1,main!$A$3:$H$102,8,FALSE),main!$K$26:$M$29,2,FALSE)+VLOOKUP(VLOOKUP(BY$1,main!$A$3:$H$102,7,FALSE),main!$K$19:$O$22,MATCH(VLOOKUP($A62,main!$A$3:$H$102,8,FALSE),main!$K$18:$O$18,0))))),1,0)</f>
        <v>0</v>
      </c>
      <c r="BZ62">
        <f>IF((AND(VLOOKUP(BZ$1,main!$A$3:$H$102,5,FALSE)-VLOOKUP($A62,main!$A$3:$H$102,6,FALSE)&gt;=(VLOOKUP(VLOOKUP(BZ$1,main!$A$3:$H$102,8,FALSE),main!$K$26:$M$29,2,FALSE)+VLOOKUP(VLOOKUP(BZ$1,main!$A$3:$H$102,7,FALSE),main!$K$19:$O$22,MATCH(VLOOKUP($A62,main!$A$3:$H$102,8,FALSE),main!$K$18:$O$18,0))))),1,0)</f>
        <v>0</v>
      </c>
      <c r="CA62">
        <f>IF((AND(VLOOKUP(CA$1,main!$A$3:$H$102,5,FALSE)-VLOOKUP($A62,main!$A$3:$H$102,6,FALSE)&gt;=(VLOOKUP(VLOOKUP(CA$1,main!$A$3:$H$102,8,FALSE),main!$K$26:$M$29,2,FALSE)+VLOOKUP(VLOOKUP(CA$1,main!$A$3:$H$102,7,FALSE),main!$K$19:$O$22,MATCH(VLOOKUP($A62,main!$A$3:$H$102,8,FALSE),main!$K$18:$O$18,0))))),1,0)</f>
        <v>0</v>
      </c>
      <c r="CB62">
        <f>IF((AND(VLOOKUP(CB$1,main!$A$3:$H$102,5,FALSE)-VLOOKUP($A62,main!$A$3:$H$102,6,FALSE)&gt;=(VLOOKUP(VLOOKUP(CB$1,main!$A$3:$H$102,8,FALSE),main!$K$26:$M$29,2,FALSE)+VLOOKUP(VLOOKUP(CB$1,main!$A$3:$H$102,7,FALSE),main!$K$19:$O$22,MATCH(VLOOKUP($A62,main!$A$3:$H$102,8,FALSE),main!$K$18:$O$18,0))))),1,0)</f>
        <v>0</v>
      </c>
      <c r="CC62">
        <f>IF((AND(VLOOKUP(CC$1,main!$A$3:$H$102,5,FALSE)-VLOOKUP($A62,main!$A$3:$H$102,6,FALSE)&gt;=(VLOOKUP(VLOOKUP(CC$1,main!$A$3:$H$102,8,FALSE),main!$K$26:$M$29,2,FALSE)+VLOOKUP(VLOOKUP(CC$1,main!$A$3:$H$102,7,FALSE),main!$K$19:$O$22,MATCH(VLOOKUP($A62,main!$A$3:$H$102,8,FALSE),main!$K$18:$O$18,0))))),1,0)</f>
        <v>0</v>
      </c>
      <c r="CD62">
        <f>IF((AND(VLOOKUP(CD$1,main!$A$3:$H$102,5,FALSE)-VLOOKUP($A62,main!$A$3:$H$102,6,FALSE)&gt;=(VLOOKUP(VLOOKUP(CD$1,main!$A$3:$H$102,8,FALSE),main!$K$26:$M$29,2,FALSE)+VLOOKUP(VLOOKUP(CD$1,main!$A$3:$H$102,7,FALSE),main!$K$19:$O$22,MATCH(VLOOKUP($A62,main!$A$3:$H$102,8,FALSE),main!$K$18:$O$18,0))))),1,0)</f>
        <v>0</v>
      </c>
      <c r="CE62">
        <f>IF((AND(VLOOKUP(CE$1,main!$A$3:$H$102,5,FALSE)-VLOOKUP($A62,main!$A$3:$H$102,6,FALSE)&gt;=(VLOOKUP(VLOOKUP(CE$1,main!$A$3:$H$102,8,FALSE),main!$K$26:$M$29,2,FALSE)+VLOOKUP(VLOOKUP(CE$1,main!$A$3:$H$102,7,FALSE),main!$K$19:$O$22,MATCH(VLOOKUP($A62,main!$A$3:$H$102,8,FALSE),main!$K$18:$O$18,0))))),1,0)</f>
        <v>0</v>
      </c>
      <c r="CF62">
        <f>IF((AND(VLOOKUP(CF$1,main!$A$3:$H$102,5,FALSE)-VLOOKUP($A62,main!$A$3:$H$102,6,FALSE)&gt;=(VLOOKUP(VLOOKUP(CF$1,main!$A$3:$H$102,8,FALSE),main!$K$26:$M$29,2,FALSE)+VLOOKUP(VLOOKUP(CF$1,main!$A$3:$H$102,7,FALSE),main!$K$19:$O$22,MATCH(VLOOKUP($A62,main!$A$3:$H$102,8,FALSE),main!$K$18:$O$18,0))))),1,0)</f>
        <v>0</v>
      </c>
      <c r="CG62">
        <f>IF((AND(VLOOKUP(CG$1,main!$A$3:$H$102,5,FALSE)-VLOOKUP($A62,main!$A$3:$H$102,6,FALSE)&gt;=(VLOOKUP(VLOOKUP(CG$1,main!$A$3:$H$102,8,FALSE),main!$K$26:$M$29,2,FALSE)+VLOOKUP(VLOOKUP(CG$1,main!$A$3:$H$102,7,FALSE),main!$K$19:$O$22,MATCH(VLOOKUP($A62,main!$A$3:$H$102,8,FALSE),main!$K$18:$O$18,0))))),1,0)</f>
        <v>0</v>
      </c>
      <c r="CH62">
        <f>IF((AND(VLOOKUP(CH$1,main!$A$3:$H$102,5,FALSE)-VLOOKUP($A62,main!$A$3:$H$102,6,FALSE)&gt;=(VLOOKUP(VLOOKUP(CH$1,main!$A$3:$H$102,8,FALSE),main!$K$26:$M$29,2,FALSE)+VLOOKUP(VLOOKUP(CH$1,main!$A$3:$H$102,7,FALSE),main!$K$19:$O$22,MATCH(VLOOKUP($A62,main!$A$3:$H$102,8,FALSE),main!$K$18:$O$18,0))))),1,0)</f>
        <v>0</v>
      </c>
      <c r="CI62">
        <f>IF((AND(VLOOKUP(CI$1,main!$A$3:$H$102,5,FALSE)-VLOOKUP($A62,main!$A$3:$H$102,6,FALSE)&gt;=(VLOOKUP(VLOOKUP(CI$1,main!$A$3:$H$102,8,FALSE),main!$K$26:$M$29,2,FALSE)+VLOOKUP(VLOOKUP(CI$1,main!$A$3:$H$102,7,FALSE),main!$K$19:$O$22,MATCH(VLOOKUP($A62,main!$A$3:$H$102,8,FALSE),main!$K$18:$O$18,0))))),1,0)</f>
        <v>1</v>
      </c>
      <c r="CJ62">
        <f>IF((AND(VLOOKUP(CJ$1,main!$A$3:$H$102,5,FALSE)-VLOOKUP($A62,main!$A$3:$H$102,6,FALSE)&gt;=(VLOOKUP(VLOOKUP(CJ$1,main!$A$3:$H$102,8,FALSE),main!$K$26:$M$29,2,FALSE)+VLOOKUP(VLOOKUP(CJ$1,main!$A$3:$H$102,7,FALSE),main!$K$19:$O$22,MATCH(VLOOKUP($A62,main!$A$3:$H$102,8,FALSE),main!$K$18:$O$18,0))))),1,0)</f>
        <v>0</v>
      </c>
      <c r="CK62">
        <f>IF((AND(VLOOKUP(CK$1,main!$A$3:$H$102,5,FALSE)-VLOOKUP($A62,main!$A$3:$H$102,6,FALSE)&gt;=(VLOOKUP(VLOOKUP(CK$1,main!$A$3:$H$102,8,FALSE),main!$K$26:$M$29,2,FALSE)+VLOOKUP(VLOOKUP(CK$1,main!$A$3:$H$102,7,FALSE),main!$K$19:$O$22,MATCH(VLOOKUP($A62,main!$A$3:$H$102,8,FALSE),main!$K$18:$O$18,0))))),1,0)</f>
        <v>0</v>
      </c>
      <c r="CL62">
        <f>IF((AND(VLOOKUP(CL$1,main!$A$3:$H$102,5,FALSE)-VLOOKUP($A62,main!$A$3:$H$102,6,FALSE)&gt;=(VLOOKUP(VLOOKUP(CL$1,main!$A$3:$H$102,8,FALSE),main!$K$26:$M$29,2,FALSE)+VLOOKUP(VLOOKUP(CL$1,main!$A$3:$H$102,7,FALSE),main!$K$19:$O$22,MATCH(VLOOKUP($A62,main!$A$3:$H$102,8,FALSE),main!$K$18:$O$18,0))))),1,0)</f>
        <v>0</v>
      </c>
      <c r="CM62">
        <f>IF((AND(VLOOKUP(CM$1,main!$A$3:$H$102,5,FALSE)-VLOOKUP($A62,main!$A$3:$H$102,6,FALSE)&gt;=(VLOOKUP(VLOOKUP(CM$1,main!$A$3:$H$102,8,FALSE),main!$K$26:$M$29,2,FALSE)+VLOOKUP(VLOOKUP(CM$1,main!$A$3:$H$102,7,FALSE),main!$K$19:$O$22,MATCH(VLOOKUP($A62,main!$A$3:$H$102,8,FALSE),main!$K$18:$O$18,0))))),1,0)</f>
        <v>0</v>
      </c>
      <c r="CN62">
        <f>IF((AND(VLOOKUP(CN$1,main!$A$3:$H$102,5,FALSE)-VLOOKUP($A62,main!$A$3:$H$102,6,FALSE)&gt;=(VLOOKUP(VLOOKUP(CN$1,main!$A$3:$H$102,8,FALSE),main!$K$26:$M$29,2,FALSE)+VLOOKUP(VLOOKUP(CN$1,main!$A$3:$H$102,7,FALSE),main!$K$19:$O$22,MATCH(VLOOKUP($A62,main!$A$3:$H$102,8,FALSE),main!$K$18:$O$18,0))))),1,0)</f>
        <v>1</v>
      </c>
      <c r="CO62">
        <f>IF((AND(VLOOKUP(CO$1,main!$A$3:$H$102,5,FALSE)-VLOOKUP($A62,main!$A$3:$H$102,6,FALSE)&gt;=(VLOOKUP(VLOOKUP(CO$1,main!$A$3:$H$102,8,FALSE),main!$K$26:$M$29,2,FALSE)+VLOOKUP(VLOOKUP(CO$1,main!$A$3:$H$102,7,FALSE),main!$K$19:$O$22,MATCH(VLOOKUP($A62,main!$A$3:$H$102,8,FALSE),main!$K$18:$O$18,0))))),1,0)</f>
        <v>0</v>
      </c>
      <c r="CP62">
        <f>IF((AND(VLOOKUP(CP$1,main!$A$3:$H$102,5,FALSE)-VLOOKUP($A62,main!$A$3:$H$102,6,FALSE)&gt;=(VLOOKUP(VLOOKUP(CP$1,main!$A$3:$H$102,8,FALSE),main!$K$26:$M$29,2,FALSE)+VLOOKUP(VLOOKUP(CP$1,main!$A$3:$H$102,7,FALSE),main!$K$19:$O$22,MATCH(VLOOKUP($A62,main!$A$3:$H$102,8,FALSE),main!$K$18:$O$18,0))))),1,0)</f>
        <v>0</v>
      </c>
      <c r="CQ62">
        <f>IF((AND(VLOOKUP(CQ$1,main!$A$3:$H$102,5,FALSE)-VLOOKUP($A62,main!$A$3:$H$102,6,FALSE)&gt;=(VLOOKUP(VLOOKUP(CQ$1,main!$A$3:$H$102,8,FALSE),main!$K$26:$M$29,2,FALSE)+VLOOKUP(VLOOKUP(CQ$1,main!$A$3:$H$102,7,FALSE),main!$K$19:$O$22,MATCH(VLOOKUP($A62,main!$A$3:$H$102,8,FALSE),main!$K$18:$O$18,0))))),1,0)</f>
        <v>0</v>
      </c>
      <c r="CR62">
        <f>IF((AND(VLOOKUP(CR$1,main!$A$3:$H$102,5,FALSE)-VLOOKUP($A62,main!$A$3:$H$102,6,FALSE)&gt;=(VLOOKUP(VLOOKUP(CR$1,main!$A$3:$H$102,8,FALSE),main!$K$26:$M$29,2,FALSE)+VLOOKUP(VLOOKUP(CR$1,main!$A$3:$H$102,7,FALSE),main!$K$19:$O$22,MATCH(VLOOKUP($A62,main!$A$3:$H$102,8,FALSE),main!$K$18:$O$18,0))))),1,0)</f>
        <v>0</v>
      </c>
      <c r="CS62">
        <f>IF((AND(VLOOKUP(CS$1,main!$A$3:$H$102,5,FALSE)-VLOOKUP($A62,main!$A$3:$H$102,6,FALSE)&gt;=(VLOOKUP(VLOOKUP(CS$1,main!$A$3:$H$102,8,FALSE),main!$K$26:$M$29,2,FALSE)+VLOOKUP(VLOOKUP(CS$1,main!$A$3:$H$102,7,FALSE),main!$K$19:$O$22,MATCH(VLOOKUP($A62,main!$A$3:$H$102,8,FALSE),main!$K$18:$O$18,0))))),1,0)</f>
        <v>0</v>
      </c>
      <c r="CT62">
        <f>IF((AND(VLOOKUP(CT$1,main!$A$3:$H$102,5,FALSE)-VLOOKUP($A62,main!$A$3:$H$102,6,FALSE)&gt;=(VLOOKUP(VLOOKUP(CT$1,main!$A$3:$H$102,8,FALSE),main!$K$26:$M$29,2,FALSE)+VLOOKUP(VLOOKUP(CT$1,main!$A$3:$H$102,7,FALSE),main!$K$19:$O$22,MATCH(VLOOKUP($A62,main!$A$3:$H$102,8,FALSE),main!$K$18:$O$18,0))))),1,0)</f>
        <v>0</v>
      </c>
      <c r="CU62">
        <f>IF((AND(VLOOKUP(CU$1,main!$A$3:$H$102,5,FALSE)-VLOOKUP($A62,main!$A$3:$H$102,6,FALSE)&gt;=(VLOOKUP(VLOOKUP(CU$1,main!$A$3:$H$102,8,FALSE),main!$K$26:$M$29,2,FALSE)+VLOOKUP(VLOOKUP(CU$1,main!$A$3:$H$102,7,FALSE),main!$K$19:$O$22,MATCH(VLOOKUP($A62,main!$A$3:$H$102,8,FALSE),main!$K$18:$O$18,0))))),1,0)</f>
        <v>0</v>
      </c>
      <c r="CV62">
        <f>IF((AND(VLOOKUP(CV$1,main!$A$3:$H$102,5,FALSE)-VLOOKUP($A62,main!$A$3:$H$102,6,FALSE)&gt;=(VLOOKUP(VLOOKUP(CV$1,main!$A$3:$H$102,8,FALSE),main!$K$26:$M$29,2,FALSE)+VLOOKUP(VLOOKUP(CV$1,main!$A$3:$H$102,7,FALSE),main!$K$19:$O$22,MATCH(VLOOKUP($A62,main!$A$3:$H$102,8,FALSE),main!$K$18:$O$18,0))))),1,0)</f>
        <v>0</v>
      </c>
      <c r="CW62">
        <f>IF((AND(VLOOKUP(CW$1,main!$A$3:$H$102,5,FALSE)-VLOOKUP($A62,main!$A$3:$H$102,6,FALSE)&gt;=(VLOOKUP(VLOOKUP(CW$1,main!$A$3:$H$102,8,FALSE),main!$K$26:$M$29,2,FALSE)+VLOOKUP(VLOOKUP(CW$1,main!$A$3:$H$102,7,FALSE),main!$K$19:$O$22,MATCH(VLOOKUP($A62,main!$A$3:$H$102,8,FALSE),main!$K$18:$O$18,0))))),1,0)</f>
        <v>0</v>
      </c>
      <c r="CX62">
        <f>IF((AND(VLOOKUP(CX$1,main!$A$3:$H$102,5,FALSE)-VLOOKUP($A62,main!$A$3:$H$102,6,FALSE)&gt;=(VLOOKUP(VLOOKUP(CX$1,main!$A$3:$H$102,8,FALSE),main!$K$26:$M$29,2,FALSE)+VLOOKUP(VLOOKUP(CX$1,main!$A$3:$H$102,7,FALSE),main!$K$19:$O$22,MATCH(VLOOKUP($A62,main!$A$3:$H$102,8,FALSE),main!$K$18:$O$18,0))))),1,0)</f>
        <v>0</v>
      </c>
    </row>
    <row r="63" spans="1:102" x14ac:dyDescent="0.25">
      <c r="A63" s="1">
        <v>61</v>
      </c>
      <c r="B63">
        <v>1</v>
      </c>
      <c r="C63">
        <f>IF((AND(VLOOKUP(C$1,main!$A$3:$H$102,5,FALSE)-VLOOKUP($A63,main!$A$3:$H$102,6,FALSE)&gt;=(VLOOKUP(VLOOKUP(C$1,main!$A$3:$H$102,8,FALSE),main!$K$26:$M$29,2,FALSE)+VLOOKUP(VLOOKUP(C$1,main!$A$3:$H$102,7,FALSE),main!$K$19:$O$22,MATCH(VLOOKUP($A63,main!$A$3:$H$102,8,FALSE),main!$K$18:$O$18,0))))),1,0)</f>
        <v>0</v>
      </c>
      <c r="D63">
        <f>IF((AND(VLOOKUP(D$1,main!$A$3:$H$102,5,FALSE)-VLOOKUP($A63,main!$A$3:$H$102,6,FALSE)&gt;=(VLOOKUP(VLOOKUP(D$1,main!$A$3:$H$102,8,FALSE),main!$K$26:$M$29,2,FALSE)+VLOOKUP(VLOOKUP(D$1,main!$A$3:$H$102,7,FALSE),main!$K$19:$O$22,MATCH(VLOOKUP($A63,main!$A$3:$H$102,8,FALSE),main!$K$18:$O$18,0))))),1,0)</f>
        <v>1</v>
      </c>
      <c r="E63">
        <f>IF((AND(VLOOKUP(E$1,main!$A$3:$H$102,5,FALSE)-VLOOKUP($A63,main!$A$3:$H$102,6,FALSE)&gt;=(VLOOKUP(VLOOKUP(E$1,main!$A$3:$H$102,8,FALSE),main!$K$26:$M$29,2,FALSE)+VLOOKUP(VLOOKUP(E$1,main!$A$3:$H$102,7,FALSE),main!$K$19:$O$22,MATCH(VLOOKUP($A63,main!$A$3:$H$102,8,FALSE),main!$K$18:$O$18,0))))),1,0)</f>
        <v>1</v>
      </c>
      <c r="F63">
        <f>IF((AND(VLOOKUP(F$1,main!$A$3:$H$102,5,FALSE)-VLOOKUP($A63,main!$A$3:$H$102,6,FALSE)&gt;=(VLOOKUP(VLOOKUP(F$1,main!$A$3:$H$102,8,FALSE),main!$K$26:$M$29,2,FALSE)+VLOOKUP(VLOOKUP(F$1,main!$A$3:$H$102,7,FALSE),main!$K$19:$O$22,MATCH(VLOOKUP($A63,main!$A$3:$H$102,8,FALSE),main!$K$18:$O$18,0))))),1,0)</f>
        <v>1</v>
      </c>
      <c r="G63">
        <f>IF((AND(VLOOKUP(G$1,main!$A$3:$H$102,5,FALSE)-VLOOKUP($A63,main!$A$3:$H$102,6,FALSE)&gt;=(VLOOKUP(VLOOKUP(G$1,main!$A$3:$H$102,8,FALSE),main!$K$26:$M$29,2,FALSE)+VLOOKUP(VLOOKUP(G$1,main!$A$3:$H$102,7,FALSE),main!$K$19:$O$22,MATCH(VLOOKUP($A63,main!$A$3:$H$102,8,FALSE),main!$K$18:$O$18,0))))),1,0)</f>
        <v>1</v>
      </c>
      <c r="H63">
        <f>IF((AND(VLOOKUP(H$1,main!$A$3:$H$102,5,FALSE)-VLOOKUP($A63,main!$A$3:$H$102,6,FALSE)&gt;=(VLOOKUP(VLOOKUP(H$1,main!$A$3:$H$102,8,FALSE),main!$K$26:$M$29,2,FALSE)+VLOOKUP(VLOOKUP(H$1,main!$A$3:$H$102,7,FALSE),main!$K$19:$O$22,MATCH(VLOOKUP($A63,main!$A$3:$H$102,8,FALSE),main!$K$18:$O$18,0))))),1,0)</f>
        <v>1</v>
      </c>
      <c r="I63">
        <f>IF((AND(VLOOKUP(I$1,main!$A$3:$H$102,5,FALSE)-VLOOKUP($A63,main!$A$3:$H$102,6,FALSE)&gt;=(VLOOKUP(VLOOKUP(I$1,main!$A$3:$H$102,8,FALSE),main!$K$26:$M$29,2,FALSE)+VLOOKUP(VLOOKUP(I$1,main!$A$3:$H$102,7,FALSE),main!$K$19:$O$22,MATCH(VLOOKUP($A63,main!$A$3:$H$102,8,FALSE),main!$K$18:$O$18,0))))),1,0)</f>
        <v>1</v>
      </c>
      <c r="J63">
        <f>IF((AND(VLOOKUP(J$1,main!$A$3:$H$102,5,FALSE)-VLOOKUP($A63,main!$A$3:$H$102,6,FALSE)&gt;=(VLOOKUP(VLOOKUP(J$1,main!$A$3:$H$102,8,FALSE),main!$K$26:$M$29,2,FALSE)+VLOOKUP(VLOOKUP(J$1,main!$A$3:$H$102,7,FALSE),main!$K$19:$O$22,MATCH(VLOOKUP($A63,main!$A$3:$H$102,8,FALSE),main!$K$18:$O$18,0))))),1,0)</f>
        <v>1</v>
      </c>
      <c r="K63">
        <f>IF((AND(VLOOKUP(K$1,main!$A$3:$H$102,5,FALSE)-VLOOKUP($A63,main!$A$3:$H$102,6,FALSE)&gt;=(VLOOKUP(VLOOKUP(K$1,main!$A$3:$H$102,8,FALSE),main!$K$26:$M$29,2,FALSE)+VLOOKUP(VLOOKUP(K$1,main!$A$3:$H$102,7,FALSE),main!$K$19:$O$22,MATCH(VLOOKUP($A63,main!$A$3:$H$102,8,FALSE),main!$K$18:$O$18,0))))),1,0)</f>
        <v>1</v>
      </c>
      <c r="L63">
        <f>IF((AND(VLOOKUP(L$1,main!$A$3:$H$102,5,FALSE)-VLOOKUP($A63,main!$A$3:$H$102,6,FALSE)&gt;=(VLOOKUP(VLOOKUP(L$1,main!$A$3:$H$102,8,FALSE),main!$K$26:$M$29,2,FALSE)+VLOOKUP(VLOOKUP(L$1,main!$A$3:$H$102,7,FALSE),main!$K$19:$O$22,MATCH(VLOOKUP($A63,main!$A$3:$H$102,8,FALSE),main!$K$18:$O$18,0))))),1,0)</f>
        <v>1</v>
      </c>
      <c r="M63">
        <f>IF((AND(VLOOKUP(M$1,main!$A$3:$H$102,5,FALSE)-VLOOKUP($A63,main!$A$3:$H$102,6,FALSE)&gt;=(VLOOKUP(VLOOKUP(M$1,main!$A$3:$H$102,8,FALSE),main!$K$26:$M$29,2,FALSE)+VLOOKUP(VLOOKUP(M$1,main!$A$3:$H$102,7,FALSE),main!$K$19:$O$22,MATCH(VLOOKUP($A63,main!$A$3:$H$102,8,FALSE),main!$K$18:$O$18,0))))),1,0)</f>
        <v>1</v>
      </c>
      <c r="N63">
        <f>IF((AND(VLOOKUP(N$1,main!$A$3:$H$102,5,FALSE)-VLOOKUP($A63,main!$A$3:$H$102,6,FALSE)&gt;=(VLOOKUP(VLOOKUP(N$1,main!$A$3:$H$102,8,FALSE),main!$K$26:$M$29,2,FALSE)+VLOOKUP(VLOOKUP(N$1,main!$A$3:$H$102,7,FALSE),main!$K$19:$O$22,MATCH(VLOOKUP($A63,main!$A$3:$H$102,8,FALSE),main!$K$18:$O$18,0))))),1,0)</f>
        <v>1</v>
      </c>
      <c r="O63">
        <f>IF((AND(VLOOKUP(O$1,main!$A$3:$H$102,5,FALSE)-VLOOKUP($A63,main!$A$3:$H$102,6,FALSE)&gt;=(VLOOKUP(VLOOKUP(O$1,main!$A$3:$H$102,8,FALSE),main!$K$26:$M$29,2,FALSE)+VLOOKUP(VLOOKUP(O$1,main!$A$3:$H$102,7,FALSE),main!$K$19:$O$22,MATCH(VLOOKUP($A63,main!$A$3:$H$102,8,FALSE),main!$K$18:$O$18,0))))),1,0)</f>
        <v>1</v>
      </c>
      <c r="P63">
        <f>IF((AND(VLOOKUP(P$1,main!$A$3:$H$102,5,FALSE)-VLOOKUP($A63,main!$A$3:$H$102,6,FALSE)&gt;=(VLOOKUP(VLOOKUP(P$1,main!$A$3:$H$102,8,FALSE),main!$K$26:$M$29,2,FALSE)+VLOOKUP(VLOOKUP(P$1,main!$A$3:$H$102,7,FALSE),main!$K$19:$O$22,MATCH(VLOOKUP($A63,main!$A$3:$H$102,8,FALSE),main!$K$18:$O$18,0))))),1,0)</f>
        <v>1</v>
      </c>
      <c r="Q63">
        <f>IF((AND(VLOOKUP(Q$1,main!$A$3:$H$102,5,FALSE)-VLOOKUP($A63,main!$A$3:$H$102,6,FALSE)&gt;=(VLOOKUP(VLOOKUP(Q$1,main!$A$3:$H$102,8,FALSE),main!$K$26:$M$29,2,FALSE)+VLOOKUP(VLOOKUP(Q$1,main!$A$3:$H$102,7,FALSE),main!$K$19:$O$22,MATCH(VLOOKUP($A63,main!$A$3:$H$102,8,FALSE),main!$K$18:$O$18,0))))),1,0)</f>
        <v>1</v>
      </c>
      <c r="R63">
        <f>IF((AND(VLOOKUP(R$1,main!$A$3:$H$102,5,FALSE)-VLOOKUP($A63,main!$A$3:$H$102,6,FALSE)&gt;=(VLOOKUP(VLOOKUP(R$1,main!$A$3:$H$102,8,FALSE),main!$K$26:$M$29,2,FALSE)+VLOOKUP(VLOOKUP(R$1,main!$A$3:$H$102,7,FALSE),main!$K$19:$O$22,MATCH(VLOOKUP($A63,main!$A$3:$H$102,8,FALSE),main!$K$18:$O$18,0))))),1,0)</f>
        <v>1</v>
      </c>
      <c r="S63">
        <f>IF((AND(VLOOKUP(S$1,main!$A$3:$H$102,5,FALSE)-VLOOKUP($A63,main!$A$3:$H$102,6,FALSE)&gt;=(VLOOKUP(VLOOKUP(S$1,main!$A$3:$H$102,8,FALSE),main!$K$26:$M$29,2,FALSE)+VLOOKUP(VLOOKUP(S$1,main!$A$3:$H$102,7,FALSE),main!$K$19:$O$22,MATCH(VLOOKUP($A63,main!$A$3:$H$102,8,FALSE),main!$K$18:$O$18,0))))),1,0)</f>
        <v>1</v>
      </c>
      <c r="T63">
        <f>IF((AND(VLOOKUP(T$1,main!$A$3:$H$102,5,FALSE)-VLOOKUP($A63,main!$A$3:$H$102,6,FALSE)&gt;=(VLOOKUP(VLOOKUP(T$1,main!$A$3:$H$102,8,FALSE),main!$K$26:$M$29,2,FALSE)+VLOOKUP(VLOOKUP(T$1,main!$A$3:$H$102,7,FALSE),main!$K$19:$O$22,MATCH(VLOOKUP($A63,main!$A$3:$H$102,8,FALSE),main!$K$18:$O$18,0))))),1,0)</f>
        <v>1</v>
      </c>
      <c r="U63">
        <f>IF((AND(VLOOKUP(U$1,main!$A$3:$H$102,5,FALSE)-VLOOKUP($A63,main!$A$3:$H$102,6,FALSE)&gt;=(VLOOKUP(VLOOKUP(U$1,main!$A$3:$H$102,8,FALSE),main!$K$26:$M$29,2,FALSE)+VLOOKUP(VLOOKUP(U$1,main!$A$3:$H$102,7,FALSE),main!$K$19:$O$22,MATCH(VLOOKUP($A63,main!$A$3:$H$102,8,FALSE),main!$K$18:$O$18,0))))),1,0)</f>
        <v>1</v>
      </c>
      <c r="V63">
        <f>IF((AND(VLOOKUP(V$1,main!$A$3:$H$102,5,FALSE)-VLOOKUP($A63,main!$A$3:$H$102,6,FALSE)&gt;=(VLOOKUP(VLOOKUP(V$1,main!$A$3:$H$102,8,FALSE),main!$K$26:$M$29,2,FALSE)+VLOOKUP(VLOOKUP(V$1,main!$A$3:$H$102,7,FALSE),main!$K$19:$O$22,MATCH(VLOOKUP($A63,main!$A$3:$H$102,8,FALSE),main!$K$18:$O$18,0))))),1,0)</f>
        <v>1</v>
      </c>
      <c r="W63">
        <f>IF((AND(VLOOKUP(W$1,main!$A$3:$H$102,5,FALSE)-VLOOKUP($A63,main!$A$3:$H$102,6,FALSE)&gt;=(VLOOKUP(VLOOKUP(W$1,main!$A$3:$H$102,8,FALSE),main!$K$26:$M$29,2,FALSE)+VLOOKUP(VLOOKUP(W$1,main!$A$3:$H$102,7,FALSE),main!$K$19:$O$22,MATCH(VLOOKUP($A63,main!$A$3:$H$102,8,FALSE),main!$K$18:$O$18,0))))),1,0)</f>
        <v>1</v>
      </c>
      <c r="X63">
        <f>IF((AND(VLOOKUP(X$1,main!$A$3:$H$102,5,FALSE)-VLOOKUP($A63,main!$A$3:$H$102,6,FALSE)&gt;=(VLOOKUP(VLOOKUP(X$1,main!$A$3:$H$102,8,FALSE),main!$K$26:$M$29,2,FALSE)+VLOOKUP(VLOOKUP(X$1,main!$A$3:$H$102,7,FALSE),main!$K$19:$O$22,MATCH(VLOOKUP($A63,main!$A$3:$H$102,8,FALSE),main!$K$18:$O$18,0))))),1,0)</f>
        <v>1</v>
      </c>
      <c r="Y63">
        <f>IF((AND(VLOOKUP(Y$1,main!$A$3:$H$102,5,FALSE)-VLOOKUP($A63,main!$A$3:$H$102,6,FALSE)&gt;=(VLOOKUP(VLOOKUP(Y$1,main!$A$3:$H$102,8,FALSE),main!$K$26:$M$29,2,FALSE)+VLOOKUP(VLOOKUP(Y$1,main!$A$3:$H$102,7,FALSE),main!$K$19:$O$22,MATCH(VLOOKUP($A63,main!$A$3:$H$102,8,FALSE),main!$K$18:$O$18,0))))),1,0)</f>
        <v>1</v>
      </c>
      <c r="Z63">
        <f>IF((AND(VLOOKUP(Z$1,main!$A$3:$H$102,5,FALSE)-VLOOKUP($A63,main!$A$3:$H$102,6,FALSE)&gt;=(VLOOKUP(VLOOKUP(Z$1,main!$A$3:$H$102,8,FALSE),main!$K$26:$M$29,2,FALSE)+VLOOKUP(VLOOKUP(Z$1,main!$A$3:$H$102,7,FALSE),main!$K$19:$O$22,MATCH(VLOOKUP($A63,main!$A$3:$H$102,8,FALSE),main!$K$18:$O$18,0))))),1,0)</f>
        <v>1</v>
      </c>
      <c r="AA63">
        <f>IF((AND(VLOOKUP(AA$1,main!$A$3:$H$102,5,FALSE)-VLOOKUP($A63,main!$A$3:$H$102,6,FALSE)&gt;=(VLOOKUP(VLOOKUP(AA$1,main!$A$3:$H$102,8,FALSE),main!$K$26:$M$29,2,FALSE)+VLOOKUP(VLOOKUP(AA$1,main!$A$3:$H$102,7,FALSE),main!$K$19:$O$22,MATCH(VLOOKUP($A63,main!$A$3:$H$102,8,FALSE),main!$K$18:$O$18,0))))),1,0)</f>
        <v>1</v>
      </c>
      <c r="AB63">
        <f>IF((AND(VLOOKUP(AB$1,main!$A$3:$H$102,5,FALSE)-VLOOKUP($A63,main!$A$3:$H$102,6,FALSE)&gt;=(VLOOKUP(VLOOKUP(AB$1,main!$A$3:$H$102,8,FALSE),main!$K$26:$M$29,2,FALSE)+VLOOKUP(VLOOKUP(AB$1,main!$A$3:$H$102,7,FALSE),main!$K$19:$O$22,MATCH(VLOOKUP($A63,main!$A$3:$H$102,8,FALSE),main!$K$18:$O$18,0))))),1,0)</f>
        <v>1</v>
      </c>
      <c r="AC63">
        <f>IF((AND(VLOOKUP(AC$1,main!$A$3:$H$102,5,FALSE)-VLOOKUP($A63,main!$A$3:$H$102,6,FALSE)&gt;=(VLOOKUP(VLOOKUP(AC$1,main!$A$3:$H$102,8,FALSE),main!$K$26:$M$29,2,FALSE)+VLOOKUP(VLOOKUP(AC$1,main!$A$3:$H$102,7,FALSE),main!$K$19:$O$22,MATCH(VLOOKUP($A63,main!$A$3:$H$102,8,FALSE),main!$K$18:$O$18,0))))),1,0)</f>
        <v>1</v>
      </c>
      <c r="AD63">
        <f>IF((AND(VLOOKUP(AD$1,main!$A$3:$H$102,5,FALSE)-VLOOKUP($A63,main!$A$3:$H$102,6,FALSE)&gt;=(VLOOKUP(VLOOKUP(AD$1,main!$A$3:$H$102,8,FALSE),main!$K$26:$M$29,2,FALSE)+VLOOKUP(VLOOKUP(AD$1,main!$A$3:$H$102,7,FALSE),main!$K$19:$O$22,MATCH(VLOOKUP($A63,main!$A$3:$H$102,8,FALSE),main!$K$18:$O$18,0))))),1,0)</f>
        <v>1</v>
      </c>
      <c r="AE63">
        <f>IF((AND(VLOOKUP(AE$1,main!$A$3:$H$102,5,FALSE)-VLOOKUP($A63,main!$A$3:$H$102,6,FALSE)&gt;=(VLOOKUP(VLOOKUP(AE$1,main!$A$3:$H$102,8,FALSE),main!$K$26:$M$29,2,FALSE)+VLOOKUP(VLOOKUP(AE$1,main!$A$3:$H$102,7,FALSE),main!$K$19:$O$22,MATCH(VLOOKUP($A63,main!$A$3:$H$102,8,FALSE),main!$K$18:$O$18,0))))),1,0)</f>
        <v>1</v>
      </c>
      <c r="AF63">
        <f>IF((AND(VLOOKUP(AF$1,main!$A$3:$H$102,5,FALSE)-VLOOKUP($A63,main!$A$3:$H$102,6,FALSE)&gt;=(VLOOKUP(VLOOKUP(AF$1,main!$A$3:$H$102,8,FALSE),main!$K$26:$M$29,2,FALSE)+VLOOKUP(VLOOKUP(AF$1,main!$A$3:$H$102,7,FALSE),main!$K$19:$O$22,MATCH(VLOOKUP($A63,main!$A$3:$H$102,8,FALSE),main!$K$18:$O$18,0))))),1,0)</f>
        <v>1</v>
      </c>
      <c r="AG63">
        <f>IF((AND(VLOOKUP(AG$1,main!$A$3:$H$102,5,FALSE)-VLOOKUP($A63,main!$A$3:$H$102,6,FALSE)&gt;=(VLOOKUP(VLOOKUP(AG$1,main!$A$3:$H$102,8,FALSE),main!$K$26:$M$29,2,FALSE)+VLOOKUP(VLOOKUP(AG$1,main!$A$3:$H$102,7,FALSE),main!$K$19:$O$22,MATCH(VLOOKUP($A63,main!$A$3:$H$102,8,FALSE),main!$K$18:$O$18,0))))),1,0)</f>
        <v>1</v>
      </c>
      <c r="AH63">
        <f>IF((AND(VLOOKUP(AH$1,main!$A$3:$H$102,5,FALSE)-VLOOKUP($A63,main!$A$3:$H$102,6,FALSE)&gt;=(VLOOKUP(VLOOKUP(AH$1,main!$A$3:$H$102,8,FALSE),main!$K$26:$M$29,2,FALSE)+VLOOKUP(VLOOKUP(AH$1,main!$A$3:$H$102,7,FALSE),main!$K$19:$O$22,MATCH(VLOOKUP($A63,main!$A$3:$H$102,8,FALSE),main!$K$18:$O$18,0))))),1,0)</f>
        <v>1</v>
      </c>
      <c r="AI63">
        <f>IF((AND(VLOOKUP(AI$1,main!$A$3:$H$102,5,FALSE)-VLOOKUP($A63,main!$A$3:$H$102,6,FALSE)&gt;=(VLOOKUP(VLOOKUP(AI$1,main!$A$3:$H$102,8,FALSE),main!$K$26:$M$29,2,FALSE)+VLOOKUP(VLOOKUP(AI$1,main!$A$3:$H$102,7,FALSE),main!$K$19:$O$22,MATCH(VLOOKUP($A63,main!$A$3:$H$102,8,FALSE),main!$K$18:$O$18,0))))),1,0)</f>
        <v>1</v>
      </c>
      <c r="AJ63">
        <f>IF((AND(VLOOKUP(AJ$1,main!$A$3:$H$102,5,FALSE)-VLOOKUP($A63,main!$A$3:$H$102,6,FALSE)&gt;=(VLOOKUP(VLOOKUP(AJ$1,main!$A$3:$H$102,8,FALSE),main!$K$26:$M$29,2,FALSE)+VLOOKUP(VLOOKUP(AJ$1,main!$A$3:$H$102,7,FALSE),main!$K$19:$O$22,MATCH(VLOOKUP($A63,main!$A$3:$H$102,8,FALSE),main!$K$18:$O$18,0))))),1,0)</f>
        <v>1</v>
      </c>
      <c r="AK63">
        <f>IF((AND(VLOOKUP(AK$1,main!$A$3:$H$102,5,FALSE)-VLOOKUP($A63,main!$A$3:$H$102,6,FALSE)&gt;=(VLOOKUP(VLOOKUP(AK$1,main!$A$3:$H$102,8,FALSE),main!$K$26:$M$29,2,FALSE)+VLOOKUP(VLOOKUP(AK$1,main!$A$3:$H$102,7,FALSE),main!$K$19:$O$22,MATCH(VLOOKUP($A63,main!$A$3:$H$102,8,FALSE),main!$K$18:$O$18,0))))),1,0)</f>
        <v>1</v>
      </c>
      <c r="AL63">
        <f>IF((AND(VLOOKUP(AL$1,main!$A$3:$H$102,5,FALSE)-VLOOKUP($A63,main!$A$3:$H$102,6,FALSE)&gt;=(VLOOKUP(VLOOKUP(AL$1,main!$A$3:$H$102,8,FALSE),main!$K$26:$M$29,2,FALSE)+VLOOKUP(VLOOKUP(AL$1,main!$A$3:$H$102,7,FALSE),main!$K$19:$O$22,MATCH(VLOOKUP($A63,main!$A$3:$H$102,8,FALSE),main!$K$18:$O$18,0))))),1,0)</f>
        <v>1</v>
      </c>
      <c r="AM63">
        <f>IF((AND(VLOOKUP(AM$1,main!$A$3:$H$102,5,FALSE)-VLOOKUP($A63,main!$A$3:$H$102,6,FALSE)&gt;=(VLOOKUP(VLOOKUP(AM$1,main!$A$3:$H$102,8,FALSE),main!$K$26:$M$29,2,FALSE)+VLOOKUP(VLOOKUP(AM$1,main!$A$3:$H$102,7,FALSE),main!$K$19:$O$22,MATCH(VLOOKUP($A63,main!$A$3:$H$102,8,FALSE),main!$K$18:$O$18,0))))),1,0)</f>
        <v>1</v>
      </c>
      <c r="AN63">
        <f>IF((AND(VLOOKUP(AN$1,main!$A$3:$H$102,5,FALSE)-VLOOKUP($A63,main!$A$3:$H$102,6,FALSE)&gt;=(VLOOKUP(VLOOKUP(AN$1,main!$A$3:$H$102,8,FALSE),main!$K$26:$M$29,2,FALSE)+VLOOKUP(VLOOKUP(AN$1,main!$A$3:$H$102,7,FALSE),main!$K$19:$O$22,MATCH(VLOOKUP($A63,main!$A$3:$H$102,8,FALSE),main!$K$18:$O$18,0))))),1,0)</f>
        <v>1</v>
      </c>
      <c r="AO63">
        <f>IF((AND(VLOOKUP(AO$1,main!$A$3:$H$102,5,FALSE)-VLOOKUP($A63,main!$A$3:$H$102,6,FALSE)&gt;=(VLOOKUP(VLOOKUP(AO$1,main!$A$3:$H$102,8,FALSE),main!$K$26:$M$29,2,FALSE)+VLOOKUP(VLOOKUP(AO$1,main!$A$3:$H$102,7,FALSE),main!$K$19:$O$22,MATCH(VLOOKUP($A63,main!$A$3:$H$102,8,FALSE),main!$K$18:$O$18,0))))),1,0)</f>
        <v>1</v>
      </c>
      <c r="AP63">
        <f>IF((AND(VLOOKUP(AP$1,main!$A$3:$H$102,5,FALSE)-VLOOKUP($A63,main!$A$3:$H$102,6,FALSE)&gt;=(VLOOKUP(VLOOKUP(AP$1,main!$A$3:$H$102,8,FALSE),main!$K$26:$M$29,2,FALSE)+VLOOKUP(VLOOKUP(AP$1,main!$A$3:$H$102,7,FALSE),main!$K$19:$O$22,MATCH(VLOOKUP($A63,main!$A$3:$H$102,8,FALSE),main!$K$18:$O$18,0))))),1,0)</f>
        <v>1</v>
      </c>
      <c r="AQ63">
        <f>IF((AND(VLOOKUP(AQ$1,main!$A$3:$H$102,5,FALSE)-VLOOKUP($A63,main!$A$3:$H$102,6,FALSE)&gt;=(VLOOKUP(VLOOKUP(AQ$1,main!$A$3:$H$102,8,FALSE),main!$K$26:$M$29,2,FALSE)+VLOOKUP(VLOOKUP(AQ$1,main!$A$3:$H$102,7,FALSE),main!$K$19:$O$22,MATCH(VLOOKUP($A63,main!$A$3:$H$102,8,FALSE),main!$K$18:$O$18,0))))),1,0)</f>
        <v>1</v>
      </c>
      <c r="AR63">
        <f>IF((AND(VLOOKUP(AR$1,main!$A$3:$H$102,5,FALSE)-VLOOKUP($A63,main!$A$3:$H$102,6,FALSE)&gt;=(VLOOKUP(VLOOKUP(AR$1,main!$A$3:$H$102,8,FALSE),main!$K$26:$M$29,2,FALSE)+VLOOKUP(VLOOKUP(AR$1,main!$A$3:$H$102,7,FALSE),main!$K$19:$O$22,MATCH(VLOOKUP($A63,main!$A$3:$H$102,8,FALSE),main!$K$18:$O$18,0))))),1,0)</f>
        <v>1</v>
      </c>
      <c r="AS63">
        <f>IF((AND(VLOOKUP(AS$1,main!$A$3:$H$102,5,FALSE)-VLOOKUP($A63,main!$A$3:$H$102,6,FALSE)&gt;=(VLOOKUP(VLOOKUP(AS$1,main!$A$3:$H$102,8,FALSE),main!$K$26:$M$29,2,FALSE)+VLOOKUP(VLOOKUP(AS$1,main!$A$3:$H$102,7,FALSE),main!$K$19:$O$22,MATCH(VLOOKUP($A63,main!$A$3:$H$102,8,FALSE),main!$K$18:$O$18,0))))),1,0)</f>
        <v>1</v>
      </c>
      <c r="AT63">
        <f>IF((AND(VLOOKUP(AT$1,main!$A$3:$H$102,5,FALSE)-VLOOKUP($A63,main!$A$3:$H$102,6,FALSE)&gt;=(VLOOKUP(VLOOKUP(AT$1,main!$A$3:$H$102,8,FALSE),main!$K$26:$M$29,2,FALSE)+VLOOKUP(VLOOKUP(AT$1,main!$A$3:$H$102,7,FALSE),main!$K$19:$O$22,MATCH(VLOOKUP($A63,main!$A$3:$H$102,8,FALSE),main!$K$18:$O$18,0))))),1,0)</f>
        <v>1</v>
      </c>
      <c r="AU63">
        <f>IF((AND(VLOOKUP(AU$1,main!$A$3:$H$102,5,FALSE)-VLOOKUP($A63,main!$A$3:$H$102,6,FALSE)&gt;=(VLOOKUP(VLOOKUP(AU$1,main!$A$3:$H$102,8,FALSE),main!$K$26:$M$29,2,FALSE)+VLOOKUP(VLOOKUP(AU$1,main!$A$3:$H$102,7,FALSE),main!$K$19:$O$22,MATCH(VLOOKUP($A63,main!$A$3:$H$102,8,FALSE),main!$K$18:$O$18,0))))),1,0)</f>
        <v>1</v>
      </c>
      <c r="AV63">
        <f>IF((AND(VLOOKUP(AV$1,main!$A$3:$H$102,5,FALSE)-VLOOKUP($A63,main!$A$3:$H$102,6,FALSE)&gt;=(VLOOKUP(VLOOKUP(AV$1,main!$A$3:$H$102,8,FALSE),main!$K$26:$M$29,2,FALSE)+VLOOKUP(VLOOKUP(AV$1,main!$A$3:$H$102,7,FALSE),main!$K$19:$O$22,MATCH(VLOOKUP($A63,main!$A$3:$H$102,8,FALSE),main!$K$18:$O$18,0))))),1,0)</f>
        <v>1</v>
      </c>
      <c r="AW63">
        <f>IF((AND(VLOOKUP(AW$1,main!$A$3:$H$102,5,FALSE)-VLOOKUP($A63,main!$A$3:$H$102,6,FALSE)&gt;=(VLOOKUP(VLOOKUP(AW$1,main!$A$3:$H$102,8,FALSE),main!$K$26:$M$29,2,FALSE)+VLOOKUP(VLOOKUP(AW$1,main!$A$3:$H$102,7,FALSE),main!$K$19:$O$22,MATCH(VLOOKUP($A63,main!$A$3:$H$102,8,FALSE),main!$K$18:$O$18,0))))),1,0)</f>
        <v>1</v>
      </c>
      <c r="AX63">
        <f>IF((AND(VLOOKUP(AX$1,main!$A$3:$H$102,5,FALSE)-VLOOKUP($A63,main!$A$3:$H$102,6,FALSE)&gt;=(VLOOKUP(VLOOKUP(AX$1,main!$A$3:$H$102,8,FALSE),main!$K$26:$M$29,2,FALSE)+VLOOKUP(VLOOKUP(AX$1,main!$A$3:$H$102,7,FALSE),main!$K$19:$O$22,MATCH(VLOOKUP($A63,main!$A$3:$H$102,8,FALSE),main!$K$18:$O$18,0))))),1,0)</f>
        <v>1</v>
      </c>
      <c r="AY63">
        <f>IF((AND(VLOOKUP(AY$1,main!$A$3:$H$102,5,FALSE)-VLOOKUP($A63,main!$A$3:$H$102,6,FALSE)&gt;=(VLOOKUP(VLOOKUP(AY$1,main!$A$3:$H$102,8,FALSE),main!$K$26:$M$29,2,FALSE)+VLOOKUP(VLOOKUP(AY$1,main!$A$3:$H$102,7,FALSE),main!$K$19:$O$22,MATCH(VLOOKUP($A63,main!$A$3:$H$102,8,FALSE),main!$K$18:$O$18,0))))),1,0)</f>
        <v>1</v>
      </c>
      <c r="AZ63">
        <f>IF((AND(VLOOKUP(AZ$1,main!$A$3:$H$102,5,FALSE)-VLOOKUP($A63,main!$A$3:$H$102,6,FALSE)&gt;=(VLOOKUP(VLOOKUP(AZ$1,main!$A$3:$H$102,8,FALSE),main!$K$26:$M$29,2,FALSE)+VLOOKUP(VLOOKUP(AZ$1,main!$A$3:$H$102,7,FALSE),main!$K$19:$O$22,MATCH(VLOOKUP($A63,main!$A$3:$H$102,8,FALSE),main!$K$18:$O$18,0))))),1,0)</f>
        <v>1</v>
      </c>
      <c r="BA63">
        <f>IF((AND(VLOOKUP(BA$1,main!$A$3:$H$102,5,FALSE)-VLOOKUP($A63,main!$A$3:$H$102,6,FALSE)&gt;=(VLOOKUP(VLOOKUP(BA$1,main!$A$3:$H$102,8,FALSE),main!$K$26:$M$29,2,FALSE)+VLOOKUP(VLOOKUP(BA$1,main!$A$3:$H$102,7,FALSE),main!$K$19:$O$22,MATCH(VLOOKUP($A63,main!$A$3:$H$102,8,FALSE),main!$K$18:$O$18,0))))),1,0)</f>
        <v>1</v>
      </c>
      <c r="BB63">
        <f>IF((AND(VLOOKUP(BB$1,main!$A$3:$H$102,5,FALSE)-VLOOKUP($A63,main!$A$3:$H$102,6,FALSE)&gt;=(VLOOKUP(VLOOKUP(BB$1,main!$A$3:$H$102,8,FALSE),main!$K$26:$M$29,2,FALSE)+VLOOKUP(VLOOKUP(BB$1,main!$A$3:$H$102,7,FALSE),main!$K$19:$O$22,MATCH(VLOOKUP($A63,main!$A$3:$H$102,8,FALSE),main!$K$18:$O$18,0))))),1,0)</f>
        <v>1</v>
      </c>
      <c r="BC63">
        <f>IF((AND(VLOOKUP(BC$1,main!$A$3:$H$102,5,FALSE)-VLOOKUP($A63,main!$A$3:$H$102,6,FALSE)&gt;=(VLOOKUP(VLOOKUP(BC$1,main!$A$3:$H$102,8,FALSE),main!$K$26:$M$29,2,FALSE)+VLOOKUP(VLOOKUP(BC$1,main!$A$3:$H$102,7,FALSE),main!$K$19:$O$22,MATCH(VLOOKUP($A63,main!$A$3:$H$102,8,FALSE),main!$K$18:$O$18,0))))),1,0)</f>
        <v>1</v>
      </c>
      <c r="BD63">
        <f>IF((AND(VLOOKUP(BD$1,main!$A$3:$H$102,5,FALSE)-VLOOKUP($A63,main!$A$3:$H$102,6,FALSE)&gt;=(VLOOKUP(VLOOKUP(BD$1,main!$A$3:$H$102,8,FALSE),main!$K$26:$M$29,2,FALSE)+VLOOKUP(VLOOKUP(BD$1,main!$A$3:$H$102,7,FALSE),main!$K$19:$O$22,MATCH(VLOOKUP($A63,main!$A$3:$H$102,8,FALSE),main!$K$18:$O$18,0))))),1,0)</f>
        <v>1</v>
      </c>
      <c r="BE63">
        <f>IF((AND(VLOOKUP(BE$1,main!$A$3:$H$102,5,FALSE)-VLOOKUP($A63,main!$A$3:$H$102,6,FALSE)&gt;=(VLOOKUP(VLOOKUP(BE$1,main!$A$3:$H$102,8,FALSE),main!$K$26:$M$29,2,FALSE)+VLOOKUP(VLOOKUP(BE$1,main!$A$3:$H$102,7,FALSE),main!$K$19:$O$22,MATCH(VLOOKUP($A63,main!$A$3:$H$102,8,FALSE),main!$K$18:$O$18,0))))),1,0)</f>
        <v>1</v>
      </c>
      <c r="BF63">
        <f>IF((AND(VLOOKUP(BF$1,main!$A$3:$H$102,5,FALSE)-VLOOKUP($A63,main!$A$3:$H$102,6,FALSE)&gt;=(VLOOKUP(VLOOKUP(BF$1,main!$A$3:$H$102,8,FALSE),main!$K$26:$M$29,2,FALSE)+VLOOKUP(VLOOKUP(BF$1,main!$A$3:$H$102,7,FALSE),main!$K$19:$O$22,MATCH(VLOOKUP($A63,main!$A$3:$H$102,8,FALSE),main!$K$18:$O$18,0))))),1,0)</f>
        <v>1</v>
      </c>
      <c r="BG63">
        <f>IF((AND(VLOOKUP(BG$1,main!$A$3:$H$102,5,FALSE)-VLOOKUP($A63,main!$A$3:$H$102,6,FALSE)&gt;=(VLOOKUP(VLOOKUP(BG$1,main!$A$3:$H$102,8,FALSE),main!$K$26:$M$29,2,FALSE)+VLOOKUP(VLOOKUP(BG$1,main!$A$3:$H$102,7,FALSE),main!$K$19:$O$22,MATCH(VLOOKUP($A63,main!$A$3:$H$102,8,FALSE),main!$K$18:$O$18,0))))),1,0)</f>
        <v>1</v>
      </c>
      <c r="BH63">
        <f>IF((AND(VLOOKUP(BH$1,main!$A$3:$H$102,5,FALSE)-VLOOKUP($A63,main!$A$3:$H$102,6,FALSE)&gt;=(VLOOKUP(VLOOKUP(BH$1,main!$A$3:$H$102,8,FALSE),main!$K$26:$M$29,2,FALSE)+VLOOKUP(VLOOKUP(BH$1,main!$A$3:$H$102,7,FALSE),main!$K$19:$O$22,MATCH(VLOOKUP($A63,main!$A$3:$H$102,8,FALSE),main!$K$18:$O$18,0))))),1,0)</f>
        <v>1</v>
      </c>
      <c r="BI63">
        <f>IF((AND(VLOOKUP(BI$1,main!$A$3:$H$102,5,FALSE)-VLOOKUP($A63,main!$A$3:$H$102,6,FALSE)&gt;=(VLOOKUP(VLOOKUP(BI$1,main!$A$3:$H$102,8,FALSE),main!$K$26:$M$29,2,FALSE)+VLOOKUP(VLOOKUP(BI$1,main!$A$3:$H$102,7,FALSE),main!$K$19:$O$22,MATCH(VLOOKUP($A63,main!$A$3:$H$102,8,FALSE),main!$K$18:$O$18,0))))),1,0)</f>
        <v>1</v>
      </c>
      <c r="BJ63">
        <f>IF((AND(VLOOKUP(BJ$1,main!$A$3:$H$102,5,FALSE)-VLOOKUP($A63,main!$A$3:$H$102,6,FALSE)&gt;=(VLOOKUP(VLOOKUP(BJ$1,main!$A$3:$H$102,8,FALSE),main!$K$26:$M$29,2,FALSE)+VLOOKUP(VLOOKUP(BJ$1,main!$A$3:$H$102,7,FALSE),main!$K$19:$O$22,MATCH(VLOOKUP($A63,main!$A$3:$H$102,8,FALSE),main!$K$18:$O$18,0))))),1,0)</f>
        <v>1</v>
      </c>
      <c r="BK63">
        <f>IF((AND(VLOOKUP(BK$1,main!$A$3:$H$102,5,FALSE)-VLOOKUP($A63,main!$A$3:$H$102,6,FALSE)&gt;=(VLOOKUP(VLOOKUP(BK$1,main!$A$3:$H$102,8,FALSE),main!$K$26:$M$29,2,FALSE)+VLOOKUP(VLOOKUP(BK$1,main!$A$3:$H$102,7,FALSE),main!$K$19:$O$22,MATCH(VLOOKUP($A63,main!$A$3:$H$102,8,FALSE),main!$K$18:$O$18,0))))),1,0)</f>
        <v>0</v>
      </c>
      <c r="BL63">
        <f>IF((AND(VLOOKUP(BL$1,main!$A$3:$H$102,5,FALSE)-VLOOKUP($A63,main!$A$3:$H$102,6,FALSE)&gt;=(VLOOKUP(VLOOKUP(BL$1,main!$A$3:$H$102,8,FALSE),main!$K$26:$M$29,2,FALSE)+VLOOKUP(VLOOKUP(BL$1,main!$A$3:$H$102,7,FALSE),main!$K$19:$O$22,MATCH(VLOOKUP($A63,main!$A$3:$H$102,8,FALSE),main!$K$18:$O$18,0))))),1,0)</f>
        <v>1</v>
      </c>
      <c r="BM63">
        <f>IF((AND(VLOOKUP(BM$1,main!$A$3:$H$102,5,FALSE)-VLOOKUP($A63,main!$A$3:$H$102,6,FALSE)&gt;=(VLOOKUP(VLOOKUP(BM$1,main!$A$3:$H$102,8,FALSE),main!$K$26:$M$29,2,FALSE)+VLOOKUP(VLOOKUP(BM$1,main!$A$3:$H$102,7,FALSE),main!$K$19:$O$22,MATCH(VLOOKUP($A63,main!$A$3:$H$102,8,FALSE),main!$K$18:$O$18,0))))),1,0)</f>
        <v>1</v>
      </c>
      <c r="BN63">
        <f>IF((AND(VLOOKUP(BN$1,main!$A$3:$H$102,5,FALSE)-VLOOKUP($A63,main!$A$3:$H$102,6,FALSE)&gt;=(VLOOKUP(VLOOKUP(BN$1,main!$A$3:$H$102,8,FALSE),main!$K$26:$M$29,2,FALSE)+VLOOKUP(VLOOKUP(BN$1,main!$A$3:$H$102,7,FALSE),main!$K$19:$O$22,MATCH(VLOOKUP($A63,main!$A$3:$H$102,8,FALSE),main!$K$18:$O$18,0))))),1,0)</f>
        <v>1</v>
      </c>
      <c r="BO63">
        <f>IF((AND(VLOOKUP(BO$1,main!$A$3:$H$102,5,FALSE)-VLOOKUP($A63,main!$A$3:$H$102,6,FALSE)&gt;=(VLOOKUP(VLOOKUP(BO$1,main!$A$3:$H$102,8,FALSE),main!$K$26:$M$29,2,FALSE)+VLOOKUP(VLOOKUP(BO$1,main!$A$3:$H$102,7,FALSE),main!$K$19:$O$22,MATCH(VLOOKUP($A63,main!$A$3:$H$102,8,FALSE),main!$K$18:$O$18,0))))),1,0)</f>
        <v>0</v>
      </c>
      <c r="BP63">
        <f>IF((AND(VLOOKUP(BP$1,main!$A$3:$H$102,5,FALSE)-VLOOKUP($A63,main!$A$3:$H$102,6,FALSE)&gt;=(VLOOKUP(VLOOKUP(BP$1,main!$A$3:$H$102,8,FALSE),main!$K$26:$M$29,2,FALSE)+VLOOKUP(VLOOKUP(BP$1,main!$A$3:$H$102,7,FALSE),main!$K$19:$O$22,MATCH(VLOOKUP($A63,main!$A$3:$H$102,8,FALSE),main!$K$18:$O$18,0))))),1,0)</f>
        <v>1</v>
      </c>
      <c r="BQ63">
        <f>IF((AND(VLOOKUP(BQ$1,main!$A$3:$H$102,5,FALSE)-VLOOKUP($A63,main!$A$3:$H$102,6,FALSE)&gt;=(VLOOKUP(VLOOKUP(BQ$1,main!$A$3:$H$102,8,FALSE),main!$K$26:$M$29,2,FALSE)+VLOOKUP(VLOOKUP(BQ$1,main!$A$3:$H$102,7,FALSE),main!$K$19:$O$22,MATCH(VLOOKUP($A63,main!$A$3:$H$102,8,FALSE),main!$K$18:$O$18,0))))),1,0)</f>
        <v>1</v>
      </c>
      <c r="BR63">
        <f>IF((AND(VLOOKUP(BR$1,main!$A$3:$H$102,5,FALSE)-VLOOKUP($A63,main!$A$3:$H$102,6,FALSE)&gt;=(VLOOKUP(VLOOKUP(BR$1,main!$A$3:$H$102,8,FALSE),main!$K$26:$M$29,2,FALSE)+VLOOKUP(VLOOKUP(BR$1,main!$A$3:$H$102,7,FALSE),main!$K$19:$O$22,MATCH(VLOOKUP($A63,main!$A$3:$H$102,8,FALSE),main!$K$18:$O$18,0))))),1,0)</f>
        <v>1</v>
      </c>
      <c r="BS63">
        <f>IF((AND(VLOOKUP(BS$1,main!$A$3:$H$102,5,FALSE)-VLOOKUP($A63,main!$A$3:$H$102,6,FALSE)&gt;=(VLOOKUP(VLOOKUP(BS$1,main!$A$3:$H$102,8,FALSE),main!$K$26:$M$29,2,FALSE)+VLOOKUP(VLOOKUP(BS$1,main!$A$3:$H$102,7,FALSE),main!$K$19:$O$22,MATCH(VLOOKUP($A63,main!$A$3:$H$102,8,FALSE),main!$K$18:$O$18,0))))),1,0)</f>
        <v>1</v>
      </c>
      <c r="BT63">
        <f>IF((AND(VLOOKUP(BT$1,main!$A$3:$H$102,5,FALSE)-VLOOKUP($A63,main!$A$3:$H$102,6,FALSE)&gt;=(VLOOKUP(VLOOKUP(BT$1,main!$A$3:$H$102,8,FALSE),main!$K$26:$M$29,2,FALSE)+VLOOKUP(VLOOKUP(BT$1,main!$A$3:$H$102,7,FALSE),main!$K$19:$O$22,MATCH(VLOOKUP($A63,main!$A$3:$H$102,8,FALSE),main!$K$18:$O$18,0))))),1,0)</f>
        <v>1</v>
      </c>
      <c r="BU63">
        <f>IF((AND(VLOOKUP(BU$1,main!$A$3:$H$102,5,FALSE)-VLOOKUP($A63,main!$A$3:$H$102,6,FALSE)&gt;=(VLOOKUP(VLOOKUP(BU$1,main!$A$3:$H$102,8,FALSE),main!$K$26:$M$29,2,FALSE)+VLOOKUP(VLOOKUP(BU$1,main!$A$3:$H$102,7,FALSE),main!$K$19:$O$22,MATCH(VLOOKUP($A63,main!$A$3:$H$102,8,FALSE),main!$K$18:$O$18,0))))),1,0)</f>
        <v>0</v>
      </c>
      <c r="BV63">
        <f>IF((AND(VLOOKUP(BV$1,main!$A$3:$H$102,5,FALSE)-VLOOKUP($A63,main!$A$3:$H$102,6,FALSE)&gt;=(VLOOKUP(VLOOKUP(BV$1,main!$A$3:$H$102,8,FALSE),main!$K$26:$M$29,2,FALSE)+VLOOKUP(VLOOKUP(BV$1,main!$A$3:$H$102,7,FALSE),main!$K$19:$O$22,MATCH(VLOOKUP($A63,main!$A$3:$H$102,8,FALSE),main!$K$18:$O$18,0))))),1,0)</f>
        <v>1</v>
      </c>
      <c r="BW63">
        <f>IF((AND(VLOOKUP(BW$1,main!$A$3:$H$102,5,FALSE)-VLOOKUP($A63,main!$A$3:$H$102,6,FALSE)&gt;=(VLOOKUP(VLOOKUP(BW$1,main!$A$3:$H$102,8,FALSE),main!$K$26:$M$29,2,FALSE)+VLOOKUP(VLOOKUP(BW$1,main!$A$3:$H$102,7,FALSE),main!$K$19:$O$22,MATCH(VLOOKUP($A63,main!$A$3:$H$102,8,FALSE),main!$K$18:$O$18,0))))),1,0)</f>
        <v>1</v>
      </c>
      <c r="BX63">
        <f>IF((AND(VLOOKUP(BX$1,main!$A$3:$H$102,5,FALSE)-VLOOKUP($A63,main!$A$3:$H$102,6,FALSE)&gt;=(VLOOKUP(VLOOKUP(BX$1,main!$A$3:$H$102,8,FALSE),main!$K$26:$M$29,2,FALSE)+VLOOKUP(VLOOKUP(BX$1,main!$A$3:$H$102,7,FALSE),main!$K$19:$O$22,MATCH(VLOOKUP($A63,main!$A$3:$H$102,8,FALSE),main!$K$18:$O$18,0))))),1,0)</f>
        <v>1</v>
      </c>
      <c r="BY63">
        <f>IF((AND(VLOOKUP(BY$1,main!$A$3:$H$102,5,FALSE)-VLOOKUP($A63,main!$A$3:$H$102,6,FALSE)&gt;=(VLOOKUP(VLOOKUP(BY$1,main!$A$3:$H$102,8,FALSE),main!$K$26:$M$29,2,FALSE)+VLOOKUP(VLOOKUP(BY$1,main!$A$3:$H$102,7,FALSE),main!$K$19:$O$22,MATCH(VLOOKUP($A63,main!$A$3:$H$102,8,FALSE),main!$K$18:$O$18,0))))),1,0)</f>
        <v>1</v>
      </c>
      <c r="BZ63">
        <f>IF((AND(VLOOKUP(BZ$1,main!$A$3:$H$102,5,FALSE)-VLOOKUP($A63,main!$A$3:$H$102,6,FALSE)&gt;=(VLOOKUP(VLOOKUP(BZ$1,main!$A$3:$H$102,8,FALSE),main!$K$26:$M$29,2,FALSE)+VLOOKUP(VLOOKUP(BZ$1,main!$A$3:$H$102,7,FALSE),main!$K$19:$O$22,MATCH(VLOOKUP($A63,main!$A$3:$H$102,8,FALSE),main!$K$18:$O$18,0))))),1,0)</f>
        <v>1</v>
      </c>
      <c r="CA63">
        <f>IF((AND(VLOOKUP(CA$1,main!$A$3:$H$102,5,FALSE)-VLOOKUP($A63,main!$A$3:$H$102,6,FALSE)&gt;=(VLOOKUP(VLOOKUP(CA$1,main!$A$3:$H$102,8,FALSE),main!$K$26:$M$29,2,FALSE)+VLOOKUP(VLOOKUP(CA$1,main!$A$3:$H$102,7,FALSE),main!$K$19:$O$22,MATCH(VLOOKUP($A63,main!$A$3:$H$102,8,FALSE),main!$K$18:$O$18,0))))),1,0)</f>
        <v>1</v>
      </c>
      <c r="CB63">
        <f>IF((AND(VLOOKUP(CB$1,main!$A$3:$H$102,5,FALSE)-VLOOKUP($A63,main!$A$3:$H$102,6,FALSE)&gt;=(VLOOKUP(VLOOKUP(CB$1,main!$A$3:$H$102,8,FALSE),main!$K$26:$M$29,2,FALSE)+VLOOKUP(VLOOKUP(CB$1,main!$A$3:$H$102,7,FALSE),main!$K$19:$O$22,MATCH(VLOOKUP($A63,main!$A$3:$H$102,8,FALSE),main!$K$18:$O$18,0))))),1,0)</f>
        <v>1</v>
      </c>
      <c r="CC63">
        <f>IF((AND(VLOOKUP(CC$1,main!$A$3:$H$102,5,FALSE)-VLOOKUP($A63,main!$A$3:$H$102,6,FALSE)&gt;=(VLOOKUP(VLOOKUP(CC$1,main!$A$3:$H$102,8,FALSE),main!$K$26:$M$29,2,FALSE)+VLOOKUP(VLOOKUP(CC$1,main!$A$3:$H$102,7,FALSE),main!$K$19:$O$22,MATCH(VLOOKUP($A63,main!$A$3:$H$102,8,FALSE),main!$K$18:$O$18,0))))),1,0)</f>
        <v>1</v>
      </c>
      <c r="CD63">
        <f>IF((AND(VLOOKUP(CD$1,main!$A$3:$H$102,5,FALSE)-VLOOKUP($A63,main!$A$3:$H$102,6,FALSE)&gt;=(VLOOKUP(VLOOKUP(CD$1,main!$A$3:$H$102,8,FALSE),main!$K$26:$M$29,2,FALSE)+VLOOKUP(VLOOKUP(CD$1,main!$A$3:$H$102,7,FALSE),main!$K$19:$O$22,MATCH(VLOOKUP($A63,main!$A$3:$H$102,8,FALSE),main!$K$18:$O$18,0))))),1,0)</f>
        <v>1</v>
      </c>
      <c r="CE63">
        <f>IF((AND(VLOOKUP(CE$1,main!$A$3:$H$102,5,FALSE)-VLOOKUP($A63,main!$A$3:$H$102,6,FALSE)&gt;=(VLOOKUP(VLOOKUP(CE$1,main!$A$3:$H$102,8,FALSE),main!$K$26:$M$29,2,FALSE)+VLOOKUP(VLOOKUP(CE$1,main!$A$3:$H$102,7,FALSE),main!$K$19:$O$22,MATCH(VLOOKUP($A63,main!$A$3:$H$102,8,FALSE),main!$K$18:$O$18,0))))),1,0)</f>
        <v>1</v>
      </c>
      <c r="CF63">
        <f>IF((AND(VLOOKUP(CF$1,main!$A$3:$H$102,5,FALSE)-VLOOKUP($A63,main!$A$3:$H$102,6,FALSE)&gt;=(VLOOKUP(VLOOKUP(CF$1,main!$A$3:$H$102,8,FALSE),main!$K$26:$M$29,2,FALSE)+VLOOKUP(VLOOKUP(CF$1,main!$A$3:$H$102,7,FALSE),main!$K$19:$O$22,MATCH(VLOOKUP($A63,main!$A$3:$H$102,8,FALSE),main!$K$18:$O$18,0))))),1,0)</f>
        <v>1</v>
      </c>
      <c r="CG63">
        <f>IF((AND(VLOOKUP(CG$1,main!$A$3:$H$102,5,FALSE)-VLOOKUP($A63,main!$A$3:$H$102,6,FALSE)&gt;=(VLOOKUP(VLOOKUP(CG$1,main!$A$3:$H$102,8,FALSE),main!$K$26:$M$29,2,FALSE)+VLOOKUP(VLOOKUP(CG$1,main!$A$3:$H$102,7,FALSE),main!$K$19:$O$22,MATCH(VLOOKUP($A63,main!$A$3:$H$102,8,FALSE),main!$K$18:$O$18,0))))),1,0)</f>
        <v>1</v>
      </c>
      <c r="CH63">
        <f>IF((AND(VLOOKUP(CH$1,main!$A$3:$H$102,5,FALSE)-VLOOKUP($A63,main!$A$3:$H$102,6,FALSE)&gt;=(VLOOKUP(VLOOKUP(CH$1,main!$A$3:$H$102,8,FALSE),main!$K$26:$M$29,2,FALSE)+VLOOKUP(VLOOKUP(CH$1,main!$A$3:$H$102,7,FALSE),main!$K$19:$O$22,MATCH(VLOOKUP($A63,main!$A$3:$H$102,8,FALSE),main!$K$18:$O$18,0))))),1,0)</f>
        <v>1</v>
      </c>
      <c r="CI63">
        <f>IF((AND(VLOOKUP(CI$1,main!$A$3:$H$102,5,FALSE)-VLOOKUP($A63,main!$A$3:$H$102,6,FALSE)&gt;=(VLOOKUP(VLOOKUP(CI$1,main!$A$3:$H$102,8,FALSE),main!$K$26:$M$29,2,FALSE)+VLOOKUP(VLOOKUP(CI$1,main!$A$3:$H$102,7,FALSE),main!$K$19:$O$22,MATCH(VLOOKUP($A63,main!$A$3:$H$102,8,FALSE),main!$K$18:$O$18,0))))),1,0)</f>
        <v>1</v>
      </c>
      <c r="CJ63">
        <f>IF((AND(VLOOKUP(CJ$1,main!$A$3:$H$102,5,FALSE)-VLOOKUP($A63,main!$A$3:$H$102,6,FALSE)&gt;=(VLOOKUP(VLOOKUP(CJ$1,main!$A$3:$H$102,8,FALSE),main!$K$26:$M$29,2,FALSE)+VLOOKUP(VLOOKUP(CJ$1,main!$A$3:$H$102,7,FALSE),main!$K$19:$O$22,MATCH(VLOOKUP($A63,main!$A$3:$H$102,8,FALSE),main!$K$18:$O$18,0))))),1,0)</f>
        <v>1</v>
      </c>
      <c r="CK63">
        <f>IF((AND(VLOOKUP(CK$1,main!$A$3:$H$102,5,FALSE)-VLOOKUP($A63,main!$A$3:$H$102,6,FALSE)&gt;=(VLOOKUP(VLOOKUP(CK$1,main!$A$3:$H$102,8,FALSE),main!$K$26:$M$29,2,FALSE)+VLOOKUP(VLOOKUP(CK$1,main!$A$3:$H$102,7,FALSE),main!$K$19:$O$22,MATCH(VLOOKUP($A63,main!$A$3:$H$102,8,FALSE),main!$K$18:$O$18,0))))),1,0)</f>
        <v>1</v>
      </c>
      <c r="CL63">
        <f>IF((AND(VLOOKUP(CL$1,main!$A$3:$H$102,5,FALSE)-VLOOKUP($A63,main!$A$3:$H$102,6,FALSE)&gt;=(VLOOKUP(VLOOKUP(CL$1,main!$A$3:$H$102,8,FALSE),main!$K$26:$M$29,2,FALSE)+VLOOKUP(VLOOKUP(CL$1,main!$A$3:$H$102,7,FALSE),main!$K$19:$O$22,MATCH(VLOOKUP($A63,main!$A$3:$H$102,8,FALSE),main!$K$18:$O$18,0))))),1,0)</f>
        <v>1</v>
      </c>
      <c r="CM63">
        <f>IF((AND(VLOOKUP(CM$1,main!$A$3:$H$102,5,FALSE)-VLOOKUP($A63,main!$A$3:$H$102,6,FALSE)&gt;=(VLOOKUP(VLOOKUP(CM$1,main!$A$3:$H$102,8,FALSE),main!$K$26:$M$29,2,FALSE)+VLOOKUP(VLOOKUP(CM$1,main!$A$3:$H$102,7,FALSE),main!$K$19:$O$22,MATCH(VLOOKUP($A63,main!$A$3:$H$102,8,FALSE),main!$K$18:$O$18,0))))),1,0)</f>
        <v>1</v>
      </c>
      <c r="CN63">
        <f>IF((AND(VLOOKUP(CN$1,main!$A$3:$H$102,5,FALSE)-VLOOKUP($A63,main!$A$3:$H$102,6,FALSE)&gt;=(VLOOKUP(VLOOKUP(CN$1,main!$A$3:$H$102,8,FALSE),main!$K$26:$M$29,2,FALSE)+VLOOKUP(VLOOKUP(CN$1,main!$A$3:$H$102,7,FALSE),main!$K$19:$O$22,MATCH(VLOOKUP($A63,main!$A$3:$H$102,8,FALSE),main!$K$18:$O$18,0))))),1,0)</f>
        <v>1</v>
      </c>
      <c r="CO63">
        <f>IF((AND(VLOOKUP(CO$1,main!$A$3:$H$102,5,FALSE)-VLOOKUP($A63,main!$A$3:$H$102,6,FALSE)&gt;=(VLOOKUP(VLOOKUP(CO$1,main!$A$3:$H$102,8,FALSE),main!$K$26:$M$29,2,FALSE)+VLOOKUP(VLOOKUP(CO$1,main!$A$3:$H$102,7,FALSE),main!$K$19:$O$22,MATCH(VLOOKUP($A63,main!$A$3:$H$102,8,FALSE),main!$K$18:$O$18,0))))),1,0)</f>
        <v>1</v>
      </c>
      <c r="CP63">
        <f>IF((AND(VLOOKUP(CP$1,main!$A$3:$H$102,5,FALSE)-VLOOKUP($A63,main!$A$3:$H$102,6,FALSE)&gt;=(VLOOKUP(VLOOKUP(CP$1,main!$A$3:$H$102,8,FALSE),main!$K$26:$M$29,2,FALSE)+VLOOKUP(VLOOKUP(CP$1,main!$A$3:$H$102,7,FALSE),main!$K$19:$O$22,MATCH(VLOOKUP($A63,main!$A$3:$H$102,8,FALSE),main!$K$18:$O$18,0))))),1,0)</f>
        <v>1</v>
      </c>
      <c r="CQ63">
        <f>IF((AND(VLOOKUP(CQ$1,main!$A$3:$H$102,5,FALSE)-VLOOKUP($A63,main!$A$3:$H$102,6,FALSE)&gt;=(VLOOKUP(VLOOKUP(CQ$1,main!$A$3:$H$102,8,FALSE),main!$K$26:$M$29,2,FALSE)+VLOOKUP(VLOOKUP(CQ$1,main!$A$3:$H$102,7,FALSE),main!$K$19:$O$22,MATCH(VLOOKUP($A63,main!$A$3:$H$102,8,FALSE),main!$K$18:$O$18,0))))),1,0)</f>
        <v>1</v>
      </c>
      <c r="CR63">
        <f>IF((AND(VLOOKUP(CR$1,main!$A$3:$H$102,5,FALSE)-VLOOKUP($A63,main!$A$3:$H$102,6,FALSE)&gt;=(VLOOKUP(VLOOKUP(CR$1,main!$A$3:$H$102,8,FALSE),main!$K$26:$M$29,2,FALSE)+VLOOKUP(VLOOKUP(CR$1,main!$A$3:$H$102,7,FALSE),main!$K$19:$O$22,MATCH(VLOOKUP($A63,main!$A$3:$H$102,8,FALSE),main!$K$18:$O$18,0))))),1,0)</f>
        <v>1</v>
      </c>
      <c r="CS63">
        <f>IF((AND(VLOOKUP(CS$1,main!$A$3:$H$102,5,FALSE)-VLOOKUP($A63,main!$A$3:$H$102,6,FALSE)&gt;=(VLOOKUP(VLOOKUP(CS$1,main!$A$3:$H$102,8,FALSE),main!$K$26:$M$29,2,FALSE)+VLOOKUP(VLOOKUP(CS$1,main!$A$3:$H$102,7,FALSE),main!$K$19:$O$22,MATCH(VLOOKUP($A63,main!$A$3:$H$102,8,FALSE),main!$K$18:$O$18,0))))),1,0)</f>
        <v>1</v>
      </c>
      <c r="CT63">
        <f>IF((AND(VLOOKUP(CT$1,main!$A$3:$H$102,5,FALSE)-VLOOKUP($A63,main!$A$3:$H$102,6,FALSE)&gt;=(VLOOKUP(VLOOKUP(CT$1,main!$A$3:$H$102,8,FALSE),main!$K$26:$M$29,2,FALSE)+VLOOKUP(VLOOKUP(CT$1,main!$A$3:$H$102,7,FALSE),main!$K$19:$O$22,MATCH(VLOOKUP($A63,main!$A$3:$H$102,8,FALSE),main!$K$18:$O$18,0))))),1,0)</f>
        <v>1</v>
      </c>
      <c r="CU63">
        <f>IF((AND(VLOOKUP(CU$1,main!$A$3:$H$102,5,FALSE)-VLOOKUP($A63,main!$A$3:$H$102,6,FALSE)&gt;=(VLOOKUP(VLOOKUP(CU$1,main!$A$3:$H$102,8,FALSE),main!$K$26:$M$29,2,FALSE)+VLOOKUP(VLOOKUP(CU$1,main!$A$3:$H$102,7,FALSE),main!$K$19:$O$22,MATCH(VLOOKUP($A63,main!$A$3:$H$102,8,FALSE),main!$K$18:$O$18,0))))),1,0)</f>
        <v>1</v>
      </c>
      <c r="CV63">
        <f>IF((AND(VLOOKUP(CV$1,main!$A$3:$H$102,5,FALSE)-VLOOKUP($A63,main!$A$3:$H$102,6,FALSE)&gt;=(VLOOKUP(VLOOKUP(CV$1,main!$A$3:$H$102,8,FALSE),main!$K$26:$M$29,2,FALSE)+VLOOKUP(VLOOKUP(CV$1,main!$A$3:$H$102,7,FALSE),main!$K$19:$O$22,MATCH(VLOOKUP($A63,main!$A$3:$H$102,8,FALSE),main!$K$18:$O$18,0))))),1,0)</f>
        <v>1</v>
      </c>
      <c r="CW63">
        <f>IF((AND(VLOOKUP(CW$1,main!$A$3:$H$102,5,FALSE)-VLOOKUP($A63,main!$A$3:$H$102,6,FALSE)&gt;=(VLOOKUP(VLOOKUP(CW$1,main!$A$3:$H$102,8,FALSE),main!$K$26:$M$29,2,FALSE)+VLOOKUP(VLOOKUP(CW$1,main!$A$3:$H$102,7,FALSE),main!$K$19:$O$22,MATCH(VLOOKUP($A63,main!$A$3:$H$102,8,FALSE),main!$K$18:$O$18,0))))),1,0)</f>
        <v>1</v>
      </c>
      <c r="CX63">
        <f>IF((AND(VLOOKUP(CX$1,main!$A$3:$H$102,5,FALSE)-VLOOKUP($A63,main!$A$3:$H$102,6,FALSE)&gt;=(VLOOKUP(VLOOKUP(CX$1,main!$A$3:$H$102,8,FALSE),main!$K$26:$M$29,2,FALSE)+VLOOKUP(VLOOKUP(CX$1,main!$A$3:$H$102,7,FALSE),main!$K$19:$O$22,MATCH(VLOOKUP($A63,main!$A$3:$H$102,8,FALSE),main!$K$18:$O$18,0))))),1,0)</f>
        <v>1</v>
      </c>
    </row>
    <row r="64" spans="1:102" x14ac:dyDescent="0.25">
      <c r="A64" s="1">
        <v>62</v>
      </c>
      <c r="B64">
        <v>1</v>
      </c>
      <c r="C64">
        <f>IF((AND(VLOOKUP(C$1,main!$A$3:$H$102,5,FALSE)-VLOOKUP($A64,main!$A$3:$H$102,6,FALSE)&gt;=(VLOOKUP(VLOOKUP(C$1,main!$A$3:$H$102,8,FALSE),main!$K$26:$M$29,2,FALSE)+VLOOKUP(VLOOKUP(C$1,main!$A$3:$H$102,7,FALSE),main!$K$19:$O$22,MATCH(VLOOKUP($A64,main!$A$3:$H$102,8,FALSE),main!$K$18:$O$18,0))))),1,0)</f>
        <v>0</v>
      </c>
      <c r="D64">
        <f>IF((AND(VLOOKUP(D$1,main!$A$3:$H$102,5,FALSE)-VLOOKUP($A64,main!$A$3:$H$102,6,FALSE)&gt;=(VLOOKUP(VLOOKUP(D$1,main!$A$3:$H$102,8,FALSE),main!$K$26:$M$29,2,FALSE)+VLOOKUP(VLOOKUP(D$1,main!$A$3:$H$102,7,FALSE),main!$K$19:$O$22,MATCH(VLOOKUP($A64,main!$A$3:$H$102,8,FALSE),main!$K$18:$O$18,0))))),1,0)</f>
        <v>0</v>
      </c>
      <c r="E64">
        <f>IF((AND(VLOOKUP(E$1,main!$A$3:$H$102,5,FALSE)-VLOOKUP($A64,main!$A$3:$H$102,6,FALSE)&gt;=(VLOOKUP(VLOOKUP(E$1,main!$A$3:$H$102,8,FALSE),main!$K$26:$M$29,2,FALSE)+VLOOKUP(VLOOKUP(E$1,main!$A$3:$H$102,7,FALSE),main!$K$19:$O$22,MATCH(VLOOKUP($A64,main!$A$3:$H$102,8,FALSE),main!$K$18:$O$18,0))))),1,0)</f>
        <v>1</v>
      </c>
      <c r="F64">
        <f>IF((AND(VLOOKUP(F$1,main!$A$3:$H$102,5,FALSE)-VLOOKUP($A64,main!$A$3:$H$102,6,FALSE)&gt;=(VLOOKUP(VLOOKUP(F$1,main!$A$3:$H$102,8,FALSE),main!$K$26:$M$29,2,FALSE)+VLOOKUP(VLOOKUP(F$1,main!$A$3:$H$102,7,FALSE),main!$K$19:$O$22,MATCH(VLOOKUP($A64,main!$A$3:$H$102,8,FALSE),main!$K$18:$O$18,0))))),1,0)</f>
        <v>1</v>
      </c>
      <c r="G64">
        <f>IF((AND(VLOOKUP(G$1,main!$A$3:$H$102,5,FALSE)-VLOOKUP($A64,main!$A$3:$H$102,6,FALSE)&gt;=(VLOOKUP(VLOOKUP(G$1,main!$A$3:$H$102,8,FALSE),main!$K$26:$M$29,2,FALSE)+VLOOKUP(VLOOKUP(G$1,main!$A$3:$H$102,7,FALSE),main!$K$19:$O$22,MATCH(VLOOKUP($A64,main!$A$3:$H$102,8,FALSE),main!$K$18:$O$18,0))))),1,0)</f>
        <v>1</v>
      </c>
      <c r="H64">
        <f>IF((AND(VLOOKUP(H$1,main!$A$3:$H$102,5,FALSE)-VLOOKUP($A64,main!$A$3:$H$102,6,FALSE)&gt;=(VLOOKUP(VLOOKUP(H$1,main!$A$3:$H$102,8,FALSE),main!$K$26:$M$29,2,FALSE)+VLOOKUP(VLOOKUP(H$1,main!$A$3:$H$102,7,FALSE),main!$K$19:$O$22,MATCH(VLOOKUP($A64,main!$A$3:$H$102,8,FALSE),main!$K$18:$O$18,0))))),1,0)</f>
        <v>1</v>
      </c>
      <c r="I64">
        <f>IF((AND(VLOOKUP(I$1,main!$A$3:$H$102,5,FALSE)-VLOOKUP($A64,main!$A$3:$H$102,6,FALSE)&gt;=(VLOOKUP(VLOOKUP(I$1,main!$A$3:$H$102,8,FALSE),main!$K$26:$M$29,2,FALSE)+VLOOKUP(VLOOKUP(I$1,main!$A$3:$H$102,7,FALSE),main!$K$19:$O$22,MATCH(VLOOKUP($A64,main!$A$3:$H$102,8,FALSE),main!$K$18:$O$18,0))))),1,0)</f>
        <v>1</v>
      </c>
      <c r="J64">
        <f>IF((AND(VLOOKUP(J$1,main!$A$3:$H$102,5,FALSE)-VLOOKUP($A64,main!$A$3:$H$102,6,FALSE)&gt;=(VLOOKUP(VLOOKUP(J$1,main!$A$3:$H$102,8,FALSE),main!$K$26:$M$29,2,FALSE)+VLOOKUP(VLOOKUP(J$1,main!$A$3:$H$102,7,FALSE),main!$K$19:$O$22,MATCH(VLOOKUP($A64,main!$A$3:$H$102,8,FALSE),main!$K$18:$O$18,0))))),1,0)</f>
        <v>1</v>
      </c>
      <c r="K64">
        <f>IF((AND(VLOOKUP(K$1,main!$A$3:$H$102,5,FALSE)-VLOOKUP($A64,main!$A$3:$H$102,6,FALSE)&gt;=(VLOOKUP(VLOOKUP(K$1,main!$A$3:$H$102,8,FALSE),main!$K$26:$M$29,2,FALSE)+VLOOKUP(VLOOKUP(K$1,main!$A$3:$H$102,7,FALSE),main!$K$19:$O$22,MATCH(VLOOKUP($A64,main!$A$3:$H$102,8,FALSE),main!$K$18:$O$18,0))))),1,0)</f>
        <v>1</v>
      </c>
      <c r="L64">
        <f>IF((AND(VLOOKUP(L$1,main!$A$3:$H$102,5,FALSE)-VLOOKUP($A64,main!$A$3:$H$102,6,FALSE)&gt;=(VLOOKUP(VLOOKUP(L$1,main!$A$3:$H$102,8,FALSE),main!$K$26:$M$29,2,FALSE)+VLOOKUP(VLOOKUP(L$1,main!$A$3:$H$102,7,FALSE),main!$K$19:$O$22,MATCH(VLOOKUP($A64,main!$A$3:$H$102,8,FALSE),main!$K$18:$O$18,0))))),1,0)</f>
        <v>1</v>
      </c>
      <c r="M64">
        <f>IF((AND(VLOOKUP(M$1,main!$A$3:$H$102,5,FALSE)-VLOOKUP($A64,main!$A$3:$H$102,6,FALSE)&gt;=(VLOOKUP(VLOOKUP(M$1,main!$A$3:$H$102,8,FALSE),main!$K$26:$M$29,2,FALSE)+VLOOKUP(VLOOKUP(M$1,main!$A$3:$H$102,7,FALSE),main!$K$19:$O$22,MATCH(VLOOKUP($A64,main!$A$3:$H$102,8,FALSE),main!$K$18:$O$18,0))))),1,0)</f>
        <v>0</v>
      </c>
      <c r="N64">
        <f>IF((AND(VLOOKUP(N$1,main!$A$3:$H$102,5,FALSE)-VLOOKUP($A64,main!$A$3:$H$102,6,FALSE)&gt;=(VLOOKUP(VLOOKUP(N$1,main!$A$3:$H$102,8,FALSE),main!$K$26:$M$29,2,FALSE)+VLOOKUP(VLOOKUP(N$1,main!$A$3:$H$102,7,FALSE),main!$K$19:$O$22,MATCH(VLOOKUP($A64,main!$A$3:$H$102,8,FALSE),main!$K$18:$O$18,0))))),1,0)</f>
        <v>0</v>
      </c>
      <c r="O64">
        <f>IF((AND(VLOOKUP(O$1,main!$A$3:$H$102,5,FALSE)-VLOOKUP($A64,main!$A$3:$H$102,6,FALSE)&gt;=(VLOOKUP(VLOOKUP(O$1,main!$A$3:$H$102,8,FALSE),main!$K$26:$M$29,2,FALSE)+VLOOKUP(VLOOKUP(O$1,main!$A$3:$H$102,7,FALSE),main!$K$19:$O$22,MATCH(VLOOKUP($A64,main!$A$3:$H$102,8,FALSE),main!$K$18:$O$18,0))))),1,0)</f>
        <v>0</v>
      </c>
      <c r="P64">
        <f>IF((AND(VLOOKUP(P$1,main!$A$3:$H$102,5,FALSE)-VLOOKUP($A64,main!$A$3:$H$102,6,FALSE)&gt;=(VLOOKUP(VLOOKUP(P$1,main!$A$3:$H$102,8,FALSE),main!$K$26:$M$29,2,FALSE)+VLOOKUP(VLOOKUP(P$1,main!$A$3:$H$102,7,FALSE),main!$K$19:$O$22,MATCH(VLOOKUP($A64,main!$A$3:$H$102,8,FALSE),main!$K$18:$O$18,0))))),1,0)</f>
        <v>0</v>
      </c>
      <c r="Q64">
        <f>IF((AND(VLOOKUP(Q$1,main!$A$3:$H$102,5,FALSE)-VLOOKUP($A64,main!$A$3:$H$102,6,FALSE)&gt;=(VLOOKUP(VLOOKUP(Q$1,main!$A$3:$H$102,8,FALSE),main!$K$26:$M$29,2,FALSE)+VLOOKUP(VLOOKUP(Q$1,main!$A$3:$H$102,7,FALSE),main!$K$19:$O$22,MATCH(VLOOKUP($A64,main!$A$3:$H$102,8,FALSE),main!$K$18:$O$18,0))))),1,0)</f>
        <v>1</v>
      </c>
      <c r="R64">
        <f>IF((AND(VLOOKUP(R$1,main!$A$3:$H$102,5,FALSE)-VLOOKUP($A64,main!$A$3:$H$102,6,FALSE)&gt;=(VLOOKUP(VLOOKUP(R$1,main!$A$3:$H$102,8,FALSE),main!$K$26:$M$29,2,FALSE)+VLOOKUP(VLOOKUP(R$1,main!$A$3:$H$102,7,FALSE),main!$K$19:$O$22,MATCH(VLOOKUP($A64,main!$A$3:$H$102,8,FALSE),main!$K$18:$O$18,0))))),1,0)</f>
        <v>1</v>
      </c>
      <c r="S64">
        <f>IF((AND(VLOOKUP(S$1,main!$A$3:$H$102,5,FALSE)-VLOOKUP($A64,main!$A$3:$H$102,6,FALSE)&gt;=(VLOOKUP(VLOOKUP(S$1,main!$A$3:$H$102,8,FALSE),main!$K$26:$M$29,2,FALSE)+VLOOKUP(VLOOKUP(S$1,main!$A$3:$H$102,7,FALSE),main!$K$19:$O$22,MATCH(VLOOKUP($A64,main!$A$3:$H$102,8,FALSE),main!$K$18:$O$18,0))))),1,0)</f>
        <v>1</v>
      </c>
      <c r="T64">
        <f>IF((AND(VLOOKUP(T$1,main!$A$3:$H$102,5,FALSE)-VLOOKUP($A64,main!$A$3:$H$102,6,FALSE)&gt;=(VLOOKUP(VLOOKUP(T$1,main!$A$3:$H$102,8,FALSE),main!$K$26:$M$29,2,FALSE)+VLOOKUP(VLOOKUP(T$1,main!$A$3:$H$102,7,FALSE),main!$K$19:$O$22,MATCH(VLOOKUP($A64,main!$A$3:$H$102,8,FALSE),main!$K$18:$O$18,0))))),1,0)</f>
        <v>1</v>
      </c>
      <c r="U64">
        <f>IF((AND(VLOOKUP(U$1,main!$A$3:$H$102,5,FALSE)-VLOOKUP($A64,main!$A$3:$H$102,6,FALSE)&gt;=(VLOOKUP(VLOOKUP(U$1,main!$A$3:$H$102,8,FALSE),main!$K$26:$M$29,2,FALSE)+VLOOKUP(VLOOKUP(U$1,main!$A$3:$H$102,7,FALSE),main!$K$19:$O$22,MATCH(VLOOKUP($A64,main!$A$3:$H$102,8,FALSE),main!$K$18:$O$18,0))))),1,0)</f>
        <v>1</v>
      </c>
      <c r="V64">
        <f>IF((AND(VLOOKUP(V$1,main!$A$3:$H$102,5,FALSE)-VLOOKUP($A64,main!$A$3:$H$102,6,FALSE)&gt;=(VLOOKUP(VLOOKUP(V$1,main!$A$3:$H$102,8,FALSE),main!$K$26:$M$29,2,FALSE)+VLOOKUP(VLOOKUP(V$1,main!$A$3:$H$102,7,FALSE),main!$K$19:$O$22,MATCH(VLOOKUP($A64,main!$A$3:$H$102,8,FALSE),main!$K$18:$O$18,0))))),1,0)</f>
        <v>1</v>
      </c>
      <c r="W64">
        <f>IF((AND(VLOOKUP(W$1,main!$A$3:$H$102,5,FALSE)-VLOOKUP($A64,main!$A$3:$H$102,6,FALSE)&gt;=(VLOOKUP(VLOOKUP(W$1,main!$A$3:$H$102,8,FALSE),main!$K$26:$M$29,2,FALSE)+VLOOKUP(VLOOKUP(W$1,main!$A$3:$H$102,7,FALSE),main!$K$19:$O$22,MATCH(VLOOKUP($A64,main!$A$3:$H$102,8,FALSE),main!$K$18:$O$18,0))))),1,0)</f>
        <v>0</v>
      </c>
      <c r="X64">
        <f>IF((AND(VLOOKUP(X$1,main!$A$3:$H$102,5,FALSE)-VLOOKUP($A64,main!$A$3:$H$102,6,FALSE)&gt;=(VLOOKUP(VLOOKUP(X$1,main!$A$3:$H$102,8,FALSE),main!$K$26:$M$29,2,FALSE)+VLOOKUP(VLOOKUP(X$1,main!$A$3:$H$102,7,FALSE),main!$K$19:$O$22,MATCH(VLOOKUP($A64,main!$A$3:$H$102,8,FALSE),main!$K$18:$O$18,0))))),1,0)</f>
        <v>0</v>
      </c>
      <c r="Y64">
        <f>IF((AND(VLOOKUP(Y$1,main!$A$3:$H$102,5,FALSE)-VLOOKUP($A64,main!$A$3:$H$102,6,FALSE)&gt;=(VLOOKUP(VLOOKUP(Y$1,main!$A$3:$H$102,8,FALSE),main!$K$26:$M$29,2,FALSE)+VLOOKUP(VLOOKUP(Y$1,main!$A$3:$H$102,7,FALSE),main!$K$19:$O$22,MATCH(VLOOKUP($A64,main!$A$3:$H$102,8,FALSE),main!$K$18:$O$18,0))))),1,0)</f>
        <v>1</v>
      </c>
      <c r="Z64">
        <f>IF((AND(VLOOKUP(Z$1,main!$A$3:$H$102,5,FALSE)-VLOOKUP($A64,main!$A$3:$H$102,6,FALSE)&gt;=(VLOOKUP(VLOOKUP(Z$1,main!$A$3:$H$102,8,FALSE),main!$K$26:$M$29,2,FALSE)+VLOOKUP(VLOOKUP(Z$1,main!$A$3:$H$102,7,FALSE),main!$K$19:$O$22,MATCH(VLOOKUP($A64,main!$A$3:$H$102,8,FALSE),main!$K$18:$O$18,0))))),1,0)</f>
        <v>1</v>
      </c>
      <c r="AA64">
        <f>IF((AND(VLOOKUP(AA$1,main!$A$3:$H$102,5,FALSE)-VLOOKUP($A64,main!$A$3:$H$102,6,FALSE)&gt;=(VLOOKUP(VLOOKUP(AA$1,main!$A$3:$H$102,8,FALSE),main!$K$26:$M$29,2,FALSE)+VLOOKUP(VLOOKUP(AA$1,main!$A$3:$H$102,7,FALSE),main!$K$19:$O$22,MATCH(VLOOKUP($A64,main!$A$3:$H$102,8,FALSE),main!$K$18:$O$18,0))))),1,0)</f>
        <v>1</v>
      </c>
      <c r="AB64">
        <f>IF((AND(VLOOKUP(AB$1,main!$A$3:$H$102,5,FALSE)-VLOOKUP($A64,main!$A$3:$H$102,6,FALSE)&gt;=(VLOOKUP(VLOOKUP(AB$1,main!$A$3:$H$102,8,FALSE),main!$K$26:$M$29,2,FALSE)+VLOOKUP(VLOOKUP(AB$1,main!$A$3:$H$102,7,FALSE),main!$K$19:$O$22,MATCH(VLOOKUP($A64,main!$A$3:$H$102,8,FALSE),main!$K$18:$O$18,0))))),1,0)</f>
        <v>0</v>
      </c>
      <c r="AC64">
        <f>IF((AND(VLOOKUP(AC$1,main!$A$3:$H$102,5,FALSE)-VLOOKUP($A64,main!$A$3:$H$102,6,FALSE)&gt;=(VLOOKUP(VLOOKUP(AC$1,main!$A$3:$H$102,8,FALSE),main!$K$26:$M$29,2,FALSE)+VLOOKUP(VLOOKUP(AC$1,main!$A$3:$H$102,7,FALSE),main!$K$19:$O$22,MATCH(VLOOKUP($A64,main!$A$3:$H$102,8,FALSE),main!$K$18:$O$18,0))))),1,0)</f>
        <v>0</v>
      </c>
      <c r="AD64">
        <f>IF((AND(VLOOKUP(AD$1,main!$A$3:$H$102,5,FALSE)-VLOOKUP($A64,main!$A$3:$H$102,6,FALSE)&gt;=(VLOOKUP(VLOOKUP(AD$1,main!$A$3:$H$102,8,FALSE),main!$K$26:$M$29,2,FALSE)+VLOOKUP(VLOOKUP(AD$1,main!$A$3:$H$102,7,FALSE),main!$K$19:$O$22,MATCH(VLOOKUP($A64,main!$A$3:$H$102,8,FALSE),main!$K$18:$O$18,0))))),1,0)</f>
        <v>1</v>
      </c>
      <c r="AE64">
        <f>IF((AND(VLOOKUP(AE$1,main!$A$3:$H$102,5,FALSE)-VLOOKUP($A64,main!$A$3:$H$102,6,FALSE)&gt;=(VLOOKUP(VLOOKUP(AE$1,main!$A$3:$H$102,8,FALSE),main!$K$26:$M$29,2,FALSE)+VLOOKUP(VLOOKUP(AE$1,main!$A$3:$H$102,7,FALSE),main!$K$19:$O$22,MATCH(VLOOKUP($A64,main!$A$3:$H$102,8,FALSE),main!$K$18:$O$18,0))))),1,0)</f>
        <v>1</v>
      </c>
      <c r="AF64">
        <f>IF((AND(VLOOKUP(AF$1,main!$A$3:$H$102,5,FALSE)-VLOOKUP($A64,main!$A$3:$H$102,6,FALSE)&gt;=(VLOOKUP(VLOOKUP(AF$1,main!$A$3:$H$102,8,FALSE),main!$K$26:$M$29,2,FALSE)+VLOOKUP(VLOOKUP(AF$1,main!$A$3:$H$102,7,FALSE),main!$K$19:$O$22,MATCH(VLOOKUP($A64,main!$A$3:$H$102,8,FALSE),main!$K$18:$O$18,0))))),1,0)</f>
        <v>1</v>
      </c>
      <c r="AG64">
        <f>IF((AND(VLOOKUP(AG$1,main!$A$3:$H$102,5,FALSE)-VLOOKUP($A64,main!$A$3:$H$102,6,FALSE)&gt;=(VLOOKUP(VLOOKUP(AG$1,main!$A$3:$H$102,8,FALSE),main!$K$26:$M$29,2,FALSE)+VLOOKUP(VLOOKUP(AG$1,main!$A$3:$H$102,7,FALSE),main!$K$19:$O$22,MATCH(VLOOKUP($A64,main!$A$3:$H$102,8,FALSE),main!$K$18:$O$18,0))))),1,0)</f>
        <v>0</v>
      </c>
      <c r="AH64">
        <f>IF((AND(VLOOKUP(AH$1,main!$A$3:$H$102,5,FALSE)-VLOOKUP($A64,main!$A$3:$H$102,6,FALSE)&gt;=(VLOOKUP(VLOOKUP(AH$1,main!$A$3:$H$102,8,FALSE),main!$K$26:$M$29,2,FALSE)+VLOOKUP(VLOOKUP(AH$1,main!$A$3:$H$102,7,FALSE),main!$K$19:$O$22,MATCH(VLOOKUP($A64,main!$A$3:$H$102,8,FALSE),main!$K$18:$O$18,0))))),1,0)</f>
        <v>0</v>
      </c>
      <c r="AI64">
        <f>IF((AND(VLOOKUP(AI$1,main!$A$3:$H$102,5,FALSE)-VLOOKUP($A64,main!$A$3:$H$102,6,FALSE)&gt;=(VLOOKUP(VLOOKUP(AI$1,main!$A$3:$H$102,8,FALSE),main!$K$26:$M$29,2,FALSE)+VLOOKUP(VLOOKUP(AI$1,main!$A$3:$H$102,7,FALSE),main!$K$19:$O$22,MATCH(VLOOKUP($A64,main!$A$3:$H$102,8,FALSE),main!$K$18:$O$18,0))))),1,0)</f>
        <v>1</v>
      </c>
      <c r="AJ64">
        <f>IF((AND(VLOOKUP(AJ$1,main!$A$3:$H$102,5,FALSE)-VLOOKUP($A64,main!$A$3:$H$102,6,FALSE)&gt;=(VLOOKUP(VLOOKUP(AJ$1,main!$A$3:$H$102,8,FALSE),main!$K$26:$M$29,2,FALSE)+VLOOKUP(VLOOKUP(AJ$1,main!$A$3:$H$102,7,FALSE),main!$K$19:$O$22,MATCH(VLOOKUP($A64,main!$A$3:$H$102,8,FALSE),main!$K$18:$O$18,0))))),1,0)</f>
        <v>1</v>
      </c>
      <c r="AK64">
        <f>IF((AND(VLOOKUP(AK$1,main!$A$3:$H$102,5,FALSE)-VLOOKUP($A64,main!$A$3:$H$102,6,FALSE)&gt;=(VLOOKUP(VLOOKUP(AK$1,main!$A$3:$H$102,8,FALSE),main!$K$26:$M$29,2,FALSE)+VLOOKUP(VLOOKUP(AK$1,main!$A$3:$H$102,7,FALSE),main!$K$19:$O$22,MATCH(VLOOKUP($A64,main!$A$3:$H$102,8,FALSE),main!$K$18:$O$18,0))))),1,0)</f>
        <v>1</v>
      </c>
      <c r="AL64">
        <f>IF((AND(VLOOKUP(AL$1,main!$A$3:$H$102,5,FALSE)-VLOOKUP($A64,main!$A$3:$H$102,6,FALSE)&gt;=(VLOOKUP(VLOOKUP(AL$1,main!$A$3:$H$102,8,FALSE),main!$K$26:$M$29,2,FALSE)+VLOOKUP(VLOOKUP(AL$1,main!$A$3:$H$102,7,FALSE),main!$K$19:$O$22,MATCH(VLOOKUP($A64,main!$A$3:$H$102,8,FALSE),main!$K$18:$O$18,0))))),1,0)</f>
        <v>1</v>
      </c>
      <c r="AM64">
        <f>IF((AND(VLOOKUP(AM$1,main!$A$3:$H$102,5,FALSE)-VLOOKUP($A64,main!$A$3:$H$102,6,FALSE)&gt;=(VLOOKUP(VLOOKUP(AM$1,main!$A$3:$H$102,8,FALSE),main!$K$26:$M$29,2,FALSE)+VLOOKUP(VLOOKUP(AM$1,main!$A$3:$H$102,7,FALSE),main!$K$19:$O$22,MATCH(VLOOKUP($A64,main!$A$3:$H$102,8,FALSE),main!$K$18:$O$18,0))))),1,0)</f>
        <v>1</v>
      </c>
      <c r="AN64">
        <f>IF((AND(VLOOKUP(AN$1,main!$A$3:$H$102,5,FALSE)-VLOOKUP($A64,main!$A$3:$H$102,6,FALSE)&gt;=(VLOOKUP(VLOOKUP(AN$1,main!$A$3:$H$102,8,FALSE),main!$K$26:$M$29,2,FALSE)+VLOOKUP(VLOOKUP(AN$1,main!$A$3:$H$102,7,FALSE),main!$K$19:$O$22,MATCH(VLOOKUP($A64,main!$A$3:$H$102,8,FALSE),main!$K$18:$O$18,0))))),1,0)</f>
        <v>1</v>
      </c>
      <c r="AO64">
        <f>IF((AND(VLOOKUP(AO$1,main!$A$3:$H$102,5,FALSE)-VLOOKUP($A64,main!$A$3:$H$102,6,FALSE)&gt;=(VLOOKUP(VLOOKUP(AO$1,main!$A$3:$H$102,8,FALSE),main!$K$26:$M$29,2,FALSE)+VLOOKUP(VLOOKUP(AO$1,main!$A$3:$H$102,7,FALSE),main!$K$19:$O$22,MATCH(VLOOKUP($A64,main!$A$3:$H$102,8,FALSE),main!$K$18:$O$18,0))))),1,0)</f>
        <v>0</v>
      </c>
      <c r="AP64">
        <f>IF((AND(VLOOKUP(AP$1,main!$A$3:$H$102,5,FALSE)-VLOOKUP($A64,main!$A$3:$H$102,6,FALSE)&gt;=(VLOOKUP(VLOOKUP(AP$1,main!$A$3:$H$102,8,FALSE),main!$K$26:$M$29,2,FALSE)+VLOOKUP(VLOOKUP(AP$1,main!$A$3:$H$102,7,FALSE),main!$K$19:$O$22,MATCH(VLOOKUP($A64,main!$A$3:$H$102,8,FALSE),main!$K$18:$O$18,0))))),1,0)</f>
        <v>1</v>
      </c>
      <c r="AQ64">
        <f>IF((AND(VLOOKUP(AQ$1,main!$A$3:$H$102,5,FALSE)-VLOOKUP($A64,main!$A$3:$H$102,6,FALSE)&gt;=(VLOOKUP(VLOOKUP(AQ$1,main!$A$3:$H$102,8,FALSE),main!$K$26:$M$29,2,FALSE)+VLOOKUP(VLOOKUP(AQ$1,main!$A$3:$H$102,7,FALSE),main!$K$19:$O$22,MATCH(VLOOKUP($A64,main!$A$3:$H$102,8,FALSE),main!$K$18:$O$18,0))))),1,0)</f>
        <v>0</v>
      </c>
      <c r="AR64">
        <f>IF((AND(VLOOKUP(AR$1,main!$A$3:$H$102,5,FALSE)-VLOOKUP($A64,main!$A$3:$H$102,6,FALSE)&gt;=(VLOOKUP(VLOOKUP(AR$1,main!$A$3:$H$102,8,FALSE),main!$K$26:$M$29,2,FALSE)+VLOOKUP(VLOOKUP(AR$1,main!$A$3:$H$102,7,FALSE),main!$K$19:$O$22,MATCH(VLOOKUP($A64,main!$A$3:$H$102,8,FALSE),main!$K$18:$O$18,0))))),1,0)</f>
        <v>0</v>
      </c>
      <c r="AS64">
        <f>IF((AND(VLOOKUP(AS$1,main!$A$3:$H$102,5,FALSE)-VLOOKUP($A64,main!$A$3:$H$102,6,FALSE)&gt;=(VLOOKUP(VLOOKUP(AS$1,main!$A$3:$H$102,8,FALSE),main!$K$26:$M$29,2,FALSE)+VLOOKUP(VLOOKUP(AS$1,main!$A$3:$H$102,7,FALSE),main!$K$19:$O$22,MATCH(VLOOKUP($A64,main!$A$3:$H$102,8,FALSE),main!$K$18:$O$18,0))))),1,0)</f>
        <v>1</v>
      </c>
      <c r="AT64">
        <f>IF((AND(VLOOKUP(AT$1,main!$A$3:$H$102,5,FALSE)-VLOOKUP($A64,main!$A$3:$H$102,6,FALSE)&gt;=(VLOOKUP(VLOOKUP(AT$1,main!$A$3:$H$102,8,FALSE),main!$K$26:$M$29,2,FALSE)+VLOOKUP(VLOOKUP(AT$1,main!$A$3:$H$102,7,FALSE),main!$K$19:$O$22,MATCH(VLOOKUP($A64,main!$A$3:$H$102,8,FALSE),main!$K$18:$O$18,0))))),1,0)</f>
        <v>1</v>
      </c>
      <c r="AU64">
        <f>IF((AND(VLOOKUP(AU$1,main!$A$3:$H$102,5,FALSE)-VLOOKUP($A64,main!$A$3:$H$102,6,FALSE)&gt;=(VLOOKUP(VLOOKUP(AU$1,main!$A$3:$H$102,8,FALSE),main!$K$26:$M$29,2,FALSE)+VLOOKUP(VLOOKUP(AU$1,main!$A$3:$H$102,7,FALSE),main!$K$19:$O$22,MATCH(VLOOKUP($A64,main!$A$3:$H$102,8,FALSE),main!$K$18:$O$18,0))))),1,0)</f>
        <v>0</v>
      </c>
      <c r="AV64">
        <f>IF((AND(VLOOKUP(AV$1,main!$A$3:$H$102,5,FALSE)-VLOOKUP($A64,main!$A$3:$H$102,6,FALSE)&gt;=(VLOOKUP(VLOOKUP(AV$1,main!$A$3:$H$102,8,FALSE),main!$K$26:$M$29,2,FALSE)+VLOOKUP(VLOOKUP(AV$1,main!$A$3:$H$102,7,FALSE),main!$K$19:$O$22,MATCH(VLOOKUP($A64,main!$A$3:$H$102,8,FALSE),main!$K$18:$O$18,0))))),1,0)</f>
        <v>0</v>
      </c>
      <c r="AW64">
        <f>IF((AND(VLOOKUP(AW$1,main!$A$3:$H$102,5,FALSE)-VLOOKUP($A64,main!$A$3:$H$102,6,FALSE)&gt;=(VLOOKUP(VLOOKUP(AW$1,main!$A$3:$H$102,8,FALSE),main!$K$26:$M$29,2,FALSE)+VLOOKUP(VLOOKUP(AW$1,main!$A$3:$H$102,7,FALSE),main!$K$19:$O$22,MATCH(VLOOKUP($A64,main!$A$3:$H$102,8,FALSE),main!$K$18:$O$18,0))))),1,0)</f>
        <v>1</v>
      </c>
      <c r="AX64">
        <f>IF((AND(VLOOKUP(AX$1,main!$A$3:$H$102,5,FALSE)-VLOOKUP($A64,main!$A$3:$H$102,6,FALSE)&gt;=(VLOOKUP(VLOOKUP(AX$1,main!$A$3:$H$102,8,FALSE),main!$K$26:$M$29,2,FALSE)+VLOOKUP(VLOOKUP(AX$1,main!$A$3:$H$102,7,FALSE),main!$K$19:$O$22,MATCH(VLOOKUP($A64,main!$A$3:$H$102,8,FALSE),main!$K$18:$O$18,0))))),1,0)</f>
        <v>1</v>
      </c>
      <c r="AY64">
        <f>IF((AND(VLOOKUP(AY$1,main!$A$3:$H$102,5,FALSE)-VLOOKUP($A64,main!$A$3:$H$102,6,FALSE)&gt;=(VLOOKUP(VLOOKUP(AY$1,main!$A$3:$H$102,8,FALSE),main!$K$26:$M$29,2,FALSE)+VLOOKUP(VLOOKUP(AY$1,main!$A$3:$H$102,7,FALSE),main!$K$19:$O$22,MATCH(VLOOKUP($A64,main!$A$3:$H$102,8,FALSE),main!$K$18:$O$18,0))))),1,0)</f>
        <v>0</v>
      </c>
      <c r="AZ64">
        <f>IF((AND(VLOOKUP(AZ$1,main!$A$3:$H$102,5,FALSE)-VLOOKUP($A64,main!$A$3:$H$102,6,FALSE)&gt;=(VLOOKUP(VLOOKUP(AZ$1,main!$A$3:$H$102,8,FALSE),main!$K$26:$M$29,2,FALSE)+VLOOKUP(VLOOKUP(AZ$1,main!$A$3:$H$102,7,FALSE),main!$K$19:$O$22,MATCH(VLOOKUP($A64,main!$A$3:$H$102,8,FALSE),main!$K$18:$O$18,0))))),1,0)</f>
        <v>1</v>
      </c>
      <c r="BA64">
        <f>IF((AND(VLOOKUP(BA$1,main!$A$3:$H$102,5,FALSE)-VLOOKUP($A64,main!$A$3:$H$102,6,FALSE)&gt;=(VLOOKUP(VLOOKUP(BA$1,main!$A$3:$H$102,8,FALSE),main!$K$26:$M$29,2,FALSE)+VLOOKUP(VLOOKUP(BA$1,main!$A$3:$H$102,7,FALSE),main!$K$19:$O$22,MATCH(VLOOKUP($A64,main!$A$3:$H$102,8,FALSE),main!$K$18:$O$18,0))))),1,0)</f>
        <v>0</v>
      </c>
      <c r="BB64">
        <f>IF((AND(VLOOKUP(BB$1,main!$A$3:$H$102,5,FALSE)-VLOOKUP($A64,main!$A$3:$H$102,6,FALSE)&gt;=(VLOOKUP(VLOOKUP(BB$1,main!$A$3:$H$102,8,FALSE),main!$K$26:$M$29,2,FALSE)+VLOOKUP(VLOOKUP(BB$1,main!$A$3:$H$102,7,FALSE),main!$K$19:$O$22,MATCH(VLOOKUP($A64,main!$A$3:$H$102,8,FALSE),main!$K$18:$O$18,0))))),1,0)</f>
        <v>1</v>
      </c>
      <c r="BC64">
        <f>IF((AND(VLOOKUP(BC$1,main!$A$3:$H$102,5,FALSE)-VLOOKUP($A64,main!$A$3:$H$102,6,FALSE)&gt;=(VLOOKUP(VLOOKUP(BC$1,main!$A$3:$H$102,8,FALSE),main!$K$26:$M$29,2,FALSE)+VLOOKUP(VLOOKUP(BC$1,main!$A$3:$H$102,7,FALSE),main!$K$19:$O$22,MATCH(VLOOKUP($A64,main!$A$3:$H$102,8,FALSE),main!$K$18:$O$18,0))))),1,0)</f>
        <v>1</v>
      </c>
      <c r="BD64">
        <f>IF((AND(VLOOKUP(BD$1,main!$A$3:$H$102,5,FALSE)-VLOOKUP($A64,main!$A$3:$H$102,6,FALSE)&gt;=(VLOOKUP(VLOOKUP(BD$1,main!$A$3:$H$102,8,FALSE),main!$K$26:$M$29,2,FALSE)+VLOOKUP(VLOOKUP(BD$1,main!$A$3:$H$102,7,FALSE),main!$K$19:$O$22,MATCH(VLOOKUP($A64,main!$A$3:$H$102,8,FALSE),main!$K$18:$O$18,0))))),1,0)</f>
        <v>1</v>
      </c>
      <c r="BE64">
        <f>IF((AND(VLOOKUP(BE$1,main!$A$3:$H$102,5,FALSE)-VLOOKUP($A64,main!$A$3:$H$102,6,FALSE)&gt;=(VLOOKUP(VLOOKUP(BE$1,main!$A$3:$H$102,8,FALSE),main!$K$26:$M$29,2,FALSE)+VLOOKUP(VLOOKUP(BE$1,main!$A$3:$H$102,7,FALSE),main!$K$19:$O$22,MATCH(VLOOKUP($A64,main!$A$3:$H$102,8,FALSE),main!$K$18:$O$18,0))))),1,0)</f>
        <v>1</v>
      </c>
      <c r="BF64">
        <f>IF((AND(VLOOKUP(BF$1,main!$A$3:$H$102,5,FALSE)-VLOOKUP($A64,main!$A$3:$H$102,6,FALSE)&gt;=(VLOOKUP(VLOOKUP(BF$1,main!$A$3:$H$102,8,FALSE),main!$K$26:$M$29,2,FALSE)+VLOOKUP(VLOOKUP(BF$1,main!$A$3:$H$102,7,FALSE),main!$K$19:$O$22,MATCH(VLOOKUP($A64,main!$A$3:$H$102,8,FALSE),main!$K$18:$O$18,0))))),1,0)</f>
        <v>0</v>
      </c>
      <c r="BG64">
        <f>IF((AND(VLOOKUP(BG$1,main!$A$3:$H$102,5,FALSE)-VLOOKUP($A64,main!$A$3:$H$102,6,FALSE)&gt;=(VLOOKUP(VLOOKUP(BG$1,main!$A$3:$H$102,8,FALSE),main!$K$26:$M$29,2,FALSE)+VLOOKUP(VLOOKUP(BG$1,main!$A$3:$H$102,7,FALSE),main!$K$19:$O$22,MATCH(VLOOKUP($A64,main!$A$3:$H$102,8,FALSE),main!$K$18:$O$18,0))))),1,0)</f>
        <v>0</v>
      </c>
      <c r="BH64">
        <f>IF((AND(VLOOKUP(BH$1,main!$A$3:$H$102,5,FALSE)-VLOOKUP($A64,main!$A$3:$H$102,6,FALSE)&gt;=(VLOOKUP(VLOOKUP(BH$1,main!$A$3:$H$102,8,FALSE),main!$K$26:$M$29,2,FALSE)+VLOOKUP(VLOOKUP(BH$1,main!$A$3:$H$102,7,FALSE),main!$K$19:$O$22,MATCH(VLOOKUP($A64,main!$A$3:$H$102,8,FALSE),main!$K$18:$O$18,0))))),1,0)</f>
        <v>1</v>
      </c>
      <c r="BI64">
        <f>IF((AND(VLOOKUP(BI$1,main!$A$3:$H$102,5,FALSE)-VLOOKUP($A64,main!$A$3:$H$102,6,FALSE)&gt;=(VLOOKUP(VLOOKUP(BI$1,main!$A$3:$H$102,8,FALSE),main!$K$26:$M$29,2,FALSE)+VLOOKUP(VLOOKUP(BI$1,main!$A$3:$H$102,7,FALSE),main!$K$19:$O$22,MATCH(VLOOKUP($A64,main!$A$3:$H$102,8,FALSE),main!$K$18:$O$18,0))))),1,0)</f>
        <v>1</v>
      </c>
      <c r="BJ64">
        <f>IF((AND(VLOOKUP(BJ$1,main!$A$3:$H$102,5,FALSE)-VLOOKUP($A64,main!$A$3:$H$102,6,FALSE)&gt;=(VLOOKUP(VLOOKUP(BJ$1,main!$A$3:$H$102,8,FALSE),main!$K$26:$M$29,2,FALSE)+VLOOKUP(VLOOKUP(BJ$1,main!$A$3:$H$102,7,FALSE),main!$K$19:$O$22,MATCH(VLOOKUP($A64,main!$A$3:$H$102,8,FALSE),main!$K$18:$O$18,0))))),1,0)</f>
        <v>1</v>
      </c>
      <c r="BK64">
        <f>IF((AND(VLOOKUP(BK$1,main!$A$3:$H$102,5,FALSE)-VLOOKUP($A64,main!$A$3:$H$102,6,FALSE)&gt;=(VLOOKUP(VLOOKUP(BK$1,main!$A$3:$H$102,8,FALSE),main!$K$26:$M$29,2,FALSE)+VLOOKUP(VLOOKUP(BK$1,main!$A$3:$H$102,7,FALSE),main!$K$19:$O$22,MATCH(VLOOKUP($A64,main!$A$3:$H$102,8,FALSE),main!$K$18:$O$18,0))))),1,0)</f>
        <v>0</v>
      </c>
      <c r="BL64">
        <f>IF((AND(VLOOKUP(BL$1,main!$A$3:$H$102,5,FALSE)-VLOOKUP($A64,main!$A$3:$H$102,6,FALSE)&gt;=(VLOOKUP(VLOOKUP(BL$1,main!$A$3:$H$102,8,FALSE),main!$K$26:$M$29,2,FALSE)+VLOOKUP(VLOOKUP(BL$1,main!$A$3:$H$102,7,FALSE),main!$K$19:$O$22,MATCH(VLOOKUP($A64,main!$A$3:$H$102,8,FALSE),main!$K$18:$O$18,0))))),1,0)</f>
        <v>0</v>
      </c>
      <c r="BM64">
        <f>IF((AND(VLOOKUP(BM$1,main!$A$3:$H$102,5,FALSE)-VLOOKUP($A64,main!$A$3:$H$102,6,FALSE)&gt;=(VLOOKUP(VLOOKUP(BM$1,main!$A$3:$H$102,8,FALSE),main!$K$26:$M$29,2,FALSE)+VLOOKUP(VLOOKUP(BM$1,main!$A$3:$H$102,7,FALSE),main!$K$19:$O$22,MATCH(VLOOKUP($A64,main!$A$3:$H$102,8,FALSE),main!$K$18:$O$18,0))))),1,0)</f>
        <v>0</v>
      </c>
      <c r="BN64">
        <f>IF((AND(VLOOKUP(BN$1,main!$A$3:$H$102,5,FALSE)-VLOOKUP($A64,main!$A$3:$H$102,6,FALSE)&gt;=(VLOOKUP(VLOOKUP(BN$1,main!$A$3:$H$102,8,FALSE),main!$K$26:$M$29,2,FALSE)+VLOOKUP(VLOOKUP(BN$1,main!$A$3:$H$102,7,FALSE),main!$K$19:$O$22,MATCH(VLOOKUP($A64,main!$A$3:$H$102,8,FALSE),main!$K$18:$O$18,0))))),1,0)</f>
        <v>1</v>
      </c>
      <c r="BO64">
        <f>IF((AND(VLOOKUP(BO$1,main!$A$3:$H$102,5,FALSE)-VLOOKUP($A64,main!$A$3:$H$102,6,FALSE)&gt;=(VLOOKUP(VLOOKUP(BO$1,main!$A$3:$H$102,8,FALSE),main!$K$26:$M$29,2,FALSE)+VLOOKUP(VLOOKUP(BO$1,main!$A$3:$H$102,7,FALSE),main!$K$19:$O$22,MATCH(VLOOKUP($A64,main!$A$3:$H$102,8,FALSE),main!$K$18:$O$18,0))))),1,0)</f>
        <v>0</v>
      </c>
      <c r="BP64">
        <f>IF((AND(VLOOKUP(BP$1,main!$A$3:$H$102,5,FALSE)-VLOOKUP($A64,main!$A$3:$H$102,6,FALSE)&gt;=(VLOOKUP(VLOOKUP(BP$1,main!$A$3:$H$102,8,FALSE),main!$K$26:$M$29,2,FALSE)+VLOOKUP(VLOOKUP(BP$1,main!$A$3:$H$102,7,FALSE),main!$K$19:$O$22,MATCH(VLOOKUP($A64,main!$A$3:$H$102,8,FALSE),main!$K$18:$O$18,0))))),1,0)</f>
        <v>0</v>
      </c>
      <c r="BQ64">
        <f>IF((AND(VLOOKUP(BQ$1,main!$A$3:$H$102,5,FALSE)-VLOOKUP($A64,main!$A$3:$H$102,6,FALSE)&gt;=(VLOOKUP(VLOOKUP(BQ$1,main!$A$3:$H$102,8,FALSE),main!$K$26:$M$29,2,FALSE)+VLOOKUP(VLOOKUP(BQ$1,main!$A$3:$H$102,7,FALSE),main!$K$19:$O$22,MATCH(VLOOKUP($A64,main!$A$3:$H$102,8,FALSE),main!$K$18:$O$18,0))))),1,0)</f>
        <v>1</v>
      </c>
      <c r="BR64">
        <f>IF((AND(VLOOKUP(BR$1,main!$A$3:$H$102,5,FALSE)-VLOOKUP($A64,main!$A$3:$H$102,6,FALSE)&gt;=(VLOOKUP(VLOOKUP(BR$1,main!$A$3:$H$102,8,FALSE),main!$K$26:$M$29,2,FALSE)+VLOOKUP(VLOOKUP(BR$1,main!$A$3:$H$102,7,FALSE),main!$K$19:$O$22,MATCH(VLOOKUP($A64,main!$A$3:$H$102,8,FALSE),main!$K$18:$O$18,0))))),1,0)</f>
        <v>1</v>
      </c>
      <c r="BS64">
        <f>IF((AND(VLOOKUP(BS$1,main!$A$3:$H$102,5,FALSE)-VLOOKUP($A64,main!$A$3:$H$102,6,FALSE)&gt;=(VLOOKUP(VLOOKUP(BS$1,main!$A$3:$H$102,8,FALSE),main!$K$26:$M$29,2,FALSE)+VLOOKUP(VLOOKUP(BS$1,main!$A$3:$H$102,7,FALSE),main!$K$19:$O$22,MATCH(VLOOKUP($A64,main!$A$3:$H$102,8,FALSE),main!$K$18:$O$18,0))))),1,0)</f>
        <v>1</v>
      </c>
      <c r="BT64">
        <f>IF((AND(VLOOKUP(BT$1,main!$A$3:$H$102,5,FALSE)-VLOOKUP($A64,main!$A$3:$H$102,6,FALSE)&gt;=(VLOOKUP(VLOOKUP(BT$1,main!$A$3:$H$102,8,FALSE),main!$K$26:$M$29,2,FALSE)+VLOOKUP(VLOOKUP(BT$1,main!$A$3:$H$102,7,FALSE),main!$K$19:$O$22,MATCH(VLOOKUP($A64,main!$A$3:$H$102,8,FALSE),main!$K$18:$O$18,0))))),1,0)</f>
        <v>1</v>
      </c>
      <c r="BU64">
        <f>IF((AND(VLOOKUP(BU$1,main!$A$3:$H$102,5,FALSE)-VLOOKUP($A64,main!$A$3:$H$102,6,FALSE)&gt;=(VLOOKUP(VLOOKUP(BU$1,main!$A$3:$H$102,8,FALSE),main!$K$26:$M$29,2,FALSE)+VLOOKUP(VLOOKUP(BU$1,main!$A$3:$H$102,7,FALSE),main!$K$19:$O$22,MATCH(VLOOKUP($A64,main!$A$3:$H$102,8,FALSE),main!$K$18:$O$18,0))))),1,0)</f>
        <v>0</v>
      </c>
      <c r="BV64">
        <f>IF((AND(VLOOKUP(BV$1,main!$A$3:$H$102,5,FALSE)-VLOOKUP($A64,main!$A$3:$H$102,6,FALSE)&gt;=(VLOOKUP(VLOOKUP(BV$1,main!$A$3:$H$102,8,FALSE),main!$K$26:$M$29,2,FALSE)+VLOOKUP(VLOOKUP(BV$1,main!$A$3:$H$102,7,FALSE),main!$K$19:$O$22,MATCH(VLOOKUP($A64,main!$A$3:$H$102,8,FALSE),main!$K$18:$O$18,0))))),1,0)</f>
        <v>0</v>
      </c>
      <c r="BW64">
        <f>IF((AND(VLOOKUP(BW$1,main!$A$3:$H$102,5,FALSE)-VLOOKUP($A64,main!$A$3:$H$102,6,FALSE)&gt;=(VLOOKUP(VLOOKUP(BW$1,main!$A$3:$H$102,8,FALSE),main!$K$26:$M$29,2,FALSE)+VLOOKUP(VLOOKUP(BW$1,main!$A$3:$H$102,7,FALSE),main!$K$19:$O$22,MATCH(VLOOKUP($A64,main!$A$3:$H$102,8,FALSE),main!$K$18:$O$18,0))))),1,0)</f>
        <v>0</v>
      </c>
      <c r="BX64">
        <f>IF((AND(VLOOKUP(BX$1,main!$A$3:$H$102,5,FALSE)-VLOOKUP($A64,main!$A$3:$H$102,6,FALSE)&gt;=(VLOOKUP(VLOOKUP(BX$1,main!$A$3:$H$102,8,FALSE),main!$K$26:$M$29,2,FALSE)+VLOOKUP(VLOOKUP(BX$1,main!$A$3:$H$102,7,FALSE),main!$K$19:$O$22,MATCH(VLOOKUP($A64,main!$A$3:$H$102,8,FALSE),main!$K$18:$O$18,0))))),1,0)</f>
        <v>1</v>
      </c>
      <c r="BY64">
        <f>IF((AND(VLOOKUP(BY$1,main!$A$3:$H$102,5,FALSE)-VLOOKUP($A64,main!$A$3:$H$102,6,FALSE)&gt;=(VLOOKUP(VLOOKUP(BY$1,main!$A$3:$H$102,8,FALSE),main!$K$26:$M$29,2,FALSE)+VLOOKUP(VLOOKUP(BY$1,main!$A$3:$H$102,7,FALSE),main!$K$19:$O$22,MATCH(VLOOKUP($A64,main!$A$3:$H$102,8,FALSE),main!$K$18:$O$18,0))))),1,0)</f>
        <v>1</v>
      </c>
      <c r="BZ64">
        <f>IF((AND(VLOOKUP(BZ$1,main!$A$3:$H$102,5,FALSE)-VLOOKUP($A64,main!$A$3:$H$102,6,FALSE)&gt;=(VLOOKUP(VLOOKUP(BZ$1,main!$A$3:$H$102,8,FALSE),main!$K$26:$M$29,2,FALSE)+VLOOKUP(VLOOKUP(BZ$1,main!$A$3:$H$102,7,FALSE),main!$K$19:$O$22,MATCH(VLOOKUP($A64,main!$A$3:$H$102,8,FALSE),main!$K$18:$O$18,0))))),1,0)</f>
        <v>0</v>
      </c>
      <c r="CA64">
        <f>IF((AND(VLOOKUP(CA$1,main!$A$3:$H$102,5,FALSE)-VLOOKUP($A64,main!$A$3:$H$102,6,FALSE)&gt;=(VLOOKUP(VLOOKUP(CA$1,main!$A$3:$H$102,8,FALSE),main!$K$26:$M$29,2,FALSE)+VLOOKUP(VLOOKUP(CA$1,main!$A$3:$H$102,7,FALSE),main!$K$19:$O$22,MATCH(VLOOKUP($A64,main!$A$3:$H$102,8,FALSE),main!$K$18:$O$18,0))))),1,0)</f>
        <v>0</v>
      </c>
      <c r="CB64">
        <f>IF((AND(VLOOKUP(CB$1,main!$A$3:$H$102,5,FALSE)-VLOOKUP($A64,main!$A$3:$H$102,6,FALSE)&gt;=(VLOOKUP(VLOOKUP(CB$1,main!$A$3:$H$102,8,FALSE),main!$K$26:$M$29,2,FALSE)+VLOOKUP(VLOOKUP(CB$1,main!$A$3:$H$102,7,FALSE),main!$K$19:$O$22,MATCH(VLOOKUP($A64,main!$A$3:$H$102,8,FALSE),main!$K$18:$O$18,0))))),1,0)</f>
        <v>1</v>
      </c>
      <c r="CC64">
        <f>IF((AND(VLOOKUP(CC$1,main!$A$3:$H$102,5,FALSE)-VLOOKUP($A64,main!$A$3:$H$102,6,FALSE)&gt;=(VLOOKUP(VLOOKUP(CC$1,main!$A$3:$H$102,8,FALSE),main!$K$26:$M$29,2,FALSE)+VLOOKUP(VLOOKUP(CC$1,main!$A$3:$H$102,7,FALSE),main!$K$19:$O$22,MATCH(VLOOKUP($A64,main!$A$3:$H$102,8,FALSE),main!$K$18:$O$18,0))))),1,0)</f>
        <v>1</v>
      </c>
      <c r="CD64">
        <f>IF((AND(VLOOKUP(CD$1,main!$A$3:$H$102,5,FALSE)-VLOOKUP($A64,main!$A$3:$H$102,6,FALSE)&gt;=(VLOOKUP(VLOOKUP(CD$1,main!$A$3:$H$102,8,FALSE),main!$K$26:$M$29,2,FALSE)+VLOOKUP(VLOOKUP(CD$1,main!$A$3:$H$102,7,FALSE),main!$K$19:$O$22,MATCH(VLOOKUP($A64,main!$A$3:$H$102,8,FALSE),main!$K$18:$O$18,0))))),1,0)</f>
        <v>1</v>
      </c>
      <c r="CE64">
        <f>IF((AND(VLOOKUP(CE$1,main!$A$3:$H$102,5,FALSE)-VLOOKUP($A64,main!$A$3:$H$102,6,FALSE)&gt;=(VLOOKUP(VLOOKUP(CE$1,main!$A$3:$H$102,8,FALSE),main!$K$26:$M$29,2,FALSE)+VLOOKUP(VLOOKUP(CE$1,main!$A$3:$H$102,7,FALSE),main!$K$19:$O$22,MATCH(VLOOKUP($A64,main!$A$3:$H$102,8,FALSE),main!$K$18:$O$18,0))))),1,0)</f>
        <v>0</v>
      </c>
      <c r="CF64">
        <f>IF((AND(VLOOKUP(CF$1,main!$A$3:$H$102,5,FALSE)-VLOOKUP($A64,main!$A$3:$H$102,6,FALSE)&gt;=(VLOOKUP(VLOOKUP(CF$1,main!$A$3:$H$102,8,FALSE),main!$K$26:$M$29,2,FALSE)+VLOOKUP(VLOOKUP(CF$1,main!$A$3:$H$102,7,FALSE),main!$K$19:$O$22,MATCH(VLOOKUP($A64,main!$A$3:$H$102,8,FALSE),main!$K$18:$O$18,0))))),1,0)</f>
        <v>1</v>
      </c>
      <c r="CG64">
        <f>IF((AND(VLOOKUP(CG$1,main!$A$3:$H$102,5,FALSE)-VLOOKUP($A64,main!$A$3:$H$102,6,FALSE)&gt;=(VLOOKUP(VLOOKUP(CG$1,main!$A$3:$H$102,8,FALSE),main!$K$26:$M$29,2,FALSE)+VLOOKUP(VLOOKUP(CG$1,main!$A$3:$H$102,7,FALSE),main!$K$19:$O$22,MATCH(VLOOKUP($A64,main!$A$3:$H$102,8,FALSE),main!$K$18:$O$18,0))))),1,0)</f>
        <v>1</v>
      </c>
      <c r="CH64">
        <f>IF((AND(VLOOKUP(CH$1,main!$A$3:$H$102,5,FALSE)-VLOOKUP($A64,main!$A$3:$H$102,6,FALSE)&gt;=(VLOOKUP(VLOOKUP(CH$1,main!$A$3:$H$102,8,FALSE),main!$K$26:$M$29,2,FALSE)+VLOOKUP(VLOOKUP(CH$1,main!$A$3:$H$102,7,FALSE),main!$K$19:$O$22,MATCH(VLOOKUP($A64,main!$A$3:$H$102,8,FALSE),main!$K$18:$O$18,0))))),1,0)</f>
        <v>1</v>
      </c>
      <c r="CI64">
        <f>IF((AND(VLOOKUP(CI$1,main!$A$3:$H$102,5,FALSE)-VLOOKUP($A64,main!$A$3:$H$102,6,FALSE)&gt;=(VLOOKUP(VLOOKUP(CI$1,main!$A$3:$H$102,8,FALSE),main!$K$26:$M$29,2,FALSE)+VLOOKUP(VLOOKUP(CI$1,main!$A$3:$H$102,7,FALSE),main!$K$19:$O$22,MATCH(VLOOKUP($A64,main!$A$3:$H$102,8,FALSE),main!$K$18:$O$18,0))))),1,0)</f>
        <v>1</v>
      </c>
      <c r="CJ64">
        <f>IF((AND(VLOOKUP(CJ$1,main!$A$3:$H$102,5,FALSE)-VLOOKUP($A64,main!$A$3:$H$102,6,FALSE)&gt;=(VLOOKUP(VLOOKUP(CJ$1,main!$A$3:$H$102,8,FALSE),main!$K$26:$M$29,2,FALSE)+VLOOKUP(VLOOKUP(CJ$1,main!$A$3:$H$102,7,FALSE),main!$K$19:$O$22,MATCH(VLOOKUP($A64,main!$A$3:$H$102,8,FALSE),main!$K$18:$O$18,0))))),1,0)</f>
        <v>1</v>
      </c>
      <c r="CK64">
        <f>IF((AND(VLOOKUP(CK$1,main!$A$3:$H$102,5,FALSE)-VLOOKUP($A64,main!$A$3:$H$102,6,FALSE)&gt;=(VLOOKUP(VLOOKUP(CK$1,main!$A$3:$H$102,8,FALSE),main!$K$26:$M$29,2,FALSE)+VLOOKUP(VLOOKUP(CK$1,main!$A$3:$H$102,7,FALSE),main!$K$19:$O$22,MATCH(VLOOKUP($A64,main!$A$3:$H$102,8,FALSE),main!$K$18:$O$18,0))))),1,0)</f>
        <v>0</v>
      </c>
      <c r="CL64">
        <f>IF((AND(VLOOKUP(CL$1,main!$A$3:$H$102,5,FALSE)-VLOOKUP($A64,main!$A$3:$H$102,6,FALSE)&gt;=(VLOOKUP(VLOOKUP(CL$1,main!$A$3:$H$102,8,FALSE),main!$K$26:$M$29,2,FALSE)+VLOOKUP(VLOOKUP(CL$1,main!$A$3:$H$102,7,FALSE),main!$K$19:$O$22,MATCH(VLOOKUP($A64,main!$A$3:$H$102,8,FALSE),main!$K$18:$O$18,0))))),1,0)</f>
        <v>1</v>
      </c>
      <c r="CM64">
        <f>IF((AND(VLOOKUP(CM$1,main!$A$3:$H$102,5,FALSE)-VLOOKUP($A64,main!$A$3:$H$102,6,FALSE)&gt;=(VLOOKUP(VLOOKUP(CM$1,main!$A$3:$H$102,8,FALSE),main!$K$26:$M$29,2,FALSE)+VLOOKUP(VLOOKUP(CM$1,main!$A$3:$H$102,7,FALSE),main!$K$19:$O$22,MATCH(VLOOKUP($A64,main!$A$3:$H$102,8,FALSE),main!$K$18:$O$18,0))))),1,0)</f>
        <v>1</v>
      </c>
      <c r="CN64">
        <f>IF((AND(VLOOKUP(CN$1,main!$A$3:$H$102,5,FALSE)-VLOOKUP($A64,main!$A$3:$H$102,6,FALSE)&gt;=(VLOOKUP(VLOOKUP(CN$1,main!$A$3:$H$102,8,FALSE),main!$K$26:$M$29,2,FALSE)+VLOOKUP(VLOOKUP(CN$1,main!$A$3:$H$102,7,FALSE),main!$K$19:$O$22,MATCH(VLOOKUP($A64,main!$A$3:$H$102,8,FALSE),main!$K$18:$O$18,0))))),1,0)</f>
        <v>1</v>
      </c>
      <c r="CO64">
        <f>IF((AND(VLOOKUP(CO$1,main!$A$3:$H$102,5,FALSE)-VLOOKUP($A64,main!$A$3:$H$102,6,FALSE)&gt;=(VLOOKUP(VLOOKUP(CO$1,main!$A$3:$H$102,8,FALSE),main!$K$26:$M$29,2,FALSE)+VLOOKUP(VLOOKUP(CO$1,main!$A$3:$H$102,7,FALSE),main!$K$19:$O$22,MATCH(VLOOKUP($A64,main!$A$3:$H$102,8,FALSE),main!$K$18:$O$18,0))))),1,0)</f>
        <v>0</v>
      </c>
      <c r="CP64">
        <f>IF((AND(VLOOKUP(CP$1,main!$A$3:$H$102,5,FALSE)-VLOOKUP($A64,main!$A$3:$H$102,6,FALSE)&gt;=(VLOOKUP(VLOOKUP(CP$1,main!$A$3:$H$102,8,FALSE),main!$K$26:$M$29,2,FALSE)+VLOOKUP(VLOOKUP(CP$1,main!$A$3:$H$102,7,FALSE),main!$K$19:$O$22,MATCH(VLOOKUP($A64,main!$A$3:$H$102,8,FALSE),main!$K$18:$O$18,0))))),1,0)</f>
        <v>1</v>
      </c>
      <c r="CQ64">
        <f>IF((AND(VLOOKUP(CQ$1,main!$A$3:$H$102,5,FALSE)-VLOOKUP($A64,main!$A$3:$H$102,6,FALSE)&gt;=(VLOOKUP(VLOOKUP(CQ$1,main!$A$3:$H$102,8,FALSE),main!$K$26:$M$29,2,FALSE)+VLOOKUP(VLOOKUP(CQ$1,main!$A$3:$H$102,7,FALSE),main!$K$19:$O$22,MATCH(VLOOKUP($A64,main!$A$3:$H$102,8,FALSE),main!$K$18:$O$18,0))))),1,0)</f>
        <v>1</v>
      </c>
      <c r="CR64">
        <f>IF((AND(VLOOKUP(CR$1,main!$A$3:$H$102,5,FALSE)-VLOOKUP($A64,main!$A$3:$H$102,6,FALSE)&gt;=(VLOOKUP(VLOOKUP(CR$1,main!$A$3:$H$102,8,FALSE),main!$K$26:$M$29,2,FALSE)+VLOOKUP(VLOOKUP(CR$1,main!$A$3:$H$102,7,FALSE),main!$K$19:$O$22,MATCH(VLOOKUP($A64,main!$A$3:$H$102,8,FALSE),main!$K$18:$O$18,0))))),1,0)</f>
        <v>1</v>
      </c>
      <c r="CS64">
        <f>IF((AND(VLOOKUP(CS$1,main!$A$3:$H$102,5,FALSE)-VLOOKUP($A64,main!$A$3:$H$102,6,FALSE)&gt;=(VLOOKUP(VLOOKUP(CS$1,main!$A$3:$H$102,8,FALSE),main!$K$26:$M$29,2,FALSE)+VLOOKUP(VLOOKUP(CS$1,main!$A$3:$H$102,7,FALSE),main!$K$19:$O$22,MATCH(VLOOKUP($A64,main!$A$3:$H$102,8,FALSE),main!$K$18:$O$18,0))))),1,0)</f>
        <v>1</v>
      </c>
      <c r="CT64">
        <f>IF((AND(VLOOKUP(CT$1,main!$A$3:$H$102,5,FALSE)-VLOOKUP($A64,main!$A$3:$H$102,6,FALSE)&gt;=(VLOOKUP(VLOOKUP(CT$1,main!$A$3:$H$102,8,FALSE),main!$K$26:$M$29,2,FALSE)+VLOOKUP(VLOOKUP(CT$1,main!$A$3:$H$102,7,FALSE),main!$K$19:$O$22,MATCH(VLOOKUP($A64,main!$A$3:$H$102,8,FALSE),main!$K$18:$O$18,0))))),1,0)</f>
        <v>0</v>
      </c>
      <c r="CU64">
        <f>IF((AND(VLOOKUP(CU$1,main!$A$3:$H$102,5,FALSE)-VLOOKUP($A64,main!$A$3:$H$102,6,FALSE)&gt;=(VLOOKUP(VLOOKUP(CU$1,main!$A$3:$H$102,8,FALSE),main!$K$26:$M$29,2,FALSE)+VLOOKUP(VLOOKUP(CU$1,main!$A$3:$H$102,7,FALSE),main!$K$19:$O$22,MATCH(VLOOKUP($A64,main!$A$3:$H$102,8,FALSE),main!$K$18:$O$18,0))))),1,0)</f>
        <v>0</v>
      </c>
      <c r="CV64">
        <f>IF((AND(VLOOKUP(CV$1,main!$A$3:$H$102,5,FALSE)-VLOOKUP($A64,main!$A$3:$H$102,6,FALSE)&gt;=(VLOOKUP(VLOOKUP(CV$1,main!$A$3:$H$102,8,FALSE),main!$K$26:$M$29,2,FALSE)+VLOOKUP(VLOOKUP(CV$1,main!$A$3:$H$102,7,FALSE),main!$K$19:$O$22,MATCH(VLOOKUP($A64,main!$A$3:$H$102,8,FALSE),main!$K$18:$O$18,0))))),1,0)</f>
        <v>1</v>
      </c>
      <c r="CW64">
        <f>IF((AND(VLOOKUP(CW$1,main!$A$3:$H$102,5,FALSE)-VLOOKUP($A64,main!$A$3:$H$102,6,FALSE)&gt;=(VLOOKUP(VLOOKUP(CW$1,main!$A$3:$H$102,8,FALSE),main!$K$26:$M$29,2,FALSE)+VLOOKUP(VLOOKUP(CW$1,main!$A$3:$H$102,7,FALSE),main!$K$19:$O$22,MATCH(VLOOKUP($A64,main!$A$3:$H$102,8,FALSE),main!$K$18:$O$18,0))))),1,0)</f>
        <v>1</v>
      </c>
      <c r="CX64">
        <f>IF((AND(VLOOKUP(CX$1,main!$A$3:$H$102,5,FALSE)-VLOOKUP($A64,main!$A$3:$H$102,6,FALSE)&gt;=(VLOOKUP(VLOOKUP(CX$1,main!$A$3:$H$102,8,FALSE),main!$K$26:$M$29,2,FALSE)+VLOOKUP(VLOOKUP(CX$1,main!$A$3:$H$102,7,FALSE),main!$K$19:$O$22,MATCH(VLOOKUP($A64,main!$A$3:$H$102,8,FALSE),main!$K$18:$O$18,0))))),1,0)</f>
        <v>1</v>
      </c>
    </row>
    <row r="65" spans="1:102" x14ac:dyDescent="0.25">
      <c r="A65" s="1">
        <v>63</v>
      </c>
      <c r="B65">
        <v>1</v>
      </c>
      <c r="C65">
        <f>IF((AND(VLOOKUP(C$1,main!$A$3:$H$102,5,FALSE)-VLOOKUP($A65,main!$A$3:$H$102,6,FALSE)&gt;=(VLOOKUP(VLOOKUP(C$1,main!$A$3:$H$102,8,FALSE),main!$K$26:$M$29,2,FALSE)+VLOOKUP(VLOOKUP(C$1,main!$A$3:$H$102,7,FALSE),main!$K$19:$O$22,MATCH(VLOOKUP($A65,main!$A$3:$H$102,8,FALSE),main!$K$18:$O$18,0))))),1,0)</f>
        <v>0</v>
      </c>
      <c r="D65">
        <f>IF((AND(VLOOKUP(D$1,main!$A$3:$H$102,5,FALSE)-VLOOKUP($A65,main!$A$3:$H$102,6,FALSE)&gt;=(VLOOKUP(VLOOKUP(D$1,main!$A$3:$H$102,8,FALSE),main!$K$26:$M$29,2,FALSE)+VLOOKUP(VLOOKUP(D$1,main!$A$3:$H$102,7,FALSE),main!$K$19:$O$22,MATCH(VLOOKUP($A65,main!$A$3:$H$102,8,FALSE),main!$K$18:$O$18,0))))),1,0)</f>
        <v>0</v>
      </c>
      <c r="E65">
        <f>IF((AND(VLOOKUP(E$1,main!$A$3:$H$102,5,FALSE)-VLOOKUP($A65,main!$A$3:$H$102,6,FALSE)&gt;=(VLOOKUP(VLOOKUP(E$1,main!$A$3:$H$102,8,FALSE),main!$K$26:$M$29,2,FALSE)+VLOOKUP(VLOOKUP(E$1,main!$A$3:$H$102,7,FALSE),main!$K$19:$O$22,MATCH(VLOOKUP($A65,main!$A$3:$H$102,8,FALSE),main!$K$18:$O$18,0))))),1,0)</f>
        <v>0</v>
      </c>
      <c r="F65">
        <f>IF((AND(VLOOKUP(F$1,main!$A$3:$H$102,5,FALSE)-VLOOKUP($A65,main!$A$3:$H$102,6,FALSE)&gt;=(VLOOKUP(VLOOKUP(F$1,main!$A$3:$H$102,8,FALSE),main!$K$26:$M$29,2,FALSE)+VLOOKUP(VLOOKUP(F$1,main!$A$3:$H$102,7,FALSE),main!$K$19:$O$22,MATCH(VLOOKUP($A65,main!$A$3:$H$102,8,FALSE),main!$K$18:$O$18,0))))),1,0)</f>
        <v>0</v>
      </c>
      <c r="G65">
        <f>IF((AND(VLOOKUP(G$1,main!$A$3:$H$102,5,FALSE)-VLOOKUP($A65,main!$A$3:$H$102,6,FALSE)&gt;=(VLOOKUP(VLOOKUP(G$1,main!$A$3:$H$102,8,FALSE),main!$K$26:$M$29,2,FALSE)+VLOOKUP(VLOOKUP(G$1,main!$A$3:$H$102,7,FALSE),main!$K$19:$O$22,MATCH(VLOOKUP($A65,main!$A$3:$H$102,8,FALSE),main!$K$18:$O$18,0))))),1,0)</f>
        <v>1</v>
      </c>
      <c r="H65">
        <f>IF((AND(VLOOKUP(H$1,main!$A$3:$H$102,5,FALSE)-VLOOKUP($A65,main!$A$3:$H$102,6,FALSE)&gt;=(VLOOKUP(VLOOKUP(H$1,main!$A$3:$H$102,8,FALSE),main!$K$26:$M$29,2,FALSE)+VLOOKUP(VLOOKUP(H$1,main!$A$3:$H$102,7,FALSE),main!$K$19:$O$22,MATCH(VLOOKUP($A65,main!$A$3:$H$102,8,FALSE),main!$K$18:$O$18,0))))),1,0)</f>
        <v>1</v>
      </c>
      <c r="I65">
        <f>IF((AND(VLOOKUP(I$1,main!$A$3:$H$102,5,FALSE)-VLOOKUP($A65,main!$A$3:$H$102,6,FALSE)&gt;=(VLOOKUP(VLOOKUP(I$1,main!$A$3:$H$102,8,FALSE),main!$K$26:$M$29,2,FALSE)+VLOOKUP(VLOOKUP(I$1,main!$A$3:$H$102,7,FALSE),main!$K$19:$O$22,MATCH(VLOOKUP($A65,main!$A$3:$H$102,8,FALSE),main!$K$18:$O$18,0))))),1,0)</f>
        <v>1</v>
      </c>
      <c r="J65">
        <f>IF((AND(VLOOKUP(J$1,main!$A$3:$H$102,5,FALSE)-VLOOKUP($A65,main!$A$3:$H$102,6,FALSE)&gt;=(VLOOKUP(VLOOKUP(J$1,main!$A$3:$H$102,8,FALSE),main!$K$26:$M$29,2,FALSE)+VLOOKUP(VLOOKUP(J$1,main!$A$3:$H$102,7,FALSE),main!$K$19:$O$22,MATCH(VLOOKUP($A65,main!$A$3:$H$102,8,FALSE),main!$K$18:$O$18,0))))),1,0)</f>
        <v>1</v>
      </c>
      <c r="K65">
        <f>IF((AND(VLOOKUP(K$1,main!$A$3:$H$102,5,FALSE)-VLOOKUP($A65,main!$A$3:$H$102,6,FALSE)&gt;=(VLOOKUP(VLOOKUP(K$1,main!$A$3:$H$102,8,FALSE),main!$K$26:$M$29,2,FALSE)+VLOOKUP(VLOOKUP(K$1,main!$A$3:$H$102,7,FALSE),main!$K$19:$O$22,MATCH(VLOOKUP($A65,main!$A$3:$H$102,8,FALSE),main!$K$18:$O$18,0))))),1,0)</f>
        <v>1</v>
      </c>
      <c r="L65">
        <f>IF((AND(VLOOKUP(L$1,main!$A$3:$H$102,5,FALSE)-VLOOKUP($A65,main!$A$3:$H$102,6,FALSE)&gt;=(VLOOKUP(VLOOKUP(L$1,main!$A$3:$H$102,8,FALSE),main!$K$26:$M$29,2,FALSE)+VLOOKUP(VLOOKUP(L$1,main!$A$3:$H$102,7,FALSE),main!$K$19:$O$22,MATCH(VLOOKUP($A65,main!$A$3:$H$102,8,FALSE),main!$K$18:$O$18,0))))),1,0)</f>
        <v>1</v>
      </c>
      <c r="M65">
        <f>IF((AND(VLOOKUP(M$1,main!$A$3:$H$102,5,FALSE)-VLOOKUP($A65,main!$A$3:$H$102,6,FALSE)&gt;=(VLOOKUP(VLOOKUP(M$1,main!$A$3:$H$102,8,FALSE),main!$K$26:$M$29,2,FALSE)+VLOOKUP(VLOOKUP(M$1,main!$A$3:$H$102,7,FALSE),main!$K$19:$O$22,MATCH(VLOOKUP($A65,main!$A$3:$H$102,8,FALSE),main!$K$18:$O$18,0))))),1,0)</f>
        <v>0</v>
      </c>
      <c r="N65">
        <f>IF((AND(VLOOKUP(N$1,main!$A$3:$H$102,5,FALSE)-VLOOKUP($A65,main!$A$3:$H$102,6,FALSE)&gt;=(VLOOKUP(VLOOKUP(N$1,main!$A$3:$H$102,8,FALSE),main!$K$26:$M$29,2,FALSE)+VLOOKUP(VLOOKUP(N$1,main!$A$3:$H$102,7,FALSE),main!$K$19:$O$22,MATCH(VLOOKUP($A65,main!$A$3:$H$102,8,FALSE),main!$K$18:$O$18,0))))),1,0)</f>
        <v>0</v>
      </c>
      <c r="O65">
        <f>IF((AND(VLOOKUP(O$1,main!$A$3:$H$102,5,FALSE)-VLOOKUP($A65,main!$A$3:$H$102,6,FALSE)&gt;=(VLOOKUP(VLOOKUP(O$1,main!$A$3:$H$102,8,FALSE),main!$K$26:$M$29,2,FALSE)+VLOOKUP(VLOOKUP(O$1,main!$A$3:$H$102,7,FALSE),main!$K$19:$O$22,MATCH(VLOOKUP($A65,main!$A$3:$H$102,8,FALSE),main!$K$18:$O$18,0))))),1,0)</f>
        <v>0</v>
      </c>
      <c r="P65">
        <f>IF((AND(VLOOKUP(P$1,main!$A$3:$H$102,5,FALSE)-VLOOKUP($A65,main!$A$3:$H$102,6,FALSE)&gt;=(VLOOKUP(VLOOKUP(P$1,main!$A$3:$H$102,8,FALSE),main!$K$26:$M$29,2,FALSE)+VLOOKUP(VLOOKUP(P$1,main!$A$3:$H$102,7,FALSE),main!$K$19:$O$22,MATCH(VLOOKUP($A65,main!$A$3:$H$102,8,FALSE),main!$K$18:$O$18,0))))),1,0)</f>
        <v>0</v>
      </c>
      <c r="Q65">
        <f>IF((AND(VLOOKUP(Q$1,main!$A$3:$H$102,5,FALSE)-VLOOKUP($A65,main!$A$3:$H$102,6,FALSE)&gt;=(VLOOKUP(VLOOKUP(Q$1,main!$A$3:$H$102,8,FALSE),main!$K$26:$M$29,2,FALSE)+VLOOKUP(VLOOKUP(Q$1,main!$A$3:$H$102,7,FALSE),main!$K$19:$O$22,MATCH(VLOOKUP($A65,main!$A$3:$H$102,8,FALSE),main!$K$18:$O$18,0))))),1,0)</f>
        <v>0</v>
      </c>
      <c r="R65">
        <f>IF((AND(VLOOKUP(R$1,main!$A$3:$H$102,5,FALSE)-VLOOKUP($A65,main!$A$3:$H$102,6,FALSE)&gt;=(VLOOKUP(VLOOKUP(R$1,main!$A$3:$H$102,8,FALSE),main!$K$26:$M$29,2,FALSE)+VLOOKUP(VLOOKUP(R$1,main!$A$3:$H$102,7,FALSE),main!$K$19:$O$22,MATCH(VLOOKUP($A65,main!$A$3:$H$102,8,FALSE),main!$K$18:$O$18,0))))),1,0)</f>
        <v>0</v>
      </c>
      <c r="S65">
        <f>IF((AND(VLOOKUP(S$1,main!$A$3:$H$102,5,FALSE)-VLOOKUP($A65,main!$A$3:$H$102,6,FALSE)&gt;=(VLOOKUP(VLOOKUP(S$1,main!$A$3:$H$102,8,FALSE),main!$K$26:$M$29,2,FALSE)+VLOOKUP(VLOOKUP(S$1,main!$A$3:$H$102,7,FALSE),main!$K$19:$O$22,MATCH(VLOOKUP($A65,main!$A$3:$H$102,8,FALSE),main!$K$18:$O$18,0))))),1,0)</f>
        <v>1</v>
      </c>
      <c r="T65">
        <f>IF((AND(VLOOKUP(T$1,main!$A$3:$H$102,5,FALSE)-VLOOKUP($A65,main!$A$3:$H$102,6,FALSE)&gt;=(VLOOKUP(VLOOKUP(T$1,main!$A$3:$H$102,8,FALSE),main!$K$26:$M$29,2,FALSE)+VLOOKUP(VLOOKUP(T$1,main!$A$3:$H$102,7,FALSE),main!$K$19:$O$22,MATCH(VLOOKUP($A65,main!$A$3:$H$102,8,FALSE),main!$K$18:$O$18,0))))),1,0)</f>
        <v>1</v>
      </c>
      <c r="U65">
        <f>IF((AND(VLOOKUP(U$1,main!$A$3:$H$102,5,FALSE)-VLOOKUP($A65,main!$A$3:$H$102,6,FALSE)&gt;=(VLOOKUP(VLOOKUP(U$1,main!$A$3:$H$102,8,FALSE),main!$K$26:$M$29,2,FALSE)+VLOOKUP(VLOOKUP(U$1,main!$A$3:$H$102,7,FALSE),main!$K$19:$O$22,MATCH(VLOOKUP($A65,main!$A$3:$H$102,8,FALSE),main!$K$18:$O$18,0))))),1,0)</f>
        <v>1</v>
      </c>
      <c r="V65">
        <f>IF((AND(VLOOKUP(V$1,main!$A$3:$H$102,5,FALSE)-VLOOKUP($A65,main!$A$3:$H$102,6,FALSE)&gt;=(VLOOKUP(VLOOKUP(V$1,main!$A$3:$H$102,8,FALSE),main!$K$26:$M$29,2,FALSE)+VLOOKUP(VLOOKUP(V$1,main!$A$3:$H$102,7,FALSE),main!$K$19:$O$22,MATCH(VLOOKUP($A65,main!$A$3:$H$102,8,FALSE),main!$K$18:$O$18,0))))),1,0)</f>
        <v>1</v>
      </c>
      <c r="W65">
        <f>IF((AND(VLOOKUP(W$1,main!$A$3:$H$102,5,FALSE)-VLOOKUP($A65,main!$A$3:$H$102,6,FALSE)&gt;=(VLOOKUP(VLOOKUP(W$1,main!$A$3:$H$102,8,FALSE),main!$K$26:$M$29,2,FALSE)+VLOOKUP(VLOOKUP(W$1,main!$A$3:$H$102,7,FALSE),main!$K$19:$O$22,MATCH(VLOOKUP($A65,main!$A$3:$H$102,8,FALSE),main!$K$18:$O$18,0))))),1,0)</f>
        <v>0</v>
      </c>
      <c r="X65">
        <f>IF((AND(VLOOKUP(X$1,main!$A$3:$H$102,5,FALSE)-VLOOKUP($A65,main!$A$3:$H$102,6,FALSE)&gt;=(VLOOKUP(VLOOKUP(X$1,main!$A$3:$H$102,8,FALSE),main!$K$26:$M$29,2,FALSE)+VLOOKUP(VLOOKUP(X$1,main!$A$3:$H$102,7,FALSE),main!$K$19:$O$22,MATCH(VLOOKUP($A65,main!$A$3:$H$102,8,FALSE),main!$K$18:$O$18,0))))),1,0)</f>
        <v>0</v>
      </c>
      <c r="Y65">
        <f>IF((AND(VLOOKUP(Y$1,main!$A$3:$H$102,5,FALSE)-VLOOKUP($A65,main!$A$3:$H$102,6,FALSE)&gt;=(VLOOKUP(VLOOKUP(Y$1,main!$A$3:$H$102,8,FALSE),main!$K$26:$M$29,2,FALSE)+VLOOKUP(VLOOKUP(Y$1,main!$A$3:$H$102,7,FALSE),main!$K$19:$O$22,MATCH(VLOOKUP($A65,main!$A$3:$H$102,8,FALSE),main!$K$18:$O$18,0))))),1,0)</f>
        <v>0</v>
      </c>
      <c r="Z65">
        <f>IF((AND(VLOOKUP(Z$1,main!$A$3:$H$102,5,FALSE)-VLOOKUP($A65,main!$A$3:$H$102,6,FALSE)&gt;=(VLOOKUP(VLOOKUP(Z$1,main!$A$3:$H$102,8,FALSE),main!$K$26:$M$29,2,FALSE)+VLOOKUP(VLOOKUP(Z$1,main!$A$3:$H$102,7,FALSE),main!$K$19:$O$22,MATCH(VLOOKUP($A65,main!$A$3:$H$102,8,FALSE),main!$K$18:$O$18,0))))),1,0)</f>
        <v>1</v>
      </c>
      <c r="AA65">
        <f>IF((AND(VLOOKUP(AA$1,main!$A$3:$H$102,5,FALSE)-VLOOKUP($A65,main!$A$3:$H$102,6,FALSE)&gt;=(VLOOKUP(VLOOKUP(AA$1,main!$A$3:$H$102,8,FALSE),main!$K$26:$M$29,2,FALSE)+VLOOKUP(VLOOKUP(AA$1,main!$A$3:$H$102,7,FALSE),main!$K$19:$O$22,MATCH(VLOOKUP($A65,main!$A$3:$H$102,8,FALSE),main!$K$18:$O$18,0))))),1,0)</f>
        <v>1</v>
      </c>
      <c r="AB65">
        <f>IF((AND(VLOOKUP(AB$1,main!$A$3:$H$102,5,FALSE)-VLOOKUP($A65,main!$A$3:$H$102,6,FALSE)&gt;=(VLOOKUP(VLOOKUP(AB$1,main!$A$3:$H$102,8,FALSE),main!$K$26:$M$29,2,FALSE)+VLOOKUP(VLOOKUP(AB$1,main!$A$3:$H$102,7,FALSE),main!$K$19:$O$22,MATCH(VLOOKUP($A65,main!$A$3:$H$102,8,FALSE),main!$K$18:$O$18,0))))),1,0)</f>
        <v>0</v>
      </c>
      <c r="AC65">
        <f>IF((AND(VLOOKUP(AC$1,main!$A$3:$H$102,5,FALSE)-VLOOKUP($A65,main!$A$3:$H$102,6,FALSE)&gt;=(VLOOKUP(VLOOKUP(AC$1,main!$A$3:$H$102,8,FALSE),main!$K$26:$M$29,2,FALSE)+VLOOKUP(VLOOKUP(AC$1,main!$A$3:$H$102,7,FALSE),main!$K$19:$O$22,MATCH(VLOOKUP($A65,main!$A$3:$H$102,8,FALSE),main!$K$18:$O$18,0))))),1,0)</f>
        <v>0</v>
      </c>
      <c r="AD65">
        <f>IF((AND(VLOOKUP(AD$1,main!$A$3:$H$102,5,FALSE)-VLOOKUP($A65,main!$A$3:$H$102,6,FALSE)&gt;=(VLOOKUP(VLOOKUP(AD$1,main!$A$3:$H$102,8,FALSE),main!$K$26:$M$29,2,FALSE)+VLOOKUP(VLOOKUP(AD$1,main!$A$3:$H$102,7,FALSE),main!$K$19:$O$22,MATCH(VLOOKUP($A65,main!$A$3:$H$102,8,FALSE),main!$K$18:$O$18,0))))),1,0)</f>
        <v>0</v>
      </c>
      <c r="AE65">
        <f>IF((AND(VLOOKUP(AE$1,main!$A$3:$H$102,5,FALSE)-VLOOKUP($A65,main!$A$3:$H$102,6,FALSE)&gt;=(VLOOKUP(VLOOKUP(AE$1,main!$A$3:$H$102,8,FALSE),main!$K$26:$M$29,2,FALSE)+VLOOKUP(VLOOKUP(AE$1,main!$A$3:$H$102,7,FALSE),main!$K$19:$O$22,MATCH(VLOOKUP($A65,main!$A$3:$H$102,8,FALSE),main!$K$18:$O$18,0))))),1,0)</f>
        <v>1</v>
      </c>
      <c r="AF65">
        <f>IF((AND(VLOOKUP(AF$1,main!$A$3:$H$102,5,FALSE)-VLOOKUP($A65,main!$A$3:$H$102,6,FALSE)&gt;=(VLOOKUP(VLOOKUP(AF$1,main!$A$3:$H$102,8,FALSE),main!$K$26:$M$29,2,FALSE)+VLOOKUP(VLOOKUP(AF$1,main!$A$3:$H$102,7,FALSE),main!$K$19:$O$22,MATCH(VLOOKUP($A65,main!$A$3:$H$102,8,FALSE),main!$K$18:$O$18,0))))),1,0)</f>
        <v>1</v>
      </c>
      <c r="AG65">
        <f>IF((AND(VLOOKUP(AG$1,main!$A$3:$H$102,5,FALSE)-VLOOKUP($A65,main!$A$3:$H$102,6,FALSE)&gt;=(VLOOKUP(VLOOKUP(AG$1,main!$A$3:$H$102,8,FALSE),main!$K$26:$M$29,2,FALSE)+VLOOKUP(VLOOKUP(AG$1,main!$A$3:$H$102,7,FALSE),main!$K$19:$O$22,MATCH(VLOOKUP($A65,main!$A$3:$H$102,8,FALSE),main!$K$18:$O$18,0))))),1,0)</f>
        <v>0</v>
      </c>
      <c r="AH65">
        <f>IF((AND(VLOOKUP(AH$1,main!$A$3:$H$102,5,FALSE)-VLOOKUP($A65,main!$A$3:$H$102,6,FALSE)&gt;=(VLOOKUP(VLOOKUP(AH$1,main!$A$3:$H$102,8,FALSE),main!$K$26:$M$29,2,FALSE)+VLOOKUP(VLOOKUP(AH$1,main!$A$3:$H$102,7,FALSE),main!$K$19:$O$22,MATCH(VLOOKUP($A65,main!$A$3:$H$102,8,FALSE),main!$K$18:$O$18,0))))),1,0)</f>
        <v>0</v>
      </c>
      <c r="AI65">
        <f>IF((AND(VLOOKUP(AI$1,main!$A$3:$H$102,5,FALSE)-VLOOKUP($A65,main!$A$3:$H$102,6,FALSE)&gt;=(VLOOKUP(VLOOKUP(AI$1,main!$A$3:$H$102,8,FALSE),main!$K$26:$M$29,2,FALSE)+VLOOKUP(VLOOKUP(AI$1,main!$A$3:$H$102,7,FALSE),main!$K$19:$O$22,MATCH(VLOOKUP($A65,main!$A$3:$H$102,8,FALSE),main!$K$18:$O$18,0))))),1,0)</f>
        <v>0</v>
      </c>
      <c r="AJ65">
        <f>IF((AND(VLOOKUP(AJ$1,main!$A$3:$H$102,5,FALSE)-VLOOKUP($A65,main!$A$3:$H$102,6,FALSE)&gt;=(VLOOKUP(VLOOKUP(AJ$1,main!$A$3:$H$102,8,FALSE),main!$K$26:$M$29,2,FALSE)+VLOOKUP(VLOOKUP(AJ$1,main!$A$3:$H$102,7,FALSE),main!$K$19:$O$22,MATCH(VLOOKUP($A65,main!$A$3:$H$102,8,FALSE),main!$K$18:$O$18,0))))),1,0)</f>
        <v>1</v>
      </c>
      <c r="AK65">
        <f>IF((AND(VLOOKUP(AK$1,main!$A$3:$H$102,5,FALSE)-VLOOKUP($A65,main!$A$3:$H$102,6,FALSE)&gt;=(VLOOKUP(VLOOKUP(AK$1,main!$A$3:$H$102,8,FALSE),main!$K$26:$M$29,2,FALSE)+VLOOKUP(VLOOKUP(AK$1,main!$A$3:$H$102,7,FALSE),main!$K$19:$O$22,MATCH(VLOOKUP($A65,main!$A$3:$H$102,8,FALSE),main!$K$18:$O$18,0))))),1,0)</f>
        <v>1</v>
      </c>
      <c r="AL65">
        <f>IF((AND(VLOOKUP(AL$1,main!$A$3:$H$102,5,FALSE)-VLOOKUP($A65,main!$A$3:$H$102,6,FALSE)&gt;=(VLOOKUP(VLOOKUP(AL$1,main!$A$3:$H$102,8,FALSE),main!$K$26:$M$29,2,FALSE)+VLOOKUP(VLOOKUP(AL$1,main!$A$3:$H$102,7,FALSE),main!$K$19:$O$22,MATCH(VLOOKUP($A65,main!$A$3:$H$102,8,FALSE),main!$K$18:$O$18,0))))),1,0)</f>
        <v>1</v>
      </c>
      <c r="AM65">
        <f>IF((AND(VLOOKUP(AM$1,main!$A$3:$H$102,5,FALSE)-VLOOKUP($A65,main!$A$3:$H$102,6,FALSE)&gt;=(VLOOKUP(VLOOKUP(AM$1,main!$A$3:$H$102,8,FALSE),main!$K$26:$M$29,2,FALSE)+VLOOKUP(VLOOKUP(AM$1,main!$A$3:$H$102,7,FALSE),main!$K$19:$O$22,MATCH(VLOOKUP($A65,main!$A$3:$H$102,8,FALSE),main!$K$18:$O$18,0))))),1,0)</f>
        <v>1</v>
      </c>
      <c r="AN65">
        <f>IF((AND(VLOOKUP(AN$1,main!$A$3:$H$102,5,FALSE)-VLOOKUP($A65,main!$A$3:$H$102,6,FALSE)&gt;=(VLOOKUP(VLOOKUP(AN$1,main!$A$3:$H$102,8,FALSE),main!$K$26:$M$29,2,FALSE)+VLOOKUP(VLOOKUP(AN$1,main!$A$3:$H$102,7,FALSE),main!$K$19:$O$22,MATCH(VLOOKUP($A65,main!$A$3:$H$102,8,FALSE),main!$K$18:$O$18,0))))),1,0)</f>
        <v>1</v>
      </c>
      <c r="AO65">
        <f>IF((AND(VLOOKUP(AO$1,main!$A$3:$H$102,5,FALSE)-VLOOKUP($A65,main!$A$3:$H$102,6,FALSE)&gt;=(VLOOKUP(VLOOKUP(AO$1,main!$A$3:$H$102,8,FALSE),main!$K$26:$M$29,2,FALSE)+VLOOKUP(VLOOKUP(AO$1,main!$A$3:$H$102,7,FALSE),main!$K$19:$O$22,MATCH(VLOOKUP($A65,main!$A$3:$H$102,8,FALSE),main!$K$18:$O$18,0))))),1,0)</f>
        <v>0</v>
      </c>
      <c r="AP65">
        <f>IF((AND(VLOOKUP(AP$1,main!$A$3:$H$102,5,FALSE)-VLOOKUP($A65,main!$A$3:$H$102,6,FALSE)&gt;=(VLOOKUP(VLOOKUP(AP$1,main!$A$3:$H$102,8,FALSE),main!$K$26:$M$29,2,FALSE)+VLOOKUP(VLOOKUP(AP$1,main!$A$3:$H$102,7,FALSE),main!$K$19:$O$22,MATCH(VLOOKUP($A65,main!$A$3:$H$102,8,FALSE),main!$K$18:$O$18,0))))),1,0)</f>
        <v>1</v>
      </c>
      <c r="AQ65">
        <f>IF((AND(VLOOKUP(AQ$1,main!$A$3:$H$102,5,FALSE)-VLOOKUP($A65,main!$A$3:$H$102,6,FALSE)&gt;=(VLOOKUP(VLOOKUP(AQ$1,main!$A$3:$H$102,8,FALSE),main!$K$26:$M$29,2,FALSE)+VLOOKUP(VLOOKUP(AQ$1,main!$A$3:$H$102,7,FALSE),main!$K$19:$O$22,MATCH(VLOOKUP($A65,main!$A$3:$H$102,8,FALSE),main!$K$18:$O$18,0))))),1,0)</f>
        <v>0</v>
      </c>
      <c r="AR65">
        <f>IF((AND(VLOOKUP(AR$1,main!$A$3:$H$102,5,FALSE)-VLOOKUP($A65,main!$A$3:$H$102,6,FALSE)&gt;=(VLOOKUP(VLOOKUP(AR$1,main!$A$3:$H$102,8,FALSE),main!$K$26:$M$29,2,FALSE)+VLOOKUP(VLOOKUP(AR$1,main!$A$3:$H$102,7,FALSE),main!$K$19:$O$22,MATCH(VLOOKUP($A65,main!$A$3:$H$102,8,FALSE),main!$K$18:$O$18,0))))),1,0)</f>
        <v>0</v>
      </c>
      <c r="AS65">
        <f>IF((AND(VLOOKUP(AS$1,main!$A$3:$H$102,5,FALSE)-VLOOKUP($A65,main!$A$3:$H$102,6,FALSE)&gt;=(VLOOKUP(VLOOKUP(AS$1,main!$A$3:$H$102,8,FALSE),main!$K$26:$M$29,2,FALSE)+VLOOKUP(VLOOKUP(AS$1,main!$A$3:$H$102,7,FALSE),main!$K$19:$O$22,MATCH(VLOOKUP($A65,main!$A$3:$H$102,8,FALSE),main!$K$18:$O$18,0))))),1,0)</f>
        <v>1</v>
      </c>
      <c r="AT65">
        <f>IF((AND(VLOOKUP(AT$1,main!$A$3:$H$102,5,FALSE)-VLOOKUP($A65,main!$A$3:$H$102,6,FALSE)&gt;=(VLOOKUP(VLOOKUP(AT$1,main!$A$3:$H$102,8,FALSE),main!$K$26:$M$29,2,FALSE)+VLOOKUP(VLOOKUP(AT$1,main!$A$3:$H$102,7,FALSE),main!$K$19:$O$22,MATCH(VLOOKUP($A65,main!$A$3:$H$102,8,FALSE),main!$K$18:$O$18,0))))),1,0)</f>
        <v>1</v>
      </c>
      <c r="AU65">
        <f>IF((AND(VLOOKUP(AU$1,main!$A$3:$H$102,5,FALSE)-VLOOKUP($A65,main!$A$3:$H$102,6,FALSE)&gt;=(VLOOKUP(VLOOKUP(AU$1,main!$A$3:$H$102,8,FALSE),main!$K$26:$M$29,2,FALSE)+VLOOKUP(VLOOKUP(AU$1,main!$A$3:$H$102,7,FALSE),main!$K$19:$O$22,MATCH(VLOOKUP($A65,main!$A$3:$H$102,8,FALSE),main!$K$18:$O$18,0))))),1,0)</f>
        <v>0</v>
      </c>
      <c r="AV65">
        <f>IF((AND(VLOOKUP(AV$1,main!$A$3:$H$102,5,FALSE)-VLOOKUP($A65,main!$A$3:$H$102,6,FALSE)&gt;=(VLOOKUP(VLOOKUP(AV$1,main!$A$3:$H$102,8,FALSE),main!$K$26:$M$29,2,FALSE)+VLOOKUP(VLOOKUP(AV$1,main!$A$3:$H$102,7,FALSE),main!$K$19:$O$22,MATCH(VLOOKUP($A65,main!$A$3:$H$102,8,FALSE),main!$K$18:$O$18,0))))),1,0)</f>
        <v>0</v>
      </c>
      <c r="AW65">
        <f>IF((AND(VLOOKUP(AW$1,main!$A$3:$H$102,5,FALSE)-VLOOKUP($A65,main!$A$3:$H$102,6,FALSE)&gt;=(VLOOKUP(VLOOKUP(AW$1,main!$A$3:$H$102,8,FALSE),main!$K$26:$M$29,2,FALSE)+VLOOKUP(VLOOKUP(AW$1,main!$A$3:$H$102,7,FALSE),main!$K$19:$O$22,MATCH(VLOOKUP($A65,main!$A$3:$H$102,8,FALSE),main!$K$18:$O$18,0))))),1,0)</f>
        <v>1</v>
      </c>
      <c r="AX65">
        <f>IF((AND(VLOOKUP(AX$1,main!$A$3:$H$102,5,FALSE)-VLOOKUP($A65,main!$A$3:$H$102,6,FALSE)&gt;=(VLOOKUP(VLOOKUP(AX$1,main!$A$3:$H$102,8,FALSE),main!$K$26:$M$29,2,FALSE)+VLOOKUP(VLOOKUP(AX$1,main!$A$3:$H$102,7,FALSE),main!$K$19:$O$22,MATCH(VLOOKUP($A65,main!$A$3:$H$102,8,FALSE),main!$K$18:$O$18,0))))),1,0)</f>
        <v>0</v>
      </c>
      <c r="AY65">
        <f>IF((AND(VLOOKUP(AY$1,main!$A$3:$H$102,5,FALSE)-VLOOKUP($A65,main!$A$3:$H$102,6,FALSE)&gt;=(VLOOKUP(VLOOKUP(AY$1,main!$A$3:$H$102,8,FALSE),main!$K$26:$M$29,2,FALSE)+VLOOKUP(VLOOKUP(AY$1,main!$A$3:$H$102,7,FALSE),main!$K$19:$O$22,MATCH(VLOOKUP($A65,main!$A$3:$H$102,8,FALSE),main!$K$18:$O$18,0))))),1,0)</f>
        <v>0</v>
      </c>
      <c r="AZ65">
        <f>IF((AND(VLOOKUP(AZ$1,main!$A$3:$H$102,5,FALSE)-VLOOKUP($A65,main!$A$3:$H$102,6,FALSE)&gt;=(VLOOKUP(VLOOKUP(AZ$1,main!$A$3:$H$102,8,FALSE),main!$K$26:$M$29,2,FALSE)+VLOOKUP(VLOOKUP(AZ$1,main!$A$3:$H$102,7,FALSE),main!$K$19:$O$22,MATCH(VLOOKUP($A65,main!$A$3:$H$102,8,FALSE),main!$K$18:$O$18,0))))),1,0)</f>
        <v>0</v>
      </c>
      <c r="BA65">
        <f>IF((AND(VLOOKUP(BA$1,main!$A$3:$H$102,5,FALSE)-VLOOKUP($A65,main!$A$3:$H$102,6,FALSE)&gt;=(VLOOKUP(VLOOKUP(BA$1,main!$A$3:$H$102,8,FALSE),main!$K$26:$M$29,2,FALSE)+VLOOKUP(VLOOKUP(BA$1,main!$A$3:$H$102,7,FALSE),main!$K$19:$O$22,MATCH(VLOOKUP($A65,main!$A$3:$H$102,8,FALSE),main!$K$18:$O$18,0))))),1,0)</f>
        <v>0</v>
      </c>
      <c r="BB65">
        <f>IF((AND(VLOOKUP(BB$1,main!$A$3:$H$102,5,FALSE)-VLOOKUP($A65,main!$A$3:$H$102,6,FALSE)&gt;=(VLOOKUP(VLOOKUP(BB$1,main!$A$3:$H$102,8,FALSE),main!$K$26:$M$29,2,FALSE)+VLOOKUP(VLOOKUP(BB$1,main!$A$3:$H$102,7,FALSE),main!$K$19:$O$22,MATCH(VLOOKUP($A65,main!$A$3:$H$102,8,FALSE),main!$K$18:$O$18,0))))),1,0)</f>
        <v>0</v>
      </c>
      <c r="BC65">
        <f>IF((AND(VLOOKUP(BC$1,main!$A$3:$H$102,5,FALSE)-VLOOKUP($A65,main!$A$3:$H$102,6,FALSE)&gt;=(VLOOKUP(VLOOKUP(BC$1,main!$A$3:$H$102,8,FALSE),main!$K$26:$M$29,2,FALSE)+VLOOKUP(VLOOKUP(BC$1,main!$A$3:$H$102,7,FALSE),main!$K$19:$O$22,MATCH(VLOOKUP($A65,main!$A$3:$H$102,8,FALSE),main!$K$18:$O$18,0))))),1,0)</f>
        <v>1</v>
      </c>
      <c r="BD65">
        <f>IF((AND(VLOOKUP(BD$1,main!$A$3:$H$102,5,FALSE)-VLOOKUP($A65,main!$A$3:$H$102,6,FALSE)&gt;=(VLOOKUP(VLOOKUP(BD$1,main!$A$3:$H$102,8,FALSE),main!$K$26:$M$29,2,FALSE)+VLOOKUP(VLOOKUP(BD$1,main!$A$3:$H$102,7,FALSE),main!$K$19:$O$22,MATCH(VLOOKUP($A65,main!$A$3:$H$102,8,FALSE),main!$K$18:$O$18,0))))),1,0)</f>
        <v>1</v>
      </c>
      <c r="BE65">
        <f>IF((AND(VLOOKUP(BE$1,main!$A$3:$H$102,5,FALSE)-VLOOKUP($A65,main!$A$3:$H$102,6,FALSE)&gt;=(VLOOKUP(VLOOKUP(BE$1,main!$A$3:$H$102,8,FALSE),main!$K$26:$M$29,2,FALSE)+VLOOKUP(VLOOKUP(BE$1,main!$A$3:$H$102,7,FALSE),main!$K$19:$O$22,MATCH(VLOOKUP($A65,main!$A$3:$H$102,8,FALSE),main!$K$18:$O$18,0))))),1,0)</f>
        <v>1</v>
      </c>
      <c r="BF65">
        <f>IF((AND(VLOOKUP(BF$1,main!$A$3:$H$102,5,FALSE)-VLOOKUP($A65,main!$A$3:$H$102,6,FALSE)&gt;=(VLOOKUP(VLOOKUP(BF$1,main!$A$3:$H$102,8,FALSE),main!$K$26:$M$29,2,FALSE)+VLOOKUP(VLOOKUP(BF$1,main!$A$3:$H$102,7,FALSE),main!$K$19:$O$22,MATCH(VLOOKUP($A65,main!$A$3:$H$102,8,FALSE),main!$K$18:$O$18,0))))),1,0)</f>
        <v>0</v>
      </c>
      <c r="BG65">
        <f>IF((AND(VLOOKUP(BG$1,main!$A$3:$H$102,5,FALSE)-VLOOKUP($A65,main!$A$3:$H$102,6,FALSE)&gt;=(VLOOKUP(VLOOKUP(BG$1,main!$A$3:$H$102,8,FALSE),main!$K$26:$M$29,2,FALSE)+VLOOKUP(VLOOKUP(BG$1,main!$A$3:$H$102,7,FALSE),main!$K$19:$O$22,MATCH(VLOOKUP($A65,main!$A$3:$H$102,8,FALSE),main!$K$18:$O$18,0))))),1,0)</f>
        <v>0</v>
      </c>
      <c r="BH65">
        <f>IF((AND(VLOOKUP(BH$1,main!$A$3:$H$102,5,FALSE)-VLOOKUP($A65,main!$A$3:$H$102,6,FALSE)&gt;=(VLOOKUP(VLOOKUP(BH$1,main!$A$3:$H$102,8,FALSE),main!$K$26:$M$29,2,FALSE)+VLOOKUP(VLOOKUP(BH$1,main!$A$3:$H$102,7,FALSE),main!$K$19:$O$22,MATCH(VLOOKUP($A65,main!$A$3:$H$102,8,FALSE),main!$K$18:$O$18,0))))),1,0)</f>
        <v>0</v>
      </c>
      <c r="BI65">
        <f>IF((AND(VLOOKUP(BI$1,main!$A$3:$H$102,5,FALSE)-VLOOKUP($A65,main!$A$3:$H$102,6,FALSE)&gt;=(VLOOKUP(VLOOKUP(BI$1,main!$A$3:$H$102,8,FALSE),main!$K$26:$M$29,2,FALSE)+VLOOKUP(VLOOKUP(BI$1,main!$A$3:$H$102,7,FALSE),main!$K$19:$O$22,MATCH(VLOOKUP($A65,main!$A$3:$H$102,8,FALSE),main!$K$18:$O$18,0))))),1,0)</f>
        <v>1</v>
      </c>
      <c r="BJ65">
        <f>IF((AND(VLOOKUP(BJ$1,main!$A$3:$H$102,5,FALSE)-VLOOKUP($A65,main!$A$3:$H$102,6,FALSE)&gt;=(VLOOKUP(VLOOKUP(BJ$1,main!$A$3:$H$102,8,FALSE),main!$K$26:$M$29,2,FALSE)+VLOOKUP(VLOOKUP(BJ$1,main!$A$3:$H$102,7,FALSE),main!$K$19:$O$22,MATCH(VLOOKUP($A65,main!$A$3:$H$102,8,FALSE),main!$K$18:$O$18,0))))),1,0)</f>
        <v>1</v>
      </c>
      <c r="BK65">
        <f>IF((AND(VLOOKUP(BK$1,main!$A$3:$H$102,5,FALSE)-VLOOKUP($A65,main!$A$3:$H$102,6,FALSE)&gt;=(VLOOKUP(VLOOKUP(BK$1,main!$A$3:$H$102,8,FALSE),main!$K$26:$M$29,2,FALSE)+VLOOKUP(VLOOKUP(BK$1,main!$A$3:$H$102,7,FALSE),main!$K$19:$O$22,MATCH(VLOOKUP($A65,main!$A$3:$H$102,8,FALSE),main!$K$18:$O$18,0))))),1,0)</f>
        <v>0</v>
      </c>
      <c r="BL65">
        <f>IF((AND(VLOOKUP(BL$1,main!$A$3:$H$102,5,FALSE)-VLOOKUP($A65,main!$A$3:$H$102,6,FALSE)&gt;=(VLOOKUP(VLOOKUP(BL$1,main!$A$3:$H$102,8,FALSE),main!$K$26:$M$29,2,FALSE)+VLOOKUP(VLOOKUP(BL$1,main!$A$3:$H$102,7,FALSE),main!$K$19:$O$22,MATCH(VLOOKUP($A65,main!$A$3:$H$102,8,FALSE),main!$K$18:$O$18,0))))),1,0)</f>
        <v>0</v>
      </c>
      <c r="BM65">
        <f>IF((AND(VLOOKUP(BM$1,main!$A$3:$H$102,5,FALSE)-VLOOKUP($A65,main!$A$3:$H$102,6,FALSE)&gt;=(VLOOKUP(VLOOKUP(BM$1,main!$A$3:$H$102,8,FALSE),main!$K$26:$M$29,2,FALSE)+VLOOKUP(VLOOKUP(BM$1,main!$A$3:$H$102,7,FALSE),main!$K$19:$O$22,MATCH(VLOOKUP($A65,main!$A$3:$H$102,8,FALSE),main!$K$18:$O$18,0))))),1,0)</f>
        <v>0</v>
      </c>
      <c r="BN65">
        <f>IF((AND(VLOOKUP(BN$1,main!$A$3:$H$102,5,FALSE)-VLOOKUP($A65,main!$A$3:$H$102,6,FALSE)&gt;=(VLOOKUP(VLOOKUP(BN$1,main!$A$3:$H$102,8,FALSE),main!$K$26:$M$29,2,FALSE)+VLOOKUP(VLOOKUP(BN$1,main!$A$3:$H$102,7,FALSE),main!$K$19:$O$22,MATCH(VLOOKUP($A65,main!$A$3:$H$102,8,FALSE),main!$K$18:$O$18,0))))),1,0)</f>
        <v>1</v>
      </c>
      <c r="BO65">
        <f>IF((AND(VLOOKUP(BO$1,main!$A$3:$H$102,5,FALSE)-VLOOKUP($A65,main!$A$3:$H$102,6,FALSE)&gt;=(VLOOKUP(VLOOKUP(BO$1,main!$A$3:$H$102,8,FALSE),main!$K$26:$M$29,2,FALSE)+VLOOKUP(VLOOKUP(BO$1,main!$A$3:$H$102,7,FALSE),main!$K$19:$O$22,MATCH(VLOOKUP($A65,main!$A$3:$H$102,8,FALSE),main!$K$18:$O$18,0))))),1,0)</f>
        <v>0</v>
      </c>
      <c r="BP65">
        <f>IF((AND(VLOOKUP(BP$1,main!$A$3:$H$102,5,FALSE)-VLOOKUP($A65,main!$A$3:$H$102,6,FALSE)&gt;=(VLOOKUP(VLOOKUP(BP$1,main!$A$3:$H$102,8,FALSE),main!$K$26:$M$29,2,FALSE)+VLOOKUP(VLOOKUP(BP$1,main!$A$3:$H$102,7,FALSE),main!$K$19:$O$22,MATCH(VLOOKUP($A65,main!$A$3:$H$102,8,FALSE),main!$K$18:$O$18,0))))),1,0)</f>
        <v>0</v>
      </c>
      <c r="BQ65">
        <f>IF((AND(VLOOKUP(BQ$1,main!$A$3:$H$102,5,FALSE)-VLOOKUP($A65,main!$A$3:$H$102,6,FALSE)&gt;=(VLOOKUP(VLOOKUP(BQ$1,main!$A$3:$H$102,8,FALSE),main!$K$26:$M$29,2,FALSE)+VLOOKUP(VLOOKUP(BQ$1,main!$A$3:$H$102,7,FALSE),main!$K$19:$O$22,MATCH(VLOOKUP($A65,main!$A$3:$H$102,8,FALSE),main!$K$18:$O$18,0))))),1,0)</f>
        <v>0</v>
      </c>
      <c r="BR65">
        <f>IF((AND(VLOOKUP(BR$1,main!$A$3:$H$102,5,FALSE)-VLOOKUP($A65,main!$A$3:$H$102,6,FALSE)&gt;=(VLOOKUP(VLOOKUP(BR$1,main!$A$3:$H$102,8,FALSE),main!$K$26:$M$29,2,FALSE)+VLOOKUP(VLOOKUP(BR$1,main!$A$3:$H$102,7,FALSE),main!$K$19:$O$22,MATCH(VLOOKUP($A65,main!$A$3:$H$102,8,FALSE),main!$K$18:$O$18,0))))),1,0)</f>
        <v>0</v>
      </c>
      <c r="BS65">
        <f>IF((AND(VLOOKUP(BS$1,main!$A$3:$H$102,5,FALSE)-VLOOKUP($A65,main!$A$3:$H$102,6,FALSE)&gt;=(VLOOKUP(VLOOKUP(BS$1,main!$A$3:$H$102,8,FALSE),main!$K$26:$M$29,2,FALSE)+VLOOKUP(VLOOKUP(BS$1,main!$A$3:$H$102,7,FALSE),main!$K$19:$O$22,MATCH(VLOOKUP($A65,main!$A$3:$H$102,8,FALSE),main!$K$18:$O$18,0))))),1,0)</f>
        <v>0</v>
      </c>
      <c r="BT65">
        <f>IF((AND(VLOOKUP(BT$1,main!$A$3:$H$102,5,FALSE)-VLOOKUP($A65,main!$A$3:$H$102,6,FALSE)&gt;=(VLOOKUP(VLOOKUP(BT$1,main!$A$3:$H$102,8,FALSE),main!$K$26:$M$29,2,FALSE)+VLOOKUP(VLOOKUP(BT$1,main!$A$3:$H$102,7,FALSE),main!$K$19:$O$22,MATCH(VLOOKUP($A65,main!$A$3:$H$102,8,FALSE),main!$K$18:$O$18,0))))),1,0)</f>
        <v>0</v>
      </c>
      <c r="BU65">
        <f>IF((AND(VLOOKUP(BU$1,main!$A$3:$H$102,5,FALSE)-VLOOKUP($A65,main!$A$3:$H$102,6,FALSE)&gt;=(VLOOKUP(VLOOKUP(BU$1,main!$A$3:$H$102,8,FALSE),main!$K$26:$M$29,2,FALSE)+VLOOKUP(VLOOKUP(BU$1,main!$A$3:$H$102,7,FALSE),main!$K$19:$O$22,MATCH(VLOOKUP($A65,main!$A$3:$H$102,8,FALSE),main!$K$18:$O$18,0))))),1,0)</f>
        <v>0</v>
      </c>
      <c r="BV65">
        <f>IF((AND(VLOOKUP(BV$1,main!$A$3:$H$102,5,FALSE)-VLOOKUP($A65,main!$A$3:$H$102,6,FALSE)&gt;=(VLOOKUP(VLOOKUP(BV$1,main!$A$3:$H$102,8,FALSE),main!$K$26:$M$29,2,FALSE)+VLOOKUP(VLOOKUP(BV$1,main!$A$3:$H$102,7,FALSE),main!$K$19:$O$22,MATCH(VLOOKUP($A65,main!$A$3:$H$102,8,FALSE),main!$K$18:$O$18,0))))),1,0)</f>
        <v>0</v>
      </c>
      <c r="BW65">
        <f>IF((AND(VLOOKUP(BW$1,main!$A$3:$H$102,5,FALSE)-VLOOKUP($A65,main!$A$3:$H$102,6,FALSE)&gt;=(VLOOKUP(VLOOKUP(BW$1,main!$A$3:$H$102,8,FALSE),main!$K$26:$M$29,2,FALSE)+VLOOKUP(VLOOKUP(BW$1,main!$A$3:$H$102,7,FALSE),main!$K$19:$O$22,MATCH(VLOOKUP($A65,main!$A$3:$H$102,8,FALSE),main!$K$18:$O$18,0))))),1,0)</f>
        <v>0</v>
      </c>
      <c r="BX65">
        <f>IF((AND(VLOOKUP(BX$1,main!$A$3:$H$102,5,FALSE)-VLOOKUP($A65,main!$A$3:$H$102,6,FALSE)&gt;=(VLOOKUP(VLOOKUP(BX$1,main!$A$3:$H$102,8,FALSE),main!$K$26:$M$29,2,FALSE)+VLOOKUP(VLOOKUP(BX$1,main!$A$3:$H$102,7,FALSE),main!$K$19:$O$22,MATCH(VLOOKUP($A65,main!$A$3:$H$102,8,FALSE),main!$K$18:$O$18,0))))),1,0)</f>
        <v>0</v>
      </c>
      <c r="BY65">
        <f>IF((AND(VLOOKUP(BY$1,main!$A$3:$H$102,5,FALSE)-VLOOKUP($A65,main!$A$3:$H$102,6,FALSE)&gt;=(VLOOKUP(VLOOKUP(BY$1,main!$A$3:$H$102,8,FALSE),main!$K$26:$M$29,2,FALSE)+VLOOKUP(VLOOKUP(BY$1,main!$A$3:$H$102,7,FALSE),main!$K$19:$O$22,MATCH(VLOOKUP($A65,main!$A$3:$H$102,8,FALSE),main!$K$18:$O$18,0))))),1,0)</f>
        <v>1</v>
      </c>
      <c r="BZ65">
        <f>IF((AND(VLOOKUP(BZ$1,main!$A$3:$H$102,5,FALSE)-VLOOKUP($A65,main!$A$3:$H$102,6,FALSE)&gt;=(VLOOKUP(VLOOKUP(BZ$1,main!$A$3:$H$102,8,FALSE),main!$K$26:$M$29,2,FALSE)+VLOOKUP(VLOOKUP(BZ$1,main!$A$3:$H$102,7,FALSE),main!$K$19:$O$22,MATCH(VLOOKUP($A65,main!$A$3:$H$102,8,FALSE),main!$K$18:$O$18,0))))),1,0)</f>
        <v>0</v>
      </c>
      <c r="CA65">
        <f>IF((AND(VLOOKUP(CA$1,main!$A$3:$H$102,5,FALSE)-VLOOKUP($A65,main!$A$3:$H$102,6,FALSE)&gt;=(VLOOKUP(VLOOKUP(CA$1,main!$A$3:$H$102,8,FALSE),main!$K$26:$M$29,2,FALSE)+VLOOKUP(VLOOKUP(CA$1,main!$A$3:$H$102,7,FALSE),main!$K$19:$O$22,MATCH(VLOOKUP($A65,main!$A$3:$H$102,8,FALSE),main!$K$18:$O$18,0))))),1,0)</f>
        <v>0</v>
      </c>
      <c r="CB65">
        <f>IF((AND(VLOOKUP(CB$1,main!$A$3:$H$102,5,FALSE)-VLOOKUP($A65,main!$A$3:$H$102,6,FALSE)&gt;=(VLOOKUP(VLOOKUP(CB$1,main!$A$3:$H$102,8,FALSE),main!$K$26:$M$29,2,FALSE)+VLOOKUP(VLOOKUP(CB$1,main!$A$3:$H$102,7,FALSE),main!$K$19:$O$22,MATCH(VLOOKUP($A65,main!$A$3:$H$102,8,FALSE),main!$K$18:$O$18,0))))),1,0)</f>
        <v>1</v>
      </c>
      <c r="CC65">
        <f>IF((AND(VLOOKUP(CC$1,main!$A$3:$H$102,5,FALSE)-VLOOKUP($A65,main!$A$3:$H$102,6,FALSE)&gt;=(VLOOKUP(VLOOKUP(CC$1,main!$A$3:$H$102,8,FALSE),main!$K$26:$M$29,2,FALSE)+VLOOKUP(VLOOKUP(CC$1,main!$A$3:$H$102,7,FALSE),main!$K$19:$O$22,MATCH(VLOOKUP($A65,main!$A$3:$H$102,8,FALSE),main!$K$18:$O$18,0))))),1,0)</f>
        <v>1</v>
      </c>
      <c r="CD65">
        <f>IF((AND(VLOOKUP(CD$1,main!$A$3:$H$102,5,FALSE)-VLOOKUP($A65,main!$A$3:$H$102,6,FALSE)&gt;=(VLOOKUP(VLOOKUP(CD$1,main!$A$3:$H$102,8,FALSE),main!$K$26:$M$29,2,FALSE)+VLOOKUP(VLOOKUP(CD$1,main!$A$3:$H$102,7,FALSE),main!$K$19:$O$22,MATCH(VLOOKUP($A65,main!$A$3:$H$102,8,FALSE),main!$K$18:$O$18,0))))),1,0)</f>
        <v>1</v>
      </c>
      <c r="CE65">
        <f>IF((AND(VLOOKUP(CE$1,main!$A$3:$H$102,5,FALSE)-VLOOKUP($A65,main!$A$3:$H$102,6,FALSE)&gt;=(VLOOKUP(VLOOKUP(CE$1,main!$A$3:$H$102,8,FALSE),main!$K$26:$M$29,2,FALSE)+VLOOKUP(VLOOKUP(CE$1,main!$A$3:$H$102,7,FALSE),main!$K$19:$O$22,MATCH(VLOOKUP($A65,main!$A$3:$H$102,8,FALSE),main!$K$18:$O$18,0))))),1,0)</f>
        <v>0</v>
      </c>
      <c r="CF65">
        <f>IF((AND(VLOOKUP(CF$1,main!$A$3:$H$102,5,FALSE)-VLOOKUP($A65,main!$A$3:$H$102,6,FALSE)&gt;=(VLOOKUP(VLOOKUP(CF$1,main!$A$3:$H$102,8,FALSE),main!$K$26:$M$29,2,FALSE)+VLOOKUP(VLOOKUP(CF$1,main!$A$3:$H$102,7,FALSE),main!$K$19:$O$22,MATCH(VLOOKUP($A65,main!$A$3:$H$102,8,FALSE),main!$K$18:$O$18,0))))),1,0)</f>
        <v>0</v>
      </c>
      <c r="CG65">
        <f>IF((AND(VLOOKUP(CG$1,main!$A$3:$H$102,5,FALSE)-VLOOKUP($A65,main!$A$3:$H$102,6,FALSE)&gt;=(VLOOKUP(VLOOKUP(CG$1,main!$A$3:$H$102,8,FALSE),main!$K$26:$M$29,2,FALSE)+VLOOKUP(VLOOKUP(CG$1,main!$A$3:$H$102,7,FALSE),main!$K$19:$O$22,MATCH(VLOOKUP($A65,main!$A$3:$H$102,8,FALSE),main!$K$18:$O$18,0))))),1,0)</f>
        <v>0</v>
      </c>
      <c r="CH65">
        <f>IF((AND(VLOOKUP(CH$1,main!$A$3:$H$102,5,FALSE)-VLOOKUP($A65,main!$A$3:$H$102,6,FALSE)&gt;=(VLOOKUP(VLOOKUP(CH$1,main!$A$3:$H$102,8,FALSE),main!$K$26:$M$29,2,FALSE)+VLOOKUP(VLOOKUP(CH$1,main!$A$3:$H$102,7,FALSE),main!$K$19:$O$22,MATCH(VLOOKUP($A65,main!$A$3:$H$102,8,FALSE),main!$K$18:$O$18,0))))),1,0)</f>
        <v>1</v>
      </c>
      <c r="CI65">
        <f>IF((AND(VLOOKUP(CI$1,main!$A$3:$H$102,5,FALSE)-VLOOKUP($A65,main!$A$3:$H$102,6,FALSE)&gt;=(VLOOKUP(VLOOKUP(CI$1,main!$A$3:$H$102,8,FALSE),main!$K$26:$M$29,2,FALSE)+VLOOKUP(VLOOKUP(CI$1,main!$A$3:$H$102,7,FALSE),main!$K$19:$O$22,MATCH(VLOOKUP($A65,main!$A$3:$H$102,8,FALSE),main!$K$18:$O$18,0))))),1,0)</f>
        <v>1</v>
      </c>
      <c r="CJ65">
        <f>IF((AND(VLOOKUP(CJ$1,main!$A$3:$H$102,5,FALSE)-VLOOKUP($A65,main!$A$3:$H$102,6,FALSE)&gt;=(VLOOKUP(VLOOKUP(CJ$1,main!$A$3:$H$102,8,FALSE),main!$K$26:$M$29,2,FALSE)+VLOOKUP(VLOOKUP(CJ$1,main!$A$3:$H$102,7,FALSE),main!$K$19:$O$22,MATCH(VLOOKUP($A65,main!$A$3:$H$102,8,FALSE),main!$K$18:$O$18,0))))),1,0)</f>
        <v>0</v>
      </c>
      <c r="CK65">
        <f>IF((AND(VLOOKUP(CK$1,main!$A$3:$H$102,5,FALSE)-VLOOKUP($A65,main!$A$3:$H$102,6,FALSE)&gt;=(VLOOKUP(VLOOKUP(CK$1,main!$A$3:$H$102,8,FALSE),main!$K$26:$M$29,2,FALSE)+VLOOKUP(VLOOKUP(CK$1,main!$A$3:$H$102,7,FALSE),main!$K$19:$O$22,MATCH(VLOOKUP($A65,main!$A$3:$H$102,8,FALSE),main!$K$18:$O$18,0))))),1,0)</f>
        <v>0</v>
      </c>
      <c r="CL65">
        <f>IF((AND(VLOOKUP(CL$1,main!$A$3:$H$102,5,FALSE)-VLOOKUP($A65,main!$A$3:$H$102,6,FALSE)&gt;=(VLOOKUP(VLOOKUP(CL$1,main!$A$3:$H$102,8,FALSE),main!$K$26:$M$29,2,FALSE)+VLOOKUP(VLOOKUP(CL$1,main!$A$3:$H$102,7,FALSE),main!$K$19:$O$22,MATCH(VLOOKUP($A65,main!$A$3:$H$102,8,FALSE),main!$K$18:$O$18,0))))),1,0)</f>
        <v>0</v>
      </c>
      <c r="CM65">
        <f>IF((AND(VLOOKUP(CM$1,main!$A$3:$H$102,5,FALSE)-VLOOKUP($A65,main!$A$3:$H$102,6,FALSE)&gt;=(VLOOKUP(VLOOKUP(CM$1,main!$A$3:$H$102,8,FALSE),main!$K$26:$M$29,2,FALSE)+VLOOKUP(VLOOKUP(CM$1,main!$A$3:$H$102,7,FALSE),main!$K$19:$O$22,MATCH(VLOOKUP($A65,main!$A$3:$H$102,8,FALSE),main!$K$18:$O$18,0))))),1,0)</f>
        <v>1</v>
      </c>
      <c r="CN65">
        <f>IF((AND(VLOOKUP(CN$1,main!$A$3:$H$102,5,FALSE)-VLOOKUP($A65,main!$A$3:$H$102,6,FALSE)&gt;=(VLOOKUP(VLOOKUP(CN$1,main!$A$3:$H$102,8,FALSE),main!$K$26:$M$29,2,FALSE)+VLOOKUP(VLOOKUP(CN$1,main!$A$3:$H$102,7,FALSE),main!$K$19:$O$22,MATCH(VLOOKUP($A65,main!$A$3:$H$102,8,FALSE),main!$K$18:$O$18,0))))),1,0)</f>
        <v>1</v>
      </c>
      <c r="CO65">
        <f>IF((AND(VLOOKUP(CO$1,main!$A$3:$H$102,5,FALSE)-VLOOKUP($A65,main!$A$3:$H$102,6,FALSE)&gt;=(VLOOKUP(VLOOKUP(CO$1,main!$A$3:$H$102,8,FALSE),main!$K$26:$M$29,2,FALSE)+VLOOKUP(VLOOKUP(CO$1,main!$A$3:$H$102,7,FALSE),main!$K$19:$O$22,MATCH(VLOOKUP($A65,main!$A$3:$H$102,8,FALSE),main!$K$18:$O$18,0))))),1,0)</f>
        <v>0</v>
      </c>
      <c r="CP65">
        <f>IF((AND(VLOOKUP(CP$1,main!$A$3:$H$102,5,FALSE)-VLOOKUP($A65,main!$A$3:$H$102,6,FALSE)&gt;=(VLOOKUP(VLOOKUP(CP$1,main!$A$3:$H$102,8,FALSE),main!$K$26:$M$29,2,FALSE)+VLOOKUP(VLOOKUP(CP$1,main!$A$3:$H$102,7,FALSE),main!$K$19:$O$22,MATCH(VLOOKUP($A65,main!$A$3:$H$102,8,FALSE),main!$K$18:$O$18,0))))),1,0)</f>
        <v>0</v>
      </c>
      <c r="CQ65">
        <f>IF((AND(VLOOKUP(CQ$1,main!$A$3:$H$102,5,FALSE)-VLOOKUP($A65,main!$A$3:$H$102,6,FALSE)&gt;=(VLOOKUP(VLOOKUP(CQ$1,main!$A$3:$H$102,8,FALSE),main!$K$26:$M$29,2,FALSE)+VLOOKUP(VLOOKUP(CQ$1,main!$A$3:$H$102,7,FALSE),main!$K$19:$O$22,MATCH(VLOOKUP($A65,main!$A$3:$H$102,8,FALSE),main!$K$18:$O$18,0))))),1,0)</f>
        <v>0</v>
      </c>
      <c r="CR65">
        <f>IF((AND(VLOOKUP(CR$1,main!$A$3:$H$102,5,FALSE)-VLOOKUP($A65,main!$A$3:$H$102,6,FALSE)&gt;=(VLOOKUP(VLOOKUP(CR$1,main!$A$3:$H$102,8,FALSE),main!$K$26:$M$29,2,FALSE)+VLOOKUP(VLOOKUP(CR$1,main!$A$3:$H$102,7,FALSE),main!$K$19:$O$22,MATCH(VLOOKUP($A65,main!$A$3:$H$102,8,FALSE),main!$K$18:$O$18,0))))),1,0)</f>
        <v>1</v>
      </c>
      <c r="CS65">
        <f>IF((AND(VLOOKUP(CS$1,main!$A$3:$H$102,5,FALSE)-VLOOKUP($A65,main!$A$3:$H$102,6,FALSE)&gt;=(VLOOKUP(VLOOKUP(CS$1,main!$A$3:$H$102,8,FALSE),main!$K$26:$M$29,2,FALSE)+VLOOKUP(VLOOKUP(CS$1,main!$A$3:$H$102,7,FALSE),main!$K$19:$O$22,MATCH(VLOOKUP($A65,main!$A$3:$H$102,8,FALSE),main!$K$18:$O$18,0))))),1,0)</f>
        <v>1</v>
      </c>
      <c r="CT65">
        <f>IF((AND(VLOOKUP(CT$1,main!$A$3:$H$102,5,FALSE)-VLOOKUP($A65,main!$A$3:$H$102,6,FALSE)&gt;=(VLOOKUP(VLOOKUP(CT$1,main!$A$3:$H$102,8,FALSE),main!$K$26:$M$29,2,FALSE)+VLOOKUP(VLOOKUP(CT$1,main!$A$3:$H$102,7,FALSE),main!$K$19:$O$22,MATCH(VLOOKUP($A65,main!$A$3:$H$102,8,FALSE),main!$K$18:$O$18,0))))),1,0)</f>
        <v>0</v>
      </c>
      <c r="CU65">
        <f>IF((AND(VLOOKUP(CU$1,main!$A$3:$H$102,5,FALSE)-VLOOKUP($A65,main!$A$3:$H$102,6,FALSE)&gt;=(VLOOKUP(VLOOKUP(CU$1,main!$A$3:$H$102,8,FALSE),main!$K$26:$M$29,2,FALSE)+VLOOKUP(VLOOKUP(CU$1,main!$A$3:$H$102,7,FALSE),main!$K$19:$O$22,MATCH(VLOOKUP($A65,main!$A$3:$H$102,8,FALSE),main!$K$18:$O$18,0))))),1,0)</f>
        <v>0</v>
      </c>
      <c r="CV65">
        <f>IF((AND(VLOOKUP(CV$1,main!$A$3:$H$102,5,FALSE)-VLOOKUP($A65,main!$A$3:$H$102,6,FALSE)&gt;=(VLOOKUP(VLOOKUP(CV$1,main!$A$3:$H$102,8,FALSE),main!$K$26:$M$29,2,FALSE)+VLOOKUP(VLOOKUP(CV$1,main!$A$3:$H$102,7,FALSE),main!$K$19:$O$22,MATCH(VLOOKUP($A65,main!$A$3:$H$102,8,FALSE),main!$K$18:$O$18,0))))),1,0)</f>
        <v>0</v>
      </c>
      <c r="CW65">
        <f>IF((AND(VLOOKUP(CW$1,main!$A$3:$H$102,5,FALSE)-VLOOKUP($A65,main!$A$3:$H$102,6,FALSE)&gt;=(VLOOKUP(VLOOKUP(CW$1,main!$A$3:$H$102,8,FALSE),main!$K$26:$M$29,2,FALSE)+VLOOKUP(VLOOKUP(CW$1,main!$A$3:$H$102,7,FALSE),main!$K$19:$O$22,MATCH(VLOOKUP($A65,main!$A$3:$H$102,8,FALSE),main!$K$18:$O$18,0))))),1,0)</f>
        <v>1</v>
      </c>
      <c r="CX65">
        <f>IF((AND(VLOOKUP(CX$1,main!$A$3:$H$102,5,FALSE)-VLOOKUP($A65,main!$A$3:$H$102,6,FALSE)&gt;=(VLOOKUP(VLOOKUP(CX$1,main!$A$3:$H$102,8,FALSE),main!$K$26:$M$29,2,FALSE)+VLOOKUP(VLOOKUP(CX$1,main!$A$3:$H$102,7,FALSE),main!$K$19:$O$22,MATCH(VLOOKUP($A65,main!$A$3:$H$102,8,FALSE),main!$K$18:$O$18,0))))),1,0)</f>
        <v>1</v>
      </c>
    </row>
    <row r="66" spans="1:102" x14ac:dyDescent="0.25">
      <c r="A66" s="1">
        <v>64</v>
      </c>
      <c r="B66">
        <v>1</v>
      </c>
      <c r="C66">
        <f>IF((AND(VLOOKUP(C$1,main!$A$3:$H$102,5,FALSE)-VLOOKUP($A66,main!$A$3:$H$102,6,FALSE)&gt;=(VLOOKUP(VLOOKUP(C$1,main!$A$3:$H$102,8,FALSE),main!$K$26:$M$29,2,FALSE)+VLOOKUP(VLOOKUP(C$1,main!$A$3:$H$102,7,FALSE),main!$K$19:$O$22,MATCH(VLOOKUP($A66,main!$A$3:$H$102,8,FALSE),main!$K$18:$O$18,0))))),1,0)</f>
        <v>0</v>
      </c>
      <c r="D66">
        <f>IF((AND(VLOOKUP(D$1,main!$A$3:$H$102,5,FALSE)-VLOOKUP($A66,main!$A$3:$H$102,6,FALSE)&gt;=(VLOOKUP(VLOOKUP(D$1,main!$A$3:$H$102,8,FALSE),main!$K$26:$M$29,2,FALSE)+VLOOKUP(VLOOKUP(D$1,main!$A$3:$H$102,7,FALSE),main!$K$19:$O$22,MATCH(VLOOKUP($A66,main!$A$3:$H$102,8,FALSE),main!$K$18:$O$18,0))))),1,0)</f>
        <v>0</v>
      </c>
      <c r="E66">
        <f>IF((AND(VLOOKUP(E$1,main!$A$3:$H$102,5,FALSE)-VLOOKUP($A66,main!$A$3:$H$102,6,FALSE)&gt;=(VLOOKUP(VLOOKUP(E$1,main!$A$3:$H$102,8,FALSE),main!$K$26:$M$29,2,FALSE)+VLOOKUP(VLOOKUP(E$1,main!$A$3:$H$102,7,FALSE),main!$K$19:$O$22,MATCH(VLOOKUP($A66,main!$A$3:$H$102,8,FALSE),main!$K$18:$O$18,0))))),1,0)</f>
        <v>0</v>
      </c>
      <c r="F66">
        <f>IF((AND(VLOOKUP(F$1,main!$A$3:$H$102,5,FALSE)-VLOOKUP($A66,main!$A$3:$H$102,6,FALSE)&gt;=(VLOOKUP(VLOOKUP(F$1,main!$A$3:$H$102,8,FALSE),main!$K$26:$M$29,2,FALSE)+VLOOKUP(VLOOKUP(F$1,main!$A$3:$H$102,7,FALSE),main!$K$19:$O$22,MATCH(VLOOKUP($A66,main!$A$3:$H$102,8,FALSE),main!$K$18:$O$18,0))))),1,0)</f>
        <v>0</v>
      </c>
      <c r="G66">
        <f>IF((AND(VLOOKUP(G$1,main!$A$3:$H$102,5,FALSE)-VLOOKUP($A66,main!$A$3:$H$102,6,FALSE)&gt;=(VLOOKUP(VLOOKUP(G$1,main!$A$3:$H$102,8,FALSE),main!$K$26:$M$29,2,FALSE)+VLOOKUP(VLOOKUP(G$1,main!$A$3:$H$102,7,FALSE),main!$K$19:$O$22,MATCH(VLOOKUP($A66,main!$A$3:$H$102,8,FALSE),main!$K$18:$O$18,0))))),1,0)</f>
        <v>0</v>
      </c>
      <c r="H66">
        <f>IF((AND(VLOOKUP(H$1,main!$A$3:$H$102,5,FALSE)-VLOOKUP($A66,main!$A$3:$H$102,6,FALSE)&gt;=(VLOOKUP(VLOOKUP(H$1,main!$A$3:$H$102,8,FALSE),main!$K$26:$M$29,2,FALSE)+VLOOKUP(VLOOKUP(H$1,main!$A$3:$H$102,7,FALSE),main!$K$19:$O$22,MATCH(VLOOKUP($A66,main!$A$3:$H$102,8,FALSE),main!$K$18:$O$18,0))))),1,0)</f>
        <v>0</v>
      </c>
      <c r="I66">
        <f>IF((AND(VLOOKUP(I$1,main!$A$3:$H$102,5,FALSE)-VLOOKUP($A66,main!$A$3:$H$102,6,FALSE)&gt;=(VLOOKUP(VLOOKUP(I$1,main!$A$3:$H$102,8,FALSE),main!$K$26:$M$29,2,FALSE)+VLOOKUP(VLOOKUP(I$1,main!$A$3:$H$102,7,FALSE),main!$K$19:$O$22,MATCH(VLOOKUP($A66,main!$A$3:$H$102,8,FALSE),main!$K$18:$O$18,0))))),1,0)</f>
        <v>0</v>
      </c>
      <c r="J66">
        <f>IF((AND(VLOOKUP(J$1,main!$A$3:$H$102,5,FALSE)-VLOOKUP($A66,main!$A$3:$H$102,6,FALSE)&gt;=(VLOOKUP(VLOOKUP(J$1,main!$A$3:$H$102,8,FALSE),main!$K$26:$M$29,2,FALSE)+VLOOKUP(VLOOKUP(J$1,main!$A$3:$H$102,7,FALSE),main!$K$19:$O$22,MATCH(VLOOKUP($A66,main!$A$3:$H$102,8,FALSE),main!$K$18:$O$18,0))))),1,0)</f>
        <v>0</v>
      </c>
      <c r="K66">
        <f>IF((AND(VLOOKUP(K$1,main!$A$3:$H$102,5,FALSE)-VLOOKUP($A66,main!$A$3:$H$102,6,FALSE)&gt;=(VLOOKUP(VLOOKUP(K$1,main!$A$3:$H$102,8,FALSE),main!$K$26:$M$29,2,FALSE)+VLOOKUP(VLOOKUP(K$1,main!$A$3:$H$102,7,FALSE),main!$K$19:$O$22,MATCH(VLOOKUP($A66,main!$A$3:$H$102,8,FALSE),main!$K$18:$O$18,0))))),1,0)</f>
        <v>1</v>
      </c>
      <c r="L66">
        <f>IF((AND(VLOOKUP(L$1,main!$A$3:$H$102,5,FALSE)-VLOOKUP($A66,main!$A$3:$H$102,6,FALSE)&gt;=(VLOOKUP(VLOOKUP(L$1,main!$A$3:$H$102,8,FALSE),main!$K$26:$M$29,2,FALSE)+VLOOKUP(VLOOKUP(L$1,main!$A$3:$H$102,7,FALSE),main!$K$19:$O$22,MATCH(VLOOKUP($A66,main!$A$3:$H$102,8,FALSE),main!$K$18:$O$18,0))))),1,0)</f>
        <v>1</v>
      </c>
      <c r="M66">
        <f>IF((AND(VLOOKUP(M$1,main!$A$3:$H$102,5,FALSE)-VLOOKUP($A66,main!$A$3:$H$102,6,FALSE)&gt;=(VLOOKUP(VLOOKUP(M$1,main!$A$3:$H$102,8,FALSE),main!$K$26:$M$29,2,FALSE)+VLOOKUP(VLOOKUP(M$1,main!$A$3:$H$102,7,FALSE),main!$K$19:$O$22,MATCH(VLOOKUP($A66,main!$A$3:$H$102,8,FALSE),main!$K$18:$O$18,0))))),1,0)</f>
        <v>0</v>
      </c>
      <c r="N66">
        <f>IF((AND(VLOOKUP(N$1,main!$A$3:$H$102,5,FALSE)-VLOOKUP($A66,main!$A$3:$H$102,6,FALSE)&gt;=(VLOOKUP(VLOOKUP(N$1,main!$A$3:$H$102,8,FALSE),main!$K$26:$M$29,2,FALSE)+VLOOKUP(VLOOKUP(N$1,main!$A$3:$H$102,7,FALSE),main!$K$19:$O$22,MATCH(VLOOKUP($A66,main!$A$3:$H$102,8,FALSE),main!$K$18:$O$18,0))))),1,0)</f>
        <v>0</v>
      </c>
      <c r="O66">
        <f>IF((AND(VLOOKUP(O$1,main!$A$3:$H$102,5,FALSE)-VLOOKUP($A66,main!$A$3:$H$102,6,FALSE)&gt;=(VLOOKUP(VLOOKUP(O$1,main!$A$3:$H$102,8,FALSE),main!$K$26:$M$29,2,FALSE)+VLOOKUP(VLOOKUP(O$1,main!$A$3:$H$102,7,FALSE),main!$K$19:$O$22,MATCH(VLOOKUP($A66,main!$A$3:$H$102,8,FALSE),main!$K$18:$O$18,0))))),1,0)</f>
        <v>0</v>
      </c>
      <c r="P66">
        <f>IF((AND(VLOOKUP(P$1,main!$A$3:$H$102,5,FALSE)-VLOOKUP($A66,main!$A$3:$H$102,6,FALSE)&gt;=(VLOOKUP(VLOOKUP(P$1,main!$A$3:$H$102,8,FALSE),main!$K$26:$M$29,2,FALSE)+VLOOKUP(VLOOKUP(P$1,main!$A$3:$H$102,7,FALSE),main!$K$19:$O$22,MATCH(VLOOKUP($A66,main!$A$3:$H$102,8,FALSE),main!$K$18:$O$18,0))))),1,0)</f>
        <v>0</v>
      </c>
      <c r="Q66">
        <f>IF((AND(VLOOKUP(Q$1,main!$A$3:$H$102,5,FALSE)-VLOOKUP($A66,main!$A$3:$H$102,6,FALSE)&gt;=(VLOOKUP(VLOOKUP(Q$1,main!$A$3:$H$102,8,FALSE),main!$K$26:$M$29,2,FALSE)+VLOOKUP(VLOOKUP(Q$1,main!$A$3:$H$102,7,FALSE),main!$K$19:$O$22,MATCH(VLOOKUP($A66,main!$A$3:$H$102,8,FALSE),main!$K$18:$O$18,0))))),1,0)</f>
        <v>0</v>
      </c>
      <c r="R66">
        <f>IF((AND(VLOOKUP(R$1,main!$A$3:$H$102,5,FALSE)-VLOOKUP($A66,main!$A$3:$H$102,6,FALSE)&gt;=(VLOOKUP(VLOOKUP(R$1,main!$A$3:$H$102,8,FALSE),main!$K$26:$M$29,2,FALSE)+VLOOKUP(VLOOKUP(R$1,main!$A$3:$H$102,7,FALSE),main!$K$19:$O$22,MATCH(VLOOKUP($A66,main!$A$3:$H$102,8,FALSE),main!$K$18:$O$18,0))))),1,0)</f>
        <v>0</v>
      </c>
      <c r="S66">
        <f>IF((AND(VLOOKUP(S$1,main!$A$3:$H$102,5,FALSE)-VLOOKUP($A66,main!$A$3:$H$102,6,FALSE)&gt;=(VLOOKUP(VLOOKUP(S$1,main!$A$3:$H$102,8,FALSE),main!$K$26:$M$29,2,FALSE)+VLOOKUP(VLOOKUP(S$1,main!$A$3:$H$102,7,FALSE),main!$K$19:$O$22,MATCH(VLOOKUP($A66,main!$A$3:$H$102,8,FALSE),main!$K$18:$O$18,0))))),1,0)</f>
        <v>0</v>
      </c>
      <c r="T66">
        <f>IF((AND(VLOOKUP(T$1,main!$A$3:$H$102,5,FALSE)-VLOOKUP($A66,main!$A$3:$H$102,6,FALSE)&gt;=(VLOOKUP(VLOOKUP(T$1,main!$A$3:$H$102,8,FALSE),main!$K$26:$M$29,2,FALSE)+VLOOKUP(VLOOKUP(T$1,main!$A$3:$H$102,7,FALSE),main!$K$19:$O$22,MATCH(VLOOKUP($A66,main!$A$3:$H$102,8,FALSE),main!$K$18:$O$18,0))))),1,0)</f>
        <v>0</v>
      </c>
      <c r="U66">
        <f>IF((AND(VLOOKUP(U$1,main!$A$3:$H$102,5,FALSE)-VLOOKUP($A66,main!$A$3:$H$102,6,FALSE)&gt;=(VLOOKUP(VLOOKUP(U$1,main!$A$3:$H$102,8,FALSE),main!$K$26:$M$29,2,FALSE)+VLOOKUP(VLOOKUP(U$1,main!$A$3:$H$102,7,FALSE),main!$K$19:$O$22,MATCH(VLOOKUP($A66,main!$A$3:$H$102,8,FALSE),main!$K$18:$O$18,0))))),1,0)</f>
        <v>1</v>
      </c>
      <c r="V66">
        <f>IF((AND(VLOOKUP(V$1,main!$A$3:$H$102,5,FALSE)-VLOOKUP($A66,main!$A$3:$H$102,6,FALSE)&gt;=(VLOOKUP(VLOOKUP(V$1,main!$A$3:$H$102,8,FALSE),main!$K$26:$M$29,2,FALSE)+VLOOKUP(VLOOKUP(V$1,main!$A$3:$H$102,7,FALSE),main!$K$19:$O$22,MATCH(VLOOKUP($A66,main!$A$3:$H$102,8,FALSE),main!$K$18:$O$18,0))))),1,0)</f>
        <v>1</v>
      </c>
      <c r="W66">
        <f>IF((AND(VLOOKUP(W$1,main!$A$3:$H$102,5,FALSE)-VLOOKUP($A66,main!$A$3:$H$102,6,FALSE)&gt;=(VLOOKUP(VLOOKUP(W$1,main!$A$3:$H$102,8,FALSE),main!$K$26:$M$29,2,FALSE)+VLOOKUP(VLOOKUP(W$1,main!$A$3:$H$102,7,FALSE),main!$K$19:$O$22,MATCH(VLOOKUP($A66,main!$A$3:$H$102,8,FALSE),main!$K$18:$O$18,0))))),1,0)</f>
        <v>0</v>
      </c>
      <c r="X66">
        <f>IF((AND(VLOOKUP(X$1,main!$A$3:$H$102,5,FALSE)-VLOOKUP($A66,main!$A$3:$H$102,6,FALSE)&gt;=(VLOOKUP(VLOOKUP(X$1,main!$A$3:$H$102,8,FALSE),main!$K$26:$M$29,2,FALSE)+VLOOKUP(VLOOKUP(X$1,main!$A$3:$H$102,7,FALSE),main!$K$19:$O$22,MATCH(VLOOKUP($A66,main!$A$3:$H$102,8,FALSE),main!$K$18:$O$18,0))))),1,0)</f>
        <v>0</v>
      </c>
      <c r="Y66">
        <f>IF((AND(VLOOKUP(Y$1,main!$A$3:$H$102,5,FALSE)-VLOOKUP($A66,main!$A$3:$H$102,6,FALSE)&gt;=(VLOOKUP(VLOOKUP(Y$1,main!$A$3:$H$102,8,FALSE),main!$K$26:$M$29,2,FALSE)+VLOOKUP(VLOOKUP(Y$1,main!$A$3:$H$102,7,FALSE),main!$K$19:$O$22,MATCH(VLOOKUP($A66,main!$A$3:$H$102,8,FALSE),main!$K$18:$O$18,0))))),1,0)</f>
        <v>0</v>
      </c>
      <c r="Z66">
        <f>IF((AND(VLOOKUP(Z$1,main!$A$3:$H$102,5,FALSE)-VLOOKUP($A66,main!$A$3:$H$102,6,FALSE)&gt;=(VLOOKUP(VLOOKUP(Z$1,main!$A$3:$H$102,8,FALSE),main!$K$26:$M$29,2,FALSE)+VLOOKUP(VLOOKUP(Z$1,main!$A$3:$H$102,7,FALSE),main!$K$19:$O$22,MATCH(VLOOKUP($A66,main!$A$3:$H$102,8,FALSE),main!$K$18:$O$18,0))))),1,0)</f>
        <v>0</v>
      </c>
      <c r="AA66">
        <f>IF((AND(VLOOKUP(AA$1,main!$A$3:$H$102,5,FALSE)-VLOOKUP($A66,main!$A$3:$H$102,6,FALSE)&gt;=(VLOOKUP(VLOOKUP(AA$1,main!$A$3:$H$102,8,FALSE),main!$K$26:$M$29,2,FALSE)+VLOOKUP(VLOOKUP(AA$1,main!$A$3:$H$102,7,FALSE),main!$K$19:$O$22,MATCH(VLOOKUP($A66,main!$A$3:$H$102,8,FALSE),main!$K$18:$O$18,0))))),1,0)</f>
        <v>1</v>
      </c>
      <c r="AB66">
        <f>IF((AND(VLOOKUP(AB$1,main!$A$3:$H$102,5,FALSE)-VLOOKUP($A66,main!$A$3:$H$102,6,FALSE)&gt;=(VLOOKUP(VLOOKUP(AB$1,main!$A$3:$H$102,8,FALSE),main!$K$26:$M$29,2,FALSE)+VLOOKUP(VLOOKUP(AB$1,main!$A$3:$H$102,7,FALSE),main!$K$19:$O$22,MATCH(VLOOKUP($A66,main!$A$3:$H$102,8,FALSE),main!$K$18:$O$18,0))))),1,0)</f>
        <v>0</v>
      </c>
      <c r="AC66">
        <f>IF((AND(VLOOKUP(AC$1,main!$A$3:$H$102,5,FALSE)-VLOOKUP($A66,main!$A$3:$H$102,6,FALSE)&gt;=(VLOOKUP(VLOOKUP(AC$1,main!$A$3:$H$102,8,FALSE),main!$K$26:$M$29,2,FALSE)+VLOOKUP(VLOOKUP(AC$1,main!$A$3:$H$102,7,FALSE),main!$K$19:$O$22,MATCH(VLOOKUP($A66,main!$A$3:$H$102,8,FALSE),main!$K$18:$O$18,0))))),1,0)</f>
        <v>0</v>
      </c>
      <c r="AD66">
        <f>IF((AND(VLOOKUP(AD$1,main!$A$3:$H$102,5,FALSE)-VLOOKUP($A66,main!$A$3:$H$102,6,FALSE)&gt;=(VLOOKUP(VLOOKUP(AD$1,main!$A$3:$H$102,8,FALSE),main!$K$26:$M$29,2,FALSE)+VLOOKUP(VLOOKUP(AD$1,main!$A$3:$H$102,7,FALSE),main!$K$19:$O$22,MATCH(VLOOKUP($A66,main!$A$3:$H$102,8,FALSE),main!$K$18:$O$18,0))))),1,0)</f>
        <v>0</v>
      </c>
      <c r="AE66">
        <f>IF((AND(VLOOKUP(AE$1,main!$A$3:$H$102,5,FALSE)-VLOOKUP($A66,main!$A$3:$H$102,6,FALSE)&gt;=(VLOOKUP(VLOOKUP(AE$1,main!$A$3:$H$102,8,FALSE),main!$K$26:$M$29,2,FALSE)+VLOOKUP(VLOOKUP(AE$1,main!$A$3:$H$102,7,FALSE),main!$K$19:$O$22,MATCH(VLOOKUP($A66,main!$A$3:$H$102,8,FALSE),main!$K$18:$O$18,0))))),1,0)</f>
        <v>0</v>
      </c>
      <c r="AF66">
        <f>IF((AND(VLOOKUP(AF$1,main!$A$3:$H$102,5,FALSE)-VLOOKUP($A66,main!$A$3:$H$102,6,FALSE)&gt;=(VLOOKUP(VLOOKUP(AF$1,main!$A$3:$H$102,8,FALSE),main!$K$26:$M$29,2,FALSE)+VLOOKUP(VLOOKUP(AF$1,main!$A$3:$H$102,7,FALSE),main!$K$19:$O$22,MATCH(VLOOKUP($A66,main!$A$3:$H$102,8,FALSE),main!$K$18:$O$18,0))))),1,0)</f>
        <v>1</v>
      </c>
      <c r="AG66">
        <f>IF((AND(VLOOKUP(AG$1,main!$A$3:$H$102,5,FALSE)-VLOOKUP($A66,main!$A$3:$H$102,6,FALSE)&gt;=(VLOOKUP(VLOOKUP(AG$1,main!$A$3:$H$102,8,FALSE),main!$K$26:$M$29,2,FALSE)+VLOOKUP(VLOOKUP(AG$1,main!$A$3:$H$102,7,FALSE),main!$K$19:$O$22,MATCH(VLOOKUP($A66,main!$A$3:$H$102,8,FALSE),main!$K$18:$O$18,0))))),1,0)</f>
        <v>0</v>
      </c>
      <c r="AH66">
        <f>IF((AND(VLOOKUP(AH$1,main!$A$3:$H$102,5,FALSE)-VLOOKUP($A66,main!$A$3:$H$102,6,FALSE)&gt;=(VLOOKUP(VLOOKUP(AH$1,main!$A$3:$H$102,8,FALSE),main!$K$26:$M$29,2,FALSE)+VLOOKUP(VLOOKUP(AH$1,main!$A$3:$H$102,7,FALSE),main!$K$19:$O$22,MATCH(VLOOKUP($A66,main!$A$3:$H$102,8,FALSE),main!$K$18:$O$18,0))))),1,0)</f>
        <v>0</v>
      </c>
      <c r="AI66">
        <f>IF((AND(VLOOKUP(AI$1,main!$A$3:$H$102,5,FALSE)-VLOOKUP($A66,main!$A$3:$H$102,6,FALSE)&gt;=(VLOOKUP(VLOOKUP(AI$1,main!$A$3:$H$102,8,FALSE),main!$K$26:$M$29,2,FALSE)+VLOOKUP(VLOOKUP(AI$1,main!$A$3:$H$102,7,FALSE),main!$K$19:$O$22,MATCH(VLOOKUP($A66,main!$A$3:$H$102,8,FALSE),main!$K$18:$O$18,0))))),1,0)</f>
        <v>0</v>
      </c>
      <c r="AJ66">
        <f>IF((AND(VLOOKUP(AJ$1,main!$A$3:$H$102,5,FALSE)-VLOOKUP($A66,main!$A$3:$H$102,6,FALSE)&gt;=(VLOOKUP(VLOOKUP(AJ$1,main!$A$3:$H$102,8,FALSE),main!$K$26:$M$29,2,FALSE)+VLOOKUP(VLOOKUP(AJ$1,main!$A$3:$H$102,7,FALSE),main!$K$19:$O$22,MATCH(VLOOKUP($A66,main!$A$3:$H$102,8,FALSE),main!$K$18:$O$18,0))))),1,0)</f>
        <v>0</v>
      </c>
      <c r="AK66">
        <f>IF((AND(VLOOKUP(AK$1,main!$A$3:$H$102,5,FALSE)-VLOOKUP($A66,main!$A$3:$H$102,6,FALSE)&gt;=(VLOOKUP(VLOOKUP(AK$1,main!$A$3:$H$102,8,FALSE),main!$K$26:$M$29,2,FALSE)+VLOOKUP(VLOOKUP(AK$1,main!$A$3:$H$102,7,FALSE),main!$K$19:$O$22,MATCH(VLOOKUP($A66,main!$A$3:$H$102,8,FALSE),main!$K$18:$O$18,0))))),1,0)</f>
        <v>0</v>
      </c>
      <c r="AL66">
        <f>IF((AND(VLOOKUP(AL$1,main!$A$3:$H$102,5,FALSE)-VLOOKUP($A66,main!$A$3:$H$102,6,FALSE)&gt;=(VLOOKUP(VLOOKUP(AL$1,main!$A$3:$H$102,8,FALSE),main!$K$26:$M$29,2,FALSE)+VLOOKUP(VLOOKUP(AL$1,main!$A$3:$H$102,7,FALSE),main!$K$19:$O$22,MATCH(VLOOKUP($A66,main!$A$3:$H$102,8,FALSE),main!$K$18:$O$18,0))))),1,0)</f>
        <v>0</v>
      </c>
      <c r="AM66">
        <f>IF((AND(VLOOKUP(AM$1,main!$A$3:$H$102,5,FALSE)-VLOOKUP($A66,main!$A$3:$H$102,6,FALSE)&gt;=(VLOOKUP(VLOOKUP(AM$1,main!$A$3:$H$102,8,FALSE),main!$K$26:$M$29,2,FALSE)+VLOOKUP(VLOOKUP(AM$1,main!$A$3:$H$102,7,FALSE),main!$K$19:$O$22,MATCH(VLOOKUP($A66,main!$A$3:$H$102,8,FALSE),main!$K$18:$O$18,0))))),1,0)</f>
        <v>1</v>
      </c>
      <c r="AN66">
        <f>IF((AND(VLOOKUP(AN$1,main!$A$3:$H$102,5,FALSE)-VLOOKUP($A66,main!$A$3:$H$102,6,FALSE)&gt;=(VLOOKUP(VLOOKUP(AN$1,main!$A$3:$H$102,8,FALSE),main!$K$26:$M$29,2,FALSE)+VLOOKUP(VLOOKUP(AN$1,main!$A$3:$H$102,7,FALSE),main!$K$19:$O$22,MATCH(VLOOKUP($A66,main!$A$3:$H$102,8,FALSE),main!$K$18:$O$18,0))))),1,0)</f>
        <v>1</v>
      </c>
      <c r="AO66">
        <f>IF((AND(VLOOKUP(AO$1,main!$A$3:$H$102,5,FALSE)-VLOOKUP($A66,main!$A$3:$H$102,6,FALSE)&gt;=(VLOOKUP(VLOOKUP(AO$1,main!$A$3:$H$102,8,FALSE),main!$K$26:$M$29,2,FALSE)+VLOOKUP(VLOOKUP(AO$1,main!$A$3:$H$102,7,FALSE),main!$K$19:$O$22,MATCH(VLOOKUP($A66,main!$A$3:$H$102,8,FALSE),main!$K$18:$O$18,0))))),1,0)</f>
        <v>0</v>
      </c>
      <c r="AP66">
        <f>IF((AND(VLOOKUP(AP$1,main!$A$3:$H$102,5,FALSE)-VLOOKUP($A66,main!$A$3:$H$102,6,FALSE)&gt;=(VLOOKUP(VLOOKUP(AP$1,main!$A$3:$H$102,8,FALSE),main!$K$26:$M$29,2,FALSE)+VLOOKUP(VLOOKUP(AP$1,main!$A$3:$H$102,7,FALSE),main!$K$19:$O$22,MATCH(VLOOKUP($A66,main!$A$3:$H$102,8,FALSE),main!$K$18:$O$18,0))))),1,0)</f>
        <v>1</v>
      </c>
      <c r="AQ66">
        <f>IF((AND(VLOOKUP(AQ$1,main!$A$3:$H$102,5,FALSE)-VLOOKUP($A66,main!$A$3:$H$102,6,FALSE)&gt;=(VLOOKUP(VLOOKUP(AQ$1,main!$A$3:$H$102,8,FALSE),main!$K$26:$M$29,2,FALSE)+VLOOKUP(VLOOKUP(AQ$1,main!$A$3:$H$102,7,FALSE),main!$K$19:$O$22,MATCH(VLOOKUP($A66,main!$A$3:$H$102,8,FALSE),main!$K$18:$O$18,0))))),1,0)</f>
        <v>0</v>
      </c>
      <c r="AR66">
        <f>IF((AND(VLOOKUP(AR$1,main!$A$3:$H$102,5,FALSE)-VLOOKUP($A66,main!$A$3:$H$102,6,FALSE)&gt;=(VLOOKUP(VLOOKUP(AR$1,main!$A$3:$H$102,8,FALSE),main!$K$26:$M$29,2,FALSE)+VLOOKUP(VLOOKUP(AR$1,main!$A$3:$H$102,7,FALSE),main!$K$19:$O$22,MATCH(VLOOKUP($A66,main!$A$3:$H$102,8,FALSE),main!$K$18:$O$18,0))))),1,0)</f>
        <v>0</v>
      </c>
      <c r="AS66">
        <f>IF((AND(VLOOKUP(AS$1,main!$A$3:$H$102,5,FALSE)-VLOOKUP($A66,main!$A$3:$H$102,6,FALSE)&gt;=(VLOOKUP(VLOOKUP(AS$1,main!$A$3:$H$102,8,FALSE),main!$K$26:$M$29,2,FALSE)+VLOOKUP(VLOOKUP(AS$1,main!$A$3:$H$102,7,FALSE),main!$K$19:$O$22,MATCH(VLOOKUP($A66,main!$A$3:$H$102,8,FALSE),main!$K$18:$O$18,0))))),1,0)</f>
        <v>0</v>
      </c>
      <c r="AT66">
        <f>IF((AND(VLOOKUP(AT$1,main!$A$3:$H$102,5,FALSE)-VLOOKUP($A66,main!$A$3:$H$102,6,FALSE)&gt;=(VLOOKUP(VLOOKUP(AT$1,main!$A$3:$H$102,8,FALSE),main!$K$26:$M$29,2,FALSE)+VLOOKUP(VLOOKUP(AT$1,main!$A$3:$H$102,7,FALSE),main!$K$19:$O$22,MATCH(VLOOKUP($A66,main!$A$3:$H$102,8,FALSE),main!$K$18:$O$18,0))))),1,0)</f>
        <v>0</v>
      </c>
      <c r="AU66">
        <f>IF((AND(VLOOKUP(AU$1,main!$A$3:$H$102,5,FALSE)-VLOOKUP($A66,main!$A$3:$H$102,6,FALSE)&gt;=(VLOOKUP(VLOOKUP(AU$1,main!$A$3:$H$102,8,FALSE),main!$K$26:$M$29,2,FALSE)+VLOOKUP(VLOOKUP(AU$1,main!$A$3:$H$102,7,FALSE),main!$K$19:$O$22,MATCH(VLOOKUP($A66,main!$A$3:$H$102,8,FALSE),main!$K$18:$O$18,0))))),1,0)</f>
        <v>0</v>
      </c>
      <c r="AV66">
        <f>IF((AND(VLOOKUP(AV$1,main!$A$3:$H$102,5,FALSE)-VLOOKUP($A66,main!$A$3:$H$102,6,FALSE)&gt;=(VLOOKUP(VLOOKUP(AV$1,main!$A$3:$H$102,8,FALSE),main!$K$26:$M$29,2,FALSE)+VLOOKUP(VLOOKUP(AV$1,main!$A$3:$H$102,7,FALSE),main!$K$19:$O$22,MATCH(VLOOKUP($A66,main!$A$3:$H$102,8,FALSE),main!$K$18:$O$18,0))))),1,0)</f>
        <v>0</v>
      </c>
      <c r="AW66">
        <f>IF((AND(VLOOKUP(AW$1,main!$A$3:$H$102,5,FALSE)-VLOOKUP($A66,main!$A$3:$H$102,6,FALSE)&gt;=(VLOOKUP(VLOOKUP(AW$1,main!$A$3:$H$102,8,FALSE),main!$K$26:$M$29,2,FALSE)+VLOOKUP(VLOOKUP(AW$1,main!$A$3:$H$102,7,FALSE),main!$K$19:$O$22,MATCH(VLOOKUP($A66,main!$A$3:$H$102,8,FALSE),main!$K$18:$O$18,0))))),1,0)</f>
        <v>0</v>
      </c>
      <c r="AX66">
        <f>IF((AND(VLOOKUP(AX$1,main!$A$3:$H$102,5,FALSE)-VLOOKUP($A66,main!$A$3:$H$102,6,FALSE)&gt;=(VLOOKUP(VLOOKUP(AX$1,main!$A$3:$H$102,8,FALSE),main!$K$26:$M$29,2,FALSE)+VLOOKUP(VLOOKUP(AX$1,main!$A$3:$H$102,7,FALSE),main!$K$19:$O$22,MATCH(VLOOKUP($A66,main!$A$3:$H$102,8,FALSE),main!$K$18:$O$18,0))))),1,0)</f>
        <v>0</v>
      </c>
      <c r="AY66">
        <f>IF((AND(VLOOKUP(AY$1,main!$A$3:$H$102,5,FALSE)-VLOOKUP($A66,main!$A$3:$H$102,6,FALSE)&gt;=(VLOOKUP(VLOOKUP(AY$1,main!$A$3:$H$102,8,FALSE),main!$K$26:$M$29,2,FALSE)+VLOOKUP(VLOOKUP(AY$1,main!$A$3:$H$102,7,FALSE),main!$K$19:$O$22,MATCH(VLOOKUP($A66,main!$A$3:$H$102,8,FALSE),main!$K$18:$O$18,0))))),1,0)</f>
        <v>0</v>
      </c>
      <c r="AZ66">
        <f>IF((AND(VLOOKUP(AZ$1,main!$A$3:$H$102,5,FALSE)-VLOOKUP($A66,main!$A$3:$H$102,6,FALSE)&gt;=(VLOOKUP(VLOOKUP(AZ$1,main!$A$3:$H$102,8,FALSE),main!$K$26:$M$29,2,FALSE)+VLOOKUP(VLOOKUP(AZ$1,main!$A$3:$H$102,7,FALSE),main!$K$19:$O$22,MATCH(VLOOKUP($A66,main!$A$3:$H$102,8,FALSE),main!$K$18:$O$18,0))))),1,0)</f>
        <v>0</v>
      </c>
      <c r="BA66">
        <f>IF((AND(VLOOKUP(BA$1,main!$A$3:$H$102,5,FALSE)-VLOOKUP($A66,main!$A$3:$H$102,6,FALSE)&gt;=(VLOOKUP(VLOOKUP(BA$1,main!$A$3:$H$102,8,FALSE),main!$K$26:$M$29,2,FALSE)+VLOOKUP(VLOOKUP(BA$1,main!$A$3:$H$102,7,FALSE),main!$K$19:$O$22,MATCH(VLOOKUP($A66,main!$A$3:$H$102,8,FALSE),main!$K$18:$O$18,0))))),1,0)</f>
        <v>0</v>
      </c>
      <c r="BB66">
        <f>IF((AND(VLOOKUP(BB$1,main!$A$3:$H$102,5,FALSE)-VLOOKUP($A66,main!$A$3:$H$102,6,FALSE)&gt;=(VLOOKUP(VLOOKUP(BB$1,main!$A$3:$H$102,8,FALSE),main!$K$26:$M$29,2,FALSE)+VLOOKUP(VLOOKUP(BB$1,main!$A$3:$H$102,7,FALSE),main!$K$19:$O$22,MATCH(VLOOKUP($A66,main!$A$3:$H$102,8,FALSE),main!$K$18:$O$18,0))))),1,0)</f>
        <v>0</v>
      </c>
      <c r="BC66">
        <f>IF((AND(VLOOKUP(BC$1,main!$A$3:$H$102,5,FALSE)-VLOOKUP($A66,main!$A$3:$H$102,6,FALSE)&gt;=(VLOOKUP(VLOOKUP(BC$1,main!$A$3:$H$102,8,FALSE),main!$K$26:$M$29,2,FALSE)+VLOOKUP(VLOOKUP(BC$1,main!$A$3:$H$102,7,FALSE),main!$K$19:$O$22,MATCH(VLOOKUP($A66,main!$A$3:$H$102,8,FALSE),main!$K$18:$O$18,0))))),1,0)</f>
        <v>0</v>
      </c>
      <c r="BD66">
        <f>IF((AND(VLOOKUP(BD$1,main!$A$3:$H$102,5,FALSE)-VLOOKUP($A66,main!$A$3:$H$102,6,FALSE)&gt;=(VLOOKUP(VLOOKUP(BD$1,main!$A$3:$H$102,8,FALSE),main!$K$26:$M$29,2,FALSE)+VLOOKUP(VLOOKUP(BD$1,main!$A$3:$H$102,7,FALSE),main!$K$19:$O$22,MATCH(VLOOKUP($A66,main!$A$3:$H$102,8,FALSE),main!$K$18:$O$18,0))))),1,0)</f>
        <v>0</v>
      </c>
      <c r="BE66">
        <f>IF((AND(VLOOKUP(BE$1,main!$A$3:$H$102,5,FALSE)-VLOOKUP($A66,main!$A$3:$H$102,6,FALSE)&gt;=(VLOOKUP(VLOOKUP(BE$1,main!$A$3:$H$102,8,FALSE),main!$K$26:$M$29,2,FALSE)+VLOOKUP(VLOOKUP(BE$1,main!$A$3:$H$102,7,FALSE),main!$K$19:$O$22,MATCH(VLOOKUP($A66,main!$A$3:$H$102,8,FALSE),main!$K$18:$O$18,0))))),1,0)</f>
        <v>0</v>
      </c>
      <c r="BF66">
        <f>IF((AND(VLOOKUP(BF$1,main!$A$3:$H$102,5,FALSE)-VLOOKUP($A66,main!$A$3:$H$102,6,FALSE)&gt;=(VLOOKUP(VLOOKUP(BF$1,main!$A$3:$H$102,8,FALSE),main!$K$26:$M$29,2,FALSE)+VLOOKUP(VLOOKUP(BF$1,main!$A$3:$H$102,7,FALSE),main!$K$19:$O$22,MATCH(VLOOKUP($A66,main!$A$3:$H$102,8,FALSE),main!$K$18:$O$18,0))))),1,0)</f>
        <v>0</v>
      </c>
      <c r="BG66">
        <f>IF((AND(VLOOKUP(BG$1,main!$A$3:$H$102,5,FALSE)-VLOOKUP($A66,main!$A$3:$H$102,6,FALSE)&gt;=(VLOOKUP(VLOOKUP(BG$1,main!$A$3:$H$102,8,FALSE),main!$K$26:$M$29,2,FALSE)+VLOOKUP(VLOOKUP(BG$1,main!$A$3:$H$102,7,FALSE),main!$K$19:$O$22,MATCH(VLOOKUP($A66,main!$A$3:$H$102,8,FALSE),main!$K$18:$O$18,0))))),1,0)</f>
        <v>0</v>
      </c>
      <c r="BH66">
        <f>IF((AND(VLOOKUP(BH$1,main!$A$3:$H$102,5,FALSE)-VLOOKUP($A66,main!$A$3:$H$102,6,FALSE)&gt;=(VLOOKUP(VLOOKUP(BH$1,main!$A$3:$H$102,8,FALSE),main!$K$26:$M$29,2,FALSE)+VLOOKUP(VLOOKUP(BH$1,main!$A$3:$H$102,7,FALSE),main!$K$19:$O$22,MATCH(VLOOKUP($A66,main!$A$3:$H$102,8,FALSE),main!$K$18:$O$18,0))))),1,0)</f>
        <v>0</v>
      </c>
      <c r="BI66">
        <f>IF((AND(VLOOKUP(BI$1,main!$A$3:$H$102,5,FALSE)-VLOOKUP($A66,main!$A$3:$H$102,6,FALSE)&gt;=(VLOOKUP(VLOOKUP(BI$1,main!$A$3:$H$102,8,FALSE),main!$K$26:$M$29,2,FALSE)+VLOOKUP(VLOOKUP(BI$1,main!$A$3:$H$102,7,FALSE),main!$K$19:$O$22,MATCH(VLOOKUP($A66,main!$A$3:$H$102,8,FALSE),main!$K$18:$O$18,0))))),1,0)</f>
        <v>1</v>
      </c>
      <c r="BJ66">
        <f>IF((AND(VLOOKUP(BJ$1,main!$A$3:$H$102,5,FALSE)-VLOOKUP($A66,main!$A$3:$H$102,6,FALSE)&gt;=(VLOOKUP(VLOOKUP(BJ$1,main!$A$3:$H$102,8,FALSE),main!$K$26:$M$29,2,FALSE)+VLOOKUP(VLOOKUP(BJ$1,main!$A$3:$H$102,7,FALSE),main!$K$19:$O$22,MATCH(VLOOKUP($A66,main!$A$3:$H$102,8,FALSE),main!$K$18:$O$18,0))))),1,0)</f>
        <v>0</v>
      </c>
      <c r="BK66">
        <f>IF((AND(VLOOKUP(BK$1,main!$A$3:$H$102,5,FALSE)-VLOOKUP($A66,main!$A$3:$H$102,6,FALSE)&gt;=(VLOOKUP(VLOOKUP(BK$1,main!$A$3:$H$102,8,FALSE),main!$K$26:$M$29,2,FALSE)+VLOOKUP(VLOOKUP(BK$1,main!$A$3:$H$102,7,FALSE),main!$K$19:$O$22,MATCH(VLOOKUP($A66,main!$A$3:$H$102,8,FALSE),main!$K$18:$O$18,0))))),1,0)</f>
        <v>0</v>
      </c>
      <c r="BL66">
        <f>IF((AND(VLOOKUP(BL$1,main!$A$3:$H$102,5,FALSE)-VLOOKUP($A66,main!$A$3:$H$102,6,FALSE)&gt;=(VLOOKUP(VLOOKUP(BL$1,main!$A$3:$H$102,8,FALSE),main!$K$26:$M$29,2,FALSE)+VLOOKUP(VLOOKUP(BL$1,main!$A$3:$H$102,7,FALSE),main!$K$19:$O$22,MATCH(VLOOKUP($A66,main!$A$3:$H$102,8,FALSE),main!$K$18:$O$18,0))))),1,0)</f>
        <v>0</v>
      </c>
      <c r="BM66">
        <f>IF((AND(VLOOKUP(BM$1,main!$A$3:$H$102,5,FALSE)-VLOOKUP($A66,main!$A$3:$H$102,6,FALSE)&gt;=(VLOOKUP(VLOOKUP(BM$1,main!$A$3:$H$102,8,FALSE),main!$K$26:$M$29,2,FALSE)+VLOOKUP(VLOOKUP(BM$1,main!$A$3:$H$102,7,FALSE),main!$K$19:$O$22,MATCH(VLOOKUP($A66,main!$A$3:$H$102,8,FALSE),main!$K$18:$O$18,0))))),1,0)</f>
        <v>0</v>
      </c>
      <c r="BN66">
        <f>IF((AND(VLOOKUP(BN$1,main!$A$3:$H$102,5,FALSE)-VLOOKUP($A66,main!$A$3:$H$102,6,FALSE)&gt;=(VLOOKUP(VLOOKUP(BN$1,main!$A$3:$H$102,8,FALSE),main!$K$26:$M$29,2,FALSE)+VLOOKUP(VLOOKUP(BN$1,main!$A$3:$H$102,7,FALSE),main!$K$19:$O$22,MATCH(VLOOKUP($A66,main!$A$3:$H$102,8,FALSE),main!$K$18:$O$18,0))))),1,0)</f>
        <v>0</v>
      </c>
      <c r="BO66">
        <f>IF((AND(VLOOKUP(BO$1,main!$A$3:$H$102,5,FALSE)-VLOOKUP($A66,main!$A$3:$H$102,6,FALSE)&gt;=(VLOOKUP(VLOOKUP(BO$1,main!$A$3:$H$102,8,FALSE),main!$K$26:$M$29,2,FALSE)+VLOOKUP(VLOOKUP(BO$1,main!$A$3:$H$102,7,FALSE),main!$K$19:$O$22,MATCH(VLOOKUP($A66,main!$A$3:$H$102,8,FALSE),main!$K$18:$O$18,0))))),1,0)</f>
        <v>0</v>
      </c>
      <c r="BP66">
        <f>IF((AND(VLOOKUP(BP$1,main!$A$3:$H$102,5,FALSE)-VLOOKUP($A66,main!$A$3:$H$102,6,FALSE)&gt;=(VLOOKUP(VLOOKUP(BP$1,main!$A$3:$H$102,8,FALSE),main!$K$26:$M$29,2,FALSE)+VLOOKUP(VLOOKUP(BP$1,main!$A$3:$H$102,7,FALSE),main!$K$19:$O$22,MATCH(VLOOKUP($A66,main!$A$3:$H$102,8,FALSE),main!$K$18:$O$18,0))))),1,0)</f>
        <v>0</v>
      </c>
      <c r="BQ66">
        <f>IF((AND(VLOOKUP(BQ$1,main!$A$3:$H$102,5,FALSE)-VLOOKUP($A66,main!$A$3:$H$102,6,FALSE)&gt;=(VLOOKUP(VLOOKUP(BQ$1,main!$A$3:$H$102,8,FALSE),main!$K$26:$M$29,2,FALSE)+VLOOKUP(VLOOKUP(BQ$1,main!$A$3:$H$102,7,FALSE),main!$K$19:$O$22,MATCH(VLOOKUP($A66,main!$A$3:$H$102,8,FALSE),main!$K$18:$O$18,0))))),1,0)</f>
        <v>0</v>
      </c>
      <c r="BR66">
        <f>IF((AND(VLOOKUP(BR$1,main!$A$3:$H$102,5,FALSE)-VLOOKUP($A66,main!$A$3:$H$102,6,FALSE)&gt;=(VLOOKUP(VLOOKUP(BR$1,main!$A$3:$H$102,8,FALSE),main!$K$26:$M$29,2,FALSE)+VLOOKUP(VLOOKUP(BR$1,main!$A$3:$H$102,7,FALSE),main!$K$19:$O$22,MATCH(VLOOKUP($A66,main!$A$3:$H$102,8,FALSE),main!$K$18:$O$18,0))))),1,0)</f>
        <v>0</v>
      </c>
      <c r="BS66">
        <f>IF((AND(VLOOKUP(BS$1,main!$A$3:$H$102,5,FALSE)-VLOOKUP($A66,main!$A$3:$H$102,6,FALSE)&gt;=(VLOOKUP(VLOOKUP(BS$1,main!$A$3:$H$102,8,FALSE),main!$K$26:$M$29,2,FALSE)+VLOOKUP(VLOOKUP(BS$1,main!$A$3:$H$102,7,FALSE),main!$K$19:$O$22,MATCH(VLOOKUP($A66,main!$A$3:$H$102,8,FALSE),main!$K$18:$O$18,0))))),1,0)</f>
        <v>0</v>
      </c>
      <c r="BT66">
        <f>IF((AND(VLOOKUP(BT$1,main!$A$3:$H$102,5,FALSE)-VLOOKUP($A66,main!$A$3:$H$102,6,FALSE)&gt;=(VLOOKUP(VLOOKUP(BT$1,main!$A$3:$H$102,8,FALSE),main!$K$26:$M$29,2,FALSE)+VLOOKUP(VLOOKUP(BT$1,main!$A$3:$H$102,7,FALSE),main!$K$19:$O$22,MATCH(VLOOKUP($A66,main!$A$3:$H$102,8,FALSE),main!$K$18:$O$18,0))))),1,0)</f>
        <v>0</v>
      </c>
      <c r="BU66">
        <f>IF((AND(VLOOKUP(BU$1,main!$A$3:$H$102,5,FALSE)-VLOOKUP($A66,main!$A$3:$H$102,6,FALSE)&gt;=(VLOOKUP(VLOOKUP(BU$1,main!$A$3:$H$102,8,FALSE),main!$K$26:$M$29,2,FALSE)+VLOOKUP(VLOOKUP(BU$1,main!$A$3:$H$102,7,FALSE),main!$K$19:$O$22,MATCH(VLOOKUP($A66,main!$A$3:$H$102,8,FALSE),main!$K$18:$O$18,0))))),1,0)</f>
        <v>0</v>
      </c>
      <c r="BV66">
        <f>IF((AND(VLOOKUP(BV$1,main!$A$3:$H$102,5,FALSE)-VLOOKUP($A66,main!$A$3:$H$102,6,FALSE)&gt;=(VLOOKUP(VLOOKUP(BV$1,main!$A$3:$H$102,8,FALSE),main!$K$26:$M$29,2,FALSE)+VLOOKUP(VLOOKUP(BV$1,main!$A$3:$H$102,7,FALSE),main!$K$19:$O$22,MATCH(VLOOKUP($A66,main!$A$3:$H$102,8,FALSE),main!$K$18:$O$18,0))))),1,0)</f>
        <v>0</v>
      </c>
      <c r="BW66">
        <f>IF((AND(VLOOKUP(BW$1,main!$A$3:$H$102,5,FALSE)-VLOOKUP($A66,main!$A$3:$H$102,6,FALSE)&gt;=(VLOOKUP(VLOOKUP(BW$1,main!$A$3:$H$102,8,FALSE),main!$K$26:$M$29,2,FALSE)+VLOOKUP(VLOOKUP(BW$1,main!$A$3:$H$102,7,FALSE),main!$K$19:$O$22,MATCH(VLOOKUP($A66,main!$A$3:$H$102,8,FALSE),main!$K$18:$O$18,0))))),1,0)</f>
        <v>0</v>
      </c>
      <c r="BX66">
        <f>IF((AND(VLOOKUP(BX$1,main!$A$3:$H$102,5,FALSE)-VLOOKUP($A66,main!$A$3:$H$102,6,FALSE)&gt;=(VLOOKUP(VLOOKUP(BX$1,main!$A$3:$H$102,8,FALSE),main!$K$26:$M$29,2,FALSE)+VLOOKUP(VLOOKUP(BX$1,main!$A$3:$H$102,7,FALSE),main!$K$19:$O$22,MATCH(VLOOKUP($A66,main!$A$3:$H$102,8,FALSE),main!$K$18:$O$18,0))))),1,0)</f>
        <v>0</v>
      </c>
      <c r="BY66">
        <f>IF((AND(VLOOKUP(BY$1,main!$A$3:$H$102,5,FALSE)-VLOOKUP($A66,main!$A$3:$H$102,6,FALSE)&gt;=(VLOOKUP(VLOOKUP(BY$1,main!$A$3:$H$102,8,FALSE),main!$K$26:$M$29,2,FALSE)+VLOOKUP(VLOOKUP(BY$1,main!$A$3:$H$102,7,FALSE),main!$K$19:$O$22,MATCH(VLOOKUP($A66,main!$A$3:$H$102,8,FALSE),main!$K$18:$O$18,0))))),1,0)</f>
        <v>0</v>
      </c>
      <c r="BZ66">
        <f>IF((AND(VLOOKUP(BZ$1,main!$A$3:$H$102,5,FALSE)-VLOOKUP($A66,main!$A$3:$H$102,6,FALSE)&gt;=(VLOOKUP(VLOOKUP(BZ$1,main!$A$3:$H$102,8,FALSE),main!$K$26:$M$29,2,FALSE)+VLOOKUP(VLOOKUP(BZ$1,main!$A$3:$H$102,7,FALSE),main!$K$19:$O$22,MATCH(VLOOKUP($A66,main!$A$3:$H$102,8,FALSE),main!$K$18:$O$18,0))))),1,0)</f>
        <v>0</v>
      </c>
      <c r="CA66">
        <f>IF((AND(VLOOKUP(CA$1,main!$A$3:$H$102,5,FALSE)-VLOOKUP($A66,main!$A$3:$H$102,6,FALSE)&gt;=(VLOOKUP(VLOOKUP(CA$1,main!$A$3:$H$102,8,FALSE),main!$K$26:$M$29,2,FALSE)+VLOOKUP(VLOOKUP(CA$1,main!$A$3:$H$102,7,FALSE),main!$K$19:$O$22,MATCH(VLOOKUP($A66,main!$A$3:$H$102,8,FALSE),main!$K$18:$O$18,0))))),1,0)</f>
        <v>0</v>
      </c>
      <c r="CB66">
        <f>IF((AND(VLOOKUP(CB$1,main!$A$3:$H$102,5,FALSE)-VLOOKUP($A66,main!$A$3:$H$102,6,FALSE)&gt;=(VLOOKUP(VLOOKUP(CB$1,main!$A$3:$H$102,8,FALSE),main!$K$26:$M$29,2,FALSE)+VLOOKUP(VLOOKUP(CB$1,main!$A$3:$H$102,7,FALSE),main!$K$19:$O$22,MATCH(VLOOKUP($A66,main!$A$3:$H$102,8,FALSE),main!$K$18:$O$18,0))))),1,0)</f>
        <v>0</v>
      </c>
      <c r="CC66">
        <f>IF((AND(VLOOKUP(CC$1,main!$A$3:$H$102,5,FALSE)-VLOOKUP($A66,main!$A$3:$H$102,6,FALSE)&gt;=(VLOOKUP(VLOOKUP(CC$1,main!$A$3:$H$102,8,FALSE),main!$K$26:$M$29,2,FALSE)+VLOOKUP(VLOOKUP(CC$1,main!$A$3:$H$102,7,FALSE),main!$K$19:$O$22,MATCH(VLOOKUP($A66,main!$A$3:$H$102,8,FALSE),main!$K$18:$O$18,0))))),1,0)</f>
        <v>1</v>
      </c>
      <c r="CD66">
        <f>IF((AND(VLOOKUP(CD$1,main!$A$3:$H$102,5,FALSE)-VLOOKUP($A66,main!$A$3:$H$102,6,FALSE)&gt;=(VLOOKUP(VLOOKUP(CD$1,main!$A$3:$H$102,8,FALSE),main!$K$26:$M$29,2,FALSE)+VLOOKUP(VLOOKUP(CD$1,main!$A$3:$H$102,7,FALSE),main!$K$19:$O$22,MATCH(VLOOKUP($A66,main!$A$3:$H$102,8,FALSE),main!$K$18:$O$18,0))))),1,0)</f>
        <v>0</v>
      </c>
      <c r="CE66">
        <f>IF((AND(VLOOKUP(CE$1,main!$A$3:$H$102,5,FALSE)-VLOOKUP($A66,main!$A$3:$H$102,6,FALSE)&gt;=(VLOOKUP(VLOOKUP(CE$1,main!$A$3:$H$102,8,FALSE),main!$K$26:$M$29,2,FALSE)+VLOOKUP(VLOOKUP(CE$1,main!$A$3:$H$102,7,FALSE),main!$K$19:$O$22,MATCH(VLOOKUP($A66,main!$A$3:$H$102,8,FALSE),main!$K$18:$O$18,0))))),1,0)</f>
        <v>0</v>
      </c>
      <c r="CF66">
        <f>IF((AND(VLOOKUP(CF$1,main!$A$3:$H$102,5,FALSE)-VLOOKUP($A66,main!$A$3:$H$102,6,FALSE)&gt;=(VLOOKUP(VLOOKUP(CF$1,main!$A$3:$H$102,8,FALSE),main!$K$26:$M$29,2,FALSE)+VLOOKUP(VLOOKUP(CF$1,main!$A$3:$H$102,7,FALSE),main!$K$19:$O$22,MATCH(VLOOKUP($A66,main!$A$3:$H$102,8,FALSE),main!$K$18:$O$18,0))))),1,0)</f>
        <v>0</v>
      </c>
      <c r="CG66">
        <f>IF((AND(VLOOKUP(CG$1,main!$A$3:$H$102,5,FALSE)-VLOOKUP($A66,main!$A$3:$H$102,6,FALSE)&gt;=(VLOOKUP(VLOOKUP(CG$1,main!$A$3:$H$102,8,FALSE),main!$K$26:$M$29,2,FALSE)+VLOOKUP(VLOOKUP(CG$1,main!$A$3:$H$102,7,FALSE),main!$K$19:$O$22,MATCH(VLOOKUP($A66,main!$A$3:$H$102,8,FALSE),main!$K$18:$O$18,0))))),1,0)</f>
        <v>0</v>
      </c>
      <c r="CH66">
        <f>IF((AND(VLOOKUP(CH$1,main!$A$3:$H$102,5,FALSE)-VLOOKUP($A66,main!$A$3:$H$102,6,FALSE)&gt;=(VLOOKUP(VLOOKUP(CH$1,main!$A$3:$H$102,8,FALSE),main!$K$26:$M$29,2,FALSE)+VLOOKUP(VLOOKUP(CH$1,main!$A$3:$H$102,7,FALSE),main!$K$19:$O$22,MATCH(VLOOKUP($A66,main!$A$3:$H$102,8,FALSE),main!$K$18:$O$18,0))))),1,0)</f>
        <v>0</v>
      </c>
      <c r="CI66">
        <f>IF((AND(VLOOKUP(CI$1,main!$A$3:$H$102,5,FALSE)-VLOOKUP($A66,main!$A$3:$H$102,6,FALSE)&gt;=(VLOOKUP(VLOOKUP(CI$1,main!$A$3:$H$102,8,FALSE),main!$K$26:$M$29,2,FALSE)+VLOOKUP(VLOOKUP(CI$1,main!$A$3:$H$102,7,FALSE),main!$K$19:$O$22,MATCH(VLOOKUP($A66,main!$A$3:$H$102,8,FALSE),main!$K$18:$O$18,0))))),1,0)</f>
        <v>1</v>
      </c>
      <c r="CJ66">
        <f>IF((AND(VLOOKUP(CJ$1,main!$A$3:$H$102,5,FALSE)-VLOOKUP($A66,main!$A$3:$H$102,6,FALSE)&gt;=(VLOOKUP(VLOOKUP(CJ$1,main!$A$3:$H$102,8,FALSE),main!$K$26:$M$29,2,FALSE)+VLOOKUP(VLOOKUP(CJ$1,main!$A$3:$H$102,7,FALSE),main!$K$19:$O$22,MATCH(VLOOKUP($A66,main!$A$3:$H$102,8,FALSE),main!$K$18:$O$18,0))))),1,0)</f>
        <v>0</v>
      </c>
      <c r="CK66">
        <f>IF((AND(VLOOKUP(CK$1,main!$A$3:$H$102,5,FALSE)-VLOOKUP($A66,main!$A$3:$H$102,6,FALSE)&gt;=(VLOOKUP(VLOOKUP(CK$1,main!$A$3:$H$102,8,FALSE),main!$K$26:$M$29,2,FALSE)+VLOOKUP(VLOOKUP(CK$1,main!$A$3:$H$102,7,FALSE),main!$K$19:$O$22,MATCH(VLOOKUP($A66,main!$A$3:$H$102,8,FALSE),main!$K$18:$O$18,0))))),1,0)</f>
        <v>0</v>
      </c>
      <c r="CL66">
        <f>IF((AND(VLOOKUP(CL$1,main!$A$3:$H$102,5,FALSE)-VLOOKUP($A66,main!$A$3:$H$102,6,FALSE)&gt;=(VLOOKUP(VLOOKUP(CL$1,main!$A$3:$H$102,8,FALSE),main!$K$26:$M$29,2,FALSE)+VLOOKUP(VLOOKUP(CL$1,main!$A$3:$H$102,7,FALSE),main!$K$19:$O$22,MATCH(VLOOKUP($A66,main!$A$3:$H$102,8,FALSE),main!$K$18:$O$18,0))))),1,0)</f>
        <v>0</v>
      </c>
      <c r="CM66">
        <f>IF((AND(VLOOKUP(CM$1,main!$A$3:$H$102,5,FALSE)-VLOOKUP($A66,main!$A$3:$H$102,6,FALSE)&gt;=(VLOOKUP(VLOOKUP(CM$1,main!$A$3:$H$102,8,FALSE),main!$K$26:$M$29,2,FALSE)+VLOOKUP(VLOOKUP(CM$1,main!$A$3:$H$102,7,FALSE),main!$K$19:$O$22,MATCH(VLOOKUP($A66,main!$A$3:$H$102,8,FALSE),main!$K$18:$O$18,0))))),1,0)</f>
        <v>0</v>
      </c>
      <c r="CN66">
        <f>IF((AND(VLOOKUP(CN$1,main!$A$3:$H$102,5,FALSE)-VLOOKUP($A66,main!$A$3:$H$102,6,FALSE)&gt;=(VLOOKUP(VLOOKUP(CN$1,main!$A$3:$H$102,8,FALSE),main!$K$26:$M$29,2,FALSE)+VLOOKUP(VLOOKUP(CN$1,main!$A$3:$H$102,7,FALSE),main!$K$19:$O$22,MATCH(VLOOKUP($A66,main!$A$3:$H$102,8,FALSE),main!$K$18:$O$18,0))))),1,0)</f>
        <v>1</v>
      </c>
      <c r="CO66">
        <f>IF((AND(VLOOKUP(CO$1,main!$A$3:$H$102,5,FALSE)-VLOOKUP($A66,main!$A$3:$H$102,6,FALSE)&gt;=(VLOOKUP(VLOOKUP(CO$1,main!$A$3:$H$102,8,FALSE),main!$K$26:$M$29,2,FALSE)+VLOOKUP(VLOOKUP(CO$1,main!$A$3:$H$102,7,FALSE),main!$K$19:$O$22,MATCH(VLOOKUP($A66,main!$A$3:$H$102,8,FALSE),main!$K$18:$O$18,0))))),1,0)</f>
        <v>0</v>
      </c>
      <c r="CP66">
        <f>IF((AND(VLOOKUP(CP$1,main!$A$3:$H$102,5,FALSE)-VLOOKUP($A66,main!$A$3:$H$102,6,FALSE)&gt;=(VLOOKUP(VLOOKUP(CP$1,main!$A$3:$H$102,8,FALSE),main!$K$26:$M$29,2,FALSE)+VLOOKUP(VLOOKUP(CP$1,main!$A$3:$H$102,7,FALSE),main!$K$19:$O$22,MATCH(VLOOKUP($A66,main!$A$3:$H$102,8,FALSE),main!$K$18:$O$18,0))))),1,0)</f>
        <v>0</v>
      </c>
      <c r="CQ66">
        <f>IF((AND(VLOOKUP(CQ$1,main!$A$3:$H$102,5,FALSE)-VLOOKUP($A66,main!$A$3:$H$102,6,FALSE)&gt;=(VLOOKUP(VLOOKUP(CQ$1,main!$A$3:$H$102,8,FALSE),main!$K$26:$M$29,2,FALSE)+VLOOKUP(VLOOKUP(CQ$1,main!$A$3:$H$102,7,FALSE),main!$K$19:$O$22,MATCH(VLOOKUP($A66,main!$A$3:$H$102,8,FALSE),main!$K$18:$O$18,0))))),1,0)</f>
        <v>0</v>
      </c>
      <c r="CR66">
        <f>IF((AND(VLOOKUP(CR$1,main!$A$3:$H$102,5,FALSE)-VLOOKUP($A66,main!$A$3:$H$102,6,FALSE)&gt;=(VLOOKUP(VLOOKUP(CR$1,main!$A$3:$H$102,8,FALSE),main!$K$26:$M$29,2,FALSE)+VLOOKUP(VLOOKUP(CR$1,main!$A$3:$H$102,7,FALSE),main!$K$19:$O$22,MATCH(VLOOKUP($A66,main!$A$3:$H$102,8,FALSE),main!$K$18:$O$18,0))))),1,0)</f>
        <v>0</v>
      </c>
      <c r="CS66">
        <f>IF((AND(VLOOKUP(CS$1,main!$A$3:$H$102,5,FALSE)-VLOOKUP($A66,main!$A$3:$H$102,6,FALSE)&gt;=(VLOOKUP(VLOOKUP(CS$1,main!$A$3:$H$102,8,FALSE),main!$K$26:$M$29,2,FALSE)+VLOOKUP(VLOOKUP(CS$1,main!$A$3:$H$102,7,FALSE),main!$K$19:$O$22,MATCH(VLOOKUP($A66,main!$A$3:$H$102,8,FALSE),main!$K$18:$O$18,0))))),1,0)</f>
        <v>0</v>
      </c>
      <c r="CT66">
        <f>IF((AND(VLOOKUP(CT$1,main!$A$3:$H$102,5,FALSE)-VLOOKUP($A66,main!$A$3:$H$102,6,FALSE)&gt;=(VLOOKUP(VLOOKUP(CT$1,main!$A$3:$H$102,8,FALSE),main!$K$26:$M$29,2,FALSE)+VLOOKUP(VLOOKUP(CT$1,main!$A$3:$H$102,7,FALSE),main!$K$19:$O$22,MATCH(VLOOKUP($A66,main!$A$3:$H$102,8,FALSE),main!$K$18:$O$18,0))))),1,0)</f>
        <v>0</v>
      </c>
      <c r="CU66">
        <f>IF((AND(VLOOKUP(CU$1,main!$A$3:$H$102,5,FALSE)-VLOOKUP($A66,main!$A$3:$H$102,6,FALSE)&gt;=(VLOOKUP(VLOOKUP(CU$1,main!$A$3:$H$102,8,FALSE),main!$K$26:$M$29,2,FALSE)+VLOOKUP(VLOOKUP(CU$1,main!$A$3:$H$102,7,FALSE),main!$K$19:$O$22,MATCH(VLOOKUP($A66,main!$A$3:$H$102,8,FALSE),main!$K$18:$O$18,0))))),1,0)</f>
        <v>0</v>
      </c>
      <c r="CV66">
        <f>IF((AND(VLOOKUP(CV$1,main!$A$3:$H$102,5,FALSE)-VLOOKUP($A66,main!$A$3:$H$102,6,FALSE)&gt;=(VLOOKUP(VLOOKUP(CV$1,main!$A$3:$H$102,8,FALSE),main!$K$26:$M$29,2,FALSE)+VLOOKUP(VLOOKUP(CV$1,main!$A$3:$H$102,7,FALSE),main!$K$19:$O$22,MATCH(VLOOKUP($A66,main!$A$3:$H$102,8,FALSE),main!$K$18:$O$18,0))))),1,0)</f>
        <v>0</v>
      </c>
      <c r="CW66">
        <f>IF((AND(VLOOKUP(CW$1,main!$A$3:$H$102,5,FALSE)-VLOOKUP($A66,main!$A$3:$H$102,6,FALSE)&gt;=(VLOOKUP(VLOOKUP(CW$1,main!$A$3:$H$102,8,FALSE),main!$K$26:$M$29,2,FALSE)+VLOOKUP(VLOOKUP(CW$1,main!$A$3:$H$102,7,FALSE),main!$K$19:$O$22,MATCH(VLOOKUP($A66,main!$A$3:$H$102,8,FALSE),main!$K$18:$O$18,0))))),1,0)</f>
        <v>0</v>
      </c>
      <c r="CX66">
        <f>IF((AND(VLOOKUP(CX$1,main!$A$3:$H$102,5,FALSE)-VLOOKUP($A66,main!$A$3:$H$102,6,FALSE)&gt;=(VLOOKUP(VLOOKUP(CX$1,main!$A$3:$H$102,8,FALSE),main!$K$26:$M$29,2,FALSE)+VLOOKUP(VLOOKUP(CX$1,main!$A$3:$H$102,7,FALSE),main!$K$19:$O$22,MATCH(VLOOKUP($A66,main!$A$3:$H$102,8,FALSE),main!$K$18:$O$18,0))))),1,0)</f>
        <v>0</v>
      </c>
    </row>
    <row r="67" spans="1:102" x14ac:dyDescent="0.25">
      <c r="A67" s="1">
        <v>65</v>
      </c>
      <c r="B67">
        <v>1</v>
      </c>
      <c r="C67">
        <f>IF((AND(VLOOKUP(C$1,main!$A$3:$H$102,5,FALSE)-VLOOKUP($A67,main!$A$3:$H$102,6,FALSE)&gt;=(VLOOKUP(VLOOKUP(C$1,main!$A$3:$H$102,8,FALSE),main!$K$26:$M$29,2,FALSE)+VLOOKUP(VLOOKUP(C$1,main!$A$3:$H$102,7,FALSE),main!$K$19:$O$22,MATCH(VLOOKUP($A67,main!$A$3:$H$102,8,FALSE),main!$K$18:$O$18,0))))),1,0)</f>
        <v>0</v>
      </c>
      <c r="D67">
        <f>IF((AND(VLOOKUP(D$1,main!$A$3:$H$102,5,FALSE)-VLOOKUP($A67,main!$A$3:$H$102,6,FALSE)&gt;=(VLOOKUP(VLOOKUP(D$1,main!$A$3:$H$102,8,FALSE),main!$K$26:$M$29,2,FALSE)+VLOOKUP(VLOOKUP(D$1,main!$A$3:$H$102,7,FALSE),main!$K$19:$O$22,MATCH(VLOOKUP($A67,main!$A$3:$H$102,8,FALSE),main!$K$18:$O$18,0))))),1,0)</f>
        <v>1</v>
      </c>
      <c r="E67">
        <f>IF((AND(VLOOKUP(E$1,main!$A$3:$H$102,5,FALSE)-VLOOKUP($A67,main!$A$3:$H$102,6,FALSE)&gt;=(VLOOKUP(VLOOKUP(E$1,main!$A$3:$H$102,8,FALSE),main!$K$26:$M$29,2,FALSE)+VLOOKUP(VLOOKUP(E$1,main!$A$3:$H$102,7,FALSE),main!$K$19:$O$22,MATCH(VLOOKUP($A67,main!$A$3:$H$102,8,FALSE),main!$K$18:$O$18,0))))),1,0)</f>
        <v>1</v>
      </c>
      <c r="F67">
        <f>IF((AND(VLOOKUP(F$1,main!$A$3:$H$102,5,FALSE)-VLOOKUP($A67,main!$A$3:$H$102,6,FALSE)&gt;=(VLOOKUP(VLOOKUP(F$1,main!$A$3:$H$102,8,FALSE),main!$K$26:$M$29,2,FALSE)+VLOOKUP(VLOOKUP(F$1,main!$A$3:$H$102,7,FALSE),main!$K$19:$O$22,MATCH(VLOOKUP($A67,main!$A$3:$H$102,8,FALSE),main!$K$18:$O$18,0))))),1,0)</f>
        <v>1</v>
      </c>
      <c r="G67">
        <f>IF((AND(VLOOKUP(G$1,main!$A$3:$H$102,5,FALSE)-VLOOKUP($A67,main!$A$3:$H$102,6,FALSE)&gt;=(VLOOKUP(VLOOKUP(G$1,main!$A$3:$H$102,8,FALSE),main!$K$26:$M$29,2,FALSE)+VLOOKUP(VLOOKUP(G$1,main!$A$3:$H$102,7,FALSE),main!$K$19:$O$22,MATCH(VLOOKUP($A67,main!$A$3:$H$102,8,FALSE),main!$K$18:$O$18,0))))),1,0)</f>
        <v>1</v>
      </c>
      <c r="H67">
        <f>IF((AND(VLOOKUP(H$1,main!$A$3:$H$102,5,FALSE)-VLOOKUP($A67,main!$A$3:$H$102,6,FALSE)&gt;=(VLOOKUP(VLOOKUP(H$1,main!$A$3:$H$102,8,FALSE),main!$K$26:$M$29,2,FALSE)+VLOOKUP(VLOOKUP(H$1,main!$A$3:$H$102,7,FALSE),main!$K$19:$O$22,MATCH(VLOOKUP($A67,main!$A$3:$H$102,8,FALSE),main!$K$18:$O$18,0))))),1,0)</f>
        <v>1</v>
      </c>
      <c r="I67">
        <f>IF((AND(VLOOKUP(I$1,main!$A$3:$H$102,5,FALSE)-VLOOKUP($A67,main!$A$3:$H$102,6,FALSE)&gt;=(VLOOKUP(VLOOKUP(I$1,main!$A$3:$H$102,8,FALSE),main!$K$26:$M$29,2,FALSE)+VLOOKUP(VLOOKUP(I$1,main!$A$3:$H$102,7,FALSE),main!$K$19:$O$22,MATCH(VLOOKUP($A67,main!$A$3:$H$102,8,FALSE),main!$K$18:$O$18,0))))),1,0)</f>
        <v>1</v>
      </c>
      <c r="J67">
        <f>IF((AND(VLOOKUP(J$1,main!$A$3:$H$102,5,FALSE)-VLOOKUP($A67,main!$A$3:$H$102,6,FALSE)&gt;=(VLOOKUP(VLOOKUP(J$1,main!$A$3:$H$102,8,FALSE),main!$K$26:$M$29,2,FALSE)+VLOOKUP(VLOOKUP(J$1,main!$A$3:$H$102,7,FALSE),main!$K$19:$O$22,MATCH(VLOOKUP($A67,main!$A$3:$H$102,8,FALSE),main!$K$18:$O$18,0))))),1,0)</f>
        <v>1</v>
      </c>
      <c r="K67">
        <f>IF((AND(VLOOKUP(K$1,main!$A$3:$H$102,5,FALSE)-VLOOKUP($A67,main!$A$3:$H$102,6,FALSE)&gt;=(VLOOKUP(VLOOKUP(K$1,main!$A$3:$H$102,8,FALSE),main!$K$26:$M$29,2,FALSE)+VLOOKUP(VLOOKUP(K$1,main!$A$3:$H$102,7,FALSE),main!$K$19:$O$22,MATCH(VLOOKUP($A67,main!$A$3:$H$102,8,FALSE),main!$K$18:$O$18,0))))),1,0)</f>
        <v>1</v>
      </c>
      <c r="L67">
        <f>IF((AND(VLOOKUP(L$1,main!$A$3:$H$102,5,FALSE)-VLOOKUP($A67,main!$A$3:$H$102,6,FALSE)&gt;=(VLOOKUP(VLOOKUP(L$1,main!$A$3:$H$102,8,FALSE),main!$K$26:$M$29,2,FALSE)+VLOOKUP(VLOOKUP(L$1,main!$A$3:$H$102,7,FALSE),main!$K$19:$O$22,MATCH(VLOOKUP($A67,main!$A$3:$H$102,8,FALSE),main!$K$18:$O$18,0))))),1,0)</f>
        <v>1</v>
      </c>
      <c r="M67">
        <f>IF((AND(VLOOKUP(M$1,main!$A$3:$H$102,5,FALSE)-VLOOKUP($A67,main!$A$3:$H$102,6,FALSE)&gt;=(VLOOKUP(VLOOKUP(M$1,main!$A$3:$H$102,8,FALSE),main!$K$26:$M$29,2,FALSE)+VLOOKUP(VLOOKUP(M$1,main!$A$3:$H$102,7,FALSE),main!$K$19:$O$22,MATCH(VLOOKUP($A67,main!$A$3:$H$102,8,FALSE),main!$K$18:$O$18,0))))),1,0)</f>
        <v>0</v>
      </c>
      <c r="N67">
        <f>IF((AND(VLOOKUP(N$1,main!$A$3:$H$102,5,FALSE)-VLOOKUP($A67,main!$A$3:$H$102,6,FALSE)&gt;=(VLOOKUP(VLOOKUP(N$1,main!$A$3:$H$102,8,FALSE),main!$K$26:$M$29,2,FALSE)+VLOOKUP(VLOOKUP(N$1,main!$A$3:$H$102,7,FALSE),main!$K$19:$O$22,MATCH(VLOOKUP($A67,main!$A$3:$H$102,8,FALSE),main!$K$18:$O$18,0))))),1,0)</f>
        <v>1</v>
      </c>
      <c r="O67">
        <f>IF((AND(VLOOKUP(O$1,main!$A$3:$H$102,5,FALSE)-VLOOKUP($A67,main!$A$3:$H$102,6,FALSE)&gt;=(VLOOKUP(VLOOKUP(O$1,main!$A$3:$H$102,8,FALSE),main!$K$26:$M$29,2,FALSE)+VLOOKUP(VLOOKUP(O$1,main!$A$3:$H$102,7,FALSE),main!$K$19:$O$22,MATCH(VLOOKUP($A67,main!$A$3:$H$102,8,FALSE),main!$K$18:$O$18,0))))),1,0)</f>
        <v>1</v>
      </c>
      <c r="P67">
        <f>IF((AND(VLOOKUP(P$1,main!$A$3:$H$102,5,FALSE)-VLOOKUP($A67,main!$A$3:$H$102,6,FALSE)&gt;=(VLOOKUP(VLOOKUP(P$1,main!$A$3:$H$102,8,FALSE),main!$K$26:$M$29,2,FALSE)+VLOOKUP(VLOOKUP(P$1,main!$A$3:$H$102,7,FALSE),main!$K$19:$O$22,MATCH(VLOOKUP($A67,main!$A$3:$H$102,8,FALSE),main!$K$18:$O$18,0))))),1,0)</f>
        <v>1</v>
      </c>
      <c r="Q67">
        <f>IF((AND(VLOOKUP(Q$1,main!$A$3:$H$102,5,FALSE)-VLOOKUP($A67,main!$A$3:$H$102,6,FALSE)&gt;=(VLOOKUP(VLOOKUP(Q$1,main!$A$3:$H$102,8,FALSE),main!$K$26:$M$29,2,FALSE)+VLOOKUP(VLOOKUP(Q$1,main!$A$3:$H$102,7,FALSE),main!$K$19:$O$22,MATCH(VLOOKUP($A67,main!$A$3:$H$102,8,FALSE),main!$K$18:$O$18,0))))),1,0)</f>
        <v>1</v>
      </c>
      <c r="R67">
        <f>IF((AND(VLOOKUP(R$1,main!$A$3:$H$102,5,FALSE)-VLOOKUP($A67,main!$A$3:$H$102,6,FALSE)&gt;=(VLOOKUP(VLOOKUP(R$1,main!$A$3:$H$102,8,FALSE),main!$K$26:$M$29,2,FALSE)+VLOOKUP(VLOOKUP(R$1,main!$A$3:$H$102,7,FALSE),main!$K$19:$O$22,MATCH(VLOOKUP($A67,main!$A$3:$H$102,8,FALSE),main!$K$18:$O$18,0))))),1,0)</f>
        <v>1</v>
      </c>
      <c r="S67">
        <f>IF((AND(VLOOKUP(S$1,main!$A$3:$H$102,5,FALSE)-VLOOKUP($A67,main!$A$3:$H$102,6,FALSE)&gt;=(VLOOKUP(VLOOKUP(S$1,main!$A$3:$H$102,8,FALSE),main!$K$26:$M$29,2,FALSE)+VLOOKUP(VLOOKUP(S$1,main!$A$3:$H$102,7,FALSE),main!$K$19:$O$22,MATCH(VLOOKUP($A67,main!$A$3:$H$102,8,FALSE),main!$K$18:$O$18,0))))),1,0)</f>
        <v>1</v>
      </c>
      <c r="T67">
        <f>IF((AND(VLOOKUP(T$1,main!$A$3:$H$102,5,FALSE)-VLOOKUP($A67,main!$A$3:$H$102,6,FALSE)&gt;=(VLOOKUP(VLOOKUP(T$1,main!$A$3:$H$102,8,FALSE),main!$K$26:$M$29,2,FALSE)+VLOOKUP(VLOOKUP(T$1,main!$A$3:$H$102,7,FALSE),main!$K$19:$O$22,MATCH(VLOOKUP($A67,main!$A$3:$H$102,8,FALSE),main!$K$18:$O$18,0))))),1,0)</f>
        <v>1</v>
      </c>
      <c r="U67">
        <f>IF((AND(VLOOKUP(U$1,main!$A$3:$H$102,5,FALSE)-VLOOKUP($A67,main!$A$3:$H$102,6,FALSE)&gt;=(VLOOKUP(VLOOKUP(U$1,main!$A$3:$H$102,8,FALSE),main!$K$26:$M$29,2,FALSE)+VLOOKUP(VLOOKUP(U$1,main!$A$3:$H$102,7,FALSE),main!$K$19:$O$22,MATCH(VLOOKUP($A67,main!$A$3:$H$102,8,FALSE),main!$K$18:$O$18,0))))),1,0)</f>
        <v>1</v>
      </c>
      <c r="V67">
        <f>IF((AND(VLOOKUP(V$1,main!$A$3:$H$102,5,FALSE)-VLOOKUP($A67,main!$A$3:$H$102,6,FALSE)&gt;=(VLOOKUP(VLOOKUP(V$1,main!$A$3:$H$102,8,FALSE),main!$K$26:$M$29,2,FALSE)+VLOOKUP(VLOOKUP(V$1,main!$A$3:$H$102,7,FALSE),main!$K$19:$O$22,MATCH(VLOOKUP($A67,main!$A$3:$H$102,8,FALSE),main!$K$18:$O$18,0))))),1,0)</f>
        <v>1</v>
      </c>
      <c r="W67">
        <f>IF((AND(VLOOKUP(W$1,main!$A$3:$H$102,5,FALSE)-VLOOKUP($A67,main!$A$3:$H$102,6,FALSE)&gt;=(VLOOKUP(VLOOKUP(W$1,main!$A$3:$H$102,8,FALSE),main!$K$26:$M$29,2,FALSE)+VLOOKUP(VLOOKUP(W$1,main!$A$3:$H$102,7,FALSE),main!$K$19:$O$22,MATCH(VLOOKUP($A67,main!$A$3:$H$102,8,FALSE),main!$K$18:$O$18,0))))),1,0)</f>
        <v>1</v>
      </c>
      <c r="X67">
        <f>IF((AND(VLOOKUP(X$1,main!$A$3:$H$102,5,FALSE)-VLOOKUP($A67,main!$A$3:$H$102,6,FALSE)&gt;=(VLOOKUP(VLOOKUP(X$1,main!$A$3:$H$102,8,FALSE),main!$K$26:$M$29,2,FALSE)+VLOOKUP(VLOOKUP(X$1,main!$A$3:$H$102,7,FALSE),main!$K$19:$O$22,MATCH(VLOOKUP($A67,main!$A$3:$H$102,8,FALSE),main!$K$18:$O$18,0))))),1,0)</f>
        <v>1</v>
      </c>
      <c r="Y67">
        <f>IF((AND(VLOOKUP(Y$1,main!$A$3:$H$102,5,FALSE)-VLOOKUP($A67,main!$A$3:$H$102,6,FALSE)&gt;=(VLOOKUP(VLOOKUP(Y$1,main!$A$3:$H$102,8,FALSE),main!$K$26:$M$29,2,FALSE)+VLOOKUP(VLOOKUP(Y$1,main!$A$3:$H$102,7,FALSE),main!$K$19:$O$22,MATCH(VLOOKUP($A67,main!$A$3:$H$102,8,FALSE),main!$K$18:$O$18,0))))),1,0)</f>
        <v>1</v>
      </c>
      <c r="Z67">
        <f>IF((AND(VLOOKUP(Z$1,main!$A$3:$H$102,5,FALSE)-VLOOKUP($A67,main!$A$3:$H$102,6,FALSE)&gt;=(VLOOKUP(VLOOKUP(Z$1,main!$A$3:$H$102,8,FALSE),main!$K$26:$M$29,2,FALSE)+VLOOKUP(VLOOKUP(Z$1,main!$A$3:$H$102,7,FALSE),main!$K$19:$O$22,MATCH(VLOOKUP($A67,main!$A$3:$H$102,8,FALSE),main!$K$18:$O$18,0))))),1,0)</f>
        <v>1</v>
      </c>
      <c r="AA67">
        <f>IF((AND(VLOOKUP(AA$1,main!$A$3:$H$102,5,FALSE)-VLOOKUP($A67,main!$A$3:$H$102,6,FALSE)&gt;=(VLOOKUP(VLOOKUP(AA$1,main!$A$3:$H$102,8,FALSE),main!$K$26:$M$29,2,FALSE)+VLOOKUP(VLOOKUP(AA$1,main!$A$3:$H$102,7,FALSE),main!$K$19:$O$22,MATCH(VLOOKUP($A67,main!$A$3:$H$102,8,FALSE),main!$K$18:$O$18,0))))),1,0)</f>
        <v>1</v>
      </c>
      <c r="AB67">
        <f>IF((AND(VLOOKUP(AB$1,main!$A$3:$H$102,5,FALSE)-VLOOKUP($A67,main!$A$3:$H$102,6,FALSE)&gt;=(VLOOKUP(VLOOKUP(AB$1,main!$A$3:$H$102,8,FALSE),main!$K$26:$M$29,2,FALSE)+VLOOKUP(VLOOKUP(AB$1,main!$A$3:$H$102,7,FALSE),main!$K$19:$O$22,MATCH(VLOOKUP($A67,main!$A$3:$H$102,8,FALSE),main!$K$18:$O$18,0))))),1,0)</f>
        <v>0</v>
      </c>
      <c r="AC67">
        <f>IF((AND(VLOOKUP(AC$1,main!$A$3:$H$102,5,FALSE)-VLOOKUP($A67,main!$A$3:$H$102,6,FALSE)&gt;=(VLOOKUP(VLOOKUP(AC$1,main!$A$3:$H$102,8,FALSE),main!$K$26:$M$29,2,FALSE)+VLOOKUP(VLOOKUP(AC$1,main!$A$3:$H$102,7,FALSE),main!$K$19:$O$22,MATCH(VLOOKUP($A67,main!$A$3:$H$102,8,FALSE),main!$K$18:$O$18,0))))),1,0)</f>
        <v>0</v>
      </c>
      <c r="AD67">
        <f>IF((AND(VLOOKUP(AD$1,main!$A$3:$H$102,5,FALSE)-VLOOKUP($A67,main!$A$3:$H$102,6,FALSE)&gt;=(VLOOKUP(VLOOKUP(AD$1,main!$A$3:$H$102,8,FALSE),main!$K$26:$M$29,2,FALSE)+VLOOKUP(VLOOKUP(AD$1,main!$A$3:$H$102,7,FALSE),main!$K$19:$O$22,MATCH(VLOOKUP($A67,main!$A$3:$H$102,8,FALSE),main!$K$18:$O$18,0))))),1,0)</f>
        <v>1</v>
      </c>
      <c r="AE67">
        <f>IF((AND(VLOOKUP(AE$1,main!$A$3:$H$102,5,FALSE)-VLOOKUP($A67,main!$A$3:$H$102,6,FALSE)&gt;=(VLOOKUP(VLOOKUP(AE$1,main!$A$3:$H$102,8,FALSE),main!$K$26:$M$29,2,FALSE)+VLOOKUP(VLOOKUP(AE$1,main!$A$3:$H$102,7,FALSE),main!$K$19:$O$22,MATCH(VLOOKUP($A67,main!$A$3:$H$102,8,FALSE),main!$K$18:$O$18,0))))),1,0)</f>
        <v>1</v>
      </c>
      <c r="AF67">
        <f>IF((AND(VLOOKUP(AF$1,main!$A$3:$H$102,5,FALSE)-VLOOKUP($A67,main!$A$3:$H$102,6,FALSE)&gt;=(VLOOKUP(VLOOKUP(AF$1,main!$A$3:$H$102,8,FALSE),main!$K$26:$M$29,2,FALSE)+VLOOKUP(VLOOKUP(AF$1,main!$A$3:$H$102,7,FALSE),main!$K$19:$O$22,MATCH(VLOOKUP($A67,main!$A$3:$H$102,8,FALSE),main!$K$18:$O$18,0))))),1,0)</f>
        <v>1</v>
      </c>
      <c r="AG67">
        <f>IF((AND(VLOOKUP(AG$1,main!$A$3:$H$102,5,FALSE)-VLOOKUP($A67,main!$A$3:$H$102,6,FALSE)&gt;=(VLOOKUP(VLOOKUP(AG$1,main!$A$3:$H$102,8,FALSE),main!$K$26:$M$29,2,FALSE)+VLOOKUP(VLOOKUP(AG$1,main!$A$3:$H$102,7,FALSE),main!$K$19:$O$22,MATCH(VLOOKUP($A67,main!$A$3:$H$102,8,FALSE),main!$K$18:$O$18,0))))),1,0)</f>
        <v>1</v>
      </c>
      <c r="AH67">
        <f>IF((AND(VLOOKUP(AH$1,main!$A$3:$H$102,5,FALSE)-VLOOKUP($A67,main!$A$3:$H$102,6,FALSE)&gt;=(VLOOKUP(VLOOKUP(AH$1,main!$A$3:$H$102,8,FALSE),main!$K$26:$M$29,2,FALSE)+VLOOKUP(VLOOKUP(AH$1,main!$A$3:$H$102,7,FALSE),main!$K$19:$O$22,MATCH(VLOOKUP($A67,main!$A$3:$H$102,8,FALSE),main!$K$18:$O$18,0))))),1,0)</f>
        <v>1</v>
      </c>
      <c r="AI67">
        <f>IF((AND(VLOOKUP(AI$1,main!$A$3:$H$102,5,FALSE)-VLOOKUP($A67,main!$A$3:$H$102,6,FALSE)&gt;=(VLOOKUP(VLOOKUP(AI$1,main!$A$3:$H$102,8,FALSE),main!$K$26:$M$29,2,FALSE)+VLOOKUP(VLOOKUP(AI$1,main!$A$3:$H$102,7,FALSE),main!$K$19:$O$22,MATCH(VLOOKUP($A67,main!$A$3:$H$102,8,FALSE),main!$K$18:$O$18,0))))),1,0)</f>
        <v>1</v>
      </c>
      <c r="AJ67">
        <f>IF((AND(VLOOKUP(AJ$1,main!$A$3:$H$102,5,FALSE)-VLOOKUP($A67,main!$A$3:$H$102,6,FALSE)&gt;=(VLOOKUP(VLOOKUP(AJ$1,main!$A$3:$H$102,8,FALSE),main!$K$26:$M$29,2,FALSE)+VLOOKUP(VLOOKUP(AJ$1,main!$A$3:$H$102,7,FALSE),main!$K$19:$O$22,MATCH(VLOOKUP($A67,main!$A$3:$H$102,8,FALSE),main!$K$18:$O$18,0))))),1,0)</f>
        <v>1</v>
      </c>
      <c r="AK67">
        <f>IF((AND(VLOOKUP(AK$1,main!$A$3:$H$102,5,FALSE)-VLOOKUP($A67,main!$A$3:$H$102,6,FALSE)&gt;=(VLOOKUP(VLOOKUP(AK$1,main!$A$3:$H$102,8,FALSE),main!$K$26:$M$29,2,FALSE)+VLOOKUP(VLOOKUP(AK$1,main!$A$3:$H$102,7,FALSE),main!$K$19:$O$22,MATCH(VLOOKUP($A67,main!$A$3:$H$102,8,FALSE),main!$K$18:$O$18,0))))),1,0)</f>
        <v>1</v>
      </c>
      <c r="AL67">
        <f>IF((AND(VLOOKUP(AL$1,main!$A$3:$H$102,5,FALSE)-VLOOKUP($A67,main!$A$3:$H$102,6,FALSE)&gt;=(VLOOKUP(VLOOKUP(AL$1,main!$A$3:$H$102,8,FALSE),main!$K$26:$M$29,2,FALSE)+VLOOKUP(VLOOKUP(AL$1,main!$A$3:$H$102,7,FALSE),main!$K$19:$O$22,MATCH(VLOOKUP($A67,main!$A$3:$H$102,8,FALSE),main!$K$18:$O$18,0))))),1,0)</f>
        <v>1</v>
      </c>
      <c r="AM67">
        <f>IF((AND(VLOOKUP(AM$1,main!$A$3:$H$102,5,FALSE)-VLOOKUP($A67,main!$A$3:$H$102,6,FALSE)&gt;=(VLOOKUP(VLOOKUP(AM$1,main!$A$3:$H$102,8,FALSE),main!$K$26:$M$29,2,FALSE)+VLOOKUP(VLOOKUP(AM$1,main!$A$3:$H$102,7,FALSE),main!$K$19:$O$22,MATCH(VLOOKUP($A67,main!$A$3:$H$102,8,FALSE),main!$K$18:$O$18,0))))),1,0)</f>
        <v>1</v>
      </c>
      <c r="AN67">
        <f>IF((AND(VLOOKUP(AN$1,main!$A$3:$H$102,5,FALSE)-VLOOKUP($A67,main!$A$3:$H$102,6,FALSE)&gt;=(VLOOKUP(VLOOKUP(AN$1,main!$A$3:$H$102,8,FALSE),main!$K$26:$M$29,2,FALSE)+VLOOKUP(VLOOKUP(AN$1,main!$A$3:$H$102,7,FALSE),main!$K$19:$O$22,MATCH(VLOOKUP($A67,main!$A$3:$H$102,8,FALSE),main!$K$18:$O$18,0))))),1,0)</f>
        <v>1</v>
      </c>
      <c r="AO67">
        <f>IF((AND(VLOOKUP(AO$1,main!$A$3:$H$102,5,FALSE)-VLOOKUP($A67,main!$A$3:$H$102,6,FALSE)&gt;=(VLOOKUP(VLOOKUP(AO$1,main!$A$3:$H$102,8,FALSE),main!$K$26:$M$29,2,FALSE)+VLOOKUP(VLOOKUP(AO$1,main!$A$3:$H$102,7,FALSE),main!$K$19:$O$22,MATCH(VLOOKUP($A67,main!$A$3:$H$102,8,FALSE),main!$K$18:$O$18,0))))),1,0)</f>
        <v>0</v>
      </c>
      <c r="AP67">
        <f>IF((AND(VLOOKUP(AP$1,main!$A$3:$H$102,5,FALSE)-VLOOKUP($A67,main!$A$3:$H$102,6,FALSE)&gt;=(VLOOKUP(VLOOKUP(AP$1,main!$A$3:$H$102,8,FALSE),main!$K$26:$M$29,2,FALSE)+VLOOKUP(VLOOKUP(AP$1,main!$A$3:$H$102,7,FALSE),main!$K$19:$O$22,MATCH(VLOOKUP($A67,main!$A$3:$H$102,8,FALSE),main!$K$18:$O$18,0))))),1,0)</f>
        <v>1</v>
      </c>
      <c r="AQ67">
        <f>IF((AND(VLOOKUP(AQ$1,main!$A$3:$H$102,5,FALSE)-VLOOKUP($A67,main!$A$3:$H$102,6,FALSE)&gt;=(VLOOKUP(VLOOKUP(AQ$1,main!$A$3:$H$102,8,FALSE),main!$K$26:$M$29,2,FALSE)+VLOOKUP(VLOOKUP(AQ$1,main!$A$3:$H$102,7,FALSE),main!$K$19:$O$22,MATCH(VLOOKUP($A67,main!$A$3:$H$102,8,FALSE),main!$K$18:$O$18,0))))),1,0)</f>
        <v>0</v>
      </c>
      <c r="AR67">
        <f>IF((AND(VLOOKUP(AR$1,main!$A$3:$H$102,5,FALSE)-VLOOKUP($A67,main!$A$3:$H$102,6,FALSE)&gt;=(VLOOKUP(VLOOKUP(AR$1,main!$A$3:$H$102,8,FALSE),main!$K$26:$M$29,2,FALSE)+VLOOKUP(VLOOKUP(AR$1,main!$A$3:$H$102,7,FALSE),main!$K$19:$O$22,MATCH(VLOOKUP($A67,main!$A$3:$H$102,8,FALSE),main!$K$18:$O$18,0))))),1,0)</f>
        <v>1</v>
      </c>
      <c r="AS67">
        <f>IF((AND(VLOOKUP(AS$1,main!$A$3:$H$102,5,FALSE)-VLOOKUP($A67,main!$A$3:$H$102,6,FALSE)&gt;=(VLOOKUP(VLOOKUP(AS$1,main!$A$3:$H$102,8,FALSE),main!$K$26:$M$29,2,FALSE)+VLOOKUP(VLOOKUP(AS$1,main!$A$3:$H$102,7,FALSE),main!$K$19:$O$22,MATCH(VLOOKUP($A67,main!$A$3:$H$102,8,FALSE),main!$K$18:$O$18,0))))),1,0)</f>
        <v>1</v>
      </c>
      <c r="AT67">
        <f>IF((AND(VLOOKUP(AT$1,main!$A$3:$H$102,5,FALSE)-VLOOKUP($A67,main!$A$3:$H$102,6,FALSE)&gt;=(VLOOKUP(VLOOKUP(AT$1,main!$A$3:$H$102,8,FALSE),main!$K$26:$M$29,2,FALSE)+VLOOKUP(VLOOKUP(AT$1,main!$A$3:$H$102,7,FALSE),main!$K$19:$O$22,MATCH(VLOOKUP($A67,main!$A$3:$H$102,8,FALSE),main!$K$18:$O$18,0))))),1,0)</f>
        <v>1</v>
      </c>
      <c r="AU67">
        <f>IF((AND(VLOOKUP(AU$1,main!$A$3:$H$102,5,FALSE)-VLOOKUP($A67,main!$A$3:$H$102,6,FALSE)&gt;=(VLOOKUP(VLOOKUP(AU$1,main!$A$3:$H$102,8,FALSE),main!$K$26:$M$29,2,FALSE)+VLOOKUP(VLOOKUP(AU$1,main!$A$3:$H$102,7,FALSE),main!$K$19:$O$22,MATCH(VLOOKUP($A67,main!$A$3:$H$102,8,FALSE),main!$K$18:$O$18,0))))),1,0)</f>
        <v>0</v>
      </c>
      <c r="AV67">
        <f>IF((AND(VLOOKUP(AV$1,main!$A$3:$H$102,5,FALSE)-VLOOKUP($A67,main!$A$3:$H$102,6,FALSE)&gt;=(VLOOKUP(VLOOKUP(AV$1,main!$A$3:$H$102,8,FALSE),main!$K$26:$M$29,2,FALSE)+VLOOKUP(VLOOKUP(AV$1,main!$A$3:$H$102,7,FALSE),main!$K$19:$O$22,MATCH(VLOOKUP($A67,main!$A$3:$H$102,8,FALSE),main!$K$18:$O$18,0))))),1,0)</f>
        <v>0</v>
      </c>
      <c r="AW67">
        <f>IF((AND(VLOOKUP(AW$1,main!$A$3:$H$102,5,FALSE)-VLOOKUP($A67,main!$A$3:$H$102,6,FALSE)&gt;=(VLOOKUP(VLOOKUP(AW$1,main!$A$3:$H$102,8,FALSE),main!$K$26:$M$29,2,FALSE)+VLOOKUP(VLOOKUP(AW$1,main!$A$3:$H$102,7,FALSE),main!$K$19:$O$22,MATCH(VLOOKUP($A67,main!$A$3:$H$102,8,FALSE),main!$K$18:$O$18,0))))),1,0)</f>
        <v>1</v>
      </c>
      <c r="AX67">
        <f>IF((AND(VLOOKUP(AX$1,main!$A$3:$H$102,5,FALSE)-VLOOKUP($A67,main!$A$3:$H$102,6,FALSE)&gt;=(VLOOKUP(VLOOKUP(AX$1,main!$A$3:$H$102,8,FALSE),main!$K$26:$M$29,2,FALSE)+VLOOKUP(VLOOKUP(AX$1,main!$A$3:$H$102,7,FALSE),main!$K$19:$O$22,MATCH(VLOOKUP($A67,main!$A$3:$H$102,8,FALSE),main!$K$18:$O$18,0))))),1,0)</f>
        <v>1</v>
      </c>
      <c r="AY67">
        <f>IF((AND(VLOOKUP(AY$1,main!$A$3:$H$102,5,FALSE)-VLOOKUP($A67,main!$A$3:$H$102,6,FALSE)&gt;=(VLOOKUP(VLOOKUP(AY$1,main!$A$3:$H$102,8,FALSE),main!$K$26:$M$29,2,FALSE)+VLOOKUP(VLOOKUP(AY$1,main!$A$3:$H$102,7,FALSE),main!$K$19:$O$22,MATCH(VLOOKUP($A67,main!$A$3:$H$102,8,FALSE),main!$K$18:$O$18,0))))),1,0)</f>
        <v>1</v>
      </c>
      <c r="AZ67">
        <f>IF((AND(VLOOKUP(AZ$1,main!$A$3:$H$102,5,FALSE)-VLOOKUP($A67,main!$A$3:$H$102,6,FALSE)&gt;=(VLOOKUP(VLOOKUP(AZ$1,main!$A$3:$H$102,8,FALSE),main!$K$26:$M$29,2,FALSE)+VLOOKUP(VLOOKUP(AZ$1,main!$A$3:$H$102,7,FALSE),main!$K$19:$O$22,MATCH(VLOOKUP($A67,main!$A$3:$H$102,8,FALSE),main!$K$18:$O$18,0))))),1,0)</f>
        <v>1</v>
      </c>
      <c r="BA67">
        <f>IF((AND(VLOOKUP(BA$1,main!$A$3:$H$102,5,FALSE)-VLOOKUP($A67,main!$A$3:$H$102,6,FALSE)&gt;=(VLOOKUP(VLOOKUP(BA$1,main!$A$3:$H$102,8,FALSE),main!$K$26:$M$29,2,FALSE)+VLOOKUP(VLOOKUP(BA$1,main!$A$3:$H$102,7,FALSE),main!$K$19:$O$22,MATCH(VLOOKUP($A67,main!$A$3:$H$102,8,FALSE),main!$K$18:$O$18,0))))),1,0)</f>
        <v>1</v>
      </c>
      <c r="BB67">
        <f>IF((AND(VLOOKUP(BB$1,main!$A$3:$H$102,5,FALSE)-VLOOKUP($A67,main!$A$3:$H$102,6,FALSE)&gt;=(VLOOKUP(VLOOKUP(BB$1,main!$A$3:$H$102,8,FALSE),main!$K$26:$M$29,2,FALSE)+VLOOKUP(VLOOKUP(BB$1,main!$A$3:$H$102,7,FALSE),main!$K$19:$O$22,MATCH(VLOOKUP($A67,main!$A$3:$H$102,8,FALSE),main!$K$18:$O$18,0))))),1,0)</f>
        <v>1</v>
      </c>
      <c r="BC67">
        <f>IF((AND(VLOOKUP(BC$1,main!$A$3:$H$102,5,FALSE)-VLOOKUP($A67,main!$A$3:$H$102,6,FALSE)&gt;=(VLOOKUP(VLOOKUP(BC$1,main!$A$3:$H$102,8,FALSE),main!$K$26:$M$29,2,FALSE)+VLOOKUP(VLOOKUP(BC$1,main!$A$3:$H$102,7,FALSE),main!$K$19:$O$22,MATCH(VLOOKUP($A67,main!$A$3:$H$102,8,FALSE),main!$K$18:$O$18,0))))),1,0)</f>
        <v>1</v>
      </c>
      <c r="BD67">
        <f>IF((AND(VLOOKUP(BD$1,main!$A$3:$H$102,5,FALSE)-VLOOKUP($A67,main!$A$3:$H$102,6,FALSE)&gt;=(VLOOKUP(VLOOKUP(BD$1,main!$A$3:$H$102,8,FALSE),main!$K$26:$M$29,2,FALSE)+VLOOKUP(VLOOKUP(BD$1,main!$A$3:$H$102,7,FALSE),main!$K$19:$O$22,MATCH(VLOOKUP($A67,main!$A$3:$H$102,8,FALSE),main!$K$18:$O$18,0))))),1,0)</f>
        <v>1</v>
      </c>
      <c r="BE67">
        <f>IF((AND(VLOOKUP(BE$1,main!$A$3:$H$102,5,FALSE)-VLOOKUP($A67,main!$A$3:$H$102,6,FALSE)&gt;=(VLOOKUP(VLOOKUP(BE$1,main!$A$3:$H$102,8,FALSE),main!$K$26:$M$29,2,FALSE)+VLOOKUP(VLOOKUP(BE$1,main!$A$3:$H$102,7,FALSE),main!$K$19:$O$22,MATCH(VLOOKUP($A67,main!$A$3:$H$102,8,FALSE),main!$K$18:$O$18,0))))),1,0)</f>
        <v>1</v>
      </c>
      <c r="BF67">
        <f>IF((AND(VLOOKUP(BF$1,main!$A$3:$H$102,5,FALSE)-VLOOKUP($A67,main!$A$3:$H$102,6,FALSE)&gt;=(VLOOKUP(VLOOKUP(BF$1,main!$A$3:$H$102,8,FALSE),main!$K$26:$M$29,2,FALSE)+VLOOKUP(VLOOKUP(BF$1,main!$A$3:$H$102,7,FALSE),main!$K$19:$O$22,MATCH(VLOOKUP($A67,main!$A$3:$H$102,8,FALSE),main!$K$18:$O$18,0))))),1,0)</f>
        <v>1</v>
      </c>
      <c r="BG67">
        <f>IF((AND(VLOOKUP(BG$1,main!$A$3:$H$102,5,FALSE)-VLOOKUP($A67,main!$A$3:$H$102,6,FALSE)&gt;=(VLOOKUP(VLOOKUP(BG$1,main!$A$3:$H$102,8,FALSE),main!$K$26:$M$29,2,FALSE)+VLOOKUP(VLOOKUP(BG$1,main!$A$3:$H$102,7,FALSE),main!$K$19:$O$22,MATCH(VLOOKUP($A67,main!$A$3:$H$102,8,FALSE),main!$K$18:$O$18,0))))),1,0)</f>
        <v>1</v>
      </c>
      <c r="BH67">
        <f>IF((AND(VLOOKUP(BH$1,main!$A$3:$H$102,5,FALSE)-VLOOKUP($A67,main!$A$3:$H$102,6,FALSE)&gt;=(VLOOKUP(VLOOKUP(BH$1,main!$A$3:$H$102,8,FALSE),main!$K$26:$M$29,2,FALSE)+VLOOKUP(VLOOKUP(BH$1,main!$A$3:$H$102,7,FALSE),main!$K$19:$O$22,MATCH(VLOOKUP($A67,main!$A$3:$H$102,8,FALSE),main!$K$18:$O$18,0))))),1,0)</f>
        <v>1</v>
      </c>
      <c r="BI67">
        <f>IF((AND(VLOOKUP(BI$1,main!$A$3:$H$102,5,FALSE)-VLOOKUP($A67,main!$A$3:$H$102,6,FALSE)&gt;=(VLOOKUP(VLOOKUP(BI$1,main!$A$3:$H$102,8,FALSE),main!$K$26:$M$29,2,FALSE)+VLOOKUP(VLOOKUP(BI$1,main!$A$3:$H$102,7,FALSE),main!$K$19:$O$22,MATCH(VLOOKUP($A67,main!$A$3:$H$102,8,FALSE),main!$K$18:$O$18,0))))),1,0)</f>
        <v>1</v>
      </c>
      <c r="BJ67">
        <f>IF((AND(VLOOKUP(BJ$1,main!$A$3:$H$102,5,FALSE)-VLOOKUP($A67,main!$A$3:$H$102,6,FALSE)&gt;=(VLOOKUP(VLOOKUP(BJ$1,main!$A$3:$H$102,8,FALSE),main!$K$26:$M$29,2,FALSE)+VLOOKUP(VLOOKUP(BJ$1,main!$A$3:$H$102,7,FALSE),main!$K$19:$O$22,MATCH(VLOOKUP($A67,main!$A$3:$H$102,8,FALSE),main!$K$18:$O$18,0))))),1,0)</f>
        <v>1</v>
      </c>
      <c r="BK67">
        <f>IF((AND(VLOOKUP(BK$1,main!$A$3:$H$102,5,FALSE)-VLOOKUP($A67,main!$A$3:$H$102,6,FALSE)&gt;=(VLOOKUP(VLOOKUP(BK$1,main!$A$3:$H$102,8,FALSE),main!$K$26:$M$29,2,FALSE)+VLOOKUP(VLOOKUP(BK$1,main!$A$3:$H$102,7,FALSE),main!$K$19:$O$22,MATCH(VLOOKUP($A67,main!$A$3:$H$102,8,FALSE),main!$K$18:$O$18,0))))),1,0)</f>
        <v>0</v>
      </c>
      <c r="BL67">
        <f>IF((AND(VLOOKUP(BL$1,main!$A$3:$H$102,5,FALSE)-VLOOKUP($A67,main!$A$3:$H$102,6,FALSE)&gt;=(VLOOKUP(VLOOKUP(BL$1,main!$A$3:$H$102,8,FALSE),main!$K$26:$M$29,2,FALSE)+VLOOKUP(VLOOKUP(BL$1,main!$A$3:$H$102,7,FALSE),main!$K$19:$O$22,MATCH(VLOOKUP($A67,main!$A$3:$H$102,8,FALSE),main!$K$18:$O$18,0))))),1,0)</f>
        <v>0</v>
      </c>
      <c r="BM67">
        <f>IF((AND(VLOOKUP(BM$1,main!$A$3:$H$102,5,FALSE)-VLOOKUP($A67,main!$A$3:$H$102,6,FALSE)&gt;=(VLOOKUP(VLOOKUP(BM$1,main!$A$3:$H$102,8,FALSE),main!$K$26:$M$29,2,FALSE)+VLOOKUP(VLOOKUP(BM$1,main!$A$3:$H$102,7,FALSE),main!$K$19:$O$22,MATCH(VLOOKUP($A67,main!$A$3:$H$102,8,FALSE),main!$K$18:$O$18,0))))),1,0)</f>
        <v>1</v>
      </c>
      <c r="BN67">
        <f>IF((AND(VLOOKUP(BN$1,main!$A$3:$H$102,5,FALSE)-VLOOKUP($A67,main!$A$3:$H$102,6,FALSE)&gt;=(VLOOKUP(VLOOKUP(BN$1,main!$A$3:$H$102,8,FALSE),main!$K$26:$M$29,2,FALSE)+VLOOKUP(VLOOKUP(BN$1,main!$A$3:$H$102,7,FALSE),main!$K$19:$O$22,MATCH(VLOOKUP($A67,main!$A$3:$H$102,8,FALSE),main!$K$18:$O$18,0))))),1,0)</f>
        <v>1</v>
      </c>
      <c r="BO67">
        <f>IF((AND(VLOOKUP(BO$1,main!$A$3:$H$102,5,FALSE)-VLOOKUP($A67,main!$A$3:$H$102,6,FALSE)&gt;=(VLOOKUP(VLOOKUP(BO$1,main!$A$3:$H$102,8,FALSE),main!$K$26:$M$29,2,FALSE)+VLOOKUP(VLOOKUP(BO$1,main!$A$3:$H$102,7,FALSE),main!$K$19:$O$22,MATCH(VLOOKUP($A67,main!$A$3:$H$102,8,FALSE),main!$K$18:$O$18,0))))),1,0)</f>
        <v>0</v>
      </c>
      <c r="BP67">
        <f>IF((AND(VLOOKUP(BP$1,main!$A$3:$H$102,5,FALSE)-VLOOKUP($A67,main!$A$3:$H$102,6,FALSE)&gt;=(VLOOKUP(VLOOKUP(BP$1,main!$A$3:$H$102,8,FALSE),main!$K$26:$M$29,2,FALSE)+VLOOKUP(VLOOKUP(BP$1,main!$A$3:$H$102,7,FALSE),main!$K$19:$O$22,MATCH(VLOOKUP($A67,main!$A$3:$H$102,8,FALSE),main!$K$18:$O$18,0))))),1,0)</f>
        <v>0</v>
      </c>
      <c r="BQ67">
        <f>IF((AND(VLOOKUP(BQ$1,main!$A$3:$H$102,5,FALSE)-VLOOKUP($A67,main!$A$3:$H$102,6,FALSE)&gt;=(VLOOKUP(VLOOKUP(BQ$1,main!$A$3:$H$102,8,FALSE),main!$K$26:$M$29,2,FALSE)+VLOOKUP(VLOOKUP(BQ$1,main!$A$3:$H$102,7,FALSE),main!$K$19:$O$22,MATCH(VLOOKUP($A67,main!$A$3:$H$102,8,FALSE),main!$K$18:$O$18,0))))),1,0)</f>
        <v>1</v>
      </c>
      <c r="BR67">
        <f>IF((AND(VLOOKUP(BR$1,main!$A$3:$H$102,5,FALSE)-VLOOKUP($A67,main!$A$3:$H$102,6,FALSE)&gt;=(VLOOKUP(VLOOKUP(BR$1,main!$A$3:$H$102,8,FALSE),main!$K$26:$M$29,2,FALSE)+VLOOKUP(VLOOKUP(BR$1,main!$A$3:$H$102,7,FALSE),main!$K$19:$O$22,MATCH(VLOOKUP($A67,main!$A$3:$H$102,8,FALSE),main!$K$18:$O$18,0))))),1,0)</f>
        <v>1</v>
      </c>
      <c r="BS67">
        <f>IF((AND(VLOOKUP(BS$1,main!$A$3:$H$102,5,FALSE)-VLOOKUP($A67,main!$A$3:$H$102,6,FALSE)&gt;=(VLOOKUP(VLOOKUP(BS$1,main!$A$3:$H$102,8,FALSE),main!$K$26:$M$29,2,FALSE)+VLOOKUP(VLOOKUP(BS$1,main!$A$3:$H$102,7,FALSE),main!$K$19:$O$22,MATCH(VLOOKUP($A67,main!$A$3:$H$102,8,FALSE),main!$K$18:$O$18,0))))),1,0)</f>
        <v>1</v>
      </c>
      <c r="BT67">
        <f>IF((AND(VLOOKUP(BT$1,main!$A$3:$H$102,5,FALSE)-VLOOKUP($A67,main!$A$3:$H$102,6,FALSE)&gt;=(VLOOKUP(VLOOKUP(BT$1,main!$A$3:$H$102,8,FALSE),main!$K$26:$M$29,2,FALSE)+VLOOKUP(VLOOKUP(BT$1,main!$A$3:$H$102,7,FALSE),main!$K$19:$O$22,MATCH(VLOOKUP($A67,main!$A$3:$H$102,8,FALSE),main!$K$18:$O$18,0))))),1,0)</f>
        <v>1</v>
      </c>
      <c r="BU67">
        <f>IF((AND(VLOOKUP(BU$1,main!$A$3:$H$102,5,FALSE)-VLOOKUP($A67,main!$A$3:$H$102,6,FALSE)&gt;=(VLOOKUP(VLOOKUP(BU$1,main!$A$3:$H$102,8,FALSE),main!$K$26:$M$29,2,FALSE)+VLOOKUP(VLOOKUP(BU$1,main!$A$3:$H$102,7,FALSE),main!$K$19:$O$22,MATCH(VLOOKUP($A67,main!$A$3:$H$102,8,FALSE),main!$K$18:$O$18,0))))),1,0)</f>
        <v>0</v>
      </c>
      <c r="BV67">
        <f>IF((AND(VLOOKUP(BV$1,main!$A$3:$H$102,5,FALSE)-VLOOKUP($A67,main!$A$3:$H$102,6,FALSE)&gt;=(VLOOKUP(VLOOKUP(BV$1,main!$A$3:$H$102,8,FALSE),main!$K$26:$M$29,2,FALSE)+VLOOKUP(VLOOKUP(BV$1,main!$A$3:$H$102,7,FALSE),main!$K$19:$O$22,MATCH(VLOOKUP($A67,main!$A$3:$H$102,8,FALSE),main!$K$18:$O$18,0))))),1,0)</f>
        <v>0</v>
      </c>
      <c r="BW67">
        <f>IF((AND(VLOOKUP(BW$1,main!$A$3:$H$102,5,FALSE)-VLOOKUP($A67,main!$A$3:$H$102,6,FALSE)&gt;=(VLOOKUP(VLOOKUP(BW$1,main!$A$3:$H$102,8,FALSE),main!$K$26:$M$29,2,FALSE)+VLOOKUP(VLOOKUP(BW$1,main!$A$3:$H$102,7,FALSE),main!$K$19:$O$22,MATCH(VLOOKUP($A67,main!$A$3:$H$102,8,FALSE),main!$K$18:$O$18,0))))),1,0)</f>
        <v>1</v>
      </c>
      <c r="BX67">
        <f>IF((AND(VLOOKUP(BX$1,main!$A$3:$H$102,5,FALSE)-VLOOKUP($A67,main!$A$3:$H$102,6,FALSE)&gt;=(VLOOKUP(VLOOKUP(BX$1,main!$A$3:$H$102,8,FALSE),main!$K$26:$M$29,2,FALSE)+VLOOKUP(VLOOKUP(BX$1,main!$A$3:$H$102,7,FALSE),main!$K$19:$O$22,MATCH(VLOOKUP($A67,main!$A$3:$H$102,8,FALSE),main!$K$18:$O$18,0))))),1,0)</f>
        <v>1</v>
      </c>
      <c r="BY67">
        <f>IF((AND(VLOOKUP(BY$1,main!$A$3:$H$102,5,FALSE)-VLOOKUP($A67,main!$A$3:$H$102,6,FALSE)&gt;=(VLOOKUP(VLOOKUP(BY$1,main!$A$3:$H$102,8,FALSE),main!$K$26:$M$29,2,FALSE)+VLOOKUP(VLOOKUP(BY$1,main!$A$3:$H$102,7,FALSE),main!$K$19:$O$22,MATCH(VLOOKUP($A67,main!$A$3:$H$102,8,FALSE),main!$K$18:$O$18,0))))),1,0)</f>
        <v>1</v>
      </c>
      <c r="BZ67">
        <f>IF((AND(VLOOKUP(BZ$1,main!$A$3:$H$102,5,FALSE)-VLOOKUP($A67,main!$A$3:$H$102,6,FALSE)&gt;=(VLOOKUP(VLOOKUP(BZ$1,main!$A$3:$H$102,8,FALSE),main!$K$26:$M$29,2,FALSE)+VLOOKUP(VLOOKUP(BZ$1,main!$A$3:$H$102,7,FALSE),main!$K$19:$O$22,MATCH(VLOOKUP($A67,main!$A$3:$H$102,8,FALSE),main!$K$18:$O$18,0))))),1,0)</f>
        <v>0</v>
      </c>
      <c r="CA67">
        <f>IF((AND(VLOOKUP(CA$1,main!$A$3:$H$102,5,FALSE)-VLOOKUP($A67,main!$A$3:$H$102,6,FALSE)&gt;=(VLOOKUP(VLOOKUP(CA$1,main!$A$3:$H$102,8,FALSE),main!$K$26:$M$29,2,FALSE)+VLOOKUP(VLOOKUP(CA$1,main!$A$3:$H$102,7,FALSE),main!$K$19:$O$22,MATCH(VLOOKUP($A67,main!$A$3:$H$102,8,FALSE),main!$K$18:$O$18,0))))),1,0)</f>
        <v>1</v>
      </c>
      <c r="CB67">
        <f>IF((AND(VLOOKUP(CB$1,main!$A$3:$H$102,5,FALSE)-VLOOKUP($A67,main!$A$3:$H$102,6,FALSE)&gt;=(VLOOKUP(VLOOKUP(CB$1,main!$A$3:$H$102,8,FALSE),main!$K$26:$M$29,2,FALSE)+VLOOKUP(VLOOKUP(CB$1,main!$A$3:$H$102,7,FALSE),main!$K$19:$O$22,MATCH(VLOOKUP($A67,main!$A$3:$H$102,8,FALSE),main!$K$18:$O$18,0))))),1,0)</f>
        <v>1</v>
      </c>
      <c r="CC67">
        <f>IF((AND(VLOOKUP(CC$1,main!$A$3:$H$102,5,FALSE)-VLOOKUP($A67,main!$A$3:$H$102,6,FALSE)&gt;=(VLOOKUP(VLOOKUP(CC$1,main!$A$3:$H$102,8,FALSE),main!$K$26:$M$29,2,FALSE)+VLOOKUP(VLOOKUP(CC$1,main!$A$3:$H$102,7,FALSE),main!$K$19:$O$22,MATCH(VLOOKUP($A67,main!$A$3:$H$102,8,FALSE),main!$K$18:$O$18,0))))),1,0)</f>
        <v>1</v>
      </c>
      <c r="CD67">
        <f>IF((AND(VLOOKUP(CD$1,main!$A$3:$H$102,5,FALSE)-VLOOKUP($A67,main!$A$3:$H$102,6,FALSE)&gt;=(VLOOKUP(VLOOKUP(CD$1,main!$A$3:$H$102,8,FALSE),main!$K$26:$M$29,2,FALSE)+VLOOKUP(VLOOKUP(CD$1,main!$A$3:$H$102,7,FALSE),main!$K$19:$O$22,MATCH(VLOOKUP($A67,main!$A$3:$H$102,8,FALSE),main!$K$18:$O$18,0))))),1,0)</f>
        <v>1</v>
      </c>
      <c r="CE67">
        <f>IF((AND(VLOOKUP(CE$1,main!$A$3:$H$102,5,FALSE)-VLOOKUP($A67,main!$A$3:$H$102,6,FALSE)&gt;=(VLOOKUP(VLOOKUP(CE$1,main!$A$3:$H$102,8,FALSE),main!$K$26:$M$29,2,FALSE)+VLOOKUP(VLOOKUP(CE$1,main!$A$3:$H$102,7,FALSE),main!$K$19:$O$22,MATCH(VLOOKUP($A67,main!$A$3:$H$102,8,FALSE),main!$K$18:$O$18,0))))),1,0)</f>
        <v>1</v>
      </c>
      <c r="CF67">
        <f>IF((AND(VLOOKUP(CF$1,main!$A$3:$H$102,5,FALSE)-VLOOKUP($A67,main!$A$3:$H$102,6,FALSE)&gt;=(VLOOKUP(VLOOKUP(CF$1,main!$A$3:$H$102,8,FALSE),main!$K$26:$M$29,2,FALSE)+VLOOKUP(VLOOKUP(CF$1,main!$A$3:$H$102,7,FALSE),main!$K$19:$O$22,MATCH(VLOOKUP($A67,main!$A$3:$H$102,8,FALSE),main!$K$18:$O$18,0))))),1,0)</f>
        <v>1</v>
      </c>
      <c r="CG67">
        <f>IF((AND(VLOOKUP(CG$1,main!$A$3:$H$102,5,FALSE)-VLOOKUP($A67,main!$A$3:$H$102,6,FALSE)&gt;=(VLOOKUP(VLOOKUP(CG$1,main!$A$3:$H$102,8,FALSE),main!$K$26:$M$29,2,FALSE)+VLOOKUP(VLOOKUP(CG$1,main!$A$3:$H$102,7,FALSE),main!$K$19:$O$22,MATCH(VLOOKUP($A67,main!$A$3:$H$102,8,FALSE),main!$K$18:$O$18,0))))),1,0)</f>
        <v>1</v>
      </c>
      <c r="CH67">
        <f>IF((AND(VLOOKUP(CH$1,main!$A$3:$H$102,5,FALSE)-VLOOKUP($A67,main!$A$3:$H$102,6,FALSE)&gt;=(VLOOKUP(VLOOKUP(CH$1,main!$A$3:$H$102,8,FALSE),main!$K$26:$M$29,2,FALSE)+VLOOKUP(VLOOKUP(CH$1,main!$A$3:$H$102,7,FALSE),main!$K$19:$O$22,MATCH(VLOOKUP($A67,main!$A$3:$H$102,8,FALSE),main!$K$18:$O$18,0))))),1,0)</f>
        <v>1</v>
      </c>
      <c r="CI67">
        <f>IF((AND(VLOOKUP(CI$1,main!$A$3:$H$102,5,FALSE)-VLOOKUP($A67,main!$A$3:$H$102,6,FALSE)&gt;=(VLOOKUP(VLOOKUP(CI$1,main!$A$3:$H$102,8,FALSE),main!$K$26:$M$29,2,FALSE)+VLOOKUP(VLOOKUP(CI$1,main!$A$3:$H$102,7,FALSE),main!$K$19:$O$22,MATCH(VLOOKUP($A67,main!$A$3:$H$102,8,FALSE),main!$K$18:$O$18,0))))),1,0)</f>
        <v>1</v>
      </c>
      <c r="CJ67">
        <f>IF((AND(VLOOKUP(CJ$1,main!$A$3:$H$102,5,FALSE)-VLOOKUP($A67,main!$A$3:$H$102,6,FALSE)&gt;=(VLOOKUP(VLOOKUP(CJ$1,main!$A$3:$H$102,8,FALSE),main!$K$26:$M$29,2,FALSE)+VLOOKUP(VLOOKUP(CJ$1,main!$A$3:$H$102,7,FALSE),main!$K$19:$O$22,MATCH(VLOOKUP($A67,main!$A$3:$H$102,8,FALSE),main!$K$18:$O$18,0))))),1,0)</f>
        <v>1</v>
      </c>
      <c r="CK67">
        <f>IF((AND(VLOOKUP(CK$1,main!$A$3:$H$102,5,FALSE)-VLOOKUP($A67,main!$A$3:$H$102,6,FALSE)&gt;=(VLOOKUP(VLOOKUP(CK$1,main!$A$3:$H$102,8,FALSE),main!$K$26:$M$29,2,FALSE)+VLOOKUP(VLOOKUP(CK$1,main!$A$3:$H$102,7,FALSE),main!$K$19:$O$22,MATCH(VLOOKUP($A67,main!$A$3:$H$102,8,FALSE),main!$K$18:$O$18,0))))),1,0)</f>
        <v>1</v>
      </c>
      <c r="CL67">
        <f>IF((AND(VLOOKUP(CL$1,main!$A$3:$H$102,5,FALSE)-VLOOKUP($A67,main!$A$3:$H$102,6,FALSE)&gt;=(VLOOKUP(VLOOKUP(CL$1,main!$A$3:$H$102,8,FALSE),main!$K$26:$M$29,2,FALSE)+VLOOKUP(VLOOKUP(CL$1,main!$A$3:$H$102,7,FALSE),main!$K$19:$O$22,MATCH(VLOOKUP($A67,main!$A$3:$H$102,8,FALSE),main!$K$18:$O$18,0))))),1,0)</f>
        <v>1</v>
      </c>
      <c r="CM67">
        <f>IF((AND(VLOOKUP(CM$1,main!$A$3:$H$102,5,FALSE)-VLOOKUP($A67,main!$A$3:$H$102,6,FALSE)&gt;=(VLOOKUP(VLOOKUP(CM$1,main!$A$3:$H$102,8,FALSE),main!$K$26:$M$29,2,FALSE)+VLOOKUP(VLOOKUP(CM$1,main!$A$3:$H$102,7,FALSE),main!$K$19:$O$22,MATCH(VLOOKUP($A67,main!$A$3:$H$102,8,FALSE),main!$K$18:$O$18,0))))),1,0)</f>
        <v>1</v>
      </c>
      <c r="CN67">
        <f>IF((AND(VLOOKUP(CN$1,main!$A$3:$H$102,5,FALSE)-VLOOKUP($A67,main!$A$3:$H$102,6,FALSE)&gt;=(VLOOKUP(VLOOKUP(CN$1,main!$A$3:$H$102,8,FALSE),main!$K$26:$M$29,2,FALSE)+VLOOKUP(VLOOKUP(CN$1,main!$A$3:$H$102,7,FALSE),main!$K$19:$O$22,MATCH(VLOOKUP($A67,main!$A$3:$H$102,8,FALSE),main!$K$18:$O$18,0))))),1,0)</f>
        <v>1</v>
      </c>
      <c r="CO67">
        <f>IF((AND(VLOOKUP(CO$1,main!$A$3:$H$102,5,FALSE)-VLOOKUP($A67,main!$A$3:$H$102,6,FALSE)&gt;=(VLOOKUP(VLOOKUP(CO$1,main!$A$3:$H$102,8,FALSE),main!$K$26:$M$29,2,FALSE)+VLOOKUP(VLOOKUP(CO$1,main!$A$3:$H$102,7,FALSE),main!$K$19:$O$22,MATCH(VLOOKUP($A67,main!$A$3:$H$102,8,FALSE),main!$K$18:$O$18,0))))),1,0)</f>
        <v>1</v>
      </c>
      <c r="CP67">
        <f>IF((AND(VLOOKUP(CP$1,main!$A$3:$H$102,5,FALSE)-VLOOKUP($A67,main!$A$3:$H$102,6,FALSE)&gt;=(VLOOKUP(VLOOKUP(CP$1,main!$A$3:$H$102,8,FALSE),main!$K$26:$M$29,2,FALSE)+VLOOKUP(VLOOKUP(CP$1,main!$A$3:$H$102,7,FALSE),main!$K$19:$O$22,MATCH(VLOOKUP($A67,main!$A$3:$H$102,8,FALSE),main!$K$18:$O$18,0))))),1,0)</f>
        <v>1</v>
      </c>
      <c r="CQ67">
        <f>IF((AND(VLOOKUP(CQ$1,main!$A$3:$H$102,5,FALSE)-VLOOKUP($A67,main!$A$3:$H$102,6,FALSE)&gt;=(VLOOKUP(VLOOKUP(CQ$1,main!$A$3:$H$102,8,FALSE),main!$K$26:$M$29,2,FALSE)+VLOOKUP(VLOOKUP(CQ$1,main!$A$3:$H$102,7,FALSE),main!$K$19:$O$22,MATCH(VLOOKUP($A67,main!$A$3:$H$102,8,FALSE),main!$K$18:$O$18,0))))),1,0)</f>
        <v>1</v>
      </c>
      <c r="CR67">
        <f>IF((AND(VLOOKUP(CR$1,main!$A$3:$H$102,5,FALSE)-VLOOKUP($A67,main!$A$3:$H$102,6,FALSE)&gt;=(VLOOKUP(VLOOKUP(CR$1,main!$A$3:$H$102,8,FALSE),main!$K$26:$M$29,2,FALSE)+VLOOKUP(VLOOKUP(CR$1,main!$A$3:$H$102,7,FALSE),main!$K$19:$O$22,MATCH(VLOOKUP($A67,main!$A$3:$H$102,8,FALSE),main!$K$18:$O$18,0))))),1,0)</f>
        <v>1</v>
      </c>
      <c r="CS67">
        <f>IF((AND(VLOOKUP(CS$1,main!$A$3:$H$102,5,FALSE)-VLOOKUP($A67,main!$A$3:$H$102,6,FALSE)&gt;=(VLOOKUP(VLOOKUP(CS$1,main!$A$3:$H$102,8,FALSE),main!$K$26:$M$29,2,FALSE)+VLOOKUP(VLOOKUP(CS$1,main!$A$3:$H$102,7,FALSE),main!$K$19:$O$22,MATCH(VLOOKUP($A67,main!$A$3:$H$102,8,FALSE),main!$K$18:$O$18,0))))),1,0)</f>
        <v>1</v>
      </c>
      <c r="CT67">
        <f>IF((AND(VLOOKUP(CT$1,main!$A$3:$H$102,5,FALSE)-VLOOKUP($A67,main!$A$3:$H$102,6,FALSE)&gt;=(VLOOKUP(VLOOKUP(CT$1,main!$A$3:$H$102,8,FALSE),main!$K$26:$M$29,2,FALSE)+VLOOKUP(VLOOKUP(CT$1,main!$A$3:$H$102,7,FALSE),main!$K$19:$O$22,MATCH(VLOOKUP($A67,main!$A$3:$H$102,8,FALSE),main!$K$18:$O$18,0))))),1,0)</f>
        <v>0</v>
      </c>
      <c r="CU67">
        <f>IF((AND(VLOOKUP(CU$1,main!$A$3:$H$102,5,FALSE)-VLOOKUP($A67,main!$A$3:$H$102,6,FALSE)&gt;=(VLOOKUP(VLOOKUP(CU$1,main!$A$3:$H$102,8,FALSE),main!$K$26:$M$29,2,FALSE)+VLOOKUP(VLOOKUP(CU$1,main!$A$3:$H$102,7,FALSE),main!$K$19:$O$22,MATCH(VLOOKUP($A67,main!$A$3:$H$102,8,FALSE),main!$K$18:$O$18,0))))),1,0)</f>
        <v>1</v>
      </c>
      <c r="CV67">
        <f>IF((AND(VLOOKUP(CV$1,main!$A$3:$H$102,5,FALSE)-VLOOKUP($A67,main!$A$3:$H$102,6,FALSE)&gt;=(VLOOKUP(VLOOKUP(CV$1,main!$A$3:$H$102,8,FALSE),main!$K$26:$M$29,2,FALSE)+VLOOKUP(VLOOKUP(CV$1,main!$A$3:$H$102,7,FALSE),main!$K$19:$O$22,MATCH(VLOOKUP($A67,main!$A$3:$H$102,8,FALSE),main!$K$18:$O$18,0))))),1,0)</f>
        <v>1</v>
      </c>
      <c r="CW67">
        <f>IF((AND(VLOOKUP(CW$1,main!$A$3:$H$102,5,FALSE)-VLOOKUP($A67,main!$A$3:$H$102,6,FALSE)&gt;=(VLOOKUP(VLOOKUP(CW$1,main!$A$3:$H$102,8,FALSE),main!$K$26:$M$29,2,FALSE)+VLOOKUP(VLOOKUP(CW$1,main!$A$3:$H$102,7,FALSE),main!$K$19:$O$22,MATCH(VLOOKUP($A67,main!$A$3:$H$102,8,FALSE),main!$K$18:$O$18,0))))),1,0)</f>
        <v>1</v>
      </c>
      <c r="CX67">
        <f>IF((AND(VLOOKUP(CX$1,main!$A$3:$H$102,5,FALSE)-VLOOKUP($A67,main!$A$3:$H$102,6,FALSE)&gt;=(VLOOKUP(VLOOKUP(CX$1,main!$A$3:$H$102,8,FALSE),main!$K$26:$M$29,2,FALSE)+VLOOKUP(VLOOKUP(CX$1,main!$A$3:$H$102,7,FALSE),main!$K$19:$O$22,MATCH(VLOOKUP($A67,main!$A$3:$H$102,8,FALSE),main!$K$18:$O$18,0))))),1,0)</f>
        <v>1</v>
      </c>
    </row>
    <row r="68" spans="1:102" x14ac:dyDescent="0.25">
      <c r="A68" s="1">
        <v>66</v>
      </c>
      <c r="B68">
        <v>1</v>
      </c>
      <c r="C68">
        <f>IF((AND(VLOOKUP(C$1,main!$A$3:$H$102,5,FALSE)-VLOOKUP($A68,main!$A$3:$H$102,6,FALSE)&gt;=(VLOOKUP(VLOOKUP(C$1,main!$A$3:$H$102,8,FALSE),main!$K$26:$M$29,2,FALSE)+VLOOKUP(VLOOKUP(C$1,main!$A$3:$H$102,7,FALSE),main!$K$19:$O$22,MATCH(VLOOKUP($A68,main!$A$3:$H$102,8,FALSE),main!$K$18:$O$18,0))))),1,0)</f>
        <v>0</v>
      </c>
      <c r="D68">
        <f>IF((AND(VLOOKUP(D$1,main!$A$3:$H$102,5,FALSE)-VLOOKUP($A68,main!$A$3:$H$102,6,FALSE)&gt;=(VLOOKUP(VLOOKUP(D$1,main!$A$3:$H$102,8,FALSE),main!$K$26:$M$29,2,FALSE)+VLOOKUP(VLOOKUP(D$1,main!$A$3:$H$102,7,FALSE),main!$K$19:$O$22,MATCH(VLOOKUP($A68,main!$A$3:$H$102,8,FALSE),main!$K$18:$O$18,0))))),1,0)</f>
        <v>0</v>
      </c>
      <c r="E68">
        <f>IF((AND(VLOOKUP(E$1,main!$A$3:$H$102,5,FALSE)-VLOOKUP($A68,main!$A$3:$H$102,6,FALSE)&gt;=(VLOOKUP(VLOOKUP(E$1,main!$A$3:$H$102,8,FALSE),main!$K$26:$M$29,2,FALSE)+VLOOKUP(VLOOKUP(E$1,main!$A$3:$H$102,7,FALSE),main!$K$19:$O$22,MATCH(VLOOKUP($A68,main!$A$3:$H$102,8,FALSE),main!$K$18:$O$18,0))))),1,0)</f>
        <v>1</v>
      </c>
      <c r="F68">
        <f>IF((AND(VLOOKUP(F$1,main!$A$3:$H$102,5,FALSE)-VLOOKUP($A68,main!$A$3:$H$102,6,FALSE)&gt;=(VLOOKUP(VLOOKUP(F$1,main!$A$3:$H$102,8,FALSE),main!$K$26:$M$29,2,FALSE)+VLOOKUP(VLOOKUP(F$1,main!$A$3:$H$102,7,FALSE),main!$K$19:$O$22,MATCH(VLOOKUP($A68,main!$A$3:$H$102,8,FALSE),main!$K$18:$O$18,0))))),1,0)</f>
        <v>1</v>
      </c>
      <c r="G68">
        <f>IF((AND(VLOOKUP(G$1,main!$A$3:$H$102,5,FALSE)-VLOOKUP($A68,main!$A$3:$H$102,6,FALSE)&gt;=(VLOOKUP(VLOOKUP(G$1,main!$A$3:$H$102,8,FALSE),main!$K$26:$M$29,2,FALSE)+VLOOKUP(VLOOKUP(G$1,main!$A$3:$H$102,7,FALSE),main!$K$19:$O$22,MATCH(VLOOKUP($A68,main!$A$3:$H$102,8,FALSE),main!$K$18:$O$18,0))))),1,0)</f>
        <v>1</v>
      </c>
      <c r="H68">
        <f>IF((AND(VLOOKUP(H$1,main!$A$3:$H$102,5,FALSE)-VLOOKUP($A68,main!$A$3:$H$102,6,FALSE)&gt;=(VLOOKUP(VLOOKUP(H$1,main!$A$3:$H$102,8,FALSE),main!$K$26:$M$29,2,FALSE)+VLOOKUP(VLOOKUP(H$1,main!$A$3:$H$102,7,FALSE),main!$K$19:$O$22,MATCH(VLOOKUP($A68,main!$A$3:$H$102,8,FALSE),main!$K$18:$O$18,0))))),1,0)</f>
        <v>1</v>
      </c>
      <c r="I68">
        <f>IF((AND(VLOOKUP(I$1,main!$A$3:$H$102,5,FALSE)-VLOOKUP($A68,main!$A$3:$H$102,6,FALSE)&gt;=(VLOOKUP(VLOOKUP(I$1,main!$A$3:$H$102,8,FALSE),main!$K$26:$M$29,2,FALSE)+VLOOKUP(VLOOKUP(I$1,main!$A$3:$H$102,7,FALSE),main!$K$19:$O$22,MATCH(VLOOKUP($A68,main!$A$3:$H$102,8,FALSE),main!$K$18:$O$18,0))))),1,0)</f>
        <v>1</v>
      </c>
      <c r="J68">
        <f>IF((AND(VLOOKUP(J$1,main!$A$3:$H$102,5,FALSE)-VLOOKUP($A68,main!$A$3:$H$102,6,FALSE)&gt;=(VLOOKUP(VLOOKUP(J$1,main!$A$3:$H$102,8,FALSE),main!$K$26:$M$29,2,FALSE)+VLOOKUP(VLOOKUP(J$1,main!$A$3:$H$102,7,FALSE),main!$K$19:$O$22,MATCH(VLOOKUP($A68,main!$A$3:$H$102,8,FALSE),main!$K$18:$O$18,0))))),1,0)</f>
        <v>1</v>
      </c>
      <c r="K68">
        <f>IF((AND(VLOOKUP(K$1,main!$A$3:$H$102,5,FALSE)-VLOOKUP($A68,main!$A$3:$H$102,6,FALSE)&gt;=(VLOOKUP(VLOOKUP(K$1,main!$A$3:$H$102,8,FALSE),main!$K$26:$M$29,2,FALSE)+VLOOKUP(VLOOKUP(K$1,main!$A$3:$H$102,7,FALSE),main!$K$19:$O$22,MATCH(VLOOKUP($A68,main!$A$3:$H$102,8,FALSE),main!$K$18:$O$18,0))))),1,0)</f>
        <v>1</v>
      </c>
      <c r="L68">
        <f>IF((AND(VLOOKUP(L$1,main!$A$3:$H$102,5,FALSE)-VLOOKUP($A68,main!$A$3:$H$102,6,FALSE)&gt;=(VLOOKUP(VLOOKUP(L$1,main!$A$3:$H$102,8,FALSE),main!$K$26:$M$29,2,FALSE)+VLOOKUP(VLOOKUP(L$1,main!$A$3:$H$102,7,FALSE),main!$K$19:$O$22,MATCH(VLOOKUP($A68,main!$A$3:$H$102,8,FALSE),main!$K$18:$O$18,0))))),1,0)</f>
        <v>1</v>
      </c>
      <c r="M68">
        <f>IF((AND(VLOOKUP(M$1,main!$A$3:$H$102,5,FALSE)-VLOOKUP($A68,main!$A$3:$H$102,6,FALSE)&gt;=(VLOOKUP(VLOOKUP(M$1,main!$A$3:$H$102,8,FALSE),main!$K$26:$M$29,2,FALSE)+VLOOKUP(VLOOKUP(M$1,main!$A$3:$H$102,7,FALSE),main!$K$19:$O$22,MATCH(VLOOKUP($A68,main!$A$3:$H$102,8,FALSE),main!$K$18:$O$18,0))))),1,0)</f>
        <v>0</v>
      </c>
      <c r="N68">
        <f>IF((AND(VLOOKUP(N$1,main!$A$3:$H$102,5,FALSE)-VLOOKUP($A68,main!$A$3:$H$102,6,FALSE)&gt;=(VLOOKUP(VLOOKUP(N$1,main!$A$3:$H$102,8,FALSE),main!$K$26:$M$29,2,FALSE)+VLOOKUP(VLOOKUP(N$1,main!$A$3:$H$102,7,FALSE),main!$K$19:$O$22,MATCH(VLOOKUP($A68,main!$A$3:$H$102,8,FALSE),main!$K$18:$O$18,0))))),1,0)</f>
        <v>0</v>
      </c>
      <c r="O68">
        <f>IF((AND(VLOOKUP(O$1,main!$A$3:$H$102,5,FALSE)-VLOOKUP($A68,main!$A$3:$H$102,6,FALSE)&gt;=(VLOOKUP(VLOOKUP(O$1,main!$A$3:$H$102,8,FALSE),main!$K$26:$M$29,2,FALSE)+VLOOKUP(VLOOKUP(O$1,main!$A$3:$H$102,7,FALSE),main!$K$19:$O$22,MATCH(VLOOKUP($A68,main!$A$3:$H$102,8,FALSE),main!$K$18:$O$18,0))))),1,0)</f>
        <v>0</v>
      </c>
      <c r="P68">
        <f>IF((AND(VLOOKUP(P$1,main!$A$3:$H$102,5,FALSE)-VLOOKUP($A68,main!$A$3:$H$102,6,FALSE)&gt;=(VLOOKUP(VLOOKUP(P$1,main!$A$3:$H$102,8,FALSE),main!$K$26:$M$29,2,FALSE)+VLOOKUP(VLOOKUP(P$1,main!$A$3:$H$102,7,FALSE),main!$K$19:$O$22,MATCH(VLOOKUP($A68,main!$A$3:$H$102,8,FALSE),main!$K$18:$O$18,0))))),1,0)</f>
        <v>0</v>
      </c>
      <c r="Q68">
        <f>IF((AND(VLOOKUP(Q$1,main!$A$3:$H$102,5,FALSE)-VLOOKUP($A68,main!$A$3:$H$102,6,FALSE)&gt;=(VLOOKUP(VLOOKUP(Q$1,main!$A$3:$H$102,8,FALSE),main!$K$26:$M$29,2,FALSE)+VLOOKUP(VLOOKUP(Q$1,main!$A$3:$H$102,7,FALSE),main!$K$19:$O$22,MATCH(VLOOKUP($A68,main!$A$3:$H$102,8,FALSE),main!$K$18:$O$18,0))))),1,0)</f>
        <v>1</v>
      </c>
      <c r="R68">
        <f>IF((AND(VLOOKUP(R$1,main!$A$3:$H$102,5,FALSE)-VLOOKUP($A68,main!$A$3:$H$102,6,FALSE)&gt;=(VLOOKUP(VLOOKUP(R$1,main!$A$3:$H$102,8,FALSE),main!$K$26:$M$29,2,FALSE)+VLOOKUP(VLOOKUP(R$1,main!$A$3:$H$102,7,FALSE),main!$K$19:$O$22,MATCH(VLOOKUP($A68,main!$A$3:$H$102,8,FALSE),main!$K$18:$O$18,0))))),1,0)</f>
        <v>1</v>
      </c>
      <c r="S68">
        <f>IF((AND(VLOOKUP(S$1,main!$A$3:$H$102,5,FALSE)-VLOOKUP($A68,main!$A$3:$H$102,6,FALSE)&gt;=(VLOOKUP(VLOOKUP(S$1,main!$A$3:$H$102,8,FALSE),main!$K$26:$M$29,2,FALSE)+VLOOKUP(VLOOKUP(S$1,main!$A$3:$H$102,7,FALSE),main!$K$19:$O$22,MATCH(VLOOKUP($A68,main!$A$3:$H$102,8,FALSE),main!$K$18:$O$18,0))))),1,0)</f>
        <v>1</v>
      </c>
      <c r="T68">
        <f>IF((AND(VLOOKUP(T$1,main!$A$3:$H$102,5,FALSE)-VLOOKUP($A68,main!$A$3:$H$102,6,FALSE)&gt;=(VLOOKUP(VLOOKUP(T$1,main!$A$3:$H$102,8,FALSE),main!$K$26:$M$29,2,FALSE)+VLOOKUP(VLOOKUP(T$1,main!$A$3:$H$102,7,FALSE),main!$K$19:$O$22,MATCH(VLOOKUP($A68,main!$A$3:$H$102,8,FALSE),main!$K$18:$O$18,0))))),1,0)</f>
        <v>1</v>
      </c>
      <c r="U68">
        <f>IF((AND(VLOOKUP(U$1,main!$A$3:$H$102,5,FALSE)-VLOOKUP($A68,main!$A$3:$H$102,6,FALSE)&gt;=(VLOOKUP(VLOOKUP(U$1,main!$A$3:$H$102,8,FALSE),main!$K$26:$M$29,2,FALSE)+VLOOKUP(VLOOKUP(U$1,main!$A$3:$H$102,7,FALSE),main!$K$19:$O$22,MATCH(VLOOKUP($A68,main!$A$3:$H$102,8,FALSE),main!$K$18:$O$18,0))))),1,0)</f>
        <v>1</v>
      </c>
      <c r="V68">
        <f>IF((AND(VLOOKUP(V$1,main!$A$3:$H$102,5,FALSE)-VLOOKUP($A68,main!$A$3:$H$102,6,FALSE)&gt;=(VLOOKUP(VLOOKUP(V$1,main!$A$3:$H$102,8,FALSE),main!$K$26:$M$29,2,FALSE)+VLOOKUP(VLOOKUP(V$1,main!$A$3:$H$102,7,FALSE),main!$K$19:$O$22,MATCH(VLOOKUP($A68,main!$A$3:$H$102,8,FALSE),main!$K$18:$O$18,0))))),1,0)</f>
        <v>1</v>
      </c>
      <c r="W68">
        <f>IF((AND(VLOOKUP(W$1,main!$A$3:$H$102,5,FALSE)-VLOOKUP($A68,main!$A$3:$H$102,6,FALSE)&gt;=(VLOOKUP(VLOOKUP(W$1,main!$A$3:$H$102,8,FALSE),main!$K$26:$M$29,2,FALSE)+VLOOKUP(VLOOKUP(W$1,main!$A$3:$H$102,7,FALSE),main!$K$19:$O$22,MATCH(VLOOKUP($A68,main!$A$3:$H$102,8,FALSE),main!$K$18:$O$18,0))))),1,0)</f>
        <v>0</v>
      </c>
      <c r="X68">
        <f>IF((AND(VLOOKUP(X$1,main!$A$3:$H$102,5,FALSE)-VLOOKUP($A68,main!$A$3:$H$102,6,FALSE)&gt;=(VLOOKUP(VLOOKUP(X$1,main!$A$3:$H$102,8,FALSE),main!$K$26:$M$29,2,FALSE)+VLOOKUP(VLOOKUP(X$1,main!$A$3:$H$102,7,FALSE),main!$K$19:$O$22,MATCH(VLOOKUP($A68,main!$A$3:$H$102,8,FALSE),main!$K$18:$O$18,0))))),1,0)</f>
        <v>0</v>
      </c>
      <c r="Y68">
        <f>IF((AND(VLOOKUP(Y$1,main!$A$3:$H$102,5,FALSE)-VLOOKUP($A68,main!$A$3:$H$102,6,FALSE)&gt;=(VLOOKUP(VLOOKUP(Y$1,main!$A$3:$H$102,8,FALSE),main!$K$26:$M$29,2,FALSE)+VLOOKUP(VLOOKUP(Y$1,main!$A$3:$H$102,7,FALSE),main!$K$19:$O$22,MATCH(VLOOKUP($A68,main!$A$3:$H$102,8,FALSE),main!$K$18:$O$18,0))))),1,0)</f>
        <v>1</v>
      </c>
      <c r="Z68">
        <f>IF((AND(VLOOKUP(Z$1,main!$A$3:$H$102,5,FALSE)-VLOOKUP($A68,main!$A$3:$H$102,6,FALSE)&gt;=(VLOOKUP(VLOOKUP(Z$1,main!$A$3:$H$102,8,FALSE),main!$K$26:$M$29,2,FALSE)+VLOOKUP(VLOOKUP(Z$1,main!$A$3:$H$102,7,FALSE),main!$K$19:$O$22,MATCH(VLOOKUP($A68,main!$A$3:$H$102,8,FALSE),main!$K$18:$O$18,0))))),1,0)</f>
        <v>1</v>
      </c>
      <c r="AA68">
        <f>IF((AND(VLOOKUP(AA$1,main!$A$3:$H$102,5,FALSE)-VLOOKUP($A68,main!$A$3:$H$102,6,FALSE)&gt;=(VLOOKUP(VLOOKUP(AA$1,main!$A$3:$H$102,8,FALSE),main!$K$26:$M$29,2,FALSE)+VLOOKUP(VLOOKUP(AA$1,main!$A$3:$H$102,7,FALSE),main!$K$19:$O$22,MATCH(VLOOKUP($A68,main!$A$3:$H$102,8,FALSE),main!$K$18:$O$18,0))))),1,0)</f>
        <v>1</v>
      </c>
      <c r="AB68">
        <f>IF((AND(VLOOKUP(AB$1,main!$A$3:$H$102,5,FALSE)-VLOOKUP($A68,main!$A$3:$H$102,6,FALSE)&gt;=(VLOOKUP(VLOOKUP(AB$1,main!$A$3:$H$102,8,FALSE),main!$K$26:$M$29,2,FALSE)+VLOOKUP(VLOOKUP(AB$1,main!$A$3:$H$102,7,FALSE),main!$K$19:$O$22,MATCH(VLOOKUP($A68,main!$A$3:$H$102,8,FALSE),main!$K$18:$O$18,0))))),1,0)</f>
        <v>0</v>
      </c>
      <c r="AC68">
        <f>IF((AND(VLOOKUP(AC$1,main!$A$3:$H$102,5,FALSE)-VLOOKUP($A68,main!$A$3:$H$102,6,FALSE)&gt;=(VLOOKUP(VLOOKUP(AC$1,main!$A$3:$H$102,8,FALSE),main!$K$26:$M$29,2,FALSE)+VLOOKUP(VLOOKUP(AC$1,main!$A$3:$H$102,7,FALSE),main!$K$19:$O$22,MATCH(VLOOKUP($A68,main!$A$3:$H$102,8,FALSE),main!$K$18:$O$18,0))))),1,0)</f>
        <v>0</v>
      </c>
      <c r="AD68">
        <f>IF((AND(VLOOKUP(AD$1,main!$A$3:$H$102,5,FALSE)-VLOOKUP($A68,main!$A$3:$H$102,6,FALSE)&gt;=(VLOOKUP(VLOOKUP(AD$1,main!$A$3:$H$102,8,FALSE),main!$K$26:$M$29,2,FALSE)+VLOOKUP(VLOOKUP(AD$1,main!$A$3:$H$102,7,FALSE),main!$K$19:$O$22,MATCH(VLOOKUP($A68,main!$A$3:$H$102,8,FALSE),main!$K$18:$O$18,0))))),1,0)</f>
        <v>1</v>
      </c>
      <c r="AE68">
        <f>IF((AND(VLOOKUP(AE$1,main!$A$3:$H$102,5,FALSE)-VLOOKUP($A68,main!$A$3:$H$102,6,FALSE)&gt;=(VLOOKUP(VLOOKUP(AE$1,main!$A$3:$H$102,8,FALSE),main!$K$26:$M$29,2,FALSE)+VLOOKUP(VLOOKUP(AE$1,main!$A$3:$H$102,7,FALSE),main!$K$19:$O$22,MATCH(VLOOKUP($A68,main!$A$3:$H$102,8,FALSE),main!$K$18:$O$18,0))))),1,0)</f>
        <v>1</v>
      </c>
      <c r="AF68">
        <f>IF((AND(VLOOKUP(AF$1,main!$A$3:$H$102,5,FALSE)-VLOOKUP($A68,main!$A$3:$H$102,6,FALSE)&gt;=(VLOOKUP(VLOOKUP(AF$1,main!$A$3:$H$102,8,FALSE),main!$K$26:$M$29,2,FALSE)+VLOOKUP(VLOOKUP(AF$1,main!$A$3:$H$102,7,FALSE),main!$K$19:$O$22,MATCH(VLOOKUP($A68,main!$A$3:$H$102,8,FALSE),main!$K$18:$O$18,0))))),1,0)</f>
        <v>1</v>
      </c>
      <c r="AG68">
        <f>IF((AND(VLOOKUP(AG$1,main!$A$3:$H$102,5,FALSE)-VLOOKUP($A68,main!$A$3:$H$102,6,FALSE)&gt;=(VLOOKUP(VLOOKUP(AG$1,main!$A$3:$H$102,8,FALSE),main!$K$26:$M$29,2,FALSE)+VLOOKUP(VLOOKUP(AG$1,main!$A$3:$H$102,7,FALSE),main!$K$19:$O$22,MATCH(VLOOKUP($A68,main!$A$3:$H$102,8,FALSE),main!$K$18:$O$18,0))))),1,0)</f>
        <v>0</v>
      </c>
      <c r="AH68">
        <f>IF((AND(VLOOKUP(AH$1,main!$A$3:$H$102,5,FALSE)-VLOOKUP($A68,main!$A$3:$H$102,6,FALSE)&gt;=(VLOOKUP(VLOOKUP(AH$1,main!$A$3:$H$102,8,FALSE),main!$K$26:$M$29,2,FALSE)+VLOOKUP(VLOOKUP(AH$1,main!$A$3:$H$102,7,FALSE),main!$K$19:$O$22,MATCH(VLOOKUP($A68,main!$A$3:$H$102,8,FALSE),main!$K$18:$O$18,0))))),1,0)</f>
        <v>0</v>
      </c>
      <c r="AI68">
        <f>IF((AND(VLOOKUP(AI$1,main!$A$3:$H$102,5,FALSE)-VLOOKUP($A68,main!$A$3:$H$102,6,FALSE)&gt;=(VLOOKUP(VLOOKUP(AI$1,main!$A$3:$H$102,8,FALSE),main!$K$26:$M$29,2,FALSE)+VLOOKUP(VLOOKUP(AI$1,main!$A$3:$H$102,7,FALSE),main!$K$19:$O$22,MATCH(VLOOKUP($A68,main!$A$3:$H$102,8,FALSE),main!$K$18:$O$18,0))))),1,0)</f>
        <v>1</v>
      </c>
      <c r="AJ68">
        <f>IF((AND(VLOOKUP(AJ$1,main!$A$3:$H$102,5,FALSE)-VLOOKUP($A68,main!$A$3:$H$102,6,FALSE)&gt;=(VLOOKUP(VLOOKUP(AJ$1,main!$A$3:$H$102,8,FALSE),main!$K$26:$M$29,2,FALSE)+VLOOKUP(VLOOKUP(AJ$1,main!$A$3:$H$102,7,FALSE),main!$K$19:$O$22,MATCH(VLOOKUP($A68,main!$A$3:$H$102,8,FALSE),main!$K$18:$O$18,0))))),1,0)</f>
        <v>1</v>
      </c>
      <c r="AK68">
        <f>IF((AND(VLOOKUP(AK$1,main!$A$3:$H$102,5,FALSE)-VLOOKUP($A68,main!$A$3:$H$102,6,FALSE)&gt;=(VLOOKUP(VLOOKUP(AK$1,main!$A$3:$H$102,8,FALSE),main!$K$26:$M$29,2,FALSE)+VLOOKUP(VLOOKUP(AK$1,main!$A$3:$H$102,7,FALSE),main!$K$19:$O$22,MATCH(VLOOKUP($A68,main!$A$3:$H$102,8,FALSE),main!$K$18:$O$18,0))))),1,0)</f>
        <v>1</v>
      </c>
      <c r="AL68">
        <f>IF((AND(VLOOKUP(AL$1,main!$A$3:$H$102,5,FALSE)-VLOOKUP($A68,main!$A$3:$H$102,6,FALSE)&gt;=(VLOOKUP(VLOOKUP(AL$1,main!$A$3:$H$102,8,FALSE),main!$K$26:$M$29,2,FALSE)+VLOOKUP(VLOOKUP(AL$1,main!$A$3:$H$102,7,FALSE),main!$K$19:$O$22,MATCH(VLOOKUP($A68,main!$A$3:$H$102,8,FALSE),main!$K$18:$O$18,0))))),1,0)</f>
        <v>1</v>
      </c>
      <c r="AM68">
        <f>IF((AND(VLOOKUP(AM$1,main!$A$3:$H$102,5,FALSE)-VLOOKUP($A68,main!$A$3:$H$102,6,FALSE)&gt;=(VLOOKUP(VLOOKUP(AM$1,main!$A$3:$H$102,8,FALSE),main!$K$26:$M$29,2,FALSE)+VLOOKUP(VLOOKUP(AM$1,main!$A$3:$H$102,7,FALSE),main!$K$19:$O$22,MATCH(VLOOKUP($A68,main!$A$3:$H$102,8,FALSE),main!$K$18:$O$18,0))))),1,0)</f>
        <v>1</v>
      </c>
      <c r="AN68">
        <f>IF((AND(VLOOKUP(AN$1,main!$A$3:$H$102,5,FALSE)-VLOOKUP($A68,main!$A$3:$H$102,6,FALSE)&gt;=(VLOOKUP(VLOOKUP(AN$1,main!$A$3:$H$102,8,FALSE),main!$K$26:$M$29,2,FALSE)+VLOOKUP(VLOOKUP(AN$1,main!$A$3:$H$102,7,FALSE),main!$K$19:$O$22,MATCH(VLOOKUP($A68,main!$A$3:$H$102,8,FALSE),main!$K$18:$O$18,0))))),1,0)</f>
        <v>1</v>
      </c>
      <c r="AO68">
        <f>IF((AND(VLOOKUP(AO$1,main!$A$3:$H$102,5,FALSE)-VLOOKUP($A68,main!$A$3:$H$102,6,FALSE)&gt;=(VLOOKUP(VLOOKUP(AO$1,main!$A$3:$H$102,8,FALSE),main!$K$26:$M$29,2,FALSE)+VLOOKUP(VLOOKUP(AO$1,main!$A$3:$H$102,7,FALSE),main!$K$19:$O$22,MATCH(VLOOKUP($A68,main!$A$3:$H$102,8,FALSE),main!$K$18:$O$18,0))))),1,0)</f>
        <v>0</v>
      </c>
      <c r="AP68">
        <f>IF((AND(VLOOKUP(AP$1,main!$A$3:$H$102,5,FALSE)-VLOOKUP($A68,main!$A$3:$H$102,6,FALSE)&gt;=(VLOOKUP(VLOOKUP(AP$1,main!$A$3:$H$102,8,FALSE),main!$K$26:$M$29,2,FALSE)+VLOOKUP(VLOOKUP(AP$1,main!$A$3:$H$102,7,FALSE),main!$K$19:$O$22,MATCH(VLOOKUP($A68,main!$A$3:$H$102,8,FALSE),main!$K$18:$O$18,0))))),1,0)</f>
        <v>1</v>
      </c>
      <c r="AQ68">
        <f>IF((AND(VLOOKUP(AQ$1,main!$A$3:$H$102,5,FALSE)-VLOOKUP($A68,main!$A$3:$H$102,6,FALSE)&gt;=(VLOOKUP(VLOOKUP(AQ$1,main!$A$3:$H$102,8,FALSE),main!$K$26:$M$29,2,FALSE)+VLOOKUP(VLOOKUP(AQ$1,main!$A$3:$H$102,7,FALSE),main!$K$19:$O$22,MATCH(VLOOKUP($A68,main!$A$3:$H$102,8,FALSE),main!$K$18:$O$18,0))))),1,0)</f>
        <v>0</v>
      </c>
      <c r="AR68">
        <f>IF((AND(VLOOKUP(AR$1,main!$A$3:$H$102,5,FALSE)-VLOOKUP($A68,main!$A$3:$H$102,6,FALSE)&gt;=(VLOOKUP(VLOOKUP(AR$1,main!$A$3:$H$102,8,FALSE),main!$K$26:$M$29,2,FALSE)+VLOOKUP(VLOOKUP(AR$1,main!$A$3:$H$102,7,FALSE),main!$K$19:$O$22,MATCH(VLOOKUP($A68,main!$A$3:$H$102,8,FALSE),main!$K$18:$O$18,0))))),1,0)</f>
        <v>0</v>
      </c>
      <c r="AS68">
        <f>IF((AND(VLOOKUP(AS$1,main!$A$3:$H$102,5,FALSE)-VLOOKUP($A68,main!$A$3:$H$102,6,FALSE)&gt;=(VLOOKUP(VLOOKUP(AS$1,main!$A$3:$H$102,8,FALSE),main!$K$26:$M$29,2,FALSE)+VLOOKUP(VLOOKUP(AS$1,main!$A$3:$H$102,7,FALSE),main!$K$19:$O$22,MATCH(VLOOKUP($A68,main!$A$3:$H$102,8,FALSE),main!$K$18:$O$18,0))))),1,0)</f>
        <v>1</v>
      </c>
      <c r="AT68">
        <f>IF((AND(VLOOKUP(AT$1,main!$A$3:$H$102,5,FALSE)-VLOOKUP($A68,main!$A$3:$H$102,6,FALSE)&gt;=(VLOOKUP(VLOOKUP(AT$1,main!$A$3:$H$102,8,FALSE),main!$K$26:$M$29,2,FALSE)+VLOOKUP(VLOOKUP(AT$1,main!$A$3:$H$102,7,FALSE),main!$K$19:$O$22,MATCH(VLOOKUP($A68,main!$A$3:$H$102,8,FALSE),main!$K$18:$O$18,0))))),1,0)</f>
        <v>1</v>
      </c>
      <c r="AU68">
        <f>IF((AND(VLOOKUP(AU$1,main!$A$3:$H$102,5,FALSE)-VLOOKUP($A68,main!$A$3:$H$102,6,FALSE)&gt;=(VLOOKUP(VLOOKUP(AU$1,main!$A$3:$H$102,8,FALSE),main!$K$26:$M$29,2,FALSE)+VLOOKUP(VLOOKUP(AU$1,main!$A$3:$H$102,7,FALSE),main!$K$19:$O$22,MATCH(VLOOKUP($A68,main!$A$3:$H$102,8,FALSE),main!$K$18:$O$18,0))))),1,0)</f>
        <v>0</v>
      </c>
      <c r="AV68">
        <f>IF((AND(VLOOKUP(AV$1,main!$A$3:$H$102,5,FALSE)-VLOOKUP($A68,main!$A$3:$H$102,6,FALSE)&gt;=(VLOOKUP(VLOOKUP(AV$1,main!$A$3:$H$102,8,FALSE),main!$K$26:$M$29,2,FALSE)+VLOOKUP(VLOOKUP(AV$1,main!$A$3:$H$102,7,FALSE),main!$K$19:$O$22,MATCH(VLOOKUP($A68,main!$A$3:$H$102,8,FALSE),main!$K$18:$O$18,0))))),1,0)</f>
        <v>0</v>
      </c>
      <c r="AW68">
        <f>IF((AND(VLOOKUP(AW$1,main!$A$3:$H$102,5,FALSE)-VLOOKUP($A68,main!$A$3:$H$102,6,FALSE)&gt;=(VLOOKUP(VLOOKUP(AW$1,main!$A$3:$H$102,8,FALSE),main!$K$26:$M$29,2,FALSE)+VLOOKUP(VLOOKUP(AW$1,main!$A$3:$H$102,7,FALSE),main!$K$19:$O$22,MATCH(VLOOKUP($A68,main!$A$3:$H$102,8,FALSE),main!$K$18:$O$18,0))))),1,0)</f>
        <v>1</v>
      </c>
      <c r="AX68">
        <f>IF((AND(VLOOKUP(AX$1,main!$A$3:$H$102,5,FALSE)-VLOOKUP($A68,main!$A$3:$H$102,6,FALSE)&gt;=(VLOOKUP(VLOOKUP(AX$1,main!$A$3:$H$102,8,FALSE),main!$K$26:$M$29,2,FALSE)+VLOOKUP(VLOOKUP(AX$1,main!$A$3:$H$102,7,FALSE),main!$K$19:$O$22,MATCH(VLOOKUP($A68,main!$A$3:$H$102,8,FALSE),main!$K$18:$O$18,0))))),1,0)</f>
        <v>1</v>
      </c>
      <c r="AY68">
        <f>IF((AND(VLOOKUP(AY$1,main!$A$3:$H$102,5,FALSE)-VLOOKUP($A68,main!$A$3:$H$102,6,FALSE)&gt;=(VLOOKUP(VLOOKUP(AY$1,main!$A$3:$H$102,8,FALSE),main!$K$26:$M$29,2,FALSE)+VLOOKUP(VLOOKUP(AY$1,main!$A$3:$H$102,7,FALSE),main!$K$19:$O$22,MATCH(VLOOKUP($A68,main!$A$3:$H$102,8,FALSE),main!$K$18:$O$18,0))))),1,0)</f>
        <v>0</v>
      </c>
      <c r="AZ68">
        <f>IF((AND(VLOOKUP(AZ$1,main!$A$3:$H$102,5,FALSE)-VLOOKUP($A68,main!$A$3:$H$102,6,FALSE)&gt;=(VLOOKUP(VLOOKUP(AZ$1,main!$A$3:$H$102,8,FALSE),main!$K$26:$M$29,2,FALSE)+VLOOKUP(VLOOKUP(AZ$1,main!$A$3:$H$102,7,FALSE),main!$K$19:$O$22,MATCH(VLOOKUP($A68,main!$A$3:$H$102,8,FALSE),main!$K$18:$O$18,0))))),1,0)</f>
        <v>1</v>
      </c>
      <c r="BA68">
        <f>IF((AND(VLOOKUP(BA$1,main!$A$3:$H$102,5,FALSE)-VLOOKUP($A68,main!$A$3:$H$102,6,FALSE)&gt;=(VLOOKUP(VLOOKUP(BA$1,main!$A$3:$H$102,8,FALSE),main!$K$26:$M$29,2,FALSE)+VLOOKUP(VLOOKUP(BA$1,main!$A$3:$H$102,7,FALSE),main!$K$19:$O$22,MATCH(VLOOKUP($A68,main!$A$3:$H$102,8,FALSE),main!$K$18:$O$18,0))))),1,0)</f>
        <v>0</v>
      </c>
      <c r="BB68">
        <f>IF((AND(VLOOKUP(BB$1,main!$A$3:$H$102,5,FALSE)-VLOOKUP($A68,main!$A$3:$H$102,6,FALSE)&gt;=(VLOOKUP(VLOOKUP(BB$1,main!$A$3:$H$102,8,FALSE),main!$K$26:$M$29,2,FALSE)+VLOOKUP(VLOOKUP(BB$1,main!$A$3:$H$102,7,FALSE),main!$K$19:$O$22,MATCH(VLOOKUP($A68,main!$A$3:$H$102,8,FALSE),main!$K$18:$O$18,0))))),1,0)</f>
        <v>1</v>
      </c>
      <c r="BC68">
        <f>IF((AND(VLOOKUP(BC$1,main!$A$3:$H$102,5,FALSE)-VLOOKUP($A68,main!$A$3:$H$102,6,FALSE)&gt;=(VLOOKUP(VLOOKUP(BC$1,main!$A$3:$H$102,8,FALSE),main!$K$26:$M$29,2,FALSE)+VLOOKUP(VLOOKUP(BC$1,main!$A$3:$H$102,7,FALSE),main!$K$19:$O$22,MATCH(VLOOKUP($A68,main!$A$3:$H$102,8,FALSE),main!$K$18:$O$18,0))))),1,0)</f>
        <v>1</v>
      </c>
      <c r="BD68">
        <f>IF((AND(VLOOKUP(BD$1,main!$A$3:$H$102,5,FALSE)-VLOOKUP($A68,main!$A$3:$H$102,6,FALSE)&gt;=(VLOOKUP(VLOOKUP(BD$1,main!$A$3:$H$102,8,FALSE),main!$K$26:$M$29,2,FALSE)+VLOOKUP(VLOOKUP(BD$1,main!$A$3:$H$102,7,FALSE),main!$K$19:$O$22,MATCH(VLOOKUP($A68,main!$A$3:$H$102,8,FALSE),main!$K$18:$O$18,0))))),1,0)</f>
        <v>1</v>
      </c>
      <c r="BE68">
        <f>IF((AND(VLOOKUP(BE$1,main!$A$3:$H$102,5,FALSE)-VLOOKUP($A68,main!$A$3:$H$102,6,FALSE)&gt;=(VLOOKUP(VLOOKUP(BE$1,main!$A$3:$H$102,8,FALSE),main!$K$26:$M$29,2,FALSE)+VLOOKUP(VLOOKUP(BE$1,main!$A$3:$H$102,7,FALSE),main!$K$19:$O$22,MATCH(VLOOKUP($A68,main!$A$3:$H$102,8,FALSE),main!$K$18:$O$18,0))))),1,0)</f>
        <v>1</v>
      </c>
      <c r="BF68">
        <f>IF((AND(VLOOKUP(BF$1,main!$A$3:$H$102,5,FALSE)-VLOOKUP($A68,main!$A$3:$H$102,6,FALSE)&gt;=(VLOOKUP(VLOOKUP(BF$1,main!$A$3:$H$102,8,FALSE),main!$K$26:$M$29,2,FALSE)+VLOOKUP(VLOOKUP(BF$1,main!$A$3:$H$102,7,FALSE),main!$K$19:$O$22,MATCH(VLOOKUP($A68,main!$A$3:$H$102,8,FALSE),main!$K$18:$O$18,0))))),1,0)</f>
        <v>0</v>
      </c>
      <c r="BG68">
        <f>IF((AND(VLOOKUP(BG$1,main!$A$3:$H$102,5,FALSE)-VLOOKUP($A68,main!$A$3:$H$102,6,FALSE)&gt;=(VLOOKUP(VLOOKUP(BG$1,main!$A$3:$H$102,8,FALSE),main!$K$26:$M$29,2,FALSE)+VLOOKUP(VLOOKUP(BG$1,main!$A$3:$H$102,7,FALSE),main!$K$19:$O$22,MATCH(VLOOKUP($A68,main!$A$3:$H$102,8,FALSE),main!$K$18:$O$18,0))))),1,0)</f>
        <v>0</v>
      </c>
      <c r="BH68">
        <f>IF((AND(VLOOKUP(BH$1,main!$A$3:$H$102,5,FALSE)-VLOOKUP($A68,main!$A$3:$H$102,6,FALSE)&gt;=(VLOOKUP(VLOOKUP(BH$1,main!$A$3:$H$102,8,FALSE),main!$K$26:$M$29,2,FALSE)+VLOOKUP(VLOOKUP(BH$1,main!$A$3:$H$102,7,FALSE),main!$K$19:$O$22,MATCH(VLOOKUP($A68,main!$A$3:$H$102,8,FALSE),main!$K$18:$O$18,0))))),1,0)</f>
        <v>1</v>
      </c>
      <c r="BI68">
        <f>IF((AND(VLOOKUP(BI$1,main!$A$3:$H$102,5,FALSE)-VLOOKUP($A68,main!$A$3:$H$102,6,FALSE)&gt;=(VLOOKUP(VLOOKUP(BI$1,main!$A$3:$H$102,8,FALSE),main!$K$26:$M$29,2,FALSE)+VLOOKUP(VLOOKUP(BI$1,main!$A$3:$H$102,7,FALSE),main!$K$19:$O$22,MATCH(VLOOKUP($A68,main!$A$3:$H$102,8,FALSE),main!$K$18:$O$18,0))))),1,0)</f>
        <v>1</v>
      </c>
      <c r="BJ68">
        <f>IF((AND(VLOOKUP(BJ$1,main!$A$3:$H$102,5,FALSE)-VLOOKUP($A68,main!$A$3:$H$102,6,FALSE)&gt;=(VLOOKUP(VLOOKUP(BJ$1,main!$A$3:$H$102,8,FALSE),main!$K$26:$M$29,2,FALSE)+VLOOKUP(VLOOKUP(BJ$1,main!$A$3:$H$102,7,FALSE),main!$K$19:$O$22,MATCH(VLOOKUP($A68,main!$A$3:$H$102,8,FALSE),main!$K$18:$O$18,0))))),1,0)</f>
        <v>1</v>
      </c>
      <c r="BK68">
        <f>IF((AND(VLOOKUP(BK$1,main!$A$3:$H$102,5,FALSE)-VLOOKUP($A68,main!$A$3:$H$102,6,FALSE)&gt;=(VLOOKUP(VLOOKUP(BK$1,main!$A$3:$H$102,8,FALSE),main!$K$26:$M$29,2,FALSE)+VLOOKUP(VLOOKUP(BK$1,main!$A$3:$H$102,7,FALSE),main!$K$19:$O$22,MATCH(VLOOKUP($A68,main!$A$3:$H$102,8,FALSE),main!$K$18:$O$18,0))))),1,0)</f>
        <v>0</v>
      </c>
      <c r="BL68">
        <f>IF((AND(VLOOKUP(BL$1,main!$A$3:$H$102,5,FALSE)-VLOOKUP($A68,main!$A$3:$H$102,6,FALSE)&gt;=(VLOOKUP(VLOOKUP(BL$1,main!$A$3:$H$102,8,FALSE),main!$K$26:$M$29,2,FALSE)+VLOOKUP(VLOOKUP(BL$1,main!$A$3:$H$102,7,FALSE),main!$K$19:$O$22,MATCH(VLOOKUP($A68,main!$A$3:$H$102,8,FALSE),main!$K$18:$O$18,0))))),1,0)</f>
        <v>0</v>
      </c>
      <c r="BM68">
        <f>IF((AND(VLOOKUP(BM$1,main!$A$3:$H$102,5,FALSE)-VLOOKUP($A68,main!$A$3:$H$102,6,FALSE)&gt;=(VLOOKUP(VLOOKUP(BM$1,main!$A$3:$H$102,8,FALSE),main!$K$26:$M$29,2,FALSE)+VLOOKUP(VLOOKUP(BM$1,main!$A$3:$H$102,7,FALSE),main!$K$19:$O$22,MATCH(VLOOKUP($A68,main!$A$3:$H$102,8,FALSE),main!$K$18:$O$18,0))))),1,0)</f>
        <v>0</v>
      </c>
      <c r="BN68">
        <f>IF((AND(VLOOKUP(BN$1,main!$A$3:$H$102,5,FALSE)-VLOOKUP($A68,main!$A$3:$H$102,6,FALSE)&gt;=(VLOOKUP(VLOOKUP(BN$1,main!$A$3:$H$102,8,FALSE),main!$K$26:$M$29,2,FALSE)+VLOOKUP(VLOOKUP(BN$1,main!$A$3:$H$102,7,FALSE),main!$K$19:$O$22,MATCH(VLOOKUP($A68,main!$A$3:$H$102,8,FALSE),main!$K$18:$O$18,0))))),1,0)</f>
        <v>1</v>
      </c>
      <c r="BO68">
        <f>IF((AND(VLOOKUP(BO$1,main!$A$3:$H$102,5,FALSE)-VLOOKUP($A68,main!$A$3:$H$102,6,FALSE)&gt;=(VLOOKUP(VLOOKUP(BO$1,main!$A$3:$H$102,8,FALSE),main!$K$26:$M$29,2,FALSE)+VLOOKUP(VLOOKUP(BO$1,main!$A$3:$H$102,7,FALSE),main!$K$19:$O$22,MATCH(VLOOKUP($A68,main!$A$3:$H$102,8,FALSE),main!$K$18:$O$18,0))))),1,0)</f>
        <v>0</v>
      </c>
      <c r="BP68">
        <f>IF((AND(VLOOKUP(BP$1,main!$A$3:$H$102,5,FALSE)-VLOOKUP($A68,main!$A$3:$H$102,6,FALSE)&gt;=(VLOOKUP(VLOOKUP(BP$1,main!$A$3:$H$102,8,FALSE),main!$K$26:$M$29,2,FALSE)+VLOOKUP(VLOOKUP(BP$1,main!$A$3:$H$102,7,FALSE),main!$K$19:$O$22,MATCH(VLOOKUP($A68,main!$A$3:$H$102,8,FALSE),main!$K$18:$O$18,0))))),1,0)</f>
        <v>0</v>
      </c>
      <c r="BQ68">
        <f>IF((AND(VLOOKUP(BQ$1,main!$A$3:$H$102,5,FALSE)-VLOOKUP($A68,main!$A$3:$H$102,6,FALSE)&gt;=(VLOOKUP(VLOOKUP(BQ$1,main!$A$3:$H$102,8,FALSE),main!$K$26:$M$29,2,FALSE)+VLOOKUP(VLOOKUP(BQ$1,main!$A$3:$H$102,7,FALSE),main!$K$19:$O$22,MATCH(VLOOKUP($A68,main!$A$3:$H$102,8,FALSE),main!$K$18:$O$18,0))))),1,0)</f>
        <v>1</v>
      </c>
      <c r="BR68">
        <f>IF((AND(VLOOKUP(BR$1,main!$A$3:$H$102,5,FALSE)-VLOOKUP($A68,main!$A$3:$H$102,6,FALSE)&gt;=(VLOOKUP(VLOOKUP(BR$1,main!$A$3:$H$102,8,FALSE),main!$K$26:$M$29,2,FALSE)+VLOOKUP(VLOOKUP(BR$1,main!$A$3:$H$102,7,FALSE),main!$K$19:$O$22,MATCH(VLOOKUP($A68,main!$A$3:$H$102,8,FALSE),main!$K$18:$O$18,0))))),1,0)</f>
        <v>1</v>
      </c>
      <c r="BS68">
        <f>IF((AND(VLOOKUP(BS$1,main!$A$3:$H$102,5,FALSE)-VLOOKUP($A68,main!$A$3:$H$102,6,FALSE)&gt;=(VLOOKUP(VLOOKUP(BS$1,main!$A$3:$H$102,8,FALSE),main!$K$26:$M$29,2,FALSE)+VLOOKUP(VLOOKUP(BS$1,main!$A$3:$H$102,7,FALSE),main!$K$19:$O$22,MATCH(VLOOKUP($A68,main!$A$3:$H$102,8,FALSE),main!$K$18:$O$18,0))))),1,0)</f>
        <v>1</v>
      </c>
      <c r="BT68">
        <f>IF((AND(VLOOKUP(BT$1,main!$A$3:$H$102,5,FALSE)-VLOOKUP($A68,main!$A$3:$H$102,6,FALSE)&gt;=(VLOOKUP(VLOOKUP(BT$1,main!$A$3:$H$102,8,FALSE),main!$K$26:$M$29,2,FALSE)+VLOOKUP(VLOOKUP(BT$1,main!$A$3:$H$102,7,FALSE),main!$K$19:$O$22,MATCH(VLOOKUP($A68,main!$A$3:$H$102,8,FALSE),main!$K$18:$O$18,0))))),1,0)</f>
        <v>1</v>
      </c>
      <c r="BU68">
        <f>IF((AND(VLOOKUP(BU$1,main!$A$3:$H$102,5,FALSE)-VLOOKUP($A68,main!$A$3:$H$102,6,FALSE)&gt;=(VLOOKUP(VLOOKUP(BU$1,main!$A$3:$H$102,8,FALSE),main!$K$26:$M$29,2,FALSE)+VLOOKUP(VLOOKUP(BU$1,main!$A$3:$H$102,7,FALSE),main!$K$19:$O$22,MATCH(VLOOKUP($A68,main!$A$3:$H$102,8,FALSE),main!$K$18:$O$18,0))))),1,0)</f>
        <v>0</v>
      </c>
      <c r="BV68">
        <f>IF((AND(VLOOKUP(BV$1,main!$A$3:$H$102,5,FALSE)-VLOOKUP($A68,main!$A$3:$H$102,6,FALSE)&gt;=(VLOOKUP(VLOOKUP(BV$1,main!$A$3:$H$102,8,FALSE),main!$K$26:$M$29,2,FALSE)+VLOOKUP(VLOOKUP(BV$1,main!$A$3:$H$102,7,FALSE),main!$K$19:$O$22,MATCH(VLOOKUP($A68,main!$A$3:$H$102,8,FALSE),main!$K$18:$O$18,0))))),1,0)</f>
        <v>0</v>
      </c>
      <c r="BW68">
        <f>IF((AND(VLOOKUP(BW$1,main!$A$3:$H$102,5,FALSE)-VLOOKUP($A68,main!$A$3:$H$102,6,FALSE)&gt;=(VLOOKUP(VLOOKUP(BW$1,main!$A$3:$H$102,8,FALSE),main!$K$26:$M$29,2,FALSE)+VLOOKUP(VLOOKUP(BW$1,main!$A$3:$H$102,7,FALSE),main!$K$19:$O$22,MATCH(VLOOKUP($A68,main!$A$3:$H$102,8,FALSE),main!$K$18:$O$18,0))))),1,0)</f>
        <v>0</v>
      </c>
      <c r="BX68">
        <f>IF((AND(VLOOKUP(BX$1,main!$A$3:$H$102,5,FALSE)-VLOOKUP($A68,main!$A$3:$H$102,6,FALSE)&gt;=(VLOOKUP(VLOOKUP(BX$1,main!$A$3:$H$102,8,FALSE),main!$K$26:$M$29,2,FALSE)+VLOOKUP(VLOOKUP(BX$1,main!$A$3:$H$102,7,FALSE),main!$K$19:$O$22,MATCH(VLOOKUP($A68,main!$A$3:$H$102,8,FALSE),main!$K$18:$O$18,0))))),1,0)</f>
        <v>1</v>
      </c>
      <c r="BY68">
        <f>IF((AND(VLOOKUP(BY$1,main!$A$3:$H$102,5,FALSE)-VLOOKUP($A68,main!$A$3:$H$102,6,FALSE)&gt;=(VLOOKUP(VLOOKUP(BY$1,main!$A$3:$H$102,8,FALSE),main!$K$26:$M$29,2,FALSE)+VLOOKUP(VLOOKUP(BY$1,main!$A$3:$H$102,7,FALSE),main!$K$19:$O$22,MATCH(VLOOKUP($A68,main!$A$3:$H$102,8,FALSE),main!$K$18:$O$18,0))))),1,0)</f>
        <v>1</v>
      </c>
      <c r="BZ68">
        <f>IF((AND(VLOOKUP(BZ$1,main!$A$3:$H$102,5,FALSE)-VLOOKUP($A68,main!$A$3:$H$102,6,FALSE)&gt;=(VLOOKUP(VLOOKUP(BZ$1,main!$A$3:$H$102,8,FALSE),main!$K$26:$M$29,2,FALSE)+VLOOKUP(VLOOKUP(BZ$1,main!$A$3:$H$102,7,FALSE),main!$K$19:$O$22,MATCH(VLOOKUP($A68,main!$A$3:$H$102,8,FALSE),main!$K$18:$O$18,0))))),1,0)</f>
        <v>0</v>
      </c>
      <c r="CA68">
        <f>IF((AND(VLOOKUP(CA$1,main!$A$3:$H$102,5,FALSE)-VLOOKUP($A68,main!$A$3:$H$102,6,FALSE)&gt;=(VLOOKUP(VLOOKUP(CA$1,main!$A$3:$H$102,8,FALSE),main!$K$26:$M$29,2,FALSE)+VLOOKUP(VLOOKUP(CA$1,main!$A$3:$H$102,7,FALSE),main!$K$19:$O$22,MATCH(VLOOKUP($A68,main!$A$3:$H$102,8,FALSE),main!$K$18:$O$18,0))))),1,0)</f>
        <v>0</v>
      </c>
      <c r="CB68">
        <f>IF((AND(VLOOKUP(CB$1,main!$A$3:$H$102,5,FALSE)-VLOOKUP($A68,main!$A$3:$H$102,6,FALSE)&gt;=(VLOOKUP(VLOOKUP(CB$1,main!$A$3:$H$102,8,FALSE),main!$K$26:$M$29,2,FALSE)+VLOOKUP(VLOOKUP(CB$1,main!$A$3:$H$102,7,FALSE),main!$K$19:$O$22,MATCH(VLOOKUP($A68,main!$A$3:$H$102,8,FALSE),main!$K$18:$O$18,0))))),1,0)</f>
        <v>1</v>
      </c>
      <c r="CC68">
        <f>IF((AND(VLOOKUP(CC$1,main!$A$3:$H$102,5,FALSE)-VLOOKUP($A68,main!$A$3:$H$102,6,FALSE)&gt;=(VLOOKUP(VLOOKUP(CC$1,main!$A$3:$H$102,8,FALSE),main!$K$26:$M$29,2,FALSE)+VLOOKUP(VLOOKUP(CC$1,main!$A$3:$H$102,7,FALSE),main!$K$19:$O$22,MATCH(VLOOKUP($A68,main!$A$3:$H$102,8,FALSE),main!$K$18:$O$18,0))))),1,0)</f>
        <v>1</v>
      </c>
      <c r="CD68">
        <f>IF((AND(VLOOKUP(CD$1,main!$A$3:$H$102,5,FALSE)-VLOOKUP($A68,main!$A$3:$H$102,6,FALSE)&gt;=(VLOOKUP(VLOOKUP(CD$1,main!$A$3:$H$102,8,FALSE),main!$K$26:$M$29,2,FALSE)+VLOOKUP(VLOOKUP(CD$1,main!$A$3:$H$102,7,FALSE),main!$K$19:$O$22,MATCH(VLOOKUP($A68,main!$A$3:$H$102,8,FALSE),main!$K$18:$O$18,0))))),1,0)</f>
        <v>1</v>
      </c>
      <c r="CE68">
        <f>IF((AND(VLOOKUP(CE$1,main!$A$3:$H$102,5,FALSE)-VLOOKUP($A68,main!$A$3:$H$102,6,FALSE)&gt;=(VLOOKUP(VLOOKUP(CE$1,main!$A$3:$H$102,8,FALSE),main!$K$26:$M$29,2,FALSE)+VLOOKUP(VLOOKUP(CE$1,main!$A$3:$H$102,7,FALSE),main!$K$19:$O$22,MATCH(VLOOKUP($A68,main!$A$3:$H$102,8,FALSE),main!$K$18:$O$18,0))))),1,0)</f>
        <v>0</v>
      </c>
      <c r="CF68">
        <f>IF((AND(VLOOKUP(CF$1,main!$A$3:$H$102,5,FALSE)-VLOOKUP($A68,main!$A$3:$H$102,6,FALSE)&gt;=(VLOOKUP(VLOOKUP(CF$1,main!$A$3:$H$102,8,FALSE),main!$K$26:$M$29,2,FALSE)+VLOOKUP(VLOOKUP(CF$1,main!$A$3:$H$102,7,FALSE),main!$K$19:$O$22,MATCH(VLOOKUP($A68,main!$A$3:$H$102,8,FALSE),main!$K$18:$O$18,0))))),1,0)</f>
        <v>1</v>
      </c>
      <c r="CG68">
        <f>IF((AND(VLOOKUP(CG$1,main!$A$3:$H$102,5,FALSE)-VLOOKUP($A68,main!$A$3:$H$102,6,FALSE)&gt;=(VLOOKUP(VLOOKUP(CG$1,main!$A$3:$H$102,8,FALSE),main!$K$26:$M$29,2,FALSE)+VLOOKUP(VLOOKUP(CG$1,main!$A$3:$H$102,7,FALSE),main!$K$19:$O$22,MATCH(VLOOKUP($A68,main!$A$3:$H$102,8,FALSE),main!$K$18:$O$18,0))))),1,0)</f>
        <v>1</v>
      </c>
      <c r="CH68">
        <f>IF((AND(VLOOKUP(CH$1,main!$A$3:$H$102,5,FALSE)-VLOOKUP($A68,main!$A$3:$H$102,6,FALSE)&gt;=(VLOOKUP(VLOOKUP(CH$1,main!$A$3:$H$102,8,FALSE),main!$K$26:$M$29,2,FALSE)+VLOOKUP(VLOOKUP(CH$1,main!$A$3:$H$102,7,FALSE),main!$K$19:$O$22,MATCH(VLOOKUP($A68,main!$A$3:$H$102,8,FALSE),main!$K$18:$O$18,0))))),1,0)</f>
        <v>1</v>
      </c>
      <c r="CI68">
        <f>IF((AND(VLOOKUP(CI$1,main!$A$3:$H$102,5,FALSE)-VLOOKUP($A68,main!$A$3:$H$102,6,FALSE)&gt;=(VLOOKUP(VLOOKUP(CI$1,main!$A$3:$H$102,8,FALSE),main!$K$26:$M$29,2,FALSE)+VLOOKUP(VLOOKUP(CI$1,main!$A$3:$H$102,7,FALSE),main!$K$19:$O$22,MATCH(VLOOKUP($A68,main!$A$3:$H$102,8,FALSE),main!$K$18:$O$18,0))))),1,0)</f>
        <v>1</v>
      </c>
      <c r="CJ68">
        <f>IF((AND(VLOOKUP(CJ$1,main!$A$3:$H$102,5,FALSE)-VLOOKUP($A68,main!$A$3:$H$102,6,FALSE)&gt;=(VLOOKUP(VLOOKUP(CJ$1,main!$A$3:$H$102,8,FALSE),main!$K$26:$M$29,2,FALSE)+VLOOKUP(VLOOKUP(CJ$1,main!$A$3:$H$102,7,FALSE),main!$K$19:$O$22,MATCH(VLOOKUP($A68,main!$A$3:$H$102,8,FALSE),main!$K$18:$O$18,0))))),1,0)</f>
        <v>1</v>
      </c>
      <c r="CK68">
        <f>IF((AND(VLOOKUP(CK$1,main!$A$3:$H$102,5,FALSE)-VLOOKUP($A68,main!$A$3:$H$102,6,FALSE)&gt;=(VLOOKUP(VLOOKUP(CK$1,main!$A$3:$H$102,8,FALSE),main!$K$26:$M$29,2,FALSE)+VLOOKUP(VLOOKUP(CK$1,main!$A$3:$H$102,7,FALSE),main!$K$19:$O$22,MATCH(VLOOKUP($A68,main!$A$3:$H$102,8,FALSE),main!$K$18:$O$18,0))))),1,0)</f>
        <v>0</v>
      </c>
      <c r="CL68">
        <f>IF((AND(VLOOKUP(CL$1,main!$A$3:$H$102,5,FALSE)-VLOOKUP($A68,main!$A$3:$H$102,6,FALSE)&gt;=(VLOOKUP(VLOOKUP(CL$1,main!$A$3:$H$102,8,FALSE),main!$K$26:$M$29,2,FALSE)+VLOOKUP(VLOOKUP(CL$1,main!$A$3:$H$102,7,FALSE),main!$K$19:$O$22,MATCH(VLOOKUP($A68,main!$A$3:$H$102,8,FALSE),main!$K$18:$O$18,0))))),1,0)</f>
        <v>1</v>
      </c>
      <c r="CM68">
        <f>IF((AND(VLOOKUP(CM$1,main!$A$3:$H$102,5,FALSE)-VLOOKUP($A68,main!$A$3:$H$102,6,FALSE)&gt;=(VLOOKUP(VLOOKUP(CM$1,main!$A$3:$H$102,8,FALSE),main!$K$26:$M$29,2,FALSE)+VLOOKUP(VLOOKUP(CM$1,main!$A$3:$H$102,7,FALSE),main!$K$19:$O$22,MATCH(VLOOKUP($A68,main!$A$3:$H$102,8,FALSE),main!$K$18:$O$18,0))))),1,0)</f>
        <v>1</v>
      </c>
      <c r="CN68">
        <f>IF((AND(VLOOKUP(CN$1,main!$A$3:$H$102,5,FALSE)-VLOOKUP($A68,main!$A$3:$H$102,6,FALSE)&gt;=(VLOOKUP(VLOOKUP(CN$1,main!$A$3:$H$102,8,FALSE),main!$K$26:$M$29,2,FALSE)+VLOOKUP(VLOOKUP(CN$1,main!$A$3:$H$102,7,FALSE),main!$K$19:$O$22,MATCH(VLOOKUP($A68,main!$A$3:$H$102,8,FALSE),main!$K$18:$O$18,0))))),1,0)</f>
        <v>1</v>
      </c>
      <c r="CO68">
        <f>IF((AND(VLOOKUP(CO$1,main!$A$3:$H$102,5,FALSE)-VLOOKUP($A68,main!$A$3:$H$102,6,FALSE)&gt;=(VLOOKUP(VLOOKUP(CO$1,main!$A$3:$H$102,8,FALSE),main!$K$26:$M$29,2,FALSE)+VLOOKUP(VLOOKUP(CO$1,main!$A$3:$H$102,7,FALSE),main!$K$19:$O$22,MATCH(VLOOKUP($A68,main!$A$3:$H$102,8,FALSE),main!$K$18:$O$18,0))))),1,0)</f>
        <v>0</v>
      </c>
      <c r="CP68">
        <f>IF((AND(VLOOKUP(CP$1,main!$A$3:$H$102,5,FALSE)-VLOOKUP($A68,main!$A$3:$H$102,6,FALSE)&gt;=(VLOOKUP(VLOOKUP(CP$1,main!$A$3:$H$102,8,FALSE),main!$K$26:$M$29,2,FALSE)+VLOOKUP(VLOOKUP(CP$1,main!$A$3:$H$102,7,FALSE),main!$K$19:$O$22,MATCH(VLOOKUP($A68,main!$A$3:$H$102,8,FALSE),main!$K$18:$O$18,0))))),1,0)</f>
        <v>1</v>
      </c>
      <c r="CQ68">
        <f>IF((AND(VLOOKUP(CQ$1,main!$A$3:$H$102,5,FALSE)-VLOOKUP($A68,main!$A$3:$H$102,6,FALSE)&gt;=(VLOOKUP(VLOOKUP(CQ$1,main!$A$3:$H$102,8,FALSE),main!$K$26:$M$29,2,FALSE)+VLOOKUP(VLOOKUP(CQ$1,main!$A$3:$H$102,7,FALSE),main!$K$19:$O$22,MATCH(VLOOKUP($A68,main!$A$3:$H$102,8,FALSE),main!$K$18:$O$18,0))))),1,0)</f>
        <v>1</v>
      </c>
      <c r="CR68">
        <f>IF((AND(VLOOKUP(CR$1,main!$A$3:$H$102,5,FALSE)-VLOOKUP($A68,main!$A$3:$H$102,6,FALSE)&gt;=(VLOOKUP(VLOOKUP(CR$1,main!$A$3:$H$102,8,FALSE),main!$K$26:$M$29,2,FALSE)+VLOOKUP(VLOOKUP(CR$1,main!$A$3:$H$102,7,FALSE),main!$K$19:$O$22,MATCH(VLOOKUP($A68,main!$A$3:$H$102,8,FALSE),main!$K$18:$O$18,0))))),1,0)</f>
        <v>1</v>
      </c>
      <c r="CS68">
        <f>IF((AND(VLOOKUP(CS$1,main!$A$3:$H$102,5,FALSE)-VLOOKUP($A68,main!$A$3:$H$102,6,FALSE)&gt;=(VLOOKUP(VLOOKUP(CS$1,main!$A$3:$H$102,8,FALSE),main!$K$26:$M$29,2,FALSE)+VLOOKUP(VLOOKUP(CS$1,main!$A$3:$H$102,7,FALSE),main!$K$19:$O$22,MATCH(VLOOKUP($A68,main!$A$3:$H$102,8,FALSE),main!$K$18:$O$18,0))))),1,0)</f>
        <v>1</v>
      </c>
      <c r="CT68">
        <f>IF((AND(VLOOKUP(CT$1,main!$A$3:$H$102,5,FALSE)-VLOOKUP($A68,main!$A$3:$H$102,6,FALSE)&gt;=(VLOOKUP(VLOOKUP(CT$1,main!$A$3:$H$102,8,FALSE),main!$K$26:$M$29,2,FALSE)+VLOOKUP(VLOOKUP(CT$1,main!$A$3:$H$102,7,FALSE),main!$K$19:$O$22,MATCH(VLOOKUP($A68,main!$A$3:$H$102,8,FALSE),main!$K$18:$O$18,0))))),1,0)</f>
        <v>0</v>
      </c>
      <c r="CU68">
        <f>IF((AND(VLOOKUP(CU$1,main!$A$3:$H$102,5,FALSE)-VLOOKUP($A68,main!$A$3:$H$102,6,FALSE)&gt;=(VLOOKUP(VLOOKUP(CU$1,main!$A$3:$H$102,8,FALSE),main!$K$26:$M$29,2,FALSE)+VLOOKUP(VLOOKUP(CU$1,main!$A$3:$H$102,7,FALSE),main!$K$19:$O$22,MATCH(VLOOKUP($A68,main!$A$3:$H$102,8,FALSE),main!$K$18:$O$18,0))))),1,0)</f>
        <v>0</v>
      </c>
      <c r="CV68">
        <f>IF((AND(VLOOKUP(CV$1,main!$A$3:$H$102,5,FALSE)-VLOOKUP($A68,main!$A$3:$H$102,6,FALSE)&gt;=(VLOOKUP(VLOOKUP(CV$1,main!$A$3:$H$102,8,FALSE),main!$K$26:$M$29,2,FALSE)+VLOOKUP(VLOOKUP(CV$1,main!$A$3:$H$102,7,FALSE),main!$K$19:$O$22,MATCH(VLOOKUP($A68,main!$A$3:$H$102,8,FALSE),main!$K$18:$O$18,0))))),1,0)</f>
        <v>1</v>
      </c>
      <c r="CW68">
        <f>IF((AND(VLOOKUP(CW$1,main!$A$3:$H$102,5,FALSE)-VLOOKUP($A68,main!$A$3:$H$102,6,FALSE)&gt;=(VLOOKUP(VLOOKUP(CW$1,main!$A$3:$H$102,8,FALSE),main!$K$26:$M$29,2,FALSE)+VLOOKUP(VLOOKUP(CW$1,main!$A$3:$H$102,7,FALSE),main!$K$19:$O$22,MATCH(VLOOKUP($A68,main!$A$3:$H$102,8,FALSE),main!$K$18:$O$18,0))))),1,0)</f>
        <v>1</v>
      </c>
      <c r="CX68">
        <f>IF((AND(VLOOKUP(CX$1,main!$A$3:$H$102,5,FALSE)-VLOOKUP($A68,main!$A$3:$H$102,6,FALSE)&gt;=(VLOOKUP(VLOOKUP(CX$1,main!$A$3:$H$102,8,FALSE),main!$K$26:$M$29,2,FALSE)+VLOOKUP(VLOOKUP(CX$1,main!$A$3:$H$102,7,FALSE),main!$K$19:$O$22,MATCH(VLOOKUP($A68,main!$A$3:$H$102,8,FALSE),main!$K$18:$O$18,0))))),1,0)</f>
        <v>1</v>
      </c>
    </row>
    <row r="69" spans="1:102" x14ac:dyDescent="0.25">
      <c r="A69" s="1">
        <v>67</v>
      </c>
      <c r="B69">
        <v>1</v>
      </c>
      <c r="C69">
        <f>IF((AND(VLOOKUP(C$1,main!$A$3:$H$102,5,FALSE)-VLOOKUP($A69,main!$A$3:$H$102,6,FALSE)&gt;=(VLOOKUP(VLOOKUP(C$1,main!$A$3:$H$102,8,FALSE),main!$K$26:$M$29,2,FALSE)+VLOOKUP(VLOOKUP(C$1,main!$A$3:$H$102,7,FALSE),main!$K$19:$O$22,MATCH(VLOOKUP($A69,main!$A$3:$H$102,8,FALSE),main!$K$18:$O$18,0))))),1,0)</f>
        <v>0</v>
      </c>
      <c r="D69">
        <f>IF((AND(VLOOKUP(D$1,main!$A$3:$H$102,5,FALSE)-VLOOKUP($A69,main!$A$3:$H$102,6,FALSE)&gt;=(VLOOKUP(VLOOKUP(D$1,main!$A$3:$H$102,8,FALSE),main!$K$26:$M$29,2,FALSE)+VLOOKUP(VLOOKUP(D$1,main!$A$3:$H$102,7,FALSE),main!$K$19:$O$22,MATCH(VLOOKUP($A69,main!$A$3:$H$102,8,FALSE),main!$K$18:$O$18,0))))),1,0)</f>
        <v>0</v>
      </c>
      <c r="E69">
        <f>IF((AND(VLOOKUP(E$1,main!$A$3:$H$102,5,FALSE)-VLOOKUP($A69,main!$A$3:$H$102,6,FALSE)&gt;=(VLOOKUP(VLOOKUP(E$1,main!$A$3:$H$102,8,FALSE),main!$K$26:$M$29,2,FALSE)+VLOOKUP(VLOOKUP(E$1,main!$A$3:$H$102,7,FALSE),main!$K$19:$O$22,MATCH(VLOOKUP($A69,main!$A$3:$H$102,8,FALSE),main!$K$18:$O$18,0))))),1,0)</f>
        <v>0</v>
      </c>
      <c r="F69">
        <f>IF((AND(VLOOKUP(F$1,main!$A$3:$H$102,5,FALSE)-VLOOKUP($A69,main!$A$3:$H$102,6,FALSE)&gt;=(VLOOKUP(VLOOKUP(F$1,main!$A$3:$H$102,8,FALSE),main!$K$26:$M$29,2,FALSE)+VLOOKUP(VLOOKUP(F$1,main!$A$3:$H$102,7,FALSE),main!$K$19:$O$22,MATCH(VLOOKUP($A69,main!$A$3:$H$102,8,FALSE),main!$K$18:$O$18,0))))),1,0)</f>
        <v>0</v>
      </c>
      <c r="G69">
        <f>IF((AND(VLOOKUP(G$1,main!$A$3:$H$102,5,FALSE)-VLOOKUP($A69,main!$A$3:$H$102,6,FALSE)&gt;=(VLOOKUP(VLOOKUP(G$1,main!$A$3:$H$102,8,FALSE),main!$K$26:$M$29,2,FALSE)+VLOOKUP(VLOOKUP(G$1,main!$A$3:$H$102,7,FALSE),main!$K$19:$O$22,MATCH(VLOOKUP($A69,main!$A$3:$H$102,8,FALSE),main!$K$18:$O$18,0))))),1,0)</f>
        <v>0</v>
      </c>
      <c r="H69">
        <f>IF((AND(VLOOKUP(H$1,main!$A$3:$H$102,5,FALSE)-VLOOKUP($A69,main!$A$3:$H$102,6,FALSE)&gt;=(VLOOKUP(VLOOKUP(H$1,main!$A$3:$H$102,8,FALSE),main!$K$26:$M$29,2,FALSE)+VLOOKUP(VLOOKUP(H$1,main!$A$3:$H$102,7,FALSE),main!$K$19:$O$22,MATCH(VLOOKUP($A69,main!$A$3:$H$102,8,FALSE),main!$K$18:$O$18,0))))),1,0)</f>
        <v>0</v>
      </c>
      <c r="I69">
        <f>IF((AND(VLOOKUP(I$1,main!$A$3:$H$102,5,FALSE)-VLOOKUP($A69,main!$A$3:$H$102,6,FALSE)&gt;=(VLOOKUP(VLOOKUP(I$1,main!$A$3:$H$102,8,FALSE),main!$K$26:$M$29,2,FALSE)+VLOOKUP(VLOOKUP(I$1,main!$A$3:$H$102,7,FALSE),main!$K$19:$O$22,MATCH(VLOOKUP($A69,main!$A$3:$H$102,8,FALSE),main!$K$18:$O$18,0))))),1,0)</f>
        <v>1</v>
      </c>
      <c r="J69">
        <f>IF((AND(VLOOKUP(J$1,main!$A$3:$H$102,5,FALSE)-VLOOKUP($A69,main!$A$3:$H$102,6,FALSE)&gt;=(VLOOKUP(VLOOKUP(J$1,main!$A$3:$H$102,8,FALSE),main!$K$26:$M$29,2,FALSE)+VLOOKUP(VLOOKUP(J$1,main!$A$3:$H$102,7,FALSE),main!$K$19:$O$22,MATCH(VLOOKUP($A69,main!$A$3:$H$102,8,FALSE),main!$K$18:$O$18,0))))),1,0)</f>
        <v>1</v>
      </c>
      <c r="K69">
        <f>IF((AND(VLOOKUP(K$1,main!$A$3:$H$102,5,FALSE)-VLOOKUP($A69,main!$A$3:$H$102,6,FALSE)&gt;=(VLOOKUP(VLOOKUP(K$1,main!$A$3:$H$102,8,FALSE),main!$K$26:$M$29,2,FALSE)+VLOOKUP(VLOOKUP(K$1,main!$A$3:$H$102,7,FALSE),main!$K$19:$O$22,MATCH(VLOOKUP($A69,main!$A$3:$H$102,8,FALSE),main!$K$18:$O$18,0))))),1,0)</f>
        <v>1</v>
      </c>
      <c r="L69">
        <f>IF((AND(VLOOKUP(L$1,main!$A$3:$H$102,5,FALSE)-VLOOKUP($A69,main!$A$3:$H$102,6,FALSE)&gt;=(VLOOKUP(VLOOKUP(L$1,main!$A$3:$H$102,8,FALSE),main!$K$26:$M$29,2,FALSE)+VLOOKUP(VLOOKUP(L$1,main!$A$3:$H$102,7,FALSE),main!$K$19:$O$22,MATCH(VLOOKUP($A69,main!$A$3:$H$102,8,FALSE),main!$K$18:$O$18,0))))),1,0)</f>
        <v>1</v>
      </c>
      <c r="M69">
        <f>IF((AND(VLOOKUP(M$1,main!$A$3:$H$102,5,FALSE)-VLOOKUP($A69,main!$A$3:$H$102,6,FALSE)&gt;=(VLOOKUP(VLOOKUP(M$1,main!$A$3:$H$102,8,FALSE),main!$K$26:$M$29,2,FALSE)+VLOOKUP(VLOOKUP(M$1,main!$A$3:$H$102,7,FALSE),main!$K$19:$O$22,MATCH(VLOOKUP($A69,main!$A$3:$H$102,8,FALSE),main!$K$18:$O$18,0))))),1,0)</f>
        <v>0</v>
      </c>
      <c r="N69">
        <f>IF((AND(VLOOKUP(N$1,main!$A$3:$H$102,5,FALSE)-VLOOKUP($A69,main!$A$3:$H$102,6,FALSE)&gt;=(VLOOKUP(VLOOKUP(N$1,main!$A$3:$H$102,8,FALSE),main!$K$26:$M$29,2,FALSE)+VLOOKUP(VLOOKUP(N$1,main!$A$3:$H$102,7,FALSE),main!$K$19:$O$22,MATCH(VLOOKUP($A69,main!$A$3:$H$102,8,FALSE),main!$K$18:$O$18,0))))),1,0)</f>
        <v>0</v>
      </c>
      <c r="O69">
        <f>IF((AND(VLOOKUP(O$1,main!$A$3:$H$102,5,FALSE)-VLOOKUP($A69,main!$A$3:$H$102,6,FALSE)&gt;=(VLOOKUP(VLOOKUP(O$1,main!$A$3:$H$102,8,FALSE),main!$K$26:$M$29,2,FALSE)+VLOOKUP(VLOOKUP(O$1,main!$A$3:$H$102,7,FALSE),main!$K$19:$O$22,MATCH(VLOOKUP($A69,main!$A$3:$H$102,8,FALSE),main!$K$18:$O$18,0))))),1,0)</f>
        <v>0</v>
      </c>
      <c r="P69">
        <f>IF((AND(VLOOKUP(P$1,main!$A$3:$H$102,5,FALSE)-VLOOKUP($A69,main!$A$3:$H$102,6,FALSE)&gt;=(VLOOKUP(VLOOKUP(P$1,main!$A$3:$H$102,8,FALSE),main!$K$26:$M$29,2,FALSE)+VLOOKUP(VLOOKUP(P$1,main!$A$3:$H$102,7,FALSE),main!$K$19:$O$22,MATCH(VLOOKUP($A69,main!$A$3:$H$102,8,FALSE),main!$K$18:$O$18,0))))),1,0)</f>
        <v>0</v>
      </c>
      <c r="Q69">
        <f>IF((AND(VLOOKUP(Q$1,main!$A$3:$H$102,5,FALSE)-VLOOKUP($A69,main!$A$3:$H$102,6,FALSE)&gt;=(VLOOKUP(VLOOKUP(Q$1,main!$A$3:$H$102,8,FALSE),main!$K$26:$M$29,2,FALSE)+VLOOKUP(VLOOKUP(Q$1,main!$A$3:$H$102,7,FALSE),main!$K$19:$O$22,MATCH(VLOOKUP($A69,main!$A$3:$H$102,8,FALSE),main!$K$18:$O$18,0))))),1,0)</f>
        <v>0</v>
      </c>
      <c r="R69">
        <f>IF((AND(VLOOKUP(R$1,main!$A$3:$H$102,5,FALSE)-VLOOKUP($A69,main!$A$3:$H$102,6,FALSE)&gt;=(VLOOKUP(VLOOKUP(R$1,main!$A$3:$H$102,8,FALSE),main!$K$26:$M$29,2,FALSE)+VLOOKUP(VLOOKUP(R$1,main!$A$3:$H$102,7,FALSE),main!$K$19:$O$22,MATCH(VLOOKUP($A69,main!$A$3:$H$102,8,FALSE),main!$K$18:$O$18,0))))),1,0)</f>
        <v>0</v>
      </c>
      <c r="S69">
        <f>IF((AND(VLOOKUP(S$1,main!$A$3:$H$102,5,FALSE)-VLOOKUP($A69,main!$A$3:$H$102,6,FALSE)&gt;=(VLOOKUP(VLOOKUP(S$1,main!$A$3:$H$102,8,FALSE),main!$K$26:$M$29,2,FALSE)+VLOOKUP(VLOOKUP(S$1,main!$A$3:$H$102,7,FALSE),main!$K$19:$O$22,MATCH(VLOOKUP($A69,main!$A$3:$H$102,8,FALSE),main!$K$18:$O$18,0))))),1,0)</f>
        <v>0</v>
      </c>
      <c r="T69">
        <f>IF((AND(VLOOKUP(T$1,main!$A$3:$H$102,5,FALSE)-VLOOKUP($A69,main!$A$3:$H$102,6,FALSE)&gt;=(VLOOKUP(VLOOKUP(T$1,main!$A$3:$H$102,8,FALSE),main!$K$26:$M$29,2,FALSE)+VLOOKUP(VLOOKUP(T$1,main!$A$3:$H$102,7,FALSE),main!$K$19:$O$22,MATCH(VLOOKUP($A69,main!$A$3:$H$102,8,FALSE),main!$K$18:$O$18,0))))),1,0)</f>
        <v>1</v>
      </c>
      <c r="U69">
        <f>IF((AND(VLOOKUP(U$1,main!$A$3:$H$102,5,FALSE)-VLOOKUP($A69,main!$A$3:$H$102,6,FALSE)&gt;=(VLOOKUP(VLOOKUP(U$1,main!$A$3:$H$102,8,FALSE),main!$K$26:$M$29,2,FALSE)+VLOOKUP(VLOOKUP(U$1,main!$A$3:$H$102,7,FALSE),main!$K$19:$O$22,MATCH(VLOOKUP($A69,main!$A$3:$H$102,8,FALSE),main!$K$18:$O$18,0))))),1,0)</f>
        <v>1</v>
      </c>
      <c r="V69">
        <f>IF((AND(VLOOKUP(V$1,main!$A$3:$H$102,5,FALSE)-VLOOKUP($A69,main!$A$3:$H$102,6,FALSE)&gt;=(VLOOKUP(VLOOKUP(V$1,main!$A$3:$H$102,8,FALSE),main!$K$26:$M$29,2,FALSE)+VLOOKUP(VLOOKUP(V$1,main!$A$3:$H$102,7,FALSE),main!$K$19:$O$22,MATCH(VLOOKUP($A69,main!$A$3:$H$102,8,FALSE),main!$K$18:$O$18,0))))),1,0)</f>
        <v>1</v>
      </c>
      <c r="W69">
        <f>IF((AND(VLOOKUP(W$1,main!$A$3:$H$102,5,FALSE)-VLOOKUP($A69,main!$A$3:$H$102,6,FALSE)&gt;=(VLOOKUP(VLOOKUP(W$1,main!$A$3:$H$102,8,FALSE),main!$K$26:$M$29,2,FALSE)+VLOOKUP(VLOOKUP(W$1,main!$A$3:$H$102,7,FALSE),main!$K$19:$O$22,MATCH(VLOOKUP($A69,main!$A$3:$H$102,8,FALSE),main!$K$18:$O$18,0))))),1,0)</f>
        <v>0</v>
      </c>
      <c r="X69">
        <f>IF((AND(VLOOKUP(X$1,main!$A$3:$H$102,5,FALSE)-VLOOKUP($A69,main!$A$3:$H$102,6,FALSE)&gt;=(VLOOKUP(VLOOKUP(X$1,main!$A$3:$H$102,8,FALSE),main!$K$26:$M$29,2,FALSE)+VLOOKUP(VLOOKUP(X$1,main!$A$3:$H$102,7,FALSE),main!$K$19:$O$22,MATCH(VLOOKUP($A69,main!$A$3:$H$102,8,FALSE),main!$K$18:$O$18,0))))),1,0)</f>
        <v>0</v>
      </c>
      <c r="Y69">
        <f>IF((AND(VLOOKUP(Y$1,main!$A$3:$H$102,5,FALSE)-VLOOKUP($A69,main!$A$3:$H$102,6,FALSE)&gt;=(VLOOKUP(VLOOKUP(Y$1,main!$A$3:$H$102,8,FALSE),main!$K$26:$M$29,2,FALSE)+VLOOKUP(VLOOKUP(Y$1,main!$A$3:$H$102,7,FALSE),main!$K$19:$O$22,MATCH(VLOOKUP($A69,main!$A$3:$H$102,8,FALSE),main!$K$18:$O$18,0))))),1,0)</f>
        <v>0</v>
      </c>
      <c r="Z69">
        <f>IF((AND(VLOOKUP(Z$1,main!$A$3:$H$102,5,FALSE)-VLOOKUP($A69,main!$A$3:$H$102,6,FALSE)&gt;=(VLOOKUP(VLOOKUP(Z$1,main!$A$3:$H$102,8,FALSE),main!$K$26:$M$29,2,FALSE)+VLOOKUP(VLOOKUP(Z$1,main!$A$3:$H$102,7,FALSE),main!$K$19:$O$22,MATCH(VLOOKUP($A69,main!$A$3:$H$102,8,FALSE),main!$K$18:$O$18,0))))),1,0)</f>
        <v>1</v>
      </c>
      <c r="AA69">
        <f>IF((AND(VLOOKUP(AA$1,main!$A$3:$H$102,5,FALSE)-VLOOKUP($A69,main!$A$3:$H$102,6,FALSE)&gt;=(VLOOKUP(VLOOKUP(AA$1,main!$A$3:$H$102,8,FALSE),main!$K$26:$M$29,2,FALSE)+VLOOKUP(VLOOKUP(AA$1,main!$A$3:$H$102,7,FALSE),main!$K$19:$O$22,MATCH(VLOOKUP($A69,main!$A$3:$H$102,8,FALSE),main!$K$18:$O$18,0))))),1,0)</f>
        <v>1</v>
      </c>
      <c r="AB69">
        <f>IF((AND(VLOOKUP(AB$1,main!$A$3:$H$102,5,FALSE)-VLOOKUP($A69,main!$A$3:$H$102,6,FALSE)&gt;=(VLOOKUP(VLOOKUP(AB$1,main!$A$3:$H$102,8,FALSE),main!$K$26:$M$29,2,FALSE)+VLOOKUP(VLOOKUP(AB$1,main!$A$3:$H$102,7,FALSE),main!$K$19:$O$22,MATCH(VLOOKUP($A69,main!$A$3:$H$102,8,FALSE),main!$K$18:$O$18,0))))),1,0)</f>
        <v>0</v>
      </c>
      <c r="AC69">
        <f>IF((AND(VLOOKUP(AC$1,main!$A$3:$H$102,5,FALSE)-VLOOKUP($A69,main!$A$3:$H$102,6,FALSE)&gt;=(VLOOKUP(VLOOKUP(AC$1,main!$A$3:$H$102,8,FALSE),main!$K$26:$M$29,2,FALSE)+VLOOKUP(VLOOKUP(AC$1,main!$A$3:$H$102,7,FALSE),main!$K$19:$O$22,MATCH(VLOOKUP($A69,main!$A$3:$H$102,8,FALSE),main!$K$18:$O$18,0))))),1,0)</f>
        <v>0</v>
      </c>
      <c r="AD69">
        <f>IF((AND(VLOOKUP(AD$1,main!$A$3:$H$102,5,FALSE)-VLOOKUP($A69,main!$A$3:$H$102,6,FALSE)&gt;=(VLOOKUP(VLOOKUP(AD$1,main!$A$3:$H$102,8,FALSE),main!$K$26:$M$29,2,FALSE)+VLOOKUP(VLOOKUP(AD$1,main!$A$3:$H$102,7,FALSE),main!$K$19:$O$22,MATCH(VLOOKUP($A69,main!$A$3:$H$102,8,FALSE),main!$K$18:$O$18,0))))),1,0)</f>
        <v>0</v>
      </c>
      <c r="AE69">
        <f>IF((AND(VLOOKUP(AE$1,main!$A$3:$H$102,5,FALSE)-VLOOKUP($A69,main!$A$3:$H$102,6,FALSE)&gt;=(VLOOKUP(VLOOKUP(AE$1,main!$A$3:$H$102,8,FALSE),main!$K$26:$M$29,2,FALSE)+VLOOKUP(VLOOKUP(AE$1,main!$A$3:$H$102,7,FALSE),main!$K$19:$O$22,MATCH(VLOOKUP($A69,main!$A$3:$H$102,8,FALSE),main!$K$18:$O$18,0))))),1,0)</f>
        <v>0</v>
      </c>
      <c r="AF69">
        <f>IF((AND(VLOOKUP(AF$1,main!$A$3:$H$102,5,FALSE)-VLOOKUP($A69,main!$A$3:$H$102,6,FALSE)&gt;=(VLOOKUP(VLOOKUP(AF$1,main!$A$3:$H$102,8,FALSE),main!$K$26:$M$29,2,FALSE)+VLOOKUP(VLOOKUP(AF$1,main!$A$3:$H$102,7,FALSE),main!$K$19:$O$22,MATCH(VLOOKUP($A69,main!$A$3:$H$102,8,FALSE),main!$K$18:$O$18,0))))),1,0)</f>
        <v>1</v>
      </c>
      <c r="AG69">
        <f>IF((AND(VLOOKUP(AG$1,main!$A$3:$H$102,5,FALSE)-VLOOKUP($A69,main!$A$3:$H$102,6,FALSE)&gt;=(VLOOKUP(VLOOKUP(AG$1,main!$A$3:$H$102,8,FALSE),main!$K$26:$M$29,2,FALSE)+VLOOKUP(VLOOKUP(AG$1,main!$A$3:$H$102,7,FALSE),main!$K$19:$O$22,MATCH(VLOOKUP($A69,main!$A$3:$H$102,8,FALSE),main!$K$18:$O$18,0))))),1,0)</f>
        <v>0</v>
      </c>
      <c r="AH69">
        <f>IF((AND(VLOOKUP(AH$1,main!$A$3:$H$102,5,FALSE)-VLOOKUP($A69,main!$A$3:$H$102,6,FALSE)&gt;=(VLOOKUP(VLOOKUP(AH$1,main!$A$3:$H$102,8,FALSE),main!$K$26:$M$29,2,FALSE)+VLOOKUP(VLOOKUP(AH$1,main!$A$3:$H$102,7,FALSE),main!$K$19:$O$22,MATCH(VLOOKUP($A69,main!$A$3:$H$102,8,FALSE),main!$K$18:$O$18,0))))),1,0)</f>
        <v>0</v>
      </c>
      <c r="AI69">
        <f>IF((AND(VLOOKUP(AI$1,main!$A$3:$H$102,5,FALSE)-VLOOKUP($A69,main!$A$3:$H$102,6,FALSE)&gt;=(VLOOKUP(VLOOKUP(AI$1,main!$A$3:$H$102,8,FALSE),main!$K$26:$M$29,2,FALSE)+VLOOKUP(VLOOKUP(AI$1,main!$A$3:$H$102,7,FALSE),main!$K$19:$O$22,MATCH(VLOOKUP($A69,main!$A$3:$H$102,8,FALSE),main!$K$18:$O$18,0))))),1,0)</f>
        <v>0</v>
      </c>
      <c r="AJ69">
        <f>IF((AND(VLOOKUP(AJ$1,main!$A$3:$H$102,5,FALSE)-VLOOKUP($A69,main!$A$3:$H$102,6,FALSE)&gt;=(VLOOKUP(VLOOKUP(AJ$1,main!$A$3:$H$102,8,FALSE),main!$K$26:$M$29,2,FALSE)+VLOOKUP(VLOOKUP(AJ$1,main!$A$3:$H$102,7,FALSE),main!$K$19:$O$22,MATCH(VLOOKUP($A69,main!$A$3:$H$102,8,FALSE),main!$K$18:$O$18,0))))),1,0)</f>
        <v>0</v>
      </c>
      <c r="AK69">
        <f>IF((AND(VLOOKUP(AK$1,main!$A$3:$H$102,5,FALSE)-VLOOKUP($A69,main!$A$3:$H$102,6,FALSE)&gt;=(VLOOKUP(VLOOKUP(AK$1,main!$A$3:$H$102,8,FALSE),main!$K$26:$M$29,2,FALSE)+VLOOKUP(VLOOKUP(AK$1,main!$A$3:$H$102,7,FALSE),main!$K$19:$O$22,MATCH(VLOOKUP($A69,main!$A$3:$H$102,8,FALSE),main!$K$18:$O$18,0))))),1,0)</f>
        <v>0</v>
      </c>
      <c r="AL69">
        <f>IF((AND(VLOOKUP(AL$1,main!$A$3:$H$102,5,FALSE)-VLOOKUP($A69,main!$A$3:$H$102,6,FALSE)&gt;=(VLOOKUP(VLOOKUP(AL$1,main!$A$3:$H$102,8,FALSE),main!$K$26:$M$29,2,FALSE)+VLOOKUP(VLOOKUP(AL$1,main!$A$3:$H$102,7,FALSE),main!$K$19:$O$22,MATCH(VLOOKUP($A69,main!$A$3:$H$102,8,FALSE),main!$K$18:$O$18,0))))),1,0)</f>
        <v>1</v>
      </c>
      <c r="AM69">
        <f>IF((AND(VLOOKUP(AM$1,main!$A$3:$H$102,5,FALSE)-VLOOKUP($A69,main!$A$3:$H$102,6,FALSE)&gt;=(VLOOKUP(VLOOKUP(AM$1,main!$A$3:$H$102,8,FALSE),main!$K$26:$M$29,2,FALSE)+VLOOKUP(VLOOKUP(AM$1,main!$A$3:$H$102,7,FALSE),main!$K$19:$O$22,MATCH(VLOOKUP($A69,main!$A$3:$H$102,8,FALSE),main!$K$18:$O$18,0))))),1,0)</f>
        <v>1</v>
      </c>
      <c r="AN69">
        <f>IF((AND(VLOOKUP(AN$1,main!$A$3:$H$102,5,FALSE)-VLOOKUP($A69,main!$A$3:$H$102,6,FALSE)&gt;=(VLOOKUP(VLOOKUP(AN$1,main!$A$3:$H$102,8,FALSE),main!$K$26:$M$29,2,FALSE)+VLOOKUP(VLOOKUP(AN$1,main!$A$3:$H$102,7,FALSE),main!$K$19:$O$22,MATCH(VLOOKUP($A69,main!$A$3:$H$102,8,FALSE),main!$K$18:$O$18,0))))),1,0)</f>
        <v>1</v>
      </c>
      <c r="AO69">
        <f>IF((AND(VLOOKUP(AO$1,main!$A$3:$H$102,5,FALSE)-VLOOKUP($A69,main!$A$3:$H$102,6,FALSE)&gt;=(VLOOKUP(VLOOKUP(AO$1,main!$A$3:$H$102,8,FALSE),main!$K$26:$M$29,2,FALSE)+VLOOKUP(VLOOKUP(AO$1,main!$A$3:$H$102,7,FALSE),main!$K$19:$O$22,MATCH(VLOOKUP($A69,main!$A$3:$H$102,8,FALSE),main!$K$18:$O$18,0))))),1,0)</f>
        <v>0</v>
      </c>
      <c r="AP69">
        <f>IF((AND(VLOOKUP(AP$1,main!$A$3:$H$102,5,FALSE)-VLOOKUP($A69,main!$A$3:$H$102,6,FALSE)&gt;=(VLOOKUP(VLOOKUP(AP$1,main!$A$3:$H$102,8,FALSE),main!$K$26:$M$29,2,FALSE)+VLOOKUP(VLOOKUP(AP$1,main!$A$3:$H$102,7,FALSE),main!$K$19:$O$22,MATCH(VLOOKUP($A69,main!$A$3:$H$102,8,FALSE),main!$K$18:$O$18,0))))),1,0)</f>
        <v>1</v>
      </c>
      <c r="AQ69">
        <f>IF((AND(VLOOKUP(AQ$1,main!$A$3:$H$102,5,FALSE)-VLOOKUP($A69,main!$A$3:$H$102,6,FALSE)&gt;=(VLOOKUP(VLOOKUP(AQ$1,main!$A$3:$H$102,8,FALSE),main!$K$26:$M$29,2,FALSE)+VLOOKUP(VLOOKUP(AQ$1,main!$A$3:$H$102,7,FALSE),main!$K$19:$O$22,MATCH(VLOOKUP($A69,main!$A$3:$H$102,8,FALSE),main!$K$18:$O$18,0))))),1,0)</f>
        <v>0</v>
      </c>
      <c r="AR69">
        <f>IF((AND(VLOOKUP(AR$1,main!$A$3:$H$102,5,FALSE)-VLOOKUP($A69,main!$A$3:$H$102,6,FALSE)&gt;=(VLOOKUP(VLOOKUP(AR$1,main!$A$3:$H$102,8,FALSE),main!$K$26:$M$29,2,FALSE)+VLOOKUP(VLOOKUP(AR$1,main!$A$3:$H$102,7,FALSE),main!$K$19:$O$22,MATCH(VLOOKUP($A69,main!$A$3:$H$102,8,FALSE),main!$K$18:$O$18,0))))),1,0)</f>
        <v>0</v>
      </c>
      <c r="AS69">
        <f>IF((AND(VLOOKUP(AS$1,main!$A$3:$H$102,5,FALSE)-VLOOKUP($A69,main!$A$3:$H$102,6,FALSE)&gt;=(VLOOKUP(VLOOKUP(AS$1,main!$A$3:$H$102,8,FALSE),main!$K$26:$M$29,2,FALSE)+VLOOKUP(VLOOKUP(AS$1,main!$A$3:$H$102,7,FALSE),main!$K$19:$O$22,MATCH(VLOOKUP($A69,main!$A$3:$H$102,8,FALSE),main!$K$18:$O$18,0))))),1,0)</f>
        <v>0</v>
      </c>
      <c r="AT69">
        <f>IF((AND(VLOOKUP(AT$1,main!$A$3:$H$102,5,FALSE)-VLOOKUP($A69,main!$A$3:$H$102,6,FALSE)&gt;=(VLOOKUP(VLOOKUP(AT$1,main!$A$3:$H$102,8,FALSE),main!$K$26:$M$29,2,FALSE)+VLOOKUP(VLOOKUP(AT$1,main!$A$3:$H$102,7,FALSE),main!$K$19:$O$22,MATCH(VLOOKUP($A69,main!$A$3:$H$102,8,FALSE),main!$K$18:$O$18,0))))),1,0)</f>
        <v>1</v>
      </c>
      <c r="AU69">
        <f>IF((AND(VLOOKUP(AU$1,main!$A$3:$H$102,5,FALSE)-VLOOKUP($A69,main!$A$3:$H$102,6,FALSE)&gt;=(VLOOKUP(VLOOKUP(AU$1,main!$A$3:$H$102,8,FALSE),main!$K$26:$M$29,2,FALSE)+VLOOKUP(VLOOKUP(AU$1,main!$A$3:$H$102,7,FALSE),main!$K$19:$O$22,MATCH(VLOOKUP($A69,main!$A$3:$H$102,8,FALSE),main!$K$18:$O$18,0))))),1,0)</f>
        <v>0</v>
      </c>
      <c r="AV69">
        <f>IF((AND(VLOOKUP(AV$1,main!$A$3:$H$102,5,FALSE)-VLOOKUP($A69,main!$A$3:$H$102,6,FALSE)&gt;=(VLOOKUP(VLOOKUP(AV$1,main!$A$3:$H$102,8,FALSE),main!$K$26:$M$29,2,FALSE)+VLOOKUP(VLOOKUP(AV$1,main!$A$3:$H$102,7,FALSE),main!$K$19:$O$22,MATCH(VLOOKUP($A69,main!$A$3:$H$102,8,FALSE),main!$K$18:$O$18,0))))),1,0)</f>
        <v>0</v>
      </c>
      <c r="AW69">
        <f>IF((AND(VLOOKUP(AW$1,main!$A$3:$H$102,5,FALSE)-VLOOKUP($A69,main!$A$3:$H$102,6,FALSE)&gt;=(VLOOKUP(VLOOKUP(AW$1,main!$A$3:$H$102,8,FALSE),main!$K$26:$M$29,2,FALSE)+VLOOKUP(VLOOKUP(AW$1,main!$A$3:$H$102,7,FALSE),main!$K$19:$O$22,MATCH(VLOOKUP($A69,main!$A$3:$H$102,8,FALSE),main!$K$18:$O$18,0))))),1,0)</f>
        <v>0</v>
      </c>
      <c r="AX69">
        <f>IF((AND(VLOOKUP(AX$1,main!$A$3:$H$102,5,FALSE)-VLOOKUP($A69,main!$A$3:$H$102,6,FALSE)&gt;=(VLOOKUP(VLOOKUP(AX$1,main!$A$3:$H$102,8,FALSE),main!$K$26:$M$29,2,FALSE)+VLOOKUP(VLOOKUP(AX$1,main!$A$3:$H$102,7,FALSE),main!$K$19:$O$22,MATCH(VLOOKUP($A69,main!$A$3:$H$102,8,FALSE),main!$K$18:$O$18,0))))),1,0)</f>
        <v>0</v>
      </c>
      <c r="AY69">
        <f>IF((AND(VLOOKUP(AY$1,main!$A$3:$H$102,5,FALSE)-VLOOKUP($A69,main!$A$3:$H$102,6,FALSE)&gt;=(VLOOKUP(VLOOKUP(AY$1,main!$A$3:$H$102,8,FALSE),main!$K$26:$M$29,2,FALSE)+VLOOKUP(VLOOKUP(AY$1,main!$A$3:$H$102,7,FALSE),main!$K$19:$O$22,MATCH(VLOOKUP($A69,main!$A$3:$H$102,8,FALSE),main!$K$18:$O$18,0))))),1,0)</f>
        <v>0</v>
      </c>
      <c r="AZ69">
        <f>IF((AND(VLOOKUP(AZ$1,main!$A$3:$H$102,5,FALSE)-VLOOKUP($A69,main!$A$3:$H$102,6,FALSE)&gt;=(VLOOKUP(VLOOKUP(AZ$1,main!$A$3:$H$102,8,FALSE),main!$K$26:$M$29,2,FALSE)+VLOOKUP(VLOOKUP(AZ$1,main!$A$3:$H$102,7,FALSE),main!$K$19:$O$22,MATCH(VLOOKUP($A69,main!$A$3:$H$102,8,FALSE),main!$K$18:$O$18,0))))),1,0)</f>
        <v>0</v>
      </c>
      <c r="BA69">
        <f>IF((AND(VLOOKUP(BA$1,main!$A$3:$H$102,5,FALSE)-VLOOKUP($A69,main!$A$3:$H$102,6,FALSE)&gt;=(VLOOKUP(VLOOKUP(BA$1,main!$A$3:$H$102,8,FALSE),main!$K$26:$M$29,2,FALSE)+VLOOKUP(VLOOKUP(BA$1,main!$A$3:$H$102,7,FALSE),main!$K$19:$O$22,MATCH(VLOOKUP($A69,main!$A$3:$H$102,8,FALSE),main!$K$18:$O$18,0))))),1,0)</f>
        <v>0</v>
      </c>
      <c r="BB69">
        <f>IF((AND(VLOOKUP(BB$1,main!$A$3:$H$102,5,FALSE)-VLOOKUP($A69,main!$A$3:$H$102,6,FALSE)&gt;=(VLOOKUP(VLOOKUP(BB$1,main!$A$3:$H$102,8,FALSE),main!$K$26:$M$29,2,FALSE)+VLOOKUP(VLOOKUP(BB$1,main!$A$3:$H$102,7,FALSE),main!$K$19:$O$22,MATCH(VLOOKUP($A69,main!$A$3:$H$102,8,FALSE),main!$K$18:$O$18,0))))),1,0)</f>
        <v>0</v>
      </c>
      <c r="BC69">
        <f>IF((AND(VLOOKUP(BC$1,main!$A$3:$H$102,5,FALSE)-VLOOKUP($A69,main!$A$3:$H$102,6,FALSE)&gt;=(VLOOKUP(VLOOKUP(BC$1,main!$A$3:$H$102,8,FALSE),main!$K$26:$M$29,2,FALSE)+VLOOKUP(VLOOKUP(BC$1,main!$A$3:$H$102,7,FALSE),main!$K$19:$O$22,MATCH(VLOOKUP($A69,main!$A$3:$H$102,8,FALSE),main!$K$18:$O$18,0))))),1,0)</f>
        <v>0</v>
      </c>
      <c r="BD69">
        <f>IF((AND(VLOOKUP(BD$1,main!$A$3:$H$102,5,FALSE)-VLOOKUP($A69,main!$A$3:$H$102,6,FALSE)&gt;=(VLOOKUP(VLOOKUP(BD$1,main!$A$3:$H$102,8,FALSE),main!$K$26:$M$29,2,FALSE)+VLOOKUP(VLOOKUP(BD$1,main!$A$3:$H$102,7,FALSE),main!$K$19:$O$22,MATCH(VLOOKUP($A69,main!$A$3:$H$102,8,FALSE),main!$K$18:$O$18,0))))),1,0)</f>
        <v>0</v>
      </c>
      <c r="BE69">
        <f>IF((AND(VLOOKUP(BE$1,main!$A$3:$H$102,5,FALSE)-VLOOKUP($A69,main!$A$3:$H$102,6,FALSE)&gt;=(VLOOKUP(VLOOKUP(BE$1,main!$A$3:$H$102,8,FALSE),main!$K$26:$M$29,2,FALSE)+VLOOKUP(VLOOKUP(BE$1,main!$A$3:$H$102,7,FALSE),main!$K$19:$O$22,MATCH(VLOOKUP($A69,main!$A$3:$H$102,8,FALSE),main!$K$18:$O$18,0))))),1,0)</f>
        <v>1</v>
      </c>
      <c r="BF69">
        <f>IF((AND(VLOOKUP(BF$1,main!$A$3:$H$102,5,FALSE)-VLOOKUP($A69,main!$A$3:$H$102,6,FALSE)&gt;=(VLOOKUP(VLOOKUP(BF$1,main!$A$3:$H$102,8,FALSE),main!$K$26:$M$29,2,FALSE)+VLOOKUP(VLOOKUP(BF$1,main!$A$3:$H$102,7,FALSE),main!$K$19:$O$22,MATCH(VLOOKUP($A69,main!$A$3:$H$102,8,FALSE),main!$K$18:$O$18,0))))),1,0)</f>
        <v>0</v>
      </c>
      <c r="BG69">
        <f>IF((AND(VLOOKUP(BG$1,main!$A$3:$H$102,5,FALSE)-VLOOKUP($A69,main!$A$3:$H$102,6,FALSE)&gt;=(VLOOKUP(VLOOKUP(BG$1,main!$A$3:$H$102,8,FALSE),main!$K$26:$M$29,2,FALSE)+VLOOKUP(VLOOKUP(BG$1,main!$A$3:$H$102,7,FALSE),main!$K$19:$O$22,MATCH(VLOOKUP($A69,main!$A$3:$H$102,8,FALSE),main!$K$18:$O$18,0))))),1,0)</f>
        <v>0</v>
      </c>
      <c r="BH69">
        <f>IF((AND(VLOOKUP(BH$1,main!$A$3:$H$102,5,FALSE)-VLOOKUP($A69,main!$A$3:$H$102,6,FALSE)&gt;=(VLOOKUP(VLOOKUP(BH$1,main!$A$3:$H$102,8,FALSE),main!$K$26:$M$29,2,FALSE)+VLOOKUP(VLOOKUP(BH$1,main!$A$3:$H$102,7,FALSE),main!$K$19:$O$22,MATCH(VLOOKUP($A69,main!$A$3:$H$102,8,FALSE),main!$K$18:$O$18,0))))),1,0)</f>
        <v>0</v>
      </c>
      <c r="BI69">
        <f>IF((AND(VLOOKUP(BI$1,main!$A$3:$H$102,5,FALSE)-VLOOKUP($A69,main!$A$3:$H$102,6,FALSE)&gt;=(VLOOKUP(VLOOKUP(BI$1,main!$A$3:$H$102,8,FALSE),main!$K$26:$M$29,2,FALSE)+VLOOKUP(VLOOKUP(BI$1,main!$A$3:$H$102,7,FALSE),main!$K$19:$O$22,MATCH(VLOOKUP($A69,main!$A$3:$H$102,8,FALSE),main!$K$18:$O$18,0))))),1,0)</f>
        <v>1</v>
      </c>
      <c r="BJ69">
        <f>IF((AND(VLOOKUP(BJ$1,main!$A$3:$H$102,5,FALSE)-VLOOKUP($A69,main!$A$3:$H$102,6,FALSE)&gt;=(VLOOKUP(VLOOKUP(BJ$1,main!$A$3:$H$102,8,FALSE),main!$K$26:$M$29,2,FALSE)+VLOOKUP(VLOOKUP(BJ$1,main!$A$3:$H$102,7,FALSE),main!$K$19:$O$22,MATCH(VLOOKUP($A69,main!$A$3:$H$102,8,FALSE),main!$K$18:$O$18,0))))),1,0)</f>
        <v>1</v>
      </c>
      <c r="BK69">
        <f>IF((AND(VLOOKUP(BK$1,main!$A$3:$H$102,5,FALSE)-VLOOKUP($A69,main!$A$3:$H$102,6,FALSE)&gt;=(VLOOKUP(VLOOKUP(BK$1,main!$A$3:$H$102,8,FALSE),main!$K$26:$M$29,2,FALSE)+VLOOKUP(VLOOKUP(BK$1,main!$A$3:$H$102,7,FALSE),main!$K$19:$O$22,MATCH(VLOOKUP($A69,main!$A$3:$H$102,8,FALSE),main!$K$18:$O$18,0))))),1,0)</f>
        <v>0</v>
      </c>
      <c r="BL69">
        <f>IF((AND(VLOOKUP(BL$1,main!$A$3:$H$102,5,FALSE)-VLOOKUP($A69,main!$A$3:$H$102,6,FALSE)&gt;=(VLOOKUP(VLOOKUP(BL$1,main!$A$3:$H$102,8,FALSE),main!$K$26:$M$29,2,FALSE)+VLOOKUP(VLOOKUP(BL$1,main!$A$3:$H$102,7,FALSE),main!$K$19:$O$22,MATCH(VLOOKUP($A69,main!$A$3:$H$102,8,FALSE),main!$K$18:$O$18,0))))),1,0)</f>
        <v>0</v>
      </c>
      <c r="BM69">
        <f>IF((AND(VLOOKUP(BM$1,main!$A$3:$H$102,5,FALSE)-VLOOKUP($A69,main!$A$3:$H$102,6,FALSE)&gt;=(VLOOKUP(VLOOKUP(BM$1,main!$A$3:$H$102,8,FALSE),main!$K$26:$M$29,2,FALSE)+VLOOKUP(VLOOKUP(BM$1,main!$A$3:$H$102,7,FALSE),main!$K$19:$O$22,MATCH(VLOOKUP($A69,main!$A$3:$H$102,8,FALSE),main!$K$18:$O$18,0))))),1,0)</f>
        <v>0</v>
      </c>
      <c r="BN69">
        <f>IF((AND(VLOOKUP(BN$1,main!$A$3:$H$102,5,FALSE)-VLOOKUP($A69,main!$A$3:$H$102,6,FALSE)&gt;=(VLOOKUP(VLOOKUP(BN$1,main!$A$3:$H$102,8,FALSE),main!$K$26:$M$29,2,FALSE)+VLOOKUP(VLOOKUP(BN$1,main!$A$3:$H$102,7,FALSE),main!$K$19:$O$22,MATCH(VLOOKUP($A69,main!$A$3:$H$102,8,FALSE),main!$K$18:$O$18,0))))),1,0)</f>
        <v>0</v>
      </c>
      <c r="BO69">
        <f>IF((AND(VLOOKUP(BO$1,main!$A$3:$H$102,5,FALSE)-VLOOKUP($A69,main!$A$3:$H$102,6,FALSE)&gt;=(VLOOKUP(VLOOKUP(BO$1,main!$A$3:$H$102,8,FALSE),main!$K$26:$M$29,2,FALSE)+VLOOKUP(VLOOKUP(BO$1,main!$A$3:$H$102,7,FALSE),main!$K$19:$O$22,MATCH(VLOOKUP($A69,main!$A$3:$H$102,8,FALSE),main!$K$18:$O$18,0))))),1,0)</f>
        <v>0</v>
      </c>
      <c r="BP69">
        <f>IF((AND(VLOOKUP(BP$1,main!$A$3:$H$102,5,FALSE)-VLOOKUP($A69,main!$A$3:$H$102,6,FALSE)&gt;=(VLOOKUP(VLOOKUP(BP$1,main!$A$3:$H$102,8,FALSE),main!$K$26:$M$29,2,FALSE)+VLOOKUP(VLOOKUP(BP$1,main!$A$3:$H$102,7,FALSE),main!$K$19:$O$22,MATCH(VLOOKUP($A69,main!$A$3:$H$102,8,FALSE),main!$K$18:$O$18,0))))),1,0)</f>
        <v>0</v>
      </c>
      <c r="BQ69">
        <f>IF((AND(VLOOKUP(BQ$1,main!$A$3:$H$102,5,FALSE)-VLOOKUP($A69,main!$A$3:$H$102,6,FALSE)&gt;=(VLOOKUP(VLOOKUP(BQ$1,main!$A$3:$H$102,8,FALSE),main!$K$26:$M$29,2,FALSE)+VLOOKUP(VLOOKUP(BQ$1,main!$A$3:$H$102,7,FALSE),main!$K$19:$O$22,MATCH(VLOOKUP($A69,main!$A$3:$H$102,8,FALSE),main!$K$18:$O$18,0))))),1,0)</f>
        <v>0</v>
      </c>
      <c r="BR69">
        <f>IF((AND(VLOOKUP(BR$1,main!$A$3:$H$102,5,FALSE)-VLOOKUP($A69,main!$A$3:$H$102,6,FALSE)&gt;=(VLOOKUP(VLOOKUP(BR$1,main!$A$3:$H$102,8,FALSE),main!$K$26:$M$29,2,FALSE)+VLOOKUP(VLOOKUP(BR$1,main!$A$3:$H$102,7,FALSE),main!$K$19:$O$22,MATCH(VLOOKUP($A69,main!$A$3:$H$102,8,FALSE),main!$K$18:$O$18,0))))),1,0)</f>
        <v>0</v>
      </c>
      <c r="BS69">
        <f>IF((AND(VLOOKUP(BS$1,main!$A$3:$H$102,5,FALSE)-VLOOKUP($A69,main!$A$3:$H$102,6,FALSE)&gt;=(VLOOKUP(VLOOKUP(BS$1,main!$A$3:$H$102,8,FALSE),main!$K$26:$M$29,2,FALSE)+VLOOKUP(VLOOKUP(BS$1,main!$A$3:$H$102,7,FALSE),main!$K$19:$O$22,MATCH(VLOOKUP($A69,main!$A$3:$H$102,8,FALSE),main!$K$18:$O$18,0))))),1,0)</f>
        <v>0</v>
      </c>
      <c r="BT69">
        <f>IF((AND(VLOOKUP(BT$1,main!$A$3:$H$102,5,FALSE)-VLOOKUP($A69,main!$A$3:$H$102,6,FALSE)&gt;=(VLOOKUP(VLOOKUP(BT$1,main!$A$3:$H$102,8,FALSE),main!$K$26:$M$29,2,FALSE)+VLOOKUP(VLOOKUP(BT$1,main!$A$3:$H$102,7,FALSE),main!$K$19:$O$22,MATCH(VLOOKUP($A69,main!$A$3:$H$102,8,FALSE),main!$K$18:$O$18,0))))),1,0)</f>
        <v>0</v>
      </c>
      <c r="BU69">
        <f>IF((AND(VLOOKUP(BU$1,main!$A$3:$H$102,5,FALSE)-VLOOKUP($A69,main!$A$3:$H$102,6,FALSE)&gt;=(VLOOKUP(VLOOKUP(BU$1,main!$A$3:$H$102,8,FALSE),main!$K$26:$M$29,2,FALSE)+VLOOKUP(VLOOKUP(BU$1,main!$A$3:$H$102,7,FALSE),main!$K$19:$O$22,MATCH(VLOOKUP($A69,main!$A$3:$H$102,8,FALSE),main!$K$18:$O$18,0))))),1,0)</f>
        <v>0</v>
      </c>
      <c r="BV69">
        <f>IF((AND(VLOOKUP(BV$1,main!$A$3:$H$102,5,FALSE)-VLOOKUP($A69,main!$A$3:$H$102,6,FALSE)&gt;=(VLOOKUP(VLOOKUP(BV$1,main!$A$3:$H$102,8,FALSE),main!$K$26:$M$29,2,FALSE)+VLOOKUP(VLOOKUP(BV$1,main!$A$3:$H$102,7,FALSE),main!$K$19:$O$22,MATCH(VLOOKUP($A69,main!$A$3:$H$102,8,FALSE),main!$K$18:$O$18,0))))),1,0)</f>
        <v>0</v>
      </c>
      <c r="BW69">
        <f>IF((AND(VLOOKUP(BW$1,main!$A$3:$H$102,5,FALSE)-VLOOKUP($A69,main!$A$3:$H$102,6,FALSE)&gt;=(VLOOKUP(VLOOKUP(BW$1,main!$A$3:$H$102,8,FALSE),main!$K$26:$M$29,2,FALSE)+VLOOKUP(VLOOKUP(BW$1,main!$A$3:$H$102,7,FALSE),main!$K$19:$O$22,MATCH(VLOOKUP($A69,main!$A$3:$H$102,8,FALSE),main!$K$18:$O$18,0))))),1,0)</f>
        <v>0</v>
      </c>
      <c r="BX69">
        <f>IF((AND(VLOOKUP(BX$1,main!$A$3:$H$102,5,FALSE)-VLOOKUP($A69,main!$A$3:$H$102,6,FALSE)&gt;=(VLOOKUP(VLOOKUP(BX$1,main!$A$3:$H$102,8,FALSE),main!$K$26:$M$29,2,FALSE)+VLOOKUP(VLOOKUP(BX$1,main!$A$3:$H$102,7,FALSE),main!$K$19:$O$22,MATCH(VLOOKUP($A69,main!$A$3:$H$102,8,FALSE),main!$K$18:$O$18,0))))),1,0)</f>
        <v>0</v>
      </c>
      <c r="BY69">
        <f>IF((AND(VLOOKUP(BY$1,main!$A$3:$H$102,5,FALSE)-VLOOKUP($A69,main!$A$3:$H$102,6,FALSE)&gt;=(VLOOKUP(VLOOKUP(BY$1,main!$A$3:$H$102,8,FALSE),main!$K$26:$M$29,2,FALSE)+VLOOKUP(VLOOKUP(BY$1,main!$A$3:$H$102,7,FALSE),main!$K$19:$O$22,MATCH(VLOOKUP($A69,main!$A$3:$H$102,8,FALSE),main!$K$18:$O$18,0))))),1,0)</f>
        <v>0</v>
      </c>
      <c r="BZ69">
        <f>IF((AND(VLOOKUP(BZ$1,main!$A$3:$H$102,5,FALSE)-VLOOKUP($A69,main!$A$3:$H$102,6,FALSE)&gt;=(VLOOKUP(VLOOKUP(BZ$1,main!$A$3:$H$102,8,FALSE),main!$K$26:$M$29,2,FALSE)+VLOOKUP(VLOOKUP(BZ$1,main!$A$3:$H$102,7,FALSE),main!$K$19:$O$22,MATCH(VLOOKUP($A69,main!$A$3:$H$102,8,FALSE),main!$K$18:$O$18,0))))),1,0)</f>
        <v>0</v>
      </c>
      <c r="CA69">
        <f>IF((AND(VLOOKUP(CA$1,main!$A$3:$H$102,5,FALSE)-VLOOKUP($A69,main!$A$3:$H$102,6,FALSE)&gt;=(VLOOKUP(VLOOKUP(CA$1,main!$A$3:$H$102,8,FALSE),main!$K$26:$M$29,2,FALSE)+VLOOKUP(VLOOKUP(CA$1,main!$A$3:$H$102,7,FALSE),main!$K$19:$O$22,MATCH(VLOOKUP($A69,main!$A$3:$H$102,8,FALSE),main!$K$18:$O$18,0))))),1,0)</f>
        <v>0</v>
      </c>
      <c r="CB69">
        <f>IF((AND(VLOOKUP(CB$1,main!$A$3:$H$102,5,FALSE)-VLOOKUP($A69,main!$A$3:$H$102,6,FALSE)&gt;=(VLOOKUP(VLOOKUP(CB$1,main!$A$3:$H$102,8,FALSE),main!$K$26:$M$29,2,FALSE)+VLOOKUP(VLOOKUP(CB$1,main!$A$3:$H$102,7,FALSE),main!$K$19:$O$22,MATCH(VLOOKUP($A69,main!$A$3:$H$102,8,FALSE),main!$K$18:$O$18,0))))),1,0)</f>
        <v>0</v>
      </c>
      <c r="CC69">
        <f>IF((AND(VLOOKUP(CC$1,main!$A$3:$H$102,5,FALSE)-VLOOKUP($A69,main!$A$3:$H$102,6,FALSE)&gt;=(VLOOKUP(VLOOKUP(CC$1,main!$A$3:$H$102,8,FALSE),main!$K$26:$M$29,2,FALSE)+VLOOKUP(VLOOKUP(CC$1,main!$A$3:$H$102,7,FALSE),main!$K$19:$O$22,MATCH(VLOOKUP($A69,main!$A$3:$H$102,8,FALSE),main!$K$18:$O$18,0))))),1,0)</f>
        <v>1</v>
      </c>
      <c r="CD69">
        <f>IF((AND(VLOOKUP(CD$1,main!$A$3:$H$102,5,FALSE)-VLOOKUP($A69,main!$A$3:$H$102,6,FALSE)&gt;=(VLOOKUP(VLOOKUP(CD$1,main!$A$3:$H$102,8,FALSE),main!$K$26:$M$29,2,FALSE)+VLOOKUP(VLOOKUP(CD$1,main!$A$3:$H$102,7,FALSE),main!$K$19:$O$22,MATCH(VLOOKUP($A69,main!$A$3:$H$102,8,FALSE),main!$K$18:$O$18,0))))),1,0)</f>
        <v>0</v>
      </c>
      <c r="CE69">
        <f>IF((AND(VLOOKUP(CE$1,main!$A$3:$H$102,5,FALSE)-VLOOKUP($A69,main!$A$3:$H$102,6,FALSE)&gt;=(VLOOKUP(VLOOKUP(CE$1,main!$A$3:$H$102,8,FALSE),main!$K$26:$M$29,2,FALSE)+VLOOKUP(VLOOKUP(CE$1,main!$A$3:$H$102,7,FALSE),main!$K$19:$O$22,MATCH(VLOOKUP($A69,main!$A$3:$H$102,8,FALSE),main!$K$18:$O$18,0))))),1,0)</f>
        <v>0</v>
      </c>
      <c r="CF69">
        <f>IF((AND(VLOOKUP(CF$1,main!$A$3:$H$102,5,FALSE)-VLOOKUP($A69,main!$A$3:$H$102,6,FALSE)&gt;=(VLOOKUP(VLOOKUP(CF$1,main!$A$3:$H$102,8,FALSE),main!$K$26:$M$29,2,FALSE)+VLOOKUP(VLOOKUP(CF$1,main!$A$3:$H$102,7,FALSE),main!$K$19:$O$22,MATCH(VLOOKUP($A69,main!$A$3:$H$102,8,FALSE),main!$K$18:$O$18,0))))),1,0)</f>
        <v>0</v>
      </c>
      <c r="CG69">
        <f>IF((AND(VLOOKUP(CG$1,main!$A$3:$H$102,5,FALSE)-VLOOKUP($A69,main!$A$3:$H$102,6,FALSE)&gt;=(VLOOKUP(VLOOKUP(CG$1,main!$A$3:$H$102,8,FALSE),main!$K$26:$M$29,2,FALSE)+VLOOKUP(VLOOKUP(CG$1,main!$A$3:$H$102,7,FALSE),main!$K$19:$O$22,MATCH(VLOOKUP($A69,main!$A$3:$H$102,8,FALSE),main!$K$18:$O$18,0))))),1,0)</f>
        <v>0</v>
      </c>
      <c r="CH69">
        <f>IF((AND(VLOOKUP(CH$1,main!$A$3:$H$102,5,FALSE)-VLOOKUP($A69,main!$A$3:$H$102,6,FALSE)&gt;=(VLOOKUP(VLOOKUP(CH$1,main!$A$3:$H$102,8,FALSE),main!$K$26:$M$29,2,FALSE)+VLOOKUP(VLOOKUP(CH$1,main!$A$3:$H$102,7,FALSE),main!$K$19:$O$22,MATCH(VLOOKUP($A69,main!$A$3:$H$102,8,FALSE),main!$K$18:$O$18,0))))),1,0)</f>
        <v>1</v>
      </c>
      <c r="CI69">
        <f>IF((AND(VLOOKUP(CI$1,main!$A$3:$H$102,5,FALSE)-VLOOKUP($A69,main!$A$3:$H$102,6,FALSE)&gt;=(VLOOKUP(VLOOKUP(CI$1,main!$A$3:$H$102,8,FALSE),main!$K$26:$M$29,2,FALSE)+VLOOKUP(VLOOKUP(CI$1,main!$A$3:$H$102,7,FALSE),main!$K$19:$O$22,MATCH(VLOOKUP($A69,main!$A$3:$H$102,8,FALSE),main!$K$18:$O$18,0))))),1,0)</f>
        <v>1</v>
      </c>
      <c r="CJ69">
        <f>IF((AND(VLOOKUP(CJ$1,main!$A$3:$H$102,5,FALSE)-VLOOKUP($A69,main!$A$3:$H$102,6,FALSE)&gt;=(VLOOKUP(VLOOKUP(CJ$1,main!$A$3:$H$102,8,FALSE),main!$K$26:$M$29,2,FALSE)+VLOOKUP(VLOOKUP(CJ$1,main!$A$3:$H$102,7,FALSE),main!$K$19:$O$22,MATCH(VLOOKUP($A69,main!$A$3:$H$102,8,FALSE),main!$K$18:$O$18,0))))),1,0)</f>
        <v>0</v>
      </c>
      <c r="CK69">
        <f>IF((AND(VLOOKUP(CK$1,main!$A$3:$H$102,5,FALSE)-VLOOKUP($A69,main!$A$3:$H$102,6,FALSE)&gt;=(VLOOKUP(VLOOKUP(CK$1,main!$A$3:$H$102,8,FALSE),main!$K$26:$M$29,2,FALSE)+VLOOKUP(VLOOKUP(CK$1,main!$A$3:$H$102,7,FALSE),main!$K$19:$O$22,MATCH(VLOOKUP($A69,main!$A$3:$H$102,8,FALSE),main!$K$18:$O$18,0))))),1,0)</f>
        <v>0</v>
      </c>
      <c r="CL69">
        <f>IF((AND(VLOOKUP(CL$1,main!$A$3:$H$102,5,FALSE)-VLOOKUP($A69,main!$A$3:$H$102,6,FALSE)&gt;=(VLOOKUP(VLOOKUP(CL$1,main!$A$3:$H$102,8,FALSE),main!$K$26:$M$29,2,FALSE)+VLOOKUP(VLOOKUP(CL$1,main!$A$3:$H$102,7,FALSE),main!$K$19:$O$22,MATCH(VLOOKUP($A69,main!$A$3:$H$102,8,FALSE),main!$K$18:$O$18,0))))),1,0)</f>
        <v>0</v>
      </c>
      <c r="CM69">
        <f>IF((AND(VLOOKUP(CM$1,main!$A$3:$H$102,5,FALSE)-VLOOKUP($A69,main!$A$3:$H$102,6,FALSE)&gt;=(VLOOKUP(VLOOKUP(CM$1,main!$A$3:$H$102,8,FALSE),main!$K$26:$M$29,2,FALSE)+VLOOKUP(VLOOKUP(CM$1,main!$A$3:$H$102,7,FALSE),main!$K$19:$O$22,MATCH(VLOOKUP($A69,main!$A$3:$H$102,8,FALSE),main!$K$18:$O$18,0))))),1,0)</f>
        <v>1</v>
      </c>
      <c r="CN69">
        <f>IF((AND(VLOOKUP(CN$1,main!$A$3:$H$102,5,FALSE)-VLOOKUP($A69,main!$A$3:$H$102,6,FALSE)&gt;=(VLOOKUP(VLOOKUP(CN$1,main!$A$3:$H$102,8,FALSE),main!$K$26:$M$29,2,FALSE)+VLOOKUP(VLOOKUP(CN$1,main!$A$3:$H$102,7,FALSE),main!$K$19:$O$22,MATCH(VLOOKUP($A69,main!$A$3:$H$102,8,FALSE),main!$K$18:$O$18,0))))),1,0)</f>
        <v>1</v>
      </c>
      <c r="CO69">
        <f>IF((AND(VLOOKUP(CO$1,main!$A$3:$H$102,5,FALSE)-VLOOKUP($A69,main!$A$3:$H$102,6,FALSE)&gt;=(VLOOKUP(VLOOKUP(CO$1,main!$A$3:$H$102,8,FALSE),main!$K$26:$M$29,2,FALSE)+VLOOKUP(VLOOKUP(CO$1,main!$A$3:$H$102,7,FALSE),main!$K$19:$O$22,MATCH(VLOOKUP($A69,main!$A$3:$H$102,8,FALSE),main!$K$18:$O$18,0))))),1,0)</f>
        <v>0</v>
      </c>
      <c r="CP69">
        <f>IF((AND(VLOOKUP(CP$1,main!$A$3:$H$102,5,FALSE)-VLOOKUP($A69,main!$A$3:$H$102,6,FALSE)&gt;=(VLOOKUP(VLOOKUP(CP$1,main!$A$3:$H$102,8,FALSE),main!$K$26:$M$29,2,FALSE)+VLOOKUP(VLOOKUP(CP$1,main!$A$3:$H$102,7,FALSE),main!$K$19:$O$22,MATCH(VLOOKUP($A69,main!$A$3:$H$102,8,FALSE),main!$K$18:$O$18,0))))),1,0)</f>
        <v>0</v>
      </c>
      <c r="CQ69">
        <f>IF((AND(VLOOKUP(CQ$1,main!$A$3:$H$102,5,FALSE)-VLOOKUP($A69,main!$A$3:$H$102,6,FALSE)&gt;=(VLOOKUP(VLOOKUP(CQ$1,main!$A$3:$H$102,8,FALSE),main!$K$26:$M$29,2,FALSE)+VLOOKUP(VLOOKUP(CQ$1,main!$A$3:$H$102,7,FALSE),main!$K$19:$O$22,MATCH(VLOOKUP($A69,main!$A$3:$H$102,8,FALSE),main!$K$18:$O$18,0))))),1,0)</f>
        <v>0</v>
      </c>
      <c r="CR69">
        <f>IF((AND(VLOOKUP(CR$1,main!$A$3:$H$102,5,FALSE)-VLOOKUP($A69,main!$A$3:$H$102,6,FALSE)&gt;=(VLOOKUP(VLOOKUP(CR$1,main!$A$3:$H$102,8,FALSE),main!$K$26:$M$29,2,FALSE)+VLOOKUP(VLOOKUP(CR$1,main!$A$3:$H$102,7,FALSE),main!$K$19:$O$22,MATCH(VLOOKUP($A69,main!$A$3:$H$102,8,FALSE),main!$K$18:$O$18,0))))),1,0)</f>
        <v>1</v>
      </c>
      <c r="CS69">
        <f>IF((AND(VLOOKUP(CS$1,main!$A$3:$H$102,5,FALSE)-VLOOKUP($A69,main!$A$3:$H$102,6,FALSE)&gt;=(VLOOKUP(VLOOKUP(CS$1,main!$A$3:$H$102,8,FALSE),main!$K$26:$M$29,2,FALSE)+VLOOKUP(VLOOKUP(CS$1,main!$A$3:$H$102,7,FALSE),main!$K$19:$O$22,MATCH(VLOOKUP($A69,main!$A$3:$H$102,8,FALSE),main!$K$18:$O$18,0))))),1,0)</f>
        <v>1</v>
      </c>
      <c r="CT69">
        <f>IF((AND(VLOOKUP(CT$1,main!$A$3:$H$102,5,FALSE)-VLOOKUP($A69,main!$A$3:$H$102,6,FALSE)&gt;=(VLOOKUP(VLOOKUP(CT$1,main!$A$3:$H$102,8,FALSE),main!$K$26:$M$29,2,FALSE)+VLOOKUP(VLOOKUP(CT$1,main!$A$3:$H$102,7,FALSE),main!$K$19:$O$22,MATCH(VLOOKUP($A69,main!$A$3:$H$102,8,FALSE),main!$K$18:$O$18,0))))),1,0)</f>
        <v>0</v>
      </c>
      <c r="CU69">
        <f>IF((AND(VLOOKUP(CU$1,main!$A$3:$H$102,5,FALSE)-VLOOKUP($A69,main!$A$3:$H$102,6,FALSE)&gt;=(VLOOKUP(VLOOKUP(CU$1,main!$A$3:$H$102,8,FALSE),main!$K$26:$M$29,2,FALSE)+VLOOKUP(VLOOKUP(CU$1,main!$A$3:$H$102,7,FALSE),main!$K$19:$O$22,MATCH(VLOOKUP($A69,main!$A$3:$H$102,8,FALSE),main!$K$18:$O$18,0))))),1,0)</f>
        <v>0</v>
      </c>
      <c r="CV69">
        <f>IF((AND(VLOOKUP(CV$1,main!$A$3:$H$102,5,FALSE)-VLOOKUP($A69,main!$A$3:$H$102,6,FALSE)&gt;=(VLOOKUP(VLOOKUP(CV$1,main!$A$3:$H$102,8,FALSE),main!$K$26:$M$29,2,FALSE)+VLOOKUP(VLOOKUP(CV$1,main!$A$3:$H$102,7,FALSE),main!$K$19:$O$22,MATCH(VLOOKUP($A69,main!$A$3:$H$102,8,FALSE),main!$K$18:$O$18,0))))),1,0)</f>
        <v>0</v>
      </c>
      <c r="CW69">
        <f>IF((AND(VLOOKUP(CW$1,main!$A$3:$H$102,5,FALSE)-VLOOKUP($A69,main!$A$3:$H$102,6,FALSE)&gt;=(VLOOKUP(VLOOKUP(CW$1,main!$A$3:$H$102,8,FALSE),main!$K$26:$M$29,2,FALSE)+VLOOKUP(VLOOKUP(CW$1,main!$A$3:$H$102,7,FALSE),main!$K$19:$O$22,MATCH(VLOOKUP($A69,main!$A$3:$H$102,8,FALSE),main!$K$18:$O$18,0))))),1,0)</f>
        <v>1</v>
      </c>
      <c r="CX69">
        <f>IF((AND(VLOOKUP(CX$1,main!$A$3:$H$102,5,FALSE)-VLOOKUP($A69,main!$A$3:$H$102,6,FALSE)&gt;=(VLOOKUP(VLOOKUP(CX$1,main!$A$3:$H$102,8,FALSE),main!$K$26:$M$29,2,FALSE)+VLOOKUP(VLOOKUP(CX$1,main!$A$3:$H$102,7,FALSE),main!$K$19:$O$22,MATCH(VLOOKUP($A69,main!$A$3:$H$102,8,FALSE),main!$K$18:$O$18,0))))),1,0)</f>
        <v>1</v>
      </c>
    </row>
    <row r="70" spans="1:102" x14ac:dyDescent="0.25">
      <c r="A70" s="1">
        <v>68</v>
      </c>
      <c r="B70">
        <v>1</v>
      </c>
      <c r="C70">
        <f>IF((AND(VLOOKUP(C$1,main!$A$3:$H$102,5,FALSE)-VLOOKUP($A70,main!$A$3:$H$102,6,FALSE)&gt;=(VLOOKUP(VLOOKUP(C$1,main!$A$3:$H$102,8,FALSE),main!$K$26:$M$29,2,FALSE)+VLOOKUP(VLOOKUP(C$1,main!$A$3:$H$102,7,FALSE),main!$K$19:$O$22,MATCH(VLOOKUP($A70,main!$A$3:$H$102,8,FALSE),main!$K$18:$O$18,0))))),1,0)</f>
        <v>0</v>
      </c>
      <c r="D70">
        <f>IF((AND(VLOOKUP(D$1,main!$A$3:$H$102,5,FALSE)-VLOOKUP($A70,main!$A$3:$H$102,6,FALSE)&gt;=(VLOOKUP(VLOOKUP(D$1,main!$A$3:$H$102,8,FALSE),main!$K$26:$M$29,2,FALSE)+VLOOKUP(VLOOKUP(D$1,main!$A$3:$H$102,7,FALSE),main!$K$19:$O$22,MATCH(VLOOKUP($A70,main!$A$3:$H$102,8,FALSE),main!$K$18:$O$18,0))))),1,0)</f>
        <v>0</v>
      </c>
      <c r="E70">
        <f>IF((AND(VLOOKUP(E$1,main!$A$3:$H$102,5,FALSE)-VLOOKUP($A70,main!$A$3:$H$102,6,FALSE)&gt;=(VLOOKUP(VLOOKUP(E$1,main!$A$3:$H$102,8,FALSE),main!$K$26:$M$29,2,FALSE)+VLOOKUP(VLOOKUP(E$1,main!$A$3:$H$102,7,FALSE),main!$K$19:$O$22,MATCH(VLOOKUP($A70,main!$A$3:$H$102,8,FALSE),main!$K$18:$O$18,0))))),1,0)</f>
        <v>0</v>
      </c>
      <c r="F70">
        <f>IF((AND(VLOOKUP(F$1,main!$A$3:$H$102,5,FALSE)-VLOOKUP($A70,main!$A$3:$H$102,6,FALSE)&gt;=(VLOOKUP(VLOOKUP(F$1,main!$A$3:$H$102,8,FALSE),main!$K$26:$M$29,2,FALSE)+VLOOKUP(VLOOKUP(F$1,main!$A$3:$H$102,7,FALSE),main!$K$19:$O$22,MATCH(VLOOKUP($A70,main!$A$3:$H$102,8,FALSE),main!$K$18:$O$18,0))))),1,0)</f>
        <v>0</v>
      </c>
      <c r="G70">
        <f>IF((AND(VLOOKUP(G$1,main!$A$3:$H$102,5,FALSE)-VLOOKUP($A70,main!$A$3:$H$102,6,FALSE)&gt;=(VLOOKUP(VLOOKUP(G$1,main!$A$3:$H$102,8,FALSE),main!$K$26:$M$29,2,FALSE)+VLOOKUP(VLOOKUP(G$1,main!$A$3:$H$102,7,FALSE),main!$K$19:$O$22,MATCH(VLOOKUP($A70,main!$A$3:$H$102,8,FALSE),main!$K$18:$O$18,0))))),1,0)</f>
        <v>0</v>
      </c>
      <c r="H70">
        <f>IF((AND(VLOOKUP(H$1,main!$A$3:$H$102,5,FALSE)-VLOOKUP($A70,main!$A$3:$H$102,6,FALSE)&gt;=(VLOOKUP(VLOOKUP(H$1,main!$A$3:$H$102,8,FALSE),main!$K$26:$M$29,2,FALSE)+VLOOKUP(VLOOKUP(H$1,main!$A$3:$H$102,7,FALSE),main!$K$19:$O$22,MATCH(VLOOKUP($A70,main!$A$3:$H$102,8,FALSE),main!$K$18:$O$18,0))))),1,0)</f>
        <v>0</v>
      </c>
      <c r="I70">
        <f>IF((AND(VLOOKUP(I$1,main!$A$3:$H$102,5,FALSE)-VLOOKUP($A70,main!$A$3:$H$102,6,FALSE)&gt;=(VLOOKUP(VLOOKUP(I$1,main!$A$3:$H$102,8,FALSE),main!$K$26:$M$29,2,FALSE)+VLOOKUP(VLOOKUP(I$1,main!$A$3:$H$102,7,FALSE),main!$K$19:$O$22,MATCH(VLOOKUP($A70,main!$A$3:$H$102,8,FALSE),main!$K$18:$O$18,0))))),1,0)</f>
        <v>1</v>
      </c>
      <c r="J70">
        <f>IF((AND(VLOOKUP(J$1,main!$A$3:$H$102,5,FALSE)-VLOOKUP($A70,main!$A$3:$H$102,6,FALSE)&gt;=(VLOOKUP(VLOOKUP(J$1,main!$A$3:$H$102,8,FALSE),main!$K$26:$M$29,2,FALSE)+VLOOKUP(VLOOKUP(J$1,main!$A$3:$H$102,7,FALSE),main!$K$19:$O$22,MATCH(VLOOKUP($A70,main!$A$3:$H$102,8,FALSE),main!$K$18:$O$18,0))))),1,0)</f>
        <v>1</v>
      </c>
      <c r="K70">
        <f>IF((AND(VLOOKUP(K$1,main!$A$3:$H$102,5,FALSE)-VLOOKUP($A70,main!$A$3:$H$102,6,FALSE)&gt;=(VLOOKUP(VLOOKUP(K$1,main!$A$3:$H$102,8,FALSE),main!$K$26:$M$29,2,FALSE)+VLOOKUP(VLOOKUP(K$1,main!$A$3:$H$102,7,FALSE),main!$K$19:$O$22,MATCH(VLOOKUP($A70,main!$A$3:$H$102,8,FALSE),main!$K$18:$O$18,0))))),1,0)</f>
        <v>1</v>
      </c>
      <c r="L70">
        <f>IF((AND(VLOOKUP(L$1,main!$A$3:$H$102,5,FALSE)-VLOOKUP($A70,main!$A$3:$H$102,6,FALSE)&gt;=(VLOOKUP(VLOOKUP(L$1,main!$A$3:$H$102,8,FALSE),main!$K$26:$M$29,2,FALSE)+VLOOKUP(VLOOKUP(L$1,main!$A$3:$H$102,7,FALSE),main!$K$19:$O$22,MATCH(VLOOKUP($A70,main!$A$3:$H$102,8,FALSE),main!$K$18:$O$18,0))))),1,0)</f>
        <v>1</v>
      </c>
      <c r="M70">
        <f>IF((AND(VLOOKUP(M$1,main!$A$3:$H$102,5,FALSE)-VLOOKUP($A70,main!$A$3:$H$102,6,FALSE)&gt;=(VLOOKUP(VLOOKUP(M$1,main!$A$3:$H$102,8,FALSE),main!$K$26:$M$29,2,FALSE)+VLOOKUP(VLOOKUP(M$1,main!$A$3:$H$102,7,FALSE),main!$K$19:$O$22,MATCH(VLOOKUP($A70,main!$A$3:$H$102,8,FALSE),main!$K$18:$O$18,0))))),1,0)</f>
        <v>0</v>
      </c>
      <c r="N70">
        <f>IF((AND(VLOOKUP(N$1,main!$A$3:$H$102,5,FALSE)-VLOOKUP($A70,main!$A$3:$H$102,6,FALSE)&gt;=(VLOOKUP(VLOOKUP(N$1,main!$A$3:$H$102,8,FALSE),main!$K$26:$M$29,2,FALSE)+VLOOKUP(VLOOKUP(N$1,main!$A$3:$H$102,7,FALSE),main!$K$19:$O$22,MATCH(VLOOKUP($A70,main!$A$3:$H$102,8,FALSE),main!$K$18:$O$18,0))))),1,0)</f>
        <v>0</v>
      </c>
      <c r="O70">
        <f>IF((AND(VLOOKUP(O$1,main!$A$3:$H$102,5,FALSE)-VLOOKUP($A70,main!$A$3:$H$102,6,FALSE)&gt;=(VLOOKUP(VLOOKUP(O$1,main!$A$3:$H$102,8,FALSE),main!$K$26:$M$29,2,FALSE)+VLOOKUP(VLOOKUP(O$1,main!$A$3:$H$102,7,FALSE),main!$K$19:$O$22,MATCH(VLOOKUP($A70,main!$A$3:$H$102,8,FALSE),main!$K$18:$O$18,0))))),1,0)</f>
        <v>0</v>
      </c>
      <c r="P70">
        <f>IF((AND(VLOOKUP(P$1,main!$A$3:$H$102,5,FALSE)-VLOOKUP($A70,main!$A$3:$H$102,6,FALSE)&gt;=(VLOOKUP(VLOOKUP(P$1,main!$A$3:$H$102,8,FALSE),main!$K$26:$M$29,2,FALSE)+VLOOKUP(VLOOKUP(P$1,main!$A$3:$H$102,7,FALSE),main!$K$19:$O$22,MATCH(VLOOKUP($A70,main!$A$3:$H$102,8,FALSE),main!$K$18:$O$18,0))))),1,0)</f>
        <v>0</v>
      </c>
      <c r="Q70">
        <f>IF((AND(VLOOKUP(Q$1,main!$A$3:$H$102,5,FALSE)-VLOOKUP($A70,main!$A$3:$H$102,6,FALSE)&gt;=(VLOOKUP(VLOOKUP(Q$1,main!$A$3:$H$102,8,FALSE),main!$K$26:$M$29,2,FALSE)+VLOOKUP(VLOOKUP(Q$1,main!$A$3:$H$102,7,FALSE),main!$K$19:$O$22,MATCH(VLOOKUP($A70,main!$A$3:$H$102,8,FALSE),main!$K$18:$O$18,0))))),1,0)</f>
        <v>0</v>
      </c>
      <c r="R70">
        <f>IF((AND(VLOOKUP(R$1,main!$A$3:$H$102,5,FALSE)-VLOOKUP($A70,main!$A$3:$H$102,6,FALSE)&gt;=(VLOOKUP(VLOOKUP(R$1,main!$A$3:$H$102,8,FALSE),main!$K$26:$M$29,2,FALSE)+VLOOKUP(VLOOKUP(R$1,main!$A$3:$H$102,7,FALSE),main!$K$19:$O$22,MATCH(VLOOKUP($A70,main!$A$3:$H$102,8,FALSE),main!$K$18:$O$18,0))))),1,0)</f>
        <v>0</v>
      </c>
      <c r="S70">
        <f>IF((AND(VLOOKUP(S$1,main!$A$3:$H$102,5,FALSE)-VLOOKUP($A70,main!$A$3:$H$102,6,FALSE)&gt;=(VLOOKUP(VLOOKUP(S$1,main!$A$3:$H$102,8,FALSE),main!$K$26:$M$29,2,FALSE)+VLOOKUP(VLOOKUP(S$1,main!$A$3:$H$102,7,FALSE),main!$K$19:$O$22,MATCH(VLOOKUP($A70,main!$A$3:$H$102,8,FALSE),main!$K$18:$O$18,0))))),1,0)</f>
        <v>0</v>
      </c>
      <c r="T70">
        <f>IF((AND(VLOOKUP(T$1,main!$A$3:$H$102,5,FALSE)-VLOOKUP($A70,main!$A$3:$H$102,6,FALSE)&gt;=(VLOOKUP(VLOOKUP(T$1,main!$A$3:$H$102,8,FALSE),main!$K$26:$M$29,2,FALSE)+VLOOKUP(VLOOKUP(T$1,main!$A$3:$H$102,7,FALSE),main!$K$19:$O$22,MATCH(VLOOKUP($A70,main!$A$3:$H$102,8,FALSE),main!$K$18:$O$18,0))))),1,0)</f>
        <v>1</v>
      </c>
      <c r="U70">
        <f>IF((AND(VLOOKUP(U$1,main!$A$3:$H$102,5,FALSE)-VLOOKUP($A70,main!$A$3:$H$102,6,FALSE)&gt;=(VLOOKUP(VLOOKUP(U$1,main!$A$3:$H$102,8,FALSE),main!$K$26:$M$29,2,FALSE)+VLOOKUP(VLOOKUP(U$1,main!$A$3:$H$102,7,FALSE),main!$K$19:$O$22,MATCH(VLOOKUP($A70,main!$A$3:$H$102,8,FALSE),main!$K$18:$O$18,0))))),1,0)</f>
        <v>1</v>
      </c>
      <c r="V70">
        <f>IF((AND(VLOOKUP(V$1,main!$A$3:$H$102,5,FALSE)-VLOOKUP($A70,main!$A$3:$H$102,6,FALSE)&gt;=(VLOOKUP(VLOOKUP(V$1,main!$A$3:$H$102,8,FALSE),main!$K$26:$M$29,2,FALSE)+VLOOKUP(VLOOKUP(V$1,main!$A$3:$H$102,7,FALSE),main!$K$19:$O$22,MATCH(VLOOKUP($A70,main!$A$3:$H$102,8,FALSE),main!$K$18:$O$18,0))))),1,0)</f>
        <v>1</v>
      </c>
      <c r="W70">
        <f>IF((AND(VLOOKUP(W$1,main!$A$3:$H$102,5,FALSE)-VLOOKUP($A70,main!$A$3:$H$102,6,FALSE)&gt;=(VLOOKUP(VLOOKUP(W$1,main!$A$3:$H$102,8,FALSE),main!$K$26:$M$29,2,FALSE)+VLOOKUP(VLOOKUP(W$1,main!$A$3:$H$102,7,FALSE),main!$K$19:$O$22,MATCH(VLOOKUP($A70,main!$A$3:$H$102,8,FALSE),main!$K$18:$O$18,0))))),1,0)</f>
        <v>0</v>
      </c>
      <c r="X70">
        <f>IF((AND(VLOOKUP(X$1,main!$A$3:$H$102,5,FALSE)-VLOOKUP($A70,main!$A$3:$H$102,6,FALSE)&gt;=(VLOOKUP(VLOOKUP(X$1,main!$A$3:$H$102,8,FALSE),main!$K$26:$M$29,2,FALSE)+VLOOKUP(VLOOKUP(X$1,main!$A$3:$H$102,7,FALSE),main!$K$19:$O$22,MATCH(VLOOKUP($A70,main!$A$3:$H$102,8,FALSE),main!$K$18:$O$18,0))))),1,0)</f>
        <v>0</v>
      </c>
      <c r="Y70">
        <f>IF((AND(VLOOKUP(Y$1,main!$A$3:$H$102,5,FALSE)-VLOOKUP($A70,main!$A$3:$H$102,6,FALSE)&gt;=(VLOOKUP(VLOOKUP(Y$1,main!$A$3:$H$102,8,FALSE),main!$K$26:$M$29,2,FALSE)+VLOOKUP(VLOOKUP(Y$1,main!$A$3:$H$102,7,FALSE),main!$K$19:$O$22,MATCH(VLOOKUP($A70,main!$A$3:$H$102,8,FALSE),main!$K$18:$O$18,0))))),1,0)</f>
        <v>0</v>
      </c>
      <c r="Z70">
        <f>IF((AND(VLOOKUP(Z$1,main!$A$3:$H$102,5,FALSE)-VLOOKUP($A70,main!$A$3:$H$102,6,FALSE)&gt;=(VLOOKUP(VLOOKUP(Z$1,main!$A$3:$H$102,8,FALSE),main!$K$26:$M$29,2,FALSE)+VLOOKUP(VLOOKUP(Z$1,main!$A$3:$H$102,7,FALSE),main!$K$19:$O$22,MATCH(VLOOKUP($A70,main!$A$3:$H$102,8,FALSE),main!$K$18:$O$18,0))))),1,0)</f>
        <v>1</v>
      </c>
      <c r="AA70">
        <f>IF((AND(VLOOKUP(AA$1,main!$A$3:$H$102,5,FALSE)-VLOOKUP($A70,main!$A$3:$H$102,6,FALSE)&gt;=(VLOOKUP(VLOOKUP(AA$1,main!$A$3:$H$102,8,FALSE),main!$K$26:$M$29,2,FALSE)+VLOOKUP(VLOOKUP(AA$1,main!$A$3:$H$102,7,FALSE),main!$K$19:$O$22,MATCH(VLOOKUP($A70,main!$A$3:$H$102,8,FALSE),main!$K$18:$O$18,0))))),1,0)</f>
        <v>1</v>
      </c>
      <c r="AB70">
        <f>IF((AND(VLOOKUP(AB$1,main!$A$3:$H$102,5,FALSE)-VLOOKUP($A70,main!$A$3:$H$102,6,FALSE)&gt;=(VLOOKUP(VLOOKUP(AB$1,main!$A$3:$H$102,8,FALSE),main!$K$26:$M$29,2,FALSE)+VLOOKUP(VLOOKUP(AB$1,main!$A$3:$H$102,7,FALSE),main!$K$19:$O$22,MATCH(VLOOKUP($A70,main!$A$3:$H$102,8,FALSE),main!$K$18:$O$18,0))))),1,0)</f>
        <v>0</v>
      </c>
      <c r="AC70">
        <f>IF((AND(VLOOKUP(AC$1,main!$A$3:$H$102,5,FALSE)-VLOOKUP($A70,main!$A$3:$H$102,6,FALSE)&gt;=(VLOOKUP(VLOOKUP(AC$1,main!$A$3:$H$102,8,FALSE),main!$K$26:$M$29,2,FALSE)+VLOOKUP(VLOOKUP(AC$1,main!$A$3:$H$102,7,FALSE),main!$K$19:$O$22,MATCH(VLOOKUP($A70,main!$A$3:$H$102,8,FALSE),main!$K$18:$O$18,0))))),1,0)</f>
        <v>0</v>
      </c>
      <c r="AD70">
        <f>IF((AND(VLOOKUP(AD$1,main!$A$3:$H$102,5,FALSE)-VLOOKUP($A70,main!$A$3:$H$102,6,FALSE)&gt;=(VLOOKUP(VLOOKUP(AD$1,main!$A$3:$H$102,8,FALSE),main!$K$26:$M$29,2,FALSE)+VLOOKUP(VLOOKUP(AD$1,main!$A$3:$H$102,7,FALSE),main!$K$19:$O$22,MATCH(VLOOKUP($A70,main!$A$3:$H$102,8,FALSE),main!$K$18:$O$18,0))))),1,0)</f>
        <v>0</v>
      </c>
      <c r="AE70">
        <f>IF((AND(VLOOKUP(AE$1,main!$A$3:$H$102,5,FALSE)-VLOOKUP($A70,main!$A$3:$H$102,6,FALSE)&gt;=(VLOOKUP(VLOOKUP(AE$1,main!$A$3:$H$102,8,FALSE),main!$K$26:$M$29,2,FALSE)+VLOOKUP(VLOOKUP(AE$1,main!$A$3:$H$102,7,FALSE),main!$K$19:$O$22,MATCH(VLOOKUP($A70,main!$A$3:$H$102,8,FALSE),main!$K$18:$O$18,0))))),1,0)</f>
        <v>1</v>
      </c>
      <c r="AF70">
        <f>IF((AND(VLOOKUP(AF$1,main!$A$3:$H$102,5,FALSE)-VLOOKUP($A70,main!$A$3:$H$102,6,FALSE)&gt;=(VLOOKUP(VLOOKUP(AF$1,main!$A$3:$H$102,8,FALSE),main!$K$26:$M$29,2,FALSE)+VLOOKUP(VLOOKUP(AF$1,main!$A$3:$H$102,7,FALSE),main!$K$19:$O$22,MATCH(VLOOKUP($A70,main!$A$3:$H$102,8,FALSE),main!$K$18:$O$18,0))))),1,0)</f>
        <v>1</v>
      </c>
      <c r="AG70">
        <f>IF((AND(VLOOKUP(AG$1,main!$A$3:$H$102,5,FALSE)-VLOOKUP($A70,main!$A$3:$H$102,6,FALSE)&gt;=(VLOOKUP(VLOOKUP(AG$1,main!$A$3:$H$102,8,FALSE),main!$K$26:$M$29,2,FALSE)+VLOOKUP(VLOOKUP(AG$1,main!$A$3:$H$102,7,FALSE),main!$K$19:$O$22,MATCH(VLOOKUP($A70,main!$A$3:$H$102,8,FALSE),main!$K$18:$O$18,0))))),1,0)</f>
        <v>0</v>
      </c>
      <c r="AH70">
        <f>IF((AND(VLOOKUP(AH$1,main!$A$3:$H$102,5,FALSE)-VLOOKUP($A70,main!$A$3:$H$102,6,FALSE)&gt;=(VLOOKUP(VLOOKUP(AH$1,main!$A$3:$H$102,8,FALSE),main!$K$26:$M$29,2,FALSE)+VLOOKUP(VLOOKUP(AH$1,main!$A$3:$H$102,7,FALSE),main!$K$19:$O$22,MATCH(VLOOKUP($A70,main!$A$3:$H$102,8,FALSE),main!$K$18:$O$18,0))))),1,0)</f>
        <v>0</v>
      </c>
      <c r="AI70">
        <f>IF((AND(VLOOKUP(AI$1,main!$A$3:$H$102,5,FALSE)-VLOOKUP($A70,main!$A$3:$H$102,6,FALSE)&gt;=(VLOOKUP(VLOOKUP(AI$1,main!$A$3:$H$102,8,FALSE),main!$K$26:$M$29,2,FALSE)+VLOOKUP(VLOOKUP(AI$1,main!$A$3:$H$102,7,FALSE),main!$K$19:$O$22,MATCH(VLOOKUP($A70,main!$A$3:$H$102,8,FALSE),main!$K$18:$O$18,0))))),1,0)</f>
        <v>0</v>
      </c>
      <c r="AJ70">
        <f>IF((AND(VLOOKUP(AJ$1,main!$A$3:$H$102,5,FALSE)-VLOOKUP($A70,main!$A$3:$H$102,6,FALSE)&gt;=(VLOOKUP(VLOOKUP(AJ$1,main!$A$3:$H$102,8,FALSE),main!$K$26:$M$29,2,FALSE)+VLOOKUP(VLOOKUP(AJ$1,main!$A$3:$H$102,7,FALSE),main!$K$19:$O$22,MATCH(VLOOKUP($A70,main!$A$3:$H$102,8,FALSE),main!$K$18:$O$18,0))))),1,0)</f>
        <v>0</v>
      </c>
      <c r="AK70">
        <f>IF((AND(VLOOKUP(AK$1,main!$A$3:$H$102,5,FALSE)-VLOOKUP($A70,main!$A$3:$H$102,6,FALSE)&gt;=(VLOOKUP(VLOOKUP(AK$1,main!$A$3:$H$102,8,FALSE),main!$K$26:$M$29,2,FALSE)+VLOOKUP(VLOOKUP(AK$1,main!$A$3:$H$102,7,FALSE),main!$K$19:$O$22,MATCH(VLOOKUP($A70,main!$A$3:$H$102,8,FALSE),main!$K$18:$O$18,0))))),1,0)</f>
        <v>0</v>
      </c>
      <c r="AL70">
        <f>IF((AND(VLOOKUP(AL$1,main!$A$3:$H$102,5,FALSE)-VLOOKUP($A70,main!$A$3:$H$102,6,FALSE)&gt;=(VLOOKUP(VLOOKUP(AL$1,main!$A$3:$H$102,8,FALSE),main!$K$26:$M$29,2,FALSE)+VLOOKUP(VLOOKUP(AL$1,main!$A$3:$H$102,7,FALSE),main!$K$19:$O$22,MATCH(VLOOKUP($A70,main!$A$3:$H$102,8,FALSE),main!$K$18:$O$18,0))))),1,0)</f>
        <v>1</v>
      </c>
      <c r="AM70">
        <f>IF((AND(VLOOKUP(AM$1,main!$A$3:$H$102,5,FALSE)-VLOOKUP($A70,main!$A$3:$H$102,6,FALSE)&gt;=(VLOOKUP(VLOOKUP(AM$1,main!$A$3:$H$102,8,FALSE),main!$K$26:$M$29,2,FALSE)+VLOOKUP(VLOOKUP(AM$1,main!$A$3:$H$102,7,FALSE),main!$K$19:$O$22,MATCH(VLOOKUP($A70,main!$A$3:$H$102,8,FALSE),main!$K$18:$O$18,0))))),1,0)</f>
        <v>1</v>
      </c>
      <c r="AN70">
        <f>IF((AND(VLOOKUP(AN$1,main!$A$3:$H$102,5,FALSE)-VLOOKUP($A70,main!$A$3:$H$102,6,FALSE)&gt;=(VLOOKUP(VLOOKUP(AN$1,main!$A$3:$H$102,8,FALSE),main!$K$26:$M$29,2,FALSE)+VLOOKUP(VLOOKUP(AN$1,main!$A$3:$H$102,7,FALSE),main!$K$19:$O$22,MATCH(VLOOKUP($A70,main!$A$3:$H$102,8,FALSE),main!$K$18:$O$18,0))))),1,0)</f>
        <v>1</v>
      </c>
      <c r="AO70">
        <f>IF((AND(VLOOKUP(AO$1,main!$A$3:$H$102,5,FALSE)-VLOOKUP($A70,main!$A$3:$H$102,6,FALSE)&gt;=(VLOOKUP(VLOOKUP(AO$1,main!$A$3:$H$102,8,FALSE),main!$K$26:$M$29,2,FALSE)+VLOOKUP(VLOOKUP(AO$1,main!$A$3:$H$102,7,FALSE),main!$K$19:$O$22,MATCH(VLOOKUP($A70,main!$A$3:$H$102,8,FALSE),main!$K$18:$O$18,0))))),1,0)</f>
        <v>0</v>
      </c>
      <c r="AP70">
        <f>IF((AND(VLOOKUP(AP$1,main!$A$3:$H$102,5,FALSE)-VLOOKUP($A70,main!$A$3:$H$102,6,FALSE)&gt;=(VLOOKUP(VLOOKUP(AP$1,main!$A$3:$H$102,8,FALSE),main!$K$26:$M$29,2,FALSE)+VLOOKUP(VLOOKUP(AP$1,main!$A$3:$H$102,7,FALSE),main!$K$19:$O$22,MATCH(VLOOKUP($A70,main!$A$3:$H$102,8,FALSE),main!$K$18:$O$18,0))))),1,0)</f>
        <v>1</v>
      </c>
      <c r="AQ70">
        <f>IF((AND(VLOOKUP(AQ$1,main!$A$3:$H$102,5,FALSE)-VLOOKUP($A70,main!$A$3:$H$102,6,FALSE)&gt;=(VLOOKUP(VLOOKUP(AQ$1,main!$A$3:$H$102,8,FALSE),main!$K$26:$M$29,2,FALSE)+VLOOKUP(VLOOKUP(AQ$1,main!$A$3:$H$102,7,FALSE),main!$K$19:$O$22,MATCH(VLOOKUP($A70,main!$A$3:$H$102,8,FALSE),main!$K$18:$O$18,0))))),1,0)</f>
        <v>0</v>
      </c>
      <c r="AR70">
        <f>IF((AND(VLOOKUP(AR$1,main!$A$3:$H$102,5,FALSE)-VLOOKUP($A70,main!$A$3:$H$102,6,FALSE)&gt;=(VLOOKUP(VLOOKUP(AR$1,main!$A$3:$H$102,8,FALSE),main!$K$26:$M$29,2,FALSE)+VLOOKUP(VLOOKUP(AR$1,main!$A$3:$H$102,7,FALSE),main!$K$19:$O$22,MATCH(VLOOKUP($A70,main!$A$3:$H$102,8,FALSE),main!$K$18:$O$18,0))))),1,0)</f>
        <v>0</v>
      </c>
      <c r="AS70">
        <f>IF((AND(VLOOKUP(AS$1,main!$A$3:$H$102,5,FALSE)-VLOOKUP($A70,main!$A$3:$H$102,6,FALSE)&gt;=(VLOOKUP(VLOOKUP(AS$1,main!$A$3:$H$102,8,FALSE),main!$K$26:$M$29,2,FALSE)+VLOOKUP(VLOOKUP(AS$1,main!$A$3:$H$102,7,FALSE),main!$K$19:$O$22,MATCH(VLOOKUP($A70,main!$A$3:$H$102,8,FALSE),main!$K$18:$O$18,0))))),1,0)</f>
        <v>0</v>
      </c>
      <c r="AT70">
        <f>IF((AND(VLOOKUP(AT$1,main!$A$3:$H$102,5,FALSE)-VLOOKUP($A70,main!$A$3:$H$102,6,FALSE)&gt;=(VLOOKUP(VLOOKUP(AT$1,main!$A$3:$H$102,8,FALSE),main!$K$26:$M$29,2,FALSE)+VLOOKUP(VLOOKUP(AT$1,main!$A$3:$H$102,7,FALSE),main!$K$19:$O$22,MATCH(VLOOKUP($A70,main!$A$3:$H$102,8,FALSE),main!$K$18:$O$18,0))))),1,0)</f>
        <v>1</v>
      </c>
      <c r="AU70">
        <f>IF((AND(VLOOKUP(AU$1,main!$A$3:$H$102,5,FALSE)-VLOOKUP($A70,main!$A$3:$H$102,6,FALSE)&gt;=(VLOOKUP(VLOOKUP(AU$1,main!$A$3:$H$102,8,FALSE),main!$K$26:$M$29,2,FALSE)+VLOOKUP(VLOOKUP(AU$1,main!$A$3:$H$102,7,FALSE),main!$K$19:$O$22,MATCH(VLOOKUP($A70,main!$A$3:$H$102,8,FALSE),main!$K$18:$O$18,0))))),1,0)</f>
        <v>0</v>
      </c>
      <c r="AV70">
        <f>IF((AND(VLOOKUP(AV$1,main!$A$3:$H$102,5,FALSE)-VLOOKUP($A70,main!$A$3:$H$102,6,FALSE)&gt;=(VLOOKUP(VLOOKUP(AV$1,main!$A$3:$H$102,8,FALSE),main!$K$26:$M$29,2,FALSE)+VLOOKUP(VLOOKUP(AV$1,main!$A$3:$H$102,7,FALSE),main!$K$19:$O$22,MATCH(VLOOKUP($A70,main!$A$3:$H$102,8,FALSE),main!$K$18:$O$18,0))))),1,0)</f>
        <v>0</v>
      </c>
      <c r="AW70">
        <f>IF((AND(VLOOKUP(AW$1,main!$A$3:$H$102,5,FALSE)-VLOOKUP($A70,main!$A$3:$H$102,6,FALSE)&gt;=(VLOOKUP(VLOOKUP(AW$1,main!$A$3:$H$102,8,FALSE),main!$K$26:$M$29,2,FALSE)+VLOOKUP(VLOOKUP(AW$1,main!$A$3:$H$102,7,FALSE),main!$K$19:$O$22,MATCH(VLOOKUP($A70,main!$A$3:$H$102,8,FALSE),main!$K$18:$O$18,0))))),1,0)</f>
        <v>0</v>
      </c>
      <c r="AX70">
        <f>IF((AND(VLOOKUP(AX$1,main!$A$3:$H$102,5,FALSE)-VLOOKUP($A70,main!$A$3:$H$102,6,FALSE)&gt;=(VLOOKUP(VLOOKUP(AX$1,main!$A$3:$H$102,8,FALSE),main!$K$26:$M$29,2,FALSE)+VLOOKUP(VLOOKUP(AX$1,main!$A$3:$H$102,7,FALSE),main!$K$19:$O$22,MATCH(VLOOKUP($A70,main!$A$3:$H$102,8,FALSE),main!$K$18:$O$18,0))))),1,0)</f>
        <v>0</v>
      </c>
      <c r="AY70">
        <f>IF((AND(VLOOKUP(AY$1,main!$A$3:$H$102,5,FALSE)-VLOOKUP($A70,main!$A$3:$H$102,6,FALSE)&gt;=(VLOOKUP(VLOOKUP(AY$1,main!$A$3:$H$102,8,FALSE),main!$K$26:$M$29,2,FALSE)+VLOOKUP(VLOOKUP(AY$1,main!$A$3:$H$102,7,FALSE),main!$K$19:$O$22,MATCH(VLOOKUP($A70,main!$A$3:$H$102,8,FALSE),main!$K$18:$O$18,0))))),1,0)</f>
        <v>0</v>
      </c>
      <c r="AZ70">
        <f>IF((AND(VLOOKUP(AZ$1,main!$A$3:$H$102,5,FALSE)-VLOOKUP($A70,main!$A$3:$H$102,6,FALSE)&gt;=(VLOOKUP(VLOOKUP(AZ$1,main!$A$3:$H$102,8,FALSE),main!$K$26:$M$29,2,FALSE)+VLOOKUP(VLOOKUP(AZ$1,main!$A$3:$H$102,7,FALSE),main!$K$19:$O$22,MATCH(VLOOKUP($A70,main!$A$3:$H$102,8,FALSE),main!$K$18:$O$18,0))))),1,0)</f>
        <v>0</v>
      </c>
      <c r="BA70">
        <f>IF((AND(VLOOKUP(BA$1,main!$A$3:$H$102,5,FALSE)-VLOOKUP($A70,main!$A$3:$H$102,6,FALSE)&gt;=(VLOOKUP(VLOOKUP(BA$1,main!$A$3:$H$102,8,FALSE),main!$K$26:$M$29,2,FALSE)+VLOOKUP(VLOOKUP(BA$1,main!$A$3:$H$102,7,FALSE),main!$K$19:$O$22,MATCH(VLOOKUP($A70,main!$A$3:$H$102,8,FALSE),main!$K$18:$O$18,0))))),1,0)</f>
        <v>0</v>
      </c>
      <c r="BB70">
        <f>IF((AND(VLOOKUP(BB$1,main!$A$3:$H$102,5,FALSE)-VLOOKUP($A70,main!$A$3:$H$102,6,FALSE)&gt;=(VLOOKUP(VLOOKUP(BB$1,main!$A$3:$H$102,8,FALSE),main!$K$26:$M$29,2,FALSE)+VLOOKUP(VLOOKUP(BB$1,main!$A$3:$H$102,7,FALSE),main!$K$19:$O$22,MATCH(VLOOKUP($A70,main!$A$3:$H$102,8,FALSE),main!$K$18:$O$18,0))))),1,0)</f>
        <v>0</v>
      </c>
      <c r="BC70">
        <f>IF((AND(VLOOKUP(BC$1,main!$A$3:$H$102,5,FALSE)-VLOOKUP($A70,main!$A$3:$H$102,6,FALSE)&gt;=(VLOOKUP(VLOOKUP(BC$1,main!$A$3:$H$102,8,FALSE),main!$K$26:$M$29,2,FALSE)+VLOOKUP(VLOOKUP(BC$1,main!$A$3:$H$102,7,FALSE),main!$K$19:$O$22,MATCH(VLOOKUP($A70,main!$A$3:$H$102,8,FALSE),main!$K$18:$O$18,0))))),1,0)</f>
        <v>0</v>
      </c>
      <c r="BD70">
        <f>IF((AND(VLOOKUP(BD$1,main!$A$3:$H$102,5,FALSE)-VLOOKUP($A70,main!$A$3:$H$102,6,FALSE)&gt;=(VLOOKUP(VLOOKUP(BD$1,main!$A$3:$H$102,8,FALSE),main!$K$26:$M$29,2,FALSE)+VLOOKUP(VLOOKUP(BD$1,main!$A$3:$H$102,7,FALSE),main!$K$19:$O$22,MATCH(VLOOKUP($A70,main!$A$3:$H$102,8,FALSE),main!$K$18:$O$18,0))))),1,0)</f>
        <v>0</v>
      </c>
      <c r="BE70">
        <f>IF((AND(VLOOKUP(BE$1,main!$A$3:$H$102,5,FALSE)-VLOOKUP($A70,main!$A$3:$H$102,6,FALSE)&gt;=(VLOOKUP(VLOOKUP(BE$1,main!$A$3:$H$102,8,FALSE),main!$K$26:$M$29,2,FALSE)+VLOOKUP(VLOOKUP(BE$1,main!$A$3:$H$102,7,FALSE),main!$K$19:$O$22,MATCH(VLOOKUP($A70,main!$A$3:$H$102,8,FALSE),main!$K$18:$O$18,0))))),1,0)</f>
        <v>1</v>
      </c>
      <c r="BF70">
        <f>IF((AND(VLOOKUP(BF$1,main!$A$3:$H$102,5,FALSE)-VLOOKUP($A70,main!$A$3:$H$102,6,FALSE)&gt;=(VLOOKUP(VLOOKUP(BF$1,main!$A$3:$H$102,8,FALSE),main!$K$26:$M$29,2,FALSE)+VLOOKUP(VLOOKUP(BF$1,main!$A$3:$H$102,7,FALSE),main!$K$19:$O$22,MATCH(VLOOKUP($A70,main!$A$3:$H$102,8,FALSE),main!$K$18:$O$18,0))))),1,0)</f>
        <v>0</v>
      </c>
      <c r="BG70">
        <f>IF((AND(VLOOKUP(BG$1,main!$A$3:$H$102,5,FALSE)-VLOOKUP($A70,main!$A$3:$H$102,6,FALSE)&gt;=(VLOOKUP(VLOOKUP(BG$1,main!$A$3:$H$102,8,FALSE),main!$K$26:$M$29,2,FALSE)+VLOOKUP(VLOOKUP(BG$1,main!$A$3:$H$102,7,FALSE),main!$K$19:$O$22,MATCH(VLOOKUP($A70,main!$A$3:$H$102,8,FALSE),main!$K$18:$O$18,0))))),1,0)</f>
        <v>0</v>
      </c>
      <c r="BH70">
        <f>IF((AND(VLOOKUP(BH$1,main!$A$3:$H$102,5,FALSE)-VLOOKUP($A70,main!$A$3:$H$102,6,FALSE)&gt;=(VLOOKUP(VLOOKUP(BH$1,main!$A$3:$H$102,8,FALSE),main!$K$26:$M$29,2,FALSE)+VLOOKUP(VLOOKUP(BH$1,main!$A$3:$H$102,7,FALSE),main!$K$19:$O$22,MATCH(VLOOKUP($A70,main!$A$3:$H$102,8,FALSE),main!$K$18:$O$18,0))))),1,0)</f>
        <v>0</v>
      </c>
      <c r="BI70">
        <f>IF((AND(VLOOKUP(BI$1,main!$A$3:$H$102,5,FALSE)-VLOOKUP($A70,main!$A$3:$H$102,6,FALSE)&gt;=(VLOOKUP(VLOOKUP(BI$1,main!$A$3:$H$102,8,FALSE),main!$K$26:$M$29,2,FALSE)+VLOOKUP(VLOOKUP(BI$1,main!$A$3:$H$102,7,FALSE),main!$K$19:$O$22,MATCH(VLOOKUP($A70,main!$A$3:$H$102,8,FALSE),main!$K$18:$O$18,0))))),1,0)</f>
        <v>1</v>
      </c>
      <c r="BJ70">
        <f>IF((AND(VLOOKUP(BJ$1,main!$A$3:$H$102,5,FALSE)-VLOOKUP($A70,main!$A$3:$H$102,6,FALSE)&gt;=(VLOOKUP(VLOOKUP(BJ$1,main!$A$3:$H$102,8,FALSE),main!$K$26:$M$29,2,FALSE)+VLOOKUP(VLOOKUP(BJ$1,main!$A$3:$H$102,7,FALSE),main!$K$19:$O$22,MATCH(VLOOKUP($A70,main!$A$3:$H$102,8,FALSE),main!$K$18:$O$18,0))))),1,0)</f>
        <v>1</v>
      </c>
      <c r="BK70">
        <f>IF((AND(VLOOKUP(BK$1,main!$A$3:$H$102,5,FALSE)-VLOOKUP($A70,main!$A$3:$H$102,6,FALSE)&gt;=(VLOOKUP(VLOOKUP(BK$1,main!$A$3:$H$102,8,FALSE),main!$K$26:$M$29,2,FALSE)+VLOOKUP(VLOOKUP(BK$1,main!$A$3:$H$102,7,FALSE),main!$K$19:$O$22,MATCH(VLOOKUP($A70,main!$A$3:$H$102,8,FALSE),main!$K$18:$O$18,0))))),1,0)</f>
        <v>0</v>
      </c>
      <c r="BL70">
        <f>IF((AND(VLOOKUP(BL$1,main!$A$3:$H$102,5,FALSE)-VLOOKUP($A70,main!$A$3:$H$102,6,FALSE)&gt;=(VLOOKUP(VLOOKUP(BL$1,main!$A$3:$H$102,8,FALSE),main!$K$26:$M$29,2,FALSE)+VLOOKUP(VLOOKUP(BL$1,main!$A$3:$H$102,7,FALSE),main!$K$19:$O$22,MATCH(VLOOKUP($A70,main!$A$3:$H$102,8,FALSE),main!$K$18:$O$18,0))))),1,0)</f>
        <v>0</v>
      </c>
      <c r="BM70">
        <f>IF((AND(VLOOKUP(BM$1,main!$A$3:$H$102,5,FALSE)-VLOOKUP($A70,main!$A$3:$H$102,6,FALSE)&gt;=(VLOOKUP(VLOOKUP(BM$1,main!$A$3:$H$102,8,FALSE),main!$K$26:$M$29,2,FALSE)+VLOOKUP(VLOOKUP(BM$1,main!$A$3:$H$102,7,FALSE),main!$K$19:$O$22,MATCH(VLOOKUP($A70,main!$A$3:$H$102,8,FALSE),main!$K$18:$O$18,0))))),1,0)</f>
        <v>0</v>
      </c>
      <c r="BN70">
        <f>IF((AND(VLOOKUP(BN$1,main!$A$3:$H$102,5,FALSE)-VLOOKUP($A70,main!$A$3:$H$102,6,FALSE)&gt;=(VLOOKUP(VLOOKUP(BN$1,main!$A$3:$H$102,8,FALSE),main!$K$26:$M$29,2,FALSE)+VLOOKUP(VLOOKUP(BN$1,main!$A$3:$H$102,7,FALSE),main!$K$19:$O$22,MATCH(VLOOKUP($A70,main!$A$3:$H$102,8,FALSE),main!$K$18:$O$18,0))))),1,0)</f>
        <v>0</v>
      </c>
      <c r="BO70">
        <f>IF((AND(VLOOKUP(BO$1,main!$A$3:$H$102,5,FALSE)-VLOOKUP($A70,main!$A$3:$H$102,6,FALSE)&gt;=(VLOOKUP(VLOOKUP(BO$1,main!$A$3:$H$102,8,FALSE),main!$K$26:$M$29,2,FALSE)+VLOOKUP(VLOOKUP(BO$1,main!$A$3:$H$102,7,FALSE),main!$K$19:$O$22,MATCH(VLOOKUP($A70,main!$A$3:$H$102,8,FALSE),main!$K$18:$O$18,0))))),1,0)</f>
        <v>0</v>
      </c>
      <c r="BP70">
        <f>IF((AND(VLOOKUP(BP$1,main!$A$3:$H$102,5,FALSE)-VLOOKUP($A70,main!$A$3:$H$102,6,FALSE)&gt;=(VLOOKUP(VLOOKUP(BP$1,main!$A$3:$H$102,8,FALSE),main!$K$26:$M$29,2,FALSE)+VLOOKUP(VLOOKUP(BP$1,main!$A$3:$H$102,7,FALSE),main!$K$19:$O$22,MATCH(VLOOKUP($A70,main!$A$3:$H$102,8,FALSE),main!$K$18:$O$18,0))))),1,0)</f>
        <v>0</v>
      </c>
      <c r="BQ70">
        <f>IF((AND(VLOOKUP(BQ$1,main!$A$3:$H$102,5,FALSE)-VLOOKUP($A70,main!$A$3:$H$102,6,FALSE)&gt;=(VLOOKUP(VLOOKUP(BQ$1,main!$A$3:$H$102,8,FALSE),main!$K$26:$M$29,2,FALSE)+VLOOKUP(VLOOKUP(BQ$1,main!$A$3:$H$102,7,FALSE),main!$K$19:$O$22,MATCH(VLOOKUP($A70,main!$A$3:$H$102,8,FALSE),main!$K$18:$O$18,0))))),1,0)</f>
        <v>0</v>
      </c>
      <c r="BR70">
        <f>IF((AND(VLOOKUP(BR$1,main!$A$3:$H$102,5,FALSE)-VLOOKUP($A70,main!$A$3:$H$102,6,FALSE)&gt;=(VLOOKUP(VLOOKUP(BR$1,main!$A$3:$H$102,8,FALSE),main!$K$26:$M$29,2,FALSE)+VLOOKUP(VLOOKUP(BR$1,main!$A$3:$H$102,7,FALSE),main!$K$19:$O$22,MATCH(VLOOKUP($A70,main!$A$3:$H$102,8,FALSE),main!$K$18:$O$18,0))))),1,0)</f>
        <v>0</v>
      </c>
      <c r="BS70">
        <f>IF((AND(VLOOKUP(BS$1,main!$A$3:$H$102,5,FALSE)-VLOOKUP($A70,main!$A$3:$H$102,6,FALSE)&gt;=(VLOOKUP(VLOOKUP(BS$1,main!$A$3:$H$102,8,FALSE),main!$K$26:$M$29,2,FALSE)+VLOOKUP(VLOOKUP(BS$1,main!$A$3:$H$102,7,FALSE),main!$K$19:$O$22,MATCH(VLOOKUP($A70,main!$A$3:$H$102,8,FALSE),main!$K$18:$O$18,0))))),1,0)</f>
        <v>0</v>
      </c>
      <c r="BT70">
        <f>IF((AND(VLOOKUP(BT$1,main!$A$3:$H$102,5,FALSE)-VLOOKUP($A70,main!$A$3:$H$102,6,FALSE)&gt;=(VLOOKUP(VLOOKUP(BT$1,main!$A$3:$H$102,8,FALSE),main!$K$26:$M$29,2,FALSE)+VLOOKUP(VLOOKUP(BT$1,main!$A$3:$H$102,7,FALSE),main!$K$19:$O$22,MATCH(VLOOKUP($A70,main!$A$3:$H$102,8,FALSE),main!$K$18:$O$18,0))))),1,0)</f>
        <v>0</v>
      </c>
      <c r="BU70">
        <f>IF((AND(VLOOKUP(BU$1,main!$A$3:$H$102,5,FALSE)-VLOOKUP($A70,main!$A$3:$H$102,6,FALSE)&gt;=(VLOOKUP(VLOOKUP(BU$1,main!$A$3:$H$102,8,FALSE),main!$K$26:$M$29,2,FALSE)+VLOOKUP(VLOOKUP(BU$1,main!$A$3:$H$102,7,FALSE),main!$K$19:$O$22,MATCH(VLOOKUP($A70,main!$A$3:$H$102,8,FALSE),main!$K$18:$O$18,0))))),1,0)</f>
        <v>0</v>
      </c>
      <c r="BV70">
        <f>IF((AND(VLOOKUP(BV$1,main!$A$3:$H$102,5,FALSE)-VLOOKUP($A70,main!$A$3:$H$102,6,FALSE)&gt;=(VLOOKUP(VLOOKUP(BV$1,main!$A$3:$H$102,8,FALSE),main!$K$26:$M$29,2,FALSE)+VLOOKUP(VLOOKUP(BV$1,main!$A$3:$H$102,7,FALSE),main!$K$19:$O$22,MATCH(VLOOKUP($A70,main!$A$3:$H$102,8,FALSE),main!$K$18:$O$18,0))))),1,0)</f>
        <v>0</v>
      </c>
      <c r="BW70">
        <f>IF((AND(VLOOKUP(BW$1,main!$A$3:$H$102,5,FALSE)-VLOOKUP($A70,main!$A$3:$H$102,6,FALSE)&gt;=(VLOOKUP(VLOOKUP(BW$1,main!$A$3:$H$102,8,FALSE),main!$K$26:$M$29,2,FALSE)+VLOOKUP(VLOOKUP(BW$1,main!$A$3:$H$102,7,FALSE),main!$K$19:$O$22,MATCH(VLOOKUP($A70,main!$A$3:$H$102,8,FALSE),main!$K$18:$O$18,0))))),1,0)</f>
        <v>0</v>
      </c>
      <c r="BX70">
        <f>IF((AND(VLOOKUP(BX$1,main!$A$3:$H$102,5,FALSE)-VLOOKUP($A70,main!$A$3:$H$102,6,FALSE)&gt;=(VLOOKUP(VLOOKUP(BX$1,main!$A$3:$H$102,8,FALSE),main!$K$26:$M$29,2,FALSE)+VLOOKUP(VLOOKUP(BX$1,main!$A$3:$H$102,7,FALSE),main!$K$19:$O$22,MATCH(VLOOKUP($A70,main!$A$3:$H$102,8,FALSE),main!$K$18:$O$18,0))))),1,0)</f>
        <v>0</v>
      </c>
      <c r="BY70">
        <f>IF((AND(VLOOKUP(BY$1,main!$A$3:$H$102,5,FALSE)-VLOOKUP($A70,main!$A$3:$H$102,6,FALSE)&gt;=(VLOOKUP(VLOOKUP(BY$1,main!$A$3:$H$102,8,FALSE),main!$K$26:$M$29,2,FALSE)+VLOOKUP(VLOOKUP(BY$1,main!$A$3:$H$102,7,FALSE),main!$K$19:$O$22,MATCH(VLOOKUP($A70,main!$A$3:$H$102,8,FALSE),main!$K$18:$O$18,0))))),1,0)</f>
        <v>0</v>
      </c>
      <c r="BZ70">
        <f>IF((AND(VLOOKUP(BZ$1,main!$A$3:$H$102,5,FALSE)-VLOOKUP($A70,main!$A$3:$H$102,6,FALSE)&gt;=(VLOOKUP(VLOOKUP(BZ$1,main!$A$3:$H$102,8,FALSE),main!$K$26:$M$29,2,FALSE)+VLOOKUP(VLOOKUP(BZ$1,main!$A$3:$H$102,7,FALSE),main!$K$19:$O$22,MATCH(VLOOKUP($A70,main!$A$3:$H$102,8,FALSE),main!$K$18:$O$18,0))))),1,0)</f>
        <v>0</v>
      </c>
      <c r="CA70">
        <f>IF((AND(VLOOKUP(CA$1,main!$A$3:$H$102,5,FALSE)-VLOOKUP($A70,main!$A$3:$H$102,6,FALSE)&gt;=(VLOOKUP(VLOOKUP(CA$1,main!$A$3:$H$102,8,FALSE),main!$K$26:$M$29,2,FALSE)+VLOOKUP(VLOOKUP(CA$1,main!$A$3:$H$102,7,FALSE),main!$K$19:$O$22,MATCH(VLOOKUP($A70,main!$A$3:$H$102,8,FALSE),main!$K$18:$O$18,0))))),1,0)</f>
        <v>0</v>
      </c>
      <c r="CB70">
        <f>IF((AND(VLOOKUP(CB$1,main!$A$3:$H$102,5,FALSE)-VLOOKUP($A70,main!$A$3:$H$102,6,FALSE)&gt;=(VLOOKUP(VLOOKUP(CB$1,main!$A$3:$H$102,8,FALSE),main!$K$26:$M$29,2,FALSE)+VLOOKUP(VLOOKUP(CB$1,main!$A$3:$H$102,7,FALSE),main!$K$19:$O$22,MATCH(VLOOKUP($A70,main!$A$3:$H$102,8,FALSE),main!$K$18:$O$18,0))))),1,0)</f>
        <v>0</v>
      </c>
      <c r="CC70">
        <f>IF((AND(VLOOKUP(CC$1,main!$A$3:$H$102,5,FALSE)-VLOOKUP($A70,main!$A$3:$H$102,6,FALSE)&gt;=(VLOOKUP(VLOOKUP(CC$1,main!$A$3:$H$102,8,FALSE),main!$K$26:$M$29,2,FALSE)+VLOOKUP(VLOOKUP(CC$1,main!$A$3:$H$102,7,FALSE),main!$K$19:$O$22,MATCH(VLOOKUP($A70,main!$A$3:$H$102,8,FALSE),main!$K$18:$O$18,0))))),1,0)</f>
        <v>1</v>
      </c>
      <c r="CD70">
        <f>IF((AND(VLOOKUP(CD$1,main!$A$3:$H$102,5,FALSE)-VLOOKUP($A70,main!$A$3:$H$102,6,FALSE)&gt;=(VLOOKUP(VLOOKUP(CD$1,main!$A$3:$H$102,8,FALSE),main!$K$26:$M$29,2,FALSE)+VLOOKUP(VLOOKUP(CD$1,main!$A$3:$H$102,7,FALSE),main!$K$19:$O$22,MATCH(VLOOKUP($A70,main!$A$3:$H$102,8,FALSE),main!$K$18:$O$18,0))))),1,0)</f>
        <v>0</v>
      </c>
      <c r="CE70">
        <f>IF((AND(VLOOKUP(CE$1,main!$A$3:$H$102,5,FALSE)-VLOOKUP($A70,main!$A$3:$H$102,6,FALSE)&gt;=(VLOOKUP(VLOOKUP(CE$1,main!$A$3:$H$102,8,FALSE),main!$K$26:$M$29,2,FALSE)+VLOOKUP(VLOOKUP(CE$1,main!$A$3:$H$102,7,FALSE),main!$K$19:$O$22,MATCH(VLOOKUP($A70,main!$A$3:$H$102,8,FALSE),main!$K$18:$O$18,0))))),1,0)</f>
        <v>0</v>
      </c>
      <c r="CF70">
        <f>IF((AND(VLOOKUP(CF$1,main!$A$3:$H$102,5,FALSE)-VLOOKUP($A70,main!$A$3:$H$102,6,FALSE)&gt;=(VLOOKUP(VLOOKUP(CF$1,main!$A$3:$H$102,8,FALSE),main!$K$26:$M$29,2,FALSE)+VLOOKUP(VLOOKUP(CF$1,main!$A$3:$H$102,7,FALSE),main!$K$19:$O$22,MATCH(VLOOKUP($A70,main!$A$3:$H$102,8,FALSE),main!$K$18:$O$18,0))))),1,0)</f>
        <v>0</v>
      </c>
      <c r="CG70">
        <f>IF((AND(VLOOKUP(CG$1,main!$A$3:$H$102,5,FALSE)-VLOOKUP($A70,main!$A$3:$H$102,6,FALSE)&gt;=(VLOOKUP(VLOOKUP(CG$1,main!$A$3:$H$102,8,FALSE),main!$K$26:$M$29,2,FALSE)+VLOOKUP(VLOOKUP(CG$1,main!$A$3:$H$102,7,FALSE),main!$K$19:$O$22,MATCH(VLOOKUP($A70,main!$A$3:$H$102,8,FALSE),main!$K$18:$O$18,0))))),1,0)</f>
        <v>0</v>
      </c>
      <c r="CH70">
        <f>IF((AND(VLOOKUP(CH$1,main!$A$3:$H$102,5,FALSE)-VLOOKUP($A70,main!$A$3:$H$102,6,FALSE)&gt;=(VLOOKUP(VLOOKUP(CH$1,main!$A$3:$H$102,8,FALSE),main!$K$26:$M$29,2,FALSE)+VLOOKUP(VLOOKUP(CH$1,main!$A$3:$H$102,7,FALSE),main!$K$19:$O$22,MATCH(VLOOKUP($A70,main!$A$3:$H$102,8,FALSE),main!$K$18:$O$18,0))))),1,0)</f>
        <v>1</v>
      </c>
      <c r="CI70">
        <f>IF((AND(VLOOKUP(CI$1,main!$A$3:$H$102,5,FALSE)-VLOOKUP($A70,main!$A$3:$H$102,6,FALSE)&gt;=(VLOOKUP(VLOOKUP(CI$1,main!$A$3:$H$102,8,FALSE),main!$K$26:$M$29,2,FALSE)+VLOOKUP(VLOOKUP(CI$1,main!$A$3:$H$102,7,FALSE),main!$K$19:$O$22,MATCH(VLOOKUP($A70,main!$A$3:$H$102,8,FALSE),main!$K$18:$O$18,0))))),1,0)</f>
        <v>1</v>
      </c>
      <c r="CJ70">
        <f>IF((AND(VLOOKUP(CJ$1,main!$A$3:$H$102,5,FALSE)-VLOOKUP($A70,main!$A$3:$H$102,6,FALSE)&gt;=(VLOOKUP(VLOOKUP(CJ$1,main!$A$3:$H$102,8,FALSE),main!$K$26:$M$29,2,FALSE)+VLOOKUP(VLOOKUP(CJ$1,main!$A$3:$H$102,7,FALSE),main!$K$19:$O$22,MATCH(VLOOKUP($A70,main!$A$3:$H$102,8,FALSE),main!$K$18:$O$18,0))))),1,0)</f>
        <v>0</v>
      </c>
      <c r="CK70">
        <f>IF((AND(VLOOKUP(CK$1,main!$A$3:$H$102,5,FALSE)-VLOOKUP($A70,main!$A$3:$H$102,6,FALSE)&gt;=(VLOOKUP(VLOOKUP(CK$1,main!$A$3:$H$102,8,FALSE),main!$K$26:$M$29,2,FALSE)+VLOOKUP(VLOOKUP(CK$1,main!$A$3:$H$102,7,FALSE),main!$K$19:$O$22,MATCH(VLOOKUP($A70,main!$A$3:$H$102,8,FALSE),main!$K$18:$O$18,0))))),1,0)</f>
        <v>0</v>
      </c>
      <c r="CL70">
        <f>IF((AND(VLOOKUP(CL$1,main!$A$3:$H$102,5,FALSE)-VLOOKUP($A70,main!$A$3:$H$102,6,FALSE)&gt;=(VLOOKUP(VLOOKUP(CL$1,main!$A$3:$H$102,8,FALSE),main!$K$26:$M$29,2,FALSE)+VLOOKUP(VLOOKUP(CL$1,main!$A$3:$H$102,7,FALSE),main!$K$19:$O$22,MATCH(VLOOKUP($A70,main!$A$3:$H$102,8,FALSE),main!$K$18:$O$18,0))))),1,0)</f>
        <v>0</v>
      </c>
      <c r="CM70">
        <f>IF((AND(VLOOKUP(CM$1,main!$A$3:$H$102,5,FALSE)-VLOOKUP($A70,main!$A$3:$H$102,6,FALSE)&gt;=(VLOOKUP(VLOOKUP(CM$1,main!$A$3:$H$102,8,FALSE),main!$K$26:$M$29,2,FALSE)+VLOOKUP(VLOOKUP(CM$1,main!$A$3:$H$102,7,FALSE),main!$K$19:$O$22,MATCH(VLOOKUP($A70,main!$A$3:$H$102,8,FALSE),main!$K$18:$O$18,0))))),1,0)</f>
        <v>1</v>
      </c>
      <c r="CN70">
        <f>IF((AND(VLOOKUP(CN$1,main!$A$3:$H$102,5,FALSE)-VLOOKUP($A70,main!$A$3:$H$102,6,FALSE)&gt;=(VLOOKUP(VLOOKUP(CN$1,main!$A$3:$H$102,8,FALSE),main!$K$26:$M$29,2,FALSE)+VLOOKUP(VLOOKUP(CN$1,main!$A$3:$H$102,7,FALSE),main!$K$19:$O$22,MATCH(VLOOKUP($A70,main!$A$3:$H$102,8,FALSE),main!$K$18:$O$18,0))))),1,0)</f>
        <v>1</v>
      </c>
      <c r="CO70">
        <f>IF((AND(VLOOKUP(CO$1,main!$A$3:$H$102,5,FALSE)-VLOOKUP($A70,main!$A$3:$H$102,6,FALSE)&gt;=(VLOOKUP(VLOOKUP(CO$1,main!$A$3:$H$102,8,FALSE),main!$K$26:$M$29,2,FALSE)+VLOOKUP(VLOOKUP(CO$1,main!$A$3:$H$102,7,FALSE),main!$K$19:$O$22,MATCH(VLOOKUP($A70,main!$A$3:$H$102,8,FALSE),main!$K$18:$O$18,0))))),1,0)</f>
        <v>0</v>
      </c>
      <c r="CP70">
        <f>IF((AND(VLOOKUP(CP$1,main!$A$3:$H$102,5,FALSE)-VLOOKUP($A70,main!$A$3:$H$102,6,FALSE)&gt;=(VLOOKUP(VLOOKUP(CP$1,main!$A$3:$H$102,8,FALSE),main!$K$26:$M$29,2,FALSE)+VLOOKUP(VLOOKUP(CP$1,main!$A$3:$H$102,7,FALSE),main!$K$19:$O$22,MATCH(VLOOKUP($A70,main!$A$3:$H$102,8,FALSE),main!$K$18:$O$18,0))))),1,0)</f>
        <v>0</v>
      </c>
      <c r="CQ70">
        <f>IF((AND(VLOOKUP(CQ$1,main!$A$3:$H$102,5,FALSE)-VLOOKUP($A70,main!$A$3:$H$102,6,FALSE)&gt;=(VLOOKUP(VLOOKUP(CQ$1,main!$A$3:$H$102,8,FALSE),main!$K$26:$M$29,2,FALSE)+VLOOKUP(VLOOKUP(CQ$1,main!$A$3:$H$102,7,FALSE),main!$K$19:$O$22,MATCH(VLOOKUP($A70,main!$A$3:$H$102,8,FALSE),main!$K$18:$O$18,0))))),1,0)</f>
        <v>0</v>
      </c>
      <c r="CR70">
        <f>IF((AND(VLOOKUP(CR$1,main!$A$3:$H$102,5,FALSE)-VLOOKUP($A70,main!$A$3:$H$102,6,FALSE)&gt;=(VLOOKUP(VLOOKUP(CR$1,main!$A$3:$H$102,8,FALSE),main!$K$26:$M$29,2,FALSE)+VLOOKUP(VLOOKUP(CR$1,main!$A$3:$H$102,7,FALSE),main!$K$19:$O$22,MATCH(VLOOKUP($A70,main!$A$3:$H$102,8,FALSE),main!$K$18:$O$18,0))))),1,0)</f>
        <v>1</v>
      </c>
      <c r="CS70">
        <f>IF((AND(VLOOKUP(CS$1,main!$A$3:$H$102,5,FALSE)-VLOOKUP($A70,main!$A$3:$H$102,6,FALSE)&gt;=(VLOOKUP(VLOOKUP(CS$1,main!$A$3:$H$102,8,FALSE),main!$K$26:$M$29,2,FALSE)+VLOOKUP(VLOOKUP(CS$1,main!$A$3:$H$102,7,FALSE),main!$K$19:$O$22,MATCH(VLOOKUP($A70,main!$A$3:$H$102,8,FALSE),main!$K$18:$O$18,0))))),1,0)</f>
        <v>1</v>
      </c>
      <c r="CT70">
        <f>IF((AND(VLOOKUP(CT$1,main!$A$3:$H$102,5,FALSE)-VLOOKUP($A70,main!$A$3:$H$102,6,FALSE)&gt;=(VLOOKUP(VLOOKUP(CT$1,main!$A$3:$H$102,8,FALSE),main!$K$26:$M$29,2,FALSE)+VLOOKUP(VLOOKUP(CT$1,main!$A$3:$H$102,7,FALSE),main!$K$19:$O$22,MATCH(VLOOKUP($A70,main!$A$3:$H$102,8,FALSE),main!$K$18:$O$18,0))))),1,0)</f>
        <v>0</v>
      </c>
      <c r="CU70">
        <f>IF((AND(VLOOKUP(CU$1,main!$A$3:$H$102,5,FALSE)-VLOOKUP($A70,main!$A$3:$H$102,6,FALSE)&gt;=(VLOOKUP(VLOOKUP(CU$1,main!$A$3:$H$102,8,FALSE),main!$K$26:$M$29,2,FALSE)+VLOOKUP(VLOOKUP(CU$1,main!$A$3:$H$102,7,FALSE),main!$K$19:$O$22,MATCH(VLOOKUP($A70,main!$A$3:$H$102,8,FALSE),main!$K$18:$O$18,0))))),1,0)</f>
        <v>0</v>
      </c>
      <c r="CV70">
        <f>IF((AND(VLOOKUP(CV$1,main!$A$3:$H$102,5,FALSE)-VLOOKUP($A70,main!$A$3:$H$102,6,FALSE)&gt;=(VLOOKUP(VLOOKUP(CV$1,main!$A$3:$H$102,8,FALSE),main!$K$26:$M$29,2,FALSE)+VLOOKUP(VLOOKUP(CV$1,main!$A$3:$H$102,7,FALSE),main!$K$19:$O$22,MATCH(VLOOKUP($A70,main!$A$3:$H$102,8,FALSE),main!$K$18:$O$18,0))))),1,0)</f>
        <v>0</v>
      </c>
      <c r="CW70">
        <f>IF((AND(VLOOKUP(CW$1,main!$A$3:$H$102,5,FALSE)-VLOOKUP($A70,main!$A$3:$H$102,6,FALSE)&gt;=(VLOOKUP(VLOOKUP(CW$1,main!$A$3:$H$102,8,FALSE),main!$K$26:$M$29,2,FALSE)+VLOOKUP(VLOOKUP(CW$1,main!$A$3:$H$102,7,FALSE),main!$K$19:$O$22,MATCH(VLOOKUP($A70,main!$A$3:$H$102,8,FALSE),main!$K$18:$O$18,0))))),1,0)</f>
        <v>1</v>
      </c>
      <c r="CX70">
        <f>IF((AND(VLOOKUP(CX$1,main!$A$3:$H$102,5,FALSE)-VLOOKUP($A70,main!$A$3:$H$102,6,FALSE)&gt;=(VLOOKUP(VLOOKUP(CX$1,main!$A$3:$H$102,8,FALSE),main!$K$26:$M$29,2,FALSE)+VLOOKUP(VLOOKUP(CX$1,main!$A$3:$H$102,7,FALSE),main!$K$19:$O$22,MATCH(VLOOKUP($A70,main!$A$3:$H$102,8,FALSE),main!$K$18:$O$18,0))))),1,0)</f>
        <v>1</v>
      </c>
    </row>
    <row r="71" spans="1:102" x14ac:dyDescent="0.25">
      <c r="A71" s="1">
        <v>69</v>
      </c>
      <c r="B71">
        <v>1</v>
      </c>
      <c r="C71">
        <f>IF((AND(VLOOKUP(C$1,main!$A$3:$H$102,5,FALSE)-VLOOKUP($A71,main!$A$3:$H$102,6,FALSE)&gt;=(VLOOKUP(VLOOKUP(C$1,main!$A$3:$H$102,8,FALSE),main!$K$26:$M$29,2,FALSE)+VLOOKUP(VLOOKUP(C$1,main!$A$3:$H$102,7,FALSE),main!$K$19:$O$22,MATCH(VLOOKUP($A71,main!$A$3:$H$102,8,FALSE),main!$K$18:$O$18,0))))),1,0)</f>
        <v>0</v>
      </c>
      <c r="D71">
        <f>IF((AND(VLOOKUP(D$1,main!$A$3:$H$102,5,FALSE)-VLOOKUP($A71,main!$A$3:$H$102,6,FALSE)&gt;=(VLOOKUP(VLOOKUP(D$1,main!$A$3:$H$102,8,FALSE),main!$K$26:$M$29,2,FALSE)+VLOOKUP(VLOOKUP(D$1,main!$A$3:$H$102,7,FALSE),main!$K$19:$O$22,MATCH(VLOOKUP($A71,main!$A$3:$H$102,8,FALSE),main!$K$18:$O$18,0))))),1,0)</f>
        <v>0</v>
      </c>
      <c r="E71">
        <f>IF((AND(VLOOKUP(E$1,main!$A$3:$H$102,5,FALSE)-VLOOKUP($A71,main!$A$3:$H$102,6,FALSE)&gt;=(VLOOKUP(VLOOKUP(E$1,main!$A$3:$H$102,8,FALSE),main!$K$26:$M$29,2,FALSE)+VLOOKUP(VLOOKUP(E$1,main!$A$3:$H$102,7,FALSE),main!$K$19:$O$22,MATCH(VLOOKUP($A71,main!$A$3:$H$102,8,FALSE),main!$K$18:$O$18,0))))),1,0)</f>
        <v>0</v>
      </c>
      <c r="F71">
        <f>IF((AND(VLOOKUP(F$1,main!$A$3:$H$102,5,FALSE)-VLOOKUP($A71,main!$A$3:$H$102,6,FALSE)&gt;=(VLOOKUP(VLOOKUP(F$1,main!$A$3:$H$102,8,FALSE),main!$K$26:$M$29,2,FALSE)+VLOOKUP(VLOOKUP(F$1,main!$A$3:$H$102,7,FALSE),main!$K$19:$O$22,MATCH(VLOOKUP($A71,main!$A$3:$H$102,8,FALSE),main!$K$18:$O$18,0))))),1,0)</f>
        <v>0</v>
      </c>
      <c r="G71">
        <f>IF((AND(VLOOKUP(G$1,main!$A$3:$H$102,5,FALSE)-VLOOKUP($A71,main!$A$3:$H$102,6,FALSE)&gt;=(VLOOKUP(VLOOKUP(G$1,main!$A$3:$H$102,8,FALSE),main!$K$26:$M$29,2,FALSE)+VLOOKUP(VLOOKUP(G$1,main!$A$3:$H$102,7,FALSE),main!$K$19:$O$22,MATCH(VLOOKUP($A71,main!$A$3:$H$102,8,FALSE),main!$K$18:$O$18,0))))),1,0)</f>
        <v>0</v>
      </c>
      <c r="H71">
        <f>IF((AND(VLOOKUP(H$1,main!$A$3:$H$102,5,FALSE)-VLOOKUP($A71,main!$A$3:$H$102,6,FALSE)&gt;=(VLOOKUP(VLOOKUP(H$1,main!$A$3:$H$102,8,FALSE),main!$K$26:$M$29,2,FALSE)+VLOOKUP(VLOOKUP(H$1,main!$A$3:$H$102,7,FALSE),main!$K$19:$O$22,MATCH(VLOOKUP($A71,main!$A$3:$H$102,8,FALSE),main!$K$18:$O$18,0))))),1,0)</f>
        <v>0</v>
      </c>
      <c r="I71">
        <f>IF((AND(VLOOKUP(I$1,main!$A$3:$H$102,5,FALSE)-VLOOKUP($A71,main!$A$3:$H$102,6,FALSE)&gt;=(VLOOKUP(VLOOKUP(I$1,main!$A$3:$H$102,8,FALSE),main!$K$26:$M$29,2,FALSE)+VLOOKUP(VLOOKUP(I$1,main!$A$3:$H$102,7,FALSE),main!$K$19:$O$22,MATCH(VLOOKUP($A71,main!$A$3:$H$102,8,FALSE),main!$K$18:$O$18,0))))),1,0)</f>
        <v>1</v>
      </c>
      <c r="J71">
        <f>IF((AND(VLOOKUP(J$1,main!$A$3:$H$102,5,FALSE)-VLOOKUP($A71,main!$A$3:$H$102,6,FALSE)&gt;=(VLOOKUP(VLOOKUP(J$1,main!$A$3:$H$102,8,FALSE),main!$K$26:$M$29,2,FALSE)+VLOOKUP(VLOOKUP(J$1,main!$A$3:$H$102,7,FALSE),main!$K$19:$O$22,MATCH(VLOOKUP($A71,main!$A$3:$H$102,8,FALSE),main!$K$18:$O$18,0))))),1,0)</f>
        <v>1</v>
      </c>
      <c r="K71">
        <f>IF((AND(VLOOKUP(K$1,main!$A$3:$H$102,5,FALSE)-VLOOKUP($A71,main!$A$3:$H$102,6,FALSE)&gt;=(VLOOKUP(VLOOKUP(K$1,main!$A$3:$H$102,8,FALSE),main!$K$26:$M$29,2,FALSE)+VLOOKUP(VLOOKUP(K$1,main!$A$3:$H$102,7,FALSE),main!$K$19:$O$22,MATCH(VLOOKUP($A71,main!$A$3:$H$102,8,FALSE),main!$K$18:$O$18,0))))),1,0)</f>
        <v>1</v>
      </c>
      <c r="L71">
        <f>IF((AND(VLOOKUP(L$1,main!$A$3:$H$102,5,FALSE)-VLOOKUP($A71,main!$A$3:$H$102,6,FALSE)&gt;=(VLOOKUP(VLOOKUP(L$1,main!$A$3:$H$102,8,FALSE),main!$K$26:$M$29,2,FALSE)+VLOOKUP(VLOOKUP(L$1,main!$A$3:$H$102,7,FALSE),main!$K$19:$O$22,MATCH(VLOOKUP($A71,main!$A$3:$H$102,8,FALSE),main!$K$18:$O$18,0))))),1,0)</f>
        <v>1</v>
      </c>
      <c r="M71">
        <f>IF((AND(VLOOKUP(M$1,main!$A$3:$H$102,5,FALSE)-VLOOKUP($A71,main!$A$3:$H$102,6,FALSE)&gt;=(VLOOKUP(VLOOKUP(M$1,main!$A$3:$H$102,8,FALSE),main!$K$26:$M$29,2,FALSE)+VLOOKUP(VLOOKUP(M$1,main!$A$3:$H$102,7,FALSE),main!$K$19:$O$22,MATCH(VLOOKUP($A71,main!$A$3:$H$102,8,FALSE),main!$K$18:$O$18,0))))),1,0)</f>
        <v>0</v>
      </c>
      <c r="N71">
        <f>IF((AND(VLOOKUP(N$1,main!$A$3:$H$102,5,FALSE)-VLOOKUP($A71,main!$A$3:$H$102,6,FALSE)&gt;=(VLOOKUP(VLOOKUP(N$1,main!$A$3:$H$102,8,FALSE),main!$K$26:$M$29,2,FALSE)+VLOOKUP(VLOOKUP(N$1,main!$A$3:$H$102,7,FALSE),main!$K$19:$O$22,MATCH(VLOOKUP($A71,main!$A$3:$H$102,8,FALSE),main!$K$18:$O$18,0))))),1,0)</f>
        <v>0</v>
      </c>
      <c r="O71">
        <f>IF((AND(VLOOKUP(O$1,main!$A$3:$H$102,5,FALSE)-VLOOKUP($A71,main!$A$3:$H$102,6,FALSE)&gt;=(VLOOKUP(VLOOKUP(O$1,main!$A$3:$H$102,8,FALSE),main!$K$26:$M$29,2,FALSE)+VLOOKUP(VLOOKUP(O$1,main!$A$3:$H$102,7,FALSE),main!$K$19:$O$22,MATCH(VLOOKUP($A71,main!$A$3:$H$102,8,FALSE),main!$K$18:$O$18,0))))),1,0)</f>
        <v>0</v>
      </c>
      <c r="P71">
        <f>IF((AND(VLOOKUP(P$1,main!$A$3:$H$102,5,FALSE)-VLOOKUP($A71,main!$A$3:$H$102,6,FALSE)&gt;=(VLOOKUP(VLOOKUP(P$1,main!$A$3:$H$102,8,FALSE),main!$K$26:$M$29,2,FALSE)+VLOOKUP(VLOOKUP(P$1,main!$A$3:$H$102,7,FALSE),main!$K$19:$O$22,MATCH(VLOOKUP($A71,main!$A$3:$H$102,8,FALSE),main!$K$18:$O$18,0))))),1,0)</f>
        <v>0</v>
      </c>
      <c r="Q71">
        <f>IF((AND(VLOOKUP(Q$1,main!$A$3:$H$102,5,FALSE)-VLOOKUP($A71,main!$A$3:$H$102,6,FALSE)&gt;=(VLOOKUP(VLOOKUP(Q$1,main!$A$3:$H$102,8,FALSE),main!$K$26:$M$29,2,FALSE)+VLOOKUP(VLOOKUP(Q$1,main!$A$3:$H$102,7,FALSE),main!$K$19:$O$22,MATCH(VLOOKUP($A71,main!$A$3:$H$102,8,FALSE),main!$K$18:$O$18,0))))),1,0)</f>
        <v>0</v>
      </c>
      <c r="R71">
        <f>IF((AND(VLOOKUP(R$1,main!$A$3:$H$102,5,FALSE)-VLOOKUP($A71,main!$A$3:$H$102,6,FALSE)&gt;=(VLOOKUP(VLOOKUP(R$1,main!$A$3:$H$102,8,FALSE),main!$K$26:$M$29,2,FALSE)+VLOOKUP(VLOOKUP(R$1,main!$A$3:$H$102,7,FALSE),main!$K$19:$O$22,MATCH(VLOOKUP($A71,main!$A$3:$H$102,8,FALSE),main!$K$18:$O$18,0))))),1,0)</f>
        <v>0</v>
      </c>
      <c r="S71">
        <f>IF((AND(VLOOKUP(S$1,main!$A$3:$H$102,5,FALSE)-VLOOKUP($A71,main!$A$3:$H$102,6,FALSE)&gt;=(VLOOKUP(VLOOKUP(S$1,main!$A$3:$H$102,8,FALSE),main!$K$26:$M$29,2,FALSE)+VLOOKUP(VLOOKUP(S$1,main!$A$3:$H$102,7,FALSE),main!$K$19:$O$22,MATCH(VLOOKUP($A71,main!$A$3:$H$102,8,FALSE),main!$K$18:$O$18,0))))),1,0)</f>
        <v>0</v>
      </c>
      <c r="T71">
        <f>IF((AND(VLOOKUP(T$1,main!$A$3:$H$102,5,FALSE)-VLOOKUP($A71,main!$A$3:$H$102,6,FALSE)&gt;=(VLOOKUP(VLOOKUP(T$1,main!$A$3:$H$102,8,FALSE),main!$K$26:$M$29,2,FALSE)+VLOOKUP(VLOOKUP(T$1,main!$A$3:$H$102,7,FALSE),main!$K$19:$O$22,MATCH(VLOOKUP($A71,main!$A$3:$H$102,8,FALSE),main!$K$18:$O$18,0))))),1,0)</f>
        <v>1</v>
      </c>
      <c r="U71">
        <f>IF((AND(VLOOKUP(U$1,main!$A$3:$H$102,5,FALSE)-VLOOKUP($A71,main!$A$3:$H$102,6,FALSE)&gt;=(VLOOKUP(VLOOKUP(U$1,main!$A$3:$H$102,8,FALSE),main!$K$26:$M$29,2,FALSE)+VLOOKUP(VLOOKUP(U$1,main!$A$3:$H$102,7,FALSE),main!$K$19:$O$22,MATCH(VLOOKUP($A71,main!$A$3:$H$102,8,FALSE),main!$K$18:$O$18,0))))),1,0)</f>
        <v>1</v>
      </c>
      <c r="V71">
        <f>IF((AND(VLOOKUP(V$1,main!$A$3:$H$102,5,FALSE)-VLOOKUP($A71,main!$A$3:$H$102,6,FALSE)&gt;=(VLOOKUP(VLOOKUP(V$1,main!$A$3:$H$102,8,FALSE),main!$K$26:$M$29,2,FALSE)+VLOOKUP(VLOOKUP(V$1,main!$A$3:$H$102,7,FALSE),main!$K$19:$O$22,MATCH(VLOOKUP($A71,main!$A$3:$H$102,8,FALSE),main!$K$18:$O$18,0))))),1,0)</f>
        <v>1</v>
      </c>
      <c r="W71">
        <f>IF((AND(VLOOKUP(W$1,main!$A$3:$H$102,5,FALSE)-VLOOKUP($A71,main!$A$3:$H$102,6,FALSE)&gt;=(VLOOKUP(VLOOKUP(W$1,main!$A$3:$H$102,8,FALSE),main!$K$26:$M$29,2,FALSE)+VLOOKUP(VLOOKUP(W$1,main!$A$3:$H$102,7,FALSE),main!$K$19:$O$22,MATCH(VLOOKUP($A71,main!$A$3:$H$102,8,FALSE),main!$K$18:$O$18,0))))),1,0)</f>
        <v>0</v>
      </c>
      <c r="X71">
        <f>IF((AND(VLOOKUP(X$1,main!$A$3:$H$102,5,FALSE)-VLOOKUP($A71,main!$A$3:$H$102,6,FALSE)&gt;=(VLOOKUP(VLOOKUP(X$1,main!$A$3:$H$102,8,FALSE),main!$K$26:$M$29,2,FALSE)+VLOOKUP(VLOOKUP(X$1,main!$A$3:$H$102,7,FALSE),main!$K$19:$O$22,MATCH(VLOOKUP($A71,main!$A$3:$H$102,8,FALSE),main!$K$18:$O$18,0))))),1,0)</f>
        <v>0</v>
      </c>
      <c r="Y71">
        <f>IF((AND(VLOOKUP(Y$1,main!$A$3:$H$102,5,FALSE)-VLOOKUP($A71,main!$A$3:$H$102,6,FALSE)&gt;=(VLOOKUP(VLOOKUP(Y$1,main!$A$3:$H$102,8,FALSE),main!$K$26:$M$29,2,FALSE)+VLOOKUP(VLOOKUP(Y$1,main!$A$3:$H$102,7,FALSE),main!$K$19:$O$22,MATCH(VLOOKUP($A71,main!$A$3:$H$102,8,FALSE),main!$K$18:$O$18,0))))),1,0)</f>
        <v>0</v>
      </c>
      <c r="Z71">
        <f>IF((AND(VLOOKUP(Z$1,main!$A$3:$H$102,5,FALSE)-VLOOKUP($A71,main!$A$3:$H$102,6,FALSE)&gt;=(VLOOKUP(VLOOKUP(Z$1,main!$A$3:$H$102,8,FALSE),main!$K$26:$M$29,2,FALSE)+VLOOKUP(VLOOKUP(Z$1,main!$A$3:$H$102,7,FALSE),main!$K$19:$O$22,MATCH(VLOOKUP($A71,main!$A$3:$H$102,8,FALSE),main!$K$18:$O$18,0))))),1,0)</f>
        <v>1</v>
      </c>
      <c r="AA71">
        <f>IF((AND(VLOOKUP(AA$1,main!$A$3:$H$102,5,FALSE)-VLOOKUP($A71,main!$A$3:$H$102,6,FALSE)&gt;=(VLOOKUP(VLOOKUP(AA$1,main!$A$3:$H$102,8,FALSE),main!$K$26:$M$29,2,FALSE)+VLOOKUP(VLOOKUP(AA$1,main!$A$3:$H$102,7,FALSE),main!$K$19:$O$22,MATCH(VLOOKUP($A71,main!$A$3:$H$102,8,FALSE),main!$K$18:$O$18,0))))),1,0)</f>
        <v>1</v>
      </c>
      <c r="AB71">
        <f>IF((AND(VLOOKUP(AB$1,main!$A$3:$H$102,5,FALSE)-VLOOKUP($A71,main!$A$3:$H$102,6,FALSE)&gt;=(VLOOKUP(VLOOKUP(AB$1,main!$A$3:$H$102,8,FALSE),main!$K$26:$M$29,2,FALSE)+VLOOKUP(VLOOKUP(AB$1,main!$A$3:$H$102,7,FALSE),main!$K$19:$O$22,MATCH(VLOOKUP($A71,main!$A$3:$H$102,8,FALSE),main!$K$18:$O$18,0))))),1,0)</f>
        <v>0</v>
      </c>
      <c r="AC71">
        <f>IF((AND(VLOOKUP(AC$1,main!$A$3:$H$102,5,FALSE)-VLOOKUP($A71,main!$A$3:$H$102,6,FALSE)&gt;=(VLOOKUP(VLOOKUP(AC$1,main!$A$3:$H$102,8,FALSE),main!$K$26:$M$29,2,FALSE)+VLOOKUP(VLOOKUP(AC$1,main!$A$3:$H$102,7,FALSE),main!$K$19:$O$22,MATCH(VLOOKUP($A71,main!$A$3:$H$102,8,FALSE),main!$K$18:$O$18,0))))),1,0)</f>
        <v>0</v>
      </c>
      <c r="AD71">
        <f>IF((AND(VLOOKUP(AD$1,main!$A$3:$H$102,5,FALSE)-VLOOKUP($A71,main!$A$3:$H$102,6,FALSE)&gt;=(VLOOKUP(VLOOKUP(AD$1,main!$A$3:$H$102,8,FALSE),main!$K$26:$M$29,2,FALSE)+VLOOKUP(VLOOKUP(AD$1,main!$A$3:$H$102,7,FALSE),main!$K$19:$O$22,MATCH(VLOOKUP($A71,main!$A$3:$H$102,8,FALSE),main!$K$18:$O$18,0))))),1,0)</f>
        <v>0</v>
      </c>
      <c r="AE71">
        <f>IF((AND(VLOOKUP(AE$1,main!$A$3:$H$102,5,FALSE)-VLOOKUP($A71,main!$A$3:$H$102,6,FALSE)&gt;=(VLOOKUP(VLOOKUP(AE$1,main!$A$3:$H$102,8,FALSE),main!$K$26:$M$29,2,FALSE)+VLOOKUP(VLOOKUP(AE$1,main!$A$3:$H$102,7,FALSE),main!$K$19:$O$22,MATCH(VLOOKUP($A71,main!$A$3:$H$102,8,FALSE),main!$K$18:$O$18,0))))),1,0)</f>
        <v>0</v>
      </c>
      <c r="AF71">
        <f>IF((AND(VLOOKUP(AF$1,main!$A$3:$H$102,5,FALSE)-VLOOKUP($A71,main!$A$3:$H$102,6,FALSE)&gt;=(VLOOKUP(VLOOKUP(AF$1,main!$A$3:$H$102,8,FALSE),main!$K$26:$M$29,2,FALSE)+VLOOKUP(VLOOKUP(AF$1,main!$A$3:$H$102,7,FALSE),main!$K$19:$O$22,MATCH(VLOOKUP($A71,main!$A$3:$H$102,8,FALSE),main!$K$18:$O$18,0))))),1,0)</f>
        <v>1</v>
      </c>
      <c r="AG71">
        <f>IF((AND(VLOOKUP(AG$1,main!$A$3:$H$102,5,FALSE)-VLOOKUP($A71,main!$A$3:$H$102,6,FALSE)&gt;=(VLOOKUP(VLOOKUP(AG$1,main!$A$3:$H$102,8,FALSE),main!$K$26:$M$29,2,FALSE)+VLOOKUP(VLOOKUP(AG$1,main!$A$3:$H$102,7,FALSE),main!$K$19:$O$22,MATCH(VLOOKUP($A71,main!$A$3:$H$102,8,FALSE),main!$K$18:$O$18,0))))),1,0)</f>
        <v>0</v>
      </c>
      <c r="AH71">
        <f>IF((AND(VLOOKUP(AH$1,main!$A$3:$H$102,5,FALSE)-VLOOKUP($A71,main!$A$3:$H$102,6,FALSE)&gt;=(VLOOKUP(VLOOKUP(AH$1,main!$A$3:$H$102,8,FALSE),main!$K$26:$M$29,2,FALSE)+VLOOKUP(VLOOKUP(AH$1,main!$A$3:$H$102,7,FALSE),main!$K$19:$O$22,MATCH(VLOOKUP($A71,main!$A$3:$H$102,8,FALSE),main!$K$18:$O$18,0))))),1,0)</f>
        <v>0</v>
      </c>
      <c r="AI71">
        <f>IF((AND(VLOOKUP(AI$1,main!$A$3:$H$102,5,FALSE)-VLOOKUP($A71,main!$A$3:$H$102,6,FALSE)&gt;=(VLOOKUP(VLOOKUP(AI$1,main!$A$3:$H$102,8,FALSE),main!$K$26:$M$29,2,FALSE)+VLOOKUP(VLOOKUP(AI$1,main!$A$3:$H$102,7,FALSE),main!$K$19:$O$22,MATCH(VLOOKUP($A71,main!$A$3:$H$102,8,FALSE),main!$K$18:$O$18,0))))),1,0)</f>
        <v>0</v>
      </c>
      <c r="AJ71">
        <f>IF((AND(VLOOKUP(AJ$1,main!$A$3:$H$102,5,FALSE)-VLOOKUP($A71,main!$A$3:$H$102,6,FALSE)&gt;=(VLOOKUP(VLOOKUP(AJ$1,main!$A$3:$H$102,8,FALSE),main!$K$26:$M$29,2,FALSE)+VLOOKUP(VLOOKUP(AJ$1,main!$A$3:$H$102,7,FALSE),main!$K$19:$O$22,MATCH(VLOOKUP($A71,main!$A$3:$H$102,8,FALSE),main!$K$18:$O$18,0))))),1,0)</f>
        <v>0</v>
      </c>
      <c r="AK71">
        <f>IF((AND(VLOOKUP(AK$1,main!$A$3:$H$102,5,FALSE)-VLOOKUP($A71,main!$A$3:$H$102,6,FALSE)&gt;=(VLOOKUP(VLOOKUP(AK$1,main!$A$3:$H$102,8,FALSE),main!$K$26:$M$29,2,FALSE)+VLOOKUP(VLOOKUP(AK$1,main!$A$3:$H$102,7,FALSE),main!$K$19:$O$22,MATCH(VLOOKUP($A71,main!$A$3:$H$102,8,FALSE),main!$K$18:$O$18,0))))),1,0)</f>
        <v>0</v>
      </c>
      <c r="AL71">
        <f>IF((AND(VLOOKUP(AL$1,main!$A$3:$H$102,5,FALSE)-VLOOKUP($A71,main!$A$3:$H$102,6,FALSE)&gt;=(VLOOKUP(VLOOKUP(AL$1,main!$A$3:$H$102,8,FALSE),main!$K$26:$M$29,2,FALSE)+VLOOKUP(VLOOKUP(AL$1,main!$A$3:$H$102,7,FALSE),main!$K$19:$O$22,MATCH(VLOOKUP($A71,main!$A$3:$H$102,8,FALSE),main!$K$18:$O$18,0))))),1,0)</f>
        <v>1</v>
      </c>
      <c r="AM71">
        <f>IF((AND(VLOOKUP(AM$1,main!$A$3:$H$102,5,FALSE)-VLOOKUP($A71,main!$A$3:$H$102,6,FALSE)&gt;=(VLOOKUP(VLOOKUP(AM$1,main!$A$3:$H$102,8,FALSE),main!$K$26:$M$29,2,FALSE)+VLOOKUP(VLOOKUP(AM$1,main!$A$3:$H$102,7,FALSE),main!$K$19:$O$22,MATCH(VLOOKUP($A71,main!$A$3:$H$102,8,FALSE),main!$K$18:$O$18,0))))),1,0)</f>
        <v>1</v>
      </c>
      <c r="AN71">
        <f>IF((AND(VLOOKUP(AN$1,main!$A$3:$H$102,5,FALSE)-VLOOKUP($A71,main!$A$3:$H$102,6,FALSE)&gt;=(VLOOKUP(VLOOKUP(AN$1,main!$A$3:$H$102,8,FALSE),main!$K$26:$M$29,2,FALSE)+VLOOKUP(VLOOKUP(AN$1,main!$A$3:$H$102,7,FALSE),main!$K$19:$O$22,MATCH(VLOOKUP($A71,main!$A$3:$H$102,8,FALSE),main!$K$18:$O$18,0))))),1,0)</f>
        <v>1</v>
      </c>
      <c r="AO71">
        <f>IF((AND(VLOOKUP(AO$1,main!$A$3:$H$102,5,FALSE)-VLOOKUP($A71,main!$A$3:$H$102,6,FALSE)&gt;=(VLOOKUP(VLOOKUP(AO$1,main!$A$3:$H$102,8,FALSE),main!$K$26:$M$29,2,FALSE)+VLOOKUP(VLOOKUP(AO$1,main!$A$3:$H$102,7,FALSE),main!$K$19:$O$22,MATCH(VLOOKUP($A71,main!$A$3:$H$102,8,FALSE),main!$K$18:$O$18,0))))),1,0)</f>
        <v>0</v>
      </c>
      <c r="AP71">
        <f>IF((AND(VLOOKUP(AP$1,main!$A$3:$H$102,5,FALSE)-VLOOKUP($A71,main!$A$3:$H$102,6,FALSE)&gt;=(VLOOKUP(VLOOKUP(AP$1,main!$A$3:$H$102,8,FALSE),main!$K$26:$M$29,2,FALSE)+VLOOKUP(VLOOKUP(AP$1,main!$A$3:$H$102,7,FALSE),main!$K$19:$O$22,MATCH(VLOOKUP($A71,main!$A$3:$H$102,8,FALSE),main!$K$18:$O$18,0))))),1,0)</f>
        <v>1</v>
      </c>
      <c r="AQ71">
        <f>IF((AND(VLOOKUP(AQ$1,main!$A$3:$H$102,5,FALSE)-VLOOKUP($A71,main!$A$3:$H$102,6,FALSE)&gt;=(VLOOKUP(VLOOKUP(AQ$1,main!$A$3:$H$102,8,FALSE),main!$K$26:$M$29,2,FALSE)+VLOOKUP(VLOOKUP(AQ$1,main!$A$3:$H$102,7,FALSE),main!$K$19:$O$22,MATCH(VLOOKUP($A71,main!$A$3:$H$102,8,FALSE),main!$K$18:$O$18,0))))),1,0)</f>
        <v>0</v>
      </c>
      <c r="AR71">
        <f>IF((AND(VLOOKUP(AR$1,main!$A$3:$H$102,5,FALSE)-VLOOKUP($A71,main!$A$3:$H$102,6,FALSE)&gt;=(VLOOKUP(VLOOKUP(AR$1,main!$A$3:$H$102,8,FALSE),main!$K$26:$M$29,2,FALSE)+VLOOKUP(VLOOKUP(AR$1,main!$A$3:$H$102,7,FALSE),main!$K$19:$O$22,MATCH(VLOOKUP($A71,main!$A$3:$H$102,8,FALSE),main!$K$18:$O$18,0))))),1,0)</f>
        <v>0</v>
      </c>
      <c r="AS71">
        <f>IF((AND(VLOOKUP(AS$1,main!$A$3:$H$102,5,FALSE)-VLOOKUP($A71,main!$A$3:$H$102,6,FALSE)&gt;=(VLOOKUP(VLOOKUP(AS$1,main!$A$3:$H$102,8,FALSE),main!$K$26:$M$29,2,FALSE)+VLOOKUP(VLOOKUP(AS$1,main!$A$3:$H$102,7,FALSE),main!$K$19:$O$22,MATCH(VLOOKUP($A71,main!$A$3:$H$102,8,FALSE),main!$K$18:$O$18,0))))),1,0)</f>
        <v>0</v>
      </c>
      <c r="AT71">
        <f>IF((AND(VLOOKUP(AT$1,main!$A$3:$H$102,5,FALSE)-VLOOKUP($A71,main!$A$3:$H$102,6,FALSE)&gt;=(VLOOKUP(VLOOKUP(AT$1,main!$A$3:$H$102,8,FALSE),main!$K$26:$M$29,2,FALSE)+VLOOKUP(VLOOKUP(AT$1,main!$A$3:$H$102,7,FALSE),main!$K$19:$O$22,MATCH(VLOOKUP($A71,main!$A$3:$H$102,8,FALSE),main!$K$18:$O$18,0))))),1,0)</f>
        <v>1</v>
      </c>
      <c r="AU71">
        <f>IF((AND(VLOOKUP(AU$1,main!$A$3:$H$102,5,FALSE)-VLOOKUP($A71,main!$A$3:$H$102,6,FALSE)&gt;=(VLOOKUP(VLOOKUP(AU$1,main!$A$3:$H$102,8,FALSE),main!$K$26:$M$29,2,FALSE)+VLOOKUP(VLOOKUP(AU$1,main!$A$3:$H$102,7,FALSE),main!$K$19:$O$22,MATCH(VLOOKUP($A71,main!$A$3:$H$102,8,FALSE),main!$K$18:$O$18,0))))),1,0)</f>
        <v>0</v>
      </c>
      <c r="AV71">
        <f>IF((AND(VLOOKUP(AV$1,main!$A$3:$H$102,5,FALSE)-VLOOKUP($A71,main!$A$3:$H$102,6,FALSE)&gt;=(VLOOKUP(VLOOKUP(AV$1,main!$A$3:$H$102,8,FALSE),main!$K$26:$M$29,2,FALSE)+VLOOKUP(VLOOKUP(AV$1,main!$A$3:$H$102,7,FALSE),main!$K$19:$O$22,MATCH(VLOOKUP($A71,main!$A$3:$H$102,8,FALSE),main!$K$18:$O$18,0))))),1,0)</f>
        <v>0</v>
      </c>
      <c r="AW71">
        <f>IF((AND(VLOOKUP(AW$1,main!$A$3:$H$102,5,FALSE)-VLOOKUP($A71,main!$A$3:$H$102,6,FALSE)&gt;=(VLOOKUP(VLOOKUP(AW$1,main!$A$3:$H$102,8,FALSE),main!$K$26:$M$29,2,FALSE)+VLOOKUP(VLOOKUP(AW$1,main!$A$3:$H$102,7,FALSE),main!$K$19:$O$22,MATCH(VLOOKUP($A71,main!$A$3:$H$102,8,FALSE),main!$K$18:$O$18,0))))),1,0)</f>
        <v>0</v>
      </c>
      <c r="AX71">
        <f>IF((AND(VLOOKUP(AX$1,main!$A$3:$H$102,5,FALSE)-VLOOKUP($A71,main!$A$3:$H$102,6,FALSE)&gt;=(VLOOKUP(VLOOKUP(AX$1,main!$A$3:$H$102,8,FALSE),main!$K$26:$M$29,2,FALSE)+VLOOKUP(VLOOKUP(AX$1,main!$A$3:$H$102,7,FALSE),main!$K$19:$O$22,MATCH(VLOOKUP($A71,main!$A$3:$H$102,8,FALSE),main!$K$18:$O$18,0))))),1,0)</f>
        <v>0</v>
      </c>
      <c r="AY71">
        <f>IF((AND(VLOOKUP(AY$1,main!$A$3:$H$102,5,FALSE)-VLOOKUP($A71,main!$A$3:$H$102,6,FALSE)&gt;=(VLOOKUP(VLOOKUP(AY$1,main!$A$3:$H$102,8,FALSE),main!$K$26:$M$29,2,FALSE)+VLOOKUP(VLOOKUP(AY$1,main!$A$3:$H$102,7,FALSE),main!$K$19:$O$22,MATCH(VLOOKUP($A71,main!$A$3:$H$102,8,FALSE),main!$K$18:$O$18,0))))),1,0)</f>
        <v>0</v>
      </c>
      <c r="AZ71">
        <f>IF((AND(VLOOKUP(AZ$1,main!$A$3:$H$102,5,FALSE)-VLOOKUP($A71,main!$A$3:$H$102,6,FALSE)&gt;=(VLOOKUP(VLOOKUP(AZ$1,main!$A$3:$H$102,8,FALSE),main!$K$26:$M$29,2,FALSE)+VLOOKUP(VLOOKUP(AZ$1,main!$A$3:$H$102,7,FALSE),main!$K$19:$O$22,MATCH(VLOOKUP($A71,main!$A$3:$H$102,8,FALSE),main!$K$18:$O$18,0))))),1,0)</f>
        <v>0</v>
      </c>
      <c r="BA71">
        <f>IF((AND(VLOOKUP(BA$1,main!$A$3:$H$102,5,FALSE)-VLOOKUP($A71,main!$A$3:$H$102,6,FALSE)&gt;=(VLOOKUP(VLOOKUP(BA$1,main!$A$3:$H$102,8,FALSE),main!$K$26:$M$29,2,FALSE)+VLOOKUP(VLOOKUP(BA$1,main!$A$3:$H$102,7,FALSE),main!$K$19:$O$22,MATCH(VLOOKUP($A71,main!$A$3:$H$102,8,FALSE),main!$K$18:$O$18,0))))),1,0)</f>
        <v>0</v>
      </c>
      <c r="BB71">
        <f>IF((AND(VLOOKUP(BB$1,main!$A$3:$H$102,5,FALSE)-VLOOKUP($A71,main!$A$3:$H$102,6,FALSE)&gt;=(VLOOKUP(VLOOKUP(BB$1,main!$A$3:$H$102,8,FALSE),main!$K$26:$M$29,2,FALSE)+VLOOKUP(VLOOKUP(BB$1,main!$A$3:$H$102,7,FALSE),main!$K$19:$O$22,MATCH(VLOOKUP($A71,main!$A$3:$H$102,8,FALSE),main!$K$18:$O$18,0))))),1,0)</f>
        <v>0</v>
      </c>
      <c r="BC71">
        <f>IF((AND(VLOOKUP(BC$1,main!$A$3:$H$102,5,FALSE)-VLOOKUP($A71,main!$A$3:$H$102,6,FALSE)&gt;=(VLOOKUP(VLOOKUP(BC$1,main!$A$3:$H$102,8,FALSE),main!$K$26:$M$29,2,FALSE)+VLOOKUP(VLOOKUP(BC$1,main!$A$3:$H$102,7,FALSE),main!$K$19:$O$22,MATCH(VLOOKUP($A71,main!$A$3:$H$102,8,FALSE),main!$K$18:$O$18,0))))),1,0)</f>
        <v>0</v>
      </c>
      <c r="BD71">
        <f>IF((AND(VLOOKUP(BD$1,main!$A$3:$H$102,5,FALSE)-VLOOKUP($A71,main!$A$3:$H$102,6,FALSE)&gt;=(VLOOKUP(VLOOKUP(BD$1,main!$A$3:$H$102,8,FALSE),main!$K$26:$M$29,2,FALSE)+VLOOKUP(VLOOKUP(BD$1,main!$A$3:$H$102,7,FALSE),main!$K$19:$O$22,MATCH(VLOOKUP($A71,main!$A$3:$H$102,8,FALSE),main!$K$18:$O$18,0))))),1,0)</f>
        <v>0</v>
      </c>
      <c r="BE71">
        <f>IF((AND(VLOOKUP(BE$1,main!$A$3:$H$102,5,FALSE)-VLOOKUP($A71,main!$A$3:$H$102,6,FALSE)&gt;=(VLOOKUP(VLOOKUP(BE$1,main!$A$3:$H$102,8,FALSE),main!$K$26:$M$29,2,FALSE)+VLOOKUP(VLOOKUP(BE$1,main!$A$3:$H$102,7,FALSE),main!$K$19:$O$22,MATCH(VLOOKUP($A71,main!$A$3:$H$102,8,FALSE),main!$K$18:$O$18,0))))),1,0)</f>
        <v>1</v>
      </c>
      <c r="BF71">
        <f>IF((AND(VLOOKUP(BF$1,main!$A$3:$H$102,5,FALSE)-VLOOKUP($A71,main!$A$3:$H$102,6,FALSE)&gt;=(VLOOKUP(VLOOKUP(BF$1,main!$A$3:$H$102,8,FALSE),main!$K$26:$M$29,2,FALSE)+VLOOKUP(VLOOKUP(BF$1,main!$A$3:$H$102,7,FALSE),main!$K$19:$O$22,MATCH(VLOOKUP($A71,main!$A$3:$H$102,8,FALSE),main!$K$18:$O$18,0))))),1,0)</f>
        <v>0</v>
      </c>
      <c r="BG71">
        <f>IF((AND(VLOOKUP(BG$1,main!$A$3:$H$102,5,FALSE)-VLOOKUP($A71,main!$A$3:$H$102,6,FALSE)&gt;=(VLOOKUP(VLOOKUP(BG$1,main!$A$3:$H$102,8,FALSE),main!$K$26:$M$29,2,FALSE)+VLOOKUP(VLOOKUP(BG$1,main!$A$3:$H$102,7,FALSE),main!$K$19:$O$22,MATCH(VLOOKUP($A71,main!$A$3:$H$102,8,FALSE),main!$K$18:$O$18,0))))),1,0)</f>
        <v>0</v>
      </c>
      <c r="BH71">
        <f>IF((AND(VLOOKUP(BH$1,main!$A$3:$H$102,5,FALSE)-VLOOKUP($A71,main!$A$3:$H$102,6,FALSE)&gt;=(VLOOKUP(VLOOKUP(BH$1,main!$A$3:$H$102,8,FALSE),main!$K$26:$M$29,2,FALSE)+VLOOKUP(VLOOKUP(BH$1,main!$A$3:$H$102,7,FALSE),main!$K$19:$O$22,MATCH(VLOOKUP($A71,main!$A$3:$H$102,8,FALSE),main!$K$18:$O$18,0))))),1,0)</f>
        <v>0</v>
      </c>
      <c r="BI71">
        <f>IF((AND(VLOOKUP(BI$1,main!$A$3:$H$102,5,FALSE)-VLOOKUP($A71,main!$A$3:$H$102,6,FALSE)&gt;=(VLOOKUP(VLOOKUP(BI$1,main!$A$3:$H$102,8,FALSE),main!$K$26:$M$29,2,FALSE)+VLOOKUP(VLOOKUP(BI$1,main!$A$3:$H$102,7,FALSE),main!$K$19:$O$22,MATCH(VLOOKUP($A71,main!$A$3:$H$102,8,FALSE),main!$K$18:$O$18,0))))),1,0)</f>
        <v>1</v>
      </c>
      <c r="BJ71">
        <f>IF((AND(VLOOKUP(BJ$1,main!$A$3:$H$102,5,FALSE)-VLOOKUP($A71,main!$A$3:$H$102,6,FALSE)&gt;=(VLOOKUP(VLOOKUP(BJ$1,main!$A$3:$H$102,8,FALSE),main!$K$26:$M$29,2,FALSE)+VLOOKUP(VLOOKUP(BJ$1,main!$A$3:$H$102,7,FALSE),main!$K$19:$O$22,MATCH(VLOOKUP($A71,main!$A$3:$H$102,8,FALSE),main!$K$18:$O$18,0))))),1,0)</f>
        <v>1</v>
      </c>
      <c r="BK71">
        <f>IF((AND(VLOOKUP(BK$1,main!$A$3:$H$102,5,FALSE)-VLOOKUP($A71,main!$A$3:$H$102,6,FALSE)&gt;=(VLOOKUP(VLOOKUP(BK$1,main!$A$3:$H$102,8,FALSE),main!$K$26:$M$29,2,FALSE)+VLOOKUP(VLOOKUP(BK$1,main!$A$3:$H$102,7,FALSE),main!$K$19:$O$22,MATCH(VLOOKUP($A71,main!$A$3:$H$102,8,FALSE),main!$K$18:$O$18,0))))),1,0)</f>
        <v>0</v>
      </c>
      <c r="BL71">
        <f>IF((AND(VLOOKUP(BL$1,main!$A$3:$H$102,5,FALSE)-VLOOKUP($A71,main!$A$3:$H$102,6,FALSE)&gt;=(VLOOKUP(VLOOKUP(BL$1,main!$A$3:$H$102,8,FALSE),main!$K$26:$M$29,2,FALSE)+VLOOKUP(VLOOKUP(BL$1,main!$A$3:$H$102,7,FALSE),main!$K$19:$O$22,MATCH(VLOOKUP($A71,main!$A$3:$H$102,8,FALSE),main!$K$18:$O$18,0))))),1,0)</f>
        <v>0</v>
      </c>
      <c r="BM71">
        <f>IF((AND(VLOOKUP(BM$1,main!$A$3:$H$102,5,FALSE)-VLOOKUP($A71,main!$A$3:$H$102,6,FALSE)&gt;=(VLOOKUP(VLOOKUP(BM$1,main!$A$3:$H$102,8,FALSE),main!$K$26:$M$29,2,FALSE)+VLOOKUP(VLOOKUP(BM$1,main!$A$3:$H$102,7,FALSE),main!$K$19:$O$22,MATCH(VLOOKUP($A71,main!$A$3:$H$102,8,FALSE),main!$K$18:$O$18,0))))),1,0)</f>
        <v>0</v>
      </c>
      <c r="BN71">
        <f>IF((AND(VLOOKUP(BN$1,main!$A$3:$H$102,5,FALSE)-VLOOKUP($A71,main!$A$3:$H$102,6,FALSE)&gt;=(VLOOKUP(VLOOKUP(BN$1,main!$A$3:$H$102,8,FALSE),main!$K$26:$M$29,2,FALSE)+VLOOKUP(VLOOKUP(BN$1,main!$A$3:$H$102,7,FALSE),main!$K$19:$O$22,MATCH(VLOOKUP($A71,main!$A$3:$H$102,8,FALSE),main!$K$18:$O$18,0))))),1,0)</f>
        <v>0</v>
      </c>
      <c r="BO71">
        <f>IF((AND(VLOOKUP(BO$1,main!$A$3:$H$102,5,FALSE)-VLOOKUP($A71,main!$A$3:$H$102,6,FALSE)&gt;=(VLOOKUP(VLOOKUP(BO$1,main!$A$3:$H$102,8,FALSE),main!$K$26:$M$29,2,FALSE)+VLOOKUP(VLOOKUP(BO$1,main!$A$3:$H$102,7,FALSE),main!$K$19:$O$22,MATCH(VLOOKUP($A71,main!$A$3:$H$102,8,FALSE),main!$K$18:$O$18,0))))),1,0)</f>
        <v>0</v>
      </c>
      <c r="BP71">
        <f>IF((AND(VLOOKUP(BP$1,main!$A$3:$H$102,5,FALSE)-VLOOKUP($A71,main!$A$3:$H$102,6,FALSE)&gt;=(VLOOKUP(VLOOKUP(BP$1,main!$A$3:$H$102,8,FALSE),main!$K$26:$M$29,2,FALSE)+VLOOKUP(VLOOKUP(BP$1,main!$A$3:$H$102,7,FALSE),main!$K$19:$O$22,MATCH(VLOOKUP($A71,main!$A$3:$H$102,8,FALSE),main!$K$18:$O$18,0))))),1,0)</f>
        <v>0</v>
      </c>
      <c r="BQ71">
        <f>IF((AND(VLOOKUP(BQ$1,main!$A$3:$H$102,5,FALSE)-VLOOKUP($A71,main!$A$3:$H$102,6,FALSE)&gt;=(VLOOKUP(VLOOKUP(BQ$1,main!$A$3:$H$102,8,FALSE),main!$K$26:$M$29,2,FALSE)+VLOOKUP(VLOOKUP(BQ$1,main!$A$3:$H$102,7,FALSE),main!$K$19:$O$22,MATCH(VLOOKUP($A71,main!$A$3:$H$102,8,FALSE),main!$K$18:$O$18,0))))),1,0)</f>
        <v>0</v>
      </c>
      <c r="BR71">
        <f>IF((AND(VLOOKUP(BR$1,main!$A$3:$H$102,5,FALSE)-VLOOKUP($A71,main!$A$3:$H$102,6,FALSE)&gt;=(VLOOKUP(VLOOKUP(BR$1,main!$A$3:$H$102,8,FALSE),main!$K$26:$M$29,2,FALSE)+VLOOKUP(VLOOKUP(BR$1,main!$A$3:$H$102,7,FALSE),main!$K$19:$O$22,MATCH(VLOOKUP($A71,main!$A$3:$H$102,8,FALSE),main!$K$18:$O$18,0))))),1,0)</f>
        <v>0</v>
      </c>
      <c r="BS71">
        <f>IF((AND(VLOOKUP(BS$1,main!$A$3:$H$102,5,FALSE)-VLOOKUP($A71,main!$A$3:$H$102,6,FALSE)&gt;=(VLOOKUP(VLOOKUP(BS$1,main!$A$3:$H$102,8,FALSE),main!$K$26:$M$29,2,FALSE)+VLOOKUP(VLOOKUP(BS$1,main!$A$3:$H$102,7,FALSE),main!$K$19:$O$22,MATCH(VLOOKUP($A71,main!$A$3:$H$102,8,FALSE),main!$K$18:$O$18,0))))),1,0)</f>
        <v>0</v>
      </c>
      <c r="BT71">
        <f>IF((AND(VLOOKUP(BT$1,main!$A$3:$H$102,5,FALSE)-VLOOKUP($A71,main!$A$3:$H$102,6,FALSE)&gt;=(VLOOKUP(VLOOKUP(BT$1,main!$A$3:$H$102,8,FALSE),main!$K$26:$M$29,2,FALSE)+VLOOKUP(VLOOKUP(BT$1,main!$A$3:$H$102,7,FALSE),main!$K$19:$O$22,MATCH(VLOOKUP($A71,main!$A$3:$H$102,8,FALSE),main!$K$18:$O$18,0))))),1,0)</f>
        <v>0</v>
      </c>
      <c r="BU71">
        <f>IF((AND(VLOOKUP(BU$1,main!$A$3:$H$102,5,FALSE)-VLOOKUP($A71,main!$A$3:$H$102,6,FALSE)&gt;=(VLOOKUP(VLOOKUP(BU$1,main!$A$3:$H$102,8,FALSE),main!$K$26:$M$29,2,FALSE)+VLOOKUP(VLOOKUP(BU$1,main!$A$3:$H$102,7,FALSE),main!$K$19:$O$22,MATCH(VLOOKUP($A71,main!$A$3:$H$102,8,FALSE),main!$K$18:$O$18,0))))),1,0)</f>
        <v>0</v>
      </c>
      <c r="BV71">
        <f>IF((AND(VLOOKUP(BV$1,main!$A$3:$H$102,5,FALSE)-VLOOKUP($A71,main!$A$3:$H$102,6,FALSE)&gt;=(VLOOKUP(VLOOKUP(BV$1,main!$A$3:$H$102,8,FALSE),main!$K$26:$M$29,2,FALSE)+VLOOKUP(VLOOKUP(BV$1,main!$A$3:$H$102,7,FALSE),main!$K$19:$O$22,MATCH(VLOOKUP($A71,main!$A$3:$H$102,8,FALSE),main!$K$18:$O$18,0))))),1,0)</f>
        <v>0</v>
      </c>
      <c r="BW71">
        <f>IF((AND(VLOOKUP(BW$1,main!$A$3:$H$102,5,FALSE)-VLOOKUP($A71,main!$A$3:$H$102,6,FALSE)&gt;=(VLOOKUP(VLOOKUP(BW$1,main!$A$3:$H$102,8,FALSE),main!$K$26:$M$29,2,FALSE)+VLOOKUP(VLOOKUP(BW$1,main!$A$3:$H$102,7,FALSE),main!$K$19:$O$22,MATCH(VLOOKUP($A71,main!$A$3:$H$102,8,FALSE),main!$K$18:$O$18,0))))),1,0)</f>
        <v>0</v>
      </c>
      <c r="BX71">
        <f>IF((AND(VLOOKUP(BX$1,main!$A$3:$H$102,5,FALSE)-VLOOKUP($A71,main!$A$3:$H$102,6,FALSE)&gt;=(VLOOKUP(VLOOKUP(BX$1,main!$A$3:$H$102,8,FALSE),main!$K$26:$M$29,2,FALSE)+VLOOKUP(VLOOKUP(BX$1,main!$A$3:$H$102,7,FALSE),main!$K$19:$O$22,MATCH(VLOOKUP($A71,main!$A$3:$H$102,8,FALSE),main!$K$18:$O$18,0))))),1,0)</f>
        <v>0</v>
      </c>
      <c r="BY71">
        <f>IF((AND(VLOOKUP(BY$1,main!$A$3:$H$102,5,FALSE)-VLOOKUP($A71,main!$A$3:$H$102,6,FALSE)&gt;=(VLOOKUP(VLOOKUP(BY$1,main!$A$3:$H$102,8,FALSE),main!$K$26:$M$29,2,FALSE)+VLOOKUP(VLOOKUP(BY$1,main!$A$3:$H$102,7,FALSE),main!$K$19:$O$22,MATCH(VLOOKUP($A71,main!$A$3:$H$102,8,FALSE),main!$K$18:$O$18,0))))),1,0)</f>
        <v>0</v>
      </c>
      <c r="BZ71">
        <f>IF((AND(VLOOKUP(BZ$1,main!$A$3:$H$102,5,FALSE)-VLOOKUP($A71,main!$A$3:$H$102,6,FALSE)&gt;=(VLOOKUP(VLOOKUP(BZ$1,main!$A$3:$H$102,8,FALSE),main!$K$26:$M$29,2,FALSE)+VLOOKUP(VLOOKUP(BZ$1,main!$A$3:$H$102,7,FALSE),main!$K$19:$O$22,MATCH(VLOOKUP($A71,main!$A$3:$H$102,8,FALSE),main!$K$18:$O$18,0))))),1,0)</f>
        <v>0</v>
      </c>
      <c r="CA71">
        <f>IF((AND(VLOOKUP(CA$1,main!$A$3:$H$102,5,FALSE)-VLOOKUP($A71,main!$A$3:$H$102,6,FALSE)&gt;=(VLOOKUP(VLOOKUP(CA$1,main!$A$3:$H$102,8,FALSE),main!$K$26:$M$29,2,FALSE)+VLOOKUP(VLOOKUP(CA$1,main!$A$3:$H$102,7,FALSE),main!$K$19:$O$22,MATCH(VLOOKUP($A71,main!$A$3:$H$102,8,FALSE),main!$K$18:$O$18,0))))),1,0)</f>
        <v>0</v>
      </c>
      <c r="CB71">
        <f>IF((AND(VLOOKUP(CB$1,main!$A$3:$H$102,5,FALSE)-VLOOKUP($A71,main!$A$3:$H$102,6,FALSE)&gt;=(VLOOKUP(VLOOKUP(CB$1,main!$A$3:$H$102,8,FALSE),main!$K$26:$M$29,2,FALSE)+VLOOKUP(VLOOKUP(CB$1,main!$A$3:$H$102,7,FALSE),main!$K$19:$O$22,MATCH(VLOOKUP($A71,main!$A$3:$H$102,8,FALSE),main!$K$18:$O$18,0))))),1,0)</f>
        <v>0</v>
      </c>
      <c r="CC71">
        <f>IF((AND(VLOOKUP(CC$1,main!$A$3:$H$102,5,FALSE)-VLOOKUP($A71,main!$A$3:$H$102,6,FALSE)&gt;=(VLOOKUP(VLOOKUP(CC$1,main!$A$3:$H$102,8,FALSE),main!$K$26:$M$29,2,FALSE)+VLOOKUP(VLOOKUP(CC$1,main!$A$3:$H$102,7,FALSE),main!$K$19:$O$22,MATCH(VLOOKUP($A71,main!$A$3:$H$102,8,FALSE),main!$K$18:$O$18,0))))),1,0)</f>
        <v>1</v>
      </c>
      <c r="CD71">
        <f>IF((AND(VLOOKUP(CD$1,main!$A$3:$H$102,5,FALSE)-VLOOKUP($A71,main!$A$3:$H$102,6,FALSE)&gt;=(VLOOKUP(VLOOKUP(CD$1,main!$A$3:$H$102,8,FALSE),main!$K$26:$M$29,2,FALSE)+VLOOKUP(VLOOKUP(CD$1,main!$A$3:$H$102,7,FALSE),main!$K$19:$O$22,MATCH(VLOOKUP($A71,main!$A$3:$H$102,8,FALSE),main!$K$18:$O$18,0))))),1,0)</f>
        <v>0</v>
      </c>
      <c r="CE71">
        <f>IF((AND(VLOOKUP(CE$1,main!$A$3:$H$102,5,FALSE)-VLOOKUP($A71,main!$A$3:$H$102,6,FALSE)&gt;=(VLOOKUP(VLOOKUP(CE$1,main!$A$3:$H$102,8,FALSE),main!$K$26:$M$29,2,FALSE)+VLOOKUP(VLOOKUP(CE$1,main!$A$3:$H$102,7,FALSE),main!$K$19:$O$22,MATCH(VLOOKUP($A71,main!$A$3:$H$102,8,FALSE),main!$K$18:$O$18,0))))),1,0)</f>
        <v>0</v>
      </c>
      <c r="CF71">
        <f>IF((AND(VLOOKUP(CF$1,main!$A$3:$H$102,5,FALSE)-VLOOKUP($A71,main!$A$3:$H$102,6,FALSE)&gt;=(VLOOKUP(VLOOKUP(CF$1,main!$A$3:$H$102,8,FALSE),main!$K$26:$M$29,2,FALSE)+VLOOKUP(VLOOKUP(CF$1,main!$A$3:$H$102,7,FALSE),main!$K$19:$O$22,MATCH(VLOOKUP($A71,main!$A$3:$H$102,8,FALSE),main!$K$18:$O$18,0))))),1,0)</f>
        <v>0</v>
      </c>
      <c r="CG71">
        <f>IF((AND(VLOOKUP(CG$1,main!$A$3:$H$102,5,FALSE)-VLOOKUP($A71,main!$A$3:$H$102,6,FALSE)&gt;=(VLOOKUP(VLOOKUP(CG$1,main!$A$3:$H$102,8,FALSE),main!$K$26:$M$29,2,FALSE)+VLOOKUP(VLOOKUP(CG$1,main!$A$3:$H$102,7,FALSE),main!$K$19:$O$22,MATCH(VLOOKUP($A71,main!$A$3:$H$102,8,FALSE),main!$K$18:$O$18,0))))),1,0)</f>
        <v>0</v>
      </c>
      <c r="CH71">
        <f>IF((AND(VLOOKUP(CH$1,main!$A$3:$H$102,5,FALSE)-VLOOKUP($A71,main!$A$3:$H$102,6,FALSE)&gt;=(VLOOKUP(VLOOKUP(CH$1,main!$A$3:$H$102,8,FALSE),main!$K$26:$M$29,2,FALSE)+VLOOKUP(VLOOKUP(CH$1,main!$A$3:$H$102,7,FALSE),main!$K$19:$O$22,MATCH(VLOOKUP($A71,main!$A$3:$H$102,8,FALSE),main!$K$18:$O$18,0))))),1,0)</f>
        <v>1</v>
      </c>
      <c r="CI71">
        <f>IF((AND(VLOOKUP(CI$1,main!$A$3:$H$102,5,FALSE)-VLOOKUP($A71,main!$A$3:$H$102,6,FALSE)&gt;=(VLOOKUP(VLOOKUP(CI$1,main!$A$3:$H$102,8,FALSE),main!$K$26:$M$29,2,FALSE)+VLOOKUP(VLOOKUP(CI$1,main!$A$3:$H$102,7,FALSE),main!$K$19:$O$22,MATCH(VLOOKUP($A71,main!$A$3:$H$102,8,FALSE),main!$K$18:$O$18,0))))),1,0)</f>
        <v>1</v>
      </c>
      <c r="CJ71">
        <f>IF((AND(VLOOKUP(CJ$1,main!$A$3:$H$102,5,FALSE)-VLOOKUP($A71,main!$A$3:$H$102,6,FALSE)&gt;=(VLOOKUP(VLOOKUP(CJ$1,main!$A$3:$H$102,8,FALSE),main!$K$26:$M$29,2,FALSE)+VLOOKUP(VLOOKUP(CJ$1,main!$A$3:$H$102,7,FALSE),main!$K$19:$O$22,MATCH(VLOOKUP($A71,main!$A$3:$H$102,8,FALSE),main!$K$18:$O$18,0))))),1,0)</f>
        <v>0</v>
      </c>
      <c r="CK71">
        <f>IF((AND(VLOOKUP(CK$1,main!$A$3:$H$102,5,FALSE)-VLOOKUP($A71,main!$A$3:$H$102,6,FALSE)&gt;=(VLOOKUP(VLOOKUP(CK$1,main!$A$3:$H$102,8,FALSE),main!$K$26:$M$29,2,FALSE)+VLOOKUP(VLOOKUP(CK$1,main!$A$3:$H$102,7,FALSE),main!$K$19:$O$22,MATCH(VLOOKUP($A71,main!$A$3:$H$102,8,FALSE),main!$K$18:$O$18,0))))),1,0)</f>
        <v>0</v>
      </c>
      <c r="CL71">
        <f>IF((AND(VLOOKUP(CL$1,main!$A$3:$H$102,5,FALSE)-VLOOKUP($A71,main!$A$3:$H$102,6,FALSE)&gt;=(VLOOKUP(VLOOKUP(CL$1,main!$A$3:$H$102,8,FALSE),main!$K$26:$M$29,2,FALSE)+VLOOKUP(VLOOKUP(CL$1,main!$A$3:$H$102,7,FALSE),main!$K$19:$O$22,MATCH(VLOOKUP($A71,main!$A$3:$H$102,8,FALSE),main!$K$18:$O$18,0))))),1,0)</f>
        <v>0</v>
      </c>
      <c r="CM71">
        <f>IF((AND(VLOOKUP(CM$1,main!$A$3:$H$102,5,FALSE)-VLOOKUP($A71,main!$A$3:$H$102,6,FALSE)&gt;=(VLOOKUP(VLOOKUP(CM$1,main!$A$3:$H$102,8,FALSE),main!$K$26:$M$29,2,FALSE)+VLOOKUP(VLOOKUP(CM$1,main!$A$3:$H$102,7,FALSE),main!$K$19:$O$22,MATCH(VLOOKUP($A71,main!$A$3:$H$102,8,FALSE),main!$K$18:$O$18,0))))),1,0)</f>
        <v>1</v>
      </c>
      <c r="CN71">
        <f>IF((AND(VLOOKUP(CN$1,main!$A$3:$H$102,5,FALSE)-VLOOKUP($A71,main!$A$3:$H$102,6,FALSE)&gt;=(VLOOKUP(VLOOKUP(CN$1,main!$A$3:$H$102,8,FALSE),main!$K$26:$M$29,2,FALSE)+VLOOKUP(VLOOKUP(CN$1,main!$A$3:$H$102,7,FALSE),main!$K$19:$O$22,MATCH(VLOOKUP($A71,main!$A$3:$H$102,8,FALSE),main!$K$18:$O$18,0))))),1,0)</f>
        <v>1</v>
      </c>
      <c r="CO71">
        <f>IF((AND(VLOOKUP(CO$1,main!$A$3:$H$102,5,FALSE)-VLOOKUP($A71,main!$A$3:$H$102,6,FALSE)&gt;=(VLOOKUP(VLOOKUP(CO$1,main!$A$3:$H$102,8,FALSE),main!$K$26:$M$29,2,FALSE)+VLOOKUP(VLOOKUP(CO$1,main!$A$3:$H$102,7,FALSE),main!$K$19:$O$22,MATCH(VLOOKUP($A71,main!$A$3:$H$102,8,FALSE),main!$K$18:$O$18,0))))),1,0)</f>
        <v>0</v>
      </c>
      <c r="CP71">
        <f>IF((AND(VLOOKUP(CP$1,main!$A$3:$H$102,5,FALSE)-VLOOKUP($A71,main!$A$3:$H$102,6,FALSE)&gt;=(VLOOKUP(VLOOKUP(CP$1,main!$A$3:$H$102,8,FALSE),main!$K$26:$M$29,2,FALSE)+VLOOKUP(VLOOKUP(CP$1,main!$A$3:$H$102,7,FALSE),main!$K$19:$O$22,MATCH(VLOOKUP($A71,main!$A$3:$H$102,8,FALSE),main!$K$18:$O$18,0))))),1,0)</f>
        <v>0</v>
      </c>
      <c r="CQ71">
        <f>IF((AND(VLOOKUP(CQ$1,main!$A$3:$H$102,5,FALSE)-VLOOKUP($A71,main!$A$3:$H$102,6,FALSE)&gt;=(VLOOKUP(VLOOKUP(CQ$1,main!$A$3:$H$102,8,FALSE),main!$K$26:$M$29,2,FALSE)+VLOOKUP(VLOOKUP(CQ$1,main!$A$3:$H$102,7,FALSE),main!$K$19:$O$22,MATCH(VLOOKUP($A71,main!$A$3:$H$102,8,FALSE),main!$K$18:$O$18,0))))),1,0)</f>
        <v>0</v>
      </c>
      <c r="CR71">
        <f>IF((AND(VLOOKUP(CR$1,main!$A$3:$H$102,5,FALSE)-VLOOKUP($A71,main!$A$3:$H$102,6,FALSE)&gt;=(VLOOKUP(VLOOKUP(CR$1,main!$A$3:$H$102,8,FALSE),main!$K$26:$M$29,2,FALSE)+VLOOKUP(VLOOKUP(CR$1,main!$A$3:$H$102,7,FALSE),main!$K$19:$O$22,MATCH(VLOOKUP($A71,main!$A$3:$H$102,8,FALSE),main!$K$18:$O$18,0))))),1,0)</f>
        <v>1</v>
      </c>
      <c r="CS71">
        <f>IF((AND(VLOOKUP(CS$1,main!$A$3:$H$102,5,FALSE)-VLOOKUP($A71,main!$A$3:$H$102,6,FALSE)&gt;=(VLOOKUP(VLOOKUP(CS$1,main!$A$3:$H$102,8,FALSE),main!$K$26:$M$29,2,FALSE)+VLOOKUP(VLOOKUP(CS$1,main!$A$3:$H$102,7,FALSE),main!$K$19:$O$22,MATCH(VLOOKUP($A71,main!$A$3:$H$102,8,FALSE),main!$K$18:$O$18,0))))),1,0)</f>
        <v>1</v>
      </c>
      <c r="CT71">
        <f>IF((AND(VLOOKUP(CT$1,main!$A$3:$H$102,5,FALSE)-VLOOKUP($A71,main!$A$3:$H$102,6,FALSE)&gt;=(VLOOKUP(VLOOKUP(CT$1,main!$A$3:$H$102,8,FALSE),main!$K$26:$M$29,2,FALSE)+VLOOKUP(VLOOKUP(CT$1,main!$A$3:$H$102,7,FALSE),main!$K$19:$O$22,MATCH(VLOOKUP($A71,main!$A$3:$H$102,8,FALSE),main!$K$18:$O$18,0))))),1,0)</f>
        <v>0</v>
      </c>
      <c r="CU71">
        <f>IF((AND(VLOOKUP(CU$1,main!$A$3:$H$102,5,FALSE)-VLOOKUP($A71,main!$A$3:$H$102,6,FALSE)&gt;=(VLOOKUP(VLOOKUP(CU$1,main!$A$3:$H$102,8,FALSE),main!$K$26:$M$29,2,FALSE)+VLOOKUP(VLOOKUP(CU$1,main!$A$3:$H$102,7,FALSE),main!$K$19:$O$22,MATCH(VLOOKUP($A71,main!$A$3:$H$102,8,FALSE),main!$K$18:$O$18,0))))),1,0)</f>
        <v>0</v>
      </c>
      <c r="CV71">
        <f>IF((AND(VLOOKUP(CV$1,main!$A$3:$H$102,5,FALSE)-VLOOKUP($A71,main!$A$3:$H$102,6,FALSE)&gt;=(VLOOKUP(VLOOKUP(CV$1,main!$A$3:$H$102,8,FALSE),main!$K$26:$M$29,2,FALSE)+VLOOKUP(VLOOKUP(CV$1,main!$A$3:$H$102,7,FALSE),main!$K$19:$O$22,MATCH(VLOOKUP($A71,main!$A$3:$H$102,8,FALSE),main!$K$18:$O$18,0))))),1,0)</f>
        <v>0</v>
      </c>
      <c r="CW71">
        <f>IF((AND(VLOOKUP(CW$1,main!$A$3:$H$102,5,FALSE)-VLOOKUP($A71,main!$A$3:$H$102,6,FALSE)&gt;=(VLOOKUP(VLOOKUP(CW$1,main!$A$3:$H$102,8,FALSE),main!$K$26:$M$29,2,FALSE)+VLOOKUP(VLOOKUP(CW$1,main!$A$3:$H$102,7,FALSE),main!$K$19:$O$22,MATCH(VLOOKUP($A71,main!$A$3:$H$102,8,FALSE),main!$K$18:$O$18,0))))),1,0)</f>
        <v>1</v>
      </c>
      <c r="CX71">
        <f>IF((AND(VLOOKUP(CX$1,main!$A$3:$H$102,5,FALSE)-VLOOKUP($A71,main!$A$3:$H$102,6,FALSE)&gt;=(VLOOKUP(VLOOKUP(CX$1,main!$A$3:$H$102,8,FALSE),main!$K$26:$M$29,2,FALSE)+VLOOKUP(VLOOKUP(CX$1,main!$A$3:$H$102,7,FALSE),main!$K$19:$O$22,MATCH(VLOOKUP($A71,main!$A$3:$H$102,8,FALSE),main!$K$18:$O$18,0))))),1,0)</f>
        <v>1</v>
      </c>
    </row>
    <row r="72" spans="1:102" x14ac:dyDescent="0.25">
      <c r="A72" s="1">
        <v>70</v>
      </c>
      <c r="B72">
        <v>1</v>
      </c>
      <c r="C72">
        <f>IF((AND(VLOOKUP(C$1,main!$A$3:$H$102,5,FALSE)-VLOOKUP($A72,main!$A$3:$H$102,6,FALSE)&gt;=(VLOOKUP(VLOOKUP(C$1,main!$A$3:$H$102,8,FALSE),main!$K$26:$M$29,2,FALSE)+VLOOKUP(VLOOKUP(C$1,main!$A$3:$H$102,7,FALSE),main!$K$19:$O$22,MATCH(VLOOKUP($A72,main!$A$3:$H$102,8,FALSE),main!$K$18:$O$18,0))))),1,0)</f>
        <v>0</v>
      </c>
      <c r="D72">
        <f>IF((AND(VLOOKUP(D$1,main!$A$3:$H$102,5,FALSE)-VLOOKUP($A72,main!$A$3:$H$102,6,FALSE)&gt;=(VLOOKUP(VLOOKUP(D$1,main!$A$3:$H$102,8,FALSE),main!$K$26:$M$29,2,FALSE)+VLOOKUP(VLOOKUP(D$1,main!$A$3:$H$102,7,FALSE),main!$K$19:$O$22,MATCH(VLOOKUP($A72,main!$A$3:$H$102,8,FALSE),main!$K$18:$O$18,0))))),1,0)</f>
        <v>0</v>
      </c>
      <c r="E72">
        <f>IF((AND(VLOOKUP(E$1,main!$A$3:$H$102,5,FALSE)-VLOOKUP($A72,main!$A$3:$H$102,6,FALSE)&gt;=(VLOOKUP(VLOOKUP(E$1,main!$A$3:$H$102,8,FALSE),main!$K$26:$M$29,2,FALSE)+VLOOKUP(VLOOKUP(E$1,main!$A$3:$H$102,7,FALSE),main!$K$19:$O$22,MATCH(VLOOKUP($A72,main!$A$3:$H$102,8,FALSE),main!$K$18:$O$18,0))))),1,0)</f>
        <v>0</v>
      </c>
      <c r="F72">
        <f>IF((AND(VLOOKUP(F$1,main!$A$3:$H$102,5,FALSE)-VLOOKUP($A72,main!$A$3:$H$102,6,FALSE)&gt;=(VLOOKUP(VLOOKUP(F$1,main!$A$3:$H$102,8,FALSE),main!$K$26:$M$29,2,FALSE)+VLOOKUP(VLOOKUP(F$1,main!$A$3:$H$102,7,FALSE),main!$K$19:$O$22,MATCH(VLOOKUP($A72,main!$A$3:$H$102,8,FALSE),main!$K$18:$O$18,0))))),1,0)</f>
        <v>0</v>
      </c>
      <c r="G72">
        <f>IF((AND(VLOOKUP(G$1,main!$A$3:$H$102,5,FALSE)-VLOOKUP($A72,main!$A$3:$H$102,6,FALSE)&gt;=(VLOOKUP(VLOOKUP(G$1,main!$A$3:$H$102,8,FALSE),main!$K$26:$M$29,2,FALSE)+VLOOKUP(VLOOKUP(G$1,main!$A$3:$H$102,7,FALSE),main!$K$19:$O$22,MATCH(VLOOKUP($A72,main!$A$3:$H$102,8,FALSE),main!$K$18:$O$18,0))))),1,0)</f>
        <v>0</v>
      </c>
      <c r="H72">
        <f>IF((AND(VLOOKUP(H$1,main!$A$3:$H$102,5,FALSE)-VLOOKUP($A72,main!$A$3:$H$102,6,FALSE)&gt;=(VLOOKUP(VLOOKUP(H$1,main!$A$3:$H$102,8,FALSE),main!$K$26:$M$29,2,FALSE)+VLOOKUP(VLOOKUP(H$1,main!$A$3:$H$102,7,FALSE),main!$K$19:$O$22,MATCH(VLOOKUP($A72,main!$A$3:$H$102,8,FALSE),main!$K$18:$O$18,0))))),1,0)</f>
        <v>0</v>
      </c>
      <c r="I72">
        <f>IF((AND(VLOOKUP(I$1,main!$A$3:$H$102,5,FALSE)-VLOOKUP($A72,main!$A$3:$H$102,6,FALSE)&gt;=(VLOOKUP(VLOOKUP(I$1,main!$A$3:$H$102,8,FALSE),main!$K$26:$M$29,2,FALSE)+VLOOKUP(VLOOKUP(I$1,main!$A$3:$H$102,7,FALSE),main!$K$19:$O$22,MATCH(VLOOKUP($A72,main!$A$3:$H$102,8,FALSE),main!$K$18:$O$18,0))))),1,0)</f>
        <v>0</v>
      </c>
      <c r="J72">
        <f>IF((AND(VLOOKUP(J$1,main!$A$3:$H$102,5,FALSE)-VLOOKUP($A72,main!$A$3:$H$102,6,FALSE)&gt;=(VLOOKUP(VLOOKUP(J$1,main!$A$3:$H$102,8,FALSE),main!$K$26:$M$29,2,FALSE)+VLOOKUP(VLOOKUP(J$1,main!$A$3:$H$102,7,FALSE),main!$K$19:$O$22,MATCH(VLOOKUP($A72,main!$A$3:$H$102,8,FALSE),main!$K$18:$O$18,0))))),1,0)</f>
        <v>0</v>
      </c>
      <c r="K72">
        <f>IF((AND(VLOOKUP(K$1,main!$A$3:$H$102,5,FALSE)-VLOOKUP($A72,main!$A$3:$H$102,6,FALSE)&gt;=(VLOOKUP(VLOOKUP(K$1,main!$A$3:$H$102,8,FALSE),main!$K$26:$M$29,2,FALSE)+VLOOKUP(VLOOKUP(K$1,main!$A$3:$H$102,7,FALSE),main!$K$19:$O$22,MATCH(VLOOKUP($A72,main!$A$3:$H$102,8,FALSE),main!$K$18:$O$18,0))))),1,0)</f>
        <v>1</v>
      </c>
      <c r="L72">
        <f>IF((AND(VLOOKUP(L$1,main!$A$3:$H$102,5,FALSE)-VLOOKUP($A72,main!$A$3:$H$102,6,FALSE)&gt;=(VLOOKUP(VLOOKUP(L$1,main!$A$3:$H$102,8,FALSE),main!$K$26:$M$29,2,FALSE)+VLOOKUP(VLOOKUP(L$1,main!$A$3:$H$102,7,FALSE),main!$K$19:$O$22,MATCH(VLOOKUP($A72,main!$A$3:$H$102,8,FALSE),main!$K$18:$O$18,0))))),1,0)</f>
        <v>1</v>
      </c>
      <c r="M72">
        <f>IF((AND(VLOOKUP(M$1,main!$A$3:$H$102,5,FALSE)-VLOOKUP($A72,main!$A$3:$H$102,6,FALSE)&gt;=(VLOOKUP(VLOOKUP(M$1,main!$A$3:$H$102,8,FALSE),main!$K$26:$M$29,2,FALSE)+VLOOKUP(VLOOKUP(M$1,main!$A$3:$H$102,7,FALSE),main!$K$19:$O$22,MATCH(VLOOKUP($A72,main!$A$3:$H$102,8,FALSE),main!$K$18:$O$18,0))))),1,0)</f>
        <v>0</v>
      </c>
      <c r="N72">
        <f>IF((AND(VLOOKUP(N$1,main!$A$3:$H$102,5,FALSE)-VLOOKUP($A72,main!$A$3:$H$102,6,FALSE)&gt;=(VLOOKUP(VLOOKUP(N$1,main!$A$3:$H$102,8,FALSE),main!$K$26:$M$29,2,FALSE)+VLOOKUP(VLOOKUP(N$1,main!$A$3:$H$102,7,FALSE),main!$K$19:$O$22,MATCH(VLOOKUP($A72,main!$A$3:$H$102,8,FALSE),main!$K$18:$O$18,0))))),1,0)</f>
        <v>0</v>
      </c>
      <c r="O72">
        <f>IF((AND(VLOOKUP(O$1,main!$A$3:$H$102,5,FALSE)-VLOOKUP($A72,main!$A$3:$H$102,6,FALSE)&gt;=(VLOOKUP(VLOOKUP(O$1,main!$A$3:$H$102,8,FALSE),main!$K$26:$M$29,2,FALSE)+VLOOKUP(VLOOKUP(O$1,main!$A$3:$H$102,7,FALSE),main!$K$19:$O$22,MATCH(VLOOKUP($A72,main!$A$3:$H$102,8,FALSE),main!$K$18:$O$18,0))))),1,0)</f>
        <v>0</v>
      </c>
      <c r="P72">
        <f>IF((AND(VLOOKUP(P$1,main!$A$3:$H$102,5,FALSE)-VLOOKUP($A72,main!$A$3:$H$102,6,FALSE)&gt;=(VLOOKUP(VLOOKUP(P$1,main!$A$3:$H$102,8,FALSE),main!$K$26:$M$29,2,FALSE)+VLOOKUP(VLOOKUP(P$1,main!$A$3:$H$102,7,FALSE),main!$K$19:$O$22,MATCH(VLOOKUP($A72,main!$A$3:$H$102,8,FALSE),main!$K$18:$O$18,0))))),1,0)</f>
        <v>0</v>
      </c>
      <c r="Q72">
        <f>IF((AND(VLOOKUP(Q$1,main!$A$3:$H$102,5,FALSE)-VLOOKUP($A72,main!$A$3:$H$102,6,FALSE)&gt;=(VLOOKUP(VLOOKUP(Q$1,main!$A$3:$H$102,8,FALSE),main!$K$26:$M$29,2,FALSE)+VLOOKUP(VLOOKUP(Q$1,main!$A$3:$H$102,7,FALSE),main!$K$19:$O$22,MATCH(VLOOKUP($A72,main!$A$3:$H$102,8,FALSE),main!$K$18:$O$18,0))))),1,0)</f>
        <v>0</v>
      </c>
      <c r="R72">
        <f>IF((AND(VLOOKUP(R$1,main!$A$3:$H$102,5,FALSE)-VLOOKUP($A72,main!$A$3:$H$102,6,FALSE)&gt;=(VLOOKUP(VLOOKUP(R$1,main!$A$3:$H$102,8,FALSE),main!$K$26:$M$29,2,FALSE)+VLOOKUP(VLOOKUP(R$1,main!$A$3:$H$102,7,FALSE),main!$K$19:$O$22,MATCH(VLOOKUP($A72,main!$A$3:$H$102,8,FALSE),main!$K$18:$O$18,0))))),1,0)</f>
        <v>0</v>
      </c>
      <c r="S72">
        <f>IF((AND(VLOOKUP(S$1,main!$A$3:$H$102,5,FALSE)-VLOOKUP($A72,main!$A$3:$H$102,6,FALSE)&gt;=(VLOOKUP(VLOOKUP(S$1,main!$A$3:$H$102,8,FALSE),main!$K$26:$M$29,2,FALSE)+VLOOKUP(VLOOKUP(S$1,main!$A$3:$H$102,7,FALSE),main!$K$19:$O$22,MATCH(VLOOKUP($A72,main!$A$3:$H$102,8,FALSE),main!$K$18:$O$18,0))))),1,0)</f>
        <v>0</v>
      </c>
      <c r="T72">
        <f>IF((AND(VLOOKUP(T$1,main!$A$3:$H$102,5,FALSE)-VLOOKUP($A72,main!$A$3:$H$102,6,FALSE)&gt;=(VLOOKUP(VLOOKUP(T$1,main!$A$3:$H$102,8,FALSE),main!$K$26:$M$29,2,FALSE)+VLOOKUP(VLOOKUP(T$1,main!$A$3:$H$102,7,FALSE),main!$K$19:$O$22,MATCH(VLOOKUP($A72,main!$A$3:$H$102,8,FALSE),main!$K$18:$O$18,0))))),1,0)</f>
        <v>0</v>
      </c>
      <c r="U72">
        <f>IF((AND(VLOOKUP(U$1,main!$A$3:$H$102,5,FALSE)-VLOOKUP($A72,main!$A$3:$H$102,6,FALSE)&gt;=(VLOOKUP(VLOOKUP(U$1,main!$A$3:$H$102,8,FALSE),main!$K$26:$M$29,2,FALSE)+VLOOKUP(VLOOKUP(U$1,main!$A$3:$H$102,7,FALSE),main!$K$19:$O$22,MATCH(VLOOKUP($A72,main!$A$3:$H$102,8,FALSE),main!$K$18:$O$18,0))))),1,0)</f>
        <v>1</v>
      </c>
      <c r="V72">
        <f>IF((AND(VLOOKUP(V$1,main!$A$3:$H$102,5,FALSE)-VLOOKUP($A72,main!$A$3:$H$102,6,FALSE)&gt;=(VLOOKUP(VLOOKUP(V$1,main!$A$3:$H$102,8,FALSE),main!$K$26:$M$29,2,FALSE)+VLOOKUP(VLOOKUP(V$1,main!$A$3:$H$102,7,FALSE),main!$K$19:$O$22,MATCH(VLOOKUP($A72,main!$A$3:$H$102,8,FALSE),main!$K$18:$O$18,0))))),1,0)</f>
        <v>1</v>
      </c>
      <c r="W72">
        <f>IF((AND(VLOOKUP(W$1,main!$A$3:$H$102,5,FALSE)-VLOOKUP($A72,main!$A$3:$H$102,6,FALSE)&gt;=(VLOOKUP(VLOOKUP(W$1,main!$A$3:$H$102,8,FALSE),main!$K$26:$M$29,2,FALSE)+VLOOKUP(VLOOKUP(W$1,main!$A$3:$H$102,7,FALSE),main!$K$19:$O$22,MATCH(VLOOKUP($A72,main!$A$3:$H$102,8,FALSE),main!$K$18:$O$18,0))))),1,0)</f>
        <v>0</v>
      </c>
      <c r="X72">
        <f>IF((AND(VLOOKUP(X$1,main!$A$3:$H$102,5,FALSE)-VLOOKUP($A72,main!$A$3:$H$102,6,FALSE)&gt;=(VLOOKUP(VLOOKUP(X$1,main!$A$3:$H$102,8,FALSE),main!$K$26:$M$29,2,FALSE)+VLOOKUP(VLOOKUP(X$1,main!$A$3:$H$102,7,FALSE),main!$K$19:$O$22,MATCH(VLOOKUP($A72,main!$A$3:$H$102,8,FALSE),main!$K$18:$O$18,0))))),1,0)</f>
        <v>0</v>
      </c>
      <c r="Y72">
        <f>IF((AND(VLOOKUP(Y$1,main!$A$3:$H$102,5,FALSE)-VLOOKUP($A72,main!$A$3:$H$102,6,FALSE)&gt;=(VLOOKUP(VLOOKUP(Y$1,main!$A$3:$H$102,8,FALSE),main!$K$26:$M$29,2,FALSE)+VLOOKUP(VLOOKUP(Y$1,main!$A$3:$H$102,7,FALSE),main!$K$19:$O$22,MATCH(VLOOKUP($A72,main!$A$3:$H$102,8,FALSE),main!$K$18:$O$18,0))))),1,0)</f>
        <v>0</v>
      </c>
      <c r="Z72">
        <f>IF((AND(VLOOKUP(Z$1,main!$A$3:$H$102,5,FALSE)-VLOOKUP($A72,main!$A$3:$H$102,6,FALSE)&gt;=(VLOOKUP(VLOOKUP(Z$1,main!$A$3:$H$102,8,FALSE),main!$K$26:$M$29,2,FALSE)+VLOOKUP(VLOOKUP(Z$1,main!$A$3:$H$102,7,FALSE),main!$K$19:$O$22,MATCH(VLOOKUP($A72,main!$A$3:$H$102,8,FALSE),main!$K$18:$O$18,0))))),1,0)</f>
        <v>0</v>
      </c>
      <c r="AA72">
        <f>IF((AND(VLOOKUP(AA$1,main!$A$3:$H$102,5,FALSE)-VLOOKUP($A72,main!$A$3:$H$102,6,FALSE)&gt;=(VLOOKUP(VLOOKUP(AA$1,main!$A$3:$H$102,8,FALSE),main!$K$26:$M$29,2,FALSE)+VLOOKUP(VLOOKUP(AA$1,main!$A$3:$H$102,7,FALSE),main!$K$19:$O$22,MATCH(VLOOKUP($A72,main!$A$3:$H$102,8,FALSE),main!$K$18:$O$18,0))))),1,0)</f>
        <v>1</v>
      </c>
      <c r="AB72">
        <f>IF((AND(VLOOKUP(AB$1,main!$A$3:$H$102,5,FALSE)-VLOOKUP($A72,main!$A$3:$H$102,6,FALSE)&gt;=(VLOOKUP(VLOOKUP(AB$1,main!$A$3:$H$102,8,FALSE),main!$K$26:$M$29,2,FALSE)+VLOOKUP(VLOOKUP(AB$1,main!$A$3:$H$102,7,FALSE),main!$K$19:$O$22,MATCH(VLOOKUP($A72,main!$A$3:$H$102,8,FALSE),main!$K$18:$O$18,0))))),1,0)</f>
        <v>0</v>
      </c>
      <c r="AC72">
        <f>IF((AND(VLOOKUP(AC$1,main!$A$3:$H$102,5,FALSE)-VLOOKUP($A72,main!$A$3:$H$102,6,FALSE)&gt;=(VLOOKUP(VLOOKUP(AC$1,main!$A$3:$H$102,8,FALSE),main!$K$26:$M$29,2,FALSE)+VLOOKUP(VLOOKUP(AC$1,main!$A$3:$H$102,7,FALSE),main!$K$19:$O$22,MATCH(VLOOKUP($A72,main!$A$3:$H$102,8,FALSE),main!$K$18:$O$18,0))))),1,0)</f>
        <v>0</v>
      </c>
      <c r="AD72">
        <f>IF((AND(VLOOKUP(AD$1,main!$A$3:$H$102,5,FALSE)-VLOOKUP($A72,main!$A$3:$H$102,6,FALSE)&gt;=(VLOOKUP(VLOOKUP(AD$1,main!$A$3:$H$102,8,FALSE),main!$K$26:$M$29,2,FALSE)+VLOOKUP(VLOOKUP(AD$1,main!$A$3:$H$102,7,FALSE),main!$K$19:$O$22,MATCH(VLOOKUP($A72,main!$A$3:$H$102,8,FALSE),main!$K$18:$O$18,0))))),1,0)</f>
        <v>0</v>
      </c>
      <c r="AE72">
        <f>IF((AND(VLOOKUP(AE$1,main!$A$3:$H$102,5,FALSE)-VLOOKUP($A72,main!$A$3:$H$102,6,FALSE)&gt;=(VLOOKUP(VLOOKUP(AE$1,main!$A$3:$H$102,8,FALSE),main!$K$26:$M$29,2,FALSE)+VLOOKUP(VLOOKUP(AE$1,main!$A$3:$H$102,7,FALSE),main!$K$19:$O$22,MATCH(VLOOKUP($A72,main!$A$3:$H$102,8,FALSE),main!$K$18:$O$18,0))))),1,0)</f>
        <v>0</v>
      </c>
      <c r="AF72">
        <f>IF((AND(VLOOKUP(AF$1,main!$A$3:$H$102,5,FALSE)-VLOOKUP($A72,main!$A$3:$H$102,6,FALSE)&gt;=(VLOOKUP(VLOOKUP(AF$1,main!$A$3:$H$102,8,FALSE),main!$K$26:$M$29,2,FALSE)+VLOOKUP(VLOOKUP(AF$1,main!$A$3:$H$102,7,FALSE),main!$K$19:$O$22,MATCH(VLOOKUP($A72,main!$A$3:$H$102,8,FALSE),main!$K$18:$O$18,0))))),1,0)</f>
        <v>1</v>
      </c>
      <c r="AG72">
        <f>IF((AND(VLOOKUP(AG$1,main!$A$3:$H$102,5,FALSE)-VLOOKUP($A72,main!$A$3:$H$102,6,FALSE)&gt;=(VLOOKUP(VLOOKUP(AG$1,main!$A$3:$H$102,8,FALSE),main!$K$26:$M$29,2,FALSE)+VLOOKUP(VLOOKUP(AG$1,main!$A$3:$H$102,7,FALSE),main!$K$19:$O$22,MATCH(VLOOKUP($A72,main!$A$3:$H$102,8,FALSE),main!$K$18:$O$18,0))))),1,0)</f>
        <v>0</v>
      </c>
      <c r="AH72">
        <f>IF((AND(VLOOKUP(AH$1,main!$A$3:$H$102,5,FALSE)-VLOOKUP($A72,main!$A$3:$H$102,6,FALSE)&gt;=(VLOOKUP(VLOOKUP(AH$1,main!$A$3:$H$102,8,FALSE),main!$K$26:$M$29,2,FALSE)+VLOOKUP(VLOOKUP(AH$1,main!$A$3:$H$102,7,FALSE),main!$K$19:$O$22,MATCH(VLOOKUP($A72,main!$A$3:$H$102,8,FALSE),main!$K$18:$O$18,0))))),1,0)</f>
        <v>0</v>
      </c>
      <c r="AI72">
        <f>IF((AND(VLOOKUP(AI$1,main!$A$3:$H$102,5,FALSE)-VLOOKUP($A72,main!$A$3:$H$102,6,FALSE)&gt;=(VLOOKUP(VLOOKUP(AI$1,main!$A$3:$H$102,8,FALSE),main!$K$26:$M$29,2,FALSE)+VLOOKUP(VLOOKUP(AI$1,main!$A$3:$H$102,7,FALSE),main!$K$19:$O$22,MATCH(VLOOKUP($A72,main!$A$3:$H$102,8,FALSE),main!$K$18:$O$18,0))))),1,0)</f>
        <v>0</v>
      </c>
      <c r="AJ72">
        <f>IF((AND(VLOOKUP(AJ$1,main!$A$3:$H$102,5,FALSE)-VLOOKUP($A72,main!$A$3:$H$102,6,FALSE)&gt;=(VLOOKUP(VLOOKUP(AJ$1,main!$A$3:$H$102,8,FALSE),main!$K$26:$M$29,2,FALSE)+VLOOKUP(VLOOKUP(AJ$1,main!$A$3:$H$102,7,FALSE),main!$K$19:$O$22,MATCH(VLOOKUP($A72,main!$A$3:$H$102,8,FALSE),main!$K$18:$O$18,0))))),1,0)</f>
        <v>0</v>
      </c>
      <c r="AK72">
        <f>IF((AND(VLOOKUP(AK$1,main!$A$3:$H$102,5,FALSE)-VLOOKUP($A72,main!$A$3:$H$102,6,FALSE)&gt;=(VLOOKUP(VLOOKUP(AK$1,main!$A$3:$H$102,8,FALSE),main!$K$26:$M$29,2,FALSE)+VLOOKUP(VLOOKUP(AK$1,main!$A$3:$H$102,7,FALSE),main!$K$19:$O$22,MATCH(VLOOKUP($A72,main!$A$3:$H$102,8,FALSE),main!$K$18:$O$18,0))))),1,0)</f>
        <v>0</v>
      </c>
      <c r="AL72">
        <f>IF((AND(VLOOKUP(AL$1,main!$A$3:$H$102,5,FALSE)-VLOOKUP($A72,main!$A$3:$H$102,6,FALSE)&gt;=(VLOOKUP(VLOOKUP(AL$1,main!$A$3:$H$102,8,FALSE),main!$K$26:$M$29,2,FALSE)+VLOOKUP(VLOOKUP(AL$1,main!$A$3:$H$102,7,FALSE),main!$K$19:$O$22,MATCH(VLOOKUP($A72,main!$A$3:$H$102,8,FALSE),main!$K$18:$O$18,0))))),1,0)</f>
        <v>0</v>
      </c>
      <c r="AM72">
        <f>IF((AND(VLOOKUP(AM$1,main!$A$3:$H$102,5,FALSE)-VLOOKUP($A72,main!$A$3:$H$102,6,FALSE)&gt;=(VLOOKUP(VLOOKUP(AM$1,main!$A$3:$H$102,8,FALSE),main!$K$26:$M$29,2,FALSE)+VLOOKUP(VLOOKUP(AM$1,main!$A$3:$H$102,7,FALSE),main!$K$19:$O$22,MATCH(VLOOKUP($A72,main!$A$3:$H$102,8,FALSE),main!$K$18:$O$18,0))))),1,0)</f>
        <v>1</v>
      </c>
      <c r="AN72">
        <f>IF((AND(VLOOKUP(AN$1,main!$A$3:$H$102,5,FALSE)-VLOOKUP($A72,main!$A$3:$H$102,6,FALSE)&gt;=(VLOOKUP(VLOOKUP(AN$1,main!$A$3:$H$102,8,FALSE),main!$K$26:$M$29,2,FALSE)+VLOOKUP(VLOOKUP(AN$1,main!$A$3:$H$102,7,FALSE),main!$K$19:$O$22,MATCH(VLOOKUP($A72,main!$A$3:$H$102,8,FALSE),main!$K$18:$O$18,0))))),1,0)</f>
        <v>1</v>
      </c>
      <c r="AO72">
        <f>IF((AND(VLOOKUP(AO$1,main!$A$3:$H$102,5,FALSE)-VLOOKUP($A72,main!$A$3:$H$102,6,FALSE)&gt;=(VLOOKUP(VLOOKUP(AO$1,main!$A$3:$H$102,8,FALSE),main!$K$26:$M$29,2,FALSE)+VLOOKUP(VLOOKUP(AO$1,main!$A$3:$H$102,7,FALSE),main!$K$19:$O$22,MATCH(VLOOKUP($A72,main!$A$3:$H$102,8,FALSE),main!$K$18:$O$18,0))))),1,0)</f>
        <v>0</v>
      </c>
      <c r="AP72">
        <f>IF((AND(VLOOKUP(AP$1,main!$A$3:$H$102,5,FALSE)-VLOOKUP($A72,main!$A$3:$H$102,6,FALSE)&gt;=(VLOOKUP(VLOOKUP(AP$1,main!$A$3:$H$102,8,FALSE),main!$K$26:$M$29,2,FALSE)+VLOOKUP(VLOOKUP(AP$1,main!$A$3:$H$102,7,FALSE),main!$K$19:$O$22,MATCH(VLOOKUP($A72,main!$A$3:$H$102,8,FALSE),main!$K$18:$O$18,0))))),1,0)</f>
        <v>1</v>
      </c>
      <c r="AQ72">
        <f>IF((AND(VLOOKUP(AQ$1,main!$A$3:$H$102,5,FALSE)-VLOOKUP($A72,main!$A$3:$H$102,6,FALSE)&gt;=(VLOOKUP(VLOOKUP(AQ$1,main!$A$3:$H$102,8,FALSE),main!$K$26:$M$29,2,FALSE)+VLOOKUP(VLOOKUP(AQ$1,main!$A$3:$H$102,7,FALSE),main!$K$19:$O$22,MATCH(VLOOKUP($A72,main!$A$3:$H$102,8,FALSE),main!$K$18:$O$18,0))))),1,0)</f>
        <v>0</v>
      </c>
      <c r="AR72">
        <f>IF((AND(VLOOKUP(AR$1,main!$A$3:$H$102,5,FALSE)-VLOOKUP($A72,main!$A$3:$H$102,6,FALSE)&gt;=(VLOOKUP(VLOOKUP(AR$1,main!$A$3:$H$102,8,FALSE),main!$K$26:$M$29,2,FALSE)+VLOOKUP(VLOOKUP(AR$1,main!$A$3:$H$102,7,FALSE),main!$K$19:$O$22,MATCH(VLOOKUP($A72,main!$A$3:$H$102,8,FALSE),main!$K$18:$O$18,0))))),1,0)</f>
        <v>0</v>
      </c>
      <c r="AS72">
        <f>IF((AND(VLOOKUP(AS$1,main!$A$3:$H$102,5,FALSE)-VLOOKUP($A72,main!$A$3:$H$102,6,FALSE)&gt;=(VLOOKUP(VLOOKUP(AS$1,main!$A$3:$H$102,8,FALSE),main!$K$26:$M$29,2,FALSE)+VLOOKUP(VLOOKUP(AS$1,main!$A$3:$H$102,7,FALSE),main!$K$19:$O$22,MATCH(VLOOKUP($A72,main!$A$3:$H$102,8,FALSE),main!$K$18:$O$18,0))))),1,0)</f>
        <v>0</v>
      </c>
      <c r="AT72">
        <f>IF((AND(VLOOKUP(AT$1,main!$A$3:$H$102,5,FALSE)-VLOOKUP($A72,main!$A$3:$H$102,6,FALSE)&gt;=(VLOOKUP(VLOOKUP(AT$1,main!$A$3:$H$102,8,FALSE),main!$K$26:$M$29,2,FALSE)+VLOOKUP(VLOOKUP(AT$1,main!$A$3:$H$102,7,FALSE),main!$K$19:$O$22,MATCH(VLOOKUP($A72,main!$A$3:$H$102,8,FALSE),main!$K$18:$O$18,0))))),1,0)</f>
        <v>0</v>
      </c>
      <c r="AU72">
        <f>IF((AND(VLOOKUP(AU$1,main!$A$3:$H$102,5,FALSE)-VLOOKUP($A72,main!$A$3:$H$102,6,FALSE)&gt;=(VLOOKUP(VLOOKUP(AU$1,main!$A$3:$H$102,8,FALSE),main!$K$26:$M$29,2,FALSE)+VLOOKUP(VLOOKUP(AU$1,main!$A$3:$H$102,7,FALSE),main!$K$19:$O$22,MATCH(VLOOKUP($A72,main!$A$3:$H$102,8,FALSE),main!$K$18:$O$18,0))))),1,0)</f>
        <v>0</v>
      </c>
      <c r="AV72">
        <f>IF((AND(VLOOKUP(AV$1,main!$A$3:$H$102,5,FALSE)-VLOOKUP($A72,main!$A$3:$H$102,6,FALSE)&gt;=(VLOOKUP(VLOOKUP(AV$1,main!$A$3:$H$102,8,FALSE),main!$K$26:$M$29,2,FALSE)+VLOOKUP(VLOOKUP(AV$1,main!$A$3:$H$102,7,FALSE),main!$K$19:$O$22,MATCH(VLOOKUP($A72,main!$A$3:$H$102,8,FALSE),main!$K$18:$O$18,0))))),1,0)</f>
        <v>0</v>
      </c>
      <c r="AW72">
        <f>IF((AND(VLOOKUP(AW$1,main!$A$3:$H$102,5,FALSE)-VLOOKUP($A72,main!$A$3:$H$102,6,FALSE)&gt;=(VLOOKUP(VLOOKUP(AW$1,main!$A$3:$H$102,8,FALSE),main!$K$26:$M$29,2,FALSE)+VLOOKUP(VLOOKUP(AW$1,main!$A$3:$H$102,7,FALSE),main!$K$19:$O$22,MATCH(VLOOKUP($A72,main!$A$3:$H$102,8,FALSE),main!$K$18:$O$18,0))))),1,0)</f>
        <v>0</v>
      </c>
      <c r="AX72">
        <f>IF((AND(VLOOKUP(AX$1,main!$A$3:$H$102,5,FALSE)-VLOOKUP($A72,main!$A$3:$H$102,6,FALSE)&gt;=(VLOOKUP(VLOOKUP(AX$1,main!$A$3:$H$102,8,FALSE),main!$K$26:$M$29,2,FALSE)+VLOOKUP(VLOOKUP(AX$1,main!$A$3:$H$102,7,FALSE),main!$K$19:$O$22,MATCH(VLOOKUP($A72,main!$A$3:$H$102,8,FALSE),main!$K$18:$O$18,0))))),1,0)</f>
        <v>0</v>
      </c>
      <c r="AY72">
        <f>IF((AND(VLOOKUP(AY$1,main!$A$3:$H$102,5,FALSE)-VLOOKUP($A72,main!$A$3:$H$102,6,FALSE)&gt;=(VLOOKUP(VLOOKUP(AY$1,main!$A$3:$H$102,8,FALSE),main!$K$26:$M$29,2,FALSE)+VLOOKUP(VLOOKUP(AY$1,main!$A$3:$H$102,7,FALSE),main!$K$19:$O$22,MATCH(VLOOKUP($A72,main!$A$3:$H$102,8,FALSE),main!$K$18:$O$18,0))))),1,0)</f>
        <v>0</v>
      </c>
      <c r="AZ72">
        <f>IF((AND(VLOOKUP(AZ$1,main!$A$3:$H$102,5,FALSE)-VLOOKUP($A72,main!$A$3:$H$102,6,FALSE)&gt;=(VLOOKUP(VLOOKUP(AZ$1,main!$A$3:$H$102,8,FALSE),main!$K$26:$M$29,2,FALSE)+VLOOKUP(VLOOKUP(AZ$1,main!$A$3:$H$102,7,FALSE),main!$K$19:$O$22,MATCH(VLOOKUP($A72,main!$A$3:$H$102,8,FALSE),main!$K$18:$O$18,0))))),1,0)</f>
        <v>0</v>
      </c>
      <c r="BA72">
        <f>IF((AND(VLOOKUP(BA$1,main!$A$3:$H$102,5,FALSE)-VLOOKUP($A72,main!$A$3:$H$102,6,FALSE)&gt;=(VLOOKUP(VLOOKUP(BA$1,main!$A$3:$H$102,8,FALSE),main!$K$26:$M$29,2,FALSE)+VLOOKUP(VLOOKUP(BA$1,main!$A$3:$H$102,7,FALSE),main!$K$19:$O$22,MATCH(VLOOKUP($A72,main!$A$3:$H$102,8,FALSE),main!$K$18:$O$18,0))))),1,0)</f>
        <v>0</v>
      </c>
      <c r="BB72">
        <f>IF((AND(VLOOKUP(BB$1,main!$A$3:$H$102,5,FALSE)-VLOOKUP($A72,main!$A$3:$H$102,6,FALSE)&gt;=(VLOOKUP(VLOOKUP(BB$1,main!$A$3:$H$102,8,FALSE),main!$K$26:$M$29,2,FALSE)+VLOOKUP(VLOOKUP(BB$1,main!$A$3:$H$102,7,FALSE),main!$K$19:$O$22,MATCH(VLOOKUP($A72,main!$A$3:$H$102,8,FALSE),main!$K$18:$O$18,0))))),1,0)</f>
        <v>0</v>
      </c>
      <c r="BC72">
        <f>IF((AND(VLOOKUP(BC$1,main!$A$3:$H$102,5,FALSE)-VLOOKUP($A72,main!$A$3:$H$102,6,FALSE)&gt;=(VLOOKUP(VLOOKUP(BC$1,main!$A$3:$H$102,8,FALSE),main!$K$26:$M$29,2,FALSE)+VLOOKUP(VLOOKUP(BC$1,main!$A$3:$H$102,7,FALSE),main!$K$19:$O$22,MATCH(VLOOKUP($A72,main!$A$3:$H$102,8,FALSE),main!$K$18:$O$18,0))))),1,0)</f>
        <v>0</v>
      </c>
      <c r="BD72">
        <f>IF((AND(VLOOKUP(BD$1,main!$A$3:$H$102,5,FALSE)-VLOOKUP($A72,main!$A$3:$H$102,6,FALSE)&gt;=(VLOOKUP(VLOOKUP(BD$1,main!$A$3:$H$102,8,FALSE),main!$K$26:$M$29,2,FALSE)+VLOOKUP(VLOOKUP(BD$1,main!$A$3:$H$102,7,FALSE),main!$K$19:$O$22,MATCH(VLOOKUP($A72,main!$A$3:$H$102,8,FALSE),main!$K$18:$O$18,0))))),1,0)</f>
        <v>0</v>
      </c>
      <c r="BE72">
        <f>IF((AND(VLOOKUP(BE$1,main!$A$3:$H$102,5,FALSE)-VLOOKUP($A72,main!$A$3:$H$102,6,FALSE)&gt;=(VLOOKUP(VLOOKUP(BE$1,main!$A$3:$H$102,8,FALSE),main!$K$26:$M$29,2,FALSE)+VLOOKUP(VLOOKUP(BE$1,main!$A$3:$H$102,7,FALSE),main!$K$19:$O$22,MATCH(VLOOKUP($A72,main!$A$3:$H$102,8,FALSE),main!$K$18:$O$18,0))))),1,0)</f>
        <v>0</v>
      </c>
      <c r="BF72">
        <f>IF((AND(VLOOKUP(BF$1,main!$A$3:$H$102,5,FALSE)-VLOOKUP($A72,main!$A$3:$H$102,6,FALSE)&gt;=(VLOOKUP(VLOOKUP(BF$1,main!$A$3:$H$102,8,FALSE),main!$K$26:$M$29,2,FALSE)+VLOOKUP(VLOOKUP(BF$1,main!$A$3:$H$102,7,FALSE),main!$K$19:$O$22,MATCH(VLOOKUP($A72,main!$A$3:$H$102,8,FALSE),main!$K$18:$O$18,0))))),1,0)</f>
        <v>0</v>
      </c>
      <c r="BG72">
        <f>IF((AND(VLOOKUP(BG$1,main!$A$3:$H$102,5,FALSE)-VLOOKUP($A72,main!$A$3:$H$102,6,FALSE)&gt;=(VLOOKUP(VLOOKUP(BG$1,main!$A$3:$H$102,8,FALSE),main!$K$26:$M$29,2,FALSE)+VLOOKUP(VLOOKUP(BG$1,main!$A$3:$H$102,7,FALSE),main!$K$19:$O$22,MATCH(VLOOKUP($A72,main!$A$3:$H$102,8,FALSE),main!$K$18:$O$18,0))))),1,0)</f>
        <v>0</v>
      </c>
      <c r="BH72">
        <f>IF((AND(VLOOKUP(BH$1,main!$A$3:$H$102,5,FALSE)-VLOOKUP($A72,main!$A$3:$H$102,6,FALSE)&gt;=(VLOOKUP(VLOOKUP(BH$1,main!$A$3:$H$102,8,FALSE),main!$K$26:$M$29,2,FALSE)+VLOOKUP(VLOOKUP(BH$1,main!$A$3:$H$102,7,FALSE),main!$K$19:$O$22,MATCH(VLOOKUP($A72,main!$A$3:$H$102,8,FALSE),main!$K$18:$O$18,0))))),1,0)</f>
        <v>0</v>
      </c>
      <c r="BI72">
        <f>IF((AND(VLOOKUP(BI$1,main!$A$3:$H$102,5,FALSE)-VLOOKUP($A72,main!$A$3:$H$102,6,FALSE)&gt;=(VLOOKUP(VLOOKUP(BI$1,main!$A$3:$H$102,8,FALSE),main!$K$26:$M$29,2,FALSE)+VLOOKUP(VLOOKUP(BI$1,main!$A$3:$H$102,7,FALSE),main!$K$19:$O$22,MATCH(VLOOKUP($A72,main!$A$3:$H$102,8,FALSE),main!$K$18:$O$18,0))))),1,0)</f>
        <v>1</v>
      </c>
      <c r="BJ72">
        <f>IF((AND(VLOOKUP(BJ$1,main!$A$3:$H$102,5,FALSE)-VLOOKUP($A72,main!$A$3:$H$102,6,FALSE)&gt;=(VLOOKUP(VLOOKUP(BJ$1,main!$A$3:$H$102,8,FALSE),main!$K$26:$M$29,2,FALSE)+VLOOKUP(VLOOKUP(BJ$1,main!$A$3:$H$102,7,FALSE),main!$K$19:$O$22,MATCH(VLOOKUP($A72,main!$A$3:$H$102,8,FALSE),main!$K$18:$O$18,0))))),1,0)</f>
        <v>0</v>
      </c>
      <c r="BK72">
        <f>IF((AND(VLOOKUP(BK$1,main!$A$3:$H$102,5,FALSE)-VLOOKUP($A72,main!$A$3:$H$102,6,FALSE)&gt;=(VLOOKUP(VLOOKUP(BK$1,main!$A$3:$H$102,8,FALSE),main!$K$26:$M$29,2,FALSE)+VLOOKUP(VLOOKUP(BK$1,main!$A$3:$H$102,7,FALSE),main!$K$19:$O$22,MATCH(VLOOKUP($A72,main!$A$3:$H$102,8,FALSE),main!$K$18:$O$18,0))))),1,0)</f>
        <v>0</v>
      </c>
      <c r="BL72">
        <f>IF((AND(VLOOKUP(BL$1,main!$A$3:$H$102,5,FALSE)-VLOOKUP($A72,main!$A$3:$H$102,6,FALSE)&gt;=(VLOOKUP(VLOOKUP(BL$1,main!$A$3:$H$102,8,FALSE),main!$K$26:$M$29,2,FALSE)+VLOOKUP(VLOOKUP(BL$1,main!$A$3:$H$102,7,FALSE),main!$K$19:$O$22,MATCH(VLOOKUP($A72,main!$A$3:$H$102,8,FALSE),main!$K$18:$O$18,0))))),1,0)</f>
        <v>0</v>
      </c>
      <c r="BM72">
        <f>IF((AND(VLOOKUP(BM$1,main!$A$3:$H$102,5,FALSE)-VLOOKUP($A72,main!$A$3:$H$102,6,FALSE)&gt;=(VLOOKUP(VLOOKUP(BM$1,main!$A$3:$H$102,8,FALSE),main!$K$26:$M$29,2,FALSE)+VLOOKUP(VLOOKUP(BM$1,main!$A$3:$H$102,7,FALSE),main!$K$19:$O$22,MATCH(VLOOKUP($A72,main!$A$3:$H$102,8,FALSE),main!$K$18:$O$18,0))))),1,0)</f>
        <v>0</v>
      </c>
      <c r="BN72">
        <f>IF((AND(VLOOKUP(BN$1,main!$A$3:$H$102,5,FALSE)-VLOOKUP($A72,main!$A$3:$H$102,6,FALSE)&gt;=(VLOOKUP(VLOOKUP(BN$1,main!$A$3:$H$102,8,FALSE),main!$K$26:$M$29,2,FALSE)+VLOOKUP(VLOOKUP(BN$1,main!$A$3:$H$102,7,FALSE),main!$K$19:$O$22,MATCH(VLOOKUP($A72,main!$A$3:$H$102,8,FALSE),main!$K$18:$O$18,0))))),1,0)</f>
        <v>0</v>
      </c>
      <c r="BO72">
        <f>IF((AND(VLOOKUP(BO$1,main!$A$3:$H$102,5,FALSE)-VLOOKUP($A72,main!$A$3:$H$102,6,FALSE)&gt;=(VLOOKUP(VLOOKUP(BO$1,main!$A$3:$H$102,8,FALSE),main!$K$26:$M$29,2,FALSE)+VLOOKUP(VLOOKUP(BO$1,main!$A$3:$H$102,7,FALSE),main!$K$19:$O$22,MATCH(VLOOKUP($A72,main!$A$3:$H$102,8,FALSE),main!$K$18:$O$18,0))))),1,0)</f>
        <v>0</v>
      </c>
      <c r="BP72">
        <f>IF((AND(VLOOKUP(BP$1,main!$A$3:$H$102,5,FALSE)-VLOOKUP($A72,main!$A$3:$H$102,6,FALSE)&gt;=(VLOOKUP(VLOOKUP(BP$1,main!$A$3:$H$102,8,FALSE),main!$K$26:$M$29,2,FALSE)+VLOOKUP(VLOOKUP(BP$1,main!$A$3:$H$102,7,FALSE),main!$K$19:$O$22,MATCH(VLOOKUP($A72,main!$A$3:$H$102,8,FALSE),main!$K$18:$O$18,0))))),1,0)</f>
        <v>0</v>
      </c>
      <c r="BQ72">
        <f>IF((AND(VLOOKUP(BQ$1,main!$A$3:$H$102,5,FALSE)-VLOOKUP($A72,main!$A$3:$H$102,6,FALSE)&gt;=(VLOOKUP(VLOOKUP(BQ$1,main!$A$3:$H$102,8,FALSE),main!$K$26:$M$29,2,FALSE)+VLOOKUP(VLOOKUP(BQ$1,main!$A$3:$H$102,7,FALSE),main!$K$19:$O$22,MATCH(VLOOKUP($A72,main!$A$3:$H$102,8,FALSE),main!$K$18:$O$18,0))))),1,0)</f>
        <v>0</v>
      </c>
      <c r="BR72">
        <f>IF((AND(VLOOKUP(BR$1,main!$A$3:$H$102,5,FALSE)-VLOOKUP($A72,main!$A$3:$H$102,6,FALSE)&gt;=(VLOOKUP(VLOOKUP(BR$1,main!$A$3:$H$102,8,FALSE),main!$K$26:$M$29,2,FALSE)+VLOOKUP(VLOOKUP(BR$1,main!$A$3:$H$102,7,FALSE),main!$K$19:$O$22,MATCH(VLOOKUP($A72,main!$A$3:$H$102,8,FALSE),main!$K$18:$O$18,0))))),1,0)</f>
        <v>0</v>
      </c>
      <c r="BS72">
        <f>IF((AND(VLOOKUP(BS$1,main!$A$3:$H$102,5,FALSE)-VLOOKUP($A72,main!$A$3:$H$102,6,FALSE)&gt;=(VLOOKUP(VLOOKUP(BS$1,main!$A$3:$H$102,8,FALSE),main!$K$26:$M$29,2,FALSE)+VLOOKUP(VLOOKUP(BS$1,main!$A$3:$H$102,7,FALSE),main!$K$19:$O$22,MATCH(VLOOKUP($A72,main!$A$3:$H$102,8,FALSE),main!$K$18:$O$18,0))))),1,0)</f>
        <v>0</v>
      </c>
      <c r="BT72">
        <f>IF((AND(VLOOKUP(BT$1,main!$A$3:$H$102,5,FALSE)-VLOOKUP($A72,main!$A$3:$H$102,6,FALSE)&gt;=(VLOOKUP(VLOOKUP(BT$1,main!$A$3:$H$102,8,FALSE),main!$K$26:$M$29,2,FALSE)+VLOOKUP(VLOOKUP(BT$1,main!$A$3:$H$102,7,FALSE),main!$K$19:$O$22,MATCH(VLOOKUP($A72,main!$A$3:$H$102,8,FALSE),main!$K$18:$O$18,0))))),1,0)</f>
        <v>0</v>
      </c>
      <c r="BU72">
        <f>IF((AND(VLOOKUP(BU$1,main!$A$3:$H$102,5,FALSE)-VLOOKUP($A72,main!$A$3:$H$102,6,FALSE)&gt;=(VLOOKUP(VLOOKUP(BU$1,main!$A$3:$H$102,8,FALSE),main!$K$26:$M$29,2,FALSE)+VLOOKUP(VLOOKUP(BU$1,main!$A$3:$H$102,7,FALSE),main!$K$19:$O$22,MATCH(VLOOKUP($A72,main!$A$3:$H$102,8,FALSE),main!$K$18:$O$18,0))))),1,0)</f>
        <v>0</v>
      </c>
      <c r="BV72">
        <f>IF((AND(VLOOKUP(BV$1,main!$A$3:$H$102,5,FALSE)-VLOOKUP($A72,main!$A$3:$H$102,6,FALSE)&gt;=(VLOOKUP(VLOOKUP(BV$1,main!$A$3:$H$102,8,FALSE),main!$K$26:$M$29,2,FALSE)+VLOOKUP(VLOOKUP(BV$1,main!$A$3:$H$102,7,FALSE),main!$K$19:$O$22,MATCH(VLOOKUP($A72,main!$A$3:$H$102,8,FALSE),main!$K$18:$O$18,0))))),1,0)</f>
        <v>0</v>
      </c>
      <c r="BW72">
        <f>IF((AND(VLOOKUP(BW$1,main!$A$3:$H$102,5,FALSE)-VLOOKUP($A72,main!$A$3:$H$102,6,FALSE)&gt;=(VLOOKUP(VLOOKUP(BW$1,main!$A$3:$H$102,8,FALSE),main!$K$26:$M$29,2,FALSE)+VLOOKUP(VLOOKUP(BW$1,main!$A$3:$H$102,7,FALSE),main!$K$19:$O$22,MATCH(VLOOKUP($A72,main!$A$3:$H$102,8,FALSE),main!$K$18:$O$18,0))))),1,0)</f>
        <v>0</v>
      </c>
      <c r="BX72">
        <f>IF((AND(VLOOKUP(BX$1,main!$A$3:$H$102,5,FALSE)-VLOOKUP($A72,main!$A$3:$H$102,6,FALSE)&gt;=(VLOOKUP(VLOOKUP(BX$1,main!$A$3:$H$102,8,FALSE),main!$K$26:$M$29,2,FALSE)+VLOOKUP(VLOOKUP(BX$1,main!$A$3:$H$102,7,FALSE),main!$K$19:$O$22,MATCH(VLOOKUP($A72,main!$A$3:$H$102,8,FALSE),main!$K$18:$O$18,0))))),1,0)</f>
        <v>0</v>
      </c>
      <c r="BY72">
        <f>IF((AND(VLOOKUP(BY$1,main!$A$3:$H$102,5,FALSE)-VLOOKUP($A72,main!$A$3:$H$102,6,FALSE)&gt;=(VLOOKUP(VLOOKUP(BY$1,main!$A$3:$H$102,8,FALSE),main!$K$26:$M$29,2,FALSE)+VLOOKUP(VLOOKUP(BY$1,main!$A$3:$H$102,7,FALSE),main!$K$19:$O$22,MATCH(VLOOKUP($A72,main!$A$3:$H$102,8,FALSE),main!$K$18:$O$18,0))))),1,0)</f>
        <v>0</v>
      </c>
      <c r="BZ72">
        <f>IF((AND(VLOOKUP(BZ$1,main!$A$3:$H$102,5,FALSE)-VLOOKUP($A72,main!$A$3:$H$102,6,FALSE)&gt;=(VLOOKUP(VLOOKUP(BZ$1,main!$A$3:$H$102,8,FALSE),main!$K$26:$M$29,2,FALSE)+VLOOKUP(VLOOKUP(BZ$1,main!$A$3:$H$102,7,FALSE),main!$K$19:$O$22,MATCH(VLOOKUP($A72,main!$A$3:$H$102,8,FALSE),main!$K$18:$O$18,0))))),1,0)</f>
        <v>0</v>
      </c>
      <c r="CA72">
        <f>IF((AND(VLOOKUP(CA$1,main!$A$3:$H$102,5,FALSE)-VLOOKUP($A72,main!$A$3:$H$102,6,FALSE)&gt;=(VLOOKUP(VLOOKUP(CA$1,main!$A$3:$H$102,8,FALSE),main!$K$26:$M$29,2,FALSE)+VLOOKUP(VLOOKUP(CA$1,main!$A$3:$H$102,7,FALSE),main!$K$19:$O$22,MATCH(VLOOKUP($A72,main!$A$3:$H$102,8,FALSE),main!$K$18:$O$18,0))))),1,0)</f>
        <v>0</v>
      </c>
      <c r="CB72">
        <f>IF((AND(VLOOKUP(CB$1,main!$A$3:$H$102,5,FALSE)-VLOOKUP($A72,main!$A$3:$H$102,6,FALSE)&gt;=(VLOOKUP(VLOOKUP(CB$1,main!$A$3:$H$102,8,FALSE),main!$K$26:$M$29,2,FALSE)+VLOOKUP(VLOOKUP(CB$1,main!$A$3:$H$102,7,FALSE),main!$K$19:$O$22,MATCH(VLOOKUP($A72,main!$A$3:$H$102,8,FALSE),main!$K$18:$O$18,0))))),1,0)</f>
        <v>0</v>
      </c>
      <c r="CC72">
        <f>IF((AND(VLOOKUP(CC$1,main!$A$3:$H$102,5,FALSE)-VLOOKUP($A72,main!$A$3:$H$102,6,FALSE)&gt;=(VLOOKUP(VLOOKUP(CC$1,main!$A$3:$H$102,8,FALSE),main!$K$26:$M$29,2,FALSE)+VLOOKUP(VLOOKUP(CC$1,main!$A$3:$H$102,7,FALSE),main!$K$19:$O$22,MATCH(VLOOKUP($A72,main!$A$3:$H$102,8,FALSE),main!$K$18:$O$18,0))))),1,0)</f>
        <v>1</v>
      </c>
      <c r="CD72">
        <f>IF((AND(VLOOKUP(CD$1,main!$A$3:$H$102,5,FALSE)-VLOOKUP($A72,main!$A$3:$H$102,6,FALSE)&gt;=(VLOOKUP(VLOOKUP(CD$1,main!$A$3:$H$102,8,FALSE),main!$K$26:$M$29,2,FALSE)+VLOOKUP(VLOOKUP(CD$1,main!$A$3:$H$102,7,FALSE),main!$K$19:$O$22,MATCH(VLOOKUP($A72,main!$A$3:$H$102,8,FALSE),main!$K$18:$O$18,0))))),1,0)</f>
        <v>0</v>
      </c>
      <c r="CE72">
        <f>IF((AND(VLOOKUP(CE$1,main!$A$3:$H$102,5,FALSE)-VLOOKUP($A72,main!$A$3:$H$102,6,FALSE)&gt;=(VLOOKUP(VLOOKUP(CE$1,main!$A$3:$H$102,8,FALSE),main!$K$26:$M$29,2,FALSE)+VLOOKUP(VLOOKUP(CE$1,main!$A$3:$H$102,7,FALSE),main!$K$19:$O$22,MATCH(VLOOKUP($A72,main!$A$3:$H$102,8,FALSE),main!$K$18:$O$18,0))))),1,0)</f>
        <v>0</v>
      </c>
      <c r="CF72">
        <f>IF((AND(VLOOKUP(CF$1,main!$A$3:$H$102,5,FALSE)-VLOOKUP($A72,main!$A$3:$H$102,6,FALSE)&gt;=(VLOOKUP(VLOOKUP(CF$1,main!$A$3:$H$102,8,FALSE),main!$K$26:$M$29,2,FALSE)+VLOOKUP(VLOOKUP(CF$1,main!$A$3:$H$102,7,FALSE),main!$K$19:$O$22,MATCH(VLOOKUP($A72,main!$A$3:$H$102,8,FALSE),main!$K$18:$O$18,0))))),1,0)</f>
        <v>0</v>
      </c>
      <c r="CG72">
        <f>IF((AND(VLOOKUP(CG$1,main!$A$3:$H$102,5,FALSE)-VLOOKUP($A72,main!$A$3:$H$102,6,FALSE)&gt;=(VLOOKUP(VLOOKUP(CG$1,main!$A$3:$H$102,8,FALSE),main!$K$26:$M$29,2,FALSE)+VLOOKUP(VLOOKUP(CG$1,main!$A$3:$H$102,7,FALSE),main!$K$19:$O$22,MATCH(VLOOKUP($A72,main!$A$3:$H$102,8,FALSE),main!$K$18:$O$18,0))))),1,0)</f>
        <v>0</v>
      </c>
      <c r="CH72">
        <f>IF((AND(VLOOKUP(CH$1,main!$A$3:$H$102,5,FALSE)-VLOOKUP($A72,main!$A$3:$H$102,6,FALSE)&gt;=(VLOOKUP(VLOOKUP(CH$1,main!$A$3:$H$102,8,FALSE),main!$K$26:$M$29,2,FALSE)+VLOOKUP(VLOOKUP(CH$1,main!$A$3:$H$102,7,FALSE),main!$K$19:$O$22,MATCH(VLOOKUP($A72,main!$A$3:$H$102,8,FALSE),main!$K$18:$O$18,0))))),1,0)</f>
        <v>0</v>
      </c>
      <c r="CI72">
        <f>IF((AND(VLOOKUP(CI$1,main!$A$3:$H$102,5,FALSE)-VLOOKUP($A72,main!$A$3:$H$102,6,FALSE)&gt;=(VLOOKUP(VLOOKUP(CI$1,main!$A$3:$H$102,8,FALSE),main!$K$26:$M$29,2,FALSE)+VLOOKUP(VLOOKUP(CI$1,main!$A$3:$H$102,7,FALSE),main!$K$19:$O$22,MATCH(VLOOKUP($A72,main!$A$3:$H$102,8,FALSE),main!$K$18:$O$18,0))))),1,0)</f>
        <v>1</v>
      </c>
      <c r="CJ72">
        <f>IF((AND(VLOOKUP(CJ$1,main!$A$3:$H$102,5,FALSE)-VLOOKUP($A72,main!$A$3:$H$102,6,FALSE)&gt;=(VLOOKUP(VLOOKUP(CJ$1,main!$A$3:$H$102,8,FALSE),main!$K$26:$M$29,2,FALSE)+VLOOKUP(VLOOKUP(CJ$1,main!$A$3:$H$102,7,FALSE),main!$K$19:$O$22,MATCH(VLOOKUP($A72,main!$A$3:$H$102,8,FALSE),main!$K$18:$O$18,0))))),1,0)</f>
        <v>0</v>
      </c>
      <c r="CK72">
        <f>IF((AND(VLOOKUP(CK$1,main!$A$3:$H$102,5,FALSE)-VLOOKUP($A72,main!$A$3:$H$102,6,FALSE)&gt;=(VLOOKUP(VLOOKUP(CK$1,main!$A$3:$H$102,8,FALSE),main!$K$26:$M$29,2,FALSE)+VLOOKUP(VLOOKUP(CK$1,main!$A$3:$H$102,7,FALSE),main!$K$19:$O$22,MATCH(VLOOKUP($A72,main!$A$3:$H$102,8,FALSE),main!$K$18:$O$18,0))))),1,0)</f>
        <v>0</v>
      </c>
      <c r="CL72">
        <f>IF((AND(VLOOKUP(CL$1,main!$A$3:$H$102,5,FALSE)-VLOOKUP($A72,main!$A$3:$H$102,6,FALSE)&gt;=(VLOOKUP(VLOOKUP(CL$1,main!$A$3:$H$102,8,FALSE),main!$K$26:$M$29,2,FALSE)+VLOOKUP(VLOOKUP(CL$1,main!$A$3:$H$102,7,FALSE),main!$K$19:$O$22,MATCH(VLOOKUP($A72,main!$A$3:$H$102,8,FALSE),main!$K$18:$O$18,0))))),1,0)</f>
        <v>0</v>
      </c>
      <c r="CM72">
        <f>IF((AND(VLOOKUP(CM$1,main!$A$3:$H$102,5,FALSE)-VLOOKUP($A72,main!$A$3:$H$102,6,FALSE)&gt;=(VLOOKUP(VLOOKUP(CM$1,main!$A$3:$H$102,8,FALSE),main!$K$26:$M$29,2,FALSE)+VLOOKUP(VLOOKUP(CM$1,main!$A$3:$H$102,7,FALSE),main!$K$19:$O$22,MATCH(VLOOKUP($A72,main!$A$3:$H$102,8,FALSE),main!$K$18:$O$18,0))))),1,0)</f>
        <v>0</v>
      </c>
      <c r="CN72">
        <f>IF((AND(VLOOKUP(CN$1,main!$A$3:$H$102,5,FALSE)-VLOOKUP($A72,main!$A$3:$H$102,6,FALSE)&gt;=(VLOOKUP(VLOOKUP(CN$1,main!$A$3:$H$102,8,FALSE),main!$K$26:$M$29,2,FALSE)+VLOOKUP(VLOOKUP(CN$1,main!$A$3:$H$102,7,FALSE),main!$K$19:$O$22,MATCH(VLOOKUP($A72,main!$A$3:$H$102,8,FALSE),main!$K$18:$O$18,0))))),1,0)</f>
        <v>1</v>
      </c>
      <c r="CO72">
        <f>IF((AND(VLOOKUP(CO$1,main!$A$3:$H$102,5,FALSE)-VLOOKUP($A72,main!$A$3:$H$102,6,FALSE)&gt;=(VLOOKUP(VLOOKUP(CO$1,main!$A$3:$H$102,8,FALSE),main!$K$26:$M$29,2,FALSE)+VLOOKUP(VLOOKUP(CO$1,main!$A$3:$H$102,7,FALSE),main!$K$19:$O$22,MATCH(VLOOKUP($A72,main!$A$3:$H$102,8,FALSE),main!$K$18:$O$18,0))))),1,0)</f>
        <v>0</v>
      </c>
      <c r="CP72">
        <f>IF((AND(VLOOKUP(CP$1,main!$A$3:$H$102,5,FALSE)-VLOOKUP($A72,main!$A$3:$H$102,6,FALSE)&gt;=(VLOOKUP(VLOOKUP(CP$1,main!$A$3:$H$102,8,FALSE),main!$K$26:$M$29,2,FALSE)+VLOOKUP(VLOOKUP(CP$1,main!$A$3:$H$102,7,FALSE),main!$K$19:$O$22,MATCH(VLOOKUP($A72,main!$A$3:$H$102,8,FALSE),main!$K$18:$O$18,0))))),1,0)</f>
        <v>0</v>
      </c>
      <c r="CQ72">
        <f>IF((AND(VLOOKUP(CQ$1,main!$A$3:$H$102,5,FALSE)-VLOOKUP($A72,main!$A$3:$H$102,6,FALSE)&gt;=(VLOOKUP(VLOOKUP(CQ$1,main!$A$3:$H$102,8,FALSE),main!$K$26:$M$29,2,FALSE)+VLOOKUP(VLOOKUP(CQ$1,main!$A$3:$H$102,7,FALSE),main!$K$19:$O$22,MATCH(VLOOKUP($A72,main!$A$3:$H$102,8,FALSE),main!$K$18:$O$18,0))))),1,0)</f>
        <v>0</v>
      </c>
      <c r="CR72">
        <f>IF((AND(VLOOKUP(CR$1,main!$A$3:$H$102,5,FALSE)-VLOOKUP($A72,main!$A$3:$H$102,6,FALSE)&gt;=(VLOOKUP(VLOOKUP(CR$1,main!$A$3:$H$102,8,FALSE),main!$K$26:$M$29,2,FALSE)+VLOOKUP(VLOOKUP(CR$1,main!$A$3:$H$102,7,FALSE),main!$K$19:$O$22,MATCH(VLOOKUP($A72,main!$A$3:$H$102,8,FALSE),main!$K$18:$O$18,0))))),1,0)</f>
        <v>0</v>
      </c>
      <c r="CS72">
        <f>IF((AND(VLOOKUP(CS$1,main!$A$3:$H$102,5,FALSE)-VLOOKUP($A72,main!$A$3:$H$102,6,FALSE)&gt;=(VLOOKUP(VLOOKUP(CS$1,main!$A$3:$H$102,8,FALSE),main!$K$26:$M$29,2,FALSE)+VLOOKUP(VLOOKUP(CS$1,main!$A$3:$H$102,7,FALSE),main!$K$19:$O$22,MATCH(VLOOKUP($A72,main!$A$3:$H$102,8,FALSE),main!$K$18:$O$18,0))))),1,0)</f>
        <v>0</v>
      </c>
      <c r="CT72">
        <f>IF((AND(VLOOKUP(CT$1,main!$A$3:$H$102,5,FALSE)-VLOOKUP($A72,main!$A$3:$H$102,6,FALSE)&gt;=(VLOOKUP(VLOOKUP(CT$1,main!$A$3:$H$102,8,FALSE),main!$K$26:$M$29,2,FALSE)+VLOOKUP(VLOOKUP(CT$1,main!$A$3:$H$102,7,FALSE),main!$K$19:$O$22,MATCH(VLOOKUP($A72,main!$A$3:$H$102,8,FALSE),main!$K$18:$O$18,0))))),1,0)</f>
        <v>0</v>
      </c>
      <c r="CU72">
        <f>IF((AND(VLOOKUP(CU$1,main!$A$3:$H$102,5,FALSE)-VLOOKUP($A72,main!$A$3:$H$102,6,FALSE)&gt;=(VLOOKUP(VLOOKUP(CU$1,main!$A$3:$H$102,8,FALSE),main!$K$26:$M$29,2,FALSE)+VLOOKUP(VLOOKUP(CU$1,main!$A$3:$H$102,7,FALSE),main!$K$19:$O$22,MATCH(VLOOKUP($A72,main!$A$3:$H$102,8,FALSE),main!$K$18:$O$18,0))))),1,0)</f>
        <v>0</v>
      </c>
      <c r="CV72">
        <f>IF((AND(VLOOKUP(CV$1,main!$A$3:$H$102,5,FALSE)-VLOOKUP($A72,main!$A$3:$H$102,6,FALSE)&gt;=(VLOOKUP(VLOOKUP(CV$1,main!$A$3:$H$102,8,FALSE),main!$K$26:$M$29,2,FALSE)+VLOOKUP(VLOOKUP(CV$1,main!$A$3:$H$102,7,FALSE),main!$K$19:$O$22,MATCH(VLOOKUP($A72,main!$A$3:$H$102,8,FALSE),main!$K$18:$O$18,0))))),1,0)</f>
        <v>0</v>
      </c>
      <c r="CW72">
        <f>IF((AND(VLOOKUP(CW$1,main!$A$3:$H$102,5,FALSE)-VLOOKUP($A72,main!$A$3:$H$102,6,FALSE)&gt;=(VLOOKUP(VLOOKUP(CW$1,main!$A$3:$H$102,8,FALSE),main!$K$26:$M$29,2,FALSE)+VLOOKUP(VLOOKUP(CW$1,main!$A$3:$H$102,7,FALSE),main!$K$19:$O$22,MATCH(VLOOKUP($A72,main!$A$3:$H$102,8,FALSE),main!$K$18:$O$18,0))))),1,0)</f>
        <v>0</v>
      </c>
      <c r="CX72">
        <f>IF((AND(VLOOKUP(CX$1,main!$A$3:$H$102,5,FALSE)-VLOOKUP($A72,main!$A$3:$H$102,6,FALSE)&gt;=(VLOOKUP(VLOOKUP(CX$1,main!$A$3:$H$102,8,FALSE),main!$K$26:$M$29,2,FALSE)+VLOOKUP(VLOOKUP(CX$1,main!$A$3:$H$102,7,FALSE),main!$K$19:$O$22,MATCH(VLOOKUP($A72,main!$A$3:$H$102,8,FALSE),main!$K$18:$O$18,0))))),1,0)</f>
        <v>0</v>
      </c>
    </row>
    <row r="73" spans="1:102" x14ac:dyDescent="0.25">
      <c r="A73" s="1">
        <v>71</v>
      </c>
      <c r="B73">
        <v>1</v>
      </c>
      <c r="C73">
        <f>IF((AND(VLOOKUP(C$1,main!$A$3:$H$102,5,FALSE)-VLOOKUP($A73,main!$A$3:$H$102,6,FALSE)&gt;=(VLOOKUP(VLOOKUP(C$1,main!$A$3:$H$102,8,FALSE),main!$K$26:$M$29,2,FALSE)+VLOOKUP(VLOOKUP(C$1,main!$A$3:$H$102,7,FALSE),main!$K$19:$O$22,MATCH(VLOOKUP($A73,main!$A$3:$H$102,8,FALSE),main!$K$18:$O$18,0))))),1,0)</f>
        <v>0</v>
      </c>
      <c r="D73">
        <f>IF((AND(VLOOKUP(D$1,main!$A$3:$H$102,5,FALSE)-VLOOKUP($A73,main!$A$3:$H$102,6,FALSE)&gt;=(VLOOKUP(VLOOKUP(D$1,main!$A$3:$H$102,8,FALSE),main!$K$26:$M$29,2,FALSE)+VLOOKUP(VLOOKUP(D$1,main!$A$3:$H$102,7,FALSE),main!$K$19:$O$22,MATCH(VLOOKUP($A73,main!$A$3:$H$102,8,FALSE),main!$K$18:$O$18,0))))),1,0)</f>
        <v>0</v>
      </c>
      <c r="E73">
        <f>IF((AND(VLOOKUP(E$1,main!$A$3:$H$102,5,FALSE)-VLOOKUP($A73,main!$A$3:$H$102,6,FALSE)&gt;=(VLOOKUP(VLOOKUP(E$1,main!$A$3:$H$102,8,FALSE),main!$K$26:$M$29,2,FALSE)+VLOOKUP(VLOOKUP(E$1,main!$A$3:$H$102,7,FALSE),main!$K$19:$O$22,MATCH(VLOOKUP($A73,main!$A$3:$H$102,8,FALSE),main!$K$18:$O$18,0))))),1,0)</f>
        <v>1</v>
      </c>
      <c r="F73">
        <f>IF((AND(VLOOKUP(F$1,main!$A$3:$H$102,5,FALSE)-VLOOKUP($A73,main!$A$3:$H$102,6,FALSE)&gt;=(VLOOKUP(VLOOKUP(F$1,main!$A$3:$H$102,8,FALSE),main!$K$26:$M$29,2,FALSE)+VLOOKUP(VLOOKUP(F$1,main!$A$3:$H$102,7,FALSE),main!$K$19:$O$22,MATCH(VLOOKUP($A73,main!$A$3:$H$102,8,FALSE),main!$K$18:$O$18,0))))),1,0)</f>
        <v>1</v>
      </c>
      <c r="G73">
        <f>IF((AND(VLOOKUP(G$1,main!$A$3:$H$102,5,FALSE)-VLOOKUP($A73,main!$A$3:$H$102,6,FALSE)&gt;=(VLOOKUP(VLOOKUP(G$1,main!$A$3:$H$102,8,FALSE),main!$K$26:$M$29,2,FALSE)+VLOOKUP(VLOOKUP(G$1,main!$A$3:$H$102,7,FALSE),main!$K$19:$O$22,MATCH(VLOOKUP($A73,main!$A$3:$H$102,8,FALSE),main!$K$18:$O$18,0))))),1,0)</f>
        <v>1</v>
      </c>
      <c r="H73">
        <f>IF((AND(VLOOKUP(H$1,main!$A$3:$H$102,5,FALSE)-VLOOKUP($A73,main!$A$3:$H$102,6,FALSE)&gt;=(VLOOKUP(VLOOKUP(H$1,main!$A$3:$H$102,8,FALSE),main!$K$26:$M$29,2,FALSE)+VLOOKUP(VLOOKUP(H$1,main!$A$3:$H$102,7,FALSE),main!$K$19:$O$22,MATCH(VLOOKUP($A73,main!$A$3:$H$102,8,FALSE),main!$K$18:$O$18,0))))),1,0)</f>
        <v>1</v>
      </c>
      <c r="I73">
        <f>IF((AND(VLOOKUP(I$1,main!$A$3:$H$102,5,FALSE)-VLOOKUP($A73,main!$A$3:$H$102,6,FALSE)&gt;=(VLOOKUP(VLOOKUP(I$1,main!$A$3:$H$102,8,FALSE),main!$K$26:$M$29,2,FALSE)+VLOOKUP(VLOOKUP(I$1,main!$A$3:$H$102,7,FALSE),main!$K$19:$O$22,MATCH(VLOOKUP($A73,main!$A$3:$H$102,8,FALSE),main!$K$18:$O$18,0))))),1,0)</f>
        <v>1</v>
      </c>
      <c r="J73">
        <f>IF((AND(VLOOKUP(J$1,main!$A$3:$H$102,5,FALSE)-VLOOKUP($A73,main!$A$3:$H$102,6,FALSE)&gt;=(VLOOKUP(VLOOKUP(J$1,main!$A$3:$H$102,8,FALSE),main!$K$26:$M$29,2,FALSE)+VLOOKUP(VLOOKUP(J$1,main!$A$3:$H$102,7,FALSE),main!$K$19:$O$22,MATCH(VLOOKUP($A73,main!$A$3:$H$102,8,FALSE),main!$K$18:$O$18,0))))),1,0)</f>
        <v>1</v>
      </c>
      <c r="K73">
        <f>IF((AND(VLOOKUP(K$1,main!$A$3:$H$102,5,FALSE)-VLOOKUP($A73,main!$A$3:$H$102,6,FALSE)&gt;=(VLOOKUP(VLOOKUP(K$1,main!$A$3:$H$102,8,FALSE),main!$K$26:$M$29,2,FALSE)+VLOOKUP(VLOOKUP(K$1,main!$A$3:$H$102,7,FALSE),main!$K$19:$O$22,MATCH(VLOOKUP($A73,main!$A$3:$H$102,8,FALSE),main!$K$18:$O$18,0))))),1,0)</f>
        <v>1</v>
      </c>
      <c r="L73">
        <f>IF((AND(VLOOKUP(L$1,main!$A$3:$H$102,5,FALSE)-VLOOKUP($A73,main!$A$3:$H$102,6,FALSE)&gt;=(VLOOKUP(VLOOKUP(L$1,main!$A$3:$H$102,8,FALSE),main!$K$26:$M$29,2,FALSE)+VLOOKUP(VLOOKUP(L$1,main!$A$3:$H$102,7,FALSE),main!$K$19:$O$22,MATCH(VLOOKUP($A73,main!$A$3:$H$102,8,FALSE),main!$K$18:$O$18,0))))),1,0)</f>
        <v>1</v>
      </c>
      <c r="M73">
        <f>IF((AND(VLOOKUP(M$1,main!$A$3:$H$102,5,FALSE)-VLOOKUP($A73,main!$A$3:$H$102,6,FALSE)&gt;=(VLOOKUP(VLOOKUP(M$1,main!$A$3:$H$102,8,FALSE),main!$K$26:$M$29,2,FALSE)+VLOOKUP(VLOOKUP(M$1,main!$A$3:$H$102,7,FALSE),main!$K$19:$O$22,MATCH(VLOOKUP($A73,main!$A$3:$H$102,8,FALSE),main!$K$18:$O$18,0))))),1,0)</f>
        <v>0</v>
      </c>
      <c r="N73">
        <f>IF((AND(VLOOKUP(N$1,main!$A$3:$H$102,5,FALSE)-VLOOKUP($A73,main!$A$3:$H$102,6,FALSE)&gt;=(VLOOKUP(VLOOKUP(N$1,main!$A$3:$H$102,8,FALSE),main!$K$26:$M$29,2,FALSE)+VLOOKUP(VLOOKUP(N$1,main!$A$3:$H$102,7,FALSE),main!$K$19:$O$22,MATCH(VLOOKUP($A73,main!$A$3:$H$102,8,FALSE),main!$K$18:$O$18,0))))),1,0)</f>
        <v>0</v>
      </c>
      <c r="O73">
        <f>IF((AND(VLOOKUP(O$1,main!$A$3:$H$102,5,FALSE)-VLOOKUP($A73,main!$A$3:$H$102,6,FALSE)&gt;=(VLOOKUP(VLOOKUP(O$1,main!$A$3:$H$102,8,FALSE),main!$K$26:$M$29,2,FALSE)+VLOOKUP(VLOOKUP(O$1,main!$A$3:$H$102,7,FALSE),main!$K$19:$O$22,MATCH(VLOOKUP($A73,main!$A$3:$H$102,8,FALSE),main!$K$18:$O$18,0))))),1,0)</f>
        <v>0</v>
      </c>
      <c r="P73">
        <f>IF((AND(VLOOKUP(P$1,main!$A$3:$H$102,5,FALSE)-VLOOKUP($A73,main!$A$3:$H$102,6,FALSE)&gt;=(VLOOKUP(VLOOKUP(P$1,main!$A$3:$H$102,8,FALSE),main!$K$26:$M$29,2,FALSE)+VLOOKUP(VLOOKUP(P$1,main!$A$3:$H$102,7,FALSE),main!$K$19:$O$22,MATCH(VLOOKUP($A73,main!$A$3:$H$102,8,FALSE),main!$K$18:$O$18,0))))),1,0)</f>
        <v>1</v>
      </c>
      <c r="Q73">
        <f>IF((AND(VLOOKUP(Q$1,main!$A$3:$H$102,5,FALSE)-VLOOKUP($A73,main!$A$3:$H$102,6,FALSE)&gt;=(VLOOKUP(VLOOKUP(Q$1,main!$A$3:$H$102,8,FALSE),main!$K$26:$M$29,2,FALSE)+VLOOKUP(VLOOKUP(Q$1,main!$A$3:$H$102,7,FALSE),main!$K$19:$O$22,MATCH(VLOOKUP($A73,main!$A$3:$H$102,8,FALSE),main!$K$18:$O$18,0))))),1,0)</f>
        <v>1</v>
      </c>
      <c r="R73">
        <f>IF((AND(VLOOKUP(R$1,main!$A$3:$H$102,5,FALSE)-VLOOKUP($A73,main!$A$3:$H$102,6,FALSE)&gt;=(VLOOKUP(VLOOKUP(R$1,main!$A$3:$H$102,8,FALSE),main!$K$26:$M$29,2,FALSE)+VLOOKUP(VLOOKUP(R$1,main!$A$3:$H$102,7,FALSE),main!$K$19:$O$22,MATCH(VLOOKUP($A73,main!$A$3:$H$102,8,FALSE),main!$K$18:$O$18,0))))),1,0)</f>
        <v>1</v>
      </c>
      <c r="S73">
        <f>IF((AND(VLOOKUP(S$1,main!$A$3:$H$102,5,FALSE)-VLOOKUP($A73,main!$A$3:$H$102,6,FALSE)&gt;=(VLOOKUP(VLOOKUP(S$1,main!$A$3:$H$102,8,FALSE),main!$K$26:$M$29,2,FALSE)+VLOOKUP(VLOOKUP(S$1,main!$A$3:$H$102,7,FALSE),main!$K$19:$O$22,MATCH(VLOOKUP($A73,main!$A$3:$H$102,8,FALSE),main!$K$18:$O$18,0))))),1,0)</f>
        <v>1</v>
      </c>
      <c r="T73">
        <f>IF((AND(VLOOKUP(T$1,main!$A$3:$H$102,5,FALSE)-VLOOKUP($A73,main!$A$3:$H$102,6,FALSE)&gt;=(VLOOKUP(VLOOKUP(T$1,main!$A$3:$H$102,8,FALSE),main!$K$26:$M$29,2,FALSE)+VLOOKUP(VLOOKUP(T$1,main!$A$3:$H$102,7,FALSE),main!$K$19:$O$22,MATCH(VLOOKUP($A73,main!$A$3:$H$102,8,FALSE),main!$K$18:$O$18,0))))),1,0)</f>
        <v>1</v>
      </c>
      <c r="U73">
        <f>IF((AND(VLOOKUP(U$1,main!$A$3:$H$102,5,FALSE)-VLOOKUP($A73,main!$A$3:$H$102,6,FALSE)&gt;=(VLOOKUP(VLOOKUP(U$1,main!$A$3:$H$102,8,FALSE),main!$K$26:$M$29,2,FALSE)+VLOOKUP(VLOOKUP(U$1,main!$A$3:$H$102,7,FALSE),main!$K$19:$O$22,MATCH(VLOOKUP($A73,main!$A$3:$H$102,8,FALSE),main!$K$18:$O$18,0))))),1,0)</f>
        <v>1</v>
      </c>
      <c r="V73">
        <f>IF((AND(VLOOKUP(V$1,main!$A$3:$H$102,5,FALSE)-VLOOKUP($A73,main!$A$3:$H$102,6,FALSE)&gt;=(VLOOKUP(VLOOKUP(V$1,main!$A$3:$H$102,8,FALSE),main!$K$26:$M$29,2,FALSE)+VLOOKUP(VLOOKUP(V$1,main!$A$3:$H$102,7,FALSE),main!$K$19:$O$22,MATCH(VLOOKUP($A73,main!$A$3:$H$102,8,FALSE),main!$K$18:$O$18,0))))),1,0)</f>
        <v>1</v>
      </c>
      <c r="W73">
        <f>IF((AND(VLOOKUP(W$1,main!$A$3:$H$102,5,FALSE)-VLOOKUP($A73,main!$A$3:$H$102,6,FALSE)&gt;=(VLOOKUP(VLOOKUP(W$1,main!$A$3:$H$102,8,FALSE),main!$K$26:$M$29,2,FALSE)+VLOOKUP(VLOOKUP(W$1,main!$A$3:$H$102,7,FALSE),main!$K$19:$O$22,MATCH(VLOOKUP($A73,main!$A$3:$H$102,8,FALSE),main!$K$18:$O$18,0))))),1,0)</f>
        <v>0</v>
      </c>
      <c r="X73">
        <f>IF((AND(VLOOKUP(X$1,main!$A$3:$H$102,5,FALSE)-VLOOKUP($A73,main!$A$3:$H$102,6,FALSE)&gt;=(VLOOKUP(VLOOKUP(X$1,main!$A$3:$H$102,8,FALSE),main!$K$26:$M$29,2,FALSE)+VLOOKUP(VLOOKUP(X$1,main!$A$3:$H$102,7,FALSE),main!$K$19:$O$22,MATCH(VLOOKUP($A73,main!$A$3:$H$102,8,FALSE),main!$K$18:$O$18,0))))),1,0)</f>
        <v>0</v>
      </c>
      <c r="Y73">
        <f>IF((AND(VLOOKUP(Y$1,main!$A$3:$H$102,5,FALSE)-VLOOKUP($A73,main!$A$3:$H$102,6,FALSE)&gt;=(VLOOKUP(VLOOKUP(Y$1,main!$A$3:$H$102,8,FALSE),main!$K$26:$M$29,2,FALSE)+VLOOKUP(VLOOKUP(Y$1,main!$A$3:$H$102,7,FALSE),main!$K$19:$O$22,MATCH(VLOOKUP($A73,main!$A$3:$H$102,8,FALSE),main!$K$18:$O$18,0))))),1,0)</f>
        <v>1</v>
      </c>
      <c r="Z73">
        <f>IF((AND(VLOOKUP(Z$1,main!$A$3:$H$102,5,FALSE)-VLOOKUP($A73,main!$A$3:$H$102,6,FALSE)&gt;=(VLOOKUP(VLOOKUP(Z$1,main!$A$3:$H$102,8,FALSE),main!$K$26:$M$29,2,FALSE)+VLOOKUP(VLOOKUP(Z$1,main!$A$3:$H$102,7,FALSE),main!$K$19:$O$22,MATCH(VLOOKUP($A73,main!$A$3:$H$102,8,FALSE),main!$K$18:$O$18,0))))),1,0)</f>
        <v>1</v>
      </c>
      <c r="AA73">
        <f>IF((AND(VLOOKUP(AA$1,main!$A$3:$H$102,5,FALSE)-VLOOKUP($A73,main!$A$3:$H$102,6,FALSE)&gt;=(VLOOKUP(VLOOKUP(AA$1,main!$A$3:$H$102,8,FALSE),main!$K$26:$M$29,2,FALSE)+VLOOKUP(VLOOKUP(AA$1,main!$A$3:$H$102,7,FALSE),main!$K$19:$O$22,MATCH(VLOOKUP($A73,main!$A$3:$H$102,8,FALSE),main!$K$18:$O$18,0))))),1,0)</f>
        <v>1</v>
      </c>
      <c r="AB73">
        <f>IF((AND(VLOOKUP(AB$1,main!$A$3:$H$102,5,FALSE)-VLOOKUP($A73,main!$A$3:$H$102,6,FALSE)&gt;=(VLOOKUP(VLOOKUP(AB$1,main!$A$3:$H$102,8,FALSE),main!$K$26:$M$29,2,FALSE)+VLOOKUP(VLOOKUP(AB$1,main!$A$3:$H$102,7,FALSE),main!$K$19:$O$22,MATCH(VLOOKUP($A73,main!$A$3:$H$102,8,FALSE),main!$K$18:$O$18,0))))),1,0)</f>
        <v>0</v>
      </c>
      <c r="AC73">
        <f>IF((AND(VLOOKUP(AC$1,main!$A$3:$H$102,5,FALSE)-VLOOKUP($A73,main!$A$3:$H$102,6,FALSE)&gt;=(VLOOKUP(VLOOKUP(AC$1,main!$A$3:$H$102,8,FALSE),main!$K$26:$M$29,2,FALSE)+VLOOKUP(VLOOKUP(AC$1,main!$A$3:$H$102,7,FALSE),main!$K$19:$O$22,MATCH(VLOOKUP($A73,main!$A$3:$H$102,8,FALSE),main!$K$18:$O$18,0))))),1,0)</f>
        <v>0</v>
      </c>
      <c r="AD73">
        <f>IF((AND(VLOOKUP(AD$1,main!$A$3:$H$102,5,FALSE)-VLOOKUP($A73,main!$A$3:$H$102,6,FALSE)&gt;=(VLOOKUP(VLOOKUP(AD$1,main!$A$3:$H$102,8,FALSE),main!$K$26:$M$29,2,FALSE)+VLOOKUP(VLOOKUP(AD$1,main!$A$3:$H$102,7,FALSE),main!$K$19:$O$22,MATCH(VLOOKUP($A73,main!$A$3:$H$102,8,FALSE),main!$K$18:$O$18,0))))),1,0)</f>
        <v>1</v>
      </c>
      <c r="AE73">
        <f>IF((AND(VLOOKUP(AE$1,main!$A$3:$H$102,5,FALSE)-VLOOKUP($A73,main!$A$3:$H$102,6,FALSE)&gt;=(VLOOKUP(VLOOKUP(AE$1,main!$A$3:$H$102,8,FALSE),main!$K$26:$M$29,2,FALSE)+VLOOKUP(VLOOKUP(AE$1,main!$A$3:$H$102,7,FALSE),main!$K$19:$O$22,MATCH(VLOOKUP($A73,main!$A$3:$H$102,8,FALSE),main!$K$18:$O$18,0))))),1,0)</f>
        <v>1</v>
      </c>
      <c r="AF73">
        <f>IF((AND(VLOOKUP(AF$1,main!$A$3:$H$102,5,FALSE)-VLOOKUP($A73,main!$A$3:$H$102,6,FALSE)&gt;=(VLOOKUP(VLOOKUP(AF$1,main!$A$3:$H$102,8,FALSE),main!$K$26:$M$29,2,FALSE)+VLOOKUP(VLOOKUP(AF$1,main!$A$3:$H$102,7,FALSE),main!$K$19:$O$22,MATCH(VLOOKUP($A73,main!$A$3:$H$102,8,FALSE),main!$K$18:$O$18,0))))),1,0)</f>
        <v>1</v>
      </c>
      <c r="AG73">
        <f>IF((AND(VLOOKUP(AG$1,main!$A$3:$H$102,5,FALSE)-VLOOKUP($A73,main!$A$3:$H$102,6,FALSE)&gt;=(VLOOKUP(VLOOKUP(AG$1,main!$A$3:$H$102,8,FALSE),main!$K$26:$M$29,2,FALSE)+VLOOKUP(VLOOKUP(AG$1,main!$A$3:$H$102,7,FALSE),main!$K$19:$O$22,MATCH(VLOOKUP($A73,main!$A$3:$H$102,8,FALSE),main!$K$18:$O$18,0))))),1,0)</f>
        <v>0</v>
      </c>
      <c r="AH73">
        <f>IF((AND(VLOOKUP(AH$1,main!$A$3:$H$102,5,FALSE)-VLOOKUP($A73,main!$A$3:$H$102,6,FALSE)&gt;=(VLOOKUP(VLOOKUP(AH$1,main!$A$3:$H$102,8,FALSE),main!$K$26:$M$29,2,FALSE)+VLOOKUP(VLOOKUP(AH$1,main!$A$3:$H$102,7,FALSE),main!$K$19:$O$22,MATCH(VLOOKUP($A73,main!$A$3:$H$102,8,FALSE),main!$K$18:$O$18,0))))),1,0)</f>
        <v>0</v>
      </c>
      <c r="AI73">
        <f>IF((AND(VLOOKUP(AI$1,main!$A$3:$H$102,5,FALSE)-VLOOKUP($A73,main!$A$3:$H$102,6,FALSE)&gt;=(VLOOKUP(VLOOKUP(AI$1,main!$A$3:$H$102,8,FALSE),main!$K$26:$M$29,2,FALSE)+VLOOKUP(VLOOKUP(AI$1,main!$A$3:$H$102,7,FALSE),main!$K$19:$O$22,MATCH(VLOOKUP($A73,main!$A$3:$H$102,8,FALSE),main!$K$18:$O$18,0))))),1,0)</f>
        <v>1</v>
      </c>
      <c r="AJ73">
        <f>IF((AND(VLOOKUP(AJ$1,main!$A$3:$H$102,5,FALSE)-VLOOKUP($A73,main!$A$3:$H$102,6,FALSE)&gt;=(VLOOKUP(VLOOKUP(AJ$1,main!$A$3:$H$102,8,FALSE),main!$K$26:$M$29,2,FALSE)+VLOOKUP(VLOOKUP(AJ$1,main!$A$3:$H$102,7,FALSE),main!$K$19:$O$22,MATCH(VLOOKUP($A73,main!$A$3:$H$102,8,FALSE),main!$K$18:$O$18,0))))),1,0)</f>
        <v>1</v>
      </c>
      <c r="AK73">
        <f>IF((AND(VLOOKUP(AK$1,main!$A$3:$H$102,5,FALSE)-VLOOKUP($A73,main!$A$3:$H$102,6,FALSE)&gt;=(VLOOKUP(VLOOKUP(AK$1,main!$A$3:$H$102,8,FALSE),main!$K$26:$M$29,2,FALSE)+VLOOKUP(VLOOKUP(AK$1,main!$A$3:$H$102,7,FALSE),main!$K$19:$O$22,MATCH(VLOOKUP($A73,main!$A$3:$H$102,8,FALSE),main!$K$18:$O$18,0))))),1,0)</f>
        <v>1</v>
      </c>
      <c r="AL73">
        <f>IF((AND(VLOOKUP(AL$1,main!$A$3:$H$102,5,FALSE)-VLOOKUP($A73,main!$A$3:$H$102,6,FALSE)&gt;=(VLOOKUP(VLOOKUP(AL$1,main!$A$3:$H$102,8,FALSE),main!$K$26:$M$29,2,FALSE)+VLOOKUP(VLOOKUP(AL$1,main!$A$3:$H$102,7,FALSE),main!$K$19:$O$22,MATCH(VLOOKUP($A73,main!$A$3:$H$102,8,FALSE),main!$K$18:$O$18,0))))),1,0)</f>
        <v>1</v>
      </c>
      <c r="AM73">
        <f>IF((AND(VLOOKUP(AM$1,main!$A$3:$H$102,5,FALSE)-VLOOKUP($A73,main!$A$3:$H$102,6,FALSE)&gt;=(VLOOKUP(VLOOKUP(AM$1,main!$A$3:$H$102,8,FALSE),main!$K$26:$M$29,2,FALSE)+VLOOKUP(VLOOKUP(AM$1,main!$A$3:$H$102,7,FALSE),main!$K$19:$O$22,MATCH(VLOOKUP($A73,main!$A$3:$H$102,8,FALSE),main!$K$18:$O$18,0))))),1,0)</f>
        <v>1</v>
      </c>
      <c r="AN73">
        <f>IF((AND(VLOOKUP(AN$1,main!$A$3:$H$102,5,FALSE)-VLOOKUP($A73,main!$A$3:$H$102,6,FALSE)&gt;=(VLOOKUP(VLOOKUP(AN$1,main!$A$3:$H$102,8,FALSE),main!$K$26:$M$29,2,FALSE)+VLOOKUP(VLOOKUP(AN$1,main!$A$3:$H$102,7,FALSE),main!$K$19:$O$22,MATCH(VLOOKUP($A73,main!$A$3:$H$102,8,FALSE),main!$K$18:$O$18,0))))),1,0)</f>
        <v>1</v>
      </c>
      <c r="AO73">
        <f>IF((AND(VLOOKUP(AO$1,main!$A$3:$H$102,5,FALSE)-VLOOKUP($A73,main!$A$3:$H$102,6,FALSE)&gt;=(VLOOKUP(VLOOKUP(AO$1,main!$A$3:$H$102,8,FALSE),main!$K$26:$M$29,2,FALSE)+VLOOKUP(VLOOKUP(AO$1,main!$A$3:$H$102,7,FALSE),main!$K$19:$O$22,MATCH(VLOOKUP($A73,main!$A$3:$H$102,8,FALSE),main!$K$18:$O$18,0))))),1,0)</f>
        <v>0</v>
      </c>
      <c r="AP73">
        <f>IF((AND(VLOOKUP(AP$1,main!$A$3:$H$102,5,FALSE)-VLOOKUP($A73,main!$A$3:$H$102,6,FALSE)&gt;=(VLOOKUP(VLOOKUP(AP$1,main!$A$3:$H$102,8,FALSE),main!$K$26:$M$29,2,FALSE)+VLOOKUP(VLOOKUP(AP$1,main!$A$3:$H$102,7,FALSE),main!$K$19:$O$22,MATCH(VLOOKUP($A73,main!$A$3:$H$102,8,FALSE),main!$K$18:$O$18,0))))),1,0)</f>
        <v>1</v>
      </c>
      <c r="AQ73">
        <f>IF((AND(VLOOKUP(AQ$1,main!$A$3:$H$102,5,FALSE)-VLOOKUP($A73,main!$A$3:$H$102,6,FALSE)&gt;=(VLOOKUP(VLOOKUP(AQ$1,main!$A$3:$H$102,8,FALSE),main!$K$26:$M$29,2,FALSE)+VLOOKUP(VLOOKUP(AQ$1,main!$A$3:$H$102,7,FALSE),main!$K$19:$O$22,MATCH(VLOOKUP($A73,main!$A$3:$H$102,8,FALSE),main!$K$18:$O$18,0))))),1,0)</f>
        <v>0</v>
      </c>
      <c r="AR73">
        <f>IF((AND(VLOOKUP(AR$1,main!$A$3:$H$102,5,FALSE)-VLOOKUP($A73,main!$A$3:$H$102,6,FALSE)&gt;=(VLOOKUP(VLOOKUP(AR$1,main!$A$3:$H$102,8,FALSE),main!$K$26:$M$29,2,FALSE)+VLOOKUP(VLOOKUP(AR$1,main!$A$3:$H$102,7,FALSE),main!$K$19:$O$22,MATCH(VLOOKUP($A73,main!$A$3:$H$102,8,FALSE),main!$K$18:$O$18,0))))),1,0)</f>
        <v>0</v>
      </c>
      <c r="AS73">
        <f>IF((AND(VLOOKUP(AS$1,main!$A$3:$H$102,5,FALSE)-VLOOKUP($A73,main!$A$3:$H$102,6,FALSE)&gt;=(VLOOKUP(VLOOKUP(AS$1,main!$A$3:$H$102,8,FALSE),main!$K$26:$M$29,2,FALSE)+VLOOKUP(VLOOKUP(AS$1,main!$A$3:$H$102,7,FALSE),main!$K$19:$O$22,MATCH(VLOOKUP($A73,main!$A$3:$H$102,8,FALSE),main!$K$18:$O$18,0))))),1,0)</f>
        <v>1</v>
      </c>
      <c r="AT73">
        <f>IF((AND(VLOOKUP(AT$1,main!$A$3:$H$102,5,FALSE)-VLOOKUP($A73,main!$A$3:$H$102,6,FALSE)&gt;=(VLOOKUP(VLOOKUP(AT$1,main!$A$3:$H$102,8,FALSE),main!$K$26:$M$29,2,FALSE)+VLOOKUP(VLOOKUP(AT$1,main!$A$3:$H$102,7,FALSE),main!$K$19:$O$22,MATCH(VLOOKUP($A73,main!$A$3:$H$102,8,FALSE),main!$K$18:$O$18,0))))),1,0)</f>
        <v>1</v>
      </c>
      <c r="AU73">
        <f>IF((AND(VLOOKUP(AU$1,main!$A$3:$H$102,5,FALSE)-VLOOKUP($A73,main!$A$3:$H$102,6,FALSE)&gt;=(VLOOKUP(VLOOKUP(AU$1,main!$A$3:$H$102,8,FALSE),main!$K$26:$M$29,2,FALSE)+VLOOKUP(VLOOKUP(AU$1,main!$A$3:$H$102,7,FALSE),main!$K$19:$O$22,MATCH(VLOOKUP($A73,main!$A$3:$H$102,8,FALSE),main!$K$18:$O$18,0))))),1,0)</f>
        <v>0</v>
      </c>
      <c r="AV73">
        <f>IF((AND(VLOOKUP(AV$1,main!$A$3:$H$102,5,FALSE)-VLOOKUP($A73,main!$A$3:$H$102,6,FALSE)&gt;=(VLOOKUP(VLOOKUP(AV$1,main!$A$3:$H$102,8,FALSE),main!$K$26:$M$29,2,FALSE)+VLOOKUP(VLOOKUP(AV$1,main!$A$3:$H$102,7,FALSE),main!$K$19:$O$22,MATCH(VLOOKUP($A73,main!$A$3:$H$102,8,FALSE),main!$K$18:$O$18,0))))),1,0)</f>
        <v>0</v>
      </c>
      <c r="AW73">
        <f>IF((AND(VLOOKUP(AW$1,main!$A$3:$H$102,5,FALSE)-VLOOKUP($A73,main!$A$3:$H$102,6,FALSE)&gt;=(VLOOKUP(VLOOKUP(AW$1,main!$A$3:$H$102,8,FALSE),main!$K$26:$M$29,2,FALSE)+VLOOKUP(VLOOKUP(AW$1,main!$A$3:$H$102,7,FALSE),main!$K$19:$O$22,MATCH(VLOOKUP($A73,main!$A$3:$H$102,8,FALSE),main!$K$18:$O$18,0))))),1,0)</f>
        <v>1</v>
      </c>
      <c r="AX73">
        <f>IF((AND(VLOOKUP(AX$1,main!$A$3:$H$102,5,FALSE)-VLOOKUP($A73,main!$A$3:$H$102,6,FALSE)&gt;=(VLOOKUP(VLOOKUP(AX$1,main!$A$3:$H$102,8,FALSE),main!$K$26:$M$29,2,FALSE)+VLOOKUP(VLOOKUP(AX$1,main!$A$3:$H$102,7,FALSE),main!$K$19:$O$22,MATCH(VLOOKUP($A73,main!$A$3:$H$102,8,FALSE),main!$K$18:$O$18,0))))),1,0)</f>
        <v>1</v>
      </c>
      <c r="AY73">
        <f>IF((AND(VLOOKUP(AY$1,main!$A$3:$H$102,5,FALSE)-VLOOKUP($A73,main!$A$3:$H$102,6,FALSE)&gt;=(VLOOKUP(VLOOKUP(AY$1,main!$A$3:$H$102,8,FALSE),main!$K$26:$M$29,2,FALSE)+VLOOKUP(VLOOKUP(AY$1,main!$A$3:$H$102,7,FALSE),main!$K$19:$O$22,MATCH(VLOOKUP($A73,main!$A$3:$H$102,8,FALSE),main!$K$18:$O$18,0))))),1,0)</f>
        <v>0</v>
      </c>
      <c r="AZ73">
        <f>IF((AND(VLOOKUP(AZ$1,main!$A$3:$H$102,5,FALSE)-VLOOKUP($A73,main!$A$3:$H$102,6,FALSE)&gt;=(VLOOKUP(VLOOKUP(AZ$1,main!$A$3:$H$102,8,FALSE),main!$K$26:$M$29,2,FALSE)+VLOOKUP(VLOOKUP(AZ$1,main!$A$3:$H$102,7,FALSE),main!$K$19:$O$22,MATCH(VLOOKUP($A73,main!$A$3:$H$102,8,FALSE),main!$K$18:$O$18,0))))),1,0)</f>
        <v>1</v>
      </c>
      <c r="BA73">
        <f>IF((AND(VLOOKUP(BA$1,main!$A$3:$H$102,5,FALSE)-VLOOKUP($A73,main!$A$3:$H$102,6,FALSE)&gt;=(VLOOKUP(VLOOKUP(BA$1,main!$A$3:$H$102,8,FALSE),main!$K$26:$M$29,2,FALSE)+VLOOKUP(VLOOKUP(BA$1,main!$A$3:$H$102,7,FALSE),main!$K$19:$O$22,MATCH(VLOOKUP($A73,main!$A$3:$H$102,8,FALSE),main!$K$18:$O$18,0))))),1,0)</f>
        <v>0</v>
      </c>
      <c r="BB73">
        <f>IF((AND(VLOOKUP(BB$1,main!$A$3:$H$102,5,FALSE)-VLOOKUP($A73,main!$A$3:$H$102,6,FALSE)&gt;=(VLOOKUP(VLOOKUP(BB$1,main!$A$3:$H$102,8,FALSE),main!$K$26:$M$29,2,FALSE)+VLOOKUP(VLOOKUP(BB$1,main!$A$3:$H$102,7,FALSE),main!$K$19:$O$22,MATCH(VLOOKUP($A73,main!$A$3:$H$102,8,FALSE),main!$K$18:$O$18,0))))),1,0)</f>
        <v>1</v>
      </c>
      <c r="BC73">
        <f>IF((AND(VLOOKUP(BC$1,main!$A$3:$H$102,5,FALSE)-VLOOKUP($A73,main!$A$3:$H$102,6,FALSE)&gt;=(VLOOKUP(VLOOKUP(BC$1,main!$A$3:$H$102,8,FALSE),main!$K$26:$M$29,2,FALSE)+VLOOKUP(VLOOKUP(BC$1,main!$A$3:$H$102,7,FALSE),main!$K$19:$O$22,MATCH(VLOOKUP($A73,main!$A$3:$H$102,8,FALSE),main!$K$18:$O$18,0))))),1,0)</f>
        <v>1</v>
      </c>
      <c r="BD73">
        <f>IF((AND(VLOOKUP(BD$1,main!$A$3:$H$102,5,FALSE)-VLOOKUP($A73,main!$A$3:$H$102,6,FALSE)&gt;=(VLOOKUP(VLOOKUP(BD$1,main!$A$3:$H$102,8,FALSE),main!$K$26:$M$29,2,FALSE)+VLOOKUP(VLOOKUP(BD$1,main!$A$3:$H$102,7,FALSE),main!$K$19:$O$22,MATCH(VLOOKUP($A73,main!$A$3:$H$102,8,FALSE),main!$K$18:$O$18,0))))),1,0)</f>
        <v>1</v>
      </c>
      <c r="BE73">
        <f>IF((AND(VLOOKUP(BE$1,main!$A$3:$H$102,5,FALSE)-VLOOKUP($A73,main!$A$3:$H$102,6,FALSE)&gt;=(VLOOKUP(VLOOKUP(BE$1,main!$A$3:$H$102,8,FALSE),main!$K$26:$M$29,2,FALSE)+VLOOKUP(VLOOKUP(BE$1,main!$A$3:$H$102,7,FALSE),main!$K$19:$O$22,MATCH(VLOOKUP($A73,main!$A$3:$H$102,8,FALSE),main!$K$18:$O$18,0))))),1,0)</f>
        <v>1</v>
      </c>
      <c r="BF73">
        <f>IF((AND(VLOOKUP(BF$1,main!$A$3:$H$102,5,FALSE)-VLOOKUP($A73,main!$A$3:$H$102,6,FALSE)&gt;=(VLOOKUP(VLOOKUP(BF$1,main!$A$3:$H$102,8,FALSE),main!$K$26:$M$29,2,FALSE)+VLOOKUP(VLOOKUP(BF$1,main!$A$3:$H$102,7,FALSE),main!$K$19:$O$22,MATCH(VLOOKUP($A73,main!$A$3:$H$102,8,FALSE),main!$K$18:$O$18,0))))),1,0)</f>
        <v>0</v>
      </c>
      <c r="BG73">
        <f>IF((AND(VLOOKUP(BG$1,main!$A$3:$H$102,5,FALSE)-VLOOKUP($A73,main!$A$3:$H$102,6,FALSE)&gt;=(VLOOKUP(VLOOKUP(BG$1,main!$A$3:$H$102,8,FALSE),main!$K$26:$M$29,2,FALSE)+VLOOKUP(VLOOKUP(BG$1,main!$A$3:$H$102,7,FALSE),main!$K$19:$O$22,MATCH(VLOOKUP($A73,main!$A$3:$H$102,8,FALSE),main!$K$18:$O$18,0))))),1,0)</f>
        <v>0</v>
      </c>
      <c r="BH73">
        <f>IF((AND(VLOOKUP(BH$1,main!$A$3:$H$102,5,FALSE)-VLOOKUP($A73,main!$A$3:$H$102,6,FALSE)&gt;=(VLOOKUP(VLOOKUP(BH$1,main!$A$3:$H$102,8,FALSE),main!$K$26:$M$29,2,FALSE)+VLOOKUP(VLOOKUP(BH$1,main!$A$3:$H$102,7,FALSE),main!$K$19:$O$22,MATCH(VLOOKUP($A73,main!$A$3:$H$102,8,FALSE),main!$K$18:$O$18,0))))),1,0)</f>
        <v>1</v>
      </c>
      <c r="BI73">
        <f>IF((AND(VLOOKUP(BI$1,main!$A$3:$H$102,5,FALSE)-VLOOKUP($A73,main!$A$3:$H$102,6,FALSE)&gt;=(VLOOKUP(VLOOKUP(BI$1,main!$A$3:$H$102,8,FALSE),main!$K$26:$M$29,2,FALSE)+VLOOKUP(VLOOKUP(BI$1,main!$A$3:$H$102,7,FALSE),main!$K$19:$O$22,MATCH(VLOOKUP($A73,main!$A$3:$H$102,8,FALSE),main!$K$18:$O$18,0))))),1,0)</f>
        <v>1</v>
      </c>
      <c r="BJ73">
        <f>IF((AND(VLOOKUP(BJ$1,main!$A$3:$H$102,5,FALSE)-VLOOKUP($A73,main!$A$3:$H$102,6,FALSE)&gt;=(VLOOKUP(VLOOKUP(BJ$1,main!$A$3:$H$102,8,FALSE),main!$K$26:$M$29,2,FALSE)+VLOOKUP(VLOOKUP(BJ$1,main!$A$3:$H$102,7,FALSE),main!$K$19:$O$22,MATCH(VLOOKUP($A73,main!$A$3:$H$102,8,FALSE),main!$K$18:$O$18,0))))),1,0)</f>
        <v>1</v>
      </c>
      <c r="BK73">
        <f>IF((AND(VLOOKUP(BK$1,main!$A$3:$H$102,5,FALSE)-VLOOKUP($A73,main!$A$3:$H$102,6,FALSE)&gt;=(VLOOKUP(VLOOKUP(BK$1,main!$A$3:$H$102,8,FALSE),main!$K$26:$M$29,2,FALSE)+VLOOKUP(VLOOKUP(BK$1,main!$A$3:$H$102,7,FALSE),main!$K$19:$O$22,MATCH(VLOOKUP($A73,main!$A$3:$H$102,8,FALSE),main!$K$18:$O$18,0))))),1,0)</f>
        <v>0</v>
      </c>
      <c r="BL73">
        <f>IF((AND(VLOOKUP(BL$1,main!$A$3:$H$102,5,FALSE)-VLOOKUP($A73,main!$A$3:$H$102,6,FALSE)&gt;=(VLOOKUP(VLOOKUP(BL$1,main!$A$3:$H$102,8,FALSE),main!$K$26:$M$29,2,FALSE)+VLOOKUP(VLOOKUP(BL$1,main!$A$3:$H$102,7,FALSE),main!$K$19:$O$22,MATCH(VLOOKUP($A73,main!$A$3:$H$102,8,FALSE),main!$K$18:$O$18,0))))),1,0)</f>
        <v>0</v>
      </c>
      <c r="BM73">
        <f>IF((AND(VLOOKUP(BM$1,main!$A$3:$H$102,5,FALSE)-VLOOKUP($A73,main!$A$3:$H$102,6,FALSE)&gt;=(VLOOKUP(VLOOKUP(BM$1,main!$A$3:$H$102,8,FALSE),main!$K$26:$M$29,2,FALSE)+VLOOKUP(VLOOKUP(BM$1,main!$A$3:$H$102,7,FALSE),main!$K$19:$O$22,MATCH(VLOOKUP($A73,main!$A$3:$H$102,8,FALSE),main!$K$18:$O$18,0))))),1,0)</f>
        <v>1</v>
      </c>
      <c r="BN73">
        <f>IF((AND(VLOOKUP(BN$1,main!$A$3:$H$102,5,FALSE)-VLOOKUP($A73,main!$A$3:$H$102,6,FALSE)&gt;=(VLOOKUP(VLOOKUP(BN$1,main!$A$3:$H$102,8,FALSE),main!$K$26:$M$29,2,FALSE)+VLOOKUP(VLOOKUP(BN$1,main!$A$3:$H$102,7,FALSE),main!$K$19:$O$22,MATCH(VLOOKUP($A73,main!$A$3:$H$102,8,FALSE),main!$K$18:$O$18,0))))),1,0)</f>
        <v>1</v>
      </c>
      <c r="BO73">
        <f>IF((AND(VLOOKUP(BO$1,main!$A$3:$H$102,5,FALSE)-VLOOKUP($A73,main!$A$3:$H$102,6,FALSE)&gt;=(VLOOKUP(VLOOKUP(BO$1,main!$A$3:$H$102,8,FALSE),main!$K$26:$M$29,2,FALSE)+VLOOKUP(VLOOKUP(BO$1,main!$A$3:$H$102,7,FALSE),main!$K$19:$O$22,MATCH(VLOOKUP($A73,main!$A$3:$H$102,8,FALSE),main!$K$18:$O$18,0))))),1,0)</f>
        <v>0</v>
      </c>
      <c r="BP73">
        <f>IF((AND(VLOOKUP(BP$1,main!$A$3:$H$102,5,FALSE)-VLOOKUP($A73,main!$A$3:$H$102,6,FALSE)&gt;=(VLOOKUP(VLOOKUP(BP$1,main!$A$3:$H$102,8,FALSE),main!$K$26:$M$29,2,FALSE)+VLOOKUP(VLOOKUP(BP$1,main!$A$3:$H$102,7,FALSE),main!$K$19:$O$22,MATCH(VLOOKUP($A73,main!$A$3:$H$102,8,FALSE),main!$K$18:$O$18,0))))),1,0)</f>
        <v>0</v>
      </c>
      <c r="BQ73">
        <f>IF((AND(VLOOKUP(BQ$1,main!$A$3:$H$102,5,FALSE)-VLOOKUP($A73,main!$A$3:$H$102,6,FALSE)&gt;=(VLOOKUP(VLOOKUP(BQ$1,main!$A$3:$H$102,8,FALSE),main!$K$26:$M$29,2,FALSE)+VLOOKUP(VLOOKUP(BQ$1,main!$A$3:$H$102,7,FALSE),main!$K$19:$O$22,MATCH(VLOOKUP($A73,main!$A$3:$H$102,8,FALSE),main!$K$18:$O$18,0))))),1,0)</f>
        <v>1</v>
      </c>
      <c r="BR73">
        <f>IF((AND(VLOOKUP(BR$1,main!$A$3:$H$102,5,FALSE)-VLOOKUP($A73,main!$A$3:$H$102,6,FALSE)&gt;=(VLOOKUP(VLOOKUP(BR$1,main!$A$3:$H$102,8,FALSE),main!$K$26:$M$29,2,FALSE)+VLOOKUP(VLOOKUP(BR$1,main!$A$3:$H$102,7,FALSE),main!$K$19:$O$22,MATCH(VLOOKUP($A73,main!$A$3:$H$102,8,FALSE),main!$K$18:$O$18,0))))),1,0)</f>
        <v>1</v>
      </c>
      <c r="BS73">
        <f>IF((AND(VLOOKUP(BS$1,main!$A$3:$H$102,5,FALSE)-VLOOKUP($A73,main!$A$3:$H$102,6,FALSE)&gt;=(VLOOKUP(VLOOKUP(BS$1,main!$A$3:$H$102,8,FALSE),main!$K$26:$M$29,2,FALSE)+VLOOKUP(VLOOKUP(BS$1,main!$A$3:$H$102,7,FALSE),main!$K$19:$O$22,MATCH(VLOOKUP($A73,main!$A$3:$H$102,8,FALSE),main!$K$18:$O$18,0))))),1,0)</f>
        <v>1</v>
      </c>
      <c r="BT73">
        <f>IF((AND(VLOOKUP(BT$1,main!$A$3:$H$102,5,FALSE)-VLOOKUP($A73,main!$A$3:$H$102,6,FALSE)&gt;=(VLOOKUP(VLOOKUP(BT$1,main!$A$3:$H$102,8,FALSE),main!$K$26:$M$29,2,FALSE)+VLOOKUP(VLOOKUP(BT$1,main!$A$3:$H$102,7,FALSE),main!$K$19:$O$22,MATCH(VLOOKUP($A73,main!$A$3:$H$102,8,FALSE),main!$K$18:$O$18,0))))),1,0)</f>
        <v>1</v>
      </c>
      <c r="BU73">
        <f>IF((AND(VLOOKUP(BU$1,main!$A$3:$H$102,5,FALSE)-VLOOKUP($A73,main!$A$3:$H$102,6,FALSE)&gt;=(VLOOKUP(VLOOKUP(BU$1,main!$A$3:$H$102,8,FALSE),main!$K$26:$M$29,2,FALSE)+VLOOKUP(VLOOKUP(BU$1,main!$A$3:$H$102,7,FALSE),main!$K$19:$O$22,MATCH(VLOOKUP($A73,main!$A$3:$H$102,8,FALSE),main!$K$18:$O$18,0))))),1,0)</f>
        <v>0</v>
      </c>
      <c r="BV73">
        <f>IF((AND(VLOOKUP(BV$1,main!$A$3:$H$102,5,FALSE)-VLOOKUP($A73,main!$A$3:$H$102,6,FALSE)&gt;=(VLOOKUP(VLOOKUP(BV$1,main!$A$3:$H$102,8,FALSE),main!$K$26:$M$29,2,FALSE)+VLOOKUP(VLOOKUP(BV$1,main!$A$3:$H$102,7,FALSE),main!$K$19:$O$22,MATCH(VLOOKUP($A73,main!$A$3:$H$102,8,FALSE),main!$K$18:$O$18,0))))),1,0)</f>
        <v>0</v>
      </c>
      <c r="BW73">
        <f>IF((AND(VLOOKUP(BW$1,main!$A$3:$H$102,5,FALSE)-VLOOKUP($A73,main!$A$3:$H$102,6,FALSE)&gt;=(VLOOKUP(VLOOKUP(BW$1,main!$A$3:$H$102,8,FALSE),main!$K$26:$M$29,2,FALSE)+VLOOKUP(VLOOKUP(BW$1,main!$A$3:$H$102,7,FALSE),main!$K$19:$O$22,MATCH(VLOOKUP($A73,main!$A$3:$H$102,8,FALSE),main!$K$18:$O$18,0))))),1,0)</f>
        <v>0</v>
      </c>
      <c r="BX73">
        <f>IF((AND(VLOOKUP(BX$1,main!$A$3:$H$102,5,FALSE)-VLOOKUP($A73,main!$A$3:$H$102,6,FALSE)&gt;=(VLOOKUP(VLOOKUP(BX$1,main!$A$3:$H$102,8,FALSE),main!$K$26:$M$29,2,FALSE)+VLOOKUP(VLOOKUP(BX$1,main!$A$3:$H$102,7,FALSE),main!$K$19:$O$22,MATCH(VLOOKUP($A73,main!$A$3:$H$102,8,FALSE),main!$K$18:$O$18,0))))),1,0)</f>
        <v>1</v>
      </c>
      <c r="BY73">
        <f>IF((AND(VLOOKUP(BY$1,main!$A$3:$H$102,5,FALSE)-VLOOKUP($A73,main!$A$3:$H$102,6,FALSE)&gt;=(VLOOKUP(VLOOKUP(BY$1,main!$A$3:$H$102,8,FALSE),main!$K$26:$M$29,2,FALSE)+VLOOKUP(VLOOKUP(BY$1,main!$A$3:$H$102,7,FALSE),main!$K$19:$O$22,MATCH(VLOOKUP($A73,main!$A$3:$H$102,8,FALSE),main!$K$18:$O$18,0))))),1,0)</f>
        <v>1</v>
      </c>
      <c r="BZ73">
        <f>IF((AND(VLOOKUP(BZ$1,main!$A$3:$H$102,5,FALSE)-VLOOKUP($A73,main!$A$3:$H$102,6,FALSE)&gt;=(VLOOKUP(VLOOKUP(BZ$1,main!$A$3:$H$102,8,FALSE),main!$K$26:$M$29,2,FALSE)+VLOOKUP(VLOOKUP(BZ$1,main!$A$3:$H$102,7,FALSE),main!$K$19:$O$22,MATCH(VLOOKUP($A73,main!$A$3:$H$102,8,FALSE),main!$K$18:$O$18,0))))),1,0)</f>
        <v>0</v>
      </c>
      <c r="CA73">
        <f>IF((AND(VLOOKUP(CA$1,main!$A$3:$H$102,5,FALSE)-VLOOKUP($A73,main!$A$3:$H$102,6,FALSE)&gt;=(VLOOKUP(VLOOKUP(CA$1,main!$A$3:$H$102,8,FALSE),main!$K$26:$M$29,2,FALSE)+VLOOKUP(VLOOKUP(CA$1,main!$A$3:$H$102,7,FALSE),main!$K$19:$O$22,MATCH(VLOOKUP($A73,main!$A$3:$H$102,8,FALSE),main!$K$18:$O$18,0))))),1,0)</f>
        <v>0</v>
      </c>
      <c r="CB73">
        <f>IF((AND(VLOOKUP(CB$1,main!$A$3:$H$102,5,FALSE)-VLOOKUP($A73,main!$A$3:$H$102,6,FALSE)&gt;=(VLOOKUP(VLOOKUP(CB$1,main!$A$3:$H$102,8,FALSE),main!$K$26:$M$29,2,FALSE)+VLOOKUP(VLOOKUP(CB$1,main!$A$3:$H$102,7,FALSE),main!$K$19:$O$22,MATCH(VLOOKUP($A73,main!$A$3:$H$102,8,FALSE),main!$K$18:$O$18,0))))),1,0)</f>
        <v>1</v>
      </c>
      <c r="CC73">
        <f>IF((AND(VLOOKUP(CC$1,main!$A$3:$H$102,5,FALSE)-VLOOKUP($A73,main!$A$3:$H$102,6,FALSE)&gt;=(VLOOKUP(VLOOKUP(CC$1,main!$A$3:$H$102,8,FALSE),main!$K$26:$M$29,2,FALSE)+VLOOKUP(VLOOKUP(CC$1,main!$A$3:$H$102,7,FALSE),main!$K$19:$O$22,MATCH(VLOOKUP($A73,main!$A$3:$H$102,8,FALSE),main!$K$18:$O$18,0))))),1,0)</f>
        <v>1</v>
      </c>
      <c r="CD73">
        <f>IF((AND(VLOOKUP(CD$1,main!$A$3:$H$102,5,FALSE)-VLOOKUP($A73,main!$A$3:$H$102,6,FALSE)&gt;=(VLOOKUP(VLOOKUP(CD$1,main!$A$3:$H$102,8,FALSE),main!$K$26:$M$29,2,FALSE)+VLOOKUP(VLOOKUP(CD$1,main!$A$3:$H$102,7,FALSE),main!$K$19:$O$22,MATCH(VLOOKUP($A73,main!$A$3:$H$102,8,FALSE),main!$K$18:$O$18,0))))),1,0)</f>
        <v>1</v>
      </c>
      <c r="CE73">
        <f>IF((AND(VLOOKUP(CE$1,main!$A$3:$H$102,5,FALSE)-VLOOKUP($A73,main!$A$3:$H$102,6,FALSE)&gt;=(VLOOKUP(VLOOKUP(CE$1,main!$A$3:$H$102,8,FALSE),main!$K$26:$M$29,2,FALSE)+VLOOKUP(VLOOKUP(CE$1,main!$A$3:$H$102,7,FALSE),main!$K$19:$O$22,MATCH(VLOOKUP($A73,main!$A$3:$H$102,8,FALSE),main!$K$18:$O$18,0))))),1,0)</f>
        <v>1</v>
      </c>
      <c r="CF73">
        <f>IF((AND(VLOOKUP(CF$1,main!$A$3:$H$102,5,FALSE)-VLOOKUP($A73,main!$A$3:$H$102,6,FALSE)&gt;=(VLOOKUP(VLOOKUP(CF$1,main!$A$3:$H$102,8,FALSE),main!$K$26:$M$29,2,FALSE)+VLOOKUP(VLOOKUP(CF$1,main!$A$3:$H$102,7,FALSE),main!$K$19:$O$22,MATCH(VLOOKUP($A73,main!$A$3:$H$102,8,FALSE),main!$K$18:$O$18,0))))),1,0)</f>
        <v>1</v>
      </c>
      <c r="CG73">
        <f>IF((AND(VLOOKUP(CG$1,main!$A$3:$H$102,5,FALSE)-VLOOKUP($A73,main!$A$3:$H$102,6,FALSE)&gt;=(VLOOKUP(VLOOKUP(CG$1,main!$A$3:$H$102,8,FALSE),main!$K$26:$M$29,2,FALSE)+VLOOKUP(VLOOKUP(CG$1,main!$A$3:$H$102,7,FALSE),main!$K$19:$O$22,MATCH(VLOOKUP($A73,main!$A$3:$H$102,8,FALSE),main!$K$18:$O$18,0))))),1,0)</f>
        <v>1</v>
      </c>
      <c r="CH73">
        <f>IF((AND(VLOOKUP(CH$1,main!$A$3:$H$102,5,FALSE)-VLOOKUP($A73,main!$A$3:$H$102,6,FALSE)&gt;=(VLOOKUP(VLOOKUP(CH$1,main!$A$3:$H$102,8,FALSE),main!$K$26:$M$29,2,FALSE)+VLOOKUP(VLOOKUP(CH$1,main!$A$3:$H$102,7,FALSE),main!$K$19:$O$22,MATCH(VLOOKUP($A73,main!$A$3:$H$102,8,FALSE),main!$K$18:$O$18,0))))),1,0)</f>
        <v>1</v>
      </c>
      <c r="CI73">
        <f>IF((AND(VLOOKUP(CI$1,main!$A$3:$H$102,5,FALSE)-VLOOKUP($A73,main!$A$3:$H$102,6,FALSE)&gt;=(VLOOKUP(VLOOKUP(CI$1,main!$A$3:$H$102,8,FALSE),main!$K$26:$M$29,2,FALSE)+VLOOKUP(VLOOKUP(CI$1,main!$A$3:$H$102,7,FALSE),main!$K$19:$O$22,MATCH(VLOOKUP($A73,main!$A$3:$H$102,8,FALSE),main!$K$18:$O$18,0))))),1,0)</f>
        <v>1</v>
      </c>
      <c r="CJ73">
        <f>IF((AND(VLOOKUP(CJ$1,main!$A$3:$H$102,5,FALSE)-VLOOKUP($A73,main!$A$3:$H$102,6,FALSE)&gt;=(VLOOKUP(VLOOKUP(CJ$1,main!$A$3:$H$102,8,FALSE),main!$K$26:$M$29,2,FALSE)+VLOOKUP(VLOOKUP(CJ$1,main!$A$3:$H$102,7,FALSE),main!$K$19:$O$22,MATCH(VLOOKUP($A73,main!$A$3:$H$102,8,FALSE),main!$K$18:$O$18,0))))),1,0)</f>
        <v>1</v>
      </c>
      <c r="CK73">
        <f>IF((AND(VLOOKUP(CK$1,main!$A$3:$H$102,5,FALSE)-VLOOKUP($A73,main!$A$3:$H$102,6,FALSE)&gt;=(VLOOKUP(VLOOKUP(CK$1,main!$A$3:$H$102,8,FALSE),main!$K$26:$M$29,2,FALSE)+VLOOKUP(VLOOKUP(CK$1,main!$A$3:$H$102,7,FALSE),main!$K$19:$O$22,MATCH(VLOOKUP($A73,main!$A$3:$H$102,8,FALSE),main!$K$18:$O$18,0))))),1,0)</f>
        <v>1</v>
      </c>
      <c r="CL73">
        <f>IF((AND(VLOOKUP(CL$1,main!$A$3:$H$102,5,FALSE)-VLOOKUP($A73,main!$A$3:$H$102,6,FALSE)&gt;=(VLOOKUP(VLOOKUP(CL$1,main!$A$3:$H$102,8,FALSE),main!$K$26:$M$29,2,FALSE)+VLOOKUP(VLOOKUP(CL$1,main!$A$3:$H$102,7,FALSE),main!$K$19:$O$22,MATCH(VLOOKUP($A73,main!$A$3:$H$102,8,FALSE),main!$K$18:$O$18,0))))),1,0)</f>
        <v>1</v>
      </c>
      <c r="CM73">
        <f>IF((AND(VLOOKUP(CM$1,main!$A$3:$H$102,5,FALSE)-VLOOKUP($A73,main!$A$3:$H$102,6,FALSE)&gt;=(VLOOKUP(VLOOKUP(CM$1,main!$A$3:$H$102,8,FALSE),main!$K$26:$M$29,2,FALSE)+VLOOKUP(VLOOKUP(CM$1,main!$A$3:$H$102,7,FALSE),main!$K$19:$O$22,MATCH(VLOOKUP($A73,main!$A$3:$H$102,8,FALSE),main!$K$18:$O$18,0))))),1,0)</f>
        <v>1</v>
      </c>
      <c r="CN73">
        <f>IF((AND(VLOOKUP(CN$1,main!$A$3:$H$102,5,FALSE)-VLOOKUP($A73,main!$A$3:$H$102,6,FALSE)&gt;=(VLOOKUP(VLOOKUP(CN$1,main!$A$3:$H$102,8,FALSE),main!$K$26:$M$29,2,FALSE)+VLOOKUP(VLOOKUP(CN$1,main!$A$3:$H$102,7,FALSE),main!$K$19:$O$22,MATCH(VLOOKUP($A73,main!$A$3:$H$102,8,FALSE),main!$K$18:$O$18,0))))),1,0)</f>
        <v>1</v>
      </c>
      <c r="CO73">
        <f>IF((AND(VLOOKUP(CO$1,main!$A$3:$H$102,5,FALSE)-VLOOKUP($A73,main!$A$3:$H$102,6,FALSE)&gt;=(VLOOKUP(VLOOKUP(CO$1,main!$A$3:$H$102,8,FALSE),main!$K$26:$M$29,2,FALSE)+VLOOKUP(VLOOKUP(CO$1,main!$A$3:$H$102,7,FALSE),main!$K$19:$O$22,MATCH(VLOOKUP($A73,main!$A$3:$H$102,8,FALSE),main!$K$18:$O$18,0))))),1,0)</f>
        <v>1</v>
      </c>
      <c r="CP73">
        <f>IF((AND(VLOOKUP(CP$1,main!$A$3:$H$102,5,FALSE)-VLOOKUP($A73,main!$A$3:$H$102,6,FALSE)&gt;=(VLOOKUP(VLOOKUP(CP$1,main!$A$3:$H$102,8,FALSE),main!$K$26:$M$29,2,FALSE)+VLOOKUP(VLOOKUP(CP$1,main!$A$3:$H$102,7,FALSE),main!$K$19:$O$22,MATCH(VLOOKUP($A73,main!$A$3:$H$102,8,FALSE),main!$K$18:$O$18,0))))),1,0)</f>
        <v>1</v>
      </c>
      <c r="CQ73">
        <f>IF((AND(VLOOKUP(CQ$1,main!$A$3:$H$102,5,FALSE)-VLOOKUP($A73,main!$A$3:$H$102,6,FALSE)&gt;=(VLOOKUP(VLOOKUP(CQ$1,main!$A$3:$H$102,8,FALSE),main!$K$26:$M$29,2,FALSE)+VLOOKUP(VLOOKUP(CQ$1,main!$A$3:$H$102,7,FALSE),main!$K$19:$O$22,MATCH(VLOOKUP($A73,main!$A$3:$H$102,8,FALSE),main!$K$18:$O$18,0))))),1,0)</f>
        <v>1</v>
      </c>
      <c r="CR73">
        <f>IF((AND(VLOOKUP(CR$1,main!$A$3:$H$102,5,FALSE)-VLOOKUP($A73,main!$A$3:$H$102,6,FALSE)&gt;=(VLOOKUP(VLOOKUP(CR$1,main!$A$3:$H$102,8,FALSE),main!$K$26:$M$29,2,FALSE)+VLOOKUP(VLOOKUP(CR$1,main!$A$3:$H$102,7,FALSE),main!$K$19:$O$22,MATCH(VLOOKUP($A73,main!$A$3:$H$102,8,FALSE),main!$K$18:$O$18,0))))),1,0)</f>
        <v>1</v>
      </c>
      <c r="CS73">
        <f>IF((AND(VLOOKUP(CS$1,main!$A$3:$H$102,5,FALSE)-VLOOKUP($A73,main!$A$3:$H$102,6,FALSE)&gt;=(VLOOKUP(VLOOKUP(CS$1,main!$A$3:$H$102,8,FALSE),main!$K$26:$M$29,2,FALSE)+VLOOKUP(VLOOKUP(CS$1,main!$A$3:$H$102,7,FALSE),main!$K$19:$O$22,MATCH(VLOOKUP($A73,main!$A$3:$H$102,8,FALSE),main!$K$18:$O$18,0))))),1,0)</f>
        <v>1</v>
      </c>
      <c r="CT73">
        <f>IF((AND(VLOOKUP(CT$1,main!$A$3:$H$102,5,FALSE)-VLOOKUP($A73,main!$A$3:$H$102,6,FALSE)&gt;=(VLOOKUP(VLOOKUP(CT$1,main!$A$3:$H$102,8,FALSE),main!$K$26:$M$29,2,FALSE)+VLOOKUP(VLOOKUP(CT$1,main!$A$3:$H$102,7,FALSE),main!$K$19:$O$22,MATCH(VLOOKUP($A73,main!$A$3:$H$102,8,FALSE),main!$K$18:$O$18,0))))),1,0)</f>
        <v>0</v>
      </c>
      <c r="CU73">
        <f>IF((AND(VLOOKUP(CU$1,main!$A$3:$H$102,5,FALSE)-VLOOKUP($A73,main!$A$3:$H$102,6,FALSE)&gt;=(VLOOKUP(VLOOKUP(CU$1,main!$A$3:$H$102,8,FALSE),main!$K$26:$M$29,2,FALSE)+VLOOKUP(VLOOKUP(CU$1,main!$A$3:$H$102,7,FALSE),main!$K$19:$O$22,MATCH(VLOOKUP($A73,main!$A$3:$H$102,8,FALSE),main!$K$18:$O$18,0))))),1,0)</f>
        <v>0</v>
      </c>
      <c r="CV73">
        <f>IF((AND(VLOOKUP(CV$1,main!$A$3:$H$102,5,FALSE)-VLOOKUP($A73,main!$A$3:$H$102,6,FALSE)&gt;=(VLOOKUP(VLOOKUP(CV$1,main!$A$3:$H$102,8,FALSE),main!$K$26:$M$29,2,FALSE)+VLOOKUP(VLOOKUP(CV$1,main!$A$3:$H$102,7,FALSE),main!$K$19:$O$22,MATCH(VLOOKUP($A73,main!$A$3:$H$102,8,FALSE),main!$K$18:$O$18,0))))),1,0)</f>
        <v>1</v>
      </c>
      <c r="CW73">
        <f>IF((AND(VLOOKUP(CW$1,main!$A$3:$H$102,5,FALSE)-VLOOKUP($A73,main!$A$3:$H$102,6,FALSE)&gt;=(VLOOKUP(VLOOKUP(CW$1,main!$A$3:$H$102,8,FALSE),main!$K$26:$M$29,2,FALSE)+VLOOKUP(VLOOKUP(CW$1,main!$A$3:$H$102,7,FALSE),main!$K$19:$O$22,MATCH(VLOOKUP($A73,main!$A$3:$H$102,8,FALSE),main!$K$18:$O$18,0))))),1,0)</f>
        <v>1</v>
      </c>
      <c r="CX73">
        <f>IF((AND(VLOOKUP(CX$1,main!$A$3:$H$102,5,FALSE)-VLOOKUP($A73,main!$A$3:$H$102,6,FALSE)&gt;=(VLOOKUP(VLOOKUP(CX$1,main!$A$3:$H$102,8,FALSE),main!$K$26:$M$29,2,FALSE)+VLOOKUP(VLOOKUP(CX$1,main!$A$3:$H$102,7,FALSE),main!$K$19:$O$22,MATCH(VLOOKUP($A73,main!$A$3:$H$102,8,FALSE),main!$K$18:$O$18,0))))),1,0)</f>
        <v>1</v>
      </c>
    </row>
    <row r="74" spans="1:102" x14ac:dyDescent="0.25">
      <c r="A74" s="1">
        <v>72</v>
      </c>
      <c r="B74">
        <v>1</v>
      </c>
      <c r="C74">
        <f>IF((AND(VLOOKUP(C$1,main!$A$3:$H$102,5,FALSE)-VLOOKUP($A74,main!$A$3:$H$102,6,FALSE)&gt;=(VLOOKUP(VLOOKUP(C$1,main!$A$3:$H$102,8,FALSE),main!$K$26:$M$29,2,FALSE)+VLOOKUP(VLOOKUP(C$1,main!$A$3:$H$102,7,FALSE),main!$K$19:$O$22,MATCH(VLOOKUP($A74,main!$A$3:$H$102,8,FALSE),main!$K$18:$O$18,0))))),1,0)</f>
        <v>0</v>
      </c>
      <c r="D74">
        <f>IF((AND(VLOOKUP(D$1,main!$A$3:$H$102,5,FALSE)-VLOOKUP($A74,main!$A$3:$H$102,6,FALSE)&gt;=(VLOOKUP(VLOOKUP(D$1,main!$A$3:$H$102,8,FALSE),main!$K$26:$M$29,2,FALSE)+VLOOKUP(VLOOKUP(D$1,main!$A$3:$H$102,7,FALSE),main!$K$19:$O$22,MATCH(VLOOKUP($A74,main!$A$3:$H$102,8,FALSE),main!$K$18:$O$18,0))))),1,0)</f>
        <v>0</v>
      </c>
      <c r="E74">
        <f>IF((AND(VLOOKUP(E$1,main!$A$3:$H$102,5,FALSE)-VLOOKUP($A74,main!$A$3:$H$102,6,FALSE)&gt;=(VLOOKUP(VLOOKUP(E$1,main!$A$3:$H$102,8,FALSE),main!$K$26:$M$29,2,FALSE)+VLOOKUP(VLOOKUP(E$1,main!$A$3:$H$102,7,FALSE),main!$K$19:$O$22,MATCH(VLOOKUP($A74,main!$A$3:$H$102,8,FALSE),main!$K$18:$O$18,0))))),1,0)</f>
        <v>0</v>
      </c>
      <c r="F74">
        <f>IF((AND(VLOOKUP(F$1,main!$A$3:$H$102,5,FALSE)-VLOOKUP($A74,main!$A$3:$H$102,6,FALSE)&gt;=(VLOOKUP(VLOOKUP(F$1,main!$A$3:$H$102,8,FALSE),main!$K$26:$M$29,2,FALSE)+VLOOKUP(VLOOKUP(F$1,main!$A$3:$H$102,7,FALSE),main!$K$19:$O$22,MATCH(VLOOKUP($A74,main!$A$3:$H$102,8,FALSE),main!$K$18:$O$18,0))))),1,0)</f>
        <v>1</v>
      </c>
      <c r="G74">
        <f>IF((AND(VLOOKUP(G$1,main!$A$3:$H$102,5,FALSE)-VLOOKUP($A74,main!$A$3:$H$102,6,FALSE)&gt;=(VLOOKUP(VLOOKUP(G$1,main!$A$3:$H$102,8,FALSE),main!$K$26:$M$29,2,FALSE)+VLOOKUP(VLOOKUP(G$1,main!$A$3:$H$102,7,FALSE),main!$K$19:$O$22,MATCH(VLOOKUP($A74,main!$A$3:$H$102,8,FALSE),main!$K$18:$O$18,0))))),1,0)</f>
        <v>1</v>
      </c>
      <c r="H74">
        <f>IF((AND(VLOOKUP(H$1,main!$A$3:$H$102,5,FALSE)-VLOOKUP($A74,main!$A$3:$H$102,6,FALSE)&gt;=(VLOOKUP(VLOOKUP(H$1,main!$A$3:$H$102,8,FALSE),main!$K$26:$M$29,2,FALSE)+VLOOKUP(VLOOKUP(H$1,main!$A$3:$H$102,7,FALSE),main!$K$19:$O$22,MATCH(VLOOKUP($A74,main!$A$3:$H$102,8,FALSE),main!$K$18:$O$18,0))))),1,0)</f>
        <v>1</v>
      </c>
      <c r="I74">
        <f>IF((AND(VLOOKUP(I$1,main!$A$3:$H$102,5,FALSE)-VLOOKUP($A74,main!$A$3:$H$102,6,FALSE)&gt;=(VLOOKUP(VLOOKUP(I$1,main!$A$3:$H$102,8,FALSE),main!$K$26:$M$29,2,FALSE)+VLOOKUP(VLOOKUP(I$1,main!$A$3:$H$102,7,FALSE),main!$K$19:$O$22,MATCH(VLOOKUP($A74,main!$A$3:$H$102,8,FALSE),main!$K$18:$O$18,0))))),1,0)</f>
        <v>1</v>
      </c>
      <c r="J74">
        <f>IF((AND(VLOOKUP(J$1,main!$A$3:$H$102,5,FALSE)-VLOOKUP($A74,main!$A$3:$H$102,6,FALSE)&gt;=(VLOOKUP(VLOOKUP(J$1,main!$A$3:$H$102,8,FALSE),main!$K$26:$M$29,2,FALSE)+VLOOKUP(VLOOKUP(J$1,main!$A$3:$H$102,7,FALSE),main!$K$19:$O$22,MATCH(VLOOKUP($A74,main!$A$3:$H$102,8,FALSE),main!$K$18:$O$18,0))))),1,0)</f>
        <v>1</v>
      </c>
      <c r="K74">
        <f>IF((AND(VLOOKUP(K$1,main!$A$3:$H$102,5,FALSE)-VLOOKUP($A74,main!$A$3:$H$102,6,FALSE)&gt;=(VLOOKUP(VLOOKUP(K$1,main!$A$3:$H$102,8,FALSE),main!$K$26:$M$29,2,FALSE)+VLOOKUP(VLOOKUP(K$1,main!$A$3:$H$102,7,FALSE),main!$K$19:$O$22,MATCH(VLOOKUP($A74,main!$A$3:$H$102,8,FALSE),main!$K$18:$O$18,0))))),1,0)</f>
        <v>1</v>
      </c>
      <c r="L74">
        <f>IF((AND(VLOOKUP(L$1,main!$A$3:$H$102,5,FALSE)-VLOOKUP($A74,main!$A$3:$H$102,6,FALSE)&gt;=(VLOOKUP(VLOOKUP(L$1,main!$A$3:$H$102,8,FALSE),main!$K$26:$M$29,2,FALSE)+VLOOKUP(VLOOKUP(L$1,main!$A$3:$H$102,7,FALSE),main!$K$19:$O$22,MATCH(VLOOKUP($A74,main!$A$3:$H$102,8,FALSE),main!$K$18:$O$18,0))))),1,0)</f>
        <v>1</v>
      </c>
      <c r="M74">
        <f>IF((AND(VLOOKUP(M$1,main!$A$3:$H$102,5,FALSE)-VLOOKUP($A74,main!$A$3:$H$102,6,FALSE)&gt;=(VLOOKUP(VLOOKUP(M$1,main!$A$3:$H$102,8,FALSE),main!$K$26:$M$29,2,FALSE)+VLOOKUP(VLOOKUP(M$1,main!$A$3:$H$102,7,FALSE),main!$K$19:$O$22,MATCH(VLOOKUP($A74,main!$A$3:$H$102,8,FALSE),main!$K$18:$O$18,0))))),1,0)</f>
        <v>0</v>
      </c>
      <c r="N74">
        <f>IF((AND(VLOOKUP(N$1,main!$A$3:$H$102,5,FALSE)-VLOOKUP($A74,main!$A$3:$H$102,6,FALSE)&gt;=(VLOOKUP(VLOOKUP(N$1,main!$A$3:$H$102,8,FALSE),main!$K$26:$M$29,2,FALSE)+VLOOKUP(VLOOKUP(N$1,main!$A$3:$H$102,7,FALSE),main!$K$19:$O$22,MATCH(VLOOKUP($A74,main!$A$3:$H$102,8,FALSE),main!$K$18:$O$18,0))))),1,0)</f>
        <v>0</v>
      </c>
      <c r="O74">
        <f>IF((AND(VLOOKUP(O$1,main!$A$3:$H$102,5,FALSE)-VLOOKUP($A74,main!$A$3:$H$102,6,FALSE)&gt;=(VLOOKUP(VLOOKUP(O$1,main!$A$3:$H$102,8,FALSE),main!$K$26:$M$29,2,FALSE)+VLOOKUP(VLOOKUP(O$1,main!$A$3:$H$102,7,FALSE),main!$K$19:$O$22,MATCH(VLOOKUP($A74,main!$A$3:$H$102,8,FALSE),main!$K$18:$O$18,0))))),1,0)</f>
        <v>0</v>
      </c>
      <c r="P74">
        <f>IF((AND(VLOOKUP(P$1,main!$A$3:$H$102,5,FALSE)-VLOOKUP($A74,main!$A$3:$H$102,6,FALSE)&gt;=(VLOOKUP(VLOOKUP(P$1,main!$A$3:$H$102,8,FALSE),main!$K$26:$M$29,2,FALSE)+VLOOKUP(VLOOKUP(P$1,main!$A$3:$H$102,7,FALSE),main!$K$19:$O$22,MATCH(VLOOKUP($A74,main!$A$3:$H$102,8,FALSE),main!$K$18:$O$18,0))))),1,0)</f>
        <v>0</v>
      </c>
      <c r="Q74">
        <f>IF((AND(VLOOKUP(Q$1,main!$A$3:$H$102,5,FALSE)-VLOOKUP($A74,main!$A$3:$H$102,6,FALSE)&gt;=(VLOOKUP(VLOOKUP(Q$1,main!$A$3:$H$102,8,FALSE),main!$K$26:$M$29,2,FALSE)+VLOOKUP(VLOOKUP(Q$1,main!$A$3:$H$102,7,FALSE),main!$K$19:$O$22,MATCH(VLOOKUP($A74,main!$A$3:$H$102,8,FALSE),main!$K$18:$O$18,0))))),1,0)</f>
        <v>1</v>
      </c>
      <c r="R74">
        <f>IF((AND(VLOOKUP(R$1,main!$A$3:$H$102,5,FALSE)-VLOOKUP($A74,main!$A$3:$H$102,6,FALSE)&gt;=(VLOOKUP(VLOOKUP(R$1,main!$A$3:$H$102,8,FALSE),main!$K$26:$M$29,2,FALSE)+VLOOKUP(VLOOKUP(R$1,main!$A$3:$H$102,7,FALSE),main!$K$19:$O$22,MATCH(VLOOKUP($A74,main!$A$3:$H$102,8,FALSE),main!$K$18:$O$18,0))))),1,0)</f>
        <v>1</v>
      </c>
      <c r="S74">
        <f>IF((AND(VLOOKUP(S$1,main!$A$3:$H$102,5,FALSE)-VLOOKUP($A74,main!$A$3:$H$102,6,FALSE)&gt;=(VLOOKUP(VLOOKUP(S$1,main!$A$3:$H$102,8,FALSE),main!$K$26:$M$29,2,FALSE)+VLOOKUP(VLOOKUP(S$1,main!$A$3:$H$102,7,FALSE),main!$K$19:$O$22,MATCH(VLOOKUP($A74,main!$A$3:$H$102,8,FALSE),main!$K$18:$O$18,0))))),1,0)</f>
        <v>1</v>
      </c>
      <c r="T74">
        <f>IF((AND(VLOOKUP(T$1,main!$A$3:$H$102,5,FALSE)-VLOOKUP($A74,main!$A$3:$H$102,6,FALSE)&gt;=(VLOOKUP(VLOOKUP(T$1,main!$A$3:$H$102,8,FALSE),main!$K$26:$M$29,2,FALSE)+VLOOKUP(VLOOKUP(T$1,main!$A$3:$H$102,7,FALSE),main!$K$19:$O$22,MATCH(VLOOKUP($A74,main!$A$3:$H$102,8,FALSE),main!$K$18:$O$18,0))))),1,0)</f>
        <v>1</v>
      </c>
      <c r="U74">
        <f>IF((AND(VLOOKUP(U$1,main!$A$3:$H$102,5,FALSE)-VLOOKUP($A74,main!$A$3:$H$102,6,FALSE)&gt;=(VLOOKUP(VLOOKUP(U$1,main!$A$3:$H$102,8,FALSE),main!$K$26:$M$29,2,FALSE)+VLOOKUP(VLOOKUP(U$1,main!$A$3:$H$102,7,FALSE),main!$K$19:$O$22,MATCH(VLOOKUP($A74,main!$A$3:$H$102,8,FALSE),main!$K$18:$O$18,0))))),1,0)</f>
        <v>1</v>
      </c>
      <c r="V74">
        <f>IF((AND(VLOOKUP(V$1,main!$A$3:$H$102,5,FALSE)-VLOOKUP($A74,main!$A$3:$H$102,6,FALSE)&gt;=(VLOOKUP(VLOOKUP(V$1,main!$A$3:$H$102,8,FALSE),main!$K$26:$M$29,2,FALSE)+VLOOKUP(VLOOKUP(V$1,main!$A$3:$H$102,7,FALSE),main!$K$19:$O$22,MATCH(VLOOKUP($A74,main!$A$3:$H$102,8,FALSE),main!$K$18:$O$18,0))))),1,0)</f>
        <v>1</v>
      </c>
      <c r="W74">
        <f>IF((AND(VLOOKUP(W$1,main!$A$3:$H$102,5,FALSE)-VLOOKUP($A74,main!$A$3:$H$102,6,FALSE)&gt;=(VLOOKUP(VLOOKUP(W$1,main!$A$3:$H$102,8,FALSE),main!$K$26:$M$29,2,FALSE)+VLOOKUP(VLOOKUP(W$1,main!$A$3:$H$102,7,FALSE),main!$K$19:$O$22,MATCH(VLOOKUP($A74,main!$A$3:$H$102,8,FALSE),main!$K$18:$O$18,0))))),1,0)</f>
        <v>0</v>
      </c>
      <c r="X74">
        <f>IF((AND(VLOOKUP(X$1,main!$A$3:$H$102,5,FALSE)-VLOOKUP($A74,main!$A$3:$H$102,6,FALSE)&gt;=(VLOOKUP(VLOOKUP(X$1,main!$A$3:$H$102,8,FALSE),main!$K$26:$M$29,2,FALSE)+VLOOKUP(VLOOKUP(X$1,main!$A$3:$H$102,7,FALSE),main!$K$19:$O$22,MATCH(VLOOKUP($A74,main!$A$3:$H$102,8,FALSE),main!$K$18:$O$18,0))))),1,0)</f>
        <v>0</v>
      </c>
      <c r="Y74">
        <f>IF((AND(VLOOKUP(Y$1,main!$A$3:$H$102,5,FALSE)-VLOOKUP($A74,main!$A$3:$H$102,6,FALSE)&gt;=(VLOOKUP(VLOOKUP(Y$1,main!$A$3:$H$102,8,FALSE),main!$K$26:$M$29,2,FALSE)+VLOOKUP(VLOOKUP(Y$1,main!$A$3:$H$102,7,FALSE),main!$K$19:$O$22,MATCH(VLOOKUP($A74,main!$A$3:$H$102,8,FALSE),main!$K$18:$O$18,0))))),1,0)</f>
        <v>1</v>
      </c>
      <c r="Z74">
        <f>IF((AND(VLOOKUP(Z$1,main!$A$3:$H$102,5,FALSE)-VLOOKUP($A74,main!$A$3:$H$102,6,FALSE)&gt;=(VLOOKUP(VLOOKUP(Z$1,main!$A$3:$H$102,8,FALSE),main!$K$26:$M$29,2,FALSE)+VLOOKUP(VLOOKUP(Z$1,main!$A$3:$H$102,7,FALSE),main!$K$19:$O$22,MATCH(VLOOKUP($A74,main!$A$3:$H$102,8,FALSE),main!$K$18:$O$18,0))))),1,0)</f>
        <v>1</v>
      </c>
      <c r="AA74">
        <f>IF((AND(VLOOKUP(AA$1,main!$A$3:$H$102,5,FALSE)-VLOOKUP($A74,main!$A$3:$H$102,6,FALSE)&gt;=(VLOOKUP(VLOOKUP(AA$1,main!$A$3:$H$102,8,FALSE),main!$K$26:$M$29,2,FALSE)+VLOOKUP(VLOOKUP(AA$1,main!$A$3:$H$102,7,FALSE),main!$K$19:$O$22,MATCH(VLOOKUP($A74,main!$A$3:$H$102,8,FALSE),main!$K$18:$O$18,0))))),1,0)</f>
        <v>1</v>
      </c>
      <c r="AB74">
        <f>IF((AND(VLOOKUP(AB$1,main!$A$3:$H$102,5,FALSE)-VLOOKUP($A74,main!$A$3:$H$102,6,FALSE)&gt;=(VLOOKUP(VLOOKUP(AB$1,main!$A$3:$H$102,8,FALSE),main!$K$26:$M$29,2,FALSE)+VLOOKUP(VLOOKUP(AB$1,main!$A$3:$H$102,7,FALSE),main!$K$19:$O$22,MATCH(VLOOKUP($A74,main!$A$3:$H$102,8,FALSE),main!$K$18:$O$18,0))))),1,0)</f>
        <v>0</v>
      </c>
      <c r="AC74">
        <f>IF((AND(VLOOKUP(AC$1,main!$A$3:$H$102,5,FALSE)-VLOOKUP($A74,main!$A$3:$H$102,6,FALSE)&gt;=(VLOOKUP(VLOOKUP(AC$1,main!$A$3:$H$102,8,FALSE),main!$K$26:$M$29,2,FALSE)+VLOOKUP(VLOOKUP(AC$1,main!$A$3:$H$102,7,FALSE),main!$K$19:$O$22,MATCH(VLOOKUP($A74,main!$A$3:$H$102,8,FALSE),main!$K$18:$O$18,0))))),1,0)</f>
        <v>0</v>
      </c>
      <c r="AD74">
        <f>IF((AND(VLOOKUP(AD$1,main!$A$3:$H$102,5,FALSE)-VLOOKUP($A74,main!$A$3:$H$102,6,FALSE)&gt;=(VLOOKUP(VLOOKUP(AD$1,main!$A$3:$H$102,8,FALSE),main!$K$26:$M$29,2,FALSE)+VLOOKUP(VLOOKUP(AD$1,main!$A$3:$H$102,7,FALSE),main!$K$19:$O$22,MATCH(VLOOKUP($A74,main!$A$3:$H$102,8,FALSE),main!$K$18:$O$18,0))))),1,0)</f>
        <v>1</v>
      </c>
      <c r="AE74">
        <f>IF((AND(VLOOKUP(AE$1,main!$A$3:$H$102,5,FALSE)-VLOOKUP($A74,main!$A$3:$H$102,6,FALSE)&gt;=(VLOOKUP(VLOOKUP(AE$1,main!$A$3:$H$102,8,FALSE),main!$K$26:$M$29,2,FALSE)+VLOOKUP(VLOOKUP(AE$1,main!$A$3:$H$102,7,FALSE),main!$K$19:$O$22,MATCH(VLOOKUP($A74,main!$A$3:$H$102,8,FALSE),main!$K$18:$O$18,0))))),1,0)</f>
        <v>1</v>
      </c>
      <c r="AF74">
        <f>IF((AND(VLOOKUP(AF$1,main!$A$3:$H$102,5,FALSE)-VLOOKUP($A74,main!$A$3:$H$102,6,FALSE)&gt;=(VLOOKUP(VLOOKUP(AF$1,main!$A$3:$H$102,8,FALSE),main!$K$26:$M$29,2,FALSE)+VLOOKUP(VLOOKUP(AF$1,main!$A$3:$H$102,7,FALSE),main!$K$19:$O$22,MATCH(VLOOKUP($A74,main!$A$3:$H$102,8,FALSE),main!$K$18:$O$18,0))))),1,0)</f>
        <v>1</v>
      </c>
      <c r="AG74">
        <f>IF((AND(VLOOKUP(AG$1,main!$A$3:$H$102,5,FALSE)-VLOOKUP($A74,main!$A$3:$H$102,6,FALSE)&gt;=(VLOOKUP(VLOOKUP(AG$1,main!$A$3:$H$102,8,FALSE),main!$K$26:$M$29,2,FALSE)+VLOOKUP(VLOOKUP(AG$1,main!$A$3:$H$102,7,FALSE),main!$K$19:$O$22,MATCH(VLOOKUP($A74,main!$A$3:$H$102,8,FALSE),main!$K$18:$O$18,0))))),1,0)</f>
        <v>0</v>
      </c>
      <c r="AH74">
        <f>IF((AND(VLOOKUP(AH$1,main!$A$3:$H$102,5,FALSE)-VLOOKUP($A74,main!$A$3:$H$102,6,FALSE)&gt;=(VLOOKUP(VLOOKUP(AH$1,main!$A$3:$H$102,8,FALSE),main!$K$26:$M$29,2,FALSE)+VLOOKUP(VLOOKUP(AH$1,main!$A$3:$H$102,7,FALSE),main!$K$19:$O$22,MATCH(VLOOKUP($A74,main!$A$3:$H$102,8,FALSE),main!$K$18:$O$18,0))))),1,0)</f>
        <v>0</v>
      </c>
      <c r="AI74">
        <f>IF((AND(VLOOKUP(AI$1,main!$A$3:$H$102,5,FALSE)-VLOOKUP($A74,main!$A$3:$H$102,6,FALSE)&gt;=(VLOOKUP(VLOOKUP(AI$1,main!$A$3:$H$102,8,FALSE),main!$K$26:$M$29,2,FALSE)+VLOOKUP(VLOOKUP(AI$1,main!$A$3:$H$102,7,FALSE),main!$K$19:$O$22,MATCH(VLOOKUP($A74,main!$A$3:$H$102,8,FALSE),main!$K$18:$O$18,0))))),1,0)</f>
        <v>0</v>
      </c>
      <c r="AJ74">
        <f>IF((AND(VLOOKUP(AJ$1,main!$A$3:$H$102,5,FALSE)-VLOOKUP($A74,main!$A$3:$H$102,6,FALSE)&gt;=(VLOOKUP(VLOOKUP(AJ$1,main!$A$3:$H$102,8,FALSE),main!$K$26:$M$29,2,FALSE)+VLOOKUP(VLOOKUP(AJ$1,main!$A$3:$H$102,7,FALSE),main!$K$19:$O$22,MATCH(VLOOKUP($A74,main!$A$3:$H$102,8,FALSE),main!$K$18:$O$18,0))))),1,0)</f>
        <v>1</v>
      </c>
      <c r="AK74">
        <f>IF((AND(VLOOKUP(AK$1,main!$A$3:$H$102,5,FALSE)-VLOOKUP($A74,main!$A$3:$H$102,6,FALSE)&gt;=(VLOOKUP(VLOOKUP(AK$1,main!$A$3:$H$102,8,FALSE),main!$K$26:$M$29,2,FALSE)+VLOOKUP(VLOOKUP(AK$1,main!$A$3:$H$102,7,FALSE),main!$K$19:$O$22,MATCH(VLOOKUP($A74,main!$A$3:$H$102,8,FALSE),main!$K$18:$O$18,0))))),1,0)</f>
        <v>1</v>
      </c>
      <c r="AL74">
        <f>IF((AND(VLOOKUP(AL$1,main!$A$3:$H$102,5,FALSE)-VLOOKUP($A74,main!$A$3:$H$102,6,FALSE)&gt;=(VLOOKUP(VLOOKUP(AL$1,main!$A$3:$H$102,8,FALSE),main!$K$26:$M$29,2,FALSE)+VLOOKUP(VLOOKUP(AL$1,main!$A$3:$H$102,7,FALSE),main!$K$19:$O$22,MATCH(VLOOKUP($A74,main!$A$3:$H$102,8,FALSE),main!$K$18:$O$18,0))))),1,0)</f>
        <v>1</v>
      </c>
      <c r="AM74">
        <f>IF((AND(VLOOKUP(AM$1,main!$A$3:$H$102,5,FALSE)-VLOOKUP($A74,main!$A$3:$H$102,6,FALSE)&gt;=(VLOOKUP(VLOOKUP(AM$1,main!$A$3:$H$102,8,FALSE),main!$K$26:$M$29,2,FALSE)+VLOOKUP(VLOOKUP(AM$1,main!$A$3:$H$102,7,FALSE),main!$K$19:$O$22,MATCH(VLOOKUP($A74,main!$A$3:$H$102,8,FALSE),main!$K$18:$O$18,0))))),1,0)</f>
        <v>1</v>
      </c>
      <c r="AN74">
        <f>IF((AND(VLOOKUP(AN$1,main!$A$3:$H$102,5,FALSE)-VLOOKUP($A74,main!$A$3:$H$102,6,FALSE)&gt;=(VLOOKUP(VLOOKUP(AN$1,main!$A$3:$H$102,8,FALSE),main!$K$26:$M$29,2,FALSE)+VLOOKUP(VLOOKUP(AN$1,main!$A$3:$H$102,7,FALSE),main!$K$19:$O$22,MATCH(VLOOKUP($A74,main!$A$3:$H$102,8,FALSE),main!$K$18:$O$18,0))))),1,0)</f>
        <v>1</v>
      </c>
      <c r="AO74">
        <f>IF((AND(VLOOKUP(AO$1,main!$A$3:$H$102,5,FALSE)-VLOOKUP($A74,main!$A$3:$H$102,6,FALSE)&gt;=(VLOOKUP(VLOOKUP(AO$1,main!$A$3:$H$102,8,FALSE),main!$K$26:$M$29,2,FALSE)+VLOOKUP(VLOOKUP(AO$1,main!$A$3:$H$102,7,FALSE),main!$K$19:$O$22,MATCH(VLOOKUP($A74,main!$A$3:$H$102,8,FALSE),main!$K$18:$O$18,0))))),1,0)</f>
        <v>0</v>
      </c>
      <c r="AP74">
        <f>IF((AND(VLOOKUP(AP$1,main!$A$3:$H$102,5,FALSE)-VLOOKUP($A74,main!$A$3:$H$102,6,FALSE)&gt;=(VLOOKUP(VLOOKUP(AP$1,main!$A$3:$H$102,8,FALSE),main!$K$26:$M$29,2,FALSE)+VLOOKUP(VLOOKUP(AP$1,main!$A$3:$H$102,7,FALSE),main!$K$19:$O$22,MATCH(VLOOKUP($A74,main!$A$3:$H$102,8,FALSE),main!$K$18:$O$18,0))))),1,0)</f>
        <v>1</v>
      </c>
      <c r="AQ74">
        <f>IF((AND(VLOOKUP(AQ$1,main!$A$3:$H$102,5,FALSE)-VLOOKUP($A74,main!$A$3:$H$102,6,FALSE)&gt;=(VLOOKUP(VLOOKUP(AQ$1,main!$A$3:$H$102,8,FALSE),main!$K$26:$M$29,2,FALSE)+VLOOKUP(VLOOKUP(AQ$1,main!$A$3:$H$102,7,FALSE),main!$K$19:$O$22,MATCH(VLOOKUP($A74,main!$A$3:$H$102,8,FALSE),main!$K$18:$O$18,0))))),1,0)</f>
        <v>0</v>
      </c>
      <c r="AR74">
        <f>IF((AND(VLOOKUP(AR$1,main!$A$3:$H$102,5,FALSE)-VLOOKUP($A74,main!$A$3:$H$102,6,FALSE)&gt;=(VLOOKUP(VLOOKUP(AR$1,main!$A$3:$H$102,8,FALSE),main!$K$26:$M$29,2,FALSE)+VLOOKUP(VLOOKUP(AR$1,main!$A$3:$H$102,7,FALSE),main!$K$19:$O$22,MATCH(VLOOKUP($A74,main!$A$3:$H$102,8,FALSE),main!$K$18:$O$18,0))))),1,0)</f>
        <v>0</v>
      </c>
      <c r="AS74">
        <f>IF((AND(VLOOKUP(AS$1,main!$A$3:$H$102,5,FALSE)-VLOOKUP($A74,main!$A$3:$H$102,6,FALSE)&gt;=(VLOOKUP(VLOOKUP(AS$1,main!$A$3:$H$102,8,FALSE),main!$K$26:$M$29,2,FALSE)+VLOOKUP(VLOOKUP(AS$1,main!$A$3:$H$102,7,FALSE),main!$K$19:$O$22,MATCH(VLOOKUP($A74,main!$A$3:$H$102,8,FALSE),main!$K$18:$O$18,0))))),1,0)</f>
        <v>1</v>
      </c>
      <c r="AT74">
        <f>IF((AND(VLOOKUP(AT$1,main!$A$3:$H$102,5,FALSE)-VLOOKUP($A74,main!$A$3:$H$102,6,FALSE)&gt;=(VLOOKUP(VLOOKUP(AT$1,main!$A$3:$H$102,8,FALSE),main!$K$26:$M$29,2,FALSE)+VLOOKUP(VLOOKUP(AT$1,main!$A$3:$H$102,7,FALSE),main!$K$19:$O$22,MATCH(VLOOKUP($A74,main!$A$3:$H$102,8,FALSE),main!$K$18:$O$18,0))))),1,0)</f>
        <v>1</v>
      </c>
      <c r="AU74">
        <f>IF((AND(VLOOKUP(AU$1,main!$A$3:$H$102,5,FALSE)-VLOOKUP($A74,main!$A$3:$H$102,6,FALSE)&gt;=(VLOOKUP(VLOOKUP(AU$1,main!$A$3:$H$102,8,FALSE),main!$K$26:$M$29,2,FALSE)+VLOOKUP(VLOOKUP(AU$1,main!$A$3:$H$102,7,FALSE),main!$K$19:$O$22,MATCH(VLOOKUP($A74,main!$A$3:$H$102,8,FALSE),main!$K$18:$O$18,0))))),1,0)</f>
        <v>0</v>
      </c>
      <c r="AV74">
        <f>IF((AND(VLOOKUP(AV$1,main!$A$3:$H$102,5,FALSE)-VLOOKUP($A74,main!$A$3:$H$102,6,FALSE)&gt;=(VLOOKUP(VLOOKUP(AV$1,main!$A$3:$H$102,8,FALSE),main!$K$26:$M$29,2,FALSE)+VLOOKUP(VLOOKUP(AV$1,main!$A$3:$H$102,7,FALSE),main!$K$19:$O$22,MATCH(VLOOKUP($A74,main!$A$3:$H$102,8,FALSE),main!$K$18:$O$18,0))))),1,0)</f>
        <v>0</v>
      </c>
      <c r="AW74">
        <f>IF((AND(VLOOKUP(AW$1,main!$A$3:$H$102,5,FALSE)-VLOOKUP($A74,main!$A$3:$H$102,6,FALSE)&gt;=(VLOOKUP(VLOOKUP(AW$1,main!$A$3:$H$102,8,FALSE),main!$K$26:$M$29,2,FALSE)+VLOOKUP(VLOOKUP(AW$1,main!$A$3:$H$102,7,FALSE),main!$K$19:$O$22,MATCH(VLOOKUP($A74,main!$A$3:$H$102,8,FALSE),main!$K$18:$O$18,0))))),1,0)</f>
        <v>1</v>
      </c>
      <c r="AX74">
        <f>IF((AND(VLOOKUP(AX$1,main!$A$3:$H$102,5,FALSE)-VLOOKUP($A74,main!$A$3:$H$102,6,FALSE)&gt;=(VLOOKUP(VLOOKUP(AX$1,main!$A$3:$H$102,8,FALSE),main!$K$26:$M$29,2,FALSE)+VLOOKUP(VLOOKUP(AX$1,main!$A$3:$H$102,7,FALSE),main!$K$19:$O$22,MATCH(VLOOKUP($A74,main!$A$3:$H$102,8,FALSE),main!$K$18:$O$18,0))))),1,0)</f>
        <v>1</v>
      </c>
      <c r="AY74">
        <f>IF((AND(VLOOKUP(AY$1,main!$A$3:$H$102,5,FALSE)-VLOOKUP($A74,main!$A$3:$H$102,6,FALSE)&gt;=(VLOOKUP(VLOOKUP(AY$1,main!$A$3:$H$102,8,FALSE),main!$K$26:$M$29,2,FALSE)+VLOOKUP(VLOOKUP(AY$1,main!$A$3:$H$102,7,FALSE),main!$K$19:$O$22,MATCH(VLOOKUP($A74,main!$A$3:$H$102,8,FALSE),main!$K$18:$O$18,0))))),1,0)</f>
        <v>0</v>
      </c>
      <c r="AZ74">
        <f>IF((AND(VLOOKUP(AZ$1,main!$A$3:$H$102,5,FALSE)-VLOOKUP($A74,main!$A$3:$H$102,6,FALSE)&gt;=(VLOOKUP(VLOOKUP(AZ$1,main!$A$3:$H$102,8,FALSE),main!$K$26:$M$29,2,FALSE)+VLOOKUP(VLOOKUP(AZ$1,main!$A$3:$H$102,7,FALSE),main!$K$19:$O$22,MATCH(VLOOKUP($A74,main!$A$3:$H$102,8,FALSE),main!$K$18:$O$18,0))))),1,0)</f>
        <v>0</v>
      </c>
      <c r="BA74">
        <f>IF((AND(VLOOKUP(BA$1,main!$A$3:$H$102,5,FALSE)-VLOOKUP($A74,main!$A$3:$H$102,6,FALSE)&gt;=(VLOOKUP(VLOOKUP(BA$1,main!$A$3:$H$102,8,FALSE),main!$K$26:$M$29,2,FALSE)+VLOOKUP(VLOOKUP(BA$1,main!$A$3:$H$102,7,FALSE),main!$K$19:$O$22,MATCH(VLOOKUP($A74,main!$A$3:$H$102,8,FALSE),main!$K$18:$O$18,0))))),1,0)</f>
        <v>0</v>
      </c>
      <c r="BB74">
        <f>IF((AND(VLOOKUP(BB$1,main!$A$3:$H$102,5,FALSE)-VLOOKUP($A74,main!$A$3:$H$102,6,FALSE)&gt;=(VLOOKUP(VLOOKUP(BB$1,main!$A$3:$H$102,8,FALSE),main!$K$26:$M$29,2,FALSE)+VLOOKUP(VLOOKUP(BB$1,main!$A$3:$H$102,7,FALSE),main!$K$19:$O$22,MATCH(VLOOKUP($A74,main!$A$3:$H$102,8,FALSE),main!$K$18:$O$18,0))))),1,0)</f>
        <v>1</v>
      </c>
      <c r="BC74">
        <f>IF((AND(VLOOKUP(BC$1,main!$A$3:$H$102,5,FALSE)-VLOOKUP($A74,main!$A$3:$H$102,6,FALSE)&gt;=(VLOOKUP(VLOOKUP(BC$1,main!$A$3:$H$102,8,FALSE),main!$K$26:$M$29,2,FALSE)+VLOOKUP(VLOOKUP(BC$1,main!$A$3:$H$102,7,FALSE),main!$K$19:$O$22,MATCH(VLOOKUP($A74,main!$A$3:$H$102,8,FALSE),main!$K$18:$O$18,0))))),1,0)</f>
        <v>1</v>
      </c>
      <c r="BD74">
        <f>IF((AND(VLOOKUP(BD$1,main!$A$3:$H$102,5,FALSE)-VLOOKUP($A74,main!$A$3:$H$102,6,FALSE)&gt;=(VLOOKUP(VLOOKUP(BD$1,main!$A$3:$H$102,8,FALSE),main!$K$26:$M$29,2,FALSE)+VLOOKUP(VLOOKUP(BD$1,main!$A$3:$H$102,7,FALSE),main!$K$19:$O$22,MATCH(VLOOKUP($A74,main!$A$3:$H$102,8,FALSE),main!$K$18:$O$18,0))))),1,0)</f>
        <v>1</v>
      </c>
      <c r="BE74">
        <f>IF((AND(VLOOKUP(BE$1,main!$A$3:$H$102,5,FALSE)-VLOOKUP($A74,main!$A$3:$H$102,6,FALSE)&gt;=(VLOOKUP(VLOOKUP(BE$1,main!$A$3:$H$102,8,FALSE),main!$K$26:$M$29,2,FALSE)+VLOOKUP(VLOOKUP(BE$1,main!$A$3:$H$102,7,FALSE),main!$K$19:$O$22,MATCH(VLOOKUP($A74,main!$A$3:$H$102,8,FALSE),main!$K$18:$O$18,0))))),1,0)</f>
        <v>1</v>
      </c>
      <c r="BF74">
        <f>IF((AND(VLOOKUP(BF$1,main!$A$3:$H$102,5,FALSE)-VLOOKUP($A74,main!$A$3:$H$102,6,FALSE)&gt;=(VLOOKUP(VLOOKUP(BF$1,main!$A$3:$H$102,8,FALSE),main!$K$26:$M$29,2,FALSE)+VLOOKUP(VLOOKUP(BF$1,main!$A$3:$H$102,7,FALSE),main!$K$19:$O$22,MATCH(VLOOKUP($A74,main!$A$3:$H$102,8,FALSE),main!$K$18:$O$18,0))))),1,0)</f>
        <v>0</v>
      </c>
      <c r="BG74">
        <f>IF((AND(VLOOKUP(BG$1,main!$A$3:$H$102,5,FALSE)-VLOOKUP($A74,main!$A$3:$H$102,6,FALSE)&gt;=(VLOOKUP(VLOOKUP(BG$1,main!$A$3:$H$102,8,FALSE),main!$K$26:$M$29,2,FALSE)+VLOOKUP(VLOOKUP(BG$1,main!$A$3:$H$102,7,FALSE),main!$K$19:$O$22,MATCH(VLOOKUP($A74,main!$A$3:$H$102,8,FALSE),main!$K$18:$O$18,0))))),1,0)</f>
        <v>0</v>
      </c>
      <c r="BH74">
        <f>IF((AND(VLOOKUP(BH$1,main!$A$3:$H$102,5,FALSE)-VLOOKUP($A74,main!$A$3:$H$102,6,FALSE)&gt;=(VLOOKUP(VLOOKUP(BH$1,main!$A$3:$H$102,8,FALSE),main!$K$26:$M$29,2,FALSE)+VLOOKUP(VLOOKUP(BH$1,main!$A$3:$H$102,7,FALSE),main!$K$19:$O$22,MATCH(VLOOKUP($A74,main!$A$3:$H$102,8,FALSE),main!$K$18:$O$18,0))))),1,0)</f>
        <v>1</v>
      </c>
      <c r="BI74">
        <f>IF((AND(VLOOKUP(BI$1,main!$A$3:$H$102,5,FALSE)-VLOOKUP($A74,main!$A$3:$H$102,6,FALSE)&gt;=(VLOOKUP(VLOOKUP(BI$1,main!$A$3:$H$102,8,FALSE),main!$K$26:$M$29,2,FALSE)+VLOOKUP(VLOOKUP(BI$1,main!$A$3:$H$102,7,FALSE),main!$K$19:$O$22,MATCH(VLOOKUP($A74,main!$A$3:$H$102,8,FALSE),main!$K$18:$O$18,0))))),1,0)</f>
        <v>1</v>
      </c>
      <c r="BJ74">
        <f>IF((AND(VLOOKUP(BJ$1,main!$A$3:$H$102,5,FALSE)-VLOOKUP($A74,main!$A$3:$H$102,6,FALSE)&gt;=(VLOOKUP(VLOOKUP(BJ$1,main!$A$3:$H$102,8,FALSE),main!$K$26:$M$29,2,FALSE)+VLOOKUP(VLOOKUP(BJ$1,main!$A$3:$H$102,7,FALSE),main!$K$19:$O$22,MATCH(VLOOKUP($A74,main!$A$3:$H$102,8,FALSE),main!$K$18:$O$18,0))))),1,0)</f>
        <v>1</v>
      </c>
      <c r="BK74">
        <f>IF((AND(VLOOKUP(BK$1,main!$A$3:$H$102,5,FALSE)-VLOOKUP($A74,main!$A$3:$H$102,6,FALSE)&gt;=(VLOOKUP(VLOOKUP(BK$1,main!$A$3:$H$102,8,FALSE),main!$K$26:$M$29,2,FALSE)+VLOOKUP(VLOOKUP(BK$1,main!$A$3:$H$102,7,FALSE),main!$K$19:$O$22,MATCH(VLOOKUP($A74,main!$A$3:$H$102,8,FALSE),main!$K$18:$O$18,0))))),1,0)</f>
        <v>0</v>
      </c>
      <c r="BL74">
        <f>IF((AND(VLOOKUP(BL$1,main!$A$3:$H$102,5,FALSE)-VLOOKUP($A74,main!$A$3:$H$102,6,FALSE)&gt;=(VLOOKUP(VLOOKUP(BL$1,main!$A$3:$H$102,8,FALSE),main!$K$26:$M$29,2,FALSE)+VLOOKUP(VLOOKUP(BL$1,main!$A$3:$H$102,7,FALSE),main!$K$19:$O$22,MATCH(VLOOKUP($A74,main!$A$3:$H$102,8,FALSE),main!$K$18:$O$18,0))))),1,0)</f>
        <v>0</v>
      </c>
      <c r="BM74">
        <f>IF((AND(VLOOKUP(BM$1,main!$A$3:$H$102,5,FALSE)-VLOOKUP($A74,main!$A$3:$H$102,6,FALSE)&gt;=(VLOOKUP(VLOOKUP(BM$1,main!$A$3:$H$102,8,FALSE),main!$K$26:$M$29,2,FALSE)+VLOOKUP(VLOOKUP(BM$1,main!$A$3:$H$102,7,FALSE),main!$K$19:$O$22,MATCH(VLOOKUP($A74,main!$A$3:$H$102,8,FALSE),main!$K$18:$O$18,0))))),1,0)</f>
        <v>0</v>
      </c>
      <c r="BN74">
        <f>IF((AND(VLOOKUP(BN$1,main!$A$3:$H$102,5,FALSE)-VLOOKUP($A74,main!$A$3:$H$102,6,FALSE)&gt;=(VLOOKUP(VLOOKUP(BN$1,main!$A$3:$H$102,8,FALSE),main!$K$26:$M$29,2,FALSE)+VLOOKUP(VLOOKUP(BN$1,main!$A$3:$H$102,7,FALSE),main!$K$19:$O$22,MATCH(VLOOKUP($A74,main!$A$3:$H$102,8,FALSE),main!$K$18:$O$18,0))))),1,0)</f>
        <v>1</v>
      </c>
      <c r="BO74">
        <f>IF((AND(VLOOKUP(BO$1,main!$A$3:$H$102,5,FALSE)-VLOOKUP($A74,main!$A$3:$H$102,6,FALSE)&gt;=(VLOOKUP(VLOOKUP(BO$1,main!$A$3:$H$102,8,FALSE),main!$K$26:$M$29,2,FALSE)+VLOOKUP(VLOOKUP(BO$1,main!$A$3:$H$102,7,FALSE),main!$K$19:$O$22,MATCH(VLOOKUP($A74,main!$A$3:$H$102,8,FALSE),main!$K$18:$O$18,0))))),1,0)</f>
        <v>0</v>
      </c>
      <c r="BP74">
        <f>IF((AND(VLOOKUP(BP$1,main!$A$3:$H$102,5,FALSE)-VLOOKUP($A74,main!$A$3:$H$102,6,FALSE)&gt;=(VLOOKUP(VLOOKUP(BP$1,main!$A$3:$H$102,8,FALSE),main!$K$26:$M$29,2,FALSE)+VLOOKUP(VLOOKUP(BP$1,main!$A$3:$H$102,7,FALSE),main!$K$19:$O$22,MATCH(VLOOKUP($A74,main!$A$3:$H$102,8,FALSE),main!$K$18:$O$18,0))))),1,0)</f>
        <v>0</v>
      </c>
      <c r="BQ74">
        <f>IF((AND(VLOOKUP(BQ$1,main!$A$3:$H$102,5,FALSE)-VLOOKUP($A74,main!$A$3:$H$102,6,FALSE)&gt;=(VLOOKUP(VLOOKUP(BQ$1,main!$A$3:$H$102,8,FALSE),main!$K$26:$M$29,2,FALSE)+VLOOKUP(VLOOKUP(BQ$1,main!$A$3:$H$102,7,FALSE),main!$K$19:$O$22,MATCH(VLOOKUP($A74,main!$A$3:$H$102,8,FALSE),main!$K$18:$O$18,0))))),1,0)</f>
        <v>1</v>
      </c>
      <c r="BR74">
        <f>IF((AND(VLOOKUP(BR$1,main!$A$3:$H$102,5,FALSE)-VLOOKUP($A74,main!$A$3:$H$102,6,FALSE)&gt;=(VLOOKUP(VLOOKUP(BR$1,main!$A$3:$H$102,8,FALSE),main!$K$26:$M$29,2,FALSE)+VLOOKUP(VLOOKUP(BR$1,main!$A$3:$H$102,7,FALSE),main!$K$19:$O$22,MATCH(VLOOKUP($A74,main!$A$3:$H$102,8,FALSE),main!$K$18:$O$18,0))))),1,0)</f>
        <v>1</v>
      </c>
      <c r="BS74">
        <f>IF((AND(VLOOKUP(BS$1,main!$A$3:$H$102,5,FALSE)-VLOOKUP($A74,main!$A$3:$H$102,6,FALSE)&gt;=(VLOOKUP(VLOOKUP(BS$1,main!$A$3:$H$102,8,FALSE),main!$K$26:$M$29,2,FALSE)+VLOOKUP(VLOOKUP(BS$1,main!$A$3:$H$102,7,FALSE),main!$K$19:$O$22,MATCH(VLOOKUP($A74,main!$A$3:$H$102,8,FALSE),main!$K$18:$O$18,0))))),1,0)</f>
        <v>1</v>
      </c>
      <c r="BT74">
        <f>IF((AND(VLOOKUP(BT$1,main!$A$3:$H$102,5,FALSE)-VLOOKUP($A74,main!$A$3:$H$102,6,FALSE)&gt;=(VLOOKUP(VLOOKUP(BT$1,main!$A$3:$H$102,8,FALSE),main!$K$26:$M$29,2,FALSE)+VLOOKUP(VLOOKUP(BT$1,main!$A$3:$H$102,7,FALSE),main!$K$19:$O$22,MATCH(VLOOKUP($A74,main!$A$3:$H$102,8,FALSE),main!$K$18:$O$18,0))))),1,0)</f>
        <v>1</v>
      </c>
      <c r="BU74">
        <f>IF((AND(VLOOKUP(BU$1,main!$A$3:$H$102,5,FALSE)-VLOOKUP($A74,main!$A$3:$H$102,6,FALSE)&gt;=(VLOOKUP(VLOOKUP(BU$1,main!$A$3:$H$102,8,FALSE),main!$K$26:$M$29,2,FALSE)+VLOOKUP(VLOOKUP(BU$1,main!$A$3:$H$102,7,FALSE),main!$K$19:$O$22,MATCH(VLOOKUP($A74,main!$A$3:$H$102,8,FALSE),main!$K$18:$O$18,0))))),1,0)</f>
        <v>0</v>
      </c>
      <c r="BV74">
        <f>IF((AND(VLOOKUP(BV$1,main!$A$3:$H$102,5,FALSE)-VLOOKUP($A74,main!$A$3:$H$102,6,FALSE)&gt;=(VLOOKUP(VLOOKUP(BV$1,main!$A$3:$H$102,8,FALSE),main!$K$26:$M$29,2,FALSE)+VLOOKUP(VLOOKUP(BV$1,main!$A$3:$H$102,7,FALSE),main!$K$19:$O$22,MATCH(VLOOKUP($A74,main!$A$3:$H$102,8,FALSE),main!$K$18:$O$18,0))))),1,0)</f>
        <v>0</v>
      </c>
      <c r="BW74">
        <f>IF((AND(VLOOKUP(BW$1,main!$A$3:$H$102,5,FALSE)-VLOOKUP($A74,main!$A$3:$H$102,6,FALSE)&gt;=(VLOOKUP(VLOOKUP(BW$1,main!$A$3:$H$102,8,FALSE),main!$K$26:$M$29,2,FALSE)+VLOOKUP(VLOOKUP(BW$1,main!$A$3:$H$102,7,FALSE),main!$K$19:$O$22,MATCH(VLOOKUP($A74,main!$A$3:$H$102,8,FALSE),main!$K$18:$O$18,0))))),1,0)</f>
        <v>0</v>
      </c>
      <c r="BX74">
        <f>IF((AND(VLOOKUP(BX$1,main!$A$3:$H$102,5,FALSE)-VLOOKUP($A74,main!$A$3:$H$102,6,FALSE)&gt;=(VLOOKUP(VLOOKUP(BX$1,main!$A$3:$H$102,8,FALSE),main!$K$26:$M$29,2,FALSE)+VLOOKUP(VLOOKUP(BX$1,main!$A$3:$H$102,7,FALSE),main!$K$19:$O$22,MATCH(VLOOKUP($A74,main!$A$3:$H$102,8,FALSE),main!$K$18:$O$18,0))))),1,0)</f>
        <v>1</v>
      </c>
      <c r="BY74">
        <f>IF((AND(VLOOKUP(BY$1,main!$A$3:$H$102,5,FALSE)-VLOOKUP($A74,main!$A$3:$H$102,6,FALSE)&gt;=(VLOOKUP(VLOOKUP(BY$1,main!$A$3:$H$102,8,FALSE),main!$K$26:$M$29,2,FALSE)+VLOOKUP(VLOOKUP(BY$1,main!$A$3:$H$102,7,FALSE),main!$K$19:$O$22,MATCH(VLOOKUP($A74,main!$A$3:$H$102,8,FALSE),main!$K$18:$O$18,0))))),1,0)</f>
        <v>1</v>
      </c>
      <c r="BZ74">
        <f>IF((AND(VLOOKUP(BZ$1,main!$A$3:$H$102,5,FALSE)-VLOOKUP($A74,main!$A$3:$H$102,6,FALSE)&gt;=(VLOOKUP(VLOOKUP(BZ$1,main!$A$3:$H$102,8,FALSE),main!$K$26:$M$29,2,FALSE)+VLOOKUP(VLOOKUP(BZ$1,main!$A$3:$H$102,7,FALSE),main!$K$19:$O$22,MATCH(VLOOKUP($A74,main!$A$3:$H$102,8,FALSE),main!$K$18:$O$18,0))))),1,0)</f>
        <v>0</v>
      </c>
      <c r="CA74">
        <f>IF((AND(VLOOKUP(CA$1,main!$A$3:$H$102,5,FALSE)-VLOOKUP($A74,main!$A$3:$H$102,6,FALSE)&gt;=(VLOOKUP(VLOOKUP(CA$1,main!$A$3:$H$102,8,FALSE),main!$K$26:$M$29,2,FALSE)+VLOOKUP(VLOOKUP(CA$1,main!$A$3:$H$102,7,FALSE),main!$K$19:$O$22,MATCH(VLOOKUP($A74,main!$A$3:$H$102,8,FALSE),main!$K$18:$O$18,0))))),1,0)</f>
        <v>0</v>
      </c>
      <c r="CB74">
        <f>IF((AND(VLOOKUP(CB$1,main!$A$3:$H$102,5,FALSE)-VLOOKUP($A74,main!$A$3:$H$102,6,FALSE)&gt;=(VLOOKUP(VLOOKUP(CB$1,main!$A$3:$H$102,8,FALSE),main!$K$26:$M$29,2,FALSE)+VLOOKUP(VLOOKUP(CB$1,main!$A$3:$H$102,7,FALSE),main!$K$19:$O$22,MATCH(VLOOKUP($A74,main!$A$3:$H$102,8,FALSE),main!$K$18:$O$18,0))))),1,0)</f>
        <v>1</v>
      </c>
      <c r="CC74">
        <f>IF((AND(VLOOKUP(CC$1,main!$A$3:$H$102,5,FALSE)-VLOOKUP($A74,main!$A$3:$H$102,6,FALSE)&gt;=(VLOOKUP(VLOOKUP(CC$1,main!$A$3:$H$102,8,FALSE),main!$K$26:$M$29,2,FALSE)+VLOOKUP(VLOOKUP(CC$1,main!$A$3:$H$102,7,FALSE),main!$K$19:$O$22,MATCH(VLOOKUP($A74,main!$A$3:$H$102,8,FALSE),main!$K$18:$O$18,0))))),1,0)</f>
        <v>1</v>
      </c>
      <c r="CD74">
        <f>IF((AND(VLOOKUP(CD$1,main!$A$3:$H$102,5,FALSE)-VLOOKUP($A74,main!$A$3:$H$102,6,FALSE)&gt;=(VLOOKUP(VLOOKUP(CD$1,main!$A$3:$H$102,8,FALSE),main!$K$26:$M$29,2,FALSE)+VLOOKUP(VLOOKUP(CD$1,main!$A$3:$H$102,7,FALSE),main!$K$19:$O$22,MATCH(VLOOKUP($A74,main!$A$3:$H$102,8,FALSE),main!$K$18:$O$18,0))))),1,0)</f>
        <v>1</v>
      </c>
      <c r="CE74">
        <f>IF((AND(VLOOKUP(CE$1,main!$A$3:$H$102,5,FALSE)-VLOOKUP($A74,main!$A$3:$H$102,6,FALSE)&gt;=(VLOOKUP(VLOOKUP(CE$1,main!$A$3:$H$102,8,FALSE),main!$K$26:$M$29,2,FALSE)+VLOOKUP(VLOOKUP(CE$1,main!$A$3:$H$102,7,FALSE),main!$K$19:$O$22,MATCH(VLOOKUP($A74,main!$A$3:$H$102,8,FALSE),main!$K$18:$O$18,0))))),1,0)</f>
        <v>1</v>
      </c>
      <c r="CF74">
        <f>IF((AND(VLOOKUP(CF$1,main!$A$3:$H$102,5,FALSE)-VLOOKUP($A74,main!$A$3:$H$102,6,FALSE)&gt;=(VLOOKUP(VLOOKUP(CF$1,main!$A$3:$H$102,8,FALSE),main!$K$26:$M$29,2,FALSE)+VLOOKUP(VLOOKUP(CF$1,main!$A$3:$H$102,7,FALSE),main!$K$19:$O$22,MATCH(VLOOKUP($A74,main!$A$3:$H$102,8,FALSE),main!$K$18:$O$18,0))))),1,0)</f>
        <v>1</v>
      </c>
      <c r="CG74">
        <f>IF((AND(VLOOKUP(CG$1,main!$A$3:$H$102,5,FALSE)-VLOOKUP($A74,main!$A$3:$H$102,6,FALSE)&gt;=(VLOOKUP(VLOOKUP(CG$1,main!$A$3:$H$102,8,FALSE),main!$K$26:$M$29,2,FALSE)+VLOOKUP(VLOOKUP(CG$1,main!$A$3:$H$102,7,FALSE),main!$K$19:$O$22,MATCH(VLOOKUP($A74,main!$A$3:$H$102,8,FALSE),main!$K$18:$O$18,0))))),1,0)</f>
        <v>1</v>
      </c>
      <c r="CH74">
        <f>IF((AND(VLOOKUP(CH$1,main!$A$3:$H$102,5,FALSE)-VLOOKUP($A74,main!$A$3:$H$102,6,FALSE)&gt;=(VLOOKUP(VLOOKUP(CH$1,main!$A$3:$H$102,8,FALSE),main!$K$26:$M$29,2,FALSE)+VLOOKUP(VLOOKUP(CH$1,main!$A$3:$H$102,7,FALSE),main!$K$19:$O$22,MATCH(VLOOKUP($A74,main!$A$3:$H$102,8,FALSE),main!$K$18:$O$18,0))))),1,0)</f>
        <v>1</v>
      </c>
      <c r="CI74">
        <f>IF((AND(VLOOKUP(CI$1,main!$A$3:$H$102,5,FALSE)-VLOOKUP($A74,main!$A$3:$H$102,6,FALSE)&gt;=(VLOOKUP(VLOOKUP(CI$1,main!$A$3:$H$102,8,FALSE),main!$K$26:$M$29,2,FALSE)+VLOOKUP(VLOOKUP(CI$1,main!$A$3:$H$102,7,FALSE),main!$K$19:$O$22,MATCH(VLOOKUP($A74,main!$A$3:$H$102,8,FALSE),main!$K$18:$O$18,0))))),1,0)</f>
        <v>1</v>
      </c>
      <c r="CJ74">
        <f>IF((AND(VLOOKUP(CJ$1,main!$A$3:$H$102,5,FALSE)-VLOOKUP($A74,main!$A$3:$H$102,6,FALSE)&gt;=(VLOOKUP(VLOOKUP(CJ$1,main!$A$3:$H$102,8,FALSE),main!$K$26:$M$29,2,FALSE)+VLOOKUP(VLOOKUP(CJ$1,main!$A$3:$H$102,7,FALSE),main!$K$19:$O$22,MATCH(VLOOKUP($A74,main!$A$3:$H$102,8,FALSE),main!$K$18:$O$18,0))))),1,0)</f>
        <v>1</v>
      </c>
      <c r="CK74">
        <f>IF((AND(VLOOKUP(CK$1,main!$A$3:$H$102,5,FALSE)-VLOOKUP($A74,main!$A$3:$H$102,6,FALSE)&gt;=(VLOOKUP(VLOOKUP(CK$1,main!$A$3:$H$102,8,FALSE),main!$K$26:$M$29,2,FALSE)+VLOOKUP(VLOOKUP(CK$1,main!$A$3:$H$102,7,FALSE),main!$K$19:$O$22,MATCH(VLOOKUP($A74,main!$A$3:$H$102,8,FALSE),main!$K$18:$O$18,0))))),1,0)</f>
        <v>0</v>
      </c>
      <c r="CL74">
        <f>IF((AND(VLOOKUP(CL$1,main!$A$3:$H$102,5,FALSE)-VLOOKUP($A74,main!$A$3:$H$102,6,FALSE)&gt;=(VLOOKUP(VLOOKUP(CL$1,main!$A$3:$H$102,8,FALSE),main!$K$26:$M$29,2,FALSE)+VLOOKUP(VLOOKUP(CL$1,main!$A$3:$H$102,7,FALSE),main!$K$19:$O$22,MATCH(VLOOKUP($A74,main!$A$3:$H$102,8,FALSE),main!$K$18:$O$18,0))))),1,0)</f>
        <v>1</v>
      </c>
      <c r="CM74">
        <f>IF((AND(VLOOKUP(CM$1,main!$A$3:$H$102,5,FALSE)-VLOOKUP($A74,main!$A$3:$H$102,6,FALSE)&gt;=(VLOOKUP(VLOOKUP(CM$1,main!$A$3:$H$102,8,FALSE),main!$K$26:$M$29,2,FALSE)+VLOOKUP(VLOOKUP(CM$1,main!$A$3:$H$102,7,FALSE),main!$K$19:$O$22,MATCH(VLOOKUP($A74,main!$A$3:$H$102,8,FALSE),main!$K$18:$O$18,0))))),1,0)</f>
        <v>1</v>
      </c>
      <c r="CN74">
        <f>IF((AND(VLOOKUP(CN$1,main!$A$3:$H$102,5,FALSE)-VLOOKUP($A74,main!$A$3:$H$102,6,FALSE)&gt;=(VLOOKUP(VLOOKUP(CN$1,main!$A$3:$H$102,8,FALSE),main!$K$26:$M$29,2,FALSE)+VLOOKUP(VLOOKUP(CN$1,main!$A$3:$H$102,7,FALSE),main!$K$19:$O$22,MATCH(VLOOKUP($A74,main!$A$3:$H$102,8,FALSE),main!$K$18:$O$18,0))))),1,0)</f>
        <v>1</v>
      </c>
      <c r="CO74">
        <f>IF((AND(VLOOKUP(CO$1,main!$A$3:$H$102,5,FALSE)-VLOOKUP($A74,main!$A$3:$H$102,6,FALSE)&gt;=(VLOOKUP(VLOOKUP(CO$1,main!$A$3:$H$102,8,FALSE),main!$K$26:$M$29,2,FALSE)+VLOOKUP(VLOOKUP(CO$1,main!$A$3:$H$102,7,FALSE),main!$K$19:$O$22,MATCH(VLOOKUP($A74,main!$A$3:$H$102,8,FALSE),main!$K$18:$O$18,0))))),1,0)</f>
        <v>0</v>
      </c>
      <c r="CP74">
        <f>IF((AND(VLOOKUP(CP$1,main!$A$3:$H$102,5,FALSE)-VLOOKUP($A74,main!$A$3:$H$102,6,FALSE)&gt;=(VLOOKUP(VLOOKUP(CP$1,main!$A$3:$H$102,8,FALSE),main!$K$26:$M$29,2,FALSE)+VLOOKUP(VLOOKUP(CP$1,main!$A$3:$H$102,7,FALSE),main!$K$19:$O$22,MATCH(VLOOKUP($A74,main!$A$3:$H$102,8,FALSE),main!$K$18:$O$18,0))))),1,0)</f>
        <v>1</v>
      </c>
      <c r="CQ74">
        <f>IF((AND(VLOOKUP(CQ$1,main!$A$3:$H$102,5,FALSE)-VLOOKUP($A74,main!$A$3:$H$102,6,FALSE)&gt;=(VLOOKUP(VLOOKUP(CQ$1,main!$A$3:$H$102,8,FALSE),main!$K$26:$M$29,2,FALSE)+VLOOKUP(VLOOKUP(CQ$1,main!$A$3:$H$102,7,FALSE),main!$K$19:$O$22,MATCH(VLOOKUP($A74,main!$A$3:$H$102,8,FALSE),main!$K$18:$O$18,0))))),1,0)</f>
        <v>1</v>
      </c>
      <c r="CR74">
        <f>IF((AND(VLOOKUP(CR$1,main!$A$3:$H$102,5,FALSE)-VLOOKUP($A74,main!$A$3:$H$102,6,FALSE)&gt;=(VLOOKUP(VLOOKUP(CR$1,main!$A$3:$H$102,8,FALSE),main!$K$26:$M$29,2,FALSE)+VLOOKUP(VLOOKUP(CR$1,main!$A$3:$H$102,7,FALSE),main!$K$19:$O$22,MATCH(VLOOKUP($A74,main!$A$3:$H$102,8,FALSE),main!$K$18:$O$18,0))))),1,0)</f>
        <v>1</v>
      </c>
      <c r="CS74">
        <f>IF((AND(VLOOKUP(CS$1,main!$A$3:$H$102,5,FALSE)-VLOOKUP($A74,main!$A$3:$H$102,6,FALSE)&gt;=(VLOOKUP(VLOOKUP(CS$1,main!$A$3:$H$102,8,FALSE),main!$K$26:$M$29,2,FALSE)+VLOOKUP(VLOOKUP(CS$1,main!$A$3:$H$102,7,FALSE),main!$K$19:$O$22,MATCH(VLOOKUP($A74,main!$A$3:$H$102,8,FALSE),main!$K$18:$O$18,0))))),1,0)</f>
        <v>1</v>
      </c>
      <c r="CT74">
        <f>IF((AND(VLOOKUP(CT$1,main!$A$3:$H$102,5,FALSE)-VLOOKUP($A74,main!$A$3:$H$102,6,FALSE)&gt;=(VLOOKUP(VLOOKUP(CT$1,main!$A$3:$H$102,8,FALSE),main!$K$26:$M$29,2,FALSE)+VLOOKUP(VLOOKUP(CT$1,main!$A$3:$H$102,7,FALSE),main!$K$19:$O$22,MATCH(VLOOKUP($A74,main!$A$3:$H$102,8,FALSE),main!$K$18:$O$18,0))))),1,0)</f>
        <v>0</v>
      </c>
      <c r="CU74">
        <f>IF((AND(VLOOKUP(CU$1,main!$A$3:$H$102,5,FALSE)-VLOOKUP($A74,main!$A$3:$H$102,6,FALSE)&gt;=(VLOOKUP(VLOOKUP(CU$1,main!$A$3:$H$102,8,FALSE),main!$K$26:$M$29,2,FALSE)+VLOOKUP(VLOOKUP(CU$1,main!$A$3:$H$102,7,FALSE),main!$K$19:$O$22,MATCH(VLOOKUP($A74,main!$A$3:$H$102,8,FALSE),main!$K$18:$O$18,0))))),1,0)</f>
        <v>0</v>
      </c>
      <c r="CV74">
        <f>IF((AND(VLOOKUP(CV$1,main!$A$3:$H$102,5,FALSE)-VLOOKUP($A74,main!$A$3:$H$102,6,FALSE)&gt;=(VLOOKUP(VLOOKUP(CV$1,main!$A$3:$H$102,8,FALSE),main!$K$26:$M$29,2,FALSE)+VLOOKUP(VLOOKUP(CV$1,main!$A$3:$H$102,7,FALSE),main!$K$19:$O$22,MATCH(VLOOKUP($A74,main!$A$3:$H$102,8,FALSE),main!$K$18:$O$18,0))))),1,0)</f>
        <v>1</v>
      </c>
      <c r="CW74">
        <f>IF((AND(VLOOKUP(CW$1,main!$A$3:$H$102,5,FALSE)-VLOOKUP($A74,main!$A$3:$H$102,6,FALSE)&gt;=(VLOOKUP(VLOOKUP(CW$1,main!$A$3:$H$102,8,FALSE),main!$K$26:$M$29,2,FALSE)+VLOOKUP(VLOOKUP(CW$1,main!$A$3:$H$102,7,FALSE),main!$K$19:$O$22,MATCH(VLOOKUP($A74,main!$A$3:$H$102,8,FALSE),main!$K$18:$O$18,0))))),1,0)</f>
        <v>1</v>
      </c>
      <c r="CX74">
        <f>IF((AND(VLOOKUP(CX$1,main!$A$3:$H$102,5,FALSE)-VLOOKUP($A74,main!$A$3:$H$102,6,FALSE)&gt;=(VLOOKUP(VLOOKUP(CX$1,main!$A$3:$H$102,8,FALSE),main!$K$26:$M$29,2,FALSE)+VLOOKUP(VLOOKUP(CX$1,main!$A$3:$H$102,7,FALSE),main!$K$19:$O$22,MATCH(VLOOKUP($A74,main!$A$3:$H$102,8,FALSE),main!$K$18:$O$18,0))))),1,0)</f>
        <v>1</v>
      </c>
    </row>
    <row r="75" spans="1:102" x14ac:dyDescent="0.25">
      <c r="A75" s="1">
        <v>73</v>
      </c>
      <c r="B75">
        <v>1</v>
      </c>
      <c r="C75">
        <f>IF((AND(VLOOKUP(C$1,main!$A$3:$H$102,5,FALSE)-VLOOKUP($A75,main!$A$3:$H$102,6,FALSE)&gt;=(VLOOKUP(VLOOKUP(C$1,main!$A$3:$H$102,8,FALSE),main!$K$26:$M$29,2,FALSE)+VLOOKUP(VLOOKUP(C$1,main!$A$3:$H$102,7,FALSE),main!$K$19:$O$22,MATCH(VLOOKUP($A75,main!$A$3:$H$102,8,FALSE),main!$K$18:$O$18,0))))),1,0)</f>
        <v>0</v>
      </c>
      <c r="D75">
        <f>IF((AND(VLOOKUP(D$1,main!$A$3:$H$102,5,FALSE)-VLOOKUP($A75,main!$A$3:$H$102,6,FALSE)&gt;=(VLOOKUP(VLOOKUP(D$1,main!$A$3:$H$102,8,FALSE),main!$K$26:$M$29,2,FALSE)+VLOOKUP(VLOOKUP(D$1,main!$A$3:$H$102,7,FALSE),main!$K$19:$O$22,MATCH(VLOOKUP($A75,main!$A$3:$H$102,8,FALSE),main!$K$18:$O$18,0))))),1,0)</f>
        <v>0</v>
      </c>
      <c r="E75">
        <f>IF((AND(VLOOKUP(E$1,main!$A$3:$H$102,5,FALSE)-VLOOKUP($A75,main!$A$3:$H$102,6,FALSE)&gt;=(VLOOKUP(VLOOKUP(E$1,main!$A$3:$H$102,8,FALSE),main!$K$26:$M$29,2,FALSE)+VLOOKUP(VLOOKUP(E$1,main!$A$3:$H$102,7,FALSE),main!$K$19:$O$22,MATCH(VLOOKUP($A75,main!$A$3:$H$102,8,FALSE),main!$K$18:$O$18,0))))),1,0)</f>
        <v>0</v>
      </c>
      <c r="F75">
        <f>IF((AND(VLOOKUP(F$1,main!$A$3:$H$102,5,FALSE)-VLOOKUP($A75,main!$A$3:$H$102,6,FALSE)&gt;=(VLOOKUP(VLOOKUP(F$1,main!$A$3:$H$102,8,FALSE),main!$K$26:$M$29,2,FALSE)+VLOOKUP(VLOOKUP(F$1,main!$A$3:$H$102,7,FALSE),main!$K$19:$O$22,MATCH(VLOOKUP($A75,main!$A$3:$H$102,8,FALSE),main!$K$18:$O$18,0))))),1,0)</f>
        <v>0</v>
      </c>
      <c r="G75">
        <f>IF((AND(VLOOKUP(G$1,main!$A$3:$H$102,5,FALSE)-VLOOKUP($A75,main!$A$3:$H$102,6,FALSE)&gt;=(VLOOKUP(VLOOKUP(G$1,main!$A$3:$H$102,8,FALSE),main!$K$26:$M$29,2,FALSE)+VLOOKUP(VLOOKUP(G$1,main!$A$3:$H$102,7,FALSE),main!$K$19:$O$22,MATCH(VLOOKUP($A75,main!$A$3:$H$102,8,FALSE),main!$K$18:$O$18,0))))),1,0)</f>
        <v>1</v>
      </c>
      <c r="H75">
        <f>IF((AND(VLOOKUP(H$1,main!$A$3:$H$102,5,FALSE)-VLOOKUP($A75,main!$A$3:$H$102,6,FALSE)&gt;=(VLOOKUP(VLOOKUP(H$1,main!$A$3:$H$102,8,FALSE),main!$K$26:$M$29,2,FALSE)+VLOOKUP(VLOOKUP(H$1,main!$A$3:$H$102,7,FALSE),main!$K$19:$O$22,MATCH(VLOOKUP($A75,main!$A$3:$H$102,8,FALSE),main!$K$18:$O$18,0))))),1,0)</f>
        <v>1</v>
      </c>
      <c r="I75">
        <f>IF((AND(VLOOKUP(I$1,main!$A$3:$H$102,5,FALSE)-VLOOKUP($A75,main!$A$3:$H$102,6,FALSE)&gt;=(VLOOKUP(VLOOKUP(I$1,main!$A$3:$H$102,8,FALSE),main!$K$26:$M$29,2,FALSE)+VLOOKUP(VLOOKUP(I$1,main!$A$3:$H$102,7,FALSE),main!$K$19:$O$22,MATCH(VLOOKUP($A75,main!$A$3:$H$102,8,FALSE),main!$K$18:$O$18,0))))),1,0)</f>
        <v>1</v>
      </c>
      <c r="J75">
        <f>IF((AND(VLOOKUP(J$1,main!$A$3:$H$102,5,FALSE)-VLOOKUP($A75,main!$A$3:$H$102,6,FALSE)&gt;=(VLOOKUP(VLOOKUP(J$1,main!$A$3:$H$102,8,FALSE),main!$K$26:$M$29,2,FALSE)+VLOOKUP(VLOOKUP(J$1,main!$A$3:$H$102,7,FALSE),main!$K$19:$O$22,MATCH(VLOOKUP($A75,main!$A$3:$H$102,8,FALSE),main!$K$18:$O$18,0))))),1,0)</f>
        <v>1</v>
      </c>
      <c r="K75">
        <f>IF((AND(VLOOKUP(K$1,main!$A$3:$H$102,5,FALSE)-VLOOKUP($A75,main!$A$3:$H$102,6,FALSE)&gt;=(VLOOKUP(VLOOKUP(K$1,main!$A$3:$H$102,8,FALSE),main!$K$26:$M$29,2,FALSE)+VLOOKUP(VLOOKUP(K$1,main!$A$3:$H$102,7,FALSE),main!$K$19:$O$22,MATCH(VLOOKUP($A75,main!$A$3:$H$102,8,FALSE),main!$K$18:$O$18,0))))),1,0)</f>
        <v>1</v>
      </c>
      <c r="L75">
        <f>IF((AND(VLOOKUP(L$1,main!$A$3:$H$102,5,FALSE)-VLOOKUP($A75,main!$A$3:$H$102,6,FALSE)&gt;=(VLOOKUP(VLOOKUP(L$1,main!$A$3:$H$102,8,FALSE),main!$K$26:$M$29,2,FALSE)+VLOOKUP(VLOOKUP(L$1,main!$A$3:$H$102,7,FALSE),main!$K$19:$O$22,MATCH(VLOOKUP($A75,main!$A$3:$H$102,8,FALSE),main!$K$18:$O$18,0))))),1,0)</f>
        <v>1</v>
      </c>
      <c r="M75">
        <f>IF((AND(VLOOKUP(M$1,main!$A$3:$H$102,5,FALSE)-VLOOKUP($A75,main!$A$3:$H$102,6,FALSE)&gt;=(VLOOKUP(VLOOKUP(M$1,main!$A$3:$H$102,8,FALSE),main!$K$26:$M$29,2,FALSE)+VLOOKUP(VLOOKUP(M$1,main!$A$3:$H$102,7,FALSE),main!$K$19:$O$22,MATCH(VLOOKUP($A75,main!$A$3:$H$102,8,FALSE),main!$K$18:$O$18,0))))),1,0)</f>
        <v>0</v>
      </c>
      <c r="N75">
        <f>IF((AND(VLOOKUP(N$1,main!$A$3:$H$102,5,FALSE)-VLOOKUP($A75,main!$A$3:$H$102,6,FALSE)&gt;=(VLOOKUP(VLOOKUP(N$1,main!$A$3:$H$102,8,FALSE),main!$K$26:$M$29,2,FALSE)+VLOOKUP(VLOOKUP(N$1,main!$A$3:$H$102,7,FALSE),main!$K$19:$O$22,MATCH(VLOOKUP($A75,main!$A$3:$H$102,8,FALSE),main!$K$18:$O$18,0))))),1,0)</f>
        <v>0</v>
      </c>
      <c r="O75">
        <f>IF((AND(VLOOKUP(O$1,main!$A$3:$H$102,5,FALSE)-VLOOKUP($A75,main!$A$3:$H$102,6,FALSE)&gt;=(VLOOKUP(VLOOKUP(O$1,main!$A$3:$H$102,8,FALSE),main!$K$26:$M$29,2,FALSE)+VLOOKUP(VLOOKUP(O$1,main!$A$3:$H$102,7,FALSE),main!$K$19:$O$22,MATCH(VLOOKUP($A75,main!$A$3:$H$102,8,FALSE),main!$K$18:$O$18,0))))),1,0)</f>
        <v>0</v>
      </c>
      <c r="P75">
        <f>IF((AND(VLOOKUP(P$1,main!$A$3:$H$102,5,FALSE)-VLOOKUP($A75,main!$A$3:$H$102,6,FALSE)&gt;=(VLOOKUP(VLOOKUP(P$1,main!$A$3:$H$102,8,FALSE),main!$K$26:$M$29,2,FALSE)+VLOOKUP(VLOOKUP(P$1,main!$A$3:$H$102,7,FALSE),main!$K$19:$O$22,MATCH(VLOOKUP($A75,main!$A$3:$H$102,8,FALSE),main!$K$18:$O$18,0))))),1,0)</f>
        <v>0</v>
      </c>
      <c r="Q75">
        <f>IF((AND(VLOOKUP(Q$1,main!$A$3:$H$102,5,FALSE)-VLOOKUP($A75,main!$A$3:$H$102,6,FALSE)&gt;=(VLOOKUP(VLOOKUP(Q$1,main!$A$3:$H$102,8,FALSE),main!$K$26:$M$29,2,FALSE)+VLOOKUP(VLOOKUP(Q$1,main!$A$3:$H$102,7,FALSE),main!$K$19:$O$22,MATCH(VLOOKUP($A75,main!$A$3:$H$102,8,FALSE),main!$K$18:$O$18,0))))),1,0)</f>
        <v>0</v>
      </c>
      <c r="R75">
        <f>IF((AND(VLOOKUP(R$1,main!$A$3:$H$102,5,FALSE)-VLOOKUP($A75,main!$A$3:$H$102,6,FALSE)&gt;=(VLOOKUP(VLOOKUP(R$1,main!$A$3:$H$102,8,FALSE),main!$K$26:$M$29,2,FALSE)+VLOOKUP(VLOOKUP(R$1,main!$A$3:$H$102,7,FALSE),main!$K$19:$O$22,MATCH(VLOOKUP($A75,main!$A$3:$H$102,8,FALSE),main!$K$18:$O$18,0))))),1,0)</f>
        <v>1</v>
      </c>
      <c r="S75">
        <f>IF((AND(VLOOKUP(S$1,main!$A$3:$H$102,5,FALSE)-VLOOKUP($A75,main!$A$3:$H$102,6,FALSE)&gt;=(VLOOKUP(VLOOKUP(S$1,main!$A$3:$H$102,8,FALSE),main!$K$26:$M$29,2,FALSE)+VLOOKUP(VLOOKUP(S$1,main!$A$3:$H$102,7,FALSE),main!$K$19:$O$22,MATCH(VLOOKUP($A75,main!$A$3:$H$102,8,FALSE),main!$K$18:$O$18,0))))),1,0)</f>
        <v>1</v>
      </c>
      <c r="T75">
        <f>IF((AND(VLOOKUP(T$1,main!$A$3:$H$102,5,FALSE)-VLOOKUP($A75,main!$A$3:$H$102,6,FALSE)&gt;=(VLOOKUP(VLOOKUP(T$1,main!$A$3:$H$102,8,FALSE),main!$K$26:$M$29,2,FALSE)+VLOOKUP(VLOOKUP(T$1,main!$A$3:$H$102,7,FALSE),main!$K$19:$O$22,MATCH(VLOOKUP($A75,main!$A$3:$H$102,8,FALSE),main!$K$18:$O$18,0))))),1,0)</f>
        <v>1</v>
      </c>
      <c r="U75">
        <f>IF((AND(VLOOKUP(U$1,main!$A$3:$H$102,5,FALSE)-VLOOKUP($A75,main!$A$3:$H$102,6,FALSE)&gt;=(VLOOKUP(VLOOKUP(U$1,main!$A$3:$H$102,8,FALSE),main!$K$26:$M$29,2,FALSE)+VLOOKUP(VLOOKUP(U$1,main!$A$3:$H$102,7,FALSE),main!$K$19:$O$22,MATCH(VLOOKUP($A75,main!$A$3:$H$102,8,FALSE),main!$K$18:$O$18,0))))),1,0)</f>
        <v>1</v>
      </c>
      <c r="V75">
        <f>IF((AND(VLOOKUP(V$1,main!$A$3:$H$102,5,FALSE)-VLOOKUP($A75,main!$A$3:$H$102,6,FALSE)&gt;=(VLOOKUP(VLOOKUP(V$1,main!$A$3:$H$102,8,FALSE),main!$K$26:$M$29,2,FALSE)+VLOOKUP(VLOOKUP(V$1,main!$A$3:$H$102,7,FALSE),main!$K$19:$O$22,MATCH(VLOOKUP($A75,main!$A$3:$H$102,8,FALSE),main!$K$18:$O$18,0))))),1,0)</f>
        <v>1</v>
      </c>
      <c r="W75">
        <f>IF((AND(VLOOKUP(W$1,main!$A$3:$H$102,5,FALSE)-VLOOKUP($A75,main!$A$3:$H$102,6,FALSE)&gt;=(VLOOKUP(VLOOKUP(W$1,main!$A$3:$H$102,8,FALSE),main!$K$26:$M$29,2,FALSE)+VLOOKUP(VLOOKUP(W$1,main!$A$3:$H$102,7,FALSE),main!$K$19:$O$22,MATCH(VLOOKUP($A75,main!$A$3:$H$102,8,FALSE),main!$K$18:$O$18,0))))),1,0)</f>
        <v>0</v>
      </c>
      <c r="X75">
        <f>IF((AND(VLOOKUP(X$1,main!$A$3:$H$102,5,FALSE)-VLOOKUP($A75,main!$A$3:$H$102,6,FALSE)&gt;=(VLOOKUP(VLOOKUP(X$1,main!$A$3:$H$102,8,FALSE),main!$K$26:$M$29,2,FALSE)+VLOOKUP(VLOOKUP(X$1,main!$A$3:$H$102,7,FALSE),main!$K$19:$O$22,MATCH(VLOOKUP($A75,main!$A$3:$H$102,8,FALSE),main!$K$18:$O$18,0))))),1,0)</f>
        <v>0</v>
      </c>
      <c r="Y75">
        <f>IF((AND(VLOOKUP(Y$1,main!$A$3:$H$102,5,FALSE)-VLOOKUP($A75,main!$A$3:$H$102,6,FALSE)&gt;=(VLOOKUP(VLOOKUP(Y$1,main!$A$3:$H$102,8,FALSE),main!$K$26:$M$29,2,FALSE)+VLOOKUP(VLOOKUP(Y$1,main!$A$3:$H$102,7,FALSE),main!$K$19:$O$22,MATCH(VLOOKUP($A75,main!$A$3:$H$102,8,FALSE),main!$K$18:$O$18,0))))),1,0)</f>
        <v>1</v>
      </c>
      <c r="Z75">
        <f>IF((AND(VLOOKUP(Z$1,main!$A$3:$H$102,5,FALSE)-VLOOKUP($A75,main!$A$3:$H$102,6,FALSE)&gt;=(VLOOKUP(VLOOKUP(Z$1,main!$A$3:$H$102,8,FALSE),main!$K$26:$M$29,2,FALSE)+VLOOKUP(VLOOKUP(Z$1,main!$A$3:$H$102,7,FALSE),main!$K$19:$O$22,MATCH(VLOOKUP($A75,main!$A$3:$H$102,8,FALSE),main!$K$18:$O$18,0))))),1,0)</f>
        <v>1</v>
      </c>
      <c r="AA75">
        <f>IF((AND(VLOOKUP(AA$1,main!$A$3:$H$102,5,FALSE)-VLOOKUP($A75,main!$A$3:$H$102,6,FALSE)&gt;=(VLOOKUP(VLOOKUP(AA$1,main!$A$3:$H$102,8,FALSE),main!$K$26:$M$29,2,FALSE)+VLOOKUP(VLOOKUP(AA$1,main!$A$3:$H$102,7,FALSE),main!$K$19:$O$22,MATCH(VLOOKUP($A75,main!$A$3:$H$102,8,FALSE),main!$K$18:$O$18,0))))),1,0)</f>
        <v>1</v>
      </c>
      <c r="AB75">
        <f>IF((AND(VLOOKUP(AB$1,main!$A$3:$H$102,5,FALSE)-VLOOKUP($A75,main!$A$3:$H$102,6,FALSE)&gt;=(VLOOKUP(VLOOKUP(AB$1,main!$A$3:$H$102,8,FALSE),main!$K$26:$M$29,2,FALSE)+VLOOKUP(VLOOKUP(AB$1,main!$A$3:$H$102,7,FALSE),main!$K$19:$O$22,MATCH(VLOOKUP($A75,main!$A$3:$H$102,8,FALSE),main!$K$18:$O$18,0))))),1,0)</f>
        <v>0</v>
      </c>
      <c r="AC75">
        <f>IF((AND(VLOOKUP(AC$1,main!$A$3:$H$102,5,FALSE)-VLOOKUP($A75,main!$A$3:$H$102,6,FALSE)&gt;=(VLOOKUP(VLOOKUP(AC$1,main!$A$3:$H$102,8,FALSE),main!$K$26:$M$29,2,FALSE)+VLOOKUP(VLOOKUP(AC$1,main!$A$3:$H$102,7,FALSE),main!$K$19:$O$22,MATCH(VLOOKUP($A75,main!$A$3:$H$102,8,FALSE),main!$K$18:$O$18,0))))),1,0)</f>
        <v>0</v>
      </c>
      <c r="AD75">
        <f>IF((AND(VLOOKUP(AD$1,main!$A$3:$H$102,5,FALSE)-VLOOKUP($A75,main!$A$3:$H$102,6,FALSE)&gt;=(VLOOKUP(VLOOKUP(AD$1,main!$A$3:$H$102,8,FALSE),main!$K$26:$M$29,2,FALSE)+VLOOKUP(VLOOKUP(AD$1,main!$A$3:$H$102,7,FALSE),main!$K$19:$O$22,MATCH(VLOOKUP($A75,main!$A$3:$H$102,8,FALSE),main!$K$18:$O$18,0))))),1,0)</f>
        <v>0</v>
      </c>
      <c r="AE75">
        <f>IF((AND(VLOOKUP(AE$1,main!$A$3:$H$102,5,FALSE)-VLOOKUP($A75,main!$A$3:$H$102,6,FALSE)&gt;=(VLOOKUP(VLOOKUP(AE$1,main!$A$3:$H$102,8,FALSE),main!$K$26:$M$29,2,FALSE)+VLOOKUP(VLOOKUP(AE$1,main!$A$3:$H$102,7,FALSE),main!$K$19:$O$22,MATCH(VLOOKUP($A75,main!$A$3:$H$102,8,FALSE),main!$K$18:$O$18,0))))),1,0)</f>
        <v>1</v>
      </c>
      <c r="AF75">
        <f>IF((AND(VLOOKUP(AF$1,main!$A$3:$H$102,5,FALSE)-VLOOKUP($A75,main!$A$3:$H$102,6,FALSE)&gt;=(VLOOKUP(VLOOKUP(AF$1,main!$A$3:$H$102,8,FALSE),main!$K$26:$M$29,2,FALSE)+VLOOKUP(VLOOKUP(AF$1,main!$A$3:$H$102,7,FALSE),main!$K$19:$O$22,MATCH(VLOOKUP($A75,main!$A$3:$H$102,8,FALSE),main!$K$18:$O$18,0))))),1,0)</f>
        <v>1</v>
      </c>
      <c r="AG75">
        <f>IF((AND(VLOOKUP(AG$1,main!$A$3:$H$102,5,FALSE)-VLOOKUP($A75,main!$A$3:$H$102,6,FALSE)&gt;=(VLOOKUP(VLOOKUP(AG$1,main!$A$3:$H$102,8,FALSE),main!$K$26:$M$29,2,FALSE)+VLOOKUP(VLOOKUP(AG$1,main!$A$3:$H$102,7,FALSE),main!$K$19:$O$22,MATCH(VLOOKUP($A75,main!$A$3:$H$102,8,FALSE),main!$K$18:$O$18,0))))),1,0)</f>
        <v>0</v>
      </c>
      <c r="AH75">
        <f>IF((AND(VLOOKUP(AH$1,main!$A$3:$H$102,5,FALSE)-VLOOKUP($A75,main!$A$3:$H$102,6,FALSE)&gt;=(VLOOKUP(VLOOKUP(AH$1,main!$A$3:$H$102,8,FALSE),main!$K$26:$M$29,2,FALSE)+VLOOKUP(VLOOKUP(AH$1,main!$A$3:$H$102,7,FALSE),main!$K$19:$O$22,MATCH(VLOOKUP($A75,main!$A$3:$H$102,8,FALSE),main!$K$18:$O$18,0))))),1,0)</f>
        <v>0</v>
      </c>
      <c r="AI75">
        <f>IF((AND(VLOOKUP(AI$1,main!$A$3:$H$102,5,FALSE)-VLOOKUP($A75,main!$A$3:$H$102,6,FALSE)&gt;=(VLOOKUP(VLOOKUP(AI$1,main!$A$3:$H$102,8,FALSE),main!$K$26:$M$29,2,FALSE)+VLOOKUP(VLOOKUP(AI$1,main!$A$3:$H$102,7,FALSE),main!$K$19:$O$22,MATCH(VLOOKUP($A75,main!$A$3:$H$102,8,FALSE),main!$K$18:$O$18,0))))),1,0)</f>
        <v>0</v>
      </c>
      <c r="AJ75">
        <f>IF((AND(VLOOKUP(AJ$1,main!$A$3:$H$102,5,FALSE)-VLOOKUP($A75,main!$A$3:$H$102,6,FALSE)&gt;=(VLOOKUP(VLOOKUP(AJ$1,main!$A$3:$H$102,8,FALSE),main!$K$26:$M$29,2,FALSE)+VLOOKUP(VLOOKUP(AJ$1,main!$A$3:$H$102,7,FALSE),main!$K$19:$O$22,MATCH(VLOOKUP($A75,main!$A$3:$H$102,8,FALSE),main!$K$18:$O$18,0))))),1,0)</f>
        <v>1</v>
      </c>
      <c r="AK75">
        <f>IF((AND(VLOOKUP(AK$1,main!$A$3:$H$102,5,FALSE)-VLOOKUP($A75,main!$A$3:$H$102,6,FALSE)&gt;=(VLOOKUP(VLOOKUP(AK$1,main!$A$3:$H$102,8,FALSE),main!$K$26:$M$29,2,FALSE)+VLOOKUP(VLOOKUP(AK$1,main!$A$3:$H$102,7,FALSE),main!$K$19:$O$22,MATCH(VLOOKUP($A75,main!$A$3:$H$102,8,FALSE),main!$K$18:$O$18,0))))),1,0)</f>
        <v>1</v>
      </c>
      <c r="AL75">
        <f>IF((AND(VLOOKUP(AL$1,main!$A$3:$H$102,5,FALSE)-VLOOKUP($A75,main!$A$3:$H$102,6,FALSE)&gt;=(VLOOKUP(VLOOKUP(AL$1,main!$A$3:$H$102,8,FALSE),main!$K$26:$M$29,2,FALSE)+VLOOKUP(VLOOKUP(AL$1,main!$A$3:$H$102,7,FALSE),main!$K$19:$O$22,MATCH(VLOOKUP($A75,main!$A$3:$H$102,8,FALSE),main!$K$18:$O$18,0))))),1,0)</f>
        <v>1</v>
      </c>
      <c r="AM75">
        <f>IF((AND(VLOOKUP(AM$1,main!$A$3:$H$102,5,FALSE)-VLOOKUP($A75,main!$A$3:$H$102,6,FALSE)&gt;=(VLOOKUP(VLOOKUP(AM$1,main!$A$3:$H$102,8,FALSE),main!$K$26:$M$29,2,FALSE)+VLOOKUP(VLOOKUP(AM$1,main!$A$3:$H$102,7,FALSE),main!$K$19:$O$22,MATCH(VLOOKUP($A75,main!$A$3:$H$102,8,FALSE),main!$K$18:$O$18,0))))),1,0)</f>
        <v>1</v>
      </c>
      <c r="AN75">
        <f>IF((AND(VLOOKUP(AN$1,main!$A$3:$H$102,5,FALSE)-VLOOKUP($A75,main!$A$3:$H$102,6,FALSE)&gt;=(VLOOKUP(VLOOKUP(AN$1,main!$A$3:$H$102,8,FALSE),main!$K$26:$M$29,2,FALSE)+VLOOKUP(VLOOKUP(AN$1,main!$A$3:$H$102,7,FALSE),main!$K$19:$O$22,MATCH(VLOOKUP($A75,main!$A$3:$H$102,8,FALSE),main!$K$18:$O$18,0))))),1,0)</f>
        <v>1</v>
      </c>
      <c r="AO75">
        <f>IF((AND(VLOOKUP(AO$1,main!$A$3:$H$102,5,FALSE)-VLOOKUP($A75,main!$A$3:$H$102,6,FALSE)&gt;=(VLOOKUP(VLOOKUP(AO$1,main!$A$3:$H$102,8,FALSE),main!$K$26:$M$29,2,FALSE)+VLOOKUP(VLOOKUP(AO$1,main!$A$3:$H$102,7,FALSE),main!$K$19:$O$22,MATCH(VLOOKUP($A75,main!$A$3:$H$102,8,FALSE),main!$K$18:$O$18,0))))),1,0)</f>
        <v>0</v>
      </c>
      <c r="AP75">
        <f>IF((AND(VLOOKUP(AP$1,main!$A$3:$H$102,5,FALSE)-VLOOKUP($A75,main!$A$3:$H$102,6,FALSE)&gt;=(VLOOKUP(VLOOKUP(AP$1,main!$A$3:$H$102,8,FALSE),main!$K$26:$M$29,2,FALSE)+VLOOKUP(VLOOKUP(AP$1,main!$A$3:$H$102,7,FALSE),main!$K$19:$O$22,MATCH(VLOOKUP($A75,main!$A$3:$H$102,8,FALSE),main!$K$18:$O$18,0))))),1,0)</f>
        <v>1</v>
      </c>
      <c r="AQ75">
        <f>IF((AND(VLOOKUP(AQ$1,main!$A$3:$H$102,5,FALSE)-VLOOKUP($A75,main!$A$3:$H$102,6,FALSE)&gt;=(VLOOKUP(VLOOKUP(AQ$1,main!$A$3:$H$102,8,FALSE),main!$K$26:$M$29,2,FALSE)+VLOOKUP(VLOOKUP(AQ$1,main!$A$3:$H$102,7,FALSE),main!$K$19:$O$22,MATCH(VLOOKUP($A75,main!$A$3:$H$102,8,FALSE),main!$K$18:$O$18,0))))),1,0)</f>
        <v>0</v>
      </c>
      <c r="AR75">
        <f>IF((AND(VLOOKUP(AR$1,main!$A$3:$H$102,5,FALSE)-VLOOKUP($A75,main!$A$3:$H$102,6,FALSE)&gt;=(VLOOKUP(VLOOKUP(AR$1,main!$A$3:$H$102,8,FALSE),main!$K$26:$M$29,2,FALSE)+VLOOKUP(VLOOKUP(AR$1,main!$A$3:$H$102,7,FALSE),main!$K$19:$O$22,MATCH(VLOOKUP($A75,main!$A$3:$H$102,8,FALSE),main!$K$18:$O$18,0))))),1,0)</f>
        <v>0</v>
      </c>
      <c r="AS75">
        <f>IF((AND(VLOOKUP(AS$1,main!$A$3:$H$102,5,FALSE)-VLOOKUP($A75,main!$A$3:$H$102,6,FALSE)&gt;=(VLOOKUP(VLOOKUP(AS$1,main!$A$3:$H$102,8,FALSE),main!$K$26:$M$29,2,FALSE)+VLOOKUP(VLOOKUP(AS$1,main!$A$3:$H$102,7,FALSE),main!$K$19:$O$22,MATCH(VLOOKUP($A75,main!$A$3:$H$102,8,FALSE),main!$K$18:$O$18,0))))),1,0)</f>
        <v>1</v>
      </c>
      <c r="AT75">
        <f>IF((AND(VLOOKUP(AT$1,main!$A$3:$H$102,5,FALSE)-VLOOKUP($A75,main!$A$3:$H$102,6,FALSE)&gt;=(VLOOKUP(VLOOKUP(AT$1,main!$A$3:$H$102,8,FALSE),main!$K$26:$M$29,2,FALSE)+VLOOKUP(VLOOKUP(AT$1,main!$A$3:$H$102,7,FALSE),main!$K$19:$O$22,MATCH(VLOOKUP($A75,main!$A$3:$H$102,8,FALSE),main!$K$18:$O$18,0))))),1,0)</f>
        <v>1</v>
      </c>
      <c r="AU75">
        <f>IF((AND(VLOOKUP(AU$1,main!$A$3:$H$102,5,FALSE)-VLOOKUP($A75,main!$A$3:$H$102,6,FALSE)&gt;=(VLOOKUP(VLOOKUP(AU$1,main!$A$3:$H$102,8,FALSE),main!$K$26:$M$29,2,FALSE)+VLOOKUP(VLOOKUP(AU$1,main!$A$3:$H$102,7,FALSE),main!$K$19:$O$22,MATCH(VLOOKUP($A75,main!$A$3:$H$102,8,FALSE),main!$K$18:$O$18,0))))),1,0)</f>
        <v>0</v>
      </c>
      <c r="AV75">
        <f>IF((AND(VLOOKUP(AV$1,main!$A$3:$H$102,5,FALSE)-VLOOKUP($A75,main!$A$3:$H$102,6,FALSE)&gt;=(VLOOKUP(VLOOKUP(AV$1,main!$A$3:$H$102,8,FALSE),main!$K$26:$M$29,2,FALSE)+VLOOKUP(VLOOKUP(AV$1,main!$A$3:$H$102,7,FALSE),main!$K$19:$O$22,MATCH(VLOOKUP($A75,main!$A$3:$H$102,8,FALSE),main!$K$18:$O$18,0))))),1,0)</f>
        <v>0</v>
      </c>
      <c r="AW75">
        <f>IF((AND(VLOOKUP(AW$1,main!$A$3:$H$102,5,FALSE)-VLOOKUP($A75,main!$A$3:$H$102,6,FALSE)&gt;=(VLOOKUP(VLOOKUP(AW$1,main!$A$3:$H$102,8,FALSE),main!$K$26:$M$29,2,FALSE)+VLOOKUP(VLOOKUP(AW$1,main!$A$3:$H$102,7,FALSE),main!$K$19:$O$22,MATCH(VLOOKUP($A75,main!$A$3:$H$102,8,FALSE),main!$K$18:$O$18,0))))),1,0)</f>
        <v>1</v>
      </c>
      <c r="AX75">
        <f>IF((AND(VLOOKUP(AX$1,main!$A$3:$H$102,5,FALSE)-VLOOKUP($A75,main!$A$3:$H$102,6,FALSE)&gt;=(VLOOKUP(VLOOKUP(AX$1,main!$A$3:$H$102,8,FALSE),main!$K$26:$M$29,2,FALSE)+VLOOKUP(VLOOKUP(AX$1,main!$A$3:$H$102,7,FALSE),main!$K$19:$O$22,MATCH(VLOOKUP($A75,main!$A$3:$H$102,8,FALSE),main!$K$18:$O$18,0))))),1,0)</f>
        <v>0</v>
      </c>
      <c r="AY75">
        <f>IF((AND(VLOOKUP(AY$1,main!$A$3:$H$102,5,FALSE)-VLOOKUP($A75,main!$A$3:$H$102,6,FALSE)&gt;=(VLOOKUP(VLOOKUP(AY$1,main!$A$3:$H$102,8,FALSE),main!$K$26:$M$29,2,FALSE)+VLOOKUP(VLOOKUP(AY$1,main!$A$3:$H$102,7,FALSE),main!$K$19:$O$22,MATCH(VLOOKUP($A75,main!$A$3:$H$102,8,FALSE),main!$K$18:$O$18,0))))),1,0)</f>
        <v>0</v>
      </c>
      <c r="AZ75">
        <f>IF((AND(VLOOKUP(AZ$1,main!$A$3:$H$102,5,FALSE)-VLOOKUP($A75,main!$A$3:$H$102,6,FALSE)&gt;=(VLOOKUP(VLOOKUP(AZ$1,main!$A$3:$H$102,8,FALSE),main!$K$26:$M$29,2,FALSE)+VLOOKUP(VLOOKUP(AZ$1,main!$A$3:$H$102,7,FALSE),main!$K$19:$O$22,MATCH(VLOOKUP($A75,main!$A$3:$H$102,8,FALSE),main!$K$18:$O$18,0))))),1,0)</f>
        <v>0</v>
      </c>
      <c r="BA75">
        <f>IF((AND(VLOOKUP(BA$1,main!$A$3:$H$102,5,FALSE)-VLOOKUP($A75,main!$A$3:$H$102,6,FALSE)&gt;=(VLOOKUP(VLOOKUP(BA$1,main!$A$3:$H$102,8,FALSE),main!$K$26:$M$29,2,FALSE)+VLOOKUP(VLOOKUP(BA$1,main!$A$3:$H$102,7,FALSE),main!$K$19:$O$22,MATCH(VLOOKUP($A75,main!$A$3:$H$102,8,FALSE),main!$K$18:$O$18,0))))),1,0)</f>
        <v>0</v>
      </c>
      <c r="BB75">
        <f>IF((AND(VLOOKUP(BB$1,main!$A$3:$H$102,5,FALSE)-VLOOKUP($A75,main!$A$3:$H$102,6,FALSE)&gt;=(VLOOKUP(VLOOKUP(BB$1,main!$A$3:$H$102,8,FALSE),main!$K$26:$M$29,2,FALSE)+VLOOKUP(VLOOKUP(BB$1,main!$A$3:$H$102,7,FALSE),main!$K$19:$O$22,MATCH(VLOOKUP($A75,main!$A$3:$H$102,8,FALSE),main!$K$18:$O$18,0))))),1,0)</f>
        <v>0</v>
      </c>
      <c r="BC75">
        <f>IF((AND(VLOOKUP(BC$1,main!$A$3:$H$102,5,FALSE)-VLOOKUP($A75,main!$A$3:$H$102,6,FALSE)&gt;=(VLOOKUP(VLOOKUP(BC$1,main!$A$3:$H$102,8,FALSE),main!$K$26:$M$29,2,FALSE)+VLOOKUP(VLOOKUP(BC$1,main!$A$3:$H$102,7,FALSE),main!$K$19:$O$22,MATCH(VLOOKUP($A75,main!$A$3:$H$102,8,FALSE),main!$K$18:$O$18,0))))),1,0)</f>
        <v>1</v>
      </c>
      <c r="BD75">
        <f>IF((AND(VLOOKUP(BD$1,main!$A$3:$H$102,5,FALSE)-VLOOKUP($A75,main!$A$3:$H$102,6,FALSE)&gt;=(VLOOKUP(VLOOKUP(BD$1,main!$A$3:$H$102,8,FALSE),main!$K$26:$M$29,2,FALSE)+VLOOKUP(VLOOKUP(BD$1,main!$A$3:$H$102,7,FALSE),main!$K$19:$O$22,MATCH(VLOOKUP($A75,main!$A$3:$H$102,8,FALSE),main!$K$18:$O$18,0))))),1,0)</f>
        <v>1</v>
      </c>
      <c r="BE75">
        <f>IF((AND(VLOOKUP(BE$1,main!$A$3:$H$102,5,FALSE)-VLOOKUP($A75,main!$A$3:$H$102,6,FALSE)&gt;=(VLOOKUP(VLOOKUP(BE$1,main!$A$3:$H$102,8,FALSE),main!$K$26:$M$29,2,FALSE)+VLOOKUP(VLOOKUP(BE$1,main!$A$3:$H$102,7,FALSE),main!$K$19:$O$22,MATCH(VLOOKUP($A75,main!$A$3:$H$102,8,FALSE),main!$K$18:$O$18,0))))),1,0)</f>
        <v>1</v>
      </c>
      <c r="BF75">
        <f>IF((AND(VLOOKUP(BF$1,main!$A$3:$H$102,5,FALSE)-VLOOKUP($A75,main!$A$3:$H$102,6,FALSE)&gt;=(VLOOKUP(VLOOKUP(BF$1,main!$A$3:$H$102,8,FALSE),main!$K$26:$M$29,2,FALSE)+VLOOKUP(VLOOKUP(BF$1,main!$A$3:$H$102,7,FALSE),main!$K$19:$O$22,MATCH(VLOOKUP($A75,main!$A$3:$H$102,8,FALSE),main!$K$18:$O$18,0))))),1,0)</f>
        <v>0</v>
      </c>
      <c r="BG75">
        <f>IF((AND(VLOOKUP(BG$1,main!$A$3:$H$102,5,FALSE)-VLOOKUP($A75,main!$A$3:$H$102,6,FALSE)&gt;=(VLOOKUP(VLOOKUP(BG$1,main!$A$3:$H$102,8,FALSE),main!$K$26:$M$29,2,FALSE)+VLOOKUP(VLOOKUP(BG$1,main!$A$3:$H$102,7,FALSE),main!$K$19:$O$22,MATCH(VLOOKUP($A75,main!$A$3:$H$102,8,FALSE),main!$K$18:$O$18,0))))),1,0)</f>
        <v>0</v>
      </c>
      <c r="BH75">
        <f>IF((AND(VLOOKUP(BH$1,main!$A$3:$H$102,5,FALSE)-VLOOKUP($A75,main!$A$3:$H$102,6,FALSE)&gt;=(VLOOKUP(VLOOKUP(BH$1,main!$A$3:$H$102,8,FALSE),main!$K$26:$M$29,2,FALSE)+VLOOKUP(VLOOKUP(BH$1,main!$A$3:$H$102,7,FALSE),main!$K$19:$O$22,MATCH(VLOOKUP($A75,main!$A$3:$H$102,8,FALSE),main!$K$18:$O$18,0))))),1,0)</f>
        <v>1</v>
      </c>
      <c r="BI75">
        <f>IF((AND(VLOOKUP(BI$1,main!$A$3:$H$102,5,FALSE)-VLOOKUP($A75,main!$A$3:$H$102,6,FALSE)&gt;=(VLOOKUP(VLOOKUP(BI$1,main!$A$3:$H$102,8,FALSE),main!$K$26:$M$29,2,FALSE)+VLOOKUP(VLOOKUP(BI$1,main!$A$3:$H$102,7,FALSE),main!$K$19:$O$22,MATCH(VLOOKUP($A75,main!$A$3:$H$102,8,FALSE),main!$K$18:$O$18,0))))),1,0)</f>
        <v>1</v>
      </c>
      <c r="BJ75">
        <f>IF((AND(VLOOKUP(BJ$1,main!$A$3:$H$102,5,FALSE)-VLOOKUP($A75,main!$A$3:$H$102,6,FALSE)&gt;=(VLOOKUP(VLOOKUP(BJ$1,main!$A$3:$H$102,8,FALSE),main!$K$26:$M$29,2,FALSE)+VLOOKUP(VLOOKUP(BJ$1,main!$A$3:$H$102,7,FALSE),main!$K$19:$O$22,MATCH(VLOOKUP($A75,main!$A$3:$H$102,8,FALSE),main!$K$18:$O$18,0))))),1,0)</f>
        <v>1</v>
      </c>
      <c r="BK75">
        <f>IF((AND(VLOOKUP(BK$1,main!$A$3:$H$102,5,FALSE)-VLOOKUP($A75,main!$A$3:$H$102,6,FALSE)&gt;=(VLOOKUP(VLOOKUP(BK$1,main!$A$3:$H$102,8,FALSE),main!$K$26:$M$29,2,FALSE)+VLOOKUP(VLOOKUP(BK$1,main!$A$3:$H$102,7,FALSE),main!$K$19:$O$22,MATCH(VLOOKUP($A75,main!$A$3:$H$102,8,FALSE),main!$K$18:$O$18,0))))),1,0)</f>
        <v>0</v>
      </c>
      <c r="BL75">
        <f>IF((AND(VLOOKUP(BL$1,main!$A$3:$H$102,5,FALSE)-VLOOKUP($A75,main!$A$3:$H$102,6,FALSE)&gt;=(VLOOKUP(VLOOKUP(BL$1,main!$A$3:$H$102,8,FALSE),main!$K$26:$M$29,2,FALSE)+VLOOKUP(VLOOKUP(BL$1,main!$A$3:$H$102,7,FALSE),main!$K$19:$O$22,MATCH(VLOOKUP($A75,main!$A$3:$H$102,8,FALSE),main!$K$18:$O$18,0))))),1,0)</f>
        <v>0</v>
      </c>
      <c r="BM75">
        <f>IF((AND(VLOOKUP(BM$1,main!$A$3:$H$102,5,FALSE)-VLOOKUP($A75,main!$A$3:$H$102,6,FALSE)&gt;=(VLOOKUP(VLOOKUP(BM$1,main!$A$3:$H$102,8,FALSE),main!$K$26:$M$29,2,FALSE)+VLOOKUP(VLOOKUP(BM$1,main!$A$3:$H$102,7,FALSE),main!$K$19:$O$22,MATCH(VLOOKUP($A75,main!$A$3:$H$102,8,FALSE),main!$K$18:$O$18,0))))),1,0)</f>
        <v>0</v>
      </c>
      <c r="BN75">
        <f>IF((AND(VLOOKUP(BN$1,main!$A$3:$H$102,5,FALSE)-VLOOKUP($A75,main!$A$3:$H$102,6,FALSE)&gt;=(VLOOKUP(VLOOKUP(BN$1,main!$A$3:$H$102,8,FALSE),main!$K$26:$M$29,2,FALSE)+VLOOKUP(VLOOKUP(BN$1,main!$A$3:$H$102,7,FALSE),main!$K$19:$O$22,MATCH(VLOOKUP($A75,main!$A$3:$H$102,8,FALSE),main!$K$18:$O$18,0))))),1,0)</f>
        <v>1</v>
      </c>
      <c r="BO75">
        <f>IF((AND(VLOOKUP(BO$1,main!$A$3:$H$102,5,FALSE)-VLOOKUP($A75,main!$A$3:$H$102,6,FALSE)&gt;=(VLOOKUP(VLOOKUP(BO$1,main!$A$3:$H$102,8,FALSE),main!$K$26:$M$29,2,FALSE)+VLOOKUP(VLOOKUP(BO$1,main!$A$3:$H$102,7,FALSE),main!$K$19:$O$22,MATCH(VLOOKUP($A75,main!$A$3:$H$102,8,FALSE),main!$K$18:$O$18,0))))),1,0)</f>
        <v>0</v>
      </c>
      <c r="BP75">
        <f>IF((AND(VLOOKUP(BP$1,main!$A$3:$H$102,5,FALSE)-VLOOKUP($A75,main!$A$3:$H$102,6,FALSE)&gt;=(VLOOKUP(VLOOKUP(BP$1,main!$A$3:$H$102,8,FALSE),main!$K$26:$M$29,2,FALSE)+VLOOKUP(VLOOKUP(BP$1,main!$A$3:$H$102,7,FALSE),main!$K$19:$O$22,MATCH(VLOOKUP($A75,main!$A$3:$H$102,8,FALSE),main!$K$18:$O$18,0))))),1,0)</f>
        <v>0</v>
      </c>
      <c r="BQ75">
        <f>IF((AND(VLOOKUP(BQ$1,main!$A$3:$H$102,5,FALSE)-VLOOKUP($A75,main!$A$3:$H$102,6,FALSE)&gt;=(VLOOKUP(VLOOKUP(BQ$1,main!$A$3:$H$102,8,FALSE),main!$K$26:$M$29,2,FALSE)+VLOOKUP(VLOOKUP(BQ$1,main!$A$3:$H$102,7,FALSE),main!$K$19:$O$22,MATCH(VLOOKUP($A75,main!$A$3:$H$102,8,FALSE),main!$K$18:$O$18,0))))),1,0)</f>
        <v>0</v>
      </c>
      <c r="BR75">
        <f>IF((AND(VLOOKUP(BR$1,main!$A$3:$H$102,5,FALSE)-VLOOKUP($A75,main!$A$3:$H$102,6,FALSE)&gt;=(VLOOKUP(VLOOKUP(BR$1,main!$A$3:$H$102,8,FALSE),main!$K$26:$M$29,2,FALSE)+VLOOKUP(VLOOKUP(BR$1,main!$A$3:$H$102,7,FALSE),main!$K$19:$O$22,MATCH(VLOOKUP($A75,main!$A$3:$H$102,8,FALSE),main!$K$18:$O$18,0))))),1,0)</f>
        <v>1</v>
      </c>
      <c r="BS75">
        <f>IF((AND(VLOOKUP(BS$1,main!$A$3:$H$102,5,FALSE)-VLOOKUP($A75,main!$A$3:$H$102,6,FALSE)&gt;=(VLOOKUP(VLOOKUP(BS$1,main!$A$3:$H$102,8,FALSE),main!$K$26:$M$29,2,FALSE)+VLOOKUP(VLOOKUP(BS$1,main!$A$3:$H$102,7,FALSE),main!$K$19:$O$22,MATCH(VLOOKUP($A75,main!$A$3:$H$102,8,FALSE),main!$K$18:$O$18,0))))),1,0)</f>
        <v>1</v>
      </c>
      <c r="BT75">
        <f>IF((AND(VLOOKUP(BT$1,main!$A$3:$H$102,5,FALSE)-VLOOKUP($A75,main!$A$3:$H$102,6,FALSE)&gt;=(VLOOKUP(VLOOKUP(BT$1,main!$A$3:$H$102,8,FALSE),main!$K$26:$M$29,2,FALSE)+VLOOKUP(VLOOKUP(BT$1,main!$A$3:$H$102,7,FALSE),main!$K$19:$O$22,MATCH(VLOOKUP($A75,main!$A$3:$H$102,8,FALSE),main!$K$18:$O$18,0))))),1,0)</f>
        <v>0</v>
      </c>
      <c r="BU75">
        <f>IF((AND(VLOOKUP(BU$1,main!$A$3:$H$102,5,FALSE)-VLOOKUP($A75,main!$A$3:$H$102,6,FALSE)&gt;=(VLOOKUP(VLOOKUP(BU$1,main!$A$3:$H$102,8,FALSE),main!$K$26:$M$29,2,FALSE)+VLOOKUP(VLOOKUP(BU$1,main!$A$3:$H$102,7,FALSE),main!$K$19:$O$22,MATCH(VLOOKUP($A75,main!$A$3:$H$102,8,FALSE),main!$K$18:$O$18,0))))),1,0)</f>
        <v>0</v>
      </c>
      <c r="BV75">
        <f>IF((AND(VLOOKUP(BV$1,main!$A$3:$H$102,5,FALSE)-VLOOKUP($A75,main!$A$3:$H$102,6,FALSE)&gt;=(VLOOKUP(VLOOKUP(BV$1,main!$A$3:$H$102,8,FALSE),main!$K$26:$M$29,2,FALSE)+VLOOKUP(VLOOKUP(BV$1,main!$A$3:$H$102,7,FALSE),main!$K$19:$O$22,MATCH(VLOOKUP($A75,main!$A$3:$H$102,8,FALSE),main!$K$18:$O$18,0))))),1,0)</f>
        <v>0</v>
      </c>
      <c r="BW75">
        <f>IF((AND(VLOOKUP(BW$1,main!$A$3:$H$102,5,FALSE)-VLOOKUP($A75,main!$A$3:$H$102,6,FALSE)&gt;=(VLOOKUP(VLOOKUP(BW$1,main!$A$3:$H$102,8,FALSE),main!$K$26:$M$29,2,FALSE)+VLOOKUP(VLOOKUP(BW$1,main!$A$3:$H$102,7,FALSE),main!$K$19:$O$22,MATCH(VLOOKUP($A75,main!$A$3:$H$102,8,FALSE),main!$K$18:$O$18,0))))),1,0)</f>
        <v>0</v>
      </c>
      <c r="BX75">
        <f>IF((AND(VLOOKUP(BX$1,main!$A$3:$H$102,5,FALSE)-VLOOKUP($A75,main!$A$3:$H$102,6,FALSE)&gt;=(VLOOKUP(VLOOKUP(BX$1,main!$A$3:$H$102,8,FALSE),main!$K$26:$M$29,2,FALSE)+VLOOKUP(VLOOKUP(BX$1,main!$A$3:$H$102,7,FALSE),main!$K$19:$O$22,MATCH(VLOOKUP($A75,main!$A$3:$H$102,8,FALSE),main!$K$18:$O$18,0))))),1,0)</f>
        <v>0</v>
      </c>
      <c r="BY75">
        <f>IF((AND(VLOOKUP(BY$1,main!$A$3:$H$102,5,FALSE)-VLOOKUP($A75,main!$A$3:$H$102,6,FALSE)&gt;=(VLOOKUP(VLOOKUP(BY$1,main!$A$3:$H$102,8,FALSE),main!$K$26:$M$29,2,FALSE)+VLOOKUP(VLOOKUP(BY$1,main!$A$3:$H$102,7,FALSE),main!$K$19:$O$22,MATCH(VLOOKUP($A75,main!$A$3:$H$102,8,FALSE),main!$K$18:$O$18,0))))),1,0)</f>
        <v>1</v>
      </c>
      <c r="BZ75">
        <f>IF((AND(VLOOKUP(BZ$1,main!$A$3:$H$102,5,FALSE)-VLOOKUP($A75,main!$A$3:$H$102,6,FALSE)&gt;=(VLOOKUP(VLOOKUP(BZ$1,main!$A$3:$H$102,8,FALSE),main!$K$26:$M$29,2,FALSE)+VLOOKUP(VLOOKUP(BZ$1,main!$A$3:$H$102,7,FALSE),main!$K$19:$O$22,MATCH(VLOOKUP($A75,main!$A$3:$H$102,8,FALSE),main!$K$18:$O$18,0))))),1,0)</f>
        <v>0</v>
      </c>
      <c r="CA75">
        <f>IF((AND(VLOOKUP(CA$1,main!$A$3:$H$102,5,FALSE)-VLOOKUP($A75,main!$A$3:$H$102,6,FALSE)&gt;=(VLOOKUP(VLOOKUP(CA$1,main!$A$3:$H$102,8,FALSE),main!$K$26:$M$29,2,FALSE)+VLOOKUP(VLOOKUP(CA$1,main!$A$3:$H$102,7,FALSE),main!$K$19:$O$22,MATCH(VLOOKUP($A75,main!$A$3:$H$102,8,FALSE),main!$K$18:$O$18,0))))),1,0)</f>
        <v>0</v>
      </c>
      <c r="CB75">
        <f>IF((AND(VLOOKUP(CB$1,main!$A$3:$H$102,5,FALSE)-VLOOKUP($A75,main!$A$3:$H$102,6,FALSE)&gt;=(VLOOKUP(VLOOKUP(CB$1,main!$A$3:$H$102,8,FALSE),main!$K$26:$M$29,2,FALSE)+VLOOKUP(VLOOKUP(CB$1,main!$A$3:$H$102,7,FALSE),main!$K$19:$O$22,MATCH(VLOOKUP($A75,main!$A$3:$H$102,8,FALSE),main!$K$18:$O$18,0))))),1,0)</f>
        <v>1</v>
      </c>
      <c r="CC75">
        <f>IF((AND(VLOOKUP(CC$1,main!$A$3:$H$102,5,FALSE)-VLOOKUP($A75,main!$A$3:$H$102,6,FALSE)&gt;=(VLOOKUP(VLOOKUP(CC$1,main!$A$3:$H$102,8,FALSE),main!$K$26:$M$29,2,FALSE)+VLOOKUP(VLOOKUP(CC$1,main!$A$3:$H$102,7,FALSE),main!$K$19:$O$22,MATCH(VLOOKUP($A75,main!$A$3:$H$102,8,FALSE),main!$K$18:$O$18,0))))),1,0)</f>
        <v>1</v>
      </c>
      <c r="CD75">
        <f>IF((AND(VLOOKUP(CD$1,main!$A$3:$H$102,5,FALSE)-VLOOKUP($A75,main!$A$3:$H$102,6,FALSE)&gt;=(VLOOKUP(VLOOKUP(CD$1,main!$A$3:$H$102,8,FALSE),main!$K$26:$M$29,2,FALSE)+VLOOKUP(VLOOKUP(CD$1,main!$A$3:$H$102,7,FALSE),main!$K$19:$O$22,MATCH(VLOOKUP($A75,main!$A$3:$H$102,8,FALSE),main!$K$18:$O$18,0))))),1,0)</f>
        <v>1</v>
      </c>
      <c r="CE75">
        <f>IF((AND(VLOOKUP(CE$1,main!$A$3:$H$102,5,FALSE)-VLOOKUP($A75,main!$A$3:$H$102,6,FALSE)&gt;=(VLOOKUP(VLOOKUP(CE$1,main!$A$3:$H$102,8,FALSE),main!$K$26:$M$29,2,FALSE)+VLOOKUP(VLOOKUP(CE$1,main!$A$3:$H$102,7,FALSE),main!$K$19:$O$22,MATCH(VLOOKUP($A75,main!$A$3:$H$102,8,FALSE),main!$K$18:$O$18,0))))),1,0)</f>
        <v>0</v>
      </c>
      <c r="CF75">
        <f>IF((AND(VLOOKUP(CF$1,main!$A$3:$H$102,5,FALSE)-VLOOKUP($A75,main!$A$3:$H$102,6,FALSE)&gt;=(VLOOKUP(VLOOKUP(CF$1,main!$A$3:$H$102,8,FALSE),main!$K$26:$M$29,2,FALSE)+VLOOKUP(VLOOKUP(CF$1,main!$A$3:$H$102,7,FALSE),main!$K$19:$O$22,MATCH(VLOOKUP($A75,main!$A$3:$H$102,8,FALSE),main!$K$18:$O$18,0))))),1,0)</f>
        <v>1</v>
      </c>
      <c r="CG75">
        <f>IF((AND(VLOOKUP(CG$1,main!$A$3:$H$102,5,FALSE)-VLOOKUP($A75,main!$A$3:$H$102,6,FALSE)&gt;=(VLOOKUP(VLOOKUP(CG$1,main!$A$3:$H$102,8,FALSE),main!$K$26:$M$29,2,FALSE)+VLOOKUP(VLOOKUP(CG$1,main!$A$3:$H$102,7,FALSE),main!$K$19:$O$22,MATCH(VLOOKUP($A75,main!$A$3:$H$102,8,FALSE),main!$K$18:$O$18,0))))),1,0)</f>
        <v>1</v>
      </c>
      <c r="CH75">
        <f>IF((AND(VLOOKUP(CH$1,main!$A$3:$H$102,5,FALSE)-VLOOKUP($A75,main!$A$3:$H$102,6,FALSE)&gt;=(VLOOKUP(VLOOKUP(CH$1,main!$A$3:$H$102,8,FALSE),main!$K$26:$M$29,2,FALSE)+VLOOKUP(VLOOKUP(CH$1,main!$A$3:$H$102,7,FALSE),main!$K$19:$O$22,MATCH(VLOOKUP($A75,main!$A$3:$H$102,8,FALSE),main!$K$18:$O$18,0))))),1,0)</f>
        <v>1</v>
      </c>
      <c r="CI75">
        <f>IF((AND(VLOOKUP(CI$1,main!$A$3:$H$102,5,FALSE)-VLOOKUP($A75,main!$A$3:$H$102,6,FALSE)&gt;=(VLOOKUP(VLOOKUP(CI$1,main!$A$3:$H$102,8,FALSE),main!$K$26:$M$29,2,FALSE)+VLOOKUP(VLOOKUP(CI$1,main!$A$3:$H$102,7,FALSE),main!$K$19:$O$22,MATCH(VLOOKUP($A75,main!$A$3:$H$102,8,FALSE),main!$K$18:$O$18,0))))),1,0)</f>
        <v>1</v>
      </c>
      <c r="CJ75">
        <f>IF((AND(VLOOKUP(CJ$1,main!$A$3:$H$102,5,FALSE)-VLOOKUP($A75,main!$A$3:$H$102,6,FALSE)&gt;=(VLOOKUP(VLOOKUP(CJ$1,main!$A$3:$H$102,8,FALSE),main!$K$26:$M$29,2,FALSE)+VLOOKUP(VLOOKUP(CJ$1,main!$A$3:$H$102,7,FALSE),main!$K$19:$O$22,MATCH(VLOOKUP($A75,main!$A$3:$H$102,8,FALSE),main!$K$18:$O$18,0))))),1,0)</f>
        <v>1</v>
      </c>
      <c r="CK75">
        <f>IF((AND(VLOOKUP(CK$1,main!$A$3:$H$102,5,FALSE)-VLOOKUP($A75,main!$A$3:$H$102,6,FALSE)&gt;=(VLOOKUP(VLOOKUP(CK$1,main!$A$3:$H$102,8,FALSE),main!$K$26:$M$29,2,FALSE)+VLOOKUP(VLOOKUP(CK$1,main!$A$3:$H$102,7,FALSE),main!$K$19:$O$22,MATCH(VLOOKUP($A75,main!$A$3:$H$102,8,FALSE),main!$K$18:$O$18,0))))),1,0)</f>
        <v>0</v>
      </c>
      <c r="CL75">
        <f>IF((AND(VLOOKUP(CL$1,main!$A$3:$H$102,5,FALSE)-VLOOKUP($A75,main!$A$3:$H$102,6,FALSE)&gt;=(VLOOKUP(VLOOKUP(CL$1,main!$A$3:$H$102,8,FALSE),main!$K$26:$M$29,2,FALSE)+VLOOKUP(VLOOKUP(CL$1,main!$A$3:$H$102,7,FALSE),main!$K$19:$O$22,MATCH(VLOOKUP($A75,main!$A$3:$H$102,8,FALSE),main!$K$18:$O$18,0))))),1,0)</f>
        <v>1</v>
      </c>
      <c r="CM75">
        <f>IF((AND(VLOOKUP(CM$1,main!$A$3:$H$102,5,FALSE)-VLOOKUP($A75,main!$A$3:$H$102,6,FALSE)&gt;=(VLOOKUP(VLOOKUP(CM$1,main!$A$3:$H$102,8,FALSE),main!$K$26:$M$29,2,FALSE)+VLOOKUP(VLOOKUP(CM$1,main!$A$3:$H$102,7,FALSE),main!$K$19:$O$22,MATCH(VLOOKUP($A75,main!$A$3:$H$102,8,FALSE),main!$K$18:$O$18,0))))),1,0)</f>
        <v>1</v>
      </c>
      <c r="CN75">
        <f>IF((AND(VLOOKUP(CN$1,main!$A$3:$H$102,5,FALSE)-VLOOKUP($A75,main!$A$3:$H$102,6,FALSE)&gt;=(VLOOKUP(VLOOKUP(CN$1,main!$A$3:$H$102,8,FALSE),main!$K$26:$M$29,2,FALSE)+VLOOKUP(VLOOKUP(CN$1,main!$A$3:$H$102,7,FALSE),main!$K$19:$O$22,MATCH(VLOOKUP($A75,main!$A$3:$H$102,8,FALSE),main!$K$18:$O$18,0))))),1,0)</f>
        <v>1</v>
      </c>
      <c r="CO75">
        <f>IF((AND(VLOOKUP(CO$1,main!$A$3:$H$102,5,FALSE)-VLOOKUP($A75,main!$A$3:$H$102,6,FALSE)&gt;=(VLOOKUP(VLOOKUP(CO$1,main!$A$3:$H$102,8,FALSE),main!$K$26:$M$29,2,FALSE)+VLOOKUP(VLOOKUP(CO$1,main!$A$3:$H$102,7,FALSE),main!$K$19:$O$22,MATCH(VLOOKUP($A75,main!$A$3:$H$102,8,FALSE),main!$K$18:$O$18,0))))),1,0)</f>
        <v>0</v>
      </c>
      <c r="CP75">
        <f>IF((AND(VLOOKUP(CP$1,main!$A$3:$H$102,5,FALSE)-VLOOKUP($A75,main!$A$3:$H$102,6,FALSE)&gt;=(VLOOKUP(VLOOKUP(CP$1,main!$A$3:$H$102,8,FALSE),main!$K$26:$M$29,2,FALSE)+VLOOKUP(VLOOKUP(CP$1,main!$A$3:$H$102,7,FALSE),main!$K$19:$O$22,MATCH(VLOOKUP($A75,main!$A$3:$H$102,8,FALSE),main!$K$18:$O$18,0))))),1,0)</f>
        <v>1</v>
      </c>
      <c r="CQ75">
        <f>IF((AND(VLOOKUP(CQ$1,main!$A$3:$H$102,5,FALSE)-VLOOKUP($A75,main!$A$3:$H$102,6,FALSE)&gt;=(VLOOKUP(VLOOKUP(CQ$1,main!$A$3:$H$102,8,FALSE),main!$K$26:$M$29,2,FALSE)+VLOOKUP(VLOOKUP(CQ$1,main!$A$3:$H$102,7,FALSE),main!$K$19:$O$22,MATCH(VLOOKUP($A75,main!$A$3:$H$102,8,FALSE),main!$K$18:$O$18,0))))),1,0)</f>
        <v>1</v>
      </c>
      <c r="CR75">
        <f>IF((AND(VLOOKUP(CR$1,main!$A$3:$H$102,5,FALSE)-VLOOKUP($A75,main!$A$3:$H$102,6,FALSE)&gt;=(VLOOKUP(VLOOKUP(CR$1,main!$A$3:$H$102,8,FALSE),main!$K$26:$M$29,2,FALSE)+VLOOKUP(VLOOKUP(CR$1,main!$A$3:$H$102,7,FALSE),main!$K$19:$O$22,MATCH(VLOOKUP($A75,main!$A$3:$H$102,8,FALSE),main!$K$18:$O$18,0))))),1,0)</f>
        <v>1</v>
      </c>
      <c r="CS75">
        <f>IF((AND(VLOOKUP(CS$1,main!$A$3:$H$102,5,FALSE)-VLOOKUP($A75,main!$A$3:$H$102,6,FALSE)&gt;=(VLOOKUP(VLOOKUP(CS$1,main!$A$3:$H$102,8,FALSE),main!$K$26:$M$29,2,FALSE)+VLOOKUP(VLOOKUP(CS$1,main!$A$3:$H$102,7,FALSE),main!$K$19:$O$22,MATCH(VLOOKUP($A75,main!$A$3:$H$102,8,FALSE),main!$K$18:$O$18,0))))),1,0)</f>
        <v>1</v>
      </c>
      <c r="CT75">
        <f>IF((AND(VLOOKUP(CT$1,main!$A$3:$H$102,5,FALSE)-VLOOKUP($A75,main!$A$3:$H$102,6,FALSE)&gt;=(VLOOKUP(VLOOKUP(CT$1,main!$A$3:$H$102,8,FALSE),main!$K$26:$M$29,2,FALSE)+VLOOKUP(VLOOKUP(CT$1,main!$A$3:$H$102,7,FALSE),main!$K$19:$O$22,MATCH(VLOOKUP($A75,main!$A$3:$H$102,8,FALSE),main!$K$18:$O$18,0))))),1,0)</f>
        <v>0</v>
      </c>
      <c r="CU75">
        <f>IF((AND(VLOOKUP(CU$1,main!$A$3:$H$102,5,FALSE)-VLOOKUP($A75,main!$A$3:$H$102,6,FALSE)&gt;=(VLOOKUP(VLOOKUP(CU$1,main!$A$3:$H$102,8,FALSE),main!$K$26:$M$29,2,FALSE)+VLOOKUP(VLOOKUP(CU$1,main!$A$3:$H$102,7,FALSE),main!$K$19:$O$22,MATCH(VLOOKUP($A75,main!$A$3:$H$102,8,FALSE),main!$K$18:$O$18,0))))),1,0)</f>
        <v>0</v>
      </c>
      <c r="CV75">
        <f>IF((AND(VLOOKUP(CV$1,main!$A$3:$H$102,5,FALSE)-VLOOKUP($A75,main!$A$3:$H$102,6,FALSE)&gt;=(VLOOKUP(VLOOKUP(CV$1,main!$A$3:$H$102,8,FALSE),main!$K$26:$M$29,2,FALSE)+VLOOKUP(VLOOKUP(CV$1,main!$A$3:$H$102,7,FALSE),main!$K$19:$O$22,MATCH(VLOOKUP($A75,main!$A$3:$H$102,8,FALSE),main!$K$18:$O$18,0))))),1,0)</f>
        <v>1</v>
      </c>
      <c r="CW75">
        <f>IF((AND(VLOOKUP(CW$1,main!$A$3:$H$102,5,FALSE)-VLOOKUP($A75,main!$A$3:$H$102,6,FALSE)&gt;=(VLOOKUP(VLOOKUP(CW$1,main!$A$3:$H$102,8,FALSE),main!$K$26:$M$29,2,FALSE)+VLOOKUP(VLOOKUP(CW$1,main!$A$3:$H$102,7,FALSE),main!$K$19:$O$22,MATCH(VLOOKUP($A75,main!$A$3:$H$102,8,FALSE),main!$K$18:$O$18,0))))),1,0)</f>
        <v>1</v>
      </c>
      <c r="CX75">
        <f>IF((AND(VLOOKUP(CX$1,main!$A$3:$H$102,5,FALSE)-VLOOKUP($A75,main!$A$3:$H$102,6,FALSE)&gt;=(VLOOKUP(VLOOKUP(CX$1,main!$A$3:$H$102,8,FALSE),main!$K$26:$M$29,2,FALSE)+VLOOKUP(VLOOKUP(CX$1,main!$A$3:$H$102,7,FALSE),main!$K$19:$O$22,MATCH(VLOOKUP($A75,main!$A$3:$H$102,8,FALSE),main!$K$18:$O$18,0))))),1,0)</f>
        <v>1</v>
      </c>
    </row>
    <row r="76" spans="1:102" x14ac:dyDescent="0.25">
      <c r="A76" s="1">
        <v>74</v>
      </c>
      <c r="B76">
        <v>1</v>
      </c>
      <c r="C76">
        <f>IF((AND(VLOOKUP(C$1,main!$A$3:$H$102,5,FALSE)-VLOOKUP($A76,main!$A$3:$H$102,6,FALSE)&gt;=(VLOOKUP(VLOOKUP(C$1,main!$A$3:$H$102,8,FALSE),main!$K$26:$M$29,2,FALSE)+VLOOKUP(VLOOKUP(C$1,main!$A$3:$H$102,7,FALSE),main!$K$19:$O$22,MATCH(VLOOKUP($A76,main!$A$3:$H$102,8,FALSE),main!$K$18:$O$18,0))))),1,0)</f>
        <v>0</v>
      </c>
      <c r="D76">
        <f>IF((AND(VLOOKUP(D$1,main!$A$3:$H$102,5,FALSE)-VLOOKUP($A76,main!$A$3:$H$102,6,FALSE)&gt;=(VLOOKUP(VLOOKUP(D$1,main!$A$3:$H$102,8,FALSE),main!$K$26:$M$29,2,FALSE)+VLOOKUP(VLOOKUP(D$1,main!$A$3:$H$102,7,FALSE),main!$K$19:$O$22,MATCH(VLOOKUP($A76,main!$A$3:$H$102,8,FALSE),main!$K$18:$O$18,0))))),1,0)</f>
        <v>0</v>
      </c>
      <c r="E76">
        <f>IF((AND(VLOOKUP(E$1,main!$A$3:$H$102,5,FALSE)-VLOOKUP($A76,main!$A$3:$H$102,6,FALSE)&gt;=(VLOOKUP(VLOOKUP(E$1,main!$A$3:$H$102,8,FALSE),main!$K$26:$M$29,2,FALSE)+VLOOKUP(VLOOKUP(E$1,main!$A$3:$H$102,7,FALSE),main!$K$19:$O$22,MATCH(VLOOKUP($A76,main!$A$3:$H$102,8,FALSE),main!$K$18:$O$18,0))))),1,0)</f>
        <v>0</v>
      </c>
      <c r="F76">
        <f>IF((AND(VLOOKUP(F$1,main!$A$3:$H$102,5,FALSE)-VLOOKUP($A76,main!$A$3:$H$102,6,FALSE)&gt;=(VLOOKUP(VLOOKUP(F$1,main!$A$3:$H$102,8,FALSE),main!$K$26:$M$29,2,FALSE)+VLOOKUP(VLOOKUP(F$1,main!$A$3:$H$102,7,FALSE),main!$K$19:$O$22,MATCH(VLOOKUP($A76,main!$A$3:$H$102,8,FALSE),main!$K$18:$O$18,0))))),1,0)</f>
        <v>0</v>
      </c>
      <c r="G76">
        <f>IF((AND(VLOOKUP(G$1,main!$A$3:$H$102,5,FALSE)-VLOOKUP($A76,main!$A$3:$H$102,6,FALSE)&gt;=(VLOOKUP(VLOOKUP(G$1,main!$A$3:$H$102,8,FALSE),main!$K$26:$M$29,2,FALSE)+VLOOKUP(VLOOKUP(G$1,main!$A$3:$H$102,7,FALSE),main!$K$19:$O$22,MATCH(VLOOKUP($A76,main!$A$3:$H$102,8,FALSE),main!$K$18:$O$18,0))))),1,0)</f>
        <v>0</v>
      </c>
      <c r="H76">
        <f>IF((AND(VLOOKUP(H$1,main!$A$3:$H$102,5,FALSE)-VLOOKUP($A76,main!$A$3:$H$102,6,FALSE)&gt;=(VLOOKUP(VLOOKUP(H$1,main!$A$3:$H$102,8,FALSE),main!$K$26:$M$29,2,FALSE)+VLOOKUP(VLOOKUP(H$1,main!$A$3:$H$102,7,FALSE),main!$K$19:$O$22,MATCH(VLOOKUP($A76,main!$A$3:$H$102,8,FALSE),main!$K$18:$O$18,0))))),1,0)</f>
        <v>0</v>
      </c>
      <c r="I76">
        <f>IF((AND(VLOOKUP(I$1,main!$A$3:$H$102,5,FALSE)-VLOOKUP($A76,main!$A$3:$H$102,6,FALSE)&gt;=(VLOOKUP(VLOOKUP(I$1,main!$A$3:$H$102,8,FALSE),main!$K$26:$M$29,2,FALSE)+VLOOKUP(VLOOKUP(I$1,main!$A$3:$H$102,7,FALSE),main!$K$19:$O$22,MATCH(VLOOKUP($A76,main!$A$3:$H$102,8,FALSE),main!$K$18:$O$18,0))))),1,0)</f>
        <v>1</v>
      </c>
      <c r="J76">
        <f>IF((AND(VLOOKUP(J$1,main!$A$3:$H$102,5,FALSE)-VLOOKUP($A76,main!$A$3:$H$102,6,FALSE)&gt;=(VLOOKUP(VLOOKUP(J$1,main!$A$3:$H$102,8,FALSE),main!$K$26:$M$29,2,FALSE)+VLOOKUP(VLOOKUP(J$1,main!$A$3:$H$102,7,FALSE),main!$K$19:$O$22,MATCH(VLOOKUP($A76,main!$A$3:$H$102,8,FALSE),main!$K$18:$O$18,0))))),1,0)</f>
        <v>1</v>
      </c>
      <c r="K76">
        <f>IF((AND(VLOOKUP(K$1,main!$A$3:$H$102,5,FALSE)-VLOOKUP($A76,main!$A$3:$H$102,6,FALSE)&gt;=(VLOOKUP(VLOOKUP(K$1,main!$A$3:$H$102,8,FALSE),main!$K$26:$M$29,2,FALSE)+VLOOKUP(VLOOKUP(K$1,main!$A$3:$H$102,7,FALSE),main!$K$19:$O$22,MATCH(VLOOKUP($A76,main!$A$3:$H$102,8,FALSE),main!$K$18:$O$18,0))))),1,0)</f>
        <v>1</v>
      </c>
      <c r="L76">
        <f>IF((AND(VLOOKUP(L$1,main!$A$3:$H$102,5,FALSE)-VLOOKUP($A76,main!$A$3:$H$102,6,FALSE)&gt;=(VLOOKUP(VLOOKUP(L$1,main!$A$3:$H$102,8,FALSE),main!$K$26:$M$29,2,FALSE)+VLOOKUP(VLOOKUP(L$1,main!$A$3:$H$102,7,FALSE),main!$K$19:$O$22,MATCH(VLOOKUP($A76,main!$A$3:$H$102,8,FALSE),main!$K$18:$O$18,0))))),1,0)</f>
        <v>1</v>
      </c>
      <c r="M76">
        <f>IF((AND(VLOOKUP(M$1,main!$A$3:$H$102,5,FALSE)-VLOOKUP($A76,main!$A$3:$H$102,6,FALSE)&gt;=(VLOOKUP(VLOOKUP(M$1,main!$A$3:$H$102,8,FALSE),main!$K$26:$M$29,2,FALSE)+VLOOKUP(VLOOKUP(M$1,main!$A$3:$H$102,7,FALSE),main!$K$19:$O$22,MATCH(VLOOKUP($A76,main!$A$3:$H$102,8,FALSE),main!$K$18:$O$18,0))))),1,0)</f>
        <v>0</v>
      </c>
      <c r="N76">
        <f>IF((AND(VLOOKUP(N$1,main!$A$3:$H$102,5,FALSE)-VLOOKUP($A76,main!$A$3:$H$102,6,FALSE)&gt;=(VLOOKUP(VLOOKUP(N$1,main!$A$3:$H$102,8,FALSE),main!$K$26:$M$29,2,FALSE)+VLOOKUP(VLOOKUP(N$1,main!$A$3:$H$102,7,FALSE),main!$K$19:$O$22,MATCH(VLOOKUP($A76,main!$A$3:$H$102,8,FALSE),main!$K$18:$O$18,0))))),1,0)</f>
        <v>0</v>
      </c>
      <c r="O76">
        <f>IF((AND(VLOOKUP(O$1,main!$A$3:$H$102,5,FALSE)-VLOOKUP($A76,main!$A$3:$H$102,6,FALSE)&gt;=(VLOOKUP(VLOOKUP(O$1,main!$A$3:$H$102,8,FALSE),main!$K$26:$M$29,2,FALSE)+VLOOKUP(VLOOKUP(O$1,main!$A$3:$H$102,7,FALSE),main!$K$19:$O$22,MATCH(VLOOKUP($A76,main!$A$3:$H$102,8,FALSE),main!$K$18:$O$18,0))))),1,0)</f>
        <v>0</v>
      </c>
      <c r="P76">
        <f>IF((AND(VLOOKUP(P$1,main!$A$3:$H$102,5,FALSE)-VLOOKUP($A76,main!$A$3:$H$102,6,FALSE)&gt;=(VLOOKUP(VLOOKUP(P$1,main!$A$3:$H$102,8,FALSE),main!$K$26:$M$29,2,FALSE)+VLOOKUP(VLOOKUP(P$1,main!$A$3:$H$102,7,FALSE),main!$K$19:$O$22,MATCH(VLOOKUP($A76,main!$A$3:$H$102,8,FALSE),main!$K$18:$O$18,0))))),1,0)</f>
        <v>0</v>
      </c>
      <c r="Q76">
        <f>IF((AND(VLOOKUP(Q$1,main!$A$3:$H$102,5,FALSE)-VLOOKUP($A76,main!$A$3:$H$102,6,FALSE)&gt;=(VLOOKUP(VLOOKUP(Q$1,main!$A$3:$H$102,8,FALSE),main!$K$26:$M$29,2,FALSE)+VLOOKUP(VLOOKUP(Q$1,main!$A$3:$H$102,7,FALSE),main!$K$19:$O$22,MATCH(VLOOKUP($A76,main!$A$3:$H$102,8,FALSE),main!$K$18:$O$18,0))))),1,0)</f>
        <v>0</v>
      </c>
      <c r="R76">
        <f>IF((AND(VLOOKUP(R$1,main!$A$3:$H$102,5,FALSE)-VLOOKUP($A76,main!$A$3:$H$102,6,FALSE)&gt;=(VLOOKUP(VLOOKUP(R$1,main!$A$3:$H$102,8,FALSE),main!$K$26:$M$29,2,FALSE)+VLOOKUP(VLOOKUP(R$1,main!$A$3:$H$102,7,FALSE),main!$K$19:$O$22,MATCH(VLOOKUP($A76,main!$A$3:$H$102,8,FALSE),main!$K$18:$O$18,0))))),1,0)</f>
        <v>0</v>
      </c>
      <c r="S76">
        <f>IF((AND(VLOOKUP(S$1,main!$A$3:$H$102,5,FALSE)-VLOOKUP($A76,main!$A$3:$H$102,6,FALSE)&gt;=(VLOOKUP(VLOOKUP(S$1,main!$A$3:$H$102,8,FALSE),main!$K$26:$M$29,2,FALSE)+VLOOKUP(VLOOKUP(S$1,main!$A$3:$H$102,7,FALSE),main!$K$19:$O$22,MATCH(VLOOKUP($A76,main!$A$3:$H$102,8,FALSE),main!$K$18:$O$18,0))))),1,0)</f>
        <v>0</v>
      </c>
      <c r="T76">
        <f>IF((AND(VLOOKUP(T$1,main!$A$3:$H$102,5,FALSE)-VLOOKUP($A76,main!$A$3:$H$102,6,FALSE)&gt;=(VLOOKUP(VLOOKUP(T$1,main!$A$3:$H$102,8,FALSE),main!$K$26:$M$29,2,FALSE)+VLOOKUP(VLOOKUP(T$1,main!$A$3:$H$102,7,FALSE),main!$K$19:$O$22,MATCH(VLOOKUP($A76,main!$A$3:$H$102,8,FALSE),main!$K$18:$O$18,0))))),1,0)</f>
        <v>1</v>
      </c>
      <c r="U76">
        <f>IF((AND(VLOOKUP(U$1,main!$A$3:$H$102,5,FALSE)-VLOOKUP($A76,main!$A$3:$H$102,6,FALSE)&gt;=(VLOOKUP(VLOOKUP(U$1,main!$A$3:$H$102,8,FALSE),main!$K$26:$M$29,2,FALSE)+VLOOKUP(VLOOKUP(U$1,main!$A$3:$H$102,7,FALSE),main!$K$19:$O$22,MATCH(VLOOKUP($A76,main!$A$3:$H$102,8,FALSE),main!$K$18:$O$18,0))))),1,0)</f>
        <v>1</v>
      </c>
      <c r="V76">
        <f>IF((AND(VLOOKUP(V$1,main!$A$3:$H$102,5,FALSE)-VLOOKUP($A76,main!$A$3:$H$102,6,FALSE)&gt;=(VLOOKUP(VLOOKUP(V$1,main!$A$3:$H$102,8,FALSE),main!$K$26:$M$29,2,FALSE)+VLOOKUP(VLOOKUP(V$1,main!$A$3:$H$102,7,FALSE),main!$K$19:$O$22,MATCH(VLOOKUP($A76,main!$A$3:$H$102,8,FALSE),main!$K$18:$O$18,0))))),1,0)</f>
        <v>1</v>
      </c>
      <c r="W76">
        <f>IF((AND(VLOOKUP(W$1,main!$A$3:$H$102,5,FALSE)-VLOOKUP($A76,main!$A$3:$H$102,6,FALSE)&gt;=(VLOOKUP(VLOOKUP(W$1,main!$A$3:$H$102,8,FALSE),main!$K$26:$M$29,2,FALSE)+VLOOKUP(VLOOKUP(W$1,main!$A$3:$H$102,7,FALSE),main!$K$19:$O$22,MATCH(VLOOKUP($A76,main!$A$3:$H$102,8,FALSE),main!$K$18:$O$18,0))))),1,0)</f>
        <v>0</v>
      </c>
      <c r="X76">
        <f>IF((AND(VLOOKUP(X$1,main!$A$3:$H$102,5,FALSE)-VLOOKUP($A76,main!$A$3:$H$102,6,FALSE)&gt;=(VLOOKUP(VLOOKUP(X$1,main!$A$3:$H$102,8,FALSE),main!$K$26:$M$29,2,FALSE)+VLOOKUP(VLOOKUP(X$1,main!$A$3:$H$102,7,FALSE),main!$K$19:$O$22,MATCH(VLOOKUP($A76,main!$A$3:$H$102,8,FALSE),main!$K$18:$O$18,0))))),1,0)</f>
        <v>0</v>
      </c>
      <c r="Y76">
        <f>IF((AND(VLOOKUP(Y$1,main!$A$3:$H$102,5,FALSE)-VLOOKUP($A76,main!$A$3:$H$102,6,FALSE)&gt;=(VLOOKUP(VLOOKUP(Y$1,main!$A$3:$H$102,8,FALSE),main!$K$26:$M$29,2,FALSE)+VLOOKUP(VLOOKUP(Y$1,main!$A$3:$H$102,7,FALSE),main!$K$19:$O$22,MATCH(VLOOKUP($A76,main!$A$3:$H$102,8,FALSE),main!$K$18:$O$18,0))))),1,0)</f>
        <v>0</v>
      </c>
      <c r="Z76">
        <f>IF((AND(VLOOKUP(Z$1,main!$A$3:$H$102,5,FALSE)-VLOOKUP($A76,main!$A$3:$H$102,6,FALSE)&gt;=(VLOOKUP(VLOOKUP(Z$1,main!$A$3:$H$102,8,FALSE),main!$K$26:$M$29,2,FALSE)+VLOOKUP(VLOOKUP(Z$1,main!$A$3:$H$102,7,FALSE),main!$K$19:$O$22,MATCH(VLOOKUP($A76,main!$A$3:$H$102,8,FALSE),main!$K$18:$O$18,0))))),1,0)</f>
        <v>1</v>
      </c>
      <c r="AA76">
        <f>IF((AND(VLOOKUP(AA$1,main!$A$3:$H$102,5,FALSE)-VLOOKUP($A76,main!$A$3:$H$102,6,FALSE)&gt;=(VLOOKUP(VLOOKUP(AA$1,main!$A$3:$H$102,8,FALSE),main!$K$26:$M$29,2,FALSE)+VLOOKUP(VLOOKUP(AA$1,main!$A$3:$H$102,7,FALSE),main!$K$19:$O$22,MATCH(VLOOKUP($A76,main!$A$3:$H$102,8,FALSE),main!$K$18:$O$18,0))))),1,0)</f>
        <v>1</v>
      </c>
      <c r="AB76">
        <f>IF((AND(VLOOKUP(AB$1,main!$A$3:$H$102,5,FALSE)-VLOOKUP($A76,main!$A$3:$H$102,6,FALSE)&gt;=(VLOOKUP(VLOOKUP(AB$1,main!$A$3:$H$102,8,FALSE),main!$K$26:$M$29,2,FALSE)+VLOOKUP(VLOOKUP(AB$1,main!$A$3:$H$102,7,FALSE),main!$K$19:$O$22,MATCH(VLOOKUP($A76,main!$A$3:$H$102,8,FALSE),main!$K$18:$O$18,0))))),1,0)</f>
        <v>0</v>
      </c>
      <c r="AC76">
        <f>IF((AND(VLOOKUP(AC$1,main!$A$3:$H$102,5,FALSE)-VLOOKUP($A76,main!$A$3:$H$102,6,FALSE)&gt;=(VLOOKUP(VLOOKUP(AC$1,main!$A$3:$H$102,8,FALSE),main!$K$26:$M$29,2,FALSE)+VLOOKUP(VLOOKUP(AC$1,main!$A$3:$H$102,7,FALSE),main!$K$19:$O$22,MATCH(VLOOKUP($A76,main!$A$3:$H$102,8,FALSE),main!$K$18:$O$18,0))))),1,0)</f>
        <v>0</v>
      </c>
      <c r="AD76">
        <f>IF((AND(VLOOKUP(AD$1,main!$A$3:$H$102,5,FALSE)-VLOOKUP($A76,main!$A$3:$H$102,6,FALSE)&gt;=(VLOOKUP(VLOOKUP(AD$1,main!$A$3:$H$102,8,FALSE),main!$K$26:$M$29,2,FALSE)+VLOOKUP(VLOOKUP(AD$1,main!$A$3:$H$102,7,FALSE),main!$K$19:$O$22,MATCH(VLOOKUP($A76,main!$A$3:$H$102,8,FALSE),main!$K$18:$O$18,0))))),1,0)</f>
        <v>0</v>
      </c>
      <c r="AE76">
        <f>IF((AND(VLOOKUP(AE$1,main!$A$3:$H$102,5,FALSE)-VLOOKUP($A76,main!$A$3:$H$102,6,FALSE)&gt;=(VLOOKUP(VLOOKUP(AE$1,main!$A$3:$H$102,8,FALSE),main!$K$26:$M$29,2,FALSE)+VLOOKUP(VLOOKUP(AE$1,main!$A$3:$H$102,7,FALSE),main!$K$19:$O$22,MATCH(VLOOKUP($A76,main!$A$3:$H$102,8,FALSE),main!$K$18:$O$18,0))))),1,0)</f>
        <v>0</v>
      </c>
      <c r="AF76">
        <f>IF((AND(VLOOKUP(AF$1,main!$A$3:$H$102,5,FALSE)-VLOOKUP($A76,main!$A$3:$H$102,6,FALSE)&gt;=(VLOOKUP(VLOOKUP(AF$1,main!$A$3:$H$102,8,FALSE),main!$K$26:$M$29,2,FALSE)+VLOOKUP(VLOOKUP(AF$1,main!$A$3:$H$102,7,FALSE),main!$K$19:$O$22,MATCH(VLOOKUP($A76,main!$A$3:$H$102,8,FALSE),main!$K$18:$O$18,0))))),1,0)</f>
        <v>1</v>
      </c>
      <c r="AG76">
        <f>IF((AND(VLOOKUP(AG$1,main!$A$3:$H$102,5,FALSE)-VLOOKUP($A76,main!$A$3:$H$102,6,FALSE)&gt;=(VLOOKUP(VLOOKUP(AG$1,main!$A$3:$H$102,8,FALSE),main!$K$26:$M$29,2,FALSE)+VLOOKUP(VLOOKUP(AG$1,main!$A$3:$H$102,7,FALSE),main!$K$19:$O$22,MATCH(VLOOKUP($A76,main!$A$3:$H$102,8,FALSE),main!$K$18:$O$18,0))))),1,0)</f>
        <v>0</v>
      </c>
      <c r="AH76">
        <f>IF((AND(VLOOKUP(AH$1,main!$A$3:$H$102,5,FALSE)-VLOOKUP($A76,main!$A$3:$H$102,6,FALSE)&gt;=(VLOOKUP(VLOOKUP(AH$1,main!$A$3:$H$102,8,FALSE),main!$K$26:$M$29,2,FALSE)+VLOOKUP(VLOOKUP(AH$1,main!$A$3:$H$102,7,FALSE),main!$K$19:$O$22,MATCH(VLOOKUP($A76,main!$A$3:$H$102,8,FALSE),main!$K$18:$O$18,0))))),1,0)</f>
        <v>0</v>
      </c>
      <c r="AI76">
        <f>IF((AND(VLOOKUP(AI$1,main!$A$3:$H$102,5,FALSE)-VLOOKUP($A76,main!$A$3:$H$102,6,FALSE)&gt;=(VLOOKUP(VLOOKUP(AI$1,main!$A$3:$H$102,8,FALSE),main!$K$26:$M$29,2,FALSE)+VLOOKUP(VLOOKUP(AI$1,main!$A$3:$H$102,7,FALSE),main!$K$19:$O$22,MATCH(VLOOKUP($A76,main!$A$3:$H$102,8,FALSE),main!$K$18:$O$18,0))))),1,0)</f>
        <v>0</v>
      </c>
      <c r="AJ76">
        <f>IF((AND(VLOOKUP(AJ$1,main!$A$3:$H$102,5,FALSE)-VLOOKUP($A76,main!$A$3:$H$102,6,FALSE)&gt;=(VLOOKUP(VLOOKUP(AJ$1,main!$A$3:$H$102,8,FALSE),main!$K$26:$M$29,2,FALSE)+VLOOKUP(VLOOKUP(AJ$1,main!$A$3:$H$102,7,FALSE),main!$K$19:$O$22,MATCH(VLOOKUP($A76,main!$A$3:$H$102,8,FALSE),main!$K$18:$O$18,0))))),1,0)</f>
        <v>0</v>
      </c>
      <c r="AK76">
        <f>IF((AND(VLOOKUP(AK$1,main!$A$3:$H$102,5,FALSE)-VLOOKUP($A76,main!$A$3:$H$102,6,FALSE)&gt;=(VLOOKUP(VLOOKUP(AK$1,main!$A$3:$H$102,8,FALSE),main!$K$26:$M$29,2,FALSE)+VLOOKUP(VLOOKUP(AK$1,main!$A$3:$H$102,7,FALSE),main!$K$19:$O$22,MATCH(VLOOKUP($A76,main!$A$3:$H$102,8,FALSE),main!$K$18:$O$18,0))))),1,0)</f>
        <v>0</v>
      </c>
      <c r="AL76">
        <f>IF((AND(VLOOKUP(AL$1,main!$A$3:$H$102,5,FALSE)-VLOOKUP($A76,main!$A$3:$H$102,6,FALSE)&gt;=(VLOOKUP(VLOOKUP(AL$1,main!$A$3:$H$102,8,FALSE),main!$K$26:$M$29,2,FALSE)+VLOOKUP(VLOOKUP(AL$1,main!$A$3:$H$102,7,FALSE),main!$K$19:$O$22,MATCH(VLOOKUP($A76,main!$A$3:$H$102,8,FALSE),main!$K$18:$O$18,0))))),1,0)</f>
        <v>1</v>
      </c>
      <c r="AM76">
        <f>IF((AND(VLOOKUP(AM$1,main!$A$3:$H$102,5,FALSE)-VLOOKUP($A76,main!$A$3:$H$102,6,FALSE)&gt;=(VLOOKUP(VLOOKUP(AM$1,main!$A$3:$H$102,8,FALSE),main!$K$26:$M$29,2,FALSE)+VLOOKUP(VLOOKUP(AM$1,main!$A$3:$H$102,7,FALSE),main!$K$19:$O$22,MATCH(VLOOKUP($A76,main!$A$3:$H$102,8,FALSE),main!$K$18:$O$18,0))))),1,0)</f>
        <v>1</v>
      </c>
      <c r="AN76">
        <f>IF((AND(VLOOKUP(AN$1,main!$A$3:$H$102,5,FALSE)-VLOOKUP($A76,main!$A$3:$H$102,6,FALSE)&gt;=(VLOOKUP(VLOOKUP(AN$1,main!$A$3:$H$102,8,FALSE),main!$K$26:$M$29,2,FALSE)+VLOOKUP(VLOOKUP(AN$1,main!$A$3:$H$102,7,FALSE),main!$K$19:$O$22,MATCH(VLOOKUP($A76,main!$A$3:$H$102,8,FALSE),main!$K$18:$O$18,0))))),1,0)</f>
        <v>1</v>
      </c>
      <c r="AO76">
        <f>IF((AND(VLOOKUP(AO$1,main!$A$3:$H$102,5,FALSE)-VLOOKUP($A76,main!$A$3:$H$102,6,FALSE)&gt;=(VLOOKUP(VLOOKUP(AO$1,main!$A$3:$H$102,8,FALSE),main!$K$26:$M$29,2,FALSE)+VLOOKUP(VLOOKUP(AO$1,main!$A$3:$H$102,7,FALSE),main!$K$19:$O$22,MATCH(VLOOKUP($A76,main!$A$3:$H$102,8,FALSE),main!$K$18:$O$18,0))))),1,0)</f>
        <v>0</v>
      </c>
      <c r="AP76">
        <f>IF((AND(VLOOKUP(AP$1,main!$A$3:$H$102,5,FALSE)-VLOOKUP($A76,main!$A$3:$H$102,6,FALSE)&gt;=(VLOOKUP(VLOOKUP(AP$1,main!$A$3:$H$102,8,FALSE),main!$K$26:$M$29,2,FALSE)+VLOOKUP(VLOOKUP(AP$1,main!$A$3:$H$102,7,FALSE),main!$K$19:$O$22,MATCH(VLOOKUP($A76,main!$A$3:$H$102,8,FALSE),main!$K$18:$O$18,0))))),1,0)</f>
        <v>1</v>
      </c>
      <c r="AQ76">
        <f>IF((AND(VLOOKUP(AQ$1,main!$A$3:$H$102,5,FALSE)-VLOOKUP($A76,main!$A$3:$H$102,6,FALSE)&gt;=(VLOOKUP(VLOOKUP(AQ$1,main!$A$3:$H$102,8,FALSE),main!$K$26:$M$29,2,FALSE)+VLOOKUP(VLOOKUP(AQ$1,main!$A$3:$H$102,7,FALSE),main!$K$19:$O$22,MATCH(VLOOKUP($A76,main!$A$3:$H$102,8,FALSE),main!$K$18:$O$18,0))))),1,0)</f>
        <v>0</v>
      </c>
      <c r="AR76">
        <f>IF((AND(VLOOKUP(AR$1,main!$A$3:$H$102,5,FALSE)-VLOOKUP($A76,main!$A$3:$H$102,6,FALSE)&gt;=(VLOOKUP(VLOOKUP(AR$1,main!$A$3:$H$102,8,FALSE),main!$K$26:$M$29,2,FALSE)+VLOOKUP(VLOOKUP(AR$1,main!$A$3:$H$102,7,FALSE),main!$K$19:$O$22,MATCH(VLOOKUP($A76,main!$A$3:$H$102,8,FALSE),main!$K$18:$O$18,0))))),1,0)</f>
        <v>0</v>
      </c>
      <c r="AS76">
        <f>IF((AND(VLOOKUP(AS$1,main!$A$3:$H$102,5,FALSE)-VLOOKUP($A76,main!$A$3:$H$102,6,FALSE)&gt;=(VLOOKUP(VLOOKUP(AS$1,main!$A$3:$H$102,8,FALSE),main!$K$26:$M$29,2,FALSE)+VLOOKUP(VLOOKUP(AS$1,main!$A$3:$H$102,7,FALSE),main!$K$19:$O$22,MATCH(VLOOKUP($A76,main!$A$3:$H$102,8,FALSE),main!$K$18:$O$18,0))))),1,0)</f>
        <v>0</v>
      </c>
      <c r="AT76">
        <f>IF((AND(VLOOKUP(AT$1,main!$A$3:$H$102,5,FALSE)-VLOOKUP($A76,main!$A$3:$H$102,6,FALSE)&gt;=(VLOOKUP(VLOOKUP(AT$1,main!$A$3:$H$102,8,FALSE),main!$K$26:$M$29,2,FALSE)+VLOOKUP(VLOOKUP(AT$1,main!$A$3:$H$102,7,FALSE),main!$K$19:$O$22,MATCH(VLOOKUP($A76,main!$A$3:$H$102,8,FALSE),main!$K$18:$O$18,0))))),1,0)</f>
        <v>0</v>
      </c>
      <c r="AU76">
        <f>IF((AND(VLOOKUP(AU$1,main!$A$3:$H$102,5,FALSE)-VLOOKUP($A76,main!$A$3:$H$102,6,FALSE)&gt;=(VLOOKUP(VLOOKUP(AU$1,main!$A$3:$H$102,8,FALSE),main!$K$26:$M$29,2,FALSE)+VLOOKUP(VLOOKUP(AU$1,main!$A$3:$H$102,7,FALSE),main!$K$19:$O$22,MATCH(VLOOKUP($A76,main!$A$3:$H$102,8,FALSE),main!$K$18:$O$18,0))))),1,0)</f>
        <v>0</v>
      </c>
      <c r="AV76">
        <f>IF((AND(VLOOKUP(AV$1,main!$A$3:$H$102,5,FALSE)-VLOOKUP($A76,main!$A$3:$H$102,6,FALSE)&gt;=(VLOOKUP(VLOOKUP(AV$1,main!$A$3:$H$102,8,FALSE),main!$K$26:$M$29,2,FALSE)+VLOOKUP(VLOOKUP(AV$1,main!$A$3:$H$102,7,FALSE),main!$K$19:$O$22,MATCH(VLOOKUP($A76,main!$A$3:$H$102,8,FALSE),main!$K$18:$O$18,0))))),1,0)</f>
        <v>0</v>
      </c>
      <c r="AW76">
        <f>IF((AND(VLOOKUP(AW$1,main!$A$3:$H$102,5,FALSE)-VLOOKUP($A76,main!$A$3:$H$102,6,FALSE)&gt;=(VLOOKUP(VLOOKUP(AW$1,main!$A$3:$H$102,8,FALSE),main!$K$26:$M$29,2,FALSE)+VLOOKUP(VLOOKUP(AW$1,main!$A$3:$H$102,7,FALSE),main!$K$19:$O$22,MATCH(VLOOKUP($A76,main!$A$3:$H$102,8,FALSE),main!$K$18:$O$18,0))))),1,0)</f>
        <v>0</v>
      </c>
      <c r="AX76">
        <f>IF((AND(VLOOKUP(AX$1,main!$A$3:$H$102,5,FALSE)-VLOOKUP($A76,main!$A$3:$H$102,6,FALSE)&gt;=(VLOOKUP(VLOOKUP(AX$1,main!$A$3:$H$102,8,FALSE),main!$K$26:$M$29,2,FALSE)+VLOOKUP(VLOOKUP(AX$1,main!$A$3:$H$102,7,FALSE),main!$K$19:$O$22,MATCH(VLOOKUP($A76,main!$A$3:$H$102,8,FALSE),main!$K$18:$O$18,0))))),1,0)</f>
        <v>0</v>
      </c>
      <c r="AY76">
        <f>IF((AND(VLOOKUP(AY$1,main!$A$3:$H$102,5,FALSE)-VLOOKUP($A76,main!$A$3:$H$102,6,FALSE)&gt;=(VLOOKUP(VLOOKUP(AY$1,main!$A$3:$H$102,8,FALSE),main!$K$26:$M$29,2,FALSE)+VLOOKUP(VLOOKUP(AY$1,main!$A$3:$H$102,7,FALSE),main!$K$19:$O$22,MATCH(VLOOKUP($A76,main!$A$3:$H$102,8,FALSE),main!$K$18:$O$18,0))))),1,0)</f>
        <v>0</v>
      </c>
      <c r="AZ76">
        <f>IF((AND(VLOOKUP(AZ$1,main!$A$3:$H$102,5,FALSE)-VLOOKUP($A76,main!$A$3:$H$102,6,FALSE)&gt;=(VLOOKUP(VLOOKUP(AZ$1,main!$A$3:$H$102,8,FALSE),main!$K$26:$M$29,2,FALSE)+VLOOKUP(VLOOKUP(AZ$1,main!$A$3:$H$102,7,FALSE),main!$K$19:$O$22,MATCH(VLOOKUP($A76,main!$A$3:$H$102,8,FALSE),main!$K$18:$O$18,0))))),1,0)</f>
        <v>0</v>
      </c>
      <c r="BA76">
        <f>IF((AND(VLOOKUP(BA$1,main!$A$3:$H$102,5,FALSE)-VLOOKUP($A76,main!$A$3:$H$102,6,FALSE)&gt;=(VLOOKUP(VLOOKUP(BA$1,main!$A$3:$H$102,8,FALSE),main!$K$26:$M$29,2,FALSE)+VLOOKUP(VLOOKUP(BA$1,main!$A$3:$H$102,7,FALSE),main!$K$19:$O$22,MATCH(VLOOKUP($A76,main!$A$3:$H$102,8,FALSE),main!$K$18:$O$18,0))))),1,0)</f>
        <v>0</v>
      </c>
      <c r="BB76">
        <f>IF((AND(VLOOKUP(BB$1,main!$A$3:$H$102,5,FALSE)-VLOOKUP($A76,main!$A$3:$H$102,6,FALSE)&gt;=(VLOOKUP(VLOOKUP(BB$1,main!$A$3:$H$102,8,FALSE),main!$K$26:$M$29,2,FALSE)+VLOOKUP(VLOOKUP(BB$1,main!$A$3:$H$102,7,FALSE),main!$K$19:$O$22,MATCH(VLOOKUP($A76,main!$A$3:$H$102,8,FALSE),main!$K$18:$O$18,0))))),1,0)</f>
        <v>0</v>
      </c>
      <c r="BC76">
        <f>IF((AND(VLOOKUP(BC$1,main!$A$3:$H$102,5,FALSE)-VLOOKUP($A76,main!$A$3:$H$102,6,FALSE)&gt;=(VLOOKUP(VLOOKUP(BC$1,main!$A$3:$H$102,8,FALSE),main!$K$26:$M$29,2,FALSE)+VLOOKUP(VLOOKUP(BC$1,main!$A$3:$H$102,7,FALSE),main!$K$19:$O$22,MATCH(VLOOKUP($A76,main!$A$3:$H$102,8,FALSE),main!$K$18:$O$18,0))))),1,0)</f>
        <v>0</v>
      </c>
      <c r="BD76">
        <f>IF((AND(VLOOKUP(BD$1,main!$A$3:$H$102,5,FALSE)-VLOOKUP($A76,main!$A$3:$H$102,6,FALSE)&gt;=(VLOOKUP(VLOOKUP(BD$1,main!$A$3:$H$102,8,FALSE),main!$K$26:$M$29,2,FALSE)+VLOOKUP(VLOOKUP(BD$1,main!$A$3:$H$102,7,FALSE),main!$K$19:$O$22,MATCH(VLOOKUP($A76,main!$A$3:$H$102,8,FALSE),main!$K$18:$O$18,0))))),1,0)</f>
        <v>0</v>
      </c>
      <c r="BE76">
        <f>IF((AND(VLOOKUP(BE$1,main!$A$3:$H$102,5,FALSE)-VLOOKUP($A76,main!$A$3:$H$102,6,FALSE)&gt;=(VLOOKUP(VLOOKUP(BE$1,main!$A$3:$H$102,8,FALSE),main!$K$26:$M$29,2,FALSE)+VLOOKUP(VLOOKUP(BE$1,main!$A$3:$H$102,7,FALSE),main!$K$19:$O$22,MATCH(VLOOKUP($A76,main!$A$3:$H$102,8,FALSE),main!$K$18:$O$18,0))))),1,0)</f>
        <v>1</v>
      </c>
      <c r="BF76">
        <f>IF((AND(VLOOKUP(BF$1,main!$A$3:$H$102,5,FALSE)-VLOOKUP($A76,main!$A$3:$H$102,6,FALSE)&gt;=(VLOOKUP(VLOOKUP(BF$1,main!$A$3:$H$102,8,FALSE),main!$K$26:$M$29,2,FALSE)+VLOOKUP(VLOOKUP(BF$1,main!$A$3:$H$102,7,FALSE),main!$K$19:$O$22,MATCH(VLOOKUP($A76,main!$A$3:$H$102,8,FALSE),main!$K$18:$O$18,0))))),1,0)</f>
        <v>0</v>
      </c>
      <c r="BG76">
        <f>IF((AND(VLOOKUP(BG$1,main!$A$3:$H$102,5,FALSE)-VLOOKUP($A76,main!$A$3:$H$102,6,FALSE)&gt;=(VLOOKUP(VLOOKUP(BG$1,main!$A$3:$H$102,8,FALSE),main!$K$26:$M$29,2,FALSE)+VLOOKUP(VLOOKUP(BG$1,main!$A$3:$H$102,7,FALSE),main!$K$19:$O$22,MATCH(VLOOKUP($A76,main!$A$3:$H$102,8,FALSE),main!$K$18:$O$18,0))))),1,0)</f>
        <v>0</v>
      </c>
      <c r="BH76">
        <f>IF((AND(VLOOKUP(BH$1,main!$A$3:$H$102,5,FALSE)-VLOOKUP($A76,main!$A$3:$H$102,6,FALSE)&gt;=(VLOOKUP(VLOOKUP(BH$1,main!$A$3:$H$102,8,FALSE),main!$K$26:$M$29,2,FALSE)+VLOOKUP(VLOOKUP(BH$1,main!$A$3:$H$102,7,FALSE),main!$K$19:$O$22,MATCH(VLOOKUP($A76,main!$A$3:$H$102,8,FALSE),main!$K$18:$O$18,0))))),1,0)</f>
        <v>0</v>
      </c>
      <c r="BI76">
        <f>IF((AND(VLOOKUP(BI$1,main!$A$3:$H$102,5,FALSE)-VLOOKUP($A76,main!$A$3:$H$102,6,FALSE)&gt;=(VLOOKUP(VLOOKUP(BI$1,main!$A$3:$H$102,8,FALSE),main!$K$26:$M$29,2,FALSE)+VLOOKUP(VLOOKUP(BI$1,main!$A$3:$H$102,7,FALSE),main!$K$19:$O$22,MATCH(VLOOKUP($A76,main!$A$3:$H$102,8,FALSE),main!$K$18:$O$18,0))))),1,0)</f>
        <v>1</v>
      </c>
      <c r="BJ76">
        <f>IF((AND(VLOOKUP(BJ$1,main!$A$3:$H$102,5,FALSE)-VLOOKUP($A76,main!$A$3:$H$102,6,FALSE)&gt;=(VLOOKUP(VLOOKUP(BJ$1,main!$A$3:$H$102,8,FALSE),main!$K$26:$M$29,2,FALSE)+VLOOKUP(VLOOKUP(BJ$1,main!$A$3:$H$102,7,FALSE),main!$K$19:$O$22,MATCH(VLOOKUP($A76,main!$A$3:$H$102,8,FALSE),main!$K$18:$O$18,0))))),1,0)</f>
        <v>1</v>
      </c>
      <c r="BK76">
        <f>IF((AND(VLOOKUP(BK$1,main!$A$3:$H$102,5,FALSE)-VLOOKUP($A76,main!$A$3:$H$102,6,FALSE)&gt;=(VLOOKUP(VLOOKUP(BK$1,main!$A$3:$H$102,8,FALSE),main!$K$26:$M$29,2,FALSE)+VLOOKUP(VLOOKUP(BK$1,main!$A$3:$H$102,7,FALSE),main!$K$19:$O$22,MATCH(VLOOKUP($A76,main!$A$3:$H$102,8,FALSE),main!$K$18:$O$18,0))))),1,0)</f>
        <v>0</v>
      </c>
      <c r="BL76">
        <f>IF((AND(VLOOKUP(BL$1,main!$A$3:$H$102,5,FALSE)-VLOOKUP($A76,main!$A$3:$H$102,6,FALSE)&gt;=(VLOOKUP(VLOOKUP(BL$1,main!$A$3:$H$102,8,FALSE),main!$K$26:$M$29,2,FALSE)+VLOOKUP(VLOOKUP(BL$1,main!$A$3:$H$102,7,FALSE),main!$K$19:$O$22,MATCH(VLOOKUP($A76,main!$A$3:$H$102,8,FALSE),main!$K$18:$O$18,0))))),1,0)</f>
        <v>0</v>
      </c>
      <c r="BM76">
        <f>IF((AND(VLOOKUP(BM$1,main!$A$3:$H$102,5,FALSE)-VLOOKUP($A76,main!$A$3:$H$102,6,FALSE)&gt;=(VLOOKUP(VLOOKUP(BM$1,main!$A$3:$H$102,8,FALSE),main!$K$26:$M$29,2,FALSE)+VLOOKUP(VLOOKUP(BM$1,main!$A$3:$H$102,7,FALSE),main!$K$19:$O$22,MATCH(VLOOKUP($A76,main!$A$3:$H$102,8,FALSE),main!$K$18:$O$18,0))))),1,0)</f>
        <v>0</v>
      </c>
      <c r="BN76">
        <f>IF((AND(VLOOKUP(BN$1,main!$A$3:$H$102,5,FALSE)-VLOOKUP($A76,main!$A$3:$H$102,6,FALSE)&gt;=(VLOOKUP(VLOOKUP(BN$1,main!$A$3:$H$102,8,FALSE),main!$K$26:$M$29,2,FALSE)+VLOOKUP(VLOOKUP(BN$1,main!$A$3:$H$102,7,FALSE),main!$K$19:$O$22,MATCH(VLOOKUP($A76,main!$A$3:$H$102,8,FALSE),main!$K$18:$O$18,0))))),1,0)</f>
        <v>0</v>
      </c>
      <c r="BO76">
        <f>IF((AND(VLOOKUP(BO$1,main!$A$3:$H$102,5,FALSE)-VLOOKUP($A76,main!$A$3:$H$102,6,FALSE)&gt;=(VLOOKUP(VLOOKUP(BO$1,main!$A$3:$H$102,8,FALSE),main!$K$26:$M$29,2,FALSE)+VLOOKUP(VLOOKUP(BO$1,main!$A$3:$H$102,7,FALSE),main!$K$19:$O$22,MATCH(VLOOKUP($A76,main!$A$3:$H$102,8,FALSE),main!$K$18:$O$18,0))))),1,0)</f>
        <v>0</v>
      </c>
      <c r="BP76">
        <f>IF((AND(VLOOKUP(BP$1,main!$A$3:$H$102,5,FALSE)-VLOOKUP($A76,main!$A$3:$H$102,6,FALSE)&gt;=(VLOOKUP(VLOOKUP(BP$1,main!$A$3:$H$102,8,FALSE),main!$K$26:$M$29,2,FALSE)+VLOOKUP(VLOOKUP(BP$1,main!$A$3:$H$102,7,FALSE),main!$K$19:$O$22,MATCH(VLOOKUP($A76,main!$A$3:$H$102,8,FALSE),main!$K$18:$O$18,0))))),1,0)</f>
        <v>0</v>
      </c>
      <c r="BQ76">
        <f>IF((AND(VLOOKUP(BQ$1,main!$A$3:$H$102,5,FALSE)-VLOOKUP($A76,main!$A$3:$H$102,6,FALSE)&gt;=(VLOOKUP(VLOOKUP(BQ$1,main!$A$3:$H$102,8,FALSE),main!$K$26:$M$29,2,FALSE)+VLOOKUP(VLOOKUP(BQ$1,main!$A$3:$H$102,7,FALSE),main!$K$19:$O$22,MATCH(VLOOKUP($A76,main!$A$3:$H$102,8,FALSE),main!$K$18:$O$18,0))))),1,0)</f>
        <v>0</v>
      </c>
      <c r="BR76">
        <f>IF((AND(VLOOKUP(BR$1,main!$A$3:$H$102,5,FALSE)-VLOOKUP($A76,main!$A$3:$H$102,6,FALSE)&gt;=(VLOOKUP(VLOOKUP(BR$1,main!$A$3:$H$102,8,FALSE),main!$K$26:$M$29,2,FALSE)+VLOOKUP(VLOOKUP(BR$1,main!$A$3:$H$102,7,FALSE),main!$K$19:$O$22,MATCH(VLOOKUP($A76,main!$A$3:$H$102,8,FALSE),main!$K$18:$O$18,0))))),1,0)</f>
        <v>0</v>
      </c>
      <c r="BS76">
        <f>IF((AND(VLOOKUP(BS$1,main!$A$3:$H$102,5,FALSE)-VLOOKUP($A76,main!$A$3:$H$102,6,FALSE)&gt;=(VLOOKUP(VLOOKUP(BS$1,main!$A$3:$H$102,8,FALSE),main!$K$26:$M$29,2,FALSE)+VLOOKUP(VLOOKUP(BS$1,main!$A$3:$H$102,7,FALSE),main!$K$19:$O$22,MATCH(VLOOKUP($A76,main!$A$3:$H$102,8,FALSE),main!$K$18:$O$18,0))))),1,0)</f>
        <v>0</v>
      </c>
      <c r="BT76">
        <f>IF((AND(VLOOKUP(BT$1,main!$A$3:$H$102,5,FALSE)-VLOOKUP($A76,main!$A$3:$H$102,6,FALSE)&gt;=(VLOOKUP(VLOOKUP(BT$1,main!$A$3:$H$102,8,FALSE),main!$K$26:$M$29,2,FALSE)+VLOOKUP(VLOOKUP(BT$1,main!$A$3:$H$102,7,FALSE),main!$K$19:$O$22,MATCH(VLOOKUP($A76,main!$A$3:$H$102,8,FALSE),main!$K$18:$O$18,0))))),1,0)</f>
        <v>0</v>
      </c>
      <c r="BU76">
        <f>IF((AND(VLOOKUP(BU$1,main!$A$3:$H$102,5,FALSE)-VLOOKUP($A76,main!$A$3:$H$102,6,FALSE)&gt;=(VLOOKUP(VLOOKUP(BU$1,main!$A$3:$H$102,8,FALSE),main!$K$26:$M$29,2,FALSE)+VLOOKUP(VLOOKUP(BU$1,main!$A$3:$H$102,7,FALSE),main!$K$19:$O$22,MATCH(VLOOKUP($A76,main!$A$3:$H$102,8,FALSE),main!$K$18:$O$18,0))))),1,0)</f>
        <v>0</v>
      </c>
      <c r="BV76">
        <f>IF((AND(VLOOKUP(BV$1,main!$A$3:$H$102,5,FALSE)-VLOOKUP($A76,main!$A$3:$H$102,6,FALSE)&gt;=(VLOOKUP(VLOOKUP(BV$1,main!$A$3:$H$102,8,FALSE),main!$K$26:$M$29,2,FALSE)+VLOOKUP(VLOOKUP(BV$1,main!$A$3:$H$102,7,FALSE),main!$K$19:$O$22,MATCH(VLOOKUP($A76,main!$A$3:$H$102,8,FALSE),main!$K$18:$O$18,0))))),1,0)</f>
        <v>0</v>
      </c>
      <c r="BW76">
        <f>IF((AND(VLOOKUP(BW$1,main!$A$3:$H$102,5,FALSE)-VLOOKUP($A76,main!$A$3:$H$102,6,FALSE)&gt;=(VLOOKUP(VLOOKUP(BW$1,main!$A$3:$H$102,8,FALSE),main!$K$26:$M$29,2,FALSE)+VLOOKUP(VLOOKUP(BW$1,main!$A$3:$H$102,7,FALSE),main!$K$19:$O$22,MATCH(VLOOKUP($A76,main!$A$3:$H$102,8,FALSE),main!$K$18:$O$18,0))))),1,0)</f>
        <v>0</v>
      </c>
      <c r="BX76">
        <f>IF((AND(VLOOKUP(BX$1,main!$A$3:$H$102,5,FALSE)-VLOOKUP($A76,main!$A$3:$H$102,6,FALSE)&gt;=(VLOOKUP(VLOOKUP(BX$1,main!$A$3:$H$102,8,FALSE),main!$K$26:$M$29,2,FALSE)+VLOOKUP(VLOOKUP(BX$1,main!$A$3:$H$102,7,FALSE),main!$K$19:$O$22,MATCH(VLOOKUP($A76,main!$A$3:$H$102,8,FALSE),main!$K$18:$O$18,0))))),1,0)</f>
        <v>0</v>
      </c>
      <c r="BY76">
        <f>IF((AND(VLOOKUP(BY$1,main!$A$3:$H$102,5,FALSE)-VLOOKUP($A76,main!$A$3:$H$102,6,FALSE)&gt;=(VLOOKUP(VLOOKUP(BY$1,main!$A$3:$H$102,8,FALSE),main!$K$26:$M$29,2,FALSE)+VLOOKUP(VLOOKUP(BY$1,main!$A$3:$H$102,7,FALSE),main!$K$19:$O$22,MATCH(VLOOKUP($A76,main!$A$3:$H$102,8,FALSE),main!$K$18:$O$18,0))))),1,0)</f>
        <v>0</v>
      </c>
      <c r="BZ76">
        <f>IF((AND(VLOOKUP(BZ$1,main!$A$3:$H$102,5,FALSE)-VLOOKUP($A76,main!$A$3:$H$102,6,FALSE)&gt;=(VLOOKUP(VLOOKUP(BZ$1,main!$A$3:$H$102,8,FALSE),main!$K$26:$M$29,2,FALSE)+VLOOKUP(VLOOKUP(BZ$1,main!$A$3:$H$102,7,FALSE),main!$K$19:$O$22,MATCH(VLOOKUP($A76,main!$A$3:$H$102,8,FALSE),main!$K$18:$O$18,0))))),1,0)</f>
        <v>0</v>
      </c>
      <c r="CA76">
        <f>IF((AND(VLOOKUP(CA$1,main!$A$3:$H$102,5,FALSE)-VLOOKUP($A76,main!$A$3:$H$102,6,FALSE)&gt;=(VLOOKUP(VLOOKUP(CA$1,main!$A$3:$H$102,8,FALSE),main!$K$26:$M$29,2,FALSE)+VLOOKUP(VLOOKUP(CA$1,main!$A$3:$H$102,7,FALSE),main!$K$19:$O$22,MATCH(VLOOKUP($A76,main!$A$3:$H$102,8,FALSE),main!$K$18:$O$18,0))))),1,0)</f>
        <v>0</v>
      </c>
      <c r="CB76">
        <f>IF((AND(VLOOKUP(CB$1,main!$A$3:$H$102,5,FALSE)-VLOOKUP($A76,main!$A$3:$H$102,6,FALSE)&gt;=(VLOOKUP(VLOOKUP(CB$1,main!$A$3:$H$102,8,FALSE),main!$K$26:$M$29,2,FALSE)+VLOOKUP(VLOOKUP(CB$1,main!$A$3:$H$102,7,FALSE),main!$K$19:$O$22,MATCH(VLOOKUP($A76,main!$A$3:$H$102,8,FALSE),main!$K$18:$O$18,0))))),1,0)</f>
        <v>0</v>
      </c>
      <c r="CC76">
        <f>IF((AND(VLOOKUP(CC$1,main!$A$3:$H$102,5,FALSE)-VLOOKUP($A76,main!$A$3:$H$102,6,FALSE)&gt;=(VLOOKUP(VLOOKUP(CC$1,main!$A$3:$H$102,8,FALSE),main!$K$26:$M$29,2,FALSE)+VLOOKUP(VLOOKUP(CC$1,main!$A$3:$H$102,7,FALSE),main!$K$19:$O$22,MATCH(VLOOKUP($A76,main!$A$3:$H$102,8,FALSE),main!$K$18:$O$18,0))))),1,0)</f>
        <v>1</v>
      </c>
      <c r="CD76">
        <f>IF((AND(VLOOKUP(CD$1,main!$A$3:$H$102,5,FALSE)-VLOOKUP($A76,main!$A$3:$H$102,6,FALSE)&gt;=(VLOOKUP(VLOOKUP(CD$1,main!$A$3:$H$102,8,FALSE),main!$K$26:$M$29,2,FALSE)+VLOOKUP(VLOOKUP(CD$1,main!$A$3:$H$102,7,FALSE),main!$K$19:$O$22,MATCH(VLOOKUP($A76,main!$A$3:$H$102,8,FALSE),main!$K$18:$O$18,0))))),1,0)</f>
        <v>0</v>
      </c>
      <c r="CE76">
        <f>IF((AND(VLOOKUP(CE$1,main!$A$3:$H$102,5,FALSE)-VLOOKUP($A76,main!$A$3:$H$102,6,FALSE)&gt;=(VLOOKUP(VLOOKUP(CE$1,main!$A$3:$H$102,8,FALSE),main!$K$26:$M$29,2,FALSE)+VLOOKUP(VLOOKUP(CE$1,main!$A$3:$H$102,7,FALSE),main!$K$19:$O$22,MATCH(VLOOKUP($A76,main!$A$3:$H$102,8,FALSE),main!$K$18:$O$18,0))))),1,0)</f>
        <v>0</v>
      </c>
      <c r="CF76">
        <f>IF((AND(VLOOKUP(CF$1,main!$A$3:$H$102,5,FALSE)-VLOOKUP($A76,main!$A$3:$H$102,6,FALSE)&gt;=(VLOOKUP(VLOOKUP(CF$1,main!$A$3:$H$102,8,FALSE),main!$K$26:$M$29,2,FALSE)+VLOOKUP(VLOOKUP(CF$1,main!$A$3:$H$102,7,FALSE),main!$K$19:$O$22,MATCH(VLOOKUP($A76,main!$A$3:$H$102,8,FALSE),main!$K$18:$O$18,0))))),1,0)</f>
        <v>0</v>
      </c>
      <c r="CG76">
        <f>IF((AND(VLOOKUP(CG$1,main!$A$3:$H$102,5,FALSE)-VLOOKUP($A76,main!$A$3:$H$102,6,FALSE)&gt;=(VLOOKUP(VLOOKUP(CG$1,main!$A$3:$H$102,8,FALSE),main!$K$26:$M$29,2,FALSE)+VLOOKUP(VLOOKUP(CG$1,main!$A$3:$H$102,7,FALSE),main!$K$19:$O$22,MATCH(VLOOKUP($A76,main!$A$3:$H$102,8,FALSE),main!$K$18:$O$18,0))))),1,0)</f>
        <v>0</v>
      </c>
      <c r="CH76">
        <f>IF((AND(VLOOKUP(CH$1,main!$A$3:$H$102,5,FALSE)-VLOOKUP($A76,main!$A$3:$H$102,6,FALSE)&gt;=(VLOOKUP(VLOOKUP(CH$1,main!$A$3:$H$102,8,FALSE),main!$K$26:$M$29,2,FALSE)+VLOOKUP(VLOOKUP(CH$1,main!$A$3:$H$102,7,FALSE),main!$K$19:$O$22,MATCH(VLOOKUP($A76,main!$A$3:$H$102,8,FALSE),main!$K$18:$O$18,0))))),1,0)</f>
        <v>1</v>
      </c>
      <c r="CI76">
        <f>IF((AND(VLOOKUP(CI$1,main!$A$3:$H$102,5,FALSE)-VLOOKUP($A76,main!$A$3:$H$102,6,FALSE)&gt;=(VLOOKUP(VLOOKUP(CI$1,main!$A$3:$H$102,8,FALSE),main!$K$26:$M$29,2,FALSE)+VLOOKUP(VLOOKUP(CI$1,main!$A$3:$H$102,7,FALSE),main!$K$19:$O$22,MATCH(VLOOKUP($A76,main!$A$3:$H$102,8,FALSE),main!$K$18:$O$18,0))))),1,0)</f>
        <v>1</v>
      </c>
      <c r="CJ76">
        <f>IF((AND(VLOOKUP(CJ$1,main!$A$3:$H$102,5,FALSE)-VLOOKUP($A76,main!$A$3:$H$102,6,FALSE)&gt;=(VLOOKUP(VLOOKUP(CJ$1,main!$A$3:$H$102,8,FALSE),main!$K$26:$M$29,2,FALSE)+VLOOKUP(VLOOKUP(CJ$1,main!$A$3:$H$102,7,FALSE),main!$K$19:$O$22,MATCH(VLOOKUP($A76,main!$A$3:$H$102,8,FALSE),main!$K$18:$O$18,0))))),1,0)</f>
        <v>0</v>
      </c>
      <c r="CK76">
        <f>IF((AND(VLOOKUP(CK$1,main!$A$3:$H$102,5,FALSE)-VLOOKUP($A76,main!$A$3:$H$102,6,FALSE)&gt;=(VLOOKUP(VLOOKUP(CK$1,main!$A$3:$H$102,8,FALSE),main!$K$26:$M$29,2,FALSE)+VLOOKUP(VLOOKUP(CK$1,main!$A$3:$H$102,7,FALSE),main!$K$19:$O$22,MATCH(VLOOKUP($A76,main!$A$3:$H$102,8,FALSE),main!$K$18:$O$18,0))))),1,0)</f>
        <v>0</v>
      </c>
      <c r="CL76">
        <f>IF((AND(VLOOKUP(CL$1,main!$A$3:$H$102,5,FALSE)-VLOOKUP($A76,main!$A$3:$H$102,6,FALSE)&gt;=(VLOOKUP(VLOOKUP(CL$1,main!$A$3:$H$102,8,FALSE),main!$K$26:$M$29,2,FALSE)+VLOOKUP(VLOOKUP(CL$1,main!$A$3:$H$102,7,FALSE),main!$K$19:$O$22,MATCH(VLOOKUP($A76,main!$A$3:$H$102,8,FALSE),main!$K$18:$O$18,0))))),1,0)</f>
        <v>0</v>
      </c>
      <c r="CM76">
        <f>IF((AND(VLOOKUP(CM$1,main!$A$3:$H$102,5,FALSE)-VLOOKUP($A76,main!$A$3:$H$102,6,FALSE)&gt;=(VLOOKUP(VLOOKUP(CM$1,main!$A$3:$H$102,8,FALSE),main!$K$26:$M$29,2,FALSE)+VLOOKUP(VLOOKUP(CM$1,main!$A$3:$H$102,7,FALSE),main!$K$19:$O$22,MATCH(VLOOKUP($A76,main!$A$3:$H$102,8,FALSE),main!$K$18:$O$18,0))))),1,0)</f>
        <v>1</v>
      </c>
      <c r="CN76">
        <f>IF((AND(VLOOKUP(CN$1,main!$A$3:$H$102,5,FALSE)-VLOOKUP($A76,main!$A$3:$H$102,6,FALSE)&gt;=(VLOOKUP(VLOOKUP(CN$1,main!$A$3:$H$102,8,FALSE),main!$K$26:$M$29,2,FALSE)+VLOOKUP(VLOOKUP(CN$1,main!$A$3:$H$102,7,FALSE),main!$K$19:$O$22,MATCH(VLOOKUP($A76,main!$A$3:$H$102,8,FALSE),main!$K$18:$O$18,0))))),1,0)</f>
        <v>1</v>
      </c>
      <c r="CO76">
        <f>IF((AND(VLOOKUP(CO$1,main!$A$3:$H$102,5,FALSE)-VLOOKUP($A76,main!$A$3:$H$102,6,FALSE)&gt;=(VLOOKUP(VLOOKUP(CO$1,main!$A$3:$H$102,8,FALSE),main!$K$26:$M$29,2,FALSE)+VLOOKUP(VLOOKUP(CO$1,main!$A$3:$H$102,7,FALSE),main!$K$19:$O$22,MATCH(VLOOKUP($A76,main!$A$3:$H$102,8,FALSE),main!$K$18:$O$18,0))))),1,0)</f>
        <v>0</v>
      </c>
      <c r="CP76">
        <f>IF((AND(VLOOKUP(CP$1,main!$A$3:$H$102,5,FALSE)-VLOOKUP($A76,main!$A$3:$H$102,6,FALSE)&gt;=(VLOOKUP(VLOOKUP(CP$1,main!$A$3:$H$102,8,FALSE),main!$K$26:$M$29,2,FALSE)+VLOOKUP(VLOOKUP(CP$1,main!$A$3:$H$102,7,FALSE),main!$K$19:$O$22,MATCH(VLOOKUP($A76,main!$A$3:$H$102,8,FALSE),main!$K$18:$O$18,0))))),1,0)</f>
        <v>0</v>
      </c>
      <c r="CQ76">
        <f>IF((AND(VLOOKUP(CQ$1,main!$A$3:$H$102,5,FALSE)-VLOOKUP($A76,main!$A$3:$H$102,6,FALSE)&gt;=(VLOOKUP(VLOOKUP(CQ$1,main!$A$3:$H$102,8,FALSE),main!$K$26:$M$29,2,FALSE)+VLOOKUP(VLOOKUP(CQ$1,main!$A$3:$H$102,7,FALSE),main!$K$19:$O$22,MATCH(VLOOKUP($A76,main!$A$3:$H$102,8,FALSE),main!$K$18:$O$18,0))))),1,0)</f>
        <v>0</v>
      </c>
      <c r="CR76">
        <f>IF((AND(VLOOKUP(CR$1,main!$A$3:$H$102,5,FALSE)-VLOOKUP($A76,main!$A$3:$H$102,6,FALSE)&gt;=(VLOOKUP(VLOOKUP(CR$1,main!$A$3:$H$102,8,FALSE),main!$K$26:$M$29,2,FALSE)+VLOOKUP(VLOOKUP(CR$1,main!$A$3:$H$102,7,FALSE),main!$K$19:$O$22,MATCH(VLOOKUP($A76,main!$A$3:$H$102,8,FALSE),main!$K$18:$O$18,0))))),1,0)</f>
        <v>1</v>
      </c>
      <c r="CS76">
        <f>IF((AND(VLOOKUP(CS$1,main!$A$3:$H$102,5,FALSE)-VLOOKUP($A76,main!$A$3:$H$102,6,FALSE)&gt;=(VLOOKUP(VLOOKUP(CS$1,main!$A$3:$H$102,8,FALSE),main!$K$26:$M$29,2,FALSE)+VLOOKUP(VLOOKUP(CS$1,main!$A$3:$H$102,7,FALSE),main!$K$19:$O$22,MATCH(VLOOKUP($A76,main!$A$3:$H$102,8,FALSE),main!$K$18:$O$18,0))))),1,0)</f>
        <v>1</v>
      </c>
      <c r="CT76">
        <f>IF((AND(VLOOKUP(CT$1,main!$A$3:$H$102,5,FALSE)-VLOOKUP($A76,main!$A$3:$H$102,6,FALSE)&gt;=(VLOOKUP(VLOOKUP(CT$1,main!$A$3:$H$102,8,FALSE),main!$K$26:$M$29,2,FALSE)+VLOOKUP(VLOOKUP(CT$1,main!$A$3:$H$102,7,FALSE),main!$K$19:$O$22,MATCH(VLOOKUP($A76,main!$A$3:$H$102,8,FALSE),main!$K$18:$O$18,0))))),1,0)</f>
        <v>0</v>
      </c>
      <c r="CU76">
        <f>IF((AND(VLOOKUP(CU$1,main!$A$3:$H$102,5,FALSE)-VLOOKUP($A76,main!$A$3:$H$102,6,FALSE)&gt;=(VLOOKUP(VLOOKUP(CU$1,main!$A$3:$H$102,8,FALSE),main!$K$26:$M$29,2,FALSE)+VLOOKUP(VLOOKUP(CU$1,main!$A$3:$H$102,7,FALSE),main!$K$19:$O$22,MATCH(VLOOKUP($A76,main!$A$3:$H$102,8,FALSE),main!$K$18:$O$18,0))))),1,0)</f>
        <v>0</v>
      </c>
      <c r="CV76">
        <f>IF((AND(VLOOKUP(CV$1,main!$A$3:$H$102,5,FALSE)-VLOOKUP($A76,main!$A$3:$H$102,6,FALSE)&gt;=(VLOOKUP(VLOOKUP(CV$1,main!$A$3:$H$102,8,FALSE),main!$K$26:$M$29,2,FALSE)+VLOOKUP(VLOOKUP(CV$1,main!$A$3:$H$102,7,FALSE),main!$K$19:$O$22,MATCH(VLOOKUP($A76,main!$A$3:$H$102,8,FALSE),main!$K$18:$O$18,0))))),1,0)</f>
        <v>0</v>
      </c>
      <c r="CW76">
        <f>IF((AND(VLOOKUP(CW$1,main!$A$3:$H$102,5,FALSE)-VLOOKUP($A76,main!$A$3:$H$102,6,FALSE)&gt;=(VLOOKUP(VLOOKUP(CW$1,main!$A$3:$H$102,8,FALSE),main!$K$26:$M$29,2,FALSE)+VLOOKUP(VLOOKUP(CW$1,main!$A$3:$H$102,7,FALSE),main!$K$19:$O$22,MATCH(VLOOKUP($A76,main!$A$3:$H$102,8,FALSE),main!$K$18:$O$18,0))))),1,0)</f>
        <v>1</v>
      </c>
      <c r="CX76">
        <f>IF((AND(VLOOKUP(CX$1,main!$A$3:$H$102,5,FALSE)-VLOOKUP($A76,main!$A$3:$H$102,6,FALSE)&gt;=(VLOOKUP(VLOOKUP(CX$1,main!$A$3:$H$102,8,FALSE),main!$K$26:$M$29,2,FALSE)+VLOOKUP(VLOOKUP(CX$1,main!$A$3:$H$102,7,FALSE),main!$K$19:$O$22,MATCH(VLOOKUP($A76,main!$A$3:$H$102,8,FALSE),main!$K$18:$O$18,0))))),1,0)</f>
        <v>1</v>
      </c>
    </row>
    <row r="77" spans="1:102" x14ac:dyDescent="0.25">
      <c r="A77" s="1">
        <v>75</v>
      </c>
      <c r="B77">
        <v>1</v>
      </c>
      <c r="C77">
        <f>IF((AND(VLOOKUP(C$1,main!$A$3:$H$102,5,FALSE)-VLOOKUP($A77,main!$A$3:$H$102,6,FALSE)&gt;=(VLOOKUP(VLOOKUP(C$1,main!$A$3:$H$102,8,FALSE),main!$K$26:$M$29,2,FALSE)+VLOOKUP(VLOOKUP(C$1,main!$A$3:$H$102,7,FALSE),main!$K$19:$O$22,MATCH(VLOOKUP($A77,main!$A$3:$H$102,8,FALSE),main!$K$18:$O$18,0))))),1,0)</f>
        <v>0</v>
      </c>
      <c r="D77">
        <f>IF((AND(VLOOKUP(D$1,main!$A$3:$H$102,5,FALSE)-VLOOKUP($A77,main!$A$3:$H$102,6,FALSE)&gt;=(VLOOKUP(VLOOKUP(D$1,main!$A$3:$H$102,8,FALSE),main!$K$26:$M$29,2,FALSE)+VLOOKUP(VLOOKUP(D$1,main!$A$3:$H$102,7,FALSE),main!$K$19:$O$22,MATCH(VLOOKUP($A77,main!$A$3:$H$102,8,FALSE),main!$K$18:$O$18,0))))),1,0)</f>
        <v>0</v>
      </c>
      <c r="E77">
        <f>IF((AND(VLOOKUP(E$1,main!$A$3:$H$102,5,FALSE)-VLOOKUP($A77,main!$A$3:$H$102,6,FALSE)&gt;=(VLOOKUP(VLOOKUP(E$1,main!$A$3:$H$102,8,FALSE),main!$K$26:$M$29,2,FALSE)+VLOOKUP(VLOOKUP(E$1,main!$A$3:$H$102,7,FALSE),main!$K$19:$O$22,MATCH(VLOOKUP($A77,main!$A$3:$H$102,8,FALSE),main!$K$18:$O$18,0))))),1,0)</f>
        <v>0</v>
      </c>
      <c r="F77">
        <f>IF((AND(VLOOKUP(F$1,main!$A$3:$H$102,5,FALSE)-VLOOKUP($A77,main!$A$3:$H$102,6,FALSE)&gt;=(VLOOKUP(VLOOKUP(F$1,main!$A$3:$H$102,8,FALSE),main!$K$26:$M$29,2,FALSE)+VLOOKUP(VLOOKUP(F$1,main!$A$3:$H$102,7,FALSE),main!$K$19:$O$22,MATCH(VLOOKUP($A77,main!$A$3:$H$102,8,FALSE),main!$K$18:$O$18,0))))),1,0)</f>
        <v>0</v>
      </c>
      <c r="G77">
        <f>IF((AND(VLOOKUP(G$1,main!$A$3:$H$102,5,FALSE)-VLOOKUP($A77,main!$A$3:$H$102,6,FALSE)&gt;=(VLOOKUP(VLOOKUP(G$1,main!$A$3:$H$102,8,FALSE),main!$K$26:$M$29,2,FALSE)+VLOOKUP(VLOOKUP(G$1,main!$A$3:$H$102,7,FALSE),main!$K$19:$O$22,MATCH(VLOOKUP($A77,main!$A$3:$H$102,8,FALSE),main!$K$18:$O$18,0))))),1,0)</f>
        <v>0</v>
      </c>
      <c r="H77">
        <f>IF((AND(VLOOKUP(H$1,main!$A$3:$H$102,5,FALSE)-VLOOKUP($A77,main!$A$3:$H$102,6,FALSE)&gt;=(VLOOKUP(VLOOKUP(H$1,main!$A$3:$H$102,8,FALSE),main!$K$26:$M$29,2,FALSE)+VLOOKUP(VLOOKUP(H$1,main!$A$3:$H$102,7,FALSE),main!$K$19:$O$22,MATCH(VLOOKUP($A77,main!$A$3:$H$102,8,FALSE),main!$K$18:$O$18,0))))),1,0)</f>
        <v>0</v>
      </c>
      <c r="I77">
        <f>IF((AND(VLOOKUP(I$1,main!$A$3:$H$102,5,FALSE)-VLOOKUP($A77,main!$A$3:$H$102,6,FALSE)&gt;=(VLOOKUP(VLOOKUP(I$1,main!$A$3:$H$102,8,FALSE),main!$K$26:$M$29,2,FALSE)+VLOOKUP(VLOOKUP(I$1,main!$A$3:$H$102,7,FALSE),main!$K$19:$O$22,MATCH(VLOOKUP($A77,main!$A$3:$H$102,8,FALSE),main!$K$18:$O$18,0))))),1,0)</f>
        <v>0</v>
      </c>
      <c r="J77">
        <f>IF((AND(VLOOKUP(J$1,main!$A$3:$H$102,5,FALSE)-VLOOKUP($A77,main!$A$3:$H$102,6,FALSE)&gt;=(VLOOKUP(VLOOKUP(J$1,main!$A$3:$H$102,8,FALSE),main!$K$26:$M$29,2,FALSE)+VLOOKUP(VLOOKUP(J$1,main!$A$3:$H$102,7,FALSE),main!$K$19:$O$22,MATCH(VLOOKUP($A77,main!$A$3:$H$102,8,FALSE),main!$K$18:$O$18,0))))),1,0)</f>
        <v>1</v>
      </c>
      <c r="K77">
        <f>IF((AND(VLOOKUP(K$1,main!$A$3:$H$102,5,FALSE)-VLOOKUP($A77,main!$A$3:$H$102,6,FALSE)&gt;=(VLOOKUP(VLOOKUP(K$1,main!$A$3:$H$102,8,FALSE),main!$K$26:$M$29,2,FALSE)+VLOOKUP(VLOOKUP(K$1,main!$A$3:$H$102,7,FALSE),main!$K$19:$O$22,MATCH(VLOOKUP($A77,main!$A$3:$H$102,8,FALSE),main!$K$18:$O$18,0))))),1,0)</f>
        <v>1</v>
      </c>
      <c r="L77">
        <f>IF((AND(VLOOKUP(L$1,main!$A$3:$H$102,5,FALSE)-VLOOKUP($A77,main!$A$3:$H$102,6,FALSE)&gt;=(VLOOKUP(VLOOKUP(L$1,main!$A$3:$H$102,8,FALSE),main!$K$26:$M$29,2,FALSE)+VLOOKUP(VLOOKUP(L$1,main!$A$3:$H$102,7,FALSE),main!$K$19:$O$22,MATCH(VLOOKUP($A77,main!$A$3:$H$102,8,FALSE),main!$K$18:$O$18,0))))),1,0)</f>
        <v>1</v>
      </c>
      <c r="M77">
        <f>IF((AND(VLOOKUP(M$1,main!$A$3:$H$102,5,FALSE)-VLOOKUP($A77,main!$A$3:$H$102,6,FALSE)&gt;=(VLOOKUP(VLOOKUP(M$1,main!$A$3:$H$102,8,FALSE),main!$K$26:$M$29,2,FALSE)+VLOOKUP(VLOOKUP(M$1,main!$A$3:$H$102,7,FALSE),main!$K$19:$O$22,MATCH(VLOOKUP($A77,main!$A$3:$H$102,8,FALSE),main!$K$18:$O$18,0))))),1,0)</f>
        <v>0</v>
      </c>
      <c r="N77">
        <f>IF((AND(VLOOKUP(N$1,main!$A$3:$H$102,5,FALSE)-VLOOKUP($A77,main!$A$3:$H$102,6,FALSE)&gt;=(VLOOKUP(VLOOKUP(N$1,main!$A$3:$H$102,8,FALSE),main!$K$26:$M$29,2,FALSE)+VLOOKUP(VLOOKUP(N$1,main!$A$3:$H$102,7,FALSE),main!$K$19:$O$22,MATCH(VLOOKUP($A77,main!$A$3:$H$102,8,FALSE),main!$K$18:$O$18,0))))),1,0)</f>
        <v>0</v>
      </c>
      <c r="O77">
        <f>IF((AND(VLOOKUP(O$1,main!$A$3:$H$102,5,FALSE)-VLOOKUP($A77,main!$A$3:$H$102,6,FALSE)&gt;=(VLOOKUP(VLOOKUP(O$1,main!$A$3:$H$102,8,FALSE),main!$K$26:$M$29,2,FALSE)+VLOOKUP(VLOOKUP(O$1,main!$A$3:$H$102,7,FALSE),main!$K$19:$O$22,MATCH(VLOOKUP($A77,main!$A$3:$H$102,8,FALSE),main!$K$18:$O$18,0))))),1,0)</f>
        <v>0</v>
      </c>
      <c r="P77">
        <f>IF((AND(VLOOKUP(P$1,main!$A$3:$H$102,5,FALSE)-VLOOKUP($A77,main!$A$3:$H$102,6,FALSE)&gt;=(VLOOKUP(VLOOKUP(P$1,main!$A$3:$H$102,8,FALSE),main!$K$26:$M$29,2,FALSE)+VLOOKUP(VLOOKUP(P$1,main!$A$3:$H$102,7,FALSE),main!$K$19:$O$22,MATCH(VLOOKUP($A77,main!$A$3:$H$102,8,FALSE),main!$K$18:$O$18,0))))),1,0)</f>
        <v>0</v>
      </c>
      <c r="Q77">
        <f>IF((AND(VLOOKUP(Q$1,main!$A$3:$H$102,5,FALSE)-VLOOKUP($A77,main!$A$3:$H$102,6,FALSE)&gt;=(VLOOKUP(VLOOKUP(Q$1,main!$A$3:$H$102,8,FALSE),main!$K$26:$M$29,2,FALSE)+VLOOKUP(VLOOKUP(Q$1,main!$A$3:$H$102,7,FALSE),main!$K$19:$O$22,MATCH(VLOOKUP($A77,main!$A$3:$H$102,8,FALSE),main!$K$18:$O$18,0))))),1,0)</f>
        <v>0</v>
      </c>
      <c r="R77">
        <f>IF((AND(VLOOKUP(R$1,main!$A$3:$H$102,5,FALSE)-VLOOKUP($A77,main!$A$3:$H$102,6,FALSE)&gt;=(VLOOKUP(VLOOKUP(R$1,main!$A$3:$H$102,8,FALSE),main!$K$26:$M$29,2,FALSE)+VLOOKUP(VLOOKUP(R$1,main!$A$3:$H$102,7,FALSE),main!$K$19:$O$22,MATCH(VLOOKUP($A77,main!$A$3:$H$102,8,FALSE),main!$K$18:$O$18,0))))),1,0)</f>
        <v>0</v>
      </c>
      <c r="S77">
        <f>IF((AND(VLOOKUP(S$1,main!$A$3:$H$102,5,FALSE)-VLOOKUP($A77,main!$A$3:$H$102,6,FALSE)&gt;=(VLOOKUP(VLOOKUP(S$1,main!$A$3:$H$102,8,FALSE),main!$K$26:$M$29,2,FALSE)+VLOOKUP(VLOOKUP(S$1,main!$A$3:$H$102,7,FALSE),main!$K$19:$O$22,MATCH(VLOOKUP($A77,main!$A$3:$H$102,8,FALSE),main!$K$18:$O$18,0))))),1,0)</f>
        <v>0</v>
      </c>
      <c r="T77">
        <f>IF((AND(VLOOKUP(T$1,main!$A$3:$H$102,5,FALSE)-VLOOKUP($A77,main!$A$3:$H$102,6,FALSE)&gt;=(VLOOKUP(VLOOKUP(T$1,main!$A$3:$H$102,8,FALSE),main!$K$26:$M$29,2,FALSE)+VLOOKUP(VLOOKUP(T$1,main!$A$3:$H$102,7,FALSE),main!$K$19:$O$22,MATCH(VLOOKUP($A77,main!$A$3:$H$102,8,FALSE),main!$K$18:$O$18,0))))),1,0)</f>
        <v>0</v>
      </c>
      <c r="U77">
        <f>IF((AND(VLOOKUP(U$1,main!$A$3:$H$102,5,FALSE)-VLOOKUP($A77,main!$A$3:$H$102,6,FALSE)&gt;=(VLOOKUP(VLOOKUP(U$1,main!$A$3:$H$102,8,FALSE),main!$K$26:$M$29,2,FALSE)+VLOOKUP(VLOOKUP(U$1,main!$A$3:$H$102,7,FALSE),main!$K$19:$O$22,MATCH(VLOOKUP($A77,main!$A$3:$H$102,8,FALSE),main!$K$18:$O$18,0))))),1,0)</f>
        <v>1</v>
      </c>
      <c r="V77">
        <f>IF((AND(VLOOKUP(V$1,main!$A$3:$H$102,5,FALSE)-VLOOKUP($A77,main!$A$3:$H$102,6,FALSE)&gt;=(VLOOKUP(VLOOKUP(V$1,main!$A$3:$H$102,8,FALSE),main!$K$26:$M$29,2,FALSE)+VLOOKUP(VLOOKUP(V$1,main!$A$3:$H$102,7,FALSE),main!$K$19:$O$22,MATCH(VLOOKUP($A77,main!$A$3:$H$102,8,FALSE),main!$K$18:$O$18,0))))),1,0)</f>
        <v>1</v>
      </c>
      <c r="W77">
        <f>IF((AND(VLOOKUP(W$1,main!$A$3:$H$102,5,FALSE)-VLOOKUP($A77,main!$A$3:$H$102,6,FALSE)&gt;=(VLOOKUP(VLOOKUP(W$1,main!$A$3:$H$102,8,FALSE),main!$K$26:$M$29,2,FALSE)+VLOOKUP(VLOOKUP(W$1,main!$A$3:$H$102,7,FALSE),main!$K$19:$O$22,MATCH(VLOOKUP($A77,main!$A$3:$H$102,8,FALSE),main!$K$18:$O$18,0))))),1,0)</f>
        <v>0</v>
      </c>
      <c r="X77">
        <f>IF((AND(VLOOKUP(X$1,main!$A$3:$H$102,5,FALSE)-VLOOKUP($A77,main!$A$3:$H$102,6,FALSE)&gt;=(VLOOKUP(VLOOKUP(X$1,main!$A$3:$H$102,8,FALSE),main!$K$26:$M$29,2,FALSE)+VLOOKUP(VLOOKUP(X$1,main!$A$3:$H$102,7,FALSE),main!$K$19:$O$22,MATCH(VLOOKUP($A77,main!$A$3:$H$102,8,FALSE),main!$K$18:$O$18,0))))),1,0)</f>
        <v>0</v>
      </c>
      <c r="Y77">
        <f>IF((AND(VLOOKUP(Y$1,main!$A$3:$H$102,5,FALSE)-VLOOKUP($A77,main!$A$3:$H$102,6,FALSE)&gt;=(VLOOKUP(VLOOKUP(Y$1,main!$A$3:$H$102,8,FALSE),main!$K$26:$M$29,2,FALSE)+VLOOKUP(VLOOKUP(Y$1,main!$A$3:$H$102,7,FALSE),main!$K$19:$O$22,MATCH(VLOOKUP($A77,main!$A$3:$H$102,8,FALSE),main!$K$18:$O$18,0))))),1,0)</f>
        <v>0</v>
      </c>
      <c r="Z77">
        <f>IF((AND(VLOOKUP(Z$1,main!$A$3:$H$102,5,FALSE)-VLOOKUP($A77,main!$A$3:$H$102,6,FALSE)&gt;=(VLOOKUP(VLOOKUP(Z$1,main!$A$3:$H$102,8,FALSE),main!$K$26:$M$29,2,FALSE)+VLOOKUP(VLOOKUP(Z$1,main!$A$3:$H$102,7,FALSE),main!$K$19:$O$22,MATCH(VLOOKUP($A77,main!$A$3:$H$102,8,FALSE),main!$K$18:$O$18,0))))),1,0)</f>
        <v>0</v>
      </c>
      <c r="AA77">
        <f>IF((AND(VLOOKUP(AA$1,main!$A$3:$H$102,5,FALSE)-VLOOKUP($A77,main!$A$3:$H$102,6,FALSE)&gt;=(VLOOKUP(VLOOKUP(AA$1,main!$A$3:$H$102,8,FALSE),main!$K$26:$M$29,2,FALSE)+VLOOKUP(VLOOKUP(AA$1,main!$A$3:$H$102,7,FALSE),main!$K$19:$O$22,MATCH(VLOOKUP($A77,main!$A$3:$H$102,8,FALSE),main!$K$18:$O$18,0))))),1,0)</f>
        <v>1</v>
      </c>
      <c r="AB77">
        <f>IF((AND(VLOOKUP(AB$1,main!$A$3:$H$102,5,FALSE)-VLOOKUP($A77,main!$A$3:$H$102,6,FALSE)&gt;=(VLOOKUP(VLOOKUP(AB$1,main!$A$3:$H$102,8,FALSE),main!$K$26:$M$29,2,FALSE)+VLOOKUP(VLOOKUP(AB$1,main!$A$3:$H$102,7,FALSE),main!$K$19:$O$22,MATCH(VLOOKUP($A77,main!$A$3:$H$102,8,FALSE),main!$K$18:$O$18,0))))),1,0)</f>
        <v>0</v>
      </c>
      <c r="AC77">
        <f>IF((AND(VLOOKUP(AC$1,main!$A$3:$H$102,5,FALSE)-VLOOKUP($A77,main!$A$3:$H$102,6,FALSE)&gt;=(VLOOKUP(VLOOKUP(AC$1,main!$A$3:$H$102,8,FALSE),main!$K$26:$M$29,2,FALSE)+VLOOKUP(VLOOKUP(AC$1,main!$A$3:$H$102,7,FALSE),main!$K$19:$O$22,MATCH(VLOOKUP($A77,main!$A$3:$H$102,8,FALSE),main!$K$18:$O$18,0))))),1,0)</f>
        <v>0</v>
      </c>
      <c r="AD77">
        <f>IF((AND(VLOOKUP(AD$1,main!$A$3:$H$102,5,FALSE)-VLOOKUP($A77,main!$A$3:$H$102,6,FALSE)&gt;=(VLOOKUP(VLOOKUP(AD$1,main!$A$3:$H$102,8,FALSE),main!$K$26:$M$29,2,FALSE)+VLOOKUP(VLOOKUP(AD$1,main!$A$3:$H$102,7,FALSE),main!$K$19:$O$22,MATCH(VLOOKUP($A77,main!$A$3:$H$102,8,FALSE),main!$K$18:$O$18,0))))),1,0)</f>
        <v>0</v>
      </c>
      <c r="AE77">
        <f>IF((AND(VLOOKUP(AE$1,main!$A$3:$H$102,5,FALSE)-VLOOKUP($A77,main!$A$3:$H$102,6,FALSE)&gt;=(VLOOKUP(VLOOKUP(AE$1,main!$A$3:$H$102,8,FALSE),main!$K$26:$M$29,2,FALSE)+VLOOKUP(VLOOKUP(AE$1,main!$A$3:$H$102,7,FALSE),main!$K$19:$O$22,MATCH(VLOOKUP($A77,main!$A$3:$H$102,8,FALSE),main!$K$18:$O$18,0))))),1,0)</f>
        <v>0</v>
      </c>
      <c r="AF77">
        <f>IF((AND(VLOOKUP(AF$1,main!$A$3:$H$102,5,FALSE)-VLOOKUP($A77,main!$A$3:$H$102,6,FALSE)&gt;=(VLOOKUP(VLOOKUP(AF$1,main!$A$3:$H$102,8,FALSE),main!$K$26:$M$29,2,FALSE)+VLOOKUP(VLOOKUP(AF$1,main!$A$3:$H$102,7,FALSE),main!$K$19:$O$22,MATCH(VLOOKUP($A77,main!$A$3:$H$102,8,FALSE),main!$K$18:$O$18,0))))),1,0)</f>
        <v>1</v>
      </c>
      <c r="AG77">
        <f>IF((AND(VLOOKUP(AG$1,main!$A$3:$H$102,5,FALSE)-VLOOKUP($A77,main!$A$3:$H$102,6,FALSE)&gt;=(VLOOKUP(VLOOKUP(AG$1,main!$A$3:$H$102,8,FALSE),main!$K$26:$M$29,2,FALSE)+VLOOKUP(VLOOKUP(AG$1,main!$A$3:$H$102,7,FALSE),main!$K$19:$O$22,MATCH(VLOOKUP($A77,main!$A$3:$H$102,8,FALSE),main!$K$18:$O$18,0))))),1,0)</f>
        <v>0</v>
      </c>
      <c r="AH77">
        <f>IF((AND(VLOOKUP(AH$1,main!$A$3:$H$102,5,FALSE)-VLOOKUP($A77,main!$A$3:$H$102,6,FALSE)&gt;=(VLOOKUP(VLOOKUP(AH$1,main!$A$3:$H$102,8,FALSE),main!$K$26:$M$29,2,FALSE)+VLOOKUP(VLOOKUP(AH$1,main!$A$3:$H$102,7,FALSE),main!$K$19:$O$22,MATCH(VLOOKUP($A77,main!$A$3:$H$102,8,FALSE),main!$K$18:$O$18,0))))),1,0)</f>
        <v>0</v>
      </c>
      <c r="AI77">
        <f>IF((AND(VLOOKUP(AI$1,main!$A$3:$H$102,5,FALSE)-VLOOKUP($A77,main!$A$3:$H$102,6,FALSE)&gt;=(VLOOKUP(VLOOKUP(AI$1,main!$A$3:$H$102,8,FALSE),main!$K$26:$M$29,2,FALSE)+VLOOKUP(VLOOKUP(AI$1,main!$A$3:$H$102,7,FALSE),main!$K$19:$O$22,MATCH(VLOOKUP($A77,main!$A$3:$H$102,8,FALSE),main!$K$18:$O$18,0))))),1,0)</f>
        <v>0</v>
      </c>
      <c r="AJ77">
        <f>IF((AND(VLOOKUP(AJ$1,main!$A$3:$H$102,5,FALSE)-VLOOKUP($A77,main!$A$3:$H$102,6,FALSE)&gt;=(VLOOKUP(VLOOKUP(AJ$1,main!$A$3:$H$102,8,FALSE),main!$K$26:$M$29,2,FALSE)+VLOOKUP(VLOOKUP(AJ$1,main!$A$3:$H$102,7,FALSE),main!$K$19:$O$22,MATCH(VLOOKUP($A77,main!$A$3:$H$102,8,FALSE),main!$K$18:$O$18,0))))),1,0)</f>
        <v>0</v>
      </c>
      <c r="AK77">
        <f>IF((AND(VLOOKUP(AK$1,main!$A$3:$H$102,5,FALSE)-VLOOKUP($A77,main!$A$3:$H$102,6,FALSE)&gt;=(VLOOKUP(VLOOKUP(AK$1,main!$A$3:$H$102,8,FALSE),main!$K$26:$M$29,2,FALSE)+VLOOKUP(VLOOKUP(AK$1,main!$A$3:$H$102,7,FALSE),main!$K$19:$O$22,MATCH(VLOOKUP($A77,main!$A$3:$H$102,8,FALSE),main!$K$18:$O$18,0))))),1,0)</f>
        <v>0</v>
      </c>
      <c r="AL77">
        <f>IF((AND(VLOOKUP(AL$1,main!$A$3:$H$102,5,FALSE)-VLOOKUP($A77,main!$A$3:$H$102,6,FALSE)&gt;=(VLOOKUP(VLOOKUP(AL$1,main!$A$3:$H$102,8,FALSE),main!$K$26:$M$29,2,FALSE)+VLOOKUP(VLOOKUP(AL$1,main!$A$3:$H$102,7,FALSE),main!$K$19:$O$22,MATCH(VLOOKUP($A77,main!$A$3:$H$102,8,FALSE),main!$K$18:$O$18,0))))),1,0)</f>
        <v>0</v>
      </c>
      <c r="AM77">
        <f>IF((AND(VLOOKUP(AM$1,main!$A$3:$H$102,5,FALSE)-VLOOKUP($A77,main!$A$3:$H$102,6,FALSE)&gt;=(VLOOKUP(VLOOKUP(AM$1,main!$A$3:$H$102,8,FALSE),main!$K$26:$M$29,2,FALSE)+VLOOKUP(VLOOKUP(AM$1,main!$A$3:$H$102,7,FALSE),main!$K$19:$O$22,MATCH(VLOOKUP($A77,main!$A$3:$H$102,8,FALSE),main!$K$18:$O$18,0))))),1,0)</f>
        <v>1</v>
      </c>
      <c r="AN77">
        <f>IF((AND(VLOOKUP(AN$1,main!$A$3:$H$102,5,FALSE)-VLOOKUP($A77,main!$A$3:$H$102,6,FALSE)&gt;=(VLOOKUP(VLOOKUP(AN$1,main!$A$3:$H$102,8,FALSE),main!$K$26:$M$29,2,FALSE)+VLOOKUP(VLOOKUP(AN$1,main!$A$3:$H$102,7,FALSE),main!$K$19:$O$22,MATCH(VLOOKUP($A77,main!$A$3:$H$102,8,FALSE),main!$K$18:$O$18,0))))),1,0)</f>
        <v>1</v>
      </c>
      <c r="AO77">
        <f>IF((AND(VLOOKUP(AO$1,main!$A$3:$H$102,5,FALSE)-VLOOKUP($A77,main!$A$3:$H$102,6,FALSE)&gt;=(VLOOKUP(VLOOKUP(AO$1,main!$A$3:$H$102,8,FALSE),main!$K$26:$M$29,2,FALSE)+VLOOKUP(VLOOKUP(AO$1,main!$A$3:$H$102,7,FALSE),main!$K$19:$O$22,MATCH(VLOOKUP($A77,main!$A$3:$H$102,8,FALSE),main!$K$18:$O$18,0))))),1,0)</f>
        <v>0</v>
      </c>
      <c r="AP77">
        <f>IF((AND(VLOOKUP(AP$1,main!$A$3:$H$102,5,FALSE)-VLOOKUP($A77,main!$A$3:$H$102,6,FALSE)&gt;=(VLOOKUP(VLOOKUP(AP$1,main!$A$3:$H$102,8,FALSE),main!$K$26:$M$29,2,FALSE)+VLOOKUP(VLOOKUP(AP$1,main!$A$3:$H$102,7,FALSE),main!$K$19:$O$22,MATCH(VLOOKUP($A77,main!$A$3:$H$102,8,FALSE),main!$K$18:$O$18,0))))),1,0)</f>
        <v>1</v>
      </c>
      <c r="AQ77">
        <f>IF((AND(VLOOKUP(AQ$1,main!$A$3:$H$102,5,FALSE)-VLOOKUP($A77,main!$A$3:$H$102,6,FALSE)&gt;=(VLOOKUP(VLOOKUP(AQ$1,main!$A$3:$H$102,8,FALSE),main!$K$26:$M$29,2,FALSE)+VLOOKUP(VLOOKUP(AQ$1,main!$A$3:$H$102,7,FALSE),main!$K$19:$O$22,MATCH(VLOOKUP($A77,main!$A$3:$H$102,8,FALSE),main!$K$18:$O$18,0))))),1,0)</f>
        <v>0</v>
      </c>
      <c r="AR77">
        <f>IF((AND(VLOOKUP(AR$1,main!$A$3:$H$102,5,FALSE)-VLOOKUP($A77,main!$A$3:$H$102,6,FALSE)&gt;=(VLOOKUP(VLOOKUP(AR$1,main!$A$3:$H$102,8,FALSE),main!$K$26:$M$29,2,FALSE)+VLOOKUP(VLOOKUP(AR$1,main!$A$3:$H$102,7,FALSE),main!$K$19:$O$22,MATCH(VLOOKUP($A77,main!$A$3:$H$102,8,FALSE),main!$K$18:$O$18,0))))),1,0)</f>
        <v>0</v>
      </c>
      <c r="AS77">
        <f>IF((AND(VLOOKUP(AS$1,main!$A$3:$H$102,5,FALSE)-VLOOKUP($A77,main!$A$3:$H$102,6,FALSE)&gt;=(VLOOKUP(VLOOKUP(AS$1,main!$A$3:$H$102,8,FALSE),main!$K$26:$M$29,2,FALSE)+VLOOKUP(VLOOKUP(AS$1,main!$A$3:$H$102,7,FALSE),main!$K$19:$O$22,MATCH(VLOOKUP($A77,main!$A$3:$H$102,8,FALSE),main!$K$18:$O$18,0))))),1,0)</f>
        <v>0</v>
      </c>
      <c r="AT77">
        <f>IF((AND(VLOOKUP(AT$1,main!$A$3:$H$102,5,FALSE)-VLOOKUP($A77,main!$A$3:$H$102,6,FALSE)&gt;=(VLOOKUP(VLOOKUP(AT$1,main!$A$3:$H$102,8,FALSE),main!$K$26:$M$29,2,FALSE)+VLOOKUP(VLOOKUP(AT$1,main!$A$3:$H$102,7,FALSE),main!$K$19:$O$22,MATCH(VLOOKUP($A77,main!$A$3:$H$102,8,FALSE),main!$K$18:$O$18,0))))),1,0)</f>
        <v>0</v>
      </c>
      <c r="AU77">
        <f>IF((AND(VLOOKUP(AU$1,main!$A$3:$H$102,5,FALSE)-VLOOKUP($A77,main!$A$3:$H$102,6,FALSE)&gt;=(VLOOKUP(VLOOKUP(AU$1,main!$A$3:$H$102,8,FALSE),main!$K$26:$M$29,2,FALSE)+VLOOKUP(VLOOKUP(AU$1,main!$A$3:$H$102,7,FALSE),main!$K$19:$O$22,MATCH(VLOOKUP($A77,main!$A$3:$H$102,8,FALSE),main!$K$18:$O$18,0))))),1,0)</f>
        <v>0</v>
      </c>
      <c r="AV77">
        <f>IF((AND(VLOOKUP(AV$1,main!$A$3:$H$102,5,FALSE)-VLOOKUP($A77,main!$A$3:$H$102,6,FALSE)&gt;=(VLOOKUP(VLOOKUP(AV$1,main!$A$3:$H$102,8,FALSE),main!$K$26:$M$29,2,FALSE)+VLOOKUP(VLOOKUP(AV$1,main!$A$3:$H$102,7,FALSE),main!$K$19:$O$22,MATCH(VLOOKUP($A77,main!$A$3:$H$102,8,FALSE),main!$K$18:$O$18,0))))),1,0)</f>
        <v>0</v>
      </c>
      <c r="AW77">
        <f>IF((AND(VLOOKUP(AW$1,main!$A$3:$H$102,5,FALSE)-VLOOKUP($A77,main!$A$3:$H$102,6,FALSE)&gt;=(VLOOKUP(VLOOKUP(AW$1,main!$A$3:$H$102,8,FALSE),main!$K$26:$M$29,2,FALSE)+VLOOKUP(VLOOKUP(AW$1,main!$A$3:$H$102,7,FALSE),main!$K$19:$O$22,MATCH(VLOOKUP($A77,main!$A$3:$H$102,8,FALSE),main!$K$18:$O$18,0))))),1,0)</f>
        <v>0</v>
      </c>
      <c r="AX77">
        <f>IF((AND(VLOOKUP(AX$1,main!$A$3:$H$102,5,FALSE)-VLOOKUP($A77,main!$A$3:$H$102,6,FALSE)&gt;=(VLOOKUP(VLOOKUP(AX$1,main!$A$3:$H$102,8,FALSE),main!$K$26:$M$29,2,FALSE)+VLOOKUP(VLOOKUP(AX$1,main!$A$3:$H$102,7,FALSE),main!$K$19:$O$22,MATCH(VLOOKUP($A77,main!$A$3:$H$102,8,FALSE),main!$K$18:$O$18,0))))),1,0)</f>
        <v>0</v>
      </c>
      <c r="AY77">
        <f>IF((AND(VLOOKUP(AY$1,main!$A$3:$H$102,5,FALSE)-VLOOKUP($A77,main!$A$3:$H$102,6,FALSE)&gt;=(VLOOKUP(VLOOKUP(AY$1,main!$A$3:$H$102,8,FALSE),main!$K$26:$M$29,2,FALSE)+VLOOKUP(VLOOKUP(AY$1,main!$A$3:$H$102,7,FALSE),main!$K$19:$O$22,MATCH(VLOOKUP($A77,main!$A$3:$H$102,8,FALSE),main!$K$18:$O$18,0))))),1,0)</f>
        <v>0</v>
      </c>
      <c r="AZ77">
        <f>IF((AND(VLOOKUP(AZ$1,main!$A$3:$H$102,5,FALSE)-VLOOKUP($A77,main!$A$3:$H$102,6,FALSE)&gt;=(VLOOKUP(VLOOKUP(AZ$1,main!$A$3:$H$102,8,FALSE),main!$K$26:$M$29,2,FALSE)+VLOOKUP(VLOOKUP(AZ$1,main!$A$3:$H$102,7,FALSE),main!$K$19:$O$22,MATCH(VLOOKUP($A77,main!$A$3:$H$102,8,FALSE),main!$K$18:$O$18,0))))),1,0)</f>
        <v>0</v>
      </c>
      <c r="BA77">
        <f>IF((AND(VLOOKUP(BA$1,main!$A$3:$H$102,5,FALSE)-VLOOKUP($A77,main!$A$3:$H$102,6,FALSE)&gt;=(VLOOKUP(VLOOKUP(BA$1,main!$A$3:$H$102,8,FALSE),main!$K$26:$M$29,2,FALSE)+VLOOKUP(VLOOKUP(BA$1,main!$A$3:$H$102,7,FALSE),main!$K$19:$O$22,MATCH(VLOOKUP($A77,main!$A$3:$H$102,8,FALSE),main!$K$18:$O$18,0))))),1,0)</f>
        <v>0</v>
      </c>
      <c r="BB77">
        <f>IF((AND(VLOOKUP(BB$1,main!$A$3:$H$102,5,FALSE)-VLOOKUP($A77,main!$A$3:$H$102,6,FALSE)&gt;=(VLOOKUP(VLOOKUP(BB$1,main!$A$3:$H$102,8,FALSE),main!$K$26:$M$29,2,FALSE)+VLOOKUP(VLOOKUP(BB$1,main!$A$3:$H$102,7,FALSE),main!$K$19:$O$22,MATCH(VLOOKUP($A77,main!$A$3:$H$102,8,FALSE),main!$K$18:$O$18,0))))),1,0)</f>
        <v>0</v>
      </c>
      <c r="BC77">
        <f>IF((AND(VLOOKUP(BC$1,main!$A$3:$H$102,5,FALSE)-VLOOKUP($A77,main!$A$3:$H$102,6,FALSE)&gt;=(VLOOKUP(VLOOKUP(BC$1,main!$A$3:$H$102,8,FALSE),main!$K$26:$M$29,2,FALSE)+VLOOKUP(VLOOKUP(BC$1,main!$A$3:$H$102,7,FALSE),main!$K$19:$O$22,MATCH(VLOOKUP($A77,main!$A$3:$H$102,8,FALSE),main!$K$18:$O$18,0))))),1,0)</f>
        <v>0</v>
      </c>
      <c r="BD77">
        <f>IF((AND(VLOOKUP(BD$1,main!$A$3:$H$102,5,FALSE)-VLOOKUP($A77,main!$A$3:$H$102,6,FALSE)&gt;=(VLOOKUP(VLOOKUP(BD$1,main!$A$3:$H$102,8,FALSE),main!$K$26:$M$29,2,FALSE)+VLOOKUP(VLOOKUP(BD$1,main!$A$3:$H$102,7,FALSE),main!$K$19:$O$22,MATCH(VLOOKUP($A77,main!$A$3:$H$102,8,FALSE),main!$K$18:$O$18,0))))),1,0)</f>
        <v>0</v>
      </c>
      <c r="BE77">
        <f>IF((AND(VLOOKUP(BE$1,main!$A$3:$H$102,5,FALSE)-VLOOKUP($A77,main!$A$3:$H$102,6,FALSE)&gt;=(VLOOKUP(VLOOKUP(BE$1,main!$A$3:$H$102,8,FALSE),main!$K$26:$M$29,2,FALSE)+VLOOKUP(VLOOKUP(BE$1,main!$A$3:$H$102,7,FALSE),main!$K$19:$O$22,MATCH(VLOOKUP($A77,main!$A$3:$H$102,8,FALSE),main!$K$18:$O$18,0))))),1,0)</f>
        <v>1</v>
      </c>
      <c r="BF77">
        <f>IF((AND(VLOOKUP(BF$1,main!$A$3:$H$102,5,FALSE)-VLOOKUP($A77,main!$A$3:$H$102,6,FALSE)&gt;=(VLOOKUP(VLOOKUP(BF$1,main!$A$3:$H$102,8,FALSE),main!$K$26:$M$29,2,FALSE)+VLOOKUP(VLOOKUP(BF$1,main!$A$3:$H$102,7,FALSE),main!$K$19:$O$22,MATCH(VLOOKUP($A77,main!$A$3:$H$102,8,FALSE),main!$K$18:$O$18,0))))),1,0)</f>
        <v>0</v>
      </c>
      <c r="BG77">
        <f>IF((AND(VLOOKUP(BG$1,main!$A$3:$H$102,5,FALSE)-VLOOKUP($A77,main!$A$3:$H$102,6,FALSE)&gt;=(VLOOKUP(VLOOKUP(BG$1,main!$A$3:$H$102,8,FALSE),main!$K$26:$M$29,2,FALSE)+VLOOKUP(VLOOKUP(BG$1,main!$A$3:$H$102,7,FALSE),main!$K$19:$O$22,MATCH(VLOOKUP($A77,main!$A$3:$H$102,8,FALSE),main!$K$18:$O$18,0))))),1,0)</f>
        <v>0</v>
      </c>
      <c r="BH77">
        <f>IF((AND(VLOOKUP(BH$1,main!$A$3:$H$102,5,FALSE)-VLOOKUP($A77,main!$A$3:$H$102,6,FALSE)&gt;=(VLOOKUP(VLOOKUP(BH$1,main!$A$3:$H$102,8,FALSE),main!$K$26:$M$29,2,FALSE)+VLOOKUP(VLOOKUP(BH$1,main!$A$3:$H$102,7,FALSE),main!$K$19:$O$22,MATCH(VLOOKUP($A77,main!$A$3:$H$102,8,FALSE),main!$K$18:$O$18,0))))),1,0)</f>
        <v>0</v>
      </c>
      <c r="BI77">
        <f>IF((AND(VLOOKUP(BI$1,main!$A$3:$H$102,5,FALSE)-VLOOKUP($A77,main!$A$3:$H$102,6,FALSE)&gt;=(VLOOKUP(VLOOKUP(BI$1,main!$A$3:$H$102,8,FALSE),main!$K$26:$M$29,2,FALSE)+VLOOKUP(VLOOKUP(BI$1,main!$A$3:$H$102,7,FALSE),main!$K$19:$O$22,MATCH(VLOOKUP($A77,main!$A$3:$H$102,8,FALSE),main!$K$18:$O$18,0))))),1,0)</f>
        <v>1</v>
      </c>
      <c r="BJ77">
        <f>IF((AND(VLOOKUP(BJ$1,main!$A$3:$H$102,5,FALSE)-VLOOKUP($A77,main!$A$3:$H$102,6,FALSE)&gt;=(VLOOKUP(VLOOKUP(BJ$1,main!$A$3:$H$102,8,FALSE),main!$K$26:$M$29,2,FALSE)+VLOOKUP(VLOOKUP(BJ$1,main!$A$3:$H$102,7,FALSE),main!$K$19:$O$22,MATCH(VLOOKUP($A77,main!$A$3:$H$102,8,FALSE),main!$K$18:$O$18,0))))),1,0)</f>
        <v>0</v>
      </c>
      <c r="BK77">
        <f>IF((AND(VLOOKUP(BK$1,main!$A$3:$H$102,5,FALSE)-VLOOKUP($A77,main!$A$3:$H$102,6,FALSE)&gt;=(VLOOKUP(VLOOKUP(BK$1,main!$A$3:$H$102,8,FALSE),main!$K$26:$M$29,2,FALSE)+VLOOKUP(VLOOKUP(BK$1,main!$A$3:$H$102,7,FALSE),main!$K$19:$O$22,MATCH(VLOOKUP($A77,main!$A$3:$H$102,8,FALSE),main!$K$18:$O$18,0))))),1,0)</f>
        <v>0</v>
      </c>
      <c r="BL77">
        <f>IF((AND(VLOOKUP(BL$1,main!$A$3:$H$102,5,FALSE)-VLOOKUP($A77,main!$A$3:$H$102,6,FALSE)&gt;=(VLOOKUP(VLOOKUP(BL$1,main!$A$3:$H$102,8,FALSE),main!$K$26:$M$29,2,FALSE)+VLOOKUP(VLOOKUP(BL$1,main!$A$3:$H$102,7,FALSE),main!$K$19:$O$22,MATCH(VLOOKUP($A77,main!$A$3:$H$102,8,FALSE),main!$K$18:$O$18,0))))),1,0)</f>
        <v>0</v>
      </c>
      <c r="BM77">
        <f>IF((AND(VLOOKUP(BM$1,main!$A$3:$H$102,5,FALSE)-VLOOKUP($A77,main!$A$3:$H$102,6,FALSE)&gt;=(VLOOKUP(VLOOKUP(BM$1,main!$A$3:$H$102,8,FALSE),main!$K$26:$M$29,2,FALSE)+VLOOKUP(VLOOKUP(BM$1,main!$A$3:$H$102,7,FALSE),main!$K$19:$O$22,MATCH(VLOOKUP($A77,main!$A$3:$H$102,8,FALSE),main!$K$18:$O$18,0))))),1,0)</f>
        <v>0</v>
      </c>
      <c r="BN77">
        <f>IF((AND(VLOOKUP(BN$1,main!$A$3:$H$102,5,FALSE)-VLOOKUP($A77,main!$A$3:$H$102,6,FALSE)&gt;=(VLOOKUP(VLOOKUP(BN$1,main!$A$3:$H$102,8,FALSE),main!$K$26:$M$29,2,FALSE)+VLOOKUP(VLOOKUP(BN$1,main!$A$3:$H$102,7,FALSE),main!$K$19:$O$22,MATCH(VLOOKUP($A77,main!$A$3:$H$102,8,FALSE),main!$K$18:$O$18,0))))),1,0)</f>
        <v>0</v>
      </c>
      <c r="BO77">
        <f>IF((AND(VLOOKUP(BO$1,main!$A$3:$H$102,5,FALSE)-VLOOKUP($A77,main!$A$3:$H$102,6,FALSE)&gt;=(VLOOKUP(VLOOKUP(BO$1,main!$A$3:$H$102,8,FALSE),main!$K$26:$M$29,2,FALSE)+VLOOKUP(VLOOKUP(BO$1,main!$A$3:$H$102,7,FALSE),main!$K$19:$O$22,MATCH(VLOOKUP($A77,main!$A$3:$H$102,8,FALSE),main!$K$18:$O$18,0))))),1,0)</f>
        <v>0</v>
      </c>
      <c r="BP77">
        <f>IF((AND(VLOOKUP(BP$1,main!$A$3:$H$102,5,FALSE)-VLOOKUP($A77,main!$A$3:$H$102,6,FALSE)&gt;=(VLOOKUP(VLOOKUP(BP$1,main!$A$3:$H$102,8,FALSE),main!$K$26:$M$29,2,FALSE)+VLOOKUP(VLOOKUP(BP$1,main!$A$3:$H$102,7,FALSE),main!$K$19:$O$22,MATCH(VLOOKUP($A77,main!$A$3:$H$102,8,FALSE),main!$K$18:$O$18,0))))),1,0)</f>
        <v>0</v>
      </c>
      <c r="BQ77">
        <f>IF((AND(VLOOKUP(BQ$1,main!$A$3:$H$102,5,FALSE)-VLOOKUP($A77,main!$A$3:$H$102,6,FALSE)&gt;=(VLOOKUP(VLOOKUP(BQ$1,main!$A$3:$H$102,8,FALSE),main!$K$26:$M$29,2,FALSE)+VLOOKUP(VLOOKUP(BQ$1,main!$A$3:$H$102,7,FALSE),main!$K$19:$O$22,MATCH(VLOOKUP($A77,main!$A$3:$H$102,8,FALSE),main!$K$18:$O$18,0))))),1,0)</f>
        <v>0</v>
      </c>
      <c r="BR77">
        <f>IF((AND(VLOOKUP(BR$1,main!$A$3:$H$102,5,FALSE)-VLOOKUP($A77,main!$A$3:$H$102,6,FALSE)&gt;=(VLOOKUP(VLOOKUP(BR$1,main!$A$3:$H$102,8,FALSE),main!$K$26:$M$29,2,FALSE)+VLOOKUP(VLOOKUP(BR$1,main!$A$3:$H$102,7,FALSE),main!$K$19:$O$22,MATCH(VLOOKUP($A77,main!$A$3:$H$102,8,FALSE),main!$K$18:$O$18,0))))),1,0)</f>
        <v>0</v>
      </c>
      <c r="BS77">
        <f>IF((AND(VLOOKUP(BS$1,main!$A$3:$H$102,5,FALSE)-VLOOKUP($A77,main!$A$3:$H$102,6,FALSE)&gt;=(VLOOKUP(VLOOKUP(BS$1,main!$A$3:$H$102,8,FALSE),main!$K$26:$M$29,2,FALSE)+VLOOKUP(VLOOKUP(BS$1,main!$A$3:$H$102,7,FALSE),main!$K$19:$O$22,MATCH(VLOOKUP($A77,main!$A$3:$H$102,8,FALSE),main!$K$18:$O$18,0))))),1,0)</f>
        <v>0</v>
      </c>
      <c r="BT77">
        <f>IF((AND(VLOOKUP(BT$1,main!$A$3:$H$102,5,FALSE)-VLOOKUP($A77,main!$A$3:$H$102,6,FALSE)&gt;=(VLOOKUP(VLOOKUP(BT$1,main!$A$3:$H$102,8,FALSE),main!$K$26:$M$29,2,FALSE)+VLOOKUP(VLOOKUP(BT$1,main!$A$3:$H$102,7,FALSE),main!$K$19:$O$22,MATCH(VLOOKUP($A77,main!$A$3:$H$102,8,FALSE),main!$K$18:$O$18,0))))),1,0)</f>
        <v>0</v>
      </c>
      <c r="BU77">
        <f>IF((AND(VLOOKUP(BU$1,main!$A$3:$H$102,5,FALSE)-VLOOKUP($A77,main!$A$3:$H$102,6,FALSE)&gt;=(VLOOKUP(VLOOKUP(BU$1,main!$A$3:$H$102,8,FALSE),main!$K$26:$M$29,2,FALSE)+VLOOKUP(VLOOKUP(BU$1,main!$A$3:$H$102,7,FALSE),main!$K$19:$O$22,MATCH(VLOOKUP($A77,main!$A$3:$H$102,8,FALSE),main!$K$18:$O$18,0))))),1,0)</f>
        <v>0</v>
      </c>
      <c r="BV77">
        <f>IF((AND(VLOOKUP(BV$1,main!$A$3:$H$102,5,FALSE)-VLOOKUP($A77,main!$A$3:$H$102,6,FALSE)&gt;=(VLOOKUP(VLOOKUP(BV$1,main!$A$3:$H$102,8,FALSE),main!$K$26:$M$29,2,FALSE)+VLOOKUP(VLOOKUP(BV$1,main!$A$3:$H$102,7,FALSE),main!$K$19:$O$22,MATCH(VLOOKUP($A77,main!$A$3:$H$102,8,FALSE),main!$K$18:$O$18,0))))),1,0)</f>
        <v>0</v>
      </c>
      <c r="BW77">
        <f>IF((AND(VLOOKUP(BW$1,main!$A$3:$H$102,5,FALSE)-VLOOKUP($A77,main!$A$3:$H$102,6,FALSE)&gt;=(VLOOKUP(VLOOKUP(BW$1,main!$A$3:$H$102,8,FALSE),main!$K$26:$M$29,2,FALSE)+VLOOKUP(VLOOKUP(BW$1,main!$A$3:$H$102,7,FALSE),main!$K$19:$O$22,MATCH(VLOOKUP($A77,main!$A$3:$H$102,8,FALSE),main!$K$18:$O$18,0))))),1,0)</f>
        <v>0</v>
      </c>
      <c r="BX77">
        <f>IF((AND(VLOOKUP(BX$1,main!$A$3:$H$102,5,FALSE)-VLOOKUP($A77,main!$A$3:$H$102,6,FALSE)&gt;=(VLOOKUP(VLOOKUP(BX$1,main!$A$3:$H$102,8,FALSE),main!$K$26:$M$29,2,FALSE)+VLOOKUP(VLOOKUP(BX$1,main!$A$3:$H$102,7,FALSE),main!$K$19:$O$22,MATCH(VLOOKUP($A77,main!$A$3:$H$102,8,FALSE),main!$K$18:$O$18,0))))),1,0)</f>
        <v>0</v>
      </c>
      <c r="BY77">
        <f>IF((AND(VLOOKUP(BY$1,main!$A$3:$H$102,5,FALSE)-VLOOKUP($A77,main!$A$3:$H$102,6,FALSE)&gt;=(VLOOKUP(VLOOKUP(BY$1,main!$A$3:$H$102,8,FALSE),main!$K$26:$M$29,2,FALSE)+VLOOKUP(VLOOKUP(BY$1,main!$A$3:$H$102,7,FALSE),main!$K$19:$O$22,MATCH(VLOOKUP($A77,main!$A$3:$H$102,8,FALSE),main!$K$18:$O$18,0))))),1,0)</f>
        <v>0</v>
      </c>
      <c r="BZ77">
        <f>IF((AND(VLOOKUP(BZ$1,main!$A$3:$H$102,5,FALSE)-VLOOKUP($A77,main!$A$3:$H$102,6,FALSE)&gt;=(VLOOKUP(VLOOKUP(BZ$1,main!$A$3:$H$102,8,FALSE),main!$K$26:$M$29,2,FALSE)+VLOOKUP(VLOOKUP(BZ$1,main!$A$3:$H$102,7,FALSE),main!$K$19:$O$22,MATCH(VLOOKUP($A77,main!$A$3:$H$102,8,FALSE),main!$K$18:$O$18,0))))),1,0)</f>
        <v>0</v>
      </c>
      <c r="CA77">
        <f>IF((AND(VLOOKUP(CA$1,main!$A$3:$H$102,5,FALSE)-VLOOKUP($A77,main!$A$3:$H$102,6,FALSE)&gt;=(VLOOKUP(VLOOKUP(CA$1,main!$A$3:$H$102,8,FALSE),main!$K$26:$M$29,2,FALSE)+VLOOKUP(VLOOKUP(CA$1,main!$A$3:$H$102,7,FALSE),main!$K$19:$O$22,MATCH(VLOOKUP($A77,main!$A$3:$H$102,8,FALSE),main!$K$18:$O$18,0))))),1,0)</f>
        <v>0</v>
      </c>
      <c r="CB77">
        <f>IF((AND(VLOOKUP(CB$1,main!$A$3:$H$102,5,FALSE)-VLOOKUP($A77,main!$A$3:$H$102,6,FALSE)&gt;=(VLOOKUP(VLOOKUP(CB$1,main!$A$3:$H$102,8,FALSE),main!$K$26:$M$29,2,FALSE)+VLOOKUP(VLOOKUP(CB$1,main!$A$3:$H$102,7,FALSE),main!$K$19:$O$22,MATCH(VLOOKUP($A77,main!$A$3:$H$102,8,FALSE),main!$K$18:$O$18,0))))),1,0)</f>
        <v>0</v>
      </c>
      <c r="CC77">
        <f>IF((AND(VLOOKUP(CC$1,main!$A$3:$H$102,5,FALSE)-VLOOKUP($A77,main!$A$3:$H$102,6,FALSE)&gt;=(VLOOKUP(VLOOKUP(CC$1,main!$A$3:$H$102,8,FALSE),main!$K$26:$M$29,2,FALSE)+VLOOKUP(VLOOKUP(CC$1,main!$A$3:$H$102,7,FALSE),main!$K$19:$O$22,MATCH(VLOOKUP($A77,main!$A$3:$H$102,8,FALSE),main!$K$18:$O$18,0))))),1,0)</f>
        <v>1</v>
      </c>
      <c r="CD77">
        <f>IF((AND(VLOOKUP(CD$1,main!$A$3:$H$102,5,FALSE)-VLOOKUP($A77,main!$A$3:$H$102,6,FALSE)&gt;=(VLOOKUP(VLOOKUP(CD$1,main!$A$3:$H$102,8,FALSE),main!$K$26:$M$29,2,FALSE)+VLOOKUP(VLOOKUP(CD$1,main!$A$3:$H$102,7,FALSE),main!$K$19:$O$22,MATCH(VLOOKUP($A77,main!$A$3:$H$102,8,FALSE),main!$K$18:$O$18,0))))),1,0)</f>
        <v>0</v>
      </c>
      <c r="CE77">
        <f>IF((AND(VLOOKUP(CE$1,main!$A$3:$H$102,5,FALSE)-VLOOKUP($A77,main!$A$3:$H$102,6,FALSE)&gt;=(VLOOKUP(VLOOKUP(CE$1,main!$A$3:$H$102,8,FALSE),main!$K$26:$M$29,2,FALSE)+VLOOKUP(VLOOKUP(CE$1,main!$A$3:$H$102,7,FALSE),main!$K$19:$O$22,MATCH(VLOOKUP($A77,main!$A$3:$H$102,8,FALSE),main!$K$18:$O$18,0))))),1,0)</f>
        <v>0</v>
      </c>
      <c r="CF77">
        <f>IF((AND(VLOOKUP(CF$1,main!$A$3:$H$102,5,FALSE)-VLOOKUP($A77,main!$A$3:$H$102,6,FALSE)&gt;=(VLOOKUP(VLOOKUP(CF$1,main!$A$3:$H$102,8,FALSE),main!$K$26:$M$29,2,FALSE)+VLOOKUP(VLOOKUP(CF$1,main!$A$3:$H$102,7,FALSE),main!$K$19:$O$22,MATCH(VLOOKUP($A77,main!$A$3:$H$102,8,FALSE),main!$K$18:$O$18,0))))),1,0)</f>
        <v>0</v>
      </c>
      <c r="CG77">
        <f>IF((AND(VLOOKUP(CG$1,main!$A$3:$H$102,5,FALSE)-VLOOKUP($A77,main!$A$3:$H$102,6,FALSE)&gt;=(VLOOKUP(VLOOKUP(CG$1,main!$A$3:$H$102,8,FALSE),main!$K$26:$M$29,2,FALSE)+VLOOKUP(VLOOKUP(CG$1,main!$A$3:$H$102,7,FALSE),main!$K$19:$O$22,MATCH(VLOOKUP($A77,main!$A$3:$H$102,8,FALSE),main!$K$18:$O$18,0))))),1,0)</f>
        <v>0</v>
      </c>
      <c r="CH77">
        <f>IF((AND(VLOOKUP(CH$1,main!$A$3:$H$102,5,FALSE)-VLOOKUP($A77,main!$A$3:$H$102,6,FALSE)&gt;=(VLOOKUP(VLOOKUP(CH$1,main!$A$3:$H$102,8,FALSE),main!$K$26:$M$29,2,FALSE)+VLOOKUP(VLOOKUP(CH$1,main!$A$3:$H$102,7,FALSE),main!$K$19:$O$22,MATCH(VLOOKUP($A77,main!$A$3:$H$102,8,FALSE),main!$K$18:$O$18,0))))),1,0)</f>
        <v>1</v>
      </c>
      <c r="CI77">
        <f>IF((AND(VLOOKUP(CI$1,main!$A$3:$H$102,5,FALSE)-VLOOKUP($A77,main!$A$3:$H$102,6,FALSE)&gt;=(VLOOKUP(VLOOKUP(CI$1,main!$A$3:$H$102,8,FALSE),main!$K$26:$M$29,2,FALSE)+VLOOKUP(VLOOKUP(CI$1,main!$A$3:$H$102,7,FALSE),main!$K$19:$O$22,MATCH(VLOOKUP($A77,main!$A$3:$H$102,8,FALSE),main!$K$18:$O$18,0))))),1,0)</f>
        <v>1</v>
      </c>
      <c r="CJ77">
        <f>IF((AND(VLOOKUP(CJ$1,main!$A$3:$H$102,5,FALSE)-VLOOKUP($A77,main!$A$3:$H$102,6,FALSE)&gt;=(VLOOKUP(VLOOKUP(CJ$1,main!$A$3:$H$102,8,FALSE),main!$K$26:$M$29,2,FALSE)+VLOOKUP(VLOOKUP(CJ$1,main!$A$3:$H$102,7,FALSE),main!$K$19:$O$22,MATCH(VLOOKUP($A77,main!$A$3:$H$102,8,FALSE),main!$K$18:$O$18,0))))),1,0)</f>
        <v>0</v>
      </c>
      <c r="CK77">
        <f>IF((AND(VLOOKUP(CK$1,main!$A$3:$H$102,5,FALSE)-VLOOKUP($A77,main!$A$3:$H$102,6,FALSE)&gt;=(VLOOKUP(VLOOKUP(CK$1,main!$A$3:$H$102,8,FALSE),main!$K$26:$M$29,2,FALSE)+VLOOKUP(VLOOKUP(CK$1,main!$A$3:$H$102,7,FALSE),main!$K$19:$O$22,MATCH(VLOOKUP($A77,main!$A$3:$H$102,8,FALSE),main!$K$18:$O$18,0))))),1,0)</f>
        <v>0</v>
      </c>
      <c r="CL77">
        <f>IF((AND(VLOOKUP(CL$1,main!$A$3:$H$102,5,FALSE)-VLOOKUP($A77,main!$A$3:$H$102,6,FALSE)&gt;=(VLOOKUP(VLOOKUP(CL$1,main!$A$3:$H$102,8,FALSE),main!$K$26:$M$29,2,FALSE)+VLOOKUP(VLOOKUP(CL$1,main!$A$3:$H$102,7,FALSE),main!$K$19:$O$22,MATCH(VLOOKUP($A77,main!$A$3:$H$102,8,FALSE),main!$K$18:$O$18,0))))),1,0)</f>
        <v>0</v>
      </c>
      <c r="CM77">
        <f>IF((AND(VLOOKUP(CM$1,main!$A$3:$H$102,5,FALSE)-VLOOKUP($A77,main!$A$3:$H$102,6,FALSE)&gt;=(VLOOKUP(VLOOKUP(CM$1,main!$A$3:$H$102,8,FALSE),main!$K$26:$M$29,2,FALSE)+VLOOKUP(VLOOKUP(CM$1,main!$A$3:$H$102,7,FALSE),main!$K$19:$O$22,MATCH(VLOOKUP($A77,main!$A$3:$H$102,8,FALSE),main!$K$18:$O$18,0))))),1,0)</f>
        <v>0</v>
      </c>
      <c r="CN77">
        <f>IF((AND(VLOOKUP(CN$1,main!$A$3:$H$102,5,FALSE)-VLOOKUP($A77,main!$A$3:$H$102,6,FALSE)&gt;=(VLOOKUP(VLOOKUP(CN$1,main!$A$3:$H$102,8,FALSE),main!$K$26:$M$29,2,FALSE)+VLOOKUP(VLOOKUP(CN$1,main!$A$3:$H$102,7,FALSE),main!$K$19:$O$22,MATCH(VLOOKUP($A77,main!$A$3:$H$102,8,FALSE),main!$K$18:$O$18,0))))),1,0)</f>
        <v>1</v>
      </c>
      <c r="CO77">
        <f>IF((AND(VLOOKUP(CO$1,main!$A$3:$H$102,5,FALSE)-VLOOKUP($A77,main!$A$3:$H$102,6,FALSE)&gt;=(VLOOKUP(VLOOKUP(CO$1,main!$A$3:$H$102,8,FALSE),main!$K$26:$M$29,2,FALSE)+VLOOKUP(VLOOKUP(CO$1,main!$A$3:$H$102,7,FALSE),main!$K$19:$O$22,MATCH(VLOOKUP($A77,main!$A$3:$H$102,8,FALSE),main!$K$18:$O$18,0))))),1,0)</f>
        <v>0</v>
      </c>
      <c r="CP77">
        <f>IF((AND(VLOOKUP(CP$1,main!$A$3:$H$102,5,FALSE)-VLOOKUP($A77,main!$A$3:$H$102,6,FALSE)&gt;=(VLOOKUP(VLOOKUP(CP$1,main!$A$3:$H$102,8,FALSE),main!$K$26:$M$29,2,FALSE)+VLOOKUP(VLOOKUP(CP$1,main!$A$3:$H$102,7,FALSE),main!$K$19:$O$22,MATCH(VLOOKUP($A77,main!$A$3:$H$102,8,FALSE),main!$K$18:$O$18,0))))),1,0)</f>
        <v>0</v>
      </c>
      <c r="CQ77">
        <f>IF((AND(VLOOKUP(CQ$1,main!$A$3:$H$102,5,FALSE)-VLOOKUP($A77,main!$A$3:$H$102,6,FALSE)&gt;=(VLOOKUP(VLOOKUP(CQ$1,main!$A$3:$H$102,8,FALSE),main!$K$26:$M$29,2,FALSE)+VLOOKUP(VLOOKUP(CQ$1,main!$A$3:$H$102,7,FALSE),main!$K$19:$O$22,MATCH(VLOOKUP($A77,main!$A$3:$H$102,8,FALSE),main!$K$18:$O$18,0))))),1,0)</f>
        <v>0</v>
      </c>
      <c r="CR77">
        <f>IF((AND(VLOOKUP(CR$1,main!$A$3:$H$102,5,FALSE)-VLOOKUP($A77,main!$A$3:$H$102,6,FALSE)&gt;=(VLOOKUP(VLOOKUP(CR$1,main!$A$3:$H$102,8,FALSE),main!$K$26:$M$29,2,FALSE)+VLOOKUP(VLOOKUP(CR$1,main!$A$3:$H$102,7,FALSE),main!$K$19:$O$22,MATCH(VLOOKUP($A77,main!$A$3:$H$102,8,FALSE),main!$K$18:$O$18,0))))),1,0)</f>
        <v>0</v>
      </c>
      <c r="CS77">
        <f>IF((AND(VLOOKUP(CS$1,main!$A$3:$H$102,5,FALSE)-VLOOKUP($A77,main!$A$3:$H$102,6,FALSE)&gt;=(VLOOKUP(VLOOKUP(CS$1,main!$A$3:$H$102,8,FALSE),main!$K$26:$M$29,2,FALSE)+VLOOKUP(VLOOKUP(CS$1,main!$A$3:$H$102,7,FALSE),main!$K$19:$O$22,MATCH(VLOOKUP($A77,main!$A$3:$H$102,8,FALSE),main!$K$18:$O$18,0))))),1,0)</f>
        <v>0</v>
      </c>
      <c r="CT77">
        <f>IF((AND(VLOOKUP(CT$1,main!$A$3:$H$102,5,FALSE)-VLOOKUP($A77,main!$A$3:$H$102,6,FALSE)&gt;=(VLOOKUP(VLOOKUP(CT$1,main!$A$3:$H$102,8,FALSE),main!$K$26:$M$29,2,FALSE)+VLOOKUP(VLOOKUP(CT$1,main!$A$3:$H$102,7,FALSE),main!$K$19:$O$22,MATCH(VLOOKUP($A77,main!$A$3:$H$102,8,FALSE),main!$K$18:$O$18,0))))),1,0)</f>
        <v>0</v>
      </c>
      <c r="CU77">
        <f>IF((AND(VLOOKUP(CU$1,main!$A$3:$H$102,5,FALSE)-VLOOKUP($A77,main!$A$3:$H$102,6,FALSE)&gt;=(VLOOKUP(VLOOKUP(CU$1,main!$A$3:$H$102,8,FALSE),main!$K$26:$M$29,2,FALSE)+VLOOKUP(VLOOKUP(CU$1,main!$A$3:$H$102,7,FALSE),main!$K$19:$O$22,MATCH(VLOOKUP($A77,main!$A$3:$H$102,8,FALSE),main!$K$18:$O$18,0))))),1,0)</f>
        <v>0</v>
      </c>
      <c r="CV77">
        <f>IF((AND(VLOOKUP(CV$1,main!$A$3:$H$102,5,FALSE)-VLOOKUP($A77,main!$A$3:$H$102,6,FALSE)&gt;=(VLOOKUP(VLOOKUP(CV$1,main!$A$3:$H$102,8,FALSE),main!$K$26:$M$29,2,FALSE)+VLOOKUP(VLOOKUP(CV$1,main!$A$3:$H$102,7,FALSE),main!$K$19:$O$22,MATCH(VLOOKUP($A77,main!$A$3:$H$102,8,FALSE),main!$K$18:$O$18,0))))),1,0)</f>
        <v>0</v>
      </c>
      <c r="CW77">
        <f>IF((AND(VLOOKUP(CW$1,main!$A$3:$H$102,5,FALSE)-VLOOKUP($A77,main!$A$3:$H$102,6,FALSE)&gt;=(VLOOKUP(VLOOKUP(CW$1,main!$A$3:$H$102,8,FALSE),main!$K$26:$M$29,2,FALSE)+VLOOKUP(VLOOKUP(CW$1,main!$A$3:$H$102,7,FALSE),main!$K$19:$O$22,MATCH(VLOOKUP($A77,main!$A$3:$H$102,8,FALSE),main!$K$18:$O$18,0))))),1,0)</f>
        <v>0</v>
      </c>
      <c r="CX77">
        <f>IF((AND(VLOOKUP(CX$1,main!$A$3:$H$102,5,FALSE)-VLOOKUP($A77,main!$A$3:$H$102,6,FALSE)&gt;=(VLOOKUP(VLOOKUP(CX$1,main!$A$3:$H$102,8,FALSE),main!$K$26:$M$29,2,FALSE)+VLOOKUP(VLOOKUP(CX$1,main!$A$3:$H$102,7,FALSE),main!$K$19:$O$22,MATCH(VLOOKUP($A77,main!$A$3:$H$102,8,FALSE),main!$K$18:$O$18,0))))),1,0)</f>
        <v>1</v>
      </c>
    </row>
    <row r="78" spans="1:102" x14ac:dyDescent="0.25">
      <c r="A78" s="1">
        <v>76</v>
      </c>
      <c r="B78">
        <v>1</v>
      </c>
      <c r="C78">
        <f>IF((AND(VLOOKUP(C$1,main!$A$3:$H$102,5,FALSE)-VLOOKUP($A78,main!$A$3:$H$102,6,FALSE)&gt;=(VLOOKUP(VLOOKUP(C$1,main!$A$3:$H$102,8,FALSE),main!$K$26:$M$29,2,FALSE)+VLOOKUP(VLOOKUP(C$1,main!$A$3:$H$102,7,FALSE),main!$K$19:$O$22,MATCH(VLOOKUP($A78,main!$A$3:$H$102,8,FALSE),main!$K$18:$O$18,0))))),1,0)</f>
        <v>0</v>
      </c>
      <c r="D78">
        <f>IF((AND(VLOOKUP(D$1,main!$A$3:$H$102,5,FALSE)-VLOOKUP($A78,main!$A$3:$H$102,6,FALSE)&gt;=(VLOOKUP(VLOOKUP(D$1,main!$A$3:$H$102,8,FALSE),main!$K$26:$M$29,2,FALSE)+VLOOKUP(VLOOKUP(D$1,main!$A$3:$H$102,7,FALSE),main!$K$19:$O$22,MATCH(VLOOKUP($A78,main!$A$3:$H$102,8,FALSE),main!$K$18:$O$18,0))))),1,0)</f>
        <v>0</v>
      </c>
      <c r="E78">
        <f>IF((AND(VLOOKUP(E$1,main!$A$3:$H$102,5,FALSE)-VLOOKUP($A78,main!$A$3:$H$102,6,FALSE)&gt;=(VLOOKUP(VLOOKUP(E$1,main!$A$3:$H$102,8,FALSE),main!$K$26:$M$29,2,FALSE)+VLOOKUP(VLOOKUP(E$1,main!$A$3:$H$102,7,FALSE),main!$K$19:$O$22,MATCH(VLOOKUP($A78,main!$A$3:$H$102,8,FALSE),main!$K$18:$O$18,0))))),1,0)</f>
        <v>1</v>
      </c>
      <c r="F78">
        <f>IF((AND(VLOOKUP(F$1,main!$A$3:$H$102,5,FALSE)-VLOOKUP($A78,main!$A$3:$H$102,6,FALSE)&gt;=(VLOOKUP(VLOOKUP(F$1,main!$A$3:$H$102,8,FALSE),main!$K$26:$M$29,2,FALSE)+VLOOKUP(VLOOKUP(F$1,main!$A$3:$H$102,7,FALSE),main!$K$19:$O$22,MATCH(VLOOKUP($A78,main!$A$3:$H$102,8,FALSE),main!$K$18:$O$18,0))))),1,0)</f>
        <v>1</v>
      </c>
      <c r="G78">
        <f>IF((AND(VLOOKUP(G$1,main!$A$3:$H$102,5,FALSE)-VLOOKUP($A78,main!$A$3:$H$102,6,FALSE)&gt;=(VLOOKUP(VLOOKUP(G$1,main!$A$3:$H$102,8,FALSE),main!$K$26:$M$29,2,FALSE)+VLOOKUP(VLOOKUP(G$1,main!$A$3:$H$102,7,FALSE),main!$K$19:$O$22,MATCH(VLOOKUP($A78,main!$A$3:$H$102,8,FALSE),main!$K$18:$O$18,0))))),1,0)</f>
        <v>1</v>
      </c>
      <c r="H78">
        <f>IF((AND(VLOOKUP(H$1,main!$A$3:$H$102,5,FALSE)-VLOOKUP($A78,main!$A$3:$H$102,6,FALSE)&gt;=(VLOOKUP(VLOOKUP(H$1,main!$A$3:$H$102,8,FALSE),main!$K$26:$M$29,2,FALSE)+VLOOKUP(VLOOKUP(H$1,main!$A$3:$H$102,7,FALSE),main!$K$19:$O$22,MATCH(VLOOKUP($A78,main!$A$3:$H$102,8,FALSE),main!$K$18:$O$18,0))))),1,0)</f>
        <v>1</v>
      </c>
      <c r="I78">
        <f>IF((AND(VLOOKUP(I$1,main!$A$3:$H$102,5,FALSE)-VLOOKUP($A78,main!$A$3:$H$102,6,FALSE)&gt;=(VLOOKUP(VLOOKUP(I$1,main!$A$3:$H$102,8,FALSE),main!$K$26:$M$29,2,FALSE)+VLOOKUP(VLOOKUP(I$1,main!$A$3:$H$102,7,FALSE),main!$K$19:$O$22,MATCH(VLOOKUP($A78,main!$A$3:$H$102,8,FALSE),main!$K$18:$O$18,0))))),1,0)</f>
        <v>1</v>
      </c>
      <c r="J78">
        <f>IF((AND(VLOOKUP(J$1,main!$A$3:$H$102,5,FALSE)-VLOOKUP($A78,main!$A$3:$H$102,6,FALSE)&gt;=(VLOOKUP(VLOOKUP(J$1,main!$A$3:$H$102,8,FALSE),main!$K$26:$M$29,2,FALSE)+VLOOKUP(VLOOKUP(J$1,main!$A$3:$H$102,7,FALSE),main!$K$19:$O$22,MATCH(VLOOKUP($A78,main!$A$3:$H$102,8,FALSE),main!$K$18:$O$18,0))))),1,0)</f>
        <v>1</v>
      </c>
      <c r="K78">
        <f>IF((AND(VLOOKUP(K$1,main!$A$3:$H$102,5,FALSE)-VLOOKUP($A78,main!$A$3:$H$102,6,FALSE)&gt;=(VLOOKUP(VLOOKUP(K$1,main!$A$3:$H$102,8,FALSE),main!$K$26:$M$29,2,FALSE)+VLOOKUP(VLOOKUP(K$1,main!$A$3:$H$102,7,FALSE),main!$K$19:$O$22,MATCH(VLOOKUP($A78,main!$A$3:$H$102,8,FALSE),main!$K$18:$O$18,0))))),1,0)</f>
        <v>1</v>
      </c>
      <c r="L78">
        <f>IF((AND(VLOOKUP(L$1,main!$A$3:$H$102,5,FALSE)-VLOOKUP($A78,main!$A$3:$H$102,6,FALSE)&gt;=(VLOOKUP(VLOOKUP(L$1,main!$A$3:$H$102,8,FALSE),main!$K$26:$M$29,2,FALSE)+VLOOKUP(VLOOKUP(L$1,main!$A$3:$H$102,7,FALSE),main!$K$19:$O$22,MATCH(VLOOKUP($A78,main!$A$3:$H$102,8,FALSE),main!$K$18:$O$18,0))))),1,0)</f>
        <v>1</v>
      </c>
      <c r="M78">
        <f>IF((AND(VLOOKUP(M$1,main!$A$3:$H$102,5,FALSE)-VLOOKUP($A78,main!$A$3:$H$102,6,FALSE)&gt;=(VLOOKUP(VLOOKUP(M$1,main!$A$3:$H$102,8,FALSE),main!$K$26:$M$29,2,FALSE)+VLOOKUP(VLOOKUP(M$1,main!$A$3:$H$102,7,FALSE),main!$K$19:$O$22,MATCH(VLOOKUP($A78,main!$A$3:$H$102,8,FALSE),main!$K$18:$O$18,0))))),1,0)</f>
        <v>0</v>
      </c>
      <c r="N78">
        <f>IF((AND(VLOOKUP(N$1,main!$A$3:$H$102,5,FALSE)-VLOOKUP($A78,main!$A$3:$H$102,6,FALSE)&gt;=(VLOOKUP(VLOOKUP(N$1,main!$A$3:$H$102,8,FALSE),main!$K$26:$M$29,2,FALSE)+VLOOKUP(VLOOKUP(N$1,main!$A$3:$H$102,7,FALSE),main!$K$19:$O$22,MATCH(VLOOKUP($A78,main!$A$3:$H$102,8,FALSE),main!$K$18:$O$18,0))))),1,0)</f>
        <v>0</v>
      </c>
      <c r="O78">
        <f>IF((AND(VLOOKUP(O$1,main!$A$3:$H$102,5,FALSE)-VLOOKUP($A78,main!$A$3:$H$102,6,FALSE)&gt;=(VLOOKUP(VLOOKUP(O$1,main!$A$3:$H$102,8,FALSE),main!$K$26:$M$29,2,FALSE)+VLOOKUP(VLOOKUP(O$1,main!$A$3:$H$102,7,FALSE),main!$K$19:$O$22,MATCH(VLOOKUP($A78,main!$A$3:$H$102,8,FALSE),main!$K$18:$O$18,0))))),1,0)</f>
        <v>0</v>
      </c>
      <c r="P78">
        <f>IF((AND(VLOOKUP(P$1,main!$A$3:$H$102,5,FALSE)-VLOOKUP($A78,main!$A$3:$H$102,6,FALSE)&gt;=(VLOOKUP(VLOOKUP(P$1,main!$A$3:$H$102,8,FALSE),main!$K$26:$M$29,2,FALSE)+VLOOKUP(VLOOKUP(P$1,main!$A$3:$H$102,7,FALSE),main!$K$19:$O$22,MATCH(VLOOKUP($A78,main!$A$3:$H$102,8,FALSE),main!$K$18:$O$18,0))))),1,0)</f>
        <v>1</v>
      </c>
      <c r="Q78">
        <f>IF((AND(VLOOKUP(Q$1,main!$A$3:$H$102,5,FALSE)-VLOOKUP($A78,main!$A$3:$H$102,6,FALSE)&gt;=(VLOOKUP(VLOOKUP(Q$1,main!$A$3:$H$102,8,FALSE),main!$K$26:$M$29,2,FALSE)+VLOOKUP(VLOOKUP(Q$1,main!$A$3:$H$102,7,FALSE),main!$K$19:$O$22,MATCH(VLOOKUP($A78,main!$A$3:$H$102,8,FALSE),main!$K$18:$O$18,0))))),1,0)</f>
        <v>1</v>
      </c>
      <c r="R78">
        <f>IF((AND(VLOOKUP(R$1,main!$A$3:$H$102,5,FALSE)-VLOOKUP($A78,main!$A$3:$H$102,6,FALSE)&gt;=(VLOOKUP(VLOOKUP(R$1,main!$A$3:$H$102,8,FALSE),main!$K$26:$M$29,2,FALSE)+VLOOKUP(VLOOKUP(R$1,main!$A$3:$H$102,7,FALSE),main!$K$19:$O$22,MATCH(VLOOKUP($A78,main!$A$3:$H$102,8,FALSE),main!$K$18:$O$18,0))))),1,0)</f>
        <v>1</v>
      </c>
      <c r="S78">
        <f>IF((AND(VLOOKUP(S$1,main!$A$3:$H$102,5,FALSE)-VLOOKUP($A78,main!$A$3:$H$102,6,FALSE)&gt;=(VLOOKUP(VLOOKUP(S$1,main!$A$3:$H$102,8,FALSE),main!$K$26:$M$29,2,FALSE)+VLOOKUP(VLOOKUP(S$1,main!$A$3:$H$102,7,FALSE),main!$K$19:$O$22,MATCH(VLOOKUP($A78,main!$A$3:$H$102,8,FALSE),main!$K$18:$O$18,0))))),1,0)</f>
        <v>1</v>
      </c>
      <c r="T78">
        <f>IF((AND(VLOOKUP(T$1,main!$A$3:$H$102,5,FALSE)-VLOOKUP($A78,main!$A$3:$H$102,6,FALSE)&gt;=(VLOOKUP(VLOOKUP(T$1,main!$A$3:$H$102,8,FALSE),main!$K$26:$M$29,2,FALSE)+VLOOKUP(VLOOKUP(T$1,main!$A$3:$H$102,7,FALSE),main!$K$19:$O$22,MATCH(VLOOKUP($A78,main!$A$3:$H$102,8,FALSE),main!$K$18:$O$18,0))))),1,0)</f>
        <v>1</v>
      </c>
      <c r="U78">
        <f>IF((AND(VLOOKUP(U$1,main!$A$3:$H$102,5,FALSE)-VLOOKUP($A78,main!$A$3:$H$102,6,FALSE)&gt;=(VLOOKUP(VLOOKUP(U$1,main!$A$3:$H$102,8,FALSE),main!$K$26:$M$29,2,FALSE)+VLOOKUP(VLOOKUP(U$1,main!$A$3:$H$102,7,FALSE),main!$K$19:$O$22,MATCH(VLOOKUP($A78,main!$A$3:$H$102,8,FALSE),main!$K$18:$O$18,0))))),1,0)</f>
        <v>1</v>
      </c>
      <c r="V78">
        <f>IF((AND(VLOOKUP(V$1,main!$A$3:$H$102,5,FALSE)-VLOOKUP($A78,main!$A$3:$H$102,6,FALSE)&gt;=(VLOOKUP(VLOOKUP(V$1,main!$A$3:$H$102,8,FALSE),main!$K$26:$M$29,2,FALSE)+VLOOKUP(VLOOKUP(V$1,main!$A$3:$H$102,7,FALSE),main!$K$19:$O$22,MATCH(VLOOKUP($A78,main!$A$3:$H$102,8,FALSE),main!$K$18:$O$18,0))))),1,0)</f>
        <v>1</v>
      </c>
      <c r="W78">
        <f>IF((AND(VLOOKUP(W$1,main!$A$3:$H$102,5,FALSE)-VLOOKUP($A78,main!$A$3:$H$102,6,FALSE)&gt;=(VLOOKUP(VLOOKUP(W$1,main!$A$3:$H$102,8,FALSE),main!$K$26:$M$29,2,FALSE)+VLOOKUP(VLOOKUP(W$1,main!$A$3:$H$102,7,FALSE),main!$K$19:$O$22,MATCH(VLOOKUP($A78,main!$A$3:$H$102,8,FALSE),main!$K$18:$O$18,0))))),1,0)</f>
        <v>0</v>
      </c>
      <c r="X78">
        <f>IF((AND(VLOOKUP(X$1,main!$A$3:$H$102,5,FALSE)-VLOOKUP($A78,main!$A$3:$H$102,6,FALSE)&gt;=(VLOOKUP(VLOOKUP(X$1,main!$A$3:$H$102,8,FALSE),main!$K$26:$M$29,2,FALSE)+VLOOKUP(VLOOKUP(X$1,main!$A$3:$H$102,7,FALSE),main!$K$19:$O$22,MATCH(VLOOKUP($A78,main!$A$3:$H$102,8,FALSE),main!$K$18:$O$18,0))))),1,0)</f>
        <v>0</v>
      </c>
      <c r="Y78">
        <f>IF((AND(VLOOKUP(Y$1,main!$A$3:$H$102,5,FALSE)-VLOOKUP($A78,main!$A$3:$H$102,6,FALSE)&gt;=(VLOOKUP(VLOOKUP(Y$1,main!$A$3:$H$102,8,FALSE),main!$K$26:$M$29,2,FALSE)+VLOOKUP(VLOOKUP(Y$1,main!$A$3:$H$102,7,FALSE),main!$K$19:$O$22,MATCH(VLOOKUP($A78,main!$A$3:$H$102,8,FALSE),main!$K$18:$O$18,0))))),1,0)</f>
        <v>1</v>
      </c>
      <c r="Z78">
        <f>IF((AND(VLOOKUP(Z$1,main!$A$3:$H$102,5,FALSE)-VLOOKUP($A78,main!$A$3:$H$102,6,FALSE)&gt;=(VLOOKUP(VLOOKUP(Z$1,main!$A$3:$H$102,8,FALSE),main!$K$26:$M$29,2,FALSE)+VLOOKUP(VLOOKUP(Z$1,main!$A$3:$H$102,7,FALSE),main!$K$19:$O$22,MATCH(VLOOKUP($A78,main!$A$3:$H$102,8,FALSE),main!$K$18:$O$18,0))))),1,0)</f>
        <v>1</v>
      </c>
      <c r="AA78">
        <f>IF((AND(VLOOKUP(AA$1,main!$A$3:$H$102,5,FALSE)-VLOOKUP($A78,main!$A$3:$H$102,6,FALSE)&gt;=(VLOOKUP(VLOOKUP(AA$1,main!$A$3:$H$102,8,FALSE),main!$K$26:$M$29,2,FALSE)+VLOOKUP(VLOOKUP(AA$1,main!$A$3:$H$102,7,FALSE),main!$K$19:$O$22,MATCH(VLOOKUP($A78,main!$A$3:$H$102,8,FALSE),main!$K$18:$O$18,0))))),1,0)</f>
        <v>1</v>
      </c>
      <c r="AB78">
        <f>IF((AND(VLOOKUP(AB$1,main!$A$3:$H$102,5,FALSE)-VLOOKUP($A78,main!$A$3:$H$102,6,FALSE)&gt;=(VLOOKUP(VLOOKUP(AB$1,main!$A$3:$H$102,8,FALSE),main!$K$26:$M$29,2,FALSE)+VLOOKUP(VLOOKUP(AB$1,main!$A$3:$H$102,7,FALSE),main!$K$19:$O$22,MATCH(VLOOKUP($A78,main!$A$3:$H$102,8,FALSE),main!$K$18:$O$18,0))))),1,0)</f>
        <v>0</v>
      </c>
      <c r="AC78">
        <f>IF((AND(VLOOKUP(AC$1,main!$A$3:$H$102,5,FALSE)-VLOOKUP($A78,main!$A$3:$H$102,6,FALSE)&gt;=(VLOOKUP(VLOOKUP(AC$1,main!$A$3:$H$102,8,FALSE),main!$K$26:$M$29,2,FALSE)+VLOOKUP(VLOOKUP(AC$1,main!$A$3:$H$102,7,FALSE),main!$K$19:$O$22,MATCH(VLOOKUP($A78,main!$A$3:$H$102,8,FALSE),main!$K$18:$O$18,0))))),1,0)</f>
        <v>0</v>
      </c>
      <c r="AD78">
        <f>IF((AND(VLOOKUP(AD$1,main!$A$3:$H$102,5,FALSE)-VLOOKUP($A78,main!$A$3:$H$102,6,FALSE)&gt;=(VLOOKUP(VLOOKUP(AD$1,main!$A$3:$H$102,8,FALSE),main!$K$26:$M$29,2,FALSE)+VLOOKUP(VLOOKUP(AD$1,main!$A$3:$H$102,7,FALSE),main!$K$19:$O$22,MATCH(VLOOKUP($A78,main!$A$3:$H$102,8,FALSE),main!$K$18:$O$18,0))))),1,0)</f>
        <v>1</v>
      </c>
      <c r="AE78">
        <f>IF((AND(VLOOKUP(AE$1,main!$A$3:$H$102,5,FALSE)-VLOOKUP($A78,main!$A$3:$H$102,6,FALSE)&gt;=(VLOOKUP(VLOOKUP(AE$1,main!$A$3:$H$102,8,FALSE),main!$K$26:$M$29,2,FALSE)+VLOOKUP(VLOOKUP(AE$1,main!$A$3:$H$102,7,FALSE),main!$K$19:$O$22,MATCH(VLOOKUP($A78,main!$A$3:$H$102,8,FALSE),main!$K$18:$O$18,0))))),1,0)</f>
        <v>1</v>
      </c>
      <c r="AF78">
        <f>IF((AND(VLOOKUP(AF$1,main!$A$3:$H$102,5,FALSE)-VLOOKUP($A78,main!$A$3:$H$102,6,FALSE)&gt;=(VLOOKUP(VLOOKUP(AF$1,main!$A$3:$H$102,8,FALSE),main!$K$26:$M$29,2,FALSE)+VLOOKUP(VLOOKUP(AF$1,main!$A$3:$H$102,7,FALSE),main!$K$19:$O$22,MATCH(VLOOKUP($A78,main!$A$3:$H$102,8,FALSE),main!$K$18:$O$18,0))))),1,0)</f>
        <v>1</v>
      </c>
      <c r="AG78">
        <f>IF((AND(VLOOKUP(AG$1,main!$A$3:$H$102,5,FALSE)-VLOOKUP($A78,main!$A$3:$H$102,6,FALSE)&gt;=(VLOOKUP(VLOOKUP(AG$1,main!$A$3:$H$102,8,FALSE),main!$K$26:$M$29,2,FALSE)+VLOOKUP(VLOOKUP(AG$1,main!$A$3:$H$102,7,FALSE),main!$K$19:$O$22,MATCH(VLOOKUP($A78,main!$A$3:$H$102,8,FALSE),main!$K$18:$O$18,0))))),1,0)</f>
        <v>0</v>
      </c>
      <c r="AH78">
        <f>IF((AND(VLOOKUP(AH$1,main!$A$3:$H$102,5,FALSE)-VLOOKUP($A78,main!$A$3:$H$102,6,FALSE)&gt;=(VLOOKUP(VLOOKUP(AH$1,main!$A$3:$H$102,8,FALSE),main!$K$26:$M$29,2,FALSE)+VLOOKUP(VLOOKUP(AH$1,main!$A$3:$H$102,7,FALSE),main!$K$19:$O$22,MATCH(VLOOKUP($A78,main!$A$3:$H$102,8,FALSE),main!$K$18:$O$18,0))))),1,0)</f>
        <v>0</v>
      </c>
      <c r="AI78">
        <f>IF((AND(VLOOKUP(AI$1,main!$A$3:$H$102,5,FALSE)-VLOOKUP($A78,main!$A$3:$H$102,6,FALSE)&gt;=(VLOOKUP(VLOOKUP(AI$1,main!$A$3:$H$102,8,FALSE),main!$K$26:$M$29,2,FALSE)+VLOOKUP(VLOOKUP(AI$1,main!$A$3:$H$102,7,FALSE),main!$K$19:$O$22,MATCH(VLOOKUP($A78,main!$A$3:$H$102,8,FALSE),main!$K$18:$O$18,0))))),1,0)</f>
        <v>1</v>
      </c>
      <c r="AJ78">
        <f>IF((AND(VLOOKUP(AJ$1,main!$A$3:$H$102,5,FALSE)-VLOOKUP($A78,main!$A$3:$H$102,6,FALSE)&gt;=(VLOOKUP(VLOOKUP(AJ$1,main!$A$3:$H$102,8,FALSE),main!$K$26:$M$29,2,FALSE)+VLOOKUP(VLOOKUP(AJ$1,main!$A$3:$H$102,7,FALSE),main!$K$19:$O$22,MATCH(VLOOKUP($A78,main!$A$3:$H$102,8,FALSE),main!$K$18:$O$18,0))))),1,0)</f>
        <v>1</v>
      </c>
      <c r="AK78">
        <f>IF((AND(VLOOKUP(AK$1,main!$A$3:$H$102,5,FALSE)-VLOOKUP($A78,main!$A$3:$H$102,6,FALSE)&gt;=(VLOOKUP(VLOOKUP(AK$1,main!$A$3:$H$102,8,FALSE),main!$K$26:$M$29,2,FALSE)+VLOOKUP(VLOOKUP(AK$1,main!$A$3:$H$102,7,FALSE),main!$K$19:$O$22,MATCH(VLOOKUP($A78,main!$A$3:$H$102,8,FALSE),main!$K$18:$O$18,0))))),1,0)</f>
        <v>1</v>
      </c>
      <c r="AL78">
        <f>IF((AND(VLOOKUP(AL$1,main!$A$3:$H$102,5,FALSE)-VLOOKUP($A78,main!$A$3:$H$102,6,FALSE)&gt;=(VLOOKUP(VLOOKUP(AL$1,main!$A$3:$H$102,8,FALSE),main!$K$26:$M$29,2,FALSE)+VLOOKUP(VLOOKUP(AL$1,main!$A$3:$H$102,7,FALSE),main!$K$19:$O$22,MATCH(VLOOKUP($A78,main!$A$3:$H$102,8,FALSE),main!$K$18:$O$18,0))))),1,0)</f>
        <v>1</v>
      </c>
      <c r="AM78">
        <f>IF((AND(VLOOKUP(AM$1,main!$A$3:$H$102,5,FALSE)-VLOOKUP($A78,main!$A$3:$H$102,6,FALSE)&gt;=(VLOOKUP(VLOOKUP(AM$1,main!$A$3:$H$102,8,FALSE),main!$K$26:$M$29,2,FALSE)+VLOOKUP(VLOOKUP(AM$1,main!$A$3:$H$102,7,FALSE),main!$K$19:$O$22,MATCH(VLOOKUP($A78,main!$A$3:$H$102,8,FALSE),main!$K$18:$O$18,0))))),1,0)</f>
        <v>1</v>
      </c>
      <c r="AN78">
        <f>IF((AND(VLOOKUP(AN$1,main!$A$3:$H$102,5,FALSE)-VLOOKUP($A78,main!$A$3:$H$102,6,FALSE)&gt;=(VLOOKUP(VLOOKUP(AN$1,main!$A$3:$H$102,8,FALSE),main!$K$26:$M$29,2,FALSE)+VLOOKUP(VLOOKUP(AN$1,main!$A$3:$H$102,7,FALSE),main!$K$19:$O$22,MATCH(VLOOKUP($A78,main!$A$3:$H$102,8,FALSE),main!$K$18:$O$18,0))))),1,0)</f>
        <v>1</v>
      </c>
      <c r="AO78">
        <f>IF((AND(VLOOKUP(AO$1,main!$A$3:$H$102,5,FALSE)-VLOOKUP($A78,main!$A$3:$H$102,6,FALSE)&gt;=(VLOOKUP(VLOOKUP(AO$1,main!$A$3:$H$102,8,FALSE),main!$K$26:$M$29,2,FALSE)+VLOOKUP(VLOOKUP(AO$1,main!$A$3:$H$102,7,FALSE),main!$K$19:$O$22,MATCH(VLOOKUP($A78,main!$A$3:$H$102,8,FALSE),main!$K$18:$O$18,0))))),1,0)</f>
        <v>0</v>
      </c>
      <c r="AP78">
        <f>IF((AND(VLOOKUP(AP$1,main!$A$3:$H$102,5,FALSE)-VLOOKUP($A78,main!$A$3:$H$102,6,FALSE)&gt;=(VLOOKUP(VLOOKUP(AP$1,main!$A$3:$H$102,8,FALSE),main!$K$26:$M$29,2,FALSE)+VLOOKUP(VLOOKUP(AP$1,main!$A$3:$H$102,7,FALSE),main!$K$19:$O$22,MATCH(VLOOKUP($A78,main!$A$3:$H$102,8,FALSE),main!$K$18:$O$18,0))))),1,0)</f>
        <v>1</v>
      </c>
      <c r="AQ78">
        <f>IF((AND(VLOOKUP(AQ$1,main!$A$3:$H$102,5,FALSE)-VLOOKUP($A78,main!$A$3:$H$102,6,FALSE)&gt;=(VLOOKUP(VLOOKUP(AQ$1,main!$A$3:$H$102,8,FALSE),main!$K$26:$M$29,2,FALSE)+VLOOKUP(VLOOKUP(AQ$1,main!$A$3:$H$102,7,FALSE),main!$K$19:$O$22,MATCH(VLOOKUP($A78,main!$A$3:$H$102,8,FALSE),main!$K$18:$O$18,0))))),1,0)</f>
        <v>0</v>
      </c>
      <c r="AR78">
        <f>IF((AND(VLOOKUP(AR$1,main!$A$3:$H$102,5,FALSE)-VLOOKUP($A78,main!$A$3:$H$102,6,FALSE)&gt;=(VLOOKUP(VLOOKUP(AR$1,main!$A$3:$H$102,8,FALSE),main!$K$26:$M$29,2,FALSE)+VLOOKUP(VLOOKUP(AR$1,main!$A$3:$H$102,7,FALSE),main!$K$19:$O$22,MATCH(VLOOKUP($A78,main!$A$3:$H$102,8,FALSE),main!$K$18:$O$18,0))))),1,0)</f>
        <v>0</v>
      </c>
      <c r="AS78">
        <f>IF((AND(VLOOKUP(AS$1,main!$A$3:$H$102,5,FALSE)-VLOOKUP($A78,main!$A$3:$H$102,6,FALSE)&gt;=(VLOOKUP(VLOOKUP(AS$1,main!$A$3:$H$102,8,FALSE),main!$K$26:$M$29,2,FALSE)+VLOOKUP(VLOOKUP(AS$1,main!$A$3:$H$102,7,FALSE),main!$K$19:$O$22,MATCH(VLOOKUP($A78,main!$A$3:$H$102,8,FALSE),main!$K$18:$O$18,0))))),1,0)</f>
        <v>1</v>
      </c>
      <c r="AT78">
        <f>IF((AND(VLOOKUP(AT$1,main!$A$3:$H$102,5,FALSE)-VLOOKUP($A78,main!$A$3:$H$102,6,FALSE)&gt;=(VLOOKUP(VLOOKUP(AT$1,main!$A$3:$H$102,8,FALSE),main!$K$26:$M$29,2,FALSE)+VLOOKUP(VLOOKUP(AT$1,main!$A$3:$H$102,7,FALSE),main!$K$19:$O$22,MATCH(VLOOKUP($A78,main!$A$3:$H$102,8,FALSE),main!$K$18:$O$18,0))))),1,0)</f>
        <v>1</v>
      </c>
      <c r="AU78">
        <f>IF((AND(VLOOKUP(AU$1,main!$A$3:$H$102,5,FALSE)-VLOOKUP($A78,main!$A$3:$H$102,6,FALSE)&gt;=(VLOOKUP(VLOOKUP(AU$1,main!$A$3:$H$102,8,FALSE),main!$K$26:$M$29,2,FALSE)+VLOOKUP(VLOOKUP(AU$1,main!$A$3:$H$102,7,FALSE),main!$K$19:$O$22,MATCH(VLOOKUP($A78,main!$A$3:$H$102,8,FALSE),main!$K$18:$O$18,0))))),1,0)</f>
        <v>0</v>
      </c>
      <c r="AV78">
        <f>IF((AND(VLOOKUP(AV$1,main!$A$3:$H$102,5,FALSE)-VLOOKUP($A78,main!$A$3:$H$102,6,FALSE)&gt;=(VLOOKUP(VLOOKUP(AV$1,main!$A$3:$H$102,8,FALSE),main!$K$26:$M$29,2,FALSE)+VLOOKUP(VLOOKUP(AV$1,main!$A$3:$H$102,7,FALSE),main!$K$19:$O$22,MATCH(VLOOKUP($A78,main!$A$3:$H$102,8,FALSE),main!$K$18:$O$18,0))))),1,0)</f>
        <v>0</v>
      </c>
      <c r="AW78">
        <f>IF((AND(VLOOKUP(AW$1,main!$A$3:$H$102,5,FALSE)-VLOOKUP($A78,main!$A$3:$H$102,6,FALSE)&gt;=(VLOOKUP(VLOOKUP(AW$1,main!$A$3:$H$102,8,FALSE),main!$K$26:$M$29,2,FALSE)+VLOOKUP(VLOOKUP(AW$1,main!$A$3:$H$102,7,FALSE),main!$K$19:$O$22,MATCH(VLOOKUP($A78,main!$A$3:$H$102,8,FALSE),main!$K$18:$O$18,0))))),1,0)</f>
        <v>1</v>
      </c>
      <c r="AX78">
        <f>IF((AND(VLOOKUP(AX$1,main!$A$3:$H$102,5,FALSE)-VLOOKUP($A78,main!$A$3:$H$102,6,FALSE)&gt;=(VLOOKUP(VLOOKUP(AX$1,main!$A$3:$H$102,8,FALSE),main!$K$26:$M$29,2,FALSE)+VLOOKUP(VLOOKUP(AX$1,main!$A$3:$H$102,7,FALSE),main!$K$19:$O$22,MATCH(VLOOKUP($A78,main!$A$3:$H$102,8,FALSE),main!$K$18:$O$18,0))))),1,0)</f>
        <v>1</v>
      </c>
      <c r="AY78">
        <f>IF((AND(VLOOKUP(AY$1,main!$A$3:$H$102,5,FALSE)-VLOOKUP($A78,main!$A$3:$H$102,6,FALSE)&gt;=(VLOOKUP(VLOOKUP(AY$1,main!$A$3:$H$102,8,FALSE),main!$K$26:$M$29,2,FALSE)+VLOOKUP(VLOOKUP(AY$1,main!$A$3:$H$102,7,FALSE),main!$K$19:$O$22,MATCH(VLOOKUP($A78,main!$A$3:$H$102,8,FALSE),main!$K$18:$O$18,0))))),1,0)</f>
        <v>0</v>
      </c>
      <c r="AZ78">
        <f>IF((AND(VLOOKUP(AZ$1,main!$A$3:$H$102,5,FALSE)-VLOOKUP($A78,main!$A$3:$H$102,6,FALSE)&gt;=(VLOOKUP(VLOOKUP(AZ$1,main!$A$3:$H$102,8,FALSE),main!$K$26:$M$29,2,FALSE)+VLOOKUP(VLOOKUP(AZ$1,main!$A$3:$H$102,7,FALSE),main!$K$19:$O$22,MATCH(VLOOKUP($A78,main!$A$3:$H$102,8,FALSE),main!$K$18:$O$18,0))))),1,0)</f>
        <v>1</v>
      </c>
      <c r="BA78">
        <f>IF((AND(VLOOKUP(BA$1,main!$A$3:$H$102,5,FALSE)-VLOOKUP($A78,main!$A$3:$H$102,6,FALSE)&gt;=(VLOOKUP(VLOOKUP(BA$1,main!$A$3:$H$102,8,FALSE),main!$K$26:$M$29,2,FALSE)+VLOOKUP(VLOOKUP(BA$1,main!$A$3:$H$102,7,FALSE),main!$K$19:$O$22,MATCH(VLOOKUP($A78,main!$A$3:$H$102,8,FALSE),main!$K$18:$O$18,0))))),1,0)</f>
        <v>0</v>
      </c>
      <c r="BB78">
        <f>IF((AND(VLOOKUP(BB$1,main!$A$3:$H$102,5,FALSE)-VLOOKUP($A78,main!$A$3:$H$102,6,FALSE)&gt;=(VLOOKUP(VLOOKUP(BB$1,main!$A$3:$H$102,8,FALSE),main!$K$26:$M$29,2,FALSE)+VLOOKUP(VLOOKUP(BB$1,main!$A$3:$H$102,7,FALSE),main!$K$19:$O$22,MATCH(VLOOKUP($A78,main!$A$3:$H$102,8,FALSE),main!$K$18:$O$18,0))))),1,0)</f>
        <v>1</v>
      </c>
      <c r="BC78">
        <f>IF((AND(VLOOKUP(BC$1,main!$A$3:$H$102,5,FALSE)-VLOOKUP($A78,main!$A$3:$H$102,6,FALSE)&gt;=(VLOOKUP(VLOOKUP(BC$1,main!$A$3:$H$102,8,FALSE),main!$K$26:$M$29,2,FALSE)+VLOOKUP(VLOOKUP(BC$1,main!$A$3:$H$102,7,FALSE),main!$K$19:$O$22,MATCH(VLOOKUP($A78,main!$A$3:$H$102,8,FALSE),main!$K$18:$O$18,0))))),1,0)</f>
        <v>1</v>
      </c>
      <c r="BD78">
        <f>IF((AND(VLOOKUP(BD$1,main!$A$3:$H$102,5,FALSE)-VLOOKUP($A78,main!$A$3:$H$102,6,FALSE)&gt;=(VLOOKUP(VLOOKUP(BD$1,main!$A$3:$H$102,8,FALSE),main!$K$26:$M$29,2,FALSE)+VLOOKUP(VLOOKUP(BD$1,main!$A$3:$H$102,7,FALSE),main!$K$19:$O$22,MATCH(VLOOKUP($A78,main!$A$3:$H$102,8,FALSE),main!$K$18:$O$18,0))))),1,0)</f>
        <v>1</v>
      </c>
      <c r="BE78">
        <f>IF((AND(VLOOKUP(BE$1,main!$A$3:$H$102,5,FALSE)-VLOOKUP($A78,main!$A$3:$H$102,6,FALSE)&gt;=(VLOOKUP(VLOOKUP(BE$1,main!$A$3:$H$102,8,FALSE),main!$K$26:$M$29,2,FALSE)+VLOOKUP(VLOOKUP(BE$1,main!$A$3:$H$102,7,FALSE),main!$K$19:$O$22,MATCH(VLOOKUP($A78,main!$A$3:$H$102,8,FALSE),main!$K$18:$O$18,0))))),1,0)</f>
        <v>1</v>
      </c>
      <c r="BF78">
        <f>IF((AND(VLOOKUP(BF$1,main!$A$3:$H$102,5,FALSE)-VLOOKUP($A78,main!$A$3:$H$102,6,FALSE)&gt;=(VLOOKUP(VLOOKUP(BF$1,main!$A$3:$H$102,8,FALSE),main!$K$26:$M$29,2,FALSE)+VLOOKUP(VLOOKUP(BF$1,main!$A$3:$H$102,7,FALSE),main!$K$19:$O$22,MATCH(VLOOKUP($A78,main!$A$3:$H$102,8,FALSE),main!$K$18:$O$18,0))))),1,0)</f>
        <v>0</v>
      </c>
      <c r="BG78">
        <f>IF((AND(VLOOKUP(BG$1,main!$A$3:$H$102,5,FALSE)-VLOOKUP($A78,main!$A$3:$H$102,6,FALSE)&gt;=(VLOOKUP(VLOOKUP(BG$1,main!$A$3:$H$102,8,FALSE),main!$K$26:$M$29,2,FALSE)+VLOOKUP(VLOOKUP(BG$1,main!$A$3:$H$102,7,FALSE),main!$K$19:$O$22,MATCH(VLOOKUP($A78,main!$A$3:$H$102,8,FALSE),main!$K$18:$O$18,0))))),1,0)</f>
        <v>0</v>
      </c>
      <c r="BH78">
        <f>IF((AND(VLOOKUP(BH$1,main!$A$3:$H$102,5,FALSE)-VLOOKUP($A78,main!$A$3:$H$102,6,FALSE)&gt;=(VLOOKUP(VLOOKUP(BH$1,main!$A$3:$H$102,8,FALSE),main!$K$26:$M$29,2,FALSE)+VLOOKUP(VLOOKUP(BH$1,main!$A$3:$H$102,7,FALSE),main!$K$19:$O$22,MATCH(VLOOKUP($A78,main!$A$3:$H$102,8,FALSE),main!$K$18:$O$18,0))))),1,0)</f>
        <v>1</v>
      </c>
      <c r="BI78">
        <f>IF((AND(VLOOKUP(BI$1,main!$A$3:$H$102,5,FALSE)-VLOOKUP($A78,main!$A$3:$H$102,6,FALSE)&gt;=(VLOOKUP(VLOOKUP(BI$1,main!$A$3:$H$102,8,FALSE),main!$K$26:$M$29,2,FALSE)+VLOOKUP(VLOOKUP(BI$1,main!$A$3:$H$102,7,FALSE),main!$K$19:$O$22,MATCH(VLOOKUP($A78,main!$A$3:$H$102,8,FALSE),main!$K$18:$O$18,0))))),1,0)</f>
        <v>1</v>
      </c>
      <c r="BJ78">
        <f>IF((AND(VLOOKUP(BJ$1,main!$A$3:$H$102,5,FALSE)-VLOOKUP($A78,main!$A$3:$H$102,6,FALSE)&gt;=(VLOOKUP(VLOOKUP(BJ$1,main!$A$3:$H$102,8,FALSE),main!$K$26:$M$29,2,FALSE)+VLOOKUP(VLOOKUP(BJ$1,main!$A$3:$H$102,7,FALSE),main!$K$19:$O$22,MATCH(VLOOKUP($A78,main!$A$3:$H$102,8,FALSE),main!$K$18:$O$18,0))))),1,0)</f>
        <v>1</v>
      </c>
      <c r="BK78">
        <f>IF((AND(VLOOKUP(BK$1,main!$A$3:$H$102,5,FALSE)-VLOOKUP($A78,main!$A$3:$H$102,6,FALSE)&gt;=(VLOOKUP(VLOOKUP(BK$1,main!$A$3:$H$102,8,FALSE),main!$K$26:$M$29,2,FALSE)+VLOOKUP(VLOOKUP(BK$1,main!$A$3:$H$102,7,FALSE),main!$K$19:$O$22,MATCH(VLOOKUP($A78,main!$A$3:$H$102,8,FALSE),main!$K$18:$O$18,0))))),1,0)</f>
        <v>0</v>
      </c>
      <c r="BL78">
        <f>IF((AND(VLOOKUP(BL$1,main!$A$3:$H$102,5,FALSE)-VLOOKUP($A78,main!$A$3:$H$102,6,FALSE)&gt;=(VLOOKUP(VLOOKUP(BL$1,main!$A$3:$H$102,8,FALSE),main!$K$26:$M$29,2,FALSE)+VLOOKUP(VLOOKUP(BL$1,main!$A$3:$H$102,7,FALSE),main!$K$19:$O$22,MATCH(VLOOKUP($A78,main!$A$3:$H$102,8,FALSE),main!$K$18:$O$18,0))))),1,0)</f>
        <v>0</v>
      </c>
      <c r="BM78">
        <f>IF((AND(VLOOKUP(BM$1,main!$A$3:$H$102,5,FALSE)-VLOOKUP($A78,main!$A$3:$H$102,6,FALSE)&gt;=(VLOOKUP(VLOOKUP(BM$1,main!$A$3:$H$102,8,FALSE),main!$K$26:$M$29,2,FALSE)+VLOOKUP(VLOOKUP(BM$1,main!$A$3:$H$102,7,FALSE),main!$K$19:$O$22,MATCH(VLOOKUP($A78,main!$A$3:$H$102,8,FALSE),main!$K$18:$O$18,0))))),1,0)</f>
        <v>0</v>
      </c>
      <c r="BN78">
        <f>IF((AND(VLOOKUP(BN$1,main!$A$3:$H$102,5,FALSE)-VLOOKUP($A78,main!$A$3:$H$102,6,FALSE)&gt;=(VLOOKUP(VLOOKUP(BN$1,main!$A$3:$H$102,8,FALSE),main!$K$26:$M$29,2,FALSE)+VLOOKUP(VLOOKUP(BN$1,main!$A$3:$H$102,7,FALSE),main!$K$19:$O$22,MATCH(VLOOKUP($A78,main!$A$3:$H$102,8,FALSE),main!$K$18:$O$18,0))))),1,0)</f>
        <v>1</v>
      </c>
      <c r="BO78">
        <f>IF((AND(VLOOKUP(BO$1,main!$A$3:$H$102,5,FALSE)-VLOOKUP($A78,main!$A$3:$H$102,6,FALSE)&gt;=(VLOOKUP(VLOOKUP(BO$1,main!$A$3:$H$102,8,FALSE),main!$K$26:$M$29,2,FALSE)+VLOOKUP(VLOOKUP(BO$1,main!$A$3:$H$102,7,FALSE),main!$K$19:$O$22,MATCH(VLOOKUP($A78,main!$A$3:$H$102,8,FALSE),main!$K$18:$O$18,0))))),1,0)</f>
        <v>0</v>
      </c>
      <c r="BP78">
        <f>IF((AND(VLOOKUP(BP$1,main!$A$3:$H$102,5,FALSE)-VLOOKUP($A78,main!$A$3:$H$102,6,FALSE)&gt;=(VLOOKUP(VLOOKUP(BP$1,main!$A$3:$H$102,8,FALSE),main!$K$26:$M$29,2,FALSE)+VLOOKUP(VLOOKUP(BP$1,main!$A$3:$H$102,7,FALSE),main!$K$19:$O$22,MATCH(VLOOKUP($A78,main!$A$3:$H$102,8,FALSE),main!$K$18:$O$18,0))))),1,0)</f>
        <v>0</v>
      </c>
      <c r="BQ78">
        <f>IF((AND(VLOOKUP(BQ$1,main!$A$3:$H$102,5,FALSE)-VLOOKUP($A78,main!$A$3:$H$102,6,FALSE)&gt;=(VLOOKUP(VLOOKUP(BQ$1,main!$A$3:$H$102,8,FALSE),main!$K$26:$M$29,2,FALSE)+VLOOKUP(VLOOKUP(BQ$1,main!$A$3:$H$102,7,FALSE),main!$K$19:$O$22,MATCH(VLOOKUP($A78,main!$A$3:$H$102,8,FALSE),main!$K$18:$O$18,0))))),1,0)</f>
        <v>1</v>
      </c>
      <c r="BR78">
        <f>IF((AND(VLOOKUP(BR$1,main!$A$3:$H$102,5,FALSE)-VLOOKUP($A78,main!$A$3:$H$102,6,FALSE)&gt;=(VLOOKUP(VLOOKUP(BR$1,main!$A$3:$H$102,8,FALSE),main!$K$26:$M$29,2,FALSE)+VLOOKUP(VLOOKUP(BR$1,main!$A$3:$H$102,7,FALSE),main!$K$19:$O$22,MATCH(VLOOKUP($A78,main!$A$3:$H$102,8,FALSE),main!$K$18:$O$18,0))))),1,0)</f>
        <v>1</v>
      </c>
      <c r="BS78">
        <f>IF((AND(VLOOKUP(BS$1,main!$A$3:$H$102,5,FALSE)-VLOOKUP($A78,main!$A$3:$H$102,6,FALSE)&gt;=(VLOOKUP(VLOOKUP(BS$1,main!$A$3:$H$102,8,FALSE),main!$K$26:$M$29,2,FALSE)+VLOOKUP(VLOOKUP(BS$1,main!$A$3:$H$102,7,FALSE),main!$K$19:$O$22,MATCH(VLOOKUP($A78,main!$A$3:$H$102,8,FALSE),main!$K$18:$O$18,0))))),1,0)</f>
        <v>1</v>
      </c>
      <c r="BT78">
        <f>IF((AND(VLOOKUP(BT$1,main!$A$3:$H$102,5,FALSE)-VLOOKUP($A78,main!$A$3:$H$102,6,FALSE)&gt;=(VLOOKUP(VLOOKUP(BT$1,main!$A$3:$H$102,8,FALSE),main!$K$26:$M$29,2,FALSE)+VLOOKUP(VLOOKUP(BT$1,main!$A$3:$H$102,7,FALSE),main!$K$19:$O$22,MATCH(VLOOKUP($A78,main!$A$3:$H$102,8,FALSE),main!$K$18:$O$18,0))))),1,0)</f>
        <v>1</v>
      </c>
      <c r="BU78">
        <f>IF((AND(VLOOKUP(BU$1,main!$A$3:$H$102,5,FALSE)-VLOOKUP($A78,main!$A$3:$H$102,6,FALSE)&gt;=(VLOOKUP(VLOOKUP(BU$1,main!$A$3:$H$102,8,FALSE),main!$K$26:$M$29,2,FALSE)+VLOOKUP(VLOOKUP(BU$1,main!$A$3:$H$102,7,FALSE),main!$K$19:$O$22,MATCH(VLOOKUP($A78,main!$A$3:$H$102,8,FALSE),main!$K$18:$O$18,0))))),1,0)</f>
        <v>0</v>
      </c>
      <c r="BV78">
        <f>IF((AND(VLOOKUP(BV$1,main!$A$3:$H$102,5,FALSE)-VLOOKUP($A78,main!$A$3:$H$102,6,FALSE)&gt;=(VLOOKUP(VLOOKUP(BV$1,main!$A$3:$H$102,8,FALSE),main!$K$26:$M$29,2,FALSE)+VLOOKUP(VLOOKUP(BV$1,main!$A$3:$H$102,7,FALSE),main!$K$19:$O$22,MATCH(VLOOKUP($A78,main!$A$3:$H$102,8,FALSE),main!$K$18:$O$18,0))))),1,0)</f>
        <v>0</v>
      </c>
      <c r="BW78">
        <f>IF((AND(VLOOKUP(BW$1,main!$A$3:$H$102,5,FALSE)-VLOOKUP($A78,main!$A$3:$H$102,6,FALSE)&gt;=(VLOOKUP(VLOOKUP(BW$1,main!$A$3:$H$102,8,FALSE),main!$K$26:$M$29,2,FALSE)+VLOOKUP(VLOOKUP(BW$1,main!$A$3:$H$102,7,FALSE),main!$K$19:$O$22,MATCH(VLOOKUP($A78,main!$A$3:$H$102,8,FALSE),main!$K$18:$O$18,0))))),1,0)</f>
        <v>0</v>
      </c>
      <c r="BX78">
        <f>IF((AND(VLOOKUP(BX$1,main!$A$3:$H$102,5,FALSE)-VLOOKUP($A78,main!$A$3:$H$102,6,FALSE)&gt;=(VLOOKUP(VLOOKUP(BX$1,main!$A$3:$H$102,8,FALSE),main!$K$26:$M$29,2,FALSE)+VLOOKUP(VLOOKUP(BX$1,main!$A$3:$H$102,7,FALSE),main!$K$19:$O$22,MATCH(VLOOKUP($A78,main!$A$3:$H$102,8,FALSE),main!$K$18:$O$18,0))))),1,0)</f>
        <v>1</v>
      </c>
      <c r="BY78">
        <f>IF((AND(VLOOKUP(BY$1,main!$A$3:$H$102,5,FALSE)-VLOOKUP($A78,main!$A$3:$H$102,6,FALSE)&gt;=(VLOOKUP(VLOOKUP(BY$1,main!$A$3:$H$102,8,FALSE),main!$K$26:$M$29,2,FALSE)+VLOOKUP(VLOOKUP(BY$1,main!$A$3:$H$102,7,FALSE),main!$K$19:$O$22,MATCH(VLOOKUP($A78,main!$A$3:$H$102,8,FALSE),main!$K$18:$O$18,0))))),1,0)</f>
        <v>1</v>
      </c>
      <c r="BZ78">
        <f>IF((AND(VLOOKUP(BZ$1,main!$A$3:$H$102,5,FALSE)-VLOOKUP($A78,main!$A$3:$H$102,6,FALSE)&gt;=(VLOOKUP(VLOOKUP(BZ$1,main!$A$3:$H$102,8,FALSE),main!$K$26:$M$29,2,FALSE)+VLOOKUP(VLOOKUP(BZ$1,main!$A$3:$H$102,7,FALSE),main!$K$19:$O$22,MATCH(VLOOKUP($A78,main!$A$3:$H$102,8,FALSE),main!$K$18:$O$18,0))))),1,0)</f>
        <v>0</v>
      </c>
      <c r="CA78">
        <f>IF((AND(VLOOKUP(CA$1,main!$A$3:$H$102,5,FALSE)-VLOOKUP($A78,main!$A$3:$H$102,6,FALSE)&gt;=(VLOOKUP(VLOOKUP(CA$1,main!$A$3:$H$102,8,FALSE),main!$K$26:$M$29,2,FALSE)+VLOOKUP(VLOOKUP(CA$1,main!$A$3:$H$102,7,FALSE),main!$K$19:$O$22,MATCH(VLOOKUP($A78,main!$A$3:$H$102,8,FALSE),main!$K$18:$O$18,0))))),1,0)</f>
        <v>0</v>
      </c>
      <c r="CB78">
        <f>IF((AND(VLOOKUP(CB$1,main!$A$3:$H$102,5,FALSE)-VLOOKUP($A78,main!$A$3:$H$102,6,FALSE)&gt;=(VLOOKUP(VLOOKUP(CB$1,main!$A$3:$H$102,8,FALSE),main!$K$26:$M$29,2,FALSE)+VLOOKUP(VLOOKUP(CB$1,main!$A$3:$H$102,7,FALSE),main!$K$19:$O$22,MATCH(VLOOKUP($A78,main!$A$3:$H$102,8,FALSE),main!$K$18:$O$18,0))))),1,0)</f>
        <v>1</v>
      </c>
      <c r="CC78">
        <f>IF((AND(VLOOKUP(CC$1,main!$A$3:$H$102,5,FALSE)-VLOOKUP($A78,main!$A$3:$H$102,6,FALSE)&gt;=(VLOOKUP(VLOOKUP(CC$1,main!$A$3:$H$102,8,FALSE),main!$K$26:$M$29,2,FALSE)+VLOOKUP(VLOOKUP(CC$1,main!$A$3:$H$102,7,FALSE),main!$K$19:$O$22,MATCH(VLOOKUP($A78,main!$A$3:$H$102,8,FALSE),main!$K$18:$O$18,0))))),1,0)</f>
        <v>1</v>
      </c>
      <c r="CD78">
        <f>IF((AND(VLOOKUP(CD$1,main!$A$3:$H$102,5,FALSE)-VLOOKUP($A78,main!$A$3:$H$102,6,FALSE)&gt;=(VLOOKUP(VLOOKUP(CD$1,main!$A$3:$H$102,8,FALSE),main!$K$26:$M$29,2,FALSE)+VLOOKUP(VLOOKUP(CD$1,main!$A$3:$H$102,7,FALSE),main!$K$19:$O$22,MATCH(VLOOKUP($A78,main!$A$3:$H$102,8,FALSE),main!$K$18:$O$18,0))))),1,0)</f>
        <v>1</v>
      </c>
      <c r="CE78">
        <f>IF((AND(VLOOKUP(CE$1,main!$A$3:$H$102,5,FALSE)-VLOOKUP($A78,main!$A$3:$H$102,6,FALSE)&gt;=(VLOOKUP(VLOOKUP(CE$1,main!$A$3:$H$102,8,FALSE),main!$K$26:$M$29,2,FALSE)+VLOOKUP(VLOOKUP(CE$1,main!$A$3:$H$102,7,FALSE),main!$K$19:$O$22,MATCH(VLOOKUP($A78,main!$A$3:$H$102,8,FALSE),main!$K$18:$O$18,0))))),1,0)</f>
        <v>1</v>
      </c>
      <c r="CF78">
        <f>IF((AND(VLOOKUP(CF$1,main!$A$3:$H$102,5,FALSE)-VLOOKUP($A78,main!$A$3:$H$102,6,FALSE)&gt;=(VLOOKUP(VLOOKUP(CF$1,main!$A$3:$H$102,8,FALSE),main!$K$26:$M$29,2,FALSE)+VLOOKUP(VLOOKUP(CF$1,main!$A$3:$H$102,7,FALSE),main!$K$19:$O$22,MATCH(VLOOKUP($A78,main!$A$3:$H$102,8,FALSE),main!$K$18:$O$18,0))))),1,0)</f>
        <v>1</v>
      </c>
      <c r="CG78">
        <f>IF((AND(VLOOKUP(CG$1,main!$A$3:$H$102,5,FALSE)-VLOOKUP($A78,main!$A$3:$H$102,6,FALSE)&gt;=(VLOOKUP(VLOOKUP(CG$1,main!$A$3:$H$102,8,FALSE),main!$K$26:$M$29,2,FALSE)+VLOOKUP(VLOOKUP(CG$1,main!$A$3:$H$102,7,FALSE),main!$K$19:$O$22,MATCH(VLOOKUP($A78,main!$A$3:$H$102,8,FALSE),main!$K$18:$O$18,0))))),1,0)</f>
        <v>1</v>
      </c>
      <c r="CH78">
        <f>IF((AND(VLOOKUP(CH$1,main!$A$3:$H$102,5,FALSE)-VLOOKUP($A78,main!$A$3:$H$102,6,FALSE)&gt;=(VLOOKUP(VLOOKUP(CH$1,main!$A$3:$H$102,8,FALSE),main!$K$26:$M$29,2,FALSE)+VLOOKUP(VLOOKUP(CH$1,main!$A$3:$H$102,7,FALSE),main!$K$19:$O$22,MATCH(VLOOKUP($A78,main!$A$3:$H$102,8,FALSE),main!$K$18:$O$18,0))))),1,0)</f>
        <v>1</v>
      </c>
      <c r="CI78">
        <f>IF((AND(VLOOKUP(CI$1,main!$A$3:$H$102,5,FALSE)-VLOOKUP($A78,main!$A$3:$H$102,6,FALSE)&gt;=(VLOOKUP(VLOOKUP(CI$1,main!$A$3:$H$102,8,FALSE),main!$K$26:$M$29,2,FALSE)+VLOOKUP(VLOOKUP(CI$1,main!$A$3:$H$102,7,FALSE),main!$K$19:$O$22,MATCH(VLOOKUP($A78,main!$A$3:$H$102,8,FALSE),main!$K$18:$O$18,0))))),1,0)</f>
        <v>1</v>
      </c>
      <c r="CJ78">
        <f>IF((AND(VLOOKUP(CJ$1,main!$A$3:$H$102,5,FALSE)-VLOOKUP($A78,main!$A$3:$H$102,6,FALSE)&gt;=(VLOOKUP(VLOOKUP(CJ$1,main!$A$3:$H$102,8,FALSE),main!$K$26:$M$29,2,FALSE)+VLOOKUP(VLOOKUP(CJ$1,main!$A$3:$H$102,7,FALSE),main!$K$19:$O$22,MATCH(VLOOKUP($A78,main!$A$3:$H$102,8,FALSE),main!$K$18:$O$18,0))))),1,0)</f>
        <v>1</v>
      </c>
      <c r="CK78">
        <f>IF((AND(VLOOKUP(CK$1,main!$A$3:$H$102,5,FALSE)-VLOOKUP($A78,main!$A$3:$H$102,6,FALSE)&gt;=(VLOOKUP(VLOOKUP(CK$1,main!$A$3:$H$102,8,FALSE),main!$K$26:$M$29,2,FALSE)+VLOOKUP(VLOOKUP(CK$1,main!$A$3:$H$102,7,FALSE),main!$K$19:$O$22,MATCH(VLOOKUP($A78,main!$A$3:$H$102,8,FALSE),main!$K$18:$O$18,0))))),1,0)</f>
        <v>1</v>
      </c>
      <c r="CL78">
        <f>IF((AND(VLOOKUP(CL$1,main!$A$3:$H$102,5,FALSE)-VLOOKUP($A78,main!$A$3:$H$102,6,FALSE)&gt;=(VLOOKUP(VLOOKUP(CL$1,main!$A$3:$H$102,8,FALSE),main!$K$26:$M$29,2,FALSE)+VLOOKUP(VLOOKUP(CL$1,main!$A$3:$H$102,7,FALSE),main!$K$19:$O$22,MATCH(VLOOKUP($A78,main!$A$3:$H$102,8,FALSE),main!$K$18:$O$18,0))))),1,0)</f>
        <v>1</v>
      </c>
      <c r="CM78">
        <f>IF((AND(VLOOKUP(CM$1,main!$A$3:$H$102,5,FALSE)-VLOOKUP($A78,main!$A$3:$H$102,6,FALSE)&gt;=(VLOOKUP(VLOOKUP(CM$1,main!$A$3:$H$102,8,FALSE),main!$K$26:$M$29,2,FALSE)+VLOOKUP(VLOOKUP(CM$1,main!$A$3:$H$102,7,FALSE),main!$K$19:$O$22,MATCH(VLOOKUP($A78,main!$A$3:$H$102,8,FALSE),main!$K$18:$O$18,0))))),1,0)</f>
        <v>1</v>
      </c>
      <c r="CN78">
        <f>IF((AND(VLOOKUP(CN$1,main!$A$3:$H$102,5,FALSE)-VLOOKUP($A78,main!$A$3:$H$102,6,FALSE)&gt;=(VLOOKUP(VLOOKUP(CN$1,main!$A$3:$H$102,8,FALSE),main!$K$26:$M$29,2,FALSE)+VLOOKUP(VLOOKUP(CN$1,main!$A$3:$H$102,7,FALSE),main!$K$19:$O$22,MATCH(VLOOKUP($A78,main!$A$3:$H$102,8,FALSE),main!$K$18:$O$18,0))))),1,0)</f>
        <v>1</v>
      </c>
      <c r="CO78">
        <f>IF((AND(VLOOKUP(CO$1,main!$A$3:$H$102,5,FALSE)-VLOOKUP($A78,main!$A$3:$H$102,6,FALSE)&gt;=(VLOOKUP(VLOOKUP(CO$1,main!$A$3:$H$102,8,FALSE),main!$K$26:$M$29,2,FALSE)+VLOOKUP(VLOOKUP(CO$1,main!$A$3:$H$102,7,FALSE),main!$K$19:$O$22,MATCH(VLOOKUP($A78,main!$A$3:$H$102,8,FALSE),main!$K$18:$O$18,0))))),1,0)</f>
        <v>0</v>
      </c>
      <c r="CP78">
        <f>IF((AND(VLOOKUP(CP$1,main!$A$3:$H$102,5,FALSE)-VLOOKUP($A78,main!$A$3:$H$102,6,FALSE)&gt;=(VLOOKUP(VLOOKUP(CP$1,main!$A$3:$H$102,8,FALSE),main!$K$26:$M$29,2,FALSE)+VLOOKUP(VLOOKUP(CP$1,main!$A$3:$H$102,7,FALSE),main!$K$19:$O$22,MATCH(VLOOKUP($A78,main!$A$3:$H$102,8,FALSE),main!$K$18:$O$18,0))))),1,0)</f>
        <v>1</v>
      </c>
      <c r="CQ78">
        <f>IF((AND(VLOOKUP(CQ$1,main!$A$3:$H$102,5,FALSE)-VLOOKUP($A78,main!$A$3:$H$102,6,FALSE)&gt;=(VLOOKUP(VLOOKUP(CQ$1,main!$A$3:$H$102,8,FALSE),main!$K$26:$M$29,2,FALSE)+VLOOKUP(VLOOKUP(CQ$1,main!$A$3:$H$102,7,FALSE),main!$K$19:$O$22,MATCH(VLOOKUP($A78,main!$A$3:$H$102,8,FALSE),main!$K$18:$O$18,0))))),1,0)</f>
        <v>1</v>
      </c>
      <c r="CR78">
        <f>IF((AND(VLOOKUP(CR$1,main!$A$3:$H$102,5,FALSE)-VLOOKUP($A78,main!$A$3:$H$102,6,FALSE)&gt;=(VLOOKUP(VLOOKUP(CR$1,main!$A$3:$H$102,8,FALSE),main!$K$26:$M$29,2,FALSE)+VLOOKUP(VLOOKUP(CR$1,main!$A$3:$H$102,7,FALSE),main!$K$19:$O$22,MATCH(VLOOKUP($A78,main!$A$3:$H$102,8,FALSE),main!$K$18:$O$18,0))))),1,0)</f>
        <v>1</v>
      </c>
      <c r="CS78">
        <f>IF((AND(VLOOKUP(CS$1,main!$A$3:$H$102,5,FALSE)-VLOOKUP($A78,main!$A$3:$H$102,6,FALSE)&gt;=(VLOOKUP(VLOOKUP(CS$1,main!$A$3:$H$102,8,FALSE),main!$K$26:$M$29,2,FALSE)+VLOOKUP(VLOOKUP(CS$1,main!$A$3:$H$102,7,FALSE),main!$K$19:$O$22,MATCH(VLOOKUP($A78,main!$A$3:$H$102,8,FALSE),main!$K$18:$O$18,0))))),1,0)</f>
        <v>1</v>
      </c>
      <c r="CT78">
        <f>IF((AND(VLOOKUP(CT$1,main!$A$3:$H$102,5,FALSE)-VLOOKUP($A78,main!$A$3:$H$102,6,FALSE)&gt;=(VLOOKUP(VLOOKUP(CT$1,main!$A$3:$H$102,8,FALSE),main!$K$26:$M$29,2,FALSE)+VLOOKUP(VLOOKUP(CT$1,main!$A$3:$H$102,7,FALSE),main!$K$19:$O$22,MATCH(VLOOKUP($A78,main!$A$3:$H$102,8,FALSE),main!$K$18:$O$18,0))))),1,0)</f>
        <v>0</v>
      </c>
      <c r="CU78">
        <f>IF((AND(VLOOKUP(CU$1,main!$A$3:$H$102,5,FALSE)-VLOOKUP($A78,main!$A$3:$H$102,6,FALSE)&gt;=(VLOOKUP(VLOOKUP(CU$1,main!$A$3:$H$102,8,FALSE),main!$K$26:$M$29,2,FALSE)+VLOOKUP(VLOOKUP(CU$1,main!$A$3:$H$102,7,FALSE),main!$K$19:$O$22,MATCH(VLOOKUP($A78,main!$A$3:$H$102,8,FALSE),main!$K$18:$O$18,0))))),1,0)</f>
        <v>0</v>
      </c>
      <c r="CV78">
        <f>IF((AND(VLOOKUP(CV$1,main!$A$3:$H$102,5,FALSE)-VLOOKUP($A78,main!$A$3:$H$102,6,FALSE)&gt;=(VLOOKUP(VLOOKUP(CV$1,main!$A$3:$H$102,8,FALSE),main!$K$26:$M$29,2,FALSE)+VLOOKUP(VLOOKUP(CV$1,main!$A$3:$H$102,7,FALSE),main!$K$19:$O$22,MATCH(VLOOKUP($A78,main!$A$3:$H$102,8,FALSE),main!$K$18:$O$18,0))))),1,0)</f>
        <v>1</v>
      </c>
      <c r="CW78">
        <f>IF((AND(VLOOKUP(CW$1,main!$A$3:$H$102,5,FALSE)-VLOOKUP($A78,main!$A$3:$H$102,6,FALSE)&gt;=(VLOOKUP(VLOOKUP(CW$1,main!$A$3:$H$102,8,FALSE),main!$K$26:$M$29,2,FALSE)+VLOOKUP(VLOOKUP(CW$1,main!$A$3:$H$102,7,FALSE),main!$K$19:$O$22,MATCH(VLOOKUP($A78,main!$A$3:$H$102,8,FALSE),main!$K$18:$O$18,0))))),1,0)</f>
        <v>1</v>
      </c>
      <c r="CX78">
        <f>IF((AND(VLOOKUP(CX$1,main!$A$3:$H$102,5,FALSE)-VLOOKUP($A78,main!$A$3:$H$102,6,FALSE)&gt;=(VLOOKUP(VLOOKUP(CX$1,main!$A$3:$H$102,8,FALSE),main!$K$26:$M$29,2,FALSE)+VLOOKUP(VLOOKUP(CX$1,main!$A$3:$H$102,7,FALSE),main!$K$19:$O$22,MATCH(VLOOKUP($A78,main!$A$3:$H$102,8,FALSE),main!$K$18:$O$18,0))))),1,0)</f>
        <v>1</v>
      </c>
    </row>
    <row r="79" spans="1:102" x14ac:dyDescent="0.25">
      <c r="A79" s="1">
        <v>77</v>
      </c>
      <c r="B79">
        <v>1</v>
      </c>
      <c r="C79">
        <f>IF((AND(VLOOKUP(C$1,main!$A$3:$H$102,5,FALSE)-VLOOKUP($A79,main!$A$3:$H$102,6,FALSE)&gt;=(VLOOKUP(VLOOKUP(C$1,main!$A$3:$H$102,8,FALSE),main!$K$26:$M$29,2,FALSE)+VLOOKUP(VLOOKUP(C$1,main!$A$3:$H$102,7,FALSE),main!$K$19:$O$22,MATCH(VLOOKUP($A79,main!$A$3:$H$102,8,FALSE),main!$K$18:$O$18,0))))),1,0)</f>
        <v>0</v>
      </c>
      <c r="D79">
        <f>IF((AND(VLOOKUP(D$1,main!$A$3:$H$102,5,FALSE)-VLOOKUP($A79,main!$A$3:$H$102,6,FALSE)&gt;=(VLOOKUP(VLOOKUP(D$1,main!$A$3:$H$102,8,FALSE),main!$K$26:$M$29,2,FALSE)+VLOOKUP(VLOOKUP(D$1,main!$A$3:$H$102,7,FALSE),main!$K$19:$O$22,MATCH(VLOOKUP($A79,main!$A$3:$H$102,8,FALSE),main!$K$18:$O$18,0))))),1,0)</f>
        <v>0</v>
      </c>
      <c r="E79">
        <f>IF((AND(VLOOKUP(E$1,main!$A$3:$H$102,5,FALSE)-VLOOKUP($A79,main!$A$3:$H$102,6,FALSE)&gt;=(VLOOKUP(VLOOKUP(E$1,main!$A$3:$H$102,8,FALSE),main!$K$26:$M$29,2,FALSE)+VLOOKUP(VLOOKUP(E$1,main!$A$3:$H$102,7,FALSE),main!$K$19:$O$22,MATCH(VLOOKUP($A79,main!$A$3:$H$102,8,FALSE),main!$K$18:$O$18,0))))),1,0)</f>
        <v>1</v>
      </c>
      <c r="F79">
        <f>IF((AND(VLOOKUP(F$1,main!$A$3:$H$102,5,FALSE)-VLOOKUP($A79,main!$A$3:$H$102,6,FALSE)&gt;=(VLOOKUP(VLOOKUP(F$1,main!$A$3:$H$102,8,FALSE),main!$K$26:$M$29,2,FALSE)+VLOOKUP(VLOOKUP(F$1,main!$A$3:$H$102,7,FALSE),main!$K$19:$O$22,MATCH(VLOOKUP($A79,main!$A$3:$H$102,8,FALSE),main!$K$18:$O$18,0))))),1,0)</f>
        <v>1</v>
      </c>
      <c r="G79">
        <f>IF((AND(VLOOKUP(G$1,main!$A$3:$H$102,5,FALSE)-VLOOKUP($A79,main!$A$3:$H$102,6,FALSE)&gt;=(VLOOKUP(VLOOKUP(G$1,main!$A$3:$H$102,8,FALSE),main!$K$26:$M$29,2,FALSE)+VLOOKUP(VLOOKUP(G$1,main!$A$3:$H$102,7,FALSE),main!$K$19:$O$22,MATCH(VLOOKUP($A79,main!$A$3:$H$102,8,FALSE),main!$K$18:$O$18,0))))),1,0)</f>
        <v>1</v>
      </c>
      <c r="H79">
        <f>IF((AND(VLOOKUP(H$1,main!$A$3:$H$102,5,FALSE)-VLOOKUP($A79,main!$A$3:$H$102,6,FALSE)&gt;=(VLOOKUP(VLOOKUP(H$1,main!$A$3:$H$102,8,FALSE),main!$K$26:$M$29,2,FALSE)+VLOOKUP(VLOOKUP(H$1,main!$A$3:$H$102,7,FALSE),main!$K$19:$O$22,MATCH(VLOOKUP($A79,main!$A$3:$H$102,8,FALSE),main!$K$18:$O$18,0))))),1,0)</f>
        <v>1</v>
      </c>
      <c r="I79">
        <f>IF((AND(VLOOKUP(I$1,main!$A$3:$H$102,5,FALSE)-VLOOKUP($A79,main!$A$3:$H$102,6,FALSE)&gt;=(VLOOKUP(VLOOKUP(I$1,main!$A$3:$H$102,8,FALSE),main!$K$26:$M$29,2,FALSE)+VLOOKUP(VLOOKUP(I$1,main!$A$3:$H$102,7,FALSE),main!$K$19:$O$22,MATCH(VLOOKUP($A79,main!$A$3:$H$102,8,FALSE),main!$K$18:$O$18,0))))),1,0)</f>
        <v>1</v>
      </c>
      <c r="J79">
        <f>IF((AND(VLOOKUP(J$1,main!$A$3:$H$102,5,FALSE)-VLOOKUP($A79,main!$A$3:$H$102,6,FALSE)&gt;=(VLOOKUP(VLOOKUP(J$1,main!$A$3:$H$102,8,FALSE),main!$K$26:$M$29,2,FALSE)+VLOOKUP(VLOOKUP(J$1,main!$A$3:$H$102,7,FALSE),main!$K$19:$O$22,MATCH(VLOOKUP($A79,main!$A$3:$H$102,8,FALSE),main!$K$18:$O$18,0))))),1,0)</f>
        <v>1</v>
      </c>
      <c r="K79">
        <f>IF((AND(VLOOKUP(K$1,main!$A$3:$H$102,5,FALSE)-VLOOKUP($A79,main!$A$3:$H$102,6,FALSE)&gt;=(VLOOKUP(VLOOKUP(K$1,main!$A$3:$H$102,8,FALSE),main!$K$26:$M$29,2,FALSE)+VLOOKUP(VLOOKUP(K$1,main!$A$3:$H$102,7,FALSE),main!$K$19:$O$22,MATCH(VLOOKUP($A79,main!$A$3:$H$102,8,FALSE),main!$K$18:$O$18,0))))),1,0)</f>
        <v>1</v>
      </c>
      <c r="L79">
        <f>IF((AND(VLOOKUP(L$1,main!$A$3:$H$102,5,FALSE)-VLOOKUP($A79,main!$A$3:$H$102,6,FALSE)&gt;=(VLOOKUP(VLOOKUP(L$1,main!$A$3:$H$102,8,FALSE),main!$K$26:$M$29,2,FALSE)+VLOOKUP(VLOOKUP(L$1,main!$A$3:$H$102,7,FALSE),main!$K$19:$O$22,MATCH(VLOOKUP($A79,main!$A$3:$H$102,8,FALSE),main!$K$18:$O$18,0))))),1,0)</f>
        <v>1</v>
      </c>
      <c r="M79">
        <f>IF((AND(VLOOKUP(M$1,main!$A$3:$H$102,5,FALSE)-VLOOKUP($A79,main!$A$3:$H$102,6,FALSE)&gt;=(VLOOKUP(VLOOKUP(M$1,main!$A$3:$H$102,8,FALSE),main!$K$26:$M$29,2,FALSE)+VLOOKUP(VLOOKUP(M$1,main!$A$3:$H$102,7,FALSE),main!$K$19:$O$22,MATCH(VLOOKUP($A79,main!$A$3:$H$102,8,FALSE),main!$K$18:$O$18,0))))),1,0)</f>
        <v>0</v>
      </c>
      <c r="N79">
        <f>IF((AND(VLOOKUP(N$1,main!$A$3:$H$102,5,FALSE)-VLOOKUP($A79,main!$A$3:$H$102,6,FALSE)&gt;=(VLOOKUP(VLOOKUP(N$1,main!$A$3:$H$102,8,FALSE),main!$K$26:$M$29,2,FALSE)+VLOOKUP(VLOOKUP(N$1,main!$A$3:$H$102,7,FALSE),main!$K$19:$O$22,MATCH(VLOOKUP($A79,main!$A$3:$H$102,8,FALSE),main!$K$18:$O$18,0))))),1,0)</f>
        <v>0</v>
      </c>
      <c r="O79">
        <f>IF((AND(VLOOKUP(O$1,main!$A$3:$H$102,5,FALSE)-VLOOKUP($A79,main!$A$3:$H$102,6,FALSE)&gt;=(VLOOKUP(VLOOKUP(O$1,main!$A$3:$H$102,8,FALSE),main!$K$26:$M$29,2,FALSE)+VLOOKUP(VLOOKUP(O$1,main!$A$3:$H$102,7,FALSE),main!$K$19:$O$22,MATCH(VLOOKUP($A79,main!$A$3:$H$102,8,FALSE),main!$K$18:$O$18,0))))),1,0)</f>
        <v>0</v>
      </c>
      <c r="P79">
        <f>IF((AND(VLOOKUP(P$1,main!$A$3:$H$102,5,FALSE)-VLOOKUP($A79,main!$A$3:$H$102,6,FALSE)&gt;=(VLOOKUP(VLOOKUP(P$1,main!$A$3:$H$102,8,FALSE),main!$K$26:$M$29,2,FALSE)+VLOOKUP(VLOOKUP(P$1,main!$A$3:$H$102,7,FALSE),main!$K$19:$O$22,MATCH(VLOOKUP($A79,main!$A$3:$H$102,8,FALSE),main!$K$18:$O$18,0))))),1,0)</f>
        <v>0</v>
      </c>
      <c r="Q79">
        <f>IF((AND(VLOOKUP(Q$1,main!$A$3:$H$102,5,FALSE)-VLOOKUP($A79,main!$A$3:$H$102,6,FALSE)&gt;=(VLOOKUP(VLOOKUP(Q$1,main!$A$3:$H$102,8,FALSE),main!$K$26:$M$29,2,FALSE)+VLOOKUP(VLOOKUP(Q$1,main!$A$3:$H$102,7,FALSE),main!$K$19:$O$22,MATCH(VLOOKUP($A79,main!$A$3:$H$102,8,FALSE),main!$K$18:$O$18,0))))),1,0)</f>
        <v>1</v>
      </c>
      <c r="R79">
        <f>IF((AND(VLOOKUP(R$1,main!$A$3:$H$102,5,FALSE)-VLOOKUP($A79,main!$A$3:$H$102,6,FALSE)&gt;=(VLOOKUP(VLOOKUP(R$1,main!$A$3:$H$102,8,FALSE),main!$K$26:$M$29,2,FALSE)+VLOOKUP(VLOOKUP(R$1,main!$A$3:$H$102,7,FALSE),main!$K$19:$O$22,MATCH(VLOOKUP($A79,main!$A$3:$H$102,8,FALSE),main!$K$18:$O$18,0))))),1,0)</f>
        <v>1</v>
      </c>
      <c r="S79">
        <f>IF((AND(VLOOKUP(S$1,main!$A$3:$H$102,5,FALSE)-VLOOKUP($A79,main!$A$3:$H$102,6,FALSE)&gt;=(VLOOKUP(VLOOKUP(S$1,main!$A$3:$H$102,8,FALSE),main!$K$26:$M$29,2,FALSE)+VLOOKUP(VLOOKUP(S$1,main!$A$3:$H$102,7,FALSE),main!$K$19:$O$22,MATCH(VLOOKUP($A79,main!$A$3:$H$102,8,FALSE),main!$K$18:$O$18,0))))),1,0)</f>
        <v>1</v>
      </c>
      <c r="T79">
        <f>IF((AND(VLOOKUP(T$1,main!$A$3:$H$102,5,FALSE)-VLOOKUP($A79,main!$A$3:$H$102,6,FALSE)&gt;=(VLOOKUP(VLOOKUP(T$1,main!$A$3:$H$102,8,FALSE),main!$K$26:$M$29,2,FALSE)+VLOOKUP(VLOOKUP(T$1,main!$A$3:$H$102,7,FALSE),main!$K$19:$O$22,MATCH(VLOOKUP($A79,main!$A$3:$H$102,8,FALSE),main!$K$18:$O$18,0))))),1,0)</f>
        <v>1</v>
      </c>
      <c r="U79">
        <f>IF((AND(VLOOKUP(U$1,main!$A$3:$H$102,5,FALSE)-VLOOKUP($A79,main!$A$3:$H$102,6,FALSE)&gt;=(VLOOKUP(VLOOKUP(U$1,main!$A$3:$H$102,8,FALSE),main!$K$26:$M$29,2,FALSE)+VLOOKUP(VLOOKUP(U$1,main!$A$3:$H$102,7,FALSE),main!$K$19:$O$22,MATCH(VLOOKUP($A79,main!$A$3:$H$102,8,FALSE),main!$K$18:$O$18,0))))),1,0)</f>
        <v>1</v>
      </c>
      <c r="V79">
        <f>IF((AND(VLOOKUP(V$1,main!$A$3:$H$102,5,FALSE)-VLOOKUP($A79,main!$A$3:$H$102,6,FALSE)&gt;=(VLOOKUP(VLOOKUP(V$1,main!$A$3:$H$102,8,FALSE),main!$K$26:$M$29,2,FALSE)+VLOOKUP(VLOOKUP(V$1,main!$A$3:$H$102,7,FALSE),main!$K$19:$O$22,MATCH(VLOOKUP($A79,main!$A$3:$H$102,8,FALSE),main!$K$18:$O$18,0))))),1,0)</f>
        <v>1</v>
      </c>
      <c r="W79">
        <f>IF((AND(VLOOKUP(W$1,main!$A$3:$H$102,5,FALSE)-VLOOKUP($A79,main!$A$3:$H$102,6,FALSE)&gt;=(VLOOKUP(VLOOKUP(W$1,main!$A$3:$H$102,8,FALSE),main!$K$26:$M$29,2,FALSE)+VLOOKUP(VLOOKUP(W$1,main!$A$3:$H$102,7,FALSE),main!$K$19:$O$22,MATCH(VLOOKUP($A79,main!$A$3:$H$102,8,FALSE),main!$K$18:$O$18,0))))),1,0)</f>
        <v>0</v>
      </c>
      <c r="X79">
        <f>IF((AND(VLOOKUP(X$1,main!$A$3:$H$102,5,FALSE)-VLOOKUP($A79,main!$A$3:$H$102,6,FALSE)&gt;=(VLOOKUP(VLOOKUP(X$1,main!$A$3:$H$102,8,FALSE),main!$K$26:$M$29,2,FALSE)+VLOOKUP(VLOOKUP(X$1,main!$A$3:$H$102,7,FALSE),main!$K$19:$O$22,MATCH(VLOOKUP($A79,main!$A$3:$H$102,8,FALSE),main!$K$18:$O$18,0))))),1,0)</f>
        <v>0</v>
      </c>
      <c r="Y79">
        <f>IF((AND(VLOOKUP(Y$1,main!$A$3:$H$102,5,FALSE)-VLOOKUP($A79,main!$A$3:$H$102,6,FALSE)&gt;=(VLOOKUP(VLOOKUP(Y$1,main!$A$3:$H$102,8,FALSE),main!$K$26:$M$29,2,FALSE)+VLOOKUP(VLOOKUP(Y$1,main!$A$3:$H$102,7,FALSE),main!$K$19:$O$22,MATCH(VLOOKUP($A79,main!$A$3:$H$102,8,FALSE),main!$K$18:$O$18,0))))),1,0)</f>
        <v>1</v>
      </c>
      <c r="Z79">
        <f>IF((AND(VLOOKUP(Z$1,main!$A$3:$H$102,5,FALSE)-VLOOKUP($A79,main!$A$3:$H$102,6,FALSE)&gt;=(VLOOKUP(VLOOKUP(Z$1,main!$A$3:$H$102,8,FALSE),main!$K$26:$M$29,2,FALSE)+VLOOKUP(VLOOKUP(Z$1,main!$A$3:$H$102,7,FALSE),main!$K$19:$O$22,MATCH(VLOOKUP($A79,main!$A$3:$H$102,8,FALSE),main!$K$18:$O$18,0))))),1,0)</f>
        <v>1</v>
      </c>
      <c r="AA79">
        <f>IF((AND(VLOOKUP(AA$1,main!$A$3:$H$102,5,FALSE)-VLOOKUP($A79,main!$A$3:$H$102,6,FALSE)&gt;=(VLOOKUP(VLOOKUP(AA$1,main!$A$3:$H$102,8,FALSE),main!$K$26:$M$29,2,FALSE)+VLOOKUP(VLOOKUP(AA$1,main!$A$3:$H$102,7,FALSE),main!$K$19:$O$22,MATCH(VLOOKUP($A79,main!$A$3:$H$102,8,FALSE),main!$K$18:$O$18,0))))),1,0)</f>
        <v>1</v>
      </c>
      <c r="AB79">
        <f>IF((AND(VLOOKUP(AB$1,main!$A$3:$H$102,5,FALSE)-VLOOKUP($A79,main!$A$3:$H$102,6,FALSE)&gt;=(VLOOKUP(VLOOKUP(AB$1,main!$A$3:$H$102,8,FALSE),main!$K$26:$M$29,2,FALSE)+VLOOKUP(VLOOKUP(AB$1,main!$A$3:$H$102,7,FALSE),main!$K$19:$O$22,MATCH(VLOOKUP($A79,main!$A$3:$H$102,8,FALSE),main!$K$18:$O$18,0))))),1,0)</f>
        <v>0</v>
      </c>
      <c r="AC79">
        <f>IF((AND(VLOOKUP(AC$1,main!$A$3:$H$102,5,FALSE)-VLOOKUP($A79,main!$A$3:$H$102,6,FALSE)&gt;=(VLOOKUP(VLOOKUP(AC$1,main!$A$3:$H$102,8,FALSE),main!$K$26:$M$29,2,FALSE)+VLOOKUP(VLOOKUP(AC$1,main!$A$3:$H$102,7,FALSE),main!$K$19:$O$22,MATCH(VLOOKUP($A79,main!$A$3:$H$102,8,FALSE),main!$K$18:$O$18,0))))),1,0)</f>
        <v>0</v>
      </c>
      <c r="AD79">
        <f>IF((AND(VLOOKUP(AD$1,main!$A$3:$H$102,5,FALSE)-VLOOKUP($A79,main!$A$3:$H$102,6,FALSE)&gt;=(VLOOKUP(VLOOKUP(AD$1,main!$A$3:$H$102,8,FALSE),main!$K$26:$M$29,2,FALSE)+VLOOKUP(VLOOKUP(AD$1,main!$A$3:$H$102,7,FALSE),main!$K$19:$O$22,MATCH(VLOOKUP($A79,main!$A$3:$H$102,8,FALSE),main!$K$18:$O$18,0))))),1,0)</f>
        <v>1</v>
      </c>
      <c r="AE79">
        <f>IF((AND(VLOOKUP(AE$1,main!$A$3:$H$102,5,FALSE)-VLOOKUP($A79,main!$A$3:$H$102,6,FALSE)&gt;=(VLOOKUP(VLOOKUP(AE$1,main!$A$3:$H$102,8,FALSE),main!$K$26:$M$29,2,FALSE)+VLOOKUP(VLOOKUP(AE$1,main!$A$3:$H$102,7,FALSE),main!$K$19:$O$22,MATCH(VLOOKUP($A79,main!$A$3:$H$102,8,FALSE),main!$K$18:$O$18,0))))),1,0)</f>
        <v>1</v>
      </c>
      <c r="AF79">
        <f>IF((AND(VLOOKUP(AF$1,main!$A$3:$H$102,5,FALSE)-VLOOKUP($A79,main!$A$3:$H$102,6,FALSE)&gt;=(VLOOKUP(VLOOKUP(AF$1,main!$A$3:$H$102,8,FALSE),main!$K$26:$M$29,2,FALSE)+VLOOKUP(VLOOKUP(AF$1,main!$A$3:$H$102,7,FALSE),main!$K$19:$O$22,MATCH(VLOOKUP($A79,main!$A$3:$H$102,8,FALSE),main!$K$18:$O$18,0))))),1,0)</f>
        <v>1</v>
      </c>
      <c r="AG79">
        <f>IF((AND(VLOOKUP(AG$1,main!$A$3:$H$102,5,FALSE)-VLOOKUP($A79,main!$A$3:$H$102,6,FALSE)&gt;=(VLOOKUP(VLOOKUP(AG$1,main!$A$3:$H$102,8,FALSE),main!$K$26:$M$29,2,FALSE)+VLOOKUP(VLOOKUP(AG$1,main!$A$3:$H$102,7,FALSE),main!$K$19:$O$22,MATCH(VLOOKUP($A79,main!$A$3:$H$102,8,FALSE),main!$K$18:$O$18,0))))),1,0)</f>
        <v>0</v>
      </c>
      <c r="AH79">
        <f>IF((AND(VLOOKUP(AH$1,main!$A$3:$H$102,5,FALSE)-VLOOKUP($A79,main!$A$3:$H$102,6,FALSE)&gt;=(VLOOKUP(VLOOKUP(AH$1,main!$A$3:$H$102,8,FALSE),main!$K$26:$M$29,2,FALSE)+VLOOKUP(VLOOKUP(AH$1,main!$A$3:$H$102,7,FALSE),main!$K$19:$O$22,MATCH(VLOOKUP($A79,main!$A$3:$H$102,8,FALSE),main!$K$18:$O$18,0))))),1,0)</f>
        <v>0</v>
      </c>
      <c r="AI79">
        <f>IF((AND(VLOOKUP(AI$1,main!$A$3:$H$102,5,FALSE)-VLOOKUP($A79,main!$A$3:$H$102,6,FALSE)&gt;=(VLOOKUP(VLOOKUP(AI$1,main!$A$3:$H$102,8,FALSE),main!$K$26:$M$29,2,FALSE)+VLOOKUP(VLOOKUP(AI$1,main!$A$3:$H$102,7,FALSE),main!$K$19:$O$22,MATCH(VLOOKUP($A79,main!$A$3:$H$102,8,FALSE),main!$K$18:$O$18,0))))),1,0)</f>
        <v>1</v>
      </c>
      <c r="AJ79">
        <f>IF((AND(VLOOKUP(AJ$1,main!$A$3:$H$102,5,FALSE)-VLOOKUP($A79,main!$A$3:$H$102,6,FALSE)&gt;=(VLOOKUP(VLOOKUP(AJ$1,main!$A$3:$H$102,8,FALSE),main!$K$26:$M$29,2,FALSE)+VLOOKUP(VLOOKUP(AJ$1,main!$A$3:$H$102,7,FALSE),main!$K$19:$O$22,MATCH(VLOOKUP($A79,main!$A$3:$H$102,8,FALSE),main!$K$18:$O$18,0))))),1,0)</f>
        <v>1</v>
      </c>
      <c r="AK79">
        <f>IF((AND(VLOOKUP(AK$1,main!$A$3:$H$102,5,FALSE)-VLOOKUP($A79,main!$A$3:$H$102,6,FALSE)&gt;=(VLOOKUP(VLOOKUP(AK$1,main!$A$3:$H$102,8,FALSE),main!$K$26:$M$29,2,FALSE)+VLOOKUP(VLOOKUP(AK$1,main!$A$3:$H$102,7,FALSE),main!$K$19:$O$22,MATCH(VLOOKUP($A79,main!$A$3:$H$102,8,FALSE),main!$K$18:$O$18,0))))),1,0)</f>
        <v>1</v>
      </c>
      <c r="AL79">
        <f>IF((AND(VLOOKUP(AL$1,main!$A$3:$H$102,5,FALSE)-VLOOKUP($A79,main!$A$3:$H$102,6,FALSE)&gt;=(VLOOKUP(VLOOKUP(AL$1,main!$A$3:$H$102,8,FALSE),main!$K$26:$M$29,2,FALSE)+VLOOKUP(VLOOKUP(AL$1,main!$A$3:$H$102,7,FALSE),main!$K$19:$O$22,MATCH(VLOOKUP($A79,main!$A$3:$H$102,8,FALSE),main!$K$18:$O$18,0))))),1,0)</f>
        <v>1</v>
      </c>
      <c r="AM79">
        <f>IF((AND(VLOOKUP(AM$1,main!$A$3:$H$102,5,FALSE)-VLOOKUP($A79,main!$A$3:$H$102,6,FALSE)&gt;=(VLOOKUP(VLOOKUP(AM$1,main!$A$3:$H$102,8,FALSE),main!$K$26:$M$29,2,FALSE)+VLOOKUP(VLOOKUP(AM$1,main!$A$3:$H$102,7,FALSE),main!$K$19:$O$22,MATCH(VLOOKUP($A79,main!$A$3:$H$102,8,FALSE),main!$K$18:$O$18,0))))),1,0)</f>
        <v>1</v>
      </c>
      <c r="AN79">
        <f>IF((AND(VLOOKUP(AN$1,main!$A$3:$H$102,5,FALSE)-VLOOKUP($A79,main!$A$3:$H$102,6,FALSE)&gt;=(VLOOKUP(VLOOKUP(AN$1,main!$A$3:$H$102,8,FALSE),main!$K$26:$M$29,2,FALSE)+VLOOKUP(VLOOKUP(AN$1,main!$A$3:$H$102,7,FALSE),main!$K$19:$O$22,MATCH(VLOOKUP($A79,main!$A$3:$H$102,8,FALSE),main!$K$18:$O$18,0))))),1,0)</f>
        <v>1</v>
      </c>
      <c r="AO79">
        <f>IF((AND(VLOOKUP(AO$1,main!$A$3:$H$102,5,FALSE)-VLOOKUP($A79,main!$A$3:$H$102,6,FALSE)&gt;=(VLOOKUP(VLOOKUP(AO$1,main!$A$3:$H$102,8,FALSE),main!$K$26:$M$29,2,FALSE)+VLOOKUP(VLOOKUP(AO$1,main!$A$3:$H$102,7,FALSE),main!$K$19:$O$22,MATCH(VLOOKUP($A79,main!$A$3:$H$102,8,FALSE),main!$K$18:$O$18,0))))),1,0)</f>
        <v>0</v>
      </c>
      <c r="AP79">
        <f>IF((AND(VLOOKUP(AP$1,main!$A$3:$H$102,5,FALSE)-VLOOKUP($A79,main!$A$3:$H$102,6,FALSE)&gt;=(VLOOKUP(VLOOKUP(AP$1,main!$A$3:$H$102,8,FALSE),main!$K$26:$M$29,2,FALSE)+VLOOKUP(VLOOKUP(AP$1,main!$A$3:$H$102,7,FALSE),main!$K$19:$O$22,MATCH(VLOOKUP($A79,main!$A$3:$H$102,8,FALSE),main!$K$18:$O$18,0))))),1,0)</f>
        <v>1</v>
      </c>
      <c r="AQ79">
        <f>IF((AND(VLOOKUP(AQ$1,main!$A$3:$H$102,5,FALSE)-VLOOKUP($A79,main!$A$3:$H$102,6,FALSE)&gt;=(VLOOKUP(VLOOKUP(AQ$1,main!$A$3:$H$102,8,FALSE),main!$K$26:$M$29,2,FALSE)+VLOOKUP(VLOOKUP(AQ$1,main!$A$3:$H$102,7,FALSE),main!$K$19:$O$22,MATCH(VLOOKUP($A79,main!$A$3:$H$102,8,FALSE),main!$K$18:$O$18,0))))),1,0)</f>
        <v>0</v>
      </c>
      <c r="AR79">
        <f>IF((AND(VLOOKUP(AR$1,main!$A$3:$H$102,5,FALSE)-VLOOKUP($A79,main!$A$3:$H$102,6,FALSE)&gt;=(VLOOKUP(VLOOKUP(AR$1,main!$A$3:$H$102,8,FALSE),main!$K$26:$M$29,2,FALSE)+VLOOKUP(VLOOKUP(AR$1,main!$A$3:$H$102,7,FALSE),main!$K$19:$O$22,MATCH(VLOOKUP($A79,main!$A$3:$H$102,8,FALSE),main!$K$18:$O$18,0))))),1,0)</f>
        <v>0</v>
      </c>
      <c r="AS79">
        <f>IF((AND(VLOOKUP(AS$1,main!$A$3:$H$102,5,FALSE)-VLOOKUP($A79,main!$A$3:$H$102,6,FALSE)&gt;=(VLOOKUP(VLOOKUP(AS$1,main!$A$3:$H$102,8,FALSE),main!$K$26:$M$29,2,FALSE)+VLOOKUP(VLOOKUP(AS$1,main!$A$3:$H$102,7,FALSE),main!$K$19:$O$22,MATCH(VLOOKUP($A79,main!$A$3:$H$102,8,FALSE),main!$K$18:$O$18,0))))),1,0)</f>
        <v>1</v>
      </c>
      <c r="AT79">
        <f>IF((AND(VLOOKUP(AT$1,main!$A$3:$H$102,5,FALSE)-VLOOKUP($A79,main!$A$3:$H$102,6,FALSE)&gt;=(VLOOKUP(VLOOKUP(AT$1,main!$A$3:$H$102,8,FALSE),main!$K$26:$M$29,2,FALSE)+VLOOKUP(VLOOKUP(AT$1,main!$A$3:$H$102,7,FALSE),main!$K$19:$O$22,MATCH(VLOOKUP($A79,main!$A$3:$H$102,8,FALSE),main!$K$18:$O$18,0))))),1,0)</f>
        <v>1</v>
      </c>
      <c r="AU79">
        <f>IF((AND(VLOOKUP(AU$1,main!$A$3:$H$102,5,FALSE)-VLOOKUP($A79,main!$A$3:$H$102,6,FALSE)&gt;=(VLOOKUP(VLOOKUP(AU$1,main!$A$3:$H$102,8,FALSE),main!$K$26:$M$29,2,FALSE)+VLOOKUP(VLOOKUP(AU$1,main!$A$3:$H$102,7,FALSE),main!$K$19:$O$22,MATCH(VLOOKUP($A79,main!$A$3:$H$102,8,FALSE),main!$K$18:$O$18,0))))),1,0)</f>
        <v>0</v>
      </c>
      <c r="AV79">
        <f>IF((AND(VLOOKUP(AV$1,main!$A$3:$H$102,5,FALSE)-VLOOKUP($A79,main!$A$3:$H$102,6,FALSE)&gt;=(VLOOKUP(VLOOKUP(AV$1,main!$A$3:$H$102,8,FALSE),main!$K$26:$M$29,2,FALSE)+VLOOKUP(VLOOKUP(AV$1,main!$A$3:$H$102,7,FALSE),main!$K$19:$O$22,MATCH(VLOOKUP($A79,main!$A$3:$H$102,8,FALSE),main!$K$18:$O$18,0))))),1,0)</f>
        <v>0</v>
      </c>
      <c r="AW79">
        <f>IF((AND(VLOOKUP(AW$1,main!$A$3:$H$102,5,FALSE)-VLOOKUP($A79,main!$A$3:$H$102,6,FALSE)&gt;=(VLOOKUP(VLOOKUP(AW$1,main!$A$3:$H$102,8,FALSE),main!$K$26:$M$29,2,FALSE)+VLOOKUP(VLOOKUP(AW$1,main!$A$3:$H$102,7,FALSE),main!$K$19:$O$22,MATCH(VLOOKUP($A79,main!$A$3:$H$102,8,FALSE),main!$K$18:$O$18,0))))),1,0)</f>
        <v>1</v>
      </c>
      <c r="AX79">
        <f>IF((AND(VLOOKUP(AX$1,main!$A$3:$H$102,5,FALSE)-VLOOKUP($A79,main!$A$3:$H$102,6,FALSE)&gt;=(VLOOKUP(VLOOKUP(AX$1,main!$A$3:$H$102,8,FALSE),main!$K$26:$M$29,2,FALSE)+VLOOKUP(VLOOKUP(AX$1,main!$A$3:$H$102,7,FALSE),main!$K$19:$O$22,MATCH(VLOOKUP($A79,main!$A$3:$H$102,8,FALSE),main!$K$18:$O$18,0))))),1,0)</f>
        <v>1</v>
      </c>
      <c r="AY79">
        <f>IF((AND(VLOOKUP(AY$1,main!$A$3:$H$102,5,FALSE)-VLOOKUP($A79,main!$A$3:$H$102,6,FALSE)&gt;=(VLOOKUP(VLOOKUP(AY$1,main!$A$3:$H$102,8,FALSE),main!$K$26:$M$29,2,FALSE)+VLOOKUP(VLOOKUP(AY$1,main!$A$3:$H$102,7,FALSE),main!$K$19:$O$22,MATCH(VLOOKUP($A79,main!$A$3:$H$102,8,FALSE),main!$K$18:$O$18,0))))),1,0)</f>
        <v>0</v>
      </c>
      <c r="AZ79">
        <f>IF((AND(VLOOKUP(AZ$1,main!$A$3:$H$102,5,FALSE)-VLOOKUP($A79,main!$A$3:$H$102,6,FALSE)&gt;=(VLOOKUP(VLOOKUP(AZ$1,main!$A$3:$H$102,8,FALSE),main!$K$26:$M$29,2,FALSE)+VLOOKUP(VLOOKUP(AZ$1,main!$A$3:$H$102,7,FALSE),main!$K$19:$O$22,MATCH(VLOOKUP($A79,main!$A$3:$H$102,8,FALSE),main!$K$18:$O$18,0))))),1,0)</f>
        <v>1</v>
      </c>
      <c r="BA79">
        <f>IF((AND(VLOOKUP(BA$1,main!$A$3:$H$102,5,FALSE)-VLOOKUP($A79,main!$A$3:$H$102,6,FALSE)&gt;=(VLOOKUP(VLOOKUP(BA$1,main!$A$3:$H$102,8,FALSE),main!$K$26:$M$29,2,FALSE)+VLOOKUP(VLOOKUP(BA$1,main!$A$3:$H$102,7,FALSE),main!$K$19:$O$22,MATCH(VLOOKUP($A79,main!$A$3:$H$102,8,FALSE),main!$K$18:$O$18,0))))),1,0)</f>
        <v>0</v>
      </c>
      <c r="BB79">
        <f>IF((AND(VLOOKUP(BB$1,main!$A$3:$H$102,5,FALSE)-VLOOKUP($A79,main!$A$3:$H$102,6,FALSE)&gt;=(VLOOKUP(VLOOKUP(BB$1,main!$A$3:$H$102,8,FALSE),main!$K$26:$M$29,2,FALSE)+VLOOKUP(VLOOKUP(BB$1,main!$A$3:$H$102,7,FALSE),main!$K$19:$O$22,MATCH(VLOOKUP($A79,main!$A$3:$H$102,8,FALSE),main!$K$18:$O$18,0))))),1,0)</f>
        <v>1</v>
      </c>
      <c r="BC79">
        <f>IF((AND(VLOOKUP(BC$1,main!$A$3:$H$102,5,FALSE)-VLOOKUP($A79,main!$A$3:$H$102,6,FALSE)&gt;=(VLOOKUP(VLOOKUP(BC$1,main!$A$3:$H$102,8,FALSE),main!$K$26:$M$29,2,FALSE)+VLOOKUP(VLOOKUP(BC$1,main!$A$3:$H$102,7,FALSE),main!$K$19:$O$22,MATCH(VLOOKUP($A79,main!$A$3:$H$102,8,FALSE),main!$K$18:$O$18,0))))),1,0)</f>
        <v>1</v>
      </c>
      <c r="BD79">
        <f>IF((AND(VLOOKUP(BD$1,main!$A$3:$H$102,5,FALSE)-VLOOKUP($A79,main!$A$3:$H$102,6,FALSE)&gt;=(VLOOKUP(VLOOKUP(BD$1,main!$A$3:$H$102,8,FALSE),main!$K$26:$M$29,2,FALSE)+VLOOKUP(VLOOKUP(BD$1,main!$A$3:$H$102,7,FALSE),main!$K$19:$O$22,MATCH(VLOOKUP($A79,main!$A$3:$H$102,8,FALSE),main!$K$18:$O$18,0))))),1,0)</f>
        <v>1</v>
      </c>
      <c r="BE79">
        <f>IF((AND(VLOOKUP(BE$1,main!$A$3:$H$102,5,FALSE)-VLOOKUP($A79,main!$A$3:$H$102,6,FALSE)&gt;=(VLOOKUP(VLOOKUP(BE$1,main!$A$3:$H$102,8,FALSE),main!$K$26:$M$29,2,FALSE)+VLOOKUP(VLOOKUP(BE$1,main!$A$3:$H$102,7,FALSE),main!$K$19:$O$22,MATCH(VLOOKUP($A79,main!$A$3:$H$102,8,FALSE),main!$K$18:$O$18,0))))),1,0)</f>
        <v>1</v>
      </c>
      <c r="BF79">
        <f>IF((AND(VLOOKUP(BF$1,main!$A$3:$H$102,5,FALSE)-VLOOKUP($A79,main!$A$3:$H$102,6,FALSE)&gt;=(VLOOKUP(VLOOKUP(BF$1,main!$A$3:$H$102,8,FALSE),main!$K$26:$M$29,2,FALSE)+VLOOKUP(VLOOKUP(BF$1,main!$A$3:$H$102,7,FALSE),main!$K$19:$O$22,MATCH(VLOOKUP($A79,main!$A$3:$H$102,8,FALSE),main!$K$18:$O$18,0))))),1,0)</f>
        <v>0</v>
      </c>
      <c r="BG79">
        <f>IF((AND(VLOOKUP(BG$1,main!$A$3:$H$102,5,FALSE)-VLOOKUP($A79,main!$A$3:$H$102,6,FALSE)&gt;=(VLOOKUP(VLOOKUP(BG$1,main!$A$3:$H$102,8,FALSE),main!$K$26:$M$29,2,FALSE)+VLOOKUP(VLOOKUP(BG$1,main!$A$3:$H$102,7,FALSE),main!$K$19:$O$22,MATCH(VLOOKUP($A79,main!$A$3:$H$102,8,FALSE),main!$K$18:$O$18,0))))),1,0)</f>
        <v>0</v>
      </c>
      <c r="BH79">
        <f>IF((AND(VLOOKUP(BH$1,main!$A$3:$H$102,5,FALSE)-VLOOKUP($A79,main!$A$3:$H$102,6,FALSE)&gt;=(VLOOKUP(VLOOKUP(BH$1,main!$A$3:$H$102,8,FALSE),main!$K$26:$M$29,2,FALSE)+VLOOKUP(VLOOKUP(BH$1,main!$A$3:$H$102,7,FALSE),main!$K$19:$O$22,MATCH(VLOOKUP($A79,main!$A$3:$H$102,8,FALSE),main!$K$18:$O$18,0))))),1,0)</f>
        <v>1</v>
      </c>
      <c r="BI79">
        <f>IF((AND(VLOOKUP(BI$1,main!$A$3:$H$102,5,FALSE)-VLOOKUP($A79,main!$A$3:$H$102,6,FALSE)&gt;=(VLOOKUP(VLOOKUP(BI$1,main!$A$3:$H$102,8,FALSE),main!$K$26:$M$29,2,FALSE)+VLOOKUP(VLOOKUP(BI$1,main!$A$3:$H$102,7,FALSE),main!$K$19:$O$22,MATCH(VLOOKUP($A79,main!$A$3:$H$102,8,FALSE),main!$K$18:$O$18,0))))),1,0)</f>
        <v>1</v>
      </c>
      <c r="BJ79">
        <f>IF((AND(VLOOKUP(BJ$1,main!$A$3:$H$102,5,FALSE)-VLOOKUP($A79,main!$A$3:$H$102,6,FALSE)&gt;=(VLOOKUP(VLOOKUP(BJ$1,main!$A$3:$H$102,8,FALSE),main!$K$26:$M$29,2,FALSE)+VLOOKUP(VLOOKUP(BJ$1,main!$A$3:$H$102,7,FALSE),main!$K$19:$O$22,MATCH(VLOOKUP($A79,main!$A$3:$H$102,8,FALSE),main!$K$18:$O$18,0))))),1,0)</f>
        <v>1</v>
      </c>
      <c r="BK79">
        <f>IF((AND(VLOOKUP(BK$1,main!$A$3:$H$102,5,FALSE)-VLOOKUP($A79,main!$A$3:$H$102,6,FALSE)&gt;=(VLOOKUP(VLOOKUP(BK$1,main!$A$3:$H$102,8,FALSE),main!$K$26:$M$29,2,FALSE)+VLOOKUP(VLOOKUP(BK$1,main!$A$3:$H$102,7,FALSE),main!$K$19:$O$22,MATCH(VLOOKUP($A79,main!$A$3:$H$102,8,FALSE),main!$K$18:$O$18,0))))),1,0)</f>
        <v>0</v>
      </c>
      <c r="BL79">
        <f>IF((AND(VLOOKUP(BL$1,main!$A$3:$H$102,5,FALSE)-VLOOKUP($A79,main!$A$3:$H$102,6,FALSE)&gt;=(VLOOKUP(VLOOKUP(BL$1,main!$A$3:$H$102,8,FALSE),main!$K$26:$M$29,2,FALSE)+VLOOKUP(VLOOKUP(BL$1,main!$A$3:$H$102,7,FALSE),main!$K$19:$O$22,MATCH(VLOOKUP($A79,main!$A$3:$H$102,8,FALSE),main!$K$18:$O$18,0))))),1,0)</f>
        <v>0</v>
      </c>
      <c r="BM79">
        <f>IF((AND(VLOOKUP(BM$1,main!$A$3:$H$102,5,FALSE)-VLOOKUP($A79,main!$A$3:$H$102,6,FALSE)&gt;=(VLOOKUP(VLOOKUP(BM$1,main!$A$3:$H$102,8,FALSE),main!$K$26:$M$29,2,FALSE)+VLOOKUP(VLOOKUP(BM$1,main!$A$3:$H$102,7,FALSE),main!$K$19:$O$22,MATCH(VLOOKUP($A79,main!$A$3:$H$102,8,FALSE),main!$K$18:$O$18,0))))),1,0)</f>
        <v>0</v>
      </c>
      <c r="BN79">
        <f>IF((AND(VLOOKUP(BN$1,main!$A$3:$H$102,5,FALSE)-VLOOKUP($A79,main!$A$3:$H$102,6,FALSE)&gt;=(VLOOKUP(VLOOKUP(BN$1,main!$A$3:$H$102,8,FALSE),main!$K$26:$M$29,2,FALSE)+VLOOKUP(VLOOKUP(BN$1,main!$A$3:$H$102,7,FALSE),main!$K$19:$O$22,MATCH(VLOOKUP($A79,main!$A$3:$H$102,8,FALSE),main!$K$18:$O$18,0))))),1,0)</f>
        <v>1</v>
      </c>
      <c r="BO79">
        <f>IF((AND(VLOOKUP(BO$1,main!$A$3:$H$102,5,FALSE)-VLOOKUP($A79,main!$A$3:$H$102,6,FALSE)&gt;=(VLOOKUP(VLOOKUP(BO$1,main!$A$3:$H$102,8,FALSE),main!$K$26:$M$29,2,FALSE)+VLOOKUP(VLOOKUP(BO$1,main!$A$3:$H$102,7,FALSE),main!$K$19:$O$22,MATCH(VLOOKUP($A79,main!$A$3:$H$102,8,FALSE),main!$K$18:$O$18,0))))),1,0)</f>
        <v>0</v>
      </c>
      <c r="BP79">
        <f>IF((AND(VLOOKUP(BP$1,main!$A$3:$H$102,5,FALSE)-VLOOKUP($A79,main!$A$3:$H$102,6,FALSE)&gt;=(VLOOKUP(VLOOKUP(BP$1,main!$A$3:$H$102,8,FALSE),main!$K$26:$M$29,2,FALSE)+VLOOKUP(VLOOKUP(BP$1,main!$A$3:$H$102,7,FALSE),main!$K$19:$O$22,MATCH(VLOOKUP($A79,main!$A$3:$H$102,8,FALSE),main!$K$18:$O$18,0))))),1,0)</f>
        <v>0</v>
      </c>
      <c r="BQ79">
        <f>IF((AND(VLOOKUP(BQ$1,main!$A$3:$H$102,5,FALSE)-VLOOKUP($A79,main!$A$3:$H$102,6,FALSE)&gt;=(VLOOKUP(VLOOKUP(BQ$1,main!$A$3:$H$102,8,FALSE),main!$K$26:$M$29,2,FALSE)+VLOOKUP(VLOOKUP(BQ$1,main!$A$3:$H$102,7,FALSE),main!$K$19:$O$22,MATCH(VLOOKUP($A79,main!$A$3:$H$102,8,FALSE),main!$K$18:$O$18,0))))),1,0)</f>
        <v>1</v>
      </c>
      <c r="BR79">
        <f>IF((AND(VLOOKUP(BR$1,main!$A$3:$H$102,5,FALSE)-VLOOKUP($A79,main!$A$3:$H$102,6,FALSE)&gt;=(VLOOKUP(VLOOKUP(BR$1,main!$A$3:$H$102,8,FALSE),main!$K$26:$M$29,2,FALSE)+VLOOKUP(VLOOKUP(BR$1,main!$A$3:$H$102,7,FALSE),main!$K$19:$O$22,MATCH(VLOOKUP($A79,main!$A$3:$H$102,8,FALSE),main!$K$18:$O$18,0))))),1,0)</f>
        <v>1</v>
      </c>
      <c r="BS79">
        <f>IF((AND(VLOOKUP(BS$1,main!$A$3:$H$102,5,FALSE)-VLOOKUP($A79,main!$A$3:$H$102,6,FALSE)&gt;=(VLOOKUP(VLOOKUP(BS$1,main!$A$3:$H$102,8,FALSE),main!$K$26:$M$29,2,FALSE)+VLOOKUP(VLOOKUP(BS$1,main!$A$3:$H$102,7,FALSE),main!$K$19:$O$22,MATCH(VLOOKUP($A79,main!$A$3:$H$102,8,FALSE),main!$K$18:$O$18,0))))),1,0)</f>
        <v>1</v>
      </c>
      <c r="BT79">
        <f>IF((AND(VLOOKUP(BT$1,main!$A$3:$H$102,5,FALSE)-VLOOKUP($A79,main!$A$3:$H$102,6,FALSE)&gt;=(VLOOKUP(VLOOKUP(BT$1,main!$A$3:$H$102,8,FALSE),main!$K$26:$M$29,2,FALSE)+VLOOKUP(VLOOKUP(BT$1,main!$A$3:$H$102,7,FALSE),main!$K$19:$O$22,MATCH(VLOOKUP($A79,main!$A$3:$H$102,8,FALSE),main!$K$18:$O$18,0))))),1,0)</f>
        <v>1</v>
      </c>
      <c r="BU79">
        <f>IF((AND(VLOOKUP(BU$1,main!$A$3:$H$102,5,FALSE)-VLOOKUP($A79,main!$A$3:$H$102,6,FALSE)&gt;=(VLOOKUP(VLOOKUP(BU$1,main!$A$3:$H$102,8,FALSE),main!$K$26:$M$29,2,FALSE)+VLOOKUP(VLOOKUP(BU$1,main!$A$3:$H$102,7,FALSE),main!$K$19:$O$22,MATCH(VLOOKUP($A79,main!$A$3:$H$102,8,FALSE),main!$K$18:$O$18,0))))),1,0)</f>
        <v>0</v>
      </c>
      <c r="BV79">
        <f>IF((AND(VLOOKUP(BV$1,main!$A$3:$H$102,5,FALSE)-VLOOKUP($A79,main!$A$3:$H$102,6,FALSE)&gt;=(VLOOKUP(VLOOKUP(BV$1,main!$A$3:$H$102,8,FALSE),main!$K$26:$M$29,2,FALSE)+VLOOKUP(VLOOKUP(BV$1,main!$A$3:$H$102,7,FALSE),main!$K$19:$O$22,MATCH(VLOOKUP($A79,main!$A$3:$H$102,8,FALSE),main!$K$18:$O$18,0))))),1,0)</f>
        <v>0</v>
      </c>
      <c r="BW79">
        <f>IF((AND(VLOOKUP(BW$1,main!$A$3:$H$102,5,FALSE)-VLOOKUP($A79,main!$A$3:$H$102,6,FALSE)&gt;=(VLOOKUP(VLOOKUP(BW$1,main!$A$3:$H$102,8,FALSE),main!$K$26:$M$29,2,FALSE)+VLOOKUP(VLOOKUP(BW$1,main!$A$3:$H$102,7,FALSE),main!$K$19:$O$22,MATCH(VLOOKUP($A79,main!$A$3:$H$102,8,FALSE),main!$K$18:$O$18,0))))),1,0)</f>
        <v>0</v>
      </c>
      <c r="BX79">
        <f>IF((AND(VLOOKUP(BX$1,main!$A$3:$H$102,5,FALSE)-VLOOKUP($A79,main!$A$3:$H$102,6,FALSE)&gt;=(VLOOKUP(VLOOKUP(BX$1,main!$A$3:$H$102,8,FALSE),main!$K$26:$M$29,2,FALSE)+VLOOKUP(VLOOKUP(BX$1,main!$A$3:$H$102,7,FALSE),main!$K$19:$O$22,MATCH(VLOOKUP($A79,main!$A$3:$H$102,8,FALSE),main!$K$18:$O$18,0))))),1,0)</f>
        <v>1</v>
      </c>
      <c r="BY79">
        <f>IF((AND(VLOOKUP(BY$1,main!$A$3:$H$102,5,FALSE)-VLOOKUP($A79,main!$A$3:$H$102,6,FALSE)&gt;=(VLOOKUP(VLOOKUP(BY$1,main!$A$3:$H$102,8,FALSE),main!$K$26:$M$29,2,FALSE)+VLOOKUP(VLOOKUP(BY$1,main!$A$3:$H$102,7,FALSE),main!$K$19:$O$22,MATCH(VLOOKUP($A79,main!$A$3:$H$102,8,FALSE),main!$K$18:$O$18,0))))),1,0)</f>
        <v>1</v>
      </c>
      <c r="BZ79">
        <f>IF((AND(VLOOKUP(BZ$1,main!$A$3:$H$102,5,FALSE)-VLOOKUP($A79,main!$A$3:$H$102,6,FALSE)&gt;=(VLOOKUP(VLOOKUP(BZ$1,main!$A$3:$H$102,8,FALSE),main!$K$26:$M$29,2,FALSE)+VLOOKUP(VLOOKUP(BZ$1,main!$A$3:$H$102,7,FALSE),main!$K$19:$O$22,MATCH(VLOOKUP($A79,main!$A$3:$H$102,8,FALSE),main!$K$18:$O$18,0))))),1,0)</f>
        <v>0</v>
      </c>
      <c r="CA79">
        <f>IF((AND(VLOOKUP(CA$1,main!$A$3:$H$102,5,FALSE)-VLOOKUP($A79,main!$A$3:$H$102,6,FALSE)&gt;=(VLOOKUP(VLOOKUP(CA$1,main!$A$3:$H$102,8,FALSE),main!$K$26:$M$29,2,FALSE)+VLOOKUP(VLOOKUP(CA$1,main!$A$3:$H$102,7,FALSE),main!$K$19:$O$22,MATCH(VLOOKUP($A79,main!$A$3:$H$102,8,FALSE),main!$K$18:$O$18,0))))),1,0)</f>
        <v>0</v>
      </c>
      <c r="CB79">
        <f>IF((AND(VLOOKUP(CB$1,main!$A$3:$H$102,5,FALSE)-VLOOKUP($A79,main!$A$3:$H$102,6,FALSE)&gt;=(VLOOKUP(VLOOKUP(CB$1,main!$A$3:$H$102,8,FALSE),main!$K$26:$M$29,2,FALSE)+VLOOKUP(VLOOKUP(CB$1,main!$A$3:$H$102,7,FALSE),main!$K$19:$O$22,MATCH(VLOOKUP($A79,main!$A$3:$H$102,8,FALSE),main!$K$18:$O$18,0))))),1,0)</f>
        <v>1</v>
      </c>
      <c r="CC79">
        <f>IF((AND(VLOOKUP(CC$1,main!$A$3:$H$102,5,FALSE)-VLOOKUP($A79,main!$A$3:$H$102,6,FALSE)&gt;=(VLOOKUP(VLOOKUP(CC$1,main!$A$3:$H$102,8,FALSE),main!$K$26:$M$29,2,FALSE)+VLOOKUP(VLOOKUP(CC$1,main!$A$3:$H$102,7,FALSE),main!$K$19:$O$22,MATCH(VLOOKUP($A79,main!$A$3:$H$102,8,FALSE),main!$K$18:$O$18,0))))),1,0)</f>
        <v>1</v>
      </c>
      <c r="CD79">
        <f>IF((AND(VLOOKUP(CD$1,main!$A$3:$H$102,5,FALSE)-VLOOKUP($A79,main!$A$3:$H$102,6,FALSE)&gt;=(VLOOKUP(VLOOKUP(CD$1,main!$A$3:$H$102,8,FALSE),main!$K$26:$M$29,2,FALSE)+VLOOKUP(VLOOKUP(CD$1,main!$A$3:$H$102,7,FALSE),main!$K$19:$O$22,MATCH(VLOOKUP($A79,main!$A$3:$H$102,8,FALSE),main!$K$18:$O$18,0))))),1,0)</f>
        <v>1</v>
      </c>
      <c r="CE79">
        <f>IF((AND(VLOOKUP(CE$1,main!$A$3:$H$102,5,FALSE)-VLOOKUP($A79,main!$A$3:$H$102,6,FALSE)&gt;=(VLOOKUP(VLOOKUP(CE$1,main!$A$3:$H$102,8,FALSE),main!$K$26:$M$29,2,FALSE)+VLOOKUP(VLOOKUP(CE$1,main!$A$3:$H$102,7,FALSE),main!$K$19:$O$22,MATCH(VLOOKUP($A79,main!$A$3:$H$102,8,FALSE),main!$K$18:$O$18,0))))),1,0)</f>
        <v>1</v>
      </c>
      <c r="CF79">
        <f>IF((AND(VLOOKUP(CF$1,main!$A$3:$H$102,5,FALSE)-VLOOKUP($A79,main!$A$3:$H$102,6,FALSE)&gt;=(VLOOKUP(VLOOKUP(CF$1,main!$A$3:$H$102,8,FALSE),main!$K$26:$M$29,2,FALSE)+VLOOKUP(VLOOKUP(CF$1,main!$A$3:$H$102,7,FALSE),main!$K$19:$O$22,MATCH(VLOOKUP($A79,main!$A$3:$H$102,8,FALSE),main!$K$18:$O$18,0))))),1,0)</f>
        <v>1</v>
      </c>
      <c r="CG79">
        <f>IF((AND(VLOOKUP(CG$1,main!$A$3:$H$102,5,FALSE)-VLOOKUP($A79,main!$A$3:$H$102,6,FALSE)&gt;=(VLOOKUP(VLOOKUP(CG$1,main!$A$3:$H$102,8,FALSE),main!$K$26:$M$29,2,FALSE)+VLOOKUP(VLOOKUP(CG$1,main!$A$3:$H$102,7,FALSE),main!$K$19:$O$22,MATCH(VLOOKUP($A79,main!$A$3:$H$102,8,FALSE),main!$K$18:$O$18,0))))),1,0)</f>
        <v>1</v>
      </c>
      <c r="CH79">
        <f>IF((AND(VLOOKUP(CH$1,main!$A$3:$H$102,5,FALSE)-VLOOKUP($A79,main!$A$3:$H$102,6,FALSE)&gt;=(VLOOKUP(VLOOKUP(CH$1,main!$A$3:$H$102,8,FALSE),main!$K$26:$M$29,2,FALSE)+VLOOKUP(VLOOKUP(CH$1,main!$A$3:$H$102,7,FALSE),main!$K$19:$O$22,MATCH(VLOOKUP($A79,main!$A$3:$H$102,8,FALSE),main!$K$18:$O$18,0))))),1,0)</f>
        <v>1</v>
      </c>
      <c r="CI79">
        <f>IF((AND(VLOOKUP(CI$1,main!$A$3:$H$102,5,FALSE)-VLOOKUP($A79,main!$A$3:$H$102,6,FALSE)&gt;=(VLOOKUP(VLOOKUP(CI$1,main!$A$3:$H$102,8,FALSE),main!$K$26:$M$29,2,FALSE)+VLOOKUP(VLOOKUP(CI$1,main!$A$3:$H$102,7,FALSE),main!$K$19:$O$22,MATCH(VLOOKUP($A79,main!$A$3:$H$102,8,FALSE),main!$K$18:$O$18,0))))),1,0)</f>
        <v>1</v>
      </c>
      <c r="CJ79">
        <f>IF((AND(VLOOKUP(CJ$1,main!$A$3:$H$102,5,FALSE)-VLOOKUP($A79,main!$A$3:$H$102,6,FALSE)&gt;=(VLOOKUP(VLOOKUP(CJ$1,main!$A$3:$H$102,8,FALSE),main!$K$26:$M$29,2,FALSE)+VLOOKUP(VLOOKUP(CJ$1,main!$A$3:$H$102,7,FALSE),main!$K$19:$O$22,MATCH(VLOOKUP($A79,main!$A$3:$H$102,8,FALSE),main!$K$18:$O$18,0))))),1,0)</f>
        <v>1</v>
      </c>
      <c r="CK79">
        <f>IF((AND(VLOOKUP(CK$1,main!$A$3:$H$102,5,FALSE)-VLOOKUP($A79,main!$A$3:$H$102,6,FALSE)&gt;=(VLOOKUP(VLOOKUP(CK$1,main!$A$3:$H$102,8,FALSE),main!$K$26:$M$29,2,FALSE)+VLOOKUP(VLOOKUP(CK$1,main!$A$3:$H$102,7,FALSE),main!$K$19:$O$22,MATCH(VLOOKUP($A79,main!$A$3:$H$102,8,FALSE),main!$K$18:$O$18,0))))),1,0)</f>
        <v>1</v>
      </c>
      <c r="CL79">
        <f>IF((AND(VLOOKUP(CL$1,main!$A$3:$H$102,5,FALSE)-VLOOKUP($A79,main!$A$3:$H$102,6,FALSE)&gt;=(VLOOKUP(VLOOKUP(CL$1,main!$A$3:$H$102,8,FALSE),main!$K$26:$M$29,2,FALSE)+VLOOKUP(VLOOKUP(CL$1,main!$A$3:$H$102,7,FALSE),main!$K$19:$O$22,MATCH(VLOOKUP($A79,main!$A$3:$H$102,8,FALSE),main!$K$18:$O$18,0))))),1,0)</f>
        <v>1</v>
      </c>
      <c r="CM79">
        <f>IF((AND(VLOOKUP(CM$1,main!$A$3:$H$102,5,FALSE)-VLOOKUP($A79,main!$A$3:$H$102,6,FALSE)&gt;=(VLOOKUP(VLOOKUP(CM$1,main!$A$3:$H$102,8,FALSE),main!$K$26:$M$29,2,FALSE)+VLOOKUP(VLOOKUP(CM$1,main!$A$3:$H$102,7,FALSE),main!$K$19:$O$22,MATCH(VLOOKUP($A79,main!$A$3:$H$102,8,FALSE),main!$K$18:$O$18,0))))),1,0)</f>
        <v>1</v>
      </c>
      <c r="CN79">
        <f>IF((AND(VLOOKUP(CN$1,main!$A$3:$H$102,5,FALSE)-VLOOKUP($A79,main!$A$3:$H$102,6,FALSE)&gt;=(VLOOKUP(VLOOKUP(CN$1,main!$A$3:$H$102,8,FALSE),main!$K$26:$M$29,2,FALSE)+VLOOKUP(VLOOKUP(CN$1,main!$A$3:$H$102,7,FALSE),main!$K$19:$O$22,MATCH(VLOOKUP($A79,main!$A$3:$H$102,8,FALSE),main!$K$18:$O$18,0))))),1,0)</f>
        <v>1</v>
      </c>
      <c r="CO79">
        <f>IF((AND(VLOOKUP(CO$1,main!$A$3:$H$102,5,FALSE)-VLOOKUP($A79,main!$A$3:$H$102,6,FALSE)&gt;=(VLOOKUP(VLOOKUP(CO$1,main!$A$3:$H$102,8,FALSE),main!$K$26:$M$29,2,FALSE)+VLOOKUP(VLOOKUP(CO$1,main!$A$3:$H$102,7,FALSE),main!$K$19:$O$22,MATCH(VLOOKUP($A79,main!$A$3:$H$102,8,FALSE),main!$K$18:$O$18,0))))),1,0)</f>
        <v>0</v>
      </c>
      <c r="CP79">
        <f>IF((AND(VLOOKUP(CP$1,main!$A$3:$H$102,5,FALSE)-VLOOKUP($A79,main!$A$3:$H$102,6,FALSE)&gt;=(VLOOKUP(VLOOKUP(CP$1,main!$A$3:$H$102,8,FALSE),main!$K$26:$M$29,2,FALSE)+VLOOKUP(VLOOKUP(CP$1,main!$A$3:$H$102,7,FALSE),main!$K$19:$O$22,MATCH(VLOOKUP($A79,main!$A$3:$H$102,8,FALSE),main!$K$18:$O$18,0))))),1,0)</f>
        <v>1</v>
      </c>
      <c r="CQ79">
        <f>IF((AND(VLOOKUP(CQ$1,main!$A$3:$H$102,5,FALSE)-VLOOKUP($A79,main!$A$3:$H$102,6,FALSE)&gt;=(VLOOKUP(VLOOKUP(CQ$1,main!$A$3:$H$102,8,FALSE),main!$K$26:$M$29,2,FALSE)+VLOOKUP(VLOOKUP(CQ$1,main!$A$3:$H$102,7,FALSE),main!$K$19:$O$22,MATCH(VLOOKUP($A79,main!$A$3:$H$102,8,FALSE),main!$K$18:$O$18,0))))),1,0)</f>
        <v>1</v>
      </c>
      <c r="CR79">
        <f>IF((AND(VLOOKUP(CR$1,main!$A$3:$H$102,5,FALSE)-VLOOKUP($A79,main!$A$3:$H$102,6,FALSE)&gt;=(VLOOKUP(VLOOKUP(CR$1,main!$A$3:$H$102,8,FALSE),main!$K$26:$M$29,2,FALSE)+VLOOKUP(VLOOKUP(CR$1,main!$A$3:$H$102,7,FALSE),main!$K$19:$O$22,MATCH(VLOOKUP($A79,main!$A$3:$H$102,8,FALSE),main!$K$18:$O$18,0))))),1,0)</f>
        <v>1</v>
      </c>
      <c r="CS79">
        <f>IF((AND(VLOOKUP(CS$1,main!$A$3:$H$102,5,FALSE)-VLOOKUP($A79,main!$A$3:$H$102,6,FALSE)&gt;=(VLOOKUP(VLOOKUP(CS$1,main!$A$3:$H$102,8,FALSE),main!$K$26:$M$29,2,FALSE)+VLOOKUP(VLOOKUP(CS$1,main!$A$3:$H$102,7,FALSE),main!$K$19:$O$22,MATCH(VLOOKUP($A79,main!$A$3:$H$102,8,FALSE),main!$K$18:$O$18,0))))),1,0)</f>
        <v>1</v>
      </c>
      <c r="CT79">
        <f>IF((AND(VLOOKUP(CT$1,main!$A$3:$H$102,5,FALSE)-VLOOKUP($A79,main!$A$3:$H$102,6,FALSE)&gt;=(VLOOKUP(VLOOKUP(CT$1,main!$A$3:$H$102,8,FALSE),main!$K$26:$M$29,2,FALSE)+VLOOKUP(VLOOKUP(CT$1,main!$A$3:$H$102,7,FALSE),main!$K$19:$O$22,MATCH(VLOOKUP($A79,main!$A$3:$H$102,8,FALSE),main!$K$18:$O$18,0))))),1,0)</f>
        <v>0</v>
      </c>
      <c r="CU79">
        <f>IF((AND(VLOOKUP(CU$1,main!$A$3:$H$102,5,FALSE)-VLOOKUP($A79,main!$A$3:$H$102,6,FALSE)&gt;=(VLOOKUP(VLOOKUP(CU$1,main!$A$3:$H$102,8,FALSE),main!$K$26:$M$29,2,FALSE)+VLOOKUP(VLOOKUP(CU$1,main!$A$3:$H$102,7,FALSE),main!$K$19:$O$22,MATCH(VLOOKUP($A79,main!$A$3:$H$102,8,FALSE),main!$K$18:$O$18,0))))),1,0)</f>
        <v>0</v>
      </c>
      <c r="CV79">
        <f>IF((AND(VLOOKUP(CV$1,main!$A$3:$H$102,5,FALSE)-VLOOKUP($A79,main!$A$3:$H$102,6,FALSE)&gt;=(VLOOKUP(VLOOKUP(CV$1,main!$A$3:$H$102,8,FALSE),main!$K$26:$M$29,2,FALSE)+VLOOKUP(VLOOKUP(CV$1,main!$A$3:$H$102,7,FALSE),main!$K$19:$O$22,MATCH(VLOOKUP($A79,main!$A$3:$H$102,8,FALSE),main!$K$18:$O$18,0))))),1,0)</f>
        <v>1</v>
      </c>
      <c r="CW79">
        <f>IF((AND(VLOOKUP(CW$1,main!$A$3:$H$102,5,FALSE)-VLOOKUP($A79,main!$A$3:$H$102,6,FALSE)&gt;=(VLOOKUP(VLOOKUP(CW$1,main!$A$3:$H$102,8,FALSE),main!$K$26:$M$29,2,FALSE)+VLOOKUP(VLOOKUP(CW$1,main!$A$3:$H$102,7,FALSE),main!$K$19:$O$22,MATCH(VLOOKUP($A79,main!$A$3:$H$102,8,FALSE),main!$K$18:$O$18,0))))),1,0)</f>
        <v>1</v>
      </c>
      <c r="CX79">
        <f>IF((AND(VLOOKUP(CX$1,main!$A$3:$H$102,5,FALSE)-VLOOKUP($A79,main!$A$3:$H$102,6,FALSE)&gt;=(VLOOKUP(VLOOKUP(CX$1,main!$A$3:$H$102,8,FALSE),main!$K$26:$M$29,2,FALSE)+VLOOKUP(VLOOKUP(CX$1,main!$A$3:$H$102,7,FALSE),main!$K$19:$O$22,MATCH(VLOOKUP($A79,main!$A$3:$H$102,8,FALSE),main!$K$18:$O$18,0))))),1,0)</f>
        <v>1</v>
      </c>
    </row>
    <row r="80" spans="1:102" x14ac:dyDescent="0.25">
      <c r="A80" s="1">
        <v>78</v>
      </c>
      <c r="B80">
        <v>1</v>
      </c>
      <c r="C80">
        <f>IF((AND(VLOOKUP(C$1,main!$A$3:$H$102,5,FALSE)-VLOOKUP($A80,main!$A$3:$H$102,6,FALSE)&gt;=(VLOOKUP(VLOOKUP(C$1,main!$A$3:$H$102,8,FALSE),main!$K$26:$M$29,2,FALSE)+VLOOKUP(VLOOKUP(C$1,main!$A$3:$H$102,7,FALSE),main!$K$19:$O$22,MATCH(VLOOKUP($A80,main!$A$3:$H$102,8,FALSE),main!$K$18:$O$18,0))))),1,0)</f>
        <v>0</v>
      </c>
      <c r="D80">
        <f>IF((AND(VLOOKUP(D$1,main!$A$3:$H$102,5,FALSE)-VLOOKUP($A80,main!$A$3:$H$102,6,FALSE)&gt;=(VLOOKUP(VLOOKUP(D$1,main!$A$3:$H$102,8,FALSE),main!$K$26:$M$29,2,FALSE)+VLOOKUP(VLOOKUP(D$1,main!$A$3:$H$102,7,FALSE),main!$K$19:$O$22,MATCH(VLOOKUP($A80,main!$A$3:$H$102,8,FALSE),main!$K$18:$O$18,0))))),1,0)</f>
        <v>0</v>
      </c>
      <c r="E80">
        <f>IF((AND(VLOOKUP(E$1,main!$A$3:$H$102,5,FALSE)-VLOOKUP($A80,main!$A$3:$H$102,6,FALSE)&gt;=(VLOOKUP(VLOOKUP(E$1,main!$A$3:$H$102,8,FALSE),main!$K$26:$M$29,2,FALSE)+VLOOKUP(VLOOKUP(E$1,main!$A$3:$H$102,7,FALSE),main!$K$19:$O$22,MATCH(VLOOKUP($A80,main!$A$3:$H$102,8,FALSE),main!$K$18:$O$18,0))))),1,0)</f>
        <v>0</v>
      </c>
      <c r="F80">
        <f>IF((AND(VLOOKUP(F$1,main!$A$3:$H$102,5,FALSE)-VLOOKUP($A80,main!$A$3:$H$102,6,FALSE)&gt;=(VLOOKUP(VLOOKUP(F$1,main!$A$3:$H$102,8,FALSE),main!$K$26:$M$29,2,FALSE)+VLOOKUP(VLOOKUP(F$1,main!$A$3:$H$102,7,FALSE),main!$K$19:$O$22,MATCH(VLOOKUP($A80,main!$A$3:$H$102,8,FALSE),main!$K$18:$O$18,0))))),1,0)</f>
        <v>0</v>
      </c>
      <c r="G80">
        <f>IF((AND(VLOOKUP(G$1,main!$A$3:$H$102,5,FALSE)-VLOOKUP($A80,main!$A$3:$H$102,6,FALSE)&gt;=(VLOOKUP(VLOOKUP(G$1,main!$A$3:$H$102,8,FALSE),main!$K$26:$M$29,2,FALSE)+VLOOKUP(VLOOKUP(G$1,main!$A$3:$H$102,7,FALSE),main!$K$19:$O$22,MATCH(VLOOKUP($A80,main!$A$3:$H$102,8,FALSE),main!$K$18:$O$18,0))))),1,0)</f>
        <v>0</v>
      </c>
      <c r="H80">
        <f>IF((AND(VLOOKUP(H$1,main!$A$3:$H$102,5,FALSE)-VLOOKUP($A80,main!$A$3:$H$102,6,FALSE)&gt;=(VLOOKUP(VLOOKUP(H$1,main!$A$3:$H$102,8,FALSE),main!$K$26:$M$29,2,FALSE)+VLOOKUP(VLOOKUP(H$1,main!$A$3:$H$102,7,FALSE),main!$K$19:$O$22,MATCH(VLOOKUP($A80,main!$A$3:$H$102,8,FALSE),main!$K$18:$O$18,0))))),1,0)</f>
        <v>0</v>
      </c>
      <c r="I80">
        <f>IF((AND(VLOOKUP(I$1,main!$A$3:$H$102,5,FALSE)-VLOOKUP($A80,main!$A$3:$H$102,6,FALSE)&gt;=(VLOOKUP(VLOOKUP(I$1,main!$A$3:$H$102,8,FALSE),main!$K$26:$M$29,2,FALSE)+VLOOKUP(VLOOKUP(I$1,main!$A$3:$H$102,7,FALSE),main!$K$19:$O$22,MATCH(VLOOKUP($A80,main!$A$3:$H$102,8,FALSE),main!$K$18:$O$18,0))))),1,0)</f>
        <v>0</v>
      </c>
      <c r="J80">
        <f>IF((AND(VLOOKUP(J$1,main!$A$3:$H$102,5,FALSE)-VLOOKUP($A80,main!$A$3:$H$102,6,FALSE)&gt;=(VLOOKUP(VLOOKUP(J$1,main!$A$3:$H$102,8,FALSE),main!$K$26:$M$29,2,FALSE)+VLOOKUP(VLOOKUP(J$1,main!$A$3:$H$102,7,FALSE),main!$K$19:$O$22,MATCH(VLOOKUP($A80,main!$A$3:$H$102,8,FALSE),main!$K$18:$O$18,0))))),1,0)</f>
        <v>1</v>
      </c>
      <c r="K80">
        <f>IF((AND(VLOOKUP(K$1,main!$A$3:$H$102,5,FALSE)-VLOOKUP($A80,main!$A$3:$H$102,6,FALSE)&gt;=(VLOOKUP(VLOOKUP(K$1,main!$A$3:$H$102,8,FALSE),main!$K$26:$M$29,2,FALSE)+VLOOKUP(VLOOKUP(K$1,main!$A$3:$H$102,7,FALSE),main!$K$19:$O$22,MATCH(VLOOKUP($A80,main!$A$3:$H$102,8,FALSE),main!$K$18:$O$18,0))))),1,0)</f>
        <v>1</v>
      </c>
      <c r="L80">
        <f>IF((AND(VLOOKUP(L$1,main!$A$3:$H$102,5,FALSE)-VLOOKUP($A80,main!$A$3:$H$102,6,FALSE)&gt;=(VLOOKUP(VLOOKUP(L$1,main!$A$3:$H$102,8,FALSE),main!$K$26:$M$29,2,FALSE)+VLOOKUP(VLOOKUP(L$1,main!$A$3:$H$102,7,FALSE),main!$K$19:$O$22,MATCH(VLOOKUP($A80,main!$A$3:$H$102,8,FALSE),main!$K$18:$O$18,0))))),1,0)</f>
        <v>1</v>
      </c>
      <c r="M80">
        <f>IF((AND(VLOOKUP(M$1,main!$A$3:$H$102,5,FALSE)-VLOOKUP($A80,main!$A$3:$H$102,6,FALSE)&gt;=(VLOOKUP(VLOOKUP(M$1,main!$A$3:$H$102,8,FALSE),main!$K$26:$M$29,2,FALSE)+VLOOKUP(VLOOKUP(M$1,main!$A$3:$H$102,7,FALSE),main!$K$19:$O$22,MATCH(VLOOKUP($A80,main!$A$3:$H$102,8,FALSE),main!$K$18:$O$18,0))))),1,0)</f>
        <v>0</v>
      </c>
      <c r="N80">
        <f>IF((AND(VLOOKUP(N$1,main!$A$3:$H$102,5,FALSE)-VLOOKUP($A80,main!$A$3:$H$102,6,FALSE)&gt;=(VLOOKUP(VLOOKUP(N$1,main!$A$3:$H$102,8,FALSE),main!$K$26:$M$29,2,FALSE)+VLOOKUP(VLOOKUP(N$1,main!$A$3:$H$102,7,FALSE),main!$K$19:$O$22,MATCH(VLOOKUP($A80,main!$A$3:$H$102,8,FALSE),main!$K$18:$O$18,0))))),1,0)</f>
        <v>0</v>
      </c>
      <c r="O80">
        <f>IF((AND(VLOOKUP(O$1,main!$A$3:$H$102,5,FALSE)-VLOOKUP($A80,main!$A$3:$H$102,6,FALSE)&gt;=(VLOOKUP(VLOOKUP(O$1,main!$A$3:$H$102,8,FALSE),main!$K$26:$M$29,2,FALSE)+VLOOKUP(VLOOKUP(O$1,main!$A$3:$H$102,7,FALSE),main!$K$19:$O$22,MATCH(VLOOKUP($A80,main!$A$3:$H$102,8,FALSE),main!$K$18:$O$18,0))))),1,0)</f>
        <v>0</v>
      </c>
      <c r="P80">
        <f>IF((AND(VLOOKUP(P$1,main!$A$3:$H$102,5,FALSE)-VLOOKUP($A80,main!$A$3:$H$102,6,FALSE)&gt;=(VLOOKUP(VLOOKUP(P$1,main!$A$3:$H$102,8,FALSE),main!$K$26:$M$29,2,FALSE)+VLOOKUP(VLOOKUP(P$1,main!$A$3:$H$102,7,FALSE),main!$K$19:$O$22,MATCH(VLOOKUP($A80,main!$A$3:$H$102,8,FALSE),main!$K$18:$O$18,0))))),1,0)</f>
        <v>0</v>
      </c>
      <c r="Q80">
        <f>IF((AND(VLOOKUP(Q$1,main!$A$3:$H$102,5,FALSE)-VLOOKUP($A80,main!$A$3:$H$102,6,FALSE)&gt;=(VLOOKUP(VLOOKUP(Q$1,main!$A$3:$H$102,8,FALSE),main!$K$26:$M$29,2,FALSE)+VLOOKUP(VLOOKUP(Q$1,main!$A$3:$H$102,7,FALSE),main!$K$19:$O$22,MATCH(VLOOKUP($A80,main!$A$3:$H$102,8,FALSE),main!$K$18:$O$18,0))))),1,0)</f>
        <v>0</v>
      </c>
      <c r="R80">
        <f>IF((AND(VLOOKUP(R$1,main!$A$3:$H$102,5,FALSE)-VLOOKUP($A80,main!$A$3:$H$102,6,FALSE)&gt;=(VLOOKUP(VLOOKUP(R$1,main!$A$3:$H$102,8,FALSE),main!$K$26:$M$29,2,FALSE)+VLOOKUP(VLOOKUP(R$1,main!$A$3:$H$102,7,FALSE),main!$K$19:$O$22,MATCH(VLOOKUP($A80,main!$A$3:$H$102,8,FALSE),main!$K$18:$O$18,0))))),1,0)</f>
        <v>0</v>
      </c>
      <c r="S80">
        <f>IF((AND(VLOOKUP(S$1,main!$A$3:$H$102,5,FALSE)-VLOOKUP($A80,main!$A$3:$H$102,6,FALSE)&gt;=(VLOOKUP(VLOOKUP(S$1,main!$A$3:$H$102,8,FALSE),main!$K$26:$M$29,2,FALSE)+VLOOKUP(VLOOKUP(S$1,main!$A$3:$H$102,7,FALSE),main!$K$19:$O$22,MATCH(VLOOKUP($A80,main!$A$3:$H$102,8,FALSE),main!$K$18:$O$18,0))))),1,0)</f>
        <v>0</v>
      </c>
      <c r="T80">
        <f>IF((AND(VLOOKUP(T$1,main!$A$3:$H$102,5,FALSE)-VLOOKUP($A80,main!$A$3:$H$102,6,FALSE)&gt;=(VLOOKUP(VLOOKUP(T$1,main!$A$3:$H$102,8,FALSE),main!$K$26:$M$29,2,FALSE)+VLOOKUP(VLOOKUP(T$1,main!$A$3:$H$102,7,FALSE),main!$K$19:$O$22,MATCH(VLOOKUP($A80,main!$A$3:$H$102,8,FALSE),main!$K$18:$O$18,0))))),1,0)</f>
        <v>0</v>
      </c>
      <c r="U80">
        <f>IF((AND(VLOOKUP(U$1,main!$A$3:$H$102,5,FALSE)-VLOOKUP($A80,main!$A$3:$H$102,6,FALSE)&gt;=(VLOOKUP(VLOOKUP(U$1,main!$A$3:$H$102,8,FALSE),main!$K$26:$M$29,2,FALSE)+VLOOKUP(VLOOKUP(U$1,main!$A$3:$H$102,7,FALSE),main!$K$19:$O$22,MATCH(VLOOKUP($A80,main!$A$3:$H$102,8,FALSE),main!$K$18:$O$18,0))))),1,0)</f>
        <v>1</v>
      </c>
      <c r="V80">
        <f>IF((AND(VLOOKUP(V$1,main!$A$3:$H$102,5,FALSE)-VLOOKUP($A80,main!$A$3:$H$102,6,FALSE)&gt;=(VLOOKUP(VLOOKUP(V$1,main!$A$3:$H$102,8,FALSE),main!$K$26:$M$29,2,FALSE)+VLOOKUP(VLOOKUP(V$1,main!$A$3:$H$102,7,FALSE),main!$K$19:$O$22,MATCH(VLOOKUP($A80,main!$A$3:$H$102,8,FALSE),main!$K$18:$O$18,0))))),1,0)</f>
        <v>1</v>
      </c>
      <c r="W80">
        <f>IF((AND(VLOOKUP(W$1,main!$A$3:$H$102,5,FALSE)-VLOOKUP($A80,main!$A$3:$H$102,6,FALSE)&gt;=(VLOOKUP(VLOOKUP(W$1,main!$A$3:$H$102,8,FALSE),main!$K$26:$M$29,2,FALSE)+VLOOKUP(VLOOKUP(W$1,main!$A$3:$H$102,7,FALSE),main!$K$19:$O$22,MATCH(VLOOKUP($A80,main!$A$3:$H$102,8,FALSE),main!$K$18:$O$18,0))))),1,0)</f>
        <v>0</v>
      </c>
      <c r="X80">
        <f>IF((AND(VLOOKUP(X$1,main!$A$3:$H$102,5,FALSE)-VLOOKUP($A80,main!$A$3:$H$102,6,FALSE)&gt;=(VLOOKUP(VLOOKUP(X$1,main!$A$3:$H$102,8,FALSE),main!$K$26:$M$29,2,FALSE)+VLOOKUP(VLOOKUP(X$1,main!$A$3:$H$102,7,FALSE),main!$K$19:$O$22,MATCH(VLOOKUP($A80,main!$A$3:$H$102,8,FALSE),main!$K$18:$O$18,0))))),1,0)</f>
        <v>0</v>
      </c>
      <c r="Y80">
        <f>IF((AND(VLOOKUP(Y$1,main!$A$3:$H$102,5,FALSE)-VLOOKUP($A80,main!$A$3:$H$102,6,FALSE)&gt;=(VLOOKUP(VLOOKUP(Y$1,main!$A$3:$H$102,8,FALSE),main!$K$26:$M$29,2,FALSE)+VLOOKUP(VLOOKUP(Y$1,main!$A$3:$H$102,7,FALSE),main!$K$19:$O$22,MATCH(VLOOKUP($A80,main!$A$3:$H$102,8,FALSE),main!$K$18:$O$18,0))))),1,0)</f>
        <v>0</v>
      </c>
      <c r="Z80">
        <f>IF((AND(VLOOKUP(Z$1,main!$A$3:$H$102,5,FALSE)-VLOOKUP($A80,main!$A$3:$H$102,6,FALSE)&gt;=(VLOOKUP(VLOOKUP(Z$1,main!$A$3:$H$102,8,FALSE),main!$K$26:$M$29,2,FALSE)+VLOOKUP(VLOOKUP(Z$1,main!$A$3:$H$102,7,FALSE),main!$K$19:$O$22,MATCH(VLOOKUP($A80,main!$A$3:$H$102,8,FALSE),main!$K$18:$O$18,0))))),1,0)</f>
        <v>0</v>
      </c>
      <c r="AA80">
        <f>IF((AND(VLOOKUP(AA$1,main!$A$3:$H$102,5,FALSE)-VLOOKUP($A80,main!$A$3:$H$102,6,FALSE)&gt;=(VLOOKUP(VLOOKUP(AA$1,main!$A$3:$H$102,8,FALSE),main!$K$26:$M$29,2,FALSE)+VLOOKUP(VLOOKUP(AA$1,main!$A$3:$H$102,7,FALSE),main!$K$19:$O$22,MATCH(VLOOKUP($A80,main!$A$3:$H$102,8,FALSE),main!$K$18:$O$18,0))))),1,0)</f>
        <v>1</v>
      </c>
      <c r="AB80">
        <f>IF((AND(VLOOKUP(AB$1,main!$A$3:$H$102,5,FALSE)-VLOOKUP($A80,main!$A$3:$H$102,6,FALSE)&gt;=(VLOOKUP(VLOOKUP(AB$1,main!$A$3:$H$102,8,FALSE),main!$K$26:$M$29,2,FALSE)+VLOOKUP(VLOOKUP(AB$1,main!$A$3:$H$102,7,FALSE),main!$K$19:$O$22,MATCH(VLOOKUP($A80,main!$A$3:$H$102,8,FALSE),main!$K$18:$O$18,0))))),1,0)</f>
        <v>0</v>
      </c>
      <c r="AC80">
        <f>IF((AND(VLOOKUP(AC$1,main!$A$3:$H$102,5,FALSE)-VLOOKUP($A80,main!$A$3:$H$102,6,FALSE)&gt;=(VLOOKUP(VLOOKUP(AC$1,main!$A$3:$H$102,8,FALSE),main!$K$26:$M$29,2,FALSE)+VLOOKUP(VLOOKUP(AC$1,main!$A$3:$H$102,7,FALSE),main!$K$19:$O$22,MATCH(VLOOKUP($A80,main!$A$3:$H$102,8,FALSE),main!$K$18:$O$18,0))))),1,0)</f>
        <v>0</v>
      </c>
      <c r="AD80">
        <f>IF((AND(VLOOKUP(AD$1,main!$A$3:$H$102,5,FALSE)-VLOOKUP($A80,main!$A$3:$H$102,6,FALSE)&gt;=(VLOOKUP(VLOOKUP(AD$1,main!$A$3:$H$102,8,FALSE),main!$K$26:$M$29,2,FALSE)+VLOOKUP(VLOOKUP(AD$1,main!$A$3:$H$102,7,FALSE),main!$K$19:$O$22,MATCH(VLOOKUP($A80,main!$A$3:$H$102,8,FALSE),main!$K$18:$O$18,0))))),1,0)</f>
        <v>0</v>
      </c>
      <c r="AE80">
        <f>IF((AND(VLOOKUP(AE$1,main!$A$3:$H$102,5,FALSE)-VLOOKUP($A80,main!$A$3:$H$102,6,FALSE)&gt;=(VLOOKUP(VLOOKUP(AE$1,main!$A$3:$H$102,8,FALSE),main!$K$26:$M$29,2,FALSE)+VLOOKUP(VLOOKUP(AE$1,main!$A$3:$H$102,7,FALSE),main!$K$19:$O$22,MATCH(VLOOKUP($A80,main!$A$3:$H$102,8,FALSE),main!$K$18:$O$18,0))))),1,0)</f>
        <v>0</v>
      </c>
      <c r="AF80">
        <f>IF((AND(VLOOKUP(AF$1,main!$A$3:$H$102,5,FALSE)-VLOOKUP($A80,main!$A$3:$H$102,6,FALSE)&gt;=(VLOOKUP(VLOOKUP(AF$1,main!$A$3:$H$102,8,FALSE),main!$K$26:$M$29,2,FALSE)+VLOOKUP(VLOOKUP(AF$1,main!$A$3:$H$102,7,FALSE),main!$K$19:$O$22,MATCH(VLOOKUP($A80,main!$A$3:$H$102,8,FALSE),main!$K$18:$O$18,0))))),1,0)</f>
        <v>1</v>
      </c>
      <c r="AG80">
        <f>IF((AND(VLOOKUP(AG$1,main!$A$3:$H$102,5,FALSE)-VLOOKUP($A80,main!$A$3:$H$102,6,FALSE)&gt;=(VLOOKUP(VLOOKUP(AG$1,main!$A$3:$H$102,8,FALSE),main!$K$26:$M$29,2,FALSE)+VLOOKUP(VLOOKUP(AG$1,main!$A$3:$H$102,7,FALSE),main!$K$19:$O$22,MATCH(VLOOKUP($A80,main!$A$3:$H$102,8,FALSE),main!$K$18:$O$18,0))))),1,0)</f>
        <v>0</v>
      </c>
      <c r="AH80">
        <f>IF((AND(VLOOKUP(AH$1,main!$A$3:$H$102,5,FALSE)-VLOOKUP($A80,main!$A$3:$H$102,6,FALSE)&gt;=(VLOOKUP(VLOOKUP(AH$1,main!$A$3:$H$102,8,FALSE),main!$K$26:$M$29,2,FALSE)+VLOOKUP(VLOOKUP(AH$1,main!$A$3:$H$102,7,FALSE),main!$K$19:$O$22,MATCH(VLOOKUP($A80,main!$A$3:$H$102,8,FALSE),main!$K$18:$O$18,0))))),1,0)</f>
        <v>0</v>
      </c>
      <c r="AI80">
        <f>IF((AND(VLOOKUP(AI$1,main!$A$3:$H$102,5,FALSE)-VLOOKUP($A80,main!$A$3:$H$102,6,FALSE)&gt;=(VLOOKUP(VLOOKUP(AI$1,main!$A$3:$H$102,8,FALSE),main!$K$26:$M$29,2,FALSE)+VLOOKUP(VLOOKUP(AI$1,main!$A$3:$H$102,7,FALSE),main!$K$19:$O$22,MATCH(VLOOKUP($A80,main!$A$3:$H$102,8,FALSE),main!$K$18:$O$18,0))))),1,0)</f>
        <v>0</v>
      </c>
      <c r="AJ80">
        <f>IF((AND(VLOOKUP(AJ$1,main!$A$3:$H$102,5,FALSE)-VLOOKUP($A80,main!$A$3:$H$102,6,FALSE)&gt;=(VLOOKUP(VLOOKUP(AJ$1,main!$A$3:$H$102,8,FALSE),main!$K$26:$M$29,2,FALSE)+VLOOKUP(VLOOKUP(AJ$1,main!$A$3:$H$102,7,FALSE),main!$K$19:$O$22,MATCH(VLOOKUP($A80,main!$A$3:$H$102,8,FALSE),main!$K$18:$O$18,0))))),1,0)</f>
        <v>0</v>
      </c>
      <c r="AK80">
        <f>IF((AND(VLOOKUP(AK$1,main!$A$3:$H$102,5,FALSE)-VLOOKUP($A80,main!$A$3:$H$102,6,FALSE)&gt;=(VLOOKUP(VLOOKUP(AK$1,main!$A$3:$H$102,8,FALSE),main!$K$26:$M$29,2,FALSE)+VLOOKUP(VLOOKUP(AK$1,main!$A$3:$H$102,7,FALSE),main!$K$19:$O$22,MATCH(VLOOKUP($A80,main!$A$3:$H$102,8,FALSE),main!$K$18:$O$18,0))))),1,0)</f>
        <v>0</v>
      </c>
      <c r="AL80">
        <f>IF((AND(VLOOKUP(AL$1,main!$A$3:$H$102,5,FALSE)-VLOOKUP($A80,main!$A$3:$H$102,6,FALSE)&gt;=(VLOOKUP(VLOOKUP(AL$1,main!$A$3:$H$102,8,FALSE),main!$K$26:$M$29,2,FALSE)+VLOOKUP(VLOOKUP(AL$1,main!$A$3:$H$102,7,FALSE),main!$K$19:$O$22,MATCH(VLOOKUP($A80,main!$A$3:$H$102,8,FALSE),main!$K$18:$O$18,0))))),1,0)</f>
        <v>0</v>
      </c>
      <c r="AM80">
        <f>IF((AND(VLOOKUP(AM$1,main!$A$3:$H$102,5,FALSE)-VLOOKUP($A80,main!$A$3:$H$102,6,FALSE)&gt;=(VLOOKUP(VLOOKUP(AM$1,main!$A$3:$H$102,8,FALSE),main!$K$26:$M$29,2,FALSE)+VLOOKUP(VLOOKUP(AM$1,main!$A$3:$H$102,7,FALSE),main!$K$19:$O$22,MATCH(VLOOKUP($A80,main!$A$3:$H$102,8,FALSE),main!$K$18:$O$18,0))))),1,0)</f>
        <v>1</v>
      </c>
      <c r="AN80">
        <f>IF((AND(VLOOKUP(AN$1,main!$A$3:$H$102,5,FALSE)-VLOOKUP($A80,main!$A$3:$H$102,6,FALSE)&gt;=(VLOOKUP(VLOOKUP(AN$1,main!$A$3:$H$102,8,FALSE),main!$K$26:$M$29,2,FALSE)+VLOOKUP(VLOOKUP(AN$1,main!$A$3:$H$102,7,FALSE),main!$K$19:$O$22,MATCH(VLOOKUP($A80,main!$A$3:$H$102,8,FALSE),main!$K$18:$O$18,0))))),1,0)</f>
        <v>1</v>
      </c>
      <c r="AO80">
        <f>IF((AND(VLOOKUP(AO$1,main!$A$3:$H$102,5,FALSE)-VLOOKUP($A80,main!$A$3:$H$102,6,FALSE)&gt;=(VLOOKUP(VLOOKUP(AO$1,main!$A$3:$H$102,8,FALSE),main!$K$26:$M$29,2,FALSE)+VLOOKUP(VLOOKUP(AO$1,main!$A$3:$H$102,7,FALSE),main!$K$19:$O$22,MATCH(VLOOKUP($A80,main!$A$3:$H$102,8,FALSE),main!$K$18:$O$18,0))))),1,0)</f>
        <v>0</v>
      </c>
      <c r="AP80">
        <f>IF((AND(VLOOKUP(AP$1,main!$A$3:$H$102,5,FALSE)-VLOOKUP($A80,main!$A$3:$H$102,6,FALSE)&gt;=(VLOOKUP(VLOOKUP(AP$1,main!$A$3:$H$102,8,FALSE),main!$K$26:$M$29,2,FALSE)+VLOOKUP(VLOOKUP(AP$1,main!$A$3:$H$102,7,FALSE),main!$K$19:$O$22,MATCH(VLOOKUP($A80,main!$A$3:$H$102,8,FALSE),main!$K$18:$O$18,0))))),1,0)</f>
        <v>1</v>
      </c>
      <c r="AQ80">
        <f>IF((AND(VLOOKUP(AQ$1,main!$A$3:$H$102,5,FALSE)-VLOOKUP($A80,main!$A$3:$H$102,6,FALSE)&gt;=(VLOOKUP(VLOOKUP(AQ$1,main!$A$3:$H$102,8,FALSE),main!$K$26:$M$29,2,FALSE)+VLOOKUP(VLOOKUP(AQ$1,main!$A$3:$H$102,7,FALSE),main!$K$19:$O$22,MATCH(VLOOKUP($A80,main!$A$3:$H$102,8,FALSE),main!$K$18:$O$18,0))))),1,0)</f>
        <v>0</v>
      </c>
      <c r="AR80">
        <f>IF((AND(VLOOKUP(AR$1,main!$A$3:$H$102,5,FALSE)-VLOOKUP($A80,main!$A$3:$H$102,6,FALSE)&gt;=(VLOOKUP(VLOOKUP(AR$1,main!$A$3:$H$102,8,FALSE),main!$K$26:$M$29,2,FALSE)+VLOOKUP(VLOOKUP(AR$1,main!$A$3:$H$102,7,FALSE),main!$K$19:$O$22,MATCH(VLOOKUP($A80,main!$A$3:$H$102,8,FALSE),main!$K$18:$O$18,0))))),1,0)</f>
        <v>0</v>
      </c>
      <c r="AS80">
        <f>IF((AND(VLOOKUP(AS$1,main!$A$3:$H$102,5,FALSE)-VLOOKUP($A80,main!$A$3:$H$102,6,FALSE)&gt;=(VLOOKUP(VLOOKUP(AS$1,main!$A$3:$H$102,8,FALSE),main!$K$26:$M$29,2,FALSE)+VLOOKUP(VLOOKUP(AS$1,main!$A$3:$H$102,7,FALSE),main!$K$19:$O$22,MATCH(VLOOKUP($A80,main!$A$3:$H$102,8,FALSE),main!$K$18:$O$18,0))))),1,0)</f>
        <v>0</v>
      </c>
      <c r="AT80">
        <f>IF((AND(VLOOKUP(AT$1,main!$A$3:$H$102,5,FALSE)-VLOOKUP($A80,main!$A$3:$H$102,6,FALSE)&gt;=(VLOOKUP(VLOOKUP(AT$1,main!$A$3:$H$102,8,FALSE),main!$K$26:$M$29,2,FALSE)+VLOOKUP(VLOOKUP(AT$1,main!$A$3:$H$102,7,FALSE),main!$K$19:$O$22,MATCH(VLOOKUP($A80,main!$A$3:$H$102,8,FALSE),main!$K$18:$O$18,0))))),1,0)</f>
        <v>0</v>
      </c>
      <c r="AU80">
        <f>IF((AND(VLOOKUP(AU$1,main!$A$3:$H$102,5,FALSE)-VLOOKUP($A80,main!$A$3:$H$102,6,FALSE)&gt;=(VLOOKUP(VLOOKUP(AU$1,main!$A$3:$H$102,8,FALSE),main!$K$26:$M$29,2,FALSE)+VLOOKUP(VLOOKUP(AU$1,main!$A$3:$H$102,7,FALSE),main!$K$19:$O$22,MATCH(VLOOKUP($A80,main!$A$3:$H$102,8,FALSE),main!$K$18:$O$18,0))))),1,0)</f>
        <v>0</v>
      </c>
      <c r="AV80">
        <f>IF((AND(VLOOKUP(AV$1,main!$A$3:$H$102,5,FALSE)-VLOOKUP($A80,main!$A$3:$H$102,6,FALSE)&gt;=(VLOOKUP(VLOOKUP(AV$1,main!$A$3:$H$102,8,FALSE),main!$K$26:$M$29,2,FALSE)+VLOOKUP(VLOOKUP(AV$1,main!$A$3:$H$102,7,FALSE),main!$K$19:$O$22,MATCH(VLOOKUP($A80,main!$A$3:$H$102,8,FALSE),main!$K$18:$O$18,0))))),1,0)</f>
        <v>0</v>
      </c>
      <c r="AW80">
        <f>IF((AND(VLOOKUP(AW$1,main!$A$3:$H$102,5,FALSE)-VLOOKUP($A80,main!$A$3:$H$102,6,FALSE)&gt;=(VLOOKUP(VLOOKUP(AW$1,main!$A$3:$H$102,8,FALSE),main!$K$26:$M$29,2,FALSE)+VLOOKUP(VLOOKUP(AW$1,main!$A$3:$H$102,7,FALSE),main!$K$19:$O$22,MATCH(VLOOKUP($A80,main!$A$3:$H$102,8,FALSE),main!$K$18:$O$18,0))))),1,0)</f>
        <v>0</v>
      </c>
      <c r="AX80">
        <f>IF((AND(VLOOKUP(AX$1,main!$A$3:$H$102,5,FALSE)-VLOOKUP($A80,main!$A$3:$H$102,6,FALSE)&gt;=(VLOOKUP(VLOOKUP(AX$1,main!$A$3:$H$102,8,FALSE),main!$K$26:$M$29,2,FALSE)+VLOOKUP(VLOOKUP(AX$1,main!$A$3:$H$102,7,FALSE),main!$K$19:$O$22,MATCH(VLOOKUP($A80,main!$A$3:$H$102,8,FALSE),main!$K$18:$O$18,0))))),1,0)</f>
        <v>0</v>
      </c>
      <c r="AY80">
        <f>IF((AND(VLOOKUP(AY$1,main!$A$3:$H$102,5,FALSE)-VLOOKUP($A80,main!$A$3:$H$102,6,FALSE)&gt;=(VLOOKUP(VLOOKUP(AY$1,main!$A$3:$H$102,8,FALSE),main!$K$26:$M$29,2,FALSE)+VLOOKUP(VLOOKUP(AY$1,main!$A$3:$H$102,7,FALSE),main!$K$19:$O$22,MATCH(VLOOKUP($A80,main!$A$3:$H$102,8,FALSE),main!$K$18:$O$18,0))))),1,0)</f>
        <v>0</v>
      </c>
      <c r="AZ80">
        <f>IF((AND(VLOOKUP(AZ$1,main!$A$3:$H$102,5,FALSE)-VLOOKUP($A80,main!$A$3:$H$102,6,FALSE)&gt;=(VLOOKUP(VLOOKUP(AZ$1,main!$A$3:$H$102,8,FALSE),main!$K$26:$M$29,2,FALSE)+VLOOKUP(VLOOKUP(AZ$1,main!$A$3:$H$102,7,FALSE),main!$K$19:$O$22,MATCH(VLOOKUP($A80,main!$A$3:$H$102,8,FALSE),main!$K$18:$O$18,0))))),1,0)</f>
        <v>0</v>
      </c>
      <c r="BA80">
        <f>IF((AND(VLOOKUP(BA$1,main!$A$3:$H$102,5,FALSE)-VLOOKUP($A80,main!$A$3:$H$102,6,FALSE)&gt;=(VLOOKUP(VLOOKUP(BA$1,main!$A$3:$H$102,8,FALSE),main!$K$26:$M$29,2,FALSE)+VLOOKUP(VLOOKUP(BA$1,main!$A$3:$H$102,7,FALSE),main!$K$19:$O$22,MATCH(VLOOKUP($A80,main!$A$3:$H$102,8,FALSE),main!$K$18:$O$18,0))))),1,0)</f>
        <v>0</v>
      </c>
      <c r="BB80">
        <f>IF((AND(VLOOKUP(BB$1,main!$A$3:$H$102,5,FALSE)-VLOOKUP($A80,main!$A$3:$H$102,6,FALSE)&gt;=(VLOOKUP(VLOOKUP(BB$1,main!$A$3:$H$102,8,FALSE),main!$K$26:$M$29,2,FALSE)+VLOOKUP(VLOOKUP(BB$1,main!$A$3:$H$102,7,FALSE),main!$K$19:$O$22,MATCH(VLOOKUP($A80,main!$A$3:$H$102,8,FALSE),main!$K$18:$O$18,0))))),1,0)</f>
        <v>0</v>
      </c>
      <c r="BC80">
        <f>IF((AND(VLOOKUP(BC$1,main!$A$3:$H$102,5,FALSE)-VLOOKUP($A80,main!$A$3:$H$102,6,FALSE)&gt;=(VLOOKUP(VLOOKUP(BC$1,main!$A$3:$H$102,8,FALSE),main!$K$26:$M$29,2,FALSE)+VLOOKUP(VLOOKUP(BC$1,main!$A$3:$H$102,7,FALSE),main!$K$19:$O$22,MATCH(VLOOKUP($A80,main!$A$3:$H$102,8,FALSE),main!$K$18:$O$18,0))))),1,0)</f>
        <v>0</v>
      </c>
      <c r="BD80">
        <f>IF((AND(VLOOKUP(BD$1,main!$A$3:$H$102,5,FALSE)-VLOOKUP($A80,main!$A$3:$H$102,6,FALSE)&gt;=(VLOOKUP(VLOOKUP(BD$1,main!$A$3:$H$102,8,FALSE),main!$K$26:$M$29,2,FALSE)+VLOOKUP(VLOOKUP(BD$1,main!$A$3:$H$102,7,FALSE),main!$K$19:$O$22,MATCH(VLOOKUP($A80,main!$A$3:$H$102,8,FALSE),main!$K$18:$O$18,0))))),1,0)</f>
        <v>0</v>
      </c>
      <c r="BE80">
        <f>IF((AND(VLOOKUP(BE$1,main!$A$3:$H$102,5,FALSE)-VLOOKUP($A80,main!$A$3:$H$102,6,FALSE)&gt;=(VLOOKUP(VLOOKUP(BE$1,main!$A$3:$H$102,8,FALSE),main!$K$26:$M$29,2,FALSE)+VLOOKUP(VLOOKUP(BE$1,main!$A$3:$H$102,7,FALSE),main!$K$19:$O$22,MATCH(VLOOKUP($A80,main!$A$3:$H$102,8,FALSE),main!$K$18:$O$18,0))))),1,0)</f>
        <v>1</v>
      </c>
      <c r="BF80">
        <f>IF((AND(VLOOKUP(BF$1,main!$A$3:$H$102,5,FALSE)-VLOOKUP($A80,main!$A$3:$H$102,6,FALSE)&gt;=(VLOOKUP(VLOOKUP(BF$1,main!$A$3:$H$102,8,FALSE),main!$K$26:$M$29,2,FALSE)+VLOOKUP(VLOOKUP(BF$1,main!$A$3:$H$102,7,FALSE),main!$K$19:$O$22,MATCH(VLOOKUP($A80,main!$A$3:$H$102,8,FALSE),main!$K$18:$O$18,0))))),1,0)</f>
        <v>0</v>
      </c>
      <c r="BG80">
        <f>IF((AND(VLOOKUP(BG$1,main!$A$3:$H$102,5,FALSE)-VLOOKUP($A80,main!$A$3:$H$102,6,FALSE)&gt;=(VLOOKUP(VLOOKUP(BG$1,main!$A$3:$H$102,8,FALSE),main!$K$26:$M$29,2,FALSE)+VLOOKUP(VLOOKUP(BG$1,main!$A$3:$H$102,7,FALSE),main!$K$19:$O$22,MATCH(VLOOKUP($A80,main!$A$3:$H$102,8,FALSE),main!$K$18:$O$18,0))))),1,0)</f>
        <v>0</v>
      </c>
      <c r="BH80">
        <f>IF((AND(VLOOKUP(BH$1,main!$A$3:$H$102,5,FALSE)-VLOOKUP($A80,main!$A$3:$H$102,6,FALSE)&gt;=(VLOOKUP(VLOOKUP(BH$1,main!$A$3:$H$102,8,FALSE),main!$K$26:$M$29,2,FALSE)+VLOOKUP(VLOOKUP(BH$1,main!$A$3:$H$102,7,FALSE),main!$K$19:$O$22,MATCH(VLOOKUP($A80,main!$A$3:$H$102,8,FALSE),main!$K$18:$O$18,0))))),1,0)</f>
        <v>0</v>
      </c>
      <c r="BI80">
        <f>IF((AND(VLOOKUP(BI$1,main!$A$3:$H$102,5,FALSE)-VLOOKUP($A80,main!$A$3:$H$102,6,FALSE)&gt;=(VLOOKUP(VLOOKUP(BI$1,main!$A$3:$H$102,8,FALSE),main!$K$26:$M$29,2,FALSE)+VLOOKUP(VLOOKUP(BI$1,main!$A$3:$H$102,7,FALSE),main!$K$19:$O$22,MATCH(VLOOKUP($A80,main!$A$3:$H$102,8,FALSE),main!$K$18:$O$18,0))))),1,0)</f>
        <v>1</v>
      </c>
      <c r="BJ80">
        <f>IF((AND(VLOOKUP(BJ$1,main!$A$3:$H$102,5,FALSE)-VLOOKUP($A80,main!$A$3:$H$102,6,FALSE)&gt;=(VLOOKUP(VLOOKUP(BJ$1,main!$A$3:$H$102,8,FALSE),main!$K$26:$M$29,2,FALSE)+VLOOKUP(VLOOKUP(BJ$1,main!$A$3:$H$102,7,FALSE),main!$K$19:$O$22,MATCH(VLOOKUP($A80,main!$A$3:$H$102,8,FALSE),main!$K$18:$O$18,0))))),1,0)</f>
        <v>0</v>
      </c>
      <c r="BK80">
        <f>IF((AND(VLOOKUP(BK$1,main!$A$3:$H$102,5,FALSE)-VLOOKUP($A80,main!$A$3:$H$102,6,FALSE)&gt;=(VLOOKUP(VLOOKUP(BK$1,main!$A$3:$H$102,8,FALSE),main!$K$26:$M$29,2,FALSE)+VLOOKUP(VLOOKUP(BK$1,main!$A$3:$H$102,7,FALSE),main!$K$19:$O$22,MATCH(VLOOKUP($A80,main!$A$3:$H$102,8,FALSE),main!$K$18:$O$18,0))))),1,0)</f>
        <v>0</v>
      </c>
      <c r="BL80">
        <f>IF((AND(VLOOKUP(BL$1,main!$A$3:$H$102,5,FALSE)-VLOOKUP($A80,main!$A$3:$H$102,6,FALSE)&gt;=(VLOOKUP(VLOOKUP(BL$1,main!$A$3:$H$102,8,FALSE),main!$K$26:$M$29,2,FALSE)+VLOOKUP(VLOOKUP(BL$1,main!$A$3:$H$102,7,FALSE),main!$K$19:$O$22,MATCH(VLOOKUP($A80,main!$A$3:$H$102,8,FALSE),main!$K$18:$O$18,0))))),1,0)</f>
        <v>0</v>
      </c>
      <c r="BM80">
        <f>IF((AND(VLOOKUP(BM$1,main!$A$3:$H$102,5,FALSE)-VLOOKUP($A80,main!$A$3:$H$102,6,FALSE)&gt;=(VLOOKUP(VLOOKUP(BM$1,main!$A$3:$H$102,8,FALSE),main!$K$26:$M$29,2,FALSE)+VLOOKUP(VLOOKUP(BM$1,main!$A$3:$H$102,7,FALSE),main!$K$19:$O$22,MATCH(VLOOKUP($A80,main!$A$3:$H$102,8,FALSE),main!$K$18:$O$18,0))))),1,0)</f>
        <v>0</v>
      </c>
      <c r="BN80">
        <f>IF((AND(VLOOKUP(BN$1,main!$A$3:$H$102,5,FALSE)-VLOOKUP($A80,main!$A$3:$H$102,6,FALSE)&gt;=(VLOOKUP(VLOOKUP(BN$1,main!$A$3:$H$102,8,FALSE),main!$K$26:$M$29,2,FALSE)+VLOOKUP(VLOOKUP(BN$1,main!$A$3:$H$102,7,FALSE),main!$K$19:$O$22,MATCH(VLOOKUP($A80,main!$A$3:$H$102,8,FALSE),main!$K$18:$O$18,0))))),1,0)</f>
        <v>0</v>
      </c>
      <c r="BO80">
        <f>IF((AND(VLOOKUP(BO$1,main!$A$3:$H$102,5,FALSE)-VLOOKUP($A80,main!$A$3:$H$102,6,FALSE)&gt;=(VLOOKUP(VLOOKUP(BO$1,main!$A$3:$H$102,8,FALSE),main!$K$26:$M$29,2,FALSE)+VLOOKUP(VLOOKUP(BO$1,main!$A$3:$H$102,7,FALSE),main!$K$19:$O$22,MATCH(VLOOKUP($A80,main!$A$3:$H$102,8,FALSE),main!$K$18:$O$18,0))))),1,0)</f>
        <v>0</v>
      </c>
      <c r="BP80">
        <f>IF((AND(VLOOKUP(BP$1,main!$A$3:$H$102,5,FALSE)-VLOOKUP($A80,main!$A$3:$H$102,6,FALSE)&gt;=(VLOOKUP(VLOOKUP(BP$1,main!$A$3:$H$102,8,FALSE),main!$K$26:$M$29,2,FALSE)+VLOOKUP(VLOOKUP(BP$1,main!$A$3:$H$102,7,FALSE),main!$K$19:$O$22,MATCH(VLOOKUP($A80,main!$A$3:$H$102,8,FALSE),main!$K$18:$O$18,0))))),1,0)</f>
        <v>0</v>
      </c>
      <c r="BQ80">
        <f>IF((AND(VLOOKUP(BQ$1,main!$A$3:$H$102,5,FALSE)-VLOOKUP($A80,main!$A$3:$H$102,6,FALSE)&gt;=(VLOOKUP(VLOOKUP(BQ$1,main!$A$3:$H$102,8,FALSE),main!$K$26:$M$29,2,FALSE)+VLOOKUP(VLOOKUP(BQ$1,main!$A$3:$H$102,7,FALSE),main!$K$19:$O$22,MATCH(VLOOKUP($A80,main!$A$3:$H$102,8,FALSE),main!$K$18:$O$18,0))))),1,0)</f>
        <v>0</v>
      </c>
      <c r="BR80">
        <f>IF((AND(VLOOKUP(BR$1,main!$A$3:$H$102,5,FALSE)-VLOOKUP($A80,main!$A$3:$H$102,6,FALSE)&gt;=(VLOOKUP(VLOOKUP(BR$1,main!$A$3:$H$102,8,FALSE),main!$K$26:$M$29,2,FALSE)+VLOOKUP(VLOOKUP(BR$1,main!$A$3:$H$102,7,FALSE),main!$K$19:$O$22,MATCH(VLOOKUP($A80,main!$A$3:$H$102,8,FALSE),main!$K$18:$O$18,0))))),1,0)</f>
        <v>0</v>
      </c>
      <c r="BS80">
        <f>IF((AND(VLOOKUP(BS$1,main!$A$3:$H$102,5,FALSE)-VLOOKUP($A80,main!$A$3:$H$102,6,FALSE)&gt;=(VLOOKUP(VLOOKUP(BS$1,main!$A$3:$H$102,8,FALSE),main!$K$26:$M$29,2,FALSE)+VLOOKUP(VLOOKUP(BS$1,main!$A$3:$H$102,7,FALSE),main!$K$19:$O$22,MATCH(VLOOKUP($A80,main!$A$3:$H$102,8,FALSE),main!$K$18:$O$18,0))))),1,0)</f>
        <v>0</v>
      </c>
      <c r="BT80">
        <f>IF((AND(VLOOKUP(BT$1,main!$A$3:$H$102,5,FALSE)-VLOOKUP($A80,main!$A$3:$H$102,6,FALSE)&gt;=(VLOOKUP(VLOOKUP(BT$1,main!$A$3:$H$102,8,FALSE),main!$K$26:$M$29,2,FALSE)+VLOOKUP(VLOOKUP(BT$1,main!$A$3:$H$102,7,FALSE),main!$K$19:$O$22,MATCH(VLOOKUP($A80,main!$A$3:$H$102,8,FALSE),main!$K$18:$O$18,0))))),1,0)</f>
        <v>0</v>
      </c>
      <c r="BU80">
        <f>IF((AND(VLOOKUP(BU$1,main!$A$3:$H$102,5,FALSE)-VLOOKUP($A80,main!$A$3:$H$102,6,FALSE)&gt;=(VLOOKUP(VLOOKUP(BU$1,main!$A$3:$H$102,8,FALSE),main!$K$26:$M$29,2,FALSE)+VLOOKUP(VLOOKUP(BU$1,main!$A$3:$H$102,7,FALSE),main!$K$19:$O$22,MATCH(VLOOKUP($A80,main!$A$3:$H$102,8,FALSE),main!$K$18:$O$18,0))))),1,0)</f>
        <v>0</v>
      </c>
      <c r="BV80">
        <f>IF((AND(VLOOKUP(BV$1,main!$A$3:$H$102,5,FALSE)-VLOOKUP($A80,main!$A$3:$H$102,6,FALSE)&gt;=(VLOOKUP(VLOOKUP(BV$1,main!$A$3:$H$102,8,FALSE),main!$K$26:$M$29,2,FALSE)+VLOOKUP(VLOOKUP(BV$1,main!$A$3:$H$102,7,FALSE),main!$K$19:$O$22,MATCH(VLOOKUP($A80,main!$A$3:$H$102,8,FALSE),main!$K$18:$O$18,0))))),1,0)</f>
        <v>0</v>
      </c>
      <c r="BW80">
        <f>IF((AND(VLOOKUP(BW$1,main!$A$3:$H$102,5,FALSE)-VLOOKUP($A80,main!$A$3:$H$102,6,FALSE)&gt;=(VLOOKUP(VLOOKUP(BW$1,main!$A$3:$H$102,8,FALSE),main!$K$26:$M$29,2,FALSE)+VLOOKUP(VLOOKUP(BW$1,main!$A$3:$H$102,7,FALSE),main!$K$19:$O$22,MATCH(VLOOKUP($A80,main!$A$3:$H$102,8,FALSE),main!$K$18:$O$18,0))))),1,0)</f>
        <v>0</v>
      </c>
      <c r="BX80">
        <f>IF((AND(VLOOKUP(BX$1,main!$A$3:$H$102,5,FALSE)-VLOOKUP($A80,main!$A$3:$H$102,6,FALSE)&gt;=(VLOOKUP(VLOOKUP(BX$1,main!$A$3:$H$102,8,FALSE),main!$K$26:$M$29,2,FALSE)+VLOOKUP(VLOOKUP(BX$1,main!$A$3:$H$102,7,FALSE),main!$K$19:$O$22,MATCH(VLOOKUP($A80,main!$A$3:$H$102,8,FALSE),main!$K$18:$O$18,0))))),1,0)</f>
        <v>0</v>
      </c>
      <c r="BY80">
        <f>IF((AND(VLOOKUP(BY$1,main!$A$3:$H$102,5,FALSE)-VLOOKUP($A80,main!$A$3:$H$102,6,FALSE)&gt;=(VLOOKUP(VLOOKUP(BY$1,main!$A$3:$H$102,8,FALSE),main!$K$26:$M$29,2,FALSE)+VLOOKUP(VLOOKUP(BY$1,main!$A$3:$H$102,7,FALSE),main!$K$19:$O$22,MATCH(VLOOKUP($A80,main!$A$3:$H$102,8,FALSE),main!$K$18:$O$18,0))))),1,0)</f>
        <v>0</v>
      </c>
      <c r="BZ80">
        <f>IF((AND(VLOOKUP(BZ$1,main!$A$3:$H$102,5,FALSE)-VLOOKUP($A80,main!$A$3:$H$102,6,FALSE)&gt;=(VLOOKUP(VLOOKUP(BZ$1,main!$A$3:$H$102,8,FALSE),main!$K$26:$M$29,2,FALSE)+VLOOKUP(VLOOKUP(BZ$1,main!$A$3:$H$102,7,FALSE),main!$K$19:$O$22,MATCH(VLOOKUP($A80,main!$A$3:$H$102,8,FALSE),main!$K$18:$O$18,0))))),1,0)</f>
        <v>0</v>
      </c>
      <c r="CA80">
        <f>IF((AND(VLOOKUP(CA$1,main!$A$3:$H$102,5,FALSE)-VLOOKUP($A80,main!$A$3:$H$102,6,FALSE)&gt;=(VLOOKUP(VLOOKUP(CA$1,main!$A$3:$H$102,8,FALSE),main!$K$26:$M$29,2,FALSE)+VLOOKUP(VLOOKUP(CA$1,main!$A$3:$H$102,7,FALSE),main!$K$19:$O$22,MATCH(VLOOKUP($A80,main!$A$3:$H$102,8,FALSE),main!$K$18:$O$18,0))))),1,0)</f>
        <v>0</v>
      </c>
      <c r="CB80">
        <f>IF((AND(VLOOKUP(CB$1,main!$A$3:$H$102,5,FALSE)-VLOOKUP($A80,main!$A$3:$H$102,6,FALSE)&gt;=(VLOOKUP(VLOOKUP(CB$1,main!$A$3:$H$102,8,FALSE),main!$K$26:$M$29,2,FALSE)+VLOOKUP(VLOOKUP(CB$1,main!$A$3:$H$102,7,FALSE),main!$K$19:$O$22,MATCH(VLOOKUP($A80,main!$A$3:$H$102,8,FALSE),main!$K$18:$O$18,0))))),1,0)</f>
        <v>0</v>
      </c>
      <c r="CC80">
        <f>IF((AND(VLOOKUP(CC$1,main!$A$3:$H$102,5,FALSE)-VLOOKUP($A80,main!$A$3:$H$102,6,FALSE)&gt;=(VLOOKUP(VLOOKUP(CC$1,main!$A$3:$H$102,8,FALSE),main!$K$26:$M$29,2,FALSE)+VLOOKUP(VLOOKUP(CC$1,main!$A$3:$H$102,7,FALSE),main!$K$19:$O$22,MATCH(VLOOKUP($A80,main!$A$3:$H$102,8,FALSE),main!$K$18:$O$18,0))))),1,0)</f>
        <v>1</v>
      </c>
      <c r="CD80">
        <f>IF((AND(VLOOKUP(CD$1,main!$A$3:$H$102,5,FALSE)-VLOOKUP($A80,main!$A$3:$H$102,6,FALSE)&gt;=(VLOOKUP(VLOOKUP(CD$1,main!$A$3:$H$102,8,FALSE),main!$K$26:$M$29,2,FALSE)+VLOOKUP(VLOOKUP(CD$1,main!$A$3:$H$102,7,FALSE),main!$K$19:$O$22,MATCH(VLOOKUP($A80,main!$A$3:$H$102,8,FALSE),main!$K$18:$O$18,0))))),1,0)</f>
        <v>0</v>
      </c>
      <c r="CE80">
        <f>IF((AND(VLOOKUP(CE$1,main!$A$3:$H$102,5,FALSE)-VLOOKUP($A80,main!$A$3:$H$102,6,FALSE)&gt;=(VLOOKUP(VLOOKUP(CE$1,main!$A$3:$H$102,8,FALSE),main!$K$26:$M$29,2,FALSE)+VLOOKUP(VLOOKUP(CE$1,main!$A$3:$H$102,7,FALSE),main!$K$19:$O$22,MATCH(VLOOKUP($A80,main!$A$3:$H$102,8,FALSE),main!$K$18:$O$18,0))))),1,0)</f>
        <v>0</v>
      </c>
      <c r="CF80">
        <f>IF((AND(VLOOKUP(CF$1,main!$A$3:$H$102,5,FALSE)-VLOOKUP($A80,main!$A$3:$H$102,6,FALSE)&gt;=(VLOOKUP(VLOOKUP(CF$1,main!$A$3:$H$102,8,FALSE),main!$K$26:$M$29,2,FALSE)+VLOOKUP(VLOOKUP(CF$1,main!$A$3:$H$102,7,FALSE),main!$K$19:$O$22,MATCH(VLOOKUP($A80,main!$A$3:$H$102,8,FALSE),main!$K$18:$O$18,0))))),1,0)</f>
        <v>0</v>
      </c>
      <c r="CG80">
        <f>IF((AND(VLOOKUP(CG$1,main!$A$3:$H$102,5,FALSE)-VLOOKUP($A80,main!$A$3:$H$102,6,FALSE)&gt;=(VLOOKUP(VLOOKUP(CG$1,main!$A$3:$H$102,8,FALSE),main!$K$26:$M$29,2,FALSE)+VLOOKUP(VLOOKUP(CG$1,main!$A$3:$H$102,7,FALSE),main!$K$19:$O$22,MATCH(VLOOKUP($A80,main!$A$3:$H$102,8,FALSE),main!$K$18:$O$18,0))))),1,0)</f>
        <v>0</v>
      </c>
      <c r="CH80">
        <f>IF((AND(VLOOKUP(CH$1,main!$A$3:$H$102,5,FALSE)-VLOOKUP($A80,main!$A$3:$H$102,6,FALSE)&gt;=(VLOOKUP(VLOOKUP(CH$1,main!$A$3:$H$102,8,FALSE),main!$K$26:$M$29,2,FALSE)+VLOOKUP(VLOOKUP(CH$1,main!$A$3:$H$102,7,FALSE),main!$K$19:$O$22,MATCH(VLOOKUP($A80,main!$A$3:$H$102,8,FALSE),main!$K$18:$O$18,0))))),1,0)</f>
        <v>1</v>
      </c>
      <c r="CI80">
        <f>IF((AND(VLOOKUP(CI$1,main!$A$3:$H$102,5,FALSE)-VLOOKUP($A80,main!$A$3:$H$102,6,FALSE)&gt;=(VLOOKUP(VLOOKUP(CI$1,main!$A$3:$H$102,8,FALSE),main!$K$26:$M$29,2,FALSE)+VLOOKUP(VLOOKUP(CI$1,main!$A$3:$H$102,7,FALSE),main!$K$19:$O$22,MATCH(VLOOKUP($A80,main!$A$3:$H$102,8,FALSE),main!$K$18:$O$18,0))))),1,0)</f>
        <v>1</v>
      </c>
      <c r="CJ80">
        <f>IF((AND(VLOOKUP(CJ$1,main!$A$3:$H$102,5,FALSE)-VLOOKUP($A80,main!$A$3:$H$102,6,FALSE)&gt;=(VLOOKUP(VLOOKUP(CJ$1,main!$A$3:$H$102,8,FALSE),main!$K$26:$M$29,2,FALSE)+VLOOKUP(VLOOKUP(CJ$1,main!$A$3:$H$102,7,FALSE),main!$K$19:$O$22,MATCH(VLOOKUP($A80,main!$A$3:$H$102,8,FALSE),main!$K$18:$O$18,0))))),1,0)</f>
        <v>0</v>
      </c>
      <c r="CK80">
        <f>IF((AND(VLOOKUP(CK$1,main!$A$3:$H$102,5,FALSE)-VLOOKUP($A80,main!$A$3:$H$102,6,FALSE)&gt;=(VLOOKUP(VLOOKUP(CK$1,main!$A$3:$H$102,8,FALSE),main!$K$26:$M$29,2,FALSE)+VLOOKUP(VLOOKUP(CK$1,main!$A$3:$H$102,7,FALSE),main!$K$19:$O$22,MATCH(VLOOKUP($A80,main!$A$3:$H$102,8,FALSE),main!$K$18:$O$18,0))))),1,0)</f>
        <v>0</v>
      </c>
      <c r="CL80">
        <f>IF((AND(VLOOKUP(CL$1,main!$A$3:$H$102,5,FALSE)-VLOOKUP($A80,main!$A$3:$H$102,6,FALSE)&gt;=(VLOOKUP(VLOOKUP(CL$1,main!$A$3:$H$102,8,FALSE),main!$K$26:$M$29,2,FALSE)+VLOOKUP(VLOOKUP(CL$1,main!$A$3:$H$102,7,FALSE),main!$K$19:$O$22,MATCH(VLOOKUP($A80,main!$A$3:$H$102,8,FALSE),main!$K$18:$O$18,0))))),1,0)</f>
        <v>0</v>
      </c>
      <c r="CM80">
        <f>IF((AND(VLOOKUP(CM$1,main!$A$3:$H$102,5,FALSE)-VLOOKUP($A80,main!$A$3:$H$102,6,FALSE)&gt;=(VLOOKUP(VLOOKUP(CM$1,main!$A$3:$H$102,8,FALSE),main!$K$26:$M$29,2,FALSE)+VLOOKUP(VLOOKUP(CM$1,main!$A$3:$H$102,7,FALSE),main!$K$19:$O$22,MATCH(VLOOKUP($A80,main!$A$3:$H$102,8,FALSE),main!$K$18:$O$18,0))))),1,0)</f>
        <v>0</v>
      </c>
      <c r="CN80">
        <f>IF((AND(VLOOKUP(CN$1,main!$A$3:$H$102,5,FALSE)-VLOOKUP($A80,main!$A$3:$H$102,6,FALSE)&gt;=(VLOOKUP(VLOOKUP(CN$1,main!$A$3:$H$102,8,FALSE),main!$K$26:$M$29,2,FALSE)+VLOOKUP(VLOOKUP(CN$1,main!$A$3:$H$102,7,FALSE),main!$K$19:$O$22,MATCH(VLOOKUP($A80,main!$A$3:$H$102,8,FALSE),main!$K$18:$O$18,0))))),1,0)</f>
        <v>1</v>
      </c>
      <c r="CO80">
        <f>IF((AND(VLOOKUP(CO$1,main!$A$3:$H$102,5,FALSE)-VLOOKUP($A80,main!$A$3:$H$102,6,FALSE)&gt;=(VLOOKUP(VLOOKUP(CO$1,main!$A$3:$H$102,8,FALSE),main!$K$26:$M$29,2,FALSE)+VLOOKUP(VLOOKUP(CO$1,main!$A$3:$H$102,7,FALSE),main!$K$19:$O$22,MATCH(VLOOKUP($A80,main!$A$3:$H$102,8,FALSE),main!$K$18:$O$18,0))))),1,0)</f>
        <v>0</v>
      </c>
      <c r="CP80">
        <f>IF((AND(VLOOKUP(CP$1,main!$A$3:$H$102,5,FALSE)-VLOOKUP($A80,main!$A$3:$H$102,6,FALSE)&gt;=(VLOOKUP(VLOOKUP(CP$1,main!$A$3:$H$102,8,FALSE),main!$K$26:$M$29,2,FALSE)+VLOOKUP(VLOOKUP(CP$1,main!$A$3:$H$102,7,FALSE),main!$K$19:$O$22,MATCH(VLOOKUP($A80,main!$A$3:$H$102,8,FALSE),main!$K$18:$O$18,0))))),1,0)</f>
        <v>0</v>
      </c>
      <c r="CQ80">
        <f>IF((AND(VLOOKUP(CQ$1,main!$A$3:$H$102,5,FALSE)-VLOOKUP($A80,main!$A$3:$H$102,6,FALSE)&gt;=(VLOOKUP(VLOOKUP(CQ$1,main!$A$3:$H$102,8,FALSE),main!$K$26:$M$29,2,FALSE)+VLOOKUP(VLOOKUP(CQ$1,main!$A$3:$H$102,7,FALSE),main!$K$19:$O$22,MATCH(VLOOKUP($A80,main!$A$3:$H$102,8,FALSE),main!$K$18:$O$18,0))))),1,0)</f>
        <v>0</v>
      </c>
      <c r="CR80">
        <f>IF((AND(VLOOKUP(CR$1,main!$A$3:$H$102,5,FALSE)-VLOOKUP($A80,main!$A$3:$H$102,6,FALSE)&gt;=(VLOOKUP(VLOOKUP(CR$1,main!$A$3:$H$102,8,FALSE),main!$K$26:$M$29,2,FALSE)+VLOOKUP(VLOOKUP(CR$1,main!$A$3:$H$102,7,FALSE),main!$K$19:$O$22,MATCH(VLOOKUP($A80,main!$A$3:$H$102,8,FALSE),main!$K$18:$O$18,0))))),1,0)</f>
        <v>0</v>
      </c>
      <c r="CS80">
        <f>IF((AND(VLOOKUP(CS$1,main!$A$3:$H$102,5,FALSE)-VLOOKUP($A80,main!$A$3:$H$102,6,FALSE)&gt;=(VLOOKUP(VLOOKUP(CS$1,main!$A$3:$H$102,8,FALSE),main!$K$26:$M$29,2,FALSE)+VLOOKUP(VLOOKUP(CS$1,main!$A$3:$H$102,7,FALSE),main!$K$19:$O$22,MATCH(VLOOKUP($A80,main!$A$3:$H$102,8,FALSE),main!$K$18:$O$18,0))))),1,0)</f>
        <v>0</v>
      </c>
      <c r="CT80">
        <f>IF((AND(VLOOKUP(CT$1,main!$A$3:$H$102,5,FALSE)-VLOOKUP($A80,main!$A$3:$H$102,6,FALSE)&gt;=(VLOOKUP(VLOOKUP(CT$1,main!$A$3:$H$102,8,FALSE),main!$K$26:$M$29,2,FALSE)+VLOOKUP(VLOOKUP(CT$1,main!$A$3:$H$102,7,FALSE),main!$K$19:$O$22,MATCH(VLOOKUP($A80,main!$A$3:$H$102,8,FALSE),main!$K$18:$O$18,0))))),1,0)</f>
        <v>0</v>
      </c>
      <c r="CU80">
        <f>IF((AND(VLOOKUP(CU$1,main!$A$3:$H$102,5,FALSE)-VLOOKUP($A80,main!$A$3:$H$102,6,FALSE)&gt;=(VLOOKUP(VLOOKUP(CU$1,main!$A$3:$H$102,8,FALSE),main!$K$26:$M$29,2,FALSE)+VLOOKUP(VLOOKUP(CU$1,main!$A$3:$H$102,7,FALSE),main!$K$19:$O$22,MATCH(VLOOKUP($A80,main!$A$3:$H$102,8,FALSE),main!$K$18:$O$18,0))))),1,0)</f>
        <v>0</v>
      </c>
      <c r="CV80">
        <f>IF((AND(VLOOKUP(CV$1,main!$A$3:$H$102,5,FALSE)-VLOOKUP($A80,main!$A$3:$H$102,6,FALSE)&gt;=(VLOOKUP(VLOOKUP(CV$1,main!$A$3:$H$102,8,FALSE),main!$K$26:$M$29,2,FALSE)+VLOOKUP(VLOOKUP(CV$1,main!$A$3:$H$102,7,FALSE),main!$K$19:$O$22,MATCH(VLOOKUP($A80,main!$A$3:$H$102,8,FALSE),main!$K$18:$O$18,0))))),1,0)</f>
        <v>0</v>
      </c>
      <c r="CW80">
        <f>IF((AND(VLOOKUP(CW$1,main!$A$3:$H$102,5,FALSE)-VLOOKUP($A80,main!$A$3:$H$102,6,FALSE)&gt;=(VLOOKUP(VLOOKUP(CW$1,main!$A$3:$H$102,8,FALSE),main!$K$26:$M$29,2,FALSE)+VLOOKUP(VLOOKUP(CW$1,main!$A$3:$H$102,7,FALSE),main!$K$19:$O$22,MATCH(VLOOKUP($A80,main!$A$3:$H$102,8,FALSE),main!$K$18:$O$18,0))))),1,0)</f>
        <v>0</v>
      </c>
      <c r="CX80">
        <f>IF((AND(VLOOKUP(CX$1,main!$A$3:$H$102,5,FALSE)-VLOOKUP($A80,main!$A$3:$H$102,6,FALSE)&gt;=(VLOOKUP(VLOOKUP(CX$1,main!$A$3:$H$102,8,FALSE),main!$K$26:$M$29,2,FALSE)+VLOOKUP(VLOOKUP(CX$1,main!$A$3:$H$102,7,FALSE),main!$K$19:$O$22,MATCH(VLOOKUP($A80,main!$A$3:$H$102,8,FALSE),main!$K$18:$O$18,0))))),1,0)</f>
        <v>1</v>
      </c>
    </row>
    <row r="81" spans="1:102" x14ac:dyDescent="0.25">
      <c r="A81" s="1">
        <v>79</v>
      </c>
      <c r="B81">
        <v>1</v>
      </c>
      <c r="C81">
        <f>IF((AND(VLOOKUP(C$1,main!$A$3:$H$102,5,FALSE)-VLOOKUP($A81,main!$A$3:$H$102,6,FALSE)&gt;=(VLOOKUP(VLOOKUP(C$1,main!$A$3:$H$102,8,FALSE),main!$K$26:$M$29,2,FALSE)+VLOOKUP(VLOOKUP(C$1,main!$A$3:$H$102,7,FALSE),main!$K$19:$O$22,MATCH(VLOOKUP($A81,main!$A$3:$H$102,8,FALSE),main!$K$18:$O$18,0))))),1,0)</f>
        <v>0</v>
      </c>
      <c r="D81">
        <f>IF((AND(VLOOKUP(D$1,main!$A$3:$H$102,5,FALSE)-VLOOKUP($A81,main!$A$3:$H$102,6,FALSE)&gt;=(VLOOKUP(VLOOKUP(D$1,main!$A$3:$H$102,8,FALSE),main!$K$26:$M$29,2,FALSE)+VLOOKUP(VLOOKUP(D$1,main!$A$3:$H$102,7,FALSE),main!$K$19:$O$22,MATCH(VLOOKUP($A81,main!$A$3:$H$102,8,FALSE),main!$K$18:$O$18,0))))),1,0)</f>
        <v>0</v>
      </c>
      <c r="E81">
        <f>IF((AND(VLOOKUP(E$1,main!$A$3:$H$102,5,FALSE)-VLOOKUP($A81,main!$A$3:$H$102,6,FALSE)&gt;=(VLOOKUP(VLOOKUP(E$1,main!$A$3:$H$102,8,FALSE),main!$K$26:$M$29,2,FALSE)+VLOOKUP(VLOOKUP(E$1,main!$A$3:$H$102,7,FALSE),main!$K$19:$O$22,MATCH(VLOOKUP($A81,main!$A$3:$H$102,8,FALSE),main!$K$18:$O$18,0))))),1,0)</f>
        <v>0</v>
      </c>
      <c r="F81">
        <f>IF((AND(VLOOKUP(F$1,main!$A$3:$H$102,5,FALSE)-VLOOKUP($A81,main!$A$3:$H$102,6,FALSE)&gt;=(VLOOKUP(VLOOKUP(F$1,main!$A$3:$H$102,8,FALSE),main!$K$26:$M$29,2,FALSE)+VLOOKUP(VLOOKUP(F$1,main!$A$3:$H$102,7,FALSE),main!$K$19:$O$22,MATCH(VLOOKUP($A81,main!$A$3:$H$102,8,FALSE),main!$K$18:$O$18,0))))),1,0)</f>
        <v>0</v>
      </c>
      <c r="G81">
        <f>IF((AND(VLOOKUP(G$1,main!$A$3:$H$102,5,FALSE)-VLOOKUP($A81,main!$A$3:$H$102,6,FALSE)&gt;=(VLOOKUP(VLOOKUP(G$1,main!$A$3:$H$102,8,FALSE),main!$K$26:$M$29,2,FALSE)+VLOOKUP(VLOOKUP(G$1,main!$A$3:$H$102,7,FALSE),main!$K$19:$O$22,MATCH(VLOOKUP($A81,main!$A$3:$H$102,8,FALSE),main!$K$18:$O$18,0))))),1,0)</f>
        <v>0</v>
      </c>
      <c r="H81">
        <f>IF((AND(VLOOKUP(H$1,main!$A$3:$H$102,5,FALSE)-VLOOKUP($A81,main!$A$3:$H$102,6,FALSE)&gt;=(VLOOKUP(VLOOKUP(H$1,main!$A$3:$H$102,8,FALSE),main!$K$26:$M$29,2,FALSE)+VLOOKUP(VLOOKUP(H$1,main!$A$3:$H$102,7,FALSE),main!$K$19:$O$22,MATCH(VLOOKUP($A81,main!$A$3:$H$102,8,FALSE),main!$K$18:$O$18,0))))),1,0)</f>
        <v>0</v>
      </c>
      <c r="I81">
        <f>IF((AND(VLOOKUP(I$1,main!$A$3:$H$102,5,FALSE)-VLOOKUP($A81,main!$A$3:$H$102,6,FALSE)&gt;=(VLOOKUP(VLOOKUP(I$1,main!$A$3:$H$102,8,FALSE),main!$K$26:$M$29,2,FALSE)+VLOOKUP(VLOOKUP(I$1,main!$A$3:$H$102,7,FALSE),main!$K$19:$O$22,MATCH(VLOOKUP($A81,main!$A$3:$H$102,8,FALSE),main!$K$18:$O$18,0))))),1,0)</f>
        <v>0</v>
      </c>
      <c r="J81">
        <f>IF((AND(VLOOKUP(J$1,main!$A$3:$H$102,5,FALSE)-VLOOKUP($A81,main!$A$3:$H$102,6,FALSE)&gt;=(VLOOKUP(VLOOKUP(J$1,main!$A$3:$H$102,8,FALSE),main!$K$26:$M$29,2,FALSE)+VLOOKUP(VLOOKUP(J$1,main!$A$3:$H$102,7,FALSE),main!$K$19:$O$22,MATCH(VLOOKUP($A81,main!$A$3:$H$102,8,FALSE),main!$K$18:$O$18,0))))),1,0)</f>
        <v>0</v>
      </c>
      <c r="K81">
        <f>IF((AND(VLOOKUP(K$1,main!$A$3:$H$102,5,FALSE)-VLOOKUP($A81,main!$A$3:$H$102,6,FALSE)&gt;=(VLOOKUP(VLOOKUP(K$1,main!$A$3:$H$102,8,FALSE),main!$K$26:$M$29,2,FALSE)+VLOOKUP(VLOOKUP(K$1,main!$A$3:$H$102,7,FALSE),main!$K$19:$O$22,MATCH(VLOOKUP($A81,main!$A$3:$H$102,8,FALSE),main!$K$18:$O$18,0))))),1,0)</f>
        <v>0</v>
      </c>
      <c r="L81">
        <f>IF((AND(VLOOKUP(L$1,main!$A$3:$H$102,5,FALSE)-VLOOKUP($A81,main!$A$3:$H$102,6,FALSE)&gt;=(VLOOKUP(VLOOKUP(L$1,main!$A$3:$H$102,8,FALSE),main!$K$26:$M$29,2,FALSE)+VLOOKUP(VLOOKUP(L$1,main!$A$3:$H$102,7,FALSE),main!$K$19:$O$22,MATCH(VLOOKUP($A81,main!$A$3:$H$102,8,FALSE),main!$K$18:$O$18,0))))),1,0)</f>
        <v>0</v>
      </c>
      <c r="M81">
        <f>IF((AND(VLOOKUP(M$1,main!$A$3:$H$102,5,FALSE)-VLOOKUP($A81,main!$A$3:$H$102,6,FALSE)&gt;=(VLOOKUP(VLOOKUP(M$1,main!$A$3:$H$102,8,FALSE),main!$K$26:$M$29,2,FALSE)+VLOOKUP(VLOOKUP(M$1,main!$A$3:$H$102,7,FALSE),main!$K$19:$O$22,MATCH(VLOOKUP($A81,main!$A$3:$H$102,8,FALSE),main!$K$18:$O$18,0))))),1,0)</f>
        <v>0</v>
      </c>
      <c r="N81">
        <f>IF((AND(VLOOKUP(N$1,main!$A$3:$H$102,5,FALSE)-VLOOKUP($A81,main!$A$3:$H$102,6,FALSE)&gt;=(VLOOKUP(VLOOKUP(N$1,main!$A$3:$H$102,8,FALSE),main!$K$26:$M$29,2,FALSE)+VLOOKUP(VLOOKUP(N$1,main!$A$3:$H$102,7,FALSE),main!$K$19:$O$22,MATCH(VLOOKUP($A81,main!$A$3:$H$102,8,FALSE),main!$K$18:$O$18,0))))),1,0)</f>
        <v>0</v>
      </c>
      <c r="O81">
        <f>IF((AND(VLOOKUP(O$1,main!$A$3:$H$102,5,FALSE)-VLOOKUP($A81,main!$A$3:$H$102,6,FALSE)&gt;=(VLOOKUP(VLOOKUP(O$1,main!$A$3:$H$102,8,FALSE),main!$K$26:$M$29,2,FALSE)+VLOOKUP(VLOOKUP(O$1,main!$A$3:$H$102,7,FALSE),main!$K$19:$O$22,MATCH(VLOOKUP($A81,main!$A$3:$H$102,8,FALSE),main!$K$18:$O$18,0))))),1,0)</f>
        <v>0</v>
      </c>
      <c r="P81">
        <f>IF((AND(VLOOKUP(P$1,main!$A$3:$H$102,5,FALSE)-VLOOKUP($A81,main!$A$3:$H$102,6,FALSE)&gt;=(VLOOKUP(VLOOKUP(P$1,main!$A$3:$H$102,8,FALSE),main!$K$26:$M$29,2,FALSE)+VLOOKUP(VLOOKUP(P$1,main!$A$3:$H$102,7,FALSE),main!$K$19:$O$22,MATCH(VLOOKUP($A81,main!$A$3:$H$102,8,FALSE),main!$K$18:$O$18,0))))),1,0)</f>
        <v>0</v>
      </c>
      <c r="Q81">
        <f>IF((AND(VLOOKUP(Q$1,main!$A$3:$H$102,5,FALSE)-VLOOKUP($A81,main!$A$3:$H$102,6,FALSE)&gt;=(VLOOKUP(VLOOKUP(Q$1,main!$A$3:$H$102,8,FALSE),main!$K$26:$M$29,2,FALSE)+VLOOKUP(VLOOKUP(Q$1,main!$A$3:$H$102,7,FALSE),main!$K$19:$O$22,MATCH(VLOOKUP($A81,main!$A$3:$H$102,8,FALSE),main!$K$18:$O$18,0))))),1,0)</f>
        <v>0</v>
      </c>
      <c r="R81">
        <f>IF((AND(VLOOKUP(R$1,main!$A$3:$H$102,5,FALSE)-VLOOKUP($A81,main!$A$3:$H$102,6,FALSE)&gt;=(VLOOKUP(VLOOKUP(R$1,main!$A$3:$H$102,8,FALSE),main!$K$26:$M$29,2,FALSE)+VLOOKUP(VLOOKUP(R$1,main!$A$3:$H$102,7,FALSE),main!$K$19:$O$22,MATCH(VLOOKUP($A81,main!$A$3:$H$102,8,FALSE),main!$K$18:$O$18,0))))),1,0)</f>
        <v>0</v>
      </c>
      <c r="S81">
        <f>IF((AND(VLOOKUP(S$1,main!$A$3:$H$102,5,FALSE)-VLOOKUP($A81,main!$A$3:$H$102,6,FALSE)&gt;=(VLOOKUP(VLOOKUP(S$1,main!$A$3:$H$102,8,FALSE),main!$K$26:$M$29,2,FALSE)+VLOOKUP(VLOOKUP(S$1,main!$A$3:$H$102,7,FALSE),main!$K$19:$O$22,MATCH(VLOOKUP($A81,main!$A$3:$H$102,8,FALSE),main!$K$18:$O$18,0))))),1,0)</f>
        <v>0</v>
      </c>
      <c r="T81">
        <f>IF((AND(VLOOKUP(T$1,main!$A$3:$H$102,5,FALSE)-VLOOKUP($A81,main!$A$3:$H$102,6,FALSE)&gt;=(VLOOKUP(VLOOKUP(T$1,main!$A$3:$H$102,8,FALSE),main!$K$26:$M$29,2,FALSE)+VLOOKUP(VLOOKUP(T$1,main!$A$3:$H$102,7,FALSE),main!$K$19:$O$22,MATCH(VLOOKUP($A81,main!$A$3:$H$102,8,FALSE),main!$K$18:$O$18,0))))),1,0)</f>
        <v>0</v>
      </c>
      <c r="U81">
        <f>IF((AND(VLOOKUP(U$1,main!$A$3:$H$102,5,FALSE)-VLOOKUP($A81,main!$A$3:$H$102,6,FALSE)&gt;=(VLOOKUP(VLOOKUP(U$1,main!$A$3:$H$102,8,FALSE),main!$K$26:$M$29,2,FALSE)+VLOOKUP(VLOOKUP(U$1,main!$A$3:$H$102,7,FALSE),main!$K$19:$O$22,MATCH(VLOOKUP($A81,main!$A$3:$H$102,8,FALSE),main!$K$18:$O$18,0))))),1,0)</f>
        <v>0</v>
      </c>
      <c r="V81">
        <f>IF((AND(VLOOKUP(V$1,main!$A$3:$H$102,5,FALSE)-VLOOKUP($A81,main!$A$3:$H$102,6,FALSE)&gt;=(VLOOKUP(VLOOKUP(V$1,main!$A$3:$H$102,8,FALSE),main!$K$26:$M$29,2,FALSE)+VLOOKUP(VLOOKUP(V$1,main!$A$3:$H$102,7,FALSE),main!$K$19:$O$22,MATCH(VLOOKUP($A81,main!$A$3:$H$102,8,FALSE),main!$K$18:$O$18,0))))),1,0)</f>
        <v>0</v>
      </c>
      <c r="W81">
        <f>IF((AND(VLOOKUP(W$1,main!$A$3:$H$102,5,FALSE)-VLOOKUP($A81,main!$A$3:$H$102,6,FALSE)&gt;=(VLOOKUP(VLOOKUP(W$1,main!$A$3:$H$102,8,FALSE),main!$K$26:$M$29,2,FALSE)+VLOOKUP(VLOOKUP(W$1,main!$A$3:$H$102,7,FALSE),main!$K$19:$O$22,MATCH(VLOOKUP($A81,main!$A$3:$H$102,8,FALSE),main!$K$18:$O$18,0))))),1,0)</f>
        <v>0</v>
      </c>
      <c r="X81">
        <f>IF((AND(VLOOKUP(X$1,main!$A$3:$H$102,5,FALSE)-VLOOKUP($A81,main!$A$3:$H$102,6,FALSE)&gt;=(VLOOKUP(VLOOKUP(X$1,main!$A$3:$H$102,8,FALSE),main!$K$26:$M$29,2,FALSE)+VLOOKUP(VLOOKUP(X$1,main!$A$3:$H$102,7,FALSE),main!$K$19:$O$22,MATCH(VLOOKUP($A81,main!$A$3:$H$102,8,FALSE),main!$K$18:$O$18,0))))),1,0)</f>
        <v>0</v>
      </c>
      <c r="Y81">
        <f>IF((AND(VLOOKUP(Y$1,main!$A$3:$H$102,5,FALSE)-VLOOKUP($A81,main!$A$3:$H$102,6,FALSE)&gt;=(VLOOKUP(VLOOKUP(Y$1,main!$A$3:$H$102,8,FALSE),main!$K$26:$M$29,2,FALSE)+VLOOKUP(VLOOKUP(Y$1,main!$A$3:$H$102,7,FALSE),main!$K$19:$O$22,MATCH(VLOOKUP($A81,main!$A$3:$H$102,8,FALSE),main!$K$18:$O$18,0))))),1,0)</f>
        <v>0</v>
      </c>
      <c r="Z81">
        <f>IF((AND(VLOOKUP(Z$1,main!$A$3:$H$102,5,FALSE)-VLOOKUP($A81,main!$A$3:$H$102,6,FALSE)&gt;=(VLOOKUP(VLOOKUP(Z$1,main!$A$3:$H$102,8,FALSE),main!$K$26:$M$29,2,FALSE)+VLOOKUP(VLOOKUP(Z$1,main!$A$3:$H$102,7,FALSE),main!$K$19:$O$22,MATCH(VLOOKUP($A81,main!$A$3:$H$102,8,FALSE),main!$K$18:$O$18,0))))),1,0)</f>
        <v>0</v>
      </c>
      <c r="AA81">
        <f>IF((AND(VLOOKUP(AA$1,main!$A$3:$H$102,5,FALSE)-VLOOKUP($A81,main!$A$3:$H$102,6,FALSE)&gt;=(VLOOKUP(VLOOKUP(AA$1,main!$A$3:$H$102,8,FALSE),main!$K$26:$M$29,2,FALSE)+VLOOKUP(VLOOKUP(AA$1,main!$A$3:$H$102,7,FALSE),main!$K$19:$O$22,MATCH(VLOOKUP($A81,main!$A$3:$H$102,8,FALSE),main!$K$18:$O$18,0))))),1,0)</f>
        <v>0</v>
      </c>
      <c r="AB81">
        <f>IF((AND(VLOOKUP(AB$1,main!$A$3:$H$102,5,FALSE)-VLOOKUP($A81,main!$A$3:$H$102,6,FALSE)&gt;=(VLOOKUP(VLOOKUP(AB$1,main!$A$3:$H$102,8,FALSE),main!$K$26:$M$29,2,FALSE)+VLOOKUP(VLOOKUP(AB$1,main!$A$3:$H$102,7,FALSE),main!$K$19:$O$22,MATCH(VLOOKUP($A81,main!$A$3:$H$102,8,FALSE),main!$K$18:$O$18,0))))),1,0)</f>
        <v>0</v>
      </c>
      <c r="AC81">
        <f>IF((AND(VLOOKUP(AC$1,main!$A$3:$H$102,5,FALSE)-VLOOKUP($A81,main!$A$3:$H$102,6,FALSE)&gt;=(VLOOKUP(VLOOKUP(AC$1,main!$A$3:$H$102,8,FALSE),main!$K$26:$M$29,2,FALSE)+VLOOKUP(VLOOKUP(AC$1,main!$A$3:$H$102,7,FALSE),main!$K$19:$O$22,MATCH(VLOOKUP($A81,main!$A$3:$H$102,8,FALSE),main!$K$18:$O$18,0))))),1,0)</f>
        <v>0</v>
      </c>
      <c r="AD81">
        <f>IF((AND(VLOOKUP(AD$1,main!$A$3:$H$102,5,FALSE)-VLOOKUP($A81,main!$A$3:$H$102,6,FALSE)&gt;=(VLOOKUP(VLOOKUP(AD$1,main!$A$3:$H$102,8,FALSE),main!$K$26:$M$29,2,FALSE)+VLOOKUP(VLOOKUP(AD$1,main!$A$3:$H$102,7,FALSE),main!$K$19:$O$22,MATCH(VLOOKUP($A81,main!$A$3:$H$102,8,FALSE),main!$K$18:$O$18,0))))),1,0)</f>
        <v>0</v>
      </c>
      <c r="AE81">
        <f>IF((AND(VLOOKUP(AE$1,main!$A$3:$H$102,5,FALSE)-VLOOKUP($A81,main!$A$3:$H$102,6,FALSE)&gt;=(VLOOKUP(VLOOKUP(AE$1,main!$A$3:$H$102,8,FALSE),main!$K$26:$M$29,2,FALSE)+VLOOKUP(VLOOKUP(AE$1,main!$A$3:$H$102,7,FALSE),main!$K$19:$O$22,MATCH(VLOOKUP($A81,main!$A$3:$H$102,8,FALSE),main!$K$18:$O$18,0))))),1,0)</f>
        <v>0</v>
      </c>
      <c r="AF81">
        <f>IF((AND(VLOOKUP(AF$1,main!$A$3:$H$102,5,FALSE)-VLOOKUP($A81,main!$A$3:$H$102,6,FALSE)&gt;=(VLOOKUP(VLOOKUP(AF$1,main!$A$3:$H$102,8,FALSE),main!$K$26:$M$29,2,FALSE)+VLOOKUP(VLOOKUP(AF$1,main!$A$3:$H$102,7,FALSE),main!$K$19:$O$22,MATCH(VLOOKUP($A81,main!$A$3:$H$102,8,FALSE),main!$K$18:$O$18,0))))),1,0)</f>
        <v>0</v>
      </c>
      <c r="AG81">
        <f>IF((AND(VLOOKUP(AG$1,main!$A$3:$H$102,5,FALSE)-VLOOKUP($A81,main!$A$3:$H$102,6,FALSE)&gt;=(VLOOKUP(VLOOKUP(AG$1,main!$A$3:$H$102,8,FALSE),main!$K$26:$M$29,2,FALSE)+VLOOKUP(VLOOKUP(AG$1,main!$A$3:$H$102,7,FALSE),main!$K$19:$O$22,MATCH(VLOOKUP($A81,main!$A$3:$H$102,8,FALSE),main!$K$18:$O$18,0))))),1,0)</f>
        <v>0</v>
      </c>
      <c r="AH81">
        <f>IF((AND(VLOOKUP(AH$1,main!$A$3:$H$102,5,FALSE)-VLOOKUP($A81,main!$A$3:$H$102,6,FALSE)&gt;=(VLOOKUP(VLOOKUP(AH$1,main!$A$3:$H$102,8,FALSE),main!$K$26:$M$29,2,FALSE)+VLOOKUP(VLOOKUP(AH$1,main!$A$3:$H$102,7,FALSE),main!$K$19:$O$22,MATCH(VLOOKUP($A81,main!$A$3:$H$102,8,FALSE),main!$K$18:$O$18,0))))),1,0)</f>
        <v>0</v>
      </c>
      <c r="AI81">
        <f>IF((AND(VLOOKUP(AI$1,main!$A$3:$H$102,5,FALSE)-VLOOKUP($A81,main!$A$3:$H$102,6,FALSE)&gt;=(VLOOKUP(VLOOKUP(AI$1,main!$A$3:$H$102,8,FALSE),main!$K$26:$M$29,2,FALSE)+VLOOKUP(VLOOKUP(AI$1,main!$A$3:$H$102,7,FALSE),main!$K$19:$O$22,MATCH(VLOOKUP($A81,main!$A$3:$H$102,8,FALSE),main!$K$18:$O$18,0))))),1,0)</f>
        <v>0</v>
      </c>
      <c r="AJ81">
        <f>IF((AND(VLOOKUP(AJ$1,main!$A$3:$H$102,5,FALSE)-VLOOKUP($A81,main!$A$3:$H$102,6,FALSE)&gt;=(VLOOKUP(VLOOKUP(AJ$1,main!$A$3:$H$102,8,FALSE),main!$K$26:$M$29,2,FALSE)+VLOOKUP(VLOOKUP(AJ$1,main!$A$3:$H$102,7,FALSE),main!$K$19:$O$22,MATCH(VLOOKUP($A81,main!$A$3:$H$102,8,FALSE),main!$K$18:$O$18,0))))),1,0)</f>
        <v>0</v>
      </c>
      <c r="AK81">
        <f>IF((AND(VLOOKUP(AK$1,main!$A$3:$H$102,5,FALSE)-VLOOKUP($A81,main!$A$3:$H$102,6,FALSE)&gt;=(VLOOKUP(VLOOKUP(AK$1,main!$A$3:$H$102,8,FALSE),main!$K$26:$M$29,2,FALSE)+VLOOKUP(VLOOKUP(AK$1,main!$A$3:$H$102,7,FALSE),main!$K$19:$O$22,MATCH(VLOOKUP($A81,main!$A$3:$H$102,8,FALSE),main!$K$18:$O$18,0))))),1,0)</f>
        <v>0</v>
      </c>
      <c r="AL81">
        <f>IF((AND(VLOOKUP(AL$1,main!$A$3:$H$102,5,FALSE)-VLOOKUP($A81,main!$A$3:$H$102,6,FALSE)&gt;=(VLOOKUP(VLOOKUP(AL$1,main!$A$3:$H$102,8,FALSE),main!$K$26:$M$29,2,FALSE)+VLOOKUP(VLOOKUP(AL$1,main!$A$3:$H$102,7,FALSE),main!$K$19:$O$22,MATCH(VLOOKUP($A81,main!$A$3:$H$102,8,FALSE),main!$K$18:$O$18,0))))),1,0)</f>
        <v>0</v>
      </c>
      <c r="AM81">
        <f>IF((AND(VLOOKUP(AM$1,main!$A$3:$H$102,5,FALSE)-VLOOKUP($A81,main!$A$3:$H$102,6,FALSE)&gt;=(VLOOKUP(VLOOKUP(AM$1,main!$A$3:$H$102,8,FALSE),main!$K$26:$M$29,2,FALSE)+VLOOKUP(VLOOKUP(AM$1,main!$A$3:$H$102,7,FALSE),main!$K$19:$O$22,MATCH(VLOOKUP($A81,main!$A$3:$H$102,8,FALSE),main!$K$18:$O$18,0))))),1,0)</f>
        <v>0</v>
      </c>
      <c r="AN81">
        <f>IF((AND(VLOOKUP(AN$1,main!$A$3:$H$102,5,FALSE)-VLOOKUP($A81,main!$A$3:$H$102,6,FALSE)&gt;=(VLOOKUP(VLOOKUP(AN$1,main!$A$3:$H$102,8,FALSE),main!$K$26:$M$29,2,FALSE)+VLOOKUP(VLOOKUP(AN$1,main!$A$3:$H$102,7,FALSE),main!$K$19:$O$22,MATCH(VLOOKUP($A81,main!$A$3:$H$102,8,FALSE),main!$K$18:$O$18,0))))),1,0)</f>
        <v>0</v>
      </c>
      <c r="AO81">
        <f>IF((AND(VLOOKUP(AO$1,main!$A$3:$H$102,5,FALSE)-VLOOKUP($A81,main!$A$3:$H$102,6,FALSE)&gt;=(VLOOKUP(VLOOKUP(AO$1,main!$A$3:$H$102,8,FALSE),main!$K$26:$M$29,2,FALSE)+VLOOKUP(VLOOKUP(AO$1,main!$A$3:$H$102,7,FALSE),main!$K$19:$O$22,MATCH(VLOOKUP($A81,main!$A$3:$H$102,8,FALSE),main!$K$18:$O$18,0))))),1,0)</f>
        <v>0</v>
      </c>
      <c r="AP81">
        <f>IF((AND(VLOOKUP(AP$1,main!$A$3:$H$102,5,FALSE)-VLOOKUP($A81,main!$A$3:$H$102,6,FALSE)&gt;=(VLOOKUP(VLOOKUP(AP$1,main!$A$3:$H$102,8,FALSE),main!$K$26:$M$29,2,FALSE)+VLOOKUP(VLOOKUP(AP$1,main!$A$3:$H$102,7,FALSE),main!$K$19:$O$22,MATCH(VLOOKUP($A81,main!$A$3:$H$102,8,FALSE),main!$K$18:$O$18,0))))),1,0)</f>
        <v>0</v>
      </c>
      <c r="AQ81">
        <f>IF((AND(VLOOKUP(AQ$1,main!$A$3:$H$102,5,FALSE)-VLOOKUP($A81,main!$A$3:$H$102,6,FALSE)&gt;=(VLOOKUP(VLOOKUP(AQ$1,main!$A$3:$H$102,8,FALSE),main!$K$26:$M$29,2,FALSE)+VLOOKUP(VLOOKUP(AQ$1,main!$A$3:$H$102,7,FALSE),main!$K$19:$O$22,MATCH(VLOOKUP($A81,main!$A$3:$H$102,8,FALSE),main!$K$18:$O$18,0))))),1,0)</f>
        <v>0</v>
      </c>
      <c r="AR81">
        <f>IF((AND(VLOOKUP(AR$1,main!$A$3:$H$102,5,FALSE)-VLOOKUP($A81,main!$A$3:$H$102,6,FALSE)&gt;=(VLOOKUP(VLOOKUP(AR$1,main!$A$3:$H$102,8,FALSE),main!$K$26:$M$29,2,FALSE)+VLOOKUP(VLOOKUP(AR$1,main!$A$3:$H$102,7,FALSE),main!$K$19:$O$22,MATCH(VLOOKUP($A81,main!$A$3:$H$102,8,FALSE),main!$K$18:$O$18,0))))),1,0)</f>
        <v>0</v>
      </c>
      <c r="AS81">
        <f>IF((AND(VLOOKUP(AS$1,main!$A$3:$H$102,5,FALSE)-VLOOKUP($A81,main!$A$3:$H$102,6,FALSE)&gt;=(VLOOKUP(VLOOKUP(AS$1,main!$A$3:$H$102,8,FALSE),main!$K$26:$M$29,2,FALSE)+VLOOKUP(VLOOKUP(AS$1,main!$A$3:$H$102,7,FALSE),main!$K$19:$O$22,MATCH(VLOOKUP($A81,main!$A$3:$H$102,8,FALSE),main!$K$18:$O$18,0))))),1,0)</f>
        <v>0</v>
      </c>
      <c r="AT81">
        <f>IF((AND(VLOOKUP(AT$1,main!$A$3:$H$102,5,FALSE)-VLOOKUP($A81,main!$A$3:$H$102,6,FALSE)&gt;=(VLOOKUP(VLOOKUP(AT$1,main!$A$3:$H$102,8,FALSE),main!$K$26:$M$29,2,FALSE)+VLOOKUP(VLOOKUP(AT$1,main!$A$3:$H$102,7,FALSE),main!$K$19:$O$22,MATCH(VLOOKUP($A81,main!$A$3:$H$102,8,FALSE),main!$K$18:$O$18,0))))),1,0)</f>
        <v>0</v>
      </c>
      <c r="AU81">
        <f>IF((AND(VLOOKUP(AU$1,main!$A$3:$H$102,5,FALSE)-VLOOKUP($A81,main!$A$3:$H$102,6,FALSE)&gt;=(VLOOKUP(VLOOKUP(AU$1,main!$A$3:$H$102,8,FALSE),main!$K$26:$M$29,2,FALSE)+VLOOKUP(VLOOKUP(AU$1,main!$A$3:$H$102,7,FALSE),main!$K$19:$O$22,MATCH(VLOOKUP($A81,main!$A$3:$H$102,8,FALSE),main!$K$18:$O$18,0))))),1,0)</f>
        <v>0</v>
      </c>
      <c r="AV81">
        <f>IF((AND(VLOOKUP(AV$1,main!$A$3:$H$102,5,FALSE)-VLOOKUP($A81,main!$A$3:$H$102,6,FALSE)&gt;=(VLOOKUP(VLOOKUP(AV$1,main!$A$3:$H$102,8,FALSE),main!$K$26:$M$29,2,FALSE)+VLOOKUP(VLOOKUP(AV$1,main!$A$3:$H$102,7,FALSE),main!$K$19:$O$22,MATCH(VLOOKUP($A81,main!$A$3:$H$102,8,FALSE),main!$K$18:$O$18,0))))),1,0)</f>
        <v>0</v>
      </c>
      <c r="AW81">
        <f>IF((AND(VLOOKUP(AW$1,main!$A$3:$H$102,5,FALSE)-VLOOKUP($A81,main!$A$3:$H$102,6,FALSE)&gt;=(VLOOKUP(VLOOKUP(AW$1,main!$A$3:$H$102,8,FALSE),main!$K$26:$M$29,2,FALSE)+VLOOKUP(VLOOKUP(AW$1,main!$A$3:$H$102,7,FALSE),main!$K$19:$O$22,MATCH(VLOOKUP($A81,main!$A$3:$H$102,8,FALSE),main!$K$18:$O$18,0))))),1,0)</f>
        <v>0</v>
      </c>
      <c r="AX81">
        <f>IF((AND(VLOOKUP(AX$1,main!$A$3:$H$102,5,FALSE)-VLOOKUP($A81,main!$A$3:$H$102,6,FALSE)&gt;=(VLOOKUP(VLOOKUP(AX$1,main!$A$3:$H$102,8,FALSE),main!$K$26:$M$29,2,FALSE)+VLOOKUP(VLOOKUP(AX$1,main!$A$3:$H$102,7,FALSE),main!$K$19:$O$22,MATCH(VLOOKUP($A81,main!$A$3:$H$102,8,FALSE),main!$K$18:$O$18,0))))),1,0)</f>
        <v>0</v>
      </c>
      <c r="AY81">
        <f>IF((AND(VLOOKUP(AY$1,main!$A$3:$H$102,5,FALSE)-VLOOKUP($A81,main!$A$3:$H$102,6,FALSE)&gt;=(VLOOKUP(VLOOKUP(AY$1,main!$A$3:$H$102,8,FALSE),main!$K$26:$M$29,2,FALSE)+VLOOKUP(VLOOKUP(AY$1,main!$A$3:$H$102,7,FALSE),main!$K$19:$O$22,MATCH(VLOOKUP($A81,main!$A$3:$H$102,8,FALSE),main!$K$18:$O$18,0))))),1,0)</f>
        <v>0</v>
      </c>
      <c r="AZ81">
        <f>IF((AND(VLOOKUP(AZ$1,main!$A$3:$H$102,5,FALSE)-VLOOKUP($A81,main!$A$3:$H$102,6,FALSE)&gt;=(VLOOKUP(VLOOKUP(AZ$1,main!$A$3:$H$102,8,FALSE),main!$K$26:$M$29,2,FALSE)+VLOOKUP(VLOOKUP(AZ$1,main!$A$3:$H$102,7,FALSE),main!$K$19:$O$22,MATCH(VLOOKUP($A81,main!$A$3:$H$102,8,FALSE),main!$K$18:$O$18,0))))),1,0)</f>
        <v>0</v>
      </c>
      <c r="BA81">
        <f>IF((AND(VLOOKUP(BA$1,main!$A$3:$H$102,5,FALSE)-VLOOKUP($A81,main!$A$3:$H$102,6,FALSE)&gt;=(VLOOKUP(VLOOKUP(BA$1,main!$A$3:$H$102,8,FALSE),main!$K$26:$M$29,2,FALSE)+VLOOKUP(VLOOKUP(BA$1,main!$A$3:$H$102,7,FALSE),main!$K$19:$O$22,MATCH(VLOOKUP($A81,main!$A$3:$H$102,8,FALSE),main!$K$18:$O$18,0))))),1,0)</f>
        <v>0</v>
      </c>
      <c r="BB81">
        <f>IF((AND(VLOOKUP(BB$1,main!$A$3:$H$102,5,FALSE)-VLOOKUP($A81,main!$A$3:$H$102,6,FALSE)&gt;=(VLOOKUP(VLOOKUP(BB$1,main!$A$3:$H$102,8,FALSE),main!$K$26:$M$29,2,FALSE)+VLOOKUP(VLOOKUP(BB$1,main!$A$3:$H$102,7,FALSE),main!$K$19:$O$22,MATCH(VLOOKUP($A81,main!$A$3:$H$102,8,FALSE),main!$K$18:$O$18,0))))),1,0)</f>
        <v>0</v>
      </c>
      <c r="BC81">
        <f>IF((AND(VLOOKUP(BC$1,main!$A$3:$H$102,5,FALSE)-VLOOKUP($A81,main!$A$3:$H$102,6,FALSE)&gt;=(VLOOKUP(VLOOKUP(BC$1,main!$A$3:$H$102,8,FALSE),main!$K$26:$M$29,2,FALSE)+VLOOKUP(VLOOKUP(BC$1,main!$A$3:$H$102,7,FALSE),main!$K$19:$O$22,MATCH(VLOOKUP($A81,main!$A$3:$H$102,8,FALSE),main!$K$18:$O$18,0))))),1,0)</f>
        <v>0</v>
      </c>
      <c r="BD81">
        <f>IF((AND(VLOOKUP(BD$1,main!$A$3:$H$102,5,FALSE)-VLOOKUP($A81,main!$A$3:$H$102,6,FALSE)&gt;=(VLOOKUP(VLOOKUP(BD$1,main!$A$3:$H$102,8,FALSE),main!$K$26:$M$29,2,FALSE)+VLOOKUP(VLOOKUP(BD$1,main!$A$3:$H$102,7,FALSE),main!$K$19:$O$22,MATCH(VLOOKUP($A81,main!$A$3:$H$102,8,FALSE),main!$K$18:$O$18,0))))),1,0)</f>
        <v>0</v>
      </c>
      <c r="BE81">
        <f>IF((AND(VLOOKUP(BE$1,main!$A$3:$H$102,5,FALSE)-VLOOKUP($A81,main!$A$3:$H$102,6,FALSE)&gt;=(VLOOKUP(VLOOKUP(BE$1,main!$A$3:$H$102,8,FALSE),main!$K$26:$M$29,2,FALSE)+VLOOKUP(VLOOKUP(BE$1,main!$A$3:$H$102,7,FALSE),main!$K$19:$O$22,MATCH(VLOOKUP($A81,main!$A$3:$H$102,8,FALSE),main!$K$18:$O$18,0))))),1,0)</f>
        <v>0</v>
      </c>
      <c r="BF81">
        <f>IF((AND(VLOOKUP(BF$1,main!$A$3:$H$102,5,FALSE)-VLOOKUP($A81,main!$A$3:$H$102,6,FALSE)&gt;=(VLOOKUP(VLOOKUP(BF$1,main!$A$3:$H$102,8,FALSE),main!$K$26:$M$29,2,FALSE)+VLOOKUP(VLOOKUP(BF$1,main!$A$3:$H$102,7,FALSE),main!$K$19:$O$22,MATCH(VLOOKUP($A81,main!$A$3:$H$102,8,FALSE),main!$K$18:$O$18,0))))),1,0)</f>
        <v>0</v>
      </c>
      <c r="BG81">
        <f>IF((AND(VLOOKUP(BG$1,main!$A$3:$H$102,5,FALSE)-VLOOKUP($A81,main!$A$3:$H$102,6,FALSE)&gt;=(VLOOKUP(VLOOKUP(BG$1,main!$A$3:$H$102,8,FALSE),main!$K$26:$M$29,2,FALSE)+VLOOKUP(VLOOKUP(BG$1,main!$A$3:$H$102,7,FALSE),main!$K$19:$O$22,MATCH(VLOOKUP($A81,main!$A$3:$H$102,8,FALSE),main!$K$18:$O$18,0))))),1,0)</f>
        <v>0</v>
      </c>
      <c r="BH81">
        <f>IF((AND(VLOOKUP(BH$1,main!$A$3:$H$102,5,FALSE)-VLOOKUP($A81,main!$A$3:$H$102,6,FALSE)&gt;=(VLOOKUP(VLOOKUP(BH$1,main!$A$3:$H$102,8,FALSE),main!$K$26:$M$29,2,FALSE)+VLOOKUP(VLOOKUP(BH$1,main!$A$3:$H$102,7,FALSE),main!$K$19:$O$22,MATCH(VLOOKUP($A81,main!$A$3:$H$102,8,FALSE),main!$K$18:$O$18,0))))),1,0)</f>
        <v>0</v>
      </c>
      <c r="BI81">
        <f>IF((AND(VLOOKUP(BI$1,main!$A$3:$H$102,5,FALSE)-VLOOKUP($A81,main!$A$3:$H$102,6,FALSE)&gt;=(VLOOKUP(VLOOKUP(BI$1,main!$A$3:$H$102,8,FALSE),main!$K$26:$M$29,2,FALSE)+VLOOKUP(VLOOKUP(BI$1,main!$A$3:$H$102,7,FALSE),main!$K$19:$O$22,MATCH(VLOOKUP($A81,main!$A$3:$H$102,8,FALSE),main!$K$18:$O$18,0))))),1,0)</f>
        <v>0</v>
      </c>
      <c r="BJ81">
        <f>IF((AND(VLOOKUP(BJ$1,main!$A$3:$H$102,5,FALSE)-VLOOKUP($A81,main!$A$3:$H$102,6,FALSE)&gt;=(VLOOKUP(VLOOKUP(BJ$1,main!$A$3:$H$102,8,FALSE),main!$K$26:$M$29,2,FALSE)+VLOOKUP(VLOOKUP(BJ$1,main!$A$3:$H$102,7,FALSE),main!$K$19:$O$22,MATCH(VLOOKUP($A81,main!$A$3:$H$102,8,FALSE),main!$K$18:$O$18,0))))),1,0)</f>
        <v>0</v>
      </c>
      <c r="BK81">
        <f>IF((AND(VLOOKUP(BK$1,main!$A$3:$H$102,5,FALSE)-VLOOKUP($A81,main!$A$3:$H$102,6,FALSE)&gt;=(VLOOKUP(VLOOKUP(BK$1,main!$A$3:$H$102,8,FALSE),main!$K$26:$M$29,2,FALSE)+VLOOKUP(VLOOKUP(BK$1,main!$A$3:$H$102,7,FALSE),main!$K$19:$O$22,MATCH(VLOOKUP($A81,main!$A$3:$H$102,8,FALSE),main!$K$18:$O$18,0))))),1,0)</f>
        <v>0</v>
      </c>
      <c r="BL81">
        <f>IF((AND(VLOOKUP(BL$1,main!$A$3:$H$102,5,FALSE)-VLOOKUP($A81,main!$A$3:$H$102,6,FALSE)&gt;=(VLOOKUP(VLOOKUP(BL$1,main!$A$3:$H$102,8,FALSE),main!$K$26:$M$29,2,FALSE)+VLOOKUP(VLOOKUP(BL$1,main!$A$3:$H$102,7,FALSE),main!$K$19:$O$22,MATCH(VLOOKUP($A81,main!$A$3:$H$102,8,FALSE),main!$K$18:$O$18,0))))),1,0)</f>
        <v>0</v>
      </c>
      <c r="BM81">
        <f>IF((AND(VLOOKUP(BM$1,main!$A$3:$H$102,5,FALSE)-VLOOKUP($A81,main!$A$3:$H$102,6,FALSE)&gt;=(VLOOKUP(VLOOKUP(BM$1,main!$A$3:$H$102,8,FALSE),main!$K$26:$M$29,2,FALSE)+VLOOKUP(VLOOKUP(BM$1,main!$A$3:$H$102,7,FALSE),main!$K$19:$O$22,MATCH(VLOOKUP($A81,main!$A$3:$H$102,8,FALSE),main!$K$18:$O$18,0))))),1,0)</f>
        <v>0</v>
      </c>
      <c r="BN81">
        <f>IF((AND(VLOOKUP(BN$1,main!$A$3:$H$102,5,FALSE)-VLOOKUP($A81,main!$A$3:$H$102,6,FALSE)&gt;=(VLOOKUP(VLOOKUP(BN$1,main!$A$3:$H$102,8,FALSE),main!$K$26:$M$29,2,FALSE)+VLOOKUP(VLOOKUP(BN$1,main!$A$3:$H$102,7,FALSE),main!$K$19:$O$22,MATCH(VLOOKUP($A81,main!$A$3:$H$102,8,FALSE),main!$K$18:$O$18,0))))),1,0)</f>
        <v>0</v>
      </c>
      <c r="BO81">
        <f>IF((AND(VLOOKUP(BO$1,main!$A$3:$H$102,5,FALSE)-VLOOKUP($A81,main!$A$3:$H$102,6,FALSE)&gt;=(VLOOKUP(VLOOKUP(BO$1,main!$A$3:$H$102,8,FALSE),main!$K$26:$M$29,2,FALSE)+VLOOKUP(VLOOKUP(BO$1,main!$A$3:$H$102,7,FALSE),main!$K$19:$O$22,MATCH(VLOOKUP($A81,main!$A$3:$H$102,8,FALSE),main!$K$18:$O$18,0))))),1,0)</f>
        <v>0</v>
      </c>
      <c r="BP81">
        <f>IF((AND(VLOOKUP(BP$1,main!$A$3:$H$102,5,FALSE)-VLOOKUP($A81,main!$A$3:$H$102,6,FALSE)&gt;=(VLOOKUP(VLOOKUP(BP$1,main!$A$3:$H$102,8,FALSE),main!$K$26:$M$29,2,FALSE)+VLOOKUP(VLOOKUP(BP$1,main!$A$3:$H$102,7,FALSE),main!$K$19:$O$22,MATCH(VLOOKUP($A81,main!$A$3:$H$102,8,FALSE),main!$K$18:$O$18,0))))),1,0)</f>
        <v>0</v>
      </c>
      <c r="BQ81">
        <f>IF((AND(VLOOKUP(BQ$1,main!$A$3:$H$102,5,FALSE)-VLOOKUP($A81,main!$A$3:$H$102,6,FALSE)&gt;=(VLOOKUP(VLOOKUP(BQ$1,main!$A$3:$H$102,8,FALSE),main!$K$26:$M$29,2,FALSE)+VLOOKUP(VLOOKUP(BQ$1,main!$A$3:$H$102,7,FALSE),main!$K$19:$O$22,MATCH(VLOOKUP($A81,main!$A$3:$H$102,8,FALSE),main!$K$18:$O$18,0))))),1,0)</f>
        <v>0</v>
      </c>
      <c r="BR81">
        <f>IF((AND(VLOOKUP(BR$1,main!$A$3:$H$102,5,FALSE)-VLOOKUP($A81,main!$A$3:$H$102,6,FALSE)&gt;=(VLOOKUP(VLOOKUP(BR$1,main!$A$3:$H$102,8,FALSE),main!$K$26:$M$29,2,FALSE)+VLOOKUP(VLOOKUP(BR$1,main!$A$3:$H$102,7,FALSE),main!$K$19:$O$22,MATCH(VLOOKUP($A81,main!$A$3:$H$102,8,FALSE),main!$K$18:$O$18,0))))),1,0)</f>
        <v>0</v>
      </c>
      <c r="BS81">
        <f>IF((AND(VLOOKUP(BS$1,main!$A$3:$H$102,5,FALSE)-VLOOKUP($A81,main!$A$3:$H$102,6,FALSE)&gt;=(VLOOKUP(VLOOKUP(BS$1,main!$A$3:$H$102,8,FALSE),main!$K$26:$M$29,2,FALSE)+VLOOKUP(VLOOKUP(BS$1,main!$A$3:$H$102,7,FALSE),main!$K$19:$O$22,MATCH(VLOOKUP($A81,main!$A$3:$H$102,8,FALSE),main!$K$18:$O$18,0))))),1,0)</f>
        <v>0</v>
      </c>
      <c r="BT81">
        <f>IF((AND(VLOOKUP(BT$1,main!$A$3:$H$102,5,FALSE)-VLOOKUP($A81,main!$A$3:$H$102,6,FALSE)&gt;=(VLOOKUP(VLOOKUP(BT$1,main!$A$3:$H$102,8,FALSE),main!$K$26:$M$29,2,FALSE)+VLOOKUP(VLOOKUP(BT$1,main!$A$3:$H$102,7,FALSE),main!$K$19:$O$22,MATCH(VLOOKUP($A81,main!$A$3:$H$102,8,FALSE),main!$K$18:$O$18,0))))),1,0)</f>
        <v>0</v>
      </c>
      <c r="BU81">
        <f>IF((AND(VLOOKUP(BU$1,main!$A$3:$H$102,5,FALSE)-VLOOKUP($A81,main!$A$3:$H$102,6,FALSE)&gt;=(VLOOKUP(VLOOKUP(BU$1,main!$A$3:$H$102,8,FALSE),main!$K$26:$M$29,2,FALSE)+VLOOKUP(VLOOKUP(BU$1,main!$A$3:$H$102,7,FALSE),main!$K$19:$O$22,MATCH(VLOOKUP($A81,main!$A$3:$H$102,8,FALSE),main!$K$18:$O$18,0))))),1,0)</f>
        <v>0</v>
      </c>
      <c r="BV81">
        <f>IF((AND(VLOOKUP(BV$1,main!$A$3:$H$102,5,FALSE)-VLOOKUP($A81,main!$A$3:$H$102,6,FALSE)&gt;=(VLOOKUP(VLOOKUP(BV$1,main!$A$3:$H$102,8,FALSE),main!$K$26:$M$29,2,FALSE)+VLOOKUP(VLOOKUP(BV$1,main!$A$3:$H$102,7,FALSE),main!$K$19:$O$22,MATCH(VLOOKUP($A81,main!$A$3:$H$102,8,FALSE),main!$K$18:$O$18,0))))),1,0)</f>
        <v>0</v>
      </c>
      <c r="BW81">
        <f>IF((AND(VLOOKUP(BW$1,main!$A$3:$H$102,5,FALSE)-VLOOKUP($A81,main!$A$3:$H$102,6,FALSE)&gt;=(VLOOKUP(VLOOKUP(BW$1,main!$A$3:$H$102,8,FALSE),main!$K$26:$M$29,2,FALSE)+VLOOKUP(VLOOKUP(BW$1,main!$A$3:$H$102,7,FALSE),main!$K$19:$O$22,MATCH(VLOOKUP($A81,main!$A$3:$H$102,8,FALSE),main!$K$18:$O$18,0))))),1,0)</f>
        <v>0</v>
      </c>
      <c r="BX81">
        <f>IF((AND(VLOOKUP(BX$1,main!$A$3:$H$102,5,FALSE)-VLOOKUP($A81,main!$A$3:$H$102,6,FALSE)&gt;=(VLOOKUP(VLOOKUP(BX$1,main!$A$3:$H$102,8,FALSE),main!$K$26:$M$29,2,FALSE)+VLOOKUP(VLOOKUP(BX$1,main!$A$3:$H$102,7,FALSE),main!$K$19:$O$22,MATCH(VLOOKUP($A81,main!$A$3:$H$102,8,FALSE),main!$K$18:$O$18,0))))),1,0)</f>
        <v>0</v>
      </c>
      <c r="BY81">
        <f>IF((AND(VLOOKUP(BY$1,main!$A$3:$H$102,5,FALSE)-VLOOKUP($A81,main!$A$3:$H$102,6,FALSE)&gt;=(VLOOKUP(VLOOKUP(BY$1,main!$A$3:$H$102,8,FALSE),main!$K$26:$M$29,2,FALSE)+VLOOKUP(VLOOKUP(BY$1,main!$A$3:$H$102,7,FALSE),main!$K$19:$O$22,MATCH(VLOOKUP($A81,main!$A$3:$H$102,8,FALSE),main!$K$18:$O$18,0))))),1,0)</f>
        <v>0</v>
      </c>
      <c r="BZ81">
        <f>IF((AND(VLOOKUP(BZ$1,main!$A$3:$H$102,5,FALSE)-VLOOKUP($A81,main!$A$3:$H$102,6,FALSE)&gt;=(VLOOKUP(VLOOKUP(BZ$1,main!$A$3:$H$102,8,FALSE),main!$K$26:$M$29,2,FALSE)+VLOOKUP(VLOOKUP(BZ$1,main!$A$3:$H$102,7,FALSE),main!$K$19:$O$22,MATCH(VLOOKUP($A81,main!$A$3:$H$102,8,FALSE),main!$K$18:$O$18,0))))),1,0)</f>
        <v>0</v>
      </c>
      <c r="CA81">
        <f>IF((AND(VLOOKUP(CA$1,main!$A$3:$H$102,5,FALSE)-VLOOKUP($A81,main!$A$3:$H$102,6,FALSE)&gt;=(VLOOKUP(VLOOKUP(CA$1,main!$A$3:$H$102,8,FALSE),main!$K$26:$M$29,2,FALSE)+VLOOKUP(VLOOKUP(CA$1,main!$A$3:$H$102,7,FALSE),main!$K$19:$O$22,MATCH(VLOOKUP($A81,main!$A$3:$H$102,8,FALSE),main!$K$18:$O$18,0))))),1,0)</f>
        <v>0</v>
      </c>
      <c r="CB81">
        <f>IF((AND(VLOOKUP(CB$1,main!$A$3:$H$102,5,FALSE)-VLOOKUP($A81,main!$A$3:$H$102,6,FALSE)&gt;=(VLOOKUP(VLOOKUP(CB$1,main!$A$3:$H$102,8,FALSE),main!$K$26:$M$29,2,FALSE)+VLOOKUP(VLOOKUP(CB$1,main!$A$3:$H$102,7,FALSE),main!$K$19:$O$22,MATCH(VLOOKUP($A81,main!$A$3:$H$102,8,FALSE),main!$K$18:$O$18,0))))),1,0)</f>
        <v>0</v>
      </c>
      <c r="CC81">
        <f>IF((AND(VLOOKUP(CC$1,main!$A$3:$H$102,5,FALSE)-VLOOKUP($A81,main!$A$3:$H$102,6,FALSE)&gt;=(VLOOKUP(VLOOKUP(CC$1,main!$A$3:$H$102,8,FALSE),main!$K$26:$M$29,2,FALSE)+VLOOKUP(VLOOKUP(CC$1,main!$A$3:$H$102,7,FALSE),main!$K$19:$O$22,MATCH(VLOOKUP($A81,main!$A$3:$H$102,8,FALSE),main!$K$18:$O$18,0))))),1,0)</f>
        <v>0</v>
      </c>
      <c r="CD81">
        <f>IF((AND(VLOOKUP(CD$1,main!$A$3:$H$102,5,FALSE)-VLOOKUP($A81,main!$A$3:$H$102,6,FALSE)&gt;=(VLOOKUP(VLOOKUP(CD$1,main!$A$3:$H$102,8,FALSE),main!$K$26:$M$29,2,FALSE)+VLOOKUP(VLOOKUP(CD$1,main!$A$3:$H$102,7,FALSE),main!$K$19:$O$22,MATCH(VLOOKUP($A81,main!$A$3:$H$102,8,FALSE),main!$K$18:$O$18,0))))),1,0)</f>
        <v>0</v>
      </c>
      <c r="CE81">
        <f>IF((AND(VLOOKUP(CE$1,main!$A$3:$H$102,5,FALSE)-VLOOKUP($A81,main!$A$3:$H$102,6,FALSE)&gt;=(VLOOKUP(VLOOKUP(CE$1,main!$A$3:$H$102,8,FALSE),main!$K$26:$M$29,2,FALSE)+VLOOKUP(VLOOKUP(CE$1,main!$A$3:$H$102,7,FALSE),main!$K$19:$O$22,MATCH(VLOOKUP($A81,main!$A$3:$H$102,8,FALSE),main!$K$18:$O$18,0))))),1,0)</f>
        <v>0</v>
      </c>
      <c r="CF81">
        <f>IF((AND(VLOOKUP(CF$1,main!$A$3:$H$102,5,FALSE)-VLOOKUP($A81,main!$A$3:$H$102,6,FALSE)&gt;=(VLOOKUP(VLOOKUP(CF$1,main!$A$3:$H$102,8,FALSE),main!$K$26:$M$29,2,FALSE)+VLOOKUP(VLOOKUP(CF$1,main!$A$3:$H$102,7,FALSE),main!$K$19:$O$22,MATCH(VLOOKUP($A81,main!$A$3:$H$102,8,FALSE),main!$K$18:$O$18,0))))),1,0)</f>
        <v>0</v>
      </c>
      <c r="CG81">
        <f>IF((AND(VLOOKUP(CG$1,main!$A$3:$H$102,5,FALSE)-VLOOKUP($A81,main!$A$3:$H$102,6,FALSE)&gt;=(VLOOKUP(VLOOKUP(CG$1,main!$A$3:$H$102,8,FALSE),main!$K$26:$M$29,2,FALSE)+VLOOKUP(VLOOKUP(CG$1,main!$A$3:$H$102,7,FALSE),main!$K$19:$O$22,MATCH(VLOOKUP($A81,main!$A$3:$H$102,8,FALSE),main!$K$18:$O$18,0))))),1,0)</f>
        <v>0</v>
      </c>
      <c r="CH81">
        <f>IF((AND(VLOOKUP(CH$1,main!$A$3:$H$102,5,FALSE)-VLOOKUP($A81,main!$A$3:$H$102,6,FALSE)&gt;=(VLOOKUP(VLOOKUP(CH$1,main!$A$3:$H$102,8,FALSE),main!$K$26:$M$29,2,FALSE)+VLOOKUP(VLOOKUP(CH$1,main!$A$3:$H$102,7,FALSE),main!$K$19:$O$22,MATCH(VLOOKUP($A81,main!$A$3:$H$102,8,FALSE),main!$K$18:$O$18,0))))),1,0)</f>
        <v>0</v>
      </c>
      <c r="CI81">
        <f>IF((AND(VLOOKUP(CI$1,main!$A$3:$H$102,5,FALSE)-VLOOKUP($A81,main!$A$3:$H$102,6,FALSE)&gt;=(VLOOKUP(VLOOKUP(CI$1,main!$A$3:$H$102,8,FALSE),main!$K$26:$M$29,2,FALSE)+VLOOKUP(VLOOKUP(CI$1,main!$A$3:$H$102,7,FALSE),main!$K$19:$O$22,MATCH(VLOOKUP($A81,main!$A$3:$H$102,8,FALSE),main!$K$18:$O$18,0))))),1,0)</f>
        <v>1</v>
      </c>
      <c r="CJ81">
        <f>IF((AND(VLOOKUP(CJ$1,main!$A$3:$H$102,5,FALSE)-VLOOKUP($A81,main!$A$3:$H$102,6,FALSE)&gt;=(VLOOKUP(VLOOKUP(CJ$1,main!$A$3:$H$102,8,FALSE),main!$K$26:$M$29,2,FALSE)+VLOOKUP(VLOOKUP(CJ$1,main!$A$3:$H$102,7,FALSE),main!$K$19:$O$22,MATCH(VLOOKUP($A81,main!$A$3:$H$102,8,FALSE),main!$K$18:$O$18,0))))),1,0)</f>
        <v>0</v>
      </c>
      <c r="CK81">
        <f>IF((AND(VLOOKUP(CK$1,main!$A$3:$H$102,5,FALSE)-VLOOKUP($A81,main!$A$3:$H$102,6,FALSE)&gt;=(VLOOKUP(VLOOKUP(CK$1,main!$A$3:$H$102,8,FALSE),main!$K$26:$M$29,2,FALSE)+VLOOKUP(VLOOKUP(CK$1,main!$A$3:$H$102,7,FALSE),main!$K$19:$O$22,MATCH(VLOOKUP($A81,main!$A$3:$H$102,8,FALSE),main!$K$18:$O$18,0))))),1,0)</f>
        <v>0</v>
      </c>
      <c r="CL81">
        <f>IF((AND(VLOOKUP(CL$1,main!$A$3:$H$102,5,FALSE)-VLOOKUP($A81,main!$A$3:$H$102,6,FALSE)&gt;=(VLOOKUP(VLOOKUP(CL$1,main!$A$3:$H$102,8,FALSE),main!$K$26:$M$29,2,FALSE)+VLOOKUP(VLOOKUP(CL$1,main!$A$3:$H$102,7,FALSE),main!$K$19:$O$22,MATCH(VLOOKUP($A81,main!$A$3:$H$102,8,FALSE),main!$K$18:$O$18,0))))),1,0)</f>
        <v>0</v>
      </c>
      <c r="CM81">
        <f>IF((AND(VLOOKUP(CM$1,main!$A$3:$H$102,5,FALSE)-VLOOKUP($A81,main!$A$3:$H$102,6,FALSE)&gt;=(VLOOKUP(VLOOKUP(CM$1,main!$A$3:$H$102,8,FALSE),main!$K$26:$M$29,2,FALSE)+VLOOKUP(VLOOKUP(CM$1,main!$A$3:$H$102,7,FALSE),main!$K$19:$O$22,MATCH(VLOOKUP($A81,main!$A$3:$H$102,8,FALSE),main!$K$18:$O$18,0))))),1,0)</f>
        <v>0</v>
      </c>
      <c r="CN81">
        <f>IF((AND(VLOOKUP(CN$1,main!$A$3:$H$102,5,FALSE)-VLOOKUP($A81,main!$A$3:$H$102,6,FALSE)&gt;=(VLOOKUP(VLOOKUP(CN$1,main!$A$3:$H$102,8,FALSE),main!$K$26:$M$29,2,FALSE)+VLOOKUP(VLOOKUP(CN$1,main!$A$3:$H$102,7,FALSE),main!$K$19:$O$22,MATCH(VLOOKUP($A81,main!$A$3:$H$102,8,FALSE),main!$K$18:$O$18,0))))),1,0)</f>
        <v>1</v>
      </c>
      <c r="CO81">
        <f>IF((AND(VLOOKUP(CO$1,main!$A$3:$H$102,5,FALSE)-VLOOKUP($A81,main!$A$3:$H$102,6,FALSE)&gt;=(VLOOKUP(VLOOKUP(CO$1,main!$A$3:$H$102,8,FALSE),main!$K$26:$M$29,2,FALSE)+VLOOKUP(VLOOKUP(CO$1,main!$A$3:$H$102,7,FALSE),main!$K$19:$O$22,MATCH(VLOOKUP($A81,main!$A$3:$H$102,8,FALSE),main!$K$18:$O$18,0))))),1,0)</f>
        <v>0</v>
      </c>
      <c r="CP81">
        <f>IF((AND(VLOOKUP(CP$1,main!$A$3:$H$102,5,FALSE)-VLOOKUP($A81,main!$A$3:$H$102,6,FALSE)&gt;=(VLOOKUP(VLOOKUP(CP$1,main!$A$3:$H$102,8,FALSE),main!$K$26:$M$29,2,FALSE)+VLOOKUP(VLOOKUP(CP$1,main!$A$3:$H$102,7,FALSE),main!$K$19:$O$22,MATCH(VLOOKUP($A81,main!$A$3:$H$102,8,FALSE),main!$K$18:$O$18,0))))),1,0)</f>
        <v>0</v>
      </c>
      <c r="CQ81">
        <f>IF((AND(VLOOKUP(CQ$1,main!$A$3:$H$102,5,FALSE)-VLOOKUP($A81,main!$A$3:$H$102,6,FALSE)&gt;=(VLOOKUP(VLOOKUP(CQ$1,main!$A$3:$H$102,8,FALSE),main!$K$26:$M$29,2,FALSE)+VLOOKUP(VLOOKUP(CQ$1,main!$A$3:$H$102,7,FALSE),main!$K$19:$O$22,MATCH(VLOOKUP($A81,main!$A$3:$H$102,8,FALSE),main!$K$18:$O$18,0))))),1,0)</f>
        <v>0</v>
      </c>
      <c r="CR81">
        <f>IF((AND(VLOOKUP(CR$1,main!$A$3:$H$102,5,FALSE)-VLOOKUP($A81,main!$A$3:$H$102,6,FALSE)&gt;=(VLOOKUP(VLOOKUP(CR$1,main!$A$3:$H$102,8,FALSE),main!$K$26:$M$29,2,FALSE)+VLOOKUP(VLOOKUP(CR$1,main!$A$3:$H$102,7,FALSE),main!$K$19:$O$22,MATCH(VLOOKUP($A81,main!$A$3:$H$102,8,FALSE),main!$K$18:$O$18,0))))),1,0)</f>
        <v>0</v>
      </c>
      <c r="CS81">
        <f>IF((AND(VLOOKUP(CS$1,main!$A$3:$H$102,5,FALSE)-VLOOKUP($A81,main!$A$3:$H$102,6,FALSE)&gt;=(VLOOKUP(VLOOKUP(CS$1,main!$A$3:$H$102,8,FALSE),main!$K$26:$M$29,2,FALSE)+VLOOKUP(VLOOKUP(CS$1,main!$A$3:$H$102,7,FALSE),main!$K$19:$O$22,MATCH(VLOOKUP($A81,main!$A$3:$H$102,8,FALSE),main!$K$18:$O$18,0))))),1,0)</f>
        <v>0</v>
      </c>
      <c r="CT81">
        <f>IF((AND(VLOOKUP(CT$1,main!$A$3:$H$102,5,FALSE)-VLOOKUP($A81,main!$A$3:$H$102,6,FALSE)&gt;=(VLOOKUP(VLOOKUP(CT$1,main!$A$3:$H$102,8,FALSE),main!$K$26:$M$29,2,FALSE)+VLOOKUP(VLOOKUP(CT$1,main!$A$3:$H$102,7,FALSE),main!$K$19:$O$22,MATCH(VLOOKUP($A81,main!$A$3:$H$102,8,FALSE),main!$K$18:$O$18,0))))),1,0)</f>
        <v>0</v>
      </c>
      <c r="CU81">
        <f>IF((AND(VLOOKUP(CU$1,main!$A$3:$H$102,5,FALSE)-VLOOKUP($A81,main!$A$3:$H$102,6,FALSE)&gt;=(VLOOKUP(VLOOKUP(CU$1,main!$A$3:$H$102,8,FALSE),main!$K$26:$M$29,2,FALSE)+VLOOKUP(VLOOKUP(CU$1,main!$A$3:$H$102,7,FALSE),main!$K$19:$O$22,MATCH(VLOOKUP($A81,main!$A$3:$H$102,8,FALSE),main!$K$18:$O$18,0))))),1,0)</f>
        <v>0</v>
      </c>
      <c r="CV81">
        <f>IF((AND(VLOOKUP(CV$1,main!$A$3:$H$102,5,FALSE)-VLOOKUP($A81,main!$A$3:$H$102,6,FALSE)&gt;=(VLOOKUP(VLOOKUP(CV$1,main!$A$3:$H$102,8,FALSE),main!$K$26:$M$29,2,FALSE)+VLOOKUP(VLOOKUP(CV$1,main!$A$3:$H$102,7,FALSE),main!$K$19:$O$22,MATCH(VLOOKUP($A81,main!$A$3:$H$102,8,FALSE),main!$K$18:$O$18,0))))),1,0)</f>
        <v>0</v>
      </c>
      <c r="CW81">
        <f>IF((AND(VLOOKUP(CW$1,main!$A$3:$H$102,5,FALSE)-VLOOKUP($A81,main!$A$3:$H$102,6,FALSE)&gt;=(VLOOKUP(VLOOKUP(CW$1,main!$A$3:$H$102,8,FALSE),main!$K$26:$M$29,2,FALSE)+VLOOKUP(VLOOKUP(CW$1,main!$A$3:$H$102,7,FALSE),main!$K$19:$O$22,MATCH(VLOOKUP($A81,main!$A$3:$H$102,8,FALSE),main!$K$18:$O$18,0))))),1,0)</f>
        <v>0</v>
      </c>
      <c r="CX81">
        <f>IF((AND(VLOOKUP(CX$1,main!$A$3:$H$102,5,FALSE)-VLOOKUP($A81,main!$A$3:$H$102,6,FALSE)&gt;=(VLOOKUP(VLOOKUP(CX$1,main!$A$3:$H$102,8,FALSE),main!$K$26:$M$29,2,FALSE)+VLOOKUP(VLOOKUP(CX$1,main!$A$3:$H$102,7,FALSE),main!$K$19:$O$22,MATCH(VLOOKUP($A81,main!$A$3:$H$102,8,FALSE),main!$K$18:$O$18,0))))),1,0)</f>
        <v>0</v>
      </c>
    </row>
    <row r="82" spans="1:102" x14ac:dyDescent="0.25">
      <c r="A82" s="1">
        <v>80</v>
      </c>
      <c r="B82">
        <v>1</v>
      </c>
      <c r="C82">
        <f>IF((AND(VLOOKUP(C$1,main!$A$3:$H$102,5,FALSE)-VLOOKUP($A82,main!$A$3:$H$102,6,FALSE)&gt;=(VLOOKUP(VLOOKUP(C$1,main!$A$3:$H$102,8,FALSE),main!$K$26:$M$29,2,FALSE)+VLOOKUP(VLOOKUP(C$1,main!$A$3:$H$102,7,FALSE),main!$K$19:$O$22,MATCH(VLOOKUP($A82,main!$A$3:$H$102,8,FALSE),main!$K$18:$O$18,0))))),1,0)</f>
        <v>0</v>
      </c>
      <c r="D82">
        <f>IF((AND(VLOOKUP(D$1,main!$A$3:$H$102,5,FALSE)-VLOOKUP($A82,main!$A$3:$H$102,6,FALSE)&gt;=(VLOOKUP(VLOOKUP(D$1,main!$A$3:$H$102,8,FALSE),main!$K$26:$M$29,2,FALSE)+VLOOKUP(VLOOKUP(D$1,main!$A$3:$H$102,7,FALSE),main!$K$19:$O$22,MATCH(VLOOKUP($A82,main!$A$3:$H$102,8,FALSE),main!$K$18:$O$18,0))))),1,0)</f>
        <v>0</v>
      </c>
      <c r="E82">
        <f>IF((AND(VLOOKUP(E$1,main!$A$3:$H$102,5,FALSE)-VLOOKUP($A82,main!$A$3:$H$102,6,FALSE)&gt;=(VLOOKUP(VLOOKUP(E$1,main!$A$3:$H$102,8,FALSE),main!$K$26:$M$29,2,FALSE)+VLOOKUP(VLOOKUP(E$1,main!$A$3:$H$102,7,FALSE),main!$K$19:$O$22,MATCH(VLOOKUP($A82,main!$A$3:$H$102,8,FALSE),main!$K$18:$O$18,0))))),1,0)</f>
        <v>0</v>
      </c>
      <c r="F82">
        <f>IF((AND(VLOOKUP(F$1,main!$A$3:$H$102,5,FALSE)-VLOOKUP($A82,main!$A$3:$H$102,6,FALSE)&gt;=(VLOOKUP(VLOOKUP(F$1,main!$A$3:$H$102,8,FALSE),main!$K$26:$M$29,2,FALSE)+VLOOKUP(VLOOKUP(F$1,main!$A$3:$H$102,7,FALSE),main!$K$19:$O$22,MATCH(VLOOKUP($A82,main!$A$3:$H$102,8,FALSE),main!$K$18:$O$18,0))))),1,0)</f>
        <v>0</v>
      </c>
      <c r="G82">
        <f>IF((AND(VLOOKUP(G$1,main!$A$3:$H$102,5,FALSE)-VLOOKUP($A82,main!$A$3:$H$102,6,FALSE)&gt;=(VLOOKUP(VLOOKUP(G$1,main!$A$3:$H$102,8,FALSE),main!$K$26:$M$29,2,FALSE)+VLOOKUP(VLOOKUP(G$1,main!$A$3:$H$102,7,FALSE),main!$K$19:$O$22,MATCH(VLOOKUP($A82,main!$A$3:$H$102,8,FALSE),main!$K$18:$O$18,0))))),1,0)</f>
        <v>0</v>
      </c>
      <c r="H82">
        <f>IF((AND(VLOOKUP(H$1,main!$A$3:$H$102,5,FALSE)-VLOOKUP($A82,main!$A$3:$H$102,6,FALSE)&gt;=(VLOOKUP(VLOOKUP(H$1,main!$A$3:$H$102,8,FALSE),main!$K$26:$M$29,2,FALSE)+VLOOKUP(VLOOKUP(H$1,main!$A$3:$H$102,7,FALSE),main!$K$19:$O$22,MATCH(VLOOKUP($A82,main!$A$3:$H$102,8,FALSE),main!$K$18:$O$18,0))))),1,0)</f>
        <v>0</v>
      </c>
      <c r="I82">
        <f>IF((AND(VLOOKUP(I$1,main!$A$3:$H$102,5,FALSE)-VLOOKUP($A82,main!$A$3:$H$102,6,FALSE)&gt;=(VLOOKUP(VLOOKUP(I$1,main!$A$3:$H$102,8,FALSE),main!$K$26:$M$29,2,FALSE)+VLOOKUP(VLOOKUP(I$1,main!$A$3:$H$102,7,FALSE),main!$K$19:$O$22,MATCH(VLOOKUP($A82,main!$A$3:$H$102,8,FALSE),main!$K$18:$O$18,0))))),1,0)</f>
        <v>0</v>
      </c>
      <c r="J82">
        <f>IF((AND(VLOOKUP(J$1,main!$A$3:$H$102,5,FALSE)-VLOOKUP($A82,main!$A$3:$H$102,6,FALSE)&gt;=(VLOOKUP(VLOOKUP(J$1,main!$A$3:$H$102,8,FALSE),main!$K$26:$M$29,2,FALSE)+VLOOKUP(VLOOKUP(J$1,main!$A$3:$H$102,7,FALSE),main!$K$19:$O$22,MATCH(VLOOKUP($A82,main!$A$3:$H$102,8,FALSE),main!$K$18:$O$18,0))))),1,0)</f>
        <v>1</v>
      </c>
      <c r="K82">
        <f>IF((AND(VLOOKUP(K$1,main!$A$3:$H$102,5,FALSE)-VLOOKUP($A82,main!$A$3:$H$102,6,FALSE)&gt;=(VLOOKUP(VLOOKUP(K$1,main!$A$3:$H$102,8,FALSE),main!$K$26:$M$29,2,FALSE)+VLOOKUP(VLOOKUP(K$1,main!$A$3:$H$102,7,FALSE),main!$K$19:$O$22,MATCH(VLOOKUP($A82,main!$A$3:$H$102,8,FALSE),main!$K$18:$O$18,0))))),1,0)</f>
        <v>1</v>
      </c>
      <c r="L82">
        <f>IF((AND(VLOOKUP(L$1,main!$A$3:$H$102,5,FALSE)-VLOOKUP($A82,main!$A$3:$H$102,6,FALSE)&gt;=(VLOOKUP(VLOOKUP(L$1,main!$A$3:$H$102,8,FALSE),main!$K$26:$M$29,2,FALSE)+VLOOKUP(VLOOKUP(L$1,main!$A$3:$H$102,7,FALSE),main!$K$19:$O$22,MATCH(VLOOKUP($A82,main!$A$3:$H$102,8,FALSE),main!$K$18:$O$18,0))))),1,0)</f>
        <v>1</v>
      </c>
      <c r="M82">
        <f>IF((AND(VLOOKUP(M$1,main!$A$3:$H$102,5,FALSE)-VLOOKUP($A82,main!$A$3:$H$102,6,FALSE)&gt;=(VLOOKUP(VLOOKUP(M$1,main!$A$3:$H$102,8,FALSE),main!$K$26:$M$29,2,FALSE)+VLOOKUP(VLOOKUP(M$1,main!$A$3:$H$102,7,FALSE),main!$K$19:$O$22,MATCH(VLOOKUP($A82,main!$A$3:$H$102,8,FALSE),main!$K$18:$O$18,0))))),1,0)</f>
        <v>0</v>
      </c>
      <c r="N82">
        <f>IF((AND(VLOOKUP(N$1,main!$A$3:$H$102,5,FALSE)-VLOOKUP($A82,main!$A$3:$H$102,6,FALSE)&gt;=(VLOOKUP(VLOOKUP(N$1,main!$A$3:$H$102,8,FALSE),main!$K$26:$M$29,2,FALSE)+VLOOKUP(VLOOKUP(N$1,main!$A$3:$H$102,7,FALSE),main!$K$19:$O$22,MATCH(VLOOKUP($A82,main!$A$3:$H$102,8,FALSE),main!$K$18:$O$18,0))))),1,0)</f>
        <v>0</v>
      </c>
      <c r="O82">
        <f>IF((AND(VLOOKUP(O$1,main!$A$3:$H$102,5,FALSE)-VLOOKUP($A82,main!$A$3:$H$102,6,FALSE)&gt;=(VLOOKUP(VLOOKUP(O$1,main!$A$3:$H$102,8,FALSE),main!$K$26:$M$29,2,FALSE)+VLOOKUP(VLOOKUP(O$1,main!$A$3:$H$102,7,FALSE),main!$K$19:$O$22,MATCH(VLOOKUP($A82,main!$A$3:$H$102,8,FALSE),main!$K$18:$O$18,0))))),1,0)</f>
        <v>0</v>
      </c>
      <c r="P82">
        <f>IF((AND(VLOOKUP(P$1,main!$A$3:$H$102,5,FALSE)-VLOOKUP($A82,main!$A$3:$H$102,6,FALSE)&gt;=(VLOOKUP(VLOOKUP(P$1,main!$A$3:$H$102,8,FALSE),main!$K$26:$M$29,2,FALSE)+VLOOKUP(VLOOKUP(P$1,main!$A$3:$H$102,7,FALSE),main!$K$19:$O$22,MATCH(VLOOKUP($A82,main!$A$3:$H$102,8,FALSE),main!$K$18:$O$18,0))))),1,0)</f>
        <v>0</v>
      </c>
      <c r="Q82">
        <f>IF((AND(VLOOKUP(Q$1,main!$A$3:$H$102,5,FALSE)-VLOOKUP($A82,main!$A$3:$H$102,6,FALSE)&gt;=(VLOOKUP(VLOOKUP(Q$1,main!$A$3:$H$102,8,FALSE),main!$K$26:$M$29,2,FALSE)+VLOOKUP(VLOOKUP(Q$1,main!$A$3:$H$102,7,FALSE),main!$K$19:$O$22,MATCH(VLOOKUP($A82,main!$A$3:$H$102,8,FALSE),main!$K$18:$O$18,0))))),1,0)</f>
        <v>0</v>
      </c>
      <c r="R82">
        <f>IF((AND(VLOOKUP(R$1,main!$A$3:$H$102,5,FALSE)-VLOOKUP($A82,main!$A$3:$H$102,6,FALSE)&gt;=(VLOOKUP(VLOOKUP(R$1,main!$A$3:$H$102,8,FALSE),main!$K$26:$M$29,2,FALSE)+VLOOKUP(VLOOKUP(R$1,main!$A$3:$H$102,7,FALSE),main!$K$19:$O$22,MATCH(VLOOKUP($A82,main!$A$3:$H$102,8,FALSE),main!$K$18:$O$18,0))))),1,0)</f>
        <v>0</v>
      </c>
      <c r="S82">
        <f>IF((AND(VLOOKUP(S$1,main!$A$3:$H$102,5,FALSE)-VLOOKUP($A82,main!$A$3:$H$102,6,FALSE)&gt;=(VLOOKUP(VLOOKUP(S$1,main!$A$3:$H$102,8,FALSE),main!$K$26:$M$29,2,FALSE)+VLOOKUP(VLOOKUP(S$1,main!$A$3:$H$102,7,FALSE),main!$K$19:$O$22,MATCH(VLOOKUP($A82,main!$A$3:$H$102,8,FALSE),main!$K$18:$O$18,0))))),1,0)</f>
        <v>0</v>
      </c>
      <c r="T82">
        <f>IF((AND(VLOOKUP(T$1,main!$A$3:$H$102,5,FALSE)-VLOOKUP($A82,main!$A$3:$H$102,6,FALSE)&gt;=(VLOOKUP(VLOOKUP(T$1,main!$A$3:$H$102,8,FALSE),main!$K$26:$M$29,2,FALSE)+VLOOKUP(VLOOKUP(T$1,main!$A$3:$H$102,7,FALSE),main!$K$19:$O$22,MATCH(VLOOKUP($A82,main!$A$3:$H$102,8,FALSE),main!$K$18:$O$18,0))))),1,0)</f>
        <v>0</v>
      </c>
      <c r="U82">
        <f>IF((AND(VLOOKUP(U$1,main!$A$3:$H$102,5,FALSE)-VLOOKUP($A82,main!$A$3:$H$102,6,FALSE)&gt;=(VLOOKUP(VLOOKUP(U$1,main!$A$3:$H$102,8,FALSE),main!$K$26:$M$29,2,FALSE)+VLOOKUP(VLOOKUP(U$1,main!$A$3:$H$102,7,FALSE),main!$K$19:$O$22,MATCH(VLOOKUP($A82,main!$A$3:$H$102,8,FALSE),main!$K$18:$O$18,0))))),1,0)</f>
        <v>1</v>
      </c>
      <c r="V82">
        <f>IF((AND(VLOOKUP(V$1,main!$A$3:$H$102,5,FALSE)-VLOOKUP($A82,main!$A$3:$H$102,6,FALSE)&gt;=(VLOOKUP(VLOOKUP(V$1,main!$A$3:$H$102,8,FALSE),main!$K$26:$M$29,2,FALSE)+VLOOKUP(VLOOKUP(V$1,main!$A$3:$H$102,7,FALSE),main!$K$19:$O$22,MATCH(VLOOKUP($A82,main!$A$3:$H$102,8,FALSE),main!$K$18:$O$18,0))))),1,0)</f>
        <v>1</v>
      </c>
      <c r="W82">
        <f>IF((AND(VLOOKUP(W$1,main!$A$3:$H$102,5,FALSE)-VLOOKUP($A82,main!$A$3:$H$102,6,FALSE)&gt;=(VLOOKUP(VLOOKUP(W$1,main!$A$3:$H$102,8,FALSE),main!$K$26:$M$29,2,FALSE)+VLOOKUP(VLOOKUP(W$1,main!$A$3:$H$102,7,FALSE),main!$K$19:$O$22,MATCH(VLOOKUP($A82,main!$A$3:$H$102,8,FALSE),main!$K$18:$O$18,0))))),1,0)</f>
        <v>0</v>
      </c>
      <c r="X82">
        <f>IF((AND(VLOOKUP(X$1,main!$A$3:$H$102,5,FALSE)-VLOOKUP($A82,main!$A$3:$H$102,6,FALSE)&gt;=(VLOOKUP(VLOOKUP(X$1,main!$A$3:$H$102,8,FALSE),main!$K$26:$M$29,2,FALSE)+VLOOKUP(VLOOKUP(X$1,main!$A$3:$H$102,7,FALSE),main!$K$19:$O$22,MATCH(VLOOKUP($A82,main!$A$3:$H$102,8,FALSE),main!$K$18:$O$18,0))))),1,0)</f>
        <v>0</v>
      </c>
      <c r="Y82">
        <f>IF((AND(VLOOKUP(Y$1,main!$A$3:$H$102,5,FALSE)-VLOOKUP($A82,main!$A$3:$H$102,6,FALSE)&gt;=(VLOOKUP(VLOOKUP(Y$1,main!$A$3:$H$102,8,FALSE),main!$K$26:$M$29,2,FALSE)+VLOOKUP(VLOOKUP(Y$1,main!$A$3:$H$102,7,FALSE),main!$K$19:$O$22,MATCH(VLOOKUP($A82,main!$A$3:$H$102,8,FALSE),main!$K$18:$O$18,0))))),1,0)</f>
        <v>0</v>
      </c>
      <c r="Z82">
        <f>IF((AND(VLOOKUP(Z$1,main!$A$3:$H$102,5,FALSE)-VLOOKUP($A82,main!$A$3:$H$102,6,FALSE)&gt;=(VLOOKUP(VLOOKUP(Z$1,main!$A$3:$H$102,8,FALSE),main!$K$26:$M$29,2,FALSE)+VLOOKUP(VLOOKUP(Z$1,main!$A$3:$H$102,7,FALSE),main!$K$19:$O$22,MATCH(VLOOKUP($A82,main!$A$3:$H$102,8,FALSE),main!$K$18:$O$18,0))))),1,0)</f>
        <v>0</v>
      </c>
      <c r="AA82">
        <f>IF((AND(VLOOKUP(AA$1,main!$A$3:$H$102,5,FALSE)-VLOOKUP($A82,main!$A$3:$H$102,6,FALSE)&gt;=(VLOOKUP(VLOOKUP(AA$1,main!$A$3:$H$102,8,FALSE),main!$K$26:$M$29,2,FALSE)+VLOOKUP(VLOOKUP(AA$1,main!$A$3:$H$102,7,FALSE),main!$K$19:$O$22,MATCH(VLOOKUP($A82,main!$A$3:$H$102,8,FALSE),main!$K$18:$O$18,0))))),1,0)</f>
        <v>1</v>
      </c>
      <c r="AB82">
        <f>IF((AND(VLOOKUP(AB$1,main!$A$3:$H$102,5,FALSE)-VLOOKUP($A82,main!$A$3:$H$102,6,FALSE)&gt;=(VLOOKUP(VLOOKUP(AB$1,main!$A$3:$H$102,8,FALSE),main!$K$26:$M$29,2,FALSE)+VLOOKUP(VLOOKUP(AB$1,main!$A$3:$H$102,7,FALSE),main!$K$19:$O$22,MATCH(VLOOKUP($A82,main!$A$3:$H$102,8,FALSE),main!$K$18:$O$18,0))))),1,0)</f>
        <v>0</v>
      </c>
      <c r="AC82">
        <f>IF((AND(VLOOKUP(AC$1,main!$A$3:$H$102,5,FALSE)-VLOOKUP($A82,main!$A$3:$H$102,6,FALSE)&gt;=(VLOOKUP(VLOOKUP(AC$1,main!$A$3:$H$102,8,FALSE),main!$K$26:$M$29,2,FALSE)+VLOOKUP(VLOOKUP(AC$1,main!$A$3:$H$102,7,FALSE),main!$K$19:$O$22,MATCH(VLOOKUP($A82,main!$A$3:$H$102,8,FALSE),main!$K$18:$O$18,0))))),1,0)</f>
        <v>0</v>
      </c>
      <c r="AD82">
        <f>IF((AND(VLOOKUP(AD$1,main!$A$3:$H$102,5,FALSE)-VLOOKUP($A82,main!$A$3:$H$102,6,FALSE)&gt;=(VLOOKUP(VLOOKUP(AD$1,main!$A$3:$H$102,8,FALSE),main!$K$26:$M$29,2,FALSE)+VLOOKUP(VLOOKUP(AD$1,main!$A$3:$H$102,7,FALSE),main!$K$19:$O$22,MATCH(VLOOKUP($A82,main!$A$3:$H$102,8,FALSE),main!$K$18:$O$18,0))))),1,0)</f>
        <v>0</v>
      </c>
      <c r="AE82">
        <f>IF((AND(VLOOKUP(AE$1,main!$A$3:$H$102,5,FALSE)-VLOOKUP($A82,main!$A$3:$H$102,6,FALSE)&gt;=(VLOOKUP(VLOOKUP(AE$1,main!$A$3:$H$102,8,FALSE),main!$K$26:$M$29,2,FALSE)+VLOOKUP(VLOOKUP(AE$1,main!$A$3:$H$102,7,FALSE),main!$K$19:$O$22,MATCH(VLOOKUP($A82,main!$A$3:$H$102,8,FALSE),main!$K$18:$O$18,0))))),1,0)</f>
        <v>0</v>
      </c>
      <c r="AF82">
        <f>IF((AND(VLOOKUP(AF$1,main!$A$3:$H$102,5,FALSE)-VLOOKUP($A82,main!$A$3:$H$102,6,FALSE)&gt;=(VLOOKUP(VLOOKUP(AF$1,main!$A$3:$H$102,8,FALSE),main!$K$26:$M$29,2,FALSE)+VLOOKUP(VLOOKUP(AF$1,main!$A$3:$H$102,7,FALSE),main!$K$19:$O$22,MATCH(VLOOKUP($A82,main!$A$3:$H$102,8,FALSE),main!$K$18:$O$18,0))))),1,0)</f>
        <v>1</v>
      </c>
      <c r="AG82">
        <f>IF((AND(VLOOKUP(AG$1,main!$A$3:$H$102,5,FALSE)-VLOOKUP($A82,main!$A$3:$H$102,6,FALSE)&gt;=(VLOOKUP(VLOOKUP(AG$1,main!$A$3:$H$102,8,FALSE),main!$K$26:$M$29,2,FALSE)+VLOOKUP(VLOOKUP(AG$1,main!$A$3:$H$102,7,FALSE),main!$K$19:$O$22,MATCH(VLOOKUP($A82,main!$A$3:$H$102,8,FALSE),main!$K$18:$O$18,0))))),1,0)</f>
        <v>0</v>
      </c>
      <c r="AH82">
        <f>IF((AND(VLOOKUP(AH$1,main!$A$3:$H$102,5,FALSE)-VLOOKUP($A82,main!$A$3:$H$102,6,FALSE)&gt;=(VLOOKUP(VLOOKUP(AH$1,main!$A$3:$H$102,8,FALSE),main!$K$26:$M$29,2,FALSE)+VLOOKUP(VLOOKUP(AH$1,main!$A$3:$H$102,7,FALSE),main!$K$19:$O$22,MATCH(VLOOKUP($A82,main!$A$3:$H$102,8,FALSE),main!$K$18:$O$18,0))))),1,0)</f>
        <v>0</v>
      </c>
      <c r="AI82">
        <f>IF((AND(VLOOKUP(AI$1,main!$A$3:$H$102,5,FALSE)-VLOOKUP($A82,main!$A$3:$H$102,6,FALSE)&gt;=(VLOOKUP(VLOOKUP(AI$1,main!$A$3:$H$102,8,FALSE),main!$K$26:$M$29,2,FALSE)+VLOOKUP(VLOOKUP(AI$1,main!$A$3:$H$102,7,FALSE),main!$K$19:$O$22,MATCH(VLOOKUP($A82,main!$A$3:$H$102,8,FALSE),main!$K$18:$O$18,0))))),1,0)</f>
        <v>0</v>
      </c>
      <c r="AJ82">
        <f>IF((AND(VLOOKUP(AJ$1,main!$A$3:$H$102,5,FALSE)-VLOOKUP($A82,main!$A$3:$H$102,6,FALSE)&gt;=(VLOOKUP(VLOOKUP(AJ$1,main!$A$3:$H$102,8,FALSE),main!$K$26:$M$29,2,FALSE)+VLOOKUP(VLOOKUP(AJ$1,main!$A$3:$H$102,7,FALSE),main!$K$19:$O$22,MATCH(VLOOKUP($A82,main!$A$3:$H$102,8,FALSE),main!$K$18:$O$18,0))))),1,0)</f>
        <v>0</v>
      </c>
      <c r="AK82">
        <f>IF((AND(VLOOKUP(AK$1,main!$A$3:$H$102,5,FALSE)-VLOOKUP($A82,main!$A$3:$H$102,6,FALSE)&gt;=(VLOOKUP(VLOOKUP(AK$1,main!$A$3:$H$102,8,FALSE),main!$K$26:$M$29,2,FALSE)+VLOOKUP(VLOOKUP(AK$1,main!$A$3:$H$102,7,FALSE),main!$K$19:$O$22,MATCH(VLOOKUP($A82,main!$A$3:$H$102,8,FALSE),main!$K$18:$O$18,0))))),1,0)</f>
        <v>0</v>
      </c>
      <c r="AL82">
        <f>IF((AND(VLOOKUP(AL$1,main!$A$3:$H$102,5,FALSE)-VLOOKUP($A82,main!$A$3:$H$102,6,FALSE)&gt;=(VLOOKUP(VLOOKUP(AL$1,main!$A$3:$H$102,8,FALSE),main!$K$26:$M$29,2,FALSE)+VLOOKUP(VLOOKUP(AL$1,main!$A$3:$H$102,7,FALSE),main!$K$19:$O$22,MATCH(VLOOKUP($A82,main!$A$3:$H$102,8,FALSE),main!$K$18:$O$18,0))))),1,0)</f>
        <v>0</v>
      </c>
      <c r="AM82">
        <f>IF((AND(VLOOKUP(AM$1,main!$A$3:$H$102,5,FALSE)-VLOOKUP($A82,main!$A$3:$H$102,6,FALSE)&gt;=(VLOOKUP(VLOOKUP(AM$1,main!$A$3:$H$102,8,FALSE),main!$K$26:$M$29,2,FALSE)+VLOOKUP(VLOOKUP(AM$1,main!$A$3:$H$102,7,FALSE),main!$K$19:$O$22,MATCH(VLOOKUP($A82,main!$A$3:$H$102,8,FALSE),main!$K$18:$O$18,0))))),1,0)</f>
        <v>1</v>
      </c>
      <c r="AN82">
        <f>IF((AND(VLOOKUP(AN$1,main!$A$3:$H$102,5,FALSE)-VLOOKUP($A82,main!$A$3:$H$102,6,FALSE)&gt;=(VLOOKUP(VLOOKUP(AN$1,main!$A$3:$H$102,8,FALSE),main!$K$26:$M$29,2,FALSE)+VLOOKUP(VLOOKUP(AN$1,main!$A$3:$H$102,7,FALSE),main!$K$19:$O$22,MATCH(VLOOKUP($A82,main!$A$3:$H$102,8,FALSE),main!$K$18:$O$18,0))))),1,0)</f>
        <v>1</v>
      </c>
      <c r="AO82">
        <f>IF((AND(VLOOKUP(AO$1,main!$A$3:$H$102,5,FALSE)-VLOOKUP($A82,main!$A$3:$H$102,6,FALSE)&gt;=(VLOOKUP(VLOOKUP(AO$1,main!$A$3:$H$102,8,FALSE),main!$K$26:$M$29,2,FALSE)+VLOOKUP(VLOOKUP(AO$1,main!$A$3:$H$102,7,FALSE),main!$K$19:$O$22,MATCH(VLOOKUP($A82,main!$A$3:$H$102,8,FALSE),main!$K$18:$O$18,0))))),1,0)</f>
        <v>0</v>
      </c>
      <c r="AP82">
        <f>IF((AND(VLOOKUP(AP$1,main!$A$3:$H$102,5,FALSE)-VLOOKUP($A82,main!$A$3:$H$102,6,FALSE)&gt;=(VLOOKUP(VLOOKUP(AP$1,main!$A$3:$H$102,8,FALSE),main!$K$26:$M$29,2,FALSE)+VLOOKUP(VLOOKUP(AP$1,main!$A$3:$H$102,7,FALSE),main!$K$19:$O$22,MATCH(VLOOKUP($A82,main!$A$3:$H$102,8,FALSE),main!$K$18:$O$18,0))))),1,0)</f>
        <v>1</v>
      </c>
      <c r="AQ82">
        <f>IF((AND(VLOOKUP(AQ$1,main!$A$3:$H$102,5,FALSE)-VLOOKUP($A82,main!$A$3:$H$102,6,FALSE)&gt;=(VLOOKUP(VLOOKUP(AQ$1,main!$A$3:$H$102,8,FALSE),main!$K$26:$M$29,2,FALSE)+VLOOKUP(VLOOKUP(AQ$1,main!$A$3:$H$102,7,FALSE),main!$K$19:$O$22,MATCH(VLOOKUP($A82,main!$A$3:$H$102,8,FALSE),main!$K$18:$O$18,0))))),1,0)</f>
        <v>0</v>
      </c>
      <c r="AR82">
        <f>IF((AND(VLOOKUP(AR$1,main!$A$3:$H$102,5,FALSE)-VLOOKUP($A82,main!$A$3:$H$102,6,FALSE)&gt;=(VLOOKUP(VLOOKUP(AR$1,main!$A$3:$H$102,8,FALSE),main!$K$26:$M$29,2,FALSE)+VLOOKUP(VLOOKUP(AR$1,main!$A$3:$H$102,7,FALSE),main!$K$19:$O$22,MATCH(VLOOKUP($A82,main!$A$3:$H$102,8,FALSE),main!$K$18:$O$18,0))))),1,0)</f>
        <v>0</v>
      </c>
      <c r="AS82">
        <f>IF((AND(VLOOKUP(AS$1,main!$A$3:$H$102,5,FALSE)-VLOOKUP($A82,main!$A$3:$H$102,6,FALSE)&gt;=(VLOOKUP(VLOOKUP(AS$1,main!$A$3:$H$102,8,FALSE),main!$K$26:$M$29,2,FALSE)+VLOOKUP(VLOOKUP(AS$1,main!$A$3:$H$102,7,FALSE),main!$K$19:$O$22,MATCH(VLOOKUP($A82,main!$A$3:$H$102,8,FALSE),main!$K$18:$O$18,0))))),1,0)</f>
        <v>0</v>
      </c>
      <c r="AT82">
        <f>IF((AND(VLOOKUP(AT$1,main!$A$3:$H$102,5,FALSE)-VLOOKUP($A82,main!$A$3:$H$102,6,FALSE)&gt;=(VLOOKUP(VLOOKUP(AT$1,main!$A$3:$H$102,8,FALSE),main!$K$26:$M$29,2,FALSE)+VLOOKUP(VLOOKUP(AT$1,main!$A$3:$H$102,7,FALSE),main!$K$19:$O$22,MATCH(VLOOKUP($A82,main!$A$3:$H$102,8,FALSE),main!$K$18:$O$18,0))))),1,0)</f>
        <v>0</v>
      </c>
      <c r="AU82">
        <f>IF((AND(VLOOKUP(AU$1,main!$A$3:$H$102,5,FALSE)-VLOOKUP($A82,main!$A$3:$H$102,6,FALSE)&gt;=(VLOOKUP(VLOOKUP(AU$1,main!$A$3:$H$102,8,FALSE),main!$K$26:$M$29,2,FALSE)+VLOOKUP(VLOOKUP(AU$1,main!$A$3:$H$102,7,FALSE),main!$K$19:$O$22,MATCH(VLOOKUP($A82,main!$A$3:$H$102,8,FALSE),main!$K$18:$O$18,0))))),1,0)</f>
        <v>0</v>
      </c>
      <c r="AV82">
        <f>IF((AND(VLOOKUP(AV$1,main!$A$3:$H$102,5,FALSE)-VLOOKUP($A82,main!$A$3:$H$102,6,FALSE)&gt;=(VLOOKUP(VLOOKUP(AV$1,main!$A$3:$H$102,8,FALSE),main!$K$26:$M$29,2,FALSE)+VLOOKUP(VLOOKUP(AV$1,main!$A$3:$H$102,7,FALSE),main!$K$19:$O$22,MATCH(VLOOKUP($A82,main!$A$3:$H$102,8,FALSE),main!$K$18:$O$18,0))))),1,0)</f>
        <v>0</v>
      </c>
      <c r="AW82">
        <f>IF((AND(VLOOKUP(AW$1,main!$A$3:$H$102,5,FALSE)-VLOOKUP($A82,main!$A$3:$H$102,6,FALSE)&gt;=(VLOOKUP(VLOOKUP(AW$1,main!$A$3:$H$102,8,FALSE),main!$K$26:$M$29,2,FALSE)+VLOOKUP(VLOOKUP(AW$1,main!$A$3:$H$102,7,FALSE),main!$K$19:$O$22,MATCH(VLOOKUP($A82,main!$A$3:$H$102,8,FALSE),main!$K$18:$O$18,0))))),1,0)</f>
        <v>0</v>
      </c>
      <c r="AX82">
        <f>IF((AND(VLOOKUP(AX$1,main!$A$3:$H$102,5,FALSE)-VLOOKUP($A82,main!$A$3:$H$102,6,FALSE)&gt;=(VLOOKUP(VLOOKUP(AX$1,main!$A$3:$H$102,8,FALSE),main!$K$26:$M$29,2,FALSE)+VLOOKUP(VLOOKUP(AX$1,main!$A$3:$H$102,7,FALSE),main!$K$19:$O$22,MATCH(VLOOKUP($A82,main!$A$3:$H$102,8,FALSE),main!$K$18:$O$18,0))))),1,0)</f>
        <v>0</v>
      </c>
      <c r="AY82">
        <f>IF((AND(VLOOKUP(AY$1,main!$A$3:$H$102,5,FALSE)-VLOOKUP($A82,main!$A$3:$H$102,6,FALSE)&gt;=(VLOOKUP(VLOOKUP(AY$1,main!$A$3:$H$102,8,FALSE),main!$K$26:$M$29,2,FALSE)+VLOOKUP(VLOOKUP(AY$1,main!$A$3:$H$102,7,FALSE),main!$K$19:$O$22,MATCH(VLOOKUP($A82,main!$A$3:$H$102,8,FALSE),main!$K$18:$O$18,0))))),1,0)</f>
        <v>0</v>
      </c>
      <c r="AZ82">
        <f>IF((AND(VLOOKUP(AZ$1,main!$A$3:$H$102,5,FALSE)-VLOOKUP($A82,main!$A$3:$H$102,6,FALSE)&gt;=(VLOOKUP(VLOOKUP(AZ$1,main!$A$3:$H$102,8,FALSE),main!$K$26:$M$29,2,FALSE)+VLOOKUP(VLOOKUP(AZ$1,main!$A$3:$H$102,7,FALSE),main!$K$19:$O$22,MATCH(VLOOKUP($A82,main!$A$3:$H$102,8,FALSE),main!$K$18:$O$18,0))))),1,0)</f>
        <v>0</v>
      </c>
      <c r="BA82">
        <f>IF((AND(VLOOKUP(BA$1,main!$A$3:$H$102,5,FALSE)-VLOOKUP($A82,main!$A$3:$H$102,6,FALSE)&gt;=(VLOOKUP(VLOOKUP(BA$1,main!$A$3:$H$102,8,FALSE),main!$K$26:$M$29,2,FALSE)+VLOOKUP(VLOOKUP(BA$1,main!$A$3:$H$102,7,FALSE),main!$K$19:$O$22,MATCH(VLOOKUP($A82,main!$A$3:$H$102,8,FALSE),main!$K$18:$O$18,0))))),1,0)</f>
        <v>0</v>
      </c>
      <c r="BB82">
        <f>IF((AND(VLOOKUP(BB$1,main!$A$3:$H$102,5,FALSE)-VLOOKUP($A82,main!$A$3:$H$102,6,FALSE)&gt;=(VLOOKUP(VLOOKUP(BB$1,main!$A$3:$H$102,8,FALSE),main!$K$26:$M$29,2,FALSE)+VLOOKUP(VLOOKUP(BB$1,main!$A$3:$H$102,7,FALSE),main!$K$19:$O$22,MATCH(VLOOKUP($A82,main!$A$3:$H$102,8,FALSE),main!$K$18:$O$18,0))))),1,0)</f>
        <v>0</v>
      </c>
      <c r="BC82">
        <f>IF((AND(VLOOKUP(BC$1,main!$A$3:$H$102,5,FALSE)-VLOOKUP($A82,main!$A$3:$H$102,6,FALSE)&gt;=(VLOOKUP(VLOOKUP(BC$1,main!$A$3:$H$102,8,FALSE),main!$K$26:$M$29,2,FALSE)+VLOOKUP(VLOOKUP(BC$1,main!$A$3:$H$102,7,FALSE),main!$K$19:$O$22,MATCH(VLOOKUP($A82,main!$A$3:$H$102,8,FALSE),main!$K$18:$O$18,0))))),1,0)</f>
        <v>0</v>
      </c>
      <c r="BD82">
        <f>IF((AND(VLOOKUP(BD$1,main!$A$3:$H$102,5,FALSE)-VLOOKUP($A82,main!$A$3:$H$102,6,FALSE)&gt;=(VLOOKUP(VLOOKUP(BD$1,main!$A$3:$H$102,8,FALSE),main!$K$26:$M$29,2,FALSE)+VLOOKUP(VLOOKUP(BD$1,main!$A$3:$H$102,7,FALSE),main!$K$19:$O$22,MATCH(VLOOKUP($A82,main!$A$3:$H$102,8,FALSE),main!$K$18:$O$18,0))))),1,0)</f>
        <v>0</v>
      </c>
      <c r="BE82">
        <f>IF((AND(VLOOKUP(BE$1,main!$A$3:$H$102,5,FALSE)-VLOOKUP($A82,main!$A$3:$H$102,6,FALSE)&gt;=(VLOOKUP(VLOOKUP(BE$1,main!$A$3:$H$102,8,FALSE),main!$K$26:$M$29,2,FALSE)+VLOOKUP(VLOOKUP(BE$1,main!$A$3:$H$102,7,FALSE),main!$K$19:$O$22,MATCH(VLOOKUP($A82,main!$A$3:$H$102,8,FALSE),main!$K$18:$O$18,0))))),1,0)</f>
        <v>1</v>
      </c>
      <c r="BF82">
        <f>IF((AND(VLOOKUP(BF$1,main!$A$3:$H$102,5,FALSE)-VLOOKUP($A82,main!$A$3:$H$102,6,FALSE)&gt;=(VLOOKUP(VLOOKUP(BF$1,main!$A$3:$H$102,8,FALSE),main!$K$26:$M$29,2,FALSE)+VLOOKUP(VLOOKUP(BF$1,main!$A$3:$H$102,7,FALSE),main!$K$19:$O$22,MATCH(VLOOKUP($A82,main!$A$3:$H$102,8,FALSE),main!$K$18:$O$18,0))))),1,0)</f>
        <v>0</v>
      </c>
      <c r="BG82">
        <f>IF((AND(VLOOKUP(BG$1,main!$A$3:$H$102,5,FALSE)-VLOOKUP($A82,main!$A$3:$H$102,6,FALSE)&gt;=(VLOOKUP(VLOOKUP(BG$1,main!$A$3:$H$102,8,FALSE),main!$K$26:$M$29,2,FALSE)+VLOOKUP(VLOOKUP(BG$1,main!$A$3:$H$102,7,FALSE),main!$K$19:$O$22,MATCH(VLOOKUP($A82,main!$A$3:$H$102,8,FALSE),main!$K$18:$O$18,0))))),1,0)</f>
        <v>0</v>
      </c>
      <c r="BH82">
        <f>IF((AND(VLOOKUP(BH$1,main!$A$3:$H$102,5,FALSE)-VLOOKUP($A82,main!$A$3:$H$102,6,FALSE)&gt;=(VLOOKUP(VLOOKUP(BH$1,main!$A$3:$H$102,8,FALSE),main!$K$26:$M$29,2,FALSE)+VLOOKUP(VLOOKUP(BH$1,main!$A$3:$H$102,7,FALSE),main!$K$19:$O$22,MATCH(VLOOKUP($A82,main!$A$3:$H$102,8,FALSE),main!$K$18:$O$18,0))))),1,0)</f>
        <v>0</v>
      </c>
      <c r="BI82">
        <f>IF((AND(VLOOKUP(BI$1,main!$A$3:$H$102,5,FALSE)-VLOOKUP($A82,main!$A$3:$H$102,6,FALSE)&gt;=(VLOOKUP(VLOOKUP(BI$1,main!$A$3:$H$102,8,FALSE),main!$K$26:$M$29,2,FALSE)+VLOOKUP(VLOOKUP(BI$1,main!$A$3:$H$102,7,FALSE),main!$K$19:$O$22,MATCH(VLOOKUP($A82,main!$A$3:$H$102,8,FALSE),main!$K$18:$O$18,0))))),1,0)</f>
        <v>1</v>
      </c>
      <c r="BJ82">
        <f>IF((AND(VLOOKUP(BJ$1,main!$A$3:$H$102,5,FALSE)-VLOOKUP($A82,main!$A$3:$H$102,6,FALSE)&gt;=(VLOOKUP(VLOOKUP(BJ$1,main!$A$3:$H$102,8,FALSE),main!$K$26:$M$29,2,FALSE)+VLOOKUP(VLOOKUP(BJ$1,main!$A$3:$H$102,7,FALSE),main!$K$19:$O$22,MATCH(VLOOKUP($A82,main!$A$3:$H$102,8,FALSE),main!$K$18:$O$18,0))))),1,0)</f>
        <v>0</v>
      </c>
      <c r="BK82">
        <f>IF((AND(VLOOKUP(BK$1,main!$A$3:$H$102,5,FALSE)-VLOOKUP($A82,main!$A$3:$H$102,6,FALSE)&gt;=(VLOOKUP(VLOOKUP(BK$1,main!$A$3:$H$102,8,FALSE),main!$K$26:$M$29,2,FALSE)+VLOOKUP(VLOOKUP(BK$1,main!$A$3:$H$102,7,FALSE),main!$K$19:$O$22,MATCH(VLOOKUP($A82,main!$A$3:$H$102,8,FALSE),main!$K$18:$O$18,0))))),1,0)</f>
        <v>0</v>
      </c>
      <c r="BL82">
        <f>IF((AND(VLOOKUP(BL$1,main!$A$3:$H$102,5,FALSE)-VLOOKUP($A82,main!$A$3:$H$102,6,FALSE)&gt;=(VLOOKUP(VLOOKUP(BL$1,main!$A$3:$H$102,8,FALSE),main!$K$26:$M$29,2,FALSE)+VLOOKUP(VLOOKUP(BL$1,main!$A$3:$H$102,7,FALSE),main!$K$19:$O$22,MATCH(VLOOKUP($A82,main!$A$3:$H$102,8,FALSE),main!$K$18:$O$18,0))))),1,0)</f>
        <v>0</v>
      </c>
      <c r="BM82">
        <f>IF((AND(VLOOKUP(BM$1,main!$A$3:$H$102,5,FALSE)-VLOOKUP($A82,main!$A$3:$H$102,6,FALSE)&gt;=(VLOOKUP(VLOOKUP(BM$1,main!$A$3:$H$102,8,FALSE),main!$K$26:$M$29,2,FALSE)+VLOOKUP(VLOOKUP(BM$1,main!$A$3:$H$102,7,FALSE),main!$K$19:$O$22,MATCH(VLOOKUP($A82,main!$A$3:$H$102,8,FALSE),main!$K$18:$O$18,0))))),1,0)</f>
        <v>0</v>
      </c>
      <c r="BN82">
        <f>IF((AND(VLOOKUP(BN$1,main!$A$3:$H$102,5,FALSE)-VLOOKUP($A82,main!$A$3:$H$102,6,FALSE)&gt;=(VLOOKUP(VLOOKUP(BN$1,main!$A$3:$H$102,8,FALSE),main!$K$26:$M$29,2,FALSE)+VLOOKUP(VLOOKUP(BN$1,main!$A$3:$H$102,7,FALSE),main!$K$19:$O$22,MATCH(VLOOKUP($A82,main!$A$3:$H$102,8,FALSE),main!$K$18:$O$18,0))))),1,0)</f>
        <v>0</v>
      </c>
      <c r="BO82">
        <f>IF((AND(VLOOKUP(BO$1,main!$A$3:$H$102,5,FALSE)-VLOOKUP($A82,main!$A$3:$H$102,6,FALSE)&gt;=(VLOOKUP(VLOOKUP(BO$1,main!$A$3:$H$102,8,FALSE),main!$K$26:$M$29,2,FALSE)+VLOOKUP(VLOOKUP(BO$1,main!$A$3:$H$102,7,FALSE),main!$K$19:$O$22,MATCH(VLOOKUP($A82,main!$A$3:$H$102,8,FALSE),main!$K$18:$O$18,0))))),1,0)</f>
        <v>0</v>
      </c>
      <c r="BP82">
        <f>IF((AND(VLOOKUP(BP$1,main!$A$3:$H$102,5,FALSE)-VLOOKUP($A82,main!$A$3:$H$102,6,FALSE)&gt;=(VLOOKUP(VLOOKUP(BP$1,main!$A$3:$H$102,8,FALSE),main!$K$26:$M$29,2,FALSE)+VLOOKUP(VLOOKUP(BP$1,main!$A$3:$H$102,7,FALSE),main!$K$19:$O$22,MATCH(VLOOKUP($A82,main!$A$3:$H$102,8,FALSE),main!$K$18:$O$18,0))))),1,0)</f>
        <v>0</v>
      </c>
      <c r="BQ82">
        <f>IF((AND(VLOOKUP(BQ$1,main!$A$3:$H$102,5,FALSE)-VLOOKUP($A82,main!$A$3:$H$102,6,FALSE)&gt;=(VLOOKUP(VLOOKUP(BQ$1,main!$A$3:$H$102,8,FALSE),main!$K$26:$M$29,2,FALSE)+VLOOKUP(VLOOKUP(BQ$1,main!$A$3:$H$102,7,FALSE),main!$K$19:$O$22,MATCH(VLOOKUP($A82,main!$A$3:$H$102,8,FALSE),main!$K$18:$O$18,0))))),1,0)</f>
        <v>0</v>
      </c>
      <c r="BR82">
        <f>IF((AND(VLOOKUP(BR$1,main!$A$3:$H$102,5,FALSE)-VLOOKUP($A82,main!$A$3:$H$102,6,FALSE)&gt;=(VLOOKUP(VLOOKUP(BR$1,main!$A$3:$H$102,8,FALSE),main!$K$26:$M$29,2,FALSE)+VLOOKUP(VLOOKUP(BR$1,main!$A$3:$H$102,7,FALSE),main!$K$19:$O$22,MATCH(VLOOKUP($A82,main!$A$3:$H$102,8,FALSE),main!$K$18:$O$18,0))))),1,0)</f>
        <v>0</v>
      </c>
      <c r="BS82">
        <f>IF((AND(VLOOKUP(BS$1,main!$A$3:$H$102,5,FALSE)-VLOOKUP($A82,main!$A$3:$H$102,6,FALSE)&gt;=(VLOOKUP(VLOOKUP(BS$1,main!$A$3:$H$102,8,FALSE),main!$K$26:$M$29,2,FALSE)+VLOOKUP(VLOOKUP(BS$1,main!$A$3:$H$102,7,FALSE),main!$K$19:$O$22,MATCH(VLOOKUP($A82,main!$A$3:$H$102,8,FALSE),main!$K$18:$O$18,0))))),1,0)</f>
        <v>0</v>
      </c>
      <c r="BT82">
        <f>IF((AND(VLOOKUP(BT$1,main!$A$3:$H$102,5,FALSE)-VLOOKUP($A82,main!$A$3:$H$102,6,FALSE)&gt;=(VLOOKUP(VLOOKUP(BT$1,main!$A$3:$H$102,8,FALSE),main!$K$26:$M$29,2,FALSE)+VLOOKUP(VLOOKUP(BT$1,main!$A$3:$H$102,7,FALSE),main!$K$19:$O$22,MATCH(VLOOKUP($A82,main!$A$3:$H$102,8,FALSE),main!$K$18:$O$18,0))))),1,0)</f>
        <v>0</v>
      </c>
      <c r="BU82">
        <f>IF((AND(VLOOKUP(BU$1,main!$A$3:$H$102,5,FALSE)-VLOOKUP($A82,main!$A$3:$H$102,6,FALSE)&gt;=(VLOOKUP(VLOOKUP(BU$1,main!$A$3:$H$102,8,FALSE),main!$K$26:$M$29,2,FALSE)+VLOOKUP(VLOOKUP(BU$1,main!$A$3:$H$102,7,FALSE),main!$K$19:$O$22,MATCH(VLOOKUP($A82,main!$A$3:$H$102,8,FALSE),main!$K$18:$O$18,0))))),1,0)</f>
        <v>0</v>
      </c>
      <c r="BV82">
        <f>IF((AND(VLOOKUP(BV$1,main!$A$3:$H$102,5,FALSE)-VLOOKUP($A82,main!$A$3:$H$102,6,FALSE)&gt;=(VLOOKUP(VLOOKUP(BV$1,main!$A$3:$H$102,8,FALSE),main!$K$26:$M$29,2,FALSE)+VLOOKUP(VLOOKUP(BV$1,main!$A$3:$H$102,7,FALSE),main!$K$19:$O$22,MATCH(VLOOKUP($A82,main!$A$3:$H$102,8,FALSE),main!$K$18:$O$18,0))))),1,0)</f>
        <v>0</v>
      </c>
      <c r="BW82">
        <f>IF((AND(VLOOKUP(BW$1,main!$A$3:$H$102,5,FALSE)-VLOOKUP($A82,main!$A$3:$H$102,6,FALSE)&gt;=(VLOOKUP(VLOOKUP(BW$1,main!$A$3:$H$102,8,FALSE),main!$K$26:$M$29,2,FALSE)+VLOOKUP(VLOOKUP(BW$1,main!$A$3:$H$102,7,FALSE),main!$K$19:$O$22,MATCH(VLOOKUP($A82,main!$A$3:$H$102,8,FALSE),main!$K$18:$O$18,0))))),1,0)</f>
        <v>0</v>
      </c>
      <c r="BX82">
        <f>IF((AND(VLOOKUP(BX$1,main!$A$3:$H$102,5,FALSE)-VLOOKUP($A82,main!$A$3:$H$102,6,FALSE)&gt;=(VLOOKUP(VLOOKUP(BX$1,main!$A$3:$H$102,8,FALSE),main!$K$26:$M$29,2,FALSE)+VLOOKUP(VLOOKUP(BX$1,main!$A$3:$H$102,7,FALSE),main!$K$19:$O$22,MATCH(VLOOKUP($A82,main!$A$3:$H$102,8,FALSE),main!$K$18:$O$18,0))))),1,0)</f>
        <v>0</v>
      </c>
      <c r="BY82">
        <f>IF((AND(VLOOKUP(BY$1,main!$A$3:$H$102,5,FALSE)-VLOOKUP($A82,main!$A$3:$H$102,6,FALSE)&gt;=(VLOOKUP(VLOOKUP(BY$1,main!$A$3:$H$102,8,FALSE),main!$K$26:$M$29,2,FALSE)+VLOOKUP(VLOOKUP(BY$1,main!$A$3:$H$102,7,FALSE),main!$K$19:$O$22,MATCH(VLOOKUP($A82,main!$A$3:$H$102,8,FALSE),main!$K$18:$O$18,0))))),1,0)</f>
        <v>0</v>
      </c>
      <c r="BZ82">
        <f>IF((AND(VLOOKUP(BZ$1,main!$A$3:$H$102,5,FALSE)-VLOOKUP($A82,main!$A$3:$H$102,6,FALSE)&gt;=(VLOOKUP(VLOOKUP(BZ$1,main!$A$3:$H$102,8,FALSE),main!$K$26:$M$29,2,FALSE)+VLOOKUP(VLOOKUP(BZ$1,main!$A$3:$H$102,7,FALSE),main!$K$19:$O$22,MATCH(VLOOKUP($A82,main!$A$3:$H$102,8,FALSE),main!$K$18:$O$18,0))))),1,0)</f>
        <v>0</v>
      </c>
      <c r="CA82">
        <f>IF((AND(VLOOKUP(CA$1,main!$A$3:$H$102,5,FALSE)-VLOOKUP($A82,main!$A$3:$H$102,6,FALSE)&gt;=(VLOOKUP(VLOOKUP(CA$1,main!$A$3:$H$102,8,FALSE),main!$K$26:$M$29,2,FALSE)+VLOOKUP(VLOOKUP(CA$1,main!$A$3:$H$102,7,FALSE),main!$K$19:$O$22,MATCH(VLOOKUP($A82,main!$A$3:$H$102,8,FALSE),main!$K$18:$O$18,0))))),1,0)</f>
        <v>0</v>
      </c>
      <c r="CB82">
        <f>IF((AND(VLOOKUP(CB$1,main!$A$3:$H$102,5,FALSE)-VLOOKUP($A82,main!$A$3:$H$102,6,FALSE)&gt;=(VLOOKUP(VLOOKUP(CB$1,main!$A$3:$H$102,8,FALSE),main!$K$26:$M$29,2,FALSE)+VLOOKUP(VLOOKUP(CB$1,main!$A$3:$H$102,7,FALSE),main!$K$19:$O$22,MATCH(VLOOKUP($A82,main!$A$3:$H$102,8,FALSE),main!$K$18:$O$18,0))))),1,0)</f>
        <v>0</v>
      </c>
      <c r="CC82">
        <f>IF((AND(VLOOKUP(CC$1,main!$A$3:$H$102,5,FALSE)-VLOOKUP($A82,main!$A$3:$H$102,6,FALSE)&gt;=(VLOOKUP(VLOOKUP(CC$1,main!$A$3:$H$102,8,FALSE),main!$K$26:$M$29,2,FALSE)+VLOOKUP(VLOOKUP(CC$1,main!$A$3:$H$102,7,FALSE),main!$K$19:$O$22,MATCH(VLOOKUP($A82,main!$A$3:$H$102,8,FALSE),main!$K$18:$O$18,0))))),1,0)</f>
        <v>1</v>
      </c>
      <c r="CD82">
        <f>IF((AND(VLOOKUP(CD$1,main!$A$3:$H$102,5,FALSE)-VLOOKUP($A82,main!$A$3:$H$102,6,FALSE)&gt;=(VLOOKUP(VLOOKUP(CD$1,main!$A$3:$H$102,8,FALSE),main!$K$26:$M$29,2,FALSE)+VLOOKUP(VLOOKUP(CD$1,main!$A$3:$H$102,7,FALSE),main!$K$19:$O$22,MATCH(VLOOKUP($A82,main!$A$3:$H$102,8,FALSE),main!$K$18:$O$18,0))))),1,0)</f>
        <v>0</v>
      </c>
      <c r="CE82">
        <f>IF((AND(VLOOKUP(CE$1,main!$A$3:$H$102,5,FALSE)-VLOOKUP($A82,main!$A$3:$H$102,6,FALSE)&gt;=(VLOOKUP(VLOOKUP(CE$1,main!$A$3:$H$102,8,FALSE),main!$K$26:$M$29,2,FALSE)+VLOOKUP(VLOOKUP(CE$1,main!$A$3:$H$102,7,FALSE),main!$K$19:$O$22,MATCH(VLOOKUP($A82,main!$A$3:$H$102,8,FALSE),main!$K$18:$O$18,0))))),1,0)</f>
        <v>0</v>
      </c>
      <c r="CF82">
        <f>IF((AND(VLOOKUP(CF$1,main!$A$3:$H$102,5,FALSE)-VLOOKUP($A82,main!$A$3:$H$102,6,FALSE)&gt;=(VLOOKUP(VLOOKUP(CF$1,main!$A$3:$H$102,8,FALSE),main!$K$26:$M$29,2,FALSE)+VLOOKUP(VLOOKUP(CF$1,main!$A$3:$H$102,7,FALSE),main!$K$19:$O$22,MATCH(VLOOKUP($A82,main!$A$3:$H$102,8,FALSE),main!$K$18:$O$18,0))))),1,0)</f>
        <v>0</v>
      </c>
      <c r="CG82">
        <f>IF((AND(VLOOKUP(CG$1,main!$A$3:$H$102,5,FALSE)-VLOOKUP($A82,main!$A$3:$H$102,6,FALSE)&gt;=(VLOOKUP(VLOOKUP(CG$1,main!$A$3:$H$102,8,FALSE),main!$K$26:$M$29,2,FALSE)+VLOOKUP(VLOOKUP(CG$1,main!$A$3:$H$102,7,FALSE),main!$K$19:$O$22,MATCH(VLOOKUP($A82,main!$A$3:$H$102,8,FALSE),main!$K$18:$O$18,0))))),1,0)</f>
        <v>0</v>
      </c>
      <c r="CH82">
        <f>IF((AND(VLOOKUP(CH$1,main!$A$3:$H$102,5,FALSE)-VLOOKUP($A82,main!$A$3:$H$102,6,FALSE)&gt;=(VLOOKUP(VLOOKUP(CH$1,main!$A$3:$H$102,8,FALSE),main!$K$26:$M$29,2,FALSE)+VLOOKUP(VLOOKUP(CH$1,main!$A$3:$H$102,7,FALSE),main!$K$19:$O$22,MATCH(VLOOKUP($A82,main!$A$3:$H$102,8,FALSE),main!$K$18:$O$18,0))))),1,0)</f>
        <v>1</v>
      </c>
      <c r="CI82">
        <f>IF((AND(VLOOKUP(CI$1,main!$A$3:$H$102,5,FALSE)-VLOOKUP($A82,main!$A$3:$H$102,6,FALSE)&gt;=(VLOOKUP(VLOOKUP(CI$1,main!$A$3:$H$102,8,FALSE),main!$K$26:$M$29,2,FALSE)+VLOOKUP(VLOOKUP(CI$1,main!$A$3:$H$102,7,FALSE),main!$K$19:$O$22,MATCH(VLOOKUP($A82,main!$A$3:$H$102,8,FALSE),main!$K$18:$O$18,0))))),1,0)</f>
        <v>1</v>
      </c>
      <c r="CJ82">
        <f>IF((AND(VLOOKUP(CJ$1,main!$A$3:$H$102,5,FALSE)-VLOOKUP($A82,main!$A$3:$H$102,6,FALSE)&gt;=(VLOOKUP(VLOOKUP(CJ$1,main!$A$3:$H$102,8,FALSE),main!$K$26:$M$29,2,FALSE)+VLOOKUP(VLOOKUP(CJ$1,main!$A$3:$H$102,7,FALSE),main!$K$19:$O$22,MATCH(VLOOKUP($A82,main!$A$3:$H$102,8,FALSE),main!$K$18:$O$18,0))))),1,0)</f>
        <v>0</v>
      </c>
      <c r="CK82">
        <f>IF((AND(VLOOKUP(CK$1,main!$A$3:$H$102,5,FALSE)-VLOOKUP($A82,main!$A$3:$H$102,6,FALSE)&gt;=(VLOOKUP(VLOOKUP(CK$1,main!$A$3:$H$102,8,FALSE),main!$K$26:$M$29,2,FALSE)+VLOOKUP(VLOOKUP(CK$1,main!$A$3:$H$102,7,FALSE),main!$K$19:$O$22,MATCH(VLOOKUP($A82,main!$A$3:$H$102,8,FALSE),main!$K$18:$O$18,0))))),1,0)</f>
        <v>0</v>
      </c>
      <c r="CL82">
        <f>IF((AND(VLOOKUP(CL$1,main!$A$3:$H$102,5,FALSE)-VLOOKUP($A82,main!$A$3:$H$102,6,FALSE)&gt;=(VLOOKUP(VLOOKUP(CL$1,main!$A$3:$H$102,8,FALSE),main!$K$26:$M$29,2,FALSE)+VLOOKUP(VLOOKUP(CL$1,main!$A$3:$H$102,7,FALSE),main!$K$19:$O$22,MATCH(VLOOKUP($A82,main!$A$3:$H$102,8,FALSE),main!$K$18:$O$18,0))))),1,0)</f>
        <v>0</v>
      </c>
      <c r="CM82">
        <f>IF((AND(VLOOKUP(CM$1,main!$A$3:$H$102,5,FALSE)-VLOOKUP($A82,main!$A$3:$H$102,6,FALSE)&gt;=(VLOOKUP(VLOOKUP(CM$1,main!$A$3:$H$102,8,FALSE),main!$K$26:$M$29,2,FALSE)+VLOOKUP(VLOOKUP(CM$1,main!$A$3:$H$102,7,FALSE),main!$K$19:$O$22,MATCH(VLOOKUP($A82,main!$A$3:$H$102,8,FALSE),main!$K$18:$O$18,0))))),1,0)</f>
        <v>0</v>
      </c>
      <c r="CN82">
        <f>IF((AND(VLOOKUP(CN$1,main!$A$3:$H$102,5,FALSE)-VLOOKUP($A82,main!$A$3:$H$102,6,FALSE)&gt;=(VLOOKUP(VLOOKUP(CN$1,main!$A$3:$H$102,8,FALSE),main!$K$26:$M$29,2,FALSE)+VLOOKUP(VLOOKUP(CN$1,main!$A$3:$H$102,7,FALSE),main!$K$19:$O$22,MATCH(VLOOKUP($A82,main!$A$3:$H$102,8,FALSE),main!$K$18:$O$18,0))))),1,0)</f>
        <v>1</v>
      </c>
      <c r="CO82">
        <f>IF((AND(VLOOKUP(CO$1,main!$A$3:$H$102,5,FALSE)-VLOOKUP($A82,main!$A$3:$H$102,6,FALSE)&gt;=(VLOOKUP(VLOOKUP(CO$1,main!$A$3:$H$102,8,FALSE),main!$K$26:$M$29,2,FALSE)+VLOOKUP(VLOOKUP(CO$1,main!$A$3:$H$102,7,FALSE),main!$K$19:$O$22,MATCH(VLOOKUP($A82,main!$A$3:$H$102,8,FALSE),main!$K$18:$O$18,0))))),1,0)</f>
        <v>0</v>
      </c>
      <c r="CP82">
        <f>IF((AND(VLOOKUP(CP$1,main!$A$3:$H$102,5,FALSE)-VLOOKUP($A82,main!$A$3:$H$102,6,FALSE)&gt;=(VLOOKUP(VLOOKUP(CP$1,main!$A$3:$H$102,8,FALSE),main!$K$26:$M$29,2,FALSE)+VLOOKUP(VLOOKUP(CP$1,main!$A$3:$H$102,7,FALSE),main!$K$19:$O$22,MATCH(VLOOKUP($A82,main!$A$3:$H$102,8,FALSE),main!$K$18:$O$18,0))))),1,0)</f>
        <v>0</v>
      </c>
      <c r="CQ82">
        <f>IF((AND(VLOOKUP(CQ$1,main!$A$3:$H$102,5,FALSE)-VLOOKUP($A82,main!$A$3:$H$102,6,FALSE)&gt;=(VLOOKUP(VLOOKUP(CQ$1,main!$A$3:$H$102,8,FALSE),main!$K$26:$M$29,2,FALSE)+VLOOKUP(VLOOKUP(CQ$1,main!$A$3:$H$102,7,FALSE),main!$K$19:$O$22,MATCH(VLOOKUP($A82,main!$A$3:$H$102,8,FALSE),main!$K$18:$O$18,0))))),1,0)</f>
        <v>0</v>
      </c>
      <c r="CR82">
        <f>IF((AND(VLOOKUP(CR$1,main!$A$3:$H$102,5,FALSE)-VLOOKUP($A82,main!$A$3:$H$102,6,FALSE)&gt;=(VLOOKUP(VLOOKUP(CR$1,main!$A$3:$H$102,8,FALSE),main!$K$26:$M$29,2,FALSE)+VLOOKUP(VLOOKUP(CR$1,main!$A$3:$H$102,7,FALSE),main!$K$19:$O$22,MATCH(VLOOKUP($A82,main!$A$3:$H$102,8,FALSE),main!$K$18:$O$18,0))))),1,0)</f>
        <v>0</v>
      </c>
      <c r="CS82">
        <f>IF((AND(VLOOKUP(CS$1,main!$A$3:$H$102,5,FALSE)-VLOOKUP($A82,main!$A$3:$H$102,6,FALSE)&gt;=(VLOOKUP(VLOOKUP(CS$1,main!$A$3:$H$102,8,FALSE),main!$K$26:$M$29,2,FALSE)+VLOOKUP(VLOOKUP(CS$1,main!$A$3:$H$102,7,FALSE),main!$K$19:$O$22,MATCH(VLOOKUP($A82,main!$A$3:$H$102,8,FALSE),main!$K$18:$O$18,0))))),1,0)</f>
        <v>0</v>
      </c>
      <c r="CT82">
        <f>IF((AND(VLOOKUP(CT$1,main!$A$3:$H$102,5,FALSE)-VLOOKUP($A82,main!$A$3:$H$102,6,FALSE)&gt;=(VLOOKUP(VLOOKUP(CT$1,main!$A$3:$H$102,8,FALSE),main!$K$26:$M$29,2,FALSE)+VLOOKUP(VLOOKUP(CT$1,main!$A$3:$H$102,7,FALSE),main!$K$19:$O$22,MATCH(VLOOKUP($A82,main!$A$3:$H$102,8,FALSE),main!$K$18:$O$18,0))))),1,0)</f>
        <v>0</v>
      </c>
      <c r="CU82">
        <f>IF((AND(VLOOKUP(CU$1,main!$A$3:$H$102,5,FALSE)-VLOOKUP($A82,main!$A$3:$H$102,6,FALSE)&gt;=(VLOOKUP(VLOOKUP(CU$1,main!$A$3:$H$102,8,FALSE),main!$K$26:$M$29,2,FALSE)+VLOOKUP(VLOOKUP(CU$1,main!$A$3:$H$102,7,FALSE),main!$K$19:$O$22,MATCH(VLOOKUP($A82,main!$A$3:$H$102,8,FALSE),main!$K$18:$O$18,0))))),1,0)</f>
        <v>0</v>
      </c>
      <c r="CV82">
        <f>IF((AND(VLOOKUP(CV$1,main!$A$3:$H$102,5,FALSE)-VLOOKUP($A82,main!$A$3:$H$102,6,FALSE)&gt;=(VLOOKUP(VLOOKUP(CV$1,main!$A$3:$H$102,8,FALSE),main!$K$26:$M$29,2,FALSE)+VLOOKUP(VLOOKUP(CV$1,main!$A$3:$H$102,7,FALSE),main!$K$19:$O$22,MATCH(VLOOKUP($A82,main!$A$3:$H$102,8,FALSE),main!$K$18:$O$18,0))))),1,0)</f>
        <v>0</v>
      </c>
      <c r="CW82">
        <f>IF((AND(VLOOKUP(CW$1,main!$A$3:$H$102,5,FALSE)-VLOOKUP($A82,main!$A$3:$H$102,6,FALSE)&gt;=(VLOOKUP(VLOOKUP(CW$1,main!$A$3:$H$102,8,FALSE),main!$K$26:$M$29,2,FALSE)+VLOOKUP(VLOOKUP(CW$1,main!$A$3:$H$102,7,FALSE),main!$K$19:$O$22,MATCH(VLOOKUP($A82,main!$A$3:$H$102,8,FALSE),main!$K$18:$O$18,0))))),1,0)</f>
        <v>0</v>
      </c>
      <c r="CX82">
        <f>IF((AND(VLOOKUP(CX$1,main!$A$3:$H$102,5,FALSE)-VLOOKUP($A82,main!$A$3:$H$102,6,FALSE)&gt;=(VLOOKUP(VLOOKUP(CX$1,main!$A$3:$H$102,8,FALSE),main!$K$26:$M$29,2,FALSE)+VLOOKUP(VLOOKUP(CX$1,main!$A$3:$H$102,7,FALSE),main!$K$19:$O$22,MATCH(VLOOKUP($A82,main!$A$3:$H$102,8,FALSE),main!$K$18:$O$18,0))))),1,0)</f>
        <v>1</v>
      </c>
    </row>
    <row r="83" spans="1:102" x14ac:dyDescent="0.25">
      <c r="A83" s="1">
        <v>81</v>
      </c>
      <c r="B83">
        <v>1</v>
      </c>
      <c r="C83">
        <f>IF((AND(VLOOKUP(C$1,main!$A$3:$H$102,5,FALSE)-VLOOKUP($A83,main!$A$3:$H$102,6,FALSE)&gt;=(VLOOKUP(VLOOKUP(C$1,main!$A$3:$H$102,8,FALSE),main!$K$26:$M$29,2,FALSE)+VLOOKUP(VLOOKUP(C$1,main!$A$3:$H$102,7,FALSE),main!$K$19:$O$22,MATCH(VLOOKUP($A83,main!$A$3:$H$102,8,FALSE),main!$K$18:$O$18,0))))),1,0)</f>
        <v>0</v>
      </c>
      <c r="D83">
        <f>IF((AND(VLOOKUP(D$1,main!$A$3:$H$102,5,FALSE)-VLOOKUP($A83,main!$A$3:$H$102,6,FALSE)&gt;=(VLOOKUP(VLOOKUP(D$1,main!$A$3:$H$102,8,FALSE),main!$K$26:$M$29,2,FALSE)+VLOOKUP(VLOOKUP(D$1,main!$A$3:$H$102,7,FALSE),main!$K$19:$O$22,MATCH(VLOOKUP($A83,main!$A$3:$H$102,8,FALSE),main!$K$18:$O$18,0))))),1,0)</f>
        <v>0</v>
      </c>
      <c r="E83">
        <f>IF((AND(VLOOKUP(E$1,main!$A$3:$H$102,5,FALSE)-VLOOKUP($A83,main!$A$3:$H$102,6,FALSE)&gt;=(VLOOKUP(VLOOKUP(E$1,main!$A$3:$H$102,8,FALSE),main!$K$26:$M$29,2,FALSE)+VLOOKUP(VLOOKUP(E$1,main!$A$3:$H$102,7,FALSE),main!$K$19:$O$22,MATCH(VLOOKUP($A83,main!$A$3:$H$102,8,FALSE),main!$K$18:$O$18,0))))),1,0)</f>
        <v>0</v>
      </c>
      <c r="F83">
        <f>IF((AND(VLOOKUP(F$1,main!$A$3:$H$102,5,FALSE)-VLOOKUP($A83,main!$A$3:$H$102,6,FALSE)&gt;=(VLOOKUP(VLOOKUP(F$1,main!$A$3:$H$102,8,FALSE),main!$K$26:$M$29,2,FALSE)+VLOOKUP(VLOOKUP(F$1,main!$A$3:$H$102,7,FALSE),main!$K$19:$O$22,MATCH(VLOOKUP($A83,main!$A$3:$H$102,8,FALSE),main!$K$18:$O$18,0))))),1,0)</f>
        <v>0</v>
      </c>
      <c r="G83">
        <f>IF((AND(VLOOKUP(G$1,main!$A$3:$H$102,5,FALSE)-VLOOKUP($A83,main!$A$3:$H$102,6,FALSE)&gt;=(VLOOKUP(VLOOKUP(G$1,main!$A$3:$H$102,8,FALSE),main!$K$26:$M$29,2,FALSE)+VLOOKUP(VLOOKUP(G$1,main!$A$3:$H$102,7,FALSE),main!$K$19:$O$22,MATCH(VLOOKUP($A83,main!$A$3:$H$102,8,FALSE),main!$K$18:$O$18,0))))),1,0)</f>
        <v>0</v>
      </c>
      <c r="H83">
        <f>IF((AND(VLOOKUP(H$1,main!$A$3:$H$102,5,FALSE)-VLOOKUP($A83,main!$A$3:$H$102,6,FALSE)&gt;=(VLOOKUP(VLOOKUP(H$1,main!$A$3:$H$102,8,FALSE),main!$K$26:$M$29,2,FALSE)+VLOOKUP(VLOOKUP(H$1,main!$A$3:$H$102,7,FALSE),main!$K$19:$O$22,MATCH(VLOOKUP($A83,main!$A$3:$H$102,8,FALSE),main!$K$18:$O$18,0))))),1,0)</f>
        <v>1</v>
      </c>
      <c r="I83">
        <f>IF((AND(VLOOKUP(I$1,main!$A$3:$H$102,5,FALSE)-VLOOKUP($A83,main!$A$3:$H$102,6,FALSE)&gt;=(VLOOKUP(VLOOKUP(I$1,main!$A$3:$H$102,8,FALSE),main!$K$26:$M$29,2,FALSE)+VLOOKUP(VLOOKUP(I$1,main!$A$3:$H$102,7,FALSE),main!$K$19:$O$22,MATCH(VLOOKUP($A83,main!$A$3:$H$102,8,FALSE),main!$K$18:$O$18,0))))),1,0)</f>
        <v>1</v>
      </c>
      <c r="J83">
        <f>IF((AND(VLOOKUP(J$1,main!$A$3:$H$102,5,FALSE)-VLOOKUP($A83,main!$A$3:$H$102,6,FALSE)&gt;=(VLOOKUP(VLOOKUP(J$1,main!$A$3:$H$102,8,FALSE),main!$K$26:$M$29,2,FALSE)+VLOOKUP(VLOOKUP(J$1,main!$A$3:$H$102,7,FALSE),main!$K$19:$O$22,MATCH(VLOOKUP($A83,main!$A$3:$H$102,8,FALSE),main!$K$18:$O$18,0))))),1,0)</f>
        <v>1</v>
      </c>
      <c r="K83">
        <f>IF((AND(VLOOKUP(K$1,main!$A$3:$H$102,5,FALSE)-VLOOKUP($A83,main!$A$3:$H$102,6,FALSE)&gt;=(VLOOKUP(VLOOKUP(K$1,main!$A$3:$H$102,8,FALSE),main!$K$26:$M$29,2,FALSE)+VLOOKUP(VLOOKUP(K$1,main!$A$3:$H$102,7,FALSE),main!$K$19:$O$22,MATCH(VLOOKUP($A83,main!$A$3:$H$102,8,FALSE),main!$K$18:$O$18,0))))),1,0)</f>
        <v>1</v>
      </c>
      <c r="L83">
        <f>IF((AND(VLOOKUP(L$1,main!$A$3:$H$102,5,FALSE)-VLOOKUP($A83,main!$A$3:$H$102,6,FALSE)&gt;=(VLOOKUP(VLOOKUP(L$1,main!$A$3:$H$102,8,FALSE),main!$K$26:$M$29,2,FALSE)+VLOOKUP(VLOOKUP(L$1,main!$A$3:$H$102,7,FALSE),main!$K$19:$O$22,MATCH(VLOOKUP($A83,main!$A$3:$H$102,8,FALSE),main!$K$18:$O$18,0))))),1,0)</f>
        <v>1</v>
      </c>
      <c r="M83">
        <f>IF((AND(VLOOKUP(M$1,main!$A$3:$H$102,5,FALSE)-VLOOKUP($A83,main!$A$3:$H$102,6,FALSE)&gt;=(VLOOKUP(VLOOKUP(M$1,main!$A$3:$H$102,8,FALSE),main!$K$26:$M$29,2,FALSE)+VLOOKUP(VLOOKUP(M$1,main!$A$3:$H$102,7,FALSE),main!$K$19:$O$22,MATCH(VLOOKUP($A83,main!$A$3:$H$102,8,FALSE),main!$K$18:$O$18,0))))),1,0)</f>
        <v>0</v>
      </c>
      <c r="N83">
        <f>IF((AND(VLOOKUP(N$1,main!$A$3:$H$102,5,FALSE)-VLOOKUP($A83,main!$A$3:$H$102,6,FALSE)&gt;=(VLOOKUP(VLOOKUP(N$1,main!$A$3:$H$102,8,FALSE),main!$K$26:$M$29,2,FALSE)+VLOOKUP(VLOOKUP(N$1,main!$A$3:$H$102,7,FALSE),main!$K$19:$O$22,MATCH(VLOOKUP($A83,main!$A$3:$H$102,8,FALSE),main!$K$18:$O$18,0))))),1,0)</f>
        <v>0</v>
      </c>
      <c r="O83">
        <f>IF((AND(VLOOKUP(O$1,main!$A$3:$H$102,5,FALSE)-VLOOKUP($A83,main!$A$3:$H$102,6,FALSE)&gt;=(VLOOKUP(VLOOKUP(O$1,main!$A$3:$H$102,8,FALSE),main!$K$26:$M$29,2,FALSE)+VLOOKUP(VLOOKUP(O$1,main!$A$3:$H$102,7,FALSE),main!$K$19:$O$22,MATCH(VLOOKUP($A83,main!$A$3:$H$102,8,FALSE),main!$K$18:$O$18,0))))),1,0)</f>
        <v>0</v>
      </c>
      <c r="P83">
        <f>IF((AND(VLOOKUP(P$1,main!$A$3:$H$102,5,FALSE)-VLOOKUP($A83,main!$A$3:$H$102,6,FALSE)&gt;=(VLOOKUP(VLOOKUP(P$1,main!$A$3:$H$102,8,FALSE),main!$K$26:$M$29,2,FALSE)+VLOOKUP(VLOOKUP(P$1,main!$A$3:$H$102,7,FALSE),main!$K$19:$O$22,MATCH(VLOOKUP($A83,main!$A$3:$H$102,8,FALSE),main!$K$18:$O$18,0))))),1,0)</f>
        <v>0</v>
      </c>
      <c r="Q83">
        <f>IF((AND(VLOOKUP(Q$1,main!$A$3:$H$102,5,FALSE)-VLOOKUP($A83,main!$A$3:$H$102,6,FALSE)&gt;=(VLOOKUP(VLOOKUP(Q$1,main!$A$3:$H$102,8,FALSE),main!$K$26:$M$29,2,FALSE)+VLOOKUP(VLOOKUP(Q$1,main!$A$3:$H$102,7,FALSE),main!$K$19:$O$22,MATCH(VLOOKUP($A83,main!$A$3:$H$102,8,FALSE),main!$K$18:$O$18,0))))),1,0)</f>
        <v>0</v>
      </c>
      <c r="R83">
        <f>IF((AND(VLOOKUP(R$1,main!$A$3:$H$102,5,FALSE)-VLOOKUP($A83,main!$A$3:$H$102,6,FALSE)&gt;=(VLOOKUP(VLOOKUP(R$1,main!$A$3:$H$102,8,FALSE),main!$K$26:$M$29,2,FALSE)+VLOOKUP(VLOOKUP(R$1,main!$A$3:$H$102,7,FALSE),main!$K$19:$O$22,MATCH(VLOOKUP($A83,main!$A$3:$H$102,8,FALSE),main!$K$18:$O$18,0))))),1,0)</f>
        <v>0</v>
      </c>
      <c r="S83">
        <f>IF((AND(VLOOKUP(S$1,main!$A$3:$H$102,5,FALSE)-VLOOKUP($A83,main!$A$3:$H$102,6,FALSE)&gt;=(VLOOKUP(VLOOKUP(S$1,main!$A$3:$H$102,8,FALSE),main!$K$26:$M$29,2,FALSE)+VLOOKUP(VLOOKUP(S$1,main!$A$3:$H$102,7,FALSE),main!$K$19:$O$22,MATCH(VLOOKUP($A83,main!$A$3:$H$102,8,FALSE),main!$K$18:$O$18,0))))),1,0)</f>
        <v>1</v>
      </c>
      <c r="T83">
        <f>IF((AND(VLOOKUP(T$1,main!$A$3:$H$102,5,FALSE)-VLOOKUP($A83,main!$A$3:$H$102,6,FALSE)&gt;=(VLOOKUP(VLOOKUP(T$1,main!$A$3:$H$102,8,FALSE),main!$K$26:$M$29,2,FALSE)+VLOOKUP(VLOOKUP(T$1,main!$A$3:$H$102,7,FALSE),main!$K$19:$O$22,MATCH(VLOOKUP($A83,main!$A$3:$H$102,8,FALSE),main!$K$18:$O$18,0))))),1,0)</f>
        <v>1</v>
      </c>
      <c r="U83">
        <f>IF((AND(VLOOKUP(U$1,main!$A$3:$H$102,5,FALSE)-VLOOKUP($A83,main!$A$3:$H$102,6,FALSE)&gt;=(VLOOKUP(VLOOKUP(U$1,main!$A$3:$H$102,8,FALSE),main!$K$26:$M$29,2,FALSE)+VLOOKUP(VLOOKUP(U$1,main!$A$3:$H$102,7,FALSE),main!$K$19:$O$22,MATCH(VLOOKUP($A83,main!$A$3:$H$102,8,FALSE),main!$K$18:$O$18,0))))),1,0)</f>
        <v>1</v>
      </c>
      <c r="V83">
        <f>IF((AND(VLOOKUP(V$1,main!$A$3:$H$102,5,FALSE)-VLOOKUP($A83,main!$A$3:$H$102,6,FALSE)&gt;=(VLOOKUP(VLOOKUP(V$1,main!$A$3:$H$102,8,FALSE),main!$K$26:$M$29,2,FALSE)+VLOOKUP(VLOOKUP(V$1,main!$A$3:$H$102,7,FALSE),main!$K$19:$O$22,MATCH(VLOOKUP($A83,main!$A$3:$H$102,8,FALSE),main!$K$18:$O$18,0))))),1,0)</f>
        <v>1</v>
      </c>
      <c r="W83">
        <f>IF((AND(VLOOKUP(W$1,main!$A$3:$H$102,5,FALSE)-VLOOKUP($A83,main!$A$3:$H$102,6,FALSE)&gt;=(VLOOKUP(VLOOKUP(W$1,main!$A$3:$H$102,8,FALSE),main!$K$26:$M$29,2,FALSE)+VLOOKUP(VLOOKUP(W$1,main!$A$3:$H$102,7,FALSE),main!$K$19:$O$22,MATCH(VLOOKUP($A83,main!$A$3:$H$102,8,FALSE),main!$K$18:$O$18,0))))),1,0)</f>
        <v>0</v>
      </c>
      <c r="X83">
        <f>IF((AND(VLOOKUP(X$1,main!$A$3:$H$102,5,FALSE)-VLOOKUP($A83,main!$A$3:$H$102,6,FALSE)&gt;=(VLOOKUP(VLOOKUP(X$1,main!$A$3:$H$102,8,FALSE),main!$K$26:$M$29,2,FALSE)+VLOOKUP(VLOOKUP(X$1,main!$A$3:$H$102,7,FALSE),main!$K$19:$O$22,MATCH(VLOOKUP($A83,main!$A$3:$H$102,8,FALSE),main!$K$18:$O$18,0))))),1,0)</f>
        <v>0</v>
      </c>
      <c r="Y83">
        <f>IF((AND(VLOOKUP(Y$1,main!$A$3:$H$102,5,FALSE)-VLOOKUP($A83,main!$A$3:$H$102,6,FALSE)&gt;=(VLOOKUP(VLOOKUP(Y$1,main!$A$3:$H$102,8,FALSE),main!$K$26:$M$29,2,FALSE)+VLOOKUP(VLOOKUP(Y$1,main!$A$3:$H$102,7,FALSE),main!$K$19:$O$22,MATCH(VLOOKUP($A83,main!$A$3:$H$102,8,FALSE),main!$K$18:$O$18,0))))),1,0)</f>
        <v>0</v>
      </c>
      <c r="Z83">
        <f>IF((AND(VLOOKUP(Z$1,main!$A$3:$H$102,5,FALSE)-VLOOKUP($A83,main!$A$3:$H$102,6,FALSE)&gt;=(VLOOKUP(VLOOKUP(Z$1,main!$A$3:$H$102,8,FALSE),main!$K$26:$M$29,2,FALSE)+VLOOKUP(VLOOKUP(Z$1,main!$A$3:$H$102,7,FALSE),main!$K$19:$O$22,MATCH(VLOOKUP($A83,main!$A$3:$H$102,8,FALSE),main!$K$18:$O$18,0))))),1,0)</f>
        <v>1</v>
      </c>
      <c r="AA83">
        <f>IF((AND(VLOOKUP(AA$1,main!$A$3:$H$102,5,FALSE)-VLOOKUP($A83,main!$A$3:$H$102,6,FALSE)&gt;=(VLOOKUP(VLOOKUP(AA$1,main!$A$3:$H$102,8,FALSE),main!$K$26:$M$29,2,FALSE)+VLOOKUP(VLOOKUP(AA$1,main!$A$3:$H$102,7,FALSE),main!$K$19:$O$22,MATCH(VLOOKUP($A83,main!$A$3:$H$102,8,FALSE),main!$K$18:$O$18,0))))),1,0)</f>
        <v>1</v>
      </c>
      <c r="AB83">
        <f>IF((AND(VLOOKUP(AB$1,main!$A$3:$H$102,5,FALSE)-VLOOKUP($A83,main!$A$3:$H$102,6,FALSE)&gt;=(VLOOKUP(VLOOKUP(AB$1,main!$A$3:$H$102,8,FALSE),main!$K$26:$M$29,2,FALSE)+VLOOKUP(VLOOKUP(AB$1,main!$A$3:$H$102,7,FALSE),main!$K$19:$O$22,MATCH(VLOOKUP($A83,main!$A$3:$H$102,8,FALSE),main!$K$18:$O$18,0))))),1,0)</f>
        <v>0</v>
      </c>
      <c r="AC83">
        <f>IF((AND(VLOOKUP(AC$1,main!$A$3:$H$102,5,FALSE)-VLOOKUP($A83,main!$A$3:$H$102,6,FALSE)&gt;=(VLOOKUP(VLOOKUP(AC$1,main!$A$3:$H$102,8,FALSE),main!$K$26:$M$29,2,FALSE)+VLOOKUP(VLOOKUP(AC$1,main!$A$3:$H$102,7,FALSE),main!$K$19:$O$22,MATCH(VLOOKUP($A83,main!$A$3:$H$102,8,FALSE),main!$K$18:$O$18,0))))),1,0)</f>
        <v>0</v>
      </c>
      <c r="AD83">
        <f>IF((AND(VLOOKUP(AD$1,main!$A$3:$H$102,5,FALSE)-VLOOKUP($A83,main!$A$3:$H$102,6,FALSE)&gt;=(VLOOKUP(VLOOKUP(AD$1,main!$A$3:$H$102,8,FALSE),main!$K$26:$M$29,2,FALSE)+VLOOKUP(VLOOKUP(AD$1,main!$A$3:$H$102,7,FALSE),main!$K$19:$O$22,MATCH(VLOOKUP($A83,main!$A$3:$H$102,8,FALSE),main!$K$18:$O$18,0))))),1,0)</f>
        <v>0</v>
      </c>
      <c r="AE83">
        <f>IF((AND(VLOOKUP(AE$1,main!$A$3:$H$102,5,FALSE)-VLOOKUP($A83,main!$A$3:$H$102,6,FALSE)&gt;=(VLOOKUP(VLOOKUP(AE$1,main!$A$3:$H$102,8,FALSE),main!$K$26:$M$29,2,FALSE)+VLOOKUP(VLOOKUP(AE$1,main!$A$3:$H$102,7,FALSE),main!$K$19:$O$22,MATCH(VLOOKUP($A83,main!$A$3:$H$102,8,FALSE),main!$K$18:$O$18,0))))),1,0)</f>
        <v>1</v>
      </c>
      <c r="AF83">
        <f>IF((AND(VLOOKUP(AF$1,main!$A$3:$H$102,5,FALSE)-VLOOKUP($A83,main!$A$3:$H$102,6,FALSE)&gt;=(VLOOKUP(VLOOKUP(AF$1,main!$A$3:$H$102,8,FALSE),main!$K$26:$M$29,2,FALSE)+VLOOKUP(VLOOKUP(AF$1,main!$A$3:$H$102,7,FALSE),main!$K$19:$O$22,MATCH(VLOOKUP($A83,main!$A$3:$H$102,8,FALSE),main!$K$18:$O$18,0))))),1,0)</f>
        <v>1</v>
      </c>
      <c r="AG83">
        <f>IF((AND(VLOOKUP(AG$1,main!$A$3:$H$102,5,FALSE)-VLOOKUP($A83,main!$A$3:$H$102,6,FALSE)&gt;=(VLOOKUP(VLOOKUP(AG$1,main!$A$3:$H$102,8,FALSE),main!$K$26:$M$29,2,FALSE)+VLOOKUP(VLOOKUP(AG$1,main!$A$3:$H$102,7,FALSE),main!$K$19:$O$22,MATCH(VLOOKUP($A83,main!$A$3:$H$102,8,FALSE),main!$K$18:$O$18,0))))),1,0)</f>
        <v>0</v>
      </c>
      <c r="AH83">
        <f>IF((AND(VLOOKUP(AH$1,main!$A$3:$H$102,5,FALSE)-VLOOKUP($A83,main!$A$3:$H$102,6,FALSE)&gt;=(VLOOKUP(VLOOKUP(AH$1,main!$A$3:$H$102,8,FALSE),main!$K$26:$M$29,2,FALSE)+VLOOKUP(VLOOKUP(AH$1,main!$A$3:$H$102,7,FALSE),main!$K$19:$O$22,MATCH(VLOOKUP($A83,main!$A$3:$H$102,8,FALSE),main!$K$18:$O$18,0))))),1,0)</f>
        <v>0</v>
      </c>
      <c r="AI83">
        <f>IF((AND(VLOOKUP(AI$1,main!$A$3:$H$102,5,FALSE)-VLOOKUP($A83,main!$A$3:$H$102,6,FALSE)&gt;=(VLOOKUP(VLOOKUP(AI$1,main!$A$3:$H$102,8,FALSE),main!$K$26:$M$29,2,FALSE)+VLOOKUP(VLOOKUP(AI$1,main!$A$3:$H$102,7,FALSE),main!$K$19:$O$22,MATCH(VLOOKUP($A83,main!$A$3:$H$102,8,FALSE),main!$K$18:$O$18,0))))),1,0)</f>
        <v>0</v>
      </c>
      <c r="AJ83">
        <f>IF((AND(VLOOKUP(AJ$1,main!$A$3:$H$102,5,FALSE)-VLOOKUP($A83,main!$A$3:$H$102,6,FALSE)&gt;=(VLOOKUP(VLOOKUP(AJ$1,main!$A$3:$H$102,8,FALSE),main!$K$26:$M$29,2,FALSE)+VLOOKUP(VLOOKUP(AJ$1,main!$A$3:$H$102,7,FALSE),main!$K$19:$O$22,MATCH(VLOOKUP($A83,main!$A$3:$H$102,8,FALSE),main!$K$18:$O$18,0))))),1,0)</f>
        <v>0</v>
      </c>
      <c r="AK83">
        <f>IF((AND(VLOOKUP(AK$1,main!$A$3:$H$102,5,FALSE)-VLOOKUP($A83,main!$A$3:$H$102,6,FALSE)&gt;=(VLOOKUP(VLOOKUP(AK$1,main!$A$3:$H$102,8,FALSE),main!$K$26:$M$29,2,FALSE)+VLOOKUP(VLOOKUP(AK$1,main!$A$3:$H$102,7,FALSE),main!$K$19:$O$22,MATCH(VLOOKUP($A83,main!$A$3:$H$102,8,FALSE),main!$K$18:$O$18,0))))),1,0)</f>
        <v>1</v>
      </c>
      <c r="AL83">
        <f>IF((AND(VLOOKUP(AL$1,main!$A$3:$H$102,5,FALSE)-VLOOKUP($A83,main!$A$3:$H$102,6,FALSE)&gt;=(VLOOKUP(VLOOKUP(AL$1,main!$A$3:$H$102,8,FALSE),main!$K$26:$M$29,2,FALSE)+VLOOKUP(VLOOKUP(AL$1,main!$A$3:$H$102,7,FALSE),main!$K$19:$O$22,MATCH(VLOOKUP($A83,main!$A$3:$H$102,8,FALSE),main!$K$18:$O$18,0))))),1,0)</f>
        <v>1</v>
      </c>
      <c r="AM83">
        <f>IF((AND(VLOOKUP(AM$1,main!$A$3:$H$102,5,FALSE)-VLOOKUP($A83,main!$A$3:$H$102,6,FALSE)&gt;=(VLOOKUP(VLOOKUP(AM$1,main!$A$3:$H$102,8,FALSE),main!$K$26:$M$29,2,FALSE)+VLOOKUP(VLOOKUP(AM$1,main!$A$3:$H$102,7,FALSE),main!$K$19:$O$22,MATCH(VLOOKUP($A83,main!$A$3:$H$102,8,FALSE),main!$K$18:$O$18,0))))),1,0)</f>
        <v>1</v>
      </c>
      <c r="AN83">
        <f>IF((AND(VLOOKUP(AN$1,main!$A$3:$H$102,5,FALSE)-VLOOKUP($A83,main!$A$3:$H$102,6,FALSE)&gt;=(VLOOKUP(VLOOKUP(AN$1,main!$A$3:$H$102,8,FALSE),main!$K$26:$M$29,2,FALSE)+VLOOKUP(VLOOKUP(AN$1,main!$A$3:$H$102,7,FALSE),main!$K$19:$O$22,MATCH(VLOOKUP($A83,main!$A$3:$H$102,8,FALSE),main!$K$18:$O$18,0))))),1,0)</f>
        <v>1</v>
      </c>
      <c r="AO83">
        <f>IF((AND(VLOOKUP(AO$1,main!$A$3:$H$102,5,FALSE)-VLOOKUP($A83,main!$A$3:$H$102,6,FALSE)&gt;=(VLOOKUP(VLOOKUP(AO$1,main!$A$3:$H$102,8,FALSE),main!$K$26:$M$29,2,FALSE)+VLOOKUP(VLOOKUP(AO$1,main!$A$3:$H$102,7,FALSE),main!$K$19:$O$22,MATCH(VLOOKUP($A83,main!$A$3:$H$102,8,FALSE),main!$K$18:$O$18,0))))),1,0)</f>
        <v>0</v>
      </c>
      <c r="AP83">
        <f>IF((AND(VLOOKUP(AP$1,main!$A$3:$H$102,5,FALSE)-VLOOKUP($A83,main!$A$3:$H$102,6,FALSE)&gt;=(VLOOKUP(VLOOKUP(AP$1,main!$A$3:$H$102,8,FALSE),main!$K$26:$M$29,2,FALSE)+VLOOKUP(VLOOKUP(AP$1,main!$A$3:$H$102,7,FALSE),main!$K$19:$O$22,MATCH(VLOOKUP($A83,main!$A$3:$H$102,8,FALSE),main!$K$18:$O$18,0))))),1,0)</f>
        <v>1</v>
      </c>
      <c r="AQ83">
        <f>IF((AND(VLOOKUP(AQ$1,main!$A$3:$H$102,5,FALSE)-VLOOKUP($A83,main!$A$3:$H$102,6,FALSE)&gt;=(VLOOKUP(VLOOKUP(AQ$1,main!$A$3:$H$102,8,FALSE),main!$K$26:$M$29,2,FALSE)+VLOOKUP(VLOOKUP(AQ$1,main!$A$3:$H$102,7,FALSE),main!$K$19:$O$22,MATCH(VLOOKUP($A83,main!$A$3:$H$102,8,FALSE),main!$K$18:$O$18,0))))),1,0)</f>
        <v>0</v>
      </c>
      <c r="AR83">
        <f>IF((AND(VLOOKUP(AR$1,main!$A$3:$H$102,5,FALSE)-VLOOKUP($A83,main!$A$3:$H$102,6,FALSE)&gt;=(VLOOKUP(VLOOKUP(AR$1,main!$A$3:$H$102,8,FALSE),main!$K$26:$M$29,2,FALSE)+VLOOKUP(VLOOKUP(AR$1,main!$A$3:$H$102,7,FALSE),main!$K$19:$O$22,MATCH(VLOOKUP($A83,main!$A$3:$H$102,8,FALSE),main!$K$18:$O$18,0))))),1,0)</f>
        <v>0</v>
      </c>
      <c r="AS83">
        <f>IF((AND(VLOOKUP(AS$1,main!$A$3:$H$102,5,FALSE)-VLOOKUP($A83,main!$A$3:$H$102,6,FALSE)&gt;=(VLOOKUP(VLOOKUP(AS$1,main!$A$3:$H$102,8,FALSE),main!$K$26:$M$29,2,FALSE)+VLOOKUP(VLOOKUP(AS$1,main!$A$3:$H$102,7,FALSE),main!$K$19:$O$22,MATCH(VLOOKUP($A83,main!$A$3:$H$102,8,FALSE),main!$K$18:$O$18,0))))),1,0)</f>
        <v>0</v>
      </c>
      <c r="AT83">
        <f>IF((AND(VLOOKUP(AT$1,main!$A$3:$H$102,5,FALSE)-VLOOKUP($A83,main!$A$3:$H$102,6,FALSE)&gt;=(VLOOKUP(VLOOKUP(AT$1,main!$A$3:$H$102,8,FALSE),main!$K$26:$M$29,2,FALSE)+VLOOKUP(VLOOKUP(AT$1,main!$A$3:$H$102,7,FALSE),main!$K$19:$O$22,MATCH(VLOOKUP($A83,main!$A$3:$H$102,8,FALSE),main!$K$18:$O$18,0))))),1,0)</f>
        <v>1</v>
      </c>
      <c r="AU83">
        <f>IF((AND(VLOOKUP(AU$1,main!$A$3:$H$102,5,FALSE)-VLOOKUP($A83,main!$A$3:$H$102,6,FALSE)&gt;=(VLOOKUP(VLOOKUP(AU$1,main!$A$3:$H$102,8,FALSE),main!$K$26:$M$29,2,FALSE)+VLOOKUP(VLOOKUP(AU$1,main!$A$3:$H$102,7,FALSE),main!$K$19:$O$22,MATCH(VLOOKUP($A83,main!$A$3:$H$102,8,FALSE),main!$K$18:$O$18,0))))),1,0)</f>
        <v>0</v>
      </c>
      <c r="AV83">
        <f>IF((AND(VLOOKUP(AV$1,main!$A$3:$H$102,5,FALSE)-VLOOKUP($A83,main!$A$3:$H$102,6,FALSE)&gt;=(VLOOKUP(VLOOKUP(AV$1,main!$A$3:$H$102,8,FALSE),main!$K$26:$M$29,2,FALSE)+VLOOKUP(VLOOKUP(AV$1,main!$A$3:$H$102,7,FALSE),main!$K$19:$O$22,MATCH(VLOOKUP($A83,main!$A$3:$H$102,8,FALSE),main!$K$18:$O$18,0))))),1,0)</f>
        <v>0</v>
      </c>
      <c r="AW83">
        <f>IF((AND(VLOOKUP(AW$1,main!$A$3:$H$102,5,FALSE)-VLOOKUP($A83,main!$A$3:$H$102,6,FALSE)&gt;=(VLOOKUP(VLOOKUP(AW$1,main!$A$3:$H$102,8,FALSE),main!$K$26:$M$29,2,FALSE)+VLOOKUP(VLOOKUP(AW$1,main!$A$3:$H$102,7,FALSE),main!$K$19:$O$22,MATCH(VLOOKUP($A83,main!$A$3:$H$102,8,FALSE),main!$K$18:$O$18,0))))),1,0)</f>
        <v>1</v>
      </c>
      <c r="AX83">
        <f>IF((AND(VLOOKUP(AX$1,main!$A$3:$H$102,5,FALSE)-VLOOKUP($A83,main!$A$3:$H$102,6,FALSE)&gt;=(VLOOKUP(VLOOKUP(AX$1,main!$A$3:$H$102,8,FALSE),main!$K$26:$M$29,2,FALSE)+VLOOKUP(VLOOKUP(AX$1,main!$A$3:$H$102,7,FALSE),main!$K$19:$O$22,MATCH(VLOOKUP($A83,main!$A$3:$H$102,8,FALSE),main!$K$18:$O$18,0))))),1,0)</f>
        <v>0</v>
      </c>
      <c r="AY83">
        <f>IF((AND(VLOOKUP(AY$1,main!$A$3:$H$102,5,FALSE)-VLOOKUP($A83,main!$A$3:$H$102,6,FALSE)&gt;=(VLOOKUP(VLOOKUP(AY$1,main!$A$3:$H$102,8,FALSE),main!$K$26:$M$29,2,FALSE)+VLOOKUP(VLOOKUP(AY$1,main!$A$3:$H$102,7,FALSE),main!$K$19:$O$22,MATCH(VLOOKUP($A83,main!$A$3:$H$102,8,FALSE),main!$K$18:$O$18,0))))),1,0)</f>
        <v>0</v>
      </c>
      <c r="AZ83">
        <f>IF((AND(VLOOKUP(AZ$1,main!$A$3:$H$102,5,FALSE)-VLOOKUP($A83,main!$A$3:$H$102,6,FALSE)&gt;=(VLOOKUP(VLOOKUP(AZ$1,main!$A$3:$H$102,8,FALSE),main!$K$26:$M$29,2,FALSE)+VLOOKUP(VLOOKUP(AZ$1,main!$A$3:$H$102,7,FALSE),main!$K$19:$O$22,MATCH(VLOOKUP($A83,main!$A$3:$H$102,8,FALSE),main!$K$18:$O$18,0))))),1,0)</f>
        <v>0</v>
      </c>
      <c r="BA83">
        <f>IF((AND(VLOOKUP(BA$1,main!$A$3:$H$102,5,FALSE)-VLOOKUP($A83,main!$A$3:$H$102,6,FALSE)&gt;=(VLOOKUP(VLOOKUP(BA$1,main!$A$3:$H$102,8,FALSE),main!$K$26:$M$29,2,FALSE)+VLOOKUP(VLOOKUP(BA$1,main!$A$3:$H$102,7,FALSE),main!$K$19:$O$22,MATCH(VLOOKUP($A83,main!$A$3:$H$102,8,FALSE),main!$K$18:$O$18,0))))),1,0)</f>
        <v>0</v>
      </c>
      <c r="BB83">
        <f>IF((AND(VLOOKUP(BB$1,main!$A$3:$H$102,5,FALSE)-VLOOKUP($A83,main!$A$3:$H$102,6,FALSE)&gt;=(VLOOKUP(VLOOKUP(BB$1,main!$A$3:$H$102,8,FALSE),main!$K$26:$M$29,2,FALSE)+VLOOKUP(VLOOKUP(BB$1,main!$A$3:$H$102,7,FALSE),main!$K$19:$O$22,MATCH(VLOOKUP($A83,main!$A$3:$H$102,8,FALSE),main!$K$18:$O$18,0))))),1,0)</f>
        <v>0</v>
      </c>
      <c r="BC83">
        <f>IF((AND(VLOOKUP(BC$1,main!$A$3:$H$102,5,FALSE)-VLOOKUP($A83,main!$A$3:$H$102,6,FALSE)&gt;=(VLOOKUP(VLOOKUP(BC$1,main!$A$3:$H$102,8,FALSE),main!$K$26:$M$29,2,FALSE)+VLOOKUP(VLOOKUP(BC$1,main!$A$3:$H$102,7,FALSE),main!$K$19:$O$22,MATCH(VLOOKUP($A83,main!$A$3:$H$102,8,FALSE),main!$K$18:$O$18,0))))),1,0)</f>
        <v>0</v>
      </c>
      <c r="BD83">
        <f>IF((AND(VLOOKUP(BD$1,main!$A$3:$H$102,5,FALSE)-VLOOKUP($A83,main!$A$3:$H$102,6,FALSE)&gt;=(VLOOKUP(VLOOKUP(BD$1,main!$A$3:$H$102,8,FALSE),main!$K$26:$M$29,2,FALSE)+VLOOKUP(VLOOKUP(BD$1,main!$A$3:$H$102,7,FALSE),main!$K$19:$O$22,MATCH(VLOOKUP($A83,main!$A$3:$H$102,8,FALSE),main!$K$18:$O$18,0))))),1,0)</f>
        <v>1</v>
      </c>
      <c r="BE83">
        <f>IF((AND(VLOOKUP(BE$1,main!$A$3:$H$102,5,FALSE)-VLOOKUP($A83,main!$A$3:$H$102,6,FALSE)&gt;=(VLOOKUP(VLOOKUP(BE$1,main!$A$3:$H$102,8,FALSE),main!$K$26:$M$29,2,FALSE)+VLOOKUP(VLOOKUP(BE$1,main!$A$3:$H$102,7,FALSE),main!$K$19:$O$22,MATCH(VLOOKUP($A83,main!$A$3:$H$102,8,FALSE),main!$K$18:$O$18,0))))),1,0)</f>
        <v>1</v>
      </c>
      <c r="BF83">
        <f>IF((AND(VLOOKUP(BF$1,main!$A$3:$H$102,5,FALSE)-VLOOKUP($A83,main!$A$3:$H$102,6,FALSE)&gt;=(VLOOKUP(VLOOKUP(BF$1,main!$A$3:$H$102,8,FALSE),main!$K$26:$M$29,2,FALSE)+VLOOKUP(VLOOKUP(BF$1,main!$A$3:$H$102,7,FALSE),main!$K$19:$O$22,MATCH(VLOOKUP($A83,main!$A$3:$H$102,8,FALSE),main!$K$18:$O$18,0))))),1,0)</f>
        <v>0</v>
      </c>
      <c r="BG83">
        <f>IF((AND(VLOOKUP(BG$1,main!$A$3:$H$102,5,FALSE)-VLOOKUP($A83,main!$A$3:$H$102,6,FALSE)&gt;=(VLOOKUP(VLOOKUP(BG$1,main!$A$3:$H$102,8,FALSE),main!$K$26:$M$29,2,FALSE)+VLOOKUP(VLOOKUP(BG$1,main!$A$3:$H$102,7,FALSE),main!$K$19:$O$22,MATCH(VLOOKUP($A83,main!$A$3:$H$102,8,FALSE),main!$K$18:$O$18,0))))),1,0)</f>
        <v>0</v>
      </c>
      <c r="BH83">
        <f>IF((AND(VLOOKUP(BH$1,main!$A$3:$H$102,5,FALSE)-VLOOKUP($A83,main!$A$3:$H$102,6,FALSE)&gt;=(VLOOKUP(VLOOKUP(BH$1,main!$A$3:$H$102,8,FALSE),main!$K$26:$M$29,2,FALSE)+VLOOKUP(VLOOKUP(BH$1,main!$A$3:$H$102,7,FALSE),main!$K$19:$O$22,MATCH(VLOOKUP($A83,main!$A$3:$H$102,8,FALSE),main!$K$18:$O$18,0))))),1,0)</f>
        <v>0</v>
      </c>
      <c r="BI83">
        <f>IF((AND(VLOOKUP(BI$1,main!$A$3:$H$102,5,FALSE)-VLOOKUP($A83,main!$A$3:$H$102,6,FALSE)&gt;=(VLOOKUP(VLOOKUP(BI$1,main!$A$3:$H$102,8,FALSE),main!$K$26:$M$29,2,FALSE)+VLOOKUP(VLOOKUP(BI$1,main!$A$3:$H$102,7,FALSE),main!$K$19:$O$22,MATCH(VLOOKUP($A83,main!$A$3:$H$102,8,FALSE),main!$K$18:$O$18,0))))),1,0)</f>
        <v>1</v>
      </c>
      <c r="BJ83">
        <f>IF((AND(VLOOKUP(BJ$1,main!$A$3:$H$102,5,FALSE)-VLOOKUP($A83,main!$A$3:$H$102,6,FALSE)&gt;=(VLOOKUP(VLOOKUP(BJ$1,main!$A$3:$H$102,8,FALSE),main!$K$26:$M$29,2,FALSE)+VLOOKUP(VLOOKUP(BJ$1,main!$A$3:$H$102,7,FALSE),main!$K$19:$O$22,MATCH(VLOOKUP($A83,main!$A$3:$H$102,8,FALSE),main!$K$18:$O$18,0))))),1,0)</f>
        <v>1</v>
      </c>
      <c r="BK83">
        <f>IF((AND(VLOOKUP(BK$1,main!$A$3:$H$102,5,FALSE)-VLOOKUP($A83,main!$A$3:$H$102,6,FALSE)&gt;=(VLOOKUP(VLOOKUP(BK$1,main!$A$3:$H$102,8,FALSE),main!$K$26:$M$29,2,FALSE)+VLOOKUP(VLOOKUP(BK$1,main!$A$3:$H$102,7,FALSE),main!$K$19:$O$22,MATCH(VLOOKUP($A83,main!$A$3:$H$102,8,FALSE),main!$K$18:$O$18,0))))),1,0)</f>
        <v>0</v>
      </c>
      <c r="BL83">
        <f>IF((AND(VLOOKUP(BL$1,main!$A$3:$H$102,5,FALSE)-VLOOKUP($A83,main!$A$3:$H$102,6,FALSE)&gt;=(VLOOKUP(VLOOKUP(BL$1,main!$A$3:$H$102,8,FALSE),main!$K$26:$M$29,2,FALSE)+VLOOKUP(VLOOKUP(BL$1,main!$A$3:$H$102,7,FALSE),main!$K$19:$O$22,MATCH(VLOOKUP($A83,main!$A$3:$H$102,8,FALSE),main!$K$18:$O$18,0))))),1,0)</f>
        <v>0</v>
      </c>
      <c r="BM83">
        <f>IF((AND(VLOOKUP(BM$1,main!$A$3:$H$102,5,FALSE)-VLOOKUP($A83,main!$A$3:$H$102,6,FALSE)&gt;=(VLOOKUP(VLOOKUP(BM$1,main!$A$3:$H$102,8,FALSE),main!$K$26:$M$29,2,FALSE)+VLOOKUP(VLOOKUP(BM$1,main!$A$3:$H$102,7,FALSE),main!$K$19:$O$22,MATCH(VLOOKUP($A83,main!$A$3:$H$102,8,FALSE),main!$K$18:$O$18,0))))),1,0)</f>
        <v>0</v>
      </c>
      <c r="BN83">
        <f>IF((AND(VLOOKUP(BN$1,main!$A$3:$H$102,5,FALSE)-VLOOKUP($A83,main!$A$3:$H$102,6,FALSE)&gt;=(VLOOKUP(VLOOKUP(BN$1,main!$A$3:$H$102,8,FALSE),main!$K$26:$M$29,2,FALSE)+VLOOKUP(VLOOKUP(BN$1,main!$A$3:$H$102,7,FALSE),main!$K$19:$O$22,MATCH(VLOOKUP($A83,main!$A$3:$H$102,8,FALSE),main!$K$18:$O$18,0))))),1,0)</f>
        <v>0</v>
      </c>
      <c r="BO83">
        <f>IF((AND(VLOOKUP(BO$1,main!$A$3:$H$102,5,FALSE)-VLOOKUP($A83,main!$A$3:$H$102,6,FALSE)&gt;=(VLOOKUP(VLOOKUP(BO$1,main!$A$3:$H$102,8,FALSE),main!$K$26:$M$29,2,FALSE)+VLOOKUP(VLOOKUP(BO$1,main!$A$3:$H$102,7,FALSE),main!$K$19:$O$22,MATCH(VLOOKUP($A83,main!$A$3:$H$102,8,FALSE),main!$K$18:$O$18,0))))),1,0)</f>
        <v>0</v>
      </c>
      <c r="BP83">
        <f>IF((AND(VLOOKUP(BP$1,main!$A$3:$H$102,5,FALSE)-VLOOKUP($A83,main!$A$3:$H$102,6,FALSE)&gt;=(VLOOKUP(VLOOKUP(BP$1,main!$A$3:$H$102,8,FALSE),main!$K$26:$M$29,2,FALSE)+VLOOKUP(VLOOKUP(BP$1,main!$A$3:$H$102,7,FALSE),main!$K$19:$O$22,MATCH(VLOOKUP($A83,main!$A$3:$H$102,8,FALSE),main!$K$18:$O$18,0))))),1,0)</f>
        <v>0</v>
      </c>
      <c r="BQ83">
        <f>IF((AND(VLOOKUP(BQ$1,main!$A$3:$H$102,5,FALSE)-VLOOKUP($A83,main!$A$3:$H$102,6,FALSE)&gt;=(VLOOKUP(VLOOKUP(BQ$1,main!$A$3:$H$102,8,FALSE),main!$K$26:$M$29,2,FALSE)+VLOOKUP(VLOOKUP(BQ$1,main!$A$3:$H$102,7,FALSE),main!$K$19:$O$22,MATCH(VLOOKUP($A83,main!$A$3:$H$102,8,FALSE),main!$K$18:$O$18,0))))),1,0)</f>
        <v>0</v>
      </c>
      <c r="BR83">
        <f>IF((AND(VLOOKUP(BR$1,main!$A$3:$H$102,5,FALSE)-VLOOKUP($A83,main!$A$3:$H$102,6,FALSE)&gt;=(VLOOKUP(VLOOKUP(BR$1,main!$A$3:$H$102,8,FALSE),main!$K$26:$M$29,2,FALSE)+VLOOKUP(VLOOKUP(BR$1,main!$A$3:$H$102,7,FALSE),main!$K$19:$O$22,MATCH(VLOOKUP($A83,main!$A$3:$H$102,8,FALSE),main!$K$18:$O$18,0))))),1,0)</f>
        <v>0</v>
      </c>
      <c r="BS83">
        <f>IF((AND(VLOOKUP(BS$1,main!$A$3:$H$102,5,FALSE)-VLOOKUP($A83,main!$A$3:$H$102,6,FALSE)&gt;=(VLOOKUP(VLOOKUP(BS$1,main!$A$3:$H$102,8,FALSE),main!$K$26:$M$29,2,FALSE)+VLOOKUP(VLOOKUP(BS$1,main!$A$3:$H$102,7,FALSE),main!$K$19:$O$22,MATCH(VLOOKUP($A83,main!$A$3:$H$102,8,FALSE),main!$K$18:$O$18,0))))),1,0)</f>
        <v>0</v>
      </c>
      <c r="BT83">
        <f>IF((AND(VLOOKUP(BT$1,main!$A$3:$H$102,5,FALSE)-VLOOKUP($A83,main!$A$3:$H$102,6,FALSE)&gt;=(VLOOKUP(VLOOKUP(BT$1,main!$A$3:$H$102,8,FALSE),main!$K$26:$M$29,2,FALSE)+VLOOKUP(VLOOKUP(BT$1,main!$A$3:$H$102,7,FALSE),main!$K$19:$O$22,MATCH(VLOOKUP($A83,main!$A$3:$H$102,8,FALSE),main!$K$18:$O$18,0))))),1,0)</f>
        <v>0</v>
      </c>
      <c r="BU83">
        <f>IF((AND(VLOOKUP(BU$1,main!$A$3:$H$102,5,FALSE)-VLOOKUP($A83,main!$A$3:$H$102,6,FALSE)&gt;=(VLOOKUP(VLOOKUP(BU$1,main!$A$3:$H$102,8,FALSE),main!$K$26:$M$29,2,FALSE)+VLOOKUP(VLOOKUP(BU$1,main!$A$3:$H$102,7,FALSE),main!$K$19:$O$22,MATCH(VLOOKUP($A83,main!$A$3:$H$102,8,FALSE),main!$K$18:$O$18,0))))),1,0)</f>
        <v>0</v>
      </c>
      <c r="BV83">
        <f>IF((AND(VLOOKUP(BV$1,main!$A$3:$H$102,5,FALSE)-VLOOKUP($A83,main!$A$3:$H$102,6,FALSE)&gt;=(VLOOKUP(VLOOKUP(BV$1,main!$A$3:$H$102,8,FALSE),main!$K$26:$M$29,2,FALSE)+VLOOKUP(VLOOKUP(BV$1,main!$A$3:$H$102,7,FALSE),main!$K$19:$O$22,MATCH(VLOOKUP($A83,main!$A$3:$H$102,8,FALSE),main!$K$18:$O$18,0))))),1,0)</f>
        <v>0</v>
      </c>
      <c r="BW83">
        <f>IF((AND(VLOOKUP(BW$1,main!$A$3:$H$102,5,FALSE)-VLOOKUP($A83,main!$A$3:$H$102,6,FALSE)&gt;=(VLOOKUP(VLOOKUP(BW$1,main!$A$3:$H$102,8,FALSE),main!$K$26:$M$29,2,FALSE)+VLOOKUP(VLOOKUP(BW$1,main!$A$3:$H$102,7,FALSE),main!$K$19:$O$22,MATCH(VLOOKUP($A83,main!$A$3:$H$102,8,FALSE),main!$K$18:$O$18,0))))),1,0)</f>
        <v>0</v>
      </c>
      <c r="BX83">
        <f>IF((AND(VLOOKUP(BX$1,main!$A$3:$H$102,5,FALSE)-VLOOKUP($A83,main!$A$3:$H$102,6,FALSE)&gt;=(VLOOKUP(VLOOKUP(BX$1,main!$A$3:$H$102,8,FALSE),main!$K$26:$M$29,2,FALSE)+VLOOKUP(VLOOKUP(BX$1,main!$A$3:$H$102,7,FALSE),main!$K$19:$O$22,MATCH(VLOOKUP($A83,main!$A$3:$H$102,8,FALSE),main!$K$18:$O$18,0))))),1,0)</f>
        <v>0</v>
      </c>
      <c r="BY83">
        <f>IF((AND(VLOOKUP(BY$1,main!$A$3:$H$102,5,FALSE)-VLOOKUP($A83,main!$A$3:$H$102,6,FALSE)&gt;=(VLOOKUP(VLOOKUP(BY$1,main!$A$3:$H$102,8,FALSE),main!$K$26:$M$29,2,FALSE)+VLOOKUP(VLOOKUP(BY$1,main!$A$3:$H$102,7,FALSE),main!$K$19:$O$22,MATCH(VLOOKUP($A83,main!$A$3:$H$102,8,FALSE),main!$K$18:$O$18,0))))),1,0)</f>
        <v>0</v>
      </c>
      <c r="BZ83">
        <f>IF((AND(VLOOKUP(BZ$1,main!$A$3:$H$102,5,FALSE)-VLOOKUP($A83,main!$A$3:$H$102,6,FALSE)&gt;=(VLOOKUP(VLOOKUP(BZ$1,main!$A$3:$H$102,8,FALSE),main!$K$26:$M$29,2,FALSE)+VLOOKUP(VLOOKUP(BZ$1,main!$A$3:$H$102,7,FALSE),main!$K$19:$O$22,MATCH(VLOOKUP($A83,main!$A$3:$H$102,8,FALSE),main!$K$18:$O$18,0))))),1,0)</f>
        <v>0</v>
      </c>
      <c r="CA83">
        <f>IF((AND(VLOOKUP(CA$1,main!$A$3:$H$102,5,FALSE)-VLOOKUP($A83,main!$A$3:$H$102,6,FALSE)&gt;=(VLOOKUP(VLOOKUP(CA$1,main!$A$3:$H$102,8,FALSE),main!$K$26:$M$29,2,FALSE)+VLOOKUP(VLOOKUP(CA$1,main!$A$3:$H$102,7,FALSE),main!$K$19:$O$22,MATCH(VLOOKUP($A83,main!$A$3:$H$102,8,FALSE),main!$K$18:$O$18,0))))),1,0)</f>
        <v>0</v>
      </c>
      <c r="CB83">
        <f>IF((AND(VLOOKUP(CB$1,main!$A$3:$H$102,5,FALSE)-VLOOKUP($A83,main!$A$3:$H$102,6,FALSE)&gt;=(VLOOKUP(VLOOKUP(CB$1,main!$A$3:$H$102,8,FALSE),main!$K$26:$M$29,2,FALSE)+VLOOKUP(VLOOKUP(CB$1,main!$A$3:$H$102,7,FALSE),main!$K$19:$O$22,MATCH(VLOOKUP($A83,main!$A$3:$H$102,8,FALSE),main!$K$18:$O$18,0))))),1,0)</f>
        <v>1</v>
      </c>
      <c r="CC83">
        <f>IF((AND(VLOOKUP(CC$1,main!$A$3:$H$102,5,FALSE)-VLOOKUP($A83,main!$A$3:$H$102,6,FALSE)&gt;=(VLOOKUP(VLOOKUP(CC$1,main!$A$3:$H$102,8,FALSE),main!$K$26:$M$29,2,FALSE)+VLOOKUP(VLOOKUP(CC$1,main!$A$3:$H$102,7,FALSE),main!$K$19:$O$22,MATCH(VLOOKUP($A83,main!$A$3:$H$102,8,FALSE),main!$K$18:$O$18,0))))),1,0)</f>
        <v>1</v>
      </c>
      <c r="CD83">
        <f>IF((AND(VLOOKUP(CD$1,main!$A$3:$H$102,5,FALSE)-VLOOKUP($A83,main!$A$3:$H$102,6,FALSE)&gt;=(VLOOKUP(VLOOKUP(CD$1,main!$A$3:$H$102,8,FALSE),main!$K$26:$M$29,2,FALSE)+VLOOKUP(VLOOKUP(CD$1,main!$A$3:$H$102,7,FALSE),main!$K$19:$O$22,MATCH(VLOOKUP($A83,main!$A$3:$H$102,8,FALSE),main!$K$18:$O$18,0))))),1,0)</f>
        <v>0</v>
      </c>
      <c r="CE83">
        <f>IF((AND(VLOOKUP(CE$1,main!$A$3:$H$102,5,FALSE)-VLOOKUP($A83,main!$A$3:$H$102,6,FALSE)&gt;=(VLOOKUP(VLOOKUP(CE$1,main!$A$3:$H$102,8,FALSE),main!$K$26:$M$29,2,FALSE)+VLOOKUP(VLOOKUP(CE$1,main!$A$3:$H$102,7,FALSE),main!$K$19:$O$22,MATCH(VLOOKUP($A83,main!$A$3:$H$102,8,FALSE),main!$K$18:$O$18,0))))),1,0)</f>
        <v>0</v>
      </c>
      <c r="CF83">
        <f>IF((AND(VLOOKUP(CF$1,main!$A$3:$H$102,5,FALSE)-VLOOKUP($A83,main!$A$3:$H$102,6,FALSE)&gt;=(VLOOKUP(VLOOKUP(CF$1,main!$A$3:$H$102,8,FALSE),main!$K$26:$M$29,2,FALSE)+VLOOKUP(VLOOKUP(CF$1,main!$A$3:$H$102,7,FALSE),main!$K$19:$O$22,MATCH(VLOOKUP($A83,main!$A$3:$H$102,8,FALSE),main!$K$18:$O$18,0))))),1,0)</f>
        <v>0</v>
      </c>
      <c r="CG83">
        <f>IF((AND(VLOOKUP(CG$1,main!$A$3:$H$102,5,FALSE)-VLOOKUP($A83,main!$A$3:$H$102,6,FALSE)&gt;=(VLOOKUP(VLOOKUP(CG$1,main!$A$3:$H$102,8,FALSE),main!$K$26:$M$29,2,FALSE)+VLOOKUP(VLOOKUP(CG$1,main!$A$3:$H$102,7,FALSE),main!$K$19:$O$22,MATCH(VLOOKUP($A83,main!$A$3:$H$102,8,FALSE),main!$K$18:$O$18,0))))),1,0)</f>
        <v>0</v>
      </c>
      <c r="CH83">
        <f>IF((AND(VLOOKUP(CH$1,main!$A$3:$H$102,5,FALSE)-VLOOKUP($A83,main!$A$3:$H$102,6,FALSE)&gt;=(VLOOKUP(VLOOKUP(CH$1,main!$A$3:$H$102,8,FALSE),main!$K$26:$M$29,2,FALSE)+VLOOKUP(VLOOKUP(CH$1,main!$A$3:$H$102,7,FALSE),main!$K$19:$O$22,MATCH(VLOOKUP($A83,main!$A$3:$H$102,8,FALSE),main!$K$18:$O$18,0))))),1,0)</f>
        <v>1</v>
      </c>
      <c r="CI83">
        <f>IF((AND(VLOOKUP(CI$1,main!$A$3:$H$102,5,FALSE)-VLOOKUP($A83,main!$A$3:$H$102,6,FALSE)&gt;=(VLOOKUP(VLOOKUP(CI$1,main!$A$3:$H$102,8,FALSE),main!$K$26:$M$29,2,FALSE)+VLOOKUP(VLOOKUP(CI$1,main!$A$3:$H$102,7,FALSE),main!$K$19:$O$22,MATCH(VLOOKUP($A83,main!$A$3:$H$102,8,FALSE),main!$K$18:$O$18,0))))),1,0)</f>
        <v>1</v>
      </c>
      <c r="CJ83">
        <f>IF((AND(VLOOKUP(CJ$1,main!$A$3:$H$102,5,FALSE)-VLOOKUP($A83,main!$A$3:$H$102,6,FALSE)&gt;=(VLOOKUP(VLOOKUP(CJ$1,main!$A$3:$H$102,8,FALSE),main!$K$26:$M$29,2,FALSE)+VLOOKUP(VLOOKUP(CJ$1,main!$A$3:$H$102,7,FALSE),main!$K$19:$O$22,MATCH(VLOOKUP($A83,main!$A$3:$H$102,8,FALSE),main!$K$18:$O$18,0))))),1,0)</f>
        <v>0</v>
      </c>
      <c r="CK83">
        <f>IF((AND(VLOOKUP(CK$1,main!$A$3:$H$102,5,FALSE)-VLOOKUP($A83,main!$A$3:$H$102,6,FALSE)&gt;=(VLOOKUP(VLOOKUP(CK$1,main!$A$3:$H$102,8,FALSE),main!$K$26:$M$29,2,FALSE)+VLOOKUP(VLOOKUP(CK$1,main!$A$3:$H$102,7,FALSE),main!$K$19:$O$22,MATCH(VLOOKUP($A83,main!$A$3:$H$102,8,FALSE),main!$K$18:$O$18,0))))),1,0)</f>
        <v>0</v>
      </c>
      <c r="CL83">
        <f>IF((AND(VLOOKUP(CL$1,main!$A$3:$H$102,5,FALSE)-VLOOKUP($A83,main!$A$3:$H$102,6,FALSE)&gt;=(VLOOKUP(VLOOKUP(CL$1,main!$A$3:$H$102,8,FALSE),main!$K$26:$M$29,2,FALSE)+VLOOKUP(VLOOKUP(CL$1,main!$A$3:$H$102,7,FALSE),main!$K$19:$O$22,MATCH(VLOOKUP($A83,main!$A$3:$H$102,8,FALSE),main!$K$18:$O$18,0))))),1,0)</f>
        <v>0</v>
      </c>
      <c r="CM83">
        <f>IF((AND(VLOOKUP(CM$1,main!$A$3:$H$102,5,FALSE)-VLOOKUP($A83,main!$A$3:$H$102,6,FALSE)&gt;=(VLOOKUP(VLOOKUP(CM$1,main!$A$3:$H$102,8,FALSE),main!$K$26:$M$29,2,FALSE)+VLOOKUP(VLOOKUP(CM$1,main!$A$3:$H$102,7,FALSE),main!$K$19:$O$22,MATCH(VLOOKUP($A83,main!$A$3:$H$102,8,FALSE),main!$K$18:$O$18,0))))),1,0)</f>
        <v>1</v>
      </c>
      <c r="CN83">
        <f>IF((AND(VLOOKUP(CN$1,main!$A$3:$H$102,5,FALSE)-VLOOKUP($A83,main!$A$3:$H$102,6,FALSE)&gt;=(VLOOKUP(VLOOKUP(CN$1,main!$A$3:$H$102,8,FALSE),main!$K$26:$M$29,2,FALSE)+VLOOKUP(VLOOKUP(CN$1,main!$A$3:$H$102,7,FALSE),main!$K$19:$O$22,MATCH(VLOOKUP($A83,main!$A$3:$H$102,8,FALSE),main!$K$18:$O$18,0))))),1,0)</f>
        <v>1</v>
      </c>
      <c r="CO83">
        <f>IF((AND(VLOOKUP(CO$1,main!$A$3:$H$102,5,FALSE)-VLOOKUP($A83,main!$A$3:$H$102,6,FALSE)&gt;=(VLOOKUP(VLOOKUP(CO$1,main!$A$3:$H$102,8,FALSE),main!$K$26:$M$29,2,FALSE)+VLOOKUP(VLOOKUP(CO$1,main!$A$3:$H$102,7,FALSE),main!$K$19:$O$22,MATCH(VLOOKUP($A83,main!$A$3:$H$102,8,FALSE),main!$K$18:$O$18,0))))),1,0)</f>
        <v>0</v>
      </c>
      <c r="CP83">
        <f>IF((AND(VLOOKUP(CP$1,main!$A$3:$H$102,5,FALSE)-VLOOKUP($A83,main!$A$3:$H$102,6,FALSE)&gt;=(VLOOKUP(VLOOKUP(CP$1,main!$A$3:$H$102,8,FALSE),main!$K$26:$M$29,2,FALSE)+VLOOKUP(VLOOKUP(CP$1,main!$A$3:$H$102,7,FALSE),main!$K$19:$O$22,MATCH(VLOOKUP($A83,main!$A$3:$H$102,8,FALSE),main!$K$18:$O$18,0))))),1,0)</f>
        <v>0</v>
      </c>
      <c r="CQ83">
        <f>IF((AND(VLOOKUP(CQ$1,main!$A$3:$H$102,5,FALSE)-VLOOKUP($A83,main!$A$3:$H$102,6,FALSE)&gt;=(VLOOKUP(VLOOKUP(CQ$1,main!$A$3:$H$102,8,FALSE),main!$K$26:$M$29,2,FALSE)+VLOOKUP(VLOOKUP(CQ$1,main!$A$3:$H$102,7,FALSE),main!$K$19:$O$22,MATCH(VLOOKUP($A83,main!$A$3:$H$102,8,FALSE),main!$K$18:$O$18,0))))),1,0)</f>
        <v>0</v>
      </c>
      <c r="CR83">
        <f>IF((AND(VLOOKUP(CR$1,main!$A$3:$H$102,5,FALSE)-VLOOKUP($A83,main!$A$3:$H$102,6,FALSE)&gt;=(VLOOKUP(VLOOKUP(CR$1,main!$A$3:$H$102,8,FALSE),main!$K$26:$M$29,2,FALSE)+VLOOKUP(VLOOKUP(CR$1,main!$A$3:$H$102,7,FALSE),main!$K$19:$O$22,MATCH(VLOOKUP($A83,main!$A$3:$H$102,8,FALSE),main!$K$18:$O$18,0))))),1,0)</f>
        <v>1</v>
      </c>
      <c r="CS83">
        <f>IF((AND(VLOOKUP(CS$1,main!$A$3:$H$102,5,FALSE)-VLOOKUP($A83,main!$A$3:$H$102,6,FALSE)&gt;=(VLOOKUP(VLOOKUP(CS$1,main!$A$3:$H$102,8,FALSE),main!$K$26:$M$29,2,FALSE)+VLOOKUP(VLOOKUP(CS$1,main!$A$3:$H$102,7,FALSE),main!$K$19:$O$22,MATCH(VLOOKUP($A83,main!$A$3:$H$102,8,FALSE),main!$K$18:$O$18,0))))),1,0)</f>
        <v>1</v>
      </c>
      <c r="CT83">
        <f>IF((AND(VLOOKUP(CT$1,main!$A$3:$H$102,5,FALSE)-VLOOKUP($A83,main!$A$3:$H$102,6,FALSE)&gt;=(VLOOKUP(VLOOKUP(CT$1,main!$A$3:$H$102,8,FALSE),main!$K$26:$M$29,2,FALSE)+VLOOKUP(VLOOKUP(CT$1,main!$A$3:$H$102,7,FALSE),main!$K$19:$O$22,MATCH(VLOOKUP($A83,main!$A$3:$H$102,8,FALSE),main!$K$18:$O$18,0))))),1,0)</f>
        <v>0</v>
      </c>
      <c r="CU83">
        <f>IF((AND(VLOOKUP(CU$1,main!$A$3:$H$102,5,FALSE)-VLOOKUP($A83,main!$A$3:$H$102,6,FALSE)&gt;=(VLOOKUP(VLOOKUP(CU$1,main!$A$3:$H$102,8,FALSE),main!$K$26:$M$29,2,FALSE)+VLOOKUP(VLOOKUP(CU$1,main!$A$3:$H$102,7,FALSE),main!$K$19:$O$22,MATCH(VLOOKUP($A83,main!$A$3:$H$102,8,FALSE),main!$K$18:$O$18,0))))),1,0)</f>
        <v>0</v>
      </c>
      <c r="CV83">
        <f>IF((AND(VLOOKUP(CV$1,main!$A$3:$H$102,5,FALSE)-VLOOKUP($A83,main!$A$3:$H$102,6,FALSE)&gt;=(VLOOKUP(VLOOKUP(CV$1,main!$A$3:$H$102,8,FALSE),main!$K$26:$M$29,2,FALSE)+VLOOKUP(VLOOKUP(CV$1,main!$A$3:$H$102,7,FALSE),main!$K$19:$O$22,MATCH(VLOOKUP($A83,main!$A$3:$H$102,8,FALSE),main!$K$18:$O$18,0))))),1,0)</f>
        <v>0</v>
      </c>
      <c r="CW83">
        <f>IF((AND(VLOOKUP(CW$1,main!$A$3:$H$102,5,FALSE)-VLOOKUP($A83,main!$A$3:$H$102,6,FALSE)&gt;=(VLOOKUP(VLOOKUP(CW$1,main!$A$3:$H$102,8,FALSE),main!$K$26:$M$29,2,FALSE)+VLOOKUP(VLOOKUP(CW$1,main!$A$3:$H$102,7,FALSE),main!$K$19:$O$22,MATCH(VLOOKUP($A83,main!$A$3:$H$102,8,FALSE),main!$K$18:$O$18,0))))),1,0)</f>
        <v>1</v>
      </c>
      <c r="CX83">
        <f>IF((AND(VLOOKUP(CX$1,main!$A$3:$H$102,5,FALSE)-VLOOKUP($A83,main!$A$3:$H$102,6,FALSE)&gt;=(VLOOKUP(VLOOKUP(CX$1,main!$A$3:$H$102,8,FALSE),main!$K$26:$M$29,2,FALSE)+VLOOKUP(VLOOKUP(CX$1,main!$A$3:$H$102,7,FALSE),main!$K$19:$O$22,MATCH(VLOOKUP($A83,main!$A$3:$H$102,8,FALSE),main!$K$18:$O$18,0))))),1,0)</f>
        <v>1</v>
      </c>
    </row>
    <row r="84" spans="1:102" x14ac:dyDescent="0.25">
      <c r="A84" s="1">
        <v>82</v>
      </c>
      <c r="B84">
        <v>1</v>
      </c>
      <c r="C84">
        <f>IF((AND(VLOOKUP(C$1,main!$A$3:$H$102,5,FALSE)-VLOOKUP($A84,main!$A$3:$H$102,6,FALSE)&gt;=(VLOOKUP(VLOOKUP(C$1,main!$A$3:$H$102,8,FALSE),main!$K$26:$M$29,2,FALSE)+VLOOKUP(VLOOKUP(C$1,main!$A$3:$H$102,7,FALSE),main!$K$19:$O$22,MATCH(VLOOKUP($A84,main!$A$3:$H$102,8,FALSE),main!$K$18:$O$18,0))))),1,0)</f>
        <v>0</v>
      </c>
      <c r="D84">
        <f>IF((AND(VLOOKUP(D$1,main!$A$3:$H$102,5,FALSE)-VLOOKUP($A84,main!$A$3:$H$102,6,FALSE)&gt;=(VLOOKUP(VLOOKUP(D$1,main!$A$3:$H$102,8,FALSE),main!$K$26:$M$29,2,FALSE)+VLOOKUP(VLOOKUP(D$1,main!$A$3:$H$102,7,FALSE),main!$K$19:$O$22,MATCH(VLOOKUP($A84,main!$A$3:$H$102,8,FALSE),main!$K$18:$O$18,0))))),1,0)</f>
        <v>0</v>
      </c>
      <c r="E84">
        <f>IF((AND(VLOOKUP(E$1,main!$A$3:$H$102,5,FALSE)-VLOOKUP($A84,main!$A$3:$H$102,6,FALSE)&gt;=(VLOOKUP(VLOOKUP(E$1,main!$A$3:$H$102,8,FALSE),main!$K$26:$M$29,2,FALSE)+VLOOKUP(VLOOKUP(E$1,main!$A$3:$H$102,7,FALSE),main!$K$19:$O$22,MATCH(VLOOKUP($A84,main!$A$3:$H$102,8,FALSE),main!$K$18:$O$18,0))))),1,0)</f>
        <v>0</v>
      </c>
      <c r="F84">
        <f>IF((AND(VLOOKUP(F$1,main!$A$3:$H$102,5,FALSE)-VLOOKUP($A84,main!$A$3:$H$102,6,FALSE)&gt;=(VLOOKUP(VLOOKUP(F$1,main!$A$3:$H$102,8,FALSE),main!$K$26:$M$29,2,FALSE)+VLOOKUP(VLOOKUP(F$1,main!$A$3:$H$102,7,FALSE),main!$K$19:$O$22,MATCH(VLOOKUP($A84,main!$A$3:$H$102,8,FALSE),main!$K$18:$O$18,0))))),1,0)</f>
        <v>0</v>
      </c>
      <c r="G84">
        <f>IF((AND(VLOOKUP(G$1,main!$A$3:$H$102,5,FALSE)-VLOOKUP($A84,main!$A$3:$H$102,6,FALSE)&gt;=(VLOOKUP(VLOOKUP(G$1,main!$A$3:$H$102,8,FALSE),main!$K$26:$M$29,2,FALSE)+VLOOKUP(VLOOKUP(G$1,main!$A$3:$H$102,7,FALSE),main!$K$19:$O$22,MATCH(VLOOKUP($A84,main!$A$3:$H$102,8,FALSE),main!$K$18:$O$18,0))))),1,0)</f>
        <v>0</v>
      </c>
      <c r="H84">
        <f>IF((AND(VLOOKUP(H$1,main!$A$3:$H$102,5,FALSE)-VLOOKUP($A84,main!$A$3:$H$102,6,FALSE)&gt;=(VLOOKUP(VLOOKUP(H$1,main!$A$3:$H$102,8,FALSE),main!$K$26:$M$29,2,FALSE)+VLOOKUP(VLOOKUP(H$1,main!$A$3:$H$102,7,FALSE),main!$K$19:$O$22,MATCH(VLOOKUP($A84,main!$A$3:$H$102,8,FALSE),main!$K$18:$O$18,0))))),1,0)</f>
        <v>1</v>
      </c>
      <c r="I84">
        <f>IF((AND(VLOOKUP(I$1,main!$A$3:$H$102,5,FALSE)-VLOOKUP($A84,main!$A$3:$H$102,6,FALSE)&gt;=(VLOOKUP(VLOOKUP(I$1,main!$A$3:$H$102,8,FALSE),main!$K$26:$M$29,2,FALSE)+VLOOKUP(VLOOKUP(I$1,main!$A$3:$H$102,7,FALSE),main!$K$19:$O$22,MATCH(VLOOKUP($A84,main!$A$3:$H$102,8,FALSE),main!$K$18:$O$18,0))))),1,0)</f>
        <v>1</v>
      </c>
      <c r="J84">
        <f>IF((AND(VLOOKUP(J$1,main!$A$3:$H$102,5,FALSE)-VLOOKUP($A84,main!$A$3:$H$102,6,FALSE)&gt;=(VLOOKUP(VLOOKUP(J$1,main!$A$3:$H$102,8,FALSE),main!$K$26:$M$29,2,FALSE)+VLOOKUP(VLOOKUP(J$1,main!$A$3:$H$102,7,FALSE),main!$K$19:$O$22,MATCH(VLOOKUP($A84,main!$A$3:$H$102,8,FALSE),main!$K$18:$O$18,0))))),1,0)</f>
        <v>1</v>
      </c>
      <c r="K84">
        <f>IF((AND(VLOOKUP(K$1,main!$A$3:$H$102,5,FALSE)-VLOOKUP($A84,main!$A$3:$H$102,6,FALSE)&gt;=(VLOOKUP(VLOOKUP(K$1,main!$A$3:$H$102,8,FALSE),main!$K$26:$M$29,2,FALSE)+VLOOKUP(VLOOKUP(K$1,main!$A$3:$H$102,7,FALSE),main!$K$19:$O$22,MATCH(VLOOKUP($A84,main!$A$3:$H$102,8,FALSE),main!$K$18:$O$18,0))))),1,0)</f>
        <v>1</v>
      </c>
      <c r="L84">
        <f>IF((AND(VLOOKUP(L$1,main!$A$3:$H$102,5,FALSE)-VLOOKUP($A84,main!$A$3:$H$102,6,FALSE)&gt;=(VLOOKUP(VLOOKUP(L$1,main!$A$3:$H$102,8,FALSE),main!$K$26:$M$29,2,FALSE)+VLOOKUP(VLOOKUP(L$1,main!$A$3:$H$102,7,FALSE),main!$K$19:$O$22,MATCH(VLOOKUP($A84,main!$A$3:$H$102,8,FALSE),main!$K$18:$O$18,0))))),1,0)</f>
        <v>1</v>
      </c>
      <c r="M84">
        <f>IF((AND(VLOOKUP(M$1,main!$A$3:$H$102,5,FALSE)-VLOOKUP($A84,main!$A$3:$H$102,6,FALSE)&gt;=(VLOOKUP(VLOOKUP(M$1,main!$A$3:$H$102,8,FALSE),main!$K$26:$M$29,2,FALSE)+VLOOKUP(VLOOKUP(M$1,main!$A$3:$H$102,7,FALSE),main!$K$19:$O$22,MATCH(VLOOKUP($A84,main!$A$3:$H$102,8,FALSE),main!$K$18:$O$18,0))))),1,0)</f>
        <v>0</v>
      </c>
      <c r="N84">
        <f>IF((AND(VLOOKUP(N$1,main!$A$3:$H$102,5,FALSE)-VLOOKUP($A84,main!$A$3:$H$102,6,FALSE)&gt;=(VLOOKUP(VLOOKUP(N$1,main!$A$3:$H$102,8,FALSE),main!$K$26:$M$29,2,FALSE)+VLOOKUP(VLOOKUP(N$1,main!$A$3:$H$102,7,FALSE),main!$K$19:$O$22,MATCH(VLOOKUP($A84,main!$A$3:$H$102,8,FALSE),main!$K$18:$O$18,0))))),1,0)</f>
        <v>0</v>
      </c>
      <c r="O84">
        <f>IF((AND(VLOOKUP(O$1,main!$A$3:$H$102,5,FALSE)-VLOOKUP($A84,main!$A$3:$H$102,6,FALSE)&gt;=(VLOOKUP(VLOOKUP(O$1,main!$A$3:$H$102,8,FALSE),main!$K$26:$M$29,2,FALSE)+VLOOKUP(VLOOKUP(O$1,main!$A$3:$H$102,7,FALSE),main!$K$19:$O$22,MATCH(VLOOKUP($A84,main!$A$3:$H$102,8,FALSE),main!$K$18:$O$18,0))))),1,0)</f>
        <v>0</v>
      </c>
      <c r="P84">
        <f>IF((AND(VLOOKUP(P$1,main!$A$3:$H$102,5,FALSE)-VLOOKUP($A84,main!$A$3:$H$102,6,FALSE)&gt;=(VLOOKUP(VLOOKUP(P$1,main!$A$3:$H$102,8,FALSE),main!$K$26:$M$29,2,FALSE)+VLOOKUP(VLOOKUP(P$1,main!$A$3:$H$102,7,FALSE),main!$K$19:$O$22,MATCH(VLOOKUP($A84,main!$A$3:$H$102,8,FALSE),main!$K$18:$O$18,0))))),1,0)</f>
        <v>0</v>
      </c>
      <c r="Q84">
        <f>IF((AND(VLOOKUP(Q$1,main!$A$3:$H$102,5,FALSE)-VLOOKUP($A84,main!$A$3:$H$102,6,FALSE)&gt;=(VLOOKUP(VLOOKUP(Q$1,main!$A$3:$H$102,8,FALSE),main!$K$26:$M$29,2,FALSE)+VLOOKUP(VLOOKUP(Q$1,main!$A$3:$H$102,7,FALSE),main!$K$19:$O$22,MATCH(VLOOKUP($A84,main!$A$3:$H$102,8,FALSE),main!$K$18:$O$18,0))))),1,0)</f>
        <v>0</v>
      </c>
      <c r="R84">
        <f>IF((AND(VLOOKUP(R$1,main!$A$3:$H$102,5,FALSE)-VLOOKUP($A84,main!$A$3:$H$102,6,FALSE)&gt;=(VLOOKUP(VLOOKUP(R$1,main!$A$3:$H$102,8,FALSE),main!$K$26:$M$29,2,FALSE)+VLOOKUP(VLOOKUP(R$1,main!$A$3:$H$102,7,FALSE),main!$K$19:$O$22,MATCH(VLOOKUP($A84,main!$A$3:$H$102,8,FALSE),main!$K$18:$O$18,0))))),1,0)</f>
        <v>0</v>
      </c>
      <c r="S84">
        <f>IF((AND(VLOOKUP(S$1,main!$A$3:$H$102,5,FALSE)-VLOOKUP($A84,main!$A$3:$H$102,6,FALSE)&gt;=(VLOOKUP(VLOOKUP(S$1,main!$A$3:$H$102,8,FALSE),main!$K$26:$M$29,2,FALSE)+VLOOKUP(VLOOKUP(S$1,main!$A$3:$H$102,7,FALSE),main!$K$19:$O$22,MATCH(VLOOKUP($A84,main!$A$3:$H$102,8,FALSE),main!$K$18:$O$18,0))))),1,0)</f>
        <v>1</v>
      </c>
      <c r="T84">
        <f>IF((AND(VLOOKUP(T$1,main!$A$3:$H$102,5,FALSE)-VLOOKUP($A84,main!$A$3:$H$102,6,FALSE)&gt;=(VLOOKUP(VLOOKUP(T$1,main!$A$3:$H$102,8,FALSE),main!$K$26:$M$29,2,FALSE)+VLOOKUP(VLOOKUP(T$1,main!$A$3:$H$102,7,FALSE),main!$K$19:$O$22,MATCH(VLOOKUP($A84,main!$A$3:$H$102,8,FALSE),main!$K$18:$O$18,0))))),1,0)</f>
        <v>1</v>
      </c>
      <c r="U84">
        <f>IF((AND(VLOOKUP(U$1,main!$A$3:$H$102,5,FALSE)-VLOOKUP($A84,main!$A$3:$H$102,6,FALSE)&gt;=(VLOOKUP(VLOOKUP(U$1,main!$A$3:$H$102,8,FALSE),main!$K$26:$M$29,2,FALSE)+VLOOKUP(VLOOKUP(U$1,main!$A$3:$H$102,7,FALSE),main!$K$19:$O$22,MATCH(VLOOKUP($A84,main!$A$3:$H$102,8,FALSE),main!$K$18:$O$18,0))))),1,0)</f>
        <v>1</v>
      </c>
      <c r="V84">
        <f>IF((AND(VLOOKUP(V$1,main!$A$3:$H$102,5,FALSE)-VLOOKUP($A84,main!$A$3:$H$102,6,FALSE)&gt;=(VLOOKUP(VLOOKUP(V$1,main!$A$3:$H$102,8,FALSE),main!$K$26:$M$29,2,FALSE)+VLOOKUP(VLOOKUP(V$1,main!$A$3:$H$102,7,FALSE),main!$K$19:$O$22,MATCH(VLOOKUP($A84,main!$A$3:$H$102,8,FALSE),main!$K$18:$O$18,0))))),1,0)</f>
        <v>1</v>
      </c>
      <c r="W84">
        <f>IF((AND(VLOOKUP(W$1,main!$A$3:$H$102,5,FALSE)-VLOOKUP($A84,main!$A$3:$H$102,6,FALSE)&gt;=(VLOOKUP(VLOOKUP(W$1,main!$A$3:$H$102,8,FALSE),main!$K$26:$M$29,2,FALSE)+VLOOKUP(VLOOKUP(W$1,main!$A$3:$H$102,7,FALSE),main!$K$19:$O$22,MATCH(VLOOKUP($A84,main!$A$3:$H$102,8,FALSE),main!$K$18:$O$18,0))))),1,0)</f>
        <v>0</v>
      </c>
      <c r="X84">
        <f>IF((AND(VLOOKUP(X$1,main!$A$3:$H$102,5,FALSE)-VLOOKUP($A84,main!$A$3:$H$102,6,FALSE)&gt;=(VLOOKUP(VLOOKUP(X$1,main!$A$3:$H$102,8,FALSE),main!$K$26:$M$29,2,FALSE)+VLOOKUP(VLOOKUP(X$1,main!$A$3:$H$102,7,FALSE),main!$K$19:$O$22,MATCH(VLOOKUP($A84,main!$A$3:$H$102,8,FALSE),main!$K$18:$O$18,0))))),1,0)</f>
        <v>0</v>
      </c>
      <c r="Y84">
        <f>IF((AND(VLOOKUP(Y$1,main!$A$3:$H$102,5,FALSE)-VLOOKUP($A84,main!$A$3:$H$102,6,FALSE)&gt;=(VLOOKUP(VLOOKUP(Y$1,main!$A$3:$H$102,8,FALSE),main!$K$26:$M$29,2,FALSE)+VLOOKUP(VLOOKUP(Y$1,main!$A$3:$H$102,7,FALSE),main!$K$19:$O$22,MATCH(VLOOKUP($A84,main!$A$3:$H$102,8,FALSE),main!$K$18:$O$18,0))))),1,0)</f>
        <v>0</v>
      </c>
      <c r="Z84">
        <f>IF((AND(VLOOKUP(Z$1,main!$A$3:$H$102,5,FALSE)-VLOOKUP($A84,main!$A$3:$H$102,6,FALSE)&gt;=(VLOOKUP(VLOOKUP(Z$1,main!$A$3:$H$102,8,FALSE),main!$K$26:$M$29,2,FALSE)+VLOOKUP(VLOOKUP(Z$1,main!$A$3:$H$102,7,FALSE),main!$K$19:$O$22,MATCH(VLOOKUP($A84,main!$A$3:$H$102,8,FALSE),main!$K$18:$O$18,0))))),1,0)</f>
        <v>1</v>
      </c>
      <c r="AA84">
        <f>IF((AND(VLOOKUP(AA$1,main!$A$3:$H$102,5,FALSE)-VLOOKUP($A84,main!$A$3:$H$102,6,FALSE)&gt;=(VLOOKUP(VLOOKUP(AA$1,main!$A$3:$H$102,8,FALSE),main!$K$26:$M$29,2,FALSE)+VLOOKUP(VLOOKUP(AA$1,main!$A$3:$H$102,7,FALSE),main!$K$19:$O$22,MATCH(VLOOKUP($A84,main!$A$3:$H$102,8,FALSE),main!$K$18:$O$18,0))))),1,0)</f>
        <v>1</v>
      </c>
      <c r="AB84">
        <f>IF((AND(VLOOKUP(AB$1,main!$A$3:$H$102,5,FALSE)-VLOOKUP($A84,main!$A$3:$H$102,6,FALSE)&gt;=(VLOOKUP(VLOOKUP(AB$1,main!$A$3:$H$102,8,FALSE),main!$K$26:$M$29,2,FALSE)+VLOOKUP(VLOOKUP(AB$1,main!$A$3:$H$102,7,FALSE),main!$K$19:$O$22,MATCH(VLOOKUP($A84,main!$A$3:$H$102,8,FALSE),main!$K$18:$O$18,0))))),1,0)</f>
        <v>0</v>
      </c>
      <c r="AC84">
        <f>IF((AND(VLOOKUP(AC$1,main!$A$3:$H$102,5,FALSE)-VLOOKUP($A84,main!$A$3:$H$102,6,FALSE)&gt;=(VLOOKUP(VLOOKUP(AC$1,main!$A$3:$H$102,8,FALSE),main!$K$26:$M$29,2,FALSE)+VLOOKUP(VLOOKUP(AC$1,main!$A$3:$H$102,7,FALSE),main!$K$19:$O$22,MATCH(VLOOKUP($A84,main!$A$3:$H$102,8,FALSE),main!$K$18:$O$18,0))))),1,0)</f>
        <v>0</v>
      </c>
      <c r="AD84">
        <f>IF((AND(VLOOKUP(AD$1,main!$A$3:$H$102,5,FALSE)-VLOOKUP($A84,main!$A$3:$H$102,6,FALSE)&gt;=(VLOOKUP(VLOOKUP(AD$1,main!$A$3:$H$102,8,FALSE),main!$K$26:$M$29,2,FALSE)+VLOOKUP(VLOOKUP(AD$1,main!$A$3:$H$102,7,FALSE),main!$K$19:$O$22,MATCH(VLOOKUP($A84,main!$A$3:$H$102,8,FALSE),main!$K$18:$O$18,0))))),1,0)</f>
        <v>0</v>
      </c>
      <c r="AE84">
        <f>IF((AND(VLOOKUP(AE$1,main!$A$3:$H$102,5,FALSE)-VLOOKUP($A84,main!$A$3:$H$102,6,FALSE)&gt;=(VLOOKUP(VLOOKUP(AE$1,main!$A$3:$H$102,8,FALSE),main!$K$26:$M$29,2,FALSE)+VLOOKUP(VLOOKUP(AE$1,main!$A$3:$H$102,7,FALSE),main!$K$19:$O$22,MATCH(VLOOKUP($A84,main!$A$3:$H$102,8,FALSE),main!$K$18:$O$18,0))))),1,0)</f>
        <v>1</v>
      </c>
      <c r="AF84">
        <f>IF((AND(VLOOKUP(AF$1,main!$A$3:$H$102,5,FALSE)-VLOOKUP($A84,main!$A$3:$H$102,6,FALSE)&gt;=(VLOOKUP(VLOOKUP(AF$1,main!$A$3:$H$102,8,FALSE),main!$K$26:$M$29,2,FALSE)+VLOOKUP(VLOOKUP(AF$1,main!$A$3:$H$102,7,FALSE),main!$K$19:$O$22,MATCH(VLOOKUP($A84,main!$A$3:$H$102,8,FALSE),main!$K$18:$O$18,0))))),1,0)</f>
        <v>1</v>
      </c>
      <c r="AG84">
        <f>IF((AND(VLOOKUP(AG$1,main!$A$3:$H$102,5,FALSE)-VLOOKUP($A84,main!$A$3:$H$102,6,FALSE)&gt;=(VLOOKUP(VLOOKUP(AG$1,main!$A$3:$H$102,8,FALSE),main!$K$26:$M$29,2,FALSE)+VLOOKUP(VLOOKUP(AG$1,main!$A$3:$H$102,7,FALSE),main!$K$19:$O$22,MATCH(VLOOKUP($A84,main!$A$3:$H$102,8,FALSE),main!$K$18:$O$18,0))))),1,0)</f>
        <v>0</v>
      </c>
      <c r="AH84">
        <f>IF((AND(VLOOKUP(AH$1,main!$A$3:$H$102,5,FALSE)-VLOOKUP($A84,main!$A$3:$H$102,6,FALSE)&gt;=(VLOOKUP(VLOOKUP(AH$1,main!$A$3:$H$102,8,FALSE),main!$K$26:$M$29,2,FALSE)+VLOOKUP(VLOOKUP(AH$1,main!$A$3:$H$102,7,FALSE),main!$K$19:$O$22,MATCH(VLOOKUP($A84,main!$A$3:$H$102,8,FALSE),main!$K$18:$O$18,0))))),1,0)</f>
        <v>0</v>
      </c>
      <c r="AI84">
        <f>IF((AND(VLOOKUP(AI$1,main!$A$3:$H$102,5,FALSE)-VLOOKUP($A84,main!$A$3:$H$102,6,FALSE)&gt;=(VLOOKUP(VLOOKUP(AI$1,main!$A$3:$H$102,8,FALSE),main!$K$26:$M$29,2,FALSE)+VLOOKUP(VLOOKUP(AI$1,main!$A$3:$H$102,7,FALSE),main!$K$19:$O$22,MATCH(VLOOKUP($A84,main!$A$3:$H$102,8,FALSE),main!$K$18:$O$18,0))))),1,0)</f>
        <v>0</v>
      </c>
      <c r="AJ84">
        <f>IF((AND(VLOOKUP(AJ$1,main!$A$3:$H$102,5,FALSE)-VLOOKUP($A84,main!$A$3:$H$102,6,FALSE)&gt;=(VLOOKUP(VLOOKUP(AJ$1,main!$A$3:$H$102,8,FALSE),main!$K$26:$M$29,2,FALSE)+VLOOKUP(VLOOKUP(AJ$1,main!$A$3:$H$102,7,FALSE),main!$K$19:$O$22,MATCH(VLOOKUP($A84,main!$A$3:$H$102,8,FALSE),main!$K$18:$O$18,0))))),1,0)</f>
        <v>0</v>
      </c>
      <c r="AK84">
        <f>IF((AND(VLOOKUP(AK$1,main!$A$3:$H$102,5,FALSE)-VLOOKUP($A84,main!$A$3:$H$102,6,FALSE)&gt;=(VLOOKUP(VLOOKUP(AK$1,main!$A$3:$H$102,8,FALSE),main!$K$26:$M$29,2,FALSE)+VLOOKUP(VLOOKUP(AK$1,main!$A$3:$H$102,7,FALSE),main!$K$19:$O$22,MATCH(VLOOKUP($A84,main!$A$3:$H$102,8,FALSE),main!$K$18:$O$18,0))))),1,0)</f>
        <v>0</v>
      </c>
      <c r="AL84">
        <f>IF((AND(VLOOKUP(AL$1,main!$A$3:$H$102,5,FALSE)-VLOOKUP($A84,main!$A$3:$H$102,6,FALSE)&gt;=(VLOOKUP(VLOOKUP(AL$1,main!$A$3:$H$102,8,FALSE),main!$K$26:$M$29,2,FALSE)+VLOOKUP(VLOOKUP(AL$1,main!$A$3:$H$102,7,FALSE),main!$K$19:$O$22,MATCH(VLOOKUP($A84,main!$A$3:$H$102,8,FALSE),main!$K$18:$O$18,0))))),1,0)</f>
        <v>1</v>
      </c>
      <c r="AM84">
        <f>IF((AND(VLOOKUP(AM$1,main!$A$3:$H$102,5,FALSE)-VLOOKUP($A84,main!$A$3:$H$102,6,FALSE)&gt;=(VLOOKUP(VLOOKUP(AM$1,main!$A$3:$H$102,8,FALSE),main!$K$26:$M$29,2,FALSE)+VLOOKUP(VLOOKUP(AM$1,main!$A$3:$H$102,7,FALSE),main!$K$19:$O$22,MATCH(VLOOKUP($A84,main!$A$3:$H$102,8,FALSE),main!$K$18:$O$18,0))))),1,0)</f>
        <v>1</v>
      </c>
      <c r="AN84">
        <f>IF((AND(VLOOKUP(AN$1,main!$A$3:$H$102,5,FALSE)-VLOOKUP($A84,main!$A$3:$H$102,6,FALSE)&gt;=(VLOOKUP(VLOOKUP(AN$1,main!$A$3:$H$102,8,FALSE),main!$K$26:$M$29,2,FALSE)+VLOOKUP(VLOOKUP(AN$1,main!$A$3:$H$102,7,FALSE),main!$K$19:$O$22,MATCH(VLOOKUP($A84,main!$A$3:$H$102,8,FALSE),main!$K$18:$O$18,0))))),1,0)</f>
        <v>1</v>
      </c>
      <c r="AO84">
        <f>IF((AND(VLOOKUP(AO$1,main!$A$3:$H$102,5,FALSE)-VLOOKUP($A84,main!$A$3:$H$102,6,FALSE)&gt;=(VLOOKUP(VLOOKUP(AO$1,main!$A$3:$H$102,8,FALSE),main!$K$26:$M$29,2,FALSE)+VLOOKUP(VLOOKUP(AO$1,main!$A$3:$H$102,7,FALSE),main!$K$19:$O$22,MATCH(VLOOKUP($A84,main!$A$3:$H$102,8,FALSE),main!$K$18:$O$18,0))))),1,0)</f>
        <v>0</v>
      </c>
      <c r="AP84">
        <f>IF((AND(VLOOKUP(AP$1,main!$A$3:$H$102,5,FALSE)-VLOOKUP($A84,main!$A$3:$H$102,6,FALSE)&gt;=(VLOOKUP(VLOOKUP(AP$1,main!$A$3:$H$102,8,FALSE),main!$K$26:$M$29,2,FALSE)+VLOOKUP(VLOOKUP(AP$1,main!$A$3:$H$102,7,FALSE),main!$K$19:$O$22,MATCH(VLOOKUP($A84,main!$A$3:$H$102,8,FALSE),main!$K$18:$O$18,0))))),1,0)</f>
        <v>1</v>
      </c>
      <c r="AQ84">
        <f>IF((AND(VLOOKUP(AQ$1,main!$A$3:$H$102,5,FALSE)-VLOOKUP($A84,main!$A$3:$H$102,6,FALSE)&gt;=(VLOOKUP(VLOOKUP(AQ$1,main!$A$3:$H$102,8,FALSE),main!$K$26:$M$29,2,FALSE)+VLOOKUP(VLOOKUP(AQ$1,main!$A$3:$H$102,7,FALSE),main!$K$19:$O$22,MATCH(VLOOKUP($A84,main!$A$3:$H$102,8,FALSE),main!$K$18:$O$18,0))))),1,0)</f>
        <v>0</v>
      </c>
      <c r="AR84">
        <f>IF((AND(VLOOKUP(AR$1,main!$A$3:$H$102,5,FALSE)-VLOOKUP($A84,main!$A$3:$H$102,6,FALSE)&gt;=(VLOOKUP(VLOOKUP(AR$1,main!$A$3:$H$102,8,FALSE),main!$K$26:$M$29,2,FALSE)+VLOOKUP(VLOOKUP(AR$1,main!$A$3:$H$102,7,FALSE),main!$K$19:$O$22,MATCH(VLOOKUP($A84,main!$A$3:$H$102,8,FALSE),main!$K$18:$O$18,0))))),1,0)</f>
        <v>0</v>
      </c>
      <c r="AS84">
        <f>IF((AND(VLOOKUP(AS$1,main!$A$3:$H$102,5,FALSE)-VLOOKUP($A84,main!$A$3:$H$102,6,FALSE)&gt;=(VLOOKUP(VLOOKUP(AS$1,main!$A$3:$H$102,8,FALSE),main!$K$26:$M$29,2,FALSE)+VLOOKUP(VLOOKUP(AS$1,main!$A$3:$H$102,7,FALSE),main!$K$19:$O$22,MATCH(VLOOKUP($A84,main!$A$3:$H$102,8,FALSE),main!$K$18:$O$18,0))))),1,0)</f>
        <v>0</v>
      </c>
      <c r="AT84">
        <f>IF((AND(VLOOKUP(AT$1,main!$A$3:$H$102,5,FALSE)-VLOOKUP($A84,main!$A$3:$H$102,6,FALSE)&gt;=(VLOOKUP(VLOOKUP(AT$1,main!$A$3:$H$102,8,FALSE),main!$K$26:$M$29,2,FALSE)+VLOOKUP(VLOOKUP(AT$1,main!$A$3:$H$102,7,FALSE),main!$K$19:$O$22,MATCH(VLOOKUP($A84,main!$A$3:$H$102,8,FALSE),main!$K$18:$O$18,0))))),1,0)</f>
        <v>1</v>
      </c>
      <c r="AU84">
        <f>IF((AND(VLOOKUP(AU$1,main!$A$3:$H$102,5,FALSE)-VLOOKUP($A84,main!$A$3:$H$102,6,FALSE)&gt;=(VLOOKUP(VLOOKUP(AU$1,main!$A$3:$H$102,8,FALSE),main!$K$26:$M$29,2,FALSE)+VLOOKUP(VLOOKUP(AU$1,main!$A$3:$H$102,7,FALSE),main!$K$19:$O$22,MATCH(VLOOKUP($A84,main!$A$3:$H$102,8,FALSE),main!$K$18:$O$18,0))))),1,0)</f>
        <v>0</v>
      </c>
      <c r="AV84">
        <f>IF((AND(VLOOKUP(AV$1,main!$A$3:$H$102,5,FALSE)-VLOOKUP($A84,main!$A$3:$H$102,6,FALSE)&gt;=(VLOOKUP(VLOOKUP(AV$1,main!$A$3:$H$102,8,FALSE),main!$K$26:$M$29,2,FALSE)+VLOOKUP(VLOOKUP(AV$1,main!$A$3:$H$102,7,FALSE),main!$K$19:$O$22,MATCH(VLOOKUP($A84,main!$A$3:$H$102,8,FALSE),main!$K$18:$O$18,0))))),1,0)</f>
        <v>0</v>
      </c>
      <c r="AW84">
        <f>IF((AND(VLOOKUP(AW$1,main!$A$3:$H$102,5,FALSE)-VLOOKUP($A84,main!$A$3:$H$102,6,FALSE)&gt;=(VLOOKUP(VLOOKUP(AW$1,main!$A$3:$H$102,8,FALSE),main!$K$26:$M$29,2,FALSE)+VLOOKUP(VLOOKUP(AW$1,main!$A$3:$H$102,7,FALSE),main!$K$19:$O$22,MATCH(VLOOKUP($A84,main!$A$3:$H$102,8,FALSE),main!$K$18:$O$18,0))))),1,0)</f>
        <v>0</v>
      </c>
      <c r="AX84">
        <f>IF((AND(VLOOKUP(AX$1,main!$A$3:$H$102,5,FALSE)-VLOOKUP($A84,main!$A$3:$H$102,6,FALSE)&gt;=(VLOOKUP(VLOOKUP(AX$1,main!$A$3:$H$102,8,FALSE),main!$K$26:$M$29,2,FALSE)+VLOOKUP(VLOOKUP(AX$1,main!$A$3:$H$102,7,FALSE),main!$K$19:$O$22,MATCH(VLOOKUP($A84,main!$A$3:$H$102,8,FALSE),main!$K$18:$O$18,0))))),1,0)</f>
        <v>0</v>
      </c>
      <c r="AY84">
        <f>IF((AND(VLOOKUP(AY$1,main!$A$3:$H$102,5,FALSE)-VLOOKUP($A84,main!$A$3:$H$102,6,FALSE)&gt;=(VLOOKUP(VLOOKUP(AY$1,main!$A$3:$H$102,8,FALSE),main!$K$26:$M$29,2,FALSE)+VLOOKUP(VLOOKUP(AY$1,main!$A$3:$H$102,7,FALSE),main!$K$19:$O$22,MATCH(VLOOKUP($A84,main!$A$3:$H$102,8,FALSE),main!$K$18:$O$18,0))))),1,0)</f>
        <v>0</v>
      </c>
      <c r="AZ84">
        <f>IF((AND(VLOOKUP(AZ$1,main!$A$3:$H$102,5,FALSE)-VLOOKUP($A84,main!$A$3:$H$102,6,FALSE)&gt;=(VLOOKUP(VLOOKUP(AZ$1,main!$A$3:$H$102,8,FALSE),main!$K$26:$M$29,2,FALSE)+VLOOKUP(VLOOKUP(AZ$1,main!$A$3:$H$102,7,FALSE),main!$K$19:$O$22,MATCH(VLOOKUP($A84,main!$A$3:$H$102,8,FALSE),main!$K$18:$O$18,0))))),1,0)</f>
        <v>0</v>
      </c>
      <c r="BA84">
        <f>IF((AND(VLOOKUP(BA$1,main!$A$3:$H$102,5,FALSE)-VLOOKUP($A84,main!$A$3:$H$102,6,FALSE)&gt;=(VLOOKUP(VLOOKUP(BA$1,main!$A$3:$H$102,8,FALSE),main!$K$26:$M$29,2,FALSE)+VLOOKUP(VLOOKUP(BA$1,main!$A$3:$H$102,7,FALSE),main!$K$19:$O$22,MATCH(VLOOKUP($A84,main!$A$3:$H$102,8,FALSE),main!$K$18:$O$18,0))))),1,0)</f>
        <v>0</v>
      </c>
      <c r="BB84">
        <f>IF((AND(VLOOKUP(BB$1,main!$A$3:$H$102,5,FALSE)-VLOOKUP($A84,main!$A$3:$H$102,6,FALSE)&gt;=(VLOOKUP(VLOOKUP(BB$1,main!$A$3:$H$102,8,FALSE),main!$K$26:$M$29,2,FALSE)+VLOOKUP(VLOOKUP(BB$1,main!$A$3:$H$102,7,FALSE),main!$K$19:$O$22,MATCH(VLOOKUP($A84,main!$A$3:$H$102,8,FALSE),main!$K$18:$O$18,0))))),1,0)</f>
        <v>0</v>
      </c>
      <c r="BC84">
        <f>IF((AND(VLOOKUP(BC$1,main!$A$3:$H$102,5,FALSE)-VLOOKUP($A84,main!$A$3:$H$102,6,FALSE)&gt;=(VLOOKUP(VLOOKUP(BC$1,main!$A$3:$H$102,8,FALSE),main!$K$26:$M$29,2,FALSE)+VLOOKUP(VLOOKUP(BC$1,main!$A$3:$H$102,7,FALSE),main!$K$19:$O$22,MATCH(VLOOKUP($A84,main!$A$3:$H$102,8,FALSE),main!$K$18:$O$18,0))))),1,0)</f>
        <v>0</v>
      </c>
      <c r="BD84">
        <f>IF((AND(VLOOKUP(BD$1,main!$A$3:$H$102,5,FALSE)-VLOOKUP($A84,main!$A$3:$H$102,6,FALSE)&gt;=(VLOOKUP(VLOOKUP(BD$1,main!$A$3:$H$102,8,FALSE),main!$K$26:$M$29,2,FALSE)+VLOOKUP(VLOOKUP(BD$1,main!$A$3:$H$102,7,FALSE),main!$K$19:$O$22,MATCH(VLOOKUP($A84,main!$A$3:$H$102,8,FALSE),main!$K$18:$O$18,0))))),1,0)</f>
        <v>0</v>
      </c>
      <c r="BE84">
        <f>IF((AND(VLOOKUP(BE$1,main!$A$3:$H$102,5,FALSE)-VLOOKUP($A84,main!$A$3:$H$102,6,FALSE)&gt;=(VLOOKUP(VLOOKUP(BE$1,main!$A$3:$H$102,8,FALSE),main!$K$26:$M$29,2,FALSE)+VLOOKUP(VLOOKUP(BE$1,main!$A$3:$H$102,7,FALSE),main!$K$19:$O$22,MATCH(VLOOKUP($A84,main!$A$3:$H$102,8,FALSE),main!$K$18:$O$18,0))))),1,0)</f>
        <v>1</v>
      </c>
      <c r="BF84">
        <f>IF((AND(VLOOKUP(BF$1,main!$A$3:$H$102,5,FALSE)-VLOOKUP($A84,main!$A$3:$H$102,6,FALSE)&gt;=(VLOOKUP(VLOOKUP(BF$1,main!$A$3:$H$102,8,FALSE),main!$K$26:$M$29,2,FALSE)+VLOOKUP(VLOOKUP(BF$1,main!$A$3:$H$102,7,FALSE),main!$K$19:$O$22,MATCH(VLOOKUP($A84,main!$A$3:$H$102,8,FALSE),main!$K$18:$O$18,0))))),1,0)</f>
        <v>0</v>
      </c>
      <c r="BG84">
        <f>IF((AND(VLOOKUP(BG$1,main!$A$3:$H$102,5,FALSE)-VLOOKUP($A84,main!$A$3:$H$102,6,FALSE)&gt;=(VLOOKUP(VLOOKUP(BG$1,main!$A$3:$H$102,8,FALSE),main!$K$26:$M$29,2,FALSE)+VLOOKUP(VLOOKUP(BG$1,main!$A$3:$H$102,7,FALSE),main!$K$19:$O$22,MATCH(VLOOKUP($A84,main!$A$3:$H$102,8,FALSE),main!$K$18:$O$18,0))))),1,0)</f>
        <v>0</v>
      </c>
      <c r="BH84">
        <f>IF((AND(VLOOKUP(BH$1,main!$A$3:$H$102,5,FALSE)-VLOOKUP($A84,main!$A$3:$H$102,6,FALSE)&gt;=(VLOOKUP(VLOOKUP(BH$1,main!$A$3:$H$102,8,FALSE),main!$K$26:$M$29,2,FALSE)+VLOOKUP(VLOOKUP(BH$1,main!$A$3:$H$102,7,FALSE),main!$K$19:$O$22,MATCH(VLOOKUP($A84,main!$A$3:$H$102,8,FALSE),main!$K$18:$O$18,0))))),1,0)</f>
        <v>0</v>
      </c>
      <c r="BI84">
        <f>IF((AND(VLOOKUP(BI$1,main!$A$3:$H$102,5,FALSE)-VLOOKUP($A84,main!$A$3:$H$102,6,FALSE)&gt;=(VLOOKUP(VLOOKUP(BI$1,main!$A$3:$H$102,8,FALSE),main!$K$26:$M$29,2,FALSE)+VLOOKUP(VLOOKUP(BI$1,main!$A$3:$H$102,7,FALSE),main!$K$19:$O$22,MATCH(VLOOKUP($A84,main!$A$3:$H$102,8,FALSE),main!$K$18:$O$18,0))))),1,0)</f>
        <v>1</v>
      </c>
      <c r="BJ84">
        <f>IF((AND(VLOOKUP(BJ$1,main!$A$3:$H$102,5,FALSE)-VLOOKUP($A84,main!$A$3:$H$102,6,FALSE)&gt;=(VLOOKUP(VLOOKUP(BJ$1,main!$A$3:$H$102,8,FALSE),main!$K$26:$M$29,2,FALSE)+VLOOKUP(VLOOKUP(BJ$1,main!$A$3:$H$102,7,FALSE),main!$K$19:$O$22,MATCH(VLOOKUP($A84,main!$A$3:$H$102,8,FALSE),main!$K$18:$O$18,0))))),1,0)</f>
        <v>1</v>
      </c>
      <c r="BK84">
        <f>IF((AND(VLOOKUP(BK$1,main!$A$3:$H$102,5,FALSE)-VLOOKUP($A84,main!$A$3:$H$102,6,FALSE)&gt;=(VLOOKUP(VLOOKUP(BK$1,main!$A$3:$H$102,8,FALSE),main!$K$26:$M$29,2,FALSE)+VLOOKUP(VLOOKUP(BK$1,main!$A$3:$H$102,7,FALSE),main!$K$19:$O$22,MATCH(VLOOKUP($A84,main!$A$3:$H$102,8,FALSE),main!$K$18:$O$18,0))))),1,0)</f>
        <v>0</v>
      </c>
      <c r="BL84">
        <f>IF((AND(VLOOKUP(BL$1,main!$A$3:$H$102,5,FALSE)-VLOOKUP($A84,main!$A$3:$H$102,6,FALSE)&gt;=(VLOOKUP(VLOOKUP(BL$1,main!$A$3:$H$102,8,FALSE),main!$K$26:$M$29,2,FALSE)+VLOOKUP(VLOOKUP(BL$1,main!$A$3:$H$102,7,FALSE),main!$K$19:$O$22,MATCH(VLOOKUP($A84,main!$A$3:$H$102,8,FALSE),main!$K$18:$O$18,0))))),1,0)</f>
        <v>0</v>
      </c>
      <c r="BM84">
        <f>IF((AND(VLOOKUP(BM$1,main!$A$3:$H$102,5,FALSE)-VLOOKUP($A84,main!$A$3:$H$102,6,FALSE)&gt;=(VLOOKUP(VLOOKUP(BM$1,main!$A$3:$H$102,8,FALSE),main!$K$26:$M$29,2,FALSE)+VLOOKUP(VLOOKUP(BM$1,main!$A$3:$H$102,7,FALSE),main!$K$19:$O$22,MATCH(VLOOKUP($A84,main!$A$3:$H$102,8,FALSE),main!$K$18:$O$18,0))))),1,0)</f>
        <v>0</v>
      </c>
      <c r="BN84">
        <f>IF((AND(VLOOKUP(BN$1,main!$A$3:$H$102,5,FALSE)-VLOOKUP($A84,main!$A$3:$H$102,6,FALSE)&gt;=(VLOOKUP(VLOOKUP(BN$1,main!$A$3:$H$102,8,FALSE),main!$K$26:$M$29,2,FALSE)+VLOOKUP(VLOOKUP(BN$1,main!$A$3:$H$102,7,FALSE),main!$K$19:$O$22,MATCH(VLOOKUP($A84,main!$A$3:$H$102,8,FALSE),main!$K$18:$O$18,0))))),1,0)</f>
        <v>0</v>
      </c>
      <c r="BO84">
        <f>IF((AND(VLOOKUP(BO$1,main!$A$3:$H$102,5,FALSE)-VLOOKUP($A84,main!$A$3:$H$102,6,FALSE)&gt;=(VLOOKUP(VLOOKUP(BO$1,main!$A$3:$H$102,8,FALSE),main!$K$26:$M$29,2,FALSE)+VLOOKUP(VLOOKUP(BO$1,main!$A$3:$H$102,7,FALSE),main!$K$19:$O$22,MATCH(VLOOKUP($A84,main!$A$3:$H$102,8,FALSE),main!$K$18:$O$18,0))))),1,0)</f>
        <v>0</v>
      </c>
      <c r="BP84">
        <f>IF((AND(VLOOKUP(BP$1,main!$A$3:$H$102,5,FALSE)-VLOOKUP($A84,main!$A$3:$H$102,6,FALSE)&gt;=(VLOOKUP(VLOOKUP(BP$1,main!$A$3:$H$102,8,FALSE),main!$K$26:$M$29,2,FALSE)+VLOOKUP(VLOOKUP(BP$1,main!$A$3:$H$102,7,FALSE),main!$K$19:$O$22,MATCH(VLOOKUP($A84,main!$A$3:$H$102,8,FALSE),main!$K$18:$O$18,0))))),1,0)</f>
        <v>0</v>
      </c>
      <c r="BQ84">
        <f>IF((AND(VLOOKUP(BQ$1,main!$A$3:$H$102,5,FALSE)-VLOOKUP($A84,main!$A$3:$H$102,6,FALSE)&gt;=(VLOOKUP(VLOOKUP(BQ$1,main!$A$3:$H$102,8,FALSE),main!$K$26:$M$29,2,FALSE)+VLOOKUP(VLOOKUP(BQ$1,main!$A$3:$H$102,7,FALSE),main!$K$19:$O$22,MATCH(VLOOKUP($A84,main!$A$3:$H$102,8,FALSE),main!$K$18:$O$18,0))))),1,0)</f>
        <v>0</v>
      </c>
      <c r="BR84">
        <f>IF((AND(VLOOKUP(BR$1,main!$A$3:$H$102,5,FALSE)-VLOOKUP($A84,main!$A$3:$H$102,6,FALSE)&gt;=(VLOOKUP(VLOOKUP(BR$1,main!$A$3:$H$102,8,FALSE),main!$K$26:$M$29,2,FALSE)+VLOOKUP(VLOOKUP(BR$1,main!$A$3:$H$102,7,FALSE),main!$K$19:$O$22,MATCH(VLOOKUP($A84,main!$A$3:$H$102,8,FALSE),main!$K$18:$O$18,0))))),1,0)</f>
        <v>0</v>
      </c>
      <c r="BS84">
        <f>IF((AND(VLOOKUP(BS$1,main!$A$3:$H$102,5,FALSE)-VLOOKUP($A84,main!$A$3:$H$102,6,FALSE)&gt;=(VLOOKUP(VLOOKUP(BS$1,main!$A$3:$H$102,8,FALSE),main!$K$26:$M$29,2,FALSE)+VLOOKUP(VLOOKUP(BS$1,main!$A$3:$H$102,7,FALSE),main!$K$19:$O$22,MATCH(VLOOKUP($A84,main!$A$3:$H$102,8,FALSE),main!$K$18:$O$18,0))))),1,0)</f>
        <v>0</v>
      </c>
      <c r="BT84">
        <f>IF((AND(VLOOKUP(BT$1,main!$A$3:$H$102,5,FALSE)-VLOOKUP($A84,main!$A$3:$H$102,6,FALSE)&gt;=(VLOOKUP(VLOOKUP(BT$1,main!$A$3:$H$102,8,FALSE),main!$K$26:$M$29,2,FALSE)+VLOOKUP(VLOOKUP(BT$1,main!$A$3:$H$102,7,FALSE),main!$K$19:$O$22,MATCH(VLOOKUP($A84,main!$A$3:$H$102,8,FALSE),main!$K$18:$O$18,0))))),1,0)</f>
        <v>0</v>
      </c>
      <c r="BU84">
        <f>IF((AND(VLOOKUP(BU$1,main!$A$3:$H$102,5,FALSE)-VLOOKUP($A84,main!$A$3:$H$102,6,FALSE)&gt;=(VLOOKUP(VLOOKUP(BU$1,main!$A$3:$H$102,8,FALSE),main!$K$26:$M$29,2,FALSE)+VLOOKUP(VLOOKUP(BU$1,main!$A$3:$H$102,7,FALSE),main!$K$19:$O$22,MATCH(VLOOKUP($A84,main!$A$3:$H$102,8,FALSE),main!$K$18:$O$18,0))))),1,0)</f>
        <v>0</v>
      </c>
      <c r="BV84">
        <f>IF((AND(VLOOKUP(BV$1,main!$A$3:$H$102,5,FALSE)-VLOOKUP($A84,main!$A$3:$H$102,6,FALSE)&gt;=(VLOOKUP(VLOOKUP(BV$1,main!$A$3:$H$102,8,FALSE),main!$K$26:$M$29,2,FALSE)+VLOOKUP(VLOOKUP(BV$1,main!$A$3:$H$102,7,FALSE),main!$K$19:$O$22,MATCH(VLOOKUP($A84,main!$A$3:$H$102,8,FALSE),main!$K$18:$O$18,0))))),1,0)</f>
        <v>0</v>
      </c>
      <c r="BW84">
        <f>IF((AND(VLOOKUP(BW$1,main!$A$3:$H$102,5,FALSE)-VLOOKUP($A84,main!$A$3:$H$102,6,FALSE)&gt;=(VLOOKUP(VLOOKUP(BW$1,main!$A$3:$H$102,8,FALSE),main!$K$26:$M$29,2,FALSE)+VLOOKUP(VLOOKUP(BW$1,main!$A$3:$H$102,7,FALSE),main!$K$19:$O$22,MATCH(VLOOKUP($A84,main!$A$3:$H$102,8,FALSE),main!$K$18:$O$18,0))))),1,0)</f>
        <v>0</v>
      </c>
      <c r="BX84">
        <f>IF((AND(VLOOKUP(BX$1,main!$A$3:$H$102,5,FALSE)-VLOOKUP($A84,main!$A$3:$H$102,6,FALSE)&gt;=(VLOOKUP(VLOOKUP(BX$1,main!$A$3:$H$102,8,FALSE),main!$K$26:$M$29,2,FALSE)+VLOOKUP(VLOOKUP(BX$1,main!$A$3:$H$102,7,FALSE),main!$K$19:$O$22,MATCH(VLOOKUP($A84,main!$A$3:$H$102,8,FALSE),main!$K$18:$O$18,0))))),1,0)</f>
        <v>0</v>
      </c>
      <c r="BY84">
        <f>IF((AND(VLOOKUP(BY$1,main!$A$3:$H$102,5,FALSE)-VLOOKUP($A84,main!$A$3:$H$102,6,FALSE)&gt;=(VLOOKUP(VLOOKUP(BY$1,main!$A$3:$H$102,8,FALSE),main!$K$26:$M$29,2,FALSE)+VLOOKUP(VLOOKUP(BY$1,main!$A$3:$H$102,7,FALSE),main!$K$19:$O$22,MATCH(VLOOKUP($A84,main!$A$3:$H$102,8,FALSE),main!$K$18:$O$18,0))))),1,0)</f>
        <v>0</v>
      </c>
      <c r="BZ84">
        <f>IF((AND(VLOOKUP(BZ$1,main!$A$3:$H$102,5,FALSE)-VLOOKUP($A84,main!$A$3:$H$102,6,FALSE)&gt;=(VLOOKUP(VLOOKUP(BZ$1,main!$A$3:$H$102,8,FALSE),main!$K$26:$M$29,2,FALSE)+VLOOKUP(VLOOKUP(BZ$1,main!$A$3:$H$102,7,FALSE),main!$K$19:$O$22,MATCH(VLOOKUP($A84,main!$A$3:$H$102,8,FALSE),main!$K$18:$O$18,0))))),1,0)</f>
        <v>0</v>
      </c>
      <c r="CA84">
        <f>IF((AND(VLOOKUP(CA$1,main!$A$3:$H$102,5,FALSE)-VLOOKUP($A84,main!$A$3:$H$102,6,FALSE)&gt;=(VLOOKUP(VLOOKUP(CA$1,main!$A$3:$H$102,8,FALSE),main!$K$26:$M$29,2,FALSE)+VLOOKUP(VLOOKUP(CA$1,main!$A$3:$H$102,7,FALSE),main!$K$19:$O$22,MATCH(VLOOKUP($A84,main!$A$3:$H$102,8,FALSE),main!$K$18:$O$18,0))))),1,0)</f>
        <v>0</v>
      </c>
      <c r="CB84">
        <f>IF((AND(VLOOKUP(CB$1,main!$A$3:$H$102,5,FALSE)-VLOOKUP($A84,main!$A$3:$H$102,6,FALSE)&gt;=(VLOOKUP(VLOOKUP(CB$1,main!$A$3:$H$102,8,FALSE),main!$K$26:$M$29,2,FALSE)+VLOOKUP(VLOOKUP(CB$1,main!$A$3:$H$102,7,FALSE),main!$K$19:$O$22,MATCH(VLOOKUP($A84,main!$A$3:$H$102,8,FALSE),main!$K$18:$O$18,0))))),1,0)</f>
        <v>0</v>
      </c>
      <c r="CC84">
        <f>IF((AND(VLOOKUP(CC$1,main!$A$3:$H$102,5,FALSE)-VLOOKUP($A84,main!$A$3:$H$102,6,FALSE)&gt;=(VLOOKUP(VLOOKUP(CC$1,main!$A$3:$H$102,8,FALSE),main!$K$26:$M$29,2,FALSE)+VLOOKUP(VLOOKUP(CC$1,main!$A$3:$H$102,7,FALSE),main!$K$19:$O$22,MATCH(VLOOKUP($A84,main!$A$3:$H$102,8,FALSE),main!$K$18:$O$18,0))))),1,0)</f>
        <v>1</v>
      </c>
      <c r="CD84">
        <f>IF((AND(VLOOKUP(CD$1,main!$A$3:$H$102,5,FALSE)-VLOOKUP($A84,main!$A$3:$H$102,6,FALSE)&gt;=(VLOOKUP(VLOOKUP(CD$1,main!$A$3:$H$102,8,FALSE),main!$K$26:$M$29,2,FALSE)+VLOOKUP(VLOOKUP(CD$1,main!$A$3:$H$102,7,FALSE),main!$K$19:$O$22,MATCH(VLOOKUP($A84,main!$A$3:$H$102,8,FALSE),main!$K$18:$O$18,0))))),1,0)</f>
        <v>0</v>
      </c>
      <c r="CE84">
        <f>IF((AND(VLOOKUP(CE$1,main!$A$3:$H$102,5,FALSE)-VLOOKUP($A84,main!$A$3:$H$102,6,FALSE)&gt;=(VLOOKUP(VLOOKUP(CE$1,main!$A$3:$H$102,8,FALSE),main!$K$26:$M$29,2,FALSE)+VLOOKUP(VLOOKUP(CE$1,main!$A$3:$H$102,7,FALSE),main!$K$19:$O$22,MATCH(VLOOKUP($A84,main!$A$3:$H$102,8,FALSE),main!$K$18:$O$18,0))))),1,0)</f>
        <v>0</v>
      </c>
      <c r="CF84">
        <f>IF((AND(VLOOKUP(CF$1,main!$A$3:$H$102,5,FALSE)-VLOOKUP($A84,main!$A$3:$H$102,6,FALSE)&gt;=(VLOOKUP(VLOOKUP(CF$1,main!$A$3:$H$102,8,FALSE),main!$K$26:$M$29,2,FALSE)+VLOOKUP(VLOOKUP(CF$1,main!$A$3:$H$102,7,FALSE),main!$K$19:$O$22,MATCH(VLOOKUP($A84,main!$A$3:$H$102,8,FALSE),main!$K$18:$O$18,0))))),1,0)</f>
        <v>0</v>
      </c>
      <c r="CG84">
        <f>IF((AND(VLOOKUP(CG$1,main!$A$3:$H$102,5,FALSE)-VLOOKUP($A84,main!$A$3:$H$102,6,FALSE)&gt;=(VLOOKUP(VLOOKUP(CG$1,main!$A$3:$H$102,8,FALSE),main!$K$26:$M$29,2,FALSE)+VLOOKUP(VLOOKUP(CG$1,main!$A$3:$H$102,7,FALSE),main!$K$19:$O$22,MATCH(VLOOKUP($A84,main!$A$3:$H$102,8,FALSE),main!$K$18:$O$18,0))))),1,0)</f>
        <v>0</v>
      </c>
      <c r="CH84">
        <f>IF((AND(VLOOKUP(CH$1,main!$A$3:$H$102,5,FALSE)-VLOOKUP($A84,main!$A$3:$H$102,6,FALSE)&gt;=(VLOOKUP(VLOOKUP(CH$1,main!$A$3:$H$102,8,FALSE),main!$K$26:$M$29,2,FALSE)+VLOOKUP(VLOOKUP(CH$1,main!$A$3:$H$102,7,FALSE),main!$K$19:$O$22,MATCH(VLOOKUP($A84,main!$A$3:$H$102,8,FALSE),main!$K$18:$O$18,0))))),1,0)</f>
        <v>1</v>
      </c>
      <c r="CI84">
        <f>IF((AND(VLOOKUP(CI$1,main!$A$3:$H$102,5,FALSE)-VLOOKUP($A84,main!$A$3:$H$102,6,FALSE)&gt;=(VLOOKUP(VLOOKUP(CI$1,main!$A$3:$H$102,8,FALSE),main!$K$26:$M$29,2,FALSE)+VLOOKUP(VLOOKUP(CI$1,main!$A$3:$H$102,7,FALSE),main!$K$19:$O$22,MATCH(VLOOKUP($A84,main!$A$3:$H$102,8,FALSE),main!$K$18:$O$18,0))))),1,0)</f>
        <v>1</v>
      </c>
      <c r="CJ84">
        <f>IF((AND(VLOOKUP(CJ$1,main!$A$3:$H$102,5,FALSE)-VLOOKUP($A84,main!$A$3:$H$102,6,FALSE)&gt;=(VLOOKUP(VLOOKUP(CJ$1,main!$A$3:$H$102,8,FALSE),main!$K$26:$M$29,2,FALSE)+VLOOKUP(VLOOKUP(CJ$1,main!$A$3:$H$102,7,FALSE),main!$K$19:$O$22,MATCH(VLOOKUP($A84,main!$A$3:$H$102,8,FALSE),main!$K$18:$O$18,0))))),1,0)</f>
        <v>0</v>
      </c>
      <c r="CK84">
        <f>IF((AND(VLOOKUP(CK$1,main!$A$3:$H$102,5,FALSE)-VLOOKUP($A84,main!$A$3:$H$102,6,FALSE)&gt;=(VLOOKUP(VLOOKUP(CK$1,main!$A$3:$H$102,8,FALSE),main!$K$26:$M$29,2,FALSE)+VLOOKUP(VLOOKUP(CK$1,main!$A$3:$H$102,7,FALSE),main!$K$19:$O$22,MATCH(VLOOKUP($A84,main!$A$3:$H$102,8,FALSE),main!$K$18:$O$18,0))))),1,0)</f>
        <v>0</v>
      </c>
      <c r="CL84">
        <f>IF((AND(VLOOKUP(CL$1,main!$A$3:$H$102,5,FALSE)-VLOOKUP($A84,main!$A$3:$H$102,6,FALSE)&gt;=(VLOOKUP(VLOOKUP(CL$1,main!$A$3:$H$102,8,FALSE),main!$K$26:$M$29,2,FALSE)+VLOOKUP(VLOOKUP(CL$1,main!$A$3:$H$102,7,FALSE),main!$K$19:$O$22,MATCH(VLOOKUP($A84,main!$A$3:$H$102,8,FALSE),main!$K$18:$O$18,0))))),1,0)</f>
        <v>0</v>
      </c>
      <c r="CM84">
        <f>IF((AND(VLOOKUP(CM$1,main!$A$3:$H$102,5,FALSE)-VLOOKUP($A84,main!$A$3:$H$102,6,FALSE)&gt;=(VLOOKUP(VLOOKUP(CM$1,main!$A$3:$H$102,8,FALSE),main!$K$26:$M$29,2,FALSE)+VLOOKUP(VLOOKUP(CM$1,main!$A$3:$H$102,7,FALSE),main!$K$19:$O$22,MATCH(VLOOKUP($A84,main!$A$3:$H$102,8,FALSE),main!$K$18:$O$18,0))))),1,0)</f>
        <v>1</v>
      </c>
      <c r="CN84">
        <f>IF((AND(VLOOKUP(CN$1,main!$A$3:$H$102,5,FALSE)-VLOOKUP($A84,main!$A$3:$H$102,6,FALSE)&gt;=(VLOOKUP(VLOOKUP(CN$1,main!$A$3:$H$102,8,FALSE),main!$K$26:$M$29,2,FALSE)+VLOOKUP(VLOOKUP(CN$1,main!$A$3:$H$102,7,FALSE),main!$K$19:$O$22,MATCH(VLOOKUP($A84,main!$A$3:$H$102,8,FALSE),main!$K$18:$O$18,0))))),1,0)</f>
        <v>1</v>
      </c>
      <c r="CO84">
        <f>IF((AND(VLOOKUP(CO$1,main!$A$3:$H$102,5,FALSE)-VLOOKUP($A84,main!$A$3:$H$102,6,FALSE)&gt;=(VLOOKUP(VLOOKUP(CO$1,main!$A$3:$H$102,8,FALSE),main!$K$26:$M$29,2,FALSE)+VLOOKUP(VLOOKUP(CO$1,main!$A$3:$H$102,7,FALSE),main!$K$19:$O$22,MATCH(VLOOKUP($A84,main!$A$3:$H$102,8,FALSE),main!$K$18:$O$18,0))))),1,0)</f>
        <v>0</v>
      </c>
      <c r="CP84">
        <f>IF((AND(VLOOKUP(CP$1,main!$A$3:$H$102,5,FALSE)-VLOOKUP($A84,main!$A$3:$H$102,6,FALSE)&gt;=(VLOOKUP(VLOOKUP(CP$1,main!$A$3:$H$102,8,FALSE),main!$K$26:$M$29,2,FALSE)+VLOOKUP(VLOOKUP(CP$1,main!$A$3:$H$102,7,FALSE),main!$K$19:$O$22,MATCH(VLOOKUP($A84,main!$A$3:$H$102,8,FALSE),main!$K$18:$O$18,0))))),1,0)</f>
        <v>0</v>
      </c>
      <c r="CQ84">
        <f>IF((AND(VLOOKUP(CQ$1,main!$A$3:$H$102,5,FALSE)-VLOOKUP($A84,main!$A$3:$H$102,6,FALSE)&gt;=(VLOOKUP(VLOOKUP(CQ$1,main!$A$3:$H$102,8,FALSE),main!$K$26:$M$29,2,FALSE)+VLOOKUP(VLOOKUP(CQ$1,main!$A$3:$H$102,7,FALSE),main!$K$19:$O$22,MATCH(VLOOKUP($A84,main!$A$3:$H$102,8,FALSE),main!$K$18:$O$18,0))))),1,0)</f>
        <v>0</v>
      </c>
      <c r="CR84">
        <f>IF((AND(VLOOKUP(CR$1,main!$A$3:$H$102,5,FALSE)-VLOOKUP($A84,main!$A$3:$H$102,6,FALSE)&gt;=(VLOOKUP(VLOOKUP(CR$1,main!$A$3:$H$102,8,FALSE),main!$K$26:$M$29,2,FALSE)+VLOOKUP(VLOOKUP(CR$1,main!$A$3:$H$102,7,FALSE),main!$K$19:$O$22,MATCH(VLOOKUP($A84,main!$A$3:$H$102,8,FALSE),main!$K$18:$O$18,0))))),1,0)</f>
        <v>1</v>
      </c>
      <c r="CS84">
        <f>IF((AND(VLOOKUP(CS$1,main!$A$3:$H$102,5,FALSE)-VLOOKUP($A84,main!$A$3:$H$102,6,FALSE)&gt;=(VLOOKUP(VLOOKUP(CS$1,main!$A$3:$H$102,8,FALSE),main!$K$26:$M$29,2,FALSE)+VLOOKUP(VLOOKUP(CS$1,main!$A$3:$H$102,7,FALSE),main!$K$19:$O$22,MATCH(VLOOKUP($A84,main!$A$3:$H$102,8,FALSE),main!$K$18:$O$18,0))))),1,0)</f>
        <v>1</v>
      </c>
      <c r="CT84">
        <f>IF((AND(VLOOKUP(CT$1,main!$A$3:$H$102,5,FALSE)-VLOOKUP($A84,main!$A$3:$H$102,6,FALSE)&gt;=(VLOOKUP(VLOOKUP(CT$1,main!$A$3:$H$102,8,FALSE),main!$K$26:$M$29,2,FALSE)+VLOOKUP(VLOOKUP(CT$1,main!$A$3:$H$102,7,FALSE),main!$K$19:$O$22,MATCH(VLOOKUP($A84,main!$A$3:$H$102,8,FALSE),main!$K$18:$O$18,0))))),1,0)</f>
        <v>0</v>
      </c>
      <c r="CU84">
        <f>IF((AND(VLOOKUP(CU$1,main!$A$3:$H$102,5,FALSE)-VLOOKUP($A84,main!$A$3:$H$102,6,FALSE)&gt;=(VLOOKUP(VLOOKUP(CU$1,main!$A$3:$H$102,8,FALSE),main!$K$26:$M$29,2,FALSE)+VLOOKUP(VLOOKUP(CU$1,main!$A$3:$H$102,7,FALSE),main!$K$19:$O$22,MATCH(VLOOKUP($A84,main!$A$3:$H$102,8,FALSE),main!$K$18:$O$18,0))))),1,0)</f>
        <v>0</v>
      </c>
      <c r="CV84">
        <f>IF((AND(VLOOKUP(CV$1,main!$A$3:$H$102,5,FALSE)-VLOOKUP($A84,main!$A$3:$H$102,6,FALSE)&gt;=(VLOOKUP(VLOOKUP(CV$1,main!$A$3:$H$102,8,FALSE),main!$K$26:$M$29,2,FALSE)+VLOOKUP(VLOOKUP(CV$1,main!$A$3:$H$102,7,FALSE),main!$K$19:$O$22,MATCH(VLOOKUP($A84,main!$A$3:$H$102,8,FALSE),main!$K$18:$O$18,0))))),1,0)</f>
        <v>0</v>
      </c>
      <c r="CW84">
        <f>IF((AND(VLOOKUP(CW$1,main!$A$3:$H$102,5,FALSE)-VLOOKUP($A84,main!$A$3:$H$102,6,FALSE)&gt;=(VLOOKUP(VLOOKUP(CW$1,main!$A$3:$H$102,8,FALSE),main!$K$26:$M$29,2,FALSE)+VLOOKUP(VLOOKUP(CW$1,main!$A$3:$H$102,7,FALSE),main!$K$19:$O$22,MATCH(VLOOKUP($A84,main!$A$3:$H$102,8,FALSE),main!$K$18:$O$18,0))))),1,0)</f>
        <v>1</v>
      </c>
      <c r="CX84">
        <f>IF((AND(VLOOKUP(CX$1,main!$A$3:$H$102,5,FALSE)-VLOOKUP($A84,main!$A$3:$H$102,6,FALSE)&gt;=(VLOOKUP(VLOOKUP(CX$1,main!$A$3:$H$102,8,FALSE),main!$K$26:$M$29,2,FALSE)+VLOOKUP(VLOOKUP(CX$1,main!$A$3:$H$102,7,FALSE),main!$K$19:$O$22,MATCH(VLOOKUP($A84,main!$A$3:$H$102,8,FALSE),main!$K$18:$O$18,0))))),1,0)</f>
        <v>1</v>
      </c>
    </row>
    <row r="85" spans="1:102" x14ac:dyDescent="0.25">
      <c r="A85" s="1">
        <v>83</v>
      </c>
      <c r="B85">
        <v>1</v>
      </c>
      <c r="C85">
        <f>IF((AND(VLOOKUP(C$1,main!$A$3:$H$102,5,FALSE)-VLOOKUP($A85,main!$A$3:$H$102,6,FALSE)&gt;=(VLOOKUP(VLOOKUP(C$1,main!$A$3:$H$102,8,FALSE),main!$K$26:$M$29,2,FALSE)+VLOOKUP(VLOOKUP(C$1,main!$A$3:$H$102,7,FALSE),main!$K$19:$O$22,MATCH(VLOOKUP($A85,main!$A$3:$H$102,8,FALSE),main!$K$18:$O$18,0))))),1,0)</f>
        <v>0</v>
      </c>
      <c r="D85">
        <f>IF((AND(VLOOKUP(D$1,main!$A$3:$H$102,5,FALSE)-VLOOKUP($A85,main!$A$3:$H$102,6,FALSE)&gt;=(VLOOKUP(VLOOKUP(D$1,main!$A$3:$H$102,8,FALSE),main!$K$26:$M$29,2,FALSE)+VLOOKUP(VLOOKUP(D$1,main!$A$3:$H$102,7,FALSE),main!$K$19:$O$22,MATCH(VLOOKUP($A85,main!$A$3:$H$102,8,FALSE),main!$K$18:$O$18,0))))),1,0)</f>
        <v>0</v>
      </c>
      <c r="E85">
        <f>IF((AND(VLOOKUP(E$1,main!$A$3:$H$102,5,FALSE)-VLOOKUP($A85,main!$A$3:$H$102,6,FALSE)&gt;=(VLOOKUP(VLOOKUP(E$1,main!$A$3:$H$102,8,FALSE),main!$K$26:$M$29,2,FALSE)+VLOOKUP(VLOOKUP(E$1,main!$A$3:$H$102,7,FALSE),main!$K$19:$O$22,MATCH(VLOOKUP($A85,main!$A$3:$H$102,8,FALSE),main!$K$18:$O$18,0))))),1,0)</f>
        <v>0</v>
      </c>
      <c r="F85">
        <f>IF((AND(VLOOKUP(F$1,main!$A$3:$H$102,5,FALSE)-VLOOKUP($A85,main!$A$3:$H$102,6,FALSE)&gt;=(VLOOKUP(VLOOKUP(F$1,main!$A$3:$H$102,8,FALSE),main!$K$26:$M$29,2,FALSE)+VLOOKUP(VLOOKUP(F$1,main!$A$3:$H$102,7,FALSE),main!$K$19:$O$22,MATCH(VLOOKUP($A85,main!$A$3:$H$102,8,FALSE),main!$K$18:$O$18,0))))),1,0)</f>
        <v>0</v>
      </c>
      <c r="G85">
        <f>IF((AND(VLOOKUP(G$1,main!$A$3:$H$102,5,FALSE)-VLOOKUP($A85,main!$A$3:$H$102,6,FALSE)&gt;=(VLOOKUP(VLOOKUP(G$1,main!$A$3:$H$102,8,FALSE),main!$K$26:$M$29,2,FALSE)+VLOOKUP(VLOOKUP(G$1,main!$A$3:$H$102,7,FALSE),main!$K$19:$O$22,MATCH(VLOOKUP($A85,main!$A$3:$H$102,8,FALSE),main!$K$18:$O$18,0))))),1,0)</f>
        <v>0</v>
      </c>
      <c r="H85">
        <f>IF((AND(VLOOKUP(H$1,main!$A$3:$H$102,5,FALSE)-VLOOKUP($A85,main!$A$3:$H$102,6,FALSE)&gt;=(VLOOKUP(VLOOKUP(H$1,main!$A$3:$H$102,8,FALSE),main!$K$26:$M$29,2,FALSE)+VLOOKUP(VLOOKUP(H$1,main!$A$3:$H$102,7,FALSE),main!$K$19:$O$22,MATCH(VLOOKUP($A85,main!$A$3:$H$102,8,FALSE),main!$K$18:$O$18,0))))),1,0)</f>
        <v>0</v>
      </c>
      <c r="I85">
        <f>IF((AND(VLOOKUP(I$1,main!$A$3:$H$102,5,FALSE)-VLOOKUP($A85,main!$A$3:$H$102,6,FALSE)&gt;=(VLOOKUP(VLOOKUP(I$1,main!$A$3:$H$102,8,FALSE),main!$K$26:$M$29,2,FALSE)+VLOOKUP(VLOOKUP(I$1,main!$A$3:$H$102,7,FALSE),main!$K$19:$O$22,MATCH(VLOOKUP($A85,main!$A$3:$H$102,8,FALSE),main!$K$18:$O$18,0))))),1,0)</f>
        <v>1</v>
      </c>
      <c r="J85">
        <f>IF((AND(VLOOKUP(J$1,main!$A$3:$H$102,5,FALSE)-VLOOKUP($A85,main!$A$3:$H$102,6,FALSE)&gt;=(VLOOKUP(VLOOKUP(J$1,main!$A$3:$H$102,8,FALSE),main!$K$26:$M$29,2,FALSE)+VLOOKUP(VLOOKUP(J$1,main!$A$3:$H$102,7,FALSE),main!$K$19:$O$22,MATCH(VLOOKUP($A85,main!$A$3:$H$102,8,FALSE),main!$K$18:$O$18,0))))),1,0)</f>
        <v>1</v>
      </c>
      <c r="K85">
        <f>IF((AND(VLOOKUP(K$1,main!$A$3:$H$102,5,FALSE)-VLOOKUP($A85,main!$A$3:$H$102,6,FALSE)&gt;=(VLOOKUP(VLOOKUP(K$1,main!$A$3:$H$102,8,FALSE),main!$K$26:$M$29,2,FALSE)+VLOOKUP(VLOOKUP(K$1,main!$A$3:$H$102,7,FALSE),main!$K$19:$O$22,MATCH(VLOOKUP($A85,main!$A$3:$H$102,8,FALSE),main!$K$18:$O$18,0))))),1,0)</f>
        <v>1</v>
      </c>
      <c r="L85">
        <f>IF((AND(VLOOKUP(L$1,main!$A$3:$H$102,5,FALSE)-VLOOKUP($A85,main!$A$3:$H$102,6,FALSE)&gt;=(VLOOKUP(VLOOKUP(L$1,main!$A$3:$H$102,8,FALSE),main!$K$26:$M$29,2,FALSE)+VLOOKUP(VLOOKUP(L$1,main!$A$3:$H$102,7,FALSE),main!$K$19:$O$22,MATCH(VLOOKUP($A85,main!$A$3:$H$102,8,FALSE),main!$K$18:$O$18,0))))),1,0)</f>
        <v>1</v>
      </c>
      <c r="M85">
        <f>IF((AND(VLOOKUP(M$1,main!$A$3:$H$102,5,FALSE)-VLOOKUP($A85,main!$A$3:$H$102,6,FALSE)&gt;=(VLOOKUP(VLOOKUP(M$1,main!$A$3:$H$102,8,FALSE),main!$K$26:$M$29,2,FALSE)+VLOOKUP(VLOOKUP(M$1,main!$A$3:$H$102,7,FALSE),main!$K$19:$O$22,MATCH(VLOOKUP($A85,main!$A$3:$H$102,8,FALSE),main!$K$18:$O$18,0))))),1,0)</f>
        <v>0</v>
      </c>
      <c r="N85">
        <f>IF((AND(VLOOKUP(N$1,main!$A$3:$H$102,5,FALSE)-VLOOKUP($A85,main!$A$3:$H$102,6,FALSE)&gt;=(VLOOKUP(VLOOKUP(N$1,main!$A$3:$H$102,8,FALSE),main!$K$26:$M$29,2,FALSE)+VLOOKUP(VLOOKUP(N$1,main!$A$3:$H$102,7,FALSE),main!$K$19:$O$22,MATCH(VLOOKUP($A85,main!$A$3:$H$102,8,FALSE),main!$K$18:$O$18,0))))),1,0)</f>
        <v>0</v>
      </c>
      <c r="O85">
        <f>IF((AND(VLOOKUP(O$1,main!$A$3:$H$102,5,FALSE)-VLOOKUP($A85,main!$A$3:$H$102,6,FALSE)&gt;=(VLOOKUP(VLOOKUP(O$1,main!$A$3:$H$102,8,FALSE),main!$K$26:$M$29,2,FALSE)+VLOOKUP(VLOOKUP(O$1,main!$A$3:$H$102,7,FALSE),main!$K$19:$O$22,MATCH(VLOOKUP($A85,main!$A$3:$H$102,8,FALSE),main!$K$18:$O$18,0))))),1,0)</f>
        <v>0</v>
      </c>
      <c r="P85">
        <f>IF((AND(VLOOKUP(P$1,main!$A$3:$H$102,5,FALSE)-VLOOKUP($A85,main!$A$3:$H$102,6,FALSE)&gt;=(VLOOKUP(VLOOKUP(P$1,main!$A$3:$H$102,8,FALSE),main!$K$26:$M$29,2,FALSE)+VLOOKUP(VLOOKUP(P$1,main!$A$3:$H$102,7,FALSE),main!$K$19:$O$22,MATCH(VLOOKUP($A85,main!$A$3:$H$102,8,FALSE),main!$K$18:$O$18,0))))),1,0)</f>
        <v>0</v>
      </c>
      <c r="Q85">
        <f>IF((AND(VLOOKUP(Q$1,main!$A$3:$H$102,5,FALSE)-VLOOKUP($A85,main!$A$3:$H$102,6,FALSE)&gt;=(VLOOKUP(VLOOKUP(Q$1,main!$A$3:$H$102,8,FALSE),main!$K$26:$M$29,2,FALSE)+VLOOKUP(VLOOKUP(Q$1,main!$A$3:$H$102,7,FALSE),main!$K$19:$O$22,MATCH(VLOOKUP($A85,main!$A$3:$H$102,8,FALSE),main!$K$18:$O$18,0))))),1,0)</f>
        <v>0</v>
      </c>
      <c r="R85">
        <f>IF((AND(VLOOKUP(R$1,main!$A$3:$H$102,5,FALSE)-VLOOKUP($A85,main!$A$3:$H$102,6,FALSE)&gt;=(VLOOKUP(VLOOKUP(R$1,main!$A$3:$H$102,8,FALSE),main!$K$26:$M$29,2,FALSE)+VLOOKUP(VLOOKUP(R$1,main!$A$3:$H$102,7,FALSE),main!$K$19:$O$22,MATCH(VLOOKUP($A85,main!$A$3:$H$102,8,FALSE),main!$K$18:$O$18,0))))),1,0)</f>
        <v>0</v>
      </c>
      <c r="S85">
        <f>IF((AND(VLOOKUP(S$1,main!$A$3:$H$102,5,FALSE)-VLOOKUP($A85,main!$A$3:$H$102,6,FALSE)&gt;=(VLOOKUP(VLOOKUP(S$1,main!$A$3:$H$102,8,FALSE),main!$K$26:$M$29,2,FALSE)+VLOOKUP(VLOOKUP(S$1,main!$A$3:$H$102,7,FALSE),main!$K$19:$O$22,MATCH(VLOOKUP($A85,main!$A$3:$H$102,8,FALSE),main!$K$18:$O$18,0))))),1,0)</f>
        <v>0</v>
      </c>
      <c r="T85">
        <f>IF((AND(VLOOKUP(T$1,main!$A$3:$H$102,5,FALSE)-VLOOKUP($A85,main!$A$3:$H$102,6,FALSE)&gt;=(VLOOKUP(VLOOKUP(T$1,main!$A$3:$H$102,8,FALSE),main!$K$26:$M$29,2,FALSE)+VLOOKUP(VLOOKUP(T$1,main!$A$3:$H$102,7,FALSE),main!$K$19:$O$22,MATCH(VLOOKUP($A85,main!$A$3:$H$102,8,FALSE),main!$K$18:$O$18,0))))),1,0)</f>
        <v>1</v>
      </c>
      <c r="U85">
        <f>IF((AND(VLOOKUP(U$1,main!$A$3:$H$102,5,FALSE)-VLOOKUP($A85,main!$A$3:$H$102,6,FALSE)&gt;=(VLOOKUP(VLOOKUP(U$1,main!$A$3:$H$102,8,FALSE),main!$K$26:$M$29,2,FALSE)+VLOOKUP(VLOOKUP(U$1,main!$A$3:$H$102,7,FALSE),main!$K$19:$O$22,MATCH(VLOOKUP($A85,main!$A$3:$H$102,8,FALSE),main!$K$18:$O$18,0))))),1,0)</f>
        <v>1</v>
      </c>
      <c r="V85">
        <f>IF((AND(VLOOKUP(V$1,main!$A$3:$H$102,5,FALSE)-VLOOKUP($A85,main!$A$3:$H$102,6,FALSE)&gt;=(VLOOKUP(VLOOKUP(V$1,main!$A$3:$H$102,8,FALSE),main!$K$26:$M$29,2,FALSE)+VLOOKUP(VLOOKUP(V$1,main!$A$3:$H$102,7,FALSE),main!$K$19:$O$22,MATCH(VLOOKUP($A85,main!$A$3:$H$102,8,FALSE),main!$K$18:$O$18,0))))),1,0)</f>
        <v>1</v>
      </c>
      <c r="W85">
        <f>IF((AND(VLOOKUP(W$1,main!$A$3:$H$102,5,FALSE)-VLOOKUP($A85,main!$A$3:$H$102,6,FALSE)&gt;=(VLOOKUP(VLOOKUP(W$1,main!$A$3:$H$102,8,FALSE),main!$K$26:$M$29,2,FALSE)+VLOOKUP(VLOOKUP(W$1,main!$A$3:$H$102,7,FALSE),main!$K$19:$O$22,MATCH(VLOOKUP($A85,main!$A$3:$H$102,8,FALSE),main!$K$18:$O$18,0))))),1,0)</f>
        <v>0</v>
      </c>
      <c r="X85">
        <f>IF((AND(VLOOKUP(X$1,main!$A$3:$H$102,5,FALSE)-VLOOKUP($A85,main!$A$3:$H$102,6,FALSE)&gt;=(VLOOKUP(VLOOKUP(X$1,main!$A$3:$H$102,8,FALSE),main!$K$26:$M$29,2,FALSE)+VLOOKUP(VLOOKUP(X$1,main!$A$3:$H$102,7,FALSE),main!$K$19:$O$22,MATCH(VLOOKUP($A85,main!$A$3:$H$102,8,FALSE),main!$K$18:$O$18,0))))),1,0)</f>
        <v>0</v>
      </c>
      <c r="Y85">
        <f>IF((AND(VLOOKUP(Y$1,main!$A$3:$H$102,5,FALSE)-VLOOKUP($A85,main!$A$3:$H$102,6,FALSE)&gt;=(VLOOKUP(VLOOKUP(Y$1,main!$A$3:$H$102,8,FALSE),main!$K$26:$M$29,2,FALSE)+VLOOKUP(VLOOKUP(Y$1,main!$A$3:$H$102,7,FALSE),main!$K$19:$O$22,MATCH(VLOOKUP($A85,main!$A$3:$H$102,8,FALSE),main!$K$18:$O$18,0))))),1,0)</f>
        <v>0</v>
      </c>
      <c r="Z85">
        <f>IF((AND(VLOOKUP(Z$1,main!$A$3:$H$102,5,FALSE)-VLOOKUP($A85,main!$A$3:$H$102,6,FALSE)&gt;=(VLOOKUP(VLOOKUP(Z$1,main!$A$3:$H$102,8,FALSE),main!$K$26:$M$29,2,FALSE)+VLOOKUP(VLOOKUP(Z$1,main!$A$3:$H$102,7,FALSE),main!$K$19:$O$22,MATCH(VLOOKUP($A85,main!$A$3:$H$102,8,FALSE),main!$K$18:$O$18,0))))),1,0)</f>
        <v>1</v>
      </c>
      <c r="AA85">
        <f>IF((AND(VLOOKUP(AA$1,main!$A$3:$H$102,5,FALSE)-VLOOKUP($A85,main!$A$3:$H$102,6,FALSE)&gt;=(VLOOKUP(VLOOKUP(AA$1,main!$A$3:$H$102,8,FALSE),main!$K$26:$M$29,2,FALSE)+VLOOKUP(VLOOKUP(AA$1,main!$A$3:$H$102,7,FALSE),main!$K$19:$O$22,MATCH(VLOOKUP($A85,main!$A$3:$H$102,8,FALSE),main!$K$18:$O$18,0))))),1,0)</f>
        <v>1</v>
      </c>
      <c r="AB85">
        <f>IF((AND(VLOOKUP(AB$1,main!$A$3:$H$102,5,FALSE)-VLOOKUP($A85,main!$A$3:$H$102,6,FALSE)&gt;=(VLOOKUP(VLOOKUP(AB$1,main!$A$3:$H$102,8,FALSE),main!$K$26:$M$29,2,FALSE)+VLOOKUP(VLOOKUP(AB$1,main!$A$3:$H$102,7,FALSE),main!$K$19:$O$22,MATCH(VLOOKUP($A85,main!$A$3:$H$102,8,FALSE),main!$K$18:$O$18,0))))),1,0)</f>
        <v>0</v>
      </c>
      <c r="AC85">
        <f>IF((AND(VLOOKUP(AC$1,main!$A$3:$H$102,5,FALSE)-VLOOKUP($A85,main!$A$3:$H$102,6,FALSE)&gt;=(VLOOKUP(VLOOKUP(AC$1,main!$A$3:$H$102,8,FALSE),main!$K$26:$M$29,2,FALSE)+VLOOKUP(VLOOKUP(AC$1,main!$A$3:$H$102,7,FALSE),main!$K$19:$O$22,MATCH(VLOOKUP($A85,main!$A$3:$H$102,8,FALSE),main!$K$18:$O$18,0))))),1,0)</f>
        <v>0</v>
      </c>
      <c r="AD85">
        <f>IF((AND(VLOOKUP(AD$1,main!$A$3:$H$102,5,FALSE)-VLOOKUP($A85,main!$A$3:$H$102,6,FALSE)&gt;=(VLOOKUP(VLOOKUP(AD$1,main!$A$3:$H$102,8,FALSE),main!$K$26:$M$29,2,FALSE)+VLOOKUP(VLOOKUP(AD$1,main!$A$3:$H$102,7,FALSE),main!$K$19:$O$22,MATCH(VLOOKUP($A85,main!$A$3:$H$102,8,FALSE),main!$K$18:$O$18,0))))),1,0)</f>
        <v>0</v>
      </c>
      <c r="AE85">
        <f>IF((AND(VLOOKUP(AE$1,main!$A$3:$H$102,5,FALSE)-VLOOKUP($A85,main!$A$3:$H$102,6,FALSE)&gt;=(VLOOKUP(VLOOKUP(AE$1,main!$A$3:$H$102,8,FALSE),main!$K$26:$M$29,2,FALSE)+VLOOKUP(VLOOKUP(AE$1,main!$A$3:$H$102,7,FALSE),main!$K$19:$O$22,MATCH(VLOOKUP($A85,main!$A$3:$H$102,8,FALSE),main!$K$18:$O$18,0))))),1,0)</f>
        <v>0</v>
      </c>
      <c r="AF85">
        <f>IF((AND(VLOOKUP(AF$1,main!$A$3:$H$102,5,FALSE)-VLOOKUP($A85,main!$A$3:$H$102,6,FALSE)&gt;=(VLOOKUP(VLOOKUP(AF$1,main!$A$3:$H$102,8,FALSE),main!$K$26:$M$29,2,FALSE)+VLOOKUP(VLOOKUP(AF$1,main!$A$3:$H$102,7,FALSE),main!$K$19:$O$22,MATCH(VLOOKUP($A85,main!$A$3:$H$102,8,FALSE),main!$K$18:$O$18,0))))),1,0)</f>
        <v>1</v>
      </c>
      <c r="AG85">
        <f>IF((AND(VLOOKUP(AG$1,main!$A$3:$H$102,5,FALSE)-VLOOKUP($A85,main!$A$3:$H$102,6,FALSE)&gt;=(VLOOKUP(VLOOKUP(AG$1,main!$A$3:$H$102,8,FALSE),main!$K$26:$M$29,2,FALSE)+VLOOKUP(VLOOKUP(AG$1,main!$A$3:$H$102,7,FALSE),main!$K$19:$O$22,MATCH(VLOOKUP($A85,main!$A$3:$H$102,8,FALSE),main!$K$18:$O$18,0))))),1,0)</f>
        <v>0</v>
      </c>
      <c r="AH85">
        <f>IF((AND(VLOOKUP(AH$1,main!$A$3:$H$102,5,FALSE)-VLOOKUP($A85,main!$A$3:$H$102,6,FALSE)&gt;=(VLOOKUP(VLOOKUP(AH$1,main!$A$3:$H$102,8,FALSE),main!$K$26:$M$29,2,FALSE)+VLOOKUP(VLOOKUP(AH$1,main!$A$3:$H$102,7,FALSE),main!$K$19:$O$22,MATCH(VLOOKUP($A85,main!$A$3:$H$102,8,FALSE),main!$K$18:$O$18,0))))),1,0)</f>
        <v>0</v>
      </c>
      <c r="AI85">
        <f>IF((AND(VLOOKUP(AI$1,main!$A$3:$H$102,5,FALSE)-VLOOKUP($A85,main!$A$3:$H$102,6,FALSE)&gt;=(VLOOKUP(VLOOKUP(AI$1,main!$A$3:$H$102,8,FALSE),main!$K$26:$M$29,2,FALSE)+VLOOKUP(VLOOKUP(AI$1,main!$A$3:$H$102,7,FALSE),main!$K$19:$O$22,MATCH(VLOOKUP($A85,main!$A$3:$H$102,8,FALSE),main!$K$18:$O$18,0))))),1,0)</f>
        <v>0</v>
      </c>
      <c r="AJ85">
        <f>IF((AND(VLOOKUP(AJ$1,main!$A$3:$H$102,5,FALSE)-VLOOKUP($A85,main!$A$3:$H$102,6,FALSE)&gt;=(VLOOKUP(VLOOKUP(AJ$1,main!$A$3:$H$102,8,FALSE),main!$K$26:$M$29,2,FALSE)+VLOOKUP(VLOOKUP(AJ$1,main!$A$3:$H$102,7,FALSE),main!$K$19:$O$22,MATCH(VLOOKUP($A85,main!$A$3:$H$102,8,FALSE),main!$K$18:$O$18,0))))),1,0)</f>
        <v>0</v>
      </c>
      <c r="AK85">
        <f>IF((AND(VLOOKUP(AK$1,main!$A$3:$H$102,5,FALSE)-VLOOKUP($A85,main!$A$3:$H$102,6,FALSE)&gt;=(VLOOKUP(VLOOKUP(AK$1,main!$A$3:$H$102,8,FALSE),main!$K$26:$M$29,2,FALSE)+VLOOKUP(VLOOKUP(AK$1,main!$A$3:$H$102,7,FALSE),main!$K$19:$O$22,MATCH(VLOOKUP($A85,main!$A$3:$H$102,8,FALSE),main!$K$18:$O$18,0))))),1,0)</f>
        <v>0</v>
      </c>
      <c r="AL85">
        <f>IF((AND(VLOOKUP(AL$1,main!$A$3:$H$102,5,FALSE)-VLOOKUP($A85,main!$A$3:$H$102,6,FALSE)&gt;=(VLOOKUP(VLOOKUP(AL$1,main!$A$3:$H$102,8,FALSE),main!$K$26:$M$29,2,FALSE)+VLOOKUP(VLOOKUP(AL$1,main!$A$3:$H$102,7,FALSE),main!$K$19:$O$22,MATCH(VLOOKUP($A85,main!$A$3:$H$102,8,FALSE),main!$K$18:$O$18,0))))),1,0)</f>
        <v>1</v>
      </c>
      <c r="AM85">
        <f>IF((AND(VLOOKUP(AM$1,main!$A$3:$H$102,5,FALSE)-VLOOKUP($A85,main!$A$3:$H$102,6,FALSE)&gt;=(VLOOKUP(VLOOKUP(AM$1,main!$A$3:$H$102,8,FALSE),main!$K$26:$M$29,2,FALSE)+VLOOKUP(VLOOKUP(AM$1,main!$A$3:$H$102,7,FALSE),main!$K$19:$O$22,MATCH(VLOOKUP($A85,main!$A$3:$H$102,8,FALSE),main!$K$18:$O$18,0))))),1,0)</f>
        <v>1</v>
      </c>
      <c r="AN85">
        <f>IF((AND(VLOOKUP(AN$1,main!$A$3:$H$102,5,FALSE)-VLOOKUP($A85,main!$A$3:$H$102,6,FALSE)&gt;=(VLOOKUP(VLOOKUP(AN$1,main!$A$3:$H$102,8,FALSE),main!$K$26:$M$29,2,FALSE)+VLOOKUP(VLOOKUP(AN$1,main!$A$3:$H$102,7,FALSE),main!$K$19:$O$22,MATCH(VLOOKUP($A85,main!$A$3:$H$102,8,FALSE),main!$K$18:$O$18,0))))),1,0)</f>
        <v>1</v>
      </c>
      <c r="AO85">
        <f>IF((AND(VLOOKUP(AO$1,main!$A$3:$H$102,5,FALSE)-VLOOKUP($A85,main!$A$3:$H$102,6,FALSE)&gt;=(VLOOKUP(VLOOKUP(AO$1,main!$A$3:$H$102,8,FALSE),main!$K$26:$M$29,2,FALSE)+VLOOKUP(VLOOKUP(AO$1,main!$A$3:$H$102,7,FALSE),main!$K$19:$O$22,MATCH(VLOOKUP($A85,main!$A$3:$H$102,8,FALSE),main!$K$18:$O$18,0))))),1,0)</f>
        <v>0</v>
      </c>
      <c r="AP85">
        <f>IF((AND(VLOOKUP(AP$1,main!$A$3:$H$102,5,FALSE)-VLOOKUP($A85,main!$A$3:$H$102,6,FALSE)&gt;=(VLOOKUP(VLOOKUP(AP$1,main!$A$3:$H$102,8,FALSE),main!$K$26:$M$29,2,FALSE)+VLOOKUP(VLOOKUP(AP$1,main!$A$3:$H$102,7,FALSE),main!$K$19:$O$22,MATCH(VLOOKUP($A85,main!$A$3:$H$102,8,FALSE),main!$K$18:$O$18,0))))),1,0)</f>
        <v>1</v>
      </c>
      <c r="AQ85">
        <f>IF((AND(VLOOKUP(AQ$1,main!$A$3:$H$102,5,FALSE)-VLOOKUP($A85,main!$A$3:$H$102,6,FALSE)&gt;=(VLOOKUP(VLOOKUP(AQ$1,main!$A$3:$H$102,8,FALSE),main!$K$26:$M$29,2,FALSE)+VLOOKUP(VLOOKUP(AQ$1,main!$A$3:$H$102,7,FALSE),main!$K$19:$O$22,MATCH(VLOOKUP($A85,main!$A$3:$H$102,8,FALSE),main!$K$18:$O$18,0))))),1,0)</f>
        <v>0</v>
      </c>
      <c r="AR85">
        <f>IF((AND(VLOOKUP(AR$1,main!$A$3:$H$102,5,FALSE)-VLOOKUP($A85,main!$A$3:$H$102,6,FALSE)&gt;=(VLOOKUP(VLOOKUP(AR$1,main!$A$3:$H$102,8,FALSE),main!$K$26:$M$29,2,FALSE)+VLOOKUP(VLOOKUP(AR$1,main!$A$3:$H$102,7,FALSE),main!$K$19:$O$22,MATCH(VLOOKUP($A85,main!$A$3:$H$102,8,FALSE),main!$K$18:$O$18,0))))),1,0)</f>
        <v>0</v>
      </c>
      <c r="AS85">
        <f>IF((AND(VLOOKUP(AS$1,main!$A$3:$H$102,5,FALSE)-VLOOKUP($A85,main!$A$3:$H$102,6,FALSE)&gt;=(VLOOKUP(VLOOKUP(AS$1,main!$A$3:$H$102,8,FALSE),main!$K$26:$M$29,2,FALSE)+VLOOKUP(VLOOKUP(AS$1,main!$A$3:$H$102,7,FALSE),main!$K$19:$O$22,MATCH(VLOOKUP($A85,main!$A$3:$H$102,8,FALSE),main!$K$18:$O$18,0))))),1,0)</f>
        <v>0</v>
      </c>
      <c r="AT85">
        <f>IF((AND(VLOOKUP(AT$1,main!$A$3:$H$102,5,FALSE)-VLOOKUP($A85,main!$A$3:$H$102,6,FALSE)&gt;=(VLOOKUP(VLOOKUP(AT$1,main!$A$3:$H$102,8,FALSE),main!$K$26:$M$29,2,FALSE)+VLOOKUP(VLOOKUP(AT$1,main!$A$3:$H$102,7,FALSE),main!$K$19:$O$22,MATCH(VLOOKUP($A85,main!$A$3:$H$102,8,FALSE),main!$K$18:$O$18,0))))),1,0)</f>
        <v>0</v>
      </c>
      <c r="AU85">
        <f>IF((AND(VLOOKUP(AU$1,main!$A$3:$H$102,5,FALSE)-VLOOKUP($A85,main!$A$3:$H$102,6,FALSE)&gt;=(VLOOKUP(VLOOKUP(AU$1,main!$A$3:$H$102,8,FALSE),main!$K$26:$M$29,2,FALSE)+VLOOKUP(VLOOKUP(AU$1,main!$A$3:$H$102,7,FALSE),main!$K$19:$O$22,MATCH(VLOOKUP($A85,main!$A$3:$H$102,8,FALSE),main!$K$18:$O$18,0))))),1,0)</f>
        <v>0</v>
      </c>
      <c r="AV85">
        <f>IF((AND(VLOOKUP(AV$1,main!$A$3:$H$102,5,FALSE)-VLOOKUP($A85,main!$A$3:$H$102,6,FALSE)&gt;=(VLOOKUP(VLOOKUP(AV$1,main!$A$3:$H$102,8,FALSE),main!$K$26:$M$29,2,FALSE)+VLOOKUP(VLOOKUP(AV$1,main!$A$3:$H$102,7,FALSE),main!$K$19:$O$22,MATCH(VLOOKUP($A85,main!$A$3:$H$102,8,FALSE),main!$K$18:$O$18,0))))),1,0)</f>
        <v>0</v>
      </c>
      <c r="AW85">
        <f>IF((AND(VLOOKUP(AW$1,main!$A$3:$H$102,5,FALSE)-VLOOKUP($A85,main!$A$3:$H$102,6,FALSE)&gt;=(VLOOKUP(VLOOKUP(AW$1,main!$A$3:$H$102,8,FALSE),main!$K$26:$M$29,2,FALSE)+VLOOKUP(VLOOKUP(AW$1,main!$A$3:$H$102,7,FALSE),main!$K$19:$O$22,MATCH(VLOOKUP($A85,main!$A$3:$H$102,8,FALSE),main!$K$18:$O$18,0))))),1,0)</f>
        <v>0</v>
      </c>
      <c r="AX85">
        <f>IF((AND(VLOOKUP(AX$1,main!$A$3:$H$102,5,FALSE)-VLOOKUP($A85,main!$A$3:$H$102,6,FALSE)&gt;=(VLOOKUP(VLOOKUP(AX$1,main!$A$3:$H$102,8,FALSE),main!$K$26:$M$29,2,FALSE)+VLOOKUP(VLOOKUP(AX$1,main!$A$3:$H$102,7,FALSE),main!$K$19:$O$22,MATCH(VLOOKUP($A85,main!$A$3:$H$102,8,FALSE),main!$K$18:$O$18,0))))),1,0)</f>
        <v>0</v>
      </c>
      <c r="AY85">
        <f>IF((AND(VLOOKUP(AY$1,main!$A$3:$H$102,5,FALSE)-VLOOKUP($A85,main!$A$3:$H$102,6,FALSE)&gt;=(VLOOKUP(VLOOKUP(AY$1,main!$A$3:$H$102,8,FALSE),main!$K$26:$M$29,2,FALSE)+VLOOKUP(VLOOKUP(AY$1,main!$A$3:$H$102,7,FALSE),main!$K$19:$O$22,MATCH(VLOOKUP($A85,main!$A$3:$H$102,8,FALSE),main!$K$18:$O$18,0))))),1,0)</f>
        <v>0</v>
      </c>
      <c r="AZ85">
        <f>IF((AND(VLOOKUP(AZ$1,main!$A$3:$H$102,5,FALSE)-VLOOKUP($A85,main!$A$3:$H$102,6,FALSE)&gt;=(VLOOKUP(VLOOKUP(AZ$1,main!$A$3:$H$102,8,FALSE),main!$K$26:$M$29,2,FALSE)+VLOOKUP(VLOOKUP(AZ$1,main!$A$3:$H$102,7,FALSE),main!$K$19:$O$22,MATCH(VLOOKUP($A85,main!$A$3:$H$102,8,FALSE),main!$K$18:$O$18,0))))),1,0)</f>
        <v>0</v>
      </c>
      <c r="BA85">
        <f>IF((AND(VLOOKUP(BA$1,main!$A$3:$H$102,5,FALSE)-VLOOKUP($A85,main!$A$3:$H$102,6,FALSE)&gt;=(VLOOKUP(VLOOKUP(BA$1,main!$A$3:$H$102,8,FALSE),main!$K$26:$M$29,2,FALSE)+VLOOKUP(VLOOKUP(BA$1,main!$A$3:$H$102,7,FALSE),main!$K$19:$O$22,MATCH(VLOOKUP($A85,main!$A$3:$H$102,8,FALSE),main!$K$18:$O$18,0))))),1,0)</f>
        <v>0</v>
      </c>
      <c r="BB85">
        <f>IF((AND(VLOOKUP(BB$1,main!$A$3:$H$102,5,FALSE)-VLOOKUP($A85,main!$A$3:$H$102,6,FALSE)&gt;=(VLOOKUP(VLOOKUP(BB$1,main!$A$3:$H$102,8,FALSE),main!$K$26:$M$29,2,FALSE)+VLOOKUP(VLOOKUP(BB$1,main!$A$3:$H$102,7,FALSE),main!$K$19:$O$22,MATCH(VLOOKUP($A85,main!$A$3:$H$102,8,FALSE),main!$K$18:$O$18,0))))),1,0)</f>
        <v>0</v>
      </c>
      <c r="BC85">
        <f>IF((AND(VLOOKUP(BC$1,main!$A$3:$H$102,5,FALSE)-VLOOKUP($A85,main!$A$3:$H$102,6,FALSE)&gt;=(VLOOKUP(VLOOKUP(BC$1,main!$A$3:$H$102,8,FALSE),main!$K$26:$M$29,2,FALSE)+VLOOKUP(VLOOKUP(BC$1,main!$A$3:$H$102,7,FALSE),main!$K$19:$O$22,MATCH(VLOOKUP($A85,main!$A$3:$H$102,8,FALSE),main!$K$18:$O$18,0))))),1,0)</f>
        <v>0</v>
      </c>
      <c r="BD85">
        <f>IF((AND(VLOOKUP(BD$1,main!$A$3:$H$102,5,FALSE)-VLOOKUP($A85,main!$A$3:$H$102,6,FALSE)&gt;=(VLOOKUP(VLOOKUP(BD$1,main!$A$3:$H$102,8,FALSE),main!$K$26:$M$29,2,FALSE)+VLOOKUP(VLOOKUP(BD$1,main!$A$3:$H$102,7,FALSE),main!$K$19:$O$22,MATCH(VLOOKUP($A85,main!$A$3:$H$102,8,FALSE),main!$K$18:$O$18,0))))),1,0)</f>
        <v>0</v>
      </c>
      <c r="BE85">
        <f>IF((AND(VLOOKUP(BE$1,main!$A$3:$H$102,5,FALSE)-VLOOKUP($A85,main!$A$3:$H$102,6,FALSE)&gt;=(VLOOKUP(VLOOKUP(BE$1,main!$A$3:$H$102,8,FALSE),main!$K$26:$M$29,2,FALSE)+VLOOKUP(VLOOKUP(BE$1,main!$A$3:$H$102,7,FALSE),main!$K$19:$O$22,MATCH(VLOOKUP($A85,main!$A$3:$H$102,8,FALSE),main!$K$18:$O$18,0))))),1,0)</f>
        <v>1</v>
      </c>
      <c r="BF85">
        <f>IF((AND(VLOOKUP(BF$1,main!$A$3:$H$102,5,FALSE)-VLOOKUP($A85,main!$A$3:$H$102,6,FALSE)&gt;=(VLOOKUP(VLOOKUP(BF$1,main!$A$3:$H$102,8,FALSE),main!$K$26:$M$29,2,FALSE)+VLOOKUP(VLOOKUP(BF$1,main!$A$3:$H$102,7,FALSE),main!$K$19:$O$22,MATCH(VLOOKUP($A85,main!$A$3:$H$102,8,FALSE),main!$K$18:$O$18,0))))),1,0)</f>
        <v>0</v>
      </c>
      <c r="BG85">
        <f>IF((AND(VLOOKUP(BG$1,main!$A$3:$H$102,5,FALSE)-VLOOKUP($A85,main!$A$3:$H$102,6,FALSE)&gt;=(VLOOKUP(VLOOKUP(BG$1,main!$A$3:$H$102,8,FALSE),main!$K$26:$M$29,2,FALSE)+VLOOKUP(VLOOKUP(BG$1,main!$A$3:$H$102,7,FALSE),main!$K$19:$O$22,MATCH(VLOOKUP($A85,main!$A$3:$H$102,8,FALSE),main!$K$18:$O$18,0))))),1,0)</f>
        <v>0</v>
      </c>
      <c r="BH85">
        <f>IF((AND(VLOOKUP(BH$1,main!$A$3:$H$102,5,FALSE)-VLOOKUP($A85,main!$A$3:$H$102,6,FALSE)&gt;=(VLOOKUP(VLOOKUP(BH$1,main!$A$3:$H$102,8,FALSE),main!$K$26:$M$29,2,FALSE)+VLOOKUP(VLOOKUP(BH$1,main!$A$3:$H$102,7,FALSE),main!$K$19:$O$22,MATCH(VLOOKUP($A85,main!$A$3:$H$102,8,FALSE),main!$K$18:$O$18,0))))),1,0)</f>
        <v>0</v>
      </c>
      <c r="BI85">
        <f>IF((AND(VLOOKUP(BI$1,main!$A$3:$H$102,5,FALSE)-VLOOKUP($A85,main!$A$3:$H$102,6,FALSE)&gt;=(VLOOKUP(VLOOKUP(BI$1,main!$A$3:$H$102,8,FALSE),main!$K$26:$M$29,2,FALSE)+VLOOKUP(VLOOKUP(BI$1,main!$A$3:$H$102,7,FALSE),main!$K$19:$O$22,MATCH(VLOOKUP($A85,main!$A$3:$H$102,8,FALSE),main!$K$18:$O$18,0))))),1,0)</f>
        <v>1</v>
      </c>
      <c r="BJ85">
        <f>IF((AND(VLOOKUP(BJ$1,main!$A$3:$H$102,5,FALSE)-VLOOKUP($A85,main!$A$3:$H$102,6,FALSE)&gt;=(VLOOKUP(VLOOKUP(BJ$1,main!$A$3:$H$102,8,FALSE),main!$K$26:$M$29,2,FALSE)+VLOOKUP(VLOOKUP(BJ$1,main!$A$3:$H$102,7,FALSE),main!$K$19:$O$22,MATCH(VLOOKUP($A85,main!$A$3:$H$102,8,FALSE),main!$K$18:$O$18,0))))),1,0)</f>
        <v>1</v>
      </c>
      <c r="BK85">
        <f>IF((AND(VLOOKUP(BK$1,main!$A$3:$H$102,5,FALSE)-VLOOKUP($A85,main!$A$3:$H$102,6,FALSE)&gt;=(VLOOKUP(VLOOKUP(BK$1,main!$A$3:$H$102,8,FALSE),main!$K$26:$M$29,2,FALSE)+VLOOKUP(VLOOKUP(BK$1,main!$A$3:$H$102,7,FALSE),main!$K$19:$O$22,MATCH(VLOOKUP($A85,main!$A$3:$H$102,8,FALSE),main!$K$18:$O$18,0))))),1,0)</f>
        <v>0</v>
      </c>
      <c r="BL85">
        <f>IF((AND(VLOOKUP(BL$1,main!$A$3:$H$102,5,FALSE)-VLOOKUP($A85,main!$A$3:$H$102,6,FALSE)&gt;=(VLOOKUP(VLOOKUP(BL$1,main!$A$3:$H$102,8,FALSE),main!$K$26:$M$29,2,FALSE)+VLOOKUP(VLOOKUP(BL$1,main!$A$3:$H$102,7,FALSE),main!$K$19:$O$22,MATCH(VLOOKUP($A85,main!$A$3:$H$102,8,FALSE),main!$K$18:$O$18,0))))),1,0)</f>
        <v>0</v>
      </c>
      <c r="BM85">
        <f>IF((AND(VLOOKUP(BM$1,main!$A$3:$H$102,5,FALSE)-VLOOKUP($A85,main!$A$3:$H$102,6,FALSE)&gt;=(VLOOKUP(VLOOKUP(BM$1,main!$A$3:$H$102,8,FALSE),main!$K$26:$M$29,2,FALSE)+VLOOKUP(VLOOKUP(BM$1,main!$A$3:$H$102,7,FALSE),main!$K$19:$O$22,MATCH(VLOOKUP($A85,main!$A$3:$H$102,8,FALSE),main!$K$18:$O$18,0))))),1,0)</f>
        <v>0</v>
      </c>
      <c r="BN85">
        <f>IF((AND(VLOOKUP(BN$1,main!$A$3:$H$102,5,FALSE)-VLOOKUP($A85,main!$A$3:$H$102,6,FALSE)&gt;=(VLOOKUP(VLOOKUP(BN$1,main!$A$3:$H$102,8,FALSE),main!$K$26:$M$29,2,FALSE)+VLOOKUP(VLOOKUP(BN$1,main!$A$3:$H$102,7,FALSE),main!$K$19:$O$22,MATCH(VLOOKUP($A85,main!$A$3:$H$102,8,FALSE),main!$K$18:$O$18,0))))),1,0)</f>
        <v>0</v>
      </c>
      <c r="BO85">
        <f>IF((AND(VLOOKUP(BO$1,main!$A$3:$H$102,5,FALSE)-VLOOKUP($A85,main!$A$3:$H$102,6,FALSE)&gt;=(VLOOKUP(VLOOKUP(BO$1,main!$A$3:$H$102,8,FALSE),main!$K$26:$M$29,2,FALSE)+VLOOKUP(VLOOKUP(BO$1,main!$A$3:$H$102,7,FALSE),main!$K$19:$O$22,MATCH(VLOOKUP($A85,main!$A$3:$H$102,8,FALSE),main!$K$18:$O$18,0))))),1,0)</f>
        <v>0</v>
      </c>
      <c r="BP85">
        <f>IF((AND(VLOOKUP(BP$1,main!$A$3:$H$102,5,FALSE)-VLOOKUP($A85,main!$A$3:$H$102,6,FALSE)&gt;=(VLOOKUP(VLOOKUP(BP$1,main!$A$3:$H$102,8,FALSE),main!$K$26:$M$29,2,FALSE)+VLOOKUP(VLOOKUP(BP$1,main!$A$3:$H$102,7,FALSE),main!$K$19:$O$22,MATCH(VLOOKUP($A85,main!$A$3:$H$102,8,FALSE),main!$K$18:$O$18,0))))),1,0)</f>
        <v>0</v>
      </c>
      <c r="BQ85">
        <f>IF((AND(VLOOKUP(BQ$1,main!$A$3:$H$102,5,FALSE)-VLOOKUP($A85,main!$A$3:$H$102,6,FALSE)&gt;=(VLOOKUP(VLOOKUP(BQ$1,main!$A$3:$H$102,8,FALSE),main!$K$26:$M$29,2,FALSE)+VLOOKUP(VLOOKUP(BQ$1,main!$A$3:$H$102,7,FALSE),main!$K$19:$O$22,MATCH(VLOOKUP($A85,main!$A$3:$H$102,8,FALSE),main!$K$18:$O$18,0))))),1,0)</f>
        <v>0</v>
      </c>
      <c r="BR85">
        <f>IF((AND(VLOOKUP(BR$1,main!$A$3:$H$102,5,FALSE)-VLOOKUP($A85,main!$A$3:$H$102,6,FALSE)&gt;=(VLOOKUP(VLOOKUP(BR$1,main!$A$3:$H$102,8,FALSE),main!$K$26:$M$29,2,FALSE)+VLOOKUP(VLOOKUP(BR$1,main!$A$3:$H$102,7,FALSE),main!$K$19:$O$22,MATCH(VLOOKUP($A85,main!$A$3:$H$102,8,FALSE),main!$K$18:$O$18,0))))),1,0)</f>
        <v>0</v>
      </c>
      <c r="BS85">
        <f>IF((AND(VLOOKUP(BS$1,main!$A$3:$H$102,5,FALSE)-VLOOKUP($A85,main!$A$3:$H$102,6,FALSE)&gt;=(VLOOKUP(VLOOKUP(BS$1,main!$A$3:$H$102,8,FALSE),main!$K$26:$M$29,2,FALSE)+VLOOKUP(VLOOKUP(BS$1,main!$A$3:$H$102,7,FALSE),main!$K$19:$O$22,MATCH(VLOOKUP($A85,main!$A$3:$H$102,8,FALSE),main!$K$18:$O$18,0))))),1,0)</f>
        <v>0</v>
      </c>
      <c r="BT85">
        <f>IF((AND(VLOOKUP(BT$1,main!$A$3:$H$102,5,FALSE)-VLOOKUP($A85,main!$A$3:$H$102,6,FALSE)&gt;=(VLOOKUP(VLOOKUP(BT$1,main!$A$3:$H$102,8,FALSE),main!$K$26:$M$29,2,FALSE)+VLOOKUP(VLOOKUP(BT$1,main!$A$3:$H$102,7,FALSE),main!$K$19:$O$22,MATCH(VLOOKUP($A85,main!$A$3:$H$102,8,FALSE),main!$K$18:$O$18,0))))),1,0)</f>
        <v>0</v>
      </c>
      <c r="BU85">
        <f>IF((AND(VLOOKUP(BU$1,main!$A$3:$H$102,5,FALSE)-VLOOKUP($A85,main!$A$3:$H$102,6,FALSE)&gt;=(VLOOKUP(VLOOKUP(BU$1,main!$A$3:$H$102,8,FALSE),main!$K$26:$M$29,2,FALSE)+VLOOKUP(VLOOKUP(BU$1,main!$A$3:$H$102,7,FALSE),main!$K$19:$O$22,MATCH(VLOOKUP($A85,main!$A$3:$H$102,8,FALSE),main!$K$18:$O$18,0))))),1,0)</f>
        <v>0</v>
      </c>
      <c r="BV85">
        <f>IF((AND(VLOOKUP(BV$1,main!$A$3:$H$102,5,FALSE)-VLOOKUP($A85,main!$A$3:$H$102,6,FALSE)&gt;=(VLOOKUP(VLOOKUP(BV$1,main!$A$3:$H$102,8,FALSE),main!$K$26:$M$29,2,FALSE)+VLOOKUP(VLOOKUP(BV$1,main!$A$3:$H$102,7,FALSE),main!$K$19:$O$22,MATCH(VLOOKUP($A85,main!$A$3:$H$102,8,FALSE),main!$K$18:$O$18,0))))),1,0)</f>
        <v>0</v>
      </c>
      <c r="BW85">
        <f>IF((AND(VLOOKUP(BW$1,main!$A$3:$H$102,5,FALSE)-VLOOKUP($A85,main!$A$3:$H$102,6,FALSE)&gt;=(VLOOKUP(VLOOKUP(BW$1,main!$A$3:$H$102,8,FALSE),main!$K$26:$M$29,2,FALSE)+VLOOKUP(VLOOKUP(BW$1,main!$A$3:$H$102,7,FALSE),main!$K$19:$O$22,MATCH(VLOOKUP($A85,main!$A$3:$H$102,8,FALSE),main!$K$18:$O$18,0))))),1,0)</f>
        <v>0</v>
      </c>
      <c r="BX85">
        <f>IF((AND(VLOOKUP(BX$1,main!$A$3:$H$102,5,FALSE)-VLOOKUP($A85,main!$A$3:$H$102,6,FALSE)&gt;=(VLOOKUP(VLOOKUP(BX$1,main!$A$3:$H$102,8,FALSE),main!$K$26:$M$29,2,FALSE)+VLOOKUP(VLOOKUP(BX$1,main!$A$3:$H$102,7,FALSE),main!$K$19:$O$22,MATCH(VLOOKUP($A85,main!$A$3:$H$102,8,FALSE),main!$K$18:$O$18,0))))),1,0)</f>
        <v>0</v>
      </c>
      <c r="BY85">
        <f>IF((AND(VLOOKUP(BY$1,main!$A$3:$H$102,5,FALSE)-VLOOKUP($A85,main!$A$3:$H$102,6,FALSE)&gt;=(VLOOKUP(VLOOKUP(BY$1,main!$A$3:$H$102,8,FALSE),main!$K$26:$M$29,2,FALSE)+VLOOKUP(VLOOKUP(BY$1,main!$A$3:$H$102,7,FALSE),main!$K$19:$O$22,MATCH(VLOOKUP($A85,main!$A$3:$H$102,8,FALSE),main!$K$18:$O$18,0))))),1,0)</f>
        <v>0</v>
      </c>
      <c r="BZ85">
        <f>IF((AND(VLOOKUP(BZ$1,main!$A$3:$H$102,5,FALSE)-VLOOKUP($A85,main!$A$3:$H$102,6,FALSE)&gt;=(VLOOKUP(VLOOKUP(BZ$1,main!$A$3:$H$102,8,FALSE),main!$K$26:$M$29,2,FALSE)+VLOOKUP(VLOOKUP(BZ$1,main!$A$3:$H$102,7,FALSE),main!$K$19:$O$22,MATCH(VLOOKUP($A85,main!$A$3:$H$102,8,FALSE),main!$K$18:$O$18,0))))),1,0)</f>
        <v>0</v>
      </c>
      <c r="CA85">
        <f>IF((AND(VLOOKUP(CA$1,main!$A$3:$H$102,5,FALSE)-VLOOKUP($A85,main!$A$3:$H$102,6,FALSE)&gt;=(VLOOKUP(VLOOKUP(CA$1,main!$A$3:$H$102,8,FALSE),main!$K$26:$M$29,2,FALSE)+VLOOKUP(VLOOKUP(CA$1,main!$A$3:$H$102,7,FALSE),main!$K$19:$O$22,MATCH(VLOOKUP($A85,main!$A$3:$H$102,8,FALSE),main!$K$18:$O$18,0))))),1,0)</f>
        <v>0</v>
      </c>
      <c r="CB85">
        <f>IF((AND(VLOOKUP(CB$1,main!$A$3:$H$102,5,FALSE)-VLOOKUP($A85,main!$A$3:$H$102,6,FALSE)&gt;=(VLOOKUP(VLOOKUP(CB$1,main!$A$3:$H$102,8,FALSE),main!$K$26:$M$29,2,FALSE)+VLOOKUP(VLOOKUP(CB$1,main!$A$3:$H$102,7,FALSE),main!$K$19:$O$22,MATCH(VLOOKUP($A85,main!$A$3:$H$102,8,FALSE),main!$K$18:$O$18,0))))),1,0)</f>
        <v>0</v>
      </c>
      <c r="CC85">
        <f>IF((AND(VLOOKUP(CC$1,main!$A$3:$H$102,5,FALSE)-VLOOKUP($A85,main!$A$3:$H$102,6,FALSE)&gt;=(VLOOKUP(VLOOKUP(CC$1,main!$A$3:$H$102,8,FALSE),main!$K$26:$M$29,2,FALSE)+VLOOKUP(VLOOKUP(CC$1,main!$A$3:$H$102,7,FALSE),main!$K$19:$O$22,MATCH(VLOOKUP($A85,main!$A$3:$H$102,8,FALSE),main!$K$18:$O$18,0))))),1,0)</f>
        <v>1</v>
      </c>
      <c r="CD85">
        <f>IF((AND(VLOOKUP(CD$1,main!$A$3:$H$102,5,FALSE)-VLOOKUP($A85,main!$A$3:$H$102,6,FALSE)&gt;=(VLOOKUP(VLOOKUP(CD$1,main!$A$3:$H$102,8,FALSE),main!$K$26:$M$29,2,FALSE)+VLOOKUP(VLOOKUP(CD$1,main!$A$3:$H$102,7,FALSE),main!$K$19:$O$22,MATCH(VLOOKUP($A85,main!$A$3:$H$102,8,FALSE),main!$K$18:$O$18,0))))),1,0)</f>
        <v>0</v>
      </c>
      <c r="CE85">
        <f>IF((AND(VLOOKUP(CE$1,main!$A$3:$H$102,5,FALSE)-VLOOKUP($A85,main!$A$3:$H$102,6,FALSE)&gt;=(VLOOKUP(VLOOKUP(CE$1,main!$A$3:$H$102,8,FALSE),main!$K$26:$M$29,2,FALSE)+VLOOKUP(VLOOKUP(CE$1,main!$A$3:$H$102,7,FALSE),main!$K$19:$O$22,MATCH(VLOOKUP($A85,main!$A$3:$H$102,8,FALSE),main!$K$18:$O$18,0))))),1,0)</f>
        <v>0</v>
      </c>
      <c r="CF85">
        <f>IF((AND(VLOOKUP(CF$1,main!$A$3:$H$102,5,FALSE)-VLOOKUP($A85,main!$A$3:$H$102,6,FALSE)&gt;=(VLOOKUP(VLOOKUP(CF$1,main!$A$3:$H$102,8,FALSE),main!$K$26:$M$29,2,FALSE)+VLOOKUP(VLOOKUP(CF$1,main!$A$3:$H$102,7,FALSE),main!$K$19:$O$22,MATCH(VLOOKUP($A85,main!$A$3:$H$102,8,FALSE),main!$K$18:$O$18,0))))),1,0)</f>
        <v>0</v>
      </c>
      <c r="CG85">
        <f>IF((AND(VLOOKUP(CG$1,main!$A$3:$H$102,5,FALSE)-VLOOKUP($A85,main!$A$3:$H$102,6,FALSE)&gt;=(VLOOKUP(VLOOKUP(CG$1,main!$A$3:$H$102,8,FALSE),main!$K$26:$M$29,2,FALSE)+VLOOKUP(VLOOKUP(CG$1,main!$A$3:$H$102,7,FALSE),main!$K$19:$O$22,MATCH(VLOOKUP($A85,main!$A$3:$H$102,8,FALSE),main!$K$18:$O$18,0))))),1,0)</f>
        <v>0</v>
      </c>
      <c r="CH85">
        <f>IF((AND(VLOOKUP(CH$1,main!$A$3:$H$102,5,FALSE)-VLOOKUP($A85,main!$A$3:$H$102,6,FALSE)&gt;=(VLOOKUP(VLOOKUP(CH$1,main!$A$3:$H$102,8,FALSE),main!$K$26:$M$29,2,FALSE)+VLOOKUP(VLOOKUP(CH$1,main!$A$3:$H$102,7,FALSE),main!$K$19:$O$22,MATCH(VLOOKUP($A85,main!$A$3:$H$102,8,FALSE),main!$K$18:$O$18,0))))),1,0)</f>
        <v>1</v>
      </c>
      <c r="CI85">
        <f>IF((AND(VLOOKUP(CI$1,main!$A$3:$H$102,5,FALSE)-VLOOKUP($A85,main!$A$3:$H$102,6,FALSE)&gt;=(VLOOKUP(VLOOKUP(CI$1,main!$A$3:$H$102,8,FALSE),main!$K$26:$M$29,2,FALSE)+VLOOKUP(VLOOKUP(CI$1,main!$A$3:$H$102,7,FALSE),main!$K$19:$O$22,MATCH(VLOOKUP($A85,main!$A$3:$H$102,8,FALSE),main!$K$18:$O$18,0))))),1,0)</f>
        <v>1</v>
      </c>
      <c r="CJ85">
        <f>IF((AND(VLOOKUP(CJ$1,main!$A$3:$H$102,5,FALSE)-VLOOKUP($A85,main!$A$3:$H$102,6,FALSE)&gt;=(VLOOKUP(VLOOKUP(CJ$1,main!$A$3:$H$102,8,FALSE),main!$K$26:$M$29,2,FALSE)+VLOOKUP(VLOOKUP(CJ$1,main!$A$3:$H$102,7,FALSE),main!$K$19:$O$22,MATCH(VLOOKUP($A85,main!$A$3:$H$102,8,FALSE),main!$K$18:$O$18,0))))),1,0)</f>
        <v>0</v>
      </c>
      <c r="CK85">
        <f>IF((AND(VLOOKUP(CK$1,main!$A$3:$H$102,5,FALSE)-VLOOKUP($A85,main!$A$3:$H$102,6,FALSE)&gt;=(VLOOKUP(VLOOKUP(CK$1,main!$A$3:$H$102,8,FALSE),main!$K$26:$M$29,2,FALSE)+VLOOKUP(VLOOKUP(CK$1,main!$A$3:$H$102,7,FALSE),main!$K$19:$O$22,MATCH(VLOOKUP($A85,main!$A$3:$H$102,8,FALSE),main!$K$18:$O$18,0))))),1,0)</f>
        <v>0</v>
      </c>
      <c r="CL85">
        <f>IF((AND(VLOOKUP(CL$1,main!$A$3:$H$102,5,FALSE)-VLOOKUP($A85,main!$A$3:$H$102,6,FALSE)&gt;=(VLOOKUP(VLOOKUP(CL$1,main!$A$3:$H$102,8,FALSE),main!$K$26:$M$29,2,FALSE)+VLOOKUP(VLOOKUP(CL$1,main!$A$3:$H$102,7,FALSE),main!$K$19:$O$22,MATCH(VLOOKUP($A85,main!$A$3:$H$102,8,FALSE),main!$K$18:$O$18,0))))),1,0)</f>
        <v>0</v>
      </c>
      <c r="CM85">
        <f>IF((AND(VLOOKUP(CM$1,main!$A$3:$H$102,5,FALSE)-VLOOKUP($A85,main!$A$3:$H$102,6,FALSE)&gt;=(VLOOKUP(VLOOKUP(CM$1,main!$A$3:$H$102,8,FALSE),main!$K$26:$M$29,2,FALSE)+VLOOKUP(VLOOKUP(CM$1,main!$A$3:$H$102,7,FALSE),main!$K$19:$O$22,MATCH(VLOOKUP($A85,main!$A$3:$H$102,8,FALSE),main!$K$18:$O$18,0))))),1,0)</f>
        <v>0</v>
      </c>
      <c r="CN85">
        <f>IF((AND(VLOOKUP(CN$1,main!$A$3:$H$102,5,FALSE)-VLOOKUP($A85,main!$A$3:$H$102,6,FALSE)&gt;=(VLOOKUP(VLOOKUP(CN$1,main!$A$3:$H$102,8,FALSE),main!$K$26:$M$29,2,FALSE)+VLOOKUP(VLOOKUP(CN$1,main!$A$3:$H$102,7,FALSE),main!$K$19:$O$22,MATCH(VLOOKUP($A85,main!$A$3:$H$102,8,FALSE),main!$K$18:$O$18,0))))),1,0)</f>
        <v>1</v>
      </c>
      <c r="CO85">
        <f>IF((AND(VLOOKUP(CO$1,main!$A$3:$H$102,5,FALSE)-VLOOKUP($A85,main!$A$3:$H$102,6,FALSE)&gt;=(VLOOKUP(VLOOKUP(CO$1,main!$A$3:$H$102,8,FALSE),main!$K$26:$M$29,2,FALSE)+VLOOKUP(VLOOKUP(CO$1,main!$A$3:$H$102,7,FALSE),main!$K$19:$O$22,MATCH(VLOOKUP($A85,main!$A$3:$H$102,8,FALSE),main!$K$18:$O$18,0))))),1,0)</f>
        <v>0</v>
      </c>
      <c r="CP85">
        <f>IF((AND(VLOOKUP(CP$1,main!$A$3:$H$102,5,FALSE)-VLOOKUP($A85,main!$A$3:$H$102,6,FALSE)&gt;=(VLOOKUP(VLOOKUP(CP$1,main!$A$3:$H$102,8,FALSE),main!$K$26:$M$29,2,FALSE)+VLOOKUP(VLOOKUP(CP$1,main!$A$3:$H$102,7,FALSE),main!$K$19:$O$22,MATCH(VLOOKUP($A85,main!$A$3:$H$102,8,FALSE),main!$K$18:$O$18,0))))),1,0)</f>
        <v>0</v>
      </c>
      <c r="CQ85">
        <f>IF((AND(VLOOKUP(CQ$1,main!$A$3:$H$102,5,FALSE)-VLOOKUP($A85,main!$A$3:$H$102,6,FALSE)&gt;=(VLOOKUP(VLOOKUP(CQ$1,main!$A$3:$H$102,8,FALSE),main!$K$26:$M$29,2,FALSE)+VLOOKUP(VLOOKUP(CQ$1,main!$A$3:$H$102,7,FALSE),main!$K$19:$O$22,MATCH(VLOOKUP($A85,main!$A$3:$H$102,8,FALSE),main!$K$18:$O$18,0))))),1,0)</f>
        <v>0</v>
      </c>
      <c r="CR85">
        <f>IF((AND(VLOOKUP(CR$1,main!$A$3:$H$102,5,FALSE)-VLOOKUP($A85,main!$A$3:$H$102,6,FALSE)&gt;=(VLOOKUP(VLOOKUP(CR$1,main!$A$3:$H$102,8,FALSE),main!$K$26:$M$29,2,FALSE)+VLOOKUP(VLOOKUP(CR$1,main!$A$3:$H$102,7,FALSE),main!$K$19:$O$22,MATCH(VLOOKUP($A85,main!$A$3:$H$102,8,FALSE),main!$K$18:$O$18,0))))),1,0)</f>
        <v>0</v>
      </c>
      <c r="CS85">
        <f>IF((AND(VLOOKUP(CS$1,main!$A$3:$H$102,5,FALSE)-VLOOKUP($A85,main!$A$3:$H$102,6,FALSE)&gt;=(VLOOKUP(VLOOKUP(CS$1,main!$A$3:$H$102,8,FALSE),main!$K$26:$M$29,2,FALSE)+VLOOKUP(VLOOKUP(CS$1,main!$A$3:$H$102,7,FALSE),main!$K$19:$O$22,MATCH(VLOOKUP($A85,main!$A$3:$H$102,8,FALSE),main!$K$18:$O$18,0))))),1,0)</f>
        <v>0</v>
      </c>
      <c r="CT85">
        <f>IF((AND(VLOOKUP(CT$1,main!$A$3:$H$102,5,FALSE)-VLOOKUP($A85,main!$A$3:$H$102,6,FALSE)&gt;=(VLOOKUP(VLOOKUP(CT$1,main!$A$3:$H$102,8,FALSE),main!$K$26:$M$29,2,FALSE)+VLOOKUP(VLOOKUP(CT$1,main!$A$3:$H$102,7,FALSE),main!$K$19:$O$22,MATCH(VLOOKUP($A85,main!$A$3:$H$102,8,FALSE),main!$K$18:$O$18,0))))),1,0)</f>
        <v>0</v>
      </c>
      <c r="CU85">
        <f>IF((AND(VLOOKUP(CU$1,main!$A$3:$H$102,5,FALSE)-VLOOKUP($A85,main!$A$3:$H$102,6,FALSE)&gt;=(VLOOKUP(VLOOKUP(CU$1,main!$A$3:$H$102,8,FALSE),main!$K$26:$M$29,2,FALSE)+VLOOKUP(VLOOKUP(CU$1,main!$A$3:$H$102,7,FALSE),main!$K$19:$O$22,MATCH(VLOOKUP($A85,main!$A$3:$H$102,8,FALSE),main!$K$18:$O$18,0))))),1,0)</f>
        <v>0</v>
      </c>
      <c r="CV85">
        <f>IF((AND(VLOOKUP(CV$1,main!$A$3:$H$102,5,FALSE)-VLOOKUP($A85,main!$A$3:$H$102,6,FALSE)&gt;=(VLOOKUP(VLOOKUP(CV$1,main!$A$3:$H$102,8,FALSE),main!$K$26:$M$29,2,FALSE)+VLOOKUP(VLOOKUP(CV$1,main!$A$3:$H$102,7,FALSE),main!$K$19:$O$22,MATCH(VLOOKUP($A85,main!$A$3:$H$102,8,FALSE),main!$K$18:$O$18,0))))),1,0)</f>
        <v>0</v>
      </c>
      <c r="CW85">
        <f>IF((AND(VLOOKUP(CW$1,main!$A$3:$H$102,5,FALSE)-VLOOKUP($A85,main!$A$3:$H$102,6,FALSE)&gt;=(VLOOKUP(VLOOKUP(CW$1,main!$A$3:$H$102,8,FALSE),main!$K$26:$M$29,2,FALSE)+VLOOKUP(VLOOKUP(CW$1,main!$A$3:$H$102,7,FALSE),main!$K$19:$O$22,MATCH(VLOOKUP($A85,main!$A$3:$H$102,8,FALSE),main!$K$18:$O$18,0))))),1,0)</f>
        <v>0</v>
      </c>
      <c r="CX85">
        <f>IF((AND(VLOOKUP(CX$1,main!$A$3:$H$102,5,FALSE)-VLOOKUP($A85,main!$A$3:$H$102,6,FALSE)&gt;=(VLOOKUP(VLOOKUP(CX$1,main!$A$3:$H$102,8,FALSE),main!$K$26:$M$29,2,FALSE)+VLOOKUP(VLOOKUP(CX$1,main!$A$3:$H$102,7,FALSE),main!$K$19:$O$22,MATCH(VLOOKUP($A85,main!$A$3:$H$102,8,FALSE),main!$K$18:$O$18,0))))),1,0)</f>
        <v>1</v>
      </c>
    </row>
    <row r="86" spans="1:102" x14ac:dyDescent="0.25">
      <c r="A86" s="1">
        <v>84</v>
      </c>
      <c r="B86">
        <v>1</v>
      </c>
      <c r="C86">
        <f>IF((AND(VLOOKUP(C$1,main!$A$3:$H$102,5,FALSE)-VLOOKUP($A86,main!$A$3:$H$102,6,FALSE)&gt;=(VLOOKUP(VLOOKUP(C$1,main!$A$3:$H$102,8,FALSE),main!$K$26:$M$29,2,FALSE)+VLOOKUP(VLOOKUP(C$1,main!$A$3:$H$102,7,FALSE),main!$K$19:$O$22,MATCH(VLOOKUP($A86,main!$A$3:$H$102,8,FALSE),main!$K$18:$O$18,0))))),1,0)</f>
        <v>0</v>
      </c>
      <c r="D86">
        <f>IF((AND(VLOOKUP(D$1,main!$A$3:$H$102,5,FALSE)-VLOOKUP($A86,main!$A$3:$H$102,6,FALSE)&gt;=(VLOOKUP(VLOOKUP(D$1,main!$A$3:$H$102,8,FALSE),main!$K$26:$M$29,2,FALSE)+VLOOKUP(VLOOKUP(D$1,main!$A$3:$H$102,7,FALSE),main!$K$19:$O$22,MATCH(VLOOKUP($A86,main!$A$3:$H$102,8,FALSE),main!$K$18:$O$18,0))))),1,0)</f>
        <v>0</v>
      </c>
      <c r="E86">
        <f>IF((AND(VLOOKUP(E$1,main!$A$3:$H$102,5,FALSE)-VLOOKUP($A86,main!$A$3:$H$102,6,FALSE)&gt;=(VLOOKUP(VLOOKUP(E$1,main!$A$3:$H$102,8,FALSE),main!$K$26:$M$29,2,FALSE)+VLOOKUP(VLOOKUP(E$1,main!$A$3:$H$102,7,FALSE),main!$K$19:$O$22,MATCH(VLOOKUP($A86,main!$A$3:$H$102,8,FALSE),main!$K$18:$O$18,0))))),1,0)</f>
        <v>0</v>
      </c>
      <c r="F86">
        <f>IF((AND(VLOOKUP(F$1,main!$A$3:$H$102,5,FALSE)-VLOOKUP($A86,main!$A$3:$H$102,6,FALSE)&gt;=(VLOOKUP(VLOOKUP(F$1,main!$A$3:$H$102,8,FALSE),main!$K$26:$M$29,2,FALSE)+VLOOKUP(VLOOKUP(F$1,main!$A$3:$H$102,7,FALSE),main!$K$19:$O$22,MATCH(VLOOKUP($A86,main!$A$3:$H$102,8,FALSE),main!$K$18:$O$18,0))))),1,0)</f>
        <v>0</v>
      </c>
      <c r="G86">
        <f>IF((AND(VLOOKUP(G$1,main!$A$3:$H$102,5,FALSE)-VLOOKUP($A86,main!$A$3:$H$102,6,FALSE)&gt;=(VLOOKUP(VLOOKUP(G$1,main!$A$3:$H$102,8,FALSE),main!$K$26:$M$29,2,FALSE)+VLOOKUP(VLOOKUP(G$1,main!$A$3:$H$102,7,FALSE),main!$K$19:$O$22,MATCH(VLOOKUP($A86,main!$A$3:$H$102,8,FALSE),main!$K$18:$O$18,0))))),1,0)</f>
        <v>0</v>
      </c>
      <c r="H86">
        <f>IF((AND(VLOOKUP(H$1,main!$A$3:$H$102,5,FALSE)-VLOOKUP($A86,main!$A$3:$H$102,6,FALSE)&gt;=(VLOOKUP(VLOOKUP(H$1,main!$A$3:$H$102,8,FALSE),main!$K$26:$M$29,2,FALSE)+VLOOKUP(VLOOKUP(H$1,main!$A$3:$H$102,7,FALSE),main!$K$19:$O$22,MATCH(VLOOKUP($A86,main!$A$3:$H$102,8,FALSE),main!$K$18:$O$18,0))))),1,0)</f>
        <v>0</v>
      </c>
      <c r="I86">
        <f>IF((AND(VLOOKUP(I$1,main!$A$3:$H$102,5,FALSE)-VLOOKUP($A86,main!$A$3:$H$102,6,FALSE)&gt;=(VLOOKUP(VLOOKUP(I$1,main!$A$3:$H$102,8,FALSE),main!$K$26:$M$29,2,FALSE)+VLOOKUP(VLOOKUP(I$1,main!$A$3:$H$102,7,FALSE),main!$K$19:$O$22,MATCH(VLOOKUP($A86,main!$A$3:$H$102,8,FALSE),main!$K$18:$O$18,0))))),1,0)</f>
        <v>0</v>
      </c>
      <c r="J86">
        <f>IF((AND(VLOOKUP(J$1,main!$A$3:$H$102,5,FALSE)-VLOOKUP($A86,main!$A$3:$H$102,6,FALSE)&gt;=(VLOOKUP(VLOOKUP(J$1,main!$A$3:$H$102,8,FALSE),main!$K$26:$M$29,2,FALSE)+VLOOKUP(VLOOKUP(J$1,main!$A$3:$H$102,7,FALSE),main!$K$19:$O$22,MATCH(VLOOKUP($A86,main!$A$3:$H$102,8,FALSE),main!$K$18:$O$18,0))))),1,0)</f>
        <v>0</v>
      </c>
      <c r="K86">
        <f>IF((AND(VLOOKUP(K$1,main!$A$3:$H$102,5,FALSE)-VLOOKUP($A86,main!$A$3:$H$102,6,FALSE)&gt;=(VLOOKUP(VLOOKUP(K$1,main!$A$3:$H$102,8,FALSE),main!$K$26:$M$29,2,FALSE)+VLOOKUP(VLOOKUP(K$1,main!$A$3:$H$102,7,FALSE),main!$K$19:$O$22,MATCH(VLOOKUP($A86,main!$A$3:$H$102,8,FALSE),main!$K$18:$O$18,0))))),1,0)</f>
        <v>0</v>
      </c>
      <c r="L86">
        <f>IF((AND(VLOOKUP(L$1,main!$A$3:$H$102,5,FALSE)-VLOOKUP($A86,main!$A$3:$H$102,6,FALSE)&gt;=(VLOOKUP(VLOOKUP(L$1,main!$A$3:$H$102,8,FALSE),main!$K$26:$M$29,2,FALSE)+VLOOKUP(VLOOKUP(L$1,main!$A$3:$H$102,7,FALSE),main!$K$19:$O$22,MATCH(VLOOKUP($A86,main!$A$3:$H$102,8,FALSE),main!$K$18:$O$18,0))))),1,0)</f>
        <v>1</v>
      </c>
      <c r="M86">
        <f>IF((AND(VLOOKUP(M$1,main!$A$3:$H$102,5,FALSE)-VLOOKUP($A86,main!$A$3:$H$102,6,FALSE)&gt;=(VLOOKUP(VLOOKUP(M$1,main!$A$3:$H$102,8,FALSE),main!$K$26:$M$29,2,FALSE)+VLOOKUP(VLOOKUP(M$1,main!$A$3:$H$102,7,FALSE),main!$K$19:$O$22,MATCH(VLOOKUP($A86,main!$A$3:$H$102,8,FALSE),main!$K$18:$O$18,0))))),1,0)</f>
        <v>0</v>
      </c>
      <c r="N86">
        <f>IF((AND(VLOOKUP(N$1,main!$A$3:$H$102,5,FALSE)-VLOOKUP($A86,main!$A$3:$H$102,6,FALSE)&gt;=(VLOOKUP(VLOOKUP(N$1,main!$A$3:$H$102,8,FALSE),main!$K$26:$M$29,2,FALSE)+VLOOKUP(VLOOKUP(N$1,main!$A$3:$H$102,7,FALSE),main!$K$19:$O$22,MATCH(VLOOKUP($A86,main!$A$3:$H$102,8,FALSE),main!$K$18:$O$18,0))))),1,0)</f>
        <v>0</v>
      </c>
      <c r="O86">
        <f>IF((AND(VLOOKUP(O$1,main!$A$3:$H$102,5,FALSE)-VLOOKUP($A86,main!$A$3:$H$102,6,FALSE)&gt;=(VLOOKUP(VLOOKUP(O$1,main!$A$3:$H$102,8,FALSE),main!$K$26:$M$29,2,FALSE)+VLOOKUP(VLOOKUP(O$1,main!$A$3:$H$102,7,FALSE),main!$K$19:$O$22,MATCH(VLOOKUP($A86,main!$A$3:$H$102,8,FALSE),main!$K$18:$O$18,0))))),1,0)</f>
        <v>0</v>
      </c>
      <c r="P86">
        <f>IF((AND(VLOOKUP(P$1,main!$A$3:$H$102,5,FALSE)-VLOOKUP($A86,main!$A$3:$H$102,6,FALSE)&gt;=(VLOOKUP(VLOOKUP(P$1,main!$A$3:$H$102,8,FALSE),main!$K$26:$M$29,2,FALSE)+VLOOKUP(VLOOKUP(P$1,main!$A$3:$H$102,7,FALSE),main!$K$19:$O$22,MATCH(VLOOKUP($A86,main!$A$3:$H$102,8,FALSE),main!$K$18:$O$18,0))))),1,0)</f>
        <v>0</v>
      </c>
      <c r="Q86">
        <f>IF((AND(VLOOKUP(Q$1,main!$A$3:$H$102,5,FALSE)-VLOOKUP($A86,main!$A$3:$H$102,6,FALSE)&gt;=(VLOOKUP(VLOOKUP(Q$1,main!$A$3:$H$102,8,FALSE),main!$K$26:$M$29,2,FALSE)+VLOOKUP(VLOOKUP(Q$1,main!$A$3:$H$102,7,FALSE),main!$K$19:$O$22,MATCH(VLOOKUP($A86,main!$A$3:$H$102,8,FALSE),main!$K$18:$O$18,0))))),1,0)</f>
        <v>0</v>
      </c>
      <c r="R86">
        <f>IF((AND(VLOOKUP(R$1,main!$A$3:$H$102,5,FALSE)-VLOOKUP($A86,main!$A$3:$H$102,6,FALSE)&gt;=(VLOOKUP(VLOOKUP(R$1,main!$A$3:$H$102,8,FALSE),main!$K$26:$M$29,2,FALSE)+VLOOKUP(VLOOKUP(R$1,main!$A$3:$H$102,7,FALSE),main!$K$19:$O$22,MATCH(VLOOKUP($A86,main!$A$3:$H$102,8,FALSE),main!$K$18:$O$18,0))))),1,0)</f>
        <v>0</v>
      </c>
      <c r="S86">
        <f>IF((AND(VLOOKUP(S$1,main!$A$3:$H$102,5,FALSE)-VLOOKUP($A86,main!$A$3:$H$102,6,FALSE)&gt;=(VLOOKUP(VLOOKUP(S$1,main!$A$3:$H$102,8,FALSE),main!$K$26:$M$29,2,FALSE)+VLOOKUP(VLOOKUP(S$1,main!$A$3:$H$102,7,FALSE),main!$K$19:$O$22,MATCH(VLOOKUP($A86,main!$A$3:$H$102,8,FALSE),main!$K$18:$O$18,0))))),1,0)</f>
        <v>0</v>
      </c>
      <c r="T86">
        <f>IF((AND(VLOOKUP(T$1,main!$A$3:$H$102,5,FALSE)-VLOOKUP($A86,main!$A$3:$H$102,6,FALSE)&gt;=(VLOOKUP(VLOOKUP(T$1,main!$A$3:$H$102,8,FALSE),main!$K$26:$M$29,2,FALSE)+VLOOKUP(VLOOKUP(T$1,main!$A$3:$H$102,7,FALSE),main!$K$19:$O$22,MATCH(VLOOKUP($A86,main!$A$3:$H$102,8,FALSE),main!$K$18:$O$18,0))))),1,0)</f>
        <v>0</v>
      </c>
      <c r="U86">
        <f>IF((AND(VLOOKUP(U$1,main!$A$3:$H$102,5,FALSE)-VLOOKUP($A86,main!$A$3:$H$102,6,FALSE)&gt;=(VLOOKUP(VLOOKUP(U$1,main!$A$3:$H$102,8,FALSE),main!$K$26:$M$29,2,FALSE)+VLOOKUP(VLOOKUP(U$1,main!$A$3:$H$102,7,FALSE),main!$K$19:$O$22,MATCH(VLOOKUP($A86,main!$A$3:$H$102,8,FALSE),main!$K$18:$O$18,0))))),1,0)</f>
        <v>1</v>
      </c>
      <c r="V86">
        <f>IF((AND(VLOOKUP(V$1,main!$A$3:$H$102,5,FALSE)-VLOOKUP($A86,main!$A$3:$H$102,6,FALSE)&gt;=(VLOOKUP(VLOOKUP(V$1,main!$A$3:$H$102,8,FALSE),main!$K$26:$M$29,2,FALSE)+VLOOKUP(VLOOKUP(V$1,main!$A$3:$H$102,7,FALSE),main!$K$19:$O$22,MATCH(VLOOKUP($A86,main!$A$3:$H$102,8,FALSE),main!$K$18:$O$18,0))))),1,0)</f>
        <v>1</v>
      </c>
      <c r="W86">
        <f>IF((AND(VLOOKUP(W$1,main!$A$3:$H$102,5,FALSE)-VLOOKUP($A86,main!$A$3:$H$102,6,FALSE)&gt;=(VLOOKUP(VLOOKUP(W$1,main!$A$3:$H$102,8,FALSE),main!$K$26:$M$29,2,FALSE)+VLOOKUP(VLOOKUP(W$1,main!$A$3:$H$102,7,FALSE),main!$K$19:$O$22,MATCH(VLOOKUP($A86,main!$A$3:$H$102,8,FALSE),main!$K$18:$O$18,0))))),1,0)</f>
        <v>0</v>
      </c>
      <c r="X86">
        <f>IF((AND(VLOOKUP(X$1,main!$A$3:$H$102,5,FALSE)-VLOOKUP($A86,main!$A$3:$H$102,6,FALSE)&gt;=(VLOOKUP(VLOOKUP(X$1,main!$A$3:$H$102,8,FALSE),main!$K$26:$M$29,2,FALSE)+VLOOKUP(VLOOKUP(X$1,main!$A$3:$H$102,7,FALSE),main!$K$19:$O$22,MATCH(VLOOKUP($A86,main!$A$3:$H$102,8,FALSE),main!$K$18:$O$18,0))))),1,0)</f>
        <v>0</v>
      </c>
      <c r="Y86">
        <f>IF((AND(VLOOKUP(Y$1,main!$A$3:$H$102,5,FALSE)-VLOOKUP($A86,main!$A$3:$H$102,6,FALSE)&gt;=(VLOOKUP(VLOOKUP(Y$1,main!$A$3:$H$102,8,FALSE),main!$K$26:$M$29,2,FALSE)+VLOOKUP(VLOOKUP(Y$1,main!$A$3:$H$102,7,FALSE),main!$K$19:$O$22,MATCH(VLOOKUP($A86,main!$A$3:$H$102,8,FALSE),main!$K$18:$O$18,0))))),1,0)</f>
        <v>0</v>
      </c>
      <c r="Z86">
        <f>IF((AND(VLOOKUP(Z$1,main!$A$3:$H$102,5,FALSE)-VLOOKUP($A86,main!$A$3:$H$102,6,FALSE)&gt;=(VLOOKUP(VLOOKUP(Z$1,main!$A$3:$H$102,8,FALSE),main!$K$26:$M$29,2,FALSE)+VLOOKUP(VLOOKUP(Z$1,main!$A$3:$H$102,7,FALSE),main!$K$19:$O$22,MATCH(VLOOKUP($A86,main!$A$3:$H$102,8,FALSE),main!$K$18:$O$18,0))))),1,0)</f>
        <v>0</v>
      </c>
      <c r="AA86">
        <f>IF((AND(VLOOKUP(AA$1,main!$A$3:$H$102,5,FALSE)-VLOOKUP($A86,main!$A$3:$H$102,6,FALSE)&gt;=(VLOOKUP(VLOOKUP(AA$1,main!$A$3:$H$102,8,FALSE),main!$K$26:$M$29,2,FALSE)+VLOOKUP(VLOOKUP(AA$1,main!$A$3:$H$102,7,FALSE),main!$K$19:$O$22,MATCH(VLOOKUP($A86,main!$A$3:$H$102,8,FALSE),main!$K$18:$O$18,0))))),1,0)</f>
        <v>0</v>
      </c>
      <c r="AB86">
        <f>IF((AND(VLOOKUP(AB$1,main!$A$3:$H$102,5,FALSE)-VLOOKUP($A86,main!$A$3:$H$102,6,FALSE)&gt;=(VLOOKUP(VLOOKUP(AB$1,main!$A$3:$H$102,8,FALSE),main!$K$26:$M$29,2,FALSE)+VLOOKUP(VLOOKUP(AB$1,main!$A$3:$H$102,7,FALSE),main!$K$19:$O$22,MATCH(VLOOKUP($A86,main!$A$3:$H$102,8,FALSE),main!$K$18:$O$18,0))))),1,0)</f>
        <v>0</v>
      </c>
      <c r="AC86">
        <f>IF((AND(VLOOKUP(AC$1,main!$A$3:$H$102,5,FALSE)-VLOOKUP($A86,main!$A$3:$H$102,6,FALSE)&gt;=(VLOOKUP(VLOOKUP(AC$1,main!$A$3:$H$102,8,FALSE),main!$K$26:$M$29,2,FALSE)+VLOOKUP(VLOOKUP(AC$1,main!$A$3:$H$102,7,FALSE),main!$K$19:$O$22,MATCH(VLOOKUP($A86,main!$A$3:$H$102,8,FALSE),main!$K$18:$O$18,0))))),1,0)</f>
        <v>0</v>
      </c>
      <c r="AD86">
        <f>IF((AND(VLOOKUP(AD$1,main!$A$3:$H$102,5,FALSE)-VLOOKUP($A86,main!$A$3:$H$102,6,FALSE)&gt;=(VLOOKUP(VLOOKUP(AD$1,main!$A$3:$H$102,8,FALSE),main!$K$26:$M$29,2,FALSE)+VLOOKUP(VLOOKUP(AD$1,main!$A$3:$H$102,7,FALSE),main!$K$19:$O$22,MATCH(VLOOKUP($A86,main!$A$3:$H$102,8,FALSE),main!$K$18:$O$18,0))))),1,0)</f>
        <v>0</v>
      </c>
      <c r="AE86">
        <f>IF((AND(VLOOKUP(AE$1,main!$A$3:$H$102,5,FALSE)-VLOOKUP($A86,main!$A$3:$H$102,6,FALSE)&gt;=(VLOOKUP(VLOOKUP(AE$1,main!$A$3:$H$102,8,FALSE),main!$K$26:$M$29,2,FALSE)+VLOOKUP(VLOOKUP(AE$1,main!$A$3:$H$102,7,FALSE),main!$K$19:$O$22,MATCH(VLOOKUP($A86,main!$A$3:$H$102,8,FALSE),main!$K$18:$O$18,0))))),1,0)</f>
        <v>0</v>
      </c>
      <c r="AF86">
        <f>IF((AND(VLOOKUP(AF$1,main!$A$3:$H$102,5,FALSE)-VLOOKUP($A86,main!$A$3:$H$102,6,FALSE)&gt;=(VLOOKUP(VLOOKUP(AF$1,main!$A$3:$H$102,8,FALSE),main!$K$26:$M$29,2,FALSE)+VLOOKUP(VLOOKUP(AF$1,main!$A$3:$H$102,7,FALSE),main!$K$19:$O$22,MATCH(VLOOKUP($A86,main!$A$3:$H$102,8,FALSE),main!$K$18:$O$18,0))))),1,0)</f>
        <v>0</v>
      </c>
      <c r="AG86">
        <f>IF((AND(VLOOKUP(AG$1,main!$A$3:$H$102,5,FALSE)-VLOOKUP($A86,main!$A$3:$H$102,6,FALSE)&gt;=(VLOOKUP(VLOOKUP(AG$1,main!$A$3:$H$102,8,FALSE),main!$K$26:$M$29,2,FALSE)+VLOOKUP(VLOOKUP(AG$1,main!$A$3:$H$102,7,FALSE),main!$K$19:$O$22,MATCH(VLOOKUP($A86,main!$A$3:$H$102,8,FALSE),main!$K$18:$O$18,0))))),1,0)</f>
        <v>0</v>
      </c>
      <c r="AH86">
        <f>IF((AND(VLOOKUP(AH$1,main!$A$3:$H$102,5,FALSE)-VLOOKUP($A86,main!$A$3:$H$102,6,FALSE)&gt;=(VLOOKUP(VLOOKUP(AH$1,main!$A$3:$H$102,8,FALSE),main!$K$26:$M$29,2,FALSE)+VLOOKUP(VLOOKUP(AH$1,main!$A$3:$H$102,7,FALSE),main!$K$19:$O$22,MATCH(VLOOKUP($A86,main!$A$3:$H$102,8,FALSE),main!$K$18:$O$18,0))))),1,0)</f>
        <v>0</v>
      </c>
      <c r="AI86">
        <f>IF((AND(VLOOKUP(AI$1,main!$A$3:$H$102,5,FALSE)-VLOOKUP($A86,main!$A$3:$H$102,6,FALSE)&gt;=(VLOOKUP(VLOOKUP(AI$1,main!$A$3:$H$102,8,FALSE),main!$K$26:$M$29,2,FALSE)+VLOOKUP(VLOOKUP(AI$1,main!$A$3:$H$102,7,FALSE),main!$K$19:$O$22,MATCH(VLOOKUP($A86,main!$A$3:$H$102,8,FALSE),main!$K$18:$O$18,0))))),1,0)</f>
        <v>0</v>
      </c>
      <c r="AJ86">
        <f>IF((AND(VLOOKUP(AJ$1,main!$A$3:$H$102,5,FALSE)-VLOOKUP($A86,main!$A$3:$H$102,6,FALSE)&gt;=(VLOOKUP(VLOOKUP(AJ$1,main!$A$3:$H$102,8,FALSE),main!$K$26:$M$29,2,FALSE)+VLOOKUP(VLOOKUP(AJ$1,main!$A$3:$H$102,7,FALSE),main!$K$19:$O$22,MATCH(VLOOKUP($A86,main!$A$3:$H$102,8,FALSE),main!$K$18:$O$18,0))))),1,0)</f>
        <v>0</v>
      </c>
      <c r="AK86">
        <f>IF((AND(VLOOKUP(AK$1,main!$A$3:$H$102,5,FALSE)-VLOOKUP($A86,main!$A$3:$H$102,6,FALSE)&gt;=(VLOOKUP(VLOOKUP(AK$1,main!$A$3:$H$102,8,FALSE),main!$K$26:$M$29,2,FALSE)+VLOOKUP(VLOOKUP(AK$1,main!$A$3:$H$102,7,FALSE),main!$K$19:$O$22,MATCH(VLOOKUP($A86,main!$A$3:$H$102,8,FALSE),main!$K$18:$O$18,0))))),1,0)</f>
        <v>0</v>
      </c>
      <c r="AL86">
        <f>IF((AND(VLOOKUP(AL$1,main!$A$3:$H$102,5,FALSE)-VLOOKUP($A86,main!$A$3:$H$102,6,FALSE)&gt;=(VLOOKUP(VLOOKUP(AL$1,main!$A$3:$H$102,8,FALSE),main!$K$26:$M$29,2,FALSE)+VLOOKUP(VLOOKUP(AL$1,main!$A$3:$H$102,7,FALSE),main!$K$19:$O$22,MATCH(VLOOKUP($A86,main!$A$3:$H$102,8,FALSE),main!$K$18:$O$18,0))))),1,0)</f>
        <v>0</v>
      </c>
      <c r="AM86">
        <f>IF((AND(VLOOKUP(AM$1,main!$A$3:$H$102,5,FALSE)-VLOOKUP($A86,main!$A$3:$H$102,6,FALSE)&gt;=(VLOOKUP(VLOOKUP(AM$1,main!$A$3:$H$102,8,FALSE),main!$K$26:$M$29,2,FALSE)+VLOOKUP(VLOOKUP(AM$1,main!$A$3:$H$102,7,FALSE),main!$K$19:$O$22,MATCH(VLOOKUP($A86,main!$A$3:$H$102,8,FALSE),main!$K$18:$O$18,0))))),1,0)</f>
        <v>0</v>
      </c>
      <c r="AN86">
        <f>IF((AND(VLOOKUP(AN$1,main!$A$3:$H$102,5,FALSE)-VLOOKUP($A86,main!$A$3:$H$102,6,FALSE)&gt;=(VLOOKUP(VLOOKUP(AN$1,main!$A$3:$H$102,8,FALSE),main!$K$26:$M$29,2,FALSE)+VLOOKUP(VLOOKUP(AN$1,main!$A$3:$H$102,7,FALSE),main!$K$19:$O$22,MATCH(VLOOKUP($A86,main!$A$3:$H$102,8,FALSE),main!$K$18:$O$18,0))))),1,0)</f>
        <v>0</v>
      </c>
      <c r="AO86">
        <f>IF((AND(VLOOKUP(AO$1,main!$A$3:$H$102,5,FALSE)-VLOOKUP($A86,main!$A$3:$H$102,6,FALSE)&gt;=(VLOOKUP(VLOOKUP(AO$1,main!$A$3:$H$102,8,FALSE),main!$K$26:$M$29,2,FALSE)+VLOOKUP(VLOOKUP(AO$1,main!$A$3:$H$102,7,FALSE),main!$K$19:$O$22,MATCH(VLOOKUP($A86,main!$A$3:$H$102,8,FALSE),main!$K$18:$O$18,0))))),1,0)</f>
        <v>0</v>
      </c>
      <c r="AP86">
        <f>IF((AND(VLOOKUP(AP$1,main!$A$3:$H$102,5,FALSE)-VLOOKUP($A86,main!$A$3:$H$102,6,FALSE)&gt;=(VLOOKUP(VLOOKUP(AP$1,main!$A$3:$H$102,8,FALSE),main!$K$26:$M$29,2,FALSE)+VLOOKUP(VLOOKUP(AP$1,main!$A$3:$H$102,7,FALSE),main!$K$19:$O$22,MATCH(VLOOKUP($A86,main!$A$3:$H$102,8,FALSE),main!$K$18:$O$18,0))))),1,0)</f>
        <v>1</v>
      </c>
      <c r="AQ86">
        <f>IF((AND(VLOOKUP(AQ$1,main!$A$3:$H$102,5,FALSE)-VLOOKUP($A86,main!$A$3:$H$102,6,FALSE)&gt;=(VLOOKUP(VLOOKUP(AQ$1,main!$A$3:$H$102,8,FALSE),main!$K$26:$M$29,2,FALSE)+VLOOKUP(VLOOKUP(AQ$1,main!$A$3:$H$102,7,FALSE),main!$K$19:$O$22,MATCH(VLOOKUP($A86,main!$A$3:$H$102,8,FALSE),main!$K$18:$O$18,0))))),1,0)</f>
        <v>0</v>
      </c>
      <c r="AR86">
        <f>IF((AND(VLOOKUP(AR$1,main!$A$3:$H$102,5,FALSE)-VLOOKUP($A86,main!$A$3:$H$102,6,FALSE)&gt;=(VLOOKUP(VLOOKUP(AR$1,main!$A$3:$H$102,8,FALSE),main!$K$26:$M$29,2,FALSE)+VLOOKUP(VLOOKUP(AR$1,main!$A$3:$H$102,7,FALSE),main!$K$19:$O$22,MATCH(VLOOKUP($A86,main!$A$3:$H$102,8,FALSE),main!$K$18:$O$18,0))))),1,0)</f>
        <v>0</v>
      </c>
      <c r="AS86">
        <f>IF((AND(VLOOKUP(AS$1,main!$A$3:$H$102,5,FALSE)-VLOOKUP($A86,main!$A$3:$H$102,6,FALSE)&gt;=(VLOOKUP(VLOOKUP(AS$1,main!$A$3:$H$102,8,FALSE),main!$K$26:$M$29,2,FALSE)+VLOOKUP(VLOOKUP(AS$1,main!$A$3:$H$102,7,FALSE),main!$K$19:$O$22,MATCH(VLOOKUP($A86,main!$A$3:$H$102,8,FALSE),main!$K$18:$O$18,0))))),1,0)</f>
        <v>0</v>
      </c>
      <c r="AT86">
        <f>IF((AND(VLOOKUP(AT$1,main!$A$3:$H$102,5,FALSE)-VLOOKUP($A86,main!$A$3:$H$102,6,FALSE)&gt;=(VLOOKUP(VLOOKUP(AT$1,main!$A$3:$H$102,8,FALSE),main!$K$26:$M$29,2,FALSE)+VLOOKUP(VLOOKUP(AT$1,main!$A$3:$H$102,7,FALSE),main!$K$19:$O$22,MATCH(VLOOKUP($A86,main!$A$3:$H$102,8,FALSE),main!$K$18:$O$18,0))))),1,0)</f>
        <v>0</v>
      </c>
      <c r="AU86">
        <f>IF((AND(VLOOKUP(AU$1,main!$A$3:$H$102,5,FALSE)-VLOOKUP($A86,main!$A$3:$H$102,6,FALSE)&gt;=(VLOOKUP(VLOOKUP(AU$1,main!$A$3:$H$102,8,FALSE),main!$K$26:$M$29,2,FALSE)+VLOOKUP(VLOOKUP(AU$1,main!$A$3:$H$102,7,FALSE),main!$K$19:$O$22,MATCH(VLOOKUP($A86,main!$A$3:$H$102,8,FALSE),main!$K$18:$O$18,0))))),1,0)</f>
        <v>0</v>
      </c>
      <c r="AV86">
        <f>IF((AND(VLOOKUP(AV$1,main!$A$3:$H$102,5,FALSE)-VLOOKUP($A86,main!$A$3:$H$102,6,FALSE)&gt;=(VLOOKUP(VLOOKUP(AV$1,main!$A$3:$H$102,8,FALSE),main!$K$26:$M$29,2,FALSE)+VLOOKUP(VLOOKUP(AV$1,main!$A$3:$H$102,7,FALSE),main!$K$19:$O$22,MATCH(VLOOKUP($A86,main!$A$3:$H$102,8,FALSE),main!$K$18:$O$18,0))))),1,0)</f>
        <v>0</v>
      </c>
      <c r="AW86">
        <f>IF((AND(VLOOKUP(AW$1,main!$A$3:$H$102,5,FALSE)-VLOOKUP($A86,main!$A$3:$H$102,6,FALSE)&gt;=(VLOOKUP(VLOOKUP(AW$1,main!$A$3:$H$102,8,FALSE),main!$K$26:$M$29,2,FALSE)+VLOOKUP(VLOOKUP(AW$1,main!$A$3:$H$102,7,FALSE),main!$K$19:$O$22,MATCH(VLOOKUP($A86,main!$A$3:$H$102,8,FALSE),main!$K$18:$O$18,0))))),1,0)</f>
        <v>0</v>
      </c>
      <c r="AX86">
        <f>IF((AND(VLOOKUP(AX$1,main!$A$3:$H$102,5,FALSE)-VLOOKUP($A86,main!$A$3:$H$102,6,FALSE)&gt;=(VLOOKUP(VLOOKUP(AX$1,main!$A$3:$H$102,8,FALSE),main!$K$26:$M$29,2,FALSE)+VLOOKUP(VLOOKUP(AX$1,main!$A$3:$H$102,7,FALSE),main!$K$19:$O$22,MATCH(VLOOKUP($A86,main!$A$3:$H$102,8,FALSE),main!$K$18:$O$18,0))))),1,0)</f>
        <v>0</v>
      </c>
      <c r="AY86">
        <f>IF((AND(VLOOKUP(AY$1,main!$A$3:$H$102,5,FALSE)-VLOOKUP($A86,main!$A$3:$H$102,6,FALSE)&gt;=(VLOOKUP(VLOOKUP(AY$1,main!$A$3:$H$102,8,FALSE),main!$K$26:$M$29,2,FALSE)+VLOOKUP(VLOOKUP(AY$1,main!$A$3:$H$102,7,FALSE),main!$K$19:$O$22,MATCH(VLOOKUP($A86,main!$A$3:$H$102,8,FALSE),main!$K$18:$O$18,0))))),1,0)</f>
        <v>0</v>
      </c>
      <c r="AZ86">
        <f>IF((AND(VLOOKUP(AZ$1,main!$A$3:$H$102,5,FALSE)-VLOOKUP($A86,main!$A$3:$H$102,6,FALSE)&gt;=(VLOOKUP(VLOOKUP(AZ$1,main!$A$3:$H$102,8,FALSE),main!$K$26:$M$29,2,FALSE)+VLOOKUP(VLOOKUP(AZ$1,main!$A$3:$H$102,7,FALSE),main!$K$19:$O$22,MATCH(VLOOKUP($A86,main!$A$3:$H$102,8,FALSE),main!$K$18:$O$18,0))))),1,0)</f>
        <v>0</v>
      </c>
      <c r="BA86">
        <f>IF((AND(VLOOKUP(BA$1,main!$A$3:$H$102,5,FALSE)-VLOOKUP($A86,main!$A$3:$H$102,6,FALSE)&gt;=(VLOOKUP(VLOOKUP(BA$1,main!$A$3:$H$102,8,FALSE),main!$K$26:$M$29,2,FALSE)+VLOOKUP(VLOOKUP(BA$1,main!$A$3:$H$102,7,FALSE),main!$K$19:$O$22,MATCH(VLOOKUP($A86,main!$A$3:$H$102,8,FALSE),main!$K$18:$O$18,0))))),1,0)</f>
        <v>0</v>
      </c>
      <c r="BB86">
        <f>IF((AND(VLOOKUP(BB$1,main!$A$3:$H$102,5,FALSE)-VLOOKUP($A86,main!$A$3:$H$102,6,FALSE)&gt;=(VLOOKUP(VLOOKUP(BB$1,main!$A$3:$H$102,8,FALSE),main!$K$26:$M$29,2,FALSE)+VLOOKUP(VLOOKUP(BB$1,main!$A$3:$H$102,7,FALSE),main!$K$19:$O$22,MATCH(VLOOKUP($A86,main!$A$3:$H$102,8,FALSE),main!$K$18:$O$18,0))))),1,0)</f>
        <v>0</v>
      </c>
      <c r="BC86">
        <f>IF((AND(VLOOKUP(BC$1,main!$A$3:$H$102,5,FALSE)-VLOOKUP($A86,main!$A$3:$H$102,6,FALSE)&gt;=(VLOOKUP(VLOOKUP(BC$1,main!$A$3:$H$102,8,FALSE),main!$K$26:$M$29,2,FALSE)+VLOOKUP(VLOOKUP(BC$1,main!$A$3:$H$102,7,FALSE),main!$K$19:$O$22,MATCH(VLOOKUP($A86,main!$A$3:$H$102,8,FALSE),main!$K$18:$O$18,0))))),1,0)</f>
        <v>0</v>
      </c>
      <c r="BD86">
        <f>IF((AND(VLOOKUP(BD$1,main!$A$3:$H$102,5,FALSE)-VLOOKUP($A86,main!$A$3:$H$102,6,FALSE)&gt;=(VLOOKUP(VLOOKUP(BD$1,main!$A$3:$H$102,8,FALSE),main!$K$26:$M$29,2,FALSE)+VLOOKUP(VLOOKUP(BD$1,main!$A$3:$H$102,7,FALSE),main!$K$19:$O$22,MATCH(VLOOKUP($A86,main!$A$3:$H$102,8,FALSE),main!$K$18:$O$18,0))))),1,0)</f>
        <v>0</v>
      </c>
      <c r="BE86">
        <f>IF((AND(VLOOKUP(BE$1,main!$A$3:$H$102,5,FALSE)-VLOOKUP($A86,main!$A$3:$H$102,6,FALSE)&gt;=(VLOOKUP(VLOOKUP(BE$1,main!$A$3:$H$102,8,FALSE),main!$K$26:$M$29,2,FALSE)+VLOOKUP(VLOOKUP(BE$1,main!$A$3:$H$102,7,FALSE),main!$K$19:$O$22,MATCH(VLOOKUP($A86,main!$A$3:$H$102,8,FALSE),main!$K$18:$O$18,0))))),1,0)</f>
        <v>0</v>
      </c>
      <c r="BF86">
        <f>IF((AND(VLOOKUP(BF$1,main!$A$3:$H$102,5,FALSE)-VLOOKUP($A86,main!$A$3:$H$102,6,FALSE)&gt;=(VLOOKUP(VLOOKUP(BF$1,main!$A$3:$H$102,8,FALSE),main!$K$26:$M$29,2,FALSE)+VLOOKUP(VLOOKUP(BF$1,main!$A$3:$H$102,7,FALSE),main!$K$19:$O$22,MATCH(VLOOKUP($A86,main!$A$3:$H$102,8,FALSE),main!$K$18:$O$18,0))))),1,0)</f>
        <v>0</v>
      </c>
      <c r="BG86">
        <f>IF((AND(VLOOKUP(BG$1,main!$A$3:$H$102,5,FALSE)-VLOOKUP($A86,main!$A$3:$H$102,6,FALSE)&gt;=(VLOOKUP(VLOOKUP(BG$1,main!$A$3:$H$102,8,FALSE),main!$K$26:$M$29,2,FALSE)+VLOOKUP(VLOOKUP(BG$1,main!$A$3:$H$102,7,FALSE),main!$K$19:$O$22,MATCH(VLOOKUP($A86,main!$A$3:$H$102,8,FALSE),main!$K$18:$O$18,0))))),1,0)</f>
        <v>0</v>
      </c>
      <c r="BH86">
        <f>IF((AND(VLOOKUP(BH$1,main!$A$3:$H$102,5,FALSE)-VLOOKUP($A86,main!$A$3:$H$102,6,FALSE)&gt;=(VLOOKUP(VLOOKUP(BH$1,main!$A$3:$H$102,8,FALSE),main!$K$26:$M$29,2,FALSE)+VLOOKUP(VLOOKUP(BH$1,main!$A$3:$H$102,7,FALSE),main!$K$19:$O$22,MATCH(VLOOKUP($A86,main!$A$3:$H$102,8,FALSE),main!$K$18:$O$18,0))))),1,0)</f>
        <v>0</v>
      </c>
      <c r="BI86">
        <f>IF((AND(VLOOKUP(BI$1,main!$A$3:$H$102,5,FALSE)-VLOOKUP($A86,main!$A$3:$H$102,6,FALSE)&gt;=(VLOOKUP(VLOOKUP(BI$1,main!$A$3:$H$102,8,FALSE),main!$K$26:$M$29,2,FALSE)+VLOOKUP(VLOOKUP(BI$1,main!$A$3:$H$102,7,FALSE),main!$K$19:$O$22,MATCH(VLOOKUP($A86,main!$A$3:$H$102,8,FALSE),main!$K$18:$O$18,0))))),1,0)</f>
        <v>1</v>
      </c>
      <c r="BJ86">
        <f>IF((AND(VLOOKUP(BJ$1,main!$A$3:$H$102,5,FALSE)-VLOOKUP($A86,main!$A$3:$H$102,6,FALSE)&gt;=(VLOOKUP(VLOOKUP(BJ$1,main!$A$3:$H$102,8,FALSE),main!$K$26:$M$29,2,FALSE)+VLOOKUP(VLOOKUP(BJ$1,main!$A$3:$H$102,7,FALSE),main!$K$19:$O$22,MATCH(VLOOKUP($A86,main!$A$3:$H$102,8,FALSE),main!$K$18:$O$18,0))))),1,0)</f>
        <v>0</v>
      </c>
      <c r="BK86">
        <f>IF((AND(VLOOKUP(BK$1,main!$A$3:$H$102,5,FALSE)-VLOOKUP($A86,main!$A$3:$H$102,6,FALSE)&gt;=(VLOOKUP(VLOOKUP(BK$1,main!$A$3:$H$102,8,FALSE),main!$K$26:$M$29,2,FALSE)+VLOOKUP(VLOOKUP(BK$1,main!$A$3:$H$102,7,FALSE),main!$K$19:$O$22,MATCH(VLOOKUP($A86,main!$A$3:$H$102,8,FALSE),main!$K$18:$O$18,0))))),1,0)</f>
        <v>0</v>
      </c>
      <c r="BL86">
        <f>IF((AND(VLOOKUP(BL$1,main!$A$3:$H$102,5,FALSE)-VLOOKUP($A86,main!$A$3:$H$102,6,FALSE)&gt;=(VLOOKUP(VLOOKUP(BL$1,main!$A$3:$H$102,8,FALSE),main!$K$26:$M$29,2,FALSE)+VLOOKUP(VLOOKUP(BL$1,main!$A$3:$H$102,7,FALSE),main!$K$19:$O$22,MATCH(VLOOKUP($A86,main!$A$3:$H$102,8,FALSE),main!$K$18:$O$18,0))))),1,0)</f>
        <v>0</v>
      </c>
      <c r="BM86">
        <f>IF((AND(VLOOKUP(BM$1,main!$A$3:$H$102,5,FALSE)-VLOOKUP($A86,main!$A$3:$H$102,6,FALSE)&gt;=(VLOOKUP(VLOOKUP(BM$1,main!$A$3:$H$102,8,FALSE),main!$K$26:$M$29,2,FALSE)+VLOOKUP(VLOOKUP(BM$1,main!$A$3:$H$102,7,FALSE),main!$K$19:$O$22,MATCH(VLOOKUP($A86,main!$A$3:$H$102,8,FALSE),main!$K$18:$O$18,0))))),1,0)</f>
        <v>0</v>
      </c>
      <c r="BN86">
        <f>IF((AND(VLOOKUP(BN$1,main!$A$3:$H$102,5,FALSE)-VLOOKUP($A86,main!$A$3:$H$102,6,FALSE)&gt;=(VLOOKUP(VLOOKUP(BN$1,main!$A$3:$H$102,8,FALSE),main!$K$26:$M$29,2,FALSE)+VLOOKUP(VLOOKUP(BN$1,main!$A$3:$H$102,7,FALSE),main!$K$19:$O$22,MATCH(VLOOKUP($A86,main!$A$3:$H$102,8,FALSE),main!$K$18:$O$18,0))))),1,0)</f>
        <v>0</v>
      </c>
      <c r="BO86">
        <f>IF((AND(VLOOKUP(BO$1,main!$A$3:$H$102,5,FALSE)-VLOOKUP($A86,main!$A$3:$H$102,6,FALSE)&gt;=(VLOOKUP(VLOOKUP(BO$1,main!$A$3:$H$102,8,FALSE),main!$K$26:$M$29,2,FALSE)+VLOOKUP(VLOOKUP(BO$1,main!$A$3:$H$102,7,FALSE),main!$K$19:$O$22,MATCH(VLOOKUP($A86,main!$A$3:$H$102,8,FALSE),main!$K$18:$O$18,0))))),1,0)</f>
        <v>0</v>
      </c>
      <c r="BP86">
        <f>IF((AND(VLOOKUP(BP$1,main!$A$3:$H$102,5,FALSE)-VLOOKUP($A86,main!$A$3:$H$102,6,FALSE)&gt;=(VLOOKUP(VLOOKUP(BP$1,main!$A$3:$H$102,8,FALSE),main!$K$26:$M$29,2,FALSE)+VLOOKUP(VLOOKUP(BP$1,main!$A$3:$H$102,7,FALSE),main!$K$19:$O$22,MATCH(VLOOKUP($A86,main!$A$3:$H$102,8,FALSE),main!$K$18:$O$18,0))))),1,0)</f>
        <v>0</v>
      </c>
      <c r="BQ86">
        <f>IF((AND(VLOOKUP(BQ$1,main!$A$3:$H$102,5,FALSE)-VLOOKUP($A86,main!$A$3:$H$102,6,FALSE)&gt;=(VLOOKUP(VLOOKUP(BQ$1,main!$A$3:$H$102,8,FALSE),main!$K$26:$M$29,2,FALSE)+VLOOKUP(VLOOKUP(BQ$1,main!$A$3:$H$102,7,FALSE),main!$K$19:$O$22,MATCH(VLOOKUP($A86,main!$A$3:$H$102,8,FALSE),main!$K$18:$O$18,0))))),1,0)</f>
        <v>0</v>
      </c>
      <c r="BR86">
        <f>IF((AND(VLOOKUP(BR$1,main!$A$3:$H$102,5,FALSE)-VLOOKUP($A86,main!$A$3:$H$102,6,FALSE)&gt;=(VLOOKUP(VLOOKUP(BR$1,main!$A$3:$H$102,8,FALSE),main!$K$26:$M$29,2,FALSE)+VLOOKUP(VLOOKUP(BR$1,main!$A$3:$H$102,7,FALSE),main!$K$19:$O$22,MATCH(VLOOKUP($A86,main!$A$3:$H$102,8,FALSE),main!$K$18:$O$18,0))))),1,0)</f>
        <v>0</v>
      </c>
      <c r="BS86">
        <f>IF((AND(VLOOKUP(BS$1,main!$A$3:$H$102,5,FALSE)-VLOOKUP($A86,main!$A$3:$H$102,6,FALSE)&gt;=(VLOOKUP(VLOOKUP(BS$1,main!$A$3:$H$102,8,FALSE),main!$K$26:$M$29,2,FALSE)+VLOOKUP(VLOOKUP(BS$1,main!$A$3:$H$102,7,FALSE),main!$K$19:$O$22,MATCH(VLOOKUP($A86,main!$A$3:$H$102,8,FALSE),main!$K$18:$O$18,0))))),1,0)</f>
        <v>0</v>
      </c>
      <c r="BT86">
        <f>IF((AND(VLOOKUP(BT$1,main!$A$3:$H$102,5,FALSE)-VLOOKUP($A86,main!$A$3:$H$102,6,FALSE)&gt;=(VLOOKUP(VLOOKUP(BT$1,main!$A$3:$H$102,8,FALSE),main!$K$26:$M$29,2,FALSE)+VLOOKUP(VLOOKUP(BT$1,main!$A$3:$H$102,7,FALSE),main!$K$19:$O$22,MATCH(VLOOKUP($A86,main!$A$3:$H$102,8,FALSE),main!$K$18:$O$18,0))))),1,0)</f>
        <v>0</v>
      </c>
      <c r="BU86">
        <f>IF((AND(VLOOKUP(BU$1,main!$A$3:$H$102,5,FALSE)-VLOOKUP($A86,main!$A$3:$H$102,6,FALSE)&gt;=(VLOOKUP(VLOOKUP(BU$1,main!$A$3:$H$102,8,FALSE),main!$K$26:$M$29,2,FALSE)+VLOOKUP(VLOOKUP(BU$1,main!$A$3:$H$102,7,FALSE),main!$K$19:$O$22,MATCH(VLOOKUP($A86,main!$A$3:$H$102,8,FALSE),main!$K$18:$O$18,0))))),1,0)</f>
        <v>0</v>
      </c>
      <c r="BV86">
        <f>IF((AND(VLOOKUP(BV$1,main!$A$3:$H$102,5,FALSE)-VLOOKUP($A86,main!$A$3:$H$102,6,FALSE)&gt;=(VLOOKUP(VLOOKUP(BV$1,main!$A$3:$H$102,8,FALSE),main!$K$26:$M$29,2,FALSE)+VLOOKUP(VLOOKUP(BV$1,main!$A$3:$H$102,7,FALSE),main!$K$19:$O$22,MATCH(VLOOKUP($A86,main!$A$3:$H$102,8,FALSE),main!$K$18:$O$18,0))))),1,0)</f>
        <v>0</v>
      </c>
      <c r="BW86">
        <f>IF((AND(VLOOKUP(BW$1,main!$A$3:$H$102,5,FALSE)-VLOOKUP($A86,main!$A$3:$H$102,6,FALSE)&gt;=(VLOOKUP(VLOOKUP(BW$1,main!$A$3:$H$102,8,FALSE),main!$K$26:$M$29,2,FALSE)+VLOOKUP(VLOOKUP(BW$1,main!$A$3:$H$102,7,FALSE),main!$K$19:$O$22,MATCH(VLOOKUP($A86,main!$A$3:$H$102,8,FALSE),main!$K$18:$O$18,0))))),1,0)</f>
        <v>0</v>
      </c>
      <c r="BX86">
        <f>IF((AND(VLOOKUP(BX$1,main!$A$3:$H$102,5,FALSE)-VLOOKUP($A86,main!$A$3:$H$102,6,FALSE)&gt;=(VLOOKUP(VLOOKUP(BX$1,main!$A$3:$H$102,8,FALSE),main!$K$26:$M$29,2,FALSE)+VLOOKUP(VLOOKUP(BX$1,main!$A$3:$H$102,7,FALSE),main!$K$19:$O$22,MATCH(VLOOKUP($A86,main!$A$3:$H$102,8,FALSE),main!$K$18:$O$18,0))))),1,0)</f>
        <v>0</v>
      </c>
      <c r="BY86">
        <f>IF((AND(VLOOKUP(BY$1,main!$A$3:$H$102,5,FALSE)-VLOOKUP($A86,main!$A$3:$H$102,6,FALSE)&gt;=(VLOOKUP(VLOOKUP(BY$1,main!$A$3:$H$102,8,FALSE),main!$K$26:$M$29,2,FALSE)+VLOOKUP(VLOOKUP(BY$1,main!$A$3:$H$102,7,FALSE),main!$K$19:$O$22,MATCH(VLOOKUP($A86,main!$A$3:$H$102,8,FALSE),main!$K$18:$O$18,0))))),1,0)</f>
        <v>0</v>
      </c>
      <c r="BZ86">
        <f>IF((AND(VLOOKUP(BZ$1,main!$A$3:$H$102,5,FALSE)-VLOOKUP($A86,main!$A$3:$H$102,6,FALSE)&gt;=(VLOOKUP(VLOOKUP(BZ$1,main!$A$3:$H$102,8,FALSE),main!$K$26:$M$29,2,FALSE)+VLOOKUP(VLOOKUP(BZ$1,main!$A$3:$H$102,7,FALSE),main!$K$19:$O$22,MATCH(VLOOKUP($A86,main!$A$3:$H$102,8,FALSE),main!$K$18:$O$18,0))))),1,0)</f>
        <v>0</v>
      </c>
      <c r="CA86">
        <f>IF((AND(VLOOKUP(CA$1,main!$A$3:$H$102,5,FALSE)-VLOOKUP($A86,main!$A$3:$H$102,6,FALSE)&gt;=(VLOOKUP(VLOOKUP(CA$1,main!$A$3:$H$102,8,FALSE),main!$K$26:$M$29,2,FALSE)+VLOOKUP(VLOOKUP(CA$1,main!$A$3:$H$102,7,FALSE),main!$K$19:$O$22,MATCH(VLOOKUP($A86,main!$A$3:$H$102,8,FALSE),main!$K$18:$O$18,0))))),1,0)</f>
        <v>0</v>
      </c>
      <c r="CB86">
        <f>IF((AND(VLOOKUP(CB$1,main!$A$3:$H$102,5,FALSE)-VLOOKUP($A86,main!$A$3:$H$102,6,FALSE)&gt;=(VLOOKUP(VLOOKUP(CB$1,main!$A$3:$H$102,8,FALSE),main!$K$26:$M$29,2,FALSE)+VLOOKUP(VLOOKUP(CB$1,main!$A$3:$H$102,7,FALSE),main!$K$19:$O$22,MATCH(VLOOKUP($A86,main!$A$3:$H$102,8,FALSE),main!$K$18:$O$18,0))))),1,0)</f>
        <v>0</v>
      </c>
      <c r="CC86">
        <f>IF((AND(VLOOKUP(CC$1,main!$A$3:$H$102,5,FALSE)-VLOOKUP($A86,main!$A$3:$H$102,6,FALSE)&gt;=(VLOOKUP(VLOOKUP(CC$1,main!$A$3:$H$102,8,FALSE),main!$K$26:$M$29,2,FALSE)+VLOOKUP(VLOOKUP(CC$1,main!$A$3:$H$102,7,FALSE),main!$K$19:$O$22,MATCH(VLOOKUP($A86,main!$A$3:$H$102,8,FALSE),main!$K$18:$O$18,0))))),1,0)</f>
        <v>0</v>
      </c>
      <c r="CD86">
        <f>IF((AND(VLOOKUP(CD$1,main!$A$3:$H$102,5,FALSE)-VLOOKUP($A86,main!$A$3:$H$102,6,FALSE)&gt;=(VLOOKUP(VLOOKUP(CD$1,main!$A$3:$H$102,8,FALSE),main!$K$26:$M$29,2,FALSE)+VLOOKUP(VLOOKUP(CD$1,main!$A$3:$H$102,7,FALSE),main!$K$19:$O$22,MATCH(VLOOKUP($A86,main!$A$3:$H$102,8,FALSE),main!$K$18:$O$18,0))))),1,0)</f>
        <v>0</v>
      </c>
      <c r="CE86">
        <f>IF((AND(VLOOKUP(CE$1,main!$A$3:$H$102,5,FALSE)-VLOOKUP($A86,main!$A$3:$H$102,6,FALSE)&gt;=(VLOOKUP(VLOOKUP(CE$1,main!$A$3:$H$102,8,FALSE),main!$K$26:$M$29,2,FALSE)+VLOOKUP(VLOOKUP(CE$1,main!$A$3:$H$102,7,FALSE),main!$K$19:$O$22,MATCH(VLOOKUP($A86,main!$A$3:$H$102,8,FALSE),main!$K$18:$O$18,0))))),1,0)</f>
        <v>0</v>
      </c>
      <c r="CF86">
        <f>IF((AND(VLOOKUP(CF$1,main!$A$3:$H$102,5,FALSE)-VLOOKUP($A86,main!$A$3:$H$102,6,FALSE)&gt;=(VLOOKUP(VLOOKUP(CF$1,main!$A$3:$H$102,8,FALSE),main!$K$26:$M$29,2,FALSE)+VLOOKUP(VLOOKUP(CF$1,main!$A$3:$H$102,7,FALSE),main!$K$19:$O$22,MATCH(VLOOKUP($A86,main!$A$3:$H$102,8,FALSE),main!$K$18:$O$18,0))))),1,0)</f>
        <v>0</v>
      </c>
      <c r="CG86">
        <f>IF((AND(VLOOKUP(CG$1,main!$A$3:$H$102,5,FALSE)-VLOOKUP($A86,main!$A$3:$H$102,6,FALSE)&gt;=(VLOOKUP(VLOOKUP(CG$1,main!$A$3:$H$102,8,FALSE),main!$K$26:$M$29,2,FALSE)+VLOOKUP(VLOOKUP(CG$1,main!$A$3:$H$102,7,FALSE),main!$K$19:$O$22,MATCH(VLOOKUP($A86,main!$A$3:$H$102,8,FALSE),main!$K$18:$O$18,0))))),1,0)</f>
        <v>0</v>
      </c>
      <c r="CH86">
        <f>IF((AND(VLOOKUP(CH$1,main!$A$3:$H$102,5,FALSE)-VLOOKUP($A86,main!$A$3:$H$102,6,FALSE)&gt;=(VLOOKUP(VLOOKUP(CH$1,main!$A$3:$H$102,8,FALSE),main!$K$26:$M$29,2,FALSE)+VLOOKUP(VLOOKUP(CH$1,main!$A$3:$H$102,7,FALSE),main!$K$19:$O$22,MATCH(VLOOKUP($A86,main!$A$3:$H$102,8,FALSE),main!$K$18:$O$18,0))))),1,0)</f>
        <v>0</v>
      </c>
      <c r="CI86">
        <f>IF((AND(VLOOKUP(CI$1,main!$A$3:$H$102,5,FALSE)-VLOOKUP($A86,main!$A$3:$H$102,6,FALSE)&gt;=(VLOOKUP(VLOOKUP(CI$1,main!$A$3:$H$102,8,FALSE),main!$K$26:$M$29,2,FALSE)+VLOOKUP(VLOOKUP(CI$1,main!$A$3:$H$102,7,FALSE),main!$K$19:$O$22,MATCH(VLOOKUP($A86,main!$A$3:$H$102,8,FALSE),main!$K$18:$O$18,0))))),1,0)</f>
        <v>1</v>
      </c>
      <c r="CJ86">
        <f>IF((AND(VLOOKUP(CJ$1,main!$A$3:$H$102,5,FALSE)-VLOOKUP($A86,main!$A$3:$H$102,6,FALSE)&gt;=(VLOOKUP(VLOOKUP(CJ$1,main!$A$3:$H$102,8,FALSE),main!$K$26:$M$29,2,FALSE)+VLOOKUP(VLOOKUP(CJ$1,main!$A$3:$H$102,7,FALSE),main!$K$19:$O$22,MATCH(VLOOKUP($A86,main!$A$3:$H$102,8,FALSE),main!$K$18:$O$18,0))))),1,0)</f>
        <v>0</v>
      </c>
      <c r="CK86">
        <f>IF((AND(VLOOKUP(CK$1,main!$A$3:$H$102,5,FALSE)-VLOOKUP($A86,main!$A$3:$H$102,6,FALSE)&gt;=(VLOOKUP(VLOOKUP(CK$1,main!$A$3:$H$102,8,FALSE),main!$K$26:$M$29,2,FALSE)+VLOOKUP(VLOOKUP(CK$1,main!$A$3:$H$102,7,FALSE),main!$K$19:$O$22,MATCH(VLOOKUP($A86,main!$A$3:$H$102,8,FALSE),main!$K$18:$O$18,0))))),1,0)</f>
        <v>0</v>
      </c>
      <c r="CL86">
        <f>IF((AND(VLOOKUP(CL$1,main!$A$3:$H$102,5,FALSE)-VLOOKUP($A86,main!$A$3:$H$102,6,FALSE)&gt;=(VLOOKUP(VLOOKUP(CL$1,main!$A$3:$H$102,8,FALSE),main!$K$26:$M$29,2,FALSE)+VLOOKUP(VLOOKUP(CL$1,main!$A$3:$H$102,7,FALSE),main!$K$19:$O$22,MATCH(VLOOKUP($A86,main!$A$3:$H$102,8,FALSE),main!$K$18:$O$18,0))))),1,0)</f>
        <v>0</v>
      </c>
      <c r="CM86">
        <f>IF((AND(VLOOKUP(CM$1,main!$A$3:$H$102,5,FALSE)-VLOOKUP($A86,main!$A$3:$H$102,6,FALSE)&gt;=(VLOOKUP(VLOOKUP(CM$1,main!$A$3:$H$102,8,FALSE),main!$K$26:$M$29,2,FALSE)+VLOOKUP(VLOOKUP(CM$1,main!$A$3:$H$102,7,FALSE),main!$K$19:$O$22,MATCH(VLOOKUP($A86,main!$A$3:$H$102,8,FALSE),main!$K$18:$O$18,0))))),1,0)</f>
        <v>0</v>
      </c>
      <c r="CN86">
        <f>IF((AND(VLOOKUP(CN$1,main!$A$3:$H$102,5,FALSE)-VLOOKUP($A86,main!$A$3:$H$102,6,FALSE)&gt;=(VLOOKUP(VLOOKUP(CN$1,main!$A$3:$H$102,8,FALSE),main!$K$26:$M$29,2,FALSE)+VLOOKUP(VLOOKUP(CN$1,main!$A$3:$H$102,7,FALSE),main!$K$19:$O$22,MATCH(VLOOKUP($A86,main!$A$3:$H$102,8,FALSE),main!$K$18:$O$18,0))))),1,0)</f>
        <v>1</v>
      </c>
      <c r="CO86">
        <f>IF((AND(VLOOKUP(CO$1,main!$A$3:$H$102,5,FALSE)-VLOOKUP($A86,main!$A$3:$H$102,6,FALSE)&gt;=(VLOOKUP(VLOOKUP(CO$1,main!$A$3:$H$102,8,FALSE),main!$K$26:$M$29,2,FALSE)+VLOOKUP(VLOOKUP(CO$1,main!$A$3:$H$102,7,FALSE),main!$K$19:$O$22,MATCH(VLOOKUP($A86,main!$A$3:$H$102,8,FALSE),main!$K$18:$O$18,0))))),1,0)</f>
        <v>0</v>
      </c>
      <c r="CP86">
        <f>IF((AND(VLOOKUP(CP$1,main!$A$3:$H$102,5,FALSE)-VLOOKUP($A86,main!$A$3:$H$102,6,FALSE)&gt;=(VLOOKUP(VLOOKUP(CP$1,main!$A$3:$H$102,8,FALSE),main!$K$26:$M$29,2,FALSE)+VLOOKUP(VLOOKUP(CP$1,main!$A$3:$H$102,7,FALSE),main!$K$19:$O$22,MATCH(VLOOKUP($A86,main!$A$3:$H$102,8,FALSE),main!$K$18:$O$18,0))))),1,0)</f>
        <v>0</v>
      </c>
      <c r="CQ86">
        <f>IF((AND(VLOOKUP(CQ$1,main!$A$3:$H$102,5,FALSE)-VLOOKUP($A86,main!$A$3:$H$102,6,FALSE)&gt;=(VLOOKUP(VLOOKUP(CQ$1,main!$A$3:$H$102,8,FALSE),main!$K$26:$M$29,2,FALSE)+VLOOKUP(VLOOKUP(CQ$1,main!$A$3:$H$102,7,FALSE),main!$K$19:$O$22,MATCH(VLOOKUP($A86,main!$A$3:$H$102,8,FALSE),main!$K$18:$O$18,0))))),1,0)</f>
        <v>0</v>
      </c>
      <c r="CR86">
        <f>IF((AND(VLOOKUP(CR$1,main!$A$3:$H$102,5,FALSE)-VLOOKUP($A86,main!$A$3:$H$102,6,FALSE)&gt;=(VLOOKUP(VLOOKUP(CR$1,main!$A$3:$H$102,8,FALSE),main!$K$26:$M$29,2,FALSE)+VLOOKUP(VLOOKUP(CR$1,main!$A$3:$H$102,7,FALSE),main!$K$19:$O$22,MATCH(VLOOKUP($A86,main!$A$3:$H$102,8,FALSE),main!$K$18:$O$18,0))))),1,0)</f>
        <v>0</v>
      </c>
      <c r="CS86">
        <f>IF((AND(VLOOKUP(CS$1,main!$A$3:$H$102,5,FALSE)-VLOOKUP($A86,main!$A$3:$H$102,6,FALSE)&gt;=(VLOOKUP(VLOOKUP(CS$1,main!$A$3:$H$102,8,FALSE),main!$K$26:$M$29,2,FALSE)+VLOOKUP(VLOOKUP(CS$1,main!$A$3:$H$102,7,FALSE),main!$K$19:$O$22,MATCH(VLOOKUP($A86,main!$A$3:$H$102,8,FALSE),main!$K$18:$O$18,0))))),1,0)</f>
        <v>0</v>
      </c>
      <c r="CT86">
        <f>IF((AND(VLOOKUP(CT$1,main!$A$3:$H$102,5,FALSE)-VLOOKUP($A86,main!$A$3:$H$102,6,FALSE)&gt;=(VLOOKUP(VLOOKUP(CT$1,main!$A$3:$H$102,8,FALSE),main!$K$26:$M$29,2,FALSE)+VLOOKUP(VLOOKUP(CT$1,main!$A$3:$H$102,7,FALSE),main!$K$19:$O$22,MATCH(VLOOKUP($A86,main!$A$3:$H$102,8,FALSE),main!$K$18:$O$18,0))))),1,0)</f>
        <v>0</v>
      </c>
      <c r="CU86">
        <f>IF((AND(VLOOKUP(CU$1,main!$A$3:$H$102,5,FALSE)-VLOOKUP($A86,main!$A$3:$H$102,6,FALSE)&gt;=(VLOOKUP(VLOOKUP(CU$1,main!$A$3:$H$102,8,FALSE),main!$K$26:$M$29,2,FALSE)+VLOOKUP(VLOOKUP(CU$1,main!$A$3:$H$102,7,FALSE),main!$K$19:$O$22,MATCH(VLOOKUP($A86,main!$A$3:$H$102,8,FALSE),main!$K$18:$O$18,0))))),1,0)</f>
        <v>0</v>
      </c>
      <c r="CV86">
        <f>IF((AND(VLOOKUP(CV$1,main!$A$3:$H$102,5,FALSE)-VLOOKUP($A86,main!$A$3:$H$102,6,FALSE)&gt;=(VLOOKUP(VLOOKUP(CV$1,main!$A$3:$H$102,8,FALSE),main!$K$26:$M$29,2,FALSE)+VLOOKUP(VLOOKUP(CV$1,main!$A$3:$H$102,7,FALSE),main!$K$19:$O$22,MATCH(VLOOKUP($A86,main!$A$3:$H$102,8,FALSE),main!$K$18:$O$18,0))))),1,0)</f>
        <v>0</v>
      </c>
      <c r="CW86">
        <f>IF((AND(VLOOKUP(CW$1,main!$A$3:$H$102,5,FALSE)-VLOOKUP($A86,main!$A$3:$H$102,6,FALSE)&gt;=(VLOOKUP(VLOOKUP(CW$1,main!$A$3:$H$102,8,FALSE),main!$K$26:$M$29,2,FALSE)+VLOOKUP(VLOOKUP(CW$1,main!$A$3:$H$102,7,FALSE),main!$K$19:$O$22,MATCH(VLOOKUP($A86,main!$A$3:$H$102,8,FALSE),main!$K$18:$O$18,0))))),1,0)</f>
        <v>0</v>
      </c>
      <c r="CX86">
        <f>IF((AND(VLOOKUP(CX$1,main!$A$3:$H$102,5,FALSE)-VLOOKUP($A86,main!$A$3:$H$102,6,FALSE)&gt;=(VLOOKUP(VLOOKUP(CX$1,main!$A$3:$H$102,8,FALSE),main!$K$26:$M$29,2,FALSE)+VLOOKUP(VLOOKUP(CX$1,main!$A$3:$H$102,7,FALSE),main!$K$19:$O$22,MATCH(VLOOKUP($A86,main!$A$3:$H$102,8,FALSE),main!$K$18:$O$18,0))))),1,0)</f>
        <v>0</v>
      </c>
    </row>
    <row r="87" spans="1:102" x14ac:dyDescent="0.25">
      <c r="A87" s="1">
        <v>85</v>
      </c>
      <c r="B87">
        <v>1</v>
      </c>
      <c r="C87">
        <f>IF((AND(VLOOKUP(C$1,main!$A$3:$H$102,5,FALSE)-VLOOKUP($A87,main!$A$3:$H$102,6,FALSE)&gt;=(VLOOKUP(VLOOKUP(C$1,main!$A$3:$H$102,8,FALSE),main!$K$26:$M$29,2,FALSE)+VLOOKUP(VLOOKUP(C$1,main!$A$3:$H$102,7,FALSE),main!$K$19:$O$22,MATCH(VLOOKUP($A87,main!$A$3:$H$102,8,FALSE),main!$K$18:$O$18,0))))),1,0)</f>
        <v>0</v>
      </c>
      <c r="D87">
        <f>IF((AND(VLOOKUP(D$1,main!$A$3:$H$102,5,FALSE)-VLOOKUP($A87,main!$A$3:$H$102,6,FALSE)&gt;=(VLOOKUP(VLOOKUP(D$1,main!$A$3:$H$102,8,FALSE),main!$K$26:$M$29,2,FALSE)+VLOOKUP(VLOOKUP(D$1,main!$A$3:$H$102,7,FALSE),main!$K$19:$O$22,MATCH(VLOOKUP($A87,main!$A$3:$H$102,8,FALSE),main!$K$18:$O$18,0))))),1,0)</f>
        <v>0</v>
      </c>
      <c r="E87">
        <f>IF((AND(VLOOKUP(E$1,main!$A$3:$H$102,5,FALSE)-VLOOKUP($A87,main!$A$3:$H$102,6,FALSE)&gt;=(VLOOKUP(VLOOKUP(E$1,main!$A$3:$H$102,8,FALSE),main!$K$26:$M$29,2,FALSE)+VLOOKUP(VLOOKUP(E$1,main!$A$3:$H$102,7,FALSE),main!$K$19:$O$22,MATCH(VLOOKUP($A87,main!$A$3:$H$102,8,FALSE),main!$K$18:$O$18,0))))),1,0)</f>
        <v>0</v>
      </c>
      <c r="F87">
        <f>IF((AND(VLOOKUP(F$1,main!$A$3:$H$102,5,FALSE)-VLOOKUP($A87,main!$A$3:$H$102,6,FALSE)&gt;=(VLOOKUP(VLOOKUP(F$1,main!$A$3:$H$102,8,FALSE),main!$K$26:$M$29,2,FALSE)+VLOOKUP(VLOOKUP(F$1,main!$A$3:$H$102,7,FALSE),main!$K$19:$O$22,MATCH(VLOOKUP($A87,main!$A$3:$H$102,8,FALSE),main!$K$18:$O$18,0))))),1,0)</f>
        <v>0</v>
      </c>
      <c r="G87">
        <f>IF((AND(VLOOKUP(G$1,main!$A$3:$H$102,5,FALSE)-VLOOKUP($A87,main!$A$3:$H$102,6,FALSE)&gt;=(VLOOKUP(VLOOKUP(G$1,main!$A$3:$H$102,8,FALSE),main!$K$26:$M$29,2,FALSE)+VLOOKUP(VLOOKUP(G$1,main!$A$3:$H$102,7,FALSE),main!$K$19:$O$22,MATCH(VLOOKUP($A87,main!$A$3:$H$102,8,FALSE),main!$K$18:$O$18,0))))),1,0)</f>
        <v>0</v>
      </c>
      <c r="H87">
        <f>IF((AND(VLOOKUP(H$1,main!$A$3:$H$102,5,FALSE)-VLOOKUP($A87,main!$A$3:$H$102,6,FALSE)&gt;=(VLOOKUP(VLOOKUP(H$1,main!$A$3:$H$102,8,FALSE),main!$K$26:$M$29,2,FALSE)+VLOOKUP(VLOOKUP(H$1,main!$A$3:$H$102,7,FALSE),main!$K$19:$O$22,MATCH(VLOOKUP($A87,main!$A$3:$H$102,8,FALSE),main!$K$18:$O$18,0))))),1,0)</f>
        <v>0</v>
      </c>
      <c r="I87">
        <f>IF((AND(VLOOKUP(I$1,main!$A$3:$H$102,5,FALSE)-VLOOKUP($A87,main!$A$3:$H$102,6,FALSE)&gt;=(VLOOKUP(VLOOKUP(I$1,main!$A$3:$H$102,8,FALSE),main!$K$26:$M$29,2,FALSE)+VLOOKUP(VLOOKUP(I$1,main!$A$3:$H$102,7,FALSE),main!$K$19:$O$22,MATCH(VLOOKUP($A87,main!$A$3:$H$102,8,FALSE),main!$K$18:$O$18,0))))),1,0)</f>
        <v>0</v>
      </c>
      <c r="J87">
        <f>IF((AND(VLOOKUP(J$1,main!$A$3:$H$102,5,FALSE)-VLOOKUP($A87,main!$A$3:$H$102,6,FALSE)&gt;=(VLOOKUP(VLOOKUP(J$1,main!$A$3:$H$102,8,FALSE),main!$K$26:$M$29,2,FALSE)+VLOOKUP(VLOOKUP(J$1,main!$A$3:$H$102,7,FALSE),main!$K$19:$O$22,MATCH(VLOOKUP($A87,main!$A$3:$H$102,8,FALSE),main!$K$18:$O$18,0))))),1,0)</f>
        <v>0</v>
      </c>
      <c r="K87">
        <f>IF((AND(VLOOKUP(K$1,main!$A$3:$H$102,5,FALSE)-VLOOKUP($A87,main!$A$3:$H$102,6,FALSE)&gt;=(VLOOKUP(VLOOKUP(K$1,main!$A$3:$H$102,8,FALSE),main!$K$26:$M$29,2,FALSE)+VLOOKUP(VLOOKUP(K$1,main!$A$3:$H$102,7,FALSE),main!$K$19:$O$22,MATCH(VLOOKUP($A87,main!$A$3:$H$102,8,FALSE),main!$K$18:$O$18,0))))),1,0)</f>
        <v>0</v>
      </c>
      <c r="L87">
        <f>IF((AND(VLOOKUP(L$1,main!$A$3:$H$102,5,FALSE)-VLOOKUP($A87,main!$A$3:$H$102,6,FALSE)&gt;=(VLOOKUP(VLOOKUP(L$1,main!$A$3:$H$102,8,FALSE),main!$K$26:$M$29,2,FALSE)+VLOOKUP(VLOOKUP(L$1,main!$A$3:$H$102,7,FALSE),main!$K$19:$O$22,MATCH(VLOOKUP($A87,main!$A$3:$H$102,8,FALSE),main!$K$18:$O$18,0))))),1,0)</f>
        <v>0</v>
      </c>
      <c r="M87">
        <f>IF((AND(VLOOKUP(M$1,main!$A$3:$H$102,5,FALSE)-VLOOKUP($A87,main!$A$3:$H$102,6,FALSE)&gt;=(VLOOKUP(VLOOKUP(M$1,main!$A$3:$H$102,8,FALSE),main!$K$26:$M$29,2,FALSE)+VLOOKUP(VLOOKUP(M$1,main!$A$3:$H$102,7,FALSE),main!$K$19:$O$22,MATCH(VLOOKUP($A87,main!$A$3:$H$102,8,FALSE),main!$K$18:$O$18,0))))),1,0)</f>
        <v>0</v>
      </c>
      <c r="N87">
        <f>IF((AND(VLOOKUP(N$1,main!$A$3:$H$102,5,FALSE)-VLOOKUP($A87,main!$A$3:$H$102,6,FALSE)&gt;=(VLOOKUP(VLOOKUP(N$1,main!$A$3:$H$102,8,FALSE),main!$K$26:$M$29,2,FALSE)+VLOOKUP(VLOOKUP(N$1,main!$A$3:$H$102,7,FALSE),main!$K$19:$O$22,MATCH(VLOOKUP($A87,main!$A$3:$H$102,8,FALSE),main!$K$18:$O$18,0))))),1,0)</f>
        <v>0</v>
      </c>
      <c r="O87">
        <f>IF((AND(VLOOKUP(O$1,main!$A$3:$H$102,5,FALSE)-VLOOKUP($A87,main!$A$3:$H$102,6,FALSE)&gt;=(VLOOKUP(VLOOKUP(O$1,main!$A$3:$H$102,8,FALSE),main!$K$26:$M$29,2,FALSE)+VLOOKUP(VLOOKUP(O$1,main!$A$3:$H$102,7,FALSE),main!$K$19:$O$22,MATCH(VLOOKUP($A87,main!$A$3:$H$102,8,FALSE),main!$K$18:$O$18,0))))),1,0)</f>
        <v>0</v>
      </c>
      <c r="P87">
        <f>IF((AND(VLOOKUP(P$1,main!$A$3:$H$102,5,FALSE)-VLOOKUP($A87,main!$A$3:$H$102,6,FALSE)&gt;=(VLOOKUP(VLOOKUP(P$1,main!$A$3:$H$102,8,FALSE),main!$K$26:$M$29,2,FALSE)+VLOOKUP(VLOOKUP(P$1,main!$A$3:$H$102,7,FALSE),main!$K$19:$O$22,MATCH(VLOOKUP($A87,main!$A$3:$H$102,8,FALSE),main!$K$18:$O$18,0))))),1,0)</f>
        <v>0</v>
      </c>
      <c r="Q87">
        <f>IF((AND(VLOOKUP(Q$1,main!$A$3:$H$102,5,FALSE)-VLOOKUP($A87,main!$A$3:$H$102,6,FALSE)&gt;=(VLOOKUP(VLOOKUP(Q$1,main!$A$3:$H$102,8,FALSE),main!$K$26:$M$29,2,FALSE)+VLOOKUP(VLOOKUP(Q$1,main!$A$3:$H$102,7,FALSE),main!$K$19:$O$22,MATCH(VLOOKUP($A87,main!$A$3:$H$102,8,FALSE),main!$K$18:$O$18,0))))),1,0)</f>
        <v>0</v>
      </c>
      <c r="R87">
        <f>IF((AND(VLOOKUP(R$1,main!$A$3:$H$102,5,FALSE)-VLOOKUP($A87,main!$A$3:$H$102,6,FALSE)&gt;=(VLOOKUP(VLOOKUP(R$1,main!$A$3:$H$102,8,FALSE),main!$K$26:$M$29,2,FALSE)+VLOOKUP(VLOOKUP(R$1,main!$A$3:$H$102,7,FALSE),main!$K$19:$O$22,MATCH(VLOOKUP($A87,main!$A$3:$H$102,8,FALSE),main!$K$18:$O$18,0))))),1,0)</f>
        <v>0</v>
      </c>
      <c r="S87">
        <f>IF((AND(VLOOKUP(S$1,main!$A$3:$H$102,5,FALSE)-VLOOKUP($A87,main!$A$3:$H$102,6,FALSE)&gt;=(VLOOKUP(VLOOKUP(S$1,main!$A$3:$H$102,8,FALSE),main!$K$26:$M$29,2,FALSE)+VLOOKUP(VLOOKUP(S$1,main!$A$3:$H$102,7,FALSE),main!$K$19:$O$22,MATCH(VLOOKUP($A87,main!$A$3:$H$102,8,FALSE),main!$K$18:$O$18,0))))),1,0)</f>
        <v>0</v>
      </c>
      <c r="T87">
        <f>IF((AND(VLOOKUP(T$1,main!$A$3:$H$102,5,FALSE)-VLOOKUP($A87,main!$A$3:$H$102,6,FALSE)&gt;=(VLOOKUP(VLOOKUP(T$1,main!$A$3:$H$102,8,FALSE),main!$K$26:$M$29,2,FALSE)+VLOOKUP(VLOOKUP(T$1,main!$A$3:$H$102,7,FALSE),main!$K$19:$O$22,MATCH(VLOOKUP($A87,main!$A$3:$H$102,8,FALSE),main!$K$18:$O$18,0))))),1,0)</f>
        <v>0</v>
      </c>
      <c r="U87">
        <f>IF((AND(VLOOKUP(U$1,main!$A$3:$H$102,5,FALSE)-VLOOKUP($A87,main!$A$3:$H$102,6,FALSE)&gt;=(VLOOKUP(VLOOKUP(U$1,main!$A$3:$H$102,8,FALSE),main!$K$26:$M$29,2,FALSE)+VLOOKUP(VLOOKUP(U$1,main!$A$3:$H$102,7,FALSE),main!$K$19:$O$22,MATCH(VLOOKUP($A87,main!$A$3:$H$102,8,FALSE),main!$K$18:$O$18,0))))),1,0)</f>
        <v>0</v>
      </c>
      <c r="V87">
        <f>IF((AND(VLOOKUP(V$1,main!$A$3:$H$102,5,FALSE)-VLOOKUP($A87,main!$A$3:$H$102,6,FALSE)&gt;=(VLOOKUP(VLOOKUP(V$1,main!$A$3:$H$102,8,FALSE),main!$K$26:$M$29,2,FALSE)+VLOOKUP(VLOOKUP(V$1,main!$A$3:$H$102,7,FALSE),main!$K$19:$O$22,MATCH(VLOOKUP($A87,main!$A$3:$H$102,8,FALSE),main!$K$18:$O$18,0))))),1,0)</f>
        <v>0</v>
      </c>
      <c r="W87">
        <f>IF((AND(VLOOKUP(W$1,main!$A$3:$H$102,5,FALSE)-VLOOKUP($A87,main!$A$3:$H$102,6,FALSE)&gt;=(VLOOKUP(VLOOKUP(W$1,main!$A$3:$H$102,8,FALSE),main!$K$26:$M$29,2,FALSE)+VLOOKUP(VLOOKUP(W$1,main!$A$3:$H$102,7,FALSE),main!$K$19:$O$22,MATCH(VLOOKUP($A87,main!$A$3:$H$102,8,FALSE),main!$K$18:$O$18,0))))),1,0)</f>
        <v>0</v>
      </c>
      <c r="X87">
        <f>IF((AND(VLOOKUP(X$1,main!$A$3:$H$102,5,FALSE)-VLOOKUP($A87,main!$A$3:$H$102,6,FALSE)&gt;=(VLOOKUP(VLOOKUP(X$1,main!$A$3:$H$102,8,FALSE),main!$K$26:$M$29,2,FALSE)+VLOOKUP(VLOOKUP(X$1,main!$A$3:$H$102,7,FALSE),main!$K$19:$O$22,MATCH(VLOOKUP($A87,main!$A$3:$H$102,8,FALSE),main!$K$18:$O$18,0))))),1,0)</f>
        <v>0</v>
      </c>
      <c r="Y87">
        <f>IF((AND(VLOOKUP(Y$1,main!$A$3:$H$102,5,FALSE)-VLOOKUP($A87,main!$A$3:$H$102,6,FALSE)&gt;=(VLOOKUP(VLOOKUP(Y$1,main!$A$3:$H$102,8,FALSE),main!$K$26:$M$29,2,FALSE)+VLOOKUP(VLOOKUP(Y$1,main!$A$3:$H$102,7,FALSE),main!$K$19:$O$22,MATCH(VLOOKUP($A87,main!$A$3:$H$102,8,FALSE),main!$K$18:$O$18,0))))),1,0)</f>
        <v>0</v>
      </c>
      <c r="Z87">
        <f>IF((AND(VLOOKUP(Z$1,main!$A$3:$H$102,5,FALSE)-VLOOKUP($A87,main!$A$3:$H$102,6,FALSE)&gt;=(VLOOKUP(VLOOKUP(Z$1,main!$A$3:$H$102,8,FALSE),main!$K$26:$M$29,2,FALSE)+VLOOKUP(VLOOKUP(Z$1,main!$A$3:$H$102,7,FALSE),main!$K$19:$O$22,MATCH(VLOOKUP($A87,main!$A$3:$H$102,8,FALSE),main!$K$18:$O$18,0))))),1,0)</f>
        <v>0</v>
      </c>
      <c r="AA87">
        <f>IF((AND(VLOOKUP(AA$1,main!$A$3:$H$102,5,FALSE)-VLOOKUP($A87,main!$A$3:$H$102,6,FALSE)&gt;=(VLOOKUP(VLOOKUP(AA$1,main!$A$3:$H$102,8,FALSE),main!$K$26:$M$29,2,FALSE)+VLOOKUP(VLOOKUP(AA$1,main!$A$3:$H$102,7,FALSE),main!$K$19:$O$22,MATCH(VLOOKUP($A87,main!$A$3:$H$102,8,FALSE),main!$K$18:$O$18,0))))),1,0)</f>
        <v>0</v>
      </c>
      <c r="AB87">
        <f>IF((AND(VLOOKUP(AB$1,main!$A$3:$H$102,5,FALSE)-VLOOKUP($A87,main!$A$3:$H$102,6,FALSE)&gt;=(VLOOKUP(VLOOKUP(AB$1,main!$A$3:$H$102,8,FALSE),main!$K$26:$M$29,2,FALSE)+VLOOKUP(VLOOKUP(AB$1,main!$A$3:$H$102,7,FALSE),main!$K$19:$O$22,MATCH(VLOOKUP($A87,main!$A$3:$H$102,8,FALSE),main!$K$18:$O$18,0))))),1,0)</f>
        <v>0</v>
      </c>
      <c r="AC87">
        <f>IF((AND(VLOOKUP(AC$1,main!$A$3:$H$102,5,FALSE)-VLOOKUP($A87,main!$A$3:$H$102,6,FALSE)&gt;=(VLOOKUP(VLOOKUP(AC$1,main!$A$3:$H$102,8,FALSE),main!$K$26:$M$29,2,FALSE)+VLOOKUP(VLOOKUP(AC$1,main!$A$3:$H$102,7,FALSE),main!$K$19:$O$22,MATCH(VLOOKUP($A87,main!$A$3:$H$102,8,FALSE),main!$K$18:$O$18,0))))),1,0)</f>
        <v>0</v>
      </c>
      <c r="AD87">
        <f>IF((AND(VLOOKUP(AD$1,main!$A$3:$H$102,5,FALSE)-VLOOKUP($A87,main!$A$3:$H$102,6,FALSE)&gt;=(VLOOKUP(VLOOKUP(AD$1,main!$A$3:$H$102,8,FALSE),main!$K$26:$M$29,2,FALSE)+VLOOKUP(VLOOKUP(AD$1,main!$A$3:$H$102,7,FALSE),main!$K$19:$O$22,MATCH(VLOOKUP($A87,main!$A$3:$H$102,8,FALSE),main!$K$18:$O$18,0))))),1,0)</f>
        <v>0</v>
      </c>
      <c r="AE87">
        <f>IF((AND(VLOOKUP(AE$1,main!$A$3:$H$102,5,FALSE)-VLOOKUP($A87,main!$A$3:$H$102,6,FALSE)&gt;=(VLOOKUP(VLOOKUP(AE$1,main!$A$3:$H$102,8,FALSE),main!$K$26:$M$29,2,FALSE)+VLOOKUP(VLOOKUP(AE$1,main!$A$3:$H$102,7,FALSE),main!$K$19:$O$22,MATCH(VLOOKUP($A87,main!$A$3:$H$102,8,FALSE),main!$K$18:$O$18,0))))),1,0)</f>
        <v>0</v>
      </c>
      <c r="AF87">
        <f>IF((AND(VLOOKUP(AF$1,main!$A$3:$H$102,5,FALSE)-VLOOKUP($A87,main!$A$3:$H$102,6,FALSE)&gt;=(VLOOKUP(VLOOKUP(AF$1,main!$A$3:$H$102,8,FALSE),main!$K$26:$M$29,2,FALSE)+VLOOKUP(VLOOKUP(AF$1,main!$A$3:$H$102,7,FALSE),main!$K$19:$O$22,MATCH(VLOOKUP($A87,main!$A$3:$H$102,8,FALSE),main!$K$18:$O$18,0))))),1,0)</f>
        <v>0</v>
      </c>
      <c r="AG87">
        <f>IF((AND(VLOOKUP(AG$1,main!$A$3:$H$102,5,FALSE)-VLOOKUP($A87,main!$A$3:$H$102,6,FALSE)&gt;=(VLOOKUP(VLOOKUP(AG$1,main!$A$3:$H$102,8,FALSE),main!$K$26:$M$29,2,FALSE)+VLOOKUP(VLOOKUP(AG$1,main!$A$3:$H$102,7,FALSE),main!$K$19:$O$22,MATCH(VLOOKUP($A87,main!$A$3:$H$102,8,FALSE),main!$K$18:$O$18,0))))),1,0)</f>
        <v>0</v>
      </c>
      <c r="AH87">
        <f>IF((AND(VLOOKUP(AH$1,main!$A$3:$H$102,5,FALSE)-VLOOKUP($A87,main!$A$3:$H$102,6,FALSE)&gt;=(VLOOKUP(VLOOKUP(AH$1,main!$A$3:$H$102,8,FALSE),main!$K$26:$M$29,2,FALSE)+VLOOKUP(VLOOKUP(AH$1,main!$A$3:$H$102,7,FALSE),main!$K$19:$O$22,MATCH(VLOOKUP($A87,main!$A$3:$H$102,8,FALSE),main!$K$18:$O$18,0))))),1,0)</f>
        <v>0</v>
      </c>
      <c r="AI87">
        <f>IF((AND(VLOOKUP(AI$1,main!$A$3:$H$102,5,FALSE)-VLOOKUP($A87,main!$A$3:$H$102,6,FALSE)&gt;=(VLOOKUP(VLOOKUP(AI$1,main!$A$3:$H$102,8,FALSE),main!$K$26:$M$29,2,FALSE)+VLOOKUP(VLOOKUP(AI$1,main!$A$3:$H$102,7,FALSE),main!$K$19:$O$22,MATCH(VLOOKUP($A87,main!$A$3:$H$102,8,FALSE),main!$K$18:$O$18,0))))),1,0)</f>
        <v>0</v>
      </c>
      <c r="AJ87">
        <f>IF((AND(VLOOKUP(AJ$1,main!$A$3:$H$102,5,FALSE)-VLOOKUP($A87,main!$A$3:$H$102,6,FALSE)&gt;=(VLOOKUP(VLOOKUP(AJ$1,main!$A$3:$H$102,8,FALSE),main!$K$26:$M$29,2,FALSE)+VLOOKUP(VLOOKUP(AJ$1,main!$A$3:$H$102,7,FALSE),main!$K$19:$O$22,MATCH(VLOOKUP($A87,main!$A$3:$H$102,8,FALSE),main!$K$18:$O$18,0))))),1,0)</f>
        <v>0</v>
      </c>
      <c r="AK87">
        <f>IF((AND(VLOOKUP(AK$1,main!$A$3:$H$102,5,FALSE)-VLOOKUP($A87,main!$A$3:$H$102,6,FALSE)&gt;=(VLOOKUP(VLOOKUP(AK$1,main!$A$3:$H$102,8,FALSE),main!$K$26:$M$29,2,FALSE)+VLOOKUP(VLOOKUP(AK$1,main!$A$3:$H$102,7,FALSE),main!$K$19:$O$22,MATCH(VLOOKUP($A87,main!$A$3:$H$102,8,FALSE),main!$K$18:$O$18,0))))),1,0)</f>
        <v>0</v>
      </c>
      <c r="AL87">
        <f>IF((AND(VLOOKUP(AL$1,main!$A$3:$H$102,5,FALSE)-VLOOKUP($A87,main!$A$3:$H$102,6,FALSE)&gt;=(VLOOKUP(VLOOKUP(AL$1,main!$A$3:$H$102,8,FALSE),main!$K$26:$M$29,2,FALSE)+VLOOKUP(VLOOKUP(AL$1,main!$A$3:$H$102,7,FALSE),main!$K$19:$O$22,MATCH(VLOOKUP($A87,main!$A$3:$H$102,8,FALSE),main!$K$18:$O$18,0))))),1,0)</f>
        <v>0</v>
      </c>
      <c r="AM87">
        <f>IF((AND(VLOOKUP(AM$1,main!$A$3:$H$102,5,FALSE)-VLOOKUP($A87,main!$A$3:$H$102,6,FALSE)&gt;=(VLOOKUP(VLOOKUP(AM$1,main!$A$3:$H$102,8,FALSE),main!$K$26:$M$29,2,FALSE)+VLOOKUP(VLOOKUP(AM$1,main!$A$3:$H$102,7,FALSE),main!$K$19:$O$22,MATCH(VLOOKUP($A87,main!$A$3:$H$102,8,FALSE),main!$K$18:$O$18,0))))),1,0)</f>
        <v>0</v>
      </c>
      <c r="AN87">
        <f>IF((AND(VLOOKUP(AN$1,main!$A$3:$H$102,5,FALSE)-VLOOKUP($A87,main!$A$3:$H$102,6,FALSE)&gt;=(VLOOKUP(VLOOKUP(AN$1,main!$A$3:$H$102,8,FALSE),main!$K$26:$M$29,2,FALSE)+VLOOKUP(VLOOKUP(AN$1,main!$A$3:$H$102,7,FALSE),main!$K$19:$O$22,MATCH(VLOOKUP($A87,main!$A$3:$H$102,8,FALSE),main!$K$18:$O$18,0))))),1,0)</f>
        <v>0</v>
      </c>
      <c r="AO87">
        <f>IF((AND(VLOOKUP(AO$1,main!$A$3:$H$102,5,FALSE)-VLOOKUP($A87,main!$A$3:$H$102,6,FALSE)&gt;=(VLOOKUP(VLOOKUP(AO$1,main!$A$3:$H$102,8,FALSE),main!$K$26:$M$29,2,FALSE)+VLOOKUP(VLOOKUP(AO$1,main!$A$3:$H$102,7,FALSE),main!$K$19:$O$22,MATCH(VLOOKUP($A87,main!$A$3:$H$102,8,FALSE),main!$K$18:$O$18,0))))),1,0)</f>
        <v>0</v>
      </c>
      <c r="AP87">
        <f>IF((AND(VLOOKUP(AP$1,main!$A$3:$H$102,5,FALSE)-VLOOKUP($A87,main!$A$3:$H$102,6,FALSE)&gt;=(VLOOKUP(VLOOKUP(AP$1,main!$A$3:$H$102,8,FALSE),main!$K$26:$M$29,2,FALSE)+VLOOKUP(VLOOKUP(AP$1,main!$A$3:$H$102,7,FALSE),main!$K$19:$O$22,MATCH(VLOOKUP($A87,main!$A$3:$H$102,8,FALSE),main!$K$18:$O$18,0))))),1,0)</f>
        <v>0</v>
      </c>
      <c r="AQ87">
        <f>IF((AND(VLOOKUP(AQ$1,main!$A$3:$H$102,5,FALSE)-VLOOKUP($A87,main!$A$3:$H$102,6,FALSE)&gt;=(VLOOKUP(VLOOKUP(AQ$1,main!$A$3:$H$102,8,FALSE),main!$K$26:$M$29,2,FALSE)+VLOOKUP(VLOOKUP(AQ$1,main!$A$3:$H$102,7,FALSE),main!$K$19:$O$22,MATCH(VLOOKUP($A87,main!$A$3:$H$102,8,FALSE),main!$K$18:$O$18,0))))),1,0)</f>
        <v>0</v>
      </c>
      <c r="AR87">
        <f>IF((AND(VLOOKUP(AR$1,main!$A$3:$H$102,5,FALSE)-VLOOKUP($A87,main!$A$3:$H$102,6,FALSE)&gt;=(VLOOKUP(VLOOKUP(AR$1,main!$A$3:$H$102,8,FALSE),main!$K$26:$M$29,2,FALSE)+VLOOKUP(VLOOKUP(AR$1,main!$A$3:$H$102,7,FALSE),main!$K$19:$O$22,MATCH(VLOOKUP($A87,main!$A$3:$H$102,8,FALSE),main!$K$18:$O$18,0))))),1,0)</f>
        <v>0</v>
      </c>
      <c r="AS87">
        <f>IF((AND(VLOOKUP(AS$1,main!$A$3:$H$102,5,FALSE)-VLOOKUP($A87,main!$A$3:$H$102,6,FALSE)&gt;=(VLOOKUP(VLOOKUP(AS$1,main!$A$3:$H$102,8,FALSE),main!$K$26:$M$29,2,FALSE)+VLOOKUP(VLOOKUP(AS$1,main!$A$3:$H$102,7,FALSE),main!$K$19:$O$22,MATCH(VLOOKUP($A87,main!$A$3:$H$102,8,FALSE),main!$K$18:$O$18,0))))),1,0)</f>
        <v>0</v>
      </c>
      <c r="AT87">
        <f>IF((AND(VLOOKUP(AT$1,main!$A$3:$H$102,5,FALSE)-VLOOKUP($A87,main!$A$3:$H$102,6,FALSE)&gt;=(VLOOKUP(VLOOKUP(AT$1,main!$A$3:$H$102,8,FALSE),main!$K$26:$M$29,2,FALSE)+VLOOKUP(VLOOKUP(AT$1,main!$A$3:$H$102,7,FALSE),main!$K$19:$O$22,MATCH(VLOOKUP($A87,main!$A$3:$H$102,8,FALSE),main!$K$18:$O$18,0))))),1,0)</f>
        <v>0</v>
      </c>
      <c r="AU87">
        <f>IF((AND(VLOOKUP(AU$1,main!$A$3:$H$102,5,FALSE)-VLOOKUP($A87,main!$A$3:$H$102,6,FALSE)&gt;=(VLOOKUP(VLOOKUP(AU$1,main!$A$3:$H$102,8,FALSE),main!$K$26:$M$29,2,FALSE)+VLOOKUP(VLOOKUP(AU$1,main!$A$3:$H$102,7,FALSE),main!$K$19:$O$22,MATCH(VLOOKUP($A87,main!$A$3:$H$102,8,FALSE),main!$K$18:$O$18,0))))),1,0)</f>
        <v>0</v>
      </c>
      <c r="AV87">
        <f>IF((AND(VLOOKUP(AV$1,main!$A$3:$H$102,5,FALSE)-VLOOKUP($A87,main!$A$3:$H$102,6,FALSE)&gt;=(VLOOKUP(VLOOKUP(AV$1,main!$A$3:$H$102,8,FALSE),main!$K$26:$M$29,2,FALSE)+VLOOKUP(VLOOKUP(AV$1,main!$A$3:$H$102,7,FALSE),main!$K$19:$O$22,MATCH(VLOOKUP($A87,main!$A$3:$H$102,8,FALSE),main!$K$18:$O$18,0))))),1,0)</f>
        <v>0</v>
      </c>
      <c r="AW87">
        <f>IF((AND(VLOOKUP(AW$1,main!$A$3:$H$102,5,FALSE)-VLOOKUP($A87,main!$A$3:$H$102,6,FALSE)&gt;=(VLOOKUP(VLOOKUP(AW$1,main!$A$3:$H$102,8,FALSE),main!$K$26:$M$29,2,FALSE)+VLOOKUP(VLOOKUP(AW$1,main!$A$3:$H$102,7,FALSE),main!$K$19:$O$22,MATCH(VLOOKUP($A87,main!$A$3:$H$102,8,FALSE),main!$K$18:$O$18,0))))),1,0)</f>
        <v>0</v>
      </c>
      <c r="AX87">
        <f>IF((AND(VLOOKUP(AX$1,main!$A$3:$H$102,5,FALSE)-VLOOKUP($A87,main!$A$3:$H$102,6,FALSE)&gt;=(VLOOKUP(VLOOKUP(AX$1,main!$A$3:$H$102,8,FALSE),main!$K$26:$M$29,2,FALSE)+VLOOKUP(VLOOKUP(AX$1,main!$A$3:$H$102,7,FALSE),main!$K$19:$O$22,MATCH(VLOOKUP($A87,main!$A$3:$H$102,8,FALSE),main!$K$18:$O$18,0))))),1,0)</f>
        <v>0</v>
      </c>
      <c r="AY87">
        <f>IF((AND(VLOOKUP(AY$1,main!$A$3:$H$102,5,FALSE)-VLOOKUP($A87,main!$A$3:$H$102,6,FALSE)&gt;=(VLOOKUP(VLOOKUP(AY$1,main!$A$3:$H$102,8,FALSE),main!$K$26:$M$29,2,FALSE)+VLOOKUP(VLOOKUP(AY$1,main!$A$3:$H$102,7,FALSE),main!$K$19:$O$22,MATCH(VLOOKUP($A87,main!$A$3:$H$102,8,FALSE),main!$K$18:$O$18,0))))),1,0)</f>
        <v>0</v>
      </c>
      <c r="AZ87">
        <f>IF((AND(VLOOKUP(AZ$1,main!$A$3:$H$102,5,FALSE)-VLOOKUP($A87,main!$A$3:$H$102,6,FALSE)&gt;=(VLOOKUP(VLOOKUP(AZ$1,main!$A$3:$H$102,8,FALSE),main!$K$26:$M$29,2,FALSE)+VLOOKUP(VLOOKUP(AZ$1,main!$A$3:$H$102,7,FALSE),main!$K$19:$O$22,MATCH(VLOOKUP($A87,main!$A$3:$H$102,8,FALSE),main!$K$18:$O$18,0))))),1,0)</f>
        <v>0</v>
      </c>
      <c r="BA87">
        <f>IF((AND(VLOOKUP(BA$1,main!$A$3:$H$102,5,FALSE)-VLOOKUP($A87,main!$A$3:$H$102,6,FALSE)&gt;=(VLOOKUP(VLOOKUP(BA$1,main!$A$3:$H$102,8,FALSE),main!$K$26:$M$29,2,FALSE)+VLOOKUP(VLOOKUP(BA$1,main!$A$3:$H$102,7,FALSE),main!$K$19:$O$22,MATCH(VLOOKUP($A87,main!$A$3:$H$102,8,FALSE),main!$K$18:$O$18,0))))),1,0)</f>
        <v>0</v>
      </c>
      <c r="BB87">
        <f>IF((AND(VLOOKUP(BB$1,main!$A$3:$H$102,5,FALSE)-VLOOKUP($A87,main!$A$3:$H$102,6,FALSE)&gt;=(VLOOKUP(VLOOKUP(BB$1,main!$A$3:$H$102,8,FALSE),main!$K$26:$M$29,2,FALSE)+VLOOKUP(VLOOKUP(BB$1,main!$A$3:$H$102,7,FALSE),main!$K$19:$O$22,MATCH(VLOOKUP($A87,main!$A$3:$H$102,8,FALSE),main!$K$18:$O$18,0))))),1,0)</f>
        <v>0</v>
      </c>
      <c r="BC87">
        <f>IF((AND(VLOOKUP(BC$1,main!$A$3:$H$102,5,FALSE)-VLOOKUP($A87,main!$A$3:$H$102,6,FALSE)&gt;=(VLOOKUP(VLOOKUP(BC$1,main!$A$3:$H$102,8,FALSE),main!$K$26:$M$29,2,FALSE)+VLOOKUP(VLOOKUP(BC$1,main!$A$3:$H$102,7,FALSE),main!$K$19:$O$22,MATCH(VLOOKUP($A87,main!$A$3:$H$102,8,FALSE),main!$K$18:$O$18,0))))),1,0)</f>
        <v>0</v>
      </c>
      <c r="BD87">
        <f>IF((AND(VLOOKUP(BD$1,main!$A$3:$H$102,5,FALSE)-VLOOKUP($A87,main!$A$3:$H$102,6,FALSE)&gt;=(VLOOKUP(VLOOKUP(BD$1,main!$A$3:$H$102,8,FALSE),main!$K$26:$M$29,2,FALSE)+VLOOKUP(VLOOKUP(BD$1,main!$A$3:$H$102,7,FALSE),main!$K$19:$O$22,MATCH(VLOOKUP($A87,main!$A$3:$H$102,8,FALSE),main!$K$18:$O$18,0))))),1,0)</f>
        <v>0</v>
      </c>
      <c r="BE87">
        <f>IF((AND(VLOOKUP(BE$1,main!$A$3:$H$102,5,FALSE)-VLOOKUP($A87,main!$A$3:$H$102,6,FALSE)&gt;=(VLOOKUP(VLOOKUP(BE$1,main!$A$3:$H$102,8,FALSE),main!$K$26:$M$29,2,FALSE)+VLOOKUP(VLOOKUP(BE$1,main!$A$3:$H$102,7,FALSE),main!$K$19:$O$22,MATCH(VLOOKUP($A87,main!$A$3:$H$102,8,FALSE),main!$K$18:$O$18,0))))),1,0)</f>
        <v>0</v>
      </c>
      <c r="BF87">
        <f>IF((AND(VLOOKUP(BF$1,main!$A$3:$H$102,5,FALSE)-VLOOKUP($A87,main!$A$3:$H$102,6,FALSE)&gt;=(VLOOKUP(VLOOKUP(BF$1,main!$A$3:$H$102,8,FALSE),main!$K$26:$M$29,2,FALSE)+VLOOKUP(VLOOKUP(BF$1,main!$A$3:$H$102,7,FALSE),main!$K$19:$O$22,MATCH(VLOOKUP($A87,main!$A$3:$H$102,8,FALSE),main!$K$18:$O$18,0))))),1,0)</f>
        <v>0</v>
      </c>
      <c r="BG87">
        <f>IF((AND(VLOOKUP(BG$1,main!$A$3:$H$102,5,FALSE)-VLOOKUP($A87,main!$A$3:$H$102,6,FALSE)&gt;=(VLOOKUP(VLOOKUP(BG$1,main!$A$3:$H$102,8,FALSE),main!$K$26:$M$29,2,FALSE)+VLOOKUP(VLOOKUP(BG$1,main!$A$3:$H$102,7,FALSE),main!$K$19:$O$22,MATCH(VLOOKUP($A87,main!$A$3:$H$102,8,FALSE),main!$K$18:$O$18,0))))),1,0)</f>
        <v>0</v>
      </c>
      <c r="BH87">
        <f>IF((AND(VLOOKUP(BH$1,main!$A$3:$H$102,5,FALSE)-VLOOKUP($A87,main!$A$3:$H$102,6,FALSE)&gt;=(VLOOKUP(VLOOKUP(BH$1,main!$A$3:$H$102,8,FALSE),main!$K$26:$M$29,2,FALSE)+VLOOKUP(VLOOKUP(BH$1,main!$A$3:$H$102,7,FALSE),main!$K$19:$O$22,MATCH(VLOOKUP($A87,main!$A$3:$H$102,8,FALSE),main!$K$18:$O$18,0))))),1,0)</f>
        <v>0</v>
      </c>
      <c r="BI87">
        <f>IF((AND(VLOOKUP(BI$1,main!$A$3:$H$102,5,FALSE)-VLOOKUP($A87,main!$A$3:$H$102,6,FALSE)&gt;=(VLOOKUP(VLOOKUP(BI$1,main!$A$3:$H$102,8,FALSE),main!$K$26:$M$29,2,FALSE)+VLOOKUP(VLOOKUP(BI$1,main!$A$3:$H$102,7,FALSE),main!$K$19:$O$22,MATCH(VLOOKUP($A87,main!$A$3:$H$102,8,FALSE),main!$K$18:$O$18,0))))),1,0)</f>
        <v>0</v>
      </c>
      <c r="BJ87">
        <f>IF((AND(VLOOKUP(BJ$1,main!$A$3:$H$102,5,FALSE)-VLOOKUP($A87,main!$A$3:$H$102,6,FALSE)&gt;=(VLOOKUP(VLOOKUP(BJ$1,main!$A$3:$H$102,8,FALSE),main!$K$26:$M$29,2,FALSE)+VLOOKUP(VLOOKUP(BJ$1,main!$A$3:$H$102,7,FALSE),main!$K$19:$O$22,MATCH(VLOOKUP($A87,main!$A$3:$H$102,8,FALSE),main!$K$18:$O$18,0))))),1,0)</f>
        <v>0</v>
      </c>
      <c r="BK87">
        <f>IF((AND(VLOOKUP(BK$1,main!$A$3:$H$102,5,FALSE)-VLOOKUP($A87,main!$A$3:$H$102,6,FALSE)&gt;=(VLOOKUP(VLOOKUP(BK$1,main!$A$3:$H$102,8,FALSE),main!$K$26:$M$29,2,FALSE)+VLOOKUP(VLOOKUP(BK$1,main!$A$3:$H$102,7,FALSE),main!$K$19:$O$22,MATCH(VLOOKUP($A87,main!$A$3:$H$102,8,FALSE),main!$K$18:$O$18,0))))),1,0)</f>
        <v>0</v>
      </c>
      <c r="BL87">
        <f>IF((AND(VLOOKUP(BL$1,main!$A$3:$H$102,5,FALSE)-VLOOKUP($A87,main!$A$3:$H$102,6,FALSE)&gt;=(VLOOKUP(VLOOKUP(BL$1,main!$A$3:$H$102,8,FALSE),main!$K$26:$M$29,2,FALSE)+VLOOKUP(VLOOKUP(BL$1,main!$A$3:$H$102,7,FALSE),main!$K$19:$O$22,MATCH(VLOOKUP($A87,main!$A$3:$H$102,8,FALSE),main!$K$18:$O$18,0))))),1,0)</f>
        <v>0</v>
      </c>
      <c r="BM87">
        <f>IF((AND(VLOOKUP(BM$1,main!$A$3:$H$102,5,FALSE)-VLOOKUP($A87,main!$A$3:$H$102,6,FALSE)&gt;=(VLOOKUP(VLOOKUP(BM$1,main!$A$3:$H$102,8,FALSE),main!$K$26:$M$29,2,FALSE)+VLOOKUP(VLOOKUP(BM$1,main!$A$3:$H$102,7,FALSE),main!$K$19:$O$22,MATCH(VLOOKUP($A87,main!$A$3:$H$102,8,FALSE),main!$K$18:$O$18,0))))),1,0)</f>
        <v>0</v>
      </c>
      <c r="BN87">
        <f>IF((AND(VLOOKUP(BN$1,main!$A$3:$H$102,5,FALSE)-VLOOKUP($A87,main!$A$3:$H$102,6,FALSE)&gt;=(VLOOKUP(VLOOKUP(BN$1,main!$A$3:$H$102,8,FALSE),main!$K$26:$M$29,2,FALSE)+VLOOKUP(VLOOKUP(BN$1,main!$A$3:$H$102,7,FALSE),main!$K$19:$O$22,MATCH(VLOOKUP($A87,main!$A$3:$H$102,8,FALSE),main!$K$18:$O$18,0))))),1,0)</f>
        <v>0</v>
      </c>
      <c r="BO87">
        <f>IF((AND(VLOOKUP(BO$1,main!$A$3:$H$102,5,FALSE)-VLOOKUP($A87,main!$A$3:$H$102,6,FALSE)&gt;=(VLOOKUP(VLOOKUP(BO$1,main!$A$3:$H$102,8,FALSE),main!$K$26:$M$29,2,FALSE)+VLOOKUP(VLOOKUP(BO$1,main!$A$3:$H$102,7,FALSE),main!$K$19:$O$22,MATCH(VLOOKUP($A87,main!$A$3:$H$102,8,FALSE),main!$K$18:$O$18,0))))),1,0)</f>
        <v>0</v>
      </c>
      <c r="BP87">
        <f>IF((AND(VLOOKUP(BP$1,main!$A$3:$H$102,5,FALSE)-VLOOKUP($A87,main!$A$3:$H$102,6,FALSE)&gt;=(VLOOKUP(VLOOKUP(BP$1,main!$A$3:$H$102,8,FALSE),main!$K$26:$M$29,2,FALSE)+VLOOKUP(VLOOKUP(BP$1,main!$A$3:$H$102,7,FALSE),main!$K$19:$O$22,MATCH(VLOOKUP($A87,main!$A$3:$H$102,8,FALSE),main!$K$18:$O$18,0))))),1,0)</f>
        <v>0</v>
      </c>
      <c r="BQ87">
        <f>IF((AND(VLOOKUP(BQ$1,main!$A$3:$H$102,5,FALSE)-VLOOKUP($A87,main!$A$3:$H$102,6,FALSE)&gt;=(VLOOKUP(VLOOKUP(BQ$1,main!$A$3:$H$102,8,FALSE),main!$K$26:$M$29,2,FALSE)+VLOOKUP(VLOOKUP(BQ$1,main!$A$3:$H$102,7,FALSE),main!$K$19:$O$22,MATCH(VLOOKUP($A87,main!$A$3:$H$102,8,FALSE),main!$K$18:$O$18,0))))),1,0)</f>
        <v>0</v>
      </c>
      <c r="BR87">
        <f>IF((AND(VLOOKUP(BR$1,main!$A$3:$H$102,5,FALSE)-VLOOKUP($A87,main!$A$3:$H$102,6,FALSE)&gt;=(VLOOKUP(VLOOKUP(BR$1,main!$A$3:$H$102,8,FALSE),main!$K$26:$M$29,2,FALSE)+VLOOKUP(VLOOKUP(BR$1,main!$A$3:$H$102,7,FALSE),main!$K$19:$O$22,MATCH(VLOOKUP($A87,main!$A$3:$H$102,8,FALSE),main!$K$18:$O$18,0))))),1,0)</f>
        <v>0</v>
      </c>
      <c r="BS87">
        <f>IF((AND(VLOOKUP(BS$1,main!$A$3:$H$102,5,FALSE)-VLOOKUP($A87,main!$A$3:$H$102,6,FALSE)&gt;=(VLOOKUP(VLOOKUP(BS$1,main!$A$3:$H$102,8,FALSE),main!$K$26:$M$29,2,FALSE)+VLOOKUP(VLOOKUP(BS$1,main!$A$3:$H$102,7,FALSE),main!$K$19:$O$22,MATCH(VLOOKUP($A87,main!$A$3:$H$102,8,FALSE),main!$K$18:$O$18,0))))),1,0)</f>
        <v>0</v>
      </c>
      <c r="BT87">
        <f>IF((AND(VLOOKUP(BT$1,main!$A$3:$H$102,5,FALSE)-VLOOKUP($A87,main!$A$3:$H$102,6,FALSE)&gt;=(VLOOKUP(VLOOKUP(BT$1,main!$A$3:$H$102,8,FALSE),main!$K$26:$M$29,2,FALSE)+VLOOKUP(VLOOKUP(BT$1,main!$A$3:$H$102,7,FALSE),main!$K$19:$O$22,MATCH(VLOOKUP($A87,main!$A$3:$H$102,8,FALSE),main!$K$18:$O$18,0))))),1,0)</f>
        <v>0</v>
      </c>
      <c r="BU87">
        <f>IF((AND(VLOOKUP(BU$1,main!$A$3:$H$102,5,FALSE)-VLOOKUP($A87,main!$A$3:$H$102,6,FALSE)&gt;=(VLOOKUP(VLOOKUP(BU$1,main!$A$3:$H$102,8,FALSE),main!$K$26:$M$29,2,FALSE)+VLOOKUP(VLOOKUP(BU$1,main!$A$3:$H$102,7,FALSE),main!$K$19:$O$22,MATCH(VLOOKUP($A87,main!$A$3:$H$102,8,FALSE),main!$K$18:$O$18,0))))),1,0)</f>
        <v>0</v>
      </c>
      <c r="BV87">
        <f>IF((AND(VLOOKUP(BV$1,main!$A$3:$H$102,5,FALSE)-VLOOKUP($A87,main!$A$3:$H$102,6,FALSE)&gt;=(VLOOKUP(VLOOKUP(BV$1,main!$A$3:$H$102,8,FALSE),main!$K$26:$M$29,2,FALSE)+VLOOKUP(VLOOKUP(BV$1,main!$A$3:$H$102,7,FALSE),main!$K$19:$O$22,MATCH(VLOOKUP($A87,main!$A$3:$H$102,8,FALSE),main!$K$18:$O$18,0))))),1,0)</f>
        <v>0</v>
      </c>
      <c r="BW87">
        <f>IF((AND(VLOOKUP(BW$1,main!$A$3:$H$102,5,FALSE)-VLOOKUP($A87,main!$A$3:$H$102,6,FALSE)&gt;=(VLOOKUP(VLOOKUP(BW$1,main!$A$3:$H$102,8,FALSE),main!$K$26:$M$29,2,FALSE)+VLOOKUP(VLOOKUP(BW$1,main!$A$3:$H$102,7,FALSE),main!$K$19:$O$22,MATCH(VLOOKUP($A87,main!$A$3:$H$102,8,FALSE),main!$K$18:$O$18,0))))),1,0)</f>
        <v>0</v>
      </c>
      <c r="BX87">
        <f>IF((AND(VLOOKUP(BX$1,main!$A$3:$H$102,5,FALSE)-VLOOKUP($A87,main!$A$3:$H$102,6,FALSE)&gt;=(VLOOKUP(VLOOKUP(BX$1,main!$A$3:$H$102,8,FALSE),main!$K$26:$M$29,2,FALSE)+VLOOKUP(VLOOKUP(BX$1,main!$A$3:$H$102,7,FALSE),main!$K$19:$O$22,MATCH(VLOOKUP($A87,main!$A$3:$H$102,8,FALSE),main!$K$18:$O$18,0))))),1,0)</f>
        <v>0</v>
      </c>
      <c r="BY87">
        <f>IF((AND(VLOOKUP(BY$1,main!$A$3:$H$102,5,FALSE)-VLOOKUP($A87,main!$A$3:$H$102,6,FALSE)&gt;=(VLOOKUP(VLOOKUP(BY$1,main!$A$3:$H$102,8,FALSE),main!$K$26:$M$29,2,FALSE)+VLOOKUP(VLOOKUP(BY$1,main!$A$3:$H$102,7,FALSE),main!$K$19:$O$22,MATCH(VLOOKUP($A87,main!$A$3:$H$102,8,FALSE),main!$K$18:$O$18,0))))),1,0)</f>
        <v>0</v>
      </c>
      <c r="BZ87">
        <f>IF((AND(VLOOKUP(BZ$1,main!$A$3:$H$102,5,FALSE)-VLOOKUP($A87,main!$A$3:$H$102,6,FALSE)&gt;=(VLOOKUP(VLOOKUP(BZ$1,main!$A$3:$H$102,8,FALSE),main!$K$26:$M$29,2,FALSE)+VLOOKUP(VLOOKUP(BZ$1,main!$A$3:$H$102,7,FALSE),main!$K$19:$O$22,MATCH(VLOOKUP($A87,main!$A$3:$H$102,8,FALSE),main!$K$18:$O$18,0))))),1,0)</f>
        <v>0</v>
      </c>
      <c r="CA87">
        <f>IF((AND(VLOOKUP(CA$1,main!$A$3:$H$102,5,FALSE)-VLOOKUP($A87,main!$A$3:$H$102,6,FALSE)&gt;=(VLOOKUP(VLOOKUP(CA$1,main!$A$3:$H$102,8,FALSE),main!$K$26:$M$29,2,FALSE)+VLOOKUP(VLOOKUP(CA$1,main!$A$3:$H$102,7,FALSE),main!$K$19:$O$22,MATCH(VLOOKUP($A87,main!$A$3:$H$102,8,FALSE),main!$K$18:$O$18,0))))),1,0)</f>
        <v>0</v>
      </c>
      <c r="CB87">
        <f>IF((AND(VLOOKUP(CB$1,main!$A$3:$H$102,5,FALSE)-VLOOKUP($A87,main!$A$3:$H$102,6,FALSE)&gt;=(VLOOKUP(VLOOKUP(CB$1,main!$A$3:$H$102,8,FALSE),main!$K$26:$M$29,2,FALSE)+VLOOKUP(VLOOKUP(CB$1,main!$A$3:$H$102,7,FALSE),main!$K$19:$O$22,MATCH(VLOOKUP($A87,main!$A$3:$H$102,8,FALSE),main!$K$18:$O$18,0))))),1,0)</f>
        <v>0</v>
      </c>
      <c r="CC87">
        <f>IF((AND(VLOOKUP(CC$1,main!$A$3:$H$102,5,FALSE)-VLOOKUP($A87,main!$A$3:$H$102,6,FALSE)&gt;=(VLOOKUP(VLOOKUP(CC$1,main!$A$3:$H$102,8,FALSE),main!$K$26:$M$29,2,FALSE)+VLOOKUP(VLOOKUP(CC$1,main!$A$3:$H$102,7,FALSE),main!$K$19:$O$22,MATCH(VLOOKUP($A87,main!$A$3:$H$102,8,FALSE),main!$K$18:$O$18,0))))),1,0)</f>
        <v>0</v>
      </c>
      <c r="CD87">
        <f>IF((AND(VLOOKUP(CD$1,main!$A$3:$H$102,5,FALSE)-VLOOKUP($A87,main!$A$3:$H$102,6,FALSE)&gt;=(VLOOKUP(VLOOKUP(CD$1,main!$A$3:$H$102,8,FALSE),main!$K$26:$M$29,2,FALSE)+VLOOKUP(VLOOKUP(CD$1,main!$A$3:$H$102,7,FALSE),main!$K$19:$O$22,MATCH(VLOOKUP($A87,main!$A$3:$H$102,8,FALSE),main!$K$18:$O$18,0))))),1,0)</f>
        <v>0</v>
      </c>
      <c r="CE87">
        <f>IF((AND(VLOOKUP(CE$1,main!$A$3:$H$102,5,FALSE)-VLOOKUP($A87,main!$A$3:$H$102,6,FALSE)&gt;=(VLOOKUP(VLOOKUP(CE$1,main!$A$3:$H$102,8,FALSE),main!$K$26:$M$29,2,FALSE)+VLOOKUP(VLOOKUP(CE$1,main!$A$3:$H$102,7,FALSE),main!$K$19:$O$22,MATCH(VLOOKUP($A87,main!$A$3:$H$102,8,FALSE),main!$K$18:$O$18,0))))),1,0)</f>
        <v>0</v>
      </c>
      <c r="CF87">
        <f>IF((AND(VLOOKUP(CF$1,main!$A$3:$H$102,5,FALSE)-VLOOKUP($A87,main!$A$3:$H$102,6,FALSE)&gt;=(VLOOKUP(VLOOKUP(CF$1,main!$A$3:$H$102,8,FALSE),main!$K$26:$M$29,2,FALSE)+VLOOKUP(VLOOKUP(CF$1,main!$A$3:$H$102,7,FALSE),main!$K$19:$O$22,MATCH(VLOOKUP($A87,main!$A$3:$H$102,8,FALSE),main!$K$18:$O$18,0))))),1,0)</f>
        <v>0</v>
      </c>
      <c r="CG87">
        <f>IF((AND(VLOOKUP(CG$1,main!$A$3:$H$102,5,FALSE)-VLOOKUP($A87,main!$A$3:$H$102,6,FALSE)&gt;=(VLOOKUP(VLOOKUP(CG$1,main!$A$3:$H$102,8,FALSE),main!$K$26:$M$29,2,FALSE)+VLOOKUP(VLOOKUP(CG$1,main!$A$3:$H$102,7,FALSE),main!$K$19:$O$22,MATCH(VLOOKUP($A87,main!$A$3:$H$102,8,FALSE),main!$K$18:$O$18,0))))),1,0)</f>
        <v>0</v>
      </c>
      <c r="CH87">
        <f>IF((AND(VLOOKUP(CH$1,main!$A$3:$H$102,5,FALSE)-VLOOKUP($A87,main!$A$3:$H$102,6,FALSE)&gt;=(VLOOKUP(VLOOKUP(CH$1,main!$A$3:$H$102,8,FALSE),main!$K$26:$M$29,2,FALSE)+VLOOKUP(VLOOKUP(CH$1,main!$A$3:$H$102,7,FALSE),main!$K$19:$O$22,MATCH(VLOOKUP($A87,main!$A$3:$H$102,8,FALSE),main!$K$18:$O$18,0))))),1,0)</f>
        <v>0</v>
      </c>
      <c r="CI87">
        <f>IF((AND(VLOOKUP(CI$1,main!$A$3:$H$102,5,FALSE)-VLOOKUP($A87,main!$A$3:$H$102,6,FALSE)&gt;=(VLOOKUP(VLOOKUP(CI$1,main!$A$3:$H$102,8,FALSE),main!$K$26:$M$29,2,FALSE)+VLOOKUP(VLOOKUP(CI$1,main!$A$3:$H$102,7,FALSE),main!$K$19:$O$22,MATCH(VLOOKUP($A87,main!$A$3:$H$102,8,FALSE),main!$K$18:$O$18,0))))),1,0)</f>
        <v>0</v>
      </c>
      <c r="CJ87">
        <f>IF((AND(VLOOKUP(CJ$1,main!$A$3:$H$102,5,FALSE)-VLOOKUP($A87,main!$A$3:$H$102,6,FALSE)&gt;=(VLOOKUP(VLOOKUP(CJ$1,main!$A$3:$H$102,8,FALSE),main!$K$26:$M$29,2,FALSE)+VLOOKUP(VLOOKUP(CJ$1,main!$A$3:$H$102,7,FALSE),main!$K$19:$O$22,MATCH(VLOOKUP($A87,main!$A$3:$H$102,8,FALSE),main!$K$18:$O$18,0))))),1,0)</f>
        <v>0</v>
      </c>
      <c r="CK87">
        <f>IF((AND(VLOOKUP(CK$1,main!$A$3:$H$102,5,FALSE)-VLOOKUP($A87,main!$A$3:$H$102,6,FALSE)&gt;=(VLOOKUP(VLOOKUP(CK$1,main!$A$3:$H$102,8,FALSE),main!$K$26:$M$29,2,FALSE)+VLOOKUP(VLOOKUP(CK$1,main!$A$3:$H$102,7,FALSE),main!$K$19:$O$22,MATCH(VLOOKUP($A87,main!$A$3:$H$102,8,FALSE),main!$K$18:$O$18,0))))),1,0)</f>
        <v>0</v>
      </c>
      <c r="CL87">
        <f>IF((AND(VLOOKUP(CL$1,main!$A$3:$H$102,5,FALSE)-VLOOKUP($A87,main!$A$3:$H$102,6,FALSE)&gt;=(VLOOKUP(VLOOKUP(CL$1,main!$A$3:$H$102,8,FALSE),main!$K$26:$M$29,2,FALSE)+VLOOKUP(VLOOKUP(CL$1,main!$A$3:$H$102,7,FALSE),main!$K$19:$O$22,MATCH(VLOOKUP($A87,main!$A$3:$H$102,8,FALSE),main!$K$18:$O$18,0))))),1,0)</f>
        <v>0</v>
      </c>
      <c r="CM87">
        <f>IF((AND(VLOOKUP(CM$1,main!$A$3:$H$102,5,FALSE)-VLOOKUP($A87,main!$A$3:$H$102,6,FALSE)&gt;=(VLOOKUP(VLOOKUP(CM$1,main!$A$3:$H$102,8,FALSE),main!$K$26:$M$29,2,FALSE)+VLOOKUP(VLOOKUP(CM$1,main!$A$3:$H$102,7,FALSE),main!$K$19:$O$22,MATCH(VLOOKUP($A87,main!$A$3:$H$102,8,FALSE),main!$K$18:$O$18,0))))),1,0)</f>
        <v>0</v>
      </c>
      <c r="CN87">
        <f>IF((AND(VLOOKUP(CN$1,main!$A$3:$H$102,5,FALSE)-VLOOKUP($A87,main!$A$3:$H$102,6,FALSE)&gt;=(VLOOKUP(VLOOKUP(CN$1,main!$A$3:$H$102,8,FALSE),main!$K$26:$M$29,2,FALSE)+VLOOKUP(VLOOKUP(CN$1,main!$A$3:$H$102,7,FALSE),main!$K$19:$O$22,MATCH(VLOOKUP($A87,main!$A$3:$H$102,8,FALSE),main!$K$18:$O$18,0))))),1,0)</f>
        <v>0</v>
      </c>
      <c r="CO87">
        <f>IF((AND(VLOOKUP(CO$1,main!$A$3:$H$102,5,FALSE)-VLOOKUP($A87,main!$A$3:$H$102,6,FALSE)&gt;=(VLOOKUP(VLOOKUP(CO$1,main!$A$3:$H$102,8,FALSE),main!$K$26:$M$29,2,FALSE)+VLOOKUP(VLOOKUP(CO$1,main!$A$3:$H$102,7,FALSE),main!$K$19:$O$22,MATCH(VLOOKUP($A87,main!$A$3:$H$102,8,FALSE),main!$K$18:$O$18,0))))),1,0)</f>
        <v>0</v>
      </c>
      <c r="CP87">
        <f>IF((AND(VLOOKUP(CP$1,main!$A$3:$H$102,5,FALSE)-VLOOKUP($A87,main!$A$3:$H$102,6,FALSE)&gt;=(VLOOKUP(VLOOKUP(CP$1,main!$A$3:$H$102,8,FALSE),main!$K$26:$M$29,2,FALSE)+VLOOKUP(VLOOKUP(CP$1,main!$A$3:$H$102,7,FALSE),main!$K$19:$O$22,MATCH(VLOOKUP($A87,main!$A$3:$H$102,8,FALSE),main!$K$18:$O$18,0))))),1,0)</f>
        <v>0</v>
      </c>
      <c r="CQ87">
        <f>IF((AND(VLOOKUP(CQ$1,main!$A$3:$H$102,5,FALSE)-VLOOKUP($A87,main!$A$3:$H$102,6,FALSE)&gt;=(VLOOKUP(VLOOKUP(CQ$1,main!$A$3:$H$102,8,FALSE),main!$K$26:$M$29,2,FALSE)+VLOOKUP(VLOOKUP(CQ$1,main!$A$3:$H$102,7,FALSE),main!$K$19:$O$22,MATCH(VLOOKUP($A87,main!$A$3:$H$102,8,FALSE),main!$K$18:$O$18,0))))),1,0)</f>
        <v>0</v>
      </c>
      <c r="CR87">
        <f>IF((AND(VLOOKUP(CR$1,main!$A$3:$H$102,5,FALSE)-VLOOKUP($A87,main!$A$3:$H$102,6,FALSE)&gt;=(VLOOKUP(VLOOKUP(CR$1,main!$A$3:$H$102,8,FALSE),main!$K$26:$M$29,2,FALSE)+VLOOKUP(VLOOKUP(CR$1,main!$A$3:$H$102,7,FALSE),main!$K$19:$O$22,MATCH(VLOOKUP($A87,main!$A$3:$H$102,8,FALSE),main!$K$18:$O$18,0))))),1,0)</f>
        <v>0</v>
      </c>
      <c r="CS87">
        <f>IF((AND(VLOOKUP(CS$1,main!$A$3:$H$102,5,FALSE)-VLOOKUP($A87,main!$A$3:$H$102,6,FALSE)&gt;=(VLOOKUP(VLOOKUP(CS$1,main!$A$3:$H$102,8,FALSE),main!$K$26:$M$29,2,FALSE)+VLOOKUP(VLOOKUP(CS$1,main!$A$3:$H$102,7,FALSE),main!$K$19:$O$22,MATCH(VLOOKUP($A87,main!$A$3:$H$102,8,FALSE),main!$K$18:$O$18,0))))),1,0)</f>
        <v>0</v>
      </c>
      <c r="CT87">
        <f>IF((AND(VLOOKUP(CT$1,main!$A$3:$H$102,5,FALSE)-VLOOKUP($A87,main!$A$3:$H$102,6,FALSE)&gt;=(VLOOKUP(VLOOKUP(CT$1,main!$A$3:$H$102,8,FALSE),main!$K$26:$M$29,2,FALSE)+VLOOKUP(VLOOKUP(CT$1,main!$A$3:$H$102,7,FALSE),main!$K$19:$O$22,MATCH(VLOOKUP($A87,main!$A$3:$H$102,8,FALSE),main!$K$18:$O$18,0))))),1,0)</f>
        <v>0</v>
      </c>
      <c r="CU87">
        <f>IF((AND(VLOOKUP(CU$1,main!$A$3:$H$102,5,FALSE)-VLOOKUP($A87,main!$A$3:$H$102,6,FALSE)&gt;=(VLOOKUP(VLOOKUP(CU$1,main!$A$3:$H$102,8,FALSE),main!$K$26:$M$29,2,FALSE)+VLOOKUP(VLOOKUP(CU$1,main!$A$3:$H$102,7,FALSE),main!$K$19:$O$22,MATCH(VLOOKUP($A87,main!$A$3:$H$102,8,FALSE),main!$K$18:$O$18,0))))),1,0)</f>
        <v>0</v>
      </c>
      <c r="CV87">
        <f>IF((AND(VLOOKUP(CV$1,main!$A$3:$H$102,5,FALSE)-VLOOKUP($A87,main!$A$3:$H$102,6,FALSE)&gt;=(VLOOKUP(VLOOKUP(CV$1,main!$A$3:$H$102,8,FALSE),main!$K$26:$M$29,2,FALSE)+VLOOKUP(VLOOKUP(CV$1,main!$A$3:$H$102,7,FALSE),main!$K$19:$O$22,MATCH(VLOOKUP($A87,main!$A$3:$H$102,8,FALSE),main!$K$18:$O$18,0))))),1,0)</f>
        <v>0</v>
      </c>
      <c r="CW87">
        <f>IF((AND(VLOOKUP(CW$1,main!$A$3:$H$102,5,FALSE)-VLOOKUP($A87,main!$A$3:$H$102,6,FALSE)&gt;=(VLOOKUP(VLOOKUP(CW$1,main!$A$3:$H$102,8,FALSE),main!$K$26:$M$29,2,FALSE)+VLOOKUP(VLOOKUP(CW$1,main!$A$3:$H$102,7,FALSE),main!$K$19:$O$22,MATCH(VLOOKUP($A87,main!$A$3:$H$102,8,FALSE),main!$K$18:$O$18,0))))),1,0)</f>
        <v>0</v>
      </c>
      <c r="CX87">
        <f>IF((AND(VLOOKUP(CX$1,main!$A$3:$H$102,5,FALSE)-VLOOKUP($A87,main!$A$3:$H$102,6,FALSE)&gt;=(VLOOKUP(VLOOKUP(CX$1,main!$A$3:$H$102,8,FALSE),main!$K$26:$M$29,2,FALSE)+VLOOKUP(VLOOKUP(CX$1,main!$A$3:$H$102,7,FALSE),main!$K$19:$O$22,MATCH(VLOOKUP($A87,main!$A$3:$H$102,8,FALSE),main!$K$18:$O$18,0))))),1,0)</f>
        <v>0</v>
      </c>
    </row>
    <row r="88" spans="1:102" x14ac:dyDescent="0.25">
      <c r="A88" s="1">
        <v>86</v>
      </c>
      <c r="B88">
        <v>1</v>
      </c>
      <c r="C88">
        <f>IF((AND(VLOOKUP(C$1,main!$A$3:$H$102,5,FALSE)-VLOOKUP($A88,main!$A$3:$H$102,6,FALSE)&gt;=(VLOOKUP(VLOOKUP(C$1,main!$A$3:$H$102,8,FALSE),main!$K$26:$M$29,2,FALSE)+VLOOKUP(VLOOKUP(C$1,main!$A$3:$H$102,7,FALSE),main!$K$19:$O$22,MATCH(VLOOKUP($A88,main!$A$3:$H$102,8,FALSE),main!$K$18:$O$18,0))))),1,0)</f>
        <v>0</v>
      </c>
      <c r="D88">
        <f>IF((AND(VLOOKUP(D$1,main!$A$3:$H$102,5,FALSE)-VLOOKUP($A88,main!$A$3:$H$102,6,FALSE)&gt;=(VLOOKUP(VLOOKUP(D$1,main!$A$3:$H$102,8,FALSE),main!$K$26:$M$29,2,FALSE)+VLOOKUP(VLOOKUP(D$1,main!$A$3:$H$102,7,FALSE),main!$K$19:$O$22,MATCH(VLOOKUP($A88,main!$A$3:$H$102,8,FALSE),main!$K$18:$O$18,0))))),1,0)</f>
        <v>0</v>
      </c>
      <c r="E88">
        <f>IF((AND(VLOOKUP(E$1,main!$A$3:$H$102,5,FALSE)-VLOOKUP($A88,main!$A$3:$H$102,6,FALSE)&gt;=(VLOOKUP(VLOOKUP(E$1,main!$A$3:$H$102,8,FALSE),main!$K$26:$M$29,2,FALSE)+VLOOKUP(VLOOKUP(E$1,main!$A$3:$H$102,7,FALSE),main!$K$19:$O$22,MATCH(VLOOKUP($A88,main!$A$3:$H$102,8,FALSE),main!$K$18:$O$18,0))))),1,0)</f>
        <v>0</v>
      </c>
      <c r="F88">
        <f>IF((AND(VLOOKUP(F$1,main!$A$3:$H$102,5,FALSE)-VLOOKUP($A88,main!$A$3:$H$102,6,FALSE)&gt;=(VLOOKUP(VLOOKUP(F$1,main!$A$3:$H$102,8,FALSE),main!$K$26:$M$29,2,FALSE)+VLOOKUP(VLOOKUP(F$1,main!$A$3:$H$102,7,FALSE),main!$K$19:$O$22,MATCH(VLOOKUP($A88,main!$A$3:$H$102,8,FALSE),main!$K$18:$O$18,0))))),1,0)</f>
        <v>0</v>
      </c>
      <c r="G88">
        <f>IF((AND(VLOOKUP(G$1,main!$A$3:$H$102,5,FALSE)-VLOOKUP($A88,main!$A$3:$H$102,6,FALSE)&gt;=(VLOOKUP(VLOOKUP(G$1,main!$A$3:$H$102,8,FALSE),main!$K$26:$M$29,2,FALSE)+VLOOKUP(VLOOKUP(G$1,main!$A$3:$H$102,7,FALSE),main!$K$19:$O$22,MATCH(VLOOKUP($A88,main!$A$3:$H$102,8,FALSE),main!$K$18:$O$18,0))))),1,0)</f>
        <v>0</v>
      </c>
      <c r="H88">
        <f>IF((AND(VLOOKUP(H$1,main!$A$3:$H$102,5,FALSE)-VLOOKUP($A88,main!$A$3:$H$102,6,FALSE)&gt;=(VLOOKUP(VLOOKUP(H$1,main!$A$3:$H$102,8,FALSE),main!$K$26:$M$29,2,FALSE)+VLOOKUP(VLOOKUP(H$1,main!$A$3:$H$102,7,FALSE),main!$K$19:$O$22,MATCH(VLOOKUP($A88,main!$A$3:$H$102,8,FALSE),main!$K$18:$O$18,0))))),1,0)</f>
        <v>1</v>
      </c>
      <c r="I88">
        <f>IF((AND(VLOOKUP(I$1,main!$A$3:$H$102,5,FALSE)-VLOOKUP($A88,main!$A$3:$H$102,6,FALSE)&gt;=(VLOOKUP(VLOOKUP(I$1,main!$A$3:$H$102,8,FALSE),main!$K$26:$M$29,2,FALSE)+VLOOKUP(VLOOKUP(I$1,main!$A$3:$H$102,7,FALSE),main!$K$19:$O$22,MATCH(VLOOKUP($A88,main!$A$3:$H$102,8,FALSE),main!$K$18:$O$18,0))))),1,0)</f>
        <v>1</v>
      </c>
      <c r="J88">
        <f>IF((AND(VLOOKUP(J$1,main!$A$3:$H$102,5,FALSE)-VLOOKUP($A88,main!$A$3:$H$102,6,FALSE)&gt;=(VLOOKUP(VLOOKUP(J$1,main!$A$3:$H$102,8,FALSE),main!$K$26:$M$29,2,FALSE)+VLOOKUP(VLOOKUP(J$1,main!$A$3:$H$102,7,FALSE),main!$K$19:$O$22,MATCH(VLOOKUP($A88,main!$A$3:$H$102,8,FALSE),main!$K$18:$O$18,0))))),1,0)</f>
        <v>1</v>
      </c>
      <c r="K88">
        <f>IF((AND(VLOOKUP(K$1,main!$A$3:$H$102,5,FALSE)-VLOOKUP($A88,main!$A$3:$H$102,6,FALSE)&gt;=(VLOOKUP(VLOOKUP(K$1,main!$A$3:$H$102,8,FALSE),main!$K$26:$M$29,2,FALSE)+VLOOKUP(VLOOKUP(K$1,main!$A$3:$H$102,7,FALSE),main!$K$19:$O$22,MATCH(VLOOKUP($A88,main!$A$3:$H$102,8,FALSE),main!$K$18:$O$18,0))))),1,0)</f>
        <v>1</v>
      </c>
      <c r="L88">
        <f>IF((AND(VLOOKUP(L$1,main!$A$3:$H$102,5,FALSE)-VLOOKUP($A88,main!$A$3:$H$102,6,FALSE)&gt;=(VLOOKUP(VLOOKUP(L$1,main!$A$3:$H$102,8,FALSE),main!$K$26:$M$29,2,FALSE)+VLOOKUP(VLOOKUP(L$1,main!$A$3:$H$102,7,FALSE),main!$K$19:$O$22,MATCH(VLOOKUP($A88,main!$A$3:$H$102,8,FALSE),main!$K$18:$O$18,0))))),1,0)</f>
        <v>1</v>
      </c>
      <c r="M88">
        <f>IF((AND(VLOOKUP(M$1,main!$A$3:$H$102,5,FALSE)-VLOOKUP($A88,main!$A$3:$H$102,6,FALSE)&gt;=(VLOOKUP(VLOOKUP(M$1,main!$A$3:$H$102,8,FALSE),main!$K$26:$M$29,2,FALSE)+VLOOKUP(VLOOKUP(M$1,main!$A$3:$H$102,7,FALSE),main!$K$19:$O$22,MATCH(VLOOKUP($A88,main!$A$3:$H$102,8,FALSE),main!$K$18:$O$18,0))))),1,0)</f>
        <v>0</v>
      </c>
      <c r="N88">
        <f>IF((AND(VLOOKUP(N$1,main!$A$3:$H$102,5,FALSE)-VLOOKUP($A88,main!$A$3:$H$102,6,FALSE)&gt;=(VLOOKUP(VLOOKUP(N$1,main!$A$3:$H$102,8,FALSE),main!$K$26:$M$29,2,FALSE)+VLOOKUP(VLOOKUP(N$1,main!$A$3:$H$102,7,FALSE),main!$K$19:$O$22,MATCH(VLOOKUP($A88,main!$A$3:$H$102,8,FALSE),main!$K$18:$O$18,0))))),1,0)</f>
        <v>0</v>
      </c>
      <c r="O88">
        <f>IF((AND(VLOOKUP(O$1,main!$A$3:$H$102,5,FALSE)-VLOOKUP($A88,main!$A$3:$H$102,6,FALSE)&gt;=(VLOOKUP(VLOOKUP(O$1,main!$A$3:$H$102,8,FALSE),main!$K$26:$M$29,2,FALSE)+VLOOKUP(VLOOKUP(O$1,main!$A$3:$H$102,7,FALSE),main!$K$19:$O$22,MATCH(VLOOKUP($A88,main!$A$3:$H$102,8,FALSE),main!$K$18:$O$18,0))))),1,0)</f>
        <v>0</v>
      </c>
      <c r="P88">
        <f>IF((AND(VLOOKUP(P$1,main!$A$3:$H$102,5,FALSE)-VLOOKUP($A88,main!$A$3:$H$102,6,FALSE)&gt;=(VLOOKUP(VLOOKUP(P$1,main!$A$3:$H$102,8,FALSE),main!$K$26:$M$29,2,FALSE)+VLOOKUP(VLOOKUP(P$1,main!$A$3:$H$102,7,FALSE),main!$K$19:$O$22,MATCH(VLOOKUP($A88,main!$A$3:$H$102,8,FALSE),main!$K$18:$O$18,0))))),1,0)</f>
        <v>0</v>
      </c>
      <c r="Q88">
        <f>IF((AND(VLOOKUP(Q$1,main!$A$3:$H$102,5,FALSE)-VLOOKUP($A88,main!$A$3:$H$102,6,FALSE)&gt;=(VLOOKUP(VLOOKUP(Q$1,main!$A$3:$H$102,8,FALSE),main!$K$26:$M$29,2,FALSE)+VLOOKUP(VLOOKUP(Q$1,main!$A$3:$H$102,7,FALSE),main!$K$19:$O$22,MATCH(VLOOKUP($A88,main!$A$3:$H$102,8,FALSE),main!$K$18:$O$18,0))))),1,0)</f>
        <v>0</v>
      </c>
      <c r="R88">
        <f>IF((AND(VLOOKUP(R$1,main!$A$3:$H$102,5,FALSE)-VLOOKUP($A88,main!$A$3:$H$102,6,FALSE)&gt;=(VLOOKUP(VLOOKUP(R$1,main!$A$3:$H$102,8,FALSE),main!$K$26:$M$29,2,FALSE)+VLOOKUP(VLOOKUP(R$1,main!$A$3:$H$102,7,FALSE),main!$K$19:$O$22,MATCH(VLOOKUP($A88,main!$A$3:$H$102,8,FALSE),main!$K$18:$O$18,0))))),1,0)</f>
        <v>0</v>
      </c>
      <c r="S88">
        <f>IF((AND(VLOOKUP(S$1,main!$A$3:$H$102,5,FALSE)-VLOOKUP($A88,main!$A$3:$H$102,6,FALSE)&gt;=(VLOOKUP(VLOOKUP(S$1,main!$A$3:$H$102,8,FALSE),main!$K$26:$M$29,2,FALSE)+VLOOKUP(VLOOKUP(S$1,main!$A$3:$H$102,7,FALSE),main!$K$19:$O$22,MATCH(VLOOKUP($A88,main!$A$3:$H$102,8,FALSE),main!$K$18:$O$18,0))))),1,0)</f>
        <v>1</v>
      </c>
      <c r="T88">
        <f>IF((AND(VLOOKUP(T$1,main!$A$3:$H$102,5,FALSE)-VLOOKUP($A88,main!$A$3:$H$102,6,FALSE)&gt;=(VLOOKUP(VLOOKUP(T$1,main!$A$3:$H$102,8,FALSE),main!$K$26:$M$29,2,FALSE)+VLOOKUP(VLOOKUP(T$1,main!$A$3:$H$102,7,FALSE),main!$K$19:$O$22,MATCH(VLOOKUP($A88,main!$A$3:$H$102,8,FALSE),main!$K$18:$O$18,0))))),1,0)</f>
        <v>1</v>
      </c>
      <c r="U88">
        <f>IF((AND(VLOOKUP(U$1,main!$A$3:$H$102,5,FALSE)-VLOOKUP($A88,main!$A$3:$H$102,6,FALSE)&gt;=(VLOOKUP(VLOOKUP(U$1,main!$A$3:$H$102,8,FALSE),main!$K$26:$M$29,2,FALSE)+VLOOKUP(VLOOKUP(U$1,main!$A$3:$H$102,7,FALSE),main!$K$19:$O$22,MATCH(VLOOKUP($A88,main!$A$3:$H$102,8,FALSE),main!$K$18:$O$18,0))))),1,0)</f>
        <v>1</v>
      </c>
      <c r="V88">
        <f>IF((AND(VLOOKUP(V$1,main!$A$3:$H$102,5,FALSE)-VLOOKUP($A88,main!$A$3:$H$102,6,FALSE)&gt;=(VLOOKUP(VLOOKUP(V$1,main!$A$3:$H$102,8,FALSE),main!$K$26:$M$29,2,FALSE)+VLOOKUP(VLOOKUP(V$1,main!$A$3:$H$102,7,FALSE),main!$K$19:$O$22,MATCH(VLOOKUP($A88,main!$A$3:$H$102,8,FALSE),main!$K$18:$O$18,0))))),1,0)</f>
        <v>1</v>
      </c>
      <c r="W88">
        <f>IF((AND(VLOOKUP(W$1,main!$A$3:$H$102,5,FALSE)-VLOOKUP($A88,main!$A$3:$H$102,6,FALSE)&gt;=(VLOOKUP(VLOOKUP(W$1,main!$A$3:$H$102,8,FALSE),main!$K$26:$M$29,2,FALSE)+VLOOKUP(VLOOKUP(W$1,main!$A$3:$H$102,7,FALSE),main!$K$19:$O$22,MATCH(VLOOKUP($A88,main!$A$3:$H$102,8,FALSE),main!$K$18:$O$18,0))))),1,0)</f>
        <v>0</v>
      </c>
      <c r="X88">
        <f>IF((AND(VLOOKUP(X$1,main!$A$3:$H$102,5,FALSE)-VLOOKUP($A88,main!$A$3:$H$102,6,FALSE)&gt;=(VLOOKUP(VLOOKUP(X$1,main!$A$3:$H$102,8,FALSE),main!$K$26:$M$29,2,FALSE)+VLOOKUP(VLOOKUP(X$1,main!$A$3:$H$102,7,FALSE),main!$K$19:$O$22,MATCH(VLOOKUP($A88,main!$A$3:$H$102,8,FALSE),main!$K$18:$O$18,0))))),1,0)</f>
        <v>0</v>
      </c>
      <c r="Y88">
        <f>IF((AND(VLOOKUP(Y$1,main!$A$3:$H$102,5,FALSE)-VLOOKUP($A88,main!$A$3:$H$102,6,FALSE)&gt;=(VLOOKUP(VLOOKUP(Y$1,main!$A$3:$H$102,8,FALSE),main!$K$26:$M$29,2,FALSE)+VLOOKUP(VLOOKUP(Y$1,main!$A$3:$H$102,7,FALSE),main!$K$19:$O$22,MATCH(VLOOKUP($A88,main!$A$3:$H$102,8,FALSE),main!$K$18:$O$18,0))))),1,0)</f>
        <v>0</v>
      </c>
      <c r="Z88">
        <f>IF((AND(VLOOKUP(Z$1,main!$A$3:$H$102,5,FALSE)-VLOOKUP($A88,main!$A$3:$H$102,6,FALSE)&gt;=(VLOOKUP(VLOOKUP(Z$1,main!$A$3:$H$102,8,FALSE),main!$K$26:$M$29,2,FALSE)+VLOOKUP(VLOOKUP(Z$1,main!$A$3:$H$102,7,FALSE),main!$K$19:$O$22,MATCH(VLOOKUP($A88,main!$A$3:$H$102,8,FALSE),main!$K$18:$O$18,0))))),1,0)</f>
        <v>1</v>
      </c>
      <c r="AA88">
        <f>IF((AND(VLOOKUP(AA$1,main!$A$3:$H$102,5,FALSE)-VLOOKUP($A88,main!$A$3:$H$102,6,FALSE)&gt;=(VLOOKUP(VLOOKUP(AA$1,main!$A$3:$H$102,8,FALSE),main!$K$26:$M$29,2,FALSE)+VLOOKUP(VLOOKUP(AA$1,main!$A$3:$H$102,7,FALSE),main!$K$19:$O$22,MATCH(VLOOKUP($A88,main!$A$3:$H$102,8,FALSE),main!$K$18:$O$18,0))))),1,0)</f>
        <v>1</v>
      </c>
      <c r="AB88">
        <f>IF((AND(VLOOKUP(AB$1,main!$A$3:$H$102,5,FALSE)-VLOOKUP($A88,main!$A$3:$H$102,6,FALSE)&gt;=(VLOOKUP(VLOOKUP(AB$1,main!$A$3:$H$102,8,FALSE),main!$K$26:$M$29,2,FALSE)+VLOOKUP(VLOOKUP(AB$1,main!$A$3:$H$102,7,FALSE),main!$K$19:$O$22,MATCH(VLOOKUP($A88,main!$A$3:$H$102,8,FALSE),main!$K$18:$O$18,0))))),1,0)</f>
        <v>0</v>
      </c>
      <c r="AC88">
        <f>IF((AND(VLOOKUP(AC$1,main!$A$3:$H$102,5,FALSE)-VLOOKUP($A88,main!$A$3:$H$102,6,FALSE)&gt;=(VLOOKUP(VLOOKUP(AC$1,main!$A$3:$H$102,8,FALSE),main!$K$26:$M$29,2,FALSE)+VLOOKUP(VLOOKUP(AC$1,main!$A$3:$H$102,7,FALSE),main!$K$19:$O$22,MATCH(VLOOKUP($A88,main!$A$3:$H$102,8,FALSE),main!$K$18:$O$18,0))))),1,0)</f>
        <v>0</v>
      </c>
      <c r="AD88">
        <f>IF((AND(VLOOKUP(AD$1,main!$A$3:$H$102,5,FALSE)-VLOOKUP($A88,main!$A$3:$H$102,6,FALSE)&gt;=(VLOOKUP(VLOOKUP(AD$1,main!$A$3:$H$102,8,FALSE),main!$K$26:$M$29,2,FALSE)+VLOOKUP(VLOOKUP(AD$1,main!$A$3:$H$102,7,FALSE),main!$K$19:$O$22,MATCH(VLOOKUP($A88,main!$A$3:$H$102,8,FALSE),main!$K$18:$O$18,0))))),1,0)</f>
        <v>0</v>
      </c>
      <c r="AE88">
        <f>IF((AND(VLOOKUP(AE$1,main!$A$3:$H$102,5,FALSE)-VLOOKUP($A88,main!$A$3:$H$102,6,FALSE)&gt;=(VLOOKUP(VLOOKUP(AE$1,main!$A$3:$H$102,8,FALSE),main!$K$26:$M$29,2,FALSE)+VLOOKUP(VLOOKUP(AE$1,main!$A$3:$H$102,7,FALSE),main!$K$19:$O$22,MATCH(VLOOKUP($A88,main!$A$3:$H$102,8,FALSE),main!$K$18:$O$18,0))))),1,0)</f>
        <v>1</v>
      </c>
      <c r="AF88">
        <f>IF((AND(VLOOKUP(AF$1,main!$A$3:$H$102,5,FALSE)-VLOOKUP($A88,main!$A$3:$H$102,6,FALSE)&gt;=(VLOOKUP(VLOOKUP(AF$1,main!$A$3:$H$102,8,FALSE),main!$K$26:$M$29,2,FALSE)+VLOOKUP(VLOOKUP(AF$1,main!$A$3:$H$102,7,FALSE),main!$K$19:$O$22,MATCH(VLOOKUP($A88,main!$A$3:$H$102,8,FALSE),main!$K$18:$O$18,0))))),1,0)</f>
        <v>1</v>
      </c>
      <c r="AG88">
        <f>IF((AND(VLOOKUP(AG$1,main!$A$3:$H$102,5,FALSE)-VLOOKUP($A88,main!$A$3:$H$102,6,FALSE)&gt;=(VLOOKUP(VLOOKUP(AG$1,main!$A$3:$H$102,8,FALSE),main!$K$26:$M$29,2,FALSE)+VLOOKUP(VLOOKUP(AG$1,main!$A$3:$H$102,7,FALSE),main!$K$19:$O$22,MATCH(VLOOKUP($A88,main!$A$3:$H$102,8,FALSE),main!$K$18:$O$18,0))))),1,0)</f>
        <v>0</v>
      </c>
      <c r="AH88">
        <f>IF((AND(VLOOKUP(AH$1,main!$A$3:$H$102,5,FALSE)-VLOOKUP($A88,main!$A$3:$H$102,6,FALSE)&gt;=(VLOOKUP(VLOOKUP(AH$1,main!$A$3:$H$102,8,FALSE),main!$K$26:$M$29,2,FALSE)+VLOOKUP(VLOOKUP(AH$1,main!$A$3:$H$102,7,FALSE),main!$K$19:$O$22,MATCH(VLOOKUP($A88,main!$A$3:$H$102,8,FALSE),main!$K$18:$O$18,0))))),1,0)</f>
        <v>0</v>
      </c>
      <c r="AI88">
        <f>IF((AND(VLOOKUP(AI$1,main!$A$3:$H$102,5,FALSE)-VLOOKUP($A88,main!$A$3:$H$102,6,FALSE)&gt;=(VLOOKUP(VLOOKUP(AI$1,main!$A$3:$H$102,8,FALSE),main!$K$26:$M$29,2,FALSE)+VLOOKUP(VLOOKUP(AI$1,main!$A$3:$H$102,7,FALSE),main!$K$19:$O$22,MATCH(VLOOKUP($A88,main!$A$3:$H$102,8,FALSE),main!$K$18:$O$18,0))))),1,0)</f>
        <v>0</v>
      </c>
      <c r="AJ88">
        <f>IF((AND(VLOOKUP(AJ$1,main!$A$3:$H$102,5,FALSE)-VLOOKUP($A88,main!$A$3:$H$102,6,FALSE)&gt;=(VLOOKUP(VLOOKUP(AJ$1,main!$A$3:$H$102,8,FALSE),main!$K$26:$M$29,2,FALSE)+VLOOKUP(VLOOKUP(AJ$1,main!$A$3:$H$102,7,FALSE),main!$K$19:$O$22,MATCH(VLOOKUP($A88,main!$A$3:$H$102,8,FALSE),main!$K$18:$O$18,0))))),1,0)</f>
        <v>0</v>
      </c>
      <c r="AK88">
        <f>IF((AND(VLOOKUP(AK$1,main!$A$3:$H$102,5,FALSE)-VLOOKUP($A88,main!$A$3:$H$102,6,FALSE)&gt;=(VLOOKUP(VLOOKUP(AK$1,main!$A$3:$H$102,8,FALSE),main!$K$26:$M$29,2,FALSE)+VLOOKUP(VLOOKUP(AK$1,main!$A$3:$H$102,7,FALSE),main!$K$19:$O$22,MATCH(VLOOKUP($A88,main!$A$3:$H$102,8,FALSE),main!$K$18:$O$18,0))))),1,0)</f>
        <v>1</v>
      </c>
      <c r="AL88">
        <f>IF((AND(VLOOKUP(AL$1,main!$A$3:$H$102,5,FALSE)-VLOOKUP($A88,main!$A$3:$H$102,6,FALSE)&gt;=(VLOOKUP(VLOOKUP(AL$1,main!$A$3:$H$102,8,FALSE),main!$K$26:$M$29,2,FALSE)+VLOOKUP(VLOOKUP(AL$1,main!$A$3:$H$102,7,FALSE),main!$K$19:$O$22,MATCH(VLOOKUP($A88,main!$A$3:$H$102,8,FALSE),main!$K$18:$O$18,0))))),1,0)</f>
        <v>1</v>
      </c>
      <c r="AM88">
        <f>IF((AND(VLOOKUP(AM$1,main!$A$3:$H$102,5,FALSE)-VLOOKUP($A88,main!$A$3:$H$102,6,FALSE)&gt;=(VLOOKUP(VLOOKUP(AM$1,main!$A$3:$H$102,8,FALSE),main!$K$26:$M$29,2,FALSE)+VLOOKUP(VLOOKUP(AM$1,main!$A$3:$H$102,7,FALSE),main!$K$19:$O$22,MATCH(VLOOKUP($A88,main!$A$3:$H$102,8,FALSE),main!$K$18:$O$18,0))))),1,0)</f>
        <v>1</v>
      </c>
      <c r="AN88">
        <f>IF((AND(VLOOKUP(AN$1,main!$A$3:$H$102,5,FALSE)-VLOOKUP($A88,main!$A$3:$H$102,6,FALSE)&gt;=(VLOOKUP(VLOOKUP(AN$1,main!$A$3:$H$102,8,FALSE),main!$K$26:$M$29,2,FALSE)+VLOOKUP(VLOOKUP(AN$1,main!$A$3:$H$102,7,FALSE),main!$K$19:$O$22,MATCH(VLOOKUP($A88,main!$A$3:$H$102,8,FALSE),main!$K$18:$O$18,0))))),1,0)</f>
        <v>1</v>
      </c>
      <c r="AO88">
        <f>IF((AND(VLOOKUP(AO$1,main!$A$3:$H$102,5,FALSE)-VLOOKUP($A88,main!$A$3:$H$102,6,FALSE)&gt;=(VLOOKUP(VLOOKUP(AO$1,main!$A$3:$H$102,8,FALSE),main!$K$26:$M$29,2,FALSE)+VLOOKUP(VLOOKUP(AO$1,main!$A$3:$H$102,7,FALSE),main!$K$19:$O$22,MATCH(VLOOKUP($A88,main!$A$3:$H$102,8,FALSE),main!$K$18:$O$18,0))))),1,0)</f>
        <v>0</v>
      </c>
      <c r="AP88">
        <f>IF((AND(VLOOKUP(AP$1,main!$A$3:$H$102,5,FALSE)-VLOOKUP($A88,main!$A$3:$H$102,6,FALSE)&gt;=(VLOOKUP(VLOOKUP(AP$1,main!$A$3:$H$102,8,FALSE),main!$K$26:$M$29,2,FALSE)+VLOOKUP(VLOOKUP(AP$1,main!$A$3:$H$102,7,FALSE),main!$K$19:$O$22,MATCH(VLOOKUP($A88,main!$A$3:$H$102,8,FALSE),main!$K$18:$O$18,0))))),1,0)</f>
        <v>1</v>
      </c>
      <c r="AQ88">
        <f>IF((AND(VLOOKUP(AQ$1,main!$A$3:$H$102,5,FALSE)-VLOOKUP($A88,main!$A$3:$H$102,6,FALSE)&gt;=(VLOOKUP(VLOOKUP(AQ$1,main!$A$3:$H$102,8,FALSE),main!$K$26:$M$29,2,FALSE)+VLOOKUP(VLOOKUP(AQ$1,main!$A$3:$H$102,7,FALSE),main!$K$19:$O$22,MATCH(VLOOKUP($A88,main!$A$3:$H$102,8,FALSE),main!$K$18:$O$18,0))))),1,0)</f>
        <v>0</v>
      </c>
      <c r="AR88">
        <f>IF((AND(VLOOKUP(AR$1,main!$A$3:$H$102,5,FALSE)-VLOOKUP($A88,main!$A$3:$H$102,6,FALSE)&gt;=(VLOOKUP(VLOOKUP(AR$1,main!$A$3:$H$102,8,FALSE),main!$K$26:$M$29,2,FALSE)+VLOOKUP(VLOOKUP(AR$1,main!$A$3:$H$102,7,FALSE),main!$K$19:$O$22,MATCH(VLOOKUP($A88,main!$A$3:$H$102,8,FALSE),main!$K$18:$O$18,0))))),1,0)</f>
        <v>0</v>
      </c>
      <c r="AS88">
        <f>IF((AND(VLOOKUP(AS$1,main!$A$3:$H$102,5,FALSE)-VLOOKUP($A88,main!$A$3:$H$102,6,FALSE)&gt;=(VLOOKUP(VLOOKUP(AS$1,main!$A$3:$H$102,8,FALSE),main!$K$26:$M$29,2,FALSE)+VLOOKUP(VLOOKUP(AS$1,main!$A$3:$H$102,7,FALSE),main!$K$19:$O$22,MATCH(VLOOKUP($A88,main!$A$3:$H$102,8,FALSE),main!$K$18:$O$18,0))))),1,0)</f>
        <v>0</v>
      </c>
      <c r="AT88">
        <f>IF((AND(VLOOKUP(AT$1,main!$A$3:$H$102,5,FALSE)-VLOOKUP($A88,main!$A$3:$H$102,6,FALSE)&gt;=(VLOOKUP(VLOOKUP(AT$1,main!$A$3:$H$102,8,FALSE),main!$K$26:$M$29,2,FALSE)+VLOOKUP(VLOOKUP(AT$1,main!$A$3:$H$102,7,FALSE),main!$K$19:$O$22,MATCH(VLOOKUP($A88,main!$A$3:$H$102,8,FALSE),main!$K$18:$O$18,0))))),1,0)</f>
        <v>1</v>
      </c>
      <c r="AU88">
        <f>IF((AND(VLOOKUP(AU$1,main!$A$3:$H$102,5,FALSE)-VLOOKUP($A88,main!$A$3:$H$102,6,FALSE)&gt;=(VLOOKUP(VLOOKUP(AU$1,main!$A$3:$H$102,8,FALSE),main!$K$26:$M$29,2,FALSE)+VLOOKUP(VLOOKUP(AU$1,main!$A$3:$H$102,7,FALSE),main!$K$19:$O$22,MATCH(VLOOKUP($A88,main!$A$3:$H$102,8,FALSE),main!$K$18:$O$18,0))))),1,0)</f>
        <v>0</v>
      </c>
      <c r="AV88">
        <f>IF((AND(VLOOKUP(AV$1,main!$A$3:$H$102,5,FALSE)-VLOOKUP($A88,main!$A$3:$H$102,6,FALSE)&gt;=(VLOOKUP(VLOOKUP(AV$1,main!$A$3:$H$102,8,FALSE),main!$K$26:$M$29,2,FALSE)+VLOOKUP(VLOOKUP(AV$1,main!$A$3:$H$102,7,FALSE),main!$K$19:$O$22,MATCH(VLOOKUP($A88,main!$A$3:$H$102,8,FALSE),main!$K$18:$O$18,0))))),1,0)</f>
        <v>0</v>
      </c>
      <c r="AW88">
        <f>IF((AND(VLOOKUP(AW$1,main!$A$3:$H$102,5,FALSE)-VLOOKUP($A88,main!$A$3:$H$102,6,FALSE)&gt;=(VLOOKUP(VLOOKUP(AW$1,main!$A$3:$H$102,8,FALSE),main!$K$26:$M$29,2,FALSE)+VLOOKUP(VLOOKUP(AW$1,main!$A$3:$H$102,7,FALSE),main!$K$19:$O$22,MATCH(VLOOKUP($A88,main!$A$3:$H$102,8,FALSE),main!$K$18:$O$18,0))))),1,0)</f>
        <v>1</v>
      </c>
      <c r="AX88">
        <f>IF((AND(VLOOKUP(AX$1,main!$A$3:$H$102,5,FALSE)-VLOOKUP($A88,main!$A$3:$H$102,6,FALSE)&gt;=(VLOOKUP(VLOOKUP(AX$1,main!$A$3:$H$102,8,FALSE),main!$K$26:$M$29,2,FALSE)+VLOOKUP(VLOOKUP(AX$1,main!$A$3:$H$102,7,FALSE),main!$K$19:$O$22,MATCH(VLOOKUP($A88,main!$A$3:$H$102,8,FALSE),main!$K$18:$O$18,0))))),1,0)</f>
        <v>0</v>
      </c>
      <c r="AY88">
        <f>IF((AND(VLOOKUP(AY$1,main!$A$3:$H$102,5,FALSE)-VLOOKUP($A88,main!$A$3:$H$102,6,FALSE)&gt;=(VLOOKUP(VLOOKUP(AY$1,main!$A$3:$H$102,8,FALSE),main!$K$26:$M$29,2,FALSE)+VLOOKUP(VLOOKUP(AY$1,main!$A$3:$H$102,7,FALSE),main!$K$19:$O$22,MATCH(VLOOKUP($A88,main!$A$3:$H$102,8,FALSE),main!$K$18:$O$18,0))))),1,0)</f>
        <v>0</v>
      </c>
      <c r="AZ88">
        <f>IF((AND(VLOOKUP(AZ$1,main!$A$3:$H$102,5,FALSE)-VLOOKUP($A88,main!$A$3:$H$102,6,FALSE)&gt;=(VLOOKUP(VLOOKUP(AZ$1,main!$A$3:$H$102,8,FALSE),main!$K$26:$M$29,2,FALSE)+VLOOKUP(VLOOKUP(AZ$1,main!$A$3:$H$102,7,FALSE),main!$K$19:$O$22,MATCH(VLOOKUP($A88,main!$A$3:$H$102,8,FALSE),main!$K$18:$O$18,0))))),1,0)</f>
        <v>0</v>
      </c>
      <c r="BA88">
        <f>IF((AND(VLOOKUP(BA$1,main!$A$3:$H$102,5,FALSE)-VLOOKUP($A88,main!$A$3:$H$102,6,FALSE)&gt;=(VLOOKUP(VLOOKUP(BA$1,main!$A$3:$H$102,8,FALSE),main!$K$26:$M$29,2,FALSE)+VLOOKUP(VLOOKUP(BA$1,main!$A$3:$H$102,7,FALSE),main!$K$19:$O$22,MATCH(VLOOKUP($A88,main!$A$3:$H$102,8,FALSE),main!$K$18:$O$18,0))))),1,0)</f>
        <v>0</v>
      </c>
      <c r="BB88">
        <f>IF((AND(VLOOKUP(BB$1,main!$A$3:$H$102,5,FALSE)-VLOOKUP($A88,main!$A$3:$H$102,6,FALSE)&gt;=(VLOOKUP(VLOOKUP(BB$1,main!$A$3:$H$102,8,FALSE),main!$K$26:$M$29,2,FALSE)+VLOOKUP(VLOOKUP(BB$1,main!$A$3:$H$102,7,FALSE),main!$K$19:$O$22,MATCH(VLOOKUP($A88,main!$A$3:$H$102,8,FALSE),main!$K$18:$O$18,0))))),1,0)</f>
        <v>0</v>
      </c>
      <c r="BC88">
        <f>IF((AND(VLOOKUP(BC$1,main!$A$3:$H$102,5,FALSE)-VLOOKUP($A88,main!$A$3:$H$102,6,FALSE)&gt;=(VLOOKUP(VLOOKUP(BC$1,main!$A$3:$H$102,8,FALSE),main!$K$26:$M$29,2,FALSE)+VLOOKUP(VLOOKUP(BC$1,main!$A$3:$H$102,7,FALSE),main!$K$19:$O$22,MATCH(VLOOKUP($A88,main!$A$3:$H$102,8,FALSE),main!$K$18:$O$18,0))))),1,0)</f>
        <v>0</v>
      </c>
      <c r="BD88">
        <f>IF((AND(VLOOKUP(BD$1,main!$A$3:$H$102,5,FALSE)-VLOOKUP($A88,main!$A$3:$H$102,6,FALSE)&gt;=(VLOOKUP(VLOOKUP(BD$1,main!$A$3:$H$102,8,FALSE),main!$K$26:$M$29,2,FALSE)+VLOOKUP(VLOOKUP(BD$1,main!$A$3:$H$102,7,FALSE),main!$K$19:$O$22,MATCH(VLOOKUP($A88,main!$A$3:$H$102,8,FALSE),main!$K$18:$O$18,0))))),1,0)</f>
        <v>1</v>
      </c>
      <c r="BE88">
        <f>IF((AND(VLOOKUP(BE$1,main!$A$3:$H$102,5,FALSE)-VLOOKUP($A88,main!$A$3:$H$102,6,FALSE)&gt;=(VLOOKUP(VLOOKUP(BE$1,main!$A$3:$H$102,8,FALSE),main!$K$26:$M$29,2,FALSE)+VLOOKUP(VLOOKUP(BE$1,main!$A$3:$H$102,7,FALSE),main!$K$19:$O$22,MATCH(VLOOKUP($A88,main!$A$3:$H$102,8,FALSE),main!$K$18:$O$18,0))))),1,0)</f>
        <v>1</v>
      </c>
      <c r="BF88">
        <f>IF((AND(VLOOKUP(BF$1,main!$A$3:$H$102,5,FALSE)-VLOOKUP($A88,main!$A$3:$H$102,6,FALSE)&gt;=(VLOOKUP(VLOOKUP(BF$1,main!$A$3:$H$102,8,FALSE),main!$K$26:$M$29,2,FALSE)+VLOOKUP(VLOOKUP(BF$1,main!$A$3:$H$102,7,FALSE),main!$K$19:$O$22,MATCH(VLOOKUP($A88,main!$A$3:$H$102,8,FALSE),main!$K$18:$O$18,0))))),1,0)</f>
        <v>0</v>
      </c>
      <c r="BG88">
        <f>IF((AND(VLOOKUP(BG$1,main!$A$3:$H$102,5,FALSE)-VLOOKUP($A88,main!$A$3:$H$102,6,FALSE)&gt;=(VLOOKUP(VLOOKUP(BG$1,main!$A$3:$H$102,8,FALSE),main!$K$26:$M$29,2,FALSE)+VLOOKUP(VLOOKUP(BG$1,main!$A$3:$H$102,7,FALSE),main!$K$19:$O$22,MATCH(VLOOKUP($A88,main!$A$3:$H$102,8,FALSE),main!$K$18:$O$18,0))))),1,0)</f>
        <v>0</v>
      </c>
      <c r="BH88">
        <f>IF((AND(VLOOKUP(BH$1,main!$A$3:$H$102,5,FALSE)-VLOOKUP($A88,main!$A$3:$H$102,6,FALSE)&gt;=(VLOOKUP(VLOOKUP(BH$1,main!$A$3:$H$102,8,FALSE),main!$K$26:$M$29,2,FALSE)+VLOOKUP(VLOOKUP(BH$1,main!$A$3:$H$102,7,FALSE),main!$K$19:$O$22,MATCH(VLOOKUP($A88,main!$A$3:$H$102,8,FALSE),main!$K$18:$O$18,0))))),1,0)</f>
        <v>0</v>
      </c>
      <c r="BI88">
        <f>IF((AND(VLOOKUP(BI$1,main!$A$3:$H$102,5,FALSE)-VLOOKUP($A88,main!$A$3:$H$102,6,FALSE)&gt;=(VLOOKUP(VLOOKUP(BI$1,main!$A$3:$H$102,8,FALSE),main!$K$26:$M$29,2,FALSE)+VLOOKUP(VLOOKUP(BI$1,main!$A$3:$H$102,7,FALSE),main!$K$19:$O$22,MATCH(VLOOKUP($A88,main!$A$3:$H$102,8,FALSE),main!$K$18:$O$18,0))))),1,0)</f>
        <v>1</v>
      </c>
      <c r="BJ88">
        <f>IF((AND(VLOOKUP(BJ$1,main!$A$3:$H$102,5,FALSE)-VLOOKUP($A88,main!$A$3:$H$102,6,FALSE)&gt;=(VLOOKUP(VLOOKUP(BJ$1,main!$A$3:$H$102,8,FALSE),main!$K$26:$M$29,2,FALSE)+VLOOKUP(VLOOKUP(BJ$1,main!$A$3:$H$102,7,FALSE),main!$K$19:$O$22,MATCH(VLOOKUP($A88,main!$A$3:$H$102,8,FALSE),main!$K$18:$O$18,0))))),1,0)</f>
        <v>1</v>
      </c>
      <c r="BK88">
        <f>IF((AND(VLOOKUP(BK$1,main!$A$3:$H$102,5,FALSE)-VLOOKUP($A88,main!$A$3:$H$102,6,FALSE)&gt;=(VLOOKUP(VLOOKUP(BK$1,main!$A$3:$H$102,8,FALSE),main!$K$26:$M$29,2,FALSE)+VLOOKUP(VLOOKUP(BK$1,main!$A$3:$H$102,7,FALSE),main!$K$19:$O$22,MATCH(VLOOKUP($A88,main!$A$3:$H$102,8,FALSE),main!$K$18:$O$18,0))))),1,0)</f>
        <v>0</v>
      </c>
      <c r="BL88">
        <f>IF((AND(VLOOKUP(BL$1,main!$A$3:$H$102,5,FALSE)-VLOOKUP($A88,main!$A$3:$H$102,6,FALSE)&gt;=(VLOOKUP(VLOOKUP(BL$1,main!$A$3:$H$102,8,FALSE),main!$K$26:$M$29,2,FALSE)+VLOOKUP(VLOOKUP(BL$1,main!$A$3:$H$102,7,FALSE),main!$K$19:$O$22,MATCH(VLOOKUP($A88,main!$A$3:$H$102,8,FALSE),main!$K$18:$O$18,0))))),1,0)</f>
        <v>0</v>
      </c>
      <c r="BM88">
        <f>IF((AND(VLOOKUP(BM$1,main!$A$3:$H$102,5,FALSE)-VLOOKUP($A88,main!$A$3:$H$102,6,FALSE)&gt;=(VLOOKUP(VLOOKUP(BM$1,main!$A$3:$H$102,8,FALSE),main!$K$26:$M$29,2,FALSE)+VLOOKUP(VLOOKUP(BM$1,main!$A$3:$H$102,7,FALSE),main!$K$19:$O$22,MATCH(VLOOKUP($A88,main!$A$3:$H$102,8,FALSE),main!$K$18:$O$18,0))))),1,0)</f>
        <v>0</v>
      </c>
      <c r="BN88">
        <f>IF((AND(VLOOKUP(BN$1,main!$A$3:$H$102,5,FALSE)-VLOOKUP($A88,main!$A$3:$H$102,6,FALSE)&gt;=(VLOOKUP(VLOOKUP(BN$1,main!$A$3:$H$102,8,FALSE),main!$K$26:$M$29,2,FALSE)+VLOOKUP(VLOOKUP(BN$1,main!$A$3:$H$102,7,FALSE),main!$K$19:$O$22,MATCH(VLOOKUP($A88,main!$A$3:$H$102,8,FALSE),main!$K$18:$O$18,0))))),1,0)</f>
        <v>0</v>
      </c>
      <c r="BO88">
        <f>IF((AND(VLOOKUP(BO$1,main!$A$3:$H$102,5,FALSE)-VLOOKUP($A88,main!$A$3:$H$102,6,FALSE)&gt;=(VLOOKUP(VLOOKUP(BO$1,main!$A$3:$H$102,8,FALSE),main!$K$26:$M$29,2,FALSE)+VLOOKUP(VLOOKUP(BO$1,main!$A$3:$H$102,7,FALSE),main!$K$19:$O$22,MATCH(VLOOKUP($A88,main!$A$3:$H$102,8,FALSE),main!$K$18:$O$18,0))))),1,0)</f>
        <v>0</v>
      </c>
      <c r="BP88">
        <f>IF((AND(VLOOKUP(BP$1,main!$A$3:$H$102,5,FALSE)-VLOOKUP($A88,main!$A$3:$H$102,6,FALSE)&gt;=(VLOOKUP(VLOOKUP(BP$1,main!$A$3:$H$102,8,FALSE),main!$K$26:$M$29,2,FALSE)+VLOOKUP(VLOOKUP(BP$1,main!$A$3:$H$102,7,FALSE),main!$K$19:$O$22,MATCH(VLOOKUP($A88,main!$A$3:$H$102,8,FALSE),main!$K$18:$O$18,0))))),1,0)</f>
        <v>0</v>
      </c>
      <c r="BQ88">
        <f>IF((AND(VLOOKUP(BQ$1,main!$A$3:$H$102,5,FALSE)-VLOOKUP($A88,main!$A$3:$H$102,6,FALSE)&gt;=(VLOOKUP(VLOOKUP(BQ$1,main!$A$3:$H$102,8,FALSE),main!$K$26:$M$29,2,FALSE)+VLOOKUP(VLOOKUP(BQ$1,main!$A$3:$H$102,7,FALSE),main!$K$19:$O$22,MATCH(VLOOKUP($A88,main!$A$3:$H$102,8,FALSE),main!$K$18:$O$18,0))))),1,0)</f>
        <v>0</v>
      </c>
      <c r="BR88">
        <f>IF((AND(VLOOKUP(BR$1,main!$A$3:$H$102,5,FALSE)-VLOOKUP($A88,main!$A$3:$H$102,6,FALSE)&gt;=(VLOOKUP(VLOOKUP(BR$1,main!$A$3:$H$102,8,FALSE),main!$K$26:$M$29,2,FALSE)+VLOOKUP(VLOOKUP(BR$1,main!$A$3:$H$102,7,FALSE),main!$K$19:$O$22,MATCH(VLOOKUP($A88,main!$A$3:$H$102,8,FALSE),main!$K$18:$O$18,0))))),1,0)</f>
        <v>0</v>
      </c>
      <c r="BS88">
        <f>IF((AND(VLOOKUP(BS$1,main!$A$3:$H$102,5,FALSE)-VLOOKUP($A88,main!$A$3:$H$102,6,FALSE)&gt;=(VLOOKUP(VLOOKUP(BS$1,main!$A$3:$H$102,8,FALSE),main!$K$26:$M$29,2,FALSE)+VLOOKUP(VLOOKUP(BS$1,main!$A$3:$H$102,7,FALSE),main!$K$19:$O$22,MATCH(VLOOKUP($A88,main!$A$3:$H$102,8,FALSE),main!$K$18:$O$18,0))))),1,0)</f>
        <v>0</v>
      </c>
      <c r="BT88">
        <f>IF((AND(VLOOKUP(BT$1,main!$A$3:$H$102,5,FALSE)-VLOOKUP($A88,main!$A$3:$H$102,6,FALSE)&gt;=(VLOOKUP(VLOOKUP(BT$1,main!$A$3:$H$102,8,FALSE),main!$K$26:$M$29,2,FALSE)+VLOOKUP(VLOOKUP(BT$1,main!$A$3:$H$102,7,FALSE),main!$K$19:$O$22,MATCH(VLOOKUP($A88,main!$A$3:$H$102,8,FALSE),main!$K$18:$O$18,0))))),1,0)</f>
        <v>0</v>
      </c>
      <c r="BU88">
        <f>IF((AND(VLOOKUP(BU$1,main!$A$3:$H$102,5,FALSE)-VLOOKUP($A88,main!$A$3:$H$102,6,FALSE)&gt;=(VLOOKUP(VLOOKUP(BU$1,main!$A$3:$H$102,8,FALSE),main!$K$26:$M$29,2,FALSE)+VLOOKUP(VLOOKUP(BU$1,main!$A$3:$H$102,7,FALSE),main!$K$19:$O$22,MATCH(VLOOKUP($A88,main!$A$3:$H$102,8,FALSE),main!$K$18:$O$18,0))))),1,0)</f>
        <v>0</v>
      </c>
      <c r="BV88">
        <f>IF((AND(VLOOKUP(BV$1,main!$A$3:$H$102,5,FALSE)-VLOOKUP($A88,main!$A$3:$H$102,6,FALSE)&gt;=(VLOOKUP(VLOOKUP(BV$1,main!$A$3:$H$102,8,FALSE),main!$K$26:$M$29,2,FALSE)+VLOOKUP(VLOOKUP(BV$1,main!$A$3:$H$102,7,FALSE),main!$K$19:$O$22,MATCH(VLOOKUP($A88,main!$A$3:$H$102,8,FALSE),main!$K$18:$O$18,0))))),1,0)</f>
        <v>0</v>
      </c>
      <c r="BW88">
        <f>IF((AND(VLOOKUP(BW$1,main!$A$3:$H$102,5,FALSE)-VLOOKUP($A88,main!$A$3:$H$102,6,FALSE)&gt;=(VLOOKUP(VLOOKUP(BW$1,main!$A$3:$H$102,8,FALSE),main!$K$26:$M$29,2,FALSE)+VLOOKUP(VLOOKUP(BW$1,main!$A$3:$H$102,7,FALSE),main!$K$19:$O$22,MATCH(VLOOKUP($A88,main!$A$3:$H$102,8,FALSE),main!$K$18:$O$18,0))))),1,0)</f>
        <v>0</v>
      </c>
      <c r="BX88">
        <f>IF((AND(VLOOKUP(BX$1,main!$A$3:$H$102,5,FALSE)-VLOOKUP($A88,main!$A$3:$H$102,6,FALSE)&gt;=(VLOOKUP(VLOOKUP(BX$1,main!$A$3:$H$102,8,FALSE),main!$K$26:$M$29,2,FALSE)+VLOOKUP(VLOOKUP(BX$1,main!$A$3:$H$102,7,FALSE),main!$K$19:$O$22,MATCH(VLOOKUP($A88,main!$A$3:$H$102,8,FALSE),main!$K$18:$O$18,0))))),1,0)</f>
        <v>0</v>
      </c>
      <c r="BY88">
        <f>IF((AND(VLOOKUP(BY$1,main!$A$3:$H$102,5,FALSE)-VLOOKUP($A88,main!$A$3:$H$102,6,FALSE)&gt;=(VLOOKUP(VLOOKUP(BY$1,main!$A$3:$H$102,8,FALSE),main!$K$26:$M$29,2,FALSE)+VLOOKUP(VLOOKUP(BY$1,main!$A$3:$H$102,7,FALSE),main!$K$19:$O$22,MATCH(VLOOKUP($A88,main!$A$3:$H$102,8,FALSE),main!$K$18:$O$18,0))))),1,0)</f>
        <v>0</v>
      </c>
      <c r="BZ88">
        <f>IF((AND(VLOOKUP(BZ$1,main!$A$3:$H$102,5,FALSE)-VLOOKUP($A88,main!$A$3:$H$102,6,FALSE)&gt;=(VLOOKUP(VLOOKUP(BZ$1,main!$A$3:$H$102,8,FALSE),main!$K$26:$M$29,2,FALSE)+VLOOKUP(VLOOKUP(BZ$1,main!$A$3:$H$102,7,FALSE),main!$K$19:$O$22,MATCH(VLOOKUP($A88,main!$A$3:$H$102,8,FALSE),main!$K$18:$O$18,0))))),1,0)</f>
        <v>0</v>
      </c>
      <c r="CA88">
        <f>IF((AND(VLOOKUP(CA$1,main!$A$3:$H$102,5,FALSE)-VLOOKUP($A88,main!$A$3:$H$102,6,FALSE)&gt;=(VLOOKUP(VLOOKUP(CA$1,main!$A$3:$H$102,8,FALSE),main!$K$26:$M$29,2,FALSE)+VLOOKUP(VLOOKUP(CA$1,main!$A$3:$H$102,7,FALSE),main!$K$19:$O$22,MATCH(VLOOKUP($A88,main!$A$3:$H$102,8,FALSE),main!$K$18:$O$18,0))))),1,0)</f>
        <v>0</v>
      </c>
      <c r="CB88">
        <f>IF((AND(VLOOKUP(CB$1,main!$A$3:$H$102,5,FALSE)-VLOOKUP($A88,main!$A$3:$H$102,6,FALSE)&gt;=(VLOOKUP(VLOOKUP(CB$1,main!$A$3:$H$102,8,FALSE),main!$K$26:$M$29,2,FALSE)+VLOOKUP(VLOOKUP(CB$1,main!$A$3:$H$102,7,FALSE),main!$K$19:$O$22,MATCH(VLOOKUP($A88,main!$A$3:$H$102,8,FALSE),main!$K$18:$O$18,0))))),1,0)</f>
        <v>1</v>
      </c>
      <c r="CC88">
        <f>IF((AND(VLOOKUP(CC$1,main!$A$3:$H$102,5,FALSE)-VLOOKUP($A88,main!$A$3:$H$102,6,FALSE)&gt;=(VLOOKUP(VLOOKUP(CC$1,main!$A$3:$H$102,8,FALSE),main!$K$26:$M$29,2,FALSE)+VLOOKUP(VLOOKUP(CC$1,main!$A$3:$H$102,7,FALSE),main!$K$19:$O$22,MATCH(VLOOKUP($A88,main!$A$3:$H$102,8,FALSE),main!$K$18:$O$18,0))))),1,0)</f>
        <v>1</v>
      </c>
      <c r="CD88">
        <f>IF((AND(VLOOKUP(CD$1,main!$A$3:$H$102,5,FALSE)-VLOOKUP($A88,main!$A$3:$H$102,6,FALSE)&gt;=(VLOOKUP(VLOOKUP(CD$1,main!$A$3:$H$102,8,FALSE),main!$K$26:$M$29,2,FALSE)+VLOOKUP(VLOOKUP(CD$1,main!$A$3:$H$102,7,FALSE),main!$K$19:$O$22,MATCH(VLOOKUP($A88,main!$A$3:$H$102,8,FALSE),main!$K$18:$O$18,0))))),1,0)</f>
        <v>0</v>
      </c>
      <c r="CE88">
        <f>IF((AND(VLOOKUP(CE$1,main!$A$3:$H$102,5,FALSE)-VLOOKUP($A88,main!$A$3:$H$102,6,FALSE)&gt;=(VLOOKUP(VLOOKUP(CE$1,main!$A$3:$H$102,8,FALSE),main!$K$26:$M$29,2,FALSE)+VLOOKUP(VLOOKUP(CE$1,main!$A$3:$H$102,7,FALSE),main!$K$19:$O$22,MATCH(VLOOKUP($A88,main!$A$3:$H$102,8,FALSE),main!$K$18:$O$18,0))))),1,0)</f>
        <v>0</v>
      </c>
      <c r="CF88">
        <f>IF((AND(VLOOKUP(CF$1,main!$A$3:$H$102,5,FALSE)-VLOOKUP($A88,main!$A$3:$H$102,6,FALSE)&gt;=(VLOOKUP(VLOOKUP(CF$1,main!$A$3:$H$102,8,FALSE),main!$K$26:$M$29,2,FALSE)+VLOOKUP(VLOOKUP(CF$1,main!$A$3:$H$102,7,FALSE),main!$K$19:$O$22,MATCH(VLOOKUP($A88,main!$A$3:$H$102,8,FALSE),main!$K$18:$O$18,0))))),1,0)</f>
        <v>0</v>
      </c>
      <c r="CG88">
        <f>IF((AND(VLOOKUP(CG$1,main!$A$3:$H$102,5,FALSE)-VLOOKUP($A88,main!$A$3:$H$102,6,FALSE)&gt;=(VLOOKUP(VLOOKUP(CG$1,main!$A$3:$H$102,8,FALSE),main!$K$26:$M$29,2,FALSE)+VLOOKUP(VLOOKUP(CG$1,main!$A$3:$H$102,7,FALSE),main!$K$19:$O$22,MATCH(VLOOKUP($A88,main!$A$3:$H$102,8,FALSE),main!$K$18:$O$18,0))))),1,0)</f>
        <v>0</v>
      </c>
      <c r="CH88">
        <f>IF((AND(VLOOKUP(CH$1,main!$A$3:$H$102,5,FALSE)-VLOOKUP($A88,main!$A$3:$H$102,6,FALSE)&gt;=(VLOOKUP(VLOOKUP(CH$1,main!$A$3:$H$102,8,FALSE),main!$K$26:$M$29,2,FALSE)+VLOOKUP(VLOOKUP(CH$1,main!$A$3:$H$102,7,FALSE),main!$K$19:$O$22,MATCH(VLOOKUP($A88,main!$A$3:$H$102,8,FALSE),main!$K$18:$O$18,0))))),1,0)</f>
        <v>1</v>
      </c>
      <c r="CI88">
        <f>IF((AND(VLOOKUP(CI$1,main!$A$3:$H$102,5,FALSE)-VLOOKUP($A88,main!$A$3:$H$102,6,FALSE)&gt;=(VLOOKUP(VLOOKUP(CI$1,main!$A$3:$H$102,8,FALSE),main!$K$26:$M$29,2,FALSE)+VLOOKUP(VLOOKUP(CI$1,main!$A$3:$H$102,7,FALSE),main!$K$19:$O$22,MATCH(VLOOKUP($A88,main!$A$3:$H$102,8,FALSE),main!$K$18:$O$18,0))))),1,0)</f>
        <v>1</v>
      </c>
      <c r="CJ88">
        <f>IF((AND(VLOOKUP(CJ$1,main!$A$3:$H$102,5,FALSE)-VLOOKUP($A88,main!$A$3:$H$102,6,FALSE)&gt;=(VLOOKUP(VLOOKUP(CJ$1,main!$A$3:$H$102,8,FALSE),main!$K$26:$M$29,2,FALSE)+VLOOKUP(VLOOKUP(CJ$1,main!$A$3:$H$102,7,FALSE),main!$K$19:$O$22,MATCH(VLOOKUP($A88,main!$A$3:$H$102,8,FALSE),main!$K$18:$O$18,0))))),1,0)</f>
        <v>0</v>
      </c>
      <c r="CK88">
        <f>IF((AND(VLOOKUP(CK$1,main!$A$3:$H$102,5,FALSE)-VLOOKUP($A88,main!$A$3:$H$102,6,FALSE)&gt;=(VLOOKUP(VLOOKUP(CK$1,main!$A$3:$H$102,8,FALSE),main!$K$26:$M$29,2,FALSE)+VLOOKUP(VLOOKUP(CK$1,main!$A$3:$H$102,7,FALSE),main!$K$19:$O$22,MATCH(VLOOKUP($A88,main!$A$3:$H$102,8,FALSE),main!$K$18:$O$18,0))))),1,0)</f>
        <v>0</v>
      </c>
      <c r="CL88">
        <f>IF((AND(VLOOKUP(CL$1,main!$A$3:$H$102,5,FALSE)-VLOOKUP($A88,main!$A$3:$H$102,6,FALSE)&gt;=(VLOOKUP(VLOOKUP(CL$1,main!$A$3:$H$102,8,FALSE),main!$K$26:$M$29,2,FALSE)+VLOOKUP(VLOOKUP(CL$1,main!$A$3:$H$102,7,FALSE),main!$K$19:$O$22,MATCH(VLOOKUP($A88,main!$A$3:$H$102,8,FALSE),main!$K$18:$O$18,0))))),1,0)</f>
        <v>0</v>
      </c>
      <c r="CM88">
        <f>IF((AND(VLOOKUP(CM$1,main!$A$3:$H$102,5,FALSE)-VLOOKUP($A88,main!$A$3:$H$102,6,FALSE)&gt;=(VLOOKUP(VLOOKUP(CM$1,main!$A$3:$H$102,8,FALSE),main!$K$26:$M$29,2,FALSE)+VLOOKUP(VLOOKUP(CM$1,main!$A$3:$H$102,7,FALSE),main!$K$19:$O$22,MATCH(VLOOKUP($A88,main!$A$3:$H$102,8,FALSE),main!$K$18:$O$18,0))))),1,0)</f>
        <v>1</v>
      </c>
      <c r="CN88">
        <f>IF((AND(VLOOKUP(CN$1,main!$A$3:$H$102,5,FALSE)-VLOOKUP($A88,main!$A$3:$H$102,6,FALSE)&gt;=(VLOOKUP(VLOOKUP(CN$1,main!$A$3:$H$102,8,FALSE),main!$K$26:$M$29,2,FALSE)+VLOOKUP(VLOOKUP(CN$1,main!$A$3:$H$102,7,FALSE),main!$K$19:$O$22,MATCH(VLOOKUP($A88,main!$A$3:$H$102,8,FALSE),main!$K$18:$O$18,0))))),1,0)</f>
        <v>1</v>
      </c>
      <c r="CO88">
        <f>IF((AND(VLOOKUP(CO$1,main!$A$3:$H$102,5,FALSE)-VLOOKUP($A88,main!$A$3:$H$102,6,FALSE)&gt;=(VLOOKUP(VLOOKUP(CO$1,main!$A$3:$H$102,8,FALSE),main!$K$26:$M$29,2,FALSE)+VLOOKUP(VLOOKUP(CO$1,main!$A$3:$H$102,7,FALSE),main!$K$19:$O$22,MATCH(VLOOKUP($A88,main!$A$3:$H$102,8,FALSE),main!$K$18:$O$18,0))))),1,0)</f>
        <v>0</v>
      </c>
      <c r="CP88">
        <f>IF((AND(VLOOKUP(CP$1,main!$A$3:$H$102,5,FALSE)-VLOOKUP($A88,main!$A$3:$H$102,6,FALSE)&gt;=(VLOOKUP(VLOOKUP(CP$1,main!$A$3:$H$102,8,FALSE),main!$K$26:$M$29,2,FALSE)+VLOOKUP(VLOOKUP(CP$1,main!$A$3:$H$102,7,FALSE),main!$K$19:$O$22,MATCH(VLOOKUP($A88,main!$A$3:$H$102,8,FALSE),main!$K$18:$O$18,0))))),1,0)</f>
        <v>0</v>
      </c>
      <c r="CQ88">
        <f>IF((AND(VLOOKUP(CQ$1,main!$A$3:$H$102,5,FALSE)-VLOOKUP($A88,main!$A$3:$H$102,6,FALSE)&gt;=(VLOOKUP(VLOOKUP(CQ$1,main!$A$3:$H$102,8,FALSE),main!$K$26:$M$29,2,FALSE)+VLOOKUP(VLOOKUP(CQ$1,main!$A$3:$H$102,7,FALSE),main!$K$19:$O$22,MATCH(VLOOKUP($A88,main!$A$3:$H$102,8,FALSE),main!$K$18:$O$18,0))))),1,0)</f>
        <v>0</v>
      </c>
      <c r="CR88">
        <f>IF((AND(VLOOKUP(CR$1,main!$A$3:$H$102,5,FALSE)-VLOOKUP($A88,main!$A$3:$H$102,6,FALSE)&gt;=(VLOOKUP(VLOOKUP(CR$1,main!$A$3:$H$102,8,FALSE),main!$K$26:$M$29,2,FALSE)+VLOOKUP(VLOOKUP(CR$1,main!$A$3:$H$102,7,FALSE),main!$K$19:$O$22,MATCH(VLOOKUP($A88,main!$A$3:$H$102,8,FALSE),main!$K$18:$O$18,0))))),1,0)</f>
        <v>1</v>
      </c>
      <c r="CS88">
        <f>IF((AND(VLOOKUP(CS$1,main!$A$3:$H$102,5,FALSE)-VLOOKUP($A88,main!$A$3:$H$102,6,FALSE)&gt;=(VLOOKUP(VLOOKUP(CS$1,main!$A$3:$H$102,8,FALSE),main!$K$26:$M$29,2,FALSE)+VLOOKUP(VLOOKUP(CS$1,main!$A$3:$H$102,7,FALSE),main!$K$19:$O$22,MATCH(VLOOKUP($A88,main!$A$3:$H$102,8,FALSE),main!$K$18:$O$18,0))))),1,0)</f>
        <v>1</v>
      </c>
      <c r="CT88">
        <f>IF((AND(VLOOKUP(CT$1,main!$A$3:$H$102,5,FALSE)-VLOOKUP($A88,main!$A$3:$H$102,6,FALSE)&gt;=(VLOOKUP(VLOOKUP(CT$1,main!$A$3:$H$102,8,FALSE),main!$K$26:$M$29,2,FALSE)+VLOOKUP(VLOOKUP(CT$1,main!$A$3:$H$102,7,FALSE),main!$K$19:$O$22,MATCH(VLOOKUP($A88,main!$A$3:$H$102,8,FALSE),main!$K$18:$O$18,0))))),1,0)</f>
        <v>0</v>
      </c>
      <c r="CU88">
        <f>IF((AND(VLOOKUP(CU$1,main!$A$3:$H$102,5,FALSE)-VLOOKUP($A88,main!$A$3:$H$102,6,FALSE)&gt;=(VLOOKUP(VLOOKUP(CU$1,main!$A$3:$H$102,8,FALSE),main!$K$26:$M$29,2,FALSE)+VLOOKUP(VLOOKUP(CU$1,main!$A$3:$H$102,7,FALSE),main!$K$19:$O$22,MATCH(VLOOKUP($A88,main!$A$3:$H$102,8,FALSE),main!$K$18:$O$18,0))))),1,0)</f>
        <v>0</v>
      </c>
      <c r="CV88">
        <f>IF((AND(VLOOKUP(CV$1,main!$A$3:$H$102,5,FALSE)-VLOOKUP($A88,main!$A$3:$H$102,6,FALSE)&gt;=(VLOOKUP(VLOOKUP(CV$1,main!$A$3:$H$102,8,FALSE),main!$K$26:$M$29,2,FALSE)+VLOOKUP(VLOOKUP(CV$1,main!$A$3:$H$102,7,FALSE),main!$K$19:$O$22,MATCH(VLOOKUP($A88,main!$A$3:$H$102,8,FALSE),main!$K$18:$O$18,0))))),1,0)</f>
        <v>0</v>
      </c>
      <c r="CW88">
        <f>IF((AND(VLOOKUP(CW$1,main!$A$3:$H$102,5,FALSE)-VLOOKUP($A88,main!$A$3:$H$102,6,FALSE)&gt;=(VLOOKUP(VLOOKUP(CW$1,main!$A$3:$H$102,8,FALSE),main!$K$26:$M$29,2,FALSE)+VLOOKUP(VLOOKUP(CW$1,main!$A$3:$H$102,7,FALSE),main!$K$19:$O$22,MATCH(VLOOKUP($A88,main!$A$3:$H$102,8,FALSE),main!$K$18:$O$18,0))))),1,0)</f>
        <v>1</v>
      </c>
      <c r="CX88">
        <f>IF((AND(VLOOKUP(CX$1,main!$A$3:$H$102,5,FALSE)-VLOOKUP($A88,main!$A$3:$H$102,6,FALSE)&gt;=(VLOOKUP(VLOOKUP(CX$1,main!$A$3:$H$102,8,FALSE),main!$K$26:$M$29,2,FALSE)+VLOOKUP(VLOOKUP(CX$1,main!$A$3:$H$102,7,FALSE),main!$K$19:$O$22,MATCH(VLOOKUP($A88,main!$A$3:$H$102,8,FALSE),main!$K$18:$O$18,0))))),1,0)</f>
        <v>1</v>
      </c>
    </row>
    <row r="89" spans="1:102" x14ac:dyDescent="0.25">
      <c r="A89" s="1">
        <v>87</v>
      </c>
      <c r="B89">
        <v>1</v>
      </c>
      <c r="C89">
        <f>IF((AND(VLOOKUP(C$1,main!$A$3:$H$102,5,FALSE)-VLOOKUP($A89,main!$A$3:$H$102,6,FALSE)&gt;=(VLOOKUP(VLOOKUP(C$1,main!$A$3:$H$102,8,FALSE),main!$K$26:$M$29,2,FALSE)+VLOOKUP(VLOOKUP(C$1,main!$A$3:$H$102,7,FALSE),main!$K$19:$O$22,MATCH(VLOOKUP($A89,main!$A$3:$H$102,8,FALSE),main!$K$18:$O$18,0))))),1,0)</f>
        <v>0</v>
      </c>
      <c r="D89">
        <f>IF((AND(VLOOKUP(D$1,main!$A$3:$H$102,5,FALSE)-VLOOKUP($A89,main!$A$3:$H$102,6,FALSE)&gt;=(VLOOKUP(VLOOKUP(D$1,main!$A$3:$H$102,8,FALSE),main!$K$26:$M$29,2,FALSE)+VLOOKUP(VLOOKUP(D$1,main!$A$3:$H$102,7,FALSE),main!$K$19:$O$22,MATCH(VLOOKUP($A89,main!$A$3:$H$102,8,FALSE),main!$K$18:$O$18,0))))),1,0)</f>
        <v>0</v>
      </c>
      <c r="E89">
        <f>IF((AND(VLOOKUP(E$1,main!$A$3:$H$102,5,FALSE)-VLOOKUP($A89,main!$A$3:$H$102,6,FALSE)&gt;=(VLOOKUP(VLOOKUP(E$1,main!$A$3:$H$102,8,FALSE),main!$K$26:$M$29,2,FALSE)+VLOOKUP(VLOOKUP(E$1,main!$A$3:$H$102,7,FALSE),main!$K$19:$O$22,MATCH(VLOOKUP($A89,main!$A$3:$H$102,8,FALSE),main!$K$18:$O$18,0))))),1,0)</f>
        <v>0</v>
      </c>
      <c r="F89">
        <f>IF((AND(VLOOKUP(F$1,main!$A$3:$H$102,5,FALSE)-VLOOKUP($A89,main!$A$3:$H$102,6,FALSE)&gt;=(VLOOKUP(VLOOKUP(F$1,main!$A$3:$H$102,8,FALSE),main!$K$26:$M$29,2,FALSE)+VLOOKUP(VLOOKUP(F$1,main!$A$3:$H$102,7,FALSE),main!$K$19:$O$22,MATCH(VLOOKUP($A89,main!$A$3:$H$102,8,FALSE),main!$K$18:$O$18,0))))),1,0)</f>
        <v>0</v>
      </c>
      <c r="G89">
        <f>IF((AND(VLOOKUP(G$1,main!$A$3:$H$102,5,FALSE)-VLOOKUP($A89,main!$A$3:$H$102,6,FALSE)&gt;=(VLOOKUP(VLOOKUP(G$1,main!$A$3:$H$102,8,FALSE),main!$K$26:$M$29,2,FALSE)+VLOOKUP(VLOOKUP(G$1,main!$A$3:$H$102,7,FALSE),main!$K$19:$O$22,MATCH(VLOOKUP($A89,main!$A$3:$H$102,8,FALSE),main!$K$18:$O$18,0))))),1,0)</f>
        <v>1</v>
      </c>
      <c r="H89">
        <f>IF((AND(VLOOKUP(H$1,main!$A$3:$H$102,5,FALSE)-VLOOKUP($A89,main!$A$3:$H$102,6,FALSE)&gt;=(VLOOKUP(VLOOKUP(H$1,main!$A$3:$H$102,8,FALSE),main!$K$26:$M$29,2,FALSE)+VLOOKUP(VLOOKUP(H$1,main!$A$3:$H$102,7,FALSE),main!$K$19:$O$22,MATCH(VLOOKUP($A89,main!$A$3:$H$102,8,FALSE),main!$K$18:$O$18,0))))),1,0)</f>
        <v>1</v>
      </c>
      <c r="I89">
        <f>IF((AND(VLOOKUP(I$1,main!$A$3:$H$102,5,FALSE)-VLOOKUP($A89,main!$A$3:$H$102,6,FALSE)&gt;=(VLOOKUP(VLOOKUP(I$1,main!$A$3:$H$102,8,FALSE),main!$K$26:$M$29,2,FALSE)+VLOOKUP(VLOOKUP(I$1,main!$A$3:$H$102,7,FALSE),main!$K$19:$O$22,MATCH(VLOOKUP($A89,main!$A$3:$H$102,8,FALSE),main!$K$18:$O$18,0))))),1,0)</f>
        <v>1</v>
      </c>
      <c r="J89">
        <f>IF((AND(VLOOKUP(J$1,main!$A$3:$H$102,5,FALSE)-VLOOKUP($A89,main!$A$3:$H$102,6,FALSE)&gt;=(VLOOKUP(VLOOKUP(J$1,main!$A$3:$H$102,8,FALSE),main!$K$26:$M$29,2,FALSE)+VLOOKUP(VLOOKUP(J$1,main!$A$3:$H$102,7,FALSE),main!$K$19:$O$22,MATCH(VLOOKUP($A89,main!$A$3:$H$102,8,FALSE),main!$K$18:$O$18,0))))),1,0)</f>
        <v>1</v>
      </c>
      <c r="K89">
        <f>IF((AND(VLOOKUP(K$1,main!$A$3:$H$102,5,FALSE)-VLOOKUP($A89,main!$A$3:$H$102,6,FALSE)&gt;=(VLOOKUP(VLOOKUP(K$1,main!$A$3:$H$102,8,FALSE),main!$K$26:$M$29,2,FALSE)+VLOOKUP(VLOOKUP(K$1,main!$A$3:$H$102,7,FALSE),main!$K$19:$O$22,MATCH(VLOOKUP($A89,main!$A$3:$H$102,8,FALSE),main!$K$18:$O$18,0))))),1,0)</f>
        <v>1</v>
      </c>
      <c r="L89">
        <f>IF((AND(VLOOKUP(L$1,main!$A$3:$H$102,5,FALSE)-VLOOKUP($A89,main!$A$3:$H$102,6,FALSE)&gt;=(VLOOKUP(VLOOKUP(L$1,main!$A$3:$H$102,8,FALSE),main!$K$26:$M$29,2,FALSE)+VLOOKUP(VLOOKUP(L$1,main!$A$3:$H$102,7,FALSE),main!$K$19:$O$22,MATCH(VLOOKUP($A89,main!$A$3:$H$102,8,FALSE),main!$K$18:$O$18,0))))),1,0)</f>
        <v>1</v>
      </c>
      <c r="M89">
        <f>IF((AND(VLOOKUP(M$1,main!$A$3:$H$102,5,FALSE)-VLOOKUP($A89,main!$A$3:$H$102,6,FALSE)&gt;=(VLOOKUP(VLOOKUP(M$1,main!$A$3:$H$102,8,FALSE),main!$K$26:$M$29,2,FALSE)+VLOOKUP(VLOOKUP(M$1,main!$A$3:$H$102,7,FALSE),main!$K$19:$O$22,MATCH(VLOOKUP($A89,main!$A$3:$H$102,8,FALSE),main!$K$18:$O$18,0))))),1,0)</f>
        <v>0</v>
      </c>
      <c r="N89">
        <f>IF((AND(VLOOKUP(N$1,main!$A$3:$H$102,5,FALSE)-VLOOKUP($A89,main!$A$3:$H$102,6,FALSE)&gt;=(VLOOKUP(VLOOKUP(N$1,main!$A$3:$H$102,8,FALSE),main!$K$26:$M$29,2,FALSE)+VLOOKUP(VLOOKUP(N$1,main!$A$3:$H$102,7,FALSE),main!$K$19:$O$22,MATCH(VLOOKUP($A89,main!$A$3:$H$102,8,FALSE),main!$K$18:$O$18,0))))),1,0)</f>
        <v>0</v>
      </c>
      <c r="O89">
        <f>IF((AND(VLOOKUP(O$1,main!$A$3:$H$102,5,FALSE)-VLOOKUP($A89,main!$A$3:$H$102,6,FALSE)&gt;=(VLOOKUP(VLOOKUP(O$1,main!$A$3:$H$102,8,FALSE),main!$K$26:$M$29,2,FALSE)+VLOOKUP(VLOOKUP(O$1,main!$A$3:$H$102,7,FALSE),main!$K$19:$O$22,MATCH(VLOOKUP($A89,main!$A$3:$H$102,8,FALSE),main!$K$18:$O$18,0))))),1,0)</f>
        <v>0</v>
      </c>
      <c r="P89">
        <f>IF((AND(VLOOKUP(P$1,main!$A$3:$H$102,5,FALSE)-VLOOKUP($A89,main!$A$3:$H$102,6,FALSE)&gt;=(VLOOKUP(VLOOKUP(P$1,main!$A$3:$H$102,8,FALSE),main!$K$26:$M$29,2,FALSE)+VLOOKUP(VLOOKUP(P$1,main!$A$3:$H$102,7,FALSE),main!$K$19:$O$22,MATCH(VLOOKUP($A89,main!$A$3:$H$102,8,FALSE),main!$K$18:$O$18,0))))),1,0)</f>
        <v>0</v>
      </c>
      <c r="Q89">
        <f>IF((AND(VLOOKUP(Q$1,main!$A$3:$H$102,5,FALSE)-VLOOKUP($A89,main!$A$3:$H$102,6,FALSE)&gt;=(VLOOKUP(VLOOKUP(Q$1,main!$A$3:$H$102,8,FALSE),main!$K$26:$M$29,2,FALSE)+VLOOKUP(VLOOKUP(Q$1,main!$A$3:$H$102,7,FALSE),main!$K$19:$O$22,MATCH(VLOOKUP($A89,main!$A$3:$H$102,8,FALSE),main!$K$18:$O$18,0))))),1,0)</f>
        <v>0</v>
      </c>
      <c r="R89">
        <f>IF((AND(VLOOKUP(R$1,main!$A$3:$H$102,5,FALSE)-VLOOKUP($A89,main!$A$3:$H$102,6,FALSE)&gt;=(VLOOKUP(VLOOKUP(R$1,main!$A$3:$H$102,8,FALSE),main!$K$26:$M$29,2,FALSE)+VLOOKUP(VLOOKUP(R$1,main!$A$3:$H$102,7,FALSE),main!$K$19:$O$22,MATCH(VLOOKUP($A89,main!$A$3:$H$102,8,FALSE),main!$K$18:$O$18,0))))),1,0)</f>
        <v>1</v>
      </c>
      <c r="S89">
        <f>IF((AND(VLOOKUP(S$1,main!$A$3:$H$102,5,FALSE)-VLOOKUP($A89,main!$A$3:$H$102,6,FALSE)&gt;=(VLOOKUP(VLOOKUP(S$1,main!$A$3:$H$102,8,FALSE),main!$K$26:$M$29,2,FALSE)+VLOOKUP(VLOOKUP(S$1,main!$A$3:$H$102,7,FALSE),main!$K$19:$O$22,MATCH(VLOOKUP($A89,main!$A$3:$H$102,8,FALSE),main!$K$18:$O$18,0))))),1,0)</f>
        <v>1</v>
      </c>
      <c r="T89">
        <f>IF((AND(VLOOKUP(T$1,main!$A$3:$H$102,5,FALSE)-VLOOKUP($A89,main!$A$3:$H$102,6,FALSE)&gt;=(VLOOKUP(VLOOKUP(T$1,main!$A$3:$H$102,8,FALSE),main!$K$26:$M$29,2,FALSE)+VLOOKUP(VLOOKUP(T$1,main!$A$3:$H$102,7,FALSE),main!$K$19:$O$22,MATCH(VLOOKUP($A89,main!$A$3:$H$102,8,FALSE),main!$K$18:$O$18,0))))),1,0)</f>
        <v>1</v>
      </c>
      <c r="U89">
        <f>IF((AND(VLOOKUP(U$1,main!$A$3:$H$102,5,FALSE)-VLOOKUP($A89,main!$A$3:$H$102,6,FALSE)&gt;=(VLOOKUP(VLOOKUP(U$1,main!$A$3:$H$102,8,FALSE),main!$K$26:$M$29,2,FALSE)+VLOOKUP(VLOOKUP(U$1,main!$A$3:$H$102,7,FALSE),main!$K$19:$O$22,MATCH(VLOOKUP($A89,main!$A$3:$H$102,8,FALSE),main!$K$18:$O$18,0))))),1,0)</f>
        <v>1</v>
      </c>
      <c r="V89">
        <f>IF((AND(VLOOKUP(V$1,main!$A$3:$H$102,5,FALSE)-VLOOKUP($A89,main!$A$3:$H$102,6,FALSE)&gt;=(VLOOKUP(VLOOKUP(V$1,main!$A$3:$H$102,8,FALSE),main!$K$26:$M$29,2,FALSE)+VLOOKUP(VLOOKUP(V$1,main!$A$3:$H$102,7,FALSE),main!$K$19:$O$22,MATCH(VLOOKUP($A89,main!$A$3:$H$102,8,FALSE),main!$K$18:$O$18,0))))),1,0)</f>
        <v>1</v>
      </c>
      <c r="W89">
        <f>IF((AND(VLOOKUP(W$1,main!$A$3:$H$102,5,FALSE)-VLOOKUP($A89,main!$A$3:$H$102,6,FALSE)&gt;=(VLOOKUP(VLOOKUP(W$1,main!$A$3:$H$102,8,FALSE),main!$K$26:$M$29,2,FALSE)+VLOOKUP(VLOOKUP(W$1,main!$A$3:$H$102,7,FALSE),main!$K$19:$O$22,MATCH(VLOOKUP($A89,main!$A$3:$H$102,8,FALSE),main!$K$18:$O$18,0))))),1,0)</f>
        <v>0</v>
      </c>
      <c r="X89">
        <f>IF((AND(VLOOKUP(X$1,main!$A$3:$H$102,5,FALSE)-VLOOKUP($A89,main!$A$3:$H$102,6,FALSE)&gt;=(VLOOKUP(VLOOKUP(X$1,main!$A$3:$H$102,8,FALSE),main!$K$26:$M$29,2,FALSE)+VLOOKUP(VLOOKUP(X$1,main!$A$3:$H$102,7,FALSE),main!$K$19:$O$22,MATCH(VLOOKUP($A89,main!$A$3:$H$102,8,FALSE),main!$K$18:$O$18,0))))),1,0)</f>
        <v>0</v>
      </c>
      <c r="Y89">
        <f>IF((AND(VLOOKUP(Y$1,main!$A$3:$H$102,5,FALSE)-VLOOKUP($A89,main!$A$3:$H$102,6,FALSE)&gt;=(VLOOKUP(VLOOKUP(Y$1,main!$A$3:$H$102,8,FALSE),main!$K$26:$M$29,2,FALSE)+VLOOKUP(VLOOKUP(Y$1,main!$A$3:$H$102,7,FALSE),main!$K$19:$O$22,MATCH(VLOOKUP($A89,main!$A$3:$H$102,8,FALSE),main!$K$18:$O$18,0))))),1,0)</f>
        <v>1</v>
      </c>
      <c r="Z89">
        <f>IF((AND(VLOOKUP(Z$1,main!$A$3:$H$102,5,FALSE)-VLOOKUP($A89,main!$A$3:$H$102,6,FALSE)&gt;=(VLOOKUP(VLOOKUP(Z$1,main!$A$3:$H$102,8,FALSE),main!$K$26:$M$29,2,FALSE)+VLOOKUP(VLOOKUP(Z$1,main!$A$3:$H$102,7,FALSE),main!$K$19:$O$22,MATCH(VLOOKUP($A89,main!$A$3:$H$102,8,FALSE),main!$K$18:$O$18,0))))),1,0)</f>
        <v>1</v>
      </c>
      <c r="AA89">
        <f>IF((AND(VLOOKUP(AA$1,main!$A$3:$H$102,5,FALSE)-VLOOKUP($A89,main!$A$3:$H$102,6,FALSE)&gt;=(VLOOKUP(VLOOKUP(AA$1,main!$A$3:$H$102,8,FALSE),main!$K$26:$M$29,2,FALSE)+VLOOKUP(VLOOKUP(AA$1,main!$A$3:$H$102,7,FALSE),main!$K$19:$O$22,MATCH(VLOOKUP($A89,main!$A$3:$H$102,8,FALSE),main!$K$18:$O$18,0))))),1,0)</f>
        <v>1</v>
      </c>
      <c r="AB89">
        <f>IF((AND(VLOOKUP(AB$1,main!$A$3:$H$102,5,FALSE)-VLOOKUP($A89,main!$A$3:$H$102,6,FALSE)&gt;=(VLOOKUP(VLOOKUP(AB$1,main!$A$3:$H$102,8,FALSE),main!$K$26:$M$29,2,FALSE)+VLOOKUP(VLOOKUP(AB$1,main!$A$3:$H$102,7,FALSE),main!$K$19:$O$22,MATCH(VLOOKUP($A89,main!$A$3:$H$102,8,FALSE),main!$K$18:$O$18,0))))),1,0)</f>
        <v>0</v>
      </c>
      <c r="AC89">
        <f>IF((AND(VLOOKUP(AC$1,main!$A$3:$H$102,5,FALSE)-VLOOKUP($A89,main!$A$3:$H$102,6,FALSE)&gt;=(VLOOKUP(VLOOKUP(AC$1,main!$A$3:$H$102,8,FALSE),main!$K$26:$M$29,2,FALSE)+VLOOKUP(VLOOKUP(AC$1,main!$A$3:$H$102,7,FALSE),main!$K$19:$O$22,MATCH(VLOOKUP($A89,main!$A$3:$H$102,8,FALSE),main!$K$18:$O$18,0))))),1,0)</f>
        <v>0</v>
      </c>
      <c r="AD89">
        <f>IF((AND(VLOOKUP(AD$1,main!$A$3:$H$102,5,FALSE)-VLOOKUP($A89,main!$A$3:$H$102,6,FALSE)&gt;=(VLOOKUP(VLOOKUP(AD$1,main!$A$3:$H$102,8,FALSE),main!$K$26:$M$29,2,FALSE)+VLOOKUP(VLOOKUP(AD$1,main!$A$3:$H$102,7,FALSE),main!$K$19:$O$22,MATCH(VLOOKUP($A89,main!$A$3:$H$102,8,FALSE),main!$K$18:$O$18,0))))),1,0)</f>
        <v>0</v>
      </c>
      <c r="AE89">
        <f>IF((AND(VLOOKUP(AE$1,main!$A$3:$H$102,5,FALSE)-VLOOKUP($A89,main!$A$3:$H$102,6,FALSE)&gt;=(VLOOKUP(VLOOKUP(AE$1,main!$A$3:$H$102,8,FALSE),main!$K$26:$M$29,2,FALSE)+VLOOKUP(VLOOKUP(AE$1,main!$A$3:$H$102,7,FALSE),main!$K$19:$O$22,MATCH(VLOOKUP($A89,main!$A$3:$H$102,8,FALSE),main!$K$18:$O$18,0))))),1,0)</f>
        <v>1</v>
      </c>
      <c r="AF89">
        <f>IF((AND(VLOOKUP(AF$1,main!$A$3:$H$102,5,FALSE)-VLOOKUP($A89,main!$A$3:$H$102,6,FALSE)&gt;=(VLOOKUP(VLOOKUP(AF$1,main!$A$3:$H$102,8,FALSE),main!$K$26:$M$29,2,FALSE)+VLOOKUP(VLOOKUP(AF$1,main!$A$3:$H$102,7,FALSE),main!$K$19:$O$22,MATCH(VLOOKUP($A89,main!$A$3:$H$102,8,FALSE),main!$K$18:$O$18,0))))),1,0)</f>
        <v>1</v>
      </c>
      <c r="AG89">
        <f>IF((AND(VLOOKUP(AG$1,main!$A$3:$H$102,5,FALSE)-VLOOKUP($A89,main!$A$3:$H$102,6,FALSE)&gt;=(VLOOKUP(VLOOKUP(AG$1,main!$A$3:$H$102,8,FALSE),main!$K$26:$M$29,2,FALSE)+VLOOKUP(VLOOKUP(AG$1,main!$A$3:$H$102,7,FALSE),main!$K$19:$O$22,MATCH(VLOOKUP($A89,main!$A$3:$H$102,8,FALSE),main!$K$18:$O$18,0))))),1,0)</f>
        <v>0</v>
      </c>
      <c r="AH89">
        <f>IF((AND(VLOOKUP(AH$1,main!$A$3:$H$102,5,FALSE)-VLOOKUP($A89,main!$A$3:$H$102,6,FALSE)&gt;=(VLOOKUP(VLOOKUP(AH$1,main!$A$3:$H$102,8,FALSE),main!$K$26:$M$29,2,FALSE)+VLOOKUP(VLOOKUP(AH$1,main!$A$3:$H$102,7,FALSE),main!$K$19:$O$22,MATCH(VLOOKUP($A89,main!$A$3:$H$102,8,FALSE),main!$K$18:$O$18,0))))),1,0)</f>
        <v>0</v>
      </c>
      <c r="AI89">
        <f>IF((AND(VLOOKUP(AI$1,main!$A$3:$H$102,5,FALSE)-VLOOKUP($A89,main!$A$3:$H$102,6,FALSE)&gt;=(VLOOKUP(VLOOKUP(AI$1,main!$A$3:$H$102,8,FALSE),main!$K$26:$M$29,2,FALSE)+VLOOKUP(VLOOKUP(AI$1,main!$A$3:$H$102,7,FALSE),main!$K$19:$O$22,MATCH(VLOOKUP($A89,main!$A$3:$H$102,8,FALSE),main!$K$18:$O$18,0))))),1,0)</f>
        <v>0</v>
      </c>
      <c r="AJ89">
        <f>IF((AND(VLOOKUP(AJ$1,main!$A$3:$H$102,5,FALSE)-VLOOKUP($A89,main!$A$3:$H$102,6,FALSE)&gt;=(VLOOKUP(VLOOKUP(AJ$1,main!$A$3:$H$102,8,FALSE),main!$K$26:$M$29,2,FALSE)+VLOOKUP(VLOOKUP(AJ$1,main!$A$3:$H$102,7,FALSE),main!$K$19:$O$22,MATCH(VLOOKUP($A89,main!$A$3:$H$102,8,FALSE),main!$K$18:$O$18,0))))),1,0)</f>
        <v>1</v>
      </c>
      <c r="AK89">
        <f>IF((AND(VLOOKUP(AK$1,main!$A$3:$H$102,5,FALSE)-VLOOKUP($A89,main!$A$3:$H$102,6,FALSE)&gt;=(VLOOKUP(VLOOKUP(AK$1,main!$A$3:$H$102,8,FALSE),main!$K$26:$M$29,2,FALSE)+VLOOKUP(VLOOKUP(AK$1,main!$A$3:$H$102,7,FALSE),main!$K$19:$O$22,MATCH(VLOOKUP($A89,main!$A$3:$H$102,8,FALSE),main!$K$18:$O$18,0))))),1,0)</f>
        <v>1</v>
      </c>
      <c r="AL89">
        <f>IF((AND(VLOOKUP(AL$1,main!$A$3:$H$102,5,FALSE)-VLOOKUP($A89,main!$A$3:$H$102,6,FALSE)&gt;=(VLOOKUP(VLOOKUP(AL$1,main!$A$3:$H$102,8,FALSE),main!$K$26:$M$29,2,FALSE)+VLOOKUP(VLOOKUP(AL$1,main!$A$3:$H$102,7,FALSE),main!$K$19:$O$22,MATCH(VLOOKUP($A89,main!$A$3:$H$102,8,FALSE),main!$K$18:$O$18,0))))),1,0)</f>
        <v>1</v>
      </c>
      <c r="AM89">
        <f>IF((AND(VLOOKUP(AM$1,main!$A$3:$H$102,5,FALSE)-VLOOKUP($A89,main!$A$3:$H$102,6,FALSE)&gt;=(VLOOKUP(VLOOKUP(AM$1,main!$A$3:$H$102,8,FALSE),main!$K$26:$M$29,2,FALSE)+VLOOKUP(VLOOKUP(AM$1,main!$A$3:$H$102,7,FALSE),main!$K$19:$O$22,MATCH(VLOOKUP($A89,main!$A$3:$H$102,8,FALSE),main!$K$18:$O$18,0))))),1,0)</f>
        <v>1</v>
      </c>
      <c r="AN89">
        <f>IF((AND(VLOOKUP(AN$1,main!$A$3:$H$102,5,FALSE)-VLOOKUP($A89,main!$A$3:$H$102,6,FALSE)&gt;=(VLOOKUP(VLOOKUP(AN$1,main!$A$3:$H$102,8,FALSE),main!$K$26:$M$29,2,FALSE)+VLOOKUP(VLOOKUP(AN$1,main!$A$3:$H$102,7,FALSE),main!$K$19:$O$22,MATCH(VLOOKUP($A89,main!$A$3:$H$102,8,FALSE),main!$K$18:$O$18,0))))),1,0)</f>
        <v>1</v>
      </c>
      <c r="AO89">
        <f>IF((AND(VLOOKUP(AO$1,main!$A$3:$H$102,5,FALSE)-VLOOKUP($A89,main!$A$3:$H$102,6,FALSE)&gt;=(VLOOKUP(VLOOKUP(AO$1,main!$A$3:$H$102,8,FALSE),main!$K$26:$M$29,2,FALSE)+VLOOKUP(VLOOKUP(AO$1,main!$A$3:$H$102,7,FALSE),main!$K$19:$O$22,MATCH(VLOOKUP($A89,main!$A$3:$H$102,8,FALSE),main!$K$18:$O$18,0))))),1,0)</f>
        <v>0</v>
      </c>
      <c r="AP89">
        <f>IF((AND(VLOOKUP(AP$1,main!$A$3:$H$102,5,FALSE)-VLOOKUP($A89,main!$A$3:$H$102,6,FALSE)&gt;=(VLOOKUP(VLOOKUP(AP$1,main!$A$3:$H$102,8,FALSE),main!$K$26:$M$29,2,FALSE)+VLOOKUP(VLOOKUP(AP$1,main!$A$3:$H$102,7,FALSE),main!$K$19:$O$22,MATCH(VLOOKUP($A89,main!$A$3:$H$102,8,FALSE),main!$K$18:$O$18,0))))),1,0)</f>
        <v>1</v>
      </c>
      <c r="AQ89">
        <f>IF((AND(VLOOKUP(AQ$1,main!$A$3:$H$102,5,FALSE)-VLOOKUP($A89,main!$A$3:$H$102,6,FALSE)&gt;=(VLOOKUP(VLOOKUP(AQ$1,main!$A$3:$H$102,8,FALSE),main!$K$26:$M$29,2,FALSE)+VLOOKUP(VLOOKUP(AQ$1,main!$A$3:$H$102,7,FALSE),main!$K$19:$O$22,MATCH(VLOOKUP($A89,main!$A$3:$H$102,8,FALSE),main!$K$18:$O$18,0))))),1,0)</f>
        <v>0</v>
      </c>
      <c r="AR89">
        <f>IF((AND(VLOOKUP(AR$1,main!$A$3:$H$102,5,FALSE)-VLOOKUP($A89,main!$A$3:$H$102,6,FALSE)&gt;=(VLOOKUP(VLOOKUP(AR$1,main!$A$3:$H$102,8,FALSE),main!$K$26:$M$29,2,FALSE)+VLOOKUP(VLOOKUP(AR$1,main!$A$3:$H$102,7,FALSE),main!$K$19:$O$22,MATCH(VLOOKUP($A89,main!$A$3:$H$102,8,FALSE),main!$K$18:$O$18,0))))),1,0)</f>
        <v>0</v>
      </c>
      <c r="AS89">
        <f>IF((AND(VLOOKUP(AS$1,main!$A$3:$H$102,5,FALSE)-VLOOKUP($A89,main!$A$3:$H$102,6,FALSE)&gt;=(VLOOKUP(VLOOKUP(AS$1,main!$A$3:$H$102,8,FALSE),main!$K$26:$M$29,2,FALSE)+VLOOKUP(VLOOKUP(AS$1,main!$A$3:$H$102,7,FALSE),main!$K$19:$O$22,MATCH(VLOOKUP($A89,main!$A$3:$H$102,8,FALSE),main!$K$18:$O$18,0))))),1,0)</f>
        <v>1</v>
      </c>
      <c r="AT89">
        <f>IF((AND(VLOOKUP(AT$1,main!$A$3:$H$102,5,FALSE)-VLOOKUP($A89,main!$A$3:$H$102,6,FALSE)&gt;=(VLOOKUP(VLOOKUP(AT$1,main!$A$3:$H$102,8,FALSE),main!$K$26:$M$29,2,FALSE)+VLOOKUP(VLOOKUP(AT$1,main!$A$3:$H$102,7,FALSE),main!$K$19:$O$22,MATCH(VLOOKUP($A89,main!$A$3:$H$102,8,FALSE),main!$K$18:$O$18,0))))),1,0)</f>
        <v>1</v>
      </c>
      <c r="AU89">
        <f>IF((AND(VLOOKUP(AU$1,main!$A$3:$H$102,5,FALSE)-VLOOKUP($A89,main!$A$3:$H$102,6,FALSE)&gt;=(VLOOKUP(VLOOKUP(AU$1,main!$A$3:$H$102,8,FALSE),main!$K$26:$M$29,2,FALSE)+VLOOKUP(VLOOKUP(AU$1,main!$A$3:$H$102,7,FALSE),main!$K$19:$O$22,MATCH(VLOOKUP($A89,main!$A$3:$H$102,8,FALSE),main!$K$18:$O$18,0))))),1,0)</f>
        <v>0</v>
      </c>
      <c r="AV89">
        <f>IF((AND(VLOOKUP(AV$1,main!$A$3:$H$102,5,FALSE)-VLOOKUP($A89,main!$A$3:$H$102,6,FALSE)&gt;=(VLOOKUP(VLOOKUP(AV$1,main!$A$3:$H$102,8,FALSE),main!$K$26:$M$29,2,FALSE)+VLOOKUP(VLOOKUP(AV$1,main!$A$3:$H$102,7,FALSE),main!$K$19:$O$22,MATCH(VLOOKUP($A89,main!$A$3:$H$102,8,FALSE),main!$K$18:$O$18,0))))),1,0)</f>
        <v>0</v>
      </c>
      <c r="AW89">
        <f>IF((AND(VLOOKUP(AW$1,main!$A$3:$H$102,5,FALSE)-VLOOKUP($A89,main!$A$3:$H$102,6,FALSE)&gt;=(VLOOKUP(VLOOKUP(AW$1,main!$A$3:$H$102,8,FALSE),main!$K$26:$M$29,2,FALSE)+VLOOKUP(VLOOKUP(AW$1,main!$A$3:$H$102,7,FALSE),main!$K$19:$O$22,MATCH(VLOOKUP($A89,main!$A$3:$H$102,8,FALSE),main!$K$18:$O$18,0))))),1,0)</f>
        <v>1</v>
      </c>
      <c r="AX89">
        <f>IF((AND(VLOOKUP(AX$1,main!$A$3:$H$102,5,FALSE)-VLOOKUP($A89,main!$A$3:$H$102,6,FALSE)&gt;=(VLOOKUP(VLOOKUP(AX$1,main!$A$3:$H$102,8,FALSE),main!$K$26:$M$29,2,FALSE)+VLOOKUP(VLOOKUP(AX$1,main!$A$3:$H$102,7,FALSE),main!$K$19:$O$22,MATCH(VLOOKUP($A89,main!$A$3:$H$102,8,FALSE),main!$K$18:$O$18,0))))),1,0)</f>
        <v>0</v>
      </c>
      <c r="AY89">
        <f>IF((AND(VLOOKUP(AY$1,main!$A$3:$H$102,5,FALSE)-VLOOKUP($A89,main!$A$3:$H$102,6,FALSE)&gt;=(VLOOKUP(VLOOKUP(AY$1,main!$A$3:$H$102,8,FALSE),main!$K$26:$M$29,2,FALSE)+VLOOKUP(VLOOKUP(AY$1,main!$A$3:$H$102,7,FALSE),main!$K$19:$O$22,MATCH(VLOOKUP($A89,main!$A$3:$H$102,8,FALSE),main!$K$18:$O$18,0))))),1,0)</f>
        <v>0</v>
      </c>
      <c r="AZ89">
        <f>IF((AND(VLOOKUP(AZ$1,main!$A$3:$H$102,5,FALSE)-VLOOKUP($A89,main!$A$3:$H$102,6,FALSE)&gt;=(VLOOKUP(VLOOKUP(AZ$1,main!$A$3:$H$102,8,FALSE),main!$K$26:$M$29,2,FALSE)+VLOOKUP(VLOOKUP(AZ$1,main!$A$3:$H$102,7,FALSE),main!$K$19:$O$22,MATCH(VLOOKUP($A89,main!$A$3:$H$102,8,FALSE),main!$K$18:$O$18,0))))),1,0)</f>
        <v>0</v>
      </c>
      <c r="BA89">
        <f>IF((AND(VLOOKUP(BA$1,main!$A$3:$H$102,5,FALSE)-VLOOKUP($A89,main!$A$3:$H$102,6,FALSE)&gt;=(VLOOKUP(VLOOKUP(BA$1,main!$A$3:$H$102,8,FALSE),main!$K$26:$M$29,2,FALSE)+VLOOKUP(VLOOKUP(BA$1,main!$A$3:$H$102,7,FALSE),main!$K$19:$O$22,MATCH(VLOOKUP($A89,main!$A$3:$H$102,8,FALSE),main!$K$18:$O$18,0))))),1,0)</f>
        <v>0</v>
      </c>
      <c r="BB89">
        <f>IF((AND(VLOOKUP(BB$1,main!$A$3:$H$102,5,FALSE)-VLOOKUP($A89,main!$A$3:$H$102,6,FALSE)&gt;=(VLOOKUP(VLOOKUP(BB$1,main!$A$3:$H$102,8,FALSE),main!$K$26:$M$29,2,FALSE)+VLOOKUP(VLOOKUP(BB$1,main!$A$3:$H$102,7,FALSE),main!$K$19:$O$22,MATCH(VLOOKUP($A89,main!$A$3:$H$102,8,FALSE),main!$K$18:$O$18,0))))),1,0)</f>
        <v>0</v>
      </c>
      <c r="BC89">
        <f>IF((AND(VLOOKUP(BC$1,main!$A$3:$H$102,5,FALSE)-VLOOKUP($A89,main!$A$3:$H$102,6,FALSE)&gt;=(VLOOKUP(VLOOKUP(BC$1,main!$A$3:$H$102,8,FALSE),main!$K$26:$M$29,2,FALSE)+VLOOKUP(VLOOKUP(BC$1,main!$A$3:$H$102,7,FALSE),main!$K$19:$O$22,MATCH(VLOOKUP($A89,main!$A$3:$H$102,8,FALSE),main!$K$18:$O$18,0))))),1,0)</f>
        <v>1</v>
      </c>
      <c r="BD89">
        <f>IF((AND(VLOOKUP(BD$1,main!$A$3:$H$102,5,FALSE)-VLOOKUP($A89,main!$A$3:$H$102,6,FALSE)&gt;=(VLOOKUP(VLOOKUP(BD$1,main!$A$3:$H$102,8,FALSE),main!$K$26:$M$29,2,FALSE)+VLOOKUP(VLOOKUP(BD$1,main!$A$3:$H$102,7,FALSE),main!$K$19:$O$22,MATCH(VLOOKUP($A89,main!$A$3:$H$102,8,FALSE),main!$K$18:$O$18,0))))),1,0)</f>
        <v>1</v>
      </c>
      <c r="BE89">
        <f>IF((AND(VLOOKUP(BE$1,main!$A$3:$H$102,5,FALSE)-VLOOKUP($A89,main!$A$3:$H$102,6,FALSE)&gt;=(VLOOKUP(VLOOKUP(BE$1,main!$A$3:$H$102,8,FALSE),main!$K$26:$M$29,2,FALSE)+VLOOKUP(VLOOKUP(BE$1,main!$A$3:$H$102,7,FALSE),main!$K$19:$O$22,MATCH(VLOOKUP($A89,main!$A$3:$H$102,8,FALSE),main!$K$18:$O$18,0))))),1,0)</f>
        <v>1</v>
      </c>
      <c r="BF89">
        <f>IF((AND(VLOOKUP(BF$1,main!$A$3:$H$102,5,FALSE)-VLOOKUP($A89,main!$A$3:$H$102,6,FALSE)&gt;=(VLOOKUP(VLOOKUP(BF$1,main!$A$3:$H$102,8,FALSE),main!$K$26:$M$29,2,FALSE)+VLOOKUP(VLOOKUP(BF$1,main!$A$3:$H$102,7,FALSE),main!$K$19:$O$22,MATCH(VLOOKUP($A89,main!$A$3:$H$102,8,FALSE),main!$K$18:$O$18,0))))),1,0)</f>
        <v>0</v>
      </c>
      <c r="BG89">
        <f>IF((AND(VLOOKUP(BG$1,main!$A$3:$H$102,5,FALSE)-VLOOKUP($A89,main!$A$3:$H$102,6,FALSE)&gt;=(VLOOKUP(VLOOKUP(BG$1,main!$A$3:$H$102,8,FALSE),main!$K$26:$M$29,2,FALSE)+VLOOKUP(VLOOKUP(BG$1,main!$A$3:$H$102,7,FALSE),main!$K$19:$O$22,MATCH(VLOOKUP($A89,main!$A$3:$H$102,8,FALSE),main!$K$18:$O$18,0))))),1,0)</f>
        <v>0</v>
      </c>
      <c r="BH89">
        <f>IF((AND(VLOOKUP(BH$1,main!$A$3:$H$102,5,FALSE)-VLOOKUP($A89,main!$A$3:$H$102,6,FALSE)&gt;=(VLOOKUP(VLOOKUP(BH$1,main!$A$3:$H$102,8,FALSE),main!$K$26:$M$29,2,FALSE)+VLOOKUP(VLOOKUP(BH$1,main!$A$3:$H$102,7,FALSE),main!$K$19:$O$22,MATCH(VLOOKUP($A89,main!$A$3:$H$102,8,FALSE),main!$K$18:$O$18,0))))),1,0)</f>
        <v>1</v>
      </c>
      <c r="BI89">
        <f>IF((AND(VLOOKUP(BI$1,main!$A$3:$H$102,5,FALSE)-VLOOKUP($A89,main!$A$3:$H$102,6,FALSE)&gt;=(VLOOKUP(VLOOKUP(BI$1,main!$A$3:$H$102,8,FALSE),main!$K$26:$M$29,2,FALSE)+VLOOKUP(VLOOKUP(BI$1,main!$A$3:$H$102,7,FALSE),main!$K$19:$O$22,MATCH(VLOOKUP($A89,main!$A$3:$H$102,8,FALSE),main!$K$18:$O$18,0))))),1,0)</f>
        <v>1</v>
      </c>
      <c r="BJ89">
        <f>IF((AND(VLOOKUP(BJ$1,main!$A$3:$H$102,5,FALSE)-VLOOKUP($A89,main!$A$3:$H$102,6,FALSE)&gt;=(VLOOKUP(VLOOKUP(BJ$1,main!$A$3:$H$102,8,FALSE),main!$K$26:$M$29,2,FALSE)+VLOOKUP(VLOOKUP(BJ$1,main!$A$3:$H$102,7,FALSE),main!$K$19:$O$22,MATCH(VLOOKUP($A89,main!$A$3:$H$102,8,FALSE),main!$K$18:$O$18,0))))),1,0)</f>
        <v>1</v>
      </c>
      <c r="BK89">
        <f>IF((AND(VLOOKUP(BK$1,main!$A$3:$H$102,5,FALSE)-VLOOKUP($A89,main!$A$3:$H$102,6,FALSE)&gt;=(VLOOKUP(VLOOKUP(BK$1,main!$A$3:$H$102,8,FALSE),main!$K$26:$M$29,2,FALSE)+VLOOKUP(VLOOKUP(BK$1,main!$A$3:$H$102,7,FALSE),main!$K$19:$O$22,MATCH(VLOOKUP($A89,main!$A$3:$H$102,8,FALSE),main!$K$18:$O$18,0))))),1,0)</f>
        <v>0</v>
      </c>
      <c r="BL89">
        <f>IF((AND(VLOOKUP(BL$1,main!$A$3:$H$102,5,FALSE)-VLOOKUP($A89,main!$A$3:$H$102,6,FALSE)&gt;=(VLOOKUP(VLOOKUP(BL$1,main!$A$3:$H$102,8,FALSE),main!$K$26:$M$29,2,FALSE)+VLOOKUP(VLOOKUP(BL$1,main!$A$3:$H$102,7,FALSE),main!$K$19:$O$22,MATCH(VLOOKUP($A89,main!$A$3:$H$102,8,FALSE),main!$K$18:$O$18,0))))),1,0)</f>
        <v>0</v>
      </c>
      <c r="BM89">
        <f>IF((AND(VLOOKUP(BM$1,main!$A$3:$H$102,5,FALSE)-VLOOKUP($A89,main!$A$3:$H$102,6,FALSE)&gt;=(VLOOKUP(VLOOKUP(BM$1,main!$A$3:$H$102,8,FALSE),main!$K$26:$M$29,2,FALSE)+VLOOKUP(VLOOKUP(BM$1,main!$A$3:$H$102,7,FALSE),main!$K$19:$O$22,MATCH(VLOOKUP($A89,main!$A$3:$H$102,8,FALSE),main!$K$18:$O$18,0))))),1,0)</f>
        <v>0</v>
      </c>
      <c r="BN89">
        <f>IF((AND(VLOOKUP(BN$1,main!$A$3:$H$102,5,FALSE)-VLOOKUP($A89,main!$A$3:$H$102,6,FALSE)&gt;=(VLOOKUP(VLOOKUP(BN$1,main!$A$3:$H$102,8,FALSE),main!$K$26:$M$29,2,FALSE)+VLOOKUP(VLOOKUP(BN$1,main!$A$3:$H$102,7,FALSE),main!$K$19:$O$22,MATCH(VLOOKUP($A89,main!$A$3:$H$102,8,FALSE),main!$K$18:$O$18,0))))),1,0)</f>
        <v>1</v>
      </c>
      <c r="BO89">
        <f>IF((AND(VLOOKUP(BO$1,main!$A$3:$H$102,5,FALSE)-VLOOKUP($A89,main!$A$3:$H$102,6,FALSE)&gt;=(VLOOKUP(VLOOKUP(BO$1,main!$A$3:$H$102,8,FALSE),main!$K$26:$M$29,2,FALSE)+VLOOKUP(VLOOKUP(BO$1,main!$A$3:$H$102,7,FALSE),main!$K$19:$O$22,MATCH(VLOOKUP($A89,main!$A$3:$H$102,8,FALSE),main!$K$18:$O$18,0))))),1,0)</f>
        <v>0</v>
      </c>
      <c r="BP89">
        <f>IF((AND(VLOOKUP(BP$1,main!$A$3:$H$102,5,FALSE)-VLOOKUP($A89,main!$A$3:$H$102,6,FALSE)&gt;=(VLOOKUP(VLOOKUP(BP$1,main!$A$3:$H$102,8,FALSE),main!$K$26:$M$29,2,FALSE)+VLOOKUP(VLOOKUP(BP$1,main!$A$3:$H$102,7,FALSE),main!$K$19:$O$22,MATCH(VLOOKUP($A89,main!$A$3:$H$102,8,FALSE),main!$K$18:$O$18,0))))),1,0)</f>
        <v>0</v>
      </c>
      <c r="BQ89">
        <f>IF((AND(VLOOKUP(BQ$1,main!$A$3:$H$102,5,FALSE)-VLOOKUP($A89,main!$A$3:$H$102,6,FALSE)&gt;=(VLOOKUP(VLOOKUP(BQ$1,main!$A$3:$H$102,8,FALSE),main!$K$26:$M$29,2,FALSE)+VLOOKUP(VLOOKUP(BQ$1,main!$A$3:$H$102,7,FALSE),main!$K$19:$O$22,MATCH(VLOOKUP($A89,main!$A$3:$H$102,8,FALSE),main!$K$18:$O$18,0))))),1,0)</f>
        <v>0</v>
      </c>
      <c r="BR89">
        <f>IF((AND(VLOOKUP(BR$1,main!$A$3:$H$102,5,FALSE)-VLOOKUP($A89,main!$A$3:$H$102,6,FALSE)&gt;=(VLOOKUP(VLOOKUP(BR$1,main!$A$3:$H$102,8,FALSE),main!$K$26:$M$29,2,FALSE)+VLOOKUP(VLOOKUP(BR$1,main!$A$3:$H$102,7,FALSE),main!$K$19:$O$22,MATCH(VLOOKUP($A89,main!$A$3:$H$102,8,FALSE),main!$K$18:$O$18,0))))),1,0)</f>
        <v>0</v>
      </c>
      <c r="BS89">
        <f>IF((AND(VLOOKUP(BS$1,main!$A$3:$H$102,5,FALSE)-VLOOKUP($A89,main!$A$3:$H$102,6,FALSE)&gt;=(VLOOKUP(VLOOKUP(BS$1,main!$A$3:$H$102,8,FALSE),main!$K$26:$M$29,2,FALSE)+VLOOKUP(VLOOKUP(BS$1,main!$A$3:$H$102,7,FALSE),main!$K$19:$O$22,MATCH(VLOOKUP($A89,main!$A$3:$H$102,8,FALSE),main!$K$18:$O$18,0))))),1,0)</f>
        <v>0</v>
      </c>
      <c r="BT89">
        <f>IF((AND(VLOOKUP(BT$1,main!$A$3:$H$102,5,FALSE)-VLOOKUP($A89,main!$A$3:$H$102,6,FALSE)&gt;=(VLOOKUP(VLOOKUP(BT$1,main!$A$3:$H$102,8,FALSE),main!$K$26:$M$29,2,FALSE)+VLOOKUP(VLOOKUP(BT$1,main!$A$3:$H$102,7,FALSE),main!$K$19:$O$22,MATCH(VLOOKUP($A89,main!$A$3:$H$102,8,FALSE),main!$K$18:$O$18,0))))),1,0)</f>
        <v>0</v>
      </c>
      <c r="BU89">
        <f>IF((AND(VLOOKUP(BU$1,main!$A$3:$H$102,5,FALSE)-VLOOKUP($A89,main!$A$3:$H$102,6,FALSE)&gt;=(VLOOKUP(VLOOKUP(BU$1,main!$A$3:$H$102,8,FALSE),main!$K$26:$M$29,2,FALSE)+VLOOKUP(VLOOKUP(BU$1,main!$A$3:$H$102,7,FALSE),main!$K$19:$O$22,MATCH(VLOOKUP($A89,main!$A$3:$H$102,8,FALSE),main!$K$18:$O$18,0))))),1,0)</f>
        <v>0</v>
      </c>
      <c r="BV89">
        <f>IF((AND(VLOOKUP(BV$1,main!$A$3:$H$102,5,FALSE)-VLOOKUP($A89,main!$A$3:$H$102,6,FALSE)&gt;=(VLOOKUP(VLOOKUP(BV$1,main!$A$3:$H$102,8,FALSE),main!$K$26:$M$29,2,FALSE)+VLOOKUP(VLOOKUP(BV$1,main!$A$3:$H$102,7,FALSE),main!$K$19:$O$22,MATCH(VLOOKUP($A89,main!$A$3:$H$102,8,FALSE),main!$K$18:$O$18,0))))),1,0)</f>
        <v>0</v>
      </c>
      <c r="BW89">
        <f>IF((AND(VLOOKUP(BW$1,main!$A$3:$H$102,5,FALSE)-VLOOKUP($A89,main!$A$3:$H$102,6,FALSE)&gt;=(VLOOKUP(VLOOKUP(BW$1,main!$A$3:$H$102,8,FALSE),main!$K$26:$M$29,2,FALSE)+VLOOKUP(VLOOKUP(BW$1,main!$A$3:$H$102,7,FALSE),main!$K$19:$O$22,MATCH(VLOOKUP($A89,main!$A$3:$H$102,8,FALSE),main!$K$18:$O$18,0))))),1,0)</f>
        <v>0</v>
      </c>
      <c r="BX89">
        <f>IF((AND(VLOOKUP(BX$1,main!$A$3:$H$102,5,FALSE)-VLOOKUP($A89,main!$A$3:$H$102,6,FALSE)&gt;=(VLOOKUP(VLOOKUP(BX$1,main!$A$3:$H$102,8,FALSE),main!$K$26:$M$29,2,FALSE)+VLOOKUP(VLOOKUP(BX$1,main!$A$3:$H$102,7,FALSE),main!$K$19:$O$22,MATCH(VLOOKUP($A89,main!$A$3:$H$102,8,FALSE),main!$K$18:$O$18,0))))),1,0)</f>
        <v>0</v>
      </c>
      <c r="BY89">
        <f>IF((AND(VLOOKUP(BY$1,main!$A$3:$H$102,5,FALSE)-VLOOKUP($A89,main!$A$3:$H$102,6,FALSE)&gt;=(VLOOKUP(VLOOKUP(BY$1,main!$A$3:$H$102,8,FALSE),main!$K$26:$M$29,2,FALSE)+VLOOKUP(VLOOKUP(BY$1,main!$A$3:$H$102,7,FALSE),main!$K$19:$O$22,MATCH(VLOOKUP($A89,main!$A$3:$H$102,8,FALSE),main!$K$18:$O$18,0))))),1,0)</f>
        <v>1</v>
      </c>
      <c r="BZ89">
        <f>IF((AND(VLOOKUP(BZ$1,main!$A$3:$H$102,5,FALSE)-VLOOKUP($A89,main!$A$3:$H$102,6,FALSE)&gt;=(VLOOKUP(VLOOKUP(BZ$1,main!$A$3:$H$102,8,FALSE),main!$K$26:$M$29,2,FALSE)+VLOOKUP(VLOOKUP(BZ$1,main!$A$3:$H$102,7,FALSE),main!$K$19:$O$22,MATCH(VLOOKUP($A89,main!$A$3:$H$102,8,FALSE),main!$K$18:$O$18,0))))),1,0)</f>
        <v>0</v>
      </c>
      <c r="CA89">
        <f>IF((AND(VLOOKUP(CA$1,main!$A$3:$H$102,5,FALSE)-VLOOKUP($A89,main!$A$3:$H$102,6,FALSE)&gt;=(VLOOKUP(VLOOKUP(CA$1,main!$A$3:$H$102,8,FALSE),main!$K$26:$M$29,2,FALSE)+VLOOKUP(VLOOKUP(CA$1,main!$A$3:$H$102,7,FALSE),main!$K$19:$O$22,MATCH(VLOOKUP($A89,main!$A$3:$H$102,8,FALSE),main!$K$18:$O$18,0))))),1,0)</f>
        <v>0</v>
      </c>
      <c r="CB89">
        <f>IF((AND(VLOOKUP(CB$1,main!$A$3:$H$102,5,FALSE)-VLOOKUP($A89,main!$A$3:$H$102,6,FALSE)&gt;=(VLOOKUP(VLOOKUP(CB$1,main!$A$3:$H$102,8,FALSE),main!$K$26:$M$29,2,FALSE)+VLOOKUP(VLOOKUP(CB$1,main!$A$3:$H$102,7,FALSE),main!$K$19:$O$22,MATCH(VLOOKUP($A89,main!$A$3:$H$102,8,FALSE),main!$K$18:$O$18,0))))),1,0)</f>
        <v>1</v>
      </c>
      <c r="CC89">
        <f>IF((AND(VLOOKUP(CC$1,main!$A$3:$H$102,5,FALSE)-VLOOKUP($A89,main!$A$3:$H$102,6,FALSE)&gt;=(VLOOKUP(VLOOKUP(CC$1,main!$A$3:$H$102,8,FALSE),main!$K$26:$M$29,2,FALSE)+VLOOKUP(VLOOKUP(CC$1,main!$A$3:$H$102,7,FALSE),main!$K$19:$O$22,MATCH(VLOOKUP($A89,main!$A$3:$H$102,8,FALSE),main!$K$18:$O$18,0))))),1,0)</f>
        <v>1</v>
      </c>
      <c r="CD89">
        <f>IF((AND(VLOOKUP(CD$1,main!$A$3:$H$102,5,FALSE)-VLOOKUP($A89,main!$A$3:$H$102,6,FALSE)&gt;=(VLOOKUP(VLOOKUP(CD$1,main!$A$3:$H$102,8,FALSE),main!$K$26:$M$29,2,FALSE)+VLOOKUP(VLOOKUP(CD$1,main!$A$3:$H$102,7,FALSE),main!$K$19:$O$22,MATCH(VLOOKUP($A89,main!$A$3:$H$102,8,FALSE),main!$K$18:$O$18,0))))),1,0)</f>
        <v>1</v>
      </c>
      <c r="CE89">
        <f>IF((AND(VLOOKUP(CE$1,main!$A$3:$H$102,5,FALSE)-VLOOKUP($A89,main!$A$3:$H$102,6,FALSE)&gt;=(VLOOKUP(VLOOKUP(CE$1,main!$A$3:$H$102,8,FALSE),main!$K$26:$M$29,2,FALSE)+VLOOKUP(VLOOKUP(CE$1,main!$A$3:$H$102,7,FALSE),main!$K$19:$O$22,MATCH(VLOOKUP($A89,main!$A$3:$H$102,8,FALSE),main!$K$18:$O$18,0))))),1,0)</f>
        <v>0</v>
      </c>
      <c r="CF89">
        <f>IF((AND(VLOOKUP(CF$1,main!$A$3:$H$102,5,FALSE)-VLOOKUP($A89,main!$A$3:$H$102,6,FALSE)&gt;=(VLOOKUP(VLOOKUP(CF$1,main!$A$3:$H$102,8,FALSE),main!$K$26:$M$29,2,FALSE)+VLOOKUP(VLOOKUP(CF$1,main!$A$3:$H$102,7,FALSE),main!$K$19:$O$22,MATCH(VLOOKUP($A89,main!$A$3:$H$102,8,FALSE),main!$K$18:$O$18,0))))),1,0)</f>
        <v>0</v>
      </c>
      <c r="CG89">
        <f>IF((AND(VLOOKUP(CG$1,main!$A$3:$H$102,5,FALSE)-VLOOKUP($A89,main!$A$3:$H$102,6,FALSE)&gt;=(VLOOKUP(VLOOKUP(CG$1,main!$A$3:$H$102,8,FALSE),main!$K$26:$M$29,2,FALSE)+VLOOKUP(VLOOKUP(CG$1,main!$A$3:$H$102,7,FALSE),main!$K$19:$O$22,MATCH(VLOOKUP($A89,main!$A$3:$H$102,8,FALSE),main!$K$18:$O$18,0))))),1,0)</f>
        <v>0</v>
      </c>
      <c r="CH89">
        <f>IF((AND(VLOOKUP(CH$1,main!$A$3:$H$102,5,FALSE)-VLOOKUP($A89,main!$A$3:$H$102,6,FALSE)&gt;=(VLOOKUP(VLOOKUP(CH$1,main!$A$3:$H$102,8,FALSE),main!$K$26:$M$29,2,FALSE)+VLOOKUP(VLOOKUP(CH$1,main!$A$3:$H$102,7,FALSE),main!$K$19:$O$22,MATCH(VLOOKUP($A89,main!$A$3:$H$102,8,FALSE),main!$K$18:$O$18,0))))),1,0)</f>
        <v>1</v>
      </c>
      <c r="CI89">
        <f>IF((AND(VLOOKUP(CI$1,main!$A$3:$H$102,5,FALSE)-VLOOKUP($A89,main!$A$3:$H$102,6,FALSE)&gt;=(VLOOKUP(VLOOKUP(CI$1,main!$A$3:$H$102,8,FALSE),main!$K$26:$M$29,2,FALSE)+VLOOKUP(VLOOKUP(CI$1,main!$A$3:$H$102,7,FALSE),main!$K$19:$O$22,MATCH(VLOOKUP($A89,main!$A$3:$H$102,8,FALSE),main!$K$18:$O$18,0))))),1,0)</f>
        <v>1</v>
      </c>
      <c r="CJ89">
        <f>IF((AND(VLOOKUP(CJ$1,main!$A$3:$H$102,5,FALSE)-VLOOKUP($A89,main!$A$3:$H$102,6,FALSE)&gt;=(VLOOKUP(VLOOKUP(CJ$1,main!$A$3:$H$102,8,FALSE),main!$K$26:$M$29,2,FALSE)+VLOOKUP(VLOOKUP(CJ$1,main!$A$3:$H$102,7,FALSE),main!$K$19:$O$22,MATCH(VLOOKUP($A89,main!$A$3:$H$102,8,FALSE),main!$K$18:$O$18,0))))),1,0)</f>
        <v>0</v>
      </c>
      <c r="CK89">
        <f>IF((AND(VLOOKUP(CK$1,main!$A$3:$H$102,5,FALSE)-VLOOKUP($A89,main!$A$3:$H$102,6,FALSE)&gt;=(VLOOKUP(VLOOKUP(CK$1,main!$A$3:$H$102,8,FALSE),main!$K$26:$M$29,2,FALSE)+VLOOKUP(VLOOKUP(CK$1,main!$A$3:$H$102,7,FALSE),main!$K$19:$O$22,MATCH(VLOOKUP($A89,main!$A$3:$H$102,8,FALSE),main!$K$18:$O$18,0))))),1,0)</f>
        <v>0</v>
      </c>
      <c r="CL89">
        <f>IF((AND(VLOOKUP(CL$1,main!$A$3:$H$102,5,FALSE)-VLOOKUP($A89,main!$A$3:$H$102,6,FALSE)&gt;=(VLOOKUP(VLOOKUP(CL$1,main!$A$3:$H$102,8,FALSE),main!$K$26:$M$29,2,FALSE)+VLOOKUP(VLOOKUP(CL$1,main!$A$3:$H$102,7,FALSE),main!$K$19:$O$22,MATCH(VLOOKUP($A89,main!$A$3:$H$102,8,FALSE),main!$K$18:$O$18,0))))),1,0)</f>
        <v>0</v>
      </c>
      <c r="CM89">
        <f>IF((AND(VLOOKUP(CM$1,main!$A$3:$H$102,5,FALSE)-VLOOKUP($A89,main!$A$3:$H$102,6,FALSE)&gt;=(VLOOKUP(VLOOKUP(CM$1,main!$A$3:$H$102,8,FALSE),main!$K$26:$M$29,2,FALSE)+VLOOKUP(VLOOKUP(CM$1,main!$A$3:$H$102,7,FALSE),main!$K$19:$O$22,MATCH(VLOOKUP($A89,main!$A$3:$H$102,8,FALSE),main!$K$18:$O$18,0))))),1,0)</f>
        <v>1</v>
      </c>
      <c r="CN89">
        <f>IF((AND(VLOOKUP(CN$1,main!$A$3:$H$102,5,FALSE)-VLOOKUP($A89,main!$A$3:$H$102,6,FALSE)&gt;=(VLOOKUP(VLOOKUP(CN$1,main!$A$3:$H$102,8,FALSE),main!$K$26:$M$29,2,FALSE)+VLOOKUP(VLOOKUP(CN$1,main!$A$3:$H$102,7,FALSE),main!$K$19:$O$22,MATCH(VLOOKUP($A89,main!$A$3:$H$102,8,FALSE),main!$K$18:$O$18,0))))),1,0)</f>
        <v>1</v>
      </c>
      <c r="CO89">
        <f>IF((AND(VLOOKUP(CO$1,main!$A$3:$H$102,5,FALSE)-VLOOKUP($A89,main!$A$3:$H$102,6,FALSE)&gt;=(VLOOKUP(VLOOKUP(CO$1,main!$A$3:$H$102,8,FALSE),main!$K$26:$M$29,2,FALSE)+VLOOKUP(VLOOKUP(CO$1,main!$A$3:$H$102,7,FALSE),main!$K$19:$O$22,MATCH(VLOOKUP($A89,main!$A$3:$H$102,8,FALSE),main!$K$18:$O$18,0))))),1,0)</f>
        <v>0</v>
      </c>
      <c r="CP89">
        <f>IF((AND(VLOOKUP(CP$1,main!$A$3:$H$102,5,FALSE)-VLOOKUP($A89,main!$A$3:$H$102,6,FALSE)&gt;=(VLOOKUP(VLOOKUP(CP$1,main!$A$3:$H$102,8,FALSE),main!$K$26:$M$29,2,FALSE)+VLOOKUP(VLOOKUP(CP$1,main!$A$3:$H$102,7,FALSE),main!$K$19:$O$22,MATCH(VLOOKUP($A89,main!$A$3:$H$102,8,FALSE),main!$K$18:$O$18,0))))),1,0)</f>
        <v>0</v>
      </c>
      <c r="CQ89">
        <f>IF((AND(VLOOKUP(CQ$1,main!$A$3:$H$102,5,FALSE)-VLOOKUP($A89,main!$A$3:$H$102,6,FALSE)&gt;=(VLOOKUP(VLOOKUP(CQ$1,main!$A$3:$H$102,8,FALSE),main!$K$26:$M$29,2,FALSE)+VLOOKUP(VLOOKUP(CQ$1,main!$A$3:$H$102,7,FALSE),main!$K$19:$O$22,MATCH(VLOOKUP($A89,main!$A$3:$H$102,8,FALSE),main!$K$18:$O$18,0))))),1,0)</f>
        <v>0</v>
      </c>
      <c r="CR89">
        <f>IF((AND(VLOOKUP(CR$1,main!$A$3:$H$102,5,FALSE)-VLOOKUP($A89,main!$A$3:$H$102,6,FALSE)&gt;=(VLOOKUP(VLOOKUP(CR$1,main!$A$3:$H$102,8,FALSE),main!$K$26:$M$29,2,FALSE)+VLOOKUP(VLOOKUP(CR$1,main!$A$3:$H$102,7,FALSE),main!$K$19:$O$22,MATCH(VLOOKUP($A89,main!$A$3:$H$102,8,FALSE),main!$K$18:$O$18,0))))),1,0)</f>
        <v>1</v>
      </c>
      <c r="CS89">
        <f>IF((AND(VLOOKUP(CS$1,main!$A$3:$H$102,5,FALSE)-VLOOKUP($A89,main!$A$3:$H$102,6,FALSE)&gt;=(VLOOKUP(VLOOKUP(CS$1,main!$A$3:$H$102,8,FALSE),main!$K$26:$M$29,2,FALSE)+VLOOKUP(VLOOKUP(CS$1,main!$A$3:$H$102,7,FALSE),main!$K$19:$O$22,MATCH(VLOOKUP($A89,main!$A$3:$H$102,8,FALSE),main!$K$18:$O$18,0))))),1,0)</f>
        <v>1</v>
      </c>
      <c r="CT89">
        <f>IF((AND(VLOOKUP(CT$1,main!$A$3:$H$102,5,FALSE)-VLOOKUP($A89,main!$A$3:$H$102,6,FALSE)&gt;=(VLOOKUP(VLOOKUP(CT$1,main!$A$3:$H$102,8,FALSE),main!$K$26:$M$29,2,FALSE)+VLOOKUP(VLOOKUP(CT$1,main!$A$3:$H$102,7,FALSE),main!$K$19:$O$22,MATCH(VLOOKUP($A89,main!$A$3:$H$102,8,FALSE),main!$K$18:$O$18,0))))),1,0)</f>
        <v>0</v>
      </c>
      <c r="CU89">
        <f>IF((AND(VLOOKUP(CU$1,main!$A$3:$H$102,5,FALSE)-VLOOKUP($A89,main!$A$3:$H$102,6,FALSE)&gt;=(VLOOKUP(VLOOKUP(CU$1,main!$A$3:$H$102,8,FALSE),main!$K$26:$M$29,2,FALSE)+VLOOKUP(VLOOKUP(CU$1,main!$A$3:$H$102,7,FALSE),main!$K$19:$O$22,MATCH(VLOOKUP($A89,main!$A$3:$H$102,8,FALSE),main!$K$18:$O$18,0))))),1,0)</f>
        <v>0</v>
      </c>
      <c r="CV89">
        <f>IF((AND(VLOOKUP(CV$1,main!$A$3:$H$102,5,FALSE)-VLOOKUP($A89,main!$A$3:$H$102,6,FALSE)&gt;=(VLOOKUP(VLOOKUP(CV$1,main!$A$3:$H$102,8,FALSE),main!$K$26:$M$29,2,FALSE)+VLOOKUP(VLOOKUP(CV$1,main!$A$3:$H$102,7,FALSE),main!$K$19:$O$22,MATCH(VLOOKUP($A89,main!$A$3:$H$102,8,FALSE),main!$K$18:$O$18,0))))),1,0)</f>
        <v>0</v>
      </c>
      <c r="CW89">
        <f>IF((AND(VLOOKUP(CW$1,main!$A$3:$H$102,5,FALSE)-VLOOKUP($A89,main!$A$3:$H$102,6,FALSE)&gt;=(VLOOKUP(VLOOKUP(CW$1,main!$A$3:$H$102,8,FALSE),main!$K$26:$M$29,2,FALSE)+VLOOKUP(VLOOKUP(CW$1,main!$A$3:$H$102,7,FALSE),main!$K$19:$O$22,MATCH(VLOOKUP($A89,main!$A$3:$H$102,8,FALSE),main!$K$18:$O$18,0))))),1,0)</f>
        <v>1</v>
      </c>
      <c r="CX89">
        <f>IF((AND(VLOOKUP(CX$1,main!$A$3:$H$102,5,FALSE)-VLOOKUP($A89,main!$A$3:$H$102,6,FALSE)&gt;=(VLOOKUP(VLOOKUP(CX$1,main!$A$3:$H$102,8,FALSE),main!$K$26:$M$29,2,FALSE)+VLOOKUP(VLOOKUP(CX$1,main!$A$3:$H$102,7,FALSE),main!$K$19:$O$22,MATCH(VLOOKUP($A89,main!$A$3:$H$102,8,FALSE),main!$K$18:$O$18,0))))),1,0)</f>
        <v>1</v>
      </c>
    </row>
    <row r="90" spans="1:102" x14ac:dyDescent="0.25">
      <c r="A90" s="1">
        <v>88</v>
      </c>
      <c r="B90">
        <v>1</v>
      </c>
      <c r="C90">
        <f>IF((AND(VLOOKUP(C$1,main!$A$3:$H$102,5,FALSE)-VLOOKUP($A90,main!$A$3:$H$102,6,FALSE)&gt;=(VLOOKUP(VLOOKUP(C$1,main!$A$3:$H$102,8,FALSE),main!$K$26:$M$29,2,FALSE)+VLOOKUP(VLOOKUP(C$1,main!$A$3:$H$102,7,FALSE),main!$K$19:$O$22,MATCH(VLOOKUP($A90,main!$A$3:$H$102,8,FALSE),main!$K$18:$O$18,0))))),1,0)</f>
        <v>0</v>
      </c>
      <c r="D90">
        <f>IF((AND(VLOOKUP(D$1,main!$A$3:$H$102,5,FALSE)-VLOOKUP($A90,main!$A$3:$H$102,6,FALSE)&gt;=(VLOOKUP(VLOOKUP(D$1,main!$A$3:$H$102,8,FALSE),main!$K$26:$M$29,2,FALSE)+VLOOKUP(VLOOKUP(D$1,main!$A$3:$H$102,7,FALSE),main!$K$19:$O$22,MATCH(VLOOKUP($A90,main!$A$3:$H$102,8,FALSE),main!$K$18:$O$18,0))))),1,0)</f>
        <v>0</v>
      </c>
      <c r="E90">
        <f>IF((AND(VLOOKUP(E$1,main!$A$3:$H$102,5,FALSE)-VLOOKUP($A90,main!$A$3:$H$102,6,FALSE)&gt;=(VLOOKUP(VLOOKUP(E$1,main!$A$3:$H$102,8,FALSE),main!$K$26:$M$29,2,FALSE)+VLOOKUP(VLOOKUP(E$1,main!$A$3:$H$102,7,FALSE),main!$K$19:$O$22,MATCH(VLOOKUP($A90,main!$A$3:$H$102,8,FALSE),main!$K$18:$O$18,0))))),1,0)</f>
        <v>0</v>
      </c>
      <c r="F90">
        <f>IF((AND(VLOOKUP(F$1,main!$A$3:$H$102,5,FALSE)-VLOOKUP($A90,main!$A$3:$H$102,6,FALSE)&gt;=(VLOOKUP(VLOOKUP(F$1,main!$A$3:$H$102,8,FALSE),main!$K$26:$M$29,2,FALSE)+VLOOKUP(VLOOKUP(F$1,main!$A$3:$H$102,7,FALSE),main!$K$19:$O$22,MATCH(VLOOKUP($A90,main!$A$3:$H$102,8,FALSE),main!$K$18:$O$18,0))))),1,0)</f>
        <v>0</v>
      </c>
      <c r="G90">
        <f>IF((AND(VLOOKUP(G$1,main!$A$3:$H$102,5,FALSE)-VLOOKUP($A90,main!$A$3:$H$102,6,FALSE)&gt;=(VLOOKUP(VLOOKUP(G$1,main!$A$3:$H$102,8,FALSE),main!$K$26:$M$29,2,FALSE)+VLOOKUP(VLOOKUP(G$1,main!$A$3:$H$102,7,FALSE),main!$K$19:$O$22,MATCH(VLOOKUP($A90,main!$A$3:$H$102,8,FALSE),main!$K$18:$O$18,0))))),1,0)</f>
        <v>0</v>
      </c>
      <c r="H90">
        <f>IF((AND(VLOOKUP(H$1,main!$A$3:$H$102,5,FALSE)-VLOOKUP($A90,main!$A$3:$H$102,6,FALSE)&gt;=(VLOOKUP(VLOOKUP(H$1,main!$A$3:$H$102,8,FALSE),main!$K$26:$M$29,2,FALSE)+VLOOKUP(VLOOKUP(H$1,main!$A$3:$H$102,7,FALSE),main!$K$19:$O$22,MATCH(VLOOKUP($A90,main!$A$3:$H$102,8,FALSE),main!$K$18:$O$18,0))))),1,0)</f>
        <v>1</v>
      </c>
      <c r="I90">
        <f>IF((AND(VLOOKUP(I$1,main!$A$3:$H$102,5,FALSE)-VLOOKUP($A90,main!$A$3:$H$102,6,FALSE)&gt;=(VLOOKUP(VLOOKUP(I$1,main!$A$3:$H$102,8,FALSE),main!$K$26:$M$29,2,FALSE)+VLOOKUP(VLOOKUP(I$1,main!$A$3:$H$102,7,FALSE),main!$K$19:$O$22,MATCH(VLOOKUP($A90,main!$A$3:$H$102,8,FALSE),main!$K$18:$O$18,0))))),1,0)</f>
        <v>1</v>
      </c>
      <c r="J90">
        <f>IF((AND(VLOOKUP(J$1,main!$A$3:$H$102,5,FALSE)-VLOOKUP($A90,main!$A$3:$H$102,6,FALSE)&gt;=(VLOOKUP(VLOOKUP(J$1,main!$A$3:$H$102,8,FALSE),main!$K$26:$M$29,2,FALSE)+VLOOKUP(VLOOKUP(J$1,main!$A$3:$H$102,7,FALSE),main!$K$19:$O$22,MATCH(VLOOKUP($A90,main!$A$3:$H$102,8,FALSE),main!$K$18:$O$18,0))))),1,0)</f>
        <v>1</v>
      </c>
      <c r="K90">
        <f>IF((AND(VLOOKUP(K$1,main!$A$3:$H$102,5,FALSE)-VLOOKUP($A90,main!$A$3:$H$102,6,FALSE)&gt;=(VLOOKUP(VLOOKUP(K$1,main!$A$3:$H$102,8,FALSE),main!$K$26:$M$29,2,FALSE)+VLOOKUP(VLOOKUP(K$1,main!$A$3:$H$102,7,FALSE),main!$K$19:$O$22,MATCH(VLOOKUP($A90,main!$A$3:$H$102,8,FALSE),main!$K$18:$O$18,0))))),1,0)</f>
        <v>1</v>
      </c>
      <c r="L90">
        <f>IF((AND(VLOOKUP(L$1,main!$A$3:$H$102,5,FALSE)-VLOOKUP($A90,main!$A$3:$H$102,6,FALSE)&gt;=(VLOOKUP(VLOOKUP(L$1,main!$A$3:$H$102,8,FALSE),main!$K$26:$M$29,2,FALSE)+VLOOKUP(VLOOKUP(L$1,main!$A$3:$H$102,7,FALSE),main!$K$19:$O$22,MATCH(VLOOKUP($A90,main!$A$3:$H$102,8,FALSE),main!$K$18:$O$18,0))))),1,0)</f>
        <v>1</v>
      </c>
      <c r="M90">
        <f>IF((AND(VLOOKUP(M$1,main!$A$3:$H$102,5,FALSE)-VLOOKUP($A90,main!$A$3:$H$102,6,FALSE)&gt;=(VLOOKUP(VLOOKUP(M$1,main!$A$3:$H$102,8,FALSE),main!$K$26:$M$29,2,FALSE)+VLOOKUP(VLOOKUP(M$1,main!$A$3:$H$102,7,FALSE),main!$K$19:$O$22,MATCH(VLOOKUP($A90,main!$A$3:$H$102,8,FALSE),main!$K$18:$O$18,0))))),1,0)</f>
        <v>0</v>
      </c>
      <c r="N90">
        <f>IF((AND(VLOOKUP(N$1,main!$A$3:$H$102,5,FALSE)-VLOOKUP($A90,main!$A$3:$H$102,6,FALSE)&gt;=(VLOOKUP(VLOOKUP(N$1,main!$A$3:$H$102,8,FALSE),main!$K$26:$M$29,2,FALSE)+VLOOKUP(VLOOKUP(N$1,main!$A$3:$H$102,7,FALSE),main!$K$19:$O$22,MATCH(VLOOKUP($A90,main!$A$3:$H$102,8,FALSE),main!$K$18:$O$18,0))))),1,0)</f>
        <v>0</v>
      </c>
      <c r="O90">
        <f>IF((AND(VLOOKUP(O$1,main!$A$3:$H$102,5,FALSE)-VLOOKUP($A90,main!$A$3:$H$102,6,FALSE)&gt;=(VLOOKUP(VLOOKUP(O$1,main!$A$3:$H$102,8,FALSE),main!$K$26:$M$29,2,FALSE)+VLOOKUP(VLOOKUP(O$1,main!$A$3:$H$102,7,FALSE),main!$K$19:$O$22,MATCH(VLOOKUP($A90,main!$A$3:$H$102,8,FALSE),main!$K$18:$O$18,0))))),1,0)</f>
        <v>0</v>
      </c>
      <c r="P90">
        <f>IF((AND(VLOOKUP(P$1,main!$A$3:$H$102,5,FALSE)-VLOOKUP($A90,main!$A$3:$H$102,6,FALSE)&gt;=(VLOOKUP(VLOOKUP(P$1,main!$A$3:$H$102,8,FALSE),main!$K$26:$M$29,2,FALSE)+VLOOKUP(VLOOKUP(P$1,main!$A$3:$H$102,7,FALSE),main!$K$19:$O$22,MATCH(VLOOKUP($A90,main!$A$3:$H$102,8,FALSE),main!$K$18:$O$18,0))))),1,0)</f>
        <v>0</v>
      </c>
      <c r="Q90">
        <f>IF((AND(VLOOKUP(Q$1,main!$A$3:$H$102,5,FALSE)-VLOOKUP($A90,main!$A$3:$H$102,6,FALSE)&gt;=(VLOOKUP(VLOOKUP(Q$1,main!$A$3:$H$102,8,FALSE),main!$K$26:$M$29,2,FALSE)+VLOOKUP(VLOOKUP(Q$1,main!$A$3:$H$102,7,FALSE),main!$K$19:$O$22,MATCH(VLOOKUP($A90,main!$A$3:$H$102,8,FALSE),main!$K$18:$O$18,0))))),1,0)</f>
        <v>0</v>
      </c>
      <c r="R90">
        <f>IF((AND(VLOOKUP(R$1,main!$A$3:$H$102,5,FALSE)-VLOOKUP($A90,main!$A$3:$H$102,6,FALSE)&gt;=(VLOOKUP(VLOOKUP(R$1,main!$A$3:$H$102,8,FALSE),main!$K$26:$M$29,2,FALSE)+VLOOKUP(VLOOKUP(R$1,main!$A$3:$H$102,7,FALSE),main!$K$19:$O$22,MATCH(VLOOKUP($A90,main!$A$3:$H$102,8,FALSE),main!$K$18:$O$18,0))))),1,0)</f>
        <v>0</v>
      </c>
      <c r="S90">
        <f>IF((AND(VLOOKUP(S$1,main!$A$3:$H$102,5,FALSE)-VLOOKUP($A90,main!$A$3:$H$102,6,FALSE)&gt;=(VLOOKUP(VLOOKUP(S$1,main!$A$3:$H$102,8,FALSE),main!$K$26:$M$29,2,FALSE)+VLOOKUP(VLOOKUP(S$1,main!$A$3:$H$102,7,FALSE),main!$K$19:$O$22,MATCH(VLOOKUP($A90,main!$A$3:$H$102,8,FALSE),main!$K$18:$O$18,0))))),1,0)</f>
        <v>1</v>
      </c>
      <c r="T90">
        <f>IF((AND(VLOOKUP(T$1,main!$A$3:$H$102,5,FALSE)-VLOOKUP($A90,main!$A$3:$H$102,6,FALSE)&gt;=(VLOOKUP(VLOOKUP(T$1,main!$A$3:$H$102,8,FALSE),main!$K$26:$M$29,2,FALSE)+VLOOKUP(VLOOKUP(T$1,main!$A$3:$H$102,7,FALSE),main!$K$19:$O$22,MATCH(VLOOKUP($A90,main!$A$3:$H$102,8,FALSE),main!$K$18:$O$18,0))))),1,0)</f>
        <v>1</v>
      </c>
      <c r="U90">
        <f>IF((AND(VLOOKUP(U$1,main!$A$3:$H$102,5,FALSE)-VLOOKUP($A90,main!$A$3:$H$102,6,FALSE)&gt;=(VLOOKUP(VLOOKUP(U$1,main!$A$3:$H$102,8,FALSE),main!$K$26:$M$29,2,FALSE)+VLOOKUP(VLOOKUP(U$1,main!$A$3:$H$102,7,FALSE),main!$K$19:$O$22,MATCH(VLOOKUP($A90,main!$A$3:$H$102,8,FALSE),main!$K$18:$O$18,0))))),1,0)</f>
        <v>1</v>
      </c>
      <c r="V90">
        <f>IF((AND(VLOOKUP(V$1,main!$A$3:$H$102,5,FALSE)-VLOOKUP($A90,main!$A$3:$H$102,6,FALSE)&gt;=(VLOOKUP(VLOOKUP(V$1,main!$A$3:$H$102,8,FALSE),main!$K$26:$M$29,2,FALSE)+VLOOKUP(VLOOKUP(V$1,main!$A$3:$H$102,7,FALSE),main!$K$19:$O$22,MATCH(VLOOKUP($A90,main!$A$3:$H$102,8,FALSE),main!$K$18:$O$18,0))))),1,0)</f>
        <v>1</v>
      </c>
      <c r="W90">
        <f>IF((AND(VLOOKUP(W$1,main!$A$3:$H$102,5,FALSE)-VLOOKUP($A90,main!$A$3:$H$102,6,FALSE)&gt;=(VLOOKUP(VLOOKUP(W$1,main!$A$3:$H$102,8,FALSE),main!$K$26:$M$29,2,FALSE)+VLOOKUP(VLOOKUP(W$1,main!$A$3:$H$102,7,FALSE),main!$K$19:$O$22,MATCH(VLOOKUP($A90,main!$A$3:$H$102,8,FALSE),main!$K$18:$O$18,0))))),1,0)</f>
        <v>0</v>
      </c>
      <c r="X90">
        <f>IF((AND(VLOOKUP(X$1,main!$A$3:$H$102,5,FALSE)-VLOOKUP($A90,main!$A$3:$H$102,6,FALSE)&gt;=(VLOOKUP(VLOOKUP(X$1,main!$A$3:$H$102,8,FALSE),main!$K$26:$M$29,2,FALSE)+VLOOKUP(VLOOKUP(X$1,main!$A$3:$H$102,7,FALSE),main!$K$19:$O$22,MATCH(VLOOKUP($A90,main!$A$3:$H$102,8,FALSE),main!$K$18:$O$18,0))))),1,0)</f>
        <v>0</v>
      </c>
      <c r="Y90">
        <f>IF((AND(VLOOKUP(Y$1,main!$A$3:$H$102,5,FALSE)-VLOOKUP($A90,main!$A$3:$H$102,6,FALSE)&gt;=(VLOOKUP(VLOOKUP(Y$1,main!$A$3:$H$102,8,FALSE),main!$K$26:$M$29,2,FALSE)+VLOOKUP(VLOOKUP(Y$1,main!$A$3:$H$102,7,FALSE),main!$K$19:$O$22,MATCH(VLOOKUP($A90,main!$A$3:$H$102,8,FALSE),main!$K$18:$O$18,0))))),1,0)</f>
        <v>0</v>
      </c>
      <c r="Z90">
        <f>IF((AND(VLOOKUP(Z$1,main!$A$3:$H$102,5,FALSE)-VLOOKUP($A90,main!$A$3:$H$102,6,FALSE)&gt;=(VLOOKUP(VLOOKUP(Z$1,main!$A$3:$H$102,8,FALSE),main!$K$26:$M$29,2,FALSE)+VLOOKUP(VLOOKUP(Z$1,main!$A$3:$H$102,7,FALSE),main!$K$19:$O$22,MATCH(VLOOKUP($A90,main!$A$3:$H$102,8,FALSE),main!$K$18:$O$18,0))))),1,0)</f>
        <v>1</v>
      </c>
      <c r="AA90">
        <f>IF((AND(VLOOKUP(AA$1,main!$A$3:$H$102,5,FALSE)-VLOOKUP($A90,main!$A$3:$H$102,6,FALSE)&gt;=(VLOOKUP(VLOOKUP(AA$1,main!$A$3:$H$102,8,FALSE),main!$K$26:$M$29,2,FALSE)+VLOOKUP(VLOOKUP(AA$1,main!$A$3:$H$102,7,FALSE),main!$K$19:$O$22,MATCH(VLOOKUP($A90,main!$A$3:$H$102,8,FALSE),main!$K$18:$O$18,0))))),1,0)</f>
        <v>1</v>
      </c>
      <c r="AB90">
        <f>IF((AND(VLOOKUP(AB$1,main!$A$3:$H$102,5,FALSE)-VLOOKUP($A90,main!$A$3:$H$102,6,FALSE)&gt;=(VLOOKUP(VLOOKUP(AB$1,main!$A$3:$H$102,8,FALSE),main!$K$26:$M$29,2,FALSE)+VLOOKUP(VLOOKUP(AB$1,main!$A$3:$H$102,7,FALSE),main!$K$19:$O$22,MATCH(VLOOKUP($A90,main!$A$3:$H$102,8,FALSE),main!$K$18:$O$18,0))))),1,0)</f>
        <v>0</v>
      </c>
      <c r="AC90">
        <f>IF((AND(VLOOKUP(AC$1,main!$A$3:$H$102,5,FALSE)-VLOOKUP($A90,main!$A$3:$H$102,6,FALSE)&gt;=(VLOOKUP(VLOOKUP(AC$1,main!$A$3:$H$102,8,FALSE),main!$K$26:$M$29,2,FALSE)+VLOOKUP(VLOOKUP(AC$1,main!$A$3:$H$102,7,FALSE),main!$K$19:$O$22,MATCH(VLOOKUP($A90,main!$A$3:$H$102,8,FALSE),main!$K$18:$O$18,0))))),1,0)</f>
        <v>0</v>
      </c>
      <c r="AD90">
        <f>IF((AND(VLOOKUP(AD$1,main!$A$3:$H$102,5,FALSE)-VLOOKUP($A90,main!$A$3:$H$102,6,FALSE)&gt;=(VLOOKUP(VLOOKUP(AD$1,main!$A$3:$H$102,8,FALSE),main!$K$26:$M$29,2,FALSE)+VLOOKUP(VLOOKUP(AD$1,main!$A$3:$H$102,7,FALSE),main!$K$19:$O$22,MATCH(VLOOKUP($A90,main!$A$3:$H$102,8,FALSE),main!$K$18:$O$18,0))))),1,0)</f>
        <v>0</v>
      </c>
      <c r="AE90">
        <f>IF((AND(VLOOKUP(AE$1,main!$A$3:$H$102,5,FALSE)-VLOOKUP($A90,main!$A$3:$H$102,6,FALSE)&gt;=(VLOOKUP(VLOOKUP(AE$1,main!$A$3:$H$102,8,FALSE),main!$K$26:$M$29,2,FALSE)+VLOOKUP(VLOOKUP(AE$1,main!$A$3:$H$102,7,FALSE),main!$K$19:$O$22,MATCH(VLOOKUP($A90,main!$A$3:$H$102,8,FALSE),main!$K$18:$O$18,0))))),1,0)</f>
        <v>1</v>
      </c>
      <c r="AF90">
        <f>IF((AND(VLOOKUP(AF$1,main!$A$3:$H$102,5,FALSE)-VLOOKUP($A90,main!$A$3:$H$102,6,FALSE)&gt;=(VLOOKUP(VLOOKUP(AF$1,main!$A$3:$H$102,8,FALSE),main!$K$26:$M$29,2,FALSE)+VLOOKUP(VLOOKUP(AF$1,main!$A$3:$H$102,7,FALSE),main!$K$19:$O$22,MATCH(VLOOKUP($A90,main!$A$3:$H$102,8,FALSE),main!$K$18:$O$18,0))))),1,0)</f>
        <v>1</v>
      </c>
      <c r="AG90">
        <f>IF((AND(VLOOKUP(AG$1,main!$A$3:$H$102,5,FALSE)-VLOOKUP($A90,main!$A$3:$H$102,6,FALSE)&gt;=(VLOOKUP(VLOOKUP(AG$1,main!$A$3:$H$102,8,FALSE),main!$K$26:$M$29,2,FALSE)+VLOOKUP(VLOOKUP(AG$1,main!$A$3:$H$102,7,FALSE),main!$K$19:$O$22,MATCH(VLOOKUP($A90,main!$A$3:$H$102,8,FALSE),main!$K$18:$O$18,0))))),1,0)</f>
        <v>0</v>
      </c>
      <c r="AH90">
        <f>IF((AND(VLOOKUP(AH$1,main!$A$3:$H$102,5,FALSE)-VLOOKUP($A90,main!$A$3:$H$102,6,FALSE)&gt;=(VLOOKUP(VLOOKUP(AH$1,main!$A$3:$H$102,8,FALSE),main!$K$26:$M$29,2,FALSE)+VLOOKUP(VLOOKUP(AH$1,main!$A$3:$H$102,7,FALSE),main!$K$19:$O$22,MATCH(VLOOKUP($A90,main!$A$3:$H$102,8,FALSE),main!$K$18:$O$18,0))))),1,0)</f>
        <v>0</v>
      </c>
      <c r="AI90">
        <f>IF((AND(VLOOKUP(AI$1,main!$A$3:$H$102,5,FALSE)-VLOOKUP($A90,main!$A$3:$H$102,6,FALSE)&gt;=(VLOOKUP(VLOOKUP(AI$1,main!$A$3:$H$102,8,FALSE),main!$K$26:$M$29,2,FALSE)+VLOOKUP(VLOOKUP(AI$1,main!$A$3:$H$102,7,FALSE),main!$K$19:$O$22,MATCH(VLOOKUP($A90,main!$A$3:$H$102,8,FALSE),main!$K$18:$O$18,0))))),1,0)</f>
        <v>0</v>
      </c>
      <c r="AJ90">
        <f>IF((AND(VLOOKUP(AJ$1,main!$A$3:$H$102,5,FALSE)-VLOOKUP($A90,main!$A$3:$H$102,6,FALSE)&gt;=(VLOOKUP(VLOOKUP(AJ$1,main!$A$3:$H$102,8,FALSE),main!$K$26:$M$29,2,FALSE)+VLOOKUP(VLOOKUP(AJ$1,main!$A$3:$H$102,7,FALSE),main!$K$19:$O$22,MATCH(VLOOKUP($A90,main!$A$3:$H$102,8,FALSE),main!$K$18:$O$18,0))))),1,0)</f>
        <v>0</v>
      </c>
      <c r="AK90">
        <f>IF((AND(VLOOKUP(AK$1,main!$A$3:$H$102,5,FALSE)-VLOOKUP($A90,main!$A$3:$H$102,6,FALSE)&gt;=(VLOOKUP(VLOOKUP(AK$1,main!$A$3:$H$102,8,FALSE),main!$K$26:$M$29,2,FALSE)+VLOOKUP(VLOOKUP(AK$1,main!$A$3:$H$102,7,FALSE),main!$K$19:$O$22,MATCH(VLOOKUP($A90,main!$A$3:$H$102,8,FALSE),main!$K$18:$O$18,0))))),1,0)</f>
        <v>0</v>
      </c>
      <c r="AL90">
        <f>IF((AND(VLOOKUP(AL$1,main!$A$3:$H$102,5,FALSE)-VLOOKUP($A90,main!$A$3:$H$102,6,FALSE)&gt;=(VLOOKUP(VLOOKUP(AL$1,main!$A$3:$H$102,8,FALSE),main!$K$26:$M$29,2,FALSE)+VLOOKUP(VLOOKUP(AL$1,main!$A$3:$H$102,7,FALSE),main!$K$19:$O$22,MATCH(VLOOKUP($A90,main!$A$3:$H$102,8,FALSE),main!$K$18:$O$18,0))))),1,0)</f>
        <v>1</v>
      </c>
      <c r="AM90">
        <f>IF((AND(VLOOKUP(AM$1,main!$A$3:$H$102,5,FALSE)-VLOOKUP($A90,main!$A$3:$H$102,6,FALSE)&gt;=(VLOOKUP(VLOOKUP(AM$1,main!$A$3:$H$102,8,FALSE),main!$K$26:$M$29,2,FALSE)+VLOOKUP(VLOOKUP(AM$1,main!$A$3:$H$102,7,FALSE),main!$K$19:$O$22,MATCH(VLOOKUP($A90,main!$A$3:$H$102,8,FALSE),main!$K$18:$O$18,0))))),1,0)</f>
        <v>1</v>
      </c>
      <c r="AN90">
        <f>IF((AND(VLOOKUP(AN$1,main!$A$3:$H$102,5,FALSE)-VLOOKUP($A90,main!$A$3:$H$102,6,FALSE)&gt;=(VLOOKUP(VLOOKUP(AN$1,main!$A$3:$H$102,8,FALSE),main!$K$26:$M$29,2,FALSE)+VLOOKUP(VLOOKUP(AN$1,main!$A$3:$H$102,7,FALSE),main!$K$19:$O$22,MATCH(VLOOKUP($A90,main!$A$3:$H$102,8,FALSE),main!$K$18:$O$18,0))))),1,0)</f>
        <v>1</v>
      </c>
      <c r="AO90">
        <f>IF((AND(VLOOKUP(AO$1,main!$A$3:$H$102,5,FALSE)-VLOOKUP($A90,main!$A$3:$H$102,6,FALSE)&gt;=(VLOOKUP(VLOOKUP(AO$1,main!$A$3:$H$102,8,FALSE),main!$K$26:$M$29,2,FALSE)+VLOOKUP(VLOOKUP(AO$1,main!$A$3:$H$102,7,FALSE),main!$K$19:$O$22,MATCH(VLOOKUP($A90,main!$A$3:$H$102,8,FALSE),main!$K$18:$O$18,0))))),1,0)</f>
        <v>0</v>
      </c>
      <c r="AP90">
        <f>IF((AND(VLOOKUP(AP$1,main!$A$3:$H$102,5,FALSE)-VLOOKUP($A90,main!$A$3:$H$102,6,FALSE)&gt;=(VLOOKUP(VLOOKUP(AP$1,main!$A$3:$H$102,8,FALSE),main!$K$26:$M$29,2,FALSE)+VLOOKUP(VLOOKUP(AP$1,main!$A$3:$H$102,7,FALSE),main!$K$19:$O$22,MATCH(VLOOKUP($A90,main!$A$3:$H$102,8,FALSE),main!$K$18:$O$18,0))))),1,0)</f>
        <v>1</v>
      </c>
      <c r="AQ90">
        <f>IF((AND(VLOOKUP(AQ$1,main!$A$3:$H$102,5,FALSE)-VLOOKUP($A90,main!$A$3:$H$102,6,FALSE)&gt;=(VLOOKUP(VLOOKUP(AQ$1,main!$A$3:$H$102,8,FALSE),main!$K$26:$M$29,2,FALSE)+VLOOKUP(VLOOKUP(AQ$1,main!$A$3:$H$102,7,FALSE),main!$K$19:$O$22,MATCH(VLOOKUP($A90,main!$A$3:$H$102,8,FALSE),main!$K$18:$O$18,0))))),1,0)</f>
        <v>0</v>
      </c>
      <c r="AR90">
        <f>IF((AND(VLOOKUP(AR$1,main!$A$3:$H$102,5,FALSE)-VLOOKUP($A90,main!$A$3:$H$102,6,FALSE)&gt;=(VLOOKUP(VLOOKUP(AR$1,main!$A$3:$H$102,8,FALSE),main!$K$26:$M$29,2,FALSE)+VLOOKUP(VLOOKUP(AR$1,main!$A$3:$H$102,7,FALSE),main!$K$19:$O$22,MATCH(VLOOKUP($A90,main!$A$3:$H$102,8,FALSE),main!$K$18:$O$18,0))))),1,0)</f>
        <v>0</v>
      </c>
      <c r="AS90">
        <f>IF((AND(VLOOKUP(AS$1,main!$A$3:$H$102,5,FALSE)-VLOOKUP($A90,main!$A$3:$H$102,6,FALSE)&gt;=(VLOOKUP(VLOOKUP(AS$1,main!$A$3:$H$102,8,FALSE),main!$K$26:$M$29,2,FALSE)+VLOOKUP(VLOOKUP(AS$1,main!$A$3:$H$102,7,FALSE),main!$K$19:$O$22,MATCH(VLOOKUP($A90,main!$A$3:$H$102,8,FALSE),main!$K$18:$O$18,0))))),1,0)</f>
        <v>0</v>
      </c>
      <c r="AT90">
        <f>IF((AND(VLOOKUP(AT$1,main!$A$3:$H$102,5,FALSE)-VLOOKUP($A90,main!$A$3:$H$102,6,FALSE)&gt;=(VLOOKUP(VLOOKUP(AT$1,main!$A$3:$H$102,8,FALSE),main!$K$26:$M$29,2,FALSE)+VLOOKUP(VLOOKUP(AT$1,main!$A$3:$H$102,7,FALSE),main!$K$19:$O$22,MATCH(VLOOKUP($A90,main!$A$3:$H$102,8,FALSE),main!$K$18:$O$18,0))))),1,0)</f>
        <v>1</v>
      </c>
      <c r="AU90">
        <f>IF((AND(VLOOKUP(AU$1,main!$A$3:$H$102,5,FALSE)-VLOOKUP($A90,main!$A$3:$H$102,6,FALSE)&gt;=(VLOOKUP(VLOOKUP(AU$1,main!$A$3:$H$102,8,FALSE),main!$K$26:$M$29,2,FALSE)+VLOOKUP(VLOOKUP(AU$1,main!$A$3:$H$102,7,FALSE),main!$K$19:$O$22,MATCH(VLOOKUP($A90,main!$A$3:$H$102,8,FALSE),main!$K$18:$O$18,0))))),1,0)</f>
        <v>0</v>
      </c>
      <c r="AV90">
        <f>IF((AND(VLOOKUP(AV$1,main!$A$3:$H$102,5,FALSE)-VLOOKUP($A90,main!$A$3:$H$102,6,FALSE)&gt;=(VLOOKUP(VLOOKUP(AV$1,main!$A$3:$H$102,8,FALSE),main!$K$26:$M$29,2,FALSE)+VLOOKUP(VLOOKUP(AV$1,main!$A$3:$H$102,7,FALSE),main!$K$19:$O$22,MATCH(VLOOKUP($A90,main!$A$3:$H$102,8,FALSE),main!$K$18:$O$18,0))))),1,0)</f>
        <v>0</v>
      </c>
      <c r="AW90">
        <f>IF((AND(VLOOKUP(AW$1,main!$A$3:$H$102,5,FALSE)-VLOOKUP($A90,main!$A$3:$H$102,6,FALSE)&gt;=(VLOOKUP(VLOOKUP(AW$1,main!$A$3:$H$102,8,FALSE),main!$K$26:$M$29,2,FALSE)+VLOOKUP(VLOOKUP(AW$1,main!$A$3:$H$102,7,FALSE),main!$K$19:$O$22,MATCH(VLOOKUP($A90,main!$A$3:$H$102,8,FALSE),main!$K$18:$O$18,0))))),1,0)</f>
        <v>0</v>
      </c>
      <c r="AX90">
        <f>IF((AND(VLOOKUP(AX$1,main!$A$3:$H$102,5,FALSE)-VLOOKUP($A90,main!$A$3:$H$102,6,FALSE)&gt;=(VLOOKUP(VLOOKUP(AX$1,main!$A$3:$H$102,8,FALSE),main!$K$26:$M$29,2,FALSE)+VLOOKUP(VLOOKUP(AX$1,main!$A$3:$H$102,7,FALSE),main!$K$19:$O$22,MATCH(VLOOKUP($A90,main!$A$3:$H$102,8,FALSE),main!$K$18:$O$18,0))))),1,0)</f>
        <v>0</v>
      </c>
      <c r="AY90">
        <f>IF((AND(VLOOKUP(AY$1,main!$A$3:$H$102,5,FALSE)-VLOOKUP($A90,main!$A$3:$H$102,6,FALSE)&gt;=(VLOOKUP(VLOOKUP(AY$1,main!$A$3:$H$102,8,FALSE),main!$K$26:$M$29,2,FALSE)+VLOOKUP(VLOOKUP(AY$1,main!$A$3:$H$102,7,FALSE),main!$K$19:$O$22,MATCH(VLOOKUP($A90,main!$A$3:$H$102,8,FALSE),main!$K$18:$O$18,0))))),1,0)</f>
        <v>0</v>
      </c>
      <c r="AZ90">
        <f>IF((AND(VLOOKUP(AZ$1,main!$A$3:$H$102,5,FALSE)-VLOOKUP($A90,main!$A$3:$H$102,6,FALSE)&gt;=(VLOOKUP(VLOOKUP(AZ$1,main!$A$3:$H$102,8,FALSE),main!$K$26:$M$29,2,FALSE)+VLOOKUP(VLOOKUP(AZ$1,main!$A$3:$H$102,7,FALSE),main!$K$19:$O$22,MATCH(VLOOKUP($A90,main!$A$3:$H$102,8,FALSE),main!$K$18:$O$18,0))))),1,0)</f>
        <v>0</v>
      </c>
      <c r="BA90">
        <f>IF((AND(VLOOKUP(BA$1,main!$A$3:$H$102,5,FALSE)-VLOOKUP($A90,main!$A$3:$H$102,6,FALSE)&gt;=(VLOOKUP(VLOOKUP(BA$1,main!$A$3:$H$102,8,FALSE),main!$K$26:$M$29,2,FALSE)+VLOOKUP(VLOOKUP(BA$1,main!$A$3:$H$102,7,FALSE),main!$K$19:$O$22,MATCH(VLOOKUP($A90,main!$A$3:$H$102,8,FALSE),main!$K$18:$O$18,0))))),1,0)</f>
        <v>0</v>
      </c>
      <c r="BB90">
        <f>IF((AND(VLOOKUP(BB$1,main!$A$3:$H$102,5,FALSE)-VLOOKUP($A90,main!$A$3:$H$102,6,FALSE)&gt;=(VLOOKUP(VLOOKUP(BB$1,main!$A$3:$H$102,8,FALSE),main!$K$26:$M$29,2,FALSE)+VLOOKUP(VLOOKUP(BB$1,main!$A$3:$H$102,7,FALSE),main!$K$19:$O$22,MATCH(VLOOKUP($A90,main!$A$3:$H$102,8,FALSE),main!$K$18:$O$18,0))))),1,0)</f>
        <v>0</v>
      </c>
      <c r="BC90">
        <f>IF((AND(VLOOKUP(BC$1,main!$A$3:$H$102,5,FALSE)-VLOOKUP($A90,main!$A$3:$H$102,6,FALSE)&gt;=(VLOOKUP(VLOOKUP(BC$1,main!$A$3:$H$102,8,FALSE),main!$K$26:$M$29,2,FALSE)+VLOOKUP(VLOOKUP(BC$1,main!$A$3:$H$102,7,FALSE),main!$K$19:$O$22,MATCH(VLOOKUP($A90,main!$A$3:$H$102,8,FALSE),main!$K$18:$O$18,0))))),1,0)</f>
        <v>0</v>
      </c>
      <c r="BD90">
        <f>IF((AND(VLOOKUP(BD$1,main!$A$3:$H$102,5,FALSE)-VLOOKUP($A90,main!$A$3:$H$102,6,FALSE)&gt;=(VLOOKUP(VLOOKUP(BD$1,main!$A$3:$H$102,8,FALSE),main!$K$26:$M$29,2,FALSE)+VLOOKUP(VLOOKUP(BD$1,main!$A$3:$H$102,7,FALSE),main!$K$19:$O$22,MATCH(VLOOKUP($A90,main!$A$3:$H$102,8,FALSE),main!$K$18:$O$18,0))))),1,0)</f>
        <v>0</v>
      </c>
      <c r="BE90">
        <f>IF((AND(VLOOKUP(BE$1,main!$A$3:$H$102,5,FALSE)-VLOOKUP($A90,main!$A$3:$H$102,6,FALSE)&gt;=(VLOOKUP(VLOOKUP(BE$1,main!$A$3:$H$102,8,FALSE),main!$K$26:$M$29,2,FALSE)+VLOOKUP(VLOOKUP(BE$1,main!$A$3:$H$102,7,FALSE),main!$K$19:$O$22,MATCH(VLOOKUP($A90,main!$A$3:$H$102,8,FALSE),main!$K$18:$O$18,0))))),1,0)</f>
        <v>1</v>
      </c>
      <c r="BF90">
        <f>IF((AND(VLOOKUP(BF$1,main!$A$3:$H$102,5,FALSE)-VLOOKUP($A90,main!$A$3:$H$102,6,FALSE)&gt;=(VLOOKUP(VLOOKUP(BF$1,main!$A$3:$H$102,8,FALSE),main!$K$26:$M$29,2,FALSE)+VLOOKUP(VLOOKUP(BF$1,main!$A$3:$H$102,7,FALSE),main!$K$19:$O$22,MATCH(VLOOKUP($A90,main!$A$3:$H$102,8,FALSE),main!$K$18:$O$18,0))))),1,0)</f>
        <v>0</v>
      </c>
      <c r="BG90">
        <f>IF((AND(VLOOKUP(BG$1,main!$A$3:$H$102,5,FALSE)-VLOOKUP($A90,main!$A$3:$H$102,6,FALSE)&gt;=(VLOOKUP(VLOOKUP(BG$1,main!$A$3:$H$102,8,FALSE),main!$K$26:$M$29,2,FALSE)+VLOOKUP(VLOOKUP(BG$1,main!$A$3:$H$102,7,FALSE),main!$K$19:$O$22,MATCH(VLOOKUP($A90,main!$A$3:$H$102,8,FALSE),main!$K$18:$O$18,0))))),1,0)</f>
        <v>0</v>
      </c>
      <c r="BH90">
        <f>IF((AND(VLOOKUP(BH$1,main!$A$3:$H$102,5,FALSE)-VLOOKUP($A90,main!$A$3:$H$102,6,FALSE)&gt;=(VLOOKUP(VLOOKUP(BH$1,main!$A$3:$H$102,8,FALSE),main!$K$26:$M$29,2,FALSE)+VLOOKUP(VLOOKUP(BH$1,main!$A$3:$H$102,7,FALSE),main!$K$19:$O$22,MATCH(VLOOKUP($A90,main!$A$3:$H$102,8,FALSE),main!$K$18:$O$18,0))))),1,0)</f>
        <v>0</v>
      </c>
      <c r="BI90">
        <f>IF((AND(VLOOKUP(BI$1,main!$A$3:$H$102,5,FALSE)-VLOOKUP($A90,main!$A$3:$H$102,6,FALSE)&gt;=(VLOOKUP(VLOOKUP(BI$1,main!$A$3:$H$102,8,FALSE),main!$K$26:$M$29,2,FALSE)+VLOOKUP(VLOOKUP(BI$1,main!$A$3:$H$102,7,FALSE),main!$K$19:$O$22,MATCH(VLOOKUP($A90,main!$A$3:$H$102,8,FALSE),main!$K$18:$O$18,0))))),1,0)</f>
        <v>1</v>
      </c>
      <c r="BJ90">
        <f>IF((AND(VLOOKUP(BJ$1,main!$A$3:$H$102,5,FALSE)-VLOOKUP($A90,main!$A$3:$H$102,6,FALSE)&gt;=(VLOOKUP(VLOOKUP(BJ$1,main!$A$3:$H$102,8,FALSE),main!$K$26:$M$29,2,FALSE)+VLOOKUP(VLOOKUP(BJ$1,main!$A$3:$H$102,7,FALSE),main!$K$19:$O$22,MATCH(VLOOKUP($A90,main!$A$3:$H$102,8,FALSE),main!$K$18:$O$18,0))))),1,0)</f>
        <v>1</v>
      </c>
      <c r="BK90">
        <f>IF((AND(VLOOKUP(BK$1,main!$A$3:$H$102,5,FALSE)-VLOOKUP($A90,main!$A$3:$H$102,6,FALSE)&gt;=(VLOOKUP(VLOOKUP(BK$1,main!$A$3:$H$102,8,FALSE),main!$K$26:$M$29,2,FALSE)+VLOOKUP(VLOOKUP(BK$1,main!$A$3:$H$102,7,FALSE),main!$K$19:$O$22,MATCH(VLOOKUP($A90,main!$A$3:$H$102,8,FALSE),main!$K$18:$O$18,0))))),1,0)</f>
        <v>0</v>
      </c>
      <c r="BL90">
        <f>IF((AND(VLOOKUP(BL$1,main!$A$3:$H$102,5,FALSE)-VLOOKUP($A90,main!$A$3:$H$102,6,FALSE)&gt;=(VLOOKUP(VLOOKUP(BL$1,main!$A$3:$H$102,8,FALSE),main!$K$26:$M$29,2,FALSE)+VLOOKUP(VLOOKUP(BL$1,main!$A$3:$H$102,7,FALSE),main!$K$19:$O$22,MATCH(VLOOKUP($A90,main!$A$3:$H$102,8,FALSE),main!$K$18:$O$18,0))))),1,0)</f>
        <v>0</v>
      </c>
      <c r="BM90">
        <f>IF((AND(VLOOKUP(BM$1,main!$A$3:$H$102,5,FALSE)-VLOOKUP($A90,main!$A$3:$H$102,6,FALSE)&gt;=(VLOOKUP(VLOOKUP(BM$1,main!$A$3:$H$102,8,FALSE),main!$K$26:$M$29,2,FALSE)+VLOOKUP(VLOOKUP(BM$1,main!$A$3:$H$102,7,FALSE),main!$K$19:$O$22,MATCH(VLOOKUP($A90,main!$A$3:$H$102,8,FALSE),main!$K$18:$O$18,0))))),1,0)</f>
        <v>0</v>
      </c>
      <c r="BN90">
        <f>IF((AND(VLOOKUP(BN$1,main!$A$3:$H$102,5,FALSE)-VLOOKUP($A90,main!$A$3:$H$102,6,FALSE)&gt;=(VLOOKUP(VLOOKUP(BN$1,main!$A$3:$H$102,8,FALSE),main!$K$26:$M$29,2,FALSE)+VLOOKUP(VLOOKUP(BN$1,main!$A$3:$H$102,7,FALSE),main!$K$19:$O$22,MATCH(VLOOKUP($A90,main!$A$3:$H$102,8,FALSE),main!$K$18:$O$18,0))))),1,0)</f>
        <v>0</v>
      </c>
      <c r="BO90">
        <f>IF((AND(VLOOKUP(BO$1,main!$A$3:$H$102,5,FALSE)-VLOOKUP($A90,main!$A$3:$H$102,6,FALSE)&gt;=(VLOOKUP(VLOOKUP(BO$1,main!$A$3:$H$102,8,FALSE),main!$K$26:$M$29,2,FALSE)+VLOOKUP(VLOOKUP(BO$1,main!$A$3:$H$102,7,FALSE),main!$K$19:$O$22,MATCH(VLOOKUP($A90,main!$A$3:$H$102,8,FALSE),main!$K$18:$O$18,0))))),1,0)</f>
        <v>0</v>
      </c>
      <c r="BP90">
        <f>IF((AND(VLOOKUP(BP$1,main!$A$3:$H$102,5,FALSE)-VLOOKUP($A90,main!$A$3:$H$102,6,FALSE)&gt;=(VLOOKUP(VLOOKUP(BP$1,main!$A$3:$H$102,8,FALSE),main!$K$26:$M$29,2,FALSE)+VLOOKUP(VLOOKUP(BP$1,main!$A$3:$H$102,7,FALSE),main!$K$19:$O$22,MATCH(VLOOKUP($A90,main!$A$3:$H$102,8,FALSE),main!$K$18:$O$18,0))))),1,0)</f>
        <v>0</v>
      </c>
      <c r="BQ90">
        <f>IF((AND(VLOOKUP(BQ$1,main!$A$3:$H$102,5,FALSE)-VLOOKUP($A90,main!$A$3:$H$102,6,FALSE)&gt;=(VLOOKUP(VLOOKUP(BQ$1,main!$A$3:$H$102,8,FALSE),main!$K$26:$M$29,2,FALSE)+VLOOKUP(VLOOKUP(BQ$1,main!$A$3:$H$102,7,FALSE),main!$K$19:$O$22,MATCH(VLOOKUP($A90,main!$A$3:$H$102,8,FALSE),main!$K$18:$O$18,0))))),1,0)</f>
        <v>0</v>
      </c>
      <c r="BR90">
        <f>IF((AND(VLOOKUP(BR$1,main!$A$3:$H$102,5,FALSE)-VLOOKUP($A90,main!$A$3:$H$102,6,FALSE)&gt;=(VLOOKUP(VLOOKUP(BR$1,main!$A$3:$H$102,8,FALSE),main!$K$26:$M$29,2,FALSE)+VLOOKUP(VLOOKUP(BR$1,main!$A$3:$H$102,7,FALSE),main!$K$19:$O$22,MATCH(VLOOKUP($A90,main!$A$3:$H$102,8,FALSE),main!$K$18:$O$18,0))))),1,0)</f>
        <v>0</v>
      </c>
      <c r="BS90">
        <f>IF((AND(VLOOKUP(BS$1,main!$A$3:$H$102,5,FALSE)-VLOOKUP($A90,main!$A$3:$H$102,6,FALSE)&gt;=(VLOOKUP(VLOOKUP(BS$1,main!$A$3:$H$102,8,FALSE),main!$K$26:$M$29,2,FALSE)+VLOOKUP(VLOOKUP(BS$1,main!$A$3:$H$102,7,FALSE),main!$K$19:$O$22,MATCH(VLOOKUP($A90,main!$A$3:$H$102,8,FALSE),main!$K$18:$O$18,0))))),1,0)</f>
        <v>0</v>
      </c>
      <c r="BT90">
        <f>IF((AND(VLOOKUP(BT$1,main!$A$3:$H$102,5,FALSE)-VLOOKUP($A90,main!$A$3:$H$102,6,FALSE)&gt;=(VLOOKUP(VLOOKUP(BT$1,main!$A$3:$H$102,8,FALSE),main!$K$26:$M$29,2,FALSE)+VLOOKUP(VLOOKUP(BT$1,main!$A$3:$H$102,7,FALSE),main!$K$19:$O$22,MATCH(VLOOKUP($A90,main!$A$3:$H$102,8,FALSE),main!$K$18:$O$18,0))))),1,0)</f>
        <v>0</v>
      </c>
      <c r="BU90">
        <f>IF((AND(VLOOKUP(BU$1,main!$A$3:$H$102,5,FALSE)-VLOOKUP($A90,main!$A$3:$H$102,6,FALSE)&gt;=(VLOOKUP(VLOOKUP(BU$1,main!$A$3:$H$102,8,FALSE),main!$K$26:$M$29,2,FALSE)+VLOOKUP(VLOOKUP(BU$1,main!$A$3:$H$102,7,FALSE),main!$K$19:$O$22,MATCH(VLOOKUP($A90,main!$A$3:$H$102,8,FALSE),main!$K$18:$O$18,0))))),1,0)</f>
        <v>0</v>
      </c>
      <c r="BV90">
        <f>IF((AND(VLOOKUP(BV$1,main!$A$3:$H$102,5,FALSE)-VLOOKUP($A90,main!$A$3:$H$102,6,FALSE)&gt;=(VLOOKUP(VLOOKUP(BV$1,main!$A$3:$H$102,8,FALSE),main!$K$26:$M$29,2,FALSE)+VLOOKUP(VLOOKUP(BV$1,main!$A$3:$H$102,7,FALSE),main!$K$19:$O$22,MATCH(VLOOKUP($A90,main!$A$3:$H$102,8,FALSE),main!$K$18:$O$18,0))))),1,0)</f>
        <v>0</v>
      </c>
      <c r="BW90">
        <f>IF((AND(VLOOKUP(BW$1,main!$A$3:$H$102,5,FALSE)-VLOOKUP($A90,main!$A$3:$H$102,6,FALSE)&gt;=(VLOOKUP(VLOOKUP(BW$1,main!$A$3:$H$102,8,FALSE),main!$K$26:$M$29,2,FALSE)+VLOOKUP(VLOOKUP(BW$1,main!$A$3:$H$102,7,FALSE),main!$K$19:$O$22,MATCH(VLOOKUP($A90,main!$A$3:$H$102,8,FALSE),main!$K$18:$O$18,0))))),1,0)</f>
        <v>0</v>
      </c>
      <c r="BX90">
        <f>IF((AND(VLOOKUP(BX$1,main!$A$3:$H$102,5,FALSE)-VLOOKUP($A90,main!$A$3:$H$102,6,FALSE)&gt;=(VLOOKUP(VLOOKUP(BX$1,main!$A$3:$H$102,8,FALSE),main!$K$26:$M$29,2,FALSE)+VLOOKUP(VLOOKUP(BX$1,main!$A$3:$H$102,7,FALSE),main!$K$19:$O$22,MATCH(VLOOKUP($A90,main!$A$3:$H$102,8,FALSE),main!$K$18:$O$18,0))))),1,0)</f>
        <v>0</v>
      </c>
      <c r="BY90">
        <f>IF((AND(VLOOKUP(BY$1,main!$A$3:$H$102,5,FALSE)-VLOOKUP($A90,main!$A$3:$H$102,6,FALSE)&gt;=(VLOOKUP(VLOOKUP(BY$1,main!$A$3:$H$102,8,FALSE),main!$K$26:$M$29,2,FALSE)+VLOOKUP(VLOOKUP(BY$1,main!$A$3:$H$102,7,FALSE),main!$K$19:$O$22,MATCH(VLOOKUP($A90,main!$A$3:$H$102,8,FALSE),main!$K$18:$O$18,0))))),1,0)</f>
        <v>0</v>
      </c>
      <c r="BZ90">
        <f>IF((AND(VLOOKUP(BZ$1,main!$A$3:$H$102,5,FALSE)-VLOOKUP($A90,main!$A$3:$H$102,6,FALSE)&gt;=(VLOOKUP(VLOOKUP(BZ$1,main!$A$3:$H$102,8,FALSE),main!$K$26:$M$29,2,FALSE)+VLOOKUP(VLOOKUP(BZ$1,main!$A$3:$H$102,7,FALSE),main!$K$19:$O$22,MATCH(VLOOKUP($A90,main!$A$3:$H$102,8,FALSE),main!$K$18:$O$18,0))))),1,0)</f>
        <v>0</v>
      </c>
      <c r="CA90">
        <f>IF((AND(VLOOKUP(CA$1,main!$A$3:$H$102,5,FALSE)-VLOOKUP($A90,main!$A$3:$H$102,6,FALSE)&gt;=(VLOOKUP(VLOOKUP(CA$1,main!$A$3:$H$102,8,FALSE),main!$K$26:$M$29,2,FALSE)+VLOOKUP(VLOOKUP(CA$1,main!$A$3:$H$102,7,FALSE),main!$K$19:$O$22,MATCH(VLOOKUP($A90,main!$A$3:$H$102,8,FALSE),main!$K$18:$O$18,0))))),1,0)</f>
        <v>0</v>
      </c>
      <c r="CB90">
        <f>IF((AND(VLOOKUP(CB$1,main!$A$3:$H$102,5,FALSE)-VLOOKUP($A90,main!$A$3:$H$102,6,FALSE)&gt;=(VLOOKUP(VLOOKUP(CB$1,main!$A$3:$H$102,8,FALSE),main!$K$26:$M$29,2,FALSE)+VLOOKUP(VLOOKUP(CB$1,main!$A$3:$H$102,7,FALSE),main!$K$19:$O$22,MATCH(VLOOKUP($A90,main!$A$3:$H$102,8,FALSE),main!$K$18:$O$18,0))))),1,0)</f>
        <v>0</v>
      </c>
      <c r="CC90">
        <f>IF((AND(VLOOKUP(CC$1,main!$A$3:$H$102,5,FALSE)-VLOOKUP($A90,main!$A$3:$H$102,6,FALSE)&gt;=(VLOOKUP(VLOOKUP(CC$1,main!$A$3:$H$102,8,FALSE),main!$K$26:$M$29,2,FALSE)+VLOOKUP(VLOOKUP(CC$1,main!$A$3:$H$102,7,FALSE),main!$K$19:$O$22,MATCH(VLOOKUP($A90,main!$A$3:$H$102,8,FALSE),main!$K$18:$O$18,0))))),1,0)</f>
        <v>1</v>
      </c>
      <c r="CD90">
        <f>IF((AND(VLOOKUP(CD$1,main!$A$3:$H$102,5,FALSE)-VLOOKUP($A90,main!$A$3:$H$102,6,FALSE)&gt;=(VLOOKUP(VLOOKUP(CD$1,main!$A$3:$H$102,8,FALSE),main!$K$26:$M$29,2,FALSE)+VLOOKUP(VLOOKUP(CD$1,main!$A$3:$H$102,7,FALSE),main!$K$19:$O$22,MATCH(VLOOKUP($A90,main!$A$3:$H$102,8,FALSE),main!$K$18:$O$18,0))))),1,0)</f>
        <v>0</v>
      </c>
      <c r="CE90">
        <f>IF((AND(VLOOKUP(CE$1,main!$A$3:$H$102,5,FALSE)-VLOOKUP($A90,main!$A$3:$H$102,6,FALSE)&gt;=(VLOOKUP(VLOOKUP(CE$1,main!$A$3:$H$102,8,FALSE),main!$K$26:$M$29,2,FALSE)+VLOOKUP(VLOOKUP(CE$1,main!$A$3:$H$102,7,FALSE),main!$K$19:$O$22,MATCH(VLOOKUP($A90,main!$A$3:$H$102,8,FALSE),main!$K$18:$O$18,0))))),1,0)</f>
        <v>0</v>
      </c>
      <c r="CF90">
        <f>IF((AND(VLOOKUP(CF$1,main!$A$3:$H$102,5,FALSE)-VLOOKUP($A90,main!$A$3:$H$102,6,FALSE)&gt;=(VLOOKUP(VLOOKUP(CF$1,main!$A$3:$H$102,8,FALSE),main!$K$26:$M$29,2,FALSE)+VLOOKUP(VLOOKUP(CF$1,main!$A$3:$H$102,7,FALSE),main!$K$19:$O$22,MATCH(VLOOKUP($A90,main!$A$3:$H$102,8,FALSE),main!$K$18:$O$18,0))))),1,0)</f>
        <v>0</v>
      </c>
      <c r="CG90">
        <f>IF((AND(VLOOKUP(CG$1,main!$A$3:$H$102,5,FALSE)-VLOOKUP($A90,main!$A$3:$H$102,6,FALSE)&gt;=(VLOOKUP(VLOOKUP(CG$1,main!$A$3:$H$102,8,FALSE),main!$K$26:$M$29,2,FALSE)+VLOOKUP(VLOOKUP(CG$1,main!$A$3:$H$102,7,FALSE),main!$K$19:$O$22,MATCH(VLOOKUP($A90,main!$A$3:$H$102,8,FALSE),main!$K$18:$O$18,0))))),1,0)</f>
        <v>0</v>
      </c>
      <c r="CH90">
        <f>IF((AND(VLOOKUP(CH$1,main!$A$3:$H$102,5,FALSE)-VLOOKUP($A90,main!$A$3:$H$102,6,FALSE)&gt;=(VLOOKUP(VLOOKUP(CH$1,main!$A$3:$H$102,8,FALSE),main!$K$26:$M$29,2,FALSE)+VLOOKUP(VLOOKUP(CH$1,main!$A$3:$H$102,7,FALSE),main!$K$19:$O$22,MATCH(VLOOKUP($A90,main!$A$3:$H$102,8,FALSE),main!$K$18:$O$18,0))))),1,0)</f>
        <v>1</v>
      </c>
      <c r="CI90">
        <f>IF((AND(VLOOKUP(CI$1,main!$A$3:$H$102,5,FALSE)-VLOOKUP($A90,main!$A$3:$H$102,6,FALSE)&gt;=(VLOOKUP(VLOOKUP(CI$1,main!$A$3:$H$102,8,FALSE),main!$K$26:$M$29,2,FALSE)+VLOOKUP(VLOOKUP(CI$1,main!$A$3:$H$102,7,FALSE),main!$K$19:$O$22,MATCH(VLOOKUP($A90,main!$A$3:$H$102,8,FALSE),main!$K$18:$O$18,0))))),1,0)</f>
        <v>1</v>
      </c>
      <c r="CJ90">
        <f>IF((AND(VLOOKUP(CJ$1,main!$A$3:$H$102,5,FALSE)-VLOOKUP($A90,main!$A$3:$H$102,6,FALSE)&gt;=(VLOOKUP(VLOOKUP(CJ$1,main!$A$3:$H$102,8,FALSE),main!$K$26:$M$29,2,FALSE)+VLOOKUP(VLOOKUP(CJ$1,main!$A$3:$H$102,7,FALSE),main!$K$19:$O$22,MATCH(VLOOKUP($A90,main!$A$3:$H$102,8,FALSE),main!$K$18:$O$18,0))))),1,0)</f>
        <v>0</v>
      </c>
      <c r="CK90">
        <f>IF((AND(VLOOKUP(CK$1,main!$A$3:$H$102,5,FALSE)-VLOOKUP($A90,main!$A$3:$H$102,6,FALSE)&gt;=(VLOOKUP(VLOOKUP(CK$1,main!$A$3:$H$102,8,FALSE),main!$K$26:$M$29,2,FALSE)+VLOOKUP(VLOOKUP(CK$1,main!$A$3:$H$102,7,FALSE),main!$K$19:$O$22,MATCH(VLOOKUP($A90,main!$A$3:$H$102,8,FALSE),main!$K$18:$O$18,0))))),1,0)</f>
        <v>0</v>
      </c>
      <c r="CL90">
        <f>IF((AND(VLOOKUP(CL$1,main!$A$3:$H$102,5,FALSE)-VLOOKUP($A90,main!$A$3:$H$102,6,FALSE)&gt;=(VLOOKUP(VLOOKUP(CL$1,main!$A$3:$H$102,8,FALSE),main!$K$26:$M$29,2,FALSE)+VLOOKUP(VLOOKUP(CL$1,main!$A$3:$H$102,7,FALSE),main!$K$19:$O$22,MATCH(VLOOKUP($A90,main!$A$3:$H$102,8,FALSE),main!$K$18:$O$18,0))))),1,0)</f>
        <v>0</v>
      </c>
      <c r="CM90">
        <f>IF((AND(VLOOKUP(CM$1,main!$A$3:$H$102,5,FALSE)-VLOOKUP($A90,main!$A$3:$H$102,6,FALSE)&gt;=(VLOOKUP(VLOOKUP(CM$1,main!$A$3:$H$102,8,FALSE),main!$K$26:$M$29,2,FALSE)+VLOOKUP(VLOOKUP(CM$1,main!$A$3:$H$102,7,FALSE),main!$K$19:$O$22,MATCH(VLOOKUP($A90,main!$A$3:$H$102,8,FALSE),main!$K$18:$O$18,0))))),1,0)</f>
        <v>1</v>
      </c>
      <c r="CN90">
        <f>IF((AND(VLOOKUP(CN$1,main!$A$3:$H$102,5,FALSE)-VLOOKUP($A90,main!$A$3:$H$102,6,FALSE)&gt;=(VLOOKUP(VLOOKUP(CN$1,main!$A$3:$H$102,8,FALSE),main!$K$26:$M$29,2,FALSE)+VLOOKUP(VLOOKUP(CN$1,main!$A$3:$H$102,7,FALSE),main!$K$19:$O$22,MATCH(VLOOKUP($A90,main!$A$3:$H$102,8,FALSE),main!$K$18:$O$18,0))))),1,0)</f>
        <v>1</v>
      </c>
      <c r="CO90">
        <f>IF((AND(VLOOKUP(CO$1,main!$A$3:$H$102,5,FALSE)-VLOOKUP($A90,main!$A$3:$H$102,6,FALSE)&gt;=(VLOOKUP(VLOOKUP(CO$1,main!$A$3:$H$102,8,FALSE),main!$K$26:$M$29,2,FALSE)+VLOOKUP(VLOOKUP(CO$1,main!$A$3:$H$102,7,FALSE),main!$K$19:$O$22,MATCH(VLOOKUP($A90,main!$A$3:$H$102,8,FALSE),main!$K$18:$O$18,0))))),1,0)</f>
        <v>0</v>
      </c>
      <c r="CP90">
        <f>IF((AND(VLOOKUP(CP$1,main!$A$3:$H$102,5,FALSE)-VLOOKUP($A90,main!$A$3:$H$102,6,FALSE)&gt;=(VLOOKUP(VLOOKUP(CP$1,main!$A$3:$H$102,8,FALSE),main!$K$26:$M$29,2,FALSE)+VLOOKUP(VLOOKUP(CP$1,main!$A$3:$H$102,7,FALSE),main!$K$19:$O$22,MATCH(VLOOKUP($A90,main!$A$3:$H$102,8,FALSE),main!$K$18:$O$18,0))))),1,0)</f>
        <v>0</v>
      </c>
      <c r="CQ90">
        <f>IF((AND(VLOOKUP(CQ$1,main!$A$3:$H$102,5,FALSE)-VLOOKUP($A90,main!$A$3:$H$102,6,FALSE)&gt;=(VLOOKUP(VLOOKUP(CQ$1,main!$A$3:$H$102,8,FALSE),main!$K$26:$M$29,2,FALSE)+VLOOKUP(VLOOKUP(CQ$1,main!$A$3:$H$102,7,FALSE),main!$K$19:$O$22,MATCH(VLOOKUP($A90,main!$A$3:$H$102,8,FALSE),main!$K$18:$O$18,0))))),1,0)</f>
        <v>0</v>
      </c>
      <c r="CR90">
        <f>IF((AND(VLOOKUP(CR$1,main!$A$3:$H$102,5,FALSE)-VLOOKUP($A90,main!$A$3:$H$102,6,FALSE)&gt;=(VLOOKUP(VLOOKUP(CR$1,main!$A$3:$H$102,8,FALSE),main!$K$26:$M$29,2,FALSE)+VLOOKUP(VLOOKUP(CR$1,main!$A$3:$H$102,7,FALSE),main!$K$19:$O$22,MATCH(VLOOKUP($A90,main!$A$3:$H$102,8,FALSE),main!$K$18:$O$18,0))))),1,0)</f>
        <v>1</v>
      </c>
      <c r="CS90">
        <f>IF((AND(VLOOKUP(CS$1,main!$A$3:$H$102,5,FALSE)-VLOOKUP($A90,main!$A$3:$H$102,6,FALSE)&gt;=(VLOOKUP(VLOOKUP(CS$1,main!$A$3:$H$102,8,FALSE),main!$K$26:$M$29,2,FALSE)+VLOOKUP(VLOOKUP(CS$1,main!$A$3:$H$102,7,FALSE),main!$K$19:$O$22,MATCH(VLOOKUP($A90,main!$A$3:$H$102,8,FALSE),main!$K$18:$O$18,0))))),1,0)</f>
        <v>1</v>
      </c>
      <c r="CT90">
        <f>IF((AND(VLOOKUP(CT$1,main!$A$3:$H$102,5,FALSE)-VLOOKUP($A90,main!$A$3:$H$102,6,FALSE)&gt;=(VLOOKUP(VLOOKUP(CT$1,main!$A$3:$H$102,8,FALSE),main!$K$26:$M$29,2,FALSE)+VLOOKUP(VLOOKUP(CT$1,main!$A$3:$H$102,7,FALSE),main!$K$19:$O$22,MATCH(VLOOKUP($A90,main!$A$3:$H$102,8,FALSE),main!$K$18:$O$18,0))))),1,0)</f>
        <v>0</v>
      </c>
      <c r="CU90">
        <f>IF((AND(VLOOKUP(CU$1,main!$A$3:$H$102,5,FALSE)-VLOOKUP($A90,main!$A$3:$H$102,6,FALSE)&gt;=(VLOOKUP(VLOOKUP(CU$1,main!$A$3:$H$102,8,FALSE),main!$K$26:$M$29,2,FALSE)+VLOOKUP(VLOOKUP(CU$1,main!$A$3:$H$102,7,FALSE),main!$K$19:$O$22,MATCH(VLOOKUP($A90,main!$A$3:$H$102,8,FALSE),main!$K$18:$O$18,0))))),1,0)</f>
        <v>0</v>
      </c>
      <c r="CV90">
        <f>IF((AND(VLOOKUP(CV$1,main!$A$3:$H$102,5,FALSE)-VLOOKUP($A90,main!$A$3:$H$102,6,FALSE)&gt;=(VLOOKUP(VLOOKUP(CV$1,main!$A$3:$H$102,8,FALSE),main!$K$26:$M$29,2,FALSE)+VLOOKUP(VLOOKUP(CV$1,main!$A$3:$H$102,7,FALSE),main!$K$19:$O$22,MATCH(VLOOKUP($A90,main!$A$3:$H$102,8,FALSE),main!$K$18:$O$18,0))))),1,0)</f>
        <v>0</v>
      </c>
      <c r="CW90">
        <f>IF((AND(VLOOKUP(CW$1,main!$A$3:$H$102,5,FALSE)-VLOOKUP($A90,main!$A$3:$H$102,6,FALSE)&gt;=(VLOOKUP(VLOOKUP(CW$1,main!$A$3:$H$102,8,FALSE),main!$K$26:$M$29,2,FALSE)+VLOOKUP(VLOOKUP(CW$1,main!$A$3:$H$102,7,FALSE),main!$K$19:$O$22,MATCH(VLOOKUP($A90,main!$A$3:$H$102,8,FALSE),main!$K$18:$O$18,0))))),1,0)</f>
        <v>1</v>
      </c>
      <c r="CX90">
        <f>IF((AND(VLOOKUP(CX$1,main!$A$3:$H$102,5,FALSE)-VLOOKUP($A90,main!$A$3:$H$102,6,FALSE)&gt;=(VLOOKUP(VLOOKUP(CX$1,main!$A$3:$H$102,8,FALSE),main!$K$26:$M$29,2,FALSE)+VLOOKUP(VLOOKUP(CX$1,main!$A$3:$H$102,7,FALSE),main!$K$19:$O$22,MATCH(VLOOKUP($A90,main!$A$3:$H$102,8,FALSE),main!$K$18:$O$18,0))))),1,0)</f>
        <v>1</v>
      </c>
    </row>
    <row r="91" spans="1:102" x14ac:dyDescent="0.25">
      <c r="A91" s="1">
        <v>89</v>
      </c>
      <c r="B91">
        <v>1</v>
      </c>
      <c r="C91">
        <f>IF((AND(VLOOKUP(C$1,main!$A$3:$H$102,5,FALSE)-VLOOKUP($A91,main!$A$3:$H$102,6,FALSE)&gt;=(VLOOKUP(VLOOKUP(C$1,main!$A$3:$H$102,8,FALSE),main!$K$26:$M$29,2,FALSE)+VLOOKUP(VLOOKUP(C$1,main!$A$3:$H$102,7,FALSE),main!$K$19:$O$22,MATCH(VLOOKUP($A91,main!$A$3:$H$102,8,FALSE),main!$K$18:$O$18,0))))),1,0)</f>
        <v>0</v>
      </c>
      <c r="D91">
        <f>IF((AND(VLOOKUP(D$1,main!$A$3:$H$102,5,FALSE)-VLOOKUP($A91,main!$A$3:$H$102,6,FALSE)&gt;=(VLOOKUP(VLOOKUP(D$1,main!$A$3:$H$102,8,FALSE),main!$K$26:$M$29,2,FALSE)+VLOOKUP(VLOOKUP(D$1,main!$A$3:$H$102,7,FALSE),main!$K$19:$O$22,MATCH(VLOOKUP($A91,main!$A$3:$H$102,8,FALSE),main!$K$18:$O$18,0))))),1,0)</f>
        <v>0</v>
      </c>
      <c r="E91">
        <f>IF((AND(VLOOKUP(E$1,main!$A$3:$H$102,5,FALSE)-VLOOKUP($A91,main!$A$3:$H$102,6,FALSE)&gt;=(VLOOKUP(VLOOKUP(E$1,main!$A$3:$H$102,8,FALSE),main!$K$26:$M$29,2,FALSE)+VLOOKUP(VLOOKUP(E$1,main!$A$3:$H$102,7,FALSE),main!$K$19:$O$22,MATCH(VLOOKUP($A91,main!$A$3:$H$102,8,FALSE),main!$K$18:$O$18,0))))),1,0)</f>
        <v>0</v>
      </c>
      <c r="F91">
        <f>IF((AND(VLOOKUP(F$1,main!$A$3:$H$102,5,FALSE)-VLOOKUP($A91,main!$A$3:$H$102,6,FALSE)&gt;=(VLOOKUP(VLOOKUP(F$1,main!$A$3:$H$102,8,FALSE),main!$K$26:$M$29,2,FALSE)+VLOOKUP(VLOOKUP(F$1,main!$A$3:$H$102,7,FALSE),main!$K$19:$O$22,MATCH(VLOOKUP($A91,main!$A$3:$H$102,8,FALSE),main!$K$18:$O$18,0))))),1,0)</f>
        <v>0</v>
      </c>
      <c r="G91">
        <f>IF((AND(VLOOKUP(G$1,main!$A$3:$H$102,5,FALSE)-VLOOKUP($A91,main!$A$3:$H$102,6,FALSE)&gt;=(VLOOKUP(VLOOKUP(G$1,main!$A$3:$H$102,8,FALSE),main!$K$26:$M$29,2,FALSE)+VLOOKUP(VLOOKUP(G$1,main!$A$3:$H$102,7,FALSE),main!$K$19:$O$22,MATCH(VLOOKUP($A91,main!$A$3:$H$102,8,FALSE),main!$K$18:$O$18,0))))),1,0)</f>
        <v>0</v>
      </c>
      <c r="H91">
        <f>IF((AND(VLOOKUP(H$1,main!$A$3:$H$102,5,FALSE)-VLOOKUP($A91,main!$A$3:$H$102,6,FALSE)&gt;=(VLOOKUP(VLOOKUP(H$1,main!$A$3:$H$102,8,FALSE),main!$K$26:$M$29,2,FALSE)+VLOOKUP(VLOOKUP(H$1,main!$A$3:$H$102,7,FALSE),main!$K$19:$O$22,MATCH(VLOOKUP($A91,main!$A$3:$H$102,8,FALSE),main!$K$18:$O$18,0))))),1,0)</f>
        <v>0</v>
      </c>
      <c r="I91">
        <f>IF((AND(VLOOKUP(I$1,main!$A$3:$H$102,5,FALSE)-VLOOKUP($A91,main!$A$3:$H$102,6,FALSE)&gt;=(VLOOKUP(VLOOKUP(I$1,main!$A$3:$H$102,8,FALSE),main!$K$26:$M$29,2,FALSE)+VLOOKUP(VLOOKUP(I$1,main!$A$3:$H$102,7,FALSE),main!$K$19:$O$22,MATCH(VLOOKUP($A91,main!$A$3:$H$102,8,FALSE),main!$K$18:$O$18,0))))),1,0)</f>
        <v>0</v>
      </c>
      <c r="J91">
        <f>IF((AND(VLOOKUP(J$1,main!$A$3:$H$102,5,FALSE)-VLOOKUP($A91,main!$A$3:$H$102,6,FALSE)&gt;=(VLOOKUP(VLOOKUP(J$1,main!$A$3:$H$102,8,FALSE),main!$K$26:$M$29,2,FALSE)+VLOOKUP(VLOOKUP(J$1,main!$A$3:$H$102,7,FALSE),main!$K$19:$O$22,MATCH(VLOOKUP($A91,main!$A$3:$H$102,8,FALSE),main!$K$18:$O$18,0))))),1,0)</f>
        <v>0</v>
      </c>
      <c r="K91">
        <f>IF((AND(VLOOKUP(K$1,main!$A$3:$H$102,5,FALSE)-VLOOKUP($A91,main!$A$3:$H$102,6,FALSE)&gt;=(VLOOKUP(VLOOKUP(K$1,main!$A$3:$H$102,8,FALSE),main!$K$26:$M$29,2,FALSE)+VLOOKUP(VLOOKUP(K$1,main!$A$3:$H$102,7,FALSE),main!$K$19:$O$22,MATCH(VLOOKUP($A91,main!$A$3:$H$102,8,FALSE),main!$K$18:$O$18,0))))),1,0)</f>
        <v>1</v>
      </c>
      <c r="L91">
        <f>IF((AND(VLOOKUP(L$1,main!$A$3:$H$102,5,FALSE)-VLOOKUP($A91,main!$A$3:$H$102,6,FALSE)&gt;=(VLOOKUP(VLOOKUP(L$1,main!$A$3:$H$102,8,FALSE),main!$K$26:$M$29,2,FALSE)+VLOOKUP(VLOOKUP(L$1,main!$A$3:$H$102,7,FALSE),main!$K$19:$O$22,MATCH(VLOOKUP($A91,main!$A$3:$H$102,8,FALSE),main!$K$18:$O$18,0))))),1,0)</f>
        <v>1</v>
      </c>
      <c r="M91">
        <f>IF((AND(VLOOKUP(M$1,main!$A$3:$H$102,5,FALSE)-VLOOKUP($A91,main!$A$3:$H$102,6,FALSE)&gt;=(VLOOKUP(VLOOKUP(M$1,main!$A$3:$H$102,8,FALSE),main!$K$26:$M$29,2,FALSE)+VLOOKUP(VLOOKUP(M$1,main!$A$3:$H$102,7,FALSE),main!$K$19:$O$22,MATCH(VLOOKUP($A91,main!$A$3:$H$102,8,FALSE),main!$K$18:$O$18,0))))),1,0)</f>
        <v>0</v>
      </c>
      <c r="N91">
        <f>IF((AND(VLOOKUP(N$1,main!$A$3:$H$102,5,FALSE)-VLOOKUP($A91,main!$A$3:$H$102,6,FALSE)&gt;=(VLOOKUP(VLOOKUP(N$1,main!$A$3:$H$102,8,FALSE),main!$K$26:$M$29,2,FALSE)+VLOOKUP(VLOOKUP(N$1,main!$A$3:$H$102,7,FALSE),main!$K$19:$O$22,MATCH(VLOOKUP($A91,main!$A$3:$H$102,8,FALSE),main!$K$18:$O$18,0))))),1,0)</f>
        <v>0</v>
      </c>
      <c r="O91">
        <f>IF((AND(VLOOKUP(O$1,main!$A$3:$H$102,5,FALSE)-VLOOKUP($A91,main!$A$3:$H$102,6,FALSE)&gt;=(VLOOKUP(VLOOKUP(O$1,main!$A$3:$H$102,8,FALSE),main!$K$26:$M$29,2,FALSE)+VLOOKUP(VLOOKUP(O$1,main!$A$3:$H$102,7,FALSE),main!$K$19:$O$22,MATCH(VLOOKUP($A91,main!$A$3:$H$102,8,FALSE),main!$K$18:$O$18,0))))),1,0)</f>
        <v>0</v>
      </c>
      <c r="P91">
        <f>IF((AND(VLOOKUP(P$1,main!$A$3:$H$102,5,FALSE)-VLOOKUP($A91,main!$A$3:$H$102,6,FALSE)&gt;=(VLOOKUP(VLOOKUP(P$1,main!$A$3:$H$102,8,FALSE),main!$K$26:$M$29,2,FALSE)+VLOOKUP(VLOOKUP(P$1,main!$A$3:$H$102,7,FALSE),main!$K$19:$O$22,MATCH(VLOOKUP($A91,main!$A$3:$H$102,8,FALSE),main!$K$18:$O$18,0))))),1,0)</f>
        <v>0</v>
      </c>
      <c r="Q91">
        <f>IF((AND(VLOOKUP(Q$1,main!$A$3:$H$102,5,FALSE)-VLOOKUP($A91,main!$A$3:$H$102,6,FALSE)&gt;=(VLOOKUP(VLOOKUP(Q$1,main!$A$3:$H$102,8,FALSE),main!$K$26:$M$29,2,FALSE)+VLOOKUP(VLOOKUP(Q$1,main!$A$3:$H$102,7,FALSE),main!$K$19:$O$22,MATCH(VLOOKUP($A91,main!$A$3:$H$102,8,FALSE),main!$K$18:$O$18,0))))),1,0)</f>
        <v>0</v>
      </c>
      <c r="R91">
        <f>IF((AND(VLOOKUP(R$1,main!$A$3:$H$102,5,FALSE)-VLOOKUP($A91,main!$A$3:$H$102,6,FALSE)&gt;=(VLOOKUP(VLOOKUP(R$1,main!$A$3:$H$102,8,FALSE),main!$K$26:$M$29,2,FALSE)+VLOOKUP(VLOOKUP(R$1,main!$A$3:$H$102,7,FALSE),main!$K$19:$O$22,MATCH(VLOOKUP($A91,main!$A$3:$H$102,8,FALSE),main!$K$18:$O$18,0))))),1,0)</f>
        <v>0</v>
      </c>
      <c r="S91">
        <f>IF((AND(VLOOKUP(S$1,main!$A$3:$H$102,5,FALSE)-VLOOKUP($A91,main!$A$3:$H$102,6,FALSE)&gt;=(VLOOKUP(VLOOKUP(S$1,main!$A$3:$H$102,8,FALSE),main!$K$26:$M$29,2,FALSE)+VLOOKUP(VLOOKUP(S$1,main!$A$3:$H$102,7,FALSE),main!$K$19:$O$22,MATCH(VLOOKUP($A91,main!$A$3:$H$102,8,FALSE),main!$K$18:$O$18,0))))),1,0)</f>
        <v>0</v>
      </c>
      <c r="T91">
        <f>IF((AND(VLOOKUP(T$1,main!$A$3:$H$102,5,FALSE)-VLOOKUP($A91,main!$A$3:$H$102,6,FALSE)&gt;=(VLOOKUP(VLOOKUP(T$1,main!$A$3:$H$102,8,FALSE),main!$K$26:$M$29,2,FALSE)+VLOOKUP(VLOOKUP(T$1,main!$A$3:$H$102,7,FALSE),main!$K$19:$O$22,MATCH(VLOOKUP($A91,main!$A$3:$H$102,8,FALSE),main!$K$18:$O$18,0))))),1,0)</f>
        <v>0</v>
      </c>
      <c r="U91">
        <f>IF((AND(VLOOKUP(U$1,main!$A$3:$H$102,5,FALSE)-VLOOKUP($A91,main!$A$3:$H$102,6,FALSE)&gt;=(VLOOKUP(VLOOKUP(U$1,main!$A$3:$H$102,8,FALSE),main!$K$26:$M$29,2,FALSE)+VLOOKUP(VLOOKUP(U$1,main!$A$3:$H$102,7,FALSE),main!$K$19:$O$22,MATCH(VLOOKUP($A91,main!$A$3:$H$102,8,FALSE),main!$K$18:$O$18,0))))),1,0)</f>
        <v>1</v>
      </c>
      <c r="V91">
        <f>IF((AND(VLOOKUP(V$1,main!$A$3:$H$102,5,FALSE)-VLOOKUP($A91,main!$A$3:$H$102,6,FALSE)&gt;=(VLOOKUP(VLOOKUP(V$1,main!$A$3:$H$102,8,FALSE),main!$K$26:$M$29,2,FALSE)+VLOOKUP(VLOOKUP(V$1,main!$A$3:$H$102,7,FALSE),main!$K$19:$O$22,MATCH(VLOOKUP($A91,main!$A$3:$H$102,8,FALSE),main!$K$18:$O$18,0))))),1,0)</f>
        <v>1</v>
      </c>
      <c r="W91">
        <f>IF((AND(VLOOKUP(W$1,main!$A$3:$H$102,5,FALSE)-VLOOKUP($A91,main!$A$3:$H$102,6,FALSE)&gt;=(VLOOKUP(VLOOKUP(W$1,main!$A$3:$H$102,8,FALSE),main!$K$26:$M$29,2,FALSE)+VLOOKUP(VLOOKUP(W$1,main!$A$3:$H$102,7,FALSE),main!$K$19:$O$22,MATCH(VLOOKUP($A91,main!$A$3:$H$102,8,FALSE),main!$K$18:$O$18,0))))),1,0)</f>
        <v>0</v>
      </c>
      <c r="X91">
        <f>IF((AND(VLOOKUP(X$1,main!$A$3:$H$102,5,FALSE)-VLOOKUP($A91,main!$A$3:$H$102,6,FALSE)&gt;=(VLOOKUP(VLOOKUP(X$1,main!$A$3:$H$102,8,FALSE),main!$K$26:$M$29,2,FALSE)+VLOOKUP(VLOOKUP(X$1,main!$A$3:$H$102,7,FALSE),main!$K$19:$O$22,MATCH(VLOOKUP($A91,main!$A$3:$H$102,8,FALSE),main!$K$18:$O$18,0))))),1,0)</f>
        <v>0</v>
      </c>
      <c r="Y91">
        <f>IF((AND(VLOOKUP(Y$1,main!$A$3:$H$102,5,FALSE)-VLOOKUP($A91,main!$A$3:$H$102,6,FALSE)&gt;=(VLOOKUP(VLOOKUP(Y$1,main!$A$3:$H$102,8,FALSE),main!$K$26:$M$29,2,FALSE)+VLOOKUP(VLOOKUP(Y$1,main!$A$3:$H$102,7,FALSE),main!$K$19:$O$22,MATCH(VLOOKUP($A91,main!$A$3:$H$102,8,FALSE),main!$K$18:$O$18,0))))),1,0)</f>
        <v>0</v>
      </c>
      <c r="Z91">
        <f>IF((AND(VLOOKUP(Z$1,main!$A$3:$H$102,5,FALSE)-VLOOKUP($A91,main!$A$3:$H$102,6,FALSE)&gt;=(VLOOKUP(VLOOKUP(Z$1,main!$A$3:$H$102,8,FALSE),main!$K$26:$M$29,2,FALSE)+VLOOKUP(VLOOKUP(Z$1,main!$A$3:$H$102,7,FALSE),main!$K$19:$O$22,MATCH(VLOOKUP($A91,main!$A$3:$H$102,8,FALSE),main!$K$18:$O$18,0))))),1,0)</f>
        <v>0</v>
      </c>
      <c r="AA91">
        <f>IF((AND(VLOOKUP(AA$1,main!$A$3:$H$102,5,FALSE)-VLOOKUP($A91,main!$A$3:$H$102,6,FALSE)&gt;=(VLOOKUP(VLOOKUP(AA$1,main!$A$3:$H$102,8,FALSE),main!$K$26:$M$29,2,FALSE)+VLOOKUP(VLOOKUP(AA$1,main!$A$3:$H$102,7,FALSE),main!$K$19:$O$22,MATCH(VLOOKUP($A91,main!$A$3:$H$102,8,FALSE),main!$K$18:$O$18,0))))),1,0)</f>
        <v>1</v>
      </c>
      <c r="AB91">
        <f>IF((AND(VLOOKUP(AB$1,main!$A$3:$H$102,5,FALSE)-VLOOKUP($A91,main!$A$3:$H$102,6,FALSE)&gt;=(VLOOKUP(VLOOKUP(AB$1,main!$A$3:$H$102,8,FALSE),main!$K$26:$M$29,2,FALSE)+VLOOKUP(VLOOKUP(AB$1,main!$A$3:$H$102,7,FALSE),main!$K$19:$O$22,MATCH(VLOOKUP($A91,main!$A$3:$H$102,8,FALSE),main!$K$18:$O$18,0))))),1,0)</f>
        <v>0</v>
      </c>
      <c r="AC91">
        <f>IF((AND(VLOOKUP(AC$1,main!$A$3:$H$102,5,FALSE)-VLOOKUP($A91,main!$A$3:$H$102,6,FALSE)&gt;=(VLOOKUP(VLOOKUP(AC$1,main!$A$3:$H$102,8,FALSE),main!$K$26:$M$29,2,FALSE)+VLOOKUP(VLOOKUP(AC$1,main!$A$3:$H$102,7,FALSE),main!$K$19:$O$22,MATCH(VLOOKUP($A91,main!$A$3:$H$102,8,FALSE),main!$K$18:$O$18,0))))),1,0)</f>
        <v>0</v>
      </c>
      <c r="AD91">
        <f>IF((AND(VLOOKUP(AD$1,main!$A$3:$H$102,5,FALSE)-VLOOKUP($A91,main!$A$3:$H$102,6,FALSE)&gt;=(VLOOKUP(VLOOKUP(AD$1,main!$A$3:$H$102,8,FALSE),main!$K$26:$M$29,2,FALSE)+VLOOKUP(VLOOKUP(AD$1,main!$A$3:$H$102,7,FALSE),main!$K$19:$O$22,MATCH(VLOOKUP($A91,main!$A$3:$H$102,8,FALSE),main!$K$18:$O$18,0))))),1,0)</f>
        <v>0</v>
      </c>
      <c r="AE91">
        <f>IF((AND(VLOOKUP(AE$1,main!$A$3:$H$102,5,FALSE)-VLOOKUP($A91,main!$A$3:$H$102,6,FALSE)&gt;=(VLOOKUP(VLOOKUP(AE$1,main!$A$3:$H$102,8,FALSE),main!$K$26:$M$29,2,FALSE)+VLOOKUP(VLOOKUP(AE$1,main!$A$3:$H$102,7,FALSE),main!$K$19:$O$22,MATCH(VLOOKUP($A91,main!$A$3:$H$102,8,FALSE),main!$K$18:$O$18,0))))),1,0)</f>
        <v>0</v>
      </c>
      <c r="AF91">
        <f>IF((AND(VLOOKUP(AF$1,main!$A$3:$H$102,5,FALSE)-VLOOKUP($A91,main!$A$3:$H$102,6,FALSE)&gt;=(VLOOKUP(VLOOKUP(AF$1,main!$A$3:$H$102,8,FALSE),main!$K$26:$M$29,2,FALSE)+VLOOKUP(VLOOKUP(AF$1,main!$A$3:$H$102,7,FALSE),main!$K$19:$O$22,MATCH(VLOOKUP($A91,main!$A$3:$H$102,8,FALSE),main!$K$18:$O$18,0))))),1,0)</f>
        <v>1</v>
      </c>
      <c r="AG91">
        <f>IF((AND(VLOOKUP(AG$1,main!$A$3:$H$102,5,FALSE)-VLOOKUP($A91,main!$A$3:$H$102,6,FALSE)&gt;=(VLOOKUP(VLOOKUP(AG$1,main!$A$3:$H$102,8,FALSE),main!$K$26:$M$29,2,FALSE)+VLOOKUP(VLOOKUP(AG$1,main!$A$3:$H$102,7,FALSE),main!$K$19:$O$22,MATCH(VLOOKUP($A91,main!$A$3:$H$102,8,FALSE),main!$K$18:$O$18,0))))),1,0)</f>
        <v>0</v>
      </c>
      <c r="AH91">
        <f>IF((AND(VLOOKUP(AH$1,main!$A$3:$H$102,5,FALSE)-VLOOKUP($A91,main!$A$3:$H$102,6,FALSE)&gt;=(VLOOKUP(VLOOKUP(AH$1,main!$A$3:$H$102,8,FALSE),main!$K$26:$M$29,2,FALSE)+VLOOKUP(VLOOKUP(AH$1,main!$A$3:$H$102,7,FALSE),main!$K$19:$O$22,MATCH(VLOOKUP($A91,main!$A$3:$H$102,8,FALSE),main!$K$18:$O$18,0))))),1,0)</f>
        <v>0</v>
      </c>
      <c r="AI91">
        <f>IF((AND(VLOOKUP(AI$1,main!$A$3:$H$102,5,FALSE)-VLOOKUP($A91,main!$A$3:$H$102,6,FALSE)&gt;=(VLOOKUP(VLOOKUP(AI$1,main!$A$3:$H$102,8,FALSE),main!$K$26:$M$29,2,FALSE)+VLOOKUP(VLOOKUP(AI$1,main!$A$3:$H$102,7,FALSE),main!$K$19:$O$22,MATCH(VLOOKUP($A91,main!$A$3:$H$102,8,FALSE),main!$K$18:$O$18,0))))),1,0)</f>
        <v>0</v>
      </c>
      <c r="AJ91">
        <f>IF((AND(VLOOKUP(AJ$1,main!$A$3:$H$102,5,FALSE)-VLOOKUP($A91,main!$A$3:$H$102,6,FALSE)&gt;=(VLOOKUP(VLOOKUP(AJ$1,main!$A$3:$H$102,8,FALSE),main!$K$26:$M$29,2,FALSE)+VLOOKUP(VLOOKUP(AJ$1,main!$A$3:$H$102,7,FALSE),main!$K$19:$O$22,MATCH(VLOOKUP($A91,main!$A$3:$H$102,8,FALSE),main!$K$18:$O$18,0))))),1,0)</f>
        <v>0</v>
      </c>
      <c r="AK91">
        <f>IF((AND(VLOOKUP(AK$1,main!$A$3:$H$102,5,FALSE)-VLOOKUP($A91,main!$A$3:$H$102,6,FALSE)&gt;=(VLOOKUP(VLOOKUP(AK$1,main!$A$3:$H$102,8,FALSE),main!$K$26:$M$29,2,FALSE)+VLOOKUP(VLOOKUP(AK$1,main!$A$3:$H$102,7,FALSE),main!$K$19:$O$22,MATCH(VLOOKUP($A91,main!$A$3:$H$102,8,FALSE),main!$K$18:$O$18,0))))),1,0)</f>
        <v>0</v>
      </c>
      <c r="AL91">
        <f>IF((AND(VLOOKUP(AL$1,main!$A$3:$H$102,5,FALSE)-VLOOKUP($A91,main!$A$3:$H$102,6,FALSE)&gt;=(VLOOKUP(VLOOKUP(AL$1,main!$A$3:$H$102,8,FALSE),main!$K$26:$M$29,2,FALSE)+VLOOKUP(VLOOKUP(AL$1,main!$A$3:$H$102,7,FALSE),main!$K$19:$O$22,MATCH(VLOOKUP($A91,main!$A$3:$H$102,8,FALSE),main!$K$18:$O$18,0))))),1,0)</f>
        <v>0</v>
      </c>
      <c r="AM91">
        <f>IF((AND(VLOOKUP(AM$1,main!$A$3:$H$102,5,FALSE)-VLOOKUP($A91,main!$A$3:$H$102,6,FALSE)&gt;=(VLOOKUP(VLOOKUP(AM$1,main!$A$3:$H$102,8,FALSE),main!$K$26:$M$29,2,FALSE)+VLOOKUP(VLOOKUP(AM$1,main!$A$3:$H$102,7,FALSE),main!$K$19:$O$22,MATCH(VLOOKUP($A91,main!$A$3:$H$102,8,FALSE),main!$K$18:$O$18,0))))),1,0)</f>
        <v>0</v>
      </c>
      <c r="AN91">
        <f>IF((AND(VLOOKUP(AN$1,main!$A$3:$H$102,5,FALSE)-VLOOKUP($A91,main!$A$3:$H$102,6,FALSE)&gt;=(VLOOKUP(VLOOKUP(AN$1,main!$A$3:$H$102,8,FALSE),main!$K$26:$M$29,2,FALSE)+VLOOKUP(VLOOKUP(AN$1,main!$A$3:$H$102,7,FALSE),main!$K$19:$O$22,MATCH(VLOOKUP($A91,main!$A$3:$H$102,8,FALSE),main!$K$18:$O$18,0))))),1,0)</f>
        <v>1</v>
      </c>
      <c r="AO91">
        <f>IF((AND(VLOOKUP(AO$1,main!$A$3:$H$102,5,FALSE)-VLOOKUP($A91,main!$A$3:$H$102,6,FALSE)&gt;=(VLOOKUP(VLOOKUP(AO$1,main!$A$3:$H$102,8,FALSE),main!$K$26:$M$29,2,FALSE)+VLOOKUP(VLOOKUP(AO$1,main!$A$3:$H$102,7,FALSE),main!$K$19:$O$22,MATCH(VLOOKUP($A91,main!$A$3:$H$102,8,FALSE),main!$K$18:$O$18,0))))),1,0)</f>
        <v>0</v>
      </c>
      <c r="AP91">
        <f>IF((AND(VLOOKUP(AP$1,main!$A$3:$H$102,5,FALSE)-VLOOKUP($A91,main!$A$3:$H$102,6,FALSE)&gt;=(VLOOKUP(VLOOKUP(AP$1,main!$A$3:$H$102,8,FALSE),main!$K$26:$M$29,2,FALSE)+VLOOKUP(VLOOKUP(AP$1,main!$A$3:$H$102,7,FALSE),main!$K$19:$O$22,MATCH(VLOOKUP($A91,main!$A$3:$H$102,8,FALSE),main!$K$18:$O$18,0))))),1,0)</f>
        <v>1</v>
      </c>
      <c r="AQ91">
        <f>IF((AND(VLOOKUP(AQ$1,main!$A$3:$H$102,5,FALSE)-VLOOKUP($A91,main!$A$3:$H$102,6,FALSE)&gt;=(VLOOKUP(VLOOKUP(AQ$1,main!$A$3:$H$102,8,FALSE),main!$K$26:$M$29,2,FALSE)+VLOOKUP(VLOOKUP(AQ$1,main!$A$3:$H$102,7,FALSE),main!$K$19:$O$22,MATCH(VLOOKUP($A91,main!$A$3:$H$102,8,FALSE),main!$K$18:$O$18,0))))),1,0)</f>
        <v>0</v>
      </c>
      <c r="AR91">
        <f>IF((AND(VLOOKUP(AR$1,main!$A$3:$H$102,5,FALSE)-VLOOKUP($A91,main!$A$3:$H$102,6,FALSE)&gt;=(VLOOKUP(VLOOKUP(AR$1,main!$A$3:$H$102,8,FALSE),main!$K$26:$M$29,2,FALSE)+VLOOKUP(VLOOKUP(AR$1,main!$A$3:$H$102,7,FALSE),main!$K$19:$O$22,MATCH(VLOOKUP($A91,main!$A$3:$H$102,8,FALSE),main!$K$18:$O$18,0))))),1,0)</f>
        <v>0</v>
      </c>
      <c r="AS91">
        <f>IF((AND(VLOOKUP(AS$1,main!$A$3:$H$102,5,FALSE)-VLOOKUP($A91,main!$A$3:$H$102,6,FALSE)&gt;=(VLOOKUP(VLOOKUP(AS$1,main!$A$3:$H$102,8,FALSE),main!$K$26:$M$29,2,FALSE)+VLOOKUP(VLOOKUP(AS$1,main!$A$3:$H$102,7,FALSE),main!$K$19:$O$22,MATCH(VLOOKUP($A91,main!$A$3:$H$102,8,FALSE),main!$K$18:$O$18,0))))),1,0)</f>
        <v>0</v>
      </c>
      <c r="AT91">
        <f>IF((AND(VLOOKUP(AT$1,main!$A$3:$H$102,5,FALSE)-VLOOKUP($A91,main!$A$3:$H$102,6,FALSE)&gt;=(VLOOKUP(VLOOKUP(AT$1,main!$A$3:$H$102,8,FALSE),main!$K$26:$M$29,2,FALSE)+VLOOKUP(VLOOKUP(AT$1,main!$A$3:$H$102,7,FALSE),main!$K$19:$O$22,MATCH(VLOOKUP($A91,main!$A$3:$H$102,8,FALSE),main!$K$18:$O$18,0))))),1,0)</f>
        <v>0</v>
      </c>
      <c r="AU91">
        <f>IF((AND(VLOOKUP(AU$1,main!$A$3:$H$102,5,FALSE)-VLOOKUP($A91,main!$A$3:$H$102,6,FALSE)&gt;=(VLOOKUP(VLOOKUP(AU$1,main!$A$3:$H$102,8,FALSE),main!$K$26:$M$29,2,FALSE)+VLOOKUP(VLOOKUP(AU$1,main!$A$3:$H$102,7,FALSE),main!$K$19:$O$22,MATCH(VLOOKUP($A91,main!$A$3:$H$102,8,FALSE),main!$K$18:$O$18,0))))),1,0)</f>
        <v>0</v>
      </c>
      <c r="AV91">
        <f>IF((AND(VLOOKUP(AV$1,main!$A$3:$H$102,5,FALSE)-VLOOKUP($A91,main!$A$3:$H$102,6,FALSE)&gt;=(VLOOKUP(VLOOKUP(AV$1,main!$A$3:$H$102,8,FALSE),main!$K$26:$M$29,2,FALSE)+VLOOKUP(VLOOKUP(AV$1,main!$A$3:$H$102,7,FALSE),main!$K$19:$O$22,MATCH(VLOOKUP($A91,main!$A$3:$H$102,8,FALSE),main!$K$18:$O$18,0))))),1,0)</f>
        <v>0</v>
      </c>
      <c r="AW91">
        <f>IF((AND(VLOOKUP(AW$1,main!$A$3:$H$102,5,FALSE)-VLOOKUP($A91,main!$A$3:$H$102,6,FALSE)&gt;=(VLOOKUP(VLOOKUP(AW$1,main!$A$3:$H$102,8,FALSE),main!$K$26:$M$29,2,FALSE)+VLOOKUP(VLOOKUP(AW$1,main!$A$3:$H$102,7,FALSE),main!$K$19:$O$22,MATCH(VLOOKUP($A91,main!$A$3:$H$102,8,FALSE),main!$K$18:$O$18,0))))),1,0)</f>
        <v>0</v>
      </c>
      <c r="AX91">
        <f>IF((AND(VLOOKUP(AX$1,main!$A$3:$H$102,5,FALSE)-VLOOKUP($A91,main!$A$3:$H$102,6,FALSE)&gt;=(VLOOKUP(VLOOKUP(AX$1,main!$A$3:$H$102,8,FALSE),main!$K$26:$M$29,2,FALSE)+VLOOKUP(VLOOKUP(AX$1,main!$A$3:$H$102,7,FALSE),main!$K$19:$O$22,MATCH(VLOOKUP($A91,main!$A$3:$H$102,8,FALSE),main!$K$18:$O$18,0))))),1,0)</f>
        <v>0</v>
      </c>
      <c r="AY91">
        <f>IF((AND(VLOOKUP(AY$1,main!$A$3:$H$102,5,FALSE)-VLOOKUP($A91,main!$A$3:$H$102,6,FALSE)&gt;=(VLOOKUP(VLOOKUP(AY$1,main!$A$3:$H$102,8,FALSE),main!$K$26:$M$29,2,FALSE)+VLOOKUP(VLOOKUP(AY$1,main!$A$3:$H$102,7,FALSE),main!$K$19:$O$22,MATCH(VLOOKUP($A91,main!$A$3:$H$102,8,FALSE),main!$K$18:$O$18,0))))),1,0)</f>
        <v>0</v>
      </c>
      <c r="AZ91">
        <f>IF((AND(VLOOKUP(AZ$1,main!$A$3:$H$102,5,FALSE)-VLOOKUP($A91,main!$A$3:$H$102,6,FALSE)&gt;=(VLOOKUP(VLOOKUP(AZ$1,main!$A$3:$H$102,8,FALSE),main!$K$26:$M$29,2,FALSE)+VLOOKUP(VLOOKUP(AZ$1,main!$A$3:$H$102,7,FALSE),main!$K$19:$O$22,MATCH(VLOOKUP($A91,main!$A$3:$H$102,8,FALSE),main!$K$18:$O$18,0))))),1,0)</f>
        <v>0</v>
      </c>
      <c r="BA91">
        <f>IF((AND(VLOOKUP(BA$1,main!$A$3:$H$102,5,FALSE)-VLOOKUP($A91,main!$A$3:$H$102,6,FALSE)&gt;=(VLOOKUP(VLOOKUP(BA$1,main!$A$3:$H$102,8,FALSE),main!$K$26:$M$29,2,FALSE)+VLOOKUP(VLOOKUP(BA$1,main!$A$3:$H$102,7,FALSE),main!$K$19:$O$22,MATCH(VLOOKUP($A91,main!$A$3:$H$102,8,FALSE),main!$K$18:$O$18,0))))),1,0)</f>
        <v>0</v>
      </c>
      <c r="BB91">
        <f>IF((AND(VLOOKUP(BB$1,main!$A$3:$H$102,5,FALSE)-VLOOKUP($A91,main!$A$3:$H$102,6,FALSE)&gt;=(VLOOKUP(VLOOKUP(BB$1,main!$A$3:$H$102,8,FALSE),main!$K$26:$M$29,2,FALSE)+VLOOKUP(VLOOKUP(BB$1,main!$A$3:$H$102,7,FALSE),main!$K$19:$O$22,MATCH(VLOOKUP($A91,main!$A$3:$H$102,8,FALSE),main!$K$18:$O$18,0))))),1,0)</f>
        <v>0</v>
      </c>
      <c r="BC91">
        <f>IF((AND(VLOOKUP(BC$1,main!$A$3:$H$102,5,FALSE)-VLOOKUP($A91,main!$A$3:$H$102,6,FALSE)&gt;=(VLOOKUP(VLOOKUP(BC$1,main!$A$3:$H$102,8,FALSE),main!$K$26:$M$29,2,FALSE)+VLOOKUP(VLOOKUP(BC$1,main!$A$3:$H$102,7,FALSE),main!$K$19:$O$22,MATCH(VLOOKUP($A91,main!$A$3:$H$102,8,FALSE),main!$K$18:$O$18,0))))),1,0)</f>
        <v>0</v>
      </c>
      <c r="BD91">
        <f>IF((AND(VLOOKUP(BD$1,main!$A$3:$H$102,5,FALSE)-VLOOKUP($A91,main!$A$3:$H$102,6,FALSE)&gt;=(VLOOKUP(VLOOKUP(BD$1,main!$A$3:$H$102,8,FALSE),main!$K$26:$M$29,2,FALSE)+VLOOKUP(VLOOKUP(BD$1,main!$A$3:$H$102,7,FALSE),main!$K$19:$O$22,MATCH(VLOOKUP($A91,main!$A$3:$H$102,8,FALSE),main!$K$18:$O$18,0))))),1,0)</f>
        <v>0</v>
      </c>
      <c r="BE91">
        <f>IF((AND(VLOOKUP(BE$1,main!$A$3:$H$102,5,FALSE)-VLOOKUP($A91,main!$A$3:$H$102,6,FALSE)&gt;=(VLOOKUP(VLOOKUP(BE$1,main!$A$3:$H$102,8,FALSE),main!$K$26:$M$29,2,FALSE)+VLOOKUP(VLOOKUP(BE$1,main!$A$3:$H$102,7,FALSE),main!$K$19:$O$22,MATCH(VLOOKUP($A91,main!$A$3:$H$102,8,FALSE),main!$K$18:$O$18,0))))),1,0)</f>
        <v>0</v>
      </c>
      <c r="BF91">
        <f>IF((AND(VLOOKUP(BF$1,main!$A$3:$H$102,5,FALSE)-VLOOKUP($A91,main!$A$3:$H$102,6,FALSE)&gt;=(VLOOKUP(VLOOKUP(BF$1,main!$A$3:$H$102,8,FALSE),main!$K$26:$M$29,2,FALSE)+VLOOKUP(VLOOKUP(BF$1,main!$A$3:$H$102,7,FALSE),main!$K$19:$O$22,MATCH(VLOOKUP($A91,main!$A$3:$H$102,8,FALSE),main!$K$18:$O$18,0))))),1,0)</f>
        <v>0</v>
      </c>
      <c r="BG91">
        <f>IF((AND(VLOOKUP(BG$1,main!$A$3:$H$102,5,FALSE)-VLOOKUP($A91,main!$A$3:$H$102,6,FALSE)&gt;=(VLOOKUP(VLOOKUP(BG$1,main!$A$3:$H$102,8,FALSE),main!$K$26:$M$29,2,FALSE)+VLOOKUP(VLOOKUP(BG$1,main!$A$3:$H$102,7,FALSE),main!$K$19:$O$22,MATCH(VLOOKUP($A91,main!$A$3:$H$102,8,FALSE),main!$K$18:$O$18,0))))),1,0)</f>
        <v>0</v>
      </c>
      <c r="BH91">
        <f>IF((AND(VLOOKUP(BH$1,main!$A$3:$H$102,5,FALSE)-VLOOKUP($A91,main!$A$3:$H$102,6,FALSE)&gt;=(VLOOKUP(VLOOKUP(BH$1,main!$A$3:$H$102,8,FALSE),main!$K$26:$M$29,2,FALSE)+VLOOKUP(VLOOKUP(BH$1,main!$A$3:$H$102,7,FALSE),main!$K$19:$O$22,MATCH(VLOOKUP($A91,main!$A$3:$H$102,8,FALSE),main!$K$18:$O$18,0))))),1,0)</f>
        <v>0</v>
      </c>
      <c r="BI91">
        <f>IF((AND(VLOOKUP(BI$1,main!$A$3:$H$102,5,FALSE)-VLOOKUP($A91,main!$A$3:$H$102,6,FALSE)&gt;=(VLOOKUP(VLOOKUP(BI$1,main!$A$3:$H$102,8,FALSE),main!$K$26:$M$29,2,FALSE)+VLOOKUP(VLOOKUP(BI$1,main!$A$3:$H$102,7,FALSE),main!$K$19:$O$22,MATCH(VLOOKUP($A91,main!$A$3:$H$102,8,FALSE),main!$K$18:$O$18,0))))),1,0)</f>
        <v>1</v>
      </c>
      <c r="BJ91">
        <f>IF((AND(VLOOKUP(BJ$1,main!$A$3:$H$102,5,FALSE)-VLOOKUP($A91,main!$A$3:$H$102,6,FALSE)&gt;=(VLOOKUP(VLOOKUP(BJ$1,main!$A$3:$H$102,8,FALSE),main!$K$26:$M$29,2,FALSE)+VLOOKUP(VLOOKUP(BJ$1,main!$A$3:$H$102,7,FALSE),main!$K$19:$O$22,MATCH(VLOOKUP($A91,main!$A$3:$H$102,8,FALSE),main!$K$18:$O$18,0))))),1,0)</f>
        <v>0</v>
      </c>
      <c r="BK91">
        <f>IF((AND(VLOOKUP(BK$1,main!$A$3:$H$102,5,FALSE)-VLOOKUP($A91,main!$A$3:$H$102,6,FALSE)&gt;=(VLOOKUP(VLOOKUP(BK$1,main!$A$3:$H$102,8,FALSE),main!$K$26:$M$29,2,FALSE)+VLOOKUP(VLOOKUP(BK$1,main!$A$3:$H$102,7,FALSE),main!$K$19:$O$22,MATCH(VLOOKUP($A91,main!$A$3:$H$102,8,FALSE),main!$K$18:$O$18,0))))),1,0)</f>
        <v>0</v>
      </c>
      <c r="BL91">
        <f>IF((AND(VLOOKUP(BL$1,main!$A$3:$H$102,5,FALSE)-VLOOKUP($A91,main!$A$3:$H$102,6,FALSE)&gt;=(VLOOKUP(VLOOKUP(BL$1,main!$A$3:$H$102,8,FALSE),main!$K$26:$M$29,2,FALSE)+VLOOKUP(VLOOKUP(BL$1,main!$A$3:$H$102,7,FALSE),main!$K$19:$O$22,MATCH(VLOOKUP($A91,main!$A$3:$H$102,8,FALSE),main!$K$18:$O$18,0))))),1,0)</f>
        <v>0</v>
      </c>
      <c r="BM91">
        <f>IF((AND(VLOOKUP(BM$1,main!$A$3:$H$102,5,FALSE)-VLOOKUP($A91,main!$A$3:$H$102,6,FALSE)&gt;=(VLOOKUP(VLOOKUP(BM$1,main!$A$3:$H$102,8,FALSE),main!$K$26:$M$29,2,FALSE)+VLOOKUP(VLOOKUP(BM$1,main!$A$3:$H$102,7,FALSE),main!$K$19:$O$22,MATCH(VLOOKUP($A91,main!$A$3:$H$102,8,FALSE),main!$K$18:$O$18,0))))),1,0)</f>
        <v>0</v>
      </c>
      <c r="BN91">
        <f>IF((AND(VLOOKUP(BN$1,main!$A$3:$H$102,5,FALSE)-VLOOKUP($A91,main!$A$3:$H$102,6,FALSE)&gt;=(VLOOKUP(VLOOKUP(BN$1,main!$A$3:$H$102,8,FALSE),main!$K$26:$M$29,2,FALSE)+VLOOKUP(VLOOKUP(BN$1,main!$A$3:$H$102,7,FALSE),main!$K$19:$O$22,MATCH(VLOOKUP($A91,main!$A$3:$H$102,8,FALSE),main!$K$18:$O$18,0))))),1,0)</f>
        <v>0</v>
      </c>
      <c r="BO91">
        <f>IF((AND(VLOOKUP(BO$1,main!$A$3:$H$102,5,FALSE)-VLOOKUP($A91,main!$A$3:$H$102,6,FALSE)&gt;=(VLOOKUP(VLOOKUP(BO$1,main!$A$3:$H$102,8,FALSE),main!$K$26:$M$29,2,FALSE)+VLOOKUP(VLOOKUP(BO$1,main!$A$3:$H$102,7,FALSE),main!$K$19:$O$22,MATCH(VLOOKUP($A91,main!$A$3:$H$102,8,FALSE),main!$K$18:$O$18,0))))),1,0)</f>
        <v>0</v>
      </c>
      <c r="BP91">
        <f>IF((AND(VLOOKUP(BP$1,main!$A$3:$H$102,5,FALSE)-VLOOKUP($A91,main!$A$3:$H$102,6,FALSE)&gt;=(VLOOKUP(VLOOKUP(BP$1,main!$A$3:$H$102,8,FALSE),main!$K$26:$M$29,2,FALSE)+VLOOKUP(VLOOKUP(BP$1,main!$A$3:$H$102,7,FALSE),main!$K$19:$O$22,MATCH(VLOOKUP($A91,main!$A$3:$H$102,8,FALSE),main!$K$18:$O$18,0))))),1,0)</f>
        <v>0</v>
      </c>
      <c r="BQ91">
        <f>IF((AND(VLOOKUP(BQ$1,main!$A$3:$H$102,5,FALSE)-VLOOKUP($A91,main!$A$3:$H$102,6,FALSE)&gt;=(VLOOKUP(VLOOKUP(BQ$1,main!$A$3:$H$102,8,FALSE),main!$K$26:$M$29,2,FALSE)+VLOOKUP(VLOOKUP(BQ$1,main!$A$3:$H$102,7,FALSE),main!$K$19:$O$22,MATCH(VLOOKUP($A91,main!$A$3:$H$102,8,FALSE),main!$K$18:$O$18,0))))),1,0)</f>
        <v>0</v>
      </c>
      <c r="BR91">
        <f>IF((AND(VLOOKUP(BR$1,main!$A$3:$H$102,5,FALSE)-VLOOKUP($A91,main!$A$3:$H$102,6,FALSE)&gt;=(VLOOKUP(VLOOKUP(BR$1,main!$A$3:$H$102,8,FALSE),main!$K$26:$M$29,2,FALSE)+VLOOKUP(VLOOKUP(BR$1,main!$A$3:$H$102,7,FALSE),main!$K$19:$O$22,MATCH(VLOOKUP($A91,main!$A$3:$H$102,8,FALSE),main!$K$18:$O$18,0))))),1,0)</f>
        <v>0</v>
      </c>
      <c r="BS91">
        <f>IF((AND(VLOOKUP(BS$1,main!$A$3:$H$102,5,FALSE)-VLOOKUP($A91,main!$A$3:$H$102,6,FALSE)&gt;=(VLOOKUP(VLOOKUP(BS$1,main!$A$3:$H$102,8,FALSE),main!$K$26:$M$29,2,FALSE)+VLOOKUP(VLOOKUP(BS$1,main!$A$3:$H$102,7,FALSE),main!$K$19:$O$22,MATCH(VLOOKUP($A91,main!$A$3:$H$102,8,FALSE),main!$K$18:$O$18,0))))),1,0)</f>
        <v>0</v>
      </c>
      <c r="BT91">
        <f>IF((AND(VLOOKUP(BT$1,main!$A$3:$H$102,5,FALSE)-VLOOKUP($A91,main!$A$3:$H$102,6,FALSE)&gt;=(VLOOKUP(VLOOKUP(BT$1,main!$A$3:$H$102,8,FALSE),main!$K$26:$M$29,2,FALSE)+VLOOKUP(VLOOKUP(BT$1,main!$A$3:$H$102,7,FALSE),main!$K$19:$O$22,MATCH(VLOOKUP($A91,main!$A$3:$H$102,8,FALSE),main!$K$18:$O$18,0))))),1,0)</f>
        <v>0</v>
      </c>
      <c r="BU91">
        <f>IF((AND(VLOOKUP(BU$1,main!$A$3:$H$102,5,FALSE)-VLOOKUP($A91,main!$A$3:$H$102,6,FALSE)&gt;=(VLOOKUP(VLOOKUP(BU$1,main!$A$3:$H$102,8,FALSE),main!$K$26:$M$29,2,FALSE)+VLOOKUP(VLOOKUP(BU$1,main!$A$3:$H$102,7,FALSE),main!$K$19:$O$22,MATCH(VLOOKUP($A91,main!$A$3:$H$102,8,FALSE),main!$K$18:$O$18,0))))),1,0)</f>
        <v>0</v>
      </c>
      <c r="BV91">
        <f>IF((AND(VLOOKUP(BV$1,main!$A$3:$H$102,5,FALSE)-VLOOKUP($A91,main!$A$3:$H$102,6,FALSE)&gt;=(VLOOKUP(VLOOKUP(BV$1,main!$A$3:$H$102,8,FALSE),main!$K$26:$M$29,2,FALSE)+VLOOKUP(VLOOKUP(BV$1,main!$A$3:$H$102,7,FALSE),main!$K$19:$O$22,MATCH(VLOOKUP($A91,main!$A$3:$H$102,8,FALSE),main!$K$18:$O$18,0))))),1,0)</f>
        <v>0</v>
      </c>
      <c r="BW91">
        <f>IF((AND(VLOOKUP(BW$1,main!$A$3:$H$102,5,FALSE)-VLOOKUP($A91,main!$A$3:$H$102,6,FALSE)&gt;=(VLOOKUP(VLOOKUP(BW$1,main!$A$3:$H$102,8,FALSE),main!$K$26:$M$29,2,FALSE)+VLOOKUP(VLOOKUP(BW$1,main!$A$3:$H$102,7,FALSE),main!$K$19:$O$22,MATCH(VLOOKUP($A91,main!$A$3:$H$102,8,FALSE),main!$K$18:$O$18,0))))),1,0)</f>
        <v>0</v>
      </c>
      <c r="BX91">
        <f>IF((AND(VLOOKUP(BX$1,main!$A$3:$H$102,5,FALSE)-VLOOKUP($A91,main!$A$3:$H$102,6,FALSE)&gt;=(VLOOKUP(VLOOKUP(BX$1,main!$A$3:$H$102,8,FALSE),main!$K$26:$M$29,2,FALSE)+VLOOKUP(VLOOKUP(BX$1,main!$A$3:$H$102,7,FALSE),main!$K$19:$O$22,MATCH(VLOOKUP($A91,main!$A$3:$H$102,8,FALSE),main!$K$18:$O$18,0))))),1,0)</f>
        <v>0</v>
      </c>
      <c r="BY91">
        <f>IF((AND(VLOOKUP(BY$1,main!$A$3:$H$102,5,FALSE)-VLOOKUP($A91,main!$A$3:$H$102,6,FALSE)&gt;=(VLOOKUP(VLOOKUP(BY$1,main!$A$3:$H$102,8,FALSE),main!$K$26:$M$29,2,FALSE)+VLOOKUP(VLOOKUP(BY$1,main!$A$3:$H$102,7,FALSE),main!$K$19:$O$22,MATCH(VLOOKUP($A91,main!$A$3:$H$102,8,FALSE),main!$K$18:$O$18,0))))),1,0)</f>
        <v>0</v>
      </c>
      <c r="BZ91">
        <f>IF((AND(VLOOKUP(BZ$1,main!$A$3:$H$102,5,FALSE)-VLOOKUP($A91,main!$A$3:$H$102,6,FALSE)&gt;=(VLOOKUP(VLOOKUP(BZ$1,main!$A$3:$H$102,8,FALSE),main!$K$26:$M$29,2,FALSE)+VLOOKUP(VLOOKUP(BZ$1,main!$A$3:$H$102,7,FALSE),main!$K$19:$O$22,MATCH(VLOOKUP($A91,main!$A$3:$H$102,8,FALSE),main!$K$18:$O$18,0))))),1,0)</f>
        <v>0</v>
      </c>
      <c r="CA91">
        <f>IF((AND(VLOOKUP(CA$1,main!$A$3:$H$102,5,FALSE)-VLOOKUP($A91,main!$A$3:$H$102,6,FALSE)&gt;=(VLOOKUP(VLOOKUP(CA$1,main!$A$3:$H$102,8,FALSE),main!$K$26:$M$29,2,FALSE)+VLOOKUP(VLOOKUP(CA$1,main!$A$3:$H$102,7,FALSE),main!$K$19:$O$22,MATCH(VLOOKUP($A91,main!$A$3:$H$102,8,FALSE),main!$K$18:$O$18,0))))),1,0)</f>
        <v>0</v>
      </c>
      <c r="CB91">
        <f>IF((AND(VLOOKUP(CB$1,main!$A$3:$H$102,5,FALSE)-VLOOKUP($A91,main!$A$3:$H$102,6,FALSE)&gt;=(VLOOKUP(VLOOKUP(CB$1,main!$A$3:$H$102,8,FALSE),main!$K$26:$M$29,2,FALSE)+VLOOKUP(VLOOKUP(CB$1,main!$A$3:$H$102,7,FALSE),main!$K$19:$O$22,MATCH(VLOOKUP($A91,main!$A$3:$H$102,8,FALSE),main!$K$18:$O$18,0))))),1,0)</f>
        <v>0</v>
      </c>
      <c r="CC91">
        <f>IF((AND(VLOOKUP(CC$1,main!$A$3:$H$102,5,FALSE)-VLOOKUP($A91,main!$A$3:$H$102,6,FALSE)&gt;=(VLOOKUP(VLOOKUP(CC$1,main!$A$3:$H$102,8,FALSE),main!$K$26:$M$29,2,FALSE)+VLOOKUP(VLOOKUP(CC$1,main!$A$3:$H$102,7,FALSE),main!$K$19:$O$22,MATCH(VLOOKUP($A91,main!$A$3:$H$102,8,FALSE),main!$K$18:$O$18,0))))),1,0)</f>
        <v>0</v>
      </c>
      <c r="CD91">
        <f>IF((AND(VLOOKUP(CD$1,main!$A$3:$H$102,5,FALSE)-VLOOKUP($A91,main!$A$3:$H$102,6,FALSE)&gt;=(VLOOKUP(VLOOKUP(CD$1,main!$A$3:$H$102,8,FALSE),main!$K$26:$M$29,2,FALSE)+VLOOKUP(VLOOKUP(CD$1,main!$A$3:$H$102,7,FALSE),main!$K$19:$O$22,MATCH(VLOOKUP($A91,main!$A$3:$H$102,8,FALSE),main!$K$18:$O$18,0))))),1,0)</f>
        <v>0</v>
      </c>
      <c r="CE91">
        <f>IF((AND(VLOOKUP(CE$1,main!$A$3:$H$102,5,FALSE)-VLOOKUP($A91,main!$A$3:$H$102,6,FALSE)&gt;=(VLOOKUP(VLOOKUP(CE$1,main!$A$3:$H$102,8,FALSE),main!$K$26:$M$29,2,FALSE)+VLOOKUP(VLOOKUP(CE$1,main!$A$3:$H$102,7,FALSE),main!$K$19:$O$22,MATCH(VLOOKUP($A91,main!$A$3:$H$102,8,FALSE),main!$K$18:$O$18,0))))),1,0)</f>
        <v>0</v>
      </c>
      <c r="CF91">
        <f>IF((AND(VLOOKUP(CF$1,main!$A$3:$H$102,5,FALSE)-VLOOKUP($A91,main!$A$3:$H$102,6,FALSE)&gt;=(VLOOKUP(VLOOKUP(CF$1,main!$A$3:$H$102,8,FALSE),main!$K$26:$M$29,2,FALSE)+VLOOKUP(VLOOKUP(CF$1,main!$A$3:$H$102,7,FALSE),main!$K$19:$O$22,MATCH(VLOOKUP($A91,main!$A$3:$H$102,8,FALSE),main!$K$18:$O$18,0))))),1,0)</f>
        <v>0</v>
      </c>
      <c r="CG91">
        <f>IF((AND(VLOOKUP(CG$1,main!$A$3:$H$102,5,FALSE)-VLOOKUP($A91,main!$A$3:$H$102,6,FALSE)&gt;=(VLOOKUP(VLOOKUP(CG$1,main!$A$3:$H$102,8,FALSE),main!$K$26:$M$29,2,FALSE)+VLOOKUP(VLOOKUP(CG$1,main!$A$3:$H$102,7,FALSE),main!$K$19:$O$22,MATCH(VLOOKUP($A91,main!$A$3:$H$102,8,FALSE),main!$K$18:$O$18,0))))),1,0)</f>
        <v>0</v>
      </c>
      <c r="CH91">
        <f>IF((AND(VLOOKUP(CH$1,main!$A$3:$H$102,5,FALSE)-VLOOKUP($A91,main!$A$3:$H$102,6,FALSE)&gt;=(VLOOKUP(VLOOKUP(CH$1,main!$A$3:$H$102,8,FALSE),main!$K$26:$M$29,2,FALSE)+VLOOKUP(VLOOKUP(CH$1,main!$A$3:$H$102,7,FALSE),main!$K$19:$O$22,MATCH(VLOOKUP($A91,main!$A$3:$H$102,8,FALSE),main!$K$18:$O$18,0))))),1,0)</f>
        <v>0</v>
      </c>
      <c r="CI91">
        <f>IF((AND(VLOOKUP(CI$1,main!$A$3:$H$102,5,FALSE)-VLOOKUP($A91,main!$A$3:$H$102,6,FALSE)&gt;=(VLOOKUP(VLOOKUP(CI$1,main!$A$3:$H$102,8,FALSE),main!$K$26:$M$29,2,FALSE)+VLOOKUP(VLOOKUP(CI$1,main!$A$3:$H$102,7,FALSE),main!$K$19:$O$22,MATCH(VLOOKUP($A91,main!$A$3:$H$102,8,FALSE),main!$K$18:$O$18,0))))),1,0)</f>
        <v>1</v>
      </c>
      <c r="CJ91">
        <f>IF((AND(VLOOKUP(CJ$1,main!$A$3:$H$102,5,FALSE)-VLOOKUP($A91,main!$A$3:$H$102,6,FALSE)&gt;=(VLOOKUP(VLOOKUP(CJ$1,main!$A$3:$H$102,8,FALSE),main!$K$26:$M$29,2,FALSE)+VLOOKUP(VLOOKUP(CJ$1,main!$A$3:$H$102,7,FALSE),main!$K$19:$O$22,MATCH(VLOOKUP($A91,main!$A$3:$H$102,8,FALSE),main!$K$18:$O$18,0))))),1,0)</f>
        <v>0</v>
      </c>
      <c r="CK91">
        <f>IF((AND(VLOOKUP(CK$1,main!$A$3:$H$102,5,FALSE)-VLOOKUP($A91,main!$A$3:$H$102,6,FALSE)&gt;=(VLOOKUP(VLOOKUP(CK$1,main!$A$3:$H$102,8,FALSE),main!$K$26:$M$29,2,FALSE)+VLOOKUP(VLOOKUP(CK$1,main!$A$3:$H$102,7,FALSE),main!$K$19:$O$22,MATCH(VLOOKUP($A91,main!$A$3:$H$102,8,FALSE),main!$K$18:$O$18,0))))),1,0)</f>
        <v>0</v>
      </c>
      <c r="CL91">
        <f>IF((AND(VLOOKUP(CL$1,main!$A$3:$H$102,5,FALSE)-VLOOKUP($A91,main!$A$3:$H$102,6,FALSE)&gt;=(VLOOKUP(VLOOKUP(CL$1,main!$A$3:$H$102,8,FALSE),main!$K$26:$M$29,2,FALSE)+VLOOKUP(VLOOKUP(CL$1,main!$A$3:$H$102,7,FALSE),main!$K$19:$O$22,MATCH(VLOOKUP($A91,main!$A$3:$H$102,8,FALSE),main!$K$18:$O$18,0))))),1,0)</f>
        <v>0</v>
      </c>
      <c r="CM91">
        <f>IF((AND(VLOOKUP(CM$1,main!$A$3:$H$102,5,FALSE)-VLOOKUP($A91,main!$A$3:$H$102,6,FALSE)&gt;=(VLOOKUP(VLOOKUP(CM$1,main!$A$3:$H$102,8,FALSE),main!$K$26:$M$29,2,FALSE)+VLOOKUP(VLOOKUP(CM$1,main!$A$3:$H$102,7,FALSE),main!$K$19:$O$22,MATCH(VLOOKUP($A91,main!$A$3:$H$102,8,FALSE),main!$K$18:$O$18,0))))),1,0)</f>
        <v>0</v>
      </c>
      <c r="CN91">
        <f>IF((AND(VLOOKUP(CN$1,main!$A$3:$H$102,5,FALSE)-VLOOKUP($A91,main!$A$3:$H$102,6,FALSE)&gt;=(VLOOKUP(VLOOKUP(CN$1,main!$A$3:$H$102,8,FALSE),main!$K$26:$M$29,2,FALSE)+VLOOKUP(VLOOKUP(CN$1,main!$A$3:$H$102,7,FALSE),main!$K$19:$O$22,MATCH(VLOOKUP($A91,main!$A$3:$H$102,8,FALSE),main!$K$18:$O$18,0))))),1,0)</f>
        <v>1</v>
      </c>
      <c r="CO91">
        <f>IF((AND(VLOOKUP(CO$1,main!$A$3:$H$102,5,FALSE)-VLOOKUP($A91,main!$A$3:$H$102,6,FALSE)&gt;=(VLOOKUP(VLOOKUP(CO$1,main!$A$3:$H$102,8,FALSE),main!$K$26:$M$29,2,FALSE)+VLOOKUP(VLOOKUP(CO$1,main!$A$3:$H$102,7,FALSE),main!$K$19:$O$22,MATCH(VLOOKUP($A91,main!$A$3:$H$102,8,FALSE),main!$K$18:$O$18,0))))),1,0)</f>
        <v>0</v>
      </c>
      <c r="CP91">
        <f>IF((AND(VLOOKUP(CP$1,main!$A$3:$H$102,5,FALSE)-VLOOKUP($A91,main!$A$3:$H$102,6,FALSE)&gt;=(VLOOKUP(VLOOKUP(CP$1,main!$A$3:$H$102,8,FALSE),main!$K$26:$M$29,2,FALSE)+VLOOKUP(VLOOKUP(CP$1,main!$A$3:$H$102,7,FALSE),main!$K$19:$O$22,MATCH(VLOOKUP($A91,main!$A$3:$H$102,8,FALSE),main!$K$18:$O$18,0))))),1,0)</f>
        <v>0</v>
      </c>
      <c r="CQ91">
        <f>IF((AND(VLOOKUP(CQ$1,main!$A$3:$H$102,5,FALSE)-VLOOKUP($A91,main!$A$3:$H$102,6,FALSE)&gt;=(VLOOKUP(VLOOKUP(CQ$1,main!$A$3:$H$102,8,FALSE),main!$K$26:$M$29,2,FALSE)+VLOOKUP(VLOOKUP(CQ$1,main!$A$3:$H$102,7,FALSE),main!$K$19:$O$22,MATCH(VLOOKUP($A91,main!$A$3:$H$102,8,FALSE),main!$K$18:$O$18,0))))),1,0)</f>
        <v>0</v>
      </c>
      <c r="CR91">
        <f>IF((AND(VLOOKUP(CR$1,main!$A$3:$H$102,5,FALSE)-VLOOKUP($A91,main!$A$3:$H$102,6,FALSE)&gt;=(VLOOKUP(VLOOKUP(CR$1,main!$A$3:$H$102,8,FALSE),main!$K$26:$M$29,2,FALSE)+VLOOKUP(VLOOKUP(CR$1,main!$A$3:$H$102,7,FALSE),main!$K$19:$O$22,MATCH(VLOOKUP($A91,main!$A$3:$H$102,8,FALSE),main!$K$18:$O$18,0))))),1,0)</f>
        <v>0</v>
      </c>
      <c r="CS91">
        <f>IF((AND(VLOOKUP(CS$1,main!$A$3:$H$102,5,FALSE)-VLOOKUP($A91,main!$A$3:$H$102,6,FALSE)&gt;=(VLOOKUP(VLOOKUP(CS$1,main!$A$3:$H$102,8,FALSE),main!$K$26:$M$29,2,FALSE)+VLOOKUP(VLOOKUP(CS$1,main!$A$3:$H$102,7,FALSE),main!$K$19:$O$22,MATCH(VLOOKUP($A91,main!$A$3:$H$102,8,FALSE),main!$K$18:$O$18,0))))),1,0)</f>
        <v>0</v>
      </c>
      <c r="CT91">
        <f>IF((AND(VLOOKUP(CT$1,main!$A$3:$H$102,5,FALSE)-VLOOKUP($A91,main!$A$3:$H$102,6,FALSE)&gt;=(VLOOKUP(VLOOKUP(CT$1,main!$A$3:$H$102,8,FALSE),main!$K$26:$M$29,2,FALSE)+VLOOKUP(VLOOKUP(CT$1,main!$A$3:$H$102,7,FALSE),main!$K$19:$O$22,MATCH(VLOOKUP($A91,main!$A$3:$H$102,8,FALSE),main!$K$18:$O$18,0))))),1,0)</f>
        <v>0</v>
      </c>
      <c r="CU91">
        <f>IF((AND(VLOOKUP(CU$1,main!$A$3:$H$102,5,FALSE)-VLOOKUP($A91,main!$A$3:$H$102,6,FALSE)&gt;=(VLOOKUP(VLOOKUP(CU$1,main!$A$3:$H$102,8,FALSE),main!$K$26:$M$29,2,FALSE)+VLOOKUP(VLOOKUP(CU$1,main!$A$3:$H$102,7,FALSE),main!$K$19:$O$22,MATCH(VLOOKUP($A91,main!$A$3:$H$102,8,FALSE),main!$K$18:$O$18,0))))),1,0)</f>
        <v>0</v>
      </c>
      <c r="CV91">
        <f>IF((AND(VLOOKUP(CV$1,main!$A$3:$H$102,5,FALSE)-VLOOKUP($A91,main!$A$3:$H$102,6,FALSE)&gt;=(VLOOKUP(VLOOKUP(CV$1,main!$A$3:$H$102,8,FALSE),main!$K$26:$M$29,2,FALSE)+VLOOKUP(VLOOKUP(CV$1,main!$A$3:$H$102,7,FALSE),main!$K$19:$O$22,MATCH(VLOOKUP($A91,main!$A$3:$H$102,8,FALSE),main!$K$18:$O$18,0))))),1,0)</f>
        <v>0</v>
      </c>
      <c r="CW91">
        <f>IF((AND(VLOOKUP(CW$1,main!$A$3:$H$102,5,FALSE)-VLOOKUP($A91,main!$A$3:$H$102,6,FALSE)&gt;=(VLOOKUP(VLOOKUP(CW$1,main!$A$3:$H$102,8,FALSE),main!$K$26:$M$29,2,FALSE)+VLOOKUP(VLOOKUP(CW$1,main!$A$3:$H$102,7,FALSE),main!$K$19:$O$22,MATCH(VLOOKUP($A91,main!$A$3:$H$102,8,FALSE),main!$K$18:$O$18,0))))),1,0)</f>
        <v>0</v>
      </c>
      <c r="CX91">
        <f>IF((AND(VLOOKUP(CX$1,main!$A$3:$H$102,5,FALSE)-VLOOKUP($A91,main!$A$3:$H$102,6,FALSE)&gt;=(VLOOKUP(VLOOKUP(CX$1,main!$A$3:$H$102,8,FALSE),main!$K$26:$M$29,2,FALSE)+VLOOKUP(VLOOKUP(CX$1,main!$A$3:$H$102,7,FALSE),main!$K$19:$O$22,MATCH(VLOOKUP($A91,main!$A$3:$H$102,8,FALSE),main!$K$18:$O$18,0))))),1,0)</f>
        <v>0</v>
      </c>
    </row>
    <row r="92" spans="1:102" x14ac:dyDescent="0.25">
      <c r="A92" s="1">
        <v>90</v>
      </c>
      <c r="B92">
        <v>1</v>
      </c>
      <c r="C92">
        <f>IF((AND(VLOOKUP(C$1,main!$A$3:$H$102,5,FALSE)-VLOOKUP($A92,main!$A$3:$H$102,6,FALSE)&gt;=(VLOOKUP(VLOOKUP(C$1,main!$A$3:$H$102,8,FALSE),main!$K$26:$M$29,2,FALSE)+VLOOKUP(VLOOKUP(C$1,main!$A$3:$H$102,7,FALSE),main!$K$19:$O$22,MATCH(VLOOKUP($A92,main!$A$3:$H$102,8,FALSE),main!$K$18:$O$18,0))))),1,0)</f>
        <v>0</v>
      </c>
      <c r="D92">
        <f>IF((AND(VLOOKUP(D$1,main!$A$3:$H$102,5,FALSE)-VLOOKUP($A92,main!$A$3:$H$102,6,FALSE)&gt;=(VLOOKUP(VLOOKUP(D$1,main!$A$3:$H$102,8,FALSE),main!$K$26:$M$29,2,FALSE)+VLOOKUP(VLOOKUP(D$1,main!$A$3:$H$102,7,FALSE),main!$K$19:$O$22,MATCH(VLOOKUP($A92,main!$A$3:$H$102,8,FALSE),main!$K$18:$O$18,0))))),1,0)</f>
        <v>0</v>
      </c>
      <c r="E92">
        <f>IF((AND(VLOOKUP(E$1,main!$A$3:$H$102,5,FALSE)-VLOOKUP($A92,main!$A$3:$H$102,6,FALSE)&gt;=(VLOOKUP(VLOOKUP(E$1,main!$A$3:$H$102,8,FALSE),main!$K$26:$M$29,2,FALSE)+VLOOKUP(VLOOKUP(E$1,main!$A$3:$H$102,7,FALSE),main!$K$19:$O$22,MATCH(VLOOKUP($A92,main!$A$3:$H$102,8,FALSE),main!$K$18:$O$18,0))))),1,0)</f>
        <v>0</v>
      </c>
      <c r="F92">
        <f>IF((AND(VLOOKUP(F$1,main!$A$3:$H$102,5,FALSE)-VLOOKUP($A92,main!$A$3:$H$102,6,FALSE)&gt;=(VLOOKUP(VLOOKUP(F$1,main!$A$3:$H$102,8,FALSE),main!$K$26:$M$29,2,FALSE)+VLOOKUP(VLOOKUP(F$1,main!$A$3:$H$102,7,FALSE),main!$K$19:$O$22,MATCH(VLOOKUP($A92,main!$A$3:$H$102,8,FALSE),main!$K$18:$O$18,0))))),1,0)</f>
        <v>0</v>
      </c>
      <c r="G92">
        <f>IF((AND(VLOOKUP(G$1,main!$A$3:$H$102,5,FALSE)-VLOOKUP($A92,main!$A$3:$H$102,6,FALSE)&gt;=(VLOOKUP(VLOOKUP(G$1,main!$A$3:$H$102,8,FALSE),main!$K$26:$M$29,2,FALSE)+VLOOKUP(VLOOKUP(G$1,main!$A$3:$H$102,7,FALSE),main!$K$19:$O$22,MATCH(VLOOKUP($A92,main!$A$3:$H$102,8,FALSE),main!$K$18:$O$18,0))))),1,0)</f>
        <v>0</v>
      </c>
      <c r="H92">
        <f>IF((AND(VLOOKUP(H$1,main!$A$3:$H$102,5,FALSE)-VLOOKUP($A92,main!$A$3:$H$102,6,FALSE)&gt;=(VLOOKUP(VLOOKUP(H$1,main!$A$3:$H$102,8,FALSE),main!$K$26:$M$29,2,FALSE)+VLOOKUP(VLOOKUP(H$1,main!$A$3:$H$102,7,FALSE),main!$K$19:$O$22,MATCH(VLOOKUP($A92,main!$A$3:$H$102,8,FALSE),main!$K$18:$O$18,0))))),1,0)</f>
        <v>0</v>
      </c>
      <c r="I92">
        <f>IF((AND(VLOOKUP(I$1,main!$A$3:$H$102,5,FALSE)-VLOOKUP($A92,main!$A$3:$H$102,6,FALSE)&gt;=(VLOOKUP(VLOOKUP(I$1,main!$A$3:$H$102,8,FALSE),main!$K$26:$M$29,2,FALSE)+VLOOKUP(VLOOKUP(I$1,main!$A$3:$H$102,7,FALSE),main!$K$19:$O$22,MATCH(VLOOKUP($A92,main!$A$3:$H$102,8,FALSE),main!$K$18:$O$18,0))))),1,0)</f>
        <v>0</v>
      </c>
      <c r="J92">
        <f>IF((AND(VLOOKUP(J$1,main!$A$3:$H$102,5,FALSE)-VLOOKUP($A92,main!$A$3:$H$102,6,FALSE)&gt;=(VLOOKUP(VLOOKUP(J$1,main!$A$3:$H$102,8,FALSE),main!$K$26:$M$29,2,FALSE)+VLOOKUP(VLOOKUP(J$1,main!$A$3:$H$102,7,FALSE),main!$K$19:$O$22,MATCH(VLOOKUP($A92,main!$A$3:$H$102,8,FALSE),main!$K$18:$O$18,0))))),1,0)</f>
        <v>0</v>
      </c>
      <c r="K92">
        <f>IF((AND(VLOOKUP(K$1,main!$A$3:$H$102,5,FALSE)-VLOOKUP($A92,main!$A$3:$H$102,6,FALSE)&gt;=(VLOOKUP(VLOOKUP(K$1,main!$A$3:$H$102,8,FALSE),main!$K$26:$M$29,2,FALSE)+VLOOKUP(VLOOKUP(K$1,main!$A$3:$H$102,7,FALSE),main!$K$19:$O$22,MATCH(VLOOKUP($A92,main!$A$3:$H$102,8,FALSE),main!$K$18:$O$18,0))))),1,0)</f>
        <v>0</v>
      </c>
      <c r="L92">
        <f>IF((AND(VLOOKUP(L$1,main!$A$3:$H$102,5,FALSE)-VLOOKUP($A92,main!$A$3:$H$102,6,FALSE)&gt;=(VLOOKUP(VLOOKUP(L$1,main!$A$3:$H$102,8,FALSE),main!$K$26:$M$29,2,FALSE)+VLOOKUP(VLOOKUP(L$1,main!$A$3:$H$102,7,FALSE),main!$K$19:$O$22,MATCH(VLOOKUP($A92,main!$A$3:$H$102,8,FALSE),main!$K$18:$O$18,0))))),1,0)</f>
        <v>0</v>
      </c>
      <c r="M92">
        <f>IF((AND(VLOOKUP(M$1,main!$A$3:$H$102,5,FALSE)-VLOOKUP($A92,main!$A$3:$H$102,6,FALSE)&gt;=(VLOOKUP(VLOOKUP(M$1,main!$A$3:$H$102,8,FALSE),main!$K$26:$M$29,2,FALSE)+VLOOKUP(VLOOKUP(M$1,main!$A$3:$H$102,7,FALSE),main!$K$19:$O$22,MATCH(VLOOKUP($A92,main!$A$3:$H$102,8,FALSE),main!$K$18:$O$18,0))))),1,0)</f>
        <v>0</v>
      </c>
      <c r="N92">
        <f>IF((AND(VLOOKUP(N$1,main!$A$3:$H$102,5,FALSE)-VLOOKUP($A92,main!$A$3:$H$102,6,FALSE)&gt;=(VLOOKUP(VLOOKUP(N$1,main!$A$3:$H$102,8,FALSE),main!$K$26:$M$29,2,FALSE)+VLOOKUP(VLOOKUP(N$1,main!$A$3:$H$102,7,FALSE),main!$K$19:$O$22,MATCH(VLOOKUP($A92,main!$A$3:$H$102,8,FALSE),main!$K$18:$O$18,0))))),1,0)</f>
        <v>0</v>
      </c>
      <c r="O92">
        <f>IF((AND(VLOOKUP(O$1,main!$A$3:$H$102,5,FALSE)-VLOOKUP($A92,main!$A$3:$H$102,6,FALSE)&gt;=(VLOOKUP(VLOOKUP(O$1,main!$A$3:$H$102,8,FALSE),main!$K$26:$M$29,2,FALSE)+VLOOKUP(VLOOKUP(O$1,main!$A$3:$H$102,7,FALSE),main!$K$19:$O$22,MATCH(VLOOKUP($A92,main!$A$3:$H$102,8,FALSE),main!$K$18:$O$18,0))))),1,0)</f>
        <v>0</v>
      </c>
      <c r="P92">
        <f>IF((AND(VLOOKUP(P$1,main!$A$3:$H$102,5,FALSE)-VLOOKUP($A92,main!$A$3:$H$102,6,FALSE)&gt;=(VLOOKUP(VLOOKUP(P$1,main!$A$3:$H$102,8,FALSE),main!$K$26:$M$29,2,FALSE)+VLOOKUP(VLOOKUP(P$1,main!$A$3:$H$102,7,FALSE),main!$K$19:$O$22,MATCH(VLOOKUP($A92,main!$A$3:$H$102,8,FALSE),main!$K$18:$O$18,0))))),1,0)</f>
        <v>0</v>
      </c>
      <c r="Q92">
        <f>IF((AND(VLOOKUP(Q$1,main!$A$3:$H$102,5,FALSE)-VLOOKUP($A92,main!$A$3:$H$102,6,FALSE)&gt;=(VLOOKUP(VLOOKUP(Q$1,main!$A$3:$H$102,8,FALSE),main!$K$26:$M$29,2,FALSE)+VLOOKUP(VLOOKUP(Q$1,main!$A$3:$H$102,7,FALSE),main!$K$19:$O$22,MATCH(VLOOKUP($A92,main!$A$3:$H$102,8,FALSE),main!$K$18:$O$18,0))))),1,0)</f>
        <v>0</v>
      </c>
      <c r="R92">
        <f>IF((AND(VLOOKUP(R$1,main!$A$3:$H$102,5,FALSE)-VLOOKUP($A92,main!$A$3:$H$102,6,FALSE)&gt;=(VLOOKUP(VLOOKUP(R$1,main!$A$3:$H$102,8,FALSE),main!$K$26:$M$29,2,FALSE)+VLOOKUP(VLOOKUP(R$1,main!$A$3:$H$102,7,FALSE),main!$K$19:$O$22,MATCH(VLOOKUP($A92,main!$A$3:$H$102,8,FALSE),main!$K$18:$O$18,0))))),1,0)</f>
        <v>0</v>
      </c>
      <c r="S92">
        <f>IF((AND(VLOOKUP(S$1,main!$A$3:$H$102,5,FALSE)-VLOOKUP($A92,main!$A$3:$H$102,6,FALSE)&gt;=(VLOOKUP(VLOOKUP(S$1,main!$A$3:$H$102,8,FALSE),main!$K$26:$M$29,2,FALSE)+VLOOKUP(VLOOKUP(S$1,main!$A$3:$H$102,7,FALSE),main!$K$19:$O$22,MATCH(VLOOKUP($A92,main!$A$3:$H$102,8,FALSE),main!$K$18:$O$18,0))))),1,0)</f>
        <v>0</v>
      </c>
      <c r="T92">
        <f>IF((AND(VLOOKUP(T$1,main!$A$3:$H$102,5,FALSE)-VLOOKUP($A92,main!$A$3:$H$102,6,FALSE)&gt;=(VLOOKUP(VLOOKUP(T$1,main!$A$3:$H$102,8,FALSE),main!$K$26:$M$29,2,FALSE)+VLOOKUP(VLOOKUP(T$1,main!$A$3:$H$102,7,FALSE),main!$K$19:$O$22,MATCH(VLOOKUP($A92,main!$A$3:$H$102,8,FALSE),main!$K$18:$O$18,0))))),1,0)</f>
        <v>0</v>
      </c>
      <c r="U92">
        <f>IF((AND(VLOOKUP(U$1,main!$A$3:$H$102,5,FALSE)-VLOOKUP($A92,main!$A$3:$H$102,6,FALSE)&gt;=(VLOOKUP(VLOOKUP(U$1,main!$A$3:$H$102,8,FALSE),main!$K$26:$M$29,2,FALSE)+VLOOKUP(VLOOKUP(U$1,main!$A$3:$H$102,7,FALSE),main!$K$19:$O$22,MATCH(VLOOKUP($A92,main!$A$3:$H$102,8,FALSE),main!$K$18:$O$18,0))))),1,0)</f>
        <v>0</v>
      </c>
      <c r="V92">
        <f>IF((AND(VLOOKUP(V$1,main!$A$3:$H$102,5,FALSE)-VLOOKUP($A92,main!$A$3:$H$102,6,FALSE)&gt;=(VLOOKUP(VLOOKUP(V$1,main!$A$3:$H$102,8,FALSE),main!$K$26:$M$29,2,FALSE)+VLOOKUP(VLOOKUP(V$1,main!$A$3:$H$102,7,FALSE),main!$K$19:$O$22,MATCH(VLOOKUP($A92,main!$A$3:$H$102,8,FALSE),main!$K$18:$O$18,0))))),1,0)</f>
        <v>0</v>
      </c>
      <c r="W92">
        <f>IF((AND(VLOOKUP(W$1,main!$A$3:$H$102,5,FALSE)-VLOOKUP($A92,main!$A$3:$H$102,6,FALSE)&gt;=(VLOOKUP(VLOOKUP(W$1,main!$A$3:$H$102,8,FALSE),main!$K$26:$M$29,2,FALSE)+VLOOKUP(VLOOKUP(W$1,main!$A$3:$H$102,7,FALSE),main!$K$19:$O$22,MATCH(VLOOKUP($A92,main!$A$3:$H$102,8,FALSE),main!$K$18:$O$18,0))))),1,0)</f>
        <v>0</v>
      </c>
      <c r="X92">
        <f>IF((AND(VLOOKUP(X$1,main!$A$3:$H$102,5,FALSE)-VLOOKUP($A92,main!$A$3:$H$102,6,FALSE)&gt;=(VLOOKUP(VLOOKUP(X$1,main!$A$3:$H$102,8,FALSE),main!$K$26:$M$29,2,FALSE)+VLOOKUP(VLOOKUP(X$1,main!$A$3:$H$102,7,FALSE),main!$K$19:$O$22,MATCH(VLOOKUP($A92,main!$A$3:$H$102,8,FALSE),main!$K$18:$O$18,0))))),1,0)</f>
        <v>0</v>
      </c>
      <c r="Y92">
        <f>IF((AND(VLOOKUP(Y$1,main!$A$3:$H$102,5,FALSE)-VLOOKUP($A92,main!$A$3:$H$102,6,FALSE)&gt;=(VLOOKUP(VLOOKUP(Y$1,main!$A$3:$H$102,8,FALSE),main!$K$26:$M$29,2,FALSE)+VLOOKUP(VLOOKUP(Y$1,main!$A$3:$H$102,7,FALSE),main!$K$19:$O$22,MATCH(VLOOKUP($A92,main!$A$3:$H$102,8,FALSE),main!$K$18:$O$18,0))))),1,0)</f>
        <v>0</v>
      </c>
      <c r="Z92">
        <f>IF((AND(VLOOKUP(Z$1,main!$A$3:$H$102,5,FALSE)-VLOOKUP($A92,main!$A$3:$H$102,6,FALSE)&gt;=(VLOOKUP(VLOOKUP(Z$1,main!$A$3:$H$102,8,FALSE),main!$K$26:$M$29,2,FALSE)+VLOOKUP(VLOOKUP(Z$1,main!$A$3:$H$102,7,FALSE),main!$K$19:$O$22,MATCH(VLOOKUP($A92,main!$A$3:$H$102,8,FALSE),main!$K$18:$O$18,0))))),1,0)</f>
        <v>0</v>
      </c>
      <c r="AA92">
        <f>IF((AND(VLOOKUP(AA$1,main!$A$3:$H$102,5,FALSE)-VLOOKUP($A92,main!$A$3:$H$102,6,FALSE)&gt;=(VLOOKUP(VLOOKUP(AA$1,main!$A$3:$H$102,8,FALSE),main!$K$26:$M$29,2,FALSE)+VLOOKUP(VLOOKUP(AA$1,main!$A$3:$H$102,7,FALSE),main!$K$19:$O$22,MATCH(VLOOKUP($A92,main!$A$3:$H$102,8,FALSE),main!$K$18:$O$18,0))))),1,0)</f>
        <v>0</v>
      </c>
      <c r="AB92">
        <f>IF((AND(VLOOKUP(AB$1,main!$A$3:$H$102,5,FALSE)-VLOOKUP($A92,main!$A$3:$H$102,6,FALSE)&gt;=(VLOOKUP(VLOOKUP(AB$1,main!$A$3:$H$102,8,FALSE),main!$K$26:$M$29,2,FALSE)+VLOOKUP(VLOOKUP(AB$1,main!$A$3:$H$102,7,FALSE),main!$K$19:$O$22,MATCH(VLOOKUP($A92,main!$A$3:$H$102,8,FALSE),main!$K$18:$O$18,0))))),1,0)</f>
        <v>0</v>
      </c>
      <c r="AC92">
        <f>IF((AND(VLOOKUP(AC$1,main!$A$3:$H$102,5,FALSE)-VLOOKUP($A92,main!$A$3:$H$102,6,FALSE)&gt;=(VLOOKUP(VLOOKUP(AC$1,main!$A$3:$H$102,8,FALSE),main!$K$26:$M$29,2,FALSE)+VLOOKUP(VLOOKUP(AC$1,main!$A$3:$H$102,7,FALSE),main!$K$19:$O$22,MATCH(VLOOKUP($A92,main!$A$3:$H$102,8,FALSE),main!$K$18:$O$18,0))))),1,0)</f>
        <v>0</v>
      </c>
      <c r="AD92">
        <f>IF((AND(VLOOKUP(AD$1,main!$A$3:$H$102,5,FALSE)-VLOOKUP($A92,main!$A$3:$H$102,6,FALSE)&gt;=(VLOOKUP(VLOOKUP(AD$1,main!$A$3:$H$102,8,FALSE),main!$K$26:$M$29,2,FALSE)+VLOOKUP(VLOOKUP(AD$1,main!$A$3:$H$102,7,FALSE),main!$K$19:$O$22,MATCH(VLOOKUP($A92,main!$A$3:$H$102,8,FALSE),main!$K$18:$O$18,0))))),1,0)</f>
        <v>0</v>
      </c>
      <c r="AE92">
        <f>IF((AND(VLOOKUP(AE$1,main!$A$3:$H$102,5,FALSE)-VLOOKUP($A92,main!$A$3:$H$102,6,FALSE)&gt;=(VLOOKUP(VLOOKUP(AE$1,main!$A$3:$H$102,8,FALSE),main!$K$26:$M$29,2,FALSE)+VLOOKUP(VLOOKUP(AE$1,main!$A$3:$H$102,7,FALSE),main!$K$19:$O$22,MATCH(VLOOKUP($A92,main!$A$3:$H$102,8,FALSE),main!$K$18:$O$18,0))))),1,0)</f>
        <v>0</v>
      </c>
      <c r="AF92">
        <f>IF((AND(VLOOKUP(AF$1,main!$A$3:$H$102,5,FALSE)-VLOOKUP($A92,main!$A$3:$H$102,6,FALSE)&gt;=(VLOOKUP(VLOOKUP(AF$1,main!$A$3:$H$102,8,FALSE),main!$K$26:$M$29,2,FALSE)+VLOOKUP(VLOOKUP(AF$1,main!$A$3:$H$102,7,FALSE),main!$K$19:$O$22,MATCH(VLOOKUP($A92,main!$A$3:$H$102,8,FALSE),main!$K$18:$O$18,0))))),1,0)</f>
        <v>0</v>
      </c>
      <c r="AG92">
        <f>IF((AND(VLOOKUP(AG$1,main!$A$3:$H$102,5,FALSE)-VLOOKUP($A92,main!$A$3:$H$102,6,FALSE)&gt;=(VLOOKUP(VLOOKUP(AG$1,main!$A$3:$H$102,8,FALSE),main!$K$26:$M$29,2,FALSE)+VLOOKUP(VLOOKUP(AG$1,main!$A$3:$H$102,7,FALSE),main!$K$19:$O$22,MATCH(VLOOKUP($A92,main!$A$3:$H$102,8,FALSE),main!$K$18:$O$18,0))))),1,0)</f>
        <v>0</v>
      </c>
      <c r="AH92">
        <f>IF((AND(VLOOKUP(AH$1,main!$A$3:$H$102,5,FALSE)-VLOOKUP($A92,main!$A$3:$H$102,6,FALSE)&gt;=(VLOOKUP(VLOOKUP(AH$1,main!$A$3:$H$102,8,FALSE),main!$K$26:$M$29,2,FALSE)+VLOOKUP(VLOOKUP(AH$1,main!$A$3:$H$102,7,FALSE),main!$K$19:$O$22,MATCH(VLOOKUP($A92,main!$A$3:$H$102,8,FALSE),main!$K$18:$O$18,0))))),1,0)</f>
        <v>0</v>
      </c>
      <c r="AI92">
        <f>IF((AND(VLOOKUP(AI$1,main!$A$3:$H$102,5,FALSE)-VLOOKUP($A92,main!$A$3:$H$102,6,FALSE)&gt;=(VLOOKUP(VLOOKUP(AI$1,main!$A$3:$H$102,8,FALSE),main!$K$26:$M$29,2,FALSE)+VLOOKUP(VLOOKUP(AI$1,main!$A$3:$H$102,7,FALSE),main!$K$19:$O$22,MATCH(VLOOKUP($A92,main!$A$3:$H$102,8,FALSE),main!$K$18:$O$18,0))))),1,0)</f>
        <v>0</v>
      </c>
      <c r="AJ92">
        <f>IF((AND(VLOOKUP(AJ$1,main!$A$3:$H$102,5,FALSE)-VLOOKUP($A92,main!$A$3:$H$102,6,FALSE)&gt;=(VLOOKUP(VLOOKUP(AJ$1,main!$A$3:$H$102,8,FALSE),main!$K$26:$M$29,2,FALSE)+VLOOKUP(VLOOKUP(AJ$1,main!$A$3:$H$102,7,FALSE),main!$K$19:$O$22,MATCH(VLOOKUP($A92,main!$A$3:$H$102,8,FALSE),main!$K$18:$O$18,0))))),1,0)</f>
        <v>0</v>
      </c>
      <c r="AK92">
        <f>IF((AND(VLOOKUP(AK$1,main!$A$3:$H$102,5,FALSE)-VLOOKUP($A92,main!$A$3:$H$102,6,FALSE)&gt;=(VLOOKUP(VLOOKUP(AK$1,main!$A$3:$H$102,8,FALSE),main!$K$26:$M$29,2,FALSE)+VLOOKUP(VLOOKUP(AK$1,main!$A$3:$H$102,7,FALSE),main!$K$19:$O$22,MATCH(VLOOKUP($A92,main!$A$3:$H$102,8,FALSE),main!$K$18:$O$18,0))))),1,0)</f>
        <v>0</v>
      </c>
      <c r="AL92">
        <f>IF((AND(VLOOKUP(AL$1,main!$A$3:$H$102,5,FALSE)-VLOOKUP($A92,main!$A$3:$H$102,6,FALSE)&gt;=(VLOOKUP(VLOOKUP(AL$1,main!$A$3:$H$102,8,FALSE),main!$K$26:$M$29,2,FALSE)+VLOOKUP(VLOOKUP(AL$1,main!$A$3:$H$102,7,FALSE),main!$K$19:$O$22,MATCH(VLOOKUP($A92,main!$A$3:$H$102,8,FALSE),main!$K$18:$O$18,0))))),1,0)</f>
        <v>0</v>
      </c>
      <c r="AM92">
        <f>IF((AND(VLOOKUP(AM$1,main!$A$3:$H$102,5,FALSE)-VLOOKUP($A92,main!$A$3:$H$102,6,FALSE)&gt;=(VLOOKUP(VLOOKUP(AM$1,main!$A$3:$H$102,8,FALSE),main!$K$26:$M$29,2,FALSE)+VLOOKUP(VLOOKUP(AM$1,main!$A$3:$H$102,7,FALSE),main!$K$19:$O$22,MATCH(VLOOKUP($A92,main!$A$3:$H$102,8,FALSE),main!$K$18:$O$18,0))))),1,0)</f>
        <v>0</v>
      </c>
      <c r="AN92">
        <f>IF((AND(VLOOKUP(AN$1,main!$A$3:$H$102,5,FALSE)-VLOOKUP($A92,main!$A$3:$H$102,6,FALSE)&gt;=(VLOOKUP(VLOOKUP(AN$1,main!$A$3:$H$102,8,FALSE),main!$K$26:$M$29,2,FALSE)+VLOOKUP(VLOOKUP(AN$1,main!$A$3:$H$102,7,FALSE),main!$K$19:$O$22,MATCH(VLOOKUP($A92,main!$A$3:$H$102,8,FALSE),main!$K$18:$O$18,0))))),1,0)</f>
        <v>0</v>
      </c>
      <c r="AO92">
        <f>IF((AND(VLOOKUP(AO$1,main!$A$3:$H$102,5,FALSE)-VLOOKUP($A92,main!$A$3:$H$102,6,FALSE)&gt;=(VLOOKUP(VLOOKUP(AO$1,main!$A$3:$H$102,8,FALSE),main!$K$26:$M$29,2,FALSE)+VLOOKUP(VLOOKUP(AO$1,main!$A$3:$H$102,7,FALSE),main!$K$19:$O$22,MATCH(VLOOKUP($A92,main!$A$3:$H$102,8,FALSE),main!$K$18:$O$18,0))))),1,0)</f>
        <v>0</v>
      </c>
      <c r="AP92">
        <f>IF((AND(VLOOKUP(AP$1,main!$A$3:$H$102,5,FALSE)-VLOOKUP($A92,main!$A$3:$H$102,6,FALSE)&gt;=(VLOOKUP(VLOOKUP(AP$1,main!$A$3:$H$102,8,FALSE),main!$K$26:$M$29,2,FALSE)+VLOOKUP(VLOOKUP(AP$1,main!$A$3:$H$102,7,FALSE),main!$K$19:$O$22,MATCH(VLOOKUP($A92,main!$A$3:$H$102,8,FALSE),main!$K$18:$O$18,0))))),1,0)</f>
        <v>0</v>
      </c>
      <c r="AQ92">
        <f>IF((AND(VLOOKUP(AQ$1,main!$A$3:$H$102,5,FALSE)-VLOOKUP($A92,main!$A$3:$H$102,6,FALSE)&gt;=(VLOOKUP(VLOOKUP(AQ$1,main!$A$3:$H$102,8,FALSE),main!$K$26:$M$29,2,FALSE)+VLOOKUP(VLOOKUP(AQ$1,main!$A$3:$H$102,7,FALSE),main!$K$19:$O$22,MATCH(VLOOKUP($A92,main!$A$3:$H$102,8,FALSE),main!$K$18:$O$18,0))))),1,0)</f>
        <v>0</v>
      </c>
      <c r="AR92">
        <f>IF((AND(VLOOKUP(AR$1,main!$A$3:$H$102,5,FALSE)-VLOOKUP($A92,main!$A$3:$H$102,6,FALSE)&gt;=(VLOOKUP(VLOOKUP(AR$1,main!$A$3:$H$102,8,FALSE),main!$K$26:$M$29,2,FALSE)+VLOOKUP(VLOOKUP(AR$1,main!$A$3:$H$102,7,FALSE),main!$K$19:$O$22,MATCH(VLOOKUP($A92,main!$A$3:$H$102,8,FALSE),main!$K$18:$O$18,0))))),1,0)</f>
        <v>0</v>
      </c>
      <c r="AS92">
        <f>IF((AND(VLOOKUP(AS$1,main!$A$3:$H$102,5,FALSE)-VLOOKUP($A92,main!$A$3:$H$102,6,FALSE)&gt;=(VLOOKUP(VLOOKUP(AS$1,main!$A$3:$H$102,8,FALSE),main!$K$26:$M$29,2,FALSE)+VLOOKUP(VLOOKUP(AS$1,main!$A$3:$H$102,7,FALSE),main!$K$19:$O$22,MATCH(VLOOKUP($A92,main!$A$3:$H$102,8,FALSE),main!$K$18:$O$18,0))))),1,0)</f>
        <v>0</v>
      </c>
      <c r="AT92">
        <f>IF((AND(VLOOKUP(AT$1,main!$A$3:$H$102,5,FALSE)-VLOOKUP($A92,main!$A$3:$H$102,6,FALSE)&gt;=(VLOOKUP(VLOOKUP(AT$1,main!$A$3:$H$102,8,FALSE),main!$K$26:$M$29,2,FALSE)+VLOOKUP(VLOOKUP(AT$1,main!$A$3:$H$102,7,FALSE),main!$K$19:$O$22,MATCH(VLOOKUP($A92,main!$A$3:$H$102,8,FALSE),main!$K$18:$O$18,0))))),1,0)</f>
        <v>0</v>
      </c>
      <c r="AU92">
        <f>IF((AND(VLOOKUP(AU$1,main!$A$3:$H$102,5,FALSE)-VLOOKUP($A92,main!$A$3:$H$102,6,FALSE)&gt;=(VLOOKUP(VLOOKUP(AU$1,main!$A$3:$H$102,8,FALSE),main!$K$26:$M$29,2,FALSE)+VLOOKUP(VLOOKUP(AU$1,main!$A$3:$H$102,7,FALSE),main!$K$19:$O$22,MATCH(VLOOKUP($A92,main!$A$3:$H$102,8,FALSE),main!$K$18:$O$18,0))))),1,0)</f>
        <v>0</v>
      </c>
      <c r="AV92">
        <f>IF((AND(VLOOKUP(AV$1,main!$A$3:$H$102,5,FALSE)-VLOOKUP($A92,main!$A$3:$H$102,6,FALSE)&gt;=(VLOOKUP(VLOOKUP(AV$1,main!$A$3:$H$102,8,FALSE),main!$K$26:$M$29,2,FALSE)+VLOOKUP(VLOOKUP(AV$1,main!$A$3:$H$102,7,FALSE),main!$K$19:$O$22,MATCH(VLOOKUP($A92,main!$A$3:$H$102,8,FALSE),main!$K$18:$O$18,0))))),1,0)</f>
        <v>0</v>
      </c>
      <c r="AW92">
        <f>IF((AND(VLOOKUP(AW$1,main!$A$3:$H$102,5,FALSE)-VLOOKUP($A92,main!$A$3:$H$102,6,FALSE)&gt;=(VLOOKUP(VLOOKUP(AW$1,main!$A$3:$H$102,8,FALSE),main!$K$26:$M$29,2,FALSE)+VLOOKUP(VLOOKUP(AW$1,main!$A$3:$H$102,7,FALSE),main!$K$19:$O$22,MATCH(VLOOKUP($A92,main!$A$3:$H$102,8,FALSE),main!$K$18:$O$18,0))))),1,0)</f>
        <v>0</v>
      </c>
      <c r="AX92">
        <f>IF((AND(VLOOKUP(AX$1,main!$A$3:$H$102,5,FALSE)-VLOOKUP($A92,main!$A$3:$H$102,6,FALSE)&gt;=(VLOOKUP(VLOOKUP(AX$1,main!$A$3:$H$102,8,FALSE),main!$K$26:$M$29,2,FALSE)+VLOOKUP(VLOOKUP(AX$1,main!$A$3:$H$102,7,FALSE),main!$K$19:$O$22,MATCH(VLOOKUP($A92,main!$A$3:$H$102,8,FALSE),main!$K$18:$O$18,0))))),1,0)</f>
        <v>0</v>
      </c>
      <c r="AY92">
        <f>IF((AND(VLOOKUP(AY$1,main!$A$3:$H$102,5,FALSE)-VLOOKUP($A92,main!$A$3:$H$102,6,FALSE)&gt;=(VLOOKUP(VLOOKUP(AY$1,main!$A$3:$H$102,8,FALSE),main!$K$26:$M$29,2,FALSE)+VLOOKUP(VLOOKUP(AY$1,main!$A$3:$H$102,7,FALSE),main!$K$19:$O$22,MATCH(VLOOKUP($A92,main!$A$3:$H$102,8,FALSE),main!$K$18:$O$18,0))))),1,0)</f>
        <v>0</v>
      </c>
      <c r="AZ92">
        <f>IF((AND(VLOOKUP(AZ$1,main!$A$3:$H$102,5,FALSE)-VLOOKUP($A92,main!$A$3:$H$102,6,FALSE)&gt;=(VLOOKUP(VLOOKUP(AZ$1,main!$A$3:$H$102,8,FALSE),main!$K$26:$M$29,2,FALSE)+VLOOKUP(VLOOKUP(AZ$1,main!$A$3:$H$102,7,FALSE),main!$K$19:$O$22,MATCH(VLOOKUP($A92,main!$A$3:$H$102,8,FALSE),main!$K$18:$O$18,0))))),1,0)</f>
        <v>0</v>
      </c>
      <c r="BA92">
        <f>IF((AND(VLOOKUP(BA$1,main!$A$3:$H$102,5,FALSE)-VLOOKUP($A92,main!$A$3:$H$102,6,FALSE)&gt;=(VLOOKUP(VLOOKUP(BA$1,main!$A$3:$H$102,8,FALSE),main!$K$26:$M$29,2,FALSE)+VLOOKUP(VLOOKUP(BA$1,main!$A$3:$H$102,7,FALSE),main!$K$19:$O$22,MATCH(VLOOKUP($A92,main!$A$3:$H$102,8,FALSE),main!$K$18:$O$18,0))))),1,0)</f>
        <v>0</v>
      </c>
      <c r="BB92">
        <f>IF((AND(VLOOKUP(BB$1,main!$A$3:$H$102,5,FALSE)-VLOOKUP($A92,main!$A$3:$H$102,6,FALSE)&gt;=(VLOOKUP(VLOOKUP(BB$1,main!$A$3:$H$102,8,FALSE),main!$K$26:$M$29,2,FALSE)+VLOOKUP(VLOOKUP(BB$1,main!$A$3:$H$102,7,FALSE),main!$K$19:$O$22,MATCH(VLOOKUP($A92,main!$A$3:$H$102,8,FALSE),main!$K$18:$O$18,0))))),1,0)</f>
        <v>0</v>
      </c>
      <c r="BC92">
        <f>IF((AND(VLOOKUP(BC$1,main!$A$3:$H$102,5,FALSE)-VLOOKUP($A92,main!$A$3:$H$102,6,FALSE)&gt;=(VLOOKUP(VLOOKUP(BC$1,main!$A$3:$H$102,8,FALSE),main!$K$26:$M$29,2,FALSE)+VLOOKUP(VLOOKUP(BC$1,main!$A$3:$H$102,7,FALSE),main!$K$19:$O$22,MATCH(VLOOKUP($A92,main!$A$3:$H$102,8,FALSE),main!$K$18:$O$18,0))))),1,0)</f>
        <v>0</v>
      </c>
      <c r="BD92">
        <f>IF((AND(VLOOKUP(BD$1,main!$A$3:$H$102,5,FALSE)-VLOOKUP($A92,main!$A$3:$H$102,6,FALSE)&gt;=(VLOOKUP(VLOOKUP(BD$1,main!$A$3:$H$102,8,FALSE),main!$K$26:$M$29,2,FALSE)+VLOOKUP(VLOOKUP(BD$1,main!$A$3:$H$102,7,FALSE),main!$K$19:$O$22,MATCH(VLOOKUP($A92,main!$A$3:$H$102,8,FALSE),main!$K$18:$O$18,0))))),1,0)</f>
        <v>0</v>
      </c>
      <c r="BE92">
        <f>IF((AND(VLOOKUP(BE$1,main!$A$3:$H$102,5,FALSE)-VLOOKUP($A92,main!$A$3:$H$102,6,FALSE)&gt;=(VLOOKUP(VLOOKUP(BE$1,main!$A$3:$H$102,8,FALSE),main!$K$26:$M$29,2,FALSE)+VLOOKUP(VLOOKUP(BE$1,main!$A$3:$H$102,7,FALSE),main!$K$19:$O$22,MATCH(VLOOKUP($A92,main!$A$3:$H$102,8,FALSE),main!$K$18:$O$18,0))))),1,0)</f>
        <v>0</v>
      </c>
      <c r="BF92">
        <f>IF((AND(VLOOKUP(BF$1,main!$A$3:$H$102,5,FALSE)-VLOOKUP($A92,main!$A$3:$H$102,6,FALSE)&gt;=(VLOOKUP(VLOOKUP(BF$1,main!$A$3:$H$102,8,FALSE),main!$K$26:$M$29,2,FALSE)+VLOOKUP(VLOOKUP(BF$1,main!$A$3:$H$102,7,FALSE),main!$K$19:$O$22,MATCH(VLOOKUP($A92,main!$A$3:$H$102,8,FALSE),main!$K$18:$O$18,0))))),1,0)</f>
        <v>0</v>
      </c>
      <c r="BG92">
        <f>IF((AND(VLOOKUP(BG$1,main!$A$3:$H$102,5,FALSE)-VLOOKUP($A92,main!$A$3:$H$102,6,FALSE)&gt;=(VLOOKUP(VLOOKUP(BG$1,main!$A$3:$H$102,8,FALSE),main!$K$26:$M$29,2,FALSE)+VLOOKUP(VLOOKUP(BG$1,main!$A$3:$H$102,7,FALSE),main!$K$19:$O$22,MATCH(VLOOKUP($A92,main!$A$3:$H$102,8,FALSE),main!$K$18:$O$18,0))))),1,0)</f>
        <v>0</v>
      </c>
      <c r="BH92">
        <f>IF((AND(VLOOKUP(BH$1,main!$A$3:$H$102,5,FALSE)-VLOOKUP($A92,main!$A$3:$H$102,6,FALSE)&gt;=(VLOOKUP(VLOOKUP(BH$1,main!$A$3:$H$102,8,FALSE),main!$K$26:$M$29,2,FALSE)+VLOOKUP(VLOOKUP(BH$1,main!$A$3:$H$102,7,FALSE),main!$K$19:$O$22,MATCH(VLOOKUP($A92,main!$A$3:$H$102,8,FALSE),main!$K$18:$O$18,0))))),1,0)</f>
        <v>0</v>
      </c>
      <c r="BI92">
        <f>IF((AND(VLOOKUP(BI$1,main!$A$3:$H$102,5,FALSE)-VLOOKUP($A92,main!$A$3:$H$102,6,FALSE)&gt;=(VLOOKUP(VLOOKUP(BI$1,main!$A$3:$H$102,8,FALSE),main!$K$26:$M$29,2,FALSE)+VLOOKUP(VLOOKUP(BI$1,main!$A$3:$H$102,7,FALSE),main!$K$19:$O$22,MATCH(VLOOKUP($A92,main!$A$3:$H$102,8,FALSE),main!$K$18:$O$18,0))))),1,0)</f>
        <v>0</v>
      </c>
      <c r="BJ92">
        <f>IF((AND(VLOOKUP(BJ$1,main!$A$3:$H$102,5,FALSE)-VLOOKUP($A92,main!$A$3:$H$102,6,FALSE)&gt;=(VLOOKUP(VLOOKUP(BJ$1,main!$A$3:$H$102,8,FALSE),main!$K$26:$M$29,2,FALSE)+VLOOKUP(VLOOKUP(BJ$1,main!$A$3:$H$102,7,FALSE),main!$K$19:$O$22,MATCH(VLOOKUP($A92,main!$A$3:$H$102,8,FALSE),main!$K$18:$O$18,0))))),1,0)</f>
        <v>0</v>
      </c>
      <c r="BK92">
        <f>IF((AND(VLOOKUP(BK$1,main!$A$3:$H$102,5,FALSE)-VLOOKUP($A92,main!$A$3:$H$102,6,FALSE)&gt;=(VLOOKUP(VLOOKUP(BK$1,main!$A$3:$H$102,8,FALSE),main!$K$26:$M$29,2,FALSE)+VLOOKUP(VLOOKUP(BK$1,main!$A$3:$H$102,7,FALSE),main!$K$19:$O$22,MATCH(VLOOKUP($A92,main!$A$3:$H$102,8,FALSE),main!$K$18:$O$18,0))))),1,0)</f>
        <v>0</v>
      </c>
      <c r="BL92">
        <f>IF((AND(VLOOKUP(BL$1,main!$A$3:$H$102,5,FALSE)-VLOOKUP($A92,main!$A$3:$H$102,6,FALSE)&gt;=(VLOOKUP(VLOOKUP(BL$1,main!$A$3:$H$102,8,FALSE),main!$K$26:$M$29,2,FALSE)+VLOOKUP(VLOOKUP(BL$1,main!$A$3:$H$102,7,FALSE),main!$K$19:$O$22,MATCH(VLOOKUP($A92,main!$A$3:$H$102,8,FALSE),main!$K$18:$O$18,0))))),1,0)</f>
        <v>0</v>
      </c>
      <c r="BM92">
        <f>IF((AND(VLOOKUP(BM$1,main!$A$3:$H$102,5,FALSE)-VLOOKUP($A92,main!$A$3:$H$102,6,FALSE)&gt;=(VLOOKUP(VLOOKUP(BM$1,main!$A$3:$H$102,8,FALSE),main!$K$26:$M$29,2,FALSE)+VLOOKUP(VLOOKUP(BM$1,main!$A$3:$H$102,7,FALSE),main!$K$19:$O$22,MATCH(VLOOKUP($A92,main!$A$3:$H$102,8,FALSE),main!$K$18:$O$18,0))))),1,0)</f>
        <v>0</v>
      </c>
      <c r="BN92">
        <f>IF((AND(VLOOKUP(BN$1,main!$A$3:$H$102,5,FALSE)-VLOOKUP($A92,main!$A$3:$H$102,6,FALSE)&gt;=(VLOOKUP(VLOOKUP(BN$1,main!$A$3:$H$102,8,FALSE),main!$K$26:$M$29,2,FALSE)+VLOOKUP(VLOOKUP(BN$1,main!$A$3:$H$102,7,FALSE),main!$K$19:$O$22,MATCH(VLOOKUP($A92,main!$A$3:$H$102,8,FALSE),main!$K$18:$O$18,0))))),1,0)</f>
        <v>0</v>
      </c>
      <c r="BO92">
        <f>IF((AND(VLOOKUP(BO$1,main!$A$3:$H$102,5,FALSE)-VLOOKUP($A92,main!$A$3:$H$102,6,FALSE)&gt;=(VLOOKUP(VLOOKUP(BO$1,main!$A$3:$H$102,8,FALSE),main!$K$26:$M$29,2,FALSE)+VLOOKUP(VLOOKUP(BO$1,main!$A$3:$H$102,7,FALSE),main!$K$19:$O$22,MATCH(VLOOKUP($A92,main!$A$3:$H$102,8,FALSE),main!$K$18:$O$18,0))))),1,0)</f>
        <v>0</v>
      </c>
      <c r="BP92">
        <f>IF((AND(VLOOKUP(BP$1,main!$A$3:$H$102,5,FALSE)-VLOOKUP($A92,main!$A$3:$H$102,6,FALSE)&gt;=(VLOOKUP(VLOOKUP(BP$1,main!$A$3:$H$102,8,FALSE),main!$K$26:$M$29,2,FALSE)+VLOOKUP(VLOOKUP(BP$1,main!$A$3:$H$102,7,FALSE),main!$K$19:$O$22,MATCH(VLOOKUP($A92,main!$A$3:$H$102,8,FALSE),main!$K$18:$O$18,0))))),1,0)</f>
        <v>0</v>
      </c>
      <c r="BQ92">
        <f>IF((AND(VLOOKUP(BQ$1,main!$A$3:$H$102,5,FALSE)-VLOOKUP($A92,main!$A$3:$H$102,6,FALSE)&gt;=(VLOOKUP(VLOOKUP(BQ$1,main!$A$3:$H$102,8,FALSE),main!$K$26:$M$29,2,FALSE)+VLOOKUP(VLOOKUP(BQ$1,main!$A$3:$H$102,7,FALSE),main!$K$19:$O$22,MATCH(VLOOKUP($A92,main!$A$3:$H$102,8,FALSE),main!$K$18:$O$18,0))))),1,0)</f>
        <v>0</v>
      </c>
      <c r="BR92">
        <f>IF((AND(VLOOKUP(BR$1,main!$A$3:$H$102,5,FALSE)-VLOOKUP($A92,main!$A$3:$H$102,6,FALSE)&gt;=(VLOOKUP(VLOOKUP(BR$1,main!$A$3:$H$102,8,FALSE),main!$K$26:$M$29,2,FALSE)+VLOOKUP(VLOOKUP(BR$1,main!$A$3:$H$102,7,FALSE),main!$K$19:$O$22,MATCH(VLOOKUP($A92,main!$A$3:$H$102,8,FALSE),main!$K$18:$O$18,0))))),1,0)</f>
        <v>0</v>
      </c>
      <c r="BS92">
        <f>IF((AND(VLOOKUP(BS$1,main!$A$3:$H$102,5,FALSE)-VLOOKUP($A92,main!$A$3:$H$102,6,FALSE)&gt;=(VLOOKUP(VLOOKUP(BS$1,main!$A$3:$H$102,8,FALSE),main!$K$26:$M$29,2,FALSE)+VLOOKUP(VLOOKUP(BS$1,main!$A$3:$H$102,7,FALSE),main!$K$19:$O$22,MATCH(VLOOKUP($A92,main!$A$3:$H$102,8,FALSE),main!$K$18:$O$18,0))))),1,0)</f>
        <v>0</v>
      </c>
      <c r="BT92">
        <f>IF((AND(VLOOKUP(BT$1,main!$A$3:$H$102,5,FALSE)-VLOOKUP($A92,main!$A$3:$H$102,6,FALSE)&gt;=(VLOOKUP(VLOOKUP(BT$1,main!$A$3:$H$102,8,FALSE),main!$K$26:$M$29,2,FALSE)+VLOOKUP(VLOOKUP(BT$1,main!$A$3:$H$102,7,FALSE),main!$K$19:$O$22,MATCH(VLOOKUP($A92,main!$A$3:$H$102,8,FALSE),main!$K$18:$O$18,0))))),1,0)</f>
        <v>0</v>
      </c>
      <c r="BU92">
        <f>IF((AND(VLOOKUP(BU$1,main!$A$3:$H$102,5,FALSE)-VLOOKUP($A92,main!$A$3:$H$102,6,FALSE)&gt;=(VLOOKUP(VLOOKUP(BU$1,main!$A$3:$H$102,8,FALSE),main!$K$26:$M$29,2,FALSE)+VLOOKUP(VLOOKUP(BU$1,main!$A$3:$H$102,7,FALSE),main!$K$19:$O$22,MATCH(VLOOKUP($A92,main!$A$3:$H$102,8,FALSE),main!$K$18:$O$18,0))))),1,0)</f>
        <v>0</v>
      </c>
      <c r="BV92">
        <f>IF((AND(VLOOKUP(BV$1,main!$A$3:$H$102,5,FALSE)-VLOOKUP($A92,main!$A$3:$H$102,6,FALSE)&gt;=(VLOOKUP(VLOOKUP(BV$1,main!$A$3:$H$102,8,FALSE),main!$K$26:$M$29,2,FALSE)+VLOOKUP(VLOOKUP(BV$1,main!$A$3:$H$102,7,FALSE),main!$K$19:$O$22,MATCH(VLOOKUP($A92,main!$A$3:$H$102,8,FALSE),main!$K$18:$O$18,0))))),1,0)</f>
        <v>0</v>
      </c>
      <c r="BW92">
        <f>IF((AND(VLOOKUP(BW$1,main!$A$3:$H$102,5,FALSE)-VLOOKUP($A92,main!$A$3:$H$102,6,FALSE)&gt;=(VLOOKUP(VLOOKUP(BW$1,main!$A$3:$H$102,8,FALSE),main!$K$26:$M$29,2,FALSE)+VLOOKUP(VLOOKUP(BW$1,main!$A$3:$H$102,7,FALSE),main!$K$19:$O$22,MATCH(VLOOKUP($A92,main!$A$3:$H$102,8,FALSE),main!$K$18:$O$18,0))))),1,0)</f>
        <v>0</v>
      </c>
      <c r="BX92">
        <f>IF((AND(VLOOKUP(BX$1,main!$A$3:$H$102,5,FALSE)-VLOOKUP($A92,main!$A$3:$H$102,6,FALSE)&gt;=(VLOOKUP(VLOOKUP(BX$1,main!$A$3:$H$102,8,FALSE),main!$K$26:$M$29,2,FALSE)+VLOOKUP(VLOOKUP(BX$1,main!$A$3:$H$102,7,FALSE),main!$K$19:$O$22,MATCH(VLOOKUP($A92,main!$A$3:$H$102,8,FALSE),main!$K$18:$O$18,0))))),1,0)</f>
        <v>0</v>
      </c>
      <c r="BY92">
        <f>IF((AND(VLOOKUP(BY$1,main!$A$3:$H$102,5,FALSE)-VLOOKUP($A92,main!$A$3:$H$102,6,FALSE)&gt;=(VLOOKUP(VLOOKUP(BY$1,main!$A$3:$H$102,8,FALSE),main!$K$26:$M$29,2,FALSE)+VLOOKUP(VLOOKUP(BY$1,main!$A$3:$H$102,7,FALSE),main!$K$19:$O$22,MATCH(VLOOKUP($A92,main!$A$3:$H$102,8,FALSE),main!$K$18:$O$18,0))))),1,0)</f>
        <v>0</v>
      </c>
      <c r="BZ92">
        <f>IF((AND(VLOOKUP(BZ$1,main!$A$3:$H$102,5,FALSE)-VLOOKUP($A92,main!$A$3:$H$102,6,FALSE)&gt;=(VLOOKUP(VLOOKUP(BZ$1,main!$A$3:$H$102,8,FALSE),main!$K$26:$M$29,2,FALSE)+VLOOKUP(VLOOKUP(BZ$1,main!$A$3:$H$102,7,FALSE),main!$K$19:$O$22,MATCH(VLOOKUP($A92,main!$A$3:$H$102,8,FALSE),main!$K$18:$O$18,0))))),1,0)</f>
        <v>0</v>
      </c>
      <c r="CA92">
        <f>IF((AND(VLOOKUP(CA$1,main!$A$3:$H$102,5,FALSE)-VLOOKUP($A92,main!$A$3:$H$102,6,FALSE)&gt;=(VLOOKUP(VLOOKUP(CA$1,main!$A$3:$H$102,8,FALSE),main!$K$26:$M$29,2,FALSE)+VLOOKUP(VLOOKUP(CA$1,main!$A$3:$H$102,7,FALSE),main!$K$19:$O$22,MATCH(VLOOKUP($A92,main!$A$3:$H$102,8,FALSE),main!$K$18:$O$18,0))))),1,0)</f>
        <v>0</v>
      </c>
      <c r="CB92">
        <f>IF((AND(VLOOKUP(CB$1,main!$A$3:$H$102,5,FALSE)-VLOOKUP($A92,main!$A$3:$H$102,6,FALSE)&gt;=(VLOOKUP(VLOOKUP(CB$1,main!$A$3:$H$102,8,FALSE),main!$K$26:$M$29,2,FALSE)+VLOOKUP(VLOOKUP(CB$1,main!$A$3:$H$102,7,FALSE),main!$K$19:$O$22,MATCH(VLOOKUP($A92,main!$A$3:$H$102,8,FALSE),main!$K$18:$O$18,0))))),1,0)</f>
        <v>0</v>
      </c>
      <c r="CC92">
        <f>IF((AND(VLOOKUP(CC$1,main!$A$3:$H$102,5,FALSE)-VLOOKUP($A92,main!$A$3:$H$102,6,FALSE)&gt;=(VLOOKUP(VLOOKUP(CC$1,main!$A$3:$H$102,8,FALSE),main!$K$26:$M$29,2,FALSE)+VLOOKUP(VLOOKUP(CC$1,main!$A$3:$H$102,7,FALSE),main!$K$19:$O$22,MATCH(VLOOKUP($A92,main!$A$3:$H$102,8,FALSE),main!$K$18:$O$18,0))))),1,0)</f>
        <v>0</v>
      </c>
      <c r="CD92">
        <f>IF((AND(VLOOKUP(CD$1,main!$A$3:$H$102,5,FALSE)-VLOOKUP($A92,main!$A$3:$H$102,6,FALSE)&gt;=(VLOOKUP(VLOOKUP(CD$1,main!$A$3:$H$102,8,FALSE),main!$K$26:$M$29,2,FALSE)+VLOOKUP(VLOOKUP(CD$1,main!$A$3:$H$102,7,FALSE),main!$K$19:$O$22,MATCH(VLOOKUP($A92,main!$A$3:$H$102,8,FALSE),main!$K$18:$O$18,0))))),1,0)</f>
        <v>0</v>
      </c>
      <c r="CE92">
        <f>IF((AND(VLOOKUP(CE$1,main!$A$3:$H$102,5,FALSE)-VLOOKUP($A92,main!$A$3:$H$102,6,FALSE)&gt;=(VLOOKUP(VLOOKUP(CE$1,main!$A$3:$H$102,8,FALSE),main!$K$26:$M$29,2,FALSE)+VLOOKUP(VLOOKUP(CE$1,main!$A$3:$H$102,7,FALSE),main!$K$19:$O$22,MATCH(VLOOKUP($A92,main!$A$3:$H$102,8,FALSE),main!$K$18:$O$18,0))))),1,0)</f>
        <v>0</v>
      </c>
      <c r="CF92">
        <f>IF((AND(VLOOKUP(CF$1,main!$A$3:$H$102,5,FALSE)-VLOOKUP($A92,main!$A$3:$H$102,6,FALSE)&gt;=(VLOOKUP(VLOOKUP(CF$1,main!$A$3:$H$102,8,FALSE),main!$K$26:$M$29,2,FALSE)+VLOOKUP(VLOOKUP(CF$1,main!$A$3:$H$102,7,FALSE),main!$K$19:$O$22,MATCH(VLOOKUP($A92,main!$A$3:$H$102,8,FALSE),main!$K$18:$O$18,0))))),1,0)</f>
        <v>0</v>
      </c>
      <c r="CG92">
        <f>IF((AND(VLOOKUP(CG$1,main!$A$3:$H$102,5,FALSE)-VLOOKUP($A92,main!$A$3:$H$102,6,FALSE)&gt;=(VLOOKUP(VLOOKUP(CG$1,main!$A$3:$H$102,8,FALSE),main!$K$26:$M$29,2,FALSE)+VLOOKUP(VLOOKUP(CG$1,main!$A$3:$H$102,7,FALSE),main!$K$19:$O$22,MATCH(VLOOKUP($A92,main!$A$3:$H$102,8,FALSE),main!$K$18:$O$18,0))))),1,0)</f>
        <v>0</v>
      </c>
      <c r="CH92">
        <f>IF((AND(VLOOKUP(CH$1,main!$A$3:$H$102,5,FALSE)-VLOOKUP($A92,main!$A$3:$H$102,6,FALSE)&gt;=(VLOOKUP(VLOOKUP(CH$1,main!$A$3:$H$102,8,FALSE),main!$K$26:$M$29,2,FALSE)+VLOOKUP(VLOOKUP(CH$1,main!$A$3:$H$102,7,FALSE),main!$K$19:$O$22,MATCH(VLOOKUP($A92,main!$A$3:$H$102,8,FALSE),main!$K$18:$O$18,0))))),1,0)</f>
        <v>0</v>
      </c>
      <c r="CI92">
        <f>IF((AND(VLOOKUP(CI$1,main!$A$3:$H$102,5,FALSE)-VLOOKUP($A92,main!$A$3:$H$102,6,FALSE)&gt;=(VLOOKUP(VLOOKUP(CI$1,main!$A$3:$H$102,8,FALSE),main!$K$26:$M$29,2,FALSE)+VLOOKUP(VLOOKUP(CI$1,main!$A$3:$H$102,7,FALSE),main!$K$19:$O$22,MATCH(VLOOKUP($A92,main!$A$3:$H$102,8,FALSE),main!$K$18:$O$18,0))))),1,0)</f>
        <v>0</v>
      </c>
      <c r="CJ92">
        <f>IF((AND(VLOOKUP(CJ$1,main!$A$3:$H$102,5,FALSE)-VLOOKUP($A92,main!$A$3:$H$102,6,FALSE)&gt;=(VLOOKUP(VLOOKUP(CJ$1,main!$A$3:$H$102,8,FALSE),main!$K$26:$M$29,2,FALSE)+VLOOKUP(VLOOKUP(CJ$1,main!$A$3:$H$102,7,FALSE),main!$K$19:$O$22,MATCH(VLOOKUP($A92,main!$A$3:$H$102,8,FALSE),main!$K$18:$O$18,0))))),1,0)</f>
        <v>0</v>
      </c>
      <c r="CK92">
        <f>IF((AND(VLOOKUP(CK$1,main!$A$3:$H$102,5,FALSE)-VLOOKUP($A92,main!$A$3:$H$102,6,FALSE)&gt;=(VLOOKUP(VLOOKUP(CK$1,main!$A$3:$H$102,8,FALSE),main!$K$26:$M$29,2,FALSE)+VLOOKUP(VLOOKUP(CK$1,main!$A$3:$H$102,7,FALSE),main!$K$19:$O$22,MATCH(VLOOKUP($A92,main!$A$3:$H$102,8,FALSE),main!$K$18:$O$18,0))))),1,0)</f>
        <v>0</v>
      </c>
      <c r="CL92">
        <f>IF((AND(VLOOKUP(CL$1,main!$A$3:$H$102,5,FALSE)-VLOOKUP($A92,main!$A$3:$H$102,6,FALSE)&gt;=(VLOOKUP(VLOOKUP(CL$1,main!$A$3:$H$102,8,FALSE),main!$K$26:$M$29,2,FALSE)+VLOOKUP(VLOOKUP(CL$1,main!$A$3:$H$102,7,FALSE),main!$K$19:$O$22,MATCH(VLOOKUP($A92,main!$A$3:$H$102,8,FALSE),main!$K$18:$O$18,0))))),1,0)</f>
        <v>0</v>
      </c>
      <c r="CM92">
        <f>IF((AND(VLOOKUP(CM$1,main!$A$3:$H$102,5,FALSE)-VLOOKUP($A92,main!$A$3:$H$102,6,FALSE)&gt;=(VLOOKUP(VLOOKUP(CM$1,main!$A$3:$H$102,8,FALSE),main!$K$26:$M$29,2,FALSE)+VLOOKUP(VLOOKUP(CM$1,main!$A$3:$H$102,7,FALSE),main!$K$19:$O$22,MATCH(VLOOKUP($A92,main!$A$3:$H$102,8,FALSE),main!$K$18:$O$18,0))))),1,0)</f>
        <v>0</v>
      </c>
      <c r="CN92">
        <f>IF((AND(VLOOKUP(CN$1,main!$A$3:$H$102,5,FALSE)-VLOOKUP($A92,main!$A$3:$H$102,6,FALSE)&gt;=(VLOOKUP(VLOOKUP(CN$1,main!$A$3:$H$102,8,FALSE),main!$K$26:$M$29,2,FALSE)+VLOOKUP(VLOOKUP(CN$1,main!$A$3:$H$102,7,FALSE),main!$K$19:$O$22,MATCH(VLOOKUP($A92,main!$A$3:$H$102,8,FALSE),main!$K$18:$O$18,0))))),1,0)</f>
        <v>0</v>
      </c>
      <c r="CO92">
        <f>IF((AND(VLOOKUP(CO$1,main!$A$3:$H$102,5,FALSE)-VLOOKUP($A92,main!$A$3:$H$102,6,FALSE)&gt;=(VLOOKUP(VLOOKUP(CO$1,main!$A$3:$H$102,8,FALSE),main!$K$26:$M$29,2,FALSE)+VLOOKUP(VLOOKUP(CO$1,main!$A$3:$H$102,7,FALSE),main!$K$19:$O$22,MATCH(VLOOKUP($A92,main!$A$3:$H$102,8,FALSE),main!$K$18:$O$18,0))))),1,0)</f>
        <v>0</v>
      </c>
      <c r="CP92">
        <f>IF((AND(VLOOKUP(CP$1,main!$A$3:$H$102,5,FALSE)-VLOOKUP($A92,main!$A$3:$H$102,6,FALSE)&gt;=(VLOOKUP(VLOOKUP(CP$1,main!$A$3:$H$102,8,FALSE),main!$K$26:$M$29,2,FALSE)+VLOOKUP(VLOOKUP(CP$1,main!$A$3:$H$102,7,FALSE),main!$K$19:$O$22,MATCH(VLOOKUP($A92,main!$A$3:$H$102,8,FALSE),main!$K$18:$O$18,0))))),1,0)</f>
        <v>0</v>
      </c>
      <c r="CQ92">
        <f>IF((AND(VLOOKUP(CQ$1,main!$A$3:$H$102,5,FALSE)-VLOOKUP($A92,main!$A$3:$H$102,6,FALSE)&gt;=(VLOOKUP(VLOOKUP(CQ$1,main!$A$3:$H$102,8,FALSE),main!$K$26:$M$29,2,FALSE)+VLOOKUP(VLOOKUP(CQ$1,main!$A$3:$H$102,7,FALSE),main!$K$19:$O$22,MATCH(VLOOKUP($A92,main!$A$3:$H$102,8,FALSE),main!$K$18:$O$18,0))))),1,0)</f>
        <v>0</v>
      </c>
      <c r="CR92">
        <f>IF((AND(VLOOKUP(CR$1,main!$A$3:$H$102,5,FALSE)-VLOOKUP($A92,main!$A$3:$H$102,6,FALSE)&gt;=(VLOOKUP(VLOOKUP(CR$1,main!$A$3:$H$102,8,FALSE),main!$K$26:$M$29,2,FALSE)+VLOOKUP(VLOOKUP(CR$1,main!$A$3:$H$102,7,FALSE),main!$K$19:$O$22,MATCH(VLOOKUP($A92,main!$A$3:$H$102,8,FALSE),main!$K$18:$O$18,0))))),1,0)</f>
        <v>0</v>
      </c>
      <c r="CS92">
        <f>IF((AND(VLOOKUP(CS$1,main!$A$3:$H$102,5,FALSE)-VLOOKUP($A92,main!$A$3:$H$102,6,FALSE)&gt;=(VLOOKUP(VLOOKUP(CS$1,main!$A$3:$H$102,8,FALSE),main!$K$26:$M$29,2,FALSE)+VLOOKUP(VLOOKUP(CS$1,main!$A$3:$H$102,7,FALSE),main!$K$19:$O$22,MATCH(VLOOKUP($A92,main!$A$3:$H$102,8,FALSE),main!$K$18:$O$18,0))))),1,0)</f>
        <v>0</v>
      </c>
      <c r="CT92">
        <f>IF((AND(VLOOKUP(CT$1,main!$A$3:$H$102,5,FALSE)-VLOOKUP($A92,main!$A$3:$H$102,6,FALSE)&gt;=(VLOOKUP(VLOOKUP(CT$1,main!$A$3:$H$102,8,FALSE),main!$K$26:$M$29,2,FALSE)+VLOOKUP(VLOOKUP(CT$1,main!$A$3:$H$102,7,FALSE),main!$K$19:$O$22,MATCH(VLOOKUP($A92,main!$A$3:$H$102,8,FALSE),main!$K$18:$O$18,0))))),1,0)</f>
        <v>0</v>
      </c>
      <c r="CU92">
        <f>IF((AND(VLOOKUP(CU$1,main!$A$3:$H$102,5,FALSE)-VLOOKUP($A92,main!$A$3:$H$102,6,FALSE)&gt;=(VLOOKUP(VLOOKUP(CU$1,main!$A$3:$H$102,8,FALSE),main!$K$26:$M$29,2,FALSE)+VLOOKUP(VLOOKUP(CU$1,main!$A$3:$H$102,7,FALSE),main!$K$19:$O$22,MATCH(VLOOKUP($A92,main!$A$3:$H$102,8,FALSE),main!$K$18:$O$18,0))))),1,0)</f>
        <v>0</v>
      </c>
      <c r="CV92">
        <f>IF((AND(VLOOKUP(CV$1,main!$A$3:$H$102,5,FALSE)-VLOOKUP($A92,main!$A$3:$H$102,6,FALSE)&gt;=(VLOOKUP(VLOOKUP(CV$1,main!$A$3:$H$102,8,FALSE),main!$K$26:$M$29,2,FALSE)+VLOOKUP(VLOOKUP(CV$1,main!$A$3:$H$102,7,FALSE),main!$K$19:$O$22,MATCH(VLOOKUP($A92,main!$A$3:$H$102,8,FALSE),main!$K$18:$O$18,0))))),1,0)</f>
        <v>0</v>
      </c>
      <c r="CW92">
        <f>IF((AND(VLOOKUP(CW$1,main!$A$3:$H$102,5,FALSE)-VLOOKUP($A92,main!$A$3:$H$102,6,FALSE)&gt;=(VLOOKUP(VLOOKUP(CW$1,main!$A$3:$H$102,8,FALSE),main!$K$26:$M$29,2,FALSE)+VLOOKUP(VLOOKUP(CW$1,main!$A$3:$H$102,7,FALSE),main!$K$19:$O$22,MATCH(VLOOKUP($A92,main!$A$3:$H$102,8,FALSE),main!$K$18:$O$18,0))))),1,0)</f>
        <v>0</v>
      </c>
      <c r="CX92">
        <f>IF((AND(VLOOKUP(CX$1,main!$A$3:$H$102,5,FALSE)-VLOOKUP($A92,main!$A$3:$H$102,6,FALSE)&gt;=(VLOOKUP(VLOOKUP(CX$1,main!$A$3:$H$102,8,FALSE),main!$K$26:$M$29,2,FALSE)+VLOOKUP(VLOOKUP(CX$1,main!$A$3:$H$102,7,FALSE),main!$K$19:$O$22,MATCH(VLOOKUP($A92,main!$A$3:$H$102,8,FALSE),main!$K$18:$O$18,0))))),1,0)</f>
        <v>0</v>
      </c>
    </row>
    <row r="93" spans="1:102" x14ac:dyDescent="0.25">
      <c r="A93" s="1">
        <v>91</v>
      </c>
      <c r="B93">
        <v>1</v>
      </c>
      <c r="C93">
        <f>IF((AND(VLOOKUP(C$1,main!$A$3:$H$102,5,FALSE)-VLOOKUP($A93,main!$A$3:$H$102,6,FALSE)&gt;=(VLOOKUP(VLOOKUP(C$1,main!$A$3:$H$102,8,FALSE),main!$K$26:$M$29,2,FALSE)+VLOOKUP(VLOOKUP(C$1,main!$A$3:$H$102,7,FALSE),main!$K$19:$O$22,MATCH(VLOOKUP($A93,main!$A$3:$H$102,8,FALSE),main!$K$18:$O$18,0))))),1,0)</f>
        <v>0</v>
      </c>
      <c r="D93">
        <f>IF((AND(VLOOKUP(D$1,main!$A$3:$H$102,5,FALSE)-VLOOKUP($A93,main!$A$3:$H$102,6,FALSE)&gt;=(VLOOKUP(VLOOKUP(D$1,main!$A$3:$H$102,8,FALSE),main!$K$26:$M$29,2,FALSE)+VLOOKUP(VLOOKUP(D$1,main!$A$3:$H$102,7,FALSE),main!$K$19:$O$22,MATCH(VLOOKUP($A93,main!$A$3:$H$102,8,FALSE),main!$K$18:$O$18,0))))),1,0)</f>
        <v>0</v>
      </c>
      <c r="E93">
        <f>IF((AND(VLOOKUP(E$1,main!$A$3:$H$102,5,FALSE)-VLOOKUP($A93,main!$A$3:$H$102,6,FALSE)&gt;=(VLOOKUP(VLOOKUP(E$1,main!$A$3:$H$102,8,FALSE),main!$K$26:$M$29,2,FALSE)+VLOOKUP(VLOOKUP(E$1,main!$A$3:$H$102,7,FALSE),main!$K$19:$O$22,MATCH(VLOOKUP($A93,main!$A$3:$H$102,8,FALSE),main!$K$18:$O$18,0))))),1,0)</f>
        <v>0</v>
      </c>
      <c r="F93">
        <f>IF((AND(VLOOKUP(F$1,main!$A$3:$H$102,5,FALSE)-VLOOKUP($A93,main!$A$3:$H$102,6,FALSE)&gt;=(VLOOKUP(VLOOKUP(F$1,main!$A$3:$H$102,8,FALSE),main!$K$26:$M$29,2,FALSE)+VLOOKUP(VLOOKUP(F$1,main!$A$3:$H$102,7,FALSE),main!$K$19:$O$22,MATCH(VLOOKUP($A93,main!$A$3:$H$102,8,FALSE),main!$K$18:$O$18,0))))),1,0)</f>
        <v>0</v>
      </c>
      <c r="G93">
        <f>IF((AND(VLOOKUP(G$1,main!$A$3:$H$102,5,FALSE)-VLOOKUP($A93,main!$A$3:$H$102,6,FALSE)&gt;=(VLOOKUP(VLOOKUP(G$1,main!$A$3:$H$102,8,FALSE),main!$K$26:$M$29,2,FALSE)+VLOOKUP(VLOOKUP(G$1,main!$A$3:$H$102,7,FALSE),main!$K$19:$O$22,MATCH(VLOOKUP($A93,main!$A$3:$H$102,8,FALSE),main!$K$18:$O$18,0))))),1,0)</f>
        <v>1</v>
      </c>
      <c r="H93">
        <f>IF((AND(VLOOKUP(H$1,main!$A$3:$H$102,5,FALSE)-VLOOKUP($A93,main!$A$3:$H$102,6,FALSE)&gt;=(VLOOKUP(VLOOKUP(H$1,main!$A$3:$H$102,8,FALSE),main!$K$26:$M$29,2,FALSE)+VLOOKUP(VLOOKUP(H$1,main!$A$3:$H$102,7,FALSE),main!$K$19:$O$22,MATCH(VLOOKUP($A93,main!$A$3:$H$102,8,FALSE),main!$K$18:$O$18,0))))),1,0)</f>
        <v>1</v>
      </c>
      <c r="I93">
        <f>IF((AND(VLOOKUP(I$1,main!$A$3:$H$102,5,FALSE)-VLOOKUP($A93,main!$A$3:$H$102,6,FALSE)&gt;=(VLOOKUP(VLOOKUP(I$1,main!$A$3:$H$102,8,FALSE),main!$K$26:$M$29,2,FALSE)+VLOOKUP(VLOOKUP(I$1,main!$A$3:$H$102,7,FALSE),main!$K$19:$O$22,MATCH(VLOOKUP($A93,main!$A$3:$H$102,8,FALSE),main!$K$18:$O$18,0))))),1,0)</f>
        <v>1</v>
      </c>
      <c r="J93">
        <f>IF((AND(VLOOKUP(J$1,main!$A$3:$H$102,5,FALSE)-VLOOKUP($A93,main!$A$3:$H$102,6,FALSE)&gt;=(VLOOKUP(VLOOKUP(J$1,main!$A$3:$H$102,8,FALSE),main!$K$26:$M$29,2,FALSE)+VLOOKUP(VLOOKUP(J$1,main!$A$3:$H$102,7,FALSE),main!$K$19:$O$22,MATCH(VLOOKUP($A93,main!$A$3:$H$102,8,FALSE),main!$K$18:$O$18,0))))),1,0)</f>
        <v>1</v>
      </c>
      <c r="K93">
        <f>IF((AND(VLOOKUP(K$1,main!$A$3:$H$102,5,FALSE)-VLOOKUP($A93,main!$A$3:$H$102,6,FALSE)&gt;=(VLOOKUP(VLOOKUP(K$1,main!$A$3:$H$102,8,FALSE),main!$K$26:$M$29,2,FALSE)+VLOOKUP(VLOOKUP(K$1,main!$A$3:$H$102,7,FALSE),main!$K$19:$O$22,MATCH(VLOOKUP($A93,main!$A$3:$H$102,8,FALSE),main!$K$18:$O$18,0))))),1,0)</f>
        <v>1</v>
      </c>
      <c r="L93">
        <f>IF((AND(VLOOKUP(L$1,main!$A$3:$H$102,5,FALSE)-VLOOKUP($A93,main!$A$3:$H$102,6,FALSE)&gt;=(VLOOKUP(VLOOKUP(L$1,main!$A$3:$H$102,8,FALSE),main!$K$26:$M$29,2,FALSE)+VLOOKUP(VLOOKUP(L$1,main!$A$3:$H$102,7,FALSE),main!$K$19:$O$22,MATCH(VLOOKUP($A93,main!$A$3:$H$102,8,FALSE),main!$K$18:$O$18,0))))),1,0)</f>
        <v>1</v>
      </c>
      <c r="M93">
        <f>IF((AND(VLOOKUP(M$1,main!$A$3:$H$102,5,FALSE)-VLOOKUP($A93,main!$A$3:$H$102,6,FALSE)&gt;=(VLOOKUP(VLOOKUP(M$1,main!$A$3:$H$102,8,FALSE),main!$K$26:$M$29,2,FALSE)+VLOOKUP(VLOOKUP(M$1,main!$A$3:$H$102,7,FALSE),main!$K$19:$O$22,MATCH(VLOOKUP($A93,main!$A$3:$H$102,8,FALSE),main!$K$18:$O$18,0))))),1,0)</f>
        <v>0</v>
      </c>
      <c r="N93">
        <f>IF((AND(VLOOKUP(N$1,main!$A$3:$H$102,5,FALSE)-VLOOKUP($A93,main!$A$3:$H$102,6,FALSE)&gt;=(VLOOKUP(VLOOKUP(N$1,main!$A$3:$H$102,8,FALSE),main!$K$26:$M$29,2,FALSE)+VLOOKUP(VLOOKUP(N$1,main!$A$3:$H$102,7,FALSE),main!$K$19:$O$22,MATCH(VLOOKUP($A93,main!$A$3:$H$102,8,FALSE),main!$K$18:$O$18,0))))),1,0)</f>
        <v>0</v>
      </c>
      <c r="O93">
        <f>IF((AND(VLOOKUP(O$1,main!$A$3:$H$102,5,FALSE)-VLOOKUP($A93,main!$A$3:$H$102,6,FALSE)&gt;=(VLOOKUP(VLOOKUP(O$1,main!$A$3:$H$102,8,FALSE),main!$K$26:$M$29,2,FALSE)+VLOOKUP(VLOOKUP(O$1,main!$A$3:$H$102,7,FALSE),main!$K$19:$O$22,MATCH(VLOOKUP($A93,main!$A$3:$H$102,8,FALSE),main!$K$18:$O$18,0))))),1,0)</f>
        <v>0</v>
      </c>
      <c r="P93">
        <f>IF((AND(VLOOKUP(P$1,main!$A$3:$H$102,5,FALSE)-VLOOKUP($A93,main!$A$3:$H$102,6,FALSE)&gt;=(VLOOKUP(VLOOKUP(P$1,main!$A$3:$H$102,8,FALSE),main!$K$26:$M$29,2,FALSE)+VLOOKUP(VLOOKUP(P$1,main!$A$3:$H$102,7,FALSE),main!$K$19:$O$22,MATCH(VLOOKUP($A93,main!$A$3:$H$102,8,FALSE),main!$K$18:$O$18,0))))),1,0)</f>
        <v>0</v>
      </c>
      <c r="Q93">
        <f>IF((AND(VLOOKUP(Q$1,main!$A$3:$H$102,5,FALSE)-VLOOKUP($A93,main!$A$3:$H$102,6,FALSE)&gt;=(VLOOKUP(VLOOKUP(Q$1,main!$A$3:$H$102,8,FALSE),main!$K$26:$M$29,2,FALSE)+VLOOKUP(VLOOKUP(Q$1,main!$A$3:$H$102,7,FALSE),main!$K$19:$O$22,MATCH(VLOOKUP($A93,main!$A$3:$H$102,8,FALSE),main!$K$18:$O$18,0))))),1,0)</f>
        <v>0</v>
      </c>
      <c r="R93">
        <f>IF((AND(VLOOKUP(R$1,main!$A$3:$H$102,5,FALSE)-VLOOKUP($A93,main!$A$3:$H$102,6,FALSE)&gt;=(VLOOKUP(VLOOKUP(R$1,main!$A$3:$H$102,8,FALSE),main!$K$26:$M$29,2,FALSE)+VLOOKUP(VLOOKUP(R$1,main!$A$3:$H$102,7,FALSE),main!$K$19:$O$22,MATCH(VLOOKUP($A93,main!$A$3:$H$102,8,FALSE),main!$K$18:$O$18,0))))),1,0)</f>
        <v>1</v>
      </c>
      <c r="S93">
        <f>IF((AND(VLOOKUP(S$1,main!$A$3:$H$102,5,FALSE)-VLOOKUP($A93,main!$A$3:$H$102,6,FALSE)&gt;=(VLOOKUP(VLOOKUP(S$1,main!$A$3:$H$102,8,FALSE),main!$K$26:$M$29,2,FALSE)+VLOOKUP(VLOOKUP(S$1,main!$A$3:$H$102,7,FALSE),main!$K$19:$O$22,MATCH(VLOOKUP($A93,main!$A$3:$H$102,8,FALSE),main!$K$18:$O$18,0))))),1,0)</f>
        <v>1</v>
      </c>
      <c r="T93">
        <f>IF((AND(VLOOKUP(T$1,main!$A$3:$H$102,5,FALSE)-VLOOKUP($A93,main!$A$3:$H$102,6,FALSE)&gt;=(VLOOKUP(VLOOKUP(T$1,main!$A$3:$H$102,8,FALSE),main!$K$26:$M$29,2,FALSE)+VLOOKUP(VLOOKUP(T$1,main!$A$3:$H$102,7,FALSE),main!$K$19:$O$22,MATCH(VLOOKUP($A93,main!$A$3:$H$102,8,FALSE),main!$K$18:$O$18,0))))),1,0)</f>
        <v>1</v>
      </c>
      <c r="U93">
        <f>IF((AND(VLOOKUP(U$1,main!$A$3:$H$102,5,FALSE)-VLOOKUP($A93,main!$A$3:$H$102,6,FALSE)&gt;=(VLOOKUP(VLOOKUP(U$1,main!$A$3:$H$102,8,FALSE),main!$K$26:$M$29,2,FALSE)+VLOOKUP(VLOOKUP(U$1,main!$A$3:$H$102,7,FALSE),main!$K$19:$O$22,MATCH(VLOOKUP($A93,main!$A$3:$H$102,8,FALSE),main!$K$18:$O$18,0))))),1,0)</f>
        <v>1</v>
      </c>
      <c r="V93">
        <f>IF((AND(VLOOKUP(V$1,main!$A$3:$H$102,5,FALSE)-VLOOKUP($A93,main!$A$3:$H$102,6,FALSE)&gt;=(VLOOKUP(VLOOKUP(V$1,main!$A$3:$H$102,8,FALSE),main!$K$26:$M$29,2,FALSE)+VLOOKUP(VLOOKUP(V$1,main!$A$3:$H$102,7,FALSE),main!$K$19:$O$22,MATCH(VLOOKUP($A93,main!$A$3:$H$102,8,FALSE),main!$K$18:$O$18,0))))),1,0)</f>
        <v>1</v>
      </c>
      <c r="W93">
        <f>IF((AND(VLOOKUP(W$1,main!$A$3:$H$102,5,FALSE)-VLOOKUP($A93,main!$A$3:$H$102,6,FALSE)&gt;=(VLOOKUP(VLOOKUP(W$1,main!$A$3:$H$102,8,FALSE),main!$K$26:$M$29,2,FALSE)+VLOOKUP(VLOOKUP(W$1,main!$A$3:$H$102,7,FALSE),main!$K$19:$O$22,MATCH(VLOOKUP($A93,main!$A$3:$H$102,8,FALSE),main!$K$18:$O$18,0))))),1,0)</f>
        <v>0</v>
      </c>
      <c r="X93">
        <f>IF((AND(VLOOKUP(X$1,main!$A$3:$H$102,5,FALSE)-VLOOKUP($A93,main!$A$3:$H$102,6,FALSE)&gt;=(VLOOKUP(VLOOKUP(X$1,main!$A$3:$H$102,8,FALSE),main!$K$26:$M$29,2,FALSE)+VLOOKUP(VLOOKUP(X$1,main!$A$3:$H$102,7,FALSE),main!$K$19:$O$22,MATCH(VLOOKUP($A93,main!$A$3:$H$102,8,FALSE),main!$K$18:$O$18,0))))),1,0)</f>
        <v>0</v>
      </c>
      <c r="Y93">
        <f>IF((AND(VLOOKUP(Y$1,main!$A$3:$H$102,5,FALSE)-VLOOKUP($A93,main!$A$3:$H$102,6,FALSE)&gt;=(VLOOKUP(VLOOKUP(Y$1,main!$A$3:$H$102,8,FALSE),main!$K$26:$M$29,2,FALSE)+VLOOKUP(VLOOKUP(Y$1,main!$A$3:$H$102,7,FALSE),main!$K$19:$O$22,MATCH(VLOOKUP($A93,main!$A$3:$H$102,8,FALSE),main!$K$18:$O$18,0))))),1,0)</f>
        <v>1</v>
      </c>
      <c r="Z93">
        <f>IF((AND(VLOOKUP(Z$1,main!$A$3:$H$102,5,FALSE)-VLOOKUP($A93,main!$A$3:$H$102,6,FALSE)&gt;=(VLOOKUP(VLOOKUP(Z$1,main!$A$3:$H$102,8,FALSE),main!$K$26:$M$29,2,FALSE)+VLOOKUP(VLOOKUP(Z$1,main!$A$3:$H$102,7,FALSE),main!$K$19:$O$22,MATCH(VLOOKUP($A93,main!$A$3:$H$102,8,FALSE),main!$K$18:$O$18,0))))),1,0)</f>
        <v>1</v>
      </c>
      <c r="AA93">
        <f>IF((AND(VLOOKUP(AA$1,main!$A$3:$H$102,5,FALSE)-VLOOKUP($A93,main!$A$3:$H$102,6,FALSE)&gt;=(VLOOKUP(VLOOKUP(AA$1,main!$A$3:$H$102,8,FALSE),main!$K$26:$M$29,2,FALSE)+VLOOKUP(VLOOKUP(AA$1,main!$A$3:$H$102,7,FALSE),main!$K$19:$O$22,MATCH(VLOOKUP($A93,main!$A$3:$H$102,8,FALSE),main!$K$18:$O$18,0))))),1,0)</f>
        <v>1</v>
      </c>
      <c r="AB93">
        <f>IF((AND(VLOOKUP(AB$1,main!$A$3:$H$102,5,FALSE)-VLOOKUP($A93,main!$A$3:$H$102,6,FALSE)&gt;=(VLOOKUP(VLOOKUP(AB$1,main!$A$3:$H$102,8,FALSE),main!$K$26:$M$29,2,FALSE)+VLOOKUP(VLOOKUP(AB$1,main!$A$3:$H$102,7,FALSE),main!$K$19:$O$22,MATCH(VLOOKUP($A93,main!$A$3:$H$102,8,FALSE),main!$K$18:$O$18,0))))),1,0)</f>
        <v>0</v>
      </c>
      <c r="AC93">
        <f>IF((AND(VLOOKUP(AC$1,main!$A$3:$H$102,5,FALSE)-VLOOKUP($A93,main!$A$3:$H$102,6,FALSE)&gt;=(VLOOKUP(VLOOKUP(AC$1,main!$A$3:$H$102,8,FALSE),main!$K$26:$M$29,2,FALSE)+VLOOKUP(VLOOKUP(AC$1,main!$A$3:$H$102,7,FALSE),main!$K$19:$O$22,MATCH(VLOOKUP($A93,main!$A$3:$H$102,8,FALSE),main!$K$18:$O$18,0))))),1,0)</f>
        <v>0</v>
      </c>
      <c r="AD93">
        <f>IF((AND(VLOOKUP(AD$1,main!$A$3:$H$102,5,FALSE)-VLOOKUP($A93,main!$A$3:$H$102,6,FALSE)&gt;=(VLOOKUP(VLOOKUP(AD$1,main!$A$3:$H$102,8,FALSE),main!$K$26:$M$29,2,FALSE)+VLOOKUP(VLOOKUP(AD$1,main!$A$3:$H$102,7,FALSE),main!$K$19:$O$22,MATCH(VLOOKUP($A93,main!$A$3:$H$102,8,FALSE),main!$K$18:$O$18,0))))),1,0)</f>
        <v>0</v>
      </c>
      <c r="AE93">
        <f>IF((AND(VLOOKUP(AE$1,main!$A$3:$H$102,5,FALSE)-VLOOKUP($A93,main!$A$3:$H$102,6,FALSE)&gt;=(VLOOKUP(VLOOKUP(AE$1,main!$A$3:$H$102,8,FALSE),main!$K$26:$M$29,2,FALSE)+VLOOKUP(VLOOKUP(AE$1,main!$A$3:$H$102,7,FALSE),main!$K$19:$O$22,MATCH(VLOOKUP($A93,main!$A$3:$H$102,8,FALSE),main!$K$18:$O$18,0))))),1,0)</f>
        <v>1</v>
      </c>
      <c r="AF93">
        <f>IF((AND(VLOOKUP(AF$1,main!$A$3:$H$102,5,FALSE)-VLOOKUP($A93,main!$A$3:$H$102,6,FALSE)&gt;=(VLOOKUP(VLOOKUP(AF$1,main!$A$3:$H$102,8,FALSE),main!$K$26:$M$29,2,FALSE)+VLOOKUP(VLOOKUP(AF$1,main!$A$3:$H$102,7,FALSE),main!$K$19:$O$22,MATCH(VLOOKUP($A93,main!$A$3:$H$102,8,FALSE),main!$K$18:$O$18,0))))),1,0)</f>
        <v>1</v>
      </c>
      <c r="AG93">
        <f>IF((AND(VLOOKUP(AG$1,main!$A$3:$H$102,5,FALSE)-VLOOKUP($A93,main!$A$3:$H$102,6,FALSE)&gt;=(VLOOKUP(VLOOKUP(AG$1,main!$A$3:$H$102,8,FALSE),main!$K$26:$M$29,2,FALSE)+VLOOKUP(VLOOKUP(AG$1,main!$A$3:$H$102,7,FALSE),main!$K$19:$O$22,MATCH(VLOOKUP($A93,main!$A$3:$H$102,8,FALSE),main!$K$18:$O$18,0))))),1,0)</f>
        <v>0</v>
      </c>
      <c r="AH93">
        <f>IF((AND(VLOOKUP(AH$1,main!$A$3:$H$102,5,FALSE)-VLOOKUP($A93,main!$A$3:$H$102,6,FALSE)&gt;=(VLOOKUP(VLOOKUP(AH$1,main!$A$3:$H$102,8,FALSE),main!$K$26:$M$29,2,FALSE)+VLOOKUP(VLOOKUP(AH$1,main!$A$3:$H$102,7,FALSE),main!$K$19:$O$22,MATCH(VLOOKUP($A93,main!$A$3:$H$102,8,FALSE),main!$K$18:$O$18,0))))),1,0)</f>
        <v>0</v>
      </c>
      <c r="AI93">
        <f>IF((AND(VLOOKUP(AI$1,main!$A$3:$H$102,5,FALSE)-VLOOKUP($A93,main!$A$3:$H$102,6,FALSE)&gt;=(VLOOKUP(VLOOKUP(AI$1,main!$A$3:$H$102,8,FALSE),main!$K$26:$M$29,2,FALSE)+VLOOKUP(VLOOKUP(AI$1,main!$A$3:$H$102,7,FALSE),main!$K$19:$O$22,MATCH(VLOOKUP($A93,main!$A$3:$H$102,8,FALSE),main!$K$18:$O$18,0))))),1,0)</f>
        <v>0</v>
      </c>
      <c r="AJ93">
        <f>IF((AND(VLOOKUP(AJ$1,main!$A$3:$H$102,5,FALSE)-VLOOKUP($A93,main!$A$3:$H$102,6,FALSE)&gt;=(VLOOKUP(VLOOKUP(AJ$1,main!$A$3:$H$102,8,FALSE),main!$K$26:$M$29,2,FALSE)+VLOOKUP(VLOOKUP(AJ$1,main!$A$3:$H$102,7,FALSE),main!$K$19:$O$22,MATCH(VLOOKUP($A93,main!$A$3:$H$102,8,FALSE),main!$K$18:$O$18,0))))),1,0)</f>
        <v>1</v>
      </c>
      <c r="AK93">
        <f>IF((AND(VLOOKUP(AK$1,main!$A$3:$H$102,5,FALSE)-VLOOKUP($A93,main!$A$3:$H$102,6,FALSE)&gt;=(VLOOKUP(VLOOKUP(AK$1,main!$A$3:$H$102,8,FALSE),main!$K$26:$M$29,2,FALSE)+VLOOKUP(VLOOKUP(AK$1,main!$A$3:$H$102,7,FALSE),main!$K$19:$O$22,MATCH(VLOOKUP($A93,main!$A$3:$H$102,8,FALSE),main!$K$18:$O$18,0))))),1,0)</f>
        <v>1</v>
      </c>
      <c r="AL93">
        <f>IF((AND(VLOOKUP(AL$1,main!$A$3:$H$102,5,FALSE)-VLOOKUP($A93,main!$A$3:$H$102,6,FALSE)&gt;=(VLOOKUP(VLOOKUP(AL$1,main!$A$3:$H$102,8,FALSE),main!$K$26:$M$29,2,FALSE)+VLOOKUP(VLOOKUP(AL$1,main!$A$3:$H$102,7,FALSE),main!$K$19:$O$22,MATCH(VLOOKUP($A93,main!$A$3:$H$102,8,FALSE),main!$K$18:$O$18,0))))),1,0)</f>
        <v>1</v>
      </c>
      <c r="AM93">
        <f>IF((AND(VLOOKUP(AM$1,main!$A$3:$H$102,5,FALSE)-VLOOKUP($A93,main!$A$3:$H$102,6,FALSE)&gt;=(VLOOKUP(VLOOKUP(AM$1,main!$A$3:$H$102,8,FALSE),main!$K$26:$M$29,2,FALSE)+VLOOKUP(VLOOKUP(AM$1,main!$A$3:$H$102,7,FALSE),main!$K$19:$O$22,MATCH(VLOOKUP($A93,main!$A$3:$H$102,8,FALSE),main!$K$18:$O$18,0))))),1,0)</f>
        <v>1</v>
      </c>
      <c r="AN93">
        <f>IF((AND(VLOOKUP(AN$1,main!$A$3:$H$102,5,FALSE)-VLOOKUP($A93,main!$A$3:$H$102,6,FALSE)&gt;=(VLOOKUP(VLOOKUP(AN$1,main!$A$3:$H$102,8,FALSE),main!$K$26:$M$29,2,FALSE)+VLOOKUP(VLOOKUP(AN$1,main!$A$3:$H$102,7,FALSE),main!$K$19:$O$22,MATCH(VLOOKUP($A93,main!$A$3:$H$102,8,FALSE),main!$K$18:$O$18,0))))),1,0)</f>
        <v>1</v>
      </c>
      <c r="AO93">
        <f>IF((AND(VLOOKUP(AO$1,main!$A$3:$H$102,5,FALSE)-VLOOKUP($A93,main!$A$3:$H$102,6,FALSE)&gt;=(VLOOKUP(VLOOKUP(AO$1,main!$A$3:$H$102,8,FALSE),main!$K$26:$M$29,2,FALSE)+VLOOKUP(VLOOKUP(AO$1,main!$A$3:$H$102,7,FALSE),main!$K$19:$O$22,MATCH(VLOOKUP($A93,main!$A$3:$H$102,8,FALSE),main!$K$18:$O$18,0))))),1,0)</f>
        <v>0</v>
      </c>
      <c r="AP93">
        <f>IF((AND(VLOOKUP(AP$1,main!$A$3:$H$102,5,FALSE)-VLOOKUP($A93,main!$A$3:$H$102,6,FALSE)&gt;=(VLOOKUP(VLOOKUP(AP$1,main!$A$3:$H$102,8,FALSE),main!$K$26:$M$29,2,FALSE)+VLOOKUP(VLOOKUP(AP$1,main!$A$3:$H$102,7,FALSE),main!$K$19:$O$22,MATCH(VLOOKUP($A93,main!$A$3:$H$102,8,FALSE),main!$K$18:$O$18,0))))),1,0)</f>
        <v>1</v>
      </c>
      <c r="AQ93">
        <f>IF((AND(VLOOKUP(AQ$1,main!$A$3:$H$102,5,FALSE)-VLOOKUP($A93,main!$A$3:$H$102,6,FALSE)&gt;=(VLOOKUP(VLOOKUP(AQ$1,main!$A$3:$H$102,8,FALSE),main!$K$26:$M$29,2,FALSE)+VLOOKUP(VLOOKUP(AQ$1,main!$A$3:$H$102,7,FALSE),main!$K$19:$O$22,MATCH(VLOOKUP($A93,main!$A$3:$H$102,8,FALSE),main!$K$18:$O$18,0))))),1,0)</f>
        <v>0</v>
      </c>
      <c r="AR93">
        <f>IF((AND(VLOOKUP(AR$1,main!$A$3:$H$102,5,FALSE)-VLOOKUP($A93,main!$A$3:$H$102,6,FALSE)&gt;=(VLOOKUP(VLOOKUP(AR$1,main!$A$3:$H$102,8,FALSE),main!$K$26:$M$29,2,FALSE)+VLOOKUP(VLOOKUP(AR$1,main!$A$3:$H$102,7,FALSE),main!$K$19:$O$22,MATCH(VLOOKUP($A93,main!$A$3:$H$102,8,FALSE),main!$K$18:$O$18,0))))),1,0)</f>
        <v>0</v>
      </c>
      <c r="AS93">
        <f>IF((AND(VLOOKUP(AS$1,main!$A$3:$H$102,5,FALSE)-VLOOKUP($A93,main!$A$3:$H$102,6,FALSE)&gt;=(VLOOKUP(VLOOKUP(AS$1,main!$A$3:$H$102,8,FALSE),main!$K$26:$M$29,2,FALSE)+VLOOKUP(VLOOKUP(AS$1,main!$A$3:$H$102,7,FALSE),main!$K$19:$O$22,MATCH(VLOOKUP($A93,main!$A$3:$H$102,8,FALSE),main!$K$18:$O$18,0))))),1,0)</f>
        <v>1</v>
      </c>
      <c r="AT93">
        <f>IF((AND(VLOOKUP(AT$1,main!$A$3:$H$102,5,FALSE)-VLOOKUP($A93,main!$A$3:$H$102,6,FALSE)&gt;=(VLOOKUP(VLOOKUP(AT$1,main!$A$3:$H$102,8,FALSE),main!$K$26:$M$29,2,FALSE)+VLOOKUP(VLOOKUP(AT$1,main!$A$3:$H$102,7,FALSE),main!$K$19:$O$22,MATCH(VLOOKUP($A93,main!$A$3:$H$102,8,FALSE),main!$K$18:$O$18,0))))),1,0)</f>
        <v>1</v>
      </c>
      <c r="AU93">
        <f>IF((AND(VLOOKUP(AU$1,main!$A$3:$H$102,5,FALSE)-VLOOKUP($A93,main!$A$3:$H$102,6,FALSE)&gt;=(VLOOKUP(VLOOKUP(AU$1,main!$A$3:$H$102,8,FALSE),main!$K$26:$M$29,2,FALSE)+VLOOKUP(VLOOKUP(AU$1,main!$A$3:$H$102,7,FALSE),main!$K$19:$O$22,MATCH(VLOOKUP($A93,main!$A$3:$H$102,8,FALSE),main!$K$18:$O$18,0))))),1,0)</f>
        <v>0</v>
      </c>
      <c r="AV93">
        <f>IF((AND(VLOOKUP(AV$1,main!$A$3:$H$102,5,FALSE)-VLOOKUP($A93,main!$A$3:$H$102,6,FALSE)&gt;=(VLOOKUP(VLOOKUP(AV$1,main!$A$3:$H$102,8,FALSE),main!$K$26:$M$29,2,FALSE)+VLOOKUP(VLOOKUP(AV$1,main!$A$3:$H$102,7,FALSE),main!$K$19:$O$22,MATCH(VLOOKUP($A93,main!$A$3:$H$102,8,FALSE),main!$K$18:$O$18,0))))),1,0)</f>
        <v>0</v>
      </c>
      <c r="AW93">
        <f>IF((AND(VLOOKUP(AW$1,main!$A$3:$H$102,5,FALSE)-VLOOKUP($A93,main!$A$3:$H$102,6,FALSE)&gt;=(VLOOKUP(VLOOKUP(AW$1,main!$A$3:$H$102,8,FALSE),main!$K$26:$M$29,2,FALSE)+VLOOKUP(VLOOKUP(AW$1,main!$A$3:$H$102,7,FALSE),main!$K$19:$O$22,MATCH(VLOOKUP($A93,main!$A$3:$H$102,8,FALSE),main!$K$18:$O$18,0))))),1,0)</f>
        <v>1</v>
      </c>
      <c r="AX93">
        <f>IF((AND(VLOOKUP(AX$1,main!$A$3:$H$102,5,FALSE)-VLOOKUP($A93,main!$A$3:$H$102,6,FALSE)&gt;=(VLOOKUP(VLOOKUP(AX$1,main!$A$3:$H$102,8,FALSE),main!$K$26:$M$29,2,FALSE)+VLOOKUP(VLOOKUP(AX$1,main!$A$3:$H$102,7,FALSE),main!$K$19:$O$22,MATCH(VLOOKUP($A93,main!$A$3:$H$102,8,FALSE),main!$K$18:$O$18,0))))),1,0)</f>
        <v>0</v>
      </c>
      <c r="AY93">
        <f>IF((AND(VLOOKUP(AY$1,main!$A$3:$H$102,5,FALSE)-VLOOKUP($A93,main!$A$3:$H$102,6,FALSE)&gt;=(VLOOKUP(VLOOKUP(AY$1,main!$A$3:$H$102,8,FALSE),main!$K$26:$M$29,2,FALSE)+VLOOKUP(VLOOKUP(AY$1,main!$A$3:$H$102,7,FALSE),main!$K$19:$O$22,MATCH(VLOOKUP($A93,main!$A$3:$H$102,8,FALSE),main!$K$18:$O$18,0))))),1,0)</f>
        <v>0</v>
      </c>
      <c r="AZ93">
        <f>IF((AND(VLOOKUP(AZ$1,main!$A$3:$H$102,5,FALSE)-VLOOKUP($A93,main!$A$3:$H$102,6,FALSE)&gt;=(VLOOKUP(VLOOKUP(AZ$1,main!$A$3:$H$102,8,FALSE),main!$K$26:$M$29,2,FALSE)+VLOOKUP(VLOOKUP(AZ$1,main!$A$3:$H$102,7,FALSE),main!$K$19:$O$22,MATCH(VLOOKUP($A93,main!$A$3:$H$102,8,FALSE),main!$K$18:$O$18,0))))),1,0)</f>
        <v>0</v>
      </c>
      <c r="BA93">
        <f>IF((AND(VLOOKUP(BA$1,main!$A$3:$H$102,5,FALSE)-VLOOKUP($A93,main!$A$3:$H$102,6,FALSE)&gt;=(VLOOKUP(VLOOKUP(BA$1,main!$A$3:$H$102,8,FALSE),main!$K$26:$M$29,2,FALSE)+VLOOKUP(VLOOKUP(BA$1,main!$A$3:$H$102,7,FALSE),main!$K$19:$O$22,MATCH(VLOOKUP($A93,main!$A$3:$H$102,8,FALSE),main!$K$18:$O$18,0))))),1,0)</f>
        <v>0</v>
      </c>
      <c r="BB93">
        <f>IF((AND(VLOOKUP(BB$1,main!$A$3:$H$102,5,FALSE)-VLOOKUP($A93,main!$A$3:$H$102,6,FALSE)&gt;=(VLOOKUP(VLOOKUP(BB$1,main!$A$3:$H$102,8,FALSE),main!$K$26:$M$29,2,FALSE)+VLOOKUP(VLOOKUP(BB$1,main!$A$3:$H$102,7,FALSE),main!$K$19:$O$22,MATCH(VLOOKUP($A93,main!$A$3:$H$102,8,FALSE),main!$K$18:$O$18,0))))),1,0)</f>
        <v>0</v>
      </c>
      <c r="BC93">
        <f>IF((AND(VLOOKUP(BC$1,main!$A$3:$H$102,5,FALSE)-VLOOKUP($A93,main!$A$3:$H$102,6,FALSE)&gt;=(VLOOKUP(VLOOKUP(BC$1,main!$A$3:$H$102,8,FALSE),main!$K$26:$M$29,2,FALSE)+VLOOKUP(VLOOKUP(BC$1,main!$A$3:$H$102,7,FALSE),main!$K$19:$O$22,MATCH(VLOOKUP($A93,main!$A$3:$H$102,8,FALSE),main!$K$18:$O$18,0))))),1,0)</f>
        <v>1</v>
      </c>
      <c r="BD93">
        <f>IF((AND(VLOOKUP(BD$1,main!$A$3:$H$102,5,FALSE)-VLOOKUP($A93,main!$A$3:$H$102,6,FALSE)&gt;=(VLOOKUP(VLOOKUP(BD$1,main!$A$3:$H$102,8,FALSE),main!$K$26:$M$29,2,FALSE)+VLOOKUP(VLOOKUP(BD$1,main!$A$3:$H$102,7,FALSE),main!$K$19:$O$22,MATCH(VLOOKUP($A93,main!$A$3:$H$102,8,FALSE),main!$K$18:$O$18,0))))),1,0)</f>
        <v>1</v>
      </c>
      <c r="BE93">
        <f>IF((AND(VLOOKUP(BE$1,main!$A$3:$H$102,5,FALSE)-VLOOKUP($A93,main!$A$3:$H$102,6,FALSE)&gt;=(VLOOKUP(VLOOKUP(BE$1,main!$A$3:$H$102,8,FALSE),main!$K$26:$M$29,2,FALSE)+VLOOKUP(VLOOKUP(BE$1,main!$A$3:$H$102,7,FALSE),main!$K$19:$O$22,MATCH(VLOOKUP($A93,main!$A$3:$H$102,8,FALSE),main!$K$18:$O$18,0))))),1,0)</f>
        <v>1</v>
      </c>
      <c r="BF93">
        <f>IF((AND(VLOOKUP(BF$1,main!$A$3:$H$102,5,FALSE)-VLOOKUP($A93,main!$A$3:$H$102,6,FALSE)&gt;=(VLOOKUP(VLOOKUP(BF$1,main!$A$3:$H$102,8,FALSE),main!$K$26:$M$29,2,FALSE)+VLOOKUP(VLOOKUP(BF$1,main!$A$3:$H$102,7,FALSE),main!$K$19:$O$22,MATCH(VLOOKUP($A93,main!$A$3:$H$102,8,FALSE),main!$K$18:$O$18,0))))),1,0)</f>
        <v>0</v>
      </c>
      <c r="BG93">
        <f>IF((AND(VLOOKUP(BG$1,main!$A$3:$H$102,5,FALSE)-VLOOKUP($A93,main!$A$3:$H$102,6,FALSE)&gt;=(VLOOKUP(VLOOKUP(BG$1,main!$A$3:$H$102,8,FALSE),main!$K$26:$M$29,2,FALSE)+VLOOKUP(VLOOKUP(BG$1,main!$A$3:$H$102,7,FALSE),main!$K$19:$O$22,MATCH(VLOOKUP($A93,main!$A$3:$H$102,8,FALSE),main!$K$18:$O$18,0))))),1,0)</f>
        <v>0</v>
      </c>
      <c r="BH93">
        <f>IF((AND(VLOOKUP(BH$1,main!$A$3:$H$102,5,FALSE)-VLOOKUP($A93,main!$A$3:$H$102,6,FALSE)&gt;=(VLOOKUP(VLOOKUP(BH$1,main!$A$3:$H$102,8,FALSE),main!$K$26:$M$29,2,FALSE)+VLOOKUP(VLOOKUP(BH$1,main!$A$3:$H$102,7,FALSE),main!$K$19:$O$22,MATCH(VLOOKUP($A93,main!$A$3:$H$102,8,FALSE),main!$K$18:$O$18,0))))),1,0)</f>
        <v>1</v>
      </c>
      <c r="BI93">
        <f>IF((AND(VLOOKUP(BI$1,main!$A$3:$H$102,5,FALSE)-VLOOKUP($A93,main!$A$3:$H$102,6,FALSE)&gt;=(VLOOKUP(VLOOKUP(BI$1,main!$A$3:$H$102,8,FALSE),main!$K$26:$M$29,2,FALSE)+VLOOKUP(VLOOKUP(BI$1,main!$A$3:$H$102,7,FALSE),main!$K$19:$O$22,MATCH(VLOOKUP($A93,main!$A$3:$H$102,8,FALSE),main!$K$18:$O$18,0))))),1,0)</f>
        <v>1</v>
      </c>
      <c r="BJ93">
        <f>IF((AND(VLOOKUP(BJ$1,main!$A$3:$H$102,5,FALSE)-VLOOKUP($A93,main!$A$3:$H$102,6,FALSE)&gt;=(VLOOKUP(VLOOKUP(BJ$1,main!$A$3:$H$102,8,FALSE),main!$K$26:$M$29,2,FALSE)+VLOOKUP(VLOOKUP(BJ$1,main!$A$3:$H$102,7,FALSE),main!$K$19:$O$22,MATCH(VLOOKUP($A93,main!$A$3:$H$102,8,FALSE),main!$K$18:$O$18,0))))),1,0)</f>
        <v>1</v>
      </c>
      <c r="BK93">
        <f>IF((AND(VLOOKUP(BK$1,main!$A$3:$H$102,5,FALSE)-VLOOKUP($A93,main!$A$3:$H$102,6,FALSE)&gt;=(VLOOKUP(VLOOKUP(BK$1,main!$A$3:$H$102,8,FALSE),main!$K$26:$M$29,2,FALSE)+VLOOKUP(VLOOKUP(BK$1,main!$A$3:$H$102,7,FALSE),main!$K$19:$O$22,MATCH(VLOOKUP($A93,main!$A$3:$H$102,8,FALSE),main!$K$18:$O$18,0))))),1,0)</f>
        <v>0</v>
      </c>
      <c r="BL93">
        <f>IF((AND(VLOOKUP(BL$1,main!$A$3:$H$102,5,FALSE)-VLOOKUP($A93,main!$A$3:$H$102,6,FALSE)&gt;=(VLOOKUP(VLOOKUP(BL$1,main!$A$3:$H$102,8,FALSE),main!$K$26:$M$29,2,FALSE)+VLOOKUP(VLOOKUP(BL$1,main!$A$3:$H$102,7,FALSE),main!$K$19:$O$22,MATCH(VLOOKUP($A93,main!$A$3:$H$102,8,FALSE),main!$K$18:$O$18,0))))),1,0)</f>
        <v>0</v>
      </c>
      <c r="BM93">
        <f>IF((AND(VLOOKUP(BM$1,main!$A$3:$H$102,5,FALSE)-VLOOKUP($A93,main!$A$3:$H$102,6,FALSE)&gt;=(VLOOKUP(VLOOKUP(BM$1,main!$A$3:$H$102,8,FALSE),main!$K$26:$M$29,2,FALSE)+VLOOKUP(VLOOKUP(BM$1,main!$A$3:$H$102,7,FALSE),main!$K$19:$O$22,MATCH(VLOOKUP($A93,main!$A$3:$H$102,8,FALSE),main!$K$18:$O$18,0))))),1,0)</f>
        <v>0</v>
      </c>
      <c r="BN93">
        <f>IF((AND(VLOOKUP(BN$1,main!$A$3:$H$102,5,FALSE)-VLOOKUP($A93,main!$A$3:$H$102,6,FALSE)&gt;=(VLOOKUP(VLOOKUP(BN$1,main!$A$3:$H$102,8,FALSE),main!$K$26:$M$29,2,FALSE)+VLOOKUP(VLOOKUP(BN$1,main!$A$3:$H$102,7,FALSE),main!$K$19:$O$22,MATCH(VLOOKUP($A93,main!$A$3:$H$102,8,FALSE),main!$K$18:$O$18,0))))),1,0)</f>
        <v>1</v>
      </c>
      <c r="BO93">
        <f>IF((AND(VLOOKUP(BO$1,main!$A$3:$H$102,5,FALSE)-VLOOKUP($A93,main!$A$3:$H$102,6,FALSE)&gt;=(VLOOKUP(VLOOKUP(BO$1,main!$A$3:$H$102,8,FALSE),main!$K$26:$M$29,2,FALSE)+VLOOKUP(VLOOKUP(BO$1,main!$A$3:$H$102,7,FALSE),main!$K$19:$O$22,MATCH(VLOOKUP($A93,main!$A$3:$H$102,8,FALSE),main!$K$18:$O$18,0))))),1,0)</f>
        <v>0</v>
      </c>
      <c r="BP93">
        <f>IF((AND(VLOOKUP(BP$1,main!$A$3:$H$102,5,FALSE)-VLOOKUP($A93,main!$A$3:$H$102,6,FALSE)&gt;=(VLOOKUP(VLOOKUP(BP$1,main!$A$3:$H$102,8,FALSE),main!$K$26:$M$29,2,FALSE)+VLOOKUP(VLOOKUP(BP$1,main!$A$3:$H$102,7,FALSE),main!$K$19:$O$22,MATCH(VLOOKUP($A93,main!$A$3:$H$102,8,FALSE),main!$K$18:$O$18,0))))),1,0)</f>
        <v>0</v>
      </c>
      <c r="BQ93">
        <f>IF((AND(VLOOKUP(BQ$1,main!$A$3:$H$102,5,FALSE)-VLOOKUP($A93,main!$A$3:$H$102,6,FALSE)&gt;=(VLOOKUP(VLOOKUP(BQ$1,main!$A$3:$H$102,8,FALSE),main!$K$26:$M$29,2,FALSE)+VLOOKUP(VLOOKUP(BQ$1,main!$A$3:$H$102,7,FALSE),main!$K$19:$O$22,MATCH(VLOOKUP($A93,main!$A$3:$H$102,8,FALSE),main!$K$18:$O$18,0))))),1,0)</f>
        <v>1</v>
      </c>
      <c r="BR93">
        <f>IF((AND(VLOOKUP(BR$1,main!$A$3:$H$102,5,FALSE)-VLOOKUP($A93,main!$A$3:$H$102,6,FALSE)&gt;=(VLOOKUP(VLOOKUP(BR$1,main!$A$3:$H$102,8,FALSE),main!$K$26:$M$29,2,FALSE)+VLOOKUP(VLOOKUP(BR$1,main!$A$3:$H$102,7,FALSE),main!$K$19:$O$22,MATCH(VLOOKUP($A93,main!$A$3:$H$102,8,FALSE),main!$K$18:$O$18,0))))),1,0)</f>
        <v>1</v>
      </c>
      <c r="BS93">
        <f>IF((AND(VLOOKUP(BS$1,main!$A$3:$H$102,5,FALSE)-VLOOKUP($A93,main!$A$3:$H$102,6,FALSE)&gt;=(VLOOKUP(VLOOKUP(BS$1,main!$A$3:$H$102,8,FALSE),main!$K$26:$M$29,2,FALSE)+VLOOKUP(VLOOKUP(BS$1,main!$A$3:$H$102,7,FALSE),main!$K$19:$O$22,MATCH(VLOOKUP($A93,main!$A$3:$H$102,8,FALSE),main!$K$18:$O$18,0))))),1,0)</f>
        <v>1</v>
      </c>
      <c r="BT93">
        <f>IF((AND(VLOOKUP(BT$1,main!$A$3:$H$102,5,FALSE)-VLOOKUP($A93,main!$A$3:$H$102,6,FALSE)&gt;=(VLOOKUP(VLOOKUP(BT$1,main!$A$3:$H$102,8,FALSE),main!$K$26:$M$29,2,FALSE)+VLOOKUP(VLOOKUP(BT$1,main!$A$3:$H$102,7,FALSE),main!$K$19:$O$22,MATCH(VLOOKUP($A93,main!$A$3:$H$102,8,FALSE),main!$K$18:$O$18,0))))),1,0)</f>
        <v>0</v>
      </c>
      <c r="BU93">
        <f>IF((AND(VLOOKUP(BU$1,main!$A$3:$H$102,5,FALSE)-VLOOKUP($A93,main!$A$3:$H$102,6,FALSE)&gt;=(VLOOKUP(VLOOKUP(BU$1,main!$A$3:$H$102,8,FALSE),main!$K$26:$M$29,2,FALSE)+VLOOKUP(VLOOKUP(BU$1,main!$A$3:$H$102,7,FALSE),main!$K$19:$O$22,MATCH(VLOOKUP($A93,main!$A$3:$H$102,8,FALSE),main!$K$18:$O$18,0))))),1,0)</f>
        <v>0</v>
      </c>
      <c r="BV93">
        <f>IF((AND(VLOOKUP(BV$1,main!$A$3:$H$102,5,FALSE)-VLOOKUP($A93,main!$A$3:$H$102,6,FALSE)&gt;=(VLOOKUP(VLOOKUP(BV$1,main!$A$3:$H$102,8,FALSE),main!$K$26:$M$29,2,FALSE)+VLOOKUP(VLOOKUP(BV$1,main!$A$3:$H$102,7,FALSE),main!$K$19:$O$22,MATCH(VLOOKUP($A93,main!$A$3:$H$102,8,FALSE),main!$K$18:$O$18,0))))),1,0)</f>
        <v>0</v>
      </c>
      <c r="BW93">
        <f>IF((AND(VLOOKUP(BW$1,main!$A$3:$H$102,5,FALSE)-VLOOKUP($A93,main!$A$3:$H$102,6,FALSE)&gt;=(VLOOKUP(VLOOKUP(BW$1,main!$A$3:$H$102,8,FALSE),main!$K$26:$M$29,2,FALSE)+VLOOKUP(VLOOKUP(BW$1,main!$A$3:$H$102,7,FALSE),main!$K$19:$O$22,MATCH(VLOOKUP($A93,main!$A$3:$H$102,8,FALSE),main!$K$18:$O$18,0))))),1,0)</f>
        <v>0</v>
      </c>
      <c r="BX93">
        <f>IF((AND(VLOOKUP(BX$1,main!$A$3:$H$102,5,FALSE)-VLOOKUP($A93,main!$A$3:$H$102,6,FALSE)&gt;=(VLOOKUP(VLOOKUP(BX$1,main!$A$3:$H$102,8,FALSE),main!$K$26:$M$29,2,FALSE)+VLOOKUP(VLOOKUP(BX$1,main!$A$3:$H$102,7,FALSE),main!$K$19:$O$22,MATCH(VLOOKUP($A93,main!$A$3:$H$102,8,FALSE),main!$K$18:$O$18,0))))),1,0)</f>
        <v>1</v>
      </c>
      <c r="BY93">
        <f>IF((AND(VLOOKUP(BY$1,main!$A$3:$H$102,5,FALSE)-VLOOKUP($A93,main!$A$3:$H$102,6,FALSE)&gt;=(VLOOKUP(VLOOKUP(BY$1,main!$A$3:$H$102,8,FALSE),main!$K$26:$M$29,2,FALSE)+VLOOKUP(VLOOKUP(BY$1,main!$A$3:$H$102,7,FALSE),main!$K$19:$O$22,MATCH(VLOOKUP($A93,main!$A$3:$H$102,8,FALSE),main!$K$18:$O$18,0))))),1,0)</f>
        <v>1</v>
      </c>
      <c r="BZ93">
        <f>IF((AND(VLOOKUP(BZ$1,main!$A$3:$H$102,5,FALSE)-VLOOKUP($A93,main!$A$3:$H$102,6,FALSE)&gt;=(VLOOKUP(VLOOKUP(BZ$1,main!$A$3:$H$102,8,FALSE),main!$K$26:$M$29,2,FALSE)+VLOOKUP(VLOOKUP(BZ$1,main!$A$3:$H$102,7,FALSE),main!$K$19:$O$22,MATCH(VLOOKUP($A93,main!$A$3:$H$102,8,FALSE),main!$K$18:$O$18,0))))),1,0)</f>
        <v>0</v>
      </c>
      <c r="CA93">
        <f>IF((AND(VLOOKUP(CA$1,main!$A$3:$H$102,5,FALSE)-VLOOKUP($A93,main!$A$3:$H$102,6,FALSE)&gt;=(VLOOKUP(VLOOKUP(CA$1,main!$A$3:$H$102,8,FALSE),main!$K$26:$M$29,2,FALSE)+VLOOKUP(VLOOKUP(CA$1,main!$A$3:$H$102,7,FALSE),main!$K$19:$O$22,MATCH(VLOOKUP($A93,main!$A$3:$H$102,8,FALSE),main!$K$18:$O$18,0))))),1,0)</f>
        <v>0</v>
      </c>
      <c r="CB93">
        <f>IF((AND(VLOOKUP(CB$1,main!$A$3:$H$102,5,FALSE)-VLOOKUP($A93,main!$A$3:$H$102,6,FALSE)&gt;=(VLOOKUP(VLOOKUP(CB$1,main!$A$3:$H$102,8,FALSE),main!$K$26:$M$29,2,FALSE)+VLOOKUP(VLOOKUP(CB$1,main!$A$3:$H$102,7,FALSE),main!$K$19:$O$22,MATCH(VLOOKUP($A93,main!$A$3:$H$102,8,FALSE),main!$K$18:$O$18,0))))),1,0)</f>
        <v>1</v>
      </c>
      <c r="CC93">
        <f>IF((AND(VLOOKUP(CC$1,main!$A$3:$H$102,5,FALSE)-VLOOKUP($A93,main!$A$3:$H$102,6,FALSE)&gt;=(VLOOKUP(VLOOKUP(CC$1,main!$A$3:$H$102,8,FALSE),main!$K$26:$M$29,2,FALSE)+VLOOKUP(VLOOKUP(CC$1,main!$A$3:$H$102,7,FALSE),main!$K$19:$O$22,MATCH(VLOOKUP($A93,main!$A$3:$H$102,8,FALSE),main!$K$18:$O$18,0))))),1,0)</f>
        <v>1</v>
      </c>
      <c r="CD93">
        <f>IF((AND(VLOOKUP(CD$1,main!$A$3:$H$102,5,FALSE)-VLOOKUP($A93,main!$A$3:$H$102,6,FALSE)&gt;=(VLOOKUP(VLOOKUP(CD$1,main!$A$3:$H$102,8,FALSE),main!$K$26:$M$29,2,FALSE)+VLOOKUP(VLOOKUP(CD$1,main!$A$3:$H$102,7,FALSE),main!$K$19:$O$22,MATCH(VLOOKUP($A93,main!$A$3:$H$102,8,FALSE),main!$K$18:$O$18,0))))),1,0)</f>
        <v>1</v>
      </c>
      <c r="CE93">
        <f>IF((AND(VLOOKUP(CE$1,main!$A$3:$H$102,5,FALSE)-VLOOKUP($A93,main!$A$3:$H$102,6,FALSE)&gt;=(VLOOKUP(VLOOKUP(CE$1,main!$A$3:$H$102,8,FALSE),main!$K$26:$M$29,2,FALSE)+VLOOKUP(VLOOKUP(CE$1,main!$A$3:$H$102,7,FALSE),main!$K$19:$O$22,MATCH(VLOOKUP($A93,main!$A$3:$H$102,8,FALSE),main!$K$18:$O$18,0))))),1,0)</f>
        <v>0</v>
      </c>
      <c r="CF93">
        <f>IF((AND(VLOOKUP(CF$1,main!$A$3:$H$102,5,FALSE)-VLOOKUP($A93,main!$A$3:$H$102,6,FALSE)&gt;=(VLOOKUP(VLOOKUP(CF$1,main!$A$3:$H$102,8,FALSE),main!$K$26:$M$29,2,FALSE)+VLOOKUP(VLOOKUP(CF$1,main!$A$3:$H$102,7,FALSE),main!$K$19:$O$22,MATCH(VLOOKUP($A93,main!$A$3:$H$102,8,FALSE),main!$K$18:$O$18,0))))),1,0)</f>
        <v>0</v>
      </c>
      <c r="CG93">
        <f>IF((AND(VLOOKUP(CG$1,main!$A$3:$H$102,5,FALSE)-VLOOKUP($A93,main!$A$3:$H$102,6,FALSE)&gt;=(VLOOKUP(VLOOKUP(CG$1,main!$A$3:$H$102,8,FALSE),main!$K$26:$M$29,2,FALSE)+VLOOKUP(VLOOKUP(CG$1,main!$A$3:$H$102,7,FALSE),main!$K$19:$O$22,MATCH(VLOOKUP($A93,main!$A$3:$H$102,8,FALSE),main!$K$18:$O$18,0))))),1,0)</f>
        <v>1</v>
      </c>
      <c r="CH93">
        <f>IF((AND(VLOOKUP(CH$1,main!$A$3:$H$102,5,FALSE)-VLOOKUP($A93,main!$A$3:$H$102,6,FALSE)&gt;=(VLOOKUP(VLOOKUP(CH$1,main!$A$3:$H$102,8,FALSE),main!$K$26:$M$29,2,FALSE)+VLOOKUP(VLOOKUP(CH$1,main!$A$3:$H$102,7,FALSE),main!$K$19:$O$22,MATCH(VLOOKUP($A93,main!$A$3:$H$102,8,FALSE),main!$K$18:$O$18,0))))),1,0)</f>
        <v>1</v>
      </c>
      <c r="CI93">
        <f>IF((AND(VLOOKUP(CI$1,main!$A$3:$H$102,5,FALSE)-VLOOKUP($A93,main!$A$3:$H$102,6,FALSE)&gt;=(VLOOKUP(VLOOKUP(CI$1,main!$A$3:$H$102,8,FALSE),main!$K$26:$M$29,2,FALSE)+VLOOKUP(VLOOKUP(CI$1,main!$A$3:$H$102,7,FALSE),main!$K$19:$O$22,MATCH(VLOOKUP($A93,main!$A$3:$H$102,8,FALSE),main!$K$18:$O$18,0))))),1,0)</f>
        <v>1</v>
      </c>
      <c r="CJ93">
        <f>IF((AND(VLOOKUP(CJ$1,main!$A$3:$H$102,5,FALSE)-VLOOKUP($A93,main!$A$3:$H$102,6,FALSE)&gt;=(VLOOKUP(VLOOKUP(CJ$1,main!$A$3:$H$102,8,FALSE),main!$K$26:$M$29,2,FALSE)+VLOOKUP(VLOOKUP(CJ$1,main!$A$3:$H$102,7,FALSE),main!$K$19:$O$22,MATCH(VLOOKUP($A93,main!$A$3:$H$102,8,FALSE),main!$K$18:$O$18,0))))),1,0)</f>
        <v>1</v>
      </c>
      <c r="CK93">
        <f>IF((AND(VLOOKUP(CK$1,main!$A$3:$H$102,5,FALSE)-VLOOKUP($A93,main!$A$3:$H$102,6,FALSE)&gt;=(VLOOKUP(VLOOKUP(CK$1,main!$A$3:$H$102,8,FALSE),main!$K$26:$M$29,2,FALSE)+VLOOKUP(VLOOKUP(CK$1,main!$A$3:$H$102,7,FALSE),main!$K$19:$O$22,MATCH(VLOOKUP($A93,main!$A$3:$H$102,8,FALSE),main!$K$18:$O$18,0))))),1,0)</f>
        <v>0</v>
      </c>
      <c r="CL93">
        <f>IF((AND(VLOOKUP(CL$1,main!$A$3:$H$102,5,FALSE)-VLOOKUP($A93,main!$A$3:$H$102,6,FALSE)&gt;=(VLOOKUP(VLOOKUP(CL$1,main!$A$3:$H$102,8,FALSE),main!$K$26:$M$29,2,FALSE)+VLOOKUP(VLOOKUP(CL$1,main!$A$3:$H$102,7,FALSE),main!$K$19:$O$22,MATCH(VLOOKUP($A93,main!$A$3:$H$102,8,FALSE),main!$K$18:$O$18,0))))),1,0)</f>
        <v>1</v>
      </c>
      <c r="CM93">
        <f>IF((AND(VLOOKUP(CM$1,main!$A$3:$H$102,5,FALSE)-VLOOKUP($A93,main!$A$3:$H$102,6,FALSE)&gt;=(VLOOKUP(VLOOKUP(CM$1,main!$A$3:$H$102,8,FALSE),main!$K$26:$M$29,2,FALSE)+VLOOKUP(VLOOKUP(CM$1,main!$A$3:$H$102,7,FALSE),main!$K$19:$O$22,MATCH(VLOOKUP($A93,main!$A$3:$H$102,8,FALSE),main!$K$18:$O$18,0))))),1,0)</f>
        <v>1</v>
      </c>
      <c r="CN93">
        <f>IF((AND(VLOOKUP(CN$1,main!$A$3:$H$102,5,FALSE)-VLOOKUP($A93,main!$A$3:$H$102,6,FALSE)&gt;=(VLOOKUP(VLOOKUP(CN$1,main!$A$3:$H$102,8,FALSE),main!$K$26:$M$29,2,FALSE)+VLOOKUP(VLOOKUP(CN$1,main!$A$3:$H$102,7,FALSE),main!$K$19:$O$22,MATCH(VLOOKUP($A93,main!$A$3:$H$102,8,FALSE),main!$K$18:$O$18,0))))),1,0)</f>
        <v>1</v>
      </c>
      <c r="CO93">
        <f>IF((AND(VLOOKUP(CO$1,main!$A$3:$H$102,5,FALSE)-VLOOKUP($A93,main!$A$3:$H$102,6,FALSE)&gt;=(VLOOKUP(VLOOKUP(CO$1,main!$A$3:$H$102,8,FALSE),main!$K$26:$M$29,2,FALSE)+VLOOKUP(VLOOKUP(CO$1,main!$A$3:$H$102,7,FALSE),main!$K$19:$O$22,MATCH(VLOOKUP($A93,main!$A$3:$H$102,8,FALSE),main!$K$18:$O$18,0))))),1,0)</f>
        <v>0</v>
      </c>
      <c r="CP93">
        <f>IF((AND(VLOOKUP(CP$1,main!$A$3:$H$102,5,FALSE)-VLOOKUP($A93,main!$A$3:$H$102,6,FALSE)&gt;=(VLOOKUP(VLOOKUP(CP$1,main!$A$3:$H$102,8,FALSE),main!$K$26:$M$29,2,FALSE)+VLOOKUP(VLOOKUP(CP$1,main!$A$3:$H$102,7,FALSE),main!$K$19:$O$22,MATCH(VLOOKUP($A93,main!$A$3:$H$102,8,FALSE),main!$K$18:$O$18,0))))),1,0)</f>
        <v>0</v>
      </c>
      <c r="CQ93">
        <f>IF((AND(VLOOKUP(CQ$1,main!$A$3:$H$102,5,FALSE)-VLOOKUP($A93,main!$A$3:$H$102,6,FALSE)&gt;=(VLOOKUP(VLOOKUP(CQ$1,main!$A$3:$H$102,8,FALSE),main!$K$26:$M$29,2,FALSE)+VLOOKUP(VLOOKUP(CQ$1,main!$A$3:$H$102,7,FALSE),main!$K$19:$O$22,MATCH(VLOOKUP($A93,main!$A$3:$H$102,8,FALSE),main!$K$18:$O$18,0))))),1,0)</f>
        <v>0</v>
      </c>
      <c r="CR93">
        <f>IF((AND(VLOOKUP(CR$1,main!$A$3:$H$102,5,FALSE)-VLOOKUP($A93,main!$A$3:$H$102,6,FALSE)&gt;=(VLOOKUP(VLOOKUP(CR$1,main!$A$3:$H$102,8,FALSE),main!$K$26:$M$29,2,FALSE)+VLOOKUP(VLOOKUP(CR$1,main!$A$3:$H$102,7,FALSE),main!$K$19:$O$22,MATCH(VLOOKUP($A93,main!$A$3:$H$102,8,FALSE),main!$K$18:$O$18,0))))),1,0)</f>
        <v>1</v>
      </c>
      <c r="CS93">
        <f>IF((AND(VLOOKUP(CS$1,main!$A$3:$H$102,5,FALSE)-VLOOKUP($A93,main!$A$3:$H$102,6,FALSE)&gt;=(VLOOKUP(VLOOKUP(CS$1,main!$A$3:$H$102,8,FALSE),main!$K$26:$M$29,2,FALSE)+VLOOKUP(VLOOKUP(CS$1,main!$A$3:$H$102,7,FALSE),main!$K$19:$O$22,MATCH(VLOOKUP($A93,main!$A$3:$H$102,8,FALSE),main!$K$18:$O$18,0))))),1,0)</f>
        <v>1</v>
      </c>
      <c r="CT93">
        <f>IF((AND(VLOOKUP(CT$1,main!$A$3:$H$102,5,FALSE)-VLOOKUP($A93,main!$A$3:$H$102,6,FALSE)&gt;=(VLOOKUP(VLOOKUP(CT$1,main!$A$3:$H$102,8,FALSE),main!$K$26:$M$29,2,FALSE)+VLOOKUP(VLOOKUP(CT$1,main!$A$3:$H$102,7,FALSE),main!$K$19:$O$22,MATCH(VLOOKUP($A93,main!$A$3:$H$102,8,FALSE),main!$K$18:$O$18,0))))),1,0)</f>
        <v>0</v>
      </c>
      <c r="CU93">
        <f>IF((AND(VLOOKUP(CU$1,main!$A$3:$H$102,5,FALSE)-VLOOKUP($A93,main!$A$3:$H$102,6,FALSE)&gt;=(VLOOKUP(VLOOKUP(CU$1,main!$A$3:$H$102,8,FALSE),main!$K$26:$M$29,2,FALSE)+VLOOKUP(VLOOKUP(CU$1,main!$A$3:$H$102,7,FALSE),main!$K$19:$O$22,MATCH(VLOOKUP($A93,main!$A$3:$H$102,8,FALSE),main!$K$18:$O$18,0))))),1,0)</f>
        <v>0</v>
      </c>
      <c r="CV93">
        <f>IF((AND(VLOOKUP(CV$1,main!$A$3:$H$102,5,FALSE)-VLOOKUP($A93,main!$A$3:$H$102,6,FALSE)&gt;=(VLOOKUP(VLOOKUP(CV$1,main!$A$3:$H$102,8,FALSE),main!$K$26:$M$29,2,FALSE)+VLOOKUP(VLOOKUP(CV$1,main!$A$3:$H$102,7,FALSE),main!$K$19:$O$22,MATCH(VLOOKUP($A93,main!$A$3:$H$102,8,FALSE),main!$K$18:$O$18,0))))),1,0)</f>
        <v>0</v>
      </c>
      <c r="CW93">
        <f>IF((AND(VLOOKUP(CW$1,main!$A$3:$H$102,5,FALSE)-VLOOKUP($A93,main!$A$3:$H$102,6,FALSE)&gt;=(VLOOKUP(VLOOKUP(CW$1,main!$A$3:$H$102,8,FALSE),main!$K$26:$M$29,2,FALSE)+VLOOKUP(VLOOKUP(CW$1,main!$A$3:$H$102,7,FALSE),main!$K$19:$O$22,MATCH(VLOOKUP($A93,main!$A$3:$H$102,8,FALSE),main!$K$18:$O$18,0))))),1,0)</f>
        <v>1</v>
      </c>
      <c r="CX93">
        <f>IF((AND(VLOOKUP(CX$1,main!$A$3:$H$102,5,FALSE)-VLOOKUP($A93,main!$A$3:$H$102,6,FALSE)&gt;=(VLOOKUP(VLOOKUP(CX$1,main!$A$3:$H$102,8,FALSE),main!$K$26:$M$29,2,FALSE)+VLOOKUP(VLOOKUP(CX$1,main!$A$3:$H$102,7,FALSE),main!$K$19:$O$22,MATCH(VLOOKUP($A93,main!$A$3:$H$102,8,FALSE),main!$K$18:$O$18,0))))),1,0)</f>
        <v>1</v>
      </c>
    </row>
    <row r="94" spans="1:102" x14ac:dyDescent="0.25">
      <c r="A94" s="1">
        <v>92</v>
      </c>
      <c r="B94">
        <v>1</v>
      </c>
      <c r="C94">
        <f>IF((AND(VLOOKUP(C$1,main!$A$3:$H$102,5,FALSE)-VLOOKUP($A94,main!$A$3:$H$102,6,FALSE)&gt;=(VLOOKUP(VLOOKUP(C$1,main!$A$3:$H$102,8,FALSE),main!$K$26:$M$29,2,FALSE)+VLOOKUP(VLOOKUP(C$1,main!$A$3:$H$102,7,FALSE),main!$K$19:$O$22,MATCH(VLOOKUP($A94,main!$A$3:$H$102,8,FALSE),main!$K$18:$O$18,0))))),1,0)</f>
        <v>0</v>
      </c>
      <c r="D94">
        <f>IF((AND(VLOOKUP(D$1,main!$A$3:$H$102,5,FALSE)-VLOOKUP($A94,main!$A$3:$H$102,6,FALSE)&gt;=(VLOOKUP(VLOOKUP(D$1,main!$A$3:$H$102,8,FALSE),main!$K$26:$M$29,2,FALSE)+VLOOKUP(VLOOKUP(D$1,main!$A$3:$H$102,7,FALSE),main!$K$19:$O$22,MATCH(VLOOKUP($A94,main!$A$3:$H$102,8,FALSE),main!$K$18:$O$18,0))))),1,0)</f>
        <v>0</v>
      </c>
      <c r="E94">
        <f>IF((AND(VLOOKUP(E$1,main!$A$3:$H$102,5,FALSE)-VLOOKUP($A94,main!$A$3:$H$102,6,FALSE)&gt;=(VLOOKUP(VLOOKUP(E$1,main!$A$3:$H$102,8,FALSE),main!$K$26:$M$29,2,FALSE)+VLOOKUP(VLOOKUP(E$1,main!$A$3:$H$102,7,FALSE),main!$K$19:$O$22,MATCH(VLOOKUP($A94,main!$A$3:$H$102,8,FALSE),main!$K$18:$O$18,0))))),1,0)</f>
        <v>0</v>
      </c>
      <c r="F94">
        <f>IF((AND(VLOOKUP(F$1,main!$A$3:$H$102,5,FALSE)-VLOOKUP($A94,main!$A$3:$H$102,6,FALSE)&gt;=(VLOOKUP(VLOOKUP(F$1,main!$A$3:$H$102,8,FALSE),main!$K$26:$M$29,2,FALSE)+VLOOKUP(VLOOKUP(F$1,main!$A$3:$H$102,7,FALSE),main!$K$19:$O$22,MATCH(VLOOKUP($A94,main!$A$3:$H$102,8,FALSE),main!$K$18:$O$18,0))))),1,0)</f>
        <v>0</v>
      </c>
      <c r="G94">
        <f>IF((AND(VLOOKUP(G$1,main!$A$3:$H$102,5,FALSE)-VLOOKUP($A94,main!$A$3:$H$102,6,FALSE)&gt;=(VLOOKUP(VLOOKUP(G$1,main!$A$3:$H$102,8,FALSE),main!$K$26:$M$29,2,FALSE)+VLOOKUP(VLOOKUP(G$1,main!$A$3:$H$102,7,FALSE),main!$K$19:$O$22,MATCH(VLOOKUP($A94,main!$A$3:$H$102,8,FALSE),main!$K$18:$O$18,0))))),1,0)</f>
        <v>0</v>
      </c>
      <c r="H94">
        <f>IF((AND(VLOOKUP(H$1,main!$A$3:$H$102,5,FALSE)-VLOOKUP($A94,main!$A$3:$H$102,6,FALSE)&gt;=(VLOOKUP(VLOOKUP(H$1,main!$A$3:$H$102,8,FALSE),main!$K$26:$M$29,2,FALSE)+VLOOKUP(VLOOKUP(H$1,main!$A$3:$H$102,7,FALSE),main!$K$19:$O$22,MATCH(VLOOKUP($A94,main!$A$3:$H$102,8,FALSE),main!$K$18:$O$18,0))))),1,0)</f>
        <v>0</v>
      </c>
      <c r="I94">
        <f>IF((AND(VLOOKUP(I$1,main!$A$3:$H$102,5,FALSE)-VLOOKUP($A94,main!$A$3:$H$102,6,FALSE)&gt;=(VLOOKUP(VLOOKUP(I$1,main!$A$3:$H$102,8,FALSE),main!$K$26:$M$29,2,FALSE)+VLOOKUP(VLOOKUP(I$1,main!$A$3:$H$102,7,FALSE),main!$K$19:$O$22,MATCH(VLOOKUP($A94,main!$A$3:$H$102,8,FALSE),main!$K$18:$O$18,0))))),1,0)</f>
        <v>1</v>
      </c>
      <c r="J94">
        <f>IF((AND(VLOOKUP(J$1,main!$A$3:$H$102,5,FALSE)-VLOOKUP($A94,main!$A$3:$H$102,6,FALSE)&gt;=(VLOOKUP(VLOOKUP(J$1,main!$A$3:$H$102,8,FALSE),main!$K$26:$M$29,2,FALSE)+VLOOKUP(VLOOKUP(J$1,main!$A$3:$H$102,7,FALSE),main!$K$19:$O$22,MATCH(VLOOKUP($A94,main!$A$3:$H$102,8,FALSE),main!$K$18:$O$18,0))))),1,0)</f>
        <v>1</v>
      </c>
      <c r="K94">
        <f>IF((AND(VLOOKUP(K$1,main!$A$3:$H$102,5,FALSE)-VLOOKUP($A94,main!$A$3:$H$102,6,FALSE)&gt;=(VLOOKUP(VLOOKUP(K$1,main!$A$3:$H$102,8,FALSE),main!$K$26:$M$29,2,FALSE)+VLOOKUP(VLOOKUP(K$1,main!$A$3:$H$102,7,FALSE),main!$K$19:$O$22,MATCH(VLOOKUP($A94,main!$A$3:$H$102,8,FALSE),main!$K$18:$O$18,0))))),1,0)</f>
        <v>1</v>
      </c>
      <c r="L94">
        <f>IF((AND(VLOOKUP(L$1,main!$A$3:$H$102,5,FALSE)-VLOOKUP($A94,main!$A$3:$H$102,6,FALSE)&gt;=(VLOOKUP(VLOOKUP(L$1,main!$A$3:$H$102,8,FALSE),main!$K$26:$M$29,2,FALSE)+VLOOKUP(VLOOKUP(L$1,main!$A$3:$H$102,7,FALSE),main!$K$19:$O$22,MATCH(VLOOKUP($A94,main!$A$3:$H$102,8,FALSE),main!$K$18:$O$18,0))))),1,0)</f>
        <v>1</v>
      </c>
      <c r="M94">
        <f>IF((AND(VLOOKUP(M$1,main!$A$3:$H$102,5,FALSE)-VLOOKUP($A94,main!$A$3:$H$102,6,FALSE)&gt;=(VLOOKUP(VLOOKUP(M$1,main!$A$3:$H$102,8,FALSE),main!$K$26:$M$29,2,FALSE)+VLOOKUP(VLOOKUP(M$1,main!$A$3:$H$102,7,FALSE),main!$K$19:$O$22,MATCH(VLOOKUP($A94,main!$A$3:$H$102,8,FALSE),main!$K$18:$O$18,0))))),1,0)</f>
        <v>0</v>
      </c>
      <c r="N94">
        <f>IF((AND(VLOOKUP(N$1,main!$A$3:$H$102,5,FALSE)-VLOOKUP($A94,main!$A$3:$H$102,6,FALSE)&gt;=(VLOOKUP(VLOOKUP(N$1,main!$A$3:$H$102,8,FALSE),main!$K$26:$M$29,2,FALSE)+VLOOKUP(VLOOKUP(N$1,main!$A$3:$H$102,7,FALSE),main!$K$19:$O$22,MATCH(VLOOKUP($A94,main!$A$3:$H$102,8,FALSE),main!$K$18:$O$18,0))))),1,0)</f>
        <v>0</v>
      </c>
      <c r="O94">
        <f>IF((AND(VLOOKUP(O$1,main!$A$3:$H$102,5,FALSE)-VLOOKUP($A94,main!$A$3:$H$102,6,FALSE)&gt;=(VLOOKUP(VLOOKUP(O$1,main!$A$3:$H$102,8,FALSE),main!$K$26:$M$29,2,FALSE)+VLOOKUP(VLOOKUP(O$1,main!$A$3:$H$102,7,FALSE),main!$K$19:$O$22,MATCH(VLOOKUP($A94,main!$A$3:$H$102,8,FALSE),main!$K$18:$O$18,0))))),1,0)</f>
        <v>0</v>
      </c>
      <c r="P94">
        <f>IF((AND(VLOOKUP(P$1,main!$A$3:$H$102,5,FALSE)-VLOOKUP($A94,main!$A$3:$H$102,6,FALSE)&gt;=(VLOOKUP(VLOOKUP(P$1,main!$A$3:$H$102,8,FALSE),main!$K$26:$M$29,2,FALSE)+VLOOKUP(VLOOKUP(P$1,main!$A$3:$H$102,7,FALSE),main!$K$19:$O$22,MATCH(VLOOKUP($A94,main!$A$3:$H$102,8,FALSE),main!$K$18:$O$18,0))))),1,0)</f>
        <v>0</v>
      </c>
      <c r="Q94">
        <f>IF((AND(VLOOKUP(Q$1,main!$A$3:$H$102,5,FALSE)-VLOOKUP($A94,main!$A$3:$H$102,6,FALSE)&gt;=(VLOOKUP(VLOOKUP(Q$1,main!$A$3:$H$102,8,FALSE),main!$K$26:$M$29,2,FALSE)+VLOOKUP(VLOOKUP(Q$1,main!$A$3:$H$102,7,FALSE),main!$K$19:$O$22,MATCH(VLOOKUP($A94,main!$A$3:$H$102,8,FALSE),main!$K$18:$O$18,0))))),1,0)</f>
        <v>0</v>
      </c>
      <c r="R94">
        <f>IF((AND(VLOOKUP(R$1,main!$A$3:$H$102,5,FALSE)-VLOOKUP($A94,main!$A$3:$H$102,6,FALSE)&gt;=(VLOOKUP(VLOOKUP(R$1,main!$A$3:$H$102,8,FALSE),main!$K$26:$M$29,2,FALSE)+VLOOKUP(VLOOKUP(R$1,main!$A$3:$H$102,7,FALSE),main!$K$19:$O$22,MATCH(VLOOKUP($A94,main!$A$3:$H$102,8,FALSE),main!$K$18:$O$18,0))))),1,0)</f>
        <v>0</v>
      </c>
      <c r="S94">
        <f>IF((AND(VLOOKUP(S$1,main!$A$3:$H$102,5,FALSE)-VLOOKUP($A94,main!$A$3:$H$102,6,FALSE)&gt;=(VLOOKUP(VLOOKUP(S$1,main!$A$3:$H$102,8,FALSE),main!$K$26:$M$29,2,FALSE)+VLOOKUP(VLOOKUP(S$1,main!$A$3:$H$102,7,FALSE),main!$K$19:$O$22,MATCH(VLOOKUP($A94,main!$A$3:$H$102,8,FALSE),main!$K$18:$O$18,0))))),1,0)</f>
        <v>0</v>
      </c>
      <c r="T94">
        <f>IF((AND(VLOOKUP(T$1,main!$A$3:$H$102,5,FALSE)-VLOOKUP($A94,main!$A$3:$H$102,6,FALSE)&gt;=(VLOOKUP(VLOOKUP(T$1,main!$A$3:$H$102,8,FALSE),main!$K$26:$M$29,2,FALSE)+VLOOKUP(VLOOKUP(T$1,main!$A$3:$H$102,7,FALSE),main!$K$19:$O$22,MATCH(VLOOKUP($A94,main!$A$3:$H$102,8,FALSE),main!$K$18:$O$18,0))))),1,0)</f>
        <v>1</v>
      </c>
      <c r="U94">
        <f>IF((AND(VLOOKUP(U$1,main!$A$3:$H$102,5,FALSE)-VLOOKUP($A94,main!$A$3:$H$102,6,FALSE)&gt;=(VLOOKUP(VLOOKUP(U$1,main!$A$3:$H$102,8,FALSE),main!$K$26:$M$29,2,FALSE)+VLOOKUP(VLOOKUP(U$1,main!$A$3:$H$102,7,FALSE),main!$K$19:$O$22,MATCH(VLOOKUP($A94,main!$A$3:$H$102,8,FALSE),main!$K$18:$O$18,0))))),1,0)</f>
        <v>1</v>
      </c>
      <c r="V94">
        <f>IF((AND(VLOOKUP(V$1,main!$A$3:$H$102,5,FALSE)-VLOOKUP($A94,main!$A$3:$H$102,6,FALSE)&gt;=(VLOOKUP(VLOOKUP(V$1,main!$A$3:$H$102,8,FALSE),main!$K$26:$M$29,2,FALSE)+VLOOKUP(VLOOKUP(V$1,main!$A$3:$H$102,7,FALSE),main!$K$19:$O$22,MATCH(VLOOKUP($A94,main!$A$3:$H$102,8,FALSE),main!$K$18:$O$18,0))))),1,0)</f>
        <v>1</v>
      </c>
      <c r="W94">
        <f>IF((AND(VLOOKUP(W$1,main!$A$3:$H$102,5,FALSE)-VLOOKUP($A94,main!$A$3:$H$102,6,FALSE)&gt;=(VLOOKUP(VLOOKUP(W$1,main!$A$3:$H$102,8,FALSE),main!$K$26:$M$29,2,FALSE)+VLOOKUP(VLOOKUP(W$1,main!$A$3:$H$102,7,FALSE),main!$K$19:$O$22,MATCH(VLOOKUP($A94,main!$A$3:$H$102,8,FALSE),main!$K$18:$O$18,0))))),1,0)</f>
        <v>0</v>
      </c>
      <c r="X94">
        <f>IF((AND(VLOOKUP(X$1,main!$A$3:$H$102,5,FALSE)-VLOOKUP($A94,main!$A$3:$H$102,6,FALSE)&gt;=(VLOOKUP(VLOOKUP(X$1,main!$A$3:$H$102,8,FALSE),main!$K$26:$M$29,2,FALSE)+VLOOKUP(VLOOKUP(X$1,main!$A$3:$H$102,7,FALSE),main!$K$19:$O$22,MATCH(VLOOKUP($A94,main!$A$3:$H$102,8,FALSE),main!$K$18:$O$18,0))))),1,0)</f>
        <v>0</v>
      </c>
      <c r="Y94">
        <f>IF((AND(VLOOKUP(Y$1,main!$A$3:$H$102,5,FALSE)-VLOOKUP($A94,main!$A$3:$H$102,6,FALSE)&gt;=(VLOOKUP(VLOOKUP(Y$1,main!$A$3:$H$102,8,FALSE),main!$K$26:$M$29,2,FALSE)+VLOOKUP(VLOOKUP(Y$1,main!$A$3:$H$102,7,FALSE),main!$K$19:$O$22,MATCH(VLOOKUP($A94,main!$A$3:$H$102,8,FALSE),main!$K$18:$O$18,0))))),1,0)</f>
        <v>0</v>
      </c>
      <c r="Z94">
        <f>IF((AND(VLOOKUP(Z$1,main!$A$3:$H$102,5,FALSE)-VLOOKUP($A94,main!$A$3:$H$102,6,FALSE)&gt;=(VLOOKUP(VLOOKUP(Z$1,main!$A$3:$H$102,8,FALSE),main!$K$26:$M$29,2,FALSE)+VLOOKUP(VLOOKUP(Z$1,main!$A$3:$H$102,7,FALSE),main!$K$19:$O$22,MATCH(VLOOKUP($A94,main!$A$3:$H$102,8,FALSE),main!$K$18:$O$18,0))))),1,0)</f>
        <v>1</v>
      </c>
      <c r="AA94">
        <f>IF((AND(VLOOKUP(AA$1,main!$A$3:$H$102,5,FALSE)-VLOOKUP($A94,main!$A$3:$H$102,6,FALSE)&gt;=(VLOOKUP(VLOOKUP(AA$1,main!$A$3:$H$102,8,FALSE),main!$K$26:$M$29,2,FALSE)+VLOOKUP(VLOOKUP(AA$1,main!$A$3:$H$102,7,FALSE),main!$K$19:$O$22,MATCH(VLOOKUP($A94,main!$A$3:$H$102,8,FALSE),main!$K$18:$O$18,0))))),1,0)</f>
        <v>1</v>
      </c>
      <c r="AB94">
        <f>IF((AND(VLOOKUP(AB$1,main!$A$3:$H$102,5,FALSE)-VLOOKUP($A94,main!$A$3:$H$102,6,FALSE)&gt;=(VLOOKUP(VLOOKUP(AB$1,main!$A$3:$H$102,8,FALSE),main!$K$26:$M$29,2,FALSE)+VLOOKUP(VLOOKUP(AB$1,main!$A$3:$H$102,7,FALSE),main!$K$19:$O$22,MATCH(VLOOKUP($A94,main!$A$3:$H$102,8,FALSE),main!$K$18:$O$18,0))))),1,0)</f>
        <v>0</v>
      </c>
      <c r="AC94">
        <f>IF((AND(VLOOKUP(AC$1,main!$A$3:$H$102,5,FALSE)-VLOOKUP($A94,main!$A$3:$H$102,6,FALSE)&gt;=(VLOOKUP(VLOOKUP(AC$1,main!$A$3:$H$102,8,FALSE),main!$K$26:$M$29,2,FALSE)+VLOOKUP(VLOOKUP(AC$1,main!$A$3:$H$102,7,FALSE),main!$K$19:$O$22,MATCH(VLOOKUP($A94,main!$A$3:$H$102,8,FALSE),main!$K$18:$O$18,0))))),1,0)</f>
        <v>0</v>
      </c>
      <c r="AD94">
        <f>IF((AND(VLOOKUP(AD$1,main!$A$3:$H$102,5,FALSE)-VLOOKUP($A94,main!$A$3:$H$102,6,FALSE)&gt;=(VLOOKUP(VLOOKUP(AD$1,main!$A$3:$H$102,8,FALSE),main!$K$26:$M$29,2,FALSE)+VLOOKUP(VLOOKUP(AD$1,main!$A$3:$H$102,7,FALSE),main!$K$19:$O$22,MATCH(VLOOKUP($A94,main!$A$3:$H$102,8,FALSE),main!$K$18:$O$18,0))))),1,0)</f>
        <v>0</v>
      </c>
      <c r="AE94">
        <f>IF((AND(VLOOKUP(AE$1,main!$A$3:$H$102,5,FALSE)-VLOOKUP($A94,main!$A$3:$H$102,6,FALSE)&gt;=(VLOOKUP(VLOOKUP(AE$1,main!$A$3:$H$102,8,FALSE),main!$K$26:$M$29,2,FALSE)+VLOOKUP(VLOOKUP(AE$1,main!$A$3:$H$102,7,FALSE),main!$K$19:$O$22,MATCH(VLOOKUP($A94,main!$A$3:$H$102,8,FALSE),main!$K$18:$O$18,0))))),1,0)</f>
        <v>1</v>
      </c>
      <c r="AF94">
        <f>IF((AND(VLOOKUP(AF$1,main!$A$3:$H$102,5,FALSE)-VLOOKUP($A94,main!$A$3:$H$102,6,FALSE)&gt;=(VLOOKUP(VLOOKUP(AF$1,main!$A$3:$H$102,8,FALSE),main!$K$26:$M$29,2,FALSE)+VLOOKUP(VLOOKUP(AF$1,main!$A$3:$H$102,7,FALSE),main!$K$19:$O$22,MATCH(VLOOKUP($A94,main!$A$3:$H$102,8,FALSE),main!$K$18:$O$18,0))))),1,0)</f>
        <v>1</v>
      </c>
      <c r="AG94">
        <f>IF((AND(VLOOKUP(AG$1,main!$A$3:$H$102,5,FALSE)-VLOOKUP($A94,main!$A$3:$H$102,6,FALSE)&gt;=(VLOOKUP(VLOOKUP(AG$1,main!$A$3:$H$102,8,FALSE),main!$K$26:$M$29,2,FALSE)+VLOOKUP(VLOOKUP(AG$1,main!$A$3:$H$102,7,FALSE),main!$K$19:$O$22,MATCH(VLOOKUP($A94,main!$A$3:$H$102,8,FALSE),main!$K$18:$O$18,0))))),1,0)</f>
        <v>0</v>
      </c>
      <c r="AH94">
        <f>IF((AND(VLOOKUP(AH$1,main!$A$3:$H$102,5,FALSE)-VLOOKUP($A94,main!$A$3:$H$102,6,FALSE)&gt;=(VLOOKUP(VLOOKUP(AH$1,main!$A$3:$H$102,8,FALSE),main!$K$26:$M$29,2,FALSE)+VLOOKUP(VLOOKUP(AH$1,main!$A$3:$H$102,7,FALSE),main!$K$19:$O$22,MATCH(VLOOKUP($A94,main!$A$3:$H$102,8,FALSE),main!$K$18:$O$18,0))))),1,0)</f>
        <v>0</v>
      </c>
      <c r="AI94">
        <f>IF((AND(VLOOKUP(AI$1,main!$A$3:$H$102,5,FALSE)-VLOOKUP($A94,main!$A$3:$H$102,6,FALSE)&gt;=(VLOOKUP(VLOOKUP(AI$1,main!$A$3:$H$102,8,FALSE),main!$K$26:$M$29,2,FALSE)+VLOOKUP(VLOOKUP(AI$1,main!$A$3:$H$102,7,FALSE),main!$K$19:$O$22,MATCH(VLOOKUP($A94,main!$A$3:$H$102,8,FALSE),main!$K$18:$O$18,0))))),1,0)</f>
        <v>0</v>
      </c>
      <c r="AJ94">
        <f>IF((AND(VLOOKUP(AJ$1,main!$A$3:$H$102,5,FALSE)-VLOOKUP($A94,main!$A$3:$H$102,6,FALSE)&gt;=(VLOOKUP(VLOOKUP(AJ$1,main!$A$3:$H$102,8,FALSE),main!$K$26:$M$29,2,FALSE)+VLOOKUP(VLOOKUP(AJ$1,main!$A$3:$H$102,7,FALSE),main!$K$19:$O$22,MATCH(VLOOKUP($A94,main!$A$3:$H$102,8,FALSE),main!$K$18:$O$18,0))))),1,0)</f>
        <v>0</v>
      </c>
      <c r="AK94">
        <f>IF((AND(VLOOKUP(AK$1,main!$A$3:$H$102,5,FALSE)-VLOOKUP($A94,main!$A$3:$H$102,6,FALSE)&gt;=(VLOOKUP(VLOOKUP(AK$1,main!$A$3:$H$102,8,FALSE),main!$K$26:$M$29,2,FALSE)+VLOOKUP(VLOOKUP(AK$1,main!$A$3:$H$102,7,FALSE),main!$K$19:$O$22,MATCH(VLOOKUP($A94,main!$A$3:$H$102,8,FALSE),main!$K$18:$O$18,0))))),1,0)</f>
        <v>0</v>
      </c>
      <c r="AL94">
        <f>IF((AND(VLOOKUP(AL$1,main!$A$3:$H$102,5,FALSE)-VLOOKUP($A94,main!$A$3:$H$102,6,FALSE)&gt;=(VLOOKUP(VLOOKUP(AL$1,main!$A$3:$H$102,8,FALSE),main!$K$26:$M$29,2,FALSE)+VLOOKUP(VLOOKUP(AL$1,main!$A$3:$H$102,7,FALSE),main!$K$19:$O$22,MATCH(VLOOKUP($A94,main!$A$3:$H$102,8,FALSE),main!$K$18:$O$18,0))))),1,0)</f>
        <v>1</v>
      </c>
      <c r="AM94">
        <f>IF((AND(VLOOKUP(AM$1,main!$A$3:$H$102,5,FALSE)-VLOOKUP($A94,main!$A$3:$H$102,6,FALSE)&gt;=(VLOOKUP(VLOOKUP(AM$1,main!$A$3:$H$102,8,FALSE),main!$K$26:$M$29,2,FALSE)+VLOOKUP(VLOOKUP(AM$1,main!$A$3:$H$102,7,FALSE),main!$K$19:$O$22,MATCH(VLOOKUP($A94,main!$A$3:$H$102,8,FALSE),main!$K$18:$O$18,0))))),1,0)</f>
        <v>1</v>
      </c>
      <c r="AN94">
        <f>IF((AND(VLOOKUP(AN$1,main!$A$3:$H$102,5,FALSE)-VLOOKUP($A94,main!$A$3:$H$102,6,FALSE)&gt;=(VLOOKUP(VLOOKUP(AN$1,main!$A$3:$H$102,8,FALSE),main!$K$26:$M$29,2,FALSE)+VLOOKUP(VLOOKUP(AN$1,main!$A$3:$H$102,7,FALSE),main!$K$19:$O$22,MATCH(VLOOKUP($A94,main!$A$3:$H$102,8,FALSE),main!$K$18:$O$18,0))))),1,0)</f>
        <v>1</v>
      </c>
      <c r="AO94">
        <f>IF((AND(VLOOKUP(AO$1,main!$A$3:$H$102,5,FALSE)-VLOOKUP($A94,main!$A$3:$H$102,6,FALSE)&gt;=(VLOOKUP(VLOOKUP(AO$1,main!$A$3:$H$102,8,FALSE),main!$K$26:$M$29,2,FALSE)+VLOOKUP(VLOOKUP(AO$1,main!$A$3:$H$102,7,FALSE),main!$K$19:$O$22,MATCH(VLOOKUP($A94,main!$A$3:$H$102,8,FALSE),main!$K$18:$O$18,0))))),1,0)</f>
        <v>0</v>
      </c>
      <c r="AP94">
        <f>IF((AND(VLOOKUP(AP$1,main!$A$3:$H$102,5,FALSE)-VLOOKUP($A94,main!$A$3:$H$102,6,FALSE)&gt;=(VLOOKUP(VLOOKUP(AP$1,main!$A$3:$H$102,8,FALSE),main!$K$26:$M$29,2,FALSE)+VLOOKUP(VLOOKUP(AP$1,main!$A$3:$H$102,7,FALSE),main!$K$19:$O$22,MATCH(VLOOKUP($A94,main!$A$3:$H$102,8,FALSE),main!$K$18:$O$18,0))))),1,0)</f>
        <v>1</v>
      </c>
      <c r="AQ94">
        <f>IF((AND(VLOOKUP(AQ$1,main!$A$3:$H$102,5,FALSE)-VLOOKUP($A94,main!$A$3:$H$102,6,FALSE)&gt;=(VLOOKUP(VLOOKUP(AQ$1,main!$A$3:$H$102,8,FALSE),main!$K$26:$M$29,2,FALSE)+VLOOKUP(VLOOKUP(AQ$1,main!$A$3:$H$102,7,FALSE),main!$K$19:$O$22,MATCH(VLOOKUP($A94,main!$A$3:$H$102,8,FALSE),main!$K$18:$O$18,0))))),1,0)</f>
        <v>0</v>
      </c>
      <c r="AR94">
        <f>IF((AND(VLOOKUP(AR$1,main!$A$3:$H$102,5,FALSE)-VLOOKUP($A94,main!$A$3:$H$102,6,FALSE)&gt;=(VLOOKUP(VLOOKUP(AR$1,main!$A$3:$H$102,8,FALSE),main!$K$26:$M$29,2,FALSE)+VLOOKUP(VLOOKUP(AR$1,main!$A$3:$H$102,7,FALSE),main!$K$19:$O$22,MATCH(VLOOKUP($A94,main!$A$3:$H$102,8,FALSE),main!$K$18:$O$18,0))))),1,0)</f>
        <v>0</v>
      </c>
      <c r="AS94">
        <f>IF((AND(VLOOKUP(AS$1,main!$A$3:$H$102,5,FALSE)-VLOOKUP($A94,main!$A$3:$H$102,6,FALSE)&gt;=(VLOOKUP(VLOOKUP(AS$1,main!$A$3:$H$102,8,FALSE),main!$K$26:$M$29,2,FALSE)+VLOOKUP(VLOOKUP(AS$1,main!$A$3:$H$102,7,FALSE),main!$K$19:$O$22,MATCH(VLOOKUP($A94,main!$A$3:$H$102,8,FALSE),main!$K$18:$O$18,0))))),1,0)</f>
        <v>0</v>
      </c>
      <c r="AT94">
        <f>IF((AND(VLOOKUP(AT$1,main!$A$3:$H$102,5,FALSE)-VLOOKUP($A94,main!$A$3:$H$102,6,FALSE)&gt;=(VLOOKUP(VLOOKUP(AT$1,main!$A$3:$H$102,8,FALSE),main!$K$26:$M$29,2,FALSE)+VLOOKUP(VLOOKUP(AT$1,main!$A$3:$H$102,7,FALSE),main!$K$19:$O$22,MATCH(VLOOKUP($A94,main!$A$3:$H$102,8,FALSE),main!$K$18:$O$18,0))))),1,0)</f>
        <v>1</v>
      </c>
      <c r="AU94">
        <f>IF((AND(VLOOKUP(AU$1,main!$A$3:$H$102,5,FALSE)-VLOOKUP($A94,main!$A$3:$H$102,6,FALSE)&gt;=(VLOOKUP(VLOOKUP(AU$1,main!$A$3:$H$102,8,FALSE),main!$K$26:$M$29,2,FALSE)+VLOOKUP(VLOOKUP(AU$1,main!$A$3:$H$102,7,FALSE),main!$K$19:$O$22,MATCH(VLOOKUP($A94,main!$A$3:$H$102,8,FALSE),main!$K$18:$O$18,0))))),1,0)</f>
        <v>0</v>
      </c>
      <c r="AV94">
        <f>IF((AND(VLOOKUP(AV$1,main!$A$3:$H$102,5,FALSE)-VLOOKUP($A94,main!$A$3:$H$102,6,FALSE)&gt;=(VLOOKUP(VLOOKUP(AV$1,main!$A$3:$H$102,8,FALSE),main!$K$26:$M$29,2,FALSE)+VLOOKUP(VLOOKUP(AV$1,main!$A$3:$H$102,7,FALSE),main!$K$19:$O$22,MATCH(VLOOKUP($A94,main!$A$3:$H$102,8,FALSE),main!$K$18:$O$18,0))))),1,0)</f>
        <v>0</v>
      </c>
      <c r="AW94">
        <f>IF((AND(VLOOKUP(AW$1,main!$A$3:$H$102,5,FALSE)-VLOOKUP($A94,main!$A$3:$H$102,6,FALSE)&gt;=(VLOOKUP(VLOOKUP(AW$1,main!$A$3:$H$102,8,FALSE),main!$K$26:$M$29,2,FALSE)+VLOOKUP(VLOOKUP(AW$1,main!$A$3:$H$102,7,FALSE),main!$K$19:$O$22,MATCH(VLOOKUP($A94,main!$A$3:$H$102,8,FALSE),main!$K$18:$O$18,0))))),1,0)</f>
        <v>0</v>
      </c>
      <c r="AX94">
        <f>IF((AND(VLOOKUP(AX$1,main!$A$3:$H$102,5,FALSE)-VLOOKUP($A94,main!$A$3:$H$102,6,FALSE)&gt;=(VLOOKUP(VLOOKUP(AX$1,main!$A$3:$H$102,8,FALSE),main!$K$26:$M$29,2,FALSE)+VLOOKUP(VLOOKUP(AX$1,main!$A$3:$H$102,7,FALSE),main!$K$19:$O$22,MATCH(VLOOKUP($A94,main!$A$3:$H$102,8,FALSE),main!$K$18:$O$18,0))))),1,0)</f>
        <v>0</v>
      </c>
      <c r="AY94">
        <f>IF((AND(VLOOKUP(AY$1,main!$A$3:$H$102,5,FALSE)-VLOOKUP($A94,main!$A$3:$H$102,6,FALSE)&gt;=(VLOOKUP(VLOOKUP(AY$1,main!$A$3:$H$102,8,FALSE),main!$K$26:$M$29,2,FALSE)+VLOOKUP(VLOOKUP(AY$1,main!$A$3:$H$102,7,FALSE),main!$K$19:$O$22,MATCH(VLOOKUP($A94,main!$A$3:$H$102,8,FALSE),main!$K$18:$O$18,0))))),1,0)</f>
        <v>0</v>
      </c>
      <c r="AZ94">
        <f>IF((AND(VLOOKUP(AZ$1,main!$A$3:$H$102,5,FALSE)-VLOOKUP($A94,main!$A$3:$H$102,6,FALSE)&gt;=(VLOOKUP(VLOOKUP(AZ$1,main!$A$3:$H$102,8,FALSE),main!$K$26:$M$29,2,FALSE)+VLOOKUP(VLOOKUP(AZ$1,main!$A$3:$H$102,7,FALSE),main!$K$19:$O$22,MATCH(VLOOKUP($A94,main!$A$3:$H$102,8,FALSE),main!$K$18:$O$18,0))))),1,0)</f>
        <v>0</v>
      </c>
      <c r="BA94">
        <f>IF((AND(VLOOKUP(BA$1,main!$A$3:$H$102,5,FALSE)-VLOOKUP($A94,main!$A$3:$H$102,6,FALSE)&gt;=(VLOOKUP(VLOOKUP(BA$1,main!$A$3:$H$102,8,FALSE),main!$K$26:$M$29,2,FALSE)+VLOOKUP(VLOOKUP(BA$1,main!$A$3:$H$102,7,FALSE),main!$K$19:$O$22,MATCH(VLOOKUP($A94,main!$A$3:$H$102,8,FALSE),main!$K$18:$O$18,0))))),1,0)</f>
        <v>0</v>
      </c>
      <c r="BB94">
        <f>IF((AND(VLOOKUP(BB$1,main!$A$3:$H$102,5,FALSE)-VLOOKUP($A94,main!$A$3:$H$102,6,FALSE)&gt;=(VLOOKUP(VLOOKUP(BB$1,main!$A$3:$H$102,8,FALSE),main!$K$26:$M$29,2,FALSE)+VLOOKUP(VLOOKUP(BB$1,main!$A$3:$H$102,7,FALSE),main!$K$19:$O$22,MATCH(VLOOKUP($A94,main!$A$3:$H$102,8,FALSE),main!$K$18:$O$18,0))))),1,0)</f>
        <v>0</v>
      </c>
      <c r="BC94">
        <f>IF((AND(VLOOKUP(BC$1,main!$A$3:$H$102,5,FALSE)-VLOOKUP($A94,main!$A$3:$H$102,6,FALSE)&gt;=(VLOOKUP(VLOOKUP(BC$1,main!$A$3:$H$102,8,FALSE),main!$K$26:$M$29,2,FALSE)+VLOOKUP(VLOOKUP(BC$1,main!$A$3:$H$102,7,FALSE),main!$K$19:$O$22,MATCH(VLOOKUP($A94,main!$A$3:$H$102,8,FALSE),main!$K$18:$O$18,0))))),1,0)</f>
        <v>0</v>
      </c>
      <c r="BD94">
        <f>IF((AND(VLOOKUP(BD$1,main!$A$3:$H$102,5,FALSE)-VLOOKUP($A94,main!$A$3:$H$102,6,FALSE)&gt;=(VLOOKUP(VLOOKUP(BD$1,main!$A$3:$H$102,8,FALSE),main!$K$26:$M$29,2,FALSE)+VLOOKUP(VLOOKUP(BD$1,main!$A$3:$H$102,7,FALSE),main!$K$19:$O$22,MATCH(VLOOKUP($A94,main!$A$3:$H$102,8,FALSE),main!$K$18:$O$18,0))))),1,0)</f>
        <v>1</v>
      </c>
      <c r="BE94">
        <f>IF((AND(VLOOKUP(BE$1,main!$A$3:$H$102,5,FALSE)-VLOOKUP($A94,main!$A$3:$H$102,6,FALSE)&gt;=(VLOOKUP(VLOOKUP(BE$1,main!$A$3:$H$102,8,FALSE),main!$K$26:$M$29,2,FALSE)+VLOOKUP(VLOOKUP(BE$1,main!$A$3:$H$102,7,FALSE),main!$K$19:$O$22,MATCH(VLOOKUP($A94,main!$A$3:$H$102,8,FALSE),main!$K$18:$O$18,0))))),1,0)</f>
        <v>1</v>
      </c>
      <c r="BF94">
        <f>IF((AND(VLOOKUP(BF$1,main!$A$3:$H$102,5,FALSE)-VLOOKUP($A94,main!$A$3:$H$102,6,FALSE)&gt;=(VLOOKUP(VLOOKUP(BF$1,main!$A$3:$H$102,8,FALSE),main!$K$26:$M$29,2,FALSE)+VLOOKUP(VLOOKUP(BF$1,main!$A$3:$H$102,7,FALSE),main!$K$19:$O$22,MATCH(VLOOKUP($A94,main!$A$3:$H$102,8,FALSE),main!$K$18:$O$18,0))))),1,0)</f>
        <v>0</v>
      </c>
      <c r="BG94">
        <f>IF((AND(VLOOKUP(BG$1,main!$A$3:$H$102,5,FALSE)-VLOOKUP($A94,main!$A$3:$H$102,6,FALSE)&gt;=(VLOOKUP(VLOOKUP(BG$1,main!$A$3:$H$102,8,FALSE),main!$K$26:$M$29,2,FALSE)+VLOOKUP(VLOOKUP(BG$1,main!$A$3:$H$102,7,FALSE),main!$K$19:$O$22,MATCH(VLOOKUP($A94,main!$A$3:$H$102,8,FALSE),main!$K$18:$O$18,0))))),1,0)</f>
        <v>0</v>
      </c>
      <c r="BH94">
        <f>IF((AND(VLOOKUP(BH$1,main!$A$3:$H$102,5,FALSE)-VLOOKUP($A94,main!$A$3:$H$102,6,FALSE)&gt;=(VLOOKUP(VLOOKUP(BH$1,main!$A$3:$H$102,8,FALSE),main!$K$26:$M$29,2,FALSE)+VLOOKUP(VLOOKUP(BH$1,main!$A$3:$H$102,7,FALSE),main!$K$19:$O$22,MATCH(VLOOKUP($A94,main!$A$3:$H$102,8,FALSE),main!$K$18:$O$18,0))))),1,0)</f>
        <v>0</v>
      </c>
      <c r="BI94">
        <f>IF((AND(VLOOKUP(BI$1,main!$A$3:$H$102,5,FALSE)-VLOOKUP($A94,main!$A$3:$H$102,6,FALSE)&gt;=(VLOOKUP(VLOOKUP(BI$1,main!$A$3:$H$102,8,FALSE),main!$K$26:$M$29,2,FALSE)+VLOOKUP(VLOOKUP(BI$1,main!$A$3:$H$102,7,FALSE),main!$K$19:$O$22,MATCH(VLOOKUP($A94,main!$A$3:$H$102,8,FALSE),main!$K$18:$O$18,0))))),1,0)</f>
        <v>1</v>
      </c>
      <c r="BJ94">
        <f>IF((AND(VLOOKUP(BJ$1,main!$A$3:$H$102,5,FALSE)-VLOOKUP($A94,main!$A$3:$H$102,6,FALSE)&gt;=(VLOOKUP(VLOOKUP(BJ$1,main!$A$3:$H$102,8,FALSE),main!$K$26:$M$29,2,FALSE)+VLOOKUP(VLOOKUP(BJ$1,main!$A$3:$H$102,7,FALSE),main!$K$19:$O$22,MATCH(VLOOKUP($A94,main!$A$3:$H$102,8,FALSE),main!$K$18:$O$18,0))))),1,0)</f>
        <v>1</v>
      </c>
      <c r="BK94">
        <f>IF((AND(VLOOKUP(BK$1,main!$A$3:$H$102,5,FALSE)-VLOOKUP($A94,main!$A$3:$H$102,6,FALSE)&gt;=(VLOOKUP(VLOOKUP(BK$1,main!$A$3:$H$102,8,FALSE),main!$K$26:$M$29,2,FALSE)+VLOOKUP(VLOOKUP(BK$1,main!$A$3:$H$102,7,FALSE),main!$K$19:$O$22,MATCH(VLOOKUP($A94,main!$A$3:$H$102,8,FALSE),main!$K$18:$O$18,0))))),1,0)</f>
        <v>0</v>
      </c>
      <c r="BL94">
        <f>IF((AND(VLOOKUP(BL$1,main!$A$3:$H$102,5,FALSE)-VLOOKUP($A94,main!$A$3:$H$102,6,FALSE)&gt;=(VLOOKUP(VLOOKUP(BL$1,main!$A$3:$H$102,8,FALSE),main!$K$26:$M$29,2,FALSE)+VLOOKUP(VLOOKUP(BL$1,main!$A$3:$H$102,7,FALSE),main!$K$19:$O$22,MATCH(VLOOKUP($A94,main!$A$3:$H$102,8,FALSE),main!$K$18:$O$18,0))))),1,0)</f>
        <v>0</v>
      </c>
      <c r="BM94">
        <f>IF((AND(VLOOKUP(BM$1,main!$A$3:$H$102,5,FALSE)-VLOOKUP($A94,main!$A$3:$H$102,6,FALSE)&gt;=(VLOOKUP(VLOOKUP(BM$1,main!$A$3:$H$102,8,FALSE),main!$K$26:$M$29,2,FALSE)+VLOOKUP(VLOOKUP(BM$1,main!$A$3:$H$102,7,FALSE),main!$K$19:$O$22,MATCH(VLOOKUP($A94,main!$A$3:$H$102,8,FALSE),main!$K$18:$O$18,0))))),1,0)</f>
        <v>0</v>
      </c>
      <c r="BN94">
        <f>IF((AND(VLOOKUP(BN$1,main!$A$3:$H$102,5,FALSE)-VLOOKUP($A94,main!$A$3:$H$102,6,FALSE)&gt;=(VLOOKUP(VLOOKUP(BN$1,main!$A$3:$H$102,8,FALSE),main!$K$26:$M$29,2,FALSE)+VLOOKUP(VLOOKUP(BN$1,main!$A$3:$H$102,7,FALSE),main!$K$19:$O$22,MATCH(VLOOKUP($A94,main!$A$3:$H$102,8,FALSE),main!$K$18:$O$18,0))))),1,0)</f>
        <v>1</v>
      </c>
      <c r="BO94">
        <f>IF((AND(VLOOKUP(BO$1,main!$A$3:$H$102,5,FALSE)-VLOOKUP($A94,main!$A$3:$H$102,6,FALSE)&gt;=(VLOOKUP(VLOOKUP(BO$1,main!$A$3:$H$102,8,FALSE),main!$K$26:$M$29,2,FALSE)+VLOOKUP(VLOOKUP(BO$1,main!$A$3:$H$102,7,FALSE),main!$K$19:$O$22,MATCH(VLOOKUP($A94,main!$A$3:$H$102,8,FALSE),main!$K$18:$O$18,0))))),1,0)</f>
        <v>0</v>
      </c>
      <c r="BP94">
        <f>IF((AND(VLOOKUP(BP$1,main!$A$3:$H$102,5,FALSE)-VLOOKUP($A94,main!$A$3:$H$102,6,FALSE)&gt;=(VLOOKUP(VLOOKUP(BP$1,main!$A$3:$H$102,8,FALSE),main!$K$26:$M$29,2,FALSE)+VLOOKUP(VLOOKUP(BP$1,main!$A$3:$H$102,7,FALSE),main!$K$19:$O$22,MATCH(VLOOKUP($A94,main!$A$3:$H$102,8,FALSE),main!$K$18:$O$18,0))))),1,0)</f>
        <v>0</v>
      </c>
      <c r="BQ94">
        <f>IF((AND(VLOOKUP(BQ$1,main!$A$3:$H$102,5,FALSE)-VLOOKUP($A94,main!$A$3:$H$102,6,FALSE)&gt;=(VLOOKUP(VLOOKUP(BQ$1,main!$A$3:$H$102,8,FALSE),main!$K$26:$M$29,2,FALSE)+VLOOKUP(VLOOKUP(BQ$1,main!$A$3:$H$102,7,FALSE),main!$K$19:$O$22,MATCH(VLOOKUP($A94,main!$A$3:$H$102,8,FALSE),main!$K$18:$O$18,0))))),1,0)</f>
        <v>0</v>
      </c>
      <c r="BR94">
        <f>IF((AND(VLOOKUP(BR$1,main!$A$3:$H$102,5,FALSE)-VLOOKUP($A94,main!$A$3:$H$102,6,FALSE)&gt;=(VLOOKUP(VLOOKUP(BR$1,main!$A$3:$H$102,8,FALSE),main!$K$26:$M$29,2,FALSE)+VLOOKUP(VLOOKUP(BR$1,main!$A$3:$H$102,7,FALSE),main!$K$19:$O$22,MATCH(VLOOKUP($A94,main!$A$3:$H$102,8,FALSE),main!$K$18:$O$18,0))))),1,0)</f>
        <v>0</v>
      </c>
      <c r="BS94">
        <f>IF((AND(VLOOKUP(BS$1,main!$A$3:$H$102,5,FALSE)-VLOOKUP($A94,main!$A$3:$H$102,6,FALSE)&gt;=(VLOOKUP(VLOOKUP(BS$1,main!$A$3:$H$102,8,FALSE),main!$K$26:$M$29,2,FALSE)+VLOOKUP(VLOOKUP(BS$1,main!$A$3:$H$102,7,FALSE),main!$K$19:$O$22,MATCH(VLOOKUP($A94,main!$A$3:$H$102,8,FALSE),main!$K$18:$O$18,0))))),1,0)</f>
        <v>0</v>
      </c>
      <c r="BT94">
        <f>IF((AND(VLOOKUP(BT$1,main!$A$3:$H$102,5,FALSE)-VLOOKUP($A94,main!$A$3:$H$102,6,FALSE)&gt;=(VLOOKUP(VLOOKUP(BT$1,main!$A$3:$H$102,8,FALSE),main!$K$26:$M$29,2,FALSE)+VLOOKUP(VLOOKUP(BT$1,main!$A$3:$H$102,7,FALSE),main!$K$19:$O$22,MATCH(VLOOKUP($A94,main!$A$3:$H$102,8,FALSE),main!$K$18:$O$18,0))))),1,0)</f>
        <v>0</v>
      </c>
      <c r="BU94">
        <f>IF((AND(VLOOKUP(BU$1,main!$A$3:$H$102,5,FALSE)-VLOOKUP($A94,main!$A$3:$H$102,6,FALSE)&gt;=(VLOOKUP(VLOOKUP(BU$1,main!$A$3:$H$102,8,FALSE),main!$K$26:$M$29,2,FALSE)+VLOOKUP(VLOOKUP(BU$1,main!$A$3:$H$102,7,FALSE),main!$K$19:$O$22,MATCH(VLOOKUP($A94,main!$A$3:$H$102,8,FALSE),main!$K$18:$O$18,0))))),1,0)</f>
        <v>0</v>
      </c>
      <c r="BV94">
        <f>IF((AND(VLOOKUP(BV$1,main!$A$3:$H$102,5,FALSE)-VLOOKUP($A94,main!$A$3:$H$102,6,FALSE)&gt;=(VLOOKUP(VLOOKUP(BV$1,main!$A$3:$H$102,8,FALSE),main!$K$26:$M$29,2,FALSE)+VLOOKUP(VLOOKUP(BV$1,main!$A$3:$H$102,7,FALSE),main!$K$19:$O$22,MATCH(VLOOKUP($A94,main!$A$3:$H$102,8,FALSE),main!$K$18:$O$18,0))))),1,0)</f>
        <v>0</v>
      </c>
      <c r="BW94">
        <f>IF((AND(VLOOKUP(BW$1,main!$A$3:$H$102,5,FALSE)-VLOOKUP($A94,main!$A$3:$H$102,6,FALSE)&gt;=(VLOOKUP(VLOOKUP(BW$1,main!$A$3:$H$102,8,FALSE),main!$K$26:$M$29,2,FALSE)+VLOOKUP(VLOOKUP(BW$1,main!$A$3:$H$102,7,FALSE),main!$K$19:$O$22,MATCH(VLOOKUP($A94,main!$A$3:$H$102,8,FALSE),main!$K$18:$O$18,0))))),1,0)</f>
        <v>0</v>
      </c>
      <c r="BX94">
        <f>IF((AND(VLOOKUP(BX$1,main!$A$3:$H$102,5,FALSE)-VLOOKUP($A94,main!$A$3:$H$102,6,FALSE)&gt;=(VLOOKUP(VLOOKUP(BX$1,main!$A$3:$H$102,8,FALSE),main!$K$26:$M$29,2,FALSE)+VLOOKUP(VLOOKUP(BX$1,main!$A$3:$H$102,7,FALSE),main!$K$19:$O$22,MATCH(VLOOKUP($A94,main!$A$3:$H$102,8,FALSE),main!$K$18:$O$18,0))))),1,0)</f>
        <v>0</v>
      </c>
      <c r="BY94">
        <f>IF((AND(VLOOKUP(BY$1,main!$A$3:$H$102,5,FALSE)-VLOOKUP($A94,main!$A$3:$H$102,6,FALSE)&gt;=(VLOOKUP(VLOOKUP(BY$1,main!$A$3:$H$102,8,FALSE),main!$K$26:$M$29,2,FALSE)+VLOOKUP(VLOOKUP(BY$1,main!$A$3:$H$102,7,FALSE),main!$K$19:$O$22,MATCH(VLOOKUP($A94,main!$A$3:$H$102,8,FALSE),main!$K$18:$O$18,0))))),1,0)</f>
        <v>0</v>
      </c>
      <c r="BZ94">
        <f>IF((AND(VLOOKUP(BZ$1,main!$A$3:$H$102,5,FALSE)-VLOOKUP($A94,main!$A$3:$H$102,6,FALSE)&gt;=(VLOOKUP(VLOOKUP(BZ$1,main!$A$3:$H$102,8,FALSE),main!$K$26:$M$29,2,FALSE)+VLOOKUP(VLOOKUP(BZ$1,main!$A$3:$H$102,7,FALSE),main!$K$19:$O$22,MATCH(VLOOKUP($A94,main!$A$3:$H$102,8,FALSE),main!$K$18:$O$18,0))))),1,0)</f>
        <v>0</v>
      </c>
      <c r="CA94">
        <f>IF((AND(VLOOKUP(CA$1,main!$A$3:$H$102,5,FALSE)-VLOOKUP($A94,main!$A$3:$H$102,6,FALSE)&gt;=(VLOOKUP(VLOOKUP(CA$1,main!$A$3:$H$102,8,FALSE),main!$K$26:$M$29,2,FALSE)+VLOOKUP(VLOOKUP(CA$1,main!$A$3:$H$102,7,FALSE),main!$K$19:$O$22,MATCH(VLOOKUP($A94,main!$A$3:$H$102,8,FALSE),main!$K$18:$O$18,0))))),1,0)</f>
        <v>0</v>
      </c>
      <c r="CB94">
        <f>IF((AND(VLOOKUP(CB$1,main!$A$3:$H$102,5,FALSE)-VLOOKUP($A94,main!$A$3:$H$102,6,FALSE)&gt;=(VLOOKUP(VLOOKUP(CB$1,main!$A$3:$H$102,8,FALSE),main!$K$26:$M$29,2,FALSE)+VLOOKUP(VLOOKUP(CB$1,main!$A$3:$H$102,7,FALSE),main!$K$19:$O$22,MATCH(VLOOKUP($A94,main!$A$3:$H$102,8,FALSE),main!$K$18:$O$18,0))))),1,0)</f>
        <v>1</v>
      </c>
      <c r="CC94">
        <f>IF((AND(VLOOKUP(CC$1,main!$A$3:$H$102,5,FALSE)-VLOOKUP($A94,main!$A$3:$H$102,6,FALSE)&gt;=(VLOOKUP(VLOOKUP(CC$1,main!$A$3:$H$102,8,FALSE),main!$K$26:$M$29,2,FALSE)+VLOOKUP(VLOOKUP(CC$1,main!$A$3:$H$102,7,FALSE),main!$K$19:$O$22,MATCH(VLOOKUP($A94,main!$A$3:$H$102,8,FALSE),main!$K$18:$O$18,0))))),1,0)</f>
        <v>1</v>
      </c>
      <c r="CD94">
        <f>IF((AND(VLOOKUP(CD$1,main!$A$3:$H$102,5,FALSE)-VLOOKUP($A94,main!$A$3:$H$102,6,FALSE)&gt;=(VLOOKUP(VLOOKUP(CD$1,main!$A$3:$H$102,8,FALSE),main!$K$26:$M$29,2,FALSE)+VLOOKUP(VLOOKUP(CD$1,main!$A$3:$H$102,7,FALSE),main!$K$19:$O$22,MATCH(VLOOKUP($A94,main!$A$3:$H$102,8,FALSE),main!$K$18:$O$18,0))))),1,0)</f>
        <v>0</v>
      </c>
      <c r="CE94">
        <f>IF((AND(VLOOKUP(CE$1,main!$A$3:$H$102,5,FALSE)-VLOOKUP($A94,main!$A$3:$H$102,6,FALSE)&gt;=(VLOOKUP(VLOOKUP(CE$1,main!$A$3:$H$102,8,FALSE),main!$K$26:$M$29,2,FALSE)+VLOOKUP(VLOOKUP(CE$1,main!$A$3:$H$102,7,FALSE),main!$K$19:$O$22,MATCH(VLOOKUP($A94,main!$A$3:$H$102,8,FALSE),main!$K$18:$O$18,0))))),1,0)</f>
        <v>0</v>
      </c>
      <c r="CF94">
        <f>IF((AND(VLOOKUP(CF$1,main!$A$3:$H$102,5,FALSE)-VLOOKUP($A94,main!$A$3:$H$102,6,FALSE)&gt;=(VLOOKUP(VLOOKUP(CF$1,main!$A$3:$H$102,8,FALSE),main!$K$26:$M$29,2,FALSE)+VLOOKUP(VLOOKUP(CF$1,main!$A$3:$H$102,7,FALSE),main!$K$19:$O$22,MATCH(VLOOKUP($A94,main!$A$3:$H$102,8,FALSE),main!$K$18:$O$18,0))))),1,0)</f>
        <v>0</v>
      </c>
      <c r="CG94">
        <f>IF((AND(VLOOKUP(CG$1,main!$A$3:$H$102,5,FALSE)-VLOOKUP($A94,main!$A$3:$H$102,6,FALSE)&gt;=(VLOOKUP(VLOOKUP(CG$1,main!$A$3:$H$102,8,FALSE),main!$K$26:$M$29,2,FALSE)+VLOOKUP(VLOOKUP(CG$1,main!$A$3:$H$102,7,FALSE),main!$K$19:$O$22,MATCH(VLOOKUP($A94,main!$A$3:$H$102,8,FALSE),main!$K$18:$O$18,0))))),1,0)</f>
        <v>0</v>
      </c>
      <c r="CH94">
        <f>IF((AND(VLOOKUP(CH$1,main!$A$3:$H$102,5,FALSE)-VLOOKUP($A94,main!$A$3:$H$102,6,FALSE)&gt;=(VLOOKUP(VLOOKUP(CH$1,main!$A$3:$H$102,8,FALSE),main!$K$26:$M$29,2,FALSE)+VLOOKUP(VLOOKUP(CH$1,main!$A$3:$H$102,7,FALSE),main!$K$19:$O$22,MATCH(VLOOKUP($A94,main!$A$3:$H$102,8,FALSE),main!$K$18:$O$18,0))))),1,0)</f>
        <v>1</v>
      </c>
      <c r="CI94">
        <f>IF((AND(VLOOKUP(CI$1,main!$A$3:$H$102,5,FALSE)-VLOOKUP($A94,main!$A$3:$H$102,6,FALSE)&gt;=(VLOOKUP(VLOOKUP(CI$1,main!$A$3:$H$102,8,FALSE),main!$K$26:$M$29,2,FALSE)+VLOOKUP(VLOOKUP(CI$1,main!$A$3:$H$102,7,FALSE),main!$K$19:$O$22,MATCH(VLOOKUP($A94,main!$A$3:$H$102,8,FALSE),main!$K$18:$O$18,0))))),1,0)</f>
        <v>1</v>
      </c>
      <c r="CJ94">
        <f>IF((AND(VLOOKUP(CJ$1,main!$A$3:$H$102,5,FALSE)-VLOOKUP($A94,main!$A$3:$H$102,6,FALSE)&gt;=(VLOOKUP(VLOOKUP(CJ$1,main!$A$3:$H$102,8,FALSE),main!$K$26:$M$29,2,FALSE)+VLOOKUP(VLOOKUP(CJ$1,main!$A$3:$H$102,7,FALSE),main!$K$19:$O$22,MATCH(VLOOKUP($A94,main!$A$3:$H$102,8,FALSE),main!$K$18:$O$18,0))))),1,0)</f>
        <v>0</v>
      </c>
      <c r="CK94">
        <f>IF((AND(VLOOKUP(CK$1,main!$A$3:$H$102,5,FALSE)-VLOOKUP($A94,main!$A$3:$H$102,6,FALSE)&gt;=(VLOOKUP(VLOOKUP(CK$1,main!$A$3:$H$102,8,FALSE),main!$K$26:$M$29,2,FALSE)+VLOOKUP(VLOOKUP(CK$1,main!$A$3:$H$102,7,FALSE),main!$K$19:$O$22,MATCH(VLOOKUP($A94,main!$A$3:$H$102,8,FALSE),main!$K$18:$O$18,0))))),1,0)</f>
        <v>0</v>
      </c>
      <c r="CL94">
        <f>IF((AND(VLOOKUP(CL$1,main!$A$3:$H$102,5,FALSE)-VLOOKUP($A94,main!$A$3:$H$102,6,FALSE)&gt;=(VLOOKUP(VLOOKUP(CL$1,main!$A$3:$H$102,8,FALSE),main!$K$26:$M$29,2,FALSE)+VLOOKUP(VLOOKUP(CL$1,main!$A$3:$H$102,7,FALSE),main!$K$19:$O$22,MATCH(VLOOKUP($A94,main!$A$3:$H$102,8,FALSE),main!$K$18:$O$18,0))))),1,0)</f>
        <v>0</v>
      </c>
      <c r="CM94">
        <f>IF((AND(VLOOKUP(CM$1,main!$A$3:$H$102,5,FALSE)-VLOOKUP($A94,main!$A$3:$H$102,6,FALSE)&gt;=(VLOOKUP(VLOOKUP(CM$1,main!$A$3:$H$102,8,FALSE),main!$K$26:$M$29,2,FALSE)+VLOOKUP(VLOOKUP(CM$1,main!$A$3:$H$102,7,FALSE),main!$K$19:$O$22,MATCH(VLOOKUP($A94,main!$A$3:$H$102,8,FALSE),main!$K$18:$O$18,0))))),1,0)</f>
        <v>1</v>
      </c>
      <c r="CN94">
        <f>IF((AND(VLOOKUP(CN$1,main!$A$3:$H$102,5,FALSE)-VLOOKUP($A94,main!$A$3:$H$102,6,FALSE)&gt;=(VLOOKUP(VLOOKUP(CN$1,main!$A$3:$H$102,8,FALSE),main!$K$26:$M$29,2,FALSE)+VLOOKUP(VLOOKUP(CN$1,main!$A$3:$H$102,7,FALSE),main!$K$19:$O$22,MATCH(VLOOKUP($A94,main!$A$3:$H$102,8,FALSE),main!$K$18:$O$18,0))))),1,0)</f>
        <v>1</v>
      </c>
      <c r="CO94">
        <f>IF((AND(VLOOKUP(CO$1,main!$A$3:$H$102,5,FALSE)-VLOOKUP($A94,main!$A$3:$H$102,6,FALSE)&gt;=(VLOOKUP(VLOOKUP(CO$1,main!$A$3:$H$102,8,FALSE),main!$K$26:$M$29,2,FALSE)+VLOOKUP(VLOOKUP(CO$1,main!$A$3:$H$102,7,FALSE),main!$K$19:$O$22,MATCH(VLOOKUP($A94,main!$A$3:$H$102,8,FALSE),main!$K$18:$O$18,0))))),1,0)</f>
        <v>0</v>
      </c>
      <c r="CP94">
        <f>IF((AND(VLOOKUP(CP$1,main!$A$3:$H$102,5,FALSE)-VLOOKUP($A94,main!$A$3:$H$102,6,FALSE)&gt;=(VLOOKUP(VLOOKUP(CP$1,main!$A$3:$H$102,8,FALSE),main!$K$26:$M$29,2,FALSE)+VLOOKUP(VLOOKUP(CP$1,main!$A$3:$H$102,7,FALSE),main!$K$19:$O$22,MATCH(VLOOKUP($A94,main!$A$3:$H$102,8,FALSE),main!$K$18:$O$18,0))))),1,0)</f>
        <v>0</v>
      </c>
      <c r="CQ94">
        <f>IF((AND(VLOOKUP(CQ$1,main!$A$3:$H$102,5,FALSE)-VLOOKUP($A94,main!$A$3:$H$102,6,FALSE)&gt;=(VLOOKUP(VLOOKUP(CQ$1,main!$A$3:$H$102,8,FALSE),main!$K$26:$M$29,2,FALSE)+VLOOKUP(VLOOKUP(CQ$1,main!$A$3:$H$102,7,FALSE),main!$K$19:$O$22,MATCH(VLOOKUP($A94,main!$A$3:$H$102,8,FALSE),main!$K$18:$O$18,0))))),1,0)</f>
        <v>0</v>
      </c>
      <c r="CR94">
        <f>IF((AND(VLOOKUP(CR$1,main!$A$3:$H$102,5,FALSE)-VLOOKUP($A94,main!$A$3:$H$102,6,FALSE)&gt;=(VLOOKUP(VLOOKUP(CR$1,main!$A$3:$H$102,8,FALSE),main!$K$26:$M$29,2,FALSE)+VLOOKUP(VLOOKUP(CR$1,main!$A$3:$H$102,7,FALSE),main!$K$19:$O$22,MATCH(VLOOKUP($A94,main!$A$3:$H$102,8,FALSE),main!$K$18:$O$18,0))))),1,0)</f>
        <v>1</v>
      </c>
      <c r="CS94">
        <f>IF((AND(VLOOKUP(CS$1,main!$A$3:$H$102,5,FALSE)-VLOOKUP($A94,main!$A$3:$H$102,6,FALSE)&gt;=(VLOOKUP(VLOOKUP(CS$1,main!$A$3:$H$102,8,FALSE),main!$K$26:$M$29,2,FALSE)+VLOOKUP(VLOOKUP(CS$1,main!$A$3:$H$102,7,FALSE),main!$K$19:$O$22,MATCH(VLOOKUP($A94,main!$A$3:$H$102,8,FALSE),main!$K$18:$O$18,0))))),1,0)</f>
        <v>1</v>
      </c>
      <c r="CT94">
        <f>IF((AND(VLOOKUP(CT$1,main!$A$3:$H$102,5,FALSE)-VLOOKUP($A94,main!$A$3:$H$102,6,FALSE)&gt;=(VLOOKUP(VLOOKUP(CT$1,main!$A$3:$H$102,8,FALSE),main!$K$26:$M$29,2,FALSE)+VLOOKUP(VLOOKUP(CT$1,main!$A$3:$H$102,7,FALSE),main!$K$19:$O$22,MATCH(VLOOKUP($A94,main!$A$3:$H$102,8,FALSE),main!$K$18:$O$18,0))))),1,0)</f>
        <v>0</v>
      </c>
      <c r="CU94">
        <f>IF((AND(VLOOKUP(CU$1,main!$A$3:$H$102,5,FALSE)-VLOOKUP($A94,main!$A$3:$H$102,6,FALSE)&gt;=(VLOOKUP(VLOOKUP(CU$1,main!$A$3:$H$102,8,FALSE),main!$K$26:$M$29,2,FALSE)+VLOOKUP(VLOOKUP(CU$1,main!$A$3:$H$102,7,FALSE),main!$K$19:$O$22,MATCH(VLOOKUP($A94,main!$A$3:$H$102,8,FALSE),main!$K$18:$O$18,0))))),1,0)</f>
        <v>0</v>
      </c>
      <c r="CV94">
        <f>IF((AND(VLOOKUP(CV$1,main!$A$3:$H$102,5,FALSE)-VLOOKUP($A94,main!$A$3:$H$102,6,FALSE)&gt;=(VLOOKUP(VLOOKUP(CV$1,main!$A$3:$H$102,8,FALSE),main!$K$26:$M$29,2,FALSE)+VLOOKUP(VLOOKUP(CV$1,main!$A$3:$H$102,7,FALSE),main!$K$19:$O$22,MATCH(VLOOKUP($A94,main!$A$3:$H$102,8,FALSE),main!$K$18:$O$18,0))))),1,0)</f>
        <v>0</v>
      </c>
      <c r="CW94">
        <f>IF((AND(VLOOKUP(CW$1,main!$A$3:$H$102,5,FALSE)-VLOOKUP($A94,main!$A$3:$H$102,6,FALSE)&gt;=(VLOOKUP(VLOOKUP(CW$1,main!$A$3:$H$102,8,FALSE),main!$K$26:$M$29,2,FALSE)+VLOOKUP(VLOOKUP(CW$1,main!$A$3:$H$102,7,FALSE),main!$K$19:$O$22,MATCH(VLOOKUP($A94,main!$A$3:$H$102,8,FALSE),main!$K$18:$O$18,0))))),1,0)</f>
        <v>1</v>
      </c>
      <c r="CX94">
        <f>IF((AND(VLOOKUP(CX$1,main!$A$3:$H$102,5,FALSE)-VLOOKUP($A94,main!$A$3:$H$102,6,FALSE)&gt;=(VLOOKUP(VLOOKUP(CX$1,main!$A$3:$H$102,8,FALSE),main!$K$26:$M$29,2,FALSE)+VLOOKUP(VLOOKUP(CX$1,main!$A$3:$H$102,7,FALSE),main!$K$19:$O$22,MATCH(VLOOKUP($A94,main!$A$3:$H$102,8,FALSE),main!$K$18:$O$18,0))))),1,0)</f>
        <v>1</v>
      </c>
    </row>
    <row r="95" spans="1:102" x14ac:dyDescent="0.25">
      <c r="A95" s="1">
        <v>93</v>
      </c>
      <c r="B95">
        <v>1</v>
      </c>
      <c r="C95">
        <f>IF((AND(VLOOKUP(C$1,main!$A$3:$H$102,5,FALSE)-VLOOKUP($A95,main!$A$3:$H$102,6,FALSE)&gt;=(VLOOKUP(VLOOKUP(C$1,main!$A$3:$H$102,8,FALSE),main!$K$26:$M$29,2,FALSE)+VLOOKUP(VLOOKUP(C$1,main!$A$3:$H$102,7,FALSE),main!$K$19:$O$22,MATCH(VLOOKUP($A95,main!$A$3:$H$102,8,FALSE),main!$K$18:$O$18,0))))),1,0)</f>
        <v>0</v>
      </c>
      <c r="D95">
        <f>IF((AND(VLOOKUP(D$1,main!$A$3:$H$102,5,FALSE)-VLOOKUP($A95,main!$A$3:$H$102,6,FALSE)&gt;=(VLOOKUP(VLOOKUP(D$1,main!$A$3:$H$102,8,FALSE),main!$K$26:$M$29,2,FALSE)+VLOOKUP(VLOOKUP(D$1,main!$A$3:$H$102,7,FALSE),main!$K$19:$O$22,MATCH(VLOOKUP($A95,main!$A$3:$H$102,8,FALSE),main!$K$18:$O$18,0))))),1,0)</f>
        <v>0</v>
      </c>
      <c r="E95">
        <f>IF((AND(VLOOKUP(E$1,main!$A$3:$H$102,5,FALSE)-VLOOKUP($A95,main!$A$3:$H$102,6,FALSE)&gt;=(VLOOKUP(VLOOKUP(E$1,main!$A$3:$H$102,8,FALSE),main!$K$26:$M$29,2,FALSE)+VLOOKUP(VLOOKUP(E$1,main!$A$3:$H$102,7,FALSE),main!$K$19:$O$22,MATCH(VLOOKUP($A95,main!$A$3:$H$102,8,FALSE),main!$K$18:$O$18,0))))),1,0)</f>
        <v>0</v>
      </c>
      <c r="F95">
        <f>IF((AND(VLOOKUP(F$1,main!$A$3:$H$102,5,FALSE)-VLOOKUP($A95,main!$A$3:$H$102,6,FALSE)&gt;=(VLOOKUP(VLOOKUP(F$1,main!$A$3:$H$102,8,FALSE),main!$K$26:$M$29,2,FALSE)+VLOOKUP(VLOOKUP(F$1,main!$A$3:$H$102,7,FALSE),main!$K$19:$O$22,MATCH(VLOOKUP($A95,main!$A$3:$H$102,8,FALSE),main!$K$18:$O$18,0))))),1,0)</f>
        <v>0</v>
      </c>
      <c r="G95">
        <f>IF((AND(VLOOKUP(G$1,main!$A$3:$H$102,5,FALSE)-VLOOKUP($A95,main!$A$3:$H$102,6,FALSE)&gt;=(VLOOKUP(VLOOKUP(G$1,main!$A$3:$H$102,8,FALSE),main!$K$26:$M$29,2,FALSE)+VLOOKUP(VLOOKUP(G$1,main!$A$3:$H$102,7,FALSE),main!$K$19:$O$22,MATCH(VLOOKUP($A95,main!$A$3:$H$102,8,FALSE),main!$K$18:$O$18,0))))),1,0)</f>
        <v>0</v>
      </c>
      <c r="H95">
        <f>IF((AND(VLOOKUP(H$1,main!$A$3:$H$102,5,FALSE)-VLOOKUP($A95,main!$A$3:$H$102,6,FALSE)&gt;=(VLOOKUP(VLOOKUP(H$1,main!$A$3:$H$102,8,FALSE),main!$K$26:$M$29,2,FALSE)+VLOOKUP(VLOOKUP(H$1,main!$A$3:$H$102,7,FALSE),main!$K$19:$O$22,MATCH(VLOOKUP($A95,main!$A$3:$H$102,8,FALSE),main!$K$18:$O$18,0))))),1,0)</f>
        <v>0</v>
      </c>
      <c r="I95">
        <f>IF((AND(VLOOKUP(I$1,main!$A$3:$H$102,5,FALSE)-VLOOKUP($A95,main!$A$3:$H$102,6,FALSE)&gt;=(VLOOKUP(VLOOKUP(I$1,main!$A$3:$H$102,8,FALSE),main!$K$26:$M$29,2,FALSE)+VLOOKUP(VLOOKUP(I$1,main!$A$3:$H$102,7,FALSE),main!$K$19:$O$22,MATCH(VLOOKUP($A95,main!$A$3:$H$102,8,FALSE),main!$K$18:$O$18,0))))),1,0)</f>
        <v>1</v>
      </c>
      <c r="J95">
        <f>IF((AND(VLOOKUP(J$1,main!$A$3:$H$102,5,FALSE)-VLOOKUP($A95,main!$A$3:$H$102,6,FALSE)&gt;=(VLOOKUP(VLOOKUP(J$1,main!$A$3:$H$102,8,FALSE),main!$K$26:$M$29,2,FALSE)+VLOOKUP(VLOOKUP(J$1,main!$A$3:$H$102,7,FALSE),main!$K$19:$O$22,MATCH(VLOOKUP($A95,main!$A$3:$H$102,8,FALSE),main!$K$18:$O$18,0))))),1,0)</f>
        <v>1</v>
      </c>
      <c r="K95">
        <f>IF((AND(VLOOKUP(K$1,main!$A$3:$H$102,5,FALSE)-VLOOKUP($A95,main!$A$3:$H$102,6,FALSE)&gt;=(VLOOKUP(VLOOKUP(K$1,main!$A$3:$H$102,8,FALSE),main!$K$26:$M$29,2,FALSE)+VLOOKUP(VLOOKUP(K$1,main!$A$3:$H$102,7,FALSE),main!$K$19:$O$22,MATCH(VLOOKUP($A95,main!$A$3:$H$102,8,FALSE),main!$K$18:$O$18,0))))),1,0)</f>
        <v>1</v>
      </c>
      <c r="L95">
        <f>IF((AND(VLOOKUP(L$1,main!$A$3:$H$102,5,FALSE)-VLOOKUP($A95,main!$A$3:$H$102,6,FALSE)&gt;=(VLOOKUP(VLOOKUP(L$1,main!$A$3:$H$102,8,FALSE),main!$K$26:$M$29,2,FALSE)+VLOOKUP(VLOOKUP(L$1,main!$A$3:$H$102,7,FALSE),main!$K$19:$O$22,MATCH(VLOOKUP($A95,main!$A$3:$H$102,8,FALSE),main!$K$18:$O$18,0))))),1,0)</f>
        <v>1</v>
      </c>
      <c r="M95">
        <f>IF((AND(VLOOKUP(M$1,main!$A$3:$H$102,5,FALSE)-VLOOKUP($A95,main!$A$3:$H$102,6,FALSE)&gt;=(VLOOKUP(VLOOKUP(M$1,main!$A$3:$H$102,8,FALSE),main!$K$26:$M$29,2,FALSE)+VLOOKUP(VLOOKUP(M$1,main!$A$3:$H$102,7,FALSE),main!$K$19:$O$22,MATCH(VLOOKUP($A95,main!$A$3:$H$102,8,FALSE),main!$K$18:$O$18,0))))),1,0)</f>
        <v>0</v>
      </c>
      <c r="N95">
        <f>IF((AND(VLOOKUP(N$1,main!$A$3:$H$102,5,FALSE)-VLOOKUP($A95,main!$A$3:$H$102,6,FALSE)&gt;=(VLOOKUP(VLOOKUP(N$1,main!$A$3:$H$102,8,FALSE),main!$K$26:$M$29,2,FALSE)+VLOOKUP(VLOOKUP(N$1,main!$A$3:$H$102,7,FALSE),main!$K$19:$O$22,MATCH(VLOOKUP($A95,main!$A$3:$H$102,8,FALSE),main!$K$18:$O$18,0))))),1,0)</f>
        <v>0</v>
      </c>
      <c r="O95">
        <f>IF((AND(VLOOKUP(O$1,main!$A$3:$H$102,5,FALSE)-VLOOKUP($A95,main!$A$3:$H$102,6,FALSE)&gt;=(VLOOKUP(VLOOKUP(O$1,main!$A$3:$H$102,8,FALSE),main!$K$26:$M$29,2,FALSE)+VLOOKUP(VLOOKUP(O$1,main!$A$3:$H$102,7,FALSE),main!$K$19:$O$22,MATCH(VLOOKUP($A95,main!$A$3:$H$102,8,FALSE),main!$K$18:$O$18,0))))),1,0)</f>
        <v>0</v>
      </c>
      <c r="P95">
        <f>IF((AND(VLOOKUP(P$1,main!$A$3:$H$102,5,FALSE)-VLOOKUP($A95,main!$A$3:$H$102,6,FALSE)&gt;=(VLOOKUP(VLOOKUP(P$1,main!$A$3:$H$102,8,FALSE),main!$K$26:$M$29,2,FALSE)+VLOOKUP(VLOOKUP(P$1,main!$A$3:$H$102,7,FALSE),main!$K$19:$O$22,MATCH(VLOOKUP($A95,main!$A$3:$H$102,8,FALSE),main!$K$18:$O$18,0))))),1,0)</f>
        <v>0</v>
      </c>
      <c r="Q95">
        <f>IF((AND(VLOOKUP(Q$1,main!$A$3:$H$102,5,FALSE)-VLOOKUP($A95,main!$A$3:$H$102,6,FALSE)&gt;=(VLOOKUP(VLOOKUP(Q$1,main!$A$3:$H$102,8,FALSE),main!$K$26:$M$29,2,FALSE)+VLOOKUP(VLOOKUP(Q$1,main!$A$3:$H$102,7,FALSE),main!$K$19:$O$22,MATCH(VLOOKUP($A95,main!$A$3:$H$102,8,FALSE),main!$K$18:$O$18,0))))),1,0)</f>
        <v>0</v>
      </c>
      <c r="R95">
        <f>IF((AND(VLOOKUP(R$1,main!$A$3:$H$102,5,FALSE)-VLOOKUP($A95,main!$A$3:$H$102,6,FALSE)&gt;=(VLOOKUP(VLOOKUP(R$1,main!$A$3:$H$102,8,FALSE),main!$K$26:$M$29,2,FALSE)+VLOOKUP(VLOOKUP(R$1,main!$A$3:$H$102,7,FALSE),main!$K$19:$O$22,MATCH(VLOOKUP($A95,main!$A$3:$H$102,8,FALSE),main!$K$18:$O$18,0))))),1,0)</f>
        <v>0</v>
      </c>
      <c r="S95">
        <f>IF((AND(VLOOKUP(S$1,main!$A$3:$H$102,5,FALSE)-VLOOKUP($A95,main!$A$3:$H$102,6,FALSE)&gt;=(VLOOKUP(VLOOKUP(S$1,main!$A$3:$H$102,8,FALSE),main!$K$26:$M$29,2,FALSE)+VLOOKUP(VLOOKUP(S$1,main!$A$3:$H$102,7,FALSE),main!$K$19:$O$22,MATCH(VLOOKUP($A95,main!$A$3:$H$102,8,FALSE),main!$K$18:$O$18,0))))),1,0)</f>
        <v>0</v>
      </c>
      <c r="T95">
        <f>IF((AND(VLOOKUP(T$1,main!$A$3:$H$102,5,FALSE)-VLOOKUP($A95,main!$A$3:$H$102,6,FALSE)&gt;=(VLOOKUP(VLOOKUP(T$1,main!$A$3:$H$102,8,FALSE),main!$K$26:$M$29,2,FALSE)+VLOOKUP(VLOOKUP(T$1,main!$A$3:$H$102,7,FALSE),main!$K$19:$O$22,MATCH(VLOOKUP($A95,main!$A$3:$H$102,8,FALSE),main!$K$18:$O$18,0))))),1,0)</f>
        <v>1</v>
      </c>
      <c r="U95">
        <f>IF((AND(VLOOKUP(U$1,main!$A$3:$H$102,5,FALSE)-VLOOKUP($A95,main!$A$3:$H$102,6,FALSE)&gt;=(VLOOKUP(VLOOKUP(U$1,main!$A$3:$H$102,8,FALSE),main!$K$26:$M$29,2,FALSE)+VLOOKUP(VLOOKUP(U$1,main!$A$3:$H$102,7,FALSE),main!$K$19:$O$22,MATCH(VLOOKUP($A95,main!$A$3:$H$102,8,FALSE),main!$K$18:$O$18,0))))),1,0)</f>
        <v>1</v>
      </c>
      <c r="V95">
        <f>IF((AND(VLOOKUP(V$1,main!$A$3:$H$102,5,FALSE)-VLOOKUP($A95,main!$A$3:$H$102,6,FALSE)&gt;=(VLOOKUP(VLOOKUP(V$1,main!$A$3:$H$102,8,FALSE),main!$K$26:$M$29,2,FALSE)+VLOOKUP(VLOOKUP(V$1,main!$A$3:$H$102,7,FALSE),main!$K$19:$O$22,MATCH(VLOOKUP($A95,main!$A$3:$H$102,8,FALSE),main!$K$18:$O$18,0))))),1,0)</f>
        <v>1</v>
      </c>
      <c r="W95">
        <f>IF((AND(VLOOKUP(W$1,main!$A$3:$H$102,5,FALSE)-VLOOKUP($A95,main!$A$3:$H$102,6,FALSE)&gt;=(VLOOKUP(VLOOKUP(W$1,main!$A$3:$H$102,8,FALSE),main!$K$26:$M$29,2,FALSE)+VLOOKUP(VLOOKUP(W$1,main!$A$3:$H$102,7,FALSE),main!$K$19:$O$22,MATCH(VLOOKUP($A95,main!$A$3:$H$102,8,FALSE),main!$K$18:$O$18,0))))),1,0)</f>
        <v>0</v>
      </c>
      <c r="X95">
        <f>IF((AND(VLOOKUP(X$1,main!$A$3:$H$102,5,FALSE)-VLOOKUP($A95,main!$A$3:$H$102,6,FALSE)&gt;=(VLOOKUP(VLOOKUP(X$1,main!$A$3:$H$102,8,FALSE),main!$K$26:$M$29,2,FALSE)+VLOOKUP(VLOOKUP(X$1,main!$A$3:$H$102,7,FALSE),main!$K$19:$O$22,MATCH(VLOOKUP($A95,main!$A$3:$H$102,8,FALSE),main!$K$18:$O$18,0))))),1,0)</f>
        <v>0</v>
      </c>
      <c r="Y95">
        <f>IF((AND(VLOOKUP(Y$1,main!$A$3:$H$102,5,FALSE)-VLOOKUP($A95,main!$A$3:$H$102,6,FALSE)&gt;=(VLOOKUP(VLOOKUP(Y$1,main!$A$3:$H$102,8,FALSE),main!$K$26:$M$29,2,FALSE)+VLOOKUP(VLOOKUP(Y$1,main!$A$3:$H$102,7,FALSE),main!$K$19:$O$22,MATCH(VLOOKUP($A95,main!$A$3:$H$102,8,FALSE),main!$K$18:$O$18,0))))),1,0)</f>
        <v>0</v>
      </c>
      <c r="Z95">
        <f>IF((AND(VLOOKUP(Z$1,main!$A$3:$H$102,5,FALSE)-VLOOKUP($A95,main!$A$3:$H$102,6,FALSE)&gt;=(VLOOKUP(VLOOKUP(Z$1,main!$A$3:$H$102,8,FALSE),main!$K$26:$M$29,2,FALSE)+VLOOKUP(VLOOKUP(Z$1,main!$A$3:$H$102,7,FALSE),main!$K$19:$O$22,MATCH(VLOOKUP($A95,main!$A$3:$H$102,8,FALSE),main!$K$18:$O$18,0))))),1,0)</f>
        <v>1</v>
      </c>
      <c r="AA95">
        <f>IF((AND(VLOOKUP(AA$1,main!$A$3:$H$102,5,FALSE)-VLOOKUP($A95,main!$A$3:$H$102,6,FALSE)&gt;=(VLOOKUP(VLOOKUP(AA$1,main!$A$3:$H$102,8,FALSE),main!$K$26:$M$29,2,FALSE)+VLOOKUP(VLOOKUP(AA$1,main!$A$3:$H$102,7,FALSE),main!$K$19:$O$22,MATCH(VLOOKUP($A95,main!$A$3:$H$102,8,FALSE),main!$K$18:$O$18,0))))),1,0)</f>
        <v>1</v>
      </c>
      <c r="AB95">
        <f>IF((AND(VLOOKUP(AB$1,main!$A$3:$H$102,5,FALSE)-VLOOKUP($A95,main!$A$3:$H$102,6,FALSE)&gt;=(VLOOKUP(VLOOKUP(AB$1,main!$A$3:$H$102,8,FALSE),main!$K$26:$M$29,2,FALSE)+VLOOKUP(VLOOKUP(AB$1,main!$A$3:$H$102,7,FALSE),main!$K$19:$O$22,MATCH(VLOOKUP($A95,main!$A$3:$H$102,8,FALSE),main!$K$18:$O$18,0))))),1,0)</f>
        <v>0</v>
      </c>
      <c r="AC95">
        <f>IF((AND(VLOOKUP(AC$1,main!$A$3:$H$102,5,FALSE)-VLOOKUP($A95,main!$A$3:$H$102,6,FALSE)&gt;=(VLOOKUP(VLOOKUP(AC$1,main!$A$3:$H$102,8,FALSE),main!$K$26:$M$29,2,FALSE)+VLOOKUP(VLOOKUP(AC$1,main!$A$3:$H$102,7,FALSE),main!$K$19:$O$22,MATCH(VLOOKUP($A95,main!$A$3:$H$102,8,FALSE),main!$K$18:$O$18,0))))),1,0)</f>
        <v>0</v>
      </c>
      <c r="AD95">
        <f>IF((AND(VLOOKUP(AD$1,main!$A$3:$H$102,5,FALSE)-VLOOKUP($A95,main!$A$3:$H$102,6,FALSE)&gt;=(VLOOKUP(VLOOKUP(AD$1,main!$A$3:$H$102,8,FALSE),main!$K$26:$M$29,2,FALSE)+VLOOKUP(VLOOKUP(AD$1,main!$A$3:$H$102,7,FALSE),main!$K$19:$O$22,MATCH(VLOOKUP($A95,main!$A$3:$H$102,8,FALSE),main!$K$18:$O$18,0))))),1,0)</f>
        <v>0</v>
      </c>
      <c r="AE95">
        <f>IF((AND(VLOOKUP(AE$1,main!$A$3:$H$102,5,FALSE)-VLOOKUP($A95,main!$A$3:$H$102,6,FALSE)&gt;=(VLOOKUP(VLOOKUP(AE$1,main!$A$3:$H$102,8,FALSE),main!$K$26:$M$29,2,FALSE)+VLOOKUP(VLOOKUP(AE$1,main!$A$3:$H$102,7,FALSE),main!$K$19:$O$22,MATCH(VLOOKUP($A95,main!$A$3:$H$102,8,FALSE),main!$K$18:$O$18,0))))),1,0)</f>
        <v>0</v>
      </c>
      <c r="AF95">
        <f>IF((AND(VLOOKUP(AF$1,main!$A$3:$H$102,5,FALSE)-VLOOKUP($A95,main!$A$3:$H$102,6,FALSE)&gt;=(VLOOKUP(VLOOKUP(AF$1,main!$A$3:$H$102,8,FALSE),main!$K$26:$M$29,2,FALSE)+VLOOKUP(VLOOKUP(AF$1,main!$A$3:$H$102,7,FALSE),main!$K$19:$O$22,MATCH(VLOOKUP($A95,main!$A$3:$H$102,8,FALSE),main!$K$18:$O$18,0))))),1,0)</f>
        <v>1</v>
      </c>
      <c r="AG95">
        <f>IF((AND(VLOOKUP(AG$1,main!$A$3:$H$102,5,FALSE)-VLOOKUP($A95,main!$A$3:$H$102,6,FALSE)&gt;=(VLOOKUP(VLOOKUP(AG$1,main!$A$3:$H$102,8,FALSE),main!$K$26:$M$29,2,FALSE)+VLOOKUP(VLOOKUP(AG$1,main!$A$3:$H$102,7,FALSE),main!$K$19:$O$22,MATCH(VLOOKUP($A95,main!$A$3:$H$102,8,FALSE),main!$K$18:$O$18,0))))),1,0)</f>
        <v>0</v>
      </c>
      <c r="AH95">
        <f>IF((AND(VLOOKUP(AH$1,main!$A$3:$H$102,5,FALSE)-VLOOKUP($A95,main!$A$3:$H$102,6,FALSE)&gt;=(VLOOKUP(VLOOKUP(AH$1,main!$A$3:$H$102,8,FALSE),main!$K$26:$M$29,2,FALSE)+VLOOKUP(VLOOKUP(AH$1,main!$A$3:$H$102,7,FALSE),main!$K$19:$O$22,MATCH(VLOOKUP($A95,main!$A$3:$H$102,8,FALSE),main!$K$18:$O$18,0))))),1,0)</f>
        <v>0</v>
      </c>
      <c r="AI95">
        <f>IF((AND(VLOOKUP(AI$1,main!$A$3:$H$102,5,FALSE)-VLOOKUP($A95,main!$A$3:$H$102,6,FALSE)&gt;=(VLOOKUP(VLOOKUP(AI$1,main!$A$3:$H$102,8,FALSE),main!$K$26:$M$29,2,FALSE)+VLOOKUP(VLOOKUP(AI$1,main!$A$3:$H$102,7,FALSE),main!$K$19:$O$22,MATCH(VLOOKUP($A95,main!$A$3:$H$102,8,FALSE),main!$K$18:$O$18,0))))),1,0)</f>
        <v>0</v>
      </c>
      <c r="AJ95">
        <f>IF((AND(VLOOKUP(AJ$1,main!$A$3:$H$102,5,FALSE)-VLOOKUP($A95,main!$A$3:$H$102,6,FALSE)&gt;=(VLOOKUP(VLOOKUP(AJ$1,main!$A$3:$H$102,8,FALSE),main!$K$26:$M$29,2,FALSE)+VLOOKUP(VLOOKUP(AJ$1,main!$A$3:$H$102,7,FALSE),main!$K$19:$O$22,MATCH(VLOOKUP($A95,main!$A$3:$H$102,8,FALSE),main!$K$18:$O$18,0))))),1,0)</f>
        <v>0</v>
      </c>
      <c r="AK95">
        <f>IF((AND(VLOOKUP(AK$1,main!$A$3:$H$102,5,FALSE)-VLOOKUP($A95,main!$A$3:$H$102,6,FALSE)&gt;=(VLOOKUP(VLOOKUP(AK$1,main!$A$3:$H$102,8,FALSE),main!$K$26:$M$29,2,FALSE)+VLOOKUP(VLOOKUP(AK$1,main!$A$3:$H$102,7,FALSE),main!$K$19:$O$22,MATCH(VLOOKUP($A95,main!$A$3:$H$102,8,FALSE),main!$K$18:$O$18,0))))),1,0)</f>
        <v>0</v>
      </c>
      <c r="AL95">
        <f>IF((AND(VLOOKUP(AL$1,main!$A$3:$H$102,5,FALSE)-VLOOKUP($A95,main!$A$3:$H$102,6,FALSE)&gt;=(VLOOKUP(VLOOKUP(AL$1,main!$A$3:$H$102,8,FALSE),main!$K$26:$M$29,2,FALSE)+VLOOKUP(VLOOKUP(AL$1,main!$A$3:$H$102,7,FALSE),main!$K$19:$O$22,MATCH(VLOOKUP($A95,main!$A$3:$H$102,8,FALSE),main!$K$18:$O$18,0))))),1,0)</f>
        <v>1</v>
      </c>
      <c r="AM95">
        <f>IF((AND(VLOOKUP(AM$1,main!$A$3:$H$102,5,FALSE)-VLOOKUP($A95,main!$A$3:$H$102,6,FALSE)&gt;=(VLOOKUP(VLOOKUP(AM$1,main!$A$3:$H$102,8,FALSE),main!$K$26:$M$29,2,FALSE)+VLOOKUP(VLOOKUP(AM$1,main!$A$3:$H$102,7,FALSE),main!$K$19:$O$22,MATCH(VLOOKUP($A95,main!$A$3:$H$102,8,FALSE),main!$K$18:$O$18,0))))),1,0)</f>
        <v>1</v>
      </c>
      <c r="AN95">
        <f>IF((AND(VLOOKUP(AN$1,main!$A$3:$H$102,5,FALSE)-VLOOKUP($A95,main!$A$3:$H$102,6,FALSE)&gt;=(VLOOKUP(VLOOKUP(AN$1,main!$A$3:$H$102,8,FALSE),main!$K$26:$M$29,2,FALSE)+VLOOKUP(VLOOKUP(AN$1,main!$A$3:$H$102,7,FALSE),main!$K$19:$O$22,MATCH(VLOOKUP($A95,main!$A$3:$H$102,8,FALSE),main!$K$18:$O$18,0))))),1,0)</f>
        <v>1</v>
      </c>
      <c r="AO95">
        <f>IF((AND(VLOOKUP(AO$1,main!$A$3:$H$102,5,FALSE)-VLOOKUP($A95,main!$A$3:$H$102,6,FALSE)&gt;=(VLOOKUP(VLOOKUP(AO$1,main!$A$3:$H$102,8,FALSE),main!$K$26:$M$29,2,FALSE)+VLOOKUP(VLOOKUP(AO$1,main!$A$3:$H$102,7,FALSE),main!$K$19:$O$22,MATCH(VLOOKUP($A95,main!$A$3:$H$102,8,FALSE),main!$K$18:$O$18,0))))),1,0)</f>
        <v>0</v>
      </c>
      <c r="AP95">
        <f>IF((AND(VLOOKUP(AP$1,main!$A$3:$H$102,5,FALSE)-VLOOKUP($A95,main!$A$3:$H$102,6,FALSE)&gt;=(VLOOKUP(VLOOKUP(AP$1,main!$A$3:$H$102,8,FALSE),main!$K$26:$M$29,2,FALSE)+VLOOKUP(VLOOKUP(AP$1,main!$A$3:$H$102,7,FALSE),main!$K$19:$O$22,MATCH(VLOOKUP($A95,main!$A$3:$H$102,8,FALSE),main!$K$18:$O$18,0))))),1,0)</f>
        <v>1</v>
      </c>
      <c r="AQ95">
        <f>IF((AND(VLOOKUP(AQ$1,main!$A$3:$H$102,5,FALSE)-VLOOKUP($A95,main!$A$3:$H$102,6,FALSE)&gt;=(VLOOKUP(VLOOKUP(AQ$1,main!$A$3:$H$102,8,FALSE),main!$K$26:$M$29,2,FALSE)+VLOOKUP(VLOOKUP(AQ$1,main!$A$3:$H$102,7,FALSE),main!$K$19:$O$22,MATCH(VLOOKUP($A95,main!$A$3:$H$102,8,FALSE),main!$K$18:$O$18,0))))),1,0)</f>
        <v>0</v>
      </c>
      <c r="AR95">
        <f>IF((AND(VLOOKUP(AR$1,main!$A$3:$H$102,5,FALSE)-VLOOKUP($A95,main!$A$3:$H$102,6,FALSE)&gt;=(VLOOKUP(VLOOKUP(AR$1,main!$A$3:$H$102,8,FALSE),main!$K$26:$M$29,2,FALSE)+VLOOKUP(VLOOKUP(AR$1,main!$A$3:$H$102,7,FALSE),main!$K$19:$O$22,MATCH(VLOOKUP($A95,main!$A$3:$H$102,8,FALSE),main!$K$18:$O$18,0))))),1,0)</f>
        <v>0</v>
      </c>
      <c r="AS95">
        <f>IF((AND(VLOOKUP(AS$1,main!$A$3:$H$102,5,FALSE)-VLOOKUP($A95,main!$A$3:$H$102,6,FALSE)&gt;=(VLOOKUP(VLOOKUP(AS$1,main!$A$3:$H$102,8,FALSE),main!$K$26:$M$29,2,FALSE)+VLOOKUP(VLOOKUP(AS$1,main!$A$3:$H$102,7,FALSE),main!$K$19:$O$22,MATCH(VLOOKUP($A95,main!$A$3:$H$102,8,FALSE),main!$K$18:$O$18,0))))),1,0)</f>
        <v>0</v>
      </c>
      <c r="AT95">
        <f>IF((AND(VLOOKUP(AT$1,main!$A$3:$H$102,5,FALSE)-VLOOKUP($A95,main!$A$3:$H$102,6,FALSE)&gt;=(VLOOKUP(VLOOKUP(AT$1,main!$A$3:$H$102,8,FALSE),main!$K$26:$M$29,2,FALSE)+VLOOKUP(VLOOKUP(AT$1,main!$A$3:$H$102,7,FALSE),main!$K$19:$O$22,MATCH(VLOOKUP($A95,main!$A$3:$H$102,8,FALSE),main!$K$18:$O$18,0))))),1,0)</f>
        <v>1</v>
      </c>
      <c r="AU95">
        <f>IF((AND(VLOOKUP(AU$1,main!$A$3:$H$102,5,FALSE)-VLOOKUP($A95,main!$A$3:$H$102,6,FALSE)&gt;=(VLOOKUP(VLOOKUP(AU$1,main!$A$3:$H$102,8,FALSE),main!$K$26:$M$29,2,FALSE)+VLOOKUP(VLOOKUP(AU$1,main!$A$3:$H$102,7,FALSE),main!$K$19:$O$22,MATCH(VLOOKUP($A95,main!$A$3:$H$102,8,FALSE),main!$K$18:$O$18,0))))),1,0)</f>
        <v>0</v>
      </c>
      <c r="AV95">
        <f>IF((AND(VLOOKUP(AV$1,main!$A$3:$H$102,5,FALSE)-VLOOKUP($A95,main!$A$3:$H$102,6,FALSE)&gt;=(VLOOKUP(VLOOKUP(AV$1,main!$A$3:$H$102,8,FALSE),main!$K$26:$M$29,2,FALSE)+VLOOKUP(VLOOKUP(AV$1,main!$A$3:$H$102,7,FALSE),main!$K$19:$O$22,MATCH(VLOOKUP($A95,main!$A$3:$H$102,8,FALSE),main!$K$18:$O$18,0))))),1,0)</f>
        <v>0</v>
      </c>
      <c r="AW95">
        <f>IF((AND(VLOOKUP(AW$1,main!$A$3:$H$102,5,FALSE)-VLOOKUP($A95,main!$A$3:$H$102,6,FALSE)&gt;=(VLOOKUP(VLOOKUP(AW$1,main!$A$3:$H$102,8,FALSE),main!$K$26:$M$29,2,FALSE)+VLOOKUP(VLOOKUP(AW$1,main!$A$3:$H$102,7,FALSE),main!$K$19:$O$22,MATCH(VLOOKUP($A95,main!$A$3:$H$102,8,FALSE),main!$K$18:$O$18,0))))),1,0)</f>
        <v>0</v>
      </c>
      <c r="AX95">
        <f>IF((AND(VLOOKUP(AX$1,main!$A$3:$H$102,5,FALSE)-VLOOKUP($A95,main!$A$3:$H$102,6,FALSE)&gt;=(VLOOKUP(VLOOKUP(AX$1,main!$A$3:$H$102,8,FALSE),main!$K$26:$M$29,2,FALSE)+VLOOKUP(VLOOKUP(AX$1,main!$A$3:$H$102,7,FALSE),main!$K$19:$O$22,MATCH(VLOOKUP($A95,main!$A$3:$H$102,8,FALSE),main!$K$18:$O$18,0))))),1,0)</f>
        <v>0</v>
      </c>
      <c r="AY95">
        <f>IF((AND(VLOOKUP(AY$1,main!$A$3:$H$102,5,FALSE)-VLOOKUP($A95,main!$A$3:$H$102,6,FALSE)&gt;=(VLOOKUP(VLOOKUP(AY$1,main!$A$3:$H$102,8,FALSE),main!$K$26:$M$29,2,FALSE)+VLOOKUP(VLOOKUP(AY$1,main!$A$3:$H$102,7,FALSE),main!$K$19:$O$22,MATCH(VLOOKUP($A95,main!$A$3:$H$102,8,FALSE),main!$K$18:$O$18,0))))),1,0)</f>
        <v>0</v>
      </c>
      <c r="AZ95">
        <f>IF((AND(VLOOKUP(AZ$1,main!$A$3:$H$102,5,FALSE)-VLOOKUP($A95,main!$A$3:$H$102,6,FALSE)&gt;=(VLOOKUP(VLOOKUP(AZ$1,main!$A$3:$H$102,8,FALSE),main!$K$26:$M$29,2,FALSE)+VLOOKUP(VLOOKUP(AZ$1,main!$A$3:$H$102,7,FALSE),main!$K$19:$O$22,MATCH(VLOOKUP($A95,main!$A$3:$H$102,8,FALSE),main!$K$18:$O$18,0))))),1,0)</f>
        <v>0</v>
      </c>
      <c r="BA95">
        <f>IF((AND(VLOOKUP(BA$1,main!$A$3:$H$102,5,FALSE)-VLOOKUP($A95,main!$A$3:$H$102,6,FALSE)&gt;=(VLOOKUP(VLOOKUP(BA$1,main!$A$3:$H$102,8,FALSE),main!$K$26:$M$29,2,FALSE)+VLOOKUP(VLOOKUP(BA$1,main!$A$3:$H$102,7,FALSE),main!$K$19:$O$22,MATCH(VLOOKUP($A95,main!$A$3:$H$102,8,FALSE),main!$K$18:$O$18,0))))),1,0)</f>
        <v>0</v>
      </c>
      <c r="BB95">
        <f>IF((AND(VLOOKUP(BB$1,main!$A$3:$H$102,5,FALSE)-VLOOKUP($A95,main!$A$3:$H$102,6,FALSE)&gt;=(VLOOKUP(VLOOKUP(BB$1,main!$A$3:$H$102,8,FALSE),main!$K$26:$M$29,2,FALSE)+VLOOKUP(VLOOKUP(BB$1,main!$A$3:$H$102,7,FALSE),main!$K$19:$O$22,MATCH(VLOOKUP($A95,main!$A$3:$H$102,8,FALSE),main!$K$18:$O$18,0))))),1,0)</f>
        <v>0</v>
      </c>
      <c r="BC95">
        <f>IF((AND(VLOOKUP(BC$1,main!$A$3:$H$102,5,FALSE)-VLOOKUP($A95,main!$A$3:$H$102,6,FALSE)&gt;=(VLOOKUP(VLOOKUP(BC$1,main!$A$3:$H$102,8,FALSE),main!$K$26:$M$29,2,FALSE)+VLOOKUP(VLOOKUP(BC$1,main!$A$3:$H$102,7,FALSE),main!$K$19:$O$22,MATCH(VLOOKUP($A95,main!$A$3:$H$102,8,FALSE),main!$K$18:$O$18,0))))),1,0)</f>
        <v>0</v>
      </c>
      <c r="BD95">
        <f>IF((AND(VLOOKUP(BD$1,main!$A$3:$H$102,5,FALSE)-VLOOKUP($A95,main!$A$3:$H$102,6,FALSE)&gt;=(VLOOKUP(VLOOKUP(BD$1,main!$A$3:$H$102,8,FALSE),main!$K$26:$M$29,2,FALSE)+VLOOKUP(VLOOKUP(BD$1,main!$A$3:$H$102,7,FALSE),main!$K$19:$O$22,MATCH(VLOOKUP($A95,main!$A$3:$H$102,8,FALSE),main!$K$18:$O$18,0))))),1,0)</f>
        <v>1</v>
      </c>
      <c r="BE95">
        <f>IF((AND(VLOOKUP(BE$1,main!$A$3:$H$102,5,FALSE)-VLOOKUP($A95,main!$A$3:$H$102,6,FALSE)&gt;=(VLOOKUP(VLOOKUP(BE$1,main!$A$3:$H$102,8,FALSE),main!$K$26:$M$29,2,FALSE)+VLOOKUP(VLOOKUP(BE$1,main!$A$3:$H$102,7,FALSE),main!$K$19:$O$22,MATCH(VLOOKUP($A95,main!$A$3:$H$102,8,FALSE),main!$K$18:$O$18,0))))),1,0)</f>
        <v>1</v>
      </c>
      <c r="BF95">
        <f>IF((AND(VLOOKUP(BF$1,main!$A$3:$H$102,5,FALSE)-VLOOKUP($A95,main!$A$3:$H$102,6,FALSE)&gt;=(VLOOKUP(VLOOKUP(BF$1,main!$A$3:$H$102,8,FALSE),main!$K$26:$M$29,2,FALSE)+VLOOKUP(VLOOKUP(BF$1,main!$A$3:$H$102,7,FALSE),main!$K$19:$O$22,MATCH(VLOOKUP($A95,main!$A$3:$H$102,8,FALSE),main!$K$18:$O$18,0))))),1,0)</f>
        <v>0</v>
      </c>
      <c r="BG95">
        <f>IF((AND(VLOOKUP(BG$1,main!$A$3:$H$102,5,FALSE)-VLOOKUP($A95,main!$A$3:$H$102,6,FALSE)&gt;=(VLOOKUP(VLOOKUP(BG$1,main!$A$3:$H$102,8,FALSE),main!$K$26:$M$29,2,FALSE)+VLOOKUP(VLOOKUP(BG$1,main!$A$3:$H$102,7,FALSE),main!$K$19:$O$22,MATCH(VLOOKUP($A95,main!$A$3:$H$102,8,FALSE),main!$K$18:$O$18,0))))),1,0)</f>
        <v>0</v>
      </c>
      <c r="BH95">
        <f>IF((AND(VLOOKUP(BH$1,main!$A$3:$H$102,5,FALSE)-VLOOKUP($A95,main!$A$3:$H$102,6,FALSE)&gt;=(VLOOKUP(VLOOKUP(BH$1,main!$A$3:$H$102,8,FALSE),main!$K$26:$M$29,2,FALSE)+VLOOKUP(VLOOKUP(BH$1,main!$A$3:$H$102,7,FALSE),main!$K$19:$O$22,MATCH(VLOOKUP($A95,main!$A$3:$H$102,8,FALSE),main!$K$18:$O$18,0))))),1,0)</f>
        <v>0</v>
      </c>
      <c r="BI95">
        <f>IF((AND(VLOOKUP(BI$1,main!$A$3:$H$102,5,FALSE)-VLOOKUP($A95,main!$A$3:$H$102,6,FALSE)&gt;=(VLOOKUP(VLOOKUP(BI$1,main!$A$3:$H$102,8,FALSE),main!$K$26:$M$29,2,FALSE)+VLOOKUP(VLOOKUP(BI$1,main!$A$3:$H$102,7,FALSE),main!$K$19:$O$22,MATCH(VLOOKUP($A95,main!$A$3:$H$102,8,FALSE),main!$K$18:$O$18,0))))),1,0)</f>
        <v>1</v>
      </c>
      <c r="BJ95">
        <f>IF((AND(VLOOKUP(BJ$1,main!$A$3:$H$102,5,FALSE)-VLOOKUP($A95,main!$A$3:$H$102,6,FALSE)&gt;=(VLOOKUP(VLOOKUP(BJ$1,main!$A$3:$H$102,8,FALSE),main!$K$26:$M$29,2,FALSE)+VLOOKUP(VLOOKUP(BJ$1,main!$A$3:$H$102,7,FALSE),main!$K$19:$O$22,MATCH(VLOOKUP($A95,main!$A$3:$H$102,8,FALSE),main!$K$18:$O$18,0))))),1,0)</f>
        <v>1</v>
      </c>
      <c r="BK95">
        <f>IF((AND(VLOOKUP(BK$1,main!$A$3:$H$102,5,FALSE)-VLOOKUP($A95,main!$A$3:$H$102,6,FALSE)&gt;=(VLOOKUP(VLOOKUP(BK$1,main!$A$3:$H$102,8,FALSE),main!$K$26:$M$29,2,FALSE)+VLOOKUP(VLOOKUP(BK$1,main!$A$3:$H$102,7,FALSE),main!$K$19:$O$22,MATCH(VLOOKUP($A95,main!$A$3:$H$102,8,FALSE),main!$K$18:$O$18,0))))),1,0)</f>
        <v>0</v>
      </c>
      <c r="BL95">
        <f>IF((AND(VLOOKUP(BL$1,main!$A$3:$H$102,5,FALSE)-VLOOKUP($A95,main!$A$3:$H$102,6,FALSE)&gt;=(VLOOKUP(VLOOKUP(BL$1,main!$A$3:$H$102,8,FALSE),main!$K$26:$M$29,2,FALSE)+VLOOKUP(VLOOKUP(BL$1,main!$A$3:$H$102,7,FALSE),main!$K$19:$O$22,MATCH(VLOOKUP($A95,main!$A$3:$H$102,8,FALSE),main!$K$18:$O$18,0))))),1,0)</f>
        <v>0</v>
      </c>
      <c r="BM95">
        <f>IF((AND(VLOOKUP(BM$1,main!$A$3:$H$102,5,FALSE)-VLOOKUP($A95,main!$A$3:$H$102,6,FALSE)&gt;=(VLOOKUP(VLOOKUP(BM$1,main!$A$3:$H$102,8,FALSE),main!$K$26:$M$29,2,FALSE)+VLOOKUP(VLOOKUP(BM$1,main!$A$3:$H$102,7,FALSE),main!$K$19:$O$22,MATCH(VLOOKUP($A95,main!$A$3:$H$102,8,FALSE),main!$K$18:$O$18,0))))),1,0)</f>
        <v>0</v>
      </c>
      <c r="BN95">
        <f>IF((AND(VLOOKUP(BN$1,main!$A$3:$H$102,5,FALSE)-VLOOKUP($A95,main!$A$3:$H$102,6,FALSE)&gt;=(VLOOKUP(VLOOKUP(BN$1,main!$A$3:$H$102,8,FALSE),main!$K$26:$M$29,2,FALSE)+VLOOKUP(VLOOKUP(BN$1,main!$A$3:$H$102,7,FALSE),main!$K$19:$O$22,MATCH(VLOOKUP($A95,main!$A$3:$H$102,8,FALSE),main!$K$18:$O$18,0))))),1,0)</f>
        <v>0</v>
      </c>
      <c r="BO95">
        <f>IF((AND(VLOOKUP(BO$1,main!$A$3:$H$102,5,FALSE)-VLOOKUP($A95,main!$A$3:$H$102,6,FALSE)&gt;=(VLOOKUP(VLOOKUP(BO$1,main!$A$3:$H$102,8,FALSE),main!$K$26:$M$29,2,FALSE)+VLOOKUP(VLOOKUP(BO$1,main!$A$3:$H$102,7,FALSE),main!$K$19:$O$22,MATCH(VLOOKUP($A95,main!$A$3:$H$102,8,FALSE),main!$K$18:$O$18,0))))),1,0)</f>
        <v>0</v>
      </c>
      <c r="BP95">
        <f>IF((AND(VLOOKUP(BP$1,main!$A$3:$H$102,5,FALSE)-VLOOKUP($A95,main!$A$3:$H$102,6,FALSE)&gt;=(VLOOKUP(VLOOKUP(BP$1,main!$A$3:$H$102,8,FALSE),main!$K$26:$M$29,2,FALSE)+VLOOKUP(VLOOKUP(BP$1,main!$A$3:$H$102,7,FALSE),main!$K$19:$O$22,MATCH(VLOOKUP($A95,main!$A$3:$H$102,8,FALSE),main!$K$18:$O$18,0))))),1,0)</f>
        <v>0</v>
      </c>
      <c r="BQ95">
        <f>IF((AND(VLOOKUP(BQ$1,main!$A$3:$H$102,5,FALSE)-VLOOKUP($A95,main!$A$3:$H$102,6,FALSE)&gt;=(VLOOKUP(VLOOKUP(BQ$1,main!$A$3:$H$102,8,FALSE),main!$K$26:$M$29,2,FALSE)+VLOOKUP(VLOOKUP(BQ$1,main!$A$3:$H$102,7,FALSE),main!$K$19:$O$22,MATCH(VLOOKUP($A95,main!$A$3:$H$102,8,FALSE),main!$K$18:$O$18,0))))),1,0)</f>
        <v>0</v>
      </c>
      <c r="BR95">
        <f>IF((AND(VLOOKUP(BR$1,main!$A$3:$H$102,5,FALSE)-VLOOKUP($A95,main!$A$3:$H$102,6,FALSE)&gt;=(VLOOKUP(VLOOKUP(BR$1,main!$A$3:$H$102,8,FALSE),main!$K$26:$M$29,2,FALSE)+VLOOKUP(VLOOKUP(BR$1,main!$A$3:$H$102,7,FALSE),main!$K$19:$O$22,MATCH(VLOOKUP($A95,main!$A$3:$H$102,8,FALSE),main!$K$18:$O$18,0))))),1,0)</f>
        <v>0</v>
      </c>
      <c r="BS95">
        <f>IF((AND(VLOOKUP(BS$1,main!$A$3:$H$102,5,FALSE)-VLOOKUP($A95,main!$A$3:$H$102,6,FALSE)&gt;=(VLOOKUP(VLOOKUP(BS$1,main!$A$3:$H$102,8,FALSE),main!$K$26:$M$29,2,FALSE)+VLOOKUP(VLOOKUP(BS$1,main!$A$3:$H$102,7,FALSE),main!$K$19:$O$22,MATCH(VLOOKUP($A95,main!$A$3:$H$102,8,FALSE),main!$K$18:$O$18,0))))),1,0)</f>
        <v>0</v>
      </c>
      <c r="BT95">
        <f>IF((AND(VLOOKUP(BT$1,main!$A$3:$H$102,5,FALSE)-VLOOKUP($A95,main!$A$3:$H$102,6,FALSE)&gt;=(VLOOKUP(VLOOKUP(BT$1,main!$A$3:$H$102,8,FALSE),main!$K$26:$M$29,2,FALSE)+VLOOKUP(VLOOKUP(BT$1,main!$A$3:$H$102,7,FALSE),main!$K$19:$O$22,MATCH(VLOOKUP($A95,main!$A$3:$H$102,8,FALSE),main!$K$18:$O$18,0))))),1,0)</f>
        <v>0</v>
      </c>
      <c r="BU95">
        <f>IF((AND(VLOOKUP(BU$1,main!$A$3:$H$102,5,FALSE)-VLOOKUP($A95,main!$A$3:$H$102,6,FALSE)&gt;=(VLOOKUP(VLOOKUP(BU$1,main!$A$3:$H$102,8,FALSE),main!$K$26:$M$29,2,FALSE)+VLOOKUP(VLOOKUP(BU$1,main!$A$3:$H$102,7,FALSE),main!$K$19:$O$22,MATCH(VLOOKUP($A95,main!$A$3:$H$102,8,FALSE),main!$K$18:$O$18,0))))),1,0)</f>
        <v>0</v>
      </c>
      <c r="BV95">
        <f>IF((AND(VLOOKUP(BV$1,main!$A$3:$H$102,5,FALSE)-VLOOKUP($A95,main!$A$3:$H$102,6,FALSE)&gt;=(VLOOKUP(VLOOKUP(BV$1,main!$A$3:$H$102,8,FALSE),main!$K$26:$M$29,2,FALSE)+VLOOKUP(VLOOKUP(BV$1,main!$A$3:$H$102,7,FALSE),main!$K$19:$O$22,MATCH(VLOOKUP($A95,main!$A$3:$H$102,8,FALSE),main!$K$18:$O$18,0))))),1,0)</f>
        <v>0</v>
      </c>
      <c r="BW95">
        <f>IF((AND(VLOOKUP(BW$1,main!$A$3:$H$102,5,FALSE)-VLOOKUP($A95,main!$A$3:$H$102,6,FALSE)&gt;=(VLOOKUP(VLOOKUP(BW$1,main!$A$3:$H$102,8,FALSE),main!$K$26:$M$29,2,FALSE)+VLOOKUP(VLOOKUP(BW$1,main!$A$3:$H$102,7,FALSE),main!$K$19:$O$22,MATCH(VLOOKUP($A95,main!$A$3:$H$102,8,FALSE),main!$K$18:$O$18,0))))),1,0)</f>
        <v>0</v>
      </c>
      <c r="BX95">
        <f>IF((AND(VLOOKUP(BX$1,main!$A$3:$H$102,5,FALSE)-VLOOKUP($A95,main!$A$3:$H$102,6,FALSE)&gt;=(VLOOKUP(VLOOKUP(BX$1,main!$A$3:$H$102,8,FALSE),main!$K$26:$M$29,2,FALSE)+VLOOKUP(VLOOKUP(BX$1,main!$A$3:$H$102,7,FALSE),main!$K$19:$O$22,MATCH(VLOOKUP($A95,main!$A$3:$H$102,8,FALSE),main!$K$18:$O$18,0))))),1,0)</f>
        <v>0</v>
      </c>
      <c r="BY95">
        <f>IF((AND(VLOOKUP(BY$1,main!$A$3:$H$102,5,FALSE)-VLOOKUP($A95,main!$A$3:$H$102,6,FALSE)&gt;=(VLOOKUP(VLOOKUP(BY$1,main!$A$3:$H$102,8,FALSE),main!$K$26:$M$29,2,FALSE)+VLOOKUP(VLOOKUP(BY$1,main!$A$3:$H$102,7,FALSE),main!$K$19:$O$22,MATCH(VLOOKUP($A95,main!$A$3:$H$102,8,FALSE),main!$K$18:$O$18,0))))),1,0)</f>
        <v>0</v>
      </c>
      <c r="BZ95">
        <f>IF((AND(VLOOKUP(BZ$1,main!$A$3:$H$102,5,FALSE)-VLOOKUP($A95,main!$A$3:$H$102,6,FALSE)&gt;=(VLOOKUP(VLOOKUP(BZ$1,main!$A$3:$H$102,8,FALSE),main!$K$26:$M$29,2,FALSE)+VLOOKUP(VLOOKUP(BZ$1,main!$A$3:$H$102,7,FALSE),main!$K$19:$O$22,MATCH(VLOOKUP($A95,main!$A$3:$H$102,8,FALSE),main!$K$18:$O$18,0))))),1,0)</f>
        <v>0</v>
      </c>
      <c r="CA95">
        <f>IF((AND(VLOOKUP(CA$1,main!$A$3:$H$102,5,FALSE)-VLOOKUP($A95,main!$A$3:$H$102,6,FALSE)&gt;=(VLOOKUP(VLOOKUP(CA$1,main!$A$3:$H$102,8,FALSE),main!$K$26:$M$29,2,FALSE)+VLOOKUP(VLOOKUP(CA$1,main!$A$3:$H$102,7,FALSE),main!$K$19:$O$22,MATCH(VLOOKUP($A95,main!$A$3:$H$102,8,FALSE),main!$K$18:$O$18,0))))),1,0)</f>
        <v>0</v>
      </c>
      <c r="CB95">
        <f>IF((AND(VLOOKUP(CB$1,main!$A$3:$H$102,5,FALSE)-VLOOKUP($A95,main!$A$3:$H$102,6,FALSE)&gt;=(VLOOKUP(VLOOKUP(CB$1,main!$A$3:$H$102,8,FALSE),main!$K$26:$M$29,2,FALSE)+VLOOKUP(VLOOKUP(CB$1,main!$A$3:$H$102,7,FALSE),main!$K$19:$O$22,MATCH(VLOOKUP($A95,main!$A$3:$H$102,8,FALSE),main!$K$18:$O$18,0))))),1,0)</f>
        <v>0</v>
      </c>
      <c r="CC95">
        <f>IF((AND(VLOOKUP(CC$1,main!$A$3:$H$102,5,FALSE)-VLOOKUP($A95,main!$A$3:$H$102,6,FALSE)&gt;=(VLOOKUP(VLOOKUP(CC$1,main!$A$3:$H$102,8,FALSE),main!$K$26:$M$29,2,FALSE)+VLOOKUP(VLOOKUP(CC$1,main!$A$3:$H$102,7,FALSE),main!$K$19:$O$22,MATCH(VLOOKUP($A95,main!$A$3:$H$102,8,FALSE),main!$K$18:$O$18,0))))),1,0)</f>
        <v>1</v>
      </c>
      <c r="CD95">
        <f>IF((AND(VLOOKUP(CD$1,main!$A$3:$H$102,5,FALSE)-VLOOKUP($A95,main!$A$3:$H$102,6,FALSE)&gt;=(VLOOKUP(VLOOKUP(CD$1,main!$A$3:$H$102,8,FALSE),main!$K$26:$M$29,2,FALSE)+VLOOKUP(VLOOKUP(CD$1,main!$A$3:$H$102,7,FALSE),main!$K$19:$O$22,MATCH(VLOOKUP($A95,main!$A$3:$H$102,8,FALSE),main!$K$18:$O$18,0))))),1,0)</f>
        <v>0</v>
      </c>
      <c r="CE95">
        <f>IF((AND(VLOOKUP(CE$1,main!$A$3:$H$102,5,FALSE)-VLOOKUP($A95,main!$A$3:$H$102,6,FALSE)&gt;=(VLOOKUP(VLOOKUP(CE$1,main!$A$3:$H$102,8,FALSE),main!$K$26:$M$29,2,FALSE)+VLOOKUP(VLOOKUP(CE$1,main!$A$3:$H$102,7,FALSE),main!$K$19:$O$22,MATCH(VLOOKUP($A95,main!$A$3:$H$102,8,FALSE),main!$K$18:$O$18,0))))),1,0)</f>
        <v>0</v>
      </c>
      <c r="CF95">
        <f>IF((AND(VLOOKUP(CF$1,main!$A$3:$H$102,5,FALSE)-VLOOKUP($A95,main!$A$3:$H$102,6,FALSE)&gt;=(VLOOKUP(VLOOKUP(CF$1,main!$A$3:$H$102,8,FALSE),main!$K$26:$M$29,2,FALSE)+VLOOKUP(VLOOKUP(CF$1,main!$A$3:$H$102,7,FALSE),main!$K$19:$O$22,MATCH(VLOOKUP($A95,main!$A$3:$H$102,8,FALSE),main!$K$18:$O$18,0))))),1,0)</f>
        <v>0</v>
      </c>
      <c r="CG95">
        <f>IF((AND(VLOOKUP(CG$1,main!$A$3:$H$102,5,FALSE)-VLOOKUP($A95,main!$A$3:$H$102,6,FALSE)&gt;=(VLOOKUP(VLOOKUP(CG$1,main!$A$3:$H$102,8,FALSE),main!$K$26:$M$29,2,FALSE)+VLOOKUP(VLOOKUP(CG$1,main!$A$3:$H$102,7,FALSE),main!$K$19:$O$22,MATCH(VLOOKUP($A95,main!$A$3:$H$102,8,FALSE),main!$K$18:$O$18,0))))),1,0)</f>
        <v>0</v>
      </c>
      <c r="CH95">
        <f>IF((AND(VLOOKUP(CH$1,main!$A$3:$H$102,5,FALSE)-VLOOKUP($A95,main!$A$3:$H$102,6,FALSE)&gt;=(VLOOKUP(VLOOKUP(CH$1,main!$A$3:$H$102,8,FALSE),main!$K$26:$M$29,2,FALSE)+VLOOKUP(VLOOKUP(CH$1,main!$A$3:$H$102,7,FALSE),main!$K$19:$O$22,MATCH(VLOOKUP($A95,main!$A$3:$H$102,8,FALSE),main!$K$18:$O$18,0))))),1,0)</f>
        <v>1</v>
      </c>
      <c r="CI95">
        <f>IF((AND(VLOOKUP(CI$1,main!$A$3:$H$102,5,FALSE)-VLOOKUP($A95,main!$A$3:$H$102,6,FALSE)&gt;=(VLOOKUP(VLOOKUP(CI$1,main!$A$3:$H$102,8,FALSE),main!$K$26:$M$29,2,FALSE)+VLOOKUP(VLOOKUP(CI$1,main!$A$3:$H$102,7,FALSE),main!$K$19:$O$22,MATCH(VLOOKUP($A95,main!$A$3:$H$102,8,FALSE),main!$K$18:$O$18,0))))),1,0)</f>
        <v>1</v>
      </c>
      <c r="CJ95">
        <f>IF((AND(VLOOKUP(CJ$1,main!$A$3:$H$102,5,FALSE)-VLOOKUP($A95,main!$A$3:$H$102,6,FALSE)&gt;=(VLOOKUP(VLOOKUP(CJ$1,main!$A$3:$H$102,8,FALSE),main!$K$26:$M$29,2,FALSE)+VLOOKUP(VLOOKUP(CJ$1,main!$A$3:$H$102,7,FALSE),main!$K$19:$O$22,MATCH(VLOOKUP($A95,main!$A$3:$H$102,8,FALSE),main!$K$18:$O$18,0))))),1,0)</f>
        <v>0</v>
      </c>
      <c r="CK95">
        <f>IF((AND(VLOOKUP(CK$1,main!$A$3:$H$102,5,FALSE)-VLOOKUP($A95,main!$A$3:$H$102,6,FALSE)&gt;=(VLOOKUP(VLOOKUP(CK$1,main!$A$3:$H$102,8,FALSE),main!$K$26:$M$29,2,FALSE)+VLOOKUP(VLOOKUP(CK$1,main!$A$3:$H$102,7,FALSE),main!$K$19:$O$22,MATCH(VLOOKUP($A95,main!$A$3:$H$102,8,FALSE),main!$K$18:$O$18,0))))),1,0)</f>
        <v>0</v>
      </c>
      <c r="CL95">
        <f>IF((AND(VLOOKUP(CL$1,main!$A$3:$H$102,5,FALSE)-VLOOKUP($A95,main!$A$3:$H$102,6,FALSE)&gt;=(VLOOKUP(VLOOKUP(CL$1,main!$A$3:$H$102,8,FALSE),main!$K$26:$M$29,2,FALSE)+VLOOKUP(VLOOKUP(CL$1,main!$A$3:$H$102,7,FALSE),main!$K$19:$O$22,MATCH(VLOOKUP($A95,main!$A$3:$H$102,8,FALSE),main!$K$18:$O$18,0))))),1,0)</f>
        <v>0</v>
      </c>
      <c r="CM95">
        <f>IF((AND(VLOOKUP(CM$1,main!$A$3:$H$102,5,FALSE)-VLOOKUP($A95,main!$A$3:$H$102,6,FALSE)&gt;=(VLOOKUP(VLOOKUP(CM$1,main!$A$3:$H$102,8,FALSE),main!$K$26:$M$29,2,FALSE)+VLOOKUP(VLOOKUP(CM$1,main!$A$3:$H$102,7,FALSE),main!$K$19:$O$22,MATCH(VLOOKUP($A95,main!$A$3:$H$102,8,FALSE),main!$K$18:$O$18,0))))),1,0)</f>
        <v>1</v>
      </c>
      <c r="CN95">
        <f>IF((AND(VLOOKUP(CN$1,main!$A$3:$H$102,5,FALSE)-VLOOKUP($A95,main!$A$3:$H$102,6,FALSE)&gt;=(VLOOKUP(VLOOKUP(CN$1,main!$A$3:$H$102,8,FALSE),main!$K$26:$M$29,2,FALSE)+VLOOKUP(VLOOKUP(CN$1,main!$A$3:$H$102,7,FALSE),main!$K$19:$O$22,MATCH(VLOOKUP($A95,main!$A$3:$H$102,8,FALSE),main!$K$18:$O$18,0))))),1,0)</f>
        <v>1</v>
      </c>
      <c r="CO95">
        <f>IF((AND(VLOOKUP(CO$1,main!$A$3:$H$102,5,FALSE)-VLOOKUP($A95,main!$A$3:$H$102,6,FALSE)&gt;=(VLOOKUP(VLOOKUP(CO$1,main!$A$3:$H$102,8,FALSE),main!$K$26:$M$29,2,FALSE)+VLOOKUP(VLOOKUP(CO$1,main!$A$3:$H$102,7,FALSE),main!$K$19:$O$22,MATCH(VLOOKUP($A95,main!$A$3:$H$102,8,FALSE),main!$K$18:$O$18,0))))),1,0)</f>
        <v>0</v>
      </c>
      <c r="CP95">
        <f>IF((AND(VLOOKUP(CP$1,main!$A$3:$H$102,5,FALSE)-VLOOKUP($A95,main!$A$3:$H$102,6,FALSE)&gt;=(VLOOKUP(VLOOKUP(CP$1,main!$A$3:$H$102,8,FALSE),main!$K$26:$M$29,2,FALSE)+VLOOKUP(VLOOKUP(CP$1,main!$A$3:$H$102,7,FALSE),main!$K$19:$O$22,MATCH(VLOOKUP($A95,main!$A$3:$H$102,8,FALSE),main!$K$18:$O$18,0))))),1,0)</f>
        <v>0</v>
      </c>
      <c r="CQ95">
        <f>IF((AND(VLOOKUP(CQ$1,main!$A$3:$H$102,5,FALSE)-VLOOKUP($A95,main!$A$3:$H$102,6,FALSE)&gt;=(VLOOKUP(VLOOKUP(CQ$1,main!$A$3:$H$102,8,FALSE),main!$K$26:$M$29,2,FALSE)+VLOOKUP(VLOOKUP(CQ$1,main!$A$3:$H$102,7,FALSE),main!$K$19:$O$22,MATCH(VLOOKUP($A95,main!$A$3:$H$102,8,FALSE),main!$K$18:$O$18,0))))),1,0)</f>
        <v>0</v>
      </c>
      <c r="CR95">
        <f>IF((AND(VLOOKUP(CR$1,main!$A$3:$H$102,5,FALSE)-VLOOKUP($A95,main!$A$3:$H$102,6,FALSE)&gt;=(VLOOKUP(VLOOKUP(CR$1,main!$A$3:$H$102,8,FALSE),main!$K$26:$M$29,2,FALSE)+VLOOKUP(VLOOKUP(CR$1,main!$A$3:$H$102,7,FALSE),main!$K$19:$O$22,MATCH(VLOOKUP($A95,main!$A$3:$H$102,8,FALSE),main!$K$18:$O$18,0))))),1,0)</f>
        <v>1</v>
      </c>
      <c r="CS95">
        <f>IF((AND(VLOOKUP(CS$1,main!$A$3:$H$102,5,FALSE)-VLOOKUP($A95,main!$A$3:$H$102,6,FALSE)&gt;=(VLOOKUP(VLOOKUP(CS$1,main!$A$3:$H$102,8,FALSE),main!$K$26:$M$29,2,FALSE)+VLOOKUP(VLOOKUP(CS$1,main!$A$3:$H$102,7,FALSE),main!$K$19:$O$22,MATCH(VLOOKUP($A95,main!$A$3:$H$102,8,FALSE),main!$K$18:$O$18,0))))),1,0)</f>
        <v>1</v>
      </c>
      <c r="CT95">
        <f>IF((AND(VLOOKUP(CT$1,main!$A$3:$H$102,5,FALSE)-VLOOKUP($A95,main!$A$3:$H$102,6,FALSE)&gt;=(VLOOKUP(VLOOKUP(CT$1,main!$A$3:$H$102,8,FALSE),main!$K$26:$M$29,2,FALSE)+VLOOKUP(VLOOKUP(CT$1,main!$A$3:$H$102,7,FALSE),main!$K$19:$O$22,MATCH(VLOOKUP($A95,main!$A$3:$H$102,8,FALSE),main!$K$18:$O$18,0))))),1,0)</f>
        <v>0</v>
      </c>
      <c r="CU95">
        <f>IF((AND(VLOOKUP(CU$1,main!$A$3:$H$102,5,FALSE)-VLOOKUP($A95,main!$A$3:$H$102,6,FALSE)&gt;=(VLOOKUP(VLOOKUP(CU$1,main!$A$3:$H$102,8,FALSE),main!$K$26:$M$29,2,FALSE)+VLOOKUP(VLOOKUP(CU$1,main!$A$3:$H$102,7,FALSE),main!$K$19:$O$22,MATCH(VLOOKUP($A95,main!$A$3:$H$102,8,FALSE),main!$K$18:$O$18,0))))),1,0)</f>
        <v>0</v>
      </c>
      <c r="CV95">
        <f>IF((AND(VLOOKUP(CV$1,main!$A$3:$H$102,5,FALSE)-VLOOKUP($A95,main!$A$3:$H$102,6,FALSE)&gt;=(VLOOKUP(VLOOKUP(CV$1,main!$A$3:$H$102,8,FALSE),main!$K$26:$M$29,2,FALSE)+VLOOKUP(VLOOKUP(CV$1,main!$A$3:$H$102,7,FALSE),main!$K$19:$O$22,MATCH(VLOOKUP($A95,main!$A$3:$H$102,8,FALSE),main!$K$18:$O$18,0))))),1,0)</f>
        <v>0</v>
      </c>
      <c r="CW95">
        <f>IF((AND(VLOOKUP(CW$1,main!$A$3:$H$102,5,FALSE)-VLOOKUP($A95,main!$A$3:$H$102,6,FALSE)&gt;=(VLOOKUP(VLOOKUP(CW$1,main!$A$3:$H$102,8,FALSE),main!$K$26:$M$29,2,FALSE)+VLOOKUP(VLOOKUP(CW$1,main!$A$3:$H$102,7,FALSE),main!$K$19:$O$22,MATCH(VLOOKUP($A95,main!$A$3:$H$102,8,FALSE),main!$K$18:$O$18,0))))),1,0)</f>
        <v>1</v>
      </c>
      <c r="CX95">
        <f>IF((AND(VLOOKUP(CX$1,main!$A$3:$H$102,5,FALSE)-VLOOKUP($A95,main!$A$3:$H$102,6,FALSE)&gt;=(VLOOKUP(VLOOKUP(CX$1,main!$A$3:$H$102,8,FALSE),main!$K$26:$M$29,2,FALSE)+VLOOKUP(VLOOKUP(CX$1,main!$A$3:$H$102,7,FALSE),main!$K$19:$O$22,MATCH(VLOOKUP($A95,main!$A$3:$H$102,8,FALSE),main!$K$18:$O$18,0))))),1,0)</f>
        <v>1</v>
      </c>
    </row>
    <row r="96" spans="1:102" x14ac:dyDescent="0.25">
      <c r="A96" s="1">
        <v>94</v>
      </c>
      <c r="B96">
        <v>1</v>
      </c>
      <c r="C96">
        <f>IF((AND(VLOOKUP(C$1,main!$A$3:$H$102,5,FALSE)-VLOOKUP($A96,main!$A$3:$H$102,6,FALSE)&gt;=(VLOOKUP(VLOOKUP(C$1,main!$A$3:$H$102,8,FALSE),main!$K$26:$M$29,2,FALSE)+VLOOKUP(VLOOKUP(C$1,main!$A$3:$H$102,7,FALSE),main!$K$19:$O$22,MATCH(VLOOKUP($A96,main!$A$3:$H$102,8,FALSE),main!$K$18:$O$18,0))))),1,0)</f>
        <v>0</v>
      </c>
      <c r="D96">
        <f>IF((AND(VLOOKUP(D$1,main!$A$3:$H$102,5,FALSE)-VLOOKUP($A96,main!$A$3:$H$102,6,FALSE)&gt;=(VLOOKUP(VLOOKUP(D$1,main!$A$3:$H$102,8,FALSE),main!$K$26:$M$29,2,FALSE)+VLOOKUP(VLOOKUP(D$1,main!$A$3:$H$102,7,FALSE),main!$K$19:$O$22,MATCH(VLOOKUP($A96,main!$A$3:$H$102,8,FALSE),main!$K$18:$O$18,0))))),1,0)</f>
        <v>0</v>
      </c>
      <c r="E96">
        <f>IF((AND(VLOOKUP(E$1,main!$A$3:$H$102,5,FALSE)-VLOOKUP($A96,main!$A$3:$H$102,6,FALSE)&gt;=(VLOOKUP(VLOOKUP(E$1,main!$A$3:$H$102,8,FALSE),main!$K$26:$M$29,2,FALSE)+VLOOKUP(VLOOKUP(E$1,main!$A$3:$H$102,7,FALSE),main!$K$19:$O$22,MATCH(VLOOKUP($A96,main!$A$3:$H$102,8,FALSE),main!$K$18:$O$18,0))))),1,0)</f>
        <v>0</v>
      </c>
      <c r="F96">
        <f>IF((AND(VLOOKUP(F$1,main!$A$3:$H$102,5,FALSE)-VLOOKUP($A96,main!$A$3:$H$102,6,FALSE)&gt;=(VLOOKUP(VLOOKUP(F$1,main!$A$3:$H$102,8,FALSE),main!$K$26:$M$29,2,FALSE)+VLOOKUP(VLOOKUP(F$1,main!$A$3:$H$102,7,FALSE),main!$K$19:$O$22,MATCH(VLOOKUP($A96,main!$A$3:$H$102,8,FALSE),main!$K$18:$O$18,0))))),1,0)</f>
        <v>0</v>
      </c>
      <c r="G96">
        <f>IF((AND(VLOOKUP(G$1,main!$A$3:$H$102,5,FALSE)-VLOOKUP($A96,main!$A$3:$H$102,6,FALSE)&gt;=(VLOOKUP(VLOOKUP(G$1,main!$A$3:$H$102,8,FALSE),main!$K$26:$M$29,2,FALSE)+VLOOKUP(VLOOKUP(G$1,main!$A$3:$H$102,7,FALSE),main!$K$19:$O$22,MATCH(VLOOKUP($A96,main!$A$3:$H$102,8,FALSE),main!$K$18:$O$18,0))))),1,0)</f>
        <v>0</v>
      </c>
      <c r="H96">
        <f>IF((AND(VLOOKUP(H$1,main!$A$3:$H$102,5,FALSE)-VLOOKUP($A96,main!$A$3:$H$102,6,FALSE)&gt;=(VLOOKUP(VLOOKUP(H$1,main!$A$3:$H$102,8,FALSE),main!$K$26:$M$29,2,FALSE)+VLOOKUP(VLOOKUP(H$1,main!$A$3:$H$102,7,FALSE),main!$K$19:$O$22,MATCH(VLOOKUP($A96,main!$A$3:$H$102,8,FALSE),main!$K$18:$O$18,0))))),1,0)</f>
        <v>0</v>
      </c>
      <c r="I96">
        <f>IF((AND(VLOOKUP(I$1,main!$A$3:$H$102,5,FALSE)-VLOOKUP($A96,main!$A$3:$H$102,6,FALSE)&gt;=(VLOOKUP(VLOOKUP(I$1,main!$A$3:$H$102,8,FALSE),main!$K$26:$M$29,2,FALSE)+VLOOKUP(VLOOKUP(I$1,main!$A$3:$H$102,7,FALSE),main!$K$19:$O$22,MATCH(VLOOKUP($A96,main!$A$3:$H$102,8,FALSE),main!$K$18:$O$18,0))))),1,0)</f>
        <v>0</v>
      </c>
      <c r="J96">
        <f>IF((AND(VLOOKUP(J$1,main!$A$3:$H$102,5,FALSE)-VLOOKUP($A96,main!$A$3:$H$102,6,FALSE)&gt;=(VLOOKUP(VLOOKUP(J$1,main!$A$3:$H$102,8,FALSE),main!$K$26:$M$29,2,FALSE)+VLOOKUP(VLOOKUP(J$1,main!$A$3:$H$102,7,FALSE),main!$K$19:$O$22,MATCH(VLOOKUP($A96,main!$A$3:$H$102,8,FALSE),main!$K$18:$O$18,0))))),1,0)</f>
        <v>0</v>
      </c>
      <c r="K96">
        <f>IF((AND(VLOOKUP(K$1,main!$A$3:$H$102,5,FALSE)-VLOOKUP($A96,main!$A$3:$H$102,6,FALSE)&gt;=(VLOOKUP(VLOOKUP(K$1,main!$A$3:$H$102,8,FALSE),main!$K$26:$M$29,2,FALSE)+VLOOKUP(VLOOKUP(K$1,main!$A$3:$H$102,7,FALSE),main!$K$19:$O$22,MATCH(VLOOKUP($A96,main!$A$3:$H$102,8,FALSE),main!$K$18:$O$18,0))))),1,0)</f>
        <v>0</v>
      </c>
      <c r="L96">
        <f>IF((AND(VLOOKUP(L$1,main!$A$3:$H$102,5,FALSE)-VLOOKUP($A96,main!$A$3:$H$102,6,FALSE)&gt;=(VLOOKUP(VLOOKUP(L$1,main!$A$3:$H$102,8,FALSE),main!$K$26:$M$29,2,FALSE)+VLOOKUP(VLOOKUP(L$1,main!$A$3:$H$102,7,FALSE),main!$K$19:$O$22,MATCH(VLOOKUP($A96,main!$A$3:$H$102,8,FALSE),main!$K$18:$O$18,0))))),1,0)</f>
        <v>1</v>
      </c>
      <c r="M96">
        <f>IF((AND(VLOOKUP(M$1,main!$A$3:$H$102,5,FALSE)-VLOOKUP($A96,main!$A$3:$H$102,6,FALSE)&gt;=(VLOOKUP(VLOOKUP(M$1,main!$A$3:$H$102,8,FALSE),main!$K$26:$M$29,2,FALSE)+VLOOKUP(VLOOKUP(M$1,main!$A$3:$H$102,7,FALSE),main!$K$19:$O$22,MATCH(VLOOKUP($A96,main!$A$3:$H$102,8,FALSE),main!$K$18:$O$18,0))))),1,0)</f>
        <v>0</v>
      </c>
      <c r="N96">
        <f>IF((AND(VLOOKUP(N$1,main!$A$3:$H$102,5,FALSE)-VLOOKUP($A96,main!$A$3:$H$102,6,FALSE)&gt;=(VLOOKUP(VLOOKUP(N$1,main!$A$3:$H$102,8,FALSE),main!$K$26:$M$29,2,FALSE)+VLOOKUP(VLOOKUP(N$1,main!$A$3:$H$102,7,FALSE),main!$K$19:$O$22,MATCH(VLOOKUP($A96,main!$A$3:$H$102,8,FALSE),main!$K$18:$O$18,0))))),1,0)</f>
        <v>0</v>
      </c>
      <c r="O96">
        <f>IF((AND(VLOOKUP(O$1,main!$A$3:$H$102,5,FALSE)-VLOOKUP($A96,main!$A$3:$H$102,6,FALSE)&gt;=(VLOOKUP(VLOOKUP(O$1,main!$A$3:$H$102,8,FALSE),main!$K$26:$M$29,2,FALSE)+VLOOKUP(VLOOKUP(O$1,main!$A$3:$H$102,7,FALSE),main!$K$19:$O$22,MATCH(VLOOKUP($A96,main!$A$3:$H$102,8,FALSE),main!$K$18:$O$18,0))))),1,0)</f>
        <v>0</v>
      </c>
      <c r="P96">
        <f>IF((AND(VLOOKUP(P$1,main!$A$3:$H$102,5,FALSE)-VLOOKUP($A96,main!$A$3:$H$102,6,FALSE)&gt;=(VLOOKUP(VLOOKUP(P$1,main!$A$3:$H$102,8,FALSE),main!$K$26:$M$29,2,FALSE)+VLOOKUP(VLOOKUP(P$1,main!$A$3:$H$102,7,FALSE),main!$K$19:$O$22,MATCH(VLOOKUP($A96,main!$A$3:$H$102,8,FALSE),main!$K$18:$O$18,0))))),1,0)</f>
        <v>0</v>
      </c>
      <c r="Q96">
        <f>IF((AND(VLOOKUP(Q$1,main!$A$3:$H$102,5,FALSE)-VLOOKUP($A96,main!$A$3:$H$102,6,FALSE)&gt;=(VLOOKUP(VLOOKUP(Q$1,main!$A$3:$H$102,8,FALSE),main!$K$26:$M$29,2,FALSE)+VLOOKUP(VLOOKUP(Q$1,main!$A$3:$H$102,7,FALSE),main!$K$19:$O$22,MATCH(VLOOKUP($A96,main!$A$3:$H$102,8,FALSE),main!$K$18:$O$18,0))))),1,0)</f>
        <v>0</v>
      </c>
      <c r="R96">
        <f>IF((AND(VLOOKUP(R$1,main!$A$3:$H$102,5,FALSE)-VLOOKUP($A96,main!$A$3:$H$102,6,FALSE)&gt;=(VLOOKUP(VLOOKUP(R$1,main!$A$3:$H$102,8,FALSE),main!$K$26:$M$29,2,FALSE)+VLOOKUP(VLOOKUP(R$1,main!$A$3:$H$102,7,FALSE),main!$K$19:$O$22,MATCH(VLOOKUP($A96,main!$A$3:$H$102,8,FALSE),main!$K$18:$O$18,0))))),1,0)</f>
        <v>0</v>
      </c>
      <c r="S96">
        <f>IF((AND(VLOOKUP(S$1,main!$A$3:$H$102,5,FALSE)-VLOOKUP($A96,main!$A$3:$H$102,6,FALSE)&gt;=(VLOOKUP(VLOOKUP(S$1,main!$A$3:$H$102,8,FALSE),main!$K$26:$M$29,2,FALSE)+VLOOKUP(VLOOKUP(S$1,main!$A$3:$H$102,7,FALSE),main!$K$19:$O$22,MATCH(VLOOKUP($A96,main!$A$3:$H$102,8,FALSE),main!$K$18:$O$18,0))))),1,0)</f>
        <v>0</v>
      </c>
      <c r="T96">
        <f>IF((AND(VLOOKUP(T$1,main!$A$3:$H$102,5,FALSE)-VLOOKUP($A96,main!$A$3:$H$102,6,FALSE)&gt;=(VLOOKUP(VLOOKUP(T$1,main!$A$3:$H$102,8,FALSE),main!$K$26:$M$29,2,FALSE)+VLOOKUP(VLOOKUP(T$1,main!$A$3:$H$102,7,FALSE),main!$K$19:$O$22,MATCH(VLOOKUP($A96,main!$A$3:$H$102,8,FALSE),main!$K$18:$O$18,0))))),1,0)</f>
        <v>0</v>
      </c>
      <c r="U96">
        <f>IF((AND(VLOOKUP(U$1,main!$A$3:$H$102,5,FALSE)-VLOOKUP($A96,main!$A$3:$H$102,6,FALSE)&gt;=(VLOOKUP(VLOOKUP(U$1,main!$A$3:$H$102,8,FALSE),main!$K$26:$M$29,2,FALSE)+VLOOKUP(VLOOKUP(U$1,main!$A$3:$H$102,7,FALSE),main!$K$19:$O$22,MATCH(VLOOKUP($A96,main!$A$3:$H$102,8,FALSE),main!$K$18:$O$18,0))))),1,0)</f>
        <v>1</v>
      </c>
      <c r="V96">
        <f>IF((AND(VLOOKUP(V$1,main!$A$3:$H$102,5,FALSE)-VLOOKUP($A96,main!$A$3:$H$102,6,FALSE)&gt;=(VLOOKUP(VLOOKUP(V$1,main!$A$3:$H$102,8,FALSE),main!$K$26:$M$29,2,FALSE)+VLOOKUP(VLOOKUP(V$1,main!$A$3:$H$102,7,FALSE),main!$K$19:$O$22,MATCH(VLOOKUP($A96,main!$A$3:$H$102,8,FALSE),main!$K$18:$O$18,0))))),1,0)</f>
        <v>1</v>
      </c>
      <c r="W96">
        <f>IF((AND(VLOOKUP(W$1,main!$A$3:$H$102,5,FALSE)-VLOOKUP($A96,main!$A$3:$H$102,6,FALSE)&gt;=(VLOOKUP(VLOOKUP(W$1,main!$A$3:$H$102,8,FALSE),main!$K$26:$M$29,2,FALSE)+VLOOKUP(VLOOKUP(W$1,main!$A$3:$H$102,7,FALSE),main!$K$19:$O$22,MATCH(VLOOKUP($A96,main!$A$3:$H$102,8,FALSE),main!$K$18:$O$18,0))))),1,0)</f>
        <v>0</v>
      </c>
      <c r="X96">
        <f>IF((AND(VLOOKUP(X$1,main!$A$3:$H$102,5,FALSE)-VLOOKUP($A96,main!$A$3:$H$102,6,FALSE)&gt;=(VLOOKUP(VLOOKUP(X$1,main!$A$3:$H$102,8,FALSE),main!$K$26:$M$29,2,FALSE)+VLOOKUP(VLOOKUP(X$1,main!$A$3:$H$102,7,FALSE),main!$K$19:$O$22,MATCH(VLOOKUP($A96,main!$A$3:$H$102,8,FALSE),main!$K$18:$O$18,0))))),1,0)</f>
        <v>0</v>
      </c>
      <c r="Y96">
        <f>IF((AND(VLOOKUP(Y$1,main!$A$3:$H$102,5,FALSE)-VLOOKUP($A96,main!$A$3:$H$102,6,FALSE)&gt;=(VLOOKUP(VLOOKUP(Y$1,main!$A$3:$H$102,8,FALSE),main!$K$26:$M$29,2,FALSE)+VLOOKUP(VLOOKUP(Y$1,main!$A$3:$H$102,7,FALSE),main!$K$19:$O$22,MATCH(VLOOKUP($A96,main!$A$3:$H$102,8,FALSE),main!$K$18:$O$18,0))))),1,0)</f>
        <v>0</v>
      </c>
      <c r="Z96">
        <f>IF((AND(VLOOKUP(Z$1,main!$A$3:$H$102,5,FALSE)-VLOOKUP($A96,main!$A$3:$H$102,6,FALSE)&gt;=(VLOOKUP(VLOOKUP(Z$1,main!$A$3:$H$102,8,FALSE),main!$K$26:$M$29,2,FALSE)+VLOOKUP(VLOOKUP(Z$1,main!$A$3:$H$102,7,FALSE),main!$K$19:$O$22,MATCH(VLOOKUP($A96,main!$A$3:$H$102,8,FALSE),main!$K$18:$O$18,0))))),1,0)</f>
        <v>0</v>
      </c>
      <c r="AA96">
        <f>IF((AND(VLOOKUP(AA$1,main!$A$3:$H$102,5,FALSE)-VLOOKUP($A96,main!$A$3:$H$102,6,FALSE)&gt;=(VLOOKUP(VLOOKUP(AA$1,main!$A$3:$H$102,8,FALSE),main!$K$26:$M$29,2,FALSE)+VLOOKUP(VLOOKUP(AA$1,main!$A$3:$H$102,7,FALSE),main!$K$19:$O$22,MATCH(VLOOKUP($A96,main!$A$3:$H$102,8,FALSE),main!$K$18:$O$18,0))))),1,0)</f>
        <v>0</v>
      </c>
      <c r="AB96">
        <f>IF((AND(VLOOKUP(AB$1,main!$A$3:$H$102,5,FALSE)-VLOOKUP($A96,main!$A$3:$H$102,6,FALSE)&gt;=(VLOOKUP(VLOOKUP(AB$1,main!$A$3:$H$102,8,FALSE),main!$K$26:$M$29,2,FALSE)+VLOOKUP(VLOOKUP(AB$1,main!$A$3:$H$102,7,FALSE),main!$K$19:$O$22,MATCH(VLOOKUP($A96,main!$A$3:$H$102,8,FALSE),main!$K$18:$O$18,0))))),1,0)</f>
        <v>0</v>
      </c>
      <c r="AC96">
        <f>IF((AND(VLOOKUP(AC$1,main!$A$3:$H$102,5,FALSE)-VLOOKUP($A96,main!$A$3:$H$102,6,FALSE)&gt;=(VLOOKUP(VLOOKUP(AC$1,main!$A$3:$H$102,8,FALSE),main!$K$26:$M$29,2,FALSE)+VLOOKUP(VLOOKUP(AC$1,main!$A$3:$H$102,7,FALSE),main!$K$19:$O$22,MATCH(VLOOKUP($A96,main!$A$3:$H$102,8,FALSE),main!$K$18:$O$18,0))))),1,0)</f>
        <v>0</v>
      </c>
      <c r="AD96">
        <f>IF((AND(VLOOKUP(AD$1,main!$A$3:$H$102,5,FALSE)-VLOOKUP($A96,main!$A$3:$H$102,6,FALSE)&gt;=(VLOOKUP(VLOOKUP(AD$1,main!$A$3:$H$102,8,FALSE),main!$K$26:$M$29,2,FALSE)+VLOOKUP(VLOOKUP(AD$1,main!$A$3:$H$102,7,FALSE),main!$K$19:$O$22,MATCH(VLOOKUP($A96,main!$A$3:$H$102,8,FALSE),main!$K$18:$O$18,0))))),1,0)</f>
        <v>0</v>
      </c>
      <c r="AE96">
        <f>IF((AND(VLOOKUP(AE$1,main!$A$3:$H$102,5,FALSE)-VLOOKUP($A96,main!$A$3:$H$102,6,FALSE)&gt;=(VLOOKUP(VLOOKUP(AE$1,main!$A$3:$H$102,8,FALSE),main!$K$26:$M$29,2,FALSE)+VLOOKUP(VLOOKUP(AE$1,main!$A$3:$H$102,7,FALSE),main!$K$19:$O$22,MATCH(VLOOKUP($A96,main!$A$3:$H$102,8,FALSE),main!$K$18:$O$18,0))))),1,0)</f>
        <v>0</v>
      </c>
      <c r="AF96">
        <f>IF((AND(VLOOKUP(AF$1,main!$A$3:$H$102,5,FALSE)-VLOOKUP($A96,main!$A$3:$H$102,6,FALSE)&gt;=(VLOOKUP(VLOOKUP(AF$1,main!$A$3:$H$102,8,FALSE),main!$K$26:$M$29,2,FALSE)+VLOOKUP(VLOOKUP(AF$1,main!$A$3:$H$102,7,FALSE),main!$K$19:$O$22,MATCH(VLOOKUP($A96,main!$A$3:$H$102,8,FALSE),main!$K$18:$O$18,0))))),1,0)</f>
        <v>0</v>
      </c>
      <c r="AG96">
        <f>IF((AND(VLOOKUP(AG$1,main!$A$3:$H$102,5,FALSE)-VLOOKUP($A96,main!$A$3:$H$102,6,FALSE)&gt;=(VLOOKUP(VLOOKUP(AG$1,main!$A$3:$H$102,8,FALSE),main!$K$26:$M$29,2,FALSE)+VLOOKUP(VLOOKUP(AG$1,main!$A$3:$H$102,7,FALSE),main!$K$19:$O$22,MATCH(VLOOKUP($A96,main!$A$3:$H$102,8,FALSE),main!$K$18:$O$18,0))))),1,0)</f>
        <v>0</v>
      </c>
      <c r="AH96">
        <f>IF((AND(VLOOKUP(AH$1,main!$A$3:$H$102,5,FALSE)-VLOOKUP($A96,main!$A$3:$H$102,6,FALSE)&gt;=(VLOOKUP(VLOOKUP(AH$1,main!$A$3:$H$102,8,FALSE),main!$K$26:$M$29,2,FALSE)+VLOOKUP(VLOOKUP(AH$1,main!$A$3:$H$102,7,FALSE),main!$K$19:$O$22,MATCH(VLOOKUP($A96,main!$A$3:$H$102,8,FALSE),main!$K$18:$O$18,0))))),1,0)</f>
        <v>0</v>
      </c>
      <c r="AI96">
        <f>IF((AND(VLOOKUP(AI$1,main!$A$3:$H$102,5,FALSE)-VLOOKUP($A96,main!$A$3:$H$102,6,FALSE)&gt;=(VLOOKUP(VLOOKUP(AI$1,main!$A$3:$H$102,8,FALSE),main!$K$26:$M$29,2,FALSE)+VLOOKUP(VLOOKUP(AI$1,main!$A$3:$H$102,7,FALSE),main!$K$19:$O$22,MATCH(VLOOKUP($A96,main!$A$3:$H$102,8,FALSE),main!$K$18:$O$18,0))))),1,0)</f>
        <v>0</v>
      </c>
      <c r="AJ96">
        <f>IF((AND(VLOOKUP(AJ$1,main!$A$3:$H$102,5,FALSE)-VLOOKUP($A96,main!$A$3:$H$102,6,FALSE)&gt;=(VLOOKUP(VLOOKUP(AJ$1,main!$A$3:$H$102,8,FALSE),main!$K$26:$M$29,2,FALSE)+VLOOKUP(VLOOKUP(AJ$1,main!$A$3:$H$102,7,FALSE),main!$K$19:$O$22,MATCH(VLOOKUP($A96,main!$A$3:$H$102,8,FALSE),main!$K$18:$O$18,0))))),1,0)</f>
        <v>0</v>
      </c>
      <c r="AK96">
        <f>IF((AND(VLOOKUP(AK$1,main!$A$3:$H$102,5,FALSE)-VLOOKUP($A96,main!$A$3:$H$102,6,FALSE)&gt;=(VLOOKUP(VLOOKUP(AK$1,main!$A$3:$H$102,8,FALSE),main!$K$26:$M$29,2,FALSE)+VLOOKUP(VLOOKUP(AK$1,main!$A$3:$H$102,7,FALSE),main!$K$19:$O$22,MATCH(VLOOKUP($A96,main!$A$3:$H$102,8,FALSE),main!$K$18:$O$18,0))))),1,0)</f>
        <v>0</v>
      </c>
      <c r="AL96">
        <f>IF((AND(VLOOKUP(AL$1,main!$A$3:$H$102,5,FALSE)-VLOOKUP($A96,main!$A$3:$H$102,6,FALSE)&gt;=(VLOOKUP(VLOOKUP(AL$1,main!$A$3:$H$102,8,FALSE),main!$K$26:$M$29,2,FALSE)+VLOOKUP(VLOOKUP(AL$1,main!$A$3:$H$102,7,FALSE),main!$K$19:$O$22,MATCH(VLOOKUP($A96,main!$A$3:$H$102,8,FALSE),main!$K$18:$O$18,0))))),1,0)</f>
        <v>0</v>
      </c>
      <c r="AM96">
        <f>IF((AND(VLOOKUP(AM$1,main!$A$3:$H$102,5,FALSE)-VLOOKUP($A96,main!$A$3:$H$102,6,FALSE)&gt;=(VLOOKUP(VLOOKUP(AM$1,main!$A$3:$H$102,8,FALSE),main!$K$26:$M$29,2,FALSE)+VLOOKUP(VLOOKUP(AM$1,main!$A$3:$H$102,7,FALSE),main!$K$19:$O$22,MATCH(VLOOKUP($A96,main!$A$3:$H$102,8,FALSE),main!$K$18:$O$18,0))))),1,0)</f>
        <v>0</v>
      </c>
      <c r="AN96">
        <f>IF((AND(VLOOKUP(AN$1,main!$A$3:$H$102,5,FALSE)-VLOOKUP($A96,main!$A$3:$H$102,6,FALSE)&gt;=(VLOOKUP(VLOOKUP(AN$1,main!$A$3:$H$102,8,FALSE),main!$K$26:$M$29,2,FALSE)+VLOOKUP(VLOOKUP(AN$1,main!$A$3:$H$102,7,FALSE),main!$K$19:$O$22,MATCH(VLOOKUP($A96,main!$A$3:$H$102,8,FALSE),main!$K$18:$O$18,0))))),1,0)</f>
        <v>0</v>
      </c>
      <c r="AO96">
        <f>IF((AND(VLOOKUP(AO$1,main!$A$3:$H$102,5,FALSE)-VLOOKUP($A96,main!$A$3:$H$102,6,FALSE)&gt;=(VLOOKUP(VLOOKUP(AO$1,main!$A$3:$H$102,8,FALSE),main!$K$26:$M$29,2,FALSE)+VLOOKUP(VLOOKUP(AO$1,main!$A$3:$H$102,7,FALSE),main!$K$19:$O$22,MATCH(VLOOKUP($A96,main!$A$3:$H$102,8,FALSE),main!$K$18:$O$18,0))))),1,0)</f>
        <v>0</v>
      </c>
      <c r="AP96">
        <f>IF((AND(VLOOKUP(AP$1,main!$A$3:$H$102,5,FALSE)-VLOOKUP($A96,main!$A$3:$H$102,6,FALSE)&gt;=(VLOOKUP(VLOOKUP(AP$1,main!$A$3:$H$102,8,FALSE),main!$K$26:$M$29,2,FALSE)+VLOOKUP(VLOOKUP(AP$1,main!$A$3:$H$102,7,FALSE),main!$K$19:$O$22,MATCH(VLOOKUP($A96,main!$A$3:$H$102,8,FALSE),main!$K$18:$O$18,0))))),1,0)</f>
        <v>1</v>
      </c>
      <c r="AQ96">
        <f>IF((AND(VLOOKUP(AQ$1,main!$A$3:$H$102,5,FALSE)-VLOOKUP($A96,main!$A$3:$H$102,6,FALSE)&gt;=(VLOOKUP(VLOOKUP(AQ$1,main!$A$3:$H$102,8,FALSE),main!$K$26:$M$29,2,FALSE)+VLOOKUP(VLOOKUP(AQ$1,main!$A$3:$H$102,7,FALSE),main!$K$19:$O$22,MATCH(VLOOKUP($A96,main!$A$3:$H$102,8,FALSE),main!$K$18:$O$18,0))))),1,0)</f>
        <v>0</v>
      </c>
      <c r="AR96">
        <f>IF((AND(VLOOKUP(AR$1,main!$A$3:$H$102,5,FALSE)-VLOOKUP($A96,main!$A$3:$H$102,6,FALSE)&gt;=(VLOOKUP(VLOOKUP(AR$1,main!$A$3:$H$102,8,FALSE),main!$K$26:$M$29,2,FALSE)+VLOOKUP(VLOOKUP(AR$1,main!$A$3:$H$102,7,FALSE),main!$K$19:$O$22,MATCH(VLOOKUP($A96,main!$A$3:$H$102,8,FALSE),main!$K$18:$O$18,0))))),1,0)</f>
        <v>0</v>
      </c>
      <c r="AS96">
        <f>IF((AND(VLOOKUP(AS$1,main!$A$3:$H$102,5,FALSE)-VLOOKUP($A96,main!$A$3:$H$102,6,FALSE)&gt;=(VLOOKUP(VLOOKUP(AS$1,main!$A$3:$H$102,8,FALSE),main!$K$26:$M$29,2,FALSE)+VLOOKUP(VLOOKUP(AS$1,main!$A$3:$H$102,7,FALSE),main!$K$19:$O$22,MATCH(VLOOKUP($A96,main!$A$3:$H$102,8,FALSE),main!$K$18:$O$18,0))))),1,0)</f>
        <v>0</v>
      </c>
      <c r="AT96">
        <f>IF((AND(VLOOKUP(AT$1,main!$A$3:$H$102,5,FALSE)-VLOOKUP($A96,main!$A$3:$H$102,6,FALSE)&gt;=(VLOOKUP(VLOOKUP(AT$1,main!$A$3:$H$102,8,FALSE),main!$K$26:$M$29,2,FALSE)+VLOOKUP(VLOOKUP(AT$1,main!$A$3:$H$102,7,FALSE),main!$K$19:$O$22,MATCH(VLOOKUP($A96,main!$A$3:$H$102,8,FALSE),main!$K$18:$O$18,0))))),1,0)</f>
        <v>0</v>
      </c>
      <c r="AU96">
        <f>IF((AND(VLOOKUP(AU$1,main!$A$3:$H$102,5,FALSE)-VLOOKUP($A96,main!$A$3:$H$102,6,FALSE)&gt;=(VLOOKUP(VLOOKUP(AU$1,main!$A$3:$H$102,8,FALSE),main!$K$26:$M$29,2,FALSE)+VLOOKUP(VLOOKUP(AU$1,main!$A$3:$H$102,7,FALSE),main!$K$19:$O$22,MATCH(VLOOKUP($A96,main!$A$3:$H$102,8,FALSE),main!$K$18:$O$18,0))))),1,0)</f>
        <v>0</v>
      </c>
      <c r="AV96">
        <f>IF((AND(VLOOKUP(AV$1,main!$A$3:$H$102,5,FALSE)-VLOOKUP($A96,main!$A$3:$H$102,6,FALSE)&gt;=(VLOOKUP(VLOOKUP(AV$1,main!$A$3:$H$102,8,FALSE),main!$K$26:$M$29,2,FALSE)+VLOOKUP(VLOOKUP(AV$1,main!$A$3:$H$102,7,FALSE),main!$K$19:$O$22,MATCH(VLOOKUP($A96,main!$A$3:$H$102,8,FALSE),main!$K$18:$O$18,0))))),1,0)</f>
        <v>0</v>
      </c>
      <c r="AW96">
        <f>IF((AND(VLOOKUP(AW$1,main!$A$3:$H$102,5,FALSE)-VLOOKUP($A96,main!$A$3:$H$102,6,FALSE)&gt;=(VLOOKUP(VLOOKUP(AW$1,main!$A$3:$H$102,8,FALSE),main!$K$26:$M$29,2,FALSE)+VLOOKUP(VLOOKUP(AW$1,main!$A$3:$H$102,7,FALSE),main!$K$19:$O$22,MATCH(VLOOKUP($A96,main!$A$3:$H$102,8,FALSE),main!$K$18:$O$18,0))))),1,0)</f>
        <v>0</v>
      </c>
      <c r="AX96">
        <f>IF((AND(VLOOKUP(AX$1,main!$A$3:$H$102,5,FALSE)-VLOOKUP($A96,main!$A$3:$H$102,6,FALSE)&gt;=(VLOOKUP(VLOOKUP(AX$1,main!$A$3:$H$102,8,FALSE),main!$K$26:$M$29,2,FALSE)+VLOOKUP(VLOOKUP(AX$1,main!$A$3:$H$102,7,FALSE),main!$K$19:$O$22,MATCH(VLOOKUP($A96,main!$A$3:$H$102,8,FALSE),main!$K$18:$O$18,0))))),1,0)</f>
        <v>0</v>
      </c>
      <c r="AY96">
        <f>IF((AND(VLOOKUP(AY$1,main!$A$3:$H$102,5,FALSE)-VLOOKUP($A96,main!$A$3:$H$102,6,FALSE)&gt;=(VLOOKUP(VLOOKUP(AY$1,main!$A$3:$H$102,8,FALSE),main!$K$26:$M$29,2,FALSE)+VLOOKUP(VLOOKUP(AY$1,main!$A$3:$H$102,7,FALSE),main!$K$19:$O$22,MATCH(VLOOKUP($A96,main!$A$3:$H$102,8,FALSE),main!$K$18:$O$18,0))))),1,0)</f>
        <v>0</v>
      </c>
      <c r="AZ96">
        <f>IF((AND(VLOOKUP(AZ$1,main!$A$3:$H$102,5,FALSE)-VLOOKUP($A96,main!$A$3:$H$102,6,FALSE)&gt;=(VLOOKUP(VLOOKUP(AZ$1,main!$A$3:$H$102,8,FALSE),main!$K$26:$M$29,2,FALSE)+VLOOKUP(VLOOKUP(AZ$1,main!$A$3:$H$102,7,FALSE),main!$K$19:$O$22,MATCH(VLOOKUP($A96,main!$A$3:$H$102,8,FALSE),main!$K$18:$O$18,0))))),1,0)</f>
        <v>0</v>
      </c>
      <c r="BA96">
        <f>IF((AND(VLOOKUP(BA$1,main!$A$3:$H$102,5,FALSE)-VLOOKUP($A96,main!$A$3:$H$102,6,FALSE)&gt;=(VLOOKUP(VLOOKUP(BA$1,main!$A$3:$H$102,8,FALSE),main!$K$26:$M$29,2,FALSE)+VLOOKUP(VLOOKUP(BA$1,main!$A$3:$H$102,7,FALSE),main!$K$19:$O$22,MATCH(VLOOKUP($A96,main!$A$3:$H$102,8,FALSE),main!$K$18:$O$18,0))))),1,0)</f>
        <v>0</v>
      </c>
      <c r="BB96">
        <f>IF((AND(VLOOKUP(BB$1,main!$A$3:$H$102,5,FALSE)-VLOOKUP($A96,main!$A$3:$H$102,6,FALSE)&gt;=(VLOOKUP(VLOOKUP(BB$1,main!$A$3:$H$102,8,FALSE),main!$K$26:$M$29,2,FALSE)+VLOOKUP(VLOOKUP(BB$1,main!$A$3:$H$102,7,FALSE),main!$K$19:$O$22,MATCH(VLOOKUP($A96,main!$A$3:$H$102,8,FALSE),main!$K$18:$O$18,0))))),1,0)</f>
        <v>0</v>
      </c>
      <c r="BC96">
        <f>IF((AND(VLOOKUP(BC$1,main!$A$3:$H$102,5,FALSE)-VLOOKUP($A96,main!$A$3:$H$102,6,FALSE)&gt;=(VLOOKUP(VLOOKUP(BC$1,main!$A$3:$H$102,8,FALSE),main!$K$26:$M$29,2,FALSE)+VLOOKUP(VLOOKUP(BC$1,main!$A$3:$H$102,7,FALSE),main!$K$19:$O$22,MATCH(VLOOKUP($A96,main!$A$3:$H$102,8,FALSE),main!$K$18:$O$18,0))))),1,0)</f>
        <v>0</v>
      </c>
      <c r="BD96">
        <f>IF((AND(VLOOKUP(BD$1,main!$A$3:$H$102,5,FALSE)-VLOOKUP($A96,main!$A$3:$H$102,6,FALSE)&gt;=(VLOOKUP(VLOOKUP(BD$1,main!$A$3:$H$102,8,FALSE),main!$K$26:$M$29,2,FALSE)+VLOOKUP(VLOOKUP(BD$1,main!$A$3:$H$102,7,FALSE),main!$K$19:$O$22,MATCH(VLOOKUP($A96,main!$A$3:$H$102,8,FALSE),main!$K$18:$O$18,0))))),1,0)</f>
        <v>0</v>
      </c>
      <c r="BE96">
        <f>IF((AND(VLOOKUP(BE$1,main!$A$3:$H$102,5,FALSE)-VLOOKUP($A96,main!$A$3:$H$102,6,FALSE)&gt;=(VLOOKUP(VLOOKUP(BE$1,main!$A$3:$H$102,8,FALSE),main!$K$26:$M$29,2,FALSE)+VLOOKUP(VLOOKUP(BE$1,main!$A$3:$H$102,7,FALSE),main!$K$19:$O$22,MATCH(VLOOKUP($A96,main!$A$3:$H$102,8,FALSE),main!$K$18:$O$18,0))))),1,0)</f>
        <v>0</v>
      </c>
      <c r="BF96">
        <f>IF((AND(VLOOKUP(BF$1,main!$A$3:$H$102,5,FALSE)-VLOOKUP($A96,main!$A$3:$H$102,6,FALSE)&gt;=(VLOOKUP(VLOOKUP(BF$1,main!$A$3:$H$102,8,FALSE),main!$K$26:$M$29,2,FALSE)+VLOOKUP(VLOOKUP(BF$1,main!$A$3:$H$102,7,FALSE),main!$K$19:$O$22,MATCH(VLOOKUP($A96,main!$A$3:$H$102,8,FALSE),main!$K$18:$O$18,0))))),1,0)</f>
        <v>0</v>
      </c>
      <c r="BG96">
        <f>IF((AND(VLOOKUP(BG$1,main!$A$3:$H$102,5,FALSE)-VLOOKUP($A96,main!$A$3:$H$102,6,FALSE)&gt;=(VLOOKUP(VLOOKUP(BG$1,main!$A$3:$H$102,8,FALSE),main!$K$26:$M$29,2,FALSE)+VLOOKUP(VLOOKUP(BG$1,main!$A$3:$H$102,7,FALSE),main!$K$19:$O$22,MATCH(VLOOKUP($A96,main!$A$3:$H$102,8,FALSE),main!$K$18:$O$18,0))))),1,0)</f>
        <v>0</v>
      </c>
      <c r="BH96">
        <f>IF((AND(VLOOKUP(BH$1,main!$A$3:$H$102,5,FALSE)-VLOOKUP($A96,main!$A$3:$H$102,6,FALSE)&gt;=(VLOOKUP(VLOOKUP(BH$1,main!$A$3:$H$102,8,FALSE),main!$K$26:$M$29,2,FALSE)+VLOOKUP(VLOOKUP(BH$1,main!$A$3:$H$102,7,FALSE),main!$K$19:$O$22,MATCH(VLOOKUP($A96,main!$A$3:$H$102,8,FALSE),main!$K$18:$O$18,0))))),1,0)</f>
        <v>0</v>
      </c>
      <c r="BI96">
        <f>IF((AND(VLOOKUP(BI$1,main!$A$3:$H$102,5,FALSE)-VLOOKUP($A96,main!$A$3:$H$102,6,FALSE)&gt;=(VLOOKUP(VLOOKUP(BI$1,main!$A$3:$H$102,8,FALSE),main!$K$26:$M$29,2,FALSE)+VLOOKUP(VLOOKUP(BI$1,main!$A$3:$H$102,7,FALSE),main!$K$19:$O$22,MATCH(VLOOKUP($A96,main!$A$3:$H$102,8,FALSE),main!$K$18:$O$18,0))))),1,0)</f>
        <v>1</v>
      </c>
      <c r="BJ96">
        <f>IF((AND(VLOOKUP(BJ$1,main!$A$3:$H$102,5,FALSE)-VLOOKUP($A96,main!$A$3:$H$102,6,FALSE)&gt;=(VLOOKUP(VLOOKUP(BJ$1,main!$A$3:$H$102,8,FALSE),main!$K$26:$M$29,2,FALSE)+VLOOKUP(VLOOKUP(BJ$1,main!$A$3:$H$102,7,FALSE),main!$K$19:$O$22,MATCH(VLOOKUP($A96,main!$A$3:$H$102,8,FALSE),main!$K$18:$O$18,0))))),1,0)</f>
        <v>0</v>
      </c>
      <c r="BK96">
        <f>IF((AND(VLOOKUP(BK$1,main!$A$3:$H$102,5,FALSE)-VLOOKUP($A96,main!$A$3:$H$102,6,FALSE)&gt;=(VLOOKUP(VLOOKUP(BK$1,main!$A$3:$H$102,8,FALSE),main!$K$26:$M$29,2,FALSE)+VLOOKUP(VLOOKUP(BK$1,main!$A$3:$H$102,7,FALSE),main!$K$19:$O$22,MATCH(VLOOKUP($A96,main!$A$3:$H$102,8,FALSE),main!$K$18:$O$18,0))))),1,0)</f>
        <v>0</v>
      </c>
      <c r="BL96">
        <f>IF((AND(VLOOKUP(BL$1,main!$A$3:$H$102,5,FALSE)-VLOOKUP($A96,main!$A$3:$H$102,6,FALSE)&gt;=(VLOOKUP(VLOOKUP(BL$1,main!$A$3:$H$102,8,FALSE),main!$K$26:$M$29,2,FALSE)+VLOOKUP(VLOOKUP(BL$1,main!$A$3:$H$102,7,FALSE),main!$K$19:$O$22,MATCH(VLOOKUP($A96,main!$A$3:$H$102,8,FALSE),main!$K$18:$O$18,0))))),1,0)</f>
        <v>0</v>
      </c>
      <c r="BM96">
        <f>IF((AND(VLOOKUP(BM$1,main!$A$3:$H$102,5,FALSE)-VLOOKUP($A96,main!$A$3:$H$102,6,FALSE)&gt;=(VLOOKUP(VLOOKUP(BM$1,main!$A$3:$H$102,8,FALSE),main!$K$26:$M$29,2,FALSE)+VLOOKUP(VLOOKUP(BM$1,main!$A$3:$H$102,7,FALSE),main!$K$19:$O$22,MATCH(VLOOKUP($A96,main!$A$3:$H$102,8,FALSE),main!$K$18:$O$18,0))))),1,0)</f>
        <v>0</v>
      </c>
      <c r="BN96">
        <f>IF((AND(VLOOKUP(BN$1,main!$A$3:$H$102,5,FALSE)-VLOOKUP($A96,main!$A$3:$H$102,6,FALSE)&gt;=(VLOOKUP(VLOOKUP(BN$1,main!$A$3:$H$102,8,FALSE),main!$K$26:$M$29,2,FALSE)+VLOOKUP(VLOOKUP(BN$1,main!$A$3:$H$102,7,FALSE),main!$K$19:$O$22,MATCH(VLOOKUP($A96,main!$A$3:$H$102,8,FALSE),main!$K$18:$O$18,0))))),1,0)</f>
        <v>0</v>
      </c>
      <c r="BO96">
        <f>IF((AND(VLOOKUP(BO$1,main!$A$3:$H$102,5,FALSE)-VLOOKUP($A96,main!$A$3:$H$102,6,FALSE)&gt;=(VLOOKUP(VLOOKUP(BO$1,main!$A$3:$H$102,8,FALSE),main!$K$26:$M$29,2,FALSE)+VLOOKUP(VLOOKUP(BO$1,main!$A$3:$H$102,7,FALSE),main!$K$19:$O$22,MATCH(VLOOKUP($A96,main!$A$3:$H$102,8,FALSE),main!$K$18:$O$18,0))))),1,0)</f>
        <v>0</v>
      </c>
      <c r="BP96">
        <f>IF((AND(VLOOKUP(BP$1,main!$A$3:$H$102,5,FALSE)-VLOOKUP($A96,main!$A$3:$H$102,6,FALSE)&gt;=(VLOOKUP(VLOOKUP(BP$1,main!$A$3:$H$102,8,FALSE),main!$K$26:$M$29,2,FALSE)+VLOOKUP(VLOOKUP(BP$1,main!$A$3:$H$102,7,FALSE),main!$K$19:$O$22,MATCH(VLOOKUP($A96,main!$A$3:$H$102,8,FALSE),main!$K$18:$O$18,0))))),1,0)</f>
        <v>0</v>
      </c>
      <c r="BQ96">
        <f>IF((AND(VLOOKUP(BQ$1,main!$A$3:$H$102,5,FALSE)-VLOOKUP($A96,main!$A$3:$H$102,6,FALSE)&gt;=(VLOOKUP(VLOOKUP(BQ$1,main!$A$3:$H$102,8,FALSE),main!$K$26:$M$29,2,FALSE)+VLOOKUP(VLOOKUP(BQ$1,main!$A$3:$H$102,7,FALSE),main!$K$19:$O$22,MATCH(VLOOKUP($A96,main!$A$3:$H$102,8,FALSE),main!$K$18:$O$18,0))))),1,0)</f>
        <v>0</v>
      </c>
      <c r="BR96">
        <f>IF((AND(VLOOKUP(BR$1,main!$A$3:$H$102,5,FALSE)-VLOOKUP($A96,main!$A$3:$H$102,6,FALSE)&gt;=(VLOOKUP(VLOOKUP(BR$1,main!$A$3:$H$102,8,FALSE),main!$K$26:$M$29,2,FALSE)+VLOOKUP(VLOOKUP(BR$1,main!$A$3:$H$102,7,FALSE),main!$K$19:$O$22,MATCH(VLOOKUP($A96,main!$A$3:$H$102,8,FALSE),main!$K$18:$O$18,0))))),1,0)</f>
        <v>0</v>
      </c>
      <c r="BS96">
        <f>IF((AND(VLOOKUP(BS$1,main!$A$3:$H$102,5,FALSE)-VLOOKUP($A96,main!$A$3:$H$102,6,FALSE)&gt;=(VLOOKUP(VLOOKUP(BS$1,main!$A$3:$H$102,8,FALSE),main!$K$26:$M$29,2,FALSE)+VLOOKUP(VLOOKUP(BS$1,main!$A$3:$H$102,7,FALSE),main!$K$19:$O$22,MATCH(VLOOKUP($A96,main!$A$3:$H$102,8,FALSE),main!$K$18:$O$18,0))))),1,0)</f>
        <v>0</v>
      </c>
      <c r="BT96">
        <f>IF((AND(VLOOKUP(BT$1,main!$A$3:$H$102,5,FALSE)-VLOOKUP($A96,main!$A$3:$H$102,6,FALSE)&gt;=(VLOOKUP(VLOOKUP(BT$1,main!$A$3:$H$102,8,FALSE),main!$K$26:$M$29,2,FALSE)+VLOOKUP(VLOOKUP(BT$1,main!$A$3:$H$102,7,FALSE),main!$K$19:$O$22,MATCH(VLOOKUP($A96,main!$A$3:$H$102,8,FALSE),main!$K$18:$O$18,0))))),1,0)</f>
        <v>0</v>
      </c>
      <c r="BU96">
        <f>IF((AND(VLOOKUP(BU$1,main!$A$3:$H$102,5,FALSE)-VLOOKUP($A96,main!$A$3:$H$102,6,FALSE)&gt;=(VLOOKUP(VLOOKUP(BU$1,main!$A$3:$H$102,8,FALSE),main!$K$26:$M$29,2,FALSE)+VLOOKUP(VLOOKUP(BU$1,main!$A$3:$H$102,7,FALSE),main!$K$19:$O$22,MATCH(VLOOKUP($A96,main!$A$3:$H$102,8,FALSE),main!$K$18:$O$18,0))))),1,0)</f>
        <v>0</v>
      </c>
      <c r="BV96">
        <f>IF((AND(VLOOKUP(BV$1,main!$A$3:$H$102,5,FALSE)-VLOOKUP($A96,main!$A$3:$H$102,6,FALSE)&gt;=(VLOOKUP(VLOOKUP(BV$1,main!$A$3:$H$102,8,FALSE),main!$K$26:$M$29,2,FALSE)+VLOOKUP(VLOOKUP(BV$1,main!$A$3:$H$102,7,FALSE),main!$K$19:$O$22,MATCH(VLOOKUP($A96,main!$A$3:$H$102,8,FALSE),main!$K$18:$O$18,0))))),1,0)</f>
        <v>0</v>
      </c>
      <c r="BW96">
        <f>IF((AND(VLOOKUP(BW$1,main!$A$3:$H$102,5,FALSE)-VLOOKUP($A96,main!$A$3:$H$102,6,FALSE)&gt;=(VLOOKUP(VLOOKUP(BW$1,main!$A$3:$H$102,8,FALSE),main!$K$26:$M$29,2,FALSE)+VLOOKUP(VLOOKUP(BW$1,main!$A$3:$H$102,7,FALSE),main!$K$19:$O$22,MATCH(VLOOKUP($A96,main!$A$3:$H$102,8,FALSE),main!$K$18:$O$18,0))))),1,0)</f>
        <v>0</v>
      </c>
      <c r="BX96">
        <f>IF((AND(VLOOKUP(BX$1,main!$A$3:$H$102,5,FALSE)-VLOOKUP($A96,main!$A$3:$H$102,6,FALSE)&gt;=(VLOOKUP(VLOOKUP(BX$1,main!$A$3:$H$102,8,FALSE),main!$K$26:$M$29,2,FALSE)+VLOOKUP(VLOOKUP(BX$1,main!$A$3:$H$102,7,FALSE),main!$K$19:$O$22,MATCH(VLOOKUP($A96,main!$A$3:$H$102,8,FALSE),main!$K$18:$O$18,0))))),1,0)</f>
        <v>0</v>
      </c>
      <c r="BY96">
        <f>IF((AND(VLOOKUP(BY$1,main!$A$3:$H$102,5,FALSE)-VLOOKUP($A96,main!$A$3:$H$102,6,FALSE)&gt;=(VLOOKUP(VLOOKUP(BY$1,main!$A$3:$H$102,8,FALSE),main!$K$26:$M$29,2,FALSE)+VLOOKUP(VLOOKUP(BY$1,main!$A$3:$H$102,7,FALSE),main!$K$19:$O$22,MATCH(VLOOKUP($A96,main!$A$3:$H$102,8,FALSE),main!$K$18:$O$18,0))))),1,0)</f>
        <v>0</v>
      </c>
      <c r="BZ96">
        <f>IF((AND(VLOOKUP(BZ$1,main!$A$3:$H$102,5,FALSE)-VLOOKUP($A96,main!$A$3:$H$102,6,FALSE)&gt;=(VLOOKUP(VLOOKUP(BZ$1,main!$A$3:$H$102,8,FALSE),main!$K$26:$M$29,2,FALSE)+VLOOKUP(VLOOKUP(BZ$1,main!$A$3:$H$102,7,FALSE),main!$K$19:$O$22,MATCH(VLOOKUP($A96,main!$A$3:$H$102,8,FALSE),main!$K$18:$O$18,0))))),1,0)</f>
        <v>0</v>
      </c>
      <c r="CA96">
        <f>IF((AND(VLOOKUP(CA$1,main!$A$3:$H$102,5,FALSE)-VLOOKUP($A96,main!$A$3:$H$102,6,FALSE)&gt;=(VLOOKUP(VLOOKUP(CA$1,main!$A$3:$H$102,8,FALSE),main!$K$26:$M$29,2,FALSE)+VLOOKUP(VLOOKUP(CA$1,main!$A$3:$H$102,7,FALSE),main!$K$19:$O$22,MATCH(VLOOKUP($A96,main!$A$3:$H$102,8,FALSE),main!$K$18:$O$18,0))))),1,0)</f>
        <v>0</v>
      </c>
      <c r="CB96">
        <f>IF((AND(VLOOKUP(CB$1,main!$A$3:$H$102,5,FALSE)-VLOOKUP($A96,main!$A$3:$H$102,6,FALSE)&gt;=(VLOOKUP(VLOOKUP(CB$1,main!$A$3:$H$102,8,FALSE),main!$K$26:$M$29,2,FALSE)+VLOOKUP(VLOOKUP(CB$1,main!$A$3:$H$102,7,FALSE),main!$K$19:$O$22,MATCH(VLOOKUP($A96,main!$A$3:$H$102,8,FALSE),main!$K$18:$O$18,0))))),1,0)</f>
        <v>0</v>
      </c>
      <c r="CC96">
        <f>IF((AND(VLOOKUP(CC$1,main!$A$3:$H$102,5,FALSE)-VLOOKUP($A96,main!$A$3:$H$102,6,FALSE)&gt;=(VLOOKUP(VLOOKUP(CC$1,main!$A$3:$H$102,8,FALSE),main!$K$26:$M$29,2,FALSE)+VLOOKUP(VLOOKUP(CC$1,main!$A$3:$H$102,7,FALSE),main!$K$19:$O$22,MATCH(VLOOKUP($A96,main!$A$3:$H$102,8,FALSE),main!$K$18:$O$18,0))))),1,0)</f>
        <v>1</v>
      </c>
      <c r="CD96">
        <f>IF((AND(VLOOKUP(CD$1,main!$A$3:$H$102,5,FALSE)-VLOOKUP($A96,main!$A$3:$H$102,6,FALSE)&gt;=(VLOOKUP(VLOOKUP(CD$1,main!$A$3:$H$102,8,FALSE),main!$K$26:$M$29,2,FALSE)+VLOOKUP(VLOOKUP(CD$1,main!$A$3:$H$102,7,FALSE),main!$K$19:$O$22,MATCH(VLOOKUP($A96,main!$A$3:$H$102,8,FALSE),main!$K$18:$O$18,0))))),1,0)</f>
        <v>0</v>
      </c>
      <c r="CE96">
        <f>IF((AND(VLOOKUP(CE$1,main!$A$3:$H$102,5,FALSE)-VLOOKUP($A96,main!$A$3:$H$102,6,FALSE)&gt;=(VLOOKUP(VLOOKUP(CE$1,main!$A$3:$H$102,8,FALSE),main!$K$26:$M$29,2,FALSE)+VLOOKUP(VLOOKUP(CE$1,main!$A$3:$H$102,7,FALSE),main!$K$19:$O$22,MATCH(VLOOKUP($A96,main!$A$3:$H$102,8,FALSE),main!$K$18:$O$18,0))))),1,0)</f>
        <v>0</v>
      </c>
      <c r="CF96">
        <f>IF((AND(VLOOKUP(CF$1,main!$A$3:$H$102,5,FALSE)-VLOOKUP($A96,main!$A$3:$H$102,6,FALSE)&gt;=(VLOOKUP(VLOOKUP(CF$1,main!$A$3:$H$102,8,FALSE),main!$K$26:$M$29,2,FALSE)+VLOOKUP(VLOOKUP(CF$1,main!$A$3:$H$102,7,FALSE),main!$K$19:$O$22,MATCH(VLOOKUP($A96,main!$A$3:$H$102,8,FALSE),main!$K$18:$O$18,0))))),1,0)</f>
        <v>0</v>
      </c>
      <c r="CG96">
        <f>IF((AND(VLOOKUP(CG$1,main!$A$3:$H$102,5,FALSE)-VLOOKUP($A96,main!$A$3:$H$102,6,FALSE)&gt;=(VLOOKUP(VLOOKUP(CG$1,main!$A$3:$H$102,8,FALSE),main!$K$26:$M$29,2,FALSE)+VLOOKUP(VLOOKUP(CG$1,main!$A$3:$H$102,7,FALSE),main!$K$19:$O$22,MATCH(VLOOKUP($A96,main!$A$3:$H$102,8,FALSE),main!$K$18:$O$18,0))))),1,0)</f>
        <v>0</v>
      </c>
      <c r="CH96">
        <f>IF((AND(VLOOKUP(CH$1,main!$A$3:$H$102,5,FALSE)-VLOOKUP($A96,main!$A$3:$H$102,6,FALSE)&gt;=(VLOOKUP(VLOOKUP(CH$1,main!$A$3:$H$102,8,FALSE),main!$K$26:$M$29,2,FALSE)+VLOOKUP(VLOOKUP(CH$1,main!$A$3:$H$102,7,FALSE),main!$K$19:$O$22,MATCH(VLOOKUP($A96,main!$A$3:$H$102,8,FALSE),main!$K$18:$O$18,0))))),1,0)</f>
        <v>0</v>
      </c>
      <c r="CI96">
        <f>IF((AND(VLOOKUP(CI$1,main!$A$3:$H$102,5,FALSE)-VLOOKUP($A96,main!$A$3:$H$102,6,FALSE)&gt;=(VLOOKUP(VLOOKUP(CI$1,main!$A$3:$H$102,8,FALSE),main!$K$26:$M$29,2,FALSE)+VLOOKUP(VLOOKUP(CI$1,main!$A$3:$H$102,7,FALSE),main!$K$19:$O$22,MATCH(VLOOKUP($A96,main!$A$3:$H$102,8,FALSE),main!$K$18:$O$18,0))))),1,0)</f>
        <v>1</v>
      </c>
      <c r="CJ96">
        <f>IF((AND(VLOOKUP(CJ$1,main!$A$3:$H$102,5,FALSE)-VLOOKUP($A96,main!$A$3:$H$102,6,FALSE)&gt;=(VLOOKUP(VLOOKUP(CJ$1,main!$A$3:$H$102,8,FALSE),main!$K$26:$M$29,2,FALSE)+VLOOKUP(VLOOKUP(CJ$1,main!$A$3:$H$102,7,FALSE),main!$K$19:$O$22,MATCH(VLOOKUP($A96,main!$A$3:$H$102,8,FALSE),main!$K$18:$O$18,0))))),1,0)</f>
        <v>0</v>
      </c>
      <c r="CK96">
        <f>IF((AND(VLOOKUP(CK$1,main!$A$3:$H$102,5,FALSE)-VLOOKUP($A96,main!$A$3:$H$102,6,FALSE)&gt;=(VLOOKUP(VLOOKUP(CK$1,main!$A$3:$H$102,8,FALSE),main!$K$26:$M$29,2,FALSE)+VLOOKUP(VLOOKUP(CK$1,main!$A$3:$H$102,7,FALSE),main!$K$19:$O$22,MATCH(VLOOKUP($A96,main!$A$3:$H$102,8,FALSE),main!$K$18:$O$18,0))))),1,0)</f>
        <v>0</v>
      </c>
      <c r="CL96">
        <f>IF((AND(VLOOKUP(CL$1,main!$A$3:$H$102,5,FALSE)-VLOOKUP($A96,main!$A$3:$H$102,6,FALSE)&gt;=(VLOOKUP(VLOOKUP(CL$1,main!$A$3:$H$102,8,FALSE),main!$K$26:$M$29,2,FALSE)+VLOOKUP(VLOOKUP(CL$1,main!$A$3:$H$102,7,FALSE),main!$K$19:$O$22,MATCH(VLOOKUP($A96,main!$A$3:$H$102,8,FALSE),main!$K$18:$O$18,0))))),1,0)</f>
        <v>0</v>
      </c>
      <c r="CM96">
        <f>IF((AND(VLOOKUP(CM$1,main!$A$3:$H$102,5,FALSE)-VLOOKUP($A96,main!$A$3:$H$102,6,FALSE)&gt;=(VLOOKUP(VLOOKUP(CM$1,main!$A$3:$H$102,8,FALSE),main!$K$26:$M$29,2,FALSE)+VLOOKUP(VLOOKUP(CM$1,main!$A$3:$H$102,7,FALSE),main!$K$19:$O$22,MATCH(VLOOKUP($A96,main!$A$3:$H$102,8,FALSE),main!$K$18:$O$18,0))))),1,0)</f>
        <v>0</v>
      </c>
      <c r="CN96">
        <f>IF((AND(VLOOKUP(CN$1,main!$A$3:$H$102,5,FALSE)-VLOOKUP($A96,main!$A$3:$H$102,6,FALSE)&gt;=(VLOOKUP(VLOOKUP(CN$1,main!$A$3:$H$102,8,FALSE),main!$K$26:$M$29,2,FALSE)+VLOOKUP(VLOOKUP(CN$1,main!$A$3:$H$102,7,FALSE),main!$K$19:$O$22,MATCH(VLOOKUP($A96,main!$A$3:$H$102,8,FALSE),main!$K$18:$O$18,0))))),1,0)</f>
        <v>1</v>
      </c>
      <c r="CO96">
        <f>IF((AND(VLOOKUP(CO$1,main!$A$3:$H$102,5,FALSE)-VLOOKUP($A96,main!$A$3:$H$102,6,FALSE)&gt;=(VLOOKUP(VLOOKUP(CO$1,main!$A$3:$H$102,8,FALSE),main!$K$26:$M$29,2,FALSE)+VLOOKUP(VLOOKUP(CO$1,main!$A$3:$H$102,7,FALSE),main!$K$19:$O$22,MATCH(VLOOKUP($A96,main!$A$3:$H$102,8,FALSE),main!$K$18:$O$18,0))))),1,0)</f>
        <v>0</v>
      </c>
      <c r="CP96">
        <f>IF((AND(VLOOKUP(CP$1,main!$A$3:$H$102,5,FALSE)-VLOOKUP($A96,main!$A$3:$H$102,6,FALSE)&gt;=(VLOOKUP(VLOOKUP(CP$1,main!$A$3:$H$102,8,FALSE),main!$K$26:$M$29,2,FALSE)+VLOOKUP(VLOOKUP(CP$1,main!$A$3:$H$102,7,FALSE),main!$K$19:$O$22,MATCH(VLOOKUP($A96,main!$A$3:$H$102,8,FALSE),main!$K$18:$O$18,0))))),1,0)</f>
        <v>0</v>
      </c>
      <c r="CQ96">
        <f>IF((AND(VLOOKUP(CQ$1,main!$A$3:$H$102,5,FALSE)-VLOOKUP($A96,main!$A$3:$H$102,6,FALSE)&gt;=(VLOOKUP(VLOOKUP(CQ$1,main!$A$3:$H$102,8,FALSE),main!$K$26:$M$29,2,FALSE)+VLOOKUP(VLOOKUP(CQ$1,main!$A$3:$H$102,7,FALSE),main!$K$19:$O$22,MATCH(VLOOKUP($A96,main!$A$3:$H$102,8,FALSE),main!$K$18:$O$18,0))))),1,0)</f>
        <v>0</v>
      </c>
      <c r="CR96">
        <f>IF((AND(VLOOKUP(CR$1,main!$A$3:$H$102,5,FALSE)-VLOOKUP($A96,main!$A$3:$H$102,6,FALSE)&gt;=(VLOOKUP(VLOOKUP(CR$1,main!$A$3:$H$102,8,FALSE),main!$K$26:$M$29,2,FALSE)+VLOOKUP(VLOOKUP(CR$1,main!$A$3:$H$102,7,FALSE),main!$K$19:$O$22,MATCH(VLOOKUP($A96,main!$A$3:$H$102,8,FALSE),main!$K$18:$O$18,0))))),1,0)</f>
        <v>0</v>
      </c>
      <c r="CS96">
        <f>IF((AND(VLOOKUP(CS$1,main!$A$3:$H$102,5,FALSE)-VLOOKUP($A96,main!$A$3:$H$102,6,FALSE)&gt;=(VLOOKUP(VLOOKUP(CS$1,main!$A$3:$H$102,8,FALSE),main!$K$26:$M$29,2,FALSE)+VLOOKUP(VLOOKUP(CS$1,main!$A$3:$H$102,7,FALSE),main!$K$19:$O$22,MATCH(VLOOKUP($A96,main!$A$3:$H$102,8,FALSE),main!$K$18:$O$18,0))))),1,0)</f>
        <v>0</v>
      </c>
      <c r="CT96">
        <f>IF((AND(VLOOKUP(CT$1,main!$A$3:$H$102,5,FALSE)-VLOOKUP($A96,main!$A$3:$H$102,6,FALSE)&gt;=(VLOOKUP(VLOOKUP(CT$1,main!$A$3:$H$102,8,FALSE),main!$K$26:$M$29,2,FALSE)+VLOOKUP(VLOOKUP(CT$1,main!$A$3:$H$102,7,FALSE),main!$K$19:$O$22,MATCH(VLOOKUP($A96,main!$A$3:$H$102,8,FALSE),main!$K$18:$O$18,0))))),1,0)</f>
        <v>0</v>
      </c>
      <c r="CU96">
        <f>IF((AND(VLOOKUP(CU$1,main!$A$3:$H$102,5,FALSE)-VLOOKUP($A96,main!$A$3:$H$102,6,FALSE)&gt;=(VLOOKUP(VLOOKUP(CU$1,main!$A$3:$H$102,8,FALSE),main!$K$26:$M$29,2,FALSE)+VLOOKUP(VLOOKUP(CU$1,main!$A$3:$H$102,7,FALSE),main!$K$19:$O$22,MATCH(VLOOKUP($A96,main!$A$3:$H$102,8,FALSE),main!$K$18:$O$18,0))))),1,0)</f>
        <v>0</v>
      </c>
      <c r="CV96">
        <f>IF((AND(VLOOKUP(CV$1,main!$A$3:$H$102,5,FALSE)-VLOOKUP($A96,main!$A$3:$H$102,6,FALSE)&gt;=(VLOOKUP(VLOOKUP(CV$1,main!$A$3:$H$102,8,FALSE),main!$K$26:$M$29,2,FALSE)+VLOOKUP(VLOOKUP(CV$1,main!$A$3:$H$102,7,FALSE),main!$K$19:$O$22,MATCH(VLOOKUP($A96,main!$A$3:$H$102,8,FALSE),main!$K$18:$O$18,0))))),1,0)</f>
        <v>0</v>
      </c>
      <c r="CW96">
        <f>IF((AND(VLOOKUP(CW$1,main!$A$3:$H$102,5,FALSE)-VLOOKUP($A96,main!$A$3:$H$102,6,FALSE)&gt;=(VLOOKUP(VLOOKUP(CW$1,main!$A$3:$H$102,8,FALSE),main!$K$26:$M$29,2,FALSE)+VLOOKUP(VLOOKUP(CW$1,main!$A$3:$H$102,7,FALSE),main!$K$19:$O$22,MATCH(VLOOKUP($A96,main!$A$3:$H$102,8,FALSE),main!$K$18:$O$18,0))))),1,0)</f>
        <v>0</v>
      </c>
      <c r="CX96">
        <f>IF((AND(VLOOKUP(CX$1,main!$A$3:$H$102,5,FALSE)-VLOOKUP($A96,main!$A$3:$H$102,6,FALSE)&gt;=(VLOOKUP(VLOOKUP(CX$1,main!$A$3:$H$102,8,FALSE),main!$K$26:$M$29,2,FALSE)+VLOOKUP(VLOOKUP(CX$1,main!$A$3:$H$102,7,FALSE),main!$K$19:$O$22,MATCH(VLOOKUP($A96,main!$A$3:$H$102,8,FALSE),main!$K$18:$O$18,0))))),1,0)</f>
        <v>0</v>
      </c>
    </row>
    <row r="97" spans="1:102" x14ac:dyDescent="0.25">
      <c r="A97" s="1">
        <v>95</v>
      </c>
      <c r="B97">
        <v>1</v>
      </c>
      <c r="C97">
        <f>IF((AND(VLOOKUP(C$1,main!$A$3:$H$102,5,FALSE)-VLOOKUP($A97,main!$A$3:$H$102,6,FALSE)&gt;=(VLOOKUP(VLOOKUP(C$1,main!$A$3:$H$102,8,FALSE),main!$K$26:$M$29,2,FALSE)+VLOOKUP(VLOOKUP(C$1,main!$A$3:$H$102,7,FALSE),main!$K$19:$O$22,MATCH(VLOOKUP($A97,main!$A$3:$H$102,8,FALSE),main!$K$18:$O$18,0))))),1,0)</f>
        <v>0</v>
      </c>
      <c r="D97">
        <f>IF((AND(VLOOKUP(D$1,main!$A$3:$H$102,5,FALSE)-VLOOKUP($A97,main!$A$3:$H$102,6,FALSE)&gt;=(VLOOKUP(VLOOKUP(D$1,main!$A$3:$H$102,8,FALSE),main!$K$26:$M$29,2,FALSE)+VLOOKUP(VLOOKUP(D$1,main!$A$3:$H$102,7,FALSE),main!$K$19:$O$22,MATCH(VLOOKUP($A97,main!$A$3:$H$102,8,FALSE),main!$K$18:$O$18,0))))),1,0)</f>
        <v>0</v>
      </c>
      <c r="E97">
        <f>IF((AND(VLOOKUP(E$1,main!$A$3:$H$102,5,FALSE)-VLOOKUP($A97,main!$A$3:$H$102,6,FALSE)&gt;=(VLOOKUP(VLOOKUP(E$1,main!$A$3:$H$102,8,FALSE),main!$K$26:$M$29,2,FALSE)+VLOOKUP(VLOOKUP(E$1,main!$A$3:$H$102,7,FALSE),main!$K$19:$O$22,MATCH(VLOOKUP($A97,main!$A$3:$H$102,8,FALSE),main!$K$18:$O$18,0))))),1,0)</f>
        <v>0</v>
      </c>
      <c r="F97">
        <f>IF((AND(VLOOKUP(F$1,main!$A$3:$H$102,5,FALSE)-VLOOKUP($A97,main!$A$3:$H$102,6,FALSE)&gt;=(VLOOKUP(VLOOKUP(F$1,main!$A$3:$H$102,8,FALSE),main!$K$26:$M$29,2,FALSE)+VLOOKUP(VLOOKUP(F$1,main!$A$3:$H$102,7,FALSE),main!$K$19:$O$22,MATCH(VLOOKUP($A97,main!$A$3:$H$102,8,FALSE),main!$K$18:$O$18,0))))),1,0)</f>
        <v>0</v>
      </c>
      <c r="G97">
        <f>IF((AND(VLOOKUP(G$1,main!$A$3:$H$102,5,FALSE)-VLOOKUP($A97,main!$A$3:$H$102,6,FALSE)&gt;=(VLOOKUP(VLOOKUP(G$1,main!$A$3:$H$102,8,FALSE),main!$K$26:$M$29,2,FALSE)+VLOOKUP(VLOOKUP(G$1,main!$A$3:$H$102,7,FALSE),main!$K$19:$O$22,MATCH(VLOOKUP($A97,main!$A$3:$H$102,8,FALSE),main!$K$18:$O$18,0))))),1,0)</f>
        <v>0</v>
      </c>
      <c r="H97">
        <f>IF((AND(VLOOKUP(H$1,main!$A$3:$H$102,5,FALSE)-VLOOKUP($A97,main!$A$3:$H$102,6,FALSE)&gt;=(VLOOKUP(VLOOKUP(H$1,main!$A$3:$H$102,8,FALSE),main!$K$26:$M$29,2,FALSE)+VLOOKUP(VLOOKUP(H$1,main!$A$3:$H$102,7,FALSE),main!$K$19:$O$22,MATCH(VLOOKUP($A97,main!$A$3:$H$102,8,FALSE),main!$K$18:$O$18,0))))),1,0)</f>
        <v>0</v>
      </c>
      <c r="I97">
        <f>IF((AND(VLOOKUP(I$1,main!$A$3:$H$102,5,FALSE)-VLOOKUP($A97,main!$A$3:$H$102,6,FALSE)&gt;=(VLOOKUP(VLOOKUP(I$1,main!$A$3:$H$102,8,FALSE),main!$K$26:$M$29,2,FALSE)+VLOOKUP(VLOOKUP(I$1,main!$A$3:$H$102,7,FALSE),main!$K$19:$O$22,MATCH(VLOOKUP($A97,main!$A$3:$H$102,8,FALSE),main!$K$18:$O$18,0))))),1,0)</f>
        <v>0</v>
      </c>
      <c r="J97">
        <f>IF((AND(VLOOKUP(J$1,main!$A$3:$H$102,5,FALSE)-VLOOKUP($A97,main!$A$3:$H$102,6,FALSE)&gt;=(VLOOKUP(VLOOKUP(J$1,main!$A$3:$H$102,8,FALSE),main!$K$26:$M$29,2,FALSE)+VLOOKUP(VLOOKUP(J$1,main!$A$3:$H$102,7,FALSE),main!$K$19:$O$22,MATCH(VLOOKUP($A97,main!$A$3:$H$102,8,FALSE),main!$K$18:$O$18,0))))),1,0)</f>
        <v>0</v>
      </c>
      <c r="K97">
        <f>IF((AND(VLOOKUP(K$1,main!$A$3:$H$102,5,FALSE)-VLOOKUP($A97,main!$A$3:$H$102,6,FALSE)&gt;=(VLOOKUP(VLOOKUP(K$1,main!$A$3:$H$102,8,FALSE),main!$K$26:$M$29,2,FALSE)+VLOOKUP(VLOOKUP(K$1,main!$A$3:$H$102,7,FALSE),main!$K$19:$O$22,MATCH(VLOOKUP($A97,main!$A$3:$H$102,8,FALSE),main!$K$18:$O$18,0))))),1,0)</f>
        <v>0</v>
      </c>
      <c r="L97">
        <f>IF((AND(VLOOKUP(L$1,main!$A$3:$H$102,5,FALSE)-VLOOKUP($A97,main!$A$3:$H$102,6,FALSE)&gt;=(VLOOKUP(VLOOKUP(L$1,main!$A$3:$H$102,8,FALSE),main!$K$26:$M$29,2,FALSE)+VLOOKUP(VLOOKUP(L$1,main!$A$3:$H$102,7,FALSE),main!$K$19:$O$22,MATCH(VLOOKUP($A97,main!$A$3:$H$102,8,FALSE),main!$K$18:$O$18,0))))),1,0)</f>
        <v>1</v>
      </c>
      <c r="M97">
        <f>IF((AND(VLOOKUP(M$1,main!$A$3:$H$102,5,FALSE)-VLOOKUP($A97,main!$A$3:$H$102,6,FALSE)&gt;=(VLOOKUP(VLOOKUP(M$1,main!$A$3:$H$102,8,FALSE),main!$K$26:$M$29,2,FALSE)+VLOOKUP(VLOOKUP(M$1,main!$A$3:$H$102,7,FALSE),main!$K$19:$O$22,MATCH(VLOOKUP($A97,main!$A$3:$H$102,8,FALSE),main!$K$18:$O$18,0))))),1,0)</f>
        <v>0</v>
      </c>
      <c r="N97">
        <f>IF((AND(VLOOKUP(N$1,main!$A$3:$H$102,5,FALSE)-VLOOKUP($A97,main!$A$3:$H$102,6,FALSE)&gt;=(VLOOKUP(VLOOKUP(N$1,main!$A$3:$H$102,8,FALSE),main!$K$26:$M$29,2,FALSE)+VLOOKUP(VLOOKUP(N$1,main!$A$3:$H$102,7,FALSE),main!$K$19:$O$22,MATCH(VLOOKUP($A97,main!$A$3:$H$102,8,FALSE),main!$K$18:$O$18,0))))),1,0)</f>
        <v>0</v>
      </c>
      <c r="O97">
        <f>IF((AND(VLOOKUP(O$1,main!$A$3:$H$102,5,FALSE)-VLOOKUP($A97,main!$A$3:$H$102,6,FALSE)&gt;=(VLOOKUP(VLOOKUP(O$1,main!$A$3:$H$102,8,FALSE),main!$K$26:$M$29,2,FALSE)+VLOOKUP(VLOOKUP(O$1,main!$A$3:$H$102,7,FALSE),main!$K$19:$O$22,MATCH(VLOOKUP($A97,main!$A$3:$H$102,8,FALSE),main!$K$18:$O$18,0))))),1,0)</f>
        <v>0</v>
      </c>
      <c r="P97">
        <f>IF((AND(VLOOKUP(P$1,main!$A$3:$H$102,5,FALSE)-VLOOKUP($A97,main!$A$3:$H$102,6,FALSE)&gt;=(VLOOKUP(VLOOKUP(P$1,main!$A$3:$H$102,8,FALSE),main!$K$26:$M$29,2,FALSE)+VLOOKUP(VLOOKUP(P$1,main!$A$3:$H$102,7,FALSE),main!$K$19:$O$22,MATCH(VLOOKUP($A97,main!$A$3:$H$102,8,FALSE),main!$K$18:$O$18,0))))),1,0)</f>
        <v>0</v>
      </c>
      <c r="Q97">
        <f>IF((AND(VLOOKUP(Q$1,main!$A$3:$H$102,5,FALSE)-VLOOKUP($A97,main!$A$3:$H$102,6,FALSE)&gt;=(VLOOKUP(VLOOKUP(Q$1,main!$A$3:$H$102,8,FALSE),main!$K$26:$M$29,2,FALSE)+VLOOKUP(VLOOKUP(Q$1,main!$A$3:$H$102,7,FALSE),main!$K$19:$O$22,MATCH(VLOOKUP($A97,main!$A$3:$H$102,8,FALSE),main!$K$18:$O$18,0))))),1,0)</f>
        <v>0</v>
      </c>
      <c r="R97">
        <f>IF((AND(VLOOKUP(R$1,main!$A$3:$H$102,5,FALSE)-VLOOKUP($A97,main!$A$3:$H$102,6,FALSE)&gt;=(VLOOKUP(VLOOKUP(R$1,main!$A$3:$H$102,8,FALSE),main!$K$26:$M$29,2,FALSE)+VLOOKUP(VLOOKUP(R$1,main!$A$3:$H$102,7,FALSE),main!$K$19:$O$22,MATCH(VLOOKUP($A97,main!$A$3:$H$102,8,FALSE),main!$K$18:$O$18,0))))),1,0)</f>
        <v>0</v>
      </c>
      <c r="S97">
        <f>IF((AND(VLOOKUP(S$1,main!$A$3:$H$102,5,FALSE)-VLOOKUP($A97,main!$A$3:$H$102,6,FALSE)&gt;=(VLOOKUP(VLOOKUP(S$1,main!$A$3:$H$102,8,FALSE),main!$K$26:$M$29,2,FALSE)+VLOOKUP(VLOOKUP(S$1,main!$A$3:$H$102,7,FALSE),main!$K$19:$O$22,MATCH(VLOOKUP($A97,main!$A$3:$H$102,8,FALSE),main!$K$18:$O$18,0))))),1,0)</f>
        <v>0</v>
      </c>
      <c r="T97">
        <f>IF((AND(VLOOKUP(T$1,main!$A$3:$H$102,5,FALSE)-VLOOKUP($A97,main!$A$3:$H$102,6,FALSE)&gt;=(VLOOKUP(VLOOKUP(T$1,main!$A$3:$H$102,8,FALSE),main!$K$26:$M$29,2,FALSE)+VLOOKUP(VLOOKUP(T$1,main!$A$3:$H$102,7,FALSE),main!$K$19:$O$22,MATCH(VLOOKUP($A97,main!$A$3:$H$102,8,FALSE),main!$K$18:$O$18,0))))),1,0)</f>
        <v>0</v>
      </c>
      <c r="U97">
        <f>IF((AND(VLOOKUP(U$1,main!$A$3:$H$102,5,FALSE)-VLOOKUP($A97,main!$A$3:$H$102,6,FALSE)&gt;=(VLOOKUP(VLOOKUP(U$1,main!$A$3:$H$102,8,FALSE),main!$K$26:$M$29,2,FALSE)+VLOOKUP(VLOOKUP(U$1,main!$A$3:$H$102,7,FALSE),main!$K$19:$O$22,MATCH(VLOOKUP($A97,main!$A$3:$H$102,8,FALSE),main!$K$18:$O$18,0))))),1,0)</f>
        <v>1</v>
      </c>
      <c r="V97">
        <f>IF((AND(VLOOKUP(V$1,main!$A$3:$H$102,5,FALSE)-VLOOKUP($A97,main!$A$3:$H$102,6,FALSE)&gt;=(VLOOKUP(VLOOKUP(V$1,main!$A$3:$H$102,8,FALSE),main!$K$26:$M$29,2,FALSE)+VLOOKUP(VLOOKUP(V$1,main!$A$3:$H$102,7,FALSE),main!$K$19:$O$22,MATCH(VLOOKUP($A97,main!$A$3:$H$102,8,FALSE),main!$K$18:$O$18,0))))),1,0)</f>
        <v>1</v>
      </c>
      <c r="W97">
        <f>IF((AND(VLOOKUP(W$1,main!$A$3:$H$102,5,FALSE)-VLOOKUP($A97,main!$A$3:$H$102,6,FALSE)&gt;=(VLOOKUP(VLOOKUP(W$1,main!$A$3:$H$102,8,FALSE),main!$K$26:$M$29,2,FALSE)+VLOOKUP(VLOOKUP(W$1,main!$A$3:$H$102,7,FALSE),main!$K$19:$O$22,MATCH(VLOOKUP($A97,main!$A$3:$H$102,8,FALSE),main!$K$18:$O$18,0))))),1,0)</f>
        <v>0</v>
      </c>
      <c r="X97">
        <f>IF((AND(VLOOKUP(X$1,main!$A$3:$H$102,5,FALSE)-VLOOKUP($A97,main!$A$3:$H$102,6,FALSE)&gt;=(VLOOKUP(VLOOKUP(X$1,main!$A$3:$H$102,8,FALSE),main!$K$26:$M$29,2,FALSE)+VLOOKUP(VLOOKUP(X$1,main!$A$3:$H$102,7,FALSE),main!$K$19:$O$22,MATCH(VLOOKUP($A97,main!$A$3:$H$102,8,FALSE),main!$K$18:$O$18,0))))),1,0)</f>
        <v>0</v>
      </c>
      <c r="Y97">
        <f>IF((AND(VLOOKUP(Y$1,main!$A$3:$H$102,5,FALSE)-VLOOKUP($A97,main!$A$3:$H$102,6,FALSE)&gt;=(VLOOKUP(VLOOKUP(Y$1,main!$A$3:$H$102,8,FALSE),main!$K$26:$M$29,2,FALSE)+VLOOKUP(VLOOKUP(Y$1,main!$A$3:$H$102,7,FALSE),main!$K$19:$O$22,MATCH(VLOOKUP($A97,main!$A$3:$H$102,8,FALSE),main!$K$18:$O$18,0))))),1,0)</f>
        <v>0</v>
      </c>
      <c r="Z97">
        <f>IF((AND(VLOOKUP(Z$1,main!$A$3:$H$102,5,FALSE)-VLOOKUP($A97,main!$A$3:$H$102,6,FALSE)&gt;=(VLOOKUP(VLOOKUP(Z$1,main!$A$3:$H$102,8,FALSE),main!$K$26:$M$29,2,FALSE)+VLOOKUP(VLOOKUP(Z$1,main!$A$3:$H$102,7,FALSE),main!$K$19:$O$22,MATCH(VLOOKUP($A97,main!$A$3:$H$102,8,FALSE),main!$K$18:$O$18,0))))),1,0)</f>
        <v>0</v>
      </c>
      <c r="AA97">
        <f>IF((AND(VLOOKUP(AA$1,main!$A$3:$H$102,5,FALSE)-VLOOKUP($A97,main!$A$3:$H$102,6,FALSE)&gt;=(VLOOKUP(VLOOKUP(AA$1,main!$A$3:$H$102,8,FALSE),main!$K$26:$M$29,2,FALSE)+VLOOKUP(VLOOKUP(AA$1,main!$A$3:$H$102,7,FALSE),main!$K$19:$O$22,MATCH(VLOOKUP($A97,main!$A$3:$H$102,8,FALSE),main!$K$18:$O$18,0))))),1,0)</f>
        <v>0</v>
      </c>
      <c r="AB97">
        <f>IF((AND(VLOOKUP(AB$1,main!$A$3:$H$102,5,FALSE)-VLOOKUP($A97,main!$A$3:$H$102,6,FALSE)&gt;=(VLOOKUP(VLOOKUP(AB$1,main!$A$3:$H$102,8,FALSE),main!$K$26:$M$29,2,FALSE)+VLOOKUP(VLOOKUP(AB$1,main!$A$3:$H$102,7,FALSE),main!$K$19:$O$22,MATCH(VLOOKUP($A97,main!$A$3:$H$102,8,FALSE),main!$K$18:$O$18,0))))),1,0)</f>
        <v>0</v>
      </c>
      <c r="AC97">
        <f>IF((AND(VLOOKUP(AC$1,main!$A$3:$H$102,5,FALSE)-VLOOKUP($A97,main!$A$3:$H$102,6,FALSE)&gt;=(VLOOKUP(VLOOKUP(AC$1,main!$A$3:$H$102,8,FALSE),main!$K$26:$M$29,2,FALSE)+VLOOKUP(VLOOKUP(AC$1,main!$A$3:$H$102,7,FALSE),main!$K$19:$O$22,MATCH(VLOOKUP($A97,main!$A$3:$H$102,8,FALSE),main!$K$18:$O$18,0))))),1,0)</f>
        <v>0</v>
      </c>
      <c r="AD97">
        <f>IF((AND(VLOOKUP(AD$1,main!$A$3:$H$102,5,FALSE)-VLOOKUP($A97,main!$A$3:$H$102,6,FALSE)&gt;=(VLOOKUP(VLOOKUP(AD$1,main!$A$3:$H$102,8,FALSE),main!$K$26:$M$29,2,FALSE)+VLOOKUP(VLOOKUP(AD$1,main!$A$3:$H$102,7,FALSE),main!$K$19:$O$22,MATCH(VLOOKUP($A97,main!$A$3:$H$102,8,FALSE),main!$K$18:$O$18,0))))),1,0)</f>
        <v>0</v>
      </c>
      <c r="AE97">
        <f>IF((AND(VLOOKUP(AE$1,main!$A$3:$H$102,5,FALSE)-VLOOKUP($A97,main!$A$3:$H$102,6,FALSE)&gt;=(VLOOKUP(VLOOKUP(AE$1,main!$A$3:$H$102,8,FALSE),main!$K$26:$M$29,2,FALSE)+VLOOKUP(VLOOKUP(AE$1,main!$A$3:$H$102,7,FALSE),main!$K$19:$O$22,MATCH(VLOOKUP($A97,main!$A$3:$H$102,8,FALSE),main!$K$18:$O$18,0))))),1,0)</f>
        <v>0</v>
      </c>
      <c r="AF97">
        <f>IF((AND(VLOOKUP(AF$1,main!$A$3:$H$102,5,FALSE)-VLOOKUP($A97,main!$A$3:$H$102,6,FALSE)&gt;=(VLOOKUP(VLOOKUP(AF$1,main!$A$3:$H$102,8,FALSE),main!$K$26:$M$29,2,FALSE)+VLOOKUP(VLOOKUP(AF$1,main!$A$3:$H$102,7,FALSE),main!$K$19:$O$22,MATCH(VLOOKUP($A97,main!$A$3:$H$102,8,FALSE),main!$K$18:$O$18,0))))),1,0)</f>
        <v>0</v>
      </c>
      <c r="AG97">
        <f>IF((AND(VLOOKUP(AG$1,main!$A$3:$H$102,5,FALSE)-VLOOKUP($A97,main!$A$3:$H$102,6,FALSE)&gt;=(VLOOKUP(VLOOKUP(AG$1,main!$A$3:$H$102,8,FALSE),main!$K$26:$M$29,2,FALSE)+VLOOKUP(VLOOKUP(AG$1,main!$A$3:$H$102,7,FALSE),main!$K$19:$O$22,MATCH(VLOOKUP($A97,main!$A$3:$H$102,8,FALSE),main!$K$18:$O$18,0))))),1,0)</f>
        <v>0</v>
      </c>
      <c r="AH97">
        <f>IF((AND(VLOOKUP(AH$1,main!$A$3:$H$102,5,FALSE)-VLOOKUP($A97,main!$A$3:$H$102,6,FALSE)&gt;=(VLOOKUP(VLOOKUP(AH$1,main!$A$3:$H$102,8,FALSE),main!$K$26:$M$29,2,FALSE)+VLOOKUP(VLOOKUP(AH$1,main!$A$3:$H$102,7,FALSE),main!$K$19:$O$22,MATCH(VLOOKUP($A97,main!$A$3:$H$102,8,FALSE),main!$K$18:$O$18,0))))),1,0)</f>
        <v>0</v>
      </c>
      <c r="AI97">
        <f>IF((AND(VLOOKUP(AI$1,main!$A$3:$H$102,5,FALSE)-VLOOKUP($A97,main!$A$3:$H$102,6,FALSE)&gt;=(VLOOKUP(VLOOKUP(AI$1,main!$A$3:$H$102,8,FALSE),main!$K$26:$M$29,2,FALSE)+VLOOKUP(VLOOKUP(AI$1,main!$A$3:$H$102,7,FALSE),main!$K$19:$O$22,MATCH(VLOOKUP($A97,main!$A$3:$H$102,8,FALSE),main!$K$18:$O$18,0))))),1,0)</f>
        <v>0</v>
      </c>
      <c r="AJ97">
        <f>IF((AND(VLOOKUP(AJ$1,main!$A$3:$H$102,5,FALSE)-VLOOKUP($A97,main!$A$3:$H$102,6,FALSE)&gt;=(VLOOKUP(VLOOKUP(AJ$1,main!$A$3:$H$102,8,FALSE),main!$K$26:$M$29,2,FALSE)+VLOOKUP(VLOOKUP(AJ$1,main!$A$3:$H$102,7,FALSE),main!$K$19:$O$22,MATCH(VLOOKUP($A97,main!$A$3:$H$102,8,FALSE),main!$K$18:$O$18,0))))),1,0)</f>
        <v>0</v>
      </c>
      <c r="AK97">
        <f>IF((AND(VLOOKUP(AK$1,main!$A$3:$H$102,5,FALSE)-VLOOKUP($A97,main!$A$3:$H$102,6,FALSE)&gt;=(VLOOKUP(VLOOKUP(AK$1,main!$A$3:$H$102,8,FALSE),main!$K$26:$M$29,2,FALSE)+VLOOKUP(VLOOKUP(AK$1,main!$A$3:$H$102,7,FALSE),main!$K$19:$O$22,MATCH(VLOOKUP($A97,main!$A$3:$H$102,8,FALSE),main!$K$18:$O$18,0))))),1,0)</f>
        <v>0</v>
      </c>
      <c r="AL97">
        <f>IF((AND(VLOOKUP(AL$1,main!$A$3:$H$102,5,FALSE)-VLOOKUP($A97,main!$A$3:$H$102,6,FALSE)&gt;=(VLOOKUP(VLOOKUP(AL$1,main!$A$3:$H$102,8,FALSE),main!$K$26:$M$29,2,FALSE)+VLOOKUP(VLOOKUP(AL$1,main!$A$3:$H$102,7,FALSE),main!$K$19:$O$22,MATCH(VLOOKUP($A97,main!$A$3:$H$102,8,FALSE),main!$K$18:$O$18,0))))),1,0)</f>
        <v>0</v>
      </c>
      <c r="AM97">
        <f>IF((AND(VLOOKUP(AM$1,main!$A$3:$H$102,5,FALSE)-VLOOKUP($A97,main!$A$3:$H$102,6,FALSE)&gt;=(VLOOKUP(VLOOKUP(AM$1,main!$A$3:$H$102,8,FALSE),main!$K$26:$M$29,2,FALSE)+VLOOKUP(VLOOKUP(AM$1,main!$A$3:$H$102,7,FALSE),main!$K$19:$O$22,MATCH(VLOOKUP($A97,main!$A$3:$H$102,8,FALSE),main!$K$18:$O$18,0))))),1,0)</f>
        <v>0</v>
      </c>
      <c r="AN97">
        <f>IF((AND(VLOOKUP(AN$1,main!$A$3:$H$102,5,FALSE)-VLOOKUP($A97,main!$A$3:$H$102,6,FALSE)&gt;=(VLOOKUP(VLOOKUP(AN$1,main!$A$3:$H$102,8,FALSE),main!$K$26:$M$29,2,FALSE)+VLOOKUP(VLOOKUP(AN$1,main!$A$3:$H$102,7,FALSE),main!$K$19:$O$22,MATCH(VLOOKUP($A97,main!$A$3:$H$102,8,FALSE),main!$K$18:$O$18,0))))),1,0)</f>
        <v>0</v>
      </c>
      <c r="AO97">
        <f>IF((AND(VLOOKUP(AO$1,main!$A$3:$H$102,5,FALSE)-VLOOKUP($A97,main!$A$3:$H$102,6,FALSE)&gt;=(VLOOKUP(VLOOKUP(AO$1,main!$A$3:$H$102,8,FALSE),main!$K$26:$M$29,2,FALSE)+VLOOKUP(VLOOKUP(AO$1,main!$A$3:$H$102,7,FALSE),main!$K$19:$O$22,MATCH(VLOOKUP($A97,main!$A$3:$H$102,8,FALSE),main!$K$18:$O$18,0))))),1,0)</f>
        <v>0</v>
      </c>
      <c r="AP97">
        <f>IF((AND(VLOOKUP(AP$1,main!$A$3:$H$102,5,FALSE)-VLOOKUP($A97,main!$A$3:$H$102,6,FALSE)&gt;=(VLOOKUP(VLOOKUP(AP$1,main!$A$3:$H$102,8,FALSE),main!$K$26:$M$29,2,FALSE)+VLOOKUP(VLOOKUP(AP$1,main!$A$3:$H$102,7,FALSE),main!$K$19:$O$22,MATCH(VLOOKUP($A97,main!$A$3:$H$102,8,FALSE),main!$K$18:$O$18,0))))),1,0)</f>
        <v>1</v>
      </c>
      <c r="AQ97">
        <f>IF((AND(VLOOKUP(AQ$1,main!$A$3:$H$102,5,FALSE)-VLOOKUP($A97,main!$A$3:$H$102,6,FALSE)&gt;=(VLOOKUP(VLOOKUP(AQ$1,main!$A$3:$H$102,8,FALSE),main!$K$26:$M$29,2,FALSE)+VLOOKUP(VLOOKUP(AQ$1,main!$A$3:$H$102,7,FALSE),main!$K$19:$O$22,MATCH(VLOOKUP($A97,main!$A$3:$H$102,8,FALSE),main!$K$18:$O$18,0))))),1,0)</f>
        <v>0</v>
      </c>
      <c r="AR97">
        <f>IF((AND(VLOOKUP(AR$1,main!$A$3:$H$102,5,FALSE)-VLOOKUP($A97,main!$A$3:$H$102,6,FALSE)&gt;=(VLOOKUP(VLOOKUP(AR$1,main!$A$3:$H$102,8,FALSE),main!$K$26:$M$29,2,FALSE)+VLOOKUP(VLOOKUP(AR$1,main!$A$3:$H$102,7,FALSE),main!$K$19:$O$22,MATCH(VLOOKUP($A97,main!$A$3:$H$102,8,FALSE),main!$K$18:$O$18,0))))),1,0)</f>
        <v>0</v>
      </c>
      <c r="AS97">
        <f>IF((AND(VLOOKUP(AS$1,main!$A$3:$H$102,5,FALSE)-VLOOKUP($A97,main!$A$3:$H$102,6,FALSE)&gt;=(VLOOKUP(VLOOKUP(AS$1,main!$A$3:$H$102,8,FALSE),main!$K$26:$M$29,2,FALSE)+VLOOKUP(VLOOKUP(AS$1,main!$A$3:$H$102,7,FALSE),main!$K$19:$O$22,MATCH(VLOOKUP($A97,main!$A$3:$H$102,8,FALSE),main!$K$18:$O$18,0))))),1,0)</f>
        <v>0</v>
      </c>
      <c r="AT97">
        <f>IF((AND(VLOOKUP(AT$1,main!$A$3:$H$102,5,FALSE)-VLOOKUP($A97,main!$A$3:$H$102,6,FALSE)&gt;=(VLOOKUP(VLOOKUP(AT$1,main!$A$3:$H$102,8,FALSE),main!$K$26:$M$29,2,FALSE)+VLOOKUP(VLOOKUP(AT$1,main!$A$3:$H$102,7,FALSE),main!$K$19:$O$22,MATCH(VLOOKUP($A97,main!$A$3:$H$102,8,FALSE),main!$K$18:$O$18,0))))),1,0)</f>
        <v>0</v>
      </c>
      <c r="AU97">
        <f>IF((AND(VLOOKUP(AU$1,main!$A$3:$H$102,5,FALSE)-VLOOKUP($A97,main!$A$3:$H$102,6,FALSE)&gt;=(VLOOKUP(VLOOKUP(AU$1,main!$A$3:$H$102,8,FALSE),main!$K$26:$M$29,2,FALSE)+VLOOKUP(VLOOKUP(AU$1,main!$A$3:$H$102,7,FALSE),main!$K$19:$O$22,MATCH(VLOOKUP($A97,main!$A$3:$H$102,8,FALSE),main!$K$18:$O$18,0))))),1,0)</f>
        <v>0</v>
      </c>
      <c r="AV97">
        <f>IF((AND(VLOOKUP(AV$1,main!$A$3:$H$102,5,FALSE)-VLOOKUP($A97,main!$A$3:$H$102,6,FALSE)&gt;=(VLOOKUP(VLOOKUP(AV$1,main!$A$3:$H$102,8,FALSE),main!$K$26:$M$29,2,FALSE)+VLOOKUP(VLOOKUP(AV$1,main!$A$3:$H$102,7,FALSE),main!$K$19:$O$22,MATCH(VLOOKUP($A97,main!$A$3:$H$102,8,FALSE),main!$K$18:$O$18,0))))),1,0)</f>
        <v>0</v>
      </c>
      <c r="AW97">
        <f>IF((AND(VLOOKUP(AW$1,main!$A$3:$H$102,5,FALSE)-VLOOKUP($A97,main!$A$3:$H$102,6,FALSE)&gt;=(VLOOKUP(VLOOKUP(AW$1,main!$A$3:$H$102,8,FALSE),main!$K$26:$M$29,2,FALSE)+VLOOKUP(VLOOKUP(AW$1,main!$A$3:$H$102,7,FALSE),main!$K$19:$O$22,MATCH(VLOOKUP($A97,main!$A$3:$H$102,8,FALSE),main!$K$18:$O$18,0))))),1,0)</f>
        <v>0</v>
      </c>
      <c r="AX97">
        <f>IF((AND(VLOOKUP(AX$1,main!$A$3:$H$102,5,FALSE)-VLOOKUP($A97,main!$A$3:$H$102,6,FALSE)&gt;=(VLOOKUP(VLOOKUP(AX$1,main!$A$3:$H$102,8,FALSE),main!$K$26:$M$29,2,FALSE)+VLOOKUP(VLOOKUP(AX$1,main!$A$3:$H$102,7,FALSE),main!$K$19:$O$22,MATCH(VLOOKUP($A97,main!$A$3:$H$102,8,FALSE),main!$K$18:$O$18,0))))),1,0)</f>
        <v>0</v>
      </c>
      <c r="AY97">
        <f>IF((AND(VLOOKUP(AY$1,main!$A$3:$H$102,5,FALSE)-VLOOKUP($A97,main!$A$3:$H$102,6,FALSE)&gt;=(VLOOKUP(VLOOKUP(AY$1,main!$A$3:$H$102,8,FALSE),main!$K$26:$M$29,2,FALSE)+VLOOKUP(VLOOKUP(AY$1,main!$A$3:$H$102,7,FALSE),main!$K$19:$O$22,MATCH(VLOOKUP($A97,main!$A$3:$H$102,8,FALSE),main!$K$18:$O$18,0))))),1,0)</f>
        <v>0</v>
      </c>
      <c r="AZ97">
        <f>IF((AND(VLOOKUP(AZ$1,main!$A$3:$H$102,5,FALSE)-VLOOKUP($A97,main!$A$3:$H$102,6,FALSE)&gt;=(VLOOKUP(VLOOKUP(AZ$1,main!$A$3:$H$102,8,FALSE),main!$K$26:$M$29,2,FALSE)+VLOOKUP(VLOOKUP(AZ$1,main!$A$3:$H$102,7,FALSE),main!$K$19:$O$22,MATCH(VLOOKUP($A97,main!$A$3:$H$102,8,FALSE),main!$K$18:$O$18,0))))),1,0)</f>
        <v>0</v>
      </c>
      <c r="BA97">
        <f>IF((AND(VLOOKUP(BA$1,main!$A$3:$H$102,5,FALSE)-VLOOKUP($A97,main!$A$3:$H$102,6,FALSE)&gt;=(VLOOKUP(VLOOKUP(BA$1,main!$A$3:$H$102,8,FALSE),main!$K$26:$M$29,2,FALSE)+VLOOKUP(VLOOKUP(BA$1,main!$A$3:$H$102,7,FALSE),main!$K$19:$O$22,MATCH(VLOOKUP($A97,main!$A$3:$H$102,8,FALSE),main!$K$18:$O$18,0))))),1,0)</f>
        <v>0</v>
      </c>
      <c r="BB97">
        <f>IF((AND(VLOOKUP(BB$1,main!$A$3:$H$102,5,FALSE)-VLOOKUP($A97,main!$A$3:$H$102,6,FALSE)&gt;=(VLOOKUP(VLOOKUP(BB$1,main!$A$3:$H$102,8,FALSE),main!$K$26:$M$29,2,FALSE)+VLOOKUP(VLOOKUP(BB$1,main!$A$3:$H$102,7,FALSE),main!$K$19:$O$22,MATCH(VLOOKUP($A97,main!$A$3:$H$102,8,FALSE),main!$K$18:$O$18,0))))),1,0)</f>
        <v>0</v>
      </c>
      <c r="BC97">
        <f>IF((AND(VLOOKUP(BC$1,main!$A$3:$H$102,5,FALSE)-VLOOKUP($A97,main!$A$3:$H$102,6,FALSE)&gt;=(VLOOKUP(VLOOKUP(BC$1,main!$A$3:$H$102,8,FALSE),main!$K$26:$M$29,2,FALSE)+VLOOKUP(VLOOKUP(BC$1,main!$A$3:$H$102,7,FALSE),main!$K$19:$O$22,MATCH(VLOOKUP($A97,main!$A$3:$H$102,8,FALSE),main!$K$18:$O$18,0))))),1,0)</f>
        <v>0</v>
      </c>
      <c r="BD97">
        <f>IF((AND(VLOOKUP(BD$1,main!$A$3:$H$102,5,FALSE)-VLOOKUP($A97,main!$A$3:$H$102,6,FALSE)&gt;=(VLOOKUP(VLOOKUP(BD$1,main!$A$3:$H$102,8,FALSE),main!$K$26:$M$29,2,FALSE)+VLOOKUP(VLOOKUP(BD$1,main!$A$3:$H$102,7,FALSE),main!$K$19:$O$22,MATCH(VLOOKUP($A97,main!$A$3:$H$102,8,FALSE),main!$K$18:$O$18,0))))),1,0)</f>
        <v>0</v>
      </c>
      <c r="BE97">
        <f>IF((AND(VLOOKUP(BE$1,main!$A$3:$H$102,5,FALSE)-VLOOKUP($A97,main!$A$3:$H$102,6,FALSE)&gt;=(VLOOKUP(VLOOKUP(BE$1,main!$A$3:$H$102,8,FALSE),main!$K$26:$M$29,2,FALSE)+VLOOKUP(VLOOKUP(BE$1,main!$A$3:$H$102,7,FALSE),main!$K$19:$O$22,MATCH(VLOOKUP($A97,main!$A$3:$H$102,8,FALSE),main!$K$18:$O$18,0))))),1,0)</f>
        <v>0</v>
      </c>
      <c r="BF97">
        <f>IF((AND(VLOOKUP(BF$1,main!$A$3:$H$102,5,FALSE)-VLOOKUP($A97,main!$A$3:$H$102,6,FALSE)&gt;=(VLOOKUP(VLOOKUP(BF$1,main!$A$3:$H$102,8,FALSE),main!$K$26:$M$29,2,FALSE)+VLOOKUP(VLOOKUP(BF$1,main!$A$3:$H$102,7,FALSE),main!$K$19:$O$22,MATCH(VLOOKUP($A97,main!$A$3:$H$102,8,FALSE),main!$K$18:$O$18,0))))),1,0)</f>
        <v>0</v>
      </c>
      <c r="BG97">
        <f>IF((AND(VLOOKUP(BG$1,main!$A$3:$H$102,5,FALSE)-VLOOKUP($A97,main!$A$3:$H$102,6,FALSE)&gt;=(VLOOKUP(VLOOKUP(BG$1,main!$A$3:$H$102,8,FALSE),main!$K$26:$M$29,2,FALSE)+VLOOKUP(VLOOKUP(BG$1,main!$A$3:$H$102,7,FALSE),main!$K$19:$O$22,MATCH(VLOOKUP($A97,main!$A$3:$H$102,8,FALSE),main!$K$18:$O$18,0))))),1,0)</f>
        <v>0</v>
      </c>
      <c r="BH97">
        <f>IF((AND(VLOOKUP(BH$1,main!$A$3:$H$102,5,FALSE)-VLOOKUP($A97,main!$A$3:$H$102,6,FALSE)&gt;=(VLOOKUP(VLOOKUP(BH$1,main!$A$3:$H$102,8,FALSE),main!$K$26:$M$29,2,FALSE)+VLOOKUP(VLOOKUP(BH$1,main!$A$3:$H$102,7,FALSE),main!$K$19:$O$22,MATCH(VLOOKUP($A97,main!$A$3:$H$102,8,FALSE),main!$K$18:$O$18,0))))),1,0)</f>
        <v>0</v>
      </c>
      <c r="BI97">
        <f>IF((AND(VLOOKUP(BI$1,main!$A$3:$H$102,5,FALSE)-VLOOKUP($A97,main!$A$3:$H$102,6,FALSE)&gt;=(VLOOKUP(VLOOKUP(BI$1,main!$A$3:$H$102,8,FALSE),main!$K$26:$M$29,2,FALSE)+VLOOKUP(VLOOKUP(BI$1,main!$A$3:$H$102,7,FALSE),main!$K$19:$O$22,MATCH(VLOOKUP($A97,main!$A$3:$H$102,8,FALSE),main!$K$18:$O$18,0))))),1,0)</f>
        <v>1</v>
      </c>
      <c r="BJ97">
        <f>IF((AND(VLOOKUP(BJ$1,main!$A$3:$H$102,5,FALSE)-VLOOKUP($A97,main!$A$3:$H$102,6,FALSE)&gt;=(VLOOKUP(VLOOKUP(BJ$1,main!$A$3:$H$102,8,FALSE),main!$K$26:$M$29,2,FALSE)+VLOOKUP(VLOOKUP(BJ$1,main!$A$3:$H$102,7,FALSE),main!$K$19:$O$22,MATCH(VLOOKUP($A97,main!$A$3:$H$102,8,FALSE),main!$K$18:$O$18,0))))),1,0)</f>
        <v>0</v>
      </c>
      <c r="BK97">
        <f>IF((AND(VLOOKUP(BK$1,main!$A$3:$H$102,5,FALSE)-VLOOKUP($A97,main!$A$3:$H$102,6,FALSE)&gt;=(VLOOKUP(VLOOKUP(BK$1,main!$A$3:$H$102,8,FALSE),main!$K$26:$M$29,2,FALSE)+VLOOKUP(VLOOKUP(BK$1,main!$A$3:$H$102,7,FALSE),main!$K$19:$O$22,MATCH(VLOOKUP($A97,main!$A$3:$H$102,8,FALSE),main!$K$18:$O$18,0))))),1,0)</f>
        <v>0</v>
      </c>
      <c r="BL97">
        <f>IF((AND(VLOOKUP(BL$1,main!$A$3:$H$102,5,FALSE)-VLOOKUP($A97,main!$A$3:$H$102,6,FALSE)&gt;=(VLOOKUP(VLOOKUP(BL$1,main!$A$3:$H$102,8,FALSE),main!$K$26:$M$29,2,FALSE)+VLOOKUP(VLOOKUP(BL$1,main!$A$3:$H$102,7,FALSE),main!$K$19:$O$22,MATCH(VLOOKUP($A97,main!$A$3:$H$102,8,FALSE),main!$K$18:$O$18,0))))),1,0)</f>
        <v>0</v>
      </c>
      <c r="BM97">
        <f>IF((AND(VLOOKUP(BM$1,main!$A$3:$H$102,5,FALSE)-VLOOKUP($A97,main!$A$3:$H$102,6,FALSE)&gt;=(VLOOKUP(VLOOKUP(BM$1,main!$A$3:$H$102,8,FALSE),main!$K$26:$M$29,2,FALSE)+VLOOKUP(VLOOKUP(BM$1,main!$A$3:$H$102,7,FALSE),main!$K$19:$O$22,MATCH(VLOOKUP($A97,main!$A$3:$H$102,8,FALSE),main!$K$18:$O$18,0))))),1,0)</f>
        <v>0</v>
      </c>
      <c r="BN97">
        <f>IF((AND(VLOOKUP(BN$1,main!$A$3:$H$102,5,FALSE)-VLOOKUP($A97,main!$A$3:$H$102,6,FALSE)&gt;=(VLOOKUP(VLOOKUP(BN$1,main!$A$3:$H$102,8,FALSE),main!$K$26:$M$29,2,FALSE)+VLOOKUP(VLOOKUP(BN$1,main!$A$3:$H$102,7,FALSE),main!$K$19:$O$22,MATCH(VLOOKUP($A97,main!$A$3:$H$102,8,FALSE),main!$K$18:$O$18,0))))),1,0)</f>
        <v>0</v>
      </c>
      <c r="BO97">
        <f>IF((AND(VLOOKUP(BO$1,main!$A$3:$H$102,5,FALSE)-VLOOKUP($A97,main!$A$3:$H$102,6,FALSE)&gt;=(VLOOKUP(VLOOKUP(BO$1,main!$A$3:$H$102,8,FALSE),main!$K$26:$M$29,2,FALSE)+VLOOKUP(VLOOKUP(BO$1,main!$A$3:$H$102,7,FALSE),main!$K$19:$O$22,MATCH(VLOOKUP($A97,main!$A$3:$H$102,8,FALSE),main!$K$18:$O$18,0))))),1,0)</f>
        <v>0</v>
      </c>
      <c r="BP97">
        <f>IF((AND(VLOOKUP(BP$1,main!$A$3:$H$102,5,FALSE)-VLOOKUP($A97,main!$A$3:$H$102,6,FALSE)&gt;=(VLOOKUP(VLOOKUP(BP$1,main!$A$3:$H$102,8,FALSE),main!$K$26:$M$29,2,FALSE)+VLOOKUP(VLOOKUP(BP$1,main!$A$3:$H$102,7,FALSE),main!$K$19:$O$22,MATCH(VLOOKUP($A97,main!$A$3:$H$102,8,FALSE),main!$K$18:$O$18,0))))),1,0)</f>
        <v>0</v>
      </c>
      <c r="BQ97">
        <f>IF((AND(VLOOKUP(BQ$1,main!$A$3:$H$102,5,FALSE)-VLOOKUP($A97,main!$A$3:$H$102,6,FALSE)&gt;=(VLOOKUP(VLOOKUP(BQ$1,main!$A$3:$H$102,8,FALSE),main!$K$26:$M$29,2,FALSE)+VLOOKUP(VLOOKUP(BQ$1,main!$A$3:$H$102,7,FALSE),main!$K$19:$O$22,MATCH(VLOOKUP($A97,main!$A$3:$H$102,8,FALSE),main!$K$18:$O$18,0))))),1,0)</f>
        <v>0</v>
      </c>
      <c r="BR97">
        <f>IF((AND(VLOOKUP(BR$1,main!$A$3:$H$102,5,FALSE)-VLOOKUP($A97,main!$A$3:$H$102,6,FALSE)&gt;=(VLOOKUP(VLOOKUP(BR$1,main!$A$3:$H$102,8,FALSE),main!$K$26:$M$29,2,FALSE)+VLOOKUP(VLOOKUP(BR$1,main!$A$3:$H$102,7,FALSE),main!$K$19:$O$22,MATCH(VLOOKUP($A97,main!$A$3:$H$102,8,FALSE),main!$K$18:$O$18,0))))),1,0)</f>
        <v>0</v>
      </c>
      <c r="BS97">
        <f>IF((AND(VLOOKUP(BS$1,main!$A$3:$H$102,5,FALSE)-VLOOKUP($A97,main!$A$3:$H$102,6,FALSE)&gt;=(VLOOKUP(VLOOKUP(BS$1,main!$A$3:$H$102,8,FALSE),main!$K$26:$M$29,2,FALSE)+VLOOKUP(VLOOKUP(BS$1,main!$A$3:$H$102,7,FALSE),main!$K$19:$O$22,MATCH(VLOOKUP($A97,main!$A$3:$H$102,8,FALSE),main!$K$18:$O$18,0))))),1,0)</f>
        <v>0</v>
      </c>
      <c r="BT97">
        <f>IF((AND(VLOOKUP(BT$1,main!$A$3:$H$102,5,FALSE)-VLOOKUP($A97,main!$A$3:$H$102,6,FALSE)&gt;=(VLOOKUP(VLOOKUP(BT$1,main!$A$3:$H$102,8,FALSE),main!$K$26:$M$29,2,FALSE)+VLOOKUP(VLOOKUP(BT$1,main!$A$3:$H$102,7,FALSE),main!$K$19:$O$22,MATCH(VLOOKUP($A97,main!$A$3:$H$102,8,FALSE),main!$K$18:$O$18,0))))),1,0)</f>
        <v>0</v>
      </c>
      <c r="BU97">
        <f>IF((AND(VLOOKUP(BU$1,main!$A$3:$H$102,5,FALSE)-VLOOKUP($A97,main!$A$3:$H$102,6,FALSE)&gt;=(VLOOKUP(VLOOKUP(BU$1,main!$A$3:$H$102,8,FALSE),main!$K$26:$M$29,2,FALSE)+VLOOKUP(VLOOKUP(BU$1,main!$A$3:$H$102,7,FALSE),main!$K$19:$O$22,MATCH(VLOOKUP($A97,main!$A$3:$H$102,8,FALSE),main!$K$18:$O$18,0))))),1,0)</f>
        <v>0</v>
      </c>
      <c r="BV97">
        <f>IF((AND(VLOOKUP(BV$1,main!$A$3:$H$102,5,FALSE)-VLOOKUP($A97,main!$A$3:$H$102,6,FALSE)&gt;=(VLOOKUP(VLOOKUP(BV$1,main!$A$3:$H$102,8,FALSE),main!$K$26:$M$29,2,FALSE)+VLOOKUP(VLOOKUP(BV$1,main!$A$3:$H$102,7,FALSE),main!$K$19:$O$22,MATCH(VLOOKUP($A97,main!$A$3:$H$102,8,FALSE),main!$K$18:$O$18,0))))),1,0)</f>
        <v>0</v>
      </c>
      <c r="BW97">
        <f>IF((AND(VLOOKUP(BW$1,main!$A$3:$H$102,5,FALSE)-VLOOKUP($A97,main!$A$3:$H$102,6,FALSE)&gt;=(VLOOKUP(VLOOKUP(BW$1,main!$A$3:$H$102,8,FALSE),main!$K$26:$M$29,2,FALSE)+VLOOKUP(VLOOKUP(BW$1,main!$A$3:$H$102,7,FALSE),main!$K$19:$O$22,MATCH(VLOOKUP($A97,main!$A$3:$H$102,8,FALSE),main!$K$18:$O$18,0))))),1,0)</f>
        <v>0</v>
      </c>
      <c r="BX97">
        <f>IF((AND(VLOOKUP(BX$1,main!$A$3:$H$102,5,FALSE)-VLOOKUP($A97,main!$A$3:$H$102,6,FALSE)&gt;=(VLOOKUP(VLOOKUP(BX$1,main!$A$3:$H$102,8,FALSE),main!$K$26:$M$29,2,FALSE)+VLOOKUP(VLOOKUP(BX$1,main!$A$3:$H$102,7,FALSE),main!$K$19:$O$22,MATCH(VLOOKUP($A97,main!$A$3:$H$102,8,FALSE),main!$K$18:$O$18,0))))),1,0)</f>
        <v>0</v>
      </c>
      <c r="BY97">
        <f>IF((AND(VLOOKUP(BY$1,main!$A$3:$H$102,5,FALSE)-VLOOKUP($A97,main!$A$3:$H$102,6,FALSE)&gt;=(VLOOKUP(VLOOKUP(BY$1,main!$A$3:$H$102,8,FALSE),main!$K$26:$M$29,2,FALSE)+VLOOKUP(VLOOKUP(BY$1,main!$A$3:$H$102,7,FALSE),main!$K$19:$O$22,MATCH(VLOOKUP($A97,main!$A$3:$H$102,8,FALSE),main!$K$18:$O$18,0))))),1,0)</f>
        <v>0</v>
      </c>
      <c r="BZ97">
        <f>IF((AND(VLOOKUP(BZ$1,main!$A$3:$H$102,5,FALSE)-VLOOKUP($A97,main!$A$3:$H$102,6,FALSE)&gt;=(VLOOKUP(VLOOKUP(BZ$1,main!$A$3:$H$102,8,FALSE),main!$K$26:$M$29,2,FALSE)+VLOOKUP(VLOOKUP(BZ$1,main!$A$3:$H$102,7,FALSE),main!$K$19:$O$22,MATCH(VLOOKUP($A97,main!$A$3:$H$102,8,FALSE),main!$K$18:$O$18,0))))),1,0)</f>
        <v>0</v>
      </c>
      <c r="CA97">
        <f>IF((AND(VLOOKUP(CA$1,main!$A$3:$H$102,5,FALSE)-VLOOKUP($A97,main!$A$3:$H$102,6,FALSE)&gt;=(VLOOKUP(VLOOKUP(CA$1,main!$A$3:$H$102,8,FALSE),main!$K$26:$M$29,2,FALSE)+VLOOKUP(VLOOKUP(CA$1,main!$A$3:$H$102,7,FALSE),main!$K$19:$O$22,MATCH(VLOOKUP($A97,main!$A$3:$H$102,8,FALSE),main!$K$18:$O$18,0))))),1,0)</f>
        <v>0</v>
      </c>
      <c r="CB97">
        <f>IF((AND(VLOOKUP(CB$1,main!$A$3:$H$102,5,FALSE)-VLOOKUP($A97,main!$A$3:$H$102,6,FALSE)&gt;=(VLOOKUP(VLOOKUP(CB$1,main!$A$3:$H$102,8,FALSE),main!$K$26:$M$29,2,FALSE)+VLOOKUP(VLOOKUP(CB$1,main!$A$3:$H$102,7,FALSE),main!$K$19:$O$22,MATCH(VLOOKUP($A97,main!$A$3:$H$102,8,FALSE),main!$K$18:$O$18,0))))),1,0)</f>
        <v>0</v>
      </c>
      <c r="CC97">
        <f>IF((AND(VLOOKUP(CC$1,main!$A$3:$H$102,5,FALSE)-VLOOKUP($A97,main!$A$3:$H$102,6,FALSE)&gt;=(VLOOKUP(VLOOKUP(CC$1,main!$A$3:$H$102,8,FALSE),main!$K$26:$M$29,2,FALSE)+VLOOKUP(VLOOKUP(CC$1,main!$A$3:$H$102,7,FALSE),main!$K$19:$O$22,MATCH(VLOOKUP($A97,main!$A$3:$H$102,8,FALSE),main!$K$18:$O$18,0))))),1,0)</f>
        <v>0</v>
      </c>
      <c r="CD97">
        <f>IF((AND(VLOOKUP(CD$1,main!$A$3:$H$102,5,FALSE)-VLOOKUP($A97,main!$A$3:$H$102,6,FALSE)&gt;=(VLOOKUP(VLOOKUP(CD$1,main!$A$3:$H$102,8,FALSE),main!$K$26:$M$29,2,FALSE)+VLOOKUP(VLOOKUP(CD$1,main!$A$3:$H$102,7,FALSE),main!$K$19:$O$22,MATCH(VLOOKUP($A97,main!$A$3:$H$102,8,FALSE),main!$K$18:$O$18,0))))),1,0)</f>
        <v>0</v>
      </c>
      <c r="CE97">
        <f>IF((AND(VLOOKUP(CE$1,main!$A$3:$H$102,5,FALSE)-VLOOKUP($A97,main!$A$3:$H$102,6,FALSE)&gt;=(VLOOKUP(VLOOKUP(CE$1,main!$A$3:$H$102,8,FALSE),main!$K$26:$M$29,2,FALSE)+VLOOKUP(VLOOKUP(CE$1,main!$A$3:$H$102,7,FALSE),main!$K$19:$O$22,MATCH(VLOOKUP($A97,main!$A$3:$H$102,8,FALSE),main!$K$18:$O$18,0))))),1,0)</f>
        <v>0</v>
      </c>
      <c r="CF97">
        <f>IF((AND(VLOOKUP(CF$1,main!$A$3:$H$102,5,FALSE)-VLOOKUP($A97,main!$A$3:$H$102,6,FALSE)&gt;=(VLOOKUP(VLOOKUP(CF$1,main!$A$3:$H$102,8,FALSE),main!$K$26:$M$29,2,FALSE)+VLOOKUP(VLOOKUP(CF$1,main!$A$3:$H$102,7,FALSE),main!$K$19:$O$22,MATCH(VLOOKUP($A97,main!$A$3:$H$102,8,FALSE),main!$K$18:$O$18,0))))),1,0)</f>
        <v>0</v>
      </c>
      <c r="CG97">
        <f>IF((AND(VLOOKUP(CG$1,main!$A$3:$H$102,5,FALSE)-VLOOKUP($A97,main!$A$3:$H$102,6,FALSE)&gt;=(VLOOKUP(VLOOKUP(CG$1,main!$A$3:$H$102,8,FALSE),main!$K$26:$M$29,2,FALSE)+VLOOKUP(VLOOKUP(CG$1,main!$A$3:$H$102,7,FALSE),main!$K$19:$O$22,MATCH(VLOOKUP($A97,main!$A$3:$H$102,8,FALSE),main!$K$18:$O$18,0))))),1,0)</f>
        <v>0</v>
      </c>
      <c r="CH97">
        <f>IF((AND(VLOOKUP(CH$1,main!$A$3:$H$102,5,FALSE)-VLOOKUP($A97,main!$A$3:$H$102,6,FALSE)&gt;=(VLOOKUP(VLOOKUP(CH$1,main!$A$3:$H$102,8,FALSE),main!$K$26:$M$29,2,FALSE)+VLOOKUP(VLOOKUP(CH$1,main!$A$3:$H$102,7,FALSE),main!$K$19:$O$22,MATCH(VLOOKUP($A97,main!$A$3:$H$102,8,FALSE),main!$K$18:$O$18,0))))),1,0)</f>
        <v>0</v>
      </c>
      <c r="CI97">
        <f>IF((AND(VLOOKUP(CI$1,main!$A$3:$H$102,5,FALSE)-VLOOKUP($A97,main!$A$3:$H$102,6,FALSE)&gt;=(VLOOKUP(VLOOKUP(CI$1,main!$A$3:$H$102,8,FALSE),main!$K$26:$M$29,2,FALSE)+VLOOKUP(VLOOKUP(CI$1,main!$A$3:$H$102,7,FALSE),main!$K$19:$O$22,MATCH(VLOOKUP($A97,main!$A$3:$H$102,8,FALSE),main!$K$18:$O$18,0))))),1,0)</f>
        <v>1</v>
      </c>
      <c r="CJ97">
        <f>IF((AND(VLOOKUP(CJ$1,main!$A$3:$H$102,5,FALSE)-VLOOKUP($A97,main!$A$3:$H$102,6,FALSE)&gt;=(VLOOKUP(VLOOKUP(CJ$1,main!$A$3:$H$102,8,FALSE),main!$K$26:$M$29,2,FALSE)+VLOOKUP(VLOOKUP(CJ$1,main!$A$3:$H$102,7,FALSE),main!$K$19:$O$22,MATCH(VLOOKUP($A97,main!$A$3:$H$102,8,FALSE),main!$K$18:$O$18,0))))),1,0)</f>
        <v>0</v>
      </c>
      <c r="CK97">
        <f>IF((AND(VLOOKUP(CK$1,main!$A$3:$H$102,5,FALSE)-VLOOKUP($A97,main!$A$3:$H$102,6,FALSE)&gt;=(VLOOKUP(VLOOKUP(CK$1,main!$A$3:$H$102,8,FALSE),main!$K$26:$M$29,2,FALSE)+VLOOKUP(VLOOKUP(CK$1,main!$A$3:$H$102,7,FALSE),main!$K$19:$O$22,MATCH(VLOOKUP($A97,main!$A$3:$H$102,8,FALSE),main!$K$18:$O$18,0))))),1,0)</f>
        <v>0</v>
      </c>
      <c r="CL97">
        <f>IF((AND(VLOOKUP(CL$1,main!$A$3:$H$102,5,FALSE)-VLOOKUP($A97,main!$A$3:$H$102,6,FALSE)&gt;=(VLOOKUP(VLOOKUP(CL$1,main!$A$3:$H$102,8,FALSE),main!$K$26:$M$29,2,FALSE)+VLOOKUP(VLOOKUP(CL$1,main!$A$3:$H$102,7,FALSE),main!$K$19:$O$22,MATCH(VLOOKUP($A97,main!$A$3:$H$102,8,FALSE),main!$K$18:$O$18,0))))),1,0)</f>
        <v>0</v>
      </c>
      <c r="CM97">
        <f>IF((AND(VLOOKUP(CM$1,main!$A$3:$H$102,5,FALSE)-VLOOKUP($A97,main!$A$3:$H$102,6,FALSE)&gt;=(VLOOKUP(VLOOKUP(CM$1,main!$A$3:$H$102,8,FALSE),main!$K$26:$M$29,2,FALSE)+VLOOKUP(VLOOKUP(CM$1,main!$A$3:$H$102,7,FALSE),main!$K$19:$O$22,MATCH(VLOOKUP($A97,main!$A$3:$H$102,8,FALSE),main!$K$18:$O$18,0))))),1,0)</f>
        <v>0</v>
      </c>
      <c r="CN97">
        <f>IF((AND(VLOOKUP(CN$1,main!$A$3:$H$102,5,FALSE)-VLOOKUP($A97,main!$A$3:$H$102,6,FALSE)&gt;=(VLOOKUP(VLOOKUP(CN$1,main!$A$3:$H$102,8,FALSE),main!$K$26:$M$29,2,FALSE)+VLOOKUP(VLOOKUP(CN$1,main!$A$3:$H$102,7,FALSE),main!$K$19:$O$22,MATCH(VLOOKUP($A97,main!$A$3:$H$102,8,FALSE),main!$K$18:$O$18,0))))),1,0)</f>
        <v>1</v>
      </c>
      <c r="CO97">
        <f>IF((AND(VLOOKUP(CO$1,main!$A$3:$H$102,5,FALSE)-VLOOKUP($A97,main!$A$3:$H$102,6,FALSE)&gt;=(VLOOKUP(VLOOKUP(CO$1,main!$A$3:$H$102,8,FALSE),main!$K$26:$M$29,2,FALSE)+VLOOKUP(VLOOKUP(CO$1,main!$A$3:$H$102,7,FALSE),main!$K$19:$O$22,MATCH(VLOOKUP($A97,main!$A$3:$H$102,8,FALSE),main!$K$18:$O$18,0))))),1,0)</f>
        <v>0</v>
      </c>
      <c r="CP97">
        <f>IF((AND(VLOOKUP(CP$1,main!$A$3:$H$102,5,FALSE)-VLOOKUP($A97,main!$A$3:$H$102,6,FALSE)&gt;=(VLOOKUP(VLOOKUP(CP$1,main!$A$3:$H$102,8,FALSE),main!$K$26:$M$29,2,FALSE)+VLOOKUP(VLOOKUP(CP$1,main!$A$3:$H$102,7,FALSE),main!$K$19:$O$22,MATCH(VLOOKUP($A97,main!$A$3:$H$102,8,FALSE),main!$K$18:$O$18,0))))),1,0)</f>
        <v>0</v>
      </c>
      <c r="CQ97">
        <f>IF((AND(VLOOKUP(CQ$1,main!$A$3:$H$102,5,FALSE)-VLOOKUP($A97,main!$A$3:$H$102,6,FALSE)&gt;=(VLOOKUP(VLOOKUP(CQ$1,main!$A$3:$H$102,8,FALSE),main!$K$26:$M$29,2,FALSE)+VLOOKUP(VLOOKUP(CQ$1,main!$A$3:$H$102,7,FALSE),main!$K$19:$O$22,MATCH(VLOOKUP($A97,main!$A$3:$H$102,8,FALSE),main!$K$18:$O$18,0))))),1,0)</f>
        <v>0</v>
      </c>
      <c r="CR97">
        <f>IF((AND(VLOOKUP(CR$1,main!$A$3:$H$102,5,FALSE)-VLOOKUP($A97,main!$A$3:$H$102,6,FALSE)&gt;=(VLOOKUP(VLOOKUP(CR$1,main!$A$3:$H$102,8,FALSE),main!$K$26:$M$29,2,FALSE)+VLOOKUP(VLOOKUP(CR$1,main!$A$3:$H$102,7,FALSE),main!$K$19:$O$22,MATCH(VLOOKUP($A97,main!$A$3:$H$102,8,FALSE),main!$K$18:$O$18,0))))),1,0)</f>
        <v>0</v>
      </c>
      <c r="CS97">
        <f>IF((AND(VLOOKUP(CS$1,main!$A$3:$H$102,5,FALSE)-VLOOKUP($A97,main!$A$3:$H$102,6,FALSE)&gt;=(VLOOKUP(VLOOKUP(CS$1,main!$A$3:$H$102,8,FALSE),main!$K$26:$M$29,2,FALSE)+VLOOKUP(VLOOKUP(CS$1,main!$A$3:$H$102,7,FALSE),main!$K$19:$O$22,MATCH(VLOOKUP($A97,main!$A$3:$H$102,8,FALSE),main!$K$18:$O$18,0))))),1,0)</f>
        <v>0</v>
      </c>
      <c r="CT97">
        <f>IF((AND(VLOOKUP(CT$1,main!$A$3:$H$102,5,FALSE)-VLOOKUP($A97,main!$A$3:$H$102,6,FALSE)&gt;=(VLOOKUP(VLOOKUP(CT$1,main!$A$3:$H$102,8,FALSE),main!$K$26:$M$29,2,FALSE)+VLOOKUP(VLOOKUP(CT$1,main!$A$3:$H$102,7,FALSE),main!$K$19:$O$22,MATCH(VLOOKUP($A97,main!$A$3:$H$102,8,FALSE),main!$K$18:$O$18,0))))),1,0)</f>
        <v>0</v>
      </c>
      <c r="CU97">
        <f>IF((AND(VLOOKUP(CU$1,main!$A$3:$H$102,5,FALSE)-VLOOKUP($A97,main!$A$3:$H$102,6,FALSE)&gt;=(VLOOKUP(VLOOKUP(CU$1,main!$A$3:$H$102,8,FALSE),main!$K$26:$M$29,2,FALSE)+VLOOKUP(VLOOKUP(CU$1,main!$A$3:$H$102,7,FALSE),main!$K$19:$O$22,MATCH(VLOOKUP($A97,main!$A$3:$H$102,8,FALSE),main!$K$18:$O$18,0))))),1,0)</f>
        <v>0</v>
      </c>
      <c r="CV97">
        <f>IF((AND(VLOOKUP(CV$1,main!$A$3:$H$102,5,FALSE)-VLOOKUP($A97,main!$A$3:$H$102,6,FALSE)&gt;=(VLOOKUP(VLOOKUP(CV$1,main!$A$3:$H$102,8,FALSE),main!$K$26:$M$29,2,FALSE)+VLOOKUP(VLOOKUP(CV$1,main!$A$3:$H$102,7,FALSE),main!$K$19:$O$22,MATCH(VLOOKUP($A97,main!$A$3:$H$102,8,FALSE),main!$K$18:$O$18,0))))),1,0)</f>
        <v>0</v>
      </c>
      <c r="CW97">
        <f>IF((AND(VLOOKUP(CW$1,main!$A$3:$H$102,5,FALSE)-VLOOKUP($A97,main!$A$3:$H$102,6,FALSE)&gt;=(VLOOKUP(VLOOKUP(CW$1,main!$A$3:$H$102,8,FALSE),main!$K$26:$M$29,2,FALSE)+VLOOKUP(VLOOKUP(CW$1,main!$A$3:$H$102,7,FALSE),main!$K$19:$O$22,MATCH(VLOOKUP($A97,main!$A$3:$H$102,8,FALSE),main!$K$18:$O$18,0))))),1,0)</f>
        <v>0</v>
      </c>
      <c r="CX97">
        <f>IF((AND(VLOOKUP(CX$1,main!$A$3:$H$102,5,FALSE)-VLOOKUP($A97,main!$A$3:$H$102,6,FALSE)&gt;=(VLOOKUP(VLOOKUP(CX$1,main!$A$3:$H$102,8,FALSE),main!$K$26:$M$29,2,FALSE)+VLOOKUP(VLOOKUP(CX$1,main!$A$3:$H$102,7,FALSE),main!$K$19:$O$22,MATCH(VLOOKUP($A97,main!$A$3:$H$102,8,FALSE),main!$K$18:$O$18,0))))),1,0)</f>
        <v>0</v>
      </c>
    </row>
    <row r="98" spans="1:102" x14ac:dyDescent="0.25">
      <c r="A98" s="1">
        <v>96</v>
      </c>
      <c r="B98">
        <v>1</v>
      </c>
      <c r="C98">
        <f>IF((AND(VLOOKUP(C$1,main!$A$3:$H$102,5,FALSE)-VLOOKUP($A98,main!$A$3:$H$102,6,FALSE)&gt;=(VLOOKUP(VLOOKUP(C$1,main!$A$3:$H$102,8,FALSE),main!$K$26:$M$29,2,FALSE)+VLOOKUP(VLOOKUP(C$1,main!$A$3:$H$102,7,FALSE),main!$K$19:$O$22,MATCH(VLOOKUP($A98,main!$A$3:$H$102,8,FALSE),main!$K$18:$O$18,0))))),1,0)</f>
        <v>0</v>
      </c>
      <c r="D98">
        <f>IF((AND(VLOOKUP(D$1,main!$A$3:$H$102,5,FALSE)-VLOOKUP($A98,main!$A$3:$H$102,6,FALSE)&gt;=(VLOOKUP(VLOOKUP(D$1,main!$A$3:$H$102,8,FALSE),main!$K$26:$M$29,2,FALSE)+VLOOKUP(VLOOKUP(D$1,main!$A$3:$H$102,7,FALSE),main!$K$19:$O$22,MATCH(VLOOKUP($A98,main!$A$3:$H$102,8,FALSE),main!$K$18:$O$18,0))))),1,0)</f>
        <v>0</v>
      </c>
      <c r="E98">
        <f>IF((AND(VLOOKUP(E$1,main!$A$3:$H$102,5,FALSE)-VLOOKUP($A98,main!$A$3:$H$102,6,FALSE)&gt;=(VLOOKUP(VLOOKUP(E$1,main!$A$3:$H$102,8,FALSE),main!$K$26:$M$29,2,FALSE)+VLOOKUP(VLOOKUP(E$1,main!$A$3:$H$102,7,FALSE),main!$K$19:$O$22,MATCH(VLOOKUP($A98,main!$A$3:$H$102,8,FALSE),main!$K$18:$O$18,0))))),1,0)</f>
        <v>1</v>
      </c>
      <c r="F98">
        <f>IF((AND(VLOOKUP(F$1,main!$A$3:$H$102,5,FALSE)-VLOOKUP($A98,main!$A$3:$H$102,6,FALSE)&gt;=(VLOOKUP(VLOOKUP(F$1,main!$A$3:$H$102,8,FALSE),main!$K$26:$M$29,2,FALSE)+VLOOKUP(VLOOKUP(F$1,main!$A$3:$H$102,7,FALSE),main!$K$19:$O$22,MATCH(VLOOKUP($A98,main!$A$3:$H$102,8,FALSE),main!$K$18:$O$18,0))))),1,0)</f>
        <v>1</v>
      </c>
      <c r="G98">
        <f>IF((AND(VLOOKUP(G$1,main!$A$3:$H$102,5,FALSE)-VLOOKUP($A98,main!$A$3:$H$102,6,FALSE)&gt;=(VLOOKUP(VLOOKUP(G$1,main!$A$3:$H$102,8,FALSE),main!$K$26:$M$29,2,FALSE)+VLOOKUP(VLOOKUP(G$1,main!$A$3:$H$102,7,FALSE),main!$K$19:$O$22,MATCH(VLOOKUP($A98,main!$A$3:$H$102,8,FALSE),main!$K$18:$O$18,0))))),1,0)</f>
        <v>1</v>
      </c>
      <c r="H98">
        <f>IF((AND(VLOOKUP(H$1,main!$A$3:$H$102,5,FALSE)-VLOOKUP($A98,main!$A$3:$H$102,6,FALSE)&gt;=(VLOOKUP(VLOOKUP(H$1,main!$A$3:$H$102,8,FALSE),main!$K$26:$M$29,2,FALSE)+VLOOKUP(VLOOKUP(H$1,main!$A$3:$H$102,7,FALSE),main!$K$19:$O$22,MATCH(VLOOKUP($A98,main!$A$3:$H$102,8,FALSE),main!$K$18:$O$18,0))))),1,0)</f>
        <v>1</v>
      </c>
      <c r="I98">
        <f>IF((AND(VLOOKUP(I$1,main!$A$3:$H$102,5,FALSE)-VLOOKUP($A98,main!$A$3:$H$102,6,FALSE)&gt;=(VLOOKUP(VLOOKUP(I$1,main!$A$3:$H$102,8,FALSE),main!$K$26:$M$29,2,FALSE)+VLOOKUP(VLOOKUP(I$1,main!$A$3:$H$102,7,FALSE),main!$K$19:$O$22,MATCH(VLOOKUP($A98,main!$A$3:$H$102,8,FALSE),main!$K$18:$O$18,0))))),1,0)</f>
        <v>1</v>
      </c>
      <c r="J98">
        <f>IF((AND(VLOOKUP(J$1,main!$A$3:$H$102,5,FALSE)-VLOOKUP($A98,main!$A$3:$H$102,6,FALSE)&gt;=(VLOOKUP(VLOOKUP(J$1,main!$A$3:$H$102,8,FALSE),main!$K$26:$M$29,2,FALSE)+VLOOKUP(VLOOKUP(J$1,main!$A$3:$H$102,7,FALSE),main!$K$19:$O$22,MATCH(VLOOKUP($A98,main!$A$3:$H$102,8,FALSE),main!$K$18:$O$18,0))))),1,0)</f>
        <v>1</v>
      </c>
      <c r="K98">
        <f>IF((AND(VLOOKUP(K$1,main!$A$3:$H$102,5,FALSE)-VLOOKUP($A98,main!$A$3:$H$102,6,FALSE)&gt;=(VLOOKUP(VLOOKUP(K$1,main!$A$3:$H$102,8,FALSE),main!$K$26:$M$29,2,FALSE)+VLOOKUP(VLOOKUP(K$1,main!$A$3:$H$102,7,FALSE),main!$K$19:$O$22,MATCH(VLOOKUP($A98,main!$A$3:$H$102,8,FALSE),main!$K$18:$O$18,0))))),1,0)</f>
        <v>1</v>
      </c>
      <c r="L98">
        <f>IF((AND(VLOOKUP(L$1,main!$A$3:$H$102,5,FALSE)-VLOOKUP($A98,main!$A$3:$H$102,6,FALSE)&gt;=(VLOOKUP(VLOOKUP(L$1,main!$A$3:$H$102,8,FALSE),main!$K$26:$M$29,2,FALSE)+VLOOKUP(VLOOKUP(L$1,main!$A$3:$H$102,7,FALSE),main!$K$19:$O$22,MATCH(VLOOKUP($A98,main!$A$3:$H$102,8,FALSE),main!$K$18:$O$18,0))))),1,0)</f>
        <v>1</v>
      </c>
      <c r="M98">
        <f>IF((AND(VLOOKUP(M$1,main!$A$3:$H$102,5,FALSE)-VLOOKUP($A98,main!$A$3:$H$102,6,FALSE)&gt;=(VLOOKUP(VLOOKUP(M$1,main!$A$3:$H$102,8,FALSE),main!$K$26:$M$29,2,FALSE)+VLOOKUP(VLOOKUP(M$1,main!$A$3:$H$102,7,FALSE),main!$K$19:$O$22,MATCH(VLOOKUP($A98,main!$A$3:$H$102,8,FALSE),main!$K$18:$O$18,0))))),1,0)</f>
        <v>0</v>
      </c>
      <c r="N98">
        <f>IF((AND(VLOOKUP(N$1,main!$A$3:$H$102,5,FALSE)-VLOOKUP($A98,main!$A$3:$H$102,6,FALSE)&gt;=(VLOOKUP(VLOOKUP(N$1,main!$A$3:$H$102,8,FALSE),main!$K$26:$M$29,2,FALSE)+VLOOKUP(VLOOKUP(N$1,main!$A$3:$H$102,7,FALSE),main!$K$19:$O$22,MATCH(VLOOKUP($A98,main!$A$3:$H$102,8,FALSE),main!$K$18:$O$18,0))))),1,0)</f>
        <v>0</v>
      </c>
      <c r="O98">
        <f>IF((AND(VLOOKUP(O$1,main!$A$3:$H$102,5,FALSE)-VLOOKUP($A98,main!$A$3:$H$102,6,FALSE)&gt;=(VLOOKUP(VLOOKUP(O$1,main!$A$3:$H$102,8,FALSE),main!$K$26:$M$29,2,FALSE)+VLOOKUP(VLOOKUP(O$1,main!$A$3:$H$102,7,FALSE),main!$K$19:$O$22,MATCH(VLOOKUP($A98,main!$A$3:$H$102,8,FALSE),main!$K$18:$O$18,0))))),1,0)</f>
        <v>0</v>
      </c>
      <c r="P98">
        <f>IF((AND(VLOOKUP(P$1,main!$A$3:$H$102,5,FALSE)-VLOOKUP($A98,main!$A$3:$H$102,6,FALSE)&gt;=(VLOOKUP(VLOOKUP(P$1,main!$A$3:$H$102,8,FALSE),main!$K$26:$M$29,2,FALSE)+VLOOKUP(VLOOKUP(P$1,main!$A$3:$H$102,7,FALSE),main!$K$19:$O$22,MATCH(VLOOKUP($A98,main!$A$3:$H$102,8,FALSE),main!$K$18:$O$18,0))))),1,0)</f>
        <v>0</v>
      </c>
      <c r="Q98">
        <f>IF((AND(VLOOKUP(Q$1,main!$A$3:$H$102,5,FALSE)-VLOOKUP($A98,main!$A$3:$H$102,6,FALSE)&gt;=(VLOOKUP(VLOOKUP(Q$1,main!$A$3:$H$102,8,FALSE),main!$K$26:$M$29,2,FALSE)+VLOOKUP(VLOOKUP(Q$1,main!$A$3:$H$102,7,FALSE),main!$K$19:$O$22,MATCH(VLOOKUP($A98,main!$A$3:$H$102,8,FALSE),main!$K$18:$O$18,0))))),1,0)</f>
        <v>1</v>
      </c>
      <c r="R98">
        <f>IF((AND(VLOOKUP(R$1,main!$A$3:$H$102,5,FALSE)-VLOOKUP($A98,main!$A$3:$H$102,6,FALSE)&gt;=(VLOOKUP(VLOOKUP(R$1,main!$A$3:$H$102,8,FALSE),main!$K$26:$M$29,2,FALSE)+VLOOKUP(VLOOKUP(R$1,main!$A$3:$H$102,7,FALSE),main!$K$19:$O$22,MATCH(VLOOKUP($A98,main!$A$3:$H$102,8,FALSE),main!$K$18:$O$18,0))))),1,0)</f>
        <v>1</v>
      </c>
      <c r="S98">
        <f>IF((AND(VLOOKUP(S$1,main!$A$3:$H$102,5,FALSE)-VLOOKUP($A98,main!$A$3:$H$102,6,FALSE)&gt;=(VLOOKUP(VLOOKUP(S$1,main!$A$3:$H$102,8,FALSE),main!$K$26:$M$29,2,FALSE)+VLOOKUP(VLOOKUP(S$1,main!$A$3:$H$102,7,FALSE),main!$K$19:$O$22,MATCH(VLOOKUP($A98,main!$A$3:$H$102,8,FALSE),main!$K$18:$O$18,0))))),1,0)</f>
        <v>1</v>
      </c>
      <c r="T98">
        <f>IF((AND(VLOOKUP(T$1,main!$A$3:$H$102,5,FALSE)-VLOOKUP($A98,main!$A$3:$H$102,6,FALSE)&gt;=(VLOOKUP(VLOOKUP(T$1,main!$A$3:$H$102,8,FALSE),main!$K$26:$M$29,2,FALSE)+VLOOKUP(VLOOKUP(T$1,main!$A$3:$H$102,7,FALSE),main!$K$19:$O$22,MATCH(VLOOKUP($A98,main!$A$3:$H$102,8,FALSE),main!$K$18:$O$18,0))))),1,0)</f>
        <v>1</v>
      </c>
      <c r="U98">
        <f>IF((AND(VLOOKUP(U$1,main!$A$3:$H$102,5,FALSE)-VLOOKUP($A98,main!$A$3:$H$102,6,FALSE)&gt;=(VLOOKUP(VLOOKUP(U$1,main!$A$3:$H$102,8,FALSE),main!$K$26:$M$29,2,FALSE)+VLOOKUP(VLOOKUP(U$1,main!$A$3:$H$102,7,FALSE),main!$K$19:$O$22,MATCH(VLOOKUP($A98,main!$A$3:$H$102,8,FALSE),main!$K$18:$O$18,0))))),1,0)</f>
        <v>1</v>
      </c>
      <c r="V98">
        <f>IF((AND(VLOOKUP(V$1,main!$A$3:$H$102,5,FALSE)-VLOOKUP($A98,main!$A$3:$H$102,6,FALSE)&gt;=(VLOOKUP(VLOOKUP(V$1,main!$A$3:$H$102,8,FALSE),main!$K$26:$M$29,2,FALSE)+VLOOKUP(VLOOKUP(V$1,main!$A$3:$H$102,7,FALSE),main!$K$19:$O$22,MATCH(VLOOKUP($A98,main!$A$3:$H$102,8,FALSE),main!$K$18:$O$18,0))))),1,0)</f>
        <v>1</v>
      </c>
      <c r="W98">
        <f>IF((AND(VLOOKUP(W$1,main!$A$3:$H$102,5,FALSE)-VLOOKUP($A98,main!$A$3:$H$102,6,FALSE)&gt;=(VLOOKUP(VLOOKUP(W$1,main!$A$3:$H$102,8,FALSE),main!$K$26:$M$29,2,FALSE)+VLOOKUP(VLOOKUP(W$1,main!$A$3:$H$102,7,FALSE),main!$K$19:$O$22,MATCH(VLOOKUP($A98,main!$A$3:$H$102,8,FALSE),main!$K$18:$O$18,0))))),1,0)</f>
        <v>0</v>
      </c>
      <c r="X98">
        <f>IF((AND(VLOOKUP(X$1,main!$A$3:$H$102,5,FALSE)-VLOOKUP($A98,main!$A$3:$H$102,6,FALSE)&gt;=(VLOOKUP(VLOOKUP(X$1,main!$A$3:$H$102,8,FALSE),main!$K$26:$M$29,2,FALSE)+VLOOKUP(VLOOKUP(X$1,main!$A$3:$H$102,7,FALSE),main!$K$19:$O$22,MATCH(VLOOKUP($A98,main!$A$3:$H$102,8,FALSE),main!$K$18:$O$18,0))))),1,0)</f>
        <v>0</v>
      </c>
      <c r="Y98">
        <f>IF((AND(VLOOKUP(Y$1,main!$A$3:$H$102,5,FALSE)-VLOOKUP($A98,main!$A$3:$H$102,6,FALSE)&gt;=(VLOOKUP(VLOOKUP(Y$1,main!$A$3:$H$102,8,FALSE),main!$K$26:$M$29,2,FALSE)+VLOOKUP(VLOOKUP(Y$1,main!$A$3:$H$102,7,FALSE),main!$K$19:$O$22,MATCH(VLOOKUP($A98,main!$A$3:$H$102,8,FALSE),main!$K$18:$O$18,0))))),1,0)</f>
        <v>1</v>
      </c>
      <c r="Z98">
        <f>IF((AND(VLOOKUP(Z$1,main!$A$3:$H$102,5,FALSE)-VLOOKUP($A98,main!$A$3:$H$102,6,FALSE)&gt;=(VLOOKUP(VLOOKUP(Z$1,main!$A$3:$H$102,8,FALSE),main!$K$26:$M$29,2,FALSE)+VLOOKUP(VLOOKUP(Z$1,main!$A$3:$H$102,7,FALSE),main!$K$19:$O$22,MATCH(VLOOKUP($A98,main!$A$3:$H$102,8,FALSE),main!$K$18:$O$18,0))))),1,0)</f>
        <v>1</v>
      </c>
      <c r="AA98">
        <f>IF((AND(VLOOKUP(AA$1,main!$A$3:$H$102,5,FALSE)-VLOOKUP($A98,main!$A$3:$H$102,6,FALSE)&gt;=(VLOOKUP(VLOOKUP(AA$1,main!$A$3:$H$102,8,FALSE),main!$K$26:$M$29,2,FALSE)+VLOOKUP(VLOOKUP(AA$1,main!$A$3:$H$102,7,FALSE),main!$K$19:$O$22,MATCH(VLOOKUP($A98,main!$A$3:$H$102,8,FALSE),main!$K$18:$O$18,0))))),1,0)</f>
        <v>1</v>
      </c>
      <c r="AB98">
        <f>IF((AND(VLOOKUP(AB$1,main!$A$3:$H$102,5,FALSE)-VLOOKUP($A98,main!$A$3:$H$102,6,FALSE)&gt;=(VLOOKUP(VLOOKUP(AB$1,main!$A$3:$H$102,8,FALSE),main!$K$26:$M$29,2,FALSE)+VLOOKUP(VLOOKUP(AB$1,main!$A$3:$H$102,7,FALSE),main!$K$19:$O$22,MATCH(VLOOKUP($A98,main!$A$3:$H$102,8,FALSE),main!$K$18:$O$18,0))))),1,0)</f>
        <v>0</v>
      </c>
      <c r="AC98">
        <f>IF((AND(VLOOKUP(AC$1,main!$A$3:$H$102,5,FALSE)-VLOOKUP($A98,main!$A$3:$H$102,6,FALSE)&gt;=(VLOOKUP(VLOOKUP(AC$1,main!$A$3:$H$102,8,FALSE),main!$K$26:$M$29,2,FALSE)+VLOOKUP(VLOOKUP(AC$1,main!$A$3:$H$102,7,FALSE),main!$K$19:$O$22,MATCH(VLOOKUP($A98,main!$A$3:$H$102,8,FALSE),main!$K$18:$O$18,0))))),1,0)</f>
        <v>0</v>
      </c>
      <c r="AD98">
        <f>IF((AND(VLOOKUP(AD$1,main!$A$3:$H$102,5,FALSE)-VLOOKUP($A98,main!$A$3:$H$102,6,FALSE)&gt;=(VLOOKUP(VLOOKUP(AD$1,main!$A$3:$H$102,8,FALSE),main!$K$26:$M$29,2,FALSE)+VLOOKUP(VLOOKUP(AD$1,main!$A$3:$H$102,7,FALSE),main!$K$19:$O$22,MATCH(VLOOKUP($A98,main!$A$3:$H$102,8,FALSE),main!$K$18:$O$18,0))))),1,0)</f>
        <v>1</v>
      </c>
      <c r="AE98">
        <f>IF((AND(VLOOKUP(AE$1,main!$A$3:$H$102,5,FALSE)-VLOOKUP($A98,main!$A$3:$H$102,6,FALSE)&gt;=(VLOOKUP(VLOOKUP(AE$1,main!$A$3:$H$102,8,FALSE),main!$K$26:$M$29,2,FALSE)+VLOOKUP(VLOOKUP(AE$1,main!$A$3:$H$102,7,FALSE),main!$K$19:$O$22,MATCH(VLOOKUP($A98,main!$A$3:$H$102,8,FALSE),main!$K$18:$O$18,0))))),1,0)</f>
        <v>1</v>
      </c>
      <c r="AF98">
        <f>IF((AND(VLOOKUP(AF$1,main!$A$3:$H$102,5,FALSE)-VLOOKUP($A98,main!$A$3:$H$102,6,FALSE)&gt;=(VLOOKUP(VLOOKUP(AF$1,main!$A$3:$H$102,8,FALSE),main!$K$26:$M$29,2,FALSE)+VLOOKUP(VLOOKUP(AF$1,main!$A$3:$H$102,7,FALSE),main!$K$19:$O$22,MATCH(VLOOKUP($A98,main!$A$3:$H$102,8,FALSE),main!$K$18:$O$18,0))))),1,0)</f>
        <v>1</v>
      </c>
      <c r="AG98">
        <f>IF((AND(VLOOKUP(AG$1,main!$A$3:$H$102,5,FALSE)-VLOOKUP($A98,main!$A$3:$H$102,6,FALSE)&gt;=(VLOOKUP(VLOOKUP(AG$1,main!$A$3:$H$102,8,FALSE),main!$K$26:$M$29,2,FALSE)+VLOOKUP(VLOOKUP(AG$1,main!$A$3:$H$102,7,FALSE),main!$K$19:$O$22,MATCH(VLOOKUP($A98,main!$A$3:$H$102,8,FALSE),main!$K$18:$O$18,0))))),1,0)</f>
        <v>0</v>
      </c>
      <c r="AH98">
        <f>IF((AND(VLOOKUP(AH$1,main!$A$3:$H$102,5,FALSE)-VLOOKUP($A98,main!$A$3:$H$102,6,FALSE)&gt;=(VLOOKUP(VLOOKUP(AH$1,main!$A$3:$H$102,8,FALSE),main!$K$26:$M$29,2,FALSE)+VLOOKUP(VLOOKUP(AH$1,main!$A$3:$H$102,7,FALSE),main!$K$19:$O$22,MATCH(VLOOKUP($A98,main!$A$3:$H$102,8,FALSE),main!$K$18:$O$18,0))))),1,0)</f>
        <v>0</v>
      </c>
      <c r="AI98">
        <f>IF((AND(VLOOKUP(AI$1,main!$A$3:$H$102,5,FALSE)-VLOOKUP($A98,main!$A$3:$H$102,6,FALSE)&gt;=(VLOOKUP(VLOOKUP(AI$1,main!$A$3:$H$102,8,FALSE),main!$K$26:$M$29,2,FALSE)+VLOOKUP(VLOOKUP(AI$1,main!$A$3:$H$102,7,FALSE),main!$K$19:$O$22,MATCH(VLOOKUP($A98,main!$A$3:$H$102,8,FALSE),main!$K$18:$O$18,0))))),1,0)</f>
        <v>1</v>
      </c>
      <c r="AJ98">
        <f>IF((AND(VLOOKUP(AJ$1,main!$A$3:$H$102,5,FALSE)-VLOOKUP($A98,main!$A$3:$H$102,6,FALSE)&gt;=(VLOOKUP(VLOOKUP(AJ$1,main!$A$3:$H$102,8,FALSE),main!$K$26:$M$29,2,FALSE)+VLOOKUP(VLOOKUP(AJ$1,main!$A$3:$H$102,7,FALSE),main!$K$19:$O$22,MATCH(VLOOKUP($A98,main!$A$3:$H$102,8,FALSE),main!$K$18:$O$18,0))))),1,0)</f>
        <v>1</v>
      </c>
      <c r="AK98">
        <f>IF((AND(VLOOKUP(AK$1,main!$A$3:$H$102,5,FALSE)-VLOOKUP($A98,main!$A$3:$H$102,6,FALSE)&gt;=(VLOOKUP(VLOOKUP(AK$1,main!$A$3:$H$102,8,FALSE),main!$K$26:$M$29,2,FALSE)+VLOOKUP(VLOOKUP(AK$1,main!$A$3:$H$102,7,FALSE),main!$K$19:$O$22,MATCH(VLOOKUP($A98,main!$A$3:$H$102,8,FALSE),main!$K$18:$O$18,0))))),1,0)</f>
        <v>1</v>
      </c>
      <c r="AL98">
        <f>IF((AND(VLOOKUP(AL$1,main!$A$3:$H$102,5,FALSE)-VLOOKUP($A98,main!$A$3:$H$102,6,FALSE)&gt;=(VLOOKUP(VLOOKUP(AL$1,main!$A$3:$H$102,8,FALSE),main!$K$26:$M$29,2,FALSE)+VLOOKUP(VLOOKUP(AL$1,main!$A$3:$H$102,7,FALSE),main!$K$19:$O$22,MATCH(VLOOKUP($A98,main!$A$3:$H$102,8,FALSE),main!$K$18:$O$18,0))))),1,0)</f>
        <v>1</v>
      </c>
      <c r="AM98">
        <f>IF((AND(VLOOKUP(AM$1,main!$A$3:$H$102,5,FALSE)-VLOOKUP($A98,main!$A$3:$H$102,6,FALSE)&gt;=(VLOOKUP(VLOOKUP(AM$1,main!$A$3:$H$102,8,FALSE),main!$K$26:$M$29,2,FALSE)+VLOOKUP(VLOOKUP(AM$1,main!$A$3:$H$102,7,FALSE),main!$K$19:$O$22,MATCH(VLOOKUP($A98,main!$A$3:$H$102,8,FALSE),main!$K$18:$O$18,0))))),1,0)</f>
        <v>1</v>
      </c>
      <c r="AN98">
        <f>IF((AND(VLOOKUP(AN$1,main!$A$3:$H$102,5,FALSE)-VLOOKUP($A98,main!$A$3:$H$102,6,FALSE)&gt;=(VLOOKUP(VLOOKUP(AN$1,main!$A$3:$H$102,8,FALSE),main!$K$26:$M$29,2,FALSE)+VLOOKUP(VLOOKUP(AN$1,main!$A$3:$H$102,7,FALSE),main!$K$19:$O$22,MATCH(VLOOKUP($A98,main!$A$3:$H$102,8,FALSE),main!$K$18:$O$18,0))))),1,0)</f>
        <v>1</v>
      </c>
      <c r="AO98">
        <f>IF((AND(VLOOKUP(AO$1,main!$A$3:$H$102,5,FALSE)-VLOOKUP($A98,main!$A$3:$H$102,6,FALSE)&gt;=(VLOOKUP(VLOOKUP(AO$1,main!$A$3:$H$102,8,FALSE),main!$K$26:$M$29,2,FALSE)+VLOOKUP(VLOOKUP(AO$1,main!$A$3:$H$102,7,FALSE),main!$K$19:$O$22,MATCH(VLOOKUP($A98,main!$A$3:$H$102,8,FALSE),main!$K$18:$O$18,0))))),1,0)</f>
        <v>0</v>
      </c>
      <c r="AP98">
        <f>IF((AND(VLOOKUP(AP$1,main!$A$3:$H$102,5,FALSE)-VLOOKUP($A98,main!$A$3:$H$102,6,FALSE)&gt;=(VLOOKUP(VLOOKUP(AP$1,main!$A$3:$H$102,8,FALSE),main!$K$26:$M$29,2,FALSE)+VLOOKUP(VLOOKUP(AP$1,main!$A$3:$H$102,7,FALSE),main!$K$19:$O$22,MATCH(VLOOKUP($A98,main!$A$3:$H$102,8,FALSE),main!$K$18:$O$18,0))))),1,0)</f>
        <v>1</v>
      </c>
      <c r="AQ98">
        <f>IF((AND(VLOOKUP(AQ$1,main!$A$3:$H$102,5,FALSE)-VLOOKUP($A98,main!$A$3:$H$102,6,FALSE)&gt;=(VLOOKUP(VLOOKUP(AQ$1,main!$A$3:$H$102,8,FALSE),main!$K$26:$M$29,2,FALSE)+VLOOKUP(VLOOKUP(AQ$1,main!$A$3:$H$102,7,FALSE),main!$K$19:$O$22,MATCH(VLOOKUP($A98,main!$A$3:$H$102,8,FALSE),main!$K$18:$O$18,0))))),1,0)</f>
        <v>0</v>
      </c>
      <c r="AR98">
        <f>IF((AND(VLOOKUP(AR$1,main!$A$3:$H$102,5,FALSE)-VLOOKUP($A98,main!$A$3:$H$102,6,FALSE)&gt;=(VLOOKUP(VLOOKUP(AR$1,main!$A$3:$H$102,8,FALSE),main!$K$26:$M$29,2,FALSE)+VLOOKUP(VLOOKUP(AR$1,main!$A$3:$H$102,7,FALSE),main!$K$19:$O$22,MATCH(VLOOKUP($A98,main!$A$3:$H$102,8,FALSE),main!$K$18:$O$18,0))))),1,0)</f>
        <v>0</v>
      </c>
      <c r="AS98">
        <f>IF((AND(VLOOKUP(AS$1,main!$A$3:$H$102,5,FALSE)-VLOOKUP($A98,main!$A$3:$H$102,6,FALSE)&gt;=(VLOOKUP(VLOOKUP(AS$1,main!$A$3:$H$102,8,FALSE),main!$K$26:$M$29,2,FALSE)+VLOOKUP(VLOOKUP(AS$1,main!$A$3:$H$102,7,FALSE),main!$K$19:$O$22,MATCH(VLOOKUP($A98,main!$A$3:$H$102,8,FALSE),main!$K$18:$O$18,0))))),1,0)</f>
        <v>1</v>
      </c>
      <c r="AT98">
        <f>IF((AND(VLOOKUP(AT$1,main!$A$3:$H$102,5,FALSE)-VLOOKUP($A98,main!$A$3:$H$102,6,FALSE)&gt;=(VLOOKUP(VLOOKUP(AT$1,main!$A$3:$H$102,8,FALSE),main!$K$26:$M$29,2,FALSE)+VLOOKUP(VLOOKUP(AT$1,main!$A$3:$H$102,7,FALSE),main!$K$19:$O$22,MATCH(VLOOKUP($A98,main!$A$3:$H$102,8,FALSE),main!$K$18:$O$18,0))))),1,0)</f>
        <v>1</v>
      </c>
      <c r="AU98">
        <f>IF((AND(VLOOKUP(AU$1,main!$A$3:$H$102,5,FALSE)-VLOOKUP($A98,main!$A$3:$H$102,6,FALSE)&gt;=(VLOOKUP(VLOOKUP(AU$1,main!$A$3:$H$102,8,FALSE),main!$K$26:$M$29,2,FALSE)+VLOOKUP(VLOOKUP(AU$1,main!$A$3:$H$102,7,FALSE),main!$K$19:$O$22,MATCH(VLOOKUP($A98,main!$A$3:$H$102,8,FALSE),main!$K$18:$O$18,0))))),1,0)</f>
        <v>0</v>
      </c>
      <c r="AV98">
        <f>IF((AND(VLOOKUP(AV$1,main!$A$3:$H$102,5,FALSE)-VLOOKUP($A98,main!$A$3:$H$102,6,FALSE)&gt;=(VLOOKUP(VLOOKUP(AV$1,main!$A$3:$H$102,8,FALSE),main!$K$26:$M$29,2,FALSE)+VLOOKUP(VLOOKUP(AV$1,main!$A$3:$H$102,7,FALSE),main!$K$19:$O$22,MATCH(VLOOKUP($A98,main!$A$3:$H$102,8,FALSE),main!$K$18:$O$18,0))))),1,0)</f>
        <v>0</v>
      </c>
      <c r="AW98">
        <f>IF((AND(VLOOKUP(AW$1,main!$A$3:$H$102,5,FALSE)-VLOOKUP($A98,main!$A$3:$H$102,6,FALSE)&gt;=(VLOOKUP(VLOOKUP(AW$1,main!$A$3:$H$102,8,FALSE),main!$K$26:$M$29,2,FALSE)+VLOOKUP(VLOOKUP(AW$1,main!$A$3:$H$102,7,FALSE),main!$K$19:$O$22,MATCH(VLOOKUP($A98,main!$A$3:$H$102,8,FALSE),main!$K$18:$O$18,0))))),1,0)</f>
        <v>1</v>
      </c>
      <c r="AX98">
        <f>IF((AND(VLOOKUP(AX$1,main!$A$3:$H$102,5,FALSE)-VLOOKUP($A98,main!$A$3:$H$102,6,FALSE)&gt;=(VLOOKUP(VLOOKUP(AX$1,main!$A$3:$H$102,8,FALSE),main!$K$26:$M$29,2,FALSE)+VLOOKUP(VLOOKUP(AX$1,main!$A$3:$H$102,7,FALSE),main!$K$19:$O$22,MATCH(VLOOKUP($A98,main!$A$3:$H$102,8,FALSE),main!$K$18:$O$18,0))))),1,0)</f>
        <v>1</v>
      </c>
      <c r="AY98">
        <f>IF((AND(VLOOKUP(AY$1,main!$A$3:$H$102,5,FALSE)-VLOOKUP($A98,main!$A$3:$H$102,6,FALSE)&gt;=(VLOOKUP(VLOOKUP(AY$1,main!$A$3:$H$102,8,FALSE),main!$K$26:$M$29,2,FALSE)+VLOOKUP(VLOOKUP(AY$1,main!$A$3:$H$102,7,FALSE),main!$K$19:$O$22,MATCH(VLOOKUP($A98,main!$A$3:$H$102,8,FALSE),main!$K$18:$O$18,0))))),1,0)</f>
        <v>0</v>
      </c>
      <c r="AZ98">
        <f>IF((AND(VLOOKUP(AZ$1,main!$A$3:$H$102,5,FALSE)-VLOOKUP($A98,main!$A$3:$H$102,6,FALSE)&gt;=(VLOOKUP(VLOOKUP(AZ$1,main!$A$3:$H$102,8,FALSE),main!$K$26:$M$29,2,FALSE)+VLOOKUP(VLOOKUP(AZ$1,main!$A$3:$H$102,7,FALSE),main!$K$19:$O$22,MATCH(VLOOKUP($A98,main!$A$3:$H$102,8,FALSE),main!$K$18:$O$18,0))))),1,0)</f>
        <v>1</v>
      </c>
      <c r="BA98">
        <f>IF((AND(VLOOKUP(BA$1,main!$A$3:$H$102,5,FALSE)-VLOOKUP($A98,main!$A$3:$H$102,6,FALSE)&gt;=(VLOOKUP(VLOOKUP(BA$1,main!$A$3:$H$102,8,FALSE),main!$K$26:$M$29,2,FALSE)+VLOOKUP(VLOOKUP(BA$1,main!$A$3:$H$102,7,FALSE),main!$K$19:$O$22,MATCH(VLOOKUP($A98,main!$A$3:$H$102,8,FALSE),main!$K$18:$O$18,0))))),1,0)</f>
        <v>0</v>
      </c>
      <c r="BB98">
        <f>IF((AND(VLOOKUP(BB$1,main!$A$3:$H$102,5,FALSE)-VLOOKUP($A98,main!$A$3:$H$102,6,FALSE)&gt;=(VLOOKUP(VLOOKUP(BB$1,main!$A$3:$H$102,8,FALSE),main!$K$26:$M$29,2,FALSE)+VLOOKUP(VLOOKUP(BB$1,main!$A$3:$H$102,7,FALSE),main!$K$19:$O$22,MATCH(VLOOKUP($A98,main!$A$3:$H$102,8,FALSE),main!$K$18:$O$18,0))))),1,0)</f>
        <v>1</v>
      </c>
      <c r="BC98">
        <f>IF((AND(VLOOKUP(BC$1,main!$A$3:$H$102,5,FALSE)-VLOOKUP($A98,main!$A$3:$H$102,6,FALSE)&gt;=(VLOOKUP(VLOOKUP(BC$1,main!$A$3:$H$102,8,FALSE),main!$K$26:$M$29,2,FALSE)+VLOOKUP(VLOOKUP(BC$1,main!$A$3:$H$102,7,FALSE),main!$K$19:$O$22,MATCH(VLOOKUP($A98,main!$A$3:$H$102,8,FALSE),main!$K$18:$O$18,0))))),1,0)</f>
        <v>1</v>
      </c>
      <c r="BD98">
        <f>IF((AND(VLOOKUP(BD$1,main!$A$3:$H$102,5,FALSE)-VLOOKUP($A98,main!$A$3:$H$102,6,FALSE)&gt;=(VLOOKUP(VLOOKUP(BD$1,main!$A$3:$H$102,8,FALSE),main!$K$26:$M$29,2,FALSE)+VLOOKUP(VLOOKUP(BD$1,main!$A$3:$H$102,7,FALSE),main!$K$19:$O$22,MATCH(VLOOKUP($A98,main!$A$3:$H$102,8,FALSE),main!$K$18:$O$18,0))))),1,0)</f>
        <v>1</v>
      </c>
      <c r="BE98">
        <f>IF((AND(VLOOKUP(BE$1,main!$A$3:$H$102,5,FALSE)-VLOOKUP($A98,main!$A$3:$H$102,6,FALSE)&gt;=(VLOOKUP(VLOOKUP(BE$1,main!$A$3:$H$102,8,FALSE),main!$K$26:$M$29,2,FALSE)+VLOOKUP(VLOOKUP(BE$1,main!$A$3:$H$102,7,FALSE),main!$K$19:$O$22,MATCH(VLOOKUP($A98,main!$A$3:$H$102,8,FALSE),main!$K$18:$O$18,0))))),1,0)</f>
        <v>1</v>
      </c>
      <c r="BF98">
        <f>IF((AND(VLOOKUP(BF$1,main!$A$3:$H$102,5,FALSE)-VLOOKUP($A98,main!$A$3:$H$102,6,FALSE)&gt;=(VLOOKUP(VLOOKUP(BF$1,main!$A$3:$H$102,8,FALSE),main!$K$26:$M$29,2,FALSE)+VLOOKUP(VLOOKUP(BF$1,main!$A$3:$H$102,7,FALSE),main!$K$19:$O$22,MATCH(VLOOKUP($A98,main!$A$3:$H$102,8,FALSE),main!$K$18:$O$18,0))))),1,0)</f>
        <v>0</v>
      </c>
      <c r="BG98">
        <f>IF((AND(VLOOKUP(BG$1,main!$A$3:$H$102,5,FALSE)-VLOOKUP($A98,main!$A$3:$H$102,6,FALSE)&gt;=(VLOOKUP(VLOOKUP(BG$1,main!$A$3:$H$102,8,FALSE),main!$K$26:$M$29,2,FALSE)+VLOOKUP(VLOOKUP(BG$1,main!$A$3:$H$102,7,FALSE),main!$K$19:$O$22,MATCH(VLOOKUP($A98,main!$A$3:$H$102,8,FALSE),main!$K$18:$O$18,0))))),1,0)</f>
        <v>0</v>
      </c>
      <c r="BH98">
        <f>IF((AND(VLOOKUP(BH$1,main!$A$3:$H$102,5,FALSE)-VLOOKUP($A98,main!$A$3:$H$102,6,FALSE)&gt;=(VLOOKUP(VLOOKUP(BH$1,main!$A$3:$H$102,8,FALSE),main!$K$26:$M$29,2,FALSE)+VLOOKUP(VLOOKUP(BH$1,main!$A$3:$H$102,7,FALSE),main!$K$19:$O$22,MATCH(VLOOKUP($A98,main!$A$3:$H$102,8,FALSE),main!$K$18:$O$18,0))))),1,0)</f>
        <v>1</v>
      </c>
      <c r="BI98">
        <f>IF((AND(VLOOKUP(BI$1,main!$A$3:$H$102,5,FALSE)-VLOOKUP($A98,main!$A$3:$H$102,6,FALSE)&gt;=(VLOOKUP(VLOOKUP(BI$1,main!$A$3:$H$102,8,FALSE),main!$K$26:$M$29,2,FALSE)+VLOOKUP(VLOOKUP(BI$1,main!$A$3:$H$102,7,FALSE),main!$K$19:$O$22,MATCH(VLOOKUP($A98,main!$A$3:$H$102,8,FALSE),main!$K$18:$O$18,0))))),1,0)</f>
        <v>1</v>
      </c>
      <c r="BJ98">
        <f>IF((AND(VLOOKUP(BJ$1,main!$A$3:$H$102,5,FALSE)-VLOOKUP($A98,main!$A$3:$H$102,6,FALSE)&gt;=(VLOOKUP(VLOOKUP(BJ$1,main!$A$3:$H$102,8,FALSE),main!$K$26:$M$29,2,FALSE)+VLOOKUP(VLOOKUP(BJ$1,main!$A$3:$H$102,7,FALSE),main!$K$19:$O$22,MATCH(VLOOKUP($A98,main!$A$3:$H$102,8,FALSE),main!$K$18:$O$18,0))))),1,0)</f>
        <v>1</v>
      </c>
      <c r="BK98">
        <f>IF((AND(VLOOKUP(BK$1,main!$A$3:$H$102,5,FALSE)-VLOOKUP($A98,main!$A$3:$H$102,6,FALSE)&gt;=(VLOOKUP(VLOOKUP(BK$1,main!$A$3:$H$102,8,FALSE),main!$K$26:$M$29,2,FALSE)+VLOOKUP(VLOOKUP(BK$1,main!$A$3:$H$102,7,FALSE),main!$K$19:$O$22,MATCH(VLOOKUP($A98,main!$A$3:$H$102,8,FALSE),main!$K$18:$O$18,0))))),1,0)</f>
        <v>0</v>
      </c>
      <c r="BL98">
        <f>IF((AND(VLOOKUP(BL$1,main!$A$3:$H$102,5,FALSE)-VLOOKUP($A98,main!$A$3:$H$102,6,FALSE)&gt;=(VLOOKUP(VLOOKUP(BL$1,main!$A$3:$H$102,8,FALSE),main!$K$26:$M$29,2,FALSE)+VLOOKUP(VLOOKUP(BL$1,main!$A$3:$H$102,7,FALSE),main!$K$19:$O$22,MATCH(VLOOKUP($A98,main!$A$3:$H$102,8,FALSE),main!$K$18:$O$18,0))))),1,0)</f>
        <v>0</v>
      </c>
      <c r="BM98">
        <f>IF((AND(VLOOKUP(BM$1,main!$A$3:$H$102,5,FALSE)-VLOOKUP($A98,main!$A$3:$H$102,6,FALSE)&gt;=(VLOOKUP(VLOOKUP(BM$1,main!$A$3:$H$102,8,FALSE),main!$K$26:$M$29,2,FALSE)+VLOOKUP(VLOOKUP(BM$1,main!$A$3:$H$102,7,FALSE),main!$K$19:$O$22,MATCH(VLOOKUP($A98,main!$A$3:$H$102,8,FALSE),main!$K$18:$O$18,0))))),1,0)</f>
        <v>0</v>
      </c>
      <c r="BN98">
        <f>IF((AND(VLOOKUP(BN$1,main!$A$3:$H$102,5,FALSE)-VLOOKUP($A98,main!$A$3:$H$102,6,FALSE)&gt;=(VLOOKUP(VLOOKUP(BN$1,main!$A$3:$H$102,8,FALSE),main!$K$26:$M$29,2,FALSE)+VLOOKUP(VLOOKUP(BN$1,main!$A$3:$H$102,7,FALSE),main!$K$19:$O$22,MATCH(VLOOKUP($A98,main!$A$3:$H$102,8,FALSE),main!$K$18:$O$18,0))))),1,0)</f>
        <v>1</v>
      </c>
      <c r="BO98">
        <f>IF((AND(VLOOKUP(BO$1,main!$A$3:$H$102,5,FALSE)-VLOOKUP($A98,main!$A$3:$H$102,6,FALSE)&gt;=(VLOOKUP(VLOOKUP(BO$1,main!$A$3:$H$102,8,FALSE),main!$K$26:$M$29,2,FALSE)+VLOOKUP(VLOOKUP(BO$1,main!$A$3:$H$102,7,FALSE),main!$K$19:$O$22,MATCH(VLOOKUP($A98,main!$A$3:$H$102,8,FALSE),main!$K$18:$O$18,0))))),1,0)</f>
        <v>0</v>
      </c>
      <c r="BP98">
        <f>IF((AND(VLOOKUP(BP$1,main!$A$3:$H$102,5,FALSE)-VLOOKUP($A98,main!$A$3:$H$102,6,FALSE)&gt;=(VLOOKUP(VLOOKUP(BP$1,main!$A$3:$H$102,8,FALSE),main!$K$26:$M$29,2,FALSE)+VLOOKUP(VLOOKUP(BP$1,main!$A$3:$H$102,7,FALSE),main!$K$19:$O$22,MATCH(VLOOKUP($A98,main!$A$3:$H$102,8,FALSE),main!$K$18:$O$18,0))))),1,0)</f>
        <v>0</v>
      </c>
      <c r="BQ98">
        <f>IF((AND(VLOOKUP(BQ$1,main!$A$3:$H$102,5,FALSE)-VLOOKUP($A98,main!$A$3:$H$102,6,FALSE)&gt;=(VLOOKUP(VLOOKUP(BQ$1,main!$A$3:$H$102,8,FALSE),main!$K$26:$M$29,2,FALSE)+VLOOKUP(VLOOKUP(BQ$1,main!$A$3:$H$102,7,FALSE),main!$K$19:$O$22,MATCH(VLOOKUP($A98,main!$A$3:$H$102,8,FALSE),main!$K$18:$O$18,0))))),1,0)</f>
        <v>1</v>
      </c>
      <c r="BR98">
        <f>IF((AND(VLOOKUP(BR$1,main!$A$3:$H$102,5,FALSE)-VLOOKUP($A98,main!$A$3:$H$102,6,FALSE)&gt;=(VLOOKUP(VLOOKUP(BR$1,main!$A$3:$H$102,8,FALSE),main!$K$26:$M$29,2,FALSE)+VLOOKUP(VLOOKUP(BR$1,main!$A$3:$H$102,7,FALSE),main!$K$19:$O$22,MATCH(VLOOKUP($A98,main!$A$3:$H$102,8,FALSE),main!$K$18:$O$18,0))))),1,0)</f>
        <v>1</v>
      </c>
      <c r="BS98">
        <f>IF((AND(VLOOKUP(BS$1,main!$A$3:$H$102,5,FALSE)-VLOOKUP($A98,main!$A$3:$H$102,6,FALSE)&gt;=(VLOOKUP(VLOOKUP(BS$1,main!$A$3:$H$102,8,FALSE),main!$K$26:$M$29,2,FALSE)+VLOOKUP(VLOOKUP(BS$1,main!$A$3:$H$102,7,FALSE),main!$K$19:$O$22,MATCH(VLOOKUP($A98,main!$A$3:$H$102,8,FALSE),main!$K$18:$O$18,0))))),1,0)</f>
        <v>1</v>
      </c>
      <c r="BT98">
        <f>IF((AND(VLOOKUP(BT$1,main!$A$3:$H$102,5,FALSE)-VLOOKUP($A98,main!$A$3:$H$102,6,FALSE)&gt;=(VLOOKUP(VLOOKUP(BT$1,main!$A$3:$H$102,8,FALSE),main!$K$26:$M$29,2,FALSE)+VLOOKUP(VLOOKUP(BT$1,main!$A$3:$H$102,7,FALSE),main!$K$19:$O$22,MATCH(VLOOKUP($A98,main!$A$3:$H$102,8,FALSE),main!$K$18:$O$18,0))))),1,0)</f>
        <v>1</v>
      </c>
      <c r="BU98">
        <f>IF((AND(VLOOKUP(BU$1,main!$A$3:$H$102,5,FALSE)-VLOOKUP($A98,main!$A$3:$H$102,6,FALSE)&gt;=(VLOOKUP(VLOOKUP(BU$1,main!$A$3:$H$102,8,FALSE),main!$K$26:$M$29,2,FALSE)+VLOOKUP(VLOOKUP(BU$1,main!$A$3:$H$102,7,FALSE),main!$K$19:$O$22,MATCH(VLOOKUP($A98,main!$A$3:$H$102,8,FALSE),main!$K$18:$O$18,0))))),1,0)</f>
        <v>0</v>
      </c>
      <c r="BV98">
        <f>IF((AND(VLOOKUP(BV$1,main!$A$3:$H$102,5,FALSE)-VLOOKUP($A98,main!$A$3:$H$102,6,FALSE)&gt;=(VLOOKUP(VLOOKUP(BV$1,main!$A$3:$H$102,8,FALSE),main!$K$26:$M$29,2,FALSE)+VLOOKUP(VLOOKUP(BV$1,main!$A$3:$H$102,7,FALSE),main!$K$19:$O$22,MATCH(VLOOKUP($A98,main!$A$3:$H$102,8,FALSE),main!$K$18:$O$18,0))))),1,0)</f>
        <v>0</v>
      </c>
      <c r="BW98">
        <f>IF((AND(VLOOKUP(BW$1,main!$A$3:$H$102,5,FALSE)-VLOOKUP($A98,main!$A$3:$H$102,6,FALSE)&gt;=(VLOOKUP(VLOOKUP(BW$1,main!$A$3:$H$102,8,FALSE),main!$K$26:$M$29,2,FALSE)+VLOOKUP(VLOOKUP(BW$1,main!$A$3:$H$102,7,FALSE),main!$K$19:$O$22,MATCH(VLOOKUP($A98,main!$A$3:$H$102,8,FALSE),main!$K$18:$O$18,0))))),1,0)</f>
        <v>0</v>
      </c>
      <c r="BX98">
        <f>IF((AND(VLOOKUP(BX$1,main!$A$3:$H$102,5,FALSE)-VLOOKUP($A98,main!$A$3:$H$102,6,FALSE)&gt;=(VLOOKUP(VLOOKUP(BX$1,main!$A$3:$H$102,8,FALSE),main!$K$26:$M$29,2,FALSE)+VLOOKUP(VLOOKUP(BX$1,main!$A$3:$H$102,7,FALSE),main!$K$19:$O$22,MATCH(VLOOKUP($A98,main!$A$3:$H$102,8,FALSE),main!$K$18:$O$18,0))))),1,0)</f>
        <v>1</v>
      </c>
      <c r="BY98">
        <f>IF((AND(VLOOKUP(BY$1,main!$A$3:$H$102,5,FALSE)-VLOOKUP($A98,main!$A$3:$H$102,6,FALSE)&gt;=(VLOOKUP(VLOOKUP(BY$1,main!$A$3:$H$102,8,FALSE),main!$K$26:$M$29,2,FALSE)+VLOOKUP(VLOOKUP(BY$1,main!$A$3:$H$102,7,FALSE),main!$K$19:$O$22,MATCH(VLOOKUP($A98,main!$A$3:$H$102,8,FALSE),main!$K$18:$O$18,0))))),1,0)</f>
        <v>1</v>
      </c>
      <c r="BZ98">
        <f>IF((AND(VLOOKUP(BZ$1,main!$A$3:$H$102,5,FALSE)-VLOOKUP($A98,main!$A$3:$H$102,6,FALSE)&gt;=(VLOOKUP(VLOOKUP(BZ$1,main!$A$3:$H$102,8,FALSE),main!$K$26:$M$29,2,FALSE)+VLOOKUP(VLOOKUP(BZ$1,main!$A$3:$H$102,7,FALSE),main!$K$19:$O$22,MATCH(VLOOKUP($A98,main!$A$3:$H$102,8,FALSE),main!$K$18:$O$18,0))))),1,0)</f>
        <v>0</v>
      </c>
      <c r="CA98">
        <f>IF((AND(VLOOKUP(CA$1,main!$A$3:$H$102,5,FALSE)-VLOOKUP($A98,main!$A$3:$H$102,6,FALSE)&gt;=(VLOOKUP(VLOOKUP(CA$1,main!$A$3:$H$102,8,FALSE),main!$K$26:$M$29,2,FALSE)+VLOOKUP(VLOOKUP(CA$1,main!$A$3:$H$102,7,FALSE),main!$K$19:$O$22,MATCH(VLOOKUP($A98,main!$A$3:$H$102,8,FALSE),main!$K$18:$O$18,0))))),1,0)</f>
        <v>0</v>
      </c>
      <c r="CB98">
        <f>IF((AND(VLOOKUP(CB$1,main!$A$3:$H$102,5,FALSE)-VLOOKUP($A98,main!$A$3:$H$102,6,FALSE)&gt;=(VLOOKUP(VLOOKUP(CB$1,main!$A$3:$H$102,8,FALSE),main!$K$26:$M$29,2,FALSE)+VLOOKUP(VLOOKUP(CB$1,main!$A$3:$H$102,7,FALSE),main!$K$19:$O$22,MATCH(VLOOKUP($A98,main!$A$3:$H$102,8,FALSE),main!$K$18:$O$18,0))))),1,0)</f>
        <v>1</v>
      </c>
      <c r="CC98">
        <f>IF((AND(VLOOKUP(CC$1,main!$A$3:$H$102,5,FALSE)-VLOOKUP($A98,main!$A$3:$H$102,6,FALSE)&gt;=(VLOOKUP(VLOOKUP(CC$1,main!$A$3:$H$102,8,FALSE),main!$K$26:$M$29,2,FALSE)+VLOOKUP(VLOOKUP(CC$1,main!$A$3:$H$102,7,FALSE),main!$K$19:$O$22,MATCH(VLOOKUP($A98,main!$A$3:$H$102,8,FALSE),main!$K$18:$O$18,0))))),1,0)</f>
        <v>1</v>
      </c>
      <c r="CD98">
        <f>IF((AND(VLOOKUP(CD$1,main!$A$3:$H$102,5,FALSE)-VLOOKUP($A98,main!$A$3:$H$102,6,FALSE)&gt;=(VLOOKUP(VLOOKUP(CD$1,main!$A$3:$H$102,8,FALSE),main!$K$26:$M$29,2,FALSE)+VLOOKUP(VLOOKUP(CD$1,main!$A$3:$H$102,7,FALSE),main!$K$19:$O$22,MATCH(VLOOKUP($A98,main!$A$3:$H$102,8,FALSE),main!$K$18:$O$18,0))))),1,0)</f>
        <v>1</v>
      </c>
      <c r="CE98">
        <f>IF((AND(VLOOKUP(CE$1,main!$A$3:$H$102,5,FALSE)-VLOOKUP($A98,main!$A$3:$H$102,6,FALSE)&gt;=(VLOOKUP(VLOOKUP(CE$1,main!$A$3:$H$102,8,FALSE),main!$K$26:$M$29,2,FALSE)+VLOOKUP(VLOOKUP(CE$1,main!$A$3:$H$102,7,FALSE),main!$K$19:$O$22,MATCH(VLOOKUP($A98,main!$A$3:$H$102,8,FALSE),main!$K$18:$O$18,0))))),1,0)</f>
        <v>1</v>
      </c>
      <c r="CF98">
        <f>IF((AND(VLOOKUP(CF$1,main!$A$3:$H$102,5,FALSE)-VLOOKUP($A98,main!$A$3:$H$102,6,FALSE)&gt;=(VLOOKUP(VLOOKUP(CF$1,main!$A$3:$H$102,8,FALSE),main!$K$26:$M$29,2,FALSE)+VLOOKUP(VLOOKUP(CF$1,main!$A$3:$H$102,7,FALSE),main!$K$19:$O$22,MATCH(VLOOKUP($A98,main!$A$3:$H$102,8,FALSE),main!$K$18:$O$18,0))))),1,0)</f>
        <v>1</v>
      </c>
      <c r="CG98">
        <f>IF((AND(VLOOKUP(CG$1,main!$A$3:$H$102,5,FALSE)-VLOOKUP($A98,main!$A$3:$H$102,6,FALSE)&gt;=(VLOOKUP(VLOOKUP(CG$1,main!$A$3:$H$102,8,FALSE),main!$K$26:$M$29,2,FALSE)+VLOOKUP(VLOOKUP(CG$1,main!$A$3:$H$102,7,FALSE),main!$K$19:$O$22,MATCH(VLOOKUP($A98,main!$A$3:$H$102,8,FALSE),main!$K$18:$O$18,0))))),1,0)</f>
        <v>1</v>
      </c>
      <c r="CH98">
        <f>IF((AND(VLOOKUP(CH$1,main!$A$3:$H$102,5,FALSE)-VLOOKUP($A98,main!$A$3:$H$102,6,FALSE)&gt;=(VLOOKUP(VLOOKUP(CH$1,main!$A$3:$H$102,8,FALSE),main!$K$26:$M$29,2,FALSE)+VLOOKUP(VLOOKUP(CH$1,main!$A$3:$H$102,7,FALSE),main!$K$19:$O$22,MATCH(VLOOKUP($A98,main!$A$3:$H$102,8,FALSE),main!$K$18:$O$18,0))))),1,0)</f>
        <v>1</v>
      </c>
      <c r="CI98">
        <f>IF((AND(VLOOKUP(CI$1,main!$A$3:$H$102,5,FALSE)-VLOOKUP($A98,main!$A$3:$H$102,6,FALSE)&gt;=(VLOOKUP(VLOOKUP(CI$1,main!$A$3:$H$102,8,FALSE),main!$K$26:$M$29,2,FALSE)+VLOOKUP(VLOOKUP(CI$1,main!$A$3:$H$102,7,FALSE),main!$K$19:$O$22,MATCH(VLOOKUP($A98,main!$A$3:$H$102,8,FALSE),main!$K$18:$O$18,0))))),1,0)</f>
        <v>1</v>
      </c>
      <c r="CJ98">
        <f>IF((AND(VLOOKUP(CJ$1,main!$A$3:$H$102,5,FALSE)-VLOOKUP($A98,main!$A$3:$H$102,6,FALSE)&gt;=(VLOOKUP(VLOOKUP(CJ$1,main!$A$3:$H$102,8,FALSE),main!$K$26:$M$29,2,FALSE)+VLOOKUP(VLOOKUP(CJ$1,main!$A$3:$H$102,7,FALSE),main!$K$19:$O$22,MATCH(VLOOKUP($A98,main!$A$3:$H$102,8,FALSE),main!$K$18:$O$18,0))))),1,0)</f>
        <v>1</v>
      </c>
      <c r="CK98">
        <f>IF((AND(VLOOKUP(CK$1,main!$A$3:$H$102,5,FALSE)-VLOOKUP($A98,main!$A$3:$H$102,6,FALSE)&gt;=(VLOOKUP(VLOOKUP(CK$1,main!$A$3:$H$102,8,FALSE),main!$K$26:$M$29,2,FALSE)+VLOOKUP(VLOOKUP(CK$1,main!$A$3:$H$102,7,FALSE),main!$K$19:$O$22,MATCH(VLOOKUP($A98,main!$A$3:$H$102,8,FALSE),main!$K$18:$O$18,0))))),1,0)</f>
        <v>0</v>
      </c>
      <c r="CL98">
        <f>IF((AND(VLOOKUP(CL$1,main!$A$3:$H$102,5,FALSE)-VLOOKUP($A98,main!$A$3:$H$102,6,FALSE)&gt;=(VLOOKUP(VLOOKUP(CL$1,main!$A$3:$H$102,8,FALSE),main!$K$26:$M$29,2,FALSE)+VLOOKUP(VLOOKUP(CL$1,main!$A$3:$H$102,7,FALSE),main!$K$19:$O$22,MATCH(VLOOKUP($A98,main!$A$3:$H$102,8,FALSE),main!$K$18:$O$18,0))))),1,0)</f>
        <v>1</v>
      </c>
      <c r="CM98">
        <f>IF((AND(VLOOKUP(CM$1,main!$A$3:$H$102,5,FALSE)-VLOOKUP($A98,main!$A$3:$H$102,6,FALSE)&gt;=(VLOOKUP(VLOOKUP(CM$1,main!$A$3:$H$102,8,FALSE),main!$K$26:$M$29,2,FALSE)+VLOOKUP(VLOOKUP(CM$1,main!$A$3:$H$102,7,FALSE),main!$K$19:$O$22,MATCH(VLOOKUP($A98,main!$A$3:$H$102,8,FALSE),main!$K$18:$O$18,0))))),1,0)</f>
        <v>1</v>
      </c>
      <c r="CN98">
        <f>IF((AND(VLOOKUP(CN$1,main!$A$3:$H$102,5,FALSE)-VLOOKUP($A98,main!$A$3:$H$102,6,FALSE)&gt;=(VLOOKUP(VLOOKUP(CN$1,main!$A$3:$H$102,8,FALSE),main!$K$26:$M$29,2,FALSE)+VLOOKUP(VLOOKUP(CN$1,main!$A$3:$H$102,7,FALSE),main!$K$19:$O$22,MATCH(VLOOKUP($A98,main!$A$3:$H$102,8,FALSE),main!$K$18:$O$18,0))))),1,0)</f>
        <v>1</v>
      </c>
      <c r="CO98">
        <f>IF((AND(VLOOKUP(CO$1,main!$A$3:$H$102,5,FALSE)-VLOOKUP($A98,main!$A$3:$H$102,6,FALSE)&gt;=(VLOOKUP(VLOOKUP(CO$1,main!$A$3:$H$102,8,FALSE),main!$K$26:$M$29,2,FALSE)+VLOOKUP(VLOOKUP(CO$1,main!$A$3:$H$102,7,FALSE),main!$K$19:$O$22,MATCH(VLOOKUP($A98,main!$A$3:$H$102,8,FALSE),main!$K$18:$O$18,0))))),1,0)</f>
        <v>0</v>
      </c>
      <c r="CP98">
        <f>IF((AND(VLOOKUP(CP$1,main!$A$3:$H$102,5,FALSE)-VLOOKUP($A98,main!$A$3:$H$102,6,FALSE)&gt;=(VLOOKUP(VLOOKUP(CP$1,main!$A$3:$H$102,8,FALSE),main!$K$26:$M$29,2,FALSE)+VLOOKUP(VLOOKUP(CP$1,main!$A$3:$H$102,7,FALSE),main!$K$19:$O$22,MATCH(VLOOKUP($A98,main!$A$3:$H$102,8,FALSE),main!$K$18:$O$18,0))))),1,0)</f>
        <v>1</v>
      </c>
      <c r="CQ98">
        <f>IF((AND(VLOOKUP(CQ$1,main!$A$3:$H$102,5,FALSE)-VLOOKUP($A98,main!$A$3:$H$102,6,FALSE)&gt;=(VLOOKUP(VLOOKUP(CQ$1,main!$A$3:$H$102,8,FALSE),main!$K$26:$M$29,2,FALSE)+VLOOKUP(VLOOKUP(CQ$1,main!$A$3:$H$102,7,FALSE),main!$K$19:$O$22,MATCH(VLOOKUP($A98,main!$A$3:$H$102,8,FALSE),main!$K$18:$O$18,0))))),1,0)</f>
        <v>1</v>
      </c>
      <c r="CR98">
        <f>IF((AND(VLOOKUP(CR$1,main!$A$3:$H$102,5,FALSE)-VLOOKUP($A98,main!$A$3:$H$102,6,FALSE)&gt;=(VLOOKUP(VLOOKUP(CR$1,main!$A$3:$H$102,8,FALSE),main!$K$26:$M$29,2,FALSE)+VLOOKUP(VLOOKUP(CR$1,main!$A$3:$H$102,7,FALSE),main!$K$19:$O$22,MATCH(VLOOKUP($A98,main!$A$3:$H$102,8,FALSE),main!$K$18:$O$18,0))))),1,0)</f>
        <v>1</v>
      </c>
      <c r="CS98">
        <f>IF((AND(VLOOKUP(CS$1,main!$A$3:$H$102,5,FALSE)-VLOOKUP($A98,main!$A$3:$H$102,6,FALSE)&gt;=(VLOOKUP(VLOOKUP(CS$1,main!$A$3:$H$102,8,FALSE),main!$K$26:$M$29,2,FALSE)+VLOOKUP(VLOOKUP(CS$1,main!$A$3:$H$102,7,FALSE),main!$K$19:$O$22,MATCH(VLOOKUP($A98,main!$A$3:$H$102,8,FALSE),main!$K$18:$O$18,0))))),1,0)</f>
        <v>1</v>
      </c>
      <c r="CT98">
        <f>IF((AND(VLOOKUP(CT$1,main!$A$3:$H$102,5,FALSE)-VLOOKUP($A98,main!$A$3:$H$102,6,FALSE)&gt;=(VLOOKUP(VLOOKUP(CT$1,main!$A$3:$H$102,8,FALSE),main!$K$26:$M$29,2,FALSE)+VLOOKUP(VLOOKUP(CT$1,main!$A$3:$H$102,7,FALSE),main!$K$19:$O$22,MATCH(VLOOKUP($A98,main!$A$3:$H$102,8,FALSE),main!$K$18:$O$18,0))))),1,0)</f>
        <v>0</v>
      </c>
      <c r="CU98">
        <f>IF((AND(VLOOKUP(CU$1,main!$A$3:$H$102,5,FALSE)-VLOOKUP($A98,main!$A$3:$H$102,6,FALSE)&gt;=(VLOOKUP(VLOOKUP(CU$1,main!$A$3:$H$102,8,FALSE),main!$K$26:$M$29,2,FALSE)+VLOOKUP(VLOOKUP(CU$1,main!$A$3:$H$102,7,FALSE),main!$K$19:$O$22,MATCH(VLOOKUP($A98,main!$A$3:$H$102,8,FALSE),main!$K$18:$O$18,0))))),1,0)</f>
        <v>0</v>
      </c>
      <c r="CV98">
        <f>IF((AND(VLOOKUP(CV$1,main!$A$3:$H$102,5,FALSE)-VLOOKUP($A98,main!$A$3:$H$102,6,FALSE)&gt;=(VLOOKUP(VLOOKUP(CV$1,main!$A$3:$H$102,8,FALSE),main!$K$26:$M$29,2,FALSE)+VLOOKUP(VLOOKUP(CV$1,main!$A$3:$H$102,7,FALSE),main!$K$19:$O$22,MATCH(VLOOKUP($A98,main!$A$3:$H$102,8,FALSE),main!$K$18:$O$18,0))))),1,0)</f>
        <v>1</v>
      </c>
      <c r="CW98">
        <f>IF((AND(VLOOKUP(CW$1,main!$A$3:$H$102,5,FALSE)-VLOOKUP($A98,main!$A$3:$H$102,6,FALSE)&gt;=(VLOOKUP(VLOOKUP(CW$1,main!$A$3:$H$102,8,FALSE),main!$K$26:$M$29,2,FALSE)+VLOOKUP(VLOOKUP(CW$1,main!$A$3:$H$102,7,FALSE),main!$K$19:$O$22,MATCH(VLOOKUP($A98,main!$A$3:$H$102,8,FALSE),main!$K$18:$O$18,0))))),1,0)</f>
        <v>1</v>
      </c>
      <c r="CX98">
        <f>IF((AND(VLOOKUP(CX$1,main!$A$3:$H$102,5,FALSE)-VLOOKUP($A98,main!$A$3:$H$102,6,FALSE)&gt;=(VLOOKUP(VLOOKUP(CX$1,main!$A$3:$H$102,8,FALSE),main!$K$26:$M$29,2,FALSE)+VLOOKUP(VLOOKUP(CX$1,main!$A$3:$H$102,7,FALSE),main!$K$19:$O$22,MATCH(VLOOKUP($A98,main!$A$3:$H$102,8,FALSE),main!$K$18:$O$18,0))))),1,0)</f>
        <v>1</v>
      </c>
    </row>
    <row r="99" spans="1:102" x14ac:dyDescent="0.25">
      <c r="A99" s="1">
        <v>97</v>
      </c>
      <c r="B99">
        <v>1</v>
      </c>
      <c r="C99">
        <f>IF((AND(VLOOKUP(C$1,main!$A$3:$H$102,5,FALSE)-VLOOKUP($A99,main!$A$3:$H$102,6,FALSE)&gt;=(VLOOKUP(VLOOKUP(C$1,main!$A$3:$H$102,8,FALSE),main!$K$26:$M$29,2,FALSE)+VLOOKUP(VLOOKUP(C$1,main!$A$3:$H$102,7,FALSE),main!$K$19:$O$22,MATCH(VLOOKUP($A99,main!$A$3:$H$102,8,FALSE),main!$K$18:$O$18,0))))),1,0)</f>
        <v>0</v>
      </c>
      <c r="D99">
        <f>IF((AND(VLOOKUP(D$1,main!$A$3:$H$102,5,FALSE)-VLOOKUP($A99,main!$A$3:$H$102,6,FALSE)&gt;=(VLOOKUP(VLOOKUP(D$1,main!$A$3:$H$102,8,FALSE),main!$K$26:$M$29,2,FALSE)+VLOOKUP(VLOOKUP(D$1,main!$A$3:$H$102,7,FALSE),main!$K$19:$O$22,MATCH(VLOOKUP($A99,main!$A$3:$H$102,8,FALSE),main!$K$18:$O$18,0))))),1,0)</f>
        <v>0</v>
      </c>
      <c r="E99">
        <f>IF((AND(VLOOKUP(E$1,main!$A$3:$H$102,5,FALSE)-VLOOKUP($A99,main!$A$3:$H$102,6,FALSE)&gt;=(VLOOKUP(VLOOKUP(E$1,main!$A$3:$H$102,8,FALSE),main!$K$26:$M$29,2,FALSE)+VLOOKUP(VLOOKUP(E$1,main!$A$3:$H$102,7,FALSE),main!$K$19:$O$22,MATCH(VLOOKUP($A99,main!$A$3:$H$102,8,FALSE),main!$K$18:$O$18,0))))),1,0)</f>
        <v>1</v>
      </c>
      <c r="F99">
        <f>IF((AND(VLOOKUP(F$1,main!$A$3:$H$102,5,FALSE)-VLOOKUP($A99,main!$A$3:$H$102,6,FALSE)&gt;=(VLOOKUP(VLOOKUP(F$1,main!$A$3:$H$102,8,FALSE),main!$K$26:$M$29,2,FALSE)+VLOOKUP(VLOOKUP(F$1,main!$A$3:$H$102,7,FALSE),main!$K$19:$O$22,MATCH(VLOOKUP($A99,main!$A$3:$H$102,8,FALSE),main!$K$18:$O$18,0))))),1,0)</f>
        <v>1</v>
      </c>
      <c r="G99">
        <f>IF((AND(VLOOKUP(G$1,main!$A$3:$H$102,5,FALSE)-VLOOKUP($A99,main!$A$3:$H$102,6,FALSE)&gt;=(VLOOKUP(VLOOKUP(G$1,main!$A$3:$H$102,8,FALSE),main!$K$26:$M$29,2,FALSE)+VLOOKUP(VLOOKUP(G$1,main!$A$3:$H$102,7,FALSE),main!$K$19:$O$22,MATCH(VLOOKUP($A99,main!$A$3:$H$102,8,FALSE),main!$K$18:$O$18,0))))),1,0)</f>
        <v>1</v>
      </c>
      <c r="H99">
        <f>IF((AND(VLOOKUP(H$1,main!$A$3:$H$102,5,FALSE)-VLOOKUP($A99,main!$A$3:$H$102,6,FALSE)&gt;=(VLOOKUP(VLOOKUP(H$1,main!$A$3:$H$102,8,FALSE),main!$K$26:$M$29,2,FALSE)+VLOOKUP(VLOOKUP(H$1,main!$A$3:$H$102,7,FALSE),main!$K$19:$O$22,MATCH(VLOOKUP($A99,main!$A$3:$H$102,8,FALSE),main!$K$18:$O$18,0))))),1,0)</f>
        <v>1</v>
      </c>
      <c r="I99">
        <f>IF((AND(VLOOKUP(I$1,main!$A$3:$H$102,5,FALSE)-VLOOKUP($A99,main!$A$3:$H$102,6,FALSE)&gt;=(VLOOKUP(VLOOKUP(I$1,main!$A$3:$H$102,8,FALSE),main!$K$26:$M$29,2,FALSE)+VLOOKUP(VLOOKUP(I$1,main!$A$3:$H$102,7,FALSE),main!$K$19:$O$22,MATCH(VLOOKUP($A99,main!$A$3:$H$102,8,FALSE),main!$K$18:$O$18,0))))),1,0)</f>
        <v>1</v>
      </c>
      <c r="J99">
        <f>IF((AND(VLOOKUP(J$1,main!$A$3:$H$102,5,FALSE)-VLOOKUP($A99,main!$A$3:$H$102,6,FALSE)&gt;=(VLOOKUP(VLOOKUP(J$1,main!$A$3:$H$102,8,FALSE),main!$K$26:$M$29,2,FALSE)+VLOOKUP(VLOOKUP(J$1,main!$A$3:$H$102,7,FALSE),main!$K$19:$O$22,MATCH(VLOOKUP($A99,main!$A$3:$H$102,8,FALSE),main!$K$18:$O$18,0))))),1,0)</f>
        <v>1</v>
      </c>
      <c r="K99">
        <f>IF((AND(VLOOKUP(K$1,main!$A$3:$H$102,5,FALSE)-VLOOKUP($A99,main!$A$3:$H$102,6,FALSE)&gt;=(VLOOKUP(VLOOKUP(K$1,main!$A$3:$H$102,8,FALSE),main!$K$26:$M$29,2,FALSE)+VLOOKUP(VLOOKUP(K$1,main!$A$3:$H$102,7,FALSE),main!$K$19:$O$22,MATCH(VLOOKUP($A99,main!$A$3:$H$102,8,FALSE),main!$K$18:$O$18,0))))),1,0)</f>
        <v>1</v>
      </c>
      <c r="L99">
        <f>IF((AND(VLOOKUP(L$1,main!$A$3:$H$102,5,FALSE)-VLOOKUP($A99,main!$A$3:$H$102,6,FALSE)&gt;=(VLOOKUP(VLOOKUP(L$1,main!$A$3:$H$102,8,FALSE),main!$K$26:$M$29,2,FALSE)+VLOOKUP(VLOOKUP(L$1,main!$A$3:$H$102,7,FALSE),main!$K$19:$O$22,MATCH(VLOOKUP($A99,main!$A$3:$H$102,8,FALSE),main!$K$18:$O$18,0))))),1,0)</f>
        <v>1</v>
      </c>
      <c r="M99">
        <f>IF((AND(VLOOKUP(M$1,main!$A$3:$H$102,5,FALSE)-VLOOKUP($A99,main!$A$3:$H$102,6,FALSE)&gt;=(VLOOKUP(VLOOKUP(M$1,main!$A$3:$H$102,8,FALSE),main!$K$26:$M$29,2,FALSE)+VLOOKUP(VLOOKUP(M$1,main!$A$3:$H$102,7,FALSE),main!$K$19:$O$22,MATCH(VLOOKUP($A99,main!$A$3:$H$102,8,FALSE),main!$K$18:$O$18,0))))),1,0)</f>
        <v>0</v>
      </c>
      <c r="N99">
        <f>IF((AND(VLOOKUP(N$1,main!$A$3:$H$102,5,FALSE)-VLOOKUP($A99,main!$A$3:$H$102,6,FALSE)&gt;=(VLOOKUP(VLOOKUP(N$1,main!$A$3:$H$102,8,FALSE),main!$K$26:$M$29,2,FALSE)+VLOOKUP(VLOOKUP(N$1,main!$A$3:$H$102,7,FALSE),main!$K$19:$O$22,MATCH(VLOOKUP($A99,main!$A$3:$H$102,8,FALSE),main!$K$18:$O$18,0))))),1,0)</f>
        <v>0</v>
      </c>
      <c r="O99">
        <f>IF((AND(VLOOKUP(O$1,main!$A$3:$H$102,5,FALSE)-VLOOKUP($A99,main!$A$3:$H$102,6,FALSE)&gt;=(VLOOKUP(VLOOKUP(O$1,main!$A$3:$H$102,8,FALSE),main!$K$26:$M$29,2,FALSE)+VLOOKUP(VLOOKUP(O$1,main!$A$3:$H$102,7,FALSE),main!$K$19:$O$22,MATCH(VLOOKUP($A99,main!$A$3:$H$102,8,FALSE),main!$K$18:$O$18,0))))),1,0)</f>
        <v>0</v>
      </c>
      <c r="P99">
        <f>IF((AND(VLOOKUP(P$1,main!$A$3:$H$102,5,FALSE)-VLOOKUP($A99,main!$A$3:$H$102,6,FALSE)&gt;=(VLOOKUP(VLOOKUP(P$1,main!$A$3:$H$102,8,FALSE),main!$K$26:$M$29,2,FALSE)+VLOOKUP(VLOOKUP(P$1,main!$A$3:$H$102,7,FALSE),main!$K$19:$O$22,MATCH(VLOOKUP($A99,main!$A$3:$H$102,8,FALSE),main!$K$18:$O$18,0))))),1,0)</f>
        <v>0</v>
      </c>
      <c r="Q99">
        <f>IF((AND(VLOOKUP(Q$1,main!$A$3:$H$102,5,FALSE)-VLOOKUP($A99,main!$A$3:$H$102,6,FALSE)&gt;=(VLOOKUP(VLOOKUP(Q$1,main!$A$3:$H$102,8,FALSE),main!$K$26:$M$29,2,FALSE)+VLOOKUP(VLOOKUP(Q$1,main!$A$3:$H$102,7,FALSE),main!$K$19:$O$22,MATCH(VLOOKUP($A99,main!$A$3:$H$102,8,FALSE),main!$K$18:$O$18,0))))),1,0)</f>
        <v>1</v>
      </c>
      <c r="R99">
        <f>IF((AND(VLOOKUP(R$1,main!$A$3:$H$102,5,FALSE)-VLOOKUP($A99,main!$A$3:$H$102,6,FALSE)&gt;=(VLOOKUP(VLOOKUP(R$1,main!$A$3:$H$102,8,FALSE),main!$K$26:$M$29,2,FALSE)+VLOOKUP(VLOOKUP(R$1,main!$A$3:$H$102,7,FALSE),main!$K$19:$O$22,MATCH(VLOOKUP($A99,main!$A$3:$H$102,8,FALSE),main!$K$18:$O$18,0))))),1,0)</f>
        <v>1</v>
      </c>
      <c r="S99">
        <f>IF((AND(VLOOKUP(S$1,main!$A$3:$H$102,5,FALSE)-VLOOKUP($A99,main!$A$3:$H$102,6,FALSE)&gt;=(VLOOKUP(VLOOKUP(S$1,main!$A$3:$H$102,8,FALSE),main!$K$26:$M$29,2,FALSE)+VLOOKUP(VLOOKUP(S$1,main!$A$3:$H$102,7,FALSE),main!$K$19:$O$22,MATCH(VLOOKUP($A99,main!$A$3:$H$102,8,FALSE),main!$K$18:$O$18,0))))),1,0)</f>
        <v>1</v>
      </c>
      <c r="T99">
        <f>IF((AND(VLOOKUP(T$1,main!$A$3:$H$102,5,FALSE)-VLOOKUP($A99,main!$A$3:$H$102,6,FALSE)&gt;=(VLOOKUP(VLOOKUP(T$1,main!$A$3:$H$102,8,FALSE),main!$K$26:$M$29,2,FALSE)+VLOOKUP(VLOOKUP(T$1,main!$A$3:$H$102,7,FALSE),main!$K$19:$O$22,MATCH(VLOOKUP($A99,main!$A$3:$H$102,8,FALSE),main!$K$18:$O$18,0))))),1,0)</f>
        <v>1</v>
      </c>
      <c r="U99">
        <f>IF((AND(VLOOKUP(U$1,main!$A$3:$H$102,5,FALSE)-VLOOKUP($A99,main!$A$3:$H$102,6,FALSE)&gt;=(VLOOKUP(VLOOKUP(U$1,main!$A$3:$H$102,8,FALSE),main!$K$26:$M$29,2,FALSE)+VLOOKUP(VLOOKUP(U$1,main!$A$3:$H$102,7,FALSE),main!$K$19:$O$22,MATCH(VLOOKUP($A99,main!$A$3:$H$102,8,FALSE),main!$K$18:$O$18,0))))),1,0)</f>
        <v>1</v>
      </c>
      <c r="V99">
        <f>IF((AND(VLOOKUP(V$1,main!$A$3:$H$102,5,FALSE)-VLOOKUP($A99,main!$A$3:$H$102,6,FALSE)&gt;=(VLOOKUP(VLOOKUP(V$1,main!$A$3:$H$102,8,FALSE),main!$K$26:$M$29,2,FALSE)+VLOOKUP(VLOOKUP(V$1,main!$A$3:$H$102,7,FALSE),main!$K$19:$O$22,MATCH(VLOOKUP($A99,main!$A$3:$H$102,8,FALSE),main!$K$18:$O$18,0))))),1,0)</f>
        <v>1</v>
      </c>
      <c r="W99">
        <f>IF((AND(VLOOKUP(W$1,main!$A$3:$H$102,5,FALSE)-VLOOKUP($A99,main!$A$3:$H$102,6,FALSE)&gt;=(VLOOKUP(VLOOKUP(W$1,main!$A$3:$H$102,8,FALSE),main!$K$26:$M$29,2,FALSE)+VLOOKUP(VLOOKUP(W$1,main!$A$3:$H$102,7,FALSE),main!$K$19:$O$22,MATCH(VLOOKUP($A99,main!$A$3:$H$102,8,FALSE),main!$K$18:$O$18,0))))),1,0)</f>
        <v>0</v>
      </c>
      <c r="X99">
        <f>IF((AND(VLOOKUP(X$1,main!$A$3:$H$102,5,FALSE)-VLOOKUP($A99,main!$A$3:$H$102,6,FALSE)&gt;=(VLOOKUP(VLOOKUP(X$1,main!$A$3:$H$102,8,FALSE),main!$K$26:$M$29,2,FALSE)+VLOOKUP(VLOOKUP(X$1,main!$A$3:$H$102,7,FALSE),main!$K$19:$O$22,MATCH(VLOOKUP($A99,main!$A$3:$H$102,8,FALSE),main!$K$18:$O$18,0))))),1,0)</f>
        <v>0</v>
      </c>
      <c r="Y99">
        <f>IF((AND(VLOOKUP(Y$1,main!$A$3:$H$102,5,FALSE)-VLOOKUP($A99,main!$A$3:$H$102,6,FALSE)&gt;=(VLOOKUP(VLOOKUP(Y$1,main!$A$3:$H$102,8,FALSE),main!$K$26:$M$29,2,FALSE)+VLOOKUP(VLOOKUP(Y$1,main!$A$3:$H$102,7,FALSE),main!$K$19:$O$22,MATCH(VLOOKUP($A99,main!$A$3:$H$102,8,FALSE),main!$K$18:$O$18,0))))),1,0)</f>
        <v>1</v>
      </c>
      <c r="Z99">
        <f>IF((AND(VLOOKUP(Z$1,main!$A$3:$H$102,5,FALSE)-VLOOKUP($A99,main!$A$3:$H$102,6,FALSE)&gt;=(VLOOKUP(VLOOKUP(Z$1,main!$A$3:$H$102,8,FALSE),main!$K$26:$M$29,2,FALSE)+VLOOKUP(VLOOKUP(Z$1,main!$A$3:$H$102,7,FALSE),main!$K$19:$O$22,MATCH(VLOOKUP($A99,main!$A$3:$H$102,8,FALSE),main!$K$18:$O$18,0))))),1,0)</f>
        <v>1</v>
      </c>
      <c r="AA99">
        <f>IF((AND(VLOOKUP(AA$1,main!$A$3:$H$102,5,FALSE)-VLOOKUP($A99,main!$A$3:$H$102,6,FALSE)&gt;=(VLOOKUP(VLOOKUP(AA$1,main!$A$3:$H$102,8,FALSE),main!$K$26:$M$29,2,FALSE)+VLOOKUP(VLOOKUP(AA$1,main!$A$3:$H$102,7,FALSE),main!$K$19:$O$22,MATCH(VLOOKUP($A99,main!$A$3:$H$102,8,FALSE),main!$K$18:$O$18,0))))),1,0)</f>
        <v>1</v>
      </c>
      <c r="AB99">
        <f>IF((AND(VLOOKUP(AB$1,main!$A$3:$H$102,5,FALSE)-VLOOKUP($A99,main!$A$3:$H$102,6,FALSE)&gt;=(VLOOKUP(VLOOKUP(AB$1,main!$A$3:$H$102,8,FALSE),main!$K$26:$M$29,2,FALSE)+VLOOKUP(VLOOKUP(AB$1,main!$A$3:$H$102,7,FALSE),main!$K$19:$O$22,MATCH(VLOOKUP($A99,main!$A$3:$H$102,8,FALSE),main!$K$18:$O$18,0))))),1,0)</f>
        <v>0</v>
      </c>
      <c r="AC99">
        <f>IF((AND(VLOOKUP(AC$1,main!$A$3:$H$102,5,FALSE)-VLOOKUP($A99,main!$A$3:$H$102,6,FALSE)&gt;=(VLOOKUP(VLOOKUP(AC$1,main!$A$3:$H$102,8,FALSE),main!$K$26:$M$29,2,FALSE)+VLOOKUP(VLOOKUP(AC$1,main!$A$3:$H$102,7,FALSE),main!$K$19:$O$22,MATCH(VLOOKUP($A99,main!$A$3:$H$102,8,FALSE),main!$K$18:$O$18,0))))),1,0)</f>
        <v>0</v>
      </c>
      <c r="AD99">
        <f>IF((AND(VLOOKUP(AD$1,main!$A$3:$H$102,5,FALSE)-VLOOKUP($A99,main!$A$3:$H$102,6,FALSE)&gt;=(VLOOKUP(VLOOKUP(AD$1,main!$A$3:$H$102,8,FALSE),main!$K$26:$M$29,2,FALSE)+VLOOKUP(VLOOKUP(AD$1,main!$A$3:$H$102,7,FALSE),main!$K$19:$O$22,MATCH(VLOOKUP($A99,main!$A$3:$H$102,8,FALSE),main!$K$18:$O$18,0))))),1,0)</f>
        <v>1</v>
      </c>
      <c r="AE99">
        <f>IF((AND(VLOOKUP(AE$1,main!$A$3:$H$102,5,FALSE)-VLOOKUP($A99,main!$A$3:$H$102,6,FALSE)&gt;=(VLOOKUP(VLOOKUP(AE$1,main!$A$3:$H$102,8,FALSE),main!$K$26:$M$29,2,FALSE)+VLOOKUP(VLOOKUP(AE$1,main!$A$3:$H$102,7,FALSE),main!$K$19:$O$22,MATCH(VLOOKUP($A99,main!$A$3:$H$102,8,FALSE),main!$K$18:$O$18,0))))),1,0)</f>
        <v>1</v>
      </c>
      <c r="AF99">
        <f>IF((AND(VLOOKUP(AF$1,main!$A$3:$H$102,5,FALSE)-VLOOKUP($A99,main!$A$3:$H$102,6,FALSE)&gt;=(VLOOKUP(VLOOKUP(AF$1,main!$A$3:$H$102,8,FALSE),main!$K$26:$M$29,2,FALSE)+VLOOKUP(VLOOKUP(AF$1,main!$A$3:$H$102,7,FALSE),main!$K$19:$O$22,MATCH(VLOOKUP($A99,main!$A$3:$H$102,8,FALSE),main!$K$18:$O$18,0))))),1,0)</f>
        <v>1</v>
      </c>
      <c r="AG99">
        <f>IF((AND(VLOOKUP(AG$1,main!$A$3:$H$102,5,FALSE)-VLOOKUP($A99,main!$A$3:$H$102,6,FALSE)&gt;=(VLOOKUP(VLOOKUP(AG$1,main!$A$3:$H$102,8,FALSE),main!$K$26:$M$29,2,FALSE)+VLOOKUP(VLOOKUP(AG$1,main!$A$3:$H$102,7,FALSE),main!$K$19:$O$22,MATCH(VLOOKUP($A99,main!$A$3:$H$102,8,FALSE),main!$K$18:$O$18,0))))),1,0)</f>
        <v>0</v>
      </c>
      <c r="AH99">
        <f>IF((AND(VLOOKUP(AH$1,main!$A$3:$H$102,5,FALSE)-VLOOKUP($A99,main!$A$3:$H$102,6,FALSE)&gt;=(VLOOKUP(VLOOKUP(AH$1,main!$A$3:$H$102,8,FALSE),main!$K$26:$M$29,2,FALSE)+VLOOKUP(VLOOKUP(AH$1,main!$A$3:$H$102,7,FALSE),main!$K$19:$O$22,MATCH(VLOOKUP($A99,main!$A$3:$H$102,8,FALSE),main!$K$18:$O$18,0))))),1,0)</f>
        <v>0</v>
      </c>
      <c r="AI99">
        <f>IF((AND(VLOOKUP(AI$1,main!$A$3:$H$102,5,FALSE)-VLOOKUP($A99,main!$A$3:$H$102,6,FALSE)&gt;=(VLOOKUP(VLOOKUP(AI$1,main!$A$3:$H$102,8,FALSE),main!$K$26:$M$29,2,FALSE)+VLOOKUP(VLOOKUP(AI$1,main!$A$3:$H$102,7,FALSE),main!$K$19:$O$22,MATCH(VLOOKUP($A99,main!$A$3:$H$102,8,FALSE),main!$K$18:$O$18,0))))),1,0)</f>
        <v>1</v>
      </c>
      <c r="AJ99">
        <f>IF((AND(VLOOKUP(AJ$1,main!$A$3:$H$102,5,FALSE)-VLOOKUP($A99,main!$A$3:$H$102,6,FALSE)&gt;=(VLOOKUP(VLOOKUP(AJ$1,main!$A$3:$H$102,8,FALSE),main!$K$26:$M$29,2,FALSE)+VLOOKUP(VLOOKUP(AJ$1,main!$A$3:$H$102,7,FALSE),main!$K$19:$O$22,MATCH(VLOOKUP($A99,main!$A$3:$H$102,8,FALSE),main!$K$18:$O$18,0))))),1,0)</f>
        <v>1</v>
      </c>
      <c r="AK99">
        <f>IF((AND(VLOOKUP(AK$1,main!$A$3:$H$102,5,FALSE)-VLOOKUP($A99,main!$A$3:$H$102,6,FALSE)&gt;=(VLOOKUP(VLOOKUP(AK$1,main!$A$3:$H$102,8,FALSE),main!$K$26:$M$29,2,FALSE)+VLOOKUP(VLOOKUP(AK$1,main!$A$3:$H$102,7,FALSE),main!$K$19:$O$22,MATCH(VLOOKUP($A99,main!$A$3:$H$102,8,FALSE),main!$K$18:$O$18,0))))),1,0)</f>
        <v>1</v>
      </c>
      <c r="AL99">
        <f>IF((AND(VLOOKUP(AL$1,main!$A$3:$H$102,5,FALSE)-VLOOKUP($A99,main!$A$3:$H$102,6,FALSE)&gt;=(VLOOKUP(VLOOKUP(AL$1,main!$A$3:$H$102,8,FALSE),main!$K$26:$M$29,2,FALSE)+VLOOKUP(VLOOKUP(AL$1,main!$A$3:$H$102,7,FALSE),main!$K$19:$O$22,MATCH(VLOOKUP($A99,main!$A$3:$H$102,8,FALSE),main!$K$18:$O$18,0))))),1,0)</f>
        <v>1</v>
      </c>
      <c r="AM99">
        <f>IF((AND(VLOOKUP(AM$1,main!$A$3:$H$102,5,FALSE)-VLOOKUP($A99,main!$A$3:$H$102,6,FALSE)&gt;=(VLOOKUP(VLOOKUP(AM$1,main!$A$3:$H$102,8,FALSE),main!$K$26:$M$29,2,FALSE)+VLOOKUP(VLOOKUP(AM$1,main!$A$3:$H$102,7,FALSE),main!$K$19:$O$22,MATCH(VLOOKUP($A99,main!$A$3:$H$102,8,FALSE),main!$K$18:$O$18,0))))),1,0)</f>
        <v>1</v>
      </c>
      <c r="AN99">
        <f>IF((AND(VLOOKUP(AN$1,main!$A$3:$H$102,5,FALSE)-VLOOKUP($A99,main!$A$3:$H$102,6,FALSE)&gt;=(VLOOKUP(VLOOKUP(AN$1,main!$A$3:$H$102,8,FALSE),main!$K$26:$M$29,2,FALSE)+VLOOKUP(VLOOKUP(AN$1,main!$A$3:$H$102,7,FALSE),main!$K$19:$O$22,MATCH(VLOOKUP($A99,main!$A$3:$H$102,8,FALSE),main!$K$18:$O$18,0))))),1,0)</f>
        <v>1</v>
      </c>
      <c r="AO99">
        <f>IF((AND(VLOOKUP(AO$1,main!$A$3:$H$102,5,FALSE)-VLOOKUP($A99,main!$A$3:$H$102,6,FALSE)&gt;=(VLOOKUP(VLOOKUP(AO$1,main!$A$3:$H$102,8,FALSE),main!$K$26:$M$29,2,FALSE)+VLOOKUP(VLOOKUP(AO$1,main!$A$3:$H$102,7,FALSE),main!$K$19:$O$22,MATCH(VLOOKUP($A99,main!$A$3:$H$102,8,FALSE),main!$K$18:$O$18,0))))),1,0)</f>
        <v>0</v>
      </c>
      <c r="AP99">
        <f>IF((AND(VLOOKUP(AP$1,main!$A$3:$H$102,5,FALSE)-VLOOKUP($A99,main!$A$3:$H$102,6,FALSE)&gt;=(VLOOKUP(VLOOKUP(AP$1,main!$A$3:$H$102,8,FALSE),main!$K$26:$M$29,2,FALSE)+VLOOKUP(VLOOKUP(AP$1,main!$A$3:$H$102,7,FALSE),main!$K$19:$O$22,MATCH(VLOOKUP($A99,main!$A$3:$H$102,8,FALSE),main!$K$18:$O$18,0))))),1,0)</f>
        <v>1</v>
      </c>
      <c r="AQ99">
        <f>IF((AND(VLOOKUP(AQ$1,main!$A$3:$H$102,5,FALSE)-VLOOKUP($A99,main!$A$3:$H$102,6,FALSE)&gt;=(VLOOKUP(VLOOKUP(AQ$1,main!$A$3:$H$102,8,FALSE),main!$K$26:$M$29,2,FALSE)+VLOOKUP(VLOOKUP(AQ$1,main!$A$3:$H$102,7,FALSE),main!$K$19:$O$22,MATCH(VLOOKUP($A99,main!$A$3:$H$102,8,FALSE),main!$K$18:$O$18,0))))),1,0)</f>
        <v>0</v>
      </c>
      <c r="AR99">
        <f>IF((AND(VLOOKUP(AR$1,main!$A$3:$H$102,5,FALSE)-VLOOKUP($A99,main!$A$3:$H$102,6,FALSE)&gt;=(VLOOKUP(VLOOKUP(AR$1,main!$A$3:$H$102,8,FALSE),main!$K$26:$M$29,2,FALSE)+VLOOKUP(VLOOKUP(AR$1,main!$A$3:$H$102,7,FALSE),main!$K$19:$O$22,MATCH(VLOOKUP($A99,main!$A$3:$H$102,8,FALSE),main!$K$18:$O$18,0))))),1,0)</f>
        <v>0</v>
      </c>
      <c r="AS99">
        <f>IF((AND(VLOOKUP(AS$1,main!$A$3:$H$102,5,FALSE)-VLOOKUP($A99,main!$A$3:$H$102,6,FALSE)&gt;=(VLOOKUP(VLOOKUP(AS$1,main!$A$3:$H$102,8,FALSE),main!$K$26:$M$29,2,FALSE)+VLOOKUP(VLOOKUP(AS$1,main!$A$3:$H$102,7,FALSE),main!$K$19:$O$22,MATCH(VLOOKUP($A99,main!$A$3:$H$102,8,FALSE),main!$K$18:$O$18,0))))),1,0)</f>
        <v>1</v>
      </c>
      <c r="AT99">
        <f>IF((AND(VLOOKUP(AT$1,main!$A$3:$H$102,5,FALSE)-VLOOKUP($A99,main!$A$3:$H$102,6,FALSE)&gt;=(VLOOKUP(VLOOKUP(AT$1,main!$A$3:$H$102,8,FALSE),main!$K$26:$M$29,2,FALSE)+VLOOKUP(VLOOKUP(AT$1,main!$A$3:$H$102,7,FALSE),main!$K$19:$O$22,MATCH(VLOOKUP($A99,main!$A$3:$H$102,8,FALSE),main!$K$18:$O$18,0))))),1,0)</f>
        <v>1</v>
      </c>
      <c r="AU99">
        <f>IF((AND(VLOOKUP(AU$1,main!$A$3:$H$102,5,FALSE)-VLOOKUP($A99,main!$A$3:$H$102,6,FALSE)&gt;=(VLOOKUP(VLOOKUP(AU$1,main!$A$3:$H$102,8,FALSE),main!$K$26:$M$29,2,FALSE)+VLOOKUP(VLOOKUP(AU$1,main!$A$3:$H$102,7,FALSE),main!$K$19:$O$22,MATCH(VLOOKUP($A99,main!$A$3:$H$102,8,FALSE),main!$K$18:$O$18,0))))),1,0)</f>
        <v>0</v>
      </c>
      <c r="AV99">
        <f>IF((AND(VLOOKUP(AV$1,main!$A$3:$H$102,5,FALSE)-VLOOKUP($A99,main!$A$3:$H$102,6,FALSE)&gt;=(VLOOKUP(VLOOKUP(AV$1,main!$A$3:$H$102,8,FALSE),main!$K$26:$M$29,2,FALSE)+VLOOKUP(VLOOKUP(AV$1,main!$A$3:$H$102,7,FALSE),main!$K$19:$O$22,MATCH(VLOOKUP($A99,main!$A$3:$H$102,8,FALSE),main!$K$18:$O$18,0))))),1,0)</f>
        <v>0</v>
      </c>
      <c r="AW99">
        <f>IF((AND(VLOOKUP(AW$1,main!$A$3:$H$102,5,FALSE)-VLOOKUP($A99,main!$A$3:$H$102,6,FALSE)&gt;=(VLOOKUP(VLOOKUP(AW$1,main!$A$3:$H$102,8,FALSE),main!$K$26:$M$29,2,FALSE)+VLOOKUP(VLOOKUP(AW$1,main!$A$3:$H$102,7,FALSE),main!$K$19:$O$22,MATCH(VLOOKUP($A99,main!$A$3:$H$102,8,FALSE),main!$K$18:$O$18,0))))),1,0)</f>
        <v>1</v>
      </c>
      <c r="AX99">
        <f>IF((AND(VLOOKUP(AX$1,main!$A$3:$H$102,5,FALSE)-VLOOKUP($A99,main!$A$3:$H$102,6,FALSE)&gt;=(VLOOKUP(VLOOKUP(AX$1,main!$A$3:$H$102,8,FALSE),main!$K$26:$M$29,2,FALSE)+VLOOKUP(VLOOKUP(AX$1,main!$A$3:$H$102,7,FALSE),main!$K$19:$O$22,MATCH(VLOOKUP($A99,main!$A$3:$H$102,8,FALSE),main!$K$18:$O$18,0))))),1,0)</f>
        <v>1</v>
      </c>
      <c r="AY99">
        <f>IF((AND(VLOOKUP(AY$1,main!$A$3:$H$102,5,FALSE)-VLOOKUP($A99,main!$A$3:$H$102,6,FALSE)&gt;=(VLOOKUP(VLOOKUP(AY$1,main!$A$3:$H$102,8,FALSE),main!$K$26:$M$29,2,FALSE)+VLOOKUP(VLOOKUP(AY$1,main!$A$3:$H$102,7,FALSE),main!$K$19:$O$22,MATCH(VLOOKUP($A99,main!$A$3:$H$102,8,FALSE),main!$K$18:$O$18,0))))),1,0)</f>
        <v>0</v>
      </c>
      <c r="AZ99">
        <f>IF((AND(VLOOKUP(AZ$1,main!$A$3:$H$102,5,FALSE)-VLOOKUP($A99,main!$A$3:$H$102,6,FALSE)&gt;=(VLOOKUP(VLOOKUP(AZ$1,main!$A$3:$H$102,8,FALSE),main!$K$26:$M$29,2,FALSE)+VLOOKUP(VLOOKUP(AZ$1,main!$A$3:$H$102,7,FALSE),main!$K$19:$O$22,MATCH(VLOOKUP($A99,main!$A$3:$H$102,8,FALSE),main!$K$18:$O$18,0))))),1,0)</f>
        <v>1</v>
      </c>
      <c r="BA99">
        <f>IF((AND(VLOOKUP(BA$1,main!$A$3:$H$102,5,FALSE)-VLOOKUP($A99,main!$A$3:$H$102,6,FALSE)&gt;=(VLOOKUP(VLOOKUP(BA$1,main!$A$3:$H$102,8,FALSE),main!$K$26:$M$29,2,FALSE)+VLOOKUP(VLOOKUP(BA$1,main!$A$3:$H$102,7,FALSE),main!$K$19:$O$22,MATCH(VLOOKUP($A99,main!$A$3:$H$102,8,FALSE),main!$K$18:$O$18,0))))),1,0)</f>
        <v>0</v>
      </c>
      <c r="BB99">
        <f>IF((AND(VLOOKUP(BB$1,main!$A$3:$H$102,5,FALSE)-VLOOKUP($A99,main!$A$3:$H$102,6,FALSE)&gt;=(VLOOKUP(VLOOKUP(BB$1,main!$A$3:$H$102,8,FALSE),main!$K$26:$M$29,2,FALSE)+VLOOKUP(VLOOKUP(BB$1,main!$A$3:$H$102,7,FALSE),main!$K$19:$O$22,MATCH(VLOOKUP($A99,main!$A$3:$H$102,8,FALSE),main!$K$18:$O$18,0))))),1,0)</f>
        <v>1</v>
      </c>
      <c r="BC99">
        <f>IF((AND(VLOOKUP(BC$1,main!$A$3:$H$102,5,FALSE)-VLOOKUP($A99,main!$A$3:$H$102,6,FALSE)&gt;=(VLOOKUP(VLOOKUP(BC$1,main!$A$3:$H$102,8,FALSE),main!$K$26:$M$29,2,FALSE)+VLOOKUP(VLOOKUP(BC$1,main!$A$3:$H$102,7,FALSE),main!$K$19:$O$22,MATCH(VLOOKUP($A99,main!$A$3:$H$102,8,FALSE),main!$K$18:$O$18,0))))),1,0)</f>
        <v>1</v>
      </c>
      <c r="BD99">
        <f>IF((AND(VLOOKUP(BD$1,main!$A$3:$H$102,5,FALSE)-VLOOKUP($A99,main!$A$3:$H$102,6,FALSE)&gt;=(VLOOKUP(VLOOKUP(BD$1,main!$A$3:$H$102,8,FALSE),main!$K$26:$M$29,2,FALSE)+VLOOKUP(VLOOKUP(BD$1,main!$A$3:$H$102,7,FALSE),main!$K$19:$O$22,MATCH(VLOOKUP($A99,main!$A$3:$H$102,8,FALSE),main!$K$18:$O$18,0))))),1,0)</f>
        <v>1</v>
      </c>
      <c r="BE99">
        <f>IF((AND(VLOOKUP(BE$1,main!$A$3:$H$102,5,FALSE)-VLOOKUP($A99,main!$A$3:$H$102,6,FALSE)&gt;=(VLOOKUP(VLOOKUP(BE$1,main!$A$3:$H$102,8,FALSE),main!$K$26:$M$29,2,FALSE)+VLOOKUP(VLOOKUP(BE$1,main!$A$3:$H$102,7,FALSE),main!$K$19:$O$22,MATCH(VLOOKUP($A99,main!$A$3:$H$102,8,FALSE),main!$K$18:$O$18,0))))),1,0)</f>
        <v>1</v>
      </c>
      <c r="BF99">
        <f>IF((AND(VLOOKUP(BF$1,main!$A$3:$H$102,5,FALSE)-VLOOKUP($A99,main!$A$3:$H$102,6,FALSE)&gt;=(VLOOKUP(VLOOKUP(BF$1,main!$A$3:$H$102,8,FALSE),main!$K$26:$M$29,2,FALSE)+VLOOKUP(VLOOKUP(BF$1,main!$A$3:$H$102,7,FALSE),main!$K$19:$O$22,MATCH(VLOOKUP($A99,main!$A$3:$H$102,8,FALSE),main!$K$18:$O$18,0))))),1,0)</f>
        <v>0</v>
      </c>
      <c r="BG99">
        <f>IF((AND(VLOOKUP(BG$1,main!$A$3:$H$102,5,FALSE)-VLOOKUP($A99,main!$A$3:$H$102,6,FALSE)&gt;=(VLOOKUP(VLOOKUP(BG$1,main!$A$3:$H$102,8,FALSE),main!$K$26:$M$29,2,FALSE)+VLOOKUP(VLOOKUP(BG$1,main!$A$3:$H$102,7,FALSE),main!$K$19:$O$22,MATCH(VLOOKUP($A99,main!$A$3:$H$102,8,FALSE),main!$K$18:$O$18,0))))),1,0)</f>
        <v>0</v>
      </c>
      <c r="BH99">
        <f>IF((AND(VLOOKUP(BH$1,main!$A$3:$H$102,5,FALSE)-VLOOKUP($A99,main!$A$3:$H$102,6,FALSE)&gt;=(VLOOKUP(VLOOKUP(BH$1,main!$A$3:$H$102,8,FALSE),main!$K$26:$M$29,2,FALSE)+VLOOKUP(VLOOKUP(BH$1,main!$A$3:$H$102,7,FALSE),main!$K$19:$O$22,MATCH(VLOOKUP($A99,main!$A$3:$H$102,8,FALSE),main!$K$18:$O$18,0))))),1,0)</f>
        <v>1</v>
      </c>
      <c r="BI99">
        <f>IF((AND(VLOOKUP(BI$1,main!$A$3:$H$102,5,FALSE)-VLOOKUP($A99,main!$A$3:$H$102,6,FALSE)&gt;=(VLOOKUP(VLOOKUP(BI$1,main!$A$3:$H$102,8,FALSE),main!$K$26:$M$29,2,FALSE)+VLOOKUP(VLOOKUP(BI$1,main!$A$3:$H$102,7,FALSE),main!$K$19:$O$22,MATCH(VLOOKUP($A99,main!$A$3:$H$102,8,FALSE),main!$K$18:$O$18,0))))),1,0)</f>
        <v>1</v>
      </c>
      <c r="BJ99">
        <f>IF((AND(VLOOKUP(BJ$1,main!$A$3:$H$102,5,FALSE)-VLOOKUP($A99,main!$A$3:$H$102,6,FALSE)&gt;=(VLOOKUP(VLOOKUP(BJ$1,main!$A$3:$H$102,8,FALSE),main!$K$26:$M$29,2,FALSE)+VLOOKUP(VLOOKUP(BJ$1,main!$A$3:$H$102,7,FALSE),main!$K$19:$O$22,MATCH(VLOOKUP($A99,main!$A$3:$H$102,8,FALSE),main!$K$18:$O$18,0))))),1,0)</f>
        <v>1</v>
      </c>
      <c r="BK99">
        <f>IF((AND(VLOOKUP(BK$1,main!$A$3:$H$102,5,FALSE)-VLOOKUP($A99,main!$A$3:$H$102,6,FALSE)&gt;=(VLOOKUP(VLOOKUP(BK$1,main!$A$3:$H$102,8,FALSE),main!$K$26:$M$29,2,FALSE)+VLOOKUP(VLOOKUP(BK$1,main!$A$3:$H$102,7,FALSE),main!$K$19:$O$22,MATCH(VLOOKUP($A99,main!$A$3:$H$102,8,FALSE),main!$K$18:$O$18,0))))),1,0)</f>
        <v>0</v>
      </c>
      <c r="BL99">
        <f>IF((AND(VLOOKUP(BL$1,main!$A$3:$H$102,5,FALSE)-VLOOKUP($A99,main!$A$3:$H$102,6,FALSE)&gt;=(VLOOKUP(VLOOKUP(BL$1,main!$A$3:$H$102,8,FALSE),main!$K$26:$M$29,2,FALSE)+VLOOKUP(VLOOKUP(BL$1,main!$A$3:$H$102,7,FALSE),main!$K$19:$O$22,MATCH(VLOOKUP($A99,main!$A$3:$H$102,8,FALSE),main!$K$18:$O$18,0))))),1,0)</f>
        <v>0</v>
      </c>
      <c r="BM99">
        <f>IF((AND(VLOOKUP(BM$1,main!$A$3:$H$102,5,FALSE)-VLOOKUP($A99,main!$A$3:$H$102,6,FALSE)&gt;=(VLOOKUP(VLOOKUP(BM$1,main!$A$3:$H$102,8,FALSE),main!$K$26:$M$29,2,FALSE)+VLOOKUP(VLOOKUP(BM$1,main!$A$3:$H$102,7,FALSE),main!$K$19:$O$22,MATCH(VLOOKUP($A99,main!$A$3:$H$102,8,FALSE),main!$K$18:$O$18,0))))),1,0)</f>
        <v>0</v>
      </c>
      <c r="BN99">
        <f>IF((AND(VLOOKUP(BN$1,main!$A$3:$H$102,5,FALSE)-VLOOKUP($A99,main!$A$3:$H$102,6,FALSE)&gt;=(VLOOKUP(VLOOKUP(BN$1,main!$A$3:$H$102,8,FALSE),main!$K$26:$M$29,2,FALSE)+VLOOKUP(VLOOKUP(BN$1,main!$A$3:$H$102,7,FALSE),main!$K$19:$O$22,MATCH(VLOOKUP($A99,main!$A$3:$H$102,8,FALSE),main!$K$18:$O$18,0))))),1,0)</f>
        <v>1</v>
      </c>
      <c r="BO99">
        <f>IF((AND(VLOOKUP(BO$1,main!$A$3:$H$102,5,FALSE)-VLOOKUP($A99,main!$A$3:$H$102,6,FALSE)&gt;=(VLOOKUP(VLOOKUP(BO$1,main!$A$3:$H$102,8,FALSE),main!$K$26:$M$29,2,FALSE)+VLOOKUP(VLOOKUP(BO$1,main!$A$3:$H$102,7,FALSE),main!$K$19:$O$22,MATCH(VLOOKUP($A99,main!$A$3:$H$102,8,FALSE),main!$K$18:$O$18,0))))),1,0)</f>
        <v>0</v>
      </c>
      <c r="BP99">
        <f>IF((AND(VLOOKUP(BP$1,main!$A$3:$H$102,5,FALSE)-VLOOKUP($A99,main!$A$3:$H$102,6,FALSE)&gt;=(VLOOKUP(VLOOKUP(BP$1,main!$A$3:$H$102,8,FALSE),main!$K$26:$M$29,2,FALSE)+VLOOKUP(VLOOKUP(BP$1,main!$A$3:$H$102,7,FALSE),main!$K$19:$O$22,MATCH(VLOOKUP($A99,main!$A$3:$H$102,8,FALSE),main!$K$18:$O$18,0))))),1,0)</f>
        <v>0</v>
      </c>
      <c r="BQ99">
        <f>IF((AND(VLOOKUP(BQ$1,main!$A$3:$H$102,5,FALSE)-VLOOKUP($A99,main!$A$3:$H$102,6,FALSE)&gt;=(VLOOKUP(VLOOKUP(BQ$1,main!$A$3:$H$102,8,FALSE),main!$K$26:$M$29,2,FALSE)+VLOOKUP(VLOOKUP(BQ$1,main!$A$3:$H$102,7,FALSE),main!$K$19:$O$22,MATCH(VLOOKUP($A99,main!$A$3:$H$102,8,FALSE),main!$K$18:$O$18,0))))),1,0)</f>
        <v>1</v>
      </c>
      <c r="BR99">
        <f>IF((AND(VLOOKUP(BR$1,main!$A$3:$H$102,5,FALSE)-VLOOKUP($A99,main!$A$3:$H$102,6,FALSE)&gt;=(VLOOKUP(VLOOKUP(BR$1,main!$A$3:$H$102,8,FALSE),main!$K$26:$M$29,2,FALSE)+VLOOKUP(VLOOKUP(BR$1,main!$A$3:$H$102,7,FALSE),main!$K$19:$O$22,MATCH(VLOOKUP($A99,main!$A$3:$H$102,8,FALSE),main!$K$18:$O$18,0))))),1,0)</f>
        <v>1</v>
      </c>
      <c r="BS99">
        <f>IF((AND(VLOOKUP(BS$1,main!$A$3:$H$102,5,FALSE)-VLOOKUP($A99,main!$A$3:$H$102,6,FALSE)&gt;=(VLOOKUP(VLOOKUP(BS$1,main!$A$3:$H$102,8,FALSE),main!$K$26:$M$29,2,FALSE)+VLOOKUP(VLOOKUP(BS$1,main!$A$3:$H$102,7,FALSE),main!$K$19:$O$22,MATCH(VLOOKUP($A99,main!$A$3:$H$102,8,FALSE),main!$K$18:$O$18,0))))),1,0)</f>
        <v>1</v>
      </c>
      <c r="BT99">
        <f>IF((AND(VLOOKUP(BT$1,main!$A$3:$H$102,5,FALSE)-VLOOKUP($A99,main!$A$3:$H$102,6,FALSE)&gt;=(VLOOKUP(VLOOKUP(BT$1,main!$A$3:$H$102,8,FALSE),main!$K$26:$M$29,2,FALSE)+VLOOKUP(VLOOKUP(BT$1,main!$A$3:$H$102,7,FALSE),main!$K$19:$O$22,MATCH(VLOOKUP($A99,main!$A$3:$H$102,8,FALSE),main!$K$18:$O$18,0))))),1,0)</f>
        <v>1</v>
      </c>
      <c r="BU99">
        <f>IF((AND(VLOOKUP(BU$1,main!$A$3:$H$102,5,FALSE)-VLOOKUP($A99,main!$A$3:$H$102,6,FALSE)&gt;=(VLOOKUP(VLOOKUP(BU$1,main!$A$3:$H$102,8,FALSE),main!$K$26:$M$29,2,FALSE)+VLOOKUP(VLOOKUP(BU$1,main!$A$3:$H$102,7,FALSE),main!$K$19:$O$22,MATCH(VLOOKUP($A99,main!$A$3:$H$102,8,FALSE),main!$K$18:$O$18,0))))),1,0)</f>
        <v>0</v>
      </c>
      <c r="BV99">
        <f>IF((AND(VLOOKUP(BV$1,main!$A$3:$H$102,5,FALSE)-VLOOKUP($A99,main!$A$3:$H$102,6,FALSE)&gt;=(VLOOKUP(VLOOKUP(BV$1,main!$A$3:$H$102,8,FALSE),main!$K$26:$M$29,2,FALSE)+VLOOKUP(VLOOKUP(BV$1,main!$A$3:$H$102,7,FALSE),main!$K$19:$O$22,MATCH(VLOOKUP($A99,main!$A$3:$H$102,8,FALSE),main!$K$18:$O$18,0))))),1,0)</f>
        <v>0</v>
      </c>
      <c r="BW99">
        <f>IF((AND(VLOOKUP(BW$1,main!$A$3:$H$102,5,FALSE)-VLOOKUP($A99,main!$A$3:$H$102,6,FALSE)&gt;=(VLOOKUP(VLOOKUP(BW$1,main!$A$3:$H$102,8,FALSE),main!$K$26:$M$29,2,FALSE)+VLOOKUP(VLOOKUP(BW$1,main!$A$3:$H$102,7,FALSE),main!$K$19:$O$22,MATCH(VLOOKUP($A99,main!$A$3:$H$102,8,FALSE),main!$K$18:$O$18,0))))),1,0)</f>
        <v>0</v>
      </c>
      <c r="BX99">
        <f>IF((AND(VLOOKUP(BX$1,main!$A$3:$H$102,5,FALSE)-VLOOKUP($A99,main!$A$3:$H$102,6,FALSE)&gt;=(VLOOKUP(VLOOKUP(BX$1,main!$A$3:$H$102,8,FALSE),main!$K$26:$M$29,2,FALSE)+VLOOKUP(VLOOKUP(BX$1,main!$A$3:$H$102,7,FALSE),main!$K$19:$O$22,MATCH(VLOOKUP($A99,main!$A$3:$H$102,8,FALSE),main!$K$18:$O$18,0))))),1,0)</f>
        <v>1</v>
      </c>
      <c r="BY99">
        <f>IF((AND(VLOOKUP(BY$1,main!$A$3:$H$102,5,FALSE)-VLOOKUP($A99,main!$A$3:$H$102,6,FALSE)&gt;=(VLOOKUP(VLOOKUP(BY$1,main!$A$3:$H$102,8,FALSE),main!$K$26:$M$29,2,FALSE)+VLOOKUP(VLOOKUP(BY$1,main!$A$3:$H$102,7,FALSE),main!$K$19:$O$22,MATCH(VLOOKUP($A99,main!$A$3:$H$102,8,FALSE),main!$K$18:$O$18,0))))),1,0)</f>
        <v>1</v>
      </c>
      <c r="BZ99">
        <f>IF((AND(VLOOKUP(BZ$1,main!$A$3:$H$102,5,FALSE)-VLOOKUP($A99,main!$A$3:$H$102,6,FALSE)&gt;=(VLOOKUP(VLOOKUP(BZ$1,main!$A$3:$H$102,8,FALSE),main!$K$26:$M$29,2,FALSE)+VLOOKUP(VLOOKUP(BZ$1,main!$A$3:$H$102,7,FALSE),main!$K$19:$O$22,MATCH(VLOOKUP($A99,main!$A$3:$H$102,8,FALSE),main!$K$18:$O$18,0))))),1,0)</f>
        <v>0</v>
      </c>
      <c r="CA99">
        <f>IF((AND(VLOOKUP(CA$1,main!$A$3:$H$102,5,FALSE)-VLOOKUP($A99,main!$A$3:$H$102,6,FALSE)&gt;=(VLOOKUP(VLOOKUP(CA$1,main!$A$3:$H$102,8,FALSE),main!$K$26:$M$29,2,FALSE)+VLOOKUP(VLOOKUP(CA$1,main!$A$3:$H$102,7,FALSE),main!$K$19:$O$22,MATCH(VLOOKUP($A99,main!$A$3:$H$102,8,FALSE),main!$K$18:$O$18,0))))),1,0)</f>
        <v>0</v>
      </c>
      <c r="CB99">
        <f>IF((AND(VLOOKUP(CB$1,main!$A$3:$H$102,5,FALSE)-VLOOKUP($A99,main!$A$3:$H$102,6,FALSE)&gt;=(VLOOKUP(VLOOKUP(CB$1,main!$A$3:$H$102,8,FALSE),main!$K$26:$M$29,2,FALSE)+VLOOKUP(VLOOKUP(CB$1,main!$A$3:$H$102,7,FALSE),main!$K$19:$O$22,MATCH(VLOOKUP($A99,main!$A$3:$H$102,8,FALSE),main!$K$18:$O$18,0))))),1,0)</f>
        <v>1</v>
      </c>
      <c r="CC99">
        <f>IF((AND(VLOOKUP(CC$1,main!$A$3:$H$102,5,FALSE)-VLOOKUP($A99,main!$A$3:$H$102,6,FALSE)&gt;=(VLOOKUP(VLOOKUP(CC$1,main!$A$3:$H$102,8,FALSE),main!$K$26:$M$29,2,FALSE)+VLOOKUP(VLOOKUP(CC$1,main!$A$3:$H$102,7,FALSE),main!$K$19:$O$22,MATCH(VLOOKUP($A99,main!$A$3:$H$102,8,FALSE),main!$K$18:$O$18,0))))),1,0)</f>
        <v>1</v>
      </c>
      <c r="CD99">
        <f>IF((AND(VLOOKUP(CD$1,main!$A$3:$H$102,5,FALSE)-VLOOKUP($A99,main!$A$3:$H$102,6,FALSE)&gt;=(VLOOKUP(VLOOKUP(CD$1,main!$A$3:$H$102,8,FALSE),main!$K$26:$M$29,2,FALSE)+VLOOKUP(VLOOKUP(CD$1,main!$A$3:$H$102,7,FALSE),main!$K$19:$O$22,MATCH(VLOOKUP($A99,main!$A$3:$H$102,8,FALSE),main!$K$18:$O$18,0))))),1,0)</f>
        <v>1</v>
      </c>
      <c r="CE99">
        <f>IF((AND(VLOOKUP(CE$1,main!$A$3:$H$102,5,FALSE)-VLOOKUP($A99,main!$A$3:$H$102,6,FALSE)&gt;=(VLOOKUP(VLOOKUP(CE$1,main!$A$3:$H$102,8,FALSE),main!$K$26:$M$29,2,FALSE)+VLOOKUP(VLOOKUP(CE$1,main!$A$3:$H$102,7,FALSE),main!$K$19:$O$22,MATCH(VLOOKUP($A99,main!$A$3:$H$102,8,FALSE),main!$K$18:$O$18,0))))),1,0)</f>
        <v>1</v>
      </c>
      <c r="CF99">
        <f>IF((AND(VLOOKUP(CF$1,main!$A$3:$H$102,5,FALSE)-VLOOKUP($A99,main!$A$3:$H$102,6,FALSE)&gt;=(VLOOKUP(VLOOKUP(CF$1,main!$A$3:$H$102,8,FALSE),main!$K$26:$M$29,2,FALSE)+VLOOKUP(VLOOKUP(CF$1,main!$A$3:$H$102,7,FALSE),main!$K$19:$O$22,MATCH(VLOOKUP($A99,main!$A$3:$H$102,8,FALSE),main!$K$18:$O$18,0))))),1,0)</f>
        <v>1</v>
      </c>
      <c r="CG99">
        <f>IF((AND(VLOOKUP(CG$1,main!$A$3:$H$102,5,FALSE)-VLOOKUP($A99,main!$A$3:$H$102,6,FALSE)&gt;=(VLOOKUP(VLOOKUP(CG$1,main!$A$3:$H$102,8,FALSE),main!$K$26:$M$29,2,FALSE)+VLOOKUP(VLOOKUP(CG$1,main!$A$3:$H$102,7,FALSE),main!$K$19:$O$22,MATCH(VLOOKUP($A99,main!$A$3:$H$102,8,FALSE),main!$K$18:$O$18,0))))),1,0)</f>
        <v>1</v>
      </c>
      <c r="CH99">
        <f>IF((AND(VLOOKUP(CH$1,main!$A$3:$H$102,5,FALSE)-VLOOKUP($A99,main!$A$3:$H$102,6,FALSE)&gt;=(VLOOKUP(VLOOKUP(CH$1,main!$A$3:$H$102,8,FALSE),main!$K$26:$M$29,2,FALSE)+VLOOKUP(VLOOKUP(CH$1,main!$A$3:$H$102,7,FALSE),main!$K$19:$O$22,MATCH(VLOOKUP($A99,main!$A$3:$H$102,8,FALSE),main!$K$18:$O$18,0))))),1,0)</f>
        <v>1</v>
      </c>
      <c r="CI99">
        <f>IF((AND(VLOOKUP(CI$1,main!$A$3:$H$102,5,FALSE)-VLOOKUP($A99,main!$A$3:$H$102,6,FALSE)&gt;=(VLOOKUP(VLOOKUP(CI$1,main!$A$3:$H$102,8,FALSE),main!$K$26:$M$29,2,FALSE)+VLOOKUP(VLOOKUP(CI$1,main!$A$3:$H$102,7,FALSE),main!$K$19:$O$22,MATCH(VLOOKUP($A99,main!$A$3:$H$102,8,FALSE),main!$K$18:$O$18,0))))),1,0)</f>
        <v>1</v>
      </c>
      <c r="CJ99">
        <f>IF((AND(VLOOKUP(CJ$1,main!$A$3:$H$102,5,FALSE)-VLOOKUP($A99,main!$A$3:$H$102,6,FALSE)&gt;=(VLOOKUP(VLOOKUP(CJ$1,main!$A$3:$H$102,8,FALSE),main!$K$26:$M$29,2,FALSE)+VLOOKUP(VLOOKUP(CJ$1,main!$A$3:$H$102,7,FALSE),main!$K$19:$O$22,MATCH(VLOOKUP($A99,main!$A$3:$H$102,8,FALSE),main!$K$18:$O$18,0))))),1,0)</f>
        <v>1</v>
      </c>
      <c r="CK99">
        <f>IF((AND(VLOOKUP(CK$1,main!$A$3:$H$102,5,FALSE)-VLOOKUP($A99,main!$A$3:$H$102,6,FALSE)&gt;=(VLOOKUP(VLOOKUP(CK$1,main!$A$3:$H$102,8,FALSE),main!$K$26:$M$29,2,FALSE)+VLOOKUP(VLOOKUP(CK$1,main!$A$3:$H$102,7,FALSE),main!$K$19:$O$22,MATCH(VLOOKUP($A99,main!$A$3:$H$102,8,FALSE),main!$K$18:$O$18,0))))),1,0)</f>
        <v>0</v>
      </c>
      <c r="CL99">
        <f>IF((AND(VLOOKUP(CL$1,main!$A$3:$H$102,5,FALSE)-VLOOKUP($A99,main!$A$3:$H$102,6,FALSE)&gt;=(VLOOKUP(VLOOKUP(CL$1,main!$A$3:$H$102,8,FALSE),main!$K$26:$M$29,2,FALSE)+VLOOKUP(VLOOKUP(CL$1,main!$A$3:$H$102,7,FALSE),main!$K$19:$O$22,MATCH(VLOOKUP($A99,main!$A$3:$H$102,8,FALSE),main!$K$18:$O$18,0))))),1,0)</f>
        <v>1</v>
      </c>
      <c r="CM99">
        <f>IF((AND(VLOOKUP(CM$1,main!$A$3:$H$102,5,FALSE)-VLOOKUP($A99,main!$A$3:$H$102,6,FALSE)&gt;=(VLOOKUP(VLOOKUP(CM$1,main!$A$3:$H$102,8,FALSE),main!$K$26:$M$29,2,FALSE)+VLOOKUP(VLOOKUP(CM$1,main!$A$3:$H$102,7,FALSE),main!$K$19:$O$22,MATCH(VLOOKUP($A99,main!$A$3:$H$102,8,FALSE),main!$K$18:$O$18,0))))),1,0)</f>
        <v>1</v>
      </c>
      <c r="CN99">
        <f>IF((AND(VLOOKUP(CN$1,main!$A$3:$H$102,5,FALSE)-VLOOKUP($A99,main!$A$3:$H$102,6,FALSE)&gt;=(VLOOKUP(VLOOKUP(CN$1,main!$A$3:$H$102,8,FALSE),main!$K$26:$M$29,2,FALSE)+VLOOKUP(VLOOKUP(CN$1,main!$A$3:$H$102,7,FALSE),main!$K$19:$O$22,MATCH(VLOOKUP($A99,main!$A$3:$H$102,8,FALSE),main!$K$18:$O$18,0))))),1,0)</f>
        <v>1</v>
      </c>
      <c r="CO99">
        <f>IF((AND(VLOOKUP(CO$1,main!$A$3:$H$102,5,FALSE)-VLOOKUP($A99,main!$A$3:$H$102,6,FALSE)&gt;=(VLOOKUP(VLOOKUP(CO$1,main!$A$3:$H$102,8,FALSE),main!$K$26:$M$29,2,FALSE)+VLOOKUP(VLOOKUP(CO$1,main!$A$3:$H$102,7,FALSE),main!$K$19:$O$22,MATCH(VLOOKUP($A99,main!$A$3:$H$102,8,FALSE),main!$K$18:$O$18,0))))),1,0)</f>
        <v>0</v>
      </c>
      <c r="CP99">
        <f>IF((AND(VLOOKUP(CP$1,main!$A$3:$H$102,5,FALSE)-VLOOKUP($A99,main!$A$3:$H$102,6,FALSE)&gt;=(VLOOKUP(VLOOKUP(CP$1,main!$A$3:$H$102,8,FALSE),main!$K$26:$M$29,2,FALSE)+VLOOKUP(VLOOKUP(CP$1,main!$A$3:$H$102,7,FALSE),main!$K$19:$O$22,MATCH(VLOOKUP($A99,main!$A$3:$H$102,8,FALSE),main!$K$18:$O$18,0))))),1,0)</f>
        <v>1</v>
      </c>
      <c r="CQ99">
        <f>IF((AND(VLOOKUP(CQ$1,main!$A$3:$H$102,5,FALSE)-VLOOKUP($A99,main!$A$3:$H$102,6,FALSE)&gt;=(VLOOKUP(VLOOKUP(CQ$1,main!$A$3:$H$102,8,FALSE),main!$K$26:$M$29,2,FALSE)+VLOOKUP(VLOOKUP(CQ$1,main!$A$3:$H$102,7,FALSE),main!$K$19:$O$22,MATCH(VLOOKUP($A99,main!$A$3:$H$102,8,FALSE),main!$K$18:$O$18,0))))),1,0)</f>
        <v>1</v>
      </c>
      <c r="CR99">
        <f>IF((AND(VLOOKUP(CR$1,main!$A$3:$H$102,5,FALSE)-VLOOKUP($A99,main!$A$3:$H$102,6,FALSE)&gt;=(VLOOKUP(VLOOKUP(CR$1,main!$A$3:$H$102,8,FALSE),main!$K$26:$M$29,2,FALSE)+VLOOKUP(VLOOKUP(CR$1,main!$A$3:$H$102,7,FALSE),main!$K$19:$O$22,MATCH(VLOOKUP($A99,main!$A$3:$H$102,8,FALSE),main!$K$18:$O$18,0))))),1,0)</f>
        <v>1</v>
      </c>
      <c r="CS99">
        <f>IF((AND(VLOOKUP(CS$1,main!$A$3:$H$102,5,FALSE)-VLOOKUP($A99,main!$A$3:$H$102,6,FALSE)&gt;=(VLOOKUP(VLOOKUP(CS$1,main!$A$3:$H$102,8,FALSE),main!$K$26:$M$29,2,FALSE)+VLOOKUP(VLOOKUP(CS$1,main!$A$3:$H$102,7,FALSE),main!$K$19:$O$22,MATCH(VLOOKUP($A99,main!$A$3:$H$102,8,FALSE),main!$K$18:$O$18,0))))),1,0)</f>
        <v>1</v>
      </c>
      <c r="CT99">
        <f>IF((AND(VLOOKUP(CT$1,main!$A$3:$H$102,5,FALSE)-VLOOKUP($A99,main!$A$3:$H$102,6,FALSE)&gt;=(VLOOKUP(VLOOKUP(CT$1,main!$A$3:$H$102,8,FALSE),main!$K$26:$M$29,2,FALSE)+VLOOKUP(VLOOKUP(CT$1,main!$A$3:$H$102,7,FALSE),main!$K$19:$O$22,MATCH(VLOOKUP($A99,main!$A$3:$H$102,8,FALSE),main!$K$18:$O$18,0))))),1,0)</f>
        <v>0</v>
      </c>
      <c r="CU99">
        <f>IF((AND(VLOOKUP(CU$1,main!$A$3:$H$102,5,FALSE)-VLOOKUP($A99,main!$A$3:$H$102,6,FALSE)&gt;=(VLOOKUP(VLOOKUP(CU$1,main!$A$3:$H$102,8,FALSE),main!$K$26:$M$29,2,FALSE)+VLOOKUP(VLOOKUP(CU$1,main!$A$3:$H$102,7,FALSE),main!$K$19:$O$22,MATCH(VLOOKUP($A99,main!$A$3:$H$102,8,FALSE),main!$K$18:$O$18,0))))),1,0)</f>
        <v>0</v>
      </c>
      <c r="CV99">
        <f>IF((AND(VLOOKUP(CV$1,main!$A$3:$H$102,5,FALSE)-VLOOKUP($A99,main!$A$3:$H$102,6,FALSE)&gt;=(VLOOKUP(VLOOKUP(CV$1,main!$A$3:$H$102,8,FALSE),main!$K$26:$M$29,2,FALSE)+VLOOKUP(VLOOKUP(CV$1,main!$A$3:$H$102,7,FALSE),main!$K$19:$O$22,MATCH(VLOOKUP($A99,main!$A$3:$H$102,8,FALSE),main!$K$18:$O$18,0))))),1,0)</f>
        <v>1</v>
      </c>
      <c r="CW99">
        <f>IF((AND(VLOOKUP(CW$1,main!$A$3:$H$102,5,FALSE)-VLOOKUP($A99,main!$A$3:$H$102,6,FALSE)&gt;=(VLOOKUP(VLOOKUP(CW$1,main!$A$3:$H$102,8,FALSE),main!$K$26:$M$29,2,FALSE)+VLOOKUP(VLOOKUP(CW$1,main!$A$3:$H$102,7,FALSE),main!$K$19:$O$22,MATCH(VLOOKUP($A99,main!$A$3:$H$102,8,FALSE),main!$K$18:$O$18,0))))),1,0)</f>
        <v>1</v>
      </c>
      <c r="CX99">
        <f>IF((AND(VLOOKUP(CX$1,main!$A$3:$H$102,5,FALSE)-VLOOKUP($A99,main!$A$3:$H$102,6,FALSE)&gt;=(VLOOKUP(VLOOKUP(CX$1,main!$A$3:$H$102,8,FALSE),main!$K$26:$M$29,2,FALSE)+VLOOKUP(VLOOKUP(CX$1,main!$A$3:$H$102,7,FALSE),main!$K$19:$O$22,MATCH(VLOOKUP($A99,main!$A$3:$H$102,8,FALSE),main!$K$18:$O$18,0))))),1,0)</f>
        <v>1</v>
      </c>
    </row>
    <row r="100" spans="1:102" x14ac:dyDescent="0.25">
      <c r="A100" s="1">
        <v>98</v>
      </c>
      <c r="B100">
        <v>1</v>
      </c>
      <c r="C100">
        <f>IF((AND(VLOOKUP(C$1,main!$A$3:$H$102,5,FALSE)-VLOOKUP($A100,main!$A$3:$H$102,6,FALSE)&gt;=(VLOOKUP(VLOOKUP(C$1,main!$A$3:$H$102,8,FALSE),main!$K$26:$M$29,2,FALSE)+VLOOKUP(VLOOKUP(C$1,main!$A$3:$H$102,7,FALSE),main!$K$19:$O$22,MATCH(VLOOKUP($A100,main!$A$3:$H$102,8,FALSE),main!$K$18:$O$18,0))))),1,0)</f>
        <v>0</v>
      </c>
      <c r="D100">
        <f>IF((AND(VLOOKUP(D$1,main!$A$3:$H$102,5,FALSE)-VLOOKUP($A100,main!$A$3:$H$102,6,FALSE)&gt;=(VLOOKUP(VLOOKUP(D$1,main!$A$3:$H$102,8,FALSE),main!$K$26:$M$29,2,FALSE)+VLOOKUP(VLOOKUP(D$1,main!$A$3:$H$102,7,FALSE),main!$K$19:$O$22,MATCH(VLOOKUP($A100,main!$A$3:$H$102,8,FALSE),main!$K$18:$O$18,0))))),1,0)</f>
        <v>0</v>
      </c>
      <c r="E100">
        <f>IF((AND(VLOOKUP(E$1,main!$A$3:$H$102,5,FALSE)-VLOOKUP($A100,main!$A$3:$H$102,6,FALSE)&gt;=(VLOOKUP(VLOOKUP(E$1,main!$A$3:$H$102,8,FALSE),main!$K$26:$M$29,2,FALSE)+VLOOKUP(VLOOKUP(E$1,main!$A$3:$H$102,7,FALSE),main!$K$19:$O$22,MATCH(VLOOKUP($A100,main!$A$3:$H$102,8,FALSE),main!$K$18:$O$18,0))))),1,0)</f>
        <v>0</v>
      </c>
      <c r="F100">
        <f>IF((AND(VLOOKUP(F$1,main!$A$3:$H$102,5,FALSE)-VLOOKUP($A100,main!$A$3:$H$102,6,FALSE)&gt;=(VLOOKUP(VLOOKUP(F$1,main!$A$3:$H$102,8,FALSE),main!$K$26:$M$29,2,FALSE)+VLOOKUP(VLOOKUP(F$1,main!$A$3:$H$102,7,FALSE),main!$K$19:$O$22,MATCH(VLOOKUP($A100,main!$A$3:$H$102,8,FALSE),main!$K$18:$O$18,0))))),1,0)</f>
        <v>0</v>
      </c>
      <c r="G100">
        <f>IF((AND(VLOOKUP(G$1,main!$A$3:$H$102,5,FALSE)-VLOOKUP($A100,main!$A$3:$H$102,6,FALSE)&gt;=(VLOOKUP(VLOOKUP(G$1,main!$A$3:$H$102,8,FALSE),main!$K$26:$M$29,2,FALSE)+VLOOKUP(VLOOKUP(G$1,main!$A$3:$H$102,7,FALSE),main!$K$19:$O$22,MATCH(VLOOKUP($A100,main!$A$3:$H$102,8,FALSE),main!$K$18:$O$18,0))))),1,0)</f>
        <v>0</v>
      </c>
      <c r="H100">
        <f>IF((AND(VLOOKUP(H$1,main!$A$3:$H$102,5,FALSE)-VLOOKUP($A100,main!$A$3:$H$102,6,FALSE)&gt;=(VLOOKUP(VLOOKUP(H$1,main!$A$3:$H$102,8,FALSE),main!$K$26:$M$29,2,FALSE)+VLOOKUP(VLOOKUP(H$1,main!$A$3:$H$102,7,FALSE),main!$K$19:$O$22,MATCH(VLOOKUP($A100,main!$A$3:$H$102,8,FALSE),main!$K$18:$O$18,0))))),1,0)</f>
        <v>1</v>
      </c>
      <c r="I100">
        <f>IF((AND(VLOOKUP(I$1,main!$A$3:$H$102,5,FALSE)-VLOOKUP($A100,main!$A$3:$H$102,6,FALSE)&gt;=(VLOOKUP(VLOOKUP(I$1,main!$A$3:$H$102,8,FALSE),main!$K$26:$M$29,2,FALSE)+VLOOKUP(VLOOKUP(I$1,main!$A$3:$H$102,7,FALSE),main!$K$19:$O$22,MATCH(VLOOKUP($A100,main!$A$3:$H$102,8,FALSE),main!$K$18:$O$18,0))))),1,0)</f>
        <v>1</v>
      </c>
      <c r="J100">
        <f>IF((AND(VLOOKUP(J$1,main!$A$3:$H$102,5,FALSE)-VLOOKUP($A100,main!$A$3:$H$102,6,FALSE)&gt;=(VLOOKUP(VLOOKUP(J$1,main!$A$3:$H$102,8,FALSE),main!$K$26:$M$29,2,FALSE)+VLOOKUP(VLOOKUP(J$1,main!$A$3:$H$102,7,FALSE),main!$K$19:$O$22,MATCH(VLOOKUP($A100,main!$A$3:$H$102,8,FALSE),main!$K$18:$O$18,0))))),1,0)</f>
        <v>1</v>
      </c>
      <c r="K100">
        <f>IF((AND(VLOOKUP(K$1,main!$A$3:$H$102,5,FALSE)-VLOOKUP($A100,main!$A$3:$H$102,6,FALSE)&gt;=(VLOOKUP(VLOOKUP(K$1,main!$A$3:$H$102,8,FALSE),main!$K$26:$M$29,2,FALSE)+VLOOKUP(VLOOKUP(K$1,main!$A$3:$H$102,7,FALSE),main!$K$19:$O$22,MATCH(VLOOKUP($A100,main!$A$3:$H$102,8,FALSE),main!$K$18:$O$18,0))))),1,0)</f>
        <v>1</v>
      </c>
      <c r="L100">
        <f>IF((AND(VLOOKUP(L$1,main!$A$3:$H$102,5,FALSE)-VLOOKUP($A100,main!$A$3:$H$102,6,FALSE)&gt;=(VLOOKUP(VLOOKUP(L$1,main!$A$3:$H$102,8,FALSE),main!$K$26:$M$29,2,FALSE)+VLOOKUP(VLOOKUP(L$1,main!$A$3:$H$102,7,FALSE),main!$K$19:$O$22,MATCH(VLOOKUP($A100,main!$A$3:$H$102,8,FALSE),main!$K$18:$O$18,0))))),1,0)</f>
        <v>1</v>
      </c>
      <c r="M100">
        <f>IF((AND(VLOOKUP(M$1,main!$A$3:$H$102,5,FALSE)-VLOOKUP($A100,main!$A$3:$H$102,6,FALSE)&gt;=(VLOOKUP(VLOOKUP(M$1,main!$A$3:$H$102,8,FALSE),main!$K$26:$M$29,2,FALSE)+VLOOKUP(VLOOKUP(M$1,main!$A$3:$H$102,7,FALSE),main!$K$19:$O$22,MATCH(VLOOKUP($A100,main!$A$3:$H$102,8,FALSE),main!$K$18:$O$18,0))))),1,0)</f>
        <v>0</v>
      </c>
      <c r="N100">
        <f>IF((AND(VLOOKUP(N$1,main!$A$3:$H$102,5,FALSE)-VLOOKUP($A100,main!$A$3:$H$102,6,FALSE)&gt;=(VLOOKUP(VLOOKUP(N$1,main!$A$3:$H$102,8,FALSE),main!$K$26:$M$29,2,FALSE)+VLOOKUP(VLOOKUP(N$1,main!$A$3:$H$102,7,FALSE),main!$K$19:$O$22,MATCH(VLOOKUP($A100,main!$A$3:$H$102,8,FALSE),main!$K$18:$O$18,0))))),1,0)</f>
        <v>0</v>
      </c>
      <c r="O100">
        <f>IF((AND(VLOOKUP(O$1,main!$A$3:$H$102,5,FALSE)-VLOOKUP($A100,main!$A$3:$H$102,6,FALSE)&gt;=(VLOOKUP(VLOOKUP(O$1,main!$A$3:$H$102,8,FALSE),main!$K$26:$M$29,2,FALSE)+VLOOKUP(VLOOKUP(O$1,main!$A$3:$H$102,7,FALSE),main!$K$19:$O$22,MATCH(VLOOKUP($A100,main!$A$3:$H$102,8,FALSE),main!$K$18:$O$18,0))))),1,0)</f>
        <v>0</v>
      </c>
      <c r="P100">
        <f>IF((AND(VLOOKUP(P$1,main!$A$3:$H$102,5,FALSE)-VLOOKUP($A100,main!$A$3:$H$102,6,FALSE)&gt;=(VLOOKUP(VLOOKUP(P$1,main!$A$3:$H$102,8,FALSE),main!$K$26:$M$29,2,FALSE)+VLOOKUP(VLOOKUP(P$1,main!$A$3:$H$102,7,FALSE),main!$K$19:$O$22,MATCH(VLOOKUP($A100,main!$A$3:$H$102,8,FALSE),main!$K$18:$O$18,0))))),1,0)</f>
        <v>0</v>
      </c>
      <c r="Q100">
        <f>IF((AND(VLOOKUP(Q$1,main!$A$3:$H$102,5,FALSE)-VLOOKUP($A100,main!$A$3:$H$102,6,FALSE)&gt;=(VLOOKUP(VLOOKUP(Q$1,main!$A$3:$H$102,8,FALSE),main!$K$26:$M$29,2,FALSE)+VLOOKUP(VLOOKUP(Q$1,main!$A$3:$H$102,7,FALSE),main!$K$19:$O$22,MATCH(VLOOKUP($A100,main!$A$3:$H$102,8,FALSE),main!$K$18:$O$18,0))))),1,0)</f>
        <v>0</v>
      </c>
      <c r="R100">
        <f>IF((AND(VLOOKUP(R$1,main!$A$3:$H$102,5,FALSE)-VLOOKUP($A100,main!$A$3:$H$102,6,FALSE)&gt;=(VLOOKUP(VLOOKUP(R$1,main!$A$3:$H$102,8,FALSE),main!$K$26:$M$29,2,FALSE)+VLOOKUP(VLOOKUP(R$1,main!$A$3:$H$102,7,FALSE),main!$K$19:$O$22,MATCH(VLOOKUP($A100,main!$A$3:$H$102,8,FALSE),main!$K$18:$O$18,0))))),1,0)</f>
        <v>0</v>
      </c>
      <c r="S100">
        <f>IF((AND(VLOOKUP(S$1,main!$A$3:$H$102,5,FALSE)-VLOOKUP($A100,main!$A$3:$H$102,6,FALSE)&gt;=(VLOOKUP(VLOOKUP(S$1,main!$A$3:$H$102,8,FALSE),main!$K$26:$M$29,2,FALSE)+VLOOKUP(VLOOKUP(S$1,main!$A$3:$H$102,7,FALSE),main!$K$19:$O$22,MATCH(VLOOKUP($A100,main!$A$3:$H$102,8,FALSE),main!$K$18:$O$18,0))))),1,0)</f>
        <v>1</v>
      </c>
      <c r="T100">
        <f>IF((AND(VLOOKUP(T$1,main!$A$3:$H$102,5,FALSE)-VLOOKUP($A100,main!$A$3:$H$102,6,FALSE)&gt;=(VLOOKUP(VLOOKUP(T$1,main!$A$3:$H$102,8,FALSE),main!$K$26:$M$29,2,FALSE)+VLOOKUP(VLOOKUP(T$1,main!$A$3:$H$102,7,FALSE),main!$K$19:$O$22,MATCH(VLOOKUP($A100,main!$A$3:$H$102,8,FALSE),main!$K$18:$O$18,0))))),1,0)</f>
        <v>1</v>
      </c>
      <c r="U100">
        <f>IF((AND(VLOOKUP(U$1,main!$A$3:$H$102,5,FALSE)-VLOOKUP($A100,main!$A$3:$H$102,6,FALSE)&gt;=(VLOOKUP(VLOOKUP(U$1,main!$A$3:$H$102,8,FALSE),main!$K$26:$M$29,2,FALSE)+VLOOKUP(VLOOKUP(U$1,main!$A$3:$H$102,7,FALSE),main!$K$19:$O$22,MATCH(VLOOKUP($A100,main!$A$3:$H$102,8,FALSE),main!$K$18:$O$18,0))))),1,0)</f>
        <v>1</v>
      </c>
      <c r="V100">
        <f>IF((AND(VLOOKUP(V$1,main!$A$3:$H$102,5,FALSE)-VLOOKUP($A100,main!$A$3:$H$102,6,FALSE)&gt;=(VLOOKUP(VLOOKUP(V$1,main!$A$3:$H$102,8,FALSE),main!$K$26:$M$29,2,FALSE)+VLOOKUP(VLOOKUP(V$1,main!$A$3:$H$102,7,FALSE),main!$K$19:$O$22,MATCH(VLOOKUP($A100,main!$A$3:$H$102,8,FALSE),main!$K$18:$O$18,0))))),1,0)</f>
        <v>1</v>
      </c>
      <c r="W100">
        <f>IF((AND(VLOOKUP(W$1,main!$A$3:$H$102,5,FALSE)-VLOOKUP($A100,main!$A$3:$H$102,6,FALSE)&gt;=(VLOOKUP(VLOOKUP(W$1,main!$A$3:$H$102,8,FALSE),main!$K$26:$M$29,2,FALSE)+VLOOKUP(VLOOKUP(W$1,main!$A$3:$H$102,7,FALSE),main!$K$19:$O$22,MATCH(VLOOKUP($A100,main!$A$3:$H$102,8,FALSE),main!$K$18:$O$18,0))))),1,0)</f>
        <v>0</v>
      </c>
      <c r="X100">
        <f>IF((AND(VLOOKUP(X$1,main!$A$3:$H$102,5,FALSE)-VLOOKUP($A100,main!$A$3:$H$102,6,FALSE)&gt;=(VLOOKUP(VLOOKUP(X$1,main!$A$3:$H$102,8,FALSE),main!$K$26:$M$29,2,FALSE)+VLOOKUP(VLOOKUP(X$1,main!$A$3:$H$102,7,FALSE),main!$K$19:$O$22,MATCH(VLOOKUP($A100,main!$A$3:$H$102,8,FALSE),main!$K$18:$O$18,0))))),1,0)</f>
        <v>0</v>
      </c>
      <c r="Y100">
        <f>IF((AND(VLOOKUP(Y$1,main!$A$3:$H$102,5,FALSE)-VLOOKUP($A100,main!$A$3:$H$102,6,FALSE)&gt;=(VLOOKUP(VLOOKUP(Y$1,main!$A$3:$H$102,8,FALSE),main!$K$26:$M$29,2,FALSE)+VLOOKUP(VLOOKUP(Y$1,main!$A$3:$H$102,7,FALSE),main!$K$19:$O$22,MATCH(VLOOKUP($A100,main!$A$3:$H$102,8,FALSE),main!$K$18:$O$18,0))))),1,0)</f>
        <v>0</v>
      </c>
      <c r="Z100">
        <f>IF((AND(VLOOKUP(Z$1,main!$A$3:$H$102,5,FALSE)-VLOOKUP($A100,main!$A$3:$H$102,6,FALSE)&gt;=(VLOOKUP(VLOOKUP(Z$1,main!$A$3:$H$102,8,FALSE),main!$K$26:$M$29,2,FALSE)+VLOOKUP(VLOOKUP(Z$1,main!$A$3:$H$102,7,FALSE),main!$K$19:$O$22,MATCH(VLOOKUP($A100,main!$A$3:$H$102,8,FALSE),main!$K$18:$O$18,0))))),1,0)</f>
        <v>1</v>
      </c>
      <c r="AA100">
        <f>IF((AND(VLOOKUP(AA$1,main!$A$3:$H$102,5,FALSE)-VLOOKUP($A100,main!$A$3:$H$102,6,FALSE)&gt;=(VLOOKUP(VLOOKUP(AA$1,main!$A$3:$H$102,8,FALSE),main!$K$26:$M$29,2,FALSE)+VLOOKUP(VLOOKUP(AA$1,main!$A$3:$H$102,7,FALSE),main!$K$19:$O$22,MATCH(VLOOKUP($A100,main!$A$3:$H$102,8,FALSE),main!$K$18:$O$18,0))))),1,0)</f>
        <v>1</v>
      </c>
      <c r="AB100">
        <f>IF((AND(VLOOKUP(AB$1,main!$A$3:$H$102,5,FALSE)-VLOOKUP($A100,main!$A$3:$H$102,6,FALSE)&gt;=(VLOOKUP(VLOOKUP(AB$1,main!$A$3:$H$102,8,FALSE),main!$K$26:$M$29,2,FALSE)+VLOOKUP(VLOOKUP(AB$1,main!$A$3:$H$102,7,FALSE),main!$K$19:$O$22,MATCH(VLOOKUP($A100,main!$A$3:$H$102,8,FALSE),main!$K$18:$O$18,0))))),1,0)</f>
        <v>0</v>
      </c>
      <c r="AC100">
        <f>IF((AND(VLOOKUP(AC$1,main!$A$3:$H$102,5,FALSE)-VLOOKUP($A100,main!$A$3:$H$102,6,FALSE)&gt;=(VLOOKUP(VLOOKUP(AC$1,main!$A$3:$H$102,8,FALSE),main!$K$26:$M$29,2,FALSE)+VLOOKUP(VLOOKUP(AC$1,main!$A$3:$H$102,7,FALSE),main!$K$19:$O$22,MATCH(VLOOKUP($A100,main!$A$3:$H$102,8,FALSE),main!$K$18:$O$18,0))))),1,0)</f>
        <v>0</v>
      </c>
      <c r="AD100">
        <f>IF((AND(VLOOKUP(AD$1,main!$A$3:$H$102,5,FALSE)-VLOOKUP($A100,main!$A$3:$H$102,6,FALSE)&gt;=(VLOOKUP(VLOOKUP(AD$1,main!$A$3:$H$102,8,FALSE),main!$K$26:$M$29,2,FALSE)+VLOOKUP(VLOOKUP(AD$1,main!$A$3:$H$102,7,FALSE),main!$K$19:$O$22,MATCH(VLOOKUP($A100,main!$A$3:$H$102,8,FALSE),main!$K$18:$O$18,0))))),1,0)</f>
        <v>0</v>
      </c>
      <c r="AE100">
        <f>IF((AND(VLOOKUP(AE$1,main!$A$3:$H$102,5,FALSE)-VLOOKUP($A100,main!$A$3:$H$102,6,FALSE)&gt;=(VLOOKUP(VLOOKUP(AE$1,main!$A$3:$H$102,8,FALSE),main!$K$26:$M$29,2,FALSE)+VLOOKUP(VLOOKUP(AE$1,main!$A$3:$H$102,7,FALSE),main!$K$19:$O$22,MATCH(VLOOKUP($A100,main!$A$3:$H$102,8,FALSE),main!$K$18:$O$18,0))))),1,0)</f>
        <v>1</v>
      </c>
      <c r="AF100">
        <f>IF((AND(VLOOKUP(AF$1,main!$A$3:$H$102,5,FALSE)-VLOOKUP($A100,main!$A$3:$H$102,6,FALSE)&gt;=(VLOOKUP(VLOOKUP(AF$1,main!$A$3:$H$102,8,FALSE),main!$K$26:$M$29,2,FALSE)+VLOOKUP(VLOOKUP(AF$1,main!$A$3:$H$102,7,FALSE),main!$K$19:$O$22,MATCH(VLOOKUP($A100,main!$A$3:$H$102,8,FALSE),main!$K$18:$O$18,0))))),1,0)</f>
        <v>1</v>
      </c>
      <c r="AG100">
        <f>IF((AND(VLOOKUP(AG$1,main!$A$3:$H$102,5,FALSE)-VLOOKUP($A100,main!$A$3:$H$102,6,FALSE)&gt;=(VLOOKUP(VLOOKUP(AG$1,main!$A$3:$H$102,8,FALSE),main!$K$26:$M$29,2,FALSE)+VLOOKUP(VLOOKUP(AG$1,main!$A$3:$H$102,7,FALSE),main!$K$19:$O$22,MATCH(VLOOKUP($A100,main!$A$3:$H$102,8,FALSE),main!$K$18:$O$18,0))))),1,0)</f>
        <v>0</v>
      </c>
      <c r="AH100">
        <f>IF((AND(VLOOKUP(AH$1,main!$A$3:$H$102,5,FALSE)-VLOOKUP($A100,main!$A$3:$H$102,6,FALSE)&gt;=(VLOOKUP(VLOOKUP(AH$1,main!$A$3:$H$102,8,FALSE),main!$K$26:$M$29,2,FALSE)+VLOOKUP(VLOOKUP(AH$1,main!$A$3:$H$102,7,FALSE),main!$K$19:$O$22,MATCH(VLOOKUP($A100,main!$A$3:$H$102,8,FALSE),main!$K$18:$O$18,0))))),1,0)</f>
        <v>0</v>
      </c>
      <c r="AI100">
        <f>IF((AND(VLOOKUP(AI$1,main!$A$3:$H$102,5,FALSE)-VLOOKUP($A100,main!$A$3:$H$102,6,FALSE)&gt;=(VLOOKUP(VLOOKUP(AI$1,main!$A$3:$H$102,8,FALSE),main!$K$26:$M$29,2,FALSE)+VLOOKUP(VLOOKUP(AI$1,main!$A$3:$H$102,7,FALSE),main!$K$19:$O$22,MATCH(VLOOKUP($A100,main!$A$3:$H$102,8,FALSE),main!$K$18:$O$18,0))))),1,0)</f>
        <v>0</v>
      </c>
      <c r="AJ100">
        <f>IF((AND(VLOOKUP(AJ$1,main!$A$3:$H$102,5,FALSE)-VLOOKUP($A100,main!$A$3:$H$102,6,FALSE)&gt;=(VLOOKUP(VLOOKUP(AJ$1,main!$A$3:$H$102,8,FALSE),main!$K$26:$M$29,2,FALSE)+VLOOKUP(VLOOKUP(AJ$1,main!$A$3:$H$102,7,FALSE),main!$K$19:$O$22,MATCH(VLOOKUP($A100,main!$A$3:$H$102,8,FALSE),main!$K$18:$O$18,0))))),1,0)</f>
        <v>0</v>
      </c>
      <c r="AK100">
        <f>IF((AND(VLOOKUP(AK$1,main!$A$3:$H$102,5,FALSE)-VLOOKUP($A100,main!$A$3:$H$102,6,FALSE)&gt;=(VLOOKUP(VLOOKUP(AK$1,main!$A$3:$H$102,8,FALSE),main!$K$26:$M$29,2,FALSE)+VLOOKUP(VLOOKUP(AK$1,main!$A$3:$H$102,7,FALSE),main!$K$19:$O$22,MATCH(VLOOKUP($A100,main!$A$3:$H$102,8,FALSE),main!$K$18:$O$18,0))))),1,0)</f>
        <v>0</v>
      </c>
      <c r="AL100">
        <f>IF((AND(VLOOKUP(AL$1,main!$A$3:$H$102,5,FALSE)-VLOOKUP($A100,main!$A$3:$H$102,6,FALSE)&gt;=(VLOOKUP(VLOOKUP(AL$1,main!$A$3:$H$102,8,FALSE),main!$K$26:$M$29,2,FALSE)+VLOOKUP(VLOOKUP(AL$1,main!$A$3:$H$102,7,FALSE),main!$K$19:$O$22,MATCH(VLOOKUP($A100,main!$A$3:$H$102,8,FALSE),main!$K$18:$O$18,0))))),1,0)</f>
        <v>1</v>
      </c>
      <c r="AM100">
        <f>IF((AND(VLOOKUP(AM$1,main!$A$3:$H$102,5,FALSE)-VLOOKUP($A100,main!$A$3:$H$102,6,FALSE)&gt;=(VLOOKUP(VLOOKUP(AM$1,main!$A$3:$H$102,8,FALSE),main!$K$26:$M$29,2,FALSE)+VLOOKUP(VLOOKUP(AM$1,main!$A$3:$H$102,7,FALSE),main!$K$19:$O$22,MATCH(VLOOKUP($A100,main!$A$3:$H$102,8,FALSE),main!$K$18:$O$18,0))))),1,0)</f>
        <v>1</v>
      </c>
      <c r="AN100">
        <f>IF((AND(VLOOKUP(AN$1,main!$A$3:$H$102,5,FALSE)-VLOOKUP($A100,main!$A$3:$H$102,6,FALSE)&gt;=(VLOOKUP(VLOOKUP(AN$1,main!$A$3:$H$102,8,FALSE),main!$K$26:$M$29,2,FALSE)+VLOOKUP(VLOOKUP(AN$1,main!$A$3:$H$102,7,FALSE),main!$K$19:$O$22,MATCH(VLOOKUP($A100,main!$A$3:$H$102,8,FALSE),main!$K$18:$O$18,0))))),1,0)</f>
        <v>1</v>
      </c>
      <c r="AO100">
        <f>IF((AND(VLOOKUP(AO$1,main!$A$3:$H$102,5,FALSE)-VLOOKUP($A100,main!$A$3:$H$102,6,FALSE)&gt;=(VLOOKUP(VLOOKUP(AO$1,main!$A$3:$H$102,8,FALSE),main!$K$26:$M$29,2,FALSE)+VLOOKUP(VLOOKUP(AO$1,main!$A$3:$H$102,7,FALSE),main!$K$19:$O$22,MATCH(VLOOKUP($A100,main!$A$3:$H$102,8,FALSE),main!$K$18:$O$18,0))))),1,0)</f>
        <v>0</v>
      </c>
      <c r="AP100">
        <f>IF((AND(VLOOKUP(AP$1,main!$A$3:$H$102,5,FALSE)-VLOOKUP($A100,main!$A$3:$H$102,6,FALSE)&gt;=(VLOOKUP(VLOOKUP(AP$1,main!$A$3:$H$102,8,FALSE),main!$K$26:$M$29,2,FALSE)+VLOOKUP(VLOOKUP(AP$1,main!$A$3:$H$102,7,FALSE),main!$K$19:$O$22,MATCH(VLOOKUP($A100,main!$A$3:$H$102,8,FALSE),main!$K$18:$O$18,0))))),1,0)</f>
        <v>1</v>
      </c>
      <c r="AQ100">
        <f>IF((AND(VLOOKUP(AQ$1,main!$A$3:$H$102,5,FALSE)-VLOOKUP($A100,main!$A$3:$H$102,6,FALSE)&gt;=(VLOOKUP(VLOOKUP(AQ$1,main!$A$3:$H$102,8,FALSE),main!$K$26:$M$29,2,FALSE)+VLOOKUP(VLOOKUP(AQ$1,main!$A$3:$H$102,7,FALSE),main!$K$19:$O$22,MATCH(VLOOKUP($A100,main!$A$3:$H$102,8,FALSE),main!$K$18:$O$18,0))))),1,0)</f>
        <v>0</v>
      </c>
      <c r="AR100">
        <f>IF((AND(VLOOKUP(AR$1,main!$A$3:$H$102,5,FALSE)-VLOOKUP($A100,main!$A$3:$H$102,6,FALSE)&gt;=(VLOOKUP(VLOOKUP(AR$1,main!$A$3:$H$102,8,FALSE),main!$K$26:$M$29,2,FALSE)+VLOOKUP(VLOOKUP(AR$1,main!$A$3:$H$102,7,FALSE),main!$K$19:$O$22,MATCH(VLOOKUP($A100,main!$A$3:$H$102,8,FALSE),main!$K$18:$O$18,0))))),1,0)</f>
        <v>0</v>
      </c>
      <c r="AS100">
        <f>IF((AND(VLOOKUP(AS$1,main!$A$3:$H$102,5,FALSE)-VLOOKUP($A100,main!$A$3:$H$102,6,FALSE)&gt;=(VLOOKUP(VLOOKUP(AS$1,main!$A$3:$H$102,8,FALSE),main!$K$26:$M$29,2,FALSE)+VLOOKUP(VLOOKUP(AS$1,main!$A$3:$H$102,7,FALSE),main!$K$19:$O$22,MATCH(VLOOKUP($A100,main!$A$3:$H$102,8,FALSE),main!$K$18:$O$18,0))))),1,0)</f>
        <v>0</v>
      </c>
      <c r="AT100">
        <f>IF((AND(VLOOKUP(AT$1,main!$A$3:$H$102,5,FALSE)-VLOOKUP($A100,main!$A$3:$H$102,6,FALSE)&gt;=(VLOOKUP(VLOOKUP(AT$1,main!$A$3:$H$102,8,FALSE),main!$K$26:$M$29,2,FALSE)+VLOOKUP(VLOOKUP(AT$1,main!$A$3:$H$102,7,FALSE),main!$K$19:$O$22,MATCH(VLOOKUP($A100,main!$A$3:$H$102,8,FALSE),main!$K$18:$O$18,0))))),1,0)</f>
        <v>1</v>
      </c>
      <c r="AU100">
        <f>IF((AND(VLOOKUP(AU$1,main!$A$3:$H$102,5,FALSE)-VLOOKUP($A100,main!$A$3:$H$102,6,FALSE)&gt;=(VLOOKUP(VLOOKUP(AU$1,main!$A$3:$H$102,8,FALSE),main!$K$26:$M$29,2,FALSE)+VLOOKUP(VLOOKUP(AU$1,main!$A$3:$H$102,7,FALSE),main!$K$19:$O$22,MATCH(VLOOKUP($A100,main!$A$3:$H$102,8,FALSE),main!$K$18:$O$18,0))))),1,0)</f>
        <v>0</v>
      </c>
      <c r="AV100">
        <f>IF((AND(VLOOKUP(AV$1,main!$A$3:$H$102,5,FALSE)-VLOOKUP($A100,main!$A$3:$H$102,6,FALSE)&gt;=(VLOOKUP(VLOOKUP(AV$1,main!$A$3:$H$102,8,FALSE),main!$K$26:$M$29,2,FALSE)+VLOOKUP(VLOOKUP(AV$1,main!$A$3:$H$102,7,FALSE),main!$K$19:$O$22,MATCH(VLOOKUP($A100,main!$A$3:$H$102,8,FALSE),main!$K$18:$O$18,0))))),1,0)</f>
        <v>0</v>
      </c>
      <c r="AW100">
        <f>IF((AND(VLOOKUP(AW$1,main!$A$3:$H$102,5,FALSE)-VLOOKUP($A100,main!$A$3:$H$102,6,FALSE)&gt;=(VLOOKUP(VLOOKUP(AW$1,main!$A$3:$H$102,8,FALSE),main!$K$26:$M$29,2,FALSE)+VLOOKUP(VLOOKUP(AW$1,main!$A$3:$H$102,7,FALSE),main!$K$19:$O$22,MATCH(VLOOKUP($A100,main!$A$3:$H$102,8,FALSE),main!$K$18:$O$18,0))))),1,0)</f>
        <v>0</v>
      </c>
      <c r="AX100">
        <f>IF((AND(VLOOKUP(AX$1,main!$A$3:$H$102,5,FALSE)-VLOOKUP($A100,main!$A$3:$H$102,6,FALSE)&gt;=(VLOOKUP(VLOOKUP(AX$1,main!$A$3:$H$102,8,FALSE),main!$K$26:$M$29,2,FALSE)+VLOOKUP(VLOOKUP(AX$1,main!$A$3:$H$102,7,FALSE),main!$K$19:$O$22,MATCH(VLOOKUP($A100,main!$A$3:$H$102,8,FALSE),main!$K$18:$O$18,0))))),1,0)</f>
        <v>0</v>
      </c>
      <c r="AY100">
        <f>IF((AND(VLOOKUP(AY$1,main!$A$3:$H$102,5,FALSE)-VLOOKUP($A100,main!$A$3:$H$102,6,FALSE)&gt;=(VLOOKUP(VLOOKUP(AY$1,main!$A$3:$H$102,8,FALSE),main!$K$26:$M$29,2,FALSE)+VLOOKUP(VLOOKUP(AY$1,main!$A$3:$H$102,7,FALSE),main!$K$19:$O$22,MATCH(VLOOKUP($A100,main!$A$3:$H$102,8,FALSE),main!$K$18:$O$18,0))))),1,0)</f>
        <v>0</v>
      </c>
      <c r="AZ100">
        <f>IF((AND(VLOOKUP(AZ$1,main!$A$3:$H$102,5,FALSE)-VLOOKUP($A100,main!$A$3:$H$102,6,FALSE)&gt;=(VLOOKUP(VLOOKUP(AZ$1,main!$A$3:$H$102,8,FALSE),main!$K$26:$M$29,2,FALSE)+VLOOKUP(VLOOKUP(AZ$1,main!$A$3:$H$102,7,FALSE),main!$K$19:$O$22,MATCH(VLOOKUP($A100,main!$A$3:$H$102,8,FALSE),main!$K$18:$O$18,0))))),1,0)</f>
        <v>0</v>
      </c>
      <c r="BA100">
        <f>IF((AND(VLOOKUP(BA$1,main!$A$3:$H$102,5,FALSE)-VLOOKUP($A100,main!$A$3:$H$102,6,FALSE)&gt;=(VLOOKUP(VLOOKUP(BA$1,main!$A$3:$H$102,8,FALSE),main!$K$26:$M$29,2,FALSE)+VLOOKUP(VLOOKUP(BA$1,main!$A$3:$H$102,7,FALSE),main!$K$19:$O$22,MATCH(VLOOKUP($A100,main!$A$3:$H$102,8,FALSE),main!$K$18:$O$18,0))))),1,0)</f>
        <v>0</v>
      </c>
      <c r="BB100">
        <f>IF((AND(VLOOKUP(BB$1,main!$A$3:$H$102,5,FALSE)-VLOOKUP($A100,main!$A$3:$H$102,6,FALSE)&gt;=(VLOOKUP(VLOOKUP(BB$1,main!$A$3:$H$102,8,FALSE),main!$K$26:$M$29,2,FALSE)+VLOOKUP(VLOOKUP(BB$1,main!$A$3:$H$102,7,FALSE),main!$K$19:$O$22,MATCH(VLOOKUP($A100,main!$A$3:$H$102,8,FALSE),main!$K$18:$O$18,0))))),1,0)</f>
        <v>0</v>
      </c>
      <c r="BC100">
        <f>IF((AND(VLOOKUP(BC$1,main!$A$3:$H$102,5,FALSE)-VLOOKUP($A100,main!$A$3:$H$102,6,FALSE)&gt;=(VLOOKUP(VLOOKUP(BC$1,main!$A$3:$H$102,8,FALSE),main!$K$26:$M$29,2,FALSE)+VLOOKUP(VLOOKUP(BC$1,main!$A$3:$H$102,7,FALSE),main!$K$19:$O$22,MATCH(VLOOKUP($A100,main!$A$3:$H$102,8,FALSE),main!$K$18:$O$18,0))))),1,0)</f>
        <v>0</v>
      </c>
      <c r="BD100">
        <f>IF((AND(VLOOKUP(BD$1,main!$A$3:$H$102,5,FALSE)-VLOOKUP($A100,main!$A$3:$H$102,6,FALSE)&gt;=(VLOOKUP(VLOOKUP(BD$1,main!$A$3:$H$102,8,FALSE),main!$K$26:$M$29,2,FALSE)+VLOOKUP(VLOOKUP(BD$1,main!$A$3:$H$102,7,FALSE),main!$K$19:$O$22,MATCH(VLOOKUP($A100,main!$A$3:$H$102,8,FALSE),main!$K$18:$O$18,0))))),1,0)</f>
        <v>1</v>
      </c>
      <c r="BE100">
        <f>IF((AND(VLOOKUP(BE$1,main!$A$3:$H$102,5,FALSE)-VLOOKUP($A100,main!$A$3:$H$102,6,FALSE)&gt;=(VLOOKUP(VLOOKUP(BE$1,main!$A$3:$H$102,8,FALSE),main!$K$26:$M$29,2,FALSE)+VLOOKUP(VLOOKUP(BE$1,main!$A$3:$H$102,7,FALSE),main!$K$19:$O$22,MATCH(VLOOKUP($A100,main!$A$3:$H$102,8,FALSE),main!$K$18:$O$18,0))))),1,0)</f>
        <v>1</v>
      </c>
      <c r="BF100">
        <f>IF((AND(VLOOKUP(BF$1,main!$A$3:$H$102,5,FALSE)-VLOOKUP($A100,main!$A$3:$H$102,6,FALSE)&gt;=(VLOOKUP(VLOOKUP(BF$1,main!$A$3:$H$102,8,FALSE),main!$K$26:$M$29,2,FALSE)+VLOOKUP(VLOOKUP(BF$1,main!$A$3:$H$102,7,FALSE),main!$K$19:$O$22,MATCH(VLOOKUP($A100,main!$A$3:$H$102,8,FALSE),main!$K$18:$O$18,0))))),1,0)</f>
        <v>0</v>
      </c>
      <c r="BG100">
        <f>IF((AND(VLOOKUP(BG$1,main!$A$3:$H$102,5,FALSE)-VLOOKUP($A100,main!$A$3:$H$102,6,FALSE)&gt;=(VLOOKUP(VLOOKUP(BG$1,main!$A$3:$H$102,8,FALSE),main!$K$26:$M$29,2,FALSE)+VLOOKUP(VLOOKUP(BG$1,main!$A$3:$H$102,7,FALSE),main!$K$19:$O$22,MATCH(VLOOKUP($A100,main!$A$3:$H$102,8,FALSE),main!$K$18:$O$18,0))))),1,0)</f>
        <v>0</v>
      </c>
      <c r="BH100">
        <f>IF((AND(VLOOKUP(BH$1,main!$A$3:$H$102,5,FALSE)-VLOOKUP($A100,main!$A$3:$H$102,6,FALSE)&gt;=(VLOOKUP(VLOOKUP(BH$1,main!$A$3:$H$102,8,FALSE),main!$K$26:$M$29,2,FALSE)+VLOOKUP(VLOOKUP(BH$1,main!$A$3:$H$102,7,FALSE),main!$K$19:$O$22,MATCH(VLOOKUP($A100,main!$A$3:$H$102,8,FALSE),main!$K$18:$O$18,0))))),1,0)</f>
        <v>0</v>
      </c>
      <c r="BI100">
        <f>IF((AND(VLOOKUP(BI$1,main!$A$3:$H$102,5,FALSE)-VLOOKUP($A100,main!$A$3:$H$102,6,FALSE)&gt;=(VLOOKUP(VLOOKUP(BI$1,main!$A$3:$H$102,8,FALSE),main!$K$26:$M$29,2,FALSE)+VLOOKUP(VLOOKUP(BI$1,main!$A$3:$H$102,7,FALSE),main!$K$19:$O$22,MATCH(VLOOKUP($A100,main!$A$3:$H$102,8,FALSE),main!$K$18:$O$18,0))))),1,0)</f>
        <v>1</v>
      </c>
      <c r="BJ100">
        <f>IF((AND(VLOOKUP(BJ$1,main!$A$3:$H$102,5,FALSE)-VLOOKUP($A100,main!$A$3:$H$102,6,FALSE)&gt;=(VLOOKUP(VLOOKUP(BJ$1,main!$A$3:$H$102,8,FALSE),main!$K$26:$M$29,2,FALSE)+VLOOKUP(VLOOKUP(BJ$1,main!$A$3:$H$102,7,FALSE),main!$K$19:$O$22,MATCH(VLOOKUP($A100,main!$A$3:$H$102,8,FALSE),main!$K$18:$O$18,0))))),1,0)</f>
        <v>1</v>
      </c>
      <c r="BK100">
        <f>IF((AND(VLOOKUP(BK$1,main!$A$3:$H$102,5,FALSE)-VLOOKUP($A100,main!$A$3:$H$102,6,FALSE)&gt;=(VLOOKUP(VLOOKUP(BK$1,main!$A$3:$H$102,8,FALSE),main!$K$26:$M$29,2,FALSE)+VLOOKUP(VLOOKUP(BK$1,main!$A$3:$H$102,7,FALSE),main!$K$19:$O$22,MATCH(VLOOKUP($A100,main!$A$3:$H$102,8,FALSE),main!$K$18:$O$18,0))))),1,0)</f>
        <v>0</v>
      </c>
      <c r="BL100">
        <f>IF((AND(VLOOKUP(BL$1,main!$A$3:$H$102,5,FALSE)-VLOOKUP($A100,main!$A$3:$H$102,6,FALSE)&gt;=(VLOOKUP(VLOOKUP(BL$1,main!$A$3:$H$102,8,FALSE),main!$K$26:$M$29,2,FALSE)+VLOOKUP(VLOOKUP(BL$1,main!$A$3:$H$102,7,FALSE),main!$K$19:$O$22,MATCH(VLOOKUP($A100,main!$A$3:$H$102,8,FALSE),main!$K$18:$O$18,0))))),1,0)</f>
        <v>0</v>
      </c>
      <c r="BM100">
        <f>IF((AND(VLOOKUP(BM$1,main!$A$3:$H$102,5,FALSE)-VLOOKUP($A100,main!$A$3:$H$102,6,FALSE)&gt;=(VLOOKUP(VLOOKUP(BM$1,main!$A$3:$H$102,8,FALSE),main!$K$26:$M$29,2,FALSE)+VLOOKUP(VLOOKUP(BM$1,main!$A$3:$H$102,7,FALSE),main!$K$19:$O$22,MATCH(VLOOKUP($A100,main!$A$3:$H$102,8,FALSE),main!$K$18:$O$18,0))))),1,0)</f>
        <v>0</v>
      </c>
      <c r="BN100">
        <f>IF((AND(VLOOKUP(BN$1,main!$A$3:$H$102,5,FALSE)-VLOOKUP($A100,main!$A$3:$H$102,6,FALSE)&gt;=(VLOOKUP(VLOOKUP(BN$1,main!$A$3:$H$102,8,FALSE),main!$K$26:$M$29,2,FALSE)+VLOOKUP(VLOOKUP(BN$1,main!$A$3:$H$102,7,FALSE),main!$K$19:$O$22,MATCH(VLOOKUP($A100,main!$A$3:$H$102,8,FALSE),main!$K$18:$O$18,0))))),1,0)</f>
        <v>1</v>
      </c>
      <c r="BO100">
        <f>IF((AND(VLOOKUP(BO$1,main!$A$3:$H$102,5,FALSE)-VLOOKUP($A100,main!$A$3:$H$102,6,FALSE)&gt;=(VLOOKUP(VLOOKUP(BO$1,main!$A$3:$H$102,8,FALSE),main!$K$26:$M$29,2,FALSE)+VLOOKUP(VLOOKUP(BO$1,main!$A$3:$H$102,7,FALSE),main!$K$19:$O$22,MATCH(VLOOKUP($A100,main!$A$3:$H$102,8,FALSE),main!$K$18:$O$18,0))))),1,0)</f>
        <v>0</v>
      </c>
      <c r="BP100">
        <f>IF((AND(VLOOKUP(BP$1,main!$A$3:$H$102,5,FALSE)-VLOOKUP($A100,main!$A$3:$H$102,6,FALSE)&gt;=(VLOOKUP(VLOOKUP(BP$1,main!$A$3:$H$102,8,FALSE),main!$K$26:$M$29,2,FALSE)+VLOOKUP(VLOOKUP(BP$1,main!$A$3:$H$102,7,FALSE),main!$K$19:$O$22,MATCH(VLOOKUP($A100,main!$A$3:$H$102,8,FALSE),main!$K$18:$O$18,0))))),1,0)</f>
        <v>0</v>
      </c>
      <c r="BQ100">
        <f>IF((AND(VLOOKUP(BQ$1,main!$A$3:$H$102,5,FALSE)-VLOOKUP($A100,main!$A$3:$H$102,6,FALSE)&gt;=(VLOOKUP(VLOOKUP(BQ$1,main!$A$3:$H$102,8,FALSE),main!$K$26:$M$29,2,FALSE)+VLOOKUP(VLOOKUP(BQ$1,main!$A$3:$H$102,7,FALSE),main!$K$19:$O$22,MATCH(VLOOKUP($A100,main!$A$3:$H$102,8,FALSE),main!$K$18:$O$18,0))))),1,0)</f>
        <v>0</v>
      </c>
      <c r="BR100">
        <f>IF((AND(VLOOKUP(BR$1,main!$A$3:$H$102,5,FALSE)-VLOOKUP($A100,main!$A$3:$H$102,6,FALSE)&gt;=(VLOOKUP(VLOOKUP(BR$1,main!$A$3:$H$102,8,FALSE),main!$K$26:$M$29,2,FALSE)+VLOOKUP(VLOOKUP(BR$1,main!$A$3:$H$102,7,FALSE),main!$K$19:$O$22,MATCH(VLOOKUP($A100,main!$A$3:$H$102,8,FALSE),main!$K$18:$O$18,0))))),1,0)</f>
        <v>0</v>
      </c>
      <c r="BS100">
        <f>IF((AND(VLOOKUP(BS$1,main!$A$3:$H$102,5,FALSE)-VLOOKUP($A100,main!$A$3:$H$102,6,FALSE)&gt;=(VLOOKUP(VLOOKUP(BS$1,main!$A$3:$H$102,8,FALSE),main!$K$26:$M$29,2,FALSE)+VLOOKUP(VLOOKUP(BS$1,main!$A$3:$H$102,7,FALSE),main!$K$19:$O$22,MATCH(VLOOKUP($A100,main!$A$3:$H$102,8,FALSE),main!$K$18:$O$18,0))))),1,0)</f>
        <v>0</v>
      </c>
      <c r="BT100">
        <f>IF((AND(VLOOKUP(BT$1,main!$A$3:$H$102,5,FALSE)-VLOOKUP($A100,main!$A$3:$H$102,6,FALSE)&gt;=(VLOOKUP(VLOOKUP(BT$1,main!$A$3:$H$102,8,FALSE),main!$K$26:$M$29,2,FALSE)+VLOOKUP(VLOOKUP(BT$1,main!$A$3:$H$102,7,FALSE),main!$K$19:$O$22,MATCH(VLOOKUP($A100,main!$A$3:$H$102,8,FALSE),main!$K$18:$O$18,0))))),1,0)</f>
        <v>0</v>
      </c>
      <c r="BU100">
        <f>IF((AND(VLOOKUP(BU$1,main!$A$3:$H$102,5,FALSE)-VLOOKUP($A100,main!$A$3:$H$102,6,FALSE)&gt;=(VLOOKUP(VLOOKUP(BU$1,main!$A$3:$H$102,8,FALSE),main!$K$26:$M$29,2,FALSE)+VLOOKUP(VLOOKUP(BU$1,main!$A$3:$H$102,7,FALSE),main!$K$19:$O$22,MATCH(VLOOKUP($A100,main!$A$3:$H$102,8,FALSE),main!$K$18:$O$18,0))))),1,0)</f>
        <v>0</v>
      </c>
      <c r="BV100">
        <f>IF((AND(VLOOKUP(BV$1,main!$A$3:$H$102,5,FALSE)-VLOOKUP($A100,main!$A$3:$H$102,6,FALSE)&gt;=(VLOOKUP(VLOOKUP(BV$1,main!$A$3:$H$102,8,FALSE),main!$K$26:$M$29,2,FALSE)+VLOOKUP(VLOOKUP(BV$1,main!$A$3:$H$102,7,FALSE),main!$K$19:$O$22,MATCH(VLOOKUP($A100,main!$A$3:$H$102,8,FALSE),main!$K$18:$O$18,0))))),1,0)</f>
        <v>0</v>
      </c>
      <c r="BW100">
        <f>IF((AND(VLOOKUP(BW$1,main!$A$3:$H$102,5,FALSE)-VLOOKUP($A100,main!$A$3:$H$102,6,FALSE)&gt;=(VLOOKUP(VLOOKUP(BW$1,main!$A$3:$H$102,8,FALSE),main!$K$26:$M$29,2,FALSE)+VLOOKUP(VLOOKUP(BW$1,main!$A$3:$H$102,7,FALSE),main!$K$19:$O$22,MATCH(VLOOKUP($A100,main!$A$3:$H$102,8,FALSE),main!$K$18:$O$18,0))))),1,0)</f>
        <v>0</v>
      </c>
      <c r="BX100">
        <f>IF((AND(VLOOKUP(BX$1,main!$A$3:$H$102,5,FALSE)-VLOOKUP($A100,main!$A$3:$H$102,6,FALSE)&gt;=(VLOOKUP(VLOOKUP(BX$1,main!$A$3:$H$102,8,FALSE),main!$K$26:$M$29,2,FALSE)+VLOOKUP(VLOOKUP(BX$1,main!$A$3:$H$102,7,FALSE),main!$K$19:$O$22,MATCH(VLOOKUP($A100,main!$A$3:$H$102,8,FALSE),main!$K$18:$O$18,0))))),1,0)</f>
        <v>0</v>
      </c>
      <c r="BY100">
        <f>IF((AND(VLOOKUP(BY$1,main!$A$3:$H$102,5,FALSE)-VLOOKUP($A100,main!$A$3:$H$102,6,FALSE)&gt;=(VLOOKUP(VLOOKUP(BY$1,main!$A$3:$H$102,8,FALSE),main!$K$26:$M$29,2,FALSE)+VLOOKUP(VLOOKUP(BY$1,main!$A$3:$H$102,7,FALSE),main!$K$19:$O$22,MATCH(VLOOKUP($A100,main!$A$3:$H$102,8,FALSE),main!$K$18:$O$18,0))))),1,0)</f>
        <v>0</v>
      </c>
      <c r="BZ100">
        <f>IF((AND(VLOOKUP(BZ$1,main!$A$3:$H$102,5,FALSE)-VLOOKUP($A100,main!$A$3:$H$102,6,FALSE)&gt;=(VLOOKUP(VLOOKUP(BZ$1,main!$A$3:$H$102,8,FALSE),main!$K$26:$M$29,2,FALSE)+VLOOKUP(VLOOKUP(BZ$1,main!$A$3:$H$102,7,FALSE),main!$K$19:$O$22,MATCH(VLOOKUP($A100,main!$A$3:$H$102,8,FALSE),main!$K$18:$O$18,0))))),1,0)</f>
        <v>0</v>
      </c>
      <c r="CA100">
        <f>IF((AND(VLOOKUP(CA$1,main!$A$3:$H$102,5,FALSE)-VLOOKUP($A100,main!$A$3:$H$102,6,FALSE)&gt;=(VLOOKUP(VLOOKUP(CA$1,main!$A$3:$H$102,8,FALSE),main!$K$26:$M$29,2,FALSE)+VLOOKUP(VLOOKUP(CA$1,main!$A$3:$H$102,7,FALSE),main!$K$19:$O$22,MATCH(VLOOKUP($A100,main!$A$3:$H$102,8,FALSE),main!$K$18:$O$18,0))))),1,0)</f>
        <v>0</v>
      </c>
      <c r="CB100">
        <f>IF((AND(VLOOKUP(CB$1,main!$A$3:$H$102,5,FALSE)-VLOOKUP($A100,main!$A$3:$H$102,6,FALSE)&gt;=(VLOOKUP(VLOOKUP(CB$1,main!$A$3:$H$102,8,FALSE),main!$K$26:$M$29,2,FALSE)+VLOOKUP(VLOOKUP(CB$1,main!$A$3:$H$102,7,FALSE),main!$K$19:$O$22,MATCH(VLOOKUP($A100,main!$A$3:$H$102,8,FALSE),main!$K$18:$O$18,0))))),1,0)</f>
        <v>1</v>
      </c>
      <c r="CC100">
        <f>IF((AND(VLOOKUP(CC$1,main!$A$3:$H$102,5,FALSE)-VLOOKUP($A100,main!$A$3:$H$102,6,FALSE)&gt;=(VLOOKUP(VLOOKUP(CC$1,main!$A$3:$H$102,8,FALSE),main!$K$26:$M$29,2,FALSE)+VLOOKUP(VLOOKUP(CC$1,main!$A$3:$H$102,7,FALSE),main!$K$19:$O$22,MATCH(VLOOKUP($A100,main!$A$3:$H$102,8,FALSE),main!$K$18:$O$18,0))))),1,0)</f>
        <v>1</v>
      </c>
      <c r="CD100">
        <f>IF((AND(VLOOKUP(CD$1,main!$A$3:$H$102,5,FALSE)-VLOOKUP($A100,main!$A$3:$H$102,6,FALSE)&gt;=(VLOOKUP(VLOOKUP(CD$1,main!$A$3:$H$102,8,FALSE),main!$K$26:$M$29,2,FALSE)+VLOOKUP(VLOOKUP(CD$1,main!$A$3:$H$102,7,FALSE),main!$K$19:$O$22,MATCH(VLOOKUP($A100,main!$A$3:$H$102,8,FALSE),main!$K$18:$O$18,0))))),1,0)</f>
        <v>0</v>
      </c>
      <c r="CE100">
        <f>IF((AND(VLOOKUP(CE$1,main!$A$3:$H$102,5,FALSE)-VLOOKUP($A100,main!$A$3:$H$102,6,FALSE)&gt;=(VLOOKUP(VLOOKUP(CE$1,main!$A$3:$H$102,8,FALSE),main!$K$26:$M$29,2,FALSE)+VLOOKUP(VLOOKUP(CE$1,main!$A$3:$H$102,7,FALSE),main!$K$19:$O$22,MATCH(VLOOKUP($A100,main!$A$3:$H$102,8,FALSE),main!$K$18:$O$18,0))))),1,0)</f>
        <v>0</v>
      </c>
      <c r="CF100">
        <f>IF((AND(VLOOKUP(CF$1,main!$A$3:$H$102,5,FALSE)-VLOOKUP($A100,main!$A$3:$H$102,6,FALSE)&gt;=(VLOOKUP(VLOOKUP(CF$1,main!$A$3:$H$102,8,FALSE),main!$K$26:$M$29,2,FALSE)+VLOOKUP(VLOOKUP(CF$1,main!$A$3:$H$102,7,FALSE),main!$K$19:$O$22,MATCH(VLOOKUP($A100,main!$A$3:$H$102,8,FALSE),main!$K$18:$O$18,0))))),1,0)</f>
        <v>0</v>
      </c>
      <c r="CG100">
        <f>IF((AND(VLOOKUP(CG$1,main!$A$3:$H$102,5,FALSE)-VLOOKUP($A100,main!$A$3:$H$102,6,FALSE)&gt;=(VLOOKUP(VLOOKUP(CG$1,main!$A$3:$H$102,8,FALSE),main!$K$26:$M$29,2,FALSE)+VLOOKUP(VLOOKUP(CG$1,main!$A$3:$H$102,7,FALSE),main!$K$19:$O$22,MATCH(VLOOKUP($A100,main!$A$3:$H$102,8,FALSE),main!$K$18:$O$18,0))))),1,0)</f>
        <v>0</v>
      </c>
      <c r="CH100">
        <f>IF((AND(VLOOKUP(CH$1,main!$A$3:$H$102,5,FALSE)-VLOOKUP($A100,main!$A$3:$H$102,6,FALSE)&gt;=(VLOOKUP(VLOOKUP(CH$1,main!$A$3:$H$102,8,FALSE),main!$K$26:$M$29,2,FALSE)+VLOOKUP(VLOOKUP(CH$1,main!$A$3:$H$102,7,FALSE),main!$K$19:$O$22,MATCH(VLOOKUP($A100,main!$A$3:$H$102,8,FALSE),main!$K$18:$O$18,0))))),1,0)</f>
        <v>1</v>
      </c>
      <c r="CI100">
        <f>IF((AND(VLOOKUP(CI$1,main!$A$3:$H$102,5,FALSE)-VLOOKUP($A100,main!$A$3:$H$102,6,FALSE)&gt;=(VLOOKUP(VLOOKUP(CI$1,main!$A$3:$H$102,8,FALSE),main!$K$26:$M$29,2,FALSE)+VLOOKUP(VLOOKUP(CI$1,main!$A$3:$H$102,7,FALSE),main!$K$19:$O$22,MATCH(VLOOKUP($A100,main!$A$3:$H$102,8,FALSE),main!$K$18:$O$18,0))))),1,0)</f>
        <v>1</v>
      </c>
      <c r="CJ100">
        <f>IF((AND(VLOOKUP(CJ$1,main!$A$3:$H$102,5,FALSE)-VLOOKUP($A100,main!$A$3:$H$102,6,FALSE)&gt;=(VLOOKUP(VLOOKUP(CJ$1,main!$A$3:$H$102,8,FALSE),main!$K$26:$M$29,2,FALSE)+VLOOKUP(VLOOKUP(CJ$1,main!$A$3:$H$102,7,FALSE),main!$K$19:$O$22,MATCH(VLOOKUP($A100,main!$A$3:$H$102,8,FALSE),main!$K$18:$O$18,0))))),1,0)</f>
        <v>0</v>
      </c>
      <c r="CK100">
        <f>IF((AND(VLOOKUP(CK$1,main!$A$3:$H$102,5,FALSE)-VLOOKUP($A100,main!$A$3:$H$102,6,FALSE)&gt;=(VLOOKUP(VLOOKUP(CK$1,main!$A$3:$H$102,8,FALSE),main!$K$26:$M$29,2,FALSE)+VLOOKUP(VLOOKUP(CK$1,main!$A$3:$H$102,7,FALSE),main!$K$19:$O$22,MATCH(VLOOKUP($A100,main!$A$3:$H$102,8,FALSE),main!$K$18:$O$18,0))))),1,0)</f>
        <v>0</v>
      </c>
      <c r="CL100">
        <f>IF((AND(VLOOKUP(CL$1,main!$A$3:$H$102,5,FALSE)-VLOOKUP($A100,main!$A$3:$H$102,6,FALSE)&gt;=(VLOOKUP(VLOOKUP(CL$1,main!$A$3:$H$102,8,FALSE),main!$K$26:$M$29,2,FALSE)+VLOOKUP(VLOOKUP(CL$1,main!$A$3:$H$102,7,FALSE),main!$K$19:$O$22,MATCH(VLOOKUP($A100,main!$A$3:$H$102,8,FALSE),main!$K$18:$O$18,0))))),1,0)</f>
        <v>0</v>
      </c>
      <c r="CM100">
        <f>IF((AND(VLOOKUP(CM$1,main!$A$3:$H$102,5,FALSE)-VLOOKUP($A100,main!$A$3:$H$102,6,FALSE)&gt;=(VLOOKUP(VLOOKUP(CM$1,main!$A$3:$H$102,8,FALSE),main!$K$26:$M$29,2,FALSE)+VLOOKUP(VLOOKUP(CM$1,main!$A$3:$H$102,7,FALSE),main!$K$19:$O$22,MATCH(VLOOKUP($A100,main!$A$3:$H$102,8,FALSE),main!$K$18:$O$18,0))))),1,0)</f>
        <v>1</v>
      </c>
      <c r="CN100">
        <f>IF((AND(VLOOKUP(CN$1,main!$A$3:$H$102,5,FALSE)-VLOOKUP($A100,main!$A$3:$H$102,6,FALSE)&gt;=(VLOOKUP(VLOOKUP(CN$1,main!$A$3:$H$102,8,FALSE),main!$K$26:$M$29,2,FALSE)+VLOOKUP(VLOOKUP(CN$1,main!$A$3:$H$102,7,FALSE),main!$K$19:$O$22,MATCH(VLOOKUP($A100,main!$A$3:$H$102,8,FALSE),main!$K$18:$O$18,0))))),1,0)</f>
        <v>1</v>
      </c>
      <c r="CO100">
        <f>IF((AND(VLOOKUP(CO$1,main!$A$3:$H$102,5,FALSE)-VLOOKUP($A100,main!$A$3:$H$102,6,FALSE)&gt;=(VLOOKUP(VLOOKUP(CO$1,main!$A$3:$H$102,8,FALSE),main!$K$26:$M$29,2,FALSE)+VLOOKUP(VLOOKUP(CO$1,main!$A$3:$H$102,7,FALSE),main!$K$19:$O$22,MATCH(VLOOKUP($A100,main!$A$3:$H$102,8,FALSE),main!$K$18:$O$18,0))))),1,0)</f>
        <v>0</v>
      </c>
      <c r="CP100">
        <f>IF((AND(VLOOKUP(CP$1,main!$A$3:$H$102,5,FALSE)-VLOOKUP($A100,main!$A$3:$H$102,6,FALSE)&gt;=(VLOOKUP(VLOOKUP(CP$1,main!$A$3:$H$102,8,FALSE),main!$K$26:$M$29,2,FALSE)+VLOOKUP(VLOOKUP(CP$1,main!$A$3:$H$102,7,FALSE),main!$K$19:$O$22,MATCH(VLOOKUP($A100,main!$A$3:$H$102,8,FALSE),main!$K$18:$O$18,0))))),1,0)</f>
        <v>0</v>
      </c>
      <c r="CQ100">
        <f>IF((AND(VLOOKUP(CQ$1,main!$A$3:$H$102,5,FALSE)-VLOOKUP($A100,main!$A$3:$H$102,6,FALSE)&gt;=(VLOOKUP(VLOOKUP(CQ$1,main!$A$3:$H$102,8,FALSE),main!$K$26:$M$29,2,FALSE)+VLOOKUP(VLOOKUP(CQ$1,main!$A$3:$H$102,7,FALSE),main!$K$19:$O$22,MATCH(VLOOKUP($A100,main!$A$3:$H$102,8,FALSE),main!$K$18:$O$18,0))))),1,0)</f>
        <v>0</v>
      </c>
      <c r="CR100">
        <f>IF((AND(VLOOKUP(CR$1,main!$A$3:$H$102,5,FALSE)-VLOOKUP($A100,main!$A$3:$H$102,6,FALSE)&gt;=(VLOOKUP(VLOOKUP(CR$1,main!$A$3:$H$102,8,FALSE),main!$K$26:$M$29,2,FALSE)+VLOOKUP(VLOOKUP(CR$1,main!$A$3:$H$102,7,FALSE),main!$K$19:$O$22,MATCH(VLOOKUP($A100,main!$A$3:$H$102,8,FALSE),main!$K$18:$O$18,0))))),1,0)</f>
        <v>1</v>
      </c>
      <c r="CS100">
        <f>IF((AND(VLOOKUP(CS$1,main!$A$3:$H$102,5,FALSE)-VLOOKUP($A100,main!$A$3:$H$102,6,FALSE)&gt;=(VLOOKUP(VLOOKUP(CS$1,main!$A$3:$H$102,8,FALSE),main!$K$26:$M$29,2,FALSE)+VLOOKUP(VLOOKUP(CS$1,main!$A$3:$H$102,7,FALSE),main!$K$19:$O$22,MATCH(VLOOKUP($A100,main!$A$3:$H$102,8,FALSE),main!$K$18:$O$18,0))))),1,0)</f>
        <v>1</v>
      </c>
      <c r="CT100">
        <f>IF((AND(VLOOKUP(CT$1,main!$A$3:$H$102,5,FALSE)-VLOOKUP($A100,main!$A$3:$H$102,6,FALSE)&gt;=(VLOOKUP(VLOOKUP(CT$1,main!$A$3:$H$102,8,FALSE),main!$K$26:$M$29,2,FALSE)+VLOOKUP(VLOOKUP(CT$1,main!$A$3:$H$102,7,FALSE),main!$K$19:$O$22,MATCH(VLOOKUP($A100,main!$A$3:$H$102,8,FALSE),main!$K$18:$O$18,0))))),1,0)</f>
        <v>0</v>
      </c>
      <c r="CU100">
        <f>IF((AND(VLOOKUP(CU$1,main!$A$3:$H$102,5,FALSE)-VLOOKUP($A100,main!$A$3:$H$102,6,FALSE)&gt;=(VLOOKUP(VLOOKUP(CU$1,main!$A$3:$H$102,8,FALSE),main!$K$26:$M$29,2,FALSE)+VLOOKUP(VLOOKUP(CU$1,main!$A$3:$H$102,7,FALSE),main!$K$19:$O$22,MATCH(VLOOKUP($A100,main!$A$3:$H$102,8,FALSE),main!$K$18:$O$18,0))))),1,0)</f>
        <v>0</v>
      </c>
      <c r="CV100">
        <f>IF((AND(VLOOKUP(CV$1,main!$A$3:$H$102,5,FALSE)-VLOOKUP($A100,main!$A$3:$H$102,6,FALSE)&gt;=(VLOOKUP(VLOOKUP(CV$1,main!$A$3:$H$102,8,FALSE),main!$K$26:$M$29,2,FALSE)+VLOOKUP(VLOOKUP(CV$1,main!$A$3:$H$102,7,FALSE),main!$K$19:$O$22,MATCH(VLOOKUP($A100,main!$A$3:$H$102,8,FALSE),main!$K$18:$O$18,0))))),1,0)</f>
        <v>0</v>
      </c>
      <c r="CW100">
        <f>IF((AND(VLOOKUP(CW$1,main!$A$3:$H$102,5,FALSE)-VLOOKUP($A100,main!$A$3:$H$102,6,FALSE)&gt;=(VLOOKUP(VLOOKUP(CW$1,main!$A$3:$H$102,8,FALSE),main!$K$26:$M$29,2,FALSE)+VLOOKUP(VLOOKUP(CW$1,main!$A$3:$H$102,7,FALSE),main!$K$19:$O$22,MATCH(VLOOKUP($A100,main!$A$3:$H$102,8,FALSE),main!$K$18:$O$18,0))))),1,0)</f>
        <v>1</v>
      </c>
      <c r="CX100">
        <f>IF((AND(VLOOKUP(CX$1,main!$A$3:$H$102,5,FALSE)-VLOOKUP($A100,main!$A$3:$H$102,6,FALSE)&gt;=(VLOOKUP(VLOOKUP(CX$1,main!$A$3:$H$102,8,FALSE),main!$K$26:$M$29,2,FALSE)+VLOOKUP(VLOOKUP(CX$1,main!$A$3:$H$102,7,FALSE),main!$K$19:$O$22,MATCH(VLOOKUP($A100,main!$A$3:$H$102,8,FALSE),main!$K$18:$O$18,0))))),1,0)</f>
        <v>1</v>
      </c>
    </row>
    <row r="101" spans="1:102" x14ac:dyDescent="0.25">
      <c r="A101" s="1">
        <v>99</v>
      </c>
      <c r="B101">
        <v>1</v>
      </c>
      <c r="C101">
        <f>IF((AND(VLOOKUP(C$1,main!$A$3:$H$102,5,FALSE)-VLOOKUP($A101,main!$A$3:$H$102,6,FALSE)&gt;=(VLOOKUP(VLOOKUP(C$1,main!$A$3:$H$102,8,FALSE),main!$K$26:$M$29,2,FALSE)+VLOOKUP(VLOOKUP(C$1,main!$A$3:$H$102,7,FALSE),main!$K$19:$O$22,MATCH(VLOOKUP($A101,main!$A$3:$H$102,8,FALSE),main!$K$18:$O$18,0))))),1,0)</f>
        <v>0</v>
      </c>
      <c r="D101">
        <f>IF((AND(VLOOKUP(D$1,main!$A$3:$H$102,5,FALSE)-VLOOKUP($A101,main!$A$3:$H$102,6,FALSE)&gt;=(VLOOKUP(VLOOKUP(D$1,main!$A$3:$H$102,8,FALSE),main!$K$26:$M$29,2,FALSE)+VLOOKUP(VLOOKUP(D$1,main!$A$3:$H$102,7,FALSE),main!$K$19:$O$22,MATCH(VLOOKUP($A101,main!$A$3:$H$102,8,FALSE),main!$K$18:$O$18,0))))),1,0)</f>
        <v>0</v>
      </c>
      <c r="E101">
        <f>IF((AND(VLOOKUP(E$1,main!$A$3:$H$102,5,FALSE)-VLOOKUP($A101,main!$A$3:$H$102,6,FALSE)&gt;=(VLOOKUP(VLOOKUP(E$1,main!$A$3:$H$102,8,FALSE),main!$K$26:$M$29,2,FALSE)+VLOOKUP(VLOOKUP(E$1,main!$A$3:$H$102,7,FALSE),main!$K$19:$O$22,MATCH(VLOOKUP($A101,main!$A$3:$H$102,8,FALSE),main!$K$18:$O$18,0))))),1,0)</f>
        <v>0</v>
      </c>
      <c r="F101">
        <f>IF((AND(VLOOKUP(F$1,main!$A$3:$H$102,5,FALSE)-VLOOKUP($A101,main!$A$3:$H$102,6,FALSE)&gt;=(VLOOKUP(VLOOKUP(F$1,main!$A$3:$H$102,8,FALSE),main!$K$26:$M$29,2,FALSE)+VLOOKUP(VLOOKUP(F$1,main!$A$3:$H$102,7,FALSE),main!$K$19:$O$22,MATCH(VLOOKUP($A101,main!$A$3:$H$102,8,FALSE),main!$K$18:$O$18,0))))),1,0)</f>
        <v>0</v>
      </c>
      <c r="G101">
        <f>IF((AND(VLOOKUP(G$1,main!$A$3:$H$102,5,FALSE)-VLOOKUP($A101,main!$A$3:$H$102,6,FALSE)&gt;=(VLOOKUP(VLOOKUP(G$1,main!$A$3:$H$102,8,FALSE),main!$K$26:$M$29,2,FALSE)+VLOOKUP(VLOOKUP(G$1,main!$A$3:$H$102,7,FALSE),main!$K$19:$O$22,MATCH(VLOOKUP($A101,main!$A$3:$H$102,8,FALSE),main!$K$18:$O$18,0))))),1,0)</f>
        <v>0</v>
      </c>
      <c r="H101">
        <f>IF((AND(VLOOKUP(H$1,main!$A$3:$H$102,5,FALSE)-VLOOKUP($A101,main!$A$3:$H$102,6,FALSE)&gt;=(VLOOKUP(VLOOKUP(H$1,main!$A$3:$H$102,8,FALSE),main!$K$26:$M$29,2,FALSE)+VLOOKUP(VLOOKUP(H$1,main!$A$3:$H$102,7,FALSE),main!$K$19:$O$22,MATCH(VLOOKUP($A101,main!$A$3:$H$102,8,FALSE),main!$K$18:$O$18,0))))),1,0)</f>
        <v>0</v>
      </c>
      <c r="I101">
        <f>IF((AND(VLOOKUP(I$1,main!$A$3:$H$102,5,FALSE)-VLOOKUP($A101,main!$A$3:$H$102,6,FALSE)&gt;=(VLOOKUP(VLOOKUP(I$1,main!$A$3:$H$102,8,FALSE),main!$K$26:$M$29,2,FALSE)+VLOOKUP(VLOOKUP(I$1,main!$A$3:$H$102,7,FALSE),main!$K$19:$O$22,MATCH(VLOOKUP($A101,main!$A$3:$H$102,8,FALSE),main!$K$18:$O$18,0))))),1,0)</f>
        <v>0</v>
      </c>
      <c r="J101">
        <f>IF((AND(VLOOKUP(J$1,main!$A$3:$H$102,5,FALSE)-VLOOKUP($A101,main!$A$3:$H$102,6,FALSE)&gt;=(VLOOKUP(VLOOKUP(J$1,main!$A$3:$H$102,8,FALSE),main!$K$26:$M$29,2,FALSE)+VLOOKUP(VLOOKUP(J$1,main!$A$3:$H$102,7,FALSE),main!$K$19:$O$22,MATCH(VLOOKUP($A101,main!$A$3:$H$102,8,FALSE),main!$K$18:$O$18,0))))),1,0)</f>
        <v>0</v>
      </c>
      <c r="K101">
        <f>IF((AND(VLOOKUP(K$1,main!$A$3:$H$102,5,FALSE)-VLOOKUP($A101,main!$A$3:$H$102,6,FALSE)&gt;=(VLOOKUP(VLOOKUP(K$1,main!$A$3:$H$102,8,FALSE),main!$K$26:$M$29,2,FALSE)+VLOOKUP(VLOOKUP(K$1,main!$A$3:$H$102,7,FALSE),main!$K$19:$O$22,MATCH(VLOOKUP($A101,main!$A$3:$H$102,8,FALSE),main!$K$18:$O$18,0))))),1,0)</f>
        <v>0</v>
      </c>
      <c r="L101">
        <f>IF((AND(VLOOKUP(L$1,main!$A$3:$H$102,5,FALSE)-VLOOKUP($A101,main!$A$3:$H$102,6,FALSE)&gt;=(VLOOKUP(VLOOKUP(L$1,main!$A$3:$H$102,8,FALSE),main!$K$26:$M$29,2,FALSE)+VLOOKUP(VLOOKUP(L$1,main!$A$3:$H$102,7,FALSE),main!$K$19:$O$22,MATCH(VLOOKUP($A101,main!$A$3:$H$102,8,FALSE),main!$K$18:$O$18,0))))),1,0)</f>
        <v>1</v>
      </c>
      <c r="M101">
        <f>IF((AND(VLOOKUP(M$1,main!$A$3:$H$102,5,FALSE)-VLOOKUP($A101,main!$A$3:$H$102,6,FALSE)&gt;=(VLOOKUP(VLOOKUP(M$1,main!$A$3:$H$102,8,FALSE),main!$K$26:$M$29,2,FALSE)+VLOOKUP(VLOOKUP(M$1,main!$A$3:$H$102,7,FALSE),main!$K$19:$O$22,MATCH(VLOOKUP($A101,main!$A$3:$H$102,8,FALSE),main!$K$18:$O$18,0))))),1,0)</f>
        <v>0</v>
      </c>
      <c r="N101">
        <f>IF((AND(VLOOKUP(N$1,main!$A$3:$H$102,5,FALSE)-VLOOKUP($A101,main!$A$3:$H$102,6,FALSE)&gt;=(VLOOKUP(VLOOKUP(N$1,main!$A$3:$H$102,8,FALSE),main!$K$26:$M$29,2,FALSE)+VLOOKUP(VLOOKUP(N$1,main!$A$3:$H$102,7,FALSE),main!$K$19:$O$22,MATCH(VLOOKUP($A101,main!$A$3:$H$102,8,FALSE),main!$K$18:$O$18,0))))),1,0)</f>
        <v>0</v>
      </c>
      <c r="O101">
        <f>IF((AND(VLOOKUP(O$1,main!$A$3:$H$102,5,FALSE)-VLOOKUP($A101,main!$A$3:$H$102,6,FALSE)&gt;=(VLOOKUP(VLOOKUP(O$1,main!$A$3:$H$102,8,FALSE),main!$K$26:$M$29,2,FALSE)+VLOOKUP(VLOOKUP(O$1,main!$A$3:$H$102,7,FALSE),main!$K$19:$O$22,MATCH(VLOOKUP($A101,main!$A$3:$H$102,8,FALSE),main!$K$18:$O$18,0))))),1,0)</f>
        <v>0</v>
      </c>
      <c r="P101">
        <f>IF((AND(VLOOKUP(P$1,main!$A$3:$H$102,5,FALSE)-VLOOKUP($A101,main!$A$3:$H$102,6,FALSE)&gt;=(VLOOKUP(VLOOKUP(P$1,main!$A$3:$H$102,8,FALSE),main!$K$26:$M$29,2,FALSE)+VLOOKUP(VLOOKUP(P$1,main!$A$3:$H$102,7,FALSE),main!$K$19:$O$22,MATCH(VLOOKUP($A101,main!$A$3:$H$102,8,FALSE),main!$K$18:$O$18,0))))),1,0)</f>
        <v>0</v>
      </c>
      <c r="Q101">
        <f>IF((AND(VLOOKUP(Q$1,main!$A$3:$H$102,5,FALSE)-VLOOKUP($A101,main!$A$3:$H$102,6,FALSE)&gt;=(VLOOKUP(VLOOKUP(Q$1,main!$A$3:$H$102,8,FALSE),main!$K$26:$M$29,2,FALSE)+VLOOKUP(VLOOKUP(Q$1,main!$A$3:$H$102,7,FALSE),main!$K$19:$O$22,MATCH(VLOOKUP($A101,main!$A$3:$H$102,8,FALSE),main!$K$18:$O$18,0))))),1,0)</f>
        <v>0</v>
      </c>
      <c r="R101">
        <f>IF((AND(VLOOKUP(R$1,main!$A$3:$H$102,5,FALSE)-VLOOKUP($A101,main!$A$3:$H$102,6,FALSE)&gt;=(VLOOKUP(VLOOKUP(R$1,main!$A$3:$H$102,8,FALSE),main!$K$26:$M$29,2,FALSE)+VLOOKUP(VLOOKUP(R$1,main!$A$3:$H$102,7,FALSE),main!$K$19:$O$22,MATCH(VLOOKUP($A101,main!$A$3:$H$102,8,FALSE),main!$K$18:$O$18,0))))),1,0)</f>
        <v>0</v>
      </c>
      <c r="S101">
        <f>IF((AND(VLOOKUP(S$1,main!$A$3:$H$102,5,FALSE)-VLOOKUP($A101,main!$A$3:$H$102,6,FALSE)&gt;=(VLOOKUP(VLOOKUP(S$1,main!$A$3:$H$102,8,FALSE),main!$K$26:$M$29,2,FALSE)+VLOOKUP(VLOOKUP(S$1,main!$A$3:$H$102,7,FALSE),main!$K$19:$O$22,MATCH(VLOOKUP($A101,main!$A$3:$H$102,8,FALSE),main!$K$18:$O$18,0))))),1,0)</f>
        <v>0</v>
      </c>
      <c r="T101">
        <f>IF((AND(VLOOKUP(T$1,main!$A$3:$H$102,5,FALSE)-VLOOKUP($A101,main!$A$3:$H$102,6,FALSE)&gt;=(VLOOKUP(VLOOKUP(T$1,main!$A$3:$H$102,8,FALSE),main!$K$26:$M$29,2,FALSE)+VLOOKUP(VLOOKUP(T$1,main!$A$3:$H$102,7,FALSE),main!$K$19:$O$22,MATCH(VLOOKUP($A101,main!$A$3:$H$102,8,FALSE),main!$K$18:$O$18,0))))),1,0)</f>
        <v>0</v>
      </c>
      <c r="U101">
        <f>IF((AND(VLOOKUP(U$1,main!$A$3:$H$102,5,FALSE)-VLOOKUP($A101,main!$A$3:$H$102,6,FALSE)&gt;=(VLOOKUP(VLOOKUP(U$1,main!$A$3:$H$102,8,FALSE),main!$K$26:$M$29,2,FALSE)+VLOOKUP(VLOOKUP(U$1,main!$A$3:$H$102,7,FALSE),main!$K$19:$O$22,MATCH(VLOOKUP($A101,main!$A$3:$H$102,8,FALSE),main!$K$18:$O$18,0))))),1,0)</f>
        <v>1</v>
      </c>
      <c r="V101">
        <f>IF((AND(VLOOKUP(V$1,main!$A$3:$H$102,5,FALSE)-VLOOKUP($A101,main!$A$3:$H$102,6,FALSE)&gt;=(VLOOKUP(VLOOKUP(V$1,main!$A$3:$H$102,8,FALSE),main!$K$26:$M$29,2,FALSE)+VLOOKUP(VLOOKUP(V$1,main!$A$3:$H$102,7,FALSE),main!$K$19:$O$22,MATCH(VLOOKUP($A101,main!$A$3:$H$102,8,FALSE),main!$K$18:$O$18,0))))),1,0)</f>
        <v>1</v>
      </c>
      <c r="W101">
        <f>IF((AND(VLOOKUP(W$1,main!$A$3:$H$102,5,FALSE)-VLOOKUP($A101,main!$A$3:$H$102,6,FALSE)&gt;=(VLOOKUP(VLOOKUP(W$1,main!$A$3:$H$102,8,FALSE),main!$K$26:$M$29,2,FALSE)+VLOOKUP(VLOOKUP(W$1,main!$A$3:$H$102,7,FALSE),main!$K$19:$O$22,MATCH(VLOOKUP($A101,main!$A$3:$H$102,8,FALSE),main!$K$18:$O$18,0))))),1,0)</f>
        <v>0</v>
      </c>
      <c r="X101">
        <f>IF((AND(VLOOKUP(X$1,main!$A$3:$H$102,5,FALSE)-VLOOKUP($A101,main!$A$3:$H$102,6,FALSE)&gt;=(VLOOKUP(VLOOKUP(X$1,main!$A$3:$H$102,8,FALSE),main!$K$26:$M$29,2,FALSE)+VLOOKUP(VLOOKUP(X$1,main!$A$3:$H$102,7,FALSE),main!$K$19:$O$22,MATCH(VLOOKUP($A101,main!$A$3:$H$102,8,FALSE),main!$K$18:$O$18,0))))),1,0)</f>
        <v>0</v>
      </c>
      <c r="Y101">
        <f>IF((AND(VLOOKUP(Y$1,main!$A$3:$H$102,5,FALSE)-VLOOKUP($A101,main!$A$3:$H$102,6,FALSE)&gt;=(VLOOKUP(VLOOKUP(Y$1,main!$A$3:$H$102,8,FALSE),main!$K$26:$M$29,2,FALSE)+VLOOKUP(VLOOKUP(Y$1,main!$A$3:$H$102,7,FALSE),main!$K$19:$O$22,MATCH(VLOOKUP($A101,main!$A$3:$H$102,8,FALSE),main!$K$18:$O$18,0))))),1,0)</f>
        <v>0</v>
      </c>
      <c r="Z101">
        <f>IF((AND(VLOOKUP(Z$1,main!$A$3:$H$102,5,FALSE)-VLOOKUP($A101,main!$A$3:$H$102,6,FALSE)&gt;=(VLOOKUP(VLOOKUP(Z$1,main!$A$3:$H$102,8,FALSE),main!$K$26:$M$29,2,FALSE)+VLOOKUP(VLOOKUP(Z$1,main!$A$3:$H$102,7,FALSE),main!$K$19:$O$22,MATCH(VLOOKUP($A101,main!$A$3:$H$102,8,FALSE),main!$K$18:$O$18,0))))),1,0)</f>
        <v>0</v>
      </c>
      <c r="AA101">
        <f>IF((AND(VLOOKUP(AA$1,main!$A$3:$H$102,5,FALSE)-VLOOKUP($A101,main!$A$3:$H$102,6,FALSE)&gt;=(VLOOKUP(VLOOKUP(AA$1,main!$A$3:$H$102,8,FALSE),main!$K$26:$M$29,2,FALSE)+VLOOKUP(VLOOKUP(AA$1,main!$A$3:$H$102,7,FALSE),main!$K$19:$O$22,MATCH(VLOOKUP($A101,main!$A$3:$H$102,8,FALSE),main!$K$18:$O$18,0))))),1,0)</f>
        <v>1</v>
      </c>
      <c r="AB101">
        <f>IF((AND(VLOOKUP(AB$1,main!$A$3:$H$102,5,FALSE)-VLOOKUP($A101,main!$A$3:$H$102,6,FALSE)&gt;=(VLOOKUP(VLOOKUP(AB$1,main!$A$3:$H$102,8,FALSE),main!$K$26:$M$29,2,FALSE)+VLOOKUP(VLOOKUP(AB$1,main!$A$3:$H$102,7,FALSE),main!$K$19:$O$22,MATCH(VLOOKUP($A101,main!$A$3:$H$102,8,FALSE),main!$K$18:$O$18,0))))),1,0)</f>
        <v>0</v>
      </c>
      <c r="AC101">
        <f>IF((AND(VLOOKUP(AC$1,main!$A$3:$H$102,5,FALSE)-VLOOKUP($A101,main!$A$3:$H$102,6,FALSE)&gt;=(VLOOKUP(VLOOKUP(AC$1,main!$A$3:$H$102,8,FALSE),main!$K$26:$M$29,2,FALSE)+VLOOKUP(VLOOKUP(AC$1,main!$A$3:$H$102,7,FALSE),main!$K$19:$O$22,MATCH(VLOOKUP($A101,main!$A$3:$H$102,8,FALSE),main!$K$18:$O$18,0))))),1,0)</f>
        <v>0</v>
      </c>
      <c r="AD101">
        <f>IF((AND(VLOOKUP(AD$1,main!$A$3:$H$102,5,FALSE)-VLOOKUP($A101,main!$A$3:$H$102,6,FALSE)&gt;=(VLOOKUP(VLOOKUP(AD$1,main!$A$3:$H$102,8,FALSE),main!$K$26:$M$29,2,FALSE)+VLOOKUP(VLOOKUP(AD$1,main!$A$3:$H$102,7,FALSE),main!$K$19:$O$22,MATCH(VLOOKUP($A101,main!$A$3:$H$102,8,FALSE),main!$K$18:$O$18,0))))),1,0)</f>
        <v>0</v>
      </c>
      <c r="AE101">
        <f>IF((AND(VLOOKUP(AE$1,main!$A$3:$H$102,5,FALSE)-VLOOKUP($A101,main!$A$3:$H$102,6,FALSE)&gt;=(VLOOKUP(VLOOKUP(AE$1,main!$A$3:$H$102,8,FALSE),main!$K$26:$M$29,2,FALSE)+VLOOKUP(VLOOKUP(AE$1,main!$A$3:$H$102,7,FALSE),main!$K$19:$O$22,MATCH(VLOOKUP($A101,main!$A$3:$H$102,8,FALSE),main!$K$18:$O$18,0))))),1,0)</f>
        <v>0</v>
      </c>
      <c r="AF101">
        <f>IF((AND(VLOOKUP(AF$1,main!$A$3:$H$102,5,FALSE)-VLOOKUP($A101,main!$A$3:$H$102,6,FALSE)&gt;=(VLOOKUP(VLOOKUP(AF$1,main!$A$3:$H$102,8,FALSE),main!$K$26:$M$29,2,FALSE)+VLOOKUP(VLOOKUP(AF$1,main!$A$3:$H$102,7,FALSE),main!$K$19:$O$22,MATCH(VLOOKUP($A101,main!$A$3:$H$102,8,FALSE),main!$K$18:$O$18,0))))),1,0)</f>
        <v>0</v>
      </c>
      <c r="AG101">
        <f>IF((AND(VLOOKUP(AG$1,main!$A$3:$H$102,5,FALSE)-VLOOKUP($A101,main!$A$3:$H$102,6,FALSE)&gt;=(VLOOKUP(VLOOKUP(AG$1,main!$A$3:$H$102,8,FALSE),main!$K$26:$M$29,2,FALSE)+VLOOKUP(VLOOKUP(AG$1,main!$A$3:$H$102,7,FALSE),main!$K$19:$O$22,MATCH(VLOOKUP($A101,main!$A$3:$H$102,8,FALSE),main!$K$18:$O$18,0))))),1,0)</f>
        <v>0</v>
      </c>
      <c r="AH101">
        <f>IF((AND(VLOOKUP(AH$1,main!$A$3:$H$102,5,FALSE)-VLOOKUP($A101,main!$A$3:$H$102,6,FALSE)&gt;=(VLOOKUP(VLOOKUP(AH$1,main!$A$3:$H$102,8,FALSE),main!$K$26:$M$29,2,FALSE)+VLOOKUP(VLOOKUP(AH$1,main!$A$3:$H$102,7,FALSE),main!$K$19:$O$22,MATCH(VLOOKUP($A101,main!$A$3:$H$102,8,FALSE),main!$K$18:$O$18,0))))),1,0)</f>
        <v>0</v>
      </c>
      <c r="AI101">
        <f>IF((AND(VLOOKUP(AI$1,main!$A$3:$H$102,5,FALSE)-VLOOKUP($A101,main!$A$3:$H$102,6,FALSE)&gt;=(VLOOKUP(VLOOKUP(AI$1,main!$A$3:$H$102,8,FALSE),main!$K$26:$M$29,2,FALSE)+VLOOKUP(VLOOKUP(AI$1,main!$A$3:$H$102,7,FALSE),main!$K$19:$O$22,MATCH(VLOOKUP($A101,main!$A$3:$H$102,8,FALSE),main!$K$18:$O$18,0))))),1,0)</f>
        <v>0</v>
      </c>
      <c r="AJ101">
        <f>IF((AND(VLOOKUP(AJ$1,main!$A$3:$H$102,5,FALSE)-VLOOKUP($A101,main!$A$3:$H$102,6,FALSE)&gt;=(VLOOKUP(VLOOKUP(AJ$1,main!$A$3:$H$102,8,FALSE),main!$K$26:$M$29,2,FALSE)+VLOOKUP(VLOOKUP(AJ$1,main!$A$3:$H$102,7,FALSE),main!$K$19:$O$22,MATCH(VLOOKUP($A101,main!$A$3:$H$102,8,FALSE),main!$K$18:$O$18,0))))),1,0)</f>
        <v>0</v>
      </c>
      <c r="AK101">
        <f>IF((AND(VLOOKUP(AK$1,main!$A$3:$H$102,5,FALSE)-VLOOKUP($A101,main!$A$3:$H$102,6,FALSE)&gt;=(VLOOKUP(VLOOKUP(AK$1,main!$A$3:$H$102,8,FALSE),main!$K$26:$M$29,2,FALSE)+VLOOKUP(VLOOKUP(AK$1,main!$A$3:$H$102,7,FALSE),main!$K$19:$O$22,MATCH(VLOOKUP($A101,main!$A$3:$H$102,8,FALSE),main!$K$18:$O$18,0))))),1,0)</f>
        <v>0</v>
      </c>
      <c r="AL101">
        <f>IF((AND(VLOOKUP(AL$1,main!$A$3:$H$102,5,FALSE)-VLOOKUP($A101,main!$A$3:$H$102,6,FALSE)&gt;=(VLOOKUP(VLOOKUP(AL$1,main!$A$3:$H$102,8,FALSE),main!$K$26:$M$29,2,FALSE)+VLOOKUP(VLOOKUP(AL$1,main!$A$3:$H$102,7,FALSE),main!$K$19:$O$22,MATCH(VLOOKUP($A101,main!$A$3:$H$102,8,FALSE),main!$K$18:$O$18,0))))),1,0)</f>
        <v>0</v>
      </c>
      <c r="AM101">
        <f>IF((AND(VLOOKUP(AM$1,main!$A$3:$H$102,5,FALSE)-VLOOKUP($A101,main!$A$3:$H$102,6,FALSE)&gt;=(VLOOKUP(VLOOKUP(AM$1,main!$A$3:$H$102,8,FALSE),main!$K$26:$M$29,2,FALSE)+VLOOKUP(VLOOKUP(AM$1,main!$A$3:$H$102,7,FALSE),main!$K$19:$O$22,MATCH(VLOOKUP($A101,main!$A$3:$H$102,8,FALSE),main!$K$18:$O$18,0))))),1,0)</f>
        <v>0</v>
      </c>
      <c r="AN101">
        <f>IF((AND(VLOOKUP(AN$1,main!$A$3:$H$102,5,FALSE)-VLOOKUP($A101,main!$A$3:$H$102,6,FALSE)&gt;=(VLOOKUP(VLOOKUP(AN$1,main!$A$3:$H$102,8,FALSE),main!$K$26:$M$29,2,FALSE)+VLOOKUP(VLOOKUP(AN$1,main!$A$3:$H$102,7,FALSE),main!$K$19:$O$22,MATCH(VLOOKUP($A101,main!$A$3:$H$102,8,FALSE),main!$K$18:$O$18,0))))),1,0)</f>
        <v>1</v>
      </c>
      <c r="AO101">
        <f>IF((AND(VLOOKUP(AO$1,main!$A$3:$H$102,5,FALSE)-VLOOKUP($A101,main!$A$3:$H$102,6,FALSE)&gt;=(VLOOKUP(VLOOKUP(AO$1,main!$A$3:$H$102,8,FALSE),main!$K$26:$M$29,2,FALSE)+VLOOKUP(VLOOKUP(AO$1,main!$A$3:$H$102,7,FALSE),main!$K$19:$O$22,MATCH(VLOOKUP($A101,main!$A$3:$H$102,8,FALSE),main!$K$18:$O$18,0))))),1,0)</f>
        <v>0</v>
      </c>
      <c r="AP101">
        <f>IF((AND(VLOOKUP(AP$1,main!$A$3:$H$102,5,FALSE)-VLOOKUP($A101,main!$A$3:$H$102,6,FALSE)&gt;=(VLOOKUP(VLOOKUP(AP$1,main!$A$3:$H$102,8,FALSE),main!$K$26:$M$29,2,FALSE)+VLOOKUP(VLOOKUP(AP$1,main!$A$3:$H$102,7,FALSE),main!$K$19:$O$22,MATCH(VLOOKUP($A101,main!$A$3:$H$102,8,FALSE),main!$K$18:$O$18,0))))),1,0)</f>
        <v>1</v>
      </c>
      <c r="AQ101">
        <f>IF((AND(VLOOKUP(AQ$1,main!$A$3:$H$102,5,FALSE)-VLOOKUP($A101,main!$A$3:$H$102,6,FALSE)&gt;=(VLOOKUP(VLOOKUP(AQ$1,main!$A$3:$H$102,8,FALSE),main!$K$26:$M$29,2,FALSE)+VLOOKUP(VLOOKUP(AQ$1,main!$A$3:$H$102,7,FALSE),main!$K$19:$O$22,MATCH(VLOOKUP($A101,main!$A$3:$H$102,8,FALSE),main!$K$18:$O$18,0))))),1,0)</f>
        <v>0</v>
      </c>
      <c r="AR101">
        <f>IF((AND(VLOOKUP(AR$1,main!$A$3:$H$102,5,FALSE)-VLOOKUP($A101,main!$A$3:$H$102,6,FALSE)&gt;=(VLOOKUP(VLOOKUP(AR$1,main!$A$3:$H$102,8,FALSE),main!$K$26:$M$29,2,FALSE)+VLOOKUP(VLOOKUP(AR$1,main!$A$3:$H$102,7,FALSE),main!$K$19:$O$22,MATCH(VLOOKUP($A101,main!$A$3:$H$102,8,FALSE),main!$K$18:$O$18,0))))),1,0)</f>
        <v>0</v>
      </c>
      <c r="AS101">
        <f>IF((AND(VLOOKUP(AS$1,main!$A$3:$H$102,5,FALSE)-VLOOKUP($A101,main!$A$3:$H$102,6,FALSE)&gt;=(VLOOKUP(VLOOKUP(AS$1,main!$A$3:$H$102,8,FALSE),main!$K$26:$M$29,2,FALSE)+VLOOKUP(VLOOKUP(AS$1,main!$A$3:$H$102,7,FALSE),main!$K$19:$O$22,MATCH(VLOOKUP($A101,main!$A$3:$H$102,8,FALSE),main!$K$18:$O$18,0))))),1,0)</f>
        <v>0</v>
      </c>
      <c r="AT101">
        <f>IF((AND(VLOOKUP(AT$1,main!$A$3:$H$102,5,FALSE)-VLOOKUP($A101,main!$A$3:$H$102,6,FALSE)&gt;=(VLOOKUP(VLOOKUP(AT$1,main!$A$3:$H$102,8,FALSE),main!$K$26:$M$29,2,FALSE)+VLOOKUP(VLOOKUP(AT$1,main!$A$3:$H$102,7,FALSE),main!$K$19:$O$22,MATCH(VLOOKUP($A101,main!$A$3:$H$102,8,FALSE),main!$K$18:$O$18,0))))),1,0)</f>
        <v>0</v>
      </c>
      <c r="AU101">
        <f>IF((AND(VLOOKUP(AU$1,main!$A$3:$H$102,5,FALSE)-VLOOKUP($A101,main!$A$3:$H$102,6,FALSE)&gt;=(VLOOKUP(VLOOKUP(AU$1,main!$A$3:$H$102,8,FALSE),main!$K$26:$M$29,2,FALSE)+VLOOKUP(VLOOKUP(AU$1,main!$A$3:$H$102,7,FALSE),main!$K$19:$O$22,MATCH(VLOOKUP($A101,main!$A$3:$H$102,8,FALSE),main!$K$18:$O$18,0))))),1,0)</f>
        <v>0</v>
      </c>
      <c r="AV101">
        <f>IF((AND(VLOOKUP(AV$1,main!$A$3:$H$102,5,FALSE)-VLOOKUP($A101,main!$A$3:$H$102,6,FALSE)&gt;=(VLOOKUP(VLOOKUP(AV$1,main!$A$3:$H$102,8,FALSE),main!$K$26:$M$29,2,FALSE)+VLOOKUP(VLOOKUP(AV$1,main!$A$3:$H$102,7,FALSE),main!$K$19:$O$22,MATCH(VLOOKUP($A101,main!$A$3:$H$102,8,FALSE),main!$K$18:$O$18,0))))),1,0)</f>
        <v>0</v>
      </c>
      <c r="AW101">
        <f>IF((AND(VLOOKUP(AW$1,main!$A$3:$H$102,5,FALSE)-VLOOKUP($A101,main!$A$3:$H$102,6,FALSE)&gt;=(VLOOKUP(VLOOKUP(AW$1,main!$A$3:$H$102,8,FALSE),main!$K$26:$M$29,2,FALSE)+VLOOKUP(VLOOKUP(AW$1,main!$A$3:$H$102,7,FALSE),main!$K$19:$O$22,MATCH(VLOOKUP($A101,main!$A$3:$H$102,8,FALSE),main!$K$18:$O$18,0))))),1,0)</f>
        <v>0</v>
      </c>
      <c r="AX101">
        <f>IF((AND(VLOOKUP(AX$1,main!$A$3:$H$102,5,FALSE)-VLOOKUP($A101,main!$A$3:$H$102,6,FALSE)&gt;=(VLOOKUP(VLOOKUP(AX$1,main!$A$3:$H$102,8,FALSE),main!$K$26:$M$29,2,FALSE)+VLOOKUP(VLOOKUP(AX$1,main!$A$3:$H$102,7,FALSE),main!$K$19:$O$22,MATCH(VLOOKUP($A101,main!$A$3:$H$102,8,FALSE),main!$K$18:$O$18,0))))),1,0)</f>
        <v>0</v>
      </c>
      <c r="AY101">
        <f>IF((AND(VLOOKUP(AY$1,main!$A$3:$H$102,5,FALSE)-VLOOKUP($A101,main!$A$3:$H$102,6,FALSE)&gt;=(VLOOKUP(VLOOKUP(AY$1,main!$A$3:$H$102,8,FALSE),main!$K$26:$M$29,2,FALSE)+VLOOKUP(VLOOKUP(AY$1,main!$A$3:$H$102,7,FALSE),main!$K$19:$O$22,MATCH(VLOOKUP($A101,main!$A$3:$H$102,8,FALSE),main!$K$18:$O$18,0))))),1,0)</f>
        <v>0</v>
      </c>
      <c r="AZ101">
        <f>IF((AND(VLOOKUP(AZ$1,main!$A$3:$H$102,5,FALSE)-VLOOKUP($A101,main!$A$3:$H$102,6,FALSE)&gt;=(VLOOKUP(VLOOKUP(AZ$1,main!$A$3:$H$102,8,FALSE),main!$K$26:$M$29,2,FALSE)+VLOOKUP(VLOOKUP(AZ$1,main!$A$3:$H$102,7,FALSE),main!$K$19:$O$22,MATCH(VLOOKUP($A101,main!$A$3:$H$102,8,FALSE),main!$K$18:$O$18,0))))),1,0)</f>
        <v>0</v>
      </c>
      <c r="BA101">
        <f>IF((AND(VLOOKUP(BA$1,main!$A$3:$H$102,5,FALSE)-VLOOKUP($A101,main!$A$3:$H$102,6,FALSE)&gt;=(VLOOKUP(VLOOKUP(BA$1,main!$A$3:$H$102,8,FALSE),main!$K$26:$M$29,2,FALSE)+VLOOKUP(VLOOKUP(BA$1,main!$A$3:$H$102,7,FALSE),main!$K$19:$O$22,MATCH(VLOOKUP($A101,main!$A$3:$H$102,8,FALSE),main!$K$18:$O$18,0))))),1,0)</f>
        <v>0</v>
      </c>
      <c r="BB101">
        <f>IF((AND(VLOOKUP(BB$1,main!$A$3:$H$102,5,FALSE)-VLOOKUP($A101,main!$A$3:$H$102,6,FALSE)&gt;=(VLOOKUP(VLOOKUP(BB$1,main!$A$3:$H$102,8,FALSE),main!$K$26:$M$29,2,FALSE)+VLOOKUP(VLOOKUP(BB$1,main!$A$3:$H$102,7,FALSE),main!$K$19:$O$22,MATCH(VLOOKUP($A101,main!$A$3:$H$102,8,FALSE),main!$K$18:$O$18,0))))),1,0)</f>
        <v>0</v>
      </c>
      <c r="BC101">
        <f>IF((AND(VLOOKUP(BC$1,main!$A$3:$H$102,5,FALSE)-VLOOKUP($A101,main!$A$3:$H$102,6,FALSE)&gt;=(VLOOKUP(VLOOKUP(BC$1,main!$A$3:$H$102,8,FALSE),main!$K$26:$M$29,2,FALSE)+VLOOKUP(VLOOKUP(BC$1,main!$A$3:$H$102,7,FALSE),main!$K$19:$O$22,MATCH(VLOOKUP($A101,main!$A$3:$H$102,8,FALSE),main!$K$18:$O$18,0))))),1,0)</f>
        <v>0</v>
      </c>
      <c r="BD101">
        <f>IF((AND(VLOOKUP(BD$1,main!$A$3:$H$102,5,FALSE)-VLOOKUP($A101,main!$A$3:$H$102,6,FALSE)&gt;=(VLOOKUP(VLOOKUP(BD$1,main!$A$3:$H$102,8,FALSE),main!$K$26:$M$29,2,FALSE)+VLOOKUP(VLOOKUP(BD$1,main!$A$3:$H$102,7,FALSE),main!$K$19:$O$22,MATCH(VLOOKUP($A101,main!$A$3:$H$102,8,FALSE),main!$K$18:$O$18,0))))),1,0)</f>
        <v>0</v>
      </c>
      <c r="BE101">
        <f>IF((AND(VLOOKUP(BE$1,main!$A$3:$H$102,5,FALSE)-VLOOKUP($A101,main!$A$3:$H$102,6,FALSE)&gt;=(VLOOKUP(VLOOKUP(BE$1,main!$A$3:$H$102,8,FALSE),main!$K$26:$M$29,2,FALSE)+VLOOKUP(VLOOKUP(BE$1,main!$A$3:$H$102,7,FALSE),main!$K$19:$O$22,MATCH(VLOOKUP($A101,main!$A$3:$H$102,8,FALSE),main!$K$18:$O$18,0))))),1,0)</f>
        <v>0</v>
      </c>
      <c r="BF101">
        <f>IF((AND(VLOOKUP(BF$1,main!$A$3:$H$102,5,FALSE)-VLOOKUP($A101,main!$A$3:$H$102,6,FALSE)&gt;=(VLOOKUP(VLOOKUP(BF$1,main!$A$3:$H$102,8,FALSE),main!$K$26:$M$29,2,FALSE)+VLOOKUP(VLOOKUP(BF$1,main!$A$3:$H$102,7,FALSE),main!$K$19:$O$22,MATCH(VLOOKUP($A101,main!$A$3:$H$102,8,FALSE),main!$K$18:$O$18,0))))),1,0)</f>
        <v>0</v>
      </c>
      <c r="BG101">
        <f>IF((AND(VLOOKUP(BG$1,main!$A$3:$H$102,5,FALSE)-VLOOKUP($A101,main!$A$3:$H$102,6,FALSE)&gt;=(VLOOKUP(VLOOKUP(BG$1,main!$A$3:$H$102,8,FALSE),main!$K$26:$M$29,2,FALSE)+VLOOKUP(VLOOKUP(BG$1,main!$A$3:$H$102,7,FALSE),main!$K$19:$O$22,MATCH(VLOOKUP($A101,main!$A$3:$H$102,8,FALSE),main!$K$18:$O$18,0))))),1,0)</f>
        <v>0</v>
      </c>
      <c r="BH101">
        <f>IF((AND(VLOOKUP(BH$1,main!$A$3:$H$102,5,FALSE)-VLOOKUP($A101,main!$A$3:$H$102,6,FALSE)&gt;=(VLOOKUP(VLOOKUP(BH$1,main!$A$3:$H$102,8,FALSE),main!$K$26:$M$29,2,FALSE)+VLOOKUP(VLOOKUP(BH$1,main!$A$3:$H$102,7,FALSE),main!$K$19:$O$22,MATCH(VLOOKUP($A101,main!$A$3:$H$102,8,FALSE),main!$K$18:$O$18,0))))),1,0)</f>
        <v>0</v>
      </c>
      <c r="BI101">
        <f>IF((AND(VLOOKUP(BI$1,main!$A$3:$H$102,5,FALSE)-VLOOKUP($A101,main!$A$3:$H$102,6,FALSE)&gt;=(VLOOKUP(VLOOKUP(BI$1,main!$A$3:$H$102,8,FALSE),main!$K$26:$M$29,2,FALSE)+VLOOKUP(VLOOKUP(BI$1,main!$A$3:$H$102,7,FALSE),main!$K$19:$O$22,MATCH(VLOOKUP($A101,main!$A$3:$H$102,8,FALSE),main!$K$18:$O$18,0))))),1,0)</f>
        <v>1</v>
      </c>
      <c r="BJ101">
        <f>IF((AND(VLOOKUP(BJ$1,main!$A$3:$H$102,5,FALSE)-VLOOKUP($A101,main!$A$3:$H$102,6,FALSE)&gt;=(VLOOKUP(VLOOKUP(BJ$1,main!$A$3:$H$102,8,FALSE),main!$K$26:$M$29,2,FALSE)+VLOOKUP(VLOOKUP(BJ$1,main!$A$3:$H$102,7,FALSE),main!$K$19:$O$22,MATCH(VLOOKUP($A101,main!$A$3:$H$102,8,FALSE),main!$K$18:$O$18,0))))),1,0)</f>
        <v>0</v>
      </c>
      <c r="BK101">
        <f>IF((AND(VLOOKUP(BK$1,main!$A$3:$H$102,5,FALSE)-VLOOKUP($A101,main!$A$3:$H$102,6,FALSE)&gt;=(VLOOKUP(VLOOKUP(BK$1,main!$A$3:$H$102,8,FALSE),main!$K$26:$M$29,2,FALSE)+VLOOKUP(VLOOKUP(BK$1,main!$A$3:$H$102,7,FALSE),main!$K$19:$O$22,MATCH(VLOOKUP($A101,main!$A$3:$H$102,8,FALSE),main!$K$18:$O$18,0))))),1,0)</f>
        <v>0</v>
      </c>
      <c r="BL101">
        <f>IF((AND(VLOOKUP(BL$1,main!$A$3:$H$102,5,FALSE)-VLOOKUP($A101,main!$A$3:$H$102,6,FALSE)&gt;=(VLOOKUP(VLOOKUP(BL$1,main!$A$3:$H$102,8,FALSE),main!$K$26:$M$29,2,FALSE)+VLOOKUP(VLOOKUP(BL$1,main!$A$3:$H$102,7,FALSE),main!$K$19:$O$22,MATCH(VLOOKUP($A101,main!$A$3:$H$102,8,FALSE),main!$K$18:$O$18,0))))),1,0)</f>
        <v>0</v>
      </c>
      <c r="BM101">
        <f>IF((AND(VLOOKUP(BM$1,main!$A$3:$H$102,5,FALSE)-VLOOKUP($A101,main!$A$3:$H$102,6,FALSE)&gt;=(VLOOKUP(VLOOKUP(BM$1,main!$A$3:$H$102,8,FALSE),main!$K$26:$M$29,2,FALSE)+VLOOKUP(VLOOKUP(BM$1,main!$A$3:$H$102,7,FALSE),main!$K$19:$O$22,MATCH(VLOOKUP($A101,main!$A$3:$H$102,8,FALSE),main!$K$18:$O$18,0))))),1,0)</f>
        <v>0</v>
      </c>
      <c r="BN101">
        <f>IF((AND(VLOOKUP(BN$1,main!$A$3:$H$102,5,FALSE)-VLOOKUP($A101,main!$A$3:$H$102,6,FALSE)&gt;=(VLOOKUP(VLOOKUP(BN$1,main!$A$3:$H$102,8,FALSE),main!$K$26:$M$29,2,FALSE)+VLOOKUP(VLOOKUP(BN$1,main!$A$3:$H$102,7,FALSE),main!$K$19:$O$22,MATCH(VLOOKUP($A101,main!$A$3:$H$102,8,FALSE),main!$K$18:$O$18,0))))),1,0)</f>
        <v>0</v>
      </c>
      <c r="BO101">
        <f>IF((AND(VLOOKUP(BO$1,main!$A$3:$H$102,5,FALSE)-VLOOKUP($A101,main!$A$3:$H$102,6,FALSE)&gt;=(VLOOKUP(VLOOKUP(BO$1,main!$A$3:$H$102,8,FALSE),main!$K$26:$M$29,2,FALSE)+VLOOKUP(VLOOKUP(BO$1,main!$A$3:$H$102,7,FALSE),main!$K$19:$O$22,MATCH(VLOOKUP($A101,main!$A$3:$H$102,8,FALSE),main!$K$18:$O$18,0))))),1,0)</f>
        <v>0</v>
      </c>
      <c r="BP101">
        <f>IF((AND(VLOOKUP(BP$1,main!$A$3:$H$102,5,FALSE)-VLOOKUP($A101,main!$A$3:$H$102,6,FALSE)&gt;=(VLOOKUP(VLOOKUP(BP$1,main!$A$3:$H$102,8,FALSE),main!$K$26:$M$29,2,FALSE)+VLOOKUP(VLOOKUP(BP$1,main!$A$3:$H$102,7,FALSE),main!$K$19:$O$22,MATCH(VLOOKUP($A101,main!$A$3:$H$102,8,FALSE),main!$K$18:$O$18,0))))),1,0)</f>
        <v>0</v>
      </c>
      <c r="BQ101">
        <f>IF((AND(VLOOKUP(BQ$1,main!$A$3:$H$102,5,FALSE)-VLOOKUP($A101,main!$A$3:$H$102,6,FALSE)&gt;=(VLOOKUP(VLOOKUP(BQ$1,main!$A$3:$H$102,8,FALSE),main!$K$26:$M$29,2,FALSE)+VLOOKUP(VLOOKUP(BQ$1,main!$A$3:$H$102,7,FALSE),main!$K$19:$O$22,MATCH(VLOOKUP($A101,main!$A$3:$H$102,8,FALSE),main!$K$18:$O$18,0))))),1,0)</f>
        <v>0</v>
      </c>
      <c r="BR101">
        <f>IF((AND(VLOOKUP(BR$1,main!$A$3:$H$102,5,FALSE)-VLOOKUP($A101,main!$A$3:$H$102,6,FALSE)&gt;=(VLOOKUP(VLOOKUP(BR$1,main!$A$3:$H$102,8,FALSE),main!$K$26:$M$29,2,FALSE)+VLOOKUP(VLOOKUP(BR$1,main!$A$3:$H$102,7,FALSE),main!$K$19:$O$22,MATCH(VLOOKUP($A101,main!$A$3:$H$102,8,FALSE),main!$K$18:$O$18,0))))),1,0)</f>
        <v>0</v>
      </c>
      <c r="BS101">
        <f>IF((AND(VLOOKUP(BS$1,main!$A$3:$H$102,5,FALSE)-VLOOKUP($A101,main!$A$3:$H$102,6,FALSE)&gt;=(VLOOKUP(VLOOKUP(BS$1,main!$A$3:$H$102,8,FALSE),main!$K$26:$M$29,2,FALSE)+VLOOKUP(VLOOKUP(BS$1,main!$A$3:$H$102,7,FALSE),main!$K$19:$O$22,MATCH(VLOOKUP($A101,main!$A$3:$H$102,8,FALSE),main!$K$18:$O$18,0))))),1,0)</f>
        <v>0</v>
      </c>
      <c r="BT101">
        <f>IF((AND(VLOOKUP(BT$1,main!$A$3:$H$102,5,FALSE)-VLOOKUP($A101,main!$A$3:$H$102,6,FALSE)&gt;=(VLOOKUP(VLOOKUP(BT$1,main!$A$3:$H$102,8,FALSE),main!$K$26:$M$29,2,FALSE)+VLOOKUP(VLOOKUP(BT$1,main!$A$3:$H$102,7,FALSE),main!$K$19:$O$22,MATCH(VLOOKUP($A101,main!$A$3:$H$102,8,FALSE),main!$K$18:$O$18,0))))),1,0)</f>
        <v>0</v>
      </c>
      <c r="BU101">
        <f>IF((AND(VLOOKUP(BU$1,main!$A$3:$H$102,5,FALSE)-VLOOKUP($A101,main!$A$3:$H$102,6,FALSE)&gt;=(VLOOKUP(VLOOKUP(BU$1,main!$A$3:$H$102,8,FALSE),main!$K$26:$M$29,2,FALSE)+VLOOKUP(VLOOKUP(BU$1,main!$A$3:$H$102,7,FALSE),main!$K$19:$O$22,MATCH(VLOOKUP($A101,main!$A$3:$H$102,8,FALSE),main!$K$18:$O$18,0))))),1,0)</f>
        <v>0</v>
      </c>
      <c r="BV101">
        <f>IF((AND(VLOOKUP(BV$1,main!$A$3:$H$102,5,FALSE)-VLOOKUP($A101,main!$A$3:$H$102,6,FALSE)&gt;=(VLOOKUP(VLOOKUP(BV$1,main!$A$3:$H$102,8,FALSE),main!$K$26:$M$29,2,FALSE)+VLOOKUP(VLOOKUP(BV$1,main!$A$3:$H$102,7,FALSE),main!$K$19:$O$22,MATCH(VLOOKUP($A101,main!$A$3:$H$102,8,FALSE),main!$K$18:$O$18,0))))),1,0)</f>
        <v>0</v>
      </c>
      <c r="BW101">
        <f>IF((AND(VLOOKUP(BW$1,main!$A$3:$H$102,5,FALSE)-VLOOKUP($A101,main!$A$3:$H$102,6,FALSE)&gt;=(VLOOKUP(VLOOKUP(BW$1,main!$A$3:$H$102,8,FALSE),main!$K$26:$M$29,2,FALSE)+VLOOKUP(VLOOKUP(BW$1,main!$A$3:$H$102,7,FALSE),main!$K$19:$O$22,MATCH(VLOOKUP($A101,main!$A$3:$H$102,8,FALSE),main!$K$18:$O$18,0))))),1,0)</f>
        <v>0</v>
      </c>
      <c r="BX101">
        <f>IF((AND(VLOOKUP(BX$1,main!$A$3:$H$102,5,FALSE)-VLOOKUP($A101,main!$A$3:$H$102,6,FALSE)&gt;=(VLOOKUP(VLOOKUP(BX$1,main!$A$3:$H$102,8,FALSE),main!$K$26:$M$29,2,FALSE)+VLOOKUP(VLOOKUP(BX$1,main!$A$3:$H$102,7,FALSE),main!$K$19:$O$22,MATCH(VLOOKUP($A101,main!$A$3:$H$102,8,FALSE),main!$K$18:$O$18,0))))),1,0)</f>
        <v>0</v>
      </c>
      <c r="BY101">
        <f>IF((AND(VLOOKUP(BY$1,main!$A$3:$H$102,5,FALSE)-VLOOKUP($A101,main!$A$3:$H$102,6,FALSE)&gt;=(VLOOKUP(VLOOKUP(BY$1,main!$A$3:$H$102,8,FALSE),main!$K$26:$M$29,2,FALSE)+VLOOKUP(VLOOKUP(BY$1,main!$A$3:$H$102,7,FALSE),main!$K$19:$O$22,MATCH(VLOOKUP($A101,main!$A$3:$H$102,8,FALSE),main!$K$18:$O$18,0))))),1,0)</f>
        <v>0</v>
      </c>
      <c r="BZ101">
        <f>IF((AND(VLOOKUP(BZ$1,main!$A$3:$H$102,5,FALSE)-VLOOKUP($A101,main!$A$3:$H$102,6,FALSE)&gt;=(VLOOKUP(VLOOKUP(BZ$1,main!$A$3:$H$102,8,FALSE),main!$K$26:$M$29,2,FALSE)+VLOOKUP(VLOOKUP(BZ$1,main!$A$3:$H$102,7,FALSE),main!$K$19:$O$22,MATCH(VLOOKUP($A101,main!$A$3:$H$102,8,FALSE),main!$K$18:$O$18,0))))),1,0)</f>
        <v>0</v>
      </c>
      <c r="CA101">
        <f>IF((AND(VLOOKUP(CA$1,main!$A$3:$H$102,5,FALSE)-VLOOKUP($A101,main!$A$3:$H$102,6,FALSE)&gt;=(VLOOKUP(VLOOKUP(CA$1,main!$A$3:$H$102,8,FALSE),main!$K$26:$M$29,2,FALSE)+VLOOKUP(VLOOKUP(CA$1,main!$A$3:$H$102,7,FALSE),main!$K$19:$O$22,MATCH(VLOOKUP($A101,main!$A$3:$H$102,8,FALSE),main!$K$18:$O$18,0))))),1,0)</f>
        <v>0</v>
      </c>
      <c r="CB101">
        <f>IF((AND(VLOOKUP(CB$1,main!$A$3:$H$102,5,FALSE)-VLOOKUP($A101,main!$A$3:$H$102,6,FALSE)&gt;=(VLOOKUP(VLOOKUP(CB$1,main!$A$3:$H$102,8,FALSE),main!$K$26:$M$29,2,FALSE)+VLOOKUP(VLOOKUP(CB$1,main!$A$3:$H$102,7,FALSE),main!$K$19:$O$22,MATCH(VLOOKUP($A101,main!$A$3:$H$102,8,FALSE),main!$K$18:$O$18,0))))),1,0)</f>
        <v>0</v>
      </c>
      <c r="CC101">
        <f>IF((AND(VLOOKUP(CC$1,main!$A$3:$H$102,5,FALSE)-VLOOKUP($A101,main!$A$3:$H$102,6,FALSE)&gt;=(VLOOKUP(VLOOKUP(CC$1,main!$A$3:$H$102,8,FALSE),main!$K$26:$M$29,2,FALSE)+VLOOKUP(VLOOKUP(CC$1,main!$A$3:$H$102,7,FALSE),main!$K$19:$O$22,MATCH(VLOOKUP($A101,main!$A$3:$H$102,8,FALSE),main!$K$18:$O$18,0))))),1,0)</f>
        <v>1</v>
      </c>
      <c r="CD101">
        <f>IF((AND(VLOOKUP(CD$1,main!$A$3:$H$102,5,FALSE)-VLOOKUP($A101,main!$A$3:$H$102,6,FALSE)&gt;=(VLOOKUP(VLOOKUP(CD$1,main!$A$3:$H$102,8,FALSE),main!$K$26:$M$29,2,FALSE)+VLOOKUP(VLOOKUP(CD$1,main!$A$3:$H$102,7,FALSE),main!$K$19:$O$22,MATCH(VLOOKUP($A101,main!$A$3:$H$102,8,FALSE),main!$K$18:$O$18,0))))),1,0)</f>
        <v>0</v>
      </c>
      <c r="CE101">
        <f>IF((AND(VLOOKUP(CE$1,main!$A$3:$H$102,5,FALSE)-VLOOKUP($A101,main!$A$3:$H$102,6,FALSE)&gt;=(VLOOKUP(VLOOKUP(CE$1,main!$A$3:$H$102,8,FALSE),main!$K$26:$M$29,2,FALSE)+VLOOKUP(VLOOKUP(CE$1,main!$A$3:$H$102,7,FALSE),main!$K$19:$O$22,MATCH(VLOOKUP($A101,main!$A$3:$H$102,8,FALSE),main!$K$18:$O$18,0))))),1,0)</f>
        <v>0</v>
      </c>
      <c r="CF101">
        <f>IF((AND(VLOOKUP(CF$1,main!$A$3:$H$102,5,FALSE)-VLOOKUP($A101,main!$A$3:$H$102,6,FALSE)&gt;=(VLOOKUP(VLOOKUP(CF$1,main!$A$3:$H$102,8,FALSE),main!$K$26:$M$29,2,FALSE)+VLOOKUP(VLOOKUP(CF$1,main!$A$3:$H$102,7,FALSE),main!$K$19:$O$22,MATCH(VLOOKUP($A101,main!$A$3:$H$102,8,FALSE),main!$K$18:$O$18,0))))),1,0)</f>
        <v>0</v>
      </c>
      <c r="CG101">
        <f>IF((AND(VLOOKUP(CG$1,main!$A$3:$H$102,5,FALSE)-VLOOKUP($A101,main!$A$3:$H$102,6,FALSE)&gt;=(VLOOKUP(VLOOKUP(CG$1,main!$A$3:$H$102,8,FALSE),main!$K$26:$M$29,2,FALSE)+VLOOKUP(VLOOKUP(CG$1,main!$A$3:$H$102,7,FALSE),main!$K$19:$O$22,MATCH(VLOOKUP($A101,main!$A$3:$H$102,8,FALSE),main!$K$18:$O$18,0))))),1,0)</f>
        <v>0</v>
      </c>
      <c r="CH101">
        <f>IF((AND(VLOOKUP(CH$1,main!$A$3:$H$102,5,FALSE)-VLOOKUP($A101,main!$A$3:$H$102,6,FALSE)&gt;=(VLOOKUP(VLOOKUP(CH$1,main!$A$3:$H$102,8,FALSE),main!$K$26:$M$29,2,FALSE)+VLOOKUP(VLOOKUP(CH$1,main!$A$3:$H$102,7,FALSE),main!$K$19:$O$22,MATCH(VLOOKUP($A101,main!$A$3:$H$102,8,FALSE),main!$K$18:$O$18,0))))),1,0)</f>
        <v>0</v>
      </c>
      <c r="CI101">
        <f>IF((AND(VLOOKUP(CI$1,main!$A$3:$H$102,5,FALSE)-VLOOKUP($A101,main!$A$3:$H$102,6,FALSE)&gt;=(VLOOKUP(VLOOKUP(CI$1,main!$A$3:$H$102,8,FALSE),main!$K$26:$M$29,2,FALSE)+VLOOKUP(VLOOKUP(CI$1,main!$A$3:$H$102,7,FALSE),main!$K$19:$O$22,MATCH(VLOOKUP($A101,main!$A$3:$H$102,8,FALSE),main!$K$18:$O$18,0))))),1,0)</f>
        <v>1</v>
      </c>
      <c r="CJ101">
        <f>IF((AND(VLOOKUP(CJ$1,main!$A$3:$H$102,5,FALSE)-VLOOKUP($A101,main!$A$3:$H$102,6,FALSE)&gt;=(VLOOKUP(VLOOKUP(CJ$1,main!$A$3:$H$102,8,FALSE),main!$K$26:$M$29,2,FALSE)+VLOOKUP(VLOOKUP(CJ$1,main!$A$3:$H$102,7,FALSE),main!$K$19:$O$22,MATCH(VLOOKUP($A101,main!$A$3:$H$102,8,FALSE),main!$K$18:$O$18,0))))),1,0)</f>
        <v>0</v>
      </c>
      <c r="CK101">
        <f>IF((AND(VLOOKUP(CK$1,main!$A$3:$H$102,5,FALSE)-VLOOKUP($A101,main!$A$3:$H$102,6,FALSE)&gt;=(VLOOKUP(VLOOKUP(CK$1,main!$A$3:$H$102,8,FALSE),main!$K$26:$M$29,2,FALSE)+VLOOKUP(VLOOKUP(CK$1,main!$A$3:$H$102,7,FALSE),main!$K$19:$O$22,MATCH(VLOOKUP($A101,main!$A$3:$H$102,8,FALSE),main!$K$18:$O$18,0))))),1,0)</f>
        <v>0</v>
      </c>
      <c r="CL101">
        <f>IF((AND(VLOOKUP(CL$1,main!$A$3:$H$102,5,FALSE)-VLOOKUP($A101,main!$A$3:$H$102,6,FALSE)&gt;=(VLOOKUP(VLOOKUP(CL$1,main!$A$3:$H$102,8,FALSE),main!$K$26:$M$29,2,FALSE)+VLOOKUP(VLOOKUP(CL$1,main!$A$3:$H$102,7,FALSE),main!$K$19:$O$22,MATCH(VLOOKUP($A101,main!$A$3:$H$102,8,FALSE),main!$K$18:$O$18,0))))),1,0)</f>
        <v>0</v>
      </c>
      <c r="CM101">
        <f>IF((AND(VLOOKUP(CM$1,main!$A$3:$H$102,5,FALSE)-VLOOKUP($A101,main!$A$3:$H$102,6,FALSE)&gt;=(VLOOKUP(VLOOKUP(CM$1,main!$A$3:$H$102,8,FALSE),main!$K$26:$M$29,2,FALSE)+VLOOKUP(VLOOKUP(CM$1,main!$A$3:$H$102,7,FALSE),main!$K$19:$O$22,MATCH(VLOOKUP($A101,main!$A$3:$H$102,8,FALSE),main!$K$18:$O$18,0))))),1,0)</f>
        <v>0</v>
      </c>
      <c r="CN101">
        <f>IF((AND(VLOOKUP(CN$1,main!$A$3:$H$102,5,FALSE)-VLOOKUP($A101,main!$A$3:$H$102,6,FALSE)&gt;=(VLOOKUP(VLOOKUP(CN$1,main!$A$3:$H$102,8,FALSE),main!$K$26:$M$29,2,FALSE)+VLOOKUP(VLOOKUP(CN$1,main!$A$3:$H$102,7,FALSE),main!$K$19:$O$22,MATCH(VLOOKUP($A101,main!$A$3:$H$102,8,FALSE),main!$K$18:$O$18,0))))),1,0)</f>
        <v>1</v>
      </c>
      <c r="CO101">
        <f>IF((AND(VLOOKUP(CO$1,main!$A$3:$H$102,5,FALSE)-VLOOKUP($A101,main!$A$3:$H$102,6,FALSE)&gt;=(VLOOKUP(VLOOKUP(CO$1,main!$A$3:$H$102,8,FALSE),main!$K$26:$M$29,2,FALSE)+VLOOKUP(VLOOKUP(CO$1,main!$A$3:$H$102,7,FALSE),main!$K$19:$O$22,MATCH(VLOOKUP($A101,main!$A$3:$H$102,8,FALSE),main!$K$18:$O$18,0))))),1,0)</f>
        <v>0</v>
      </c>
      <c r="CP101">
        <f>IF((AND(VLOOKUP(CP$1,main!$A$3:$H$102,5,FALSE)-VLOOKUP($A101,main!$A$3:$H$102,6,FALSE)&gt;=(VLOOKUP(VLOOKUP(CP$1,main!$A$3:$H$102,8,FALSE),main!$K$26:$M$29,2,FALSE)+VLOOKUP(VLOOKUP(CP$1,main!$A$3:$H$102,7,FALSE),main!$K$19:$O$22,MATCH(VLOOKUP($A101,main!$A$3:$H$102,8,FALSE),main!$K$18:$O$18,0))))),1,0)</f>
        <v>0</v>
      </c>
      <c r="CQ101">
        <f>IF((AND(VLOOKUP(CQ$1,main!$A$3:$H$102,5,FALSE)-VLOOKUP($A101,main!$A$3:$H$102,6,FALSE)&gt;=(VLOOKUP(VLOOKUP(CQ$1,main!$A$3:$H$102,8,FALSE),main!$K$26:$M$29,2,FALSE)+VLOOKUP(VLOOKUP(CQ$1,main!$A$3:$H$102,7,FALSE),main!$K$19:$O$22,MATCH(VLOOKUP($A101,main!$A$3:$H$102,8,FALSE),main!$K$18:$O$18,0))))),1,0)</f>
        <v>0</v>
      </c>
      <c r="CR101">
        <f>IF((AND(VLOOKUP(CR$1,main!$A$3:$H$102,5,FALSE)-VLOOKUP($A101,main!$A$3:$H$102,6,FALSE)&gt;=(VLOOKUP(VLOOKUP(CR$1,main!$A$3:$H$102,8,FALSE),main!$K$26:$M$29,2,FALSE)+VLOOKUP(VLOOKUP(CR$1,main!$A$3:$H$102,7,FALSE),main!$K$19:$O$22,MATCH(VLOOKUP($A101,main!$A$3:$H$102,8,FALSE),main!$K$18:$O$18,0))))),1,0)</f>
        <v>0</v>
      </c>
      <c r="CS101">
        <f>IF((AND(VLOOKUP(CS$1,main!$A$3:$H$102,5,FALSE)-VLOOKUP($A101,main!$A$3:$H$102,6,FALSE)&gt;=(VLOOKUP(VLOOKUP(CS$1,main!$A$3:$H$102,8,FALSE),main!$K$26:$M$29,2,FALSE)+VLOOKUP(VLOOKUP(CS$1,main!$A$3:$H$102,7,FALSE),main!$K$19:$O$22,MATCH(VLOOKUP($A101,main!$A$3:$H$102,8,FALSE),main!$K$18:$O$18,0))))),1,0)</f>
        <v>0</v>
      </c>
      <c r="CT101">
        <f>IF((AND(VLOOKUP(CT$1,main!$A$3:$H$102,5,FALSE)-VLOOKUP($A101,main!$A$3:$H$102,6,FALSE)&gt;=(VLOOKUP(VLOOKUP(CT$1,main!$A$3:$H$102,8,FALSE),main!$K$26:$M$29,2,FALSE)+VLOOKUP(VLOOKUP(CT$1,main!$A$3:$H$102,7,FALSE),main!$K$19:$O$22,MATCH(VLOOKUP($A101,main!$A$3:$H$102,8,FALSE),main!$K$18:$O$18,0))))),1,0)</f>
        <v>0</v>
      </c>
      <c r="CU101">
        <f>IF((AND(VLOOKUP(CU$1,main!$A$3:$H$102,5,FALSE)-VLOOKUP($A101,main!$A$3:$H$102,6,FALSE)&gt;=(VLOOKUP(VLOOKUP(CU$1,main!$A$3:$H$102,8,FALSE),main!$K$26:$M$29,2,FALSE)+VLOOKUP(VLOOKUP(CU$1,main!$A$3:$H$102,7,FALSE),main!$K$19:$O$22,MATCH(VLOOKUP($A101,main!$A$3:$H$102,8,FALSE),main!$K$18:$O$18,0))))),1,0)</f>
        <v>0</v>
      </c>
      <c r="CV101">
        <f>IF((AND(VLOOKUP(CV$1,main!$A$3:$H$102,5,FALSE)-VLOOKUP($A101,main!$A$3:$H$102,6,FALSE)&gt;=(VLOOKUP(VLOOKUP(CV$1,main!$A$3:$H$102,8,FALSE),main!$K$26:$M$29,2,FALSE)+VLOOKUP(VLOOKUP(CV$1,main!$A$3:$H$102,7,FALSE),main!$K$19:$O$22,MATCH(VLOOKUP($A101,main!$A$3:$H$102,8,FALSE),main!$K$18:$O$18,0))))),1,0)</f>
        <v>0</v>
      </c>
      <c r="CW101">
        <f>IF((AND(VLOOKUP(CW$1,main!$A$3:$H$102,5,FALSE)-VLOOKUP($A101,main!$A$3:$H$102,6,FALSE)&gt;=(VLOOKUP(VLOOKUP(CW$1,main!$A$3:$H$102,8,FALSE),main!$K$26:$M$29,2,FALSE)+VLOOKUP(VLOOKUP(CW$1,main!$A$3:$H$102,7,FALSE),main!$K$19:$O$22,MATCH(VLOOKUP($A101,main!$A$3:$H$102,8,FALSE),main!$K$18:$O$18,0))))),1,0)</f>
        <v>0</v>
      </c>
      <c r="CX101">
        <f>IF((AND(VLOOKUP(CX$1,main!$A$3:$H$102,5,FALSE)-VLOOKUP($A101,main!$A$3:$H$102,6,FALSE)&gt;=(VLOOKUP(VLOOKUP(CX$1,main!$A$3:$H$102,8,FALSE),main!$K$26:$M$29,2,FALSE)+VLOOKUP(VLOOKUP(CX$1,main!$A$3:$H$102,7,FALSE),main!$K$19:$O$22,MATCH(VLOOKUP($A101,main!$A$3:$H$102,8,FALSE),main!$K$18:$O$18,0))))),1,0)</f>
        <v>0</v>
      </c>
    </row>
    <row r="102" spans="1:102" x14ac:dyDescent="0.25">
      <c r="A102" s="1">
        <v>100</v>
      </c>
      <c r="B102">
        <v>1</v>
      </c>
      <c r="C102">
        <f>IF((AND(VLOOKUP(C$1,main!$A$3:$H$102,5,FALSE)-VLOOKUP($A102,main!$A$3:$H$102,6,FALSE)&gt;=(VLOOKUP(VLOOKUP(C$1,main!$A$3:$H$102,8,FALSE),main!$K$26:$M$29,2,FALSE)+VLOOKUP(VLOOKUP(C$1,main!$A$3:$H$102,7,FALSE),main!$K$19:$O$22,MATCH(VLOOKUP($A102,main!$A$3:$H$102,8,FALSE),main!$K$18:$O$18,0))))),1,0)</f>
        <v>0</v>
      </c>
      <c r="D102">
        <f>IF((AND(VLOOKUP(D$1,main!$A$3:$H$102,5,FALSE)-VLOOKUP($A102,main!$A$3:$H$102,6,FALSE)&gt;=(VLOOKUP(VLOOKUP(D$1,main!$A$3:$H$102,8,FALSE),main!$K$26:$M$29,2,FALSE)+VLOOKUP(VLOOKUP(D$1,main!$A$3:$H$102,7,FALSE),main!$K$19:$O$22,MATCH(VLOOKUP($A102,main!$A$3:$H$102,8,FALSE),main!$K$18:$O$18,0))))),1,0)</f>
        <v>0</v>
      </c>
      <c r="E102">
        <f>IF((AND(VLOOKUP(E$1,main!$A$3:$H$102,5,FALSE)-VLOOKUP($A102,main!$A$3:$H$102,6,FALSE)&gt;=(VLOOKUP(VLOOKUP(E$1,main!$A$3:$H$102,8,FALSE),main!$K$26:$M$29,2,FALSE)+VLOOKUP(VLOOKUP(E$1,main!$A$3:$H$102,7,FALSE),main!$K$19:$O$22,MATCH(VLOOKUP($A102,main!$A$3:$H$102,8,FALSE),main!$K$18:$O$18,0))))),1,0)</f>
        <v>0</v>
      </c>
      <c r="F102">
        <f>IF((AND(VLOOKUP(F$1,main!$A$3:$H$102,5,FALSE)-VLOOKUP($A102,main!$A$3:$H$102,6,FALSE)&gt;=(VLOOKUP(VLOOKUP(F$1,main!$A$3:$H$102,8,FALSE),main!$K$26:$M$29,2,FALSE)+VLOOKUP(VLOOKUP(F$1,main!$A$3:$H$102,7,FALSE),main!$K$19:$O$22,MATCH(VLOOKUP($A102,main!$A$3:$H$102,8,FALSE),main!$K$18:$O$18,0))))),1,0)</f>
        <v>0</v>
      </c>
      <c r="G102">
        <f>IF((AND(VLOOKUP(G$1,main!$A$3:$H$102,5,FALSE)-VLOOKUP($A102,main!$A$3:$H$102,6,FALSE)&gt;=(VLOOKUP(VLOOKUP(G$1,main!$A$3:$H$102,8,FALSE),main!$K$26:$M$29,2,FALSE)+VLOOKUP(VLOOKUP(G$1,main!$A$3:$H$102,7,FALSE),main!$K$19:$O$22,MATCH(VLOOKUP($A102,main!$A$3:$H$102,8,FALSE),main!$K$18:$O$18,0))))),1,0)</f>
        <v>0</v>
      </c>
      <c r="H102">
        <f>IF((AND(VLOOKUP(H$1,main!$A$3:$H$102,5,FALSE)-VLOOKUP($A102,main!$A$3:$H$102,6,FALSE)&gt;=(VLOOKUP(VLOOKUP(H$1,main!$A$3:$H$102,8,FALSE),main!$K$26:$M$29,2,FALSE)+VLOOKUP(VLOOKUP(H$1,main!$A$3:$H$102,7,FALSE),main!$K$19:$O$22,MATCH(VLOOKUP($A102,main!$A$3:$H$102,8,FALSE),main!$K$18:$O$18,0))))),1,0)</f>
        <v>0</v>
      </c>
      <c r="I102">
        <f>IF((AND(VLOOKUP(I$1,main!$A$3:$H$102,5,FALSE)-VLOOKUP($A102,main!$A$3:$H$102,6,FALSE)&gt;=(VLOOKUP(VLOOKUP(I$1,main!$A$3:$H$102,8,FALSE),main!$K$26:$M$29,2,FALSE)+VLOOKUP(VLOOKUP(I$1,main!$A$3:$H$102,7,FALSE),main!$K$19:$O$22,MATCH(VLOOKUP($A102,main!$A$3:$H$102,8,FALSE),main!$K$18:$O$18,0))))),1,0)</f>
        <v>0</v>
      </c>
      <c r="J102">
        <f>IF((AND(VLOOKUP(J$1,main!$A$3:$H$102,5,FALSE)-VLOOKUP($A102,main!$A$3:$H$102,6,FALSE)&gt;=(VLOOKUP(VLOOKUP(J$1,main!$A$3:$H$102,8,FALSE),main!$K$26:$M$29,2,FALSE)+VLOOKUP(VLOOKUP(J$1,main!$A$3:$H$102,7,FALSE),main!$K$19:$O$22,MATCH(VLOOKUP($A102,main!$A$3:$H$102,8,FALSE),main!$K$18:$O$18,0))))),1,0)</f>
        <v>0</v>
      </c>
      <c r="K102">
        <f>IF((AND(VLOOKUP(K$1,main!$A$3:$H$102,5,FALSE)-VLOOKUP($A102,main!$A$3:$H$102,6,FALSE)&gt;=(VLOOKUP(VLOOKUP(K$1,main!$A$3:$H$102,8,FALSE),main!$K$26:$M$29,2,FALSE)+VLOOKUP(VLOOKUP(K$1,main!$A$3:$H$102,7,FALSE),main!$K$19:$O$22,MATCH(VLOOKUP($A102,main!$A$3:$H$102,8,FALSE),main!$K$18:$O$18,0))))),1,0)</f>
        <v>0</v>
      </c>
      <c r="L102">
        <f>IF((AND(VLOOKUP(L$1,main!$A$3:$H$102,5,FALSE)-VLOOKUP($A102,main!$A$3:$H$102,6,FALSE)&gt;=(VLOOKUP(VLOOKUP(L$1,main!$A$3:$H$102,8,FALSE),main!$K$26:$M$29,2,FALSE)+VLOOKUP(VLOOKUP(L$1,main!$A$3:$H$102,7,FALSE),main!$K$19:$O$22,MATCH(VLOOKUP($A102,main!$A$3:$H$102,8,FALSE),main!$K$18:$O$18,0))))),1,0)</f>
        <v>1</v>
      </c>
      <c r="M102">
        <f>IF((AND(VLOOKUP(M$1,main!$A$3:$H$102,5,FALSE)-VLOOKUP($A102,main!$A$3:$H$102,6,FALSE)&gt;=(VLOOKUP(VLOOKUP(M$1,main!$A$3:$H$102,8,FALSE),main!$K$26:$M$29,2,FALSE)+VLOOKUP(VLOOKUP(M$1,main!$A$3:$H$102,7,FALSE),main!$K$19:$O$22,MATCH(VLOOKUP($A102,main!$A$3:$H$102,8,FALSE),main!$K$18:$O$18,0))))),1,0)</f>
        <v>0</v>
      </c>
      <c r="N102">
        <f>IF((AND(VLOOKUP(N$1,main!$A$3:$H$102,5,FALSE)-VLOOKUP($A102,main!$A$3:$H$102,6,FALSE)&gt;=(VLOOKUP(VLOOKUP(N$1,main!$A$3:$H$102,8,FALSE),main!$K$26:$M$29,2,FALSE)+VLOOKUP(VLOOKUP(N$1,main!$A$3:$H$102,7,FALSE),main!$K$19:$O$22,MATCH(VLOOKUP($A102,main!$A$3:$H$102,8,FALSE),main!$K$18:$O$18,0))))),1,0)</f>
        <v>0</v>
      </c>
      <c r="O102">
        <f>IF((AND(VLOOKUP(O$1,main!$A$3:$H$102,5,FALSE)-VLOOKUP($A102,main!$A$3:$H$102,6,FALSE)&gt;=(VLOOKUP(VLOOKUP(O$1,main!$A$3:$H$102,8,FALSE),main!$K$26:$M$29,2,FALSE)+VLOOKUP(VLOOKUP(O$1,main!$A$3:$H$102,7,FALSE),main!$K$19:$O$22,MATCH(VLOOKUP($A102,main!$A$3:$H$102,8,FALSE),main!$K$18:$O$18,0))))),1,0)</f>
        <v>0</v>
      </c>
      <c r="P102">
        <f>IF((AND(VLOOKUP(P$1,main!$A$3:$H$102,5,FALSE)-VLOOKUP($A102,main!$A$3:$H$102,6,FALSE)&gt;=(VLOOKUP(VLOOKUP(P$1,main!$A$3:$H$102,8,FALSE),main!$K$26:$M$29,2,FALSE)+VLOOKUP(VLOOKUP(P$1,main!$A$3:$H$102,7,FALSE),main!$K$19:$O$22,MATCH(VLOOKUP($A102,main!$A$3:$H$102,8,FALSE),main!$K$18:$O$18,0))))),1,0)</f>
        <v>0</v>
      </c>
      <c r="Q102">
        <f>IF((AND(VLOOKUP(Q$1,main!$A$3:$H$102,5,FALSE)-VLOOKUP($A102,main!$A$3:$H$102,6,FALSE)&gt;=(VLOOKUP(VLOOKUP(Q$1,main!$A$3:$H$102,8,FALSE),main!$K$26:$M$29,2,FALSE)+VLOOKUP(VLOOKUP(Q$1,main!$A$3:$H$102,7,FALSE),main!$K$19:$O$22,MATCH(VLOOKUP($A102,main!$A$3:$H$102,8,FALSE),main!$K$18:$O$18,0))))),1,0)</f>
        <v>0</v>
      </c>
      <c r="R102">
        <f>IF((AND(VLOOKUP(R$1,main!$A$3:$H$102,5,FALSE)-VLOOKUP($A102,main!$A$3:$H$102,6,FALSE)&gt;=(VLOOKUP(VLOOKUP(R$1,main!$A$3:$H$102,8,FALSE),main!$K$26:$M$29,2,FALSE)+VLOOKUP(VLOOKUP(R$1,main!$A$3:$H$102,7,FALSE),main!$K$19:$O$22,MATCH(VLOOKUP($A102,main!$A$3:$H$102,8,FALSE),main!$K$18:$O$18,0))))),1,0)</f>
        <v>0</v>
      </c>
      <c r="S102">
        <f>IF((AND(VLOOKUP(S$1,main!$A$3:$H$102,5,FALSE)-VLOOKUP($A102,main!$A$3:$H$102,6,FALSE)&gt;=(VLOOKUP(VLOOKUP(S$1,main!$A$3:$H$102,8,FALSE),main!$K$26:$M$29,2,FALSE)+VLOOKUP(VLOOKUP(S$1,main!$A$3:$H$102,7,FALSE),main!$K$19:$O$22,MATCH(VLOOKUP($A102,main!$A$3:$H$102,8,FALSE),main!$K$18:$O$18,0))))),1,0)</f>
        <v>0</v>
      </c>
      <c r="T102">
        <f>IF((AND(VLOOKUP(T$1,main!$A$3:$H$102,5,FALSE)-VLOOKUP($A102,main!$A$3:$H$102,6,FALSE)&gt;=(VLOOKUP(VLOOKUP(T$1,main!$A$3:$H$102,8,FALSE),main!$K$26:$M$29,2,FALSE)+VLOOKUP(VLOOKUP(T$1,main!$A$3:$H$102,7,FALSE),main!$K$19:$O$22,MATCH(VLOOKUP($A102,main!$A$3:$H$102,8,FALSE),main!$K$18:$O$18,0))))),1,0)</f>
        <v>0</v>
      </c>
      <c r="U102">
        <f>IF((AND(VLOOKUP(U$1,main!$A$3:$H$102,5,FALSE)-VLOOKUP($A102,main!$A$3:$H$102,6,FALSE)&gt;=(VLOOKUP(VLOOKUP(U$1,main!$A$3:$H$102,8,FALSE),main!$K$26:$M$29,2,FALSE)+VLOOKUP(VLOOKUP(U$1,main!$A$3:$H$102,7,FALSE),main!$K$19:$O$22,MATCH(VLOOKUP($A102,main!$A$3:$H$102,8,FALSE),main!$K$18:$O$18,0))))),1,0)</f>
        <v>1</v>
      </c>
      <c r="V102">
        <f>IF((AND(VLOOKUP(V$1,main!$A$3:$H$102,5,FALSE)-VLOOKUP($A102,main!$A$3:$H$102,6,FALSE)&gt;=(VLOOKUP(VLOOKUP(V$1,main!$A$3:$H$102,8,FALSE),main!$K$26:$M$29,2,FALSE)+VLOOKUP(VLOOKUP(V$1,main!$A$3:$H$102,7,FALSE),main!$K$19:$O$22,MATCH(VLOOKUP($A102,main!$A$3:$H$102,8,FALSE),main!$K$18:$O$18,0))))),1,0)</f>
        <v>1</v>
      </c>
      <c r="W102">
        <f>IF((AND(VLOOKUP(W$1,main!$A$3:$H$102,5,FALSE)-VLOOKUP($A102,main!$A$3:$H$102,6,FALSE)&gt;=(VLOOKUP(VLOOKUP(W$1,main!$A$3:$H$102,8,FALSE),main!$K$26:$M$29,2,FALSE)+VLOOKUP(VLOOKUP(W$1,main!$A$3:$H$102,7,FALSE),main!$K$19:$O$22,MATCH(VLOOKUP($A102,main!$A$3:$H$102,8,FALSE),main!$K$18:$O$18,0))))),1,0)</f>
        <v>0</v>
      </c>
      <c r="X102">
        <f>IF((AND(VLOOKUP(X$1,main!$A$3:$H$102,5,FALSE)-VLOOKUP($A102,main!$A$3:$H$102,6,FALSE)&gt;=(VLOOKUP(VLOOKUP(X$1,main!$A$3:$H$102,8,FALSE),main!$K$26:$M$29,2,FALSE)+VLOOKUP(VLOOKUP(X$1,main!$A$3:$H$102,7,FALSE),main!$K$19:$O$22,MATCH(VLOOKUP($A102,main!$A$3:$H$102,8,FALSE),main!$K$18:$O$18,0))))),1,0)</f>
        <v>0</v>
      </c>
      <c r="Y102">
        <f>IF((AND(VLOOKUP(Y$1,main!$A$3:$H$102,5,FALSE)-VLOOKUP($A102,main!$A$3:$H$102,6,FALSE)&gt;=(VLOOKUP(VLOOKUP(Y$1,main!$A$3:$H$102,8,FALSE),main!$K$26:$M$29,2,FALSE)+VLOOKUP(VLOOKUP(Y$1,main!$A$3:$H$102,7,FALSE),main!$K$19:$O$22,MATCH(VLOOKUP($A102,main!$A$3:$H$102,8,FALSE),main!$K$18:$O$18,0))))),1,0)</f>
        <v>0</v>
      </c>
      <c r="Z102">
        <f>IF((AND(VLOOKUP(Z$1,main!$A$3:$H$102,5,FALSE)-VLOOKUP($A102,main!$A$3:$H$102,6,FALSE)&gt;=(VLOOKUP(VLOOKUP(Z$1,main!$A$3:$H$102,8,FALSE),main!$K$26:$M$29,2,FALSE)+VLOOKUP(VLOOKUP(Z$1,main!$A$3:$H$102,7,FALSE),main!$K$19:$O$22,MATCH(VLOOKUP($A102,main!$A$3:$H$102,8,FALSE),main!$K$18:$O$18,0))))),1,0)</f>
        <v>0</v>
      </c>
      <c r="AA102">
        <f>IF((AND(VLOOKUP(AA$1,main!$A$3:$H$102,5,FALSE)-VLOOKUP($A102,main!$A$3:$H$102,6,FALSE)&gt;=(VLOOKUP(VLOOKUP(AA$1,main!$A$3:$H$102,8,FALSE),main!$K$26:$M$29,2,FALSE)+VLOOKUP(VLOOKUP(AA$1,main!$A$3:$H$102,7,FALSE),main!$K$19:$O$22,MATCH(VLOOKUP($A102,main!$A$3:$H$102,8,FALSE),main!$K$18:$O$18,0))))),1,0)</f>
        <v>0</v>
      </c>
      <c r="AB102">
        <f>IF((AND(VLOOKUP(AB$1,main!$A$3:$H$102,5,FALSE)-VLOOKUP($A102,main!$A$3:$H$102,6,FALSE)&gt;=(VLOOKUP(VLOOKUP(AB$1,main!$A$3:$H$102,8,FALSE),main!$K$26:$M$29,2,FALSE)+VLOOKUP(VLOOKUP(AB$1,main!$A$3:$H$102,7,FALSE),main!$K$19:$O$22,MATCH(VLOOKUP($A102,main!$A$3:$H$102,8,FALSE),main!$K$18:$O$18,0))))),1,0)</f>
        <v>0</v>
      </c>
      <c r="AC102">
        <f>IF((AND(VLOOKUP(AC$1,main!$A$3:$H$102,5,FALSE)-VLOOKUP($A102,main!$A$3:$H$102,6,FALSE)&gt;=(VLOOKUP(VLOOKUP(AC$1,main!$A$3:$H$102,8,FALSE),main!$K$26:$M$29,2,FALSE)+VLOOKUP(VLOOKUP(AC$1,main!$A$3:$H$102,7,FALSE),main!$K$19:$O$22,MATCH(VLOOKUP($A102,main!$A$3:$H$102,8,FALSE),main!$K$18:$O$18,0))))),1,0)</f>
        <v>0</v>
      </c>
      <c r="AD102">
        <f>IF((AND(VLOOKUP(AD$1,main!$A$3:$H$102,5,FALSE)-VLOOKUP($A102,main!$A$3:$H$102,6,FALSE)&gt;=(VLOOKUP(VLOOKUP(AD$1,main!$A$3:$H$102,8,FALSE),main!$K$26:$M$29,2,FALSE)+VLOOKUP(VLOOKUP(AD$1,main!$A$3:$H$102,7,FALSE),main!$K$19:$O$22,MATCH(VLOOKUP($A102,main!$A$3:$H$102,8,FALSE),main!$K$18:$O$18,0))))),1,0)</f>
        <v>0</v>
      </c>
      <c r="AE102">
        <f>IF((AND(VLOOKUP(AE$1,main!$A$3:$H$102,5,FALSE)-VLOOKUP($A102,main!$A$3:$H$102,6,FALSE)&gt;=(VLOOKUP(VLOOKUP(AE$1,main!$A$3:$H$102,8,FALSE),main!$K$26:$M$29,2,FALSE)+VLOOKUP(VLOOKUP(AE$1,main!$A$3:$H$102,7,FALSE),main!$K$19:$O$22,MATCH(VLOOKUP($A102,main!$A$3:$H$102,8,FALSE),main!$K$18:$O$18,0))))),1,0)</f>
        <v>0</v>
      </c>
      <c r="AF102">
        <f>IF((AND(VLOOKUP(AF$1,main!$A$3:$H$102,5,FALSE)-VLOOKUP($A102,main!$A$3:$H$102,6,FALSE)&gt;=(VLOOKUP(VLOOKUP(AF$1,main!$A$3:$H$102,8,FALSE),main!$K$26:$M$29,2,FALSE)+VLOOKUP(VLOOKUP(AF$1,main!$A$3:$H$102,7,FALSE),main!$K$19:$O$22,MATCH(VLOOKUP($A102,main!$A$3:$H$102,8,FALSE),main!$K$18:$O$18,0))))),1,0)</f>
        <v>0</v>
      </c>
      <c r="AG102">
        <f>IF((AND(VLOOKUP(AG$1,main!$A$3:$H$102,5,FALSE)-VLOOKUP($A102,main!$A$3:$H$102,6,FALSE)&gt;=(VLOOKUP(VLOOKUP(AG$1,main!$A$3:$H$102,8,FALSE),main!$K$26:$M$29,2,FALSE)+VLOOKUP(VLOOKUP(AG$1,main!$A$3:$H$102,7,FALSE),main!$K$19:$O$22,MATCH(VLOOKUP($A102,main!$A$3:$H$102,8,FALSE),main!$K$18:$O$18,0))))),1,0)</f>
        <v>0</v>
      </c>
      <c r="AH102">
        <f>IF((AND(VLOOKUP(AH$1,main!$A$3:$H$102,5,FALSE)-VLOOKUP($A102,main!$A$3:$H$102,6,FALSE)&gt;=(VLOOKUP(VLOOKUP(AH$1,main!$A$3:$H$102,8,FALSE),main!$K$26:$M$29,2,FALSE)+VLOOKUP(VLOOKUP(AH$1,main!$A$3:$H$102,7,FALSE),main!$K$19:$O$22,MATCH(VLOOKUP($A102,main!$A$3:$H$102,8,FALSE),main!$K$18:$O$18,0))))),1,0)</f>
        <v>0</v>
      </c>
      <c r="AI102">
        <f>IF((AND(VLOOKUP(AI$1,main!$A$3:$H$102,5,FALSE)-VLOOKUP($A102,main!$A$3:$H$102,6,FALSE)&gt;=(VLOOKUP(VLOOKUP(AI$1,main!$A$3:$H$102,8,FALSE),main!$K$26:$M$29,2,FALSE)+VLOOKUP(VLOOKUP(AI$1,main!$A$3:$H$102,7,FALSE),main!$K$19:$O$22,MATCH(VLOOKUP($A102,main!$A$3:$H$102,8,FALSE),main!$K$18:$O$18,0))))),1,0)</f>
        <v>0</v>
      </c>
      <c r="AJ102">
        <f>IF((AND(VLOOKUP(AJ$1,main!$A$3:$H$102,5,FALSE)-VLOOKUP($A102,main!$A$3:$H$102,6,FALSE)&gt;=(VLOOKUP(VLOOKUP(AJ$1,main!$A$3:$H$102,8,FALSE),main!$K$26:$M$29,2,FALSE)+VLOOKUP(VLOOKUP(AJ$1,main!$A$3:$H$102,7,FALSE),main!$K$19:$O$22,MATCH(VLOOKUP($A102,main!$A$3:$H$102,8,FALSE),main!$K$18:$O$18,0))))),1,0)</f>
        <v>0</v>
      </c>
      <c r="AK102">
        <f>IF((AND(VLOOKUP(AK$1,main!$A$3:$H$102,5,FALSE)-VLOOKUP($A102,main!$A$3:$H$102,6,FALSE)&gt;=(VLOOKUP(VLOOKUP(AK$1,main!$A$3:$H$102,8,FALSE),main!$K$26:$M$29,2,FALSE)+VLOOKUP(VLOOKUP(AK$1,main!$A$3:$H$102,7,FALSE),main!$K$19:$O$22,MATCH(VLOOKUP($A102,main!$A$3:$H$102,8,FALSE),main!$K$18:$O$18,0))))),1,0)</f>
        <v>0</v>
      </c>
      <c r="AL102">
        <f>IF((AND(VLOOKUP(AL$1,main!$A$3:$H$102,5,FALSE)-VLOOKUP($A102,main!$A$3:$H$102,6,FALSE)&gt;=(VLOOKUP(VLOOKUP(AL$1,main!$A$3:$H$102,8,FALSE),main!$K$26:$M$29,2,FALSE)+VLOOKUP(VLOOKUP(AL$1,main!$A$3:$H$102,7,FALSE),main!$K$19:$O$22,MATCH(VLOOKUP($A102,main!$A$3:$H$102,8,FALSE),main!$K$18:$O$18,0))))),1,0)</f>
        <v>0</v>
      </c>
      <c r="AM102">
        <f>IF((AND(VLOOKUP(AM$1,main!$A$3:$H$102,5,FALSE)-VLOOKUP($A102,main!$A$3:$H$102,6,FALSE)&gt;=(VLOOKUP(VLOOKUP(AM$1,main!$A$3:$H$102,8,FALSE),main!$K$26:$M$29,2,FALSE)+VLOOKUP(VLOOKUP(AM$1,main!$A$3:$H$102,7,FALSE),main!$K$19:$O$22,MATCH(VLOOKUP($A102,main!$A$3:$H$102,8,FALSE),main!$K$18:$O$18,0))))),1,0)</f>
        <v>0</v>
      </c>
      <c r="AN102">
        <f>IF((AND(VLOOKUP(AN$1,main!$A$3:$H$102,5,FALSE)-VLOOKUP($A102,main!$A$3:$H$102,6,FALSE)&gt;=(VLOOKUP(VLOOKUP(AN$1,main!$A$3:$H$102,8,FALSE),main!$K$26:$M$29,2,FALSE)+VLOOKUP(VLOOKUP(AN$1,main!$A$3:$H$102,7,FALSE),main!$K$19:$O$22,MATCH(VLOOKUP($A102,main!$A$3:$H$102,8,FALSE),main!$K$18:$O$18,0))))),1,0)</f>
        <v>1</v>
      </c>
      <c r="AO102">
        <f>IF((AND(VLOOKUP(AO$1,main!$A$3:$H$102,5,FALSE)-VLOOKUP($A102,main!$A$3:$H$102,6,FALSE)&gt;=(VLOOKUP(VLOOKUP(AO$1,main!$A$3:$H$102,8,FALSE),main!$K$26:$M$29,2,FALSE)+VLOOKUP(VLOOKUP(AO$1,main!$A$3:$H$102,7,FALSE),main!$K$19:$O$22,MATCH(VLOOKUP($A102,main!$A$3:$H$102,8,FALSE),main!$K$18:$O$18,0))))),1,0)</f>
        <v>0</v>
      </c>
      <c r="AP102">
        <f>IF((AND(VLOOKUP(AP$1,main!$A$3:$H$102,5,FALSE)-VLOOKUP($A102,main!$A$3:$H$102,6,FALSE)&gt;=(VLOOKUP(VLOOKUP(AP$1,main!$A$3:$H$102,8,FALSE),main!$K$26:$M$29,2,FALSE)+VLOOKUP(VLOOKUP(AP$1,main!$A$3:$H$102,7,FALSE),main!$K$19:$O$22,MATCH(VLOOKUP($A102,main!$A$3:$H$102,8,FALSE),main!$K$18:$O$18,0))))),1,0)</f>
        <v>1</v>
      </c>
      <c r="AQ102">
        <f>IF((AND(VLOOKUP(AQ$1,main!$A$3:$H$102,5,FALSE)-VLOOKUP($A102,main!$A$3:$H$102,6,FALSE)&gt;=(VLOOKUP(VLOOKUP(AQ$1,main!$A$3:$H$102,8,FALSE),main!$K$26:$M$29,2,FALSE)+VLOOKUP(VLOOKUP(AQ$1,main!$A$3:$H$102,7,FALSE),main!$K$19:$O$22,MATCH(VLOOKUP($A102,main!$A$3:$H$102,8,FALSE),main!$K$18:$O$18,0))))),1,0)</f>
        <v>0</v>
      </c>
      <c r="AR102">
        <f>IF((AND(VLOOKUP(AR$1,main!$A$3:$H$102,5,FALSE)-VLOOKUP($A102,main!$A$3:$H$102,6,FALSE)&gt;=(VLOOKUP(VLOOKUP(AR$1,main!$A$3:$H$102,8,FALSE),main!$K$26:$M$29,2,FALSE)+VLOOKUP(VLOOKUP(AR$1,main!$A$3:$H$102,7,FALSE),main!$K$19:$O$22,MATCH(VLOOKUP($A102,main!$A$3:$H$102,8,FALSE),main!$K$18:$O$18,0))))),1,0)</f>
        <v>0</v>
      </c>
      <c r="AS102">
        <f>IF((AND(VLOOKUP(AS$1,main!$A$3:$H$102,5,FALSE)-VLOOKUP($A102,main!$A$3:$H$102,6,FALSE)&gt;=(VLOOKUP(VLOOKUP(AS$1,main!$A$3:$H$102,8,FALSE),main!$K$26:$M$29,2,FALSE)+VLOOKUP(VLOOKUP(AS$1,main!$A$3:$H$102,7,FALSE),main!$K$19:$O$22,MATCH(VLOOKUP($A102,main!$A$3:$H$102,8,FALSE),main!$K$18:$O$18,0))))),1,0)</f>
        <v>0</v>
      </c>
      <c r="AT102">
        <f>IF((AND(VLOOKUP(AT$1,main!$A$3:$H$102,5,FALSE)-VLOOKUP($A102,main!$A$3:$H$102,6,FALSE)&gt;=(VLOOKUP(VLOOKUP(AT$1,main!$A$3:$H$102,8,FALSE),main!$K$26:$M$29,2,FALSE)+VLOOKUP(VLOOKUP(AT$1,main!$A$3:$H$102,7,FALSE),main!$K$19:$O$22,MATCH(VLOOKUP($A102,main!$A$3:$H$102,8,FALSE),main!$K$18:$O$18,0))))),1,0)</f>
        <v>0</v>
      </c>
      <c r="AU102">
        <f>IF((AND(VLOOKUP(AU$1,main!$A$3:$H$102,5,FALSE)-VLOOKUP($A102,main!$A$3:$H$102,6,FALSE)&gt;=(VLOOKUP(VLOOKUP(AU$1,main!$A$3:$H$102,8,FALSE),main!$K$26:$M$29,2,FALSE)+VLOOKUP(VLOOKUP(AU$1,main!$A$3:$H$102,7,FALSE),main!$K$19:$O$22,MATCH(VLOOKUP($A102,main!$A$3:$H$102,8,FALSE),main!$K$18:$O$18,0))))),1,0)</f>
        <v>0</v>
      </c>
      <c r="AV102">
        <f>IF((AND(VLOOKUP(AV$1,main!$A$3:$H$102,5,FALSE)-VLOOKUP($A102,main!$A$3:$H$102,6,FALSE)&gt;=(VLOOKUP(VLOOKUP(AV$1,main!$A$3:$H$102,8,FALSE),main!$K$26:$M$29,2,FALSE)+VLOOKUP(VLOOKUP(AV$1,main!$A$3:$H$102,7,FALSE),main!$K$19:$O$22,MATCH(VLOOKUP($A102,main!$A$3:$H$102,8,FALSE),main!$K$18:$O$18,0))))),1,0)</f>
        <v>0</v>
      </c>
      <c r="AW102">
        <f>IF((AND(VLOOKUP(AW$1,main!$A$3:$H$102,5,FALSE)-VLOOKUP($A102,main!$A$3:$H$102,6,FALSE)&gt;=(VLOOKUP(VLOOKUP(AW$1,main!$A$3:$H$102,8,FALSE),main!$K$26:$M$29,2,FALSE)+VLOOKUP(VLOOKUP(AW$1,main!$A$3:$H$102,7,FALSE),main!$K$19:$O$22,MATCH(VLOOKUP($A102,main!$A$3:$H$102,8,FALSE),main!$K$18:$O$18,0))))),1,0)</f>
        <v>0</v>
      </c>
      <c r="AX102">
        <f>IF((AND(VLOOKUP(AX$1,main!$A$3:$H$102,5,FALSE)-VLOOKUP($A102,main!$A$3:$H$102,6,FALSE)&gt;=(VLOOKUP(VLOOKUP(AX$1,main!$A$3:$H$102,8,FALSE),main!$K$26:$M$29,2,FALSE)+VLOOKUP(VLOOKUP(AX$1,main!$A$3:$H$102,7,FALSE),main!$K$19:$O$22,MATCH(VLOOKUP($A102,main!$A$3:$H$102,8,FALSE),main!$K$18:$O$18,0))))),1,0)</f>
        <v>0</v>
      </c>
      <c r="AY102">
        <f>IF((AND(VLOOKUP(AY$1,main!$A$3:$H$102,5,FALSE)-VLOOKUP($A102,main!$A$3:$H$102,6,FALSE)&gt;=(VLOOKUP(VLOOKUP(AY$1,main!$A$3:$H$102,8,FALSE),main!$K$26:$M$29,2,FALSE)+VLOOKUP(VLOOKUP(AY$1,main!$A$3:$H$102,7,FALSE),main!$K$19:$O$22,MATCH(VLOOKUP($A102,main!$A$3:$H$102,8,FALSE),main!$K$18:$O$18,0))))),1,0)</f>
        <v>0</v>
      </c>
      <c r="AZ102">
        <f>IF((AND(VLOOKUP(AZ$1,main!$A$3:$H$102,5,FALSE)-VLOOKUP($A102,main!$A$3:$H$102,6,FALSE)&gt;=(VLOOKUP(VLOOKUP(AZ$1,main!$A$3:$H$102,8,FALSE),main!$K$26:$M$29,2,FALSE)+VLOOKUP(VLOOKUP(AZ$1,main!$A$3:$H$102,7,FALSE),main!$K$19:$O$22,MATCH(VLOOKUP($A102,main!$A$3:$H$102,8,FALSE),main!$K$18:$O$18,0))))),1,0)</f>
        <v>0</v>
      </c>
      <c r="BA102">
        <f>IF((AND(VLOOKUP(BA$1,main!$A$3:$H$102,5,FALSE)-VLOOKUP($A102,main!$A$3:$H$102,6,FALSE)&gt;=(VLOOKUP(VLOOKUP(BA$1,main!$A$3:$H$102,8,FALSE),main!$K$26:$M$29,2,FALSE)+VLOOKUP(VLOOKUP(BA$1,main!$A$3:$H$102,7,FALSE),main!$K$19:$O$22,MATCH(VLOOKUP($A102,main!$A$3:$H$102,8,FALSE),main!$K$18:$O$18,0))))),1,0)</f>
        <v>0</v>
      </c>
      <c r="BB102">
        <f>IF((AND(VLOOKUP(BB$1,main!$A$3:$H$102,5,FALSE)-VLOOKUP($A102,main!$A$3:$H$102,6,FALSE)&gt;=(VLOOKUP(VLOOKUP(BB$1,main!$A$3:$H$102,8,FALSE),main!$K$26:$M$29,2,FALSE)+VLOOKUP(VLOOKUP(BB$1,main!$A$3:$H$102,7,FALSE),main!$K$19:$O$22,MATCH(VLOOKUP($A102,main!$A$3:$H$102,8,FALSE),main!$K$18:$O$18,0))))),1,0)</f>
        <v>0</v>
      </c>
      <c r="BC102">
        <f>IF((AND(VLOOKUP(BC$1,main!$A$3:$H$102,5,FALSE)-VLOOKUP($A102,main!$A$3:$H$102,6,FALSE)&gt;=(VLOOKUP(VLOOKUP(BC$1,main!$A$3:$H$102,8,FALSE),main!$K$26:$M$29,2,FALSE)+VLOOKUP(VLOOKUP(BC$1,main!$A$3:$H$102,7,FALSE),main!$K$19:$O$22,MATCH(VLOOKUP($A102,main!$A$3:$H$102,8,FALSE),main!$K$18:$O$18,0))))),1,0)</f>
        <v>0</v>
      </c>
      <c r="BD102">
        <f>IF((AND(VLOOKUP(BD$1,main!$A$3:$H$102,5,FALSE)-VLOOKUP($A102,main!$A$3:$H$102,6,FALSE)&gt;=(VLOOKUP(VLOOKUP(BD$1,main!$A$3:$H$102,8,FALSE),main!$K$26:$M$29,2,FALSE)+VLOOKUP(VLOOKUP(BD$1,main!$A$3:$H$102,7,FALSE),main!$K$19:$O$22,MATCH(VLOOKUP($A102,main!$A$3:$H$102,8,FALSE),main!$K$18:$O$18,0))))),1,0)</f>
        <v>0</v>
      </c>
      <c r="BE102">
        <f>IF((AND(VLOOKUP(BE$1,main!$A$3:$H$102,5,FALSE)-VLOOKUP($A102,main!$A$3:$H$102,6,FALSE)&gt;=(VLOOKUP(VLOOKUP(BE$1,main!$A$3:$H$102,8,FALSE),main!$K$26:$M$29,2,FALSE)+VLOOKUP(VLOOKUP(BE$1,main!$A$3:$H$102,7,FALSE),main!$K$19:$O$22,MATCH(VLOOKUP($A102,main!$A$3:$H$102,8,FALSE),main!$K$18:$O$18,0))))),1,0)</f>
        <v>0</v>
      </c>
      <c r="BF102">
        <f>IF((AND(VLOOKUP(BF$1,main!$A$3:$H$102,5,FALSE)-VLOOKUP($A102,main!$A$3:$H$102,6,FALSE)&gt;=(VLOOKUP(VLOOKUP(BF$1,main!$A$3:$H$102,8,FALSE),main!$K$26:$M$29,2,FALSE)+VLOOKUP(VLOOKUP(BF$1,main!$A$3:$H$102,7,FALSE),main!$K$19:$O$22,MATCH(VLOOKUP($A102,main!$A$3:$H$102,8,FALSE),main!$K$18:$O$18,0))))),1,0)</f>
        <v>0</v>
      </c>
      <c r="BG102">
        <f>IF((AND(VLOOKUP(BG$1,main!$A$3:$H$102,5,FALSE)-VLOOKUP($A102,main!$A$3:$H$102,6,FALSE)&gt;=(VLOOKUP(VLOOKUP(BG$1,main!$A$3:$H$102,8,FALSE),main!$K$26:$M$29,2,FALSE)+VLOOKUP(VLOOKUP(BG$1,main!$A$3:$H$102,7,FALSE),main!$K$19:$O$22,MATCH(VLOOKUP($A102,main!$A$3:$H$102,8,FALSE),main!$K$18:$O$18,0))))),1,0)</f>
        <v>0</v>
      </c>
      <c r="BH102">
        <f>IF((AND(VLOOKUP(BH$1,main!$A$3:$H$102,5,FALSE)-VLOOKUP($A102,main!$A$3:$H$102,6,FALSE)&gt;=(VLOOKUP(VLOOKUP(BH$1,main!$A$3:$H$102,8,FALSE),main!$K$26:$M$29,2,FALSE)+VLOOKUP(VLOOKUP(BH$1,main!$A$3:$H$102,7,FALSE),main!$K$19:$O$22,MATCH(VLOOKUP($A102,main!$A$3:$H$102,8,FALSE),main!$K$18:$O$18,0))))),1,0)</f>
        <v>0</v>
      </c>
      <c r="BI102">
        <f>IF((AND(VLOOKUP(BI$1,main!$A$3:$H$102,5,FALSE)-VLOOKUP($A102,main!$A$3:$H$102,6,FALSE)&gt;=(VLOOKUP(VLOOKUP(BI$1,main!$A$3:$H$102,8,FALSE),main!$K$26:$M$29,2,FALSE)+VLOOKUP(VLOOKUP(BI$1,main!$A$3:$H$102,7,FALSE),main!$K$19:$O$22,MATCH(VLOOKUP($A102,main!$A$3:$H$102,8,FALSE),main!$K$18:$O$18,0))))),1,0)</f>
        <v>1</v>
      </c>
      <c r="BJ102">
        <f>IF((AND(VLOOKUP(BJ$1,main!$A$3:$H$102,5,FALSE)-VLOOKUP($A102,main!$A$3:$H$102,6,FALSE)&gt;=(VLOOKUP(VLOOKUP(BJ$1,main!$A$3:$H$102,8,FALSE),main!$K$26:$M$29,2,FALSE)+VLOOKUP(VLOOKUP(BJ$1,main!$A$3:$H$102,7,FALSE),main!$K$19:$O$22,MATCH(VLOOKUP($A102,main!$A$3:$H$102,8,FALSE),main!$K$18:$O$18,0))))),1,0)</f>
        <v>0</v>
      </c>
      <c r="BK102">
        <f>IF((AND(VLOOKUP(BK$1,main!$A$3:$H$102,5,FALSE)-VLOOKUP($A102,main!$A$3:$H$102,6,FALSE)&gt;=(VLOOKUP(VLOOKUP(BK$1,main!$A$3:$H$102,8,FALSE),main!$K$26:$M$29,2,FALSE)+VLOOKUP(VLOOKUP(BK$1,main!$A$3:$H$102,7,FALSE),main!$K$19:$O$22,MATCH(VLOOKUP($A102,main!$A$3:$H$102,8,FALSE),main!$K$18:$O$18,0))))),1,0)</f>
        <v>0</v>
      </c>
      <c r="BL102">
        <f>IF((AND(VLOOKUP(BL$1,main!$A$3:$H$102,5,FALSE)-VLOOKUP($A102,main!$A$3:$H$102,6,FALSE)&gt;=(VLOOKUP(VLOOKUP(BL$1,main!$A$3:$H$102,8,FALSE),main!$K$26:$M$29,2,FALSE)+VLOOKUP(VLOOKUP(BL$1,main!$A$3:$H$102,7,FALSE),main!$K$19:$O$22,MATCH(VLOOKUP($A102,main!$A$3:$H$102,8,FALSE),main!$K$18:$O$18,0))))),1,0)</f>
        <v>0</v>
      </c>
      <c r="BM102">
        <f>IF((AND(VLOOKUP(BM$1,main!$A$3:$H$102,5,FALSE)-VLOOKUP($A102,main!$A$3:$H$102,6,FALSE)&gt;=(VLOOKUP(VLOOKUP(BM$1,main!$A$3:$H$102,8,FALSE),main!$K$26:$M$29,2,FALSE)+VLOOKUP(VLOOKUP(BM$1,main!$A$3:$H$102,7,FALSE),main!$K$19:$O$22,MATCH(VLOOKUP($A102,main!$A$3:$H$102,8,FALSE),main!$K$18:$O$18,0))))),1,0)</f>
        <v>0</v>
      </c>
      <c r="BN102">
        <f>IF((AND(VLOOKUP(BN$1,main!$A$3:$H$102,5,FALSE)-VLOOKUP($A102,main!$A$3:$H$102,6,FALSE)&gt;=(VLOOKUP(VLOOKUP(BN$1,main!$A$3:$H$102,8,FALSE),main!$K$26:$M$29,2,FALSE)+VLOOKUP(VLOOKUP(BN$1,main!$A$3:$H$102,7,FALSE),main!$K$19:$O$22,MATCH(VLOOKUP($A102,main!$A$3:$H$102,8,FALSE),main!$K$18:$O$18,0))))),1,0)</f>
        <v>0</v>
      </c>
      <c r="BO102">
        <f>IF((AND(VLOOKUP(BO$1,main!$A$3:$H$102,5,FALSE)-VLOOKUP($A102,main!$A$3:$H$102,6,FALSE)&gt;=(VLOOKUP(VLOOKUP(BO$1,main!$A$3:$H$102,8,FALSE),main!$K$26:$M$29,2,FALSE)+VLOOKUP(VLOOKUP(BO$1,main!$A$3:$H$102,7,FALSE),main!$K$19:$O$22,MATCH(VLOOKUP($A102,main!$A$3:$H$102,8,FALSE),main!$K$18:$O$18,0))))),1,0)</f>
        <v>0</v>
      </c>
      <c r="BP102">
        <f>IF((AND(VLOOKUP(BP$1,main!$A$3:$H$102,5,FALSE)-VLOOKUP($A102,main!$A$3:$H$102,6,FALSE)&gt;=(VLOOKUP(VLOOKUP(BP$1,main!$A$3:$H$102,8,FALSE),main!$K$26:$M$29,2,FALSE)+VLOOKUP(VLOOKUP(BP$1,main!$A$3:$H$102,7,FALSE),main!$K$19:$O$22,MATCH(VLOOKUP($A102,main!$A$3:$H$102,8,FALSE),main!$K$18:$O$18,0))))),1,0)</f>
        <v>0</v>
      </c>
      <c r="BQ102">
        <f>IF((AND(VLOOKUP(BQ$1,main!$A$3:$H$102,5,FALSE)-VLOOKUP($A102,main!$A$3:$H$102,6,FALSE)&gt;=(VLOOKUP(VLOOKUP(BQ$1,main!$A$3:$H$102,8,FALSE),main!$K$26:$M$29,2,FALSE)+VLOOKUP(VLOOKUP(BQ$1,main!$A$3:$H$102,7,FALSE),main!$K$19:$O$22,MATCH(VLOOKUP($A102,main!$A$3:$H$102,8,FALSE),main!$K$18:$O$18,0))))),1,0)</f>
        <v>0</v>
      </c>
      <c r="BR102">
        <f>IF((AND(VLOOKUP(BR$1,main!$A$3:$H$102,5,FALSE)-VLOOKUP($A102,main!$A$3:$H$102,6,FALSE)&gt;=(VLOOKUP(VLOOKUP(BR$1,main!$A$3:$H$102,8,FALSE),main!$K$26:$M$29,2,FALSE)+VLOOKUP(VLOOKUP(BR$1,main!$A$3:$H$102,7,FALSE),main!$K$19:$O$22,MATCH(VLOOKUP($A102,main!$A$3:$H$102,8,FALSE),main!$K$18:$O$18,0))))),1,0)</f>
        <v>0</v>
      </c>
      <c r="BS102">
        <f>IF((AND(VLOOKUP(BS$1,main!$A$3:$H$102,5,FALSE)-VLOOKUP($A102,main!$A$3:$H$102,6,FALSE)&gt;=(VLOOKUP(VLOOKUP(BS$1,main!$A$3:$H$102,8,FALSE),main!$K$26:$M$29,2,FALSE)+VLOOKUP(VLOOKUP(BS$1,main!$A$3:$H$102,7,FALSE),main!$K$19:$O$22,MATCH(VLOOKUP($A102,main!$A$3:$H$102,8,FALSE),main!$K$18:$O$18,0))))),1,0)</f>
        <v>0</v>
      </c>
      <c r="BT102">
        <f>IF((AND(VLOOKUP(BT$1,main!$A$3:$H$102,5,FALSE)-VLOOKUP($A102,main!$A$3:$H$102,6,FALSE)&gt;=(VLOOKUP(VLOOKUP(BT$1,main!$A$3:$H$102,8,FALSE),main!$K$26:$M$29,2,FALSE)+VLOOKUP(VLOOKUP(BT$1,main!$A$3:$H$102,7,FALSE),main!$K$19:$O$22,MATCH(VLOOKUP($A102,main!$A$3:$H$102,8,FALSE),main!$K$18:$O$18,0))))),1,0)</f>
        <v>0</v>
      </c>
      <c r="BU102">
        <f>IF((AND(VLOOKUP(BU$1,main!$A$3:$H$102,5,FALSE)-VLOOKUP($A102,main!$A$3:$H$102,6,FALSE)&gt;=(VLOOKUP(VLOOKUP(BU$1,main!$A$3:$H$102,8,FALSE),main!$K$26:$M$29,2,FALSE)+VLOOKUP(VLOOKUP(BU$1,main!$A$3:$H$102,7,FALSE),main!$K$19:$O$22,MATCH(VLOOKUP($A102,main!$A$3:$H$102,8,FALSE),main!$K$18:$O$18,0))))),1,0)</f>
        <v>0</v>
      </c>
      <c r="BV102">
        <f>IF((AND(VLOOKUP(BV$1,main!$A$3:$H$102,5,FALSE)-VLOOKUP($A102,main!$A$3:$H$102,6,FALSE)&gt;=(VLOOKUP(VLOOKUP(BV$1,main!$A$3:$H$102,8,FALSE),main!$K$26:$M$29,2,FALSE)+VLOOKUP(VLOOKUP(BV$1,main!$A$3:$H$102,7,FALSE),main!$K$19:$O$22,MATCH(VLOOKUP($A102,main!$A$3:$H$102,8,FALSE),main!$K$18:$O$18,0))))),1,0)</f>
        <v>0</v>
      </c>
      <c r="BW102">
        <f>IF((AND(VLOOKUP(BW$1,main!$A$3:$H$102,5,FALSE)-VLOOKUP($A102,main!$A$3:$H$102,6,FALSE)&gt;=(VLOOKUP(VLOOKUP(BW$1,main!$A$3:$H$102,8,FALSE),main!$K$26:$M$29,2,FALSE)+VLOOKUP(VLOOKUP(BW$1,main!$A$3:$H$102,7,FALSE),main!$K$19:$O$22,MATCH(VLOOKUP($A102,main!$A$3:$H$102,8,FALSE),main!$K$18:$O$18,0))))),1,0)</f>
        <v>0</v>
      </c>
      <c r="BX102">
        <f>IF((AND(VLOOKUP(BX$1,main!$A$3:$H$102,5,FALSE)-VLOOKUP($A102,main!$A$3:$H$102,6,FALSE)&gt;=(VLOOKUP(VLOOKUP(BX$1,main!$A$3:$H$102,8,FALSE),main!$K$26:$M$29,2,FALSE)+VLOOKUP(VLOOKUP(BX$1,main!$A$3:$H$102,7,FALSE),main!$K$19:$O$22,MATCH(VLOOKUP($A102,main!$A$3:$H$102,8,FALSE),main!$K$18:$O$18,0))))),1,0)</f>
        <v>0</v>
      </c>
      <c r="BY102">
        <f>IF((AND(VLOOKUP(BY$1,main!$A$3:$H$102,5,FALSE)-VLOOKUP($A102,main!$A$3:$H$102,6,FALSE)&gt;=(VLOOKUP(VLOOKUP(BY$1,main!$A$3:$H$102,8,FALSE),main!$K$26:$M$29,2,FALSE)+VLOOKUP(VLOOKUP(BY$1,main!$A$3:$H$102,7,FALSE),main!$K$19:$O$22,MATCH(VLOOKUP($A102,main!$A$3:$H$102,8,FALSE),main!$K$18:$O$18,0))))),1,0)</f>
        <v>0</v>
      </c>
      <c r="BZ102">
        <f>IF((AND(VLOOKUP(BZ$1,main!$A$3:$H$102,5,FALSE)-VLOOKUP($A102,main!$A$3:$H$102,6,FALSE)&gt;=(VLOOKUP(VLOOKUP(BZ$1,main!$A$3:$H$102,8,FALSE),main!$K$26:$M$29,2,FALSE)+VLOOKUP(VLOOKUP(BZ$1,main!$A$3:$H$102,7,FALSE),main!$K$19:$O$22,MATCH(VLOOKUP($A102,main!$A$3:$H$102,8,FALSE),main!$K$18:$O$18,0))))),1,0)</f>
        <v>0</v>
      </c>
      <c r="CA102">
        <f>IF((AND(VLOOKUP(CA$1,main!$A$3:$H$102,5,FALSE)-VLOOKUP($A102,main!$A$3:$H$102,6,FALSE)&gt;=(VLOOKUP(VLOOKUP(CA$1,main!$A$3:$H$102,8,FALSE),main!$K$26:$M$29,2,FALSE)+VLOOKUP(VLOOKUP(CA$1,main!$A$3:$H$102,7,FALSE),main!$K$19:$O$22,MATCH(VLOOKUP($A102,main!$A$3:$H$102,8,FALSE),main!$K$18:$O$18,0))))),1,0)</f>
        <v>0</v>
      </c>
      <c r="CB102">
        <f>IF((AND(VLOOKUP(CB$1,main!$A$3:$H$102,5,FALSE)-VLOOKUP($A102,main!$A$3:$H$102,6,FALSE)&gt;=(VLOOKUP(VLOOKUP(CB$1,main!$A$3:$H$102,8,FALSE),main!$K$26:$M$29,2,FALSE)+VLOOKUP(VLOOKUP(CB$1,main!$A$3:$H$102,7,FALSE),main!$K$19:$O$22,MATCH(VLOOKUP($A102,main!$A$3:$H$102,8,FALSE),main!$K$18:$O$18,0))))),1,0)</f>
        <v>0</v>
      </c>
      <c r="CC102">
        <f>IF((AND(VLOOKUP(CC$1,main!$A$3:$H$102,5,FALSE)-VLOOKUP($A102,main!$A$3:$H$102,6,FALSE)&gt;=(VLOOKUP(VLOOKUP(CC$1,main!$A$3:$H$102,8,FALSE),main!$K$26:$M$29,2,FALSE)+VLOOKUP(VLOOKUP(CC$1,main!$A$3:$H$102,7,FALSE),main!$K$19:$O$22,MATCH(VLOOKUP($A102,main!$A$3:$H$102,8,FALSE),main!$K$18:$O$18,0))))),1,0)</f>
        <v>1</v>
      </c>
      <c r="CD102">
        <f>IF((AND(VLOOKUP(CD$1,main!$A$3:$H$102,5,FALSE)-VLOOKUP($A102,main!$A$3:$H$102,6,FALSE)&gt;=(VLOOKUP(VLOOKUP(CD$1,main!$A$3:$H$102,8,FALSE),main!$K$26:$M$29,2,FALSE)+VLOOKUP(VLOOKUP(CD$1,main!$A$3:$H$102,7,FALSE),main!$K$19:$O$22,MATCH(VLOOKUP($A102,main!$A$3:$H$102,8,FALSE),main!$K$18:$O$18,0))))),1,0)</f>
        <v>0</v>
      </c>
      <c r="CE102">
        <f>IF((AND(VLOOKUP(CE$1,main!$A$3:$H$102,5,FALSE)-VLOOKUP($A102,main!$A$3:$H$102,6,FALSE)&gt;=(VLOOKUP(VLOOKUP(CE$1,main!$A$3:$H$102,8,FALSE),main!$K$26:$M$29,2,FALSE)+VLOOKUP(VLOOKUP(CE$1,main!$A$3:$H$102,7,FALSE),main!$K$19:$O$22,MATCH(VLOOKUP($A102,main!$A$3:$H$102,8,FALSE),main!$K$18:$O$18,0))))),1,0)</f>
        <v>0</v>
      </c>
      <c r="CF102">
        <f>IF((AND(VLOOKUP(CF$1,main!$A$3:$H$102,5,FALSE)-VLOOKUP($A102,main!$A$3:$H$102,6,FALSE)&gt;=(VLOOKUP(VLOOKUP(CF$1,main!$A$3:$H$102,8,FALSE),main!$K$26:$M$29,2,FALSE)+VLOOKUP(VLOOKUP(CF$1,main!$A$3:$H$102,7,FALSE),main!$K$19:$O$22,MATCH(VLOOKUP($A102,main!$A$3:$H$102,8,FALSE),main!$K$18:$O$18,0))))),1,0)</f>
        <v>0</v>
      </c>
      <c r="CG102">
        <f>IF((AND(VLOOKUP(CG$1,main!$A$3:$H$102,5,FALSE)-VLOOKUP($A102,main!$A$3:$H$102,6,FALSE)&gt;=(VLOOKUP(VLOOKUP(CG$1,main!$A$3:$H$102,8,FALSE),main!$K$26:$M$29,2,FALSE)+VLOOKUP(VLOOKUP(CG$1,main!$A$3:$H$102,7,FALSE),main!$K$19:$O$22,MATCH(VLOOKUP($A102,main!$A$3:$H$102,8,FALSE),main!$K$18:$O$18,0))))),1,0)</f>
        <v>0</v>
      </c>
      <c r="CH102">
        <f>IF((AND(VLOOKUP(CH$1,main!$A$3:$H$102,5,FALSE)-VLOOKUP($A102,main!$A$3:$H$102,6,FALSE)&gt;=(VLOOKUP(VLOOKUP(CH$1,main!$A$3:$H$102,8,FALSE),main!$K$26:$M$29,2,FALSE)+VLOOKUP(VLOOKUP(CH$1,main!$A$3:$H$102,7,FALSE),main!$K$19:$O$22,MATCH(VLOOKUP($A102,main!$A$3:$H$102,8,FALSE),main!$K$18:$O$18,0))))),1,0)</f>
        <v>0</v>
      </c>
      <c r="CI102">
        <f>IF((AND(VLOOKUP(CI$1,main!$A$3:$H$102,5,FALSE)-VLOOKUP($A102,main!$A$3:$H$102,6,FALSE)&gt;=(VLOOKUP(VLOOKUP(CI$1,main!$A$3:$H$102,8,FALSE),main!$K$26:$M$29,2,FALSE)+VLOOKUP(VLOOKUP(CI$1,main!$A$3:$H$102,7,FALSE),main!$K$19:$O$22,MATCH(VLOOKUP($A102,main!$A$3:$H$102,8,FALSE),main!$K$18:$O$18,0))))),1,0)</f>
        <v>1</v>
      </c>
      <c r="CJ102">
        <f>IF((AND(VLOOKUP(CJ$1,main!$A$3:$H$102,5,FALSE)-VLOOKUP($A102,main!$A$3:$H$102,6,FALSE)&gt;=(VLOOKUP(VLOOKUP(CJ$1,main!$A$3:$H$102,8,FALSE),main!$K$26:$M$29,2,FALSE)+VLOOKUP(VLOOKUP(CJ$1,main!$A$3:$H$102,7,FALSE),main!$K$19:$O$22,MATCH(VLOOKUP($A102,main!$A$3:$H$102,8,FALSE),main!$K$18:$O$18,0))))),1,0)</f>
        <v>0</v>
      </c>
      <c r="CK102">
        <f>IF((AND(VLOOKUP(CK$1,main!$A$3:$H$102,5,FALSE)-VLOOKUP($A102,main!$A$3:$H$102,6,FALSE)&gt;=(VLOOKUP(VLOOKUP(CK$1,main!$A$3:$H$102,8,FALSE),main!$K$26:$M$29,2,FALSE)+VLOOKUP(VLOOKUP(CK$1,main!$A$3:$H$102,7,FALSE),main!$K$19:$O$22,MATCH(VLOOKUP($A102,main!$A$3:$H$102,8,FALSE),main!$K$18:$O$18,0))))),1,0)</f>
        <v>0</v>
      </c>
      <c r="CL102">
        <f>IF((AND(VLOOKUP(CL$1,main!$A$3:$H$102,5,FALSE)-VLOOKUP($A102,main!$A$3:$H$102,6,FALSE)&gt;=(VLOOKUP(VLOOKUP(CL$1,main!$A$3:$H$102,8,FALSE),main!$K$26:$M$29,2,FALSE)+VLOOKUP(VLOOKUP(CL$1,main!$A$3:$H$102,7,FALSE),main!$K$19:$O$22,MATCH(VLOOKUP($A102,main!$A$3:$H$102,8,FALSE),main!$K$18:$O$18,0))))),1,0)</f>
        <v>0</v>
      </c>
      <c r="CM102">
        <f>IF((AND(VLOOKUP(CM$1,main!$A$3:$H$102,5,FALSE)-VLOOKUP($A102,main!$A$3:$H$102,6,FALSE)&gt;=(VLOOKUP(VLOOKUP(CM$1,main!$A$3:$H$102,8,FALSE),main!$K$26:$M$29,2,FALSE)+VLOOKUP(VLOOKUP(CM$1,main!$A$3:$H$102,7,FALSE),main!$K$19:$O$22,MATCH(VLOOKUP($A102,main!$A$3:$H$102,8,FALSE),main!$K$18:$O$18,0))))),1,0)</f>
        <v>0</v>
      </c>
      <c r="CN102">
        <f>IF((AND(VLOOKUP(CN$1,main!$A$3:$H$102,5,FALSE)-VLOOKUP($A102,main!$A$3:$H$102,6,FALSE)&gt;=(VLOOKUP(VLOOKUP(CN$1,main!$A$3:$H$102,8,FALSE),main!$K$26:$M$29,2,FALSE)+VLOOKUP(VLOOKUP(CN$1,main!$A$3:$H$102,7,FALSE),main!$K$19:$O$22,MATCH(VLOOKUP($A102,main!$A$3:$H$102,8,FALSE),main!$K$18:$O$18,0))))),1,0)</f>
        <v>1</v>
      </c>
      <c r="CO102">
        <f>IF((AND(VLOOKUP(CO$1,main!$A$3:$H$102,5,FALSE)-VLOOKUP($A102,main!$A$3:$H$102,6,FALSE)&gt;=(VLOOKUP(VLOOKUP(CO$1,main!$A$3:$H$102,8,FALSE),main!$K$26:$M$29,2,FALSE)+VLOOKUP(VLOOKUP(CO$1,main!$A$3:$H$102,7,FALSE),main!$K$19:$O$22,MATCH(VLOOKUP($A102,main!$A$3:$H$102,8,FALSE),main!$K$18:$O$18,0))))),1,0)</f>
        <v>0</v>
      </c>
      <c r="CP102">
        <f>IF((AND(VLOOKUP(CP$1,main!$A$3:$H$102,5,FALSE)-VLOOKUP($A102,main!$A$3:$H$102,6,FALSE)&gt;=(VLOOKUP(VLOOKUP(CP$1,main!$A$3:$H$102,8,FALSE),main!$K$26:$M$29,2,FALSE)+VLOOKUP(VLOOKUP(CP$1,main!$A$3:$H$102,7,FALSE),main!$K$19:$O$22,MATCH(VLOOKUP($A102,main!$A$3:$H$102,8,FALSE),main!$K$18:$O$18,0))))),1,0)</f>
        <v>0</v>
      </c>
      <c r="CQ102">
        <f>IF((AND(VLOOKUP(CQ$1,main!$A$3:$H$102,5,FALSE)-VLOOKUP($A102,main!$A$3:$H$102,6,FALSE)&gt;=(VLOOKUP(VLOOKUP(CQ$1,main!$A$3:$H$102,8,FALSE),main!$K$26:$M$29,2,FALSE)+VLOOKUP(VLOOKUP(CQ$1,main!$A$3:$H$102,7,FALSE),main!$K$19:$O$22,MATCH(VLOOKUP($A102,main!$A$3:$H$102,8,FALSE),main!$K$18:$O$18,0))))),1,0)</f>
        <v>0</v>
      </c>
      <c r="CR102">
        <f>IF((AND(VLOOKUP(CR$1,main!$A$3:$H$102,5,FALSE)-VLOOKUP($A102,main!$A$3:$H$102,6,FALSE)&gt;=(VLOOKUP(VLOOKUP(CR$1,main!$A$3:$H$102,8,FALSE),main!$K$26:$M$29,2,FALSE)+VLOOKUP(VLOOKUP(CR$1,main!$A$3:$H$102,7,FALSE),main!$K$19:$O$22,MATCH(VLOOKUP($A102,main!$A$3:$H$102,8,FALSE),main!$K$18:$O$18,0))))),1,0)</f>
        <v>0</v>
      </c>
      <c r="CS102">
        <f>IF((AND(VLOOKUP(CS$1,main!$A$3:$H$102,5,FALSE)-VLOOKUP($A102,main!$A$3:$H$102,6,FALSE)&gt;=(VLOOKUP(VLOOKUP(CS$1,main!$A$3:$H$102,8,FALSE),main!$K$26:$M$29,2,FALSE)+VLOOKUP(VLOOKUP(CS$1,main!$A$3:$H$102,7,FALSE),main!$K$19:$O$22,MATCH(VLOOKUP($A102,main!$A$3:$H$102,8,FALSE),main!$K$18:$O$18,0))))),1,0)</f>
        <v>0</v>
      </c>
      <c r="CT102">
        <f>IF((AND(VLOOKUP(CT$1,main!$A$3:$H$102,5,FALSE)-VLOOKUP($A102,main!$A$3:$H$102,6,FALSE)&gt;=(VLOOKUP(VLOOKUP(CT$1,main!$A$3:$H$102,8,FALSE),main!$K$26:$M$29,2,FALSE)+VLOOKUP(VLOOKUP(CT$1,main!$A$3:$H$102,7,FALSE),main!$K$19:$O$22,MATCH(VLOOKUP($A102,main!$A$3:$H$102,8,FALSE),main!$K$18:$O$18,0))))),1,0)</f>
        <v>0</v>
      </c>
      <c r="CU102">
        <f>IF((AND(VLOOKUP(CU$1,main!$A$3:$H$102,5,FALSE)-VLOOKUP($A102,main!$A$3:$H$102,6,FALSE)&gt;=(VLOOKUP(VLOOKUP(CU$1,main!$A$3:$H$102,8,FALSE),main!$K$26:$M$29,2,FALSE)+VLOOKUP(VLOOKUP(CU$1,main!$A$3:$H$102,7,FALSE),main!$K$19:$O$22,MATCH(VLOOKUP($A102,main!$A$3:$H$102,8,FALSE),main!$K$18:$O$18,0))))),1,0)</f>
        <v>0</v>
      </c>
      <c r="CV102">
        <f>IF((AND(VLOOKUP(CV$1,main!$A$3:$H$102,5,FALSE)-VLOOKUP($A102,main!$A$3:$H$102,6,FALSE)&gt;=(VLOOKUP(VLOOKUP(CV$1,main!$A$3:$H$102,8,FALSE),main!$K$26:$M$29,2,FALSE)+VLOOKUP(VLOOKUP(CV$1,main!$A$3:$H$102,7,FALSE),main!$K$19:$O$22,MATCH(VLOOKUP($A102,main!$A$3:$H$102,8,FALSE),main!$K$18:$O$18,0))))),1,0)</f>
        <v>0</v>
      </c>
      <c r="CW102">
        <f>IF((AND(VLOOKUP(CW$1,main!$A$3:$H$102,5,FALSE)-VLOOKUP($A102,main!$A$3:$H$102,6,FALSE)&gt;=(VLOOKUP(VLOOKUP(CW$1,main!$A$3:$H$102,8,FALSE),main!$K$26:$M$29,2,FALSE)+VLOOKUP(VLOOKUP(CW$1,main!$A$3:$H$102,7,FALSE),main!$K$19:$O$22,MATCH(VLOOKUP($A102,main!$A$3:$H$102,8,FALSE),main!$K$18:$O$18,0))))),1,0)</f>
        <v>0</v>
      </c>
      <c r="CX102">
        <f>IF((AND(VLOOKUP(CX$1,main!$A$3:$H$102,5,FALSE)-VLOOKUP($A102,main!$A$3:$H$102,6,FALSE)&gt;=(VLOOKUP(VLOOKUP(CX$1,main!$A$3:$H$102,8,FALSE),main!$K$26:$M$29,2,FALSE)+VLOOKUP(VLOOKUP(CX$1,main!$A$3:$H$102,7,FALSE),main!$K$19:$O$22,MATCH(VLOOKUP($A102,main!$A$3:$H$102,8,FALSE),main!$K$18:$O$18,0))))),1,0)</f>
        <v>0</v>
      </c>
    </row>
  </sheetData>
  <conditionalFormatting sqref="B2:XFD10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A122"/>
  <sheetViews>
    <sheetView topLeftCell="CV76" workbookViewId="0">
      <selection activeCell="DA105" sqref="DA105"/>
    </sheetView>
  </sheetViews>
  <sheetFormatPr defaultRowHeight="15" x14ac:dyDescent="0.25"/>
  <sheetData>
    <row r="1" spans="1:105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</row>
    <row r="2" spans="1:105" x14ac:dyDescent="0.25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</row>
    <row r="3" spans="1:105" x14ac:dyDescent="0.25">
      <c r="A3" s="1">
        <v>1</v>
      </c>
      <c r="B3">
        <v>0</v>
      </c>
      <c r="C3">
        <f>IF((gamma!C3),IF(VLOOKUP(C$1,main!$A$3:$H$102,7,FALSE)=VLOOKUP($A3,main!$A$3:$H$102,8,FALSE),VLOOKUP(C$1,main!$A$3:$H$102,4,FALSE),VLOOKUP(C$1,main!$A$3:$H$102,4,FALSE)+VLOOKUP($A3,main!$A$3:$H$102,4,FALSE)+(VLOOKUP(VLOOKUP(C$1,main!$A$3:$H$102,8,FALSE),main!$K$19:$O$22,MATCH(VLOOKUP($A3,main!$A$3:$H$102,7,FALSE),main!$K$18:$O$18,0),0))),0)</f>
        <v>0</v>
      </c>
      <c r="D3">
        <f>IF((gamma!D3),IF(VLOOKUP(D$1,main!$A$3:$H$102,7,FALSE)=VLOOKUP($A3,main!$A$3:$H$102,8,FALSE),VLOOKUP(D$1,main!$A$3:$H$102,4,FALSE),VLOOKUP(D$1,main!$A$3:$H$102,4,FALSE)+VLOOKUP($A3,main!$A$3:$H$102,4,FALSE)+(VLOOKUP(VLOOKUP(D$1,main!$A$3:$H$102,8,FALSE),main!$K$19:$O$22,MATCH(VLOOKUP($A3,main!$A$3:$H$102,7,FALSE),main!$K$18:$O$18,0),0))),0)</f>
        <v>0</v>
      </c>
      <c r="E3">
        <f>IF((gamma!E3),IF(VLOOKUP(E$1,main!$A$3:$H$102,7,FALSE)=VLOOKUP($A3,main!$A$3:$H$102,8,FALSE),VLOOKUP(E$1,main!$A$3:$H$102,4,FALSE),VLOOKUP(E$1,main!$A$3:$H$102,4,FALSE)+VLOOKUP($A3,main!$A$3:$H$102,4,FALSE)+(VLOOKUP(VLOOKUP(E$1,main!$A$3:$H$102,8,FALSE),main!$K$19:$O$22,MATCH(VLOOKUP($A3,main!$A$3:$H$102,7,FALSE),main!$K$18:$O$18,0),0))),0)</f>
        <v>295</v>
      </c>
      <c r="F3">
        <f>IF((gamma!F3),IF(VLOOKUP(F$1,main!$A$3:$H$102,7,FALSE)=VLOOKUP($A3,main!$A$3:$H$102,8,FALSE),VLOOKUP(F$1,main!$A$3:$H$102,4,FALSE),VLOOKUP(F$1,main!$A$3:$H$102,4,FALSE)+VLOOKUP($A3,main!$A$3:$H$102,4,FALSE)+(VLOOKUP(VLOOKUP(F$1,main!$A$3:$H$102,8,FALSE),main!$K$19:$O$22,MATCH(VLOOKUP($A3,main!$A$3:$H$102,7,FALSE),main!$K$18:$O$18,0),0))),0)</f>
        <v>295</v>
      </c>
      <c r="G3">
        <f>IF((gamma!G3),IF(VLOOKUP(G$1,main!$A$3:$H$102,7,FALSE)=VLOOKUP($A3,main!$A$3:$H$102,8,FALSE),VLOOKUP(G$1,main!$A$3:$H$102,4,FALSE),VLOOKUP(G$1,main!$A$3:$H$102,4,FALSE)+VLOOKUP($A3,main!$A$3:$H$102,4,FALSE)+(VLOOKUP(VLOOKUP(G$1,main!$A$3:$H$102,8,FALSE),main!$K$19:$O$22,MATCH(VLOOKUP($A3,main!$A$3:$H$102,7,FALSE),main!$K$18:$O$18,0),0))),0)</f>
        <v>295</v>
      </c>
      <c r="H3">
        <f>IF((gamma!H3),IF(VLOOKUP(H$1,main!$A$3:$H$102,7,FALSE)=VLOOKUP($A3,main!$A$3:$H$102,8,FALSE),VLOOKUP(H$1,main!$A$3:$H$102,4,FALSE),VLOOKUP(H$1,main!$A$3:$H$102,4,FALSE)+VLOOKUP($A3,main!$A$3:$H$102,4,FALSE)+(VLOOKUP(VLOOKUP(H$1,main!$A$3:$H$102,8,FALSE),main!$K$19:$O$22,MATCH(VLOOKUP($A3,main!$A$3:$H$102,7,FALSE),main!$K$18:$O$18,0),0))),0)</f>
        <v>295</v>
      </c>
      <c r="I3">
        <f>IF((gamma!I3),IF(VLOOKUP(I$1,main!$A$3:$H$102,7,FALSE)=VLOOKUP($A3,main!$A$3:$H$102,8,FALSE),VLOOKUP(I$1,main!$A$3:$H$102,4,FALSE),VLOOKUP(I$1,main!$A$3:$H$102,4,FALSE)+VLOOKUP($A3,main!$A$3:$H$102,4,FALSE)+(VLOOKUP(VLOOKUP(I$1,main!$A$3:$H$102,8,FALSE),main!$K$19:$O$22,MATCH(VLOOKUP($A3,main!$A$3:$H$102,7,FALSE),main!$K$18:$O$18,0),0))),0)</f>
        <v>295</v>
      </c>
      <c r="J3">
        <f>IF((gamma!J3),IF(VLOOKUP(J$1,main!$A$3:$H$102,7,FALSE)=VLOOKUP($A3,main!$A$3:$H$102,8,FALSE),VLOOKUP(J$1,main!$A$3:$H$102,4,FALSE),VLOOKUP(J$1,main!$A$3:$H$102,4,FALSE)+VLOOKUP($A3,main!$A$3:$H$102,4,FALSE)+(VLOOKUP(VLOOKUP(J$1,main!$A$3:$H$102,8,FALSE),main!$K$19:$O$22,MATCH(VLOOKUP($A3,main!$A$3:$H$102,7,FALSE),main!$K$18:$O$18,0),0))),0)</f>
        <v>295</v>
      </c>
      <c r="K3">
        <f>IF((gamma!K3),IF(VLOOKUP(K$1,main!$A$3:$H$102,7,FALSE)=VLOOKUP($A3,main!$A$3:$H$102,8,FALSE),VLOOKUP(K$1,main!$A$3:$H$102,4,FALSE),VLOOKUP(K$1,main!$A$3:$H$102,4,FALSE)+VLOOKUP($A3,main!$A$3:$H$102,4,FALSE)+(VLOOKUP(VLOOKUP(K$1,main!$A$3:$H$102,8,FALSE),main!$K$19:$O$22,MATCH(VLOOKUP($A3,main!$A$3:$H$102,7,FALSE),main!$K$18:$O$18,0),0))),0)</f>
        <v>295</v>
      </c>
      <c r="L3">
        <f>IF((gamma!L3),IF(VLOOKUP(L$1,main!$A$3:$H$102,7,FALSE)=VLOOKUP($A3,main!$A$3:$H$102,8,FALSE),VLOOKUP(L$1,main!$A$3:$H$102,4,FALSE),VLOOKUP(L$1,main!$A$3:$H$102,4,FALSE)+VLOOKUP($A3,main!$A$3:$H$102,4,FALSE)+(VLOOKUP(VLOOKUP(L$1,main!$A$3:$H$102,8,FALSE),main!$K$19:$O$22,MATCH(VLOOKUP($A3,main!$A$3:$H$102,7,FALSE),main!$K$18:$O$18,0),0))),0)</f>
        <v>295</v>
      </c>
      <c r="M3">
        <f>IF((gamma!M3),IF(VLOOKUP(M$1,main!$A$3:$H$102,7,FALSE)=VLOOKUP($A3,main!$A$3:$H$102,8,FALSE),VLOOKUP(M$1,main!$A$3:$H$102,4,FALSE),VLOOKUP(M$1,main!$A$3:$H$102,4,FALSE)+VLOOKUP($A3,main!$A$3:$H$102,4,FALSE)+(VLOOKUP(VLOOKUP(M$1,main!$A$3:$H$102,8,FALSE),main!$K$19:$O$22,MATCH(VLOOKUP($A3,main!$A$3:$H$102,7,FALSE),main!$K$18:$O$18,0),0))),0)</f>
        <v>0</v>
      </c>
      <c r="N3">
        <f>IF((gamma!N3),IF(VLOOKUP(N$1,main!$A$3:$H$102,7,FALSE)=VLOOKUP($A3,main!$A$3:$H$102,8,FALSE),VLOOKUP(N$1,main!$A$3:$H$102,4,FALSE),VLOOKUP(N$1,main!$A$3:$H$102,4,FALSE)+VLOOKUP($A3,main!$A$3:$H$102,4,FALSE)+(VLOOKUP(VLOOKUP(N$1,main!$A$3:$H$102,8,FALSE),main!$K$19:$O$22,MATCH(VLOOKUP($A3,main!$A$3:$H$102,7,FALSE),main!$K$18:$O$18,0),0))),0)</f>
        <v>0</v>
      </c>
      <c r="O3">
        <f>IF((gamma!O3),IF(VLOOKUP(O$1,main!$A$3:$H$102,7,FALSE)=VLOOKUP($A3,main!$A$3:$H$102,8,FALSE),VLOOKUP(O$1,main!$A$3:$H$102,4,FALSE),VLOOKUP(O$1,main!$A$3:$H$102,4,FALSE)+VLOOKUP($A3,main!$A$3:$H$102,4,FALSE)+(VLOOKUP(VLOOKUP(O$1,main!$A$3:$H$102,8,FALSE),main!$K$19:$O$22,MATCH(VLOOKUP($A3,main!$A$3:$H$102,7,FALSE),main!$K$18:$O$18,0),0))),0)</f>
        <v>0</v>
      </c>
      <c r="P3">
        <f>IF((gamma!P3),IF(VLOOKUP(P$1,main!$A$3:$H$102,7,FALSE)=VLOOKUP($A3,main!$A$3:$H$102,8,FALSE),VLOOKUP(P$1,main!$A$3:$H$102,4,FALSE),VLOOKUP(P$1,main!$A$3:$H$102,4,FALSE)+VLOOKUP($A3,main!$A$3:$H$102,4,FALSE)+(VLOOKUP(VLOOKUP(P$1,main!$A$3:$H$102,8,FALSE),main!$K$19:$O$22,MATCH(VLOOKUP($A3,main!$A$3:$H$102,7,FALSE),main!$K$18:$O$18,0),0))),0)</f>
        <v>305</v>
      </c>
      <c r="Q3">
        <f>IF((gamma!Q3),IF(VLOOKUP(Q$1,main!$A$3:$H$102,7,FALSE)=VLOOKUP($A3,main!$A$3:$H$102,8,FALSE),VLOOKUP(Q$1,main!$A$3:$H$102,4,FALSE),VLOOKUP(Q$1,main!$A$3:$H$102,4,FALSE)+VLOOKUP($A3,main!$A$3:$H$102,4,FALSE)+(VLOOKUP(VLOOKUP(Q$1,main!$A$3:$H$102,8,FALSE),main!$K$19:$O$22,MATCH(VLOOKUP($A3,main!$A$3:$H$102,7,FALSE),main!$K$18:$O$18,0),0))),0)</f>
        <v>305</v>
      </c>
      <c r="R3">
        <f>IF((gamma!R3),IF(VLOOKUP(R$1,main!$A$3:$H$102,7,FALSE)=VLOOKUP($A3,main!$A$3:$H$102,8,FALSE),VLOOKUP(R$1,main!$A$3:$H$102,4,FALSE),VLOOKUP(R$1,main!$A$3:$H$102,4,FALSE)+VLOOKUP($A3,main!$A$3:$H$102,4,FALSE)+(VLOOKUP(VLOOKUP(R$1,main!$A$3:$H$102,8,FALSE),main!$K$19:$O$22,MATCH(VLOOKUP($A3,main!$A$3:$H$102,7,FALSE),main!$K$18:$O$18,0),0))),0)</f>
        <v>305</v>
      </c>
      <c r="S3">
        <f>IF((gamma!S3),IF(VLOOKUP(S$1,main!$A$3:$H$102,7,FALSE)=VLOOKUP($A3,main!$A$3:$H$102,8,FALSE),VLOOKUP(S$1,main!$A$3:$H$102,4,FALSE),VLOOKUP(S$1,main!$A$3:$H$102,4,FALSE)+VLOOKUP($A3,main!$A$3:$H$102,4,FALSE)+(VLOOKUP(VLOOKUP(S$1,main!$A$3:$H$102,8,FALSE),main!$K$19:$O$22,MATCH(VLOOKUP($A3,main!$A$3:$H$102,7,FALSE),main!$K$18:$O$18,0),0))),0)</f>
        <v>305</v>
      </c>
      <c r="T3">
        <f>IF((gamma!T3),IF(VLOOKUP(T$1,main!$A$3:$H$102,7,FALSE)=VLOOKUP($A3,main!$A$3:$H$102,8,FALSE),VLOOKUP(T$1,main!$A$3:$H$102,4,FALSE),VLOOKUP(T$1,main!$A$3:$H$102,4,FALSE)+VLOOKUP($A3,main!$A$3:$H$102,4,FALSE)+(VLOOKUP(VLOOKUP(T$1,main!$A$3:$H$102,8,FALSE),main!$K$19:$O$22,MATCH(VLOOKUP($A3,main!$A$3:$H$102,7,FALSE),main!$K$18:$O$18,0),0))),0)</f>
        <v>305</v>
      </c>
      <c r="U3">
        <f>IF((gamma!U3),IF(VLOOKUP(U$1,main!$A$3:$H$102,7,FALSE)=VLOOKUP($A3,main!$A$3:$H$102,8,FALSE),VLOOKUP(U$1,main!$A$3:$H$102,4,FALSE),VLOOKUP(U$1,main!$A$3:$H$102,4,FALSE)+VLOOKUP($A3,main!$A$3:$H$102,4,FALSE)+(VLOOKUP(VLOOKUP(U$1,main!$A$3:$H$102,8,FALSE),main!$K$19:$O$22,MATCH(VLOOKUP($A3,main!$A$3:$H$102,7,FALSE),main!$K$18:$O$18,0),0))),0)</f>
        <v>305</v>
      </c>
      <c r="V3">
        <f>IF((gamma!V3),IF(VLOOKUP(V$1,main!$A$3:$H$102,7,FALSE)=VLOOKUP($A3,main!$A$3:$H$102,8,FALSE),VLOOKUP(V$1,main!$A$3:$H$102,4,FALSE),VLOOKUP(V$1,main!$A$3:$H$102,4,FALSE)+VLOOKUP($A3,main!$A$3:$H$102,4,FALSE)+(VLOOKUP(VLOOKUP(V$1,main!$A$3:$H$102,8,FALSE),main!$K$19:$O$22,MATCH(VLOOKUP($A3,main!$A$3:$H$102,7,FALSE),main!$K$18:$O$18,0),0))),0)</f>
        <v>305</v>
      </c>
      <c r="W3">
        <f>IF((gamma!W3),IF(VLOOKUP(W$1,main!$A$3:$H$102,7,FALSE)=VLOOKUP($A3,main!$A$3:$H$102,8,FALSE),VLOOKUP(W$1,main!$A$3:$H$102,4,FALSE),VLOOKUP(W$1,main!$A$3:$H$102,4,FALSE)+VLOOKUP($A3,main!$A$3:$H$102,4,FALSE)+(VLOOKUP(VLOOKUP(W$1,main!$A$3:$H$102,8,FALSE),main!$K$19:$O$22,MATCH(VLOOKUP($A3,main!$A$3:$H$102,7,FALSE),main!$K$18:$O$18,0),0))),0)</f>
        <v>0</v>
      </c>
      <c r="X3">
        <f>IF((gamma!X3),IF(VLOOKUP(X$1,main!$A$3:$H$102,7,FALSE)=VLOOKUP($A3,main!$A$3:$H$102,8,FALSE),VLOOKUP(X$1,main!$A$3:$H$102,4,FALSE),VLOOKUP(X$1,main!$A$3:$H$102,4,FALSE)+VLOOKUP($A3,main!$A$3:$H$102,4,FALSE)+(VLOOKUP(VLOOKUP(X$1,main!$A$3:$H$102,8,FALSE),main!$K$19:$O$22,MATCH(VLOOKUP($A3,main!$A$3:$H$102,7,FALSE),main!$K$18:$O$18,0),0))),0)</f>
        <v>310</v>
      </c>
      <c r="Y3">
        <f>IF((gamma!Y3),IF(VLOOKUP(Y$1,main!$A$3:$H$102,7,FALSE)=VLOOKUP($A3,main!$A$3:$H$102,8,FALSE),VLOOKUP(Y$1,main!$A$3:$H$102,4,FALSE),VLOOKUP(Y$1,main!$A$3:$H$102,4,FALSE)+VLOOKUP($A3,main!$A$3:$H$102,4,FALSE)+(VLOOKUP(VLOOKUP(Y$1,main!$A$3:$H$102,8,FALSE),main!$K$19:$O$22,MATCH(VLOOKUP($A3,main!$A$3:$H$102,7,FALSE),main!$K$18:$O$18,0),0))),0)</f>
        <v>305</v>
      </c>
      <c r="Z3">
        <f>IF((gamma!Z3),IF(VLOOKUP(Z$1,main!$A$3:$H$102,7,FALSE)=VLOOKUP($A3,main!$A$3:$H$102,8,FALSE),VLOOKUP(Z$1,main!$A$3:$H$102,4,FALSE),VLOOKUP(Z$1,main!$A$3:$H$102,4,FALSE)+VLOOKUP($A3,main!$A$3:$H$102,4,FALSE)+(VLOOKUP(VLOOKUP(Z$1,main!$A$3:$H$102,8,FALSE),main!$K$19:$O$22,MATCH(VLOOKUP($A3,main!$A$3:$H$102,7,FALSE),main!$K$18:$O$18,0),0))),0)</f>
        <v>310</v>
      </c>
      <c r="AA3">
        <f>IF((gamma!AA3),IF(VLOOKUP(AA$1,main!$A$3:$H$102,7,FALSE)=VLOOKUP($A3,main!$A$3:$H$102,8,FALSE),VLOOKUP(AA$1,main!$A$3:$H$102,4,FALSE),VLOOKUP(AA$1,main!$A$3:$H$102,4,FALSE)+VLOOKUP($A3,main!$A$3:$H$102,4,FALSE)+(VLOOKUP(VLOOKUP(AA$1,main!$A$3:$H$102,8,FALSE),main!$K$19:$O$22,MATCH(VLOOKUP($A3,main!$A$3:$H$102,7,FALSE),main!$K$18:$O$18,0),0))),0)</f>
        <v>310</v>
      </c>
      <c r="AB3">
        <f>IF((gamma!AB3),IF(VLOOKUP(AB$1,main!$A$3:$H$102,7,FALSE)=VLOOKUP($A3,main!$A$3:$H$102,8,FALSE),VLOOKUP(AB$1,main!$A$3:$H$102,4,FALSE),VLOOKUP(AB$1,main!$A$3:$H$102,4,FALSE)+VLOOKUP($A3,main!$A$3:$H$102,4,FALSE)+(VLOOKUP(VLOOKUP(AB$1,main!$A$3:$H$102,8,FALSE),main!$K$19:$O$22,MATCH(VLOOKUP($A3,main!$A$3:$H$102,7,FALSE),main!$K$18:$O$18,0),0))),0)</f>
        <v>0</v>
      </c>
      <c r="AC3">
        <f>IF((gamma!AC3),IF(VLOOKUP(AC$1,main!$A$3:$H$102,7,FALSE)=VLOOKUP($A3,main!$A$3:$H$102,8,FALSE),VLOOKUP(AC$1,main!$A$3:$H$102,4,FALSE),VLOOKUP(AC$1,main!$A$3:$H$102,4,FALSE)+VLOOKUP($A3,main!$A$3:$H$102,4,FALSE)+(VLOOKUP(VLOOKUP(AC$1,main!$A$3:$H$102,8,FALSE),main!$K$19:$O$22,MATCH(VLOOKUP($A3,main!$A$3:$H$102,7,FALSE),main!$K$18:$O$18,0),0))),0)</f>
        <v>0</v>
      </c>
      <c r="AD3">
        <f>IF((gamma!AD3),IF(VLOOKUP(AD$1,main!$A$3:$H$102,7,FALSE)=VLOOKUP($A3,main!$A$3:$H$102,8,FALSE),VLOOKUP(AD$1,main!$A$3:$H$102,4,FALSE),VLOOKUP(AD$1,main!$A$3:$H$102,4,FALSE)+VLOOKUP($A3,main!$A$3:$H$102,4,FALSE)+(VLOOKUP(VLOOKUP(AD$1,main!$A$3:$H$102,8,FALSE),main!$K$19:$O$22,MATCH(VLOOKUP($A3,main!$A$3:$H$102,7,FALSE),main!$K$18:$O$18,0),0))),0)</f>
        <v>305</v>
      </c>
      <c r="AE3">
        <f>IF((gamma!AE3),IF(VLOOKUP(AE$1,main!$A$3:$H$102,7,FALSE)=VLOOKUP($A3,main!$A$3:$H$102,8,FALSE),VLOOKUP(AE$1,main!$A$3:$H$102,4,FALSE),VLOOKUP(AE$1,main!$A$3:$H$102,4,FALSE)+VLOOKUP($A3,main!$A$3:$H$102,4,FALSE)+(VLOOKUP(VLOOKUP(AE$1,main!$A$3:$H$102,8,FALSE),main!$K$19:$O$22,MATCH(VLOOKUP($A3,main!$A$3:$H$102,7,FALSE),main!$K$18:$O$18,0),0))),0)</f>
        <v>310</v>
      </c>
      <c r="AF3">
        <f>IF((gamma!AF3),IF(VLOOKUP(AF$1,main!$A$3:$H$102,7,FALSE)=VLOOKUP($A3,main!$A$3:$H$102,8,FALSE),VLOOKUP(AF$1,main!$A$3:$H$102,4,FALSE),VLOOKUP(AF$1,main!$A$3:$H$102,4,FALSE)+VLOOKUP($A3,main!$A$3:$H$102,4,FALSE)+(VLOOKUP(VLOOKUP(AF$1,main!$A$3:$H$102,8,FALSE),main!$K$19:$O$22,MATCH(VLOOKUP($A3,main!$A$3:$H$102,7,FALSE),main!$K$18:$O$18,0),0))),0)</f>
        <v>270</v>
      </c>
      <c r="AG3">
        <f>IF((gamma!AG3),IF(VLOOKUP(AG$1,main!$A$3:$H$102,7,FALSE)=VLOOKUP($A3,main!$A$3:$H$102,8,FALSE),VLOOKUP(AG$1,main!$A$3:$H$102,4,FALSE),VLOOKUP(AG$1,main!$A$3:$H$102,4,FALSE)+VLOOKUP($A3,main!$A$3:$H$102,4,FALSE)+(VLOOKUP(VLOOKUP(AG$1,main!$A$3:$H$102,8,FALSE),main!$K$19:$O$22,MATCH(VLOOKUP($A3,main!$A$3:$H$102,7,FALSE),main!$K$18:$O$18,0),0))),0)</f>
        <v>0</v>
      </c>
      <c r="AH3">
        <f>IF((gamma!AH3),IF(VLOOKUP(AH$1,main!$A$3:$H$102,7,FALSE)=VLOOKUP($A3,main!$A$3:$H$102,8,FALSE),VLOOKUP(AH$1,main!$A$3:$H$102,4,FALSE),VLOOKUP(AH$1,main!$A$3:$H$102,4,FALSE)+VLOOKUP($A3,main!$A$3:$H$102,4,FALSE)+(VLOOKUP(VLOOKUP(AH$1,main!$A$3:$H$102,8,FALSE),main!$K$19:$O$22,MATCH(VLOOKUP($A3,main!$A$3:$H$102,7,FALSE),main!$K$18:$O$18,0),0))),0)</f>
        <v>135</v>
      </c>
      <c r="AI3">
        <f>IF((gamma!AI3),IF(VLOOKUP(AI$1,main!$A$3:$H$102,7,FALSE)=VLOOKUP($A3,main!$A$3:$H$102,8,FALSE),VLOOKUP(AI$1,main!$A$3:$H$102,4,FALSE),VLOOKUP(AI$1,main!$A$3:$H$102,4,FALSE)+VLOOKUP($A3,main!$A$3:$H$102,4,FALSE)+(VLOOKUP(VLOOKUP(AI$1,main!$A$3:$H$102,8,FALSE),main!$K$19:$O$22,MATCH(VLOOKUP($A3,main!$A$3:$H$102,7,FALSE),main!$K$18:$O$18,0),0))),0)</f>
        <v>135</v>
      </c>
      <c r="AJ3">
        <f>IF((gamma!AJ3),IF(VLOOKUP(AJ$1,main!$A$3:$H$102,7,FALSE)=VLOOKUP($A3,main!$A$3:$H$102,8,FALSE),VLOOKUP(AJ$1,main!$A$3:$H$102,4,FALSE),VLOOKUP(AJ$1,main!$A$3:$H$102,4,FALSE)+VLOOKUP($A3,main!$A$3:$H$102,4,FALSE)+(VLOOKUP(VLOOKUP(AJ$1,main!$A$3:$H$102,8,FALSE),main!$K$19:$O$22,MATCH(VLOOKUP($A3,main!$A$3:$H$102,7,FALSE),main!$K$18:$O$18,0),0))),0)</f>
        <v>135</v>
      </c>
      <c r="AK3">
        <f>IF((gamma!AK3),IF(VLOOKUP(AK$1,main!$A$3:$H$102,7,FALSE)=VLOOKUP($A3,main!$A$3:$H$102,8,FALSE),VLOOKUP(AK$1,main!$A$3:$H$102,4,FALSE),VLOOKUP(AK$1,main!$A$3:$H$102,4,FALSE)+VLOOKUP($A3,main!$A$3:$H$102,4,FALSE)+(VLOOKUP(VLOOKUP(AK$1,main!$A$3:$H$102,8,FALSE),main!$K$19:$O$22,MATCH(VLOOKUP($A3,main!$A$3:$H$102,7,FALSE),main!$K$18:$O$18,0),0))),0)</f>
        <v>135</v>
      </c>
      <c r="AL3">
        <f>IF((gamma!AL3),IF(VLOOKUP(AL$1,main!$A$3:$H$102,7,FALSE)=VLOOKUP($A3,main!$A$3:$H$102,8,FALSE),VLOOKUP(AL$1,main!$A$3:$H$102,4,FALSE),VLOOKUP(AL$1,main!$A$3:$H$102,4,FALSE)+VLOOKUP($A3,main!$A$3:$H$102,4,FALSE)+(VLOOKUP(VLOOKUP(AL$1,main!$A$3:$H$102,8,FALSE),main!$K$19:$O$22,MATCH(VLOOKUP($A3,main!$A$3:$H$102,7,FALSE),main!$K$18:$O$18,0),0))),0)</f>
        <v>135</v>
      </c>
      <c r="AM3">
        <f>IF((gamma!AM3),IF(VLOOKUP(AM$1,main!$A$3:$H$102,7,FALSE)=VLOOKUP($A3,main!$A$3:$H$102,8,FALSE),VLOOKUP(AM$1,main!$A$3:$H$102,4,FALSE),VLOOKUP(AM$1,main!$A$3:$H$102,4,FALSE)+VLOOKUP($A3,main!$A$3:$H$102,4,FALSE)+(VLOOKUP(VLOOKUP(AM$1,main!$A$3:$H$102,8,FALSE),main!$K$19:$O$22,MATCH(VLOOKUP($A3,main!$A$3:$H$102,7,FALSE),main!$K$18:$O$18,0),0))),0)</f>
        <v>135</v>
      </c>
      <c r="AN3">
        <f>IF((gamma!AN3),IF(VLOOKUP(AN$1,main!$A$3:$H$102,7,FALSE)=VLOOKUP($A3,main!$A$3:$H$102,8,FALSE),VLOOKUP(AN$1,main!$A$3:$H$102,4,FALSE),VLOOKUP(AN$1,main!$A$3:$H$102,4,FALSE)+VLOOKUP($A3,main!$A$3:$H$102,4,FALSE)+(VLOOKUP(VLOOKUP(AN$1,main!$A$3:$H$102,8,FALSE),main!$K$19:$O$22,MATCH(VLOOKUP($A3,main!$A$3:$H$102,7,FALSE),main!$K$18:$O$18,0),0))),0)</f>
        <v>135</v>
      </c>
      <c r="AO3">
        <f>IF((gamma!AO3),IF(VLOOKUP(AO$1,main!$A$3:$H$102,7,FALSE)=VLOOKUP($A3,main!$A$3:$H$102,8,FALSE),VLOOKUP(AO$1,main!$A$3:$H$102,4,FALSE),VLOOKUP(AO$1,main!$A$3:$H$102,4,FALSE)+VLOOKUP($A3,main!$A$3:$H$102,4,FALSE)+(VLOOKUP(VLOOKUP(AO$1,main!$A$3:$H$102,8,FALSE),main!$K$19:$O$22,MATCH(VLOOKUP($A3,main!$A$3:$H$102,7,FALSE),main!$K$18:$O$18,0),0))),0)</f>
        <v>0</v>
      </c>
      <c r="AP3">
        <f>IF((gamma!AP3),IF(VLOOKUP(AP$1,main!$A$3:$H$102,7,FALSE)=VLOOKUP($A3,main!$A$3:$H$102,8,FALSE),VLOOKUP(AP$1,main!$A$3:$H$102,4,FALSE),VLOOKUP(AP$1,main!$A$3:$H$102,4,FALSE)+VLOOKUP($A3,main!$A$3:$H$102,4,FALSE)+(VLOOKUP(VLOOKUP(AP$1,main!$A$3:$H$102,8,FALSE),main!$K$19:$O$22,MATCH(VLOOKUP($A3,main!$A$3:$H$102,7,FALSE),main!$K$18:$O$18,0),0))),0)</f>
        <v>75</v>
      </c>
      <c r="AQ3">
        <f>IF((gamma!AQ3),IF(VLOOKUP(AQ$1,main!$A$3:$H$102,7,FALSE)=VLOOKUP($A3,main!$A$3:$H$102,8,FALSE),VLOOKUP(AQ$1,main!$A$3:$H$102,4,FALSE),VLOOKUP(AQ$1,main!$A$3:$H$102,4,FALSE)+VLOOKUP($A3,main!$A$3:$H$102,4,FALSE)+(VLOOKUP(VLOOKUP(AQ$1,main!$A$3:$H$102,8,FALSE),main!$K$19:$O$22,MATCH(VLOOKUP($A3,main!$A$3:$H$102,7,FALSE),main!$K$18:$O$18,0),0))),0)</f>
        <v>0</v>
      </c>
      <c r="AR3">
        <f>IF((gamma!AR3),IF(VLOOKUP(AR$1,main!$A$3:$H$102,7,FALSE)=VLOOKUP($A3,main!$A$3:$H$102,8,FALSE),VLOOKUP(AR$1,main!$A$3:$H$102,4,FALSE),VLOOKUP(AR$1,main!$A$3:$H$102,4,FALSE)+VLOOKUP($A3,main!$A$3:$H$102,4,FALSE)+(VLOOKUP(VLOOKUP(AR$1,main!$A$3:$H$102,8,FALSE),main!$K$19:$O$22,MATCH(VLOOKUP($A3,main!$A$3:$H$102,7,FALSE),main!$K$18:$O$18,0),0))),0)</f>
        <v>140</v>
      </c>
      <c r="AS3">
        <f>IF((gamma!AS3),IF(VLOOKUP(AS$1,main!$A$3:$H$102,7,FALSE)=VLOOKUP($A3,main!$A$3:$H$102,8,FALSE),VLOOKUP(AS$1,main!$A$3:$H$102,4,FALSE),VLOOKUP(AS$1,main!$A$3:$H$102,4,FALSE)+VLOOKUP($A3,main!$A$3:$H$102,4,FALSE)+(VLOOKUP(VLOOKUP(AS$1,main!$A$3:$H$102,8,FALSE),main!$K$19:$O$22,MATCH(VLOOKUP($A3,main!$A$3:$H$102,7,FALSE),main!$K$18:$O$18,0),0))),0)</f>
        <v>120</v>
      </c>
      <c r="AT3">
        <f>IF((gamma!AT3),IF(VLOOKUP(AT$1,main!$A$3:$H$102,7,FALSE)=VLOOKUP($A3,main!$A$3:$H$102,8,FALSE),VLOOKUP(AT$1,main!$A$3:$H$102,4,FALSE),VLOOKUP(AT$1,main!$A$3:$H$102,4,FALSE)+VLOOKUP($A3,main!$A$3:$H$102,4,FALSE)+(VLOOKUP(VLOOKUP(AT$1,main!$A$3:$H$102,8,FALSE),main!$K$19:$O$22,MATCH(VLOOKUP($A3,main!$A$3:$H$102,7,FALSE),main!$K$18:$O$18,0),0))),0)</f>
        <v>130</v>
      </c>
      <c r="AU3">
        <f>IF((gamma!AU3),IF(VLOOKUP(AU$1,main!$A$3:$H$102,7,FALSE)=VLOOKUP($A3,main!$A$3:$H$102,8,FALSE),VLOOKUP(AU$1,main!$A$3:$H$102,4,FALSE),VLOOKUP(AU$1,main!$A$3:$H$102,4,FALSE)+VLOOKUP($A3,main!$A$3:$H$102,4,FALSE)+(VLOOKUP(VLOOKUP(AU$1,main!$A$3:$H$102,8,FALSE),main!$K$19:$O$22,MATCH(VLOOKUP($A3,main!$A$3:$H$102,7,FALSE),main!$K$18:$O$18,0),0))),0)</f>
        <v>0</v>
      </c>
      <c r="AV3">
        <f>IF((gamma!AV3),IF(VLOOKUP(AV$1,main!$A$3:$H$102,7,FALSE)=VLOOKUP($A3,main!$A$3:$H$102,8,FALSE),VLOOKUP(AV$1,main!$A$3:$H$102,4,FALSE),VLOOKUP(AV$1,main!$A$3:$H$102,4,FALSE)+VLOOKUP($A3,main!$A$3:$H$102,4,FALSE)+(VLOOKUP(VLOOKUP(AV$1,main!$A$3:$H$102,8,FALSE),main!$K$19:$O$22,MATCH(VLOOKUP($A3,main!$A$3:$H$102,7,FALSE),main!$K$18:$O$18,0),0))),0)</f>
        <v>0</v>
      </c>
      <c r="AW3">
        <f>IF((gamma!AW3),IF(VLOOKUP(AW$1,main!$A$3:$H$102,7,FALSE)=VLOOKUP($A3,main!$A$3:$H$102,8,FALSE),VLOOKUP(AW$1,main!$A$3:$H$102,4,FALSE),VLOOKUP(AW$1,main!$A$3:$H$102,4,FALSE)+VLOOKUP($A3,main!$A$3:$H$102,4,FALSE)+(VLOOKUP(VLOOKUP(AW$1,main!$A$3:$H$102,8,FALSE),main!$K$19:$O$22,MATCH(VLOOKUP($A3,main!$A$3:$H$102,7,FALSE),main!$K$18:$O$18,0),0))),0)</f>
        <v>120</v>
      </c>
      <c r="AX3">
        <f>IF((gamma!AX3),IF(VLOOKUP(AX$1,main!$A$3:$H$102,7,FALSE)=VLOOKUP($A3,main!$A$3:$H$102,8,FALSE),VLOOKUP(AX$1,main!$A$3:$H$102,4,FALSE),VLOOKUP(AX$1,main!$A$3:$H$102,4,FALSE)+VLOOKUP($A3,main!$A$3:$H$102,4,FALSE)+(VLOOKUP(VLOOKUP(AX$1,main!$A$3:$H$102,8,FALSE),main!$K$19:$O$22,MATCH(VLOOKUP($A3,main!$A$3:$H$102,7,FALSE),main!$K$18:$O$18,0),0))),0)</f>
        <v>105</v>
      </c>
      <c r="AY3">
        <f>IF((gamma!AY3),IF(VLOOKUP(AY$1,main!$A$3:$H$102,7,FALSE)=VLOOKUP($A3,main!$A$3:$H$102,8,FALSE),VLOOKUP(AY$1,main!$A$3:$H$102,4,FALSE),VLOOKUP(AY$1,main!$A$3:$H$102,4,FALSE)+VLOOKUP($A3,main!$A$3:$H$102,4,FALSE)+(VLOOKUP(VLOOKUP(AY$1,main!$A$3:$H$102,8,FALSE),main!$K$19:$O$22,MATCH(VLOOKUP($A3,main!$A$3:$H$102,7,FALSE),main!$K$18:$O$18,0),0))),0)</f>
        <v>90</v>
      </c>
      <c r="AZ3">
        <f>IF((gamma!AZ3),IF(VLOOKUP(AZ$1,main!$A$3:$H$102,7,FALSE)=VLOOKUP($A3,main!$A$3:$H$102,8,FALSE),VLOOKUP(AZ$1,main!$A$3:$H$102,4,FALSE),VLOOKUP(AZ$1,main!$A$3:$H$102,4,FALSE)+VLOOKUP($A3,main!$A$3:$H$102,4,FALSE)+(VLOOKUP(VLOOKUP(AZ$1,main!$A$3:$H$102,8,FALSE),main!$K$19:$O$22,MATCH(VLOOKUP($A3,main!$A$3:$H$102,7,FALSE),main!$K$18:$O$18,0),0))),0)</f>
        <v>135</v>
      </c>
      <c r="BA3">
        <f>IF((gamma!BA3),IF(VLOOKUP(BA$1,main!$A$3:$H$102,7,FALSE)=VLOOKUP($A3,main!$A$3:$H$102,8,FALSE),VLOOKUP(BA$1,main!$A$3:$H$102,4,FALSE),VLOOKUP(BA$1,main!$A$3:$H$102,4,FALSE)+VLOOKUP($A3,main!$A$3:$H$102,4,FALSE)+(VLOOKUP(VLOOKUP(BA$1,main!$A$3:$H$102,8,FALSE),main!$K$19:$O$22,MATCH(VLOOKUP($A3,main!$A$3:$H$102,7,FALSE),main!$K$18:$O$18,0),0))),0)</f>
        <v>0</v>
      </c>
      <c r="BB3">
        <f>IF((gamma!BB3),IF(VLOOKUP(BB$1,main!$A$3:$H$102,7,FALSE)=VLOOKUP($A3,main!$A$3:$H$102,8,FALSE),VLOOKUP(BB$1,main!$A$3:$H$102,4,FALSE),VLOOKUP(BB$1,main!$A$3:$H$102,4,FALSE)+VLOOKUP($A3,main!$A$3:$H$102,4,FALSE)+(VLOOKUP(VLOOKUP(BB$1,main!$A$3:$H$102,8,FALSE),main!$K$19:$O$22,MATCH(VLOOKUP($A3,main!$A$3:$H$102,7,FALSE),main!$K$18:$O$18,0),0))),0)</f>
        <v>275</v>
      </c>
      <c r="BC3">
        <f>IF((gamma!BC3),IF(VLOOKUP(BC$1,main!$A$3:$H$102,7,FALSE)=VLOOKUP($A3,main!$A$3:$H$102,8,FALSE),VLOOKUP(BC$1,main!$A$3:$H$102,4,FALSE),VLOOKUP(BC$1,main!$A$3:$H$102,4,FALSE)+VLOOKUP($A3,main!$A$3:$H$102,4,FALSE)+(VLOOKUP(VLOOKUP(BC$1,main!$A$3:$H$102,8,FALSE),main!$K$19:$O$22,MATCH(VLOOKUP($A3,main!$A$3:$H$102,7,FALSE),main!$K$18:$O$18,0),0))),0)</f>
        <v>275</v>
      </c>
      <c r="BD3">
        <f>IF((gamma!BD3),IF(VLOOKUP(BD$1,main!$A$3:$H$102,7,FALSE)=VLOOKUP($A3,main!$A$3:$H$102,8,FALSE),VLOOKUP(BD$1,main!$A$3:$H$102,4,FALSE),VLOOKUP(BD$1,main!$A$3:$H$102,4,FALSE)+VLOOKUP($A3,main!$A$3:$H$102,4,FALSE)+(VLOOKUP(VLOOKUP(BD$1,main!$A$3:$H$102,8,FALSE),main!$K$19:$O$22,MATCH(VLOOKUP($A3,main!$A$3:$H$102,7,FALSE),main!$K$18:$O$18,0),0))),0)</f>
        <v>275</v>
      </c>
      <c r="BE3">
        <f>IF((gamma!BE3),IF(VLOOKUP(BE$1,main!$A$3:$H$102,7,FALSE)=VLOOKUP($A3,main!$A$3:$H$102,8,FALSE),VLOOKUP(BE$1,main!$A$3:$H$102,4,FALSE),VLOOKUP(BE$1,main!$A$3:$H$102,4,FALSE)+VLOOKUP($A3,main!$A$3:$H$102,4,FALSE)+(VLOOKUP(VLOOKUP(BE$1,main!$A$3:$H$102,8,FALSE),main!$K$19:$O$22,MATCH(VLOOKUP($A3,main!$A$3:$H$102,7,FALSE),main!$K$18:$O$18,0),0))),0)</f>
        <v>275</v>
      </c>
      <c r="BF3">
        <f>IF((gamma!BF3),IF(VLOOKUP(BF$1,main!$A$3:$H$102,7,FALSE)=VLOOKUP($A3,main!$A$3:$H$102,8,FALSE),VLOOKUP(BF$1,main!$A$3:$H$102,4,FALSE),VLOOKUP(BF$1,main!$A$3:$H$102,4,FALSE)+VLOOKUP($A3,main!$A$3:$H$102,4,FALSE)+(VLOOKUP(VLOOKUP(BF$1,main!$A$3:$H$102,8,FALSE),main!$K$19:$O$22,MATCH(VLOOKUP($A3,main!$A$3:$H$102,7,FALSE),main!$K$18:$O$18,0),0))),0)</f>
        <v>0</v>
      </c>
      <c r="BG3">
        <f>IF((gamma!BG3),IF(VLOOKUP(BG$1,main!$A$3:$H$102,7,FALSE)=VLOOKUP($A3,main!$A$3:$H$102,8,FALSE),VLOOKUP(BG$1,main!$A$3:$H$102,4,FALSE),VLOOKUP(BG$1,main!$A$3:$H$102,4,FALSE)+VLOOKUP($A3,main!$A$3:$H$102,4,FALSE)+(VLOOKUP(VLOOKUP(BG$1,main!$A$3:$H$102,8,FALSE),main!$K$19:$O$22,MATCH(VLOOKUP($A3,main!$A$3:$H$102,7,FALSE),main!$K$18:$O$18,0),0))),0)</f>
        <v>250</v>
      </c>
      <c r="BH3">
        <f>IF((gamma!BH3),IF(VLOOKUP(BH$1,main!$A$3:$H$102,7,FALSE)=VLOOKUP($A3,main!$A$3:$H$102,8,FALSE),VLOOKUP(BH$1,main!$A$3:$H$102,4,FALSE),VLOOKUP(BH$1,main!$A$3:$H$102,4,FALSE)+VLOOKUP($A3,main!$A$3:$H$102,4,FALSE)+(VLOOKUP(VLOOKUP(BH$1,main!$A$3:$H$102,8,FALSE),main!$K$19:$O$22,MATCH(VLOOKUP($A3,main!$A$3:$H$102,7,FALSE),main!$K$18:$O$18,0),0))),0)</f>
        <v>260</v>
      </c>
      <c r="BI3">
        <f>IF((gamma!BI3),IF(VLOOKUP(BI$1,main!$A$3:$H$102,7,FALSE)=VLOOKUP($A3,main!$A$3:$H$102,8,FALSE),VLOOKUP(BI$1,main!$A$3:$H$102,4,FALSE),VLOOKUP(BI$1,main!$A$3:$H$102,4,FALSE)+VLOOKUP($A3,main!$A$3:$H$102,4,FALSE)+(VLOOKUP(VLOOKUP(BI$1,main!$A$3:$H$102,8,FALSE),main!$K$19:$O$22,MATCH(VLOOKUP($A3,main!$A$3:$H$102,7,FALSE),main!$K$18:$O$18,0),0))),0)</f>
        <v>195</v>
      </c>
      <c r="BJ3">
        <f>IF((gamma!BJ3),IF(VLOOKUP(BJ$1,main!$A$3:$H$102,7,FALSE)=VLOOKUP($A3,main!$A$3:$H$102,8,FALSE),VLOOKUP(BJ$1,main!$A$3:$H$102,4,FALSE),VLOOKUP(BJ$1,main!$A$3:$H$102,4,FALSE)+VLOOKUP($A3,main!$A$3:$H$102,4,FALSE)+(VLOOKUP(VLOOKUP(BJ$1,main!$A$3:$H$102,8,FALSE),main!$K$19:$O$22,MATCH(VLOOKUP($A3,main!$A$3:$H$102,7,FALSE),main!$K$18:$O$18,0),0))),0)</f>
        <v>225</v>
      </c>
      <c r="BK3">
        <f>IF((gamma!BK3),IF(VLOOKUP(BK$1,main!$A$3:$H$102,7,FALSE)=VLOOKUP($A3,main!$A$3:$H$102,8,FALSE),VLOOKUP(BK$1,main!$A$3:$H$102,4,FALSE),VLOOKUP(BK$1,main!$A$3:$H$102,4,FALSE)+VLOOKUP($A3,main!$A$3:$H$102,4,FALSE)+(VLOOKUP(VLOOKUP(BK$1,main!$A$3:$H$102,8,FALSE),main!$K$19:$O$22,MATCH(VLOOKUP($A3,main!$A$3:$H$102,7,FALSE),main!$K$18:$O$18,0),0))),0)</f>
        <v>0</v>
      </c>
      <c r="BL3">
        <f>IF((gamma!BL3),IF(VLOOKUP(BL$1,main!$A$3:$H$102,7,FALSE)=VLOOKUP($A3,main!$A$3:$H$102,8,FALSE),VLOOKUP(BL$1,main!$A$3:$H$102,4,FALSE),VLOOKUP(BL$1,main!$A$3:$H$102,4,FALSE)+VLOOKUP($A3,main!$A$3:$H$102,4,FALSE)+(VLOOKUP(VLOOKUP(BL$1,main!$A$3:$H$102,8,FALSE),main!$K$19:$O$22,MATCH(VLOOKUP($A3,main!$A$3:$H$102,7,FALSE),main!$K$18:$O$18,0),0))),0)</f>
        <v>0</v>
      </c>
      <c r="BM3">
        <f>IF((gamma!BM3),IF(VLOOKUP(BM$1,main!$A$3:$H$102,7,FALSE)=VLOOKUP($A3,main!$A$3:$H$102,8,FALSE),VLOOKUP(BM$1,main!$A$3:$H$102,4,FALSE),VLOOKUP(BM$1,main!$A$3:$H$102,4,FALSE)+VLOOKUP($A3,main!$A$3:$H$102,4,FALSE)+(VLOOKUP(VLOOKUP(BM$1,main!$A$3:$H$102,8,FALSE),main!$K$19:$O$22,MATCH(VLOOKUP($A3,main!$A$3:$H$102,7,FALSE),main!$K$18:$O$18,0),0))),0)</f>
        <v>300</v>
      </c>
      <c r="BN3">
        <f>IF((gamma!BN3),IF(VLOOKUP(BN$1,main!$A$3:$H$102,7,FALSE)=VLOOKUP($A3,main!$A$3:$H$102,8,FALSE),VLOOKUP(BN$1,main!$A$3:$H$102,4,FALSE),VLOOKUP(BN$1,main!$A$3:$H$102,4,FALSE)+VLOOKUP($A3,main!$A$3:$H$102,4,FALSE)+(VLOOKUP(VLOOKUP(BN$1,main!$A$3:$H$102,8,FALSE),main!$K$19:$O$22,MATCH(VLOOKUP($A3,main!$A$3:$H$102,7,FALSE),main!$K$18:$O$18,0),0))),0)</f>
        <v>280</v>
      </c>
      <c r="BO3">
        <f>IF((gamma!BO3),IF(VLOOKUP(BO$1,main!$A$3:$H$102,7,FALSE)=VLOOKUP($A3,main!$A$3:$H$102,8,FALSE),VLOOKUP(BO$1,main!$A$3:$H$102,4,FALSE),VLOOKUP(BO$1,main!$A$3:$H$102,4,FALSE)+VLOOKUP($A3,main!$A$3:$H$102,4,FALSE)+(VLOOKUP(VLOOKUP(BO$1,main!$A$3:$H$102,8,FALSE),main!$K$19:$O$22,MATCH(VLOOKUP($A3,main!$A$3:$H$102,7,FALSE),main!$K$18:$O$18,0),0))),0)</f>
        <v>0</v>
      </c>
      <c r="BP3">
        <f>IF((gamma!BP3),IF(VLOOKUP(BP$1,main!$A$3:$H$102,7,FALSE)=VLOOKUP($A3,main!$A$3:$H$102,8,FALSE),VLOOKUP(BP$1,main!$A$3:$H$102,4,FALSE),VLOOKUP(BP$1,main!$A$3:$H$102,4,FALSE)+VLOOKUP($A3,main!$A$3:$H$102,4,FALSE)+(VLOOKUP(VLOOKUP(BP$1,main!$A$3:$H$102,8,FALSE),main!$K$19:$O$22,MATCH(VLOOKUP($A3,main!$A$3:$H$102,7,FALSE),main!$K$18:$O$18,0),0))),0)</f>
        <v>0</v>
      </c>
      <c r="BQ3">
        <f>IF((gamma!BQ3),IF(VLOOKUP(BQ$1,main!$A$3:$H$102,7,FALSE)=VLOOKUP($A3,main!$A$3:$H$102,8,FALSE),VLOOKUP(BQ$1,main!$A$3:$H$102,4,FALSE),VLOOKUP(BQ$1,main!$A$3:$H$102,4,FALSE)+VLOOKUP($A3,main!$A$3:$H$102,4,FALSE)+(VLOOKUP(VLOOKUP(BQ$1,main!$A$3:$H$102,8,FALSE),main!$K$19:$O$22,MATCH(VLOOKUP($A3,main!$A$3:$H$102,7,FALSE),main!$K$18:$O$18,0),0))),0)</f>
        <v>300</v>
      </c>
      <c r="BR3">
        <f>IF((gamma!BR3),IF(VLOOKUP(BR$1,main!$A$3:$H$102,7,FALSE)=VLOOKUP($A3,main!$A$3:$H$102,8,FALSE),VLOOKUP(BR$1,main!$A$3:$H$102,4,FALSE),VLOOKUP(BR$1,main!$A$3:$H$102,4,FALSE)+VLOOKUP($A3,main!$A$3:$H$102,4,FALSE)+(VLOOKUP(VLOOKUP(BR$1,main!$A$3:$H$102,8,FALSE),main!$K$19:$O$22,MATCH(VLOOKUP($A3,main!$A$3:$H$102,7,FALSE),main!$K$18:$O$18,0),0))),0)</f>
        <v>260</v>
      </c>
      <c r="BS3">
        <f>IF((gamma!BS3),IF(VLOOKUP(BS$1,main!$A$3:$H$102,7,FALSE)=VLOOKUP($A3,main!$A$3:$H$102,8,FALSE),VLOOKUP(BS$1,main!$A$3:$H$102,4,FALSE),VLOOKUP(BS$1,main!$A$3:$H$102,4,FALSE)+VLOOKUP($A3,main!$A$3:$H$102,4,FALSE)+(VLOOKUP(VLOOKUP(BS$1,main!$A$3:$H$102,8,FALSE),main!$K$19:$O$22,MATCH(VLOOKUP($A3,main!$A$3:$H$102,7,FALSE),main!$K$18:$O$18,0),0))),0)</f>
        <v>261</v>
      </c>
      <c r="BT3">
        <f>IF((gamma!BT3),IF(VLOOKUP(BT$1,main!$A$3:$H$102,7,FALSE)=VLOOKUP($A3,main!$A$3:$H$102,8,FALSE),VLOOKUP(BT$1,main!$A$3:$H$102,4,FALSE),VLOOKUP(BT$1,main!$A$3:$H$102,4,FALSE)+VLOOKUP($A3,main!$A$3:$H$102,4,FALSE)+(VLOOKUP(VLOOKUP(BT$1,main!$A$3:$H$102,8,FALSE),main!$K$19:$O$22,MATCH(VLOOKUP($A3,main!$A$3:$H$102,7,FALSE),main!$K$18:$O$18,0),0))),0)</f>
        <v>280</v>
      </c>
      <c r="BU3">
        <f>IF((gamma!BU3),IF(VLOOKUP(BU$1,main!$A$3:$H$102,7,FALSE)=VLOOKUP($A3,main!$A$3:$H$102,8,FALSE),VLOOKUP(BU$1,main!$A$3:$H$102,4,FALSE),VLOOKUP(BU$1,main!$A$3:$H$102,4,FALSE)+VLOOKUP($A3,main!$A$3:$H$102,4,FALSE)+(VLOOKUP(VLOOKUP(BU$1,main!$A$3:$H$102,8,FALSE),main!$K$19:$O$22,MATCH(VLOOKUP($A3,main!$A$3:$H$102,7,FALSE),main!$K$18:$O$18,0),0))),0)</f>
        <v>0</v>
      </c>
      <c r="BV3">
        <f>IF((gamma!BV3),IF(VLOOKUP(BV$1,main!$A$3:$H$102,7,FALSE)=VLOOKUP($A3,main!$A$3:$H$102,8,FALSE),VLOOKUP(BV$1,main!$A$3:$H$102,4,FALSE),VLOOKUP(BV$1,main!$A$3:$H$102,4,FALSE)+VLOOKUP($A3,main!$A$3:$H$102,4,FALSE)+(VLOOKUP(VLOOKUP(BV$1,main!$A$3:$H$102,8,FALSE),main!$K$19:$O$22,MATCH(VLOOKUP($A3,main!$A$3:$H$102,7,FALSE),main!$K$18:$O$18,0),0))),0)</f>
        <v>0</v>
      </c>
      <c r="BW3">
        <f>IF((gamma!BW3),IF(VLOOKUP(BW$1,main!$A$3:$H$102,7,FALSE)=VLOOKUP($A3,main!$A$3:$H$102,8,FALSE),VLOOKUP(BW$1,main!$A$3:$H$102,4,FALSE),VLOOKUP(BW$1,main!$A$3:$H$102,4,FALSE)+VLOOKUP($A3,main!$A$3:$H$102,4,FALSE)+(VLOOKUP(VLOOKUP(BW$1,main!$A$3:$H$102,8,FALSE),main!$K$19:$O$22,MATCH(VLOOKUP($A3,main!$A$3:$H$102,7,FALSE),main!$K$18:$O$18,0),0))),0)</f>
        <v>0</v>
      </c>
      <c r="BX3">
        <f>IF((gamma!BX3),IF(VLOOKUP(BX$1,main!$A$3:$H$102,7,FALSE)=VLOOKUP($A3,main!$A$3:$H$102,8,FALSE),VLOOKUP(BX$1,main!$A$3:$H$102,4,FALSE),VLOOKUP(BX$1,main!$A$3:$H$102,4,FALSE)+VLOOKUP($A3,main!$A$3:$H$102,4,FALSE)+(VLOOKUP(VLOOKUP(BX$1,main!$A$3:$H$102,8,FALSE),main!$K$19:$O$22,MATCH(VLOOKUP($A3,main!$A$3:$H$102,7,FALSE),main!$K$18:$O$18,0),0))),0)</f>
        <v>305</v>
      </c>
      <c r="BY3">
        <f>IF((gamma!BY3),IF(VLOOKUP(BY$1,main!$A$3:$H$102,7,FALSE)=VLOOKUP($A3,main!$A$3:$H$102,8,FALSE),VLOOKUP(BY$1,main!$A$3:$H$102,4,FALSE),VLOOKUP(BY$1,main!$A$3:$H$102,4,FALSE)+VLOOKUP($A3,main!$A$3:$H$102,4,FALSE)+(VLOOKUP(VLOOKUP(BY$1,main!$A$3:$H$102,8,FALSE),main!$K$19:$O$22,MATCH(VLOOKUP($A3,main!$A$3:$H$102,7,FALSE),main!$K$18:$O$18,0),0))),0)</f>
        <v>290</v>
      </c>
      <c r="BZ3">
        <f>IF((gamma!BZ3),IF(VLOOKUP(BZ$1,main!$A$3:$H$102,7,FALSE)=VLOOKUP($A3,main!$A$3:$H$102,8,FALSE),VLOOKUP(BZ$1,main!$A$3:$H$102,4,FALSE),VLOOKUP(BZ$1,main!$A$3:$H$102,4,FALSE)+VLOOKUP($A3,main!$A$3:$H$102,4,FALSE)+(VLOOKUP(VLOOKUP(BZ$1,main!$A$3:$H$102,8,FALSE),main!$K$19:$O$22,MATCH(VLOOKUP($A3,main!$A$3:$H$102,7,FALSE),main!$K$18:$O$18,0),0))),0)</f>
        <v>0</v>
      </c>
      <c r="CA3">
        <f>IF((gamma!CA3),IF(VLOOKUP(CA$1,main!$A$3:$H$102,7,FALSE)=VLOOKUP($A3,main!$A$3:$H$102,8,FALSE),VLOOKUP(CA$1,main!$A$3:$H$102,4,FALSE),VLOOKUP(CA$1,main!$A$3:$H$102,4,FALSE)+VLOOKUP($A3,main!$A$3:$H$102,4,FALSE)+(VLOOKUP(VLOOKUP(CA$1,main!$A$3:$H$102,8,FALSE),main!$K$19:$O$22,MATCH(VLOOKUP($A3,main!$A$3:$H$102,7,FALSE),main!$K$18:$O$18,0),0))),0)</f>
        <v>0</v>
      </c>
      <c r="CB3">
        <f>IF((gamma!CB3),IF(VLOOKUP(CB$1,main!$A$3:$H$102,7,FALSE)=VLOOKUP($A3,main!$A$3:$H$102,8,FALSE),VLOOKUP(CB$1,main!$A$3:$H$102,4,FALSE),VLOOKUP(CB$1,main!$A$3:$H$102,4,FALSE)+VLOOKUP($A3,main!$A$3:$H$102,4,FALSE)+(VLOOKUP(VLOOKUP(CB$1,main!$A$3:$H$102,8,FALSE),main!$K$19:$O$22,MATCH(VLOOKUP($A3,main!$A$3:$H$102,7,FALSE),main!$K$18:$O$18,0),0))),0)</f>
        <v>235</v>
      </c>
      <c r="CC3">
        <f>IF((gamma!CC3),IF(VLOOKUP(CC$1,main!$A$3:$H$102,7,FALSE)=VLOOKUP($A3,main!$A$3:$H$102,8,FALSE),VLOOKUP(CC$1,main!$A$3:$H$102,4,FALSE),VLOOKUP(CC$1,main!$A$3:$H$102,4,FALSE)+VLOOKUP($A3,main!$A$3:$H$102,4,FALSE)+(VLOOKUP(VLOOKUP(CC$1,main!$A$3:$H$102,8,FALSE),main!$K$19:$O$22,MATCH(VLOOKUP($A3,main!$A$3:$H$102,7,FALSE),main!$K$18:$O$18,0),0))),0)</f>
        <v>225</v>
      </c>
      <c r="CD3">
        <f>IF((gamma!CD3),IF(VLOOKUP(CD$1,main!$A$3:$H$102,7,FALSE)=VLOOKUP($A3,main!$A$3:$H$102,8,FALSE),VLOOKUP(CD$1,main!$A$3:$H$102,4,FALSE),VLOOKUP(CD$1,main!$A$3:$H$102,4,FALSE)+VLOOKUP($A3,main!$A$3:$H$102,4,FALSE)+(VLOOKUP(VLOOKUP(CD$1,main!$A$3:$H$102,8,FALSE),main!$K$19:$O$22,MATCH(VLOOKUP($A3,main!$A$3:$H$102,7,FALSE),main!$K$18:$O$18,0),0))),0)</f>
        <v>284</v>
      </c>
      <c r="CE3">
        <f>IF((gamma!CE3),IF(VLOOKUP(CE$1,main!$A$3:$H$102,7,FALSE)=VLOOKUP($A3,main!$A$3:$H$102,8,FALSE),VLOOKUP(CE$1,main!$A$3:$H$102,4,FALSE),VLOOKUP(CE$1,main!$A$3:$H$102,4,FALSE)+VLOOKUP($A3,main!$A$3:$H$102,4,FALSE)+(VLOOKUP(VLOOKUP(CE$1,main!$A$3:$H$102,8,FALSE),main!$K$19:$O$22,MATCH(VLOOKUP($A3,main!$A$3:$H$102,7,FALSE),main!$K$18:$O$18,0),0))),0)</f>
        <v>275</v>
      </c>
      <c r="CF3">
        <f>IF((gamma!CF3),IF(VLOOKUP(CF$1,main!$A$3:$H$102,7,FALSE)=VLOOKUP($A3,main!$A$3:$H$102,8,FALSE),VLOOKUP(CF$1,main!$A$3:$H$102,4,FALSE),VLOOKUP(CF$1,main!$A$3:$H$102,4,FALSE)+VLOOKUP($A3,main!$A$3:$H$102,4,FALSE)+(VLOOKUP(VLOOKUP(CF$1,main!$A$3:$H$102,8,FALSE),main!$K$19:$O$22,MATCH(VLOOKUP($A3,main!$A$3:$H$102,7,FALSE),main!$K$18:$O$18,0),0))),0)</f>
        <v>270</v>
      </c>
      <c r="CG3">
        <f>IF((gamma!CG3),IF(VLOOKUP(CG$1,main!$A$3:$H$102,7,FALSE)=VLOOKUP($A3,main!$A$3:$H$102,8,FALSE),VLOOKUP(CG$1,main!$A$3:$H$102,4,FALSE),VLOOKUP(CG$1,main!$A$3:$H$102,4,FALSE)+VLOOKUP($A3,main!$A$3:$H$102,4,FALSE)+(VLOOKUP(VLOOKUP(CG$1,main!$A$3:$H$102,8,FALSE),main!$K$19:$O$22,MATCH(VLOOKUP($A3,main!$A$3:$H$102,7,FALSE),main!$K$18:$O$18,0),0))),0)</f>
        <v>275</v>
      </c>
      <c r="CH3">
        <f>IF((gamma!CH3),IF(VLOOKUP(CH$1,main!$A$3:$H$102,7,FALSE)=VLOOKUP($A3,main!$A$3:$H$102,8,FALSE),VLOOKUP(CH$1,main!$A$3:$H$102,4,FALSE),VLOOKUP(CH$1,main!$A$3:$H$102,4,FALSE)+VLOOKUP($A3,main!$A$3:$H$102,4,FALSE)+(VLOOKUP(VLOOKUP(CH$1,main!$A$3:$H$102,8,FALSE),main!$K$19:$O$22,MATCH(VLOOKUP($A3,main!$A$3:$H$102,7,FALSE),main!$K$18:$O$18,0),0))),0)</f>
        <v>275</v>
      </c>
      <c r="CI3">
        <f>IF((gamma!CI3),IF(VLOOKUP(CI$1,main!$A$3:$H$102,7,FALSE)=VLOOKUP($A3,main!$A$3:$H$102,8,FALSE),VLOOKUP(CI$1,main!$A$3:$H$102,4,FALSE),VLOOKUP(CI$1,main!$A$3:$H$102,4,FALSE)+VLOOKUP($A3,main!$A$3:$H$102,4,FALSE)+(VLOOKUP(VLOOKUP(CI$1,main!$A$3:$H$102,8,FALSE),main!$K$19:$O$22,MATCH(VLOOKUP($A3,main!$A$3:$H$102,7,FALSE),main!$K$18:$O$18,0),0))),0)</f>
        <v>275</v>
      </c>
      <c r="CJ3">
        <f>IF((gamma!CJ3),IF(VLOOKUP(CJ$1,main!$A$3:$H$102,7,FALSE)=VLOOKUP($A3,main!$A$3:$H$102,8,FALSE),VLOOKUP(CJ$1,main!$A$3:$H$102,4,FALSE),VLOOKUP(CJ$1,main!$A$3:$H$102,4,FALSE)+VLOOKUP($A3,main!$A$3:$H$102,4,FALSE)+(VLOOKUP(VLOOKUP(CJ$1,main!$A$3:$H$102,8,FALSE),main!$K$19:$O$22,MATCH(VLOOKUP($A3,main!$A$3:$H$102,7,FALSE),main!$K$18:$O$18,0),0))),0)</f>
        <v>203</v>
      </c>
      <c r="CK3">
        <f>IF((gamma!CK3),IF(VLOOKUP(CK$1,main!$A$3:$H$102,7,FALSE)=VLOOKUP($A3,main!$A$3:$H$102,8,FALSE),VLOOKUP(CK$1,main!$A$3:$H$102,4,FALSE),VLOOKUP(CK$1,main!$A$3:$H$102,4,FALSE)+VLOOKUP($A3,main!$A$3:$H$102,4,FALSE)+(VLOOKUP(VLOOKUP(CK$1,main!$A$3:$H$102,8,FALSE),main!$K$19:$O$22,MATCH(VLOOKUP($A3,main!$A$3:$H$102,7,FALSE),main!$K$18:$O$18,0),0))),0)</f>
        <v>210</v>
      </c>
      <c r="CL3">
        <f>IF((gamma!CL3),IF(VLOOKUP(CL$1,main!$A$3:$H$102,7,FALSE)=VLOOKUP($A3,main!$A$3:$H$102,8,FALSE),VLOOKUP(CL$1,main!$A$3:$H$102,4,FALSE),VLOOKUP(CL$1,main!$A$3:$H$102,4,FALSE)+VLOOKUP($A3,main!$A$3:$H$102,4,FALSE)+(VLOOKUP(VLOOKUP(CL$1,main!$A$3:$H$102,8,FALSE),main!$K$19:$O$22,MATCH(VLOOKUP($A3,main!$A$3:$H$102,7,FALSE),main!$K$18:$O$18,0),0))),0)</f>
        <v>215</v>
      </c>
      <c r="CM3">
        <f>IF((gamma!CM3),IF(VLOOKUP(CM$1,main!$A$3:$H$102,7,FALSE)=VLOOKUP($A3,main!$A$3:$H$102,8,FALSE),VLOOKUP(CM$1,main!$A$3:$H$102,4,FALSE),VLOOKUP(CM$1,main!$A$3:$H$102,4,FALSE)+VLOOKUP($A3,main!$A$3:$H$102,4,FALSE)+(VLOOKUP(VLOOKUP(CM$1,main!$A$3:$H$102,8,FALSE),main!$K$19:$O$22,MATCH(VLOOKUP($A3,main!$A$3:$H$102,7,FALSE),main!$K$18:$O$18,0),0))),0)</f>
        <v>235</v>
      </c>
      <c r="CN3">
        <f>IF((gamma!CN3),IF(VLOOKUP(CN$1,main!$A$3:$H$102,7,FALSE)=VLOOKUP($A3,main!$A$3:$H$102,8,FALSE),VLOOKUP(CN$1,main!$A$3:$H$102,4,FALSE),VLOOKUP(CN$1,main!$A$3:$H$102,4,FALSE)+VLOOKUP($A3,main!$A$3:$H$102,4,FALSE)+(VLOOKUP(VLOOKUP(CN$1,main!$A$3:$H$102,8,FALSE),main!$K$19:$O$22,MATCH(VLOOKUP($A3,main!$A$3:$H$102,7,FALSE),main!$K$18:$O$18,0),0))),0)</f>
        <v>231</v>
      </c>
      <c r="CO3">
        <f>IF((gamma!CO3),IF(VLOOKUP(CO$1,main!$A$3:$H$102,7,FALSE)=VLOOKUP($A3,main!$A$3:$H$102,8,FALSE),VLOOKUP(CO$1,main!$A$3:$H$102,4,FALSE),VLOOKUP(CO$1,main!$A$3:$H$102,4,FALSE)+VLOOKUP($A3,main!$A$3:$H$102,4,FALSE)+(VLOOKUP(VLOOKUP(CO$1,main!$A$3:$H$102,8,FALSE),main!$K$19:$O$22,MATCH(VLOOKUP($A3,main!$A$3:$H$102,7,FALSE),main!$K$18:$O$18,0),0))),0)</f>
        <v>0</v>
      </c>
      <c r="CP3">
        <f>IF((gamma!CP3),IF(VLOOKUP(CP$1,main!$A$3:$H$102,7,FALSE)=VLOOKUP($A3,main!$A$3:$H$102,8,FALSE),VLOOKUP(CP$1,main!$A$3:$H$102,4,FALSE),VLOOKUP(CP$1,main!$A$3:$H$102,4,FALSE)+VLOOKUP($A3,main!$A$3:$H$102,4,FALSE)+(VLOOKUP(VLOOKUP(CP$1,main!$A$3:$H$102,8,FALSE),main!$K$19:$O$22,MATCH(VLOOKUP($A3,main!$A$3:$H$102,7,FALSE),main!$K$18:$O$18,0),0))),0)</f>
        <v>285</v>
      </c>
      <c r="CQ3">
        <f>IF((gamma!CQ3),IF(VLOOKUP(CQ$1,main!$A$3:$H$102,7,FALSE)=VLOOKUP($A3,main!$A$3:$H$102,8,FALSE),VLOOKUP(CQ$1,main!$A$3:$H$102,4,FALSE),VLOOKUP(CQ$1,main!$A$3:$H$102,4,FALSE)+VLOOKUP($A3,main!$A$3:$H$102,4,FALSE)+(VLOOKUP(VLOOKUP(CQ$1,main!$A$3:$H$102,8,FALSE),main!$K$19:$O$22,MATCH(VLOOKUP($A3,main!$A$3:$H$102,7,FALSE),main!$K$18:$O$18,0),0))),0)</f>
        <v>285</v>
      </c>
      <c r="CR3">
        <f>IF((gamma!CR3),IF(VLOOKUP(CR$1,main!$A$3:$H$102,7,FALSE)=VLOOKUP($A3,main!$A$3:$H$102,8,FALSE),VLOOKUP(CR$1,main!$A$3:$H$102,4,FALSE),VLOOKUP(CR$1,main!$A$3:$H$102,4,FALSE)+VLOOKUP($A3,main!$A$3:$H$102,4,FALSE)+(VLOOKUP(VLOOKUP(CR$1,main!$A$3:$H$102,8,FALSE),main!$K$19:$O$22,MATCH(VLOOKUP($A3,main!$A$3:$H$102,7,FALSE),main!$K$18:$O$18,0),0))),0)</f>
        <v>300</v>
      </c>
      <c r="CS3">
        <f>IF((gamma!CS3),IF(VLOOKUP(CS$1,main!$A$3:$H$102,7,FALSE)=VLOOKUP($A3,main!$A$3:$H$102,8,FALSE),VLOOKUP(CS$1,main!$A$3:$H$102,4,FALSE),VLOOKUP(CS$1,main!$A$3:$H$102,4,FALSE)+VLOOKUP($A3,main!$A$3:$H$102,4,FALSE)+(VLOOKUP(VLOOKUP(CS$1,main!$A$3:$H$102,8,FALSE),main!$K$19:$O$22,MATCH(VLOOKUP($A3,main!$A$3:$H$102,7,FALSE),main!$K$18:$O$18,0),0))),0)</f>
        <v>300</v>
      </c>
      <c r="CT3">
        <f>IF((gamma!CT3),IF(VLOOKUP(CT$1,main!$A$3:$H$102,7,FALSE)=VLOOKUP($A3,main!$A$3:$H$102,8,FALSE),VLOOKUP(CT$1,main!$A$3:$H$102,4,FALSE),VLOOKUP(CT$1,main!$A$3:$H$102,4,FALSE)+VLOOKUP($A3,main!$A$3:$H$102,4,FALSE)+(VLOOKUP(VLOOKUP(CT$1,main!$A$3:$H$102,8,FALSE),main!$K$19:$O$22,MATCH(VLOOKUP($A3,main!$A$3:$H$102,7,FALSE),main!$K$18:$O$18,0),0))),0)</f>
        <v>0</v>
      </c>
      <c r="CU3">
        <f>IF((gamma!CU3),IF(VLOOKUP(CU$1,main!$A$3:$H$102,7,FALSE)=VLOOKUP($A3,main!$A$3:$H$102,8,FALSE),VLOOKUP(CU$1,main!$A$3:$H$102,4,FALSE),VLOOKUP(CU$1,main!$A$3:$H$102,4,FALSE)+VLOOKUP($A3,main!$A$3:$H$102,4,FALSE)+(VLOOKUP(VLOOKUP(CU$1,main!$A$3:$H$102,8,FALSE),main!$K$19:$O$22,MATCH(VLOOKUP($A3,main!$A$3:$H$102,7,FALSE),main!$K$18:$O$18,0),0))),0)</f>
        <v>0</v>
      </c>
      <c r="CV3">
        <f>IF((gamma!CV3),IF(VLOOKUP(CV$1,main!$A$3:$H$102,7,FALSE)=VLOOKUP($A3,main!$A$3:$H$102,8,FALSE),VLOOKUP(CV$1,main!$A$3:$H$102,4,FALSE),VLOOKUP(CV$1,main!$A$3:$H$102,4,FALSE)+VLOOKUP($A3,main!$A$3:$H$102,4,FALSE)+(VLOOKUP(VLOOKUP(CV$1,main!$A$3:$H$102,8,FALSE),main!$K$19:$O$22,MATCH(VLOOKUP($A3,main!$A$3:$H$102,7,FALSE),main!$K$18:$O$18,0),0))),0)</f>
        <v>245</v>
      </c>
      <c r="CW3">
        <f>IF((gamma!CW3),IF(VLOOKUP(CW$1,main!$A$3:$H$102,7,FALSE)=VLOOKUP($A3,main!$A$3:$H$102,8,FALSE),VLOOKUP(CW$1,main!$A$3:$H$102,4,FALSE),VLOOKUP(CW$1,main!$A$3:$H$102,4,FALSE)+VLOOKUP($A3,main!$A$3:$H$102,4,FALSE)+(VLOOKUP(VLOOKUP(CW$1,main!$A$3:$H$102,8,FALSE),main!$K$19:$O$22,MATCH(VLOOKUP($A3,main!$A$3:$H$102,7,FALSE),main!$K$18:$O$18,0),0))),0)</f>
        <v>260</v>
      </c>
      <c r="CX3">
        <f>IF((gamma!CX3),IF(VLOOKUP(CX$1,main!$A$3:$H$102,7,FALSE)=VLOOKUP($A3,main!$A$3:$H$102,8,FALSE),VLOOKUP(CX$1,main!$A$3:$H$102,4,FALSE),VLOOKUP(CX$1,main!$A$3:$H$102,4,FALSE)+VLOOKUP($A3,main!$A$3:$H$102,4,FALSE)+(VLOOKUP(VLOOKUP(CX$1,main!$A$3:$H$102,8,FALSE),main!$K$19:$O$22,MATCH(VLOOKUP($A3,main!$A$3:$H$102,7,FALSE),main!$K$18:$O$18,0),0))),0)</f>
        <v>250</v>
      </c>
      <c r="CY3">
        <v>0</v>
      </c>
      <c r="CZ3">
        <v>0</v>
      </c>
      <c r="DA3">
        <v>0</v>
      </c>
    </row>
    <row r="4" spans="1:105" x14ac:dyDescent="0.25">
      <c r="A4" s="1">
        <v>2</v>
      </c>
      <c r="B4">
        <v>0</v>
      </c>
      <c r="C4">
        <f>IF((gamma!C4),IF(VLOOKUP(C$1,main!$A$3:$H$102,7,FALSE)=VLOOKUP($A4,main!$A$3:$H$102,8,FALSE),VLOOKUP(C$1,main!$A$3:$H$102,4,FALSE),VLOOKUP(C$1,main!$A$3:$H$102,4,FALSE)+VLOOKUP($A4,main!$A$3:$H$102,4,FALSE)+(VLOOKUP(VLOOKUP(C$1,main!$A$3:$H$102,8,FALSE),main!$K$19:$O$22,MATCH(VLOOKUP($A4,main!$A$3:$H$102,7,FALSE),main!$K$18:$O$18,0),0))),0)</f>
        <v>0</v>
      </c>
      <c r="D4">
        <f>IF((gamma!D4),IF(VLOOKUP(D$1,main!$A$3:$H$102,7,FALSE)=VLOOKUP($A4,main!$A$3:$H$102,8,FALSE),VLOOKUP(D$1,main!$A$3:$H$102,4,FALSE),VLOOKUP(D$1,main!$A$3:$H$102,4,FALSE)+VLOOKUP($A4,main!$A$3:$H$102,4,FALSE)+(VLOOKUP(VLOOKUP(D$1,main!$A$3:$H$102,8,FALSE),main!$K$19:$O$22,MATCH(VLOOKUP($A4,main!$A$3:$H$102,7,FALSE),main!$K$18:$O$18,0),0))),0)</f>
        <v>0</v>
      </c>
      <c r="E4">
        <f>IF((gamma!E4),IF(VLOOKUP(E$1,main!$A$3:$H$102,7,FALSE)=VLOOKUP($A4,main!$A$3:$H$102,8,FALSE),VLOOKUP(E$1,main!$A$3:$H$102,4,FALSE),VLOOKUP(E$1,main!$A$3:$H$102,4,FALSE)+VLOOKUP($A4,main!$A$3:$H$102,4,FALSE)+(VLOOKUP(VLOOKUP(E$1,main!$A$3:$H$102,8,FALSE),main!$K$19:$O$22,MATCH(VLOOKUP($A4,main!$A$3:$H$102,7,FALSE),main!$K$18:$O$18,0),0))),0)</f>
        <v>0</v>
      </c>
      <c r="F4">
        <f>IF((gamma!F4),IF(VLOOKUP(F$1,main!$A$3:$H$102,7,FALSE)=VLOOKUP($A4,main!$A$3:$H$102,8,FALSE),VLOOKUP(F$1,main!$A$3:$H$102,4,FALSE),VLOOKUP(F$1,main!$A$3:$H$102,4,FALSE)+VLOOKUP($A4,main!$A$3:$H$102,4,FALSE)+(VLOOKUP(VLOOKUP(F$1,main!$A$3:$H$102,8,FALSE),main!$K$19:$O$22,MATCH(VLOOKUP($A4,main!$A$3:$H$102,7,FALSE),main!$K$18:$O$18,0),0))),0)</f>
        <v>295</v>
      </c>
      <c r="G4">
        <f>IF((gamma!G4),IF(VLOOKUP(G$1,main!$A$3:$H$102,7,FALSE)=VLOOKUP($A4,main!$A$3:$H$102,8,FALSE),VLOOKUP(G$1,main!$A$3:$H$102,4,FALSE),VLOOKUP(G$1,main!$A$3:$H$102,4,FALSE)+VLOOKUP($A4,main!$A$3:$H$102,4,FALSE)+(VLOOKUP(VLOOKUP(G$1,main!$A$3:$H$102,8,FALSE),main!$K$19:$O$22,MATCH(VLOOKUP($A4,main!$A$3:$H$102,7,FALSE),main!$K$18:$O$18,0),0))),0)</f>
        <v>295</v>
      </c>
      <c r="H4">
        <f>IF((gamma!H4),IF(VLOOKUP(H$1,main!$A$3:$H$102,7,FALSE)=VLOOKUP($A4,main!$A$3:$H$102,8,FALSE),VLOOKUP(H$1,main!$A$3:$H$102,4,FALSE),VLOOKUP(H$1,main!$A$3:$H$102,4,FALSE)+VLOOKUP($A4,main!$A$3:$H$102,4,FALSE)+(VLOOKUP(VLOOKUP(H$1,main!$A$3:$H$102,8,FALSE),main!$K$19:$O$22,MATCH(VLOOKUP($A4,main!$A$3:$H$102,7,FALSE),main!$K$18:$O$18,0),0))),0)</f>
        <v>295</v>
      </c>
      <c r="I4">
        <f>IF((gamma!I4),IF(VLOOKUP(I$1,main!$A$3:$H$102,7,FALSE)=VLOOKUP($A4,main!$A$3:$H$102,8,FALSE),VLOOKUP(I$1,main!$A$3:$H$102,4,FALSE),VLOOKUP(I$1,main!$A$3:$H$102,4,FALSE)+VLOOKUP($A4,main!$A$3:$H$102,4,FALSE)+(VLOOKUP(VLOOKUP(I$1,main!$A$3:$H$102,8,FALSE),main!$K$19:$O$22,MATCH(VLOOKUP($A4,main!$A$3:$H$102,7,FALSE),main!$K$18:$O$18,0),0))),0)</f>
        <v>295</v>
      </c>
      <c r="J4">
        <f>IF((gamma!J4),IF(VLOOKUP(J$1,main!$A$3:$H$102,7,FALSE)=VLOOKUP($A4,main!$A$3:$H$102,8,FALSE),VLOOKUP(J$1,main!$A$3:$H$102,4,FALSE),VLOOKUP(J$1,main!$A$3:$H$102,4,FALSE)+VLOOKUP($A4,main!$A$3:$H$102,4,FALSE)+(VLOOKUP(VLOOKUP(J$1,main!$A$3:$H$102,8,FALSE),main!$K$19:$O$22,MATCH(VLOOKUP($A4,main!$A$3:$H$102,7,FALSE),main!$K$18:$O$18,0),0))),0)</f>
        <v>295</v>
      </c>
      <c r="K4">
        <f>IF((gamma!K4),IF(VLOOKUP(K$1,main!$A$3:$H$102,7,FALSE)=VLOOKUP($A4,main!$A$3:$H$102,8,FALSE),VLOOKUP(K$1,main!$A$3:$H$102,4,FALSE),VLOOKUP(K$1,main!$A$3:$H$102,4,FALSE)+VLOOKUP($A4,main!$A$3:$H$102,4,FALSE)+(VLOOKUP(VLOOKUP(K$1,main!$A$3:$H$102,8,FALSE),main!$K$19:$O$22,MATCH(VLOOKUP($A4,main!$A$3:$H$102,7,FALSE),main!$K$18:$O$18,0),0))),0)</f>
        <v>295</v>
      </c>
      <c r="L4">
        <f>IF((gamma!L4),IF(VLOOKUP(L$1,main!$A$3:$H$102,7,FALSE)=VLOOKUP($A4,main!$A$3:$H$102,8,FALSE),VLOOKUP(L$1,main!$A$3:$H$102,4,FALSE),VLOOKUP(L$1,main!$A$3:$H$102,4,FALSE)+VLOOKUP($A4,main!$A$3:$H$102,4,FALSE)+(VLOOKUP(VLOOKUP(L$1,main!$A$3:$H$102,8,FALSE),main!$K$19:$O$22,MATCH(VLOOKUP($A4,main!$A$3:$H$102,7,FALSE),main!$K$18:$O$18,0),0))),0)</f>
        <v>295</v>
      </c>
      <c r="M4">
        <f>IF((gamma!M4),IF(VLOOKUP(M$1,main!$A$3:$H$102,7,FALSE)=VLOOKUP($A4,main!$A$3:$H$102,8,FALSE),VLOOKUP(M$1,main!$A$3:$H$102,4,FALSE),VLOOKUP(M$1,main!$A$3:$H$102,4,FALSE)+VLOOKUP($A4,main!$A$3:$H$102,4,FALSE)+(VLOOKUP(VLOOKUP(M$1,main!$A$3:$H$102,8,FALSE),main!$K$19:$O$22,MATCH(VLOOKUP($A4,main!$A$3:$H$102,7,FALSE),main!$K$18:$O$18,0),0))),0)</f>
        <v>0</v>
      </c>
      <c r="N4">
        <f>IF((gamma!N4),IF(VLOOKUP(N$1,main!$A$3:$H$102,7,FALSE)=VLOOKUP($A4,main!$A$3:$H$102,8,FALSE),VLOOKUP(N$1,main!$A$3:$H$102,4,FALSE),VLOOKUP(N$1,main!$A$3:$H$102,4,FALSE)+VLOOKUP($A4,main!$A$3:$H$102,4,FALSE)+(VLOOKUP(VLOOKUP(N$1,main!$A$3:$H$102,8,FALSE),main!$K$19:$O$22,MATCH(VLOOKUP($A4,main!$A$3:$H$102,7,FALSE),main!$K$18:$O$18,0),0))),0)</f>
        <v>0</v>
      </c>
      <c r="O4">
        <f>IF((gamma!O4),IF(VLOOKUP(O$1,main!$A$3:$H$102,7,FALSE)=VLOOKUP($A4,main!$A$3:$H$102,8,FALSE),VLOOKUP(O$1,main!$A$3:$H$102,4,FALSE),VLOOKUP(O$1,main!$A$3:$H$102,4,FALSE)+VLOOKUP($A4,main!$A$3:$H$102,4,FALSE)+(VLOOKUP(VLOOKUP(O$1,main!$A$3:$H$102,8,FALSE),main!$K$19:$O$22,MATCH(VLOOKUP($A4,main!$A$3:$H$102,7,FALSE),main!$K$18:$O$18,0),0))),0)</f>
        <v>0</v>
      </c>
      <c r="P4">
        <f>IF((gamma!P4),IF(VLOOKUP(P$1,main!$A$3:$H$102,7,FALSE)=VLOOKUP($A4,main!$A$3:$H$102,8,FALSE),VLOOKUP(P$1,main!$A$3:$H$102,4,FALSE),VLOOKUP(P$1,main!$A$3:$H$102,4,FALSE)+VLOOKUP($A4,main!$A$3:$H$102,4,FALSE)+(VLOOKUP(VLOOKUP(P$1,main!$A$3:$H$102,8,FALSE),main!$K$19:$O$22,MATCH(VLOOKUP($A4,main!$A$3:$H$102,7,FALSE),main!$K$18:$O$18,0),0))),0)</f>
        <v>0</v>
      </c>
      <c r="Q4">
        <f>IF((gamma!Q4),IF(VLOOKUP(Q$1,main!$A$3:$H$102,7,FALSE)=VLOOKUP($A4,main!$A$3:$H$102,8,FALSE),VLOOKUP(Q$1,main!$A$3:$H$102,4,FALSE),VLOOKUP(Q$1,main!$A$3:$H$102,4,FALSE)+VLOOKUP($A4,main!$A$3:$H$102,4,FALSE)+(VLOOKUP(VLOOKUP(Q$1,main!$A$3:$H$102,8,FALSE),main!$K$19:$O$22,MATCH(VLOOKUP($A4,main!$A$3:$H$102,7,FALSE),main!$K$18:$O$18,0),0))),0)</f>
        <v>305</v>
      </c>
      <c r="R4">
        <f>IF((gamma!R4),IF(VLOOKUP(R$1,main!$A$3:$H$102,7,FALSE)=VLOOKUP($A4,main!$A$3:$H$102,8,FALSE),VLOOKUP(R$1,main!$A$3:$H$102,4,FALSE),VLOOKUP(R$1,main!$A$3:$H$102,4,FALSE)+VLOOKUP($A4,main!$A$3:$H$102,4,FALSE)+(VLOOKUP(VLOOKUP(R$1,main!$A$3:$H$102,8,FALSE),main!$K$19:$O$22,MATCH(VLOOKUP($A4,main!$A$3:$H$102,7,FALSE),main!$K$18:$O$18,0),0))),0)</f>
        <v>305</v>
      </c>
      <c r="S4">
        <f>IF((gamma!S4),IF(VLOOKUP(S$1,main!$A$3:$H$102,7,FALSE)=VLOOKUP($A4,main!$A$3:$H$102,8,FALSE),VLOOKUP(S$1,main!$A$3:$H$102,4,FALSE),VLOOKUP(S$1,main!$A$3:$H$102,4,FALSE)+VLOOKUP($A4,main!$A$3:$H$102,4,FALSE)+(VLOOKUP(VLOOKUP(S$1,main!$A$3:$H$102,8,FALSE),main!$K$19:$O$22,MATCH(VLOOKUP($A4,main!$A$3:$H$102,7,FALSE),main!$K$18:$O$18,0),0))),0)</f>
        <v>305</v>
      </c>
      <c r="T4">
        <f>IF((gamma!T4),IF(VLOOKUP(T$1,main!$A$3:$H$102,7,FALSE)=VLOOKUP($A4,main!$A$3:$H$102,8,FALSE),VLOOKUP(T$1,main!$A$3:$H$102,4,FALSE),VLOOKUP(T$1,main!$A$3:$H$102,4,FALSE)+VLOOKUP($A4,main!$A$3:$H$102,4,FALSE)+(VLOOKUP(VLOOKUP(T$1,main!$A$3:$H$102,8,FALSE),main!$K$19:$O$22,MATCH(VLOOKUP($A4,main!$A$3:$H$102,7,FALSE),main!$K$18:$O$18,0),0))),0)</f>
        <v>305</v>
      </c>
      <c r="U4">
        <f>IF((gamma!U4),IF(VLOOKUP(U$1,main!$A$3:$H$102,7,FALSE)=VLOOKUP($A4,main!$A$3:$H$102,8,FALSE),VLOOKUP(U$1,main!$A$3:$H$102,4,FALSE),VLOOKUP(U$1,main!$A$3:$H$102,4,FALSE)+VLOOKUP($A4,main!$A$3:$H$102,4,FALSE)+(VLOOKUP(VLOOKUP(U$1,main!$A$3:$H$102,8,FALSE),main!$K$19:$O$22,MATCH(VLOOKUP($A4,main!$A$3:$H$102,7,FALSE),main!$K$18:$O$18,0),0))),0)</f>
        <v>305</v>
      </c>
      <c r="V4">
        <f>IF((gamma!V4),IF(VLOOKUP(V$1,main!$A$3:$H$102,7,FALSE)=VLOOKUP($A4,main!$A$3:$H$102,8,FALSE),VLOOKUP(V$1,main!$A$3:$H$102,4,FALSE),VLOOKUP(V$1,main!$A$3:$H$102,4,FALSE)+VLOOKUP($A4,main!$A$3:$H$102,4,FALSE)+(VLOOKUP(VLOOKUP(V$1,main!$A$3:$H$102,8,FALSE),main!$K$19:$O$22,MATCH(VLOOKUP($A4,main!$A$3:$H$102,7,FALSE),main!$K$18:$O$18,0),0))),0)</f>
        <v>305</v>
      </c>
      <c r="W4">
        <f>IF((gamma!W4),IF(VLOOKUP(W$1,main!$A$3:$H$102,7,FALSE)=VLOOKUP($A4,main!$A$3:$H$102,8,FALSE),VLOOKUP(W$1,main!$A$3:$H$102,4,FALSE),VLOOKUP(W$1,main!$A$3:$H$102,4,FALSE)+VLOOKUP($A4,main!$A$3:$H$102,4,FALSE)+(VLOOKUP(VLOOKUP(W$1,main!$A$3:$H$102,8,FALSE),main!$K$19:$O$22,MATCH(VLOOKUP($A4,main!$A$3:$H$102,7,FALSE),main!$K$18:$O$18,0),0))),0)</f>
        <v>0</v>
      </c>
      <c r="X4">
        <f>IF((gamma!X4),IF(VLOOKUP(X$1,main!$A$3:$H$102,7,FALSE)=VLOOKUP($A4,main!$A$3:$H$102,8,FALSE),VLOOKUP(X$1,main!$A$3:$H$102,4,FALSE),VLOOKUP(X$1,main!$A$3:$H$102,4,FALSE)+VLOOKUP($A4,main!$A$3:$H$102,4,FALSE)+(VLOOKUP(VLOOKUP(X$1,main!$A$3:$H$102,8,FALSE),main!$K$19:$O$22,MATCH(VLOOKUP($A4,main!$A$3:$H$102,7,FALSE),main!$K$18:$O$18,0),0))),0)</f>
        <v>0</v>
      </c>
      <c r="Y4">
        <f>IF((gamma!Y4),IF(VLOOKUP(Y$1,main!$A$3:$H$102,7,FALSE)=VLOOKUP($A4,main!$A$3:$H$102,8,FALSE),VLOOKUP(Y$1,main!$A$3:$H$102,4,FALSE),VLOOKUP(Y$1,main!$A$3:$H$102,4,FALSE)+VLOOKUP($A4,main!$A$3:$H$102,4,FALSE)+(VLOOKUP(VLOOKUP(Y$1,main!$A$3:$H$102,8,FALSE),main!$K$19:$O$22,MATCH(VLOOKUP($A4,main!$A$3:$H$102,7,FALSE),main!$K$18:$O$18,0),0))),0)</f>
        <v>305</v>
      </c>
      <c r="Z4">
        <f>IF((gamma!Z4),IF(VLOOKUP(Z$1,main!$A$3:$H$102,7,FALSE)=VLOOKUP($A4,main!$A$3:$H$102,8,FALSE),VLOOKUP(Z$1,main!$A$3:$H$102,4,FALSE),VLOOKUP(Z$1,main!$A$3:$H$102,4,FALSE)+VLOOKUP($A4,main!$A$3:$H$102,4,FALSE)+(VLOOKUP(VLOOKUP(Z$1,main!$A$3:$H$102,8,FALSE),main!$K$19:$O$22,MATCH(VLOOKUP($A4,main!$A$3:$H$102,7,FALSE),main!$K$18:$O$18,0),0))),0)</f>
        <v>310</v>
      </c>
      <c r="AA4">
        <f>IF((gamma!AA4),IF(VLOOKUP(AA$1,main!$A$3:$H$102,7,FALSE)=VLOOKUP($A4,main!$A$3:$H$102,8,FALSE),VLOOKUP(AA$1,main!$A$3:$H$102,4,FALSE),VLOOKUP(AA$1,main!$A$3:$H$102,4,FALSE)+VLOOKUP($A4,main!$A$3:$H$102,4,FALSE)+(VLOOKUP(VLOOKUP(AA$1,main!$A$3:$H$102,8,FALSE),main!$K$19:$O$22,MATCH(VLOOKUP($A4,main!$A$3:$H$102,7,FALSE),main!$K$18:$O$18,0),0))),0)</f>
        <v>310</v>
      </c>
      <c r="AB4">
        <f>IF((gamma!AB4),IF(VLOOKUP(AB$1,main!$A$3:$H$102,7,FALSE)=VLOOKUP($A4,main!$A$3:$H$102,8,FALSE),VLOOKUP(AB$1,main!$A$3:$H$102,4,FALSE),VLOOKUP(AB$1,main!$A$3:$H$102,4,FALSE)+VLOOKUP($A4,main!$A$3:$H$102,4,FALSE)+(VLOOKUP(VLOOKUP(AB$1,main!$A$3:$H$102,8,FALSE),main!$K$19:$O$22,MATCH(VLOOKUP($A4,main!$A$3:$H$102,7,FALSE),main!$K$18:$O$18,0),0))),0)</f>
        <v>0</v>
      </c>
      <c r="AC4">
        <f>IF((gamma!AC4),IF(VLOOKUP(AC$1,main!$A$3:$H$102,7,FALSE)=VLOOKUP($A4,main!$A$3:$H$102,8,FALSE),VLOOKUP(AC$1,main!$A$3:$H$102,4,FALSE),VLOOKUP(AC$1,main!$A$3:$H$102,4,FALSE)+VLOOKUP($A4,main!$A$3:$H$102,4,FALSE)+(VLOOKUP(VLOOKUP(AC$1,main!$A$3:$H$102,8,FALSE),main!$K$19:$O$22,MATCH(VLOOKUP($A4,main!$A$3:$H$102,7,FALSE),main!$K$18:$O$18,0),0))),0)</f>
        <v>0</v>
      </c>
      <c r="AD4">
        <f>IF((gamma!AD4),IF(VLOOKUP(AD$1,main!$A$3:$H$102,7,FALSE)=VLOOKUP($A4,main!$A$3:$H$102,8,FALSE),VLOOKUP(AD$1,main!$A$3:$H$102,4,FALSE),VLOOKUP(AD$1,main!$A$3:$H$102,4,FALSE)+VLOOKUP($A4,main!$A$3:$H$102,4,FALSE)+(VLOOKUP(VLOOKUP(AD$1,main!$A$3:$H$102,8,FALSE),main!$K$19:$O$22,MATCH(VLOOKUP($A4,main!$A$3:$H$102,7,FALSE),main!$K$18:$O$18,0),0))),0)</f>
        <v>305</v>
      </c>
      <c r="AE4">
        <f>IF((gamma!AE4),IF(VLOOKUP(AE$1,main!$A$3:$H$102,7,FALSE)=VLOOKUP($A4,main!$A$3:$H$102,8,FALSE),VLOOKUP(AE$1,main!$A$3:$H$102,4,FALSE),VLOOKUP(AE$1,main!$A$3:$H$102,4,FALSE)+VLOOKUP($A4,main!$A$3:$H$102,4,FALSE)+(VLOOKUP(VLOOKUP(AE$1,main!$A$3:$H$102,8,FALSE),main!$K$19:$O$22,MATCH(VLOOKUP($A4,main!$A$3:$H$102,7,FALSE),main!$K$18:$O$18,0),0))),0)</f>
        <v>310</v>
      </c>
      <c r="AF4">
        <f>IF((gamma!AF4),IF(VLOOKUP(AF$1,main!$A$3:$H$102,7,FALSE)=VLOOKUP($A4,main!$A$3:$H$102,8,FALSE),VLOOKUP(AF$1,main!$A$3:$H$102,4,FALSE),VLOOKUP(AF$1,main!$A$3:$H$102,4,FALSE)+VLOOKUP($A4,main!$A$3:$H$102,4,FALSE)+(VLOOKUP(VLOOKUP(AF$1,main!$A$3:$H$102,8,FALSE),main!$K$19:$O$22,MATCH(VLOOKUP($A4,main!$A$3:$H$102,7,FALSE),main!$K$18:$O$18,0),0))),0)</f>
        <v>270</v>
      </c>
      <c r="AG4">
        <f>IF((gamma!AG4),IF(VLOOKUP(AG$1,main!$A$3:$H$102,7,FALSE)=VLOOKUP($A4,main!$A$3:$H$102,8,FALSE),VLOOKUP(AG$1,main!$A$3:$H$102,4,FALSE),VLOOKUP(AG$1,main!$A$3:$H$102,4,FALSE)+VLOOKUP($A4,main!$A$3:$H$102,4,FALSE)+(VLOOKUP(VLOOKUP(AG$1,main!$A$3:$H$102,8,FALSE),main!$K$19:$O$22,MATCH(VLOOKUP($A4,main!$A$3:$H$102,7,FALSE),main!$K$18:$O$18,0),0))),0)</f>
        <v>0</v>
      </c>
      <c r="AH4">
        <f>IF((gamma!AH4),IF(VLOOKUP(AH$1,main!$A$3:$H$102,7,FALSE)=VLOOKUP($A4,main!$A$3:$H$102,8,FALSE),VLOOKUP(AH$1,main!$A$3:$H$102,4,FALSE),VLOOKUP(AH$1,main!$A$3:$H$102,4,FALSE)+VLOOKUP($A4,main!$A$3:$H$102,4,FALSE)+(VLOOKUP(VLOOKUP(AH$1,main!$A$3:$H$102,8,FALSE),main!$K$19:$O$22,MATCH(VLOOKUP($A4,main!$A$3:$H$102,7,FALSE),main!$K$18:$O$18,0),0))),0)</f>
        <v>0</v>
      </c>
      <c r="AI4">
        <f>IF((gamma!AI4),IF(VLOOKUP(AI$1,main!$A$3:$H$102,7,FALSE)=VLOOKUP($A4,main!$A$3:$H$102,8,FALSE),VLOOKUP(AI$1,main!$A$3:$H$102,4,FALSE),VLOOKUP(AI$1,main!$A$3:$H$102,4,FALSE)+VLOOKUP($A4,main!$A$3:$H$102,4,FALSE)+(VLOOKUP(VLOOKUP(AI$1,main!$A$3:$H$102,8,FALSE),main!$K$19:$O$22,MATCH(VLOOKUP($A4,main!$A$3:$H$102,7,FALSE),main!$K$18:$O$18,0),0))),0)</f>
        <v>135</v>
      </c>
      <c r="AJ4">
        <f>IF((gamma!AJ4),IF(VLOOKUP(AJ$1,main!$A$3:$H$102,7,FALSE)=VLOOKUP($A4,main!$A$3:$H$102,8,FALSE),VLOOKUP(AJ$1,main!$A$3:$H$102,4,FALSE),VLOOKUP(AJ$1,main!$A$3:$H$102,4,FALSE)+VLOOKUP($A4,main!$A$3:$H$102,4,FALSE)+(VLOOKUP(VLOOKUP(AJ$1,main!$A$3:$H$102,8,FALSE),main!$K$19:$O$22,MATCH(VLOOKUP($A4,main!$A$3:$H$102,7,FALSE),main!$K$18:$O$18,0),0))),0)</f>
        <v>135</v>
      </c>
      <c r="AK4">
        <f>IF((gamma!AK4),IF(VLOOKUP(AK$1,main!$A$3:$H$102,7,FALSE)=VLOOKUP($A4,main!$A$3:$H$102,8,FALSE),VLOOKUP(AK$1,main!$A$3:$H$102,4,FALSE),VLOOKUP(AK$1,main!$A$3:$H$102,4,FALSE)+VLOOKUP($A4,main!$A$3:$H$102,4,FALSE)+(VLOOKUP(VLOOKUP(AK$1,main!$A$3:$H$102,8,FALSE),main!$K$19:$O$22,MATCH(VLOOKUP($A4,main!$A$3:$H$102,7,FALSE),main!$K$18:$O$18,0),0))),0)</f>
        <v>135</v>
      </c>
      <c r="AL4">
        <f>IF((gamma!AL4),IF(VLOOKUP(AL$1,main!$A$3:$H$102,7,FALSE)=VLOOKUP($A4,main!$A$3:$H$102,8,FALSE),VLOOKUP(AL$1,main!$A$3:$H$102,4,FALSE),VLOOKUP(AL$1,main!$A$3:$H$102,4,FALSE)+VLOOKUP($A4,main!$A$3:$H$102,4,FALSE)+(VLOOKUP(VLOOKUP(AL$1,main!$A$3:$H$102,8,FALSE),main!$K$19:$O$22,MATCH(VLOOKUP($A4,main!$A$3:$H$102,7,FALSE),main!$K$18:$O$18,0),0))),0)</f>
        <v>135</v>
      </c>
      <c r="AM4">
        <f>IF((gamma!AM4),IF(VLOOKUP(AM$1,main!$A$3:$H$102,7,FALSE)=VLOOKUP($A4,main!$A$3:$H$102,8,FALSE),VLOOKUP(AM$1,main!$A$3:$H$102,4,FALSE),VLOOKUP(AM$1,main!$A$3:$H$102,4,FALSE)+VLOOKUP($A4,main!$A$3:$H$102,4,FALSE)+(VLOOKUP(VLOOKUP(AM$1,main!$A$3:$H$102,8,FALSE),main!$K$19:$O$22,MATCH(VLOOKUP($A4,main!$A$3:$H$102,7,FALSE),main!$K$18:$O$18,0),0))),0)</f>
        <v>135</v>
      </c>
      <c r="AN4">
        <f>IF((gamma!AN4),IF(VLOOKUP(AN$1,main!$A$3:$H$102,7,FALSE)=VLOOKUP($A4,main!$A$3:$H$102,8,FALSE),VLOOKUP(AN$1,main!$A$3:$H$102,4,FALSE),VLOOKUP(AN$1,main!$A$3:$H$102,4,FALSE)+VLOOKUP($A4,main!$A$3:$H$102,4,FALSE)+(VLOOKUP(VLOOKUP(AN$1,main!$A$3:$H$102,8,FALSE),main!$K$19:$O$22,MATCH(VLOOKUP($A4,main!$A$3:$H$102,7,FALSE),main!$K$18:$O$18,0),0))),0)</f>
        <v>135</v>
      </c>
      <c r="AO4">
        <f>IF((gamma!AO4),IF(VLOOKUP(AO$1,main!$A$3:$H$102,7,FALSE)=VLOOKUP($A4,main!$A$3:$H$102,8,FALSE),VLOOKUP(AO$1,main!$A$3:$H$102,4,FALSE),VLOOKUP(AO$1,main!$A$3:$H$102,4,FALSE)+VLOOKUP($A4,main!$A$3:$H$102,4,FALSE)+(VLOOKUP(VLOOKUP(AO$1,main!$A$3:$H$102,8,FALSE),main!$K$19:$O$22,MATCH(VLOOKUP($A4,main!$A$3:$H$102,7,FALSE),main!$K$18:$O$18,0),0))),0)</f>
        <v>0</v>
      </c>
      <c r="AP4">
        <f>IF((gamma!AP4),IF(VLOOKUP(AP$1,main!$A$3:$H$102,7,FALSE)=VLOOKUP($A4,main!$A$3:$H$102,8,FALSE),VLOOKUP(AP$1,main!$A$3:$H$102,4,FALSE),VLOOKUP(AP$1,main!$A$3:$H$102,4,FALSE)+VLOOKUP($A4,main!$A$3:$H$102,4,FALSE)+(VLOOKUP(VLOOKUP(AP$1,main!$A$3:$H$102,8,FALSE),main!$K$19:$O$22,MATCH(VLOOKUP($A4,main!$A$3:$H$102,7,FALSE),main!$K$18:$O$18,0),0))),0)</f>
        <v>75</v>
      </c>
      <c r="AQ4">
        <f>IF((gamma!AQ4),IF(VLOOKUP(AQ$1,main!$A$3:$H$102,7,FALSE)=VLOOKUP($A4,main!$A$3:$H$102,8,FALSE),VLOOKUP(AQ$1,main!$A$3:$H$102,4,FALSE),VLOOKUP(AQ$1,main!$A$3:$H$102,4,FALSE)+VLOOKUP($A4,main!$A$3:$H$102,4,FALSE)+(VLOOKUP(VLOOKUP(AQ$1,main!$A$3:$H$102,8,FALSE),main!$K$19:$O$22,MATCH(VLOOKUP($A4,main!$A$3:$H$102,7,FALSE),main!$K$18:$O$18,0),0))),0)</f>
        <v>0</v>
      </c>
      <c r="AR4">
        <f>IF((gamma!AR4),IF(VLOOKUP(AR$1,main!$A$3:$H$102,7,FALSE)=VLOOKUP($A4,main!$A$3:$H$102,8,FALSE),VLOOKUP(AR$1,main!$A$3:$H$102,4,FALSE),VLOOKUP(AR$1,main!$A$3:$H$102,4,FALSE)+VLOOKUP($A4,main!$A$3:$H$102,4,FALSE)+(VLOOKUP(VLOOKUP(AR$1,main!$A$3:$H$102,8,FALSE),main!$K$19:$O$22,MATCH(VLOOKUP($A4,main!$A$3:$H$102,7,FALSE),main!$K$18:$O$18,0),0))),0)</f>
        <v>0</v>
      </c>
      <c r="AS4">
        <f>IF((gamma!AS4),IF(VLOOKUP(AS$1,main!$A$3:$H$102,7,FALSE)=VLOOKUP($A4,main!$A$3:$H$102,8,FALSE),VLOOKUP(AS$1,main!$A$3:$H$102,4,FALSE),VLOOKUP(AS$1,main!$A$3:$H$102,4,FALSE)+VLOOKUP($A4,main!$A$3:$H$102,4,FALSE)+(VLOOKUP(VLOOKUP(AS$1,main!$A$3:$H$102,8,FALSE),main!$K$19:$O$22,MATCH(VLOOKUP($A4,main!$A$3:$H$102,7,FALSE),main!$K$18:$O$18,0),0))),0)</f>
        <v>120</v>
      </c>
      <c r="AT4">
        <f>IF((gamma!AT4),IF(VLOOKUP(AT$1,main!$A$3:$H$102,7,FALSE)=VLOOKUP($A4,main!$A$3:$H$102,8,FALSE),VLOOKUP(AT$1,main!$A$3:$H$102,4,FALSE),VLOOKUP(AT$1,main!$A$3:$H$102,4,FALSE)+VLOOKUP($A4,main!$A$3:$H$102,4,FALSE)+(VLOOKUP(VLOOKUP(AT$1,main!$A$3:$H$102,8,FALSE),main!$K$19:$O$22,MATCH(VLOOKUP($A4,main!$A$3:$H$102,7,FALSE),main!$K$18:$O$18,0),0))),0)</f>
        <v>130</v>
      </c>
      <c r="AU4">
        <f>IF((gamma!AU4),IF(VLOOKUP(AU$1,main!$A$3:$H$102,7,FALSE)=VLOOKUP($A4,main!$A$3:$H$102,8,FALSE),VLOOKUP(AU$1,main!$A$3:$H$102,4,FALSE),VLOOKUP(AU$1,main!$A$3:$H$102,4,FALSE)+VLOOKUP($A4,main!$A$3:$H$102,4,FALSE)+(VLOOKUP(VLOOKUP(AU$1,main!$A$3:$H$102,8,FALSE),main!$K$19:$O$22,MATCH(VLOOKUP($A4,main!$A$3:$H$102,7,FALSE),main!$K$18:$O$18,0),0))),0)</f>
        <v>0</v>
      </c>
      <c r="AV4">
        <f>IF((gamma!AV4),IF(VLOOKUP(AV$1,main!$A$3:$H$102,7,FALSE)=VLOOKUP($A4,main!$A$3:$H$102,8,FALSE),VLOOKUP(AV$1,main!$A$3:$H$102,4,FALSE),VLOOKUP(AV$1,main!$A$3:$H$102,4,FALSE)+VLOOKUP($A4,main!$A$3:$H$102,4,FALSE)+(VLOOKUP(VLOOKUP(AV$1,main!$A$3:$H$102,8,FALSE),main!$K$19:$O$22,MATCH(VLOOKUP($A4,main!$A$3:$H$102,7,FALSE),main!$K$18:$O$18,0),0))),0)</f>
        <v>0</v>
      </c>
      <c r="AW4">
        <f>IF((gamma!AW4),IF(VLOOKUP(AW$1,main!$A$3:$H$102,7,FALSE)=VLOOKUP($A4,main!$A$3:$H$102,8,FALSE),VLOOKUP(AW$1,main!$A$3:$H$102,4,FALSE),VLOOKUP(AW$1,main!$A$3:$H$102,4,FALSE)+VLOOKUP($A4,main!$A$3:$H$102,4,FALSE)+(VLOOKUP(VLOOKUP(AW$1,main!$A$3:$H$102,8,FALSE),main!$K$19:$O$22,MATCH(VLOOKUP($A4,main!$A$3:$H$102,7,FALSE),main!$K$18:$O$18,0),0))),0)</f>
        <v>120</v>
      </c>
      <c r="AX4">
        <f>IF((gamma!AX4),IF(VLOOKUP(AX$1,main!$A$3:$H$102,7,FALSE)=VLOOKUP($A4,main!$A$3:$H$102,8,FALSE),VLOOKUP(AX$1,main!$A$3:$H$102,4,FALSE),VLOOKUP(AX$1,main!$A$3:$H$102,4,FALSE)+VLOOKUP($A4,main!$A$3:$H$102,4,FALSE)+(VLOOKUP(VLOOKUP(AX$1,main!$A$3:$H$102,8,FALSE),main!$K$19:$O$22,MATCH(VLOOKUP($A4,main!$A$3:$H$102,7,FALSE),main!$K$18:$O$18,0),0))),0)</f>
        <v>105</v>
      </c>
      <c r="AY4">
        <f>IF((gamma!AY4),IF(VLOOKUP(AY$1,main!$A$3:$H$102,7,FALSE)=VLOOKUP($A4,main!$A$3:$H$102,8,FALSE),VLOOKUP(AY$1,main!$A$3:$H$102,4,FALSE),VLOOKUP(AY$1,main!$A$3:$H$102,4,FALSE)+VLOOKUP($A4,main!$A$3:$H$102,4,FALSE)+(VLOOKUP(VLOOKUP(AY$1,main!$A$3:$H$102,8,FALSE),main!$K$19:$O$22,MATCH(VLOOKUP($A4,main!$A$3:$H$102,7,FALSE),main!$K$18:$O$18,0),0))),0)</f>
        <v>0</v>
      </c>
      <c r="AZ4">
        <f>IF((gamma!AZ4),IF(VLOOKUP(AZ$1,main!$A$3:$H$102,7,FALSE)=VLOOKUP($A4,main!$A$3:$H$102,8,FALSE),VLOOKUP(AZ$1,main!$A$3:$H$102,4,FALSE),VLOOKUP(AZ$1,main!$A$3:$H$102,4,FALSE)+VLOOKUP($A4,main!$A$3:$H$102,4,FALSE)+(VLOOKUP(VLOOKUP(AZ$1,main!$A$3:$H$102,8,FALSE),main!$K$19:$O$22,MATCH(VLOOKUP($A4,main!$A$3:$H$102,7,FALSE),main!$K$18:$O$18,0),0))),0)</f>
        <v>135</v>
      </c>
      <c r="BA4">
        <f>IF((gamma!BA4),IF(VLOOKUP(BA$1,main!$A$3:$H$102,7,FALSE)=VLOOKUP($A4,main!$A$3:$H$102,8,FALSE),VLOOKUP(BA$1,main!$A$3:$H$102,4,FALSE),VLOOKUP(BA$1,main!$A$3:$H$102,4,FALSE)+VLOOKUP($A4,main!$A$3:$H$102,4,FALSE)+(VLOOKUP(VLOOKUP(BA$1,main!$A$3:$H$102,8,FALSE),main!$K$19:$O$22,MATCH(VLOOKUP($A4,main!$A$3:$H$102,7,FALSE),main!$K$18:$O$18,0),0))),0)</f>
        <v>0</v>
      </c>
      <c r="BB4">
        <f>IF((gamma!BB4),IF(VLOOKUP(BB$1,main!$A$3:$H$102,7,FALSE)=VLOOKUP($A4,main!$A$3:$H$102,8,FALSE),VLOOKUP(BB$1,main!$A$3:$H$102,4,FALSE),VLOOKUP(BB$1,main!$A$3:$H$102,4,FALSE)+VLOOKUP($A4,main!$A$3:$H$102,4,FALSE)+(VLOOKUP(VLOOKUP(BB$1,main!$A$3:$H$102,8,FALSE),main!$K$19:$O$22,MATCH(VLOOKUP($A4,main!$A$3:$H$102,7,FALSE),main!$K$18:$O$18,0),0))),0)</f>
        <v>275</v>
      </c>
      <c r="BC4">
        <f>IF((gamma!BC4),IF(VLOOKUP(BC$1,main!$A$3:$H$102,7,FALSE)=VLOOKUP($A4,main!$A$3:$H$102,8,FALSE),VLOOKUP(BC$1,main!$A$3:$H$102,4,FALSE),VLOOKUP(BC$1,main!$A$3:$H$102,4,FALSE)+VLOOKUP($A4,main!$A$3:$H$102,4,FALSE)+(VLOOKUP(VLOOKUP(BC$1,main!$A$3:$H$102,8,FALSE),main!$K$19:$O$22,MATCH(VLOOKUP($A4,main!$A$3:$H$102,7,FALSE),main!$K$18:$O$18,0),0))),0)</f>
        <v>275</v>
      </c>
      <c r="BD4">
        <f>IF((gamma!BD4),IF(VLOOKUP(BD$1,main!$A$3:$H$102,7,FALSE)=VLOOKUP($A4,main!$A$3:$H$102,8,FALSE),VLOOKUP(BD$1,main!$A$3:$H$102,4,FALSE),VLOOKUP(BD$1,main!$A$3:$H$102,4,FALSE)+VLOOKUP($A4,main!$A$3:$H$102,4,FALSE)+(VLOOKUP(VLOOKUP(BD$1,main!$A$3:$H$102,8,FALSE),main!$K$19:$O$22,MATCH(VLOOKUP($A4,main!$A$3:$H$102,7,FALSE),main!$K$18:$O$18,0),0))),0)</f>
        <v>275</v>
      </c>
      <c r="BE4">
        <f>IF((gamma!BE4),IF(VLOOKUP(BE$1,main!$A$3:$H$102,7,FALSE)=VLOOKUP($A4,main!$A$3:$H$102,8,FALSE),VLOOKUP(BE$1,main!$A$3:$H$102,4,FALSE),VLOOKUP(BE$1,main!$A$3:$H$102,4,FALSE)+VLOOKUP($A4,main!$A$3:$H$102,4,FALSE)+(VLOOKUP(VLOOKUP(BE$1,main!$A$3:$H$102,8,FALSE),main!$K$19:$O$22,MATCH(VLOOKUP($A4,main!$A$3:$H$102,7,FALSE),main!$K$18:$O$18,0),0))),0)</f>
        <v>275</v>
      </c>
      <c r="BF4">
        <f>IF((gamma!BF4),IF(VLOOKUP(BF$1,main!$A$3:$H$102,7,FALSE)=VLOOKUP($A4,main!$A$3:$H$102,8,FALSE),VLOOKUP(BF$1,main!$A$3:$H$102,4,FALSE),VLOOKUP(BF$1,main!$A$3:$H$102,4,FALSE)+VLOOKUP($A4,main!$A$3:$H$102,4,FALSE)+(VLOOKUP(VLOOKUP(BF$1,main!$A$3:$H$102,8,FALSE),main!$K$19:$O$22,MATCH(VLOOKUP($A4,main!$A$3:$H$102,7,FALSE),main!$K$18:$O$18,0),0))),0)</f>
        <v>0</v>
      </c>
      <c r="BG4">
        <f>IF((gamma!BG4),IF(VLOOKUP(BG$1,main!$A$3:$H$102,7,FALSE)=VLOOKUP($A4,main!$A$3:$H$102,8,FALSE),VLOOKUP(BG$1,main!$A$3:$H$102,4,FALSE),VLOOKUP(BG$1,main!$A$3:$H$102,4,FALSE)+VLOOKUP($A4,main!$A$3:$H$102,4,FALSE)+(VLOOKUP(VLOOKUP(BG$1,main!$A$3:$H$102,8,FALSE),main!$K$19:$O$22,MATCH(VLOOKUP($A4,main!$A$3:$H$102,7,FALSE),main!$K$18:$O$18,0),0))),0)</f>
        <v>0</v>
      </c>
      <c r="BH4">
        <f>IF((gamma!BH4),IF(VLOOKUP(BH$1,main!$A$3:$H$102,7,FALSE)=VLOOKUP($A4,main!$A$3:$H$102,8,FALSE),VLOOKUP(BH$1,main!$A$3:$H$102,4,FALSE),VLOOKUP(BH$1,main!$A$3:$H$102,4,FALSE)+VLOOKUP($A4,main!$A$3:$H$102,4,FALSE)+(VLOOKUP(VLOOKUP(BH$1,main!$A$3:$H$102,8,FALSE),main!$K$19:$O$22,MATCH(VLOOKUP($A4,main!$A$3:$H$102,7,FALSE),main!$K$18:$O$18,0),0))),0)</f>
        <v>260</v>
      </c>
      <c r="BI4">
        <f>IF((gamma!BI4),IF(VLOOKUP(BI$1,main!$A$3:$H$102,7,FALSE)=VLOOKUP($A4,main!$A$3:$H$102,8,FALSE),VLOOKUP(BI$1,main!$A$3:$H$102,4,FALSE),VLOOKUP(BI$1,main!$A$3:$H$102,4,FALSE)+VLOOKUP($A4,main!$A$3:$H$102,4,FALSE)+(VLOOKUP(VLOOKUP(BI$1,main!$A$3:$H$102,8,FALSE),main!$K$19:$O$22,MATCH(VLOOKUP($A4,main!$A$3:$H$102,7,FALSE),main!$K$18:$O$18,0),0))),0)</f>
        <v>195</v>
      </c>
      <c r="BJ4">
        <f>IF((gamma!BJ4),IF(VLOOKUP(BJ$1,main!$A$3:$H$102,7,FALSE)=VLOOKUP($A4,main!$A$3:$H$102,8,FALSE),VLOOKUP(BJ$1,main!$A$3:$H$102,4,FALSE),VLOOKUP(BJ$1,main!$A$3:$H$102,4,FALSE)+VLOOKUP($A4,main!$A$3:$H$102,4,FALSE)+(VLOOKUP(VLOOKUP(BJ$1,main!$A$3:$H$102,8,FALSE),main!$K$19:$O$22,MATCH(VLOOKUP($A4,main!$A$3:$H$102,7,FALSE),main!$K$18:$O$18,0),0))),0)</f>
        <v>225</v>
      </c>
      <c r="BK4">
        <f>IF((gamma!BK4),IF(VLOOKUP(BK$1,main!$A$3:$H$102,7,FALSE)=VLOOKUP($A4,main!$A$3:$H$102,8,FALSE),VLOOKUP(BK$1,main!$A$3:$H$102,4,FALSE),VLOOKUP(BK$1,main!$A$3:$H$102,4,FALSE)+VLOOKUP($A4,main!$A$3:$H$102,4,FALSE)+(VLOOKUP(VLOOKUP(BK$1,main!$A$3:$H$102,8,FALSE),main!$K$19:$O$22,MATCH(VLOOKUP($A4,main!$A$3:$H$102,7,FALSE),main!$K$18:$O$18,0),0))),0)</f>
        <v>0</v>
      </c>
      <c r="BL4">
        <f>IF((gamma!BL4),IF(VLOOKUP(BL$1,main!$A$3:$H$102,7,FALSE)=VLOOKUP($A4,main!$A$3:$H$102,8,FALSE),VLOOKUP(BL$1,main!$A$3:$H$102,4,FALSE),VLOOKUP(BL$1,main!$A$3:$H$102,4,FALSE)+VLOOKUP($A4,main!$A$3:$H$102,4,FALSE)+(VLOOKUP(VLOOKUP(BL$1,main!$A$3:$H$102,8,FALSE),main!$K$19:$O$22,MATCH(VLOOKUP($A4,main!$A$3:$H$102,7,FALSE),main!$K$18:$O$18,0),0))),0)</f>
        <v>0</v>
      </c>
      <c r="BM4">
        <f>IF((gamma!BM4),IF(VLOOKUP(BM$1,main!$A$3:$H$102,7,FALSE)=VLOOKUP($A4,main!$A$3:$H$102,8,FALSE),VLOOKUP(BM$1,main!$A$3:$H$102,4,FALSE),VLOOKUP(BM$1,main!$A$3:$H$102,4,FALSE)+VLOOKUP($A4,main!$A$3:$H$102,4,FALSE)+(VLOOKUP(VLOOKUP(BM$1,main!$A$3:$H$102,8,FALSE),main!$K$19:$O$22,MATCH(VLOOKUP($A4,main!$A$3:$H$102,7,FALSE),main!$K$18:$O$18,0),0))),0)</f>
        <v>0</v>
      </c>
      <c r="BN4">
        <f>IF((gamma!BN4),IF(VLOOKUP(BN$1,main!$A$3:$H$102,7,FALSE)=VLOOKUP($A4,main!$A$3:$H$102,8,FALSE),VLOOKUP(BN$1,main!$A$3:$H$102,4,FALSE),VLOOKUP(BN$1,main!$A$3:$H$102,4,FALSE)+VLOOKUP($A4,main!$A$3:$H$102,4,FALSE)+(VLOOKUP(VLOOKUP(BN$1,main!$A$3:$H$102,8,FALSE),main!$K$19:$O$22,MATCH(VLOOKUP($A4,main!$A$3:$H$102,7,FALSE),main!$K$18:$O$18,0),0))),0)</f>
        <v>280</v>
      </c>
      <c r="BO4">
        <f>IF((gamma!BO4),IF(VLOOKUP(BO$1,main!$A$3:$H$102,7,FALSE)=VLOOKUP($A4,main!$A$3:$H$102,8,FALSE),VLOOKUP(BO$1,main!$A$3:$H$102,4,FALSE),VLOOKUP(BO$1,main!$A$3:$H$102,4,FALSE)+VLOOKUP($A4,main!$A$3:$H$102,4,FALSE)+(VLOOKUP(VLOOKUP(BO$1,main!$A$3:$H$102,8,FALSE),main!$K$19:$O$22,MATCH(VLOOKUP($A4,main!$A$3:$H$102,7,FALSE),main!$K$18:$O$18,0),0))),0)</f>
        <v>0</v>
      </c>
      <c r="BP4">
        <f>IF((gamma!BP4),IF(VLOOKUP(BP$1,main!$A$3:$H$102,7,FALSE)=VLOOKUP($A4,main!$A$3:$H$102,8,FALSE),VLOOKUP(BP$1,main!$A$3:$H$102,4,FALSE),VLOOKUP(BP$1,main!$A$3:$H$102,4,FALSE)+VLOOKUP($A4,main!$A$3:$H$102,4,FALSE)+(VLOOKUP(VLOOKUP(BP$1,main!$A$3:$H$102,8,FALSE),main!$K$19:$O$22,MATCH(VLOOKUP($A4,main!$A$3:$H$102,7,FALSE),main!$K$18:$O$18,0),0))),0)</f>
        <v>0</v>
      </c>
      <c r="BQ4">
        <f>IF((gamma!BQ4),IF(VLOOKUP(BQ$1,main!$A$3:$H$102,7,FALSE)=VLOOKUP($A4,main!$A$3:$H$102,8,FALSE),VLOOKUP(BQ$1,main!$A$3:$H$102,4,FALSE),VLOOKUP(BQ$1,main!$A$3:$H$102,4,FALSE)+VLOOKUP($A4,main!$A$3:$H$102,4,FALSE)+(VLOOKUP(VLOOKUP(BQ$1,main!$A$3:$H$102,8,FALSE),main!$K$19:$O$22,MATCH(VLOOKUP($A4,main!$A$3:$H$102,7,FALSE),main!$K$18:$O$18,0),0))),0)</f>
        <v>300</v>
      </c>
      <c r="BR4">
        <f>IF((gamma!BR4),IF(VLOOKUP(BR$1,main!$A$3:$H$102,7,FALSE)=VLOOKUP($A4,main!$A$3:$H$102,8,FALSE),VLOOKUP(BR$1,main!$A$3:$H$102,4,FALSE),VLOOKUP(BR$1,main!$A$3:$H$102,4,FALSE)+VLOOKUP($A4,main!$A$3:$H$102,4,FALSE)+(VLOOKUP(VLOOKUP(BR$1,main!$A$3:$H$102,8,FALSE),main!$K$19:$O$22,MATCH(VLOOKUP($A4,main!$A$3:$H$102,7,FALSE),main!$K$18:$O$18,0),0))),0)</f>
        <v>260</v>
      </c>
      <c r="BS4">
        <f>IF((gamma!BS4),IF(VLOOKUP(BS$1,main!$A$3:$H$102,7,FALSE)=VLOOKUP($A4,main!$A$3:$H$102,8,FALSE),VLOOKUP(BS$1,main!$A$3:$H$102,4,FALSE),VLOOKUP(BS$1,main!$A$3:$H$102,4,FALSE)+VLOOKUP($A4,main!$A$3:$H$102,4,FALSE)+(VLOOKUP(VLOOKUP(BS$1,main!$A$3:$H$102,8,FALSE),main!$K$19:$O$22,MATCH(VLOOKUP($A4,main!$A$3:$H$102,7,FALSE),main!$K$18:$O$18,0),0))),0)</f>
        <v>261</v>
      </c>
      <c r="BT4">
        <f>IF((gamma!BT4),IF(VLOOKUP(BT$1,main!$A$3:$H$102,7,FALSE)=VLOOKUP($A4,main!$A$3:$H$102,8,FALSE),VLOOKUP(BT$1,main!$A$3:$H$102,4,FALSE),VLOOKUP(BT$1,main!$A$3:$H$102,4,FALSE)+VLOOKUP($A4,main!$A$3:$H$102,4,FALSE)+(VLOOKUP(VLOOKUP(BT$1,main!$A$3:$H$102,8,FALSE),main!$K$19:$O$22,MATCH(VLOOKUP($A4,main!$A$3:$H$102,7,FALSE),main!$K$18:$O$18,0),0))),0)</f>
        <v>280</v>
      </c>
      <c r="BU4">
        <f>IF((gamma!BU4),IF(VLOOKUP(BU$1,main!$A$3:$H$102,7,FALSE)=VLOOKUP($A4,main!$A$3:$H$102,8,FALSE),VLOOKUP(BU$1,main!$A$3:$H$102,4,FALSE),VLOOKUP(BU$1,main!$A$3:$H$102,4,FALSE)+VLOOKUP($A4,main!$A$3:$H$102,4,FALSE)+(VLOOKUP(VLOOKUP(BU$1,main!$A$3:$H$102,8,FALSE),main!$K$19:$O$22,MATCH(VLOOKUP($A4,main!$A$3:$H$102,7,FALSE),main!$K$18:$O$18,0),0))),0)</f>
        <v>0</v>
      </c>
      <c r="BV4">
        <f>IF((gamma!BV4),IF(VLOOKUP(BV$1,main!$A$3:$H$102,7,FALSE)=VLOOKUP($A4,main!$A$3:$H$102,8,FALSE),VLOOKUP(BV$1,main!$A$3:$H$102,4,FALSE),VLOOKUP(BV$1,main!$A$3:$H$102,4,FALSE)+VLOOKUP($A4,main!$A$3:$H$102,4,FALSE)+(VLOOKUP(VLOOKUP(BV$1,main!$A$3:$H$102,8,FALSE),main!$K$19:$O$22,MATCH(VLOOKUP($A4,main!$A$3:$H$102,7,FALSE),main!$K$18:$O$18,0),0))),0)</f>
        <v>0</v>
      </c>
      <c r="BW4">
        <f>IF((gamma!BW4),IF(VLOOKUP(BW$1,main!$A$3:$H$102,7,FALSE)=VLOOKUP($A4,main!$A$3:$H$102,8,FALSE),VLOOKUP(BW$1,main!$A$3:$H$102,4,FALSE),VLOOKUP(BW$1,main!$A$3:$H$102,4,FALSE)+VLOOKUP($A4,main!$A$3:$H$102,4,FALSE)+(VLOOKUP(VLOOKUP(BW$1,main!$A$3:$H$102,8,FALSE),main!$K$19:$O$22,MATCH(VLOOKUP($A4,main!$A$3:$H$102,7,FALSE),main!$K$18:$O$18,0),0))),0)</f>
        <v>0</v>
      </c>
      <c r="BX4">
        <f>IF((gamma!BX4),IF(VLOOKUP(BX$1,main!$A$3:$H$102,7,FALSE)=VLOOKUP($A4,main!$A$3:$H$102,8,FALSE),VLOOKUP(BX$1,main!$A$3:$H$102,4,FALSE),VLOOKUP(BX$1,main!$A$3:$H$102,4,FALSE)+VLOOKUP($A4,main!$A$3:$H$102,4,FALSE)+(VLOOKUP(VLOOKUP(BX$1,main!$A$3:$H$102,8,FALSE),main!$K$19:$O$22,MATCH(VLOOKUP($A4,main!$A$3:$H$102,7,FALSE),main!$K$18:$O$18,0),0))),0)</f>
        <v>305</v>
      </c>
      <c r="BY4">
        <f>IF((gamma!BY4),IF(VLOOKUP(BY$1,main!$A$3:$H$102,7,FALSE)=VLOOKUP($A4,main!$A$3:$H$102,8,FALSE),VLOOKUP(BY$1,main!$A$3:$H$102,4,FALSE),VLOOKUP(BY$1,main!$A$3:$H$102,4,FALSE)+VLOOKUP($A4,main!$A$3:$H$102,4,FALSE)+(VLOOKUP(VLOOKUP(BY$1,main!$A$3:$H$102,8,FALSE),main!$K$19:$O$22,MATCH(VLOOKUP($A4,main!$A$3:$H$102,7,FALSE),main!$K$18:$O$18,0),0))),0)</f>
        <v>290</v>
      </c>
      <c r="BZ4">
        <f>IF((gamma!BZ4),IF(VLOOKUP(BZ$1,main!$A$3:$H$102,7,FALSE)=VLOOKUP($A4,main!$A$3:$H$102,8,FALSE),VLOOKUP(BZ$1,main!$A$3:$H$102,4,FALSE),VLOOKUP(BZ$1,main!$A$3:$H$102,4,FALSE)+VLOOKUP($A4,main!$A$3:$H$102,4,FALSE)+(VLOOKUP(VLOOKUP(BZ$1,main!$A$3:$H$102,8,FALSE),main!$K$19:$O$22,MATCH(VLOOKUP($A4,main!$A$3:$H$102,7,FALSE),main!$K$18:$O$18,0),0))),0)</f>
        <v>0</v>
      </c>
      <c r="CA4">
        <f>IF((gamma!CA4),IF(VLOOKUP(CA$1,main!$A$3:$H$102,7,FALSE)=VLOOKUP($A4,main!$A$3:$H$102,8,FALSE),VLOOKUP(CA$1,main!$A$3:$H$102,4,FALSE),VLOOKUP(CA$1,main!$A$3:$H$102,4,FALSE)+VLOOKUP($A4,main!$A$3:$H$102,4,FALSE)+(VLOOKUP(VLOOKUP(CA$1,main!$A$3:$H$102,8,FALSE),main!$K$19:$O$22,MATCH(VLOOKUP($A4,main!$A$3:$H$102,7,FALSE),main!$K$18:$O$18,0),0))),0)</f>
        <v>0</v>
      </c>
      <c r="CB4">
        <f>IF((gamma!CB4),IF(VLOOKUP(CB$1,main!$A$3:$H$102,7,FALSE)=VLOOKUP($A4,main!$A$3:$H$102,8,FALSE),VLOOKUP(CB$1,main!$A$3:$H$102,4,FALSE),VLOOKUP(CB$1,main!$A$3:$H$102,4,FALSE)+VLOOKUP($A4,main!$A$3:$H$102,4,FALSE)+(VLOOKUP(VLOOKUP(CB$1,main!$A$3:$H$102,8,FALSE),main!$K$19:$O$22,MATCH(VLOOKUP($A4,main!$A$3:$H$102,7,FALSE),main!$K$18:$O$18,0),0))),0)</f>
        <v>235</v>
      </c>
      <c r="CC4">
        <f>IF((gamma!CC4),IF(VLOOKUP(CC$1,main!$A$3:$H$102,7,FALSE)=VLOOKUP($A4,main!$A$3:$H$102,8,FALSE),VLOOKUP(CC$1,main!$A$3:$H$102,4,FALSE),VLOOKUP(CC$1,main!$A$3:$H$102,4,FALSE)+VLOOKUP($A4,main!$A$3:$H$102,4,FALSE)+(VLOOKUP(VLOOKUP(CC$1,main!$A$3:$H$102,8,FALSE),main!$K$19:$O$22,MATCH(VLOOKUP($A4,main!$A$3:$H$102,7,FALSE),main!$K$18:$O$18,0),0))),0)</f>
        <v>225</v>
      </c>
      <c r="CD4">
        <f>IF((gamma!CD4),IF(VLOOKUP(CD$1,main!$A$3:$H$102,7,FALSE)=VLOOKUP($A4,main!$A$3:$H$102,8,FALSE),VLOOKUP(CD$1,main!$A$3:$H$102,4,FALSE),VLOOKUP(CD$1,main!$A$3:$H$102,4,FALSE)+VLOOKUP($A4,main!$A$3:$H$102,4,FALSE)+(VLOOKUP(VLOOKUP(CD$1,main!$A$3:$H$102,8,FALSE),main!$K$19:$O$22,MATCH(VLOOKUP($A4,main!$A$3:$H$102,7,FALSE),main!$K$18:$O$18,0),0))),0)</f>
        <v>284</v>
      </c>
      <c r="CE4">
        <f>IF((gamma!CE4),IF(VLOOKUP(CE$1,main!$A$3:$H$102,7,FALSE)=VLOOKUP($A4,main!$A$3:$H$102,8,FALSE),VLOOKUP(CE$1,main!$A$3:$H$102,4,FALSE),VLOOKUP(CE$1,main!$A$3:$H$102,4,FALSE)+VLOOKUP($A4,main!$A$3:$H$102,4,FALSE)+(VLOOKUP(VLOOKUP(CE$1,main!$A$3:$H$102,8,FALSE),main!$K$19:$O$22,MATCH(VLOOKUP($A4,main!$A$3:$H$102,7,FALSE),main!$K$18:$O$18,0),0))),0)</f>
        <v>0</v>
      </c>
      <c r="CF4">
        <f>IF((gamma!CF4),IF(VLOOKUP(CF$1,main!$A$3:$H$102,7,FALSE)=VLOOKUP($A4,main!$A$3:$H$102,8,FALSE),VLOOKUP(CF$1,main!$A$3:$H$102,4,FALSE),VLOOKUP(CF$1,main!$A$3:$H$102,4,FALSE)+VLOOKUP($A4,main!$A$3:$H$102,4,FALSE)+(VLOOKUP(VLOOKUP(CF$1,main!$A$3:$H$102,8,FALSE),main!$K$19:$O$22,MATCH(VLOOKUP($A4,main!$A$3:$H$102,7,FALSE),main!$K$18:$O$18,0),0))),0)</f>
        <v>270</v>
      </c>
      <c r="CG4">
        <f>IF((gamma!CG4),IF(VLOOKUP(CG$1,main!$A$3:$H$102,7,FALSE)=VLOOKUP($A4,main!$A$3:$H$102,8,FALSE),VLOOKUP(CG$1,main!$A$3:$H$102,4,FALSE),VLOOKUP(CG$1,main!$A$3:$H$102,4,FALSE)+VLOOKUP($A4,main!$A$3:$H$102,4,FALSE)+(VLOOKUP(VLOOKUP(CG$1,main!$A$3:$H$102,8,FALSE),main!$K$19:$O$22,MATCH(VLOOKUP($A4,main!$A$3:$H$102,7,FALSE),main!$K$18:$O$18,0),0))),0)</f>
        <v>275</v>
      </c>
      <c r="CH4">
        <f>IF((gamma!CH4),IF(VLOOKUP(CH$1,main!$A$3:$H$102,7,FALSE)=VLOOKUP($A4,main!$A$3:$H$102,8,FALSE),VLOOKUP(CH$1,main!$A$3:$H$102,4,FALSE),VLOOKUP(CH$1,main!$A$3:$H$102,4,FALSE)+VLOOKUP($A4,main!$A$3:$H$102,4,FALSE)+(VLOOKUP(VLOOKUP(CH$1,main!$A$3:$H$102,8,FALSE),main!$K$19:$O$22,MATCH(VLOOKUP($A4,main!$A$3:$H$102,7,FALSE),main!$K$18:$O$18,0),0))),0)</f>
        <v>275</v>
      </c>
      <c r="CI4">
        <f>IF((gamma!CI4),IF(VLOOKUP(CI$1,main!$A$3:$H$102,7,FALSE)=VLOOKUP($A4,main!$A$3:$H$102,8,FALSE),VLOOKUP(CI$1,main!$A$3:$H$102,4,FALSE),VLOOKUP(CI$1,main!$A$3:$H$102,4,FALSE)+VLOOKUP($A4,main!$A$3:$H$102,4,FALSE)+(VLOOKUP(VLOOKUP(CI$1,main!$A$3:$H$102,8,FALSE),main!$K$19:$O$22,MATCH(VLOOKUP($A4,main!$A$3:$H$102,7,FALSE),main!$K$18:$O$18,0),0))),0)</f>
        <v>275</v>
      </c>
      <c r="CJ4">
        <f>IF((gamma!CJ4),IF(VLOOKUP(CJ$1,main!$A$3:$H$102,7,FALSE)=VLOOKUP($A4,main!$A$3:$H$102,8,FALSE),VLOOKUP(CJ$1,main!$A$3:$H$102,4,FALSE),VLOOKUP(CJ$1,main!$A$3:$H$102,4,FALSE)+VLOOKUP($A4,main!$A$3:$H$102,4,FALSE)+(VLOOKUP(VLOOKUP(CJ$1,main!$A$3:$H$102,8,FALSE),main!$K$19:$O$22,MATCH(VLOOKUP($A4,main!$A$3:$H$102,7,FALSE),main!$K$18:$O$18,0),0))),0)</f>
        <v>203</v>
      </c>
      <c r="CK4">
        <f>IF((gamma!CK4),IF(VLOOKUP(CK$1,main!$A$3:$H$102,7,FALSE)=VLOOKUP($A4,main!$A$3:$H$102,8,FALSE),VLOOKUP(CK$1,main!$A$3:$H$102,4,FALSE),VLOOKUP(CK$1,main!$A$3:$H$102,4,FALSE)+VLOOKUP($A4,main!$A$3:$H$102,4,FALSE)+(VLOOKUP(VLOOKUP(CK$1,main!$A$3:$H$102,8,FALSE),main!$K$19:$O$22,MATCH(VLOOKUP($A4,main!$A$3:$H$102,7,FALSE),main!$K$18:$O$18,0),0))),0)</f>
        <v>0</v>
      </c>
      <c r="CL4">
        <f>IF((gamma!CL4),IF(VLOOKUP(CL$1,main!$A$3:$H$102,7,FALSE)=VLOOKUP($A4,main!$A$3:$H$102,8,FALSE),VLOOKUP(CL$1,main!$A$3:$H$102,4,FALSE),VLOOKUP(CL$1,main!$A$3:$H$102,4,FALSE)+VLOOKUP($A4,main!$A$3:$H$102,4,FALSE)+(VLOOKUP(VLOOKUP(CL$1,main!$A$3:$H$102,8,FALSE),main!$K$19:$O$22,MATCH(VLOOKUP($A4,main!$A$3:$H$102,7,FALSE),main!$K$18:$O$18,0),0))),0)</f>
        <v>215</v>
      </c>
      <c r="CM4">
        <f>IF((gamma!CM4),IF(VLOOKUP(CM$1,main!$A$3:$H$102,7,FALSE)=VLOOKUP($A4,main!$A$3:$H$102,8,FALSE),VLOOKUP(CM$1,main!$A$3:$H$102,4,FALSE),VLOOKUP(CM$1,main!$A$3:$H$102,4,FALSE)+VLOOKUP($A4,main!$A$3:$H$102,4,FALSE)+(VLOOKUP(VLOOKUP(CM$1,main!$A$3:$H$102,8,FALSE),main!$K$19:$O$22,MATCH(VLOOKUP($A4,main!$A$3:$H$102,7,FALSE),main!$K$18:$O$18,0),0))),0)</f>
        <v>235</v>
      </c>
      <c r="CN4">
        <f>IF((gamma!CN4),IF(VLOOKUP(CN$1,main!$A$3:$H$102,7,FALSE)=VLOOKUP($A4,main!$A$3:$H$102,8,FALSE),VLOOKUP(CN$1,main!$A$3:$H$102,4,FALSE),VLOOKUP(CN$1,main!$A$3:$H$102,4,FALSE)+VLOOKUP($A4,main!$A$3:$H$102,4,FALSE)+(VLOOKUP(VLOOKUP(CN$1,main!$A$3:$H$102,8,FALSE),main!$K$19:$O$22,MATCH(VLOOKUP($A4,main!$A$3:$H$102,7,FALSE),main!$K$18:$O$18,0),0))),0)</f>
        <v>231</v>
      </c>
      <c r="CO4">
        <f>IF((gamma!CO4),IF(VLOOKUP(CO$1,main!$A$3:$H$102,7,FALSE)=VLOOKUP($A4,main!$A$3:$H$102,8,FALSE),VLOOKUP(CO$1,main!$A$3:$H$102,4,FALSE),VLOOKUP(CO$1,main!$A$3:$H$102,4,FALSE)+VLOOKUP($A4,main!$A$3:$H$102,4,FALSE)+(VLOOKUP(VLOOKUP(CO$1,main!$A$3:$H$102,8,FALSE),main!$K$19:$O$22,MATCH(VLOOKUP($A4,main!$A$3:$H$102,7,FALSE),main!$K$18:$O$18,0),0))),0)</f>
        <v>0</v>
      </c>
      <c r="CP4">
        <f>IF((gamma!CP4),IF(VLOOKUP(CP$1,main!$A$3:$H$102,7,FALSE)=VLOOKUP($A4,main!$A$3:$H$102,8,FALSE),VLOOKUP(CP$1,main!$A$3:$H$102,4,FALSE),VLOOKUP(CP$1,main!$A$3:$H$102,4,FALSE)+VLOOKUP($A4,main!$A$3:$H$102,4,FALSE)+(VLOOKUP(VLOOKUP(CP$1,main!$A$3:$H$102,8,FALSE),main!$K$19:$O$22,MATCH(VLOOKUP($A4,main!$A$3:$H$102,7,FALSE),main!$K$18:$O$18,0),0))),0)</f>
        <v>285</v>
      </c>
      <c r="CQ4">
        <f>IF((gamma!CQ4),IF(VLOOKUP(CQ$1,main!$A$3:$H$102,7,FALSE)=VLOOKUP($A4,main!$A$3:$H$102,8,FALSE),VLOOKUP(CQ$1,main!$A$3:$H$102,4,FALSE),VLOOKUP(CQ$1,main!$A$3:$H$102,4,FALSE)+VLOOKUP($A4,main!$A$3:$H$102,4,FALSE)+(VLOOKUP(VLOOKUP(CQ$1,main!$A$3:$H$102,8,FALSE),main!$K$19:$O$22,MATCH(VLOOKUP($A4,main!$A$3:$H$102,7,FALSE),main!$K$18:$O$18,0),0))),0)</f>
        <v>285</v>
      </c>
      <c r="CR4">
        <f>IF((gamma!CR4),IF(VLOOKUP(CR$1,main!$A$3:$H$102,7,FALSE)=VLOOKUP($A4,main!$A$3:$H$102,8,FALSE),VLOOKUP(CR$1,main!$A$3:$H$102,4,FALSE),VLOOKUP(CR$1,main!$A$3:$H$102,4,FALSE)+VLOOKUP($A4,main!$A$3:$H$102,4,FALSE)+(VLOOKUP(VLOOKUP(CR$1,main!$A$3:$H$102,8,FALSE),main!$K$19:$O$22,MATCH(VLOOKUP($A4,main!$A$3:$H$102,7,FALSE),main!$K$18:$O$18,0),0))),0)</f>
        <v>300</v>
      </c>
      <c r="CS4">
        <f>IF((gamma!CS4),IF(VLOOKUP(CS$1,main!$A$3:$H$102,7,FALSE)=VLOOKUP($A4,main!$A$3:$H$102,8,FALSE),VLOOKUP(CS$1,main!$A$3:$H$102,4,FALSE),VLOOKUP(CS$1,main!$A$3:$H$102,4,FALSE)+VLOOKUP($A4,main!$A$3:$H$102,4,FALSE)+(VLOOKUP(VLOOKUP(CS$1,main!$A$3:$H$102,8,FALSE),main!$K$19:$O$22,MATCH(VLOOKUP($A4,main!$A$3:$H$102,7,FALSE),main!$K$18:$O$18,0),0))),0)</f>
        <v>300</v>
      </c>
      <c r="CT4">
        <f>IF((gamma!CT4),IF(VLOOKUP(CT$1,main!$A$3:$H$102,7,FALSE)=VLOOKUP($A4,main!$A$3:$H$102,8,FALSE),VLOOKUP(CT$1,main!$A$3:$H$102,4,FALSE),VLOOKUP(CT$1,main!$A$3:$H$102,4,FALSE)+VLOOKUP($A4,main!$A$3:$H$102,4,FALSE)+(VLOOKUP(VLOOKUP(CT$1,main!$A$3:$H$102,8,FALSE),main!$K$19:$O$22,MATCH(VLOOKUP($A4,main!$A$3:$H$102,7,FALSE),main!$K$18:$O$18,0),0))),0)</f>
        <v>0</v>
      </c>
      <c r="CU4">
        <f>IF((gamma!CU4),IF(VLOOKUP(CU$1,main!$A$3:$H$102,7,FALSE)=VLOOKUP($A4,main!$A$3:$H$102,8,FALSE),VLOOKUP(CU$1,main!$A$3:$H$102,4,FALSE),VLOOKUP(CU$1,main!$A$3:$H$102,4,FALSE)+VLOOKUP($A4,main!$A$3:$H$102,4,FALSE)+(VLOOKUP(VLOOKUP(CU$1,main!$A$3:$H$102,8,FALSE),main!$K$19:$O$22,MATCH(VLOOKUP($A4,main!$A$3:$H$102,7,FALSE),main!$K$18:$O$18,0),0))),0)</f>
        <v>0</v>
      </c>
      <c r="CV4">
        <f>IF((gamma!CV4),IF(VLOOKUP(CV$1,main!$A$3:$H$102,7,FALSE)=VLOOKUP($A4,main!$A$3:$H$102,8,FALSE),VLOOKUP(CV$1,main!$A$3:$H$102,4,FALSE),VLOOKUP(CV$1,main!$A$3:$H$102,4,FALSE)+VLOOKUP($A4,main!$A$3:$H$102,4,FALSE)+(VLOOKUP(VLOOKUP(CV$1,main!$A$3:$H$102,8,FALSE),main!$K$19:$O$22,MATCH(VLOOKUP($A4,main!$A$3:$H$102,7,FALSE),main!$K$18:$O$18,0),0))),0)</f>
        <v>245</v>
      </c>
      <c r="CW4">
        <f>IF((gamma!CW4),IF(VLOOKUP(CW$1,main!$A$3:$H$102,7,FALSE)=VLOOKUP($A4,main!$A$3:$H$102,8,FALSE),VLOOKUP(CW$1,main!$A$3:$H$102,4,FALSE),VLOOKUP(CW$1,main!$A$3:$H$102,4,FALSE)+VLOOKUP($A4,main!$A$3:$H$102,4,FALSE)+(VLOOKUP(VLOOKUP(CW$1,main!$A$3:$H$102,8,FALSE),main!$K$19:$O$22,MATCH(VLOOKUP($A4,main!$A$3:$H$102,7,FALSE),main!$K$18:$O$18,0),0))),0)</f>
        <v>260</v>
      </c>
      <c r="CX4">
        <f>IF((gamma!CX4),IF(VLOOKUP(CX$1,main!$A$3:$H$102,7,FALSE)=VLOOKUP($A4,main!$A$3:$H$102,8,FALSE),VLOOKUP(CX$1,main!$A$3:$H$102,4,FALSE),VLOOKUP(CX$1,main!$A$3:$H$102,4,FALSE)+VLOOKUP($A4,main!$A$3:$H$102,4,FALSE)+(VLOOKUP(VLOOKUP(CX$1,main!$A$3:$H$102,8,FALSE),main!$K$19:$O$22,MATCH(VLOOKUP($A4,main!$A$3:$H$102,7,FALSE),main!$K$18:$O$18,0),0))),0)</f>
        <v>250</v>
      </c>
      <c r="CY4">
        <v>0</v>
      </c>
      <c r="CZ4">
        <v>0</v>
      </c>
      <c r="DA4">
        <v>0</v>
      </c>
    </row>
    <row r="5" spans="1:105" x14ac:dyDescent="0.25">
      <c r="A5" s="1">
        <v>3</v>
      </c>
      <c r="B5">
        <v>0</v>
      </c>
      <c r="C5">
        <f>IF((gamma!C5),IF(VLOOKUP(C$1,main!$A$3:$H$102,7,FALSE)=VLOOKUP($A5,main!$A$3:$H$102,8,FALSE),VLOOKUP(C$1,main!$A$3:$H$102,4,FALSE),VLOOKUP(C$1,main!$A$3:$H$102,4,FALSE)+VLOOKUP($A5,main!$A$3:$H$102,4,FALSE)+(VLOOKUP(VLOOKUP(C$1,main!$A$3:$H$102,8,FALSE),main!$K$19:$O$22,MATCH(VLOOKUP($A5,main!$A$3:$H$102,7,FALSE),main!$K$18:$O$18,0),0))),0)</f>
        <v>0</v>
      </c>
      <c r="D5">
        <f>IF((gamma!D5),IF(VLOOKUP(D$1,main!$A$3:$H$102,7,FALSE)=VLOOKUP($A5,main!$A$3:$H$102,8,FALSE),VLOOKUP(D$1,main!$A$3:$H$102,4,FALSE),VLOOKUP(D$1,main!$A$3:$H$102,4,FALSE)+VLOOKUP($A5,main!$A$3:$H$102,4,FALSE)+(VLOOKUP(VLOOKUP(D$1,main!$A$3:$H$102,8,FALSE),main!$K$19:$O$22,MATCH(VLOOKUP($A5,main!$A$3:$H$102,7,FALSE),main!$K$18:$O$18,0),0))),0)</f>
        <v>0</v>
      </c>
      <c r="E5">
        <f>IF((gamma!E5),IF(VLOOKUP(E$1,main!$A$3:$H$102,7,FALSE)=VLOOKUP($A5,main!$A$3:$H$102,8,FALSE),VLOOKUP(E$1,main!$A$3:$H$102,4,FALSE),VLOOKUP(E$1,main!$A$3:$H$102,4,FALSE)+VLOOKUP($A5,main!$A$3:$H$102,4,FALSE)+(VLOOKUP(VLOOKUP(E$1,main!$A$3:$H$102,8,FALSE),main!$K$19:$O$22,MATCH(VLOOKUP($A5,main!$A$3:$H$102,7,FALSE),main!$K$18:$O$18,0),0))),0)</f>
        <v>0</v>
      </c>
      <c r="F5">
        <f>IF((gamma!F5),IF(VLOOKUP(F$1,main!$A$3:$H$102,7,FALSE)=VLOOKUP($A5,main!$A$3:$H$102,8,FALSE),VLOOKUP(F$1,main!$A$3:$H$102,4,FALSE),VLOOKUP(F$1,main!$A$3:$H$102,4,FALSE)+VLOOKUP($A5,main!$A$3:$H$102,4,FALSE)+(VLOOKUP(VLOOKUP(F$1,main!$A$3:$H$102,8,FALSE),main!$K$19:$O$22,MATCH(VLOOKUP($A5,main!$A$3:$H$102,7,FALSE),main!$K$18:$O$18,0),0))),0)</f>
        <v>0</v>
      </c>
      <c r="G5">
        <f>IF((gamma!G5),IF(VLOOKUP(G$1,main!$A$3:$H$102,7,FALSE)=VLOOKUP($A5,main!$A$3:$H$102,8,FALSE),VLOOKUP(G$1,main!$A$3:$H$102,4,FALSE),VLOOKUP(G$1,main!$A$3:$H$102,4,FALSE)+VLOOKUP($A5,main!$A$3:$H$102,4,FALSE)+(VLOOKUP(VLOOKUP(G$1,main!$A$3:$H$102,8,FALSE),main!$K$19:$O$22,MATCH(VLOOKUP($A5,main!$A$3:$H$102,7,FALSE),main!$K$18:$O$18,0),0))),0)</f>
        <v>0</v>
      </c>
      <c r="H5">
        <f>IF((gamma!H5),IF(VLOOKUP(H$1,main!$A$3:$H$102,7,FALSE)=VLOOKUP($A5,main!$A$3:$H$102,8,FALSE),VLOOKUP(H$1,main!$A$3:$H$102,4,FALSE),VLOOKUP(H$1,main!$A$3:$H$102,4,FALSE)+VLOOKUP($A5,main!$A$3:$H$102,4,FALSE)+(VLOOKUP(VLOOKUP(H$1,main!$A$3:$H$102,8,FALSE),main!$K$19:$O$22,MATCH(VLOOKUP($A5,main!$A$3:$H$102,7,FALSE),main!$K$18:$O$18,0),0))),0)</f>
        <v>295</v>
      </c>
      <c r="I5">
        <f>IF((gamma!I5),IF(VLOOKUP(I$1,main!$A$3:$H$102,7,FALSE)=VLOOKUP($A5,main!$A$3:$H$102,8,FALSE),VLOOKUP(I$1,main!$A$3:$H$102,4,FALSE),VLOOKUP(I$1,main!$A$3:$H$102,4,FALSE)+VLOOKUP($A5,main!$A$3:$H$102,4,FALSE)+(VLOOKUP(VLOOKUP(I$1,main!$A$3:$H$102,8,FALSE),main!$K$19:$O$22,MATCH(VLOOKUP($A5,main!$A$3:$H$102,7,FALSE),main!$K$18:$O$18,0),0))),0)</f>
        <v>295</v>
      </c>
      <c r="J5">
        <f>IF((gamma!J5),IF(VLOOKUP(J$1,main!$A$3:$H$102,7,FALSE)=VLOOKUP($A5,main!$A$3:$H$102,8,FALSE),VLOOKUP(J$1,main!$A$3:$H$102,4,FALSE),VLOOKUP(J$1,main!$A$3:$H$102,4,FALSE)+VLOOKUP($A5,main!$A$3:$H$102,4,FALSE)+(VLOOKUP(VLOOKUP(J$1,main!$A$3:$H$102,8,FALSE),main!$K$19:$O$22,MATCH(VLOOKUP($A5,main!$A$3:$H$102,7,FALSE),main!$K$18:$O$18,0),0))),0)</f>
        <v>295</v>
      </c>
      <c r="K5">
        <f>IF((gamma!K5),IF(VLOOKUP(K$1,main!$A$3:$H$102,7,FALSE)=VLOOKUP($A5,main!$A$3:$H$102,8,FALSE),VLOOKUP(K$1,main!$A$3:$H$102,4,FALSE),VLOOKUP(K$1,main!$A$3:$H$102,4,FALSE)+VLOOKUP($A5,main!$A$3:$H$102,4,FALSE)+(VLOOKUP(VLOOKUP(K$1,main!$A$3:$H$102,8,FALSE),main!$K$19:$O$22,MATCH(VLOOKUP($A5,main!$A$3:$H$102,7,FALSE),main!$K$18:$O$18,0),0))),0)</f>
        <v>295</v>
      </c>
      <c r="L5">
        <f>IF((gamma!L5),IF(VLOOKUP(L$1,main!$A$3:$H$102,7,FALSE)=VLOOKUP($A5,main!$A$3:$H$102,8,FALSE),VLOOKUP(L$1,main!$A$3:$H$102,4,FALSE),VLOOKUP(L$1,main!$A$3:$H$102,4,FALSE)+VLOOKUP($A5,main!$A$3:$H$102,4,FALSE)+(VLOOKUP(VLOOKUP(L$1,main!$A$3:$H$102,8,FALSE),main!$K$19:$O$22,MATCH(VLOOKUP($A5,main!$A$3:$H$102,7,FALSE),main!$K$18:$O$18,0),0))),0)</f>
        <v>295</v>
      </c>
      <c r="M5">
        <f>IF((gamma!M5),IF(VLOOKUP(M$1,main!$A$3:$H$102,7,FALSE)=VLOOKUP($A5,main!$A$3:$H$102,8,FALSE),VLOOKUP(M$1,main!$A$3:$H$102,4,FALSE),VLOOKUP(M$1,main!$A$3:$H$102,4,FALSE)+VLOOKUP($A5,main!$A$3:$H$102,4,FALSE)+(VLOOKUP(VLOOKUP(M$1,main!$A$3:$H$102,8,FALSE),main!$K$19:$O$22,MATCH(VLOOKUP($A5,main!$A$3:$H$102,7,FALSE),main!$K$18:$O$18,0),0))),0)</f>
        <v>0</v>
      </c>
      <c r="N5">
        <f>IF((gamma!N5),IF(VLOOKUP(N$1,main!$A$3:$H$102,7,FALSE)=VLOOKUP($A5,main!$A$3:$H$102,8,FALSE),VLOOKUP(N$1,main!$A$3:$H$102,4,FALSE),VLOOKUP(N$1,main!$A$3:$H$102,4,FALSE)+VLOOKUP($A5,main!$A$3:$H$102,4,FALSE)+(VLOOKUP(VLOOKUP(N$1,main!$A$3:$H$102,8,FALSE),main!$K$19:$O$22,MATCH(VLOOKUP($A5,main!$A$3:$H$102,7,FALSE),main!$K$18:$O$18,0),0))),0)</f>
        <v>0</v>
      </c>
      <c r="O5">
        <f>IF((gamma!O5),IF(VLOOKUP(O$1,main!$A$3:$H$102,7,FALSE)=VLOOKUP($A5,main!$A$3:$H$102,8,FALSE),VLOOKUP(O$1,main!$A$3:$H$102,4,FALSE),VLOOKUP(O$1,main!$A$3:$H$102,4,FALSE)+VLOOKUP($A5,main!$A$3:$H$102,4,FALSE)+(VLOOKUP(VLOOKUP(O$1,main!$A$3:$H$102,8,FALSE),main!$K$19:$O$22,MATCH(VLOOKUP($A5,main!$A$3:$H$102,7,FALSE),main!$K$18:$O$18,0),0))),0)</f>
        <v>0</v>
      </c>
      <c r="P5">
        <f>IF((gamma!P5),IF(VLOOKUP(P$1,main!$A$3:$H$102,7,FALSE)=VLOOKUP($A5,main!$A$3:$H$102,8,FALSE),VLOOKUP(P$1,main!$A$3:$H$102,4,FALSE),VLOOKUP(P$1,main!$A$3:$H$102,4,FALSE)+VLOOKUP($A5,main!$A$3:$H$102,4,FALSE)+(VLOOKUP(VLOOKUP(P$1,main!$A$3:$H$102,8,FALSE),main!$K$19:$O$22,MATCH(VLOOKUP($A5,main!$A$3:$H$102,7,FALSE),main!$K$18:$O$18,0),0))),0)</f>
        <v>0</v>
      </c>
      <c r="Q5">
        <f>IF((gamma!Q5),IF(VLOOKUP(Q$1,main!$A$3:$H$102,7,FALSE)=VLOOKUP($A5,main!$A$3:$H$102,8,FALSE),VLOOKUP(Q$1,main!$A$3:$H$102,4,FALSE),VLOOKUP(Q$1,main!$A$3:$H$102,4,FALSE)+VLOOKUP($A5,main!$A$3:$H$102,4,FALSE)+(VLOOKUP(VLOOKUP(Q$1,main!$A$3:$H$102,8,FALSE),main!$K$19:$O$22,MATCH(VLOOKUP($A5,main!$A$3:$H$102,7,FALSE),main!$K$18:$O$18,0),0))),0)</f>
        <v>0</v>
      </c>
      <c r="R5">
        <f>IF((gamma!R5),IF(VLOOKUP(R$1,main!$A$3:$H$102,7,FALSE)=VLOOKUP($A5,main!$A$3:$H$102,8,FALSE),VLOOKUP(R$1,main!$A$3:$H$102,4,FALSE),VLOOKUP(R$1,main!$A$3:$H$102,4,FALSE)+VLOOKUP($A5,main!$A$3:$H$102,4,FALSE)+(VLOOKUP(VLOOKUP(R$1,main!$A$3:$H$102,8,FALSE),main!$K$19:$O$22,MATCH(VLOOKUP($A5,main!$A$3:$H$102,7,FALSE),main!$K$18:$O$18,0),0))),0)</f>
        <v>0</v>
      </c>
      <c r="S5">
        <f>IF((gamma!S5),IF(VLOOKUP(S$1,main!$A$3:$H$102,7,FALSE)=VLOOKUP($A5,main!$A$3:$H$102,8,FALSE),VLOOKUP(S$1,main!$A$3:$H$102,4,FALSE),VLOOKUP(S$1,main!$A$3:$H$102,4,FALSE)+VLOOKUP($A5,main!$A$3:$H$102,4,FALSE)+(VLOOKUP(VLOOKUP(S$1,main!$A$3:$H$102,8,FALSE),main!$K$19:$O$22,MATCH(VLOOKUP($A5,main!$A$3:$H$102,7,FALSE),main!$K$18:$O$18,0),0))),0)</f>
        <v>305</v>
      </c>
      <c r="T5">
        <f>IF((gamma!T5),IF(VLOOKUP(T$1,main!$A$3:$H$102,7,FALSE)=VLOOKUP($A5,main!$A$3:$H$102,8,FALSE),VLOOKUP(T$1,main!$A$3:$H$102,4,FALSE),VLOOKUP(T$1,main!$A$3:$H$102,4,FALSE)+VLOOKUP($A5,main!$A$3:$H$102,4,FALSE)+(VLOOKUP(VLOOKUP(T$1,main!$A$3:$H$102,8,FALSE),main!$K$19:$O$22,MATCH(VLOOKUP($A5,main!$A$3:$H$102,7,FALSE),main!$K$18:$O$18,0),0))),0)</f>
        <v>305</v>
      </c>
      <c r="U5">
        <f>IF((gamma!U5),IF(VLOOKUP(U$1,main!$A$3:$H$102,7,FALSE)=VLOOKUP($A5,main!$A$3:$H$102,8,FALSE),VLOOKUP(U$1,main!$A$3:$H$102,4,FALSE),VLOOKUP(U$1,main!$A$3:$H$102,4,FALSE)+VLOOKUP($A5,main!$A$3:$H$102,4,FALSE)+(VLOOKUP(VLOOKUP(U$1,main!$A$3:$H$102,8,FALSE),main!$K$19:$O$22,MATCH(VLOOKUP($A5,main!$A$3:$H$102,7,FALSE),main!$K$18:$O$18,0),0))),0)</f>
        <v>305</v>
      </c>
      <c r="V5">
        <f>IF((gamma!V5),IF(VLOOKUP(V$1,main!$A$3:$H$102,7,FALSE)=VLOOKUP($A5,main!$A$3:$H$102,8,FALSE),VLOOKUP(V$1,main!$A$3:$H$102,4,FALSE),VLOOKUP(V$1,main!$A$3:$H$102,4,FALSE)+VLOOKUP($A5,main!$A$3:$H$102,4,FALSE)+(VLOOKUP(VLOOKUP(V$1,main!$A$3:$H$102,8,FALSE),main!$K$19:$O$22,MATCH(VLOOKUP($A5,main!$A$3:$H$102,7,FALSE),main!$K$18:$O$18,0),0))),0)</f>
        <v>305</v>
      </c>
      <c r="W5">
        <f>IF((gamma!W5),IF(VLOOKUP(W$1,main!$A$3:$H$102,7,FALSE)=VLOOKUP($A5,main!$A$3:$H$102,8,FALSE),VLOOKUP(W$1,main!$A$3:$H$102,4,FALSE),VLOOKUP(W$1,main!$A$3:$H$102,4,FALSE)+VLOOKUP($A5,main!$A$3:$H$102,4,FALSE)+(VLOOKUP(VLOOKUP(W$1,main!$A$3:$H$102,8,FALSE),main!$K$19:$O$22,MATCH(VLOOKUP($A5,main!$A$3:$H$102,7,FALSE),main!$K$18:$O$18,0),0))),0)</f>
        <v>0</v>
      </c>
      <c r="X5">
        <f>IF((gamma!X5),IF(VLOOKUP(X$1,main!$A$3:$H$102,7,FALSE)=VLOOKUP($A5,main!$A$3:$H$102,8,FALSE),VLOOKUP(X$1,main!$A$3:$H$102,4,FALSE),VLOOKUP(X$1,main!$A$3:$H$102,4,FALSE)+VLOOKUP($A5,main!$A$3:$H$102,4,FALSE)+(VLOOKUP(VLOOKUP(X$1,main!$A$3:$H$102,8,FALSE),main!$K$19:$O$22,MATCH(VLOOKUP($A5,main!$A$3:$H$102,7,FALSE),main!$K$18:$O$18,0),0))),0)</f>
        <v>0</v>
      </c>
      <c r="Y5">
        <f>IF((gamma!Y5),IF(VLOOKUP(Y$1,main!$A$3:$H$102,7,FALSE)=VLOOKUP($A5,main!$A$3:$H$102,8,FALSE),VLOOKUP(Y$1,main!$A$3:$H$102,4,FALSE),VLOOKUP(Y$1,main!$A$3:$H$102,4,FALSE)+VLOOKUP($A5,main!$A$3:$H$102,4,FALSE)+(VLOOKUP(VLOOKUP(Y$1,main!$A$3:$H$102,8,FALSE),main!$K$19:$O$22,MATCH(VLOOKUP($A5,main!$A$3:$H$102,7,FALSE),main!$K$18:$O$18,0),0))),0)</f>
        <v>0</v>
      </c>
      <c r="Z5">
        <f>IF((gamma!Z5),IF(VLOOKUP(Z$1,main!$A$3:$H$102,7,FALSE)=VLOOKUP($A5,main!$A$3:$H$102,8,FALSE),VLOOKUP(Z$1,main!$A$3:$H$102,4,FALSE),VLOOKUP(Z$1,main!$A$3:$H$102,4,FALSE)+VLOOKUP($A5,main!$A$3:$H$102,4,FALSE)+(VLOOKUP(VLOOKUP(Z$1,main!$A$3:$H$102,8,FALSE),main!$K$19:$O$22,MATCH(VLOOKUP($A5,main!$A$3:$H$102,7,FALSE),main!$K$18:$O$18,0),0))),0)</f>
        <v>310</v>
      </c>
      <c r="AA5">
        <f>IF((gamma!AA5),IF(VLOOKUP(AA$1,main!$A$3:$H$102,7,FALSE)=VLOOKUP($A5,main!$A$3:$H$102,8,FALSE),VLOOKUP(AA$1,main!$A$3:$H$102,4,FALSE),VLOOKUP(AA$1,main!$A$3:$H$102,4,FALSE)+VLOOKUP($A5,main!$A$3:$H$102,4,FALSE)+(VLOOKUP(VLOOKUP(AA$1,main!$A$3:$H$102,8,FALSE),main!$K$19:$O$22,MATCH(VLOOKUP($A5,main!$A$3:$H$102,7,FALSE),main!$K$18:$O$18,0),0))),0)</f>
        <v>310</v>
      </c>
      <c r="AB5">
        <f>IF((gamma!AB5),IF(VLOOKUP(AB$1,main!$A$3:$H$102,7,FALSE)=VLOOKUP($A5,main!$A$3:$H$102,8,FALSE),VLOOKUP(AB$1,main!$A$3:$H$102,4,FALSE),VLOOKUP(AB$1,main!$A$3:$H$102,4,FALSE)+VLOOKUP($A5,main!$A$3:$H$102,4,FALSE)+(VLOOKUP(VLOOKUP(AB$1,main!$A$3:$H$102,8,FALSE),main!$K$19:$O$22,MATCH(VLOOKUP($A5,main!$A$3:$H$102,7,FALSE),main!$K$18:$O$18,0),0))),0)</f>
        <v>0</v>
      </c>
      <c r="AC5">
        <f>IF((gamma!AC5),IF(VLOOKUP(AC$1,main!$A$3:$H$102,7,FALSE)=VLOOKUP($A5,main!$A$3:$H$102,8,FALSE),VLOOKUP(AC$1,main!$A$3:$H$102,4,FALSE),VLOOKUP(AC$1,main!$A$3:$H$102,4,FALSE)+VLOOKUP($A5,main!$A$3:$H$102,4,FALSE)+(VLOOKUP(VLOOKUP(AC$1,main!$A$3:$H$102,8,FALSE),main!$K$19:$O$22,MATCH(VLOOKUP($A5,main!$A$3:$H$102,7,FALSE),main!$K$18:$O$18,0),0))),0)</f>
        <v>0</v>
      </c>
      <c r="AD5">
        <f>IF((gamma!AD5),IF(VLOOKUP(AD$1,main!$A$3:$H$102,7,FALSE)=VLOOKUP($A5,main!$A$3:$H$102,8,FALSE),VLOOKUP(AD$1,main!$A$3:$H$102,4,FALSE),VLOOKUP(AD$1,main!$A$3:$H$102,4,FALSE)+VLOOKUP($A5,main!$A$3:$H$102,4,FALSE)+(VLOOKUP(VLOOKUP(AD$1,main!$A$3:$H$102,8,FALSE),main!$K$19:$O$22,MATCH(VLOOKUP($A5,main!$A$3:$H$102,7,FALSE),main!$K$18:$O$18,0),0))),0)</f>
        <v>0</v>
      </c>
      <c r="AE5">
        <f>IF((gamma!AE5),IF(VLOOKUP(AE$1,main!$A$3:$H$102,7,FALSE)=VLOOKUP($A5,main!$A$3:$H$102,8,FALSE),VLOOKUP(AE$1,main!$A$3:$H$102,4,FALSE),VLOOKUP(AE$1,main!$A$3:$H$102,4,FALSE)+VLOOKUP($A5,main!$A$3:$H$102,4,FALSE)+(VLOOKUP(VLOOKUP(AE$1,main!$A$3:$H$102,8,FALSE),main!$K$19:$O$22,MATCH(VLOOKUP($A5,main!$A$3:$H$102,7,FALSE),main!$K$18:$O$18,0),0))),0)</f>
        <v>310</v>
      </c>
      <c r="AF5">
        <f>IF((gamma!AF5),IF(VLOOKUP(AF$1,main!$A$3:$H$102,7,FALSE)=VLOOKUP($A5,main!$A$3:$H$102,8,FALSE),VLOOKUP(AF$1,main!$A$3:$H$102,4,FALSE),VLOOKUP(AF$1,main!$A$3:$H$102,4,FALSE)+VLOOKUP($A5,main!$A$3:$H$102,4,FALSE)+(VLOOKUP(VLOOKUP(AF$1,main!$A$3:$H$102,8,FALSE),main!$K$19:$O$22,MATCH(VLOOKUP($A5,main!$A$3:$H$102,7,FALSE),main!$K$18:$O$18,0),0))),0)</f>
        <v>270</v>
      </c>
      <c r="AG5">
        <f>IF((gamma!AG5),IF(VLOOKUP(AG$1,main!$A$3:$H$102,7,FALSE)=VLOOKUP($A5,main!$A$3:$H$102,8,FALSE),VLOOKUP(AG$1,main!$A$3:$H$102,4,FALSE),VLOOKUP(AG$1,main!$A$3:$H$102,4,FALSE)+VLOOKUP($A5,main!$A$3:$H$102,4,FALSE)+(VLOOKUP(VLOOKUP(AG$1,main!$A$3:$H$102,8,FALSE),main!$K$19:$O$22,MATCH(VLOOKUP($A5,main!$A$3:$H$102,7,FALSE),main!$K$18:$O$18,0),0))),0)</f>
        <v>0</v>
      </c>
      <c r="AH5">
        <f>IF((gamma!AH5),IF(VLOOKUP(AH$1,main!$A$3:$H$102,7,FALSE)=VLOOKUP($A5,main!$A$3:$H$102,8,FALSE),VLOOKUP(AH$1,main!$A$3:$H$102,4,FALSE),VLOOKUP(AH$1,main!$A$3:$H$102,4,FALSE)+VLOOKUP($A5,main!$A$3:$H$102,4,FALSE)+(VLOOKUP(VLOOKUP(AH$1,main!$A$3:$H$102,8,FALSE),main!$K$19:$O$22,MATCH(VLOOKUP($A5,main!$A$3:$H$102,7,FALSE),main!$K$18:$O$18,0),0))),0)</f>
        <v>0</v>
      </c>
      <c r="AI5">
        <f>IF((gamma!AI5),IF(VLOOKUP(AI$1,main!$A$3:$H$102,7,FALSE)=VLOOKUP($A5,main!$A$3:$H$102,8,FALSE),VLOOKUP(AI$1,main!$A$3:$H$102,4,FALSE),VLOOKUP(AI$1,main!$A$3:$H$102,4,FALSE)+VLOOKUP($A5,main!$A$3:$H$102,4,FALSE)+(VLOOKUP(VLOOKUP(AI$1,main!$A$3:$H$102,8,FALSE),main!$K$19:$O$22,MATCH(VLOOKUP($A5,main!$A$3:$H$102,7,FALSE),main!$K$18:$O$18,0),0))),0)</f>
        <v>0</v>
      </c>
      <c r="AJ5">
        <f>IF((gamma!AJ5),IF(VLOOKUP(AJ$1,main!$A$3:$H$102,7,FALSE)=VLOOKUP($A5,main!$A$3:$H$102,8,FALSE),VLOOKUP(AJ$1,main!$A$3:$H$102,4,FALSE),VLOOKUP(AJ$1,main!$A$3:$H$102,4,FALSE)+VLOOKUP($A5,main!$A$3:$H$102,4,FALSE)+(VLOOKUP(VLOOKUP(AJ$1,main!$A$3:$H$102,8,FALSE),main!$K$19:$O$22,MATCH(VLOOKUP($A5,main!$A$3:$H$102,7,FALSE),main!$K$18:$O$18,0),0))),0)</f>
        <v>0</v>
      </c>
      <c r="AK5">
        <f>IF((gamma!AK5),IF(VLOOKUP(AK$1,main!$A$3:$H$102,7,FALSE)=VLOOKUP($A5,main!$A$3:$H$102,8,FALSE),VLOOKUP(AK$1,main!$A$3:$H$102,4,FALSE),VLOOKUP(AK$1,main!$A$3:$H$102,4,FALSE)+VLOOKUP($A5,main!$A$3:$H$102,4,FALSE)+(VLOOKUP(VLOOKUP(AK$1,main!$A$3:$H$102,8,FALSE),main!$K$19:$O$22,MATCH(VLOOKUP($A5,main!$A$3:$H$102,7,FALSE),main!$K$18:$O$18,0),0))),0)</f>
        <v>135</v>
      </c>
      <c r="AL5">
        <f>IF((gamma!AL5),IF(VLOOKUP(AL$1,main!$A$3:$H$102,7,FALSE)=VLOOKUP($A5,main!$A$3:$H$102,8,FALSE),VLOOKUP(AL$1,main!$A$3:$H$102,4,FALSE),VLOOKUP(AL$1,main!$A$3:$H$102,4,FALSE)+VLOOKUP($A5,main!$A$3:$H$102,4,FALSE)+(VLOOKUP(VLOOKUP(AL$1,main!$A$3:$H$102,8,FALSE),main!$K$19:$O$22,MATCH(VLOOKUP($A5,main!$A$3:$H$102,7,FALSE),main!$K$18:$O$18,0),0))),0)</f>
        <v>135</v>
      </c>
      <c r="AM5">
        <f>IF((gamma!AM5),IF(VLOOKUP(AM$1,main!$A$3:$H$102,7,FALSE)=VLOOKUP($A5,main!$A$3:$H$102,8,FALSE),VLOOKUP(AM$1,main!$A$3:$H$102,4,FALSE),VLOOKUP(AM$1,main!$A$3:$H$102,4,FALSE)+VLOOKUP($A5,main!$A$3:$H$102,4,FALSE)+(VLOOKUP(VLOOKUP(AM$1,main!$A$3:$H$102,8,FALSE),main!$K$19:$O$22,MATCH(VLOOKUP($A5,main!$A$3:$H$102,7,FALSE),main!$K$18:$O$18,0),0))),0)</f>
        <v>135</v>
      </c>
      <c r="AN5">
        <f>IF((gamma!AN5),IF(VLOOKUP(AN$1,main!$A$3:$H$102,7,FALSE)=VLOOKUP($A5,main!$A$3:$H$102,8,FALSE),VLOOKUP(AN$1,main!$A$3:$H$102,4,FALSE),VLOOKUP(AN$1,main!$A$3:$H$102,4,FALSE)+VLOOKUP($A5,main!$A$3:$H$102,4,FALSE)+(VLOOKUP(VLOOKUP(AN$1,main!$A$3:$H$102,8,FALSE),main!$K$19:$O$22,MATCH(VLOOKUP($A5,main!$A$3:$H$102,7,FALSE),main!$K$18:$O$18,0),0))),0)</f>
        <v>135</v>
      </c>
      <c r="AO5">
        <f>IF((gamma!AO5),IF(VLOOKUP(AO$1,main!$A$3:$H$102,7,FALSE)=VLOOKUP($A5,main!$A$3:$H$102,8,FALSE),VLOOKUP(AO$1,main!$A$3:$H$102,4,FALSE),VLOOKUP(AO$1,main!$A$3:$H$102,4,FALSE)+VLOOKUP($A5,main!$A$3:$H$102,4,FALSE)+(VLOOKUP(VLOOKUP(AO$1,main!$A$3:$H$102,8,FALSE),main!$K$19:$O$22,MATCH(VLOOKUP($A5,main!$A$3:$H$102,7,FALSE),main!$K$18:$O$18,0),0))),0)</f>
        <v>0</v>
      </c>
      <c r="AP5">
        <f>IF((gamma!AP5),IF(VLOOKUP(AP$1,main!$A$3:$H$102,7,FALSE)=VLOOKUP($A5,main!$A$3:$H$102,8,FALSE),VLOOKUP(AP$1,main!$A$3:$H$102,4,FALSE),VLOOKUP(AP$1,main!$A$3:$H$102,4,FALSE)+VLOOKUP($A5,main!$A$3:$H$102,4,FALSE)+(VLOOKUP(VLOOKUP(AP$1,main!$A$3:$H$102,8,FALSE),main!$K$19:$O$22,MATCH(VLOOKUP($A5,main!$A$3:$H$102,7,FALSE),main!$K$18:$O$18,0),0))),0)</f>
        <v>75</v>
      </c>
      <c r="AQ5">
        <f>IF((gamma!AQ5),IF(VLOOKUP(AQ$1,main!$A$3:$H$102,7,FALSE)=VLOOKUP($A5,main!$A$3:$H$102,8,FALSE),VLOOKUP(AQ$1,main!$A$3:$H$102,4,FALSE),VLOOKUP(AQ$1,main!$A$3:$H$102,4,FALSE)+VLOOKUP($A5,main!$A$3:$H$102,4,FALSE)+(VLOOKUP(VLOOKUP(AQ$1,main!$A$3:$H$102,8,FALSE),main!$K$19:$O$22,MATCH(VLOOKUP($A5,main!$A$3:$H$102,7,FALSE),main!$K$18:$O$18,0),0))),0)</f>
        <v>0</v>
      </c>
      <c r="AR5">
        <f>IF((gamma!AR5),IF(VLOOKUP(AR$1,main!$A$3:$H$102,7,FALSE)=VLOOKUP($A5,main!$A$3:$H$102,8,FALSE),VLOOKUP(AR$1,main!$A$3:$H$102,4,FALSE),VLOOKUP(AR$1,main!$A$3:$H$102,4,FALSE)+VLOOKUP($A5,main!$A$3:$H$102,4,FALSE)+(VLOOKUP(VLOOKUP(AR$1,main!$A$3:$H$102,8,FALSE),main!$K$19:$O$22,MATCH(VLOOKUP($A5,main!$A$3:$H$102,7,FALSE),main!$K$18:$O$18,0),0))),0)</f>
        <v>0</v>
      </c>
      <c r="AS5">
        <f>IF((gamma!AS5),IF(VLOOKUP(AS$1,main!$A$3:$H$102,7,FALSE)=VLOOKUP($A5,main!$A$3:$H$102,8,FALSE),VLOOKUP(AS$1,main!$A$3:$H$102,4,FALSE),VLOOKUP(AS$1,main!$A$3:$H$102,4,FALSE)+VLOOKUP($A5,main!$A$3:$H$102,4,FALSE)+(VLOOKUP(VLOOKUP(AS$1,main!$A$3:$H$102,8,FALSE),main!$K$19:$O$22,MATCH(VLOOKUP($A5,main!$A$3:$H$102,7,FALSE),main!$K$18:$O$18,0),0))),0)</f>
        <v>0</v>
      </c>
      <c r="AT5">
        <f>IF((gamma!AT5),IF(VLOOKUP(AT$1,main!$A$3:$H$102,7,FALSE)=VLOOKUP($A5,main!$A$3:$H$102,8,FALSE),VLOOKUP(AT$1,main!$A$3:$H$102,4,FALSE),VLOOKUP(AT$1,main!$A$3:$H$102,4,FALSE)+VLOOKUP($A5,main!$A$3:$H$102,4,FALSE)+(VLOOKUP(VLOOKUP(AT$1,main!$A$3:$H$102,8,FALSE),main!$K$19:$O$22,MATCH(VLOOKUP($A5,main!$A$3:$H$102,7,FALSE),main!$K$18:$O$18,0),0))),0)</f>
        <v>130</v>
      </c>
      <c r="AU5">
        <f>IF((gamma!AU5),IF(VLOOKUP(AU$1,main!$A$3:$H$102,7,FALSE)=VLOOKUP($A5,main!$A$3:$H$102,8,FALSE),VLOOKUP(AU$1,main!$A$3:$H$102,4,FALSE),VLOOKUP(AU$1,main!$A$3:$H$102,4,FALSE)+VLOOKUP($A5,main!$A$3:$H$102,4,FALSE)+(VLOOKUP(VLOOKUP(AU$1,main!$A$3:$H$102,8,FALSE),main!$K$19:$O$22,MATCH(VLOOKUP($A5,main!$A$3:$H$102,7,FALSE),main!$K$18:$O$18,0),0))),0)</f>
        <v>0</v>
      </c>
      <c r="AV5">
        <f>IF((gamma!AV5),IF(VLOOKUP(AV$1,main!$A$3:$H$102,7,FALSE)=VLOOKUP($A5,main!$A$3:$H$102,8,FALSE),VLOOKUP(AV$1,main!$A$3:$H$102,4,FALSE),VLOOKUP(AV$1,main!$A$3:$H$102,4,FALSE)+VLOOKUP($A5,main!$A$3:$H$102,4,FALSE)+(VLOOKUP(VLOOKUP(AV$1,main!$A$3:$H$102,8,FALSE),main!$K$19:$O$22,MATCH(VLOOKUP($A5,main!$A$3:$H$102,7,FALSE),main!$K$18:$O$18,0),0))),0)</f>
        <v>0</v>
      </c>
      <c r="AW5">
        <f>IF((gamma!AW5),IF(VLOOKUP(AW$1,main!$A$3:$H$102,7,FALSE)=VLOOKUP($A5,main!$A$3:$H$102,8,FALSE),VLOOKUP(AW$1,main!$A$3:$H$102,4,FALSE),VLOOKUP(AW$1,main!$A$3:$H$102,4,FALSE)+VLOOKUP($A5,main!$A$3:$H$102,4,FALSE)+(VLOOKUP(VLOOKUP(AW$1,main!$A$3:$H$102,8,FALSE),main!$K$19:$O$22,MATCH(VLOOKUP($A5,main!$A$3:$H$102,7,FALSE),main!$K$18:$O$18,0),0))),0)</f>
        <v>120</v>
      </c>
      <c r="AX5">
        <f>IF((gamma!AX5),IF(VLOOKUP(AX$1,main!$A$3:$H$102,7,FALSE)=VLOOKUP($A5,main!$A$3:$H$102,8,FALSE),VLOOKUP(AX$1,main!$A$3:$H$102,4,FALSE),VLOOKUP(AX$1,main!$A$3:$H$102,4,FALSE)+VLOOKUP($A5,main!$A$3:$H$102,4,FALSE)+(VLOOKUP(VLOOKUP(AX$1,main!$A$3:$H$102,8,FALSE),main!$K$19:$O$22,MATCH(VLOOKUP($A5,main!$A$3:$H$102,7,FALSE),main!$K$18:$O$18,0),0))),0)</f>
        <v>0</v>
      </c>
      <c r="AY5">
        <f>IF((gamma!AY5),IF(VLOOKUP(AY$1,main!$A$3:$H$102,7,FALSE)=VLOOKUP($A5,main!$A$3:$H$102,8,FALSE),VLOOKUP(AY$1,main!$A$3:$H$102,4,FALSE),VLOOKUP(AY$1,main!$A$3:$H$102,4,FALSE)+VLOOKUP($A5,main!$A$3:$H$102,4,FALSE)+(VLOOKUP(VLOOKUP(AY$1,main!$A$3:$H$102,8,FALSE),main!$K$19:$O$22,MATCH(VLOOKUP($A5,main!$A$3:$H$102,7,FALSE),main!$K$18:$O$18,0),0))),0)</f>
        <v>0</v>
      </c>
      <c r="AZ5">
        <f>IF((gamma!AZ5),IF(VLOOKUP(AZ$1,main!$A$3:$H$102,7,FALSE)=VLOOKUP($A5,main!$A$3:$H$102,8,FALSE),VLOOKUP(AZ$1,main!$A$3:$H$102,4,FALSE),VLOOKUP(AZ$1,main!$A$3:$H$102,4,FALSE)+VLOOKUP($A5,main!$A$3:$H$102,4,FALSE)+(VLOOKUP(VLOOKUP(AZ$1,main!$A$3:$H$102,8,FALSE),main!$K$19:$O$22,MATCH(VLOOKUP($A5,main!$A$3:$H$102,7,FALSE),main!$K$18:$O$18,0),0))),0)</f>
        <v>0</v>
      </c>
      <c r="BA5">
        <f>IF((gamma!BA5),IF(VLOOKUP(BA$1,main!$A$3:$H$102,7,FALSE)=VLOOKUP($A5,main!$A$3:$H$102,8,FALSE),VLOOKUP(BA$1,main!$A$3:$H$102,4,FALSE),VLOOKUP(BA$1,main!$A$3:$H$102,4,FALSE)+VLOOKUP($A5,main!$A$3:$H$102,4,FALSE)+(VLOOKUP(VLOOKUP(BA$1,main!$A$3:$H$102,8,FALSE),main!$K$19:$O$22,MATCH(VLOOKUP($A5,main!$A$3:$H$102,7,FALSE),main!$K$18:$O$18,0),0))),0)</f>
        <v>0</v>
      </c>
      <c r="BB5">
        <f>IF((gamma!BB5),IF(VLOOKUP(BB$1,main!$A$3:$H$102,7,FALSE)=VLOOKUP($A5,main!$A$3:$H$102,8,FALSE),VLOOKUP(BB$1,main!$A$3:$H$102,4,FALSE),VLOOKUP(BB$1,main!$A$3:$H$102,4,FALSE)+VLOOKUP($A5,main!$A$3:$H$102,4,FALSE)+(VLOOKUP(VLOOKUP(BB$1,main!$A$3:$H$102,8,FALSE),main!$K$19:$O$22,MATCH(VLOOKUP($A5,main!$A$3:$H$102,7,FALSE),main!$K$18:$O$18,0),0))),0)</f>
        <v>0</v>
      </c>
      <c r="BC5">
        <f>IF((gamma!BC5),IF(VLOOKUP(BC$1,main!$A$3:$H$102,7,FALSE)=VLOOKUP($A5,main!$A$3:$H$102,8,FALSE),VLOOKUP(BC$1,main!$A$3:$H$102,4,FALSE),VLOOKUP(BC$1,main!$A$3:$H$102,4,FALSE)+VLOOKUP($A5,main!$A$3:$H$102,4,FALSE)+(VLOOKUP(VLOOKUP(BC$1,main!$A$3:$H$102,8,FALSE),main!$K$19:$O$22,MATCH(VLOOKUP($A5,main!$A$3:$H$102,7,FALSE),main!$K$18:$O$18,0),0))),0)</f>
        <v>0</v>
      </c>
      <c r="BD5">
        <f>IF((gamma!BD5),IF(VLOOKUP(BD$1,main!$A$3:$H$102,7,FALSE)=VLOOKUP($A5,main!$A$3:$H$102,8,FALSE),VLOOKUP(BD$1,main!$A$3:$H$102,4,FALSE),VLOOKUP(BD$1,main!$A$3:$H$102,4,FALSE)+VLOOKUP($A5,main!$A$3:$H$102,4,FALSE)+(VLOOKUP(VLOOKUP(BD$1,main!$A$3:$H$102,8,FALSE),main!$K$19:$O$22,MATCH(VLOOKUP($A5,main!$A$3:$H$102,7,FALSE),main!$K$18:$O$18,0),0))),0)</f>
        <v>275</v>
      </c>
      <c r="BE5">
        <f>IF((gamma!BE5),IF(VLOOKUP(BE$1,main!$A$3:$H$102,7,FALSE)=VLOOKUP($A5,main!$A$3:$H$102,8,FALSE),VLOOKUP(BE$1,main!$A$3:$H$102,4,FALSE),VLOOKUP(BE$1,main!$A$3:$H$102,4,FALSE)+VLOOKUP($A5,main!$A$3:$H$102,4,FALSE)+(VLOOKUP(VLOOKUP(BE$1,main!$A$3:$H$102,8,FALSE),main!$K$19:$O$22,MATCH(VLOOKUP($A5,main!$A$3:$H$102,7,FALSE),main!$K$18:$O$18,0),0))),0)</f>
        <v>275</v>
      </c>
      <c r="BF5">
        <f>IF((gamma!BF5),IF(VLOOKUP(BF$1,main!$A$3:$H$102,7,FALSE)=VLOOKUP($A5,main!$A$3:$H$102,8,FALSE),VLOOKUP(BF$1,main!$A$3:$H$102,4,FALSE),VLOOKUP(BF$1,main!$A$3:$H$102,4,FALSE)+VLOOKUP($A5,main!$A$3:$H$102,4,FALSE)+(VLOOKUP(VLOOKUP(BF$1,main!$A$3:$H$102,8,FALSE),main!$K$19:$O$22,MATCH(VLOOKUP($A5,main!$A$3:$H$102,7,FALSE),main!$K$18:$O$18,0),0))),0)</f>
        <v>0</v>
      </c>
      <c r="BG5">
        <f>IF((gamma!BG5),IF(VLOOKUP(BG$1,main!$A$3:$H$102,7,FALSE)=VLOOKUP($A5,main!$A$3:$H$102,8,FALSE),VLOOKUP(BG$1,main!$A$3:$H$102,4,FALSE),VLOOKUP(BG$1,main!$A$3:$H$102,4,FALSE)+VLOOKUP($A5,main!$A$3:$H$102,4,FALSE)+(VLOOKUP(VLOOKUP(BG$1,main!$A$3:$H$102,8,FALSE),main!$K$19:$O$22,MATCH(VLOOKUP($A5,main!$A$3:$H$102,7,FALSE),main!$K$18:$O$18,0),0))),0)</f>
        <v>0</v>
      </c>
      <c r="BH5">
        <f>IF((gamma!BH5),IF(VLOOKUP(BH$1,main!$A$3:$H$102,7,FALSE)=VLOOKUP($A5,main!$A$3:$H$102,8,FALSE),VLOOKUP(BH$1,main!$A$3:$H$102,4,FALSE),VLOOKUP(BH$1,main!$A$3:$H$102,4,FALSE)+VLOOKUP($A5,main!$A$3:$H$102,4,FALSE)+(VLOOKUP(VLOOKUP(BH$1,main!$A$3:$H$102,8,FALSE),main!$K$19:$O$22,MATCH(VLOOKUP($A5,main!$A$3:$H$102,7,FALSE),main!$K$18:$O$18,0),0))),0)</f>
        <v>0</v>
      </c>
      <c r="BI5">
        <f>IF((gamma!BI5),IF(VLOOKUP(BI$1,main!$A$3:$H$102,7,FALSE)=VLOOKUP($A5,main!$A$3:$H$102,8,FALSE),VLOOKUP(BI$1,main!$A$3:$H$102,4,FALSE),VLOOKUP(BI$1,main!$A$3:$H$102,4,FALSE)+VLOOKUP($A5,main!$A$3:$H$102,4,FALSE)+(VLOOKUP(VLOOKUP(BI$1,main!$A$3:$H$102,8,FALSE),main!$K$19:$O$22,MATCH(VLOOKUP($A5,main!$A$3:$H$102,7,FALSE),main!$K$18:$O$18,0),0))),0)</f>
        <v>195</v>
      </c>
      <c r="BJ5">
        <f>IF((gamma!BJ5),IF(VLOOKUP(BJ$1,main!$A$3:$H$102,7,FALSE)=VLOOKUP($A5,main!$A$3:$H$102,8,FALSE),VLOOKUP(BJ$1,main!$A$3:$H$102,4,FALSE),VLOOKUP(BJ$1,main!$A$3:$H$102,4,FALSE)+VLOOKUP($A5,main!$A$3:$H$102,4,FALSE)+(VLOOKUP(VLOOKUP(BJ$1,main!$A$3:$H$102,8,FALSE),main!$K$19:$O$22,MATCH(VLOOKUP($A5,main!$A$3:$H$102,7,FALSE),main!$K$18:$O$18,0),0))),0)</f>
        <v>225</v>
      </c>
      <c r="BK5">
        <f>IF((gamma!BK5),IF(VLOOKUP(BK$1,main!$A$3:$H$102,7,FALSE)=VLOOKUP($A5,main!$A$3:$H$102,8,FALSE),VLOOKUP(BK$1,main!$A$3:$H$102,4,FALSE),VLOOKUP(BK$1,main!$A$3:$H$102,4,FALSE)+VLOOKUP($A5,main!$A$3:$H$102,4,FALSE)+(VLOOKUP(VLOOKUP(BK$1,main!$A$3:$H$102,8,FALSE),main!$K$19:$O$22,MATCH(VLOOKUP($A5,main!$A$3:$H$102,7,FALSE),main!$K$18:$O$18,0),0))),0)</f>
        <v>0</v>
      </c>
      <c r="BL5">
        <f>IF((gamma!BL5),IF(VLOOKUP(BL$1,main!$A$3:$H$102,7,FALSE)=VLOOKUP($A5,main!$A$3:$H$102,8,FALSE),VLOOKUP(BL$1,main!$A$3:$H$102,4,FALSE),VLOOKUP(BL$1,main!$A$3:$H$102,4,FALSE)+VLOOKUP($A5,main!$A$3:$H$102,4,FALSE)+(VLOOKUP(VLOOKUP(BL$1,main!$A$3:$H$102,8,FALSE),main!$K$19:$O$22,MATCH(VLOOKUP($A5,main!$A$3:$H$102,7,FALSE),main!$K$18:$O$18,0),0))),0)</f>
        <v>0</v>
      </c>
      <c r="BM5">
        <f>IF((gamma!BM5),IF(VLOOKUP(BM$1,main!$A$3:$H$102,7,FALSE)=VLOOKUP($A5,main!$A$3:$H$102,8,FALSE),VLOOKUP(BM$1,main!$A$3:$H$102,4,FALSE),VLOOKUP(BM$1,main!$A$3:$H$102,4,FALSE)+VLOOKUP($A5,main!$A$3:$H$102,4,FALSE)+(VLOOKUP(VLOOKUP(BM$1,main!$A$3:$H$102,8,FALSE),main!$K$19:$O$22,MATCH(VLOOKUP($A5,main!$A$3:$H$102,7,FALSE),main!$K$18:$O$18,0),0))),0)</f>
        <v>0</v>
      </c>
      <c r="BN5">
        <f>IF((gamma!BN5),IF(VLOOKUP(BN$1,main!$A$3:$H$102,7,FALSE)=VLOOKUP($A5,main!$A$3:$H$102,8,FALSE),VLOOKUP(BN$1,main!$A$3:$H$102,4,FALSE),VLOOKUP(BN$1,main!$A$3:$H$102,4,FALSE)+VLOOKUP($A5,main!$A$3:$H$102,4,FALSE)+(VLOOKUP(VLOOKUP(BN$1,main!$A$3:$H$102,8,FALSE),main!$K$19:$O$22,MATCH(VLOOKUP($A5,main!$A$3:$H$102,7,FALSE),main!$K$18:$O$18,0),0))),0)</f>
        <v>280</v>
      </c>
      <c r="BO5">
        <f>IF((gamma!BO5),IF(VLOOKUP(BO$1,main!$A$3:$H$102,7,FALSE)=VLOOKUP($A5,main!$A$3:$H$102,8,FALSE),VLOOKUP(BO$1,main!$A$3:$H$102,4,FALSE),VLOOKUP(BO$1,main!$A$3:$H$102,4,FALSE)+VLOOKUP($A5,main!$A$3:$H$102,4,FALSE)+(VLOOKUP(VLOOKUP(BO$1,main!$A$3:$H$102,8,FALSE),main!$K$19:$O$22,MATCH(VLOOKUP($A5,main!$A$3:$H$102,7,FALSE),main!$K$18:$O$18,0),0))),0)</f>
        <v>0</v>
      </c>
      <c r="BP5">
        <f>IF((gamma!BP5),IF(VLOOKUP(BP$1,main!$A$3:$H$102,7,FALSE)=VLOOKUP($A5,main!$A$3:$H$102,8,FALSE),VLOOKUP(BP$1,main!$A$3:$H$102,4,FALSE),VLOOKUP(BP$1,main!$A$3:$H$102,4,FALSE)+VLOOKUP($A5,main!$A$3:$H$102,4,FALSE)+(VLOOKUP(VLOOKUP(BP$1,main!$A$3:$H$102,8,FALSE),main!$K$19:$O$22,MATCH(VLOOKUP($A5,main!$A$3:$H$102,7,FALSE),main!$K$18:$O$18,0),0))),0)</f>
        <v>0</v>
      </c>
      <c r="BQ5">
        <f>IF((gamma!BQ5),IF(VLOOKUP(BQ$1,main!$A$3:$H$102,7,FALSE)=VLOOKUP($A5,main!$A$3:$H$102,8,FALSE),VLOOKUP(BQ$1,main!$A$3:$H$102,4,FALSE),VLOOKUP(BQ$1,main!$A$3:$H$102,4,FALSE)+VLOOKUP($A5,main!$A$3:$H$102,4,FALSE)+(VLOOKUP(VLOOKUP(BQ$1,main!$A$3:$H$102,8,FALSE),main!$K$19:$O$22,MATCH(VLOOKUP($A5,main!$A$3:$H$102,7,FALSE),main!$K$18:$O$18,0),0))),0)</f>
        <v>0</v>
      </c>
      <c r="BR5">
        <f>IF((gamma!BR5),IF(VLOOKUP(BR$1,main!$A$3:$H$102,7,FALSE)=VLOOKUP($A5,main!$A$3:$H$102,8,FALSE),VLOOKUP(BR$1,main!$A$3:$H$102,4,FALSE),VLOOKUP(BR$1,main!$A$3:$H$102,4,FALSE)+VLOOKUP($A5,main!$A$3:$H$102,4,FALSE)+(VLOOKUP(VLOOKUP(BR$1,main!$A$3:$H$102,8,FALSE),main!$K$19:$O$22,MATCH(VLOOKUP($A5,main!$A$3:$H$102,7,FALSE),main!$K$18:$O$18,0),0))),0)</f>
        <v>0</v>
      </c>
      <c r="BS5">
        <f>IF((gamma!BS5),IF(VLOOKUP(BS$1,main!$A$3:$H$102,7,FALSE)=VLOOKUP($A5,main!$A$3:$H$102,8,FALSE),VLOOKUP(BS$1,main!$A$3:$H$102,4,FALSE),VLOOKUP(BS$1,main!$A$3:$H$102,4,FALSE)+VLOOKUP($A5,main!$A$3:$H$102,4,FALSE)+(VLOOKUP(VLOOKUP(BS$1,main!$A$3:$H$102,8,FALSE),main!$K$19:$O$22,MATCH(VLOOKUP($A5,main!$A$3:$H$102,7,FALSE),main!$K$18:$O$18,0),0))),0)</f>
        <v>0</v>
      </c>
      <c r="BT5">
        <f>IF((gamma!BT5),IF(VLOOKUP(BT$1,main!$A$3:$H$102,7,FALSE)=VLOOKUP($A5,main!$A$3:$H$102,8,FALSE),VLOOKUP(BT$1,main!$A$3:$H$102,4,FALSE),VLOOKUP(BT$1,main!$A$3:$H$102,4,FALSE)+VLOOKUP($A5,main!$A$3:$H$102,4,FALSE)+(VLOOKUP(VLOOKUP(BT$1,main!$A$3:$H$102,8,FALSE),main!$K$19:$O$22,MATCH(VLOOKUP($A5,main!$A$3:$H$102,7,FALSE),main!$K$18:$O$18,0),0))),0)</f>
        <v>0</v>
      </c>
      <c r="BU5">
        <f>IF((gamma!BU5),IF(VLOOKUP(BU$1,main!$A$3:$H$102,7,FALSE)=VLOOKUP($A5,main!$A$3:$H$102,8,FALSE),VLOOKUP(BU$1,main!$A$3:$H$102,4,FALSE),VLOOKUP(BU$1,main!$A$3:$H$102,4,FALSE)+VLOOKUP($A5,main!$A$3:$H$102,4,FALSE)+(VLOOKUP(VLOOKUP(BU$1,main!$A$3:$H$102,8,FALSE),main!$K$19:$O$22,MATCH(VLOOKUP($A5,main!$A$3:$H$102,7,FALSE),main!$K$18:$O$18,0),0))),0)</f>
        <v>0</v>
      </c>
      <c r="BV5">
        <f>IF((gamma!BV5),IF(VLOOKUP(BV$1,main!$A$3:$H$102,7,FALSE)=VLOOKUP($A5,main!$A$3:$H$102,8,FALSE),VLOOKUP(BV$1,main!$A$3:$H$102,4,FALSE),VLOOKUP(BV$1,main!$A$3:$H$102,4,FALSE)+VLOOKUP($A5,main!$A$3:$H$102,4,FALSE)+(VLOOKUP(VLOOKUP(BV$1,main!$A$3:$H$102,8,FALSE),main!$K$19:$O$22,MATCH(VLOOKUP($A5,main!$A$3:$H$102,7,FALSE),main!$K$18:$O$18,0),0))),0)</f>
        <v>0</v>
      </c>
      <c r="BW5">
        <f>IF((gamma!BW5),IF(VLOOKUP(BW$1,main!$A$3:$H$102,7,FALSE)=VLOOKUP($A5,main!$A$3:$H$102,8,FALSE),VLOOKUP(BW$1,main!$A$3:$H$102,4,FALSE),VLOOKUP(BW$1,main!$A$3:$H$102,4,FALSE)+VLOOKUP($A5,main!$A$3:$H$102,4,FALSE)+(VLOOKUP(VLOOKUP(BW$1,main!$A$3:$H$102,8,FALSE),main!$K$19:$O$22,MATCH(VLOOKUP($A5,main!$A$3:$H$102,7,FALSE),main!$K$18:$O$18,0),0))),0)</f>
        <v>0</v>
      </c>
      <c r="BX5">
        <f>IF((gamma!BX5),IF(VLOOKUP(BX$1,main!$A$3:$H$102,7,FALSE)=VLOOKUP($A5,main!$A$3:$H$102,8,FALSE),VLOOKUP(BX$1,main!$A$3:$H$102,4,FALSE),VLOOKUP(BX$1,main!$A$3:$H$102,4,FALSE)+VLOOKUP($A5,main!$A$3:$H$102,4,FALSE)+(VLOOKUP(VLOOKUP(BX$1,main!$A$3:$H$102,8,FALSE),main!$K$19:$O$22,MATCH(VLOOKUP($A5,main!$A$3:$H$102,7,FALSE),main!$K$18:$O$18,0),0))),0)</f>
        <v>0</v>
      </c>
      <c r="BY5">
        <f>IF((gamma!BY5),IF(VLOOKUP(BY$1,main!$A$3:$H$102,7,FALSE)=VLOOKUP($A5,main!$A$3:$H$102,8,FALSE),VLOOKUP(BY$1,main!$A$3:$H$102,4,FALSE),VLOOKUP(BY$1,main!$A$3:$H$102,4,FALSE)+VLOOKUP($A5,main!$A$3:$H$102,4,FALSE)+(VLOOKUP(VLOOKUP(BY$1,main!$A$3:$H$102,8,FALSE),main!$K$19:$O$22,MATCH(VLOOKUP($A5,main!$A$3:$H$102,7,FALSE),main!$K$18:$O$18,0),0))),0)</f>
        <v>0</v>
      </c>
      <c r="BZ5">
        <f>IF((gamma!BZ5),IF(VLOOKUP(BZ$1,main!$A$3:$H$102,7,FALSE)=VLOOKUP($A5,main!$A$3:$H$102,8,FALSE),VLOOKUP(BZ$1,main!$A$3:$H$102,4,FALSE),VLOOKUP(BZ$1,main!$A$3:$H$102,4,FALSE)+VLOOKUP($A5,main!$A$3:$H$102,4,FALSE)+(VLOOKUP(VLOOKUP(BZ$1,main!$A$3:$H$102,8,FALSE),main!$K$19:$O$22,MATCH(VLOOKUP($A5,main!$A$3:$H$102,7,FALSE),main!$K$18:$O$18,0),0))),0)</f>
        <v>0</v>
      </c>
      <c r="CA5">
        <f>IF((gamma!CA5),IF(VLOOKUP(CA$1,main!$A$3:$H$102,7,FALSE)=VLOOKUP($A5,main!$A$3:$H$102,8,FALSE),VLOOKUP(CA$1,main!$A$3:$H$102,4,FALSE),VLOOKUP(CA$1,main!$A$3:$H$102,4,FALSE)+VLOOKUP($A5,main!$A$3:$H$102,4,FALSE)+(VLOOKUP(VLOOKUP(CA$1,main!$A$3:$H$102,8,FALSE),main!$K$19:$O$22,MATCH(VLOOKUP($A5,main!$A$3:$H$102,7,FALSE),main!$K$18:$O$18,0),0))),0)</f>
        <v>0</v>
      </c>
      <c r="CB5">
        <f>IF((gamma!CB5),IF(VLOOKUP(CB$1,main!$A$3:$H$102,7,FALSE)=VLOOKUP($A5,main!$A$3:$H$102,8,FALSE),VLOOKUP(CB$1,main!$A$3:$H$102,4,FALSE),VLOOKUP(CB$1,main!$A$3:$H$102,4,FALSE)+VLOOKUP($A5,main!$A$3:$H$102,4,FALSE)+(VLOOKUP(VLOOKUP(CB$1,main!$A$3:$H$102,8,FALSE),main!$K$19:$O$22,MATCH(VLOOKUP($A5,main!$A$3:$H$102,7,FALSE),main!$K$18:$O$18,0),0))),0)</f>
        <v>235</v>
      </c>
      <c r="CC5">
        <f>IF((gamma!CC5),IF(VLOOKUP(CC$1,main!$A$3:$H$102,7,FALSE)=VLOOKUP($A5,main!$A$3:$H$102,8,FALSE),VLOOKUP(CC$1,main!$A$3:$H$102,4,FALSE),VLOOKUP(CC$1,main!$A$3:$H$102,4,FALSE)+VLOOKUP($A5,main!$A$3:$H$102,4,FALSE)+(VLOOKUP(VLOOKUP(CC$1,main!$A$3:$H$102,8,FALSE),main!$K$19:$O$22,MATCH(VLOOKUP($A5,main!$A$3:$H$102,7,FALSE),main!$K$18:$O$18,0),0))),0)</f>
        <v>225</v>
      </c>
      <c r="CD5">
        <f>IF((gamma!CD5),IF(VLOOKUP(CD$1,main!$A$3:$H$102,7,FALSE)=VLOOKUP($A5,main!$A$3:$H$102,8,FALSE),VLOOKUP(CD$1,main!$A$3:$H$102,4,FALSE),VLOOKUP(CD$1,main!$A$3:$H$102,4,FALSE)+VLOOKUP($A5,main!$A$3:$H$102,4,FALSE)+(VLOOKUP(VLOOKUP(CD$1,main!$A$3:$H$102,8,FALSE),main!$K$19:$O$22,MATCH(VLOOKUP($A5,main!$A$3:$H$102,7,FALSE),main!$K$18:$O$18,0),0))),0)</f>
        <v>0</v>
      </c>
      <c r="CE5">
        <f>IF((gamma!CE5),IF(VLOOKUP(CE$1,main!$A$3:$H$102,7,FALSE)=VLOOKUP($A5,main!$A$3:$H$102,8,FALSE),VLOOKUP(CE$1,main!$A$3:$H$102,4,FALSE),VLOOKUP(CE$1,main!$A$3:$H$102,4,FALSE)+VLOOKUP($A5,main!$A$3:$H$102,4,FALSE)+(VLOOKUP(VLOOKUP(CE$1,main!$A$3:$H$102,8,FALSE),main!$K$19:$O$22,MATCH(VLOOKUP($A5,main!$A$3:$H$102,7,FALSE),main!$K$18:$O$18,0),0))),0)</f>
        <v>0</v>
      </c>
      <c r="CF5">
        <f>IF((gamma!CF5),IF(VLOOKUP(CF$1,main!$A$3:$H$102,7,FALSE)=VLOOKUP($A5,main!$A$3:$H$102,8,FALSE),VLOOKUP(CF$1,main!$A$3:$H$102,4,FALSE),VLOOKUP(CF$1,main!$A$3:$H$102,4,FALSE)+VLOOKUP($A5,main!$A$3:$H$102,4,FALSE)+(VLOOKUP(VLOOKUP(CF$1,main!$A$3:$H$102,8,FALSE),main!$K$19:$O$22,MATCH(VLOOKUP($A5,main!$A$3:$H$102,7,FALSE),main!$K$18:$O$18,0),0))),0)</f>
        <v>0</v>
      </c>
      <c r="CG5">
        <f>IF((gamma!CG5),IF(VLOOKUP(CG$1,main!$A$3:$H$102,7,FALSE)=VLOOKUP($A5,main!$A$3:$H$102,8,FALSE),VLOOKUP(CG$1,main!$A$3:$H$102,4,FALSE),VLOOKUP(CG$1,main!$A$3:$H$102,4,FALSE)+VLOOKUP($A5,main!$A$3:$H$102,4,FALSE)+(VLOOKUP(VLOOKUP(CG$1,main!$A$3:$H$102,8,FALSE),main!$K$19:$O$22,MATCH(VLOOKUP($A5,main!$A$3:$H$102,7,FALSE),main!$K$18:$O$18,0),0))),0)</f>
        <v>0</v>
      </c>
      <c r="CH5">
        <f>IF((gamma!CH5),IF(VLOOKUP(CH$1,main!$A$3:$H$102,7,FALSE)=VLOOKUP($A5,main!$A$3:$H$102,8,FALSE),VLOOKUP(CH$1,main!$A$3:$H$102,4,FALSE),VLOOKUP(CH$1,main!$A$3:$H$102,4,FALSE)+VLOOKUP($A5,main!$A$3:$H$102,4,FALSE)+(VLOOKUP(VLOOKUP(CH$1,main!$A$3:$H$102,8,FALSE),main!$K$19:$O$22,MATCH(VLOOKUP($A5,main!$A$3:$H$102,7,FALSE),main!$K$18:$O$18,0),0))),0)</f>
        <v>275</v>
      </c>
      <c r="CI5">
        <f>IF((gamma!CI5),IF(VLOOKUP(CI$1,main!$A$3:$H$102,7,FALSE)=VLOOKUP($A5,main!$A$3:$H$102,8,FALSE),VLOOKUP(CI$1,main!$A$3:$H$102,4,FALSE),VLOOKUP(CI$1,main!$A$3:$H$102,4,FALSE)+VLOOKUP($A5,main!$A$3:$H$102,4,FALSE)+(VLOOKUP(VLOOKUP(CI$1,main!$A$3:$H$102,8,FALSE),main!$K$19:$O$22,MATCH(VLOOKUP($A5,main!$A$3:$H$102,7,FALSE),main!$K$18:$O$18,0),0))),0)</f>
        <v>275</v>
      </c>
      <c r="CJ5">
        <f>IF((gamma!CJ5),IF(VLOOKUP(CJ$1,main!$A$3:$H$102,7,FALSE)=VLOOKUP($A5,main!$A$3:$H$102,8,FALSE),VLOOKUP(CJ$1,main!$A$3:$H$102,4,FALSE),VLOOKUP(CJ$1,main!$A$3:$H$102,4,FALSE)+VLOOKUP($A5,main!$A$3:$H$102,4,FALSE)+(VLOOKUP(VLOOKUP(CJ$1,main!$A$3:$H$102,8,FALSE),main!$K$19:$O$22,MATCH(VLOOKUP($A5,main!$A$3:$H$102,7,FALSE),main!$K$18:$O$18,0),0))),0)</f>
        <v>0</v>
      </c>
      <c r="CK5">
        <f>IF((gamma!CK5),IF(VLOOKUP(CK$1,main!$A$3:$H$102,7,FALSE)=VLOOKUP($A5,main!$A$3:$H$102,8,FALSE),VLOOKUP(CK$1,main!$A$3:$H$102,4,FALSE),VLOOKUP(CK$1,main!$A$3:$H$102,4,FALSE)+VLOOKUP($A5,main!$A$3:$H$102,4,FALSE)+(VLOOKUP(VLOOKUP(CK$1,main!$A$3:$H$102,8,FALSE),main!$K$19:$O$22,MATCH(VLOOKUP($A5,main!$A$3:$H$102,7,FALSE),main!$K$18:$O$18,0),0))),0)</f>
        <v>0</v>
      </c>
      <c r="CL5">
        <f>IF((gamma!CL5),IF(VLOOKUP(CL$1,main!$A$3:$H$102,7,FALSE)=VLOOKUP($A5,main!$A$3:$H$102,8,FALSE),VLOOKUP(CL$1,main!$A$3:$H$102,4,FALSE),VLOOKUP(CL$1,main!$A$3:$H$102,4,FALSE)+VLOOKUP($A5,main!$A$3:$H$102,4,FALSE)+(VLOOKUP(VLOOKUP(CL$1,main!$A$3:$H$102,8,FALSE),main!$K$19:$O$22,MATCH(VLOOKUP($A5,main!$A$3:$H$102,7,FALSE),main!$K$18:$O$18,0),0))),0)</f>
        <v>0</v>
      </c>
      <c r="CM5">
        <f>IF((gamma!CM5),IF(VLOOKUP(CM$1,main!$A$3:$H$102,7,FALSE)=VLOOKUP($A5,main!$A$3:$H$102,8,FALSE),VLOOKUP(CM$1,main!$A$3:$H$102,4,FALSE),VLOOKUP(CM$1,main!$A$3:$H$102,4,FALSE)+VLOOKUP($A5,main!$A$3:$H$102,4,FALSE)+(VLOOKUP(VLOOKUP(CM$1,main!$A$3:$H$102,8,FALSE),main!$K$19:$O$22,MATCH(VLOOKUP($A5,main!$A$3:$H$102,7,FALSE),main!$K$18:$O$18,0),0))),0)</f>
        <v>235</v>
      </c>
      <c r="CN5">
        <f>IF((gamma!CN5),IF(VLOOKUP(CN$1,main!$A$3:$H$102,7,FALSE)=VLOOKUP($A5,main!$A$3:$H$102,8,FALSE),VLOOKUP(CN$1,main!$A$3:$H$102,4,FALSE),VLOOKUP(CN$1,main!$A$3:$H$102,4,FALSE)+VLOOKUP($A5,main!$A$3:$H$102,4,FALSE)+(VLOOKUP(VLOOKUP(CN$1,main!$A$3:$H$102,8,FALSE),main!$K$19:$O$22,MATCH(VLOOKUP($A5,main!$A$3:$H$102,7,FALSE),main!$K$18:$O$18,0),0))),0)</f>
        <v>231</v>
      </c>
      <c r="CO5">
        <f>IF((gamma!CO5),IF(VLOOKUP(CO$1,main!$A$3:$H$102,7,FALSE)=VLOOKUP($A5,main!$A$3:$H$102,8,FALSE),VLOOKUP(CO$1,main!$A$3:$H$102,4,FALSE),VLOOKUP(CO$1,main!$A$3:$H$102,4,FALSE)+VLOOKUP($A5,main!$A$3:$H$102,4,FALSE)+(VLOOKUP(VLOOKUP(CO$1,main!$A$3:$H$102,8,FALSE),main!$K$19:$O$22,MATCH(VLOOKUP($A5,main!$A$3:$H$102,7,FALSE),main!$K$18:$O$18,0),0))),0)</f>
        <v>0</v>
      </c>
      <c r="CP5">
        <f>IF((gamma!CP5),IF(VLOOKUP(CP$1,main!$A$3:$H$102,7,FALSE)=VLOOKUP($A5,main!$A$3:$H$102,8,FALSE),VLOOKUP(CP$1,main!$A$3:$H$102,4,FALSE),VLOOKUP(CP$1,main!$A$3:$H$102,4,FALSE)+VLOOKUP($A5,main!$A$3:$H$102,4,FALSE)+(VLOOKUP(VLOOKUP(CP$1,main!$A$3:$H$102,8,FALSE),main!$K$19:$O$22,MATCH(VLOOKUP($A5,main!$A$3:$H$102,7,FALSE),main!$K$18:$O$18,0),0))),0)</f>
        <v>0</v>
      </c>
      <c r="CQ5">
        <f>IF((gamma!CQ5),IF(VLOOKUP(CQ$1,main!$A$3:$H$102,7,FALSE)=VLOOKUP($A5,main!$A$3:$H$102,8,FALSE),VLOOKUP(CQ$1,main!$A$3:$H$102,4,FALSE),VLOOKUP(CQ$1,main!$A$3:$H$102,4,FALSE)+VLOOKUP($A5,main!$A$3:$H$102,4,FALSE)+(VLOOKUP(VLOOKUP(CQ$1,main!$A$3:$H$102,8,FALSE),main!$K$19:$O$22,MATCH(VLOOKUP($A5,main!$A$3:$H$102,7,FALSE),main!$K$18:$O$18,0),0))),0)</f>
        <v>0</v>
      </c>
      <c r="CR5">
        <f>IF((gamma!CR5),IF(VLOOKUP(CR$1,main!$A$3:$H$102,7,FALSE)=VLOOKUP($A5,main!$A$3:$H$102,8,FALSE),VLOOKUP(CR$1,main!$A$3:$H$102,4,FALSE),VLOOKUP(CR$1,main!$A$3:$H$102,4,FALSE)+VLOOKUP($A5,main!$A$3:$H$102,4,FALSE)+(VLOOKUP(VLOOKUP(CR$1,main!$A$3:$H$102,8,FALSE),main!$K$19:$O$22,MATCH(VLOOKUP($A5,main!$A$3:$H$102,7,FALSE),main!$K$18:$O$18,0),0))),0)</f>
        <v>300</v>
      </c>
      <c r="CS5">
        <f>IF((gamma!CS5),IF(VLOOKUP(CS$1,main!$A$3:$H$102,7,FALSE)=VLOOKUP($A5,main!$A$3:$H$102,8,FALSE),VLOOKUP(CS$1,main!$A$3:$H$102,4,FALSE),VLOOKUP(CS$1,main!$A$3:$H$102,4,FALSE)+VLOOKUP($A5,main!$A$3:$H$102,4,FALSE)+(VLOOKUP(VLOOKUP(CS$1,main!$A$3:$H$102,8,FALSE),main!$K$19:$O$22,MATCH(VLOOKUP($A5,main!$A$3:$H$102,7,FALSE),main!$K$18:$O$18,0),0))),0)</f>
        <v>300</v>
      </c>
      <c r="CT5">
        <f>IF((gamma!CT5),IF(VLOOKUP(CT$1,main!$A$3:$H$102,7,FALSE)=VLOOKUP($A5,main!$A$3:$H$102,8,FALSE),VLOOKUP(CT$1,main!$A$3:$H$102,4,FALSE),VLOOKUP(CT$1,main!$A$3:$H$102,4,FALSE)+VLOOKUP($A5,main!$A$3:$H$102,4,FALSE)+(VLOOKUP(VLOOKUP(CT$1,main!$A$3:$H$102,8,FALSE),main!$K$19:$O$22,MATCH(VLOOKUP($A5,main!$A$3:$H$102,7,FALSE),main!$K$18:$O$18,0),0))),0)</f>
        <v>0</v>
      </c>
      <c r="CU5">
        <f>IF((gamma!CU5),IF(VLOOKUP(CU$1,main!$A$3:$H$102,7,FALSE)=VLOOKUP($A5,main!$A$3:$H$102,8,FALSE),VLOOKUP(CU$1,main!$A$3:$H$102,4,FALSE),VLOOKUP(CU$1,main!$A$3:$H$102,4,FALSE)+VLOOKUP($A5,main!$A$3:$H$102,4,FALSE)+(VLOOKUP(VLOOKUP(CU$1,main!$A$3:$H$102,8,FALSE),main!$K$19:$O$22,MATCH(VLOOKUP($A5,main!$A$3:$H$102,7,FALSE),main!$K$18:$O$18,0),0))),0)</f>
        <v>0</v>
      </c>
      <c r="CV5">
        <f>IF((gamma!CV5),IF(VLOOKUP(CV$1,main!$A$3:$H$102,7,FALSE)=VLOOKUP($A5,main!$A$3:$H$102,8,FALSE),VLOOKUP(CV$1,main!$A$3:$H$102,4,FALSE),VLOOKUP(CV$1,main!$A$3:$H$102,4,FALSE)+VLOOKUP($A5,main!$A$3:$H$102,4,FALSE)+(VLOOKUP(VLOOKUP(CV$1,main!$A$3:$H$102,8,FALSE),main!$K$19:$O$22,MATCH(VLOOKUP($A5,main!$A$3:$H$102,7,FALSE),main!$K$18:$O$18,0),0))),0)</f>
        <v>0</v>
      </c>
      <c r="CW5">
        <f>IF((gamma!CW5),IF(VLOOKUP(CW$1,main!$A$3:$H$102,7,FALSE)=VLOOKUP($A5,main!$A$3:$H$102,8,FALSE),VLOOKUP(CW$1,main!$A$3:$H$102,4,FALSE),VLOOKUP(CW$1,main!$A$3:$H$102,4,FALSE)+VLOOKUP($A5,main!$A$3:$H$102,4,FALSE)+(VLOOKUP(VLOOKUP(CW$1,main!$A$3:$H$102,8,FALSE),main!$K$19:$O$22,MATCH(VLOOKUP($A5,main!$A$3:$H$102,7,FALSE),main!$K$18:$O$18,0),0))),0)</f>
        <v>260</v>
      </c>
      <c r="CX5">
        <f>IF((gamma!CX5),IF(VLOOKUP(CX$1,main!$A$3:$H$102,7,FALSE)=VLOOKUP($A5,main!$A$3:$H$102,8,FALSE),VLOOKUP(CX$1,main!$A$3:$H$102,4,FALSE),VLOOKUP(CX$1,main!$A$3:$H$102,4,FALSE)+VLOOKUP($A5,main!$A$3:$H$102,4,FALSE)+(VLOOKUP(VLOOKUP(CX$1,main!$A$3:$H$102,8,FALSE),main!$K$19:$O$22,MATCH(VLOOKUP($A5,main!$A$3:$H$102,7,FALSE),main!$K$18:$O$18,0),0))),0)</f>
        <v>250</v>
      </c>
      <c r="CY5">
        <v>0</v>
      </c>
      <c r="CZ5">
        <v>0</v>
      </c>
      <c r="DA5">
        <v>0</v>
      </c>
    </row>
    <row r="6" spans="1:105" x14ac:dyDescent="0.25">
      <c r="A6" s="1">
        <v>4</v>
      </c>
      <c r="B6">
        <v>0</v>
      </c>
      <c r="C6">
        <f>IF((gamma!C6),IF(VLOOKUP(C$1,main!$A$3:$H$102,7,FALSE)=VLOOKUP($A6,main!$A$3:$H$102,8,FALSE),VLOOKUP(C$1,main!$A$3:$H$102,4,FALSE),VLOOKUP(C$1,main!$A$3:$H$102,4,FALSE)+VLOOKUP($A6,main!$A$3:$H$102,4,FALSE)+(VLOOKUP(VLOOKUP(C$1,main!$A$3:$H$102,8,FALSE),main!$K$19:$O$22,MATCH(VLOOKUP($A6,main!$A$3:$H$102,7,FALSE),main!$K$18:$O$18,0),0))),0)</f>
        <v>0</v>
      </c>
      <c r="D6">
        <f>IF((gamma!D6),IF(VLOOKUP(D$1,main!$A$3:$H$102,7,FALSE)=VLOOKUP($A6,main!$A$3:$H$102,8,FALSE),VLOOKUP(D$1,main!$A$3:$H$102,4,FALSE),VLOOKUP(D$1,main!$A$3:$H$102,4,FALSE)+VLOOKUP($A6,main!$A$3:$H$102,4,FALSE)+(VLOOKUP(VLOOKUP(D$1,main!$A$3:$H$102,8,FALSE),main!$K$19:$O$22,MATCH(VLOOKUP($A6,main!$A$3:$H$102,7,FALSE),main!$K$18:$O$18,0),0))),0)</f>
        <v>0</v>
      </c>
      <c r="E6">
        <f>IF((gamma!E6),IF(VLOOKUP(E$1,main!$A$3:$H$102,7,FALSE)=VLOOKUP($A6,main!$A$3:$H$102,8,FALSE),VLOOKUP(E$1,main!$A$3:$H$102,4,FALSE),VLOOKUP(E$1,main!$A$3:$H$102,4,FALSE)+VLOOKUP($A6,main!$A$3:$H$102,4,FALSE)+(VLOOKUP(VLOOKUP(E$1,main!$A$3:$H$102,8,FALSE),main!$K$19:$O$22,MATCH(VLOOKUP($A6,main!$A$3:$H$102,7,FALSE),main!$K$18:$O$18,0),0))),0)</f>
        <v>0</v>
      </c>
      <c r="F6">
        <f>IF((gamma!F6),IF(VLOOKUP(F$1,main!$A$3:$H$102,7,FALSE)=VLOOKUP($A6,main!$A$3:$H$102,8,FALSE),VLOOKUP(F$1,main!$A$3:$H$102,4,FALSE),VLOOKUP(F$1,main!$A$3:$H$102,4,FALSE)+VLOOKUP($A6,main!$A$3:$H$102,4,FALSE)+(VLOOKUP(VLOOKUP(F$1,main!$A$3:$H$102,8,FALSE),main!$K$19:$O$22,MATCH(VLOOKUP($A6,main!$A$3:$H$102,7,FALSE),main!$K$18:$O$18,0),0))),0)</f>
        <v>0</v>
      </c>
      <c r="G6">
        <f>IF((gamma!G6),IF(VLOOKUP(G$1,main!$A$3:$H$102,7,FALSE)=VLOOKUP($A6,main!$A$3:$H$102,8,FALSE),VLOOKUP(G$1,main!$A$3:$H$102,4,FALSE),VLOOKUP(G$1,main!$A$3:$H$102,4,FALSE)+VLOOKUP($A6,main!$A$3:$H$102,4,FALSE)+(VLOOKUP(VLOOKUP(G$1,main!$A$3:$H$102,8,FALSE),main!$K$19:$O$22,MATCH(VLOOKUP($A6,main!$A$3:$H$102,7,FALSE),main!$K$18:$O$18,0),0))),0)</f>
        <v>0</v>
      </c>
      <c r="H6">
        <f>IF((gamma!H6),IF(VLOOKUP(H$1,main!$A$3:$H$102,7,FALSE)=VLOOKUP($A6,main!$A$3:$H$102,8,FALSE),VLOOKUP(H$1,main!$A$3:$H$102,4,FALSE),VLOOKUP(H$1,main!$A$3:$H$102,4,FALSE)+VLOOKUP($A6,main!$A$3:$H$102,4,FALSE)+(VLOOKUP(VLOOKUP(H$1,main!$A$3:$H$102,8,FALSE),main!$K$19:$O$22,MATCH(VLOOKUP($A6,main!$A$3:$H$102,7,FALSE),main!$K$18:$O$18,0),0))),0)</f>
        <v>295</v>
      </c>
      <c r="I6">
        <f>IF((gamma!I6),IF(VLOOKUP(I$1,main!$A$3:$H$102,7,FALSE)=VLOOKUP($A6,main!$A$3:$H$102,8,FALSE),VLOOKUP(I$1,main!$A$3:$H$102,4,FALSE),VLOOKUP(I$1,main!$A$3:$H$102,4,FALSE)+VLOOKUP($A6,main!$A$3:$H$102,4,FALSE)+(VLOOKUP(VLOOKUP(I$1,main!$A$3:$H$102,8,FALSE),main!$K$19:$O$22,MATCH(VLOOKUP($A6,main!$A$3:$H$102,7,FALSE),main!$K$18:$O$18,0),0))),0)</f>
        <v>295</v>
      </c>
      <c r="J6">
        <f>IF((gamma!J6),IF(VLOOKUP(J$1,main!$A$3:$H$102,7,FALSE)=VLOOKUP($A6,main!$A$3:$H$102,8,FALSE),VLOOKUP(J$1,main!$A$3:$H$102,4,FALSE),VLOOKUP(J$1,main!$A$3:$H$102,4,FALSE)+VLOOKUP($A6,main!$A$3:$H$102,4,FALSE)+(VLOOKUP(VLOOKUP(J$1,main!$A$3:$H$102,8,FALSE),main!$K$19:$O$22,MATCH(VLOOKUP($A6,main!$A$3:$H$102,7,FALSE),main!$K$18:$O$18,0),0))),0)</f>
        <v>295</v>
      </c>
      <c r="K6">
        <f>IF((gamma!K6),IF(VLOOKUP(K$1,main!$A$3:$H$102,7,FALSE)=VLOOKUP($A6,main!$A$3:$H$102,8,FALSE),VLOOKUP(K$1,main!$A$3:$H$102,4,FALSE),VLOOKUP(K$1,main!$A$3:$H$102,4,FALSE)+VLOOKUP($A6,main!$A$3:$H$102,4,FALSE)+(VLOOKUP(VLOOKUP(K$1,main!$A$3:$H$102,8,FALSE),main!$K$19:$O$22,MATCH(VLOOKUP($A6,main!$A$3:$H$102,7,FALSE),main!$K$18:$O$18,0),0))),0)</f>
        <v>295</v>
      </c>
      <c r="L6">
        <f>IF((gamma!L6),IF(VLOOKUP(L$1,main!$A$3:$H$102,7,FALSE)=VLOOKUP($A6,main!$A$3:$H$102,8,FALSE),VLOOKUP(L$1,main!$A$3:$H$102,4,FALSE),VLOOKUP(L$1,main!$A$3:$H$102,4,FALSE)+VLOOKUP($A6,main!$A$3:$H$102,4,FALSE)+(VLOOKUP(VLOOKUP(L$1,main!$A$3:$H$102,8,FALSE),main!$K$19:$O$22,MATCH(VLOOKUP($A6,main!$A$3:$H$102,7,FALSE),main!$K$18:$O$18,0),0))),0)</f>
        <v>295</v>
      </c>
      <c r="M6">
        <f>IF((gamma!M6),IF(VLOOKUP(M$1,main!$A$3:$H$102,7,FALSE)=VLOOKUP($A6,main!$A$3:$H$102,8,FALSE),VLOOKUP(M$1,main!$A$3:$H$102,4,FALSE),VLOOKUP(M$1,main!$A$3:$H$102,4,FALSE)+VLOOKUP($A6,main!$A$3:$H$102,4,FALSE)+(VLOOKUP(VLOOKUP(M$1,main!$A$3:$H$102,8,FALSE),main!$K$19:$O$22,MATCH(VLOOKUP($A6,main!$A$3:$H$102,7,FALSE),main!$K$18:$O$18,0),0))),0)</f>
        <v>0</v>
      </c>
      <c r="N6">
        <f>IF((gamma!N6),IF(VLOOKUP(N$1,main!$A$3:$H$102,7,FALSE)=VLOOKUP($A6,main!$A$3:$H$102,8,FALSE),VLOOKUP(N$1,main!$A$3:$H$102,4,FALSE),VLOOKUP(N$1,main!$A$3:$H$102,4,FALSE)+VLOOKUP($A6,main!$A$3:$H$102,4,FALSE)+(VLOOKUP(VLOOKUP(N$1,main!$A$3:$H$102,8,FALSE),main!$K$19:$O$22,MATCH(VLOOKUP($A6,main!$A$3:$H$102,7,FALSE),main!$K$18:$O$18,0),0))),0)</f>
        <v>0</v>
      </c>
      <c r="O6">
        <f>IF((gamma!O6),IF(VLOOKUP(O$1,main!$A$3:$H$102,7,FALSE)=VLOOKUP($A6,main!$A$3:$H$102,8,FALSE),VLOOKUP(O$1,main!$A$3:$H$102,4,FALSE),VLOOKUP(O$1,main!$A$3:$H$102,4,FALSE)+VLOOKUP($A6,main!$A$3:$H$102,4,FALSE)+(VLOOKUP(VLOOKUP(O$1,main!$A$3:$H$102,8,FALSE),main!$K$19:$O$22,MATCH(VLOOKUP($A6,main!$A$3:$H$102,7,FALSE),main!$K$18:$O$18,0),0))),0)</f>
        <v>0</v>
      </c>
      <c r="P6">
        <f>IF((gamma!P6),IF(VLOOKUP(P$1,main!$A$3:$H$102,7,FALSE)=VLOOKUP($A6,main!$A$3:$H$102,8,FALSE),VLOOKUP(P$1,main!$A$3:$H$102,4,FALSE),VLOOKUP(P$1,main!$A$3:$H$102,4,FALSE)+VLOOKUP($A6,main!$A$3:$H$102,4,FALSE)+(VLOOKUP(VLOOKUP(P$1,main!$A$3:$H$102,8,FALSE),main!$K$19:$O$22,MATCH(VLOOKUP($A6,main!$A$3:$H$102,7,FALSE),main!$K$18:$O$18,0),0))),0)</f>
        <v>0</v>
      </c>
      <c r="Q6">
        <f>IF((gamma!Q6),IF(VLOOKUP(Q$1,main!$A$3:$H$102,7,FALSE)=VLOOKUP($A6,main!$A$3:$H$102,8,FALSE),VLOOKUP(Q$1,main!$A$3:$H$102,4,FALSE),VLOOKUP(Q$1,main!$A$3:$H$102,4,FALSE)+VLOOKUP($A6,main!$A$3:$H$102,4,FALSE)+(VLOOKUP(VLOOKUP(Q$1,main!$A$3:$H$102,8,FALSE),main!$K$19:$O$22,MATCH(VLOOKUP($A6,main!$A$3:$H$102,7,FALSE),main!$K$18:$O$18,0),0))),0)</f>
        <v>0</v>
      </c>
      <c r="R6">
        <f>IF((gamma!R6),IF(VLOOKUP(R$1,main!$A$3:$H$102,7,FALSE)=VLOOKUP($A6,main!$A$3:$H$102,8,FALSE),VLOOKUP(R$1,main!$A$3:$H$102,4,FALSE),VLOOKUP(R$1,main!$A$3:$H$102,4,FALSE)+VLOOKUP($A6,main!$A$3:$H$102,4,FALSE)+(VLOOKUP(VLOOKUP(R$1,main!$A$3:$H$102,8,FALSE),main!$K$19:$O$22,MATCH(VLOOKUP($A6,main!$A$3:$H$102,7,FALSE),main!$K$18:$O$18,0),0))),0)</f>
        <v>0</v>
      </c>
      <c r="S6">
        <f>IF((gamma!S6),IF(VLOOKUP(S$1,main!$A$3:$H$102,7,FALSE)=VLOOKUP($A6,main!$A$3:$H$102,8,FALSE),VLOOKUP(S$1,main!$A$3:$H$102,4,FALSE),VLOOKUP(S$1,main!$A$3:$H$102,4,FALSE)+VLOOKUP($A6,main!$A$3:$H$102,4,FALSE)+(VLOOKUP(VLOOKUP(S$1,main!$A$3:$H$102,8,FALSE),main!$K$19:$O$22,MATCH(VLOOKUP($A6,main!$A$3:$H$102,7,FALSE),main!$K$18:$O$18,0),0))),0)</f>
        <v>305</v>
      </c>
      <c r="T6">
        <f>IF((gamma!T6),IF(VLOOKUP(T$1,main!$A$3:$H$102,7,FALSE)=VLOOKUP($A6,main!$A$3:$H$102,8,FALSE),VLOOKUP(T$1,main!$A$3:$H$102,4,FALSE),VLOOKUP(T$1,main!$A$3:$H$102,4,FALSE)+VLOOKUP($A6,main!$A$3:$H$102,4,FALSE)+(VLOOKUP(VLOOKUP(T$1,main!$A$3:$H$102,8,FALSE),main!$K$19:$O$22,MATCH(VLOOKUP($A6,main!$A$3:$H$102,7,FALSE),main!$K$18:$O$18,0),0))),0)</f>
        <v>305</v>
      </c>
      <c r="U6">
        <f>IF((gamma!U6),IF(VLOOKUP(U$1,main!$A$3:$H$102,7,FALSE)=VLOOKUP($A6,main!$A$3:$H$102,8,FALSE),VLOOKUP(U$1,main!$A$3:$H$102,4,FALSE),VLOOKUP(U$1,main!$A$3:$H$102,4,FALSE)+VLOOKUP($A6,main!$A$3:$H$102,4,FALSE)+(VLOOKUP(VLOOKUP(U$1,main!$A$3:$H$102,8,FALSE),main!$K$19:$O$22,MATCH(VLOOKUP($A6,main!$A$3:$H$102,7,FALSE),main!$K$18:$O$18,0),0))),0)</f>
        <v>305</v>
      </c>
      <c r="V6">
        <f>IF((gamma!V6),IF(VLOOKUP(V$1,main!$A$3:$H$102,7,FALSE)=VLOOKUP($A6,main!$A$3:$H$102,8,FALSE),VLOOKUP(V$1,main!$A$3:$H$102,4,FALSE),VLOOKUP(V$1,main!$A$3:$H$102,4,FALSE)+VLOOKUP($A6,main!$A$3:$H$102,4,FALSE)+(VLOOKUP(VLOOKUP(V$1,main!$A$3:$H$102,8,FALSE),main!$K$19:$O$22,MATCH(VLOOKUP($A6,main!$A$3:$H$102,7,FALSE),main!$K$18:$O$18,0),0))),0)</f>
        <v>305</v>
      </c>
      <c r="W6">
        <f>IF((gamma!W6),IF(VLOOKUP(W$1,main!$A$3:$H$102,7,FALSE)=VLOOKUP($A6,main!$A$3:$H$102,8,FALSE),VLOOKUP(W$1,main!$A$3:$H$102,4,FALSE),VLOOKUP(W$1,main!$A$3:$H$102,4,FALSE)+VLOOKUP($A6,main!$A$3:$H$102,4,FALSE)+(VLOOKUP(VLOOKUP(W$1,main!$A$3:$H$102,8,FALSE),main!$K$19:$O$22,MATCH(VLOOKUP($A6,main!$A$3:$H$102,7,FALSE),main!$K$18:$O$18,0),0))),0)</f>
        <v>0</v>
      </c>
      <c r="X6">
        <f>IF((gamma!X6),IF(VLOOKUP(X$1,main!$A$3:$H$102,7,FALSE)=VLOOKUP($A6,main!$A$3:$H$102,8,FALSE),VLOOKUP(X$1,main!$A$3:$H$102,4,FALSE),VLOOKUP(X$1,main!$A$3:$H$102,4,FALSE)+VLOOKUP($A6,main!$A$3:$H$102,4,FALSE)+(VLOOKUP(VLOOKUP(X$1,main!$A$3:$H$102,8,FALSE),main!$K$19:$O$22,MATCH(VLOOKUP($A6,main!$A$3:$H$102,7,FALSE),main!$K$18:$O$18,0),0))),0)</f>
        <v>0</v>
      </c>
      <c r="Y6">
        <f>IF((gamma!Y6),IF(VLOOKUP(Y$1,main!$A$3:$H$102,7,FALSE)=VLOOKUP($A6,main!$A$3:$H$102,8,FALSE),VLOOKUP(Y$1,main!$A$3:$H$102,4,FALSE),VLOOKUP(Y$1,main!$A$3:$H$102,4,FALSE)+VLOOKUP($A6,main!$A$3:$H$102,4,FALSE)+(VLOOKUP(VLOOKUP(Y$1,main!$A$3:$H$102,8,FALSE),main!$K$19:$O$22,MATCH(VLOOKUP($A6,main!$A$3:$H$102,7,FALSE),main!$K$18:$O$18,0),0))),0)</f>
        <v>0</v>
      </c>
      <c r="Z6">
        <f>IF((gamma!Z6),IF(VLOOKUP(Z$1,main!$A$3:$H$102,7,FALSE)=VLOOKUP($A6,main!$A$3:$H$102,8,FALSE),VLOOKUP(Z$1,main!$A$3:$H$102,4,FALSE),VLOOKUP(Z$1,main!$A$3:$H$102,4,FALSE)+VLOOKUP($A6,main!$A$3:$H$102,4,FALSE)+(VLOOKUP(VLOOKUP(Z$1,main!$A$3:$H$102,8,FALSE),main!$K$19:$O$22,MATCH(VLOOKUP($A6,main!$A$3:$H$102,7,FALSE),main!$K$18:$O$18,0),0))),0)</f>
        <v>310</v>
      </c>
      <c r="AA6">
        <f>IF((gamma!AA6),IF(VLOOKUP(AA$1,main!$A$3:$H$102,7,FALSE)=VLOOKUP($A6,main!$A$3:$H$102,8,FALSE),VLOOKUP(AA$1,main!$A$3:$H$102,4,FALSE),VLOOKUP(AA$1,main!$A$3:$H$102,4,FALSE)+VLOOKUP($A6,main!$A$3:$H$102,4,FALSE)+(VLOOKUP(VLOOKUP(AA$1,main!$A$3:$H$102,8,FALSE),main!$K$19:$O$22,MATCH(VLOOKUP($A6,main!$A$3:$H$102,7,FALSE),main!$K$18:$O$18,0),0))),0)</f>
        <v>310</v>
      </c>
      <c r="AB6">
        <f>IF((gamma!AB6),IF(VLOOKUP(AB$1,main!$A$3:$H$102,7,FALSE)=VLOOKUP($A6,main!$A$3:$H$102,8,FALSE),VLOOKUP(AB$1,main!$A$3:$H$102,4,FALSE),VLOOKUP(AB$1,main!$A$3:$H$102,4,FALSE)+VLOOKUP($A6,main!$A$3:$H$102,4,FALSE)+(VLOOKUP(VLOOKUP(AB$1,main!$A$3:$H$102,8,FALSE),main!$K$19:$O$22,MATCH(VLOOKUP($A6,main!$A$3:$H$102,7,FALSE),main!$K$18:$O$18,0),0))),0)</f>
        <v>0</v>
      </c>
      <c r="AC6">
        <f>IF((gamma!AC6),IF(VLOOKUP(AC$1,main!$A$3:$H$102,7,FALSE)=VLOOKUP($A6,main!$A$3:$H$102,8,FALSE),VLOOKUP(AC$1,main!$A$3:$H$102,4,FALSE),VLOOKUP(AC$1,main!$A$3:$H$102,4,FALSE)+VLOOKUP($A6,main!$A$3:$H$102,4,FALSE)+(VLOOKUP(VLOOKUP(AC$1,main!$A$3:$H$102,8,FALSE),main!$K$19:$O$22,MATCH(VLOOKUP($A6,main!$A$3:$H$102,7,FALSE),main!$K$18:$O$18,0),0))),0)</f>
        <v>0</v>
      </c>
      <c r="AD6">
        <f>IF((gamma!AD6),IF(VLOOKUP(AD$1,main!$A$3:$H$102,7,FALSE)=VLOOKUP($A6,main!$A$3:$H$102,8,FALSE),VLOOKUP(AD$1,main!$A$3:$H$102,4,FALSE),VLOOKUP(AD$1,main!$A$3:$H$102,4,FALSE)+VLOOKUP($A6,main!$A$3:$H$102,4,FALSE)+(VLOOKUP(VLOOKUP(AD$1,main!$A$3:$H$102,8,FALSE),main!$K$19:$O$22,MATCH(VLOOKUP($A6,main!$A$3:$H$102,7,FALSE),main!$K$18:$O$18,0),0))),0)</f>
        <v>0</v>
      </c>
      <c r="AE6">
        <f>IF((gamma!AE6),IF(VLOOKUP(AE$1,main!$A$3:$H$102,7,FALSE)=VLOOKUP($A6,main!$A$3:$H$102,8,FALSE),VLOOKUP(AE$1,main!$A$3:$H$102,4,FALSE),VLOOKUP(AE$1,main!$A$3:$H$102,4,FALSE)+VLOOKUP($A6,main!$A$3:$H$102,4,FALSE)+(VLOOKUP(VLOOKUP(AE$1,main!$A$3:$H$102,8,FALSE),main!$K$19:$O$22,MATCH(VLOOKUP($A6,main!$A$3:$H$102,7,FALSE),main!$K$18:$O$18,0),0))),0)</f>
        <v>310</v>
      </c>
      <c r="AF6">
        <f>IF((gamma!AF6),IF(VLOOKUP(AF$1,main!$A$3:$H$102,7,FALSE)=VLOOKUP($A6,main!$A$3:$H$102,8,FALSE),VLOOKUP(AF$1,main!$A$3:$H$102,4,FALSE),VLOOKUP(AF$1,main!$A$3:$H$102,4,FALSE)+VLOOKUP($A6,main!$A$3:$H$102,4,FALSE)+(VLOOKUP(VLOOKUP(AF$1,main!$A$3:$H$102,8,FALSE),main!$K$19:$O$22,MATCH(VLOOKUP($A6,main!$A$3:$H$102,7,FALSE),main!$K$18:$O$18,0),0))),0)</f>
        <v>270</v>
      </c>
      <c r="AG6">
        <f>IF((gamma!AG6),IF(VLOOKUP(AG$1,main!$A$3:$H$102,7,FALSE)=VLOOKUP($A6,main!$A$3:$H$102,8,FALSE),VLOOKUP(AG$1,main!$A$3:$H$102,4,FALSE),VLOOKUP(AG$1,main!$A$3:$H$102,4,FALSE)+VLOOKUP($A6,main!$A$3:$H$102,4,FALSE)+(VLOOKUP(VLOOKUP(AG$1,main!$A$3:$H$102,8,FALSE),main!$K$19:$O$22,MATCH(VLOOKUP($A6,main!$A$3:$H$102,7,FALSE),main!$K$18:$O$18,0),0))),0)</f>
        <v>0</v>
      </c>
      <c r="AH6">
        <f>IF((gamma!AH6),IF(VLOOKUP(AH$1,main!$A$3:$H$102,7,FALSE)=VLOOKUP($A6,main!$A$3:$H$102,8,FALSE),VLOOKUP(AH$1,main!$A$3:$H$102,4,FALSE),VLOOKUP(AH$1,main!$A$3:$H$102,4,FALSE)+VLOOKUP($A6,main!$A$3:$H$102,4,FALSE)+(VLOOKUP(VLOOKUP(AH$1,main!$A$3:$H$102,8,FALSE),main!$K$19:$O$22,MATCH(VLOOKUP($A6,main!$A$3:$H$102,7,FALSE),main!$K$18:$O$18,0),0))),0)</f>
        <v>0</v>
      </c>
      <c r="AI6">
        <f>IF((gamma!AI6),IF(VLOOKUP(AI$1,main!$A$3:$H$102,7,FALSE)=VLOOKUP($A6,main!$A$3:$H$102,8,FALSE),VLOOKUP(AI$1,main!$A$3:$H$102,4,FALSE),VLOOKUP(AI$1,main!$A$3:$H$102,4,FALSE)+VLOOKUP($A6,main!$A$3:$H$102,4,FALSE)+(VLOOKUP(VLOOKUP(AI$1,main!$A$3:$H$102,8,FALSE),main!$K$19:$O$22,MATCH(VLOOKUP($A6,main!$A$3:$H$102,7,FALSE),main!$K$18:$O$18,0),0))),0)</f>
        <v>0</v>
      </c>
      <c r="AJ6">
        <f>IF((gamma!AJ6),IF(VLOOKUP(AJ$1,main!$A$3:$H$102,7,FALSE)=VLOOKUP($A6,main!$A$3:$H$102,8,FALSE),VLOOKUP(AJ$1,main!$A$3:$H$102,4,FALSE),VLOOKUP(AJ$1,main!$A$3:$H$102,4,FALSE)+VLOOKUP($A6,main!$A$3:$H$102,4,FALSE)+(VLOOKUP(VLOOKUP(AJ$1,main!$A$3:$H$102,8,FALSE),main!$K$19:$O$22,MATCH(VLOOKUP($A6,main!$A$3:$H$102,7,FALSE),main!$K$18:$O$18,0),0))),0)</f>
        <v>0</v>
      </c>
      <c r="AK6">
        <f>IF((gamma!AK6),IF(VLOOKUP(AK$1,main!$A$3:$H$102,7,FALSE)=VLOOKUP($A6,main!$A$3:$H$102,8,FALSE),VLOOKUP(AK$1,main!$A$3:$H$102,4,FALSE),VLOOKUP(AK$1,main!$A$3:$H$102,4,FALSE)+VLOOKUP($A6,main!$A$3:$H$102,4,FALSE)+(VLOOKUP(VLOOKUP(AK$1,main!$A$3:$H$102,8,FALSE),main!$K$19:$O$22,MATCH(VLOOKUP($A6,main!$A$3:$H$102,7,FALSE),main!$K$18:$O$18,0),0))),0)</f>
        <v>135</v>
      </c>
      <c r="AL6">
        <f>IF((gamma!AL6),IF(VLOOKUP(AL$1,main!$A$3:$H$102,7,FALSE)=VLOOKUP($A6,main!$A$3:$H$102,8,FALSE),VLOOKUP(AL$1,main!$A$3:$H$102,4,FALSE),VLOOKUP(AL$1,main!$A$3:$H$102,4,FALSE)+VLOOKUP($A6,main!$A$3:$H$102,4,FALSE)+(VLOOKUP(VLOOKUP(AL$1,main!$A$3:$H$102,8,FALSE),main!$K$19:$O$22,MATCH(VLOOKUP($A6,main!$A$3:$H$102,7,FALSE),main!$K$18:$O$18,0),0))),0)</f>
        <v>135</v>
      </c>
      <c r="AM6">
        <f>IF((gamma!AM6),IF(VLOOKUP(AM$1,main!$A$3:$H$102,7,FALSE)=VLOOKUP($A6,main!$A$3:$H$102,8,FALSE),VLOOKUP(AM$1,main!$A$3:$H$102,4,FALSE),VLOOKUP(AM$1,main!$A$3:$H$102,4,FALSE)+VLOOKUP($A6,main!$A$3:$H$102,4,FALSE)+(VLOOKUP(VLOOKUP(AM$1,main!$A$3:$H$102,8,FALSE),main!$K$19:$O$22,MATCH(VLOOKUP($A6,main!$A$3:$H$102,7,FALSE),main!$K$18:$O$18,0),0))),0)</f>
        <v>135</v>
      </c>
      <c r="AN6">
        <f>IF((gamma!AN6),IF(VLOOKUP(AN$1,main!$A$3:$H$102,7,FALSE)=VLOOKUP($A6,main!$A$3:$H$102,8,FALSE),VLOOKUP(AN$1,main!$A$3:$H$102,4,FALSE),VLOOKUP(AN$1,main!$A$3:$H$102,4,FALSE)+VLOOKUP($A6,main!$A$3:$H$102,4,FALSE)+(VLOOKUP(VLOOKUP(AN$1,main!$A$3:$H$102,8,FALSE),main!$K$19:$O$22,MATCH(VLOOKUP($A6,main!$A$3:$H$102,7,FALSE),main!$K$18:$O$18,0),0))),0)</f>
        <v>135</v>
      </c>
      <c r="AO6">
        <f>IF((gamma!AO6),IF(VLOOKUP(AO$1,main!$A$3:$H$102,7,FALSE)=VLOOKUP($A6,main!$A$3:$H$102,8,FALSE),VLOOKUP(AO$1,main!$A$3:$H$102,4,FALSE),VLOOKUP(AO$1,main!$A$3:$H$102,4,FALSE)+VLOOKUP($A6,main!$A$3:$H$102,4,FALSE)+(VLOOKUP(VLOOKUP(AO$1,main!$A$3:$H$102,8,FALSE),main!$K$19:$O$22,MATCH(VLOOKUP($A6,main!$A$3:$H$102,7,FALSE),main!$K$18:$O$18,0),0))),0)</f>
        <v>0</v>
      </c>
      <c r="AP6">
        <f>IF((gamma!AP6),IF(VLOOKUP(AP$1,main!$A$3:$H$102,7,FALSE)=VLOOKUP($A6,main!$A$3:$H$102,8,FALSE),VLOOKUP(AP$1,main!$A$3:$H$102,4,FALSE),VLOOKUP(AP$1,main!$A$3:$H$102,4,FALSE)+VLOOKUP($A6,main!$A$3:$H$102,4,FALSE)+(VLOOKUP(VLOOKUP(AP$1,main!$A$3:$H$102,8,FALSE),main!$K$19:$O$22,MATCH(VLOOKUP($A6,main!$A$3:$H$102,7,FALSE),main!$K$18:$O$18,0),0))),0)</f>
        <v>75</v>
      </c>
      <c r="AQ6">
        <f>IF((gamma!AQ6),IF(VLOOKUP(AQ$1,main!$A$3:$H$102,7,FALSE)=VLOOKUP($A6,main!$A$3:$H$102,8,FALSE),VLOOKUP(AQ$1,main!$A$3:$H$102,4,FALSE),VLOOKUP(AQ$1,main!$A$3:$H$102,4,FALSE)+VLOOKUP($A6,main!$A$3:$H$102,4,FALSE)+(VLOOKUP(VLOOKUP(AQ$1,main!$A$3:$H$102,8,FALSE),main!$K$19:$O$22,MATCH(VLOOKUP($A6,main!$A$3:$H$102,7,FALSE),main!$K$18:$O$18,0),0))),0)</f>
        <v>0</v>
      </c>
      <c r="AR6">
        <f>IF((gamma!AR6),IF(VLOOKUP(AR$1,main!$A$3:$H$102,7,FALSE)=VLOOKUP($A6,main!$A$3:$H$102,8,FALSE),VLOOKUP(AR$1,main!$A$3:$H$102,4,FALSE),VLOOKUP(AR$1,main!$A$3:$H$102,4,FALSE)+VLOOKUP($A6,main!$A$3:$H$102,4,FALSE)+(VLOOKUP(VLOOKUP(AR$1,main!$A$3:$H$102,8,FALSE),main!$K$19:$O$22,MATCH(VLOOKUP($A6,main!$A$3:$H$102,7,FALSE),main!$K$18:$O$18,0),0))),0)</f>
        <v>0</v>
      </c>
      <c r="AS6">
        <f>IF((gamma!AS6),IF(VLOOKUP(AS$1,main!$A$3:$H$102,7,FALSE)=VLOOKUP($A6,main!$A$3:$H$102,8,FALSE),VLOOKUP(AS$1,main!$A$3:$H$102,4,FALSE),VLOOKUP(AS$1,main!$A$3:$H$102,4,FALSE)+VLOOKUP($A6,main!$A$3:$H$102,4,FALSE)+(VLOOKUP(VLOOKUP(AS$1,main!$A$3:$H$102,8,FALSE),main!$K$19:$O$22,MATCH(VLOOKUP($A6,main!$A$3:$H$102,7,FALSE),main!$K$18:$O$18,0),0))),0)</f>
        <v>0</v>
      </c>
      <c r="AT6">
        <f>IF((gamma!AT6),IF(VLOOKUP(AT$1,main!$A$3:$H$102,7,FALSE)=VLOOKUP($A6,main!$A$3:$H$102,8,FALSE),VLOOKUP(AT$1,main!$A$3:$H$102,4,FALSE),VLOOKUP(AT$1,main!$A$3:$H$102,4,FALSE)+VLOOKUP($A6,main!$A$3:$H$102,4,FALSE)+(VLOOKUP(VLOOKUP(AT$1,main!$A$3:$H$102,8,FALSE),main!$K$19:$O$22,MATCH(VLOOKUP($A6,main!$A$3:$H$102,7,FALSE),main!$K$18:$O$18,0),0))),0)</f>
        <v>130</v>
      </c>
      <c r="AU6">
        <f>IF((gamma!AU6),IF(VLOOKUP(AU$1,main!$A$3:$H$102,7,FALSE)=VLOOKUP($A6,main!$A$3:$H$102,8,FALSE),VLOOKUP(AU$1,main!$A$3:$H$102,4,FALSE),VLOOKUP(AU$1,main!$A$3:$H$102,4,FALSE)+VLOOKUP($A6,main!$A$3:$H$102,4,FALSE)+(VLOOKUP(VLOOKUP(AU$1,main!$A$3:$H$102,8,FALSE),main!$K$19:$O$22,MATCH(VLOOKUP($A6,main!$A$3:$H$102,7,FALSE),main!$K$18:$O$18,0),0))),0)</f>
        <v>0</v>
      </c>
      <c r="AV6">
        <f>IF((gamma!AV6),IF(VLOOKUP(AV$1,main!$A$3:$H$102,7,FALSE)=VLOOKUP($A6,main!$A$3:$H$102,8,FALSE),VLOOKUP(AV$1,main!$A$3:$H$102,4,FALSE),VLOOKUP(AV$1,main!$A$3:$H$102,4,FALSE)+VLOOKUP($A6,main!$A$3:$H$102,4,FALSE)+(VLOOKUP(VLOOKUP(AV$1,main!$A$3:$H$102,8,FALSE),main!$K$19:$O$22,MATCH(VLOOKUP($A6,main!$A$3:$H$102,7,FALSE),main!$K$18:$O$18,0),0))),0)</f>
        <v>0</v>
      </c>
      <c r="AW6">
        <f>IF((gamma!AW6),IF(VLOOKUP(AW$1,main!$A$3:$H$102,7,FALSE)=VLOOKUP($A6,main!$A$3:$H$102,8,FALSE),VLOOKUP(AW$1,main!$A$3:$H$102,4,FALSE),VLOOKUP(AW$1,main!$A$3:$H$102,4,FALSE)+VLOOKUP($A6,main!$A$3:$H$102,4,FALSE)+(VLOOKUP(VLOOKUP(AW$1,main!$A$3:$H$102,8,FALSE),main!$K$19:$O$22,MATCH(VLOOKUP($A6,main!$A$3:$H$102,7,FALSE),main!$K$18:$O$18,0),0))),0)</f>
        <v>120</v>
      </c>
      <c r="AX6">
        <f>IF((gamma!AX6),IF(VLOOKUP(AX$1,main!$A$3:$H$102,7,FALSE)=VLOOKUP($A6,main!$A$3:$H$102,8,FALSE),VLOOKUP(AX$1,main!$A$3:$H$102,4,FALSE),VLOOKUP(AX$1,main!$A$3:$H$102,4,FALSE)+VLOOKUP($A6,main!$A$3:$H$102,4,FALSE)+(VLOOKUP(VLOOKUP(AX$1,main!$A$3:$H$102,8,FALSE),main!$K$19:$O$22,MATCH(VLOOKUP($A6,main!$A$3:$H$102,7,FALSE),main!$K$18:$O$18,0),0))),0)</f>
        <v>0</v>
      </c>
      <c r="AY6">
        <f>IF((gamma!AY6),IF(VLOOKUP(AY$1,main!$A$3:$H$102,7,FALSE)=VLOOKUP($A6,main!$A$3:$H$102,8,FALSE),VLOOKUP(AY$1,main!$A$3:$H$102,4,FALSE),VLOOKUP(AY$1,main!$A$3:$H$102,4,FALSE)+VLOOKUP($A6,main!$A$3:$H$102,4,FALSE)+(VLOOKUP(VLOOKUP(AY$1,main!$A$3:$H$102,8,FALSE),main!$K$19:$O$22,MATCH(VLOOKUP($A6,main!$A$3:$H$102,7,FALSE),main!$K$18:$O$18,0),0))),0)</f>
        <v>0</v>
      </c>
      <c r="AZ6">
        <f>IF((gamma!AZ6),IF(VLOOKUP(AZ$1,main!$A$3:$H$102,7,FALSE)=VLOOKUP($A6,main!$A$3:$H$102,8,FALSE),VLOOKUP(AZ$1,main!$A$3:$H$102,4,FALSE),VLOOKUP(AZ$1,main!$A$3:$H$102,4,FALSE)+VLOOKUP($A6,main!$A$3:$H$102,4,FALSE)+(VLOOKUP(VLOOKUP(AZ$1,main!$A$3:$H$102,8,FALSE),main!$K$19:$O$22,MATCH(VLOOKUP($A6,main!$A$3:$H$102,7,FALSE),main!$K$18:$O$18,0),0))),0)</f>
        <v>0</v>
      </c>
      <c r="BA6">
        <f>IF((gamma!BA6),IF(VLOOKUP(BA$1,main!$A$3:$H$102,7,FALSE)=VLOOKUP($A6,main!$A$3:$H$102,8,FALSE),VLOOKUP(BA$1,main!$A$3:$H$102,4,FALSE),VLOOKUP(BA$1,main!$A$3:$H$102,4,FALSE)+VLOOKUP($A6,main!$A$3:$H$102,4,FALSE)+(VLOOKUP(VLOOKUP(BA$1,main!$A$3:$H$102,8,FALSE),main!$K$19:$O$22,MATCH(VLOOKUP($A6,main!$A$3:$H$102,7,FALSE),main!$K$18:$O$18,0),0))),0)</f>
        <v>0</v>
      </c>
      <c r="BB6">
        <f>IF((gamma!BB6),IF(VLOOKUP(BB$1,main!$A$3:$H$102,7,FALSE)=VLOOKUP($A6,main!$A$3:$H$102,8,FALSE),VLOOKUP(BB$1,main!$A$3:$H$102,4,FALSE),VLOOKUP(BB$1,main!$A$3:$H$102,4,FALSE)+VLOOKUP($A6,main!$A$3:$H$102,4,FALSE)+(VLOOKUP(VLOOKUP(BB$1,main!$A$3:$H$102,8,FALSE),main!$K$19:$O$22,MATCH(VLOOKUP($A6,main!$A$3:$H$102,7,FALSE),main!$K$18:$O$18,0),0))),0)</f>
        <v>0</v>
      </c>
      <c r="BC6">
        <f>IF((gamma!BC6),IF(VLOOKUP(BC$1,main!$A$3:$H$102,7,FALSE)=VLOOKUP($A6,main!$A$3:$H$102,8,FALSE),VLOOKUP(BC$1,main!$A$3:$H$102,4,FALSE),VLOOKUP(BC$1,main!$A$3:$H$102,4,FALSE)+VLOOKUP($A6,main!$A$3:$H$102,4,FALSE)+(VLOOKUP(VLOOKUP(BC$1,main!$A$3:$H$102,8,FALSE),main!$K$19:$O$22,MATCH(VLOOKUP($A6,main!$A$3:$H$102,7,FALSE),main!$K$18:$O$18,0),0))),0)</f>
        <v>0</v>
      </c>
      <c r="BD6">
        <f>IF((gamma!BD6),IF(VLOOKUP(BD$1,main!$A$3:$H$102,7,FALSE)=VLOOKUP($A6,main!$A$3:$H$102,8,FALSE),VLOOKUP(BD$1,main!$A$3:$H$102,4,FALSE),VLOOKUP(BD$1,main!$A$3:$H$102,4,FALSE)+VLOOKUP($A6,main!$A$3:$H$102,4,FALSE)+(VLOOKUP(VLOOKUP(BD$1,main!$A$3:$H$102,8,FALSE),main!$K$19:$O$22,MATCH(VLOOKUP($A6,main!$A$3:$H$102,7,FALSE),main!$K$18:$O$18,0),0))),0)</f>
        <v>275</v>
      </c>
      <c r="BE6">
        <f>IF((gamma!BE6),IF(VLOOKUP(BE$1,main!$A$3:$H$102,7,FALSE)=VLOOKUP($A6,main!$A$3:$H$102,8,FALSE),VLOOKUP(BE$1,main!$A$3:$H$102,4,FALSE),VLOOKUP(BE$1,main!$A$3:$H$102,4,FALSE)+VLOOKUP($A6,main!$A$3:$H$102,4,FALSE)+(VLOOKUP(VLOOKUP(BE$1,main!$A$3:$H$102,8,FALSE),main!$K$19:$O$22,MATCH(VLOOKUP($A6,main!$A$3:$H$102,7,FALSE),main!$K$18:$O$18,0),0))),0)</f>
        <v>275</v>
      </c>
      <c r="BF6">
        <f>IF((gamma!BF6),IF(VLOOKUP(BF$1,main!$A$3:$H$102,7,FALSE)=VLOOKUP($A6,main!$A$3:$H$102,8,FALSE),VLOOKUP(BF$1,main!$A$3:$H$102,4,FALSE),VLOOKUP(BF$1,main!$A$3:$H$102,4,FALSE)+VLOOKUP($A6,main!$A$3:$H$102,4,FALSE)+(VLOOKUP(VLOOKUP(BF$1,main!$A$3:$H$102,8,FALSE),main!$K$19:$O$22,MATCH(VLOOKUP($A6,main!$A$3:$H$102,7,FALSE),main!$K$18:$O$18,0),0))),0)</f>
        <v>0</v>
      </c>
      <c r="BG6">
        <f>IF((gamma!BG6),IF(VLOOKUP(BG$1,main!$A$3:$H$102,7,FALSE)=VLOOKUP($A6,main!$A$3:$H$102,8,FALSE),VLOOKUP(BG$1,main!$A$3:$H$102,4,FALSE),VLOOKUP(BG$1,main!$A$3:$H$102,4,FALSE)+VLOOKUP($A6,main!$A$3:$H$102,4,FALSE)+(VLOOKUP(VLOOKUP(BG$1,main!$A$3:$H$102,8,FALSE),main!$K$19:$O$22,MATCH(VLOOKUP($A6,main!$A$3:$H$102,7,FALSE),main!$K$18:$O$18,0),0))),0)</f>
        <v>0</v>
      </c>
      <c r="BH6">
        <f>IF((gamma!BH6),IF(VLOOKUP(BH$1,main!$A$3:$H$102,7,FALSE)=VLOOKUP($A6,main!$A$3:$H$102,8,FALSE),VLOOKUP(BH$1,main!$A$3:$H$102,4,FALSE),VLOOKUP(BH$1,main!$A$3:$H$102,4,FALSE)+VLOOKUP($A6,main!$A$3:$H$102,4,FALSE)+(VLOOKUP(VLOOKUP(BH$1,main!$A$3:$H$102,8,FALSE),main!$K$19:$O$22,MATCH(VLOOKUP($A6,main!$A$3:$H$102,7,FALSE),main!$K$18:$O$18,0),0))),0)</f>
        <v>0</v>
      </c>
      <c r="BI6">
        <f>IF((gamma!BI6),IF(VLOOKUP(BI$1,main!$A$3:$H$102,7,FALSE)=VLOOKUP($A6,main!$A$3:$H$102,8,FALSE),VLOOKUP(BI$1,main!$A$3:$H$102,4,FALSE),VLOOKUP(BI$1,main!$A$3:$H$102,4,FALSE)+VLOOKUP($A6,main!$A$3:$H$102,4,FALSE)+(VLOOKUP(VLOOKUP(BI$1,main!$A$3:$H$102,8,FALSE),main!$K$19:$O$22,MATCH(VLOOKUP($A6,main!$A$3:$H$102,7,FALSE),main!$K$18:$O$18,0),0))),0)</f>
        <v>195</v>
      </c>
      <c r="BJ6">
        <f>IF((gamma!BJ6),IF(VLOOKUP(BJ$1,main!$A$3:$H$102,7,FALSE)=VLOOKUP($A6,main!$A$3:$H$102,8,FALSE),VLOOKUP(BJ$1,main!$A$3:$H$102,4,FALSE),VLOOKUP(BJ$1,main!$A$3:$H$102,4,FALSE)+VLOOKUP($A6,main!$A$3:$H$102,4,FALSE)+(VLOOKUP(VLOOKUP(BJ$1,main!$A$3:$H$102,8,FALSE),main!$K$19:$O$22,MATCH(VLOOKUP($A6,main!$A$3:$H$102,7,FALSE),main!$K$18:$O$18,0),0))),0)</f>
        <v>225</v>
      </c>
      <c r="BK6">
        <f>IF((gamma!BK6),IF(VLOOKUP(BK$1,main!$A$3:$H$102,7,FALSE)=VLOOKUP($A6,main!$A$3:$H$102,8,FALSE),VLOOKUP(BK$1,main!$A$3:$H$102,4,FALSE),VLOOKUP(BK$1,main!$A$3:$H$102,4,FALSE)+VLOOKUP($A6,main!$A$3:$H$102,4,FALSE)+(VLOOKUP(VLOOKUP(BK$1,main!$A$3:$H$102,8,FALSE),main!$K$19:$O$22,MATCH(VLOOKUP($A6,main!$A$3:$H$102,7,FALSE),main!$K$18:$O$18,0),0))),0)</f>
        <v>0</v>
      </c>
      <c r="BL6">
        <f>IF((gamma!BL6),IF(VLOOKUP(BL$1,main!$A$3:$H$102,7,FALSE)=VLOOKUP($A6,main!$A$3:$H$102,8,FALSE),VLOOKUP(BL$1,main!$A$3:$H$102,4,FALSE),VLOOKUP(BL$1,main!$A$3:$H$102,4,FALSE)+VLOOKUP($A6,main!$A$3:$H$102,4,FALSE)+(VLOOKUP(VLOOKUP(BL$1,main!$A$3:$H$102,8,FALSE),main!$K$19:$O$22,MATCH(VLOOKUP($A6,main!$A$3:$H$102,7,FALSE),main!$K$18:$O$18,0),0))),0)</f>
        <v>0</v>
      </c>
      <c r="BM6">
        <f>IF((gamma!BM6),IF(VLOOKUP(BM$1,main!$A$3:$H$102,7,FALSE)=VLOOKUP($A6,main!$A$3:$H$102,8,FALSE),VLOOKUP(BM$1,main!$A$3:$H$102,4,FALSE),VLOOKUP(BM$1,main!$A$3:$H$102,4,FALSE)+VLOOKUP($A6,main!$A$3:$H$102,4,FALSE)+(VLOOKUP(VLOOKUP(BM$1,main!$A$3:$H$102,8,FALSE),main!$K$19:$O$22,MATCH(VLOOKUP($A6,main!$A$3:$H$102,7,FALSE),main!$K$18:$O$18,0),0))),0)</f>
        <v>0</v>
      </c>
      <c r="BN6">
        <f>IF((gamma!BN6),IF(VLOOKUP(BN$1,main!$A$3:$H$102,7,FALSE)=VLOOKUP($A6,main!$A$3:$H$102,8,FALSE),VLOOKUP(BN$1,main!$A$3:$H$102,4,FALSE),VLOOKUP(BN$1,main!$A$3:$H$102,4,FALSE)+VLOOKUP($A6,main!$A$3:$H$102,4,FALSE)+(VLOOKUP(VLOOKUP(BN$1,main!$A$3:$H$102,8,FALSE),main!$K$19:$O$22,MATCH(VLOOKUP($A6,main!$A$3:$H$102,7,FALSE),main!$K$18:$O$18,0),0))),0)</f>
        <v>0</v>
      </c>
      <c r="BO6">
        <f>IF((gamma!BO6),IF(VLOOKUP(BO$1,main!$A$3:$H$102,7,FALSE)=VLOOKUP($A6,main!$A$3:$H$102,8,FALSE),VLOOKUP(BO$1,main!$A$3:$H$102,4,FALSE),VLOOKUP(BO$1,main!$A$3:$H$102,4,FALSE)+VLOOKUP($A6,main!$A$3:$H$102,4,FALSE)+(VLOOKUP(VLOOKUP(BO$1,main!$A$3:$H$102,8,FALSE),main!$K$19:$O$22,MATCH(VLOOKUP($A6,main!$A$3:$H$102,7,FALSE),main!$K$18:$O$18,0),0))),0)</f>
        <v>0</v>
      </c>
      <c r="BP6">
        <f>IF((gamma!BP6),IF(VLOOKUP(BP$1,main!$A$3:$H$102,7,FALSE)=VLOOKUP($A6,main!$A$3:$H$102,8,FALSE),VLOOKUP(BP$1,main!$A$3:$H$102,4,FALSE),VLOOKUP(BP$1,main!$A$3:$H$102,4,FALSE)+VLOOKUP($A6,main!$A$3:$H$102,4,FALSE)+(VLOOKUP(VLOOKUP(BP$1,main!$A$3:$H$102,8,FALSE),main!$K$19:$O$22,MATCH(VLOOKUP($A6,main!$A$3:$H$102,7,FALSE),main!$K$18:$O$18,0),0))),0)</f>
        <v>0</v>
      </c>
      <c r="BQ6">
        <f>IF((gamma!BQ6),IF(VLOOKUP(BQ$1,main!$A$3:$H$102,7,FALSE)=VLOOKUP($A6,main!$A$3:$H$102,8,FALSE),VLOOKUP(BQ$1,main!$A$3:$H$102,4,FALSE),VLOOKUP(BQ$1,main!$A$3:$H$102,4,FALSE)+VLOOKUP($A6,main!$A$3:$H$102,4,FALSE)+(VLOOKUP(VLOOKUP(BQ$1,main!$A$3:$H$102,8,FALSE),main!$K$19:$O$22,MATCH(VLOOKUP($A6,main!$A$3:$H$102,7,FALSE),main!$K$18:$O$18,0),0))),0)</f>
        <v>0</v>
      </c>
      <c r="BR6">
        <f>IF((gamma!BR6),IF(VLOOKUP(BR$1,main!$A$3:$H$102,7,FALSE)=VLOOKUP($A6,main!$A$3:$H$102,8,FALSE),VLOOKUP(BR$1,main!$A$3:$H$102,4,FALSE),VLOOKUP(BR$1,main!$A$3:$H$102,4,FALSE)+VLOOKUP($A6,main!$A$3:$H$102,4,FALSE)+(VLOOKUP(VLOOKUP(BR$1,main!$A$3:$H$102,8,FALSE),main!$K$19:$O$22,MATCH(VLOOKUP($A6,main!$A$3:$H$102,7,FALSE),main!$K$18:$O$18,0),0))),0)</f>
        <v>0</v>
      </c>
      <c r="BS6">
        <f>IF((gamma!BS6),IF(VLOOKUP(BS$1,main!$A$3:$H$102,7,FALSE)=VLOOKUP($A6,main!$A$3:$H$102,8,FALSE),VLOOKUP(BS$1,main!$A$3:$H$102,4,FALSE),VLOOKUP(BS$1,main!$A$3:$H$102,4,FALSE)+VLOOKUP($A6,main!$A$3:$H$102,4,FALSE)+(VLOOKUP(VLOOKUP(BS$1,main!$A$3:$H$102,8,FALSE),main!$K$19:$O$22,MATCH(VLOOKUP($A6,main!$A$3:$H$102,7,FALSE),main!$K$18:$O$18,0),0))),0)</f>
        <v>0</v>
      </c>
      <c r="BT6">
        <f>IF((gamma!BT6),IF(VLOOKUP(BT$1,main!$A$3:$H$102,7,FALSE)=VLOOKUP($A6,main!$A$3:$H$102,8,FALSE),VLOOKUP(BT$1,main!$A$3:$H$102,4,FALSE),VLOOKUP(BT$1,main!$A$3:$H$102,4,FALSE)+VLOOKUP($A6,main!$A$3:$H$102,4,FALSE)+(VLOOKUP(VLOOKUP(BT$1,main!$A$3:$H$102,8,FALSE),main!$K$19:$O$22,MATCH(VLOOKUP($A6,main!$A$3:$H$102,7,FALSE),main!$K$18:$O$18,0),0))),0)</f>
        <v>0</v>
      </c>
      <c r="BU6">
        <f>IF((gamma!BU6),IF(VLOOKUP(BU$1,main!$A$3:$H$102,7,FALSE)=VLOOKUP($A6,main!$A$3:$H$102,8,FALSE),VLOOKUP(BU$1,main!$A$3:$H$102,4,FALSE),VLOOKUP(BU$1,main!$A$3:$H$102,4,FALSE)+VLOOKUP($A6,main!$A$3:$H$102,4,FALSE)+(VLOOKUP(VLOOKUP(BU$1,main!$A$3:$H$102,8,FALSE),main!$K$19:$O$22,MATCH(VLOOKUP($A6,main!$A$3:$H$102,7,FALSE),main!$K$18:$O$18,0),0))),0)</f>
        <v>0</v>
      </c>
      <c r="BV6">
        <f>IF((gamma!BV6),IF(VLOOKUP(BV$1,main!$A$3:$H$102,7,FALSE)=VLOOKUP($A6,main!$A$3:$H$102,8,FALSE),VLOOKUP(BV$1,main!$A$3:$H$102,4,FALSE),VLOOKUP(BV$1,main!$A$3:$H$102,4,FALSE)+VLOOKUP($A6,main!$A$3:$H$102,4,FALSE)+(VLOOKUP(VLOOKUP(BV$1,main!$A$3:$H$102,8,FALSE),main!$K$19:$O$22,MATCH(VLOOKUP($A6,main!$A$3:$H$102,7,FALSE),main!$K$18:$O$18,0),0))),0)</f>
        <v>0</v>
      </c>
      <c r="BW6">
        <f>IF((gamma!BW6),IF(VLOOKUP(BW$1,main!$A$3:$H$102,7,FALSE)=VLOOKUP($A6,main!$A$3:$H$102,8,FALSE),VLOOKUP(BW$1,main!$A$3:$H$102,4,FALSE),VLOOKUP(BW$1,main!$A$3:$H$102,4,FALSE)+VLOOKUP($A6,main!$A$3:$H$102,4,FALSE)+(VLOOKUP(VLOOKUP(BW$1,main!$A$3:$H$102,8,FALSE),main!$K$19:$O$22,MATCH(VLOOKUP($A6,main!$A$3:$H$102,7,FALSE),main!$K$18:$O$18,0),0))),0)</f>
        <v>0</v>
      </c>
      <c r="BX6">
        <f>IF((gamma!BX6),IF(VLOOKUP(BX$1,main!$A$3:$H$102,7,FALSE)=VLOOKUP($A6,main!$A$3:$H$102,8,FALSE),VLOOKUP(BX$1,main!$A$3:$H$102,4,FALSE),VLOOKUP(BX$1,main!$A$3:$H$102,4,FALSE)+VLOOKUP($A6,main!$A$3:$H$102,4,FALSE)+(VLOOKUP(VLOOKUP(BX$1,main!$A$3:$H$102,8,FALSE),main!$K$19:$O$22,MATCH(VLOOKUP($A6,main!$A$3:$H$102,7,FALSE),main!$K$18:$O$18,0),0))),0)</f>
        <v>0</v>
      </c>
      <c r="BY6">
        <f>IF((gamma!BY6),IF(VLOOKUP(BY$1,main!$A$3:$H$102,7,FALSE)=VLOOKUP($A6,main!$A$3:$H$102,8,FALSE),VLOOKUP(BY$1,main!$A$3:$H$102,4,FALSE),VLOOKUP(BY$1,main!$A$3:$H$102,4,FALSE)+VLOOKUP($A6,main!$A$3:$H$102,4,FALSE)+(VLOOKUP(VLOOKUP(BY$1,main!$A$3:$H$102,8,FALSE),main!$K$19:$O$22,MATCH(VLOOKUP($A6,main!$A$3:$H$102,7,FALSE),main!$K$18:$O$18,0),0))),0)</f>
        <v>0</v>
      </c>
      <c r="BZ6">
        <f>IF((gamma!BZ6),IF(VLOOKUP(BZ$1,main!$A$3:$H$102,7,FALSE)=VLOOKUP($A6,main!$A$3:$H$102,8,FALSE),VLOOKUP(BZ$1,main!$A$3:$H$102,4,FALSE),VLOOKUP(BZ$1,main!$A$3:$H$102,4,FALSE)+VLOOKUP($A6,main!$A$3:$H$102,4,FALSE)+(VLOOKUP(VLOOKUP(BZ$1,main!$A$3:$H$102,8,FALSE),main!$K$19:$O$22,MATCH(VLOOKUP($A6,main!$A$3:$H$102,7,FALSE),main!$K$18:$O$18,0),0))),0)</f>
        <v>0</v>
      </c>
      <c r="CA6">
        <f>IF((gamma!CA6),IF(VLOOKUP(CA$1,main!$A$3:$H$102,7,FALSE)=VLOOKUP($A6,main!$A$3:$H$102,8,FALSE),VLOOKUP(CA$1,main!$A$3:$H$102,4,FALSE),VLOOKUP(CA$1,main!$A$3:$H$102,4,FALSE)+VLOOKUP($A6,main!$A$3:$H$102,4,FALSE)+(VLOOKUP(VLOOKUP(CA$1,main!$A$3:$H$102,8,FALSE),main!$K$19:$O$22,MATCH(VLOOKUP($A6,main!$A$3:$H$102,7,FALSE),main!$K$18:$O$18,0),0))),0)</f>
        <v>0</v>
      </c>
      <c r="CB6">
        <f>IF((gamma!CB6),IF(VLOOKUP(CB$1,main!$A$3:$H$102,7,FALSE)=VLOOKUP($A6,main!$A$3:$H$102,8,FALSE),VLOOKUP(CB$1,main!$A$3:$H$102,4,FALSE),VLOOKUP(CB$1,main!$A$3:$H$102,4,FALSE)+VLOOKUP($A6,main!$A$3:$H$102,4,FALSE)+(VLOOKUP(VLOOKUP(CB$1,main!$A$3:$H$102,8,FALSE),main!$K$19:$O$22,MATCH(VLOOKUP($A6,main!$A$3:$H$102,7,FALSE),main!$K$18:$O$18,0),0))),0)</f>
        <v>0</v>
      </c>
      <c r="CC6">
        <f>IF((gamma!CC6),IF(VLOOKUP(CC$1,main!$A$3:$H$102,7,FALSE)=VLOOKUP($A6,main!$A$3:$H$102,8,FALSE),VLOOKUP(CC$1,main!$A$3:$H$102,4,FALSE),VLOOKUP(CC$1,main!$A$3:$H$102,4,FALSE)+VLOOKUP($A6,main!$A$3:$H$102,4,FALSE)+(VLOOKUP(VLOOKUP(CC$1,main!$A$3:$H$102,8,FALSE),main!$K$19:$O$22,MATCH(VLOOKUP($A6,main!$A$3:$H$102,7,FALSE),main!$K$18:$O$18,0),0))),0)</f>
        <v>225</v>
      </c>
      <c r="CD6">
        <f>IF((gamma!CD6),IF(VLOOKUP(CD$1,main!$A$3:$H$102,7,FALSE)=VLOOKUP($A6,main!$A$3:$H$102,8,FALSE),VLOOKUP(CD$1,main!$A$3:$H$102,4,FALSE),VLOOKUP(CD$1,main!$A$3:$H$102,4,FALSE)+VLOOKUP($A6,main!$A$3:$H$102,4,FALSE)+(VLOOKUP(VLOOKUP(CD$1,main!$A$3:$H$102,8,FALSE),main!$K$19:$O$22,MATCH(VLOOKUP($A6,main!$A$3:$H$102,7,FALSE),main!$K$18:$O$18,0),0))),0)</f>
        <v>0</v>
      </c>
      <c r="CE6">
        <f>IF((gamma!CE6),IF(VLOOKUP(CE$1,main!$A$3:$H$102,7,FALSE)=VLOOKUP($A6,main!$A$3:$H$102,8,FALSE),VLOOKUP(CE$1,main!$A$3:$H$102,4,FALSE),VLOOKUP(CE$1,main!$A$3:$H$102,4,FALSE)+VLOOKUP($A6,main!$A$3:$H$102,4,FALSE)+(VLOOKUP(VLOOKUP(CE$1,main!$A$3:$H$102,8,FALSE),main!$K$19:$O$22,MATCH(VLOOKUP($A6,main!$A$3:$H$102,7,FALSE),main!$K$18:$O$18,0),0))),0)</f>
        <v>0</v>
      </c>
      <c r="CF6">
        <f>IF((gamma!CF6),IF(VLOOKUP(CF$1,main!$A$3:$H$102,7,FALSE)=VLOOKUP($A6,main!$A$3:$H$102,8,FALSE),VLOOKUP(CF$1,main!$A$3:$H$102,4,FALSE),VLOOKUP(CF$1,main!$A$3:$H$102,4,FALSE)+VLOOKUP($A6,main!$A$3:$H$102,4,FALSE)+(VLOOKUP(VLOOKUP(CF$1,main!$A$3:$H$102,8,FALSE),main!$K$19:$O$22,MATCH(VLOOKUP($A6,main!$A$3:$H$102,7,FALSE),main!$K$18:$O$18,0),0))),0)</f>
        <v>0</v>
      </c>
      <c r="CG6">
        <f>IF((gamma!CG6),IF(VLOOKUP(CG$1,main!$A$3:$H$102,7,FALSE)=VLOOKUP($A6,main!$A$3:$H$102,8,FALSE),VLOOKUP(CG$1,main!$A$3:$H$102,4,FALSE),VLOOKUP(CG$1,main!$A$3:$H$102,4,FALSE)+VLOOKUP($A6,main!$A$3:$H$102,4,FALSE)+(VLOOKUP(VLOOKUP(CG$1,main!$A$3:$H$102,8,FALSE),main!$K$19:$O$22,MATCH(VLOOKUP($A6,main!$A$3:$H$102,7,FALSE),main!$K$18:$O$18,0),0))),0)</f>
        <v>0</v>
      </c>
      <c r="CH6">
        <f>IF((gamma!CH6),IF(VLOOKUP(CH$1,main!$A$3:$H$102,7,FALSE)=VLOOKUP($A6,main!$A$3:$H$102,8,FALSE),VLOOKUP(CH$1,main!$A$3:$H$102,4,FALSE),VLOOKUP(CH$1,main!$A$3:$H$102,4,FALSE)+VLOOKUP($A6,main!$A$3:$H$102,4,FALSE)+(VLOOKUP(VLOOKUP(CH$1,main!$A$3:$H$102,8,FALSE),main!$K$19:$O$22,MATCH(VLOOKUP($A6,main!$A$3:$H$102,7,FALSE),main!$K$18:$O$18,0),0))),0)</f>
        <v>275</v>
      </c>
      <c r="CI6">
        <f>IF((gamma!CI6),IF(VLOOKUP(CI$1,main!$A$3:$H$102,7,FALSE)=VLOOKUP($A6,main!$A$3:$H$102,8,FALSE),VLOOKUP(CI$1,main!$A$3:$H$102,4,FALSE),VLOOKUP(CI$1,main!$A$3:$H$102,4,FALSE)+VLOOKUP($A6,main!$A$3:$H$102,4,FALSE)+(VLOOKUP(VLOOKUP(CI$1,main!$A$3:$H$102,8,FALSE),main!$K$19:$O$22,MATCH(VLOOKUP($A6,main!$A$3:$H$102,7,FALSE),main!$K$18:$O$18,0),0))),0)</f>
        <v>275</v>
      </c>
      <c r="CJ6">
        <f>IF((gamma!CJ6),IF(VLOOKUP(CJ$1,main!$A$3:$H$102,7,FALSE)=VLOOKUP($A6,main!$A$3:$H$102,8,FALSE),VLOOKUP(CJ$1,main!$A$3:$H$102,4,FALSE),VLOOKUP(CJ$1,main!$A$3:$H$102,4,FALSE)+VLOOKUP($A6,main!$A$3:$H$102,4,FALSE)+(VLOOKUP(VLOOKUP(CJ$1,main!$A$3:$H$102,8,FALSE),main!$K$19:$O$22,MATCH(VLOOKUP($A6,main!$A$3:$H$102,7,FALSE),main!$K$18:$O$18,0),0))),0)</f>
        <v>0</v>
      </c>
      <c r="CK6">
        <f>IF((gamma!CK6),IF(VLOOKUP(CK$1,main!$A$3:$H$102,7,FALSE)=VLOOKUP($A6,main!$A$3:$H$102,8,FALSE),VLOOKUP(CK$1,main!$A$3:$H$102,4,FALSE),VLOOKUP(CK$1,main!$A$3:$H$102,4,FALSE)+VLOOKUP($A6,main!$A$3:$H$102,4,FALSE)+(VLOOKUP(VLOOKUP(CK$1,main!$A$3:$H$102,8,FALSE),main!$K$19:$O$22,MATCH(VLOOKUP($A6,main!$A$3:$H$102,7,FALSE),main!$K$18:$O$18,0),0))),0)</f>
        <v>0</v>
      </c>
      <c r="CL6">
        <f>IF((gamma!CL6),IF(VLOOKUP(CL$1,main!$A$3:$H$102,7,FALSE)=VLOOKUP($A6,main!$A$3:$H$102,8,FALSE),VLOOKUP(CL$1,main!$A$3:$H$102,4,FALSE),VLOOKUP(CL$1,main!$A$3:$H$102,4,FALSE)+VLOOKUP($A6,main!$A$3:$H$102,4,FALSE)+(VLOOKUP(VLOOKUP(CL$1,main!$A$3:$H$102,8,FALSE),main!$K$19:$O$22,MATCH(VLOOKUP($A6,main!$A$3:$H$102,7,FALSE),main!$K$18:$O$18,0),0))),0)</f>
        <v>0</v>
      </c>
      <c r="CM6">
        <f>IF((gamma!CM6),IF(VLOOKUP(CM$1,main!$A$3:$H$102,7,FALSE)=VLOOKUP($A6,main!$A$3:$H$102,8,FALSE),VLOOKUP(CM$1,main!$A$3:$H$102,4,FALSE),VLOOKUP(CM$1,main!$A$3:$H$102,4,FALSE)+VLOOKUP($A6,main!$A$3:$H$102,4,FALSE)+(VLOOKUP(VLOOKUP(CM$1,main!$A$3:$H$102,8,FALSE),main!$K$19:$O$22,MATCH(VLOOKUP($A6,main!$A$3:$H$102,7,FALSE),main!$K$18:$O$18,0),0))),0)</f>
        <v>235</v>
      </c>
      <c r="CN6">
        <f>IF((gamma!CN6),IF(VLOOKUP(CN$1,main!$A$3:$H$102,7,FALSE)=VLOOKUP($A6,main!$A$3:$H$102,8,FALSE),VLOOKUP(CN$1,main!$A$3:$H$102,4,FALSE),VLOOKUP(CN$1,main!$A$3:$H$102,4,FALSE)+VLOOKUP($A6,main!$A$3:$H$102,4,FALSE)+(VLOOKUP(VLOOKUP(CN$1,main!$A$3:$H$102,8,FALSE),main!$K$19:$O$22,MATCH(VLOOKUP($A6,main!$A$3:$H$102,7,FALSE),main!$K$18:$O$18,0),0))),0)</f>
        <v>231</v>
      </c>
      <c r="CO6">
        <f>IF((gamma!CO6),IF(VLOOKUP(CO$1,main!$A$3:$H$102,7,FALSE)=VLOOKUP($A6,main!$A$3:$H$102,8,FALSE),VLOOKUP(CO$1,main!$A$3:$H$102,4,FALSE),VLOOKUP(CO$1,main!$A$3:$H$102,4,FALSE)+VLOOKUP($A6,main!$A$3:$H$102,4,FALSE)+(VLOOKUP(VLOOKUP(CO$1,main!$A$3:$H$102,8,FALSE),main!$K$19:$O$22,MATCH(VLOOKUP($A6,main!$A$3:$H$102,7,FALSE),main!$K$18:$O$18,0),0))),0)</f>
        <v>0</v>
      </c>
      <c r="CP6">
        <f>IF((gamma!CP6),IF(VLOOKUP(CP$1,main!$A$3:$H$102,7,FALSE)=VLOOKUP($A6,main!$A$3:$H$102,8,FALSE),VLOOKUP(CP$1,main!$A$3:$H$102,4,FALSE),VLOOKUP(CP$1,main!$A$3:$H$102,4,FALSE)+VLOOKUP($A6,main!$A$3:$H$102,4,FALSE)+(VLOOKUP(VLOOKUP(CP$1,main!$A$3:$H$102,8,FALSE),main!$K$19:$O$22,MATCH(VLOOKUP($A6,main!$A$3:$H$102,7,FALSE),main!$K$18:$O$18,0),0))),0)</f>
        <v>0</v>
      </c>
      <c r="CQ6">
        <f>IF((gamma!CQ6),IF(VLOOKUP(CQ$1,main!$A$3:$H$102,7,FALSE)=VLOOKUP($A6,main!$A$3:$H$102,8,FALSE),VLOOKUP(CQ$1,main!$A$3:$H$102,4,FALSE),VLOOKUP(CQ$1,main!$A$3:$H$102,4,FALSE)+VLOOKUP($A6,main!$A$3:$H$102,4,FALSE)+(VLOOKUP(VLOOKUP(CQ$1,main!$A$3:$H$102,8,FALSE),main!$K$19:$O$22,MATCH(VLOOKUP($A6,main!$A$3:$H$102,7,FALSE),main!$K$18:$O$18,0),0))),0)</f>
        <v>0</v>
      </c>
      <c r="CR6">
        <f>IF((gamma!CR6),IF(VLOOKUP(CR$1,main!$A$3:$H$102,7,FALSE)=VLOOKUP($A6,main!$A$3:$H$102,8,FALSE),VLOOKUP(CR$1,main!$A$3:$H$102,4,FALSE),VLOOKUP(CR$1,main!$A$3:$H$102,4,FALSE)+VLOOKUP($A6,main!$A$3:$H$102,4,FALSE)+(VLOOKUP(VLOOKUP(CR$1,main!$A$3:$H$102,8,FALSE),main!$K$19:$O$22,MATCH(VLOOKUP($A6,main!$A$3:$H$102,7,FALSE),main!$K$18:$O$18,0),0))),0)</f>
        <v>300</v>
      </c>
      <c r="CS6">
        <f>IF((gamma!CS6),IF(VLOOKUP(CS$1,main!$A$3:$H$102,7,FALSE)=VLOOKUP($A6,main!$A$3:$H$102,8,FALSE),VLOOKUP(CS$1,main!$A$3:$H$102,4,FALSE),VLOOKUP(CS$1,main!$A$3:$H$102,4,FALSE)+VLOOKUP($A6,main!$A$3:$H$102,4,FALSE)+(VLOOKUP(VLOOKUP(CS$1,main!$A$3:$H$102,8,FALSE),main!$K$19:$O$22,MATCH(VLOOKUP($A6,main!$A$3:$H$102,7,FALSE),main!$K$18:$O$18,0),0))),0)</f>
        <v>300</v>
      </c>
      <c r="CT6">
        <f>IF((gamma!CT6),IF(VLOOKUP(CT$1,main!$A$3:$H$102,7,FALSE)=VLOOKUP($A6,main!$A$3:$H$102,8,FALSE),VLOOKUP(CT$1,main!$A$3:$H$102,4,FALSE),VLOOKUP(CT$1,main!$A$3:$H$102,4,FALSE)+VLOOKUP($A6,main!$A$3:$H$102,4,FALSE)+(VLOOKUP(VLOOKUP(CT$1,main!$A$3:$H$102,8,FALSE),main!$K$19:$O$22,MATCH(VLOOKUP($A6,main!$A$3:$H$102,7,FALSE),main!$K$18:$O$18,0),0))),0)</f>
        <v>0</v>
      </c>
      <c r="CU6">
        <f>IF((gamma!CU6),IF(VLOOKUP(CU$1,main!$A$3:$H$102,7,FALSE)=VLOOKUP($A6,main!$A$3:$H$102,8,FALSE),VLOOKUP(CU$1,main!$A$3:$H$102,4,FALSE),VLOOKUP(CU$1,main!$A$3:$H$102,4,FALSE)+VLOOKUP($A6,main!$A$3:$H$102,4,FALSE)+(VLOOKUP(VLOOKUP(CU$1,main!$A$3:$H$102,8,FALSE),main!$K$19:$O$22,MATCH(VLOOKUP($A6,main!$A$3:$H$102,7,FALSE),main!$K$18:$O$18,0),0))),0)</f>
        <v>0</v>
      </c>
      <c r="CV6">
        <f>IF((gamma!CV6),IF(VLOOKUP(CV$1,main!$A$3:$H$102,7,FALSE)=VLOOKUP($A6,main!$A$3:$H$102,8,FALSE),VLOOKUP(CV$1,main!$A$3:$H$102,4,FALSE),VLOOKUP(CV$1,main!$A$3:$H$102,4,FALSE)+VLOOKUP($A6,main!$A$3:$H$102,4,FALSE)+(VLOOKUP(VLOOKUP(CV$1,main!$A$3:$H$102,8,FALSE),main!$K$19:$O$22,MATCH(VLOOKUP($A6,main!$A$3:$H$102,7,FALSE),main!$K$18:$O$18,0),0))),0)</f>
        <v>0</v>
      </c>
      <c r="CW6">
        <f>IF((gamma!CW6),IF(VLOOKUP(CW$1,main!$A$3:$H$102,7,FALSE)=VLOOKUP($A6,main!$A$3:$H$102,8,FALSE),VLOOKUP(CW$1,main!$A$3:$H$102,4,FALSE),VLOOKUP(CW$1,main!$A$3:$H$102,4,FALSE)+VLOOKUP($A6,main!$A$3:$H$102,4,FALSE)+(VLOOKUP(VLOOKUP(CW$1,main!$A$3:$H$102,8,FALSE),main!$K$19:$O$22,MATCH(VLOOKUP($A6,main!$A$3:$H$102,7,FALSE),main!$K$18:$O$18,0),0))),0)</f>
        <v>260</v>
      </c>
      <c r="CX6">
        <f>IF((gamma!CX6),IF(VLOOKUP(CX$1,main!$A$3:$H$102,7,FALSE)=VLOOKUP($A6,main!$A$3:$H$102,8,FALSE),VLOOKUP(CX$1,main!$A$3:$H$102,4,FALSE),VLOOKUP(CX$1,main!$A$3:$H$102,4,FALSE)+VLOOKUP($A6,main!$A$3:$H$102,4,FALSE)+(VLOOKUP(VLOOKUP(CX$1,main!$A$3:$H$102,8,FALSE),main!$K$19:$O$22,MATCH(VLOOKUP($A6,main!$A$3:$H$102,7,FALSE),main!$K$18:$O$18,0),0))),0)</f>
        <v>250</v>
      </c>
      <c r="CY6">
        <v>0</v>
      </c>
      <c r="CZ6">
        <v>0</v>
      </c>
      <c r="DA6">
        <v>0</v>
      </c>
    </row>
    <row r="7" spans="1:105" x14ac:dyDescent="0.25">
      <c r="A7" s="1">
        <v>5</v>
      </c>
      <c r="B7">
        <v>0</v>
      </c>
      <c r="C7">
        <f>IF((gamma!C7),IF(VLOOKUP(C$1,main!$A$3:$H$102,7,FALSE)=VLOOKUP($A7,main!$A$3:$H$102,8,FALSE),VLOOKUP(C$1,main!$A$3:$H$102,4,FALSE),VLOOKUP(C$1,main!$A$3:$H$102,4,FALSE)+VLOOKUP($A7,main!$A$3:$H$102,4,FALSE)+(VLOOKUP(VLOOKUP(C$1,main!$A$3:$H$102,8,FALSE),main!$K$19:$O$22,MATCH(VLOOKUP($A7,main!$A$3:$H$102,7,FALSE),main!$K$18:$O$18,0),0))),0)</f>
        <v>0</v>
      </c>
      <c r="D7">
        <f>IF((gamma!D7),IF(VLOOKUP(D$1,main!$A$3:$H$102,7,FALSE)=VLOOKUP($A7,main!$A$3:$H$102,8,FALSE),VLOOKUP(D$1,main!$A$3:$H$102,4,FALSE),VLOOKUP(D$1,main!$A$3:$H$102,4,FALSE)+VLOOKUP($A7,main!$A$3:$H$102,4,FALSE)+(VLOOKUP(VLOOKUP(D$1,main!$A$3:$H$102,8,FALSE),main!$K$19:$O$22,MATCH(VLOOKUP($A7,main!$A$3:$H$102,7,FALSE),main!$K$18:$O$18,0),0))),0)</f>
        <v>0</v>
      </c>
      <c r="E7">
        <f>IF((gamma!E7),IF(VLOOKUP(E$1,main!$A$3:$H$102,7,FALSE)=VLOOKUP($A7,main!$A$3:$H$102,8,FALSE),VLOOKUP(E$1,main!$A$3:$H$102,4,FALSE),VLOOKUP(E$1,main!$A$3:$H$102,4,FALSE)+VLOOKUP($A7,main!$A$3:$H$102,4,FALSE)+(VLOOKUP(VLOOKUP(E$1,main!$A$3:$H$102,8,FALSE),main!$K$19:$O$22,MATCH(VLOOKUP($A7,main!$A$3:$H$102,7,FALSE),main!$K$18:$O$18,0),0))),0)</f>
        <v>0</v>
      </c>
      <c r="F7">
        <f>IF((gamma!F7),IF(VLOOKUP(F$1,main!$A$3:$H$102,7,FALSE)=VLOOKUP($A7,main!$A$3:$H$102,8,FALSE),VLOOKUP(F$1,main!$A$3:$H$102,4,FALSE),VLOOKUP(F$1,main!$A$3:$H$102,4,FALSE)+VLOOKUP($A7,main!$A$3:$H$102,4,FALSE)+(VLOOKUP(VLOOKUP(F$1,main!$A$3:$H$102,8,FALSE),main!$K$19:$O$22,MATCH(VLOOKUP($A7,main!$A$3:$H$102,7,FALSE),main!$K$18:$O$18,0),0))),0)</f>
        <v>0</v>
      </c>
      <c r="G7">
        <f>IF((gamma!G7),IF(VLOOKUP(G$1,main!$A$3:$H$102,7,FALSE)=VLOOKUP($A7,main!$A$3:$H$102,8,FALSE),VLOOKUP(G$1,main!$A$3:$H$102,4,FALSE),VLOOKUP(G$1,main!$A$3:$H$102,4,FALSE)+VLOOKUP($A7,main!$A$3:$H$102,4,FALSE)+(VLOOKUP(VLOOKUP(G$1,main!$A$3:$H$102,8,FALSE),main!$K$19:$O$22,MATCH(VLOOKUP($A7,main!$A$3:$H$102,7,FALSE),main!$K$18:$O$18,0),0))),0)</f>
        <v>0</v>
      </c>
      <c r="H7">
        <f>IF((gamma!H7),IF(VLOOKUP(H$1,main!$A$3:$H$102,7,FALSE)=VLOOKUP($A7,main!$A$3:$H$102,8,FALSE),VLOOKUP(H$1,main!$A$3:$H$102,4,FALSE),VLOOKUP(H$1,main!$A$3:$H$102,4,FALSE)+VLOOKUP($A7,main!$A$3:$H$102,4,FALSE)+(VLOOKUP(VLOOKUP(H$1,main!$A$3:$H$102,8,FALSE),main!$K$19:$O$22,MATCH(VLOOKUP($A7,main!$A$3:$H$102,7,FALSE),main!$K$18:$O$18,0),0))),0)</f>
        <v>0</v>
      </c>
      <c r="I7">
        <f>IF((gamma!I7),IF(VLOOKUP(I$1,main!$A$3:$H$102,7,FALSE)=VLOOKUP($A7,main!$A$3:$H$102,8,FALSE),VLOOKUP(I$1,main!$A$3:$H$102,4,FALSE),VLOOKUP(I$1,main!$A$3:$H$102,4,FALSE)+VLOOKUP($A7,main!$A$3:$H$102,4,FALSE)+(VLOOKUP(VLOOKUP(I$1,main!$A$3:$H$102,8,FALSE),main!$K$19:$O$22,MATCH(VLOOKUP($A7,main!$A$3:$H$102,7,FALSE),main!$K$18:$O$18,0),0))),0)</f>
        <v>0</v>
      </c>
      <c r="J7">
        <f>IF((gamma!J7),IF(VLOOKUP(J$1,main!$A$3:$H$102,7,FALSE)=VLOOKUP($A7,main!$A$3:$H$102,8,FALSE),VLOOKUP(J$1,main!$A$3:$H$102,4,FALSE),VLOOKUP(J$1,main!$A$3:$H$102,4,FALSE)+VLOOKUP($A7,main!$A$3:$H$102,4,FALSE)+(VLOOKUP(VLOOKUP(J$1,main!$A$3:$H$102,8,FALSE),main!$K$19:$O$22,MATCH(VLOOKUP($A7,main!$A$3:$H$102,7,FALSE),main!$K$18:$O$18,0),0))),0)</f>
        <v>295</v>
      </c>
      <c r="K7">
        <f>IF((gamma!K7),IF(VLOOKUP(K$1,main!$A$3:$H$102,7,FALSE)=VLOOKUP($A7,main!$A$3:$H$102,8,FALSE),VLOOKUP(K$1,main!$A$3:$H$102,4,FALSE),VLOOKUP(K$1,main!$A$3:$H$102,4,FALSE)+VLOOKUP($A7,main!$A$3:$H$102,4,FALSE)+(VLOOKUP(VLOOKUP(K$1,main!$A$3:$H$102,8,FALSE),main!$K$19:$O$22,MATCH(VLOOKUP($A7,main!$A$3:$H$102,7,FALSE),main!$K$18:$O$18,0),0))),0)</f>
        <v>295</v>
      </c>
      <c r="L7">
        <f>IF((gamma!L7),IF(VLOOKUP(L$1,main!$A$3:$H$102,7,FALSE)=VLOOKUP($A7,main!$A$3:$H$102,8,FALSE),VLOOKUP(L$1,main!$A$3:$H$102,4,FALSE),VLOOKUP(L$1,main!$A$3:$H$102,4,FALSE)+VLOOKUP($A7,main!$A$3:$H$102,4,FALSE)+(VLOOKUP(VLOOKUP(L$1,main!$A$3:$H$102,8,FALSE),main!$K$19:$O$22,MATCH(VLOOKUP($A7,main!$A$3:$H$102,7,FALSE),main!$K$18:$O$18,0),0))),0)</f>
        <v>295</v>
      </c>
      <c r="M7">
        <f>IF((gamma!M7),IF(VLOOKUP(M$1,main!$A$3:$H$102,7,FALSE)=VLOOKUP($A7,main!$A$3:$H$102,8,FALSE),VLOOKUP(M$1,main!$A$3:$H$102,4,FALSE),VLOOKUP(M$1,main!$A$3:$H$102,4,FALSE)+VLOOKUP($A7,main!$A$3:$H$102,4,FALSE)+(VLOOKUP(VLOOKUP(M$1,main!$A$3:$H$102,8,FALSE),main!$K$19:$O$22,MATCH(VLOOKUP($A7,main!$A$3:$H$102,7,FALSE),main!$K$18:$O$18,0),0))),0)</f>
        <v>0</v>
      </c>
      <c r="N7">
        <f>IF((gamma!N7),IF(VLOOKUP(N$1,main!$A$3:$H$102,7,FALSE)=VLOOKUP($A7,main!$A$3:$H$102,8,FALSE),VLOOKUP(N$1,main!$A$3:$H$102,4,FALSE),VLOOKUP(N$1,main!$A$3:$H$102,4,FALSE)+VLOOKUP($A7,main!$A$3:$H$102,4,FALSE)+(VLOOKUP(VLOOKUP(N$1,main!$A$3:$H$102,8,FALSE),main!$K$19:$O$22,MATCH(VLOOKUP($A7,main!$A$3:$H$102,7,FALSE),main!$K$18:$O$18,0),0))),0)</f>
        <v>0</v>
      </c>
      <c r="O7">
        <f>IF((gamma!O7),IF(VLOOKUP(O$1,main!$A$3:$H$102,7,FALSE)=VLOOKUP($A7,main!$A$3:$H$102,8,FALSE),VLOOKUP(O$1,main!$A$3:$H$102,4,FALSE),VLOOKUP(O$1,main!$A$3:$H$102,4,FALSE)+VLOOKUP($A7,main!$A$3:$H$102,4,FALSE)+(VLOOKUP(VLOOKUP(O$1,main!$A$3:$H$102,8,FALSE),main!$K$19:$O$22,MATCH(VLOOKUP($A7,main!$A$3:$H$102,7,FALSE),main!$K$18:$O$18,0),0))),0)</f>
        <v>0</v>
      </c>
      <c r="P7">
        <f>IF((gamma!P7),IF(VLOOKUP(P$1,main!$A$3:$H$102,7,FALSE)=VLOOKUP($A7,main!$A$3:$H$102,8,FALSE),VLOOKUP(P$1,main!$A$3:$H$102,4,FALSE),VLOOKUP(P$1,main!$A$3:$H$102,4,FALSE)+VLOOKUP($A7,main!$A$3:$H$102,4,FALSE)+(VLOOKUP(VLOOKUP(P$1,main!$A$3:$H$102,8,FALSE),main!$K$19:$O$22,MATCH(VLOOKUP($A7,main!$A$3:$H$102,7,FALSE),main!$K$18:$O$18,0),0))),0)</f>
        <v>0</v>
      </c>
      <c r="Q7">
        <f>IF((gamma!Q7),IF(VLOOKUP(Q$1,main!$A$3:$H$102,7,FALSE)=VLOOKUP($A7,main!$A$3:$H$102,8,FALSE),VLOOKUP(Q$1,main!$A$3:$H$102,4,FALSE),VLOOKUP(Q$1,main!$A$3:$H$102,4,FALSE)+VLOOKUP($A7,main!$A$3:$H$102,4,FALSE)+(VLOOKUP(VLOOKUP(Q$1,main!$A$3:$H$102,8,FALSE),main!$K$19:$O$22,MATCH(VLOOKUP($A7,main!$A$3:$H$102,7,FALSE),main!$K$18:$O$18,0),0))),0)</f>
        <v>0</v>
      </c>
      <c r="R7">
        <f>IF((gamma!R7),IF(VLOOKUP(R$1,main!$A$3:$H$102,7,FALSE)=VLOOKUP($A7,main!$A$3:$H$102,8,FALSE),VLOOKUP(R$1,main!$A$3:$H$102,4,FALSE),VLOOKUP(R$1,main!$A$3:$H$102,4,FALSE)+VLOOKUP($A7,main!$A$3:$H$102,4,FALSE)+(VLOOKUP(VLOOKUP(R$1,main!$A$3:$H$102,8,FALSE),main!$K$19:$O$22,MATCH(VLOOKUP($A7,main!$A$3:$H$102,7,FALSE),main!$K$18:$O$18,0),0))),0)</f>
        <v>0</v>
      </c>
      <c r="S7">
        <f>IF((gamma!S7),IF(VLOOKUP(S$1,main!$A$3:$H$102,7,FALSE)=VLOOKUP($A7,main!$A$3:$H$102,8,FALSE),VLOOKUP(S$1,main!$A$3:$H$102,4,FALSE),VLOOKUP(S$1,main!$A$3:$H$102,4,FALSE)+VLOOKUP($A7,main!$A$3:$H$102,4,FALSE)+(VLOOKUP(VLOOKUP(S$1,main!$A$3:$H$102,8,FALSE),main!$K$19:$O$22,MATCH(VLOOKUP($A7,main!$A$3:$H$102,7,FALSE),main!$K$18:$O$18,0),0))),0)</f>
        <v>0</v>
      </c>
      <c r="T7">
        <f>IF((gamma!T7),IF(VLOOKUP(T$1,main!$A$3:$H$102,7,FALSE)=VLOOKUP($A7,main!$A$3:$H$102,8,FALSE),VLOOKUP(T$1,main!$A$3:$H$102,4,FALSE),VLOOKUP(T$1,main!$A$3:$H$102,4,FALSE)+VLOOKUP($A7,main!$A$3:$H$102,4,FALSE)+(VLOOKUP(VLOOKUP(T$1,main!$A$3:$H$102,8,FALSE),main!$K$19:$O$22,MATCH(VLOOKUP($A7,main!$A$3:$H$102,7,FALSE),main!$K$18:$O$18,0),0))),0)</f>
        <v>0</v>
      </c>
      <c r="U7">
        <f>IF((gamma!U7),IF(VLOOKUP(U$1,main!$A$3:$H$102,7,FALSE)=VLOOKUP($A7,main!$A$3:$H$102,8,FALSE),VLOOKUP(U$1,main!$A$3:$H$102,4,FALSE),VLOOKUP(U$1,main!$A$3:$H$102,4,FALSE)+VLOOKUP($A7,main!$A$3:$H$102,4,FALSE)+(VLOOKUP(VLOOKUP(U$1,main!$A$3:$H$102,8,FALSE),main!$K$19:$O$22,MATCH(VLOOKUP($A7,main!$A$3:$H$102,7,FALSE),main!$K$18:$O$18,0),0))),0)</f>
        <v>305</v>
      </c>
      <c r="V7">
        <f>IF((gamma!V7),IF(VLOOKUP(V$1,main!$A$3:$H$102,7,FALSE)=VLOOKUP($A7,main!$A$3:$H$102,8,FALSE),VLOOKUP(V$1,main!$A$3:$H$102,4,FALSE),VLOOKUP(V$1,main!$A$3:$H$102,4,FALSE)+VLOOKUP($A7,main!$A$3:$H$102,4,FALSE)+(VLOOKUP(VLOOKUP(V$1,main!$A$3:$H$102,8,FALSE),main!$K$19:$O$22,MATCH(VLOOKUP($A7,main!$A$3:$H$102,7,FALSE),main!$K$18:$O$18,0),0))),0)</f>
        <v>305</v>
      </c>
      <c r="W7">
        <f>IF((gamma!W7),IF(VLOOKUP(W$1,main!$A$3:$H$102,7,FALSE)=VLOOKUP($A7,main!$A$3:$H$102,8,FALSE),VLOOKUP(W$1,main!$A$3:$H$102,4,FALSE),VLOOKUP(W$1,main!$A$3:$H$102,4,FALSE)+VLOOKUP($A7,main!$A$3:$H$102,4,FALSE)+(VLOOKUP(VLOOKUP(W$1,main!$A$3:$H$102,8,FALSE),main!$K$19:$O$22,MATCH(VLOOKUP($A7,main!$A$3:$H$102,7,FALSE),main!$K$18:$O$18,0),0))),0)</f>
        <v>0</v>
      </c>
      <c r="X7">
        <f>IF((gamma!X7),IF(VLOOKUP(X$1,main!$A$3:$H$102,7,FALSE)=VLOOKUP($A7,main!$A$3:$H$102,8,FALSE),VLOOKUP(X$1,main!$A$3:$H$102,4,FALSE),VLOOKUP(X$1,main!$A$3:$H$102,4,FALSE)+VLOOKUP($A7,main!$A$3:$H$102,4,FALSE)+(VLOOKUP(VLOOKUP(X$1,main!$A$3:$H$102,8,FALSE),main!$K$19:$O$22,MATCH(VLOOKUP($A7,main!$A$3:$H$102,7,FALSE),main!$K$18:$O$18,0),0))),0)</f>
        <v>0</v>
      </c>
      <c r="Y7">
        <f>IF((gamma!Y7),IF(VLOOKUP(Y$1,main!$A$3:$H$102,7,FALSE)=VLOOKUP($A7,main!$A$3:$H$102,8,FALSE),VLOOKUP(Y$1,main!$A$3:$H$102,4,FALSE),VLOOKUP(Y$1,main!$A$3:$H$102,4,FALSE)+VLOOKUP($A7,main!$A$3:$H$102,4,FALSE)+(VLOOKUP(VLOOKUP(Y$1,main!$A$3:$H$102,8,FALSE),main!$K$19:$O$22,MATCH(VLOOKUP($A7,main!$A$3:$H$102,7,FALSE),main!$K$18:$O$18,0),0))),0)</f>
        <v>0</v>
      </c>
      <c r="Z7">
        <f>IF((gamma!Z7),IF(VLOOKUP(Z$1,main!$A$3:$H$102,7,FALSE)=VLOOKUP($A7,main!$A$3:$H$102,8,FALSE),VLOOKUP(Z$1,main!$A$3:$H$102,4,FALSE),VLOOKUP(Z$1,main!$A$3:$H$102,4,FALSE)+VLOOKUP($A7,main!$A$3:$H$102,4,FALSE)+(VLOOKUP(VLOOKUP(Z$1,main!$A$3:$H$102,8,FALSE),main!$K$19:$O$22,MATCH(VLOOKUP($A7,main!$A$3:$H$102,7,FALSE),main!$K$18:$O$18,0),0))),0)</f>
        <v>0</v>
      </c>
      <c r="AA7">
        <f>IF((gamma!AA7),IF(VLOOKUP(AA$1,main!$A$3:$H$102,7,FALSE)=VLOOKUP($A7,main!$A$3:$H$102,8,FALSE),VLOOKUP(AA$1,main!$A$3:$H$102,4,FALSE),VLOOKUP(AA$1,main!$A$3:$H$102,4,FALSE)+VLOOKUP($A7,main!$A$3:$H$102,4,FALSE)+(VLOOKUP(VLOOKUP(AA$1,main!$A$3:$H$102,8,FALSE),main!$K$19:$O$22,MATCH(VLOOKUP($A7,main!$A$3:$H$102,7,FALSE),main!$K$18:$O$18,0),0))),0)</f>
        <v>310</v>
      </c>
      <c r="AB7">
        <f>IF((gamma!AB7),IF(VLOOKUP(AB$1,main!$A$3:$H$102,7,FALSE)=VLOOKUP($A7,main!$A$3:$H$102,8,FALSE),VLOOKUP(AB$1,main!$A$3:$H$102,4,FALSE),VLOOKUP(AB$1,main!$A$3:$H$102,4,FALSE)+VLOOKUP($A7,main!$A$3:$H$102,4,FALSE)+(VLOOKUP(VLOOKUP(AB$1,main!$A$3:$H$102,8,FALSE),main!$K$19:$O$22,MATCH(VLOOKUP($A7,main!$A$3:$H$102,7,FALSE),main!$K$18:$O$18,0),0))),0)</f>
        <v>0</v>
      </c>
      <c r="AC7">
        <f>IF((gamma!AC7),IF(VLOOKUP(AC$1,main!$A$3:$H$102,7,FALSE)=VLOOKUP($A7,main!$A$3:$H$102,8,FALSE),VLOOKUP(AC$1,main!$A$3:$H$102,4,FALSE),VLOOKUP(AC$1,main!$A$3:$H$102,4,FALSE)+VLOOKUP($A7,main!$A$3:$H$102,4,FALSE)+(VLOOKUP(VLOOKUP(AC$1,main!$A$3:$H$102,8,FALSE),main!$K$19:$O$22,MATCH(VLOOKUP($A7,main!$A$3:$H$102,7,FALSE),main!$K$18:$O$18,0),0))),0)</f>
        <v>0</v>
      </c>
      <c r="AD7">
        <f>IF((gamma!AD7),IF(VLOOKUP(AD$1,main!$A$3:$H$102,7,FALSE)=VLOOKUP($A7,main!$A$3:$H$102,8,FALSE),VLOOKUP(AD$1,main!$A$3:$H$102,4,FALSE),VLOOKUP(AD$1,main!$A$3:$H$102,4,FALSE)+VLOOKUP($A7,main!$A$3:$H$102,4,FALSE)+(VLOOKUP(VLOOKUP(AD$1,main!$A$3:$H$102,8,FALSE),main!$K$19:$O$22,MATCH(VLOOKUP($A7,main!$A$3:$H$102,7,FALSE),main!$K$18:$O$18,0),0))),0)</f>
        <v>0</v>
      </c>
      <c r="AE7">
        <f>IF((gamma!AE7),IF(VLOOKUP(AE$1,main!$A$3:$H$102,7,FALSE)=VLOOKUP($A7,main!$A$3:$H$102,8,FALSE),VLOOKUP(AE$1,main!$A$3:$H$102,4,FALSE),VLOOKUP(AE$1,main!$A$3:$H$102,4,FALSE)+VLOOKUP($A7,main!$A$3:$H$102,4,FALSE)+(VLOOKUP(VLOOKUP(AE$1,main!$A$3:$H$102,8,FALSE),main!$K$19:$O$22,MATCH(VLOOKUP($A7,main!$A$3:$H$102,7,FALSE),main!$K$18:$O$18,0),0))),0)</f>
        <v>0</v>
      </c>
      <c r="AF7">
        <f>IF((gamma!AF7),IF(VLOOKUP(AF$1,main!$A$3:$H$102,7,FALSE)=VLOOKUP($A7,main!$A$3:$H$102,8,FALSE),VLOOKUP(AF$1,main!$A$3:$H$102,4,FALSE),VLOOKUP(AF$1,main!$A$3:$H$102,4,FALSE)+VLOOKUP($A7,main!$A$3:$H$102,4,FALSE)+(VLOOKUP(VLOOKUP(AF$1,main!$A$3:$H$102,8,FALSE),main!$K$19:$O$22,MATCH(VLOOKUP($A7,main!$A$3:$H$102,7,FALSE),main!$K$18:$O$18,0),0))),0)</f>
        <v>270</v>
      </c>
      <c r="AG7">
        <f>IF((gamma!AG7),IF(VLOOKUP(AG$1,main!$A$3:$H$102,7,FALSE)=VLOOKUP($A7,main!$A$3:$H$102,8,FALSE),VLOOKUP(AG$1,main!$A$3:$H$102,4,FALSE),VLOOKUP(AG$1,main!$A$3:$H$102,4,FALSE)+VLOOKUP($A7,main!$A$3:$H$102,4,FALSE)+(VLOOKUP(VLOOKUP(AG$1,main!$A$3:$H$102,8,FALSE),main!$K$19:$O$22,MATCH(VLOOKUP($A7,main!$A$3:$H$102,7,FALSE),main!$K$18:$O$18,0),0))),0)</f>
        <v>0</v>
      </c>
      <c r="AH7">
        <f>IF((gamma!AH7),IF(VLOOKUP(AH$1,main!$A$3:$H$102,7,FALSE)=VLOOKUP($A7,main!$A$3:$H$102,8,FALSE),VLOOKUP(AH$1,main!$A$3:$H$102,4,FALSE),VLOOKUP(AH$1,main!$A$3:$H$102,4,FALSE)+VLOOKUP($A7,main!$A$3:$H$102,4,FALSE)+(VLOOKUP(VLOOKUP(AH$1,main!$A$3:$H$102,8,FALSE),main!$K$19:$O$22,MATCH(VLOOKUP($A7,main!$A$3:$H$102,7,FALSE),main!$K$18:$O$18,0),0))),0)</f>
        <v>0</v>
      </c>
      <c r="AI7">
        <f>IF((gamma!AI7),IF(VLOOKUP(AI$1,main!$A$3:$H$102,7,FALSE)=VLOOKUP($A7,main!$A$3:$H$102,8,FALSE),VLOOKUP(AI$1,main!$A$3:$H$102,4,FALSE),VLOOKUP(AI$1,main!$A$3:$H$102,4,FALSE)+VLOOKUP($A7,main!$A$3:$H$102,4,FALSE)+(VLOOKUP(VLOOKUP(AI$1,main!$A$3:$H$102,8,FALSE),main!$K$19:$O$22,MATCH(VLOOKUP($A7,main!$A$3:$H$102,7,FALSE),main!$K$18:$O$18,0),0))),0)</f>
        <v>0</v>
      </c>
      <c r="AJ7">
        <f>IF((gamma!AJ7),IF(VLOOKUP(AJ$1,main!$A$3:$H$102,7,FALSE)=VLOOKUP($A7,main!$A$3:$H$102,8,FALSE),VLOOKUP(AJ$1,main!$A$3:$H$102,4,FALSE),VLOOKUP(AJ$1,main!$A$3:$H$102,4,FALSE)+VLOOKUP($A7,main!$A$3:$H$102,4,FALSE)+(VLOOKUP(VLOOKUP(AJ$1,main!$A$3:$H$102,8,FALSE),main!$K$19:$O$22,MATCH(VLOOKUP($A7,main!$A$3:$H$102,7,FALSE),main!$K$18:$O$18,0),0))),0)</f>
        <v>0</v>
      </c>
      <c r="AK7">
        <f>IF((gamma!AK7),IF(VLOOKUP(AK$1,main!$A$3:$H$102,7,FALSE)=VLOOKUP($A7,main!$A$3:$H$102,8,FALSE),VLOOKUP(AK$1,main!$A$3:$H$102,4,FALSE),VLOOKUP(AK$1,main!$A$3:$H$102,4,FALSE)+VLOOKUP($A7,main!$A$3:$H$102,4,FALSE)+(VLOOKUP(VLOOKUP(AK$1,main!$A$3:$H$102,8,FALSE),main!$K$19:$O$22,MATCH(VLOOKUP($A7,main!$A$3:$H$102,7,FALSE),main!$K$18:$O$18,0),0))),0)</f>
        <v>0</v>
      </c>
      <c r="AL7">
        <f>IF((gamma!AL7),IF(VLOOKUP(AL$1,main!$A$3:$H$102,7,FALSE)=VLOOKUP($A7,main!$A$3:$H$102,8,FALSE),VLOOKUP(AL$1,main!$A$3:$H$102,4,FALSE),VLOOKUP(AL$1,main!$A$3:$H$102,4,FALSE)+VLOOKUP($A7,main!$A$3:$H$102,4,FALSE)+(VLOOKUP(VLOOKUP(AL$1,main!$A$3:$H$102,8,FALSE),main!$K$19:$O$22,MATCH(VLOOKUP($A7,main!$A$3:$H$102,7,FALSE),main!$K$18:$O$18,0),0))),0)</f>
        <v>135</v>
      </c>
      <c r="AM7">
        <f>IF((gamma!AM7),IF(VLOOKUP(AM$1,main!$A$3:$H$102,7,FALSE)=VLOOKUP($A7,main!$A$3:$H$102,8,FALSE),VLOOKUP(AM$1,main!$A$3:$H$102,4,FALSE),VLOOKUP(AM$1,main!$A$3:$H$102,4,FALSE)+VLOOKUP($A7,main!$A$3:$H$102,4,FALSE)+(VLOOKUP(VLOOKUP(AM$1,main!$A$3:$H$102,8,FALSE),main!$K$19:$O$22,MATCH(VLOOKUP($A7,main!$A$3:$H$102,7,FALSE),main!$K$18:$O$18,0),0))),0)</f>
        <v>135</v>
      </c>
      <c r="AN7">
        <f>IF((gamma!AN7),IF(VLOOKUP(AN$1,main!$A$3:$H$102,7,FALSE)=VLOOKUP($A7,main!$A$3:$H$102,8,FALSE),VLOOKUP(AN$1,main!$A$3:$H$102,4,FALSE),VLOOKUP(AN$1,main!$A$3:$H$102,4,FALSE)+VLOOKUP($A7,main!$A$3:$H$102,4,FALSE)+(VLOOKUP(VLOOKUP(AN$1,main!$A$3:$H$102,8,FALSE),main!$K$19:$O$22,MATCH(VLOOKUP($A7,main!$A$3:$H$102,7,FALSE),main!$K$18:$O$18,0),0))),0)</f>
        <v>135</v>
      </c>
      <c r="AO7">
        <f>IF((gamma!AO7),IF(VLOOKUP(AO$1,main!$A$3:$H$102,7,FALSE)=VLOOKUP($A7,main!$A$3:$H$102,8,FALSE),VLOOKUP(AO$1,main!$A$3:$H$102,4,FALSE),VLOOKUP(AO$1,main!$A$3:$H$102,4,FALSE)+VLOOKUP($A7,main!$A$3:$H$102,4,FALSE)+(VLOOKUP(VLOOKUP(AO$1,main!$A$3:$H$102,8,FALSE),main!$K$19:$O$22,MATCH(VLOOKUP($A7,main!$A$3:$H$102,7,FALSE),main!$K$18:$O$18,0),0))),0)</f>
        <v>0</v>
      </c>
      <c r="AP7">
        <f>IF((gamma!AP7),IF(VLOOKUP(AP$1,main!$A$3:$H$102,7,FALSE)=VLOOKUP($A7,main!$A$3:$H$102,8,FALSE),VLOOKUP(AP$1,main!$A$3:$H$102,4,FALSE),VLOOKUP(AP$1,main!$A$3:$H$102,4,FALSE)+VLOOKUP($A7,main!$A$3:$H$102,4,FALSE)+(VLOOKUP(VLOOKUP(AP$1,main!$A$3:$H$102,8,FALSE),main!$K$19:$O$22,MATCH(VLOOKUP($A7,main!$A$3:$H$102,7,FALSE),main!$K$18:$O$18,0),0))),0)</f>
        <v>75</v>
      </c>
      <c r="AQ7">
        <f>IF((gamma!AQ7),IF(VLOOKUP(AQ$1,main!$A$3:$H$102,7,FALSE)=VLOOKUP($A7,main!$A$3:$H$102,8,FALSE),VLOOKUP(AQ$1,main!$A$3:$H$102,4,FALSE),VLOOKUP(AQ$1,main!$A$3:$H$102,4,FALSE)+VLOOKUP($A7,main!$A$3:$H$102,4,FALSE)+(VLOOKUP(VLOOKUP(AQ$1,main!$A$3:$H$102,8,FALSE),main!$K$19:$O$22,MATCH(VLOOKUP($A7,main!$A$3:$H$102,7,FALSE),main!$K$18:$O$18,0),0))),0)</f>
        <v>0</v>
      </c>
      <c r="AR7">
        <f>IF((gamma!AR7),IF(VLOOKUP(AR$1,main!$A$3:$H$102,7,FALSE)=VLOOKUP($A7,main!$A$3:$H$102,8,FALSE),VLOOKUP(AR$1,main!$A$3:$H$102,4,FALSE),VLOOKUP(AR$1,main!$A$3:$H$102,4,FALSE)+VLOOKUP($A7,main!$A$3:$H$102,4,FALSE)+(VLOOKUP(VLOOKUP(AR$1,main!$A$3:$H$102,8,FALSE),main!$K$19:$O$22,MATCH(VLOOKUP($A7,main!$A$3:$H$102,7,FALSE),main!$K$18:$O$18,0),0))),0)</f>
        <v>0</v>
      </c>
      <c r="AS7">
        <f>IF((gamma!AS7),IF(VLOOKUP(AS$1,main!$A$3:$H$102,7,FALSE)=VLOOKUP($A7,main!$A$3:$H$102,8,FALSE),VLOOKUP(AS$1,main!$A$3:$H$102,4,FALSE),VLOOKUP(AS$1,main!$A$3:$H$102,4,FALSE)+VLOOKUP($A7,main!$A$3:$H$102,4,FALSE)+(VLOOKUP(VLOOKUP(AS$1,main!$A$3:$H$102,8,FALSE),main!$K$19:$O$22,MATCH(VLOOKUP($A7,main!$A$3:$H$102,7,FALSE),main!$K$18:$O$18,0),0))),0)</f>
        <v>0</v>
      </c>
      <c r="AT7">
        <f>IF((gamma!AT7),IF(VLOOKUP(AT$1,main!$A$3:$H$102,7,FALSE)=VLOOKUP($A7,main!$A$3:$H$102,8,FALSE),VLOOKUP(AT$1,main!$A$3:$H$102,4,FALSE),VLOOKUP(AT$1,main!$A$3:$H$102,4,FALSE)+VLOOKUP($A7,main!$A$3:$H$102,4,FALSE)+(VLOOKUP(VLOOKUP(AT$1,main!$A$3:$H$102,8,FALSE),main!$K$19:$O$22,MATCH(VLOOKUP($A7,main!$A$3:$H$102,7,FALSE),main!$K$18:$O$18,0),0))),0)</f>
        <v>0</v>
      </c>
      <c r="AU7">
        <f>IF((gamma!AU7),IF(VLOOKUP(AU$1,main!$A$3:$H$102,7,FALSE)=VLOOKUP($A7,main!$A$3:$H$102,8,FALSE),VLOOKUP(AU$1,main!$A$3:$H$102,4,FALSE),VLOOKUP(AU$1,main!$A$3:$H$102,4,FALSE)+VLOOKUP($A7,main!$A$3:$H$102,4,FALSE)+(VLOOKUP(VLOOKUP(AU$1,main!$A$3:$H$102,8,FALSE),main!$K$19:$O$22,MATCH(VLOOKUP($A7,main!$A$3:$H$102,7,FALSE),main!$K$18:$O$18,0),0))),0)</f>
        <v>0</v>
      </c>
      <c r="AV7">
        <f>IF((gamma!AV7),IF(VLOOKUP(AV$1,main!$A$3:$H$102,7,FALSE)=VLOOKUP($A7,main!$A$3:$H$102,8,FALSE),VLOOKUP(AV$1,main!$A$3:$H$102,4,FALSE),VLOOKUP(AV$1,main!$A$3:$H$102,4,FALSE)+VLOOKUP($A7,main!$A$3:$H$102,4,FALSE)+(VLOOKUP(VLOOKUP(AV$1,main!$A$3:$H$102,8,FALSE),main!$K$19:$O$22,MATCH(VLOOKUP($A7,main!$A$3:$H$102,7,FALSE),main!$K$18:$O$18,0),0))),0)</f>
        <v>0</v>
      </c>
      <c r="AW7">
        <f>IF((gamma!AW7),IF(VLOOKUP(AW$1,main!$A$3:$H$102,7,FALSE)=VLOOKUP($A7,main!$A$3:$H$102,8,FALSE),VLOOKUP(AW$1,main!$A$3:$H$102,4,FALSE),VLOOKUP(AW$1,main!$A$3:$H$102,4,FALSE)+VLOOKUP($A7,main!$A$3:$H$102,4,FALSE)+(VLOOKUP(VLOOKUP(AW$1,main!$A$3:$H$102,8,FALSE),main!$K$19:$O$22,MATCH(VLOOKUP($A7,main!$A$3:$H$102,7,FALSE),main!$K$18:$O$18,0),0))),0)</f>
        <v>0</v>
      </c>
      <c r="AX7">
        <f>IF((gamma!AX7),IF(VLOOKUP(AX$1,main!$A$3:$H$102,7,FALSE)=VLOOKUP($A7,main!$A$3:$H$102,8,FALSE),VLOOKUP(AX$1,main!$A$3:$H$102,4,FALSE),VLOOKUP(AX$1,main!$A$3:$H$102,4,FALSE)+VLOOKUP($A7,main!$A$3:$H$102,4,FALSE)+(VLOOKUP(VLOOKUP(AX$1,main!$A$3:$H$102,8,FALSE),main!$K$19:$O$22,MATCH(VLOOKUP($A7,main!$A$3:$H$102,7,FALSE),main!$K$18:$O$18,0),0))),0)</f>
        <v>0</v>
      </c>
      <c r="AY7">
        <f>IF((gamma!AY7),IF(VLOOKUP(AY$1,main!$A$3:$H$102,7,FALSE)=VLOOKUP($A7,main!$A$3:$H$102,8,FALSE),VLOOKUP(AY$1,main!$A$3:$H$102,4,FALSE),VLOOKUP(AY$1,main!$A$3:$H$102,4,FALSE)+VLOOKUP($A7,main!$A$3:$H$102,4,FALSE)+(VLOOKUP(VLOOKUP(AY$1,main!$A$3:$H$102,8,FALSE),main!$K$19:$O$22,MATCH(VLOOKUP($A7,main!$A$3:$H$102,7,FALSE),main!$K$18:$O$18,0),0))),0)</f>
        <v>0</v>
      </c>
      <c r="AZ7">
        <f>IF((gamma!AZ7),IF(VLOOKUP(AZ$1,main!$A$3:$H$102,7,FALSE)=VLOOKUP($A7,main!$A$3:$H$102,8,FALSE),VLOOKUP(AZ$1,main!$A$3:$H$102,4,FALSE),VLOOKUP(AZ$1,main!$A$3:$H$102,4,FALSE)+VLOOKUP($A7,main!$A$3:$H$102,4,FALSE)+(VLOOKUP(VLOOKUP(AZ$1,main!$A$3:$H$102,8,FALSE),main!$K$19:$O$22,MATCH(VLOOKUP($A7,main!$A$3:$H$102,7,FALSE),main!$K$18:$O$18,0),0))),0)</f>
        <v>0</v>
      </c>
      <c r="BA7">
        <f>IF((gamma!BA7),IF(VLOOKUP(BA$1,main!$A$3:$H$102,7,FALSE)=VLOOKUP($A7,main!$A$3:$H$102,8,FALSE),VLOOKUP(BA$1,main!$A$3:$H$102,4,FALSE),VLOOKUP(BA$1,main!$A$3:$H$102,4,FALSE)+VLOOKUP($A7,main!$A$3:$H$102,4,FALSE)+(VLOOKUP(VLOOKUP(BA$1,main!$A$3:$H$102,8,FALSE),main!$K$19:$O$22,MATCH(VLOOKUP($A7,main!$A$3:$H$102,7,FALSE),main!$K$18:$O$18,0),0))),0)</f>
        <v>0</v>
      </c>
      <c r="BB7">
        <f>IF((gamma!BB7),IF(VLOOKUP(BB$1,main!$A$3:$H$102,7,FALSE)=VLOOKUP($A7,main!$A$3:$H$102,8,FALSE),VLOOKUP(BB$1,main!$A$3:$H$102,4,FALSE),VLOOKUP(BB$1,main!$A$3:$H$102,4,FALSE)+VLOOKUP($A7,main!$A$3:$H$102,4,FALSE)+(VLOOKUP(VLOOKUP(BB$1,main!$A$3:$H$102,8,FALSE),main!$K$19:$O$22,MATCH(VLOOKUP($A7,main!$A$3:$H$102,7,FALSE),main!$K$18:$O$18,0),0))),0)</f>
        <v>0</v>
      </c>
      <c r="BC7">
        <f>IF((gamma!BC7),IF(VLOOKUP(BC$1,main!$A$3:$H$102,7,FALSE)=VLOOKUP($A7,main!$A$3:$H$102,8,FALSE),VLOOKUP(BC$1,main!$A$3:$H$102,4,FALSE),VLOOKUP(BC$1,main!$A$3:$H$102,4,FALSE)+VLOOKUP($A7,main!$A$3:$H$102,4,FALSE)+(VLOOKUP(VLOOKUP(BC$1,main!$A$3:$H$102,8,FALSE),main!$K$19:$O$22,MATCH(VLOOKUP($A7,main!$A$3:$H$102,7,FALSE),main!$K$18:$O$18,0),0))),0)</f>
        <v>0</v>
      </c>
      <c r="BD7">
        <f>IF((gamma!BD7),IF(VLOOKUP(BD$1,main!$A$3:$H$102,7,FALSE)=VLOOKUP($A7,main!$A$3:$H$102,8,FALSE),VLOOKUP(BD$1,main!$A$3:$H$102,4,FALSE),VLOOKUP(BD$1,main!$A$3:$H$102,4,FALSE)+VLOOKUP($A7,main!$A$3:$H$102,4,FALSE)+(VLOOKUP(VLOOKUP(BD$1,main!$A$3:$H$102,8,FALSE),main!$K$19:$O$22,MATCH(VLOOKUP($A7,main!$A$3:$H$102,7,FALSE),main!$K$18:$O$18,0),0))),0)</f>
        <v>0</v>
      </c>
      <c r="BE7">
        <f>IF((gamma!BE7),IF(VLOOKUP(BE$1,main!$A$3:$H$102,7,FALSE)=VLOOKUP($A7,main!$A$3:$H$102,8,FALSE),VLOOKUP(BE$1,main!$A$3:$H$102,4,FALSE),VLOOKUP(BE$1,main!$A$3:$H$102,4,FALSE)+VLOOKUP($A7,main!$A$3:$H$102,4,FALSE)+(VLOOKUP(VLOOKUP(BE$1,main!$A$3:$H$102,8,FALSE),main!$K$19:$O$22,MATCH(VLOOKUP($A7,main!$A$3:$H$102,7,FALSE),main!$K$18:$O$18,0),0))),0)</f>
        <v>275</v>
      </c>
      <c r="BF7">
        <f>IF((gamma!BF7),IF(VLOOKUP(BF$1,main!$A$3:$H$102,7,FALSE)=VLOOKUP($A7,main!$A$3:$H$102,8,FALSE),VLOOKUP(BF$1,main!$A$3:$H$102,4,FALSE),VLOOKUP(BF$1,main!$A$3:$H$102,4,FALSE)+VLOOKUP($A7,main!$A$3:$H$102,4,FALSE)+(VLOOKUP(VLOOKUP(BF$1,main!$A$3:$H$102,8,FALSE),main!$K$19:$O$22,MATCH(VLOOKUP($A7,main!$A$3:$H$102,7,FALSE),main!$K$18:$O$18,0),0))),0)</f>
        <v>0</v>
      </c>
      <c r="BG7">
        <f>IF((gamma!BG7),IF(VLOOKUP(BG$1,main!$A$3:$H$102,7,FALSE)=VLOOKUP($A7,main!$A$3:$H$102,8,FALSE),VLOOKUP(BG$1,main!$A$3:$H$102,4,FALSE),VLOOKUP(BG$1,main!$A$3:$H$102,4,FALSE)+VLOOKUP($A7,main!$A$3:$H$102,4,FALSE)+(VLOOKUP(VLOOKUP(BG$1,main!$A$3:$H$102,8,FALSE),main!$K$19:$O$22,MATCH(VLOOKUP($A7,main!$A$3:$H$102,7,FALSE),main!$K$18:$O$18,0),0))),0)</f>
        <v>0</v>
      </c>
      <c r="BH7">
        <f>IF((gamma!BH7),IF(VLOOKUP(BH$1,main!$A$3:$H$102,7,FALSE)=VLOOKUP($A7,main!$A$3:$H$102,8,FALSE),VLOOKUP(BH$1,main!$A$3:$H$102,4,FALSE),VLOOKUP(BH$1,main!$A$3:$H$102,4,FALSE)+VLOOKUP($A7,main!$A$3:$H$102,4,FALSE)+(VLOOKUP(VLOOKUP(BH$1,main!$A$3:$H$102,8,FALSE),main!$K$19:$O$22,MATCH(VLOOKUP($A7,main!$A$3:$H$102,7,FALSE),main!$K$18:$O$18,0),0))),0)</f>
        <v>0</v>
      </c>
      <c r="BI7">
        <f>IF((gamma!BI7),IF(VLOOKUP(BI$1,main!$A$3:$H$102,7,FALSE)=VLOOKUP($A7,main!$A$3:$H$102,8,FALSE),VLOOKUP(BI$1,main!$A$3:$H$102,4,FALSE),VLOOKUP(BI$1,main!$A$3:$H$102,4,FALSE)+VLOOKUP($A7,main!$A$3:$H$102,4,FALSE)+(VLOOKUP(VLOOKUP(BI$1,main!$A$3:$H$102,8,FALSE),main!$K$19:$O$22,MATCH(VLOOKUP($A7,main!$A$3:$H$102,7,FALSE),main!$K$18:$O$18,0),0))),0)</f>
        <v>195</v>
      </c>
      <c r="BJ7">
        <f>IF((gamma!BJ7),IF(VLOOKUP(BJ$1,main!$A$3:$H$102,7,FALSE)=VLOOKUP($A7,main!$A$3:$H$102,8,FALSE),VLOOKUP(BJ$1,main!$A$3:$H$102,4,FALSE),VLOOKUP(BJ$1,main!$A$3:$H$102,4,FALSE)+VLOOKUP($A7,main!$A$3:$H$102,4,FALSE)+(VLOOKUP(VLOOKUP(BJ$1,main!$A$3:$H$102,8,FALSE),main!$K$19:$O$22,MATCH(VLOOKUP($A7,main!$A$3:$H$102,7,FALSE),main!$K$18:$O$18,0),0))),0)</f>
        <v>0</v>
      </c>
      <c r="BK7">
        <f>IF((gamma!BK7),IF(VLOOKUP(BK$1,main!$A$3:$H$102,7,FALSE)=VLOOKUP($A7,main!$A$3:$H$102,8,FALSE),VLOOKUP(BK$1,main!$A$3:$H$102,4,FALSE),VLOOKUP(BK$1,main!$A$3:$H$102,4,FALSE)+VLOOKUP($A7,main!$A$3:$H$102,4,FALSE)+(VLOOKUP(VLOOKUP(BK$1,main!$A$3:$H$102,8,FALSE),main!$K$19:$O$22,MATCH(VLOOKUP($A7,main!$A$3:$H$102,7,FALSE),main!$K$18:$O$18,0),0))),0)</f>
        <v>0</v>
      </c>
      <c r="BL7">
        <f>IF((gamma!BL7),IF(VLOOKUP(BL$1,main!$A$3:$H$102,7,FALSE)=VLOOKUP($A7,main!$A$3:$H$102,8,FALSE),VLOOKUP(BL$1,main!$A$3:$H$102,4,FALSE),VLOOKUP(BL$1,main!$A$3:$H$102,4,FALSE)+VLOOKUP($A7,main!$A$3:$H$102,4,FALSE)+(VLOOKUP(VLOOKUP(BL$1,main!$A$3:$H$102,8,FALSE),main!$K$19:$O$22,MATCH(VLOOKUP($A7,main!$A$3:$H$102,7,FALSE),main!$K$18:$O$18,0),0))),0)</f>
        <v>0</v>
      </c>
      <c r="BM7">
        <f>IF((gamma!BM7),IF(VLOOKUP(BM$1,main!$A$3:$H$102,7,FALSE)=VLOOKUP($A7,main!$A$3:$H$102,8,FALSE),VLOOKUP(BM$1,main!$A$3:$H$102,4,FALSE),VLOOKUP(BM$1,main!$A$3:$H$102,4,FALSE)+VLOOKUP($A7,main!$A$3:$H$102,4,FALSE)+(VLOOKUP(VLOOKUP(BM$1,main!$A$3:$H$102,8,FALSE),main!$K$19:$O$22,MATCH(VLOOKUP($A7,main!$A$3:$H$102,7,FALSE),main!$K$18:$O$18,0),0))),0)</f>
        <v>0</v>
      </c>
      <c r="BN7">
        <f>IF((gamma!BN7),IF(VLOOKUP(BN$1,main!$A$3:$H$102,7,FALSE)=VLOOKUP($A7,main!$A$3:$H$102,8,FALSE),VLOOKUP(BN$1,main!$A$3:$H$102,4,FALSE),VLOOKUP(BN$1,main!$A$3:$H$102,4,FALSE)+VLOOKUP($A7,main!$A$3:$H$102,4,FALSE)+(VLOOKUP(VLOOKUP(BN$1,main!$A$3:$H$102,8,FALSE),main!$K$19:$O$22,MATCH(VLOOKUP($A7,main!$A$3:$H$102,7,FALSE),main!$K$18:$O$18,0),0))),0)</f>
        <v>0</v>
      </c>
      <c r="BO7">
        <f>IF((gamma!BO7),IF(VLOOKUP(BO$1,main!$A$3:$H$102,7,FALSE)=VLOOKUP($A7,main!$A$3:$H$102,8,FALSE),VLOOKUP(BO$1,main!$A$3:$H$102,4,FALSE),VLOOKUP(BO$1,main!$A$3:$H$102,4,FALSE)+VLOOKUP($A7,main!$A$3:$H$102,4,FALSE)+(VLOOKUP(VLOOKUP(BO$1,main!$A$3:$H$102,8,FALSE),main!$K$19:$O$22,MATCH(VLOOKUP($A7,main!$A$3:$H$102,7,FALSE),main!$K$18:$O$18,0),0))),0)</f>
        <v>0</v>
      </c>
      <c r="BP7">
        <f>IF((gamma!BP7),IF(VLOOKUP(BP$1,main!$A$3:$H$102,7,FALSE)=VLOOKUP($A7,main!$A$3:$H$102,8,FALSE),VLOOKUP(BP$1,main!$A$3:$H$102,4,FALSE),VLOOKUP(BP$1,main!$A$3:$H$102,4,FALSE)+VLOOKUP($A7,main!$A$3:$H$102,4,FALSE)+(VLOOKUP(VLOOKUP(BP$1,main!$A$3:$H$102,8,FALSE),main!$K$19:$O$22,MATCH(VLOOKUP($A7,main!$A$3:$H$102,7,FALSE),main!$K$18:$O$18,0),0))),0)</f>
        <v>0</v>
      </c>
      <c r="BQ7">
        <f>IF((gamma!BQ7),IF(VLOOKUP(BQ$1,main!$A$3:$H$102,7,FALSE)=VLOOKUP($A7,main!$A$3:$H$102,8,FALSE),VLOOKUP(BQ$1,main!$A$3:$H$102,4,FALSE),VLOOKUP(BQ$1,main!$A$3:$H$102,4,FALSE)+VLOOKUP($A7,main!$A$3:$H$102,4,FALSE)+(VLOOKUP(VLOOKUP(BQ$1,main!$A$3:$H$102,8,FALSE),main!$K$19:$O$22,MATCH(VLOOKUP($A7,main!$A$3:$H$102,7,FALSE),main!$K$18:$O$18,0),0))),0)</f>
        <v>0</v>
      </c>
      <c r="BR7">
        <f>IF((gamma!BR7),IF(VLOOKUP(BR$1,main!$A$3:$H$102,7,FALSE)=VLOOKUP($A7,main!$A$3:$H$102,8,FALSE),VLOOKUP(BR$1,main!$A$3:$H$102,4,FALSE),VLOOKUP(BR$1,main!$A$3:$H$102,4,FALSE)+VLOOKUP($A7,main!$A$3:$H$102,4,FALSE)+(VLOOKUP(VLOOKUP(BR$1,main!$A$3:$H$102,8,FALSE),main!$K$19:$O$22,MATCH(VLOOKUP($A7,main!$A$3:$H$102,7,FALSE),main!$K$18:$O$18,0),0))),0)</f>
        <v>0</v>
      </c>
      <c r="BS7">
        <f>IF((gamma!BS7),IF(VLOOKUP(BS$1,main!$A$3:$H$102,7,FALSE)=VLOOKUP($A7,main!$A$3:$H$102,8,FALSE),VLOOKUP(BS$1,main!$A$3:$H$102,4,FALSE),VLOOKUP(BS$1,main!$A$3:$H$102,4,FALSE)+VLOOKUP($A7,main!$A$3:$H$102,4,FALSE)+(VLOOKUP(VLOOKUP(BS$1,main!$A$3:$H$102,8,FALSE),main!$K$19:$O$22,MATCH(VLOOKUP($A7,main!$A$3:$H$102,7,FALSE),main!$K$18:$O$18,0),0))),0)</f>
        <v>0</v>
      </c>
      <c r="BT7">
        <f>IF((gamma!BT7),IF(VLOOKUP(BT$1,main!$A$3:$H$102,7,FALSE)=VLOOKUP($A7,main!$A$3:$H$102,8,FALSE),VLOOKUP(BT$1,main!$A$3:$H$102,4,FALSE),VLOOKUP(BT$1,main!$A$3:$H$102,4,FALSE)+VLOOKUP($A7,main!$A$3:$H$102,4,FALSE)+(VLOOKUP(VLOOKUP(BT$1,main!$A$3:$H$102,8,FALSE),main!$K$19:$O$22,MATCH(VLOOKUP($A7,main!$A$3:$H$102,7,FALSE),main!$K$18:$O$18,0),0))),0)</f>
        <v>0</v>
      </c>
      <c r="BU7">
        <f>IF((gamma!BU7),IF(VLOOKUP(BU$1,main!$A$3:$H$102,7,FALSE)=VLOOKUP($A7,main!$A$3:$H$102,8,FALSE),VLOOKUP(BU$1,main!$A$3:$H$102,4,FALSE),VLOOKUP(BU$1,main!$A$3:$H$102,4,FALSE)+VLOOKUP($A7,main!$A$3:$H$102,4,FALSE)+(VLOOKUP(VLOOKUP(BU$1,main!$A$3:$H$102,8,FALSE),main!$K$19:$O$22,MATCH(VLOOKUP($A7,main!$A$3:$H$102,7,FALSE),main!$K$18:$O$18,0),0))),0)</f>
        <v>0</v>
      </c>
      <c r="BV7">
        <f>IF((gamma!BV7),IF(VLOOKUP(BV$1,main!$A$3:$H$102,7,FALSE)=VLOOKUP($A7,main!$A$3:$H$102,8,FALSE),VLOOKUP(BV$1,main!$A$3:$H$102,4,FALSE),VLOOKUP(BV$1,main!$A$3:$H$102,4,FALSE)+VLOOKUP($A7,main!$A$3:$H$102,4,FALSE)+(VLOOKUP(VLOOKUP(BV$1,main!$A$3:$H$102,8,FALSE),main!$K$19:$O$22,MATCH(VLOOKUP($A7,main!$A$3:$H$102,7,FALSE),main!$K$18:$O$18,0),0))),0)</f>
        <v>0</v>
      </c>
      <c r="BW7">
        <f>IF((gamma!BW7),IF(VLOOKUP(BW$1,main!$A$3:$H$102,7,FALSE)=VLOOKUP($A7,main!$A$3:$H$102,8,FALSE),VLOOKUP(BW$1,main!$A$3:$H$102,4,FALSE),VLOOKUP(BW$1,main!$A$3:$H$102,4,FALSE)+VLOOKUP($A7,main!$A$3:$H$102,4,FALSE)+(VLOOKUP(VLOOKUP(BW$1,main!$A$3:$H$102,8,FALSE),main!$K$19:$O$22,MATCH(VLOOKUP($A7,main!$A$3:$H$102,7,FALSE),main!$K$18:$O$18,0),0))),0)</f>
        <v>0</v>
      </c>
      <c r="BX7">
        <f>IF((gamma!BX7),IF(VLOOKUP(BX$1,main!$A$3:$H$102,7,FALSE)=VLOOKUP($A7,main!$A$3:$H$102,8,FALSE),VLOOKUP(BX$1,main!$A$3:$H$102,4,FALSE),VLOOKUP(BX$1,main!$A$3:$H$102,4,FALSE)+VLOOKUP($A7,main!$A$3:$H$102,4,FALSE)+(VLOOKUP(VLOOKUP(BX$1,main!$A$3:$H$102,8,FALSE),main!$K$19:$O$22,MATCH(VLOOKUP($A7,main!$A$3:$H$102,7,FALSE),main!$K$18:$O$18,0),0))),0)</f>
        <v>0</v>
      </c>
      <c r="BY7">
        <f>IF((gamma!BY7),IF(VLOOKUP(BY$1,main!$A$3:$H$102,7,FALSE)=VLOOKUP($A7,main!$A$3:$H$102,8,FALSE),VLOOKUP(BY$1,main!$A$3:$H$102,4,FALSE),VLOOKUP(BY$1,main!$A$3:$H$102,4,FALSE)+VLOOKUP($A7,main!$A$3:$H$102,4,FALSE)+(VLOOKUP(VLOOKUP(BY$1,main!$A$3:$H$102,8,FALSE),main!$K$19:$O$22,MATCH(VLOOKUP($A7,main!$A$3:$H$102,7,FALSE),main!$K$18:$O$18,0),0))),0)</f>
        <v>0</v>
      </c>
      <c r="BZ7">
        <f>IF((gamma!BZ7),IF(VLOOKUP(BZ$1,main!$A$3:$H$102,7,FALSE)=VLOOKUP($A7,main!$A$3:$H$102,8,FALSE),VLOOKUP(BZ$1,main!$A$3:$H$102,4,FALSE),VLOOKUP(BZ$1,main!$A$3:$H$102,4,FALSE)+VLOOKUP($A7,main!$A$3:$H$102,4,FALSE)+(VLOOKUP(VLOOKUP(BZ$1,main!$A$3:$H$102,8,FALSE),main!$K$19:$O$22,MATCH(VLOOKUP($A7,main!$A$3:$H$102,7,FALSE),main!$K$18:$O$18,0),0))),0)</f>
        <v>0</v>
      </c>
      <c r="CA7">
        <f>IF((gamma!CA7),IF(VLOOKUP(CA$1,main!$A$3:$H$102,7,FALSE)=VLOOKUP($A7,main!$A$3:$H$102,8,FALSE),VLOOKUP(CA$1,main!$A$3:$H$102,4,FALSE),VLOOKUP(CA$1,main!$A$3:$H$102,4,FALSE)+VLOOKUP($A7,main!$A$3:$H$102,4,FALSE)+(VLOOKUP(VLOOKUP(CA$1,main!$A$3:$H$102,8,FALSE),main!$K$19:$O$22,MATCH(VLOOKUP($A7,main!$A$3:$H$102,7,FALSE),main!$K$18:$O$18,0),0))),0)</f>
        <v>0</v>
      </c>
      <c r="CB7">
        <f>IF((gamma!CB7),IF(VLOOKUP(CB$1,main!$A$3:$H$102,7,FALSE)=VLOOKUP($A7,main!$A$3:$H$102,8,FALSE),VLOOKUP(CB$1,main!$A$3:$H$102,4,FALSE),VLOOKUP(CB$1,main!$A$3:$H$102,4,FALSE)+VLOOKUP($A7,main!$A$3:$H$102,4,FALSE)+(VLOOKUP(VLOOKUP(CB$1,main!$A$3:$H$102,8,FALSE),main!$K$19:$O$22,MATCH(VLOOKUP($A7,main!$A$3:$H$102,7,FALSE),main!$K$18:$O$18,0),0))),0)</f>
        <v>0</v>
      </c>
      <c r="CC7">
        <f>IF((gamma!CC7),IF(VLOOKUP(CC$1,main!$A$3:$H$102,7,FALSE)=VLOOKUP($A7,main!$A$3:$H$102,8,FALSE),VLOOKUP(CC$1,main!$A$3:$H$102,4,FALSE),VLOOKUP(CC$1,main!$A$3:$H$102,4,FALSE)+VLOOKUP($A7,main!$A$3:$H$102,4,FALSE)+(VLOOKUP(VLOOKUP(CC$1,main!$A$3:$H$102,8,FALSE),main!$K$19:$O$22,MATCH(VLOOKUP($A7,main!$A$3:$H$102,7,FALSE),main!$K$18:$O$18,0),0))),0)</f>
        <v>225</v>
      </c>
      <c r="CD7">
        <f>IF((gamma!CD7),IF(VLOOKUP(CD$1,main!$A$3:$H$102,7,FALSE)=VLOOKUP($A7,main!$A$3:$H$102,8,FALSE),VLOOKUP(CD$1,main!$A$3:$H$102,4,FALSE),VLOOKUP(CD$1,main!$A$3:$H$102,4,FALSE)+VLOOKUP($A7,main!$A$3:$H$102,4,FALSE)+(VLOOKUP(VLOOKUP(CD$1,main!$A$3:$H$102,8,FALSE),main!$K$19:$O$22,MATCH(VLOOKUP($A7,main!$A$3:$H$102,7,FALSE),main!$K$18:$O$18,0),0))),0)</f>
        <v>0</v>
      </c>
      <c r="CE7">
        <f>IF((gamma!CE7),IF(VLOOKUP(CE$1,main!$A$3:$H$102,7,FALSE)=VLOOKUP($A7,main!$A$3:$H$102,8,FALSE),VLOOKUP(CE$1,main!$A$3:$H$102,4,FALSE),VLOOKUP(CE$1,main!$A$3:$H$102,4,FALSE)+VLOOKUP($A7,main!$A$3:$H$102,4,FALSE)+(VLOOKUP(VLOOKUP(CE$1,main!$A$3:$H$102,8,FALSE),main!$K$19:$O$22,MATCH(VLOOKUP($A7,main!$A$3:$H$102,7,FALSE),main!$K$18:$O$18,0),0))),0)</f>
        <v>0</v>
      </c>
      <c r="CF7">
        <f>IF((gamma!CF7),IF(VLOOKUP(CF$1,main!$A$3:$H$102,7,FALSE)=VLOOKUP($A7,main!$A$3:$H$102,8,FALSE),VLOOKUP(CF$1,main!$A$3:$H$102,4,FALSE),VLOOKUP(CF$1,main!$A$3:$H$102,4,FALSE)+VLOOKUP($A7,main!$A$3:$H$102,4,FALSE)+(VLOOKUP(VLOOKUP(CF$1,main!$A$3:$H$102,8,FALSE),main!$K$19:$O$22,MATCH(VLOOKUP($A7,main!$A$3:$H$102,7,FALSE),main!$K$18:$O$18,0),0))),0)</f>
        <v>0</v>
      </c>
      <c r="CG7">
        <f>IF((gamma!CG7),IF(VLOOKUP(CG$1,main!$A$3:$H$102,7,FALSE)=VLOOKUP($A7,main!$A$3:$H$102,8,FALSE),VLOOKUP(CG$1,main!$A$3:$H$102,4,FALSE),VLOOKUP(CG$1,main!$A$3:$H$102,4,FALSE)+VLOOKUP($A7,main!$A$3:$H$102,4,FALSE)+(VLOOKUP(VLOOKUP(CG$1,main!$A$3:$H$102,8,FALSE),main!$K$19:$O$22,MATCH(VLOOKUP($A7,main!$A$3:$H$102,7,FALSE),main!$K$18:$O$18,0),0))),0)</f>
        <v>0</v>
      </c>
      <c r="CH7">
        <f>IF((gamma!CH7),IF(VLOOKUP(CH$1,main!$A$3:$H$102,7,FALSE)=VLOOKUP($A7,main!$A$3:$H$102,8,FALSE),VLOOKUP(CH$1,main!$A$3:$H$102,4,FALSE),VLOOKUP(CH$1,main!$A$3:$H$102,4,FALSE)+VLOOKUP($A7,main!$A$3:$H$102,4,FALSE)+(VLOOKUP(VLOOKUP(CH$1,main!$A$3:$H$102,8,FALSE),main!$K$19:$O$22,MATCH(VLOOKUP($A7,main!$A$3:$H$102,7,FALSE),main!$K$18:$O$18,0),0))),0)</f>
        <v>0</v>
      </c>
      <c r="CI7">
        <f>IF((gamma!CI7),IF(VLOOKUP(CI$1,main!$A$3:$H$102,7,FALSE)=VLOOKUP($A7,main!$A$3:$H$102,8,FALSE),VLOOKUP(CI$1,main!$A$3:$H$102,4,FALSE),VLOOKUP(CI$1,main!$A$3:$H$102,4,FALSE)+VLOOKUP($A7,main!$A$3:$H$102,4,FALSE)+(VLOOKUP(VLOOKUP(CI$1,main!$A$3:$H$102,8,FALSE),main!$K$19:$O$22,MATCH(VLOOKUP($A7,main!$A$3:$H$102,7,FALSE),main!$K$18:$O$18,0),0))),0)</f>
        <v>275</v>
      </c>
      <c r="CJ7">
        <f>IF((gamma!CJ7),IF(VLOOKUP(CJ$1,main!$A$3:$H$102,7,FALSE)=VLOOKUP($A7,main!$A$3:$H$102,8,FALSE),VLOOKUP(CJ$1,main!$A$3:$H$102,4,FALSE),VLOOKUP(CJ$1,main!$A$3:$H$102,4,FALSE)+VLOOKUP($A7,main!$A$3:$H$102,4,FALSE)+(VLOOKUP(VLOOKUP(CJ$1,main!$A$3:$H$102,8,FALSE),main!$K$19:$O$22,MATCH(VLOOKUP($A7,main!$A$3:$H$102,7,FALSE),main!$K$18:$O$18,0),0))),0)</f>
        <v>0</v>
      </c>
      <c r="CK7">
        <f>IF((gamma!CK7),IF(VLOOKUP(CK$1,main!$A$3:$H$102,7,FALSE)=VLOOKUP($A7,main!$A$3:$H$102,8,FALSE),VLOOKUP(CK$1,main!$A$3:$H$102,4,FALSE),VLOOKUP(CK$1,main!$A$3:$H$102,4,FALSE)+VLOOKUP($A7,main!$A$3:$H$102,4,FALSE)+(VLOOKUP(VLOOKUP(CK$1,main!$A$3:$H$102,8,FALSE),main!$K$19:$O$22,MATCH(VLOOKUP($A7,main!$A$3:$H$102,7,FALSE),main!$K$18:$O$18,0),0))),0)</f>
        <v>0</v>
      </c>
      <c r="CL7">
        <f>IF((gamma!CL7),IF(VLOOKUP(CL$1,main!$A$3:$H$102,7,FALSE)=VLOOKUP($A7,main!$A$3:$H$102,8,FALSE),VLOOKUP(CL$1,main!$A$3:$H$102,4,FALSE),VLOOKUP(CL$1,main!$A$3:$H$102,4,FALSE)+VLOOKUP($A7,main!$A$3:$H$102,4,FALSE)+(VLOOKUP(VLOOKUP(CL$1,main!$A$3:$H$102,8,FALSE),main!$K$19:$O$22,MATCH(VLOOKUP($A7,main!$A$3:$H$102,7,FALSE),main!$K$18:$O$18,0),0))),0)</f>
        <v>0</v>
      </c>
      <c r="CM7">
        <f>IF((gamma!CM7),IF(VLOOKUP(CM$1,main!$A$3:$H$102,7,FALSE)=VLOOKUP($A7,main!$A$3:$H$102,8,FALSE),VLOOKUP(CM$1,main!$A$3:$H$102,4,FALSE),VLOOKUP(CM$1,main!$A$3:$H$102,4,FALSE)+VLOOKUP($A7,main!$A$3:$H$102,4,FALSE)+(VLOOKUP(VLOOKUP(CM$1,main!$A$3:$H$102,8,FALSE),main!$K$19:$O$22,MATCH(VLOOKUP($A7,main!$A$3:$H$102,7,FALSE),main!$K$18:$O$18,0),0))),0)</f>
        <v>0</v>
      </c>
      <c r="CN7">
        <f>IF((gamma!CN7),IF(VLOOKUP(CN$1,main!$A$3:$H$102,7,FALSE)=VLOOKUP($A7,main!$A$3:$H$102,8,FALSE),VLOOKUP(CN$1,main!$A$3:$H$102,4,FALSE),VLOOKUP(CN$1,main!$A$3:$H$102,4,FALSE)+VLOOKUP($A7,main!$A$3:$H$102,4,FALSE)+(VLOOKUP(VLOOKUP(CN$1,main!$A$3:$H$102,8,FALSE),main!$K$19:$O$22,MATCH(VLOOKUP($A7,main!$A$3:$H$102,7,FALSE),main!$K$18:$O$18,0),0))),0)</f>
        <v>231</v>
      </c>
      <c r="CO7">
        <f>IF((gamma!CO7),IF(VLOOKUP(CO$1,main!$A$3:$H$102,7,FALSE)=VLOOKUP($A7,main!$A$3:$H$102,8,FALSE),VLOOKUP(CO$1,main!$A$3:$H$102,4,FALSE),VLOOKUP(CO$1,main!$A$3:$H$102,4,FALSE)+VLOOKUP($A7,main!$A$3:$H$102,4,FALSE)+(VLOOKUP(VLOOKUP(CO$1,main!$A$3:$H$102,8,FALSE),main!$K$19:$O$22,MATCH(VLOOKUP($A7,main!$A$3:$H$102,7,FALSE),main!$K$18:$O$18,0),0))),0)</f>
        <v>0</v>
      </c>
      <c r="CP7">
        <f>IF((gamma!CP7),IF(VLOOKUP(CP$1,main!$A$3:$H$102,7,FALSE)=VLOOKUP($A7,main!$A$3:$H$102,8,FALSE),VLOOKUP(CP$1,main!$A$3:$H$102,4,FALSE),VLOOKUP(CP$1,main!$A$3:$H$102,4,FALSE)+VLOOKUP($A7,main!$A$3:$H$102,4,FALSE)+(VLOOKUP(VLOOKUP(CP$1,main!$A$3:$H$102,8,FALSE),main!$K$19:$O$22,MATCH(VLOOKUP($A7,main!$A$3:$H$102,7,FALSE),main!$K$18:$O$18,0),0))),0)</f>
        <v>0</v>
      </c>
      <c r="CQ7">
        <f>IF((gamma!CQ7),IF(VLOOKUP(CQ$1,main!$A$3:$H$102,7,FALSE)=VLOOKUP($A7,main!$A$3:$H$102,8,FALSE),VLOOKUP(CQ$1,main!$A$3:$H$102,4,FALSE),VLOOKUP(CQ$1,main!$A$3:$H$102,4,FALSE)+VLOOKUP($A7,main!$A$3:$H$102,4,FALSE)+(VLOOKUP(VLOOKUP(CQ$1,main!$A$3:$H$102,8,FALSE),main!$K$19:$O$22,MATCH(VLOOKUP($A7,main!$A$3:$H$102,7,FALSE),main!$K$18:$O$18,0),0))),0)</f>
        <v>0</v>
      </c>
      <c r="CR7">
        <f>IF((gamma!CR7),IF(VLOOKUP(CR$1,main!$A$3:$H$102,7,FALSE)=VLOOKUP($A7,main!$A$3:$H$102,8,FALSE),VLOOKUP(CR$1,main!$A$3:$H$102,4,FALSE),VLOOKUP(CR$1,main!$A$3:$H$102,4,FALSE)+VLOOKUP($A7,main!$A$3:$H$102,4,FALSE)+(VLOOKUP(VLOOKUP(CR$1,main!$A$3:$H$102,8,FALSE),main!$K$19:$O$22,MATCH(VLOOKUP($A7,main!$A$3:$H$102,7,FALSE),main!$K$18:$O$18,0),0))),0)</f>
        <v>0</v>
      </c>
      <c r="CS7">
        <f>IF((gamma!CS7),IF(VLOOKUP(CS$1,main!$A$3:$H$102,7,FALSE)=VLOOKUP($A7,main!$A$3:$H$102,8,FALSE),VLOOKUP(CS$1,main!$A$3:$H$102,4,FALSE),VLOOKUP(CS$1,main!$A$3:$H$102,4,FALSE)+VLOOKUP($A7,main!$A$3:$H$102,4,FALSE)+(VLOOKUP(VLOOKUP(CS$1,main!$A$3:$H$102,8,FALSE),main!$K$19:$O$22,MATCH(VLOOKUP($A7,main!$A$3:$H$102,7,FALSE),main!$K$18:$O$18,0),0))),0)</f>
        <v>0</v>
      </c>
      <c r="CT7">
        <f>IF((gamma!CT7),IF(VLOOKUP(CT$1,main!$A$3:$H$102,7,FALSE)=VLOOKUP($A7,main!$A$3:$H$102,8,FALSE),VLOOKUP(CT$1,main!$A$3:$H$102,4,FALSE),VLOOKUP(CT$1,main!$A$3:$H$102,4,FALSE)+VLOOKUP($A7,main!$A$3:$H$102,4,FALSE)+(VLOOKUP(VLOOKUP(CT$1,main!$A$3:$H$102,8,FALSE),main!$K$19:$O$22,MATCH(VLOOKUP($A7,main!$A$3:$H$102,7,FALSE),main!$K$18:$O$18,0),0))),0)</f>
        <v>0</v>
      </c>
      <c r="CU7">
        <f>IF((gamma!CU7),IF(VLOOKUP(CU$1,main!$A$3:$H$102,7,FALSE)=VLOOKUP($A7,main!$A$3:$H$102,8,FALSE),VLOOKUP(CU$1,main!$A$3:$H$102,4,FALSE),VLOOKUP(CU$1,main!$A$3:$H$102,4,FALSE)+VLOOKUP($A7,main!$A$3:$H$102,4,FALSE)+(VLOOKUP(VLOOKUP(CU$1,main!$A$3:$H$102,8,FALSE),main!$K$19:$O$22,MATCH(VLOOKUP($A7,main!$A$3:$H$102,7,FALSE),main!$K$18:$O$18,0),0))),0)</f>
        <v>0</v>
      </c>
      <c r="CV7">
        <f>IF((gamma!CV7),IF(VLOOKUP(CV$1,main!$A$3:$H$102,7,FALSE)=VLOOKUP($A7,main!$A$3:$H$102,8,FALSE),VLOOKUP(CV$1,main!$A$3:$H$102,4,FALSE),VLOOKUP(CV$1,main!$A$3:$H$102,4,FALSE)+VLOOKUP($A7,main!$A$3:$H$102,4,FALSE)+(VLOOKUP(VLOOKUP(CV$1,main!$A$3:$H$102,8,FALSE),main!$K$19:$O$22,MATCH(VLOOKUP($A7,main!$A$3:$H$102,7,FALSE),main!$K$18:$O$18,0),0))),0)</f>
        <v>0</v>
      </c>
      <c r="CW7">
        <f>IF((gamma!CW7),IF(VLOOKUP(CW$1,main!$A$3:$H$102,7,FALSE)=VLOOKUP($A7,main!$A$3:$H$102,8,FALSE),VLOOKUP(CW$1,main!$A$3:$H$102,4,FALSE),VLOOKUP(CW$1,main!$A$3:$H$102,4,FALSE)+VLOOKUP($A7,main!$A$3:$H$102,4,FALSE)+(VLOOKUP(VLOOKUP(CW$1,main!$A$3:$H$102,8,FALSE),main!$K$19:$O$22,MATCH(VLOOKUP($A7,main!$A$3:$H$102,7,FALSE),main!$K$18:$O$18,0),0))),0)</f>
        <v>0</v>
      </c>
      <c r="CX7">
        <f>IF((gamma!CX7),IF(VLOOKUP(CX$1,main!$A$3:$H$102,7,FALSE)=VLOOKUP($A7,main!$A$3:$H$102,8,FALSE),VLOOKUP(CX$1,main!$A$3:$H$102,4,FALSE),VLOOKUP(CX$1,main!$A$3:$H$102,4,FALSE)+VLOOKUP($A7,main!$A$3:$H$102,4,FALSE)+(VLOOKUP(VLOOKUP(CX$1,main!$A$3:$H$102,8,FALSE),main!$K$19:$O$22,MATCH(VLOOKUP($A7,main!$A$3:$H$102,7,FALSE),main!$K$18:$O$18,0),0))),0)</f>
        <v>0</v>
      </c>
      <c r="CY7">
        <v>0</v>
      </c>
      <c r="CZ7">
        <v>0</v>
      </c>
      <c r="DA7">
        <v>0</v>
      </c>
    </row>
    <row r="8" spans="1:105" x14ac:dyDescent="0.25">
      <c r="A8" s="1">
        <v>6</v>
      </c>
      <c r="B8">
        <v>0</v>
      </c>
      <c r="C8">
        <f>IF((gamma!C8),IF(VLOOKUP(C$1,main!$A$3:$H$102,7,FALSE)=VLOOKUP($A8,main!$A$3:$H$102,8,FALSE),VLOOKUP(C$1,main!$A$3:$H$102,4,FALSE),VLOOKUP(C$1,main!$A$3:$H$102,4,FALSE)+VLOOKUP($A8,main!$A$3:$H$102,4,FALSE)+(VLOOKUP(VLOOKUP(C$1,main!$A$3:$H$102,8,FALSE),main!$K$19:$O$22,MATCH(VLOOKUP($A8,main!$A$3:$H$102,7,FALSE),main!$K$18:$O$18,0),0))),0)</f>
        <v>0</v>
      </c>
      <c r="D8">
        <f>IF((gamma!D8),IF(VLOOKUP(D$1,main!$A$3:$H$102,7,FALSE)=VLOOKUP($A8,main!$A$3:$H$102,8,FALSE),VLOOKUP(D$1,main!$A$3:$H$102,4,FALSE),VLOOKUP(D$1,main!$A$3:$H$102,4,FALSE)+VLOOKUP($A8,main!$A$3:$H$102,4,FALSE)+(VLOOKUP(VLOOKUP(D$1,main!$A$3:$H$102,8,FALSE),main!$K$19:$O$22,MATCH(VLOOKUP($A8,main!$A$3:$H$102,7,FALSE),main!$K$18:$O$18,0),0))),0)</f>
        <v>0</v>
      </c>
      <c r="E8">
        <f>IF((gamma!E8),IF(VLOOKUP(E$1,main!$A$3:$H$102,7,FALSE)=VLOOKUP($A8,main!$A$3:$H$102,8,FALSE),VLOOKUP(E$1,main!$A$3:$H$102,4,FALSE),VLOOKUP(E$1,main!$A$3:$H$102,4,FALSE)+VLOOKUP($A8,main!$A$3:$H$102,4,FALSE)+(VLOOKUP(VLOOKUP(E$1,main!$A$3:$H$102,8,FALSE),main!$K$19:$O$22,MATCH(VLOOKUP($A8,main!$A$3:$H$102,7,FALSE),main!$K$18:$O$18,0),0))),0)</f>
        <v>0</v>
      </c>
      <c r="F8">
        <f>IF((gamma!F8),IF(VLOOKUP(F$1,main!$A$3:$H$102,7,FALSE)=VLOOKUP($A8,main!$A$3:$H$102,8,FALSE),VLOOKUP(F$1,main!$A$3:$H$102,4,FALSE),VLOOKUP(F$1,main!$A$3:$H$102,4,FALSE)+VLOOKUP($A8,main!$A$3:$H$102,4,FALSE)+(VLOOKUP(VLOOKUP(F$1,main!$A$3:$H$102,8,FALSE),main!$K$19:$O$22,MATCH(VLOOKUP($A8,main!$A$3:$H$102,7,FALSE),main!$K$18:$O$18,0),0))),0)</f>
        <v>0</v>
      </c>
      <c r="G8">
        <f>IF((gamma!G8),IF(VLOOKUP(G$1,main!$A$3:$H$102,7,FALSE)=VLOOKUP($A8,main!$A$3:$H$102,8,FALSE),VLOOKUP(G$1,main!$A$3:$H$102,4,FALSE),VLOOKUP(G$1,main!$A$3:$H$102,4,FALSE)+VLOOKUP($A8,main!$A$3:$H$102,4,FALSE)+(VLOOKUP(VLOOKUP(G$1,main!$A$3:$H$102,8,FALSE),main!$K$19:$O$22,MATCH(VLOOKUP($A8,main!$A$3:$H$102,7,FALSE),main!$K$18:$O$18,0),0))),0)</f>
        <v>0</v>
      </c>
      <c r="H8">
        <f>IF((gamma!H8),IF(VLOOKUP(H$1,main!$A$3:$H$102,7,FALSE)=VLOOKUP($A8,main!$A$3:$H$102,8,FALSE),VLOOKUP(H$1,main!$A$3:$H$102,4,FALSE),VLOOKUP(H$1,main!$A$3:$H$102,4,FALSE)+VLOOKUP($A8,main!$A$3:$H$102,4,FALSE)+(VLOOKUP(VLOOKUP(H$1,main!$A$3:$H$102,8,FALSE),main!$K$19:$O$22,MATCH(VLOOKUP($A8,main!$A$3:$H$102,7,FALSE),main!$K$18:$O$18,0),0))),0)</f>
        <v>0</v>
      </c>
      <c r="I8">
        <f>IF((gamma!I8),IF(VLOOKUP(I$1,main!$A$3:$H$102,7,FALSE)=VLOOKUP($A8,main!$A$3:$H$102,8,FALSE),VLOOKUP(I$1,main!$A$3:$H$102,4,FALSE),VLOOKUP(I$1,main!$A$3:$H$102,4,FALSE)+VLOOKUP($A8,main!$A$3:$H$102,4,FALSE)+(VLOOKUP(VLOOKUP(I$1,main!$A$3:$H$102,8,FALSE),main!$K$19:$O$22,MATCH(VLOOKUP($A8,main!$A$3:$H$102,7,FALSE),main!$K$18:$O$18,0),0))),0)</f>
        <v>0</v>
      </c>
      <c r="J8">
        <f>IF((gamma!J8),IF(VLOOKUP(J$1,main!$A$3:$H$102,7,FALSE)=VLOOKUP($A8,main!$A$3:$H$102,8,FALSE),VLOOKUP(J$1,main!$A$3:$H$102,4,FALSE),VLOOKUP(J$1,main!$A$3:$H$102,4,FALSE)+VLOOKUP($A8,main!$A$3:$H$102,4,FALSE)+(VLOOKUP(VLOOKUP(J$1,main!$A$3:$H$102,8,FALSE),main!$K$19:$O$22,MATCH(VLOOKUP($A8,main!$A$3:$H$102,7,FALSE),main!$K$18:$O$18,0),0))),0)</f>
        <v>0</v>
      </c>
      <c r="K8">
        <f>IF((gamma!K8),IF(VLOOKUP(K$1,main!$A$3:$H$102,7,FALSE)=VLOOKUP($A8,main!$A$3:$H$102,8,FALSE),VLOOKUP(K$1,main!$A$3:$H$102,4,FALSE),VLOOKUP(K$1,main!$A$3:$H$102,4,FALSE)+VLOOKUP($A8,main!$A$3:$H$102,4,FALSE)+(VLOOKUP(VLOOKUP(K$1,main!$A$3:$H$102,8,FALSE),main!$K$19:$O$22,MATCH(VLOOKUP($A8,main!$A$3:$H$102,7,FALSE),main!$K$18:$O$18,0),0))),0)</f>
        <v>295</v>
      </c>
      <c r="L8">
        <f>IF((gamma!L8),IF(VLOOKUP(L$1,main!$A$3:$H$102,7,FALSE)=VLOOKUP($A8,main!$A$3:$H$102,8,FALSE),VLOOKUP(L$1,main!$A$3:$H$102,4,FALSE),VLOOKUP(L$1,main!$A$3:$H$102,4,FALSE)+VLOOKUP($A8,main!$A$3:$H$102,4,FALSE)+(VLOOKUP(VLOOKUP(L$1,main!$A$3:$H$102,8,FALSE),main!$K$19:$O$22,MATCH(VLOOKUP($A8,main!$A$3:$H$102,7,FALSE),main!$K$18:$O$18,0),0))),0)</f>
        <v>295</v>
      </c>
      <c r="M8">
        <f>IF((gamma!M8),IF(VLOOKUP(M$1,main!$A$3:$H$102,7,FALSE)=VLOOKUP($A8,main!$A$3:$H$102,8,FALSE),VLOOKUP(M$1,main!$A$3:$H$102,4,FALSE),VLOOKUP(M$1,main!$A$3:$H$102,4,FALSE)+VLOOKUP($A8,main!$A$3:$H$102,4,FALSE)+(VLOOKUP(VLOOKUP(M$1,main!$A$3:$H$102,8,FALSE),main!$K$19:$O$22,MATCH(VLOOKUP($A8,main!$A$3:$H$102,7,FALSE),main!$K$18:$O$18,0),0))),0)</f>
        <v>0</v>
      </c>
      <c r="N8">
        <f>IF((gamma!N8),IF(VLOOKUP(N$1,main!$A$3:$H$102,7,FALSE)=VLOOKUP($A8,main!$A$3:$H$102,8,FALSE),VLOOKUP(N$1,main!$A$3:$H$102,4,FALSE),VLOOKUP(N$1,main!$A$3:$H$102,4,FALSE)+VLOOKUP($A8,main!$A$3:$H$102,4,FALSE)+(VLOOKUP(VLOOKUP(N$1,main!$A$3:$H$102,8,FALSE),main!$K$19:$O$22,MATCH(VLOOKUP($A8,main!$A$3:$H$102,7,FALSE),main!$K$18:$O$18,0),0))),0)</f>
        <v>0</v>
      </c>
      <c r="O8">
        <f>IF((gamma!O8),IF(VLOOKUP(O$1,main!$A$3:$H$102,7,FALSE)=VLOOKUP($A8,main!$A$3:$H$102,8,FALSE),VLOOKUP(O$1,main!$A$3:$H$102,4,FALSE),VLOOKUP(O$1,main!$A$3:$H$102,4,FALSE)+VLOOKUP($A8,main!$A$3:$H$102,4,FALSE)+(VLOOKUP(VLOOKUP(O$1,main!$A$3:$H$102,8,FALSE),main!$K$19:$O$22,MATCH(VLOOKUP($A8,main!$A$3:$H$102,7,FALSE),main!$K$18:$O$18,0),0))),0)</f>
        <v>0</v>
      </c>
      <c r="P8">
        <f>IF((gamma!P8),IF(VLOOKUP(P$1,main!$A$3:$H$102,7,FALSE)=VLOOKUP($A8,main!$A$3:$H$102,8,FALSE),VLOOKUP(P$1,main!$A$3:$H$102,4,FALSE),VLOOKUP(P$1,main!$A$3:$H$102,4,FALSE)+VLOOKUP($A8,main!$A$3:$H$102,4,FALSE)+(VLOOKUP(VLOOKUP(P$1,main!$A$3:$H$102,8,FALSE),main!$K$19:$O$22,MATCH(VLOOKUP($A8,main!$A$3:$H$102,7,FALSE),main!$K$18:$O$18,0),0))),0)</f>
        <v>0</v>
      </c>
      <c r="Q8">
        <f>IF((gamma!Q8),IF(VLOOKUP(Q$1,main!$A$3:$H$102,7,FALSE)=VLOOKUP($A8,main!$A$3:$H$102,8,FALSE),VLOOKUP(Q$1,main!$A$3:$H$102,4,FALSE),VLOOKUP(Q$1,main!$A$3:$H$102,4,FALSE)+VLOOKUP($A8,main!$A$3:$H$102,4,FALSE)+(VLOOKUP(VLOOKUP(Q$1,main!$A$3:$H$102,8,FALSE),main!$K$19:$O$22,MATCH(VLOOKUP($A8,main!$A$3:$H$102,7,FALSE),main!$K$18:$O$18,0),0))),0)</f>
        <v>0</v>
      </c>
      <c r="R8">
        <f>IF((gamma!R8),IF(VLOOKUP(R$1,main!$A$3:$H$102,7,FALSE)=VLOOKUP($A8,main!$A$3:$H$102,8,FALSE),VLOOKUP(R$1,main!$A$3:$H$102,4,FALSE),VLOOKUP(R$1,main!$A$3:$H$102,4,FALSE)+VLOOKUP($A8,main!$A$3:$H$102,4,FALSE)+(VLOOKUP(VLOOKUP(R$1,main!$A$3:$H$102,8,FALSE),main!$K$19:$O$22,MATCH(VLOOKUP($A8,main!$A$3:$H$102,7,FALSE),main!$K$18:$O$18,0),0))),0)</f>
        <v>0</v>
      </c>
      <c r="S8">
        <f>IF((gamma!S8),IF(VLOOKUP(S$1,main!$A$3:$H$102,7,FALSE)=VLOOKUP($A8,main!$A$3:$H$102,8,FALSE),VLOOKUP(S$1,main!$A$3:$H$102,4,FALSE),VLOOKUP(S$1,main!$A$3:$H$102,4,FALSE)+VLOOKUP($A8,main!$A$3:$H$102,4,FALSE)+(VLOOKUP(VLOOKUP(S$1,main!$A$3:$H$102,8,FALSE),main!$K$19:$O$22,MATCH(VLOOKUP($A8,main!$A$3:$H$102,7,FALSE),main!$K$18:$O$18,0),0))),0)</f>
        <v>0</v>
      </c>
      <c r="T8">
        <f>IF((gamma!T8),IF(VLOOKUP(T$1,main!$A$3:$H$102,7,FALSE)=VLOOKUP($A8,main!$A$3:$H$102,8,FALSE),VLOOKUP(T$1,main!$A$3:$H$102,4,FALSE),VLOOKUP(T$1,main!$A$3:$H$102,4,FALSE)+VLOOKUP($A8,main!$A$3:$H$102,4,FALSE)+(VLOOKUP(VLOOKUP(T$1,main!$A$3:$H$102,8,FALSE),main!$K$19:$O$22,MATCH(VLOOKUP($A8,main!$A$3:$H$102,7,FALSE),main!$K$18:$O$18,0),0))),0)</f>
        <v>0</v>
      </c>
      <c r="U8">
        <f>IF((gamma!U8),IF(VLOOKUP(U$1,main!$A$3:$H$102,7,FALSE)=VLOOKUP($A8,main!$A$3:$H$102,8,FALSE),VLOOKUP(U$1,main!$A$3:$H$102,4,FALSE),VLOOKUP(U$1,main!$A$3:$H$102,4,FALSE)+VLOOKUP($A8,main!$A$3:$H$102,4,FALSE)+(VLOOKUP(VLOOKUP(U$1,main!$A$3:$H$102,8,FALSE),main!$K$19:$O$22,MATCH(VLOOKUP($A8,main!$A$3:$H$102,7,FALSE),main!$K$18:$O$18,0),0))),0)</f>
        <v>305</v>
      </c>
      <c r="V8">
        <f>IF((gamma!V8),IF(VLOOKUP(V$1,main!$A$3:$H$102,7,FALSE)=VLOOKUP($A8,main!$A$3:$H$102,8,FALSE),VLOOKUP(V$1,main!$A$3:$H$102,4,FALSE),VLOOKUP(V$1,main!$A$3:$H$102,4,FALSE)+VLOOKUP($A8,main!$A$3:$H$102,4,FALSE)+(VLOOKUP(VLOOKUP(V$1,main!$A$3:$H$102,8,FALSE),main!$K$19:$O$22,MATCH(VLOOKUP($A8,main!$A$3:$H$102,7,FALSE),main!$K$18:$O$18,0),0))),0)</f>
        <v>305</v>
      </c>
      <c r="W8">
        <f>IF((gamma!W8),IF(VLOOKUP(W$1,main!$A$3:$H$102,7,FALSE)=VLOOKUP($A8,main!$A$3:$H$102,8,FALSE),VLOOKUP(W$1,main!$A$3:$H$102,4,FALSE),VLOOKUP(W$1,main!$A$3:$H$102,4,FALSE)+VLOOKUP($A8,main!$A$3:$H$102,4,FALSE)+(VLOOKUP(VLOOKUP(W$1,main!$A$3:$H$102,8,FALSE),main!$K$19:$O$22,MATCH(VLOOKUP($A8,main!$A$3:$H$102,7,FALSE),main!$K$18:$O$18,0),0))),0)</f>
        <v>0</v>
      </c>
      <c r="X8">
        <f>IF((gamma!X8),IF(VLOOKUP(X$1,main!$A$3:$H$102,7,FALSE)=VLOOKUP($A8,main!$A$3:$H$102,8,FALSE),VLOOKUP(X$1,main!$A$3:$H$102,4,FALSE),VLOOKUP(X$1,main!$A$3:$H$102,4,FALSE)+VLOOKUP($A8,main!$A$3:$H$102,4,FALSE)+(VLOOKUP(VLOOKUP(X$1,main!$A$3:$H$102,8,FALSE),main!$K$19:$O$22,MATCH(VLOOKUP($A8,main!$A$3:$H$102,7,FALSE),main!$K$18:$O$18,0),0))),0)</f>
        <v>0</v>
      </c>
      <c r="Y8">
        <f>IF((gamma!Y8),IF(VLOOKUP(Y$1,main!$A$3:$H$102,7,FALSE)=VLOOKUP($A8,main!$A$3:$H$102,8,FALSE),VLOOKUP(Y$1,main!$A$3:$H$102,4,FALSE),VLOOKUP(Y$1,main!$A$3:$H$102,4,FALSE)+VLOOKUP($A8,main!$A$3:$H$102,4,FALSE)+(VLOOKUP(VLOOKUP(Y$1,main!$A$3:$H$102,8,FALSE),main!$K$19:$O$22,MATCH(VLOOKUP($A8,main!$A$3:$H$102,7,FALSE),main!$K$18:$O$18,0),0))),0)</f>
        <v>0</v>
      </c>
      <c r="Z8">
        <f>IF((gamma!Z8),IF(VLOOKUP(Z$1,main!$A$3:$H$102,7,FALSE)=VLOOKUP($A8,main!$A$3:$H$102,8,FALSE),VLOOKUP(Z$1,main!$A$3:$H$102,4,FALSE),VLOOKUP(Z$1,main!$A$3:$H$102,4,FALSE)+VLOOKUP($A8,main!$A$3:$H$102,4,FALSE)+(VLOOKUP(VLOOKUP(Z$1,main!$A$3:$H$102,8,FALSE),main!$K$19:$O$22,MATCH(VLOOKUP($A8,main!$A$3:$H$102,7,FALSE),main!$K$18:$O$18,0),0))),0)</f>
        <v>0</v>
      </c>
      <c r="AA8">
        <f>IF((gamma!AA8),IF(VLOOKUP(AA$1,main!$A$3:$H$102,7,FALSE)=VLOOKUP($A8,main!$A$3:$H$102,8,FALSE),VLOOKUP(AA$1,main!$A$3:$H$102,4,FALSE),VLOOKUP(AA$1,main!$A$3:$H$102,4,FALSE)+VLOOKUP($A8,main!$A$3:$H$102,4,FALSE)+(VLOOKUP(VLOOKUP(AA$1,main!$A$3:$H$102,8,FALSE),main!$K$19:$O$22,MATCH(VLOOKUP($A8,main!$A$3:$H$102,7,FALSE),main!$K$18:$O$18,0),0))),0)</f>
        <v>310</v>
      </c>
      <c r="AB8">
        <f>IF((gamma!AB8),IF(VLOOKUP(AB$1,main!$A$3:$H$102,7,FALSE)=VLOOKUP($A8,main!$A$3:$H$102,8,FALSE),VLOOKUP(AB$1,main!$A$3:$H$102,4,FALSE),VLOOKUP(AB$1,main!$A$3:$H$102,4,FALSE)+VLOOKUP($A8,main!$A$3:$H$102,4,FALSE)+(VLOOKUP(VLOOKUP(AB$1,main!$A$3:$H$102,8,FALSE),main!$K$19:$O$22,MATCH(VLOOKUP($A8,main!$A$3:$H$102,7,FALSE),main!$K$18:$O$18,0),0))),0)</f>
        <v>0</v>
      </c>
      <c r="AC8">
        <f>IF((gamma!AC8),IF(VLOOKUP(AC$1,main!$A$3:$H$102,7,FALSE)=VLOOKUP($A8,main!$A$3:$H$102,8,FALSE),VLOOKUP(AC$1,main!$A$3:$H$102,4,FALSE),VLOOKUP(AC$1,main!$A$3:$H$102,4,FALSE)+VLOOKUP($A8,main!$A$3:$H$102,4,FALSE)+(VLOOKUP(VLOOKUP(AC$1,main!$A$3:$H$102,8,FALSE),main!$K$19:$O$22,MATCH(VLOOKUP($A8,main!$A$3:$H$102,7,FALSE),main!$K$18:$O$18,0),0))),0)</f>
        <v>0</v>
      </c>
      <c r="AD8">
        <f>IF((gamma!AD8),IF(VLOOKUP(AD$1,main!$A$3:$H$102,7,FALSE)=VLOOKUP($A8,main!$A$3:$H$102,8,FALSE),VLOOKUP(AD$1,main!$A$3:$H$102,4,FALSE),VLOOKUP(AD$1,main!$A$3:$H$102,4,FALSE)+VLOOKUP($A8,main!$A$3:$H$102,4,FALSE)+(VLOOKUP(VLOOKUP(AD$1,main!$A$3:$H$102,8,FALSE),main!$K$19:$O$22,MATCH(VLOOKUP($A8,main!$A$3:$H$102,7,FALSE),main!$K$18:$O$18,0),0))),0)</f>
        <v>0</v>
      </c>
      <c r="AE8">
        <f>IF((gamma!AE8),IF(VLOOKUP(AE$1,main!$A$3:$H$102,7,FALSE)=VLOOKUP($A8,main!$A$3:$H$102,8,FALSE),VLOOKUP(AE$1,main!$A$3:$H$102,4,FALSE),VLOOKUP(AE$1,main!$A$3:$H$102,4,FALSE)+VLOOKUP($A8,main!$A$3:$H$102,4,FALSE)+(VLOOKUP(VLOOKUP(AE$1,main!$A$3:$H$102,8,FALSE),main!$K$19:$O$22,MATCH(VLOOKUP($A8,main!$A$3:$H$102,7,FALSE),main!$K$18:$O$18,0),0))),0)</f>
        <v>0</v>
      </c>
      <c r="AF8">
        <f>IF((gamma!AF8),IF(VLOOKUP(AF$1,main!$A$3:$H$102,7,FALSE)=VLOOKUP($A8,main!$A$3:$H$102,8,FALSE),VLOOKUP(AF$1,main!$A$3:$H$102,4,FALSE),VLOOKUP(AF$1,main!$A$3:$H$102,4,FALSE)+VLOOKUP($A8,main!$A$3:$H$102,4,FALSE)+(VLOOKUP(VLOOKUP(AF$1,main!$A$3:$H$102,8,FALSE),main!$K$19:$O$22,MATCH(VLOOKUP($A8,main!$A$3:$H$102,7,FALSE),main!$K$18:$O$18,0),0))),0)</f>
        <v>270</v>
      </c>
      <c r="AG8">
        <f>IF((gamma!AG8),IF(VLOOKUP(AG$1,main!$A$3:$H$102,7,FALSE)=VLOOKUP($A8,main!$A$3:$H$102,8,FALSE),VLOOKUP(AG$1,main!$A$3:$H$102,4,FALSE),VLOOKUP(AG$1,main!$A$3:$H$102,4,FALSE)+VLOOKUP($A8,main!$A$3:$H$102,4,FALSE)+(VLOOKUP(VLOOKUP(AG$1,main!$A$3:$H$102,8,FALSE),main!$K$19:$O$22,MATCH(VLOOKUP($A8,main!$A$3:$H$102,7,FALSE),main!$K$18:$O$18,0),0))),0)</f>
        <v>0</v>
      </c>
      <c r="AH8">
        <f>IF((gamma!AH8),IF(VLOOKUP(AH$1,main!$A$3:$H$102,7,FALSE)=VLOOKUP($A8,main!$A$3:$H$102,8,FALSE),VLOOKUP(AH$1,main!$A$3:$H$102,4,FALSE),VLOOKUP(AH$1,main!$A$3:$H$102,4,FALSE)+VLOOKUP($A8,main!$A$3:$H$102,4,FALSE)+(VLOOKUP(VLOOKUP(AH$1,main!$A$3:$H$102,8,FALSE),main!$K$19:$O$22,MATCH(VLOOKUP($A8,main!$A$3:$H$102,7,FALSE),main!$K$18:$O$18,0),0))),0)</f>
        <v>0</v>
      </c>
      <c r="AI8">
        <f>IF((gamma!AI8),IF(VLOOKUP(AI$1,main!$A$3:$H$102,7,FALSE)=VLOOKUP($A8,main!$A$3:$H$102,8,FALSE),VLOOKUP(AI$1,main!$A$3:$H$102,4,FALSE),VLOOKUP(AI$1,main!$A$3:$H$102,4,FALSE)+VLOOKUP($A8,main!$A$3:$H$102,4,FALSE)+(VLOOKUP(VLOOKUP(AI$1,main!$A$3:$H$102,8,FALSE),main!$K$19:$O$22,MATCH(VLOOKUP($A8,main!$A$3:$H$102,7,FALSE),main!$K$18:$O$18,0),0))),0)</f>
        <v>0</v>
      </c>
      <c r="AJ8">
        <f>IF((gamma!AJ8),IF(VLOOKUP(AJ$1,main!$A$3:$H$102,7,FALSE)=VLOOKUP($A8,main!$A$3:$H$102,8,FALSE),VLOOKUP(AJ$1,main!$A$3:$H$102,4,FALSE),VLOOKUP(AJ$1,main!$A$3:$H$102,4,FALSE)+VLOOKUP($A8,main!$A$3:$H$102,4,FALSE)+(VLOOKUP(VLOOKUP(AJ$1,main!$A$3:$H$102,8,FALSE),main!$K$19:$O$22,MATCH(VLOOKUP($A8,main!$A$3:$H$102,7,FALSE),main!$K$18:$O$18,0),0))),0)</f>
        <v>0</v>
      </c>
      <c r="AK8">
        <f>IF((gamma!AK8),IF(VLOOKUP(AK$1,main!$A$3:$H$102,7,FALSE)=VLOOKUP($A8,main!$A$3:$H$102,8,FALSE),VLOOKUP(AK$1,main!$A$3:$H$102,4,FALSE),VLOOKUP(AK$1,main!$A$3:$H$102,4,FALSE)+VLOOKUP($A8,main!$A$3:$H$102,4,FALSE)+(VLOOKUP(VLOOKUP(AK$1,main!$A$3:$H$102,8,FALSE),main!$K$19:$O$22,MATCH(VLOOKUP($A8,main!$A$3:$H$102,7,FALSE),main!$K$18:$O$18,0),0))),0)</f>
        <v>0</v>
      </c>
      <c r="AL8">
        <f>IF((gamma!AL8),IF(VLOOKUP(AL$1,main!$A$3:$H$102,7,FALSE)=VLOOKUP($A8,main!$A$3:$H$102,8,FALSE),VLOOKUP(AL$1,main!$A$3:$H$102,4,FALSE),VLOOKUP(AL$1,main!$A$3:$H$102,4,FALSE)+VLOOKUP($A8,main!$A$3:$H$102,4,FALSE)+(VLOOKUP(VLOOKUP(AL$1,main!$A$3:$H$102,8,FALSE),main!$K$19:$O$22,MATCH(VLOOKUP($A8,main!$A$3:$H$102,7,FALSE),main!$K$18:$O$18,0),0))),0)</f>
        <v>0</v>
      </c>
      <c r="AM8">
        <f>IF((gamma!AM8),IF(VLOOKUP(AM$1,main!$A$3:$H$102,7,FALSE)=VLOOKUP($A8,main!$A$3:$H$102,8,FALSE),VLOOKUP(AM$1,main!$A$3:$H$102,4,FALSE),VLOOKUP(AM$1,main!$A$3:$H$102,4,FALSE)+VLOOKUP($A8,main!$A$3:$H$102,4,FALSE)+(VLOOKUP(VLOOKUP(AM$1,main!$A$3:$H$102,8,FALSE),main!$K$19:$O$22,MATCH(VLOOKUP($A8,main!$A$3:$H$102,7,FALSE),main!$K$18:$O$18,0),0))),0)</f>
        <v>135</v>
      </c>
      <c r="AN8">
        <f>IF((gamma!AN8),IF(VLOOKUP(AN$1,main!$A$3:$H$102,7,FALSE)=VLOOKUP($A8,main!$A$3:$H$102,8,FALSE),VLOOKUP(AN$1,main!$A$3:$H$102,4,FALSE),VLOOKUP(AN$1,main!$A$3:$H$102,4,FALSE)+VLOOKUP($A8,main!$A$3:$H$102,4,FALSE)+(VLOOKUP(VLOOKUP(AN$1,main!$A$3:$H$102,8,FALSE),main!$K$19:$O$22,MATCH(VLOOKUP($A8,main!$A$3:$H$102,7,FALSE),main!$K$18:$O$18,0),0))),0)</f>
        <v>135</v>
      </c>
      <c r="AO8">
        <f>IF((gamma!AO8),IF(VLOOKUP(AO$1,main!$A$3:$H$102,7,FALSE)=VLOOKUP($A8,main!$A$3:$H$102,8,FALSE),VLOOKUP(AO$1,main!$A$3:$H$102,4,FALSE),VLOOKUP(AO$1,main!$A$3:$H$102,4,FALSE)+VLOOKUP($A8,main!$A$3:$H$102,4,FALSE)+(VLOOKUP(VLOOKUP(AO$1,main!$A$3:$H$102,8,FALSE),main!$K$19:$O$22,MATCH(VLOOKUP($A8,main!$A$3:$H$102,7,FALSE),main!$K$18:$O$18,0),0))),0)</f>
        <v>0</v>
      </c>
      <c r="AP8">
        <f>IF((gamma!AP8),IF(VLOOKUP(AP$1,main!$A$3:$H$102,7,FALSE)=VLOOKUP($A8,main!$A$3:$H$102,8,FALSE),VLOOKUP(AP$1,main!$A$3:$H$102,4,FALSE),VLOOKUP(AP$1,main!$A$3:$H$102,4,FALSE)+VLOOKUP($A8,main!$A$3:$H$102,4,FALSE)+(VLOOKUP(VLOOKUP(AP$1,main!$A$3:$H$102,8,FALSE),main!$K$19:$O$22,MATCH(VLOOKUP($A8,main!$A$3:$H$102,7,FALSE),main!$K$18:$O$18,0),0))),0)</f>
        <v>75</v>
      </c>
      <c r="AQ8">
        <f>IF((gamma!AQ8),IF(VLOOKUP(AQ$1,main!$A$3:$H$102,7,FALSE)=VLOOKUP($A8,main!$A$3:$H$102,8,FALSE),VLOOKUP(AQ$1,main!$A$3:$H$102,4,FALSE),VLOOKUP(AQ$1,main!$A$3:$H$102,4,FALSE)+VLOOKUP($A8,main!$A$3:$H$102,4,FALSE)+(VLOOKUP(VLOOKUP(AQ$1,main!$A$3:$H$102,8,FALSE),main!$K$19:$O$22,MATCH(VLOOKUP($A8,main!$A$3:$H$102,7,FALSE),main!$K$18:$O$18,0),0))),0)</f>
        <v>0</v>
      </c>
      <c r="AR8">
        <f>IF((gamma!AR8),IF(VLOOKUP(AR$1,main!$A$3:$H$102,7,FALSE)=VLOOKUP($A8,main!$A$3:$H$102,8,FALSE),VLOOKUP(AR$1,main!$A$3:$H$102,4,FALSE),VLOOKUP(AR$1,main!$A$3:$H$102,4,FALSE)+VLOOKUP($A8,main!$A$3:$H$102,4,FALSE)+(VLOOKUP(VLOOKUP(AR$1,main!$A$3:$H$102,8,FALSE),main!$K$19:$O$22,MATCH(VLOOKUP($A8,main!$A$3:$H$102,7,FALSE),main!$K$18:$O$18,0),0))),0)</f>
        <v>0</v>
      </c>
      <c r="AS8">
        <f>IF((gamma!AS8),IF(VLOOKUP(AS$1,main!$A$3:$H$102,7,FALSE)=VLOOKUP($A8,main!$A$3:$H$102,8,FALSE),VLOOKUP(AS$1,main!$A$3:$H$102,4,FALSE),VLOOKUP(AS$1,main!$A$3:$H$102,4,FALSE)+VLOOKUP($A8,main!$A$3:$H$102,4,FALSE)+(VLOOKUP(VLOOKUP(AS$1,main!$A$3:$H$102,8,FALSE),main!$K$19:$O$22,MATCH(VLOOKUP($A8,main!$A$3:$H$102,7,FALSE),main!$K$18:$O$18,0),0))),0)</f>
        <v>0</v>
      </c>
      <c r="AT8">
        <f>IF((gamma!AT8),IF(VLOOKUP(AT$1,main!$A$3:$H$102,7,FALSE)=VLOOKUP($A8,main!$A$3:$H$102,8,FALSE),VLOOKUP(AT$1,main!$A$3:$H$102,4,FALSE),VLOOKUP(AT$1,main!$A$3:$H$102,4,FALSE)+VLOOKUP($A8,main!$A$3:$H$102,4,FALSE)+(VLOOKUP(VLOOKUP(AT$1,main!$A$3:$H$102,8,FALSE),main!$K$19:$O$22,MATCH(VLOOKUP($A8,main!$A$3:$H$102,7,FALSE),main!$K$18:$O$18,0),0))),0)</f>
        <v>0</v>
      </c>
      <c r="AU8">
        <f>IF((gamma!AU8),IF(VLOOKUP(AU$1,main!$A$3:$H$102,7,FALSE)=VLOOKUP($A8,main!$A$3:$H$102,8,FALSE),VLOOKUP(AU$1,main!$A$3:$H$102,4,FALSE),VLOOKUP(AU$1,main!$A$3:$H$102,4,FALSE)+VLOOKUP($A8,main!$A$3:$H$102,4,FALSE)+(VLOOKUP(VLOOKUP(AU$1,main!$A$3:$H$102,8,FALSE),main!$K$19:$O$22,MATCH(VLOOKUP($A8,main!$A$3:$H$102,7,FALSE),main!$K$18:$O$18,0),0))),0)</f>
        <v>0</v>
      </c>
      <c r="AV8">
        <f>IF((gamma!AV8),IF(VLOOKUP(AV$1,main!$A$3:$H$102,7,FALSE)=VLOOKUP($A8,main!$A$3:$H$102,8,FALSE),VLOOKUP(AV$1,main!$A$3:$H$102,4,FALSE),VLOOKUP(AV$1,main!$A$3:$H$102,4,FALSE)+VLOOKUP($A8,main!$A$3:$H$102,4,FALSE)+(VLOOKUP(VLOOKUP(AV$1,main!$A$3:$H$102,8,FALSE),main!$K$19:$O$22,MATCH(VLOOKUP($A8,main!$A$3:$H$102,7,FALSE),main!$K$18:$O$18,0),0))),0)</f>
        <v>0</v>
      </c>
      <c r="AW8">
        <f>IF((gamma!AW8),IF(VLOOKUP(AW$1,main!$A$3:$H$102,7,FALSE)=VLOOKUP($A8,main!$A$3:$H$102,8,FALSE),VLOOKUP(AW$1,main!$A$3:$H$102,4,FALSE),VLOOKUP(AW$1,main!$A$3:$H$102,4,FALSE)+VLOOKUP($A8,main!$A$3:$H$102,4,FALSE)+(VLOOKUP(VLOOKUP(AW$1,main!$A$3:$H$102,8,FALSE),main!$K$19:$O$22,MATCH(VLOOKUP($A8,main!$A$3:$H$102,7,FALSE),main!$K$18:$O$18,0),0))),0)</f>
        <v>0</v>
      </c>
      <c r="AX8">
        <f>IF((gamma!AX8),IF(VLOOKUP(AX$1,main!$A$3:$H$102,7,FALSE)=VLOOKUP($A8,main!$A$3:$H$102,8,FALSE),VLOOKUP(AX$1,main!$A$3:$H$102,4,FALSE),VLOOKUP(AX$1,main!$A$3:$H$102,4,FALSE)+VLOOKUP($A8,main!$A$3:$H$102,4,FALSE)+(VLOOKUP(VLOOKUP(AX$1,main!$A$3:$H$102,8,FALSE),main!$K$19:$O$22,MATCH(VLOOKUP($A8,main!$A$3:$H$102,7,FALSE),main!$K$18:$O$18,0),0))),0)</f>
        <v>0</v>
      </c>
      <c r="AY8">
        <f>IF((gamma!AY8),IF(VLOOKUP(AY$1,main!$A$3:$H$102,7,FALSE)=VLOOKUP($A8,main!$A$3:$H$102,8,FALSE),VLOOKUP(AY$1,main!$A$3:$H$102,4,FALSE),VLOOKUP(AY$1,main!$A$3:$H$102,4,FALSE)+VLOOKUP($A8,main!$A$3:$H$102,4,FALSE)+(VLOOKUP(VLOOKUP(AY$1,main!$A$3:$H$102,8,FALSE),main!$K$19:$O$22,MATCH(VLOOKUP($A8,main!$A$3:$H$102,7,FALSE),main!$K$18:$O$18,0),0))),0)</f>
        <v>0</v>
      </c>
      <c r="AZ8">
        <f>IF((gamma!AZ8),IF(VLOOKUP(AZ$1,main!$A$3:$H$102,7,FALSE)=VLOOKUP($A8,main!$A$3:$H$102,8,FALSE),VLOOKUP(AZ$1,main!$A$3:$H$102,4,FALSE),VLOOKUP(AZ$1,main!$A$3:$H$102,4,FALSE)+VLOOKUP($A8,main!$A$3:$H$102,4,FALSE)+(VLOOKUP(VLOOKUP(AZ$1,main!$A$3:$H$102,8,FALSE),main!$K$19:$O$22,MATCH(VLOOKUP($A8,main!$A$3:$H$102,7,FALSE),main!$K$18:$O$18,0),0))),0)</f>
        <v>0</v>
      </c>
      <c r="BA8">
        <f>IF((gamma!BA8),IF(VLOOKUP(BA$1,main!$A$3:$H$102,7,FALSE)=VLOOKUP($A8,main!$A$3:$H$102,8,FALSE),VLOOKUP(BA$1,main!$A$3:$H$102,4,FALSE),VLOOKUP(BA$1,main!$A$3:$H$102,4,FALSE)+VLOOKUP($A8,main!$A$3:$H$102,4,FALSE)+(VLOOKUP(VLOOKUP(BA$1,main!$A$3:$H$102,8,FALSE),main!$K$19:$O$22,MATCH(VLOOKUP($A8,main!$A$3:$H$102,7,FALSE),main!$K$18:$O$18,0),0))),0)</f>
        <v>0</v>
      </c>
      <c r="BB8">
        <f>IF((gamma!BB8),IF(VLOOKUP(BB$1,main!$A$3:$H$102,7,FALSE)=VLOOKUP($A8,main!$A$3:$H$102,8,FALSE),VLOOKUP(BB$1,main!$A$3:$H$102,4,FALSE),VLOOKUP(BB$1,main!$A$3:$H$102,4,FALSE)+VLOOKUP($A8,main!$A$3:$H$102,4,FALSE)+(VLOOKUP(VLOOKUP(BB$1,main!$A$3:$H$102,8,FALSE),main!$K$19:$O$22,MATCH(VLOOKUP($A8,main!$A$3:$H$102,7,FALSE),main!$K$18:$O$18,0),0))),0)</f>
        <v>0</v>
      </c>
      <c r="BC8">
        <f>IF((gamma!BC8),IF(VLOOKUP(BC$1,main!$A$3:$H$102,7,FALSE)=VLOOKUP($A8,main!$A$3:$H$102,8,FALSE),VLOOKUP(BC$1,main!$A$3:$H$102,4,FALSE),VLOOKUP(BC$1,main!$A$3:$H$102,4,FALSE)+VLOOKUP($A8,main!$A$3:$H$102,4,FALSE)+(VLOOKUP(VLOOKUP(BC$1,main!$A$3:$H$102,8,FALSE),main!$K$19:$O$22,MATCH(VLOOKUP($A8,main!$A$3:$H$102,7,FALSE),main!$K$18:$O$18,0),0))),0)</f>
        <v>0</v>
      </c>
      <c r="BD8">
        <f>IF((gamma!BD8),IF(VLOOKUP(BD$1,main!$A$3:$H$102,7,FALSE)=VLOOKUP($A8,main!$A$3:$H$102,8,FALSE),VLOOKUP(BD$1,main!$A$3:$H$102,4,FALSE),VLOOKUP(BD$1,main!$A$3:$H$102,4,FALSE)+VLOOKUP($A8,main!$A$3:$H$102,4,FALSE)+(VLOOKUP(VLOOKUP(BD$1,main!$A$3:$H$102,8,FALSE),main!$K$19:$O$22,MATCH(VLOOKUP($A8,main!$A$3:$H$102,7,FALSE),main!$K$18:$O$18,0),0))),0)</f>
        <v>0</v>
      </c>
      <c r="BE8">
        <f>IF((gamma!BE8),IF(VLOOKUP(BE$1,main!$A$3:$H$102,7,FALSE)=VLOOKUP($A8,main!$A$3:$H$102,8,FALSE),VLOOKUP(BE$1,main!$A$3:$H$102,4,FALSE),VLOOKUP(BE$1,main!$A$3:$H$102,4,FALSE)+VLOOKUP($A8,main!$A$3:$H$102,4,FALSE)+(VLOOKUP(VLOOKUP(BE$1,main!$A$3:$H$102,8,FALSE),main!$K$19:$O$22,MATCH(VLOOKUP($A8,main!$A$3:$H$102,7,FALSE),main!$K$18:$O$18,0),0))),0)</f>
        <v>0</v>
      </c>
      <c r="BF8">
        <f>IF((gamma!BF8),IF(VLOOKUP(BF$1,main!$A$3:$H$102,7,FALSE)=VLOOKUP($A8,main!$A$3:$H$102,8,FALSE),VLOOKUP(BF$1,main!$A$3:$H$102,4,FALSE),VLOOKUP(BF$1,main!$A$3:$H$102,4,FALSE)+VLOOKUP($A8,main!$A$3:$H$102,4,FALSE)+(VLOOKUP(VLOOKUP(BF$1,main!$A$3:$H$102,8,FALSE),main!$K$19:$O$22,MATCH(VLOOKUP($A8,main!$A$3:$H$102,7,FALSE),main!$K$18:$O$18,0),0))),0)</f>
        <v>0</v>
      </c>
      <c r="BG8">
        <f>IF((gamma!BG8),IF(VLOOKUP(BG$1,main!$A$3:$H$102,7,FALSE)=VLOOKUP($A8,main!$A$3:$H$102,8,FALSE),VLOOKUP(BG$1,main!$A$3:$H$102,4,FALSE),VLOOKUP(BG$1,main!$A$3:$H$102,4,FALSE)+VLOOKUP($A8,main!$A$3:$H$102,4,FALSE)+(VLOOKUP(VLOOKUP(BG$1,main!$A$3:$H$102,8,FALSE),main!$K$19:$O$22,MATCH(VLOOKUP($A8,main!$A$3:$H$102,7,FALSE),main!$K$18:$O$18,0),0))),0)</f>
        <v>0</v>
      </c>
      <c r="BH8">
        <f>IF((gamma!BH8),IF(VLOOKUP(BH$1,main!$A$3:$H$102,7,FALSE)=VLOOKUP($A8,main!$A$3:$H$102,8,FALSE),VLOOKUP(BH$1,main!$A$3:$H$102,4,FALSE),VLOOKUP(BH$1,main!$A$3:$H$102,4,FALSE)+VLOOKUP($A8,main!$A$3:$H$102,4,FALSE)+(VLOOKUP(VLOOKUP(BH$1,main!$A$3:$H$102,8,FALSE),main!$K$19:$O$22,MATCH(VLOOKUP($A8,main!$A$3:$H$102,7,FALSE),main!$K$18:$O$18,0),0))),0)</f>
        <v>0</v>
      </c>
      <c r="BI8">
        <f>IF((gamma!BI8),IF(VLOOKUP(BI$1,main!$A$3:$H$102,7,FALSE)=VLOOKUP($A8,main!$A$3:$H$102,8,FALSE),VLOOKUP(BI$1,main!$A$3:$H$102,4,FALSE),VLOOKUP(BI$1,main!$A$3:$H$102,4,FALSE)+VLOOKUP($A8,main!$A$3:$H$102,4,FALSE)+(VLOOKUP(VLOOKUP(BI$1,main!$A$3:$H$102,8,FALSE),main!$K$19:$O$22,MATCH(VLOOKUP($A8,main!$A$3:$H$102,7,FALSE),main!$K$18:$O$18,0),0))),0)</f>
        <v>195</v>
      </c>
      <c r="BJ8">
        <f>IF((gamma!BJ8),IF(VLOOKUP(BJ$1,main!$A$3:$H$102,7,FALSE)=VLOOKUP($A8,main!$A$3:$H$102,8,FALSE),VLOOKUP(BJ$1,main!$A$3:$H$102,4,FALSE),VLOOKUP(BJ$1,main!$A$3:$H$102,4,FALSE)+VLOOKUP($A8,main!$A$3:$H$102,4,FALSE)+(VLOOKUP(VLOOKUP(BJ$1,main!$A$3:$H$102,8,FALSE),main!$K$19:$O$22,MATCH(VLOOKUP($A8,main!$A$3:$H$102,7,FALSE),main!$K$18:$O$18,0),0))),0)</f>
        <v>0</v>
      </c>
      <c r="BK8">
        <f>IF((gamma!BK8),IF(VLOOKUP(BK$1,main!$A$3:$H$102,7,FALSE)=VLOOKUP($A8,main!$A$3:$H$102,8,FALSE),VLOOKUP(BK$1,main!$A$3:$H$102,4,FALSE),VLOOKUP(BK$1,main!$A$3:$H$102,4,FALSE)+VLOOKUP($A8,main!$A$3:$H$102,4,FALSE)+(VLOOKUP(VLOOKUP(BK$1,main!$A$3:$H$102,8,FALSE),main!$K$19:$O$22,MATCH(VLOOKUP($A8,main!$A$3:$H$102,7,FALSE),main!$K$18:$O$18,0),0))),0)</f>
        <v>0</v>
      </c>
      <c r="BL8">
        <f>IF((gamma!BL8),IF(VLOOKUP(BL$1,main!$A$3:$H$102,7,FALSE)=VLOOKUP($A8,main!$A$3:$H$102,8,FALSE),VLOOKUP(BL$1,main!$A$3:$H$102,4,FALSE),VLOOKUP(BL$1,main!$A$3:$H$102,4,FALSE)+VLOOKUP($A8,main!$A$3:$H$102,4,FALSE)+(VLOOKUP(VLOOKUP(BL$1,main!$A$3:$H$102,8,FALSE),main!$K$19:$O$22,MATCH(VLOOKUP($A8,main!$A$3:$H$102,7,FALSE),main!$K$18:$O$18,0),0))),0)</f>
        <v>0</v>
      </c>
      <c r="BM8">
        <f>IF((gamma!BM8),IF(VLOOKUP(BM$1,main!$A$3:$H$102,7,FALSE)=VLOOKUP($A8,main!$A$3:$H$102,8,FALSE),VLOOKUP(BM$1,main!$A$3:$H$102,4,FALSE),VLOOKUP(BM$1,main!$A$3:$H$102,4,FALSE)+VLOOKUP($A8,main!$A$3:$H$102,4,FALSE)+(VLOOKUP(VLOOKUP(BM$1,main!$A$3:$H$102,8,FALSE),main!$K$19:$O$22,MATCH(VLOOKUP($A8,main!$A$3:$H$102,7,FALSE),main!$K$18:$O$18,0),0))),0)</f>
        <v>0</v>
      </c>
      <c r="BN8">
        <f>IF((gamma!BN8),IF(VLOOKUP(BN$1,main!$A$3:$H$102,7,FALSE)=VLOOKUP($A8,main!$A$3:$H$102,8,FALSE),VLOOKUP(BN$1,main!$A$3:$H$102,4,FALSE),VLOOKUP(BN$1,main!$A$3:$H$102,4,FALSE)+VLOOKUP($A8,main!$A$3:$H$102,4,FALSE)+(VLOOKUP(VLOOKUP(BN$1,main!$A$3:$H$102,8,FALSE),main!$K$19:$O$22,MATCH(VLOOKUP($A8,main!$A$3:$H$102,7,FALSE),main!$K$18:$O$18,0),0))),0)</f>
        <v>0</v>
      </c>
      <c r="BO8">
        <f>IF((gamma!BO8),IF(VLOOKUP(BO$1,main!$A$3:$H$102,7,FALSE)=VLOOKUP($A8,main!$A$3:$H$102,8,FALSE),VLOOKUP(BO$1,main!$A$3:$H$102,4,FALSE),VLOOKUP(BO$1,main!$A$3:$H$102,4,FALSE)+VLOOKUP($A8,main!$A$3:$H$102,4,FALSE)+(VLOOKUP(VLOOKUP(BO$1,main!$A$3:$H$102,8,FALSE),main!$K$19:$O$22,MATCH(VLOOKUP($A8,main!$A$3:$H$102,7,FALSE),main!$K$18:$O$18,0),0))),0)</f>
        <v>0</v>
      </c>
      <c r="BP8">
        <f>IF((gamma!BP8),IF(VLOOKUP(BP$1,main!$A$3:$H$102,7,FALSE)=VLOOKUP($A8,main!$A$3:$H$102,8,FALSE),VLOOKUP(BP$1,main!$A$3:$H$102,4,FALSE),VLOOKUP(BP$1,main!$A$3:$H$102,4,FALSE)+VLOOKUP($A8,main!$A$3:$H$102,4,FALSE)+(VLOOKUP(VLOOKUP(BP$1,main!$A$3:$H$102,8,FALSE),main!$K$19:$O$22,MATCH(VLOOKUP($A8,main!$A$3:$H$102,7,FALSE),main!$K$18:$O$18,0),0))),0)</f>
        <v>0</v>
      </c>
      <c r="BQ8">
        <f>IF((gamma!BQ8),IF(VLOOKUP(BQ$1,main!$A$3:$H$102,7,FALSE)=VLOOKUP($A8,main!$A$3:$H$102,8,FALSE),VLOOKUP(BQ$1,main!$A$3:$H$102,4,FALSE),VLOOKUP(BQ$1,main!$A$3:$H$102,4,FALSE)+VLOOKUP($A8,main!$A$3:$H$102,4,FALSE)+(VLOOKUP(VLOOKUP(BQ$1,main!$A$3:$H$102,8,FALSE),main!$K$19:$O$22,MATCH(VLOOKUP($A8,main!$A$3:$H$102,7,FALSE),main!$K$18:$O$18,0),0))),0)</f>
        <v>0</v>
      </c>
      <c r="BR8">
        <f>IF((gamma!BR8),IF(VLOOKUP(BR$1,main!$A$3:$H$102,7,FALSE)=VLOOKUP($A8,main!$A$3:$H$102,8,FALSE),VLOOKUP(BR$1,main!$A$3:$H$102,4,FALSE),VLOOKUP(BR$1,main!$A$3:$H$102,4,FALSE)+VLOOKUP($A8,main!$A$3:$H$102,4,FALSE)+(VLOOKUP(VLOOKUP(BR$1,main!$A$3:$H$102,8,FALSE),main!$K$19:$O$22,MATCH(VLOOKUP($A8,main!$A$3:$H$102,7,FALSE),main!$K$18:$O$18,0),0))),0)</f>
        <v>0</v>
      </c>
      <c r="BS8">
        <f>IF((gamma!BS8),IF(VLOOKUP(BS$1,main!$A$3:$H$102,7,FALSE)=VLOOKUP($A8,main!$A$3:$H$102,8,FALSE),VLOOKUP(BS$1,main!$A$3:$H$102,4,FALSE),VLOOKUP(BS$1,main!$A$3:$H$102,4,FALSE)+VLOOKUP($A8,main!$A$3:$H$102,4,FALSE)+(VLOOKUP(VLOOKUP(BS$1,main!$A$3:$H$102,8,FALSE),main!$K$19:$O$22,MATCH(VLOOKUP($A8,main!$A$3:$H$102,7,FALSE),main!$K$18:$O$18,0),0))),0)</f>
        <v>0</v>
      </c>
      <c r="BT8">
        <f>IF((gamma!BT8),IF(VLOOKUP(BT$1,main!$A$3:$H$102,7,FALSE)=VLOOKUP($A8,main!$A$3:$H$102,8,FALSE),VLOOKUP(BT$1,main!$A$3:$H$102,4,FALSE),VLOOKUP(BT$1,main!$A$3:$H$102,4,FALSE)+VLOOKUP($A8,main!$A$3:$H$102,4,FALSE)+(VLOOKUP(VLOOKUP(BT$1,main!$A$3:$H$102,8,FALSE),main!$K$19:$O$22,MATCH(VLOOKUP($A8,main!$A$3:$H$102,7,FALSE),main!$K$18:$O$18,0),0))),0)</f>
        <v>0</v>
      </c>
      <c r="BU8">
        <f>IF((gamma!BU8),IF(VLOOKUP(BU$1,main!$A$3:$H$102,7,FALSE)=VLOOKUP($A8,main!$A$3:$H$102,8,FALSE),VLOOKUP(BU$1,main!$A$3:$H$102,4,FALSE),VLOOKUP(BU$1,main!$A$3:$H$102,4,FALSE)+VLOOKUP($A8,main!$A$3:$H$102,4,FALSE)+(VLOOKUP(VLOOKUP(BU$1,main!$A$3:$H$102,8,FALSE),main!$K$19:$O$22,MATCH(VLOOKUP($A8,main!$A$3:$H$102,7,FALSE),main!$K$18:$O$18,0),0))),0)</f>
        <v>0</v>
      </c>
      <c r="BV8">
        <f>IF((gamma!BV8),IF(VLOOKUP(BV$1,main!$A$3:$H$102,7,FALSE)=VLOOKUP($A8,main!$A$3:$H$102,8,FALSE),VLOOKUP(BV$1,main!$A$3:$H$102,4,FALSE),VLOOKUP(BV$1,main!$A$3:$H$102,4,FALSE)+VLOOKUP($A8,main!$A$3:$H$102,4,FALSE)+(VLOOKUP(VLOOKUP(BV$1,main!$A$3:$H$102,8,FALSE),main!$K$19:$O$22,MATCH(VLOOKUP($A8,main!$A$3:$H$102,7,FALSE),main!$K$18:$O$18,0),0))),0)</f>
        <v>0</v>
      </c>
      <c r="BW8">
        <f>IF((gamma!BW8),IF(VLOOKUP(BW$1,main!$A$3:$H$102,7,FALSE)=VLOOKUP($A8,main!$A$3:$H$102,8,FALSE),VLOOKUP(BW$1,main!$A$3:$H$102,4,FALSE),VLOOKUP(BW$1,main!$A$3:$H$102,4,FALSE)+VLOOKUP($A8,main!$A$3:$H$102,4,FALSE)+(VLOOKUP(VLOOKUP(BW$1,main!$A$3:$H$102,8,FALSE),main!$K$19:$O$22,MATCH(VLOOKUP($A8,main!$A$3:$H$102,7,FALSE),main!$K$18:$O$18,0),0))),0)</f>
        <v>0</v>
      </c>
      <c r="BX8">
        <f>IF((gamma!BX8),IF(VLOOKUP(BX$1,main!$A$3:$H$102,7,FALSE)=VLOOKUP($A8,main!$A$3:$H$102,8,FALSE),VLOOKUP(BX$1,main!$A$3:$H$102,4,FALSE),VLOOKUP(BX$1,main!$A$3:$H$102,4,FALSE)+VLOOKUP($A8,main!$A$3:$H$102,4,FALSE)+(VLOOKUP(VLOOKUP(BX$1,main!$A$3:$H$102,8,FALSE),main!$K$19:$O$22,MATCH(VLOOKUP($A8,main!$A$3:$H$102,7,FALSE),main!$K$18:$O$18,0),0))),0)</f>
        <v>0</v>
      </c>
      <c r="BY8">
        <f>IF((gamma!BY8),IF(VLOOKUP(BY$1,main!$A$3:$H$102,7,FALSE)=VLOOKUP($A8,main!$A$3:$H$102,8,FALSE),VLOOKUP(BY$1,main!$A$3:$H$102,4,FALSE),VLOOKUP(BY$1,main!$A$3:$H$102,4,FALSE)+VLOOKUP($A8,main!$A$3:$H$102,4,FALSE)+(VLOOKUP(VLOOKUP(BY$1,main!$A$3:$H$102,8,FALSE),main!$K$19:$O$22,MATCH(VLOOKUP($A8,main!$A$3:$H$102,7,FALSE),main!$K$18:$O$18,0),0))),0)</f>
        <v>0</v>
      </c>
      <c r="BZ8">
        <f>IF((gamma!BZ8),IF(VLOOKUP(BZ$1,main!$A$3:$H$102,7,FALSE)=VLOOKUP($A8,main!$A$3:$H$102,8,FALSE),VLOOKUP(BZ$1,main!$A$3:$H$102,4,FALSE),VLOOKUP(BZ$1,main!$A$3:$H$102,4,FALSE)+VLOOKUP($A8,main!$A$3:$H$102,4,FALSE)+(VLOOKUP(VLOOKUP(BZ$1,main!$A$3:$H$102,8,FALSE),main!$K$19:$O$22,MATCH(VLOOKUP($A8,main!$A$3:$H$102,7,FALSE),main!$K$18:$O$18,0),0))),0)</f>
        <v>0</v>
      </c>
      <c r="CA8">
        <f>IF((gamma!CA8),IF(VLOOKUP(CA$1,main!$A$3:$H$102,7,FALSE)=VLOOKUP($A8,main!$A$3:$H$102,8,FALSE),VLOOKUP(CA$1,main!$A$3:$H$102,4,FALSE),VLOOKUP(CA$1,main!$A$3:$H$102,4,FALSE)+VLOOKUP($A8,main!$A$3:$H$102,4,FALSE)+(VLOOKUP(VLOOKUP(CA$1,main!$A$3:$H$102,8,FALSE),main!$K$19:$O$22,MATCH(VLOOKUP($A8,main!$A$3:$H$102,7,FALSE),main!$K$18:$O$18,0),0))),0)</f>
        <v>0</v>
      </c>
      <c r="CB8">
        <f>IF((gamma!CB8),IF(VLOOKUP(CB$1,main!$A$3:$H$102,7,FALSE)=VLOOKUP($A8,main!$A$3:$H$102,8,FALSE),VLOOKUP(CB$1,main!$A$3:$H$102,4,FALSE),VLOOKUP(CB$1,main!$A$3:$H$102,4,FALSE)+VLOOKUP($A8,main!$A$3:$H$102,4,FALSE)+(VLOOKUP(VLOOKUP(CB$1,main!$A$3:$H$102,8,FALSE),main!$K$19:$O$22,MATCH(VLOOKUP($A8,main!$A$3:$H$102,7,FALSE),main!$K$18:$O$18,0),0))),0)</f>
        <v>0</v>
      </c>
      <c r="CC8">
        <f>IF((gamma!CC8),IF(VLOOKUP(CC$1,main!$A$3:$H$102,7,FALSE)=VLOOKUP($A8,main!$A$3:$H$102,8,FALSE),VLOOKUP(CC$1,main!$A$3:$H$102,4,FALSE),VLOOKUP(CC$1,main!$A$3:$H$102,4,FALSE)+VLOOKUP($A8,main!$A$3:$H$102,4,FALSE)+(VLOOKUP(VLOOKUP(CC$1,main!$A$3:$H$102,8,FALSE),main!$K$19:$O$22,MATCH(VLOOKUP($A8,main!$A$3:$H$102,7,FALSE),main!$K$18:$O$18,0),0))),0)</f>
        <v>225</v>
      </c>
      <c r="CD8">
        <f>IF((gamma!CD8),IF(VLOOKUP(CD$1,main!$A$3:$H$102,7,FALSE)=VLOOKUP($A8,main!$A$3:$H$102,8,FALSE),VLOOKUP(CD$1,main!$A$3:$H$102,4,FALSE),VLOOKUP(CD$1,main!$A$3:$H$102,4,FALSE)+VLOOKUP($A8,main!$A$3:$H$102,4,FALSE)+(VLOOKUP(VLOOKUP(CD$1,main!$A$3:$H$102,8,FALSE),main!$K$19:$O$22,MATCH(VLOOKUP($A8,main!$A$3:$H$102,7,FALSE),main!$K$18:$O$18,0),0))),0)</f>
        <v>0</v>
      </c>
      <c r="CE8">
        <f>IF((gamma!CE8),IF(VLOOKUP(CE$1,main!$A$3:$H$102,7,FALSE)=VLOOKUP($A8,main!$A$3:$H$102,8,FALSE),VLOOKUP(CE$1,main!$A$3:$H$102,4,FALSE),VLOOKUP(CE$1,main!$A$3:$H$102,4,FALSE)+VLOOKUP($A8,main!$A$3:$H$102,4,FALSE)+(VLOOKUP(VLOOKUP(CE$1,main!$A$3:$H$102,8,FALSE),main!$K$19:$O$22,MATCH(VLOOKUP($A8,main!$A$3:$H$102,7,FALSE),main!$K$18:$O$18,0),0))),0)</f>
        <v>0</v>
      </c>
      <c r="CF8">
        <f>IF((gamma!CF8),IF(VLOOKUP(CF$1,main!$A$3:$H$102,7,FALSE)=VLOOKUP($A8,main!$A$3:$H$102,8,FALSE),VLOOKUP(CF$1,main!$A$3:$H$102,4,FALSE),VLOOKUP(CF$1,main!$A$3:$H$102,4,FALSE)+VLOOKUP($A8,main!$A$3:$H$102,4,FALSE)+(VLOOKUP(VLOOKUP(CF$1,main!$A$3:$H$102,8,FALSE),main!$K$19:$O$22,MATCH(VLOOKUP($A8,main!$A$3:$H$102,7,FALSE),main!$K$18:$O$18,0),0))),0)</f>
        <v>0</v>
      </c>
      <c r="CG8">
        <f>IF((gamma!CG8),IF(VLOOKUP(CG$1,main!$A$3:$H$102,7,FALSE)=VLOOKUP($A8,main!$A$3:$H$102,8,FALSE),VLOOKUP(CG$1,main!$A$3:$H$102,4,FALSE),VLOOKUP(CG$1,main!$A$3:$H$102,4,FALSE)+VLOOKUP($A8,main!$A$3:$H$102,4,FALSE)+(VLOOKUP(VLOOKUP(CG$1,main!$A$3:$H$102,8,FALSE),main!$K$19:$O$22,MATCH(VLOOKUP($A8,main!$A$3:$H$102,7,FALSE),main!$K$18:$O$18,0),0))),0)</f>
        <v>0</v>
      </c>
      <c r="CH8">
        <f>IF((gamma!CH8),IF(VLOOKUP(CH$1,main!$A$3:$H$102,7,FALSE)=VLOOKUP($A8,main!$A$3:$H$102,8,FALSE),VLOOKUP(CH$1,main!$A$3:$H$102,4,FALSE),VLOOKUP(CH$1,main!$A$3:$H$102,4,FALSE)+VLOOKUP($A8,main!$A$3:$H$102,4,FALSE)+(VLOOKUP(VLOOKUP(CH$1,main!$A$3:$H$102,8,FALSE),main!$K$19:$O$22,MATCH(VLOOKUP($A8,main!$A$3:$H$102,7,FALSE),main!$K$18:$O$18,0),0))),0)</f>
        <v>0</v>
      </c>
      <c r="CI8">
        <f>IF((gamma!CI8),IF(VLOOKUP(CI$1,main!$A$3:$H$102,7,FALSE)=VLOOKUP($A8,main!$A$3:$H$102,8,FALSE),VLOOKUP(CI$1,main!$A$3:$H$102,4,FALSE),VLOOKUP(CI$1,main!$A$3:$H$102,4,FALSE)+VLOOKUP($A8,main!$A$3:$H$102,4,FALSE)+(VLOOKUP(VLOOKUP(CI$1,main!$A$3:$H$102,8,FALSE),main!$K$19:$O$22,MATCH(VLOOKUP($A8,main!$A$3:$H$102,7,FALSE),main!$K$18:$O$18,0),0))),0)</f>
        <v>275</v>
      </c>
      <c r="CJ8">
        <f>IF((gamma!CJ8),IF(VLOOKUP(CJ$1,main!$A$3:$H$102,7,FALSE)=VLOOKUP($A8,main!$A$3:$H$102,8,FALSE),VLOOKUP(CJ$1,main!$A$3:$H$102,4,FALSE),VLOOKUP(CJ$1,main!$A$3:$H$102,4,FALSE)+VLOOKUP($A8,main!$A$3:$H$102,4,FALSE)+(VLOOKUP(VLOOKUP(CJ$1,main!$A$3:$H$102,8,FALSE),main!$K$19:$O$22,MATCH(VLOOKUP($A8,main!$A$3:$H$102,7,FALSE),main!$K$18:$O$18,0),0))),0)</f>
        <v>0</v>
      </c>
      <c r="CK8">
        <f>IF((gamma!CK8),IF(VLOOKUP(CK$1,main!$A$3:$H$102,7,FALSE)=VLOOKUP($A8,main!$A$3:$H$102,8,FALSE),VLOOKUP(CK$1,main!$A$3:$H$102,4,FALSE),VLOOKUP(CK$1,main!$A$3:$H$102,4,FALSE)+VLOOKUP($A8,main!$A$3:$H$102,4,FALSE)+(VLOOKUP(VLOOKUP(CK$1,main!$A$3:$H$102,8,FALSE),main!$K$19:$O$22,MATCH(VLOOKUP($A8,main!$A$3:$H$102,7,FALSE),main!$K$18:$O$18,0),0))),0)</f>
        <v>0</v>
      </c>
      <c r="CL8">
        <f>IF((gamma!CL8),IF(VLOOKUP(CL$1,main!$A$3:$H$102,7,FALSE)=VLOOKUP($A8,main!$A$3:$H$102,8,FALSE),VLOOKUP(CL$1,main!$A$3:$H$102,4,FALSE),VLOOKUP(CL$1,main!$A$3:$H$102,4,FALSE)+VLOOKUP($A8,main!$A$3:$H$102,4,FALSE)+(VLOOKUP(VLOOKUP(CL$1,main!$A$3:$H$102,8,FALSE),main!$K$19:$O$22,MATCH(VLOOKUP($A8,main!$A$3:$H$102,7,FALSE),main!$K$18:$O$18,0),0))),0)</f>
        <v>0</v>
      </c>
      <c r="CM8">
        <f>IF((gamma!CM8),IF(VLOOKUP(CM$1,main!$A$3:$H$102,7,FALSE)=VLOOKUP($A8,main!$A$3:$H$102,8,FALSE),VLOOKUP(CM$1,main!$A$3:$H$102,4,FALSE),VLOOKUP(CM$1,main!$A$3:$H$102,4,FALSE)+VLOOKUP($A8,main!$A$3:$H$102,4,FALSE)+(VLOOKUP(VLOOKUP(CM$1,main!$A$3:$H$102,8,FALSE),main!$K$19:$O$22,MATCH(VLOOKUP($A8,main!$A$3:$H$102,7,FALSE),main!$K$18:$O$18,0),0))),0)</f>
        <v>0</v>
      </c>
      <c r="CN8">
        <f>IF((gamma!CN8),IF(VLOOKUP(CN$1,main!$A$3:$H$102,7,FALSE)=VLOOKUP($A8,main!$A$3:$H$102,8,FALSE),VLOOKUP(CN$1,main!$A$3:$H$102,4,FALSE),VLOOKUP(CN$1,main!$A$3:$H$102,4,FALSE)+VLOOKUP($A8,main!$A$3:$H$102,4,FALSE)+(VLOOKUP(VLOOKUP(CN$1,main!$A$3:$H$102,8,FALSE),main!$K$19:$O$22,MATCH(VLOOKUP($A8,main!$A$3:$H$102,7,FALSE),main!$K$18:$O$18,0),0))),0)</f>
        <v>231</v>
      </c>
      <c r="CO8">
        <f>IF((gamma!CO8),IF(VLOOKUP(CO$1,main!$A$3:$H$102,7,FALSE)=VLOOKUP($A8,main!$A$3:$H$102,8,FALSE),VLOOKUP(CO$1,main!$A$3:$H$102,4,FALSE),VLOOKUP(CO$1,main!$A$3:$H$102,4,FALSE)+VLOOKUP($A8,main!$A$3:$H$102,4,FALSE)+(VLOOKUP(VLOOKUP(CO$1,main!$A$3:$H$102,8,FALSE),main!$K$19:$O$22,MATCH(VLOOKUP($A8,main!$A$3:$H$102,7,FALSE),main!$K$18:$O$18,0),0))),0)</f>
        <v>0</v>
      </c>
      <c r="CP8">
        <f>IF((gamma!CP8),IF(VLOOKUP(CP$1,main!$A$3:$H$102,7,FALSE)=VLOOKUP($A8,main!$A$3:$H$102,8,FALSE),VLOOKUP(CP$1,main!$A$3:$H$102,4,FALSE),VLOOKUP(CP$1,main!$A$3:$H$102,4,FALSE)+VLOOKUP($A8,main!$A$3:$H$102,4,FALSE)+(VLOOKUP(VLOOKUP(CP$1,main!$A$3:$H$102,8,FALSE),main!$K$19:$O$22,MATCH(VLOOKUP($A8,main!$A$3:$H$102,7,FALSE),main!$K$18:$O$18,0),0))),0)</f>
        <v>0</v>
      </c>
      <c r="CQ8">
        <f>IF((gamma!CQ8),IF(VLOOKUP(CQ$1,main!$A$3:$H$102,7,FALSE)=VLOOKUP($A8,main!$A$3:$H$102,8,FALSE),VLOOKUP(CQ$1,main!$A$3:$H$102,4,FALSE),VLOOKUP(CQ$1,main!$A$3:$H$102,4,FALSE)+VLOOKUP($A8,main!$A$3:$H$102,4,FALSE)+(VLOOKUP(VLOOKUP(CQ$1,main!$A$3:$H$102,8,FALSE),main!$K$19:$O$22,MATCH(VLOOKUP($A8,main!$A$3:$H$102,7,FALSE),main!$K$18:$O$18,0),0))),0)</f>
        <v>0</v>
      </c>
      <c r="CR8">
        <f>IF((gamma!CR8),IF(VLOOKUP(CR$1,main!$A$3:$H$102,7,FALSE)=VLOOKUP($A8,main!$A$3:$H$102,8,FALSE),VLOOKUP(CR$1,main!$A$3:$H$102,4,FALSE),VLOOKUP(CR$1,main!$A$3:$H$102,4,FALSE)+VLOOKUP($A8,main!$A$3:$H$102,4,FALSE)+(VLOOKUP(VLOOKUP(CR$1,main!$A$3:$H$102,8,FALSE),main!$K$19:$O$22,MATCH(VLOOKUP($A8,main!$A$3:$H$102,7,FALSE),main!$K$18:$O$18,0),0))),0)</f>
        <v>0</v>
      </c>
      <c r="CS8">
        <f>IF((gamma!CS8),IF(VLOOKUP(CS$1,main!$A$3:$H$102,7,FALSE)=VLOOKUP($A8,main!$A$3:$H$102,8,FALSE),VLOOKUP(CS$1,main!$A$3:$H$102,4,FALSE),VLOOKUP(CS$1,main!$A$3:$H$102,4,FALSE)+VLOOKUP($A8,main!$A$3:$H$102,4,FALSE)+(VLOOKUP(VLOOKUP(CS$1,main!$A$3:$H$102,8,FALSE),main!$K$19:$O$22,MATCH(VLOOKUP($A8,main!$A$3:$H$102,7,FALSE),main!$K$18:$O$18,0),0))),0)</f>
        <v>0</v>
      </c>
      <c r="CT8">
        <f>IF((gamma!CT8),IF(VLOOKUP(CT$1,main!$A$3:$H$102,7,FALSE)=VLOOKUP($A8,main!$A$3:$H$102,8,FALSE),VLOOKUP(CT$1,main!$A$3:$H$102,4,FALSE),VLOOKUP(CT$1,main!$A$3:$H$102,4,FALSE)+VLOOKUP($A8,main!$A$3:$H$102,4,FALSE)+(VLOOKUP(VLOOKUP(CT$1,main!$A$3:$H$102,8,FALSE),main!$K$19:$O$22,MATCH(VLOOKUP($A8,main!$A$3:$H$102,7,FALSE),main!$K$18:$O$18,0),0))),0)</f>
        <v>0</v>
      </c>
      <c r="CU8">
        <f>IF((gamma!CU8),IF(VLOOKUP(CU$1,main!$A$3:$H$102,7,FALSE)=VLOOKUP($A8,main!$A$3:$H$102,8,FALSE),VLOOKUP(CU$1,main!$A$3:$H$102,4,FALSE),VLOOKUP(CU$1,main!$A$3:$H$102,4,FALSE)+VLOOKUP($A8,main!$A$3:$H$102,4,FALSE)+(VLOOKUP(VLOOKUP(CU$1,main!$A$3:$H$102,8,FALSE),main!$K$19:$O$22,MATCH(VLOOKUP($A8,main!$A$3:$H$102,7,FALSE),main!$K$18:$O$18,0),0))),0)</f>
        <v>0</v>
      </c>
      <c r="CV8">
        <f>IF((gamma!CV8),IF(VLOOKUP(CV$1,main!$A$3:$H$102,7,FALSE)=VLOOKUP($A8,main!$A$3:$H$102,8,FALSE),VLOOKUP(CV$1,main!$A$3:$H$102,4,FALSE),VLOOKUP(CV$1,main!$A$3:$H$102,4,FALSE)+VLOOKUP($A8,main!$A$3:$H$102,4,FALSE)+(VLOOKUP(VLOOKUP(CV$1,main!$A$3:$H$102,8,FALSE),main!$K$19:$O$22,MATCH(VLOOKUP($A8,main!$A$3:$H$102,7,FALSE),main!$K$18:$O$18,0),0))),0)</f>
        <v>0</v>
      </c>
      <c r="CW8">
        <f>IF((gamma!CW8),IF(VLOOKUP(CW$1,main!$A$3:$H$102,7,FALSE)=VLOOKUP($A8,main!$A$3:$H$102,8,FALSE),VLOOKUP(CW$1,main!$A$3:$H$102,4,FALSE),VLOOKUP(CW$1,main!$A$3:$H$102,4,FALSE)+VLOOKUP($A8,main!$A$3:$H$102,4,FALSE)+(VLOOKUP(VLOOKUP(CW$1,main!$A$3:$H$102,8,FALSE),main!$K$19:$O$22,MATCH(VLOOKUP($A8,main!$A$3:$H$102,7,FALSE),main!$K$18:$O$18,0),0))),0)</f>
        <v>0</v>
      </c>
      <c r="CX8">
        <f>IF((gamma!CX8),IF(VLOOKUP(CX$1,main!$A$3:$H$102,7,FALSE)=VLOOKUP($A8,main!$A$3:$H$102,8,FALSE),VLOOKUP(CX$1,main!$A$3:$H$102,4,FALSE),VLOOKUP(CX$1,main!$A$3:$H$102,4,FALSE)+VLOOKUP($A8,main!$A$3:$H$102,4,FALSE)+(VLOOKUP(VLOOKUP(CX$1,main!$A$3:$H$102,8,FALSE),main!$K$19:$O$22,MATCH(VLOOKUP($A8,main!$A$3:$H$102,7,FALSE),main!$K$18:$O$18,0),0))),0)</f>
        <v>0</v>
      </c>
      <c r="CY8">
        <v>0</v>
      </c>
      <c r="CZ8">
        <v>0</v>
      </c>
      <c r="DA8">
        <v>0</v>
      </c>
    </row>
    <row r="9" spans="1:105" x14ac:dyDescent="0.25">
      <c r="A9" s="1">
        <v>7</v>
      </c>
      <c r="B9">
        <v>0</v>
      </c>
      <c r="C9">
        <f>IF((gamma!C9),IF(VLOOKUP(C$1,main!$A$3:$H$102,7,FALSE)=VLOOKUP($A9,main!$A$3:$H$102,8,FALSE),VLOOKUP(C$1,main!$A$3:$H$102,4,FALSE),VLOOKUP(C$1,main!$A$3:$H$102,4,FALSE)+VLOOKUP($A9,main!$A$3:$H$102,4,FALSE)+(VLOOKUP(VLOOKUP(C$1,main!$A$3:$H$102,8,FALSE),main!$K$19:$O$22,MATCH(VLOOKUP($A9,main!$A$3:$H$102,7,FALSE),main!$K$18:$O$18,0),0))),0)</f>
        <v>0</v>
      </c>
      <c r="D9">
        <f>IF((gamma!D9),IF(VLOOKUP(D$1,main!$A$3:$H$102,7,FALSE)=VLOOKUP($A9,main!$A$3:$H$102,8,FALSE),VLOOKUP(D$1,main!$A$3:$H$102,4,FALSE),VLOOKUP(D$1,main!$A$3:$H$102,4,FALSE)+VLOOKUP($A9,main!$A$3:$H$102,4,FALSE)+(VLOOKUP(VLOOKUP(D$1,main!$A$3:$H$102,8,FALSE),main!$K$19:$O$22,MATCH(VLOOKUP($A9,main!$A$3:$H$102,7,FALSE),main!$K$18:$O$18,0),0))),0)</f>
        <v>0</v>
      </c>
      <c r="E9">
        <f>IF((gamma!E9),IF(VLOOKUP(E$1,main!$A$3:$H$102,7,FALSE)=VLOOKUP($A9,main!$A$3:$H$102,8,FALSE),VLOOKUP(E$1,main!$A$3:$H$102,4,FALSE),VLOOKUP(E$1,main!$A$3:$H$102,4,FALSE)+VLOOKUP($A9,main!$A$3:$H$102,4,FALSE)+(VLOOKUP(VLOOKUP(E$1,main!$A$3:$H$102,8,FALSE),main!$K$19:$O$22,MATCH(VLOOKUP($A9,main!$A$3:$H$102,7,FALSE),main!$K$18:$O$18,0),0))),0)</f>
        <v>0</v>
      </c>
      <c r="F9">
        <f>IF((gamma!F9),IF(VLOOKUP(F$1,main!$A$3:$H$102,7,FALSE)=VLOOKUP($A9,main!$A$3:$H$102,8,FALSE),VLOOKUP(F$1,main!$A$3:$H$102,4,FALSE),VLOOKUP(F$1,main!$A$3:$H$102,4,FALSE)+VLOOKUP($A9,main!$A$3:$H$102,4,FALSE)+(VLOOKUP(VLOOKUP(F$1,main!$A$3:$H$102,8,FALSE),main!$K$19:$O$22,MATCH(VLOOKUP($A9,main!$A$3:$H$102,7,FALSE),main!$K$18:$O$18,0),0))),0)</f>
        <v>0</v>
      </c>
      <c r="G9">
        <f>IF((gamma!G9),IF(VLOOKUP(G$1,main!$A$3:$H$102,7,FALSE)=VLOOKUP($A9,main!$A$3:$H$102,8,FALSE),VLOOKUP(G$1,main!$A$3:$H$102,4,FALSE),VLOOKUP(G$1,main!$A$3:$H$102,4,FALSE)+VLOOKUP($A9,main!$A$3:$H$102,4,FALSE)+(VLOOKUP(VLOOKUP(G$1,main!$A$3:$H$102,8,FALSE),main!$K$19:$O$22,MATCH(VLOOKUP($A9,main!$A$3:$H$102,7,FALSE),main!$K$18:$O$18,0),0))),0)</f>
        <v>0</v>
      </c>
      <c r="H9">
        <f>IF((gamma!H9),IF(VLOOKUP(H$1,main!$A$3:$H$102,7,FALSE)=VLOOKUP($A9,main!$A$3:$H$102,8,FALSE),VLOOKUP(H$1,main!$A$3:$H$102,4,FALSE),VLOOKUP(H$1,main!$A$3:$H$102,4,FALSE)+VLOOKUP($A9,main!$A$3:$H$102,4,FALSE)+(VLOOKUP(VLOOKUP(H$1,main!$A$3:$H$102,8,FALSE),main!$K$19:$O$22,MATCH(VLOOKUP($A9,main!$A$3:$H$102,7,FALSE),main!$K$18:$O$18,0),0))),0)</f>
        <v>0</v>
      </c>
      <c r="I9">
        <f>IF((gamma!I9),IF(VLOOKUP(I$1,main!$A$3:$H$102,7,FALSE)=VLOOKUP($A9,main!$A$3:$H$102,8,FALSE),VLOOKUP(I$1,main!$A$3:$H$102,4,FALSE),VLOOKUP(I$1,main!$A$3:$H$102,4,FALSE)+VLOOKUP($A9,main!$A$3:$H$102,4,FALSE)+(VLOOKUP(VLOOKUP(I$1,main!$A$3:$H$102,8,FALSE),main!$K$19:$O$22,MATCH(VLOOKUP($A9,main!$A$3:$H$102,7,FALSE),main!$K$18:$O$18,0),0))),0)</f>
        <v>0</v>
      </c>
      <c r="J9">
        <f>IF((gamma!J9),IF(VLOOKUP(J$1,main!$A$3:$H$102,7,FALSE)=VLOOKUP($A9,main!$A$3:$H$102,8,FALSE),VLOOKUP(J$1,main!$A$3:$H$102,4,FALSE),VLOOKUP(J$1,main!$A$3:$H$102,4,FALSE)+VLOOKUP($A9,main!$A$3:$H$102,4,FALSE)+(VLOOKUP(VLOOKUP(J$1,main!$A$3:$H$102,8,FALSE),main!$K$19:$O$22,MATCH(VLOOKUP($A9,main!$A$3:$H$102,7,FALSE),main!$K$18:$O$18,0),0))),0)</f>
        <v>0</v>
      </c>
      <c r="K9">
        <f>IF((gamma!K9),IF(VLOOKUP(K$1,main!$A$3:$H$102,7,FALSE)=VLOOKUP($A9,main!$A$3:$H$102,8,FALSE),VLOOKUP(K$1,main!$A$3:$H$102,4,FALSE),VLOOKUP(K$1,main!$A$3:$H$102,4,FALSE)+VLOOKUP($A9,main!$A$3:$H$102,4,FALSE)+(VLOOKUP(VLOOKUP(K$1,main!$A$3:$H$102,8,FALSE),main!$K$19:$O$22,MATCH(VLOOKUP($A9,main!$A$3:$H$102,7,FALSE),main!$K$18:$O$18,0),0))),0)</f>
        <v>0</v>
      </c>
      <c r="L9">
        <f>IF((gamma!L9),IF(VLOOKUP(L$1,main!$A$3:$H$102,7,FALSE)=VLOOKUP($A9,main!$A$3:$H$102,8,FALSE),VLOOKUP(L$1,main!$A$3:$H$102,4,FALSE),VLOOKUP(L$1,main!$A$3:$H$102,4,FALSE)+VLOOKUP($A9,main!$A$3:$H$102,4,FALSE)+(VLOOKUP(VLOOKUP(L$1,main!$A$3:$H$102,8,FALSE),main!$K$19:$O$22,MATCH(VLOOKUP($A9,main!$A$3:$H$102,7,FALSE),main!$K$18:$O$18,0),0))),0)</f>
        <v>295</v>
      </c>
      <c r="M9">
        <f>IF((gamma!M9),IF(VLOOKUP(M$1,main!$A$3:$H$102,7,FALSE)=VLOOKUP($A9,main!$A$3:$H$102,8,FALSE),VLOOKUP(M$1,main!$A$3:$H$102,4,FALSE),VLOOKUP(M$1,main!$A$3:$H$102,4,FALSE)+VLOOKUP($A9,main!$A$3:$H$102,4,FALSE)+(VLOOKUP(VLOOKUP(M$1,main!$A$3:$H$102,8,FALSE),main!$K$19:$O$22,MATCH(VLOOKUP($A9,main!$A$3:$H$102,7,FALSE),main!$K$18:$O$18,0),0))),0)</f>
        <v>0</v>
      </c>
      <c r="N9">
        <f>IF((gamma!N9),IF(VLOOKUP(N$1,main!$A$3:$H$102,7,FALSE)=VLOOKUP($A9,main!$A$3:$H$102,8,FALSE),VLOOKUP(N$1,main!$A$3:$H$102,4,FALSE),VLOOKUP(N$1,main!$A$3:$H$102,4,FALSE)+VLOOKUP($A9,main!$A$3:$H$102,4,FALSE)+(VLOOKUP(VLOOKUP(N$1,main!$A$3:$H$102,8,FALSE),main!$K$19:$O$22,MATCH(VLOOKUP($A9,main!$A$3:$H$102,7,FALSE),main!$K$18:$O$18,0),0))),0)</f>
        <v>0</v>
      </c>
      <c r="O9">
        <f>IF((gamma!O9),IF(VLOOKUP(O$1,main!$A$3:$H$102,7,FALSE)=VLOOKUP($A9,main!$A$3:$H$102,8,FALSE),VLOOKUP(O$1,main!$A$3:$H$102,4,FALSE),VLOOKUP(O$1,main!$A$3:$H$102,4,FALSE)+VLOOKUP($A9,main!$A$3:$H$102,4,FALSE)+(VLOOKUP(VLOOKUP(O$1,main!$A$3:$H$102,8,FALSE),main!$K$19:$O$22,MATCH(VLOOKUP($A9,main!$A$3:$H$102,7,FALSE),main!$K$18:$O$18,0),0))),0)</f>
        <v>0</v>
      </c>
      <c r="P9">
        <f>IF((gamma!P9),IF(VLOOKUP(P$1,main!$A$3:$H$102,7,FALSE)=VLOOKUP($A9,main!$A$3:$H$102,8,FALSE),VLOOKUP(P$1,main!$A$3:$H$102,4,FALSE),VLOOKUP(P$1,main!$A$3:$H$102,4,FALSE)+VLOOKUP($A9,main!$A$3:$H$102,4,FALSE)+(VLOOKUP(VLOOKUP(P$1,main!$A$3:$H$102,8,FALSE),main!$K$19:$O$22,MATCH(VLOOKUP($A9,main!$A$3:$H$102,7,FALSE),main!$K$18:$O$18,0),0))),0)</f>
        <v>0</v>
      </c>
      <c r="Q9">
        <f>IF((gamma!Q9),IF(VLOOKUP(Q$1,main!$A$3:$H$102,7,FALSE)=VLOOKUP($A9,main!$A$3:$H$102,8,FALSE),VLOOKUP(Q$1,main!$A$3:$H$102,4,FALSE),VLOOKUP(Q$1,main!$A$3:$H$102,4,FALSE)+VLOOKUP($A9,main!$A$3:$H$102,4,FALSE)+(VLOOKUP(VLOOKUP(Q$1,main!$A$3:$H$102,8,FALSE),main!$K$19:$O$22,MATCH(VLOOKUP($A9,main!$A$3:$H$102,7,FALSE),main!$K$18:$O$18,0),0))),0)</f>
        <v>0</v>
      </c>
      <c r="R9">
        <f>IF((gamma!R9),IF(VLOOKUP(R$1,main!$A$3:$H$102,7,FALSE)=VLOOKUP($A9,main!$A$3:$H$102,8,FALSE),VLOOKUP(R$1,main!$A$3:$H$102,4,FALSE),VLOOKUP(R$1,main!$A$3:$H$102,4,FALSE)+VLOOKUP($A9,main!$A$3:$H$102,4,FALSE)+(VLOOKUP(VLOOKUP(R$1,main!$A$3:$H$102,8,FALSE),main!$K$19:$O$22,MATCH(VLOOKUP($A9,main!$A$3:$H$102,7,FALSE),main!$K$18:$O$18,0),0))),0)</f>
        <v>0</v>
      </c>
      <c r="S9">
        <f>IF((gamma!S9),IF(VLOOKUP(S$1,main!$A$3:$H$102,7,FALSE)=VLOOKUP($A9,main!$A$3:$H$102,8,FALSE),VLOOKUP(S$1,main!$A$3:$H$102,4,FALSE),VLOOKUP(S$1,main!$A$3:$H$102,4,FALSE)+VLOOKUP($A9,main!$A$3:$H$102,4,FALSE)+(VLOOKUP(VLOOKUP(S$1,main!$A$3:$H$102,8,FALSE),main!$K$19:$O$22,MATCH(VLOOKUP($A9,main!$A$3:$H$102,7,FALSE),main!$K$18:$O$18,0),0))),0)</f>
        <v>0</v>
      </c>
      <c r="T9">
        <f>IF((gamma!T9),IF(VLOOKUP(T$1,main!$A$3:$H$102,7,FALSE)=VLOOKUP($A9,main!$A$3:$H$102,8,FALSE),VLOOKUP(T$1,main!$A$3:$H$102,4,FALSE),VLOOKUP(T$1,main!$A$3:$H$102,4,FALSE)+VLOOKUP($A9,main!$A$3:$H$102,4,FALSE)+(VLOOKUP(VLOOKUP(T$1,main!$A$3:$H$102,8,FALSE),main!$K$19:$O$22,MATCH(VLOOKUP($A9,main!$A$3:$H$102,7,FALSE),main!$K$18:$O$18,0),0))),0)</f>
        <v>0</v>
      </c>
      <c r="U9">
        <f>IF((gamma!U9),IF(VLOOKUP(U$1,main!$A$3:$H$102,7,FALSE)=VLOOKUP($A9,main!$A$3:$H$102,8,FALSE),VLOOKUP(U$1,main!$A$3:$H$102,4,FALSE),VLOOKUP(U$1,main!$A$3:$H$102,4,FALSE)+VLOOKUP($A9,main!$A$3:$H$102,4,FALSE)+(VLOOKUP(VLOOKUP(U$1,main!$A$3:$H$102,8,FALSE),main!$K$19:$O$22,MATCH(VLOOKUP($A9,main!$A$3:$H$102,7,FALSE),main!$K$18:$O$18,0),0))),0)</f>
        <v>305</v>
      </c>
      <c r="V9">
        <f>IF((gamma!V9),IF(VLOOKUP(V$1,main!$A$3:$H$102,7,FALSE)=VLOOKUP($A9,main!$A$3:$H$102,8,FALSE),VLOOKUP(V$1,main!$A$3:$H$102,4,FALSE),VLOOKUP(V$1,main!$A$3:$H$102,4,FALSE)+VLOOKUP($A9,main!$A$3:$H$102,4,FALSE)+(VLOOKUP(VLOOKUP(V$1,main!$A$3:$H$102,8,FALSE),main!$K$19:$O$22,MATCH(VLOOKUP($A9,main!$A$3:$H$102,7,FALSE),main!$K$18:$O$18,0),0))),0)</f>
        <v>305</v>
      </c>
      <c r="W9">
        <f>IF((gamma!W9),IF(VLOOKUP(W$1,main!$A$3:$H$102,7,FALSE)=VLOOKUP($A9,main!$A$3:$H$102,8,FALSE),VLOOKUP(W$1,main!$A$3:$H$102,4,FALSE),VLOOKUP(W$1,main!$A$3:$H$102,4,FALSE)+VLOOKUP($A9,main!$A$3:$H$102,4,FALSE)+(VLOOKUP(VLOOKUP(W$1,main!$A$3:$H$102,8,FALSE),main!$K$19:$O$22,MATCH(VLOOKUP($A9,main!$A$3:$H$102,7,FALSE),main!$K$18:$O$18,0),0))),0)</f>
        <v>0</v>
      </c>
      <c r="X9">
        <f>IF((gamma!X9),IF(VLOOKUP(X$1,main!$A$3:$H$102,7,FALSE)=VLOOKUP($A9,main!$A$3:$H$102,8,FALSE),VLOOKUP(X$1,main!$A$3:$H$102,4,FALSE),VLOOKUP(X$1,main!$A$3:$H$102,4,FALSE)+VLOOKUP($A9,main!$A$3:$H$102,4,FALSE)+(VLOOKUP(VLOOKUP(X$1,main!$A$3:$H$102,8,FALSE),main!$K$19:$O$22,MATCH(VLOOKUP($A9,main!$A$3:$H$102,7,FALSE),main!$K$18:$O$18,0),0))),0)</f>
        <v>0</v>
      </c>
      <c r="Y9">
        <f>IF((gamma!Y9),IF(VLOOKUP(Y$1,main!$A$3:$H$102,7,FALSE)=VLOOKUP($A9,main!$A$3:$H$102,8,FALSE),VLOOKUP(Y$1,main!$A$3:$H$102,4,FALSE),VLOOKUP(Y$1,main!$A$3:$H$102,4,FALSE)+VLOOKUP($A9,main!$A$3:$H$102,4,FALSE)+(VLOOKUP(VLOOKUP(Y$1,main!$A$3:$H$102,8,FALSE),main!$K$19:$O$22,MATCH(VLOOKUP($A9,main!$A$3:$H$102,7,FALSE),main!$K$18:$O$18,0),0))),0)</f>
        <v>0</v>
      </c>
      <c r="Z9">
        <f>IF((gamma!Z9),IF(VLOOKUP(Z$1,main!$A$3:$H$102,7,FALSE)=VLOOKUP($A9,main!$A$3:$H$102,8,FALSE),VLOOKUP(Z$1,main!$A$3:$H$102,4,FALSE),VLOOKUP(Z$1,main!$A$3:$H$102,4,FALSE)+VLOOKUP($A9,main!$A$3:$H$102,4,FALSE)+(VLOOKUP(VLOOKUP(Z$1,main!$A$3:$H$102,8,FALSE),main!$K$19:$O$22,MATCH(VLOOKUP($A9,main!$A$3:$H$102,7,FALSE),main!$K$18:$O$18,0),0))),0)</f>
        <v>0</v>
      </c>
      <c r="AA9">
        <f>IF((gamma!AA9),IF(VLOOKUP(AA$1,main!$A$3:$H$102,7,FALSE)=VLOOKUP($A9,main!$A$3:$H$102,8,FALSE),VLOOKUP(AA$1,main!$A$3:$H$102,4,FALSE),VLOOKUP(AA$1,main!$A$3:$H$102,4,FALSE)+VLOOKUP($A9,main!$A$3:$H$102,4,FALSE)+(VLOOKUP(VLOOKUP(AA$1,main!$A$3:$H$102,8,FALSE),main!$K$19:$O$22,MATCH(VLOOKUP($A9,main!$A$3:$H$102,7,FALSE),main!$K$18:$O$18,0),0))),0)</f>
        <v>0</v>
      </c>
      <c r="AB9">
        <f>IF((gamma!AB9),IF(VLOOKUP(AB$1,main!$A$3:$H$102,7,FALSE)=VLOOKUP($A9,main!$A$3:$H$102,8,FALSE),VLOOKUP(AB$1,main!$A$3:$H$102,4,FALSE),VLOOKUP(AB$1,main!$A$3:$H$102,4,FALSE)+VLOOKUP($A9,main!$A$3:$H$102,4,FALSE)+(VLOOKUP(VLOOKUP(AB$1,main!$A$3:$H$102,8,FALSE),main!$K$19:$O$22,MATCH(VLOOKUP($A9,main!$A$3:$H$102,7,FALSE),main!$K$18:$O$18,0),0))),0)</f>
        <v>0</v>
      </c>
      <c r="AC9">
        <f>IF((gamma!AC9),IF(VLOOKUP(AC$1,main!$A$3:$H$102,7,FALSE)=VLOOKUP($A9,main!$A$3:$H$102,8,FALSE),VLOOKUP(AC$1,main!$A$3:$H$102,4,FALSE),VLOOKUP(AC$1,main!$A$3:$H$102,4,FALSE)+VLOOKUP($A9,main!$A$3:$H$102,4,FALSE)+(VLOOKUP(VLOOKUP(AC$1,main!$A$3:$H$102,8,FALSE),main!$K$19:$O$22,MATCH(VLOOKUP($A9,main!$A$3:$H$102,7,FALSE),main!$K$18:$O$18,0),0))),0)</f>
        <v>0</v>
      </c>
      <c r="AD9">
        <f>IF((gamma!AD9),IF(VLOOKUP(AD$1,main!$A$3:$H$102,7,FALSE)=VLOOKUP($A9,main!$A$3:$H$102,8,FALSE),VLOOKUP(AD$1,main!$A$3:$H$102,4,FALSE),VLOOKUP(AD$1,main!$A$3:$H$102,4,FALSE)+VLOOKUP($A9,main!$A$3:$H$102,4,FALSE)+(VLOOKUP(VLOOKUP(AD$1,main!$A$3:$H$102,8,FALSE),main!$K$19:$O$22,MATCH(VLOOKUP($A9,main!$A$3:$H$102,7,FALSE),main!$K$18:$O$18,0),0))),0)</f>
        <v>0</v>
      </c>
      <c r="AE9">
        <f>IF((gamma!AE9),IF(VLOOKUP(AE$1,main!$A$3:$H$102,7,FALSE)=VLOOKUP($A9,main!$A$3:$H$102,8,FALSE),VLOOKUP(AE$1,main!$A$3:$H$102,4,FALSE),VLOOKUP(AE$1,main!$A$3:$H$102,4,FALSE)+VLOOKUP($A9,main!$A$3:$H$102,4,FALSE)+(VLOOKUP(VLOOKUP(AE$1,main!$A$3:$H$102,8,FALSE),main!$K$19:$O$22,MATCH(VLOOKUP($A9,main!$A$3:$H$102,7,FALSE),main!$K$18:$O$18,0),0))),0)</f>
        <v>0</v>
      </c>
      <c r="AF9">
        <f>IF((gamma!AF9),IF(VLOOKUP(AF$1,main!$A$3:$H$102,7,FALSE)=VLOOKUP($A9,main!$A$3:$H$102,8,FALSE),VLOOKUP(AF$1,main!$A$3:$H$102,4,FALSE),VLOOKUP(AF$1,main!$A$3:$H$102,4,FALSE)+VLOOKUP($A9,main!$A$3:$H$102,4,FALSE)+(VLOOKUP(VLOOKUP(AF$1,main!$A$3:$H$102,8,FALSE),main!$K$19:$O$22,MATCH(VLOOKUP($A9,main!$A$3:$H$102,7,FALSE),main!$K$18:$O$18,0),0))),0)</f>
        <v>0</v>
      </c>
      <c r="AG9">
        <f>IF((gamma!AG9),IF(VLOOKUP(AG$1,main!$A$3:$H$102,7,FALSE)=VLOOKUP($A9,main!$A$3:$H$102,8,FALSE),VLOOKUP(AG$1,main!$A$3:$H$102,4,FALSE),VLOOKUP(AG$1,main!$A$3:$H$102,4,FALSE)+VLOOKUP($A9,main!$A$3:$H$102,4,FALSE)+(VLOOKUP(VLOOKUP(AG$1,main!$A$3:$H$102,8,FALSE),main!$K$19:$O$22,MATCH(VLOOKUP($A9,main!$A$3:$H$102,7,FALSE),main!$K$18:$O$18,0),0))),0)</f>
        <v>0</v>
      </c>
      <c r="AH9">
        <f>IF((gamma!AH9),IF(VLOOKUP(AH$1,main!$A$3:$H$102,7,FALSE)=VLOOKUP($A9,main!$A$3:$H$102,8,FALSE),VLOOKUP(AH$1,main!$A$3:$H$102,4,FALSE),VLOOKUP(AH$1,main!$A$3:$H$102,4,FALSE)+VLOOKUP($A9,main!$A$3:$H$102,4,FALSE)+(VLOOKUP(VLOOKUP(AH$1,main!$A$3:$H$102,8,FALSE),main!$K$19:$O$22,MATCH(VLOOKUP($A9,main!$A$3:$H$102,7,FALSE),main!$K$18:$O$18,0),0))),0)</f>
        <v>0</v>
      </c>
      <c r="AI9">
        <f>IF((gamma!AI9),IF(VLOOKUP(AI$1,main!$A$3:$H$102,7,FALSE)=VLOOKUP($A9,main!$A$3:$H$102,8,FALSE),VLOOKUP(AI$1,main!$A$3:$H$102,4,FALSE),VLOOKUP(AI$1,main!$A$3:$H$102,4,FALSE)+VLOOKUP($A9,main!$A$3:$H$102,4,FALSE)+(VLOOKUP(VLOOKUP(AI$1,main!$A$3:$H$102,8,FALSE),main!$K$19:$O$22,MATCH(VLOOKUP($A9,main!$A$3:$H$102,7,FALSE),main!$K$18:$O$18,0),0))),0)</f>
        <v>0</v>
      </c>
      <c r="AJ9">
        <f>IF((gamma!AJ9),IF(VLOOKUP(AJ$1,main!$A$3:$H$102,7,FALSE)=VLOOKUP($A9,main!$A$3:$H$102,8,FALSE),VLOOKUP(AJ$1,main!$A$3:$H$102,4,FALSE),VLOOKUP(AJ$1,main!$A$3:$H$102,4,FALSE)+VLOOKUP($A9,main!$A$3:$H$102,4,FALSE)+(VLOOKUP(VLOOKUP(AJ$1,main!$A$3:$H$102,8,FALSE),main!$K$19:$O$22,MATCH(VLOOKUP($A9,main!$A$3:$H$102,7,FALSE),main!$K$18:$O$18,0),0))),0)</f>
        <v>0</v>
      </c>
      <c r="AK9">
        <f>IF((gamma!AK9),IF(VLOOKUP(AK$1,main!$A$3:$H$102,7,FALSE)=VLOOKUP($A9,main!$A$3:$H$102,8,FALSE),VLOOKUP(AK$1,main!$A$3:$H$102,4,FALSE),VLOOKUP(AK$1,main!$A$3:$H$102,4,FALSE)+VLOOKUP($A9,main!$A$3:$H$102,4,FALSE)+(VLOOKUP(VLOOKUP(AK$1,main!$A$3:$H$102,8,FALSE),main!$K$19:$O$22,MATCH(VLOOKUP($A9,main!$A$3:$H$102,7,FALSE),main!$K$18:$O$18,0),0))),0)</f>
        <v>0</v>
      </c>
      <c r="AL9">
        <f>IF((gamma!AL9),IF(VLOOKUP(AL$1,main!$A$3:$H$102,7,FALSE)=VLOOKUP($A9,main!$A$3:$H$102,8,FALSE),VLOOKUP(AL$1,main!$A$3:$H$102,4,FALSE),VLOOKUP(AL$1,main!$A$3:$H$102,4,FALSE)+VLOOKUP($A9,main!$A$3:$H$102,4,FALSE)+(VLOOKUP(VLOOKUP(AL$1,main!$A$3:$H$102,8,FALSE),main!$K$19:$O$22,MATCH(VLOOKUP($A9,main!$A$3:$H$102,7,FALSE),main!$K$18:$O$18,0),0))),0)</f>
        <v>0</v>
      </c>
      <c r="AM9">
        <f>IF((gamma!AM9),IF(VLOOKUP(AM$1,main!$A$3:$H$102,7,FALSE)=VLOOKUP($A9,main!$A$3:$H$102,8,FALSE),VLOOKUP(AM$1,main!$A$3:$H$102,4,FALSE),VLOOKUP(AM$1,main!$A$3:$H$102,4,FALSE)+VLOOKUP($A9,main!$A$3:$H$102,4,FALSE)+(VLOOKUP(VLOOKUP(AM$1,main!$A$3:$H$102,8,FALSE),main!$K$19:$O$22,MATCH(VLOOKUP($A9,main!$A$3:$H$102,7,FALSE),main!$K$18:$O$18,0),0))),0)</f>
        <v>0</v>
      </c>
      <c r="AN9">
        <f>IF((gamma!AN9),IF(VLOOKUP(AN$1,main!$A$3:$H$102,7,FALSE)=VLOOKUP($A9,main!$A$3:$H$102,8,FALSE),VLOOKUP(AN$1,main!$A$3:$H$102,4,FALSE),VLOOKUP(AN$1,main!$A$3:$H$102,4,FALSE)+VLOOKUP($A9,main!$A$3:$H$102,4,FALSE)+(VLOOKUP(VLOOKUP(AN$1,main!$A$3:$H$102,8,FALSE),main!$K$19:$O$22,MATCH(VLOOKUP($A9,main!$A$3:$H$102,7,FALSE),main!$K$18:$O$18,0),0))),0)</f>
        <v>135</v>
      </c>
      <c r="AO9">
        <f>IF((gamma!AO9),IF(VLOOKUP(AO$1,main!$A$3:$H$102,7,FALSE)=VLOOKUP($A9,main!$A$3:$H$102,8,FALSE),VLOOKUP(AO$1,main!$A$3:$H$102,4,FALSE),VLOOKUP(AO$1,main!$A$3:$H$102,4,FALSE)+VLOOKUP($A9,main!$A$3:$H$102,4,FALSE)+(VLOOKUP(VLOOKUP(AO$1,main!$A$3:$H$102,8,FALSE),main!$K$19:$O$22,MATCH(VLOOKUP($A9,main!$A$3:$H$102,7,FALSE),main!$K$18:$O$18,0),0))),0)</f>
        <v>0</v>
      </c>
      <c r="AP9">
        <f>IF((gamma!AP9),IF(VLOOKUP(AP$1,main!$A$3:$H$102,7,FALSE)=VLOOKUP($A9,main!$A$3:$H$102,8,FALSE),VLOOKUP(AP$1,main!$A$3:$H$102,4,FALSE),VLOOKUP(AP$1,main!$A$3:$H$102,4,FALSE)+VLOOKUP($A9,main!$A$3:$H$102,4,FALSE)+(VLOOKUP(VLOOKUP(AP$1,main!$A$3:$H$102,8,FALSE),main!$K$19:$O$22,MATCH(VLOOKUP($A9,main!$A$3:$H$102,7,FALSE),main!$K$18:$O$18,0),0))),0)</f>
        <v>75</v>
      </c>
      <c r="AQ9">
        <f>IF((gamma!AQ9),IF(VLOOKUP(AQ$1,main!$A$3:$H$102,7,FALSE)=VLOOKUP($A9,main!$A$3:$H$102,8,FALSE),VLOOKUP(AQ$1,main!$A$3:$H$102,4,FALSE),VLOOKUP(AQ$1,main!$A$3:$H$102,4,FALSE)+VLOOKUP($A9,main!$A$3:$H$102,4,FALSE)+(VLOOKUP(VLOOKUP(AQ$1,main!$A$3:$H$102,8,FALSE),main!$K$19:$O$22,MATCH(VLOOKUP($A9,main!$A$3:$H$102,7,FALSE),main!$K$18:$O$18,0),0))),0)</f>
        <v>0</v>
      </c>
      <c r="AR9">
        <f>IF((gamma!AR9),IF(VLOOKUP(AR$1,main!$A$3:$H$102,7,FALSE)=VLOOKUP($A9,main!$A$3:$H$102,8,FALSE),VLOOKUP(AR$1,main!$A$3:$H$102,4,FALSE),VLOOKUP(AR$1,main!$A$3:$H$102,4,FALSE)+VLOOKUP($A9,main!$A$3:$H$102,4,FALSE)+(VLOOKUP(VLOOKUP(AR$1,main!$A$3:$H$102,8,FALSE),main!$K$19:$O$22,MATCH(VLOOKUP($A9,main!$A$3:$H$102,7,FALSE),main!$K$18:$O$18,0),0))),0)</f>
        <v>0</v>
      </c>
      <c r="AS9">
        <f>IF((gamma!AS9),IF(VLOOKUP(AS$1,main!$A$3:$H$102,7,FALSE)=VLOOKUP($A9,main!$A$3:$H$102,8,FALSE),VLOOKUP(AS$1,main!$A$3:$H$102,4,FALSE),VLOOKUP(AS$1,main!$A$3:$H$102,4,FALSE)+VLOOKUP($A9,main!$A$3:$H$102,4,FALSE)+(VLOOKUP(VLOOKUP(AS$1,main!$A$3:$H$102,8,FALSE),main!$K$19:$O$22,MATCH(VLOOKUP($A9,main!$A$3:$H$102,7,FALSE),main!$K$18:$O$18,0),0))),0)</f>
        <v>0</v>
      </c>
      <c r="AT9">
        <f>IF((gamma!AT9),IF(VLOOKUP(AT$1,main!$A$3:$H$102,7,FALSE)=VLOOKUP($A9,main!$A$3:$H$102,8,FALSE),VLOOKUP(AT$1,main!$A$3:$H$102,4,FALSE),VLOOKUP(AT$1,main!$A$3:$H$102,4,FALSE)+VLOOKUP($A9,main!$A$3:$H$102,4,FALSE)+(VLOOKUP(VLOOKUP(AT$1,main!$A$3:$H$102,8,FALSE),main!$K$19:$O$22,MATCH(VLOOKUP($A9,main!$A$3:$H$102,7,FALSE),main!$K$18:$O$18,0),0))),0)</f>
        <v>0</v>
      </c>
      <c r="AU9">
        <f>IF((gamma!AU9),IF(VLOOKUP(AU$1,main!$A$3:$H$102,7,FALSE)=VLOOKUP($A9,main!$A$3:$H$102,8,FALSE),VLOOKUP(AU$1,main!$A$3:$H$102,4,FALSE),VLOOKUP(AU$1,main!$A$3:$H$102,4,FALSE)+VLOOKUP($A9,main!$A$3:$H$102,4,FALSE)+(VLOOKUP(VLOOKUP(AU$1,main!$A$3:$H$102,8,FALSE),main!$K$19:$O$22,MATCH(VLOOKUP($A9,main!$A$3:$H$102,7,FALSE),main!$K$18:$O$18,0),0))),0)</f>
        <v>0</v>
      </c>
      <c r="AV9">
        <f>IF((gamma!AV9),IF(VLOOKUP(AV$1,main!$A$3:$H$102,7,FALSE)=VLOOKUP($A9,main!$A$3:$H$102,8,FALSE),VLOOKUP(AV$1,main!$A$3:$H$102,4,FALSE),VLOOKUP(AV$1,main!$A$3:$H$102,4,FALSE)+VLOOKUP($A9,main!$A$3:$H$102,4,FALSE)+(VLOOKUP(VLOOKUP(AV$1,main!$A$3:$H$102,8,FALSE),main!$K$19:$O$22,MATCH(VLOOKUP($A9,main!$A$3:$H$102,7,FALSE),main!$K$18:$O$18,0),0))),0)</f>
        <v>0</v>
      </c>
      <c r="AW9">
        <f>IF((gamma!AW9),IF(VLOOKUP(AW$1,main!$A$3:$H$102,7,FALSE)=VLOOKUP($A9,main!$A$3:$H$102,8,FALSE),VLOOKUP(AW$1,main!$A$3:$H$102,4,FALSE),VLOOKUP(AW$1,main!$A$3:$H$102,4,FALSE)+VLOOKUP($A9,main!$A$3:$H$102,4,FALSE)+(VLOOKUP(VLOOKUP(AW$1,main!$A$3:$H$102,8,FALSE),main!$K$19:$O$22,MATCH(VLOOKUP($A9,main!$A$3:$H$102,7,FALSE),main!$K$18:$O$18,0),0))),0)</f>
        <v>0</v>
      </c>
      <c r="AX9">
        <f>IF((gamma!AX9),IF(VLOOKUP(AX$1,main!$A$3:$H$102,7,FALSE)=VLOOKUP($A9,main!$A$3:$H$102,8,FALSE),VLOOKUP(AX$1,main!$A$3:$H$102,4,FALSE),VLOOKUP(AX$1,main!$A$3:$H$102,4,FALSE)+VLOOKUP($A9,main!$A$3:$H$102,4,FALSE)+(VLOOKUP(VLOOKUP(AX$1,main!$A$3:$H$102,8,FALSE),main!$K$19:$O$22,MATCH(VLOOKUP($A9,main!$A$3:$H$102,7,FALSE),main!$K$18:$O$18,0),0))),0)</f>
        <v>0</v>
      </c>
      <c r="AY9">
        <f>IF((gamma!AY9),IF(VLOOKUP(AY$1,main!$A$3:$H$102,7,FALSE)=VLOOKUP($A9,main!$A$3:$H$102,8,FALSE),VLOOKUP(AY$1,main!$A$3:$H$102,4,FALSE),VLOOKUP(AY$1,main!$A$3:$H$102,4,FALSE)+VLOOKUP($A9,main!$A$3:$H$102,4,FALSE)+(VLOOKUP(VLOOKUP(AY$1,main!$A$3:$H$102,8,FALSE),main!$K$19:$O$22,MATCH(VLOOKUP($A9,main!$A$3:$H$102,7,FALSE),main!$K$18:$O$18,0),0))),0)</f>
        <v>0</v>
      </c>
      <c r="AZ9">
        <f>IF((gamma!AZ9),IF(VLOOKUP(AZ$1,main!$A$3:$H$102,7,FALSE)=VLOOKUP($A9,main!$A$3:$H$102,8,FALSE),VLOOKUP(AZ$1,main!$A$3:$H$102,4,FALSE),VLOOKUP(AZ$1,main!$A$3:$H$102,4,FALSE)+VLOOKUP($A9,main!$A$3:$H$102,4,FALSE)+(VLOOKUP(VLOOKUP(AZ$1,main!$A$3:$H$102,8,FALSE),main!$K$19:$O$22,MATCH(VLOOKUP($A9,main!$A$3:$H$102,7,FALSE),main!$K$18:$O$18,0),0))),0)</f>
        <v>0</v>
      </c>
      <c r="BA9">
        <f>IF((gamma!BA9),IF(VLOOKUP(BA$1,main!$A$3:$H$102,7,FALSE)=VLOOKUP($A9,main!$A$3:$H$102,8,FALSE),VLOOKUP(BA$1,main!$A$3:$H$102,4,FALSE),VLOOKUP(BA$1,main!$A$3:$H$102,4,FALSE)+VLOOKUP($A9,main!$A$3:$H$102,4,FALSE)+(VLOOKUP(VLOOKUP(BA$1,main!$A$3:$H$102,8,FALSE),main!$K$19:$O$22,MATCH(VLOOKUP($A9,main!$A$3:$H$102,7,FALSE),main!$K$18:$O$18,0),0))),0)</f>
        <v>0</v>
      </c>
      <c r="BB9">
        <f>IF((gamma!BB9),IF(VLOOKUP(BB$1,main!$A$3:$H$102,7,FALSE)=VLOOKUP($A9,main!$A$3:$H$102,8,FALSE),VLOOKUP(BB$1,main!$A$3:$H$102,4,FALSE),VLOOKUP(BB$1,main!$A$3:$H$102,4,FALSE)+VLOOKUP($A9,main!$A$3:$H$102,4,FALSE)+(VLOOKUP(VLOOKUP(BB$1,main!$A$3:$H$102,8,FALSE),main!$K$19:$O$22,MATCH(VLOOKUP($A9,main!$A$3:$H$102,7,FALSE),main!$K$18:$O$18,0),0))),0)</f>
        <v>0</v>
      </c>
      <c r="BC9">
        <f>IF((gamma!BC9),IF(VLOOKUP(BC$1,main!$A$3:$H$102,7,FALSE)=VLOOKUP($A9,main!$A$3:$H$102,8,FALSE),VLOOKUP(BC$1,main!$A$3:$H$102,4,FALSE),VLOOKUP(BC$1,main!$A$3:$H$102,4,FALSE)+VLOOKUP($A9,main!$A$3:$H$102,4,FALSE)+(VLOOKUP(VLOOKUP(BC$1,main!$A$3:$H$102,8,FALSE),main!$K$19:$O$22,MATCH(VLOOKUP($A9,main!$A$3:$H$102,7,FALSE),main!$K$18:$O$18,0),0))),0)</f>
        <v>0</v>
      </c>
      <c r="BD9">
        <f>IF((gamma!BD9),IF(VLOOKUP(BD$1,main!$A$3:$H$102,7,FALSE)=VLOOKUP($A9,main!$A$3:$H$102,8,FALSE),VLOOKUP(BD$1,main!$A$3:$H$102,4,FALSE),VLOOKUP(BD$1,main!$A$3:$H$102,4,FALSE)+VLOOKUP($A9,main!$A$3:$H$102,4,FALSE)+(VLOOKUP(VLOOKUP(BD$1,main!$A$3:$H$102,8,FALSE),main!$K$19:$O$22,MATCH(VLOOKUP($A9,main!$A$3:$H$102,7,FALSE),main!$K$18:$O$18,0),0))),0)</f>
        <v>0</v>
      </c>
      <c r="BE9">
        <f>IF((gamma!BE9),IF(VLOOKUP(BE$1,main!$A$3:$H$102,7,FALSE)=VLOOKUP($A9,main!$A$3:$H$102,8,FALSE),VLOOKUP(BE$1,main!$A$3:$H$102,4,FALSE),VLOOKUP(BE$1,main!$A$3:$H$102,4,FALSE)+VLOOKUP($A9,main!$A$3:$H$102,4,FALSE)+(VLOOKUP(VLOOKUP(BE$1,main!$A$3:$H$102,8,FALSE),main!$K$19:$O$22,MATCH(VLOOKUP($A9,main!$A$3:$H$102,7,FALSE),main!$K$18:$O$18,0),0))),0)</f>
        <v>0</v>
      </c>
      <c r="BF9">
        <f>IF((gamma!BF9),IF(VLOOKUP(BF$1,main!$A$3:$H$102,7,FALSE)=VLOOKUP($A9,main!$A$3:$H$102,8,FALSE),VLOOKUP(BF$1,main!$A$3:$H$102,4,FALSE),VLOOKUP(BF$1,main!$A$3:$H$102,4,FALSE)+VLOOKUP($A9,main!$A$3:$H$102,4,FALSE)+(VLOOKUP(VLOOKUP(BF$1,main!$A$3:$H$102,8,FALSE),main!$K$19:$O$22,MATCH(VLOOKUP($A9,main!$A$3:$H$102,7,FALSE),main!$K$18:$O$18,0),0))),0)</f>
        <v>0</v>
      </c>
      <c r="BG9">
        <f>IF((gamma!BG9),IF(VLOOKUP(BG$1,main!$A$3:$H$102,7,FALSE)=VLOOKUP($A9,main!$A$3:$H$102,8,FALSE),VLOOKUP(BG$1,main!$A$3:$H$102,4,FALSE),VLOOKUP(BG$1,main!$A$3:$H$102,4,FALSE)+VLOOKUP($A9,main!$A$3:$H$102,4,FALSE)+(VLOOKUP(VLOOKUP(BG$1,main!$A$3:$H$102,8,FALSE),main!$K$19:$O$22,MATCH(VLOOKUP($A9,main!$A$3:$H$102,7,FALSE),main!$K$18:$O$18,0),0))),0)</f>
        <v>0</v>
      </c>
      <c r="BH9">
        <f>IF((gamma!BH9),IF(VLOOKUP(BH$1,main!$A$3:$H$102,7,FALSE)=VLOOKUP($A9,main!$A$3:$H$102,8,FALSE),VLOOKUP(BH$1,main!$A$3:$H$102,4,FALSE),VLOOKUP(BH$1,main!$A$3:$H$102,4,FALSE)+VLOOKUP($A9,main!$A$3:$H$102,4,FALSE)+(VLOOKUP(VLOOKUP(BH$1,main!$A$3:$H$102,8,FALSE),main!$K$19:$O$22,MATCH(VLOOKUP($A9,main!$A$3:$H$102,7,FALSE),main!$K$18:$O$18,0),0))),0)</f>
        <v>0</v>
      </c>
      <c r="BI9">
        <f>IF((gamma!BI9),IF(VLOOKUP(BI$1,main!$A$3:$H$102,7,FALSE)=VLOOKUP($A9,main!$A$3:$H$102,8,FALSE),VLOOKUP(BI$1,main!$A$3:$H$102,4,FALSE),VLOOKUP(BI$1,main!$A$3:$H$102,4,FALSE)+VLOOKUP($A9,main!$A$3:$H$102,4,FALSE)+(VLOOKUP(VLOOKUP(BI$1,main!$A$3:$H$102,8,FALSE),main!$K$19:$O$22,MATCH(VLOOKUP($A9,main!$A$3:$H$102,7,FALSE),main!$K$18:$O$18,0),0))),0)</f>
        <v>195</v>
      </c>
      <c r="BJ9">
        <f>IF((gamma!BJ9),IF(VLOOKUP(BJ$1,main!$A$3:$H$102,7,FALSE)=VLOOKUP($A9,main!$A$3:$H$102,8,FALSE),VLOOKUP(BJ$1,main!$A$3:$H$102,4,FALSE),VLOOKUP(BJ$1,main!$A$3:$H$102,4,FALSE)+VLOOKUP($A9,main!$A$3:$H$102,4,FALSE)+(VLOOKUP(VLOOKUP(BJ$1,main!$A$3:$H$102,8,FALSE),main!$K$19:$O$22,MATCH(VLOOKUP($A9,main!$A$3:$H$102,7,FALSE),main!$K$18:$O$18,0),0))),0)</f>
        <v>0</v>
      </c>
      <c r="BK9">
        <f>IF((gamma!BK9),IF(VLOOKUP(BK$1,main!$A$3:$H$102,7,FALSE)=VLOOKUP($A9,main!$A$3:$H$102,8,FALSE),VLOOKUP(BK$1,main!$A$3:$H$102,4,FALSE),VLOOKUP(BK$1,main!$A$3:$H$102,4,FALSE)+VLOOKUP($A9,main!$A$3:$H$102,4,FALSE)+(VLOOKUP(VLOOKUP(BK$1,main!$A$3:$H$102,8,FALSE),main!$K$19:$O$22,MATCH(VLOOKUP($A9,main!$A$3:$H$102,7,FALSE),main!$K$18:$O$18,0),0))),0)</f>
        <v>0</v>
      </c>
      <c r="BL9">
        <f>IF((gamma!BL9),IF(VLOOKUP(BL$1,main!$A$3:$H$102,7,FALSE)=VLOOKUP($A9,main!$A$3:$H$102,8,FALSE),VLOOKUP(BL$1,main!$A$3:$H$102,4,FALSE),VLOOKUP(BL$1,main!$A$3:$H$102,4,FALSE)+VLOOKUP($A9,main!$A$3:$H$102,4,FALSE)+(VLOOKUP(VLOOKUP(BL$1,main!$A$3:$H$102,8,FALSE),main!$K$19:$O$22,MATCH(VLOOKUP($A9,main!$A$3:$H$102,7,FALSE),main!$K$18:$O$18,0),0))),0)</f>
        <v>0</v>
      </c>
      <c r="BM9">
        <f>IF((gamma!BM9),IF(VLOOKUP(BM$1,main!$A$3:$H$102,7,FALSE)=VLOOKUP($A9,main!$A$3:$H$102,8,FALSE),VLOOKUP(BM$1,main!$A$3:$H$102,4,FALSE),VLOOKUP(BM$1,main!$A$3:$H$102,4,FALSE)+VLOOKUP($A9,main!$A$3:$H$102,4,FALSE)+(VLOOKUP(VLOOKUP(BM$1,main!$A$3:$H$102,8,FALSE),main!$K$19:$O$22,MATCH(VLOOKUP($A9,main!$A$3:$H$102,7,FALSE),main!$K$18:$O$18,0),0))),0)</f>
        <v>0</v>
      </c>
      <c r="BN9">
        <f>IF((gamma!BN9),IF(VLOOKUP(BN$1,main!$A$3:$H$102,7,FALSE)=VLOOKUP($A9,main!$A$3:$H$102,8,FALSE),VLOOKUP(BN$1,main!$A$3:$H$102,4,FALSE),VLOOKUP(BN$1,main!$A$3:$H$102,4,FALSE)+VLOOKUP($A9,main!$A$3:$H$102,4,FALSE)+(VLOOKUP(VLOOKUP(BN$1,main!$A$3:$H$102,8,FALSE),main!$K$19:$O$22,MATCH(VLOOKUP($A9,main!$A$3:$H$102,7,FALSE),main!$K$18:$O$18,0),0))),0)</f>
        <v>0</v>
      </c>
      <c r="BO9">
        <f>IF((gamma!BO9),IF(VLOOKUP(BO$1,main!$A$3:$H$102,7,FALSE)=VLOOKUP($A9,main!$A$3:$H$102,8,FALSE),VLOOKUP(BO$1,main!$A$3:$H$102,4,FALSE),VLOOKUP(BO$1,main!$A$3:$H$102,4,FALSE)+VLOOKUP($A9,main!$A$3:$H$102,4,FALSE)+(VLOOKUP(VLOOKUP(BO$1,main!$A$3:$H$102,8,FALSE),main!$K$19:$O$22,MATCH(VLOOKUP($A9,main!$A$3:$H$102,7,FALSE),main!$K$18:$O$18,0),0))),0)</f>
        <v>0</v>
      </c>
      <c r="BP9">
        <f>IF((gamma!BP9),IF(VLOOKUP(BP$1,main!$A$3:$H$102,7,FALSE)=VLOOKUP($A9,main!$A$3:$H$102,8,FALSE),VLOOKUP(BP$1,main!$A$3:$H$102,4,FALSE),VLOOKUP(BP$1,main!$A$3:$H$102,4,FALSE)+VLOOKUP($A9,main!$A$3:$H$102,4,FALSE)+(VLOOKUP(VLOOKUP(BP$1,main!$A$3:$H$102,8,FALSE),main!$K$19:$O$22,MATCH(VLOOKUP($A9,main!$A$3:$H$102,7,FALSE),main!$K$18:$O$18,0),0))),0)</f>
        <v>0</v>
      </c>
      <c r="BQ9">
        <f>IF((gamma!BQ9),IF(VLOOKUP(BQ$1,main!$A$3:$H$102,7,FALSE)=VLOOKUP($A9,main!$A$3:$H$102,8,FALSE),VLOOKUP(BQ$1,main!$A$3:$H$102,4,FALSE),VLOOKUP(BQ$1,main!$A$3:$H$102,4,FALSE)+VLOOKUP($A9,main!$A$3:$H$102,4,FALSE)+(VLOOKUP(VLOOKUP(BQ$1,main!$A$3:$H$102,8,FALSE),main!$K$19:$O$22,MATCH(VLOOKUP($A9,main!$A$3:$H$102,7,FALSE),main!$K$18:$O$18,0),0))),0)</f>
        <v>0</v>
      </c>
      <c r="BR9">
        <f>IF((gamma!BR9),IF(VLOOKUP(BR$1,main!$A$3:$H$102,7,FALSE)=VLOOKUP($A9,main!$A$3:$H$102,8,FALSE),VLOOKUP(BR$1,main!$A$3:$H$102,4,FALSE),VLOOKUP(BR$1,main!$A$3:$H$102,4,FALSE)+VLOOKUP($A9,main!$A$3:$H$102,4,FALSE)+(VLOOKUP(VLOOKUP(BR$1,main!$A$3:$H$102,8,FALSE),main!$K$19:$O$22,MATCH(VLOOKUP($A9,main!$A$3:$H$102,7,FALSE),main!$K$18:$O$18,0),0))),0)</f>
        <v>0</v>
      </c>
      <c r="BS9">
        <f>IF((gamma!BS9),IF(VLOOKUP(BS$1,main!$A$3:$H$102,7,FALSE)=VLOOKUP($A9,main!$A$3:$H$102,8,FALSE),VLOOKUP(BS$1,main!$A$3:$H$102,4,FALSE),VLOOKUP(BS$1,main!$A$3:$H$102,4,FALSE)+VLOOKUP($A9,main!$A$3:$H$102,4,FALSE)+(VLOOKUP(VLOOKUP(BS$1,main!$A$3:$H$102,8,FALSE),main!$K$19:$O$22,MATCH(VLOOKUP($A9,main!$A$3:$H$102,7,FALSE),main!$K$18:$O$18,0),0))),0)</f>
        <v>0</v>
      </c>
      <c r="BT9">
        <f>IF((gamma!BT9),IF(VLOOKUP(BT$1,main!$A$3:$H$102,7,FALSE)=VLOOKUP($A9,main!$A$3:$H$102,8,FALSE),VLOOKUP(BT$1,main!$A$3:$H$102,4,FALSE),VLOOKUP(BT$1,main!$A$3:$H$102,4,FALSE)+VLOOKUP($A9,main!$A$3:$H$102,4,FALSE)+(VLOOKUP(VLOOKUP(BT$1,main!$A$3:$H$102,8,FALSE),main!$K$19:$O$22,MATCH(VLOOKUP($A9,main!$A$3:$H$102,7,FALSE),main!$K$18:$O$18,0),0))),0)</f>
        <v>0</v>
      </c>
      <c r="BU9">
        <f>IF((gamma!BU9),IF(VLOOKUP(BU$1,main!$A$3:$H$102,7,FALSE)=VLOOKUP($A9,main!$A$3:$H$102,8,FALSE),VLOOKUP(BU$1,main!$A$3:$H$102,4,FALSE),VLOOKUP(BU$1,main!$A$3:$H$102,4,FALSE)+VLOOKUP($A9,main!$A$3:$H$102,4,FALSE)+(VLOOKUP(VLOOKUP(BU$1,main!$A$3:$H$102,8,FALSE),main!$K$19:$O$22,MATCH(VLOOKUP($A9,main!$A$3:$H$102,7,FALSE),main!$K$18:$O$18,0),0))),0)</f>
        <v>0</v>
      </c>
      <c r="BV9">
        <f>IF((gamma!BV9),IF(VLOOKUP(BV$1,main!$A$3:$H$102,7,FALSE)=VLOOKUP($A9,main!$A$3:$H$102,8,FALSE),VLOOKUP(BV$1,main!$A$3:$H$102,4,FALSE),VLOOKUP(BV$1,main!$A$3:$H$102,4,FALSE)+VLOOKUP($A9,main!$A$3:$H$102,4,FALSE)+(VLOOKUP(VLOOKUP(BV$1,main!$A$3:$H$102,8,FALSE),main!$K$19:$O$22,MATCH(VLOOKUP($A9,main!$A$3:$H$102,7,FALSE),main!$K$18:$O$18,0),0))),0)</f>
        <v>0</v>
      </c>
      <c r="BW9">
        <f>IF((gamma!BW9),IF(VLOOKUP(BW$1,main!$A$3:$H$102,7,FALSE)=VLOOKUP($A9,main!$A$3:$H$102,8,FALSE),VLOOKUP(BW$1,main!$A$3:$H$102,4,FALSE),VLOOKUP(BW$1,main!$A$3:$H$102,4,FALSE)+VLOOKUP($A9,main!$A$3:$H$102,4,FALSE)+(VLOOKUP(VLOOKUP(BW$1,main!$A$3:$H$102,8,FALSE),main!$K$19:$O$22,MATCH(VLOOKUP($A9,main!$A$3:$H$102,7,FALSE),main!$K$18:$O$18,0),0))),0)</f>
        <v>0</v>
      </c>
      <c r="BX9">
        <f>IF((gamma!BX9),IF(VLOOKUP(BX$1,main!$A$3:$H$102,7,FALSE)=VLOOKUP($A9,main!$A$3:$H$102,8,FALSE),VLOOKUP(BX$1,main!$A$3:$H$102,4,FALSE),VLOOKUP(BX$1,main!$A$3:$H$102,4,FALSE)+VLOOKUP($A9,main!$A$3:$H$102,4,FALSE)+(VLOOKUP(VLOOKUP(BX$1,main!$A$3:$H$102,8,FALSE),main!$K$19:$O$22,MATCH(VLOOKUP($A9,main!$A$3:$H$102,7,FALSE),main!$K$18:$O$18,0),0))),0)</f>
        <v>0</v>
      </c>
      <c r="BY9">
        <f>IF((gamma!BY9),IF(VLOOKUP(BY$1,main!$A$3:$H$102,7,FALSE)=VLOOKUP($A9,main!$A$3:$H$102,8,FALSE),VLOOKUP(BY$1,main!$A$3:$H$102,4,FALSE),VLOOKUP(BY$1,main!$A$3:$H$102,4,FALSE)+VLOOKUP($A9,main!$A$3:$H$102,4,FALSE)+(VLOOKUP(VLOOKUP(BY$1,main!$A$3:$H$102,8,FALSE),main!$K$19:$O$22,MATCH(VLOOKUP($A9,main!$A$3:$H$102,7,FALSE),main!$K$18:$O$18,0),0))),0)</f>
        <v>0</v>
      </c>
      <c r="BZ9">
        <f>IF((gamma!BZ9),IF(VLOOKUP(BZ$1,main!$A$3:$H$102,7,FALSE)=VLOOKUP($A9,main!$A$3:$H$102,8,FALSE),VLOOKUP(BZ$1,main!$A$3:$H$102,4,FALSE),VLOOKUP(BZ$1,main!$A$3:$H$102,4,FALSE)+VLOOKUP($A9,main!$A$3:$H$102,4,FALSE)+(VLOOKUP(VLOOKUP(BZ$1,main!$A$3:$H$102,8,FALSE),main!$K$19:$O$22,MATCH(VLOOKUP($A9,main!$A$3:$H$102,7,FALSE),main!$K$18:$O$18,0),0))),0)</f>
        <v>0</v>
      </c>
      <c r="CA9">
        <f>IF((gamma!CA9),IF(VLOOKUP(CA$1,main!$A$3:$H$102,7,FALSE)=VLOOKUP($A9,main!$A$3:$H$102,8,FALSE),VLOOKUP(CA$1,main!$A$3:$H$102,4,FALSE),VLOOKUP(CA$1,main!$A$3:$H$102,4,FALSE)+VLOOKUP($A9,main!$A$3:$H$102,4,FALSE)+(VLOOKUP(VLOOKUP(CA$1,main!$A$3:$H$102,8,FALSE),main!$K$19:$O$22,MATCH(VLOOKUP($A9,main!$A$3:$H$102,7,FALSE),main!$K$18:$O$18,0),0))),0)</f>
        <v>0</v>
      </c>
      <c r="CB9">
        <f>IF((gamma!CB9),IF(VLOOKUP(CB$1,main!$A$3:$H$102,7,FALSE)=VLOOKUP($A9,main!$A$3:$H$102,8,FALSE),VLOOKUP(CB$1,main!$A$3:$H$102,4,FALSE),VLOOKUP(CB$1,main!$A$3:$H$102,4,FALSE)+VLOOKUP($A9,main!$A$3:$H$102,4,FALSE)+(VLOOKUP(VLOOKUP(CB$1,main!$A$3:$H$102,8,FALSE),main!$K$19:$O$22,MATCH(VLOOKUP($A9,main!$A$3:$H$102,7,FALSE),main!$K$18:$O$18,0),0))),0)</f>
        <v>0</v>
      </c>
      <c r="CC9">
        <f>IF((gamma!CC9),IF(VLOOKUP(CC$1,main!$A$3:$H$102,7,FALSE)=VLOOKUP($A9,main!$A$3:$H$102,8,FALSE),VLOOKUP(CC$1,main!$A$3:$H$102,4,FALSE),VLOOKUP(CC$1,main!$A$3:$H$102,4,FALSE)+VLOOKUP($A9,main!$A$3:$H$102,4,FALSE)+(VLOOKUP(VLOOKUP(CC$1,main!$A$3:$H$102,8,FALSE),main!$K$19:$O$22,MATCH(VLOOKUP($A9,main!$A$3:$H$102,7,FALSE),main!$K$18:$O$18,0),0))),0)</f>
        <v>0</v>
      </c>
      <c r="CD9">
        <f>IF((gamma!CD9),IF(VLOOKUP(CD$1,main!$A$3:$H$102,7,FALSE)=VLOOKUP($A9,main!$A$3:$H$102,8,FALSE),VLOOKUP(CD$1,main!$A$3:$H$102,4,FALSE),VLOOKUP(CD$1,main!$A$3:$H$102,4,FALSE)+VLOOKUP($A9,main!$A$3:$H$102,4,FALSE)+(VLOOKUP(VLOOKUP(CD$1,main!$A$3:$H$102,8,FALSE),main!$K$19:$O$22,MATCH(VLOOKUP($A9,main!$A$3:$H$102,7,FALSE),main!$K$18:$O$18,0),0))),0)</f>
        <v>0</v>
      </c>
      <c r="CE9">
        <f>IF((gamma!CE9),IF(VLOOKUP(CE$1,main!$A$3:$H$102,7,FALSE)=VLOOKUP($A9,main!$A$3:$H$102,8,FALSE),VLOOKUP(CE$1,main!$A$3:$H$102,4,FALSE),VLOOKUP(CE$1,main!$A$3:$H$102,4,FALSE)+VLOOKUP($A9,main!$A$3:$H$102,4,FALSE)+(VLOOKUP(VLOOKUP(CE$1,main!$A$3:$H$102,8,FALSE),main!$K$19:$O$22,MATCH(VLOOKUP($A9,main!$A$3:$H$102,7,FALSE),main!$K$18:$O$18,0),0))),0)</f>
        <v>0</v>
      </c>
      <c r="CF9">
        <f>IF((gamma!CF9),IF(VLOOKUP(CF$1,main!$A$3:$H$102,7,FALSE)=VLOOKUP($A9,main!$A$3:$H$102,8,FALSE),VLOOKUP(CF$1,main!$A$3:$H$102,4,FALSE),VLOOKUP(CF$1,main!$A$3:$H$102,4,FALSE)+VLOOKUP($A9,main!$A$3:$H$102,4,FALSE)+(VLOOKUP(VLOOKUP(CF$1,main!$A$3:$H$102,8,FALSE),main!$K$19:$O$22,MATCH(VLOOKUP($A9,main!$A$3:$H$102,7,FALSE),main!$K$18:$O$18,0),0))),0)</f>
        <v>0</v>
      </c>
      <c r="CG9">
        <f>IF((gamma!CG9),IF(VLOOKUP(CG$1,main!$A$3:$H$102,7,FALSE)=VLOOKUP($A9,main!$A$3:$H$102,8,FALSE),VLOOKUP(CG$1,main!$A$3:$H$102,4,FALSE),VLOOKUP(CG$1,main!$A$3:$H$102,4,FALSE)+VLOOKUP($A9,main!$A$3:$H$102,4,FALSE)+(VLOOKUP(VLOOKUP(CG$1,main!$A$3:$H$102,8,FALSE),main!$K$19:$O$22,MATCH(VLOOKUP($A9,main!$A$3:$H$102,7,FALSE),main!$K$18:$O$18,0),0))),0)</f>
        <v>0</v>
      </c>
      <c r="CH9">
        <f>IF((gamma!CH9),IF(VLOOKUP(CH$1,main!$A$3:$H$102,7,FALSE)=VLOOKUP($A9,main!$A$3:$H$102,8,FALSE),VLOOKUP(CH$1,main!$A$3:$H$102,4,FALSE),VLOOKUP(CH$1,main!$A$3:$H$102,4,FALSE)+VLOOKUP($A9,main!$A$3:$H$102,4,FALSE)+(VLOOKUP(VLOOKUP(CH$1,main!$A$3:$H$102,8,FALSE),main!$K$19:$O$22,MATCH(VLOOKUP($A9,main!$A$3:$H$102,7,FALSE),main!$K$18:$O$18,0),0))),0)</f>
        <v>0</v>
      </c>
      <c r="CI9">
        <f>IF((gamma!CI9),IF(VLOOKUP(CI$1,main!$A$3:$H$102,7,FALSE)=VLOOKUP($A9,main!$A$3:$H$102,8,FALSE),VLOOKUP(CI$1,main!$A$3:$H$102,4,FALSE),VLOOKUP(CI$1,main!$A$3:$H$102,4,FALSE)+VLOOKUP($A9,main!$A$3:$H$102,4,FALSE)+(VLOOKUP(VLOOKUP(CI$1,main!$A$3:$H$102,8,FALSE),main!$K$19:$O$22,MATCH(VLOOKUP($A9,main!$A$3:$H$102,7,FALSE),main!$K$18:$O$18,0),0))),0)</f>
        <v>275</v>
      </c>
      <c r="CJ9">
        <f>IF((gamma!CJ9),IF(VLOOKUP(CJ$1,main!$A$3:$H$102,7,FALSE)=VLOOKUP($A9,main!$A$3:$H$102,8,FALSE),VLOOKUP(CJ$1,main!$A$3:$H$102,4,FALSE),VLOOKUP(CJ$1,main!$A$3:$H$102,4,FALSE)+VLOOKUP($A9,main!$A$3:$H$102,4,FALSE)+(VLOOKUP(VLOOKUP(CJ$1,main!$A$3:$H$102,8,FALSE),main!$K$19:$O$22,MATCH(VLOOKUP($A9,main!$A$3:$H$102,7,FALSE),main!$K$18:$O$18,0),0))),0)</f>
        <v>0</v>
      </c>
      <c r="CK9">
        <f>IF((gamma!CK9),IF(VLOOKUP(CK$1,main!$A$3:$H$102,7,FALSE)=VLOOKUP($A9,main!$A$3:$H$102,8,FALSE),VLOOKUP(CK$1,main!$A$3:$H$102,4,FALSE),VLOOKUP(CK$1,main!$A$3:$H$102,4,FALSE)+VLOOKUP($A9,main!$A$3:$H$102,4,FALSE)+(VLOOKUP(VLOOKUP(CK$1,main!$A$3:$H$102,8,FALSE),main!$K$19:$O$22,MATCH(VLOOKUP($A9,main!$A$3:$H$102,7,FALSE),main!$K$18:$O$18,0),0))),0)</f>
        <v>0</v>
      </c>
      <c r="CL9">
        <f>IF((gamma!CL9),IF(VLOOKUP(CL$1,main!$A$3:$H$102,7,FALSE)=VLOOKUP($A9,main!$A$3:$H$102,8,FALSE),VLOOKUP(CL$1,main!$A$3:$H$102,4,FALSE),VLOOKUP(CL$1,main!$A$3:$H$102,4,FALSE)+VLOOKUP($A9,main!$A$3:$H$102,4,FALSE)+(VLOOKUP(VLOOKUP(CL$1,main!$A$3:$H$102,8,FALSE),main!$K$19:$O$22,MATCH(VLOOKUP($A9,main!$A$3:$H$102,7,FALSE),main!$K$18:$O$18,0),0))),0)</f>
        <v>0</v>
      </c>
      <c r="CM9">
        <f>IF((gamma!CM9),IF(VLOOKUP(CM$1,main!$A$3:$H$102,7,FALSE)=VLOOKUP($A9,main!$A$3:$H$102,8,FALSE),VLOOKUP(CM$1,main!$A$3:$H$102,4,FALSE),VLOOKUP(CM$1,main!$A$3:$H$102,4,FALSE)+VLOOKUP($A9,main!$A$3:$H$102,4,FALSE)+(VLOOKUP(VLOOKUP(CM$1,main!$A$3:$H$102,8,FALSE),main!$K$19:$O$22,MATCH(VLOOKUP($A9,main!$A$3:$H$102,7,FALSE),main!$K$18:$O$18,0),0))),0)</f>
        <v>0</v>
      </c>
      <c r="CN9">
        <f>IF((gamma!CN9),IF(VLOOKUP(CN$1,main!$A$3:$H$102,7,FALSE)=VLOOKUP($A9,main!$A$3:$H$102,8,FALSE),VLOOKUP(CN$1,main!$A$3:$H$102,4,FALSE),VLOOKUP(CN$1,main!$A$3:$H$102,4,FALSE)+VLOOKUP($A9,main!$A$3:$H$102,4,FALSE)+(VLOOKUP(VLOOKUP(CN$1,main!$A$3:$H$102,8,FALSE),main!$K$19:$O$22,MATCH(VLOOKUP($A9,main!$A$3:$H$102,7,FALSE),main!$K$18:$O$18,0),0))),0)</f>
        <v>231</v>
      </c>
      <c r="CO9">
        <f>IF((gamma!CO9),IF(VLOOKUP(CO$1,main!$A$3:$H$102,7,FALSE)=VLOOKUP($A9,main!$A$3:$H$102,8,FALSE),VLOOKUP(CO$1,main!$A$3:$H$102,4,FALSE),VLOOKUP(CO$1,main!$A$3:$H$102,4,FALSE)+VLOOKUP($A9,main!$A$3:$H$102,4,FALSE)+(VLOOKUP(VLOOKUP(CO$1,main!$A$3:$H$102,8,FALSE),main!$K$19:$O$22,MATCH(VLOOKUP($A9,main!$A$3:$H$102,7,FALSE),main!$K$18:$O$18,0),0))),0)</f>
        <v>0</v>
      </c>
      <c r="CP9">
        <f>IF((gamma!CP9),IF(VLOOKUP(CP$1,main!$A$3:$H$102,7,FALSE)=VLOOKUP($A9,main!$A$3:$H$102,8,FALSE),VLOOKUP(CP$1,main!$A$3:$H$102,4,FALSE),VLOOKUP(CP$1,main!$A$3:$H$102,4,FALSE)+VLOOKUP($A9,main!$A$3:$H$102,4,FALSE)+(VLOOKUP(VLOOKUP(CP$1,main!$A$3:$H$102,8,FALSE),main!$K$19:$O$22,MATCH(VLOOKUP($A9,main!$A$3:$H$102,7,FALSE),main!$K$18:$O$18,0),0))),0)</f>
        <v>0</v>
      </c>
      <c r="CQ9">
        <f>IF((gamma!CQ9),IF(VLOOKUP(CQ$1,main!$A$3:$H$102,7,FALSE)=VLOOKUP($A9,main!$A$3:$H$102,8,FALSE),VLOOKUP(CQ$1,main!$A$3:$H$102,4,FALSE),VLOOKUP(CQ$1,main!$A$3:$H$102,4,FALSE)+VLOOKUP($A9,main!$A$3:$H$102,4,FALSE)+(VLOOKUP(VLOOKUP(CQ$1,main!$A$3:$H$102,8,FALSE),main!$K$19:$O$22,MATCH(VLOOKUP($A9,main!$A$3:$H$102,7,FALSE),main!$K$18:$O$18,0),0))),0)</f>
        <v>0</v>
      </c>
      <c r="CR9">
        <f>IF((gamma!CR9),IF(VLOOKUP(CR$1,main!$A$3:$H$102,7,FALSE)=VLOOKUP($A9,main!$A$3:$H$102,8,FALSE),VLOOKUP(CR$1,main!$A$3:$H$102,4,FALSE),VLOOKUP(CR$1,main!$A$3:$H$102,4,FALSE)+VLOOKUP($A9,main!$A$3:$H$102,4,FALSE)+(VLOOKUP(VLOOKUP(CR$1,main!$A$3:$H$102,8,FALSE),main!$K$19:$O$22,MATCH(VLOOKUP($A9,main!$A$3:$H$102,7,FALSE),main!$K$18:$O$18,0),0))),0)</f>
        <v>0</v>
      </c>
      <c r="CS9">
        <f>IF((gamma!CS9),IF(VLOOKUP(CS$1,main!$A$3:$H$102,7,FALSE)=VLOOKUP($A9,main!$A$3:$H$102,8,FALSE),VLOOKUP(CS$1,main!$A$3:$H$102,4,FALSE),VLOOKUP(CS$1,main!$A$3:$H$102,4,FALSE)+VLOOKUP($A9,main!$A$3:$H$102,4,FALSE)+(VLOOKUP(VLOOKUP(CS$1,main!$A$3:$H$102,8,FALSE),main!$K$19:$O$22,MATCH(VLOOKUP($A9,main!$A$3:$H$102,7,FALSE),main!$K$18:$O$18,0),0))),0)</f>
        <v>0</v>
      </c>
      <c r="CT9">
        <f>IF((gamma!CT9),IF(VLOOKUP(CT$1,main!$A$3:$H$102,7,FALSE)=VLOOKUP($A9,main!$A$3:$H$102,8,FALSE),VLOOKUP(CT$1,main!$A$3:$H$102,4,FALSE),VLOOKUP(CT$1,main!$A$3:$H$102,4,FALSE)+VLOOKUP($A9,main!$A$3:$H$102,4,FALSE)+(VLOOKUP(VLOOKUP(CT$1,main!$A$3:$H$102,8,FALSE),main!$K$19:$O$22,MATCH(VLOOKUP($A9,main!$A$3:$H$102,7,FALSE),main!$K$18:$O$18,0),0))),0)</f>
        <v>0</v>
      </c>
      <c r="CU9">
        <f>IF((gamma!CU9),IF(VLOOKUP(CU$1,main!$A$3:$H$102,7,FALSE)=VLOOKUP($A9,main!$A$3:$H$102,8,FALSE),VLOOKUP(CU$1,main!$A$3:$H$102,4,FALSE),VLOOKUP(CU$1,main!$A$3:$H$102,4,FALSE)+VLOOKUP($A9,main!$A$3:$H$102,4,FALSE)+(VLOOKUP(VLOOKUP(CU$1,main!$A$3:$H$102,8,FALSE),main!$K$19:$O$22,MATCH(VLOOKUP($A9,main!$A$3:$H$102,7,FALSE),main!$K$18:$O$18,0),0))),0)</f>
        <v>0</v>
      </c>
      <c r="CV9">
        <f>IF((gamma!CV9),IF(VLOOKUP(CV$1,main!$A$3:$H$102,7,FALSE)=VLOOKUP($A9,main!$A$3:$H$102,8,FALSE),VLOOKUP(CV$1,main!$A$3:$H$102,4,FALSE),VLOOKUP(CV$1,main!$A$3:$H$102,4,FALSE)+VLOOKUP($A9,main!$A$3:$H$102,4,FALSE)+(VLOOKUP(VLOOKUP(CV$1,main!$A$3:$H$102,8,FALSE),main!$K$19:$O$22,MATCH(VLOOKUP($A9,main!$A$3:$H$102,7,FALSE),main!$K$18:$O$18,0),0))),0)</f>
        <v>0</v>
      </c>
      <c r="CW9">
        <f>IF((gamma!CW9),IF(VLOOKUP(CW$1,main!$A$3:$H$102,7,FALSE)=VLOOKUP($A9,main!$A$3:$H$102,8,FALSE),VLOOKUP(CW$1,main!$A$3:$H$102,4,FALSE),VLOOKUP(CW$1,main!$A$3:$H$102,4,FALSE)+VLOOKUP($A9,main!$A$3:$H$102,4,FALSE)+(VLOOKUP(VLOOKUP(CW$1,main!$A$3:$H$102,8,FALSE),main!$K$19:$O$22,MATCH(VLOOKUP($A9,main!$A$3:$H$102,7,FALSE),main!$K$18:$O$18,0),0))),0)</f>
        <v>0</v>
      </c>
      <c r="CX9">
        <f>IF((gamma!CX9),IF(VLOOKUP(CX$1,main!$A$3:$H$102,7,FALSE)=VLOOKUP($A9,main!$A$3:$H$102,8,FALSE),VLOOKUP(CX$1,main!$A$3:$H$102,4,FALSE),VLOOKUP(CX$1,main!$A$3:$H$102,4,FALSE)+VLOOKUP($A9,main!$A$3:$H$102,4,FALSE)+(VLOOKUP(VLOOKUP(CX$1,main!$A$3:$H$102,8,FALSE),main!$K$19:$O$22,MATCH(VLOOKUP($A9,main!$A$3:$H$102,7,FALSE),main!$K$18:$O$18,0),0))),0)</f>
        <v>0</v>
      </c>
      <c r="CY9">
        <v>0</v>
      </c>
      <c r="CZ9">
        <v>0</v>
      </c>
      <c r="DA9">
        <v>0</v>
      </c>
    </row>
    <row r="10" spans="1:105" x14ac:dyDescent="0.25">
      <c r="A10" s="1">
        <v>8</v>
      </c>
      <c r="B10">
        <v>0</v>
      </c>
      <c r="C10">
        <f>IF((gamma!C10),IF(VLOOKUP(C$1,main!$A$3:$H$102,7,FALSE)=VLOOKUP($A10,main!$A$3:$H$102,8,FALSE),VLOOKUP(C$1,main!$A$3:$H$102,4,FALSE),VLOOKUP(C$1,main!$A$3:$H$102,4,FALSE)+VLOOKUP($A10,main!$A$3:$H$102,4,FALSE)+(VLOOKUP(VLOOKUP(C$1,main!$A$3:$H$102,8,FALSE),main!$K$19:$O$22,MATCH(VLOOKUP($A10,main!$A$3:$H$102,7,FALSE),main!$K$18:$O$18,0),0))),0)</f>
        <v>0</v>
      </c>
      <c r="D10">
        <f>IF((gamma!D10),IF(VLOOKUP(D$1,main!$A$3:$H$102,7,FALSE)=VLOOKUP($A10,main!$A$3:$H$102,8,FALSE),VLOOKUP(D$1,main!$A$3:$H$102,4,FALSE),VLOOKUP(D$1,main!$A$3:$H$102,4,FALSE)+VLOOKUP($A10,main!$A$3:$H$102,4,FALSE)+(VLOOKUP(VLOOKUP(D$1,main!$A$3:$H$102,8,FALSE),main!$K$19:$O$22,MATCH(VLOOKUP($A10,main!$A$3:$H$102,7,FALSE),main!$K$18:$O$18,0),0))),0)</f>
        <v>0</v>
      </c>
      <c r="E10">
        <f>IF((gamma!E10),IF(VLOOKUP(E$1,main!$A$3:$H$102,7,FALSE)=VLOOKUP($A10,main!$A$3:$H$102,8,FALSE),VLOOKUP(E$1,main!$A$3:$H$102,4,FALSE),VLOOKUP(E$1,main!$A$3:$H$102,4,FALSE)+VLOOKUP($A10,main!$A$3:$H$102,4,FALSE)+(VLOOKUP(VLOOKUP(E$1,main!$A$3:$H$102,8,FALSE),main!$K$19:$O$22,MATCH(VLOOKUP($A10,main!$A$3:$H$102,7,FALSE),main!$K$18:$O$18,0),0))),0)</f>
        <v>0</v>
      </c>
      <c r="F10">
        <f>IF((gamma!F10),IF(VLOOKUP(F$1,main!$A$3:$H$102,7,FALSE)=VLOOKUP($A10,main!$A$3:$H$102,8,FALSE),VLOOKUP(F$1,main!$A$3:$H$102,4,FALSE),VLOOKUP(F$1,main!$A$3:$H$102,4,FALSE)+VLOOKUP($A10,main!$A$3:$H$102,4,FALSE)+(VLOOKUP(VLOOKUP(F$1,main!$A$3:$H$102,8,FALSE),main!$K$19:$O$22,MATCH(VLOOKUP($A10,main!$A$3:$H$102,7,FALSE),main!$K$18:$O$18,0),0))),0)</f>
        <v>0</v>
      </c>
      <c r="G10">
        <f>IF((gamma!G10),IF(VLOOKUP(G$1,main!$A$3:$H$102,7,FALSE)=VLOOKUP($A10,main!$A$3:$H$102,8,FALSE),VLOOKUP(G$1,main!$A$3:$H$102,4,FALSE),VLOOKUP(G$1,main!$A$3:$H$102,4,FALSE)+VLOOKUP($A10,main!$A$3:$H$102,4,FALSE)+(VLOOKUP(VLOOKUP(G$1,main!$A$3:$H$102,8,FALSE),main!$K$19:$O$22,MATCH(VLOOKUP($A10,main!$A$3:$H$102,7,FALSE),main!$K$18:$O$18,0),0))),0)</f>
        <v>0</v>
      </c>
      <c r="H10">
        <f>IF((gamma!H10),IF(VLOOKUP(H$1,main!$A$3:$H$102,7,FALSE)=VLOOKUP($A10,main!$A$3:$H$102,8,FALSE),VLOOKUP(H$1,main!$A$3:$H$102,4,FALSE),VLOOKUP(H$1,main!$A$3:$H$102,4,FALSE)+VLOOKUP($A10,main!$A$3:$H$102,4,FALSE)+(VLOOKUP(VLOOKUP(H$1,main!$A$3:$H$102,8,FALSE),main!$K$19:$O$22,MATCH(VLOOKUP($A10,main!$A$3:$H$102,7,FALSE),main!$K$18:$O$18,0),0))),0)</f>
        <v>0</v>
      </c>
      <c r="I10">
        <f>IF((gamma!I10),IF(VLOOKUP(I$1,main!$A$3:$H$102,7,FALSE)=VLOOKUP($A10,main!$A$3:$H$102,8,FALSE),VLOOKUP(I$1,main!$A$3:$H$102,4,FALSE),VLOOKUP(I$1,main!$A$3:$H$102,4,FALSE)+VLOOKUP($A10,main!$A$3:$H$102,4,FALSE)+(VLOOKUP(VLOOKUP(I$1,main!$A$3:$H$102,8,FALSE),main!$K$19:$O$22,MATCH(VLOOKUP($A10,main!$A$3:$H$102,7,FALSE),main!$K$18:$O$18,0),0))),0)</f>
        <v>0</v>
      </c>
      <c r="J10">
        <f>IF((gamma!J10),IF(VLOOKUP(J$1,main!$A$3:$H$102,7,FALSE)=VLOOKUP($A10,main!$A$3:$H$102,8,FALSE),VLOOKUP(J$1,main!$A$3:$H$102,4,FALSE),VLOOKUP(J$1,main!$A$3:$H$102,4,FALSE)+VLOOKUP($A10,main!$A$3:$H$102,4,FALSE)+(VLOOKUP(VLOOKUP(J$1,main!$A$3:$H$102,8,FALSE),main!$K$19:$O$22,MATCH(VLOOKUP($A10,main!$A$3:$H$102,7,FALSE),main!$K$18:$O$18,0),0))),0)</f>
        <v>0</v>
      </c>
      <c r="K10">
        <f>IF((gamma!K10),IF(VLOOKUP(K$1,main!$A$3:$H$102,7,FALSE)=VLOOKUP($A10,main!$A$3:$H$102,8,FALSE),VLOOKUP(K$1,main!$A$3:$H$102,4,FALSE),VLOOKUP(K$1,main!$A$3:$H$102,4,FALSE)+VLOOKUP($A10,main!$A$3:$H$102,4,FALSE)+(VLOOKUP(VLOOKUP(K$1,main!$A$3:$H$102,8,FALSE),main!$K$19:$O$22,MATCH(VLOOKUP($A10,main!$A$3:$H$102,7,FALSE),main!$K$18:$O$18,0),0))),0)</f>
        <v>0</v>
      </c>
      <c r="L10">
        <f>IF((gamma!L10),IF(VLOOKUP(L$1,main!$A$3:$H$102,7,FALSE)=VLOOKUP($A10,main!$A$3:$H$102,8,FALSE),VLOOKUP(L$1,main!$A$3:$H$102,4,FALSE),VLOOKUP(L$1,main!$A$3:$H$102,4,FALSE)+VLOOKUP($A10,main!$A$3:$H$102,4,FALSE)+(VLOOKUP(VLOOKUP(L$1,main!$A$3:$H$102,8,FALSE),main!$K$19:$O$22,MATCH(VLOOKUP($A10,main!$A$3:$H$102,7,FALSE),main!$K$18:$O$18,0),0))),0)</f>
        <v>0</v>
      </c>
      <c r="M10">
        <f>IF((gamma!M10),IF(VLOOKUP(M$1,main!$A$3:$H$102,7,FALSE)=VLOOKUP($A10,main!$A$3:$H$102,8,FALSE),VLOOKUP(M$1,main!$A$3:$H$102,4,FALSE),VLOOKUP(M$1,main!$A$3:$H$102,4,FALSE)+VLOOKUP($A10,main!$A$3:$H$102,4,FALSE)+(VLOOKUP(VLOOKUP(M$1,main!$A$3:$H$102,8,FALSE),main!$K$19:$O$22,MATCH(VLOOKUP($A10,main!$A$3:$H$102,7,FALSE),main!$K$18:$O$18,0),0))),0)</f>
        <v>0</v>
      </c>
      <c r="N10">
        <f>IF((gamma!N10),IF(VLOOKUP(N$1,main!$A$3:$H$102,7,FALSE)=VLOOKUP($A10,main!$A$3:$H$102,8,FALSE),VLOOKUP(N$1,main!$A$3:$H$102,4,FALSE),VLOOKUP(N$1,main!$A$3:$H$102,4,FALSE)+VLOOKUP($A10,main!$A$3:$H$102,4,FALSE)+(VLOOKUP(VLOOKUP(N$1,main!$A$3:$H$102,8,FALSE),main!$K$19:$O$22,MATCH(VLOOKUP($A10,main!$A$3:$H$102,7,FALSE),main!$K$18:$O$18,0),0))),0)</f>
        <v>0</v>
      </c>
      <c r="O10">
        <f>IF((gamma!O10),IF(VLOOKUP(O$1,main!$A$3:$H$102,7,FALSE)=VLOOKUP($A10,main!$A$3:$H$102,8,FALSE),VLOOKUP(O$1,main!$A$3:$H$102,4,FALSE),VLOOKUP(O$1,main!$A$3:$H$102,4,FALSE)+VLOOKUP($A10,main!$A$3:$H$102,4,FALSE)+(VLOOKUP(VLOOKUP(O$1,main!$A$3:$H$102,8,FALSE),main!$K$19:$O$22,MATCH(VLOOKUP($A10,main!$A$3:$H$102,7,FALSE),main!$K$18:$O$18,0),0))),0)</f>
        <v>0</v>
      </c>
      <c r="P10">
        <f>IF((gamma!P10),IF(VLOOKUP(P$1,main!$A$3:$H$102,7,FALSE)=VLOOKUP($A10,main!$A$3:$H$102,8,FALSE),VLOOKUP(P$1,main!$A$3:$H$102,4,FALSE),VLOOKUP(P$1,main!$A$3:$H$102,4,FALSE)+VLOOKUP($A10,main!$A$3:$H$102,4,FALSE)+(VLOOKUP(VLOOKUP(P$1,main!$A$3:$H$102,8,FALSE),main!$K$19:$O$22,MATCH(VLOOKUP($A10,main!$A$3:$H$102,7,FALSE),main!$K$18:$O$18,0),0))),0)</f>
        <v>0</v>
      </c>
      <c r="Q10">
        <f>IF((gamma!Q10),IF(VLOOKUP(Q$1,main!$A$3:$H$102,7,FALSE)=VLOOKUP($A10,main!$A$3:$H$102,8,FALSE),VLOOKUP(Q$1,main!$A$3:$H$102,4,FALSE),VLOOKUP(Q$1,main!$A$3:$H$102,4,FALSE)+VLOOKUP($A10,main!$A$3:$H$102,4,FALSE)+(VLOOKUP(VLOOKUP(Q$1,main!$A$3:$H$102,8,FALSE),main!$K$19:$O$22,MATCH(VLOOKUP($A10,main!$A$3:$H$102,7,FALSE),main!$K$18:$O$18,0),0))),0)</f>
        <v>0</v>
      </c>
      <c r="R10">
        <f>IF((gamma!R10),IF(VLOOKUP(R$1,main!$A$3:$H$102,7,FALSE)=VLOOKUP($A10,main!$A$3:$H$102,8,FALSE),VLOOKUP(R$1,main!$A$3:$H$102,4,FALSE),VLOOKUP(R$1,main!$A$3:$H$102,4,FALSE)+VLOOKUP($A10,main!$A$3:$H$102,4,FALSE)+(VLOOKUP(VLOOKUP(R$1,main!$A$3:$H$102,8,FALSE),main!$K$19:$O$22,MATCH(VLOOKUP($A10,main!$A$3:$H$102,7,FALSE),main!$K$18:$O$18,0),0))),0)</f>
        <v>0</v>
      </c>
      <c r="S10">
        <f>IF((gamma!S10),IF(VLOOKUP(S$1,main!$A$3:$H$102,7,FALSE)=VLOOKUP($A10,main!$A$3:$H$102,8,FALSE),VLOOKUP(S$1,main!$A$3:$H$102,4,FALSE),VLOOKUP(S$1,main!$A$3:$H$102,4,FALSE)+VLOOKUP($A10,main!$A$3:$H$102,4,FALSE)+(VLOOKUP(VLOOKUP(S$1,main!$A$3:$H$102,8,FALSE),main!$K$19:$O$22,MATCH(VLOOKUP($A10,main!$A$3:$H$102,7,FALSE),main!$K$18:$O$18,0),0))),0)</f>
        <v>0</v>
      </c>
      <c r="T10">
        <f>IF((gamma!T10),IF(VLOOKUP(T$1,main!$A$3:$H$102,7,FALSE)=VLOOKUP($A10,main!$A$3:$H$102,8,FALSE),VLOOKUP(T$1,main!$A$3:$H$102,4,FALSE),VLOOKUP(T$1,main!$A$3:$H$102,4,FALSE)+VLOOKUP($A10,main!$A$3:$H$102,4,FALSE)+(VLOOKUP(VLOOKUP(T$1,main!$A$3:$H$102,8,FALSE),main!$K$19:$O$22,MATCH(VLOOKUP($A10,main!$A$3:$H$102,7,FALSE),main!$K$18:$O$18,0),0))),0)</f>
        <v>0</v>
      </c>
      <c r="U10">
        <f>IF((gamma!U10),IF(VLOOKUP(U$1,main!$A$3:$H$102,7,FALSE)=VLOOKUP($A10,main!$A$3:$H$102,8,FALSE),VLOOKUP(U$1,main!$A$3:$H$102,4,FALSE),VLOOKUP(U$1,main!$A$3:$H$102,4,FALSE)+VLOOKUP($A10,main!$A$3:$H$102,4,FALSE)+(VLOOKUP(VLOOKUP(U$1,main!$A$3:$H$102,8,FALSE),main!$K$19:$O$22,MATCH(VLOOKUP($A10,main!$A$3:$H$102,7,FALSE),main!$K$18:$O$18,0),0))),0)</f>
        <v>0</v>
      </c>
      <c r="V10">
        <f>IF((gamma!V10),IF(VLOOKUP(V$1,main!$A$3:$H$102,7,FALSE)=VLOOKUP($A10,main!$A$3:$H$102,8,FALSE),VLOOKUP(V$1,main!$A$3:$H$102,4,FALSE),VLOOKUP(V$1,main!$A$3:$H$102,4,FALSE)+VLOOKUP($A10,main!$A$3:$H$102,4,FALSE)+(VLOOKUP(VLOOKUP(V$1,main!$A$3:$H$102,8,FALSE),main!$K$19:$O$22,MATCH(VLOOKUP($A10,main!$A$3:$H$102,7,FALSE),main!$K$18:$O$18,0),0))),0)</f>
        <v>305</v>
      </c>
      <c r="W10">
        <f>IF((gamma!W10),IF(VLOOKUP(W$1,main!$A$3:$H$102,7,FALSE)=VLOOKUP($A10,main!$A$3:$H$102,8,FALSE),VLOOKUP(W$1,main!$A$3:$H$102,4,FALSE),VLOOKUP(W$1,main!$A$3:$H$102,4,FALSE)+VLOOKUP($A10,main!$A$3:$H$102,4,FALSE)+(VLOOKUP(VLOOKUP(W$1,main!$A$3:$H$102,8,FALSE),main!$K$19:$O$22,MATCH(VLOOKUP($A10,main!$A$3:$H$102,7,FALSE),main!$K$18:$O$18,0),0))),0)</f>
        <v>0</v>
      </c>
      <c r="X10">
        <f>IF((gamma!X10),IF(VLOOKUP(X$1,main!$A$3:$H$102,7,FALSE)=VLOOKUP($A10,main!$A$3:$H$102,8,FALSE),VLOOKUP(X$1,main!$A$3:$H$102,4,FALSE),VLOOKUP(X$1,main!$A$3:$H$102,4,FALSE)+VLOOKUP($A10,main!$A$3:$H$102,4,FALSE)+(VLOOKUP(VLOOKUP(X$1,main!$A$3:$H$102,8,FALSE),main!$K$19:$O$22,MATCH(VLOOKUP($A10,main!$A$3:$H$102,7,FALSE),main!$K$18:$O$18,0),0))),0)</f>
        <v>0</v>
      </c>
      <c r="Y10">
        <f>IF((gamma!Y10),IF(VLOOKUP(Y$1,main!$A$3:$H$102,7,FALSE)=VLOOKUP($A10,main!$A$3:$H$102,8,FALSE),VLOOKUP(Y$1,main!$A$3:$H$102,4,FALSE),VLOOKUP(Y$1,main!$A$3:$H$102,4,FALSE)+VLOOKUP($A10,main!$A$3:$H$102,4,FALSE)+(VLOOKUP(VLOOKUP(Y$1,main!$A$3:$H$102,8,FALSE),main!$K$19:$O$22,MATCH(VLOOKUP($A10,main!$A$3:$H$102,7,FALSE),main!$K$18:$O$18,0),0))),0)</f>
        <v>0</v>
      </c>
      <c r="Z10">
        <f>IF((gamma!Z10),IF(VLOOKUP(Z$1,main!$A$3:$H$102,7,FALSE)=VLOOKUP($A10,main!$A$3:$H$102,8,FALSE),VLOOKUP(Z$1,main!$A$3:$H$102,4,FALSE),VLOOKUP(Z$1,main!$A$3:$H$102,4,FALSE)+VLOOKUP($A10,main!$A$3:$H$102,4,FALSE)+(VLOOKUP(VLOOKUP(Z$1,main!$A$3:$H$102,8,FALSE),main!$K$19:$O$22,MATCH(VLOOKUP($A10,main!$A$3:$H$102,7,FALSE),main!$K$18:$O$18,0),0))),0)</f>
        <v>0</v>
      </c>
      <c r="AA10">
        <f>IF((gamma!AA10),IF(VLOOKUP(AA$1,main!$A$3:$H$102,7,FALSE)=VLOOKUP($A10,main!$A$3:$H$102,8,FALSE),VLOOKUP(AA$1,main!$A$3:$H$102,4,FALSE),VLOOKUP(AA$1,main!$A$3:$H$102,4,FALSE)+VLOOKUP($A10,main!$A$3:$H$102,4,FALSE)+(VLOOKUP(VLOOKUP(AA$1,main!$A$3:$H$102,8,FALSE),main!$K$19:$O$22,MATCH(VLOOKUP($A10,main!$A$3:$H$102,7,FALSE),main!$K$18:$O$18,0),0))),0)</f>
        <v>0</v>
      </c>
      <c r="AB10">
        <f>IF((gamma!AB10),IF(VLOOKUP(AB$1,main!$A$3:$H$102,7,FALSE)=VLOOKUP($A10,main!$A$3:$H$102,8,FALSE),VLOOKUP(AB$1,main!$A$3:$H$102,4,FALSE),VLOOKUP(AB$1,main!$A$3:$H$102,4,FALSE)+VLOOKUP($A10,main!$A$3:$H$102,4,FALSE)+(VLOOKUP(VLOOKUP(AB$1,main!$A$3:$H$102,8,FALSE),main!$K$19:$O$22,MATCH(VLOOKUP($A10,main!$A$3:$H$102,7,FALSE),main!$K$18:$O$18,0),0))),0)</f>
        <v>0</v>
      </c>
      <c r="AC10">
        <f>IF((gamma!AC10),IF(VLOOKUP(AC$1,main!$A$3:$H$102,7,FALSE)=VLOOKUP($A10,main!$A$3:$H$102,8,FALSE),VLOOKUP(AC$1,main!$A$3:$H$102,4,FALSE),VLOOKUP(AC$1,main!$A$3:$H$102,4,FALSE)+VLOOKUP($A10,main!$A$3:$H$102,4,FALSE)+(VLOOKUP(VLOOKUP(AC$1,main!$A$3:$H$102,8,FALSE),main!$K$19:$O$22,MATCH(VLOOKUP($A10,main!$A$3:$H$102,7,FALSE),main!$K$18:$O$18,0),0))),0)</f>
        <v>0</v>
      </c>
      <c r="AD10">
        <f>IF((gamma!AD10),IF(VLOOKUP(AD$1,main!$A$3:$H$102,7,FALSE)=VLOOKUP($A10,main!$A$3:$H$102,8,FALSE),VLOOKUP(AD$1,main!$A$3:$H$102,4,FALSE),VLOOKUP(AD$1,main!$A$3:$H$102,4,FALSE)+VLOOKUP($A10,main!$A$3:$H$102,4,FALSE)+(VLOOKUP(VLOOKUP(AD$1,main!$A$3:$H$102,8,FALSE),main!$K$19:$O$22,MATCH(VLOOKUP($A10,main!$A$3:$H$102,7,FALSE),main!$K$18:$O$18,0),0))),0)</f>
        <v>0</v>
      </c>
      <c r="AE10">
        <f>IF((gamma!AE10),IF(VLOOKUP(AE$1,main!$A$3:$H$102,7,FALSE)=VLOOKUP($A10,main!$A$3:$H$102,8,FALSE),VLOOKUP(AE$1,main!$A$3:$H$102,4,FALSE),VLOOKUP(AE$1,main!$A$3:$H$102,4,FALSE)+VLOOKUP($A10,main!$A$3:$H$102,4,FALSE)+(VLOOKUP(VLOOKUP(AE$1,main!$A$3:$H$102,8,FALSE),main!$K$19:$O$22,MATCH(VLOOKUP($A10,main!$A$3:$H$102,7,FALSE),main!$K$18:$O$18,0),0))),0)</f>
        <v>0</v>
      </c>
      <c r="AF10">
        <f>IF((gamma!AF10),IF(VLOOKUP(AF$1,main!$A$3:$H$102,7,FALSE)=VLOOKUP($A10,main!$A$3:$H$102,8,FALSE),VLOOKUP(AF$1,main!$A$3:$H$102,4,FALSE),VLOOKUP(AF$1,main!$A$3:$H$102,4,FALSE)+VLOOKUP($A10,main!$A$3:$H$102,4,FALSE)+(VLOOKUP(VLOOKUP(AF$1,main!$A$3:$H$102,8,FALSE),main!$K$19:$O$22,MATCH(VLOOKUP($A10,main!$A$3:$H$102,7,FALSE),main!$K$18:$O$18,0),0))),0)</f>
        <v>0</v>
      </c>
      <c r="AG10">
        <f>IF((gamma!AG10),IF(VLOOKUP(AG$1,main!$A$3:$H$102,7,FALSE)=VLOOKUP($A10,main!$A$3:$H$102,8,FALSE),VLOOKUP(AG$1,main!$A$3:$H$102,4,FALSE),VLOOKUP(AG$1,main!$A$3:$H$102,4,FALSE)+VLOOKUP($A10,main!$A$3:$H$102,4,FALSE)+(VLOOKUP(VLOOKUP(AG$1,main!$A$3:$H$102,8,FALSE),main!$K$19:$O$22,MATCH(VLOOKUP($A10,main!$A$3:$H$102,7,FALSE),main!$K$18:$O$18,0),0))),0)</f>
        <v>0</v>
      </c>
      <c r="AH10">
        <f>IF((gamma!AH10),IF(VLOOKUP(AH$1,main!$A$3:$H$102,7,FALSE)=VLOOKUP($A10,main!$A$3:$H$102,8,FALSE),VLOOKUP(AH$1,main!$A$3:$H$102,4,FALSE),VLOOKUP(AH$1,main!$A$3:$H$102,4,FALSE)+VLOOKUP($A10,main!$A$3:$H$102,4,FALSE)+(VLOOKUP(VLOOKUP(AH$1,main!$A$3:$H$102,8,FALSE),main!$K$19:$O$22,MATCH(VLOOKUP($A10,main!$A$3:$H$102,7,FALSE),main!$K$18:$O$18,0),0))),0)</f>
        <v>0</v>
      </c>
      <c r="AI10">
        <f>IF((gamma!AI10),IF(VLOOKUP(AI$1,main!$A$3:$H$102,7,FALSE)=VLOOKUP($A10,main!$A$3:$H$102,8,FALSE),VLOOKUP(AI$1,main!$A$3:$H$102,4,FALSE),VLOOKUP(AI$1,main!$A$3:$H$102,4,FALSE)+VLOOKUP($A10,main!$A$3:$H$102,4,FALSE)+(VLOOKUP(VLOOKUP(AI$1,main!$A$3:$H$102,8,FALSE),main!$K$19:$O$22,MATCH(VLOOKUP($A10,main!$A$3:$H$102,7,FALSE),main!$K$18:$O$18,0),0))),0)</f>
        <v>0</v>
      </c>
      <c r="AJ10">
        <f>IF((gamma!AJ10),IF(VLOOKUP(AJ$1,main!$A$3:$H$102,7,FALSE)=VLOOKUP($A10,main!$A$3:$H$102,8,FALSE),VLOOKUP(AJ$1,main!$A$3:$H$102,4,FALSE),VLOOKUP(AJ$1,main!$A$3:$H$102,4,FALSE)+VLOOKUP($A10,main!$A$3:$H$102,4,FALSE)+(VLOOKUP(VLOOKUP(AJ$1,main!$A$3:$H$102,8,FALSE),main!$K$19:$O$22,MATCH(VLOOKUP($A10,main!$A$3:$H$102,7,FALSE),main!$K$18:$O$18,0),0))),0)</f>
        <v>0</v>
      </c>
      <c r="AK10">
        <f>IF((gamma!AK10),IF(VLOOKUP(AK$1,main!$A$3:$H$102,7,FALSE)=VLOOKUP($A10,main!$A$3:$H$102,8,FALSE),VLOOKUP(AK$1,main!$A$3:$H$102,4,FALSE),VLOOKUP(AK$1,main!$A$3:$H$102,4,FALSE)+VLOOKUP($A10,main!$A$3:$H$102,4,FALSE)+(VLOOKUP(VLOOKUP(AK$1,main!$A$3:$H$102,8,FALSE),main!$K$19:$O$22,MATCH(VLOOKUP($A10,main!$A$3:$H$102,7,FALSE),main!$K$18:$O$18,0),0))),0)</f>
        <v>0</v>
      </c>
      <c r="AL10">
        <f>IF((gamma!AL10),IF(VLOOKUP(AL$1,main!$A$3:$H$102,7,FALSE)=VLOOKUP($A10,main!$A$3:$H$102,8,FALSE),VLOOKUP(AL$1,main!$A$3:$H$102,4,FALSE),VLOOKUP(AL$1,main!$A$3:$H$102,4,FALSE)+VLOOKUP($A10,main!$A$3:$H$102,4,FALSE)+(VLOOKUP(VLOOKUP(AL$1,main!$A$3:$H$102,8,FALSE),main!$K$19:$O$22,MATCH(VLOOKUP($A10,main!$A$3:$H$102,7,FALSE),main!$K$18:$O$18,0),0))),0)</f>
        <v>0</v>
      </c>
      <c r="AM10">
        <f>IF((gamma!AM10),IF(VLOOKUP(AM$1,main!$A$3:$H$102,7,FALSE)=VLOOKUP($A10,main!$A$3:$H$102,8,FALSE),VLOOKUP(AM$1,main!$A$3:$H$102,4,FALSE),VLOOKUP(AM$1,main!$A$3:$H$102,4,FALSE)+VLOOKUP($A10,main!$A$3:$H$102,4,FALSE)+(VLOOKUP(VLOOKUP(AM$1,main!$A$3:$H$102,8,FALSE),main!$K$19:$O$22,MATCH(VLOOKUP($A10,main!$A$3:$H$102,7,FALSE),main!$K$18:$O$18,0),0))),0)</f>
        <v>0</v>
      </c>
      <c r="AN10">
        <f>IF((gamma!AN10),IF(VLOOKUP(AN$1,main!$A$3:$H$102,7,FALSE)=VLOOKUP($A10,main!$A$3:$H$102,8,FALSE),VLOOKUP(AN$1,main!$A$3:$H$102,4,FALSE),VLOOKUP(AN$1,main!$A$3:$H$102,4,FALSE)+VLOOKUP($A10,main!$A$3:$H$102,4,FALSE)+(VLOOKUP(VLOOKUP(AN$1,main!$A$3:$H$102,8,FALSE),main!$K$19:$O$22,MATCH(VLOOKUP($A10,main!$A$3:$H$102,7,FALSE),main!$K$18:$O$18,0),0))),0)</f>
        <v>0</v>
      </c>
      <c r="AO10">
        <f>IF((gamma!AO10),IF(VLOOKUP(AO$1,main!$A$3:$H$102,7,FALSE)=VLOOKUP($A10,main!$A$3:$H$102,8,FALSE),VLOOKUP(AO$1,main!$A$3:$H$102,4,FALSE),VLOOKUP(AO$1,main!$A$3:$H$102,4,FALSE)+VLOOKUP($A10,main!$A$3:$H$102,4,FALSE)+(VLOOKUP(VLOOKUP(AO$1,main!$A$3:$H$102,8,FALSE),main!$K$19:$O$22,MATCH(VLOOKUP($A10,main!$A$3:$H$102,7,FALSE),main!$K$18:$O$18,0),0))),0)</f>
        <v>0</v>
      </c>
      <c r="AP10">
        <f>IF((gamma!AP10),IF(VLOOKUP(AP$1,main!$A$3:$H$102,7,FALSE)=VLOOKUP($A10,main!$A$3:$H$102,8,FALSE),VLOOKUP(AP$1,main!$A$3:$H$102,4,FALSE),VLOOKUP(AP$1,main!$A$3:$H$102,4,FALSE)+VLOOKUP($A10,main!$A$3:$H$102,4,FALSE)+(VLOOKUP(VLOOKUP(AP$1,main!$A$3:$H$102,8,FALSE),main!$K$19:$O$22,MATCH(VLOOKUP($A10,main!$A$3:$H$102,7,FALSE),main!$K$18:$O$18,0),0))),0)</f>
        <v>75</v>
      </c>
      <c r="AQ10">
        <f>IF((gamma!AQ10),IF(VLOOKUP(AQ$1,main!$A$3:$H$102,7,FALSE)=VLOOKUP($A10,main!$A$3:$H$102,8,FALSE),VLOOKUP(AQ$1,main!$A$3:$H$102,4,FALSE),VLOOKUP(AQ$1,main!$A$3:$H$102,4,FALSE)+VLOOKUP($A10,main!$A$3:$H$102,4,FALSE)+(VLOOKUP(VLOOKUP(AQ$1,main!$A$3:$H$102,8,FALSE),main!$K$19:$O$22,MATCH(VLOOKUP($A10,main!$A$3:$H$102,7,FALSE),main!$K$18:$O$18,0),0))),0)</f>
        <v>0</v>
      </c>
      <c r="AR10">
        <f>IF((gamma!AR10),IF(VLOOKUP(AR$1,main!$A$3:$H$102,7,FALSE)=VLOOKUP($A10,main!$A$3:$H$102,8,FALSE),VLOOKUP(AR$1,main!$A$3:$H$102,4,FALSE),VLOOKUP(AR$1,main!$A$3:$H$102,4,FALSE)+VLOOKUP($A10,main!$A$3:$H$102,4,FALSE)+(VLOOKUP(VLOOKUP(AR$1,main!$A$3:$H$102,8,FALSE),main!$K$19:$O$22,MATCH(VLOOKUP($A10,main!$A$3:$H$102,7,FALSE),main!$K$18:$O$18,0),0))),0)</f>
        <v>0</v>
      </c>
      <c r="AS10">
        <f>IF((gamma!AS10),IF(VLOOKUP(AS$1,main!$A$3:$H$102,7,FALSE)=VLOOKUP($A10,main!$A$3:$H$102,8,FALSE),VLOOKUP(AS$1,main!$A$3:$H$102,4,FALSE),VLOOKUP(AS$1,main!$A$3:$H$102,4,FALSE)+VLOOKUP($A10,main!$A$3:$H$102,4,FALSE)+(VLOOKUP(VLOOKUP(AS$1,main!$A$3:$H$102,8,FALSE),main!$K$19:$O$22,MATCH(VLOOKUP($A10,main!$A$3:$H$102,7,FALSE),main!$K$18:$O$18,0),0))),0)</f>
        <v>0</v>
      </c>
      <c r="AT10">
        <f>IF((gamma!AT10),IF(VLOOKUP(AT$1,main!$A$3:$H$102,7,FALSE)=VLOOKUP($A10,main!$A$3:$H$102,8,FALSE),VLOOKUP(AT$1,main!$A$3:$H$102,4,FALSE),VLOOKUP(AT$1,main!$A$3:$H$102,4,FALSE)+VLOOKUP($A10,main!$A$3:$H$102,4,FALSE)+(VLOOKUP(VLOOKUP(AT$1,main!$A$3:$H$102,8,FALSE),main!$K$19:$O$22,MATCH(VLOOKUP($A10,main!$A$3:$H$102,7,FALSE),main!$K$18:$O$18,0),0))),0)</f>
        <v>0</v>
      </c>
      <c r="AU10">
        <f>IF((gamma!AU10),IF(VLOOKUP(AU$1,main!$A$3:$H$102,7,FALSE)=VLOOKUP($A10,main!$A$3:$H$102,8,FALSE),VLOOKUP(AU$1,main!$A$3:$H$102,4,FALSE),VLOOKUP(AU$1,main!$A$3:$H$102,4,FALSE)+VLOOKUP($A10,main!$A$3:$H$102,4,FALSE)+(VLOOKUP(VLOOKUP(AU$1,main!$A$3:$H$102,8,FALSE),main!$K$19:$O$22,MATCH(VLOOKUP($A10,main!$A$3:$H$102,7,FALSE),main!$K$18:$O$18,0),0))),0)</f>
        <v>0</v>
      </c>
      <c r="AV10">
        <f>IF((gamma!AV10),IF(VLOOKUP(AV$1,main!$A$3:$H$102,7,FALSE)=VLOOKUP($A10,main!$A$3:$H$102,8,FALSE),VLOOKUP(AV$1,main!$A$3:$H$102,4,FALSE),VLOOKUP(AV$1,main!$A$3:$H$102,4,FALSE)+VLOOKUP($A10,main!$A$3:$H$102,4,FALSE)+(VLOOKUP(VLOOKUP(AV$1,main!$A$3:$H$102,8,FALSE),main!$K$19:$O$22,MATCH(VLOOKUP($A10,main!$A$3:$H$102,7,FALSE),main!$K$18:$O$18,0),0))),0)</f>
        <v>0</v>
      </c>
      <c r="AW10">
        <f>IF((gamma!AW10),IF(VLOOKUP(AW$1,main!$A$3:$H$102,7,FALSE)=VLOOKUP($A10,main!$A$3:$H$102,8,FALSE),VLOOKUP(AW$1,main!$A$3:$H$102,4,FALSE),VLOOKUP(AW$1,main!$A$3:$H$102,4,FALSE)+VLOOKUP($A10,main!$A$3:$H$102,4,FALSE)+(VLOOKUP(VLOOKUP(AW$1,main!$A$3:$H$102,8,FALSE),main!$K$19:$O$22,MATCH(VLOOKUP($A10,main!$A$3:$H$102,7,FALSE),main!$K$18:$O$18,0),0))),0)</f>
        <v>0</v>
      </c>
      <c r="AX10">
        <f>IF((gamma!AX10),IF(VLOOKUP(AX$1,main!$A$3:$H$102,7,FALSE)=VLOOKUP($A10,main!$A$3:$H$102,8,FALSE),VLOOKUP(AX$1,main!$A$3:$H$102,4,FALSE),VLOOKUP(AX$1,main!$A$3:$H$102,4,FALSE)+VLOOKUP($A10,main!$A$3:$H$102,4,FALSE)+(VLOOKUP(VLOOKUP(AX$1,main!$A$3:$H$102,8,FALSE),main!$K$19:$O$22,MATCH(VLOOKUP($A10,main!$A$3:$H$102,7,FALSE),main!$K$18:$O$18,0),0))),0)</f>
        <v>0</v>
      </c>
      <c r="AY10">
        <f>IF((gamma!AY10),IF(VLOOKUP(AY$1,main!$A$3:$H$102,7,FALSE)=VLOOKUP($A10,main!$A$3:$H$102,8,FALSE),VLOOKUP(AY$1,main!$A$3:$H$102,4,FALSE),VLOOKUP(AY$1,main!$A$3:$H$102,4,FALSE)+VLOOKUP($A10,main!$A$3:$H$102,4,FALSE)+(VLOOKUP(VLOOKUP(AY$1,main!$A$3:$H$102,8,FALSE),main!$K$19:$O$22,MATCH(VLOOKUP($A10,main!$A$3:$H$102,7,FALSE),main!$K$18:$O$18,0),0))),0)</f>
        <v>0</v>
      </c>
      <c r="AZ10">
        <f>IF((gamma!AZ10),IF(VLOOKUP(AZ$1,main!$A$3:$H$102,7,FALSE)=VLOOKUP($A10,main!$A$3:$H$102,8,FALSE),VLOOKUP(AZ$1,main!$A$3:$H$102,4,FALSE),VLOOKUP(AZ$1,main!$A$3:$H$102,4,FALSE)+VLOOKUP($A10,main!$A$3:$H$102,4,FALSE)+(VLOOKUP(VLOOKUP(AZ$1,main!$A$3:$H$102,8,FALSE),main!$K$19:$O$22,MATCH(VLOOKUP($A10,main!$A$3:$H$102,7,FALSE),main!$K$18:$O$18,0),0))),0)</f>
        <v>0</v>
      </c>
      <c r="BA10">
        <f>IF((gamma!BA10),IF(VLOOKUP(BA$1,main!$A$3:$H$102,7,FALSE)=VLOOKUP($A10,main!$A$3:$H$102,8,FALSE),VLOOKUP(BA$1,main!$A$3:$H$102,4,FALSE),VLOOKUP(BA$1,main!$A$3:$H$102,4,FALSE)+VLOOKUP($A10,main!$A$3:$H$102,4,FALSE)+(VLOOKUP(VLOOKUP(BA$1,main!$A$3:$H$102,8,FALSE),main!$K$19:$O$22,MATCH(VLOOKUP($A10,main!$A$3:$H$102,7,FALSE),main!$K$18:$O$18,0),0))),0)</f>
        <v>0</v>
      </c>
      <c r="BB10">
        <f>IF((gamma!BB10),IF(VLOOKUP(BB$1,main!$A$3:$H$102,7,FALSE)=VLOOKUP($A10,main!$A$3:$H$102,8,FALSE),VLOOKUP(BB$1,main!$A$3:$H$102,4,FALSE),VLOOKUP(BB$1,main!$A$3:$H$102,4,FALSE)+VLOOKUP($A10,main!$A$3:$H$102,4,FALSE)+(VLOOKUP(VLOOKUP(BB$1,main!$A$3:$H$102,8,FALSE),main!$K$19:$O$22,MATCH(VLOOKUP($A10,main!$A$3:$H$102,7,FALSE),main!$K$18:$O$18,0),0))),0)</f>
        <v>0</v>
      </c>
      <c r="BC10">
        <f>IF((gamma!BC10),IF(VLOOKUP(BC$1,main!$A$3:$H$102,7,FALSE)=VLOOKUP($A10,main!$A$3:$H$102,8,FALSE),VLOOKUP(BC$1,main!$A$3:$H$102,4,FALSE),VLOOKUP(BC$1,main!$A$3:$H$102,4,FALSE)+VLOOKUP($A10,main!$A$3:$H$102,4,FALSE)+(VLOOKUP(VLOOKUP(BC$1,main!$A$3:$H$102,8,FALSE),main!$K$19:$O$22,MATCH(VLOOKUP($A10,main!$A$3:$H$102,7,FALSE),main!$K$18:$O$18,0),0))),0)</f>
        <v>0</v>
      </c>
      <c r="BD10">
        <f>IF((gamma!BD10),IF(VLOOKUP(BD$1,main!$A$3:$H$102,7,FALSE)=VLOOKUP($A10,main!$A$3:$H$102,8,FALSE),VLOOKUP(BD$1,main!$A$3:$H$102,4,FALSE),VLOOKUP(BD$1,main!$A$3:$H$102,4,FALSE)+VLOOKUP($A10,main!$A$3:$H$102,4,FALSE)+(VLOOKUP(VLOOKUP(BD$1,main!$A$3:$H$102,8,FALSE),main!$K$19:$O$22,MATCH(VLOOKUP($A10,main!$A$3:$H$102,7,FALSE),main!$K$18:$O$18,0),0))),0)</f>
        <v>0</v>
      </c>
      <c r="BE10">
        <f>IF((gamma!BE10),IF(VLOOKUP(BE$1,main!$A$3:$H$102,7,FALSE)=VLOOKUP($A10,main!$A$3:$H$102,8,FALSE),VLOOKUP(BE$1,main!$A$3:$H$102,4,FALSE),VLOOKUP(BE$1,main!$A$3:$H$102,4,FALSE)+VLOOKUP($A10,main!$A$3:$H$102,4,FALSE)+(VLOOKUP(VLOOKUP(BE$1,main!$A$3:$H$102,8,FALSE),main!$K$19:$O$22,MATCH(VLOOKUP($A10,main!$A$3:$H$102,7,FALSE),main!$K$18:$O$18,0),0))),0)</f>
        <v>0</v>
      </c>
      <c r="BF10">
        <f>IF((gamma!BF10),IF(VLOOKUP(BF$1,main!$A$3:$H$102,7,FALSE)=VLOOKUP($A10,main!$A$3:$H$102,8,FALSE),VLOOKUP(BF$1,main!$A$3:$H$102,4,FALSE),VLOOKUP(BF$1,main!$A$3:$H$102,4,FALSE)+VLOOKUP($A10,main!$A$3:$H$102,4,FALSE)+(VLOOKUP(VLOOKUP(BF$1,main!$A$3:$H$102,8,FALSE),main!$K$19:$O$22,MATCH(VLOOKUP($A10,main!$A$3:$H$102,7,FALSE),main!$K$18:$O$18,0),0))),0)</f>
        <v>0</v>
      </c>
      <c r="BG10">
        <f>IF((gamma!BG10),IF(VLOOKUP(BG$1,main!$A$3:$H$102,7,FALSE)=VLOOKUP($A10,main!$A$3:$H$102,8,FALSE),VLOOKUP(BG$1,main!$A$3:$H$102,4,FALSE),VLOOKUP(BG$1,main!$A$3:$H$102,4,FALSE)+VLOOKUP($A10,main!$A$3:$H$102,4,FALSE)+(VLOOKUP(VLOOKUP(BG$1,main!$A$3:$H$102,8,FALSE),main!$K$19:$O$22,MATCH(VLOOKUP($A10,main!$A$3:$H$102,7,FALSE),main!$K$18:$O$18,0),0))),0)</f>
        <v>0</v>
      </c>
      <c r="BH10">
        <f>IF((gamma!BH10),IF(VLOOKUP(BH$1,main!$A$3:$H$102,7,FALSE)=VLOOKUP($A10,main!$A$3:$H$102,8,FALSE),VLOOKUP(BH$1,main!$A$3:$H$102,4,FALSE),VLOOKUP(BH$1,main!$A$3:$H$102,4,FALSE)+VLOOKUP($A10,main!$A$3:$H$102,4,FALSE)+(VLOOKUP(VLOOKUP(BH$1,main!$A$3:$H$102,8,FALSE),main!$K$19:$O$22,MATCH(VLOOKUP($A10,main!$A$3:$H$102,7,FALSE),main!$K$18:$O$18,0),0))),0)</f>
        <v>0</v>
      </c>
      <c r="BI10">
        <f>IF((gamma!BI10),IF(VLOOKUP(BI$1,main!$A$3:$H$102,7,FALSE)=VLOOKUP($A10,main!$A$3:$H$102,8,FALSE),VLOOKUP(BI$1,main!$A$3:$H$102,4,FALSE),VLOOKUP(BI$1,main!$A$3:$H$102,4,FALSE)+VLOOKUP($A10,main!$A$3:$H$102,4,FALSE)+(VLOOKUP(VLOOKUP(BI$1,main!$A$3:$H$102,8,FALSE),main!$K$19:$O$22,MATCH(VLOOKUP($A10,main!$A$3:$H$102,7,FALSE),main!$K$18:$O$18,0),0))),0)</f>
        <v>0</v>
      </c>
      <c r="BJ10">
        <f>IF((gamma!BJ10),IF(VLOOKUP(BJ$1,main!$A$3:$H$102,7,FALSE)=VLOOKUP($A10,main!$A$3:$H$102,8,FALSE),VLOOKUP(BJ$1,main!$A$3:$H$102,4,FALSE),VLOOKUP(BJ$1,main!$A$3:$H$102,4,FALSE)+VLOOKUP($A10,main!$A$3:$H$102,4,FALSE)+(VLOOKUP(VLOOKUP(BJ$1,main!$A$3:$H$102,8,FALSE),main!$K$19:$O$22,MATCH(VLOOKUP($A10,main!$A$3:$H$102,7,FALSE),main!$K$18:$O$18,0),0))),0)</f>
        <v>0</v>
      </c>
      <c r="BK10">
        <f>IF((gamma!BK10),IF(VLOOKUP(BK$1,main!$A$3:$H$102,7,FALSE)=VLOOKUP($A10,main!$A$3:$H$102,8,FALSE),VLOOKUP(BK$1,main!$A$3:$H$102,4,FALSE),VLOOKUP(BK$1,main!$A$3:$H$102,4,FALSE)+VLOOKUP($A10,main!$A$3:$H$102,4,FALSE)+(VLOOKUP(VLOOKUP(BK$1,main!$A$3:$H$102,8,FALSE),main!$K$19:$O$22,MATCH(VLOOKUP($A10,main!$A$3:$H$102,7,FALSE),main!$K$18:$O$18,0),0))),0)</f>
        <v>0</v>
      </c>
      <c r="BL10">
        <f>IF((gamma!BL10),IF(VLOOKUP(BL$1,main!$A$3:$H$102,7,FALSE)=VLOOKUP($A10,main!$A$3:$H$102,8,FALSE),VLOOKUP(BL$1,main!$A$3:$H$102,4,FALSE),VLOOKUP(BL$1,main!$A$3:$H$102,4,FALSE)+VLOOKUP($A10,main!$A$3:$H$102,4,FALSE)+(VLOOKUP(VLOOKUP(BL$1,main!$A$3:$H$102,8,FALSE),main!$K$19:$O$22,MATCH(VLOOKUP($A10,main!$A$3:$H$102,7,FALSE),main!$K$18:$O$18,0),0))),0)</f>
        <v>0</v>
      </c>
      <c r="BM10">
        <f>IF((gamma!BM10),IF(VLOOKUP(BM$1,main!$A$3:$H$102,7,FALSE)=VLOOKUP($A10,main!$A$3:$H$102,8,FALSE),VLOOKUP(BM$1,main!$A$3:$H$102,4,FALSE),VLOOKUP(BM$1,main!$A$3:$H$102,4,FALSE)+VLOOKUP($A10,main!$A$3:$H$102,4,FALSE)+(VLOOKUP(VLOOKUP(BM$1,main!$A$3:$H$102,8,FALSE),main!$K$19:$O$22,MATCH(VLOOKUP($A10,main!$A$3:$H$102,7,FALSE),main!$K$18:$O$18,0),0))),0)</f>
        <v>0</v>
      </c>
      <c r="BN10">
        <f>IF((gamma!BN10),IF(VLOOKUP(BN$1,main!$A$3:$H$102,7,FALSE)=VLOOKUP($A10,main!$A$3:$H$102,8,FALSE),VLOOKUP(BN$1,main!$A$3:$H$102,4,FALSE),VLOOKUP(BN$1,main!$A$3:$H$102,4,FALSE)+VLOOKUP($A10,main!$A$3:$H$102,4,FALSE)+(VLOOKUP(VLOOKUP(BN$1,main!$A$3:$H$102,8,FALSE),main!$K$19:$O$22,MATCH(VLOOKUP($A10,main!$A$3:$H$102,7,FALSE),main!$K$18:$O$18,0),0))),0)</f>
        <v>0</v>
      </c>
      <c r="BO10">
        <f>IF((gamma!BO10),IF(VLOOKUP(BO$1,main!$A$3:$H$102,7,FALSE)=VLOOKUP($A10,main!$A$3:$H$102,8,FALSE),VLOOKUP(BO$1,main!$A$3:$H$102,4,FALSE),VLOOKUP(BO$1,main!$A$3:$H$102,4,FALSE)+VLOOKUP($A10,main!$A$3:$H$102,4,FALSE)+(VLOOKUP(VLOOKUP(BO$1,main!$A$3:$H$102,8,FALSE),main!$K$19:$O$22,MATCH(VLOOKUP($A10,main!$A$3:$H$102,7,FALSE),main!$K$18:$O$18,0),0))),0)</f>
        <v>0</v>
      </c>
      <c r="BP10">
        <f>IF((gamma!BP10),IF(VLOOKUP(BP$1,main!$A$3:$H$102,7,FALSE)=VLOOKUP($A10,main!$A$3:$H$102,8,FALSE),VLOOKUP(BP$1,main!$A$3:$H$102,4,FALSE),VLOOKUP(BP$1,main!$A$3:$H$102,4,FALSE)+VLOOKUP($A10,main!$A$3:$H$102,4,FALSE)+(VLOOKUP(VLOOKUP(BP$1,main!$A$3:$H$102,8,FALSE),main!$K$19:$O$22,MATCH(VLOOKUP($A10,main!$A$3:$H$102,7,FALSE),main!$K$18:$O$18,0),0))),0)</f>
        <v>0</v>
      </c>
      <c r="BQ10">
        <f>IF((gamma!BQ10),IF(VLOOKUP(BQ$1,main!$A$3:$H$102,7,FALSE)=VLOOKUP($A10,main!$A$3:$H$102,8,FALSE),VLOOKUP(BQ$1,main!$A$3:$H$102,4,FALSE),VLOOKUP(BQ$1,main!$A$3:$H$102,4,FALSE)+VLOOKUP($A10,main!$A$3:$H$102,4,FALSE)+(VLOOKUP(VLOOKUP(BQ$1,main!$A$3:$H$102,8,FALSE),main!$K$19:$O$22,MATCH(VLOOKUP($A10,main!$A$3:$H$102,7,FALSE),main!$K$18:$O$18,0),0))),0)</f>
        <v>0</v>
      </c>
      <c r="BR10">
        <f>IF((gamma!BR10),IF(VLOOKUP(BR$1,main!$A$3:$H$102,7,FALSE)=VLOOKUP($A10,main!$A$3:$H$102,8,FALSE),VLOOKUP(BR$1,main!$A$3:$H$102,4,FALSE),VLOOKUP(BR$1,main!$A$3:$H$102,4,FALSE)+VLOOKUP($A10,main!$A$3:$H$102,4,FALSE)+(VLOOKUP(VLOOKUP(BR$1,main!$A$3:$H$102,8,FALSE),main!$K$19:$O$22,MATCH(VLOOKUP($A10,main!$A$3:$H$102,7,FALSE),main!$K$18:$O$18,0),0))),0)</f>
        <v>0</v>
      </c>
      <c r="BS10">
        <f>IF((gamma!BS10),IF(VLOOKUP(BS$1,main!$A$3:$H$102,7,FALSE)=VLOOKUP($A10,main!$A$3:$H$102,8,FALSE),VLOOKUP(BS$1,main!$A$3:$H$102,4,FALSE),VLOOKUP(BS$1,main!$A$3:$H$102,4,FALSE)+VLOOKUP($A10,main!$A$3:$H$102,4,FALSE)+(VLOOKUP(VLOOKUP(BS$1,main!$A$3:$H$102,8,FALSE),main!$K$19:$O$22,MATCH(VLOOKUP($A10,main!$A$3:$H$102,7,FALSE),main!$K$18:$O$18,0),0))),0)</f>
        <v>0</v>
      </c>
      <c r="BT10">
        <f>IF((gamma!BT10),IF(VLOOKUP(BT$1,main!$A$3:$H$102,7,FALSE)=VLOOKUP($A10,main!$A$3:$H$102,8,FALSE),VLOOKUP(BT$1,main!$A$3:$H$102,4,FALSE),VLOOKUP(BT$1,main!$A$3:$H$102,4,FALSE)+VLOOKUP($A10,main!$A$3:$H$102,4,FALSE)+(VLOOKUP(VLOOKUP(BT$1,main!$A$3:$H$102,8,FALSE),main!$K$19:$O$22,MATCH(VLOOKUP($A10,main!$A$3:$H$102,7,FALSE),main!$K$18:$O$18,0),0))),0)</f>
        <v>0</v>
      </c>
      <c r="BU10">
        <f>IF((gamma!BU10),IF(VLOOKUP(BU$1,main!$A$3:$H$102,7,FALSE)=VLOOKUP($A10,main!$A$3:$H$102,8,FALSE),VLOOKUP(BU$1,main!$A$3:$H$102,4,FALSE),VLOOKUP(BU$1,main!$A$3:$H$102,4,FALSE)+VLOOKUP($A10,main!$A$3:$H$102,4,FALSE)+(VLOOKUP(VLOOKUP(BU$1,main!$A$3:$H$102,8,FALSE),main!$K$19:$O$22,MATCH(VLOOKUP($A10,main!$A$3:$H$102,7,FALSE),main!$K$18:$O$18,0),0))),0)</f>
        <v>0</v>
      </c>
      <c r="BV10">
        <f>IF((gamma!BV10),IF(VLOOKUP(BV$1,main!$A$3:$H$102,7,FALSE)=VLOOKUP($A10,main!$A$3:$H$102,8,FALSE),VLOOKUP(BV$1,main!$A$3:$H$102,4,FALSE),VLOOKUP(BV$1,main!$A$3:$H$102,4,FALSE)+VLOOKUP($A10,main!$A$3:$H$102,4,FALSE)+(VLOOKUP(VLOOKUP(BV$1,main!$A$3:$H$102,8,FALSE),main!$K$19:$O$22,MATCH(VLOOKUP($A10,main!$A$3:$H$102,7,FALSE),main!$K$18:$O$18,0),0))),0)</f>
        <v>0</v>
      </c>
      <c r="BW10">
        <f>IF((gamma!BW10),IF(VLOOKUP(BW$1,main!$A$3:$H$102,7,FALSE)=VLOOKUP($A10,main!$A$3:$H$102,8,FALSE),VLOOKUP(BW$1,main!$A$3:$H$102,4,FALSE),VLOOKUP(BW$1,main!$A$3:$H$102,4,FALSE)+VLOOKUP($A10,main!$A$3:$H$102,4,FALSE)+(VLOOKUP(VLOOKUP(BW$1,main!$A$3:$H$102,8,FALSE),main!$K$19:$O$22,MATCH(VLOOKUP($A10,main!$A$3:$H$102,7,FALSE),main!$K$18:$O$18,0),0))),0)</f>
        <v>0</v>
      </c>
      <c r="BX10">
        <f>IF((gamma!BX10),IF(VLOOKUP(BX$1,main!$A$3:$H$102,7,FALSE)=VLOOKUP($A10,main!$A$3:$H$102,8,FALSE),VLOOKUP(BX$1,main!$A$3:$H$102,4,FALSE),VLOOKUP(BX$1,main!$A$3:$H$102,4,FALSE)+VLOOKUP($A10,main!$A$3:$H$102,4,FALSE)+(VLOOKUP(VLOOKUP(BX$1,main!$A$3:$H$102,8,FALSE),main!$K$19:$O$22,MATCH(VLOOKUP($A10,main!$A$3:$H$102,7,FALSE),main!$K$18:$O$18,0),0))),0)</f>
        <v>0</v>
      </c>
      <c r="BY10">
        <f>IF((gamma!BY10),IF(VLOOKUP(BY$1,main!$A$3:$H$102,7,FALSE)=VLOOKUP($A10,main!$A$3:$H$102,8,FALSE),VLOOKUP(BY$1,main!$A$3:$H$102,4,FALSE),VLOOKUP(BY$1,main!$A$3:$H$102,4,FALSE)+VLOOKUP($A10,main!$A$3:$H$102,4,FALSE)+(VLOOKUP(VLOOKUP(BY$1,main!$A$3:$H$102,8,FALSE),main!$K$19:$O$22,MATCH(VLOOKUP($A10,main!$A$3:$H$102,7,FALSE),main!$K$18:$O$18,0),0))),0)</f>
        <v>0</v>
      </c>
      <c r="BZ10">
        <f>IF((gamma!BZ10),IF(VLOOKUP(BZ$1,main!$A$3:$H$102,7,FALSE)=VLOOKUP($A10,main!$A$3:$H$102,8,FALSE),VLOOKUP(BZ$1,main!$A$3:$H$102,4,FALSE),VLOOKUP(BZ$1,main!$A$3:$H$102,4,FALSE)+VLOOKUP($A10,main!$A$3:$H$102,4,FALSE)+(VLOOKUP(VLOOKUP(BZ$1,main!$A$3:$H$102,8,FALSE),main!$K$19:$O$22,MATCH(VLOOKUP($A10,main!$A$3:$H$102,7,FALSE),main!$K$18:$O$18,0),0))),0)</f>
        <v>0</v>
      </c>
      <c r="CA10">
        <f>IF((gamma!CA10),IF(VLOOKUP(CA$1,main!$A$3:$H$102,7,FALSE)=VLOOKUP($A10,main!$A$3:$H$102,8,FALSE),VLOOKUP(CA$1,main!$A$3:$H$102,4,FALSE),VLOOKUP(CA$1,main!$A$3:$H$102,4,FALSE)+VLOOKUP($A10,main!$A$3:$H$102,4,FALSE)+(VLOOKUP(VLOOKUP(CA$1,main!$A$3:$H$102,8,FALSE),main!$K$19:$O$22,MATCH(VLOOKUP($A10,main!$A$3:$H$102,7,FALSE),main!$K$18:$O$18,0),0))),0)</f>
        <v>0</v>
      </c>
      <c r="CB10">
        <f>IF((gamma!CB10),IF(VLOOKUP(CB$1,main!$A$3:$H$102,7,FALSE)=VLOOKUP($A10,main!$A$3:$H$102,8,FALSE),VLOOKUP(CB$1,main!$A$3:$H$102,4,FALSE),VLOOKUP(CB$1,main!$A$3:$H$102,4,FALSE)+VLOOKUP($A10,main!$A$3:$H$102,4,FALSE)+(VLOOKUP(VLOOKUP(CB$1,main!$A$3:$H$102,8,FALSE),main!$K$19:$O$22,MATCH(VLOOKUP($A10,main!$A$3:$H$102,7,FALSE),main!$K$18:$O$18,0),0))),0)</f>
        <v>0</v>
      </c>
      <c r="CC10">
        <f>IF((gamma!CC10),IF(VLOOKUP(CC$1,main!$A$3:$H$102,7,FALSE)=VLOOKUP($A10,main!$A$3:$H$102,8,FALSE),VLOOKUP(CC$1,main!$A$3:$H$102,4,FALSE),VLOOKUP(CC$1,main!$A$3:$H$102,4,FALSE)+VLOOKUP($A10,main!$A$3:$H$102,4,FALSE)+(VLOOKUP(VLOOKUP(CC$1,main!$A$3:$H$102,8,FALSE),main!$K$19:$O$22,MATCH(VLOOKUP($A10,main!$A$3:$H$102,7,FALSE),main!$K$18:$O$18,0),0))),0)</f>
        <v>0</v>
      </c>
      <c r="CD10">
        <f>IF((gamma!CD10),IF(VLOOKUP(CD$1,main!$A$3:$H$102,7,FALSE)=VLOOKUP($A10,main!$A$3:$H$102,8,FALSE),VLOOKUP(CD$1,main!$A$3:$H$102,4,FALSE),VLOOKUP(CD$1,main!$A$3:$H$102,4,FALSE)+VLOOKUP($A10,main!$A$3:$H$102,4,FALSE)+(VLOOKUP(VLOOKUP(CD$1,main!$A$3:$H$102,8,FALSE),main!$K$19:$O$22,MATCH(VLOOKUP($A10,main!$A$3:$H$102,7,FALSE),main!$K$18:$O$18,0),0))),0)</f>
        <v>0</v>
      </c>
      <c r="CE10">
        <f>IF((gamma!CE10),IF(VLOOKUP(CE$1,main!$A$3:$H$102,7,FALSE)=VLOOKUP($A10,main!$A$3:$H$102,8,FALSE),VLOOKUP(CE$1,main!$A$3:$H$102,4,FALSE),VLOOKUP(CE$1,main!$A$3:$H$102,4,FALSE)+VLOOKUP($A10,main!$A$3:$H$102,4,FALSE)+(VLOOKUP(VLOOKUP(CE$1,main!$A$3:$H$102,8,FALSE),main!$K$19:$O$22,MATCH(VLOOKUP($A10,main!$A$3:$H$102,7,FALSE),main!$K$18:$O$18,0),0))),0)</f>
        <v>0</v>
      </c>
      <c r="CF10">
        <f>IF((gamma!CF10),IF(VLOOKUP(CF$1,main!$A$3:$H$102,7,FALSE)=VLOOKUP($A10,main!$A$3:$H$102,8,FALSE),VLOOKUP(CF$1,main!$A$3:$H$102,4,FALSE),VLOOKUP(CF$1,main!$A$3:$H$102,4,FALSE)+VLOOKUP($A10,main!$A$3:$H$102,4,FALSE)+(VLOOKUP(VLOOKUP(CF$1,main!$A$3:$H$102,8,FALSE),main!$K$19:$O$22,MATCH(VLOOKUP($A10,main!$A$3:$H$102,7,FALSE),main!$K$18:$O$18,0),0))),0)</f>
        <v>0</v>
      </c>
      <c r="CG10">
        <f>IF((gamma!CG10),IF(VLOOKUP(CG$1,main!$A$3:$H$102,7,FALSE)=VLOOKUP($A10,main!$A$3:$H$102,8,FALSE),VLOOKUP(CG$1,main!$A$3:$H$102,4,FALSE),VLOOKUP(CG$1,main!$A$3:$H$102,4,FALSE)+VLOOKUP($A10,main!$A$3:$H$102,4,FALSE)+(VLOOKUP(VLOOKUP(CG$1,main!$A$3:$H$102,8,FALSE),main!$K$19:$O$22,MATCH(VLOOKUP($A10,main!$A$3:$H$102,7,FALSE),main!$K$18:$O$18,0),0))),0)</f>
        <v>0</v>
      </c>
      <c r="CH10">
        <f>IF((gamma!CH10),IF(VLOOKUP(CH$1,main!$A$3:$H$102,7,FALSE)=VLOOKUP($A10,main!$A$3:$H$102,8,FALSE),VLOOKUP(CH$1,main!$A$3:$H$102,4,FALSE),VLOOKUP(CH$1,main!$A$3:$H$102,4,FALSE)+VLOOKUP($A10,main!$A$3:$H$102,4,FALSE)+(VLOOKUP(VLOOKUP(CH$1,main!$A$3:$H$102,8,FALSE),main!$K$19:$O$22,MATCH(VLOOKUP($A10,main!$A$3:$H$102,7,FALSE),main!$K$18:$O$18,0),0))),0)</f>
        <v>0</v>
      </c>
      <c r="CI10">
        <f>IF((gamma!CI10),IF(VLOOKUP(CI$1,main!$A$3:$H$102,7,FALSE)=VLOOKUP($A10,main!$A$3:$H$102,8,FALSE),VLOOKUP(CI$1,main!$A$3:$H$102,4,FALSE),VLOOKUP(CI$1,main!$A$3:$H$102,4,FALSE)+VLOOKUP($A10,main!$A$3:$H$102,4,FALSE)+(VLOOKUP(VLOOKUP(CI$1,main!$A$3:$H$102,8,FALSE),main!$K$19:$O$22,MATCH(VLOOKUP($A10,main!$A$3:$H$102,7,FALSE),main!$K$18:$O$18,0),0))),0)</f>
        <v>0</v>
      </c>
      <c r="CJ10">
        <f>IF((gamma!CJ10),IF(VLOOKUP(CJ$1,main!$A$3:$H$102,7,FALSE)=VLOOKUP($A10,main!$A$3:$H$102,8,FALSE),VLOOKUP(CJ$1,main!$A$3:$H$102,4,FALSE),VLOOKUP(CJ$1,main!$A$3:$H$102,4,FALSE)+VLOOKUP($A10,main!$A$3:$H$102,4,FALSE)+(VLOOKUP(VLOOKUP(CJ$1,main!$A$3:$H$102,8,FALSE),main!$K$19:$O$22,MATCH(VLOOKUP($A10,main!$A$3:$H$102,7,FALSE),main!$K$18:$O$18,0),0))),0)</f>
        <v>0</v>
      </c>
      <c r="CK10">
        <f>IF((gamma!CK10),IF(VLOOKUP(CK$1,main!$A$3:$H$102,7,FALSE)=VLOOKUP($A10,main!$A$3:$H$102,8,FALSE),VLOOKUP(CK$1,main!$A$3:$H$102,4,FALSE),VLOOKUP(CK$1,main!$A$3:$H$102,4,FALSE)+VLOOKUP($A10,main!$A$3:$H$102,4,FALSE)+(VLOOKUP(VLOOKUP(CK$1,main!$A$3:$H$102,8,FALSE),main!$K$19:$O$22,MATCH(VLOOKUP($A10,main!$A$3:$H$102,7,FALSE),main!$K$18:$O$18,0),0))),0)</f>
        <v>0</v>
      </c>
      <c r="CL10">
        <f>IF((gamma!CL10),IF(VLOOKUP(CL$1,main!$A$3:$H$102,7,FALSE)=VLOOKUP($A10,main!$A$3:$H$102,8,FALSE),VLOOKUP(CL$1,main!$A$3:$H$102,4,FALSE),VLOOKUP(CL$1,main!$A$3:$H$102,4,FALSE)+VLOOKUP($A10,main!$A$3:$H$102,4,FALSE)+(VLOOKUP(VLOOKUP(CL$1,main!$A$3:$H$102,8,FALSE),main!$K$19:$O$22,MATCH(VLOOKUP($A10,main!$A$3:$H$102,7,FALSE),main!$K$18:$O$18,0),0))),0)</f>
        <v>0</v>
      </c>
      <c r="CM10">
        <f>IF((gamma!CM10),IF(VLOOKUP(CM$1,main!$A$3:$H$102,7,FALSE)=VLOOKUP($A10,main!$A$3:$H$102,8,FALSE),VLOOKUP(CM$1,main!$A$3:$H$102,4,FALSE),VLOOKUP(CM$1,main!$A$3:$H$102,4,FALSE)+VLOOKUP($A10,main!$A$3:$H$102,4,FALSE)+(VLOOKUP(VLOOKUP(CM$1,main!$A$3:$H$102,8,FALSE),main!$K$19:$O$22,MATCH(VLOOKUP($A10,main!$A$3:$H$102,7,FALSE),main!$K$18:$O$18,0),0))),0)</f>
        <v>0</v>
      </c>
      <c r="CN10">
        <f>IF((gamma!CN10),IF(VLOOKUP(CN$1,main!$A$3:$H$102,7,FALSE)=VLOOKUP($A10,main!$A$3:$H$102,8,FALSE),VLOOKUP(CN$1,main!$A$3:$H$102,4,FALSE),VLOOKUP(CN$1,main!$A$3:$H$102,4,FALSE)+VLOOKUP($A10,main!$A$3:$H$102,4,FALSE)+(VLOOKUP(VLOOKUP(CN$1,main!$A$3:$H$102,8,FALSE),main!$K$19:$O$22,MATCH(VLOOKUP($A10,main!$A$3:$H$102,7,FALSE),main!$K$18:$O$18,0),0))),0)</f>
        <v>0</v>
      </c>
      <c r="CO10">
        <f>IF((gamma!CO10),IF(VLOOKUP(CO$1,main!$A$3:$H$102,7,FALSE)=VLOOKUP($A10,main!$A$3:$H$102,8,FALSE),VLOOKUP(CO$1,main!$A$3:$H$102,4,FALSE),VLOOKUP(CO$1,main!$A$3:$H$102,4,FALSE)+VLOOKUP($A10,main!$A$3:$H$102,4,FALSE)+(VLOOKUP(VLOOKUP(CO$1,main!$A$3:$H$102,8,FALSE),main!$K$19:$O$22,MATCH(VLOOKUP($A10,main!$A$3:$H$102,7,FALSE),main!$K$18:$O$18,0),0))),0)</f>
        <v>0</v>
      </c>
      <c r="CP10">
        <f>IF((gamma!CP10),IF(VLOOKUP(CP$1,main!$A$3:$H$102,7,FALSE)=VLOOKUP($A10,main!$A$3:$H$102,8,FALSE),VLOOKUP(CP$1,main!$A$3:$H$102,4,FALSE),VLOOKUP(CP$1,main!$A$3:$H$102,4,FALSE)+VLOOKUP($A10,main!$A$3:$H$102,4,FALSE)+(VLOOKUP(VLOOKUP(CP$1,main!$A$3:$H$102,8,FALSE),main!$K$19:$O$22,MATCH(VLOOKUP($A10,main!$A$3:$H$102,7,FALSE),main!$K$18:$O$18,0),0))),0)</f>
        <v>0</v>
      </c>
      <c r="CQ10">
        <f>IF((gamma!CQ10),IF(VLOOKUP(CQ$1,main!$A$3:$H$102,7,FALSE)=VLOOKUP($A10,main!$A$3:$H$102,8,FALSE),VLOOKUP(CQ$1,main!$A$3:$H$102,4,FALSE),VLOOKUP(CQ$1,main!$A$3:$H$102,4,FALSE)+VLOOKUP($A10,main!$A$3:$H$102,4,FALSE)+(VLOOKUP(VLOOKUP(CQ$1,main!$A$3:$H$102,8,FALSE),main!$K$19:$O$22,MATCH(VLOOKUP($A10,main!$A$3:$H$102,7,FALSE),main!$K$18:$O$18,0),0))),0)</f>
        <v>0</v>
      </c>
      <c r="CR10">
        <f>IF((gamma!CR10),IF(VLOOKUP(CR$1,main!$A$3:$H$102,7,FALSE)=VLOOKUP($A10,main!$A$3:$H$102,8,FALSE),VLOOKUP(CR$1,main!$A$3:$H$102,4,FALSE),VLOOKUP(CR$1,main!$A$3:$H$102,4,FALSE)+VLOOKUP($A10,main!$A$3:$H$102,4,FALSE)+(VLOOKUP(VLOOKUP(CR$1,main!$A$3:$H$102,8,FALSE),main!$K$19:$O$22,MATCH(VLOOKUP($A10,main!$A$3:$H$102,7,FALSE),main!$K$18:$O$18,0),0))),0)</f>
        <v>0</v>
      </c>
      <c r="CS10">
        <f>IF((gamma!CS10),IF(VLOOKUP(CS$1,main!$A$3:$H$102,7,FALSE)=VLOOKUP($A10,main!$A$3:$H$102,8,FALSE),VLOOKUP(CS$1,main!$A$3:$H$102,4,FALSE),VLOOKUP(CS$1,main!$A$3:$H$102,4,FALSE)+VLOOKUP($A10,main!$A$3:$H$102,4,FALSE)+(VLOOKUP(VLOOKUP(CS$1,main!$A$3:$H$102,8,FALSE),main!$K$19:$O$22,MATCH(VLOOKUP($A10,main!$A$3:$H$102,7,FALSE),main!$K$18:$O$18,0),0))),0)</f>
        <v>0</v>
      </c>
      <c r="CT10">
        <f>IF((gamma!CT10),IF(VLOOKUP(CT$1,main!$A$3:$H$102,7,FALSE)=VLOOKUP($A10,main!$A$3:$H$102,8,FALSE),VLOOKUP(CT$1,main!$A$3:$H$102,4,FALSE),VLOOKUP(CT$1,main!$A$3:$H$102,4,FALSE)+VLOOKUP($A10,main!$A$3:$H$102,4,FALSE)+(VLOOKUP(VLOOKUP(CT$1,main!$A$3:$H$102,8,FALSE),main!$K$19:$O$22,MATCH(VLOOKUP($A10,main!$A$3:$H$102,7,FALSE),main!$K$18:$O$18,0),0))),0)</f>
        <v>0</v>
      </c>
      <c r="CU10">
        <f>IF((gamma!CU10),IF(VLOOKUP(CU$1,main!$A$3:$H$102,7,FALSE)=VLOOKUP($A10,main!$A$3:$H$102,8,FALSE),VLOOKUP(CU$1,main!$A$3:$H$102,4,FALSE),VLOOKUP(CU$1,main!$A$3:$H$102,4,FALSE)+VLOOKUP($A10,main!$A$3:$H$102,4,FALSE)+(VLOOKUP(VLOOKUP(CU$1,main!$A$3:$H$102,8,FALSE),main!$K$19:$O$22,MATCH(VLOOKUP($A10,main!$A$3:$H$102,7,FALSE),main!$K$18:$O$18,0),0))),0)</f>
        <v>0</v>
      </c>
      <c r="CV10">
        <f>IF((gamma!CV10),IF(VLOOKUP(CV$1,main!$A$3:$H$102,7,FALSE)=VLOOKUP($A10,main!$A$3:$H$102,8,FALSE),VLOOKUP(CV$1,main!$A$3:$H$102,4,FALSE),VLOOKUP(CV$1,main!$A$3:$H$102,4,FALSE)+VLOOKUP($A10,main!$A$3:$H$102,4,FALSE)+(VLOOKUP(VLOOKUP(CV$1,main!$A$3:$H$102,8,FALSE),main!$K$19:$O$22,MATCH(VLOOKUP($A10,main!$A$3:$H$102,7,FALSE),main!$K$18:$O$18,0),0))),0)</f>
        <v>0</v>
      </c>
      <c r="CW10">
        <f>IF((gamma!CW10),IF(VLOOKUP(CW$1,main!$A$3:$H$102,7,FALSE)=VLOOKUP($A10,main!$A$3:$H$102,8,FALSE),VLOOKUP(CW$1,main!$A$3:$H$102,4,FALSE),VLOOKUP(CW$1,main!$A$3:$H$102,4,FALSE)+VLOOKUP($A10,main!$A$3:$H$102,4,FALSE)+(VLOOKUP(VLOOKUP(CW$1,main!$A$3:$H$102,8,FALSE),main!$K$19:$O$22,MATCH(VLOOKUP($A10,main!$A$3:$H$102,7,FALSE),main!$K$18:$O$18,0),0))),0)</f>
        <v>0</v>
      </c>
      <c r="CX10">
        <f>IF((gamma!CX10),IF(VLOOKUP(CX$1,main!$A$3:$H$102,7,FALSE)=VLOOKUP($A10,main!$A$3:$H$102,8,FALSE),VLOOKUP(CX$1,main!$A$3:$H$102,4,FALSE),VLOOKUP(CX$1,main!$A$3:$H$102,4,FALSE)+VLOOKUP($A10,main!$A$3:$H$102,4,FALSE)+(VLOOKUP(VLOOKUP(CX$1,main!$A$3:$H$102,8,FALSE),main!$K$19:$O$22,MATCH(VLOOKUP($A10,main!$A$3:$H$102,7,FALSE),main!$K$18:$O$18,0),0))),0)</f>
        <v>0</v>
      </c>
      <c r="CY10">
        <v>0</v>
      </c>
      <c r="CZ10">
        <v>0</v>
      </c>
      <c r="DA10">
        <v>0</v>
      </c>
    </row>
    <row r="11" spans="1:105" x14ac:dyDescent="0.25">
      <c r="A11" s="1">
        <v>9</v>
      </c>
      <c r="B11">
        <v>0</v>
      </c>
      <c r="C11">
        <f>IF((gamma!C11),IF(VLOOKUP(C$1,main!$A$3:$H$102,7,FALSE)=VLOOKUP($A11,main!$A$3:$H$102,8,FALSE),VLOOKUP(C$1,main!$A$3:$H$102,4,FALSE),VLOOKUP(C$1,main!$A$3:$H$102,4,FALSE)+VLOOKUP($A11,main!$A$3:$H$102,4,FALSE)+(VLOOKUP(VLOOKUP(C$1,main!$A$3:$H$102,8,FALSE),main!$K$19:$O$22,MATCH(VLOOKUP($A11,main!$A$3:$H$102,7,FALSE),main!$K$18:$O$18,0),0))),0)</f>
        <v>0</v>
      </c>
      <c r="D11">
        <f>IF((gamma!D11),IF(VLOOKUP(D$1,main!$A$3:$H$102,7,FALSE)=VLOOKUP($A11,main!$A$3:$H$102,8,FALSE),VLOOKUP(D$1,main!$A$3:$H$102,4,FALSE),VLOOKUP(D$1,main!$A$3:$H$102,4,FALSE)+VLOOKUP($A11,main!$A$3:$H$102,4,FALSE)+(VLOOKUP(VLOOKUP(D$1,main!$A$3:$H$102,8,FALSE),main!$K$19:$O$22,MATCH(VLOOKUP($A11,main!$A$3:$H$102,7,FALSE),main!$K$18:$O$18,0),0))),0)</f>
        <v>0</v>
      </c>
      <c r="E11">
        <f>IF((gamma!E11),IF(VLOOKUP(E$1,main!$A$3:$H$102,7,FALSE)=VLOOKUP($A11,main!$A$3:$H$102,8,FALSE),VLOOKUP(E$1,main!$A$3:$H$102,4,FALSE),VLOOKUP(E$1,main!$A$3:$H$102,4,FALSE)+VLOOKUP($A11,main!$A$3:$H$102,4,FALSE)+(VLOOKUP(VLOOKUP(E$1,main!$A$3:$H$102,8,FALSE),main!$K$19:$O$22,MATCH(VLOOKUP($A11,main!$A$3:$H$102,7,FALSE),main!$K$18:$O$18,0),0))),0)</f>
        <v>0</v>
      </c>
      <c r="F11">
        <f>IF((gamma!F11),IF(VLOOKUP(F$1,main!$A$3:$H$102,7,FALSE)=VLOOKUP($A11,main!$A$3:$H$102,8,FALSE),VLOOKUP(F$1,main!$A$3:$H$102,4,FALSE),VLOOKUP(F$1,main!$A$3:$H$102,4,FALSE)+VLOOKUP($A11,main!$A$3:$H$102,4,FALSE)+(VLOOKUP(VLOOKUP(F$1,main!$A$3:$H$102,8,FALSE),main!$K$19:$O$22,MATCH(VLOOKUP($A11,main!$A$3:$H$102,7,FALSE),main!$K$18:$O$18,0),0))),0)</f>
        <v>0</v>
      </c>
      <c r="G11">
        <f>IF((gamma!G11),IF(VLOOKUP(G$1,main!$A$3:$H$102,7,FALSE)=VLOOKUP($A11,main!$A$3:$H$102,8,FALSE),VLOOKUP(G$1,main!$A$3:$H$102,4,FALSE),VLOOKUP(G$1,main!$A$3:$H$102,4,FALSE)+VLOOKUP($A11,main!$A$3:$H$102,4,FALSE)+(VLOOKUP(VLOOKUP(G$1,main!$A$3:$H$102,8,FALSE),main!$K$19:$O$22,MATCH(VLOOKUP($A11,main!$A$3:$H$102,7,FALSE),main!$K$18:$O$18,0),0))),0)</f>
        <v>0</v>
      </c>
      <c r="H11">
        <f>IF((gamma!H11),IF(VLOOKUP(H$1,main!$A$3:$H$102,7,FALSE)=VLOOKUP($A11,main!$A$3:$H$102,8,FALSE),VLOOKUP(H$1,main!$A$3:$H$102,4,FALSE),VLOOKUP(H$1,main!$A$3:$H$102,4,FALSE)+VLOOKUP($A11,main!$A$3:$H$102,4,FALSE)+(VLOOKUP(VLOOKUP(H$1,main!$A$3:$H$102,8,FALSE),main!$K$19:$O$22,MATCH(VLOOKUP($A11,main!$A$3:$H$102,7,FALSE),main!$K$18:$O$18,0),0))),0)</f>
        <v>0</v>
      </c>
      <c r="I11">
        <f>IF((gamma!I11),IF(VLOOKUP(I$1,main!$A$3:$H$102,7,FALSE)=VLOOKUP($A11,main!$A$3:$H$102,8,FALSE),VLOOKUP(I$1,main!$A$3:$H$102,4,FALSE),VLOOKUP(I$1,main!$A$3:$H$102,4,FALSE)+VLOOKUP($A11,main!$A$3:$H$102,4,FALSE)+(VLOOKUP(VLOOKUP(I$1,main!$A$3:$H$102,8,FALSE),main!$K$19:$O$22,MATCH(VLOOKUP($A11,main!$A$3:$H$102,7,FALSE),main!$K$18:$O$18,0),0))),0)</f>
        <v>0</v>
      </c>
      <c r="J11">
        <f>IF((gamma!J11),IF(VLOOKUP(J$1,main!$A$3:$H$102,7,FALSE)=VLOOKUP($A11,main!$A$3:$H$102,8,FALSE),VLOOKUP(J$1,main!$A$3:$H$102,4,FALSE),VLOOKUP(J$1,main!$A$3:$H$102,4,FALSE)+VLOOKUP($A11,main!$A$3:$H$102,4,FALSE)+(VLOOKUP(VLOOKUP(J$1,main!$A$3:$H$102,8,FALSE),main!$K$19:$O$22,MATCH(VLOOKUP($A11,main!$A$3:$H$102,7,FALSE),main!$K$18:$O$18,0),0))),0)</f>
        <v>0</v>
      </c>
      <c r="K11">
        <f>IF((gamma!K11),IF(VLOOKUP(K$1,main!$A$3:$H$102,7,FALSE)=VLOOKUP($A11,main!$A$3:$H$102,8,FALSE),VLOOKUP(K$1,main!$A$3:$H$102,4,FALSE),VLOOKUP(K$1,main!$A$3:$H$102,4,FALSE)+VLOOKUP($A11,main!$A$3:$H$102,4,FALSE)+(VLOOKUP(VLOOKUP(K$1,main!$A$3:$H$102,8,FALSE),main!$K$19:$O$22,MATCH(VLOOKUP($A11,main!$A$3:$H$102,7,FALSE),main!$K$18:$O$18,0),0))),0)</f>
        <v>0</v>
      </c>
      <c r="L11">
        <f>IF((gamma!L11),IF(VLOOKUP(L$1,main!$A$3:$H$102,7,FALSE)=VLOOKUP($A11,main!$A$3:$H$102,8,FALSE),VLOOKUP(L$1,main!$A$3:$H$102,4,FALSE),VLOOKUP(L$1,main!$A$3:$H$102,4,FALSE)+VLOOKUP($A11,main!$A$3:$H$102,4,FALSE)+(VLOOKUP(VLOOKUP(L$1,main!$A$3:$H$102,8,FALSE),main!$K$19:$O$22,MATCH(VLOOKUP($A11,main!$A$3:$H$102,7,FALSE),main!$K$18:$O$18,0),0))),0)</f>
        <v>0</v>
      </c>
      <c r="M11">
        <f>IF((gamma!M11),IF(VLOOKUP(M$1,main!$A$3:$H$102,7,FALSE)=VLOOKUP($A11,main!$A$3:$H$102,8,FALSE),VLOOKUP(M$1,main!$A$3:$H$102,4,FALSE),VLOOKUP(M$1,main!$A$3:$H$102,4,FALSE)+VLOOKUP($A11,main!$A$3:$H$102,4,FALSE)+(VLOOKUP(VLOOKUP(M$1,main!$A$3:$H$102,8,FALSE),main!$K$19:$O$22,MATCH(VLOOKUP($A11,main!$A$3:$H$102,7,FALSE),main!$K$18:$O$18,0),0))),0)</f>
        <v>0</v>
      </c>
      <c r="N11">
        <f>IF((gamma!N11),IF(VLOOKUP(N$1,main!$A$3:$H$102,7,FALSE)=VLOOKUP($A11,main!$A$3:$H$102,8,FALSE),VLOOKUP(N$1,main!$A$3:$H$102,4,FALSE),VLOOKUP(N$1,main!$A$3:$H$102,4,FALSE)+VLOOKUP($A11,main!$A$3:$H$102,4,FALSE)+(VLOOKUP(VLOOKUP(N$1,main!$A$3:$H$102,8,FALSE),main!$K$19:$O$22,MATCH(VLOOKUP($A11,main!$A$3:$H$102,7,FALSE),main!$K$18:$O$18,0),0))),0)</f>
        <v>0</v>
      </c>
      <c r="O11">
        <f>IF((gamma!O11),IF(VLOOKUP(O$1,main!$A$3:$H$102,7,FALSE)=VLOOKUP($A11,main!$A$3:$H$102,8,FALSE),VLOOKUP(O$1,main!$A$3:$H$102,4,FALSE),VLOOKUP(O$1,main!$A$3:$H$102,4,FALSE)+VLOOKUP($A11,main!$A$3:$H$102,4,FALSE)+(VLOOKUP(VLOOKUP(O$1,main!$A$3:$H$102,8,FALSE),main!$K$19:$O$22,MATCH(VLOOKUP($A11,main!$A$3:$H$102,7,FALSE),main!$K$18:$O$18,0),0))),0)</f>
        <v>0</v>
      </c>
      <c r="P11">
        <f>IF((gamma!P11),IF(VLOOKUP(P$1,main!$A$3:$H$102,7,FALSE)=VLOOKUP($A11,main!$A$3:$H$102,8,FALSE),VLOOKUP(P$1,main!$A$3:$H$102,4,FALSE),VLOOKUP(P$1,main!$A$3:$H$102,4,FALSE)+VLOOKUP($A11,main!$A$3:$H$102,4,FALSE)+(VLOOKUP(VLOOKUP(P$1,main!$A$3:$H$102,8,FALSE),main!$K$19:$O$22,MATCH(VLOOKUP($A11,main!$A$3:$H$102,7,FALSE),main!$K$18:$O$18,0),0))),0)</f>
        <v>0</v>
      </c>
      <c r="Q11">
        <f>IF((gamma!Q11),IF(VLOOKUP(Q$1,main!$A$3:$H$102,7,FALSE)=VLOOKUP($A11,main!$A$3:$H$102,8,FALSE),VLOOKUP(Q$1,main!$A$3:$H$102,4,FALSE),VLOOKUP(Q$1,main!$A$3:$H$102,4,FALSE)+VLOOKUP($A11,main!$A$3:$H$102,4,FALSE)+(VLOOKUP(VLOOKUP(Q$1,main!$A$3:$H$102,8,FALSE),main!$K$19:$O$22,MATCH(VLOOKUP($A11,main!$A$3:$H$102,7,FALSE),main!$K$18:$O$18,0),0))),0)</f>
        <v>0</v>
      </c>
      <c r="R11">
        <f>IF((gamma!R11),IF(VLOOKUP(R$1,main!$A$3:$H$102,7,FALSE)=VLOOKUP($A11,main!$A$3:$H$102,8,FALSE),VLOOKUP(R$1,main!$A$3:$H$102,4,FALSE),VLOOKUP(R$1,main!$A$3:$H$102,4,FALSE)+VLOOKUP($A11,main!$A$3:$H$102,4,FALSE)+(VLOOKUP(VLOOKUP(R$1,main!$A$3:$H$102,8,FALSE),main!$K$19:$O$22,MATCH(VLOOKUP($A11,main!$A$3:$H$102,7,FALSE),main!$K$18:$O$18,0),0))),0)</f>
        <v>0</v>
      </c>
      <c r="S11">
        <f>IF((gamma!S11),IF(VLOOKUP(S$1,main!$A$3:$H$102,7,FALSE)=VLOOKUP($A11,main!$A$3:$H$102,8,FALSE),VLOOKUP(S$1,main!$A$3:$H$102,4,FALSE),VLOOKUP(S$1,main!$A$3:$H$102,4,FALSE)+VLOOKUP($A11,main!$A$3:$H$102,4,FALSE)+(VLOOKUP(VLOOKUP(S$1,main!$A$3:$H$102,8,FALSE),main!$K$19:$O$22,MATCH(VLOOKUP($A11,main!$A$3:$H$102,7,FALSE),main!$K$18:$O$18,0),0))),0)</f>
        <v>0</v>
      </c>
      <c r="T11">
        <f>IF((gamma!T11),IF(VLOOKUP(T$1,main!$A$3:$H$102,7,FALSE)=VLOOKUP($A11,main!$A$3:$H$102,8,FALSE),VLOOKUP(T$1,main!$A$3:$H$102,4,FALSE),VLOOKUP(T$1,main!$A$3:$H$102,4,FALSE)+VLOOKUP($A11,main!$A$3:$H$102,4,FALSE)+(VLOOKUP(VLOOKUP(T$1,main!$A$3:$H$102,8,FALSE),main!$K$19:$O$22,MATCH(VLOOKUP($A11,main!$A$3:$H$102,7,FALSE),main!$K$18:$O$18,0),0))),0)</f>
        <v>0</v>
      </c>
      <c r="U11">
        <f>IF((gamma!U11),IF(VLOOKUP(U$1,main!$A$3:$H$102,7,FALSE)=VLOOKUP($A11,main!$A$3:$H$102,8,FALSE),VLOOKUP(U$1,main!$A$3:$H$102,4,FALSE),VLOOKUP(U$1,main!$A$3:$H$102,4,FALSE)+VLOOKUP($A11,main!$A$3:$H$102,4,FALSE)+(VLOOKUP(VLOOKUP(U$1,main!$A$3:$H$102,8,FALSE),main!$K$19:$O$22,MATCH(VLOOKUP($A11,main!$A$3:$H$102,7,FALSE),main!$K$18:$O$18,0),0))),0)</f>
        <v>0</v>
      </c>
      <c r="V11">
        <f>IF((gamma!V11),IF(VLOOKUP(V$1,main!$A$3:$H$102,7,FALSE)=VLOOKUP($A11,main!$A$3:$H$102,8,FALSE),VLOOKUP(V$1,main!$A$3:$H$102,4,FALSE),VLOOKUP(V$1,main!$A$3:$H$102,4,FALSE)+VLOOKUP($A11,main!$A$3:$H$102,4,FALSE)+(VLOOKUP(VLOOKUP(V$1,main!$A$3:$H$102,8,FALSE),main!$K$19:$O$22,MATCH(VLOOKUP($A11,main!$A$3:$H$102,7,FALSE),main!$K$18:$O$18,0),0))),0)</f>
        <v>0</v>
      </c>
      <c r="W11">
        <f>IF((gamma!W11),IF(VLOOKUP(W$1,main!$A$3:$H$102,7,FALSE)=VLOOKUP($A11,main!$A$3:$H$102,8,FALSE),VLOOKUP(W$1,main!$A$3:$H$102,4,FALSE),VLOOKUP(W$1,main!$A$3:$H$102,4,FALSE)+VLOOKUP($A11,main!$A$3:$H$102,4,FALSE)+(VLOOKUP(VLOOKUP(W$1,main!$A$3:$H$102,8,FALSE),main!$K$19:$O$22,MATCH(VLOOKUP($A11,main!$A$3:$H$102,7,FALSE),main!$K$18:$O$18,0),0))),0)</f>
        <v>0</v>
      </c>
      <c r="X11">
        <f>IF((gamma!X11),IF(VLOOKUP(X$1,main!$A$3:$H$102,7,FALSE)=VLOOKUP($A11,main!$A$3:$H$102,8,FALSE),VLOOKUP(X$1,main!$A$3:$H$102,4,FALSE),VLOOKUP(X$1,main!$A$3:$H$102,4,FALSE)+VLOOKUP($A11,main!$A$3:$H$102,4,FALSE)+(VLOOKUP(VLOOKUP(X$1,main!$A$3:$H$102,8,FALSE),main!$K$19:$O$22,MATCH(VLOOKUP($A11,main!$A$3:$H$102,7,FALSE),main!$K$18:$O$18,0),0))),0)</f>
        <v>0</v>
      </c>
      <c r="Y11">
        <f>IF((gamma!Y11),IF(VLOOKUP(Y$1,main!$A$3:$H$102,7,FALSE)=VLOOKUP($A11,main!$A$3:$H$102,8,FALSE),VLOOKUP(Y$1,main!$A$3:$H$102,4,FALSE),VLOOKUP(Y$1,main!$A$3:$H$102,4,FALSE)+VLOOKUP($A11,main!$A$3:$H$102,4,FALSE)+(VLOOKUP(VLOOKUP(Y$1,main!$A$3:$H$102,8,FALSE),main!$K$19:$O$22,MATCH(VLOOKUP($A11,main!$A$3:$H$102,7,FALSE),main!$K$18:$O$18,0),0))),0)</f>
        <v>0</v>
      </c>
      <c r="Z11">
        <f>IF((gamma!Z11),IF(VLOOKUP(Z$1,main!$A$3:$H$102,7,FALSE)=VLOOKUP($A11,main!$A$3:$H$102,8,FALSE),VLOOKUP(Z$1,main!$A$3:$H$102,4,FALSE),VLOOKUP(Z$1,main!$A$3:$H$102,4,FALSE)+VLOOKUP($A11,main!$A$3:$H$102,4,FALSE)+(VLOOKUP(VLOOKUP(Z$1,main!$A$3:$H$102,8,FALSE),main!$K$19:$O$22,MATCH(VLOOKUP($A11,main!$A$3:$H$102,7,FALSE),main!$K$18:$O$18,0),0))),0)</f>
        <v>0</v>
      </c>
      <c r="AA11">
        <f>IF((gamma!AA11),IF(VLOOKUP(AA$1,main!$A$3:$H$102,7,FALSE)=VLOOKUP($A11,main!$A$3:$H$102,8,FALSE),VLOOKUP(AA$1,main!$A$3:$H$102,4,FALSE),VLOOKUP(AA$1,main!$A$3:$H$102,4,FALSE)+VLOOKUP($A11,main!$A$3:$H$102,4,FALSE)+(VLOOKUP(VLOOKUP(AA$1,main!$A$3:$H$102,8,FALSE),main!$K$19:$O$22,MATCH(VLOOKUP($A11,main!$A$3:$H$102,7,FALSE),main!$K$18:$O$18,0),0))),0)</f>
        <v>0</v>
      </c>
      <c r="AB11">
        <f>IF((gamma!AB11),IF(VLOOKUP(AB$1,main!$A$3:$H$102,7,FALSE)=VLOOKUP($A11,main!$A$3:$H$102,8,FALSE),VLOOKUP(AB$1,main!$A$3:$H$102,4,FALSE),VLOOKUP(AB$1,main!$A$3:$H$102,4,FALSE)+VLOOKUP($A11,main!$A$3:$H$102,4,FALSE)+(VLOOKUP(VLOOKUP(AB$1,main!$A$3:$H$102,8,FALSE),main!$K$19:$O$22,MATCH(VLOOKUP($A11,main!$A$3:$H$102,7,FALSE),main!$K$18:$O$18,0),0))),0)</f>
        <v>0</v>
      </c>
      <c r="AC11">
        <f>IF((gamma!AC11),IF(VLOOKUP(AC$1,main!$A$3:$H$102,7,FALSE)=VLOOKUP($A11,main!$A$3:$H$102,8,FALSE),VLOOKUP(AC$1,main!$A$3:$H$102,4,FALSE),VLOOKUP(AC$1,main!$A$3:$H$102,4,FALSE)+VLOOKUP($A11,main!$A$3:$H$102,4,FALSE)+(VLOOKUP(VLOOKUP(AC$1,main!$A$3:$H$102,8,FALSE),main!$K$19:$O$22,MATCH(VLOOKUP($A11,main!$A$3:$H$102,7,FALSE),main!$K$18:$O$18,0),0))),0)</f>
        <v>0</v>
      </c>
      <c r="AD11">
        <f>IF((gamma!AD11),IF(VLOOKUP(AD$1,main!$A$3:$H$102,7,FALSE)=VLOOKUP($A11,main!$A$3:$H$102,8,FALSE),VLOOKUP(AD$1,main!$A$3:$H$102,4,FALSE),VLOOKUP(AD$1,main!$A$3:$H$102,4,FALSE)+VLOOKUP($A11,main!$A$3:$H$102,4,FALSE)+(VLOOKUP(VLOOKUP(AD$1,main!$A$3:$H$102,8,FALSE),main!$K$19:$O$22,MATCH(VLOOKUP($A11,main!$A$3:$H$102,7,FALSE),main!$K$18:$O$18,0),0))),0)</f>
        <v>0</v>
      </c>
      <c r="AE11">
        <f>IF((gamma!AE11),IF(VLOOKUP(AE$1,main!$A$3:$H$102,7,FALSE)=VLOOKUP($A11,main!$A$3:$H$102,8,FALSE),VLOOKUP(AE$1,main!$A$3:$H$102,4,FALSE),VLOOKUP(AE$1,main!$A$3:$H$102,4,FALSE)+VLOOKUP($A11,main!$A$3:$H$102,4,FALSE)+(VLOOKUP(VLOOKUP(AE$1,main!$A$3:$H$102,8,FALSE),main!$K$19:$O$22,MATCH(VLOOKUP($A11,main!$A$3:$H$102,7,FALSE),main!$K$18:$O$18,0),0))),0)</f>
        <v>0</v>
      </c>
      <c r="AF11">
        <f>IF((gamma!AF11),IF(VLOOKUP(AF$1,main!$A$3:$H$102,7,FALSE)=VLOOKUP($A11,main!$A$3:$H$102,8,FALSE),VLOOKUP(AF$1,main!$A$3:$H$102,4,FALSE),VLOOKUP(AF$1,main!$A$3:$H$102,4,FALSE)+VLOOKUP($A11,main!$A$3:$H$102,4,FALSE)+(VLOOKUP(VLOOKUP(AF$1,main!$A$3:$H$102,8,FALSE),main!$K$19:$O$22,MATCH(VLOOKUP($A11,main!$A$3:$H$102,7,FALSE),main!$K$18:$O$18,0),0))),0)</f>
        <v>0</v>
      </c>
      <c r="AG11">
        <f>IF((gamma!AG11),IF(VLOOKUP(AG$1,main!$A$3:$H$102,7,FALSE)=VLOOKUP($A11,main!$A$3:$H$102,8,FALSE),VLOOKUP(AG$1,main!$A$3:$H$102,4,FALSE),VLOOKUP(AG$1,main!$A$3:$H$102,4,FALSE)+VLOOKUP($A11,main!$A$3:$H$102,4,FALSE)+(VLOOKUP(VLOOKUP(AG$1,main!$A$3:$H$102,8,FALSE),main!$K$19:$O$22,MATCH(VLOOKUP($A11,main!$A$3:$H$102,7,FALSE),main!$K$18:$O$18,0),0))),0)</f>
        <v>0</v>
      </c>
      <c r="AH11">
        <f>IF((gamma!AH11),IF(VLOOKUP(AH$1,main!$A$3:$H$102,7,FALSE)=VLOOKUP($A11,main!$A$3:$H$102,8,FALSE),VLOOKUP(AH$1,main!$A$3:$H$102,4,FALSE),VLOOKUP(AH$1,main!$A$3:$H$102,4,FALSE)+VLOOKUP($A11,main!$A$3:$H$102,4,FALSE)+(VLOOKUP(VLOOKUP(AH$1,main!$A$3:$H$102,8,FALSE),main!$K$19:$O$22,MATCH(VLOOKUP($A11,main!$A$3:$H$102,7,FALSE),main!$K$18:$O$18,0),0))),0)</f>
        <v>0</v>
      </c>
      <c r="AI11">
        <f>IF((gamma!AI11),IF(VLOOKUP(AI$1,main!$A$3:$H$102,7,FALSE)=VLOOKUP($A11,main!$A$3:$H$102,8,FALSE),VLOOKUP(AI$1,main!$A$3:$H$102,4,FALSE),VLOOKUP(AI$1,main!$A$3:$H$102,4,FALSE)+VLOOKUP($A11,main!$A$3:$H$102,4,FALSE)+(VLOOKUP(VLOOKUP(AI$1,main!$A$3:$H$102,8,FALSE),main!$K$19:$O$22,MATCH(VLOOKUP($A11,main!$A$3:$H$102,7,FALSE),main!$K$18:$O$18,0),0))),0)</f>
        <v>0</v>
      </c>
      <c r="AJ11">
        <f>IF((gamma!AJ11),IF(VLOOKUP(AJ$1,main!$A$3:$H$102,7,FALSE)=VLOOKUP($A11,main!$A$3:$H$102,8,FALSE),VLOOKUP(AJ$1,main!$A$3:$H$102,4,FALSE),VLOOKUP(AJ$1,main!$A$3:$H$102,4,FALSE)+VLOOKUP($A11,main!$A$3:$H$102,4,FALSE)+(VLOOKUP(VLOOKUP(AJ$1,main!$A$3:$H$102,8,FALSE),main!$K$19:$O$22,MATCH(VLOOKUP($A11,main!$A$3:$H$102,7,FALSE),main!$K$18:$O$18,0),0))),0)</f>
        <v>0</v>
      </c>
      <c r="AK11">
        <f>IF((gamma!AK11),IF(VLOOKUP(AK$1,main!$A$3:$H$102,7,FALSE)=VLOOKUP($A11,main!$A$3:$H$102,8,FALSE),VLOOKUP(AK$1,main!$A$3:$H$102,4,FALSE),VLOOKUP(AK$1,main!$A$3:$H$102,4,FALSE)+VLOOKUP($A11,main!$A$3:$H$102,4,FALSE)+(VLOOKUP(VLOOKUP(AK$1,main!$A$3:$H$102,8,FALSE),main!$K$19:$O$22,MATCH(VLOOKUP($A11,main!$A$3:$H$102,7,FALSE),main!$K$18:$O$18,0),0))),0)</f>
        <v>0</v>
      </c>
      <c r="AL11">
        <f>IF((gamma!AL11),IF(VLOOKUP(AL$1,main!$A$3:$H$102,7,FALSE)=VLOOKUP($A11,main!$A$3:$H$102,8,FALSE),VLOOKUP(AL$1,main!$A$3:$H$102,4,FALSE),VLOOKUP(AL$1,main!$A$3:$H$102,4,FALSE)+VLOOKUP($A11,main!$A$3:$H$102,4,FALSE)+(VLOOKUP(VLOOKUP(AL$1,main!$A$3:$H$102,8,FALSE),main!$K$19:$O$22,MATCH(VLOOKUP($A11,main!$A$3:$H$102,7,FALSE),main!$K$18:$O$18,0),0))),0)</f>
        <v>0</v>
      </c>
      <c r="AM11">
        <f>IF((gamma!AM11),IF(VLOOKUP(AM$1,main!$A$3:$H$102,7,FALSE)=VLOOKUP($A11,main!$A$3:$H$102,8,FALSE),VLOOKUP(AM$1,main!$A$3:$H$102,4,FALSE),VLOOKUP(AM$1,main!$A$3:$H$102,4,FALSE)+VLOOKUP($A11,main!$A$3:$H$102,4,FALSE)+(VLOOKUP(VLOOKUP(AM$1,main!$A$3:$H$102,8,FALSE),main!$K$19:$O$22,MATCH(VLOOKUP($A11,main!$A$3:$H$102,7,FALSE),main!$K$18:$O$18,0),0))),0)</f>
        <v>0</v>
      </c>
      <c r="AN11">
        <f>IF((gamma!AN11),IF(VLOOKUP(AN$1,main!$A$3:$H$102,7,FALSE)=VLOOKUP($A11,main!$A$3:$H$102,8,FALSE),VLOOKUP(AN$1,main!$A$3:$H$102,4,FALSE),VLOOKUP(AN$1,main!$A$3:$H$102,4,FALSE)+VLOOKUP($A11,main!$A$3:$H$102,4,FALSE)+(VLOOKUP(VLOOKUP(AN$1,main!$A$3:$H$102,8,FALSE),main!$K$19:$O$22,MATCH(VLOOKUP($A11,main!$A$3:$H$102,7,FALSE),main!$K$18:$O$18,0),0))),0)</f>
        <v>0</v>
      </c>
      <c r="AO11">
        <f>IF((gamma!AO11),IF(VLOOKUP(AO$1,main!$A$3:$H$102,7,FALSE)=VLOOKUP($A11,main!$A$3:$H$102,8,FALSE),VLOOKUP(AO$1,main!$A$3:$H$102,4,FALSE),VLOOKUP(AO$1,main!$A$3:$H$102,4,FALSE)+VLOOKUP($A11,main!$A$3:$H$102,4,FALSE)+(VLOOKUP(VLOOKUP(AO$1,main!$A$3:$H$102,8,FALSE),main!$K$19:$O$22,MATCH(VLOOKUP($A11,main!$A$3:$H$102,7,FALSE),main!$K$18:$O$18,0),0))),0)</f>
        <v>0</v>
      </c>
      <c r="AP11">
        <f>IF((gamma!AP11),IF(VLOOKUP(AP$1,main!$A$3:$H$102,7,FALSE)=VLOOKUP($A11,main!$A$3:$H$102,8,FALSE),VLOOKUP(AP$1,main!$A$3:$H$102,4,FALSE),VLOOKUP(AP$1,main!$A$3:$H$102,4,FALSE)+VLOOKUP($A11,main!$A$3:$H$102,4,FALSE)+(VLOOKUP(VLOOKUP(AP$1,main!$A$3:$H$102,8,FALSE),main!$K$19:$O$22,MATCH(VLOOKUP($A11,main!$A$3:$H$102,7,FALSE),main!$K$18:$O$18,0),0))),0)</f>
        <v>0</v>
      </c>
      <c r="AQ11">
        <f>IF((gamma!AQ11),IF(VLOOKUP(AQ$1,main!$A$3:$H$102,7,FALSE)=VLOOKUP($A11,main!$A$3:$H$102,8,FALSE),VLOOKUP(AQ$1,main!$A$3:$H$102,4,FALSE),VLOOKUP(AQ$1,main!$A$3:$H$102,4,FALSE)+VLOOKUP($A11,main!$A$3:$H$102,4,FALSE)+(VLOOKUP(VLOOKUP(AQ$1,main!$A$3:$H$102,8,FALSE),main!$K$19:$O$22,MATCH(VLOOKUP($A11,main!$A$3:$H$102,7,FALSE),main!$K$18:$O$18,0),0))),0)</f>
        <v>0</v>
      </c>
      <c r="AR11">
        <f>IF((gamma!AR11),IF(VLOOKUP(AR$1,main!$A$3:$H$102,7,FALSE)=VLOOKUP($A11,main!$A$3:$H$102,8,FALSE),VLOOKUP(AR$1,main!$A$3:$H$102,4,FALSE),VLOOKUP(AR$1,main!$A$3:$H$102,4,FALSE)+VLOOKUP($A11,main!$A$3:$H$102,4,FALSE)+(VLOOKUP(VLOOKUP(AR$1,main!$A$3:$H$102,8,FALSE),main!$K$19:$O$22,MATCH(VLOOKUP($A11,main!$A$3:$H$102,7,FALSE),main!$K$18:$O$18,0),0))),0)</f>
        <v>0</v>
      </c>
      <c r="AS11">
        <f>IF((gamma!AS11),IF(VLOOKUP(AS$1,main!$A$3:$H$102,7,FALSE)=VLOOKUP($A11,main!$A$3:$H$102,8,FALSE),VLOOKUP(AS$1,main!$A$3:$H$102,4,FALSE),VLOOKUP(AS$1,main!$A$3:$H$102,4,FALSE)+VLOOKUP($A11,main!$A$3:$H$102,4,FALSE)+(VLOOKUP(VLOOKUP(AS$1,main!$A$3:$H$102,8,FALSE),main!$K$19:$O$22,MATCH(VLOOKUP($A11,main!$A$3:$H$102,7,FALSE),main!$K$18:$O$18,0),0))),0)</f>
        <v>0</v>
      </c>
      <c r="AT11">
        <f>IF((gamma!AT11),IF(VLOOKUP(AT$1,main!$A$3:$H$102,7,FALSE)=VLOOKUP($A11,main!$A$3:$H$102,8,FALSE),VLOOKUP(AT$1,main!$A$3:$H$102,4,FALSE),VLOOKUP(AT$1,main!$A$3:$H$102,4,FALSE)+VLOOKUP($A11,main!$A$3:$H$102,4,FALSE)+(VLOOKUP(VLOOKUP(AT$1,main!$A$3:$H$102,8,FALSE),main!$K$19:$O$22,MATCH(VLOOKUP($A11,main!$A$3:$H$102,7,FALSE),main!$K$18:$O$18,0),0))),0)</f>
        <v>0</v>
      </c>
      <c r="AU11">
        <f>IF((gamma!AU11),IF(VLOOKUP(AU$1,main!$A$3:$H$102,7,FALSE)=VLOOKUP($A11,main!$A$3:$H$102,8,FALSE),VLOOKUP(AU$1,main!$A$3:$H$102,4,FALSE),VLOOKUP(AU$1,main!$A$3:$H$102,4,FALSE)+VLOOKUP($A11,main!$A$3:$H$102,4,FALSE)+(VLOOKUP(VLOOKUP(AU$1,main!$A$3:$H$102,8,FALSE),main!$K$19:$O$22,MATCH(VLOOKUP($A11,main!$A$3:$H$102,7,FALSE),main!$K$18:$O$18,0),0))),0)</f>
        <v>0</v>
      </c>
      <c r="AV11">
        <f>IF((gamma!AV11),IF(VLOOKUP(AV$1,main!$A$3:$H$102,7,FALSE)=VLOOKUP($A11,main!$A$3:$H$102,8,FALSE),VLOOKUP(AV$1,main!$A$3:$H$102,4,FALSE),VLOOKUP(AV$1,main!$A$3:$H$102,4,FALSE)+VLOOKUP($A11,main!$A$3:$H$102,4,FALSE)+(VLOOKUP(VLOOKUP(AV$1,main!$A$3:$H$102,8,FALSE),main!$K$19:$O$22,MATCH(VLOOKUP($A11,main!$A$3:$H$102,7,FALSE),main!$K$18:$O$18,0),0))),0)</f>
        <v>0</v>
      </c>
      <c r="AW11">
        <f>IF((gamma!AW11),IF(VLOOKUP(AW$1,main!$A$3:$H$102,7,FALSE)=VLOOKUP($A11,main!$A$3:$H$102,8,FALSE),VLOOKUP(AW$1,main!$A$3:$H$102,4,FALSE),VLOOKUP(AW$1,main!$A$3:$H$102,4,FALSE)+VLOOKUP($A11,main!$A$3:$H$102,4,FALSE)+(VLOOKUP(VLOOKUP(AW$1,main!$A$3:$H$102,8,FALSE),main!$K$19:$O$22,MATCH(VLOOKUP($A11,main!$A$3:$H$102,7,FALSE),main!$K$18:$O$18,0),0))),0)</f>
        <v>0</v>
      </c>
      <c r="AX11">
        <f>IF((gamma!AX11),IF(VLOOKUP(AX$1,main!$A$3:$H$102,7,FALSE)=VLOOKUP($A11,main!$A$3:$H$102,8,FALSE),VLOOKUP(AX$1,main!$A$3:$H$102,4,FALSE),VLOOKUP(AX$1,main!$A$3:$H$102,4,FALSE)+VLOOKUP($A11,main!$A$3:$H$102,4,FALSE)+(VLOOKUP(VLOOKUP(AX$1,main!$A$3:$H$102,8,FALSE),main!$K$19:$O$22,MATCH(VLOOKUP($A11,main!$A$3:$H$102,7,FALSE),main!$K$18:$O$18,0),0))),0)</f>
        <v>0</v>
      </c>
      <c r="AY11">
        <f>IF((gamma!AY11),IF(VLOOKUP(AY$1,main!$A$3:$H$102,7,FALSE)=VLOOKUP($A11,main!$A$3:$H$102,8,FALSE),VLOOKUP(AY$1,main!$A$3:$H$102,4,FALSE),VLOOKUP(AY$1,main!$A$3:$H$102,4,FALSE)+VLOOKUP($A11,main!$A$3:$H$102,4,FALSE)+(VLOOKUP(VLOOKUP(AY$1,main!$A$3:$H$102,8,FALSE),main!$K$19:$O$22,MATCH(VLOOKUP($A11,main!$A$3:$H$102,7,FALSE),main!$K$18:$O$18,0),0))),0)</f>
        <v>0</v>
      </c>
      <c r="AZ11">
        <f>IF((gamma!AZ11),IF(VLOOKUP(AZ$1,main!$A$3:$H$102,7,FALSE)=VLOOKUP($A11,main!$A$3:$H$102,8,FALSE),VLOOKUP(AZ$1,main!$A$3:$H$102,4,FALSE),VLOOKUP(AZ$1,main!$A$3:$H$102,4,FALSE)+VLOOKUP($A11,main!$A$3:$H$102,4,FALSE)+(VLOOKUP(VLOOKUP(AZ$1,main!$A$3:$H$102,8,FALSE),main!$K$19:$O$22,MATCH(VLOOKUP($A11,main!$A$3:$H$102,7,FALSE),main!$K$18:$O$18,0),0))),0)</f>
        <v>0</v>
      </c>
      <c r="BA11">
        <f>IF((gamma!BA11),IF(VLOOKUP(BA$1,main!$A$3:$H$102,7,FALSE)=VLOOKUP($A11,main!$A$3:$H$102,8,FALSE),VLOOKUP(BA$1,main!$A$3:$H$102,4,FALSE),VLOOKUP(BA$1,main!$A$3:$H$102,4,FALSE)+VLOOKUP($A11,main!$A$3:$H$102,4,FALSE)+(VLOOKUP(VLOOKUP(BA$1,main!$A$3:$H$102,8,FALSE),main!$K$19:$O$22,MATCH(VLOOKUP($A11,main!$A$3:$H$102,7,FALSE),main!$K$18:$O$18,0),0))),0)</f>
        <v>0</v>
      </c>
      <c r="BB11">
        <f>IF((gamma!BB11),IF(VLOOKUP(BB$1,main!$A$3:$H$102,7,FALSE)=VLOOKUP($A11,main!$A$3:$H$102,8,FALSE),VLOOKUP(BB$1,main!$A$3:$H$102,4,FALSE),VLOOKUP(BB$1,main!$A$3:$H$102,4,FALSE)+VLOOKUP($A11,main!$A$3:$H$102,4,FALSE)+(VLOOKUP(VLOOKUP(BB$1,main!$A$3:$H$102,8,FALSE),main!$K$19:$O$22,MATCH(VLOOKUP($A11,main!$A$3:$H$102,7,FALSE),main!$K$18:$O$18,0),0))),0)</f>
        <v>0</v>
      </c>
      <c r="BC11">
        <f>IF((gamma!BC11),IF(VLOOKUP(BC$1,main!$A$3:$H$102,7,FALSE)=VLOOKUP($A11,main!$A$3:$H$102,8,FALSE),VLOOKUP(BC$1,main!$A$3:$H$102,4,FALSE),VLOOKUP(BC$1,main!$A$3:$H$102,4,FALSE)+VLOOKUP($A11,main!$A$3:$H$102,4,FALSE)+(VLOOKUP(VLOOKUP(BC$1,main!$A$3:$H$102,8,FALSE),main!$K$19:$O$22,MATCH(VLOOKUP($A11,main!$A$3:$H$102,7,FALSE),main!$K$18:$O$18,0),0))),0)</f>
        <v>0</v>
      </c>
      <c r="BD11">
        <f>IF((gamma!BD11),IF(VLOOKUP(BD$1,main!$A$3:$H$102,7,FALSE)=VLOOKUP($A11,main!$A$3:$H$102,8,FALSE),VLOOKUP(BD$1,main!$A$3:$H$102,4,FALSE),VLOOKUP(BD$1,main!$A$3:$H$102,4,FALSE)+VLOOKUP($A11,main!$A$3:$H$102,4,FALSE)+(VLOOKUP(VLOOKUP(BD$1,main!$A$3:$H$102,8,FALSE),main!$K$19:$O$22,MATCH(VLOOKUP($A11,main!$A$3:$H$102,7,FALSE),main!$K$18:$O$18,0),0))),0)</f>
        <v>0</v>
      </c>
      <c r="BE11">
        <f>IF((gamma!BE11),IF(VLOOKUP(BE$1,main!$A$3:$H$102,7,FALSE)=VLOOKUP($A11,main!$A$3:$H$102,8,FALSE),VLOOKUP(BE$1,main!$A$3:$H$102,4,FALSE),VLOOKUP(BE$1,main!$A$3:$H$102,4,FALSE)+VLOOKUP($A11,main!$A$3:$H$102,4,FALSE)+(VLOOKUP(VLOOKUP(BE$1,main!$A$3:$H$102,8,FALSE),main!$K$19:$O$22,MATCH(VLOOKUP($A11,main!$A$3:$H$102,7,FALSE),main!$K$18:$O$18,0),0))),0)</f>
        <v>0</v>
      </c>
      <c r="BF11">
        <f>IF((gamma!BF11),IF(VLOOKUP(BF$1,main!$A$3:$H$102,7,FALSE)=VLOOKUP($A11,main!$A$3:$H$102,8,FALSE),VLOOKUP(BF$1,main!$A$3:$H$102,4,FALSE),VLOOKUP(BF$1,main!$A$3:$H$102,4,FALSE)+VLOOKUP($A11,main!$A$3:$H$102,4,FALSE)+(VLOOKUP(VLOOKUP(BF$1,main!$A$3:$H$102,8,FALSE),main!$K$19:$O$22,MATCH(VLOOKUP($A11,main!$A$3:$H$102,7,FALSE),main!$K$18:$O$18,0),0))),0)</f>
        <v>0</v>
      </c>
      <c r="BG11">
        <f>IF((gamma!BG11),IF(VLOOKUP(BG$1,main!$A$3:$H$102,7,FALSE)=VLOOKUP($A11,main!$A$3:$H$102,8,FALSE),VLOOKUP(BG$1,main!$A$3:$H$102,4,FALSE),VLOOKUP(BG$1,main!$A$3:$H$102,4,FALSE)+VLOOKUP($A11,main!$A$3:$H$102,4,FALSE)+(VLOOKUP(VLOOKUP(BG$1,main!$A$3:$H$102,8,FALSE),main!$K$19:$O$22,MATCH(VLOOKUP($A11,main!$A$3:$H$102,7,FALSE),main!$K$18:$O$18,0),0))),0)</f>
        <v>0</v>
      </c>
      <c r="BH11">
        <f>IF((gamma!BH11),IF(VLOOKUP(BH$1,main!$A$3:$H$102,7,FALSE)=VLOOKUP($A11,main!$A$3:$H$102,8,FALSE),VLOOKUP(BH$1,main!$A$3:$H$102,4,FALSE),VLOOKUP(BH$1,main!$A$3:$H$102,4,FALSE)+VLOOKUP($A11,main!$A$3:$H$102,4,FALSE)+(VLOOKUP(VLOOKUP(BH$1,main!$A$3:$H$102,8,FALSE),main!$K$19:$O$22,MATCH(VLOOKUP($A11,main!$A$3:$H$102,7,FALSE),main!$K$18:$O$18,0),0))),0)</f>
        <v>0</v>
      </c>
      <c r="BI11">
        <f>IF((gamma!BI11),IF(VLOOKUP(BI$1,main!$A$3:$H$102,7,FALSE)=VLOOKUP($A11,main!$A$3:$H$102,8,FALSE),VLOOKUP(BI$1,main!$A$3:$H$102,4,FALSE),VLOOKUP(BI$1,main!$A$3:$H$102,4,FALSE)+VLOOKUP($A11,main!$A$3:$H$102,4,FALSE)+(VLOOKUP(VLOOKUP(BI$1,main!$A$3:$H$102,8,FALSE),main!$K$19:$O$22,MATCH(VLOOKUP($A11,main!$A$3:$H$102,7,FALSE),main!$K$18:$O$18,0),0))),0)</f>
        <v>0</v>
      </c>
      <c r="BJ11">
        <f>IF((gamma!BJ11),IF(VLOOKUP(BJ$1,main!$A$3:$H$102,7,FALSE)=VLOOKUP($A11,main!$A$3:$H$102,8,FALSE),VLOOKUP(BJ$1,main!$A$3:$H$102,4,FALSE),VLOOKUP(BJ$1,main!$A$3:$H$102,4,FALSE)+VLOOKUP($A11,main!$A$3:$H$102,4,FALSE)+(VLOOKUP(VLOOKUP(BJ$1,main!$A$3:$H$102,8,FALSE),main!$K$19:$O$22,MATCH(VLOOKUP($A11,main!$A$3:$H$102,7,FALSE),main!$K$18:$O$18,0),0))),0)</f>
        <v>0</v>
      </c>
      <c r="BK11">
        <f>IF((gamma!BK11),IF(VLOOKUP(BK$1,main!$A$3:$H$102,7,FALSE)=VLOOKUP($A11,main!$A$3:$H$102,8,FALSE),VLOOKUP(BK$1,main!$A$3:$H$102,4,FALSE),VLOOKUP(BK$1,main!$A$3:$H$102,4,FALSE)+VLOOKUP($A11,main!$A$3:$H$102,4,FALSE)+(VLOOKUP(VLOOKUP(BK$1,main!$A$3:$H$102,8,FALSE),main!$K$19:$O$22,MATCH(VLOOKUP($A11,main!$A$3:$H$102,7,FALSE),main!$K$18:$O$18,0),0))),0)</f>
        <v>0</v>
      </c>
      <c r="BL11">
        <f>IF((gamma!BL11),IF(VLOOKUP(BL$1,main!$A$3:$H$102,7,FALSE)=VLOOKUP($A11,main!$A$3:$H$102,8,FALSE),VLOOKUP(BL$1,main!$A$3:$H$102,4,FALSE),VLOOKUP(BL$1,main!$A$3:$H$102,4,FALSE)+VLOOKUP($A11,main!$A$3:$H$102,4,FALSE)+(VLOOKUP(VLOOKUP(BL$1,main!$A$3:$H$102,8,FALSE),main!$K$19:$O$22,MATCH(VLOOKUP($A11,main!$A$3:$H$102,7,FALSE),main!$K$18:$O$18,0),0))),0)</f>
        <v>0</v>
      </c>
      <c r="BM11">
        <f>IF((gamma!BM11),IF(VLOOKUP(BM$1,main!$A$3:$H$102,7,FALSE)=VLOOKUP($A11,main!$A$3:$H$102,8,FALSE),VLOOKUP(BM$1,main!$A$3:$H$102,4,FALSE),VLOOKUP(BM$1,main!$A$3:$H$102,4,FALSE)+VLOOKUP($A11,main!$A$3:$H$102,4,FALSE)+(VLOOKUP(VLOOKUP(BM$1,main!$A$3:$H$102,8,FALSE),main!$K$19:$O$22,MATCH(VLOOKUP($A11,main!$A$3:$H$102,7,FALSE),main!$K$18:$O$18,0),0))),0)</f>
        <v>0</v>
      </c>
      <c r="BN11">
        <f>IF((gamma!BN11),IF(VLOOKUP(BN$1,main!$A$3:$H$102,7,FALSE)=VLOOKUP($A11,main!$A$3:$H$102,8,FALSE),VLOOKUP(BN$1,main!$A$3:$H$102,4,FALSE),VLOOKUP(BN$1,main!$A$3:$H$102,4,FALSE)+VLOOKUP($A11,main!$A$3:$H$102,4,FALSE)+(VLOOKUP(VLOOKUP(BN$1,main!$A$3:$H$102,8,FALSE),main!$K$19:$O$22,MATCH(VLOOKUP($A11,main!$A$3:$H$102,7,FALSE),main!$K$18:$O$18,0),0))),0)</f>
        <v>0</v>
      </c>
      <c r="BO11">
        <f>IF((gamma!BO11),IF(VLOOKUP(BO$1,main!$A$3:$H$102,7,FALSE)=VLOOKUP($A11,main!$A$3:$H$102,8,FALSE),VLOOKUP(BO$1,main!$A$3:$H$102,4,FALSE),VLOOKUP(BO$1,main!$A$3:$H$102,4,FALSE)+VLOOKUP($A11,main!$A$3:$H$102,4,FALSE)+(VLOOKUP(VLOOKUP(BO$1,main!$A$3:$H$102,8,FALSE),main!$K$19:$O$22,MATCH(VLOOKUP($A11,main!$A$3:$H$102,7,FALSE),main!$K$18:$O$18,0),0))),0)</f>
        <v>0</v>
      </c>
      <c r="BP11">
        <f>IF((gamma!BP11),IF(VLOOKUP(BP$1,main!$A$3:$H$102,7,FALSE)=VLOOKUP($A11,main!$A$3:$H$102,8,FALSE),VLOOKUP(BP$1,main!$A$3:$H$102,4,FALSE),VLOOKUP(BP$1,main!$A$3:$H$102,4,FALSE)+VLOOKUP($A11,main!$A$3:$H$102,4,FALSE)+(VLOOKUP(VLOOKUP(BP$1,main!$A$3:$H$102,8,FALSE),main!$K$19:$O$22,MATCH(VLOOKUP($A11,main!$A$3:$H$102,7,FALSE),main!$K$18:$O$18,0),0))),0)</f>
        <v>0</v>
      </c>
      <c r="BQ11">
        <f>IF((gamma!BQ11),IF(VLOOKUP(BQ$1,main!$A$3:$H$102,7,FALSE)=VLOOKUP($A11,main!$A$3:$H$102,8,FALSE),VLOOKUP(BQ$1,main!$A$3:$H$102,4,FALSE),VLOOKUP(BQ$1,main!$A$3:$H$102,4,FALSE)+VLOOKUP($A11,main!$A$3:$H$102,4,FALSE)+(VLOOKUP(VLOOKUP(BQ$1,main!$A$3:$H$102,8,FALSE),main!$K$19:$O$22,MATCH(VLOOKUP($A11,main!$A$3:$H$102,7,FALSE),main!$K$18:$O$18,0),0))),0)</f>
        <v>0</v>
      </c>
      <c r="BR11">
        <f>IF((gamma!BR11),IF(VLOOKUP(BR$1,main!$A$3:$H$102,7,FALSE)=VLOOKUP($A11,main!$A$3:$H$102,8,FALSE),VLOOKUP(BR$1,main!$A$3:$H$102,4,FALSE),VLOOKUP(BR$1,main!$A$3:$H$102,4,FALSE)+VLOOKUP($A11,main!$A$3:$H$102,4,FALSE)+(VLOOKUP(VLOOKUP(BR$1,main!$A$3:$H$102,8,FALSE),main!$K$19:$O$22,MATCH(VLOOKUP($A11,main!$A$3:$H$102,7,FALSE),main!$K$18:$O$18,0),0))),0)</f>
        <v>0</v>
      </c>
      <c r="BS11">
        <f>IF((gamma!BS11),IF(VLOOKUP(BS$1,main!$A$3:$H$102,7,FALSE)=VLOOKUP($A11,main!$A$3:$H$102,8,FALSE),VLOOKUP(BS$1,main!$A$3:$H$102,4,FALSE),VLOOKUP(BS$1,main!$A$3:$H$102,4,FALSE)+VLOOKUP($A11,main!$A$3:$H$102,4,FALSE)+(VLOOKUP(VLOOKUP(BS$1,main!$A$3:$H$102,8,FALSE),main!$K$19:$O$22,MATCH(VLOOKUP($A11,main!$A$3:$H$102,7,FALSE),main!$K$18:$O$18,0),0))),0)</f>
        <v>0</v>
      </c>
      <c r="BT11">
        <f>IF((gamma!BT11),IF(VLOOKUP(BT$1,main!$A$3:$H$102,7,FALSE)=VLOOKUP($A11,main!$A$3:$H$102,8,FALSE),VLOOKUP(BT$1,main!$A$3:$H$102,4,FALSE),VLOOKUP(BT$1,main!$A$3:$H$102,4,FALSE)+VLOOKUP($A11,main!$A$3:$H$102,4,FALSE)+(VLOOKUP(VLOOKUP(BT$1,main!$A$3:$H$102,8,FALSE),main!$K$19:$O$22,MATCH(VLOOKUP($A11,main!$A$3:$H$102,7,FALSE),main!$K$18:$O$18,0),0))),0)</f>
        <v>0</v>
      </c>
      <c r="BU11">
        <f>IF((gamma!BU11),IF(VLOOKUP(BU$1,main!$A$3:$H$102,7,FALSE)=VLOOKUP($A11,main!$A$3:$H$102,8,FALSE),VLOOKUP(BU$1,main!$A$3:$H$102,4,FALSE),VLOOKUP(BU$1,main!$A$3:$H$102,4,FALSE)+VLOOKUP($A11,main!$A$3:$H$102,4,FALSE)+(VLOOKUP(VLOOKUP(BU$1,main!$A$3:$H$102,8,FALSE),main!$K$19:$O$22,MATCH(VLOOKUP($A11,main!$A$3:$H$102,7,FALSE),main!$K$18:$O$18,0),0))),0)</f>
        <v>0</v>
      </c>
      <c r="BV11">
        <f>IF((gamma!BV11),IF(VLOOKUP(BV$1,main!$A$3:$H$102,7,FALSE)=VLOOKUP($A11,main!$A$3:$H$102,8,FALSE),VLOOKUP(BV$1,main!$A$3:$H$102,4,FALSE),VLOOKUP(BV$1,main!$A$3:$H$102,4,FALSE)+VLOOKUP($A11,main!$A$3:$H$102,4,FALSE)+(VLOOKUP(VLOOKUP(BV$1,main!$A$3:$H$102,8,FALSE),main!$K$19:$O$22,MATCH(VLOOKUP($A11,main!$A$3:$H$102,7,FALSE),main!$K$18:$O$18,0),0))),0)</f>
        <v>0</v>
      </c>
      <c r="BW11">
        <f>IF((gamma!BW11),IF(VLOOKUP(BW$1,main!$A$3:$H$102,7,FALSE)=VLOOKUP($A11,main!$A$3:$H$102,8,FALSE),VLOOKUP(BW$1,main!$A$3:$H$102,4,FALSE),VLOOKUP(BW$1,main!$A$3:$H$102,4,FALSE)+VLOOKUP($A11,main!$A$3:$H$102,4,FALSE)+(VLOOKUP(VLOOKUP(BW$1,main!$A$3:$H$102,8,FALSE),main!$K$19:$O$22,MATCH(VLOOKUP($A11,main!$A$3:$H$102,7,FALSE),main!$K$18:$O$18,0),0))),0)</f>
        <v>0</v>
      </c>
      <c r="BX11">
        <f>IF((gamma!BX11),IF(VLOOKUP(BX$1,main!$A$3:$H$102,7,FALSE)=VLOOKUP($A11,main!$A$3:$H$102,8,FALSE),VLOOKUP(BX$1,main!$A$3:$H$102,4,FALSE),VLOOKUP(BX$1,main!$A$3:$H$102,4,FALSE)+VLOOKUP($A11,main!$A$3:$H$102,4,FALSE)+(VLOOKUP(VLOOKUP(BX$1,main!$A$3:$H$102,8,FALSE),main!$K$19:$O$22,MATCH(VLOOKUP($A11,main!$A$3:$H$102,7,FALSE),main!$K$18:$O$18,0),0))),0)</f>
        <v>0</v>
      </c>
      <c r="BY11">
        <f>IF((gamma!BY11),IF(VLOOKUP(BY$1,main!$A$3:$H$102,7,FALSE)=VLOOKUP($A11,main!$A$3:$H$102,8,FALSE),VLOOKUP(BY$1,main!$A$3:$H$102,4,FALSE),VLOOKUP(BY$1,main!$A$3:$H$102,4,FALSE)+VLOOKUP($A11,main!$A$3:$H$102,4,FALSE)+(VLOOKUP(VLOOKUP(BY$1,main!$A$3:$H$102,8,FALSE),main!$K$19:$O$22,MATCH(VLOOKUP($A11,main!$A$3:$H$102,7,FALSE),main!$K$18:$O$18,0),0))),0)</f>
        <v>0</v>
      </c>
      <c r="BZ11">
        <f>IF((gamma!BZ11),IF(VLOOKUP(BZ$1,main!$A$3:$H$102,7,FALSE)=VLOOKUP($A11,main!$A$3:$H$102,8,FALSE),VLOOKUP(BZ$1,main!$A$3:$H$102,4,FALSE),VLOOKUP(BZ$1,main!$A$3:$H$102,4,FALSE)+VLOOKUP($A11,main!$A$3:$H$102,4,FALSE)+(VLOOKUP(VLOOKUP(BZ$1,main!$A$3:$H$102,8,FALSE),main!$K$19:$O$22,MATCH(VLOOKUP($A11,main!$A$3:$H$102,7,FALSE),main!$K$18:$O$18,0),0))),0)</f>
        <v>0</v>
      </c>
      <c r="CA11">
        <f>IF((gamma!CA11),IF(VLOOKUP(CA$1,main!$A$3:$H$102,7,FALSE)=VLOOKUP($A11,main!$A$3:$H$102,8,FALSE),VLOOKUP(CA$1,main!$A$3:$H$102,4,FALSE),VLOOKUP(CA$1,main!$A$3:$H$102,4,FALSE)+VLOOKUP($A11,main!$A$3:$H$102,4,FALSE)+(VLOOKUP(VLOOKUP(CA$1,main!$A$3:$H$102,8,FALSE),main!$K$19:$O$22,MATCH(VLOOKUP($A11,main!$A$3:$H$102,7,FALSE),main!$K$18:$O$18,0),0))),0)</f>
        <v>0</v>
      </c>
      <c r="CB11">
        <f>IF((gamma!CB11),IF(VLOOKUP(CB$1,main!$A$3:$H$102,7,FALSE)=VLOOKUP($A11,main!$A$3:$H$102,8,FALSE),VLOOKUP(CB$1,main!$A$3:$H$102,4,FALSE),VLOOKUP(CB$1,main!$A$3:$H$102,4,FALSE)+VLOOKUP($A11,main!$A$3:$H$102,4,FALSE)+(VLOOKUP(VLOOKUP(CB$1,main!$A$3:$H$102,8,FALSE),main!$K$19:$O$22,MATCH(VLOOKUP($A11,main!$A$3:$H$102,7,FALSE),main!$K$18:$O$18,0),0))),0)</f>
        <v>0</v>
      </c>
      <c r="CC11">
        <f>IF((gamma!CC11),IF(VLOOKUP(CC$1,main!$A$3:$H$102,7,FALSE)=VLOOKUP($A11,main!$A$3:$H$102,8,FALSE),VLOOKUP(CC$1,main!$A$3:$H$102,4,FALSE),VLOOKUP(CC$1,main!$A$3:$H$102,4,FALSE)+VLOOKUP($A11,main!$A$3:$H$102,4,FALSE)+(VLOOKUP(VLOOKUP(CC$1,main!$A$3:$H$102,8,FALSE),main!$K$19:$O$22,MATCH(VLOOKUP($A11,main!$A$3:$H$102,7,FALSE),main!$K$18:$O$18,0),0))),0)</f>
        <v>0</v>
      </c>
      <c r="CD11">
        <f>IF((gamma!CD11),IF(VLOOKUP(CD$1,main!$A$3:$H$102,7,FALSE)=VLOOKUP($A11,main!$A$3:$H$102,8,FALSE),VLOOKUP(CD$1,main!$A$3:$H$102,4,FALSE),VLOOKUP(CD$1,main!$A$3:$H$102,4,FALSE)+VLOOKUP($A11,main!$A$3:$H$102,4,FALSE)+(VLOOKUP(VLOOKUP(CD$1,main!$A$3:$H$102,8,FALSE),main!$K$19:$O$22,MATCH(VLOOKUP($A11,main!$A$3:$H$102,7,FALSE),main!$K$18:$O$18,0),0))),0)</f>
        <v>0</v>
      </c>
      <c r="CE11">
        <f>IF((gamma!CE11),IF(VLOOKUP(CE$1,main!$A$3:$H$102,7,FALSE)=VLOOKUP($A11,main!$A$3:$H$102,8,FALSE),VLOOKUP(CE$1,main!$A$3:$H$102,4,FALSE),VLOOKUP(CE$1,main!$A$3:$H$102,4,FALSE)+VLOOKUP($A11,main!$A$3:$H$102,4,FALSE)+(VLOOKUP(VLOOKUP(CE$1,main!$A$3:$H$102,8,FALSE),main!$K$19:$O$22,MATCH(VLOOKUP($A11,main!$A$3:$H$102,7,FALSE),main!$K$18:$O$18,0),0))),0)</f>
        <v>0</v>
      </c>
      <c r="CF11">
        <f>IF((gamma!CF11),IF(VLOOKUP(CF$1,main!$A$3:$H$102,7,FALSE)=VLOOKUP($A11,main!$A$3:$H$102,8,FALSE),VLOOKUP(CF$1,main!$A$3:$H$102,4,FALSE),VLOOKUP(CF$1,main!$A$3:$H$102,4,FALSE)+VLOOKUP($A11,main!$A$3:$H$102,4,FALSE)+(VLOOKUP(VLOOKUP(CF$1,main!$A$3:$H$102,8,FALSE),main!$K$19:$O$22,MATCH(VLOOKUP($A11,main!$A$3:$H$102,7,FALSE),main!$K$18:$O$18,0),0))),0)</f>
        <v>0</v>
      </c>
      <c r="CG11">
        <f>IF((gamma!CG11),IF(VLOOKUP(CG$1,main!$A$3:$H$102,7,FALSE)=VLOOKUP($A11,main!$A$3:$H$102,8,FALSE),VLOOKUP(CG$1,main!$A$3:$H$102,4,FALSE),VLOOKUP(CG$1,main!$A$3:$H$102,4,FALSE)+VLOOKUP($A11,main!$A$3:$H$102,4,FALSE)+(VLOOKUP(VLOOKUP(CG$1,main!$A$3:$H$102,8,FALSE),main!$K$19:$O$22,MATCH(VLOOKUP($A11,main!$A$3:$H$102,7,FALSE),main!$K$18:$O$18,0),0))),0)</f>
        <v>0</v>
      </c>
      <c r="CH11">
        <f>IF((gamma!CH11),IF(VLOOKUP(CH$1,main!$A$3:$H$102,7,FALSE)=VLOOKUP($A11,main!$A$3:$H$102,8,FALSE),VLOOKUP(CH$1,main!$A$3:$H$102,4,FALSE),VLOOKUP(CH$1,main!$A$3:$H$102,4,FALSE)+VLOOKUP($A11,main!$A$3:$H$102,4,FALSE)+(VLOOKUP(VLOOKUP(CH$1,main!$A$3:$H$102,8,FALSE),main!$K$19:$O$22,MATCH(VLOOKUP($A11,main!$A$3:$H$102,7,FALSE),main!$K$18:$O$18,0),0))),0)</f>
        <v>0</v>
      </c>
      <c r="CI11">
        <f>IF((gamma!CI11),IF(VLOOKUP(CI$1,main!$A$3:$H$102,7,FALSE)=VLOOKUP($A11,main!$A$3:$H$102,8,FALSE),VLOOKUP(CI$1,main!$A$3:$H$102,4,FALSE),VLOOKUP(CI$1,main!$A$3:$H$102,4,FALSE)+VLOOKUP($A11,main!$A$3:$H$102,4,FALSE)+(VLOOKUP(VLOOKUP(CI$1,main!$A$3:$H$102,8,FALSE),main!$K$19:$O$22,MATCH(VLOOKUP($A11,main!$A$3:$H$102,7,FALSE),main!$K$18:$O$18,0),0))),0)</f>
        <v>0</v>
      </c>
      <c r="CJ11">
        <f>IF((gamma!CJ11),IF(VLOOKUP(CJ$1,main!$A$3:$H$102,7,FALSE)=VLOOKUP($A11,main!$A$3:$H$102,8,FALSE),VLOOKUP(CJ$1,main!$A$3:$H$102,4,FALSE),VLOOKUP(CJ$1,main!$A$3:$H$102,4,FALSE)+VLOOKUP($A11,main!$A$3:$H$102,4,FALSE)+(VLOOKUP(VLOOKUP(CJ$1,main!$A$3:$H$102,8,FALSE),main!$K$19:$O$22,MATCH(VLOOKUP($A11,main!$A$3:$H$102,7,FALSE),main!$K$18:$O$18,0),0))),0)</f>
        <v>0</v>
      </c>
      <c r="CK11">
        <f>IF((gamma!CK11),IF(VLOOKUP(CK$1,main!$A$3:$H$102,7,FALSE)=VLOOKUP($A11,main!$A$3:$H$102,8,FALSE),VLOOKUP(CK$1,main!$A$3:$H$102,4,FALSE),VLOOKUP(CK$1,main!$A$3:$H$102,4,FALSE)+VLOOKUP($A11,main!$A$3:$H$102,4,FALSE)+(VLOOKUP(VLOOKUP(CK$1,main!$A$3:$H$102,8,FALSE),main!$K$19:$O$22,MATCH(VLOOKUP($A11,main!$A$3:$H$102,7,FALSE),main!$K$18:$O$18,0),0))),0)</f>
        <v>0</v>
      </c>
      <c r="CL11">
        <f>IF((gamma!CL11),IF(VLOOKUP(CL$1,main!$A$3:$H$102,7,FALSE)=VLOOKUP($A11,main!$A$3:$H$102,8,FALSE),VLOOKUP(CL$1,main!$A$3:$H$102,4,FALSE),VLOOKUP(CL$1,main!$A$3:$H$102,4,FALSE)+VLOOKUP($A11,main!$A$3:$H$102,4,FALSE)+(VLOOKUP(VLOOKUP(CL$1,main!$A$3:$H$102,8,FALSE),main!$K$19:$O$22,MATCH(VLOOKUP($A11,main!$A$3:$H$102,7,FALSE),main!$K$18:$O$18,0),0))),0)</f>
        <v>0</v>
      </c>
      <c r="CM11">
        <f>IF((gamma!CM11),IF(VLOOKUP(CM$1,main!$A$3:$H$102,7,FALSE)=VLOOKUP($A11,main!$A$3:$H$102,8,FALSE),VLOOKUP(CM$1,main!$A$3:$H$102,4,FALSE),VLOOKUP(CM$1,main!$A$3:$H$102,4,FALSE)+VLOOKUP($A11,main!$A$3:$H$102,4,FALSE)+(VLOOKUP(VLOOKUP(CM$1,main!$A$3:$H$102,8,FALSE),main!$K$19:$O$22,MATCH(VLOOKUP($A11,main!$A$3:$H$102,7,FALSE),main!$K$18:$O$18,0),0))),0)</f>
        <v>0</v>
      </c>
      <c r="CN11">
        <f>IF((gamma!CN11),IF(VLOOKUP(CN$1,main!$A$3:$H$102,7,FALSE)=VLOOKUP($A11,main!$A$3:$H$102,8,FALSE),VLOOKUP(CN$1,main!$A$3:$H$102,4,FALSE),VLOOKUP(CN$1,main!$A$3:$H$102,4,FALSE)+VLOOKUP($A11,main!$A$3:$H$102,4,FALSE)+(VLOOKUP(VLOOKUP(CN$1,main!$A$3:$H$102,8,FALSE),main!$K$19:$O$22,MATCH(VLOOKUP($A11,main!$A$3:$H$102,7,FALSE),main!$K$18:$O$18,0),0))),0)</f>
        <v>0</v>
      </c>
      <c r="CO11">
        <f>IF((gamma!CO11),IF(VLOOKUP(CO$1,main!$A$3:$H$102,7,FALSE)=VLOOKUP($A11,main!$A$3:$H$102,8,FALSE),VLOOKUP(CO$1,main!$A$3:$H$102,4,FALSE),VLOOKUP(CO$1,main!$A$3:$H$102,4,FALSE)+VLOOKUP($A11,main!$A$3:$H$102,4,FALSE)+(VLOOKUP(VLOOKUP(CO$1,main!$A$3:$H$102,8,FALSE),main!$K$19:$O$22,MATCH(VLOOKUP($A11,main!$A$3:$H$102,7,FALSE),main!$K$18:$O$18,0),0))),0)</f>
        <v>0</v>
      </c>
      <c r="CP11">
        <f>IF((gamma!CP11),IF(VLOOKUP(CP$1,main!$A$3:$H$102,7,FALSE)=VLOOKUP($A11,main!$A$3:$H$102,8,FALSE),VLOOKUP(CP$1,main!$A$3:$H$102,4,FALSE),VLOOKUP(CP$1,main!$A$3:$H$102,4,FALSE)+VLOOKUP($A11,main!$A$3:$H$102,4,FALSE)+(VLOOKUP(VLOOKUP(CP$1,main!$A$3:$H$102,8,FALSE),main!$K$19:$O$22,MATCH(VLOOKUP($A11,main!$A$3:$H$102,7,FALSE),main!$K$18:$O$18,0),0))),0)</f>
        <v>0</v>
      </c>
      <c r="CQ11">
        <f>IF((gamma!CQ11),IF(VLOOKUP(CQ$1,main!$A$3:$H$102,7,FALSE)=VLOOKUP($A11,main!$A$3:$H$102,8,FALSE),VLOOKUP(CQ$1,main!$A$3:$H$102,4,FALSE),VLOOKUP(CQ$1,main!$A$3:$H$102,4,FALSE)+VLOOKUP($A11,main!$A$3:$H$102,4,FALSE)+(VLOOKUP(VLOOKUP(CQ$1,main!$A$3:$H$102,8,FALSE),main!$K$19:$O$22,MATCH(VLOOKUP($A11,main!$A$3:$H$102,7,FALSE),main!$K$18:$O$18,0),0))),0)</f>
        <v>0</v>
      </c>
      <c r="CR11">
        <f>IF((gamma!CR11),IF(VLOOKUP(CR$1,main!$A$3:$H$102,7,FALSE)=VLOOKUP($A11,main!$A$3:$H$102,8,FALSE),VLOOKUP(CR$1,main!$A$3:$H$102,4,FALSE),VLOOKUP(CR$1,main!$A$3:$H$102,4,FALSE)+VLOOKUP($A11,main!$A$3:$H$102,4,FALSE)+(VLOOKUP(VLOOKUP(CR$1,main!$A$3:$H$102,8,FALSE),main!$K$19:$O$22,MATCH(VLOOKUP($A11,main!$A$3:$H$102,7,FALSE),main!$K$18:$O$18,0),0))),0)</f>
        <v>0</v>
      </c>
      <c r="CS11">
        <f>IF((gamma!CS11),IF(VLOOKUP(CS$1,main!$A$3:$H$102,7,FALSE)=VLOOKUP($A11,main!$A$3:$H$102,8,FALSE),VLOOKUP(CS$1,main!$A$3:$H$102,4,FALSE),VLOOKUP(CS$1,main!$A$3:$H$102,4,FALSE)+VLOOKUP($A11,main!$A$3:$H$102,4,FALSE)+(VLOOKUP(VLOOKUP(CS$1,main!$A$3:$H$102,8,FALSE),main!$K$19:$O$22,MATCH(VLOOKUP($A11,main!$A$3:$H$102,7,FALSE),main!$K$18:$O$18,0),0))),0)</f>
        <v>0</v>
      </c>
      <c r="CT11">
        <f>IF((gamma!CT11),IF(VLOOKUP(CT$1,main!$A$3:$H$102,7,FALSE)=VLOOKUP($A11,main!$A$3:$H$102,8,FALSE),VLOOKUP(CT$1,main!$A$3:$H$102,4,FALSE),VLOOKUP(CT$1,main!$A$3:$H$102,4,FALSE)+VLOOKUP($A11,main!$A$3:$H$102,4,FALSE)+(VLOOKUP(VLOOKUP(CT$1,main!$A$3:$H$102,8,FALSE),main!$K$19:$O$22,MATCH(VLOOKUP($A11,main!$A$3:$H$102,7,FALSE),main!$K$18:$O$18,0),0))),0)</f>
        <v>0</v>
      </c>
      <c r="CU11">
        <f>IF((gamma!CU11),IF(VLOOKUP(CU$1,main!$A$3:$H$102,7,FALSE)=VLOOKUP($A11,main!$A$3:$H$102,8,FALSE),VLOOKUP(CU$1,main!$A$3:$H$102,4,FALSE),VLOOKUP(CU$1,main!$A$3:$H$102,4,FALSE)+VLOOKUP($A11,main!$A$3:$H$102,4,FALSE)+(VLOOKUP(VLOOKUP(CU$1,main!$A$3:$H$102,8,FALSE),main!$K$19:$O$22,MATCH(VLOOKUP($A11,main!$A$3:$H$102,7,FALSE),main!$K$18:$O$18,0),0))),0)</f>
        <v>0</v>
      </c>
      <c r="CV11">
        <f>IF((gamma!CV11),IF(VLOOKUP(CV$1,main!$A$3:$H$102,7,FALSE)=VLOOKUP($A11,main!$A$3:$H$102,8,FALSE),VLOOKUP(CV$1,main!$A$3:$H$102,4,FALSE),VLOOKUP(CV$1,main!$A$3:$H$102,4,FALSE)+VLOOKUP($A11,main!$A$3:$H$102,4,FALSE)+(VLOOKUP(VLOOKUP(CV$1,main!$A$3:$H$102,8,FALSE),main!$K$19:$O$22,MATCH(VLOOKUP($A11,main!$A$3:$H$102,7,FALSE),main!$K$18:$O$18,0),0))),0)</f>
        <v>0</v>
      </c>
      <c r="CW11">
        <f>IF((gamma!CW11),IF(VLOOKUP(CW$1,main!$A$3:$H$102,7,FALSE)=VLOOKUP($A11,main!$A$3:$H$102,8,FALSE),VLOOKUP(CW$1,main!$A$3:$H$102,4,FALSE),VLOOKUP(CW$1,main!$A$3:$H$102,4,FALSE)+VLOOKUP($A11,main!$A$3:$H$102,4,FALSE)+(VLOOKUP(VLOOKUP(CW$1,main!$A$3:$H$102,8,FALSE),main!$K$19:$O$22,MATCH(VLOOKUP($A11,main!$A$3:$H$102,7,FALSE),main!$K$18:$O$18,0),0))),0)</f>
        <v>0</v>
      </c>
      <c r="CX11">
        <f>IF((gamma!CX11),IF(VLOOKUP(CX$1,main!$A$3:$H$102,7,FALSE)=VLOOKUP($A11,main!$A$3:$H$102,8,FALSE),VLOOKUP(CX$1,main!$A$3:$H$102,4,FALSE),VLOOKUP(CX$1,main!$A$3:$H$102,4,FALSE)+VLOOKUP($A11,main!$A$3:$H$102,4,FALSE)+(VLOOKUP(VLOOKUP(CX$1,main!$A$3:$H$102,8,FALSE),main!$K$19:$O$22,MATCH(VLOOKUP($A11,main!$A$3:$H$102,7,FALSE),main!$K$18:$O$18,0),0))),0)</f>
        <v>0</v>
      </c>
      <c r="CY11">
        <v>0</v>
      </c>
      <c r="CZ11">
        <v>0</v>
      </c>
      <c r="DA11">
        <v>0</v>
      </c>
    </row>
    <row r="12" spans="1:105" x14ac:dyDescent="0.25">
      <c r="A12" s="1">
        <v>10</v>
      </c>
      <c r="B12">
        <v>0</v>
      </c>
      <c r="C12">
        <f>IF((gamma!C12),IF(VLOOKUP(C$1,main!$A$3:$H$102,7,FALSE)=VLOOKUP($A12,main!$A$3:$H$102,8,FALSE),VLOOKUP(C$1,main!$A$3:$H$102,4,FALSE),VLOOKUP(C$1,main!$A$3:$H$102,4,FALSE)+VLOOKUP($A12,main!$A$3:$H$102,4,FALSE)+(VLOOKUP(VLOOKUP(C$1,main!$A$3:$H$102,8,FALSE),main!$K$19:$O$22,MATCH(VLOOKUP($A12,main!$A$3:$H$102,7,FALSE),main!$K$18:$O$18,0),0))),0)</f>
        <v>0</v>
      </c>
      <c r="D12">
        <f>IF((gamma!D12),IF(VLOOKUP(D$1,main!$A$3:$H$102,7,FALSE)=VLOOKUP($A12,main!$A$3:$H$102,8,FALSE),VLOOKUP(D$1,main!$A$3:$H$102,4,FALSE),VLOOKUP(D$1,main!$A$3:$H$102,4,FALSE)+VLOOKUP($A12,main!$A$3:$H$102,4,FALSE)+(VLOOKUP(VLOOKUP(D$1,main!$A$3:$H$102,8,FALSE),main!$K$19:$O$22,MATCH(VLOOKUP($A12,main!$A$3:$H$102,7,FALSE),main!$K$18:$O$18,0),0))),0)</f>
        <v>0</v>
      </c>
      <c r="E12">
        <f>IF((gamma!E12),IF(VLOOKUP(E$1,main!$A$3:$H$102,7,FALSE)=VLOOKUP($A12,main!$A$3:$H$102,8,FALSE),VLOOKUP(E$1,main!$A$3:$H$102,4,FALSE),VLOOKUP(E$1,main!$A$3:$H$102,4,FALSE)+VLOOKUP($A12,main!$A$3:$H$102,4,FALSE)+(VLOOKUP(VLOOKUP(E$1,main!$A$3:$H$102,8,FALSE),main!$K$19:$O$22,MATCH(VLOOKUP($A12,main!$A$3:$H$102,7,FALSE),main!$K$18:$O$18,0),0))),0)</f>
        <v>0</v>
      </c>
      <c r="F12">
        <f>IF((gamma!F12),IF(VLOOKUP(F$1,main!$A$3:$H$102,7,FALSE)=VLOOKUP($A12,main!$A$3:$H$102,8,FALSE),VLOOKUP(F$1,main!$A$3:$H$102,4,FALSE),VLOOKUP(F$1,main!$A$3:$H$102,4,FALSE)+VLOOKUP($A12,main!$A$3:$H$102,4,FALSE)+(VLOOKUP(VLOOKUP(F$1,main!$A$3:$H$102,8,FALSE),main!$K$19:$O$22,MATCH(VLOOKUP($A12,main!$A$3:$H$102,7,FALSE),main!$K$18:$O$18,0),0))),0)</f>
        <v>0</v>
      </c>
      <c r="G12">
        <f>IF((gamma!G12),IF(VLOOKUP(G$1,main!$A$3:$H$102,7,FALSE)=VLOOKUP($A12,main!$A$3:$H$102,8,FALSE),VLOOKUP(G$1,main!$A$3:$H$102,4,FALSE),VLOOKUP(G$1,main!$A$3:$H$102,4,FALSE)+VLOOKUP($A12,main!$A$3:$H$102,4,FALSE)+(VLOOKUP(VLOOKUP(G$1,main!$A$3:$H$102,8,FALSE),main!$K$19:$O$22,MATCH(VLOOKUP($A12,main!$A$3:$H$102,7,FALSE),main!$K$18:$O$18,0),0))),0)</f>
        <v>0</v>
      </c>
      <c r="H12">
        <f>IF((gamma!H12),IF(VLOOKUP(H$1,main!$A$3:$H$102,7,FALSE)=VLOOKUP($A12,main!$A$3:$H$102,8,FALSE),VLOOKUP(H$1,main!$A$3:$H$102,4,FALSE),VLOOKUP(H$1,main!$A$3:$H$102,4,FALSE)+VLOOKUP($A12,main!$A$3:$H$102,4,FALSE)+(VLOOKUP(VLOOKUP(H$1,main!$A$3:$H$102,8,FALSE),main!$K$19:$O$22,MATCH(VLOOKUP($A12,main!$A$3:$H$102,7,FALSE),main!$K$18:$O$18,0),0))),0)</f>
        <v>0</v>
      </c>
      <c r="I12">
        <f>IF((gamma!I12),IF(VLOOKUP(I$1,main!$A$3:$H$102,7,FALSE)=VLOOKUP($A12,main!$A$3:$H$102,8,FALSE),VLOOKUP(I$1,main!$A$3:$H$102,4,FALSE),VLOOKUP(I$1,main!$A$3:$H$102,4,FALSE)+VLOOKUP($A12,main!$A$3:$H$102,4,FALSE)+(VLOOKUP(VLOOKUP(I$1,main!$A$3:$H$102,8,FALSE),main!$K$19:$O$22,MATCH(VLOOKUP($A12,main!$A$3:$H$102,7,FALSE),main!$K$18:$O$18,0),0))),0)</f>
        <v>0</v>
      </c>
      <c r="J12">
        <f>IF((gamma!J12),IF(VLOOKUP(J$1,main!$A$3:$H$102,7,FALSE)=VLOOKUP($A12,main!$A$3:$H$102,8,FALSE),VLOOKUP(J$1,main!$A$3:$H$102,4,FALSE),VLOOKUP(J$1,main!$A$3:$H$102,4,FALSE)+VLOOKUP($A12,main!$A$3:$H$102,4,FALSE)+(VLOOKUP(VLOOKUP(J$1,main!$A$3:$H$102,8,FALSE),main!$K$19:$O$22,MATCH(VLOOKUP($A12,main!$A$3:$H$102,7,FALSE),main!$K$18:$O$18,0),0))),0)</f>
        <v>0</v>
      </c>
      <c r="K12">
        <f>IF((gamma!K12),IF(VLOOKUP(K$1,main!$A$3:$H$102,7,FALSE)=VLOOKUP($A12,main!$A$3:$H$102,8,FALSE),VLOOKUP(K$1,main!$A$3:$H$102,4,FALSE),VLOOKUP(K$1,main!$A$3:$H$102,4,FALSE)+VLOOKUP($A12,main!$A$3:$H$102,4,FALSE)+(VLOOKUP(VLOOKUP(K$1,main!$A$3:$H$102,8,FALSE),main!$K$19:$O$22,MATCH(VLOOKUP($A12,main!$A$3:$H$102,7,FALSE),main!$K$18:$O$18,0),0))),0)</f>
        <v>0</v>
      </c>
      <c r="L12">
        <f>IF((gamma!L12),IF(VLOOKUP(L$1,main!$A$3:$H$102,7,FALSE)=VLOOKUP($A12,main!$A$3:$H$102,8,FALSE),VLOOKUP(L$1,main!$A$3:$H$102,4,FALSE),VLOOKUP(L$1,main!$A$3:$H$102,4,FALSE)+VLOOKUP($A12,main!$A$3:$H$102,4,FALSE)+(VLOOKUP(VLOOKUP(L$1,main!$A$3:$H$102,8,FALSE),main!$K$19:$O$22,MATCH(VLOOKUP($A12,main!$A$3:$H$102,7,FALSE),main!$K$18:$O$18,0),0))),0)</f>
        <v>0</v>
      </c>
      <c r="M12">
        <f>IF((gamma!M12),IF(VLOOKUP(M$1,main!$A$3:$H$102,7,FALSE)=VLOOKUP($A12,main!$A$3:$H$102,8,FALSE),VLOOKUP(M$1,main!$A$3:$H$102,4,FALSE),VLOOKUP(M$1,main!$A$3:$H$102,4,FALSE)+VLOOKUP($A12,main!$A$3:$H$102,4,FALSE)+(VLOOKUP(VLOOKUP(M$1,main!$A$3:$H$102,8,FALSE),main!$K$19:$O$22,MATCH(VLOOKUP($A12,main!$A$3:$H$102,7,FALSE),main!$K$18:$O$18,0),0))),0)</f>
        <v>0</v>
      </c>
      <c r="N12">
        <f>IF((gamma!N12),IF(VLOOKUP(N$1,main!$A$3:$H$102,7,FALSE)=VLOOKUP($A12,main!$A$3:$H$102,8,FALSE),VLOOKUP(N$1,main!$A$3:$H$102,4,FALSE),VLOOKUP(N$1,main!$A$3:$H$102,4,FALSE)+VLOOKUP($A12,main!$A$3:$H$102,4,FALSE)+(VLOOKUP(VLOOKUP(N$1,main!$A$3:$H$102,8,FALSE),main!$K$19:$O$22,MATCH(VLOOKUP($A12,main!$A$3:$H$102,7,FALSE),main!$K$18:$O$18,0),0))),0)</f>
        <v>0</v>
      </c>
      <c r="O12">
        <f>IF((gamma!O12),IF(VLOOKUP(O$1,main!$A$3:$H$102,7,FALSE)=VLOOKUP($A12,main!$A$3:$H$102,8,FALSE),VLOOKUP(O$1,main!$A$3:$H$102,4,FALSE),VLOOKUP(O$1,main!$A$3:$H$102,4,FALSE)+VLOOKUP($A12,main!$A$3:$H$102,4,FALSE)+(VLOOKUP(VLOOKUP(O$1,main!$A$3:$H$102,8,FALSE),main!$K$19:$O$22,MATCH(VLOOKUP($A12,main!$A$3:$H$102,7,FALSE),main!$K$18:$O$18,0),0))),0)</f>
        <v>0</v>
      </c>
      <c r="P12">
        <f>IF((gamma!P12),IF(VLOOKUP(P$1,main!$A$3:$H$102,7,FALSE)=VLOOKUP($A12,main!$A$3:$H$102,8,FALSE),VLOOKUP(P$1,main!$A$3:$H$102,4,FALSE),VLOOKUP(P$1,main!$A$3:$H$102,4,FALSE)+VLOOKUP($A12,main!$A$3:$H$102,4,FALSE)+(VLOOKUP(VLOOKUP(P$1,main!$A$3:$H$102,8,FALSE),main!$K$19:$O$22,MATCH(VLOOKUP($A12,main!$A$3:$H$102,7,FALSE),main!$K$18:$O$18,0),0))),0)</f>
        <v>0</v>
      </c>
      <c r="Q12">
        <f>IF((gamma!Q12),IF(VLOOKUP(Q$1,main!$A$3:$H$102,7,FALSE)=VLOOKUP($A12,main!$A$3:$H$102,8,FALSE),VLOOKUP(Q$1,main!$A$3:$H$102,4,FALSE),VLOOKUP(Q$1,main!$A$3:$H$102,4,FALSE)+VLOOKUP($A12,main!$A$3:$H$102,4,FALSE)+(VLOOKUP(VLOOKUP(Q$1,main!$A$3:$H$102,8,FALSE),main!$K$19:$O$22,MATCH(VLOOKUP($A12,main!$A$3:$H$102,7,FALSE),main!$K$18:$O$18,0),0))),0)</f>
        <v>0</v>
      </c>
      <c r="R12">
        <f>IF((gamma!R12),IF(VLOOKUP(R$1,main!$A$3:$H$102,7,FALSE)=VLOOKUP($A12,main!$A$3:$H$102,8,FALSE),VLOOKUP(R$1,main!$A$3:$H$102,4,FALSE),VLOOKUP(R$1,main!$A$3:$H$102,4,FALSE)+VLOOKUP($A12,main!$A$3:$H$102,4,FALSE)+(VLOOKUP(VLOOKUP(R$1,main!$A$3:$H$102,8,FALSE),main!$K$19:$O$22,MATCH(VLOOKUP($A12,main!$A$3:$H$102,7,FALSE),main!$K$18:$O$18,0),0))),0)</f>
        <v>0</v>
      </c>
      <c r="S12">
        <f>IF((gamma!S12),IF(VLOOKUP(S$1,main!$A$3:$H$102,7,FALSE)=VLOOKUP($A12,main!$A$3:$H$102,8,FALSE),VLOOKUP(S$1,main!$A$3:$H$102,4,FALSE),VLOOKUP(S$1,main!$A$3:$H$102,4,FALSE)+VLOOKUP($A12,main!$A$3:$H$102,4,FALSE)+(VLOOKUP(VLOOKUP(S$1,main!$A$3:$H$102,8,FALSE),main!$K$19:$O$22,MATCH(VLOOKUP($A12,main!$A$3:$H$102,7,FALSE),main!$K$18:$O$18,0),0))),0)</f>
        <v>0</v>
      </c>
      <c r="T12">
        <f>IF((gamma!T12),IF(VLOOKUP(T$1,main!$A$3:$H$102,7,FALSE)=VLOOKUP($A12,main!$A$3:$H$102,8,FALSE),VLOOKUP(T$1,main!$A$3:$H$102,4,FALSE),VLOOKUP(T$1,main!$A$3:$H$102,4,FALSE)+VLOOKUP($A12,main!$A$3:$H$102,4,FALSE)+(VLOOKUP(VLOOKUP(T$1,main!$A$3:$H$102,8,FALSE),main!$K$19:$O$22,MATCH(VLOOKUP($A12,main!$A$3:$H$102,7,FALSE),main!$K$18:$O$18,0),0))),0)</f>
        <v>0</v>
      </c>
      <c r="U12">
        <f>IF((gamma!U12),IF(VLOOKUP(U$1,main!$A$3:$H$102,7,FALSE)=VLOOKUP($A12,main!$A$3:$H$102,8,FALSE),VLOOKUP(U$1,main!$A$3:$H$102,4,FALSE),VLOOKUP(U$1,main!$A$3:$H$102,4,FALSE)+VLOOKUP($A12,main!$A$3:$H$102,4,FALSE)+(VLOOKUP(VLOOKUP(U$1,main!$A$3:$H$102,8,FALSE),main!$K$19:$O$22,MATCH(VLOOKUP($A12,main!$A$3:$H$102,7,FALSE),main!$K$18:$O$18,0),0))),0)</f>
        <v>0</v>
      </c>
      <c r="V12">
        <f>IF((gamma!V12),IF(VLOOKUP(V$1,main!$A$3:$H$102,7,FALSE)=VLOOKUP($A12,main!$A$3:$H$102,8,FALSE),VLOOKUP(V$1,main!$A$3:$H$102,4,FALSE),VLOOKUP(V$1,main!$A$3:$H$102,4,FALSE)+VLOOKUP($A12,main!$A$3:$H$102,4,FALSE)+(VLOOKUP(VLOOKUP(V$1,main!$A$3:$H$102,8,FALSE),main!$K$19:$O$22,MATCH(VLOOKUP($A12,main!$A$3:$H$102,7,FALSE),main!$K$18:$O$18,0),0))),0)</f>
        <v>0</v>
      </c>
      <c r="W12">
        <f>IF((gamma!W12),IF(VLOOKUP(W$1,main!$A$3:$H$102,7,FALSE)=VLOOKUP($A12,main!$A$3:$H$102,8,FALSE),VLOOKUP(W$1,main!$A$3:$H$102,4,FALSE),VLOOKUP(W$1,main!$A$3:$H$102,4,FALSE)+VLOOKUP($A12,main!$A$3:$H$102,4,FALSE)+(VLOOKUP(VLOOKUP(W$1,main!$A$3:$H$102,8,FALSE),main!$K$19:$O$22,MATCH(VLOOKUP($A12,main!$A$3:$H$102,7,FALSE),main!$K$18:$O$18,0),0))),0)</f>
        <v>0</v>
      </c>
      <c r="X12">
        <f>IF((gamma!X12),IF(VLOOKUP(X$1,main!$A$3:$H$102,7,FALSE)=VLOOKUP($A12,main!$A$3:$H$102,8,FALSE),VLOOKUP(X$1,main!$A$3:$H$102,4,FALSE),VLOOKUP(X$1,main!$A$3:$H$102,4,FALSE)+VLOOKUP($A12,main!$A$3:$H$102,4,FALSE)+(VLOOKUP(VLOOKUP(X$1,main!$A$3:$H$102,8,FALSE),main!$K$19:$O$22,MATCH(VLOOKUP($A12,main!$A$3:$H$102,7,FALSE),main!$K$18:$O$18,0),0))),0)</f>
        <v>0</v>
      </c>
      <c r="Y12">
        <f>IF((gamma!Y12),IF(VLOOKUP(Y$1,main!$A$3:$H$102,7,FALSE)=VLOOKUP($A12,main!$A$3:$H$102,8,FALSE),VLOOKUP(Y$1,main!$A$3:$H$102,4,FALSE),VLOOKUP(Y$1,main!$A$3:$H$102,4,FALSE)+VLOOKUP($A12,main!$A$3:$H$102,4,FALSE)+(VLOOKUP(VLOOKUP(Y$1,main!$A$3:$H$102,8,FALSE),main!$K$19:$O$22,MATCH(VLOOKUP($A12,main!$A$3:$H$102,7,FALSE),main!$K$18:$O$18,0),0))),0)</f>
        <v>0</v>
      </c>
      <c r="Z12">
        <f>IF((gamma!Z12),IF(VLOOKUP(Z$1,main!$A$3:$H$102,7,FALSE)=VLOOKUP($A12,main!$A$3:$H$102,8,FALSE),VLOOKUP(Z$1,main!$A$3:$H$102,4,FALSE),VLOOKUP(Z$1,main!$A$3:$H$102,4,FALSE)+VLOOKUP($A12,main!$A$3:$H$102,4,FALSE)+(VLOOKUP(VLOOKUP(Z$1,main!$A$3:$H$102,8,FALSE),main!$K$19:$O$22,MATCH(VLOOKUP($A12,main!$A$3:$H$102,7,FALSE),main!$K$18:$O$18,0),0))),0)</f>
        <v>0</v>
      </c>
      <c r="AA12">
        <f>IF((gamma!AA12),IF(VLOOKUP(AA$1,main!$A$3:$H$102,7,FALSE)=VLOOKUP($A12,main!$A$3:$H$102,8,FALSE),VLOOKUP(AA$1,main!$A$3:$H$102,4,FALSE),VLOOKUP(AA$1,main!$A$3:$H$102,4,FALSE)+VLOOKUP($A12,main!$A$3:$H$102,4,FALSE)+(VLOOKUP(VLOOKUP(AA$1,main!$A$3:$H$102,8,FALSE),main!$K$19:$O$22,MATCH(VLOOKUP($A12,main!$A$3:$H$102,7,FALSE),main!$K$18:$O$18,0),0))),0)</f>
        <v>0</v>
      </c>
      <c r="AB12">
        <f>IF((gamma!AB12),IF(VLOOKUP(AB$1,main!$A$3:$H$102,7,FALSE)=VLOOKUP($A12,main!$A$3:$H$102,8,FALSE),VLOOKUP(AB$1,main!$A$3:$H$102,4,FALSE),VLOOKUP(AB$1,main!$A$3:$H$102,4,FALSE)+VLOOKUP($A12,main!$A$3:$H$102,4,FALSE)+(VLOOKUP(VLOOKUP(AB$1,main!$A$3:$H$102,8,FALSE),main!$K$19:$O$22,MATCH(VLOOKUP($A12,main!$A$3:$H$102,7,FALSE),main!$K$18:$O$18,0),0))),0)</f>
        <v>0</v>
      </c>
      <c r="AC12">
        <f>IF((gamma!AC12),IF(VLOOKUP(AC$1,main!$A$3:$H$102,7,FALSE)=VLOOKUP($A12,main!$A$3:$H$102,8,FALSE),VLOOKUP(AC$1,main!$A$3:$H$102,4,FALSE),VLOOKUP(AC$1,main!$A$3:$H$102,4,FALSE)+VLOOKUP($A12,main!$A$3:$H$102,4,FALSE)+(VLOOKUP(VLOOKUP(AC$1,main!$A$3:$H$102,8,FALSE),main!$K$19:$O$22,MATCH(VLOOKUP($A12,main!$A$3:$H$102,7,FALSE),main!$K$18:$O$18,0),0))),0)</f>
        <v>0</v>
      </c>
      <c r="AD12">
        <f>IF((gamma!AD12),IF(VLOOKUP(AD$1,main!$A$3:$H$102,7,FALSE)=VLOOKUP($A12,main!$A$3:$H$102,8,FALSE),VLOOKUP(AD$1,main!$A$3:$H$102,4,FALSE),VLOOKUP(AD$1,main!$A$3:$H$102,4,FALSE)+VLOOKUP($A12,main!$A$3:$H$102,4,FALSE)+(VLOOKUP(VLOOKUP(AD$1,main!$A$3:$H$102,8,FALSE),main!$K$19:$O$22,MATCH(VLOOKUP($A12,main!$A$3:$H$102,7,FALSE),main!$K$18:$O$18,0),0))),0)</f>
        <v>0</v>
      </c>
      <c r="AE12">
        <f>IF((gamma!AE12),IF(VLOOKUP(AE$1,main!$A$3:$H$102,7,FALSE)=VLOOKUP($A12,main!$A$3:$H$102,8,FALSE),VLOOKUP(AE$1,main!$A$3:$H$102,4,FALSE),VLOOKUP(AE$1,main!$A$3:$H$102,4,FALSE)+VLOOKUP($A12,main!$A$3:$H$102,4,FALSE)+(VLOOKUP(VLOOKUP(AE$1,main!$A$3:$H$102,8,FALSE),main!$K$19:$O$22,MATCH(VLOOKUP($A12,main!$A$3:$H$102,7,FALSE),main!$K$18:$O$18,0),0))),0)</f>
        <v>0</v>
      </c>
      <c r="AF12">
        <f>IF((gamma!AF12),IF(VLOOKUP(AF$1,main!$A$3:$H$102,7,FALSE)=VLOOKUP($A12,main!$A$3:$H$102,8,FALSE),VLOOKUP(AF$1,main!$A$3:$H$102,4,FALSE),VLOOKUP(AF$1,main!$A$3:$H$102,4,FALSE)+VLOOKUP($A12,main!$A$3:$H$102,4,FALSE)+(VLOOKUP(VLOOKUP(AF$1,main!$A$3:$H$102,8,FALSE),main!$K$19:$O$22,MATCH(VLOOKUP($A12,main!$A$3:$H$102,7,FALSE),main!$K$18:$O$18,0),0))),0)</f>
        <v>0</v>
      </c>
      <c r="AG12">
        <f>IF((gamma!AG12),IF(VLOOKUP(AG$1,main!$A$3:$H$102,7,FALSE)=VLOOKUP($A12,main!$A$3:$H$102,8,FALSE),VLOOKUP(AG$1,main!$A$3:$H$102,4,FALSE),VLOOKUP(AG$1,main!$A$3:$H$102,4,FALSE)+VLOOKUP($A12,main!$A$3:$H$102,4,FALSE)+(VLOOKUP(VLOOKUP(AG$1,main!$A$3:$H$102,8,FALSE),main!$K$19:$O$22,MATCH(VLOOKUP($A12,main!$A$3:$H$102,7,FALSE),main!$K$18:$O$18,0),0))),0)</f>
        <v>0</v>
      </c>
      <c r="AH12">
        <f>IF((gamma!AH12),IF(VLOOKUP(AH$1,main!$A$3:$H$102,7,FALSE)=VLOOKUP($A12,main!$A$3:$H$102,8,FALSE),VLOOKUP(AH$1,main!$A$3:$H$102,4,FALSE),VLOOKUP(AH$1,main!$A$3:$H$102,4,FALSE)+VLOOKUP($A12,main!$A$3:$H$102,4,FALSE)+(VLOOKUP(VLOOKUP(AH$1,main!$A$3:$H$102,8,FALSE),main!$K$19:$O$22,MATCH(VLOOKUP($A12,main!$A$3:$H$102,7,FALSE),main!$K$18:$O$18,0),0))),0)</f>
        <v>0</v>
      </c>
      <c r="AI12">
        <f>IF((gamma!AI12),IF(VLOOKUP(AI$1,main!$A$3:$H$102,7,FALSE)=VLOOKUP($A12,main!$A$3:$H$102,8,FALSE),VLOOKUP(AI$1,main!$A$3:$H$102,4,FALSE),VLOOKUP(AI$1,main!$A$3:$H$102,4,FALSE)+VLOOKUP($A12,main!$A$3:$H$102,4,FALSE)+(VLOOKUP(VLOOKUP(AI$1,main!$A$3:$H$102,8,FALSE),main!$K$19:$O$22,MATCH(VLOOKUP($A12,main!$A$3:$H$102,7,FALSE),main!$K$18:$O$18,0),0))),0)</f>
        <v>0</v>
      </c>
      <c r="AJ12">
        <f>IF((gamma!AJ12),IF(VLOOKUP(AJ$1,main!$A$3:$H$102,7,FALSE)=VLOOKUP($A12,main!$A$3:$H$102,8,FALSE),VLOOKUP(AJ$1,main!$A$3:$H$102,4,FALSE),VLOOKUP(AJ$1,main!$A$3:$H$102,4,FALSE)+VLOOKUP($A12,main!$A$3:$H$102,4,FALSE)+(VLOOKUP(VLOOKUP(AJ$1,main!$A$3:$H$102,8,FALSE),main!$K$19:$O$22,MATCH(VLOOKUP($A12,main!$A$3:$H$102,7,FALSE),main!$K$18:$O$18,0),0))),0)</f>
        <v>0</v>
      </c>
      <c r="AK12">
        <f>IF((gamma!AK12),IF(VLOOKUP(AK$1,main!$A$3:$H$102,7,FALSE)=VLOOKUP($A12,main!$A$3:$H$102,8,FALSE),VLOOKUP(AK$1,main!$A$3:$H$102,4,FALSE),VLOOKUP(AK$1,main!$A$3:$H$102,4,FALSE)+VLOOKUP($A12,main!$A$3:$H$102,4,FALSE)+(VLOOKUP(VLOOKUP(AK$1,main!$A$3:$H$102,8,FALSE),main!$K$19:$O$22,MATCH(VLOOKUP($A12,main!$A$3:$H$102,7,FALSE),main!$K$18:$O$18,0),0))),0)</f>
        <v>0</v>
      </c>
      <c r="AL12">
        <f>IF((gamma!AL12),IF(VLOOKUP(AL$1,main!$A$3:$H$102,7,FALSE)=VLOOKUP($A12,main!$A$3:$H$102,8,FALSE),VLOOKUP(AL$1,main!$A$3:$H$102,4,FALSE),VLOOKUP(AL$1,main!$A$3:$H$102,4,FALSE)+VLOOKUP($A12,main!$A$3:$H$102,4,FALSE)+(VLOOKUP(VLOOKUP(AL$1,main!$A$3:$H$102,8,FALSE),main!$K$19:$O$22,MATCH(VLOOKUP($A12,main!$A$3:$H$102,7,FALSE),main!$K$18:$O$18,0),0))),0)</f>
        <v>0</v>
      </c>
      <c r="AM12">
        <f>IF((gamma!AM12),IF(VLOOKUP(AM$1,main!$A$3:$H$102,7,FALSE)=VLOOKUP($A12,main!$A$3:$H$102,8,FALSE),VLOOKUP(AM$1,main!$A$3:$H$102,4,FALSE),VLOOKUP(AM$1,main!$A$3:$H$102,4,FALSE)+VLOOKUP($A12,main!$A$3:$H$102,4,FALSE)+(VLOOKUP(VLOOKUP(AM$1,main!$A$3:$H$102,8,FALSE),main!$K$19:$O$22,MATCH(VLOOKUP($A12,main!$A$3:$H$102,7,FALSE),main!$K$18:$O$18,0),0))),0)</f>
        <v>0</v>
      </c>
      <c r="AN12">
        <f>IF((gamma!AN12),IF(VLOOKUP(AN$1,main!$A$3:$H$102,7,FALSE)=VLOOKUP($A12,main!$A$3:$H$102,8,FALSE),VLOOKUP(AN$1,main!$A$3:$H$102,4,FALSE),VLOOKUP(AN$1,main!$A$3:$H$102,4,FALSE)+VLOOKUP($A12,main!$A$3:$H$102,4,FALSE)+(VLOOKUP(VLOOKUP(AN$1,main!$A$3:$H$102,8,FALSE),main!$K$19:$O$22,MATCH(VLOOKUP($A12,main!$A$3:$H$102,7,FALSE),main!$K$18:$O$18,0),0))),0)</f>
        <v>0</v>
      </c>
      <c r="AO12">
        <f>IF((gamma!AO12),IF(VLOOKUP(AO$1,main!$A$3:$H$102,7,FALSE)=VLOOKUP($A12,main!$A$3:$H$102,8,FALSE),VLOOKUP(AO$1,main!$A$3:$H$102,4,FALSE),VLOOKUP(AO$1,main!$A$3:$H$102,4,FALSE)+VLOOKUP($A12,main!$A$3:$H$102,4,FALSE)+(VLOOKUP(VLOOKUP(AO$1,main!$A$3:$H$102,8,FALSE),main!$K$19:$O$22,MATCH(VLOOKUP($A12,main!$A$3:$H$102,7,FALSE),main!$K$18:$O$18,0),0))),0)</f>
        <v>0</v>
      </c>
      <c r="AP12">
        <f>IF((gamma!AP12),IF(VLOOKUP(AP$1,main!$A$3:$H$102,7,FALSE)=VLOOKUP($A12,main!$A$3:$H$102,8,FALSE),VLOOKUP(AP$1,main!$A$3:$H$102,4,FALSE),VLOOKUP(AP$1,main!$A$3:$H$102,4,FALSE)+VLOOKUP($A12,main!$A$3:$H$102,4,FALSE)+(VLOOKUP(VLOOKUP(AP$1,main!$A$3:$H$102,8,FALSE),main!$K$19:$O$22,MATCH(VLOOKUP($A12,main!$A$3:$H$102,7,FALSE),main!$K$18:$O$18,0),0))),0)</f>
        <v>0</v>
      </c>
      <c r="AQ12">
        <f>IF((gamma!AQ12),IF(VLOOKUP(AQ$1,main!$A$3:$H$102,7,FALSE)=VLOOKUP($A12,main!$A$3:$H$102,8,FALSE),VLOOKUP(AQ$1,main!$A$3:$H$102,4,FALSE),VLOOKUP(AQ$1,main!$A$3:$H$102,4,FALSE)+VLOOKUP($A12,main!$A$3:$H$102,4,FALSE)+(VLOOKUP(VLOOKUP(AQ$1,main!$A$3:$H$102,8,FALSE),main!$K$19:$O$22,MATCH(VLOOKUP($A12,main!$A$3:$H$102,7,FALSE),main!$K$18:$O$18,0),0))),0)</f>
        <v>0</v>
      </c>
      <c r="AR12">
        <f>IF((gamma!AR12),IF(VLOOKUP(AR$1,main!$A$3:$H$102,7,FALSE)=VLOOKUP($A12,main!$A$3:$H$102,8,FALSE),VLOOKUP(AR$1,main!$A$3:$H$102,4,FALSE),VLOOKUP(AR$1,main!$A$3:$H$102,4,FALSE)+VLOOKUP($A12,main!$A$3:$H$102,4,FALSE)+(VLOOKUP(VLOOKUP(AR$1,main!$A$3:$H$102,8,FALSE),main!$K$19:$O$22,MATCH(VLOOKUP($A12,main!$A$3:$H$102,7,FALSE),main!$K$18:$O$18,0),0))),0)</f>
        <v>0</v>
      </c>
      <c r="AS12">
        <f>IF((gamma!AS12),IF(VLOOKUP(AS$1,main!$A$3:$H$102,7,FALSE)=VLOOKUP($A12,main!$A$3:$H$102,8,FALSE),VLOOKUP(AS$1,main!$A$3:$H$102,4,FALSE),VLOOKUP(AS$1,main!$A$3:$H$102,4,FALSE)+VLOOKUP($A12,main!$A$3:$H$102,4,FALSE)+(VLOOKUP(VLOOKUP(AS$1,main!$A$3:$H$102,8,FALSE),main!$K$19:$O$22,MATCH(VLOOKUP($A12,main!$A$3:$H$102,7,FALSE),main!$K$18:$O$18,0),0))),0)</f>
        <v>0</v>
      </c>
      <c r="AT12">
        <f>IF((gamma!AT12),IF(VLOOKUP(AT$1,main!$A$3:$H$102,7,FALSE)=VLOOKUP($A12,main!$A$3:$H$102,8,FALSE),VLOOKUP(AT$1,main!$A$3:$H$102,4,FALSE),VLOOKUP(AT$1,main!$A$3:$H$102,4,FALSE)+VLOOKUP($A12,main!$A$3:$H$102,4,FALSE)+(VLOOKUP(VLOOKUP(AT$1,main!$A$3:$H$102,8,FALSE),main!$K$19:$O$22,MATCH(VLOOKUP($A12,main!$A$3:$H$102,7,FALSE),main!$K$18:$O$18,0),0))),0)</f>
        <v>0</v>
      </c>
      <c r="AU12">
        <f>IF((gamma!AU12),IF(VLOOKUP(AU$1,main!$A$3:$H$102,7,FALSE)=VLOOKUP($A12,main!$A$3:$H$102,8,FALSE),VLOOKUP(AU$1,main!$A$3:$H$102,4,FALSE),VLOOKUP(AU$1,main!$A$3:$H$102,4,FALSE)+VLOOKUP($A12,main!$A$3:$H$102,4,FALSE)+(VLOOKUP(VLOOKUP(AU$1,main!$A$3:$H$102,8,FALSE),main!$K$19:$O$22,MATCH(VLOOKUP($A12,main!$A$3:$H$102,7,FALSE),main!$K$18:$O$18,0),0))),0)</f>
        <v>0</v>
      </c>
      <c r="AV12">
        <f>IF((gamma!AV12),IF(VLOOKUP(AV$1,main!$A$3:$H$102,7,FALSE)=VLOOKUP($A12,main!$A$3:$H$102,8,FALSE),VLOOKUP(AV$1,main!$A$3:$H$102,4,FALSE),VLOOKUP(AV$1,main!$A$3:$H$102,4,FALSE)+VLOOKUP($A12,main!$A$3:$H$102,4,FALSE)+(VLOOKUP(VLOOKUP(AV$1,main!$A$3:$H$102,8,FALSE),main!$K$19:$O$22,MATCH(VLOOKUP($A12,main!$A$3:$H$102,7,FALSE),main!$K$18:$O$18,0),0))),0)</f>
        <v>0</v>
      </c>
      <c r="AW12">
        <f>IF((gamma!AW12),IF(VLOOKUP(AW$1,main!$A$3:$H$102,7,FALSE)=VLOOKUP($A12,main!$A$3:$H$102,8,FALSE),VLOOKUP(AW$1,main!$A$3:$H$102,4,FALSE),VLOOKUP(AW$1,main!$A$3:$H$102,4,FALSE)+VLOOKUP($A12,main!$A$3:$H$102,4,FALSE)+(VLOOKUP(VLOOKUP(AW$1,main!$A$3:$H$102,8,FALSE),main!$K$19:$O$22,MATCH(VLOOKUP($A12,main!$A$3:$H$102,7,FALSE),main!$K$18:$O$18,0),0))),0)</f>
        <v>0</v>
      </c>
      <c r="AX12">
        <f>IF((gamma!AX12),IF(VLOOKUP(AX$1,main!$A$3:$H$102,7,FALSE)=VLOOKUP($A12,main!$A$3:$H$102,8,FALSE),VLOOKUP(AX$1,main!$A$3:$H$102,4,FALSE),VLOOKUP(AX$1,main!$A$3:$H$102,4,FALSE)+VLOOKUP($A12,main!$A$3:$H$102,4,FALSE)+(VLOOKUP(VLOOKUP(AX$1,main!$A$3:$H$102,8,FALSE),main!$K$19:$O$22,MATCH(VLOOKUP($A12,main!$A$3:$H$102,7,FALSE),main!$K$18:$O$18,0),0))),0)</f>
        <v>0</v>
      </c>
      <c r="AY12">
        <f>IF((gamma!AY12),IF(VLOOKUP(AY$1,main!$A$3:$H$102,7,FALSE)=VLOOKUP($A12,main!$A$3:$H$102,8,FALSE),VLOOKUP(AY$1,main!$A$3:$H$102,4,FALSE),VLOOKUP(AY$1,main!$A$3:$H$102,4,FALSE)+VLOOKUP($A12,main!$A$3:$H$102,4,FALSE)+(VLOOKUP(VLOOKUP(AY$1,main!$A$3:$H$102,8,FALSE),main!$K$19:$O$22,MATCH(VLOOKUP($A12,main!$A$3:$H$102,7,FALSE),main!$K$18:$O$18,0),0))),0)</f>
        <v>0</v>
      </c>
      <c r="AZ12">
        <f>IF((gamma!AZ12),IF(VLOOKUP(AZ$1,main!$A$3:$H$102,7,FALSE)=VLOOKUP($A12,main!$A$3:$H$102,8,FALSE),VLOOKUP(AZ$1,main!$A$3:$H$102,4,FALSE),VLOOKUP(AZ$1,main!$A$3:$H$102,4,FALSE)+VLOOKUP($A12,main!$A$3:$H$102,4,FALSE)+(VLOOKUP(VLOOKUP(AZ$1,main!$A$3:$H$102,8,FALSE),main!$K$19:$O$22,MATCH(VLOOKUP($A12,main!$A$3:$H$102,7,FALSE),main!$K$18:$O$18,0),0))),0)</f>
        <v>0</v>
      </c>
      <c r="BA12">
        <f>IF((gamma!BA12),IF(VLOOKUP(BA$1,main!$A$3:$H$102,7,FALSE)=VLOOKUP($A12,main!$A$3:$H$102,8,FALSE),VLOOKUP(BA$1,main!$A$3:$H$102,4,FALSE),VLOOKUP(BA$1,main!$A$3:$H$102,4,FALSE)+VLOOKUP($A12,main!$A$3:$H$102,4,FALSE)+(VLOOKUP(VLOOKUP(BA$1,main!$A$3:$H$102,8,FALSE),main!$K$19:$O$22,MATCH(VLOOKUP($A12,main!$A$3:$H$102,7,FALSE),main!$K$18:$O$18,0),0))),0)</f>
        <v>0</v>
      </c>
      <c r="BB12">
        <f>IF((gamma!BB12),IF(VLOOKUP(BB$1,main!$A$3:$H$102,7,FALSE)=VLOOKUP($A12,main!$A$3:$H$102,8,FALSE),VLOOKUP(BB$1,main!$A$3:$H$102,4,FALSE),VLOOKUP(BB$1,main!$A$3:$H$102,4,FALSE)+VLOOKUP($A12,main!$A$3:$H$102,4,FALSE)+(VLOOKUP(VLOOKUP(BB$1,main!$A$3:$H$102,8,FALSE),main!$K$19:$O$22,MATCH(VLOOKUP($A12,main!$A$3:$H$102,7,FALSE),main!$K$18:$O$18,0),0))),0)</f>
        <v>0</v>
      </c>
      <c r="BC12">
        <f>IF((gamma!BC12),IF(VLOOKUP(BC$1,main!$A$3:$H$102,7,FALSE)=VLOOKUP($A12,main!$A$3:$H$102,8,FALSE),VLOOKUP(BC$1,main!$A$3:$H$102,4,FALSE),VLOOKUP(BC$1,main!$A$3:$H$102,4,FALSE)+VLOOKUP($A12,main!$A$3:$H$102,4,FALSE)+(VLOOKUP(VLOOKUP(BC$1,main!$A$3:$H$102,8,FALSE),main!$K$19:$O$22,MATCH(VLOOKUP($A12,main!$A$3:$H$102,7,FALSE),main!$K$18:$O$18,0),0))),0)</f>
        <v>0</v>
      </c>
      <c r="BD12">
        <f>IF((gamma!BD12),IF(VLOOKUP(BD$1,main!$A$3:$H$102,7,FALSE)=VLOOKUP($A12,main!$A$3:$H$102,8,FALSE),VLOOKUP(BD$1,main!$A$3:$H$102,4,FALSE),VLOOKUP(BD$1,main!$A$3:$H$102,4,FALSE)+VLOOKUP($A12,main!$A$3:$H$102,4,FALSE)+(VLOOKUP(VLOOKUP(BD$1,main!$A$3:$H$102,8,FALSE),main!$K$19:$O$22,MATCH(VLOOKUP($A12,main!$A$3:$H$102,7,FALSE),main!$K$18:$O$18,0),0))),0)</f>
        <v>0</v>
      </c>
      <c r="BE12">
        <f>IF((gamma!BE12),IF(VLOOKUP(BE$1,main!$A$3:$H$102,7,FALSE)=VLOOKUP($A12,main!$A$3:$H$102,8,FALSE),VLOOKUP(BE$1,main!$A$3:$H$102,4,FALSE),VLOOKUP(BE$1,main!$A$3:$H$102,4,FALSE)+VLOOKUP($A12,main!$A$3:$H$102,4,FALSE)+(VLOOKUP(VLOOKUP(BE$1,main!$A$3:$H$102,8,FALSE),main!$K$19:$O$22,MATCH(VLOOKUP($A12,main!$A$3:$H$102,7,FALSE),main!$K$18:$O$18,0),0))),0)</f>
        <v>0</v>
      </c>
      <c r="BF12">
        <f>IF((gamma!BF12),IF(VLOOKUP(BF$1,main!$A$3:$H$102,7,FALSE)=VLOOKUP($A12,main!$A$3:$H$102,8,FALSE),VLOOKUP(BF$1,main!$A$3:$H$102,4,FALSE),VLOOKUP(BF$1,main!$A$3:$H$102,4,FALSE)+VLOOKUP($A12,main!$A$3:$H$102,4,FALSE)+(VLOOKUP(VLOOKUP(BF$1,main!$A$3:$H$102,8,FALSE),main!$K$19:$O$22,MATCH(VLOOKUP($A12,main!$A$3:$H$102,7,FALSE),main!$K$18:$O$18,0),0))),0)</f>
        <v>0</v>
      </c>
      <c r="BG12">
        <f>IF((gamma!BG12),IF(VLOOKUP(BG$1,main!$A$3:$H$102,7,FALSE)=VLOOKUP($A12,main!$A$3:$H$102,8,FALSE),VLOOKUP(BG$1,main!$A$3:$H$102,4,FALSE),VLOOKUP(BG$1,main!$A$3:$H$102,4,FALSE)+VLOOKUP($A12,main!$A$3:$H$102,4,FALSE)+(VLOOKUP(VLOOKUP(BG$1,main!$A$3:$H$102,8,FALSE),main!$K$19:$O$22,MATCH(VLOOKUP($A12,main!$A$3:$H$102,7,FALSE),main!$K$18:$O$18,0),0))),0)</f>
        <v>0</v>
      </c>
      <c r="BH12">
        <f>IF((gamma!BH12),IF(VLOOKUP(BH$1,main!$A$3:$H$102,7,FALSE)=VLOOKUP($A12,main!$A$3:$H$102,8,FALSE),VLOOKUP(BH$1,main!$A$3:$H$102,4,FALSE),VLOOKUP(BH$1,main!$A$3:$H$102,4,FALSE)+VLOOKUP($A12,main!$A$3:$H$102,4,FALSE)+(VLOOKUP(VLOOKUP(BH$1,main!$A$3:$H$102,8,FALSE),main!$K$19:$O$22,MATCH(VLOOKUP($A12,main!$A$3:$H$102,7,FALSE),main!$K$18:$O$18,0),0))),0)</f>
        <v>0</v>
      </c>
      <c r="BI12">
        <f>IF((gamma!BI12),IF(VLOOKUP(BI$1,main!$A$3:$H$102,7,FALSE)=VLOOKUP($A12,main!$A$3:$H$102,8,FALSE),VLOOKUP(BI$1,main!$A$3:$H$102,4,FALSE),VLOOKUP(BI$1,main!$A$3:$H$102,4,FALSE)+VLOOKUP($A12,main!$A$3:$H$102,4,FALSE)+(VLOOKUP(VLOOKUP(BI$1,main!$A$3:$H$102,8,FALSE),main!$K$19:$O$22,MATCH(VLOOKUP($A12,main!$A$3:$H$102,7,FALSE),main!$K$18:$O$18,0),0))),0)</f>
        <v>0</v>
      </c>
      <c r="BJ12">
        <f>IF((gamma!BJ12),IF(VLOOKUP(BJ$1,main!$A$3:$H$102,7,FALSE)=VLOOKUP($A12,main!$A$3:$H$102,8,FALSE),VLOOKUP(BJ$1,main!$A$3:$H$102,4,FALSE),VLOOKUP(BJ$1,main!$A$3:$H$102,4,FALSE)+VLOOKUP($A12,main!$A$3:$H$102,4,FALSE)+(VLOOKUP(VLOOKUP(BJ$1,main!$A$3:$H$102,8,FALSE),main!$K$19:$O$22,MATCH(VLOOKUP($A12,main!$A$3:$H$102,7,FALSE),main!$K$18:$O$18,0),0))),0)</f>
        <v>0</v>
      </c>
      <c r="BK12">
        <f>IF((gamma!BK12),IF(VLOOKUP(BK$1,main!$A$3:$H$102,7,FALSE)=VLOOKUP($A12,main!$A$3:$H$102,8,FALSE),VLOOKUP(BK$1,main!$A$3:$H$102,4,FALSE),VLOOKUP(BK$1,main!$A$3:$H$102,4,FALSE)+VLOOKUP($A12,main!$A$3:$H$102,4,FALSE)+(VLOOKUP(VLOOKUP(BK$1,main!$A$3:$H$102,8,FALSE),main!$K$19:$O$22,MATCH(VLOOKUP($A12,main!$A$3:$H$102,7,FALSE),main!$K$18:$O$18,0),0))),0)</f>
        <v>0</v>
      </c>
      <c r="BL12">
        <f>IF((gamma!BL12),IF(VLOOKUP(BL$1,main!$A$3:$H$102,7,FALSE)=VLOOKUP($A12,main!$A$3:$H$102,8,FALSE),VLOOKUP(BL$1,main!$A$3:$H$102,4,FALSE),VLOOKUP(BL$1,main!$A$3:$H$102,4,FALSE)+VLOOKUP($A12,main!$A$3:$H$102,4,FALSE)+(VLOOKUP(VLOOKUP(BL$1,main!$A$3:$H$102,8,FALSE),main!$K$19:$O$22,MATCH(VLOOKUP($A12,main!$A$3:$H$102,7,FALSE),main!$K$18:$O$18,0),0))),0)</f>
        <v>0</v>
      </c>
      <c r="BM12">
        <f>IF((gamma!BM12),IF(VLOOKUP(BM$1,main!$A$3:$H$102,7,FALSE)=VLOOKUP($A12,main!$A$3:$H$102,8,FALSE),VLOOKUP(BM$1,main!$A$3:$H$102,4,FALSE),VLOOKUP(BM$1,main!$A$3:$H$102,4,FALSE)+VLOOKUP($A12,main!$A$3:$H$102,4,FALSE)+(VLOOKUP(VLOOKUP(BM$1,main!$A$3:$H$102,8,FALSE),main!$K$19:$O$22,MATCH(VLOOKUP($A12,main!$A$3:$H$102,7,FALSE),main!$K$18:$O$18,0),0))),0)</f>
        <v>0</v>
      </c>
      <c r="BN12">
        <f>IF((gamma!BN12),IF(VLOOKUP(BN$1,main!$A$3:$H$102,7,FALSE)=VLOOKUP($A12,main!$A$3:$H$102,8,FALSE),VLOOKUP(BN$1,main!$A$3:$H$102,4,FALSE),VLOOKUP(BN$1,main!$A$3:$H$102,4,FALSE)+VLOOKUP($A12,main!$A$3:$H$102,4,FALSE)+(VLOOKUP(VLOOKUP(BN$1,main!$A$3:$H$102,8,FALSE),main!$K$19:$O$22,MATCH(VLOOKUP($A12,main!$A$3:$H$102,7,FALSE),main!$K$18:$O$18,0),0))),0)</f>
        <v>0</v>
      </c>
      <c r="BO12">
        <f>IF((gamma!BO12),IF(VLOOKUP(BO$1,main!$A$3:$H$102,7,FALSE)=VLOOKUP($A12,main!$A$3:$H$102,8,FALSE),VLOOKUP(BO$1,main!$A$3:$H$102,4,FALSE),VLOOKUP(BO$1,main!$A$3:$H$102,4,FALSE)+VLOOKUP($A12,main!$A$3:$H$102,4,FALSE)+(VLOOKUP(VLOOKUP(BO$1,main!$A$3:$H$102,8,FALSE),main!$K$19:$O$22,MATCH(VLOOKUP($A12,main!$A$3:$H$102,7,FALSE),main!$K$18:$O$18,0),0))),0)</f>
        <v>0</v>
      </c>
      <c r="BP12">
        <f>IF((gamma!BP12),IF(VLOOKUP(BP$1,main!$A$3:$H$102,7,FALSE)=VLOOKUP($A12,main!$A$3:$H$102,8,FALSE),VLOOKUP(BP$1,main!$A$3:$H$102,4,FALSE),VLOOKUP(BP$1,main!$A$3:$H$102,4,FALSE)+VLOOKUP($A12,main!$A$3:$H$102,4,FALSE)+(VLOOKUP(VLOOKUP(BP$1,main!$A$3:$H$102,8,FALSE),main!$K$19:$O$22,MATCH(VLOOKUP($A12,main!$A$3:$H$102,7,FALSE),main!$K$18:$O$18,0),0))),0)</f>
        <v>0</v>
      </c>
      <c r="BQ12">
        <f>IF((gamma!BQ12),IF(VLOOKUP(BQ$1,main!$A$3:$H$102,7,FALSE)=VLOOKUP($A12,main!$A$3:$H$102,8,FALSE),VLOOKUP(BQ$1,main!$A$3:$H$102,4,FALSE),VLOOKUP(BQ$1,main!$A$3:$H$102,4,FALSE)+VLOOKUP($A12,main!$A$3:$H$102,4,FALSE)+(VLOOKUP(VLOOKUP(BQ$1,main!$A$3:$H$102,8,FALSE),main!$K$19:$O$22,MATCH(VLOOKUP($A12,main!$A$3:$H$102,7,FALSE),main!$K$18:$O$18,0),0))),0)</f>
        <v>0</v>
      </c>
      <c r="BR12">
        <f>IF((gamma!BR12),IF(VLOOKUP(BR$1,main!$A$3:$H$102,7,FALSE)=VLOOKUP($A12,main!$A$3:$H$102,8,FALSE),VLOOKUP(BR$1,main!$A$3:$H$102,4,FALSE),VLOOKUP(BR$1,main!$A$3:$H$102,4,FALSE)+VLOOKUP($A12,main!$A$3:$H$102,4,FALSE)+(VLOOKUP(VLOOKUP(BR$1,main!$A$3:$H$102,8,FALSE),main!$K$19:$O$22,MATCH(VLOOKUP($A12,main!$A$3:$H$102,7,FALSE),main!$K$18:$O$18,0),0))),0)</f>
        <v>0</v>
      </c>
      <c r="BS12">
        <f>IF((gamma!BS12),IF(VLOOKUP(BS$1,main!$A$3:$H$102,7,FALSE)=VLOOKUP($A12,main!$A$3:$H$102,8,FALSE),VLOOKUP(BS$1,main!$A$3:$H$102,4,FALSE),VLOOKUP(BS$1,main!$A$3:$H$102,4,FALSE)+VLOOKUP($A12,main!$A$3:$H$102,4,FALSE)+(VLOOKUP(VLOOKUP(BS$1,main!$A$3:$H$102,8,FALSE),main!$K$19:$O$22,MATCH(VLOOKUP($A12,main!$A$3:$H$102,7,FALSE),main!$K$18:$O$18,0),0))),0)</f>
        <v>0</v>
      </c>
      <c r="BT12">
        <f>IF((gamma!BT12),IF(VLOOKUP(BT$1,main!$A$3:$H$102,7,FALSE)=VLOOKUP($A12,main!$A$3:$H$102,8,FALSE),VLOOKUP(BT$1,main!$A$3:$H$102,4,FALSE),VLOOKUP(BT$1,main!$A$3:$H$102,4,FALSE)+VLOOKUP($A12,main!$A$3:$H$102,4,FALSE)+(VLOOKUP(VLOOKUP(BT$1,main!$A$3:$H$102,8,FALSE),main!$K$19:$O$22,MATCH(VLOOKUP($A12,main!$A$3:$H$102,7,FALSE),main!$K$18:$O$18,0),0))),0)</f>
        <v>0</v>
      </c>
      <c r="BU12">
        <f>IF((gamma!BU12),IF(VLOOKUP(BU$1,main!$A$3:$H$102,7,FALSE)=VLOOKUP($A12,main!$A$3:$H$102,8,FALSE),VLOOKUP(BU$1,main!$A$3:$H$102,4,FALSE),VLOOKUP(BU$1,main!$A$3:$H$102,4,FALSE)+VLOOKUP($A12,main!$A$3:$H$102,4,FALSE)+(VLOOKUP(VLOOKUP(BU$1,main!$A$3:$H$102,8,FALSE),main!$K$19:$O$22,MATCH(VLOOKUP($A12,main!$A$3:$H$102,7,FALSE),main!$K$18:$O$18,0),0))),0)</f>
        <v>0</v>
      </c>
      <c r="BV12">
        <f>IF((gamma!BV12),IF(VLOOKUP(BV$1,main!$A$3:$H$102,7,FALSE)=VLOOKUP($A12,main!$A$3:$H$102,8,FALSE),VLOOKUP(BV$1,main!$A$3:$H$102,4,FALSE),VLOOKUP(BV$1,main!$A$3:$H$102,4,FALSE)+VLOOKUP($A12,main!$A$3:$H$102,4,FALSE)+(VLOOKUP(VLOOKUP(BV$1,main!$A$3:$H$102,8,FALSE),main!$K$19:$O$22,MATCH(VLOOKUP($A12,main!$A$3:$H$102,7,FALSE),main!$K$18:$O$18,0),0))),0)</f>
        <v>0</v>
      </c>
      <c r="BW12">
        <f>IF((gamma!BW12),IF(VLOOKUP(BW$1,main!$A$3:$H$102,7,FALSE)=VLOOKUP($A12,main!$A$3:$H$102,8,FALSE),VLOOKUP(BW$1,main!$A$3:$H$102,4,FALSE),VLOOKUP(BW$1,main!$A$3:$H$102,4,FALSE)+VLOOKUP($A12,main!$A$3:$H$102,4,FALSE)+(VLOOKUP(VLOOKUP(BW$1,main!$A$3:$H$102,8,FALSE),main!$K$19:$O$22,MATCH(VLOOKUP($A12,main!$A$3:$H$102,7,FALSE),main!$K$18:$O$18,0),0))),0)</f>
        <v>0</v>
      </c>
      <c r="BX12">
        <f>IF((gamma!BX12),IF(VLOOKUP(BX$1,main!$A$3:$H$102,7,FALSE)=VLOOKUP($A12,main!$A$3:$H$102,8,FALSE),VLOOKUP(BX$1,main!$A$3:$H$102,4,FALSE),VLOOKUP(BX$1,main!$A$3:$H$102,4,FALSE)+VLOOKUP($A12,main!$A$3:$H$102,4,FALSE)+(VLOOKUP(VLOOKUP(BX$1,main!$A$3:$H$102,8,FALSE),main!$K$19:$O$22,MATCH(VLOOKUP($A12,main!$A$3:$H$102,7,FALSE),main!$K$18:$O$18,0),0))),0)</f>
        <v>0</v>
      </c>
      <c r="BY12">
        <f>IF((gamma!BY12),IF(VLOOKUP(BY$1,main!$A$3:$H$102,7,FALSE)=VLOOKUP($A12,main!$A$3:$H$102,8,FALSE),VLOOKUP(BY$1,main!$A$3:$H$102,4,FALSE),VLOOKUP(BY$1,main!$A$3:$H$102,4,FALSE)+VLOOKUP($A12,main!$A$3:$H$102,4,FALSE)+(VLOOKUP(VLOOKUP(BY$1,main!$A$3:$H$102,8,FALSE),main!$K$19:$O$22,MATCH(VLOOKUP($A12,main!$A$3:$H$102,7,FALSE),main!$K$18:$O$18,0),0))),0)</f>
        <v>0</v>
      </c>
      <c r="BZ12">
        <f>IF((gamma!BZ12),IF(VLOOKUP(BZ$1,main!$A$3:$H$102,7,FALSE)=VLOOKUP($A12,main!$A$3:$H$102,8,FALSE),VLOOKUP(BZ$1,main!$A$3:$H$102,4,FALSE),VLOOKUP(BZ$1,main!$A$3:$H$102,4,FALSE)+VLOOKUP($A12,main!$A$3:$H$102,4,FALSE)+(VLOOKUP(VLOOKUP(BZ$1,main!$A$3:$H$102,8,FALSE),main!$K$19:$O$22,MATCH(VLOOKUP($A12,main!$A$3:$H$102,7,FALSE),main!$K$18:$O$18,0),0))),0)</f>
        <v>0</v>
      </c>
      <c r="CA12">
        <f>IF((gamma!CA12),IF(VLOOKUP(CA$1,main!$A$3:$H$102,7,FALSE)=VLOOKUP($A12,main!$A$3:$H$102,8,FALSE),VLOOKUP(CA$1,main!$A$3:$H$102,4,FALSE),VLOOKUP(CA$1,main!$A$3:$H$102,4,FALSE)+VLOOKUP($A12,main!$A$3:$H$102,4,FALSE)+(VLOOKUP(VLOOKUP(CA$1,main!$A$3:$H$102,8,FALSE),main!$K$19:$O$22,MATCH(VLOOKUP($A12,main!$A$3:$H$102,7,FALSE),main!$K$18:$O$18,0),0))),0)</f>
        <v>0</v>
      </c>
      <c r="CB12">
        <f>IF((gamma!CB12),IF(VLOOKUP(CB$1,main!$A$3:$H$102,7,FALSE)=VLOOKUP($A12,main!$A$3:$H$102,8,FALSE),VLOOKUP(CB$1,main!$A$3:$H$102,4,FALSE),VLOOKUP(CB$1,main!$A$3:$H$102,4,FALSE)+VLOOKUP($A12,main!$A$3:$H$102,4,FALSE)+(VLOOKUP(VLOOKUP(CB$1,main!$A$3:$H$102,8,FALSE),main!$K$19:$O$22,MATCH(VLOOKUP($A12,main!$A$3:$H$102,7,FALSE),main!$K$18:$O$18,0),0))),0)</f>
        <v>0</v>
      </c>
      <c r="CC12">
        <f>IF((gamma!CC12),IF(VLOOKUP(CC$1,main!$A$3:$H$102,7,FALSE)=VLOOKUP($A12,main!$A$3:$H$102,8,FALSE),VLOOKUP(CC$1,main!$A$3:$H$102,4,FALSE),VLOOKUP(CC$1,main!$A$3:$H$102,4,FALSE)+VLOOKUP($A12,main!$A$3:$H$102,4,FALSE)+(VLOOKUP(VLOOKUP(CC$1,main!$A$3:$H$102,8,FALSE),main!$K$19:$O$22,MATCH(VLOOKUP($A12,main!$A$3:$H$102,7,FALSE),main!$K$18:$O$18,0),0))),0)</f>
        <v>0</v>
      </c>
      <c r="CD12">
        <f>IF((gamma!CD12),IF(VLOOKUP(CD$1,main!$A$3:$H$102,7,FALSE)=VLOOKUP($A12,main!$A$3:$H$102,8,FALSE),VLOOKUP(CD$1,main!$A$3:$H$102,4,FALSE),VLOOKUP(CD$1,main!$A$3:$H$102,4,FALSE)+VLOOKUP($A12,main!$A$3:$H$102,4,FALSE)+(VLOOKUP(VLOOKUP(CD$1,main!$A$3:$H$102,8,FALSE),main!$K$19:$O$22,MATCH(VLOOKUP($A12,main!$A$3:$H$102,7,FALSE),main!$K$18:$O$18,0),0))),0)</f>
        <v>0</v>
      </c>
      <c r="CE12">
        <f>IF((gamma!CE12),IF(VLOOKUP(CE$1,main!$A$3:$H$102,7,FALSE)=VLOOKUP($A12,main!$A$3:$H$102,8,FALSE),VLOOKUP(CE$1,main!$A$3:$H$102,4,FALSE),VLOOKUP(CE$1,main!$A$3:$H$102,4,FALSE)+VLOOKUP($A12,main!$A$3:$H$102,4,FALSE)+(VLOOKUP(VLOOKUP(CE$1,main!$A$3:$H$102,8,FALSE),main!$K$19:$O$22,MATCH(VLOOKUP($A12,main!$A$3:$H$102,7,FALSE),main!$K$18:$O$18,0),0))),0)</f>
        <v>0</v>
      </c>
      <c r="CF12">
        <f>IF((gamma!CF12),IF(VLOOKUP(CF$1,main!$A$3:$H$102,7,FALSE)=VLOOKUP($A12,main!$A$3:$H$102,8,FALSE),VLOOKUP(CF$1,main!$A$3:$H$102,4,FALSE),VLOOKUP(CF$1,main!$A$3:$H$102,4,FALSE)+VLOOKUP($A12,main!$A$3:$H$102,4,FALSE)+(VLOOKUP(VLOOKUP(CF$1,main!$A$3:$H$102,8,FALSE),main!$K$19:$O$22,MATCH(VLOOKUP($A12,main!$A$3:$H$102,7,FALSE),main!$K$18:$O$18,0),0))),0)</f>
        <v>0</v>
      </c>
      <c r="CG12">
        <f>IF((gamma!CG12),IF(VLOOKUP(CG$1,main!$A$3:$H$102,7,FALSE)=VLOOKUP($A12,main!$A$3:$H$102,8,FALSE),VLOOKUP(CG$1,main!$A$3:$H$102,4,FALSE),VLOOKUP(CG$1,main!$A$3:$H$102,4,FALSE)+VLOOKUP($A12,main!$A$3:$H$102,4,FALSE)+(VLOOKUP(VLOOKUP(CG$1,main!$A$3:$H$102,8,FALSE),main!$K$19:$O$22,MATCH(VLOOKUP($A12,main!$A$3:$H$102,7,FALSE),main!$K$18:$O$18,0),0))),0)</f>
        <v>0</v>
      </c>
      <c r="CH12">
        <f>IF((gamma!CH12),IF(VLOOKUP(CH$1,main!$A$3:$H$102,7,FALSE)=VLOOKUP($A12,main!$A$3:$H$102,8,FALSE),VLOOKUP(CH$1,main!$A$3:$H$102,4,FALSE),VLOOKUP(CH$1,main!$A$3:$H$102,4,FALSE)+VLOOKUP($A12,main!$A$3:$H$102,4,FALSE)+(VLOOKUP(VLOOKUP(CH$1,main!$A$3:$H$102,8,FALSE),main!$K$19:$O$22,MATCH(VLOOKUP($A12,main!$A$3:$H$102,7,FALSE),main!$K$18:$O$18,0),0))),0)</f>
        <v>0</v>
      </c>
      <c r="CI12">
        <f>IF((gamma!CI12),IF(VLOOKUP(CI$1,main!$A$3:$H$102,7,FALSE)=VLOOKUP($A12,main!$A$3:$H$102,8,FALSE),VLOOKUP(CI$1,main!$A$3:$H$102,4,FALSE),VLOOKUP(CI$1,main!$A$3:$H$102,4,FALSE)+VLOOKUP($A12,main!$A$3:$H$102,4,FALSE)+(VLOOKUP(VLOOKUP(CI$1,main!$A$3:$H$102,8,FALSE),main!$K$19:$O$22,MATCH(VLOOKUP($A12,main!$A$3:$H$102,7,FALSE),main!$K$18:$O$18,0),0))),0)</f>
        <v>0</v>
      </c>
      <c r="CJ12">
        <f>IF((gamma!CJ12),IF(VLOOKUP(CJ$1,main!$A$3:$H$102,7,FALSE)=VLOOKUP($A12,main!$A$3:$H$102,8,FALSE),VLOOKUP(CJ$1,main!$A$3:$H$102,4,FALSE),VLOOKUP(CJ$1,main!$A$3:$H$102,4,FALSE)+VLOOKUP($A12,main!$A$3:$H$102,4,FALSE)+(VLOOKUP(VLOOKUP(CJ$1,main!$A$3:$H$102,8,FALSE),main!$K$19:$O$22,MATCH(VLOOKUP($A12,main!$A$3:$H$102,7,FALSE),main!$K$18:$O$18,0),0))),0)</f>
        <v>0</v>
      </c>
      <c r="CK12">
        <f>IF((gamma!CK12),IF(VLOOKUP(CK$1,main!$A$3:$H$102,7,FALSE)=VLOOKUP($A12,main!$A$3:$H$102,8,FALSE),VLOOKUP(CK$1,main!$A$3:$H$102,4,FALSE),VLOOKUP(CK$1,main!$A$3:$H$102,4,FALSE)+VLOOKUP($A12,main!$A$3:$H$102,4,FALSE)+(VLOOKUP(VLOOKUP(CK$1,main!$A$3:$H$102,8,FALSE),main!$K$19:$O$22,MATCH(VLOOKUP($A12,main!$A$3:$H$102,7,FALSE),main!$K$18:$O$18,0),0))),0)</f>
        <v>0</v>
      </c>
      <c r="CL12">
        <f>IF((gamma!CL12),IF(VLOOKUP(CL$1,main!$A$3:$H$102,7,FALSE)=VLOOKUP($A12,main!$A$3:$H$102,8,FALSE),VLOOKUP(CL$1,main!$A$3:$H$102,4,FALSE),VLOOKUP(CL$1,main!$A$3:$H$102,4,FALSE)+VLOOKUP($A12,main!$A$3:$H$102,4,FALSE)+(VLOOKUP(VLOOKUP(CL$1,main!$A$3:$H$102,8,FALSE),main!$K$19:$O$22,MATCH(VLOOKUP($A12,main!$A$3:$H$102,7,FALSE),main!$K$18:$O$18,0),0))),0)</f>
        <v>0</v>
      </c>
      <c r="CM12">
        <f>IF((gamma!CM12),IF(VLOOKUP(CM$1,main!$A$3:$H$102,7,FALSE)=VLOOKUP($A12,main!$A$3:$H$102,8,FALSE),VLOOKUP(CM$1,main!$A$3:$H$102,4,FALSE),VLOOKUP(CM$1,main!$A$3:$H$102,4,FALSE)+VLOOKUP($A12,main!$A$3:$H$102,4,FALSE)+(VLOOKUP(VLOOKUP(CM$1,main!$A$3:$H$102,8,FALSE),main!$K$19:$O$22,MATCH(VLOOKUP($A12,main!$A$3:$H$102,7,FALSE),main!$K$18:$O$18,0),0))),0)</f>
        <v>0</v>
      </c>
      <c r="CN12">
        <f>IF((gamma!CN12),IF(VLOOKUP(CN$1,main!$A$3:$H$102,7,FALSE)=VLOOKUP($A12,main!$A$3:$H$102,8,FALSE),VLOOKUP(CN$1,main!$A$3:$H$102,4,FALSE),VLOOKUP(CN$1,main!$A$3:$H$102,4,FALSE)+VLOOKUP($A12,main!$A$3:$H$102,4,FALSE)+(VLOOKUP(VLOOKUP(CN$1,main!$A$3:$H$102,8,FALSE),main!$K$19:$O$22,MATCH(VLOOKUP($A12,main!$A$3:$H$102,7,FALSE),main!$K$18:$O$18,0),0))),0)</f>
        <v>0</v>
      </c>
      <c r="CO12">
        <f>IF((gamma!CO12),IF(VLOOKUP(CO$1,main!$A$3:$H$102,7,FALSE)=VLOOKUP($A12,main!$A$3:$H$102,8,FALSE),VLOOKUP(CO$1,main!$A$3:$H$102,4,FALSE),VLOOKUP(CO$1,main!$A$3:$H$102,4,FALSE)+VLOOKUP($A12,main!$A$3:$H$102,4,FALSE)+(VLOOKUP(VLOOKUP(CO$1,main!$A$3:$H$102,8,FALSE),main!$K$19:$O$22,MATCH(VLOOKUP($A12,main!$A$3:$H$102,7,FALSE),main!$K$18:$O$18,0),0))),0)</f>
        <v>0</v>
      </c>
      <c r="CP12">
        <f>IF((gamma!CP12),IF(VLOOKUP(CP$1,main!$A$3:$H$102,7,FALSE)=VLOOKUP($A12,main!$A$3:$H$102,8,FALSE),VLOOKUP(CP$1,main!$A$3:$H$102,4,FALSE),VLOOKUP(CP$1,main!$A$3:$H$102,4,FALSE)+VLOOKUP($A12,main!$A$3:$H$102,4,FALSE)+(VLOOKUP(VLOOKUP(CP$1,main!$A$3:$H$102,8,FALSE),main!$K$19:$O$22,MATCH(VLOOKUP($A12,main!$A$3:$H$102,7,FALSE),main!$K$18:$O$18,0),0))),0)</f>
        <v>0</v>
      </c>
      <c r="CQ12">
        <f>IF((gamma!CQ12),IF(VLOOKUP(CQ$1,main!$A$3:$H$102,7,FALSE)=VLOOKUP($A12,main!$A$3:$H$102,8,FALSE),VLOOKUP(CQ$1,main!$A$3:$H$102,4,FALSE),VLOOKUP(CQ$1,main!$A$3:$H$102,4,FALSE)+VLOOKUP($A12,main!$A$3:$H$102,4,FALSE)+(VLOOKUP(VLOOKUP(CQ$1,main!$A$3:$H$102,8,FALSE),main!$K$19:$O$22,MATCH(VLOOKUP($A12,main!$A$3:$H$102,7,FALSE),main!$K$18:$O$18,0),0))),0)</f>
        <v>0</v>
      </c>
      <c r="CR12">
        <f>IF((gamma!CR12),IF(VLOOKUP(CR$1,main!$A$3:$H$102,7,FALSE)=VLOOKUP($A12,main!$A$3:$H$102,8,FALSE),VLOOKUP(CR$1,main!$A$3:$H$102,4,FALSE),VLOOKUP(CR$1,main!$A$3:$H$102,4,FALSE)+VLOOKUP($A12,main!$A$3:$H$102,4,FALSE)+(VLOOKUP(VLOOKUP(CR$1,main!$A$3:$H$102,8,FALSE),main!$K$19:$O$22,MATCH(VLOOKUP($A12,main!$A$3:$H$102,7,FALSE),main!$K$18:$O$18,0),0))),0)</f>
        <v>0</v>
      </c>
      <c r="CS12">
        <f>IF((gamma!CS12),IF(VLOOKUP(CS$1,main!$A$3:$H$102,7,FALSE)=VLOOKUP($A12,main!$A$3:$H$102,8,FALSE),VLOOKUP(CS$1,main!$A$3:$H$102,4,FALSE),VLOOKUP(CS$1,main!$A$3:$H$102,4,FALSE)+VLOOKUP($A12,main!$A$3:$H$102,4,FALSE)+(VLOOKUP(VLOOKUP(CS$1,main!$A$3:$H$102,8,FALSE),main!$K$19:$O$22,MATCH(VLOOKUP($A12,main!$A$3:$H$102,7,FALSE),main!$K$18:$O$18,0),0))),0)</f>
        <v>0</v>
      </c>
      <c r="CT12">
        <f>IF((gamma!CT12),IF(VLOOKUP(CT$1,main!$A$3:$H$102,7,FALSE)=VLOOKUP($A12,main!$A$3:$H$102,8,FALSE),VLOOKUP(CT$1,main!$A$3:$H$102,4,FALSE),VLOOKUP(CT$1,main!$A$3:$H$102,4,FALSE)+VLOOKUP($A12,main!$A$3:$H$102,4,FALSE)+(VLOOKUP(VLOOKUP(CT$1,main!$A$3:$H$102,8,FALSE),main!$K$19:$O$22,MATCH(VLOOKUP($A12,main!$A$3:$H$102,7,FALSE),main!$K$18:$O$18,0),0))),0)</f>
        <v>0</v>
      </c>
      <c r="CU12">
        <f>IF((gamma!CU12),IF(VLOOKUP(CU$1,main!$A$3:$H$102,7,FALSE)=VLOOKUP($A12,main!$A$3:$H$102,8,FALSE),VLOOKUP(CU$1,main!$A$3:$H$102,4,FALSE),VLOOKUP(CU$1,main!$A$3:$H$102,4,FALSE)+VLOOKUP($A12,main!$A$3:$H$102,4,FALSE)+(VLOOKUP(VLOOKUP(CU$1,main!$A$3:$H$102,8,FALSE),main!$K$19:$O$22,MATCH(VLOOKUP($A12,main!$A$3:$H$102,7,FALSE),main!$K$18:$O$18,0),0))),0)</f>
        <v>0</v>
      </c>
      <c r="CV12">
        <f>IF((gamma!CV12),IF(VLOOKUP(CV$1,main!$A$3:$H$102,7,FALSE)=VLOOKUP($A12,main!$A$3:$H$102,8,FALSE),VLOOKUP(CV$1,main!$A$3:$H$102,4,FALSE),VLOOKUP(CV$1,main!$A$3:$H$102,4,FALSE)+VLOOKUP($A12,main!$A$3:$H$102,4,FALSE)+(VLOOKUP(VLOOKUP(CV$1,main!$A$3:$H$102,8,FALSE),main!$K$19:$O$22,MATCH(VLOOKUP($A12,main!$A$3:$H$102,7,FALSE),main!$K$18:$O$18,0),0))),0)</f>
        <v>0</v>
      </c>
      <c r="CW12">
        <f>IF((gamma!CW12),IF(VLOOKUP(CW$1,main!$A$3:$H$102,7,FALSE)=VLOOKUP($A12,main!$A$3:$H$102,8,FALSE),VLOOKUP(CW$1,main!$A$3:$H$102,4,FALSE),VLOOKUP(CW$1,main!$A$3:$H$102,4,FALSE)+VLOOKUP($A12,main!$A$3:$H$102,4,FALSE)+(VLOOKUP(VLOOKUP(CW$1,main!$A$3:$H$102,8,FALSE),main!$K$19:$O$22,MATCH(VLOOKUP($A12,main!$A$3:$H$102,7,FALSE),main!$K$18:$O$18,0),0))),0)</f>
        <v>0</v>
      </c>
      <c r="CX12">
        <f>IF((gamma!CX12),IF(VLOOKUP(CX$1,main!$A$3:$H$102,7,FALSE)=VLOOKUP($A12,main!$A$3:$H$102,8,FALSE),VLOOKUP(CX$1,main!$A$3:$H$102,4,FALSE),VLOOKUP(CX$1,main!$A$3:$H$102,4,FALSE)+VLOOKUP($A12,main!$A$3:$H$102,4,FALSE)+(VLOOKUP(VLOOKUP(CX$1,main!$A$3:$H$102,8,FALSE),main!$K$19:$O$22,MATCH(VLOOKUP($A12,main!$A$3:$H$102,7,FALSE),main!$K$18:$O$18,0),0))),0)</f>
        <v>0</v>
      </c>
      <c r="CY12">
        <v>0</v>
      </c>
      <c r="CZ12">
        <v>0</v>
      </c>
      <c r="DA12">
        <v>0</v>
      </c>
    </row>
    <row r="13" spans="1:105" x14ac:dyDescent="0.25">
      <c r="A13" s="1">
        <v>11</v>
      </c>
      <c r="B13">
        <v>0</v>
      </c>
      <c r="C13">
        <f>IF((gamma!C13),IF(VLOOKUP(C$1,main!$A$3:$H$102,7,FALSE)=VLOOKUP($A13,main!$A$3:$H$102,8,FALSE),VLOOKUP(C$1,main!$A$3:$H$102,4,FALSE),VLOOKUP(C$1,main!$A$3:$H$102,4,FALSE)+VLOOKUP($A13,main!$A$3:$H$102,4,FALSE)+(VLOOKUP(VLOOKUP(C$1,main!$A$3:$H$102,8,FALSE),main!$K$19:$O$22,MATCH(VLOOKUP($A13,main!$A$3:$H$102,7,FALSE),main!$K$18:$O$18,0),0))),0)</f>
        <v>0</v>
      </c>
      <c r="D13">
        <f>IF((gamma!D13),IF(VLOOKUP(D$1,main!$A$3:$H$102,7,FALSE)=VLOOKUP($A13,main!$A$3:$H$102,8,FALSE),VLOOKUP(D$1,main!$A$3:$H$102,4,FALSE),VLOOKUP(D$1,main!$A$3:$H$102,4,FALSE)+VLOOKUP($A13,main!$A$3:$H$102,4,FALSE)+(VLOOKUP(VLOOKUP(D$1,main!$A$3:$H$102,8,FALSE),main!$K$19:$O$22,MATCH(VLOOKUP($A13,main!$A$3:$H$102,7,FALSE),main!$K$18:$O$18,0),0))),0)</f>
        <v>0</v>
      </c>
      <c r="E13">
        <f>IF((gamma!E13),IF(VLOOKUP(E$1,main!$A$3:$H$102,7,FALSE)=VLOOKUP($A13,main!$A$3:$H$102,8,FALSE),VLOOKUP(E$1,main!$A$3:$H$102,4,FALSE),VLOOKUP(E$1,main!$A$3:$H$102,4,FALSE)+VLOOKUP($A13,main!$A$3:$H$102,4,FALSE)+(VLOOKUP(VLOOKUP(E$1,main!$A$3:$H$102,8,FALSE),main!$K$19:$O$22,MATCH(VLOOKUP($A13,main!$A$3:$H$102,7,FALSE),main!$K$18:$O$18,0),0))),0)</f>
        <v>0</v>
      </c>
      <c r="F13">
        <f>IF((gamma!F13),IF(VLOOKUP(F$1,main!$A$3:$H$102,7,FALSE)=VLOOKUP($A13,main!$A$3:$H$102,8,FALSE),VLOOKUP(F$1,main!$A$3:$H$102,4,FALSE),VLOOKUP(F$1,main!$A$3:$H$102,4,FALSE)+VLOOKUP($A13,main!$A$3:$H$102,4,FALSE)+(VLOOKUP(VLOOKUP(F$1,main!$A$3:$H$102,8,FALSE),main!$K$19:$O$22,MATCH(VLOOKUP($A13,main!$A$3:$H$102,7,FALSE),main!$K$18:$O$18,0),0))),0)</f>
        <v>300</v>
      </c>
      <c r="G13">
        <f>IF((gamma!G13),IF(VLOOKUP(G$1,main!$A$3:$H$102,7,FALSE)=VLOOKUP($A13,main!$A$3:$H$102,8,FALSE),VLOOKUP(G$1,main!$A$3:$H$102,4,FALSE),VLOOKUP(G$1,main!$A$3:$H$102,4,FALSE)+VLOOKUP($A13,main!$A$3:$H$102,4,FALSE)+(VLOOKUP(VLOOKUP(G$1,main!$A$3:$H$102,8,FALSE),main!$K$19:$O$22,MATCH(VLOOKUP($A13,main!$A$3:$H$102,7,FALSE),main!$K$18:$O$18,0),0))),0)</f>
        <v>300</v>
      </c>
      <c r="H13">
        <f>IF((gamma!H13),IF(VLOOKUP(H$1,main!$A$3:$H$102,7,FALSE)=VLOOKUP($A13,main!$A$3:$H$102,8,FALSE),VLOOKUP(H$1,main!$A$3:$H$102,4,FALSE),VLOOKUP(H$1,main!$A$3:$H$102,4,FALSE)+VLOOKUP($A13,main!$A$3:$H$102,4,FALSE)+(VLOOKUP(VLOOKUP(H$1,main!$A$3:$H$102,8,FALSE),main!$K$19:$O$22,MATCH(VLOOKUP($A13,main!$A$3:$H$102,7,FALSE),main!$K$18:$O$18,0),0))),0)</f>
        <v>300</v>
      </c>
      <c r="I13">
        <f>IF((gamma!I13),IF(VLOOKUP(I$1,main!$A$3:$H$102,7,FALSE)=VLOOKUP($A13,main!$A$3:$H$102,8,FALSE),VLOOKUP(I$1,main!$A$3:$H$102,4,FALSE),VLOOKUP(I$1,main!$A$3:$H$102,4,FALSE)+VLOOKUP($A13,main!$A$3:$H$102,4,FALSE)+(VLOOKUP(VLOOKUP(I$1,main!$A$3:$H$102,8,FALSE),main!$K$19:$O$22,MATCH(VLOOKUP($A13,main!$A$3:$H$102,7,FALSE),main!$K$18:$O$18,0),0))),0)</f>
        <v>300</v>
      </c>
      <c r="J13">
        <f>IF((gamma!J13),IF(VLOOKUP(J$1,main!$A$3:$H$102,7,FALSE)=VLOOKUP($A13,main!$A$3:$H$102,8,FALSE),VLOOKUP(J$1,main!$A$3:$H$102,4,FALSE),VLOOKUP(J$1,main!$A$3:$H$102,4,FALSE)+VLOOKUP($A13,main!$A$3:$H$102,4,FALSE)+(VLOOKUP(VLOOKUP(J$1,main!$A$3:$H$102,8,FALSE),main!$K$19:$O$22,MATCH(VLOOKUP($A13,main!$A$3:$H$102,7,FALSE),main!$K$18:$O$18,0),0))),0)</f>
        <v>300</v>
      </c>
      <c r="K13">
        <f>IF((gamma!K13),IF(VLOOKUP(K$1,main!$A$3:$H$102,7,FALSE)=VLOOKUP($A13,main!$A$3:$H$102,8,FALSE),VLOOKUP(K$1,main!$A$3:$H$102,4,FALSE),VLOOKUP(K$1,main!$A$3:$H$102,4,FALSE)+VLOOKUP($A13,main!$A$3:$H$102,4,FALSE)+(VLOOKUP(VLOOKUP(K$1,main!$A$3:$H$102,8,FALSE),main!$K$19:$O$22,MATCH(VLOOKUP($A13,main!$A$3:$H$102,7,FALSE),main!$K$18:$O$18,0),0))),0)</f>
        <v>300</v>
      </c>
      <c r="L13">
        <f>IF((gamma!L13),IF(VLOOKUP(L$1,main!$A$3:$H$102,7,FALSE)=VLOOKUP($A13,main!$A$3:$H$102,8,FALSE),VLOOKUP(L$1,main!$A$3:$H$102,4,FALSE),VLOOKUP(L$1,main!$A$3:$H$102,4,FALSE)+VLOOKUP($A13,main!$A$3:$H$102,4,FALSE)+(VLOOKUP(VLOOKUP(L$1,main!$A$3:$H$102,8,FALSE),main!$K$19:$O$22,MATCH(VLOOKUP($A13,main!$A$3:$H$102,7,FALSE),main!$K$18:$O$18,0),0))),0)</f>
        <v>300</v>
      </c>
      <c r="M13">
        <f>IF((gamma!M13),IF(VLOOKUP(M$1,main!$A$3:$H$102,7,FALSE)=VLOOKUP($A13,main!$A$3:$H$102,8,FALSE),VLOOKUP(M$1,main!$A$3:$H$102,4,FALSE),VLOOKUP(M$1,main!$A$3:$H$102,4,FALSE)+VLOOKUP($A13,main!$A$3:$H$102,4,FALSE)+(VLOOKUP(VLOOKUP(M$1,main!$A$3:$H$102,8,FALSE),main!$K$19:$O$22,MATCH(VLOOKUP($A13,main!$A$3:$H$102,7,FALSE),main!$K$18:$O$18,0),0))),0)</f>
        <v>0</v>
      </c>
      <c r="N13">
        <f>IF((gamma!N13),IF(VLOOKUP(N$1,main!$A$3:$H$102,7,FALSE)=VLOOKUP($A13,main!$A$3:$H$102,8,FALSE),VLOOKUP(N$1,main!$A$3:$H$102,4,FALSE),VLOOKUP(N$1,main!$A$3:$H$102,4,FALSE)+VLOOKUP($A13,main!$A$3:$H$102,4,FALSE)+(VLOOKUP(VLOOKUP(N$1,main!$A$3:$H$102,8,FALSE),main!$K$19:$O$22,MATCH(VLOOKUP($A13,main!$A$3:$H$102,7,FALSE),main!$K$18:$O$18,0),0))),0)</f>
        <v>0</v>
      </c>
      <c r="O13">
        <f>IF((gamma!O13),IF(VLOOKUP(O$1,main!$A$3:$H$102,7,FALSE)=VLOOKUP($A13,main!$A$3:$H$102,8,FALSE),VLOOKUP(O$1,main!$A$3:$H$102,4,FALSE),VLOOKUP(O$1,main!$A$3:$H$102,4,FALSE)+VLOOKUP($A13,main!$A$3:$H$102,4,FALSE)+(VLOOKUP(VLOOKUP(O$1,main!$A$3:$H$102,8,FALSE),main!$K$19:$O$22,MATCH(VLOOKUP($A13,main!$A$3:$H$102,7,FALSE),main!$K$18:$O$18,0),0))),0)</f>
        <v>0</v>
      </c>
      <c r="P13">
        <f>IF((gamma!P13),IF(VLOOKUP(P$1,main!$A$3:$H$102,7,FALSE)=VLOOKUP($A13,main!$A$3:$H$102,8,FALSE),VLOOKUP(P$1,main!$A$3:$H$102,4,FALSE),VLOOKUP(P$1,main!$A$3:$H$102,4,FALSE)+VLOOKUP($A13,main!$A$3:$H$102,4,FALSE)+(VLOOKUP(VLOOKUP(P$1,main!$A$3:$H$102,8,FALSE),main!$K$19:$O$22,MATCH(VLOOKUP($A13,main!$A$3:$H$102,7,FALSE),main!$K$18:$O$18,0),0))),0)</f>
        <v>0</v>
      </c>
      <c r="Q13">
        <f>IF((gamma!Q13),IF(VLOOKUP(Q$1,main!$A$3:$H$102,7,FALSE)=VLOOKUP($A13,main!$A$3:$H$102,8,FALSE),VLOOKUP(Q$1,main!$A$3:$H$102,4,FALSE),VLOOKUP(Q$1,main!$A$3:$H$102,4,FALSE)+VLOOKUP($A13,main!$A$3:$H$102,4,FALSE)+(VLOOKUP(VLOOKUP(Q$1,main!$A$3:$H$102,8,FALSE),main!$K$19:$O$22,MATCH(VLOOKUP($A13,main!$A$3:$H$102,7,FALSE),main!$K$18:$O$18,0),0))),0)</f>
        <v>310</v>
      </c>
      <c r="R13">
        <f>IF((gamma!R13),IF(VLOOKUP(R$1,main!$A$3:$H$102,7,FALSE)=VLOOKUP($A13,main!$A$3:$H$102,8,FALSE),VLOOKUP(R$1,main!$A$3:$H$102,4,FALSE),VLOOKUP(R$1,main!$A$3:$H$102,4,FALSE)+VLOOKUP($A13,main!$A$3:$H$102,4,FALSE)+(VLOOKUP(VLOOKUP(R$1,main!$A$3:$H$102,8,FALSE),main!$K$19:$O$22,MATCH(VLOOKUP($A13,main!$A$3:$H$102,7,FALSE),main!$K$18:$O$18,0),0))),0)</f>
        <v>310</v>
      </c>
      <c r="S13">
        <f>IF((gamma!S13),IF(VLOOKUP(S$1,main!$A$3:$H$102,7,FALSE)=VLOOKUP($A13,main!$A$3:$H$102,8,FALSE),VLOOKUP(S$1,main!$A$3:$H$102,4,FALSE),VLOOKUP(S$1,main!$A$3:$H$102,4,FALSE)+VLOOKUP($A13,main!$A$3:$H$102,4,FALSE)+(VLOOKUP(VLOOKUP(S$1,main!$A$3:$H$102,8,FALSE),main!$K$19:$O$22,MATCH(VLOOKUP($A13,main!$A$3:$H$102,7,FALSE),main!$K$18:$O$18,0),0))),0)</f>
        <v>310</v>
      </c>
      <c r="T13">
        <f>IF((gamma!T13),IF(VLOOKUP(T$1,main!$A$3:$H$102,7,FALSE)=VLOOKUP($A13,main!$A$3:$H$102,8,FALSE),VLOOKUP(T$1,main!$A$3:$H$102,4,FALSE),VLOOKUP(T$1,main!$A$3:$H$102,4,FALSE)+VLOOKUP($A13,main!$A$3:$H$102,4,FALSE)+(VLOOKUP(VLOOKUP(T$1,main!$A$3:$H$102,8,FALSE),main!$K$19:$O$22,MATCH(VLOOKUP($A13,main!$A$3:$H$102,7,FALSE),main!$K$18:$O$18,0),0))),0)</f>
        <v>310</v>
      </c>
      <c r="U13">
        <f>IF((gamma!U13),IF(VLOOKUP(U$1,main!$A$3:$H$102,7,FALSE)=VLOOKUP($A13,main!$A$3:$H$102,8,FALSE),VLOOKUP(U$1,main!$A$3:$H$102,4,FALSE),VLOOKUP(U$1,main!$A$3:$H$102,4,FALSE)+VLOOKUP($A13,main!$A$3:$H$102,4,FALSE)+(VLOOKUP(VLOOKUP(U$1,main!$A$3:$H$102,8,FALSE),main!$K$19:$O$22,MATCH(VLOOKUP($A13,main!$A$3:$H$102,7,FALSE),main!$K$18:$O$18,0),0))),0)</f>
        <v>310</v>
      </c>
      <c r="V13">
        <f>IF((gamma!V13),IF(VLOOKUP(V$1,main!$A$3:$H$102,7,FALSE)=VLOOKUP($A13,main!$A$3:$H$102,8,FALSE),VLOOKUP(V$1,main!$A$3:$H$102,4,FALSE),VLOOKUP(V$1,main!$A$3:$H$102,4,FALSE)+VLOOKUP($A13,main!$A$3:$H$102,4,FALSE)+(VLOOKUP(VLOOKUP(V$1,main!$A$3:$H$102,8,FALSE),main!$K$19:$O$22,MATCH(VLOOKUP($A13,main!$A$3:$H$102,7,FALSE),main!$K$18:$O$18,0),0))),0)</f>
        <v>310</v>
      </c>
      <c r="W13">
        <f>IF((gamma!W13),IF(VLOOKUP(W$1,main!$A$3:$H$102,7,FALSE)=VLOOKUP($A13,main!$A$3:$H$102,8,FALSE),VLOOKUP(W$1,main!$A$3:$H$102,4,FALSE),VLOOKUP(W$1,main!$A$3:$H$102,4,FALSE)+VLOOKUP($A13,main!$A$3:$H$102,4,FALSE)+(VLOOKUP(VLOOKUP(W$1,main!$A$3:$H$102,8,FALSE),main!$K$19:$O$22,MATCH(VLOOKUP($A13,main!$A$3:$H$102,7,FALSE),main!$K$18:$O$18,0),0))),0)</f>
        <v>0</v>
      </c>
      <c r="X13">
        <f>IF((gamma!X13),IF(VLOOKUP(X$1,main!$A$3:$H$102,7,FALSE)=VLOOKUP($A13,main!$A$3:$H$102,8,FALSE),VLOOKUP(X$1,main!$A$3:$H$102,4,FALSE),VLOOKUP(X$1,main!$A$3:$H$102,4,FALSE)+VLOOKUP($A13,main!$A$3:$H$102,4,FALSE)+(VLOOKUP(VLOOKUP(X$1,main!$A$3:$H$102,8,FALSE),main!$K$19:$O$22,MATCH(VLOOKUP($A13,main!$A$3:$H$102,7,FALSE),main!$K$18:$O$18,0),0))),0)</f>
        <v>0</v>
      </c>
      <c r="Y13">
        <f>IF((gamma!Y13),IF(VLOOKUP(Y$1,main!$A$3:$H$102,7,FALSE)=VLOOKUP($A13,main!$A$3:$H$102,8,FALSE),VLOOKUP(Y$1,main!$A$3:$H$102,4,FALSE),VLOOKUP(Y$1,main!$A$3:$H$102,4,FALSE)+VLOOKUP($A13,main!$A$3:$H$102,4,FALSE)+(VLOOKUP(VLOOKUP(Y$1,main!$A$3:$H$102,8,FALSE),main!$K$19:$O$22,MATCH(VLOOKUP($A13,main!$A$3:$H$102,7,FALSE),main!$K$18:$O$18,0),0))),0)</f>
        <v>310</v>
      </c>
      <c r="Z13">
        <f>IF((gamma!Z13),IF(VLOOKUP(Z$1,main!$A$3:$H$102,7,FALSE)=VLOOKUP($A13,main!$A$3:$H$102,8,FALSE),VLOOKUP(Z$1,main!$A$3:$H$102,4,FALSE),VLOOKUP(Z$1,main!$A$3:$H$102,4,FALSE)+VLOOKUP($A13,main!$A$3:$H$102,4,FALSE)+(VLOOKUP(VLOOKUP(Z$1,main!$A$3:$H$102,8,FALSE),main!$K$19:$O$22,MATCH(VLOOKUP($A13,main!$A$3:$H$102,7,FALSE),main!$K$18:$O$18,0),0))),0)</f>
        <v>315</v>
      </c>
      <c r="AA13">
        <f>IF((gamma!AA13),IF(VLOOKUP(AA$1,main!$A$3:$H$102,7,FALSE)=VLOOKUP($A13,main!$A$3:$H$102,8,FALSE),VLOOKUP(AA$1,main!$A$3:$H$102,4,FALSE),VLOOKUP(AA$1,main!$A$3:$H$102,4,FALSE)+VLOOKUP($A13,main!$A$3:$H$102,4,FALSE)+(VLOOKUP(VLOOKUP(AA$1,main!$A$3:$H$102,8,FALSE),main!$K$19:$O$22,MATCH(VLOOKUP($A13,main!$A$3:$H$102,7,FALSE),main!$K$18:$O$18,0),0))),0)</f>
        <v>315</v>
      </c>
      <c r="AB13">
        <f>IF((gamma!AB13),IF(VLOOKUP(AB$1,main!$A$3:$H$102,7,FALSE)=VLOOKUP($A13,main!$A$3:$H$102,8,FALSE),VLOOKUP(AB$1,main!$A$3:$H$102,4,FALSE),VLOOKUP(AB$1,main!$A$3:$H$102,4,FALSE)+VLOOKUP($A13,main!$A$3:$H$102,4,FALSE)+(VLOOKUP(VLOOKUP(AB$1,main!$A$3:$H$102,8,FALSE),main!$K$19:$O$22,MATCH(VLOOKUP($A13,main!$A$3:$H$102,7,FALSE),main!$K$18:$O$18,0),0))),0)</f>
        <v>0</v>
      </c>
      <c r="AC13">
        <f>IF((gamma!AC13),IF(VLOOKUP(AC$1,main!$A$3:$H$102,7,FALSE)=VLOOKUP($A13,main!$A$3:$H$102,8,FALSE),VLOOKUP(AC$1,main!$A$3:$H$102,4,FALSE),VLOOKUP(AC$1,main!$A$3:$H$102,4,FALSE)+VLOOKUP($A13,main!$A$3:$H$102,4,FALSE)+(VLOOKUP(VLOOKUP(AC$1,main!$A$3:$H$102,8,FALSE),main!$K$19:$O$22,MATCH(VLOOKUP($A13,main!$A$3:$H$102,7,FALSE),main!$K$18:$O$18,0),0))),0)</f>
        <v>0</v>
      </c>
      <c r="AD13">
        <f>IF((gamma!AD13),IF(VLOOKUP(AD$1,main!$A$3:$H$102,7,FALSE)=VLOOKUP($A13,main!$A$3:$H$102,8,FALSE),VLOOKUP(AD$1,main!$A$3:$H$102,4,FALSE),VLOOKUP(AD$1,main!$A$3:$H$102,4,FALSE)+VLOOKUP($A13,main!$A$3:$H$102,4,FALSE)+(VLOOKUP(VLOOKUP(AD$1,main!$A$3:$H$102,8,FALSE),main!$K$19:$O$22,MATCH(VLOOKUP($A13,main!$A$3:$H$102,7,FALSE),main!$K$18:$O$18,0),0))),0)</f>
        <v>310</v>
      </c>
      <c r="AE13">
        <f>IF((gamma!AE13),IF(VLOOKUP(AE$1,main!$A$3:$H$102,7,FALSE)=VLOOKUP($A13,main!$A$3:$H$102,8,FALSE),VLOOKUP(AE$1,main!$A$3:$H$102,4,FALSE),VLOOKUP(AE$1,main!$A$3:$H$102,4,FALSE)+VLOOKUP($A13,main!$A$3:$H$102,4,FALSE)+(VLOOKUP(VLOOKUP(AE$1,main!$A$3:$H$102,8,FALSE),main!$K$19:$O$22,MATCH(VLOOKUP($A13,main!$A$3:$H$102,7,FALSE),main!$K$18:$O$18,0),0))),0)</f>
        <v>315</v>
      </c>
      <c r="AF13">
        <f>IF((gamma!AF13),IF(VLOOKUP(AF$1,main!$A$3:$H$102,7,FALSE)=VLOOKUP($A13,main!$A$3:$H$102,8,FALSE),VLOOKUP(AF$1,main!$A$3:$H$102,4,FALSE),VLOOKUP(AF$1,main!$A$3:$H$102,4,FALSE)+VLOOKUP($A13,main!$A$3:$H$102,4,FALSE)+(VLOOKUP(VLOOKUP(AF$1,main!$A$3:$H$102,8,FALSE),main!$K$19:$O$22,MATCH(VLOOKUP($A13,main!$A$3:$H$102,7,FALSE),main!$K$18:$O$18,0),0))),0)</f>
        <v>275</v>
      </c>
      <c r="AG13">
        <f>IF((gamma!AG13),IF(VLOOKUP(AG$1,main!$A$3:$H$102,7,FALSE)=VLOOKUP($A13,main!$A$3:$H$102,8,FALSE),VLOOKUP(AG$1,main!$A$3:$H$102,4,FALSE),VLOOKUP(AG$1,main!$A$3:$H$102,4,FALSE)+VLOOKUP($A13,main!$A$3:$H$102,4,FALSE)+(VLOOKUP(VLOOKUP(AG$1,main!$A$3:$H$102,8,FALSE),main!$K$19:$O$22,MATCH(VLOOKUP($A13,main!$A$3:$H$102,7,FALSE),main!$K$18:$O$18,0),0))),0)</f>
        <v>0</v>
      </c>
      <c r="AH13">
        <f>IF((gamma!AH13),IF(VLOOKUP(AH$1,main!$A$3:$H$102,7,FALSE)=VLOOKUP($A13,main!$A$3:$H$102,8,FALSE),VLOOKUP(AH$1,main!$A$3:$H$102,4,FALSE),VLOOKUP(AH$1,main!$A$3:$H$102,4,FALSE)+VLOOKUP($A13,main!$A$3:$H$102,4,FALSE)+(VLOOKUP(VLOOKUP(AH$1,main!$A$3:$H$102,8,FALSE),main!$K$19:$O$22,MATCH(VLOOKUP($A13,main!$A$3:$H$102,7,FALSE),main!$K$18:$O$18,0),0))),0)</f>
        <v>0</v>
      </c>
      <c r="AI13">
        <f>IF((gamma!AI13),IF(VLOOKUP(AI$1,main!$A$3:$H$102,7,FALSE)=VLOOKUP($A13,main!$A$3:$H$102,8,FALSE),VLOOKUP(AI$1,main!$A$3:$H$102,4,FALSE),VLOOKUP(AI$1,main!$A$3:$H$102,4,FALSE)+VLOOKUP($A13,main!$A$3:$H$102,4,FALSE)+(VLOOKUP(VLOOKUP(AI$1,main!$A$3:$H$102,8,FALSE),main!$K$19:$O$22,MATCH(VLOOKUP($A13,main!$A$3:$H$102,7,FALSE),main!$K$18:$O$18,0),0))),0)</f>
        <v>0</v>
      </c>
      <c r="AJ13">
        <f>IF((gamma!AJ13),IF(VLOOKUP(AJ$1,main!$A$3:$H$102,7,FALSE)=VLOOKUP($A13,main!$A$3:$H$102,8,FALSE),VLOOKUP(AJ$1,main!$A$3:$H$102,4,FALSE),VLOOKUP(AJ$1,main!$A$3:$H$102,4,FALSE)+VLOOKUP($A13,main!$A$3:$H$102,4,FALSE)+(VLOOKUP(VLOOKUP(AJ$1,main!$A$3:$H$102,8,FALSE),main!$K$19:$O$22,MATCH(VLOOKUP($A13,main!$A$3:$H$102,7,FALSE),main!$K$18:$O$18,0),0))),0)</f>
        <v>275</v>
      </c>
      <c r="AK13">
        <f>IF((gamma!AK13),IF(VLOOKUP(AK$1,main!$A$3:$H$102,7,FALSE)=VLOOKUP($A13,main!$A$3:$H$102,8,FALSE),VLOOKUP(AK$1,main!$A$3:$H$102,4,FALSE),VLOOKUP(AK$1,main!$A$3:$H$102,4,FALSE)+VLOOKUP($A13,main!$A$3:$H$102,4,FALSE)+(VLOOKUP(VLOOKUP(AK$1,main!$A$3:$H$102,8,FALSE),main!$K$19:$O$22,MATCH(VLOOKUP($A13,main!$A$3:$H$102,7,FALSE),main!$K$18:$O$18,0),0))),0)</f>
        <v>275</v>
      </c>
      <c r="AL13">
        <f>IF((gamma!AL13),IF(VLOOKUP(AL$1,main!$A$3:$H$102,7,FALSE)=VLOOKUP($A13,main!$A$3:$H$102,8,FALSE),VLOOKUP(AL$1,main!$A$3:$H$102,4,FALSE),VLOOKUP(AL$1,main!$A$3:$H$102,4,FALSE)+VLOOKUP($A13,main!$A$3:$H$102,4,FALSE)+(VLOOKUP(VLOOKUP(AL$1,main!$A$3:$H$102,8,FALSE),main!$K$19:$O$22,MATCH(VLOOKUP($A13,main!$A$3:$H$102,7,FALSE),main!$K$18:$O$18,0),0))),0)</f>
        <v>275</v>
      </c>
      <c r="AM13">
        <f>IF((gamma!AM13),IF(VLOOKUP(AM$1,main!$A$3:$H$102,7,FALSE)=VLOOKUP($A13,main!$A$3:$H$102,8,FALSE),VLOOKUP(AM$1,main!$A$3:$H$102,4,FALSE),VLOOKUP(AM$1,main!$A$3:$H$102,4,FALSE)+VLOOKUP($A13,main!$A$3:$H$102,4,FALSE)+(VLOOKUP(VLOOKUP(AM$1,main!$A$3:$H$102,8,FALSE),main!$K$19:$O$22,MATCH(VLOOKUP($A13,main!$A$3:$H$102,7,FALSE),main!$K$18:$O$18,0),0))),0)</f>
        <v>275</v>
      </c>
      <c r="AN13">
        <f>IF((gamma!AN13),IF(VLOOKUP(AN$1,main!$A$3:$H$102,7,FALSE)=VLOOKUP($A13,main!$A$3:$H$102,8,FALSE),VLOOKUP(AN$1,main!$A$3:$H$102,4,FALSE),VLOOKUP(AN$1,main!$A$3:$H$102,4,FALSE)+VLOOKUP($A13,main!$A$3:$H$102,4,FALSE)+(VLOOKUP(VLOOKUP(AN$1,main!$A$3:$H$102,8,FALSE),main!$K$19:$O$22,MATCH(VLOOKUP($A13,main!$A$3:$H$102,7,FALSE),main!$K$18:$O$18,0),0))),0)</f>
        <v>275</v>
      </c>
      <c r="AO13">
        <f>IF((gamma!AO13),IF(VLOOKUP(AO$1,main!$A$3:$H$102,7,FALSE)=VLOOKUP($A13,main!$A$3:$H$102,8,FALSE),VLOOKUP(AO$1,main!$A$3:$H$102,4,FALSE),VLOOKUP(AO$1,main!$A$3:$H$102,4,FALSE)+VLOOKUP($A13,main!$A$3:$H$102,4,FALSE)+(VLOOKUP(VLOOKUP(AO$1,main!$A$3:$H$102,8,FALSE),main!$K$19:$O$22,MATCH(VLOOKUP($A13,main!$A$3:$H$102,7,FALSE),main!$K$18:$O$18,0),0))),0)</f>
        <v>0</v>
      </c>
      <c r="AP13">
        <f>IF((gamma!AP13),IF(VLOOKUP(AP$1,main!$A$3:$H$102,7,FALSE)=VLOOKUP($A13,main!$A$3:$H$102,8,FALSE),VLOOKUP(AP$1,main!$A$3:$H$102,4,FALSE),VLOOKUP(AP$1,main!$A$3:$H$102,4,FALSE)+VLOOKUP($A13,main!$A$3:$H$102,4,FALSE)+(VLOOKUP(VLOOKUP(AP$1,main!$A$3:$H$102,8,FALSE),main!$K$19:$O$22,MATCH(VLOOKUP($A13,main!$A$3:$H$102,7,FALSE),main!$K$18:$O$18,0),0))),0)</f>
        <v>215</v>
      </c>
      <c r="AQ13">
        <f>IF((gamma!AQ13),IF(VLOOKUP(AQ$1,main!$A$3:$H$102,7,FALSE)=VLOOKUP($A13,main!$A$3:$H$102,8,FALSE),VLOOKUP(AQ$1,main!$A$3:$H$102,4,FALSE),VLOOKUP(AQ$1,main!$A$3:$H$102,4,FALSE)+VLOOKUP($A13,main!$A$3:$H$102,4,FALSE)+(VLOOKUP(VLOOKUP(AQ$1,main!$A$3:$H$102,8,FALSE),main!$K$19:$O$22,MATCH(VLOOKUP($A13,main!$A$3:$H$102,7,FALSE),main!$K$18:$O$18,0),0))),0)</f>
        <v>0</v>
      </c>
      <c r="AR13">
        <f>IF((gamma!AR13),IF(VLOOKUP(AR$1,main!$A$3:$H$102,7,FALSE)=VLOOKUP($A13,main!$A$3:$H$102,8,FALSE),VLOOKUP(AR$1,main!$A$3:$H$102,4,FALSE),VLOOKUP(AR$1,main!$A$3:$H$102,4,FALSE)+VLOOKUP($A13,main!$A$3:$H$102,4,FALSE)+(VLOOKUP(VLOOKUP(AR$1,main!$A$3:$H$102,8,FALSE),main!$K$19:$O$22,MATCH(VLOOKUP($A13,main!$A$3:$H$102,7,FALSE),main!$K$18:$O$18,0),0))),0)</f>
        <v>0</v>
      </c>
      <c r="AS13">
        <f>IF((gamma!AS13),IF(VLOOKUP(AS$1,main!$A$3:$H$102,7,FALSE)=VLOOKUP($A13,main!$A$3:$H$102,8,FALSE),VLOOKUP(AS$1,main!$A$3:$H$102,4,FALSE),VLOOKUP(AS$1,main!$A$3:$H$102,4,FALSE)+VLOOKUP($A13,main!$A$3:$H$102,4,FALSE)+(VLOOKUP(VLOOKUP(AS$1,main!$A$3:$H$102,8,FALSE),main!$K$19:$O$22,MATCH(VLOOKUP($A13,main!$A$3:$H$102,7,FALSE),main!$K$18:$O$18,0),0))),0)</f>
        <v>290</v>
      </c>
      <c r="AT13">
        <f>IF((gamma!AT13),IF(VLOOKUP(AT$1,main!$A$3:$H$102,7,FALSE)=VLOOKUP($A13,main!$A$3:$H$102,8,FALSE),VLOOKUP(AT$1,main!$A$3:$H$102,4,FALSE),VLOOKUP(AT$1,main!$A$3:$H$102,4,FALSE)+VLOOKUP($A13,main!$A$3:$H$102,4,FALSE)+(VLOOKUP(VLOOKUP(AT$1,main!$A$3:$H$102,8,FALSE),main!$K$19:$O$22,MATCH(VLOOKUP($A13,main!$A$3:$H$102,7,FALSE),main!$K$18:$O$18,0),0))),0)</f>
        <v>300</v>
      </c>
      <c r="AU13">
        <f>IF((gamma!AU13),IF(VLOOKUP(AU$1,main!$A$3:$H$102,7,FALSE)=VLOOKUP($A13,main!$A$3:$H$102,8,FALSE),VLOOKUP(AU$1,main!$A$3:$H$102,4,FALSE),VLOOKUP(AU$1,main!$A$3:$H$102,4,FALSE)+VLOOKUP($A13,main!$A$3:$H$102,4,FALSE)+(VLOOKUP(VLOOKUP(AU$1,main!$A$3:$H$102,8,FALSE),main!$K$19:$O$22,MATCH(VLOOKUP($A13,main!$A$3:$H$102,7,FALSE),main!$K$18:$O$18,0),0))),0)</f>
        <v>0</v>
      </c>
      <c r="AV13">
        <f>IF((gamma!AV13),IF(VLOOKUP(AV$1,main!$A$3:$H$102,7,FALSE)=VLOOKUP($A13,main!$A$3:$H$102,8,FALSE),VLOOKUP(AV$1,main!$A$3:$H$102,4,FALSE),VLOOKUP(AV$1,main!$A$3:$H$102,4,FALSE)+VLOOKUP($A13,main!$A$3:$H$102,4,FALSE)+(VLOOKUP(VLOOKUP(AV$1,main!$A$3:$H$102,8,FALSE),main!$K$19:$O$22,MATCH(VLOOKUP($A13,main!$A$3:$H$102,7,FALSE),main!$K$18:$O$18,0),0))),0)</f>
        <v>0</v>
      </c>
      <c r="AW13">
        <f>IF((gamma!AW13),IF(VLOOKUP(AW$1,main!$A$3:$H$102,7,FALSE)=VLOOKUP($A13,main!$A$3:$H$102,8,FALSE),VLOOKUP(AW$1,main!$A$3:$H$102,4,FALSE),VLOOKUP(AW$1,main!$A$3:$H$102,4,FALSE)+VLOOKUP($A13,main!$A$3:$H$102,4,FALSE)+(VLOOKUP(VLOOKUP(AW$1,main!$A$3:$H$102,8,FALSE),main!$K$19:$O$22,MATCH(VLOOKUP($A13,main!$A$3:$H$102,7,FALSE),main!$K$18:$O$18,0),0))),0)</f>
        <v>290</v>
      </c>
      <c r="AX13">
        <f>IF((gamma!AX13),IF(VLOOKUP(AX$1,main!$A$3:$H$102,7,FALSE)=VLOOKUP($A13,main!$A$3:$H$102,8,FALSE),VLOOKUP(AX$1,main!$A$3:$H$102,4,FALSE),VLOOKUP(AX$1,main!$A$3:$H$102,4,FALSE)+VLOOKUP($A13,main!$A$3:$H$102,4,FALSE)+(VLOOKUP(VLOOKUP(AX$1,main!$A$3:$H$102,8,FALSE),main!$K$19:$O$22,MATCH(VLOOKUP($A13,main!$A$3:$H$102,7,FALSE),main!$K$18:$O$18,0),0))),0)</f>
        <v>275</v>
      </c>
      <c r="AY13">
        <f>IF((gamma!AY13),IF(VLOOKUP(AY$1,main!$A$3:$H$102,7,FALSE)=VLOOKUP($A13,main!$A$3:$H$102,8,FALSE),VLOOKUP(AY$1,main!$A$3:$H$102,4,FALSE),VLOOKUP(AY$1,main!$A$3:$H$102,4,FALSE)+VLOOKUP($A13,main!$A$3:$H$102,4,FALSE)+(VLOOKUP(VLOOKUP(AY$1,main!$A$3:$H$102,8,FALSE),main!$K$19:$O$22,MATCH(VLOOKUP($A13,main!$A$3:$H$102,7,FALSE),main!$K$18:$O$18,0),0))),0)</f>
        <v>0</v>
      </c>
      <c r="AZ13">
        <f>IF((gamma!AZ13),IF(VLOOKUP(AZ$1,main!$A$3:$H$102,7,FALSE)=VLOOKUP($A13,main!$A$3:$H$102,8,FALSE),VLOOKUP(AZ$1,main!$A$3:$H$102,4,FALSE),VLOOKUP(AZ$1,main!$A$3:$H$102,4,FALSE)+VLOOKUP($A13,main!$A$3:$H$102,4,FALSE)+(VLOOKUP(VLOOKUP(AZ$1,main!$A$3:$H$102,8,FALSE),main!$K$19:$O$22,MATCH(VLOOKUP($A13,main!$A$3:$H$102,7,FALSE),main!$K$18:$O$18,0),0))),0)</f>
        <v>0</v>
      </c>
      <c r="BA13">
        <f>IF((gamma!BA13),IF(VLOOKUP(BA$1,main!$A$3:$H$102,7,FALSE)=VLOOKUP($A13,main!$A$3:$H$102,8,FALSE),VLOOKUP(BA$1,main!$A$3:$H$102,4,FALSE),VLOOKUP(BA$1,main!$A$3:$H$102,4,FALSE)+VLOOKUP($A13,main!$A$3:$H$102,4,FALSE)+(VLOOKUP(VLOOKUP(BA$1,main!$A$3:$H$102,8,FALSE),main!$K$19:$O$22,MATCH(VLOOKUP($A13,main!$A$3:$H$102,7,FALSE),main!$K$18:$O$18,0),0))),0)</f>
        <v>0</v>
      </c>
      <c r="BB13">
        <f>IF((gamma!BB13),IF(VLOOKUP(BB$1,main!$A$3:$H$102,7,FALSE)=VLOOKUP($A13,main!$A$3:$H$102,8,FALSE),VLOOKUP(BB$1,main!$A$3:$H$102,4,FALSE),VLOOKUP(BB$1,main!$A$3:$H$102,4,FALSE)+VLOOKUP($A13,main!$A$3:$H$102,4,FALSE)+(VLOOKUP(VLOOKUP(BB$1,main!$A$3:$H$102,8,FALSE),main!$K$19:$O$22,MATCH(VLOOKUP($A13,main!$A$3:$H$102,7,FALSE),main!$K$18:$O$18,0),0))),0)</f>
        <v>140</v>
      </c>
      <c r="BC13">
        <f>IF((gamma!BC13),IF(VLOOKUP(BC$1,main!$A$3:$H$102,7,FALSE)=VLOOKUP($A13,main!$A$3:$H$102,8,FALSE),VLOOKUP(BC$1,main!$A$3:$H$102,4,FALSE),VLOOKUP(BC$1,main!$A$3:$H$102,4,FALSE)+VLOOKUP($A13,main!$A$3:$H$102,4,FALSE)+(VLOOKUP(VLOOKUP(BC$1,main!$A$3:$H$102,8,FALSE),main!$K$19:$O$22,MATCH(VLOOKUP($A13,main!$A$3:$H$102,7,FALSE),main!$K$18:$O$18,0),0))),0)</f>
        <v>140</v>
      </c>
      <c r="BD13">
        <f>IF((gamma!BD13),IF(VLOOKUP(BD$1,main!$A$3:$H$102,7,FALSE)=VLOOKUP($A13,main!$A$3:$H$102,8,FALSE),VLOOKUP(BD$1,main!$A$3:$H$102,4,FALSE),VLOOKUP(BD$1,main!$A$3:$H$102,4,FALSE)+VLOOKUP($A13,main!$A$3:$H$102,4,FALSE)+(VLOOKUP(VLOOKUP(BD$1,main!$A$3:$H$102,8,FALSE),main!$K$19:$O$22,MATCH(VLOOKUP($A13,main!$A$3:$H$102,7,FALSE),main!$K$18:$O$18,0),0))),0)</f>
        <v>140</v>
      </c>
      <c r="BE13">
        <f>IF((gamma!BE13),IF(VLOOKUP(BE$1,main!$A$3:$H$102,7,FALSE)=VLOOKUP($A13,main!$A$3:$H$102,8,FALSE),VLOOKUP(BE$1,main!$A$3:$H$102,4,FALSE),VLOOKUP(BE$1,main!$A$3:$H$102,4,FALSE)+VLOOKUP($A13,main!$A$3:$H$102,4,FALSE)+(VLOOKUP(VLOOKUP(BE$1,main!$A$3:$H$102,8,FALSE),main!$K$19:$O$22,MATCH(VLOOKUP($A13,main!$A$3:$H$102,7,FALSE),main!$K$18:$O$18,0),0))),0)</f>
        <v>140</v>
      </c>
      <c r="BF13">
        <f>IF((gamma!BF13),IF(VLOOKUP(BF$1,main!$A$3:$H$102,7,FALSE)=VLOOKUP($A13,main!$A$3:$H$102,8,FALSE),VLOOKUP(BF$1,main!$A$3:$H$102,4,FALSE),VLOOKUP(BF$1,main!$A$3:$H$102,4,FALSE)+VLOOKUP($A13,main!$A$3:$H$102,4,FALSE)+(VLOOKUP(VLOOKUP(BF$1,main!$A$3:$H$102,8,FALSE),main!$K$19:$O$22,MATCH(VLOOKUP($A13,main!$A$3:$H$102,7,FALSE),main!$K$18:$O$18,0),0))),0)</f>
        <v>0</v>
      </c>
      <c r="BG13">
        <f>IF((gamma!BG13),IF(VLOOKUP(BG$1,main!$A$3:$H$102,7,FALSE)=VLOOKUP($A13,main!$A$3:$H$102,8,FALSE),VLOOKUP(BG$1,main!$A$3:$H$102,4,FALSE),VLOOKUP(BG$1,main!$A$3:$H$102,4,FALSE)+VLOOKUP($A13,main!$A$3:$H$102,4,FALSE)+(VLOOKUP(VLOOKUP(BG$1,main!$A$3:$H$102,8,FALSE),main!$K$19:$O$22,MATCH(VLOOKUP($A13,main!$A$3:$H$102,7,FALSE),main!$K$18:$O$18,0),0))),0)</f>
        <v>0</v>
      </c>
      <c r="BH13">
        <f>IF((gamma!BH13),IF(VLOOKUP(BH$1,main!$A$3:$H$102,7,FALSE)=VLOOKUP($A13,main!$A$3:$H$102,8,FALSE),VLOOKUP(BH$1,main!$A$3:$H$102,4,FALSE),VLOOKUP(BH$1,main!$A$3:$H$102,4,FALSE)+VLOOKUP($A13,main!$A$3:$H$102,4,FALSE)+(VLOOKUP(VLOOKUP(BH$1,main!$A$3:$H$102,8,FALSE),main!$K$19:$O$22,MATCH(VLOOKUP($A13,main!$A$3:$H$102,7,FALSE),main!$K$18:$O$18,0),0))),0)</f>
        <v>125</v>
      </c>
      <c r="BI13">
        <f>IF((gamma!BI13),IF(VLOOKUP(BI$1,main!$A$3:$H$102,7,FALSE)=VLOOKUP($A13,main!$A$3:$H$102,8,FALSE),VLOOKUP(BI$1,main!$A$3:$H$102,4,FALSE),VLOOKUP(BI$1,main!$A$3:$H$102,4,FALSE)+VLOOKUP($A13,main!$A$3:$H$102,4,FALSE)+(VLOOKUP(VLOOKUP(BI$1,main!$A$3:$H$102,8,FALSE),main!$K$19:$O$22,MATCH(VLOOKUP($A13,main!$A$3:$H$102,7,FALSE),main!$K$18:$O$18,0),0))),0)</f>
        <v>60</v>
      </c>
      <c r="BJ13">
        <f>IF((gamma!BJ13),IF(VLOOKUP(BJ$1,main!$A$3:$H$102,7,FALSE)=VLOOKUP($A13,main!$A$3:$H$102,8,FALSE),VLOOKUP(BJ$1,main!$A$3:$H$102,4,FALSE),VLOOKUP(BJ$1,main!$A$3:$H$102,4,FALSE)+VLOOKUP($A13,main!$A$3:$H$102,4,FALSE)+(VLOOKUP(VLOOKUP(BJ$1,main!$A$3:$H$102,8,FALSE),main!$K$19:$O$22,MATCH(VLOOKUP($A13,main!$A$3:$H$102,7,FALSE),main!$K$18:$O$18,0),0))),0)</f>
        <v>90</v>
      </c>
      <c r="BK13">
        <f>IF((gamma!BK13),IF(VLOOKUP(BK$1,main!$A$3:$H$102,7,FALSE)=VLOOKUP($A13,main!$A$3:$H$102,8,FALSE),VLOOKUP(BK$1,main!$A$3:$H$102,4,FALSE),VLOOKUP(BK$1,main!$A$3:$H$102,4,FALSE)+VLOOKUP($A13,main!$A$3:$H$102,4,FALSE)+(VLOOKUP(VLOOKUP(BK$1,main!$A$3:$H$102,8,FALSE),main!$K$19:$O$22,MATCH(VLOOKUP($A13,main!$A$3:$H$102,7,FALSE),main!$K$18:$O$18,0),0))),0)</f>
        <v>0</v>
      </c>
      <c r="BL13">
        <f>IF((gamma!BL13),IF(VLOOKUP(BL$1,main!$A$3:$H$102,7,FALSE)=VLOOKUP($A13,main!$A$3:$H$102,8,FALSE),VLOOKUP(BL$1,main!$A$3:$H$102,4,FALSE),VLOOKUP(BL$1,main!$A$3:$H$102,4,FALSE)+VLOOKUP($A13,main!$A$3:$H$102,4,FALSE)+(VLOOKUP(VLOOKUP(BL$1,main!$A$3:$H$102,8,FALSE),main!$K$19:$O$22,MATCH(VLOOKUP($A13,main!$A$3:$H$102,7,FALSE),main!$K$18:$O$18,0),0))),0)</f>
        <v>0</v>
      </c>
      <c r="BM13">
        <f>IF((gamma!BM13),IF(VLOOKUP(BM$1,main!$A$3:$H$102,7,FALSE)=VLOOKUP($A13,main!$A$3:$H$102,8,FALSE),VLOOKUP(BM$1,main!$A$3:$H$102,4,FALSE),VLOOKUP(BM$1,main!$A$3:$H$102,4,FALSE)+VLOOKUP($A13,main!$A$3:$H$102,4,FALSE)+(VLOOKUP(VLOOKUP(BM$1,main!$A$3:$H$102,8,FALSE),main!$K$19:$O$22,MATCH(VLOOKUP($A13,main!$A$3:$H$102,7,FALSE),main!$K$18:$O$18,0),0))),0)</f>
        <v>0</v>
      </c>
      <c r="BN13">
        <f>IF((gamma!BN13),IF(VLOOKUP(BN$1,main!$A$3:$H$102,7,FALSE)=VLOOKUP($A13,main!$A$3:$H$102,8,FALSE),VLOOKUP(BN$1,main!$A$3:$H$102,4,FALSE),VLOOKUP(BN$1,main!$A$3:$H$102,4,FALSE)+VLOOKUP($A13,main!$A$3:$H$102,4,FALSE)+(VLOOKUP(VLOOKUP(BN$1,main!$A$3:$H$102,8,FALSE),main!$K$19:$O$22,MATCH(VLOOKUP($A13,main!$A$3:$H$102,7,FALSE),main!$K$18:$O$18,0),0))),0)</f>
        <v>120</v>
      </c>
      <c r="BO13">
        <f>IF((gamma!BO13),IF(VLOOKUP(BO$1,main!$A$3:$H$102,7,FALSE)=VLOOKUP($A13,main!$A$3:$H$102,8,FALSE),VLOOKUP(BO$1,main!$A$3:$H$102,4,FALSE),VLOOKUP(BO$1,main!$A$3:$H$102,4,FALSE)+VLOOKUP($A13,main!$A$3:$H$102,4,FALSE)+(VLOOKUP(VLOOKUP(BO$1,main!$A$3:$H$102,8,FALSE),main!$K$19:$O$22,MATCH(VLOOKUP($A13,main!$A$3:$H$102,7,FALSE),main!$K$18:$O$18,0),0))),0)</f>
        <v>0</v>
      </c>
      <c r="BP13">
        <f>IF((gamma!BP13),IF(VLOOKUP(BP$1,main!$A$3:$H$102,7,FALSE)=VLOOKUP($A13,main!$A$3:$H$102,8,FALSE),VLOOKUP(BP$1,main!$A$3:$H$102,4,FALSE),VLOOKUP(BP$1,main!$A$3:$H$102,4,FALSE)+VLOOKUP($A13,main!$A$3:$H$102,4,FALSE)+(VLOOKUP(VLOOKUP(BP$1,main!$A$3:$H$102,8,FALSE),main!$K$19:$O$22,MATCH(VLOOKUP($A13,main!$A$3:$H$102,7,FALSE),main!$K$18:$O$18,0),0))),0)</f>
        <v>0</v>
      </c>
      <c r="BQ13">
        <f>IF((gamma!BQ13),IF(VLOOKUP(BQ$1,main!$A$3:$H$102,7,FALSE)=VLOOKUP($A13,main!$A$3:$H$102,8,FALSE),VLOOKUP(BQ$1,main!$A$3:$H$102,4,FALSE),VLOOKUP(BQ$1,main!$A$3:$H$102,4,FALSE)+VLOOKUP($A13,main!$A$3:$H$102,4,FALSE)+(VLOOKUP(VLOOKUP(BQ$1,main!$A$3:$H$102,8,FALSE),main!$K$19:$O$22,MATCH(VLOOKUP($A13,main!$A$3:$H$102,7,FALSE),main!$K$18:$O$18,0),0))),0)</f>
        <v>140</v>
      </c>
      <c r="BR13">
        <f>IF((gamma!BR13),IF(VLOOKUP(BR$1,main!$A$3:$H$102,7,FALSE)=VLOOKUP($A13,main!$A$3:$H$102,8,FALSE),VLOOKUP(BR$1,main!$A$3:$H$102,4,FALSE),VLOOKUP(BR$1,main!$A$3:$H$102,4,FALSE)+VLOOKUP($A13,main!$A$3:$H$102,4,FALSE)+(VLOOKUP(VLOOKUP(BR$1,main!$A$3:$H$102,8,FALSE),main!$K$19:$O$22,MATCH(VLOOKUP($A13,main!$A$3:$H$102,7,FALSE),main!$K$18:$O$18,0),0))),0)</f>
        <v>100</v>
      </c>
      <c r="BS13">
        <f>IF((gamma!BS13),IF(VLOOKUP(BS$1,main!$A$3:$H$102,7,FALSE)=VLOOKUP($A13,main!$A$3:$H$102,8,FALSE),VLOOKUP(BS$1,main!$A$3:$H$102,4,FALSE),VLOOKUP(BS$1,main!$A$3:$H$102,4,FALSE)+VLOOKUP($A13,main!$A$3:$H$102,4,FALSE)+(VLOOKUP(VLOOKUP(BS$1,main!$A$3:$H$102,8,FALSE),main!$K$19:$O$22,MATCH(VLOOKUP($A13,main!$A$3:$H$102,7,FALSE),main!$K$18:$O$18,0),0))),0)</f>
        <v>101</v>
      </c>
      <c r="BT13">
        <f>IF((gamma!BT13),IF(VLOOKUP(BT$1,main!$A$3:$H$102,7,FALSE)=VLOOKUP($A13,main!$A$3:$H$102,8,FALSE),VLOOKUP(BT$1,main!$A$3:$H$102,4,FALSE),VLOOKUP(BT$1,main!$A$3:$H$102,4,FALSE)+VLOOKUP($A13,main!$A$3:$H$102,4,FALSE)+(VLOOKUP(VLOOKUP(BT$1,main!$A$3:$H$102,8,FALSE),main!$K$19:$O$22,MATCH(VLOOKUP($A13,main!$A$3:$H$102,7,FALSE),main!$K$18:$O$18,0),0))),0)</f>
        <v>120</v>
      </c>
      <c r="BU13">
        <f>IF((gamma!BU13),IF(VLOOKUP(BU$1,main!$A$3:$H$102,7,FALSE)=VLOOKUP($A13,main!$A$3:$H$102,8,FALSE),VLOOKUP(BU$1,main!$A$3:$H$102,4,FALSE),VLOOKUP(BU$1,main!$A$3:$H$102,4,FALSE)+VLOOKUP($A13,main!$A$3:$H$102,4,FALSE)+(VLOOKUP(VLOOKUP(BU$1,main!$A$3:$H$102,8,FALSE),main!$K$19:$O$22,MATCH(VLOOKUP($A13,main!$A$3:$H$102,7,FALSE),main!$K$18:$O$18,0),0))),0)</f>
        <v>0</v>
      </c>
      <c r="BV13">
        <f>IF((gamma!BV13),IF(VLOOKUP(BV$1,main!$A$3:$H$102,7,FALSE)=VLOOKUP($A13,main!$A$3:$H$102,8,FALSE),VLOOKUP(BV$1,main!$A$3:$H$102,4,FALSE),VLOOKUP(BV$1,main!$A$3:$H$102,4,FALSE)+VLOOKUP($A13,main!$A$3:$H$102,4,FALSE)+(VLOOKUP(VLOOKUP(BV$1,main!$A$3:$H$102,8,FALSE),main!$K$19:$O$22,MATCH(VLOOKUP($A13,main!$A$3:$H$102,7,FALSE),main!$K$18:$O$18,0),0))),0)</f>
        <v>0</v>
      </c>
      <c r="BW13">
        <f>IF((gamma!BW13),IF(VLOOKUP(BW$1,main!$A$3:$H$102,7,FALSE)=VLOOKUP($A13,main!$A$3:$H$102,8,FALSE),VLOOKUP(BW$1,main!$A$3:$H$102,4,FALSE),VLOOKUP(BW$1,main!$A$3:$H$102,4,FALSE)+VLOOKUP($A13,main!$A$3:$H$102,4,FALSE)+(VLOOKUP(VLOOKUP(BW$1,main!$A$3:$H$102,8,FALSE),main!$K$19:$O$22,MATCH(VLOOKUP($A13,main!$A$3:$H$102,7,FALSE),main!$K$18:$O$18,0),0))),0)</f>
        <v>0</v>
      </c>
      <c r="BX13">
        <f>IF((gamma!BX13),IF(VLOOKUP(BX$1,main!$A$3:$H$102,7,FALSE)=VLOOKUP($A13,main!$A$3:$H$102,8,FALSE),VLOOKUP(BX$1,main!$A$3:$H$102,4,FALSE),VLOOKUP(BX$1,main!$A$3:$H$102,4,FALSE)+VLOOKUP($A13,main!$A$3:$H$102,4,FALSE)+(VLOOKUP(VLOOKUP(BX$1,main!$A$3:$H$102,8,FALSE),main!$K$19:$O$22,MATCH(VLOOKUP($A13,main!$A$3:$H$102,7,FALSE),main!$K$18:$O$18,0),0))),0)</f>
        <v>135</v>
      </c>
      <c r="BY13">
        <f>IF((gamma!BY13),IF(VLOOKUP(BY$1,main!$A$3:$H$102,7,FALSE)=VLOOKUP($A13,main!$A$3:$H$102,8,FALSE),VLOOKUP(BY$1,main!$A$3:$H$102,4,FALSE),VLOOKUP(BY$1,main!$A$3:$H$102,4,FALSE)+VLOOKUP($A13,main!$A$3:$H$102,4,FALSE)+(VLOOKUP(VLOOKUP(BY$1,main!$A$3:$H$102,8,FALSE),main!$K$19:$O$22,MATCH(VLOOKUP($A13,main!$A$3:$H$102,7,FALSE),main!$K$18:$O$18,0),0))),0)</f>
        <v>120</v>
      </c>
      <c r="BZ13">
        <f>IF((gamma!BZ13),IF(VLOOKUP(BZ$1,main!$A$3:$H$102,7,FALSE)=VLOOKUP($A13,main!$A$3:$H$102,8,FALSE),VLOOKUP(BZ$1,main!$A$3:$H$102,4,FALSE),VLOOKUP(BZ$1,main!$A$3:$H$102,4,FALSE)+VLOOKUP($A13,main!$A$3:$H$102,4,FALSE)+(VLOOKUP(VLOOKUP(BZ$1,main!$A$3:$H$102,8,FALSE),main!$K$19:$O$22,MATCH(VLOOKUP($A13,main!$A$3:$H$102,7,FALSE),main!$K$18:$O$18,0),0))),0)</f>
        <v>0</v>
      </c>
      <c r="CA13">
        <f>IF((gamma!CA13),IF(VLOOKUP(CA$1,main!$A$3:$H$102,7,FALSE)=VLOOKUP($A13,main!$A$3:$H$102,8,FALSE),VLOOKUP(CA$1,main!$A$3:$H$102,4,FALSE),VLOOKUP(CA$1,main!$A$3:$H$102,4,FALSE)+VLOOKUP($A13,main!$A$3:$H$102,4,FALSE)+(VLOOKUP(VLOOKUP(CA$1,main!$A$3:$H$102,8,FALSE),main!$K$19:$O$22,MATCH(VLOOKUP($A13,main!$A$3:$H$102,7,FALSE),main!$K$18:$O$18,0),0))),0)</f>
        <v>0</v>
      </c>
      <c r="CB13">
        <f>IF((gamma!CB13),IF(VLOOKUP(CB$1,main!$A$3:$H$102,7,FALSE)=VLOOKUP($A13,main!$A$3:$H$102,8,FALSE),VLOOKUP(CB$1,main!$A$3:$H$102,4,FALSE),VLOOKUP(CB$1,main!$A$3:$H$102,4,FALSE)+VLOOKUP($A13,main!$A$3:$H$102,4,FALSE)+(VLOOKUP(VLOOKUP(CB$1,main!$A$3:$H$102,8,FALSE),main!$K$19:$O$22,MATCH(VLOOKUP($A13,main!$A$3:$H$102,7,FALSE),main!$K$18:$O$18,0),0))),0)</f>
        <v>65</v>
      </c>
      <c r="CC13">
        <f>IF((gamma!CC13),IF(VLOOKUP(CC$1,main!$A$3:$H$102,7,FALSE)=VLOOKUP($A13,main!$A$3:$H$102,8,FALSE),VLOOKUP(CC$1,main!$A$3:$H$102,4,FALSE),VLOOKUP(CC$1,main!$A$3:$H$102,4,FALSE)+VLOOKUP($A13,main!$A$3:$H$102,4,FALSE)+(VLOOKUP(VLOOKUP(CC$1,main!$A$3:$H$102,8,FALSE),main!$K$19:$O$22,MATCH(VLOOKUP($A13,main!$A$3:$H$102,7,FALSE),main!$K$18:$O$18,0),0))),0)</f>
        <v>55</v>
      </c>
      <c r="CD13">
        <f>IF((gamma!CD13),IF(VLOOKUP(CD$1,main!$A$3:$H$102,7,FALSE)=VLOOKUP($A13,main!$A$3:$H$102,8,FALSE),VLOOKUP(CD$1,main!$A$3:$H$102,4,FALSE),VLOOKUP(CD$1,main!$A$3:$H$102,4,FALSE)+VLOOKUP($A13,main!$A$3:$H$102,4,FALSE)+(VLOOKUP(VLOOKUP(CD$1,main!$A$3:$H$102,8,FALSE),main!$K$19:$O$22,MATCH(VLOOKUP($A13,main!$A$3:$H$102,7,FALSE),main!$K$18:$O$18,0),0))),0)</f>
        <v>114</v>
      </c>
      <c r="CE13">
        <f>IF((gamma!CE13),IF(VLOOKUP(CE$1,main!$A$3:$H$102,7,FALSE)=VLOOKUP($A13,main!$A$3:$H$102,8,FALSE),VLOOKUP(CE$1,main!$A$3:$H$102,4,FALSE),VLOOKUP(CE$1,main!$A$3:$H$102,4,FALSE)+VLOOKUP($A13,main!$A$3:$H$102,4,FALSE)+(VLOOKUP(VLOOKUP(CE$1,main!$A$3:$H$102,8,FALSE),main!$K$19:$O$22,MATCH(VLOOKUP($A13,main!$A$3:$H$102,7,FALSE),main!$K$18:$O$18,0),0))),0)</f>
        <v>0</v>
      </c>
      <c r="CF13">
        <f>IF((gamma!CF13),IF(VLOOKUP(CF$1,main!$A$3:$H$102,7,FALSE)=VLOOKUP($A13,main!$A$3:$H$102,8,FALSE),VLOOKUP(CF$1,main!$A$3:$H$102,4,FALSE),VLOOKUP(CF$1,main!$A$3:$H$102,4,FALSE)+VLOOKUP($A13,main!$A$3:$H$102,4,FALSE)+(VLOOKUP(VLOOKUP(CF$1,main!$A$3:$H$102,8,FALSE),main!$K$19:$O$22,MATCH(VLOOKUP($A13,main!$A$3:$H$102,7,FALSE),main!$K$18:$O$18,0),0))),0)</f>
        <v>275</v>
      </c>
      <c r="CG13">
        <f>IF((gamma!CG13),IF(VLOOKUP(CG$1,main!$A$3:$H$102,7,FALSE)=VLOOKUP($A13,main!$A$3:$H$102,8,FALSE),VLOOKUP(CG$1,main!$A$3:$H$102,4,FALSE),VLOOKUP(CG$1,main!$A$3:$H$102,4,FALSE)+VLOOKUP($A13,main!$A$3:$H$102,4,FALSE)+(VLOOKUP(VLOOKUP(CG$1,main!$A$3:$H$102,8,FALSE),main!$K$19:$O$22,MATCH(VLOOKUP($A13,main!$A$3:$H$102,7,FALSE),main!$K$18:$O$18,0),0))),0)</f>
        <v>280</v>
      </c>
      <c r="CH13">
        <f>IF((gamma!CH13),IF(VLOOKUP(CH$1,main!$A$3:$H$102,7,FALSE)=VLOOKUP($A13,main!$A$3:$H$102,8,FALSE),VLOOKUP(CH$1,main!$A$3:$H$102,4,FALSE),VLOOKUP(CH$1,main!$A$3:$H$102,4,FALSE)+VLOOKUP($A13,main!$A$3:$H$102,4,FALSE)+(VLOOKUP(VLOOKUP(CH$1,main!$A$3:$H$102,8,FALSE),main!$K$19:$O$22,MATCH(VLOOKUP($A13,main!$A$3:$H$102,7,FALSE),main!$K$18:$O$18,0),0))),0)</f>
        <v>280</v>
      </c>
      <c r="CI13">
        <f>IF((gamma!CI13),IF(VLOOKUP(CI$1,main!$A$3:$H$102,7,FALSE)=VLOOKUP($A13,main!$A$3:$H$102,8,FALSE),VLOOKUP(CI$1,main!$A$3:$H$102,4,FALSE),VLOOKUP(CI$1,main!$A$3:$H$102,4,FALSE)+VLOOKUP($A13,main!$A$3:$H$102,4,FALSE)+(VLOOKUP(VLOOKUP(CI$1,main!$A$3:$H$102,8,FALSE),main!$K$19:$O$22,MATCH(VLOOKUP($A13,main!$A$3:$H$102,7,FALSE),main!$K$18:$O$18,0),0))),0)</f>
        <v>280</v>
      </c>
      <c r="CJ13">
        <f>IF((gamma!CJ13),IF(VLOOKUP(CJ$1,main!$A$3:$H$102,7,FALSE)=VLOOKUP($A13,main!$A$3:$H$102,8,FALSE),VLOOKUP(CJ$1,main!$A$3:$H$102,4,FALSE),VLOOKUP(CJ$1,main!$A$3:$H$102,4,FALSE)+VLOOKUP($A13,main!$A$3:$H$102,4,FALSE)+(VLOOKUP(VLOOKUP(CJ$1,main!$A$3:$H$102,8,FALSE),main!$K$19:$O$22,MATCH(VLOOKUP($A13,main!$A$3:$H$102,7,FALSE),main!$K$18:$O$18,0),0))),0)</f>
        <v>208</v>
      </c>
      <c r="CK13">
        <f>IF((gamma!CK13),IF(VLOOKUP(CK$1,main!$A$3:$H$102,7,FALSE)=VLOOKUP($A13,main!$A$3:$H$102,8,FALSE),VLOOKUP(CK$1,main!$A$3:$H$102,4,FALSE),VLOOKUP(CK$1,main!$A$3:$H$102,4,FALSE)+VLOOKUP($A13,main!$A$3:$H$102,4,FALSE)+(VLOOKUP(VLOOKUP(CK$1,main!$A$3:$H$102,8,FALSE),main!$K$19:$O$22,MATCH(VLOOKUP($A13,main!$A$3:$H$102,7,FALSE),main!$K$18:$O$18,0),0))),0)</f>
        <v>0</v>
      </c>
      <c r="CL13">
        <f>IF((gamma!CL13),IF(VLOOKUP(CL$1,main!$A$3:$H$102,7,FALSE)=VLOOKUP($A13,main!$A$3:$H$102,8,FALSE),VLOOKUP(CL$1,main!$A$3:$H$102,4,FALSE),VLOOKUP(CL$1,main!$A$3:$H$102,4,FALSE)+VLOOKUP($A13,main!$A$3:$H$102,4,FALSE)+(VLOOKUP(VLOOKUP(CL$1,main!$A$3:$H$102,8,FALSE),main!$K$19:$O$22,MATCH(VLOOKUP($A13,main!$A$3:$H$102,7,FALSE),main!$K$18:$O$18,0),0))),0)</f>
        <v>220</v>
      </c>
      <c r="CM13">
        <f>IF((gamma!CM13),IF(VLOOKUP(CM$1,main!$A$3:$H$102,7,FALSE)=VLOOKUP($A13,main!$A$3:$H$102,8,FALSE),VLOOKUP(CM$1,main!$A$3:$H$102,4,FALSE),VLOOKUP(CM$1,main!$A$3:$H$102,4,FALSE)+VLOOKUP($A13,main!$A$3:$H$102,4,FALSE)+(VLOOKUP(VLOOKUP(CM$1,main!$A$3:$H$102,8,FALSE),main!$K$19:$O$22,MATCH(VLOOKUP($A13,main!$A$3:$H$102,7,FALSE),main!$K$18:$O$18,0),0))),0)</f>
        <v>240</v>
      </c>
      <c r="CN13">
        <f>IF((gamma!CN13),IF(VLOOKUP(CN$1,main!$A$3:$H$102,7,FALSE)=VLOOKUP($A13,main!$A$3:$H$102,8,FALSE),VLOOKUP(CN$1,main!$A$3:$H$102,4,FALSE),VLOOKUP(CN$1,main!$A$3:$H$102,4,FALSE)+VLOOKUP($A13,main!$A$3:$H$102,4,FALSE)+(VLOOKUP(VLOOKUP(CN$1,main!$A$3:$H$102,8,FALSE),main!$K$19:$O$22,MATCH(VLOOKUP($A13,main!$A$3:$H$102,7,FALSE),main!$K$18:$O$18,0),0))),0)</f>
        <v>236</v>
      </c>
      <c r="CO13">
        <f>IF((gamma!CO13),IF(VLOOKUP(CO$1,main!$A$3:$H$102,7,FALSE)=VLOOKUP($A13,main!$A$3:$H$102,8,FALSE),VLOOKUP(CO$1,main!$A$3:$H$102,4,FALSE),VLOOKUP(CO$1,main!$A$3:$H$102,4,FALSE)+VLOOKUP($A13,main!$A$3:$H$102,4,FALSE)+(VLOOKUP(VLOOKUP(CO$1,main!$A$3:$H$102,8,FALSE),main!$K$19:$O$22,MATCH(VLOOKUP($A13,main!$A$3:$H$102,7,FALSE),main!$K$18:$O$18,0),0))),0)</f>
        <v>0</v>
      </c>
      <c r="CP13">
        <f>IF((gamma!CP13),IF(VLOOKUP(CP$1,main!$A$3:$H$102,7,FALSE)=VLOOKUP($A13,main!$A$3:$H$102,8,FALSE),VLOOKUP(CP$1,main!$A$3:$H$102,4,FALSE),VLOOKUP(CP$1,main!$A$3:$H$102,4,FALSE)+VLOOKUP($A13,main!$A$3:$H$102,4,FALSE)+(VLOOKUP(VLOOKUP(CP$1,main!$A$3:$H$102,8,FALSE),main!$K$19:$O$22,MATCH(VLOOKUP($A13,main!$A$3:$H$102,7,FALSE),main!$K$18:$O$18,0),0))),0)</f>
        <v>290</v>
      </c>
      <c r="CQ13">
        <f>IF((gamma!CQ13),IF(VLOOKUP(CQ$1,main!$A$3:$H$102,7,FALSE)=VLOOKUP($A13,main!$A$3:$H$102,8,FALSE),VLOOKUP(CQ$1,main!$A$3:$H$102,4,FALSE),VLOOKUP(CQ$1,main!$A$3:$H$102,4,FALSE)+VLOOKUP($A13,main!$A$3:$H$102,4,FALSE)+(VLOOKUP(VLOOKUP(CQ$1,main!$A$3:$H$102,8,FALSE),main!$K$19:$O$22,MATCH(VLOOKUP($A13,main!$A$3:$H$102,7,FALSE),main!$K$18:$O$18,0),0))),0)</f>
        <v>290</v>
      </c>
      <c r="CR13">
        <f>IF((gamma!CR13),IF(VLOOKUP(CR$1,main!$A$3:$H$102,7,FALSE)=VLOOKUP($A13,main!$A$3:$H$102,8,FALSE),VLOOKUP(CR$1,main!$A$3:$H$102,4,FALSE),VLOOKUP(CR$1,main!$A$3:$H$102,4,FALSE)+VLOOKUP($A13,main!$A$3:$H$102,4,FALSE)+(VLOOKUP(VLOOKUP(CR$1,main!$A$3:$H$102,8,FALSE),main!$K$19:$O$22,MATCH(VLOOKUP($A13,main!$A$3:$H$102,7,FALSE),main!$K$18:$O$18,0),0))),0)</f>
        <v>305</v>
      </c>
      <c r="CS13">
        <f>IF((gamma!CS13),IF(VLOOKUP(CS$1,main!$A$3:$H$102,7,FALSE)=VLOOKUP($A13,main!$A$3:$H$102,8,FALSE),VLOOKUP(CS$1,main!$A$3:$H$102,4,FALSE),VLOOKUP(CS$1,main!$A$3:$H$102,4,FALSE)+VLOOKUP($A13,main!$A$3:$H$102,4,FALSE)+(VLOOKUP(VLOOKUP(CS$1,main!$A$3:$H$102,8,FALSE),main!$K$19:$O$22,MATCH(VLOOKUP($A13,main!$A$3:$H$102,7,FALSE),main!$K$18:$O$18,0),0))),0)</f>
        <v>305</v>
      </c>
      <c r="CT13">
        <f>IF((gamma!CT13),IF(VLOOKUP(CT$1,main!$A$3:$H$102,7,FALSE)=VLOOKUP($A13,main!$A$3:$H$102,8,FALSE),VLOOKUP(CT$1,main!$A$3:$H$102,4,FALSE),VLOOKUP(CT$1,main!$A$3:$H$102,4,FALSE)+VLOOKUP($A13,main!$A$3:$H$102,4,FALSE)+(VLOOKUP(VLOOKUP(CT$1,main!$A$3:$H$102,8,FALSE),main!$K$19:$O$22,MATCH(VLOOKUP($A13,main!$A$3:$H$102,7,FALSE),main!$K$18:$O$18,0),0))),0)</f>
        <v>0</v>
      </c>
      <c r="CU13">
        <f>IF((gamma!CU13),IF(VLOOKUP(CU$1,main!$A$3:$H$102,7,FALSE)=VLOOKUP($A13,main!$A$3:$H$102,8,FALSE),VLOOKUP(CU$1,main!$A$3:$H$102,4,FALSE),VLOOKUP(CU$1,main!$A$3:$H$102,4,FALSE)+VLOOKUP($A13,main!$A$3:$H$102,4,FALSE)+(VLOOKUP(VLOOKUP(CU$1,main!$A$3:$H$102,8,FALSE),main!$K$19:$O$22,MATCH(VLOOKUP($A13,main!$A$3:$H$102,7,FALSE),main!$K$18:$O$18,0),0))),0)</f>
        <v>0</v>
      </c>
      <c r="CV13">
        <f>IF((gamma!CV13),IF(VLOOKUP(CV$1,main!$A$3:$H$102,7,FALSE)=VLOOKUP($A13,main!$A$3:$H$102,8,FALSE),VLOOKUP(CV$1,main!$A$3:$H$102,4,FALSE),VLOOKUP(CV$1,main!$A$3:$H$102,4,FALSE)+VLOOKUP($A13,main!$A$3:$H$102,4,FALSE)+(VLOOKUP(VLOOKUP(CV$1,main!$A$3:$H$102,8,FALSE),main!$K$19:$O$22,MATCH(VLOOKUP($A13,main!$A$3:$H$102,7,FALSE),main!$K$18:$O$18,0),0))),0)</f>
        <v>250</v>
      </c>
      <c r="CW13">
        <f>IF((gamma!CW13),IF(VLOOKUP(CW$1,main!$A$3:$H$102,7,FALSE)=VLOOKUP($A13,main!$A$3:$H$102,8,FALSE),VLOOKUP(CW$1,main!$A$3:$H$102,4,FALSE),VLOOKUP(CW$1,main!$A$3:$H$102,4,FALSE)+VLOOKUP($A13,main!$A$3:$H$102,4,FALSE)+(VLOOKUP(VLOOKUP(CW$1,main!$A$3:$H$102,8,FALSE),main!$K$19:$O$22,MATCH(VLOOKUP($A13,main!$A$3:$H$102,7,FALSE),main!$K$18:$O$18,0),0))),0)</f>
        <v>265</v>
      </c>
      <c r="CX13">
        <f>IF((gamma!CX13),IF(VLOOKUP(CX$1,main!$A$3:$H$102,7,FALSE)=VLOOKUP($A13,main!$A$3:$H$102,8,FALSE),VLOOKUP(CX$1,main!$A$3:$H$102,4,FALSE),VLOOKUP(CX$1,main!$A$3:$H$102,4,FALSE)+VLOOKUP($A13,main!$A$3:$H$102,4,FALSE)+(VLOOKUP(VLOOKUP(CX$1,main!$A$3:$H$102,8,FALSE),main!$K$19:$O$22,MATCH(VLOOKUP($A13,main!$A$3:$H$102,7,FALSE),main!$K$18:$O$18,0),0))),0)</f>
        <v>255</v>
      </c>
      <c r="CY13">
        <v>0</v>
      </c>
      <c r="CZ13">
        <v>0</v>
      </c>
      <c r="DA13">
        <v>0</v>
      </c>
    </row>
    <row r="14" spans="1:105" x14ac:dyDescent="0.25">
      <c r="A14" s="1">
        <v>12</v>
      </c>
      <c r="B14">
        <v>0</v>
      </c>
      <c r="C14">
        <f>IF((gamma!C14),IF(VLOOKUP(C$1,main!$A$3:$H$102,7,FALSE)=VLOOKUP($A14,main!$A$3:$H$102,8,FALSE),VLOOKUP(C$1,main!$A$3:$H$102,4,FALSE),VLOOKUP(C$1,main!$A$3:$H$102,4,FALSE)+VLOOKUP($A14,main!$A$3:$H$102,4,FALSE)+(VLOOKUP(VLOOKUP(C$1,main!$A$3:$H$102,8,FALSE),main!$K$19:$O$22,MATCH(VLOOKUP($A14,main!$A$3:$H$102,7,FALSE),main!$K$18:$O$18,0),0))),0)</f>
        <v>0</v>
      </c>
      <c r="D14">
        <f>IF((gamma!D14),IF(VLOOKUP(D$1,main!$A$3:$H$102,7,FALSE)=VLOOKUP($A14,main!$A$3:$H$102,8,FALSE),VLOOKUP(D$1,main!$A$3:$H$102,4,FALSE),VLOOKUP(D$1,main!$A$3:$H$102,4,FALSE)+VLOOKUP($A14,main!$A$3:$H$102,4,FALSE)+(VLOOKUP(VLOOKUP(D$1,main!$A$3:$H$102,8,FALSE),main!$K$19:$O$22,MATCH(VLOOKUP($A14,main!$A$3:$H$102,7,FALSE),main!$K$18:$O$18,0),0))),0)</f>
        <v>0</v>
      </c>
      <c r="E14">
        <f>IF((gamma!E14),IF(VLOOKUP(E$1,main!$A$3:$H$102,7,FALSE)=VLOOKUP($A14,main!$A$3:$H$102,8,FALSE),VLOOKUP(E$1,main!$A$3:$H$102,4,FALSE),VLOOKUP(E$1,main!$A$3:$H$102,4,FALSE)+VLOOKUP($A14,main!$A$3:$H$102,4,FALSE)+(VLOOKUP(VLOOKUP(E$1,main!$A$3:$H$102,8,FALSE),main!$K$19:$O$22,MATCH(VLOOKUP($A14,main!$A$3:$H$102,7,FALSE),main!$K$18:$O$18,0),0))),0)</f>
        <v>0</v>
      </c>
      <c r="F14">
        <f>IF((gamma!F14),IF(VLOOKUP(F$1,main!$A$3:$H$102,7,FALSE)=VLOOKUP($A14,main!$A$3:$H$102,8,FALSE),VLOOKUP(F$1,main!$A$3:$H$102,4,FALSE),VLOOKUP(F$1,main!$A$3:$H$102,4,FALSE)+VLOOKUP($A14,main!$A$3:$H$102,4,FALSE)+(VLOOKUP(VLOOKUP(F$1,main!$A$3:$H$102,8,FALSE),main!$K$19:$O$22,MATCH(VLOOKUP($A14,main!$A$3:$H$102,7,FALSE),main!$K$18:$O$18,0),0))),0)</f>
        <v>0</v>
      </c>
      <c r="G14">
        <f>IF((gamma!G14),IF(VLOOKUP(G$1,main!$A$3:$H$102,7,FALSE)=VLOOKUP($A14,main!$A$3:$H$102,8,FALSE),VLOOKUP(G$1,main!$A$3:$H$102,4,FALSE),VLOOKUP(G$1,main!$A$3:$H$102,4,FALSE)+VLOOKUP($A14,main!$A$3:$H$102,4,FALSE)+(VLOOKUP(VLOOKUP(G$1,main!$A$3:$H$102,8,FALSE),main!$K$19:$O$22,MATCH(VLOOKUP($A14,main!$A$3:$H$102,7,FALSE),main!$K$18:$O$18,0),0))),0)</f>
        <v>300</v>
      </c>
      <c r="H14">
        <f>IF((gamma!H14),IF(VLOOKUP(H$1,main!$A$3:$H$102,7,FALSE)=VLOOKUP($A14,main!$A$3:$H$102,8,FALSE),VLOOKUP(H$1,main!$A$3:$H$102,4,FALSE),VLOOKUP(H$1,main!$A$3:$H$102,4,FALSE)+VLOOKUP($A14,main!$A$3:$H$102,4,FALSE)+(VLOOKUP(VLOOKUP(H$1,main!$A$3:$H$102,8,FALSE),main!$K$19:$O$22,MATCH(VLOOKUP($A14,main!$A$3:$H$102,7,FALSE),main!$K$18:$O$18,0),0))),0)</f>
        <v>300</v>
      </c>
      <c r="I14">
        <f>IF((gamma!I14),IF(VLOOKUP(I$1,main!$A$3:$H$102,7,FALSE)=VLOOKUP($A14,main!$A$3:$H$102,8,FALSE),VLOOKUP(I$1,main!$A$3:$H$102,4,FALSE),VLOOKUP(I$1,main!$A$3:$H$102,4,FALSE)+VLOOKUP($A14,main!$A$3:$H$102,4,FALSE)+(VLOOKUP(VLOOKUP(I$1,main!$A$3:$H$102,8,FALSE),main!$K$19:$O$22,MATCH(VLOOKUP($A14,main!$A$3:$H$102,7,FALSE),main!$K$18:$O$18,0),0))),0)</f>
        <v>300</v>
      </c>
      <c r="J14">
        <f>IF((gamma!J14),IF(VLOOKUP(J$1,main!$A$3:$H$102,7,FALSE)=VLOOKUP($A14,main!$A$3:$H$102,8,FALSE),VLOOKUP(J$1,main!$A$3:$H$102,4,FALSE),VLOOKUP(J$1,main!$A$3:$H$102,4,FALSE)+VLOOKUP($A14,main!$A$3:$H$102,4,FALSE)+(VLOOKUP(VLOOKUP(J$1,main!$A$3:$H$102,8,FALSE),main!$K$19:$O$22,MATCH(VLOOKUP($A14,main!$A$3:$H$102,7,FALSE),main!$K$18:$O$18,0),0))),0)</f>
        <v>300</v>
      </c>
      <c r="K14">
        <f>IF((gamma!K14),IF(VLOOKUP(K$1,main!$A$3:$H$102,7,FALSE)=VLOOKUP($A14,main!$A$3:$H$102,8,FALSE),VLOOKUP(K$1,main!$A$3:$H$102,4,FALSE),VLOOKUP(K$1,main!$A$3:$H$102,4,FALSE)+VLOOKUP($A14,main!$A$3:$H$102,4,FALSE)+(VLOOKUP(VLOOKUP(K$1,main!$A$3:$H$102,8,FALSE),main!$K$19:$O$22,MATCH(VLOOKUP($A14,main!$A$3:$H$102,7,FALSE),main!$K$18:$O$18,0),0))),0)</f>
        <v>300</v>
      </c>
      <c r="L14">
        <f>IF((gamma!L14),IF(VLOOKUP(L$1,main!$A$3:$H$102,7,FALSE)=VLOOKUP($A14,main!$A$3:$H$102,8,FALSE),VLOOKUP(L$1,main!$A$3:$H$102,4,FALSE),VLOOKUP(L$1,main!$A$3:$H$102,4,FALSE)+VLOOKUP($A14,main!$A$3:$H$102,4,FALSE)+(VLOOKUP(VLOOKUP(L$1,main!$A$3:$H$102,8,FALSE),main!$K$19:$O$22,MATCH(VLOOKUP($A14,main!$A$3:$H$102,7,FALSE),main!$K$18:$O$18,0),0))),0)</f>
        <v>300</v>
      </c>
      <c r="M14">
        <f>IF((gamma!M14),IF(VLOOKUP(M$1,main!$A$3:$H$102,7,FALSE)=VLOOKUP($A14,main!$A$3:$H$102,8,FALSE),VLOOKUP(M$1,main!$A$3:$H$102,4,FALSE),VLOOKUP(M$1,main!$A$3:$H$102,4,FALSE)+VLOOKUP($A14,main!$A$3:$H$102,4,FALSE)+(VLOOKUP(VLOOKUP(M$1,main!$A$3:$H$102,8,FALSE),main!$K$19:$O$22,MATCH(VLOOKUP($A14,main!$A$3:$H$102,7,FALSE),main!$K$18:$O$18,0),0))),0)</f>
        <v>0</v>
      </c>
      <c r="N14">
        <f>IF((gamma!N14),IF(VLOOKUP(N$1,main!$A$3:$H$102,7,FALSE)=VLOOKUP($A14,main!$A$3:$H$102,8,FALSE),VLOOKUP(N$1,main!$A$3:$H$102,4,FALSE),VLOOKUP(N$1,main!$A$3:$H$102,4,FALSE)+VLOOKUP($A14,main!$A$3:$H$102,4,FALSE)+(VLOOKUP(VLOOKUP(N$1,main!$A$3:$H$102,8,FALSE),main!$K$19:$O$22,MATCH(VLOOKUP($A14,main!$A$3:$H$102,7,FALSE),main!$K$18:$O$18,0),0))),0)</f>
        <v>0</v>
      </c>
      <c r="O14">
        <f>IF((gamma!O14),IF(VLOOKUP(O$1,main!$A$3:$H$102,7,FALSE)=VLOOKUP($A14,main!$A$3:$H$102,8,FALSE),VLOOKUP(O$1,main!$A$3:$H$102,4,FALSE),VLOOKUP(O$1,main!$A$3:$H$102,4,FALSE)+VLOOKUP($A14,main!$A$3:$H$102,4,FALSE)+(VLOOKUP(VLOOKUP(O$1,main!$A$3:$H$102,8,FALSE),main!$K$19:$O$22,MATCH(VLOOKUP($A14,main!$A$3:$H$102,7,FALSE),main!$K$18:$O$18,0),0))),0)</f>
        <v>0</v>
      </c>
      <c r="P14">
        <f>IF((gamma!P14),IF(VLOOKUP(P$1,main!$A$3:$H$102,7,FALSE)=VLOOKUP($A14,main!$A$3:$H$102,8,FALSE),VLOOKUP(P$1,main!$A$3:$H$102,4,FALSE),VLOOKUP(P$1,main!$A$3:$H$102,4,FALSE)+VLOOKUP($A14,main!$A$3:$H$102,4,FALSE)+(VLOOKUP(VLOOKUP(P$1,main!$A$3:$H$102,8,FALSE),main!$K$19:$O$22,MATCH(VLOOKUP($A14,main!$A$3:$H$102,7,FALSE),main!$K$18:$O$18,0),0))),0)</f>
        <v>0</v>
      </c>
      <c r="Q14">
        <f>IF((gamma!Q14),IF(VLOOKUP(Q$1,main!$A$3:$H$102,7,FALSE)=VLOOKUP($A14,main!$A$3:$H$102,8,FALSE),VLOOKUP(Q$1,main!$A$3:$H$102,4,FALSE),VLOOKUP(Q$1,main!$A$3:$H$102,4,FALSE)+VLOOKUP($A14,main!$A$3:$H$102,4,FALSE)+(VLOOKUP(VLOOKUP(Q$1,main!$A$3:$H$102,8,FALSE),main!$K$19:$O$22,MATCH(VLOOKUP($A14,main!$A$3:$H$102,7,FALSE),main!$K$18:$O$18,0),0))),0)</f>
        <v>310</v>
      </c>
      <c r="R14">
        <f>IF((gamma!R14),IF(VLOOKUP(R$1,main!$A$3:$H$102,7,FALSE)=VLOOKUP($A14,main!$A$3:$H$102,8,FALSE),VLOOKUP(R$1,main!$A$3:$H$102,4,FALSE),VLOOKUP(R$1,main!$A$3:$H$102,4,FALSE)+VLOOKUP($A14,main!$A$3:$H$102,4,FALSE)+(VLOOKUP(VLOOKUP(R$1,main!$A$3:$H$102,8,FALSE),main!$K$19:$O$22,MATCH(VLOOKUP($A14,main!$A$3:$H$102,7,FALSE),main!$K$18:$O$18,0),0))),0)</f>
        <v>310</v>
      </c>
      <c r="S14">
        <f>IF((gamma!S14),IF(VLOOKUP(S$1,main!$A$3:$H$102,7,FALSE)=VLOOKUP($A14,main!$A$3:$H$102,8,FALSE),VLOOKUP(S$1,main!$A$3:$H$102,4,FALSE),VLOOKUP(S$1,main!$A$3:$H$102,4,FALSE)+VLOOKUP($A14,main!$A$3:$H$102,4,FALSE)+(VLOOKUP(VLOOKUP(S$1,main!$A$3:$H$102,8,FALSE),main!$K$19:$O$22,MATCH(VLOOKUP($A14,main!$A$3:$H$102,7,FALSE),main!$K$18:$O$18,0),0))),0)</f>
        <v>310</v>
      </c>
      <c r="T14">
        <f>IF((gamma!T14),IF(VLOOKUP(T$1,main!$A$3:$H$102,7,FALSE)=VLOOKUP($A14,main!$A$3:$H$102,8,FALSE),VLOOKUP(T$1,main!$A$3:$H$102,4,FALSE),VLOOKUP(T$1,main!$A$3:$H$102,4,FALSE)+VLOOKUP($A14,main!$A$3:$H$102,4,FALSE)+(VLOOKUP(VLOOKUP(T$1,main!$A$3:$H$102,8,FALSE),main!$K$19:$O$22,MATCH(VLOOKUP($A14,main!$A$3:$H$102,7,FALSE),main!$K$18:$O$18,0),0))),0)</f>
        <v>310</v>
      </c>
      <c r="U14">
        <f>IF((gamma!U14),IF(VLOOKUP(U$1,main!$A$3:$H$102,7,FALSE)=VLOOKUP($A14,main!$A$3:$H$102,8,FALSE),VLOOKUP(U$1,main!$A$3:$H$102,4,FALSE),VLOOKUP(U$1,main!$A$3:$H$102,4,FALSE)+VLOOKUP($A14,main!$A$3:$H$102,4,FALSE)+(VLOOKUP(VLOOKUP(U$1,main!$A$3:$H$102,8,FALSE),main!$K$19:$O$22,MATCH(VLOOKUP($A14,main!$A$3:$H$102,7,FALSE),main!$K$18:$O$18,0),0))),0)</f>
        <v>310</v>
      </c>
      <c r="V14">
        <f>IF((gamma!V14),IF(VLOOKUP(V$1,main!$A$3:$H$102,7,FALSE)=VLOOKUP($A14,main!$A$3:$H$102,8,FALSE),VLOOKUP(V$1,main!$A$3:$H$102,4,FALSE),VLOOKUP(V$1,main!$A$3:$H$102,4,FALSE)+VLOOKUP($A14,main!$A$3:$H$102,4,FALSE)+(VLOOKUP(VLOOKUP(V$1,main!$A$3:$H$102,8,FALSE),main!$K$19:$O$22,MATCH(VLOOKUP($A14,main!$A$3:$H$102,7,FALSE),main!$K$18:$O$18,0),0))),0)</f>
        <v>310</v>
      </c>
      <c r="W14">
        <f>IF((gamma!W14),IF(VLOOKUP(W$1,main!$A$3:$H$102,7,FALSE)=VLOOKUP($A14,main!$A$3:$H$102,8,FALSE),VLOOKUP(W$1,main!$A$3:$H$102,4,FALSE),VLOOKUP(W$1,main!$A$3:$H$102,4,FALSE)+VLOOKUP($A14,main!$A$3:$H$102,4,FALSE)+(VLOOKUP(VLOOKUP(W$1,main!$A$3:$H$102,8,FALSE),main!$K$19:$O$22,MATCH(VLOOKUP($A14,main!$A$3:$H$102,7,FALSE),main!$K$18:$O$18,0),0))),0)</f>
        <v>0</v>
      </c>
      <c r="X14">
        <f>IF((gamma!X14),IF(VLOOKUP(X$1,main!$A$3:$H$102,7,FALSE)=VLOOKUP($A14,main!$A$3:$H$102,8,FALSE),VLOOKUP(X$1,main!$A$3:$H$102,4,FALSE),VLOOKUP(X$1,main!$A$3:$H$102,4,FALSE)+VLOOKUP($A14,main!$A$3:$H$102,4,FALSE)+(VLOOKUP(VLOOKUP(X$1,main!$A$3:$H$102,8,FALSE),main!$K$19:$O$22,MATCH(VLOOKUP($A14,main!$A$3:$H$102,7,FALSE),main!$K$18:$O$18,0),0))),0)</f>
        <v>0</v>
      </c>
      <c r="Y14">
        <f>IF((gamma!Y14),IF(VLOOKUP(Y$1,main!$A$3:$H$102,7,FALSE)=VLOOKUP($A14,main!$A$3:$H$102,8,FALSE),VLOOKUP(Y$1,main!$A$3:$H$102,4,FALSE),VLOOKUP(Y$1,main!$A$3:$H$102,4,FALSE)+VLOOKUP($A14,main!$A$3:$H$102,4,FALSE)+(VLOOKUP(VLOOKUP(Y$1,main!$A$3:$H$102,8,FALSE),main!$K$19:$O$22,MATCH(VLOOKUP($A14,main!$A$3:$H$102,7,FALSE),main!$K$18:$O$18,0),0))),0)</f>
        <v>310</v>
      </c>
      <c r="Z14">
        <f>IF((gamma!Z14),IF(VLOOKUP(Z$1,main!$A$3:$H$102,7,FALSE)=VLOOKUP($A14,main!$A$3:$H$102,8,FALSE),VLOOKUP(Z$1,main!$A$3:$H$102,4,FALSE),VLOOKUP(Z$1,main!$A$3:$H$102,4,FALSE)+VLOOKUP($A14,main!$A$3:$H$102,4,FALSE)+(VLOOKUP(VLOOKUP(Z$1,main!$A$3:$H$102,8,FALSE),main!$K$19:$O$22,MATCH(VLOOKUP($A14,main!$A$3:$H$102,7,FALSE),main!$K$18:$O$18,0),0))),0)</f>
        <v>315</v>
      </c>
      <c r="AA14">
        <f>IF((gamma!AA14),IF(VLOOKUP(AA$1,main!$A$3:$H$102,7,FALSE)=VLOOKUP($A14,main!$A$3:$H$102,8,FALSE),VLOOKUP(AA$1,main!$A$3:$H$102,4,FALSE),VLOOKUP(AA$1,main!$A$3:$H$102,4,FALSE)+VLOOKUP($A14,main!$A$3:$H$102,4,FALSE)+(VLOOKUP(VLOOKUP(AA$1,main!$A$3:$H$102,8,FALSE),main!$K$19:$O$22,MATCH(VLOOKUP($A14,main!$A$3:$H$102,7,FALSE),main!$K$18:$O$18,0),0))),0)</f>
        <v>315</v>
      </c>
      <c r="AB14">
        <f>IF((gamma!AB14),IF(VLOOKUP(AB$1,main!$A$3:$H$102,7,FALSE)=VLOOKUP($A14,main!$A$3:$H$102,8,FALSE),VLOOKUP(AB$1,main!$A$3:$H$102,4,FALSE),VLOOKUP(AB$1,main!$A$3:$H$102,4,FALSE)+VLOOKUP($A14,main!$A$3:$H$102,4,FALSE)+(VLOOKUP(VLOOKUP(AB$1,main!$A$3:$H$102,8,FALSE),main!$K$19:$O$22,MATCH(VLOOKUP($A14,main!$A$3:$H$102,7,FALSE),main!$K$18:$O$18,0),0))),0)</f>
        <v>0</v>
      </c>
      <c r="AC14">
        <f>IF((gamma!AC14),IF(VLOOKUP(AC$1,main!$A$3:$H$102,7,FALSE)=VLOOKUP($A14,main!$A$3:$H$102,8,FALSE),VLOOKUP(AC$1,main!$A$3:$H$102,4,FALSE),VLOOKUP(AC$1,main!$A$3:$H$102,4,FALSE)+VLOOKUP($A14,main!$A$3:$H$102,4,FALSE)+(VLOOKUP(VLOOKUP(AC$1,main!$A$3:$H$102,8,FALSE),main!$K$19:$O$22,MATCH(VLOOKUP($A14,main!$A$3:$H$102,7,FALSE),main!$K$18:$O$18,0),0))),0)</f>
        <v>0</v>
      </c>
      <c r="AD14">
        <f>IF((gamma!AD14),IF(VLOOKUP(AD$1,main!$A$3:$H$102,7,FALSE)=VLOOKUP($A14,main!$A$3:$H$102,8,FALSE),VLOOKUP(AD$1,main!$A$3:$H$102,4,FALSE),VLOOKUP(AD$1,main!$A$3:$H$102,4,FALSE)+VLOOKUP($A14,main!$A$3:$H$102,4,FALSE)+(VLOOKUP(VLOOKUP(AD$1,main!$A$3:$H$102,8,FALSE),main!$K$19:$O$22,MATCH(VLOOKUP($A14,main!$A$3:$H$102,7,FALSE),main!$K$18:$O$18,0),0))),0)</f>
        <v>0</v>
      </c>
      <c r="AE14">
        <f>IF((gamma!AE14),IF(VLOOKUP(AE$1,main!$A$3:$H$102,7,FALSE)=VLOOKUP($A14,main!$A$3:$H$102,8,FALSE),VLOOKUP(AE$1,main!$A$3:$H$102,4,FALSE),VLOOKUP(AE$1,main!$A$3:$H$102,4,FALSE)+VLOOKUP($A14,main!$A$3:$H$102,4,FALSE)+(VLOOKUP(VLOOKUP(AE$1,main!$A$3:$H$102,8,FALSE),main!$K$19:$O$22,MATCH(VLOOKUP($A14,main!$A$3:$H$102,7,FALSE),main!$K$18:$O$18,0),0))),0)</f>
        <v>315</v>
      </c>
      <c r="AF14">
        <f>IF((gamma!AF14),IF(VLOOKUP(AF$1,main!$A$3:$H$102,7,FALSE)=VLOOKUP($A14,main!$A$3:$H$102,8,FALSE),VLOOKUP(AF$1,main!$A$3:$H$102,4,FALSE),VLOOKUP(AF$1,main!$A$3:$H$102,4,FALSE)+VLOOKUP($A14,main!$A$3:$H$102,4,FALSE)+(VLOOKUP(VLOOKUP(AF$1,main!$A$3:$H$102,8,FALSE),main!$K$19:$O$22,MATCH(VLOOKUP($A14,main!$A$3:$H$102,7,FALSE),main!$K$18:$O$18,0),0))),0)</f>
        <v>275</v>
      </c>
      <c r="AG14">
        <f>IF((gamma!AG14),IF(VLOOKUP(AG$1,main!$A$3:$H$102,7,FALSE)=VLOOKUP($A14,main!$A$3:$H$102,8,FALSE),VLOOKUP(AG$1,main!$A$3:$H$102,4,FALSE),VLOOKUP(AG$1,main!$A$3:$H$102,4,FALSE)+VLOOKUP($A14,main!$A$3:$H$102,4,FALSE)+(VLOOKUP(VLOOKUP(AG$1,main!$A$3:$H$102,8,FALSE),main!$K$19:$O$22,MATCH(VLOOKUP($A14,main!$A$3:$H$102,7,FALSE),main!$K$18:$O$18,0),0))),0)</f>
        <v>0</v>
      </c>
      <c r="AH14">
        <f>IF((gamma!AH14),IF(VLOOKUP(AH$1,main!$A$3:$H$102,7,FALSE)=VLOOKUP($A14,main!$A$3:$H$102,8,FALSE),VLOOKUP(AH$1,main!$A$3:$H$102,4,FALSE),VLOOKUP(AH$1,main!$A$3:$H$102,4,FALSE)+VLOOKUP($A14,main!$A$3:$H$102,4,FALSE)+(VLOOKUP(VLOOKUP(AH$1,main!$A$3:$H$102,8,FALSE),main!$K$19:$O$22,MATCH(VLOOKUP($A14,main!$A$3:$H$102,7,FALSE),main!$K$18:$O$18,0),0))),0)</f>
        <v>0</v>
      </c>
      <c r="AI14">
        <f>IF((gamma!AI14),IF(VLOOKUP(AI$1,main!$A$3:$H$102,7,FALSE)=VLOOKUP($A14,main!$A$3:$H$102,8,FALSE),VLOOKUP(AI$1,main!$A$3:$H$102,4,FALSE),VLOOKUP(AI$1,main!$A$3:$H$102,4,FALSE)+VLOOKUP($A14,main!$A$3:$H$102,4,FALSE)+(VLOOKUP(VLOOKUP(AI$1,main!$A$3:$H$102,8,FALSE),main!$K$19:$O$22,MATCH(VLOOKUP($A14,main!$A$3:$H$102,7,FALSE),main!$K$18:$O$18,0),0))),0)</f>
        <v>0</v>
      </c>
      <c r="AJ14">
        <f>IF((gamma!AJ14),IF(VLOOKUP(AJ$1,main!$A$3:$H$102,7,FALSE)=VLOOKUP($A14,main!$A$3:$H$102,8,FALSE),VLOOKUP(AJ$1,main!$A$3:$H$102,4,FALSE),VLOOKUP(AJ$1,main!$A$3:$H$102,4,FALSE)+VLOOKUP($A14,main!$A$3:$H$102,4,FALSE)+(VLOOKUP(VLOOKUP(AJ$1,main!$A$3:$H$102,8,FALSE),main!$K$19:$O$22,MATCH(VLOOKUP($A14,main!$A$3:$H$102,7,FALSE),main!$K$18:$O$18,0),0))),0)</f>
        <v>275</v>
      </c>
      <c r="AK14">
        <f>IF((gamma!AK14),IF(VLOOKUP(AK$1,main!$A$3:$H$102,7,FALSE)=VLOOKUP($A14,main!$A$3:$H$102,8,FALSE),VLOOKUP(AK$1,main!$A$3:$H$102,4,FALSE),VLOOKUP(AK$1,main!$A$3:$H$102,4,FALSE)+VLOOKUP($A14,main!$A$3:$H$102,4,FALSE)+(VLOOKUP(VLOOKUP(AK$1,main!$A$3:$H$102,8,FALSE),main!$K$19:$O$22,MATCH(VLOOKUP($A14,main!$A$3:$H$102,7,FALSE),main!$K$18:$O$18,0),0))),0)</f>
        <v>275</v>
      </c>
      <c r="AL14">
        <f>IF((gamma!AL14),IF(VLOOKUP(AL$1,main!$A$3:$H$102,7,FALSE)=VLOOKUP($A14,main!$A$3:$H$102,8,FALSE),VLOOKUP(AL$1,main!$A$3:$H$102,4,FALSE),VLOOKUP(AL$1,main!$A$3:$H$102,4,FALSE)+VLOOKUP($A14,main!$A$3:$H$102,4,FALSE)+(VLOOKUP(VLOOKUP(AL$1,main!$A$3:$H$102,8,FALSE),main!$K$19:$O$22,MATCH(VLOOKUP($A14,main!$A$3:$H$102,7,FALSE),main!$K$18:$O$18,0),0))),0)</f>
        <v>275</v>
      </c>
      <c r="AM14">
        <f>IF((gamma!AM14),IF(VLOOKUP(AM$1,main!$A$3:$H$102,7,FALSE)=VLOOKUP($A14,main!$A$3:$H$102,8,FALSE),VLOOKUP(AM$1,main!$A$3:$H$102,4,FALSE),VLOOKUP(AM$1,main!$A$3:$H$102,4,FALSE)+VLOOKUP($A14,main!$A$3:$H$102,4,FALSE)+(VLOOKUP(VLOOKUP(AM$1,main!$A$3:$H$102,8,FALSE),main!$K$19:$O$22,MATCH(VLOOKUP($A14,main!$A$3:$H$102,7,FALSE),main!$K$18:$O$18,0),0))),0)</f>
        <v>275</v>
      </c>
      <c r="AN14">
        <f>IF((gamma!AN14),IF(VLOOKUP(AN$1,main!$A$3:$H$102,7,FALSE)=VLOOKUP($A14,main!$A$3:$H$102,8,FALSE),VLOOKUP(AN$1,main!$A$3:$H$102,4,FALSE),VLOOKUP(AN$1,main!$A$3:$H$102,4,FALSE)+VLOOKUP($A14,main!$A$3:$H$102,4,FALSE)+(VLOOKUP(VLOOKUP(AN$1,main!$A$3:$H$102,8,FALSE),main!$K$19:$O$22,MATCH(VLOOKUP($A14,main!$A$3:$H$102,7,FALSE),main!$K$18:$O$18,0),0))),0)</f>
        <v>275</v>
      </c>
      <c r="AO14">
        <f>IF((gamma!AO14),IF(VLOOKUP(AO$1,main!$A$3:$H$102,7,FALSE)=VLOOKUP($A14,main!$A$3:$H$102,8,FALSE),VLOOKUP(AO$1,main!$A$3:$H$102,4,FALSE),VLOOKUP(AO$1,main!$A$3:$H$102,4,FALSE)+VLOOKUP($A14,main!$A$3:$H$102,4,FALSE)+(VLOOKUP(VLOOKUP(AO$1,main!$A$3:$H$102,8,FALSE),main!$K$19:$O$22,MATCH(VLOOKUP($A14,main!$A$3:$H$102,7,FALSE),main!$K$18:$O$18,0),0))),0)</f>
        <v>0</v>
      </c>
      <c r="AP14">
        <f>IF((gamma!AP14),IF(VLOOKUP(AP$1,main!$A$3:$H$102,7,FALSE)=VLOOKUP($A14,main!$A$3:$H$102,8,FALSE),VLOOKUP(AP$1,main!$A$3:$H$102,4,FALSE),VLOOKUP(AP$1,main!$A$3:$H$102,4,FALSE)+VLOOKUP($A14,main!$A$3:$H$102,4,FALSE)+(VLOOKUP(VLOOKUP(AP$1,main!$A$3:$H$102,8,FALSE),main!$K$19:$O$22,MATCH(VLOOKUP($A14,main!$A$3:$H$102,7,FALSE),main!$K$18:$O$18,0),0))),0)</f>
        <v>215</v>
      </c>
      <c r="AQ14">
        <f>IF((gamma!AQ14),IF(VLOOKUP(AQ$1,main!$A$3:$H$102,7,FALSE)=VLOOKUP($A14,main!$A$3:$H$102,8,FALSE),VLOOKUP(AQ$1,main!$A$3:$H$102,4,FALSE),VLOOKUP(AQ$1,main!$A$3:$H$102,4,FALSE)+VLOOKUP($A14,main!$A$3:$H$102,4,FALSE)+(VLOOKUP(VLOOKUP(AQ$1,main!$A$3:$H$102,8,FALSE),main!$K$19:$O$22,MATCH(VLOOKUP($A14,main!$A$3:$H$102,7,FALSE),main!$K$18:$O$18,0),0))),0)</f>
        <v>0</v>
      </c>
      <c r="AR14">
        <f>IF((gamma!AR14),IF(VLOOKUP(AR$1,main!$A$3:$H$102,7,FALSE)=VLOOKUP($A14,main!$A$3:$H$102,8,FALSE),VLOOKUP(AR$1,main!$A$3:$H$102,4,FALSE),VLOOKUP(AR$1,main!$A$3:$H$102,4,FALSE)+VLOOKUP($A14,main!$A$3:$H$102,4,FALSE)+(VLOOKUP(VLOOKUP(AR$1,main!$A$3:$H$102,8,FALSE),main!$K$19:$O$22,MATCH(VLOOKUP($A14,main!$A$3:$H$102,7,FALSE),main!$K$18:$O$18,0),0))),0)</f>
        <v>0</v>
      </c>
      <c r="AS14">
        <f>IF((gamma!AS14),IF(VLOOKUP(AS$1,main!$A$3:$H$102,7,FALSE)=VLOOKUP($A14,main!$A$3:$H$102,8,FALSE),VLOOKUP(AS$1,main!$A$3:$H$102,4,FALSE),VLOOKUP(AS$1,main!$A$3:$H$102,4,FALSE)+VLOOKUP($A14,main!$A$3:$H$102,4,FALSE)+(VLOOKUP(VLOOKUP(AS$1,main!$A$3:$H$102,8,FALSE),main!$K$19:$O$22,MATCH(VLOOKUP($A14,main!$A$3:$H$102,7,FALSE),main!$K$18:$O$18,0),0))),0)</f>
        <v>290</v>
      </c>
      <c r="AT14">
        <f>IF((gamma!AT14),IF(VLOOKUP(AT$1,main!$A$3:$H$102,7,FALSE)=VLOOKUP($A14,main!$A$3:$H$102,8,FALSE),VLOOKUP(AT$1,main!$A$3:$H$102,4,FALSE),VLOOKUP(AT$1,main!$A$3:$H$102,4,FALSE)+VLOOKUP($A14,main!$A$3:$H$102,4,FALSE)+(VLOOKUP(VLOOKUP(AT$1,main!$A$3:$H$102,8,FALSE),main!$K$19:$O$22,MATCH(VLOOKUP($A14,main!$A$3:$H$102,7,FALSE),main!$K$18:$O$18,0),0))),0)</f>
        <v>300</v>
      </c>
      <c r="AU14">
        <f>IF((gamma!AU14),IF(VLOOKUP(AU$1,main!$A$3:$H$102,7,FALSE)=VLOOKUP($A14,main!$A$3:$H$102,8,FALSE),VLOOKUP(AU$1,main!$A$3:$H$102,4,FALSE),VLOOKUP(AU$1,main!$A$3:$H$102,4,FALSE)+VLOOKUP($A14,main!$A$3:$H$102,4,FALSE)+(VLOOKUP(VLOOKUP(AU$1,main!$A$3:$H$102,8,FALSE),main!$K$19:$O$22,MATCH(VLOOKUP($A14,main!$A$3:$H$102,7,FALSE),main!$K$18:$O$18,0),0))),0)</f>
        <v>0</v>
      </c>
      <c r="AV14">
        <f>IF((gamma!AV14),IF(VLOOKUP(AV$1,main!$A$3:$H$102,7,FALSE)=VLOOKUP($A14,main!$A$3:$H$102,8,FALSE),VLOOKUP(AV$1,main!$A$3:$H$102,4,FALSE),VLOOKUP(AV$1,main!$A$3:$H$102,4,FALSE)+VLOOKUP($A14,main!$A$3:$H$102,4,FALSE)+(VLOOKUP(VLOOKUP(AV$1,main!$A$3:$H$102,8,FALSE),main!$K$19:$O$22,MATCH(VLOOKUP($A14,main!$A$3:$H$102,7,FALSE),main!$K$18:$O$18,0),0))),0)</f>
        <v>0</v>
      </c>
      <c r="AW14">
        <f>IF((gamma!AW14),IF(VLOOKUP(AW$1,main!$A$3:$H$102,7,FALSE)=VLOOKUP($A14,main!$A$3:$H$102,8,FALSE),VLOOKUP(AW$1,main!$A$3:$H$102,4,FALSE),VLOOKUP(AW$1,main!$A$3:$H$102,4,FALSE)+VLOOKUP($A14,main!$A$3:$H$102,4,FALSE)+(VLOOKUP(VLOOKUP(AW$1,main!$A$3:$H$102,8,FALSE),main!$K$19:$O$22,MATCH(VLOOKUP($A14,main!$A$3:$H$102,7,FALSE),main!$K$18:$O$18,0),0))),0)</f>
        <v>290</v>
      </c>
      <c r="AX14">
        <f>IF((gamma!AX14),IF(VLOOKUP(AX$1,main!$A$3:$H$102,7,FALSE)=VLOOKUP($A14,main!$A$3:$H$102,8,FALSE),VLOOKUP(AX$1,main!$A$3:$H$102,4,FALSE),VLOOKUP(AX$1,main!$A$3:$H$102,4,FALSE)+VLOOKUP($A14,main!$A$3:$H$102,4,FALSE)+(VLOOKUP(VLOOKUP(AX$1,main!$A$3:$H$102,8,FALSE),main!$K$19:$O$22,MATCH(VLOOKUP($A14,main!$A$3:$H$102,7,FALSE),main!$K$18:$O$18,0),0))),0)</f>
        <v>0</v>
      </c>
      <c r="AY14">
        <f>IF((gamma!AY14),IF(VLOOKUP(AY$1,main!$A$3:$H$102,7,FALSE)=VLOOKUP($A14,main!$A$3:$H$102,8,FALSE),VLOOKUP(AY$1,main!$A$3:$H$102,4,FALSE),VLOOKUP(AY$1,main!$A$3:$H$102,4,FALSE)+VLOOKUP($A14,main!$A$3:$H$102,4,FALSE)+(VLOOKUP(VLOOKUP(AY$1,main!$A$3:$H$102,8,FALSE),main!$K$19:$O$22,MATCH(VLOOKUP($A14,main!$A$3:$H$102,7,FALSE),main!$K$18:$O$18,0),0))),0)</f>
        <v>0</v>
      </c>
      <c r="AZ14">
        <f>IF((gamma!AZ14),IF(VLOOKUP(AZ$1,main!$A$3:$H$102,7,FALSE)=VLOOKUP($A14,main!$A$3:$H$102,8,FALSE),VLOOKUP(AZ$1,main!$A$3:$H$102,4,FALSE),VLOOKUP(AZ$1,main!$A$3:$H$102,4,FALSE)+VLOOKUP($A14,main!$A$3:$H$102,4,FALSE)+(VLOOKUP(VLOOKUP(AZ$1,main!$A$3:$H$102,8,FALSE),main!$K$19:$O$22,MATCH(VLOOKUP($A14,main!$A$3:$H$102,7,FALSE),main!$K$18:$O$18,0),0))),0)</f>
        <v>0</v>
      </c>
      <c r="BA14">
        <f>IF((gamma!BA14),IF(VLOOKUP(BA$1,main!$A$3:$H$102,7,FALSE)=VLOOKUP($A14,main!$A$3:$H$102,8,FALSE),VLOOKUP(BA$1,main!$A$3:$H$102,4,FALSE),VLOOKUP(BA$1,main!$A$3:$H$102,4,FALSE)+VLOOKUP($A14,main!$A$3:$H$102,4,FALSE)+(VLOOKUP(VLOOKUP(BA$1,main!$A$3:$H$102,8,FALSE),main!$K$19:$O$22,MATCH(VLOOKUP($A14,main!$A$3:$H$102,7,FALSE),main!$K$18:$O$18,0),0))),0)</f>
        <v>0</v>
      </c>
      <c r="BB14">
        <f>IF((gamma!BB14),IF(VLOOKUP(BB$1,main!$A$3:$H$102,7,FALSE)=VLOOKUP($A14,main!$A$3:$H$102,8,FALSE),VLOOKUP(BB$1,main!$A$3:$H$102,4,FALSE),VLOOKUP(BB$1,main!$A$3:$H$102,4,FALSE)+VLOOKUP($A14,main!$A$3:$H$102,4,FALSE)+(VLOOKUP(VLOOKUP(BB$1,main!$A$3:$H$102,8,FALSE),main!$K$19:$O$22,MATCH(VLOOKUP($A14,main!$A$3:$H$102,7,FALSE),main!$K$18:$O$18,0),0))),0)</f>
        <v>140</v>
      </c>
      <c r="BC14">
        <f>IF((gamma!BC14),IF(VLOOKUP(BC$1,main!$A$3:$H$102,7,FALSE)=VLOOKUP($A14,main!$A$3:$H$102,8,FALSE),VLOOKUP(BC$1,main!$A$3:$H$102,4,FALSE),VLOOKUP(BC$1,main!$A$3:$H$102,4,FALSE)+VLOOKUP($A14,main!$A$3:$H$102,4,FALSE)+(VLOOKUP(VLOOKUP(BC$1,main!$A$3:$H$102,8,FALSE),main!$K$19:$O$22,MATCH(VLOOKUP($A14,main!$A$3:$H$102,7,FALSE),main!$K$18:$O$18,0),0))),0)</f>
        <v>140</v>
      </c>
      <c r="BD14">
        <f>IF((gamma!BD14),IF(VLOOKUP(BD$1,main!$A$3:$H$102,7,FALSE)=VLOOKUP($A14,main!$A$3:$H$102,8,FALSE),VLOOKUP(BD$1,main!$A$3:$H$102,4,FALSE),VLOOKUP(BD$1,main!$A$3:$H$102,4,FALSE)+VLOOKUP($A14,main!$A$3:$H$102,4,FALSE)+(VLOOKUP(VLOOKUP(BD$1,main!$A$3:$H$102,8,FALSE),main!$K$19:$O$22,MATCH(VLOOKUP($A14,main!$A$3:$H$102,7,FALSE),main!$K$18:$O$18,0),0))),0)</f>
        <v>140</v>
      </c>
      <c r="BE14">
        <f>IF((gamma!BE14),IF(VLOOKUP(BE$1,main!$A$3:$H$102,7,FALSE)=VLOOKUP($A14,main!$A$3:$H$102,8,FALSE),VLOOKUP(BE$1,main!$A$3:$H$102,4,FALSE),VLOOKUP(BE$1,main!$A$3:$H$102,4,FALSE)+VLOOKUP($A14,main!$A$3:$H$102,4,FALSE)+(VLOOKUP(VLOOKUP(BE$1,main!$A$3:$H$102,8,FALSE),main!$K$19:$O$22,MATCH(VLOOKUP($A14,main!$A$3:$H$102,7,FALSE),main!$K$18:$O$18,0),0))),0)</f>
        <v>140</v>
      </c>
      <c r="BF14">
        <f>IF((gamma!BF14),IF(VLOOKUP(BF$1,main!$A$3:$H$102,7,FALSE)=VLOOKUP($A14,main!$A$3:$H$102,8,FALSE),VLOOKUP(BF$1,main!$A$3:$H$102,4,FALSE),VLOOKUP(BF$1,main!$A$3:$H$102,4,FALSE)+VLOOKUP($A14,main!$A$3:$H$102,4,FALSE)+(VLOOKUP(VLOOKUP(BF$1,main!$A$3:$H$102,8,FALSE),main!$K$19:$O$22,MATCH(VLOOKUP($A14,main!$A$3:$H$102,7,FALSE),main!$K$18:$O$18,0),0))),0)</f>
        <v>0</v>
      </c>
      <c r="BG14">
        <f>IF((gamma!BG14),IF(VLOOKUP(BG$1,main!$A$3:$H$102,7,FALSE)=VLOOKUP($A14,main!$A$3:$H$102,8,FALSE),VLOOKUP(BG$1,main!$A$3:$H$102,4,FALSE),VLOOKUP(BG$1,main!$A$3:$H$102,4,FALSE)+VLOOKUP($A14,main!$A$3:$H$102,4,FALSE)+(VLOOKUP(VLOOKUP(BG$1,main!$A$3:$H$102,8,FALSE),main!$K$19:$O$22,MATCH(VLOOKUP($A14,main!$A$3:$H$102,7,FALSE),main!$K$18:$O$18,0),0))),0)</f>
        <v>0</v>
      </c>
      <c r="BH14">
        <f>IF((gamma!BH14),IF(VLOOKUP(BH$1,main!$A$3:$H$102,7,FALSE)=VLOOKUP($A14,main!$A$3:$H$102,8,FALSE),VLOOKUP(BH$1,main!$A$3:$H$102,4,FALSE),VLOOKUP(BH$1,main!$A$3:$H$102,4,FALSE)+VLOOKUP($A14,main!$A$3:$H$102,4,FALSE)+(VLOOKUP(VLOOKUP(BH$1,main!$A$3:$H$102,8,FALSE),main!$K$19:$O$22,MATCH(VLOOKUP($A14,main!$A$3:$H$102,7,FALSE),main!$K$18:$O$18,0),0))),0)</f>
        <v>125</v>
      </c>
      <c r="BI14">
        <f>IF((gamma!BI14),IF(VLOOKUP(BI$1,main!$A$3:$H$102,7,FALSE)=VLOOKUP($A14,main!$A$3:$H$102,8,FALSE),VLOOKUP(BI$1,main!$A$3:$H$102,4,FALSE),VLOOKUP(BI$1,main!$A$3:$H$102,4,FALSE)+VLOOKUP($A14,main!$A$3:$H$102,4,FALSE)+(VLOOKUP(VLOOKUP(BI$1,main!$A$3:$H$102,8,FALSE),main!$K$19:$O$22,MATCH(VLOOKUP($A14,main!$A$3:$H$102,7,FALSE),main!$K$18:$O$18,0),0))),0)</f>
        <v>60</v>
      </c>
      <c r="BJ14">
        <f>IF((gamma!BJ14),IF(VLOOKUP(BJ$1,main!$A$3:$H$102,7,FALSE)=VLOOKUP($A14,main!$A$3:$H$102,8,FALSE),VLOOKUP(BJ$1,main!$A$3:$H$102,4,FALSE),VLOOKUP(BJ$1,main!$A$3:$H$102,4,FALSE)+VLOOKUP($A14,main!$A$3:$H$102,4,FALSE)+(VLOOKUP(VLOOKUP(BJ$1,main!$A$3:$H$102,8,FALSE),main!$K$19:$O$22,MATCH(VLOOKUP($A14,main!$A$3:$H$102,7,FALSE),main!$K$18:$O$18,0),0))),0)</f>
        <v>90</v>
      </c>
      <c r="BK14">
        <f>IF((gamma!BK14),IF(VLOOKUP(BK$1,main!$A$3:$H$102,7,FALSE)=VLOOKUP($A14,main!$A$3:$H$102,8,FALSE),VLOOKUP(BK$1,main!$A$3:$H$102,4,FALSE),VLOOKUP(BK$1,main!$A$3:$H$102,4,FALSE)+VLOOKUP($A14,main!$A$3:$H$102,4,FALSE)+(VLOOKUP(VLOOKUP(BK$1,main!$A$3:$H$102,8,FALSE),main!$K$19:$O$22,MATCH(VLOOKUP($A14,main!$A$3:$H$102,7,FALSE),main!$K$18:$O$18,0),0))),0)</f>
        <v>0</v>
      </c>
      <c r="BL14">
        <f>IF((gamma!BL14),IF(VLOOKUP(BL$1,main!$A$3:$H$102,7,FALSE)=VLOOKUP($A14,main!$A$3:$H$102,8,FALSE),VLOOKUP(BL$1,main!$A$3:$H$102,4,FALSE),VLOOKUP(BL$1,main!$A$3:$H$102,4,FALSE)+VLOOKUP($A14,main!$A$3:$H$102,4,FALSE)+(VLOOKUP(VLOOKUP(BL$1,main!$A$3:$H$102,8,FALSE),main!$K$19:$O$22,MATCH(VLOOKUP($A14,main!$A$3:$H$102,7,FALSE),main!$K$18:$O$18,0),0))),0)</f>
        <v>0</v>
      </c>
      <c r="BM14">
        <f>IF((gamma!BM14),IF(VLOOKUP(BM$1,main!$A$3:$H$102,7,FALSE)=VLOOKUP($A14,main!$A$3:$H$102,8,FALSE),VLOOKUP(BM$1,main!$A$3:$H$102,4,FALSE),VLOOKUP(BM$1,main!$A$3:$H$102,4,FALSE)+VLOOKUP($A14,main!$A$3:$H$102,4,FALSE)+(VLOOKUP(VLOOKUP(BM$1,main!$A$3:$H$102,8,FALSE),main!$K$19:$O$22,MATCH(VLOOKUP($A14,main!$A$3:$H$102,7,FALSE),main!$K$18:$O$18,0),0))),0)</f>
        <v>0</v>
      </c>
      <c r="BN14">
        <f>IF((gamma!BN14),IF(VLOOKUP(BN$1,main!$A$3:$H$102,7,FALSE)=VLOOKUP($A14,main!$A$3:$H$102,8,FALSE),VLOOKUP(BN$1,main!$A$3:$H$102,4,FALSE),VLOOKUP(BN$1,main!$A$3:$H$102,4,FALSE)+VLOOKUP($A14,main!$A$3:$H$102,4,FALSE)+(VLOOKUP(VLOOKUP(BN$1,main!$A$3:$H$102,8,FALSE),main!$K$19:$O$22,MATCH(VLOOKUP($A14,main!$A$3:$H$102,7,FALSE),main!$K$18:$O$18,0),0))),0)</f>
        <v>120</v>
      </c>
      <c r="BO14">
        <f>IF((gamma!BO14),IF(VLOOKUP(BO$1,main!$A$3:$H$102,7,FALSE)=VLOOKUP($A14,main!$A$3:$H$102,8,FALSE),VLOOKUP(BO$1,main!$A$3:$H$102,4,FALSE),VLOOKUP(BO$1,main!$A$3:$H$102,4,FALSE)+VLOOKUP($A14,main!$A$3:$H$102,4,FALSE)+(VLOOKUP(VLOOKUP(BO$1,main!$A$3:$H$102,8,FALSE),main!$K$19:$O$22,MATCH(VLOOKUP($A14,main!$A$3:$H$102,7,FALSE),main!$K$18:$O$18,0),0))),0)</f>
        <v>0</v>
      </c>
      <c r="BP14">
        <f>IF((gamma!BP14),IF(VLOOKUP(BP$1,main!$A$3:$H$102,7,FALSE)=VLOOKUP($A14,main!$A$3:$H$102,8,FALSE),VLOOKUP(BP$1,main!$A$3:$H$102,4,FALSE),VLOOKUP(BP$1,main!$A$3:$H$102,4,FALSE)+VLOOKUP($A14,main!$A$3:$H$102,4,FALSE)+(VLOOKUP(VLOOKUP(BP$1,main!$A$3:$H$102,8,FALSE),main!$K$19:$O$22,MATCH(VLOOKUP($A14,main!$A$3:$H$102,7,FALSE),main!$K$18:$O$18,0),0))),0)</f>
        <v>0</v>
      </c>
      <c r="BQ14">
        <f>IF((gamma!BQ14),IF(VLOOKUP(BQ$1,main!$A$3:$H$102,7,FALSE)=VLOOKUP($A14,main!$A$3:$H$102,8,FALSE),VLOOKUP(BQ$1,main!$A$3:$H$102,4,FALSE),VLOOKUP(BQ$1,main!$A$3:$H$102,4,FALSE)+VLOOKUP($A14,main!$A$3:$H$102,4,FALSE)+(VLOOKUP(VLOOKUP(BQ$1,main!$A$3:$H$102,8,FALSE),main!$K$19:$O$22,MATCH(VLOOKUP($A14,main!$A$3:$H$102,7,FALSE),main!$K$18:$O$18,0),0))),0)</f>
        <v>140</v>
      </c>
      <c r="BR14">
        <f>IF((gamma!BR14),IF(VLOOKUP(BR$1,main!$A$3:$H$102,7,FALSE)=VLOOKUP($A14,main!$A$3:$H$102,8,FALSE),VLOOKUP(BR$1,main!$A$3:$H$102,4,FALSE),VLOOKUP(BR$1,main!$A$3:$H$102,4,FALSE)+VLOOKUP($A14,main!$A$3:$H$102,4,FALSE)+(VLOOKUP(VLOOKUP(BR$1,main!$A$3:$H$102,8,FALSE),main!$K$19:$O$22,MATCH(VLOOKUP($A14,main!$A$3:$H$102,7,FALSE),main!$K$18:$O$18,0),0))),0)</f>
        <v>100</v>
      </c>
      <c r="BS14">
        <f>IF((gamma!BS14),IF(VLOOKUP(BS$1,main!$A$3:$H$102,7,FALSE)=VLOOKUP($A14,main!$A$3:$H$102,8,FALSE),VLOOKUP(BS$1,main!$A$3:$H$102,4,FALSE),VLOOKUP(BS$1,main!$A$3:$H$102,4,FALSE)+VLOOKUP($A14,main!$A$3:$H$102,4,FALSE)+(VLOOKUP(VLOOKUP(BS$1,main!$A$3:$H$102,8,FALSE),main!$K$19:$O$22,MATCH(VLOOKUP($A14,main!$A$3:$H$102,7,FALSE),main!$K$18:$O$18,0),0))),0)</f>
        <v>101</v>
      </c>
      <c r="BT14">
        <f>IF((gamma!BT14),IF(VLOOKUP(BT$1,main!$A$3:$H$102,7,FALSE)=VLOOKUP($A14,main!$A$3:$H$102,8,FALSE),VLOOKUP(BT$1,main!$A$3:$H$102,4,FALSE),VLOOKUP(BT$1,main!$A$3:$H$102,4,FALSE)+VLOOKUP($A14,main!$A$3:$H$102,4,FALSE)+(VLOOKUP(VLOOKUP(BT$1,main!$A$3:$H$102,8,FALSE),main!$K$19:$O$22,MATCH(VLOOKUP($A14,main!$A$3:$H$102,7,FALSE),main!$K$18:$O$18,0),0))),0)</f>
        <v>120</v>
      </c>
      <c r="BU14">
        <f>IF((gamma!BU14),IF(VLOOKUP(BU$1,main!$A$3:$H$102,7,FALSE)=VLOOKUP($A14,main!$A$3:$H$102,8,FALSE),VLOOKUP(BU$1,main!$A$3:$H$102,4,FALSE),VLOOKUP(BU$1,main!$A$3:$H$102,4,FALSE)+VLOOKUP($A14,main!$A$3:$H$102,4,FALSE)+(VLOOKUP(VLOOKUP(BU$1,main!$A$3:$H$102,8,FALSE),main!$K$19:$O$22,MATCH(VLOOKUP($A14,main!$A$3:$H$102,7,FALSE),main!$K$18:$O$18,0),0))),0)</f>
        <v>0</v>
      </c>
      <c r="BV14">
        <f>IF((gamma!BV14),IF(VLOOKUP(BV$1,main!$A$3:$H$102,7,FALSE)=VLOOKUP($A14,main!$A$3:$H$102,8,FALSE),VLOOKUP(BV$1,main!$A$3:$H$102,4,FALSE),VLOOKUP(BV$1,main!$A$3:$H$102,4,FALSE)+VLOOKUP($A14,main!$A$3:$H$102,4,FALSE)+(VLOOKUP(VLOOKUP(BV$1,main!$A$3:$H$102,8,FALSE),main!$K$19:$O$22,MATCH(VLOOKUP($A14,main!$A$3:$H$102,7,FALSE),main!$K$18:$O$18,0),0))),0)</f>
        <v>0</v>
      </c>
      <c r="BW14">
        <f>IF((gamma!BW14),IF(VLOOKUP(BW$1,main!$A$3:$H$102,7,FALSE)=VLOOKUP($A14,main!$A$3:$H$102,8,FALSE),VLOOKUP(BW$1,main!$A$3:$H$102,4,FALSE),VLOOKUP(BW$1,main!$A$3:$H$102,4,FALSE)+VLOOKUP($A14,main!$A$3:$H$102,4,FALSE)+(VLOOKUP(VLOOKUP(BW$1,main!$A$3:$H$102,8,FALSE),main!$K$19:$O$22,MATCH(VLOOKUP($A14,main!$A$3:$H$102,7,FALSE),main!$K$18:$O$18,0),0))),0)</f>
        <v>0</v>
      </c>
      <c r="BX14">
        <f>IF((gamma!BX14),IF(VLOOKUP(BX$1,main!$A$3:$H$102,7,FALSE)=VLOOKUP($A14,main!$A$3:$H$102,8,FALSE),VLOOKUP(BX$1,main!$A$3:$H$102,4,FALSE),VLOOKUP(BX$1,main!$A$3:$H$102,4,FALSE)+VLOOKUP($A14,main!$A$3:$H$102,4,FALSE)+(VLOOKUP(VLOOKUP(BX$1,main!$A$3:$H$102,8,FALSE),main!$K$19:$O$22,MATCH(VLOOKUP($A14,main!$A$3:$H$102,7,FALSE),main!$K$18:$O$18,0),0))),0)</f>
        <v>135</v>
      </c>
      <c r="BY14">
        <f>IF((gamma!BY14),IF(VLOOKUP(BY$1,main!$A$3:$H$102,7,FALSE)=VLOOKUP($A14,main!$A$3:$H$102,8,FALSE),VLOOKUP(BY$1,main!$A$3:$H$102,4,FALSE),VLOOKUP(BY$1,main!$A$3:$H$102,4,FALSE)+VLOOKUP($A14,main!$A$3:$H$102,4,FALSE)+(VLOOKUP(VLOOKUP(BY$1,main!$A$3:$H$102,8,FALSE),main!$K$19:$O$22,MATCH(VLOOKUP($A14,main!$A$3:$H$102,7,FALSE),main!$K$18:$O$18,0),0))),0)</f>
        <v>120</v>
      </c>
      <c r="BZ14">
        <f>IF((gamma!BZ14),IF(VLOOKUP(BZ$1,main!$A$3:$H$102,7,FALSE)=VLOOKUP($A14,main!$A$3:$H$102,8,FALSE),VLOOKUP(BZ$1,main!$A$3:$H$102,4,FALSE),VLOOKUP(BZ$1,main!$A$3:$H$102,4,FALSE)+VLOOKUP($A14,main!$A$3:$H$102,4,FALSE)+(VLOOKUP(VLOOKUP(BZ$1,main!$A$3:$H$102,8,FALSE),main!$K$19:$O$22,MATCH(VLOOKUP($A14,main!$A$3:$H$102,7,FALSE),main!$K$18:$O$18,0),0))),0)</f>
        <v>0</v>
      </c>
      <c r="CA14">
        <f>IF((gamma!CA14),IF(VLOOKUP(CA$1,main!$A$3:$H$102,7,FALSE)=VLOOKUP($A14,main!$A$3:$H$102,8,FALSE),VLOOKUP(CA$1,main!$A$3:$H$102,4,FALSE),VLOOKUP(CA$1,main!$A$3:$H$102,4,FALSE)+VLOOKUP($A14,main!$A$3:$H$102,4,FALSE)+(VLOOKUP(VLOOKUP(CA$1,main!$A$3:$H$102,8,FALSE),main!$K$19:$O$22,MATCH(VLOOKUP($A14,main!$A$3:$H$102,7,FALSE),main!$K$18:$O$18,0),0))),0)</f>
        <v>0</v>
      </c>
      <c r="CB14">
        <f>IF((gamma!CB14),IF(VLOOKUP(CB$1,main!$A$3:$H$102,7,FALSE)=VLOOKUP($A14,main!$A$3:$H$102,8,FALSE),VLOOKUP(CB$1,main!$A$3:$H$102,4,FALSE),VLOOKUP(CB$1,main!$A$3:$H$102,4,FALSE)+VLOOKUP($A14,main!$A$3:$H$102,4,FALSE)+(VLOOKUP(VLOOKUP(CB$1,main!$A$3:$H$102,8,FALSE),main!$K$19:$O$22,MATCH(VLOOKUP($A14,main!$A$3:$H$102,7,FALSE),main!$K$18:$O$18,0),0))),0)</f>
        <v>65</v>
      </c>
      <c r="CC14">
        <f>IF((gamma!CC14),IF(VLOOKUP(CC$1,main!$A$3:$H$102,7,FALSE)=VLOOKUP($A14,main!$A$3:$H$102,8,FALSE),VLOOKUP(CC$1,main!$A$3:$H$102,4,FALSE),VLOOKUP(CC$1,main!$A$3:$H$102,4,FALSE)+VLOOKUP($A14,main!$A$3:$H$102,4,FALSE)+(VLOOKUP(VLOOKUP(CC$1,main!$A$3:$H$102,8,FALSE),main!$K$19:$O$22,MATCH(VLOOKUP($A14,main!$A$3:$H$102,7,FALSE),main!$K$18:$O$18,0),0))),0)</f>
        <v>55</v>
      </c>
      <c r="CD14">
        <f>IF((gamma!CD14),IF(VLOOKUP(CD$1,main!$A$3:$H$102,7,FALSE)=VLOOKUP($A14,main!$A$3:$H$102,8,FALSE),VLOOKUP(CD$1,main!$A$3:$H$102,4,FALSE),VLOOKUP(CD$1,main!$A$3:$H$102,4,FALSE)+VLOOKUP($A14,main!$A$3:$H$102,4,FALSE)+(VLOOKUP(VLOOKUP(CD$1,main!$A$3:$H$102,8,FALSE),main!$K$19:$O$22,MATCH(VLOOKUP($A14,main!$A$3:$H$102,7,FALSE),main!$K$18:$O$18,0),0))),0)</f>
        <v>114</v>
      </c>
      <c r="CE14">
        <f>IF((gamma!CE14),IF(VLOOKUP(CE$1,main!$A$3:$H$102,7,FALSE)=VLOOKUP($A14,main!$A$3:$H$102,8,FALSE),VLOOKUP(CE$1,main!$A$3:$H$102,4,FALSE),VLOOKUP(CE$1,main!$A$3:$H$102,4,FALSE)+VLOOKUP($A14,main!$A$3:$H$102,4,FALSE)+(VLOOKUP(VLOOKUP(CE$1,main!$A$3:$H$102,8,FALSE),main!$K$19:$O$22,MATCH(VLOOKUP($A14,main!$A$3:$H$102,7,FALSE),main!$K$18:$O$18,0),0))),0)</f>
        <v>0</v>
      </c>
      <c r="CF14">
        <f>IF((gamma!CF14),IF(VLOOKUP(CF$1,main!$A$3:$H$102,7,FALSE)=VLOOKUP($A14,main!$A$3:$H$102,8,FALSE),VLOOKUP(CF$1,main!$A$3:$H$102,4,FALSE),VLOOKUP(CF$1,main!$A$3:$H$102,4,FALSE)+VLOOKUP($A14,main!$A$3:$H$102,4,FALSE)+(VLOOKUP(VLOOKUP(CF$1,main!$A$3:$H$102,8,FALSE),main!$K$19:$O$22,MATCH(VLOOKUP($A14,main!$A$3:$H$102,7,FALSE),main!$K$18:$O$18,0),0))),0)</f>
        <v>0</v>
      </c>
      <c r="CG14">
        <f>IF((gamma!CG14),IF(VLOOKUP(CG$1,main!$A$3:$H$102,7,FALSE)=VLOOKUP($A14,main!$A$3:$H$102,8,FALSE),VLOOKUP(CG$1,main!$A$3:$H$102,4,FALSE),VLOOKUP(CG$1,main!$A$3:$H$102,4,FALSE)+VLOOKUP($A14,main!$A$3:$H$102,4,FALSE)+(VLOOKUP(VLOOKUP(CG$1,main!$A$3:$H$102,8,FALSE),main!$K$19:$O$22,MATCH(VLOOKUP($A14,main!$A$3:$H$102,7,FALSE),main!$K$18:$O$18,0),0))),0)</f>
        <v>280</v>
      </c>
      <c r="CH14">
        <f>IF((gamma!CH14),IF(VLOOKUP(CH$1,main!$A$3:$H$102,7,FALSE)=VLOOKUP($A14,main!$A$3:$H$102,8,FALSE),VLOOKUP(CH$1,main!$A$3:$H$102,4,FALSE),VLOOKUP(CH$1,main!$A$3:$H$102,4,FALSE)+VLOOKUP($A14,main!$A$3:$H$102,4,FALSE)+(VLOOKUP(VLOOKUP(CH$1,main!$A$3:$H$102,8,FALSE),main!$K$19:$O$22,MATCH(VLOOKUP($A14,main!$A$3:$H$102,7,FALSE),main!$K$18:$O$18,0),0))),0)</f>
        <v>280</v>
      </c>
      <c r="CI14">
        <f>IF((gamma!CI14),IF(VLOOKUP(CI$1,main!$A$3:$H$102,7,FALSE)=VLOOKUP($A14,main!$A$3:$H$102,8,FALSE),VLOOKUP(CI$1,main!$A$3:$H$102,4,FALSE),VLOOKUP(CI$1,main!$A$3:$H$102,4,FALSE)+VLOOKUP($A14,main!$A$3:$H$102,4,FALSE)+(VLOOKUP(VLOOKUP(CI$1,main!$A$3:$H$102,8,FALSE),main!$K$19:$O$22,MATCH(VLOOKUP($A14,main!$A$3:$H$102,7,FALSE),main!$K$18:$O$18,0),0))),0)</f>
        <v>280</v>
      </c>
      <c r="CJ14">
        <f>IF((gamma!CJ14),IF(VLOOKUP(CJ$1,main!$A$3:$H$102,7,FALSE)=VLOOKUP($A14,main!$A$3:$H$102,8,FALSE),VLOOKUP(CJ$1,main!$A$3:$H$102,4,FALSE),VLOOKUP(CJ$1,main!$A$3:$H$102,4,FALSE)+VLOOKUP($A14,main!$A$3:$H$102,4,FALSE)+(VLOOKUP(VLOOKUP(CJ$1,main!$A$3:$H$102,8,FALSE),main!$K$19:$O$22,MATCH(VLOOKUP($A14,main!$A$3:$H$102,7,FALSE),main!$K$18:$O$18,0),0))),0)</f>
        <v>208</v>
      </c>
      <c r="CK14">
        <f>IF((gamma!CK14),IF(VLOOKUP(CK$1,main!$A$3:$H$102,7,FALSE)=VLOOKUP($A14,main!$A$3:$H$102,8,FALSE),VLOOKUP(CK$1,main!$A$3:$H$102,4,FALSE),VLOOKUP(CK$1,main!$A$3:$H$102,4,FALSE)+VLOOKUP($A14,main!$A$3:$H$102,4,FALSE)+(VLOOKUP(VLOOKUP(CK$1,main!$A$3:$H$102,8,FALSE),main!$K$19:$O$22,MATCH(VLOOKUP($A14,main!$A$3:$H$102,7,FALSE),main!$K$18:$O$18,0),0))),0)</f>
        <v>0</v>
      </c>
      <c r="CL14">
        <f>IF((gamma!CL14),IF(VLOOKUP(CL$1,main!$A$3:$H$102,7,FALSE)=VLOOKUP($A14,main!$A$3:$H$102,8,FALSE),VLOOKUP(CL$1,main!$A$3:$H$102,4,FALSE),VLOOKUP(CL$1,main!$A$3:$H$102,4,FALSE)+VLOOKUP($A14,main!$A$3:$H$102,4,FALSE)+(VLOOKUP(VLOOKUP(CL$1,main!$A$3:$H$102,8,FALSE),main!$K$19:$O$22,MATCH(VLOOKUP($A14,main!$A$3:$H$102,7,FALSE),main!$K$18:$O$18,0),0))),0)</f>
        <v>220</v>
      </c>
      <c r="CM14">
        <f>IF((gamma!CM14),IF(VLOOKUP(CM$1,main!$A$3:$H$102,7,FALSE)=VLOOKUP($A14,main!$A$3:$H$102,8,FALSE),VLOOKUP(CM$1,main!$A$3:$H$102,4,FALSE),VLOOKUP(CM$1,main!$A$3:$H$102,4,FALSE)+VLOOKUP($A14,main!$A$3:$H$102,4,FALSE)+(VLOOKUP(VLOOKUP(CM$1,main!$A$3:$H$102,8,FALSE),main!$K$19:$O$22,MATCH(VLOOKUP($A14,main!$A$3:$H$102,7,FALSE),main!$K$18:$O$18,0),0))),0)</f>
        <v>240</v>
      </c>
      <c r="CN14">
        <f>IF((gamma!CN14),IF(VLOOKUP(CN$1,main!$A$3:$H$102,7,FALSE)=VLOOKUP($A14,main!$A$3:$H$102,8,FALSE),VLOOKUP(CN$1,main!$A$3:$H$102,4,FALSE),VLOOKUP(CN$1,main!$A$3:$H$102,4,FALSE)+VLOOKUP($A14,main!$A$3:$H$102,4,FALSE)+(VLOOKUP(VLOOKUP(CN$1,main!$A$3:$H$102,8,FALSE),main!$K$19:$O$22,MATCH(VLOOKUP($A14,main!$A$3:$H$102,7,FALSE),main!$K$18:$O$18,0),0))),0)</f>
        <v>236</v>
      </c>
      <c r="CO14">
        <f>IF((gamma!CO14),IF(VLOOKUP(CO$1,main!$A$3:$H$102,7,FALSE)=VLOOKUP($A14,main!$A$3:$H$102,8,FALSE),VLOOKUP(CO$1,main!$A$3:$H$102,4,FALSE),VLOOKUP(CO$1,main!$A$3:$H$102,4,FALSE)+VLOOKUP($A14,main!$A$3:$H$102,4,FALSE)+(VLOOKUP(VLOOKUP(CO$1,main!$A$3:$H$102,8,FALSE),main!$K$19:$O$22,MATCH(VLOOKUP($A14,main!$A$3:$H$102,7,FALSE),main!$K$18:$O$18,0),0))),0)</f>
        <v>0</v>
      </c>
      <c r="CP14">
        <f>IF((gamma!CP14),IF(VLOOKUP(CP$1,main!$A$3:$H$102,7,FALSE)=VLOOKUP($A14,main!$A$3:$H$102,8,FALSE),VLOOKUP(CP$1,main!$A$3:$H$102,4,FALSE),VLOOKUP(CP$1,main!$A$3:$H$102,4,FALSE)+VLOOKUP($A14,main!$A$3:$H$102,4,FALSE)+(VLOOKUP(VLOOKUP(CP$1,main!$A$3:$H$102,8,FALSE),main!$K$19:$O$22,MATCH(VLOOKUP($A14,main!$A$3:$H$102,7,FALSE),main!$K$18:$O$18,0),0))),0)</f>
        <v>290</v>
      </c>
      <c r="CQ14">
        <f>IF((gamma!CQ14),IF(VLOOKUP(CQ$1,main!$A$3:$H$102,7,FALSE)=VLOOKUP($A14,main!$A$3:$H$102,8,FALSE),VLOOKUP(CQ$1,main!$A$3:$H$102,4,FALSE),VLOOKUP(CQ$1,main!$A$3:$H$102,4,FALSE)+VLOOKUP($A14,main!$A$3:$H$102,4,FALSE)+(VLOOKUP(VLOOKUP(CQ$1,main!$A$3:$H$102,8,FALSE),main!$K$19:$O$22,MATCH(VLOOKUP($A14,main!$A$3:$H$102,7,FALSE),main!$K$18:$O$18,0),0))),0)</f>
        <v>290</v>
      </c>
      <c r="CR14">
        <f>IF((gamma!CR14),IF(VLOOKUP(CR$1,main!$A$3:$H$102,7,FALSE)=VLOOKUP($A14,main!$A$3:$H$102,8,FALSE),VLOOKUP(CR$1,main!$A$3:$H$102,4,FALSE),VLOOKUP(CR$1,main!$A$3:$H$102,4,FALSE)+VLOOKUP($A14,main!$A$3:$H$102,4,FALSE)+(VLOOKUP(VLOOKUP(CR$1,main!$A$3:$H$102,8,FALSE),main!$K$19:$O$22,MATCH(VLOOKUP($A14,main!$A$3:$H$102,7,FALSE),main!$K$18:$O$18,0),0))),0)</f>
        <v>305</v>
      </c>
      <c r="CS14">
        <f>IF((gamma!CS14),IF(VLOOKUP(CS$1,main!$A$3:$H$102,7,FALSE)=VLOOKUP($A14,main!$A$3:$H$102,8,FALSE),VLOOKUP(CS$1,main!$A$3:$H$102,4,FALSE),VLOOKUP(CS$1,main!$A$3:$H$102,4,FALSE)+VLOOKUP($A14,main!$A$3:$H$102,4,FALSE)+(VLOOKUP(VLOOKUP(CS$1,main!$A$3:$H$102,8,FALSE),main!$K$19:$O$22,MATCH(VLOOKUP($A14,main!$A$3:$H$102,7,FALSE),main!$K$18:$O$18,0),0))),0)</f>
        <v>305</v>
      </c>
      <c r="CT14">
        <f>IF((gamma!CT14),IF(VLOOKUP(CT$1,main!$A$3:$H$102,7,FALSE)=VLOOKUP($A14,main!$A$3:$H$102,8,FALSE),VLOOKUP(CT$1,main!$A$3:$H$102,4,FALSE),VLOOKUP(CT$1,main!$A$3:$H$102,4,FALSE)+VLOOKUP($A14,main!$A$3:$H$102,4,FALSE)+(VLOOKUP(VLOOKUP(CT$1,main!$A$3:$H$102,8,FALSE),main!$K$19:$O$22,MATCH(VLOOKUP($A14,main!$A$3:$H$102,7,FALSE),main!$K$18:$O$18,0),0))),0)</f>
        <v>0</v>
      </c>
      <c r="CU14">
        <f>IF((gamma!CU14),IF(VLOOKUP(CU$1,main!$A$3:$H$102,7,FALSE)=VLOOKUP($A14,main!$A$3:$H$102,8,FALSE),VLOOKUP(CU$1,main!$A$3:$H$102,4,FALSE),VLOOKUP(CU$1,main!$A$3:$H$102,4,FALSE)+VLOOKUP($A14,main!$A$3:$H$102,4,FALSE)+(VLOOKUP(VLOOKUP(CU$1,main!$A$3:$H$102,8,FALSE),main!$K$19:$O$22,MATCH(VLOOKUP($A14,main!$A$3:$H$102,7,FALSE),main!$K$18:$O$18,0),0))),0)</f>
        <v>0</v>
      </c>
      <c r="CV14">
        <f>IF((gamma!CV14),IF(VLOOKUP(CV$1,main!$A$3:$H$102,7,FALSE)=VLOOKUP($A14,main!$A$3:$H$102,8,FALSE),VLOOKUP(CV$1,main!$A$3:$H$102,4,FALSE),VLOOKUP(CV$1,main!$A$3:$H$102,4,FALSE)+VLOOKUP($A14,main!$A$3:$H$102,4,FALSE)+(VLOOKUP(VLOOKUP(CV$1,main!$A$3:$H$102,8,FALSE),main!$K$19:$O$22,MATCH(VLOOKUP($A14,main!$A$3:$H$102,7,FALSE),main!$K$18:$O$18,0),0))),0)</f>
        <v>250</v>
      </c>
      <c r="CW14">
        <f>IF((gamma!CW14),IF(VLOOKUP(CW$1,main!$A$3:$H$102,7,FALSE)=VLOOKUP($A14,main!$A$3:$H$102,8,FALSE),VLOOKUP(CW$1,main!$A$3:$H$102,4,FALSE),VLOOKUP(CW$1,main!$A$3:$H$102,4,FALSE)+VLOOKUP($A14,main!$A$3:$H$102,4,FALSE)+(VLOOKUP(VLOOKUP(CW$1,main!$A$3:$H$102,8,FALSE),main!$K$19:$O$22,MATCH(VLOOKUP($A14,main!$A$3:$H$102,7,FALSE),main!$K$18:$O$18,0),0))),0)</f>
        <v>265</v>
      </c>
      <c r="CX14">
        <f>IF((gamma!CX14),IF(VLOOKUP(CX$1,main!$A$3:$H$102,7,FALSE)=VLOOKUP($A14,main!$A$3:$H$102,8,FALSE),VLOOKUP(CX$1,main!$A$3:$H$102,4,FALSE),VLOOKUP(CX$1,main!$A$3:$H$102,4,FALSE)+VLOOKUP($A14,main!$A$3:$H$102,4,FALSE)+(VLOOKUP(VLOOKUP(CX$1,main!$A$3:$H$102,8,FALSE),main!$K$19:$O$22,MATCH(VLOOKUP($A14,main!$A$3:$H$102,7,FALSE),main!$K$18:$O$18,0),0))),0)</f>
        <v>255</v>
      </c>
      <c r="CY14">
        <v>0</v>
      </c>
      <c r="CZ14">
        <v>0</v>
      </c>
      <c r="DA14">
        <v>0</v>
      </c>
    </row>
    <row r="15" spans="1:105" x14ac:dyDescent="0.25">
      <c r="A15" s="1">
        <v>13</v>
      </c>
      <c r="B15">
        <v>0</v>
      </c>
      <c r="C15">
        <f>IF((gamma!C15),IF(VLOOKUP(C$1,main!$A$3:$H$102,7,FALSE)=VLOOKUP($A15,main!$A$3:$H$102,8,FALSE),VLOOKUP(C$1,main!$A$3:$H$102,4,FALSE),VLOOKUP(C$1,main!$A$3:$H$102,4,FALSE)+VLOOKUP($A15,main!$A$3:$H$102,4,FALSE)+(VLOOKUP(VLOOKUP(C$1,main!$A$3:$H$102,8,FALSE),main!$K$19:$O$22,MATCH(VLOOKUP($A15,main!$A$3:$H$102,7,FALSE),main!$K$18:$O$18,0),0))),0)</f>
        <v>0</v>
      </c>
      <c r="D15">
        <f>IF((gamma!D15),IF(VLOOKUP(D$1,main!$A$3:$H$102,7,FALSE)=VLOOKUP($A15,main!$A$3:$H$102,8,FALSE),VLOOKUP(D$1,main!$A$3:$H$102,4,FALSE),VLOOKUP(D$1,main!$A$3:$H$102,4,FALSE)+VLOOKUP($A15,main!$A$3:$H$102,4,FALSE)+(VLOOKUP(VLOOKUP(D$1,main!$A$3:$H$102,8,FALSE),main!$K$19:$O$22,MATCH(VLOOKUP($A15,main!$A$3:$H$102,7,FALSE),main!$K$18:$O$18,0),0))),0)</f>
        <v>0</v>
      </c>
      <c r="E15">
        <f>IF((gamma!E15),IF(VLOOKUP(E$1,main!$A$3:$H$102,7,FALSE)=VLOOKUP($A15,main!$A$3:$H$102,8,FALSE),VLOOKUP(E$1,main!$A$3:$H$102,4,FALSE),VLOOKUP(E$1,main!$A$3:$H$102,4,FALSE)+VLOOKUP($A15,main!$A$3:$H$102,4,FALSE)+(VLOOKUP(VLOOKUP(E$1,main!$A$3:$H$102,8,FALSE),main!$K$19:$O$22,MATCH(VLOOKUP($A15,main!$A$3:$H$102,7,FALSE),main!$K$18:$O$18,0),0))),0)</f>
        <v>0</v>
      </c>
      <c r="F15">
        <f>IF((gamma!F15),IF(VLOOKUP(F$1,main!$A$3:$H$102,7,FALSE)=VLOOKUP($A15,main!$A$3:$H$102,8,FALSE),VLOOKUP(F$1,main!$A$3:$H$102,4,FALSE),VLOOKUP(F$1,main!$A$3:$H$102,4,FALSE)+VLOOKUP($A15,main!$A$3:$H$102,4,FALSE)+(VLOOKUP(VLOOKUP(F$1,main!$A$3:$H$102,8,FALSE),main!$K$19:$O$22,MATCH(VLOOKUP($A15,main!$A$3:$H$102,7,FALSE),main!$K$18:$O$18,0),0))),0)</f>
        <v>0</v>
      </c>
      <c r="G15">
        <f>IF((gamma!G15),IF(VLOOKUP(G$1,main!$A$3:$H$102,7,FALSE)=VLOOKUP($A15,main!$A$3:$H$102,8,FALSE),VLOOKUP(G$1,main!$A$3:$H$102,4,FALSE),VLOOKUP(G$1,main!$A$3:$H$102,4,FALSE)+VLOOKUP($A15,main!$A$3:$H$102,4,FALSE)+(VLOOKUP(VLOOKUP(G$1,main!$A$3:$H$102,8,FALSE),main!$K$19:$O$22,MATCH(VLOOKUP($A15,main!$A$3:$H$102,7,FALSE),main!$K$18:$O$18,0),0))),0)</f>
        <v>300</v>
      </c>
      <c r="H15">
        <f>IF((gamma!H15),IF(VLOOKUP(H$1,main!$A$3:$H$102,7,FALSE)=VLOOKUP($A15,main!$A$3:$H$102,8,FALSE),VLOOKUP(H$1,main!$A$3:$H$102,4,FALSE),VLOOKUP(H$1,main!$A$3:$H$102,4,FALSE)+VLOOKUP($A15,main!$A$3:$H$102,4,FALSE)+(VLOOKUP(VLOOKUP(H$1,main!$A$3:$H$102,8,FALSE),main!$K$19:$O$22,MATCH(VLOOKUP($A15,main!$A$3:$H$102,7,FALSE),main!$K$18:$O$18,0),0))),0)</f>
        <v>300</v>
      </c>
      <c r="I15">
        <f>IF((gamma!I15),IF(VLOOKUP(I$1,main!$A$3:$H$102,7,FALSE)=VLOOKUP($A15,main!$A$3:$H$102,8,FALSE),VLOOKUP(I$1,main!$A$3:$H$102,4,FALSE),VLOOKUP(I$1,main!$A$3:$H$102,4,FALSE)+VLOOKUP($A15,main!$A$3:$H$102,4,FALSE)+(VLOOKUP(VLOOKUP(I$1,main!$A$3:$H$102,8,FALSE),main!$K$19:$O$22,MATCH(VLOOKUP($A15,main!$A$3:$H$102,7,FALSE),main!$K$18:$O$18,0),0))),0)</f>
        <v>300</v>
      </c>
      <c r="J15">
        <f>IF((gamma!J15),IF(VLOOKUP(J$1,main!$A$3:$H$102,7,FALSE)=VLOOKUP($A15,main!$A$3:$H$102,8,FALSE),VLOOKUP(J$1,main!$A$3:$H$102,4,FALSE),VLOOKUP(J$1,main!$A$3:$H$102,4,FALSE)+VLOOKUP($A15,main!$A$3:$H$102,4,FALSE)+(VLOOKUP(VLOOKUP(J$1,main!$A$3:$H$102,8,FALSE),main!$K$19:$O$22,MATCH(VLOOKUP($A15,main!$A$3:$H$102,7,FALSE),main!$K$18:$O$18,0),0))),0)</f>
        <v>300</v>
      </c>
      <c r="K15">
        <f>IF((gamma!K15),IF(VLOOKUP(K$1,main!$A$3:$H$102,7,FALSE)=VLOOKUP($A15,main!$A$3:$H$102,8,FALSE),VLOOKUP(K$1,main!$A$3:$H$102,4,FALSE),VLOOKUP(K$1,main!$A$3:$H$102,4,FALSE)+VLOOKUP($A15,main!$A$3:$H$102,4,FALSE)+(VLOOKUP(VLOOKUP(K$1,main!$A$3:$H$102,8,FALSE),main!$K$19:$O$22,MATCH(VLOOKUP($A15,main!$A$3:$H$102,7,FALSE),main!$K$18:$O$18,0),0))),0)</f>
        <v>300</v>
      </c>
      <c r="L15">
        <f>IF((gamma!L15),IF(VLOOKUP(L$1,main!$A$3:$H$102,7,FALSE)=VLOOKUP($A15,main!$A$3:$H$102,8,FALSE),VLOOKUP(L$1,main!$A$3:$H$102,4,FALSE),VLOOKUP(L$1,main!$A$3:$H$102,4,FALSE)+VLOOKUP($A15,main!$A$3:$H$102,4,FALSE)+(VLOOKUP(VLOOKUP(L$1,main!$A$3:$H$102,8,FALSE),main!$K$19:$O$22,MATCH(VLOOKUP($A15,main!$A$3:$H$102,7,FALSE),main!$K$18:$O$18,0),0))),0)</f>
        <v>300</v>
      </c>
      <c r="M15">
        <f>IF((gamma!M15),IF(VLOOKUP(M$1,main!$A$3:$H$102,7,FALSE)=VLOOKUP($A15,main!$A$3:$H$102,8,FALSE),VLOOKUP(M$1,main!$A$3:$H$102,4,FALSE),VLOOKUP(M$1,main!$A$3:$H$102,4,FALSE)+VLOOKUP($A15,main!$A$3:$H$102,4,FALSE)+(VLOOKUP(VLOOKUP(M$1,main!$A$3:$H$102,8,FALSE),main!$K$19:$O$22,MATCH(VLOOKUP($A15,main!$A$3:$H$102,7,FALSE),main!$K$18:$O$18,0),0))),0)</f>
        <v>0</v>
      </c>
      <c r="N15">
        <f>IF((gamma!N15),IF(VLOOKUP(N$1,main!$A$3:$H$102,7,FALSE)=VLOOKUP($A15,main!$A$3:$H$102,8,FALSE),VLOOKUP(N$1,main!$A$3:$H$102,4,FALSE),VLOOKUP(N$1,main!$A$3:$H$102,4,FALSE)+VLOOKUP($A15,main!$A$3:$H$102,4,FALSE)+(VLOOKUP(VLOOKUP(N$1,main!$A$3:$H$102,8,FALSE),main!$K$19:$O$22,MATCH(VLOOKUP($A15,main!$A$3:$H$102,7,FALSE),main!$K$18:$O$18,0),0))),0)</f>
        <v>0</v>
      </c>
      <c r="O15">
        <f>IF((gamma!O15),IF(VLOOKUP(O$1,main!$A$3:$H$102,7,FALSE)=VLOOKUP($A15,main!$A$3:$H$102,8,FALSE),VLOOKUP(O$1,main!$A$3:$H$102,4,FALSE),VLOOKUP(O$1,main!$A$3:$H$102,4,FALSE)+VLOOKUP($A15,main!$A$3:$H$102,4,FALSE)+(VLOOKUP(VLOOKUP(O$1,main!$A$3:$H$102,8,FALSE),main!$K$19:$O$22,MATCH(VLOOKUP($A15,main!$A$3:$H$102,7,FALSE),main!$K$18:$O$18,0),0))),0)</f>
        <v>0</v>
      </c>
      <c r="P15">
        <f>IF((gamma!P15),IF(VLOOKUP(P$1,main!$A$3:$H$102,7,FALSE)=VLOOKUP($A15,main!$A$3:$H$102,8,FALSE),VLOOKUP(P$1,main!$A$3:$H$102,4,FALSE),VLOOKUP(P$1,main!$A$3:$H$102,4,FALSE)+VLOOKUP($A15,main!$A$3:$H$102,4,FALSE)+(VLOOKUP(VLOOKUP(P$1,main!$A$3:$H$102,8,FALSE),main!$K$19:$O$22,MATCH(VLOOKUP($A15,main!$A$3:$H$102,7,FALSE),main!$K$18:$O$18,0),0))),0)</f>
        <v>0</v>
      </c>
      <c r="Q15">
        <f>IF((gamma!Q15),IF(VLOOKUP(Q$1,main!$A$3:$H$102,7,FALSE)=VLOOKUP($A15,main!$A$3:$H$102,8,FALSE),VLOOKUP(Q$1,main!$A$3:$H$102,4,FALSE),VLOOKUP(Q$1,main!$A$3:$H$102,4,FALSE)+VLOOKUP($A15,main!$A$3:$H$102,4,FALSE)+(VLOOKUP(VLOOKUP(Q$1,main!$A$3:$H$102,8,FALSE),main!$K$19:$O$22,MATCH(VLOOKUP($A15,main!$A$3:$H$102,7,FALSE),main!$K$18:$O$18,0),0))),0)</f>
        <v>0</v>
      </c>
      <c r="R15">
        <f>IF((gamma!R15),IF(VLOOKUP(R$1,main!$A$3:$H$102,7,FALSE)=VLOOKUP($A15,main!$A$3:$H$102,8,FALSE),VLOOKUP(R$1,main!$A$3:$H$102,4,FALSE),VLOOKUP(R$1,main!$A$3:$H$102,4,FALSE)+VLOOKUP($A15,main!$A$3:$H$102,4,FALSE)+(VLOOKUP(VLOOKUP(R$1,main!$A$3:$H$102,8,FALSE),main!$K$19:$O$22,MATCH(VLOOKUP($A15,main!$A$3:$H$102,7,FALSE),main!$K$18:$O$18,0),0))),0)</f>
        <v>310</v>
      </c>
      <c r="S15">
        <f>IF((gamma!S15),IF(VLOOKUP(S$1,main!$A$3:$H$102,7,FALSE)=VLOOKUP($A15,main!$A$3:$H$102,8,FALSE),VLOOKUP(S$1,main!$A$3:$H$102,4,FALSE),VLOOKUP(S$1,main!$A$3:$H$102,4,FALSE)+VLOOKUP($A15,main!$A$3:$H$102,4,FALSE)+(VLOOKUP(VLOOKUP(S$1,main!$A$3:$H$102,8,FALSE),main!$K$19:$O$22,MATCH(VLOOKUP($A15,main!$A$3:$H$102,7,FALSE),main!$K$18:$O$18,0),0))),0)</f>
        <v>310</v>
      </c>
      <c r="T15">
        <f>IF((gamma!T15),IF(VLOOKUP(T$1,main!$A$3:$H$102,7,FALSE)=VLOOKUP($A15,main!$A$3:$H$102,8,FALSE),VLOOKUP(T$1,main!$A$3:$H$102,4,FALSE),VLOOKUP(T$1,main!$A$3:$H$102,4,FALSE)+VLOOKUP($A15,main!$A$3:$H$102,4,FALSE)+(VLOOKUP(VLOOKUP(T$1,main!$A$3:$H$102,8,FALSE),main!$K$19:$O$22,MATCH(VLOOKUP($A15,main!$A$3:$H$102,7,FALSE),main!$K$18:$O$18,0),0))),0)</f>
        <v>310</v>
      </c>
      <c r="U15">
        <f>IF((gamma!U15),IF(VLOOKUP(U$1,main!$A$3:$H$102,7,FALSE)=VLOOKUP($A15,main!$A$3:$H$102,8,FALSE),VLOOKUP(U$1,main!$A$3:$H$102,4,FALSE),VLOOKUP(U$1,main!$A$3:$H$102,4,FALSE)+VLOOKUP($A15,main!$A$3:$H$102,4,FALSE)+(VLOOKUP(VLOOKUP(U$1,main!$A$3:$H$102,8,FALSE),main!$K$19:$O$22,MATCH(VLOOKUP($A15,main!$A$3:$H$102,7,FALSE),main!$K$18:$O$18,0),0))),0)</f>
        <v>310</v>
      </c>
      <c r="V15">
        <f>IF((gamma!V15),IF(VLOOKUP(V$1,main!$A$3:$H$102,7,FALSE)=VLOOKUP($A15,main!$A$3:$H$102,8,FALSE),VLOOKUP(V$1,main!$A$3:$H$102,4,FALSE),VLOOKUP(V$1,main!$A$3:$H$102,4,FALSE)+VLOOKUP($A15,main!$A$3:$H$102,4,FALSE)+(VLOOKUP(VLOOKUP(V$1,main!$A$3:$H$102,8,FALSE),main!$K$19:$O$22,MATCH(VLOOKUP($A15,main!$A$3:$H$102,7,FALSE),main!$K$18:$O$18,0),0))),0)</f>
        <v>310</v>
      </c>
      <c r="W15">
        <f>IF((gamma!W15),IF(VLOOKUP(W$1,main!$A$3:$H$102,7,FALSE)=VLOOKUP($A15,main!$A$3:$H$102,8,FALSE),VLOOKUP(W$1,main!$A$3:$H$102,4,FALSE),VLOOKUP(W$1,main!$A$3:$H$102,4,FALSE)+VLOOKUP($A15,main!$A$3:$H$102,4,FALSE)+(VLOOKUP(VLOOKUP(W$1,main!$A$3:$H$102,8,FALSE),main!$K$19:$O$22,MATCH(VLOOKUP($A15,main!$A$3:$H$102,7,FALSE),main!$K$18:$O$18,0),0))),0)</f>
        <v>0</v>
      </c>
      <c r="X15">
        <f>IF((gamma!X15),IF(VLOOKUP(X$1,main!$A$3:$H$102,7,FALSE)=VLOOKUP($A15,main!$A$3:$H$102,8,FALSE),VLOOKUP(X$1,main!$A$3:$H$102,4,FALSE),VLOOKUP(X$1,main!$A$3:$H$102,4,FALSE)+VLOOKUP($A15,main!$A$3:$H$102,4,FALSE)+(VLOOKUP(VLOOKUP(X$1,main!$A$3:$H$102,8,FALSE),main!$K$19:$O$22,MATCH(VLOOKUP($A15,main!$A$3:$H$102,7,FALSE),main!$K$18:$O$18,0),0))),0)</f>
        <v>0</v>
      </c>
      <c r="Y15">
        <f>IF((gamma!Y15),IF(VLOOKUP(Y$1,main!$A$3:$H$102,7,FALSE)=VLOOKUP($A15,main!$A$3:$H$102,8,FALSE),VLOOKUP(Y$1,main!$A$3:$H$102,4,FALSE),VLOOKUP(Y$1,main!$A$3:$H$102,4,FALSE)+VLOOKUP($A15,main!$A$3:$H$102,4,FALSE)+(VLOOKUP(VLOOKUP(Y$1,main!$A$3:$H$102,8,FALSE),main!$K$19:$O$22,MATCH(VLOOKUP($A15,main!$A$3:$H$102,7,FALSE),main!$K$18:$O$18,0),0))),0)</f>
        <v>310</v>
      </c>
      <c r="Z15">
        <f>IF((gamma!Z15),IF(VLOOKUP(Z$1,main!$A$3:$H$102,7,FALSE)=VLOOKUP($A15,main!$A$3:$H$102,8,FALSE),VLOOKUP(Z$1,main!$A$3:$H$102,4,FALSE),VLOOKUP(Z$1,main!$A$3:$H$102,4,FALSE)+VLOOKUP($A15,main!$A$3:$H$102,4,FALSE)+(VLOOKUP(VLOOKUP(Z$1,main!$A$3:$H$102,8,FALSE),main!$K$19:$O$22,MATCH(VLOOKUP($A15,main!$A$3:$H$102,7,FALSE),main!$K$18:$O$18,0),0))),0)</f>
        <v>315</v>
      </c>
      <c r="AA15">
        <f>IF((gamma!AA15),IF(VLOOKUP(AA$1,main!$A$3:$H$102,7,FALSE)=VLOOKUP($A15,main!$A$3:$H$102,8,FALSE),VLOOKUP(AA$1,main!$A$3:$H$102,4,FALSE),VLOOKUP(AA$1,main!$A$3:$H$102,4,FALSE)+VLOOKUP($A15,main!$A$3:$H$102,4,FALSE)+(VLOOKUP(VLOOKUP(AA$1,main!$A$3:$H$102,8,FALSE),main!$K$19:$O$22,MATCH(VLOOKUP($A15,main!$A$3:$H$102,7,FALSE),main!$K$18:$O$18,0),0))),0)</f>
        <v>315</v>
      </c>
      <c r="AB15">
        <f>IF((gamma!AB15),IF(VLOOKUP(AB$1,main!$A$3:$H$102,7,FALSE)=VLOOKUP($A15,main!$A$3:$H$102,8,FALSE),VLOOKUP(AB$1,main!$A$3:$H$102,4,FALSE),VLOOKUP(AB$1,main!$A$3:$H$102,4,FALSE)+VLOOKUP($A15,main!$A$3:$H$102,4,FALSE)+(VLOOKUP(VLOOKUP(AB$1,main!$A$3:$H$102,8,FALSE),main!$K$19:$O$22,MATCH(VLOOKUP($A15,main!$A$3:$H$102,7,FALSE),main!$K$18:$O$18,0),0))),0)</f>
        <v>0</v>
      </c>
      <c r="AC15">
        <f>IF((gamma!AC15),IF(VLOOKUP(AC$1,main!$A$3:$H$102,7,FALSE)=VLOOKUP($A15,main!$A$3:$H$102,8,FALSE),VLOOKUP(AC$1,main!$A$3:$H$102,4,FALSE),VLOOKUP(AC$1,main!$A$3:$H$102,4,FALSE)+VLOOKUP($A15,main!$A$3:$H$102,4,FALSE)+(VLOOKUP(VLOOKUP(AC$1,main!$A$3:$H$102,8,FALSE),main!$K$19:$O$22,MATCH(VLOOKUP($A15,main!$A$3:$H$102,7,FALSE),main!$K$18:$O$18,0),0))),0)</f>
        <v>0</v>
      </c>
      <c r="AD15">
        <f>IF((gamma!AD15),IF(VLOOKUP(AD$1,main!$A$3:$H$102,7,FALSE)=VLOOKUP($A15,main!$A$3:$H$102,8,FALSE),VLOOKUP(AD$1,main!$A$3:$H$102,4,FALSE),VLOOKUP(AD$1,main!$A$3:$H$102,4,FALSE)+VLOOKUP($A15,main!$A$3:$H$102,4,FALSE)+(VLOOKUP(VLOOKUP(AD$1,main!$A$3:$H$102,8,FALSE),main!$K$19:$O$22,MATCH(VLOOKUP($A15,main!$A$3:$H$102,7,FALSE),main!$K$18:$O$18,0),0))),0)</f>
        <v>0</v>
      </c>
      <c r="AE15">
        <f>IF((gamma!AE15),IF(VLOOKUP(AE$1,main!$A$3:$H$102,7,FALSE)=VLOOKUP($A15,main!$A$3:$H$102,8,FALSE),VLOOKUP(AE$1,main!$A$3:$H$102,4,FALSE),VLOOKUP(AE$1,main!$A$3:$H$102,4,FALSE)+VLOOKUP($A15,main!$A$3:$H$102,4,FALSE)+(VLOOKUP(VLOOKUP(AE$1,main!$A$3:$H$102,8,FALSE),main!$K$19:$O$22,MATCH(VLOOKUP($A15,main!$A$3:$H$102,7,FALSE),main!$K$18:$O$18,0),0))),0)</f>
        <v>315</v>
      </c>
      <c r="AF15">
        <f>IF((gamma!AF15),IF(VLOOKUP(AF$1,main!$A$3:$H$102,7,FALSE)=VLOOKUP($A15,main!$A$3:$H$102,8,FALSE),VLOOKUP(AF$1,main!$A$3:$H$102,4,FALSE),VLOOKUP(AF$1,main!$A$3:$H$102,4,FALSE)+VLOOKUP($A15,main!$A$3:$H$102,4,FALSE)+(VLOOKUP(VLOOKUP(AF$1,main!$A$3:$H$102,8,FALSE),main!$K$19:$O$22,MATCH(VLOOKUP($A15,main!$A$3:$H$102,7,FALSE),main!$K$18:$O$18,0),0))),0)</f>
        <v>275</v>
      </c>
      <c r="AG15">
        <f>IF((gamma!AG15),IF(VLOOKUP(AG$1,main!$A$3:$H$102,7,FALSE)=VLOOKUP($A15,main!$A$3:$H$102,8,FALSE),VLOOKUP(AG$1,main!$A$3:$H$102,4,FALSE),VLOOKUP(AG$1,main!$A$3:$H$102,4,FALSE)+VLOOKUP($A15,main!$A$3:$H$102,4,FALSE)+(VLOOKUP(VLOOKUP(AG$1,main!$A$3:$H$102,8,FALSE),main!$K$19:$O$22,MATCH(VLOOKUP($A15,main!$A$3:$H$102,7,FALSE),main!$K$18:$O$18,0),0))),0)</f>
        <v>0</v>
      </c>
      <c r="AH15">
        <f>IF((gamma!AH15),IF(VLOOKUP(AH$1,main!$A$3:$H$102,7,FALSE)=VLOOKUP($A15,main!$A$3:$H$102,8,FALSE),VLOOKUP(AH$1,main!$A$3:$H$102,4,FALSE),VLOOKUP(AH$1,main!$A$3:$H$102,4,FALSE)+VLOOKUP($A15,main!$A$3:$H$102,4,FALSE)+(VLOOKUP(VLOOKUP(AH$1,main!$A$3:$H$102,8,FALSE),main!$K$19:$O$22,MATCH(VLOOKUP($A15,main!$A$3:$H$102,7,FALSE),main!$K$18:$O$18,0),0))),0)</f>
        <v>0</v>
      </c>
      <c r="AI15">
        <f>IF((gamma!AI15),IF(VLOOKUP(AI$1,main!$A$3:$H$102,7,FALSE)=VLOOKUP($A15,main!$A$3:$H$102,8,FALSE),VLOOKUP(AI$1,main!$A$3:$H$102,4,FALSE),VLOOKUP(AI$1,main!$A$3:$H$102,4,FALSE)+VLOOKUP($A15,main!$A$3:$H$102,4,FALSE)+(VLOOKUP(VLOOKUP(AI$1,main!$A$3:$H$102,8,FALSE),main!$K$19:$O$22,MATCH(VLOOKUP($A15,main!$A$3:$H$102,7,FALSE),main!$K$18:$O$18,0),0))),0)</f>
        <v>0</v>
      </c>
      <c r="AJ15">
        <f>IF((gamma!AJ15),IF(VLOOKUP(AJ$1,main!$A$3:$H$102,7,FALSE)=VLOOKUP($A15,main!$A$3:$H$102,8,FALSE),VLOOKUP(AJ$1,main!$A$3:$H$102,4,FALSE),VLOOKUP(AJ$1,main!$A$3:$H$102,4,FALSE)+VLOOKUP($A15,main!$A$3:$H$102,4,FALSE)+(VLOOKUP(VLOOKUP(AJ$1,main!$A$3:$H$102,8,FALSE),main!$K$19:$O$22,MATCH(VLOOKUP($A15,main!$A$3:$H$102,7,FALSE),main!$K$18:$O$18,0),0))),0)</f>
        <v>275</v>
      </c>
      <c r="AK15">
        <f>IF((gamma!AK15),IF(VLOOKUP(AK$1,main!$A$3:$H$102,7,FALSE)=VLOOKUP($A15,main!$A$3:$H$102,8,FALSE),VLOOKUP(AK$1,main!$A$3:$H$102,4,FALSE),VLOOKUP(AK$1,main!$A$3:$H$102,4,FALSE)+VLOOKUP($A15,main!$A$3:$H$102,4,FALSE)+(VLOOKUP(VLOOKUP(AK$1,main!$A$3:$H$102,8,FALSE),main!$K$19:$O$22,MATCH(VLOOKUP($A15,main!$A$3:$H$102,7,FALSE),main!$K$18:$O$18,0),0))),0)</f>
        <v>275</v>
      </c>
      <c r="AL15">
        <f>IF((gamma!AL15),IF(VLOOKUP(AL$1,main!$A$3:$H$102,7,FALSE)=VLOOKUP($A15,main!$A$3:$H$102,8,FALSE),VLOOKUP(AL$1,main!$A$3:$H$102,4,FALSE),VLOOKUP(AL$1,main!$A$3:$H$102,4,FALSE)+VLOOKUP($A15,main!$A$3:$H$102,4,FALSE)+(VLOOKUP(VLOOKUP(AL$1,main!$A$3:$H$102,8,FALSE),main!$K$19:$O$22,MATCH(VLOOKUP($A15,main!$A$3:$H$102,7,FALSE),main!$K$18:$O$18,0),0))),0)</f>
        <v>275</v>
      </c>
      <c r="AM15">
        <f>IF((gamma!AM15),IF(VLOOKUP(AM$1,main!$A$3:$H$102,7,FALSE)=VLOOKUP($A15,main!$A$3:$H$102,8,FALSE),VLOOKUP(AM$1,main!$A$3:$H$102,4,FALSE),VLOOKUP(AM$1,main!$A$3:$H$102,4,FALSE)+VLOOKUP($A15,main!$A$3:$H$102,4,FALSE)+(VLOOKUP(VLOOKUP(AM$1,main!$A$3:$H$102,8,FALSE),main!$K$19:$O$22,MATCH(VLOOKUP($A15,main!$A$3:$H$102,7,FALSE),main!$K$18:$O$18,0),0))),0)</f>
        <v>275</v>
      </c>
      <c r="AN15">
        <f>IF((gamma!AN15),IF(VLOOKUP(AN$1,main!$A$3:$H$102,7,FALSE)=VLOOKUP($A15,main!$A$3:$H$102,8,FALSE),VLOOKUP(AN$1,main!$A$3:$H$102,4,FALSE),VLOOKUP(AN$1,main!$A$3:$H$102,4,FALSE)+VLOOKUP($A15,main!$A$3:$H$102,4,FALSE)+(VLOOKUP(VLOOKUP(AN$1,main!$A$3:$H$102,8,FALSE),main!$K$19:$O$22,MATCH(VLOOKUP($A15,main!$A$3:$H$102,7,FALSE),main!$K$18:$O$18,0),0))),0)</f>
        <v>275</v>
      </c>
      <c r="AO15">
        <f>IF((gamma!AO15),IF(VLOOKUP(AO$1,main!$A$3:$H$102,7,FALSE)=VLOOKUP($A15,main!$A$3:$H$102,8,FALSE),VLOOKUP(AO$1,main!$A$3:$H$102,4,FALSE),VLOOKUP(AO$1,main!$A$3:$H$102,4,FALSE)+VLOOKUP($A15,main!$A$3:$H$102,4,FALSE)+(VLOOKUP(VLOOKUP(AO$1,main!$A$3:$H$102,8,FALSE),main!$K$19:$O$22,MATCH(VLOOKUP($A15,main!$A$3:$H$102,7,FALSE),main!$K$18:$O$18,0),0))),0)</f>
        <v>0</v>
      </c>
      <c r="AP15">
        <f>IF((gamma!AP15),IF(VLOOKUP(AP$1,main!$A$3:$H$102,7,FALSE)=VLOOKUP($A15,main!$A$3:$H$102,8,FALSE),VLOOKUP(AP$1,main!$A$3:$H$102,4,FALSE),VLOOKUP(AP$1,main!$A$3:$H$102,4,FALSE)+VLOOKUP($A15,main!$A$3:$H$102,4,FALSE)+(VLOOKUP(VLOOKUP(AP$1,main!$A$3:$H$102,8,FALSE),main!$K$19:$O$22,MATCH(VLOOKUP($A15,main!$A$3:$H$102,7,FALSE),main!$K$18:$O$18,0),0))),0)</f>
        <v>215</v>
      </c>
      <c r="AQ15">
        <f>IF((gamma!AQ15),IF(VLOOKUP(AQ$1,main!$A$3:$H$102,7,FALSE)=VLOOKUP($A15,main!$A$3:$H$102,8,FALSE),VLOOKUP(AQ$1,main!$A$3:$H$102,4,FALSE),VLOOKUP(AQ$1,main!$A$3:$H$102,4,FALSE)+VLOOKUP($A15,main!$A$3:$H$102,4,FALSE)+(VLOOKUP(VLOOKUP(AQ$1,main!$A$3:$H$102,8,FALSE),main!$K$19:$O$22,MATCH(VLOOKUP($A15,main!$A$3:$H$102,7,FALSE),main!$K$18:$O$18,0),0))),0)</f>
        <v>0</v>
      </c>
      <c r="AR15">
        <f>IF((gamma!AR15),IF(VLOOKUP(AR$1,main!$A$3:$H$102,7,FALSE)=VLOOKUP($A15,main!$A$3:$H$102,8,FALSE),VLOOKUP(AR$1,main!$A$3:$H$102,4,FALSE),VLOOKUP(AR$1,main!$A$3:$H$102,4,FALSE)+VLOOKUP($A15,main!$A$3:$H$102,4,FALSE)+(VLOOKUP(VLOOKUP(AR$1,main!$A$3:$H$102,8,FALSE),main!$K$19:$O$22,MATCH(VLOOKUP($A15,main!$A$3:$H$102,7,FALSE),main!$K$18:$O$18,0),0))),0)</f>
        <v>0</v>
      </c>
      <c r="AS15">
        <f>IF((gamma!AS15),IF(VLOOKUP(AS$1,main!$A$3:$H$102,7,FALSE)=VLOOKUP($A15,main!$A$3:$H$102,8,FALSE),VLOOKUP(AS$1,main!$A$3:$H$102,4,FALSE),VLOOKUP(AS$1,main!$A$3:$H$102,4,FALSE)+VLOOKUP($A15,main!$A$3:$H$102,4,FALSE)+(VLOOKUP(VLOOKUP(AS$1,main!$A$3:$H$102,8,FALSE),main!$K$19:$O$22,MATCH(VLOOKUP($A15,main!$A$3:$H$102,7,FALSE),main!$K$18:$O$18,0),0))),0)</f>
        <v>290</v>
      </c>
      <c r="AT15">
        <f>IF((gamma!AT15),IF(VLOOKUP(AT$1,main!$A$3:$H$102,7,FALSE)=VLOOKUP($A15,main!$A$3:$H$102,8,FALSE),VLOOKUP(AT$1,main!$A$3:$H$102,4,FALSE),VLOOKUP(AT$1,main!$A$3:$H$102,4,FALSE)+VLOOKUP($A15,main!$A$3:$H$102,4,FALSE)+(VLOOKUP(VLOOKUP(AT$1,main!$A$3:$H$102,8,FALSE),main!$K$19:$O$22,MATCH(VLOOKUP($A15,main!$A$3:$H$102,7,FALSE),main!$K$18:$O$18,0),0))),0)</f>
        <v>300</v>
      </c>
      <c r="AU15">
        <f>IF((gamma!AU15),IF(VLOOKUP(AU$1,main!$A$3:$H$102,7,FALSE)=VLOOKUP($A15,main!$A$3:$H$102,8,FALSE),VLOOKUP(AU$1,main!$A$3:$H$102,4,FALSE),VLOOKUP(AU$1,main!$A$3:$H$102,4,FALSE)+VLOOKUP($A15,main!$A$3:$H$102,4,FALSE)+(VLOOKUP(VLOOKUP(AU$1,main!$A$3:$H$102,8,FALSE),main!$K$19:$O$22,MATCH(VLOOKUP($A15,main!$A$3:$H$102,7,FALSE),main!$K$18:$O$18,0),0))),0)</f>
        <v>0</v>
      </c>
      <c r="AV15">
        <f>IF((gamma!AV15),IF(VLOOKUP(AV$1,main!$A$3:$H$102,7,FALSE)=VLOOKUP($A15,main!$A$3:$H$102,8,FALSE),VLOOKUP(AV$1,main!$A$3:$H$102,4,FALSE),VLOOKUP(AV$1,main!$A$3:$H$102,4,FALSE)+VLOOKUP($A15,main!$A$3:$H$102,4,FALSE)+(VLOOKUP(VLOOKUP(AV$1,main!$A$3:$H$102,8,FALSE),main!$K$19:$O$22,MATCH(VLOOKUP($A15,main!$A$3:$H$102,7,FALSE),main!$K$18:$O$18,0),0))),0)</f>
        <v>0</v>
      </c>
      <c r="AW15">
        <f>IF((gamma!AW15),IF(VLOOKUP(AW$1,main!$A$3:$H$102,7,FALSE)=VLOOKUP($A15,main!$A$3:$H$102,8,FALSE),VLOOKUP(AW$1,main!$A$3:$H$102,4,FALSE),VLOOKUP(AW$1,main!$A$3:$H$102,4,FALSE)+VLOOKUP($A15,main!$A$3:$H$102,4,FALSE)+(VLOOKUP(VLOOKUP(AW$1,main!$A$3:$H$102,8,FALSE),main!$K$19:$O$22,MATCH(VLOOKUP($A15,main!$A$3:$H$102,7,FALSE),main!$K$18:$O$18,0),0))),0)</f>
        <v>290</v>
      </c>
      <c r="AX15">
        <f>IF((gamma!AX15),IF(VLOOKUP(AX$1,main!$A$3:$H$102,7,FALSE)=VLOOKUP($A15,main!$A$3:$H$102,8,FALSE),VLOOKUP(AX$1,main!$A$3:$H$102,4,FALSE),VLOOKUP(AX$1,main!$A$3:$H$102,4,FALSE)+VLOOKUP($A15,main!$A$3:$H$102,4,FALSE)+(VLOOKUP(VLOOKUP(AX$1,main!$A$3:$H$102,8,FALSE),main!$K$19:$O$22,MATCH(VLOOKUP($A15,main!$A$3:$H$102,7,FALSE),main!$K$18:$O$18,0),0))),0)</f>
        <v>0</v>
      </c>
      <c r="AY15">
        <f>IF((gamma!AY15),IF(VLOOKUP(AY$1,main!$A$3:$H$102,7,FALSE)=VLOOKUP($A15,main!$A$3:$H$102,8,FALSE),VLOOKUP(AY$1,main!$A$3:$H$102,4,FALSE),VLOOKUP(AY$1,main!$A$3:$H$102,4,FALSE)+VLOOKUP($A15,main!$A$3:$H$102,4,FALSE)+(VLOOKUP(VLOOKUP(AY$1,main!$A$3:$H$102,8,FALSE),main!$K$19:$O$22,MATCH(VLOOKUP($A15,main!$A$3:$H$102,7,FALSE),main!$K$18:$O$18,0),0))),0)</f>
        <v>0</v>
      </c>
      <c r="AZ15">
        <f>IF((gamma!AZ15),IF(VLOOKUP(AZ$1,main!$A$3:$H$102,7,FALSE)=VLOOKUP($A15,main!$A$3:$H$102,8,FALSE),VLOOKUP(AZ$1,main!$A$3:$H$102,4,FALSE),VLOOKUP(AZ$1,main!$A$3:$H$102,4,FALSE)+VLOOKUP($A15,main!$A$3:$H$102,4,FALSE)+(VLOOKUP(VLOOKUP(AZ$1,main!$A$3:$H$102,8,FALSE),main!$K$19:$O$22,MATCH(VLOOKUP($A15,main!$A$3:$H$102,7,FALSE),main!$K$18:$O$18,0),0))),0)</f>
        <v>0</v>
      </c>
      <c r="BA15">
        <f>IF((gamma!BA15),IF(VLOOKUP(BA$1,main!$A$3:$H$102,7,FALSE)=VLOOKUP($A15,main!$A$3:$H$102,8,FALSE),VLOOKUP(BA$1,main!$A$3:$H$102,4,FALSE),VLOOKUP(BA$1,main!$A$3:$H$102,4,FALSE)+VLOOKUP($A15,main!$A$3:$H$102,4,FALSE)+(VLOOKUP(VLOOKUP(BA$1,main!$A$3:$H$102,8,FALSE),main!$K$19:$O$22,MATCH(VLOOKUP($A15,main!$A$3:$H$102,7,FALSE),main!$K$18:$O$18,0),0))),0)</f>
        <v>0</v>
      </c>
      <c r="BB15">
        <f>IF((gamma!BB15),IF(VLOOKUP(BB$1,main!$A$3:$H$102,7,FALSE)=VLOOKUP($A15,main!$A$3:$H$102,8,FALSE),VLOOKUP(BB$1,main!$A$3:$H$102,4,FALSE),VLOOKUP(BB$1,main!$A$3:$H$102,4,FALSE)+VLOOKUP($A15,main!$A$3:$H$102,4,FALSE)+(VLOOKUP(VLOOKUP(BB$1,main!$A$3:$H$102,8,FALSE),main!$K$19:$O$22,MATCH(VLOOKUP($A15,main!$A$3:$H$102,7,FALSE),main!$K$18:$O$18,0),0))),0)</f>
        <v>0</v>
      </c>
      <c r="BC15">
        <f>IF((gamma!BC15),IF(VLOOKUP(BC$1,main!$A$3:$H$102,7,FALSE)=VLOOKUP($A15,main!$A$3:$H$102,8,FALSE),VLOOKUP(BC$1,main!$A$3:$H$102,4,FALSE),VLOOKUP(BC$1,main!$A$3:$H$102,4,FALSE)+VLOOKUP($A15,main!$A$3:$H$102,4,FALSE)+(VLOOKUP(VLOOKUP(BC$1,main!$A$3:$H$102,8,FALSE),main!$K$19:$O$22,MATCH(VLOOKUP($A15,main!$A$3:$H$102,7,FALSE),main!$K$18:$O$18,0),0))),0)</f>
        <v>140</v>
      </c>
      <c r="BD15">
        <f>IF((gamma!BD15),IF(VLOOKUP(BD$1,main!$A$3:$H$102,7,FALSE)=VLOOKUP($A15,main!$A$3:$H$102,8,FALSE),VLOOKUP(BD$1,main!$A$3:$H$102,4,FALSE),VLOOKUP(BD$1,main!$A$3:$H$102,4,FALSE)+VLOOKUP($A15,main!$A$3:$H$102,4,FALSE)+(VLOOKUP(VLOOKUP(BD$1,main!$A$3:$H$102,8,FALSE),main!$K$19:$O$22,MATCH(VLOOKUP($A15,main!$A$3:$H$102,7,FALSE),main!$K$18:$O$18,0),0))),0)</f>
        <v>140</v>
      </c>
      <c r="BE15">
        <f>IF((gamma!BE15),IF(VLOOKUP(BE$1,main!$A$3:$H$102,7,FALSE)=VLOOKUP($A15,main!$A$3:$H$102,8,FALSE),VLOOKUP(BE$1,main!$A$3:$H$102,4,FALSE),VLOOKUP(BE$1,main!$A$3:$H$102,4,FALSE)+VLOOKUP($A15,main!$A$3:$H$102,4,FALSE)+(VLOOKUP(VLOOKUP(BE$1,main!$A$3:$H$102,8,FALSE),main!$K$19:$O$22,MATCH(VLOOKUP($A15,main!$A$3:$H$102,7,FALSE),main!$K$18:$O$18,0),0))),0)</f>
        <v>140</v>
      </c>
      <c r="BF15">
        <f>IF((gamma!BF15),IF(VLOOKUP(BF$1,main!$A$3:$H$102,7,FALSE)=VLOOKUP($A15,main!$A$3:$H$102,8,FALSE),VLOOKUP(BF$1,main!$A$3:$H$102,4,FALSE),VLOOKUP(BF$1,main!$A$3:$H$102,4,FALSE)+VLOOKUP($A15,main!$A$3:$H$102,4,FALSE)+(VLOOKUP(VLOOKUP(BF$1,main!$A$3:$H$102,8,FALSE),main!$K$19:$O$22,MATCH(VLOOKUP($A15,main!$A$3:$H$102,7,FALSE),main!$K$18:$O$18,0),0))),0)</f>
        <v>0</v>
      </c>
      <c r="BG15">
        <f>IF((gamma!BG15),IF(VLOOKUP(BG$1,main!$A$3:$H$102,7,FALSE)=VLOOKUP($A15,main!$A$3:$H$102,8,FALSE),VLOOKUP(BG$1,main!$A$3:$H$102,4,FALSE),VLOOKUP(BG$1,main!$A$3:$H$102,4,FALSE)+VLOOKUP($A15,main!$A$3:$H$102,4,FALSE)+(VLOOKUP(VLOOKUP(BG$1,main!$A$3:$H$102,8,FALSE),main!$K$19:$O$22,MATCH(VLOOKUP($A15,main!$A$3:$H$102,7,FALSE),main!$K$18:$O$18,0),0))),0)</f>
        <v>0</v>
      </c>
      <c r="BH15">
        <f>IF((gamma!BH15),IF(VLOOKUP(BH$1,main!$A$3:$H$102,7,FALSE)=VLOOKUP($A15,main!$A$3:$H$102,8,FALSE),VLOOKUP(BH$1,main!$A$3:$H$102,4,FALSE),VLOOKUP(BH$1,main!$A$3:$H$102,4,FALSE)+VLOOKUP($A15,main!$A$3:$H$102,4,FALSE)+(VLOOKUP(VLOOKUP(BH$1,main!$A$3:$H$102,8,FALSE),main!$K$19:$O$22,MATCH(VLOOKUP($A15,main!$A$3:$H$102,7,FALSE),main!$K$18:$O$18,0),0))),0)</f>
        <v>125</v>
      </c>
      <c r="BI15">
        <f>IF((gamma!BI15),IF(VLOOKUP(BI$1,main!$A$3:$H$102,7,FALSE)=VLOOKUP($A15,main!$A$3:$H$102,8,FALSE),VLOOKUP(BI$1,main!$A$3:$H$102,4,FALSE),VLOOKUP(BI$1,main!$A$3:$H$102,4,FALSE)+VLOOKUP($A15,main!$A$3:$H$102,4,FALSE)+(VLOOKUP(VLOOKUP(BI$1,main!$A$3:$H$102,8,FALSE),main!$K$19:$O$22,MATCH(VLOOKUP($A15,main!$A$3:$H$102,7,FALSE),main!$K$18:$O$18,0),0))),0)</f>
        <v>60</v>
      </c>
      <c r="BJ15">
        <f>IF((gamma!BJ15),IF(VLOOKUP(BJ$1,main!$A$3:$H$102,7,FALSE)=VLOOKUP($A15,main!$A$3:$H$102,8,FALSE),VLOOKUP(BJ$1,main!$A$3:$H$102,4,FALSE),VLOOKUP(BJ$1,main!$A$3:$H$102,4,FALSE)+VLOOKUP($A15,main!$A$3:$H$102,4,FALSE)+(VLOOKUP(VLOOKUP(BJ$1,main!$A$3:$H$102,8,FALSE),main!$K$19:$O$22,MATCH(VLOOKUP($A15,main!$A$3:$H$102,7,FALSE),main!$K$18:$O$18,0),0))),0)</f>
        <v>90</v>
      </c>
      <c r="BK15">
        <f>IF((gamma!BK15),IF(VLOOKUP(BK$1,main!$A$3:$H$102,7,FALSE)=VLOOKUP($A15,main!$A$3:$H$102,8,FALSE),VLOOKUP(BK$1,main!$A$3:$H$102,4,FALSE),VLOOKUP(BK$1,main!$A$3:$H$102,4,FALSE)+VLOOKUP($A15,main!$A$3:$H$102,4,FALSE)+(VLOOKUP(VLOOKUP(BK$1,main!$A$3:$H$102,8,FALSE),main!$K$19:$O$22,MATCH(VLOOKUP($A15,main!$A$3:$H$102,7,FALSE),main!$K$18:$O$18,0),0))),0)</f>
        <v>0</v>
      </c>
      <c r="BL15">
        <f>IF((gamma!BL15),IF(VLOOKUP(BL$1,main!$A$3:$H$102,7,FALSE)=VLOOKUP($A15,main!$A$3:$H$102,8,FALSE),VLOOKUP(BL$1,main!$A$3:$H$102,4,FALSE),VLOOKUP(BL$1,main!$A$3:$H$102,4,FALSE)+VLOOKUP($A15,main!$A$3:$H$102,4,FALSE)+(VLOOKUP(VLOOKUP(BL$1,main!$A$3:$H$102,8,FALSE),main!$K$19:$O$22,MATCH(VLOOKUP($A15,main!$A$3:$H$102,7,FALSE),main!$K$18:$O$18,0),0))),0)</f>
        <v>0</v>
      </c>
      <c r="BM15">
        <f>IF((gamma!BM15),IF(VLOOKUP(BM$1,main!$A$3:$H$102,7,FALSE)=VLOOKUP($A15,main!$A$3:$H$102,8,FALSE),VLOOKUP(BM$1,main!$A$3:$H$102,4,FALSE),VLOOKUP(BM$1,main!$A$3:$H$102,4,FALSE)+VLOOKUP($A15,main!$A$3:$H$102,4,FALSE)+(VLOOKUP(VLOOKUP(BM$1,main!$A$3:$H$102,8,FALSE),main!$K$19:$O$22,MATCH(VLOOKUP($A15,main!$A$3:$H$102,7,FALSE),main!$K$18:$O$18,0),0))),0)</f>
        <v>0</v>
      </c>
      <c r="BN15">
        <f>IF((gamma!BN15),IF(VLOOKUP(BN$1,main!$A$3:$H$102,7,FALSE)=VLOOKUP($A15,main!$A$3:$H$102,8,FALSE),VLOOKUP(BN$1,main!$A$3:$H$102,4,FALSE),VLOOKUP(BN$1,main!$A$3:$H$102,4,FALSE)+VLOOKUP($A15,main!$A$3:$H$102,4,FALSE)+(VLOOKUP(VLOOKUP(BN$1,main!$A$3:$H$102,8,FALSE),main!$K$19:$O$22,MATCH(VLOOKUP($A15,main!$A$3:$H$102,7,FALSE),main!$K$18:$O$18,0),0))),0)</f>
        <v>120</v>
      </c>
      <c r="BO15">
        <f>IF((gamma!BO15),IF(VLOOKUP(BO$1,main!$A$3:$H$102,7,FALSE)=VLOOKUP($A15,main!$A$3:$H$102,8,FALSE),VLOOKUP(BO$1,main!$A$3:$H$102,4,FALSE),VLOOKUP(BO$1,main!$A$3:$H$102,4,FALSE)+VLOOKUP($A15,main!$A$3:$H$102,4,FALSE)+(VLOOKUP(VLOOKUP(BO$1,main!$A$3:$H$102,8,FALSE),main!$K$19:$O$22,MATCH(VLOOKUP($A15,main!$A$3:$H$102,7,FALSE),main!$K$18:$O$18,0),0))),0)</f>
        <v>0</v>
      </c>
      <c r="BP15">
        <f>IF((gamma!BP15),IF(VLOOKUP(BP$1,main!$A$3:$H$102,7,FALSE)=VLOOKUP($A15,main!$A$3:$H$102,8,FALSE),VLOOKUP(BP$1,main!$A$3:$H$102,4,FALSE),VLOOKUP(BP$1,main!$A$3:$H$102,4,FALSE)+VLOOKUP($A15,main!$A$3:$H$102,4,FALSE)+(VLOOKUP(VLOOKUP(BP$1,main!$A$3:$H$102,8,FALSE),main!$K$19:$O$22,MATCH(VLOOKUP($A15,main!$A$3:$H$102,7,FALSE),main!$K$18:$O$18,0),0))),0)</f>
        <v>0</v>
      </c>
      <c r="BQ15">
        <f>IF((gamma!BQ15),IF(VLOOKUP(BQ$1,main!$A$3:$H$102,7,FALSE)=VLOOKUP($A15,main!$A$3:$H$102,8,FALSE),VLOOKUP(BQ$1,main!$A$3:$H$102,4,FALSE),VLOOKUP(BQ$1,main!$A$3:$H$102,4,FALSE)+VLOOKUP($A15,main!$A$3:$H$102,4,FALSE)+(VLOOKUP(VLOOKUP(BQ$1,main!$A$3:$H$102,8,FALSE),main!$K$19:$O$22,MATCH(VLOOKUP($A15,main!$A$3:$H$102,7,FALSE),main!$K$18:$O$18,0),0))),0)</f>
        <v>140</v>
      </c>
      <c r="BR15">
        <f>IF((gamma!BR15),IF(VLOOKUP(BR$1,main!$A$3:$H$102,7,FALSE)=VLOOKUP($A15,main!$A$3:$H$102,8,FALSE),VLOOKUP(BR$1,main!$A$3:$H$102,4,FALSE),VLOOKUP(BR$1,main!$A$3:$H$102,4,FALSE)+VLOOKUP($A15,main!$A$3:$H$102,4,FALSE)+(VLOOKUP(VLOOKUP(BR$1,main!$A$3:$H$102,8,FALSE),main!$K$19:$O$22,MATCH(VLOOKUP($A15,main!$A$3:$H$102,7,FALSE),main!$K$18:$O$18,0),0))),0)</f>
        <v>100</v>
      </c>
      <c r="BS15">
        <f>IF((gamma!BS15),IF(VLOOKUP(BS$1,main!$A$3:$H$102,7,FALSE)=VLOOKUP($A15,main!$A$3:$H$102,8,FALSE),VLOOKUP(BS$1,main!$A$3:$H$102,4,FALSE),VLOOKUP(BS$1,main!$A$3:$H$102,4,FALSE)+VLOOKUP($A15,main!$A$3:$H$102,4,FALSE)+(VLOOKUP(VLOOKUP(BS$1,main!$A$3:$H$102,8,FALSE),main!$K$19:$O$22,MATCH(VLOOKUP($A15,main!$A$3:$H$102,7,FALSE),main!$K$18:$O$18,0),0))),0)</f>
        <v>101</v>
      </c>
      <c r="BT15">
        <f>IF((gamma!BT15),IF(VLOOKUP(BT$1,main!$A$3:$H$102,7,FALSE)=VLOOKUP($A15,main!$A$3:$H$102,8,FALSE),VLOOKUP(BT$1,main!$A$3:$H$102,4,FALSE),VLOOKUP(BT$1,main!$A$3:$H$102,4,FALSE)+VLOOKUP($A15,main!$A$3:$H$102,4,FALSE)+(VLOOKUP(VLOOKUP(BT$1,main!$A$3:$H$102,8,FALSE),main!$K$19:$O$22,MATCH(VLOOKUP($A15,main!$A$3:$H$102,7,FALSE),main!$K$18:$O$18,0),0))),0)</f>
        <v>0</v>
      </c>
      <c r="BU15">
        <f>IF((gamma!BU15),IF(VLOOKUP(BU$1,main!$A$3:$H$102,7,FALSE)=VLOOKUP($A15,main!$A$3:$H$102,8,FALSE),VLOOKUP(BU$1,main!$A$3:$H$102,4,FALSE),VLOOKUP(BU$1,main!$A$3:$H$102,4,FALSE)+VLOOKUP($A15,main!$A$3:$H$102,4,FALSE)+(VLOOKUP(VLOOKUP(BU$1,main!$A$3:$H$102,8,FALSE),main!$K$19:$O$22,MATCH(VLOOKUP($A15,main!$A$3:$H$102,7,FALSE),main!$K$18:$O$18,0),0))),0)</f>
        <v>0</v>
      </c>
      <c r="BV15">
        <f>IF((gamma!BV15),IF(VLOOKUP(BV$1,main!$A$3:$H$102,7,FALSE)=VLOOKUP($A15,main!$A$3:$H$102,8,FALSE),VLOOKUP(BV$1,main!$A$3:$H$102,4,FALSE),VLOOKUP(BV$1,main!$A$3:$H$102,4,FALSE)+VLOOKUP($A15,main!$A$3:$H$102,4,FALSE)+(VLOOKUP(VLOOKUP(BV$1,main!$A$3:$H$102,8,FALSE),main!$K$19:$O$22,MATCH(VLOOKUP($A15,main!$A$3:$H$102,7,FALSE),main!$K$18:$O$18,0),0))),0)</f>
        <v>0</v>
      </c>
      <c r="BW15">
        <f>IF((gamma!BW15),IF(VLOOKUP(BW$1,main!$A$3:$H$102,7,FALSE)=VLOOKUP($A15,main!$A$3:$H$102,8,FALSE),VLOOKUP(BW$1,main!$A$3:$H$102,4,FALSE),VLOOKUP(BW$1,main!$A$3:$H$102,4,FALSE)+VLOOKUP($A15,main!$A$3:$H$102,4,FALSE)+(VLOOKUP(VLOOKUP(BW$1,main!$A$3:$H$102,8,FALSE),main!$K$19:$O$22,MATCH(VLOOKUP($A15,main!$A$3:$H$102,7,FALSE),main!$K$18:$O$18,0),0))),0)</f>
        <v>0</v>
      </c>
      <c r="BX15">
        <f>IF((gamma!BX15),IF(VLOOKUP(BX$1,main!$A$3:$H$102,7,FALSE)=VLOOKUP($A15,main!$A$3:$H$102,8,FALSE),VLOOKUP(BX$1,main!$A$3:$H$102,4,FALSE),VLOOKUP(BX$1,main!$A$3:$H$102,4,FALSE)+VLOOKUP($A15,main!$A$3:$H$102,4,FALSE)+(VLOOKUP(VLOOKUP(BX$1,main!$A$3:$H$102,8,FALSE),main!$K$19:$O$22,MATCH(VLOOKUP($A15,main!$A$3:$H$102,7,FALSE),main!$K$18:$O$18,0),0))),0)</f>
        <v>135</v>
      </c>
      <c r="BY15">
        <f>IF((gamma!BY15),IF(VLOOKUP(BY$1,main!$A$3:$H$102,7,FALSE)=VLOOKUP($A15,main!$A$3:$H$102,8,FALSE),VLOOKUP(BY$1,main!$A$3:$H$102,4,FALSE),VLOOKUP(BY$1,main!$A$3:$H$102,4,FALSE)+VLOOKUP($A15,main!$A$3:$H$102,4,FALSE)+(VLOOKUP(VLOOKUP(BY$1,main!$A$3:$H$102,8,FALSE),main!$K$19:$O$22,MATCH(VLOOKUP($A15,main!$A$3:$H$102,7,FALSE),main!$K$18:$O$18,0),0))),0)</f>
        <v>120</v>
      </c>
      <c r="BZ15">
        <f>IF((gamma!BZ15),IF(VLOOKUP(BZ$1,main!$A$3:$H$102,7,FALSE)=VLOOKUP($A15,main!$A$3:$H$102,8,FALSE),VLOOKUP(BZ$1,main!$A$3:$H$102,4,FALSE),VLOOKUP(BZ$1,main!$A$3:$H$102,4,FALSE)+VLOOKUP($A15,main!$A$3:$H$102,4,FALSE)+(VLOOKUP(VLOOKUP(BZ$1,main!$A$3:$H$102,8,FALSE),main!$K$19:$O$22,MATCH(VLOOKUP($A15,main!$A$3:$H$102,7,FALSE),main!$K$18:$O$18,0),0))),0)</f>
        <v>0</v>
      </c>
      <c r="CA15">
        <f>IF((gamma!CA15),IF(VLOOKUP(CA$1,main!$A$3:$H$102,7,FALSE)=VLOOKUP($A15,main!$A$3:$H$102,8,FALSE),VLOOKUP(CA$1,main!$A$3:$H$102,4,FALSE),VLOOKUP(CA$1,main!$A$3:$H$102,4,FALSE)+VLOOKUP($A15,main!$A$3:$H$102,4,FALSE)+(VLOOKUP(VLOOKUP(CA$1,main!$A$3:$H$102,8,FALSE),main!$K$19:$O$22,MATCH(VLOOKUP($A15,main!$A$3:$H$102,7,FALSE),main!$K$18:$O$18,0),0))),0)</f>
        <v>0</v>
      </c>
      <c r="CB15">
        <f>IF((gamma!CB15),IF(VLOOKUP(CB$1,main!$A$3:$H$102,7,FALSE)=VLOOKUP($A15,main!$A$3:$H$102,8,FALSE),VLOOKUP(CB$1,main!$A$3:$H$102,4,FALSE),VLOOKUP(CB$1,main!$A$3:$H$102,4,FALSE)+VLOOKUP($A15,main!$A$3:$H$102,4,FALSE)+(VLOOKUP(VLOOKUP(CB$1,main!$A$3:$H$102,8,FALSE),main!$K$19:$O$22,MATCH(VLOOKUP($A15,main!$A$3:$H$102,7,FALSE),main!$K$18:$O$18,0),0))),0)</f>
        <v>65</v>
      </c>
      <c r="CC15">
        <f>IF((gamma!CC15),IF(VLOOKUP(CC$1,main!$A$3:$H$102,7,FALSE)=VLOOKUP($A15,main!$A$3:$H$102,8,FALSE),VLOOKUP(CC$1,main!$A$3:$H$102,4,FALSE),VLOOKUP(CC$1,main!$A$3:$H$102,4,FALSE)+VLOOKUP($A15,main!$A$3:$H$102,4,FALSE)+(VLOOKUP(VLOOKUP(CC$1,main!$A$3:$H$102,8,FALSE),main!$K$19:$O$22,MATCH(VLOOKUP($A15,main!$A$3:$H$102,7,FALSE),main!$K$18:$O$18,0),0))),0)</f>
        <v>55</v>
      </c>
      <c r="CD15">
        <f>IF((gamma!CD15),IF(VLOOKUP(CD$1,main!$A$3:$H$102,7,FALSE)=VLOOKUP($A15,main!$A$3:$H$102,8,FALSE),VLOOKUP(CD$1,main!$A$3:$H$102,4,FALSE),VLOOKUP(CD$1,main!$A$3:$H$102,4,FALSE)+VLOOKUP($A15,main!$A$3:$H$102,4,FALSE)+(VLOOKUP(VLOOKUP(CD$1,main!$A$3:$H$102,8,FALSE),main!$K$19:$O$22,MATCH(VLOOKUP($A15,main!$A$3:$H$102,7,FALSE),main!$K$18:$O$18,0),0))),0)</f>
        <v>114</v>
      </c>
      <c r="CE15">
        <f>IF((gamma!CE15),IF(VLOOKUP(CE$1,main!$A$3:$H$102,7,FALSE)=VLOOKUP($A15,main!$A$3:$H$102,8,FALSE),VLOOKUP(CE$1,main!$A$3:$H$102,4,FALSE),VLOOKUP(CE$1,main!$A$3:$H$102,4,FALSE)+VLOOKUP($A15,main!$A$3:$H$102,4,FALSE)+(VLOOKUP(VLOOKUP(CE$1,main!$A$3:$H$102,8,FALSE),main!$K$19:$O$22,MATCH(VLOOKUP($A15,main!$A$3:$H$102,7,FALSE),main!$K$18:$O$18,0),0))),0)</f>
        <v>0</v>
      </c>
      <c r="CF15">
        <f>IF((gamma!CF15),IF(VLOOKUP(CF$1,main!$A$3:$H$102,7,FALSE)=VLOOKUP($A15,main!$A$3:$H$102,8,FALSE),VLOOKUP(CF$1,main!$A$3:$H$102,4,FALSE),VLOOKUP(CF$1,main!$A$3:$H$102,4,FALSE)+VLOOKUP($A15,main!$A$3:$H$102,4,FALSE)+(VLOOKUP(VLOOKUP(CF$1,main!$A$3:$H$102,8,FALSE),main!$K$19:$O$22,MATCH(VLOOKUP($A15,main!$A$3:$H$102,7,FALSE),main!$K$18:$O$18,0),0))),0)</f>
        <v>0</v>
      </c>
      <c r="CG15">
        <f>IF((gamma!CG15),IF(VLOOKUP(CG$1,main!$A$3:$H$102,7,FALSE)=VLOOKUP($A15,main!$A$3:$H$102,8,FALSE),VLOOKUP(CG$1,main!$A$3:$H$102,4,FALSE),VLOOKUP(CG$1,main!$A$3:$H$102,4,FALSE)+VLOOKUP($A15,main!$A$3:$H$102,4,FALSE)+(VLOOKUP(VLOOKUP(CG$1,main!$A$3:$H$102,8,FALSE),main!$K$19:$O$22,MATCH(VLOOKUP($A15,main!$A$3:$H$102,7,FALSE),main!$K$18:$O$18,0),0))),0)</f>
        <v>280</v>
      </c>
      <c r="CH15">
        <f>IF((gamma!CH15),IF(VLOOKUP(CH$1,main!$A$3:$H$102,7,FALSE)=VLOOKUP($A15,main!$A$3:$H$102,8,FALSE),VLOOKUP(CH$1,main!$A$3:$H$102,4,FALSE),VLOOKUP(CH$1,main!$A$3:$H$102,4,FALSE)+VLOOKUP($A15,main!$A$3:$H$102,4,FALSE)+(VLOOKUP(VLOOKUP(CH$1,main!$A$3:$H$102,8,FALSE),main!$K$19:$O$22,MATCH(VLOOKUP($A15,main!$A$3:$H$102,7,FALSE),main!$K$18:$O$18,0),0))),0)</f>
        <v>280</v>
      </c>
      <c r="CI15">
        <f>IF((gamma!CI15),IF(VLOOKUP(CI$1,main!$A$3:$H$102,7,FALSE)=VLOOKUP($A15,main!$A$3:$H$102,8,FALSE),VLOOKUP(CI$1,main!$A$3:$H$102,4,FALSE),VLOOKUP(CI$1,main!$A$3:$H$102,4,FALSE)+VLOOKUP($A15,main!$A$3:$H$102,4,FALSE)+(VLOOKUP(VLOOKUP(CI$1,main!$A$3:$H$102,8,FALSE),main!$K$19:$O$22,MATCH(VLOOKUP($A15,main!$A$3:$H$102,7,FALSE),main!$K$18:$O$18,0),0))),0)</f>
        <v>280</v>
      </c>
      <c r="CJ15">
        <f>IF((gamma!CJ15),IF(VLOOKUP(CJ$1,main!$A$3:$H$102,7,FALSE)=VLOOKUP($A15,main!$A$3:$H$102,8,FALSE),VLOOKUP(CJ$1,main!$A$3:$H$102,4,FALSE),VLOOKUP(CJ$1,main!$A$3:$H$102,4,FALSE)+VLOOKUP($A15,main!$A$3:$H$102,4,FALSE)+(VLOOKUP(VLOOKUP(CJ$1,main!$A$3:$H$102,8,FALSE),main!$K$19:$O$22,MATCH(VLOOKUP($A15,main!$A$3:$H$102,7,FALSE),main!$K$18:$O$18,0),0))),0)</f>
        <v>208</v>
      </c>
      <c r="CK15">
        <f>IF((gamma!CK15),IF(VLOOKUP(CK$1,main!$A$3:$H$102,7,FALSE)=VLOOKUP($A15,main!$A$3:$H$102,8,FALSE),VLOOKUP(CK$1,main!$A$3:$H$102,4,FALSE),VLOOKUP(CK$1,main!$A$3:$H$102,4,FALSE)+VLOOKUP($A15,main!$A$3:$H$102,4,FALSE)+(VLOOKUP(VLOOKUP(CK$1,main!$A$3:$H$102,8,FALSE),main!$K$19:$O$22,MATCH(VLOOKUP($A15,main!$A$3:$H$102,7,FALSE),main!$K$18:$O$18,0),0))),0)</f>
        <v>0</v>
      </c>
      <c r="CL15">
        <f>IF((gamma!CL15),IF(VLOOKUP(CL$1,main!$A$3:$H$102,7,FALSE)=VLOOKUP($A15,main!$A$3:$H$102,8,FALSE),VLOOKUP(CL$1,main!$A$3:$H$102,4,FALSE),VLOOKUP(CL$1,main!$A$3:$H$102,4,FALSE)+VLOOKUP($A15,main!$A$3:$H$102,4,FALSE)+(VLOOKUP(VLOOKUP(CL$1,main!$A$3:$H$102,8,FALSE),main!$K$19:$O$22,MATCH(VLOOKUP($A15,main!$A$3:$H$102,7,FALSE),main!$K$18:$O$18,0),0))),0)</f>
        <v>220</v>
      </c>
      <c r="CM15">
        <f>IF((gamma!CM15),IF(VLOOKUP(CM$1,main!$A$3:$H$102,7,FALSE)=VLOOKUP($A15,main!$A$3:$H$102,8,FALSE),VLOOKUP(CM$1,main!$A$3:$H$102,4,FALSE),VLOOKUP(CM$1,main!$A$3:$H$102,4,FALSE)+VLOOKUP($A15,main!$A$3:$H$102,4,FALSE)+(VLOOKUP(VLOOKUP(CM$1,main!$A$3:$H$102,8,FALSE),main!$K$19:$O$22,MATCH(VLOOKUP($A15,main!$A$3:$H$102,7,FALSE),main!$K$18:$O$18,0),0))),0)</f>
        <v>240</v>
      </c>
      <c r="CN15">
        <f>IF((gamma!CN15),IF(VLOOKUP(CN$1,main!$A$3:$H$102,7,FALSE)=VLOOKUP($A15,main!$A$3:$H$102,8,FALSE),VLOOKUP(CN$1,main!$A$3:$H$102,4,FALSE),VLOOKUP(CN$1,main!$A$3:$H$102,4,FALSE)+VLOOKUP($A15,main!$A$3:$H$102,4,FALSE)+(VLOOKUP(VLOOKUP(CN$1,main!$A$3:$H$102,8,FALSE),main!$K$19:$O$22,MATCH(VLOOKUP($A15,main!$A$3:$H$102,7,FALSE),main!$K$18:$O$18,0),0))),0)</f>
        <v>236</v>
      </c>
      <c r="CO15">
        <f>IF((gamma!CO15),IF(VLOOKUP(CO$1,main!$A$3:$H$102,7,FALSE)=VLOOKUP($A15,main!$A$3:$H$102,8,FALSE),VLOOKUP(CO$1,main!$A$3:$H$102,4,FALSE),VLOOKUP(CO$1,main!$A$3:$H$102,4,FALSE)+VLOOKUP($A15,main!$A$3:$H$102,4,FALSE)+(VLOOKUP(VLOOKUP(CO$1,main!$A$3:$H$102,8,FALSE),main!$K$19:$O$22,MATCH(VLOOKUP($A15,main!$A$3:$H$102,7,FALSE),main!$K$18:$O$18,0),0))),0)</f>
        <v>0</v>
      </c>
      <c r="CP15">
        <f>IF((gamma!CP15),IF(VLOOKUP(CP$1,main!$A$3:$H$102,7,FALSE)=VLOOKUP($A15,main!$A$3:$H$102,8,FALSE),VLOOKUP(CP$1,main!$A$3:$H$102,4,FALSE),VLOOKUP(CP$1,main!$A$3:$H$102,4,FALSE)+VLOOKUP($A15,main!$A$3:$H$102,4,FALSE)+(VLOOKUP(VLOOKUP(CP$1,main!$A$3:$H$102,8,FALSE),main!$K$19:$O$22,MATCH(VLOOKUP($A15,main!$A$3:$H$102,7,FALSE),main!$K$18:$O$18,0),0))),0)</f>
        <v>0</v>
      </c>
      <c r="CQ15">
        <f>IF((gamma!CQ15),IF(VLOOKUP(CQ$1,main!$A$3:$H$102,7,FALSE)=VLOOKUP($A15,main!$A$3:$H$102,8,FALSE),VLOOKUP(CQ$1,main!$A$3:$H$102,4,FALSE),VLOOKUP(CQ$1,main!$A$3:$H$102,4,FALSE)+VLOOKUP($A15,main!$A$3:$H$102,4,FALSE)+(VLOOKUP(VLOOKUP(CQ$1,main!$A$3:$H$102,8,FALSE),main!$K$19:$O$22,MATCH(VLOOKUP($A15,main!$A$3:$H$102,7,FALSE),main!$K$18:$O$18,0),0))),0)</f>
        <v>0</v>
      </c>
      <c r="CR15">
        <f>IF((gamma!CR15),IF(VLOOKUP(CR$1,main!$A$3:$H$102,7,FALSE)=VLOOKUP($A15,main!$A$3:$H$102,8,FALSE),VLOOKUP(CR$1,main!$A$3:$H$102,4,FALSE),VLOOKUP(CR$1,main!$A$3:$H$102,4,FALSE)+VLOOKUP($A15,main!$A$3:$H$102,4,FALSE)+(VLOOKUP(VLOOKUP(CR$1,main!$A$3:$H$102,8,FALSE),main!$K$19:$O$22,MATCH(VLOOKUP($A15,main!$A$3:$H$102,7,FALSE),main!$K$18:$O$18,0),0))),0)</f>
        <v>305</v>
      </c>
      <c r="CS15">
        <f>IF((gamma!CS15),IF(VLOOKUP(CS$1,main!$A$3:$H$102,7,FALSE)=VLOOKUP($A15,main!$A$3:$H$102,8,FALSE),VLOOKUP(CS$1,main!$A$3:$H$102,4,FALSE),VLOOKUP(CS$1,main!$A$3:$H$102,4,FALSE)+VLOOKUP($A15,main!$A$3:$H$102,4,FALSE)+(VLOOKUP(VLOOKUP(CS$1,main!$A$3:$H$102,8,FALSE),main!$K$19:$O$22,MATCH(VLOOKUP($A15,main!$A$3:$H$102,7,FALSE),main!$K$18:$O$18,0),0))),0)</f>
        <v>305</v>
      </c>
      <c r="CT15">
        <f>IF((gamma!CT15),IF(VLOOKUP(CT$1,main!$A$3:$H$102,7,FALSE)=VLOOKUP($A15,main!$A$3:$H$102,8,FALSE),VLOOKUP(CT$1,main!$A$3:$H$102,4,FALSE),VLOOKUP(CT$1,main!$A$3:$H$102,4,FALSE)+VLOOKUP($A15,main!$A$3:$H$102,4,FALSE)+(VLOOKUP(VLOOKUP(CT$1,main!$A$3:$H$102,8,FALSE),main!$K$19:$O$22,MATCH(VLOOKUP($A15,main!$A$3:$H$102,7,FALSE),main!$K$18:$O$18,0),0))),0)</f>
        <v>0</v>
      </c>
      <c r="CU15">
        <f>IF((gamma!CU15),IF(VLOOKUP(CU$1,main!$A$3:$H$102,7,FALSE)=VLOOKUP($A15,main!$A$3:$H$102,8,FALSE),VLOOKUP(CU$1,main!$A$3:$H$102,4,FALSE),VLOOKUP(CU$1,main!$A$3:$H$102,4,FALSE)+VLOOKUP($A15,main!$A$3:$H$102,4,FALSE)+(VLOOKUP(VLOOKUP(CU$1,main!$A$3:$H$102,8,FALSE),main!$K$19:$O$22,MATCH(VLOOKUP($A15,main!$A$3:$H$102,7,FALSE),main!$K$18:$O$18,0),0))),0)</f>
        <v>0</v>
      </c>
      <c r="CV15">
        <f>IF((gamma!CV15),IF(VLOOKUP(CV$1,main!$A$3:$H$102,7,FALSE)=VLOOKUP($A15,main!$A$3:$H$102,8,FALSE),VLOOKUP(CV$1,main!$A$3:$H$102,4,FALSE),VLOOKUP(CV$1,main!$A$3:$H$102,4,FALSE)+VLOOKUP($A15,main!$A$3:$H$102,4,FALSE)+(VLOOKUP(VLOOKUP(CV$1,main!$A$3:$H$102,8,FALSE),main!$K$19:$O$22,MATCH(VLOOKUP($A15,main!$A$3:$H$102,7,FALSE),main!$K$18:$O$18,0),0))),0)</f>
        <v>0</v>
      </c>
      <c r="CW15">
        <f>IF((gamma!CW15),IF(VLOOKUP(CW$1,main!$A$3:$H$102,7,FALSE)=VLOOKUP($A15,main!$A$3:$H$102,8,FALSE),VLOOKUP(CW$1,main!$A$3:$H$102,4,FALSE),VLOOKUP(CW$1,main!$A$3:$H$102,4,FALSE)+VLOOKUP($A15,main!$A$3:$H$102,4,FALSE)+(VLOOKUP(VLOOKUP(CW$1,main!$A$3:$H$102,8,FALSE),main!$K$19:$O$22,MATCH(VLOOKUP($A15,main!$A$3:$H$102,7,FALSE),main!$K$18:$O$18,0),0))),0)</f>
        <v>265</v>
      </c>
      <c r="CX15">
        <f>IF((gamma!CX15),IF(VLOOKUP(CX$1,main!$A$3:$H$102,7,FALSE)=VLOOKUP($A15,main!$A$3:$H$102,8,FALSE),VLOOKUP(CX$1,main!$A$3:$H$102,4,FALSE),VLOOKUP(CX$1,main!$A$3:$H$102,4,FALSE)+VLOOKUP($A15,main!$A$3:$H$102,4,FALSE)+(VLOOKUP(VLOOKUP(CX$1,main!$A$3:$H$102,8,FALSE),main!$K$19:$O$22,MATCH(VLOOKUP($A15,main!$A$3:$H$102,7,FALSE),main!$K$18:$O$18,0),0))),0)</f>
        <v>255</v>
      </c>
      <c r="CY15">
        <v>0</v>
      </c>
      <c r="CZ15">
        <v>0</v>
      </c>
      <c r="DA15">
        <v>0</v>
      </c>
    </row>
    <row r="16" spans="1:105" x14ac:dyDescent="0.25">
      <c r="A16" s="1">
        <v>14</v>
      </c>
      <c r="B16">
        <v>0</v>
      </c>
      <c r="C16">
        <f>IF((gamma!C16),IF(VLOOKUP(C$1,main!$A$3:$H$102,7,FALSE)=VLOOKUP($A16,main!$A$3:$H$102,8,FALSE),VLOOKUP(C$1,main!$A$3:$H$102,4,FALSE),VLOOKUP(C$1,main!$A$3:$H$102,4,FALSE)+VLOOKUP($A16,main!$A$3:$H$102,4,FALSE)+(VLOOKUP(VLOOKUP(C$1,main!$A$3:$H$102,8,FALSE),main!$K$19:$O$22,MATCH(VLOOKUP($A16,main!$A$3:$H$102,7,FALSE),main!$K$18:$O$18,0),0))),0)</f>
        <v>0</v>
      </c>
      <c r="D16">
        <f>IF((gamma!D16),IF(VLOOKUP(D$1,main!$A$3:$H$102,7,FALSE)=VLOOKUP($A16,main!$A$3:$H$102,8,FALSE),VLOOKUP(D$1,main!$A$3:$H$102,4,FALSE),VLOOKUP(D$1,main!$A$3:$H$102,4,FALSE)+VLOOKUP($A16,main!$A$3:$H$102,4,FALSE)+(VLOOKUP(VLOOKUP(D$1,main!$A$3:$H$102,8,FALSE),main!$K$19:$O$22,MATCH(VLOOKUP($A16,main!$A$3:$H$102,7,FALSE),main!$K$18:$O$18,0),0))),0)</f>
        <v>0</v>
      </c>
      <c r="E16">
        <f>IF((gamma!E16),IF(VLOOKUP(E$1,main!$A$3:$H$102,7,FALSE)=VLOOKUP($A16,main!$A$3:$H$102,8,FALSE),VLOOKUP(E$1,main!$A$3:$H$102,4,FALSE),VLOOKUP(E$1,main!$A$3:$H$102,4,FALSE)+VLOOKUP($A16,main!$A$3:$H$102,4,FALSE)+(VLOOKUP(VLOOKUP(E$1,main!$A$3:$H$102,8,FALSE),main!$K$19:$O$22,MATCH(VLOOKUP($A16,main!$A$3:$H$102,7,FALSE),main!$K$18:$O$18,0),0))),0)</f>
        <v>0</v>
      </c>
      <c r="F16">
        <f>IF((gamma!F16),IF(VLOOKUP(F$1,main!$A$3:$H$102,7,FALSE)=VLOOKUP($A16,main!$A$3:$H$102,8,FALSE),VLOOKUP(F$1,main!$A$3:$H$102,4,FALSE),VLOOKUP(F$1,main!$A$3:$H$102,4,FALSE)+VLOOKUP($A16,main!$A$3:$H$102,4,FALSE)+(VLOOKUP(VLOOKUP(F$1,main!$A$3:$H$102,8,FALSE),main!$K$19:$O$22,MATCH(VLOOKUP($A16,main!$A$3:$H$102,7,FALSE),main!$K$18:$O$18,0),0))),0)</f>
        <v>0</v>
      </c>
      <c r="G16">
        <f>IF((gamma!G16),IF(VLOOKUP(G$1,main!$A$3:$H$102,7,FALSE)=VLOOKUP($A16,main!$A$3:$H$102,8,FALSE),VLOOKUP(G$1,main!$A$3:$H$102,4,FALSE),VLOOKUP(G$1,main!$A$3:$H$102,4,FALSE)+VLOOKUP($A16,main!$A$3:$H$102,4,FALSE)+(VLOOKUP(VLOOKUP(G$1,main!$A$3:$H$102,8,FALSE),main!$K$19:$O$22,MATCH(VLOOKUP($A16,main!$A$3:$H$102,7,FALSE),main!$K$18:$O$18,0),0))),0)</f>
        <v>0</v>
      </c>
      <c r="H16">
        <f>IF((gamma!H16),IF(VLOOKUP(H$1,main!$A$3:$H$102,7,FALSE)=VLOOKUP($A16,main!$A$3:$H$102,8,FALSE),VLOOKUP(H$1,main!$A$3:$H$102,4,FALSE),VLOOKUP(H$1,main!$A$3:$H$102,4,FALSE)+VLOOKUP($A16,main!$A$3:$H$102,4,FALSE)+(VLOOKUP(VLOOKUP(H$1,main!$A$3:$H$102,8,FALSE),main!$K$19:$O$22,MATCH(VLOOKUP($A16,main!$A$3:$H$102,7,FALSE),main!$K$18:$O$18,0),0))),0)</f>
        <v>300</v>
      </c>
      <c r="I16">
        <f>IF((gamma!I16),IF(VLOOKUP(I$1,main!$A$3:$H$102,7,FALSE)=VLOOKUP($A16,main!$A$3:$H$102,8,FALSE),VLOOKUP(I$1,main!$A$3:$H$102,4,FALSE),VLOOKUP(I$1,main!$A$3:$H$102,4,FALSE)+VLOOKUP($A16,main!$A$3:$H$102,4,FALSE)+(VLOOKUP(VLOOKUP(I$1,main!$A$3:$H$102,8,FALSE),main!$K$19:$O$22,MATCH(VLOOKUP($A16,main!$A$3:$H$102,7,FALSE),main!$K$18:$O$18,0),0))),0)</f>
        <v>300</v>
      </c>
      <c r="J16">
        <f>IF((gamma!J16),IF(VLOOKUP(J$1,main!$A$3:$H$102,7,FALSE)=VLOOKUP($A16,main!$A$3:$H$102,8,FALSE),VLOOKUP(J$1,main!$A$3:$H$102,4,FALSE),VLOOKUP(J$1,main!$A$3:$H$102,4,FALSE)+VLOOKUP($A16,main!$A$3:$H$102,4,FALSE)+(VLOOKUP(VLOOKUP(J$1,main!$A$3:$H$102,8,FALSE),main!$K$19:$O$22,MATCH(VLOOKUP($A16,main!$A$3:$H$102,7,FALSE),main!$K$18:$O$18,0),0))),0)</f>
        <v>300</v>
      </c>
      <c r="K16">
        <f>IF((gamma!K16),IF(VLOOKUP(K$1,main!$A$3:$H$102,7,FALSE)=VLOOKUP($A16,main!$A$3:$H$102,8,FALSE),VLOOKUP(K$1,main!$A$3:$H$102,4,FALSE),VLOOKUP(K$1,main!$A$3:$H$102,4,FALSE)+VLOOKUP($A16,main!$A$3:$H$102,4,FALSE)+(VLOOKUP(VLOOKUP(K$1,main!$A$3:$H$102,8,FALSE),main!$K$19:$O$22,MATCH(VLOOKUP($A16,main!$A$3:$H$102,7,FALSE),main!$K$18:$O$18,0),0))),0)</f>
        <v>300</v>
      </c>
      <c r="L16">
        <f>IF((gamma!L16),IF(VLOOKUP(L$1,main!$A$3:$H$102,7,FALSE)=VLOOKUP($A16,main!$A$3:$H$102,8,FALSE),VLOOKUP(L$1,main!$A$3:$H$102,4,FALSE),VLOOKUP(L$1,main!$A$3:$H$102,4,FALSE)+VLOOKUP($A16,main!$A$3:$H$102,4,FALSE)+(VLOOKUP(VLOOKUP(L$1,main!$A$3:$H$102,8,FALSE),main!$K$19:$O$22,MATCH(VLOOKUP($A16,main!$A$3:$H$102,7,FALSE),main!$K$18:$O$18,0),0))),0)</f>
        <v>300</v>
      </c>
      <c r="M16">
        <f>IF((gamma!M16),IF(VLOOKUP(M$1,main!$A$3:$H$102,7,FALSE)=VLOOKUP($A16,main!$A$3:$H$102,8,FALSE),VLOOKUP(M$1,main!$A$3:$H$102,4,FALSE),VLOOKUP(M$1,main!$A$3:$H$102,4,FALSE)+VLOOKUP($A16,main!$A$3:$H$102,4,FALSE)+(VLOOKUP(VLOOKUP(M$1,main!$A$3:$H$102,8,FALSE),main!$K$19:$O$22,MATCH(VLOOKUP($A16,main!$A$3:$H$102,7,FALSE),main!$K$18:$O$18,0),0))),0)</f>
        <v>0</v>
      </c>
      <c r="N16">
        <f>IF((gamma!N16),IF(VLOOKUP(N$1,main!$A$3:$H$102,7,FALSE)=VLOOKUP($A16,main!$A$3:$H$102,8,FALSE),VLOOKUP(N$1,main!$A$3:$H$102,4,FALSE),VLOOKUP(N$1,main!$A$3:$H$102,4,FALSE)+VLOOKUP($A16,main!$A$3:$H$102,4,FALSE)+(VLOOKUP(VLOOKUP(N$1,main!$A$3:$H$102,8,FALSE),main!$K$19:$O$22,MATCH(VLOOKUP($A16,main!$A$3:$H$102,7,FALSE),main!$K$18:$O$18,0),0))),0)</f>
        <v>0</v>
      </c>
      <c r="O16">
        <f>IF((gamma!O16),IF(VLOOKUP(O$1,main!$A$3:$H$102,7,FALSE)=VLOOKUP($A16,main!$A$3:$H$102,8,FALSE),VLOOKUP(O$1,main!$A$3:$H$102,4,FALSE),VLOOKUP(O$1,main!$A$3:$H$102,4,FALSE)+VLOOKUP($A16,main!$A$3:$H$102,4,FALSE)+(VLOOKUP(VLOOKUP(O$1,main!$A$3:$H$102,8,FALSE),main!$K$19:$O$22,MATCH(VLOOKUP($A16,main!$A$3:$H$102,7,FALSE),main!$K$18:$O$18,0),0))),0)</f>
        <v>0</v>
      </c>
      <c r="P16">
        <f>IF((gamma!P16),IF(VLOOKUP(P$1,main!$A$3:$H$102,7,FALSE)=VLOOKUP($A16,main!$A$3:$H$102,8,FALSE),VLOOKUP(P$1,main!$A$3:$H$102,4,FALSE),VLOOKUP(P$1,main!$A$3:$H$102,4,FALSE)+VLOOKUP($A16,main!$A$3:$H$102,4,FALSE)+(VLOOKUP(VLOOKUP(P$1,main!$A$3:$H$102,8,FALSE),main!$K$19:$O$22,MATCH(VLOOKUP($A16,main!$A$3:$H$102,7,FALSE),main!$K$18:$O$18,0),0))),0)</f>
        <v>0</v>
      </c>
      <c r="Q16">
        <f>IF((gamma!Q16),IF(VLOOKUP(Q$1,main!$A$3:$H$102,7,FALSE)=VLOOKUP($A16,main!$A$3:$H$102,8,FALSE),VLOOKUP(Q$1,main!$A$3:$H$102,4,FALSE),VLOOKUP(Q$1,main!$A$3:$H$102,4,FALSE)+VLOOKUP($A16,main!$A$3:$H$102,4,FALSE)+(VLOOKUP(VLOOKUP(Q$1,main!$A$3:$H$102,8,FALSE),main!$K$19:$O$22,MATCH(VLOOKUP($A16,main!$A$3:$H$102,7,FALSE),main!$K$18:$O$18,0),0))),0)</f>
        <v>0</v>
      </c>
      <c r="R16">
        <f>IF((gamma!R16),IF(VLOOKUP(R$1,main!$A$3:$H$102,7,FALSE)=VLOOKUP($A16,main!$A$3:$H$102,8,FALSE),VLOOKUP(R$1,main!$A$3:$H$102,4,FALSE),VLOOKUP(R$1,main!$A$3:$H$102,4,FALSE)+VLOOKUP($A16,main!$A$3:$H$102,4,FALSE)+(VLOOKUP(VLOOKUP(R$1,main!$A$3:$H$102,8,FALSE),main!$K$19:$O$22,MATCH(VLOOKUP($A16,main!$A$3:$H$102,7,FALSE),main!$K$18:$O$18,0),0))),0)</f>
        <v>0</v>
      </c>
      <c r="S16">
        <f>IF((gamma!S16),IF(VLOOKUP(S$1,main!$A$3:$H$102,7,FALSE)=VLOOKUP($A16,main!$A$3:$H$102,8,FALSE),VLOOKUP(S$1,main!$A$3:$H$102,4,FALSE),VLOOKUP(S$1,main!$A$3:$H$102,4,FALSE)+VLOOKUP($A16,main!$A$3:$H$102,4,FALSE)+(VLOOKUP(VLOOKUP(S$1,main!$A$3:$H$102,8,FALSE),main!$K$19:$O$22,MATCH(VLOOKUP($A16,main!$A$3:$H$102,7,FALSE),main!$K$18:$O$18,0),0))),0)</f>
        <v>310</v>
      </c>
      <c r="T16">
        <f>IF((gamma!T16),IF(VLOOKUP(T$1,main!$A$3:$H$102,7,FALSE)=VLOOKUP($A16,main!$A$3:$H$102,8,FALSE),VLOOKUP(T$1,main!$A$3:$H$102,4,FALSE),VLOOKUP(T$1,main!$A$3:$H$102,4,FALSE)+VLOOKUP($A16,main!$A$3:$H$102,4,FALSE)+(VLOOKUP(VLOOKUP(T$1,main!$A$3:$H$102,8,FALSE),main!$K$19:$O$22,MATCH(VLOOKUP($A16,main!$A$3:$H$102,7,FALSE),main!$K$18:$O$18,0),0))),0)</f>
        <v>310</v>
      </c>
      <c r="U16">
        <f>IF((gamma!U16),IF(VLOOKUP(U$1,main!$A$3:$H$102,7,FALSE)=VLOOKUP($A16,main!$A$3:$H$102,8,FALSE),VLOOKUP(U$1,main!$A$3:$H$102,4,FALSE),VLOOKUP(U$1,main!$A$3:$H$102,4,FALSE)+VLOOKUP($A16,main!$A$3:$H$102,4,FALSE)+(VLOOKUP(VLOOKUP(U$1,main!$A$3:$H$102,8,FALSE),main!$K$19:$O$22,MATCH(VLOOKUP($A16,main!$A$3:$H$102,7,FALSE),main!$K$18:$O$18,0),0))),0)</f>
        <v>310</v>
      </c>
      <c r="V16">
        <f>IF((gamma!V16),IF(VLOOKUP(V$1,main!$A$3:$H$102,7,FALSE)=VLOOKUP($A16,main!$A$3:$H$102,8,FALSE),VLOOKUP(V$1,main!$A$3:$H$102,4,FALSE),VLOOKUP(V$1,main!$A$3:$H$102,4,FALSE)+VLOOKUP($A16,main!$A$3:$H$102,4,FALSE)+(VLOOKUP(VLOOKUP(V$1,main!$A$3:$H$102,8,FALSE),main!$K$19:$O$22,MATCH(VLOOKUP($A16,main!$A$3:$H$102,7,FALSE),main!$K$18:$O$18,0),0))),0)</f>
        <v>310</v>
      </c>
      <c r="W16">
        <f>IF((gamma!W16),IF(VLOOKUP(W$1,main!$A$3:$H$102,7,FALSE)=VLOOKUP($A16,main!$A$3:$H$102,8,FALSE),VLOOKUP(W$1,main!$A$3:$H$102,4,FALSE),VLOOKUP(W$1,main!$A$3:$H$102,4,FALSE)+VLOOKUP($A16,main!$A$3:$H$102,4,FALSE)+(VLOOKUP(VLOOKUP(W$1,main!$A$3:$H$102,8,FALSE),main!$K$19:$O$22,MATCH(VLOOKUP($A16,main!$A$3:$H$102,7,FALSE),main!$K$18:$O$18,0),0))),0)</f>
        <v>0</v>
      </c>
      <c r="X16">
        <f>IF((gamma!X16),IF(VLOOKUP(X$1,main!$A$3:$H$102,7,FALSE)=VLOOKUP($A16,main!$A$3:$H$102,8,FALSE),VLOOKUP(X$1,main!$A$3:$H$102,4,FALSE),VLOOKUP(X$1,main!$A$3:$H$102,4,FALSE)+VLOOKUP($A16,main!$A$3:$H$102,4,FALSE)+(VLOOKUP(VLOOKUP(X$1,main!$A$3:$H$102,8,FALSE),main!$K$19:$O$22,MATCH(VLOOKUP($A16,main!$A$3:$H$102,7,FALSE),main!$K$18:$O$18,0),0))),0)</f>
        <v>0</v>
      </c>
      <c r="Y16">
        <f>IF((gamma!Y16),IF(VLOOKUP(Y$1,main!$A$3:$H$102,7,FALSE)=VLOOKUP($A16,main!$A$3:$H$102,8,FALSE),VLOOKUP(Y$1,main!$A$3:$H$102,4,FALSE),VLOOKUP(Y$1,main!$A$3:$H$102,4,FALSE)+VLOOKUP($A16,main!$A$3:$H$102,4,FALSE)+(VLOOKUP(VLOOKUP(Y$1,main!$A$3:$H$102,8,FALSE),main!$K$19:$O$22,MATCH(VLOOKUP($A16,main!$A$3:$H$102,7,FALSE),main!$K$18:$O$18,0),0))),0)</f>
        <v>0</v>
      </c>
      <c r="Z16">
        <f>IF((gamma!Z16),IF(VLOOKUP(Z$1,main!$A$3:$H$102,7,FALSE)=VLOOKUP($A16,main!$A$3:$H$102,8,FALSE),VLOOKUP(Z$1,main!$A$3:$H$102,4,FALSE),VLOOKUP(Z$1,main!$A$3:$H$102,4,FALSE)+VLOOKUP($A16,main!$A$3:$H$102,4,FALSE)+(VLOOKUP(VLOOKUP(Z$1,main!$A$3:$H$102,8,FALSE),main!$K$19:$O$22,MATCH(VLOOKUP($A16,main!$A$3:$H$102,7,FALSE),main!$K$18:$O$18,0),0))),0)</f>
        <v>315</v>
      </c>
      <c r="AA16">
        <f>IF((gamma!AA16),IF(VLOOKUP(AA$1,main!$A$3:$H$102,7,FALSE)=VLOOKUP($A16,main!$A$3:$H$102,8,FALSE),VLOOKUP(AA$1,main!$A$3:$H$102,4,FALSE),VLOOKUP(AA$1,main!$A$3:$H$102,4,FALSE)+VLOOKUP($A16,main!$A$3:$H$102,4,FALSE)+(VLOOKUP(VLOOKUP(AA$1,main!$A$3:$H$102,8,FALSE),main!$K$19:$O$22,MATCH(VLOOKUP($A16,main!$A$3:$H$102,7,FALSE),main!$K$18:$O$18,0),0))),0)</f>
        <v>315</v>
      </c>
      <c r="AB16">
        <f>IF((gamma!AB16),IF(VLOOKUP(AB$1,main!$A$3:$H$102,7,FALSE)=VLOOKUP($A16,main!$A$3:$H$102,8,FALSE),VLOOKUP(AB$1,main!$A$3:$H$102,4,FALSE),VLOOKUP(AB$1,main!$A$3:$H$102,4,FALSE)+VLOOKUP($A16,main!$A$3:$H$102,4,FALSE)+(VLOOKUP(VLOOKUP(AB$1,main!$A$3:$H$102,8,FALSE),main!$K$19:$O$22,MATCH(VLOOKUP($A16,main!$A$3:$H$102,7,FALSE),main!$K$18:$O$18,0),0))),0)</f>
        <v>0</v>
      </c>
      <c r="AC16">
        <f>IF((gamma!AC16),IF(VLOOKUP(AC$1,main!$A$3:$H$102,7,FALSE)=VLOOKUP($A16,main!$A$3:$H$102,8,FALSE),VLOOKUP(AC$1,main!$A$3:$H$102,4,FALSE),VLOOKUP(AC$1,main!$A$3:$H$102,4,FALSE)+VLOOKUP($A16,main!$A$3:$H$102,4,FALSE)+(VLOOKUP(VLOOKUP(AC$1,main!$A$3:$H$102,8,FALSE),main!$K$19:$O$22,MATCH(VLOOKUP($A16,main!$A$3:$H$102,7,FALSE),main!$K$18:$O$18,0),0))),0)</f>
        <v>0</v>
      </c>
      <c r="AD16">
        <f>IF((gamma!AD16),IF(VLOOKUP(AD$1,main!$A$3:$H$102,7,FALSE)=VLOOKUP($A16,main!$A$3:$H$102,8,FALSE),VLOOKUP(AD$1,main!$A$3:$H$102,4,FALSE),VLOOKUP(AD$1,main!$A$3:$H$102,4,FALSE)+VLOOKUP($A16,main!$A$3:$H$102,4,FALSE)+(VLOOKUP(VLOOKUP(AD$1,main!$A$3:$H$102,8,FALSE),main!$K$19:$O$22,MATCH(VLOOKUP($A16,main!$A$3:$H$102,7,FALSE),main!$K$18:$O$18,0),0))),0)</f>
        <v>0</v>
      </c>
      <c r="AE16">
        <f>IF((gamma!AE16),IF(VLOOKUP(AE$1,main!$A$3:$H$102,7,FALSE)=VLOOKUP($A16,main!$A$3:$H$102,8,FALSE),VLOOKUP(AE$1,main!$A$3:$H$102,4,FALSE),VLOOKUP(AE$1,main!$A$3:$H$102,4,FALSE)+VLOOKUP($A16,main!$A$3:$H$102,4,FALSE)+(VLOOKUP(VLOOKUP(AE$1,main!$A$3:$H$102,8,FALSE),main!$K$19:$O$22,MATCH(VLOOKUP($A16,main!$A$3:$H$102,7,FALSE),main!$K$18:$O$18,0),0))),0)</f>
        <v>315</v>
      </c>
      <c r="AF16">
        <f>IF((gamma!AF16),IF(VLOOKUP(AF$1,main!$A$3:$H$102,7,FALSE)=VLOOKUP($A16,main!$A$3:$H$102,8,FALSE),VLOOKUP(AF$1,main!$A$3:$H$102,4,FALSE),VLOOKUP(AF$1,main!$A$3:$H$102,4,FALSE)+VLOOKUP($A16,main!$A$3:$H$102,4,FALSE)+(VLOOKUP(VLOOKUP(AF$1,main!$A$3:$H$102,8,FALSE),main!$K$19:$O$22,MATCH(VLOOKUP($A16,main!$A$3:$H$102,7,FALSE),main!$K$18:$O$18,0),0))),0)</f>
        <v>275</v>
      </c>
      <c r="AG16">
        <f>IF((gamma!AG16),IF(VLOOKUP(AG$1,main!$A$3:$H$102,7,FALSE)=VLOOKUP($A16,main!$A$3:$H$102,8,FALSE),VLOOKUP(AG$1,main!$A$3:$H$102,4,FALSE),VLOOKUP(AG$1,main!$A$3:$H$102,4,FALSE)+VLOOKUP($A16,main!$A$3:$H$102,4,FALSE)+(VLOOKUP(VLOOKUP(AG$1,main!$A$3:$H$102,8,FALSE),main!$K$19:$O$22,MATCH(VLOOKUP($A16,main!$A$3:$H$102,7,FALSE),main!$K$18:$O$18,0),0))),0)</f>
        <v>0</v>
      </c>
      <c r="AH16">
        <f>IF((gamma!AH16),IF(VLOOKUP(AH$1,main!$A$3:$H$102,7,FALSE)=VLOOKUP($A16,main!$A$3:$H$102,8,FALSE),VLOOKUP(AH$1,main!$A$3:$H$102,4,FALSE),VLOOKUP(AH$1,main!$A$3:$H$102,4,FALSE)+VLOOKUP($A16,main!$A$3:$H$102,4,FALSE)+(VLOOKUP(VLOOKUP(AH$1,main!$A$3:$H$102,8,FALSE),main!$K$19:$O$22,MATCH(VLOOKUP($A16,main!$A$3:$H$102,7,FALSE),main!$K$18:$O$18,0),0))),0)</f>
        <v>0</v>
      </c>
      <c r="AI16">
        <f>IF((gamma!AI16),IF(VLOOKUP(AI$1,main!$A$3:$H$102,7,FALSE)=VLOOKUP($A16,main!$A$3:$H$102,8,FALSE),VLOOKUP(AI$1,main!$A$3:$H$102,4,FALSE),VLOOKUP(AI$1,main!$A$3:$H$102,4,FALSE)+VLOOKUP($A16,main!$A$3:$H$102,4,FALSE)+(VLOOKUP(VLOOKUP(AI$1,main!$A$3:$H$102,8,FALSE),main!$K$19:$O$22,MATCH(VLOOKUP($A16,main!$A$3:$H$102,7,FALSE),main!$K$18:$O$18,0),0))),0)</f>
        <v>0</v>
      </c>
      <c r="AJ16">
        <f>IF((gamma!AJ16),IF(VLOOKUP(AJ$1,main!$A$3:$H$102,7,FALSE)=VLOOKUP($A16,main!$A$3:$H$102,8,FALSE),VLOOKUP(AJ$1,main!$A$3:$H$102,4,FALSE),VLOOKUP(AJ$1,main!$A$3:$H$102,4,FALSE)+VLOOKUP($A16,main!$A$3:$H$102,4,FALSE)+(VLOOKUP(VLOOKUP(AJ$1,main!$A$3:$H$102,8,FALSE),main!$K$19:$O$22,MATCH(VLOOKUP($A16,main!$A$3:$H$102,7,FALSE),main!$K$18:$O$18,0),0))),0)</f>
        <v>0</v>
      </c>
      <c r="AK16">
        <f>IF((gamma!AK16),IF(VLOOKUP(AK$1,main!$A$3:$H$102,7,FALSE)=VLOOKUP($A16,main!$A$3:$H$102,8,FALSE),VLOOKUP(AK$1,main!$A$3:$H$102,4,FALSE),VLOOKUP(AK$1,main!$A$3:$H$102,4,FALSE)+VLOOKUP($A16,main!$A$3:$H$102,4,FALSE)+(VLOOKUP(VLOOKUP(AK$1,main!$A$3:$H$102,8,FALSE),main!$K$19:$O$22,MATCH(VLOOKUP($A16,main!$A$3:$H$102,7,FALSE),main!$K$18:$O$18,0),0))),0)</f>
        <v>275</v>
      </c>
      <c r="AL16">
        <f>IF((gamma!AL16),IF(VLOOKUP(AL$1,main!$A$3:$H$102,7,FALSE)=VLOOKUP($A16,main!$A$3:$H$102,8,FALSE),VLOOKUP(AL$1,main!$A$3:$H$102,4,FALSE),VLOOKUP(AL$1,main!$A$3:$H$102,4,FALSE)+VLOOKUP($A16,main!$A$3:$H$102,4,FALSE)+(VLOOKUP(VLOOKUP(AL$1,main!$A$3:$H$102,8,FALSE),main!$K$19:$O$22,MATCH(VLOOKUP($A16,main!$A$3:$H$102,7,FALSE),main!$K$18:$O$18,0),0))),0)</f>
        <v>275</v>
      </c>
      <c r="AM16">
        <f>IF((gamma!AM16),IF(VLOOKUP(AM$1,main!$A$3:$H$102,7,FALSE)=VLOOKUP($A16,main!$A$3:$H$102,8,FALSE),VLOOKUP(AM$1,main!$A$3:$H$102,4,FALSE),VLOOKUP(AM$1,main!$A$3:$H$102,4,FALSE)+VLOOKUP($A16,main!$A$3:$H$102,4,FALSE)+(VLOOKUP(VLOOKUP(AM$1,main!$A$3:$H$102,8,FALSE),main!$K$19:$O$22,MATCH(VLOOKUP($A16,main!$A$3:$H$102,7,FALSE),main!$K$18:$O$18,0),0))),0)</f>
        <v>275</v>
      </c>
      <c r="AN16">
        <f>IF((gamma!AN16),IF(VLOOKUP(AN$1,main!$A$3:$H$102,7,FALSE)=VLOOKUP($A16,main!$A$3:$H$102,8,FALSE),VLOOKUP(AN$1,main!$A$3:$H$102,4,FALSE),VLOOKUP(AN$1,main!$A$3:$H$102,4,FALSE)+VLOOKUP($A16,main!$A$3:$H$102,4,FALSE)+(VLOOKUP(VLOOKUP(AN$1,main!$A$3:$H$102,8,FALSE),main!$K$19:$O$22,MATCH(VLOOKUP($A16,main!$A$3:$H$102,7,FALSE),main!$K$18:$O$18,0),0))),0)</f>
        <v>275</v>
      </c>
      <c r="AO16">
        <f>IF((gamma!AO16),IF(VLOOKUP(AO$1,main!$A$3:$H$102,7,FALSE)=VLOOKUP($A16,main!$A$3:$H$102,8,FALSE),VLOOKUP(AO$1,main!$A$3:$H$102,4,FALSE),VLOOKUP(AO$1,main!$A$3:$H$102,4,FALSE)+VLOOKUP($A16,main!$A$3:$H$102,4,FALSE)+(VLOOKUP(VLOOKUP(AO$1,main!$A$3:$H$102,8,FALSE),main!$K$19:$O$22,MATCH(VLOOKUP($A16,main!$A$3:$H$102,7,FALSE),main!$K$18:$O$18,0),0))),0)</f>
        <v>0</v>
      </c>
      <c r="AP16">
        <f>IF((gamma!AP16),IF(VLOOKUP(AP$1,main!$A$3:$H$102,7,FALSE)=VLOOKUP($A16,main!$A$3:$H$102,8,FALSE),VLOOKUP(AP$1,main!$A$3:$H$102,4,FALSE),VLOOKUP(AP$1,main!$A$3:$H$102,4,FALSE)+VLOOKUP($A16,main!$A$3:$H$102,4,FALSE)+(VLOOKUP(VLOOKUP(AP$1,main!$A$3:$H$102,8,FALSE),main!$K$19:$O$22,MATCH(VLOOKUP($A16,main!$A$3:$H$102,7,FALSE),main!$K$18:$O$18,0),0))),0)</f>
        <v>215</v>
      </c>
      <c r="AQ16">
        <f>IF((gamma!AQ16),IF(VLOOKUP(AQ$1,main!$A$3:$H$102,7,FALSE)=VLOOKUP($A16,main!$A$3:$H$102,8,FALSE),VLOOKUP(AQ$1,main!$A$3:$H$102,4,FALSE),VLOOKUP(AQ$1,main!$A$3:$H$102,4,FALSE)+VLOOKUP($A16,main!$A$3:$H$102,4,FALSE)+(VLOOKUP(VLOOKUP(AQ$1,main!$A$3:$H$102,8,FALSE),main!$K$19:$O$22,MATCH(VLOOKUP($A16,main!$A$3:$H$102,7,FALSE),main!$K$18:$O$18,0),0))),0)</f>
        <v>0</v>
      </c>
      <c r="AR16">
        <f>IF((gamma!AR16),IF(VLOOKUP(AR$1,main!$A$3:$H$102,7,FALSE)=VLOOKUP($A16,main!$A$3:$H$102,8,FALSE),VLOOKUP(AR$1,main!$A$3:$H$102,4,FALSE),VLOOKUP(AR$1,main!$A$3:$H$102,4,FALSE)+VLOOKUP($A16,main!$A$3:$H$102,4,FALSE)+(VLOOKUP(VLOOKUP(AR$1,main!$A$3:$H$102,8,FALSE),main!$K$19:$O$22,MATCH(VLOOKUP($A16,main!$A$3:$H$102,7,FALSE),main!$K$18:$O$18,0),0))),0)</f>
        <v>0</v>
      </c>
      <c r="AS16">
        <f>IF((gamma!AS16),IF(VLOOKUP(AS$1,main!$A$3:$H$102,7,FALSE)=VLOOKUP($A16,main!$A$3:$H$102,8,FALSE),VLOOKUP(AS$1,main!$A$3:$H$102,4,FALSE),VLOOKUP(AS$1,main!$A$3:$H$102,4,FALSE)+VLOOKUP($A16,main!$A$3:$H$102,4,FALSE)+(VLOOKUP(VLOOKUP(AS$1,main!$A$3:$H$102,8,FALSE),main!$K$19:$O$22,MATCH(VLOOKUP($A16,main!$A$3:$H$102,7,FALSE),main!$K$18:$O$18,0),0))),0)</f>
        <v>0</v>
      </c>
      <c r="AT16">
        <f>IF((gamma!AT16),IF(VLOOKUP(AT$1,main!$A$3:$H$102,7,FALSE)=VLOOKUP($A16,main!$A$3:$H$102,8,FALSE),VLOOKUP(AT$1,main!$A$3:$H$102,4,FALSE),VLOOKUP(AT$1,main!$A$3:$H$102,4,FALSE)+VLOOKUP($A16,main!$A$3:$H$102,4,FALSE)+(VLOOKUP(VLOOKUP(AT$1,main!$A$3:$H$102,8,FALSE),main!$K$19:$O$22,MATCH(VLOOKUP($A16,main!$A$3:$H$102,7,FALSE),main!$K$18:$O$18,0),0))),0)</f>
        <v>300</v>
      </c>
      <c r="AU16">
        <f>IF((gamma!AU16),IF(VLOOKUP(AU$1,main!$A$3:$H$102,7,FALSE)=VLOOKUP($A16,main!$A$3:$H$102,8,FALSE),VLOOKUP(AU$1,main!$A$3:$H$102,4,FALSE),VLOOKUP(AU$1,main!$A$3:$H$102,4,FALSE)+VLOOKUP($A16,main!$A$3:$H$102,4,FALSE)+(VLOOKUP(VLOOKUP(AU$1,main!$A$3:$H$102,8,FALSE),main!$K$19:$O$22,MATCH(VLOOKUP($A16,main!$A$3:$H$102,7,FALSE),main!$K$18:$O$18,0),0))),0)</f>
        <v>0</v>
      </c>
      <c r="AV16">
        <f>IF((gamma!AV16),IF(VLOOKUP(AV$1,main!$A$3:$H$102,7,FALSE)=VLOOKUP($A16,main!$A$3:$H$102,8,FALSE),VLOOKUP(AV$1,main!$A$3:$H$102,4,FALSE),VLOOKUP(AV$1,main!$A$3:$H$102,4,FALSE)+VLOOKUP($A16,main!$A$3:$H$102,4,FALSE)+(VLOOKUP(VLOOKUP(AV$1,main!$A$3:$H$102,8,FALSE),main!$K$19:$O$22,MATCH(VLOOKUP($A16,main!$A$3:$H$102,7,FALSE),main!$K$18:$O$18,0),0))),0)</f>
        <v>0</v>
      </c>
      <c r="AW16">
        <f>IF((gamma!AW16),IF(VLOOKUP(AW$1,main!$A$3:$H$102,7,FALSE)=VLOOKUP($A16,main!$A$3:$H$102,8,FALSE),VLOOKUP(AW$1,main!$A$3:$H$102,4,FALSE),VLOOKUP(AW$1,main!$A$3:$H$102,4,FALSE)+VLOOKUP($A16,main!$A$3:$H$102,4,FALSE)+(VLOOKUP(VLOOKUP(AW$1,main!$A$3:$H$102,8,FALSE),main!$K$19:$O$22,MATCH(VLOOKUP($A16,main!$A$3:$H$102,7,FALSE),main!$K$18:$O$18,0),0))),0)</f>
        <v>290</v>
      </c>
      <c r="AX16">
        <f>IF((gamma!AX16),IF(VLOOKUP(AX$1,main!$A$3:$H$102,7,FALSE)=VLOOKUP($A16,main!$A$3:$H$102,8,FALSE),VLOOKUP(AX$1,main!$A$3:$H$102,4,FALSE),VLOOKUP(AX$1,main!$A$3:$H$102,4,FALSE)+VLOOKUP($A16,main!$A$3:$H$102,4,FALSE)+(VLOOKUP(VLOOKUP(AX$1,main!$A$3:$H$102,8,FALSE),main!$K$19:$O$22,MATCH(VLOOKUP($A16,main!$A$3:$H$102,7,FALSE),main!$K$18:$O$18,0),0))),0)</f>
        <v>0</v>
      </c>
      <c r="AY16">
        <f>IF((gamma!AY16),IF(VLOOKUP(AY$1,main!$A$3:$H$102,7,FALSE)=VLOOKUP($A16,main!$A$3:$H$102,8,FALSE),VLOOKUP(AY$1,main!$A$3:$H$102,4,FALSE),VLOOKUP(AY$1,main!$A$3:$H$102,4,FALSE)+VLOOKUP($A16,main!$A$3:$H$102,4,FALSE)+(VLOOKUP(VLOOKUP(AY$1,main!$A$3:$H$102,8,FALSE),main!$K$19:$O$22,MATCH(VLOOKUP($A16,main!$A$3:$H$102,7,FALSE),main!$K$18:$O$18,0),0))),0)</f>
        <v>0</v>
      </c>
      <c r="AZ16">
        <f>IF((gamma!AZ16),IF(VLOOKUP(AZ$1,main!$A$3:$H$102,7,FALSE)=VLOOKUP($A16,main!$A$3:$H$102,8,FALSE),VLOOKUP(AZ$1,main!$A$3:$H$102,4,FALSE),VLOOKUP(AZ$1,main!$A$3:$H$102,4,FALSE)+VLOOKUP($A16,main!$A$3:$H$102,4,FALSE)+(VLOOKUP(VLOOKUP(AZ$1,main!$A$3:$H$102,8,FALSE),main!$K$19:$O$22,MATCH(VLOOKUP($A16,main!$A$3:$H$102,7,FALSE),main!$K$18:$O$18,0),0))),0)</f>
        <v>0</v>
      </c>
      <c r="BA16">
        <f>IF((gamma!BA16),IF(VLOOKUP(BA$1,main!$A$3:$H$102,7,FALSE)=VLOOKUP($A16,main!$A$3:$H$102,8,FALSE),VLOOKUP(BA$1,main!$A$3:$H$102,4,FALSE),VLOOKUP(BA$1,main!$A$3:$H$102,4,FALSE)+VLOOKUP($A16,main!$A$3:$H$102,4,FALSE)+(VLOOKUP(VLOOKUP(BA$1,main!$A$3:$H$102,8,FALSE),main!$K$19:$O$22,MATCH(VLOOKUP($A16,main!$A$3:$H$102,7,FALSE),main!$K$18:$O$18,0),0))),0)</f>
        <v>0</v>
      </c>
      <c r="BB16">
        <f>IF((gamma!BB16),IF(VLOOKUP(BB$1,main!$A$3:$H$102,7,FALSE)=VLOOKUP($A16,main!$A$3:$H$102,8,FALSE),VLOOKUP(BB$1,main!$A$3:$H$102,4,FALSE),VLOOKUP(BB$1,main!$A$3:$H$102,4,FALSE)+VLOOKUP($A16,main!$A$3:$H$102,4,FALSE)+(VLOOKUP(VLOOKUP(BB$1,main!$A$3:$H$102,8,FALSE),main!$K$19:$O$22,MATCH(VLOOKUP($A16,main!$A$3:$H$102,7,FALSE),main!$K$18:$O$18,0),0))),0)</f>
        <v>0</v>
      </c>
      <c r="BC16">
        <f>IF((gamma!BC16),IF(VLOOKUP(BC$1,main!$A$3:$H$102,7,FALSE)=VLOOKUP($A16,main!$A$3:$H$102,8,FALSE),VLOOKUP(BC$1,main!$A$3:$H$102,4,FALSE),VLOOKUP(BC$1,main!$A$3:$H$102,4,FALSE)+VLOOKUP($A16,main!$A$3:$H$102,4,FALSE)+(VLOOKUP(VLOOKUP(BC$1,main!$A$3:$H$102,8,FALSE),main!$K$19:$O$22,MATCH(VLOOKUP($A16,main!$A$3:$H$102,7,FALSE),main!$K$18:$O$18,0),0))),0)</f>
        <v>140</v>
      </c>
      <c r="BD16">
        <f>IF((gamma!BD16),IF(VLOOKUP(BD$1,main!$A$3:$H$102,7,FALSE)=VLOOKUP($A16,main!$A$3:$H$102,8,FALSE),VLOOKUP(BD$1,main!$A$3:$H$102,4,FALSE),VLOOKUP(BD$1,main!$A$3:$H$102,4,FALSE)+VLOOKUP($A16,main!$A$3:$H$102,4,FALSE)+(VLOOKUP(VLOOKUP(BD$1,main!$A$3:$H$102,8,FALSE),main!$K$19:$O$22,MATCH(VLOOKUP($A16,main!$A$3:$H$102,7,FALSE),main!$K$18:$O$18,0),0))),0)</f>
        <v>140</v>
      </c>
      <c r="BE16">
        <f>IF((gamma!BE16),IF(VLOOKUP(BE$1,main!$A$3:$H$102,7,FALSE)=VLOOKUP($A16,main!$A$3:$H$102,8,FALSE),VLOOKUP(BE$1,main!$A$3:$H$102,4,FALSE),VLOOKUP(BE$1,main!$A$3:$H$102,4,FALSE)+VLOOKUP($A16,main!$A$3:$H$102,4,FALSE)+(VLOOKUP(VLOOKUP(BE$1,main!$A$3:$H$102,8,FALSE),main!$K$19:$O$22,MATCH(VLOOKUP($A16,main!$A$3:$H$102,7,FALSE),main!$K$18:$O$18,0),0))),0)</f>
        <v>140</v>
      </c>
      <c r="BF16">
        <f>IF((gamma!BF16),IF(VLOOKUP(BF$1,main!$A$3:$H$102,7,FALSE)=VLOOKUP($A16,main!$A$3:$H$102,8,FALSE),VLOOKUP(BF$1,main!$A$3:$H$102,4,FALSE),VLOOKUP(BF$1,main!$A$3:$H$102,4,FALSE)+VLOOKUP($A16,main!$A$3:$H$102,4,FALSE)+(VLOOKUP(VLOOKUP(BF$1,main!$A$3:$H$102,8,FALSE),main!$K$19:$O$22,MATCH(VLOOKUP($A16,main!$A$3:$H$102,7,FALSE),main!$K$18:$O$18,0),0))),0)</f>
        <v>0</v>
      </c>
      <c r="BG16">
        <f>IF((gamma!BG16),IF(VLOOKUP(BG$1,main!$A$3:$H$102,7,FALSE)=VLOOKUP($A16,main!$A$3:$H$102,8,FALSE),VLOOKUP(BG$1,main!$A$3:$H$102,4,FALSE),VLOOKUP(BG$1,main!$A$3:$H$102,4,FALSE)+VLOOKUP($A16,main!$A$3:$H$102,4,FALSE)+(VLOOKUP(VLOOKUP(BG$1,main!$A$3:$H$102,8,FALSE),main!$K$19:$O$22,MATCH(VLOOKUP($A16,main!$A$3:$H$102,7,FALSE),main!$K$18:$O$18,0),0))),0)</f>
        <v>0</v>
      </c>
      <c r="BH16">
        <f>IF((gamma!BH16),IF(VLOOKUP(BH$1,main!$A$3:$H$102,7,FALSE)=VLOOKUP($A16,main!$A$3:$H$102,8,FALSE),VLOOKUP(BH$1,main!$A$3:$H$102,4,FALSE),VLOOKUP(BH$1,main!$A$3:$H$102,4,FALSE)+VLOOKUP($A16,main!$A$3:$H$102,4,FALSE)+(VLOOKUP(VLOOKUP(BH$1,main!$A$3:$H$102,8,FALSE),main!$K$19:$O$22,MATCH(VLOOKUP($A16,main!$A$3:$H$102,7,FALSE),main!$K$18:$O$18,0),0))),0)</f>
        <v>0</v>
      </c>
      <c r="BI16">
        <f>IF((gamma!BI16),IF(VLOOKUP(BI$1,main!$A$3:$H$102,7,FALSE)=VLOOKUP($A16,main!$A$3:$H$102,8,FALSE),VLOOKUP(BI$1,main!$A$3:$H$102,4,FALSE),VLOOKUP(BI$1,main!$A$3:$H$102,4,FALSE)+VLOOKUP($A16,main!$A$3:$H$102,4,FALSE)+(VLOOKUP(VLOOKUP(BI$1,main!$A$3:$H$102,8,FALSE),main!$K$19:$O$22,MATCH(VLOOKUP($A16,main!$A$3:$H$102,7,FALSE),main!$K$18:$O$18,0),0))),0)</f>
        <v>60</v>
      </c>
      <c r="BJ16">
        <f>IF((gamma!BJ16),IF(VLOOKUP(BJ$1,main!$A$3:$H$102,7,FALSE)=VLOOKUP($A16,main!$A$3:$H$102,8,FALSE),VLOOKUP(BJ$1,main!$A$3:$H$102,4,FALSE),VLOOKUP(BJ$1,main!$A$3:$H$102,4,FALSE)+VLOOKUP($A16,main!$A$3:$H$102,4,FALSE)+(VLOOKUP(VLOOKUP(BJ$1,main!$A$3:$H$102,8,FALSE),main!$K$19:$O$22,MATCH(VLOOKUP($A16,main!$A$3:$H$102,7,FALSE),main!$K$18:$O$18,0),0))),0)</f>
        <v>90</v>
      </c>
      <c r="BK16">
        <f>IF((gamma!BK16),IF(VLOOKUP(BK$1,main!$A$3:$H$102,7,FALSE)=VLOOKUP($A16,main!$A$3:$H$102,8,FALSE),VLOOKUP(BK$1,main!$A$3:$H$102,4,FALSE),VLOOKUP(BK$1,main!$A$3:$H$102,4,FALSE)+VLOOKUP($A16,main!$A$3:$H$102,4,FALSE)+(VLOOKUP(VLOOKUP(BK$1,main!$A$3:$H$102,8,FALSE),main!$K$19:$O$22,MATCH(VLOOKUP($A16,main!$A$3:$H$102,7,FALSE),main!$K$18:$O$18,0),0))),0)</f>
        <v>0</v>
      </c>
      <c r="BL16">
        <f>IF((gamma!BL16),IF(VLOOKUP(BL$1,main!$A$3:$H$102,7,FALSE)=VLOOKUP($A16,main!$A$3:$H$102,8,FALSE),VLOOKUP(BL$1,main!$A$3:$H$102,4,FALSE),VLOOKUP(BL$1,main!$A$3:$H$102,4,FALSE)+VLOOKUP($A16,main!$A$3:$H$102,4,FALSE)+(VLOOKUP(VLOOKUP(BL$1,main!$A$3:$H$102,8,FALSE),main!$K$19:$O$22,MATCH(VLOOKUP($A16,main!$A$3:$H$102,7,FALSE),main!$K$18:$O$18,0),0))),0)</f>
        <v>0</v>
      </c>
      <c r="BM16">
        <f>IF((gamma!BM16),IF(VLOOKUP(BM$1,main!$A$3:$H$102,7,FALSE)=VLOOKUP($A16,main!$A$3:$H$102,8,FALSE),VLOOKUP(BM$1,main!$A$3:$H$102,4,FALSE),VLOOKUP(BM$1,main!$A$3:$H$102,4,FALSE)+VLOOKUP($A16,main!$A$3:$H$102,4,FALSE)+(VLOOKUP(VLOOKUP(BM$1,main!$A$3:$H$102,8,FALSE),main!$K$19:$O$22,MATCH(VLOOKUP($A16,main!$A$3:$H$102,7,FALSE),main!$K$18:$O$18,0),0))),0)</f>
        <v>0</v>
      </c>
      <c r="BN16">
        <f>IF((gamma!BN16),IF(VLOOKUP(BN$1,main!$A$3:$H$102,7,FALSE)=VLOOKUP($A16,main!$A$3:$H$102,8,FALSE),VLOOKUP(BN$1,main!$A$3:$H$102,4,FALSE),VLOOKUP(BN$1,main!$A$3:$H$102,4,FALSE)+VLOOKUP($A16,main!$A$3:$H$102,4,FALSE)+(VLOOKUP(VLOOKUP(BN$1,main!$A$3:$H$102,8,FALSE),main!$K$19:$O$22,MATCH(VLOOKUP($A16,main!$A$3:$H$102,7,FALSE),main!$K$18:$O$18,0),0))),0)</f>
        <v>120</v>
      </c>
      <c r="BO16">
        <f>IF((gamma!BO16),IF(VLOOKUP(BO$1,main!$A$3:$H$102,7,FALSE)=VLOOKUP($A16,main!$A$3:$H$102,8,FALSE),VLOOKUP(BO$1,main!$A$3:$H$102,4,FALSE),VLOOKUP(BO$1,main!$A$3:$H$102,4,FALSE)+VLOOKUP($A16,main!$A$3:$H$102,4,FALSE)+(VLOOKUP(VLOOKUP(BO$1,main!$A$3:$H$102,8,FALSE),main!$K$19:$O$22,MATCH(VLOOKUP($A16,main!$A$3:$H$102,7,FALSE),main!$K$18:$O$18,0),0))),0)</f>
        <v>0</v>
      </c>
      <c r="BP16">
        <f>IF((gamma!BP16),IF(VLOOKUP(BP$1,main!$A$3:$H$102,7,FALSE)=VLOOKUP($A16,main!$A$3:$H$102,8,FALSE),VLOOKUP(BP$1,main!$A$3:$H$102,4,FALSE),VLOOKUP(BP$1,main!$A$3:$H$102,4,FALSE)+VLOOKUP($A16,main!$A$3:$H$102,4,FALSE)+(VLOOKUP(VLOOKUP(BP$1,main!$A$3:$H$102,8,FALSE),main!$K$19:$O$22,MATCH(VLOOKUP($A16,main!$A$3:$H$102,7,FALSE),main!$K$18:$O$18,0),0))),0)</f>
        <v>0</v>
      </c>
      <c r="BQ16">
        <f>IF((gamma!BQ16),IF(VLOOKUP(BQ$1,main!$A$3:$H$102,7,FALSE)=VLOOKUP($A16,main!$A$3:$H$102,8,FALSE),VLOOKUP(BQ$1,main!$A$3:$H$102,4,FALSE),VLOOKUP(BQ$1,main!$A$3:$H$102,4,FALSE)+VLOOKUP($A16,main!$A$3:$H$102,4,FALSE)+(VLOOKUP(VLOOKUP(BQ$1,main!$A$3:$H$102,8,FALSE),main!$K$19:$O$22,MATCH(VLOOKUP($A16,main!$A$3:$H$102,7,FALSE),main!$K$18:$O$18,0),0))),0)</f>
        <v>0</v>
      </c>
      <c r="BR16">
        <f>IF((gamma!BR16),IF(VLOOKUP(BR$1,main!$A$3:$H$102,7,FALSE)=VLOOKUP($A16,main!$A$3:$H$102,8,FALSE),VLOOKUP(BR$1,main!$A$3:$H$102,4,FALSE),VLOOKUP(BR$1,main!$A$3:$H$102,4,FALSE)+VLOOKUP($A16,main!$A$3:$H$102,4,FALSE)+(VLOOKUP(VLOOKUP(BR$1,main!$A$3:$H$102,8,FALSE),main!$K$19:$O$22,MATCH(VLOOKUP($A16,main!$A$3:$H$102,7,FALSE),main!$K$18:$O$18,0),0))),0)</f>
        <v>0</v>
      </c>
      <c r="BS16">
        <f>IF((gamma!BS16),IF(VLOOKUP(BS$1,main!$A$3:$H$102,7,FALSE)=VLOOKUP($A16,main!$A$3:$H$102,8,FALSE),VLOOKUP(BS$1,main!$A$3:$H$102,4,FALSE),VLOOKUP(BS$1,main!$A$3:$H$102,4,FALSE)+VLOOKUP($A16,main!$A$3:$H$102,4,FALSE)+(VLOOKUP(VLOOKUP(BS$1,main!$A$3:$H$102,8,FALSE),main!$K$19:$O$22,MATCH(VLOOKUP($A16,main!$A$3:$H$102,7,FALSE),main!$K$18:$O$18,0),0))),0)</f>
        <v>0</v>
      </c>
      <c r="BT16">
        <f>IF((gamma!BT16),IF(VLOOKUP(BT$1,main!$A$3:$H$102,7,FALSE)=VLOOKUP($A16,main!$A$3:$H$102,8,FALSE),VLOOKUP(BT$1,main!$A$3:$H$102,4,FALSE),VLOOKUP(BT$1,main!$A$3:$H$102,4,FALSE)+VLOOKUP($A16,main!$A$3:$H$102,4,FALSE)+(VLOOKUP(VLOOKUP(BT$1,main!$A$3:$H$102,8,FALSE),main!$K$19:$O$22,MATCH(VLOOKUP($A16,main!$A$3:$H$102,7,FALSE),main!$K$18:$O$18,0),0))),0)</f>
        <v>0</v>
      </c>
      <c r="BU16">
        <f>IF((gamma!BU16),IF(VLOOKUP(BU$1,main!$A$3:$H$102,7,FALSE)=VLOOKUP($A16,main!$A$3:$H$102,8,FALSE),VLOOKUP(BU$1,main!$A$3:$H$102,4,FALSE),VLOOKUP(BU$1,main!$A$3:$H$102,4,FALSE)+VLOOKUP($A16,main!$A$3:$H$102,4,FALSE)+(VLOOKUP(VLOOKUP(BU$1,main!$A$3:$H$102,8,FALSE),main!$K$19:$O$22,MATCH(VLOOKUP($A16,main!$A$3:$H$102,7,FALSE),main!$K$18:$O$18,0),0))),0)</f>
        <v>0</v>
      </c>
      <c r="BV16">
        <f>IF((gamma!BV16),IF(VLOOKUP(BV$1,main!$A$3:$H$102,7,FALSE)=VLOOKUP($A16,main!$A$3:$H$102,8,FALSE),VLOOKUP(BV$1,main!$A$3:$H$102,4,FALSE),VLOOKUP(BV$1,main!$A$3:$H$102,4,FALSE)+VLOOKUP($A16,main!$A$3:$H$102,4,FALSE)+(VLOOKUP(VLOOKUP(BV$1,main!$A$3:$H$102,8,FALSE),main!$K$19:$O$22,MATCH(VLOOKUP($A16,main!$A$3:$H$102,7,FALSE),main!$K$18:$O$18,0),0))),0)</f>
        <v>0</v>
      </c>
      <c r="BW16">
        <f>IF((gamma!BW16),IF(VLOOKUP(BW$1,main!$A$3:$H$102,7,FALSE)=VLOOKUP($A16,main!$A$3:$H$102,8,FALSE),VLOOKUP(BW$1,main!$A$3:$H$102,4,FALSE),VLOOKUP(BW$1,main!$A$3:$H$102,4,FALSE)+VLOOKUP($A16,main!$A$3:$H$102,4,FALSE)+(VLOOKUP(VLOOKUP(BW$1,main!$A$3:$H$102,8,FALSE),main!$K$19:$O$22,MATCH(VLOOKUP($A16,main!$A$3:$H$102,7,FALSE),main!$K$18:$O$18,0),0))),0)</f>
        <v>0</v>
      </c>
      <c r="BX16">
        <f>IF((gamma!BX16),IF(VLOOKUP(BX$1,main!$A$3:$H$102,7,FALSE)=VLOOKUP($A16,main!$A$3:$H$102,8,FALSE),VLOOKUP(BX$1,main!$A$3:$H$102,4,FALSE),VLOOKUP(BX$1,main!$A$3:$H$102,4,FALSE)+VLOOKUP($A16,main!$A$3:$H$102,4,FALSE)+(VLOOKUP(VLOOKUP(BX$1,main!$A$3:$H$102,8,FALSE),main!$K$19:$O$22,MATCH(VLOOKUP($A16,main!$A$3:$H$102,7,FALSE),main!$K$18:$O$18,0),0))),0)</f>
        <v>0</v>
      </c>
      <c r="BY16">
        <f>IF((gamma!BY16),IF(VLOOKUP(BY$1,main!$A$3:$H$102,7,FALSE)=VLOOKUP($A16,main!$A$3:$H$102,8,FALSE),VLOOKUP(BY$1,main!$A$3:$H$102,4,FALSE),VLOOKUP(BY$1,main!$A$3:$H$102,4,FALSE)+VLOOKUP($A16,main!$A$3:$H$102,4,FALSE)+(VLOOKUP(VLOOKUP(BY$1,main!$A$3:$H$102,8,FALSE),main!$K$19:$O$22,MATCH(VLOOKUP($A16,main!$A$3:$H$102,7,FALSE),main!$K$18:$O$18,0),0))),0)</f>
        <v>120</v>
      </c>
      <c r="BZ16">
        <f>IF((gamma!BZ16),IF(VLOOKUP(BZ$1,main!$A$3:$H$102,7,FALSE)=VLOOKUP($A16,main!$A$3:$H$102,8,FALSE),VLOOKUP(BZ$1,main!$A$3:$H$102,4,FALSE),VLOOKUP(BZ$1,main!$A$3:$H$102,4,FALSE)+VLOOKUP($A16,main!$A$3:$H$102,4,FALSE)+(VLOOKUP(VLOOKUP(BZ$1,main!$A$3:$H$102,8,FALSE),main!$K$19:$O$22,MATCH(VLOOKUP($A16,main!$A$3:$H$102,7,FALSE),main!$K$18:$O$18,0),0))),0)</f>
        <v>0</v>
      </c>
      <c r="CA16">
        <f>IF((gamma!CA16),IF(VLOOKUP(CA$1,main!$A$3:$H$102,7,FALSE)=VLOOKUP($A16,main!$A$3:$H$102,8,FALSE),VLOOKUP(CA$1,main!$A$3:$H$102,4,FALSE),VLOOKUP(CA$1,main!$A$3:$H$102,4,FALSE)+VLOOKUP($A16,main!$A$3:$H$102,4,FALSE)+(VLOOKUP(VLOOKUP(CA$1,main!$A$3:$H$102,8,FALSE),main!$K$19:$O$22,MATCH(VLOOKUP($A16,main!$A$3:$H$102,7,FALSE),main!$K$18:$O$18,0),0))),0)</f>
        <v>0</v>
      </c>
      <c r="CB16">
        <f>IF((gamma!CB16),IF(VLOOKUP(CB$1,main!$A$3:$H$102,7,FALSE)=VLOOKUP($A16,main!$A$3:$H$102,8,FALSE),VLOOKUP(CB$1,main!$A$3:$H$102,4,FALSE),VLOOKUP(CB$1,main!$A$3:$H$102,4,FALSE)+VLOOKUP($A16,main!$A$3:$H$102,4,FALSE)+(VLOOKUP(VLOOKUP(CB$1,main!$A$3:$H$102,8,FALSE),main!$K$19:$O$22,MATCH(VLOOKUP($A16,main!$A$3:$H$102,7,FALSE),main!$K$18:$O$18,0),0))),0)</f>
        <v>65</v>
      </c>
      <c r="CC16">
        <f>IF((gamma!CC16),IF(VLOOKUP(CC$1,main!$A$3:$H$102,7,FALSE)=VLOOKUP($A16,main!$A$3:$H$102,8,FALSE),VLOOKUP(CC$1,main!$A$3:$H$102,4,FALSE),VLOOKUP(CC$1,main!$A$3:$H$102,4,FALSE)+VLOOKUP($A16,main!$A$3:$H$102,4,FALSE)+(VLOOKUP(VLOOKUP(CC$1,main!$A$3:$H$102,8,FALSE),main!$K$19:$O$22,MATCH(VLOOKUP($A16,main!$A$3:$H$102,7,FALSE),main!$K$18:$O$18,0),0))),0)</f>
        <v>55</v>
      </c>
      <c r="CD16">
        <f>IF((gamma!CD16),IF(VLOOKUP(CD$1,main!$A$3:$H$102,7,FALSE)=VLOOKUP($A16,main!$A$3:$H$102,8,FALSE),VLOOKUP(CD$1,main!$A$3:$H$102,4,FALSE),VLOOKUP(CD$1,main!$A$3:$H$102,4,FALSE)+VLOOKUP($A16,main!$A$3:$H$102,4,FALSE)+(VLOOKUP(VLOOKUP(CD$1,main!$A$3:$H$102,8,FALSE),main!$K$19:$O$22,MATCH(VLOOKUP($A16,main!$A$3:$H$102,7,FALSE),main!$K$18:$O$18,0),0))),0)</f>
        <v>114</v>
      </c>
      <c r="CE16">
        <f>IF((gamma!CE16),IF(VLOOKUP(CE$1,main!$A$3:$H$102,7,FALSE)=VLOOKUP($A16,main!$A$3:$H$102,8,FALSE),VLOOKUP(CE$1,main!$A$3:$H$102,4,FALSE),VLOOKUP(CE$1,main!$A$3:$H$102,4,FALSE)+VLOOKUP($A16,main!$A$3:$H$102,4,FALSE)+(VLOOKUP(VLOOKUP(CE$1,main!$A$3:$H$102,8,FALSE),main!$K$19:$O$22,MATCH(VLOOKUP($A16,main!$A$3:$H$102,7,FALSE),main!$K$18:$O$18,0),0))),0)</f>
        <v>0</v>
      </c>
      <c r="CF16">
        <f>IF((gamma!CF16),IF(VLOOKUP(CF$1,main!$A$3:$H$102,7,FALSE)=VLOOKUP($A16,main!$A$3:$H$102,8,FALSE),VLOOKUP(CF$1,main!$A$3:$H$102,4,FALSE),VLOOKUP(CF$1,main!$A$3:$H$102,4,FALSE)+VLOOKUP($A16,main!$A$3:$H$102,4,FALSE)+(VLOOKUP(VLOOKUP(CF$1,main!$A$3:$H$102,8,FALSE),main!$K$19:$O$22,MATCH(VLOOKUP($A16,main!$A$3:$H$102,7,FALSE),main!$K$18:$O$18,0),0))),0)</f>
        <v>0</v>
      </c>
      <c r="CG16">
        <f>IF((gamma!CG16),IF(VLOOKUP(CG$1,main!$A$3:$H$102,7,FALSE)=VLOOKUP($A16,main!$A$3:$H$102,8,FALSE),VLOOKUP(CG$1,main!$A$3:$H$102,4,FALSE),VLOOKUP(CG$1,main!$A$3:$H$102,4,FALSE)+VLOOKUP($A16,main!$A$3:$H$102,4,FALSE)+(VLOOKUP(VLOOKUP(CG$1,main!$A$3:$H$102,8,FALSE),main!$K$19:$O$22,MATCH(VLOOKUP($A16,main!$A$3:$H$102,7,FALSE),main!$K$18:$O$18,0),0))),0)</f>
        <v>0</v>
      </c>
      <c r="CH16">
        <f>IF((gamma!CH16),IF(VLOOKUP(CH$1,main!$A$3:$H$102,7,FALSE)=VLOOKUP($A16,main!$A$3:$H$102,8,FALSE),VLOOKUP(CH$1,main!$A$3:$H$102,4,FALSE),VLOOKUP(CH$1,main!$A$3:$H$102,4,FALSE)+VLOOKUP($A16,main!$A$3:$H$102,4,FALSE)+(VLOOKUP(VLOOKUP(CH$1,main!$A$3:$H$102,8,FALSE),main!$K$19:$O$22,MATCH(VLOOKUP($A16,main!$A$3:$H$102,7,FALSE),main!$K$18:$O$18,0),0))),0)</f>
        <v>280</v>
      </c>
      <c r="CI16">
        <f>IF((gamma!CI16),IF(VLOOKUP(CI$1,main!$A$3:$H$102,7,FALSE)=VLOOKUP($A16,main!$A$3:$H$102,8,FALSE),VLOOKUP(CI$1,main!$A$3:$H$102,4,FALSE),VLOOKUP(CI$1,main!$A$3:$H$102,4,FALSE)+VLOOKUP($A16,main!$A$3:$H$102,4,FALSE)+(VLOOKUP(VLOOKUP(CI$1,main!$A$3:$H$102,8,FALSE),main!$K$19:$O$22,MATCH(VLOOKUP($A16,main!$A$3:$H$102,7,FALSE),main!$K$18:$O$18,0),0))),0)</f>
        <v>280</v>
      </c>
      <c r="CJ16">
        <f>IF((gamma!CJ16),IF(VLOOKUP(CJ$1,main!$A$3:$H$102,7,FALSE)=VLOOKUP($A16,main!$A$3:$H$102,8,FALSE),VLOOKUP(CJ$1,main!$A$3:$H$102,4,FALSE),VLOOKUP(CJ$1,main!$A$3:$H$102,4,FALSE)+VLOOKUP($A16,main!$A$3:$H$102,4,FALSE)+(VLOOKUP(VLOOKUP(CJ$1,main!$A$3:$H$102,8,FALSE),main!$K$19:$O$22,MATCH(VLOOKUP($A16,main!$A$3:$H$102,7,FALSE),main!$K$18:$O$18,0),0))),0)</f>
        <v>0</v>
      </c>
      <c r="CK16">
        <f>IF((gamma!CK16),IF(VLOOKUP(CK$1,main!$A$3:$H$102,7,FALSE)=VLOOKUP($A16,main!$A$3:$H$102,8,FALSE),VLOOKUP(CK$1,main!$A$3:$H$102,4,FALSE),VLOOKUP(CK$1,main!$A$3:$H$102,4,FALSE)+VLOOKUP($A16,main!$A$3:$H$102,4,FALSE)+(VLOOKUP(VLOOKUP(CK$1,main!$A$3:$H$102,8,FALSE),main!$K$19:$O$22,MATCH(VLOOKUP($A16,main!$A$3:$H$102,7,FALSE),main!$K$18:$O$18,0),0))),0)</f>
        <v>0</v>
      </c>
      <c r="CL16">
        <f>IF((gamma!CL16),IF(VLOOKUP(CL$1,main!$A$3:$H$102,7,FALSE)=VLOOKUP($A16,main!$A$3:$H$102,8,FALSE),VLOOKUP(CL$1,main!$A$3:$H$102,4,FALSE),VLOOKUP(CL$1,main!$A$3:$H$102,4,FALSE)+VLOOKUP($A16,main!$A$3:$H$102,4,FALSE)+(VLOOKUP(VLOOKUP(CL$1,main!$A$3:$H$102,8,FALSE),main!$K$19:$O$22,MATCH(VLOOKUP($A16,main!$A$3:$H$102,7,FALSE),main!$K$18:$O$18,0),0))),0)</f>
        <v>0</v>
      </c>
      <c r="CM16">
        <f>IF((gamma!CM16),IF(VLOOKUP(CM$1,main!$A$3:$H$102,7,FALSE)=VLOOKUP($A16,main!$A$3:$H$102,8,FALSE),VLOOKUP(CM$1,main!$A$3:$H$102,4,FALSE),VLOOKUP(CM$1,main!$A$3:$H$102,4,FALSE)+VLOOKUP($A16,main!$A$3:$H$102,4,FALSE)+(VLOOKUP(VLOOKUP(CM$1,main!$A$3:$H$102,8,FALSE),main!$K$19:$O$22,MATCH(VLOOKUP($A16,main!$A$3:$H$102,7,FALSE),main!$K$18:$O$18,0),0))),0)</f>
        <v>240</v>
      </c>
      <c r="CN16">
        <f>IF((gamma!CN16),IF(VLOOKUP(CN$1,main!$A$3:$H$102,7,FALSE)=VLOOKUP($A16,main!$A$3:$H$102,8,FALSE),VLOOKUP(CN$1,main!$A$3:$H$102,4,FALSE),VLOOKUP(CN$1,main!$A$3:$H$102,4,FALSE)+VLOOKUP($A16,main!$A$3:$H$102,4,FALSE)+(VLOOKUP(VLOOKUP(CN$1,main!$A$3:$H$102,8,FALSE),main!$K$19:$O$22,MATCH(VLOOKUP($A16,main!$A$3:$H$102,7,FALSE),main!$K$18:$O$18,0),0))),0)</f>
        <v>236</v>
      </c>
      <c r="CO16">
        <f>IF((gamma!CO16),IF(VLOOKUP(CO$1,main!$A$3:$H$102,7,FALSE)=VLOOKUP($A16,main!$A$3:$H$102,8,FALSE),VLOOKUP(CO$1,main!$A$3:$H$102,4,FALSE),VLOOKUP(CO$1,main!$A$3:$H$102,4,FALSE)+VLOOKUP($A16,main!$A$3:$H$102,4,FALSE)+(VLOOKUP(VLOOKUP(CO$1,main!$A$3:$H$102,8,FALSE),main!$K$19:$O$22,MATCH(VLOOKUP($A16,main!$A$3:$H$102,7,FALSE),main!$K$18:$O$18,0),0))),0)</f>
        <v>0</v>
      </c>
      <c r="CP16">
        <f>IF((gamma!CP16),IF(VLOOKUP(CP$1,main!$A$3:$H$102,7,FALSE)=VLOOKUP($A16,main!$A$3:$H$102,8,FALSE),VLOOKUP(CP$1,main!$A$3:$H$102,4,FALSE),VLOOKUP(CP$1,main!$A$3:$H$102,4,FALSE)+VLOOKUP($A16,main!$A$3:$H$102,4,FALSE)+(VLOOKUP(VLOOKUP(CP$1,main!$A$3:$H$102,8,FALSE),main!$K$19:$O$22,MATCH(VLOOKUP($A16,main!$A$3:$H$102,7,FALSE),main!$K$18:$O$18,0),0))),0)</f>
        <v>0</v>
      </c>
      <c r="CQ16">
        <f>IF((gamma!CQ16),IF(VLOOKUP(CQ$1,main!$A$3:$H$102,7,FALSE)=VLOOKUP($A16,main!$A$3:$H$102,8,FALSE),VLOOKUP(CQ$1,main!$A$3:$H$102,4,FALSE),VLOOKUP(CQ$1,main!$A$3:$H$102,4,FALSE)+VLOOKUP($A16,main!$A$3:$H$102,4,FALSE)+(VLOOKUP(VLOOKUP(CQ$1,main!$A$3:$H$102,8,FALSE),main!$K$19:$O$22,MATCH(VLOOKUP($A16,main!$A$3:$H$102,7,FALSE),main!$K$18:$O$18,0),0))),0)</f>
        <v>0</v>
      </c>
      <c r="CR16">
        <f>IF((gamma!CR16),IF(VLOOKUP(CR$1,main!$A$3:$H$102,7,FALSE)=VLOOKUP($A16,main!$A$3:$H$102,8,FALSE),VLOOKUP(CR$1,main!$A$3:$H$102,4,FALSE),VLOOKUP(CR$1,main!$A$3:$H$102,4,FALSE)+VLOOKUP($A16,main!$A$3:$H$102,4,FALSE)+(VLOOKUP(VLOOKUP(CR$1,main!$A$3:$H$102,8,FALSE),main!$K$19:$O$22,MATCH(VLOOKUP($A16,main!$A$3:$H$102,7,FALSE),main!$K$18:$O$18,0),0))),0)</f>
        <v>305</v>
      </c>
      <c r="CS16">
        <f>IF((gamma!CS16),IF(VLOOKUP(CS$1,main!$A$3:$H$102,7,FALSE)=VLOOKUP($A16,main!$A$3:$H$102,8,FALSE),VLOOKUP(CS$1,main!$A$3:$H$102,4,FALSE),VLOOKUP(CS$1,main!$A$3:$H$102,4,FALSE)+VLOOKUP($A16,main!$A$3:$H$102,4,FALSE)+(VLOOKUP(VLOOKUP(CS$1,main!$A$3:$H$102,8,FALSE),main!$K$19:$O$22,MATCH(VLOOKUP($A16,main!$A$3:$H$102,7,FALSE),main!$K$18:$O$18,0),0))),0)</f>
        <v>305</v>
      </c>
      <c r="CT16">
        <f>IF((gamma!CT16),IF(VLOOKUP(CT$1,main!$A$3:$H$102,7,FALSE)=VLOOKUP($A16,main!$A$3:$H$102,8,FALSE),VLOOKUP(CT$1,main!$A$3:$H$102,4,FALSE),VLOOKUP(CT$1,main!$A$3:$H$102,4,FALSE)+VLOOKUP($A16,main!$A$3:$H$102,4,FALSE)+(VLOOKUP(VLOOKUP(CT$1,main!$A$3:$H$102,8,FALSE),main!$K$19:$O$22,MATCH(VLOOKUP($A16,main!$A$3:$H$102,7,FALSE),main!$K$18:$O$18,0),0))),0)</f>
        <v>0</v>
      </c>
      <c r="CU16">
        <f>IF((gamma!CU16),IF(VLOOKUP(CU$1,main!$A$3:$H$102,7,FALSE)=VLOOKUP($A16,main!$A$3:$H$102,8,FALSE),VLOOKUP(CU$1,main!$A$3:$H$102,4,FALSE),VLOOKUP(CU$1,main!$A$3:$H$102,4,FALSE)+VLOOKUP($A16,main!$A$3:$H$102,4,FALSE)+(VLOOKUP(VLOOKUP(CU$1,main!$A$3:$H$102,8,FALSE),main!$K$19:$O$22,MATCH(VLOOKUP($A16,main!$A$3:$H$102,7,FALSE),main!$K$18:$O$18,0),0))),0)</f>
        <v>0</v>
      </c>
      <c r="CV16">
        <f>IF((gamma!CV16),IF(VLOOKUP(CV$1,main!$A$3:$H$102,7,FALSE)=VLOOKUP($A16,main!$A$3:$H$102,8,FALSE),VLOOKUP(CV$1,main!$A$3:$H$102,4,FALSE),VLOOKUP(CV$1,main!$A$3:$H$102,4,FALSE)+VLOOKUP($A16,main!$A$3:$H$102,4,FALSE)+(VLOOKUP(VLOOKUP(CV$1,main!$A$3:$H$102,8,FALSE),main!$K$19:$O$22,MATCH(VLOOKUP($A16,main!$A$3:$H$102,7,FALSE),main!$K$18:$O$18,0),0))),0)</f>
        <v>0</v>
      </c>
      <c r="CW16">
        <f>IF((gamma!CW16),IF(VLOOKUP(CW$1,main!$A$3:$H$102,7,FALSE)=VLOOKUP($A16,main!$A$3:$H$102,8,FALSE),VLOOKUP(CW$1,main!$A$3:$H$102,4,FALSE),VLOOKUP(CW$1,main!$A$3:$H$102,4,FALSE)+VLOOKUP($A16,main!$A$3:$H$102,4,FALSE)+(VLOOKUP(VLOOKUP(CW$1,main!$A$3:$H$102,8,FALSE),main!$K$19:$O$22,MATCH(VLOOKUP($A16,main!$A$3:$H$102,7,FALSE),main!$K$18:$O$18,0),0))),0)</f>
        <v>265</v>
      </c>
      <c r="CX16">
        <f>IF((gamma!CX16),IF(VLOOKUP(CX$1,main!$A$3:$H$102,7,FALSE)=VLOOKUP($A16,main!$A$3:$H$102,8,FALSE),VLOOKUP(CX$1,main!$A$3:$H$102,4,FALSE),VLOOKUP(CX$1,main!$A$3:$H$102,4,FALSE)+VLOOKUP($A16,main!$A$3:$H$102,4,FALSE)+(VLOOKUP(VLOOKUP(CX$1,main!$A$3:$H$102,8,FALSE),main!$K$19:$O$22,MATCH(VLOOKUP($A16,main!$A$3:$H$102,7,FALSE),main!$K$18:$O$18,0),0))),0)</f>
        <v>255</v>
      </c>
      <c r="CY16">
        <v>0</v>
      </c>
      <c r="CZ16">
        <v>0</v>
      </c>
      <c r="DA16">
        <v>0</v>
      </c>
    </row>
    <row r="17" spans="1:105" x14ac:dyDescent="0.25">
      <c r="A17" s="1">
        <v>15</v>
      </c>
      <c r="B17">
        <v>0</v>
      </c>
      <c r="C17">
        <f>IF((gamma!C17),IF(VLOOKUP(C$1,main!$A$3:$H$102,7,FALSE)=VLOOKUP($A17,main!$A$3:$H$102,8,FALSE),VLOOKUP(C$1,main!$A$3:$H$102,4,FALSE),VLOOKUP(C$1,main!$A$3:$H$102,4,FALSE)+VLOOKUP($A17,main!$A$3:$H$102,4,FALSE)+(VLOOKUP(VLOOKUP(C$1,main!$A$3:$H$102,8,FALSE),main!$K$19:$O$22,MATCH(VLOOKUP($A17,main!$A$3:$H$102,7,FALSE),main!$K$18:$O$18,0),0))),0)</f>
        <v>0</v>
      </c>
      <c r="D17">
        <f>IF((gamma!D17),IF(VLOOKUP(D$1,main!$A$3:$H$102,7,FALSE)=VLOOKUP($A17,main!$A$3:$H$102,8,FALSE),VLOOKUP(D$1,main!$A$3:$H$102,4,FALSE),VLOOKUP(D$1,main!$A$3:$H$102,4,FALSE)+VLOOKUP($A17,main!$A$3:$H$102,4,FALSE)+(VLOOKUP(VLOOKUP(D$1,main!$A$3:$H$102,8,FALSE),main!$K$19:$O$22,MATCH(VLOOKUP($A17,main!$A$3:$H$102,7,FALSE),main!$K$18:$O$18,0),0))),0)</f>
        <v>0</v>
      </c>
      <c r="E17">
        <f>IF((gamma!E17),IF(VLOOKUP(E$1,main!$A$3:$H$102,7,FALSE)=VLOOKUP($A17,main!$A$3:$H$102,8,FALSE),VLOOKUP(E$1,main!$A$3:$H$102,4,FALSE),VLOOKUP(E$1,main!$A$3:$H$102,4,FALSE)+VLOOKUP($A17,main!$A$3:$H$102,4,FALSE)+(VLOOKUP(VLOOKUP(E$1,main!$A$3:$H$102,8,FALSE),main!$K$19:$O$22,MATCH(VLOOKUP($A17,main!$A$3:$H$102,7,FALSE),main!$K$18:$O$18,0),0))),0)</f>
        <v>0</v>
      </c>
      <c r="F17">
        <f>IF((gamma!F17),IF(VLOOKUP(F$1,main!$A$3:$H$102,7,FALSE)=VLOOKUP($A17,main!$A$3:$H$102,8,FALSE),VLOOKUP(F$1,main!$A$3:$H$102,4,FALSE),VLOOKUP(F$1,main!$A$3:$H$102,4,FALSE)+VLOOKUP($A17,main!$A$3:$H$102,4,FALSE)+(VLOOKUP(VLOOKUP(F$1,main!$A$3:$H$102,8,FALSE),main!$K$19:$O$22,MATCH(VLOOKUP($A17,main!$A$3:$H$102,7,FALSE),main!$K$18:$O$18,0),0))),0)</f>
        <v>0</v>
      </c>
      <c r="G17">
        <f>IF((gamma!G17),IF(VLOOKUP(G$1,main!$A$3:$H$102,7,FALSE)=VLOOKUP($A17,main!$A$3:$H$102,8,FALSE),VLOOKUP(G$1,main!$A$3:$H$102,4,FALSE),VLOOKUP(G$1,main!$A$3:$H$102,4,FALSE)+VLOOKUP($A17,main!$A$3:$H$102,4,FALSE)+(VLOOKUP(VLOOKUP(G$1,main!$A$3:$H$102,8,FALSE),main!$K$19:$O$22,MATCH(VLOOKUP($A17,main!$A$3:$H$102,7,FALSE),main!$K$18:$O$18,0),0))),0)</f>
        <v>0</v>
      </c>
      <c r="H17">
        <f>IF((gamma!H17),IF(VLOOKUP(H$1,main!$A$3:$H$102,7,FALSE)=VLOOKUP($A17,main!$A$3:$H$102,8,FALSE),VLOOKUP(H$1,main!$A$3:$H$102,4,FALSE),VLOOKUP(H$1,main!$A$3:$H$102,4,FALSE)+VLOOKUP($A17,main!$A$3:$H$102,4,FALSE)+(VLOOKUP(VLOOKUP(H$1,main!$A$3:$H$102,8,FALSE),main!$K$19:$O$22,MATCH(VLOOKUP($A17,main!$A$3:$H$102,7,FALSE),main!$K$18:$O$18,0),0))),0)</f>
        <v>0</v>
      </c>
      <c r="I17">
        <f>IF((gamma!I17),IF(VLOOKUP(I$1,main!$A$3:$H$102,7,FALSE)=VLOOKUP($A17,main!$A$3:$H$102,8,FALSE),VLOOKUP(I$1,main!$A$3:$H$102,4,FALSE),VLOOKUP(I$1,main!$A$3:$H$102,4,FALSE)+VLOOKUP($A17,main!$A$3:$H$102,4,FALSE)+(VLOOKUP(VLOOKUP(I$1,main!$A$3:$H$102,8,FALSE),main!$K$19:$O$22,MATCH(VLOOKUP($A17,main!$A$3:$H$102,7,FALSE),main!$K$18:$O$18,0),0))),0)</f>
        <v>300</v>
      </c>
      <c r="J17">
        <f>IF((gamma!J17),IF(VLOOKUP(J$1,main!$A$3:$H$102,7,FALSE)=VLOOKUP($A17,main!$A$3:$H$102,8,FALSE),VLOOKUP(J$1,main!$A$3:$H$102,4,FALSE),VLOOKUP(J$1,main!$A$3:$H$102,4,FALSE)+VLOOKUP($A17,main!$A$3:$H$102,4,FALSE)+(VLOOKUP(VLOOKUP(J$1,main!$A$3:$H$102,8,FALSE),main!$K$19:$O$22,MATCH(VLOOKUP($A17,main!$A$3:$H$102,7,FALSE),main!$K$18:$O$18,0),0))),0)</f>
        <v>300</v>
      </c>
      <c r="K17">
        <f>IF((gamma!K17),IF(VLOOKUP(K$1,main!$A$3:$H$102,7,FALSE)=VLOOKUP($A17,main!$A$3:$H$102,8,FALSE),VLOOKUP(K$1,main!$A$3:$H$102,4,FALSE),VLOOKUP(K$1,main!$A$3:$H$102,4,FALSE)+VLOOKUP($A17,main!$A$3:$H$102,4,FALSE)+(VLOOKUP(VLOOKUP(K$1,main!$A$3:$H$102,8,FALSE),main!$K$19:$O$22,MATCH(VLOOKUP($A17,main!$A$3:$H$102,7,FALSE),main!$K$18:$O$18,0),0))),0)</f>
        <v>300</v>
      </c>
      <c r="L17">
        <f>IF((gamma!L17),IF(VLOOKUP(L$1,main!$A$3:$H$102,7,FALSE)=VLOOKUP($A17,main!$A$3:$H$102,8,FALSE),VLOOKUP(L$1,main!$A$3:$H$102,4,FALSE),VLOOKUP(L$1,main!$A$3:$H$102,4,FALSE)+VLOOKUP($A17,main!$A$3:$H$102,4,FALSE)+(VLOOKUP(VLOOKUP(L$1,main!$A$3:$H$102,8,FALSE),main!$K$19:$O$22,MATCH(VLOOKUP($A17,main!$A$3:$H$102,7,FALSE),main!$K$18:$O$18,0),0))),0)</f>
        <v>300</v>
      </c>
      <c r="M17">
        <f>IF((gamma!M17),IF(VLOOKUP(M$1,main!$A$3:$H$102,7,FALSE)=VLOOKUP($A17,main!$A$3:$H$102,8,FALSE),VLOOKUP(M$1,main!$A$3:$H$102,4,FALSE),VLOOKUP(M$1,main!$A$3:$H$102,4,FALSE)+VLOOKUP($A17,main!$A$3:$H$102,4,FALSE)+(VLOOKUP(VLOOKUP(M$1,main!$A$3:$H$102,8,FALSE),main!$K$19:$O$22,MATCH(VLOOKUP($A17,main!$A$3:$H$102,7,FALSE),main!$K$18:$O$18,0),0))),0)</f>
        <v>0</v>
      </c>
      <c r="N17">
        <f>IF((gamma!N17),IF(VLOOKUP(N$1,main!$A$3:$H$102,7,FALSE)=VLOOKUP($A17,main!$A$3:$H$102,8,FALSE),VLOOKUP(N$1,main!$A$3:$H$102,4,FALSE),VLOOKUP(N$1,main!$A$3:$H$102,4,FALSE)+VLOOKUP($A17,main!$A$3:$H$102,4,FALSE)+(VLOOKUP(VLOOKUP(N$1,main!$A$3:$H$102,8,FALSE),main!$K$19:$O$22,MATCH(VLOOKUP($A17,main!$A$3:$H$102,7,FALSE),main!$K$18:$O$18,0),0))),0)</f>
        <v>0</v>
      </c>
      <c r="O17">
        <f>IF((gamma!O17),IF(VLOOKUP(O$1,main!$A$3:$H$102,7,FALSE)=VLOOKUP($A17,main!$A$3:$H$102,8,FALSE),VLOOKUP(O$1,main!$A$3:$H$102,4,FALSE),VLOOKUP(O$1,main!$A$3:$H$102,4,FALSE)+VLOOKUP($A17,main!$A$3:$H$102,4,FALSE)+(VLOOKUP(VLOOKUP(O$1,main!$A$3:$H$102,8,FALSE),main!$K$19:$O$22,MATCH(VLOOKUP($A17,main!$A$3:$H$102,7,FALSE),main!$K$18:$O$18,0),0))),0)</f>
        <v>0</v>
      </c>
      <c r="P17">
        <f>IF((gamma!P17),IF(VLOOKUP(P$1,main!$A$3:$H$102,7,FALSE)=VLOOKUP($A17,main!$A$3:$H$102,8,FALSE),VLOOKUP(P$1,main!$A$3:$H$102,4,FALSE),VLOOKUP(P$1,main!$A$3:$H$102,4,FALSE)+VLOOKUP($A17,main!$A$3:$H$102,4,FALSE)+(VLOOKUP(VLOOKUP(P$1,main!$A$3:$H$102,8,FALSE),main!$K$19:$O$22,MATCH(VLOOKUP($A17,main!$A$3:$H$102,7,FALSE),main!$K$18:$O$18,0),0))),0)</f>
        <v>0</v>
      </c>
      <c r="Q17">
        <f>IF((gamma!Q17),IF(VLOOKUP(Q$1,main!$A$3:$H$102,7,FALSE)=VLOOKUP($A17,main!$A$3:$H$102,8,FALSE),VLOOKUP(Q$1,main!$A$3:$H$102,4,FALSE),VLOOKUP(Q$1,main!$A$3:$H$102,4,FALSE)+VLOOKUP($A17,main!$A$3:$H$102,4,FALSE)+(VLOOKUP(VLOOKUP(Q$1,main!$A$3:$H$102,8,FALSE),main!$K$19:$O$22,MATCH(VLOOKUP($A17,main!$A$3:$H$102,7,FALSE),main!$K$18:$O$18,0),0))),0)</f>
        <v>0</v>
      </c>
      <c r="R17">
        <f>IF((gamma!R17),IF(VLOOKUP(R$1,main!$A$3:$H$102,7,FALSE)=VLOOKUP($A17,main!$A$3:$H$102,8,FALSE),VLOOKUP(R$1,main!$A$3:$H$102,4,FALSE),VLOOKUP(R$1,main!$A$3:$H$102,4,FALSE)+VLOOKUP($A17,main!$A$3:$H$102,4,FALSE)+(VLOOKUP(VLOOKUP(R$1,main!$A$3:$H$102,8,FALSE),main!$K$19:$O$22,MATCH(VLOOKUP($A17,main!$A$3:$H$102,7,FALSE),main!$K$18:$O$18,0),0))),0)</f>
        <v>0</v>
      </c>
      <c r="S17">
        <f>IF((gamma!S17),IF(VLOOKUP(S$1,main!$A$3:$H$102,7,FALSE)=VLOOKUP($A17,main!$A$3:$H$102,8,FALSE),VLOOKUP(S$1,main!$A$3:$H$102,4,FALSE),VLOOKUP(S$1,main!$A$3:$H$102,4,FALSE)+VLOOKUP($A17,main!$A$3:$H$102,4,FALSE)+(VLOOKUP(VLOOKUP(S$1,main!$A$3:$H$102,8,FALSE),main!$K$19:$O$22,MATCH(VLOOKUP($A17,main!$A$3:$H$102,7,FALSE),main!$K$18:$O$18,0),0))),0)</f>
        <v>0</v>
      </c>
      <c r="T17">
        <f>IF((gamma!T17),IF(VLOOKUP(T$1,main!$A$3:$H$102,7,FALSE)=VLOOKUP($A17,main!$A$3:$H$102,8,FALSE),VLOOKUP(T$1,main!$A$3:$H$102,4,FALSE),VLOOKUP(T$1,main!$A$3:$H$102,4,FALSE)+VLOOKUP($A17,main!$A$3:$H$102,4,FALSE)+(VLOOKUP(VLOOKUP(T$1,main!$A$3:$H$102,8,FALSE),main!$K$19:$O$22,MATCH(VLOOKUP($A17,main!$A$3:$H$102,7,FALSE),main!$K$18:$O$18,0),0))),0)</f>
        <v>310</v>
      </c>
      <c r="U17">
        <f>IF((gamma!U17),IF(VLOOKUP(U$1,main!$A$3:$H$102,7,FALSE)=VLOOKUP($A17,main!$A$3:$H$102,8,FALSE),VLOOKUP(U$1,main!$A$3:$H$102,4,FALSE),VLOOKUP(U$1,main!$A$3:$H$102,4,FALSE)+VLOOKUP($A17,main!$A$3:$H$102,4,FALSE)+(VLOOKUP(VLOOKUP(U$1,main!$A$3:$H$102,8,FALSE),main!$K$19:$O$22,MATCH(VLOOKUP($A17,main!$A$3:$H$102,7,FALSE),main!$K$18:$O$18,0),0))),0)</f>
        <v>310</v>
      </c>
      <c r="V17">
        <f>IF((gamma!V17),IF(VLOOKUP(V$1,main!$A$3:$H$102,7,FALSE)=VLOOKUP($A17,main!$A$3:$H$102,8,FALSE),VLOOKUP(V$1,main!$A$3:$H$102,4,FALSE),VLOOKUP(V$1,main!$A$3:$H$102,4,FALSE)+VLOOKUP($A17,main!$A$3:$H$102,4,FALSE)+(VLOOKUP(VLOOKUP(V$1,main!$A$3:$H$102,8,FALSE),main!$K$19:$O$22,MATCH(VLOOKUP($A17,main!$A$3:$H$102,7,FALSE),main!$K$18:$O$18,0),0))),0)</f>
        <v>310</v>
      </c>
      <c r="W17">
        <f>IF((gamma!W17),IF(VLOOKUP(W$1,main!$A$3:$H$102,7,FALSE)=VLOOKUP($A17,main!$A$3:$H$102,8,FALSE),VLOOKUP(W$1,main!$A$3:$H$102,4,FALSE),VLOOKUP(W$1,main!$A$3:$H$102,4,FALSE)+VLOOKUP($A17,main!$A$3:$H$102,4,FALSE)+(VLOOKUP(VLOOKUP(W$1,main!$A$3:$H$102,8,FALSE),main!$K$19:$O$22,MATCH(VLOOKUP($A17,main!$A$3:$H$102,7,FALSE),main!$K$18:$O$18,0),0))),0)</f>
        <v>0</v>
      </c>
      <c r="X17">
        <f>IF((gamma!X17),IF(VLOOKUP(X$1,main!$A$3:$H$102,7,FALSE)=VLOOKUP($A17,main!$A$3:$H$102,8,FALSE),VLOOKUP(X$1,main!$A$3:$H$102,4,FALSE),VLOOKUP(X$1,main!$A$3:$H$102,4,FALSE)+VLOOKUP($A17,main!$A$3:$H$102,4,FALSE)+(VLOOKUP(VLOOKUP(X$1,main!$A$3:$H$102,8,FALSE),main!$K$19:$O$22,MATCH(VLOOKUP($A17,main!$A$3:$H$102,7,FALSE),main!$K$18:$O$18,0),0))),0)</f>
        <v>0</v>
      </c>
      <c r="Y17">
        <f>IF((gamma!Y17),IF(VLOOKUP(Y$1,main!$A$3:$H$102,7,FALSE)=VLOOKUP($A17,main!$A$3:$H$102,8,FALSE),VLOOKUP(Y$1,main!$A$3:$H$102,4,FALSE),VLOOKUP(Y$1,main!$A$3:$H$102,4,FALSE)+VLOOKUP($A17,main!$A$3:$H$102,4,FALSE)+(VLOOKUP(VLOOKUP(Y$1,main!$A$3:$H$102,8,FALSE),main!$K$19:$O$22,MATCH(VLOOKUP($A17,main!$A$3:$H$102,7,FALSE),main!$K$18:$O$18,0),0))),0)</f>
        <v>0</v>
      </c>
      <c r="Z17">
        <f>IF((gamma!Z17),IF(VLOOKUP(Z$1,main!$A$3:$H$102,7,FALSE)=VLOOKUP($A17,main!$A$3:$H$102,8,FALSE),VLOOKUP(Z$1,main!$A$3:$H$102,4,FALSE),VLOOKUP(Z$1,main!$A$3:$H$102,4,FALSE)+VLOOKUP($A17,main!$A$3:$H$102,4,FALSE)+(VLOOKUP(VLOOKUP(Z$1,main!$A$3:$H$102,8,FALSE),main!$K$19:$O$22,MATCH(VLOOKUP($A17,main!$A$3:$H$102,7,FALSE),main!$K$18:$O$18,0),0))),0)</f>
        <v>315</v>
      </c>
      <c r="AA17">
        <f>IF((gamma!AA17),IF(VLOOKUP(AA$1,main!$A$3:$H$102,7,FALSE)=VLOOKUP($A17,main!$A$3:$H$102,8,FALSE),VLOOKUP(AA$1,main!$A$3:$H$102,4,FALSE),VLOOKUP(AA$1,main!$A$3:$H$102,4,FALSE)+VLOOKUP($A17,main!$A$3:$H$102,4,FALSE)+(VLOOKUP(VLOOKUP(AA$1,main!$A$3:$H$102,8,FALSE),main!$K$19:$O$22,MATCH(VLOOKUP($A17,main!$A$3:$H$102,7,FALSE),main!$K$18:$O$18,0),0))),0)</f>
        <v>315</v>
      </c>
      <c r="AB17">
        <f>IF((gamma!AB17),IF(VLOOKUP(AB$1,main!$A$3:$H$102,7,FALSE)=VLOOKUP($A17,main!$A$3:$H$102,8,FALSE),VLOOKUP(AB$1,main!$A$3:$H$102,4,FALSE),VLOOKUP(AB$1,main!$A$3:$H$102,4,FALSE)+VLOOKUP($A17,main!$A$3:$H$102,4,FALSE)+(VLOOKUP(VLOOKUP(AB$1,main!$A$3:$H$102,8,FALSE),main!$K$19:$O$22,MATCH(VLOOKUP($A17,main!$A$3:$H$102,7,FALSE),main!$K$18:$O$18,0),0))),0)</f>
        <v>0</v>
      </c>
      <c r="AC17">
        <f>IF((gamma!AC17),IF(VLOOKUP(AC$1,main!$A$3:$H$102,7,FALSE)=VLOOKUP($A17,main!$A$3:$H$102,8,FALSE),VLOOKUP(AC$1,main!$A$3:$H$102,4,FALSE),VLOOKUP(AC$1,main!$A$3:$H$102,4,FALSE)+VLOOKUP($A17,main!$A$3:$H$102,4,FALSE)+(VLOOKUP(VLOOKUP(AC$1,main!$A$3:$H$102,8,FALSE),main!$K$19:$O$22,MATCH(VLOOKUP($A17,main!$A$3:$H$102,7,FALSE),main!$K$18:$O$18,0),0))),0)</f>
        <v>0</v>
      </c>
      <c r="AD17">
        <f>IF((gamma!AD17),IF(VLOOKUP(AD$1,main!$A$3:$H$102,7,FALSE)=VLOOKUP($A17,main!$A$3:$H$102,8,FALSE),VLOOKUP(AD$1,main!$A$3:$H$102,4,FALSE),VLOOKUP(AD$1,main!$A$3:$H$102,4,FALSE)+VLOOKUP($A17,main!$A$3:$H$102,4,FALSE)+(VLOOKUP(VLOOKUP(AD$1,main!$A$3:$H$102,8,FALSE),main!$K$19:$O$22,MATCH(VLOOKUP($A17,main!$A$3:$H$102,7,FALSE),main!$K$18:$O$18,0),0))),0)</f>
        <v>0</v>
      </c>
      <c r="AE17">
        <f>IF((gamma!AE17),IF(VLOOKUP(AE$1,main!$A$3:$H$102,7,FALSE)=VLOOKUP($A17,main!$A$3:$H$102,8,FALSE),VLOOKUP(AE$1,main!$A$3:$H$102,4,FALSE),VLOOKUP(AE$1,main!$A$3:$H$102,4,FALSE)+VLOOKUP($A17,main!$A$3:$H$102,4,FALSE)+(VLOOKUP(VLOOKUP(AE$1,main!$A$3:$H$102,8,FALSE),main!$K$19:$O$22,MATCH(VLOOKUP($A17,main!$A$3:$H$102,7,FALSE),main!$K$18:$O$18,0),0))),0)</f>
        <v>0</v>
      </c>
      <c r="AF17">
        <f>IF((gamma!AF17),IF(VLOOKUP(AF$1,main!$A$3:$H$102,7,FALSE)=VLOOKUP($A17,main!$A$3:$H$102,8,FALSE),VLOOKUP(AF$1,main!$A$3:$H$102,4,FALSE),VLOOKUP(AF$1,main!$A$3:$H$102,4,FALSE)+VLOOKUP($A17,main!$A$3:$H$102,4,FALSE)+(VLOOKUP(VLOOKUP(AF$1,main!$A$3:$H$102,8,FALSE),main!$K$19:$O$22,MATCH(VLOOKUP($A17,main!$A$3:$H$102,7,FALSE),main!$K$18:$O$18,0),0))),0)</f>
        <v>275</v>
      </c>
      <c r="AG17">
        <f>IF((gamma!AG17),IF(VLOOKUP(AG$1,main!$A$3:$H$102,7,FALSE)=VLOOKUP($A17,main!$A$3:$H$102,8,FALSE),VLOOKUP(AG$1,main!$A$3:$H$102,4,FALSE),VLOOKUP(AG$1,main!$A$3:$H$102,4,FALSE)+VLOOKUP($A17,main!$A$3:$H$102,4,FALSE)+(VLOOKUP(VLOOKUP(AG$1,main!$A$3:$H$102,8,FALSE),main!$K$19:$O$22,MATCH(VLOOKUP($A17,main!$A$3:$H$102,7,FALSE),main!$K$18:$O$18,0),0))),0)</f>
        <v>0</v>
      </c>
      <c r="AH17">
        <f>IF((gamma!AH17),IF(VLOOKUP(AH$1,main!$A$3:$H$102,7,FALSE)=VLOOKUP($A17,main!$A$3:$H$102,8,FALSE),VLOOKUP(AH$1,main!$A$3:$H$102,4,FALSE),VLOOKUP(AH$1,main!$A$3:$H$102,4,FALSE)+VLOOKUP($A17,main!$A$3:$H$102,4,FALSE)+(VLOOKUP(VLOOKUP(AH$1,main!$A$3:$H$102,8,FALSE),main!$K$19:$O$22,MATCH(VLOOKUP($A17,main!$A$3:$H$102,7,FALSE),main!$K$18:$O$18,0),0))),0)</f>
        <v>0</v>
      </c>
      <c r="AI17">
        <f>IF((gamma!AI17),IF(VLOOKUP(AI$1,main!$A$3:$H$102,7,FALSE)=VLOOKUP($A17,main!$A$3:$H$102,8,FALSE),VLOOKUP(AI$1,main!$A$3:$H$102,4,FALSE),VLOOKUP(AI$1,main!$A$3:$H$102,4,FALSE)+VLOOKUP($A17,main!$A$3:$H$102,4,FALSE)+(VLOOKUP(VLOOKUP(AI$1,main!$A$3:$H$102,8,FALSE),main!$K$19:$O$22,MATCH(VLOOKUP($A17,main!$A$3:$H$102,7,FALSE),main!$K$18:$O$18,0),0))),0)</f>
        <v>0</v>
      </c>
      <c r="AJ17">
        <f>IF((gamma!AJ17),IF(VLOOKUP(AJ$1,main!$A$3:$H$102,7,FALSE)=VLOOKUP($A17,main!$A$3:$H$102,8,FALSE),VLOOKUP(AJ$1,main!$A$3:$H$102,4,FALSE),VLOOKUP(AJ$1,main!$A$3:$H$102,4,FALSE)+VLOOKUP($A17,main!$A$3:$H$102,4,FALSE)+(VLOOKUP(VLOOKUP(AJ$1,main!$A$3:$H$102,8,FALSE),main!$K$19:$O$22,MATCH(VLOOKUP($A17,main!$A$3:$H$102,7,FALSE),main!$K$18:$O$18,0),0))),0)</f>
        <v>0</v>
      </c>
      <c r="AK17">
        <f>IF((gamma!AK17),IF(VLOOKUP(AK$1,main!$A$3:$H$102,7,FALSE)=VLOOKUP($A17,main!$A$3:$H$102,8,FALSE),VLOOKUP(AK$1,main!$A$3:$H$102,4,FALSE),VLOOKUP(AK$1,main!$A$3:$H$102,4,FALSE)+VLOOKUP($A17,main!$A$3:$H$102,4,FALSE)+(VLOOKUP(VLOOKUP(AK$1,main!$A$3:$H$102,8,FALSE),main!$K$19:$O$22,MATCH(VLOOKUP($A17,main!$A$3:$H$102,7,FALSE),main!$K$18:$O$18,0),0))),0)</f>
        <v>0</v>
      </c>
      <c r="AL17">
        <f>IF((gamma!AL17),IF(VLOOKUP(AL$1,main!$A$3:$H$102,7,FALSE)=VLOOKUP($A17,main!$A$3:$H$102,8,FALSE),VLOOKUP(AL$1,main!$A$3:$H$102,4,FALSE),VLOOKUP(AL$1,main!$A$3:$H$102,4,FALSE)+VLOOKUP($A17,main!$A$3:$H$102,4,FALSE)+(VLOOKUP(VLOOKUP(AL$1,main!$A$3:$H$102,8,FALSE),main!$K$19:$O$22,MATCH(VLOOKUP($A17,main!$A$3:$H$102,7,FALSE),main!$K$18:$O$18,0),0))),0)</f>
        <v>275</v>
      </c>
      <c r="AM17">
        <f>IF((gamma!AM17),IF(VLOOKUP(AM$1,main!$A$3:$H$102,7,FALSE)=VLOOKUP($A17,main!$A$3:$H$102,8,FALSE),VLOOKUP(AM$1,main!$A$3:$H$102,4,FALSE),VLOOKUP(AM$1,main!$A$3:$H$102,4,FALSE)+VLOOKUP($A17,main!$A$3:$H$102,4,FALSE)+(VLOOKUP(VLOOKUP(AM$1,main!$A$3:$H$102,8,FALSE),main!$K$19:$O$22,MATCH(VLOOKUP($A17,main!$A$3:$H$102,7,FALSE),main!$K$18:$O$18,0),0))),0)</f>
        <v>275</v>
      </c>
      <c r="AN17">
        <f>IF((gamma!AN17),IF(VLOOKUP(AN$1,main!$A$3:$H$102,7,FALSE)=VLOOKUP($A17,main!$A$3:$H$102,8,FALSE),VLOOKUP(AN$1,main!$A$3:$H$102,4,FALSE),VLOOKUP(AN$1,main!$A$3:$H$102,4,FALSE)+VLOOKUP($A17,main!$A$3:$H$102,4,FALSE)+(VLOOKUP(VLOOKUP(AN$1,main!$A$3:$H$102,8,FALSE),main!$K$19:$O$22,MATCH(VLOOKUP($A17,main!$A$3:$H$102,7,FALSE),main!$K$18:$O$18,0),0))),0)</f>
        <v>275</v>
      </c>
      <c r="AO17">
        <f>IF((gamma!AO17),IF(VLOOKUP(AO$1,main!$A$3:$H$102,7,FALSE)=VLOOKUP($A17,main!$A$3:$H$102,8,FALSE),VLOOKUP(AO$1,main!$A$3:$H$102,4,FALSE),VLOOKUP(AO$1,main!$A$3:$H$102,4,FALSE)+VLOOKUP($A17,main!$A$3:$H$102,4,FALSE)+(VLOOKUP(VLOOKUP(AO$1,main!$A$3:$H$102,8,FALSE),main!$K$19:$O$22,MATCH(VLOOKUP($A17,main!$A$3:$H$102,7,FALSE),main!$K$18:$O$18,0),0))),0)</f>
        <v>0</v>
      </c>
      <c r="AP17">
        <f>IF((gamma!AP17),IF(VLOOKUP(AP$1,main!$A$3:$H$102,7,FALSE)=VLOOKUP($A17,main!$A$3:$H$102,8,FALSE),VLOOKUP(AP$1,main!$A$3:$H$102,4,FALSE),VLOOKUP(AP$1,main!$A$3:$H$102,4,FALSE)+VLOOKUP($A17,main!$A$3:$H$102,4,FALSE)+(VLOOKUP(VLOOKUP(AP$1,main!$A$3:$H$102,8,FALSE),main!$K$19:$O$22,MATCH(VLOOKUP($A17,main!$A$3:$H$102,7,FALSE),main!$K$18:$O$18,0),0))),0)</f>
        <v>215</v>
      </c>
      <c r="AQ17">
        <f>IF((gamma!AQ17),IF(VLOOKUP(AQ$1,main!$A$3:$H$102,7,FALSE)=VLOOKUP($A17,main!$A$3:$H$102,8,FALSE),VLOOKUP(AQ$1,main!$A$3:$H$102,4,FALSE),VLOOKUP(AQ$1,main!$A$3:$H$102,4,FALSE)+VLOOKUP($A17,main!$A$3:$H$102,4,FALSE)+(VLOOKUP(VLOOKUP(AQ$1,main!$A$3:$H$102,8,FALSE),main!$K$19:$O$22,MATCH(VLOOKUP($A17,main!$A$3:$H$102,7,FALSE),main!$K$18:$O$18,0),0))),0)</f>
        <v>0</v>
      </c>
      <c r="AR17">
        <f>IF((gamma!AR17),IF(VLOOKUP(AR$1,main!$A$3:$H$102,7,FALSE)=VLOOKUP($A17,main!$A$3:$H$102,8,FALSE),VLOOKUP(AR$1,main!$A$3:$H$102,4,FALSE),VLOOKUP(AR$1,main!$A$3:$H$102,4,FALSE)+VLOOKUP($A17,main!$A$3:$H$102,4,FALSE)+(VLOOKUP(VLOOKUP(AR$1,main!$A$3:$H$102,8,FALSE),main!$K$19:$O$22,MATCH(VLOOKUP($A17,main!$A$3:$H$102,7,FALSE),main!$K$18:$O$18,0),0))),0)</f>
        <v>0</v>
      </c>
      <c r="AS17">
        <f>IF((gamma!AS17),IF(VLOOKUP(AS$1,main!$A$3:$H$102,7,FALSE)=VLOOKUP($A17,main!$A$3:$H$102,8,FALSE),VLOOKUP(AS$1,main!$A$3:$H$102,4,FALSE),VLOOKUP(AS$1,main!$A$3:$H$102,4,FALSE)+VLOOKUP($A17,main!$A$3:$H$102,4,FALSE)+(VLOOKUP(VLOOKUP(AS$1,main!$A$3:$H$102,8,FALSE),main!$K$19:$O$22,MATCH(VLOOKUP($A17,main!$A$3:$H$102,7,FALSE),main!$K$18:$O$18,0),0))),0)</f>
        <v>0</v>
      </c>
      <c r="AT17">
        <f>IF((gamma!AT17),IF(VLOOKUP(AT$1,main!$A$3:$H$102,7,FALSE)=VLOOKUP($A17,main!$A$3:$H$102,8,FALSE),VLOOKUP(AT$1,main!$A$3:$H$102,4,FALSE),VLOOKUP(AT$1,main!$A$3:$H$102,4,FALSE)+VLOOKUP($A17,main!$A$3:$H$102,4,FALSE)+(VLOOKUP(VLOOKUP(AT$1,main!$A$3:$H$102,8,FALSE),main!$K$19:$O$22,MATCH(VLOOKUP($A17,main!$A$3:$H$102,7,FALSE),main!$K$18:$O$18,0),0))),0)</f>
        <v>300</v>
      </c>
      <c r="AU17">
        <f>IF((gamma!AU17),IF(VLOOKUP(AU$1,main!$A$3:$H$102,7,FALSE)=VLOOKUP($A17,main!$A$3:$H$102,8,FALSE),VLOOKUP(AU$1,main!$A$3:$H$102,4,FALSE),VLOOKUP(AU$1,main!$A$3:$H$102,4,FALSE)+VLOOKUP($A17,main!$A$3:$H$102,4,FALSE)+(VLOOKUP(VLOOKUP(AU$1,main!$A$3:$H$102,8,FALSE),main!$K$19:$O$22,MATCH(VLOOKUP($A17,main!$A$3:$H$102,7,FALSE),main!$K$18:$O$18,0),0))),0)</f>
        <v>0</v>
      </c>
      <c r="AV17">
        <f>IF((gamma!AV17),IF(VLOOKUP(AV$1,main!$A$3:$H$102,7,FALSE)=VLOOKUP($A17,main!$A$3:$H$102,8,FALSE),VLOOKUP(AV$1,main!$A$3:$H$102,4,FALSE),VLOOKUP(AV$1,main!$A$3:$H$102,4,FALSE)+VLOOKUP($A17,main!$A$3:$H$102,4,FALSE)+(VLOOKUP(VLOOKUP(AV$1,main!$A$3:$H$102,8,FALSE),main!$K$19:$O$22,MATCH(VLOOKUP($A17,main!$A$3:$H$102,7,FALSE),main!$K$18:$O$18,0),0))),0)</f>
        <v>0</v>
      </c>
      <c r="AW17">
        <f>IF((gamma!AW17),IF(VLOOKUP(AW$1,main!$A$3:$H$102,7,FALSE)=VLOOKUP($A17,main!$A$3:$H$102,8,FALSE),VLOOKUP(AW$1,main!$A$3:$H$102,4,FALSE),VLOOKUP(AW$1,main!$A$3:$H$102,4,FALSE)+VLOOKUP($A17,main!$A$3:$H$102,4,FALSE)+(VLOOKUP(VLOOKUP(AW$1,main!$A$3:$H$102,8,FALSE),main!$K$19:$O$22,MATCH(VLOOKUP($A17,main!$A$3:$H$102,7,FALSE),main!$K$18:$O$18,0),0))),0)</f>
        <v>0</v>
      </c>
      <c r="AX17">
        <f>IF((gamma!AX17),IF(VLOOKUP(AX$1,main!$A$3:$H$102,7,FALSE)=VLOOKUP($A17,main!$A$3:$H$102,8,FALSE),VLOOKUP(AX$1,main!$A$3:$H$102,4,FALSE),VLOOKUP(AX$1,main!$A$3:$H$102,4,FALSE)+VLOOKUP($A17,main!$A$3:$H$102,4,FALSE)+(VLOOKUP(VLOOKUP(AX$1,main!$A$3:$H$102,8,FALSE),main!$K$19:$O$22,MATCH(VLOOKUP($A17,main!$A$3:$H$102,7,FALSE),main!$K$18:$O$18,0),0))),0)</f>
        <v>0</v>
      </c>
      <c r="AY17">
        <f>IF((gamma!AY17),IF(VLOOKUP(AY$1,main!$A$3:$H$102,7,FALSE)=VLOOKUP($A17,main!$A$3:$H$102,8,FALSE),VLOOKUP(AY$1,main!$A$3:$H$102,4,FALSE),VLOOKUP(AY$1,main!$A$3:$H$102,4,FALSE)+VLOOKUP($A17,main!$A$3:$H$102,4,FALSE)+(VLOOKUP(VLOOKUP(AY$1,main!$A$3:$H$102,8,FALSE),main!$K$19:$O$22,MATCH(VLOOKUP($A17,main!$A$3:$H$102,7,FALSE),main!$K$18:$O$18,0),0))),0)</f>
        <v>0</v>
      </c>
      <c r="AZ17">
        <f>IF((gamma!AZ17),IF(VLOOKUP(AZ$1,main!$A$3:$H$102,7,FALSE)=VLOOKUP($A17,main!$A$3:$H$102,8,FALSE),VLOOKUP(AZ$1,main!$A$3:$H$102,4,FALSE),VLOOKUP(AZ$1,main!$A$3:$H$102,4,FALSE)+VLOOKUP($A17,main!$A$3:$H$102,4,FALSE)+(VLOOKUP(VLOOKUP(AZ$1,main!$A$3:$H$102,8,FALSE),main!$K$19:$O$22,MATCH(VLOOKUP($A17,main!$A$3:$H$102,7,FALSE),main!$K$18:$O$18,0),0))),0)</f>
        <v>0</v>
      </c>
      <c r="BA17">
        <f>IF((gamma!BA17),IF(VLOOKUP(BA$1,main!$A$3:$H$102,7,FALSE)=VLOOKUP($A17,main!$A$3:$H$102,8,FALSE),VLOOKUP(BA$1,main!$A$3:$H$102,4,FALSE),VLOOKUP(BA$1,main!$A$3:$H$102,4,FALSE)+VLOOKUP($A17,main!$A$3:$H$102,4,FALSE)+(VLOOKUP(VLOOKUP(BA$1,main!$A$3:$H$102,8,FALSE),main!$K$19:$O$22,MATCH(VLOOKUP($A17,main!$A$3:$H$102,7,FALSE),main!$K$18:$O$18,0),0))),0)</f>
        <v>0</v>
      </c>
      <c r="BB17">
        <f>IF((gamma!BB17),IF(VLOOKUP(BB$1,main!$A$3:$H$102,7,FALSE)=VLOOKUP($A17,main!$A$3:$H$102,8,FALSE),VLOOKUP(BB$1,main!$A$3:$H$102,4,FALSE),VLOOKUP(BB$1,main!$A$3:$H$102,4,FALSE)+VLOOKUP($A17,main!$A$3:$H$102,4,FALSE)+(VLOOKUP(VLOOKUP(BB$1,main!$A$3:$H$102,8,FALSE),main!$K$19:$O$22,MATCH(VLOOKUP($A17,main!$A$3:$H$102,7,FALSE),main!$K$18:$O$18,0),0))),0)</f>
        <v>0</v>
      </c>
      <c r="BC17">
        <f>IF((gamma!BC17),IF(VLOOKUP(BC$1,main!$A$3:$H$102,7,FALSE)=VLOOKUP($A17,main!$A$3:$H$102,8,FALSE),VLOOKUP(BC$1,main!$A$3:$H$102,4,FALSE),VLOOKUP(BC$1,main!$A$3:$H$102,4,FALSE)+VLOOKUP($A17,main!$A$3:$H$102,4,FALSE)+(VLOOKUP(VLOOKUP(BC$1,main!$A$3:$H$102,8,FALSE),main!$K$19:$O$22,MATCH(VLOOKUP($A17,main!$A$3:$H$102,7,FALSE),main!$K$18:$O$18,0),0))),0)</f>
        <v>0</v>
      </c>
      <c r="BD17">
        <f>IF((gamma!BD17),IF(VLOOKUP(BD$1,main!$A$3:$H$102,7,FALSE)=VLOOKUP($A17,main!$A$3:$H$102,8,FALSE),VLOOKUP(BD$1,main!$A$3:$H$102,4,FALSE),VLOOKUP(BD$1,main!$A$3:$H$102,4,FALSE)+VLOOKUP($A17,main!$A$3:$H$102,4,FALSE)+(VLOOKUP(VLOOKUP(BD$1,main!$A$3:$H$102,8,FALSE),main!$K$19:$O$22,MATCH(VLOOKUP($A17,main!$A$3:$H$102,7,FALSE),main!$K$18:$O$18,0),0))),0)</f>
        <v>140</v>
      </c>
      <c r="BE17">
        <f>IF((gamma!BE17),IF(VLOOKUP(BE$1,main!$A$3:$H$102,7,FALSE)=VLOOKUP($A17,main!$A$3:$H$102,8,FALSE),VLOOKUP(BE$1,main!$A$3:$H$102,4,FALSE),VLOOKUP(BE$1,main!$A$3:$H$102,4,FALSE)+VLOOKUP($A17,main!$A$3:$H$102,4,FALSE)+(VLOOKUP(VLOOKUP(BE$1,main!$A$3:$H$102,8,FALSE),main!$K$19:$O$22,MATCH(VLOOKUP($A17,main!$A$3:$H$102,7,FALSE),main!$K$18:$O$18,0),0))),0)</f>
        <v>140</v>
      </c>
      <c r="BF17">
        <f>IF((gamma!BF17),IF(VLOOKUP(BF$1,main!$A$3:$H$102,7,FALSE)=VLOOKUP($A17,main!$A$3:$H$102,8,FALSE),VLOOKUP(BF$1,main!$A$3:$H$102,4,FALSE),VLOOKUP(BF$1,main!$A$3:$H$102,4,FALSE)+VLOOKUP($A17,main!$A$3:$H$102,4,FALSE)+(VLOOKUP(VLOOKUP(BF$1,main!$A$3:$H$102,8,FALSE),main!$K$19:$O$22,MATCH(VLOOKUP($A17,main!$A$3:$H$102,7,FALSE),main!$K$18:$O$18,0),0))),0)</f>
        <v>0</v>
      </c>
      <c r="BG17">
        <f>IF((gamma!BG17),IF(VLOOKUP(BG$1,main!$A$3:$H$102,7,FALSE)=VLOOKUP($A17,main!$A$3:$H$102,8,FALSE),VLOOKUP(BG$1,main!$A$3:$H$102,4,FALSE),VLOOKUP(BG$1,main!$A$3:$H$102,4,FALSE)+VLOOKUP($A17,main!$A$3:$H$102,4,FALSE)+(VLOOKUP(VLOOKUP(BG$1,main!$A$3:$H$102,8,FALSE),main!$K$19:$O$22,MATCH(VLOOKUP($A17,main!$A$3:$H$102,7,FALSE),main!$K$18:$O$18,0),0))),0)</f>
        <v>0</v>
      </c>
      <c r="BH17">
        <f>IF((gamma!BH17),IF(VLOOKUP(BH$1,main!$A$3:$H$102,7,FALSE)=VLOOKUP($A17,main!$A$3:$H$102,8,FALSE),VLOOKUP(BH$1,main!$A$3:$H$102,4,FALSE),VLOOKUP(BH$1,main!$A$3:$H$102,4,FALSE)+VLOOKUP($A17,main!$A$3:$H$102,4,FALSE)+(VLOOKUP(VLOOKUP(BH$1,main!$A$3:$H$102,8,FALSE),main!$K$19:$O$22,MATCH(VLOOKUP($A17,main!$A$3:$H$102,7,FALSE),main!$K$18:$O$18,0),0))),0)</f>
        <v>0</v>
      </c>
      <c r="BI17">
        <f>IF((gamma!BI17),IF(VLOOKUP(BI$1,main!$A$3:$H$102,7,FALSE)=VLOOKUP($A17,main!$A$3:$H$102,8,FALSE),VLOOKUP(BI$1,main!$A$3:$H$102,4,FALSE),VLOOKUP(BI$1,main!$A$3:$H$102,4,FALSE)+VLOOKUP($A17,main!$A$3:$H$102,4,FALSE)+(VLOOKUP(VLOOKUP(BI$1,main!$A$3:$H$102,8,FALSE),main!$K$19:$O$22,MATCH(VLOOKUP($A17,main!$A$3:$H$102,7,FALSE),main!$K$18:$O$18,0),0))),0)</f>
        <v>60</v>
      </c>
      <c r="BJ17">
        <f>IF((gamma!BJ17),IF(VLOOKUP(BJ$1,main!$A$3:$H$102,7,FALSE)=VLOOKUP($A17,main!$A$3:$H$102,8,FALSE),VLOOKUP(BJ$1,main!$A$3:$H$102,4,FALSE),VLOOKUP(BJ$1,main!$A$3:$H$102,4,FALSE)+VLOOKUP($A17,main!$A$3:$H$102,4,FALSE)+(VLOOKUP(VLOOKUP(BJ$1,main!$A$3:$H$102,8,FALSE),main!$K$19:$O$22,MATCH(VLOOKUP($A17,main!$A$3:$H$102,7,FALSE),main!$K$18:$O$18,0),0))),0)</f>
        <v>90</v>
      </c>
      <c r="BK17">
        <f>IF((gamma!BK17),IF(VLOOKUP(BK$1,main!$A$3:$H$102,7,FALSE)=VLOOKUP($A17,main!$A$3:$H$102,8,FALSE),VLOOKUP(BK$1,main!$A$3:$H$102,4,FALSE),VLOOKUP(BK$1,main!$A$3:$H$102,4,FALSE)+VLOOKUP($A17,main!$A$3:$H$102,4,FALSE)+(VLOOKUP(VLOOKUP(BK$1,main!$A$3:$H$102,8,FALSE),main!$K$19:$O$22,MATCH(VLOOKUP($A17,main!$A$3:$H$102,7,FALSE),main!$K$18:$O$18,0),0))),0)</f>
        <v>0</v>
      </c>
      <c r="BL17">
        <f>IF((gamma!BL17),IF(VLOOKUP(BL$1,main!$A$3:$H$102,7,FALSE)=VLOOKUP($A17,main!$A$3:$H$102,8,FALSE),VLOOKUP(BL$1,main!$A$3:$H$102,4,FALSE),VLOOKUP(BL$1,main!$A$3:$H$102,4,FALSE)+VLOOKUP($A17,main!$A$3:$H$102,4,FALSE)+(VLOOKUP(VLOOKUP(BL$1,main!$A$3:$H$102,8,FALSE),main!$K$19:$O$22,MATCH(VLOOKUP($A17,main!$A$3:$H$102,7,FALSE),main!$K$18:$O$18,0),0))),0)</f>
        <v>0</v>
      </c>
      <c r="BM17">
        <f>IF((gamma!BM17),IF(VLOOKUP(BM$1,main!$A$3:$H$102,7,FALSE)=VLOOKUP($A17,main!$A$3:$H$102,8,FALSE),VLOOKUP(BM$1,main!$A$3:$H$102,4,FALSE),VLOOKUP(BM$1,main!$A$3:$H$102,4,FALSE)+VLOOKUP($A17,main!$A$3:$H$102,4,FALSE)+(VLOOKUP(VLOOKUP(BM$1,main!$A$3:$H$102,8,FALSE),main!$K$19:$O$22,MATCH(VLOOKUP($A17,main!$A$3:$H$102,7,FALSE),main!$K$18:$O$18,0),0))),0)</f>
        <v>0</v>
      </c>
      <c r="BN17">
        <f>IF((gamma!BN17),IF(VLOOKUP(BN$1,main!$A$3:$H$102,7,FALSE)=VLOOKUP($A17,main!$A$3:$H$102,8,FALSE),VLOOKUP(BN$1,main!$A$3:$H$102,4,FALSE),VLOOKUP(BN$1,main!$A$3:$H$102,4,FALSE)+VLOOKUP($A17,main!$A$3:$H$102,4,FALSE)+(VLOOKUP(VLOOKUP(BN$1,main!$A$3:$H$102,8,FALSE),main!$K$19:$O$22,MATCH(VLOOKUP($A17,main!$A$3:$H$102,7,FALSE),main!$K$18:$O$18,0),0))),0)</f>
        <v>0</v>
      </c>
      <c r="BO17">
        <f>IF((gamma!BO17),IF(VLOOKUP(BO$1,main!$A$3:$H$102,7,FALSE)=VLOOKUP($A17,main!$A$3:$H$102,8,FALSE),VLOOKUP(BO$1,main!$A$3:$H$102,4,FALSE),VLOOKUP(BO$1,main!$A$3:$H$102,4,FALSE)+VLOOKUP($A17,main!$A$3:$H$102,4,FALSE)+(VLOOKUP(VLOOKUP(BO$1,main!$A$3:$H$102,8,FALSE),main!$K$19:$O$22,MATCH(VLOOKUP($A17,main!$A$3:$H$102,7,FALSE),main!$K$18:$O$18,0),0))),0)</f>
        <v>0</v>
      </c>
      <c r="BP17">
        <f>IF((gamma!BP17),IF(VLOOKUP(BP$1,main!$A$3:$H$102,7,FALSE)=VLOOKUP($A17,main!$A$3:$H$102,8,FALSE),VLOOKUP(BP$1,main!$A$3:$H$102,4,FALSE),VLOOKUP(BP$1,main!$A$3:$H$102,4,FALSE)+VLOOKUP($A17,main!$A$3:$H$102,4,FALSE)+(VLOOKUP(VLOOKUP(BP$1,main!$A$3:$H$102,8,FALSE),main!$K$19:$O$22,MATCH(VLOOKUP($A17,main!$A$3:$H$102,7,FALSE),main!$K$18:$O$18,0),0))),0)</f>
        <v>0</v>
      </c>
      <c r="BQ17">
        <f>IF((gamma!BQ17),IF(VLOOKUP(BQ$1,main!$A$3:$H$102,7,FALSE)=VLOOKUP($A17,main!$A$3:$H$102,8,FALSE),VLOOKUP(BQ$1,main!$A$3:$H$102,4,FALSE),VLOOKUP(BQ$1,main!$A$3:$H$102,4,FALSE)+VLOOKUP($A17,main!$A$3:$H$102,4,FALSE)+(VLOOKUP(VLOOKUP(BQ$1,main!$A$3:$H$102,8,FALSE),main!$K$19:$O$22,MATCH(VLOOKUP($A17,main!$A$3:$H$102,7,FALSE),main!$K$18:$O$18,0),0))),0)</f>
        <v>0</v>
      </c>
      <c r="BR17">
        <f>IF((gamma!BR17),IF(VLOOKUP(BR$1,main!$A$3:$H$102,7,FALSE)=VLOOKUP($A17,main!$A$3:$H$102,8,FALSE),VLOOKUP(BR$1,main!$A$3:$H$102,4,FALSE),VLOOKUP(BR$1,main!$A$3:$H$102,4,FALSE)+VLOOKUP($A17,main!$A$3:$H$102,4,FALSE)+(VLOOKUP(VLOOKUP(BR$1,main!$A$3:$H$102,8,FALSE),main!$K$19:$O$22,MATCH(VLOOKUP($A17,main!$A$3:$H$102,7,FALSE),main!$K$18:$O$18,0),0))),0)</f>
        <v>0</v>
      </c>
      <c r="BS17">
        <f>IF((gamma!BS17),IF(VLOOKUP(BS$1,main!$A$3:$H$102,7,FALSE)=VLOOKUP($A17,main!$A$3:$H$102,8,FALSE),VLOOKUP(BS$1,main!$A$3:$H$102,4,FALSE),VLOOKUP(BS$1,main!$A$3:$H$102,4,FALSE)+VLOOKUP($A17,main!$A$3:$H$102,4,FALSE)+(VLOOKUP(VLOOKUP(BS$1,main!$A$3:$H$102,8,FALSE),main!$K$19:$O$22,MATCH(VLOOKUP($A17,main!$A$3:$H$102,7,FALSE),main!$K$18:$O$18,0),0))),0)</f>
        <v>0</v>
      </c>
      <c r="BT17">
        <f>IF((gamma!BT17),IF(VLOOKUP(BT$1,main!$A$3:$H$102,7,FALSE)=VLOOKUP($A17,main!$A$3:$H$102,8,FALSE),VLOOKUP(BT$1,main!$A$3:$H$102,4,FALSE),VLOOKUP(BT$1,main!$A$3:$H$102,4,FALSE)+VLOOKUP($A17,main!$A$3:$H$102,4,FALSE)+(VLOOKUP(VLOOKUP(BT$1,main!$A$3:$H$102,8,FALSE),main!$K$19:$O$22,MATCH(VLOOKUP($A17,main!$A$3:$H$102,7,FALSE),main!$K$18:$O$18,0),0))),0)</f>
        <v>0</v>
      </c>
      <c r="BU17">
        <f>IF((gamma!BU17),IF(VLOOKUP(BU$1,main!$A$3:$H$102,7,FALSE)=VLOOKUP($A17,main!$A$3:$H$102,8,FALSE),VLOOKUP(BU$1,main!$A$3:$H$102,4,FALSE),VLOOKUP(BU$1,main!$A$3:$H$102,4,FALSE)+VLOOKUP($A17,main!$A$3:$H$102,4,FALSE)+(VLOOKUP(VLOOKUP(BU$1,main!$A$3:$H$102,8,FALSE),main!$K$19:$O$22,MATCH(VLOOKUP($A17,main!$A$3:$H$102,7,FALSE),main!$K$18:$O$18,0),0))),0)</f>
        <v>0</v>
      </c>
      <c r="BV17">
        <f>IF((gamma!BV17),IF(VLOOKUP(BV$1,main!$A$3:$H$102,7,FALSE)=VLOOKUP($A17,main!$A$3:$H$102,8,FALSE),VLOOKUP(BV$1,main!$A$3:$H$102,4,FALSE),VLOOKUP(BV$1,main!$A$3:$H$102,4,FALSE)+VLOOKUP($A17,main!$A$3:$H$102,4,FALSE)+(VLOOKUP(VLOOKUP(BV$1,main!$A$3:$H$102,8,FALSE),main!$K$19:$O$22,MATCH(VLOOKUP($A17,main!$A$3:$H$102,7,FALSE),main!$K$18:$O$18,0),0))),0)</f>
        <v>0</v>
      </c>
      <c r="BW17">
        <f>IF((gamma!BW17),IF(VLOOKUP(BW$1,main!$A$3:$H$102,7,FALSE)=VLOOKUP($A17,main!$A$3:$H$102,8,FALSE),VLOOKUP(BW$1,main!$A$3:$H$102,4,FALSE),VLOOKUP(BW$1,main!$A$3:$H$102,4,FALSE)+VLOOKUP($A17,main!$A$3:$H$102,4,FALSE)+(VLOOKUP(VLOOKUP(BW$1,main!$A$3:$H$102,8,FALSE),main!$K$19:$O$22,MATCH(VLOOKUP($A17,main!$A$3:$H$102,7,FALSE),main!$K$18:$O$18,0),0))),0)</f>
        <v>0</v>
      </c>
      <c r="BX17">
        <f>IF((gamma!BX17),IF(VLOOKUP(BX$1,main!$A$3:$H$102,7,FALSE)=VLOOKUP($A17,main!$A$3:$H$102,8,FALSE),VLOOKUP(BX$1,main!$A$3:$H$102,4,FALSE),VLOOKUP(BX$1,main!$A$3:$H$102,4,FALSE)+VLOOKUP($A17,main!$A$3:$H$102,4,FALSE)+(VLOOKUP(VLOOKUP(BX$1,main!$A$3:$H$102,8,FALSE),main!$K$19:$O$22,MATCH(VLOOKUP($A17,main!$A$3:$H$102,7,FALSE),main!$K$18:$O$18,0),0))),0)</f>
        <v>0</v>
      </c>
      <c r="BY17">
        <f>IF((gamma!BY17),IF(VLOOKUP(BY$1,main!$A$3:$H$102,7,FALSE)=VLOOKUP($A17,main!$A$3:$H$102,8,FALSE),VLOOKUP(BY$1,main!$A$3:$H$102,4,FALSE),VLOOKUP(BY$1,main!$A$3:$H$102,4,FALSE)+VLOOKUP($A17,main!$A$3:$H$102,4,FALSE)+(VLOOKUP(VLOOKUP(BY$1,main!$A$3:$H$102,8,FALSE),main!$K$19:$O$22,MATCH(VLOOKUP($A17,main!$A$3:$H$102,7,FALSE),main!$K$18:$O$18,0),0))),0)</f>
        <v>0</v>
      </c>
      <c r="BZ17">
        <f>IF((gamma!BZ17),IF(VLOOKUP(BZ$1,main!$A$3:$H$102,7,FALSE)=VLOOKUP($A17,main!$A$3:$H$102,8,FALSE),VLOOKUP(BZ$1,main!$A$3:$H$102,4,FALSE),VLOOKUP(BZ$1,main!$A$3:$H$102,4,FALSE)+VLOOKUP($A17,main!$A$3:$H$102,4,FALSE)+(VLOOKUP(VLOOKUP(BZ$1,main!$A$3:$H$102,8,FALSE),main!$K$19:$O$22,MATCH(VLOOKUP($A17,main!$A$3:$H$102,7,FALSE),main!$K$18:$O$18,0),0))),0)</f>
        <v>0</v>
      </c>
      <c r="CA17">
        <f>IF((gamma!CA17),IF(VLOOKUP(CA$1,main!$A$3:$H$102,7,FALSE)=VLOOKUP($A17,main!$A$3:$H$102,8,FALSE),VLOOKUP(CA$1,main!$A$3:$H$102,4,FALSE),VLOOKUP(CA$1,main!$A$3:$H$102,4,FALSE)+VLOOKUP($A17,main!$A$3:$H$102,4,FALSE)+(VLOOKUP(VLOOKUP(CA$1,main!$A$3:$H$102,8,FALSE),main!$K$19:$O$22,MATCH(VLOOKUP($A17,main!$A$3:$H$102,7,FALSE),main!$K$18:$O$18,0),0))),0)</f>
        <v>0</v>
      </c>
      <c r="CB17">
        <f>IF((gamma!CB17),IF(VLOOKUP(CB$1,main!$A$3:$H$102,7,FALSE)=VLOOKUP($A17,main!$A$3:$H$102,8,FALSE),VLOOKUP(CB$1,main!$A$3:$H$102,4,FALSE),VLOOKUP(CB$1,main!$A$3:$H$102,4,FALSE)+VLOOKUP($A17,main!$A$3:$H$102,4,FALSE)+(VLOOKUP(VLOOKUP(CB$1,main!$A$3:$H$102,8,FALSE),main!$K$19:$O$22,MATCH(VLOOKUP($A17,main!$A$3:$H$102,7,FALSE),main!$K$18:$O$18,0),0))),0)</f>
        <v>0</v>
      </c>
      <c r="CC17">
        <f>IF((gamma!CC17),IF(VLOOKUP(CC$1,main!$A$3:$H$102,7,FALSE)=VLOOKUP($A17,main!$A$3:$H$102,8,FALSE),VLOOKUP(CC$1,main!$A$3:$H$102,4,FALSE),VLOOKUP(CC$1,main!$A$3:$H$102,4,FALSE)+VLOOKUP($A17,main!$A$3:$H$102,4,FALSE)+(VLOOKUP(VLOOKUP(CC$1,main!$A$3:$H$102,8,FALSE),main!$K$19:$O$22,MATCH(VLOOKUP($A17,main!$A$3:$H$102,7,FALSE),main!$K$18:$O$18,0),0))),0)</f>
        <v>55</v>
      </c>
      <c r="CD17">
        <f>IF((gamma!CD17),IF(VLOOKUP(CD$1,main!$A$3:$H$102,7,FALSE)=VLOOKUP($A17,main!$A$3:$H$102,8,FALSE),VLOOKUP(CD$1,main!$A$3:$H$102,4,FALSE),VLOOKUP(CD$1,main!$A$3:$H$102,4,FALSE)+VLOOKUP($A17,main!$A$3:$H$102,4,FALSE)+(VLOOKUP(VLOOKUP(CD$1,main!$A$3:$H$102,8,FALSE),main!$K$19:$O$22,MATCH(VLOOKUP($A17,main!$A$3:$H$102,7,FALSE),main!$K$18:$O$18,0),0))),0)</f>
        <v>0</v>
      </c>
      <c r="CE17">
        <f>IF((gamma!CE17),IF(VLOOKUP(CE$1,main!$A$3:$H$102,7,FALSE)=VLOOKUP($A17,main!$A$3:$H$102,8,FALSE),VLOOKUP(CE$1,main!$A$3:$H$102,4,FALSE),VLOOKUP(CE$1,main!$A$3:$H$102,4,FALSE)+VLOOKUP($A17,main!$A$3:$H$102,4,FALSE)+(VLOOKUP(VLOOKUP(CE$1,main!$A$3:$H$102,8,FALSE),main!$K$19:$O$22,MATCH(VLOOKUP($A17,main!$A$3:$H$102,7,FALSE),main!$K$18:$O$18,0),0))),0)</f>
        <v>0</v>
      </c>
      <c r="CF17">
        <f>IF((gamma!CF17),IF(VLOOKUP(CF$1,main!$A$3:$H$102,7,FALSE)=VLOOKUP($A17,main!$A$3:$H$102,8,FALSE),VLOOKUP(CF$1,main!$A$3:$H$102,4,FALSE),VLOOKUP(CF$1,main!$A$3:$H$102,4,FALSE)+VLOOKUP($A17,main!$A$3:$H$102,4,FALSE)+(VLOOKUP(VLOOKUP(CF$1,main!$A$3:$H$102,8,FALSE),main!$K$19:$O$22,MATCH(VLOOKUP($A17,main!$A$3:$H$102,7,FALSE),main!$K$18:$O$18,0),0))),0)</f>
        <v>0</v>
      </c>
      <c r="CG17">
        <f>IF((gamma!CG17),IF(VLOOKUP(CG$1,main!$A$3:$H$102,7,FALSE)=VLOOKUP($A17,main!$A$3:$H$102,8,FALSE),VLOOKUP(CG$1,main!$A$3:$H$102,4,FALSE),VLOOKUP(CG$1,main!$A$3:$H$102,4,FALSE)+VLOOKUP($A17,main!$A$3:$H$102,4,FALSE)+(VLOOKUP(VLOOKUP(CG$1,main!$A$3:$H$102,8,FALSE),main!$K$19:$O$22,MATCH(VLOOKUP($A17,main!$A$3:$H$102,7,FALSE),main!$K$18:$O$18,0),0))),0)</f>
        <v>0</v>
      </c>
      <c r="CH17">
        <f>IF((gamma!CH17),IF(VLOOKUP(CH$1,main!$A$3:$H$102,7,FALSE)=VLOOKUP($A17,main!$A$3:$H$102,8,FALSE),VLOOKUP(CH$1,main!$A$3:$H$102,4,FALSE),VLOOKUP(CH$1,main!$A$3:$H$102,4,FALSE)+VLOOKUP($A17,main!$A$3:$H$102,4,FALSE)+(VLOOKUP(VLOOKUP(CH$1,main!$A$3:$H$102,8,FALSE),main!$K$19:$O$22,MATCH(VLOOKUP($A17,main!$A$3:$H$102,7,FALSE),main!$K$18:$O$18,0),0))),0)</f>
        <v>280</v>
      </c>
      <c r="CI17">
        <f>IF((gamma!CI17),IF(VLOOKUP(CI$1,main!$A$3:$H$102,7,FALSE)=VLOOKUP($A17,main!$A$3:$H$102,8,FALSE),VLOOKUP(CI$1,main!$A$3:$H$102,4,FALSE),VLOOKUP(CI$1,main!$A$3:$H$102,4,FALSE)+VLOOKUP($A17,main!$A$3:$H$102,4,FALSE)+(VLOOKUP(VLOOKUP(CI$1,main!$A$3:$H$102,8,FALSE),main!$K$19:$O$22,MATCH(VLOOKUP($A17,main!$A$3:$H$102,7,FALSE),main!$K$18:$O$18,0),0))),0)</f>
        <v>280</v>
      </c>
      <c r="CJ17">
        <f>IF((gamma!CJ17),IF(VLOOKUP(CJ$1,main!$A$3:$H$102,7,FALSE)=VLOOKUP($A17,main!$A$3:$H$102,8,FALSE),VLOOKUP(CJ$1,main!$A$3:$H$102,4,FALSE),VLOOKUP(CJ$1,main!$A$3:$H$102,4,FALSE)+VLOOKUP($A17,main!$A$3:$H$102,4,FALSE)+(VLOOKUP(VLOOKUP(CJ$1,main!$A$3:$H$102,8,FALSE),main!$K$19:$O$22,MATCH(VLOOKUP($A17,main!$A$3:$H$102,7,FALSE),main!$K$18:$O$18,0),0))),0)</f>
        <v>0</v>
      </c>
      <c r="CK17">
        <f>IF((gamma!CK17),IF(VLOOKUP(CK$1,main!$A$3:$H$102,7,FALSE)=VLOOKUP($A17,main!$A$3:$H$102,8,FALSE),VLOOKUP(CK$1,main!$A$3:$H$102,4,FALSE),VLOOKUP(CK$1,main!$A$3:$H$102,4,FALSE)+VLOOKUP($A17,main!$A$3:$H$102,4,FALSE)+(VLOOKUP(VLOOKUP(CK$1,main!$A$3:$H$102,8,FALSE),main!$K$19:$O$22,MATCH(VLOOKUP($A17,main!$A$3:$H$102,7,FALSE),main!$K$18:$O$18,0),0))),0)</f>
        <v>0</v>
      </c>
      <c r="CL17">
        <f>IF((gamma!CL17),IF(VLOOKUP(CL$1,main!$A$3:$H$102,7,FALSE)=VLOOKUP($A17,main!$A$3:$H$102,8,FALSE),VLOOKUP(CL$1,main!$A$3:$H$102,4,FALSE),VLOOKUP(CL$1,main!$A$3:$H$102,4,FALSE)+VLOOKUP($A17,main!$A$3:$H$102,4,FALSE)+(VLOOKUP(VLOOKUP(CL$1,main!$A$3:$H$102,8,FALSE),main!$K$19:$O$22,MATCH(VLOOKUP($A17,main!$A$3:$H$102,7,FALSE),main!$K$18:$O$18,0),0))),0)</f>
        <v>0</v>
      </c>
      <c r="CM17">
        <f>IF((gamma!CM17),IF(VLOOKUP(CM$1,main!$A$3:$H$102,7,FALSE)=VLOOKUP($A17,main!$A$3:$H$102,8,FALSE),VLOOKUP(CM$1,main!$A$3:$H$102,4,FALSE),VLOOKUP(CM$1,main!$A$3:$H$102,4,FALSE)+VLOOKUP($A17,main!$A$3:$H$102,4,FALSE)+(VLOOKUP(VLOOKUP(CM$1,main!$A$3:$H$102,8,FALSE),main!$K$19:$O$22,MATCH(VLOOKUP($A17,main!$A$3:$H$102,7,FALSE),main!$K$18:$O$18,0),0))),0)</f>
        <v>240</v>
      </c>
      <c r="CN17">
        <f>IF((gamma!CN17),IF(VLOOKUP(CN$1,main!$A$3:$H$102,7,FALSE)=VLOOKUP($A17,main!$A$3:$H$102,8,FALSE),VLOOKUP(CN$1,main!$A$3:$H$102,4,FALSE),VLOOKUP(CN$1,main!$A$3:$H$102,4,FALSE)+VLOOKUP($A17,main!$A$3:$H$102,4,FALSE)+(VLOOKUP(VLOOKUP(CN$1,main!$A$3:$H$102,8,FALSE),main!$K$19:$O$22,MATCH(VLOOKUP($A17,main!$A$3:$H$102,7,FALSE),main!$K$18:$O$18,0),0))),0)</f>
        <v>236</v>
      </c>
      <c r="CO17">
        <f>IF((gamma!CO17),IF(VLOOKUP(CO$1,main!$A$3:$H$102,7,FALSE)=VLOOKUP($A17,main!$A$3:$H$102,8,FALSE),VLOOKUP(CO$1,main!$A$3:$H$102,4,FALSE),VLOOKUP(CO$1,main!$A$3:$H$102,4,FALSE)+VLOOKUP($A17,main!$A$3:$H$102,4,FALSE)+(VLOOKUP(VLOOKUP(CO$1,main!$A$3:$H$102,8,FALSE),main!$K$19:$O$22,MATCH(VLOOKUP($A17,main!$A$3:$H$102,7,FALSE),main!$K$18:$O$18,0),0))),0)</f>
        <v>0</v>
      </c>
      <c r="CP17">
        <f>IF((gamma!CP17),IF(VLOOKUP(CP$1,main!$A$3:$H$102,7,FALSE)=VLOOKUP($A17,main!$A$3:$H$102,8,FALSE),VLOOKUP(CP$1,main!$A$3:$H$102,4,FALSE),VLOOKUP(CP$1,main!$A$3:$H$102,4,FALSE)+VLOOKUP($A17,main!$A$3:$H$102,4,FALSE)+(VLOOKUP(VLOOKUP(CP$1,main!$A$3:$H$102,8,FALSE),main!$K$19:$O$22,MATCH(VLOOKUP($A17,main!$A$3:$H$102,7,FALSE),main!$K$18:$O$18,0),0))),0)</f>
        <v>0</v>
      </c>
      <c r="CQ17">
        <f>IF((gamma!CQ17),IF(VLOOKUP(CQ$1,main!$A$3:$H$102,7,FALSE)=VLOOKUP($A17,main!$A$3:$H$102,8,FALSE),VLOOKUP(CQ$1,main!$A$3:$H$102,4,FALSE),VLOOKUP(CQ$1,main!$A$3:$H$102,4,FALSE)+VLOOKUP($A17,main!$A$3:$H$102,4,FALSE)+(VLOOKUP(VLOOKUP(CQ$1,main!$A$3:$H$102,8,FALSE),main!$K$19:$O$22,MATCH(VLOOKUP($A17,main!$A$3:$H$102,7,FALSE),main!$K$18:$O$18,0),0))),0)</f>
        <v>0</v>
      </c>
      <c r="CR17">
        <f>IF((gamma!CR17),IF(VLOOKUP(CR$1,main!$A$3:$H$102,7,FALSE)=VLOOKUP($A17,main!$A$3:$H$102,8,FALSE),VLOOKUP(CR$1,main!$A$3:$H$102,4,FALSE),VLOOKUP(CR$1,main!$A$3:$H$102,4,FALSE)+VLOOKUP($A17,main!$A$3:$H$102,4,FALSE)+(VLOOKUP(VLOOKUP(CR$1,main!$A$3:$H$102,8,FALSE),main!$K$19:$O$22,MATCH(VLOOKUP($A17,main!$A$3:$H$102,7,FALSE),main!$K$18:$O$18,0),0))),0)</f>
        <v>305</v>
      </c>
      <c r="CS17">
        <f>IF((gamma!CS17),IF(VLOOKUP(CS$1,main!$A$3:$H$102,7,FALSE)=VLOOKUP($A17,main!$A$3:$H$102,8,FALSE),VLOOKUP(CS$1,main!$A$3:$H$102,4,FALSE),VLOOKUP(CS$1,main!$A$3:$H$102,4,FALSE)+VLOOKUP($A17,main!$A$3:$H$102,4,FALSE)+(VLOOKUP(VLOOKUP(CS$1,main!$A$3:$H$102,8,FALSE),main!$K$19:$O$22,MATCH(VLOOKUP($A17,main!$A$3:$H$102,7,FALSE),main!$K$18:$O$18,0),0))),0)</f>
        <v>305</v>
      </c>
      <c r="CT17">
        <f>IF((gamma!CT17),IF(VLOOKUP(CT$1,main!$A$3:$H$102,7,FALSE)=VLOOKUP($A17,main!$A$3:$H$102,8,FALSE),VLOOKUP(CT$1,main!$A$3:$H$102,4,FALSE),VLOOKUP(CT$1,main!$A$3:$H$102,4,FALSE)+VLOOKUP($A17,main!$A$3:$H$102,4,FALSE)+(VLOOKUP(VLOOKUP(CT$1,main!$A$3:$H$102,8,FALSE),main!$K$19:$O$22,MATCH(VLOOKUP($A17,main!$A$3:$H$102,7,FALSE),main!$K$18:$O$18,0),0))),0)</f>
        <v>0</v>
      </c>
      <c r="CU17">
        <f>IF((gamma!CU17),IF(VLOOKUP(CU$1,main!$A$3:$H$102,7,FALSE)=VLOOKUP($A17,main!$A$3:$H$102,8,FALSE),VLOOKUP(CU$1,main!$A$3:$H$102,4,FALSE),VLOOKUP(CU$1,main!$A$3:$H$102,4,FALSE)+VLOOKUP($A17,main!$A$3:$H$102,4,FALSE)+(VLOOKUP(VLOOKUP(CU$1,main!$A$3:$H$102,8,FALSE),main!$K$19:$O$22,MATCH(VLOOKUP($A17,main!$A$3:$H$102,7,FALSE),main!$K$18:$O$18,0),0))),0)</f>
        <v>0</v>
      </c>
      <c r="CV17">
        <f>IF((gamma!CV17),IF(VLOOKUP(CV$1,main!$A$3:$H$102,7,FALSE)=VLOOKUP($A17,main!$A$3:$H$102,8,FALSE),VLOOKUP(CV$1,main!$A$3:$H$102,4,FALSE),VLOOKUP(CV$1,main!$A$3:$H$102,4,FALSE)+VLOOKUP($A17,main!$A$3:$H$102,4,FALSE)+(VLOOKUP(VLOOKUP(CV$1,main!$A$3:$H$102,8,FALSE),main!$K$19:$O$22,MATCH(VLOOKUP($A17,main!$A$3:$H$102,7,FALSE),main!$K$18:$O$18,0),0))),0)</f>
        <v>0</v>
      </c>
      <c r="CW17">
        <f>IF((gamma!CW17),IF(VLOOKUP(CW$1,main!$A$3:$H$102,7,FALSE)=VLOOKUP($A17,main!$A$3:$H$102,8,FALSE),VLOOKUP(CW$1,main!$A$3:$H$102,4,FALSE),VLOOKUP(CW$1,main!$A$3:$H$102,4,FALSE)+VLOOKUP($A17,main!$A$3:$H$102,4,FALSE)+(VLOOKUP(VLOOKUP(CW$1,main!$A$3:$H$102,8,FALSE),main!$K$19:$O$22,MATCH(VLOOKUP($A17,main!$A$3:$H$102,7,FALSE),main!$K$18:$O$18,0),0))),0)</f>
        <v>265</v>
      </c>
      <c r="CX17">
        <f>IF((gamma!CX17),IF(VLOOKUP(CX$1,main!$A$3:$H$102,7,FALSE)=VLOOKUP($A17,main!$A$3:$H$102,8,FALSE),VLOOKUP(CX$1,main!$A$3:$H$102,4,FALSE),VLOOKUP(CX$1,main!$A$3:$H$102,4,FALSE)+VLOOKUP($A17,main!$A$3:$H$102,4,FALSE)+(VLOOKUP(VLOOKUP(CX$1,main!$A$3:$H$102,8,FALSE),main!$K$19:$O$22,MATCH(VLOOKUP($A17,main!$A$3:$H$102,7,FALSE),main!$K$18:$O$18,0),0))),0)</f>
        <v>255</v>
      </c>
      <c r="CY17">
        <v>0</v>
      </c>
      <c r="CZ17">
        <v>0</v>
      </c>
      <c r="DA17">
        <v>0</v>
      </c>
    </row>
    <row r="18" spans="1:105" x14ac:dyDescent="0.25">
      <c r="A18" s="1">
        <v>16</v>
      </c>
      <c r="B18">
        <v>0</v>
      </c>
      <c r="C18">
        <f>IF((gamma!C18),IF(VLOOKUP(C$1,main!$A$3:$H$102,7,FALSE)=VLOOKUP($A18,main!$A$3:$H$102,8,FALSE),VLOOKUP(C$1,main!$A$3:$H$102,4,FALSE),VLOOKUP(C$1,main!$A$3:$H$102,4,FALSE)+VLOOKUP($A18,main!$A$3:$H$102,4,FALSE)+(VLOOKUP(VLOOKUP(C$1,main!$A$3:$H$102,8,FALSE),main!$K$19:$O$22,MATCH(VLOOKUP($A18,main!$A$3:$H$102,7,FALSE),main!$K$18:$O$18,0),0))),0)</f>
        <v>0</v>
      </c>
      <c r="D18">
        <f>IF((gamma!D18),IF(VLOOKUP(D$1,main!$A$3:$H$102,7,FALSE)=VLOOKUP($A18,main!$A$3:$H$102,8,FALSE),VLOOKUP(D$1,main!$A$3:$H$102,4,FALSE),VLOOKUP(D$1,main!$A$3:$H$102,4,FALSE)+VLOOKUP($A18,main!$A$3:$H$102,4,FALSE)+(VLOOKUP(VLOOKUP(D$1,main!$A$3:$H$102,8,FALSE),main!$K$19:$O$22,MATCH(VLOOKUP($A18,main!$A$3:$H$102,7,FALSE),main!$K$18:$O$18,0),0))),0)</f>
        <v>0</v>
      </c>
      <c r="E18">
        <f>IF((gamma!E18),IF(VLOOKUP(E$1,main!$A$3:$H$102,7,FALSE)=VLOOKUP($A18,main!$A$3:$H$102,8,FALSE),VLOOKUP(E$1,main!$A$3:$H$102,4,FALSE),VLOOKUP(E$1,main!$A$3:$H$102,4,FALSE)+VLOOKUP($A18,main!$A$3:$H$102,4,FALSE)+(VLOOKUP(VLOOKUP(E$1,main!$A$3:$H$102,8,FALSE),main!$K$19:$O$22,MATCH(VLOOKUP($A18,main!$A$3:$H$102,7,FALSE),main!$K$18:$O$18,0),0))),0)</f>
        <v>0</v>
      </c>
      <c r="F18">
        <f>IF((gamma!F18),IF(VLOOKUP(F$1,main!$A$3:$H$102,7,FALSE)=VLOOKUP($A18,main!$A$3:$H$102,8,FALSE),VLOOKUP(F$1,main!$A$3:$H$102,4,FALSE),VLOOKUP(F$1,main!$A$3:$H$102,4,FALSE)+VLOOKUP($A18,main!$A$3:$H$102,4,FALSE)+(VLOOKUP(VLOOKUP(F$1,main!$A$3:$H$102,8,FALSE),main!$K$19:$O$22,MATCH(VLOOKUP($A18,main!$A$3:$H$102,7,FALSE),main!$K$18:$O$18,0),0))),0)</f>
        <v>0</v>
      </c>
      <c r="G18">
        <f>IF((gamma!G18),IF(VLOOKUP(G$1,main!$A$3:$H$102,7,FALSE)=VLOOKUP($A18,main!$A$3:$H$102,8,FALSE),VLOOKUP(G$1,main!$A$3:$H$102,4,FALSE),VLOOKUP(G$1,main!$A$3:$H$102,4,FALSE)+VLOOKUP($A18,main!$A$3:$H$102,4,FALSE)+(VLOOKUP(VLOOKUP(G$1,main!$A$3:$H$102,8,FALSE),main!$K$19:$O$22,MATCH(VLOOKUP($A18,main!$A$3:$H$102,7,FALSE),main!$K$18:$O$18,0),0))),0)</f>
        <v>0</v>
      </c>
      <c r="H18">
        <f>IF((gamma!H18),IF(VLOOKUP(H$1,main!$A$3:$H$102,7,FALSE)=VLOOKUP($A18,main!$A$3:$H$102,8,FALSE),VLOOKUP(H$1,main!$A$3:$H$102,4,FALSE),VLOOKUP(H$1,main!$A$3:$H$102,4,FALSE)+VLOOKUP($A18,main!$A$3:$H$102,4,FALSE)+(VLOOKUP(VLOOKUP(H$1,main!$A$3:$H$102,8,FALSE),main!$K$19:$O$22,MATCH(VLOOKUP($A18,main!$A$3:$H$102,7,FALSE),main!$K$18:$O$18,0),0))),0)</f>
        <v>0</v>
      </c>
      <c r="I18">
        <f>IF((gamma!I18),IF(VLOOKUP(I$1,main!$A$3:$H$102,7,FALSE)=VLOOKUP($A18,main!$A$3:$H$102,8,FALSE),VLOOKUP(I$1,main!$A$3:$H$102,4,FALSE),VLOOKUP(I$1,main!$A$3:$H$102,4,FALSE)+VLOOKUP($A18,main!$A$3:$H$102,4,FALSE)+(VLOOKUP(VLOOKUP(I$1,main!$A$3:$H$102,8,FALSE),main!$K$19:$O$22,MATCH(VLOOKUP($A18,main!$A$3:$H$102,7,FALSE),main!$K$18:$O$18,0),0))),0)</f>
        <v>300</v>
      </c>
      <c r="J18">
        <f>IF((gamma!J18),IF(VLOOKUP(J$1,main!$A$3:$H$102,7,FALSE)=VLOOKUP($A18,main!$A$3:$H$102,8,FALSE),VLOOKUP(J$1,main!$A$3:$H$102,4,FALSE),VLOOKUP(J$1,main!$A$3:$H$102,4,FALSE)+VLOOKUP($A18,main!$A$3:$H$102,4,FALSE)+(VLOOKUP(VLOOKUP(J$1,main!$A$3:$H$102,8,FALSE),main!$K$19:$O$22,MATCH(VLOOKUP($A18,main!$A$3:$H$102,7,FALSE),main!$K$18:$O$18,0),0))),0)</f>
        <v>300</v>
      </c>
      <c r="K18">
        <f>IF((gamma!K18),IF(VLOOKUP(K$1,main!$A$3:$H$102,7,FALSE)=VLOOKUP($A18,main!$A$3:$H$102,8,FALSE),VLOOKUP(K$1,main!$A$3:$H$102,4,FALSE),VLOOKUP(K$1,main!$A$3:$H$102,4,FALSE)+VLOOKUP($A18,main!$A$3:$H$102,4,FALSE)+(VLOOKUP(VLOOKUP(K$1,main!$A$3:$H$102,8,FALSE),main!$K$19:$O$22,MATCH(VLOOKUP($A18,main!$A$3:$H$102,7,FALSE),main!$K$18:$O$18,0),0))),0)</f>
        <v>300</v>
      </c>
      <c r="L18">
        <f>IF((gamma!L18),IF(VLOOKUP(L$1,main!$A$3:$H$102,7,FALSE)=VLOOKUP($A18,main!$A$3:$H$102,8,FALSE),VLOOKUP(L$1,main!$A$3:$H$102,4,FALSE),VLOOKUP(L$1,main!$A$3:$H$102,4,FALSE)+VLOOKUP($A18,main!$A$3:$H$102,4,FALSE)+(VLOOKUP(VLOOKUP(L$1,main!$A$3:$H$102,8,FALSE),main!$K$19:$O$22,MATCH(VLOOKUP($A18,main!$A$3:$H$102,7,FALSE),main!$K$18:$O$18,0),0))),0)</f>
        <v>300</v>
      </c>
      <c r="M18">
        <f>IF((gamma!M18),IF(VLOOKUP(M$1,main!$A$3:$H$102,7,FALSE)=VLOOKUP($A18,main!$A$3:$H$102,8,FALSE),VLOOKUP(M$1,main!$A$3:$H$102,4,FALSE),VLOOKUP(M$1,main!$A$3:$H$102,4,FALSE)+VLOOKUP($A18,main!$A$3:$H$102,4,FALSE)+(VLOOKUP(VLOOKUP(M$1,main!$A$3:$H$102,8,FALSE),main!$K$19:$O$22,MATCH(VLOOKUP($A18,main!$A$3:$H$102,7,FALSE),main!$K$18:$O$18,0),0))),0)</f>
        <v>0</v>
      </c>
      <c r="N18">
        <f>IF((gamma!N18),IF(VLOOKUP(N$1,main!$A$3:$H$102,7,FALSE)=VLOOKUP($A18,main!$A$3:$H$102,8,FALSE),VLOOKUP(N$1,main!$A$3:$H$102,4,FALSE),VLOOKUP(N$1,main!$A$3:$H$102,4,FALSE)+VLOOKUP($A18,main!$A$3:$H$102,4,FALSE)+(VLOOKUP(VLOOKUP(N$1,main!$A$3:$H$102,8,FALSE),main!$K$19:$O$22,MATCH(VLOOKUP($A18,main!$A$3:$H$102,7,FALSE),main!$K$18:$O$18,0),0))),0)</f>
        <v>0</v>
      </c>
      <c r="O18">
        <f>IF((gamma!O18),IF(VLOOKUP(O$1,main!$A$3:$H$102,7,FALSE)=VLOOKUP($A18,main!$A$3:$H$102,8,FALSE),VLOOKUP(O$1,main!$A$3:$H$102,4,FALSE),VLOOKUP(O$1,main!$A$3:$H$102,4,FALSE)+VLOOKUP($A18,main!$A$3:$H$102,4,FALSE)+(VLOOKUP(VLOOKUP(O$1,main!$A$3:$H$102,8,FALSE),main!$K$19:$O$22,MATCH(VLOOKUP($A18,main!$A$3:$H$102,7,FALSE),main!$K$18:$O$18,0),0))),0)</f>
        <v>0</v>
      </c>
      <c r="P18">
        <f>IF((gamma!P18),IF(VLOOKUP(P$1,main!$A$3:$H$102,7,FALSE)=VLOOKUP($A18,main!$A$3:$H$102,8,FALSE),VLOOKUP(P$1,main!$A$3:$H$102,4,FALSE),VLOOKUP(P$1,main!$A$3:$H$102,4,FALSE)+VLOOKUP($A18,main!$A$3:$H$102,4,FALSE)+(VLOOKUP(VLOOKUP(P$1,main!$A$3:$H$102,8,FALSE),main!$K$19:$O$22,MATCH(VLOOKUP($A18,main!$A$3:$H$102,7,FALSE),main!$K$18:$O$18,0),0))),0)</f>
        <v>0</v>
      </c>
      <c r="Q18">
        <f>IF((gamma!Q18),IF(VLOOKUP(Q$1,main!$A$3:$H$102,7,FALSE)=VLOOKUP($A18,main!$A$3:$H$102,8,FALSE),VLOOKUP(Q$1,main!$A$3:$H$102,4,FALSE),VLOOKUP(Q$1,main!$A$3:$H$102,4,FALSE)+VLOOKUP($A18,main!$A$3:$H$102,4,FALSE)+(VLOOKUP(VLOOKUP(Q$1,main!$A$3:$H$102,8,FALSE),main!$K$19:$O$22,MATCH(VLOOKUP($A18,main!$A$3:$H$102,7,FALSE),main!$K$18:$O$18,0),0))),0)</f>
        <v>0</v>
      </c>
      <c r="R18">
        <f>IF((gamma!R18),IF(VLOOKUP(R$1,main!$A$3:$H$102,7,FALSE)=VLOOKUP($A18,main!$A$3:$H$102,8,FALSE),VLOOKUP(R$1,main!$A$3:$H$102,4,FALSE),VLOOKUP(R$1,main!$A$3:$H$102,4,FALSE)+VLOOKUP($A18,main!$A$3:$H$102,4,FALSE)+(VLOOKUP(VLOOKUP(R$1,main!$A$3:$H$102,8,FALSE),main!$K$19:$O$22,MATCH(VLOOKUP($A18,main!$A$3:$H$102,7,FALSE),main!$K$18:$O$18,0),0))),0)</f>
        <v>0</v>
      </c>
      <c r="S18">
        <f>IF((gamma!S18),IF(VLOOKUP(S$1,main!$A$3:$H$102,7,FALSE)=VLOOKUP($A18,main!$A$3:$H$102,8,FALSE),VLOOKUP(S$1,main!$A$3:$H$102,4,FALSE),VLOOKUP(S$1,main!$A$3:$H$102,4,FALSE)+VLOOKUP($A18,main!$A$3:$H$102,4,FALSE)+(VLOOKUP(VLOOKUP(S$1,main!$A$3:$H$102,8,FALSE),main!$K$19:$O$22,MATCH(VLOOKUP($A18,main!$A$3:$H$102,7,FALSE),main!$K$18:$O$18,0),0))),0)</f>
        <v>0</v>
      </c>
      <c r="T18">
        <f>IF((gamma!T18),IF(VLOOKUP(T$1,main!$A$3:$H$102,7,FALSE)=VLOOKUP($A18,main!$A$3:$H$102,8,FALSE),VLOOKUP(T$1,main!$A$3:$H$102,4,FALSE),VLOOKUP(T$1,main!$A$3:$H$102,4,FALSE)+VLOOKUP($A18,main!$A$3:$H$102,4,FALSE)+(VLOOKUP(VLOOKUP(T$1,main!$A$3:$H$102,8,FALSE),main!$K$19:$O$22,MATCH(VLOOKUP($A18,main!$A$3:$H$102,7,FALSE),main!$K$18:$O$18,0),0))),0)</f>
        <v>310</v>
      </c>
      <c r="U18">
        <f>IF((gamma!U18),IF(VLOOKUP(U$1,main!$A$3:$H$102,7,FALSE)=VLOOKUP($A18,main!$A$3:$H$102,8,FALSE),VLOOKUP(U$1,main!$A$3:$H$102,4,FALSE),VLOOKUP(U$1,main!$A$3:$H$102,4,FALSE)+VLOOKUP($A18,main!$A$3:$H$102,4,FALSE)+(VLOOKUP(VLOOKUP(U$1,main!$A$3:$H$102,8,FALSE),main!$K$19:$O$22,MATCH(VLOOKUP($A18,main!$A$3:$H$102,7,FALSE),main!$K$18:$O$18,0),0))),0)</f>
        <v>310</v>
      </c>
      <c r="V18">
        <f>IF((gamma!V18),IF(VLOOKUP(V$1,main!$A$3:$H$102,7,FALSE)=VLOOKUP($A18,main!$A$3:$H$102,8,FALSE),VLOOKUP(V$1,main!$A$3:$H$102,4,FALSE),VLOOKUP(V$1,main!$A$3:$H$102,4,FALSE)+VLOOKUP($A18,main!$A$3:$H$102,4,FALSE)+(VLOOKUP(VLOOKUP(V$1,main!$A$3:$H$102,8,FALSE),main!$K$19:$O$22,MATCH(VLOOKUP($A18,main!$A$3:$H$102,7,FALSE),main!$K$18:$O$18,0),0))),0)</f>
        <v>310</v>
      </c>
      <c r="W18">
        <f>IF((gamma!W18),IF(VLOOKUP(W$1,main!$A$3:$H$102,7,FALSE)=VLOOKUP($A18,main!$A$3:$H$102,8,FALSE),VLOOKUP(W$1,main!$A$3:$H$102,4,FALSE),VLOOKUP(W$1,main!$A$3:$H$102,4,FALSE)+VLOOKUP($A18,main!$A$3:$H$102,4,FALSE)+(VLOOKUP(VLOOKUP(W$1,main!$A$3:$H$102,8,FALSE),main!$K$19:$O$22,MATCH(VLOOKUP($A18,main!$A$3:$H$102,7,FALSE),main!$K$18:$O$18,0),0))),0)</f>
        <v>0</v>
      </c>
      <c r="X18">
        <f>IF((gamma!X18),IF(VLOOKUP(X$1,main!$A$3:$H$102,7,FALSE)=VLOOKUP($A18,main!$A$3:$H$102,8,FALSE),VLOOKUP(X$1,main!$A$3:$H$102,4,FALSE),VLOOKUP(X$1,main!$A$3:$H$102,4,FALSE)+VLOOKUP($A18,main!$A$3:$H$102,4,FALSE)+(VLOOKUP(VLOOKUP(X$1,main!$A$3:$H$102,8,FALSE),main!$K$19:$O$22,MATCH(VLOOKUP($A18,main!$A$3:$H$102,7,FALSE),main!$K$18:$O$18,0),0))),0)</f>
        <v>0</v>
      </c>
      <c r="Y18">
        <f>IF((gamma!Y18),IF(VLOOKUP(Y$1,main!$A$3:$H$102,7,FALSE)=VLOOKUP($A18,main!$A$3:$H$102,8,FALSE),VLOOKUP(Y$1,main!$A$3:$H$102,4,FALSE),VLOOKUP(Y$1,main!$A$3:$H$102,4,FALSE)+VLOOKUP($A18,main!$A$3:$H$102,4,FALSE)+(VLOOKUP(VLOOKUP(Y$1,main!$A$3:$H$102,8,FALSE),main!$K$19:$O$22,MATCH(VLOOKUP($A18,main!$A$3:$H$102,7,FALSE),main!$K$18:$O$18,0),0))),0)</f>
        <v>0</v>
      </c>
      <c r="Z18">
        <f>IF((gamma!Z18),IF(VLOOKUP(Z$1,main!$A$3:$H$102,7,FALSE)=VLOOKUP($A18,main!$A$3:$H$102,8,FALSE),VLOOKUP(Z$1,main!$A$3:$H$102,4,FALSE),VLOOKUP(Z$1,main!$A$3:$H$102,4,FALSE)+VLOOKUP($A18,main!$A$3:$H$102,4,FALSE)+(VLOOKUP(VLOOKUP(Z$1,main!$A$3:$H$102,8,FALSE),main!$K$19:$O$22,MATCH(VLOOKUP($A18,main!$A$3:$H$102,7,FALSE),main!$K$18:$O$18,0),0))),0)</f>
        <v>0</v>
      </c>
      <c r="AA18">
        <f>IF((gamma!AA18),IF(VLOOKUP(AA$1,main!$A$3:$H$102,7,FALSE)=VLOOKUP($A18,main!$A$3:$H$102,8,FALSE),VLOOKUP(AA$1,main!$A$3:$H$102,4,FALSE),VLOOKUP(AA$1,main!$A$3:$H$102,4,FALSE)+VLOOKUP($A18,main!$A$3:$H$102,4,FALSE)+(VLOOKUP(VLOOKUP(AA$1,main!$A$3:$H$102,8,FALSE),main!$K$19:$O$22,MATCH(VLOOKUP($A18,main!$A$3:$H$102,7,FALSE),main!$K$18:$O$18,0),0))),0)</f>
        <v>315</v>
      </c>
      <c r="AB18">
        <f>IF((gamma!AB18),IF(VLOOKUP(AB$1,main!$A$3:$H$102,7,FALSE)=VLOOKUP($A18,main!$A$3:$H$102,8,FALSE),VLOOKUP(AB$1,main!$A$3:$H$102,4,FALSE),VLOOKUP(AB$1,main!$A$3:$H$102,4,FALSE)+VLOOKUP($A18,main!$A$3:$H$102,4,FALSE)+(VLOOKUP(VLOOKUP(AB$1,main!$A$3:$H$102,8,FALSE),main!$K$19:$O$22,MATCH(VLOOKUP($A18,main!$A$3:$H$102,7,FALSE),main!$K$18:$O$18,0),0))),0)</f>
        <v>0</v>
      </c>
      <c r="AC18">
        <f>IF((gamma!AC18),IF(VLOOKUP(AC$1,main!$A$3:$H$102,7,FALSE)=VLOOKUP($A18,main!$A$3:$H$102,8,FALSE),VLOOKUP(AC$1,main!$A$3:$H$102,4,FALSE),VLOOKUP(AC$1,main!$A$3:$H$102,4,FALSE)+VLOOKUP($A18,main!$A$3:$H$102,4,FALSE)+(VLOOKUP(VLOOKUP(AC$1,main!$A$3:$H$102,8,FALSE),main!$K$19:$O$22,MATCH(VLOOKUP($A18,main!$A$3:$H$102,7,FALSE),main!$K$18:$O$18,0),0))),0)</f>
        <v>0</v>
      </c>
      <c r="AD18">
        <f>IF((gamma!AD18),IF(VLOOKUP(AD$1,main!$A$3:$H$102,7,FALSE)=VLOOKUP($A18,main!$A$3:$H$102,8,FALSE),VLOOKUP(AD$1,main!$A$3:$H$102,4,FALSE),VLOOKUP(AD$1,main!$A$3:$H$102,4,FALSE)+VLOOKUP($A18,main!$A$3:$H$102,4,FALSE)+(VLOOKUP(VLOOKUP(AD$1,main!$A$3:$H$102,8,FALSE),main!$K$19:$O$22,MATCH(VLOOKUP($A18,main!$A$3:$H$102,7,FALSE),main!$K$18:$O$18,0),0))),0)</f>
        <v>0</v>
      </c>
      <c r="AE18">
        <f>IF((gamma!AE18),IF(VLOOKUP(AE$1,main!$A$3:$H$102,7,FALSE)=VLOOKUP($A18,main!$A$3:$H$102,8,FALSE),VLOOKUP(AE$1,main!$A$3:$H$102,4,FALSE),VLOOKUP(AE$1,main!$A$3:$H$102,4,FALSE)+VLOOKUP($A18,main!$A$3:$H$102,4,FALSE)+(VLOOKUP(VLOOKUP(AE$1,main!$A$3:$H$102,8,FALSE),main!$K$19:$O$22,MATCH(VLOOKUP($A18,main!$A$3:$H$102,7,FALSE),main!$K$18:$O$18,0),0))),0)</f>
        <v>0</v>
      </c>
      <c r="AF18">
        <f>IF((gamma!AF18),IF(VLOOKUP(AF$1,main!$A$3:$H$102,7,FALSE)=VLOOKUP($A18,main!$A$3:$H$102,8,FALSE),VLOOKUP(AF$1,main!$A$3:$H$102,4,FALSE),VLOOKUP(AF$1,main!$A$3:$H$102,4,FALSE)+VLOOKUP($A18,main!$A$3:$H$102,4,FALSE)+(VLOOKUP(VLOOKUP(AF$1,main!$A$3:$H$102,8,FALSE),main!$K$19:$O$22,MATCH(VLOOKUP($A18,main!$A$3:$H$102,7,FALSE),main!$K$18:$O$18,0),0))),0)</f>
        <v>275</v>
      </c>
      <c r="AG18">
        <f>IF((gamma!AG18),IF(VLOOKUP(AG$1,main!$A$3:$H$102,7,FALSE)=VLOOKUP($A18,main!$A$3:$H$102,8,FALSE),VLOOKUP(AG$1,main!$A$3:$H$102,4,FALSE),VLOOKUP(AG$1,main!$A$3:$H$102,4,FALSE)+VLOOKUP($A18,main!$A$3:$H$102,4,FALSE)+(VLOOKUP(VLOOKUP(AG$1,main!$A$3:$H$102,8,FALSE),main!$K$19:$O$22,MATCH(VLOOKUP($A18,main!$A$3:$H$102,7,FALSE),main!$K$18:$O$18,0),0))),0)</f>
        <v>0</v>
      </c>
      <c r="AH18">
        <f>IF((gamma!AH18),IF(VLOOKUP(AH$1,main!$A$3:$H$102,7,FALSE)=VLOOKUP($A18,main!$A$3:$H$102,8,FALSE),VLOOKUP(AH$1,main!$A$3:$H$102,4,FALSE),VLOOKUP(AH$1,main!$A$3:$H$102,4,FALSE)+VLOOKUP($A18,main!$A$3:$H$102,4,FALSE)+(VLOOKUP(VLOOKUP(AH$1,main!$A$3:$H$102,8,FALSE),main!$K$19:$O$22,MATCH(VLOOKUP($A18,main!$A$3:$H$102,7,FALSE),main!$K$18:$O$18,0),0))),0)</f>
        <v>0</v>
      </c>
      <c r="AI18">
        <f>IF((gamma!AI18),IF(VLOOKUP(AI$1,main!$A$3:$H$102,7,FALSE)=VLOOKUP($A18,main!$A$3:$H$102,8,FALSE),VLOOKUP(AI$1,main!$A$3:$H$102,4,FALSE),VLOOKUP(AI$1,main!$A$3:$H$102,4,FALSE)+VLOOKUP($A18,main!$A$3:$H$102,4,FALSE)+(VLOOKUP(VLOOKUP(AI$1,main!$A$3:$H$102,8,FALSE),main!$K$19:$O$22,MATCH(VLOOKUP($A18,main!$A$3:$H$102,7,FALSE),main!$K$18:$O$18,0),0))),0)</f>
        <v>0</v>
      </c>
      <c r="AJ18">
        <f>IF((gamma!AJ18),IF(VLOOKUP(AJ$1,main!$A$3:$H$102,7,FALSE)=VLOOKUP($A18,main!$A$3:$H$102,8,FALSE),VLOOKUP(AJ$1,main!$A$3:$H$102,4,FALSE),VLOOKUP(AJ$1,main!$A$3:$H$102,4,FALSE)+VLOOKUP($A18,main!$A$3:$H$102,4,FALSE)+(VLOOKUP(VLOOKUP(AJ$1,main!$A$3:$H$102,8,FALSE),main!$K$19:$O$22,MATCH(VLOOKUP($A18,main!$A$3:$H$102,7,FALSE),main!$K$18:$O$18,0),0))),0)</f>
        <v>0</v>
      </c>
      <c r="AK18">
        <f>IF((gamma!AK18),IF(VLOOKUP(AK$1,main!$A$3:$H$102,7,FALSE)=VLOOKUP($A18,main!$A$3:$H$102,8,FALSE),VLOOKUP(AK$1,main!$A$3:$H$102,4,FALSE),VLOOKUP(AK$1,main!$A$3:$H$102,4,FALSE)+VLOOKUP($A18,main!$A$3:$H$102,4,FALSE)+(VLOOKUP(VLOOKUP(AK$1,main!$A$3:$H$102,8,FALSE),main!$K$19:$O$22,MATCH(VLOOKUP($A18,main!$A$3:$H$102,7,FALSE),main!$K$18:$O$18,0),0))),0)</f>
        <v>0</v>
      </c>
      <c r="AL18">
        <f>IF((gamma!AL18),IF(VLOOKUP(AL$1,main!$A$3:$H$102,7,FALSE)=VLOOKUP($A18,main!$A$3:$H$102,8,FALSE),VLOOKUP(AL$1,main!$A$3:$H$102,4,FALSE),VLOOKUP(AL$1,main!$A$3:$H$102,4,FALSE)+VLOOKUP($A18,main!$A$3:$H$102,4,FALSE)+(VLOOKUP(VLOOKUP(AL$1,main!$A$3:$H$102,8,FALSE),main!$K$19:$O$22,MATCH(VLOOKUP($A18,main!$A$3:$H$102,7,FALSE),main!$K$18:$O$18,0),0))),0)</f>
        <v>275</v>
      </c>
      <c r="AM18">
        <f>IF((gamma!AM18),IF(VLOOKUP(AM$1,main!$A$3:$H$102,7,FALSE)=VLOOKUP($A18,main!$A$3:$H$102,8,FALSE),VLOOKUP(AM$1,main!$A$3:$H$102,4,FALSE),VLOOKUP(AM$1,main!$A$3:$H$102,4,FALSE)+VLOOKUP($A18,main!$A$3:$H$102,4,FALSE)+(VLOOKUP(VLOOKUP(AM$1,main!$A$3:$H$102,8,FALSE),main!$K$19:$O$22,MATCH(VLOOKUP($A18,main!$A$3:$H$102,7,FALSE),main!$K$18:$O$18,0),0))),0)</f>
        <v>275</v>
      </c>
      <c r="AN18">
        <f>IF((gamma!AN18),IF(VLOOKUP(AN$1,main!$A$3:$H$102,7,FALSE)=VLOOKUP($A18,main!$A$3:$H$102,8,FALSE),VLOOKUP(AN$1,main!$A$3:$H$102,4,FALSE),VLOOKUP(AN$1,main!$A$3:$H$102,4,FALSE)+VLOOKUP($A18,main!$A$3:$H$102,4,FALSE)+(VLOOKUP(VLOOKUP(AN$1,main!$A$3:$H$102,8,FALSE),main!$K$19:$O$22,MATCH(VLOOKUP($A18,main!$A$3:$H$102,7,FALSE),main!$K$18:$O$18,0),0))),0)</f>
        <v>275</v>
      </c>
      <c r="AO18">
        <f>IF((gamma!AO18),IF(VLOOKUP(AO$1,main!$A$3:$H$102,7,FALSE)=VLOOKUP($A18,main!$A$3:$H$102,8,FALSE),VLOOKUP(AO$1,main!$A$3:$H$102,4,FALSE),VLOOKUP(AO$1,main!$A$3:$H$102,4,FALSE)+VLOOKUP($A18,main!$A$3:$H$102,4,FALSE)+(VLOOKUP(VLOOKUP(AO$1,main!$A$3:$H$102,8,FALSE),main!$K$19:$O$22,MATCH(VLOOKUP($A18,main!$A$3:$H$102,7,FALSE),main!$K$18:$O$18,0),0))),0)</f>
        <v>0</v>
      </c>
      <c r="AP18">
        <f>IF((gamma!AP18),IF(VLOOKUP(AP$1,main!$A$3:$H$102,7,FALSE)=VLOOKUP($A18,main!$A$3:$H$102,8,FALSE),VLOOKUP(AP$1,main!$A$3:$H$102,4,FALSE),VLOOKUP(AP$1,main!$A$3:$H$102,4,FALSE)+VLOOKUP($A18,main!$A$3:$H$102,4,FALSE)+(VLOOKUP(VLOOKUP(AP$1,main!$A$3:$H$102,8,FALSE),main!$K$19:$O$22,MATCH(VLOOKUP($A18,main!$A$3:$H$102,7,FALSE),main!$K$18:$O$18,0),0))),0)</f>
        <v>215</v>
      </c>
      <c r="AQ18">
        <f>IF((gamma!AQ18),IF(VLOOKUP(AQ$1,main!$A$3:$H$102,7,FALSE)=VLOOKUP($A18,main!$A$3:$H$102,8,FALSE),VLOOKUP(AQ$1,main!$A$3:$H$102,4,FALSE),VLOOKUP(AQ$1,main!$A$3:$H$102,4,FALSE)+VLOOKUP($A18,main!$A$3:$H$102,4,FALSE)+(VLOOKUP(VLOOKUP(AQ$1,main!$A$3:$H$102,8,FALSE),main!$K$19:$O$22,MATCH(VLOOKUP($A18,main!$A$3:$H$102,7,FALSE),main!$K$18:$O$18,0),0))),0)</f>
        <v>0</v>
      </c>
      <c r="AR18">
        <f>IF((gamma!AR18),IF(VLOOKUP(AR$1,main!$A$3:$H$102,7,FALSE)=VLOOKUP($A18,main!$A$3:$H$102,8,FALSE),VLOOKUP(AR$1,main!$A$3:$H$102,4,FALSE),VLOOKUP(AR$1,main!$A$3:$H$102,4,FALSE)+VLOOKUP($A18,main!$A$3:$H$102,4,FALSE)+(VLOOKUP(VLOOKUP(AR$1,main!$A$3:$H$102,8,FALSE),main!$K$19:$O$22,MATCH(VLOOKUP($A18,main!$A$3:$H$102,7,FALSE),main!$K$18:$O$18,0),0))),0)</f>
        <v>0</v>
      </c>
      <c r="AS18">
        <f>IF((gamma!AS18),IF(VLOOKUP(AS$1,main!$A$3:$H$102,7,FALSE)=VLOOKUP($A18,main!$A$3:$H$102,8,FALSE),VLOOKUP(AS$1,main!$A$3:$H$102,4,FALSE),VLOOKUP(AS$1,main!$A$3:$H$102,4,FALSE)+VLOOKUP($A18,main!$A$3:$H$102,4,FALSE)+(VLOOKUP(VLOOKUP(AS$1,main!$A$3:$H$102,8,FALSE),main!$K$19:$O$22,MATCH(VLOOKUP($A18,main!$A$3:$H$102,7,FALSE),main!$K$18:$O$18,0),0))),0)</f>
        <v>0</v>
      </c>
      <c r="AT18">
        <f>IF((gamma!AT18),IF(VLOOKUP(AT$1,main!$A$3:$H$102,7,FALSE)=VLOOKUP($A18,main!$A$3:$H$102,8,FALSE),VLOOKUP(AT$1,main!$A$3:$H$102,4,FALSE),VLOOKUP(AT$1,main!$A$3:$H$102,4,FALSE)+VLOOKUP($A18,main!$A$3:$H$102,4,FALSE)+(VLOOKUP(VLOOKUP(AT$1,main!$A$3:$H$102,8,FALSE),main!$K$19:$O$22,MATCH(VLOOKUP($A18,main!$A$3:$H$102,7,FALSE),main!$K$18:$O$18,0),0))),0)</f>
        <v>0</v>
      </c>
      <c r="AU18">
        <f>IF((gamma!AU18),IF(VLOOKUP(AU$1,main!$A$3:$H$102,7,FALSE)=VLOOKUP($A18,main!$A$3:$H$102,8,FALSE),VLOOKUP(AU$1,main!$A$3:$H$102,4,FALSE),VLOOKUP(AU$1,main!$A$3:$H$102,4,FALSE)+VLOOKUP($A18,main!$A$3:$H$102,4,FALSE)+(VLOOKUP(VLOOKUP(AU$1,main!$A$3:$H$102,8,FALSE),main!$K$19:$O$22,MATCH(VLOOKUP($A18,main!$A$3:$H$102,7,FALSE),main!$K$18:$O$18,0),0))),0)</f>
        <v>0</v>
      </c>
      <c r="AV18">
        <f>IF((gamma!AV18),IF(VLOOKUP(AV$1,main!$A$3:$H$102,7,FALSE)=VLOOKUP($A18,main!$A$3:$H$102,8,FALSE),VLOOKUP(AV$1,main!$A$3:$H$102,4,FALSE),VLOOKUP(AV$1,main!$A$3:$H$102,4,FALSE)+VLOOKUP($A18,main!$A$3:$H$102,4,FALSE)+(VLOOKUP(VLOOKUP(AV$1,main!$A$3:$H$102,8,FALSE),main!$K$19:$O$22,MATCH(VLOOKUP($A18,main!$A$3:$H$102,7,FALSE),main!$K$18:$O$18,0),0))),0)</f>
        <v>0</v>
      </c>
      <c r="AW18">
        <f>IF((gamma!AW18),IF(VLOOKUP(AW$1,main!$A$3:$H$102,7,FALSE)=VLOOKUP($A18,main!$A$3:$H$102,8,FALSE),VLOOKUP(AW$1,main!$A$3:$H$102,4,FALSE),VLOOKUP(AW$1,main!$A$3:$H$102,4,FALSE)+VLOOKUP($A18,main!$A$3:$H$102,4,FALSE)+(VLOOKUP(VLOOKUP(AW$1,main!$A$3:$H$102,8,FALSE),main!$K$19:$O$22,MATCH(VLOOKUP($A18,main!$A$3:$H$102,7,FALSE),main!$K$18:$O$18,0),0))),0)</f>
        <v>0</v>
      </c>
      <c r="AX18">
        <f>IF((gamma!AX18),IF(VLOOKUP(AX$1,main!$A$3:$H$102,7,FALSE)=VLOOKUP($A18,main!$A$3:$H$102,8,FALSE),VLOOKUP(AX$1,main!$A$3:$H$102,4,FALSE),VLOOKUP(AX$1,main!$A$3:$H$102,4,FALSE)+VLOOKUP($A18,main!$A$3:$H$102,4,FALSE)+(VLOOKUP(VLOOKUP(AX$1,main!$A$3:$H$102,8,FALSE),main!$K$19:$O$22,MATCH(VLOOKUP($A18,main!$A$3:$H$102,7,FALSE),main!$K$18:$O$18,0),0))),0)</f>
        <v>0</v>
      </c>
      <c r="AY18">
        <f>IF((gamma!AY18),IF(VLOOKUP(AY$1,main!$A$3:$H$102,7,FALSE)=VLOOKUP($A18,main!$A$3:$H$102,8,FALSE),VLOOKUP(AY$1,main!$A$3:$H$102,4,FALSE),VLOOKUP(AY$1,main!$A$3:$H$102,4,FALSE)+VLOOKUP($A18,main!$A$3:$H$102,4,FALSE)+(VLOOKUP(VLOOKUP(AY$1,main!$A$3:$H$102,8,FALSE),main!$K$19:$O$22,MATCH(VLOOKUP($A18,main!$A$3:$H$102,7,FALSE),main!$K$18:$O$18,0),0))),0)</f>
        <v>0</v>
      </c>
      <c r="AZ18">
        <f>IF((gamma!AZ18),IF(VLOOKUP(AZ$1,main!$A$3:$H$102,7,FALSE)=VLOOKUP($A18,main!$A$3:$H$102,8,FALSE),VLOOKUP(AZ$1,main!$A$3:$H$102,4,FALSE),VLOOKUP(AZ$1,main!$A$3:$H$102,4,FALSE)+VLOOKUP($A18,main!$A$3:$H$102,4,FALSE)+(VLOOKUP(VLOOKUP(AZ$1,main!$A$3:$H$102,8,FALSE),main!$K$19:$O$22,MATCH(VLOOKUP($A18,main!$A$3:$H$102,7,FALSE),main!$K$18:$O$18,0),0))),0)</f>
        <v>0</v>
      </c>
      <c r="BA18">
        <f>IF((gamma!BA18),IF(VLOOKUP(BA$1,main!$A$3:$H$102,7,FALSE)=VLOOKUP($A18,main!$A$3:$H$102,8,FALSE),VLOOKUP(BA$1,main!$A$3:$H$102,4,FALSE),VLOOKUP(BA$1,main!$A$3:$H$102,4,FALSE)+VLOOKUP($A18,main!$A$3:$H$102,4,FALSE)+(VLOOKUP(VLOOKUP(BA$1,main!$A$3:$H$102,8,FALSE),main!$K$19:$O$22,MATCH(VLOOKUP($A18,main!$A$3:$H$102,7,FALSE),main!$K$18:$O$18,0),0))),0)</f>
        <v>0</v>
      </c>
      <c r="BB18">
        <f>IF((gamma!BB18),IF(VLOOKUP(BB$1,main!$A$3:$H$102,7,FALSE)=VLOOKUP($A18,main!$A$3:$H$102,8,FALSE),VLOOKUP(BB$1,main!$A$3:$H$102,4,FALSE),VLOOKUP(BB$1,main!$A$3:$H$102,4,FALSE)+VLOOKUP($A18,main!$A$3:$H$102,4,FALSE)+(VLOOKUP(VLOOKUP(BB$1,main!$A$3:$H$102,8,FALSE),main!$K$19:$O$22,MATCH(VLOOKUP($A18,main!$A$3:$H$102,7,FALSE),main!$K$18:$O$18,0),0))),0)</f>
        <v>0</v>
      </c>
      <c r="BC18">
        <f>IF((gamma!BC18),IF(VLOOKUP(BC$1,main!$A$3:$H$102,7,FALSE)=VLOOKUP($A18,main!$A$3:$H$102,8,FALSE),VLOOKUP(BC$1,main!$A$3:$H$102,4,FALSE),VLOOKUP(BC$1,main!$A$3:$H$102,4,FALSE)+VLOOKUP($A18,main!$A$3:$H$102,4,FALSE)+(VLOOKUP(VLOOKUP(BC$1,main!$A$3:$H$102,8,FALSE),main!$K$19:$O$22,MATCH(VLOOKUP($A18,main!$A$3:$H$102,7,FALSE),main!$K$18:$O$18,0),0))),0)</f>
        <v>0</v>
      </c>
      <c r="BD18">
        <f>IF((gamma!BD18),IF(VLOOKUP(BD$1,main!$A$3:$H$102,7,FALSE)=VLOOKUP($A18,main!$A$3:$H$102,8,FALSE),VLOOKUP(BD$1,main!$A$3:$H$102,4,FALSE),VLOOKUP(BD$1,main!$A$3:$H$102,4,FALSE)+VLOOKUP($A18,main!$A$3:$H$102,4,FALSE)+(VLOOKUP(VLOOKUP(BD$1,main!$A$3:$H$102,8,FALSE),main!$K$19:$O$22,MATCH(VLOOKUP($A18,main!$A$3:$H$102,7,FALSE),main!$K$18:$O$18,0),0))),0)</f>
        <v>0</v>
      </c>
      <c r="BE18">
        <f>IF((gamma!BE18),IF(VLOOKUP(BE$1,main!$A$3:$H$102,7,FALSE)=VLOOKUP($A18,main!$A$3:$H$102,8,FALSE),VLOOKUP(BE$1,main!$A$3:$H$102,4,FALSE),VLOOKUP(BE$1,main!$A$3:$H$102,4,FALSE)+VLOOKUP($A18,main!$A$3:$H$102,4,FALSE)+(VLOOKUP(VLOOKUP(BE$1,main!$A$3:$H$102,8,FALSE),main!$K$19:$O$22,MATCH(VLOOKUP($A18,main!$A$3:$H$102,7,FALSE),main!$K$18:$O$18,0),0))),0)</f>
        <v>140</v>
      </c>
      <c r="BF18">
        <f>IF((gamma!BF18),IF(VLOOKUP(BF$1,main!$A$3:$H$102,7,FALSE)=VLOOKUP($A18,main!$A$3:$H$102,8,FALSE),VLOOKUP(BF$1,main!$A$3:$H$102,4,FALSE),VLOOKUP(BF$1,main!$A$3:$H$102,4,FALSE)+VLOOKUP($A18,main!$A$3:$H$102,4,FALSE)+(VLOOKUP(VLOOKUP(BF$1,main!$A$3:$H$102,8,FALSE),main!$K$19:$O$22,MATCH(VLOOKUP($A18,main!$A$3:$H$102,7,FALSE),main!$K$18:$O$18,0),0))),0)</f>
        <v>0</v>
      </c>
      <c r="BG18">
        <f>IF((gamma!BG18),IF(VLOOKUP(BG$1,main!$A$3:$H$102,7,FALSE)=VLOOKUP($A18,main!$A$3:$H$102,8,FALSE),VLOOKUP(BG$1,main!$A$3:$H$102,4,FALSE),VLOOKUP(BG$1,main!$A$3:$H$102,4,FALSE)+VLOOKUP($A18,main!$A$3:$H$102,4,FALSE)+(VLOOKUP(VLOOKUP(BG$1,main!$A$3:$H$102,8,FALSE),main!$K$19:$O$22,MATCH(VLOOKUP($A18,main!$A$3:$H$102,7,FALSE),main!$K$18:$O$18,0),0))),0)</f>
        <v>0</v>
      </c>
      <c r="BH18">
        <f>IF((gamma!BH18),IF(VLOOKUP(BH$1,main!$A$3:$H$102,7,FALSE)=VLOOKUP($A18,main!$A$3:$H$102,8,FALSE),VLOOKUP(BH$1,main!$A$3:$H$102,4,FALSE),VLOOKUP(BH$1,main!$A$3:$H$102,4,FALSE)+VLOOKUP($A18,main!$A$3:$H$102,4,FALSE)+(VLOOKUP(VLOOKUP(BH$1,main!$A$3:$H$102,8,FALSE),main!$K$19:$O$22,MATCH(VLOOKUP($A18,main!$A$3:$H$102,7,FALSE),main!$K$18:$O$18,0),0))),0)</f>
        <v>0</v>
      </c>
      <c r="BI18">
        <f>IF((gamma!BI18),IF(VLOOKUP(BI$1,main!$A$3:$H$102,7,FALSE)=VLOOKUP($A18,main!$A$3:$H$102,8,FALSE),VLOOKUP(BI$1,main!$A$3:$H$102,4,FALSE),VLOOKUP(BI$1,main!$A$3:$H$102,4,FALSE)+VLOOKUP($A18,main!$A$3:$H$102,4,FALSE)+(VLOOKUP(VLOOKUP(BI$1,main!$A$3:$H$102,8,FALSE),main!$K$19:$O$22,MATCH(VLOOKUP($A18,main!$A$3:$H$102,7,FALSE),main!$K$18:$O$18,0),0))),0)</f>
        <v>60</v>
      </c>
      <c r="BJ18">
        <f>IF((gamma!BJ18),IF(VLOOKUP(BJ$1,main!$A$3:$H$102,7,FALSE)=VLOOKUP($A18,main!$A$3:$H$102,8,FALSE),VLOOKUP(BJ$1,main!$A$3:$H$102,4,FALSE),VLOOKUP(BJ$1,main!$A$3:$H$102,4,FALSE)+VLOOKUP($A18,main!$A$3:$H$102,4,FALSE)+(VLOOKUP(VLOOKUP(BJ$1,main!$A$3:$H$102,8,FALSE),main!$K$19:$O$22,MATCH(VLOOKUP($A18,main!$A$3:$H$102,7,FALSE),main!$K$18:$O$18,0),0))),0)</f>
        <v>90</v>
      </c>
      <c r="BK18">
        <f>IF((gamma!BK18),IF(VLOOKUP(BK$1,main!$A$3:$H$102,7,FALSE)=VLOOKUP($A18,main!$A$3:$H$102,8,FALSE),VLOOKUP(BK$1,main!$A$3:$H$102,4,FALSE),VLOOKUP(BK$1,main!$A$3:$H$102,4,FALSE)+VLOOKUP($A18,main!$A$3:$H$102,4,FALSE)+(VLOOKUP(VLOOKUP(BK$1,main!$A$3:$H$102,8,FALSE),main!$K$19:$O$22,MATCH(VLOOKUP($A18,main!$A$3:$H$102,7,FALSE),main!$K$18:$O$18,0),0))),0)</f>
        <v>0</v>
      </c>
      <c r="BL18">
        <f>IF((gamma!BL18),IF(VLOOKUP(BL$1,main!$A$3:$H$102,7,FALSE)=VLOOKUP($A18,main!$A$3:$H$102,8,FALSE),VLOOKUP(BL$1,main!$A$3:$H$102,4,FALSE),VLOOKUP(BL$1,main!$A$3:$H$102,4,FALSE)+VLOOKUP($A18,main!$A$3:$H$102,4,FALSE)+(VLOOKUP(VLOOKUP(BL$1,main!$A$3:$H$102,8,FALSE),main!$K$19:$O$22,MATCH(VLOOKUP($A18,main!$A$3:$H$102,7,FALSE),main!$K$18:$O$18,0),0))),0)</f>
        <v>0</v>
      </c>
      <c r="BM18">
        <f>IF((gamma!BM18),IF(VLOOKUP(BM$1,main!$A$3:$H$102,7,FALSE)=VLOOKUP($A18,main!$A$3:$H$102,8,FALSE),VLOOKUP(BM$1,main!$A$3:$H$102,4,FALSE),VLOOKUP(BM$1,main!$A$3:$H$102,4,FALSE)+VLOOKUP($A18,main!$A$3:$H$102,4,FALSE)+(VLOOKUP(VLOOKUP(BM$1,main!$A$3:$H$102,8,FALSE),main!$K$19:$O$22,MATCH(VLOOKUP($A18,main!$A$3:$H$102,7,FALSE),main!$K$18:$O$18,0),0))),0)</f>
        <v>0</v>
      </c>
      <c r="BN18">
        <f>IF((gamma!BN18),IF(VLOOKUP(BN$1,main!$A$3:$H$102,7,FALSE)=VLOOKUP($A18,main!$A$3:$H$102,8,FALSE),VLOOKUP(BN$1,main!$A$3:$H$102,4,FALSE),VLOOKUP(BN$1,main!$A$3:$H$102,4,FALSE)+VLOOKUP($A18,main!$A$3:$H$102,4,FALSE)+(VLOOKUP(VLOOKUP(BN$1,main!$A$3:$H$102,8,FALSE),main!$K$19:$O$22,MATCH(VLOOKUP($A18,main!$A$3:$H$102,7,FALSE),main!$K$18:$O$18,0),0))),0)</f>
        <v>0</v>
      </c>
      <c r="BO18">
        <f>IF((gamma!BO18),IF(VLOOKUP(BO$1,main!$A$3:$H$102,7,FALSE)=VLOOKUP($A18,main!$A$3:$H$102,8,FALSE),VLOOKUP(BO$1,main!$A$3:$H$102,4,FALSE),VLOOKUP(BO$1,main!$A$3:$H$102,4,FALSE)+VLOOKUP($A18,main!$A$3:$H$102,4,FALSE)+(VLOOKUP(VLOOKUP(BO$1,main!$A$3:$H$102,8,FALSE),main!$K$19:$O$22,MATCH(VLOOKUP($A18,main!$A$3:$H$102,7,FALSE),main!$K$18:$O$18,0),0))),0)</f>
        <v>0</v>
      </c>
      <c r="BP18">
        <f>IF((gamma!BP18),IF(VLOOKUP(BP$1,main!$A$3:$H$102,7,FALSE)=VLOOKUP($A18,main!$A$3:$H$102,8,FALSE),VLOOKUP(BP$1,main!$A$3:$H$102,4,FALSE),VLOOKUP(BP$1,main!$A$3:$H$102,4,FALSE)+VLOOKUP($A18,main!$A$3:$H$102,4,FALSE)+(VLOOKUP(VLOOKUP(BP$1,main!$A$3:$H$102,8,FALSE),main!$K$19:$O$22,MATCH(VLOOKUP($A18,main!$A$3:$H$102,7,FALSE),main!$K$18:$O$18,0),0))),0)</f>
        <v>0</v>
      </c>
      <c r="BQ18">
        <f>IF((gamma!BQ18),IF(VLOOKUP(BQ$1,main!$A$3:$H$102,7,FALSE)=VLOOKUP($A18,main!$A$3:$H$102,8,FALSE),VLOOKUP(BQ$1,main!$A$3:$H$102,4,FALSE),VLOOKUP(BQ$1,main!$A$3:$H$102,4,FALSE)+VLOOKUP($A18,main!$A$3:$H$102,4,FALSE)+(VLOOKUP(VLOOKUP(BQ$1,main!$A$3:$H$102,8,FALSE),main!$K$19:$O$22,MATCH(VLOOKUP($A18,main!$A$3:$H$102,7,FALSE),main!$K$18:$O$18,0),0))),0)</f>
        <v>0</v>
      </c>
      <c r="BR18">
        <f>IF((gamma!BR18),IF(VLOOKUP(BR$1,main!$A$3:$H$102,7,FALSE)=VLOOKUP($A18,main!$A$3:$H$102,8,FALSE),VLOOKUP(BR$1,main!$A$3:$H$102,4,FALSE),VLOOKUP(BR$1,main!$A$3:$H$102,4,FALSE)+VLOOKUP($A18,main!$A$3:$H$102,4,FALSE)+(VLOOKUP(VLOOKUP(BR$1,main!$A$3:$H$102,8,FALSE),main!$K$19:$O$22,MATCH(VLOOKUP($A18,main!$A$3:$H$102,7,FALSE),main!$K$18:$O$18,0),0))),0)</f>
        <v>0</v>
      </c>
      <c r="BS18">
        <f>IF((gamma!BS18),IF(VLOOKUP(BS$1,main!$A$3:$H$102,7,FALSE)=VLOOKUP($A18,main!$A$3:$H$102,8,FALSE),VLOOKUP(BS$1,main!$A$3:$H$102,4,FALSE),VLOOKUP(BS$1,main!$A$3:$H$102,4,FALSE)+VLOOKUP($A18,main!$A$3:$H$102,4,FALSE)+(VLOOKUP(VLOOKUP(BS$1,main!$A$3:$H$102,8,FALSE),main!$K$19:$O$22,MATCH(VLOOKUP($A18,main!$A$3:$H$102,7,FALSE),main!$K$18:$O$18,0),0))),0)</f>
        <v>0</v>
      </c>
      <c r="BT18">
        <f>IF((gamma!BT18),IF(VLOOKUP(BT$1,main!$A$3:$H$102,7,FALSE)=VLOOKUP($A18,main!$A$3:$H$102,8,FALSE),VLOOKUP(BT$1,main!$A$3:$H$102,4,FALSE),VLOOKUP(BT$1,main!$A$3:$H$102,4,FALSE)+VLOOKUP($A18,main!$A$3:$H$102,4,FALSE)+(VLOOKUP(VLOOKUP(BT$1,main!$A$3:$H$102,8,FALSE),main!$K$19:$O$22,MATCH(VLOOKUP($A18,main!$A$3:$H$102,7,FALSE),main!$K$18:$O$18,0),0))),0)</f>
        <v>0</v>
      </c>
      <c r="BU18">
        <f>IF((gamma!BU18),IF(VLOOKUP(BU$1,main!$A$3:$H$102,7,FALSE)=VLOOKUP($A18,main!$A$3:$H$102,8,FALSE),VLOOKUP(BU$1,main!$A$3:$H$102,4,FALSE),VLOOKUP(BU$1,main!$A$3:$H$102,4,FALSE)+VLOOKUP($A18,main!$A$3:$H$102,4,FALSE)+(VLOOKUP(VLOOKUP(BU$1,main!$A$3:$H$102,8,FALSE),main!$K$19:$O$22,MATCH(VLOOKUP($A18,main!$A$3:$H$102,7,FALSE),main!$K$18:$O$18,0),0))),0)</f>
        <v>0</v>
      </c>
      <c r="BV18">
        <f>IF((gamma!BV18),IF(VLOOKUP(BV$1,main!$A$3:$H$102,7,FALSE)=VLOOKUP($A18,main!$A$3:$H$102,8,FALSE),VLOOKUP(BV$1,main!$A$3:$H$102,4,FALSE),VLOOKUP(BV$1,main!$A$3:$H$102,4,FALSE)+VLOOKUP($A18,main!$A$3:$H$102,4,FALSE)+(VLOOKUP(VLOOKUP(BV$1,main!$A$3:$H$102,8,FALSE),main!$K$19:$O$22,MATCH(VLOOKUP($A18,main!$A$3:$H$102,7,FALSE),main!$K$18:$O$18,0),0))),0)</f>
        <v>0</v>
      </c>
      <c r="BW18">
        <f>IF((gamma!BW18),IF(VLOOKUP(BW$1,main!$A$3:$H$102,7,FALSE)=VLOOKUP($A18,main!$A$3:$H$102,8,FALSE),VLOOKUP(BW$1,main!$A$3:$H$102,4,FALSE),VLOOKUP(BW$1,main!$A$3:$H$102,4,FALSE)+VLOOKUP($A18,main!$A$3:$H$102,4,FALSE)+(VLOOKUP(VLOOKUP(BW$1,main!$A$3:$H$102,8,FALSE),main!$K$19:$O$22,MATCH(VLOOKUP($A18,main!$A$3:$H$102,7,FALSE),main!$K$18:$O$18,0),0))),0)</f>
        <v>0</v>
      </c>
      <c r="BX18">
        <f>IF((gamma!BX18),IF(VLOOKUP(BX$1,main!$A$3:$H$102,7,FALSE)=VLOOKUP($A18,main!$A$3:$H$102,8,FALSE),VLOOKUP(BX$1,main!$A$3:$H$102,4,FALSE),VLOOKUP(BX$1,main!$A$3:$H$102,4,FALSE)+VLOOKUP($A18,main!$A$3:$H$102,4,FALSE)+(VLOOKUP(VLOOKUP(BX$1,main!$A$3:$H$102,8,FALSE),main!$K$19:$O$22,MATCH(VLOOKUP($A18,main!$A$3:$H$102,7,FALSE),main!$K$18:$O$18,0),0))),0)</f>
        <v>0</v>
      </c>
      <c r="BY18">
        <f>IF((gamma!BY18),IF(VLOOKUP(BY$1,main!$A$3:$H$102,7,FALSE)=VLOOKUP($A18,main!$A$3:$H$102,8,FALSE),VLOOKUP(BY$1,main!$A$3:$H$102,4,FALSE),VLOOKUP(BY$1,main!$A$3:$H$102,4,FALSE)+VLOOKUP($A18,main!$A$3:$H$102,4,FALSE)+(VLOOKUP(VLOOKUP(BY$1,main!$A$3:$H$102,8,FALSE),main!$K$19:$O$22,MATCH(VLOOKUP($A18,main!$A$3:$H$102,7,FALSE),main!$K$18:$O$18,0),0))),0)</f>
        <v>0</v>
      </c>
      <c r="BZ18">
        <f>IF((gamma!BZ18),IF(VLOOKUP(BZ$1,main!$A$3:$H$102,7,FALSE)=VLOOKUP($A18,main!$A$3:$H$102,8,FALSE),VLOOKUP(BZ$1,main!$A$3:$H$102,4,FALSE),VLOOKUP(BZ$1,main!$A$3:$H$102,4,FALSE)+VLOOKUP($A18,main!$A$3:$H$102,4,FALSE)+(VLOOKUP(VLOOKUP(BZ$1,main!$A$3:$H$102,8,FALSE),main!$K$19:$O$22,MATCH(VLOOKUP($A18,main!$A$3:$H$102,7,FALSE),main!$K$18:$O$18,0),0))),0)</f>
        <v>0</v>
      </c>
      <c r="CA18">
        <f>IF((gamma!CA18),IF(VLOOKUP(CA$1,main!$A$3:$H$102,7,FALSE)=VLOOKUP($A18,main!$A$3:$H$102,8,FALSE),VLOOKUP(CA$1,main!$A$3:$H$102,4,FALSE),VLOOKUP(CA$1,main!$A$3:$H$102,4,FALSE)+VLOOKUP($A18,main!$A$3:$H$102,4,FALSE)+(VLOOKUP(VLOOKUP(CA$1,main!$A$3:$H$102,8,FALSE),main!$K$19:$O$22,MATCH(VLOOKUP($A18,main!$A$3:$H$102,7,FALSE),main!$K$18:$O$18,0),0))),0)</f>
        <v>0</v>
      </c>
      <c r="CB18">
        <f>IF((gamma!CB18),IF(VLOOKUP(CB$1,main!$A$3:$H$102,7,FALSE)=VLOOKUP($A18,main!$A$3:$H$102,8,FALSE),VLOOKUP(CB$1,main!$A$3:$H$102,4,FALSE),VLOOKUP(CB$1,main!$A$3:$H$102,4,FALSE)+VLOOKUP($A18,main!$A$3:$H$102,4,FALSE)+(VLOOKUP(VLOOKUP(CB$1,main!$A$3:$H$102,8,FALSE),main!$K$19:$O$22,MATCH(VLOOKUP($A18,main!$A$3:$H$102,7,FALSE),main!$K$18:$O$18,0),0))),0)</f>
        <v>0</v>
      </c>
      <c r="CC18">
        <f>IF((gamma!CC18),IF(VLOOKUP(CC$1,main!$A$3:$H$102,7,FALSE)=VLOOKUP($A18,main!$A$3:$H$102,8,FALSE),VLOOKUP(CC$1,main!$A$3:$H$102,4,FALSE),VLOOKUP(CC$1,main!$A$3:$H$102,4,FALSE)+VLOOKUP($A18,main!$A$3:$H$102,4,FALSE)+(VLOOKUP(VLOOKUP(CC$1,main!$A$3:$H$102,8,FALSE),main!$K$19:$O$22,MATCH(VLOOKUP($A18,main!$A$3:$H$102,7,FALSE),main!$K$18:$O$18,0),0))),0)</f>
        <v>55</v>
      </c>
      <c r="CD18">
        <f>IF((gamma!CD18),IF(VLOOKUP(CD$1,main!$A$3:$H$102,7,FALSE)=VLOOKUP($A18,main!$A$3:$H$102,8,FALSE),VLOOKUP(CD$1,main!$A$3:$H$102,4,FALSE),VLOOKUP(CD$1,main!$A$3:$H$102,4,FALSE)+VLOOKUP($A18,main!$A$3:$H$102,4,FALSE)+(VLOOKUP(VLOOKUP(CD$1,main!$A$3:$H$102,8,FALSE),main!$K$19:$O$22,MATCH(VLOOKUP($A18,main!$A$3:$H$102,7,FALSE),main!$K$18:$O$18,0),0))),0)</f>
        <v>0</v>
      </c>
      <c r="CE18">
        <f>IF((gamma!CE18),IF(VLOOKUP(CE$1,main!$A$3:$H$102,7,FALSE)=VLOOKUP($A18,main!$A$3:$H$102,8,FALSE),VLOOKUP(CE$1,main!$A$3:$H$102,4,FALSE),VLOOKUP(CE$1,main!$A$3:$H$102,4,FALSE)+VLOOKUP($A18,main!$A$3:$H$102,4,FALSE)+(VLOOKUP(VLOOKUP(CE$1,main!$A$3:$H$102,8,FALSE),main!$K$19:$O$22,MATCH(VLOOKUP($A18,main!$A$3:$H$102,7,FALSE),main!$K$18:$O$18,0),0))),0)</f>
        <v>0</v>
      </c>
      <c r="CF18">
        <f>IF((gamma!CF18),IF(VLOOKUP(CF$1,main!$A$3:$H$102,7,FALSE)=VLOOKUP($A18,main!$A$3:$H$102,8,FALSE),VLOOKUP(CF$1,main!$A$3:$H$102,4,FALSE),VLOOKUP(CF$1,main!$A$3:$H$102,4,FALSE)+VLOOKUP($A18,main!$A$3:$H$102,4,FALSE)+(VLOOKUP(VLOOKUP(CF$1,main!$A$3:$H$102,8,FALSE),main!$K$19:$O$22,MATCH(VLOOKUP($A18,main!$A$3:$H$102,7,FALSE),main!$K$18:$O$18,0),0))),0)</f>
        <v>0</v>
      </c>
      <c r="CG18">
        <f>IF((gamma!CG18),IF(VLOOKUP(CG$1,main!$A$3:$H$102,7,FALSE)=VLOOKUP($A18,main!$A$3:$H$102,8,FALSE),VLOOKUP(CG$1,main!$A$3:$H$102,4,FALSE),VLOOKUP(CG$1,main!$A$3:$H$102,4,FALSE)+VLOOKUP($A18,main!$A$3:$H$102,4,FALSE)+(VLOOKUP(VLOOKUP(CG$1,main!$A$3:$H$102,8,FALSE),main!$K$19:$O$22,MATCH(VLOOKUP($A18,main!$A$3:$H$102,7,FALSE),main!$K$18:$O$18,0),0))),0)</f>
        <v>0</v>
      </c>
      <c r="CH18">
        <f>IF((gamma!CH18),IF(VLOOKUP(CH$1,main!$A$3:$H$102,7,FALSE)=VLOOKUP($A18,main!$A$3:$H$102,8,FALSE),VLOOKUP(CH$1,main!$A$3:$H$102,4,FALSE),VLOOKUP(CH$1,main!$A$3:$H$102,4,FALSE)+VLOOKUP($A18,main!$A$3:$H$102,4,FALSE)+(VLOOKUP(VLOOKUP(CH$1,main!$A$3:$H$102,8,FALSE),main!$K$19:$O$22,MATCH(VLOOKUP($A18,main!$A$3:$H$102,7,FALSE),main!$K$18:$O$18,0),0))),0)</f>
        <v>280</v>
      </c>
      <c r="CI18">
        <f>IF((gamma!CI18),IF(VLOOKUP(CI$1,main!$A$3:$H$102,7,FALSE)=VLOOKUP($A18,main!$A$3:$H$102,8,FALSE),VLOOKUP(CI$1,main!$A$3:$H$102,4,FALSE),VLOOKUP(CI$1,main!$A$3:$H$102,4,FALSE)+VLOOKUP($A18,main!$A$3:$H$102,4,FALSE)+(VLOOKUP(VLOOKUP(CI$1,main!$A$3:$H$102,8,FALSE),main!$K$19:$O$22,MATCH(VLOOKUP($A18,main!$A$3:$H$102,7,FALSE),main!$K$18:$O$18,0),0))),0)</f>
        <v>280</v>
      </c>
      <c r="CJ18">
        <f>IF((gamma!CJ18),IF(VLOOKUP(CJ$1,main!$A$3:$H$102,7,FALSE)=VLOOKUP($A18,main!$A$3:$H$102,8,FALSE),VLOOKUP(CJ$1,main!$A$3:$H$102,4,FALSE),VLOOKUP(CJ$1,main!$A$3:$H$102,4,FALSE)+VLOOKUP($A18,main!$A$3:$H$102,4,FALSE)+(VLOOKUP(VLOOKUP(CJ$1,main!$A$3:$H$102,8,FALSE),main!$K$19:$O$22,MATCH(VLOOKUP($A18,main!$A$3:$H$102,7,FALSE),main!$K$18:$O$18,0),0))),0)</f>
        <v>0</v>
      </c>
      <c r="CK18">
        <f>IF((gamma!CK18),IF(VLOOKUP(CK$1,main!$A$3:$H$102,7,FALSE)=VLOOKUP($A18,main!$A$3:$H$102,8,FALSE),VLOOKUP(CK$1,main!$A$3:$H$102,4,FALSE),VLOOKUP(CK$1,main!$A$3:$H$102,4,FALSE)+VLOOKUP($A18,main!$A$3:$H$102,4,FALSE)+(VLOOKUP(VLOOKUP(CK$1,main!$A$3:$H$102,8,FALSE),main!$K$19:$O$22,MATCH(VLOOKUP($A18,main!$A$3:$H$102,7,FALSE),main!$K$18:$O$18,0),0))),0)</f>
        <v>0</v>
      </c>
      <c r="CL18">
        <f>IF((gamma!CL18),IF(VLOOKUP(CL$1,main!$A$3:$H$102,7,FALSE)=VLOOKUP($A18,main!$A$3:$H$102,8,FALSE),VLOOKUP(CL$1,main!$A$3:$H$102,4,FALSE),VLOOKUP(CL$1,main!$A$3:$H$102,4,FALSE)+VLOOKUP($A18,main!$A$3:$H$102,4,FALSE)+(VLOOKUP(VLOOKUP(CL$1,main!$A$3:$H$102,8,FALSE),main!$K$19:$O$22,MATCH(VLOOKUP($A18,main!$A$3:$H$102,7,FALSE),main!$K$18:$O$18,0),0))),0)</f>
        <v>0</v>
      </c>
      <c r="CM18">
        <f>IF((gamma!CM18),IF(VLOOKUP(CM$1,main!$A$3:$H$102,7,FALSE)=VLOOKUP($A18,main!$A$3:$H$102,8,FALSE),VLOOKUP(CM$1,main!$A$3:$H$102,4,FALSE),VLOOKUP(CM$1,main!$A$3:$H$102,4,FALSE)+VLOOKUP($A18,main!$A$3:$H$102,4,FALSE)+(VLOOKUP(VLOOKUP(CM$1,main!$A$3:$H$102,8,FALSE),main!$K$19:$O$22,MATCH(VLOOKUP($A18,main!$A$3:$H$102,7,FALSE),main!$K$18:$O$18,0),0))),0)</f>
        <v>0</v>
      </c>
      <c r="CN18">
        <f>IF((gamma!CN18),IF(VLOOKUP(CN$1,main!$A$3:$H$102,7,FALSE)=VLOOKUP($A18,main!$A$3:$H$102,8,FALSE),VLOOKUP(CN$1,main!$A$3:$H$102,4,FALSE),VLOOKUP(CN$1,main!$A$3:$H$102,4,FALSE)+VLOOKUP($A18,main!$A$3:$H$102,4,FALSE)+(VLOOKUP(VLOOKUP(CN$1,main!$A$3:$H$102,8,FALSE),main!$K$19:$O$22,MATCH(VLOOKUP($A18,main!$A$3:$H$102,7,FALSE),main!$K$18:$O$18,0),0))),0)</f>
        <v>236</v>
      </c>
      <c r="CO18">
        <f>IF((gamma!CO18),IF(VLOOKUP(CO$1,main!$A$3:$H$102,7,FALSE)=VLOOKUP($A18,main!$A$3:$H$102,8,FALSE),VLOOKUP(CO$1,main!$A$3:$H$102,4,FALSE),VLOOKUP(CO$1,main!$A$3:$H$102,4,FALSE)+VLOOKUP($A18,main!$A$3:$H$102,4,FALSE)+(VLOOKUP(VLOOKUP(CO$1,main!$A$3:$H$102,8,FALSE),main!$K$19:$O$22,MATCH(VLOOKUP($A18,main!$A$3:$H$102,7,FALSE),main!$K$18:$O$18,0),0))),0)</f>
        <v>0</v>
      </c>
      <c r="CP18">
        <f>IF((gamma!CP18),IF(VLOOKUP(CP$1,main!$A$3:$H$102,7,FALSE)=VLOOKUP($A18,main!$A$3:$H$102,8,FALSE),VLOOKUP(CP$1,main!$A$3:$H$102,4,FALSE),VLOOKUP(CP$1,main!$A$3:$H$102,4,FALSE)+VLOOKUP($A18,main!$A$3:$H$102,4,FALSE)+(VLOOKUP(VLOOKUP(CP$1,main!$A$3:$H$102,8,FALSE),main!$K$19:$O$22,MATCH(VLOOKUP($A18,main!$A$3:$H$102,7,FALSE),main!$K$18:$O$18,0),0))),0)</f>
        <v>0</v>
      </c>
      <c r="CQ18">
        <f>IF((gamma!CQ18),IF(VLOOKUP(CQ$1,main!$A$3:$H$102,7,FALSE)=VLOOKUP($A18,main!$A$3:$H$102,8,FALSE),VLOOKUP(CQ$1,main!$A$3:$H$102,4,FALSE),VLOOKUP(CQ$1,main!$A$3:$H$102,4,FALSE)+VLOOKUP($A18,main!$A$3:$H$102,4,FALSE)+(VLOOKUP(VLOOKUP(CQ$1,main!$A$3:$H$102,8,FALSE),main!$K$19:$O$22,MATCH(VLOOKUP($A18,main!$A$3:$H$102,7,FALSE),main!$K$18:$O$18,0),0))),0)</f>
        <v>0</v>
      </c>
      <c r="CR18">
        <f>IF((gamma!CR18),IF(VLOOKUP(CR$1,main!$A$3:$H$102,7,FALSE)=VLOOKUP($A18,main!$A$3:$H$102,8,FALSE),VLOOKUP(CR$1,main!$A$3:$H$102,4,FALSE),VLOOKUP(CR$1,main!$A$3:$H$102,4,FALSE)+VLOOKUP($A18,main!$A$3:$H$102,4,FALSE)+(VLOOKUP(VLOOKUP(CR$1,main!$A$3:$H$102,8,FALSE),main!$K$19:$O$22,MATCH(VLOOKUP($A18,main!$A$3:$H$102,7,FALSE),main!$K$18:$O$18,0),0))),0)</f>
        <v>0</v>
      </c>
      <c r="CS18">
        <f>IF((gamma!CS18),IF(VLOOKUP(CS$1,main!$A$3:$H$102,7,FALSE)=VLOOKUP($A18,main!$A$3:$H$102,8,FALSE),VLOOKUP(CS$1,main!$A$3:$H$102,4,FALSE),VLOOKUP(CS$1,main!$A$3:$H$102,4,FALSE)+VLOOKUP($A18,main!$A$3:$H$102,4,FALSE)+(VLOOKUP(VLOOKUP(CS$1,main!$A$3:$H$102,8,FALSE),main!$K$19:$O$22,MATCH(VLOOKUP($A18,main!$A$3:$H$102,7,FALSE),main!$K$18:$O$18,0),0))),0)</f>
        <v>0</v>
      </c>
      <c r="CT18">
        <f>IF((gamma!CT18),IF(VLOOKUP(CT$1,main!$A$3:$H$102,7,FALSE)=VLOOKUP($A18,main!$A$3:$H$102,8,FALSE),VLOOKUP(CT$1,main!$A$3:$H$102,4,FALSE),VLOOKUP(CT$1,main!$A$3:$H$102,4,FALSE)+VLOOKUP($A18,main!$A$3:$H$102,4,FALSE)+(VLOOKUP(VLOOKUP(CT$1,main!$A$3:$H$102,8,FALSE),main!$K$19:$O$22,MATCH(VLOOKUP($A18,main!$A$3:$H$102,7,FALSE),main!$K$18:$O$18,0),0))),0)</f>
        <v>0</v>
      </c>
      <c r="CU18">
        <f>IF((gamma!CU18),IF(VLOOKUP(CU$1,main!$A$3:$H$102,7,FALSE)=VLOOKUP($A18,main!$A$3:$H$102,8,FALSE),VLOOKUP(CU$1,main!$A$3:$H$102,4,FALSE),VLOOKUP(CU$1,main!$A$3:$H$102,4,FALSE)+VLOOKUP($A18,main!$A$3:$H$102,4,FALSE)+(VLOOKUP(VLOOKUP(CU$1,main!$A$3:$H$102,8,FALSE),main!$K$19:$O$22,MATCH(VLOOKUP($A18,main!$A$3:$H$102,7,FALSE),main!$K$18:$O$18,0),0))),0)</f>
        <v>0</v>
      </c>
      <c r="CV18">
        <f>IF((gamma!CV18),IF(VLOOKUP(CV$1,main!$A$3:$H$102,7,FALSE)=VLOOKUP($A18,main!$A$3:$H$102,8,FALSE),VLOOKUP(CV$1,main!$A$3:$H$102,4,FALSE),VLOOKUP(CV$1,main!$A$3:$H$102,4,FALSE)+VLOOKUP($A18,main!$A$3:$H$102,4,FALSE)+(VLOOKUP(VLOOKUP(CV$1,main!$A$3:$H$102,8,FALSE),main!$K$19:$O$22,MATCH(VLOOKUP($A18,main!$A$3:$H$102,7,FALSE),main!$K$18:$O$18,0),0))),0)</f>
        <v>0</v>
      </c>
      <c r="CW18">
        <f>IF((gamma!CW18),IF(VLOOKUP(CW$1,main!$A$3:$H$102,7,FALSE)=VLOOKUP($A18,main!$A$3:$H$102,8,FALSE),VLOOKUP(CW$1,main!$A$3:$H$102,4,FALSE),VLOOKUP(CW$1,main!$A$3:$H$102,4,FALSE)+VLOOKUP($A18,main!$A$3:$H$102,4,FALSE)+(VLOOKUP(VLOOKUP(CW$1,main!$A$3:$H$102,8,FALSE),main!$K$19:$O$22,MATCH(VLOOKUP($A18,main!$A$3:$H$102,7,FALSE),main!$K$18:$O$18,0),0))),0)</f>
        <v>0</v>
      </c>
      <c r="CX18">
        <f>IF((gamma!CX18),IF(VLOOKUP(CX$1,main!$A$3:$H$102,7,FALSE)=VLOOKUP($A18,main!$A$3:$H$102,8,FALSE),VLOOKUP(CX$1,main!$A$3:$H$102,4,FALSE),VLOOKUP(CX$1,main!$A$3:$H$102,4,FALSE)+VLOOKUP($A18,main!$A$3:$H$102,4,FALSE)+(VLOOKUP(VLOOKUP(CX$1,main!$A$3:$H$102,8,FALSE),main!$K$19:$O$22,MATCH(VLOOKUP($A18,main!$A$3:$H$102,7,FALSE),main!$K$18:$O$18,0),0))),0)</f>
        <v>255</v>
      </c>
      <c r="CY18">
        <v>0</v>
      </c>
      <c r="CZ18">
        <v>0</v>
      </c>
      <c r="DA18">
        <v>0</v>
      </c>
    </row>
    <row r="19" spans="1:105" x14ac:dyDescent="0.25">
      <c r="A19" s="1">
        <v>17</v>
      </c>
      <c r="B19">
        <v>0</v>
      </c>
      <c r="C19">
        <f>IF((gamma!C19),IF(VLOOKUP(C$1,main!$A$3:$H$102,7,FALSE)=VLOOKUP($A19,main!$A$3:$H$102,8,FALSE),VLOOKUP(C$1,main!$A$3:$H$102,4,FALSE),VLOOKUP(C$1,main!$A$3:$H$102,4,FALSE)+VLOOKUP($A19,main!$A$3:$H$102,4,FALSE)+(VLOOKUP(VLOOKUP(C$1,main!$A$3:$H$102,8,FALSE),main!$K$19:$O$22,MATCH(VLOOKUP($A19,main!$A$3:$H$102,7,FALSE),main!$K$18:$O$18,0),0))),0)</f>
        <v>0</v>
      </c>
      <c r="D19">
        <f>IF((gamma!D19),IF(VLOOKUP(D$1,main!$A$3:$H$102,7,FALSE)=VLOOKUP($A19,main!$A$3:$H$102,8,FALSE),VLOOKUP(D$1,main!$A$3:$H$102,4,FALSE),VLOOKUP(D$1,main!$A$3:$H$102,4,FALSE)+VLOOKUP($A19,main!$A$3:$H$102,4,FALSE)+(VLOOKUP(VLOOKUP(D$1,main!$A$3:$H$102,8,FALSE),main!$K$19:$O$22,MATCH(VLOOKUP($A19,main!$A$3:$H$102,7,FALSE),main!$K$18:$O$18,0),0))),0)</f>
        <v>0</v>
      </c>
      <c r="E19">
        <f>IF((gamma!E19),IF(VLOOKUP(E$1,main!$A$3:$H$102,7,FALSE)=VLOOKUP($A19,main!$A$3:$H$102,8,FALSE),VLOOKUP(E$1,main!$A$3:$H$102,4,FALSE),VLOOKUP(E$1,main!$A$3:$H$102,4,FALSE)+VLOOKUP($A19,main!$A$3:$H$102,4,FALSE)+(VLOOKUP(VLOOKUP(E$1,main!$A$3:$H$102,8,FALSE),main!$K$19:$O$22,MATCH(VLOOKUP($A19,main!$A$3:$H$102,7,FALSE),main!$K$18:$O$18,0),0))),0)</f>
        <v>0</v>
      </c>
      <c r="F19">
        <f>IF((gamma!F19),IF(VLOOKUP(F$1,main!$A$3:$H$102,7,FALSE)=VLOOKUP($A19,main!$A$3:$H$102,8,FALSE),VLOOKUP(F$1,main!$A$3:$H$102,4,FALSE),VLOOKUP(F$1,main!$A$3:$H$102,4,FALSE)+VLOOKUP($A19,main!$A$3:$H$102,4,FALSE)+(VLOOKUP(VLOOKUP(F$1,main!$A$3:$H$102,8,FALSE),main!$K$19:$O$22,MATCH(VLOOKUP($A19,main!$A$3:$H$102,7,FALSE),main!$K$18:$O$18,0),0))),0)</f>
        <v>0</v>
      </c>
      <c r="G19">
        <f>IF((gamma!G19),IF(VLOOKUP(G$1,main!$A$3:$H$102,7,FALSE)=VLOOKUP($A19,main!$A$3:$H$102,8,FALSE),VLOOKUP(G$1,main!$A$3:$H$102,4,FALSE),VLOOKUP(G$1,main!$A$3:$H$102,4,FALSE)+VLOOKUP($A19,main!$A$3:$H$102,4,FALSE)+(VLOOKUP(VLOOKUP(G$1,main!$A$3:$H$102,8,FALSE),main!$K$19:$O$22,MATCH(VLOOKUP($A19,main!$A$3:$H$102,7,FALSE),main!$K$18:$O$18,0),0))),0)</f>
        <v>0</v>
      </c>
      <c r="H19">
        <f>IF((gamma!H19),IF(VLOOKUP(H$1,main!$A$3:$H$102,7,FALSE)=VLOOKUP($A19,main!$A$3:$H$102,8,FALSE),VLOOKUP(H$1,main!$A$3:$H$102,4,FALSE),VLOOKUP(H$1,main!$A$3:$H$102,4,FALSE)+VLOOKUP($A19,main!$A$3:$H$102,4,FALSE)+(VLOOKUP(VLOOKUP(H$1,main!$A$3:$H$102,8,FALSE),main!$K$19:$O$22,MATCH(VLOOKUP($A19,main!$A$3:$H$102,7,FALSE),main!$K$18:$O$18,0),0))),0)</f>
        <v>0</v>
      </c>
      <c r="I19">
        <f>IF((gamma!I19),IF(VLOOKUP(I$1,main!$A$3:$H$102,7,FALSE)=VLOOKUP($A19,main!$A$3:$H$102,8,FALSE),VLOOKUP(I$1,main!$A$3:$H$102,4,FALSE),VLOOKUP(I$1,main!$A$3:$H$102,4,FALSE)+VLOOKUP($A19,main!$A$3:$H$102,4,FALSE)+(VLOOKUP(VLOOKUP(I$1,main!$A$3:$H$102,8,FALSE),main!$K$19:$O$22,MATCH(VLOOKUP($A19,main!$A$3:$H$102,7,FALSE),main!$K$18:$O$18,0),0))),0)</f>
        <v>0</v>
      </c>
      <c r="J19">
        <f>IF((gamma!J19),IF(VLOOKUP(J$1,main!$A$3:$H$102,7,FALSE)=VLOOKUP($A19,main!$A$3:$H$102,8,FALSE),VLOOKUP(J$1,main!$A$3:$H$102,4,FALSE),VLOOKUP(J$1,main!$A$3:$H$102,4,FALSE)+VLOOKUP($A19,main!$A$3:$H$102,4,FALSE)+(VLOOKUP(VLOOKUP(J$1,main!$A$3:$H$102,8,FALSE),main!$K$19:$O$22,MATCH(VLOOKUP($A19,main!$A$3:$H$102,7,FALSE),main!$K$18:$O$18,0),0))),0)</f>
        <v>0</v>
      </c>
      <c r="K19">
        <f>IF((gamma!K19),IF(VLOOKUP(K$1,main!$A$3:$H$102,7,FALSE)=VLOOKUP($A19,main!$A$3:$H$102,8,FALSE),VLOOKUP(K$1,main!$A$3:$H$102,4,FALSE),VLOOKUP(K$1,main!$A$3:$H$102,4,FALSE)+VLOOKUP($A19,main!$A$3:$H$102,4,FALSE)+(VLOOKUP(VLOOKUP(K$1,main!$A$3:$H$102,8,FALSE),main!$K$19:$O$22,MATCH(VLOOKUP($A19,main!$A$3:$H$102,7,FALSE),main!$K$18:$O$18,0),0))),0)</f>
        <v>0</v>
      </c>
      <c r="L19">
        <f>IF((gamma!L19),IF(VLOOKUP(L$1,main!$A$3:$H$102,7,FALSE)=VLOOKUP($A19,main!$A$3:$H$102,8,FALSE),VLOOKUP(L$1,main!$A$3:$H$102,4,FALSE),VLOOKUP(L$1,main!$A$3:$H$102,4,FALSE)+VLOOKUP($A19,main!$A$3:$H$102,4,FALSE)+(VLOOKUP(VLOOKUP(L$1,main!$A$3:$H$102,8,FALSE),main!$K$19:$O$22,MATCH(VLOOKUP($A19,main!$A$3:$H$102,7,FALSE),main!$K$18:$O$18,0),0))),0)</f>
        <v>300</v>
      </c>
      <c r="M19">
        <f>IF((gamma!M19),IF(VLOOKUP(M$1,main!$A$3:$H$102,7,FALSE)=VLOOKUP($A19,main!$A$3:$H$102,8,FALSE),VLOOKUP(M$1,main!$A$3:$H$102,4,FALSE),VLOOKUP(M$1,main!$A$3:$H$102,4,FALSE)+VLOOKUP($A19,main!$A$3:$H$102,4,FALSE)+(VLOOKUP(VLOOKUP(M$1,main!$A$3:$H$102,8,FALSE),main!$K$19:$O$22,MATCH(VLOOKUP($A19,main!$A$3:$H$102,7,FALSE),main!$K$18:$O$18,0),0))),0)</f>
        <v>0</v>
      </c>
      <c r="N19">
        <f>IF((gamma!N19),IF(VLOOKUP(N$1,main!$A$3:$H$102,7,FALSE)=VLOOKUP($A19,main!$A$3:$H$102,8,FALSE),VLOOKUP(N$1,main!$A$3:$H$102,4,FALSE),VLOOKUP(N$1,main!$A$3:$H$102,4,FALSE)+VLOOKUP($A19,main!$A$3:$H$102,4,FALSE)+(VLOOKUP(VLOOKUP(N$1,main!$A$3:$H$102,8,FALSE),main!$K$19:$O$22,MATCH(VLOOKUP($A19,main!$A$3:$H$102,7,FALSE),main!$K$18:$O$18,0),0))),0)</f>
        <v>0</v>
      </c>
      <c r="O19">
        <f>IF((gamma!O19),IF(VLOOKUP(O$1,main!$A$3:$H$102,7,FALSE)=VLOOKUP($A19,main!$A$3:$H$102,8,FALSE),VLOOKUP(O$1,main!$A$3:$H$102,4,FALSE),VLOOKUP(O$1,main!$A$3:$H$102,4,FALSE)+VLOOKUP($A19,main!$A$3:$H$102,4,FALSE)+(VLOOKUP(VLOOKUP(O$1,main!$A$3:$H$102,8,FALSE),main!$K$19:$O$22,MATCH(VLOOKUP($A19,main!$A$3:$H$102,7,FALSE),main!$K$18:$O$18,0),0))),0)</f>
        <v>0</v>
      </c>
      <c r="P19">
        <f>IF((gamma!P19),IF(VLOOKUP(P$1,main!$A$3:$H$102,7,FALSE)=VLOOKUP($A19,main!$A$3:$H$102,8,FALSE),VLOOKUP(P$1,main!$A$3:$H$102,4,FALSE),VLOOKUP(P$1,main!$A$3:$H$102,4,FALSE)+VLOOKUP($A19,main!$A$3:$H$102,4,FALSE)+(VLOOKUP(VLOOKUP(P$1,main!$A$3:$H$102,8,FALSE),main!$K$19:$O$22,MATCH(VLOOKUP($A19,main!$A$3:$H$102,7,FALSE),main!$K$18:$O$18,0),0))),0)</f>
        <v>0</v>
      </c>
      <c r="Q19">
        <f>IF((gamma!Q19),IF(VLOOKUP(Q$1,main!$A$3:$H$102,7,FALSE)=VLOOKUP($A19,main!$A$3:$H$102,8,FALSE),VLOOKUP(Q$1,main!$A$3:$H$102,4,FALSE),VLOOKUP(Q$1,main!$A$3:$H$102,4,FALSE)+VLOOKUP($A19,main!$A$3:$H$102,4,FALSE)+(VLOOKUP(VLOOKUP(Q$1,main!$A$3:$H$102,8,FALSE),main!$K$19:$O$22,MATCH(VLOOKUP($A19,main!$A$3:$H$102,7,FALSE),main!$K$18:$O$18,0),0))),0)</f>
        <v>0</v>
      </c>
      <c r="R19">
        <f>IF((gamma!R19),IF(VLOOKUP(R$1,main!$A$3:$H$102,7,FALSE)=VLOOKUP($A19,main!$A$3:$H$102,8,FALSE),VLOOKUP(R$1,main!$A$3:$H$102,4,FALSE),VLOOKUP(R$1,main!$A$3:$H$102,4,FALSE)+VLOOKUP($A19,main!$A$3:$H$102,4,FALSE)+(VLOOKUP(VLOOKUP(R$1,main!$A$3:$H$102,8,FALSE),main!$K$19:$O$22,MATCH(VLOOKUP($A19,main!$A$3:$H$102,7,FALSE),main!$K$18:$O$18,0),0))),0)</f>
        <v>0</v>
      </c>
      <c r="S19">
        <f>IF((gamma!S19),IF(VLOOKUP(S$1,main!$A$3:$H$102,7,FALSE)=VLOOKUP($A19,main!$A$3:$H$102,8,FALSE),VLOOKUP(S$1,main!$A$3:$H$102,4,FALSE),VLOOKUP(S$1,main!$A$3:$H$102,4,FALSE)+VLOOKUP($A19,main!$A$3:$H$102,4,FALSE)+(VLOOKUP(VLOOKUP(S$1,main!$A$3:$H$102,8,FALSE),main!$K$19:$O$22,MATCH(VLOOKUP($A19,main!$A$3:$H$102,7,FALSE),main!$K$18:$O$18,0),0))),0)</f>
        <v>0</v>
      </c>
      <c r="T19">
        <f>IF((gamma!T19),IF(VLOOKUP(T$1,main!$A$3:$H$102,7,FALSE)=VLOOKUP($A19,main!$A$3:$H$102,8,FALSE),VLOOKUP(T$1,main!$A$3:$H$102,4,FALSE),VLOOKUP(T$1,main!$A$3:$H$102,4,FALSE)+VLOOKUP($A19,main!$A$3:$H$102,4,FALSE)+(VLOOKUP(VLOOKUP(T$1,main!$A$3:$H$102,8,FALSE),main!$K$19:$O$22,MATCH(VLOOKUP($A19,main!$A$3:$H$102,7,FALSE),main!$K$18:$O$18,0),0))),0)</f>
        <v>0</v>
      </c>
      <c r="U19">
        <f>IF((gamma!U19),IF(VLOOKUP(U$1,main!$A$3:$H$102,7,FALSE)=VLOOKUP($A19,main!$A$3:$H$102,8,FALSE),VLOOKUP(U$1,main!$A$3:$H$102,4,FALSE),VLOOKUP(U$1,main!$A$3:$H$102,4,FALSE)+VLOOKUP($A19,main!$A$3:$H$102,4,FALSE)+(VLOOKUP(VLOOKUP(U$1,main!$A$3:$H$102,8,FALSE),main!$K$19:$O$22,MATCH(VLOOKUP($A19,main!$A$3:$H$102,7,FALSE),main!$K$18:$O$18,0),0))),0)</f>
        <v>310</v>
      </c>
      <c r="V19">
        <f>IF((gamma!V19),IF(VLOOKUP(V$1,main!$A$3:$H$102,7,FALSE)=VLOOKUP($A19,main!$A$3:$H$102,8,FALSE),VLOOKUP(V$1,main!$A$3:$H$102,4,FALSE),VLOOKUP(V$1,main!$A$3:$H$102,4,FALSE)+VLOOKUP($A19,main!$A$3:$H$102,4,FALSE)+(VLOOKUP(VLOOKUP(V$1,main!$A$3:$H$102,8,FALSE),main!$K$19:$O$22,MATCH(VLOOKUP($A19,main!$A$3:$H$102,7,FALSE),main!$K$18:$O$18,0),0))),0)</f>
        <v>310</v>
      </c>
      <c r="W19">
        <f>IF((gamma!W19),IF(VLOOKUP(W$1,main!$A$3:$H$102,7,FALSE)=VLOOKUP($A19,main!$A$3:$H$102,8,FALSE),VLOOKUP(W$1,main!$A$3:$H$102,4,FALSE),VLOOKUP(W$1,main!$A$3:$H$102,4,FALSE)+VLOOKUP($A19,main!$A$3:$H$102,4,FALSE)+(VLOOKUP(VLOOKUP(W$1,main!$A$3:$H$102,8,FALSE),main!$K$19:$O$22,MATCH(VLOOKUP($A19,main!$A$3:$H$102,7,FALSE),main!$K$18:$O$18,0),0))),0)</f>
        <v>0</v>
      </c>
      <c r="X19">
        <f>IF((gamma!X19),IF(VLOOKUP(X$1,main!$A$3:$H$102,7,FALSE)=VLOOKUP($A19,main!$A$3:$H$102,8,FALSE),VLOOKUP(X$1,main!$A$3:$H$102,4,FALSE),VLOOKUP(X$1,main!$A$3:$H$102,4,FALSE)+VLOOKUP($A19,main!$A$3:$H$102,4,FALSE)+(VLOOKUP(VLOOKUP(X$1,main!$A$3:$H$102,8,FALSE),main!$K$19:$O$22,MATCH(VLOOKUP($A19,main!$A$3:$H$102,7,FALSE),main!$K$18:$O$18,0),0))),0)</f>
        <v>0</v>
      </c>
      <c r="Y19">
        <f>IF((gamma!Y19),IF(VLOOKUP(Y$1,main!$A$3:$H$102,7,FALSE)=VLOOKUP($A19,main!$A$3:$H$102,8,FALSE),VLOOKUP(Y$1,main!$A$3:$H$102,4,FALSE),VLOOKUP(Y$1,main!$A$3:$H$102,4,FALSE)+VLOOKUP($A19,main!$A$3:$H$102,4,FALSE)+(VLOOKUP(VLOOKUP(Y$1,main!$A$3:$H$102,8,FALSE),main!$K$19:$O$22,MATCH(VLOOKUP($A19,main!$A$3:$H$102,7,FALSE),main!$K$18:$O$18,0),0))),0)</f>
        <v>0</v>
      </c>
      <c r="Z19">
        <f>IF((gamma!Z19),IF(VLOOKUP(Z$1,main!$A$3:$H$102,7,FALSE)=VLOOKUP($A19,main!$A$3:$H$102,8,FALSE),VLOOKUP(Z$1,main!$A$3:$H$102,4,FALSE),VLOOKUP(Z$1,main!$A$3:$H$102,4,FALSE)+VLOOKUP($A19,main!$A$3:$H$102,4,FALSE)+(VLOOKUP(VLOOKUP(Z$1,main!$A$3:$H$102,8,FALSE),main!$K$19:$O$22,MATCH(VLOOKUP($A19,main!$A$3:$H$102,7,FALSE),main!$K$18:$O$18,0),0))),0)</f>
        <v>0</v>
      </c>
      <c r="AA19">
        <f>IF((gamma!AA19),IF(VLOOKUP(AA$1,main!$A$3:$H$102,7,FALSE)=VLOOKUP($A19,main!$A$3:$H$102,8,FALSE),VLOOKUP(AA$1,main!$A$3:$H$102,4,FALSE),VLOOKUP(AA$1,main!$A$3:$H$102,4,FALSE)+VLOOKUP($A19,main!$A$3:$H$102,4,FALSE)+(VLOOKUP(VLOOKUP(AA$1,main!$A$3:$H$102,8,FALSE),main!$K$19:$O$22,MATCH(VLOOKUP($A19,main!$A$3:$H$102,7,FALSE),main!$K$18:$O$18,0),0))),0)</f>
        <v>315</v>
      </c>
      <c r="AB19">
        <f>IF((gamma!AB19),IF(VLOOKUP(AB$1,main!$A$3:$H$102,7,FALSE)=VLOOKUP($A19,main!$A$3:$H$102,8,FALSE),VLOOKUP(AB$1,main!$A$3:$H$102,4,FALSE),VLOOKUP(AB$1,main!$A$3:$H$102,4,FALSE)+VLOOKUP($A19,main!$A$3:$H$102,4,FALSE)+(VLOOKUP(VLOOKUP(AB$1,main!$A$3:$H$102,8,FALSE),main!$K$19:$O$22,MATCH(VLOOKUP($A19,main!$A$3:$H$102,7,FALSE),main!$K$18:$O$18,0),0))),0)</f>
        <v>0</v>
      </c>
      <c r="AC19">
        <f>IF((gamma!AC19),IF(VLOOKUP(AC$1,main!$A$3:$H$102,7,FALSE)=VLOOKUP($A19,main!$A$3:$H$102,8,FALSE),VLOOKUP(AC$1,main!$A$3:$H$102,4,FALSE),VLOOKUP(AC$1,main!$A$3:$H$102,4,FALSE)+VLOOKUP($A19,main!$A$3:$H$102,4,FALSE)+(VLOOKUP(VLOOKUP(AC$1,main!$A$3:$H$102,8,FALSE),main!$K$19:$O$22,MATCH(VLOOKUP($A19,main!$A$3:$H$102,7,FALSE),main!$K$18:$O$18,0),0))),0)</f>
        <v>0</v>
      </c>
      <c r="AD19">
        <f>IF((gamma!AD19),IF(VLOOKUP(AD$1,main!$A$3:$H$102,7,FALSE)=VLOOKUP($A19,main!$A$3:$H$102,8,FALSE),VLOOKUP(AD$1,main!$A$3:$H$102,4,FALSE),VLOOKUP(AD$1,main!$A$3:$H$102,4,FALSE)+VLOOKUP($A19,main!$A$3:$H$102,4,FALSE)+(VLOOKUP(VLOOKUP(AD$1,main!$A$3:$H$102,8,FALSE),main!$K$19:$O$22,MATCH(VLOOKUP($A19,main!$A$3:$H$102,7,FALSE),main!$K$18:$O$18,0),0))),0)</f>
        <v>0</v>
      </c>
      <c r="AE19">
        <f>IF((gamma!AE19),IF(VLOOKUP(AE$1,main!$A$3:$H$102,7,FALSE)=VLOOKUP($A19,main!$A$3:$H$102,8,FALSE),VLOOKUP(AE$1,main!$A$3:$H$102,4,FALSE),VLOOKUP(AE$1,main!$A$3:$H$102,4,FALSE)+VLOOKUP($A19,main!$A$3:$H$102,4,FALSE)+(VLOOKUP(VLOOKUP(AE$1,main!$A$3:$H$102,8,FALSE),main!$K$19:$O$22,MATCH(VLOOKUP($A19,main!$A$3:$H$102,7,FALSE),main!$K$18:$O$18,0),0))),0)</f>
        <v>0</v>
      </c>
      <c r="AF19">
        <f>IF((gamma!AF19),IF(VLOOKUP(AF$1,main!$A$3:$H$102,7,FALSE)=VLOOKUP($A19,main!$A$3:$H$102,8,FALSE),VLOOKUP(AF$1,main!$A$3:$H$102,4,FALSE),VLOOKUP(AF$1,main!$A$3:$H$102,4,FALSE)+VLOOKUP($A19,main!$A$3:$H$102,4,FALSE)+(VLOOKUP(VLOOKUP(AF$1,main!$A$3:$H$102,8,FALSE),main!$K$19:$O$22,MATCH(VLOOKUP($A19,main!$A$3:$H$102,7,FALSE),main!$K$18:$O$18,0),0))),0)</f>
        <v>0</v>
      </c>
      <c r="AG19">
        <f>IF((gamma!AG19),IF(VLOOKUP(AG$1,main!$A$3:$H$102,7,FALSE)=VLOOKUP($A19,main!$A$3:$H$102,8,FALSE),VLOOKUP(AG$1,main!$A$3:$H$102,4,FALSE),VLOOKUP(AG$1,main!$A$3:$H$102,4,FALSE)+VLOOKUP($A19,main!$A$3:$H$102,4,FALSE)+(VLOOKUP(VLOOKUP(AG$1,main!$A$3:$H$102,8,FALSE),main!$K$19:$O$22,MATCH(VLOOKUP($A19,main!$A$3:$H$102,7,FALSE),main!$K$18:$O$18,0),0))),0)</f>
        <v>0</v>
      </c>
      <c r="AH19">
        <f>IF((gamma!AH19),IF(VLOOKUP(AH$1,main!$A$3:$H$102,7,FALSE)=VLOOKUP($A19,main!$A$3:$H$102,8,FALSE),VLOOKUP(AH$1,main!$A$3:$H$102,4,FALSE),VLOOKUP(AH$1,main!$A$3:$H$102,4,FALSE)+VLOOKUP($A19,main!$A$3:$H$102,4,FALSE)+(VLOOKUP(VLOOKUP(AH$1,main!$A$3:$H$102,8,FALSE),main!$K$19:$O$22,MATCH(VLOOKUP($A19,main!$A$3:$H$102,7,FALSE),main!$K$18:$O$18,0),0))),0)</f>
        <v>0</v>
      </c>
      <c r="AI19">
        <f>IF((gamma!AI19),IF(VLOOKUP(AI$1,main!$A$3:$H$102,7,FALSE)=VLOOKUP($A19,main!$A$3:$H$102,8,FALSE),VLOOKUP(AI$1,main!$A$3:$H$102,4,FALSE),VLOOKUP(AI$1,main!$A$3:$H$102,4,FALSE)+VLOOKUP($A19,main!$A$3:$H$102,4,FALSE)+(VLOOKUP(VLOOKUP(AI$1,main!$A$3:$H$102,8,FALSE),main!$K$19:$O$22,MATCH(VLOOKUP($A19,main!$A$3:$H$102,7,FALSE),main!$K$18:$O$18,0),0))),0)</f>
        <v>0</v>
      </c>
      <c r="AJ19">
        <f>IF((gamma!AJ19),IF(VLOOKUP(AJ$1,main!$A$3:$H$102,7,FALSE)=VLOOKUP($A19,main!$A$3:$H$102,8,FALSE),VLOOKUP(AJ$1,main!$A$3:$H$102,4,FALSE),VLOOKUP(AJ$1,main!$A$3:$H$102,4,FALSE)+VLOOKUP($A19,main!$A$3:$H$102,4,FALSE)+(VLOOKUP(VLOOKUP(AJ$1,main!$A$3:$H$102,8,FALSE),main!$K$19:$O$22,MATCH(VLOOKUP($A19,main!$A$3:$H$102,7,FALSE),main!$K$18:$O$18,0),0))),0)</f>
        <v>0</v>
      </c>
      <c r="AK19">
        <f>IF((gamma!AK19),IF(VLOOKUP(AK$1,main!$A$3:$H$102,7,FALSE)=VLOOKUP($A19,main!$A$3:$H$102,8,FALSE),VLOOKUP(AK$1,main!$A$3:$H$102,4,FALSE),VLOOKUP(AK$1,main!$A$3:$H$102,4,FALSE)+VLOOKUP($A19,main!$A$3:$H$102,4,FALSE)+(VLOOKUP(VLOOKUP(AK$1,main!$A$3:$H$102,8,FALSE),main!$K$19:$O$22,MATCH(VLOOKUP($A19,main!$A$3:$H$102,7,FALSE),main!$K$18:$O$18,0),0))),0)</f>
        <v>0</v>
      </c>
      <c r="AL19">
        <f>IF((gamma!AL19),IF(VLOOKUP(AL$1,main!$A$3:$H$102,7,FALSE)=VLOOKUP($A19,main!$A$3:$H$102,8,FALSE),VLOOKUP(AL$1,main!$A$3:$H$102,4,FALSE),VLOOKUP(AL$1,main!$A$3:$H$102,4,FALSE)+VLOOKUP($A19,main!$A$3:$H$102,4,FALSE)+(VLOOKUP(VLOOKUP(AL$1,main!$A$3:$H$102,8,FALSE),main!$K$19:$O$22,MATCH(VLOOKUP($A19,main!$A$3:$H$102,7,FALSE),main!$K$18:$O$18,0),0))),0)</f>
        <v>0</v>
      </c>
      <c r="AM19">
        <f>IF((gamma!AM19),IF(VLOOKUP(AM$1,main!$A$3:$H$102,7,FALSE)=VLOOKUP($A19,main!$A$3:$H$102,8,FALSE),VLOOKUP(AM$1,main!$A$3:$H$102,4,FALSE),VLOOKUP(AM$1,main!$A$3:$H$102,4,FALSE)+VLOOKUP($A19,main!$A$3:$H$102,4,FALSE)+(VLOOKUP(VLOOKUP(AM$1,main!$A$3:$H$102,8,FALSE),main!$K$19:$O$22,MATCH(VLOOKUP($A19,main!$A$3:$H$102,7,FALSE),main!$K$18:$O$18,0),0))),0)</f>
        <v>0</v>
      </c>
      <c r="AN19">
        <f>IF((gamma!AN19),IF(VLOOKUP(AN$1,main!$A$3:$H$102,7,FALSE)=VLOOKUP($A19,main!$A$3:$H$102,8,FALSE),VLOOKUP(AN$1,main!$A$3:$H$102,4,FALSE),VLOOKUP(AN$1,main!$A$3:$H$102,4,FALSE)+VLOOKUP($A19,main!$A$3:$H$102,4,FALSE)+(VLOOKUP(VLOOKUP(AN$1,main!$A$3:$H$102,8,FALSE),main!$K$19:$O$22,MATCH(VLOOKUP($A19,main!$A$3:$H$102,7,FALSE),main!$K$18:$O$18,0),0))),0)</f>
        <v>275</v>
      </c>
      <c r="AO19">
        <f>IF((gamma!AO19),IF(VLOOKUP(AO$1,main!$A$3:$H$102,7,FALSE)=VLOOKUP($A19,main!$A$3:$H$102,8,FALSE),VLOOKUP(AO$1,main!$A$3:$H$102,4,FALSE),VLOOKUP(AO$1,main!$A$3:$H$102,4,FALSE)+VLOOKUP($A19,main!$A$3:$H$102,4,FALSE)+(VLOOKUP(VLOOKUP(AO$1,main!$A$3:$H$102,8,FALSE),main!$K$19:$O$22,MATCH(VLOOKUP($A19,main!$A$3:$H$102,7,FALSE),main!$K$18:$O$18,0),0))),0)</f>
        <v>0</v>
      </c>
      <c r="AP19">
        <f>IF((gamma!AP19),IF(VLOOKUP(AP$1,main!$A$3:$H$102,7,FALSE)=VLOOKUP($A19,main!$A$3:$H$102,8,FALSE),VLOOKUP(AP$1,main!$A$3:$H$102,4,FALSE),VLOOKUP(AP$1,main!$A$3:$H$102,4,FALSE)+VLOOKUP($A19,main!$A$3:$H$102,4,FALSE)+(VLOOKUP(VLOOKUP(AP$1,main!$A$3:$H$102,8,FALSE),main!$K$19:$O$22,MATCH(VLOOKUP($A19,main!$A$3:$H$102,7,FALSE),main!$K$18:$O$18,0),0))),0)</f>
        <v>215</v>
      </c>
      <c r="AQ19">
        <f>IF((gamma!AQ19),IF(VLOOKUP(AQ$1,main!$A$3:$H$102,7,FALSE)=VLOOKUP($A19,main!$A$3:$H$102,8,FALSE),VLOOKUP(AQ$1,main!$A$3:$H$102,4,FALSE),VLOOKUP(AQ$1,main!$A$3:$H$102,4,FALSE)+VLOOKUP($A19,main!$A$3:$H$102,4,FALSE)+(VLOOKUP(VLOOKUP(AQ$1,main!$A$3:$H$102,8,FALSE),main!$K$19:$O$22,MATCH(VLOOKUP($A19,main!$A$3:$H$102,7,FALSE),main!$K$18:$O$18,0),0))),0)</f>
        <v>0</v>
      </c>
      <c r="AR19">
        <f>IF((gamma!AR19),IF(VLOOKUP(AR$1,main!$A$3:$H$102,7,FALSE)=VLOOKUP($A19,main!$A$3:$H$102,8,FALSE),VLOOKUP(AR$1,main!$A$3:$H$102,4,FALSE),VLOOKUP(AR$1,main!$A$3:$H$102,4,FALSE)+VLOOKUP($A19,main!$A$3:$H$102,4,FALSE)+(VLOOKUP(VLOOKUP(AR$1,main!$A$3:$H$102,8,FALSE),main!$K$19:$O$22,MATCH(VLOOKUP($A19,main!$A$3:$H$102,7,FALSE),main!$K$18:$O$18,0),0))),0)</f>
        <v>0</v>
      </c>
      <c r="AS19">
        <f>IF((gamma!AS19),IF(VLOOKUP(AS$1,main!$A$3:$H$102,7,FALSE)=VLOOKUP($A19,main!$A$3:$H$102,8,FALSE),VLOOKUP(AS$1,main!$A$3:$H$102,4,FALSE),VLOOKUP(AS$1,main!$A$3:$H$102,4,FALSE)+VLOOKUP($A19,main!$A$3:$H$102,4,FALSE)+(VLOOKUP(VLOOKUP(AS$1,main!$A$3:$H$102,8,FALSE),main!$K$19:$O$22,MATCH(VLOOKUP($A19,main!$A$3:$H$102,7,FALSE),main!$K$18:$O$18,0),0))),0)</f>
        <v>0</v>
      </c>
      <c r="AT19">
        <f>IF((gamma!AT19),IF(VLOOKUP(AT$1,main!$A$3:$H$102,7,FALSE)=VLOOKUP($A19,main!$A$3:$H$102,8,FALSE),VLOOKUP(AT$1,main!$A$3:$H$102,4,FALSE),VLOOKUP(AT$1,main!$A$3:$H$102,4,FALSE)+VLOOKUP($A19,main!$A$3:$H$102,4,FALSE)+(VLOOKUP(VLOOKUP(AT$1,main!$A$3:$H$102,8,FALSE),main!$K$19:$O$22,MATCH(VLOOKUP($A19,main!$A$3:$H$102,7,FALSE),main!$K$18:$O$18,0),0))),0)</f>
        <v>0</v>
      </c>
      <c r="AU19">
        <f>IF((gamma!AU19),IF(VLOOKUP(AU$1,main!$A$3:$H$102,7,FALSE)=VLOOKUP($A19,main!$A$3:$H$102,8,FALSE),VLOOKUP(AU$1,main!$A$3:$H$102,4,FALSE),VLOOKUP(AU$1,main!$A$3:$H$102,4,FALSE)+VLOOKUP($A19,main!$A$3:$H$102,4,FALSE)+(VLOOKUP(VLOOKUP(AU$1,main!$A$3:$H$102,8,FALSE),main!$K$19:$O$22,MATCH(VLOOKUP($A19,main!$A$3:$H$102,7,FALSE),main!$K$18:$O$18,0),0))),0)</f>
        <v>0</v>
      </c>
      <c r="AV19">
        <f>IF((gamma!AV19),IF(VLOOKUP(AV$1,main!$A$3:$H$102,7,FALSE)=VLOOKUP($A19,main!$A$3:$H$102,8,FALSE),VLOOKUP(AV$1,main!$A$3:$H$102,4,FALSE),VLOOKUP(AV$1,main!$A$3:$H$102,4,FALSE)+VLOOKUP($A19,main!$A$3:$H$102,4,FALSE)+(VLOOKUP(VLOOKUP(AV$1,main!$A$3:$H$102,8,FALSE),main!$K$19:$O$22,MATCH(VLOOKUP($A19,main!$A$3:$H$102,7,FALSE),main!$K$18:$O$18,0),0))),0)</f>
        <v>0</v>
      </c>
      <c r="AW19">
        <f>IF((gamma!AW19),IF(VLOOKUP(AW$1,main!$A$3:$H$102,7,FALSE)=VLOOKUP($A19,main!$A$3:$H$102,8,FALSE),VLOOKUP(AW$1,main!$A$3:$H$102,4,FALSE),VLOOKUP(AW$1,main!$A$3:$H$102,4,FALSE)+VLOOKUP($A19,main!$A$3:$H$102,4,FALSE)+(VLOOKUP(VLOOKUP(AW$1,main!$A$3:$H$102,8,FALSE),main!$K$19:$O$22,MATCH(VLOOKUP($A19,main!$A$3:$H$102,7,FALSE),main!$K$18:$O$18,0),0))),0)</f>
        <v>0</v>
      </c>
      <c r="AX19">
        <f>IF((gamma!AX19),IF(VLOOKUP(AX$1,main!$A$3:$H$102,7,FALSE)=VLOOKUP($A19,main!$A$3:$H$102,8,FALSE),VLOOKUP(AX$1,main!$A$3:$H$102,4,FALSE),VLOOKUP(AX$1,main!$A$3:$H$102,4,FALSE)+VLOOKUP($A19,main!$A$3:$H$102,4,FALSE)+(VLOOKUP(VLOOKUP(AX$1,main!$A$3:$H$102,8,FALSE),main!$K$19:$O$22,MATCH(VLOOKUP($A19,main!$A$3:$H$102,7,FALSE),main!$K$18:$O$18,0),0))),0)</f>
        <v>0</v>
      </c>
      <c r="AY19">
        <f>IF((gamma!AY19),IF(VLOOKUP(AY$1,main!$A$3:$H$102,7,FALSE)=VLOOKUP($A19,main!$A$3:$H$102,8,FALSE),VLOOKUP(AY$1,main!$A$3:$H$102,4,FALSE),VLOOKUP(AY$1,main!$A$3:$H$102,4,FALSE)+VLOOKUP($A19,main!$A$3:$H$102,4,FALSE)+(VLOOKUP(VLOOKUP(AY$1,main!$A$3:$H$102,8,FALSE),main!$K$19:$O$22,MATCH(VLOOKUP($A19,main!$A$3:$H$102,7,FALSE),main!$K$18:$O$18,0),0))),0)</f>
        <v>0</v>
      </c>
      <c r="AZ19">
        <f>IF((gamma!AZ19),IF(VLOOKUP(AZ$1,main!$A$3:$H$102,7,FALSE)=VLOOKUP($A19,main!$A$3:$H$102,8,FALSE),VLOOKUP(AZ$1,main!$A$3:$H$102,4,FALSE),VLOOKUP(AZ$1,main!$A$3:$H$102,4,FALSE)+VLOOKUP($A19,main!$A$3:$H$102,4,FALSE)+(VLOOKUP(VLOOKUP(AZ$1,main!$A$3:$H$102,8,FALSE),main!$K$19:$O$22,MATCH(VLOOKUP($A19,main!$A$3:$H$102,7,FALSE),main!$K$18:$O$18,0),0))),0)</f>
        <v>0</v>
      </c>
      <c r="BA19">
        <f>IF((gamma!BA19),IF(VLOOKUP(BA$1,main!$A$3:$H$102,7,FALSE)=VLOOKUP($A19,main!$A$3:$H$102,8,FALSE),VLOOKUP(BA$1,main!$A$3:$H$102,4,FALSE),VLOOKUP(BA$1,main!$A$3:$H$102,4,FALSE)+VLOOKUP($A19,main!$A$3:$H$102,4,FALSE)+(VLOOKUP(VLOOKUP(BA$1,main!$A$3:$H$102,8,FALSE),main!$K$19:$O$22,MATCH(VLOOKUP($A19,main!$A$3:$H$102,7,FALSE),main!$K$18:$O$18,0),0))),0)</f>
        <v>0</v>
      </c>
      <c r="BB19">
        <f>IF((gamma!BB19),IF(VLOOKUP(BB$1,main!$A$3:$H$102,7,FALSE)=VLOOKUP($A19,main!$A$3:$H$102,8,FALSE),VLOOKUP(BB$1,main!$A$3:$H$102,4,FALSE),VLOOKUP(BB$1,main!$A$3:$H$102,4,FALSE)+VLOOKUP($A19,main!$A$3:$H$102,4,FALSE)+(VLOOKUP(VLOOKUP(BB$1,main!$A$3:$H$102,8,FALSE),main!$K$19:$O$22,MATCH(VLOOKUP($A19,main!$A$3:$H$102,7,FALSE),main!$K$18:$O$18,0),0))),0)</f>
        <v>0</v>
      </c>
      <c r="BC19">
        <f>IF((gamma!BC19),IF(VLOOKUP(BC$1,main!$A$3:$H$102,7,FALSE)=VLOOKUP($A19,main!$A$3:$H$102,8,FALSE),VLOOKUP(BC$1,main!$A$3:$H$102,4,FALSE),VLOOKUP(BC$1,main!$A$3:$H$102,4,FALSE)+VLOOKUP($A19,main!$A$3:$H$102,4,FALSE)+(VLOOKUP(VLOOKUP(BC$1,main!$A$3:$H$102,8,FALSE),main!$K$19:$O$22,MATCH(VLOOKUP($A19,main!$A$3:$H$102,7,FALSE),main!$K$18:$O$18,0),0))),0)</f>
        <v>0</v>
      </c>
      <c r="BD19">
        <f>IF((gamma!BD19),IF(VLOOKUP(BD$1,main!$A$3:$H$102,7,FALSE)=VLOOKUP($A19,main!$A$3:$H$102,8,FALSE),VLOOKUP(BD$1,main!$A$3:$H$102,4,FALSE),VLOOKUP(BD$1,main!$A$3:$H$102,4,FALSE)+VLOOKUP($A19,main!$A$3:$H$102,4,FALSE)+(VLOOKUP(VLOOKUP(BD$1,main!$A$3:$H$102,8,FALSE),main!$K$19:$O$22,MATCH(VLOOKUP($A19,main!$A$3:$H$102,7,FALSE),main!$K$18:$O$18,0),0))),0)</f>
        <v>0</v>
      </c>
      <c r="BE19">
        <f>IF((gamma!BE19),IF(VLOOKUP(BE$1,main!$A$3:$H$102,7,FALSE)=VLOOKUP($A19,main!$A$3:$H$102,8,FALSE),VLOOKUP(BE$1,main!$A$3:$H$102,4,FALSE),VLOOKUP(BE$1,main!$A$3:$H$102,4,FALSE)+VLOOKUP($A19,main!$A$3:$H$102,4,FALSE)+(VLOOKUP(VLOOKUP(BE$1,main!$A$3:$H$102,8,FALSE),main!$K$19:$O$22,MATCH(VLOOKUP($A19,main!$A$3:$H$102,7,FALSE),main!$K$18:$O$18,0),0))),0)</f>
        <v>0</v>
      </c>
      <c r="BF19">
        <f>IF((gamma!BF19),IF(VLOOKUP(BF$1,main!$A$3:$H$102,7,FALSE)=VLOOKUP($A19,main!$A$3:$H$102,8,FALSE),VLOOKUP(BF$1,main!$A$3:$H$102,4,FALSE),VLOOKUP(BF$1,main!$A$3:$H$102,4,FALSE)+VLOOKUP($A19,main!$A$3:$H$102,4,FALSE)+(VLOOKUP(VLOOKUP(BF$1,main!$A$3:$H$102,8,FALSE),main!$K$19:$O$22,MATCH(VLOOKUP($A19,main!$A$3:$H$102,7,FALSE),main!$K$18:$O$18,0),0))),0)</f>
        <v>0</v>
      </c>
      <c r="BG19">
        <f>IF((gamma!BG19),IF(VLOOKUP(BG$1,main!$A$3:$H$102,7,FALSE)=VLOOKUP($A19,main!$A$3:$H$102,8,FALSE),VLOOKUP(BG$1,main!$A$3:$H$102,4,FALSE),VLOOKUP(BG$1,main!$A$3:$H$102,4,FALSE)+VLOOKUP($A19,main!$A$3:$H$102,4,FALSE)+(VLOOKUP(VLOOKUP(BG$1,main!$A$3:$H$102,8,FALSE),main!$K$19:$O$22,MATCH(VLOOKUP($A19,main!$A$3:$H$102,7,FALSE),main!$K$18:$O$18,0),0))),0)</f>
        <v>0</v>
      </c>
      <c r="BH19">
        <f>IF((gamma!BH19),IF(VLOOKUP(BH$1,main!$A$3:$H$102,7,FALSE)=VLOOKUP($A19,main!$A$3:$H$102,8,FALSE),VLOOKUP(BH$1,main!$A$3:$H$102,4,FALSE),VLOOKUP(BH$1,main!$A$3:$H$102,4,FALSE)+VLOOKUP($A19,main!$A$3:$H$102,4,FALSE)+(VLOOKUP(VLOOKUP(BH$1,main!$A$3:$H$102,8,FALSE),main!$K$19:$O$22,MATCH(VLOOKUP($A19,main!$A$3:$H$102,7,FALSE),main!$K$18:$O$18,0),0))),0)</f>
        <v>0</v>
      </c>
      <c r="BI19">
        <f>IF((gamma!BI19),IF(VLOOKUP(BI$1,main!$A$3:$H$102,7,FALSE)=VLOOKUP($A19,main!$A$3:$H$102,8,FALSE),VLOOKUP(BI$1,main!$A$3:$H$102,4,FALSE),VLOOKUP(BI$1,main!$A$3:$H$102,4,FALSE)+VLOOKUP($A19,main!$A$3:$H$102,4,FALSE)+(VLOOKUP(VLOOKUP(BI$1,main!$A$3:$H$102,8,FALSE),main!$K$19:$O$22,MATCH(VLOOKUP($A19,main!$A$3:$H$102,7,FALSE),main!$K$18:$O$18,0),0))),0)</f>
        <v>60</v>
      </c>
      <c r="BJ19">
        <f>IF((gamma!BJ19),IF(VLOOKUP(BJ$1,main!$A$3:$H$102,7,FALSE)=VLOOKUP($A19,main!$A$3:$H$102,8,FALSE),VLOOKUP(BJ$1,main!$A$3:$H$102,4,FALSE),VLOOKUP(BJ$1,main!$A$3:$H$102,4,FALSE)+VLOOKUP($A19,main!$A$3:$H$102,4,FALSE)+(VLOOKUP(VLOOKUP(BJ$1,main!$A$3:$H$102,8,FALSE),main!$K$19:$O$22,MATCH(VLOOKUP($A19,main!$A$3:$H$102,7,FALSE),main!$K$18:$O$18,0),0))),0)</f>
        <v>0</v>
      </c>
      <c r="BK19">
        <f>IF((gamma!BK19),IF(VLOOKUP(BK$1,main!$A$3:$H$102,7,FALSE)=VLOOKUP($A19,main!$A$3:$H$102,8,FALSE),VLOOKUP(BK$1,main!$A$3:$H$102,4,FALSE),VLOOKUP(BK$1,main!$A$3:$H$102,4,FALSE)+VLOOKUP($A19,main!$A$3:$H$102,4,FALSE)+(VLOOKUP(VLOOKUP(BK$1,main!$A$3:$H$102,8,FALSE),main!$K$19:$O$22,MATCH(VLOOKUP($A19,main!$A$3:$H$102,7,FALSE),main!$K$18:$O$18,0),0))),0)</f>
        <v>0</v>
      </c>
      <c r="BL19">
        <f>IF((gamma!BL19),IF(VLOOKUP(BL$1,main!$A$3:$H$102,7,FALSE)=VLOOKUP($A19,main!$A$3:$H$102,8,FALSE),VLOOKUP(BL$1,main!$A$3:$H$102,4,FALSE),VLOOKUP(BL$1,main!$A$3:$H$102,4,FALSE)+VLOOKUP($A19,main!$A$3:$H$102,4,FALSE)+(VLOOKUP(VLOOKUP(BL$1,main!$A$3:$H$102,8,FALSE),main!$K$19:$O$22,MATCH(VLOOKUP($A19,main!$A$3:$H$102,7,FALSE),main!$K$18:$O$18,0),0))),0)</f>
        <v>0</v>
      </c>
      <c r="BM19">
        <f>IF((gamma!BM19),IF(VLOOKUP(BM$1,main!$A$3:$H$102,7,FALSE)=VLOOKUP($A19,main!$A$3:$H$102,8,FALSE),VLOOKUP(BM$1,main!$A$3:$H$102,4,FALSE),VLOOKUP(BM$1,main!$A$3:$H$102,4,FALSE)+VLOOKUP($A19,main!$A$3:$H$102,4,FALSE)+(VLOOKUP(VLOOKUP(BM$1,main!$A$3:$H$102,8,FALSE),main!$K$19:$O$22,MATCH(VLOOKUP($A19,main!$A$3:$H$102,7,FALSE),main!$K$18:$O$18,0),0))),0)</f>
        <v>0</v>
      </c>
      <c r="BN19">
        <f>IF((gamma!BN19),IF(VLOOKUP(BN$1,main!$A$3:$H$102,7,FALSE)=VLOOKUP($A19,main!$A$3:$H$102,8,FALSE),VLOOKUP(BN$1,main!$A$3:$H$102,4,FALSE),VLOOKUP(BN$1,main!$A$3:$H$102,4,FALSE)+VLOOKUP($A19,main!$A$3:$H$102,4,FALSE)+(VLOOKUP(VLOOKUP(BN$1,main!$A$3:$H$102,8,FALSE),main!$K$19:$O$22,MATCH(VLOOKUP($A19,main!$A$3:$H$102,7,FALSE),main!$K$18:$O$18,0),0))),0)</f>
        <v>0</v>
      </c>
      <c r="BO19">
        <f>IF((gamma!BO19),IF(VLOOKUP(BO$1,main!$A$3:$H$102,7,FALSE)=VLOOKUP($A19,main!$A$3:$H$102,8,FALSE),VLOOKUP(BO$1,main!$A$3:$H$102,4,FALSE),VLOOKUP(BO$1,main!$A$3:$H$102,4,FALSE)+VLOOKUP($A19,main!$A$3:$H$102,4,FALSE)+(VLOOKUP(VLOOKUP(BO$1,main!$A$3:$H$102,8,FALSE),main!$K$19:$O$22,MATCH(VLOOKUP($A19,main!$A$3:$H$102,7,FALSE),main!$K$18:$O$18,0),0))),0)</f>
        <v>0</v>
      </c>
      <c r="BP19">
        <f>IF((gamma!BP19),IF(VLOOKUP(BP$1,main!$A$3:$H$102,7,FALSE)=VLOOKUP($A19,main!$A$3:$H$102,8,FALSE),VLOOKUP(BP$1,main!$A$3:$H$102,4,FALSE),VLOOKUP(BP$1,main!$A$3:$H$102,4,FALSE)+VLOOKUP($A19,main!$A$3:$H$102,4,FALSE)+(VLOOKUP(VLOOKUP(BP$1,main!$A$3:$H$102,8,FALSE),main!$K$19:$O$22,MATCH(VLOOKUP($A19,main!$A$3:$H$102,7,FALSE),main!$K$18:$O$18,0),0))),0)</f>
        <v>0</v>
      </c>
      <c r="BQ19">
        <f>IF((gamma!BQ19),IF(VLOOKUP(BQ$1,main!$A$3:$H$102,7,FALSE)=VLOOKUP($A19,main!$A$3:$H$102,8,FALSE),VLOOKUP(BQ$1,main!$A$3:$H$102,4,FALSE),VLOOKUP(BQ$1,main!$A$3:$H$102,4,FALSE)+VLOOKUP($A19,main!$A$3:$H$102,4,FALSE)+(VLOOKUP(VLOOKUP(BQ$1,main!$A$3:$H$102,8,FALSE),main!$K$19:$O$22,MATCH(VLOOKUP($A19,main!$A$3:$H$102,7,FALSE),main!$K$18:$O$18,0),0))),0)</f>
        <v>0</v>
      </c>
      <c r="BR19">
        <f>IF((gamma!BR19),IF(VLOOKUP(BR$1,main!$A$3:$H$102,7,FALSE)=VLOOKUP($A19,main!$A$3:$H$102,8,FALSE),VLOOKUP(BR$1,main!$A$3:$H$102,4,FALSE),VLOOKUP(BR$1,main!$A$3:$H$102,4,FALSE)+VLOOKUP($A19,main!$A$3:$H$102,4,FALSE)+(VLOOKUP(VLOOKUP(BR$1,main!$A$3:$H$102,8,FALSE),main!$K$19:$O$22,MATCH(VLOOKUP($A19,main!$A$3:$H$102,7,FALSE),main!$K$18:$O$18,0),0))),0)</f>
        <v>0</v>
      </c>
      <c r="BS19">
        <f>IF((gamma!BS19),IF(VLOOKUP(BS$1,main!$A$3:$H$102,7,FALSE)=VLOOKUP($A19,main!$A$3:$H$102,8,FALSE),VLOOKUP(BS$1,main!$A$3:$H$102,4,FALSE),VLOOKUP(BS$1,main!$A$3:$H$102,4,FALSE)+VLOOKUP($A19,main!$A$3:$H$102,4,FALSE)+(VLOOKUP(VLOOKUP(BS$1,main!$A$3:$H$102,8,FALSE),main!$K$19:$O$22,MATCH(VLOOKUP($A19,main!$A$3:$H$102,7,FALSE),main!$K$18:$O$18,0),0))),0)</f>
        <v>0</v>
      </c>
      <c r="BT19">
        <f>IF((gamma!BT19),IF(VLOOKUP(BT$1,main!$A$3:$H$102,7,FALSE)=VLOOKUP($A19,main!$A$3:$H$102,8,FALSE),VLOOKUP(BT$1,main!$A$3:$H$102,4,FALSE),VLOOKUP(BT$1,main!$A$3:$H$102,4,FALSE)+VLOOKUP($A19,main!$A$3:$H$102,4,FALSE)+(VLOOKUP(VLOOKUP(BT$1,main!$A$3:$H$102,8,FALSE),main!$K$19:$O$22,MATCH(VLOOKUP($A19,main!$A$3:$H$102,7,FALSE),main!$K$18:$O$18,0),0))),0)</f>
        <v>0</v>
      </c>
      <c r="BU19">
        <f>IF((gamma!BU19),IF(VLOOKUP(BU$1,main!$A$3:$H$102,7,FALSE)=VLOOKUP($A19,main!$A$3:$H$102,8,FALSE),VLOOKUP(BU$1,main!$A$3:$H$102,4,FALSE),VLOOKUP(BU$1,main!$A$3:$H$102,4,FALSE)+VLOOKUP($A19,main!$A$3:$H$102,4,FALSE)+(VLOOKUP(VLOOKUP(BU$1,main!$A$3:$H$102,8,FALSE),main!$K$19:$O$22,MATCH(VLOOKUP($A19,main!$A$3:$H$102,7,FALSE),main!$K$18:$O$18,0),0))),0)</f>
        <v>0</v>
      </c>
      <c r="BV19">
        <f>IF((gamma!BV19),IF(VLOOKUP(BV$1,main!$A$3:$H$102,7,FALSE)=VLOOKUP($A19,main!$A$3:$H$102,8,FALSE),VLOOKUP(BV$1,main!$A$3:$H$102,4,FALSE),VLOOKUP(BV$1,main!$A$3:$H$102,4,FALSE)+VLOOKUP($A19,main!$A$3:$H$102,4,FALSE)+(VLOOKUP(VLOOKUP(BV$1,main!$A$3:$H$102,8,FALSE),main!$K$19:$O$22,MATCH(VLOOKUP($A19,main!$A$3:$H$102,7,FALSE),main!$K$18:$O$18,0),0))),0)</f>
        <v>0</v>
      </c>
      <c r="BW19">
        <f>IF((gamma!BW19),IF(VLOOKUP(BW$1,main!$A$3:$H$102,7,FALSE)=VLOOKUP($A19,main!$A$3:$H$102,8,FALSE),VLOOKUP(BW$1,main!$A$3:$H$102,4,FALSE),VLOOKUP(BW$1,main!$A$3:$H$102,4,FALSE)+VLOOKUP($A19,main!$A$3:$H$102,4,FALSE)+(VLOOKUP(VLOOKUP(BW$1,main!$A$3:$H$102,8,FALSE),main!$K$19:$O$22,MATCH(VLOOKUP($A19,main!$A$3:$H$102,7,FALSE),main!$K$18:$O$18,0),0))),0)</f>
        <v>0</v>
      </c>
      <c r="BX19">
        <f>IF((gamma!BX19),IF(VLOOKUP(BX$1,main!$A$3:$H$102,7,FALSE)=VLOOKUP($A19,main!$A$3:$H$102,8,FALSE),VLOOKUP(BX$1,main!$A$3:$H$102,4,FALSE),VLOOKUP(BX$1,main!$A$3:$H$102,4,FALSE)+VLOOKUP($A19,main!$A$3:$H$102,4,FALSE)+(VLOOKUP(VLOOKUP(BX$1,main!$A$3:$H$102,8,FALSE),main!$K$19:$O$22,MATCH(VLOOKUP($A19,main!$A$3:$H$102,7,FALSE),main!$K$18:$O$18,0),0))),0)</f>
        <v>0</v>
      </c>
      <c r="BY19">
        <f>IF((gamma!BY19),IF(VLOOKUP(BY$1,main!$A$3:$H$102,7,FALSE)=VLOOKUP($A19,main!$A$3:$H$102,8,FALSE),VLOOKUP(BY$1,main!$A$3:$H$102,4,FALSE),VLOOKUP(BY$1,main!$A$3:$H$102,4,FALSE)+VLOOKUP($A19,main!$A$3:$H$102,4,FALSE)+(VLOOKUP(VLOOKUP(BY$1,main!$A$3:$H$102,8,FALSE),main!$K$19:$O$22,MATCH(VLOOKUP($A19,main!$A$3:$H$102,7,FALSE),main!$K$18:$O$18,0),0))),0)</f>
        <v>0</v>
      </c>
      <c r="BZ19">
        <f>IF((gamma!BZ19),IF(VLOOKUP(BZ$1,main!$A$3:$H$102,7,FALSE)=VLOOKUP($A19,main!$A$3:$H$102,8,FALSE),VLOOKUP(BZ$1,main!$A$3:$H$102,4,FALSE),VLOOKUP(BZ$1,main!$A$3:$H$102,4,FALSE)+VLOOKUP($A19,main!$A$3:$H$102,4,FALSE)+(VLOOKUP(VLOOKUP(BZ$1,main!$A$3:$H$102,8,FALSE),main!$K$19:$O$22,MATCH(VLOOKUP($A19,main!$A$3:$H$102,7,FALSE),main!$K$18:$O$18,0),0))),0)</f>
        <v>0</v>
      </c>
      <c r="CA19">
        <f>IF((gamma!CA19),IF(VLOOKUP(CA$1,main!$A$3:$H$102,7,FALSE)=VLOOKUP($A19,main!$A$3:$H$102,8,FALSE),VLOOKUP(CA$1,main!$A$3:$H$102,4,FALSE),VLOOKUP(CA$1,main!$A$3:$H$102,4,FALSE)+VLOOKUP($A19,main!$A$3:$H$102,4,FALSE)+(VLOOKUP(VLOOKUP(CA$1,main!$A$3:$H$102,8,FALSE),main!$K$19:$O$22,MATCH(VLOOKUP($A19,main!$A$3:$H$102,7,FALSE),main!$K$18:$O$18,0),0))),0)</f>
        <v>0</v>
      </c>
      <c r="CB19">
        <f>IF((gamma!CB19),IF(VLOOKUP(CB$1,main!$A$3:$H$102,7,FALSE)=VLOOKUP($A19,main!$A$3:$H$102,8,FALSE),VLOOKUP(CB$1,main!$A$3:$H$102,4,FALSE),VLOOKUP(CB$1,main!$A$3:$H$102,4,FALSE)+VLOOKUP($A19,main!$A$3:$H$102,4,FALSE)+(VLOOKUP(VLOOKUP(CB$1,main!$A$3:$H$102,8,FALSE),main!$K$19:$O$22,MATCH(VLOOKUP($A19,main!$A$3:$H$102,7,FALSE),main!$K$18:$O$18,0),0))),0)</f>
        <v>0</v>
      </c>
      <c r="CC19">
        <f>IF((gamma!CC19),IF(VLOOKUP(CC$1,main!$A$3:$H$102,7,FALSE)=VLOOKUP($A19,main!$A$3:$H$102,8,FALSE),VLOOKUP(CC$1,main!$A$3:$H$102,4,FALSE),VLOOKUP(CC$1,main!$A$3:$H$102,4,FALSE)+VLOOKUP($A19,main!$A$3:$H$102,4,FALSE)+(VLOOKUP(VLOOKUP(CC$1,main!$A$3:$H$102,8,FALSE),main!$K$19:$O$22,MATCH(VLOOKUP($A19,main!$A$3:$H$102,7,FALSE),main!$K$18:$O$18,0),0))),0)</f>
        <v>55</v>
      </c>
      <c r="CD19">
        <f>IF((gamma!CD19),IF(VLOOKUP(CD$1,main!$A$3:$H$102,7,FALSE)=VLOOKUP($A19,main!$A$3:$H$102,8,FALSE),VLOOKUP(CD$1,main!$A$3:$H$102,4,FALSE),VLOOKUP(CD$1,main!$A$3:$H$102,4,FALSE)+VLOOKUP($A19,main!$A$3:$H$102,4,FALSE)+(VLOOKUP(VLOOKUP(CD$1,main!$A$3:$H$102,8,FALSE),main!$K$19:$O$22,MATCH(VLOOKUP($A19,main!$A$3:$H$102,7,FALSE),main!$K$18:$O$18,0),0))),0)</f>
        <v>0</v>
      </c>
      <c r="CE19">
        <f>IF((gamma!CE19),IF(VLOOKUP(CE$1,main!$A$3:$H$102,7,FALSE)=VLOOKUP($A19,main!$A$3:$H$102,8,FALSE),VLOOKUP(CE$1,main!$A$3:$H$102,4,FALSE),VLOOKUP(CE$1,main!$A$3:$H$102,4,FALSE)+VLOOKUP($A19,main!$A$3:$H$102,4,FALSE)+(VLOOKUP(VLOOKUP(CE$1,main!$A$3:$H$102,8,FALSE),main!$K$19:$O$22,MATCH(VLOOKUP($A19,main!$A$3:$H$102,7,FALSE),main!$K$18:$O$18,0),0))),0)</f>
        <v>0</v>
      </c>
      <c r="CF19">
        <f>IF((gamma!CF19),IF(VLOOKUP(CF$1,main!$A$3:$H$102,7,FALSE)=VLOOKUP($A19,main!$A$3:$H$102,8,FALSE),VLOOKUP(CF$1,main!$A$3:$H$102,4,FALSE),VLOOKUP(CF$1,main!$A$3:$H$102,4,FALSE)+VLOOKUP($A19,main!$A$3:$H$102,4,FALSE)+(VLOOKUP(VLOOKUP(CF$1,main!$A$3:$H$102,8,FALSE),main!$K$19:$O$22,MATCH(VLOOKUP($A19,main!$A$3:$H$102,7,FALSE),main!$K$18:$O$18,0),0))),0)</f>
        <v>0</v>
      </c>
      <c r="CG19">
        <f>IF((gamma!CG19),IF(VLOOKUP(CG$1,main!$A$3:$H$102,7,FALSE)=VLOOKUP($A19,main!$A$3:$H$102,8,FALSE),VLOOKUP(CG$1,main!$A$3:$H$102,4,FALSE),VLOOKUP(CG$1,main!$A$3:$H$102,4,FALSE)+VLOOKUP($A19,main!$A$3:$H$102,4,FALSE)+(VLOOKUP(VLOOKUP(CG$1,main!$A$3:$H$102,8,FALSE),main!$K$19:$O$22,MATCH(VLOOKUP($A19,main!$A$3:$H$102,7,FALSE),main!$K$18:$O$18,0),0))),0)</f>
        <v>0</v>
      </c>
      <c r="CH19">
        <f>IF((gamma!CH19),IF(VLOOKUP(CH$1,main!$A$3:$H$102,7,FALSE)=VLOOKUP($A19,main!$A$3:$H$102,8,FALSE),VLOOKUP(CH$1,main!$A$3:$H$102,4,FALSE),VLOOKUP(CH$1,main!$A$3:$H$102,4,FALSE)+VLOOKUP($A19,main!$A$3:$H$102,4,FALSE)+(VLOOKUP(VLOOKUP(CH$1,main!$A$3:$H$102,8,FALSE),main!$K$19:$O$22,MATCH(VLOOKUP($A19,main!$A$3:$H$102,7,FALSE),main!$K$18:$O$18,0),0))),0)</f>
        <v>0</v>
      </c>
      <c r="CI19">
        <f>IF((gamma!CI19),IF(VLOOKUP(CI$1,main!$A$3:$H$102,7,FALSE)=VLOOKUP($A19,main!$A$3:$H$102,8,FALSE),VLOOKUP(CI$1,main!$A$3:$H$102,4,FALSE),VLOOKUP(CI$1,main!$A$3:$H$102,4,FALSE)+VLOOKUP($A19,main!$A$3:$H$102,4,FALSE)+(VLOOKUP(VLOOKUP(CI$1,main!$A$3:$H$102,8,FALSE),main!$K$19:$O$22,MATCH(VLOOKUP($A19,main!$A$3:$H$102,7,FALSE),main!$K$18:$O$18,0),0))),0)</f>
        <v>280</v>
      </c>
      <c r="CJ19">
        <f>IF((gamma!CJ19),IF(VLOOKUP(CJ$1,main!$A$3:$H$102,7,FALSE)=VLOOKUP($A19,main!$A$3:$H$102,8,FALSE),VLOOKUP(CJ$1,main!$A$3:$H$102,4,FALSE),VLOOKUP(CJ$1,main!$A$3:$H$102,4,FALSE)+VLOOKUP($A19,main!$A$3:$H$102,4,FALSE)+(VLOOKUP(VLOOKUP(CJ$1,main!$A$3:$H$102,8,FALSE),main!$K$19:$O$22,MATCH(VLOOKUP($A19,main!$A$3:$H$102,7,FALSE),main!$K$18:$O$18,0),0))),0)</f>
        <v>0</v>
      </c>
      <c r="CK19">
        <f>IF((gamma!CK19),IF(VLOOKUP(CK$1,main!$A$3:$H$102,7,FALSE)=VLOOKUP($A19,main!$A$3:$H$102,8,FALSE),VLOOKUP(CK$1,main!$A$3:$H$102,4,FALSE),VLOOKUP(CK$1,main!$A$3:$H$102,4,FALSE)+VLOOKUP($A19,main!$A$3:$H$102,4,FALSE)+(VLOOKUP(VLOOKUP(CK$1,main!$A$3:$H$102,8,FALSE),main!$K$19:$O$22,MATCH(VLOOKUP($A19,main!$A$3:$H$102,7,FALSE),main!$K$18:$O$18,0),0))),0)</f>
        <v>0</v>
      </c>
      <c r="CL19">
        <f>IF((gamma!CL19),IF(VLOOKUP(CL$1,main!$A$3:$H$102,7,FALSE)=VLOOKUP($A19,main!$A$3:$H$102,8,FALSE),VLOOKUP(CL$1,main!$A$3:$H$102,4,FALSE),VLOOKUP(CL$1,main!$A$3:$H$102,4,FALSE)+VLOOKUP($A19,main!$A$3:$H$102,4,FALSE)+(VLOOKUP(VLOOKUP(CL$1,main!$A$3:$H$102,8,FALSE),main!$K$19:$O$22,MATCH(VLOOKUP($A19,main!$A$3:$H$102,7,FALSE),main!$K$18:$O$18,0),0))),0)</f>
        <v>0</v>
      </c>
      <c r="CM19">
        <f>IF((gamma!CM19),IF(VLOOKUP(CM$1,main!$A$3:$H$102,7,FALSE)=VLOOKUP($A19,main!$A$3:$H$102,8,FALSE),VLOOKUP(CM$1,main!$A$3:$H$102,4,FALSE),VLOOKUP(CM$1,main!$A$3:$H$102,4,FALSE)+VLOOKUP($A19,main!$A$3:$H$102,4,FALSE)+(VLOOKUP(VLOOKUP(CM$1,main!$A$3:$H$102,8,FALSE),main!$K$19:$O$22,MATCH(VLOOKUP($A19,main!$A$3:$H$102,7,FALSE),main!$K$18:$O$18,0),0))),0)</f>
        <v>0</v>
      </c>
      <c r="CN19">
        <f>IF((gamma!CN19),IF(VLOOKUP(CN$1,main!$A$3:$H$102,7,FALSE)=VLOOKUP($A19,main!$A$3:$H$102,8,FALSE),VLOOKUP(CN$1,main!$A$3:$H$102,4,FALSE),VLOOKUP(CN$1,main!$A$3:$H$102,4,FALSE)+VLOOKUP($A19,main!$A$3:$H$102,4,FALSE)+(VLOOKUP(VLOOKUP(CN$1,main!$A$3:$H$102,8,FALSE),main!$K$19:$O$22,MATCH(VLOOKUP($A19,main!$A$3:$H$102,7,FALSE),main!$K$18:$O$18,0),0))),0)</f>
        <v>236</v>
      </c>
      <c r="CO19">
        <f>IF((gamma!CO19),IF(VLOOKUP(CO$1,main!$A$3:$H$102,7,FALSE)=VLOOKUP($A19,main!$A$3:$H$102,8,FALSE),VLOOKUP(CO$1,main!$A$3:$H$102,4,FALSE),VLOOKUP(CO$1,main!$A$3:$H$102,4,FALSE)+VLOOKUP($A19,main!$A$3:$H$102,4,FALSE)+(VLOOKUP(VLOOKUP(CO$1,main!$A$3:$H$102,8,FALSE),main!$K$19:$O$22,MATCH(VLOOKUP($A19,main!$A$3:$H$102,7,FALSE),main!$K$18:$O$18,0),0))),0)</f>
        <v>0</v>
      </c>
      <c r="CP19">
        <f>IF((gamma!CP19),IF(VLOOKUP(CP$1,main!$A$3:$H$102,7,FALSE)=VLOOKUP($A19,main!$A$3:$H$102,8,FALSE),VLOOKUP(CP$1,main!$A$3:$H$102,4,FALSE),VLOOKUP(CP$1,main!$A$3:$H$102,4,FALSE)+VLOOKUP($A19,main!$A$3:$H$102,4,FALSE)+(VLOOKUP(VLOOKUP(CP$1,main!$A$3:$H$102,8,FALSE),main!$K$19:$O$22,MATCH(VLOOKUP($A19,main!$A$3:$H$102,7,FALSE),main!$K$18:$O$18,0),0))),0)</f>
        <v>0</v>
      </c>
      <c r="CQ19">
        <f>IF((gamma!CQ19),IF(VLOOKUP(CQ$1,main!$A$3:$H$102,7,FALSE)=VLOOKUP($A19,main!$A$3:$H$102,8,FALSE),VLOOKUP(CQ$1,main!$A$3:$H$102,4,FALSE),VLOOKUP(CQ$1,main!$A$3:$H$102,4,FALSE)+VLOOKUP($A19,main!$A$3:$H$102,4,FALSE)+(VLOOKUP(VLOOKUP(CQ$1,main!$A$3:$H$102,8,FALSE),main!$K$19:$O$22,MATCH(VLOOKUP($A19,main!$A$3:$H$102,7,FALSE),main!$K$18:$O$18,0),0))),0)</f>
        <v>0</v>
      </c>
      <c r="CR19">
        <f>IF((gamma!CR19),IF(VLOOKUP(CR$1,main!$A$3:$H$102,7,FALSE)=VLOOKUP($A19,main!$A$3:$H$102,8,FALSE),VLOOKUP(CR$1,main!$A$3:$H$102,4,FALSE),VLOOKUP(CR$1,main!$A$3:$H$102,4,FALSE)+VLOOKUP($A19,main!$A$3:$H$102,4,FALSE)+(VLOOKUP(VLOOKUP(CR$1,main!$A$3:$H$102,8,FALSE),main!$K$19:$O$22,MATCH(VLOOKUP($A19,main!$A$3:$H$102,7,FALSE),main!$K$18:$O$18,0),0))),0)</f>
        <v>0</v>
      </c>
      <c r="CS19">
        <f>IF((gamma!CS19),IF(VLOOKUP(CS$1,main!$A$3:$H$102,7,FALSE)=VLOOKUP($A19,main!$A$3:$H$102,8,FALSE),VLOOKUP(CS$1,main!$A$3:$H$102,4,FALSE),VLOOKUP(CS$1,main!$A$3:$H$102,4,FALSE)+VLOOKUP($A19,main!$A$3:$H$102,4,FALSE)+(VLOOKUP(VLOOKUP(CS$1,main!$A$3:$H$102,8,FALSE),main!$K$19:$O$22,MATCH(VLOOKUP($A19,main!$A$3:$H$102,7,FALSE),main!$K$18:$O$18,0),0))),0)</f>
        <v>0</v>
      </c>
      <c r="CT19">
        <f>IF((gamma!CT19),IF(VLOOKUP(CT$1,main!$A$3:$H$102,7,FALSE)=VLOOKUP($A19,main!$A$3:$H$102,8,FALSE),VLOOKUP(CT$1,main!$A$3:$H$102,4,FALSE),VLOOKUP(CT$1,main!$A$3:$H$102,4,FALSE)+VLOOKUP($A19,main!$A$3:$H$102,4,FALSE)+(VLOOKUP(VLOOKUP(CT$1,main!$A$3:$H$102,8,FALSE),main!$K$19:$O$22,MATCH(VLOOKUP($A19,main!$A$3:$H$102,7,FALSE),main!$K$18:$O$18,0),0))),0)</f>
        <v>0</v>
      </c>
      <c r="CU19">
        <f>IF((gamma!CU19),IF(VLOOKUP(CU$1,main!$A$3:$H$102,7,FALSE)=VLOOKUP($A19,main!$A$3:$H$102,8,FALSE),VLOOKUP(CU$1,main!$A$3:$H$102,4,FALSE),VLOOKUP(CU$1,main!$A$3:$H$102,4,FALSE)+VLOOKUP($A19,main!$A$3:$H$102,4,FALSE)+(VLOOKUP(VLOOKUP(CU$1,main!$A$3:$H$102,8,FALSE),main!$K$19:$O$22,MATCH(VLOOKUP($A19,main!$A$3:$H$102,7,FALSE),main!$K$18:$O$18,0),0))),0)</f>
        <v>0</v>
      </c>
      <c r="CV19">
        <f>IF((gamma!CV19),IF(VLOOKUP(CV$1,main!$A$3:$H$102,7,FALSE)=VLOOKUP($A19,main!$A$3:$H$102,8,FALSE),VLOOKUP(CV$1,main!$A$3:$H$102,4,FALSE),VLOOKUP(CV$1,main!$A$3:$H$102,4,FALSE)+VLOOKUP($A19,main!$A$3:$H$102,4,FALSE)+(VLOOKUP(VLOOKUP(CV$1,main!$A$3:$H$102,8,FALSE),main!$K$19:$O$22,MATCH(VLOOKUP($A19,main!$A$3:$H$102,7,FALSE),main!$K$18:$O$18,0),0))),0)</f>
        <v>0</v>
      </c>
      <c r="CW19">
        <f>IF((gamma!CW19),IF(VLOOKUP(CW$1,main!$A$3:$H$102,7,FALSE)=VLOOKUP($A19,main!$A$3:$H$102,8,FALSE),VLOOKUP(CW$1,main!$A$3:$H$102,4,FALSE),VLOOKUP(CW$1,main!$A$3:$H$102,4,FALSE)+VLOOKUP($A19,main!$A$3:$H$102,4,FALSE)+(VLOOKUP(VLOOKUP(CW$1,main!$A$3:$H$102,8,FALSE),main!$K$19:$O$22,MATCH(VLOOKUP($A19,main!$A$3:$H$102,7,FALSE),main!$K$18:$O$18,0),0))),0)</f>
        <v>0</v>
      </c>
      <c r="CX19">
        <f>IF((gamma!CX19),IF(VLOOKUP(CX$1,main!$A$3:$H$102,7,FALSE)=VLOOKUP($A19,main!$A$3:$H$102,8,FALSE),VLOOKUP(CX$1,main!$A$3:$H$102,4,FALSE),VLOOKUP(CX$1,main!$A$3:$H$102,4,FALSE)+VLOOKUP($A19,main!$A$3:$H$102,4,FALSE)+(VLOOKUP(VLOOKUP(CX$1,main!$A$3:$H$102,8,FALSE),main!$K$19:$O$22,MATCH(VLOOKUP($A19,main!$A$3:$H$102,7,FALSE),main!$K$18:$O$18,0),0))),0)</f>
        <v>0</v>
      </c>
      <c r="CY19">
        <v>0</v>
      </c>
      <c r="CZ19">
        <v>0</v>
      </c>
      <c r="DA19">
        <v>0</v>
      </c>
    </row>
    <row r="20" spans="1:105" x14ac:dyDescent="0.25">
      <c r="A20" s="1">
        <v>18</v>
      </c>
      <c r="B20">
        <v>0</v>
      </c>
      <c r="C20">
        <f>IF((gamma!C20),IF(VLOOKUP(C$1,main!$A$3:$H$102,7,FALSE)=VLOOKUP($A20,main!$A$3:$H$102,8,FALSE),VLOOKUP(C$1,main!$A$3:$H$102,4,FALSE),VLOOKUP(C$1,main!$A$3:$H$102,4,FALSE)+VLOOKUP($A20,main!$A$3:$H$102,4,FALSE)+(VLOOKUP(VLOOKUP(C$1,main!$A$3:$H$102,8,FALSE),main!$K$19:$O$22,MATCH(VLOOKUP($A20,main!$A$3:$H$102,7,FALSE),main!$K$18:$O$18,0),0))),0)</f>
        <v>0</v>
      </c>
      <c r="D20">
        <f>IF((gamma!D20),IF(VLOOKUP(D$1,main!$A$3:$H$102,7,FALSE)=VLOOKUP($A20,main!$A$3:$H$102,8,FALSE),VLOOKUP(D$1,main!$A$3:$H$102,4,FALSE),VLOOKUP(D$1,main!$A$3:$H$102,4,FALSE)+VLOOKUP($A20,main!$A$3:$H$102,4,FALSE)+(VLOOKUP(VLOOKUP(D$1,main!$A$3:$H$102,8,FALSE),main!$K$19:$O$22,MATCH(VLOOKUP($A20,main!$A$3:$H$102,7,FALSE),main!$K$18:$O$18,0),0))),0)</f>
        <v>0</v>
      </c>
      <c r="E20">
        <f>IF((gamma!E20),IF(VLOOKUP(E$1,main!$A$3:$H$102,7,FALSE)=VLOOKUP($A20,main!$A$3:$H$102,8,FALSE),VLOOKUP(E$1,main!$A$3:$H$102,4,FALSE),VLOOKUP(E$1,main!$A$3:$H$102,4,FALSE)+VLOOKUP($A20,main!$A$3:$H$102,4,FALSE)+(VLOOKUP(VLOOKUP(E$1,main!$A$3:$H$102,8,FALSE),main!$K$19:$O$22,MATCH(VLOOKUP($A20,main!$A$3:$H$102,7,FALSE),main!$K$18:$O$18,0),0))),0)</f>
        <v>0</v>
      </c>
      <c r="F20">
        <f>IF((gamma!F20),IF(VLOOKUP(F$1,main!$A$3:$H$102,7,FALSE)=VLOOKUP($A20,main!$A$3:$H$102,8,FALSE),VLOOKUP(F$1,main!$A$3:$H$102,4,FALSE),VLOOKUP(F$1,main!$A$3:$H$102,4,FALSE)+VLOOKUP($A20,main!$A$3:$H$102,4,FALSE)+(VLOOKUP(VLOOKUP(F$1,main!$A$3:$H$102,8,FALSE),main!$K$19:$O$22,MATCH(VLOOKUP($A20,main!$A$3:$H$102,7,FALSE),main!$K$18:$O$18,0),0))),0)</f>
        <v>0</v>
      </c>
      <c r="G20">
        <f>IF((gamma!G20),IF(VLOOKUP(G$1,main!$A$3:$H$102,7,FALSE)=VLOOKUP($A20,main!$A$3:$H$102,8,FALSE),VLOOKUP(G$1,main!$A$3:$H$102,4,FALSE),VLOOKUP(G$1,main!$A$3:$H$102,4,FALSE)+VLOOKUP($A20,main!$A$3:$H$102,4,FALSE)+(VLOOKUP(VLOOKUP(G$1,main!$A$3:$H$102,8,FALSE),main!$K$19:$O$22,MATCH(VLOOKUP($A20,main!$A$3:$H$102,7,FALSE),main!$K$18:$O$18,0),0))),0)</f>
        <v>0</v>
      </c>
      <c r="H20">
        <f>IF((gamma!H20),IF(VLOOKUP(H$1,main!$A$3:$H$102,7,FALSE)=VLOOKUP($A20,main!$A$3:$H$102,8,FALSE),VLOOKUP(H$1,main!$A$3:$H$102,4,FALSE),VLOOKUP(H$1,main!$A$3:$H$102,4,FALSE)+VLOOKUP($A20,main!$A$3:$H$102,4,FALSE)+(VLOOKUP(VLOOKUP(H$1,main!$A$3:$H$102,8,FALSE),main!$K$19:$O$22,MATCH(VLOOKUP($A20,main!$A$3:$H$102,7,FALSE),main!$K$18:$O$18,0),0))),0)</f>
        <v>0</v>
      </c>
      <c r="I20">
        <f>IF((gamma!I20),IF(VLOOKUP(I$1,main!$A$3:$H$102,7,FALSE)=VLOOKUP($A20,main!$A$3:$H$102,8,FALSE),VLOOKUP(I$1,main!$A$3:$H$102,4,FALSE),VLOOKUP(I$1,main!$A$3:$H$102,4,FALSE)+VLOOKUP($A20,main!$A$3:$H$102,4,FALSE)+(VLOOKUP(VLOOKUP(I$1,main!$A$3:$H$102,8,FALSE),main!$K$19:$O$22,MATCH(VLOOKUP($A20,main!$A$3:$H$102,7,FALSE),main!$K$18:$O$18,0),0))),0)</f>
        <v>0</v>
      </c>
      <c r="J20">
        <f>IF((gamma!J20),IF(VLOOKUP(J$1,main!$A$3:$H$102,7,FALSE)=VLOOKUP($A20,main!$A$3:$H$102,8,FALSE),VLOOKUP(J$1,main!$A$3:$H$102,4,FALSE),VLOOKUP(J$1,main!$A$3:$H$102,4,FALSE)+VLOOKUP($A20,main!$A$3:$H$102,4,FALSE)+(VLOOKUP(VLOOKUP(J$1,main!$A$3:$H$102,8,FALSE),main!$K$19:$O$22,MATCH(VLOOKUP($A20,main!$A$3:$H$102,7,FALSE),main!$K$18:$O$18,0),0))),0)</f>
        <v>0</v>
      </c>
      <c r="K20">
        <f>IF((gamma!K20),IF(VLOOKUP(K$1,main!$A$3:$H$102,7,FALSE)=VLOOKUP($A20,main!$A$3:$H$102,8,FALSE),VLOOKUP(K$1,main!$A$3:$H$102,4,FALSE),VLOOKUP(K$1,main!$A$3:$H$102,4,FALSE)+VLOOKUP($A20,main!$A$3:$H$102,4,FALSE)+(VLOOKUP(VLOOKUP(K$1,main!$A$3:$H$102,8,FALSE),main!$K$19:$O$22,MATCH(VLOOKUP($A20,main!$A$3:$H$102,7,FALSE),main!$K$18:$O$18,0),0))),0)</f>
        <v>0</v>
      </c>
      <c r="L20">
        <f>IF((gamma!L20),IF(VLOOKUP(L$1,main!$A$3:$H$102,7,FALSE)=VLOOKUP($A20,main!$A$3:$H$102,8,FALSE),VLOOKUP(L$1,main!$A$3:$H$102,4,FALSE),VLOOKUP(L$1,main!$A$3:$H$102,4,FALSE)+VLOOKUP($A20,main!$A$3:$H$102,4,FALSE)+(VLOOKUP(VLOOKUP(L$1,main!$A$3:$H$102,8,FALSE),main!$K$19:$O$22,MATCH(VLOOKUP($A20,main!$A$3:$H$102,7,FALSE),main!$K$18:$O$18,0),0))),0)</f>
        <v>300</v>
      </c>
      <c r="M20">
        <f>IF((gamma!M20),IF(VLOOKUP(M$1,main!$A$3:$H$102,7,FALSE)=VLOOKUP($A20,main!$A$3:$H$102,8,FALSE),VLOOKUP(M$1,main!$A$3:$H$102,4,FALSE),VLOOKUP(M$1,main!$A$3:$H$102,4,FALSE)+VLOOKUP($A20,main!$A$3:$H$102,4,FALSE)+(VLOOKUP(VLOOKUP(M$1,main!$A$3:$H$102,8,FALSE),main!$K$19:$O$22,MATCH(VLOOKUP($A20,main!$A$3:$H$102,7,FALSE),main!$K$18:$O$18,0),0))),0)</f>
        <v>0</v>
      </c>
      <c r="N20">
        <f>IF((gamma!N20),IF(VLOOKUP(N$1,main!$A$3:$H$102,7,FALSE)=VLOOKUP($A20,main!$A$3:$H$102,8,FALSE),VLOOKUP(N$1,main!$A$3:$H$102,4,FALSE),VLOOKUP(N$1,main!$A$3:$H$102,4,FALSE)+VLOOKUP($A20,main!$A$3:$H$102,4,FALSE)+(VLOOKUP(VLOOKUP(N$1,main!$A$3:$H$102,8,FALSE),main!$K$19:$O$22,MATCH(VLOOKUP($A20,main!$A$3:$H$102,7,FALSE),main!$K$18:$O$18,0),0))),0)</f>
        <v>0</v>
      </c>
      <c r="O20">
        <f>IF((gamma!O20),IF(VLOOKUP(O$1,main!$A$3:$H$102,7,FALSE)=VLOOKUP($A20,main!$A$3:$H$102,8,FALSE),VLOOKUP(O$1,main!$A$3:$H$102,4,FALSE),VLOOKUP(O$1,main!$A$3:$H$102,4,FALSE)+VLOOKUP($A20,main!$A$3:$H$102,4,FALSE)+(VLOOKUP(VLOOKUP(O$1,main!$A$3:$H$102,8,FALSE),main!$K$19:$O$22,MATCH(VLOOKUP($A20,main!$A$3:$H$102,7,FALSE),main!$K$18:$O$18,0),0))),0)</f>
        <v>0</v>
      </c>
      <c r="P20">
        <f>IF((gamma!P20),IF(VLOOKUP(P$1,main!$A$3:$H$102,7,FALSE)=VLOOKUP($A20,main!$A$3:$H$102,8,FALSE),VLOOKUP(P$1,main!$A$3:$H$102,4,FALSE),VLOOKUP(P$1,main!$A$3:$H$102,4,FALSE)+VLOOKUP($A20,main!$A$3:$H$102,4,FALSE)+(VLOOKUP(VLOOKUP(P$1,main!$A$3:$H$102,8,FALSE),main!$K$19:$O$22,MATCH(VLOOKUP($A20,main!$A$3:$H$102,7,FALSE),main!$K$18:$O$18,0),0))),0)</f>
        <v>0</v>
      </c>
      <c r="Q20">
        <f>IF((gamma!Q20),IF(VLOOKUP(Q$1,main!$A$3:$H$102,7,FALSE)=VLOOKUP($A20,main!$A$3:$H$102,8,FALSE),VLOOKUP(Q$1,main!$A$3:$H$102,4,FALSE),VLOOKUP(Q$1,main!$A$3:$H$102,4,FALSE)+VLOOKUP($A20,main!$A$3:$H$102,4,FALSE)+(VLOOKUP(VLOOKUP(Q$1,main!$A$3:$H$102,8,FALSE),main!$K$19:$O$22,MATCH(VLOOKUP($A20,main!$A$3:$H$102,7,FALSE),main!$K$18:$O$18,0),0))),0)</f>
        <v>0</v>
      </c>
      <c r="R20">
        <f>IF((gamma!R20),IF(VLOOKUP(R$1,main!$A$3:$H$102,7,FALSE)=VLOOKUP($A20,main!$A$3:$H$102,8,FALSE),VLOOKUP(R$1,main!$A$3:$H$102,4,FALSE),VLOOKUP(R$1,main!$A$3:$H$102,4,FALSE)+VLOOKUP($A20,main!$A$3:$H$102,4,FALSE)+(VLOOKUP(VLOOKUP(R$1,main!$A$3:$H$102,8,FALSE),main!$K$19:$O$22,MATCH(VLOOKUP($A20,main!$A$3:$H$102,7,FALSE),main!$K$18:$O$18,0),0))),0)</f>
        <v>0</v>
      </c>
      <c r="S20">
        <f>IF((gamma!S20),IF(VLOOKUP(S$1,main!$A$3:$H$102,7,FALSE)=VLOOKUP($A20,main!$A$3:$H$102,8,FALSE),VLOOKUP(S$1,main!$A$3:$H$102,4,FALSE),VLOOKUP(S$1,main!$A$3:$H$102,4,FALSE)+VLOOKUP($A20,main!$A$3:$H$102,4,FALSE)+(VLOOKUP(VLOOKUP(S$1,main!$A$3:$H$102,8,FALSE),main!$K$19:$O$22,MATCH(VLOOKUP($A20,main!$A$3:$H$102,7,FALSE),main!$K$18:$O$18,0),0))),0)</f>
        <v>0</v>
      </c>
      <c r="T20">
        <f>IF((gamma!T20),IF(VLOOKUP(T$1,main!$A$3:$H$102,7,FALSE)=VLOOKUP($A20,main!$A$3:$H$102,8,FALSE),VLOOKUP(T$1,main!$A$3:$H$102,4,FALSE),VLOOKUP(T$1,main!$A$3:$H$102,4,FALSE)+VLOOKUP($A20,main!$A$3:$H$102,4,FALSE)+(VLOOKUP(VLOOKUP(T$1,main!$A$3:$H$102,8,FALSE),main!$K$19:$O$22,MATCH(VLOOKUP($A20,main!$A$3:$H$102,7,FALSE),main!$K$18:$O$18,0),0))),0)</f>
        <v>0</v>
      </c>
      <c r="U20">
        <f>IF((gamma!U20),IF(VLOOKUP(U$1,main!$A$3:$H$102,7,FALSE)=VLOOKUP($A20,main!$A$3:$H$102,8,FALSE),VLOOKUP(U$1,main!$A$3:$H$102,4,FALSE),VLOOKUP(U$1,main!$A$3:$H$102,4,FALSE)+VLOOKUP($A20,main!$A$3:$H$102,4,FALSE)+(VLOOKUP(VLOOKUP(U$1,main!$A$3:$H$102,8,FALSE),main!$K$19:$O$22,MATCH(VLOOKUP($A20,main!$A$3:$H$102,7,FALSE),main!$K$18:$O$18,0),0))),0)</f>
        <v>0</v>
      </c>
      <c r="V20">
        <f>IF((gamma!V20),IF(VLOOKUP(V$1,main!$A$3:$H$102,7,FALSE)=VLOOKUP($A20,main!$A$3:$H$102,8,FALSE),VLOOKUP(V$1,main!$A$3:$H$102,4,FALSE),VLOOKUP(V$1,main!$A$3:$H$102,4,FALSE)+VLOOKUP($A20,main!$A$3:$H$102,4,FALSE)+(VLOOKUP(VLOOKUP(V$1,main!$A$3:$H$102,8,FALSE),main!$K$19:$O$22,MATCH(VLOOKUP($A20,main!$A$3:$H$102,7,FALSE),main!$K$18:$O$18,0),0))),0)</f>
        <v>310</v>
      </c>
      <c r="W20">
        <f>IF((gamma!W20),IF(VLOOKUP(W$1,main!$A$3:$H$102,7,FALSE)=VLOOKUP($A20,main!$A$3:$H$102,8,FALSE),VLOOKUP(W$1,main!$A$3:$H$102,4,FALSE),VLOOKUP(W$1,main!$A$3:$H$102,4,FALSE)+VLOOKUP($A20,main!$A$3:$H$102,4,FALSE)+(VLOOKUP(VLOOKUP(W$1,main!$A$3:$H$102,8,FALSE),main!$K$19:$O$22,MATCH(VLOOKUP($A20,main!$A$3:$H$102,7,FALSE),main!$K$18:$O$18,0),0))),0)</f>
        <v>0</v>
      </c>
      <c r="X20">
        <f>IF((gamma!X20),IF(VLOOKUP(X$1,main!$A$3:$H$102,7,FALSE)=VLOOKUP($A20,main!$A$3:$H$102,8,FALSE),VLOOKUP(X$1,main!$A$3:$H$102,4,FALSE),VLOOKUP(X$1,main!$A$3:$H$102,4,FALSE)+VLOOKUP($A20,main!$A$3:$H$102,4,FALSE)+(VLOOKUP(VLOOKUP(X$1,main!$A$3:$H$102,8,FALSE),main!$K$19:$O$22,MATCH(VLOOKUP($A20,main!$A$3:$H$102,7,FALSE),main!$K$18:$O$18,0),0))),0)</f>
        <v>0</v>
      </c>
      <c r="Y20">
        <f>IF((gamma!Y20),IF(VLOOKUP(Y$1,main!$A$3:$H$102,7,FALSE)=VLOOKUP($A20,main!$A$3:$H$102,8,FALSE),VLOOKUP(Y$1,main!$A$3:$H$102,4,FALSE),VLOOKUP(Y$1,main!$A$3:$H$102,4,FALSE)+VLOOKUP($A20,main!$A$3:$H$102,4,FALSE)+(VLOOKUP(VLOOKUP(Y$1,main!$A$3:$H$102,8,FALSE),main!$K$19:$O$22,MATCH(VLOOKUP($A20,main!$A$3:$H$102,7,FALSE),main!$K$18:$O$18,0),0))),0)</f>
        <v>0</v>
      </c>
      <c r="Z20">
        <f>IF((gamma!Z20),IF(VLOOKUP(Z$1,main!$A$3:$H$102,7,FALSE)=VLOOKUP($A20,main!$A$3:$H$102,8,FALSE),VLOOKUP(Z$1,main!$A$3:$H$102,4,FALSE),VLOOKUP(Z$1,main!$A$3:$H$102,4,FALSE)+VLOOKUP($A20,main!$A$3:$H$102,4,FALSE)+(VLOOKUP(VLOOKUP(Z$1,main!$A$3:$H$102,8,FALSE),main!$K$19:$O$22,MATCH(VLOOKUP($A20,main!$A$3:$H$102,7,FALSE),main!$K$18:$O$18,0),0))),0)</f>
        <v>0</v>
      </c>
      <c r="AA20">
        <f>IF((gamma!AA20),IF(VLOOKUP(AA$1,main!$A$3:$H$102,7,FALSE)=VLOOKUP($A20,main!$A$3:$H$102,8,FALSE),VLOOKUP(AA$1,main!$A$3:$H$102,4,FALSE),VLOOKUP(AA$1,main!$A$3:$H$102,4,FALSE)+VLOOKUP($A20,main!$A$3:$H$102,4,FALSE)+(VLOOKUP(VLOOKUP(AA$1,main!$A$3:$H$102,8,FALSE),main!$K$19:$O$22,MATCH(VLOOKUP($A20,main!$A$3:$H$102,7,FALSE),main!$K$18:$O$18,0),0))),0)</f>
        <v>0</v>
      </c>
      <c r="AB20">
        <f>IF((gamma!AB20),IF(VLOOKUP(AB$1,main!$A$3:$H$102,7,FALSE)=VLOOKUP($A20,main!$A$3:$H$102,8,FALSE),VLOOKUP(AB$1,main!$A$3:$H$102,4,FALSE),VLOOKUP(AB$1,main!$A$3:$H$102,4,FALSE)+VLOOKUP($A20,main!$A$3:$H$102,4,FALSE)+(VLOOKUP(VLOOKUP(AB$1,main!$A$3:$H$102,8,FALSE),main!$K$19:$O$22,MATCH(VLOOKUP($A20,main!$A$3:$H$102,7,FALSE),main!$K$18:$O$18,0),0))),0)</f>
        <v>0</v>
      </c>
      <c r="AC20">
        <f>IF((gamma!AC20),IF(VLOOKUP(AC$1,main!$A$3:$H$102,7,FALSE)=VLOOKUP($A20,main!$A$3:$H$102,8,FALSE),VLOOKUP(AC$1,main!$A$3:$H$102,4,FALSE),VLOOKUP(AC$1,main!$A$3:$H$102,4,FALSE)+VLOOKUP($A20,main!$A$3:$H$102,4,FALSE)+(VLOOKUP(VLOOKUP(AC$1,main!$A$3:$H$102,8,FALSE),main!$K$19:$O$22,MATCH(VLOOKUP($A20,main!$A$3:$H$102,7,FALSE),main!$K$18:$O$18,0),0))),0)</f>
        <v>0</v>
      </c>
      <c r="AD20">
        <f>IF((gamma!AD20),IF(VLOOKUP(AD$1,main!$A$3:$H$102,7,FALSE)=VLOOKUP($A20,main!$A$3:$H$102,8,FALSE),VLOOKUP(AD$1,main!$A$3:$H$102,4,FALSE),VLOOKUP(AD$1,main!$A$3:$H$102,4,FALSE)+VLOOKUP($A20,main!$A$3:$H$102,4,FALSE)+(VLOOKUP(VLOOKUP(AD$1,main!$A$3:$H$102,8,FALSE),main!$K$19:$O$22,MATCH(VLOOKUP($A20,main!$A$3:$H$102,7,FALSE),main!$K$18:$O$18,0),0))),0)</f>
        <v>0</v>
      </c>
      <c r="AE20">
        <f>IF((gamma!AE20),IF(VLOOKUP(AE$1,main!$A$3:$H$102,7,FALSE)=VLOOKUP($A20,main!$A$3:$H$102,8,FALSE),VLOOKUP(AE$1,main!$A$3:$H$102,4,FALSE),VLOOKUP(AE$1,main!$A$3:$H$102,4,FALSE)+VLOOKUP($A20,main!$A$3:$H$102,4,FALSE)+(VLOOKUP(VLOOKUP(AE$1,main!$A$3:$H$102,8,FALSE),main!$K$19:$O$22,MATCH(VLOOKUP($A20,main!$A$3:$H$102,7,FALSE),main!$K$18:$O$18,0),0))),0)</f>
        <v>0</v>
      </c>
      <c r="AF20">
        <f>IF((gamma!AF20),IF(VLOOKUP(AF$1,main!$A$3:$H$102,7,FALSE)=VLOOKUP($A20,main!$A$3:$H$102,8,FALSE),VLOOKUP(AF$1,main!$A$3:$H$102,4,FALSE),VLOOKUP(AF$1,main!$A$3:$H$102,4,FALSE)+VLOOKUP($A20,main!$A$3:$H$102,4,FALSE)+(VLOOKUP(VLOOKUP(AF$1,main!$A$3:$H$102,8,FALSE),main!$K$19:$O$22,MATCH(VLOOKUP($A20,main!$A$3:$H$102,7,FALSE),main!$K$18:$O$18,0),0))),0)</f>
        <v>0</v>
      </c>
      <c r="AG20">
        <f>IF((gamma!AG20),IF(VLOOKUP(AG$1,main!$A$3:$H$102,7,FALSE)=VLOOKUP($A20,main!$A$3:$H$102,8,FALSE),VLOOKUP(AG$1,main!$A$3:$H$102,4,FALSE),VLOOKUP(AG$1,main!$A$3:$H$102,4,FALSE)+VLOOKUP($A20,main!$A$3:$H$102,4,FALSE)+(VLOOKUP(VLOOKUP(AG$1,main!$A$3:$H$102,8,FALSE),main!$K$19:$O$22,MATCH(VLOOKUP($A20,main!$A$3:$H$102,7,FALSE),main!$K$18:$O$18,0),0))),0)</f>
        <v>0</v>
      </c>
      <c r="AH20">
        <f>IF((gamma!AH20),IF(VLOOKUP(AH$1,main!$A$3:$H$102,7,FALSE)=VLOOKUP($A20,main!$A$3:$H$102,8,FALSE),VLOOKUP(AH$1,main!$A$3:$H$102,4,FALSE),VLOOKUP(AH$1,main!$A$3:$H$102,4,FALSE)+VLOOKUP($A20,main!$A$3:$H$102,4,FALSE)+(VLOOKUP(VLOOKUP(AH$1,main!$A$3:$H$102,8,FALSE),main!$K$19:$O$22,MATCH(VLOOKUP($A20,main!$A$3:$H$102,7,FALSE),main!$K$18:$O$18,0),0))),0)</f>
        <v>0</v>
      </c>
      <c r="AI20">
        <f>IF((gamma!AI20),IF(VLOOKUP(AI$1,main!$A$3:$H$102,7,FALSE)=VLOOKUP($A20,main!$A$3:$H$102,8,FALSE),VLOOKUP(AI$1,main!$A$3:$H$102,4,FALSE),VLOOKUP(AI$1,main!$A$3:$H$102,4,FALSE)+VLOOKUP($A20,main!$A$3:$H$102,4,FALSE)+(VLOOKUP(VLOOKUP(AI$1,main!$A$3:$H$102,8,FALSE),main!$K$19:$O$22,MATCH(VLOOKUP($A20,main!$A$3:$H$102,7,FALSE),main!$K$18:$O$18,0),0))),0)</f>
        <v>0</v>
      </c>
      <c r="AJ20">
        <f>IF((gamma!AJ20),IF(VLOOKUP(AJ$1,main!$A$3:$H$102,7,FALSE)=VLOOKUP($A20,main!$A$3:$H$102,8,FALSE),VLOOKUP(AJ$1,main!$A$3:$H$102,4,FALSE),VLOOKUP(AJ$1,main!$A$3:$H$102,4,FALSE)+VLOOKUP($A20,main!$A$3:$H$102,4,FALSE)+(VLOOKUP(VLOOKUP(AJ$1,main!$A$3:$H$102,8,FALSE),main!$K$19:$O$22,MATCH(VLOOKUP($A20,main!$A$3:$H$102,7,FALSE),main!$K$18:$O$18,0),0))),0)</f>
        <v>0</v>
      </c>
      <c r="AK20">
        <f>IF((gamma!AK20),IF(VLOOKUP(AK$1,main!$A$3:$H$102,7,FALSE)=VLOOKUP($A20,main!$A$3:$H$102,8,FALSE),VLOOKUP(AK$1,main!$A$3:$H$102,4,FALSE),VLOOKUP(AK$1,main!$A$3:$H$102,4,FALSE)+VLOOKUP($A20,main!$A$3:$H$102,4,FALSE)+(VLOOKUP(VLOOKUP(AK$1,main!$A$3:$H$102,8,FALSE),main!$K$19:$O$22,MATCH(VLOOKUP($A20,main!$A$3:$H$102,7,FALSE),main!$K$18:$O$18,0),0))),0)</f>
        <v>0</v>
      </c>
      <c r="AL20">
        <f>IF((gamma!AL20),IF(VLOOKUP(AL$1,main!$A$3:$H$102,7,FALSE)=VLOOKUP($A20,main!$A$3:$H$102,8,FALSE),VLOOKUP(AL$1,main!$A$3:$H$102,4,FALSE),VLOOKUP(AL$1,main!$A$3:$H$102,4,FALSE)+VLOOKUP($A20,main!$A$3:$H$102,4,FALSE)+(VLOOKUP(VLOOKUP(AL$1,main!$A$3:$H$102,8,FALSE),main!$K$19:$O$22,MATCH(VLOOKUP($A20,main!$A$3:$H$102,7,FALSE),main!$K$18:$O$18,0),0))),0)</f>
        <v>0</v>
      </c>
      <c r="AM20">
        <f>IF((gamma!AM20),IF(VLOOKUP(AM$1,main!$A$3:$H$102,7,FALSE)=VLOOKUP($A20,main!$A$3:$H$102,8,FALSE),VLOOKUP(AM$1,main!$A$3:$H$102,4,FALSE),VLOOKUP(AM$1,main!$A$3:$H$102,4,FALSE)+VLOOKUP($A20,main!$A$3:$H$102,4,FALSE)+(VLOOKUP(VLOOKUP(AM$1,main!$A$3:$H$102,8,FALSE),main!$K$19:$O$22,MATCH(VLOOKUP($A20,main!$A$3:$H$102,7,FALSE),main!$K$18:$O$18,0),0))),0)</f>
        <v>0</v>
      </c>
      <c r="AN20">
        <f>IF((gamma!AN20),IF(VLOOKUP(AN$1,main!$A$3:$H$102,7,FALSE)=VLOOKUP($A20,main!$A$3:$H$102,8,FALSE),VLOOKUP(AN$1,main!$A$3:$H$102,4,FALSE),VLOOKUP(AN$1,main!$A$3:$H$102,4,FALSE)+VLOOKUP($A20,main!$A$3:$H$102,4,FALSE)+(VLOOKUP(VLOOKUP(AN$1,main!$A$3:$H$102,8,FALSE),main!$K$19:$O$22,MATCH(VLOOKUP($A20,main!$A$3:$H$102,7,FALSE),main!$K$18:$O$18,0),0))),0)</f>
        <v>0</v>
      </c>
      <c r="AO20">
        <f>IF((gamma!AO20),IF(VLOOKUP(AO$1,main!$A$3:$H$102,7,FALSE)=VLOOKUP($A20,main!$A$3:$H$102,8,FALSE),VLOOKUP(AO$1,main!$A$3:$H$102,4,FALSE),VLOOKUP(AO$1,main!$A$3:$H$102,4,FALSE)+VLOOKUP($A20,main!$A$3:$H$102,4,FALSE)+(VLOOKUP(VLOOKUP(AO$1,main!$A$3:$H$102,8,FALSE),main!$K$19:$O$22,MATCH(VLOOKUP($A20,main!$A$3:$H$102,7,FALSE),main!$K$18:$O$18,0),0))),0)</f>
        <v>0</v>
      </c>
      <c r="AP20">
        <f>IF((gamma!AP20),IF(VLOOKUP(AP$1,main!$A$3:$H$102,7,FALSE)=VLOOKUP($A20,main!$A$3:$H$102,8,FALSE),VLOOKUP(AP$1,main!$A$3:$H$102,4,FALSE),VLOOKUP(AP$1,main!$A$3:$H$102,4,FALSE)+VLOOKUP($A20,main!$A$3:$H$102,4,FALSE)+(VLOOKUP(VLOOKUP(AP$1,main!$A$3:$H$102,8,FALSE),main!$K$19:$O$22,MATCH(VLOOKUP($A20,main!$A$3:$H$102,7,FALSE),main!$K$18:$O$18,0),0))),0)</f>
        <v>215</v>
      </c>
      <c r="AQ20">
        <f>IF((gamma!AQ20),IF(VLOOKUP(AQ$1,main!$A$3:$H$102,7,FALSE)=VLOOKUP($A20,main!$A$3:$H$102,8,FALSE),VLOOKUP(AQ$1,main!$A$3:$H$102,4,FALSE),VLOOKUP(AQ$1,main!$A$3:$H$102,4,FALSE)+VLOOKUP($A20,main!$A$3:$H$102,4,FALSE)+(VLOOKUP(VLOOKUP(AQ$1,main!$A$3:$H$102,8,FALSE),main!$K$19:$O$22,MATCH(VLOOKUP($A20,main!$A$3:$H$102,7,FALSE),main!$K$18:$O$18,0),0))),0)</f>
        <v>0</v>
      </c>
      <c r="AR20">
        <f>IF((gamma!AR20),IF(VLOOKUP(AR$1,main!$A$3:$H$102,7,FALSE)=VLOOKUP($A20,main!$A$3:$H$102,8,FALSE),VLOOKUP(AR$1,main!$A$3:$H$102,4,FALSE),VLOOKUP(AR$1,main!$A$3:$H$102,4,FALSE)+VLOOKUP($A20,main!$A$3:$H$102,4,FALSE)+(VLOOKUP(VLOOKUP(AR$1,main!$A$3:$H$102,8,FALSE),main!$K$19:$O$22,MATCH(VLOOKUP($A20,main!$A$3:$H$102,7,FALSE),main!$K$18:$O$18,0),0))),0)</f>
        <v>0</v>
      </c>
      <c r="AS20">
        <f>IF((gamma!AS20),IF(VLOOKUP(AS$1,main!$A$3:$H$102,7,FALSE)=VLOOKUP($A20,main!$A$3:$H$102,8,FALSE),VLOOKUP(AS$1,main!$A$3:$H$102,4,FALSE),VLOOKUP(AS$1,main!$A$3:$H$102,4,FALSE)+VLOOKUP($A20,main!$A$3:$H$102,4,FALSE)+(VLOOKUP(VLOOKUP(AS$1,main!$A$3:$H$102,8,FALSE),main!$K$19:$O$22,MATCH(VLOOKUP($A20,main!$A$3:$H$102,7,FALSE),main!$K$18:$O$18,0),0))),0)</f>
        <v>0</v>
      </c>
      <c r="AT20">
        <f>IF((gamma!AT20),IF(VLOOKUP(AT$1,main!$A$3:$H$102,7,FALSE)=VLOOKUP($A20,main!$A$3:$H$102,8,FALSE),VLOOKUP(AT$1,main!$A$3:$H$102,4,FALSE),VLOOKUP(AT$1,main!$A$3:$H$102,4,FALSE)+VLOOKUP($A20,main!$A$3:$H$102,4,FALSE)+(VLOOKUP(VLOOKUP(AT$1,main!$A$3:$H$102,8,FALSE),main!$K$19:$O$22,MATCH(VLOOKUP($A20,main!$A$3:$H$102,7,FALSE),main!$K$18:$O$18,0),0))),0)</f>
        <v>0</v>
      </c>
      <c r="AU20">
        <f>IF((gamma!AU20),IF(VLOOKUP(AU$1,main!$A$3:$H$102,7,FALSE)=VLOOKUP($A20,main!$A$3:$H$102,8,FALSE),VLOOKUP(AU$1,main!$A$3:$H$102,4,FALSE),VLOOKUP(AU$1,main!$A$3:$H$102,4,FALSE)+VLOOKUP($A20,main!$A$3:$H$102,4,FALSE)+(VLOOKUP(VLOOKUP(AU$1,main!$A$3:$H$102,8,FALSE),main!$K$19:$O$22,MATCH(VLOOKUP($A20,main!$A$3:$H$102,7,FALSE),main!$K$18:$O$18,0),0))),0)</f>
        <v>0</v>
      </c>
      <c r="AV20">
        <f>IF((gamma!AV20),IF(VLOOKUP(AV$1,main!$A$3:$H$102,7,FALSE)=VLOOKUP($A20,main!$A$3:$H$102,8,FALSE),VLOOKUP(AV$1,main!$A$3:$H$102,4,FALSE),VLOOKUP(AV$1,main!$A$3:$H$102,4,FALSE)+VLOOKUP($A20,main!$A$3:$H$102,4,FALSE)+(VLOOKUP(VLOOKUP(AV$1,main!$A$3:$H$102,8,FALSE),main!$K$19:$O$22,MATCH(VLOOKUP($A20,main!$A$3:$H$102,7,FALSE),main!$K$18:$O$18,0),0))),0)</f>
        <v>0</v>
      </c>
      <c r="AW20">
        <f>IF((gamma!AW20),IF(VLOOKUP(AW$1,main!$A$3:$H$102,7,FALSE)=VLOOKUP($A20,main!$A$3:$H$102,8,FALSE),VLOOKUP(AW$1,main!$A$3:$H$102,4,FALSE),VLOOKUP(AW$1,main!$A$3:$H$102,4,FALSE)+VLOOKUP($A20,main!$A$3:$H$102,4,FALSE)+(VLOOKUP(VLOOKUP(AW$1,main!$A$3:$H$102,8,FALSE),main!$K$19:$O$22,MATCH(VLOOKUP($A20,main!$A$3:$H$102,7,FALSE),main!$K$18:$O$18,0),0))),0)</f>
        <v>0</v>
      </c>
      <c r="AX20">
        <f>IF((gamma!AX20),IF(VLOOKUP(AX$1,main!$A$3:$H$102,7,FALSE)=VLOOKUP($A20,main!$A$3:$H$102,8,FALSE),VLOOKUP(AX$1,main!$A$3:$H$102,4,FALSE),VLOOKUP(AX$1,main!$A$3:$H$102,4,FALSE)+VLOOKUP($A20,main!$A$3:$H$102,4,FALSE)+(VLOOKUP(VLOOKUP(AX$1,main!$A$3:$H$102,8,FALSE),main!$K$19:$O$22,MATCH(VLOOKUP($A20,main!$A$3:$H$102,7,FALSE),main!$K$18:$O$18,0),0))),0)</f>
        <v>0</v>
      </c>
      <c r="AY20">
        <f>IF((gamma!AY20),IF(VLOOKUP(AY$1,main!$A$3:$H$102,7,FALSE)=VLOOKUP($A20,main!$A$3:$H$102,8,FALSE),VLOOKUP(AY$1,main!$A$3:$H$102,4,FALSE),VLOOKUP(AY$1,main!$A$3:$H$102,4,FALSE)+VLOOKUP($A20,main!$A$3:$H$102,4,FALSE)+(VLOOKUP(VLOOKUP(AY$1,main!$A$3:$H$102,8,FALSE),main!$K$19:$O$22,MATCH(VLOOKUP($A20,main!$A$3:$H$102,7,FALSE),main!$K$18:$O$18,0),0))),0)</f>
        <v>0</v>
      </c>
      <c r="AZ20">
        <f>IF((gamma!AZ20),IF(VLOOKUP(AZ$1,main!$A$3:$H$102,7,FALSE)=VLOOKUP($A20,main!$A$3:$H$102,8,FALSE),VLOOKUP(AZ$1,main!$A$3:$H$102,4,FALSE),VLOOKUP(AZ$1,main!$A$3:$H$102,4,FALSE)+VLOOKUP($A20,main!$A$3:$H$102,4,FALSE)+(VLOOKUP(VLOOKUP(AZ$1,main!$A$3:$H$102,8,FALSE),main!$K$19:$O$22,MATCH(VLOOKUP($A20,main!$A$3:$H$102,7,FALSE),main!$K$18:$O$18,0),0))),0)</f>
        <v>0</v>
      </c>
      <c r="BA20">
        <f>IF((gamma!BA20),IF(VLOOKUP(BA$1,main!$A$3:$H$102,7,FALSE)=VLOOKUP($A20,main!$A$3:$H$102,8,FALSE),VLOOKUP(BA$1,main!$A$3:$H$102,4,FALSE),VLOOKUP(BA$1,main!$A$3:$H$102,4,FALSE)+VLOOKUP($A20,main!$A$3:$H$102,4,FALSE)+(VLOOKUP(VLOOKUP(BA$1,main!$A$3:$H$102,8,FALSE),main!$K$19:$O$22,MATCH(VLOOKUP($A20,main!$A$3:$H$102,7,FALSE),main!$K$18:$O$18,0),0))),0)</f>
        <v>0</v>
      </c>
      <c r="BB20">
        <f>IF((gamma!BB20),IF(VLOOKUP(BB$1,main!$A$3:$H$102,7,FALSE)=VLOOKUP($A20,main!$A$3:$H$102,8,FALSE),VLOOKUP(BB$1,main!$A$3:$H$102,4,FALSE),VLOOKUP(BB$1,main!$A$3:$H$102,4,FALSE)+VLOOKUP($A20,main!$A$3:$H$102,4,FALSE)+(VLOOKUP(VLOOKUP(BB$1,main!$A$3:$H$102,8,FALSE),main!$K$19:$O$22,MATCH(VLOOKUP($A20,main!$A$3:$H$102,7,FALSE),main!$K$18:$O$18,0),0))),0)</f>
        <v>0</v>
      </c>
      <c r="BC20">
        <f>IF((gamma!BC20),IF(VLOOKUP(BC$1,main!$A$3:$H$102,7,FALSE)=VLOOKUP($A20,main!$A$3:$H$102,8,FALSE),VLOOKUP(BC$1,main!$A$3:$H$102,4,FALSE),VLOOKUP(BC$1,main!$A$3:$H$102,4,FALSE)+VLOOKUP($A20,main!$A$3:$H$102,4,FALSE)+(VLOOKUP(VLOOKUP(BC$1,main!$A$3:$H$102,8,FALSE),main!$K$19:$O$22,MATCH(VLOOKUP($A20,main!$A$3:$H$102,7,FALSE),main!$K$18:$O$18,0),0))),0)</f>
        <v>0</v>
      </c>
      <c r="BD20">
        <f>IF((gamma!BD20),IF(VLOOKUP(BD$1,main!$A$3:$H$102,7,FALSE)=VLOOKUP($A20,main!$A$3:$H$102,8,FALSE),VLOOKUP(BD$1,main!$A$3:$H$102,4,FALSE),VLOOKUP(BD$1,main!$A$3:$H$102,4,FALSE)+VLOOKUP($A20,main!$A$3:$H$102,4,FALSE)+(VLOOKUP(VLOOKUP(BD$1,main!$A$3:$H$102,8,FALSE),main!$K$19:$O$22,MATCH(VLOOKUP($A20,main!$A$3:$H$102,7,FALSE),main!$K$18:$O$18,0),0))),0)</f>
        <v>0</v>
      </c>
      <c r="BE20">
        <f>IF((gamma!BE20),IF(VLOOKUP(BE$1,main!$A$3:$H$102,7,FALSE)=VLOOKUP($A20,main!$A$3:$H$102,8,FALSE),VLOOKUP(BE$1,main!$A$3:$H$102,4,FALSE),VLOOKUP(BE$1,main!$A$3:$H$102,4,FALSE)+VLOOKUP($A20,main!$A$3:$H$102,4,FALSE)+(VLOOKUP(VLOOKUP(BE$1,main!$A$3:$H$102,8,FALSE),main!$K$19:$O$22,MATCH(VLOOKUP($A20,main!$A$3:$H$102,7,FALSE),main!$K$18:$O$18,0),0))),0)</f>
        <v>0</v>
      </c>
      <c r="BF20">
        <f>IF((gamma!BF20),IF(VLOOKUP(BF$1,main!$A$3:$H$102,7,FALSE)=VLOOKUP($A20,main!$A$3:$H$102,8,FALSE),VLOOKUP(BF$1,main!$A$3:$H$102,4,FALSE),VLOOKUP(BF$1,main!$A$3:$H$102,4,FALSE)+VLOOKUP($A20,main!$A$3:$H$102,4,FALSE)+(VLOOKUP(VLOOKUP(BF$1,main!$A$3:$H$102,8,FALSE),main!$K$19:$O$22,MATCH(VLOOKUP($A20,main!$A$3:$H$102,7,FALSE),main!$K$18:$O$18,0),0))),0)</f>
        <v>0</v>
      </c>
      <c r="BG20">
        <f>IF((gamma!BG20),IF(VLOOKUP(BG$1,main!$A$3:$H$102,7,FALSE)=VLOOKUP($A20,main!$A$3:$H$102,8,FALSE),VLOOKUP(BG$1,main!$A$3:$H$102,4,FALSE),VLOOKUP(BG$1,main!$A$3:$H$102,4,FALSE)+VLOOKUP($A20,main!$A$3:$H$102,4,FALSE)+(VLOOKUP(VLOOKUP(BG$1,main!$A$3:$H$102,8,FALSE),main!$K$19:$O$22,MATCH(VLOOKUP($A20,main!$A$3:$H$102,7,FALSE),main!$K$18:$O$18,0),0))),0)</f>
        <v>0</v>
      </c>
      <c r="BH20">
        <f>IF((gamma!BH20),IF(VLOOKUP(BH$1,main!$A$3:$H$102,7,FALSE)=VLOOKUP($A20,main!$A$3:$H$102,8,FALSE),VLOOKUP(BH$1,main!$A$3:$H$102,4,FALSE),VLOOKUP(BH$1,main!$A$3:$H$102,4,FALSE)+VLOOKUP($A20,main!$A$3:$H$102,4,FALSE)+(VLOOKUP(VLOOKUP(BH$1,main!$A$3:$H$102,8,FALSE),main!$K$19:$O$22,MATCH(VLOOKUP($A20,main!$A$3:$H$102,7,FALSE),main!$K$18:$O$18,0),0))),0)</f>
        <v>0</v>
      </c>
      <c r="BI20">
        <f>IF((gamma!BI20),IF(VLOOKUP(BI$1,main!$A$3:$H$102,7,FALSE)=VLOOKUP($A20,main!$A$3:$H$102,8,FALSE),VLOOKUP(BI$1,main!$A$3:$H$102,4,FALSE),VLOOKUP(BI$1,main!$A$3:$H$102,4,FALSE)+VLOOKUP($A20,main!$A$3:$H$102,4,FALSE)+(VLOOKUP(VLOOKUP(BI$1,main!$A$3:$H$102,8,FALSE),main!$K$19:$O$22,MATCH(VLOOKUP($A20,main!$A$3:$H$102,7,FALSE),main!$K$18:$O$18,0),0))),0)</f>
        <v>60</v>
      </c>
      <c r="BJ20">
        <f>IF((gamma!BJ20),IF(VLOOKUP(BJ$1,main!$A$3:$H$102,7,FALSE)=VLOOKUP($A20,main!$A$3:$H$102,8,FALSE),VLOOKUP(BJ$1,main!$A$3:$H$102,4,FALSE),VLOOKUP(BJ$1,main!$A$3:$H$102,4,FALSE)+VLOOKUP($A20,main!$A$3:$H$102,4,FALSE)+(VLOOKUP(VLOOKUP(BJ$1,main!$A$3:$H$102,8,FALSE),main!$K$19:$O$22,MATCH(VLOOKUP($A20,main!$A$3:$H$102,7,FALSE),main!$K$18:$O$18,0),0))),0)</f>
        <v>0</v>
      </c>
      <c r="BK20">
        <f>IF((gamma!BK20),IF(VLOOKUP(BK$1,main!$A$3:$H$102,7,FALSE)=VLOOKUP($A20,main!$A$3:$H$102,8,FALSE),VLOOKUP(BK$1,main!$A$3:$H$102,4,FALSE),VLOOKUP(BK$1,main!$A$3:$H$102,4,FALSE)+VLOOKUP($A20,main!$A$3:$H$102,4,FALSE)+(VLOOKUP(VLOOKUP(BK$1,main!$A$3:$H$102,8,FALSE),main!$K$19:$O$22,MATCH(VLOOKUP($A20,main!$A$3:$H$102,7,FALSE),main!$K$18:$O$18,0),0))),0)</f>
        <v>0</v>
      </c>
      <c r="BL20">
        <f>IF((gamma!BL20),IF(VLOOKUP(BL$1,main!$A$3:$H$102,7,FALSE)=VLOOKUP($A20,main!$A$3:$H$102,8,FALSE),VLOOKUP(BL$1,main!$A$3:$H$102,4,FALSE),VLOOKUP(BL$1,main!$A$3:$H$102,4,FALSE)+VLOOKUP($A20,main!$A$3:$H$102,4,FALSE)+(VLOOKUP(VLOOKUP(BL$1,main!$A$3:$H$102,8,FALSE),main!$K$19:$O$22,MATCH(VLOOKUP($A20,main!$A$3:$H$102,7,FALSE),main!$K$18:$O$18,0),0))),0)</f>
        <v>0</v>
      </c>
      <c r="BM20">
        <f>IF((gamma!BM20),IF(VLOOKUP(BM$1,main!$A$3:$H$102,7,FALSE)=VLOOKUP($A20,main!$A$3:$H$102,8,FALSE),VLOOKUP(BM$1,main!$A$3:$H$102,4,FALSE),VLOOKUP(BM$1,main!$A$3:$H$102,4,FALSE)+VLOOKUP($A20,main!$A$3:$H$102,4,FALSE)+(VLOOKUP(VLOOKUP(BM$1,main!$A$3:$H$102,8,FALSE),main!$K$19:$O$22,MATCH(VLOOKUP($A20,main!$A$3:$H$102,7,FALSE),main!$K$18:$O$18,0),0))),0)</f>
        <v>0</v>
      </c>
      <c r="BN20">
        <f>IF((gamma!BN20),IF(VLOOKUP(BN$1,main!$A$3:$H$102,7,FALSE)=VLOOKUP($A20,main!$A$3:$H$102,8,FALSE),VLOOKUP(BN$1,main!$A$3:$H$102,4,FALSE),VLOOKUP(BN$1,main!$A$3:$H$102,4,FALSE)+VLOOKUP($A20,main!$A$3:$H$102,4,FALSE)+(VLOOKUP(VLOOKUP(BN$1,main!$A$3:$H$102,8,FALSE),main!$K$19:$O$22,MATCH(VLOOKUP($A20,main!$A$3:$H$102,7,FALSE),main!$K$18:$O$18,0),0))),0)</f>
        <v>0</v>
      </c>
      <c r="BO20">
        <f>IF((gamma!BO20),IF(VLOOKUP(BO$1,main!$A$3:$H$102,7,FALSE)=VLOOKUP($A20,main!$A$3:$H$102,8,FALSE),VLOOKUP(BO$1,main!$A$3:$H$102,4,FALSE),VLOOKUP(BO$1,main!$A$3:$H$102,4,FALSE)+VLOOKUP($A20,main!$A$3:$H$102,4,FALSE)+(VLOOKUP(VLOOKUP(BO$1,main!$A$3:$H$102,8,FALSE),main!$K$19:$O$22,MATCH(VLOOKUP($A20,main!$A$3:$H$102,7,FALSE),main!$K$18:$O$18,0),0))),0)</f>
        <v>0</v>
      </c>
      <c r="BP20">
        <f>IF((gamma!BP20),IF(VLOOKUP(BP$1,main!$A$3:$H$102,7,FALSE)=VLOOKUP($A20,main!$A$3:$H$102,8,FALSE),VLOOKUP(BP$1,main!$A$3:$H$102,4,FALSE),VLOOKUP(BP$1,main!$A$3:$H$102,4,FALSE)+VLOOKUP($A20,main!$A$3:$H$102,4,FALSE)+(VLOOKUP(VLOOKUP(BP$1,main!$A$3:$H$102,8,FALSE),main!$K$19:$O$22,MATCH(VLOOKUP($A20,main!$A$3:$H$102,7,FALSE),main!$K$18:$O$18,0),0))),0)</f>
        <v>0</v>
      </c>
      <c r="BQ20">
        <f>IF((gamma!BQ20),IF(VLOOKUP(BQ$1,main!$A$3:$H$102,7,FALSE)=VLOOKUP($A20,main!$A$3:$H$102,8,FALSE),VLOOKUP(BQ$1,main!$A$3:$H$102,4,FALSE),VLOOKUP(BQ$1,main!$A$3:$H$102,4,FALSE)+VLOOKUP($A20,main!$A$3:$H$102,4,FALSE)+(VLOOKUP(VLOOKUP(BQ$1,main!$A$3:$H$102,8,FALSE),main!$K$19:$O$22,MATCH(VLOOKUP($A20,main!$A$3:$H$102,7,FALSE),main!$K$18:$O$18,0),0))),0)</f>
        <v>0</v>
      </c>
      <c r="BR20">
        <f>IF((gamma!BR20),IF(VLOOKUP(BR$1,main!$A$3:$H$102,7,FALSE)=VLOOKUP($A20,main!$A$3:$H$102,8,FALSE),VLOOKUP(BR$1,main!$A$3:$H$102,4,FALSE),VLOOKUP(BR$1,main!$A$3:$H$102,4,FALSE)+VLOOKUP($A20,main!$A$3:$H$102,4,FALSE)+(VLOOKUP(VLOOKUP(BR$1,main!$A$3:$H$102,8,FALSE),main!$K$19:$O$22,MATCH(VLOOKUP($A20,main!$A$3:$H$102,7,FALSE),main!$K$18:$O$18,0),0))),0)</f>
        <v>0</v>
      </c>
      <c r="BS20">
        <f>IF((gamma!BS20),IF(VLOOKUP(BS$1,main!$A$3:$H$102,7,FALSE)=VLOOKUP($A20,main!$A$3:$H$102,8,FALSE),VLOOKUP(BS$1,main!$A$3:$H$102,4,FALSE),VLOOKUP(BS$1,main!$A$3:$H$102,4,FALSE)+VLOOKUP($A20,main!$A$3:$H$102,4,FALSE)+(VLOOKUP(VLOOKUP(BS$1,main!$A$3:$H$102,8,FALSE),main!$K$19:$O$22,MATCH(VLOOKUP($A20,main!$A$3:$H$102,7,FALSE),main!$K$18:$O$18,0),0))),0)</f>
        <v>0</v>
      </c>
      <c r="BT20">
        <f>IF((gamma!BT20),IF(VLOOKUP(BT$1,main!$A$3:$H$102,7,FALSE)=VLOOKUP($A20,main!$A$3:$H$102,8,FALSE),VLOOKUP(BT$1,main!$A$3:$H$102,4,FALSE),VLOOKUP(BT$1,main!$A$3:$H$102,4,FALSE)+VLOOKUP($A20,main!$A$3:$H$102,4,FALSE)+(VLOOKUP(VLOOKUP(BT$1,main!$A$3:$H$102,8,FALSE),main!$K$19:$O$22,MATCH(VLOOKUP($A20,main!$A$3:$H$102,7,FALSE),main!$K$18:$O$18,0),0))),0)</f>
        <v>0</v>
      </c>
      <c r="BU20">
        <f>IF((gamma!BU20),IF(VLOOKUP(BU$1,main!$A$3:$H$102,7,FALSE)=VLOOKUP($A20,main!$A$3:$H$102,8,FALSE),VLOOKUP(BU$1,main!$A$3:$H$102,4,FALSE),VLOOKUP(BU$1,main!$A$3:$H$102,4,FALSE)+VLOOKUP($A20,main!$A$3:$H$102,4,FALSE)+(VLOOKUP(VLOOKUP(BU$1,main!$A$3:$H$102,8,FALSE),main!$K$19:$O$22,MATCH(VLOOKUP($A20,main!$A$3:$H$102,7,FALSE),main!$K$18:$O$18,0),0))),0)</f>
        <v>0</v>
      </c>
      <c r="BV20">
        <f>IF((gamma!BV20),IF(VLOOKUP(BV$1,main!$A$3:$H$102,7,FALSE)=VLOOKUP($A20,main!$A$3:$H$102,8,FALSE),VLOOKUP(BV$1,main!$A$3:$H$102,4,FALSE),VLOOKUP(BV$1,main!$A$3:$H$102,4,FALSE)+VLOOKUP($A20,main!$A$3:$H$102,4,FALSE)+(VLOOKUP(VLOOKUP(BV$1,main!$A$3:$H$102,8,FALSE),main!$K$19:$O$22,MATCH(VLOOKUP($A20,main!$A$3:$H$102,7,FALSE),main!$K$18:$O$18,0),0))),0)</f>
        <v>0</v>
      </c>
      <c r="BW20">
        <f>IF((gamma!BW20),IF(VLOOKUP(BW$1,main!$A$3:$H$102,7,FALSE)=VLOOKUP($A20,main!$A$3:$H$102,8,FALSE),VLOOKUP(BW$1,main!$A$3:$H$102,4,FALSE),VLOOKUP(BW$1,main!$A$3:$H$102,4,FALSE)+VLOOKUP($A20,main!$A$3:$H$102,4,FALSE)+(VLOOKUP(VLOOKUP(BW$1,main!$A$3:$H$102,8,FALSE),main!$K$19:$O$22,MATCH(VLOOKUP($A20,main!$A$3:$H$102,7,FALSE),main!$K$18:$O$18,0),0))),0)</f>
        <v>0</v>
      </c>
      <c r="BX20">
        <f>IF((gamma!BX20),IF(VLOOKUP(BX$1,main!$A$3:$H$102,7,FALSE)=VLOOKUP($A20,main!$A$3:$H$102,8,FALSE),VLOOKUP(BX$1,main!$A$3:$H$102,4,FALSE),VLOOKUP(BX$1,main!$A$3:$H$102,4,FALSE)+VLOOKUP($A20,main!$A$3:$H$102,4,FALSE)+(VLOOKUP(VLOOKUP(BX$1,main!$A$3:$H$102,8,FALSE),main!$K$19:$O$22,MATCH(VLOOKUP($A20,main!$A$3:$H$102,7,FALSE),main!$K$18:$O$18,0),0))),0)</f>
        <v>0</v>
      </c>
      <c r="BY20">
        <f>IF((gamma!BY20),IF(VLOOKUP(BY$1,main!$A$3:$H$102,7,FALSE)=VLOOKUP($A20,main!$A$3:$H$102,8,FALSE),VLOOKUP(BY$1,main!$A$3:$H$102,4,FALSE),VLOOKUP(BY$1,main!$A$3:$H$102,4,FALSE)+VLOOKUP($A20,main!$A$3:$H$102,4,FALSE)+(VLOOKUP(VLOOKUP(BY$1,main!$A$3:$H$102,8,FALSE),main!$K$19:$O$22,MATCH(VLOOKUP($A20,main!$A$3:$H$102,7,FALSE),main!$K$18:$O$18,0),0))),0)</f>
        <v>0</v>
      </c>
      <c r="BZ20">
        <f>IF((gamma!BZ20),IF(VLOOKUP(BZ$1,main!$A$3:$H$102,7,FALSE)=VLOOKUP($A20,main!$A$3:$H$102,8,FALSE),VLOOKUP(BZ$1,main!$A$3:$H$102,4,FALSE),VLOOKUP(BZ$1,main!$A$3:$H$102,4,FALSE)+VLOOKUP($A20,main!$A$3:$H$102,4,FALSE)+(VLOOKUP(VLOOKUP(BZ$1,main!$A$3:$H$102,8,FALSE),main!$K$19:$O$22,MATCH(VLOOKUP($A20,main!$A$3:$H$102,7,FALSE),main!$K$18:$O$18,0),0))),0)</f>
        <v>0</v>
      </c>
      <c r="CA20">
        <f>IF((gamma!CA20),IF(VLOOKUP(CA$1,main!$A$3:$H$102,7,FALSE)=VLOOKUP($A20,main!$A$3:$H$102,8,FALSE),VLOOKUP(CA$1,main!$A$3:$H$102,4,FALSE),VLOOKUP(CA$1,main!$A$3:$H$102,4,FALSE)+VLOOKUP($A20,main!$A$3:$H$102,4,FALSE)+(VLOOKUP(VLOOKUP(CA$1,main!$A$3:$H$102,8,FALSE),main!$K$19:$O$22,MATCH(VLOOKUP($A20,main!$A$3:$H$102,7,FALSE),main!$K$18:$O$18,0),0))),0)</f>
        <v>0</v>
      </c>
      <c r="CB20">
        <f>IF((gamma!CB20),IF(VLOOKUP(CB$1,main!$A$3:$H$102,7,FALSE)=VLOOKUP($A20,main!$A$3:$H$102,8,FALSE),VLOOKUP(CB$1,main!$A$3:$H$102,4,FALSE),VLOOKUP(CB$1,main!$A$3:$H$102,4,FALSE)+VLOOKUP($A20,main!$A$3:$H$102,4,FALSE)+(VLOOKUP(VLOOKUP(CB$1,main!$A$3:$H$102,8,FALSE),main!$K$19:$O$22,MATCH(VLOOKUP($A20,main!$A$3:$H$102,7,FALSE),main!$K$18:$O$18,0),0))),0)</f>
        <v>0</v>
      </c>
      <c r="CC20">
        <f>IF((gamma!CC20),IF(VLOOKUP(CC$1,main!$A$3:$H$102,7,FALSE)=VLOOKUP($A20,main!$A$3:$H$102,8,FALSE),VLOOKUP(CC$1,main!$A$3:$H$102,4,FALSE),VLOOKUP(CC$1,main!$A$3:$H$102,4,FALSE)+VLOOKUP($A20,main!$A$3:$H$102,4,FALSE)+(VLOOKUP(VLOOKUP(CC$1,main!$A$3:$H$102,8,FALSE),main!$K$19:$O$22,MATCH(VLOOKUP($A20,main!$A$3:$H$102,7,FALSE),main!$K$18:$O$18,0),0))),0)</f>
        <v>0</v>
      </c>
      <c r="CD20">
        <f>IF((gamma!CD20),IF(VLOOKUP(CD$1,main!$A$3:$H$102,7,FALSE)=VLOOKUP($A20,main!$A$3:$H$102,8,FALSE),VLOOKUP(CD$1,main!$A$3:$H$102,4,FALSE),VLOOKUP(CD$1,main!$A$3:$H$102,4,FALSE)+VLOOKUP($A20,main!$A$3:$H$102,4,FALSE)+(VLOOKUP(VLOOKUP(CD$1,main!$A$3:$H$102,8,FALSE),main!$K$19:$O$22,MATCH(VLOOKUP($A20,main!$A$3:$H$102,7,FALSE),main!$K$18:$O$18,0),0))),0)</f>
        <v>0</v>
      </c>
      <c r="CE20">
        <f>IF((gamma!CE20),IF(VLOOKUP(CE$1,main!$A$3:$H$102,7,FALSE)=VLOOKUP($A20,main!$A$3:$H$102,8,FALSE),VLOOKUP(CE$1,main!$A$3:$H$102,4,FALSE),VLOOKUP(CE$1,main!$A$3:$H$102,4,FALSE)+VLOOKUP($A20,main!$A$3:$H$102,4,FALSE)+(VLOOKUP(VLOOKUP(CE$1,main!$A$3:$H$102,8,FALSE),main!$K$19:$O$22,MATCH(VLOOKUP($A20,main!$A$3:$H$102,7,FALSE),main!$K$18:$O$18,0),0))),0)</f>
        <v>0</v>
      </c>
      <c r="CF20">
        <f>IF((gamma!CF20),IF(VLOOKUP(CF$1,main!$A$3:$H$102,7,FALSE)=VLOOKUP($A20,main!$A$3:$H$102,8,FALSE),VLOOKUP(CF$1,main!$A$3:$H$102,4,FALSE),VLOOKUP(CF$1,main!$A$3:$H$102,4,FALSE)+VLOOKUP($A20,main!$A$3:$H$102,4,FALSE)+(VLOOKUP(VLOOKUP(CF$1,main!$A$3:$H$102,8,FALSE),main!$K$19:$O$22,MATCH(VLOOKUP($A20,main!$A$3:$H$102,7,FALSE),main!$K$18:$O$18,0),0))),0)</f>
        <v>0</v>
      </c>
      <c r="CG20">
        <f>IF((gamma!CG20),IF(VLOOKUP(CG$1,main!$A$3:$H$102,7,FALSE)=VLOOKUP($A20,main!$A$3:$H$102,8,FALSE),VLOOKUP(CG$1,main!$A$3:$H$102,4,FALSE),VLOOKUP(CG$1,main!$A$3:$H$102,4,FALSE)+VLOOKUP($A20,main!$A$3:$H$102,4,FALSE)+(VLOOKUP(VLOOKUP(CG$1,main!$A$3:$H$102,8,FALSE),main!$K$19:$O$22,MATCH(VLOOKUP($A20,main!$A$3:$H$102,7,FALSE),main!$K$18:$O$18,0),0))),0)</f>
        <v>0</v>
      </c>
      <c r="CH20">
        <f>IF((gamma!CH20),IF(VLOOKUP(CH$1,main!$A$3:$H$102,7,FALSE)=VLOOKUP($A20,main!$A$3:$H$102,8,FALSE),VLOOKUP(CH$1,main!$A$3:$H$102,4,FALSE),VLOOKUP(CH$1,main!$A$3:$H$102,4,FALSE)+VLOOKUP($A20,main!$A$3:$H$102,4,FALSE)+(VLOOKUP(VLOOKUP(CH$1,main!$A$3:$H$102,8,FALSE),main!$K$19:$O$22,MATCH(VLOOKUP($A20,main!$A$3:$H$102,7,FALSE),main!$K$18:$O$18,0),0))),0)</f>
        <v>0</v>
      </c>
      <c r="CI20">
        <f>IF((gamma!CI20),IF(VLOOKUP(CI$1,main!$A$3:$H$102,7,FALSE)=VLOOKUP($A20,main!$A$3:$H$102,8,FALSE),VLOOKUP(CI$1,main!$A$3:$H$102,4,FALSE),VLOOKUP(CI$1,main!$A$3:$H$102,4,FALSE)+VLOOKUP($A20,main!$A$3:$H$102,4,FALSE)+(VLOOKUP(VLOOKUP(CI$1,main!$A$3:$H$102,8,FALSE),main!$K$19:$O$22,MATCH(VLOOKUP($A20,main!$A$3:$H$102,7,FALSE),main!$K$18:$O$18,0),0))),0)</f>
        <v>280</v>
      </c>
      <c r="CJ20">
        <f>IF((gamma!CJ20),IF(VLOOKUP(CJ$1,main!$A$3:$H$102,7,FALSE)=VLOOKUP($A20,main!$A$3:$H$102,8,FALSE),VLOOKUP(CJ$1,main!$A$3:$H$102,4,FALSE),VLOOKUP(CJ$1,main!$A$3:$H$102,4,FALSE)+VLOOKUP($A20,main!$A$3:$H$102,4,FALSE)+(VLOOKUP(VLOOKUP(CJ$1,main!$A$3:$H$102,8,FALSE),main!$K$19:$O$22,MATCH(VLOOKUP($A20,main!$A$3:$H$102,7,FALSE),main!$K$18:$O$18,0),0))),0)</f>
        <v>0</v>
      </c>
      <c r="CK20">
        <f>IF((gamma!CK20),IF(VLOOKUP(CK$1,main!$A$3:$H$102,7,FALSE)=VLOOKUP($A20,main!$A$3:$H$102,8,FALSE),VLOOKUP(CK$1,main!$A$3:$H$102,4,FALSE),VLOOKUP(CK$1,main!$A$3:$H$102,4,FALSE)+VLOOKUP($A20,main!$A$3:$H$102,4,FALSE)+(VLOOKUP(VLOOKUP(CK$1,main!$A$3:$H$102,8,FALSE),main!$K$19:$O$22,MATCH(VLOOKUP($A20,main!$A$3:$H$102,7,FALSE),main!$K$18:$O$18,0),0))),0)</f>
        <v>0</v>
      </c>
      <c r="CL20">
        <f>IF((gamma!CL20),IF(VLOOKUP(CL$1,main!$A$3:$H$102,7,FALSE)=VLOOKUP($A20,main!$A$3:$H$102,8,FALSE),VLOOKUP(CL$1,main!$A$3:$H$102,4,FALSE),VLOOKUP(CL$1,main!$A$3:$H$102,4,FALSE)+VLOOKUP($A20,main!$A$3:$H$102,4,FALSE)+(VLOOKUP(VLOOKUP(CL$1,main!$A$3:$H$102,8,FALSE),main!$K$19:$O$22,MATCH(VLOOKUP($A20,main!$A$3:$H$102,7,FALSE),main!$K$18:$O$18,0),0))),0)</f>
        <v>0</v>
      </c>
      <c r="CM20">
        <f>IF((gamma!CM20),IF(VLOOKUP(CM$1,main!$A$3:$H$102,7,FALSE)=VLOOKUP($A20,main!$A$3:$H$102,8,FALSE),VLOOKUP(CM$1,main!$A$3:$H$102,4,FALSE),VLOOKUP(CM$1,main!$A$3:$H$102,4,FALSE)+VLOOKUP($A20,main!$A$3:$H$102,4,FALSE)+(VLOOKUP(VLOOKUP(CM$1,main!$A$3:$H$102,8,FALSE),main!$K$19:$O$22,MATCH(VLOOKUP($A20,main!$A$3:$H$102,7,FALSE),main!$K$18:$O$18,0),0))),0)</f>
        <v>0</v>
      </c>
      <c r="CN20">
        <f>IF((gamma!CN20),IF(VLOOKUP(CN$1,main!$A$3:$H$102,7,FALSE)=VLOOKUP($A20,main!$A$3:$H$102,8,FALSE),VLOOKUP(CN$1,main!$A$3:$H$102,4,FALSE),VLOOKUP(CN$1,main!$A$3:$H$102,4,FALSE)+VLOOKUP($A20,main!$A$3:$H$102,4,FALSE)+(VLOOKUP(VLOOKUP(CN$1,main!$A$3:$H$102,8,FALSE),main!$K$19:$O$22,MATCH(VLOOKUP($A20,main!$A$3:$H$102,7,FALSE),main!$K$18:$O$18,0),0))),0)</f>
        <v>236</v>
      </c>
      <c r="CO20">
        <f>IF((gamma!CO20),IF(VLOOKUP(CO$1,main!$A$3:$H$102,7,FALSE)=VLOOKUP($A20,main!$A$3:$H$102,8,FALSE),VLOOKUP(CO$1,main!$A$3:$H$102,4,FALSE),VLOOKUP(CO$1,main!$A$3:$H$102,4,FALSE)+VLOOKUP($A20,main!$A$3:$H$102,4,FALSE)+(VLOOKUP(VLOOKUP(CO$1,main!$A$3:$H$102,8,FALSE),main!$K$19:$O$22,MATCH(VLOOKUP($A20,main!$A$3:$H$102,7,FALSE),main!$K$18:$O$18,0),0))),0)</f>
        <v>0</v>
      </c>
      <c r="CP20">
        <f>IF((gamma!CP20),IF(VLOOKUP(CP$1,main!$A$3:$H$102,7,FALSE)=VLOOKUP($A20,main!$A$3:$H$102,8,FALSE),VLOOKUP(CP$1,main!$A$3:$H$102,4,FALSE),VLOOKUP(CP$1,main!$A$3:$H$102,4,FALSE)+VLOOKUP($A20,main!$A$3:$H$102,4,FALSE)+(VLOOKUP(VLOOKUP(CP$1,main!$A$3:$H$102,8,FALSE),main!$K$19:$O$22,MATCH(VLOOKUP($A20,main!$A$3:$H$102,7,FALSE),main!$K$18:$O$18,0),0))),0)</f>
        <v>0</v>
      </c>
      <c r="CQ20">
        <f>IF((gamma!CQ20),IF(VLOOKUP(CQ$1,main!$A$3:$H$102,7,FALSE)=VLOOKUP($A20,main!$A$3:$H$102,8,FALSE),VLOOKUP(CQ$1,main!$A$3:$H$102,4,FALSE),VLOOKUP(CQ$1,main!$A$3:$H$102,4,FALSE)+VLOOKUP($A20,main!$A$3:$H$102,4,FALSE)+(VLOOKUP(VLOOKUP(CQ$1,main!$A$3:$H$102,8,FALSE),main!$K$19:$O$22,MATCH(VLOOKUP($A20,main!$A$3:$H$102,7,FALSE),main!$K$18:$O$18,0),0))),0)</f>
        <v>0</v>
      </c>
      <c r="CR20">
        <f>IF((gamma!CR20),IF(VLOOKUP(CR$1,main!$A$3:$H$102,7,FALSE)=VLOOKUP($A20,main!$A$3:$H$102,8,FALSE),VLOOKUP(CR$1,main!$A$3:$H$102,4,FALSE),VLOOKUP(CR$1,main!$A$3:$H$102,4,FALSE)+VLOOKUP($A20,main!$A$3:$H$102,4,FALSE)+(VLOOKUP(VLOOKUP(CR$1,main!$A$3:$H$102,8,FALSE),main!$K$19:$O$22,MATCH(VLOOKUP($A20,main!$A$3:$H$102,7,FALSE),main!$K$18:$O$18,0),0))),0)</f>
        <v>0</v>
      </c>
      <c r="CS20">
        <f>IF((gamma!CS20),IF(VLOOKUP(CS$1,main!$A$3:$H$102,7,FALSE)=VLOOKUP($A20,main!$A$3:$H$102,8,FALSE),VLOOKUP(CS$1,main!$A$3:$H$102,4,FALSE),VLOOKUP(CS$1,main!$A$3:$H$102,4,FALSE)+VLOOKUP($A20,main!$A$3:$H$102,4,FALSE)+(VLOOKUP(VLOOKUP(CS$1,main!$A$3:$H$102,8,FALSE),main!$K$19:$O$22,MATCH(VLOOKUP($A20,main!$A$3:$H$102,7,FALSE),main!$K$18:$O$18,0),0))),0)</f>
        <v>0</v>
      </c>
      <c r="CT20">
        <f>IF((gamma!CT20),IF(VLOOKUP(CT$1,main!$A$3:$H$102,7,FALSE)=VLOOKUP($A20,main!$A$3:$H$102,8,FALSE),VLOOKUP(CT$1,main!$A$3:$H$102,4,FALSE),VLOOKUP(CT$1,main!$A$3:$H$102,4,FALSE)+VLOOKUP($A20,main!$A$3:$H$102,4,FALSE)+(VLOOKUP(VLOOKUP(CT$1,main!$A$3:$H$102,8,FALSE),main!$K$19:$O$22,MATCH(VLOOKUP($A20,main!$A$3:$H$102,7,FALSE),main!$K$18:$O$18,0),0))),0)</f>
        <v>0</v>
      </c>
      <c r="CU20">
        <f>IF((gamma!CU20),IF(VLOOKUP(CU$1,main!$A$3:$H$102,7,FALSE)=VLOOKUP($A20,main!$A$3:$H$102,8,FALSE),VLOOKUP(CU$1,main!$A$3:$H$102,4,FALSE),VLOOKUP(CU$1,main!$A$3:$H$102,4,FALSE)+VLOOKUP($A20,main!$A$3:$H$102,4,FALSE)+(VLOOKUP(VLOOKUP(CU$1,main!$A$3:$H$102,8,FALSE),main!$K$19:$O$22,MATCH(VLOOKUP($A20,main!$A$3:$H$102,7,FALSE),main!$K$18:$O$18,0),0))),0)</f>
        <v>0</v>
      </c>
      <c r="CV20">
        <f>IF((gamma!CV20),IF(VLOOKUP(CV$1,main!$A$3:$H$102,7,FALSE)=VLOOKUP($A20,main!$A$3:$H$102,8,FALSE),VLOOKUP(CV$1,main!$A$3:$H$102,4,FALSE),VLOOKUP(CV$1,main!$A$3:$H$102,4,FALSE)+VLOOKUP($A20,main!$A$3:$H$102,4,FALSE)+(VLOOKUP(VLOOKUP(CV$1,main!$A$3:$H$102,8,FALSE),main!$K$19:$O$22,MATCH(VLOOKUP($A20,main!$A$3:$H$102,7,FALSE),main!$K$18:$O$18,0),0))),0)</f>
        <v>0</v>
      </c>
      <c r="CW20">
        <f>IF((gamma!CW20),IF(VLOOKUP(CW$1,main!$A$3:$H$102,7,FALSE)=VLOOKUP($A20,main!$A$3:$H$102,8,FALSE),VLOOKUP(CW$1,main!$A$3:$H$102,4,FALSE),VLOOKUP(CW$1,main!$A$3:$H$102,4,FALSE)+VLOOKUP($A20,main!$A$3:$H$102,4,FALSE)+(VLOOKUP(VLOOKUP(CW$1,main!$A$3:$H$102,8,FALSE),main!$K$19:$O$22,MATCH(VLOOKUP($A20,main!$A$3:$H$102,7,FALSE),main!$K$18:$O$18,0),0))),0)</f>
        <v>0</v>
      </c>
      <c r="CX20">
        <f>IF((gamma!CX20),IF(VLOOKUP(CX$1,main!$A$3:$H$102,7,FALSE)=VLOOKUP($A20,main!$A$3:$H$102,8,FALSE),VLOOKUP(CX$1,main!$A$3:$H$102,4,FALSE),VLOOKUP(CX$1,main!$A$3:$H$102,4,FALSE)+VLOOKUP($A20,main!$A$3:$H$102,4,FALSE)+(VLOOKUP(VLOOKUP(CX$1,main!$A$3:$H$102,8,FALSE),main!$K$19:$O$22,MATCH(VLOOKUP($A20,main!$A$3:$H$102,7,FALSE),main!$K$18:$O$18,0),0))),0)</f>
        <v>0</v>
      </c>
      <c r="CY20">
        <v>0</v>
      </c>
      <c r="CZ20">
        <v>0</v>
      </c>
      <c r="DA20">
        <v>0</v>
      </c>
    </row>
    <row r="21" spans="1:105" x14ac:dyDescent="0.25">
      <c r="A21" s="1">
        <v>19</v>
      </c>
      <c r="B21">
        <v>0</v>
      </c>
      <c r="C21">
        <f>IF((gamma!C21),IF(VLOOKUP(C$1,main!$A$3:$H$102,7,FALSE)=VLOOKUP($A21,main!$A$3:$H$102,8,FALSE),VLOOKUP(C$1,main!$A$3:$H$102,4,FALSE),VLOOKUP(C$1,main!$A$3:$H$102,4,FALSE)+VLOOKUP($A21,main!$A$3:$H$102,4,FALSE)+(VLOOKUP(VLOOKUP(C$1,main!$A$3:$H$102,8,FALSE),main!$K$19:$O$22,MATCH(VLOOKUP($A21,main!$A$3:$H$102,7,FALSE),main!$K$18:$O$18,0),0))),0)</f>
        <v>0</v>
      </c>
      <c r="D21">
        <f>IF((gamma!D21),IF(VLOOKUP(D$1,main!$A$3:$H$102,7,FALSE)=VLOOKUP($A21,main!$A$3:$H$102,8,FALSE),VLOOKUP(D$1,main!$A$3:$H$102,4,FALSE),VLOOKUP(D$1,main!$A$3:$H$102,4,FALSE)+VLOOKUP($A21,main!$A$3:$H$102,4,FALSE)+(VLOOKUP(VLOOKUP(D$1,main!$A$3:$H$102,8,FALSE),main!$K$19:$O$22,MATCH(VLOOKUP($A21,main!$A$3:$H$102,7,FALSE),main!$K$18:$O$18,0),0))),0)</f>
        <v>0</v>
      </c>
      <c r="E21">
        <f>IF((gamma!E21),IF(VLOOKUP(E$1,main!$A$3:$H$102,7,FALSE)=VLOOKUP($A21,main!$A$3:$H$102,8,FALSE),VLOOKUP(E$1,main!$A$3:$H$102,4,FALSE),VLOOKUP(E$1,main!$A$3:$H$102,4,FALSE)+VLOOKUP($A21,main!$A$3:$H$102,4,FALSE)+(VLOOKUP(VLOOKUP(E$1,main!$A$3:$H$102,8,FALSE),main!$K$19:$O$22,MATCH(VLOOKUP($A21,main!$A$3:$H$102,7,FALSE),main!$K$18:$O$18,0),0))),0)</f>
        <v>0</v>
      </c>
      <c r="F21">
        <f>IF((gamma!F21),IF(VLOOKUP(F$1,main!$A$3:$H$102,7,FALSE)=VLOOKUP($A21,main!$A$3:$H$102,8,FALSE),VLOOKUP(F$1,main!$A$3:$H$102,4,FALSE),VLOOKUP(F$1,main!$A$3:$H$102,4,FALSE)+VLOOKUP($A21,main!$A$3:$H$102,4,FALSE)+(VLOOKUP(VLOOKUP(F$1,main!$A$3:$H$102,8,FALSE),main!$K$19:$O$22,MATCH(VLOOKUP($A21,main!$A$3:$H$102,7,FALSE),main!$K$18:$O$18,0),0))),0)</f>
        <v>0</v>
      </c>
      <c r="G21">
        <f>IF((gamma!G21),IF(VLOOKUP(G$1,main!$A$3:$H$102,7,FALSE)=VLOOKUP($A21,main!$A$3:$H$102,8,FALSE),VLOOKUP(G$1,main!$A$3:$H$102,4,FALSE),VLOOKUP(G$1,main!$A$3:$H$102,4,FALSE)+VLOOKUP($A21,main!$A$3:$H$102,4,FALSE)+(VLOOKUP(VLOOKUP(G$1,main!$A$3:$H$102,8,FALSE),main!$K$19:$O$22,MATCH(VLOOKUP($A21,main!$A$3:$H$102,7,FALSE),main!$K$18:$O$18,0),0))),0)</f>
        <v>0</v>
      </c>
      <c r="H21">
        <f>IF((gamma!H21),IF(VLOOKUP(H$1,main!$A$3:$H$102,7,FALSE)=VLOOKUP($A21,main!$A$3:$H$102,8,FALSE),VLOOKUP(H$1,main!$A$3:$H$102,4,FALSE),VLOOKUP(H$1,main!$A$3:$H$102,4,FALSE)+VLOOKUP($A21,main!$A$3:$H$102,4,FALSE)+(VLOOKUP(VLOOKUP(H$1,main!$A$3:$H$102,8,FALSE),main!$K$19:$O$22,MATCH(VLOOKUP($A21,main!$A$3:$H$102,7,FALSE),main!$K$18:$O$18,0),0))),0)</f>
        <v>0</v>
      </c>
      <c r="I21">
        <f>IF((gamma!I21),IF(VLOOKUP(I$1,main!$A$3:$H$102,7,FALSE)=VLOOKUP($A21,main!$A$3:$H$102,8,FALSE),VLOOKUP(I$1,main!$A$3:$H$102,4,FALSE),VLOOKUP(I$1,main!$A$3:$H$102,4,FALSE)+VLOOKUP($A21,main!$A$3:$H$102,4,FALSE)+(VLOOKUP(VLOOKUP(I$1,main!$A$3:$H$102,8,FALSE),main!$K$19:$O$22,MATCH(VLOOKUP($A21,main!$A$3:$H$102,7,FALSE),main!$K$18:$O$18,0),0))),0)</f>
        <v>0</v>
      </c>
      <c r="J21">
        <f>IF((gamma!J21),IF(VLOOKUP(J$1,main!$A$3:$H$102,7,FALSE)=VLOOKUP($A21,main!$A$3:$H$102,8,FALSE),VLOOKUP(J$1,main!$A$3:$H$102,4,FALSE),VLOOKUP(J$1,main!$A$3:$H$102,4,FALSE)+VLOOKUP($A21,main!$A$3:$H$102,4,FALSE)+(VLOOKUP(VLOOKUP(J$1,main!$A$3:$H$102,8,FALSE),main!$K$19:$O$22,MATCH(VLOOKUP($A21,main!$A$3:$H$102,7,FALSE),main!$K$18:$O$18,0),0))),0)</f>
        <v>0</v>
      </c>
      <c r="K21">
        <f>IF((gamma!K21),IF(VLOOKUP(K$1,main!$A$3:$H$102,7,FALSE)=VLOOKUP($A21,main!$A$3:$H$102,8,FALSE),VLOOKUP(K$1,main!$A$3:$H$102,4,FALSE),VLOOKUP(K$1,main!$A$3:$H$102,4,FALSE)+VLOOKUP($A21,main!$A$3:$H$102,4,FALSE)+(VLOOKUP(VLOOKUP(K$1,main!$A$3:$H$102,8,FALSE),main!$K$19:$O$22,MATCH(VLOOKUP($A21,main!$A$3:$H$102,7,FALSE),main!$K$18:$O$18,0),0))),0)</f>
        <v>0</v>
      </c>
      <c r="L21">
        <f>IF((gamma!L21),IF(VLOOKUP(L$1,main!$A$3:$H$102,7,FALSE)=VLOOKUP($A21,main!$A$3:$H$102,8,FALSE),VLOOKUP(L$1,main!$A$3:$H$102,4,FALSE),VLOOKUP(L$1,main!$A$3:$H$102,4,FALSE)+VLOOKUP($A21,main!$A$3:$H$102,4,FALSE)+(VLOOKUP(VLOOKUP(L$1,main!$A$3:$H$102,8,FALSE),main!$K$19:$O$22,MATCH(VLOOKUP($A21,main!$A$3:$H$102,7,FALSE),main!$K$18:$O$18,0),0))),0)</f>
        <v>0</v>
      </c>
      <c r="M21">
        <f>IF((gamma!M21),IF(VLOOKUP(M$1,main!$A$3:$H$102,7,FALSE)=VLOOKUP($A21,main!$A$3:$H$102,8,FALSE),VLOOKUP(M$1,main!$A$3:$H$102,4,FALSE),VLOOKUP(M$1,main!$A$3:$H$102,4,FALSE)+VLOOKUP($A21,main!$A$3:$H$102,4,FALSE)+(VLOOKUP(VLOOKUP(M$1,main!$A$3:$H$102,8,FALSE),main!$K$19:$O$22,MATCH(VLOOKUP($A21,main!$A$3:$H$102,7,FALSE),main!$K$18:$O$18,0),0))),0)</f>
        <v>0</v>
      </c>
      <c r="N21">
        <f>IF((gamma!N21),IF(VLOOKUP(N$1,main!$A$3:$H$102,7,FALSE)=VLOOKUP($A21,main!$A$3:$H$102,8,FALSE),VLOOKUP(N$1,main!$A$3:$H$102,4,FALSE),VLOOKUP(N$1,main!$A$3:$H$102,4,FALSE)+VLOOKUP($A21,main!$A$3:$H$102,4,FALSE)+(VLOOKUP(VLOOKUP(N$1,main!$A$3:$H$102,8,FALSE),main!$K$19:$O$22,MATCH(VLOOKUP($A21,main!$A$3:$H$102,7,FALSE),main!$K$18:$O$18,0),0))),0)</f>
        <v>0</v>
      </c>
      <c r="O21">
        <f>IF((gamma!O21),IF(VLOOKUP(O$1,main!$A$3:$H$102,7,FALSE)=VLOOKUP($A21,main!$A$3:$H$102,8,FALSE),VLOOKUP(O$1,main!$A$3:$H$102,4,FALSE),VLOOKUP(O$1,main!$A$3:$H$102,4,FALSE)+VLOOKUP($A21,main!$A$3:$H$102,4,FALSE)+(VLOOKUP(VLOOKUP(O$1,main!$A$3:$H$102,8,FALSE),main!$K$19:$O$22,MATCH(VLOOKUP($A21,main!$A$3:$H$102,7,FALSE),main!$K$18:$O$18,0),0))),0)</f>
        <v>0</v>
      </c>
      <c r="P21">
        <f>IF((gamma!P21),IF(VLOOKUP(P$1,main!$A$3:$H$102,7,FALSE)=VLOOKUP($A21,main!$A$3:$H$102,8,FALSE),VLOOKUP(P$1,main!$A$3:$H$102,4,FALSE),VLOOKUP(P$1,main!$A$3:$H$102,4,FALSE)+VLOOKUP($A21,main!$A$3:$H$102,4,FALSE)+(VLOOKUP(VLOOKUP(P$1,main!$A$3:$H$102,8,FALSE),main!$K$19:$O$22,MATCH(VLOOKUP($A21,main!$A$3:$H$102,7,FALSE),main!$K$18:$O$18,0),0))),0)</f>
        <v>0</v>
      </c>
      <c r="Q21">
        <f>IF((gamma!Q21),IF(VLOOKUP(Q$1,main!$A$3:$H$102,7,FALSE)=VLOOKUP($A21,main!$A$3:$H$102,8,FALSE),VLOOKUP(Q$1,main!$A$3:$H$102,4,FALSE),VLOOKUP(Q$1,main!$A$3:$H$102,4,FALSE)+VLOOKUP($A21,main!$A$3:$H$102,4,FALSE)+(VLOOKUP(VLOOKUP(Q$1,main!$A$3:$H$102,8,FALSE),main!$K$19:$O$22,MATCH(VLOOKUP($A21,main!$A$3:$H$102,7,FALSE),main!$K$18:$O$18,0),0))),0)</f>
        <v>0</v>
      </c>
      <c r="R21">
        <f>IF((gamma!R21),IF(VLOOKUP(R$1,main!$A$3:$H$102,7,FALSE)=VLOOKUP($A21,main!$A$3:$H$102,8,FALSE),VLOOKUP(R$1,main!$A$3:$H$102,4,FALSE),VLOOKUP(R$1,main!$A$3:$H$102,4,FALSE)+VLOOKUP($A21,main!$A$3:$H$102,4,FALSE)+(VLOOKUP(VLOOKUP(R$1,main!$A$3:$H$102,8,FALSE),main!$K$19:$O$22,MATCH(VLOOKUP($A21,main!$A$3:$H$102,7,FALSE),main!$K$18:$O$18,0),0))),0)</f>
        <v>0</v>
      </c>
      <c r="S21">
        <f>IF((gamma!S21),IF(VLOOKUP(S$1,main!$A$3:$H$102,7,FALSE)=VLOOKUP($A21,main!$A$3:$H$102,8,FALSE),VLOOKUP(S$1,main!$A$3:$H$102,4,FALSE),VLOOKUP(S$1,main!$A$3:$H$102,4,FALSE)+VLOOKUP($A21,main!$A$3:$H$102,4,FALSE)+(VLOOKUP(VLOOKUP(S$1,main!$A$3:$H$102,8,FALSE),main!$K$19:$O$22,MATCH(VLOOKUP($A21,main!$A$3:$H$102,7,FALSE),main!$K$18:$O$18,0),0))),0)</f>
        <v>0</v>
      </c>
      <c r="T21">
        <f>IF((gamma!T21),IF(VLOOKUP(T$1,main!$A$3:$H$102,7,FALSE)=VLOOKUP($A21,main!$A$3:$H$102,8,FALSE),VLOOKUP(T$1,main!$A$3:$H$102,4,FALSE),VLOOKUP(T$1,main!$A$3:$H$102,4,FALSE)+VLOOKUP($A21,main!$A$3:$H$102,4,FALSE)+(VLOOKUP(VLOOKUP(T$1,main!$A$3:$H$102,8,FALSE),main!$K$19:$O$22,MATCH(VLOOKUP($A21,main!$A$3:$H$102,7,FALSE),main!$K$18:$O$18,0),0))),0)</f>
        <v>0</v>
      </c>
      <c r="U21">
        <f>IF((gamma!U21),IF(VLOOKUP(U$1,main!$A$3:$H$102,7,FALSE)=VLOOKUP($A21,main!$A$3:$H$102,8,FALSE),VLOOKUP(U$1,main!$A$3:$H$102,4,FALSE),VLOOKUP(U$1,main!$A$3:$H$102,4,FALSE)+VLOOKUP($A21,main!$A$3:$H$102,4,FALSE)+(VLOOKUP(VLOOKUP(U$1,main!$A$3:$H$102,8,FALSE),main!$K$19:$O$22,MATCH(VLOOKUP($A21,main!$A$3:$H$102,7,FALSE),main!$K$18:$O$18,0),0))),0)</f>
        <v>0</v>
      </c>
      <c r="V21">
        <f>IF((gamma!V21),IF(VLOOKUP(V$1,main!$A$3:$H$102,7,FALSE)=VLOOKUP($A21,main!$A$3:$H$102,8,FALSE),VLOOKUP(V$1,main!$A$3:$H$102,4,FALSE),VLOOKUP(V$1,main!$A$3:$H$102,4,FALSE)+VLOOKUP($A21,main!$A$3:$H$102,4,FALSE)+(VLOOKUP(VLOOKUP(V$1,main!$A$3:$H$102,8,FALSE),main!$K$19:$O$22,MATCH(VLOOKUP($A21,main!$A$3:$H$102,7,FALSE),main!$K$18:$O$18,0),0))),0)</f>
        <v>0</v>
      </c>
      <c r="W21">
        <f>IF((gamma!W21),IF(VLOOKUP(W$1,main!$A$3:$H$102,7,FALSE)=VLOOKUP($A21,main!$A$3:$H$102,8,FALSE),VLOOKUP(W$1,main!$A$3:$H$102,4,FALSE),VLOOKUP(W$1,main!$A$3:$H$102,4,FALSE)+VLOOKUP($A21,main!$A$3:$H$102,4,FALSE)+(VLOOKUP(VLOOKUP(W$1,main!$A$3:$H$102,8,FALSE),main!$K$19:$O$22,MATCH(VLOOKUP($A21,main!$A$3:$H$102,7,FALSE),main!$K$18:$O$18,0),0))),0)</f>
        <v>0</v>
      </c>
      <c r="X21">
        <f>IF((gamma!X21),IF(VLOOKUP(X$1,main!$A$3:$H$102,7,FALSE)=VLOOKUP($A21,main!$A$3:$H$102,8,FALSE),VLOOKUP(X$1,main!$A$3:$H$102,4,FALSE),VLOOKUP(X$1,main!$A$3:$H$102,4,FALSE)+VLOOKUP($A21,main!$A$3:$H$102,4,FALSE)+(VLOOKUP(VLOOKUP(X$1,main!$A$3:$H$102,8,FALSE),main!$K$19:$O$22,MATCH(VLOOKUP($A21,main!$A$3:$H$102,7,FALSE),main!$K$18:$O$18,0),0))),0)</f>
        <v>0</v>
      </c>
      <c r="Y21">
        <f>IF((gamma!Y21),IF(VLOOKUP(Y$1,main!$A$3:$H$102,7,FALSE)=VLOOKUP($A21,main!$A$3:$H$102,8,FALSE),VLOOKUP(Y$1,main!$A$3:$H$102,4,FALSE),VLOOKUP(Y$1,main!$A$3:$H$102,4,FALSE)+VLOOKUP($A21,main!$A$3:$H$102,4,FALSE)+(VLOOKUP(VLOOKUP(Y$1,main!$A$3:$H$102,8,FALSE),main!$K$19:$O$22,MATCH(VLOOKUP($A21,main!$A$3:$H$102,7,FALSE),main!$K$18:$O$18,0),0))),0)</f>
        <v>0</v>
      </c>
      <c r="Z21">
        <f>IF((gamma!Z21),IF(VLOOKUP(Z$1,main!$A$3:$H$102,7,FALSE)=VLOOKUP($A21,main!$A$3:$H$102,8,FALSE),VLOOKUP(Z$1,main!$A$3:$H$102,4,FALSE),VLOOKUP(Z$1,main!$A$3:$H$102,4,FALSE)+VLOOKUP($A21,main!$A$3:$H$102,4,FALSE)+(VLOOKUP(VLOOKUP(Z$1,main!$A$3:$H$102,8,FALSE),main!$K$19:$O$22,MATCH(VLOOKUP($A21,main!$A$3:$H$102,7,FALSE),main!$K$18:$O$18,0),0))),0)</f>
        <v>0</v>
      </c>
      <c r="AA21">
        <f>IF((gamma!AA21),IF(VLOOKUP(AA$1,main!$A$3:$H$102,7,FALSE)=VLOOKUP($A21,main!$A$3:$H$102,8,FALSE),VLOOKUP(AA$1,main!$A$3:$H$102,4,FALSE),VLOOKUP(AA$1,main!$A$3:$H$102,4,FALSE)+VLOOKUP($A21,main!$A$3:$H$102,4,FALSE)+(VLOOKUP(VLOOKUP(AA$1,main!$A$3:$H$102,8,FALSE),main!$K$19:$O$22,MATCH(VLOOKUP($A21,main!$A$3:$H$102,7,FALSE),main!$K$18:$O$18,0),0))),0)</f>
        <v>0</v>
      </c>
      <c r="AB21">
        <f>IF((gamma!AB21),IF(VLOOKUP(AB$1,main!$A$3:$H$102,7,FALSE)=VLOOKUP($A21,main!$A$3:$H$102,8,FALSE),VLOOKUP(AB$1,main!$A$3:$H$102,4,FALSE),VLOOKUP(AB$1,main!$A$3:$H$102,4,FALSE)+VLOOKUP($A21,main!$A$3:$H$102,4,FALSE)+(VLOOKUP(VLOOKUP(AB$1,main!$A$3:$H$102,8,FALSE),main!$K$19:$O$22,MATCH(VLOOKUP($A21,main!$A$3:$H$102,7,FALSE),main!$K$18:$O$18,0),0))),0)</f>
        <v>0</v>
      </c>
      <c r="AC21">
        <f>IF((gamma!AC21),IF(VLOOKUP(AC$1,main!$A$3:$H$102,7,FALSE)=VLOOKUP($A21,main!$A$3:$H$102,8,FALSE),VLOOKUP(AC$1,main!$A$3:$H$102,4,FALSE),VLOOKUP(AC$1,main!$A$3:$H$102,4,FALSE)+VLOOKUP($A21,main!$A$3:$H$102,4,FALSE)+(VLOOKUP(VLOOKUP(AC$1,main!$A$3:$H$102,8,FALSE),main!$K$19:$O$22,MATCH(VLOOKUP($A21,main!$A$3:$H$102,7,FALSE),main!$K$18:$O$18,0),0))),0)</f>
        <v>0</v>
      </c>
      <c r="AD21">
        <f>IF((gamma!AD21),IF(VLOOKUP(AD$1,main!$A$3:$H$102,7,FALSE)=VLOOKUP($A21,main!$A$3:$H$102,8,FALSE),VLOOKUP(AD$1,main!$A$3:$H$102,4,FALSE),VLOOKUP(AD$1,main!$A$3:$H$102,4,FALSE)+VLOOKUP($A21,main!$A$3:$H$102,4,FALSE)+(VLOOKUP(VLOOKUP(AD$1,main!$A$3:$H$102,8,FALSE),main!$K$19:$O$22,MATCH(VLOOKUP($A21,main!$A$3:$H$102,7,FALSE),main!$K$18:$O$18,0),0))),0)</f>
        <v>0</v>
      </c>
      <c r="AE21">
        <f>IF((gamma!AE21),IF(VLOOKUP(AE$1,main!$A$3:$H$102,7,FALSE)=VLOOKUP($A21,main!$A$3:$H$102,8,FALSE),VLOOKUP(AE$1,main!$A$3:$H$102,4,FALSE),VLOOKUP(AE$1,main!$A$3:$H$102,4,FALSE)+VLOOKUP($A21,main!$A$3:$H$102,4,FALSE)+(VLOOKUP(VLOOKUP(AE$1,main!$A$3:$H$102,8,FALSE),main!$K$19:$O$22,MATCH(VLOOKUP($A21,main!$A$3:$H$102,7,FALSE),main!$K$18:$O$18,0),0))),0)</f>
        <v>0</v>
      </c>
      <c r="AF21">
        <f>IF((gamma!AF21),IF(VLOOKUP(AF$1,main!$A$3:$H$102,7,FALSE)=VLOOKUP($A21,main!$A$3:$H$102,8,FALSE),VLOOKUP(AF$1,main!$A$3:$H$102,4,FALSE),VLOOKUP(AF$1,main!$A$3:$H$102,4,FALSE)+VLOOKUP($A21,main!$A$3:$H$102,4,FALSE)+(VLOOKUP(VLOOKUP(AF$1,main!$A$3:$H$102,8,FALSE),main!$K$19:$O$22,MATCH(VLOOKUP($A21,main!$A$3:$H$102,7,FALSE),main!$K$18:$O$18,0),0))),0)</f>
        <v>0</v>
      </c>
      <c r="AG21">
        <f>IF((gamma!AG21),IF(VLOOKUP(AG$1,main!$A$3:$H$102,7,FALSE)=VLOOKUP($A21,main!$A$3:$H$102,8,FALSE),VLOOKUP(AG$1,main!$A$3:$H$102,4,FALSE),VLOOKUP(AG$1,main!$A$3:$H$102,4,FALSE)+VLOOKUP($A21,main!$A$3:$H$102,4,FALSE)+(VLOOKUP(VLOOKUP(AG$1,main!$A$3:$H$102,8,FALSE),main!$K$19:$O$22,MATCH(VLOOKUP($A21,main!$A$3:$H$102,7,FALSE),main!$K$18:$O$18,0),0))),0)</f>
        <v>0</v>
      </c>
      <c r="AH21">
        <f>IF((gamma!AH21),IF(VLOOKUP(AH$1,main!$A$3:$H$102,7,FALSE)=VLOOKUP($A21,main!$A$3:$H$102,8,FALSE),VLOOKUP(AH$1,main!$A$3:$H$102,4,FALSE),VLOOKUP(AH$1,main!$A$3:$H$102,4,FALSE)+VLOOKUP($A21,main!$A$3:$H$102,4,FALSE)+(VLOOKUP(VLOOKUP(AH$1,main!$A$3:$H$102,8,FALSE),main!$K$19:$O$22,MATCH(VLOOKUP($A21,main!$A$3:$H$102,7,FALSE),main!$K$18:$O$18,0),0))),0)</f>
        <v>0</v>
      </c>
      <c r="AI21">
        <f>IF((gamma!AI21),IF(VLOOKUP(AI$1,main!$A$3:$H$102,7,FALSE)=VLOOKUP($A21,main!$A$3:$H$102,8,FALSE),VLOOKUP(AI$1,main!$A$3:$H$102,4,FALSE),VLOOKUP(AI$1,main!$A$3:$H$102,4,FALSE)+VLOOKUP($A21,main!$A$3:$H$102,4,FALSE)+(VLOOKUP(VLOOKUP(AI$1,main!$A$3:$H$102,8,FALSE),main!$K$19:$O$22,MATCH(VLOOKUP($A21,main!$A$3:$H$102,7,FALSE),main!$K$18:$O$18,0),0))),0)</f>
        <v>0</v>
      </c>
      <c r="AJ21">
        <f>IF((gamma!AJ21),IF(VLOOKUP(AJ$1,main!$A$3:$H$102,7,FALSE)=VLOOKUP($A21,main!$A$3:$H$102,8,FALSE),VLOOKUP(AJ$1,main!$A$3:$H$102,4,FALSE),VLOOKUP(AJ$1,main!$A$3:$H$102,4,FALSE)+VLOOKUP($A21,main!$A$3:$H$102,4,FALSE)+(VLOOKUP(VLOOKUP(AJ$1,main!$A$3:$H$102,8,FALSE),main!$K$19:$O$22,MATCH(VLOOKUP($A21,main!$A$3:$H$102,7,FALSE),main!$K$18:$O$18,0),0))),0)</f>
        <v>0</v>
      </c>
      <c r="AK21">
        <f>IF((gamma!AK21),IF(VLOOKUP(AK$1,main!$A$3:$H$102,7,FALSE)=VLOOKUP($A21,main!$A$3:$H$102,8,FALSE),VLOOKUP(AK$1,main!$A$3:$H$102,4,FALSE),VLOOKUP(AK$1,main!$A$3:$H$102,4,FALSE)+VLOOKUP($A21,main!$A$3:$H$102,4,FALSE)+(VLOOKUP(VLOOKUP(AK$1,main!$A$3:$H$102,8,FALSE),main!$K$19:$O$22,MATCH(VLOOKUP($A21,main!$A$3:$H$102,7,FALSE),main!$K$18:$O$18,0),0))),0)</f>
        <v>0</v>
      </c>
      <c r="AL21">
        <f>IF((gamma!AL21),IF(VLOOKUP(AL$1,main!$A$3:$H$102,7,FALSE)=VLOOKUP($A21,main!$A$3:$H$102,8,FALSE),VLOOKUP(AL$1,main!$A$3:$H$102,4,FALSE),VLOOKUP(AL$1,main!$A$3:$H$102,4,FALSE)+VLOOKUP($A21,main!$A$3:$H$102,4,FALSE)+(VLOOKUP(VLOOKUP(AL$1,main!$A$3:$H$102,8,FALSE),main!$K$19:$O$22,MATCH(VLOOKUP($A21,main!$A$3:$H$102,7,FALSE),main!$K$18:$O$18,0),0))),0)</f>
        <v>0</v>
      </c>
      <c r="AM21">
        <f>IF((gamma!AM21),IF(VLOOKUP(AM$1,main!$A$3:$H$102,7,FALSE)=VLOOKUP($A21,main!$A$3:$H$102,8,FALSE),VLOOKUP(AM$1,main!$A$3:$H$102,4,FALSE),VLOOKUP(AM$1,main!$A$3:$H$102,4,FALSE)+VLOOKUP($A21,main!$A$3:$H$102,4,FALSE)+(VLOOKUP(VLOOKUP(AM$1,main!$A$3:$H$102,8,FALSE),main!$K$19:$O$22,MATCH(VLOOKUP($A21,main!$A$3:$H$102,7,FALSE),main!$K$18:$O$18,0),0))),0)</f>
        <v>0</v>
      </c>
      <c r="AN21">
        <f>IF((gamma!AN21),IF(VLOOKUP(AN$1,main!$A$3:$H$102,7,FALSE)=VLOOKUP($A21,main!$A$3:$H$102,8,FALSE),VLOOKUP(AN$1,main!$A$3:$H$102,4,FALSE),VLOOKUP(AN$1,main!$A$3:$H$102,4,FALSE)+VLOOKUP($A21,main!$A$3:$H$102,4,FALSE)+(VLOOKUP(VLOOKUP(AN$1,main!$A$3:$H$102,8,FALSE),main!$K$19:$O$22,MATCH(VLOOKUP($A21,main!$A$3:$H$102,7,FALSE),main!$K$18:$O$18,0),0))),0)</f>
        <v>0</v>
      </c>
      <c r="AO21">
        <f>IF((gamma!AO21),IF(VLOOKUP(AO$1,main!$A$3:$H$102,7,FALSE)=VLOOKUP($A21,main!$A$3:$H$102,8,FALSE),VLOOKUP(AO$1,main!$A$3:$H$102,4,FALSE),VLOOKUP(AO$1,main!$A$3:$H$102,4,FALSE)+VLOOKUP($A21,main!$A$3:$H$102,4,FALSE)+(VLOOKUP(VLOOKUP(AO$1,main!$A$3:$H$102,8,FALSE),main!$K$19:$O$22,MATCH(VLOOKUP($A21,main!$A$3:$H$102,7,FALSE),main!$K$18:$O$18,0),0))),0)</f>
        <v>0</v>
      </c>
      <c r="AP21">
        <f>IF((gamma!AP21),IF(VLOOKUP(AP$1,main!$A$3:$H$102,7,FALSE)=VLOOKUP($A21,main!$A$3:$H$102,8,FALSE),VLOOKUP(AP$1,main!$A$3:$H$102,4,FALSE),VLOOKUP(AP$1,main!$A$3:$H$102,4,FALSE)+VLOOKUP($A21,main!$A$3:$H$102,4,FALSE)+(VLOOKUP(VLOOKUP(AP$1,main!$A$3:$H$102,8,FALSE),main!$K$19:$O$22,MATCH(VLOOKUP($A21,main!$A$3:$H$102,7,FALSE),main!$K$18:$O$18,0),0))),0)</f>
        <v>0</v>
      </c>
      <c r="AQ21">
        <f>IF((gamma!AQ21),IF(VLOOKUP(AQ$1,main!$A$3:$H$102,7,FALSE)=VLOOKUP($A21,main!$A$3:$H$102,8,FALSE),VLOOKUP(AQ$1,main!$A$3:$H$102,4,FALSE),VLOOKUP(AQ$1,main!$A$3:$H$102,4,FALSE)+VLOOKUP($A21,main!$A$3:$H$102,4,FALSE)+(VLOOKUP(VLOOKUP(AQ$1,main!$A$3:$H$102,8,FALSE),main!$K$19:$O$22,MATCH(VLOOKUP($A21,main!$A$3:$H$102,7,FALSE),main!$K$18:$O$18,0),0))),0)</f>
        <v>0</v>
      </c>
      <c r="AR21">
        <f>IF((gamma!AR21),IF(VLOOKUP(AR$1,main!$A$3:$H$102,7,FALSE)=VLOOKUP($A21,main!$A$3:$H$102,8,FALSE),VLOOKUP(AR$1,main!$A$3:$H$102,4,FALSE),VLOOKUP(AR$1,main!$A$3:$H$102,4,FALSE)+VLOOKUP($A21,main!$A$3:$H$102,4,FALSE)+(VLOOKUP(VLOOKUP(AR$1,main!$A$3:$H$102,8,FALSE),main!$K$19:$O$22,MATCH(VLOOKUP($A21,main!$A$3:$H$102,7,FALSE),main!$K$18:$O$18,0),0))),0)</f>
        <v>0</v>
      </c>
      <c r="AS21">
        <f>IF((gamma!AS21),IF(VLOOKUP(AS$1,main!$A$3:$H$102,7,FALSE)=VLOOKUP($A21,main!$A$3:$H$102,8,FALSE),VLOOKUP(AS$1,main!$A$3:$H$102,4,FALSE),VLOOKUP(AS$1,main!$A$3:$H$102,4,FALSE)+VLOOKUP($A21,main!$A$3:$H$102,4,FALSE)+(VLOOKUP(VLOOKUP(AS$1,main!$A$3:$H$102,8,FALSE),main!$K$19:$O$22,MATCH(VLOOKUP($A21,main!$A$3:$H$102,7,FALSE),main!$K$18:$O$18,0),0))),0)</f>
        <v>0</v>
      </c>
      <c r="AT21">
        <f>IF((gamma!AT21),IF(VLOOKUP(AT$1,main!$A$3:$H$102,7,FALSE)=VLOOKUP($A21,main!$A$3:$H$102,8,FALSE),VLOOKUP(AT$1,main!$A$3:$H$102,4,FALSE),VLOOKUP(AT$1,main!$A$3:$H$102,4,FALSE)+VLOOKUP($A21,main!$A$3:$H$102,4,FALSE)+(VLOOKUP(VLOOKUP(AT$1,main!$A$3:$H$102,8,FALSE),main!$K$19:$O$22,MATCH(VLOOKUP($A21,main!$A$3:$H$102,7,FALSE),main!$K$18:$O$18,0),0))),0)</f>
        <v>0</v>
      </c>
      <c r="AU21">
        <f>IF((gamma!AU21),IF(VLOOKUP(AU$1,main!$A$3:$H$102,7,FALSE)=VLOOKUP($A21,main!$A$3:$H$102,8,FALSE),VLOOKUP(AU$1,main!$A$3:$H$102,4,FALSE),VLOOKUP(AU$1,main!$A$3:$H$102,4,FALSE)+VLOOKUP($A21,main!$A$3:$H$102,4,FALSE)+(VLOOKUP(VLOOKUP(AU$1,main!$A$3:$H$102,8,FALSE),main!$K$19:$O$22,MATCH(VLOOKUP($A21,main!$A$3:$H$102,7,FALSE),main!$K$18:$O$18,0),0))),0)</f>
        <v>0</v>
      </c>
      <c r="AV21">
        <f>IF((gamma!AV21),IF(VLOOKUP(AV$1,main!$A$3:$H$102,7,FALSE)=VLOOKUP($A21,main!$A$3:$H$102,8,FALSE),VLOOKUP(AV$1,main!$A$3:$H$102,4,FALSE),VLOOKUP(AV$1,main!$A$3:$H$102,4,FALSE)+VLOOKUP($A21,main!$A$3:$H$102,4,FALSE)+(VLOOKUP(VLOOKUP(AV$1,main!$A$3:$H$102,8,FALSE),main!$K$19:$O$22,MATCH(VLOOKUP($A21,main!$A$3:$H$102,7,FALSE),main!$K$18:$O$18,0),0))),0)</f>
        <v>0</v>
      </c>
      <c r="AW21">
        <f>IF((gamma!AW21),IF(VLOOKUP(AW$1,main!$A$3:$H$102,7,FALSE)=VLOOKUP($A21,main!$A$3:$H$102,8,FALSE),VLOOKUP(AW$1,main!$A$3:$H$102,4,FALSE),VLOOKUP(AW$1,main!$A$3:$H$102,4,FALSE)+VLOOKUP($A21,main!$A$3:$H$102,4,FALSE)+(VLOOKUP(VLOOKUP(AW$1,main!$A$3:$H$102,8,FALSE),main!$K$19:$O$22,MATCH(VLOOKUP($A21,main!$A$3:$H$102,7,FALSE),main!$K$18:$O$18,0),0))),0)</f>
        <v>0</v>
      </c>
      <c r="AX21">
        <f>IF((gamma!AX21),IF(VLOOKUP(AX$1,main!$A$3:$H$102,7,FALSE)=VLOOKUP($A21,main!$A$3:$H$102,8,FALSE),VLOOKUP(AX$1,main!$A$3:$H$102,4,FALSE),VLOOKUP(AX$1,main!$A$3:$H$102,4,FALSE)+VLOOKUP($A21,main!$A$3:$H$102,4,FALSE)+(VLOOKUP(VLOOKUP(AX$1,main!$A$3:$H$102,8,FALSE),main!$K$19:$O$22,MATCH(VLOOKUP($A21,main!$A$3:$H$102,7,FALSE),main!$K$18:$O$18,0),0))),0)</f>
        <v>0</v>
      </c>
      <c r="AY21">
        <f>IF((gamma!AY21),IF(VLOOKUP(AY$1,main!$A$3:$H$102,7,FALSE)=VLOOKUP($A21,main!$A$3:$H$102,8,FALSE),VLOOKUP(AY$1,main!$A$3:$H$102,4,FALSE),VLOOKUP(AY$1,main!$A$3:$H$102,4,FALSE)+VLOOKUP($A21,main!$A$3:$H$102,4,FALSE)+(VLOOKUP(VLOOKUP(AY$1,main!$A$3:$H$102,8,FALSE),main!$K$19:$O$22,MATCH(VLOOKUP($A21,main!$A$3:$H$102,7,FALSE),main!$K$18:$O$18,0),0))),0)</f>
        <v>0</v>
      </c>
      <c r="AZ21">
        <f>IF((gamma!AZ21),IF(VLOOKUP(AZ$1,main!$A$3:$H$102,7,FALSE)=VLOOKUP($A21,main!$A$3:$H$102,8,FALSE),VLOOKUP(AZ$1,main!$A$3:$H$102,4,FALSE),VLOOKUP(AZ$1,main!$A$3:$H$102,4,FALSE)+VLOOKUP($A21,main!$A$3:$H$102,4,FALSE)+(VLOOKUP(VLOOKUP(AZ$1,main!$A$3:$H$102,8,FALSE),main!$K$19:$O$22,MATCH(VLOOKUP($A21,main!$A$3:$H$102,7,FALSE),main!$K$18:$O$18,0),0))),0)</f>
        <v>0</v>
      </c>
      <c r="BA21">
        <f>IF((gamma!BA21),IF(VLOOKUP(BA$1,main!$A$3:$H$102,7,FALSE)=VLOOKUP($A21,main!$A$3:$H$102,8,FALSE),VLOOKUP(BA$1,main!$A$3:$H$102,4,FALSE),VLOOKUP(BA$1,main!$A$3:$H$102,4,FALSE)+VLOOKUP($A21,main!$A$3:$H$102,4,FALSE)+(VLOOKUP(VLOOKUP(BA$1,main!$A$3:$H$102,8,FALSE),main!$K$19:$O$22,MATCH(VLOOKUP($A21,main!$A$3:$H$102,7,FALSE),main!$K$18:$O$18,0),0))),0)</f>
        <v>0</v>
      </c>
      <c r="BB21">
        <f>IF((gamma!BB21),IF(VLOOKUP(BB$1,main!$A$3:$H$102,7,FALSE)=VLOOKUP($A21,main!$A$3:$H$102,8,FALSE),VLOOKUP(BB$1,main!$A$3:$H$102,4,FALSE),VLOOKUP(BB$1,main!$A$3:$H$102,4,FALSE)+VLOOKUP($A21,main!$A$3:$H$102,4,FALSE)+(VLOOKUP(VLOOKUP(BB$1,main!$A$3:$H$102,8,FALSE),main!$K$19:$O$22,MATCH(VLOOKUP($A21,main!$A$3:$H$102,7,FALSE),main!$K$18:$O$18,0),0))),0)</f>
        <v>0</v>
      </c>
      <c r="BC21">
        <f>IF((gamma!BC21),IF(VLOOKUP(BC$1,main!$A$3:$H$102,7,FALSE)=VLOOKUP($A21,main!$A$3:$H$102,8,FALSE),VLOOKUP(BC$1,main!$A$3:$H$102,4,FALSE),VLOOKUP(BC$1,main!$A$3:$H$102,4,FALSE)+VLOOKUP($A21,main!$A$3:$H$102,4,FALSE)+(VLOOKUP(VLOOKUP(BC$1,main!$A$3:$H$102,8,FALSE),main!$K$19:$O$22,MATCH(VLOOKUP($A21,main!$A$3:$H$102,7,FALSE),main!$K$18:$O$18,0),0))),0)</f>
        <v>0</v>
      </c>
      <c r="BD21">
        <f>IF((gamma!BD21),IF(VLOOKUP(BD$1,main!$A$3:$H$102,7,FALSE)=VLOOKUP($A21,main!$A$3:$H$102,8,FALSE),VLOOKUP(BD$1,main!$A$3:$H$102,4,FALSE),VLOOKUP(BD$1,main!$A$3:$H$102,4,FALSE)+VLOOKUP($A21,main!$A$3:$H$102,4,FALSE)+(VLOOKUP(VLOOKUP(BD$1,main!$A$3:$H$102,8,FALSE),main!$K$19:$O$22,MATCH(VLOOKUP($A21,main!$A$3:$H$102,7,FALSE),main!$K$18:$O$18,0),0))),0)</f>
        <v>0</v>
      </c>
      <c r="BE21">
        <f>IF((gamma!BE21),IF(VLOOKUP(BE$1,main!$A$3:$H$102,7,FALSE)=VLOOKUP($A21,main!$A$3:$H$102,8,FALSE),VLOOKUP(BE$1,main!$A$3:$H$102,4,FALSE),VLOOKUP(BE$1,main!$A$3:$H$102,4,FALSE)+VLOOKUP($A21,main!$A$3:$H$102,4,FALSE)+(VLOOKUP(VLOOKUP(BE$1,main!$A$3:$H$102,8,FALSE),main!$K$19:$O$22,MATCH(VLOOKUP($A21,main!$A$3:$H$102,7,FALSE),main!$K$18:$O$18,0),0))),0)</f>
        <v>0</v>
      </c>
      <c r="BF21">
        <f>IF((gamma!BF21),IF(VLOOKUP(BF$1,main!$A$3:$H$102,7,FALSE)=VLOOKUP($A21,main!$A$3:$H$102,8,FALSE),VLOOKUP(BF$1,main!$A$3:$H$102,4,FALSE),VLOOKUP(BF$1,main!$A$3:$H$102,4,FALSE)+VLOOKUP($A21,main!$A$3:$H$102,4,FALSE)+(VLOOKUP(VLOOKUP(BF$1,main!$A$3:$H$102,8,FALSE),main!$K$19:$O$22,MATCH(VLOOKUP($A21,main!$A$3:$H$102,7,FALSE),main!$K$18:$O$18,0),0))),0)</f>
        <v>0</v>
      </c>
      <c r="BG21">
        <f>IF((gamma!BG21),IF(VLOOKUP(BG$1,main!$A$3:$H$102,7,FALSE)=VLOOKUP($A21,main!$A$3:$H$102,8,FALSE),VLOOKUP(BG$1,main!$A$3:$H$102,4,FALSE),VLOOKUP(BG$1,main!$A$3:$H$102,4,FALSE)+VLOOKUP($A21,main!$A$3:$H$102,4,FALSE)+(VLOOKUP(VLOOKUP(BG$1,main!$A$3:$H$102,8,FALSE),main!$K$19:$O$22,MATCH(VLOOKUP($A21,main!$A$3:$H$102,7,FALSE),main!$K$18:$O$18,0),0))),0)</f>
        <v>0</v>
      </c>
      <c r="BH21">
        <f>IF((gamma!BH21),IF(VLOOKUP(BH$1,main!$A$3:$H$102,7,FALSE)=VLOOKUP($A21,main!$A$3:$H$102,8,FALSE),VLOOKUP(BH$1,main!$A$3:$H$102,4,FALSE),VLOOKUP(BH$1,main!$A$3:$H$102,4,FALSE)+VLOOKUP($A21,main!$A$3:$H$102,4,FALSE)+(VLOOKUP(VLOOKUP(BH$1,main!$A$3:$H$102,8,FALSE),main!$K$19:$O$22,MATCH(VLOOKUP($A21,main!$A$3:$H$102,7,FALSE),main!$K$18:$O$18,0),0))),0)</f>
        <v>0</v>
      </c>
      <c r="BI21">
        <f>IF((gamma!BI21),IF(VLOOKUP(BI$1,main!$A$3:$H$102,7,FALSE)=VLOOKUP($A21,main!$A$3:$H$102,8,FALSE),VLOOKUP(BI$1,main!$A$3:$H$102,4,FALSE),VLOOKUP(BI$1,main!$A$3:$H$102,4,FALSE)+VLOOKUP($A21,main!$A$3:$H$102,4,FALSE)+(VLOOKUP(VLOOKUP(BI$1,main!$A$3:$H$102,8,FALSE),main!$K$19:$O$22,MATCH(VLOOKUP($A21,main!$A$3:$H$102,7,FALSE),main!$K$18:$O$18,0),0))),0)</f>
        <v>0</v>
      </c>
      <c r="BJ21">
        <f>IF((gamma!BJ21),IF(VLOOKUP(BJ$1,main!$A$3:$H$102,7,FALSE)=VLOOKUP($A21,main!$A$3:$H$102,8,FALSE),VLOOKUP(BJ$1,main!$A$3:$H$102,4,FALSE),VLOOKUP(BJ$1,main!$A$3:$H$102,4,FALSE)+VLOOKUP($A21,main!$A$3:$H$102,4,FALSE)+(VLOOKUP(VLOOKUP(BJ$1,main!$A$3:$H$102,8,FALSE),main!$K$19:$O$22,MATCH(VLOOKUP($A21,main!$A$3:$H$102,7,FALSE),main!$K$18:$O$18,0),0))),0)</f>
        <v>0</v>
      </c>
      <c r="BK21">
        <f>IF((gamma!BK21),IF(VLOOKUP(BK$1,main!$A$3:$H$102,7,FALSE)=VLOOKUP($A21,main!$A$3:$H$102,8,FALSE),VLOOKUP(BK$1,main!$A$3:$H$102,4,FALSE),VLOOKUP(BK$1,main!$A$3:$H$102,4,FALSE)+VLOOKUP($A21,main!$A$3:$H$102,4,FALSE)+(VLOOKUP(VLOOKUP(BK$1,main!$A$3:$H$102,8,FALSE),main!$K$19:$O$22,MATCH(VLOOKUP($A21,main!$A$3:$H$102,7,FALSE),main!$K$18:$O$18,0),0))),0)</f>
        <v>0</v>
      </c>
      <c r="BL21">
        <f>IF((gamma!BL21),IF(VLOOKUP(BL$1,main!$A$3:$H$102,7,FALSE)=VLOOKUP($A21,main!$A$3:$H$102,8,FALSE),VLOOKUP(BL$1,main!$A$3:$H$102,4,FALSE),VLOOKUP(BL$1,main!$A$3:$H$102,4,FALSE)+VLOOKUP($A21,main!$A$3:$H$102,4,FALSE)+(VLOOKUP(VLOOKUP(BL$1,main!$A$3:$H$102,8,FALSE),main!$K$19:$O$22,MATCH(VLOOKUP($A21,main!$A$3:$H$102,7,FALSE),main!$K$18:$O$18,0),0))),0)</f>
        <v>0</v>
      </c>
      <c r="BM21">
        <f>IF((gamma!BM21),IF(VLOOKUP(BM$1,main!$A$3:$H$102,7,FALSE)=VLOOKUP($A21,main!$A$3:$H$102,8,FALSE),VLOOKUP(BM$1,main!$A$3:$H$102,4,FALSE),VLOOKUP(BM$1,main!$A$3:$H$102,4,FALSE)+VLOOKUP($A21,main!$A$3:$H$102,4,FALSE)+(VLOOKUP(VLOOKUP(BM$1,main!$A$3:$H$102,8,FALSE),main!$K$19:$O$22,MATCH(VLOOKUP($A21,main!$A$3:$H$102,7,FALSE),main!$K$18:$O$18,0),0))),0)</f>
        <v>0</v>
      </c>
      <c r="BN21">
        <f>IF((gamma!BN21),IF(VLOOKUP(BN$1,main!$A$3:$H$102,7,FALSE)=VLOOKUP($A21,main!$A$3:$H$102,8,FALSE),VLOOKUP(BN$1,main!$A$3:$H$102,4,FALSE),VLOOKUP(BN$1,main!$A$3:$H$102,4,FALSE)+VLOOKUP($A21,main!$A$3:$H$102,4,FALSE)+(VLOOKUP(VLOOKUP(BN$1,main!$A$3:$H$102,8,FALSE),main!$K$19:$O$22,MATCH(VLOOKUP($A21,main!$A$3:$H$102,7,FALSE),main!$K$18:$O$18,0),0))),0)</f>
        <v>0</v>
      </c>
      <c r="BO21">
        <f>IF((gamma!BO21),IF(VLOOKUP(BO$1,main!$A$3:$H$102,7,FALSE)=VLOOKUP($A21,main!$A$3:$H$102,8,FALSE),VLOOKUP(BO$1,main!$A$3:$H$102,4,FALSE),VLOOKUP(BO$1,main!$A$3:$H$102,4,FALSE)+VLOOKUP($A21,main!$A$3:$H$102,4,FALSE)+(VLOOKUP(VLOOKUP(BO$1,main!$A$3:$H$102,8,FALSE),main!$K$19:$O$22,MATCH(VLOOKUP($A21,main!$A$3:$H$102,7,FALSE),main!$K$18:$O$18,0),0))),0)</f>
        <v>0</v>
      </c>
      <c r="BP21">
        <f>IF((gamma!BP21),IF(VLOOKUP(BP$1,main!$A$3:$H$102,7,FALSE)=VLOOKUP($A21,main!$A$3:$H$102,8,FALSE),VLOOKUP(BP$1,main!$A$3:$H$102,4,FALSE),VLOOKUP(BP$1,main!$A$3:$H$102,4,FALSE)+VLOOKUP($A21,main!$A$3:$H$102,4,FALSE)+(VLOOKUP(VLOOKUP(BP$1,main!$A$3:$H$102,8,FALSE),main!$K$19:$O$22,MATCH(VLOOKUP($A21,main!$A$3:$H$102,7,FALSE),main!$K$18:$O$18,0),0))),0)</f>
        <v>0</v>
      </c>
      <c r="BQ21">
        <f>IF((gamma!BQ21),IF(VLOOKUP(BQ$1,main!$A$3:$H$102,7,FALSE)=VLOOKUP($A21,main!$A$3:$H$102,8,FALSE),VLOOKUP(BQ$1,main!$A$3:$H$102,4,FALSE),VLOOKUP(BQ$1,main!$A$3:$H$102,4,FALSE)+VLOOKUP($A21,main!$A$3:$H$102,4,FALSE)+(VLOOKUP(VLOOKUP(BQ$1,main!$A$3:$H$102,8,FALSE),main!$K$19:$O$22,MATCH(VLOOKUP($A21,main!$A$3:$H$102,7,FALSE),main!$K$18:$O$18,0),0))),0)</f>
        <v>0</v>
      </c>
      <c r="BR21">
        <f>IF((gamma!BR21),IF(VLOOKUP(BR$1,main!$A$3:$H$102,7,FALSE)=VLOOKUP($A21,main!$A$3:$H$102,8,FALSE),VLOOKUP(BR$1,main!$A$3:$H$102,4,FALSE),VLOOKUP(BR$1,main!$A$3:$H$102,4,FALSE)+VLOOKUP($A21,main!$A$3:$H$102,4,FALSE)+(VLOOKUP(VLOOKUP(BR$1,main!$A$3:$H$102,8,FALSE),main!$K$19:$O$22,MATCH(VLOOKUP($A21,main!$A$3:$H$102,7,FALSE),main!$K$18:$O$18,0),0))),0)</f>
        <v>0</v>
      </c>
      <c r="BS21">
        <f>IF((gamma!BS21),IF(VLOOKUP(BS$1,main!$A$3:$H$102,7,FALSE)=VLOOKUP($A21,main!$A$3:$H$102,8,FALSE),VLOOKUP(BS$1,main!$A$3:$H$102,4,FALSE),VLOOKUP(BS$1,main!$A$3:$H$102,4,FALSE)+VLOOKUP($A21,main!$A$3:$H$102,4,FALSE)+(VLOOKUP(VLOOKUP(BS$1,main!$A$3:$H$102,8,FALSE),main!$K$19:$O$22,MATCH(VLOOKUP($A21,main!$A$3:$H$102,7,FALSE),main!$K$18:$O$18,0),0))),0)</f>
        <v>0</v>
      </c>
      <c r="BT21">
        <f>IF((gamma!BT21),IF(VLOOKUP(BT$1,main!$A$3:$H$102,7,FALSE)=VLOOKUP($A21,main!$A$3:$H$102,8,FALSE),VLOOKUP(BT$1,main!$A$3:$H$102,4,FALSE),VLOOKUP(BT$1,main!$A$3:$H$102,4,FALSE)+VLOOKUP($A21,main!$A$3:$H$102,4,FALSE)+(VLOOKUP(VLOOKUP(BT$1,main!$A$3:$H$102,8,FALSE),main!$K$19:$O$22,MATCH(VLOOKUP($A21,main!$A$3:$H$102,7,FALSE),main!$K$18:$O$18,0),0))),0)</f>
        <v>0</v>
      </c>
      <c r="BU21">
        <f>IF((gamma!BU21),IF(VLOOKUP(BU$1,main!$A$3:$H$102,7,FALSE)=VLOOKUP($A21,main!$A$3:$H$102,8,FALSE),VLOOKUP(BU$1,main!$A$3:$H$102,4,FALSE),VLOOKUP(BU$1,main!$A$3:$H$102,4,FALSE)+VLOOKUP($A21,main!$A$3:$H$102,4,FALSE)+(VLOOKUP(VLOOKUP(BU$1,main!$A$3:$H$102,8,FALSE),main!$K$19:$O$22,MATCH(VLOOKUP($A21,main!$A$3:$H$102,7,FALSE),main!$K$18:$O$18,0),0))),0)</f>
        <v>0</v>
      </c>
      <c r="BV21">
        <f>IF((gamma!BV21),IF(VLOOKUP(BV$1,main!$A$3:$H$102,7,FALSE)=VLOOKUP($A21,main!$A$3:$H$102,8,FALSE),VLOOKUP(BV$1,main!$A$3:$H$102,4,FALSE),VLOOKUP(BV$1,main!$A$3:$H$102,4,FALSE)+VLOOKUP($A21,main!$A$3:$H$102,4,FALSE)+(VLOOKUP(VLOOKUP(BV$1,main!$A$3:$H$102,8,FALSE),main!$K$19:$O$22,MATCH(VLOOKUP($A21,main!$A$3:$H$102,7,FALSE),main!$K$18:$O$18,0),0))),0)</f>
        <v>0</v>
      </c>
      <c r="BW21">
        <f>IF((gamma!BW21),IF(VLOOKUP(BW$1,main!$A$3:$H$102,7,FALSE)=VLOOKUP($A21,main!$A$3:$H$102,8,FALSE),VLOOKUP(BW$1,main!$A$3:$H$102,4,FALSE),VLOOKUP(BW$1,main!$A$3:$H$102,4,FALSE)+VLOOKUP($A21,main!$A$3:$H$102,4,FALSE)+(VLOOKUP(VLOOKUP(BW$1,main!$A$3:$H$102,8,FALSE),main!$K$19:$O$22,MATCH(VLOOKUP($A21,main!$A$3:$H$102,7,FALSE),main!$K$18:$O$18,0),0))),0)</f>
        <v>0</v>
      </c>
      <c r="BX21">
        <f>IF((gamma!BX21),IF(VLOOKUP(BX$1,main!$A$3:$H$102,7,FALSE)=VLOOKUP($A21,main!$A$3:$H$102,8,FALSE),VLOOKUP(BX$1,main!$A$3:$H$102,4,FALSE),VLOOKUP(BX$1,main!$A$3:$H$102,4,FALSE)+VLOOKUP($A21,main!$A$3:$H$102,4,FALSE)+(VLOOKUP(VLOOKUP(BX$1,main!$A$3:$H$102,8,FALSE),main!$K$19:$O$22,MATCH(VLOOKUP($A21,main!$A$3:$H$102,7,FALSE),main!$K$18:$O$18,0),0))),0)</f>
        <v>0</v>
      </c>
      <c r="BY21">
        <f>IF((gamma!BY21),IF(VLOOKUP(BY$1,main!$A$3:$H$102,7,FALSE)=VLOOKUP($A21,main!$A$3:$H$102,8,FALSE),VLOOKUP(BY$1,main!$A$3:$H$102,4,FALSE),VLOOKUP(BY$1,main!$A$3:$H$102,4,FALSE)+VLOOKUP($A21,main!$A$3:$H$102,4,FALSE)+(VLOOKUP(VLOOKUP(BY$1,main!$A$3:$H$102,8,FALSE),main!$K$19:$O$22,MATCH(VLOOKUP($A21,main!$A$3:$H$102,7,FALSE),main!$K$18:$O$18,0),0))),0)</f>
        <v>0</v>
      </c>
      <c r="BZ21">
        <f>IF((gamma!BZ21),IF(VLOOKUP(BZ$1,main!$A$3:$H$102,7,FALSE)=VLOOKUP($A21,main!$A$3:$H$102,8,FALSE),VLOOKUP(BZ$1,main!$A$3:$H$102,4,FALSE),VLOOKUP(BZ$1,main!$A$3:$H$102,4,FALSE)+VLOOKUP($A21,main!$A$3:$H$102,4,FALSE)+(VLOOKUP(VLOOKUP(BZ$1,main!$A$3:$H$102,8,FALSE),main!$K$19:$O$22,MATCH(VLOOKUP($A21,main!$A$3:$H$102,7,FALSE),main!$K$18:$O$18,0),0))),0)</f>
        <v>0</v>
      </c>
      <c r="CA21">
        <f>IF((gamma!CA21),IF(VLOOKUP(CA$1,main!$A$3:$H$102,7,FALSE)=VLOOKUP($A21,main!$A$3:$H$102,8,FALSE),VLOOKUP(CA$1,main!$A$3:$H$102,4,FALSE),VLOOKUP(CA$1,main!$A$3:$H$102,4,FALSE)+VLOOKUP($A21,main!$A$3:$H$102,4,FALSE)+(VLOOKUP(VLOOKUP(CA$1,main!$A$3:$H$102,8,FALSE),main!$K$19:$O$22,MATCH(VLOOKUP($A21,main!$A$3:$H$102,7,FALSE),main!$K$18:$O$18,0),0))),0)</f>
        <v>0</v>
      </c>
      <c r="CB21">
        <f>IF((gamma!CB21),IF(VLOOKUP(CB$1,main!$A$3:$H$102,7,FALSE)=VLOOKUP($A21,main!$A$3:$H$102,8,FALSE),VLOOKUP(CB$1,main!$A$3:$H$102,4,FALSE),VLOOKUP(CB$1,main!$A$3:$H$102,4,FALSE)+VLOOKUP($A21,main!$A$3:$H$102,4,FALSE)+(VLOOKUP(VLOOKUP(CB$1,main!$A$3:$H$102,8,FALSE),main!$K$19:$O$22,MATCH(VLOOKUP($A21,main!$A$3:$H$102,7,FALSE),main!$K$18:$O$18,0),0))),0)</f>
        <v>0</v>
      </c>
      <c r="CC21">
        <f>IF((gamma!CC21),IF(VLOOKUP(CC$1,main!$A$3:$H$102,7,FALSE)=VLOOKUP($A21,main!$A$3:$H$102,8,FALSE),VLOOKUP(CC$1,main!$A$3:$H$102,4,FALSE),VLOOKUP(CC$1,main!$A$3:$H$102,4,FALSE)+VLOOKUP($A21,main!$A$3:$H$102,4,FALSE)+(VLOOKUP(VLOOKUP(CC$1,main!$A$3:$H$102,8,FALSE),main!$K$19:$O$22,MATCH(VLOOKUP($A21,main!$A$3:$H$102,7,FALSE),main!$K$18:$O$18,0),0))),0)</f>
        <v>0</v>
      </c>
      <c r="CD21">
        <f>IF((gamma!CD21),IF(VLOOKUP(CD$1,main!$A$3:$H$102,7,FALSE)=VLOOKUP($A21,main!$A$3:$H$102,8,FALSE),VLOOKUP(CD$1,main!$A$3:$H$102,4,FALSE),VLOOKUP(CD$1,main!$A$3:$H$102,4,FALSE)+VLOOKUP($A21,main!$A$3:$H$102,4,FALSE)+(VLOOKUP(VLOOKUP(CD$1,main!$A$3:$H$102,8,FALSE),main!$K$19:$O$22,MATCH(VLOOKUP($A21,main!$A$3:$H$102,7,FALSE),main!$K$18:$O$18,0),0))),0)</f>
        <v>0</v>
      </c>
      <c r="CE21">
        <f>IF((gamma!CE21),IF(VLOOKUP(CE$1,main!$A$3:$H$102,7,FALSE)=VLOOKUP($A21,main!$A$3:$H$102,8,FALSE),VLOOKUP(CE$1,main!$A$3:$H$102,4,FALSE),VLOOKUP(CE$1,main!$A$3:$H$102,4,FALSE)+VLOOKUP($A21,main!$A$3:$H$102,4,FALSE)+(VLOOKUP(VLOOKUP(CE$1,main!$A$3:$H$102,8,FALSE),main!$K$19:$O$22,MATCH(VLOOKUP($A21,main!$A$3:$H$102,7,FALSE),main!$K$18:$O$18,0),0))),0)</f>
        <v>0</v>
      </c>
      <c r="CF21">
        <f>IF((gamma!CF21),IF(VLOOKUP(CF$1,main!$A$3:$H$102,7,FALSE)=VLOOKUP($A21,main!$A$3:$H$102,8,FALSE),VLOOKUP(CF$1,main!$A$3:$H$102,4,FALSE),VLOOKUP(CF$1,main!$A$3:$H$102,4,FALSE)+VLOOKUP($A21,main!$A$3:$H$102,4,FALSE)+(VLOOKUP(VLOOKUP(CF$1,main!$A$3:$H$102,8,FALSE),main!$K$19:$O$22,MATCH(VLOOKUP($A21,main!$A$3:$H$102,7,FALSE),main!$K$18:$O$18,0),0))),0)</f>
        <v>0</v>
      </c>
      <c r="CG21">
        <f>IF((gamma!CG21),IF(VLOOKUP(CG$1,main!$A$3:$H$102,7,FALSE)=VLOOKUP($A21,main!$A$3:$H$102,8,FALSE),VLOOKUP(CG$1,main!$A$3:$H$102,4,FALSE),VLOOKUP(CG$1,main!$A$3:$H$102,4,FALSE)+VLOOKUP($A21,main!$A$3:$H$102,4,FALSE)+(VLOOKUP(VLOOKUP(CG$1,main!$A$3:$H$102,8,FALSE),main!$K$19:$O$22,MATCH(VLOOKUP($A21,main!$A$3:$H$102,7,FALSE),main!$K$18:$O$18,0),0))),0)</f>
        <v>0</v>
      </c>
      <c r="CH21">
        <f>IF((gamma!CH21),IF(VLOOKUP(CH$1,main!$A$3:$H$102,7,FALSE)=VLOOKUP($A21,main!$A$3:$H$102,8,FALSE),VLOOKUP(CH$1,main!$A$3:$H$102,4,FALSE),VLOOKUP(CH$1,main!$A$3:$H$102,4,FALSE)+VLOOKUP($A21,main!$A$3:$H$102,4,FALSE)+(VLOOKUP(VLOOKUP(CH$1,main!$A$3:$H$102,8,FALSE),main!$K$19:$O$22,MATCH(VLOOKUP($A21,main!$A$3:$H$102,7,FALSE),main!$K$18:$O$18,0),0))),0)</f>
        <v>0</v>
      </c>
      <c r="CI21">
        <f>IF((gamma!CI21),IF(VLOOKUP(CI$1,main!$A$3:$H$102,7,FALSE)=VLOOKUP($A21,main!$A$3:$H$102,8,FALSE),VLOOKUP(CI$1,main!$A$3:$H$102,4,FALSE),VLOOKUP(CI$1,main!$A$3:$H$102,4,FALSE)+VLOOKUP($A21,main!$A$3:$H$102,4,FALSE)+(VLOOKUP(VLOOKUP(CI$1,main!$A$3:$H$102,8,FALSE),main!$K$19:$O$22,MATCH(VLOOKUP($A21,main!$A$3:$H$102,7,FALSE),main!$K$18:$O$18,0),0))),0)</f>
        <v>0</v>
      </c>
      <c r="CJ21">
        <f>IF((gamma!CJ21),IF(VLOOKUP(CJ$1,main!$A$3:$H$102,7,FALSE)=VLOOKUP($A21,main!$A$3:$H$102,8,FALSE),VLOOKUP(CJ$1,main!$A$3:$H$102,4,FALSE),VLOOKUP(CJ$1,main!$A$3:$H$102,4,FALSE)+VLOOKUP($A21,main!$A$3:$H$102,4,FALSE)+(VLOOKUP(VLOOKUP(CJ$1,main!$A$3:$H$102,8,FALSE),main!$K$19:$O$22,MATCH(VLOOKUP($A21,main!$A$3:$H$102,7,FALSE),main!$K$18:$O$18,0),0))),0)</f>
        <v>0</v>
      </c>
      <c r="CK21">
        <f>IF((gamma!CK21),IF(VLOOKUP(CK$1,main!$A$3:$H$102,7,FALSE)=VLOOKUP($A21,main!$A$3:$H$102,8,FALSE),VLOOKUP(CK$1,main!$A$3:$H$102,4,FALSE),VLOOKUP(CK$1,main!$A$3:$H$102,4,FALSE)+VLOOKUP($A21,main!$A$3:$H$102,4,FALSE)+(VLOOKUP(VLOOKUP(CK$1,main!$A$3:$H$102,8,FALSE),main!$K$19:$O$22,MATCH(VLOOKUP($A21,main!$A$3:$H$102,7,FALSE),main!$K$18:$O$18,0),0))),0)</f>
        <v>0</v>
      </c>
      <c r="CL21">
        <f>IF((gamma!CL21),IF(VLOOKUP(CL$1,main!$A$3:$H$102,7,FALSE)=VLOOKUP($A21,main!$A$3:$H$102,8,FALSE),VLOOKUP(CL$1,main!$A$3:$H$102,4,FALSE),VLOOKUP(CL$1,main!$A$3:$H$102,4,FALSE)+VLOOKUP($A21,main!$A$3:$H$102,4,FALSE)+(VLOOKUP(VLOOKUP(CL$1,main!$A$3:$H$102,8,FALSE),main!$K$19:$O$22,MATCH(VLOOKUP($A21,main!$A$3:$H$102,7,FALSE),main!$K$18:$O$18,0),0))),0)</f>
        <v>0</v>
      </c>
      <c r="CM21">
        <f>IF((gamma!CM21),IF(VLOOKUP(CM$1,main!$A$3:$H$102,7,FALSE)=VLOOKUP($A21,main!$A$3:$H$102,8,FALSE),VLOOKUP(CM$1,main!$A$3:$H$102,4,FALSE),VLOOKUP(CM$1,main!$A$3:$H$102,4,FALSE)+VLOOKUP($A21,main!$A$3:$H$102,4,FALSE)+(VLOOKUP(VLOOKUP(CM$1,main!$A$3:$H$102,8,FALSE),main!$K$19:$O$22,MATCH(VLOOKUP($A21,main!$A$3:$H$102,7,FALSE),main!$K$18:$O$18,0),0))),0)</f>
        <v>0</v>
      </c>
      <c r="CN21">
        <f>IF((gamma!CN21),IF(VLOOKUP(CN$1,main!$A$3:$H$102,7,FALSE)=VLOOKUP($A21,main!$A$3:$H$102,8,FALSE),VLOOKUP(CN$1,main!$A$3:$H$102,4,FALSE),VLOOKUP(CN$1,main!$A$3:$H$102,4,FALSE)+VLOOKUP($A21,main!$A$3:$H$102,4,FALSE)+(VLOOKUP(VLOOKUP(CN$1,main!$A$3:$H$102,8,FALSE),main!$K$19:$O$22,MATCH(VLOOKUP($A21,main!$A$3:$H$102,7,FALSE),main!$K$18:$O$18,0),0))),0)</f>
        <v>0</v>
      </c>
      <c r="CO21">
        <f>IF((gamma!CO21),IF(VLOOKUP(CO$1,main!$A$3:$H$102,7,FALSE)=VLOOKUP($A21,main!$A$3:$H$102,8,FALSE),VLOOKUP(CO$1,main!$A$3:$H$102,4,FALSE),VLOOKUP(CO$1,main!$A$3:$H$102,4,FALSE)+VLOOKUP($A21,main!$A$3:$H$102,4,FALSE)+(VLOOKUP(VLOOKUP(CO$1,main!$A$3:$H$102,8,FALSE),main!$K$19:$O$22,MATCH(VLOOKUP($A21,main!$A$3:$H$102,7,FALSE),main!$K$18:$O$18,0),0))),0)</f>
        <v>0</v>
      </c>
      <c r="CP21">
        <f>IF((gamma!CP21),IF(VLOOKUP(CP$1,main!$A$3:$H$102,7,FALSE)=VLOOKUP($A21,main!$A$3:$H$102,8,FALSE),VLOOKUP(CP$1,main!$A$3:$H$102,4,FALSE),VLOOKUP(CP$1,main!$A$3:$H$102,4,FALSE)+VLOOKUP($A21,main!$A$3:$H$102,4,FALSE)+(VLOOKUP(VLOOKUP(CP$1,main!$A$3:$H$102,8,FALSE),main!$K$19:$O$22,MATCH(VLOOKUP($A21,main!$A$3:$H$102,7,FALSE),main!$K$18:$O$18,0),0))),0)</f>
        <v>0</v>
      </c>
      <c r="CQ21">
        <f>IF((gamma!CQ21),IF(VLOOKUP(CQ$1,main!$A$3:$H$102,7,FALSE)=VLOOKUP($A21,main!$A$3:$H$102,8,FALSE),VLOOKUP(CQ$1,main!$A$3:$H$102,4,FALSE),VLOOKUP(CQ$1,main!$A$3:$H$102,4,FALSE)+VLOOKUP($A21,main!$A$3:$H$102,4,FALSE)+(VLOOKUP(VLOOKUP(CQ$1,main!$A$3:$H$102,8,FALSE),main!$K$19:$O$22,MATCH(VLOOKUP($A21,main!$A$3:$H$102,7,FALSE),main!$K$18:$O$18,0),0))),0)</f>
        <v>0</v>
      </c>
      <c r="CR21">
        <f>IF((gamma!CR21),IF(VLOOKUP(CR$1,main!$A$3:$H$102,7,FALSE)=VLOOKUP($A21,main!$A$3:$H$102,8,FALSE),VLOOKUP(CR$1,main!$A$3:$H$102,4,FALSE),VLOOKUP(CR$1,main!$A$3:$H$102,4,FALSE)+VLOOKUP($A21,main!$A$3:$H$102,4,FALSE)+(VLOOKUP(VLOOKUP(CR$1,main!$A$3:$H$102,8,FALSE),main!$K$19:$O$22,MATCH(VLOOKUP($A21,main!$A$3:$H$102,7,FALSE),main!$K$18:$O$18,0),0))),0)</f>
        <v>0</v>
      </c>
      <c r="CS21">
        <f>IF((gamma!CS21),IF(VLOOKUP(CS$1,main!$A$3:$H$102,7,FALSE)=VLOOKUP($A21,main!$A$3:$H$102,8,FALSE),VLOOKUP(CS$1,main!$A$3:$H$102,4,FALSE),VLOOKUP(CS$1,main!$A$3:$H$102,4,FALSE)+VLOOKUP($A21,main!$A$3:$H$102,4,FALSE)+(VLOOKUP(VLOOKUP(CS$1,main!$A$3:$H$102,8,FALSE),main!$K$19:$O$22,MATCH(VLOOKUP($A21,main!$A$3:$H$102,7,FALSE),main!$K$18:$O$18,0),0))),0)</f>
        <v>0</v>
      </c>
      <c r="CT21">
        <f>IF((gamma!CT21),IF(VLOOKUP(CT$1,main!$A$3:$H$102,7,FALSE)=VLOOKUP($A21,main!$A$3:$H$102,8,FALSE),VLOOKUP(CT$1,main!$A$3:$H$102,4,FALSE),VLOOKUP(CT$1,main!$A$3:$H$102,4,FALSE)+VLOOKUP($A21,main!$A$3:$H$102,4,FALSE)+(VLOOKUP(VLOOKUP(CT$1,main!$A$3:$H$102,8,FALSE),main!$K$19:$O$22,MATCH(VLOOKUP($A21,main!$A$3:$H$102,7,FALSE),main!$K$18:$O$18,0),0))),0)</f>
        <v>0</v>
      </c>
      <c r="CU21">
        <f>IF((gamma!CU21),IF(VLOOKUP(CU$1,main!$A$3:$H$102,7,FALSE)=VLOOKUP($A21,main!$A$3:$H$102,8,FALSE),VLOOKUP(CU$1,main!$A$3:$H$102,4,FALSE),VLOOKUP(CU$1,main!$A$3:$H$102,4,FALSE)+VLOOKUP($A21,main!$A$3:$H$102,4,FALSE)+(VLOOKUP(VLOOKUP(CU$1,main!$A$3:$H$102,8,FALSE),main!$K$19:$O$22,MATCH(VLOOKUP($A21,main!$A$3:$H$102,7,FALSE),main!$K$18:$O$18,0),0))),0)</f>
        <v>0</v>
      </c>
      <c r="CV21">
        <f>IF((gamma!CV21),IF(VLOOKUP(CV$1,main!$A$3:$H$102,7,FALSE)=VLOOKUP($A21,main!$A$3:$H$102,8,FALSE),VLOOKUP(CV$1,main!$A$3:$H$102,4,FALSE),VLOOKUP(CV$1,main!$A$3:$H$102,4,FALSE)+VLOOKUP($A21,main!$A$3:$H$102,4,FALSE)+(VLOOKUP(VLOOKUP(CV$1,main!$A$3:$H$102,8,FALSE),main!$K$19:$O$22,MATCH(VLOOKUP($A21,main!$A$3:$H$102,7,FALSE),main!$K$18:$O$18,0),0))),0)</f>
        <v>0</v>
      </c>
      <c r="CW21">
        <f>IF((gamma!CW21),IF(VLOOKUP(CW$1,main!$A$3:$H$102,7,FALSE)=VLOOKUP($A21,main!$A$3:$H$102,8,FALSE),VLOOKUP(CW$1,main!$A$3:$H$102,4,FALSE),VLOOKUP(CW$1,main!$A$3:$H$102,4,FALSE)+VLOOKUP($A21,main!$A$3:$H$102,4,FALSE)+(VLOOKUP(VLOOKUP(CW$1,main!$A$3:$H$102,8,FALSE),main!$K$19:$O$22,MATCH(VLOOKUP($A21,main!$A$3:$H$102,7,FALSE),main!$K$18:$O$18,0),0))),0)</f>
        <v>0</v>
      </c>
      <c r="CX21">
        <f>IF((gamma!CX21),IF(VLOOKUP(CX$1,main!$A$3:$H$102,7,FALSE)=VLOOKUP($A21,main!$A$3:$H$102,8,FALSE),VLOOKUP(CX$1,main!$A$3:$H$102,4,FALSE),VLOOKUP(CX$1,main!$A$3:$H$102,4,FALSE)+VLOOKUP($A21,main!$A$3:$H$102,4,FALSE)+(VLOOKUP(VLOOKUP(CX$1,main!$A$3:$H$102,8,FALSE),main!$K$19:$O$22,MATCH(VLOOKUP($A21,main!$A$3:$H$102,7,FALSE),main!$K$18:$O$18,0),0))),0)</f>
        <v>0</v>
      </c>
      <c r="CY21">
        <v>0</v>
      </c>
      <c r="CZ21">
        <v>0</v>
      </c>
      <c r="DA21">
        <v>0</v>
      </c>
    </row>
    <row r="22" spans="1:105" x14ac:dyDescent="0.25">
      <c r="A22" s="1">
        <v>20</v>
      </c>
      <c r="B22">
        <v>0</v>
      </c>
      <c r="C22">
        <f>IF((gamma!C22),IF(VLOOKUP(C$1,main!$A$3:$H$102,7,FALSE)=VLOOKUP($A22,main!$A$3:$H$102,8,FALSE),VLOOKUP(C$1,main!$A$3:$H$102,4,FALSE),VLOOKUP(C$1,main!$A$3:$H$102,4,FALSE)+VLOOKUP($A22,main!$A$3:$H$102,4,FALSE)+(VLOOKUP(VLOOKUP(C$1,main!$A$3:$H$102,8,FALSE),main!$K$19:$O$22,MATCH(VLOOKUP($A22,main!$A$3:$H$102,7,FALSE),main!$K$18:$O$18,0),0))),0)</f>
        <v>0</v>
      </c>
      <c r="D22">
        <f>IF((gamma!D22),IF(VLOOKUP(D$1,main!$A$3:$H$102,7,FALSE)=VLOOKUP($A22,main!$A$3:$H$102,8,FALSE),VLOOKUP(D$1,main!$A$3:$H$102,4,FALSE),VLOOKUP(D$1,main!$A$3:$H$102,4,FALSE)+VLOOKUP($A22,main!$A$3:$H$102,4,FALSE)+(VLOOKUP(VLOOKUP(D$1,main!$A$3:$H$102,8,FALSE),main!$K$19:$O$22,MATCH(VLOOKUP($A22,main!$A$3:$H$102,7,FALSE),main!$K$18:$O$18,0),0))),0)</f>
        <v>0</v>
      </c>
      <c r="E22">
        <f>IF((gamma!E22),IF(VLOOKUP(E$1,main!$A$3:$H$102,7,FALSE)=VLOOKUP($A22,main!$A$3:$H$102,8,FALSE),VLOOKUP(E$1,main!$A$3:$H$102,4,FALSE),VLOOKUP(E$1,main!$A$3:$H$102,4,FALSE)+VLOOKUP($A22,main!$A$3:$H$102,4,FALSE)+(VLOOKUP(VLOOKUP(E$1,main!$A$3:$H$102,8,FALSE),main!$K$19:$O$22,MATCH(VLOOKUP($A22,main!$A$3:$H$102,7,FALSE),main!$K$18:$O$18,0),0))),0)</f>
        <v>0</v>
      </c>
      <c r="F22">
        <f>IF((gamma!F22),IF(VLOOKUP(F$1,main!$A$3:$H$102,7,FALSE)=VLOOKUP($A22,main!$A$3:$H$102,8,FALSE),VLOOKUP(F$1,main!$A$3:$H$102,4,FALSE),VLOOKUP(F$1,main!$A$3:$H$102,4,FALSE)+VLOOKUP($A22,main!$A$3:$H$102,4,FALSE)+(VLOOKUP(VLOOKUP(F$1,main!$A$3:$H$102,8,FALSE),main!$K$19:$O$22,MATCH(VLOOKUP($A22,main!$A$3:$H$102,7,FALSE),main!$K$18:$O$18,0),0))),0)</f>
        <v>0</v>
      </c>
      <c r="G22">
        <f>IF((gamma!G22),IF(VLOOKUP(G$1,main!$A$3:$H$102,7,FALSE)=VLOOKUP($A22,main!$A$3:$H$102,8,FALSE),VLOOKUP(G$1,main!$A$3:$H$102,4,FALSE),VLOOKUP(G$1,main!$A$3:$H$102,4,FALSE)+VLOOKUP($A22,main!$A$3:$H$102,4,FALSE)+(VLOOKUP(VLOOKUP(G$1,main!$A$3:$H$102,8,FALSE),main!$K$19:$O$22,MATCH(VLOOKUP($A22,main!$A$3:$H$102,7,FALSE),main!$K$18:$O$18,0),0))),0)</f>
        <v>0</v>
      </c>
      <c r="H22">
        <f>IF((gamma!H22),IF(VLOOKUP(H$1,main!$A$3:$H$102,7,FALSE)=VLOOKUP($A22,main!$A$3:$H$102,8,FALSE),VLOOKUP(H$1,main!$A$3:$H$102,4,FALSE),VLOOKUP(H$1,main!$A$3:$H$102,4,FALSE)+VLOOKUP($A22,main!$A$3:$H$102,4,FALSE)+(VLOOKUP(VLOOKUP(H$1,main!$A$3:$H$102,8,FALSE),main!$K$19:$O$22,MATCH(VLOOKUP($A22,main!$A$3:$H$102,7,FALSE),main!$K$18:$O$18,0),0))),0)</f>
        <v>0</v>
      </c>
      <c r="I22">
        <f>IF((gamma!I22),IF(VLOOKUP(I$1,main!$A$3:$H$102,7,FALSE)=VLOOKUP($A22,main!$A$3:$H$102,8,FALSE),VLOOKUP(I$1,main!$A$3:$H$102,4,FALSE),VLOOKUP(I$1,main!$A$3:$H$102,4,FALSE)+VLOOKUP($A22,main!$A$3:$H$102,4,FALSE)+(VLOOKUP(VLOOKUP(I$1,main!$A$3:$H$102,8,FALSE),main!$K$19:$O$22,MATCH(VLOOKUP($A22,main!$A$3:$H$102,7,FALSE),main!$K$18:$O$18,0),0))),0)</f>
        <v>0</v>
      </c>
      <c r="J22">
        <f>IF((gamma!J22),IF(VLOOKUP(J$1,main!$A$3:$H$102,7,FALSE)=VLOOKUP($A22,main!$A$3:$H$102,8,FALSE),VLOOKUP(J$1,main!$A$3:$H$102,4,FALSE),VLOOKUP(J$1,main!$A$3:$H$102,4,FALSE)+VLOOKUP($A22,main!$A$3:$H$102,4,FALSE)+(VLOOKUP(VLOOKUP(J$1,main!$A$3:$H$102,8,FALSE),main!$K$19:$O$22,MATCH(VLOOKUP($A22,main!$A$3:$H$102,7,FALSE),main!$K$18:$O$18,0),0))),0)</f>
        <v>0</v>
      </c>
      <c r="K22">
        <f>IF((gamma!K22),IF(VLOOKUP(K$1,main!$A$3:$H$102,7,FALSE)=VLOOKUP($A22,main!$A$3:$H$102,8,FALSE),VLOOKUP(K$1,main!$A$3:$H$102,4,FALSE),VLOOKUP(K$1,main!$A$3:$H$102,4,FALSE)+VLOOKUP($A22,main!$A$3:$H$102,4,FALSE)+(VLOOKUP(VLOOKUP(K$1,main!$A$3:$H$102,8,FALSE),main!$K$19:$O$22,MATCH(VLOOKUP($A22,main!$A$3:$H$102,7,FALSE),main!$K$18:$O$18,0),0))),0)</f>
        <v>0</v>
      </c>
      <c r="L22">
        <f>IF((gamma!L22),IF(VLOOKUP(L$1,main!$A$3:$H$102,7,FALSE)=VLOOKUP($A22,main!$A$3:$H$102,8,FALSE),VLOOKUP(L$1,main!$A$3:$H$102,4,FALSE),VLOOKUP(L$1,main!$A$3:$H$102,4,FALSE)+VLOOKUP($A22,main!$A$3:$H$102,4,FALSE)+(VLOOKUP(VLOOKUP(L$1,main!$A$3:$H$102,8,FALSE),main!$K$19:$O$22,MATCH(VLOOKUP($A22,main!$A$3:$H$102,7,FALSE),main!$K$18:$O$18,0),0))),0)</f>
        <v>0</v>
      </c>
      <c r="M22">
        <f>IF((gamma!M22),IF(VLOOKUP(M$1,main!$A$3:$H$102,7,FALSE)=VLOOKUP($A22,main!$A$3:$H$102,8,FALSE),VLOOKUP(M$1,main!$A$3:$H$102,4,FALSE),VLOOKUP(M$1,main!$A$3:$H$102,4,FALSE)+VLOOKUP($A22,main!$A$3:$H$102,4,FALSE)+(VLOOKUP(VLOOKUP(M$1,main!$A$3:$H$102,8,FALSE),main!$K$19:$O$22,MATCH(VLOOKUP($A22,main!$A$3:$H$102,7,FALSE),main!$K$18:$O$18,0),0))),0)</f>
        <v>0</v>
      </c>
      <c r="N22">
        <f>IF((gamma!N22),IF(VLOOKUP(N$1,main!$A$3:$H$102,7,FALSE)=VLOOKUP($A22,main!$A$3:$H$102,8,FALSE),VLOOKUP(N$1,main!$A$3:$H$102,4,FALSE),VLOOKUP(N$1,main!$A$3:$H$102,4,FALSE)+VLOOKUP($A22,main!$A$3:$H$102,4,FALSE)+(VLOOKUP(VLOOKUP(N$1,main!$A$3:$H$102,8,FALSE),main!$K$19:$O$22,MATCH(VLOOKUP($A22,main!$A$3:$H$102,7,FALSE),main!$K$18:$O$18,0),0))),0)</f>
        <v>0</v>
      </c>
      <c r="O22">
        <f>IF((gamma!O22),IF(VLOOKUP(O$1,main!$A$3:$H$102,7,FALSE)=VLOOKUP($A22,main!$A$3:$H$102,8,FALSE),VLOOKUP(O$1,main!$A$3:$H$102,4,FALSE),VLOOKUP(O$1,main!$A$3:$H$102,4,FALSE)+VLOOKUP($A22,main!$A$3:$H$102,4,FALSE)+(VLOOKUP(VLOOKUP(O$1,main!$A$3:$H$102,8,FALSE),main!$K$19:$O$22,MATCH(VLOOKUP($A22,main!$A$3:$H$102,7,FALSE),main!$K$18:$O$18,0),0))),0)</f>
        <v>0</v>
      </c>
      <c r="P22">
        <f>IF((gamma!P22),IF(VLOOKUP(P$1,main!$A$3:$H$102,7,FALSE)=VLOOKUP($A22,main!$A$3:$H$102,8,FALSE),VLOOKUP(P$1,main!$A$3:$H$102,4,FALSE),VLOOKUP(P$1,main!$A$3:$H$102,4,FALSE)+VLOOKUP($A22,main!$A$3:$H$102,4,FALSE)+(VLOOKUP(VLOOKUP(P$1,main!$A$3:$H$102,8,FALSE),main!$K$19:$O$22,MATCH(VLOOKUP($A22,main!$A$3:$H$102,7,FALSE),main!$K$18:$O$18,0),0))),0)</f>
        <v>0</v>
      </c>
      <c r="Q22">
        <f>IF((gamma!Q22),IF(VLOOKUP(Q$1,main!$A$3:$H$102,7,FALSE)=VLOOKUP($A22,main!$A$3:$H$102,8,FALSE),VLOOKUP(Q$1,main!$A$3:$H$102,4,FALSE),VLOOKUP(Q$1,main!$A$3:$H$102,4,FALSE)+VLOOKUP($A22,main!$A$3:$H$102,4,FALSE)+(VLOOKUP(VLOOKUP(Q$1,main!$A$3:$H$102,8,FALSE),main!$K$19:$O$22,MATCH(VLOOKUP($A22,main!$A$3:$H$102,7,FALSE),main!$K$18:$O$18,0),0))),0)</f>
        <v>0</v>
      </c>
      <c r="R22">
        <f>IF((gamma!R22),IF(VLOOKUP(R$1,main!$A$3:$H$102,7,FALSE)=VLOOKUP($A22,main!$A$3:$H$102,8,FALSE),VLOOKUP(R$1,main!$A$3:$H$102,4,FALSE),VLOOKUP(R$1,main!$A$3:$H$102,4,FALSE)+VLOOKUP($A22,main!$A$3:$H$102,4,FALSE)+(VLOOKUP(VLOOKUP(R$1,main!$A$3:$H$102,8,FALSE),main!$K$19:$O$22,MATCH(VLOOKUP($A22,main!$A$3:$H$102,7,FALSE),main!$K$18:$O$18,0),0))),0)</f>
        <v>0</v>
      </c>
      <c r="S22">
        <f>IF((gamma!S22),IF(VLOOKUP(S$1,main!$A$3:$H$102,7,FALSE)=VLOOKUP($A22,main!$A$3:$H$102,8,FALSE),VLOOKUP(S$1,main!$A$3:$H$102,4,FALSE),VLOOKUP(S$1,main!$A$3:$H$102,4,FALSE)+VLOOKUP($A22,main!$A$3:$H$102,4,FALSE)+(VLOOKUP(VLOOKUP(S$1,main!$A$3:$H$102,8,FALSE),main!$K$19:$O$22,MATCH(VLOOKUP($A22,main!$A$3:$H$102,7,FALSE),main!$K$18:$O$18,0),0))),0)</f>
        <v>0</v>
      </c>
      <c r="T22">
        <f>IF((gamma!T22),IF(VLOOKUP(T$1,main!$A$3:$H$102,7,FALSE)=VLOOKUP($A22,main!$A$3:$H$102,8,FALSE),VLOOKUP(T$1,main!$A$3:$H$102,4,FALSE),VLOOKUP(T$1,main!$A$3:$H$102,4,FALSE)+VLOOKUP($A22,main!$A$3:$H$102,4,FALSE)+(VLOOKUP(VLOOKUP(T$1,main!$A$3:$H$102,8,FALSE),main!$K$19:$O$22,MATCH(VLOOKUP($A22,main!$A$3:$H$102,7,FALSE),main!$K$18:$O$18,0),0))),0)</f>
        <v>0</v>
      </c>
      <c r="U22">
        <f>IF((gamma!U22),IF(VLOOKUP(U$1,main!$A$3:$H$102,7,FALSE)=VLOOKUP($A22,main!$A$3:$H$102,8,FALSE),VLOOKUP(U$1,main!$A$3:$H$102,4,FALSE),VLOOKUP(U$1,main!$A$3:$H$102,4,FALSE)+VLOOKUP($A22,main!$A$3:$H$102,4,FALSE)+(VLOOKUP(VLOOKUP(U$1,main!$A$3:$H$102,8,FALSE),main!$K$19:$O$22,MATCH(VLOOKUP($A22,main!$A$3:$H$102,7,FALSE),main!$K$18:$O$18,0),0))),0)</f>
        <v>0</v>
      </c>
      <c r="V22">
        <f>IF((gamma!V22),IF(VLOOKUP(V$1,main!$A$3:$H$102,7,FALSE)=VLOOKUP($A22,main!$A$3:$H$102,8,FALSE),VLOOKUP(V$1,main!$A$3:$H$102,4,FALSE),VLOOKUP(V$1,main!$A$3:$H$102,4,FALSE)+VLOOKUP($A22,main!$A$3:$H$102,4,FALSE)+(VLOOKUP(VLOOKUP(V$1,main!$A$3:$H$102,8,FALSE),main!$K$19:$O$22,MATCH(VLOOKUP($A22,main!$A$3:$H$102,7,FALSE),main!$K$18:$O$18,0),0))),0)</f>
        <v>0</v>
      </c>
      <c r="W22">
        <f>IF((gamma!W22),IF(VLOOKUP(W$1,main!$A$3:$H$102,7,FALSE)=VLOOKUP($A22,main!$A$3:$H$102,8,FALSE),VLOOKUP(W$1,main!$A$3:$H$102,4,FALSE),VLOOKUP(W$1,main!$A$3:$H$102,4,FALSE)+VLOOKUP($A22,main!$A$3:$H$102,4,FALSE)+(VLOOKUP(VLOOKUP(W$1,main!$A$3:$H$102,8,FALSE),main!$K$19:$O$22,MATCH(VLOOKUP($A22,main!$A$3:$H$102,7,FALSE),main!$K$18:$O$18,0),0))),0)</f>
        <v>0</v>
      </c>
      <c r="X22">
        <f>IF((gamma!X22),IF(VLOOKUP(X$1,main!$A$3:$H$102,7,FALSE)=VLOOKUP($A22,main!$A$3:$H$102,8,FALSE),VLOOKUP(X$1,main!$A$3:$H$102,4,FALSE),VLOOKUP(X$1,main!$A$3:$H$102,4,FALSE)+VLOOKUP($A22,main!$A$3:$H$102,4,FALSE)+(VLOOKUP(VLOOKUP(X$1,main!$A$3:$H$102,8,FALSE),main!$K$19:$O$22,MATCH(VLOOKUP($A22,main!$A$3:$H$102,7,FALSE),main!$K$18:$O$18,0),0))),0)</f>
        <v>0</v>
      </c>
      <c r="Y22">
        <f>IF((gamma!Y22),IF(VLOOKUP(Y$1,main!$A$3:$H$102,7,FALSE)=VLOOKUP($A22,main!$A$3:$H$102,8,FALSE),VLOOKUP(Y$1,main!$A$3:$H$102,4,FALSE),VLOOKUP(Y$1,main!$A$3:$H$102,4,FALSE)+VLOOKUP($A22,main!$A$3:$H$102,4,FALSE)+(VLOOKUP(VLOOKUP(Y$1,main!$A$3:$H$102,8,FALSE),main!$K$19:$O$22,MATCH(VLOOKUP($A22,main!$A$3:$H$102,7,FALSE),main!$K$18:$O$18,0),0))),0)</f>
        <v>0</v>
      </c>
      <c r="Z22">
        <f>IF((gamma!Z22),IF(VLOOKUP(Z$1,main!$A$3:$H$102,7,FALSE)=VLOOKUP($A22,main!$A$3:$H$102,8,FALSE),VLOOKUP(Z$1,main!$A$3:$H$102,4,FALSE),VLOOKUP(Z$1,main!$A$3:$H$102,4,FALSE)+VLOOKUP($A22,main!$A$3:$H$102,4,FALSE)+(VLOOKUP(VLOOKUP(Z$1,main!$A$3:$H$102,8,FALSE),main!$K$19:$O$22,MATCH(VLOOKUP($A22,main!$A$3:$H$102,7,FALSE),main!$K$18:$O$18,0),0))),0)</f>
        <v>0</v>
      </c>
      <c r="AA22">
        <f>IF((gamma!AA22),IF(VLOOKUP(AA$1,main!$A$3:$H$102,7,FALSE)=VLOOKUP($A22,main!$A$3:$H$102,8,FALSE),VLOOKUP(AA$1,main!$A$3:$H$102,4,FALSE),VLOOKUP(AA$1,main!$A$3:$H$102,4,FALSE)+VLOOKUP($A22,main!$A$3:$H$102,4,FALSE)+(VLOOKUP(VLOOKUP(AA$1,main!$A$3:$H$102,8,FALSE),main!$K$19:$O$22,MATCH(VLOOKUP($A22,main!$A$3:$H$102,7,FALSE),main!$K$18:$O$18,0),0))),0)</f>
        <v>0</v>
      </c>
      <c r="AB22">
        <f>IF((gamma!AB22),IF(VLOOKUP(AB$1,main!$A$3:$H$102,7,FALSE)=VLOOKUP($A22,main!$A$3:$H$102,8,FALSE),VLOOKUP(AB$1,main!$A$3:$H$102,4,FALSE),VLOOKUP(AB$1,main!$A$3:$H$102,4,FALSE)+VLOOKUP($A22,main!$A$3:$H$102,4,FALSE)+(VLOOKUP(VLOOKUP(AB$1,main!$A$3:$H$102,8,FALSE),main!$K$19:$O$22,MATCH(VLOOKUP($A22,main!$A$3:$H$102,7,FALSE),main!$K$18:$O$18,0),0))),0)</f>
        <v>0</v>
      </c>
      <c r="AC22">
        <f>IF((gamma!AC22),IF(VLOOKUP(AC$1,main!$A$3:$H$102,7,FALSE)=VLOOKUP($A22,main!$A$3:$H$102,8,FALSE),VLOOKUP(AC$1,main!$A$3:$H$102,4,FALSE),VLOOKUP(AC$1,main!$A$3:$H$102,4,FALSE)+VLOOKUP($A22,main!$A$3:$H$102,4,FALSE)+(VLOOKUP(VLOOKUP(AC$1,main!$A$3:$H$102,8,FALSE),main!$K$19:$O$22,MATCH(VLOOKUP($A22,main!$A$3:$H$102,7,FALSE),main!$K$18:$O$18,0),0))),0)</f>
        <v>0</v>
      </c>
      <c r="AD22">
        <f>IF((gamma!AD22),IF(VLOOKUP(AD$1,main!$A$3:$H$102,7,FALSE)=VLOOKUP($A22,main!$A$3:$H$102,8,FALSE),VLOOKUP(AD$1,main!$A$3:$H$102,4,FALSE),VLOOKUP(AD$1,main!$A$3:$H$102,4,FALSE)+VLOOKUP($A22,main!$A$3:$H$102,4,FALSE)+(VLOOKUP(VLOOKUP(AD$1,main!$A$3:$H$102,8,FALSE),main!$K$19:$O$22,MATCH(VLOOKUP($A22,main!$A$3:$H$102,7,FALSE),main!$K$18:$O$18,0),0))),0)</f>
        <v>0</v>
      </c>
      <c r="AE22">
        <f>IF((gamma!AE22),IF(VLOOKUP(AE$1,main!$A$3:$H$102,7,FALSE)=VLOOKUP($A22,main!$A$3:$H$102,8,FALSE),VLOOKUP(AE$1,main!$A$3:$H$102,4,FALSE),VLOOKUP(AE$1,main!$A$3:$H$102,4,FALSE)+VLOOKUP($A22,main!$A$3:$H$102,4,FALSE)+(VLOOKUP(VLOOKUP(AE$1,main!$A$3:$H$102,8,FALSE),main!$K$19:$O$22,MATCH(VLOOKUP($A22,main!$A$3:$H$102,7,FALSE),main!$K$18:$O$18,0),0))),0)</f>
        <v>0</v>
      </c>
      <c r="AF22">
        <f>IF((gamma!AF22),IF(VLOOKUP(AF$1,main!$A$3:$H$102,7,FALSE)=VLOOKUP($A22,main!$A$3:$H$102,8,FALSE),VLOOKUP(AF$1,main!$A$3:$H$102,4,FALSE),VLOOKUP(AF$1,main!$A$3:$H$102,4,FALSE)+VLOOKUP($A22,main!$A$3:$H$102,4,FALSE)+(VLOOKUP(VLOOKUP(AF$1,main!$A$3:$H$102,8,FALSE),main!$K$19:$O$22,MATCH(VLOOKUP($A22,main!$A$3:$H$102,7,FALSE),main!$K$18:$O$18,0),0))),0)</f>
        <v>0</v>
      </c>
      <c r="AG22">
        <f>IF((gamma!AG22),IF(VLOOKUP(AG$1,main!$A$3:$H$102,7,FALSE)=VLOOKUP($A22,main!$A$3:$H$102,8,FALSE),VLOOKUP(AG$1,main!$A$3:$H$102,4,FALSE),VLOOKUP(AG$1,main!$A$3:$H$102,4,FALSE)+VLOOKUP($A22,main!$A$3:$H$102,4,FALSE)+(VLOOKUP(VLOOKUP(AG$1,main!$A$3:$H$102,8,FALSE),main!$K$19:$O$22,MATCH(VLOOKUP($A22,main!$A$3:$H$102,7,FALSE),main!$K$18:$O$18,0),0))),0)</f>
        <v>0</v>
      </c>
      <c r="AH22">
        <f>IF((gamma!AH22),IF(VLOOKUP(AH$1,main!$A$3:$H$102,7,FALSE)=VLOOKUP($A22,main!$A$3:$H$102,8,FALSE),VLOOKUP(AH$1,main!$A$3:$H$102,4,FALSE),VLOOKUP(AH$1,main!$A$3:$H$102,4,FALSE)+VLOOKUP($A22,main!$A$3:$H$102,4,FALSE)+(VLOOKUP(VLOOKUP(AH$1,main!$A$3:$H$102,8,FALSE),main!$K$19:$O$22,MATCH(VLOOKUP($A22,main!$A$3:$H$102,7,FALSE),main!$K$18:$O$18,0),0))),0)</f>
        <v>0</v>
      </c>
      <c r="AI22">
        <f>IF((gamma!AI22),IF(VLOOKUP(AI$1,main!$A$3:$H$102,7,FALSE)=VLOOKUP($A22,main!$A$3:$H$102,8,FALSE),VLOOKUP(AI$1,main!$A$3:$H$102,4,FALSE),VLOOKUP(AI$1,main!$A$3:$H$102,4,FALSE)+VLOOKUP($A22,main!$A$3:$H$102,4,FALSE)+(VLOOKUP(VLOOKUP(AI$1,main!$A$3:$H$102,8,FALSE),main!$K$19:$O$22,MATCH(VLOOKUP($A22,main!$A$3:$H$102,7,FALSE),main!$K$18:$O$18,0),0))),0)</f>
        <v>0</v>
      </c>
      <c r="AJ22">
        <f>IF((gamma!AJ22),IF(VLOOKUP(AJ$1,main!$A$3:$H$102,7,FALSE)=VLOOKUP($A22,main!$A$3:$H$102,8,FALSE),VLOOKUP(AJ$1,main!$A$3:$H$102,4,FALSE),VLOOKUP(AJ$1,main!$A$3:$H$102,4,FALSE)+VLOOKUP($A22,main!$A$3:$H$102,4,FALSE)+(VLOOKUP(VLOOKUP(AJ$1,main!$A$3:$H$102,8,FALSE),main!$K$19:$O$22,MATCH(VLOOKUP($A22,main!$A$3:$H$102,7,FALSE),main!$K$18:$O$18,0),0))),0)</f>
        <v>0</v>
      </c>
      <c r="AK22">
        <f>IF((gamma!AK22),IF(VLOOKUP(AK$1,main!$A$3:$H$102,7,FALSE)=VLOOKUP($A22,main!$A$3:$H$102,8,FALSE),VLOOKUP(AK$1,main!$A$3:$H$102,4,FALSE),VLOOKUP(AK$1,main!$A$3:$H$102,4,FALSE)+VLOOKUP($A22,main!$A$3:$H$102,4,FALSE)+(VLOOKUP(VLOOKUP(AK$1,main!$A$3:$H$102,8,FALSE),main!$K$19:$O$22,MATCH(VLOOKUP($A22,main!$A$3:$H$102,7,FALSE),main!$K$18:$O$18,0),0))),0)</f>
        <v>0</v>
      </c>
      <c r="AL22">
        <f>IF((gamma!AL22),IF(VLOOKUP(AL$1,main!$A$3:$H$102,7,FALSE)=VLOOKUP($A22,main!$A$3:$H$102,8,FALSE),VLOOKUP(AL$1,main!$A$3:$H$102,4,FALSE),VLOOKUP(AL$1,main!$A$3:$H$102,4,FALSE)+VLOOKUP($A22,main!$A$3:$H$102,4,FALSE)+(VLOOKUP(VLOOKUP(AL$1,main!$A$3:$H$102,8,FALSE),main!$K$19:$O$22,MATCH(VLOOKUP($A22,main!$A$3:$H$102,7,FALSE),main!$K$18:$O$18,0),0))),0)</f>
        <v>0</v>
      </c>
      <c r="AM22">
        <f>IF((gamma!AM22),IF(VLOOKUP(AM$1,main!$A$3:$H$102,7,FALSE)=VLOOKUP($A22,main!$A$3:$H$102,8,FALSE),VLOOKUP(AM$1,main!$A$3:$H$102,4,FALSE),VLOOKUP(AM$1,main!$A$3:$H$102,4,FALSE)+VLOOKUP($A22,main!$A$3:$H$102,4,FALSE)+(VLOOKUP(VLOOKUP(AM$1,main!$A$3:$H$102,8,FALSE),main!$K$19:$O$22,MATCH(VLOOKUP($A22,main!$A$3:$H$102,7,FALSE),main!$K$18:$O$18,0),0))),0)</f>
        <v>0</v>
      </c>
      <c r="AN22">
        <f>IF((gamma!AN22),IF(VLOOKUP(AN$1,main!$A$3:$H$102,7,FALSE)=VLOOKUP($A22,main!$A$3:$H$102,8,FALSE),VLOOKUP(AN$1,main!$A$3:$H$102,4,FALSE),VLOOKUP(AN$1,main!$A$3:$H$102,4,FALSE)+VLOOKUP($A22,main!$A$3:$H$102,4,FALSE)+(VLOOKUP(VLOOKUP(AN$1,main!$A$3:$H$102,8,FALSE),main!$K$19:$O$22,MATCH(VLOOKUP($A22,main!$A$3:$H$102,7,FALSE),main!$K$18:$O$18,0),0))),0)</f>
        <v>0</v>
      </c>
      <c r="AO22">
        <f>IF((gamma!AO22),IF(VLOOKUP(AO$1,main!$A$3:$H$102,7,FALSE)=VLOOKUP($A22,main!$A$3:$H$102,8,FALSE),VLOOKUP(AO$1,main!$A$3:$H$102,4,FALSE),VLOOKUP(AO$1,main!$A$3:$H$102,4,FALSE)+VLOOKUP($A22,main!$A$3:$H$102,4,FALSE)+(VLOOKUP(VLOOKUP(AO$1,main!$A$3:$H$102,8,FALSE),main!$K$19:$O$22,MATCH(VLOOKUP($A22,main!$A$3:$H$102,7,FALSE),main!$K$18:$O$18,0),0))),0)</f>
        <v>0</v>
      </c>
      <c r="AP22">
        <f>IF((gamma!AP22),IF(VLOOKUP(AP$1,main!$A$3:$H$102,7,FALSE)=VLOOKUP($A22,main!$A$3:$H$102,8,FALSE),VLOOKUP(AP$1,main!$A$3:$H$102,4,FALSE),VLOOKUP(AP$1,main!$A$3:$H$102,4,FALSE)+VLOOKUP($A22,main!$A$3:$H$102,4,FALSE)+(VLOOKUP(VLOOKUP(AP$1,main!$A$3:$H$102,8,FALSE),main!$K$19:$O$22,MATCH(VLOOKUP($A22,main!$A$3:$H$102,7,FALSE),main!$K$18:$O$18,0),0))),0)</f>
        <v>0</v>
      </c>
      <c r="AQ22">
        <f>IF((gamma!AQ22),IF(VLOOKUP(AQ$1,main!$A$3:$H$102,7,FALSE)=VLOOKUP($A22,main!$A$3:$H$102,8,FALSE),VLOOKUP(AQ$1,main!$A$3:$H$102,4,FALSE),VLOOKUP(AQ$1,main!$A$3:$H$102,4,FALSE)+VLOOKUP($A22,main!$A$3:$H$102,4,FALSE)+(VLOOKUP(VLOOKUP(AQ$1,main!$A$3:$H$102,8,FALSE),main!$K$19:$O$22,MATCH(VLOOKUP($A22,main!$A$3:$H$102,7,FALSE),main!$K$18:$O$18,0),0))),0)</f>
        <v>0</v>
      </c>
      <c r="AR22">
        <f>IF((gamma!AR22),IF(VLOOKUP(AR$1,main!$A$3:$H$102,7,FALSE)=VLOOKUP($A22,main!$A$3:$H$102,8,FALSE),VLOOKUP(AR$1,main!$A$3:$H$102,4,FALSE),VLOOKUP(AR$1,main!$A$3:$H$102,4,FALSE)+VLOOKUP($A22,main!$A$3:$H$102,4,FALSE)+(VLOOKUP(VLOOKUP(AR$1,main!$A$3:$H$102,8,FALSE),main!$K$19:$O$22,MATCH(VLOOKUP($A22,main!$A$3:$H$102,7,FALSE),main!$K$18:$O$18,0),0))),0)</f>
        <v>0</v>
      </c>
      <c r="AS22">
        <f>IF((gamma!AS22),IF(VLOOKUP(AS$1,main!$A$3:$H$102,7,FALSE)=VLOOKUP($A22,main!$A$3:$H$102,8,FALSE),VLOOKUP(AS$1,main!$A$3:$H$102,4,FALSE),VLOOKUP(AS$1,main!$A$3:$H$102,4,FALSE)+VLOOKUP($A22,main!$A$3:$H$102,4,FALSE)+(VLOOKUP(VLOOKUP(AS$1,main!$A$3:$H$102,8,FALSE),main!$K$19:$O$22,MATCH(VLOOKUP($A22,main!$A$3:$H$102,7,FALSE),main!$K$18:$O$18,0),0))),0)</f>
        <v>0</v>
      </c>
      <c r="AT22">
        <f>IF((gamma!AT22),IF(VLOOKUP(AT$1,main!$A$3:$H$102,7,FALSE)=VLOOKUP($A22,main!$A$3:$H$102,8,FALSE),VLOOKUP(AT$1,main!$A$3:$H$102,4,FALSE),VLOOKUP(AT$1,main!$A$3:$H$102,4,FALSE)+VLOOKUP($A22,main!$A$3:$H$102,4,FALSE)+(VLOOKUP(VLOOKUP(AT$1,main!$A$3:$H$102,8,FALSE),main!$K$19:$O$22,MATCH(VLOOKUP($A22,main!$A$3:$H$102,7,FALSE),main!$K$18:$O$18,0),0))),0)</f>
        <v>0</v>
      </c>
      <c r="AU22">
        <f>IF((gamma!AU22),IF(VLOOKUP(AU$1,main!$A$3:$H$102,7,FALSE)=VLOOKUP($A22,main!$A$3:$H$102,8,FALSE),VLOOKUP(AU$1,main!$A$3:$H$102,4,FALSE),VLOOKUP(AU$1,main!$A$3:$H$102,4,FALSE)+VLOOKUP($A22,main!$A$3:$H$102,4,FALSE)+(VLOOKUP(VLOOKUP(AU$1,main!$A$3:$H$102,8,FALSE),main!$K$19:$O$22,MATCH(VLOOKUP($A22,main!$A$3:$H$102,7,FALSE),main!$K$18:$O$18,0),0))),0)</f>
        <v>0</v>
      </c>
      <c r="AV22">
        <f>IF((gamma!AV22),IF(VLOOKUP(AV$1,main!$A$3:$H$102,7,FALSE)=VLOOKUP($A22,main!$A$3:$H$102,8,FALSE),VLOOKUP(AV$1,main!$A$3:$H$102,4,FALSE),VLOOKUP(AV$1,main!$A$3:$H$102,4,FALSE)+VLOOKUP($A22,main!$A$3:$H$102,4,FALSE)+(VLOOKUP(VLOOKUP(AV$1,main!$A$3:$H$102,8,FALSE),main!$K$19:$O$22,MATCH(VLOOKUP($A22,main!$A$3:$H$102,7,FALSE),main!$K$18:$O$18,0),0))),0)</f>
        <v>0</v>
      </c>
      <c r="AW22">
        <f>IF((gamma!AW22),IF(VLOOKUP(AW$1,main!$A$3:$H$102,7,FALSE)=VLOOKUP($A22,main!$A$3:$H$102,8,FALSE),VLOOKUP(AW$1,main!$A$3:$H$102,4,FALSE),VLOOKUP(AW$1,main!$A$3:$H$102,4,FALSE)+VLOOKUP($A22,main!$A$3:$H$102,4,FALSE)+(VLOOKUP(VLOOKUP(AW$1,main!$A$3:$H$102,8,FALSE),main!$K$19:$O$22,MATCH(VLOOKUP($A22,main!$A$3:$H$102,7,FALSE),main!$K$18:$O$18,0),0))),0)</f>
        <v>0</v>
      </c>
      <c r="AX22">
        <f>IF((gamma!AX22),IF(VLOOKUP(AX$1,main!$A$3:$H$102,7,FALSE)=VLOOKUP($A22,main!$A$3:$H$102,8,FALSE),VLOOKUP(AX$1,main!$A$3:$H$102,4,FALSE),VLOOKUP(AX$1,main!$A$3:$H$102,4,FALSE)+VLOOKUP($A22,main!$A$3:$H$102,4,FALSE)+(VLOOKUP(VLOOKUP(AX$1,main!$A$3:$H$102,8,FALSE),main!$K$19:$O$22,MATCH(VLOOKUP($A22,main!$A$3:$H$102,7,FALSE),main!$K$18:$O$18,0),0))),0)</f>
        <v>0</v>
      </c>
      <c r="AY22">
        <f>IF((gamma!AY22),IF(VLOOKUP(AY$1,main!$A$3:$H$102,7,FALSE)=VLOOKUP($A22,main!$A$3:$H$102,8,FALSE),VLOOKUP(AY$1,main!$A$3:$H$102,4,FALSE),VLOOKUP(AY$1,main!$A$3:$H$102,4,FALSE)+VLOOKUP($A22,main!$A$3:$H$102,4,FALSE)+(VLOOKUP(VLOOKUP(AY$1,main!$A$3:$H$102,8,FALSE),main!$K$19:$O$22,MATCH(VLOOKUP($A22,main!$A$3:$H$102,7,FALSE),main!$K$18:$O$18,0),0))),0)</f>
        <v>0</v>
      </c>
      <c r="AZ22">
        <f>IF((gamma!AZ22),IF(VLOOKUP(AZ$1,main!$A$3:$H$102,7,FALSE)=VLOOKUP($A22,main!$A$3:$H$102,8,FALSE),VLOOKUP(AZ$1,main!$A$3:$H$102,4,FALSE),VLOOKUP(AZ$1,main!$A$3:$H$102,4,FALSE)+VLOOKUP($A22,main!$A$3:$H$102,4,FALSE)+(VLOOKUP(VLOOKUP(AZ$1,main!$A$3:$H$102,8,FALSE),main!$K$19:$O$22,MATCH(VLOOKUP($A22,main!$A$3:$H$102,7,FALSE),main!$K$18:$O$18,0),0))),0)</f>
        <v>0</v>
      </c>
      <c r="BA22">
        <f>IF((gamma!BA22),IF(VLOOKUP(BA$1,main!$A$3:$H$102,7,FALSE)=VLOOKUP($A22,main!$A$3:$H$102,8,FALSE),VLOOKUP(BA$1,main!$A$3:$H$102,4,FALSE),VLOOKUP(BA$1,main!$A$3:$H$102,4,FALSE)+VLOOKUP($A22,main!$A$3:$H$102,4,FALSE)+(VLOOKUP(VLOOKUP(BA$1,main!$A$3:$H$102,8,FALSE),main!$K$19:$O$22,MATCH(VLOOKUP($A22,main!$A$3:$H$102,7,FALSE),main!$K$18:$O$18,0),0))),0)</f>
        <v>0</v>
      </c>
      <c r="BB22">
        <f>IF((gamma!BB22),IF(VLOOKUP(BB$1,main!$A$3:$H$102,7,FALSE)=VLOOKUP($A22,main!$A$3:$H$102,8,FALSE),VLOOKUP(BB$1,main!$A$3:$H$102,4,FALSE),VLOOKUP(BB$1,main!$A$3:$H$102,4,FALSE)+VLOOKUP($A22,main!$A$3:$H$102,4,FALSE)+(VLOOKUP(VLOOKUP(BB$1,main!$A$3:$H$102,8,FALSE),main!$K$19:$O$22,MATCH(VLOOKUP($A22,main!$A$3:$H$102,7,FALSE),main!$K$18:$O$18,0),0))),0)</f>
        <v>0</v>
      </c>
      <c r="BC22">
        <f>IF((gamma!BC22),IF(VLOOKUP(BC$1,main!$A$3:$H$102,7,FALSE)=VLOOKUP($A22,main!$A$3:$H$102,8,FALSE),VLOOKUP(BC$1,main!$A$3:$H$102,4,FALSE),VLOOKUP(BC$1,main!$A$3:$H$102,4,FALSE)+VLOOKUP($A22,main!$A$3:$H$102,4,FALSE)+(VLOOKUP(VLOOKUP(BC$1,main!$A$3:$H$102,8,FALSE),main!$K$19:$O$22,MATCH(VLOOKUP($A22,main!$A$3:$H$102,7,FALSE),main!$K$18:$O$18,0),0))),0)</f>
        <v>0</v>
      </c>
      <c r="BD22">
        <f>IF((gamma!BD22),IF(VLOOKUP(BD$1,main!$A$3:$H$102,7,FALSE)=VLOOKUP($A22,main!$A$3:$H$102,8,FALSE),VLOOKUP(BD$1,main!$A$3:$H$102,4,FALSE),VLOOKUP(BD$1,main!$A$3:$H$102,4,FALSE)+VLOOKUP($A22,main!$A$3:$H$102,4,FALSE)+(VLOOKUP(VLOOKUP(BD$1,main!$A$3:$H$102,8,FALSE),main!$K$19:$O$22,MATCH(VLOOKUP($A22,main!$A$3:$H$102,7,FALSE),main!$K$18:$O$18,0),0))),0)</f>
        <v>0</v>
      </c>
      <c r="BE22">
        <f>IF((gamma!BE22),IF(VLOOKUP(BE$1,main!$A$3:$H$102,7,FALSE)=VLOOKUP($A22,main!$A$3:$H$102,8,FALSE),VLOOKUP(BE$1,main!$A$3:$H$102,4,FALSE),VLOOKUP(BE$1,main!$A$3:$H$102,4,FALSE)+VLOOKUP($A22,main!$A$3:$H$102,4,FALSE)+(VLOOKUP(VLOOKUP(BE$1,main!$A$3:$H$102,8,FALSE),main!$K$19:$O$22,MATCH(VLOOKUP($A22,main!$A$3:$H$102,7,FALSE),main!$K$18:$O$18,0),0))),0)</f>
        <v>0</v>
      </c>
      <c r="BF22">
        <f>IF((gamma!BF22),IF(VLOOKUP(BF$1,main!$A$3:$H$102,7,FALSE)=VLOOKUP($A22,main!$A$3:$H$102,8,FALSE),VLOOKUP(BF$1,main!$A$3:$H$102,4,FALSE),VLOOKUP(BF$1,main!$A$3:$H$102,4,FALSE)+VLOOKUP($A22,main!$A$3:$H$102,4,FALSE)+(VLOOKUP(VLOOKUP(BF$1,main!$A$3:$H$102,8,FALSE),main!$K$19:$O$22,MATCH(VLOOKUP($A22,main!$A$3:$H$102,7,FALSE),main!$K$18:$O$18,0),0))),0)</f>
        <v>0</v>
      </c>
      <c r="BG22">
        <f>IF((gamma!BG22),IF(VLOOKUP(BG$1,main!$A$3:$H$102,7,FALSE)=VLOOKUP($A22,main!$A$3:$H$102,8,FALSE),VLOOKUP(BG$1,main!$A$3:$H$102,4,FALSE),VLOOKUP(BG$1,main!$A$3:$H$102,4,FALSE)+VLOOKUP($A22,main!$A$3:$H$102,4,FALSE)+(VLOOKUP(VLOOKUP(BG$1,main!$A$3:$H$102,8,FALSE),main!$K$19:$O$22,MATCH(VLOOKUP($A22,main!$A$3:$H$102,7,FALSE),main!$K$18:$O$18,0),0))),0)</f>
        <v>0</v>
      </c>
      <c r="BH22">
        <f>IF((gamma!BH22),IF(VLOOKUP(BH$1,main!$A$3:$H$102,7,FALSE)=VLOOKUP($A22,main!$A$3:$H$102,8,FALSE),VLOOKUP(BH$1,main!$A$3:$H$102,4,FALSE),VLOOKUP(BH$1,main!$A$3:$H$102,4,FALSE)+VLOOKUP($A22,main!$A$3:$H$102,4,FALSE)+(VLOOKUP(VLOOKUP(BH$1,main!$A$3:$H$102,8,FALSE),main!$K$19:$O$22,MATCH(VLOOKUP($A22,main!$A$3:$H$102,7,FALSE),main!$K$18:$O$18,0),0))),0)</f>
        <v>0</v>
      </c>
      <c r="BI22">
        <f>IF((gamma!BI22),IF(VLOOKUP(BI$1,main!$A$3:$H$102,7,FALSE)=VLOOKUP($A22,main!$A$3:$H$102,8,FALSE),VLOOKUP(BI$1,main!$A$3:$H$102,4,FALSE),VLOOKUP(BI$1,main!$A$3:$H$102,4,FALSE)+VLOOKUP($A22,main!$A$3:$H$102,4,FALSE)+(VLOOKUP(VLOOKUP(BI$1,main!$A$3:$H$102,8,FALSE),main!$K$19:$O$22,MATCH(VLOOKUP($A22,main!$A$3:$H$102,7,FALSE),main!$K$18:$O$18,0),0))),0)</f>
        <v>0</v>
      </c>
      <c r="BJ22">
        <f>IF((gamma!BJ22),IF(VLOOKUP(BJ$1,main!$A$3:$H$102,7,FALSE)=VLOOKUP($A22,main!$A$3:$H$102,8,FALSE),VLOOKUP(BJ$1,main!$A$3:$H$102,4,FALSE),VLOOKUP(BJ$1,main!$A$3:$H$102,4,FALSE)+VLOOKUP($A22,main!$A$3:$H$102,4,FALSE)+(VLOOKUP(VLOOKUP(BJ$1,main!$A$3:$H$102,8,FALSE),main!$K$19:$O$22,MATCH(VLOOKUP($A22,main!$A$3:$H$102,7,FALSE),main!$K$18:$O$18,0),0))),0)</f>
        <v>0</v>
      </c>
      <c r="BK22">
        <f>IF((gamma!BK22),IF(VLOOKUP(BK$1,main!$A$3:$H$102,7,FALSE)=VLOOKUP($A22,main!$A$3:$H$102,8,FALSE),VLOOKUP(BK$1,main!$A$3:$H$102,4,FALSE),VLOOKUP(BK$1,main!$A$3:$H$102,4,FALSE)+VLOOKUP($A22,main!$A$3:$H$102,4,FALSE)+(VLOOKUP(VLOOKUP(BK$1,main!$A$3:$H$102,8,FALSE),main!$K$19:$O$22,MATCH(VLOOKUP($A22,main!$A$3:$H$102,7,FALSE),main!$K$18:$O$18,0),0))),0)</f>
        <v>0</v>
      </c>
      <c r="BL22">
        <f>IF((gamma!BL22),IF(VLOOKUP(BL$1,main!$A$3:$H$102,7,FALSE)=VLOOKUP($A22,main!$A$3:$H$102,8,FALSE),VLOOKUP(BL$1,main!$A$3:$H$102,4,FALSE),VLOOKUP(BL$1,main!$A$3:$H$102,4,FALSE)+VLOOKUP($A22,main!$A$3:$H$102,4,FALSE)+(VLOOKUP(VLOOKUP(BL$1,main!$A$3:$H$102,8,FALSE),main!$K$19:$O$22,MATCH(VLOOKUP($A22,main!$A$3:$H$102,7,FALSE),main!$K$18:$O$18,0),0))),0)</f>
        <v>0</v>
      </c>
      <c r="BM22">
        <f>IF((gamma!BM22),IF(VLOOKUP(BM$1,main!$A$3:$H$102,7,FALSE)=VLOOKUP($A22,main!$A$3:$H$102,8,FALSE),VLOOKUP(BM$1,main!$A$3:$H$102,4,FALSE),VLOOKUP(BM$1,main!$A$3:$H$102,4,FALSE)+VLOOKUP($A22,main!$A$3:$H$102,4,FALSE)+(VLOOKUP(VLOOKUP(BM$1,main!$A$3:$H$102,8,FALSE),main!$K$19:$O$22,MATCH(VLOOKUP($A22,main!$A$3:$H$102,7,FALSE),main!$K$18:$O$18,0),0))),0)</f>
        <v>0</v>
      </c>
      <c r="BN22">
        <f>IF((gamma!BN22),IF(VLOOKUP(BN$1,main!$A$3:$H$102,7,FALSE)=VLOOKUP($A22,main!$A$3:$H$102,8,FALSE),VLOOKUP(BN$1,main!$A$3:$H$102,4,FALSE),VLOOKUP(BN$1,main!$A$3:$H$102,4,FALSE)+VLOOKUP($A22,main!$A$3:$H$102,4,FALSE)+(VLOOKUP(VLOOKUP(BN$1,main!$A$3:$H$102,8,FALSE),main!$K$19:$O$22,MATCH(VLOOKUP($A22,main!$A$3:$H$102,7,FALSE),main!$K$18:$O$18,0),0))),0)</f>
        <v>0</v>
      </c>
      <c r="BO22">
        <f>IF((gamma!BO22),IF(VLOOKUP(BO$1,main!$A$3:$H$102,7,FALSE)=VLOOKUP($A22,main!$A$3:$H$102,8,FALSE),VLOOKUP(BO$1,main!$A$3:$H$102,4,FALSE),VLOOKUP(BO$1,main!$A$3:$H$102,4,FALSE)+VLOOKUP($A22,main!$A$3:$H$102,4,FALSE)+(VLOOKUP(VLOOKUP(BO$1,main!$A$3:$H$102,8,FALSE),main!$K$19:$O$22,MATCH(VLOOKUP($A22,main!$A$3:$H$102,7,FALSE),main!$K$18:$O$18,0),0))),0)</f>
        <v>0</v>
      </c>
      <c r="BP22">
        <f>IF((gamma!BP22),IF(VLOOKUP(BP$1,main!$A$3:$H$102,7,FALSE)=VLOOKUP($A22,main!$A$3:$H$102,8,FALSE),VLOOKUP(BP$1,main!$A$3:$H$102,4,FALSE),VLOOKUP(BP$1,main!$A$3:$H$102,4,FALSE)+VLOOKUP($A22,main!$A$3:$H$102,4,FALSE)+(VLOOKUP(VLOOKUP(BP$1,main!$A$3:$H$102,8,FALSE),main!$K$19:$O$22,MATCH(VLOOKUP($A22,main!$A$3:$H$102,7,FALSE),main!$K$18:$O$18,0),0))),0)</f>
        <v>0</v>
      </c>
      <c r="BQ22">
        <f>IF((gamma!BQ22),IF(VLOOKUP(BQ$1,main!$A$3:$H$102,7,FALSE)=VLOOKUP($A22,main!$A$3:$H$102,8,FALSE),VLOOKUP(BQ$1,main!$A$3:$H$102,4,FALSE),VLOOKUP(BQ$1,main!$A$3:$H$102,4,FALSE)+VLOOKUP($A22,main!$A$3:$H$102,4,FALSE)+(VLOOKUP(VLOOKUP(BQ$1,main!$A$3:$H$102,8,FALSE),main!$K$19:$O$22,MATCH(VLOOKUP($A22,main!$A$3:$H$102,7,FALSE),main!$K$18:$O$18,0),0))),0)</f>
        <v>0</v>
      </c>
      <c r="BR22">
        <f>IF((gamma!BR22),IF(VLOOKUP(BR$1,main!$A$3:$H$102,7,FALSE)=VLOOKUP($A22,main!$A$3:$H$102,8,FALSE),VLOOKUP(BR$1,main!$A$3:$H$102,4,FALSE),VLOOKUP(BR$1,main!$A$3:$H$102,4,FALSE)+VLOOKUP($A22,main!$A$3:$H$102,4,FALSE)+(VLOOKUP(VLOOKUP(BR$1,main!$A$3:$H$102,8,FALSE),main!$K$19:$O$22,MATCH(VLOOKUP($A22,main!$A$3:$H$102,7,FALSE),main!$K$18:$O$18,0),0))),0)</f>
        <v>0</v>
      </c>
      <c r="BS22">
        <f>IF((gamma!BS22),IF(VLOOKUP(BS$1,main!$A$3:$H$102,7,FALSE)=VLOOKUP($A22,main!$A$3:$H$102,8,FALSE),VLOOKUP(BS$1,main!$A$3:$H$102,4,FALSE),VLOOKUP(BS$1,main!$A$3:$H$102,4,FALSE)+VLOOKUP($A22,main!$A$3:$H$102,4,FALSE)+(VLOOKUP(VLOOKUP(BS$1,main!$A$3:$H$102,8,FALSE),main!$K$19:$O$22,MATCH(VLOOKUP($A22,main!$A$3:$H$102,7,FALSE),main!$K$18:$O$18,0),0))),0)</f>
        <v>0</v>
      </c>
      <c r="BT22">
        <f>IF((gamma!BT22),IF(VLOOKUP(BT$1,main!$A$3:$H$102,7,FALSE)=VLOOKUP($A22,main!$A$3:$H$102,8,FALSE),VLOOKUP(BT$1,main!$A$3:$H$102,4,FALSE),VLOOKUP(BT$1,main!$A$3:$H$102,4,FALSE)+VLOOKUP($A22,main!$A$3:$H$102,4,FALSE)+(VLOOKUP(VLOOKUP(BT$1,main!$A$3:$H$102,8,FALSE),main!$K$19:$O$22,MATCH(VLOOKUP($A22,main!$A$3:$H$102,7,FALSE),main!$K$18:$O$18,0),0))),0)</f>
        <v>0</v>
      </c>
      <c r="BU22">
        <f>IF((gamma!BU22),IF(VLOOKUP(BU$1,main!$A$3:$H$102,7,FALSE)=VLOOKUP($A22,main!$A$3:$H$102,8,FALSE),VLOOKUP(BU$1,main!$A$3:$H$102,4,FALSE),VLOOKUP(BU$1,main!$A$3:$H$102,4,FALSE)+VLOOKUP($A22,main!$A$3:$H$102,4,FALSE)+(VLOOKUP(VLOOKUP(BU$1,main!$A$3:$H$102,8,FALSE),main!$K$19:$O$22,MATCH(VLOOKUP($A22,main!$A$3:$H$102,7,FALSE),main!$K$18:$O$18,0),0))),0)</f>
        <v>0</v>
      </c>
      <c r="BV22">
        <f>IF((gamma!BV22),IF(VLOOKUP(BV$1,main!$A$3:$H$102,7,FALSE)=VLOOKUP($A22,main!$A$3:$H$102,8,FALSE),VLOOKUP(BV$1,main!$A$3:$H$102,4,FALSE),VLOOKUP(BV$1,main!$A$3:$H$102,4,FALSE)+VLOOKUP($A22,main!$A$3:$H$102,4,FALSE)+(VLOOKUP(VLOOKUP(BV$1,main!$A$3:$H$102,8,FALSE),main!$K$19:$O$22,MATCH(VLOOKUP($A22,main!$A$3:$H$102,7,FALSE),main!$K$18:$O$18,0),0))),0)</f>
        <v>0</v>
      </c>
      <c r="BW22">
        <f>IF((gamma!BW22),IF(VLOOKUP(BW$1,main!$A$3:$H$102,7,FALSE)=VLOOKUP($A22,main!$A$3:$H$102,8,FALSE),VLOOKUP(BW$1,main!$A$3:$H$102,4,FALSE),VLOOKUP(BW$1,main!$A$3:$H$102,4,FALSE)+VLOOKUP($A22,main!$A$3:$H$102,4,FALSE)+(VLOOKUP(VLOOKUP(BW$1,main!$A$3:$H$102,8,FALSE),main!$K$19:$O$22,MATCH(VLOOKUP($A22,main!$A$3:$H$102,7,FALSE),main!$K$18:$O$18,0),0))),0)</f>
        <v>0</v>
      </c>
      <c r="BX22">
        <f>IF((gamma!BX22),IF(VLOOKUP(BX$1,main!$A$3:$H$102,7,FALSE)=VLOOKUP($A22,main!$A$3:$H$102,8,FALSE),VLOOKUP(BX$1,main!$A$3:$H$102,4,FALSE),VLOOKUP(BX$1,main!$A$3:$H$102,4,FALSE)+VLOOKUP($A22,main!$A$3:$H$102,4,FALSE)+(VLOOKUP(VLOOKUP(BX$1,main!$A$3:$H$102,8,FALSE),main!$K$19:$O$22,MATCH(VLOOKUP($A22,main!$A$3:$H$102,7,FALSE),main!$K$18:$O$18,0),0))),0)</f>
        <v>0</v>
      </c>
      <c r="BY22">
        <f>IF((gamma!BY22),IF(VLOOKUP(BY$1,main!$A$3:$H$102,7,FALSE)=VLOOKUP($A22,main!$A$3:$H$102,8,FALSE),VLOOKUP(BY$1,main!$A$3:$H$102,4,FALSE),VLOOKUP(BY$1,main!$A$3:$H$102,4,FALSE)+VLOOKUP($A22,main!$A$3:$H$102,4,FALSE)+(VLOOKUP(VLOOKUP(BY$1,main!$A$3:$H$102,8,FALSE),main!$K$19:$O$22,MATCH(VLOOKUP($A22,main!$A$3:$H$102,7,FALSE),main!$K$18:$O$18,0),0))),0)</f>
        <v>0</v>
      </c>
      <c r="BZ22">
        <f>IF((gamma!BZ22),IF(VLOOKUP(BZ$1,main!$A$3:$H$102,7,FALSE)=VLOOKUP($A22,main!$A$3:$H$102,8,FALSE),VLOOKUP(BZ$1,main!$A$3:$H$102,4,FALSE),VLOOKUP(BZ$1,main!$A$3:$H$102,4,FALSE)+VLOOKUP($A22,main!$A$3:$H$102,4,FALSE)+(VLOOKUP(VLOOKUP(BZ$1,main!$A$3:$H$102,8,FALSE),main!$K$19:$O$22,MATCH(VLOOKUP($A22,main!$A$3:$H$102,7,FALSE),main!$K$18:$O$18,0),0))),0)</f>
        <v>0</v>
      </c>
      <c r="CA22">
        <f>IF((gamma!CA22),IF(VLOOKUP(CA$1,main!$A$3:$H$102,7,FALSE)=VLOOKUP($A22,main!$A$3:$H$102,8,FALSE),VLOOKUP(CA$1,main!$A$3:$H$102,4,FALSE),VLOOKUP(CA$1,main!$A$3:$H$102,4,FALSE)+VLOOKUP($A22,main!$A$3:$H$102,4,FALSE)+(VLOOKUP(VLOOKUP(CA$1,main!$A$3:$H$102,8,FALSE),main!$K$19:$O$22,MATCH(VLOOKUP($A22,main!$A$3:$H$102,7,FALSE),main!$K$18:$O$18,0),0))),0)</f>
        <v>0</v>
      </c>
      <c r="CB22">
        <f>IF((gamma!CB22),IF(VLOOKUP(CB$1,main!$A$3:$H$102,7,FALSE)=VLOOKUP($A22,main!$A$3:$H$102,8,FALSE),VLOOKUP(CB$1,main!$A$3:$H$102,4,FALSE),VLOOKUP(CB$1,main!$A$3:$H$102,4,FALSE)+VLOOKUP($A22,main!$A$3:$H$102,4,FALSE)+(VLOOKUP(VLOOKUP(CB$1,main!$A$3:$H$102,8,FALSE),main!$K$19:$O$22,MATCH(VLOOKUP($A22,main!$A$3:$H$102,7,FALSE),main!$K$18:$O$18,0),0))),0)</f>
        <v>0</v>
      </c>
      <c r="CC22">
        <f>IF((gamma!CC22),IF(VLOOKUP(CC$1,main!$A$3:$H$102,7,FALSE)=VLOOKUP($A22,main!$A$3:$H$102,8,FALSE),VLOOKUP(CC$1,main!$A$3:$H$102,4,FALSE),VLOOKUP(CC$1,main!$A$3:$H$102,4,FALSE)+VLOOKUP($A22,main!$A$3:$H$102,4,FALSE)+(VLOOKUP(VLOOKUP(CC$1,main!$A$3:$H$102,8,FALSE),main!$K$19:$O$22,MATCH(VLOOKUP($A22,main!$A$3:$H$102,7,FALSE),main!$K$18:$O$18,0),0))),0)</f>
        <v>0</v>
      </c>
      <c r="CD22">
        <f>IF((gamma!CD22),IF(VLOOKUP(CD$1,main!$A$3:$H$102,7,FALSE)=VLOOKUP($A22,main!$A$3:$H$102,8,FALSE),VLOOKUP(CD$1,main!$A$3:$H$102,4,FALSE),VLOOKUP(CD$1,main!$A$3:$H$102,4,FALSE)+VLOOKUP($A22,main!$A$3:$H$102,4,FALSE)+(VLOOKUP(VLOOKUP(CD$1,main!$A$3:$H$102,8,FALSE),main!$K$19:$O$22,MATCH(VLOOKUP($A22,main!$A$3:$H$102,7,FALSE),main!$K$18:$O$18,0),0))),0)</f>
        <v>0</v>
      </c>
      <c r="CE22">
        <f>IF((gamma!CE22),IF(VLOOKUP(CE$1,main!$A$3:$H$102,7,FALSE)=VLOOKUP($A22,main!$A$3:$H$102,8,FALSE),VLOOKUP(CE$1,main!$A$3:$H$102,4,FALSE),VLOOKUP(CE$1,main!$A$3:$H$102,4,FALSE)+VLOOKUP($A22,main!$A$3:$H$102,4,FALSE)+(VLOOKUP(VLOOKUP(CE$1,main!$A$3:$H$102,8,FALSE),main!$K$19:$O$22,MATCH(VLOOKUP($A22,main!$A$3:$H$102,7,FALSE),main!$K$18:$O$18,0),0))),0)</f>
        <v>0</v>
      </c>
      <c r="CF22">
        <f>IF((gamma!CF22),IF(VLOOKUP(CF$1,main!$A$3:$H$102,7,FALSE)=VLOOKUP($A22,main!$A$3:$H$102,8,FALSE),VLOOKUP(CF$1,main!$A$3:$H$102,4,FALSE),VLOOKUP(CF$1,main!$A$3:$H$102,4,FALSE)+VLOOKUP($A22,main!$A$3:$H$102,4,FALSE)+(VLOOKUP(VLOOKUP(CF$1,main!$A$3:$H$102,8,FALSE),main!$K$19:$O$22,MATCH(VLOOKUP($A22,main!$A$3:$H$102,7,FALSE),main!$K$18:$O$18,0),0))),0)</f>
        <v>0</v>
      </c>
      <c r="CG22">
        <f>IF((gamma!CG22),IF(VLOOKUP(CG$1,main!$A$3:$H$102,7,FALSE)=VLOOKUP($A22,main!$A$3:$H$102,8,FALSE),VLOOKUP(CG$1,main!$A$3:$H$102,4,FALSE),VLOOKUP(CG$1,main!$A$3:$H$102,4,FALSE)+VLOOKUP($A22,main!$A$3:$H$102,4,FALSE)+(VLOOKUP(VLOOKUP(CG$1,main!$A$3:$H$102,8,FALSE),main!$K$19:$O$22,MATCH(VLOOKUP($A22,main!$A$3:$H$102,7,FALSE),main!$K$18:$O$18,0),0))),0)</f>
        <v>0</v>
      </c>
      <c r="CH22">
        <f>IF((gamma!CH22),IF(VLOOKUP(CH$1,main!$A$3:$H$102,7,FALSE)=VLOOKUP($A22,main!$A$3:$H$102,8,FALSE),VLOOKUP(CH$1,main!$A$3:$H$102,4,FALSE),VLOOKUP(CH$1,main!$A$3:$H$102,4,FALSE)+VLOOKUP($A22,main!$A$3:$H$102,4,FALSE)+(VLOOKUP(VLOOKUP(CH$1,main!$A$3:$H$102,8,FALSE),main!$K$19:$O$22,MATCH(VLOOKUP($A22,main!$A$3:$H$102,7,FALSE),main!$K$18:$O$18,0),0))),0)</f>
        <v>0</v>
      </c>
      <c r="CI22">
        <f>IF((gamma!CI22),IF(VLOOKUP(CI$1,main!$A$3:$H$102,7,FALSE)=VLOOKUP($A22,main!$A$3:$H$102,8,FALSE),VLOOKUP(CI$1,main!$A$3:$H$102,4,FALSE),VLOOKUP(CI$1,main!$A$3:$H$102,4,FALSE)+VLOOKUP($A22,main!$A$3:$H$102,4,FALSE)+(VLOOKUP(VLOOKUP(CI$1,main!$A$3:$H$102,8,FALSE),main!$K$19:$O$22,MATCH(VLOOKUP($A22,main!$A$3:$H$102,7,FALSE),main!$K$18:$O$18,0),0))),0)</f>
        <v>0</v>
      </c>
      <c r="CJ22">
        <f>IF((gamma!CJ22),IF(VLOOKUP(CJ$1,main!$A$3:$H$102,7,FALSE)=VLOOKUP($A22,main!$A$3:$H$102,8,FALSE),VLOOKUP(CJ$1,main!$A$3:$H$102,4,FALSE),VLOOKUP(CJ$1,main!$A$3:$H$102,4,FALSE)+VLOOKUP($A22,main!$A$3:$H$102,4,FALSE)+(VLOOKUP(VLOOKUP(CJ$1,main!$A$3:$H$102,8,FALSE),main!$K$19:$O$22,MATCH(VLOOKUP($A22,main!$A$3:$H$102,7,FALSE),main!$K$18:$O$18,0),0))),0)</f>
        <v>0</v>
      </c>
      <c r="CK22">
        <f>IF((gamma!CK22),IF(VLOOKUP(CK$1,main!$A$3:$H$102,7,FALSE)=VLOOKUP($A22,main!$A$3:$H$102,8,FALSE),VLOOKUP(CK$1,main!$A$3:$H$102,4,FALSE),VLOOKUP(CK$1,main!$A$3:$H$102,4,FALSE)+VLOOKUP($A22,main!$A$3:$H$102,4,FALSE)+(VLOOKUP(VLOOKUP(CK$1,main!$A$3:$H$102,8,FALSE),main!$K$19:$O$22,MATCH(VLOOKUP($A22,main!$A$3:$H$102,7,FALSE),main!$K$18:$O$18,0),0))),0)</f>
        <v>0</v>
      </c>
      <c r="CL22">
        <f>IF((gamma!CL22),IF(VLOOKUP(CL$1,main!$A$3:$H$102,7,FALSE)=VLOOKUP($A22,main!$A$3:$H$102,8,FALSE),VLOOKUP(CL$1,main!$A$3:$H$102,4,FALSE),VLOOKUP(CL$1,main!$A$3:$H$102,4,FALSE)+VLOOKUP($A22,main!$A$3:$H$102,4,FALSE)+(VLOOKUP(VLOOKUP(CL$1,main!$A$3:$H$102,8,FALSE),main!$K$19:$O$22,MATCH(VLOOKUP($A22,main!$A$3:$H$102,7,FALSE),main!$K$18:$O$18,0),0))),0)</f>
        <v>0</v>
      </c>
      <c r="CM22">
        <f>IF((gamma!CM22),IF(VLOOKUP(CM$1,main!$A$3:$H$102,7,FALSE)=VLOOKUP($A22,main!$A$3:$H$102,8,FALSE),VLOOKUP(CM$1,main!$A$3:$H$102,4,FALSE),VLOOKUP(CM$1,main!$A$3:$H$102,4,FALSE)+VLOOKUP($A22,main!$A$3:$H$102,4,FALSE)+(VLOOKUP(VLOOKUP(CM$1,main!$A$3:$H$102,8,FALSE),main!$K$19:$O$22,MATCH(VLOOKUP($A22,main!$A$3:$H$102,7,FALSE),main!$K$18:$O$18,0),0))),0)</f>
        <v>0</v>
      </c>
      <c r="CN22">
        <f>IF((gamma!CN22),IF(VLOOKUP(CN$1,main!$A$3:$H$102,7,FALSE)=VLOOKUP($A22,main!$A$3:$H$102,8,FALSE),VLOOKUP(CN$1,main!$A$3:$H$102,4,FALSE),VLOOKUP(CN$1,main!$A$3:$H$102,4,FALSE)+VLOOKUP($A22,main!$A$3:$H$102,4,FALSE)+(VLOOKUP(VLOOKUP(CN$1,main!$A$3:$H$102,8,FALSE),main!$K$19:$O$22,MATCH(VLOOKUP($A22,main!$A$3:$H$102,7,FALSE),main!$K$18:$O$18,0),0))),0)</f>
        <v>0</v>
      </c>
      <c r="CO22">
        <f>IF((gamma!CO22),IF(VLOOKUP(CO$1,main!$A$3:$H$102,7,FALSE)=VLOOKUP($A22,main!$A$3:$H$102,8,FALSE),VLOOKUP(CO$1,main!$A$3:$H$102,4,FALSE),VLOOKUP(CO$1,main!$A$3:$H$102,4,FALSE)+VLOOKUP($A22,main!$A$3:$H$102,4,FALSE)+(VLOOKUP(VLOOKUP(CO$1,main!$A$3:$H$102,8,FALSE),main!$K$19:$O$22,MATCH(VLOOKUP($A22,main!$A$3:$H$102,7,FALSE),main!$K$18:$O$18,0),0))),0)</f>
        <v>0</v>
      </c>
      <c r="CP22">
        <f>IF((gamma!CP22),IF(VLOOKUP(CP$1,main!$A$3:$H$102,7,FALSE)=VLOOKUP($A22,main!$A$3:$H$102,8,FALSE),VLOOKUP(CP$1,main!$A$3:$H$102,4,FALSE),VLOOKUP(CP$1,main!$A$3:$H$102,4,FALSE)+VLOOKUP($A22,main!$A$3:$H$102,4,FALSE)+(VLOOKUP(VLOOKUP(CP$1,main!$A$3:$H$102,8,FALSE),main!$K$19:$O$22,MATCH(VLOOKUP($A22,main!$A$3:$H$102,7,FALSE),main!$K$18:$O$18,0),0))),0)</f>
        <v>0</v>
      </c>
      <c r="CQ22">
        <f>IF((gamma!CQ22),IF(VLOOKUP(CQ$1,main!$A$3:$H$102,7,FALSE)=VLOOKUP($A22,main!$A$3:$H$102,8,FALSE),VLOOKUP(CQ$1,main!$A$3:$H$102,4,FALSE),VLOOKUP(CQ$1,main!$A$3:$H$102,4,FALSE)+VLOOKUP($A22,main!$A$3:$H$102,4,FALSE)+(VLOOKUP(VLOOKUP(CQ$1,main!$A$3:$H$102,8,FALSE),main!$K$19:$O$22,MATCH(VLOOKUP($A22,main!$A$3:$H$102,7,FALSE),main!$K$18:$O$18,0),0))),0)</f>
        <v>0</v>
      </c>
      <c r="CR22">
        <f>IF((gamma!CR22),IF(VLOOKUP(CR$1,main!$A$3:$H$102,7,FALSE)=VLOOKUP($A22,main!$A$3:$H$102,8,FALSE),VLOOKUP(CR$1,main!$A$3:$H$102,4,FALSE),VLOOKUP(CR$1,main!$A$3:$H$102,4,FALSE)+VLOOKUP($A22,main!$A$3:$H$102,4,FALSE)+(VLOOKUP(VLOOKUP(CR$1,main!$A$3:$H$102,8,FALSE),main!$K$19:$O$22,MATCH(VLOOKUP($A22,main!$A$3:$H$102,7,FALSE),main!$K$18:$O$18,0),0))),0)</f>
        <v>0</v>
      </c>
      <c r="CS22">
        <f>IF((gamma!CS22),IF(VLOOKUP(CS$1,main!$A$3:$H$102,7,FALSE)=VLOOKUP($A22,main!$A$3:$H$102,8,FALSE),VLOOKUP(CS$1,main!$A$3:$H$102,4,FALSE),VLOOKUP(CS$1,main!$A$3:$H$102,4,FALSE)+VLOOKUP($A22,main!$A$3:$H$102,4,FALSE)+(VLOOKUP(VLOOKUP(CS$1,main!$A$3:$H$102,8,FALSE),main!$K$19:$O$22,MATCH(VLOOKUP($A22,main!$A$3:$H$102,7,FALSE),main!$K$18:$O$18,0),0))),0)</f>
        <v>0</v>
      </c>
      <c r="CT22">
        <f>IF((gamma!CT22),IF(VLOOKUP(CT$1,main!$A$3:$H$102,7,FALSE)=VLOOKUP($A22,main!$A$3:$H$102,8,FALSE),VLOOKUP(CT$1,main!$A$3:$H$102,4,FALSE),VLOOKUP(CT$1,main!$A$3:$H$102,4,FALSE)+VLOOKUP($A22,main!$A$3:$H$102,4,FALSE)+(VLOOKUP(VLOOKUP(CT$1,main!$A$3:$H$102,8,FALSE),main!$K$19:$O$22,MATCH(VLOOKUP($A22,main!$A$3:$H$102,7,FALSE),main!$K$18:$O$18,0),0))),0)</f>
        <v>0</v>
      </c>
      <c r="CU22">
        <f>IF((gamma!CU22),IF(VLOOKUP(CU$1,main!$A$3:$H$102,7,FALSE)=VLOOKUP($A22,main!$A$3:$H$102,8,FALSE),VLOOKUP(CU$1,main!$A$3:$H$102,4,FALSE),VLOOKUP(CU$1,main!$A$3:$H$102,4,FALSE)+VLOOKUP($A22,main!$A$3:$H$102,4,FALSE)+(VLOOKUP(VLOOKUP(CU$1,main!$A$3:$H$102,8,FALSE),main!$K$19:$O$22,MATCH(VLOOKUP($A22,main!$A$3:$H$102,7,FALSE),main!$K$18:$O$18,0),0))),0)</f>
        <v>0</v>
      </c>
      <c r="CV22">
        <f>IF((gamma!CV22),IF(VLOOKUP(CV$1,main!$A$3:$H$102,7,FALSE)=VLOOKUP($A22,main!$A$3:$H$102,8,FALSE),VLOOKUP(CV$1,main!$A$3:$H$102,4,FALSE),VLOOKUP(CV$1,main!$A$3:$H$102,4,FALSE)+VLOOKUP($A22,main!$A$3:$H$102,4,FALSE)+(VLOOKUP(VLOOKUP(CV$1,main!$A$3:$H$102,8,FALSE),main!$K$19:$O$22,MATCH(VLOOKUP($A22,main!$A$3:$H$102,7,FALSE),main!$K$18:$O$18,0),0))),0)</f>
        <v>0</v>
      </c>
      <c r="CW22">
        <f>IF((gamma!CW22),IF(VLOOKUP(CW$1,main!$A$3:$H$102,7,FALSE)=VLOOKUP($A22,main!$A$3:$H$102,8,FALSE),VLOOKUP(CW$1,main!$A$3:$H$102,4,FALSE),VLOOKUP(CW$1,main!$A$3:$H$102,4,FALSE)+VLOOKUP($A22,main!$A$3:$H$102,4,FALSE)+(VLOOKUP(VLOOKUP(CW$1,main!$A$3:$H$102,8,FALSE),main!$K$19:$O$22,MATCH(VLOOKUP($A22,main!$A$3:$H$102,7,FALSE),main!$K$18:$O$18,0),0))),0)</f>
        <v>0</v>
      </c>
      <c r="CX22">
        <f>IF((gamma!CX22),IF(VLOOKUP(CX$1,main!$A$3:$H$102,7,FALSE)=VLOOKUP($A22,main!$A$3:$H$102,8,FALSE),VLOOKUP(CX$1,main!$A$3:$H$102,4,FALSE),VLOOKUP(CX$1,main!$A$3:$H$102,4,FALSE)+VLOOKUP($A22,main!$A$3:$H$102,4,FALSE)+(VLOOKUP(VLOOKUP(CX$1,main!$A$3:$H$102,8,FALSE),main!$K$19:$O$22,MATCH(VLOOKUP($A22,main!$A$3:$H$102,7,FALSE),main!$K$18:$O$18,0),0))),0)</f>
        <v>0</v>
      </c>
      <c r="CY22">
        <v>0</v>
      </c>
      <c r="CZ22">
        <v>0</v>
      </c>
      <c r="DA22">
        <v>0</v>
      </c>
    </row>
    <row r="23" spans="1:105" x14ac:dyDescent="0.25">
      <c r="A23" s="1">
        <v>21</v>
      </c>
      <c r="B23">
        <v>0</v>
      </c>
      <c r="C23">
        <f>IF((gamma!C23),IF(VLOOKUP(C$1,main!$A$3:$H$102,7,FALSE)=VLOOKUP($A23,main!$A$3:$H$102,8,FALSE),VLOOKUP(C$1,main!$A$3:$H$102,4,FALSE),VLOOKUP(C$1,main!$A$3:$H$102,4,FALSE)+VLOOKUP($A23,main!$A$3:$H$102,4,FALSE)+(VLOOKUP(VLOOKUP(C$1,main!$A$3:$H$102,8,FALSE),main!$K$19:$O$22,MATCH(VLOOKUP($A23,main!$A$3:$H$102,7,FALSE),main!$K$18:$O$18,0),0))),0)</f>
        <v>0</v>
      </c>
      <c r="D23">
        <f>IF((gamma!D23),IF(VLOOKUP(D$1,main!$A$3:$H$102,7,FALSE)=VLOOKUP($A23,main!$A$3:$H$102,8,FALSE),VLOOKUP(D$1,main!$A$3:$H$102,4,FALSE),VLOOKUP(D$1,main!$A$3:$H$102,4,FALSE)+VLOOKUP($A23,main!$A$3:$H$102,4,FALSE)+(VLOOKUP(VLOOKUP(D$1,main!$A$3:$H$102,8,FALSE),main!$K$19:$O$22,MATCH(VLOOKUP($A23,main!$A$3:$H$102,7,FALSE),main!$K$18:$O$18,0),0))),0)</f>
        <v>0</v>
      </c>
      <c r="E23">
        <f>IF((gamma!E23),IF(VLOOKUP(E$1,main!$A$3:$H$102,7,FALSE)=VLOOKUP($A23,main!$A$3:$H$102,8,FALSE),VLOOKUP(E$1,main!$A$3:$H$102,4,FALSE),VLOOKUP(E$1,main!$A$3:$H$102,4,FALSE)+VLOOKUP($A23,main!$A$3:$H$102,4,FALSE)+(VLOOKUP(VLOOKUP(E$1,main!$A$3:$H$102,8,FALSE),main!$K$19:$O$22,MATCH(VLOOKUP($A23,main!$A$3:$H$102,7,FALSE),main!$K$18:$O$18,0),0))),0)</f>
        <v>0</v>
      </c>
      <c r="F23">
        <f>IF((gamma!F23),IF(VLOOKUP(F$1,main!$A$3:$H$102,7,FALSE)=VLOOKUP($A23,main!$A$3:$H$102,8,FALSE),VLOOKUP(F$1,main!$A$3:$H$102,4,FALSE),VLOOKUP(F$1,main!$A$3:$H$102,4,FALSE)+VLOOKUP($A23,main!$A$3:$H$102,4,FALSE)+(VLOOKUP(VLOOKUP(F$1,main!$A$3:$H$102,8,FALSE),main!$K$19:$O$22,MATCH(VLOOKUP($A23,main!$A$3:$H$102,7,FALSE),main!$K$18:$O$18,0),0))),0)</f>
        <v>0</v>
      </c>
      <c r="G23">
        <f>IF((gamma!G23),IF(VLOOKUP(G$1,main!$A$3:$H$102,7,FALSE)=VLOOKUP($A23,main!$A$3:$H$102,8,FALSE),VLOOKUP(G$1,main!$A$3:$H$102,4,FALSE),VLOOKUP(G$1,main!$A$3:$H$102,4,FALSE)+VLOOKUP($A23,main!$A$3:$H$102,4,FALSE)+(VLOOKUP(VLOOKUP(G$1,main!$A$3:$H$102,8,FALSE),main!$K$19:$O$22,MATCH(VLOOKUP($A23,main!$A$3:$H$102,7,FALSE),main!$K$18:$O$18,0),0))),0)</f>
        <v>300</v>
      </c>
      <c r="H23">
        <f>IF((gamma!H23),IF(VLOOKUP(H$1,main!$A$3:$H$102,7,FALSE)=VLOOKUP($A23,main!$A$3:$H$102,8,FALSE),VLOOKUP(H$1,main!$A$3:$H$102,4,FALSE),VLOOKUP(H$1,main!$A$3:$H$102,4,FALSE)+VLOOKUP($A23,main!$A$3:$H$102,4,FALSE)+(VLOOKUP(VLOOKUP(H$1,main!$A$3:$H$102,8,FALSE),main!$K$19:$O$22,MATCH(VLOOKUP($A23,main!$A$3:$H$102,7,FALSE),main!$K$18:$O$18,0),0))),0)</f>
        <v>300</v>
      </c>
      <c r="I23">
        <f>IF((gamma!I23),IF(VLOOKUP(I$1,main!$A$3:$H$102,7,FALSE)=VLOOKUP($A23,main!$A$3:$H$102,8,FALSE),VLOOKUP(I$1,main!$A$3:$H$102,4,FALSE),VLOOKUP(I$1,main!$A$3:$H$102,4,FALSE)+VLOOKUP($A23,main!$A$3:$H$102,4,FALSE)+(VLOOKUP(VLOOKUP(I$1,main!$A$3:$H$102,8,FALSE),main!$K$19:$O$22,MATCH(VLOOKUP($A23,main!$A$3:$H$102,7,FALSE),main!$K$18:$O$18,0),0))),0)</f>
        <v>300</v>
      </c>
      <c r="J23">
        <f>IF((gamma!J23),IF(VLOOKUP(J$1,main!$A$3:$H$102,7,FALSE)=VLOOKUP($A23,main!$A$3:$H$102,8,FALSE),VLOOKUP(J$1,main!$A$3:$H$102,4,FALSE),VLOOKUP(J$1,main!$A$3:$H$102,4,FALSE)+VLOOKUP($A23,main!$A$3:$H$102,4,FALSE)+(VLOOKUP(VLOOKUP(J$1,main!$A$3:$H$102,8,FALSE),main!$K$19:$O$22,MATCH(VLOOKUP($A23,main!$A$3:$H$102,7,FALSE),main!$K$18:$O$18,0),0))),0)</f>
        <v>300</v>
      </c>
      <c r="K23">
        <f>IF((gamma!K23),IF(VLOOKUP(K$1,main!$A$3:$H$102,7,FALSE)=VLOOKUP($A23,main!$A$3:$H$102,8,FALSE),VLOOKUP(K$1,main!$A$3:$H$102,4,FALSE),VLOOKUP(K$1,main!$A$3:$H$102,4,FALSE)+VLOOKUP($A23,main!$A$3:$H$102,4,FALSE)+(VLOOKUP(VLOOKUP(K$1,main!$A$3:$H$102,8,FALSE),main!$K$19:$O$22,MATCH(VLOOKUP($A23,main!$A$3:$H$102,7,FALSE),main!$K$18:$O$18,0),0))),0)</f>
        <v>300</v>
      </c>
      <c r="L23">
        <f>IF((gamma!L23),IF(VLOOKUP(L$1,main!$A$3:$H$102,7,FALSE)=VLOOKUP($A23,main!$A$3:$H$102,8,FALSE),VLOOKUP(L$1,main!$A$3:$H$102,4,FALSE),VLOOKUP(L$1,main!$A$3:$H$102,4,FALSE)+VLOOKUP($A23,main!$A$3:$H$102,4,FALSE)+(VLOOKUP(VLOOKUP(L$1,main!$A$3:$H$102,8,FALSE),main!$K$19:$O$22,MATCH(VLOOKUP($A23,main!$A$3:$H$102,7,FALSE),main!$K$18:$O$18,0),0))),0)</f>
        <v>300</v>
      </c>
      <c r="M23">
        <f>IF((gamma!M23),IF(VLOOKUP(M$1,main!$A$3:$H$102,7,FALSE)=VLOOKUP($A23,main!$A$3:$H$102,8,FALSE),VLOOKUP(M$1,main!$A$3:$H$102,4,FALSE),VLOOKUP(M$1,main!$A$3:$H$102,4,FALSE)+VLOOKUP($A23,main!$A$3:$H$102,4,FALSE)+(VLOOKUP(VLOOKUP(M$1,main!$A$3:$H$102,8,FALSE),main!$K$19:$O$22,MATCH(VLOOKUP($A23,main!$A$3:$H$102,7,FALSE),main!$K$18:$O$18,0),0))),0)</f>
        <v>0</v>
      </c>
      <c r="N23">
        <f>IF((gamma!N23),IF(VLOOKUP(N$1,main!$A$3:$H$102,7,FALSE)=VLOOKUP($A23,main!$A$3:$H$102,8,FALSE),VLOOKUP(N$1,main!$A$3:$H$102,4,FALSE),VLOOKUP(N$1,main!$A$3:$H$102,4,FALSE)+VLOOKUP($A23,main!$A$3:$H$102,4,FALSE)+(VLOOKUP(VLOOKUP(N$1,main!$A$3:$H$102,8,FALSE),main!$K$19:$O$22,MATCH(VLOOKUP($A23,main!$A$3:$H$102,7,FALSE),main!$K$18:$O$18,0),0))),0)</f>
        <v>0</v>
      </c>
      <c r="O23">
        <f>IF((gamma!O23),IF(VLOOKUP(O$1,main!$A$3:$H$102,7,FALSE)=VLOOKUP($A23,main!$A$3:$H$102,8,FALSE),VLOOKUP(O$1,main!$A$3:$H$102,4,FALSE),VLOOKUP(O$1,main!$A$3:$H$102,4,FALSE)+VLOOKUP($A23,main!$A$3:$H$102,4,FALSE)+(VLOOKUP(VLOOKUP(O$1,main!$A$3:$H$102,8,FALSE),main!$K$19:$O$22,MATCH(VLOOKUP($A23,main!$A$3:$H$102,7,FALSE),main!$K$18:$O$18,0),0))),0)</f>
        <v>0</v>
      </c>
      <c r="P23">
        <f>IF((gamma!P23),IF(VLOOKUP(P$1,main!$A$3:$H$102,7,FALSE)=VLOOKUP($A23,main!$A$3:$H$102,8,FALSE),VLOOKUP(P$1,main!$A$3:$H$102,4,FALSE),VLOOKUP(P$1,main!$A$3:$H$102,4,FALSE)+VLOOKUP($A23,main!$A$3:$H$102,4,FALSE)+(VLOOKUP(VLOOKUP(P$1,main!$A$3:$H$102,8,FALSE),main!$K$19:$O$22,MATCH(VLOOKUP($A23,main!$A$3:$H$102,7,FALSE),main!$K$18:$O$18,0),0))),0)</f>
        <v>0</v>
      </c>
      <c r="Q23">
        <f>IF((gamma!Q23),IF(VLOOKUP(Q$1,main!$A$3:$H$102,7,FALSE)=VLOOKUP($A23,main!$A$3:$H$102,8,FALSE),VLOOKUP(Q$1,main!$A$3:$H$102,4,FALSE),VLOOKUP(Q$1,main!$A$3:$H$102,4,FALSE)+VLOOKUP($A23,main!$A$3:$H$102,4,FALSE)+(VLOOKUP(VLOOKUP(Q$1,main!$A$3:$H$102,8,FALSE),main!$K$19:$O$22,MATCH(VLOOKUP($A23,main!$A$3:$H$102,7,FALSE),main!$K$18:$O$18,0),0))),0)</f>
        <v>310</v>
      </c>
      <c r="R23">
        <f>IF((gamma!R23),IF(VLOOKUP(R$1,main!$A$3:$H$102,7,FALSE)=VLOOKUP($A23,main!$A$3:$H$102,8,FALSE),VLOOKUP(R$1,main!$A$3:$H$102,4,FALSE),VLOOKUP(R$1,main!$A$3:$H$102,4,FALSE)+VLOOKUP($A23,main!$A$3:$H$102,4,FALSE)+(VLOOKUP(VLOOKUP(R$1,main!$A$3:$H$102,8,FALSE),main!$K$19:$O$22,MATCH(VLOOKUP($A23,main!$A$3:$H$102,7,FALSE),main!$K$18:$O$18,0),0))),0)</f>
        <v>310</v>
      </c>
      <c r="S23">
        <f>IF((gamma!S23),IF(VLOOKUP(S$1,main!$A$3:$H$102,7,FALSE)=VLOOKUP($A23,main!$A$3:$H$102,8,FALSE),VLOOKUP(S$1,main!$A$3:$H$102,4,FALSE),VLOOKUP(S$1,main!$A$3:$H$102,4,FALSE)+VLOOKUP($A23,main!$A$3:$H$102,4,FALSE)+(VLOOKUP(VLOOKUP(S$1,main!$A$3:$H$102,8,FALSE),main!$K$19:$O$22,MATCH(VLOOKUP($A23,main!$A$3:$H$102,7,FALSE),main!$K$18:$O$18,0),0))),0)</f>
        <v>310</v>
      </c>
      <c r="T23">
        <f>IF((gamma!T23),IF(VLOOKUP(T$1,main!$A$3:$H$102,7,FALSE)=VLOOKUP($A23,main!$A$3:$H$102,8,FALSE),VLOOKUP(T$1,main!$A$3:$H$102,4,FALSE),VLOOKUP(T$1,main!$A$3:$H$102,4,FALSE)+VLOOKUP($A23,main!$A$3:$H$102,4,FALSE)+(VLOOKUP(VLOOKUP(T$1,main!$A$3:$H$102,8,FALSE),main!$K$19:$O$22,MATCH(VLOOKUP($A23,main!$A$3:$H$102,7,FALSE),main!$K$18:$O$18,0),0))),0)</f>
        <v>310</v>
      </c>
      <c r="U23">
        <f>IF((gamma!U23),IF(VLOOKUP(U$1,main!$A$3:$H$102,7,FALSE)=VLOOKUP($A23,main!$A$3:$H$102,8,FALSE),VLOOKUP(U$1,main!$A$3:$H$102,4,FALSE),VLOOKUP(U$1,main!$A$3:$H$102,4,FALSE)+VLOOKUP($A23,main!$A$3:$H$102,4,FALSE)+(VLOOKUP(VLOOKUP(U$1,main!$A$3:$H$102,8,FALSE),main!$K$19:$O$22,MATCH(VLOOKUP($A23,main!$A$3:$H$102,7,FALSE),main!$K$18:$O$18,0),0))),0)</f>
        <v>310</v>
      </c>
      <c r="V23">
        <f>IF((gamma!V23),IF(VLOOKUP(V$1,main!$A$3:$H$102,7,FALSE)=VLOOKUP($A23,main!$A$3:$H$102,8,FALSE),VLOOKUP(V$1,main!$A$3:$H$102,4,FALSE),VLOOKUP(V$1,main!$A$3:$H$102,4,FALSE)+VLOOKUP($A23,main!$A$3:$H$102,4,FALSE)+(VLOOKUP(VLOOKUP(V$1,main!$A$3:$H$102,8,FALSE),main!$K$19:$O$22,MATCH(VLOOKUP($A23,main!$A$3:$H$102,7,FALSE),main!$K$18:$O$18,0),0))),0)</f>
        <v>310</v>
      </c>
      <c r="W23">
        <f>IF((gamma!W23),IF(VLOOKUP(W$1,main!$A$3:$H$102,7,FALSE)=VLOOKUP($A23,main!$A$3:$H$102,8,FALSE),VLOOKUP(W$1,main!$A$3:$H$102,4,FALSE),VLOOKUP(W$1,main!$A$3:$H$102,4,FALSE)+VLOOKUP($A23,main!$A$3:$H$102,4,FALSE)+(VLOOKUP(VLOOKUP(W$1,main!$A$3:$H$102,8,FALSE),main!$K$19:$O$22,MATCH(VLOOKUP($A23,main!$A$3:$H$102,7,FALSE),main!$K$18:$O$18,0),0))),0)</f>
        <v>0</v>
      </c>
      <c r="X23">
        <f>IF((gamma!X23),IF(VLOOKUP(X$1,main!$A$3:$H$102,7,FALSE)=VLOOKUP($A23,main!$A$3:$H$102,8,FALSE),VLOOKUP(X$1,main!$A$3:$H$102,4,FALSE),VLOOKUP(X$1,main!$A$3:$H$102,4,FALSE)+VLOOKUP($A23,main!$A$3:$H$102,4,FALSE)+(VLOOKUP(VLOOKUP(X$1,main!$A$3:$H$102,8,FALSE),main!$K$19:$O$22,MATCH(VLOOKUP($A23,main!$A$3:$H$102,7,FALSE),main!$K$18:$O$18,0),0))),0)</f>
        <v>0</v>
      </c>
      <c r="Y23">
        <f>IF((gamma!Y23),IF(VLOOKUP(Y$1,main!$A$3:$H$102,7,FALSE)=VLOOKUP($A23,main!$A$3:$H$102,8,FALSE),VLOOKUP(Y$1,main!$A$3:$H$102,4,FALSE),VLOOKUP(Y$1,main!$A$3:$H$102,4,FALSE)+VLOOKUP($A23,main!$A$3:$H$102,4,FALSE)+(VLOOKUP(VLOOKUP(Y$1,main!$A$3:$H$102,8,FALSE),main!$K$19:$O$22,MATCH(VLOOKUP($A23,main!$A$3:$H$102,7,FALSE),main!$K$18:$O$18,0),0))),0)</f>
        <v>310</v>
      </c>
      <c r="Z23">
        <f>IF((gamma!Z23),IF(VLOOKUP(Z$1,main!$A$3:$H$102,7,FALSE)=VLOOKUP($A23,main!$A$3:$H$102,8,FALSE),VLOOKUP(Z$1,main!$A$3:$H$102,4,FALSE),VLOOKUP(Z$1,main!$A$3:$H$102,4,FALSE)+VLOOKUP($A23,main!$A$3:$H$102,4,FALSE)+(VLOOKUP(VLOOKUP(Z$1,main!$A$3:$H$102,8,FALSE),main!$K$19:$O$22,MATCH(VLOOKUP($A23,main!$A$3:$H$102,7,FALSE),main!$K$18:$O$18,0),0))),0)</f>
        <v>315</v>
      </c>
      <c r="AA23">
        <f>IF((gamma!AA23),IF(VLOOKUP(AA$1,main!$A$3:$H$102,7,FALSE)=VLOOKUP($A23,main!$A$3:$H$102,8,FALSE),VLOOKUP(AA$1,main!$A$3:$H$102,4,FALSE),VLOOKUP(AA$1,main!$A$3:$H$102,4,FALSE)+VLOOKUP($A23,main!$A$3:$H$102,4,FALSE)+(VLOOKUP(VLOOKUP(AA$1,main!$A$3:$H$102,8,FALSE),main!$K$19:$O$22,MATCH(VLOOKUP($A23,main!$A$3:$H$102,7,FALSE),main!$K$18:$O$18,0),0))),0)</f>
        <v>315</v>
      </c>
      <c r="AB23">
        <f>IF((gamma!AB23),IF(VLOOKUP(AB$1,main!$A$3:$H$102,7,FALSE)=VLOOKUP($A23,main!$A$3:$H$102,8,FALSE),VLOOKUP(AB$1,main!$A$3:$H$102,4,FALSE),VLOOKUP(AB$1,main!$A$3:$H$102,4,FALSE)+VLOOKUP($A23,main!$A$3:$H$102,4,FALSE)+(VLOOKUP(VLOOKUP(AB$1,main!$A$3:$H$102,8,FALSE),main!$K$19:$O$22,MATCH(VLOOKUP($A23,main!$A$3:$H$102,7,FALSE),main!$K$18:$O$18,0),0))),0)</f>
        <v>0</v>
      </c>
      <c r="AC23">
        <f>IF((gamma!AC23),IF(VLOOKUP(AC$1,main!$A$3:$H$102,7,FALSE)=VLOOKUP($A23,main!$A$3:$H$102,8,FALSE),VLOOKUP(AC$1,main!$A$3:$H$102,4,FALSE),VLOOKUP(AC$1,main!$A$3:$H$102,4,FALSE)+VLOOKUP($A23,main!$A$3:$H$102,4,FALSE)+(VLOOKUP(VLOOKUP(AC$1,main!$A$3:$H$102,8,FALSE),main!$K$19:$O$22,MATCH(VLOOKUP($A23,main!$A$3:$H$102,7,FALSE),main!$K$18:$O$18,0),0))),0)</f>
        <v>0</v>
      </c>
      <c r="AD23">
        <f>IF((gamma!AD23),IF(VLOOKUP(AD$1,main!$A$3:$H$102,7,FALSE)=VLOOKUP($A23,main!$A$3:$H$102,8,FALSE),VLOOKUP(AD$1,main!$A$3:$H$102,4,FALSE),VLOOKUP(AD$1,main!$A$3:$H$102,4,FALSE)+VLOOKUP($A23,main!$A$3:$H$102,4,FALSE)+(VLOOKUP(VLOOKUP(AD$1,main!$A$3:$H$102,8,FALSE),main!$K$19:$O$22,MATCH(VLOOKUP($A23,main!$A$3:$H$102,7,FALSE),main!$K$18:$O$18,0),0))),0)</f>
        <v>310</v>
      </c>
      <c r="AE23">
        <f>IF((gamma!AE23),IF(VLOOKUP(AE$1,main!$A$3:$H$102,7,FALSE)=VLOOKUP($A23,main!$A$3:$H$102,8,FALSE),VLOOKUP(AE$1,main!$A$3:$H$102,4,FALSE),VLOOKUP(AE$1,main!$A$3:$H$102,4,FALSE)+VLOOKUP($A23,main!$A$3:$H$102,4,FALSE)+(VLOOKUP(VLOOKUP(AE$1,main!$A$3:$H$102,8,FALSE),main!$K$19:$O$22,MATCH(VLOOKUP($A23,main!$A$3:$H$102,7,FALSE),main!$K$18:$O$18,0),0))),0)</f>
        <v>315</v>
      </c>
      <c r="AF23">
        <f>IF((gamma!AF23),IF(VLOOKUP(AF$1,main!$A$3:$H$102,7,FALSE)=VLOOKUP($A23,main!$A$3:$H$102,8,FALSE),VLOOKUP(AF$1,main!$A$3:$H$102,4,FALSE),VLOOKUP(AF$1,main!$A$3:$H$102,4,FALSE)+VLOOKUP($A23,main!$A$3:$H$102,4,FALSE)+(VLOOKUP(VLOOKUP(AF$1,main!$A$3:$H$102,8,FALSE),main!$K$19:$O$22,MATCH(VLOOKUP($A23,main!$A$3:$H$102,7,FALSE),main!$K$18:$O$18,0),0))),0)</f>
        <v>275</v>
      </c>
      <c r="AG23">
        <f>IF((gamma!AG23),IF(VLOOKUP(AG$1,main!$A$3:$H$102,7,FALSE)=VLOOKUP($A23,main!$A$3:$H$102,8,FALSE),VLOOKUP(AG$1,main!$A$3:$H$102,4,FALSE),VLOOKUP(AG$1,main!$A$3:$H$102,4,FALSE)+VLOOKUP($A23,main!$A$3:$H$102,4,FALSE)+(VLOOKUP(VLOOKUP(AG$1,main!$A$3:$H$102,8,FALSE),main!$K$19:$O$22,MATCH(VLOOKUP($A23,main!$A$3:$H$102,7,FALSE),main!$K$18:$O$18,0),0))),0)</f>
        <v>0</v>
      </c>
      <c r="AH23">
        <f>IF((gamma!AH23),IF(VLOOKUP(AH$1,main!$A$3:$H$102,7,FALSE)=VLOOKUP($A23,main!$A$3:$H$102,8,FALSE),VLOOKUP(AH$1,main!$A$3:$H$102,4,FALSE),VLOOKUP(AH$1,main!$A$3:$H$102,4,FALSE)+VLOOKUP($A23,main!$A$3:$H$102,4,FALSE)+(VLOOKUP(VLOOKUP(AH$1,main!$A$3:$H$102,8,FALSE),main!$K$19:$O$22,MATCH(VLOOKUP($A23,main!$A$3:$H$102,7,FALSE),main!$K$18:$O$18,0),0))),0)</f>
        <v>0</v>
      </c>
      <c r="AI23">
        <f>IF((gamma!AI23),IF(VLOOKUP(AI$1,main!$A$3:$H$102,7,FALSE)=VLOOKUP($A23,main!$A$3:$H$102,8,FALSE),VLOOKUP(AI$1,main!$A$3:$H$102,4,FALSE),VLOOKUP(AI$1,main!$A$3:$H$102,4,FALSE)+VLOOKUP($A23,main!$A$3:$H$102,4,FALSE)+(VLOOKUP(VLOOKUP(AI$1,main!$A$3:$H$102,8,FALSE),main!$K$19:$O$22,MATCH(VLOOKUP($A23,main!$A$3:$H$102,7,FALSE),main!$K$18:$O$18,0),0))),0)</f>
        <v>0</v>
      </c>
      <c r="AJ23">
        <f>IF((gamma!AJ23),IF(VLOOKUP(AJ$1,main!$A$3:$H$102,7,FALSE)=VLOOKUP($A23,main!$A$3:$H$102,8,FALSE),VLOOKUP(AJ$1,main!$A$3:$H$102,4,FALSE),VLOOKUP(AJ$1,main!$A$3:$H$102,4,FALSE)+VLOOKUP($A23,main!$A$3:$H$102,4,FALSE)+(VLOOKUP(VLOOKUP(AJ$1,main!$A$3:$H$102,8,FALSE),main!$K$19:$O$22,MATCH(VLOOKUP($A23,main!$A$3:$H$102,7,FALSE),main!$K$18:$O$18,0),0))),0)</f>
        <v>275</v>
      </c>
      <c r="AK23">
        <f>IF((gamma!AK23),IF(VLOOKUP(AK$1,main!$A$3:$H$102,7,FALSE)=VLOOKUP($A23,main!$A$3:$H$102,8,FALSE),VLOOKUP(AK$1,main!$A$3:$H$102,4,FALSE),VLOOKUP(AK$1,main!$A$3:$H$102,4,FALSE)+VLOOKUP($A23,main!$A$3:$H$102,4,FALSE)+(VLOOKUP(VLOOKUP(AK$1,main!$A$3:$H$102,8,FALSE),main!$K$19:$O$22,MATCH(VLOOKUP($A23,main!$A$3:$H$102,7,FALSE),main!$K$18:$O$18,0),0))),0)</f>
        <v>275</v>
      </c>
      <c r="AL23">
        <f>IF((gamma!AL23),IF(VLOOKUP(AL$1,main!$A$3:$H$102,7,FALSE)=VLOOKUP($A23,main!$A$3:$H$102,8,FALSE),VLOOKUP(AL$1,main!$A$3:$H$102,4,FALSE),VLOOKUP(AL$1,main!$A$3:$H$102,4,FALSE)+VLOOKUP($A23,main!$A$3:$H$102,4,FALSE)+(VLOOKUP(VLOOKUP(AL$1,main!$A$3:$H$102,8,FALSE),main!$K$19:$O$22,MATCH(VLOOKUP($A23,main!$A$3:$H$102,7,FALSE),main!$K$18:$O$18,0),0))),0)</f>
        <v>275</v>
      </c>
      <c r="AM23">
        <f>IF((gamma!AM23),IF(VLOOKUP(AM$1,main!$A$3:$H$102,7,FALSE)=VLOOKUP($A23,main!$A$3:$H$102,8,FALSE),VLOOKUP(AM$1,main!$A$3:$H$102,4,FALSE),VLOOKUP(AM$1,main!$A$3:$H$102,4,FALSE)+VLOOKUP($A23,main!$A$3:$H$102,4,FALSE)+(VLOOKUP(VLOOKUP(AM$1,main!$A$3:$H$102,8,FALSE),main!$K$19:$O$22,MATCH(VLOOKUP($A23,main!$A$3:$H$102,7,FALSE),main!$K$18:$O$18,0),0))),0)</f>
        <v>275</v>
      </c>
      <c r="AN23">
        <f>IF((gamma!AN23),IF(VLOOKUP(AN$1,main!$A$3:$H$102,7,FALSE)=VLOOKUP($A23,main!$A$3:$H$102,8,FALSE),VLOOKUP(AN$1,main!$A$3:$H$102,4,FALSE),VLOOKUP(AN$1,main!$A$3:$H$102,4,FALSE)+VLOOKUP($A23,main!$A$3:$H$102,4,FALSE)+(VLOOKUP(VLOOKUP(AN$1,main!$A$3:$H$102,8,FALSE),main!$K$19:$O$22,MATCH(VLOOKUP($A23,main!$A$3:$H$102,7,FALSE),main!$K$18:$O$18,0),0))),0)</f>
        <v>275</v>
      </c>
      <c r="AO23">
        <f>IF((gamma!AO23),IF(VLOOKUP(AO$1,main!$A$3:$H$102,7,FALSE)=VLOOKUP($A23,main!$A$3:$H$102,8,FALSE),VLOOKUP(AO$1,main!$A$3:$H$102,4,FALSE),VLOOKUP(AO$1,main!$A$3:$H$102,4,FALSE)+VLOOKUP($A23,main!$A$3:$H$102,4,FALSE)+(VLOOKUP(VLOOKUP(AO$1,main!$A$3:$H$102,8,FALSE),main!$K$19:$O$22,MATCH(VLOOKUP($A23,main!$A$3:$H$102,7,FALSE),main!$K$18:$O$18,0),0))),0)</f>
        <v>0</v>
      </c>
      <c r="AP23">
        <f>IF((gamma!AP23),IF(VLOOKUP(AP$1,main!$A$3:$H$102,7,FALSE)=VLOOKUP($A23,main!$A$3:$H$102,8,FALSE),VLOOKUP(AP$1,main!$A$3:$H$102,4,FALSE),VLOOKUP(AP$1,main!$A$3:$H$102,4,FALSE)+VLOOKUP($A23,main!$A$3:$H$102,4,FALSE)+(VLOOKUP(VLOOKUP(AP$1,main!$A$3:$H$102,8,FALSE),main!$K$19:$O$22,MATCH(VLOOKUP($A23,main!$A$3:$H$102,7,FALSE),main!$K$18:$O$18,0),0))),0)</f>
        <v>215</v>
      </c>
      <c r="AQ23">
        <f>IF((gamma!AQ23),IF(VLOOKUP(AQ$1,main!$A$3:$H$102,7,FALSE)=VLOOKUP($A23,main!$A$3:$H$102,8,FALSE),VLOOKUP(AQ$1,main!$A$3:$H$102,4,FALSE),VLOOKUP(AQ$1,main!$A$3:$H$102,4,FALSE)+VLOOKUP($A23,main!$A$3:$H$102,4,FALSE)+(VLOOKUP(VLOOKUP(AQ$1,main!$A$3:$H$102,8,FALSE),main!$K$19:$O$22,MATCH(VLOOKUP($A23,main!$A$3:$H$102,7,FALSE),main!$K$18:$O$18,0),0))),0)</f>
        <v>0</v>
      </c>
      <c r="AR23">
        <f>IF((gamma!AR23),IF(VLOOKUP(AR$1,main!$A$3:$H$102,7,FALSE)=VLOOKUP($A23,main!$A$3:$H$102,8,FALSE),VLOOKUP(AR$1,main!$A$3:$H$102,4,FALSE),VLOOKUP(AR$1,main!$A$3:$H$102,4,FALSE)+VLOOKUP($A23,main!$A$3:$H$102,4,FALSE)+(VLOOKUP(VLOOKUP(AR$1,main!$A$3:$H$102,8,FALSE),main!$K$19:$O$22,MATCH(VLOOKUP($A23,main!$A$3:$H$102,7,FALSE),main!$K$18:$O$18,0),0))),0)</f>
        <v>0</v>
      </c>
      <c r="AS23">
        <f>IF((gamma!AS23),IF(VLOOKUP(AS$1,main!$A$3:$H$102,7,FALSE)=VLOOKUP($A23,main!$A$3:$H$102,8,FALSE),VLOOKUP(AS$1,main!$A$3:$H$102,4,FALSE),VLOOKUP(AS$1,main!$A$3:$H$102,4,FALSE)+VLOOKUP($A23,main!$A$3:$H$102,4,FALSE)+(VLOOKUP(VLOOKUP(AS$1,main!$A$3:$H$102,8,FALSE),main!$K$19:$O$22,MATCH(VLOOKUP($A23,main!$A$3:$H$102,7,FALSE),main!$K$18:$O$18,0),0))),0)</f>
        <v>290</v>
      </c>
      <c r="AT23">
        <f>IF((gamma!AT23),IF(VLOOKUP(AT$1,main!$A$3:$H$102,7,FALSE)=VLOOKUP($A23,main!$A$3:$H$102,8,FALSE),VLOOKUP(AT$1,main!$A$3:$H$102,4,FALSE),VLOOKUP(AT$1,main!$A$3:$H$102,4,FALSE)+VLOOKUP($A23,main!$A$3:$H$102,4,FALSE)+(VLOOKUP(VLOOKUP(AT$1,main!$A$3:$H$102,8,FALSE),main!$K$19:$O$22,MATCH(VLOOKUP($A23,main!$A$3:$H$102,7,FALSE),main!$K$18:$O$18,0),0))),0)</f>
        <v>300</v>
      </c>
      <c r="AU23">
        <f>IF((gamma!AU23),IF(VLOOKUP(AU$1,main!$A$3:$H$102,7,FALSE)=VLOOKUP($A23,main!$A$3:$H$102,8,FALSE),VLOOKUP(AU$1,main!$A$3:$H$102,4,FALSE),VLOOKUP(AU$1,main!$A$3:$H$102,4,FALSE)+VLOOKUP($A23,main!$A$3:$H$102,4,FALSE)+(VLOOKUP(VLOOKUP(AU$1,main!$A$3:$H$102,8,FALSE),main!$K$19:$O$22,MATCH(VLOOKUP($A23,main!$A$3:$H$102,7,FALSE),main!$K$18:$O$18,0),0))),0)</f>
        <v>0</v>
      </c>
      <c r="AV23">
        <f>IF((gamma!AV23),IF(VLOOKUP(AV$1,main!$A$3:$H$102,7,FALSE)=VLOOKUP($A23,main!$A$3:$H$102,8,FALSE),VLOOKUP(AV$1,main!$A$3:$H$102,4,FALSE),VLOOKUP(AV$1,main!$A$3:$H$102,4,FALSE)+VLOOKUP($A23,main!$A$3:$H$102,4,FALSE)+(VLOOKUP(VLOOKUP(AV$1,main!$A$3:$H$102,8,FALSE),main!$K$19:$O$22,MATCH(VLOOKUP($A23,main!$A$3:$H$102,7,FALSE),main!$K$18:$O$18,0),0))),0)</f>
        <v>0</v>
      </c>
      <c r="AW23">
        <f>IF((gamma!AW23),IF(VLOOKUP(AW$1,main!$A$3:$H$102,7,FALSE)=VLOOKUP($A23,main!$A$3:$H$102,8,FALSE),VLOOKUP(AW$1,main!$A$3:$H$102,4,FALSE),VLOOKUP(AW$1,main!$A$3:$H$102,4,FALSE)+VLOOKUP($A23,main!$A$3:$H$102,4,FALSE)+(VLOOKUP(VLOOKUP(AW$1,main!$A$3:$H$102,8,FALSE),main!$K$19:$O$22,MATCH(VLOOKUP($A23,main!$A$3:$H$102,7,FALSE),main!$K$18:$O$18,0),0))),0)</f>
        <v>290</v>
      </c>
      <c r="AX23">
        <f>IF((gamma!AX23),IF(VLOOKUP(AX$1,main!$A$3:$H$102,7,FALSE)=VLOOKUP($A23,main!$A$3:$H$102,8,FALSE),VLOOKUP(AX$1,main!$A$3:$H$102,4,FALSE),VLOOKUP(AX$1,main!$A$3:$H$102,4,FALSE)+VLOOKUP($A23,main!$A$3:$H$102,4,FALSE)+(VLOOKUP(VLOOKUP(AX$1,main!$A$3:$H$102,8,FALSE),main!$K$19:$O$22,MATCH(VLOOKUP($A23,main!$A$3:$H$102,7,FALSE),main!$K$18:$O$18,0),0))),0)</f>
        <v>0</v>
      </c>
      <c r="AY23">
        <f>IF((gamma!AY23),IF(VLOOKUP(AY$1,main!$A$3:$H$102,7,FALSE)=VLOOKUP($A23,main!$A$3:$H$102,8,FALSE),VLOOKUP(AY$1,main!$A$3:$H$102,4,FALSE),VLOOKUP(AY$1,main!$A$3:$H$102,4,FALSE)+VLOOKUP($A23,main!$A$3:$H$102,4,FALSE)+(VLOOKUP(VLOOKUP(AY$1,main!$A$3:$H$102,8,FALSE),main!$K$19:$O$22,MATCH(VLOOKUP($A23,main!$A$3:$H$102,7,FALSE),main!$K$18:$O$18,0),0))),0)</f>
        <v>0</v>
      </c>
      <c r="AZ23">
        <f>IF((gamma!AZ23),IF(VLOOKUP(AZ$1,main!$A$3:$H$102,7,FALSE)=VLOOKUP($A23,main!$A$3:$H$102,8,FALSE),VLOOKUP(AZ$1,main!$A$3:$H$102,4,FALSE),VLOOKUP(AZ$1,main!$A$3:$H$102,4,FALSE)+VLOOKUP($A23,main!$A$3:$H$102,4,FALSE)+(VLOOKUP(VLOOKUP(AZ$1,main!$A$3:$H$102,8,FALSE),main!$K$19:$O$22,MATCH(VLOOKUP($A23,main!$A$3:$H$102,7,FALSE),main!$K$18:$O$18,0),0))),0)</f>
        <v>0</v>
      </c>
      <c r="BA23">
        <f>IF((gamma!BA23),IF(VLOOKUP(BA$1,main!$A$3:$H$102,7,FALSE)=VLOOKUP($A23,main!$A$3:$H$102,8,FALSE),VLOOKUP(BA$1,main!$A$3:$H$102,4,FALSE),VLOOKUP(BA$1,main!$A$3:$H$102,4,FALSE)+VLOOKUP($A23,main!$A$3:$H$102,4,FALSE)+(VLOOKUP(VLOOKUP(BA$1,main!$A$3:$H$102,8,FALSE),main!$K$19:$O$22,MATCH(VLOOKUP($A23,main!$A$3:$H$102,7,FALSE),main!$K$18:$O$18,0),0))),0)</f>
        <v>0</v>
      </c>
      <c r="BB23">
        <f>IF((gamma!BB23),IF(VLOOKUP(BB$1,main!$A$3:$H$102,7,FALSE)=VLOOKUP($A23,main!$A$3:$H$102,8,FALSE),VLOOKUP(BB$1,main!$A$3:$H$102,4,FALSE),VLOOKUP(BB$1,main!$A$3:$H$102,4,FALSE)+VLOOKUP($A23,main!$A$3:$H$102,4,FALSE)+(VLOOKUP(VLOOKUP(BB$1,main!$A$3:$H$102,8,FALSE),main!$K$19:$O$22,MATCH(VLOOKUP($A23,main!$A$3:$H$102,7,FALSE),main!$K$18:$O$18,0),0))),0)</f>
        <v>0</v>
      </c>
      <c r="BC23">
        <f>IF((gamma!BC23),IF(VLOOKUP(BC$1,main!$A$3:$H$102,7,FALSE)=VLOOKUP($A23,main!$A$3:$H$102,8,FALSE),VLOOKUP(BC$1,main!$A$3:$H$102,4,FALSE),VLOOKUP(BC$1,main!$A$3:$H$102,4,FALSE)+VLOOKUP($A23,main!$A$3:$H$102,4,FALSE)+(VLOOKUP(VLOOKUP(BC$1,main!$A$3:$H$102,8,FALSE),main!$K$19:$O$22,MATCH(VLOOKUP($A23,main!$A$3:$H$102,7,FALSE),main!$K$18:$O$18,0),0))),0)</f>
        <v>280</v>
      </c>
      <c r="BD23">
        <f>IF((gamma!BD23),IF(VLOOKUP(BD$1,main!$A$3:$H$102,7,FALSE)=VLOOKUP($A23,main!$A$3:$H$102,8,FALSE),VLOOKUP(BD$1,main!$A$3:$H$102,4,FALSE),VLOOKUP(BD$1,main!$A$3:$H$102,4,FALSE)+VLOOKUP($A23,main!$A$3:$H$102,4,FALSE)+(VLOOKUP(VLOOKUP(BD$1,main!$A$3:$H$102,8,FALSE),main!$K$19:$O$22,MATCH(VLOOKUP($A23,main!$A$3:$H$102,7,FALSE),main!$K$18:$O$18,0),0))),0)</f>
        <v>280</v>
      </c>
      <c r="BE23">
        <f>IF((gamma!BE23),IF(VLOOKUP(BE$1,main!$A$3:$H$102,7,FALSE)=VLOOKUP($A23,main!$A$3:$H$102,8,FALSE),VLOOKUP(BE$1,main!$A$3:$H$102,4,FALSE),VLOOKUP(BE$1,main!$A$3:$H$102,4,FALSE)+VLOOKUP($A23,main!$A$3:$H$102,4,FALSE)+(VLOOKUP(VLOOKUP(BE$1,main!$A$3:$H$102,8,FALSE),main!$K$19:$O$22,MATCH(VLOOKUP($A23,main!$A$3:$H$102,7,FALSE),main!$K$18:$O$18,0),0))),0)</f>
        <v>280</v>
      </c>
      <c r="BF23">
        <f>IF((gamma!BF23),IF(VLOOKUP(BF$1,main!$A$3:$H$102,7,FALSE)=VLOOKUP($A23,main!$A$3:$H$102,8,FALSE),VLOOKUP(BF$1,main!$A$3:$H$102,4,FALSE),VLOOKUP(BF$1,main!$A$3:$H$102,4,FALSE)+VLOOKUP($A23,main!$A$3:$H$102,4,FALSE)+(VLOOKUP(VLOOKUP(BF$1,main!$A$3:$H$102,8,FALSE),main!$K$19:$O$22,MATCH(VLOOKUP($A23,main!$A$3:$H$102,7,FALSE),main!$K$18:$O$18,0),0))),0)</f>
        <v>0</v>
      </c>
      <c r="BG23">
        <f>IF((gamma!BG23),IF(VLOOKUP(BG$1,main!$A$3:$H$102,7,FALSE)=VLOOKUP($A23,main!$A$3:$H$102,8,FALSE),VLOOKUP(BG$1,main!$A$3:$H$102,4,FALSE),VLOOKUP(BG$1,main!$A$3:$H$102,4,FALSE)+VLOOKUP($A23,main!$A$3:$H$102,4,FALSE)+(VLOOKUP(VLOOKUP(BG$1,main!$A$3:$H$102,8,FALSE),main!$K$19:$O$22,MATCH(VLOOKUP($A23,main!$A$3:$H$102,7,FALSE),main!$K$18:$O$18,0),0))),0)</f>
        <v>0</v>
      </c>
      <c r="BH23">
        <f>IF((gamma!BH23),IF(VLOOKUP(BH$1,main!$A$3:$H$102,7,FALSE)=VLOOKUP($A23,main!$A$3:$H$102,8,FALSE),VLOOKUP(BH$1,main!$A$3:$H$102,4,FALSE),VLOOKUP(BH$1,main!$A$3:$H$102,4,FALSE)+VLOOKUP($A23,main!$A$3:$H$102,4,FALSE)+(VLOOKUP(VLOOKUP(BH$1,main!$A$3:$H$102,8,FALSE),main!$K$19:$O$22,MATCH(VLOOKUP($A23,main!$A$3:$H$102,7,FALSE),main!$K$18:$O$18,0),0))),0)</f>
        <v>265</v>
      </c>
      <c r="BI23">
        <f>IF((gamma!BI23),IF(VLOOKUP(BI$1,main!$A$3:$H$102,7,FALSE)=VLOOKUP($A23,main!$A$3:$H$102,8,FALSE),VLOOKUP(BI$1,main!$A$3:$H$102,4,FALSE),VLOOKUP(BI$1,main!$A$3:$H$102,4,FALSE)+VLOOKUP($A23,main!$A$3:$H$102,4,FALSE)+(VLOOKUP(VLOOKUP(BI$1,main!$A$3:$H$102,8,FALSE),main!$K$19:$O$22,MATCH(VLOOKUP($A23,main!$A$3:$H$102,7,FALSE),main!$K$18:$O$18,0),0))),0)</f>
        <v>200</v>
      </c>
      <c r="BJ23">
        <f>IF((gamma!BJ23),IF(VLOOKUP(BJ$1,main!$A$3:$H$102,7,FALSE)=VLOOKUP($A23,main!$A$3:$H$102,8,FALSE),VLOOKUP(BJ$1,main!$A$3:$H$102,4,FALSE),VLOOKUP(BJ$1,main!$A$3:$H$102,4,FALSE)+VLOOKUP($A23,main!$A$3:$H$102,4,FALSE)+(VLOOKUP(VLOOKUP(BJ$1,main!$A$3:$H$102,8,FALSE),main!$K$19:$O$22,MATCH(VLOOKUP($A23,main!$A$3:$H$102,7,FALSE),main!$K$18:$O$18,0),0))),0)</f>
        <v>230</v>
      </c>
      <c r="BK23">
        <f>IF((gamma!BK23),IF(VLOOKUP(BK$1,main!$A$3:$H$102,7,FALSE)=VLOOKUP($A23,main!$A$3:$H$102,8,FALSE),VLOOKUP(BK$1,main!$A$3:$H$102,4,FALSE),VLOOKUP(BK$1,main!$A$3:$H$102,4,FALSE)+VLOOKUP($A23,main!$A$3:$H$102,4,FALSE)+(VLOOKUP(VLOOKUP(BK$1,main!$A$3:$H$102,8,FALSE),main!$K$19:$O$22,MATCH(VLOOKUP($A23,main!$A$3:$H$102,7,FALSE),main!$K$18:$O$18,0),0))),0)</f>
        <v>0</v>
      </c>
      <c r="BL23">
        <f>IF((gamma!BL23),IF(VLOOKUP(BL$1,main!$A$3:$H$102,7,FALSE)=VLOOKUP($A23,main!$A$3:$H$102,8,FALSE),VLOOKUP(BL$1,main!$A$3:$H$102,4,FALSE),VLOOKUP(BL$1,main!$A$3:$H$102,4,FALSE)+VLOOKUP($A23,main!$A$3:$H$102,4,FALSE)+(VLOOKUP(VLOOKUP(BL$1,main!$A$3:$H$102,8,FALSE),main!$K$19:$O$22,MATCH(VLOOKUP($A23,main!$A$3:$H$102,7,FALSE),main!$K$18:$O$18,0),0))),0)</f>
        <v>0</v>
      </c>
      <c r="BM23">
        <f>IF((gamma!BM23),IF(VLOOKUP(BM$1,main!$A$3:$H$102,7,FALSE)=VLOOKUP($A23,main!$A$3:$H$102,8,FALSE),VLOOKUP(BM$1,main!$A$3:$H$102,4,FALSE),VLOOKUP(BM$1,main!$A$3:$H$102,4,FALSE)+VLOOKUP($A23,main!$A$3:$H$102,4,FALSE)+(VLOOKUP(VLOOKUP(BM$1,main!$A$3:$H$102,8,FALSE),main!$K$19:$O$22,MATCH(VLOOKUP($A23,main!$A$3:$H$102,7,FALSE),main!$K$18:$O$18,0),0))),0)</f>
        <v>0</v>
      </c>
      <c r="BN23">
        <f>IF((gamma!BN23),IF(VLOOKUP(BN$1,main!$A$3:$H$102,7,FALSE)=VLOOKUP($A23,main!$A$3:$H$102,8,FALSE),VLOOKUP(BN$1,main!$A$3:$H$102,4,FALSE),VLOOKUP(BN$1,main!$A$3:$H$102,4,FALSE)+VLOOKUP($A23,main!$A$3:$H$102,4,FALSE)+(VLOOKUP(VLOOKUP(BN$1,main!$A$3:$H$102,8,FALSE),main!$K$19:$O$22,MATCH(VLOOKUP($A23,main!$A$3:$H$102,7,FALSE),main!$K$18:$O$18,0),0))),0)</f>
        <v>285</v>
      </c>
      <c r="BO23">
        <f>IF((gamma!BO23),IF(VLOOKUP(BO$1,main!$A$3:$H$102,7,FALSE)=VLOOKUP($A23,main!$A$3:$H$102,8,FALSE),VLOOKUP(BO$1,main!$A$3:$H$102,4,FALSE),VLOOKUP(BO$1,main!$A$3:$H$102,4,FALSE)+VLOOKUP($A23,main!$A$3:$H$102,4,FALSE)+(VLOOKUP(VLOOKUP(BO$1,main!$A$3:$H$102,8,FALSE),main!$K$19:$O$22,MATCH(VLOOKUP($A23,main!$A$3:$H$102,7,FALSE),main!$K$18:$O$18,0),0))),0)</f>
        <v>0</v>
      </c>
      <c r="BP23">
        <f>IF((gamma!BP23),IF(VLOOKUP(BP$1,main!$A$3:$H$102,7,FALSE)=VLOOKUP($A23,main!$A$3:$H$102,8,FALSE),VLOOKUP(BP$1,main!$A$3:$H$102,4,FALSE),VLOOKUP(BP$1,main!$A$3:$H$102,4,FALSE)+VLOOKUP($A23,main!$A$3:$H$102,4,FALSE)+(VLOOKUP(VLOOKUP(BP$1,main!$A$3:$H$102,8,FALSE),main!$K$19:$O$22,MATCH(VLOOKUP($A23,main!$A$3:$H$102,7,FALSE),main!$K$18:$O$18,0),0))),0)</f>
        <v>0</v>
      </c>
      <c r="BQ23">
        <f>IF((gamma!BQ23),IF(VLOOKUP(BQ$1,main!$A$3:$H$102,7,FALSE)=VLOOKUP($A23,main!$A$3:$H$102,8,FALSE),VLOOKUP(BQ$1,main!$A$3:$H$102,4,FALSE),VLOOKUP(BQ$1,main!$A$3:$H$102,4,FALSE)+VLOOKUP($A23,main!$A$3:$H$102,4,FALSE)+(VLOOKUP(VLOOKUP(BQ$1,main!$A$3:$H$102,8,FALSE),main!$K$19:$O$22,MATCH(VLOOKUP($A23,main!$A$3:$H$102,7,FALSE),main!$K$18:$O$18,0),0))),0)</f>
        <v>305</v>
      </c>
      <c r="BR23">
        <f>IF((gamma!BR23),IF(VLOOKUP(BR$1,main!$A$3:$H$102,7,FALSE)=VLOOKUP($A23,main!$A$3:$H$102,8,FALSE),VLOOKUP(BR$1,main!$A$3:$H$102,4,FALSE),VLOOKUP(BR$1,main!$A$3:$H$102,4,FALSE)+VLOOKUP($A23,main!$A$3:$H$102,4,FALSE)+(VLOOKUP(VLOOKUP(BR$1,main!$A$3:$H$102,8,FALSE),main!$K$19:$O$22,MATCH(VLOOKUP($A23,main!$A$3:$H$102,7,FALSE),main!$K$18:$O$18,0),0))),0)</f>
        <v>265</v>
      </c>
      <c r="BS23">
        <f>IF((gamma!BS23),IF(VLOOKUP(BS$1,main!$A$3:$H$102,7,FALSE)=VLOOKUP($A23,main!$A$3:$H$102,8,FALSE),VLOOKUP(BS$1,main!$A$3:$H$102,4,FALSE),VLOOKUP(BS$1,main!$A$3:$H$102,4,FALSE)+VLOOKUP($A23,main!$A$3:$H$102,4,FALSE)+(VLOOKUP(VLOOKUP(BS$1,main!$A$3:$H$102,8,FALSE),main!$K$19:$O$22,MATCH(VLOOKUP($A23,main!$A$3:$H$102,7,FALSE),main!$K$18:$O$18,0),0))),0)</f>
        <v>266</v>
      </c>
      <c r="BT23">
        <f>IF((gamma!BT23),IF(VLOOKUP(BT$1,main!$A$3:$H$102,7,FALSE)=VLOOKUP($A23,main!$A$3:$H$102,8,FALSE),VLOOKUP(BT$1,main!$A$3:$H$102,4,FALSE),VLOOKUP(BT$1,main!$A$3:$H$102,4,FALSE)+VLOOKUP($A23,main!$A$3:$H$102,4,FALSE)+(VLOOKUP(VLOOKUP(BT$1,main!$A$3:$H$102,8,FALSE),main!$K$19:$O$22,MATCH(VLOOKUP($A23,main!$A$3:$H$102,7,FALSE),main!$K$18:$O$18,0),0))),0)</f>
        <v>285</v>
      </c>
      <c r="BU23">
        <f>IF((gamma!BU23),IF(VLOOKUP(BU$1,main!$A$3:$H$102,7,FALSE)=VLOOKUP($A23,main!$A$3:$H$102,8,FALSE),VLOOKUP(BU$1,main!$A$3:$H$102,4,FALSE),VLOOKUP(BU$1,main!$A$3:$H$102,4,FALSE)+VLOOKUP($A23,main!$A$3:$H$102,4,FALSE)+(VLOOKUP(VLOOKUP(BU$1,main!$A$3:$H$102,8,FALSE),main!$K$19:$O$22,MATCH(VLOOKUP($A23,main!$A$3:$H$102,7,FALSE),main!$K$18:$O$18,0),0))),0)</f>
        <v>0</v>
      </c>
      <c r="BV23">
        <f>IF((gamma!BV23),IF(VLOOKUP(BV$1,main!$A$3:$H$102,7,FALSE)=VLOOKUP($A23,main!$A$3:$H$102,8,FALSE),VLOOKUP(BV$1,main!$A$3:$H$102,4,FALSE),VLOOKUP(BV$1,main!$A$3:$H$102,4,FALSE)+VLOOKUP($A23,main!$A$3:$H$102,4,FALSE)+(VLOOKUP(VLOOKUP(BV$1,main!$A$3:$H$102,8,FALSE),main!$K$19:$O$22,MATCH(VLOOKUP($A23,main!$A$3:$H$102,7,FALSE),main!$K$18:$O$18,0),0))),0)</f>
        <v>0</v>
      </c>
      <c r="BW23">
        <f>IF((gamma!BW23),IF(VLOOKUP(BW$1,main!$A$3:$H$102,7,FALSE)=VLOOKUP($A23,main!$A$3:$H$102,8,FALSE),VLOOKUP(BW$1,main!$A$3:$H$102,4,FALSE),VLOOKUP(BW$1,main!$A$3:$H$102,4,FALSE)+VLOOKUP($A23,main!$A$3:$H$102,4,FALSE)+(VLOOKUP(VLOOKUP(BW$1,main!$A$3:$H$102,8,FALSE),main!$K$19:$O$22,MATCH(VLOOKUP($A23,main!$A$3:$H$102,7,FALSE),main!$K$18:$O$18,0),0))),0)</f>
        <v>0</v>
      </c>
      <c r="BX23">
        <f>IF((gamma!BX23),IF(VLOOKUP(BX$1,main!$A$3:$H$102,7,FALSE)=VLOOKUP($A23,main!$A$3:$H$102,8,FALSE),VLOOKUP(BX$1,main!$A$3:$H$102,4,FALSE),VLOOKUP(BX$1,main!$A$3:$H$102,4,FALSE)+VLOOKUP($A23,main!$A$3:$H$102,4,FALSE)+(VLOOKUP(VLOOKUP(BX$1,main!$A$3:$H$102,8,FALSE),main!$K$19:$O$22,MATCH(VLOOKUP($A23,main!$A$3:$H$102,7,FALSE),main!$K$18:$O$18,0),0))),0)</f>
        <v>310</v>
      </c>
      <c r="BY23">
        <f>IF((gamma!BY23),IF(VLOOKUP(BY$1,main!$A$3:$H$102,7,FALSE)=VLOOKUP($A23,main!$A$3:$H$102,8,FALSE),VLOOKUP(BY$1,main!$A$3:$H$102,4,FALSE),VLOOKUP(BY$1,main!$A$3:$H$102,4,FALSE)+VLOOKUP($A23,main!$A$3:$H$102,4,FALSE)+(VLOOKUP(VLOOKUP(BY$1,main!$A$3:$H$102,8,FALSE),main!$K$19:$O$22,MATCH(VLOOKUP($A23,main!$A$3:$H$102,7,FALSE),main!$K$18:$O$18,0),0))),0)</f>
        <v>295</v>
      </c>
      <c r="BZ23">
        <f>IF((gamma!BZ23),IF(VLOOKUP(BZ$1,main!$A$3:$H$102,7,FALSE)=VLOOKUP($A23,main!$A$3:$H$102,8,FALSE),VLOOKUP(BZ$1,main!$A$3:$H$102,4,FALSE),VLOOKUP(BZ$1,main!$A$3:$H$102,4,FALSE)+VLOOKUP($A23,main!$A$3:$H$102,4,FALSE)+(VLOOKUP(VLOOKUP(BZ$1,main!$A$3:$H$102,8,FALSE),main!$K$19:$O$22,MATCH(VLOOKUP($A23,main!$A$3:$H$102,7,FALSE),main!$K$18:$O$18,0),0))),0)</f>
        <v>0</v>
      </c>
      <c r="CA23">
        <f>IF((gamma!CA23),IF(VLOOKUP(CA$1,main!$A$3:$H$102,7,FALSE)=VLOOKUP($A23,main!$A$3:$H$102,8,FALSE),VLOOKUP(CA$1,main!$A$3:$H$102,4,FALSE),VLOOKUP(CA$1,main!$A$3:$H$102,4,FALSE)+VLOOKUP($A23,main!$A$3:$H$102,4,FALSE)+(VLOOKUP(VLOOKUP(CA$1,main!$A$3:$H$102,8,FALSE),main!$K$19:$O$22,MATCH(VLOOKUP($A23,main!$A$3:$H$102,7,FALSE),main!$K$18:$O$18,0),0))),0)</f>
        <v>0</v>
      </c>
      <c r="CB23">
        <f>IF((gamma!CB23),IF(VLOOKUP(CB$1,main!$A$3:$H$102,7,FALSE)=VLOOKUP($A23,main!$A$3:$H$102,8,FALSE),VLOOKUP(CB$1,main!$A$3:$H$102,4,FALSE),VLOOKUP(CB$1,main!$A$3:$H$102,4,FALSE)+VLOOKUP($A23,main!$A$3:$H$102,4,FALSE)+(VLOOKUP(VLOOKUP(CB$1,main!$A$3:$H$102,8,FALSE),main!$K$19:$O$22,MATCH(VLOOKUP($A23,main!$A$3:$H$102,7,FALSE),main!$K$18:$O$18,0),0))),0)</f>
        <v>240</v>
      </c>
      <c r="CC23">
        <f>IF((gamma!CC23),IF(VLOOKUP(CC$1,main!$A$3:$H$102,7,FALSE)=VLOOKUP($A23,main!$A$3:$H$102,8,FALSE),VLOOKUP(CC$1,main!$A$3:$H$102,4,FALSE),VLOOKUP(CC$1,main!$A$3:$H$102,4,FALSE)+VLOOKUP($A23,main!$A$3:$H$102,4,FALSE)+(VLOOKUP(VLOOKUP(CC$1,main!$A$3:$H$102,8,FALSE),main!$K$19:$O$22,MATCH(VLOOKUP($A23,main!$A$3:$H$102,7,FALSE),main!$K$18:$O$18,0),0))),0)</f>
        <v>230</v>
      </c>
      <c r="CD23">
        <f>IF((gamma!CD23),IF(VLOOKUP(CD$1,main!$A$3:$H$102,7,FALSE)=VLOOKUP($A23,main!$A$3:$H$102,8,FALSE),VLOOKUP(CD$1,main!$A$3:$H$102,4,FALSE),VLOOKUP(CD$1,main!$A$3:$H$102,4,FALSE)+VLOOKUP($A23,main!$A$3:$H$102,4,FALSE)+(VLOOKUP(VLOOKUP(CD$1,main!$A$3:$H$102,8,FALSE),main!$K$19:$O$22,MATCH(VLOOKUP($A23,main!$A$3:$H$102,7,FALSE),main!$K$18:$O$18,0),0))),0)</f>
        <v>289</v>
      </c>
      <c r="CE23">
        <f>IF((gamma!CE23),IF(VLOOKUP(CE$1,main!$A$3:$H$102,7,FALSE)=VLOOKUP($A23,main!$A$3:$H$102,8,FALSE),VLOOKUP(CE$1,main!$A$3:$H$102,4,FALSE),VLOOKUP(CE$1,main!$A$3:$H$102,4,FALSE)+VLOOKUP($A23,main!$A$3:$H$102,4,FALSE)+(VLOOKUP(VLOOKUP(CE$1,main!$A$3:$H$102,8,FALSE),main!$K$19:$O$22,MATCH(VLOOKUP($A23,main!$A$3:$H$102,7,FALSE),main!$K$18:$O$18,0),0))),0)</f>
        <v>140</v>
      </c>
      <c r="CF23">
        <f>IF((gamma!CF23),IF(VLOOKUP(CF$1,main!$A$3:$H$102,7,FALSE)=VLOOKUP($A23,main!$A$3:$H$102,8,FALSE),VLOOKUP(CF$1,main!$A$3:$H$102,4,FALSE),VLOOKUP(CF$1,main!$A$3:$H$102,4,FALSE)+VLOOKUP($A23,main!$A$3:$H$102,4,FALSE)+(VLOOKUP(VLOOKUP(CF$1,main!$A$3:$H$102,8,FALSE),main!$K$19:$O$22,MATCH(VLOOKUP($A23,main!$A$3:$H$102,7,FALSE),main!$K$18:$O$18,0),0))),0)</f>
        <v>135</v>
      </c>
      <c r="CG23">
        <f>IF((gamma!CG23),IF(VLOOKUP(CG$1,main!$A$3:$H$102,7,FALSE)=VLOOKUP($A23,main!$A$3:$H$102,8,FALSE),VLOOKUP(CG$1,main!$A$3:$H$102,4,FALSE),VLOOKUP(CG$1,main!$A$3:$H$102,4,FALSE)+VLOOKUP($A23,main!$A$3:$H$102,4,FALSE)+(VLOOKUP(VLOOKUP(CG$1,main!$A$3:$H$102,8,FALSE),main!$K$19:$O$22,MATCH(VLOOKUP($A23,main!$A$3:$H$102,7,FALSE),main!$K$18:$O$18,0),0))),0)</f>
        <v>140</v>
      </c>
      <c r="CH23">
        <f>IF((gamma!CH23),IF(VLOOKUP(CH$1,main!$A$3:$H$102,7,FALSE)=VLOOKUP($A23,main!$A$3:$H$102,8,FALSE),VLOOKUP(CH$1,main!$A$3:$H$102,4,FALSE),VLOOKUP(CH$1,main!$A$3:$H$102,4,FALSE)+VLOOKUP($A23,main!$A$3:$H$102,4,FALSE)+(VLOOKUP(VLOOKUP(CH$1,main!$A$3:$H$102,8,FALSE),main!$K$19:$O$22,MATCH(VLOOKUP($A23,main!$A$3:$H$102,7,FALSE),main!$K$18:$O$18,0),0))),0)</f>
        <v>140</v>
      </c>
      <c r="CI23">
        <f>IF((gamma!CI23),IF(VLOOKUP(CI$1,main!$A$3:$H$102,7,FALSE)=VLOOKUP($A23,main!$A$3:$H$102,8,FALSE),VLOOKUP(CI$1,main!$A$3:$H$102,4,FALSE),VLOOKUP(CI$1,main!$A$3:$H$102,4,FALSE)+VLOOKUP($A23,main!$A$3:$H$102,4,FALSE)+(VLOOKUP(VLOOKUP(CI$1,main!$A$3:$H$102,8,FALSE),main!$K$19:$O$22,MATCH(VLOOKUP($A23,main!$A$3:$H$102,7,FALSE),main!$K$18:$O$18,0),0))),0)</f>
        <v>140</v>
      </c>
      <c r="CJ23">
        <f>IF((gamma!CJ23),IF(VLOOKUP(CJ$1,main!$A$3:$H$102,7,FALSE)=VLOOKUP($A23,main!$A$3:$H$102,8,FALSE),VLOOKUP(CJ$1,main!$A$3:$H$102,4,FALSE),VLOOKUP(CJ$1,main!$A$3:$H$102,4,FALSE)+VLOOKUP($A23,main!$A$3:$H$102,4,FALSE)+(VLOOKUP(VLOOKUP(CJ$1,main!$A$3:$H$102,8,FALSE),main!$K$19:$O$22,MATCH(VLOOKUP($A23,main!$A$3:$H$102,7,FALSE),main!$K$18:$O$18,0),0))),0)</f>
        <v>68</v>
      </c>
      <c r="CK23">
        <f>IF((gamma!CK23),IF(VLOOKUP(CK$1,main!$A$3:$H$102,7,FALSE)=VLOOKUP($A23,main!$A$3:$H$102,8,FALSE),VLOOKUP(CK$1,main!$A$3:$H$102,4,FALSE),VLOOKUP(CK$1,main!$A$3:$H$102,4,FALSE)+VLOOKUP($A23,main!$A$3:$H$102,4,FALSE)+(VLOOKUP(VLOOKUP(CK$1,main!$A$3:$H$102,8,FALSE),main!$K$19:$O$22,MATCH(VLOOKUP($A23,main!$A$3:$H$102,7,FALSE),main!$K$18:$O$18,0),0))),0)</f>
        <v>0</v>
      </c>
      <c r="CL23">
        <f>IF((gamma!CL23),IF(VLOOKUP(CL$1,main!$A$3:$H$102,7,FALSE)=VLOOKUP($A23,main!$A$3:$H$102,8,FALSE),VLOOKUP(CL$1,main!$A$3:$H$102,4,FALSE),VLOOKUP(CL$1,main!$A$3:$H$102,4,FALSE)+VLOOKUP($A23,main!$A$3:$H$102,4,FALSE)+(VLOOKUP(VLOOKUP(CL$1,main!$A$3:$H$102,8,FALSE),main!$K$19:$O$22,MATCH(VLOOKUP($A23,main!$A$3:$H$102,7,FALSE),main!$K$18:$O$18,0),0))),0)</f>
        <v>80</v>
      </c>
      <c r="CM23">
        <f>IF((gamma!CM23),IF(VLOOKUP(CM$1,main!$A$3:$H$102,7,FALSE)=VLOOKUP($A23,main!$A$3:$H$102,8,FALSE),VLOOKUP(CM$1,main!$A$3:$H$102,4,FALSE),VLOOKUP(CM$1,main!$A$3:$H$102,4,FALSE)+VLOOKUP($A23,main!$A$3:$H$102,4,FALSE)+(VLOOKUP(VLOOKUP(CM$1,main!$A$3:$H$102,8,FALSE),main!$K$19:$O$22,MATCH(VLOOKUP($A23,main!$A$3:$H$102,7,FALSE),main!$K$18:$O$18,0),0))),0)</f>
        <v>100</v>
      </c>
      <c r="CN23">
        <f>IF((gamma!CN23),IF(VLOOKUP(CN$1,main!$A$3:$H$102,7,FALSE)=VLOOKUP($A23,main!$A$3:$H$102,8,FALSE),VLOOKUP(CN$1,main!$A$3:$H$102,4,FALSE),VLOOKUP(CN$1,main!$A$3:$H$102,4,FALSE)+VLOOKUP($A23,main!$A$3:$H$102,4,FALSE)+(VLOOKUP(VLOOKUP(CN$1,main!$A$3:$H$102,8,FALSE),main!$K$19:$O$22,MATCH(VLOOKUP($A23,main!$A$3:$H$102,7,FALSE),main!$K$18:$O$18,0),0))),0)</f>
        <v>96</v>
      </c>
      <c r="CO23">
        <f>IF((gamma!CO23),IF(VLOOKUP(CO$1,main!$A$3:$H$102,7,FALSE)=VLOOKUP($A23,main!$A$3:$H$102,8,FALSE),VLOOKUP(CO$1,main!$A$3:$H$102,4,FALSE),VLOOKUP(CO$1,main!$A$3:$H$102,4,FALSE)+VLOOKUP($A23,main!$A$3:$H$102,4,FALSE)+(VLOOKUP(VLOOKUP(CO$1,main!$A$3:$H$102,8,FALSE),main!$K$19:$O$22,MATCH(VLOOKUP($A23,main!$A$3:$H$102,7,FALSE),main!$K$18:$O$18,0),0))),0)</f>
        <v>0</v>
      </c>
      <c r="CP23">
        <f>IF((gamma!CP23),IF(VLOOKUP(CP$1,main!$A$3:$H$102,7,FALSE)=VLOOKUP($A23,main!$A$3:$H$102,8,FALSE),VLOOKUP(CP$1,main!$A$3:$H$102,4,FALSE),VLOOKUP(CP$1,main!$A$3:$H$102,4,FALSE)+VLOOKUP($A23,main!$A$3:$H$102,4,FALSE)+(VLOOKUP(VLOOKUP(CP$1,main!$A$3:$H$102,8,FALSE),main!$K$19:$O$22,MATCH(VLOOKUP($A23,main!$A$3:$H$102,7,FALSE),main!$K$18:$O$18,0),0))),0)</f>
        <v>120</v>
      </c>
      <c r="CQ23">
        <f>IF((gamma!CQ23),IF(VLOOKUP(CQ$1,main!$A$3:$H$102,7,FALSE)=VLOOKUP($A23,main!$A$3:$H$102,8,FALSE),VLOOKUP(CQ$1,main!$A$3:$H$102,4,FALSE),VLOOKUP(CQ$1,main!$A$3:$H$102,4,FALSE)+VLOOKUP($A23,main!$A$3:$H$102,4,FALSE)+(VLOOKUP(VLOOKUP(CQ$1,main!$A$3:$H$102,8,FALSE),main!$K$19:$O$22,MATCH(VLOOKUP($A23,main!$A$3:$H$102,7,FALSE),main!$K$18:$O$18,0),0))),0)</f>
        <v>120</v>
      </c>
      <c r="CR23">
        <f>IF((gamma!CR23),IF(VLOOKUP(CR$1,main!$A$3:$H$102,7,FALSE)=VLOOKUP($A23,main!$A$3:$H$102,8,FALSE),VLOOKUP(CR$1,main!$A$3:$H$102,4,FALSE),VLOOKUP(CR$1,main!$A$3:$H$102,4,FALSE)+VLOOKUP($A23,main!$A$3:$H$102,4,FALSE)+(VLOOKUP(VLOOKUP(CR$1,main!$A$3:$H$102,8,FALSE),main!$K$19:$O$22,MATCH(VLOOKUP($A23,main!$A$3:$H$102,7,FALSE),main!$K$18:$O$18,0),0))),0)</f>
        <v>135</v>
      </c>
      <c r="CS23">
        <f>IF((gamma!CS23),IF(VLOOKUP(CS$1,main!$A$3:$H$102,7,FALSE)=VLOOKUP($A23,main!$A$3:$H$102,8,FALSE),VLOOKUP(CS$1,main!$A$3:$H$102,4,FALSE),VLOOKUP(CS$1,main!$A$3:$H$102,4,FALSE)+VLOOKUP($A23,main!$A$3:$H$102,4,FALSE)+(VLOOKUP(VLOOKUP(CS$1,main!$A$3:$H$102,8,FALSE),main!$K$19:$O$22,MATCH(VLOOKUP($A23,main!$A$3:$H$102,7,FALSE),main!$K$18:$O$18,0),0))),0)</f>
        <v>135</v>
      </c>
      <c r="CT23">
        <f>IF((gamma!CT23),IF(VLOOKUP(CT$1,main!$A$3:$H$102,7,FALSE)=VLOOKUP($A23,main!$A$3:$H$102,8,FALSE),VLOOKUP(CT$1,main!$A$3:$H$102,4,FALSE),VLOOKUP(CT$1,main!$A$3:$H$102,4,FALSE)+VLOOKUP($A23,main!$A$3:$H$102,4,FALSE)+(VLOOKUP(VLOOKUP(CT$1,main!$A$3:$H$102,8,FALSE),main!$K$19:$O$22,MATCH(VLOOKUP($A23,main!$A$3:$H$102,7,FALSE),main!$K$18:$O$18,0),0))),0)</f>
        <v>0</v>
      </c>
      <c r="CU23">
        <f>IF((gamma!CU23),IF(VLOOKUP(CU$1,main!$A$3:$H$102,7,FALSE)=VLOOKUP($A23,main!$A$3:$H$102,8,FALSE),VLOOKUP(CU$1,main!$A$3:$H$102,4,FALSE),VLOOKUP(CU$1,main!$A$3:$H$102,4,FALSE)+VLOOKUP($A23,main!$A$3:$H$102,4,FALSE)+(VLOOKUP(VLOOKUP(CU$1,main!$A$3:$H$102,8,FALSE),main!$K$19:$O$22,MATCH(VLOOKUP($A23,main!$A$3:$H$102,7,FALSE),main!$K$18:$O$18,0),0))),0)</f>
        <v>0</v>
      </c>
      <c r="CV23">
        <f>IF((gamma!CV23),IF(VLOOKUP(CV$1,main!$A$3:$H$102,7,FALSE)=VLOOKUP($A23,main!$A$3:$H$102,8,FALSE),VLOOKUP(CV$1,main!$A$3:$H$102,4,FALSE),VLOOKUP(CV$1,main!$A$3:$H$102,4,FALSE)+VLOOKUP($A23,main!$A$3:$H$102,4,FALSE)+(VLOOKUP(VLOOKUP(CV$1,main!$A$3:$H$102,8,FALSE),main!$K$19:$O$22,MATCH(VLOOKUP($A23,main!$A$3:$H$102,7,FALSE),main!$K$18:$O$18,0),0))),0)</f>
        <v>80</v>
      </c>
      <c r="CW23">
        <f>IF((gamma!CW23),IF(VLOOKUP(CW$1,main!$A$3:$H$102,7,FALSE)=VLOOKUP($A23,main!$A$3:$H$102,8,FALSE),VLOOKUP(CW$1,main!$A$3:$H$102,4,FALSE),VLOOKUP(CW$1,main!$A$3:$H$102,4,FALSE)+VLOOKUP($A23,main!$A$3:$H$102,4,FALSE)+(VLOOKUP(VLOOKUP(CW$1,main!$A$3:$H$102,8,FALSE),main!$K$19:$O$22,MATCH(VLOOKUP($A23,main!$A$3:$H$102,7,FALSE),main!$K$18:$O$18,0),0))),0)</f>
        <v>95</v>
      </c>
      <c r="CX23">
        <f>IF((gamma!CX23),IF(VLOOKUP(CX$1,main!$A$3:$H$102,7,FALSE)=VLOOKUP($A23,main!$A$3:$H$102,8,FALSE),VLOOKUP(CX$1,main!$A$3:$H$102,4,FALSE),VLOOKUP(CX$1,main!$A$3:$H$102,4,FALSE)+VLOOKUP($A23,main!$A$3:$H$102,4,FALSE)+(VLOOKUP(VLOOKUP(CX$1,main!$A$3:$H$102,8,FALSE),main!$K$19:$O$22,MATCH(VLOOKUP($A23,main!$A$3:$H$102,7,FALSE),main!$K$18:$O$18,0),0))),0)</f>
        <v>85</v>
      </c>
      <c r="CY23">
        <v>0</v>
      </c>
      <c r="CZ23">
        <v>0</v>
      </c>
      <c r="DA23">
        <v>0</v>
      </c>
    </row>
    <row r="24" spans="1:105" x14ac:dyDescent="0.25">
      <c r="A24" s="1">
        <v>22</v>
      </c>
      <c r="B24">
        <v>0</v>
      </c>
      <c r="C24">
        <f>IF((gamma!C24),IF(VLOOKUP(C$1,main!$A$3:$H$102,7,FALSE)=VLOOKUP($A24,main!$A$3:$H$102,8,FALSE),VLOOKUP(C$1,main!$A$3:$H$102,4,FALSE),VLOOKUP(C$1,main!$A$3:$H$102,4,FALSE)+VLOOKUP($A24,main!$A$3:$H$102,4,FALSE)+(VLOOKUP(VLOOKUP(C$1,main!$A$3:$H$102,8,FALSE),main!$K$19:$O$22,MATCH(VLOOKUP($A24,main!$A$3:$H$102,7,FALSE),main!$K$18:$O$18,0),0))),0)</f>
        <v>0</v>
      </c>
      <c r="D24">
        <f>IF((gamma!D24),IF(VLOOKUP(D$1,main!$A$3:$H$102,7,FALSE)=VLOOKUP($A24,main!$A$3:$H$102,8,FALSE),VLOOKUP(D$1,main!$A$3:$H$102,4,FALSE),VLOOKUP(D$1,main!$A$3:$H$102,4,FALSE)+VLOOKUP($A24,main!$A$3:$H$102,4,FALSE)+(VLOOKUP(VLOOKUP(D$1,main!$A$3:$H$102,8,FALSE),main!$K$19:$O$22,MATCH(VLOOKUP($A24,main!$A$3:$H$102,7,FALSE),main!$K$18:$O$18,0),0))),0)</f>
        <v>0</v>
      </c>
      <c r="E24">
        <f>IF((gamma!E24),IF(VLOOKUP(E$1,main!$A$3:$H$102,7,FALSE)=VLOOKUP($A24,main!$A$3:$H$102,8,FALSE),VLOOKUP(E$1,main!$A$3:$H$102,4,FALSE),VLOOKUP(E$1,main!$A$3:$H$102,4,FALSE)+VLOOKUP($A24,main!$A$3:$H$102,4,FALSE)+(VLOOKUP(VLOOKUP(E$1,main!$A$3:$H$102,8,FALSE),main!$K$19:$O$22,MATCH(VLOOKUP($A24,main!$A$3:$H$102,7,FALSE),main!$K$18:$O$18,0),0))),0)</f>
        <v>0</v>
      </c>
      <c r="F24">
        <f>IF((gamma!F24),IF(VLOOKUP(F$1,main!$A$3:$H$102,7,FALSE)=VLOOKUP($A24,main!$A$3:$H$102,8,FALSE),VLOOKUP(F$1,main!$A$3:$H$102,4,FALSE),VLOOKUP(F$1,main!$A$3:$H$102,4,FALSE)+VLOOKUP($A24,main!$A$3:$H$102,4,FALSE)+(VLOOKUP(VLOOKUP(F$1,main!$A$3:$H$102,8,FALSE),main!$K$19:$O$22,MATCH(VLOOKUP($A24,main!$A$3:$H$102,7,FALSE),main!$K$18:$O$18,0),0))),0)</f>
        <v>0</v>
      </c>
      <c r="G24">
        <f>IF((gamma!G24),IF(VLOOKUP(G$1,main!$A$3:$H$102,7,FALSE)=VLOOKUP($A24,main!$A$3:$H$102,8,FALSE),VLOOKUP(G$1,main!$A$3:$H$102,4,FALSE),VLOOKUP(G$1,main!$A$3:$H$102,4,FALSE)+VLOOKUP($A24,main!$A$3:$H$102,4,FALSE)+(VLOOKUP(VLOOKUP(G$1,main!$A$3:$H$102,8,FALSE),main!$K$19:$O$22,MATCH(VLOOKUP($A24,main!$A$3:$H$102,7,FALSE),main!$K$18:$O$18,0),0))),0)</f>
        <v>300</v>
      </c>
      <c r="H24">
        <f>IF((gamma!H24),IF(VLOOKUP(H$1,main!$A$3:$H$102,7,FALSE)=VLOOKUP($A24,main!$A$3:$H$102,8,FALSE),VLOOKUP(H$1,main!$A$3:$H$102,4,FALSE),VLOOKUP(H$1,main!$A$3:$H$102,4,FALSE)+VLOOKUP($A24,main!$A$3:$H$102,4,FALSE)+(VLOOKUP(VLOOKUP(H$1,main!$A$3:$H$102,8,FALSE),main!$K$19:$O$22,MATCH(VLOOKUP($A24,main!$A$3:$H$102,7,FALSE),main!$K$18:$O$18,0),0))),0)</f>
        <v>300</v>
      </c>
      <c r="I24">
        <f>IF((gamma!I24),IF(VLOOKUP(I$1,main!$A$3:$H$102,7,FALSE)=VLOOKUP($A24,main!$A$3:$H$102,8,FALSE),VLOOKUP(I$1,main!$A$3:$H$102,4,FALSE),VLOOKUP(I$1,main!$A$3:$H$102,4,FALSE)+VLOOKUP($A24,main!$A$3:$H$102,4,FALSE)+(VLOOKUP(VLOOKUP(I$1,main!$A$3:$H$102,8,FALSE),main!$K$19:$O$22,MATCH(VLOOKUP($A24,main!$A$3:$H$102,7,FALSE),main!$K$18:$O$18,0),0))),0)</f>
        <v>300</v>
      </c>
      <c r="J24">
        <f>IF((gamma!J24),IF(VLOOKUP(J$1,main!$A$3:$H$102,7,FALSE)=VLOOKUP($A24,main!$A$3:$H$102,8,FALSE),VLOOKUP(J$1,main!$A$3:$H$102,4,FALSE),VLOOKUP(J$1,main!$A$3:$H$102,4,FALSE)+VLOOKUP($A24,main!$A$3:$H$102,4,FALSE)+(VLOOKUP(VLOOKUP(J$1,main!$A$3:$H$102,8,FALSE),main!$K$19:$O$22,MATCH(VLOOKUP($A24,main!$A$3:$H$102,7,FALSE),main!$K$18:$O$18,0),0))),0)</f>
        <v>300</v>
      </c>
      <c r="K24">
        <f>IF((gamma!K24),IF(VLOOKUP(K$1,main!$A$3:$H$102,7,FALSE)=VLOOKUP($A24,main!$A$3:$H$102,8,FALSE),VLOOKUP(K$1,main!$A$3:$H$102,4,FALSE),VLOOKUP(K$1,main!$A$3:$H$102,4,FALSE)+VLOOKUP($A24,main!$A$3:$H$102,4,FALSE)+(VLOOKUP(VLOOKUP(K$1,main!$A$3:$H$102,8,FALSE),main!$K$19:$O$22,MATCH(VLOOKUP($A24,main!$A$3:$H$102,7,FALSE),main!$K$18:$O$18,0),0))),0)</f>
        <v>300</v>
      </c>
      <c r="L24">
        <f>IF((gamma!L24),IF(VLOOKUP(L$1,main!$A$3:$H$102,7,FALSE)=VLOOKUP($A24,main!$A$3:$H$102,8,FALSE),VLOOKUP(L$1,main!$A$3:$H$102,4,FALSE),VLOOKUP(L$1,main!$A$3:$H$102,4,FALSE)+VLOOKUP($A24,main!$A$3:$H$102,4,FALSE)+(VLOOKUP(VLOOKUP(L$1,main!$A$3:$H$102,8,FALSE),main!$K$19:$O$22,MATCH(VLOOKUP($A24,main!$A$3:$H$102,7,FALSE),main!$K$18:$O$18,0),0))),0)</f>
        <v>300</v>
      </c>
      <c r="M24">
        <f>IF((gamma!M24),IF(VLOOKUP(M$1,main!$A$3:$H$102,7,FALSE)=VLOOKUP($A24,main!$A$3:$H$102,8,FALSE),VLOOKUP(M$1,main!$A$3:$H$102,4,FALSE),VLOOKUP(M$1,main!$A$3:$H$102,4,FALSE)+VLOOKUP($A24,main!$A$3:$H$102,4,FALSE)+(VLOOKUP(VLOOKUP(M$1,main!$A$3:$H$102,8,FALSE),main!$K$19:$O$22,MATCH(VLOOKUP($A24,main!$A$3:$H$102,7,FALSE),main!$K$18:$O$18,0),0))),0)</f>
        <v>0</v>
      </c>
      <c r="N24">
        <f>IF((gamma!N24),IF(VLOOKUP(N$1,main!$A$3:$H$102,7,FALSE)=VLOOKUP($A24,main!$A$3:$H$102,8,FALSE),VLOOKUP(N$1,main!$A$3:$H$102,4,FALSE),VLOOKUP(N$1,main!$A$3:$H$102,4,FALSE)+VLOOKUP($A24,main!$A$3:$H$102,4,FALSE)+(VLOOKUP(VLOOKUP(N$1,main!$A$3:$H$102,8,FALSE),main!$K$19:$O$22,MATCH(VLOOKUP($A24,main!$A$3:$H$102,7,FALSE),main!$K$18:$O$18,0),0))),0)</f>
        <v>0</v>
      </c>
      <c r="O24">
        <f>IF((gamma!O24),IF(VLOOKUP(O$1,main!$A$3:$H$102,7,FALSE)=VLOOKUP($A24,main!$A$3:$H$102,8,FALSE),VLOOKUP(O$1,main!$A$3:$H$102,4,FALSE),VLOOKUP(O$1,main!$A$3:$H$102,4,FALSE)+VLOOKUP($A24,main!$A$3:$H$102,4,FALSE)+(VLOOKUP(VLOOKUP(O$1,main!$A$3:$H$102,8,FALSE),main!$K$19:$O$22,MATCH(VLOOKUP($A24,main!$A$3:$H$102,7,FALSE),main!$K$18:$O$18,0),0))),0)</f>
        <v>0</v>
      </c>
      <c r="P24">
        <f>IF((gamma!P24),IF(VLOOKUP(P$1,main!$A$3:$H$102,7,FALSE)=VLOOKUP($A24,main!$A$3:$H$102,8,FALSE),VLOOKUP(P$1,main!$A$3:$H$102,4,FALSE),VLOOKUP(P$1,main!$A$3:$H$102,4,FALSE)+VLOOKUP($A24,main!$A$3:$H$102,4,FALSE)+(VLOOKUP(VLOOKUP(P$1,main!$A$3:$H$102,8,FALSE),main!$K$19:$O$22,MATCH(VLOOKUP($A24,main!$A$3:$H$102,7,FALSE),main!$K$18:$O$18,0),0))),0)</f>
        <v>0</v>
      </c>
      <c r="Q24">
        <f>IF((gamma!Q24),IF(VLOOKUP(Q$1,main!$A$3:$H$102,7,FALSE)=VLOOKUP($A24,main!$A$3:$H$102,8,FALSE),VLOOKUP(Q$1,main!$A$3:$H$102,4,FALSE),VLOOKUP(Q$1,main!$A$3:$H$102,4,FALSE)+VLOOKUP($A24,main!$A$3:$H$102,4,FALSE)+(VLOOKUP(VLOOKUP(Q$1,main!$A$3:$H$102,8,FALSE),main!$K$19:$O$22,MATCH(VLOOKUP($A24,main!$A$3:$H$102,7,FALSE),main!$K$18:$O$18,0),0))),0)</f>
        <v>0</v>
      </c>
      <c r="R24">
        <f>IF((gamma!R24),IF(VLOOKUP(R$1,main!$A$3:$H$102,7,FALSE)=VLOOKUP($A24,main!$A$3:$H$102,8,FALSE),VLOOKUP(R$1,main!$A$3:$H$102,4,FALSE),VLOOKUP(R$1,main!$A$3:$H$102,4,FALSE)+VLOOKUP($A24,main!$A$3:$H$102,4,FALSE)+(VLOOKUP(VLOOKUP(R$1,main!$A$3:$H$102,8,FALSE),main!$K$19:$O$22,MATCH(VLOOKUP($A24,main!$A$3:$H$102,7,FALSE),main!$K$18:$O$18,0),0))),0)</f>
        <v>0</v>
      </c>
      <c r="S24">
        <f>IF((gamma!S24),IF(VLOOKUP(S$1,main!$A$3:$H$102,7,FALSE)=VLOOKUP($A24,main!$A$3:$H$102,8,FALSE),VLOOKUP(S$1,main!$A$3:$H$102,4,FALSE),VLOOKUP(S$1,main!$A$3:$H$102,4,FALSE)+VLOOKUP($A24,main!$A$3:$H$102,4,FALSE)+(VLOOKUP(VLOOKUP(S$1,main!$A$3:$H$102,8,FALSE),main!$K$19:$O$22,MATCH(VLOOKUP($A24,main!$A$3:$H$102,7,FALSE),main!$K$18:$O$18,0),0))),0)</f>
        <v>310</v>
      </c>
      <c r="T24">
        <f>IF((gamma!T24),IF(VLOOKUP(T$1,main!$A$3:$H$102,7,FALSE)=VLOOKUP($A24,main!$A$3:$H$102,8,FALSE),VLOOKUP(T$1,main!$A$3:$H$102,4,FALSE),VLOOKUP(T$1,main!$A$3:$H$102,4,FALSE)+VLOOKUP($A24,main!$A$3:$H$102,4,FALSE)+(VLOOKUP(VLOOKUP(T$1,main!$A$3:$H$102,8,FALSE),main!$K$19:$O$22,MATCH(VLOOKUP($A24,main!$A$3:$H$102,7,FALSE),main!$K$18:$O$18,0),0))),0)</f>
        <v>310</v>
      </c>
      <c r="U24">
        <f>IF((gamma!U24),IF(VLOOKUP(U$1,main!$A$3:$H$102,7,FALSE)=VLOOKUP($A24,main!$A$3:$H$102,8,FALSE),VLOOKUP(U$1,main!$A$3:$H$102,4,FALSE),VLOOKUP(U$1,main!$A$3:$H$102,4,FALSE)+VLOOKUP($A24,main!$A$3:$H$102,4,FALSE)+(VLOOKUP(VLOOKUP(U$1,main!$A$3:$H$102,8,FALSE),main!$K$19:$O$22,MATCH(VLOOKUP($A24,main!$A$3:$H$102,7,FALSE),main!$K$18:$O$18,0),0))),0)</f>
        <v>310</v>
      </c>
      <c r="V24">
        <f>IF((gamma!V24),IF(VLOOKUP(V$1,main!$A$3:$H$102,7,FALSE)=VLOOKUP($A24,main!$A$3:$H$102,8,FALSE),VLOOKUP(V$1,main!$A$3:$H$102,4,FALSE),VLOOKUP(V$1,main!$A$3:$H$102,4,FALSE)+VLOOKUP($A24,main!$A$3:$H$102,4,FALSE)+(VLOOKUP(VLOOKUP(V$1,main!$A$3:$H$102,8,FALSE),main!$K$19:$O$22,MATCH(VLOOKUP($A24,main!$A$3:$H$102,7,FALSE),main!$K$18:$O$18,0),0))),0)</f>
        <v>310</v>
      </c>
      <c r="W24">
        <f>IF((gamma!W24),IF(VLOOKUP(W$1,main!$A$3:$H$102,7,FALSE)=VLOOKUP($A24,main!$A$3:$H$102,8,FALSE),VLOOKUP(W$1,main!$A$3:$H$102,4,FALSE),VLOOKUP(W$1,main!$A$3:$H$102,4,FALSE)+VLOOKUP($A24,main!$A$3:$H$102,4,FALSE)+(VLOOKUP(VLOOKUP(W$1,main!$A$3:$H$102,8,FALSE),main!$K$19:$O$22,MATCH(VLOOKUP($A24,main!$A$3:$H$102,7,FALSE),main!$K$18:$O$18,0),0))),0)</f>
        <v>0</v>
      </c>
      <c r="X24">
        <f>IF((gamma!X24),IF(VLOOKUP(X$1,main!$A$3:$H$102,7,FALSE)=VLOOKUP($A24,main!$A$3:$H$102,8,FALSE),VLOOKUP(X$1,main!$A$3:$H$102,4,FALSE),VLOOKUP(X$1,main!$A$3:$H$102,4,FALSE)+VLOOKUP($A24,main!$A$3:$H$102,4,FALSE)+(VLOOKUP(VLOOKUP(X$1,main!$A$3:$H$102,8,FALSE),main!$K$19:$O$22,MATCH(VLOOKUP($A24,main!$A$3:$H$102,7,FALSE),main!$K$18:$O$18,0),0))),0)</f>
        <v>0</v>
      </c>
      <c r="Y24">
        <f>IF((gamma!Y24),IF(VLOOKUP(Y$1,main!$A$3:$H$102,7,FALSE)=VLOOKUP($A24,main!$A$3:$H$102,8,FALSE),VLOOKUP(Y$1,main!$A$3:$H$102,4,FALSE),VLOOKUP(Y$1,main!$A$3:$H$102,4,FALSE)+VLOOKUP($A24,main!$A$3:$H$102,4,FALSE)+(VLOOKUP(VLOOKUP(Y$1,main!$A$3:$H$102,8,FALSE),main!$K$19:$O$22,MATCH(VLOOKUP($A24,main!$A$3:$H$102,7,FALSE),main!$K$18:$O$18,0),0))),0)</f>
        <v>0</v>
      </c>
      <c r="Z24">
        <f>IF((gamma!Z24),IF(VLOOKUP(Z$1,main!$A$3:$H$102,7,FALSE)=VLOOKUP($A24,main!$A$3:$H$102,8,FALSE),VLOOKUP(Z$1,main!$A$3:$H$102,4,FALSE),VLOOKUP(Z$1,main!$A$3:$H$102,4,FALSE)+VLOOKUP($A24,main!$A$3:$H$102,4,FALSE)+(VLOOKUP(VLOOKUP(Z$1,main!$A$3:$H$102,8,FALSE),main!$K$19:$O$22,MATCH(VLOOKUP($A24,main!$A$3:$H$102,7,FALSE),main!$K$18:$O$18,0),0))),0)</f>
        <v>315</v>
      </c>
      <c r="AA24">
        <f>IF((gamma!AA24),IF(VLOOKUP(AA$1,main!$A$3:$H$102,7,FALSE)=VLOOKUP($A24,main!$A$3:$H$102,8,FALSE),VLOOKUP(AA$1,main!$A$3:$H$102,4,FALSE),VLOOKUP(AA$1,main!$A$3:$H$102,4,FALSE)+VLOOKUP($A24,main!$A$3:$H$102,4,FALSE)+(VLOOKUP(VLOOKUP(AA$1,main!$A$3:$H$102,8,FALSE),main!$K$19:$O$22,MATCH(VLOOKUP($A24,main!$A$3:$H$102,7,FALSE),main!$K$18:$O$18,0),0))),0)</f>
        <v>315</v>
      </c>
      <c r="AB24">
        <f>IF((gamma!AB24),IF(VLOOKUP(AB$1,main!$A$3:$H$102,7,FALSE)=VLOOKUP($A24,main!$A$3:$H$102,8,FALSE),VLOOKUP(AB$1,main!$A$3:$H$102,4,FALSE),VLOOKUP(AB$1,main!$A$3:$H$102,4,FALSE)+VLOOKUP($A24,main!$A$3:$H$102,4,FALSE)+(VLOOKUP(VLOOKUP(AB$1,main!$A$3:$H$102,8,FALSE),main!$K$19:$O$22,MATCH(VLOOKUP($A24,main!$A$3:$H$102,7,FALSE),main!$K$18:$O$18,0),0))),0)</f>
        <v>0</v>
      </c>
      <c r="AC24">
        <f>IF((gamma!AC24),IF(VLOOKUP(AC$1,main!$A$3:$H$102,7,FALSE)=VLOOKUP($A24,main!$A$3:$H$102,8,FALSE),VLOOKUP(AC$1,main!$A$3:$H$102,4,FALSE),VLOOKUP(AC$1,main!$A$3:$H$102,4,FALSE)+VLOOKUP($A24,main!$A$3:$H$102,4,FALSE)+(VLOOKUP(VLOOKUP(AC$1,main!$A$3:$H$102,8,FALSE),main!$K$19:$O$22,MATCH(VLOOKUP($A24,main!$A$3:$H$102,7,FALSE),main!$K$18:$O$18,0),0))),0)</f>
        <v>0</v>
      </c>
      <c r="AD24">
        <f>IF((gamma!AD24),IF(VLOOKUP(AD$1,main!$A$3:$H$102,7,FALSE)=VLOOKUP($A24,main!$A$3:$H$102,8,FALSE),VLOOKUP(AD$1,main!$A$3:$H$102,4,FALSE),VLOOKUP(AD$1,main!$A$3:$H$102,4,FALSE)+VLOOKUP($A24,main!$A$3:$H$102,4,FALSE)+(VLOOKUP(VLOOKUP(AD$1,main!$A$3:$H$102,8,FALSE),main!$K$19:$O$22,MATCH(VLOOKUP($A24,main!$A$3:$H$102,7,FALSE),main!$K$18:$O$18,0),0))),0)</f>
        <v>0</v>
      </c>
      <c r="AE24">
        <f>IF((gamma!AE24),IF(VLOOKUP(AE$1,main!$A$3:$H$102,7,FALSE)=VLOOKUP($A24,main!$A$3:$H$102,8,FALSE),VLOOKUP(AE$1,main!$A$3:$H$102,4,FALSE),VLOOKUP(AE$1,main!$A$3:$H$102,4,FALSE)+VLOOKUP($A24,main!$A$3:$H$102,4,FALSE)+(VLOOKUP(VLOOKUP(AE$1,main!$A$3:$H$102,8,FALSE),main!$K$19:$O$22,MATCH(VLOOKUP($A24,main!$A$3:$H$102,7,FALSE),main!$K$18:$O$18,0),0))),0)</f>
        <v>315</v>
      </c>
      <c r="AF24">
        <f>IF((gamma!AF24),IF(VLOOKUP(AF$1,main!$A$3:$H$102,7,FALSE)=VLOOKUP($A24,main!$A$3:$H$102,8,FALSE),VLOOKUP(AF$1,main!$A$3:$H$102,4,FALSE),VLOOKUP(AF$1,main!$A$3:$H$102,4,FALSE)+VLOOKUP($A24,main!$A$3:$H$102,4,FALSE)+(VLOOKUP(VLOOKUP(AF$1,main!$A$3:$H$102,8,FALSE),main!$K$19:$O$22,MATCH(VLOOKUP($A24,main!$A$3:$H$102,7,FALSE),main!$K$18:$O$18,0),0))),0)</f>
        <v>275</v>
      </c>
      <c r="AG24">
        <f>IF((gamma!AG24),IF(VLOOKUP(AG$1,main!$A$3:$H$102,7,FALSE)=VLOOKUP($A24,main!$A$3:$H$102,8,FALSE),VLOOKUP(AG$1,main!$A$3:$H$102,4,FALSE),VLOOKUP(AG$1,main!$A$3:$H$102,4,FALSE)+VLOOKUP($A24,main!$A$3:$H$102,4,FALSE)+(VLOOKUP(VLOOKUP(AG$1,main!$A$3:$H$102,8,FALSE),main!$K$19:$O$22,MATCH(VLOOKUP($A24,main!$A$3:$H$102,7,FALSE),main!$K$18:$O$18,0),0))),0)</f>
        <v>0</v>
      </c>
      <c r="AH24">
        <f>IF((gamma!AH24),IF(VLOOKUP(AH$1,main!$A$3:$H$102,7,FALSE)=VLOOKUP($A24,main!$A$3:$H$102,8,FALSE),VLOOKUP(AH$1,main!$A$3:$H$102,4,FALSE),VLOOKUP(AH$1,main!$A$3:$H$102,4,FALSE)+VLOOKUP($A24,main!$A$3:$H$102,4,FALSE)+(VLOOKUP(VLOOKUP(AH$1,main!$A$3:$H$102,8,FALSE),main!$K$19:$O$22,MATCH(VLOOKUP($A24,main!$A$3:$H$102,7,FALSE),main!$K$18:$O$18,0),0))),0)</f>
        <v>0</v>
      </c>
      <c r="AI24">
        <f>IF((gamma!AI24),IF(VLOOKUP(AI$1,main!$A$3:$H$102,7,FALSE)=VLOOKUP($A24,main!$A$3:$H$102,8,FALSE),VLOOKUP(AI$1,main!$A$3:$H$102,4,FALSE),VLOOKUP(AI$1,main!$A$3:$H$102,4,FALSE)+VLOOKUP($A24,main!$A$3:$H$102,4,FALSE)+(VLOOKUP(VLOOKUP(AI$1,main!$A$3:$H$102,8,FALSE),main!$K$19:$O$22,MATCH(VLOOKUP($A24,main!$A$3:$H$102,7,FALSE),main!$K$18:$O$18,0),0))),0)</f>
        <v>0</v>
      </c>
      <c r="AJ24">
        <f>IF((gamma!AJ24),IF(VLOOKUP(AJ$1,main!$A$3:$H$102,7,FALSE)=VLOOKUP($A24,main!$A$3:$H$102,8,FALSE),VLOOKUP(AJ$1,main!$A$3:$H$102,4,FALSE),VLOOKUP(AJ$1,main!$A$3:$H$102,4,FALSE)+VLOOKUP($A24,main!$A$3:$H$102,4,FALSE)+(VLOOKUP(VLOOKUP(AJ$1,main!$A$3:$H$102,8,FALSE),main!$K$19:$O$22,MATCH(VLOOKUP($A24,main!$A$3:$H$102,7,FALSE),main!$K$18:$O$18,0),0))),0)</f>
        <v>0</v>
      </c>
      <c r="AK24">
        <f>IF((gamma!AK24),IF(VLOOKUP(AK$1,main!$A$3:$H$102,7,FALSE)=VLOOKUP($A24,main!$A$3:$H$102,8,FALSE),VLOOKUP(AK$1,main!$A$3:$H$102,4,FALSE),VLOOKUP(AK$1,main!$A$3:$H$102,4,FALSE)+VLOOKUP($A24,main!$A$3:$H$102,4,FALSE)+(VLOOKUP(VLOOKUP(AK$1,main!$A$3:$H$102,8,FALSE),main!$K$19:$O$22,MATCH(VLOOKUP($A24,main!$A$3:$H$102,7,FALSE),main!$K$18:$O$18,0),0))),0)</f>
        <v>275</v>
      </c>
      <c r="AL24">
        <f>IF((gamma!AL24),IF(VLOOKUP(AL$1,main!$A$3:$H$102,7,FALSE)=VLOOKUP($A24,main!$A$3:$H$102,8,FALSE),VLOOKUP(AL$1,main!$A$3:$H$102,4,FALSE),VLOOKUP(AL$1,main!$A$3:$H$102,4,FALSE)+VLOOKUP($A24,main!$A$3:$H$102,4,FALSE)+(VLOOKUP(VLOOKUP(AL$1,main!$A$3:$H$102,8,FALSE),main!$K$19:$O$22,MATCH(VLOOKUP($A24,main!$A$3:$H$102,7,FALSE),main!$K$18:$O$18,0),0))),0)</f>
        <v>275</v>
      </c>
      <c r="AM24">
        <f>IF((gamma!AM24),IF(VLOOKUP(AM$1,main!$A$3:$H$102,7,FALSE)=VLOOKUP($A24,main!$A$3:$H$102,8,FALSE),VLOOKUP(AM$1,main!$A$3:$H$102,4,FALSE),VLOOKUP(AM$1,main!$A$3:$H$102,4,FALSE)+VLOOKUP($A24,main!$A$3:$H$102,4,FALSE)+(VLOOKUP(VLOOKUP(AM$1,main!$A$3:$H$102,8,FALSE),main!$K$19:$O$22,MATCH(VLOOKUP($A24,main!$A$3:$H$102,7,FALSE),main!$K$18:$O$18,0),0))),0)</f>
        <v>275</v>
      </c>
      <c r="AN24">
        <f>IF((gamma!AN24),IF(VLOOKUP(AN$1,main!$A$3:$H$102,7,FALSE)=VLOOKUP($A24,main!$A$3:$H$102,8,FALSE),VLOOKUP(AN$1,main!$A$3:$H$102,4,FALSE),VLOOKUP(AN$1,main!$A$3:$H$102,4,FALSE)+VLOOKUP($A24,main!$A$3:$H$102,4,FALSE)+(VLOOKUP(VLOOKUP(AN$1,main!$A$3:$H$102,8,FALSE),main!$K$19:$O$22,MATCH(VLOOKUP($A24,main!$A$3:$H$102,7,FALSE),main!$K$18:$O$18,0),0))),0)</f>
        <v>275</v>
      </c>
      <c r="AO24">
        <f>IF((gamma!AO24),IF(VLOOKUP(AO$1,main!$A$3:$H$102,7,FALSE)=VLOOKUP($A24,main!$A$3:$H$102,8,FALSE),VLOOKUP(AO$1,main!$A$3:$H$102,4,FALSE),VLOOKUP(AO$1,main!$A$3:$H$102,4,FALSE)+VLOOKUP($A24,main!$A$3:$H$102,4,FALSE)+(VLOOKUP(VLOOKUP(AO$1,main!$A$3:$H$102,8,FALSE),main!$K$19:$O$22,MATCH(VLOOKUP($A24,main!$A$3:$H$102,7,FALSE),main!$K$18:$O$18,0),0))),0)</f>
        <v>0</v>
      </c>
      <c r="AP24">
        <f>IF((gamma!AP24),IF(VLOOKUP(AP$1,main!$A$3:$H$102,7,FALSE)=VLOOKUP($A24,main!$A$3:$H$102,8,FALSE),VLOOKUP(AP$1,main!$A$3:$H$102,4,FALSE),VLOOKUP(AP$1,main!$A$3:$H$102,4,FALSE)+VLOOKUP($A24,main!$A$3:$H$102,4,FALSE)+(VLOOKUP(VLOOKUP(AP$1,main!$A$3:$H$102,8,FALSE),main!$K$19:$O$22,MATCH(VLOOKUP($A24,main!$A$3:$H$102,7,FALSE),main!$K$18:$O$18,0),0))),0)</f>
        <v>215</v>
      </c>
      <c r="AQ24">
        <f>IF((gamma!AQ24),IF(VLOOKUP(AQ$1,main!$A$3:$H$102,7,FALSE)=VLOOKUP($A24,main!$A$3:$H$102,8,FALSE),VLOOKUP(AQ$1,main!$A$3:$H$102,4,FALSE),VLOOKUP(AQ$1,main!$A$3:$H$102,4,FALSE)+VLOOKUP($A24,main!$A$3:$H$102,4,FALSE)+(VLOOKUP(VLOOKUP(AQ$1,main!$A$3:$H$102,8,FALSE),main!$K$19:$O$22,MATCH(VLOOKUP($A24,main!$A$3:$H$102,7,FALSE),main!$K$18:$O$18,0),0))),0)</f>
        <v>0</v>
      </c>
      <c r="AR24">
        <f>IF((gamma!AR24),IF(VLOOKUP(AR$1,main!$A$3:$H$102,7,FALSE)=VLOOKUP($A24,main!$A$3:$H$102,8,FALSE),VLOOKUP(AR$1,main!$A$3:$H$102,4,FALSE),VLOOKUP(AR$1,main!$A$3:$H$102,4,FALSE)+VLOOKUP($A24,main!$A$3:$H$102,4,FALSE)+(VLOOKUP(VLOOKUP(AR$1,main!$A$3:$H$102,8,FALSE),main!$K$19:$O$22,MATCH(VLOOKUP($A24,main!$A$3:$H$102,7,FALSE),main!$K$18:$O$18,0),0))),0)</f>
        <v>0</v>
      </c>
      <c r="AS24">
        <f>IF((gamma!AS24),IF(VLOOKUP(AS$1,main!$A$3:$H$102,7,FALSE)=VLOOKUP($A24,main!$A$3:$H$102,8,FALSE),VLOOKUP(AS$1,main!$A$3:$H$102,4,FALSE),VLOOKUP(AS$1,main!$A$3:$H$102,4,FALSE)+VLOOKUP($A24,main!$A$3:$H$102,4,FALSE)+(VLOOKUP(VLOOKUP(AS$1,main!$A$3:$H$102,8,FALSE),main!$K$19:$O$22,MATCH(VLOOKUP($A24,main!$A$3:$H$102,7,FALSE),main!$K$18:$O$18,0),0))),0)</f>
        <v>0</v>
      </c>
      <c r="AT24">
        <f>IF((gamma!AT24),IF(VLOOKUP(AT$1,main!$A$3:$H$102,7,FALSE)=VLOOKUP($A24,main!$A$3:$H$102,8,FALSE),VLOOKUP(AT$1,main!$A$3:$H$102,4,FALSE),VLOOKUP(AT$1,main!$A$3:$H$102,4,FALSE)+VLOOKUP($A24,main!$A$3:$H$102,4,FALSE)+(VLOOKUP(VLOOKUP(AT$1,main!$A$3:$H$102,8,FALSE),main!$K$19:$O$22,MATCH(VLOOKUP($A24,main!$A$3:$H$102,7,FALSE),main!$K$18:$O$18,0),0))),0)</f>
        <v>300</v>
      </c>
      <c r="AU24">
        <f>IF((gamma!AU24),IF(VLOOKUP(AU$1,main!$A$3:$H$102,7,FALSE)=VLOOKUP($A24,main!$A$3:$H$102,8,FALSE),VLOOKUP(AU$1,main!$A$3:$H$102,4,FALSE),VLOOKUP(AU$1,main!$A$3:$H$102,4,FALSE)+VLOOKUP($A24,main!$A$3:$H$102,4,FALSE)+(VLOOKUP(VLOOKUP(AU$1,main!$A$3:$H$102,8,FALSE),main!$K$19:$O$22,MATCH(VLOOKUP($A24,main!$A$3:$H$102,7,FALSE),main!$K$18:$O$18,0),0))),0)</f>
        <v>0</v>
      </c>
      <c r="AV24">
        <f>IF((gamma!AV24),IF(VLOOKUP(AV$1,main!$A$3:$H$102,7,FALSE)=VLOOKUP($A24,main!$A$3:$H$102,8,FALSE),VLOOKUP(AV$1,main!$A$3:$H$102,4,FALSE),VLOOKUP(AV$1,main!$A$3:$H$102,4,FALSE)+VLOOKUP($A24,main!$A$3:$H$102,4,FALSE)+(VLOOKUP(VLOOKUP(AV$1,main!$A$3:$H$102,8,FALSE),main!$K$19:$O$22,MATCH(VLOOKUP($A24,main!$A$3:$H$102,7,FALSE),main!$K$18:$O$18,0),0))),0)</f>
        <v>0</v>
      </c>
      <c r="AW24">
        <f>IF((gamma!AW24),IF(VLOOKUP(AW$1,main!$A$3:$H$102,7,FALSE)=VLOOKUP($A24,main!$A$3:$H$102,8,FALSE),VLOOKUP(AW$1,main!$A$3:$H$102,4,FALSE),VLOOKUP(AW$1,main!$A$3:$H$102,4,FALSE)+VLOOKUP($A24,main!$A$3:$H$102,4,FALSE)+(VLOOKUP(VLOOKUP(AW$1,main!$A$3:$H$102,8,FALSE),main!$K$19:$O$22,MATCH(VLOOKUP($A24,main!$A$3:$H$102,7,FALSE),main!$K$18:$O$18,0),0))),0)</f>
        <v>290</v>
      </c>
      <c r="AX24">
        <f>IF((gamma!AX24),IF(VLOOKUP(AX$1,main!$A$3:$H$102,7,FALSE)=VLOOKUP($A24,main!$A$3:$H$102,8,FALSE),VLOOKUP(AX$1,main!$A$3:$H$102,4,FALSE),VLOOKUP(AX$1,main!$A$3:$H$102,4,FALSE)+VLOOKUP($A24,main!$A$3:$H$102,4,FALSE)+(VLOOKUP(VLOOKUP(AX$1,main!$A$3:$H$102,8,FALSE),main!$K$19:$O$22,MATCH(VLOOKUP($A24,main!$A$3:$H$102,7,FALSE),main!$K$18:$O$18,0),0))),0)</f>
        <v>0</v>
      </c>
      <c r="AY24">
        <f>IF((gamma!AY24),IF(VLOOKUP(AY$1,main!$A$3:$H$102,7,FALSE)=VLOOKUP($A24,main!$A$3:$H$102,8,FALSE),VLOOKUP(AY$1,main!$A$3:$H$102,4,FALSE),VLOOKUP(AY$1,main!$A$3:$H$102,4,FALSE)+VLOOKUP($A24,main!$A$3:$H$102,4,FALSE)+(VLOOKUP(VLOOKUP(AY$1,main!$A$3:$H$102,8,FALSE),main!$K$19:$O$22,MATCH(VLOOKUP($A24,main!$A$3:$H$102,7,FALSE),main!$K$18:$O$18,0),0))),0)</f>
        <v>0</v>
      </c>
      <c r="AZ24">
        <f>IF((gamma!AZ24),IF(VLOOKUP(AZ$1,main!$A$3:$H$102,7,FALSE)=VLOOKUP($A24,main!$A$3:$H$102,8,FALSE),VLOOKUP(AZ$1,main!$A$3:$H$102,4,FALSE),VLOOKUP(AZ$1,main!$A$3:$H$102,4,FALSE)+VLOOKUP($A24,main!$A$3:$H$102,4,FALSE)+(VLOOKUP(VLOOKUP(AZ$1,main!$A$3:$H$102,8,FALSE),main!$K$19:$O$22,MATCH(VLOOKUP($A24,main!$A$3:$H$102,7,FALSE),main!$K$18:$O$18,0),0))),0)</f>
        <v>0</v>
      </c>
      <c r="BA24">
        <f>IF((gamma!BA24),IF(VLOOKUP(BA$1,main!$A$3:$H$102,7,FALSE)=VLOOKUP($A24,main!$A$3:$H$102,8,FALSE),VLOOKUP(BA$1,main!$A$3:$H$102,4,FALSE),VLOOKUP(BA$1,main!$A$3:$H$102,4,FALSE)+VLOOKUP($A24,main!$A$3:$H$102,4,FALSE)+(VLOOKUP(VLOOKUP(BA$1,main!$A$3:$H$102,8,FALSE),main!$K$19:$O$22,MATCH(VLOOKUP($A24,main!$A$3:$H$102,7,FALSE),main!$K$18:$O$18,0),0))),0)</f>
        <v>0</v>
      </c>
      <c r="BB24">
        <f>IF((gamma!BB24),IF(VLOOKUP(BB$1,main!$A$3:$H$102,7,FALSE)=VLOOKUP($A24,main!$A$3:$H$102,8,FALSE),VLOOKUP(BB$1,main!$A$3:$H$102,4,FALSE),VLOOKUP(BB$1,main!$A$3:$H$102,4,FALSE)+VLOOKUP($A24,main!$A$3:$H$102,4,FALSE)+(VLOOKUP(VLOOKUP(BB$1,main!$A$3:$H$102,8,FALSE),main!$K$19:$O$22,MATCH(VLOOKUP($A24,main!$A$3:$H$102,7,FALSE),main!$K$18:$O$18,0),0))),0)</f>
        <v>0</v>
      </c>
      <c r="BC24">
        <f>IF((gamma!BC24),IF(VLOOKUP(BC$1,main!$A$3:$H$102,7,FALSE)=VLOOKUP($A24,main!$A$3:$H$102,8,FALSE),VLOOKUP(BC$1,main!$A$3:$H$102,4,FALSE),VLOOKUP(BC$1,main!$A$3:$H$102,4,FALSE)+VLOOKUP($A24,main!$A$3:$H$102,4,FALSE)+(VLOOKUP(VLOOKUP(BC$1,main!$A$3:$H$102,8,FALSE),main!$K$19:$O$22,MATCH(VLOOKUP($A24,main!$A$3:$H$102,7,FALSE),main!$K$18:$O$18,0),0))),0)</f>
        <v>280</v>
      </c>
      <c r="BD24">
        <f>IF((gamma!BD24),IF(VLOOKUP(BD$1,main!$A$3:$H$102,7,FALSE)=VLOOKUP($A24,main!$A$3:$H$102,8,FALSE),VLOOKUP(BD$1,main!$A$3:$H$102,4,FALSE),VLOOKUP(BD$1,main!$A$3:$H$102,4,FALSE)+VLOOKUP($A24,main!$A$3:$H$102,4,FALSE)+(VLOOKUP(VLOOKUP(BD$1,main!$A$3:$H$102,8,FALSE),main!$K$19:$O$22,MATCH(VLOOKUP($A24,main!$A$3:$H$102,7,FALSE),main!$K$18:$O$18,0),0))),0)</f>
        <v>280</v>
      </c>
      <c r="BE24">
        <f>IF((gamma!BE24),IF(VLOOKUP(BE$1,main!$A$3:$H$102,7,FALSE)=VLOOKUP($A24,main!$A$3:$H$102,8,FALSE),VLOOKUP(BE$1,main!$A$3:$H$102,4,FALSE),VLOOKUP(BE$1,main!$A$3:$H$102,4,FALSE)+VLOOKUP($A24,main!$A$3:$H$102,4,FALSE)+(VLOOKUP(VLOOKUP(BE$1,main!$A$3:$H$102,8,FALSE),main!$K$19:$O$22,MATCH(VLOOKUP($A24,main!$A$3:$H$102,7,FALSE),main!$K$18:$O$18,0),0))),0)</f>
        <v>280</v>
      </c>
      <c r="BF24">
        <f>IF((gamma!BF24),IF(VLOOKUP(BF$1,main!$A$3:$H$102,7,FALSE)=VLOOKUP($A24,main!$A$3:$H$102,8,FALSE),VLOOKUP(BF$1,main!$A$3:$H$102,4,FALSE),VLOOKUP(BF$1,main!$A$3:$H$102,4,FALSE)+VLOOKUP($A24,main!$A$3:$H$102,4,FALSE)+(VLOOKUP(VLOOKUP(BF$1,main!$A$3:$H$102,8,FALSE),main!$K$19:$O$22,MATCH(VLOOKUP($A24,main!$A$3:$H$102,7,FALSE),main!$K$18:$O$18,0),0))),0)</f>
        <v>0</v>
      </c>
      <c r="BG24">
        <f>IF((gamma!BG24),IF(VLOOKUP(BG$1,main!$A$3:$H$102,7,FALSE)=VLOOKUP($A24,main!$A$3:$H$102,8,FALSE),VLOOKUP(BG$1,main!$A$3:$H$102,4,FALSE),VLOOKUP(BG$1,main!$A$3:$H$102,4,FALSE)+VLOOKUP($A24,main!$A$3:$H$102,4,FALSE)+(VLOOKUP(VLOOKUP(BG$1,main!$A$3:$H$102,8,FALSE),main!$K$19:$O$22,MATCH(VLOOKUP($A24,main!$A$3:$H$102,7,FALSE),main!$K$18:$O$18,0),0))),0)</f>
        <v>0</v>
      </c>
      <c r="BH24">
        <f>IF((gamma!BH24),IF(VLOOKUP(BH$1,main!$A$3:$H$102,7,FALSE)=VLOOKUP($A24,main!$A$3:$H$102,8,FALSE),VLOOKUP(BH$1,main!$A$3:$H$102,4,FALSE),VLOOKUP(BH$1,main!$A$3:$H$102,4,FALSE)+VLOOKUP($A24,main!$A$3:$H$102,4,FALSE)+(VLOOKUP(VLOOKUP(BH$1,main!$A$3:$H$102,8,FALSE),main!$K$19:$O$22,MATCH(VLOOKUP($A24,main!$A$3:$H$102,7,FALSE),main!$K$18:$O$18,0),0))),0)</f>
        <v>265</v>
      </c>
      <c r="BI24">
        <f>IF((gamma!BI24),IF(VLOOKUP(BI$1,main!$A$3:$H$102,7,FALSE)=VLOOKUP($A24,main!$A$3:$H$102,8,FALSE),VLOOKUP(BI$1,main!$A$3:$H$102,4,FALSE),VLOOKUP(BI$1,main!$A$3:$H$102,4,FALSE)+VLOOKUP($A24,main!$A$3:$H$102,4,FALSE)+(VLOOKUP(VLOOKUP(BI$1,main!$A$3:$H$102,8,FALSE),main!$K$19:$O$22,MATCH(VLOOKUP($A24,main!$A$3:$H$102,7,FALSE),main!$K$18:$O$18,0),0))),0)</f>
        <v>200</v>
      </c>
      <c r="BJ24">
        <f>IF((gamma!BJ24),IF(VLOOKUP(BJ$1,main!$A$3:$H$102,7,FALSE)=VLOOKUP($A24,main!$A$3:$H$102,8,FALSE),VLOOKUP(BJ$1,main!$A$3:$H$102,4,FALSE),VLOOKUP(BJ$1,main!$A$3:$H$102,4,FALSE)+VLOOKUP($A24,main!$A$3:$H$102,4,FALSE)+(VLOOKUP(VLOOKUP(BJ$1,main!$A$3:$H$102,8,FALSE),main!$K$19:$O$22,MATCH(VLOOKUP($A24,main!$A$3:$H$102,7,FALSE),main!$K$18:$O$18,0),0))),0)</f>
        <v>230</v>
      </c>
      <c r="BK24">
        <f>IF((gamma!BK24),IF(VLOOKUP(BK$1,main!$A$3:$H$102,7,FALSE)=VLOOKUP($A24,main!$A$3:$H$102,8,FALSE),VLOOKUP(BK$1,main!$A$3:$H$102,4,FALSE),VLOOKUP(BK$1,main!$A$3:$H$102,4,FALSE)+VLOOKUP($A24,main!$A$3:$H$102,4,FALSE)+(VLOOKUP(VLOOKUP(BK$1,main!$A$3:$H$102,8,FALSE),main!$K$19:$O$22,MATCH(VLOOKUP($A24,main!$A$3:$H$102,7,FALSE),main!$K$18:$O$18,0),0))),0)</f>
        <v>0</v>
      </c>
      <c r="BL24">
        <f>IF((gamma!BL24),IF(VLOOKUP(BL$1,main!$A$3:$H$102,7,FALSE)=VLOOKUP($A24,main!$A$3:$H$102,8,FALSE),VLOOKUP(BL$1,main!$A$3:$H$102,4,FALSE),VLOOKUP(BL$1,main!$A$3:$H$102,4,FALSE)+VLOOKUP($A24,main!$A$3:$H$102,4,FALSE)+(VLOOKUP(VLOOKUP(BL$1,main!$A$3:$H$102,8,FALSE),main!$K$19:$O$22,MATCH(VLOOKUP($A24,main!$A$3:$H$102,7,FALSE),main!$K$18:$O$18,0),0))),0)</f>
        <v>0</v>
      </c>
      <c r="BM24">
        <f>IF((gamma!BM24),IF(VLOOKUP(BM$1,main!$A$3:$H$102,7,FALSE)=VLOOKUP($A24,main!$A$3:$H$102,8,FALSE),VLOOKUP(BM$1,main!$A$3:$H$102,4,FALSE),VLOOKUP(BM$1,main!$A$3:$H$102,4,FALSE)+VLOOKUP($A24,main!$A$3:$H$102,4,FALSE)+(VLOOKUP(VLOOKUP(BM$1,main!$A$3:$H$102,8,FALSE),main!$K$19:$O$22,MATCH(VLOOKUP($A24,main!$A$3:$H$102,7,FALSE),main!$K$18:$O$18,0),0))),0)</f>
        <v>0</v>
      </c>
      <c r="BN24">
        <f>IF((gamma!BN24),IF(VLOOKUP(BN$1,main!$A$3:$H$102,7,FALSE)=VLOOKUP($A24,main!$A$3:$H$102,8,FALSE),VLOOKUP(BN$1,main!$A$3:$H$102,4,FALSE),VLOOKUP(BN$1,main!$A$3:$H$102,4,FALSE)+VLOOKUP($A24,main!$A$3:$H$102,4,FALSE)+(VLOOKUP(VLOOKUP(BN$1,main!$A$3:$H$102,8,FALSE),main!$K$19:$O$22,MATCH(VLOOKUP($A24,main!$A$3:$H$102,7,FALSE),main!$K$18:$O$18,0),0))),0)</f>
        <v>285</v>
      </c>
      <c r="BO24">
        <f>IF((gamma!BO24),IF(VLOOKUP(BO$1,main!$A$3:$H$102,7,FALSE)=VLOOKUP($A24,main!$A$3:$H$102,8,FALSE),VLOOKUP(BO$1,main!$A$3:$H$102,4,FALSE),VLOOKUP(BO$1,main!$A$3:$H$102,4,FALSE)+VLOOKUP($A24,main!$A$3:$H$102,4,FALSE)+(VLOOKUP(VLOOKUP(BO$1,main!$A$3:$H$102,8,FALSE),main!$K$19:$O$22,MATCH(VLOOKUP($A24,main!$A$3:$H$102,7,FALSE),main!$K$18:$O$18,0),0))),0)</f>
        <v>0</v>
      </c>
      <c r="BP24">
        <f>IF((gamma!BP24),IF(VLOOKUP(BP$1,main!$A$3:$H$102,7,FALSE)=VLOOKUP($A24,main!$A$3:$H$102,8,FALSE),VLOOKUP(BP$1,main!$A$3:$H$102,4,FALSE),VLOOKUP(BP$1,main!$A$3:$H$102,4,FALSE)+VLOOKUP($A24,main!$A$3:$H$102,4,FALSE)+(VLOOKUP(VLOOKUP(BP$1,main!$A$3:$H$102,8,FALSE),main!$K$19:$O$22,MATCH(VLOOKUP($A24,main!$A$3:$H$102,7,FALSE),main!$K$18:$O$18,0),0))),0)</f>
        <v>0</v>
      </c>
      <c r="BQ24">
        <f>IF((gamma!BQ24),IF(VLOOKUP(BQ$1,main!$A$3:$H$102,7,FALSE)=VLOOKUP($A24,main!$A$3:$H$102,8,FALSE),VLOOKUP(BQ$1,main!$A$3:$H$102,4,FALSE),VLOOKUP(BQ$1,main!$A$3:$H$102,4,FALSE)+VLOOKUP($A24,main!$A$3:$H$102,4,FALSE)+(VLOOKUP(VLOOKUP(BQ$1,main!$A$3:$H$102,8,FALSE),main!$K$19:$O$22,MATCH(VLOOKUP($A24,main!$A$3:$H$102,7,FALSE),main!$K$18:$O$18,0),0))),0)</f>
        <v>0</v>
      </c>
      <c r="BR24">
        <f>IF((gamma!BR24),IF(VLOOKUP(BR$1,main!$A$3:$H$102,7,FALSE)=VLOOKUP($A24,main!$A$3:$H$102,8,FALSE),VLOOKUP(BR$1,main!$A$3:$H$102,4,FALSE),VLOOKUP(BR$1,main!$A$3:$H$102,4,FALSE)+VLOOKUP($A24,main!$A$3:$H$102,4,FALSE)+(VLOOKUP(VLOOKUP(BR$1,main!$A$3:$H$102,8,FALSE),main!$K$19:$O$22,MATCH(VLOOKUP($A24,main!$A$3:$H$102,7,FALSE),main!$K$18:$O$18,0),0))),0)</f>
        <v>0</v>
      </c>
      <c r="BS24">
        <f>IF((gamma!BS24),IF(VLOOKUP(BS$1,main!$A$3:$H$102,7,FALSE)=VLOOKUP($A24,main!$A$3:$H$102,8,FALSE),VLOOKUP(BS$1,main!$A$3:$H$102,4,FALSE),VLOOKUP(BS$1,main!$A$3:$H$102,4,FALSE)+VLOOKUP($A24,main!$A$3:$H$102,4,FALSE)+(VLOOKUP(VLOOKUP(BS$1,main!$A$3:$H$102,8,FALSE),main!$K$19:$O$22,MATCH(VLOOKUP($A24,main!$A$3:$H$102,7,FALSE),main!$K$18:$O$18,0),0))),0)</f>
        <v>0</v>
      </c>
      <c r="BT24">
        <f>IF((gamma!BT24),IF(VLOOKUP(BT$1,main!$A$3:$H$102,7,FALSE)=VLOOKUP($A24,main!$A$3:$H$102,8,FALSE),VLOOKUP(BT$1,main!$A$3:$H$102,4,FALSE),VLOOKUP(BT$1,main!$A$3:$H$102,4,FALSE)+VLOOKUP($A24,main!$A$3:$H$102,4,FALSE)+(VLOOKUP(VLOOKUP(BT$1,main!$A$3:$H$102,8,FALSE),main!$K$19:$O$22,MATCH(VLOOKUP($A24,main!$A$3:$H$102,7,FALSE),main!$K$18:$O$18,0),0))),0)</f>
        <v>0</v>
      </c>
      <c r="BU24">
        <f>IF((gamma!BU24),IF(VLOOKUP(BU$1,main!$A$3:$H$102,7,FALSE)=VLOOKUP($A24,main!$A$3:$H$102,8,FALSE),VLOOKUP(BU$1,main!$A$3:$H$102,4,FALSE),VLOOKUP(BU$1,main!$A$3:$H$102,4,FALSE)+VLOOKUP($A24,main!$A$3:$H$102,4,FALSE)+(VLOOKUP(VLOOKUP(BU$1,main!$A$3:$H$102,8,FALSE),main!$K$19:$O$22,MATCH(VLOOKUP($A24,main!$A$3:$H$102,7,FALSE),main!$K$18:$O$18,0),0))),0)</f>
        <v>0</v>
      </c>
      <c r="BV24">
        <f>IF((gamma!BV24),IF(VLOOKUP(BV$1,main!$A$3:$H$102,7,FALSE)=VLOOKUP($A24,main!$A$3:$H$102,8,FALSE),VLOOKUP(BV$1,main!$A$3:$H$102,4,FALSE),VLOOKUP(BV$1,main!$A$3:$H$102,4,FALSE)+VLOOKUP($A24,main!$A$3:$H$102,4,FALSE)+(VLOOKUP(VLOOKUP(BV$1,main!$A$3:$H$102,8,FALSE),main!$K$19:$O$22,MATCH(VLOOKUP($A24,main!$A$3:$H$102,7,FALSE),main!$K$18:$O$18,0),0))),0)</f>
        <v>0</v>
      </c>
      <c r="BW24">
        <f>IF((gamma!BW24),IF(VLOOKUP(BW$1,main!$A$3:$H$102,7,FALSE)=VLOOKUP($A24,main!$A$3:$H$102,8,FALSE),VLOOKUP(BW$1,main!$A$3:$H$102,4,FALSE),VLOOKUP(BW$1,main!$A$3:$H$102,4,FALSE)+VLOOKUP($A24,main!$A$3:$H$102,4,FALSE)+(VLOOKUP(VLOOKUP(BW$1,main!$A$3:$H$102,8,FALSE),main!$K$19:$O$22,MATCH(VLOOKUP($A24,main!$A$3:$H$102,7,FALSE),main!$K$18:$O$18,0),0))),0)</f>
        <v>0</v>
      </c>
      <c r="BX24">
        <f>IF((gamma!BX24),IF(VLOOKUP(BX$1,main!$A$3:$H$102,7,FALSE)=VLOOKUP($A24,main!$A$3:$H$102,8,FALSE),VLOOKUP(BX$1,main!$A$3:$H$102,4,FALSE),VLOOKUP(BX$1,main!$A$3:$H$102,4,FALSE)+VLOOKUP($A24,main!$A$3:$H$102,4,FALSE)+(VLOOKUP(VLOOKUP(BX$1,main!$A$3:$H$102,8,FALSE),main!$K$19:$O$22,MATCH(VLOOKUP($A24,main!$A$3:$H$102,7,FALSE),main!$K$18:$O$18,0),0))),0)</f>
        <v>0</v>
      </c>
      <c r="BY24">
        <f>IF((gamma!BY24),IF(VLOOKUP(BY$1,main!$A$3:$H$102,7,FALSE)=VLOOKUP($A24,main!$A$3:$H$102,8,FALSE),VLOOKUP(BY$1,main!$A$3:$H$102,4,FALSE),VLOOKUP(BY$1,main!$A$3:$H$102,4,FALSE)+VLOOKUP($A24,main!$A$3:$H$102,4,FALSE)+(VLOOKUP(VLOOKUP(BY$1,main!$A$3:$H$102,8,FALSE),main!$K$19:$O$22,MATCH(VLOOKUP($A24,main!$A$3:$H$102,7,FALSE),main!$K$18:$O$18,0),0))),0)</f>
        <v>295</v>
      </c>
      <c r="BZ24">
        <f>IF((gamma!BZ24),IF(VLOOKUP(BZ$1,main!$A$3:$H$102,7,FALSE)=VLOOKUP($A24,main!$A$3:$H$102,8,FALSE),VLOOKUP(BZ$1,main!$A$3:$H$102,4,FALSE),VLOOKUP(BZ$1,main!$A$3:$H$102,4,FALSE)+VLOOKUP($A24,main!$A$3:$H$102,4,FALSE)+(VLOOKUP(VLOOKUP(BZ$1,main!$A$3:$H$102,8,FALSE),main!$K$19:$O$22,MATCH(VLOOKUP($A24,main!$A$3:$H$102,7,FALSE),main!$K$18:$O$18,0),0))),0)</f>
        <v>0</v>
      </c>
      <c r="CA24">
        <f>IF((gamma!CA24),IF(VLOOKUP(CA$1,main!$A$3:$H$102,7,FALSE)=VLOOKUP($A24,main!$A$3:$H$102,8,FALSE),VLOOKUP(CA$1,main!$A$3:$H$102,4,FALSE),VLOOKUP(CA$1,main!$A$3:$H$102,4,FALSE)+VLOOKUP($A24,main!$A$3:$H$102,4,FALSE)+(VLOOKUP(VLOOKUP(CA$1,main!$A$3:$H$102,8,FALSE),main!$K$19:$O$22,MATCH(VLOOKUP($A24,main!$A$3:$H$102,7,FALSE),main!$K$18:$O$18,0),0))),0)</f>
        <v>0</v>
      </c>
      <c r="CB24">
        <f>IF((gamma!CB24),IF(VLOOKUP(CB$1,main!$A$3:$H$102,7,FALSE)=VLOOKUP($A24,main!$A$3:$H$102,8,FALSE),VLOOKUP(CB$1,main!$A$3:$H$102,4,FALSE),VLOOKUP(CB$1,main!$A$3:$H$102,4,FALSE)+VLOOKUP($A24,main!$A$3:$H$102,4,FALSE)+(VLOOKUP(VLOOKUP(CB$1,main!$A$3:$H$102,8,FALSE),main!$K$19:$O$22,MATCH(VLOOKUP($A24,main!$A$3:$H$102,7,FALSE),main!$K$18:$O$18,0),0))),0)</f>
        <v>240</v>
      </c>
      <c r="CC24">
        <f>IF((gamma!CC24),IF(VLOOKUP(CC$1,main!$A$3:$H$102,7,FALSE)=VLOOKUP($A24,main!$A$3:$H$102,8,FALSE),VLOOKUP(CC$1,main!$A$3:$H$102,4,FALSE),VLOOKUP(CC$1,main!$A$3:$H$102,4,FALSE)+VLOOKUP($A24,main!$A$3:$H$102,4,FALSE)+(VLOOKUP(VLOOKUP(CC$1,main!$A$3:$H$102,8,FALSE),main!$K$19:$O$22,MATCH(VLOOKUP($A24,main!$A$3:$H$102,7,FALSE),main!$K$18:$O$18,0),0))),0)</f>
        <v>230</v>
      </c>
      <c r="CD24">
        <f>IF((gamma!CD24),IF(VLOOKUP(CD$1,main!$A$3:$H$102,7,FALSE)=VLOOKUP($A24,main!$A$3:$H$102,8,FALSE),VLOOKUP(CD$1,main!$A$3:$H$102,4,FALSE),VLOOKUP(CD$1,main!$A$3:$H$102,4,FALSE)+VLOOKUP($A24,main!$A$3:$H$102,4,FALSE)+(VLOOKUP(VLOOKUP(CD$1,main!$A$3:$H$102,8,FALSE),main!$K$19:$O$22,MATCH(VLOOKUP($A24,main!$A$3:$H$102,7,FALSE),main!$K$18:$O$18,0),0))),0)</f>
        <v>289</v>
      </c>
      <c r="CE24">
        <f>IF((gamma!CE24),IF(VLOOKUP(CE$1,main!$A$3:$H$102,7,FALSE)=VLOOKUP($A24,main!$A$3:$H$102,8,FALSE),VLOOKUP(CE$1,main!$A$3:$H$102,4,FALSE),VLOOKUP(CE$1,main!$A$3:$H$102,4,FALSE)+VLOOKUP($A24,main!$A$3:$H$102,4,FALSE)+(VLOOKUP(VLOOKUP(CE$1,main!$A$3:$H$102,8,FALSE),main!$K$19:$O$22,MATCH(VLOOKUP($A24,main!$A$3:$H$102,7,FALSE),main!$K$18:$O$18,0),0))),0)</f>
        <v>0</v>
      </c>
      <c r="CF24">
        <f>IF((gamma!CF24),IF(VLOOKUP(CF$1,main!$A$3:$H$102,7,FALSE)=VLOOKUP($A24,main!$A$3:$H$102,8,FALSE),VLOOKUP(CF$1,main!$A$3:$H$102,4,FALSE),VLOOKUP(CF$1,main!$A$3:$H$102,4,FALSE)+VLOOKUP($A24,main!$A$3:$H$102,4,FALSE)+(VLOOKUP(VLOOKUP(CF$1,main!$A$3:$H$102,8,FALSE),main!$K$19:$O$22,MATCH(VLOOKUP($A24,main!$A$3:$H$102,7,FALSE),main!$K$18:$O$18,0),0))),0)</f>
        <v>0</v>
      </c>
      <c r="CG24">
        <f>IF((gamma!CG24),IF(VLOOKUP(CG$1,main!$A$3:$H$102,7,FALSE)=VLOOKUP($A24,main!$A$3:$H$102,8,FALSE),VLOOKUP(CG$1,main!$A$3:$H$102,4,FALSE),VLOOKUP(CG$1,main!$A$3:$H$102,4,FALSE)+VLOOKUP($A24,main!$A$3:$H$102,4,FALSE)+(VLOOKUP(VLOOKUP(CG$1,main!$A$3:$H$102,8,FALSE),main!$K$19:$O$22,MATCH(VLOOKUP($A24,main!$A$3:$H$102,7,FALSE),main!$K$18:$O$18,0),0))),0)</f>
        <v>140</v>
      </c>
      <c r="CH24">
        <f>IF((gamma!CH24),IF(VLOOKUP(CH$1,main!$A$3:$H$102,7,FALSE)=VLOOKUP($A24,main!$A$3:$H$102,8,FALSE),VLOOKUP(CH$1,main!$A$3:$H$102,4,FALSE),VLOOKUP(CH$1,main!$A$3:$H$102,4,FALSE)+VLOOKUP($A24,main!$A$3:$H$102,4,FALSE)+(VLOOKUP(VLOOKUP(CH$1,main!$A$3:$H$102,8,FALSE),main!$K$19:$O$22,MATCH(VLOOKUP($A24,main!$A$3:$H$102,7,FALSE),main!$K$18:$O$18,0),0))),0)</f>
        <v>140</v>
      </c>
      <c r="CI24">
        <f>IF((gamma!CI24),IF(VLOOKUP(CI$1,main!$A$3:$H$102,7,FALSE)=VLOOKUP($A24,main!$A$3:$H$102,8,FALSE),VLOOKUP(CI$1,main!$A$3:$H$102,4,FALSE),VLOOKUP(CI$1,main!$A$3:$H$102,4,FALSE)+VLOOKUP($A24,main!$A$3:$H$102,4,FALSE)+(VLOOKUP(VLOOKUP(CI$1,main!$A$3:$H$102,8,FALSE),main!$K$19:$O$22,MATCH(VLOOKUP($A24,main!$A$3:$H$102,7,FALSE),main!$K$18:$O$18,0),0))),0)</f>
        <v>140</v>
      </c>
      <c r="CJ24">
        <f>IF((gamma!CJ24),IF(VLOOKUP(CJ$1,main!$A$3:$H$102,7,FALSE)=VLOOKUP($A24,main!$A$3:$H$102,8,FALSE),VLOOKUP(CJ$1,main!$A$3:$H$102,4,FALSE),VLOOKUP(CJ$1,main!$A$3:$H$102,4,FALSE)+VLOOKUP($A24,main!$A$3:$H$102,4,FALSE)+(VLOOKUP(VLOOKUP(CJ$1,main!$A$3:$H$102,8,FALSE),main!$K$19:$O$22,MATCH(VLOOKUP($A24,main!$A$3:$H$102,7,FALSE),main!$K$18:$O$18,0),0))),0)</f>
        <v>68</v>
      </c>
      <c r="CK24">
        <f>IF((gamma!CK24),IF(VLOOKUP(CK$1,main!$A$3:$H$102,7,FALSE)=VLOOKUP($A24,main!$A$3:$H$102,8,FALSE),VLOOKUP(CK$1,main!$A$3:$H$102,4,FALSE),VLOOKUP(CK$1,main!$A$3:$H$102,4,FALSE)+VLOOKUP($A24,main!$A$3:$H$102,4,FALSE)+(VLOOKUP(VLOOKUP(CK$1,main!$A$3:$H$102,8,FALSE),main!$K$19:$O$22,MATCH(VLOOKUP($A24,main!$A$3:$H$102,7,FALSE),main!$K$18:$O$18,0),0))),0)</f>
        <v>0</v>
      </c>
      <c r="CL24">
        <f>IF((gamma!CL24),IF(VLOOKUP(CL$1,main!$A$3:$H$102,7,FALSE)=VLOOKUP($A24,main!$A$3:$H$102,8,FALSE),VLOOKUP(CL$1,main!$A$3:$H$102,4,FALSE),VLOOKUP(CL$1,main!$A$3:$H$102,4,FALSE)+VLOOKUP($A24,main!$A$3:$H$102,4,FALSE)+(VLOOKUP(VLOOKUP(CL$1,main!$A$3:$H$102,8,FALSE),main!$K$19:$O$22,MATCH(VLOOKUP($A24,main!$A$3:$H$102,7,FALSE),main!$K$18:$O$18,0),0))),0)</f>
        <v>80</v>
      </c>
      <c r="CM24">
        <f>IF((gamma!CM24),IF(VLOOKUP(CM$1,main!$A$3:$H$102,7,FALSE)=VLOOKUP($A24,main!$A$3:$H$102,8,FALSE),VLOOKUP(CM$1,main!$A$3:$H$102,4,FALSE),VLOOKUP(CM$1,main!$A$3:$H$102,4,FALSE)+VLOOKUP($A24,main!$A$3:$H$102,4,FALSE)+(VLOOKUP(VLOOKUP(CM$1,main!$A$3:$H$102,8,FALSE),main!$K$19:$O$22,MATCH(VLOOKUP($A24,main!$A$3:$H$102,7,FALSE),main!$K$18:$O$18,0),0))),0)</f>
        <v>100</v>
      </c>
      <c r="CN24">
        <f>IF((gamma!CN24),IF(VLOOKUP(CN$1,main!$A$3:$H$102,7,FALSE)=VLOOKUP($A24,main!$A$3:$H$102,8,FALSE),VLOOKUP(CN$1,main!$A$3:$H$102,4,FALSE),VLOOKUP(CN$1,main!$A$3:$H$102,4,FALSE)+VLOOKUP($A24,main!$A$3:$H$102,4,FALSE)+(VLOOKUP(VLOOKUP(CN$1,main!$A$3:$H$102,8,FALSE),main!$K$19:$O$22,MATCH(VLOOKUP($A24,main!$A$3:$H$102,7,FALSE),main!$K$18:$O$18,0),0))),0)</f>
        <v>96</v>
      </c>
      <c r="CO24">
        <f>IF((gamma!CO24),IF(VLOOKUP(CO$1,main!$A$3:$H$102,7,FALSE)=VLOOKUP($A24,main!$A$3:$H$102,8,FALSE),VLOOKUP(CO$1,main!$A$3:$H$102,4,FALSE),VLOOKUP(CO$1,main!$A$3:$H$102,4,FALSE)+VLOOKUP($A24,main!$A$3:$H$102,4,FALSE)+(VLOOKUP(VLOOKUP(CO$1,main!$A$3:$H$102,8,FALSE),main!$K$19:$O$22,MATCH(VLOOKUP($A24,main!$A$3:$H$102,7,FALSE),main!$K$18:$O$18,0),0))),0)</f>
        <v>0</v>
      </c>
      <c r="CP24">
        <f>IF((gamma!CP24),IF(VLOOKUP(CP$1,main!$A$3:$H$102,7,FALSE)=VLOOKUP($A24,main!$A$3:$H$102,8,FALSE),VLOOKUP(CP$1,main!$A$3:$H$102,4,FALSE),VLOOKUP(CP$1,main!$A$3:$H$102,4,FALSE)+VLOOKUP($A24,main!$A$3:$H$102,4,FALSE)+(VLOOKUP(VLOOKUP(CP$1,main!$A$3:$H$102,8,FALSE),main!$K$19:$O$22,MATCH(VLOOKUP($A24,main!$A$3:$H$102,7,FALSE),main!$K$18:$O$18,0),0))),0)</f>
        <v>0</v>
      </c>
      <c r="CQ24">
        <f>IF((gamma!CQ24),IF(VLOOKUP(CQ$1,main!$A$3:$H$102,7,FALSE)=VLOOKUP($A24,main!$A$3:$H$102,8,FALSE),VLOOKUP(CQ$1,main!$A$3:$H$102,4,FALSE),VLOOKUP(CQ$1,main!$A$3:$H$102,4,FALSE)+VLOOKUP($A24,main!$A$3:$H$102,4,FALSE)+(VLOOKUP(VLOOKUP(CQ$1,main!$A$3:$H$102,8,FALSE),main!$K$19:$O$22,MATCH(VLOOKUP($A24,main!$A$3:$H$102,7,FALSE),main!$K$18:$O$18,0),0))),0)</f>
        <v>0</v>
      </c>
      <c r="CR24">
        <f>IF((gamma!CR24),IF(VLOOKUP(CR$1,main!$A$3:$H$102,7,FALSE)=VLOOKUP($A24,main!$A$3:$H$102,8,FALSE),VLOOKUP(CR$1,main!$A$3:$H$102,4,FALSE),VLOOKUP(CR$1,main!$A$3:$H$102,4,FALSE)+VLOOKUP($A24,main!$A$3:$H$102,4,FALSE)+(VLOOKUP(VLOOKUP(CR$1,main!$A$3:$H$102,8,FALSE),main!$K$19:$O$22,MATCH(VLOOKUP($A24,main!$A$3:$H$102,7,FALSE),main!$K$18:$O$18,0),0))),0)</f>
        <v>135</v>
      </c>
      <c r="CS24">
        <f>IF((gamma!CS24),IF(VLOOKUP(CS$1,main!$A$3:$H$102,7,FALSE)=VLOOKUP($A24,main!$A$3:$H$102,8,FALSE),VLOOKUP(CS$1,main!$A$3:$H$102,4,FALSE),VLOOKUP(CS$1,main!$A$3:$H$102,4,FALSE)+VLOOKUP($A24,main!$A$3:$H$102,4,FALSE)+(VLOOKUP(VLOOKUP(CS$1,main!$A$3:$H$102,8,FALSE),main!$K$19:$O$22,MATCH(VLOOKUP($A24,main!$A$3:$H$102,7,FALSE),main!$K$18:$O$18,0),0))),0)</f>
        <v>135</v>
      </c>
      <c r="CT24">
        <f>IF((gamma!CT24),IF(VLOOKUP(CT$1,main!$A$3:$H$102,7,FALSE)=VLOOKUP($A24,main!$A$3:$H$102,8,FALSE),VLOOKUP(CT$1,main!$A$3:$H$102,4,FALSE),VLOOKUP(CT$1,main!$A$3:$H$102,4,FALSE)+VLOOKUP($A24,main!$A$3:$H$102,4,FALSE)+(VLOOKUP(VLOOKUP(CT$1,main!$A$3:$H$102,8,FALSE),main!$K$19:$O$22,MATCH(VLOOKUP($A24,main!$A$3:$H$102,7,FALSE),main!$K$18:$O$18,0),0))),0)</f>
        <v>0</v>
      </c>
      <c r="CU24">
        <f>IF((gamma!CU24),IF(VLOOKUP(CU$1,main!$A$3:$H$102,7,FALSE)=VLOOKUP($A24,main!$A$3:$H$102,8,FALSE),VLOOKUP(CU$1,main!$A$3:$H$102,4,FALSE),VLOOKUP(CU$1,main!$A$3:$H$102,4,FALSE)+VLOOKUP($A24,main!$A$3:$H$102,4,FALSE)+(VLOOKUP(VLOOKUP(CU$1,main!$A$3:$H$102,8,FALSE),main!$K$19:$O$22,MATCH(VLOOKUP($A24,main!$A$3:$H$102,7,FALSE),main!$K$18:$O$18,0),0))),0)</f>
        <v>0</v>
      </c>
      <c r="CV24">
        <f>IF((gamma!CV24),IF(VLOOKUP(CV$1,main!$A$3:$H$102,7,FALSE)=VLOOKUP($A24,main!$A$3:$H$102,8,FALSE),VLOOKUP(CV$1,main!$A$3:$H$102,4,FALSE),VLOOKUP(CV$1,main!$A$3:$H$102,4,FALSE)+VLOOKUP($A24,main!$A$3:$H$102,4,FALSE)+(VLOOKUP(VLOOKUP(CV$1,main!$A$3:$H$102,8,FALSE),main!$K$19:$O$22,MATCH(VLOOKUP($A24,main!$A$3:$H$102,7,FALSE),main!$K$18:$O$18,0),0))),0)</f>
        <v>0</v>
      </c>
      <c r="CW24">
        <f>IF((gamma!CW24),IF(VLOOKUP(CW$1,main!$A$3:$H$102,7,FALSE)=VLOOKUP($A24,main!$A$3:$H$102,8,FALSE),VLOOKUP(CW$1,main!$A$3:$H$102,4,FALSE),VLOOKUP(CW$1,main!$A$3:$H$102,4,FALSE)+VLOOKUP($A24,main!$A$3:$H$102,4,FALSE)+(VLOOKUP(VLOOKUP(CW$1,main!$A$3:$H$102,8,FALSE),main!$K$19:$O$22,MATCH(VLOOKUP($A24,main!$A$3:$H$102,7,FALSE),main!$K$18:$O$18,0),0))),0)</f>
        <v>95</v>
      </c>
      <c r="CX24">
        <f>IF((gamma!CX24),IF(VLOOKUP(CX$1,main!$A$3:$H$102,7,FALSE)=VLOOKUP($A24,main!$A$3:$H$102,8,FALSE),VLOOKUP(CX$1,main!$A$3:$H$102,4,FALSE),VLOOKUP(CX$1,main!$A$3:$H$102,4,FALSE)+VLOOKUP($A24,main!$A$3:$H$102,4,FALSE)+(VLOOKUP(VLOOKUP(CX$1,main!$A$3:$H$102,8,FALSE),main!$K$19:$O$22,MATCH(VLOOKUP($A24,main!$A$3:$H$102,7,FALSE),main!$K$18:$O$18,0),0))),0)</f>
        <v>85</v>
      </c>
      <c r="CY24">
        <v>0</v>
      </c>
      <c r="CZ24">
        <v>0</v>
      </c>
      <c r="DA24">
        <v>0</v>
      </c>
    </row>
    <row r="25" spans="1:105" x14ac:dyDescent="0.25">
      <c r="A25" s="1">
        <v>23</v>
      </c>
      <c r="B25">
        <v>0</v>
      </c>
      <c r="C25">
        <f>IF((gamma!C25),IF(VLOOKUP(C$1,main!$A$3:$H$102,7,FALSE)=VLOOKUP($A25,main!$A$3:$H$102,8,FALSE),VLOOKUP(C$1,main!$A$3:$H$102,4,FALSE),VLOOKUP(C$1,main!$A$3:$H$102,4,FALSE)+VLOOKUP($A25,main!$A$3:$H$102,4,FALSE)+(VLOOKUP(VLOOKUP(C$1,main!$A$3:$H$102,8,FALSE),main!$K$19:$O$22,MATCH(VLOOKUP($A25,main!$A$3:$H$102,7,FALSE),main!$K$18:$O$18,0),0))),0)</f>
        <v>0</v>
      </c>
      <c r="D25">
        <f>IF((gamma!D25),IF(VLOOKUP(D$1,main!$A$3:$H$102,7,FALSE)=VLOOKUP($A25,main!$A$3:$H$102,8,FALSE),VLOOKUP(D$1,main!$A$3:$H$102,4,FALSE),VLOOKUP(D$1,main!$A$3:$H$102,4,FALSE)+VLOOKUP($A25,main!$A$3:$H$102,4,FALSE)+(VLOOKUP(VLOOKUP(D$1,main!$A$3:$H$102,8,FALSE),main!$K$19:$O$22,MATCH(VLOOKUP($A25,main!$A$3:$H$102,7,FALSE),main!$K$18:$O$18,0),0))),0)</f>
        <v>0</v>
      </c>
      <c r="E25">
        <f>IF((gamma!E25),IF(VLOOKUP(E$1,main!$A$3:$H$102,7,FALSE)=VLOOKUP($A25,main!$A$3:$H$102,8,FALSE),VLOOKUP(E$1,main!$A$3:$H$102,4,FALSE),VLOOKUP(E$1,main!$A$3:$H$102,4,FALSE)+VLOOKUP($A25,main!$A$3:$H$102,4,FALSE)+(VLOOKUP(VLOOKUP(E$1,main!$A$3:$H$102,8,FALSE),main!$K$19:$O$22,MATCH(VLOOKUP($A25,main!$A$3:$H$102,7,FALSE),main!$K$18:$O$18,0),0))),0)</f>
        <v>0</v>
      </c>
      <c r="F25">
        <f>IF((gamma!F25),IF(VLOOKUP(F$1,main!$A$3:$H$102,7,FALSE)=VLOOKUP($A25,main!$A$3:$H$102,8,FALSE),VLOOKUP(F$1,main!$A$3:$H$102,4,FALSE),VLOOKUP(F$1,main!$A$3:$H$102,4,FALSE)+VLOOKUP($A25,main!$A$3:$H$102,4,FALSE)+(VLOOKUP(VLOOKUP(F$1,main!$A$3:$H$102,8,FALSE),main!$K$19:$O$22,MATCH(VLOOKUP($A25,main!$A$3:$H$102,7,FALSE),main!$K$18:$O$18,0),0))),0)</f>
        <v>0</v>
      </c>
      <c r="G25">
        <f>IF((gamma!G25),IF(VLOOKUP(G$1,main!$A$3:$H$102,7,FALSE)=VLOOKUP($A25,main!$A$3:$H$102,8,FALSE),VLOOKUP(G$1,main!$A$3:$H$102,4,FALSE),VLOOKUP(G$1,main!$A$3:$H$102,4,FALSE)+VLOOKUP($A25,main!$A$3:$H$102,4,FALSE)+(VLOOKUP(VLOOKUP(G$1,main!$A$3:$H$102,8,FALSE),main!$K$19:$O$22,MATCH(VLOOKUP($A25,main!$A$3:$H$102,7,FALSE),main!$K$18:$O$18,0),0))),0)</f>
        <v>0</v>
      </c>
      <c r="H25">
        <f>IF((gamma!H25),IF(VLOOKUP(H$1,main!$A$3:$H$102,7,FALSE)=VLOOKUP($A25,main!$A$3:$H$102,8,FALSE),VLOOKUP(H$1,main!$A$3:$H$102,4,FALSE),VLOOKUP(H$1,main!$A$3:$H$102,4,FALSE)+VLOOKUP($A25,main!$A$3:$H$102,4,FALSE)+(VLOOKUP(VLOOKUP(H$1,main!$A$3:$H$102,8,FALSE),main!$K$19:$O$22,MATCH(VLOOKUP($A25,main!$A$3:$H$102,7,FALSE),main!$K$18:$O$18,0),0))),0)</f>
        <v>0</v>
      </c>
      <c r="I25">
        <f>IF((gamma!I25),IF(VLOOKUP(I$1,main!$A$3:$H$102,7,FALSE)=VLOOKUP($A25,main!$A$3:$H$102,8,FALSE),VLOOKUP(I$1,main!$A$3:$H$102,4,FALSE),VLOOKUP(I$1,main!$A$3:$H$102,4,FALSE)+VLOOKUP($A25,main!$A$3:$H$102,4,FALSE)+(VLOOKUP(VLOOKUP(I$1,main!$A$3:$H$102,8,FALSE),main!$K$19:$O$22,MATCH(VLOOKUP($A25,main!$A$3:$H$102,7,FALSE),main!$K$18:$O$18,0),0))),0)</f>
        <v>295</v>
      </c>
      <c r="J25">
        <f>IF((gamma!J25),IF(VLOOKUP(J$1,main!$A$3:$H$102,7,FALSE)=VLOOKUP($A25,main!$A$3:$H$102,8,FALSE),VLOOKUP(J$1,main!$A$3:$H$102,4,FALSE),VLOOKUP(J$1,main!$A$3:$H$102,4,FALSE)+VLOOKUP($A25,main!$A$3:$H$102,4,FALSE)+(VLOOKUP(VLOOKUP(J$1,main!$A$3:$H$102,8,FALSE),main!$K$19:$O$22,MATCH(VLOOKUP($A25,main!$A$3:$H$102,7,FALSE),main!$K$18:$O$18,0),0))),0)</f>
        <v>295</v>
      </c>
      <c r="K25">
        <f>IF((gamma!K25),IF(VLOOKUP(K$1,main!$A$3:$H$102,7,FALSE)=VLOOKUP($A25,main!$A$3:$H$102,8,FALSE),VLOOKUP(K$1,main!$A$3:$H$102,4,FALSE),VLOOKUP(K$1,main!$A$3:$H$102,4,FALSE)+VLOOKUP($A25,main!$A$3:$H$102,4,FALSE)+(VLOOKUP(VLOOKUP(K$1,main!$A$3:$H$102,8,FALSE),main!$K$19:$O$22,MATCH(VLOOKUP($A25,main!$A$3:$H$102,7,FALSE),main!$K$18:$O$18,0),0))),0)</f>
        <v>295</v>
      </c>
      <c r="L25">
        <f>IF((gamma!L25),IF(VLOOKUP(L$1,main!$A$3:$H$102,7,FALSE)=VLOOKUP($A25,main!$A$3:$H$102,8,FALSE),VLOOKUP(L$1,main!$A$3:$H$102,4,FALSE),VLOOKUP(L$1,main!$A$3:$H$102,4,FALSE)+VLOOKUP($A25,main!$A$3:$H$102,4,FALSE)+(VLOOKUP(VLOOKUP(L$1,main!$A$3:$H$102,8,FALSE),main!$K$19:$O$22,MATCH(VLOOKUP($A25,main!$A$3:$H$102,7,FALSE),main!$K$18:$O$18,0),0))),0)</f>
        <v>295</v>
      </c>
      <c r="M25">
        <f>IF((gamma!M25),IF(VLOOKUP(M$1,main!$A$3:$H$102,7,FALSE)=VLOOKUP($A25,main!$A$3:$H$102,8,FALSE),VLOOKUP(M$1,main!$A$3:$H$102,4,FALSE),VLOOKUP(M$1,main!$A$3:$H$102,4,FALSE)+VLOOKUP($A25,main!$A$3:$H$102,4,FALSE)+(VLOOKUP(VLOOKUP(M$1,main!$A$3:$H$102,8,FALSE),main!$K$19:$O$22,MATCH(VLOOKUP($A25,main!$A$3:$H$102,7,FALSE),main!$K$18:$O$18,0),0))),0)</f>
        <v>0</v>
      </c>
      <c r="N25">
        <f>IF((gamma!N25),IF(VLOOKUP(N$1,main!$A$3:$H$102,7,FALSE)=VLOOKUP($A25,main!$A$3:$H$102,8,FALSE),VLOOKUP(N$1,main!$A$3:$H$102,4,FALSE),VLOOKUP(N$1,main!$A$3:$H$102,4,FALSE)+VLOOKUP($A25,main!$A$3:$H$102,4,FALSE)+(VLOOKUP(VLOOKUP(N$1,main!$A$3:$H$102,8,FALSE),main!$K$19:$O$22,MATCH(VLOOKUP($A25,main!$A$3:$H$102,7,FALSE),main!$K$18:$O$18,0),0))),0)</f>
        <v>0</v>
      </c>
      <c r="O25">
        <f>IF((gamma!O25),IF(VLOOKUP(O$1,main!$A$3:$H$102,7,FALSE)=VLOOKUP($A25,main!$A$3:$H$102,8,FALSE),VLOOKUP(O$1,main!$A$3:$H$102,4,FALSE),VLOOKUP(O$1,main!$A$3:$H$102,4,FALSE)+VLOOKUP($A25,main!$A$3:$H$102,4,FALSE)+(VLOOKUP(VLOOKUP(O$1,main!$A$3:$H$102,8,FALSE),main!$K$19:$O$22,MATCH(VLOOKUP($A25,main!$A$3:$H$102,7,FALSE),main!$K$18:$O$18,0),0))),0)</f>
        <v>0</v>
      </c>
      <c r="P25">
        <f>IF((gamma!P25),IF(VLOOKUP(P$1,main!$A$3:$H$102,7,FALSE)=VLOOKUP($A25,main!$A$3:$H$102,8,FALSE),VLOOKUP(P$1,main!$A$3:$H$102,4,FALSE),VLOOKUP(P$1,main!$A$3:$H$102,4,FALSE)+VLOOKUP($A25,main!$A$3:$H$102,4,FALSE)+(VLOOKUP(VLOOKUP(P$1,main!$A$3:$H$102,8,FALSE),main!$K$19:$O$22,MATCH(VLOOKUP($A25,main!$A$3:$H$102,7,FALSE),main!$K$18:$O$18,0),0))),0)</f>
        <v>0</v>
      </c>
      <c r="Q25">
        <f>IF((gamma!Q25),IF(VLOOKUP(Q$1,main!$A$3:$H$102,7,FALSE)=VLOOKUP($A25,main!$A$3:$H$102,8,FALSE),VLOOKUP(Q$1,main!$A$3:$H$102,4,FALSE),VLOOKUP(Q$1,main!$A$3:$H$102,4,FALSE)+VLOOKUP($A25,main!$A$3:$H$102,4,FALSE)+(VLOOKUP(VLOOKUP(Q$1,main!$A$3:$H$102,8,FALSE),main!$K$19:$O$22,MATCH(VLOOKUP($A25,main!$A$3:$H$102,7,FALSE),main!$K$18:$O$18,0),0))),0)</f>
        <v>0</v>
      </c>
      <c r="R25">
        <f>IF((gamma!R25),IF(VLOOKUP(R$1,main!$A$3:$H$102,7,FALSE)=VLOOKUP($A25,main!$A$3:$H$102,8,FALSE),VLOOKUP(R$1,main!$A$3:$H$102,4,FALSE),VLOOKUP(R$1,main!$A$3:$H$102,4,FALSE)+VLOOKUP($A25,main!$A$3:$H$102,4,FALSE)+(VLOOKUP(VLOOKUP(R$1,main!$A$3:$H$102,8,FALSE),main!$K$19:$O$22,MATCH(VLOOKUP($A25,main!$A$3:$H$102,7,FALSE),main!$K$18:$O$18,0),0))),0)</f>
        <v>0</v>
      </c>
      <c r="S25">
        <f>IF((gamma!S25),IF(VLOOKUP(S$1,main!$A$3:$H$102,7,FALSE)=VLOOKUP($A25,main!$A$3:$H$102,8,FALSE),VLOOKUP(S$1,main!$A$3:$H$102,4,FALSE),VLOOKUP(S$1,main!$A$3:$H$102,4,FALSE)+VLOOKUP($A25,main!$A$3:$H$102,4,FALSE)+(VLOOKUP(VLOOKUP(S$1,main!$A$3:$H$102,8,FALSE),main!$K$19:$O$22,MATCH(VLOOKUP($A25,main!$A$3:$H$102,7,FALSE),main!$K$18:$O$18,0),0))),0)</f>
        <v>0</v>
      </c>
      <c r="T25">
        <f>IF((gamma!T25),IF(VLOOKUP(T$1,main!$A$3:$H$102,7,FALSE)=VLOOKUP($A25,main!$A$3:$H$102,8,FALSE),VLOOKUP(T$1,main!$A$3:$H$102,4,FALSE),VLOOKUP(T$1,main!$A$3:$H$102,4,FALSE)+VLOOKUP($A25,main!$A$3:$H$102,4,FALSE)+(VLOOKUP(VLOOKUP(T$1,main!$A$3:$H$102,8,FALSE),main!$K$19:$O$22,MATCH(VLOOKUP($A25,main!$A$3:$H$102,7,FALSE),main!$K$18:$O$18,0),0))),0)</f>
        <v>305</v>
      </c>
      <c r="U25">
        <f>IF((gamma!U25),IF(VLOOKUP(U$1,main!$A$3:$H$102,7,FALSE)=VLOOKUP($A25,main!$A$3:$H$102,8,FALSE),VLOOKUP(U$1,main!$A$3:$H$102,4,FALSE),VLOOKUP(U$1,main!$A$3:$H$102,4,FALSE)+VLOOKUP($A25,main!$A$3:$H$102,4,FALSE)+(VLOOKUP(VLOOKUP(U$1,main!$A$3:$H$102,8,FALSE),main!$K$19:$O$22,MATCH(VLOOKUP($A25,main!$A$3:$H$102,7,FALSE),main!$K$18:$O$18,0),0))),0)</f>
        <v>305</v>
      </c>
      <c r="V25">
        <f>IF((gamma!V25),IF(VLOOKUP(V$1,main!$A$3:$H$102,7,FALSE)=VLOOKUP($A25,main!$A$3:$H$102,8,FALSE),VLOOKUP(V$1,main!$A$3:$H$102,4,FALSE),VLOOKUP(V$1,main!$A$3:$H$102,4,FALSE)+VLOOKUP($A25,main!$A$3:$H$102,4,FALSE)+(VLOOKUP(VLOOKUP(V$1,main!$A$3:$H$102,8,FALSE),main!$K$19:$O$22,MATCH(VLOOKUP($A25,main!$A$3:$H$102,7,FALSE),main!$K$18:$O$18,0),0))),0)</f>
        <v>305</v>
      </c>
      <c r="W25">
        <f>IF((gamma!W25),IF(VLOOKUP(W$1,main!$A$3:$H$102,7,FALSE)=VLOOKUP($A25,main!$A$3:$H$102,8,FALSE),VLOOKUP(W$1,main!$A$3:$H$102,4,FALSE),VLOOKUP(W$1,main!$A$3:$H$102,4,FALSE)+VLOOKUP($A25,main!$A$3:$H$102,4,FALSE)+(VLOOKUP(VLOOKUP(W$1,main!$A$3:$H$102,8,FALSE),main!$K$19:$O$22,MATCH(VLOOKUP($A25,main!$A$3:$H$102,7,FALSE),main!$K$18:$O$18,0),0))),0)</f>
        <v>0</v>
      </c>
      <c r="X25">
        <f>IF((gamma!X25),IF(VLOOKUP(X$1,main!$A$3:$H$102,7,FALSE)=VLOOKUP($A25,main!$A$3:$H$102,8,FALSE),VLOOKUP(X$1,main!$A$3:$H$102,4,FALSE),VLOOKUP(X$1,main!$A$3:$H$102,4,FALSE)+VLOOKUP($A25,main!$A$3:$H$102,4,FALSE)+(VLOOKUP(VLOOKUP(X$1,main!$A$3:$H$102,8,FALSE),main!$K$19:$O$22,MATCH(VLOOKUP($A25,main!$A$3:$H$102,7,FALSE),main!$K$18:$O$18,0),0))),0)</f>
        <v>0</v>
      </c>
      <c r="Y25">
        <f>IF((gamma!Y25),IF(VLOOKUP(Y$1,main!$A$3:$H$102,7,FALSE)=VLOOKUP($A25,main!$A$3:$H$102,8,FALSE),VLOOKUP(Y$1,main!$A$3:$H$102,4,FALSE),VLOOKUP(Y$1,main!$A$3:$H$102,4,FALSE)+VLOOKUP($A25,main!$A$3:$H$102,4,FALSE)+(VLOOKUP(VLOOKUP(Y$1,main!$A$3:$H$102,8,FALSE),main!$K$19:$O$22,MATCH(VLOOKUP($A25,main!$A$3:$H$102,7,FALSE),main!$K$18:$O$18,0),0))),0)</f>
        <v>0</v>
      </c>
      <c r="Z25">
        <f>IF((gamma!Z25),IF(VLOOKUP(Z$1,main!$A$3:$H$102,7,FALSE)=VLOOKUP($A25,main!$A$3:$H$102,8,FALSE),VLOOKUP(Z$1,main!$A$3:$H$102,4,FALSE),VLOOKUP(Z$1,main!$A$3:$H$102,4,FALSE)+VLOOKUP($A25,main!$A$3:$H$102,4,FALSE)+(VLOOKUP(VLOOKUP(Z$1,main!$A$3:$H$102,8,FALSE),main!$K$19:$O$22,MATCH(VLOOKUP($A25,main!$A$3:$H$102,7,FALSE),main!$K$18:$O$18,0),0))),0)</f>
        <v>0</v>
      </c>
      <c r="AA25">
        <f>IF((gamma!AA25),IF(VLOOKUP(AA$1,main!$A$3:$H$102,7,FALSE)=VLOOKUP($A25,main!$A$3:$H$102,8,FALSE),VLOOKUP(AA$1,main!$A$3:$H$102,4,FALSE),VLOOKUP(AA$1,main!$A$3:$H$102,4,FALSE)+VLOOKUP($A25,main!$A$3:$H$102,4,FALSE)+(VLOOKUP(VLOOKUP(AA$1,main!$A$3:$H$102,8,FALSE),main!$K$19:$O$22,MATCH(VLOOKUP($A25,main!$A$3:$H$102,7,FALSE),main!$K$18:$O$18,0),0))),0)</f>
        <v>310</v>
      </c>
      <c r="AB25">
        <f>IF((gamma!AB25),IF(VLOOKUP(AB$1,main!$A$3:$H$102,7,FALSE)=VLOOKUP($A25,main!$A$3:$H$102,8,FALSE),VLOOKUP(AB$1,main!$A$3:$H$102,4,FALSE),VLOOKUP(AB$1,main!$A$3:$H$102,4,FALSE)+VLOOKUP($A25,main!$A$3:$H$102,4,FALSE)+(VLOOKUP(VLOOKUP(AB$1,main!$A$3:$H$102,8,FALSE),main!$K$19:$O$22,MATCH(VLOOKUP($A25,main!$A$3:$H$102,7,FALSE),main!$K$18:$O$18,0),0))),0)</f>
        <v>0</v>
      </c>
      <c r="AC25">
        <f>IF((gamma!AC25),IF(VLOOKUP(AC$1,main!$A$3:$H$102,7,FALSE)=VLOOKUP($A25,main!$A$3:$H$102,8,FALSE),VLOOKUP(AC$1,main!$A$3:$H$102,4,FALSE),VLOOKUP(AC$1,main!$A$3:$H$102,4,FALSE)+VLOOKUP($A25,main!$A$3:$H$102,4,FALSE)+(VLOOKUP(VLOOKUP(AC$1,main!$A$3:$H$102,8,FALSE),main!$K$19:$O$22,MATCH(VLOOKUP($A25,main!$A$3:$H$102,7,FALSE),main!$K$18:$O$18,0),0))),0)</f>
        <v>0</v>
      </c>
      <c r="AD25">
        <f>IF((gamma!AD25),IF(VLOOKUP(AD$1,main!$A$3:$H$102,7,FALSE)=VLOOKUP($A25,main!$A$3:$H$102,8,FALSE),VLOOKUP(AD$1,main!$A$3:$H$102,4,FALSE),VLOOKUP(AD$1,main!$A$3:$H$102,4,FALSE)+VLOOKUP($A25,main!$A$3:$H$102,4,FALSE)+(VLOOKUP(VLOOKUP(AD$1,main!$A$3:$H$102,8,FALSE),main!$K$19:$O$22,MATCH(VLOOKUP($A25,main!$A$3:$H$102,7,FALSE),main!$K$18:$O$18,0),0))),0)</f>
        <v>0</v>
      </c>
      <c r="AE25">
        <f>IF((gamma!AE25),IF(VLOOKUP(AE$1,main!$A$3:$H$102,7,FALSE)=VLOOKUP($A25,main!$A$3:$H$102,8,FALSE),VLOOKUP(AE$1,main!$A$3:$H$102,4,FALSE),VLOOKUP(AE$1,main!$A$3:$H$102,4,FALSE)+VLOOKUP($A25,main!$A$3:$H$102,4,FALSE)+(VLOOKUP(VLOOKUP(AE$1,main!$A$3:$H$102,8,FALSE),main!$K$19:$O$22,MATCH(VLOOKUP($A25,main!$A$3:$H$102,7,FALSE),main!$K$18:$O$18,0),0))),0)</f>
        <v>0</v>
      </c>
      <c r="AF25">
        <f>IF((gamma!AF25),IF(VLOOKUP(AF$1,main!$A$3:$H$102,7,FALSE)=VLOOKUP($A25,main!$A$3:$H$102,8,FALSE),VLOOKUP(AF$1,main!$A$3:$H$102,4,FALSE),VLOOKUP(AF$1,main!$A$3:$H$102,4,FALSE)+VLOOKUP($A25,main!$A$3:$H$102,4,FALSE)+(VLOOKUP(VLOOKUP(AF$1,main!$A$3:$H$102,8,FALSE),main!$K$19:$O$22,MATCH(VLOOKUP($A25,main!$A$3:$H$102,7,FALSE),main!$K$18:$O$18,0),0))),0)</f>
        <v>270</v>
      </c>
      <c r="AG25">
        <f>IF((gamma!AG25),IF(VLOOKUP(AG$1,main!$A$3:$H$102,7,FALSE)=VLOOKUP($A25,main!$A$3:$H$102,8,FALSE),VLOOKUP(AG$1,main!$A$3:$H$102,4,FALSE),VLOOKUP(AG$1,main!$A$3:$H$102,4,FALSE)+VLOOKUP($A25,main!$A$3:$H$102,4,FALSE)+(VLOOKUP(VLOOKUP(AG$1,main!$A$3:$H$102,8,FALSE),main!$K$19:$O$22,MATCH(VLOOKUP($A25,main!$A$3:$H$102,7,FALSE),main!$K$18:$O$18,0),0))),0)</f>
        <v>0</v>
      </c>
      <c r="AH25">
        <f>IF((gamma!AH25),IF(VLOOKUP(AH$1,main!$A$3:$H$102,7,FALSE)=VLOOKUP($A25,main!$A$3:$H$102,8,FALSE),VLOOKUP(AH$1,main!$A$3:$H$102,4,FALSE),VLOOKUP(AH$1,main!$A$3:$H$102,4,FALSE)+VLOOKUP($A25,main!$A$3:$H$102,4,FALSE)+(VLOOKUP(VLOOKUP(AH$1,main!$A$3:$H$102,8,FALSE),main!$K$19:$O$22,MATCH(VLOOKUP($A25,main!$A$3:$H$102,7,FALSE),main!$K$18:$O$18,0),0))),0)</f>
        <v>0</v>
      </c>
      <c r="AI25">
        <f>IF((gamma!AI25),IF(VLOOKUP(AI$1,main!$A$3:$H$102,7,FALSE)=VLOOKUP($A25,main!$A$3:$H$102,8,FALSE),VLOOKUP(AI$1,main!$A$3:$H$102,4,FALSE),VLOOKUP(AI$1,main!$A$3:$H$102,4,FALSE)+VLOOKUP($A25,main!$A$3:$H$102,4,FALSE)+(VLOOKUP(VLOOKUP(AI$1,main!$A$3:$H$102,8,FALSE),main!$K$19:$O$22,MATCH(VLOOKUP($A25,main!$A$3:$H$102,7,FALSE),main!$K$18:$O$18,0),0))),0)</f>
        <v>0</v>
      </c>
      <c r="AJ25">
        <f>IF((gamma!AJ25),IF(VLOOKUP(AJ$1,main!$A$3:$H$102,7,FALSE)=VLOOKUP($A25,main!$A$3:$H$102,8,FALSE),VLOOKUP(AJ$1,main!$A$3:$H$102,4,FALSE),VLOOKUP(AJ$1,main!$A$3:$H$102,4,FALSE)+VLOOKUP($A25,main!$A$3:$H$102,4,FALSE)+(VLOOKUP(VLOOKUP(AJ$1,main!$A$3:$H$102,8,FALSE),main!$K$19:$O$22,MATCH(VLOOKUP($A25,main!$A$3:$H$102,7,FALSE),main!$K$18:$O$18,0),0))),0)</f>
        <v>0</v>
      </c>
      <c r="AK25">
        <f>IF((gamma!AK25),IF(VLOOKUP(AK$1,main!$A$3:$H$102,7,FALSE)=VLOOKUP($A25,main!$A$3:$H$102,8,FALSE),VLOOKUP(AK$1,main!$A$3:$H$102,4,FALSE),VLOOKUP(AK$1,main!$A$3:$H$102,4,FALSE)+VLOOKUP($A25,main!$A$3:$H$102,4,FALSE)+(VLOOKUP(VLOOKUP(AK$1,main!$A$3:$H$102,8,FALSE),main!$K$19:$O$22,MATCH(VLOOKUP($A25,main!$A$3:$H$102,7,FALSE),main!$K$18:$O$18,0),0))),0)</f>
        <v>0</v>
      </c>
      <c r="AL25">
        <f>IF((gamma!AL25),IF(VLOOKUP(AL$1,main!$A$3:$H$102,7,FALSE)=VLOOKUP($A25,main!$A$3:$H$102,8,FALSE),VLOOKUP(AL$1,main!$A$3:$H$102,4,FALSE),VLOOKUP(AL$1,main!$A$3:$H$102,4,FALSE)+VLOOKUP($A25,main!$A$3:$H$102,4,FALSE)+(VLOOKUP(VLOOKUP(AL$1,main!$A$3:$H$102,8,FALSE),main!$K$19:$O$22,MATCH(VLOOKUP($A25,main!$A$3:$H$102,7,FALSE),main!$K$18:$O$18,0),0))),0)</f>
        <v>270</v>
      </c>
      <c r="AM25">
        <f>IF((gamma!AM25),IF(VLOOKUP(AM$1,main!$A$3:$H$102,7,FALSE)=VLOOKUP($A25,main!$A$3:$H$102,8,FALSE),VLOOKUP(AM$1,main!$A$3:$H$102,4,FALSE),VLOOKUP(AM$1,main!$A$3:$H$102,4,FALSE)+VLOOKUP($A25,main!$A$3:$H$102,4,FALSE)+(VLOOKUP(VLOOKUP(AM$1,main!$A$3:$H$102,8,FALSE),main!$K$19:$O$22,MATCH(VLOOKUP($A25,main!$A$3:$H$102,7,FALSE),main!$K$18:$O$18,0),0))),0)</f>
        <v>270</v>
      </c>
      <c r="AN25">
        <f>IF((gamma!AN25),IF(VLOOKUP(AN$1,main!$A$3:$H$102,7,FALSE)=VLOOKUP($A25,main!$A$3:$H$102,8,FALSE),VLOOKUP(AN$1,main!$A$3:$H$102,4,FALSE),VLOOKUP(AN$1,main!$A$3:$H$102,4,FALSE)+VLOOKUP($A25,main!$A$3:$H$102,4,FALSE)+(VLOOKUP(VLOOKUP(AN$1,main!$A$3:$H$102,8,FALSE),main!$K$19:$O$22,MATCH(VLOOKUP($A25,main!$A$3:$H$102,7,FALSE),main!$K$18:$O$18,0),0))),0)</f>
        <v>270</v>
      </c>
      <c r="AO25">
        <f>IF((gamma!AO25),IF(VLOOKUP(AO$1,main!$A$3:$H$102,7,FALSE)=VLOOKUP($A25,main!$A$3:$H$102,8,FALSE),VLOOKUP(AO$1,main!$A$3:$H$102,4,FALSE),VLOOKUP(AO$1,main!$A$3:$H$102,4,FALSE)+VLOOKUP($A25,main!$A$3:$H$102,4,FALSE)+(VLOOKUP(VLOOKUP(AO$1,main!$A$3:$H$102,8,FALSE),main!$K$19:$O$22,MATCH(VLOOKUP($A25,main!$A$3:$H$102,7,FALSE),main!$K$18:$O$18,0),0))),0)</f>
        <v>0</v>
      </c>
      <c r="AP25">
        <f>IF((gamma!AP25),IF(VLOOKUP(AP$1,main!$A$3:$H$102,7,FALSE)=VLOOKUP($A25,main!$A$3:$H$102,8,FALSE),VLOOKUP(AP$1,main!$A$3:$H$102,4,FALSE),VLOOKUP(AP$1,main!$A$3:$H$102,4,FALSE)+VLOOKUP($A25,main!$A$3:$H$102,4,FALSE)+(VLOOKUP(VLOOKUP(AP$1,main!$A$3:$H$102,8,FALSE),main!$K$19:$O$22,MATCH(VLOOKUP($A25,main!$A$3:$H$102,7,FALSE),main!$K$18:$O$18,0),0))),0)</f>
        <v>210</v>
      </c>
      <c r="AQ25">
        <f>IF((gamma!AQ25),IF(VLOOKUP(AQ$1,main!$A$3:$H$102,7,FALSE)=VLOOKUP($A25,main!$A$3:$H$102,8,FALSE),VLOOKUP(AQ$1,main!$A$3:$H$102,4,FALSE),VLOOKUP(AQ$1,main!$A$3:$H$102,4,FALSE)+VLOOKUP($A25,main!$A$3:$H$102,4,FALSE)+(VLOOKUP(VLOOKUP(AQ$1,main!$A$3:$H$102,8,FALSE),main!$K$19:$O$22,MATCH(VLOOKUP($A25,main!$A$3:$H$102,7,FALSE),main!$K$18:$O$18,0),0))),0)</f>
        <v>0</v>
      </c>
      <c r="AR25">
        <f>IF((gamma!AR25),IF(VLOOKUP(AR$1,main!$A$3:$H$102,7,FALSE)=VLOOKUP($A25,main!$A$3:$H$102,8,FALSE),VLOOKUP(AR$1,main!$A$3:$H$102,4,FALSE),VLOOKUP(AR$1,main!$A$3:$H$102,4,FALSE)+VLOOKUP($A25,main!$A$3:$H$102,4,FALSE)+(VLOOKUP(VLOOKUP(AR$1,main!$A$3:$H$102,8,FALSE),main!$K$19:$O$22,MATCH(VLOOKUP($A25,main!$A$3:$H$102,7,FALSE),main!$K$18:$O$18,0),0))),0)</f>
        <v>0</v>
      </c>
      <c r="AS25">
        <f>IF((gamma!AS25),IF(VLOOKUP(AS$1,main!$A$3:$H$102,7,FALSE)=VLOOKUP($A25,main!$A$3:$H$102,8,FALSE),VLOOKUP(AS$1,main!$A$3:$H$102,4,FALSE),VLOOKUP(AS$1,main!$A$3:$H$102,4,FALSE)+VLOOKUP($A25,main!$A$3:$H$102,4,FALSE)+(VLOOKUP(VLOOKUP(AS$1,main!$A$3:$H$102,8,FALSE),main!$K$19:$O$22,MATCH(VLOOKUP($A25,main!$A$3:$H$102,7,FALSE),main!$K$18:$O$18,0),0))),0)</f>
        <v>0</v>
      </c>
      <c r="AT25">
        <f>IF((gamma!AT25),IF(VLOOKUP(AT$1,main!$A$3:$H$102,7,FALSE)=VLOOKUP($A25,main!$A$3:$H$102,8,FALSE),VLOOKUP(AT$1,main!$A$3:$H$102,4,FALSE),VLOOKUP(AT$1,main!$A$3:$H$102,4,FALSE)+VLOOKUP($A25,main!$A$3:$H$102,4,FALSE)+(VLOOKUP(VLOOKUP(AT$1,main!$A$3:$H$102,8,FALSE),main!$K$19:$O$22,MATCH(VLOOKUP($A25,main!$A$3:$H$102,7,FALSE),main!$K$18:$O$18,0),0))),0)</f>
        <v>0</v>
      </c>
      <c r="AU25">
        <f>IF((gamma!AU25),IF(VLOOKUP(AU$1,main!$A$3:$H$102,7,FALSE)=VLOOKUP($A25,main!$A$3:$H$102,8,FALSE),VLOOKUP(AU$1,main!$A$3:$H$102,4,FALSE),VLOOKUP(AU$1,main!$A$3:$H$102,4,FALSE)+VLOOKUP($A25,main!$A$3:$H$102,4,FALSE)+(VLOOKUP(VLOOKUP(AU$1,main!$A$3:$H$102,8,FALSE),main!$K$19:$O$22,MATCH(VLOOKUP($A25,main!$A$3:$H$102,7,FALSE),main!$K$18:$O$18,0),0))),0)</f>
        <v>0</v>
      </c>
      <c r="AV25">
        <f>IF((gamma!AV25),IF(VLOOKUP(AV$1,main!$A$3:$H$102,7,FALSE)=VLOOKUP($A25,main!$A$3:$H$102,8,FALSE),VLOOKUP(AV$1,main!$A$3:$H$102,4,FALSE),VLOOKUP(AV$1,main!$A$3:$H$102,4,FALSE)+VLOOKUP($A25,main!$A$3:$H$102,4,FALSE)+(VLOOKUP(VLOOKUP(AV$1,main!$A$3:$H$102,8,FALSE),main!$K$19:$O$22,MATCH(VLOOKUP($A25,main!$A$3:$H$102,7,FALSE),main!$K$18:$O$18,0),0))),0)</f>
        <v>0</v>
      </c>
      <c r="AW25">
        <f>IF((gamma!AW25),IF(VLOOKUP(AW$1,main!$A$3:$H$102,7,FALSE)=VLOOKUP($A25,main!$A$3:$H$102,8,FALSE),VLOOKUP(AW$1,main!$A$3:$H$102,4,FALSE),VLOOKUP(AW$1,main!$A$3:$H$102,4,FALSE)+VLOOKUP($A25,main!$A$3:$H$102,4,FALSE)+(VLOOKUP(VLOOKUP(AW$1,main!$A$3:$H$102,8,FALSE),main!$K$19:$O$22,MATCH(VLOOKUP($A25,main!$A$3:$H$102,7,FALSE),main!$K$18:$O$18,0),0))),0)</f>
        <v>0</v>
      </c>
      <c r="AX25">
        <f>IF((gamma!AX25),IF(VLOOKUP(AX$1,main!$A$3:$H$102,7,FALSE)=VLOOKUP($A25,main!$A$3:$H$102,8,FALSE),VLOOKUP(AX$1,main!$A$3:$H$102,4,FALSE),VLOOKUP(AX$1,main!$A$3:$H$102,4,FALSE)+VLOOKUP($A25,main!$A$3:$H$102,4,FALSE)+(VLOOKUP(VLOOKUP(AX$1,main!$A$3:$H$102,8,FALSE),main!$K$19:$O$22,MATCH(VLOOKUP($A25,main!$A$3:$H$102,7,FALSE),main!$K$18:$O$18,0),0))),0)</f>
        <v>0</v>
      </c>
      <c r="AY25">
        <f>IF((gamma!AY25),IF(VLOOKUP(AY$1,main!$A$3:$H$102,7,FALSE)=VLOOKUP($A25,main!$A$3:$H$102,8,FALSE),VLOOKUP(AY$1,main!$A$3:$H$102,4,FALSE),VLOOKUP(AY$1,main!$A$3:$H$102,4,FALSE)+VLOOKUP($A25,main!$A$3:$H$102,4,FALSE)+(VLOOKUP(VLOOKUP(AY$1,main!$A$3:$H$102,8,FALSE),main!$K$19:$O$22,MATCH(VLOOKUP($A25,main!$A$3:$H$102,7,FALSE),main!$K$18:$O$18,0),0))),0)</f>
        <v>0</v>
      </c>
      <c r="AZ25">
        <f>IF((gamma!AZ25),IF(VLOOKUP(AZ$1,main!$A$3:$H$102,7,FALSE)=VLOOKUP($A25,main!$A$3:$H$102,8,FALSE),VLOOKUP(AZ$1,main!$A$3:$H$102,4,FALSE),VLOOKUP(AZ$1,main!$A$3:$H$102,4,FALSE)+VLOOKUP($A25,main!$A$3:$H$102,4,FALSE)+(VLOOKUP(VLOOKUP(AZ$1,main!$A$3:$H$102,8,FALSE),main!$K$19:$O$22,MATCH(VLOOKUP($A25,main!$A$3:$H$102,7,FALSE),main!$K$18:$O$18,0),0))),0)</f>
        <v>0</v>
      </c>
      <c r="BA25">
        <f>IF((gamma!BA25),IF(VLOOKUP(BA$1,main!$A$3:$H$102,7,FALSE)=VLOOKUP($A25,main!$A$3:$H$102,8,FALSE),VLOOKUP(BA$1,main!$A$3:$H$102,4,FALSE),VLOOKUP(BA$1,main!$A$3:$H$102,4,FALSE)+VLOOKUP($A25,main!$A$3:$H$102,4,FALSE)+(VLOOKUP(VLOOKUP(BA$1,main!$A$3:$H$102,8,FALSE),main!$K$19:$O$22,MATCH(VLOOKUP($A25,main!$A$3:$H$102,7,FALSE),main!$K$18:$O$18,0),0))),0)</f>
        <v>0</v>
      </c>
      <c r="BB25">
        <f>IF((gamma!BB25),IF(VLOOKUP(BB$1,main!$A$3:$H$102,7,FALSE)=VLOOKUP($A25,main!$A$3:$H$102,8,FALSE),VLOOKUP(BB$1,main!$A$3:$H$102,4,FALSE),VLOOKUP(BB$1,main!$A$3:$H$102,4,FALSE)+VLOOKUP($A25,main!$A$3:$H$102,4,FALSE)+(VLOOKUP(VLOOKUP(BB$1,main!$A$3:$H$102,8,FALSE),main!$K$19:$O$22,MATCH(VLOOKUP($A25,main!$A$3:$H$102,7,FALSE),main!$K$18:$O$18,0),0))),0)</f>
        <v>0</v>
      </c>
      <c r="BC25">
        <f>IF((gamma!BC25),IF(VLOOKUP(BC$1,main!$A$3:$H$102,7,FALSE)=VLOOKUP($A25,main!$A$3:$H$102,8,FALSE),VLOOKUP(BC$1,main!$A$3:$H$102,4,FALSE),VLOOKUP(BC$1,main!$A$3:$H$102,4,FALSE)+VLOOKUP($A25,main!$A$3:$H$102,4,FALSE)+(VLOOKUP(VLOOKUP(BC$1,main!$A$3:$H$102,8,FALSE),main!$K$19:$O$22,MATCH(VLOOKUP($A25,main!$A$3:$H$102,7,FALSE),main!$K$18:$O$18,0),0))),0)</f>
        <v>0</v>
      </c>
      <c r="BD25">
        <f>IF((gamma!BD25),IF(VLOOKUP(BD$1,main!$A$3:$H$102,7,FALSE)=VLOOKUP($A25,main!$A$3:$H$102,8,FALSE),VLOOKUP(BD$1,main!$A$3:$H$102,4,FALSE),VLOOKUP(BD$1,main!$A$3:$H$102,4,FALSE)+VLOOKUP($A25,main!$A$3:$H$102,4,FALSE)+(VLOOKUP(VLOOKUP(BD$1,main!$A$3:$H$102,8,FALSE),main!$K$19:$O$22,MATCH(VLOOKUP($A25,main!$A$3:$H$102,7,FALSE),main!$K$18:$O$18,0),0))),0)</f>
        <v>0</v>
      </c>
      <c r="BE25">
        <f>IF((gamma!BE25),IF(VLOOKUP(BE$1,main!$A$3:$H$102,7,FALSE)=VLOOKUP($A25,main!$A$3:$H$102,8,FALSE),VLOOKUP(BE$1,main!$A$3:$H$102,4,FALSE),VLOOKUP(BE$1,main!$A$3:$H$102,4,FALSE)+VLOOKUP($A25,main!$A$3:$H$102,4,FALSE)+(VLOOKUP(VLOOKUP(BE$1,main!$A$3:$H$102,8,FALSE),main!$K$19:$O$22,MATCH(VLOOKUP($A25,main!$A$3:$H$102,7,FALSE),main!$K$18:$O$18,0),0))),0)</f>
        <v>275</v>
      </c>
      <c r="BF25">
        <f>IF((gamma!BF25),IF(VLOOKUP(BF$1,main!$A$3:$H$102,7,FALSE)=VLOOKUP($A25,main!$A$3:$H$102,8,FALSE),VLOOKUP(BF$1,main!$A$3:$H$102,4,FALSE),VLOOKUP(BF$1,main!$A$3:$H$102,4,FALSE)+VLOOKUP($A25,main!$A$3:$H$102,4,FALSE)+(VLOOKUP(VLOOKUP(BF$1,main!$A$3:$H$102,8,FALSE),main!$K$19:$O$22,MATCH(VLOOKUP($A25,main!$A$3:$H$102,7,FALSE),main!$K$18:$O$18,0),0))),0)</f>
        <v>0</v>
      </c>
      <c r="BG25">
        <f>IF((gamma!BG25),IF(VLOOKUP(BG$1,main!$A$3:$H$102,7,FALSE)=VLOOKUP($A25,main!$A$3:$H$102,8,FALSE),VLOOKUP(BG$1,main!$A$3:$H$102,4,FALSE),VLOOKUP(BG$1,main!$A$3:$H$102,4,FALSE)+VLOOKUP($A25,main!$A$3:$H$102,4,FALSE)+(VLOOKUP(VLOOKUP(BG$1,main!$A$3:$H$102,8,FALSE),main!$K$19:$O$22,MATCH(VLOOKUP($A25,main!$A$3:$H$102,7,FALSE),main!$K$18:$O$18,0),0))),0)</f>
        <v>0</v>
      </c>
      <c r="BH25">
        <f>IF((gamma!BH25),IF(VLOOKUP(BH$1,main!$A$3:$H$102,7,FALSE)=VLOOKUP($A25,main!$A$3:$H$102,8,FALSE),VLOOKUP(BH$1,main!$A$3:$H$102,4,FALSE),VLOOKUP(BH$1,main!$A$3:$H$102,4,FALSE)+VLOOKUP($A25,main!$A$3:$H$102,4,FALSE)+(VLOOKUP(VLOOKUP(BH$1,main!$A$3:$H$102,8,FALSE),main!$K$19:$O$22,MATCH(VLOOKUP($A25,main!$A$3:$H$102,7,FALSE),main!$K$18:$O$18,0),0))),0)</f>
        <v>0</v>
      </c>
      <c r="BI25">
        <f>IF((gamma!BI25),IF(VLOOKUP(BI$1,main!$A$3:$H$102,7,FALSE)=VLOOKUP($A25,main!$A$3:$H$102,8,FALSE),VLOOKUP(BI$1,main!$A$3:$H$102,4,FALSE),VLOOKUP(BI$1,main!$A$3:$H$102,4,FALSE)+VLOOKUP($A25,main!$A$3:$H$102,4,FALSE)+(VLOOKUP(VLOOKUP(BI$1,main!$A$3:$H$102,8,FALSE),main!$K$19:$O$22,MATCH(VLOOKUP($A25,main!$A$3:$H$102,7,FALSE),main!$K$18:$O$18,0),0))),0)</f>
        <v>195</v>
      </c>
      <c r="BJ25">
        <f>IF((gamma!BJ25),IF(VLOOKUP(BJ$1,main!$A$3:$H$102,7,FALSE)=VLOOKUP($A25,main!$A$3:$H$102,8,FALSE),VLOOKUP(BJ$1,main!$A$3:$H$102,4,FALSE),VLOOKUP(BJ$1,main!$A$3:$H$102,4,FALSE)+VLOOKUP($A25,main!$A$3:$H$102,4,FALSE)+(VLOOKUP(VLOOKUP(BJ$1,main!$A$3:$H$102,8,FALSE),main!$K$19:$O$22,MATCH(VLOOKUP($A25,main!$A$3:$H$102,7,FALSE),main!$K$18:$O$18,0),0))),0)</f>
        <v>225</v>
      </c>
      <c r="BK25">
        <f>IF((gamma!BK25),IF(VLOOKUP(BK$1,main!$A$3:$H$102,7,FALSE)=VLOOKUP($A25,main!$A$3:$H$102,8,FALSE),VLOOKUP(BK$1,main!$A$3:$H$102,4,FALSE),VLOOKUP(BK$1,main!$A$3:$H$102,4,FALSE)+VLOOKUP($A25,main!$A$3:$H$102,4,FALSE)+(VLOOKUP(VLOOKUP(BK$1,main!$A$3:$H$102,8,FALSE),main!$K$19:$O$22,MATCH(VLOOKUP($A25,main!$A$3:$H$102,7,FALSE),main!$K$18:$O$18,0),0))),0)</f>
        <v>0</v>
      </c>
      <c r="BL25">
        <f>IF((gamma!BL25),IF(VLOOKUP(BL$1,main!$A$3:$H$102,7,FALSE)=VLOOKUP($A25,main!$A$3:$H$102,8,FALSE),VLOOKUP(BL$1,main!$A$3:$H$102,4,FALSE),VLOOKUP(BL$1,main!$A$3:$H$102,4,FALSE)+VLOOKUP($A25,main!$A$3:$H$102,4,FALSE)+(VLOOKUP(VLOOKUP(BL$1,main!$A$3:$H$102,8,FALSE),main!$K$19:$O$22,MATCH(VLOOKUP($A25,main!$A$3:$H$102,7,FALSE),main!$K$18:$O$18,0),0))),0)</f>
        <v>0</v>
      </c>
      <c r="BM25">
        <f>IF((gamma!BM25),IF(VLOOKUP(BM$1,main!$A$3:$H$102,7,FALSE)=VLOOKUP($A25,main!$A$3:$H$102,8,FALSE),VLOOKUP(BM$1,main!$A$3:$H$102,4,FALSE),VLOOKUP(BM$1,main!$A$3:$H$102,4,FALSE)+VLOOKUP($A25,main!$A$3:$H$102,4,FALSE)+(VLOOKUP(VLOOKUP(BM$1,main!$A$3:$H$102,8,FALSE),main!$K$19:$O$22,MATCH(VLOOKUP($A25,main!$A$3:$H$102,7,FALSE),main!$K$18:$O$18,0),0))),0)</f>
        <v>0</v>
      </c>
      <c r="BN25">
        <f>IF((gamma!BN25),IF(VLOOKUP(BN$1,main!$A$3:$H$102,7,FALSE)=VLOOKUP($A25,main!$A$3:$H$102,8,FALSE),VLOOKUP(BN$1,main!$A$3:$H$102,4,FALSE),VLOOKUP(BN$1,main!$A$3:$H$102,4,FALSE)+VLOOKUP($A25,main!$A$3:$H$102,4,FALSE)+(VLOOKUP(VLOOKUP(BN$1,main!$A$3:$H$102,8,FALSE),main!$K$19:$O$22,MATCH(VLOOKUP($A25,main!$A$3:$H$102,7,FALSE),main!$K$18:$O$18,0),0))),0)</f>
        <v>0</v>
      </c>
      <c r="BO25">
        <f>IF((gamma!BO25),IF(VLOOKUP(BO$1,main!$A$3:$H$102,7,FALSE)=VLOOKUP($A25,main!$A$3:$H$102,8,FALSE),VLOOKUP(BO$1,main!$A$3:$H$102,4,FALSE),VLOOKUP(BO$1,main!$A$3:$H$102,4,FALSE)+VLOOKUP($A25,main!$A$3:$H$102,4,FALSE)+(VLOOKUP(VLOOKUP(BO$1,main!$A$3:$H$102,8,FALSE),main!$K$19:$O$22,MATCH(VLOOKUP($A25,main!$A$3:$H$102,7,FALSE),main!$K$18:$O$18,0),0))),0)</f>
        <v>0</v>
      </c>
      <c r="BP25">
        <f>IF((gamma!BP25),IF(VLOOKUP(BP$1,main!$A$3:$H$102,7,FALSE)=VLOOKUP($A25,main!$A$3:$H$102,8,FALSE),VLOOKUP(BP$1,main!$A$3:$H$102,4,FALSE),VLOOKUP(BP$1,main!$A$3:$H$102,4,FALSE)+VLOOKUP($A25,main!$A$3:$H$102,4,FALSE)+(VLOOKUP(VLOOKUP(BP$1,main!$A$3:$H$102,8,FALSE),main!$K$19:$O$22,MATCH(VLOOKUP($A25,main!$A$3:$H$102,7,FALSE),main!$K$18:$O$18,0),0))),0)</f>
        <v>0</v>
      </c>
      <c r="BQ25">
        <f>IF((gamma!BQ25),IF(VLOOKUP(BQ$1,main!$A$3:$H$102,7,FALSE)=VLOOKUP($A25,main!$A$3:$H$102,8,FALSE),VLOOKUP(BQ$1,main!$A$3:$H$102,4,FALSE),VLOOKUP(BQ$1,main!$A$3:$H$102,4,FALSE)+VLOOKUP($A25,main!$A$3:$H$102,4,FALSE)+(VLOOKUP(VLOOKUP(BQ$1,main!$A$3:$H$102,8,FALSE),main!$K$19:$O$22,MATCH(VLOOKUP($A25,main!$A$3:$H$102,7,FALSE),main!$K$18:$O$18,0),0))),0)</f>
        <v>0</v>
      </c>
      <c r="BR25">
        <f>IF((gamma!BR25),IF(VLOOKUP(BR$1,main!$A$3:$H$102,7,FALSE)=VLOOKUP($A25,main!$A$3:$H$102,8,FALSE),VLOOKUP(BR$1,main!$A$3:$H$102,4,FALSE),VLOOKUP(BR$1,main!$A$3:$H$102,4,FALSE)+VLOOKUP($A25,main!$A$3:$H$102,4,FALSE)+(VLOOKUP(VLOOKUP(BR$1,main!$A$3:$H$102,8,FALSE),main!$K$19:$O$22,MATCH(VLOOKUP($A25,main!$A$3:$H$102,7,FALSE),main!$K$18:$O$18,0),0))),0)</f>
        <v>0</v>
      </c>
      <c r="BS25">
        <f>IF((gamma!BS25),IF(VLOOKUP(BS$1,main!$A$3:$H$102,7,FALSE)=VLOOKUP($A25,main!$A$3:$H$102,8,FALSE),VLOOKUP(BS$1,main!$A$3:$H$102,4,FALSE),VLOOKUP(BS$1,main!$A$3:$H$102,4,FALSE)+VLOOKUP($A25,main!$A$3:$H$102,4,FALSE)+(VLOOKUP(VLOOKUP(BS$1,main!$A$3:$H$102,8,FALSE),main!$K$19:$O$22,MATCH(VLOOKUP($A25,main!$A$3:$H$102,7,FALSE),main!$K$18:$O$18,0),0))),0)</f>
        <v>0</v>
      </c>
      <c r="BT25">
        <f>IF((gamma!BT25),IF(VLOOKUP(BT$1,main!$A$3:$H$102,7,FALSE)=VLOOKUP($A25,main!$A$3:$H$102,8,FALSE),VLOOKUP(BT$1,main!$A$3:$H$102,4,FALSE),VLOOKUP(BT$1,main!$A$3:$H$102,4,FALSE)+VLOOKUP($A25,main!$A$3:$H$102,4,FALSE)+(VLOOKUP(VLOOKUP(BT$1,main!$A$3:$H$102,8,FALSE),main!$K$19:$O$22,MATCH(VLOOKUP($A25,main!$A$3:$H$102,7,FALSE),main!$K$18:$O$18,0),0))),0)</f>
        <v>0</v>
      </c>
      <c r="BU25">
        <f>IF((gamma!BU25),IF(VLOOKUP(BU$1,main!$A$3:$H$102,7,FALSE)=VLOOKUP($A25,main!$A$3:$H$102,8,FALSE),VLOOKUP(BU$1,main!$A$3:$H$102,4,FALSE),VLOOKUP(BU$1,main!$A$3:$H$102,4,FALSE)+VLOOKUP($A25,main!$A$3:$H$102,4,FALSE)+(VLOOKUP(VLOOKUP(BU$1,main!$A$3:$H$102,8,FALSE),main!$K$19:$O$22,MATCH(VLOOKUP($A25,main!$A$3:$H$102,7,FALSE),main!$K$18:$O$18,0),0))),0)</f>
        <v>0</v>
      </c>
      <c r="BV25">
        <f>IF((gamma!BV25),IF(VLOOKUP(BV$1,main!$A$3:$H$102,7,FALSE)=VLOOKUP($A25,main!$A$3:$H$102,8,FALSE),VLOOKUP(BV$1,main!$A$3:$H$102,4,FALSE),VLOOKUP(BV$1,main!$A$3:$H$102,4,FALSE)+VLOOKUP($A25,main!$A$3:$H$102,4,FALSE)+(VLOOKUP(VLOOKUP(BV$1,main!$A$3:$H$102,8,FALSE),main!$K$19:$O$22,MATCH(VLOOKUP($A25,main!$A$3:$H$102,7,FALSE),main!$K$18:$O$18,0),0))),0)</f>
        <v>0</v>
      </c>
      <c r="BW25">
        <f>IF((gamma!BW25),IF(VLOOKUP(BW$1,main!$A$3:$H$102,7,FALSE)=VLOOKUP($A25,main!$A$3:$H$102,8,FALSE),VLOOKUP(BW$1,main!$A$3:$H$102,4,FALSE),VLOOKUP(BW$1,main!$A$3:$H$102,4,FALSE)+VLOOKUP($A25,main!$A$3:$H$102,4,FALSE)+(VLOOKUP(VLOOKUP(BW$1,main!$A$3:$H$102,8,FALSE),main!$K$19:$O$22,MATCH(VLOOKUP($A25,main!$A$3:$H$102,7,FALSE),main!$K$18:$O$18,0),0))),0)</f>
        <v>0</v>
      </c>
      <c r="BX25">
        <f>IF((gamma!BX25),IF(VLOOKUP(BX$1,main!$A$3:$H$102,7,FALSE)=VLOOKUP($A25,main!$A$3:$H$102,8,FALSE),VLOOKUP(BX$1,main!$A$3:$H$102,4,FALSE),VLOOKUP(BX$1,main!$A$3:$H$102,4,FALSE)+VLOOKUP($A25,main!$A$3:$H$102,4,FALSE)+(VLOOKUP(VLOOKUP(BX$1,main!$A$3:$H$102,8,FALSE),main!$K$19:$O$22,MATCH(VLOOKUP($A25,main!$A$3:$H$102,7,FALSE),main!$K$18:$O$18,0),0))),0)</f>
        <v>0</v>
      </c>
      <c r="BY25">
        <f>IF((gamma!BY25),IF(VLOOKUP(BY$1,main!$A$3:$H$102,7,FALSE)=VLOOKUP($A25,main!$A$3:$H$102,8,FALSE),VLOOKUP(BY$1,main!$A$3:$H$102,4,FALSE),VLOOKUP(BY$1,main!$A$3:$H$102,4,FALSE)+VLOOKUP($A25,main!$A$3:$H$102,4,FALSE)+(VLOOKUP(VLOOKUP(BY$1,main!$A$3:$H$102,8,FALSE),main!$K$19:$O$22,MATCH(VLOOKUP($A25,main!$A$3:$H$102,7,FALSE),main!$K$18:$O$18,0),0))),0)</f>
        <v>0</v>
      </c>
      <c r="BZ25">
        <f>IF((gamma!BZ25),IF(VLOOKUP(BZ$1,main!$A$3:$H$102,7,FALSE)=VLOOKUP($A25,main!$A$3:$H$102,8,FALSE),VLOOKUP(BZ$1,main!$A$3:$H$102,4,FALSE),VLOOKUP(BZ$1,main!$A$3:$H$102,4,FALSE)+VLOOKUP($A25,main!$A$3:$H$102,4,FALSE)+(VLOOKUP(VLOOKUP(BZ$1,main!$A$3:$H$102,8,FALSE),main!$K$19:$O$22,MATCH(VLOOKUP($A25,main!$A$3:$H$102,7,FALSE),main!$K$18:$O$18,0),0))),0)</f>
        <v>0</v>
      </c>
      <c r="CA25">
        <f>IF((gamma!CA25),IF(VLOOKUP(CA$1,main!$A$3:$H$102,7,FALSE)=VLOOKUP($A25,main!$A$3:$H$102,8,FALSE),VLOOKUP(CA$1,main!$A$3:$H$102,4,FALSE),VLOOKUP(CA$1,main!$A$3:$H$102,4,FALSE)+VLOOKUP($A25,main!$A$3:$H$102,4,FALSE)+(VLOOKUP(VLOOKUP(CA$1,main!$A$3:$H$102,8,FALSE),main!$K$19:$O$22,MATCH(VLOOKUP($A25,main!$A$3:$H$102,7,FALSE),main!$K$18:$O$18,0),0))),0)</f>
        <v>0</v>
      </c>
      <c r="CB25">
        <f>IF((gamma!CB25),IF(VLOOKUP(CB$1,main!$A$3:$H$102,7,FALSE)=VLOOKUP($A25,main!$A$3:$H$102,8,FALSE),VLOOKUP(CB$1,main!$A$3:$H$102,4,FALSE),VLOOKUP(CB$1,main!$A$3:$H$102,4,FALSE)+VLOOKUP($A25,main!$A$3:$H$102,4,FALSE)+(VLOOKUP(VLOOKUP(CB$1,main!$A$3:$H$102,8,FALSE),main!$K$19:$O$22,MATCH(VLOOKUP($A25,main!$A$3:$H$102,7,FALSE),main!$K$18:$O$18,0),0))),0)</f>
        <v>0</v>
      </c>
      <c r="CC25">
        <f>IF((gamma!CC25),IF(VLOOKUP(CC$1,main!$A$3:$H$102,7,FALSE)=VLOOKUP($A25,main!$A$3:$H$102,8,FALSE),VLOOKUP(CC$1,main!$A$3:$H$102,4,FALSE),VLOOKUP(CC$1,main!$A$3:$H$102,4,FALSE)+VLOOKUP($A25,main!$A$3:$H$102,4,FALSE)+(VLOOKUP(VLOOKUP(CC$1,main!$A$3:$H$102,8,FALSE),main!$K$19:$O$22,MATCH(VLOOKUP($A25,main!$A$3:$H$102,7,FALSE),main!$K$18:$O$18,0),0))),0)</f>
        <v>225</v>
      </c>
      <c r="CD25">
        <f>IF((gamma!CD25),IF(VLOOKUP(CD$1,main!$A$3:$H$102,7,FALSE)=VLOOKUP($A25,main!$A$3:$H$102,8,FALSE),VLOOKUP(CD$1,main!$A$3:$H$102,4,FALSE),VLOOKUP(CD$1,main!$A$3:$H$102,4,FALSE)+VLOOKUP($A25,main!$A$3:$H$102,4,FALSE)+(VLOOKUP(VLOOKUP(CD$1,main!$A$3:$H$102,8,FALSE),main!$K$19:$O$22,MATCH(VLOOKUP($A25,main!$A$3:$H$102,7,FALSE),main!$K$18:$O$18,0),0))),0)</f>
        <v>0</v>
      </c>
      <c r="CE25">
        <f>IF((gamma!CE25),IF(VLOOKUP(CE$1,main!$A$3:$H$102,7,FALSE)=VLOOKUP($A25,main!$A$3:$H$102,8,FALSE),VLOOKUP(CE$1,main!$A$3:$H$102,4,FALSE),VLOOKUP(CE$1,main!$A$3:$H$102,4,FALSE)+VLOOKUP($A25,main!$A$3:$H$102,4,FALSE)+(VLOOKUP(VLOOKUP(CE$1,main!$A$3:$H$102,8,FALSE),main!$K$19:$O$22,MATCH(VLOOKUP($A25,main!$A$3:$H$102,7,FALSE),main!$K$18:$O$18,0),0))),0)</f>
        <v>0</v>
      </c>
      <c r="CF25">
        <f>IF((gamma!CF25),IF(VLOOKUP(CF$1,main!$A$3:$H$102,7,FALSE)=VLOOKUP($A25,main!$A$3:$H$102,8,FALSE),VLOOKUP(CF$1,main!$A$3:$H$102,4,FALSE),VLOOKUP(CF$1,main!$A$3:$H$102,4,FALSE)+VLOOKUP($A25,main!$A$3:$H$102,4,FALSE)+(VLOOKUP(VLOOKUP(CF$1,main!$A$3:$H$102,8,FALSE),main!$K$19:$O$22,MATCH(VLOOKUP($A25,main!$A$3:$H$102,7,FALSE),main!$K$18:$O$18,0),0))),0)</f>
        <v>0</v>
      </c>
      <c r="CG25">
        <f>IF((gamma!CG25),IF(VLOOKUP(CG$1,main!$A$3:$H$102,7,FALSE)=VLOOKUP($A25,main!$A$3:$H$102,8,FALSE),VLOOKUP(CG$1,main!$A$3:$H$102,4,FALSE),VLOOKUP(CG$1,main!$A$3:$H$102,4,FALSE)+VLOOKUP($A25,main!$A$3:$H$102,4,FALSE)+(VLOOKUP(VLOOKUP(CG$1,main!$A$3:$H$102,8,FALSE),main!$K$19:$O$22,MATCH(VLOOKUP($A25,main!$A$3:$H$102,7,FALSE),main!$K$18:$O$18,0),0))),0)</f>
        <v>0</v>
      </c>
      <c r="CH25">
        <f>IF((gamma!CH25),IF(VLOOKUP(CH$1,main!$A$3:$H$102,7,FALSE)=VLOOKUP($A25,main!$A$3:$H$102,8,FALSE),VLOOKUP(CH$1,main!$A$3:$H$102,4,FALSE),VLOOKUP(CH$1,main!$A$3:$H$102,4,FALSE)+VLOOKUP($A25,main!$A$3:$H$102,4,FALSE)+(VLOOKUP(VLOOKUP(CH$1,main!$A$3:$H$102,8,FALSE),main!$K$19:$O$22,MATCH(VLOOKUP($A25,main!$A$3:$H$102,7,FALSE),main!$K$18:$O$18,0),0))),0)</f>
        <v>140</v>
      </c>
      <c r="CI25">
        <f>IF((gamma!CI25),IF(VLOOKUP(CI$1,main!$A$3:$H$102,7,FALSE)=VLOOKUP($A25,main!$A$3:$H$102,8,FALSE),VLOOKUP(CI$1,main!$A$3:$H$102,4,FALSE),VLOOKUP(CI$1,main!$A$3:$H$102,4,FALSE)+VLOOKUP($A25,main!$A$3:$H$102,4,FALSE)+(VLOOKUP(VLOOKUP(CI$1,main!$A$3:$H$102,8,FALSE),main!$K$19:$O$22,MATCH(VLOOKUP($A25,main!$A$3:$H$102,7,FALSE),main!$K$18:$O$18,0),0))),0)</f>
        <v>140</v>
      </c>
      <c r="CJ25">
        <f>IF((gamma!CJ25),IF(VLOOKUP(CJ$1,main!$A$3:$H$102,7,FALSE)=VLOOKUP($A25,main!$A$3:$H$102,8,FALSE),VLOOKUP(CJ$1,main!$A$3:$H$102,4,FALSE),VLOOKUP(CJ$1,main!$A$3:$H$102,4,FALSE)+VLOOKUP($A25,main!$A$3:$H$102,4,FALSE)+(VLOOKUP(VLOOKUP(CJ$1,main!$A$3:$H$102,8,FALSE),main!$K$19:$O$22,MATCH(VLOOKUP($A25,main!$A$3:$H$102,7,FALSE),main!$K$18:$O$18,0),0))),0)</f>
        <v>0</v>
      </c>
      <c r="CK25">
        <f>IF((gamma!CK25),IF(VLOOKUP(CK$1,main!$A$3:$H$102,7,FALSE)=VLOOKUP($A25,main!$A$3:$H$102,8,FALSE),VLOOKUP(CK$1,main!$A$3:$H$102,4,FALSE),VLOOKUP(CK$1,main!$A$3:$H$102,4,FALSE)+VLOOKUP($A25,main!$A$3:$H$102,4,FALSE)+(VLOOKUP(VLOOKUP(CK$1,main!$A$3:$H$102,8,FALSE),main!$K$19:$O$22,MATCH(VLOOKUP($A25,main!$A$3:$H$102,7,FALSE),main!$K$18:$O$18,0),0))),0)</f>
        <v>0</v>
      </c>
      <c r="CL25">
        <f>IF((gamma!CL25),IF(VLOOKUP(CL$1,main!$A$3:$H$102,7,FALSE)=VLOOKUP($A25,main!$A$3:$H$102,8,FALSE),VLOOKUP(CL$1,main!$A$3:$H$102,4,FALSE),VLOOKUP(CL$1,main!$A$3:$H$102,4,FALSE)+VLOOKUP($A25,main!$A$3:$H$102,4,FALSE)+(VLOOKUP(VLOOKUP(CL$1,main!$A$3:$H$102,8,FALSE),main!$K$19:$O$22,MATCH(VLOOKUP($A25,main!$A$3:$H$102,7,FALSE),main!$K$18:$O$18,0),0))),0)</f>
        <v>0</v>
      </c>
      <c r="CM25">
        <f>IF((gamma!CM25),IF(VLOOKUP(CM$1,main!$A$3:$H$102,7,FALSE)=VLOOKUP($A25,main!$A$3:$H$102,8,FALSE),VLOOKUP(CM$1,main!$A$3:$H$102,4,FALSE),VLOOKUP(CM$1,main!$A$3:$H$102,4,FALSE)+VLOOKUP($A25,main!$A$3:$H$102,4,FALSE)+(VLOOKUP(VLOOKUP(CM$1,main!$A$3:$H$102,8,FALSE),main!$K$19:$O$22,MATCH(VLOOKUP($A25,main!$A$3:$H$102,7,FALSE),main!$K$18:$O$18,0),0))),0)</f>
        <v>100</v>
      </c>
      <c r="CN25">
        <f>IF((gamma!CN25),IF(VLOOKUP(CN$1,main!$A$3:$H$102,7,FALSE)=VLOOKUP($A25,main!$A$3:$H$102,8,FALSE),VLOOKUP(CN$1,main!$A$3:$H$102,4,FALSE),VLOOKUP(CN$1,main!$A$3:$H$102,4,FALSE)+VLOOKUP($A25,main!$A$3:$H$102,4,FALSE)+(VLOOKUP(VLOOKUP(CN$1,main!$A$3:$H$102,8,FALSE),main!$K$19:$O$22,MATCH(VLOOKUP($A25,main!$A$3:$H$102,7,FALSE),main!$K$18:$O$18,0),0))),0)</f>
        <v>96</v>
      </c>
      <c r="CO25">
        <f>IF((gamma!CO25),IF(VLOOKUP(CO$1,main!$A$3:$H$102,7,FALSE)=VLOOKUP($A25,main!$A$3:$H$102,8,FALSE),VLOOKUP(CO$1,main!$A$3:$H$102,4,FALSE),VLOOKUP(CO$1,main!$A$3:$H$102,4,FALSE)+VLOOKUP($A25,main!$A$3:$H$102,4,FALSE)+(VLOOKUP(VLOOKUP(CO$1,main!$A$3:$H$102,8,FALSE),main!$K$19:$O$22,MATCH(VLOOKUP($A25,main!$A$3:$H$102,7,FALSE),main!$K$18:$O$18,0),0))),0)</f>
        <v>0</v>
      </c>
      <c r="CP25">
        <f>IF((gamma!CP25),IF(VLOOKUP(CP$1,main!$A$3:$H$102,7,FALSE)=VLOOKUP($A25,main!$A$3:$H$102,8,FALSE),VLOOKUP(CP$1,main!$A$3:$H$102,4,FALSE),VLOOKUP(CP$1,main!$A$3:$H$102,4,FALSE)+VLOOKUP($A25,main!$A$3:$H$102,4,FALSE)+(VLOOKUP(VLOOKUP(CP$1,main!$A$3:$H$102,8,FALSE),main!$K$19:$O$22,MATCH(VLOOKUP($A25,main!$A$3:$H$102,7,FALSE),main!$K$18:$O$18,0),0))),0)</f>
        <v>0</v>
      </c>
      <c r="CQ25">
        <f>IF((gamma!CQ25),IF(VLOOKUP(CQ$1,main!$A$3:$H$102,7,FALSE)=VLOOKUP($A25,main!$A$3:$H$102,8,FALSE),VLOOKUP(CQ$1,main!$A$3:$H$102,4,FALSE),VLOOKUP(CQ$1,main!$A$3:$H$102,4,FALSE)+VLOOKUP($A25,main!$A$3:$H$102,4,FALSE)+(VLOOKUP(VLOOKUP(CQ$1,main!$A$3:$H$102,8,FALSE),main!$K$19:$O$22,MATCH(VLOOKUP($A25,main!$A$3:$H$102,7,FALSE),main!$K$18:$O$18,0),0))),0)</f>
        <v>0</v>
      </c>
      <c r="CR25">
        <f>IF((gamma!CR25),IF(VLOOKUP(CR$1,main!$A$3:$H$102,7,FALSE)=VLOOKUP($A25,main!$A$3:$H$102,8,FALSE),VLOOKUP(CR$1,main!$A$3:$H$102,4,FALSE),VLOOKUP(CR$1,main!$A$3:$H$102,4,FALSE)+VLOOKUP($A25,main!$A$3:$H$102,4,FALSE)+(VLOOKUP(VLOOKUP(CR$1,main!$A$3:$H$102,8,FALSE),main!$K$19:$O$22,MATCH(VLOOKUP($A25,main!$A$3:$H$102,7,FALSE),main!$K$18:$O$18,0),0))),0)</f>
        <v>135</v>
      </c>
      <c r="CS25">
        <f>IF((gamma!CS25),IF(VLOOKUP(CS$1,main!$A$3:$H$102,7,FALSE)=VLOOKUP($A25,main!$A$3:$H$102,8,FALSE),VLOOKUP(CS$1,main!$A$3:$H$102,4,FALSE),VLOOKUP(CS$1,main!$A$3:$H$102,4,FALSE)+VLOOKUP($A25,main!$A$3:$H$102,4,FALSE)+(VLOOKUP(VLOOKUP(CS$1,main!$A$3:$H$102,8,FALSE),main!$K$19:$O$22,MATCH(VLOOKUP($A25,main!$A$3:$H$102,7,FALSE),main!$K$18:$O$18,0),0))),0)</f>
        <v>135</v>
      </c>
      <c r="CT25">
        <f>IF((gamma!CT25),IF(VLOOKUP(CT$1,main!$A$3:$H$102,7,FALSE)=VLOOKUP($A25,main!$A$3:$H$102,8,FALSE),VLOOKUP(CT$1,main!$A$3:$H$102,4,FALSE),VLOOKUP(CT$1,main!$A$3:$H$102,4,FALSE)+VLOOKUP($A25,main!$A$3:$H$102,4,FALSE)+(VLOOKUP(VLOOKUP(CT$1,main!$A$3:$H$102,8,FALSE),main!$K$19:$O$22,MATCH(VLOOKUP($A25,main!$A$3:$H$102,7,FALSE),main!$K$18:$O$18,0),0))),0)</f>
        <v>0</v>
      </c>
      <c r="CU25">
        <f>IF((gamma!CU25),IF(VLOOKUP(CU$1,main!$A$3:$H$102,7,FALSE)=VLOOKUP($A25,main!$A$3:$H$102,8,FALSE),VLOOKUP(CU$1,main!$A$3:$H$102,4,FALSE),VLOOKUP(CU$1,main!$A$3:$H$102,4,FALSE)+VLOOKUP($A25,main!$A$3:$H$102,4,FALSE)+(VLOOKUP(VLOOKUP(CU$1,main!$A$3:$H$102,8,FALSE),main!$K$19:$O$22,MATCH(VLOOKUP($A25,main!$A$3:$H$102,7,FALSE),main!$K$18:$O$18,0),0))),0)</f>
        <v>0</v>
      </c>
      <c r="CV25">
        <f>IF((gamma!CV25),IF(VLOOKUP(CV$1,main!$A$3:$H$102,7,FALSE)=VLOOKUP($A25,main!$A$3:$H$102,8,FALSE),VLOOKUP(CV$1,main!$A$3:$H$102,4,FALSE),VLOOKUP(CV$1,main!$A$3:$H$102,4,FALSE)+VLOOKUP($A25,main!$A$3:$H$102,4,FALSE)+(VLOOKUP(VLOOKUP(CV$1,main!$A$3:$H$102,8,FALSE),main!$K$19:$O$22,MATCH(VLOOKUP($A25,main!$A$3:$H$102,7,FALSE),main!$K$18:$O$18,0),0))),0)</f>
        <v>0</v>
      </c>
      <c r="CW25">
        <f>IF((gamma!CW25),IF(VLOOKUP(CW$1,main!$A$3:$H$102,7,FALSE)=VLOOKUP($A25,main!$A$3:$H$102,8,FALSE),VLOOKUP(CW$1,main!$A$3:$H$102,4,FALSE),VLOOKUP(CW$1,main!$A$3:$H$102,4,FALSE)+VLOOKUP($A25,main!$A$3:$H$102,4,FALSE)+(VLOOKUP(VLOOKUP(CW$1,main!$A$3:$H$102,8,FALSE),main!$K$19:$O$22,MATCH(VLOOKUP($A25,main!$A$3:$H$102,7,FALSE),main!$K$18:$O$18,0),0))),0)</f>
        <v>95</v>
      </c>
      <c r="CX25">
        <f>IF((gamma!CX25),IF(VLOOKUP(CX$1,main!$A$3:$H$102,7,FALSE)=VLOOKUP($A25,main!$A$3:$H$102,8,FALSE),VLOOKUP(CX$1,main!$A$3:$H$102,4,FALSE),VLOOKUP(CX$1,main!$A$3:$H$102,4,FALSE)+VLOOKUP($A25,main!$A$3:$H$102,4,FALSE)+(VLOOKUP(VLOOKUP(CX$1,main!$A$3:$H$102,8,FALSE),main!$K$19:$O$22,MATCH(VLOOKUP($A25,main!$A$3:$H$102,7,FALSE),main!$K$18:$O$18,0),0))),0)</f>
        <v>85</v>
      </c>
      <c r="CY25">
        <v>0</v>
      </c>
      <c r="CZ25">
        <v>0</v>
      </c>
      <c r="DA25">
        <v>0</v>
      </c>
    </row>
    <row r="26" spans="1:105" x14ac:dyDescent="0.25">
      <c r="A26" s="1">
        <v>24</v>
      </c>
      <c r="B26">
        <v>0</v>
      </c>
      <c r="C26">
        <f>IF((gamma!C26),IF(VLOOKUP(C$1,main!$A$3:$H$102,7,FALSE)=VLOOKUP($A26,main!$A$3:$H$102,8,FALSE),VLOOKUP(C$1,main!$A$3:$H$102,4,FALSE),VLOOKUP(C$1,main!$A$3:$H$102,4,FALSE)+VLOOKUP($A26,main!$A$3:$H$102,4,FALSE)+(VLOOKUP(VLOOKUP(C$1,main!$A$3:$H$102,8,FALSE),main!$K$19:$O$22,MATCH(VLOOKUP($A26,main!$A$3:$H$102,7,FALSE),main!$K$18:$O$18,0),0))),0)</f>
        <v>0</v>
      </c>
      <c r="D26">
        <f>IF((gamma!D26),IF(VLOOKUP(D$1,main!$A$3:$H$102,7,FALSE)=VLOOKUP($A26,main!$A$3:$H$102,8,FALSE),VLOOKUP(D$1,main!$A$3:$H$102,4,FALSE),VLOOKUP(D$1,main!$A$3:$H$102,4,FALSE)+VLOOKUP($A26,main!$A$3:$H$102,4,FALSE)+(VLOOKUP(VLOOKUP(D$1,main!$A$3:$H$102,8,FALSE),main!$K$19:$O$22,MATCH(VLOOKUP($A26,main!$A$3:$H$102,7,FALSE),main!$K$18:$O$18,0),0))),0)</f>
        <v>0</v>
      </c>
      <c r="E26">
        <f>IF((gamma!E26),IF(VLOOKUP(E$1,main!$A$3:$H$102,7,FALSE)=VLOOKUP($A26,main!$A$3:$H$102,8,FALSE),VLOOKUP(E$1,main!$A$3:$H$102,4,FALSE),VLOOKUP(E$1,main!$A$3:$H$102,4,FALSE)+VLOOKUP($A26,main!$A$3:$H$102,4,FALSE)+(VLOOKUP(VLOOKUP(E$1,main!$A$3:$H$102,8,FALSE),main!$K$19:$O$22,MATCH(VLOOKUP($A26,main!$A$3:$H$102,7,FALSE),main!$K$18:$O$18,0),0))),0)</f>
        <v>0</v>
      </c>
      <c r="F26">
        <f>IF((gamma!F26),IF(VLOOKUP(F$1,main!$A$3:$H$102,7,FALSE)=VLOOKUP($A26,main!$A$3:$H$102,8,FALSE),VLOOKUP(F$1,main!$A$3:$H$102,4,FALSE),VLOOKUP(F$1,main!$A$3:$H$102,4,FALSE)+VLOOKUP($A26,main!$A$3:$H$102,4,FALSE)+(VLOOKUP(VLOOKUP(F$1,main!$A$3:$H$102,8,FALSE),main!$K$19:$O$22,MATCH(VLOOKUP($A26,main!$A$3:$H$102,7,FALSE),main!$K$18:$O$18,0),0))),0)</f>
        <v>0</v>
      </c>
      <c r="G26">
        <f>IF((gamma!G26),IF(VLOOKUP(G$1,main!$A$3:$H$102,7,FALSE)=VLOOKUP($A26,main!$A$3:$H$102,8,FALSE),VLOOKUP(G$1,main!$A$3:$H$102,4,FALSE),VLOOKUP(G$1,main!$A$3:$H$102,4,FALSE)+VLOOKUP($A26,main!$A$3:$H$102,4,FALSE)+(VLOOKUP(VLOOKUP(G$1,main!$A$3:$H$102,8,FALSE),main!$K$19:$O$22,MATCH(VLOOKUP($A26,main!$A$3:$H$102,7,FALSE),main!$K$18:$O$18,0),0))),0)</f>
        <v>0</v>
      </c>
      <c r="H26">
        <f>IF((gamma!H26),IF(VLOOKUP(H$1,main!$A$3:$H$102,7,FALSE)=VLOOKUP($A26,main!$A$3:$H$102,8,FALSE),VLOOKUP(H$1,main!$A$3:$H$102,4,FALSE),VLOOKUP(H$1,main!$A$3:$H$102,4,FALSE)+VLOOKUP($A26,main!$A$3:$H$102,4,FALSE)+(VLOOKUP(VLOOKUP(H$1,main!$A$3:$H$102,8,FALSE),main!$K$19:$O$22,MATCH(VLOOKUP($A26,main!$A$3:$H$102,7,FALSE),main!$K$18:$O$18,0),0))),0)</f>
        <v>0</v>
      </c>
      <c r="I26">
        <f>IF((gamma!I26),IF(VLOOKUP(I$1,main!$A$3:$H$102,7,FALSE)=VLOOKUP($A26,main!$A$3:$H$102,8,FALSE),VLOOKUP(I$1,main!$A$3:$H$102,4,FALSE),VLOOKUP(I$1,main!$A$3:$H$102,4,FALSE)+VLOOKUP($A26,main!$A$3:$H$102,4,FALSE)+(VLOOKUP(VLOOKUP(I$1,main!$A$3:$H$102,8,FALSE),main!$K$19:$O$22,MATCH(VLOOKUP($A26,main!$A$3:$H$102,7,FALSE),main!$K$18:$O$18,0),0))),0)</f>
        <v>0</v>
      </c>
      <c r="J26">
        <f>IF((gamma!J26),IF(VLOOKUP(J$1,main!$A$3:$H$102,7,FALSE)=VLOOKUP($A26,main!$A$3:$H$102,8,FALSE),VLOOKUP(J$1,main!$A$3:$H$102,4,FALSE),VLOOKUP(J$1,main!$A$3:$H$102,4,FALSE)+VLOOKUP($A26,main!$A$3:$H$102,4,FALSE)+(VLOOKUP(VLOOKUP(J$1,main!$A$3:$H$102,8,FALSE),main!$K$19:$O$22,MATCH(VLOOKUP($A26,main!$A$3:$H$102,7,FALSE),main!$K$18:$O$18,0),0))),0)</f>
        <v>0</v>
      </c>
      <c r="K26">
        <f>IF((gamma!K26),IF(VLOOKUP(K$1,main!$A$3:$H$102,7,FALSE)=VLOOKUP($A26,main!$A$3:$H$102,8,FALSE),VLOOKUP(K$1,main!$A$3:$H$102,4,FALSE),VLOOKUP(K$1,main!$A$3:$H$102,4,FALSE)+VLOOKUP($A26,main!$A$3:$H$102,4,FALSE)+(VLOOKUP(VLOOKUP(K$1,main!$A$3:$H$102,8,FALSE),main!$K$19:$O$22,MATCH(VLOOKUP($A26,main!$A$3:$H$102,7,FALSE),main!$K$18:$O$18,0),0))),0)</f>
        <v>0</v>
      </c>
      <c r="L26">
        <f>IF((gamma!L26),IF(VLOOKUP(L$1,main!$A$3:$H$102,7,FALSE)=VLOOKUP($A26,main!$A$3:$H$102,8,FALSE),VLOOKUP(L$1,main!$A$3:$H$102,4,FALSE),VLOOKUP(L$1,main!$A$3:$H$102,4,FALSE)+VLOOKUP($A26,main!$A$3:$H$102,4,FALSE)+(VLOOKUP(VLOOKUP(L$1,main!$A$3:$H$102,8,FALSE),main!$K$19:$O$22,MATCH(VLOOKUP($A26,main!$A$3:$H$102,7,FALSE),main!$K$18:$O$18,0),0))),0)</f>
        <v>300</v>
      </c>
      <c r="M26">
        <f>IF((gamma!M26),IF(VLOOKUP(M$1,main!$A$3:$H$102,7,FALSE)=VLOOKUP($A26,main!$A$3:$H$102,8,FALSE),VLOOKUP(M$1,main!$A$3:$H$102,4,FALSE),VLOOKUP(M$1,main!$A$3:$H$102,4,FALSE)+VLOOKUP($A26,main!$A$3:$H$102,4,FALSE)+(VLOOKUP(VLOOKUP(M$1,main!$A$3:$H$102,8,FALSE),main!$K$19:$O$22,MATCH(VLOOKUP($A26,main!$A$3:$H$102,7,FALSE),main!$K$18:$O$18,0),0))),0)</f>
        <v>0</v>
      </c>
      <c r="N26">
        <f>IF((gamma!N26),IF(VLOOKUP(N$1,main!$A$3:$H$102,7,FALSE)=VLOOKUP($A26,main!$A$3:$H$102,8,FALSE),VLOOKUP(N$1,main!$A$3:$H$102,4,FALSE),VLOOKUP(N$1,main!$A$3:$H$102,4,FALSE)+VLOOKUP($A26,main!$A$3:$H$102,4,FALSE)+(VLOOKUP(VLOOKUP(N$1,main!$A$3:$H$102,8,FALSE),main!$K$19:$O$22,MATCH(VLOOKUP($A26,main!$A$3:$H$102,7,FALSE),main!$K$18:$O$18,0),0))),0)</f>
        <v>0</v>
      </c>
      <c r="O26">
        <f>IF((gamma!O26),IF(VLOOKUP(O$1,main!$A$3:$H$102,7,FALSE)=VLOOKUP($A26,main!$A$3:$H$102,8,FALSE),VLOOKUP(O$1,main!$A$3:$H$102,4,FALSE),VLOOKUP(O$1,main!$A$3:$H$102,4,FALSE)+VLOOKUP($A26,main!$A$3:$H$102,4,FALSE)+(VLOOKUP(VLOOKUP(O$1,main!$A$3:$H$102,8,FALSE),main!$K$19:$O$22,MATCH(VLOOKUP($A26,main!$A$3:$H$102,7,FALSE),main!$K$18:$O$18,0),0))),0)</f>
        <v>0</v>
      </c>
      <c r="P26">
        <f>IF((gamma!P26),IF(VLOOKUP(P$1,main!$A$3:$H$102,7,FALSE)=VLOOKUP($A26,main!$A$3:$H$102,8,FALSE),VLOOKUP(P$1,main!$A$3:$H$102,4,FALSE),VLOOKUP(P$1,main!$A$3:$H$102,4,FALSE)+VLOOKUP($A26,main!$A$3:$H$102,4,FALSE)+(VLOOKUP(VLOOKUP(P$1,main!$A$3:$H$102,8,FALSE),main!$K$19:$O$22,MATCH(VLOOKUP($A26,main!$A$3:$H$102,7,FALSE),main!$K$18:$O$18,0),0))),0)</f>
        <v>0</v>
      </c>
      <c r="Q26">
        <f>IF((gamma!Q26),IF(VLOOKUP(Q$1,main!$A$3:$H$102,7,FALSE)=VLOOKUP($A26,main!$A$3:$H$102,8,FALSE),VLOOKUP(Q$1,main!$A$3:$H$102,4,FALSE),VLOOKUP(Q$1,main!$A$3:$H$102,4,FALSE)+VLOOKUP($A26,main!$A$3:$H$102,4,FALSE)+(VLOOKUP(VLOOKUP(Q$1,main!$A$3:$H$102,8,FALSE),main!$K$19:$O$22,MATCH(VLOOKUP($A26,main!$A$3:$H$102,7,FALSE),main!$K$18:$O$18,0),0))),0)</f>
        <v>0</v>
      </c>
      <c r="R26">
        <f>IF((gamma!R26),IF(VLOOKUP(R$1,main!$A$3:$H$102,7,FALSE)=VLOOKUP($A26,main!$A$3:$H$102,8,FALSE),VLOOKUP(R$1,main!$A$3:$H$102,4,FALSE),VLOOKUP(R$1,main!$A$3:$H$102,4,FALSE)+VLOOKUP($A26,main!$A$3:$H$102,4,FALSE)+(VLOOKUP(VLOOKUP(R$1,main!$A$3:$H$102,8,FALSE),main!$K$19:$O$22,MATCH(VLOOKUP($A26,main!$A$3:$H$102,7,FALSE),main!$K$18:$O$18,0),0))),0)</f>
        <v>0</v>
      </c>
      <c r="S26">
        <f>IF((gamma!S26),IF(VLOOKUP(S$1,main!$A$3:$H$102,7,FALSE)=VLOOKUP($A26,main!$A$3:$H$102,8,FALSE),VLOOKUP(S$1,main!$A$3:$H$102,4,FALSE),VLOOKUP(S$1,main!$A$3:$H$102,4,FALSE)+VLOOKUP($A26,main!$A$3:$H$102,4,FALSE)+(VLOOKUP(VLOOKUP(S$1,main!$A$3:$H$102,8,FALSE),main!$K$19:$O$22,MATCH(VLOOKUP($A26,main!$A$3:$H$102,7,FALSE),main!$K$18:$O$18,0),0))),0)</f>
        <v>0</v>
      </c>
      <c r="T26">
        <f>IF((gamma!T26),IF(VLOOKUP(T$1,main!$A$3:$H$102,7,FALSE)=VLOOKUP($A26,main!$A$3:$H$102,8,FALSE),VLOOKUP(T$1,main!$A$3:$H$102,4,FALSE),VLOOKUP(T$1,main!$A$3:$H$102,4,FALSE)+VLOOKUP($A26,main!$A$3:$H$102,4,FALSE)+(VLOOKUP(VLOOKUP(T$1,main!$A$3:$H$102,8,FALSE),main!$K$19:$O$22,MATCH(VLOOKUP($A26,main!$A$3:$H$102,7,FALSE),main!$K$18:$O$18,0),0))),0)</f>
        <v>0</v>
      </c>
      <c r="U26">
        <f>IF((gamma!U26),IF(VLOOKUP(U$1,main!$A$3:$H$102,7,FALSE)=VLOOKUP($A26,main!$A$3:$H$102,8,FALSE),VLOOKUP(U$1,main!$A$3:$H$102,4,FALSE),VLOOKUP(U$1,main!$A$3:$H$102,4,FALSE)+VLOOKUP($A26,main!$A$3:$H$102,4,FALSE)+(VLOOKUP(VLOOKUP(U$1,main!$A$3:$H$102,8,FALSE),main!$K$19:$O$22,MATCH(VLOOKUP($A26,main!$A$3:$H$102,7,FALSE),main!$K$18:$O$18,0),0))),0)</f>
        <v>0</v>
      </c>
      <c r="V26">
        <f>IF((gamma!V26),IF(VLOOKUP(V$1,main!$A$3:$H$102,7,FALSE)=VLOOKUP($A26,main!$A$3:$H$102,8,FALSE),VLOOKUP(V$1,main!$A$3:$H$102,4,FALSE),VLOOKUP(V$1,main!$A$3:$H$102,4,FALSE)+VLOOKUP($A26,main!$A$3:$H$102,4,FALSE)+(VLOOKUP(VLOOKUP(V$1,main!$A$3:$H$102,8,FALSE),main!$K$19:$O$22,MATCH(VLOOKUP($A26,main!$A$3:$H$102,7,FALSE),main!$K$18:$O$18,0),0))),0)</f>
        <v>310</v>
      </c>
      <c r="W26">
        <f>IF((gamma!W26),IF(VLOOKUP(W$1,main!$A$3:$H$102,7,FALSE)=VLOOKUP($A26,main!$A$3:$H$102,8,FALSE),VLOOKUP(W$1,main!$A$3:$H$102,4,FALSE),VLOOKUP(W$1,main!$A$3:$H$102,4,FALSE)+VLOOKUP($A26,main!$A$3:$H$102,4,FALSE)+(VLOOKUP(VLOOKUP(W$1,main!$A$3:$H$102,8,FALSE),main!$K$19:$O$22,MATCH(VLOOKUP($A26,main!$A$3:$H$102,7,FALSE),main!$K$18:$O$18,0),0))),0)</f>
        <v>0</v>
      </c>
      <c r="X26">
        <f>IF((gamma!X26),IF(VLOOKUP(X$1,main!$A$3:$H$102,7,FALSE)=VLOOKUP($A26,main!$A$3:$H$102,8,FALSE),VLOOKUP(X$1,main!$A$3:$H$102,4,FALSE),VLOOKUP(X$1,main!$A$3:$H$102,4,FALSE)+VLOOKUP($A26,main!$A$3:$H$102,4,FALSE)+(VLOOKUP(VLOOKUP(X$1,main!$A$3:$H$102,8,FALSE),main!$K$19:$O$22,MATCH(VLOOKUP($A26,main!$A$3:$H$102,7,FALSE),main!$K$18:$O$18,0),0))),0)</f>
        <v>0</v>
      </c>
      <c r="Y26">
        <f>IF((gamma!Y26),IF(VLOOKUP(Y$1,main!$A$3:$H$102,7,FALSE)=VLOOKUP($A26,main!$A$3:$H$102,8,FALSE),VLOOKUP(Y$1,main!$A$3:$H$102,4,FALSE),VLOOKUP(Y$1,main!$A$3:$H$102,4,FALSE)+VLOOKUP($A26,main!$A$3:$H$102,4,FALSE)+(VLOOKUP(VLOOKUP(Y$1,main!$A$3:$H$102,8,FALSE),main!$K$19:$O$22,MATCH(VLOOKUP($A26,main!$A$3:$H$102,7,FALSE),main!$K$18:$O$18,0),0))),0)</f>
        <v>0</v>
      </c>
      <c r="Z26">
        <f>IF((gamma!Z26),IF(VLOOKUP(Z$1,main!$A$3:$H$102,7,FALSE)=VLOOKUP($A26,main!$A$3:$H$102,8,FALSE),VLOOKUP(Z$1,main!$A$3:$H$102,4,FALSE),VLOOKUP(Z$1,main!$A$3:$H$102,4,FALSE)+VLOOKUP($A26,main!$A$3:$H$102,4,FALSE)+(VLOOKUP(VLOOKUP(Z$1,main!$A$3:$H$102,8,FALSE),main!$K$19:$O$22,MATCH(VLOOKUP($A26,main!$A$3:$H$102,7,FALSE),main!$K$18:$O$18,0),0))),0)</f>
        <v>0</v>
      </c>
      <c r="AA26">
        <f>IF((gamma!AA26),IF(VLOOKUP(AA$1,main!$A$3:$H$102,7,FALSE)=VLOOKUP($A26,main!$A$3:$H$102,8,FALSE),VLOOKUP(AA$1,main!$A$3:$H$102,4,FALSE),VLOOKUP(AA$1,main!$A$3:$H$102,4,FALSE)+VLOOKUP($A26,main!$A$3:$H$102,4,FALSE)+(VLOOKUP(VLOOKUP(AA$1,main!$A$3:$H$102,8,FALSE),main!$K$19:$O$22,MATCH(VLOOKUP($A26,main!$A$3:$H$102,7,FALSE),main!$K$18:$O$18,0),0))),0)</f>
        <v>0</v>
      </c>
      <c r="AB26">
        <f>IF((gamma!AB26),IF(VLOOKUP(AB$1,main!$A$3:$H$102,7,FALSE)=VLOOKUP($A26,main!$A$3:$H$102,8,FALSE),VLOOKUP(AB$1,main!$A$3:$H$102,4,FALSE),VLOOKUP(AB$1,main!$A$3:$H$102,4,FALSE)+VLOOKUP($A26,main!$A$3:$H$102,4,FALSE)+(VLOOKUP(VLOOKUP(AB$1,main!$A$3:$H$102,8,FALSE),main!$K$19:$O$22,MATCH(VLOOKUP($A26,main!$A$3:$H$102,7,FALSE),main!$K$18:$O$18,0),0))),0)</f>
        <v>0</v>
      </c>
      <c r="AC26">
        <f>IF((gamma!AC26),IF(VLOOKUP(AC$1,main!$A$3:$H$102,7,FALSE)=VLOOKUP($A26,main!$A$3:$H$102,8,FALSE),VLOOKUP(AC$1,main!$A$3:$H$102,4,FALSE),VLOOKUP(AC$1,main!$A$3:$H$102,4,FALSE)+VLOOKUP($A26,main!$A$3:$H$102,4,FALSE)+(VLOOKUP(VLOOKUP(AC$1,main!$A$3:$H$102,8,FALSE),main!$K$19:$O$22,MATCH(VLOOKUP($A26,main!$A$3:$H$102,7,FALSE),main!$K$18:$O$18,0),0))),0)</f>
        <v>0</v>
      </c>
      <c r="AD26">
        <f>IF((gamma!AD26),IF(VLOOKUP(AD$1,main!$A$3:$H$102,7,FALSE)=VLOOKUP($A26,main!$A$3:$H$102,8,FALSE),VLOOKUP(AD$1,main!$A$3:$H$102,4,FALSE),VLOOKUP(AD$1,main!$A$3:$H$102,4,FALSE)+VLOOKUP($A26,main!$A$3:$H$102,4,FALSE)+(VLOOKUP(VLOOKUP(AD$1,main!$A$3:$H$102,8,FALSE),main!$K$19:$O$22,MATCH(VLOOKUP($A26,main!$A$3:$H$102,7,FALSE),main!$K$18:$O$18,0),0))),0)</f>
        <v>0</v>
      </c>
      <c r="AE26">
        <f>IF((gamma!AE26),IF(VLOOKUP(AE$1,main!$A$3:$H$102,7,FALSE)=VLOOKUP($A26,main!$A$3:$H$102,8,FALSE),VLOOKUP(AE$1,main!$A$3:$H$102,4,FALSE),VLOOKUP(AE$1,main!$A$3:$H$102,4,FALSE)+VLOOKUP($A26,main!$A$3:$H$102,4,FALSE)+(VLOOKUP(VLOOKUP(AE$1,main!$A$3:$H$102,8,FALSE),main!$K$19:$O$22,MATCH(VLOOKUP($A26,main!$A$3:$H$102,7,FALSE),main!$K$18:$O$18,0),0))),0)</f>
        <v>0</v>
      </c>
      <c r="AF26">
        <f>IF((gamma!AF26),IF(VLOOKUP(AF$1,main!$A$3:$H$102,7,FALSE)=VLOOKUP($A26,main!$A$3:$H$102,8,FALSE),VLOOKUP(AF$1,main!$A$3:$H$102,4,FALSE),VLOOKUP(AF$1,main!$A$3:$H$102,4,FALSE)+VLOOKUP($A26,main!$A$3:$H$102,4,FALSE)+(VLOOKUP(VLOOKUP(AF$1,main!$A$3:$H$102,8,FALSE),main!$K$19:$O$22,MATCH(VLOOKUP($A26,main!$A$3:$H$102,7,FALSE),main!$K$18:$O$18,0),0))),0)</f>
        <v>0</v>
      </c>
      <c r="AG26">
        <f>IF((gamma!AG26),IF(VLOOKUP(AG$1,main!$A$3:$H$102,7,FALSE)=VLOOKUP($A26,main!$A$3:$H$102,8,FALSE),VLOOKUP(AG$1,main!$A$3:$H$102,4,FALSE),VLOOKUP(AG$1,main!$A$3:$H$102,4,FALSE)+VLOOKUP($A26,main!$A$3:$H$102,4,FALSE)+(VLOOKUP(VLOOKUP(AG$1,main!$A$3:$H$102,8,FALSE),main!$K$19:$O$22,MATCH(VLOOKUP($A26,main!$A$3:$H$102,7,FALSE),main!$K$18:$O$18,0),0))),0)</f>
        <v>0</v>
      </c>
      <c r="AH26">
        <f>IF((gamma!AH26),IF(VLOOKUP(AH$1,main!$A$3:$H$102,7,FALSE)=VLOOKUP($A26,main!$A$3:$H$102,8,FALSE),VLOOKUP(AH$1,main!$A$3:$H$102,4,FALSE),VLOOKUP(AH$1,main!$A$3:$H$102,4,FALSE)+VLOOKUP($A26,main!$A$3:$H$102,4,FALSE)+(VLOOKUP(VLOOKUP(AH$1,main!$A$3:$H$102,8,FALSE),main!$K$19:$O$22,MATCH(VLOOKUP($A26,main!$A$3:$H$102,7,FALSE),main!$K$18:$O$18,0),0))),0)</f>
        <v>0</v>
      </c>
      <c r="AI26">
        <f>IF((gamma!AI26),IF(VLOOKUP(AI$1,main!$A$3:$H$102,7,FALSE)=VLOOKUP($A26,main!$A$3:$H$102,8,FALSE),VLOOKUP(AI$1,main!$A$3:$H$102,4,FALSE),VLOOKUP(AI$1,main!$A$3:$H$102,4,FALSE)+VLOOKUP($A26,main!$A$3:$H$102,4,FALSE)+(VLOOKUP(VLOOKUP(AI$1,main!$A$3:$H$102,8,FALSE),main!$K$19:$O$22,MATCH(VLOOKUP($A26,main!$A$3:$H$102,7,FALSE),main!$K$18:$O$18,0),0))),0)</f>
        <v>0</v>
      </c>
      <c r="AJ26">
        <f>IF((gamma!AJ26),IF(VLOOKUP(AJ$1,main!$A$3:$H$102,7,FALSE)=VLOOKUP($A26,main!$A$3:$H$102,8,FALSE),VLOOKUP(AJ$1,main!$A$3:$H$102,4,FALSE),VLOOKUP(AJ$1,main!$A$3:$H$102,4,FALSE)+VLOOKUP($A26,main!$A$3:$H$102,4,FALSE)+(VLOOKUP(VLOOKUP(AJ$1,main!$A$3:$H$102,8,FALSE),main!$K$19:$O$22,MATCH(VLOOKUP($A26,main!$A$3:$H$102,7,FALSE),main!$K$18:$O$18,0),0))),0)</f>
        <v>0</v>
      </c>
      <c r="AK26">
        <f>IF((gamma!AK26),IF(VLOOKUP(AK$1,main!$A$3:$H$102,7,FALSE)=VLOOKUP($A26,main!$A$3:$H$102,8,FALSE),VLOOKUP(AK$1,main!$A$3:$H$102,4,FALSE),VLOOKUP(AK$1,main!$A$3:$H$102,4,FALSE)+VLOOKUP($A26,main!$A$3:$H$102,4,FALSE)+(VLOOKUP(VLOOKUP(AK$1,main!$A$3:$H$102,8,FALSE),main!$K$19:$O$22,MATCH(VLOOKUP($A26,main!$A$3:$H$102,7,FALSE),main!$K$18:$O$18,0),0))),0)</f>
        <v>0</v>
      </c>
      <c r="AL26">
        <f>IF((gamma!AL26),IF(VLOOKUP(AL$1,main!$A$3:$H$102,7,FALSE)=VLOOKUP($A26,main!$A$3:$H$102,8,FALSE),VLOOKUP(AL$1,main!$A$3:$H$102,4,FALSE),VLOOKUP(AL$1,main!$A$3:$H$102,4,FALSE)+VLOOKUP($A26,main!$A$3:$H$102,4,FALSE)+(VLOOKUP(VLOOKUP(AL$1,main!$A$3:$H$102,8,FALSE),main!$K$19:$O$22,MATCH(VLOOKUP($A26,main!$A$3:$H$102,7,FALSE),main!$K$18:$O$18,0),0))),0)</f>
        <v>0</v>
      </c>
      <c r="AM26">
        <f>IF((gamma!AM26),IF(VLOOKUP(AM$1,main!$A$3:$H$102,7,FALSE)=VLOOKUP($A26,main!$A$3:$H$102,8,FALSE),VLOOKUP(AM$1,main!$A$3:$H$102,4,FALSE),VLOOKUP(AM$1,main!$A$3:$H$102,4,FALSE)+VLOOKUP($A26,main!$A$3:$H$102,4,FALSE)+(VLOOKUP(VLOOKUP(AM$1,main!$A$3:$H$102,8,FALSE),main!$K$19:$O$22,MATCH(VLOOKUP($A26,main!$A$3:$H$102,7,FALSE),main!$K$18:$O$18,0),0))),0)</f>
        <v>0</v>
      </c>
      <c r="AN26">
        <f>IF((gamma!AN26),IF(VLOOKUP(AN$1,main!$A$3:$H$102,7,FALSE)=VLOOKUP($A26,main!$A$3:$H$102,8,FALSE),VLOOKUP(AN$1,main!$A$3:$H$102,4,FALSE),VLOOKUP(AN$1,main!$A$3:$H$102,4,FALSE)+VLOOKUP($A26,main!$A$3:$H$102,4,FALSE)+(VLOOKUP(VLOOKUP(AN$1,main!$A$3:$H$102,8,FALSE),main!$K$19:$O$22,MATCH(VLOOKUP($A26,main!$A$3:$H$102,7,FALSE),main!$K$18:$O$18,0),0))),0)</f>
        <v>0</v>
      </c>
      <c r="AO26">
        <f>IF((gamma!AO26),IF(VLOOKUP(AO$1,main!$A$3:$H$102,7,FALSE)=VLOOKUP($A26,main!$A$3:$H$102,8,FALSE),VLOOKUP(AO$1,main!$A$3:$H$102,4,FALSE),VLOOKUP(AO$1,main!$A$3:$H$102,4,FALSE)+VLOOKUP($A26,main!$A$3:$H$102,4,FALSE)+(VLOOKUP(VLOOKUP(AO$1,main!$A$3:$H$102,8,FALSE),main!$K$19:$O$22,MATCH(VLOOKUP($A26,main!$A$3:$H$102,7,FALSE),main!$K$18:$O$18,0),0))),0)</f>
        <v>0</v>
      </c>
      <c r="AP26">
        <f>IF((gamma!AP26),IF(VLOOKUP(AP$1,main!$A$3:$H$102,7,FALSE)=VLOOKUP($A26,main!$A$3:$H$102,8,FALSE),VLOOKUP(AP$1,main!$A$3:$H$102,4,FALSE),VLOOKUP(AP$1,main!$A$3:$H$102,4,FALSE)+VLOOKUP($A26,main!$A$3:$H$102,4,FALSE)+(VLOOKUP(VLOOKUP(AP$1,main!$A$3:$H$102,8,FALSE),main!$K$19:$O$22,MATCH(VLOOKUP($A26,main!$A$3:$H$102,7,FALSE),main!$K$18:$O$18,0),0))),0)</f>
        <v>215</v>
      </c>
      <c r="AQ26">
        <f>IF((gamma!AQ26),IF(VLOOKUP(AQ$1,main!$A$3:$H$102,7,FALSE)=VLOOKUP($A26,main!$A$3:$H$102,8,FALSE),VLOOKUP(AQ$1,main!$A$3:$H$102,4,FALSE),VLOOKUP(AQ$1,main!$A$3:$H$102,4,FALSE)+VLOOKUP($A26,main!$A$3:$H$102,4,FALSE)+(VLOOKUP(VLOOKUP(AQ$1,main!$A$3:$H$102,8,FALSE),main!$K$19:$O$22,MATCH(VLOOKUP($A26,main!$A$3:$H$102,7,FALSE),main!$K$18:$O$18,0),0))),0)</f>
        <v>0</v>
      </c>
      <c r="AR26">
        <f>IF((gamma!AR26),IF(VLOOKUP(AR$1,main!$A$3:$H$102,7,FALSE)=VLOOKUP($A26,main!$A$3:$H$102,8,FALSE),VLOOKUP(AR$1,main!$A$3:$H$102,4,FALSE),VLOOKUP(AR$1,main!$A$3:$H$102,4,FALSE)+VLOOKUP($A26,main!$A$3:$H$102,4,FALSE)+(VLOOKUP(VLOOKUP(AR$1,main!$A$3:$H$102,8,FALSE),main!$K$19:$O$22,MATCH(VLOOKUP($A26,main!$A$3:$H$102,7,FALSE),main!$K$18:$O$18,0),0))),0)</f>
        <v>0</v>
      </c>
      <c r="AS26">
        <f>IF((gamma!AS26),IF(VLOOKUP(AS$1,main!$A$3:$H$102,7,FALSE)=VLOOKUP($A26,main!$A$3:$H$102,8,FALSE),VLOOKUP(AS$1,main!$A$3:$H$102,4,FALSE),VLOOKUP(AS$1,main!$A$3:$H$102,4,FALSE)+VLOOKUP($A26,main!$A$3:$H$102,4,FALSE)+(VLOOKUP(VLOOKUP(AS$1,main!$A$3:$H$102,8,FALSE),main!$K$19:$O$22,MATCH(VLOOKUP($A26,main!$A$3:$H$102,7,FALSE),main!$K$18:$O$18,0),0))),0)</f>
        <v>0</v>
      </c>
      <c r="AT26">
        <f>IF((gamma!AT26),IF(VLOOKUP(AT$1,main!$A$3:$H$102,7,FALSE)=VLOOKUP($A26,main!$A$3:$H$102,8,FALSE),VLOOKUP(AT$1,main!$A$3:$H$102,4,FALSE),VLOOKUP(AT$1,main!$A$3:$H$102,4,FALSE)+VLOOKUP($A26,main!$A$3:$H$102,4,FALSE)+(VLOOKUP(VLOOKUP(AT$1,main!$A$3:$H$102,8,FALSE),main!$K$19:$O$22,MATCH(VLOOKUP($A26,main!$A$3:$H$102,7,FALSE),main!$K$18:$O$18,0),0))),0)</f>
        <v>0</v>
      </c>
      <c r="AU26">
        <f>IF((gamma!AU26),IF(VLOOKUP(AU$1,main!$A$3:$H$102,7,FALSE)=VLOOKUP($A26,main!$A$3:$H$102,8,FALSE),VLOOKUP(AU$1,main!$A$3:$H$102,4,FALSE),VLOOKUP(AU$1,main!$A$3:$H$102,4,FALSE)+VLOOKUP($A26,main!$A$3:$H$102,4,FALSE)+(VLOOKUP(VLOOKUP(AU$1,main!$A$3:$H$102,8,FALSE),main!$K$19:$O$22,MATCH(VLOOKUP($A26,main!$A$3:$H$102,7,FALSE),main!$K$18:$O$18,0),0))),0)</f>
        <v>0</v>
      </c>
      <c r="AV26">
        <f>IF((gamma!AV26),IF(VLOOKUP(AV$1,main!$A$3:$H$102,7,FALSE)=VLOOKUP($A26,main!$A$3:$H$102,8,FALSE),VLOOKUP(AV$1,main!$A$3:$H$102,4,FALSE),VLOOKUP(AV$1,main!$A$3:$H$102,4,FALSE)+VLOOKUP($A26,main!$A$3:$H$102,4,FALSE)+(VLOOKUP(VLOOKUP(AV$1,main!$A$3:$H$102,8,FALSE),main!$K$19:$O$22,MATCH(VLOOKUP($A26,main!$A$3:$H$102,7,FALSE),main!$K$18:$O$18,0),0))),0)</f>
        <v>0</v>
      </c>
      <c r="AW26">
        <f>IF((gamma!AW26),IF(VLOOKUP(AW$1,main!$A$3:$H$102,7,FALSE)=VLOOKUP($A26,main!$A$3:$H$102,8,FALSE),VLOOKUP(AW$1,main!$A$3:$H$102,4,FALSE),VLOOKUP(AW$1,main!$A$3:$H$102,4,FALSE)+VLOOKUP($A26,main!$A$3:$H$102,4,FALSE)+(VLOOKUP(VLOOKUP(AW$1,main!$A$3:$H$102,8,FALSE),main!$K$19:$O$22,MATCH(VLOOKUP($A26,main!$A$3:$H$102,7,FALSE),main!$K$18:$O$18,0),0))),0)</f>
        <v>0</v>
      </c>
      <c r="AX26">
        <f>IF((gamma!AX26),IF(VLOOKUP(AX$1,main!$A$3:$H$102,7,FALSE)=VLOOKUP($A26,main!$A$3:$H$102,8,FALSE),VLOOKUP(AX$1,main!$A$3:$H$102,4,FALSE),VLOOKUP(AX$1,main!$A$3:$H$102,4,FALSE)+VLOOKUP($A26,main!$A$3:$H$102,4,FALSE)+(VLOOKUP(VLOOKUP(AX$1,main!$A$3:$H$102,8,FALSE),main!$K$19:$O$22,MATCH(VLOOKUP($A26,main!$A$3:$H$102,7,FALSE),main!$K$18:$O$18,0),0))),0)</f>
        <v>0</v>
      </c>
      <c r="AY26">
        <f>IF((gamma!AY26),IF(VLOOKUP(AY$1,main!$A$3:$H$102,7,FALSE)=VLOOKUP($A26,main!$A$3:$H$102,8,FALSE),VLOOKUP(AY$1,main!$A$3:$H$102,4,FALSE),VLOOKUP(AY$1,main!$A$3:$H$102,4,FALSE)+VLOOKUP($A26,main!$A$3:$H$102,4,FALSE)+(VLOOKUP(VLOOKUP(AY$1,main!$A$3:$H$102,8,FALSE),main!$K$19:$O$22,MATCH(VLOOKUP($A26,main!$A$3:$H$102,7,FALSE),main!$K$18:$O$18,0),0))),0)</f>
        <v>0</v>
      </c>
      <c r="AZ26">
        <f>IF((gamma!AZ26),IF(VLOOKUP(AZ$1,main!$A$3:$H$102,7,FALSE)=VLOOKUP($A26,main!$A$3:$H$102,8,FALSE),VLOOKUP(AZ$1,main!$A$3:$H$102,4,FALSE),VLOOKUP(AZ$1,main!$A$3:$H$102,4,FALSE)+VLOOKUP($A26,main!$A$3:$H$102,4,FALSE)+(VLOOKUP(VLOOKUP(AZ$1,main!$A$3:$H$102,8,FALSE),main!$K$19:$O$22,MATCH(VLOOKUP($A26,main!$A$3:$H$102,7,FALSE),main!$K$18:$O$18,0),0))),0)</f>
        <v>0</v>
      </c>
      <c r="BA26">
        <f>IF((gamma!BA26),IF(VLOOKUP(BA$1,main!$A$3:$H$102,7,FALSE)=VLOOKUP($A26,main!$A$3:$H$102,8,FALSE),VLOOKUP(BA$1,main!$A$3:$H$102,4,FALSE),VLOOKUP(BA$1,main!$A$3:$H$102,4,FALSE)+VLOOKUP($A26,main!$A$3:$H$102,4,FALSE)+(VLOOKUP(VLOOKUP(BA$1,main!$A$3:$H$102,8,FALSE),main!$K$19:$O$22,MATCH(VLOOKUP($A26,main!$A$3:$H$102,7,FALSE),main!$K$18:$O$18,0),0))),0)</f>
        <v>0</v>
      </c>
      <c r="BB26">
        <f>IF((gamma!BB26),IF(VLOOKUP(BB$1,main!$A$3:$H$102,7,FALSE)=VLOOKUP($A26,main!$A$3:$H$102,8,FALSE),VLOOKUP(BB$1,main!$A$3:$H$102,4,FALSE),VLOOKUP(BB$1,main!$A$3:$H$102,4,FALSE)+VLOOKUP($A26,main!$A$3:$H$102,4,FALSE)+(VLOOKUP(VLOOKUP(BB$1,main!$A$3:$H$102,8,FALSE),main!$K$19:$O$22,MATCH(VLOOKUP($A26,main!$A$3:$H$102,7,FALSE),main!$K$18:$O$18,0),0))),0)</f>
        <v>0</v>
      </c>
      <c r="BC26">
        <f>IF((gamma!BC26),IF(VLOOKUP(BC$1,main!$A$3:$H$102,7,FALSE)=VLOOKUP($A26,main!$A$3:$H$102,8,FALSE),VLOOKUP(BC$1,main!$A$3:$H$102,4,FALSE),VLOOKUP(BC$1,main!$A$3:$H$102,4,FALSE)+VLOOKUP($A26,main!$A$3:$H$102,4,FALSE)+(VLOOKUP(VLOOKUP(BC$1,main!$A$3:$H$102,8,FALSE),main!$K$19:$O$22,MATCH(VLOOKUP($A26,main!$A$3:$H$102,7,FALSE),main!$K$18:$O$18,0),0))),0)</f>
        <v>0</v>
      </c>
      <c r="BD26">
        <f>IF((gamma!BD26),IF(VLOOKUP(BD$1,main!$A$3:$H$102,7,FALSE)=VLOOKUP($A26,main!$A$3:$H$102,8,FALSE),VLOOKUP(BD$1,main!$A$3:$H$102,4,FALSE),VLOOKUP(BD$1,main!$A$3:$H$102,4,FALSE)+VLOOKUP($A26,main!$A$3:$H$102,4,FALSE)+(VLOOKUP(VLOOKUP(BD$1,main!$A$3:$H$102,8,FALSE),main!$K$19:$O$22,MATCH(VLOOKUP($A26,main!$A$3:$H$102,7,FALSE),main!$K$18:$O$18,0),0))),0)</f>
        <v>0</v>
      </c>
      <c r="BE26">
        <f>IF((gamma!BE26),IF(VLOOKUP(BE$1,main!$A$3:$H$102,7,FALSE)=VLOOKUP($A26,main!$A$3:$H$102,8,FALSE),VLOOKUP(BE$1,main!$A$3:$H$102,4,FALSE),VLOOKUP(BE$1,main!$A$3:$H$102,4,FALSE)+VLOOKUP($A26,main!$A$3:$H$102,4,FALSE)+(VLOOKUP(VLOOKUP(BE$1,main!$A$3:$H$102,8,FALSE),main!$K$19:$O$22,MATCH(VLOOKUP($A26,main!$A$3:$H$102,7,FALSE),main!$K$18:$O$18,0),0))),0)</f>
        <v>0</v>
      </c>
      <c r="BF26">
        <f>IF((gamma!BF26),IF(VLOOKUP(BF$1,main!$A$3:$H$102,7,FALSE)=VLOOKUP($A26,main!$A$3:$H$102,8,FALSE),VLOOKUP(BF$1,main!$A$3:$H$102,4,FALSE),VLOOKUP(BF$1,main!$A$3:$H$102,4,FALSE)+VLOOKUP($A26,main!$A$3:$H$102,4,FALSE)+(VLOOKUP(VLOOKUP(BF$1,main!$A$3:$H$102,8,FALSE),main!$K$19:$O$22,MATCH(VLOOKUP($A26,main!$A$3:$H$102,7,FALSE),main!$K$18:$O$18,0),0))),0)</f>
        <v>0</v>
      </c>
      <c r="BG26">
        <f>IF((gamma!BG26),IF(VLOOKUP(BG$1,main!$A$3:$H$102,7,FALSE)=VLOOKUP($A26,main!$A$3:$H$102,8,FALSE),VLOOKUP(BG$1,main!$A$3:$H$102,4,FALSE),VLOOKUP(BG$1,main!$A$3:$H$102,4,FALSE)+VLOOKUP($A26,main!$A$3:$H$102,4,FALSE)+(VLOOKUP(VLOOKUP(BG$1,main!$A$3:$H$102,8,FALSE),main!$K$19:$O$22,MATCH(VLOOKUP($A26,main!$A$3:$H$102,7,FALSE),main!$K$18:$O$18,0),0))),0)</f>
        <v>0</v>
      </c>
      <c r="BH26">
        <f>IF((gamma!BH26),IF(VLOOKUP(BH$1,main!$A$3:$H$102,7,FALSE)=VLOOKUP($A26,main!$A$3:$H$102,8,FALSE),VLOOKUP(BH$1,main!$A$3:$H$102,4,FALSE),VLOOKUP(BH$1,main!$A$3:$H$102,4,FALSE)+VLOOKUP($A26,main!$A$3:$H$102,4,FALSE)+(VLOOKUP(VLOOKUP(BH$1,main!$A$3:$H$102,8,FALSE),main!$K$19:$O$22,MATCH(VLOOKUP($A26,main!$A$3:$H$102,7,FALSE),main!$K$18:$O$18,0),0))),0)</f>
        <v>0</v>
      </c>
      <c r="BI26">
        <f>IF((gamma!BI26),IF(VLOOKUP(BI$1,main!$A$3:$H$102,7,FALSE)=VLOOKUP($A26,main!$A$3:$H$102,8,FALSE),VLOOKUP(BI$1,main!$A$3:$H$102,4,FALSE),VLOOKUP(BI$1,main!$A$3:$H$102,4,FALSE)+VLOOKUP($A26,main!$A$3:$H$102,4,FALSE)+(VLOOKUP(VLOOKUP(BI$1,main!$A$3:$H$102,8,FALSE),main!$K$19:$O$22,MATCH(VLOOKUP($A26,main!$A$3:$H$102,7,FALSE),main!$K$18:$O$18,0),0))),0)</f>
        <v>200</v>
      </c>
      <c r="BJ26">
        <f>IF((gamma!BJ26),IF(VLOOKUP(BJ$1,main!$A$3:$H$102,7,FALSE)=VLOOKUP($A26,main!$A$3:$H$102,8,FALSE),VLOOKUP(BJ$1,main!$A$3:$H$102,4,FALSE),VLOOKUP(BJ$1,main!$A$3:$H$102,4,FALSE)+VLOOKUP($A26,main!$A$3:$H$102,4,FALSE)+(VLOOKUP(VLOOKUP(BJ$1,main!$A$3:$H$102,8,FALSE),main!$K$19:$O$22,MATCH(VLOOKUP($A26,main!$A$3:$H$102,7,FALSE),main!$K$18:$O$18,0),0))),0)</f>
        <v>0</v>
      </c>
      <c r="BK26">
        <f>IF((gamma!BK26),IF(VLOOKUP(BK$1,main!$A$3:$H$102,7,FALSE)=VLOOKUP($A26,main!$A$3:$H$102,8,FALSE),VLOOKUP(BK$1,main!$A$3:$H$102,4,FALSE),VLOOKUP(BK$1,main!$A$3:$H$102,4,FALSE)+VLOOKUP($A26,main!$A$3:$H$102,4,FALSE)+(VLOOKUP(VLOOKUP(BK$1,main!$A$3:$H$102,8,FALSE),main!$K$19:$O$22,MATCH(VLOOKUP($A26,main!$A$3:$H$102,7,FALSE),main!$K$18:$O$18,0),0))),0)</f>
        <v>0</v>
      </c>
      <c r="BL26">
        <f>IF((gamma!BL26),IF(VLOOKUP(BL$1,main!$A$3:$H$102,7,FALSE)=VLOOKUP($A26,main!$A$3:$H$102,8,FALSE),VLOOKUP(BL$1,main!$A$3:$H$102,4,FALSE),VLOOKUP(BL$1,main!$A$3:$H$102,4,FALSE)+VLOOKUP($A26,main!$A$3:$H$102,4,FALSE)+(VLOOKUP(VLOOKUP(BL$1,main!$A$3:$H$102,8,FALSE),main!$K$19:$O$22,MATCH(VLOOKUP($A26,main!$A$3:$H$102,7,FALSE),main!$K$18:$O$18,0),0))),0)</f>
        <v>0</v>
      </c>
      <c r="BM26">
        <f>IF((gamma!BM26),IF(VLOOKUP(BM$1,main!$A$3:$H$102,7,FALSE)=VLOOKUP($A26,main!$A$3:$H$102,8,FALSE),VLOOKUP(BM$1,main!$A$3:$H$102,4,FALSE),VLOOKUP(BM$1,main!$A$3:$H$102,4,FALSE)+VLOOKUP($A26,main!$A$3:$H$102,4,FALSE)+(VLOOKUP(VLOOKUP(BM$1,main!$A$3:$H$102,8,FALSE),main!$K$19:$O$22,MATCH(VLOOKUP($A26,main!$A$3:$H$102,7,FALSE),main!$K$18:$O$18,0),0))),0)</f>
        <v>0</v>
      </c>
      <c r="BN26">
        <f>IF((gamma!BN26),IF(VLOOKUP(BN$1,main!$A$3:$H$102,7,FALSE)=VLOOKUP($A26,main!$A$3:$H$102,8,FALSE),VLOOKUP(BN$1,main!$A$3:$H$102,4,FALSE),VLOOKUP(BN$1,main!$A$3:$H$102,4,FALSE)+VLOOKUP($A26,main!$A$3:$H$102,4,FALSE)+(VLOOKUP(VLOOKUP(BN$1,main!$A$3:$H$102,8,FALSE),main!$K$19:$O$22,MATCH(VLOOKUP($A26,main!$A$3:$H$102,7,FALSE),main!$K$18:$O$18,0),0))),0)</f>
        <v>0</v>
      </c>
      <c r="BO26">
        <f>IF((gamma!BO26),IF(VLOOKUP(BO$1,main!$A$3:$H$102,7,FALSE)=VLOOKUP($A26,main!$A$3:$H$102,8,FALSE),VLOOKUP(BO$1,main!$A$3:$H$102,4,FALSE),VLOOKUP(BO$1,main!$A$3:$H$102,4,FALSE)+VLOOKUP($A26,main!$A$3:$H$102,4,FALSE)+(VLOOKUP(VLOOKUP(BO$1,main!$A$3:$H$102,8,FALSE),main!$K$19:$O$22,MATCH(VLOOKUP($A26,main!$A$3:$H$102,7,FALSE),main!$K$18:$O$18,0),0))),0)</f>
        <v>0</v>
      </c>
      <c r="BP26">
        <f>IF((gamma!BP26),IF(VLOOKUP(BP$1,main!$A$3:$H$102,7,FALSE)=VLOOKUP($A26,main!$A$3:$H$102,8,FALSE),VLOOKUP(BP$1,main!$A$3:$H$102,4,FALSE),VLOOKUP(BP$1,main!$A$3:$H$102,4,FALSE)+VLOOKUP($A26,main!$A$3:$H$102,4,FALSE)+(VLOOKUP(VLOOKUP(BP$1,main!$A$3:$H$102,8,FALSE),main!$K$19:$O$22,MATCH(VLOOKUP($A26,main!$A$3:$H$102,7,FALSE),main!$K$18:$O$18,0),0))),0)</f>
        <v>0</v>
      </c>
      <c r="BQ26">
        <f>IF((gamma!BQ26),IF(VLOOKUP(BQ$1,main!$A$3:$H$102,7,FALSE)=VLOOKUP($A26,main!$A$3:$H$102,8,FALSE),VLOOKUP(BQ$1,main!$A$3:$H$102,4,FALSE),VLOOKUP(BQ$1,main!$A$3:$H$102,4,FALSE)+VLOOKUP($A26,main!$A$3:$H$102,4,FALSE)+(VLOOKUP(VLOOKUP(BQ$1,main!$A$3:$H$102,8,FALSE),main!$K$19:$O$22,MATCH(VLOOKUP($A26,main!$A$3:$H$102,7,FALSE),main!$K$18:$O$18,0),0))),0)</f>
        <v>0</v>
      </c>
      <c r="BR26">
        <f>IF((gamma!BR26),IF(VLOOKUP(BR$1,main!$A$3:$H$102,7,FALSE)=VLOOKUP($A26,main!$A$3:$H$102,8,FALSE),VLOOKUP(BR$1,main!$A$3:$H$102,4,FALSE),VLOOKUP(BR$1,main!$A$3:$H$102,4,FALSE)+VLOOKUP($A26,main!$A$3:$H$102,4,FALSE)+(VLOOKUP(VLOOKUP(BR$1,main!$A$3:$H$102,8,FALSE),main!$K$19:$O$22,MATCH(VLOOKUP($A26,main!$A$3:$H$102,7,FALSE),main!$K$18:$O$18,0),0))),0)</f>
        <v>0</v>
      </c>
      <c r="BS26">
        <f>IF((gamma!BS26),IF(VLOOKUP(BS$1,main!$A$3:$H$102,7,FALSE)=VLOOKUP($A26,main!$A$3:$H$102,8,FALSE),VLOOKUP(BS$1,main!$A$3:$H$102,4,FALSE),VLOOKUP(BS$1,main!$A$3:$H$102,4,FALSE)+VLOOKUP($A26,main!$A$3:$H$102,4,FALSE)+(VLOOKUP(VLOOKUP(BS$1,main!$A$3:$H$102,8,FALSE),main!$K$19:$O$22,MATCH(VLOOKUP($A26,main!$A$3:$H$102,7,FALSE),main!$K$18:$O$18,0),0))),0)</f>
        <v>0</v>
      </c>
      <c r="BT26">
        <f>IF((gamma!BT26),IF(VLOOKUP(BT$1,main!$A$3:$H$102,7,FALSE)=VLOOKUP($A26,main!$A$3:$H$102,8,FALSE),VLOOKUP(BT$1,main!$A$3:$H$102,4,FALSE),VLOOKUP(BT$1,main!$A$3:$H$102,4,FALSE)+VLOOKUP($A26,main!$A$3:$H$102,4,FALSE)+(VLOOKUP(VLOOKUP(BT$1,main!$A$3:$H$102,8,FALSE),main!$K$19:$O$22,MATCH(VLOOKUP($A26,main!$A$3:$H$102,7,FALSE),main!$K$18:$O$18,0),0))),0)</f>
        <v>0</v>
      </c>
      <c r="BU26">
        <f>IF((gamma!BU26),IF(VLOOKUP(BU$1,main!$A$3:$H$102,7,FALSE)=VLOOKUP($A26,main!$A$3:$H$102,8,FALSE),VLOOKUP(BU$1,main!$A$3:$H$102,4,FALSE),VLOOKUP(BU$1,main!$A$3:$H$102,4,FALSE)+VLOOKUP($A26,main!$A$3:$H$102,4,FALSE)+(VLOOKUP(VLOOKUP(BU$1,main!$A$3:$H$102,8,FALSE),main!$K$19:$O$22,MATCH(VLOOKUP($A26,main!$A$3:$H$102,7,FALSE),main!$K$18:$O$18,0),0))),0)</f>
        <v>0</v>
      </c>
      <c r="BV26">
        <f>IF((gamma!BV26),IF(VLOOKUP(BV$1,main!$A$3:$H$102,7,FALSE)=VLOOKUP($A26,main!$A$3:$H$102,8,FALSE),VLOOKUP(BV$1,main!$A$3:$H$102,4,FALSE),VLOOKUP(BV$1,main!$A$3:$H$102,4,FALSE)+VLOOKUP($A26,main!$A$3:$H$102,4,FALSE)+(VLOOKUP(VLOOKUP(BV$1,main!$A$3:$H$102,8,FALSE),main!$K$19:$O$22,MATCH(VLOOKUP($A26,main!$A$3:$H$102,7,FALSE),main!$K$18:$O$18,0),0))),0)</f>
        <v>0</v>
      </c>
      <c r="BW26">
        <f>IF((gamma!BW26),IF(VLOOKUP(BW$1,main!$A$3:$H$102,7,FALSE)=VLOOKUP($A26,main!$A$3:$H$102,8,FALSE),VLOOKUP(BW$1,main!$A$3:$H$102,4,FALSE),VLOOKUP(BW$1,main!$A$3:$H$102,4,FALSE)+VLOOKUP($A26,main!$A$3:$H$102,4,FALSE)+(VLOOKUP(VLOOKUP(BW$1,main!$A$3:$H$102,8,FALSE),main!$K$19:$O$22,MATCH(VLOOKUP($A26,main!$A$3:$H$102,7,FALSE),main!$K$18:$O$18,0),0))),0)</f>
        <v>0</v>
      </c>
      <c r="BX26">
        <f>IF((gamma!BX26),IF(VLOOKUP(BX$1,main!$A$3:$H$102,7,FALSE)=VLOOKUP($A26,main!$A$3:$H$102,8,FALSE),VLOOKUP(BX$1,main!$A$3:$H$102,4,FALSE),VLOOKUP(BX$1,main!$A$3:$H$102,4,FALSE)+VLOOKUP($A26,main!$A$3:$H$102,4,FALSE)+(VLOOKUP(VLOOKUP(BX$1,main!$A$3:$H$102,8,FALSE),main!$K$19:$O$22,MATCH(VLOOKUP($A26,main!$A$3:$H$102,7,FALSE),main!$K$18:$O$18,0),0))),0)</f>
        <v>0</v>
      </c>
      <c r="BY26">
        <f>IF((gamma!BY26),IF(VLOOKUP(BY$1,main!$A$3:$H$102,7,FALSE)=VLOOKUP($A26,main!$A$3:$H$102,8,FALSE),VLOOKUP(BY$1,main!$A$3:$H$102,4,FALSE),VLOOKUP(BY$1,main!$A$3:$H$102,4,FALSE)+VLOOKUP($A26,main!$A$3:$H$102,4,FALSE)+(VLOOKUP(VLOOKUP(BY$1,main!$A$3:$H$102,8,FALSE),main!$K$19:$O$22,MATCH(VLOOKUP($A26,main!$A$3:$H$102,7,FALSE),main!$K$18:$O$18,0),0))),0)</f>
        <v>0</v>
      </c>
      <c r="BZ26">
        <f>IF((gamma!BZ26),IF(VLOOKUP(BZ$1,main!$A$3:$H$102,7,FALSE)=VLOOKUP($A26,main!$A$3:$H$102,8,FALSE),VLOOKUP(BZ$1,main!$A$3:$H$102,4,FALSE),VLOOKUP(BZ$1,main!$A$3:$H$102,4,FALSE)+VLOOKUP($A26,main!$A$3:$H$102,4,FALSE)+(VLOOKUP(VLOOKUP(BZ$1,main!$A$3:$H$102,8,FALSE),main!$K$19:$O$22,MATCH(VLOOKUP($A26,main!$A$3:$H$102,7,FALSE),main!$K$18:$O$18,0),0))),0)</f>
        <v>0</v>
      </c>
      <c r="CA26">
        <f>IF((gamma!CA26),IF(VLOOKUP(CA$1,main!$A$3:$H$102,7,FALSE)=VLOOKUP($A26,main!$A$3:$H$102,8,FALSE),VLOOKUP(CA$1,main!$A$3:$H$102,4,FALSE),VLOOKUP(CA$1,main!$A$3:$H$102,4,FALSE)+VLOOKUP($A26,main!$A$3:$H$102,4,FALSE)+(VLOOKUP(VLOOKUP(CA$1,main!$A$3:$H$102,8,FALSE),main!$K$19:$O$22,MATCH(VLOOKUP($A26,main!$A$3:$H$102,7,FALSE),main!$K$18:$O$18,0),0))),0)</f>
        <v>0</v>
      </c>
      <c r="CB26">
        <f>IF((gamma!CB26),IF(VLOOKUP(CB$1,main!$A$3:$H$102,7,FALSE)=VLOOKUP($A26,main!$A$3:$H$102,8,FALSE),VLOOKUP(CB$1,main!$A$3:$H$102,4,FALSE),VLOOKUP(CB$1,main!$A$3:$H$102,4,FALSE)+VLOOKUP($A26,main!$A$3:$H$102,4,FALSE)+(VLOOKUP(VLOOKUP(CB$1,main!$A$3:$H$102,8,FALSE),main!$K$19:$O$22,MATCH(VLOOKUP($A26,main!$A$3:$H$102,7,FALSE),main!$K$18:$O$18,0),0))),0)</f>
        <v>0</v>
      </c>
      <c r="CC26">
        <f>IF((gamma!CC26),IF(VLOOKUP(CC$1,main!$A$3:$H$102,7,FALSE)=VLOOKUP($A26,main!$A$3:$H$102,8,FALSE),VLOOKUP(CC$1,main!$A$3:$H$102,4,FALSE),VLOOKUP(CC$1,main!$A$3:$H$102,4,FALSE)+VLOOKUP($A26,main!$A$3:$H$102,4,FALSE)+(VLOOKUP(VLOOKUP(CC$1,main!$A$3:$H$102,8,FALSE),main!$K$19:$O$22,MATCH(VLOOKUP($A26,main!$A$3:$H$102,7,FALSE),main!$K$18:$O$18,0),0))),0)</f>
        <v>0</v>
      </c>
      <c r="CD26">
        <f>IF((gamma!CD26),IF(VLOOKUP(CD$1,main!$A$3:$H$102,7,FALSE)=VLOOKUP($A26,main!$A$3:$H$102,8,FALSE),VLOOKUP(CD$1,main!$A$3:$H$102,4,FALSE),VLOOKUP(CD$1,main!$A$3:$H$102,4,FALSE)+VLOOKUP($A26,main!$A$3:$H$102,4,FALSE)+(VLOOKUP(VLOOKUP(CD$1,main!$A$3:$H$102,8,FALSE),main!$K$19:$O$22,MATCH(VLOOKUP($A26,main!$A$3:$H$102,7,FALSE),main!$K$18:$O$18,0),0))),0)</f>
        <v>0</v>
      </c>
      <c r="CE26">
        <f>IF((gamma!CE26),IF(VLOOKUP(CE$1,main!$A$3:$H$102,7,FALSE)=VLOOKUP($A26,main!$A$3:$H$102,8,FALSE),VLOOKUP(CE$1,main!$A$3:$H$102,4,FALSE),VLOOKUP(CE$1,main!$A$3:$H$102,4,FALSE)+VLOOKUP($A26,main!$A$3:$H$102,4,FALSE)+(VLOOKUP(VLOOKUP(CE$1,main!$A$3:$H$102,8,FALSE),main!$K$19:$O$22,MATCH(VLOOKUP($A26,main!$A$3:$H$102,7,FALSE),main!$K$18:$O$18,0),0))),0)</f>
        <v>0</v>
      </c>
      <c r="CF26">
        <f>IF((gamma!CF26),IF(VLOOKUP(CF$1,main!$A$3:$H$102,7,FALSE)=VLOOKUP($A26,main!$A$3:$H$102,8,FALSE),VLOOKUP(CF$1,main!$A$3:$H$102,4,FALSE),VLOOKUP(CF$1,main!$A$3:$H$102,4,FALSE)+VLOOKUP($A26,main!$A$3:$H$102,4,FALSE)+(VLOOKUP(VLOOKUP(CF$1,main!$A$3:$H$102,8,FALSE),main!$K$19:$O$22,MATCH(VLOOKUP($A26,main!$A$3:$H$102,7,FALSE),main!$K$18:$O$18,0),0))),0)</f>
        <v>0</v>
      </c>
      <c r="CG26">
        <f>IF((gamma!CG26),IF(VLOOKUP(CG$1,main!$A$3:$H$102,7,FALSE)=VLOOKUP($A26,main!$A$3:$H$102,8,FALSE),VLOOKUP(CG$1,main!$A$3:$H$102,4,FALSE),VLOOKUP(CG$1,main!$A$3:$H$102,4,FALSE)+VLOOKUP($A26,main!$A$3:$H$102,4,FALSE)+(VLOOKUP(VLOOKUP(CG$1,main!$A$3:$H$102,8,FALSE),main!$K$19:$O$22,MATCH(VLOOKUP($A26,main!$A$3:$H$102,7,FALSE),main!$K$18:$O$18,0),0))),0)</f>
        <v>0</v>
      </c>
      <c r="CH26">
        <f>IF((gamma!CH26),IF(VLOOKUP(CH$1,main!$A$3:$H$102,7,FALSE)=VLOOKUP($A26,main!$A$3:$H$102,8,FALSE),VLOOKUP(CH$1,main!$A$3:$H$102,4,FALSE),VLOOKUP(CH$1,main!$A$3:$H$102,4,FALSE)+VLOOKUP($A26,main!$A$3:$H$102,4,FALSE)+(VLOOKUP(VLOOKUP(CH$1,main!$A$3:$H$102,8,FALSE),main!$K$19:$O$22,MATCH(VLOOKUP($A26,main!$A$3:$H$102,7,FALSE),main!$K$18:$O$18,0),0))),0)</f>
        <v>0</v>
      </c>
      <c r="CI26">
        <f>IF((gamma!CI26),IF(VLOOKUP(CI$1,main!$A$3:$H$102,7,FALSE)=VLOOKUP($A26,main!$A$3:$H$102,8,FALSE),VLOOKUP(CI$1,main!$A$3:$H$102,4,FALSE),VLOOKUP(CI$1,main!$A$3:$H$102,4,FALSE)+VLOOKUP($A26,main!$A$3:$H$102,4,FALSE)+(VLOOKUP(VLOOKUP(CI$1,main!$A$3:$H$102,8,FALSE),main!$K$19:$O$22,MATCH(VLOOKUP($A26,main!$A$3:$H$102,7,FALSE),main!$K$18:$O$18,0),0))),0)</f>
        <v>140</v>
      </c>
      <c r="CJ26">
        <f>IF((gamma!CJ26),IF(VLOOKUP(CJ$1,main!$A$3:$H$102,7,FALSE)=VLOOKUP($A26,main!$A$3:$H$102,8,FALSE),VLOOKUP(CJ$1,main!$A$3:$H$102,4,FALSE),VLOOKUP(CJ$1,main!$A$3:$H$102,4,FALSE)+VLOOKUP($A26,main!$A$3:$H$102,4,FALSE)+(VLOOKUP(VLOOKUP(CJ$1,main!$A$3:$H$102,8,FALSE),main!$K$19:$O$22,MATCH(VLOOKUP($A26,main!$A$3:$H$102,7,FALSE),main!$K$18:$O$18,0),0))),0)</f>
        <v>0</v>
      </c>
      <c r="CK26">
        <f>IF((gamma!CK26),IF(VLOOKUP(CK$1,main!$A$3:$H$102,7,FALSE)=VLOOKUP($A26,main!$A$3:$H$102,8,FALSE),VLOOKUP(CK$1,main!$A$3:$H$102,4,FALSE),VLOOKUP(CK$1,main!$A$3:$H$102,4,FALSE)+VLOOKUP($A26,main!$A$3:$H$102,4,FALSE)+(VLOOKUP(VLOOKUP(CK$1,main!$A$3:$H$102,8,FALSE),main!$K$19:$O$22,MATCH(VLOOKUP($A26,main!$A$3:$H$102,7,FALSE),main!$K$18:$O$18,0),0))),0)</f>
        <v>0</v>
      </c>
      <c r="CL26">
        <f>IF((gamma!CL26),IF(VLOOKUP(CL$1,main!$A$3:$H$102,7,FALSE)=VLOOKUP($A26,main!$A$3:$H$102,8,FALSE),VLOOKUP(CL$1,main!$A$3:$H$102,4,FALSE),VLOOKUP(CL$1,main!$A$3:$H$102,4,FALSE)+VLOOKUP($A26,main!$A$3:$H$102,4,FALSE)+(VLOOKUP(VLOOKUP(CL$1,main!$A$3:$H$102,8,FALSE),main!$K$19:$O$22,MATCH(VLOOKUP($A26,main!$A$3:$H$102,7,FALSE),main!$K$18:$O$18,0),0))),0)</f>
        <v>0</v>
      </c>
      <c r="CM26">
        <f>IF((gamma!CM26),IF(VLOOKUP(CM$1,main!$A$3:$H$102,7,FALSE)=VLOOKUP($A26,main!$A$3:$H$102,8,FALSE),VLOOKUP(CM$1,main!$A$3:$H$102,4,FALSE),VLOOKUP(CM$1,main!$A$3:$H$102,4,FALSE)+VLOOKUP($A26,main!$A$3:$H$102,4,FALSE)+(VLOOKUP(VLOOKUP(CM$1,main!$A$3:$H$102,8,FALSE),main!$K$19:$O$22,MATCH(VLOOKUP($A26,main!$A$3:$H$102,7,FALSE),main!$K$18:$O$18,0),0))),0)</f>
        <v>0</v>
      </c>
      <c r="CN26">
        <f>IF((gamma!CN26),IF(VLOOKUP(CN$1,main!$A$3:$H$102,7,FALSE)=VLOOKUP($A26,main!$A$3:$H$102,8,FALSE),VLOOKUP(CN$1,main!$A$3:$H$102,4,FALSE),VLOOKUP(CN$1,main!$A$3:$H$102,4,FALSE)+VLOOKUP($A26,main!$A$3:$H$102,4,FALSE)+(VLOOKUP(VLOOKUP(CN$1,main!$A$3:$H$102,8,FALSE),main!$K$19:$O$22,MATCH(VLOOKUP($A26,main!$A$3:$H$102,7,FALSE),main!$K$18:$O$18,0),0))),0)</f>
        <v>96</v>
      </c>
      <c r="CO26">
        <f>IF((gamma!CO26),IF(VLOOKUP(CO$1,main!$A$3:$H$102,7,FALSE)=VLOOKUP($A26,main!$A$3:$H$102,8,FALSE),VLOOKUP(CO$1,main!$A$3:$H$102,4,FALSE),VLOOKUP(CO$1,main!$A$3:$H$102,4,FALSE)+VLOOKUP($A26,main!$A$3:$H$102,4,FALSE)+(VLOOKUP(VLOOKUP(CO$1,main!$A$3:$H$102,8,FALSE),main!$K$19:$O$22,MATCH(VLOOKUP($A26,main!$A$3:$H$102,7,FALSE),main!$K$18:$O$18,0),0))),0)</f>
        <v>0</v>
      </c>
      <c r="CP26">
        <f>IF((gamma!CP26),IF(VLOOKUP(CP$1,main!$A$3:$H$102,7,FALSE)=VLOOKUP($A26,main!$A$3:$H$102,8,FALSE),VLOOKUP(CP$1,main!$A$3:$H$102,4,FALSE),VLOOKUP(CP$1,main!$A$3:$H$102,4,FALSE)+VLOOKUP($A26,main!$A$3:$H$102,4,FALSE)+(VLOOKUP(VLOOKUP(CP$1,main!$A$3:$H$102,8,FALSE),main!$K$19:$O$22,MATCH(VLOOKUP($A26,main!$A$3:$H$102,7,FALSE),main!$K$18:$O$18,0),0))),0)</f>
        <v>0</v>
      </c>
      <c r="CQ26">
        <f>IF((gamma!CQ26),IF(VLOOKUP(CQ$1,main!$A$3:$H$102,7,FALSE)=VLOOKUP($A26,main!$A$3:$H$102,8,FALSE),VLOOKUP(CQ$1,main!$A$3:$H$102,4,FALSE),VLOOKUP(CQ$1,main!$A$3:$H$102,4,FALSE)+VLOOKUP($A26,main!$A$3:$H$102,4,FALSE)+(VLOOKUP(VLOOKUP(CQ$1,main!$A$3:$H$102,8,FALSE),main!$K$19:$O$22,MATCH(VLOOKUP($A26,main!$A$3:$H$102,7,FALSE),main!$K$18:$O$18,0),0))),0)</f>
        <v>0</v>
      </c>
      <c r="CR26">
        <f>IF((gamma!CR26),IF(VLOOKUP(CR$1,main!$A$3:$H$102,7,FALSE)=VLOOKUP($A26,main!$A$3:$H$102,8,FALSE),VLOOKUP(CR$1,main!$A$3:$H$102,4,FALSE),VLOOKUP(CR$1,main!$A$3:$H$102,4,FALSE)+VLOOKUP($A26,main!$A$3:$H$102,4,FALSE)+(VLOOKUP(VLOOKUP(CR$1,main!$A$3:$H$102,8,FALSE),main!$K$19:$O$22,MATCH(VLOOKUP($A26,main!$A$3:$H$102,7,FALSE),main!$K$18:$O$18,0),0))),0)</f>
        <v>0</v>
      </c>
      <c r="CS26">
        <f>IF((gamma!CS26),IF(VLOOKUP(CS$1,main!$A$3:$H$102,7,FALSE)=VLOOKUP($A26,main!$A$3:$H$102,8,FALSE),VLOOKUP(CS$1,main!$A$3:$H$102,4,FALSE),VLOOKUP(CS$1,main!$A$3:$H$102,4,FALSE)+VLOOKUP($A26,main!$A$3:$H$102,4,FALSE)+(VLOOKUP(VLOOKUP(CS$1,main!$A$3:$H$102,8,FALSE),main!$K$19:$O$22,MATCH(VLOOKUP($A26,main!$A$3:$H$102,7,FALSE),main!$K$18:$O$18,0),0))),0)</f>
        <v>0</v>
      </c>
      <c r="CT26">
        <f>IF((gamma!CT26),IF(VLOOKUP(CT$1,main!$A$3:$H$102,7,FALSE)=VLOOKUP($A26,main!$A$3:$H$102,8,FALSE),VLOOKUP(CT$1,main!$A$3:$H$102,4,FALSE),VLOOKUP(CT$1,main!$A$3:$H$102,4,FALSE)+VLOOKUP($A26,main!$A$3:$H$102,4,FALSE)+(VLOOKUP(VLOOKUP(CT$1,main!$A$3:$H$102,8,FALSE),main!$K$19:$O$22,MATCH(VLOOKUP($A26,main!$A$3:$H$102,7,FALSE),main!$K$18:$O$18,0),0))),0)</f>
        <v>0</v>
      </c>
      <c r="CU26">
        <f>IF((gamma!CU26),IF(VLOOKUP(CU$1,main!$A$3:$H$102,7,FALSE)=VLOOKUP($A26,main!$A$3:$H$102,8,FALSE),VLOOKUP(CU$1,main!$A$3:$H$102,4,FALSE),VLOOKUP(CU$1,main!$A$3:$H$102,4,FALSE)+VLOOKUP($A26,main!$A$3:$H$102,4,FALSE)+(VLOOKUP(VLOOKUP(CU$1,main!$A$3:$H$102,8,FALSE),main!$K$19:$O$22,MATCH(VLOOKUP($A26,main!$A$3:$H$102,7,FALSE),main!$K$18:$O$18,0),0))),0)</f>
        <v>0</v>
      </c>
      <c r="CV26">
        <f>IF((gamma!CV26),IF(VLOOKUP(CV$1,main!$A$3:$H$102,7,FALSE)=VLOOKUP($A26,main!$A$3:$H$102,8,FALSE),VLOOKUP(CV$1,main!$A$3:$H$102,4,FALSE),VLOOKUP(CV$1,main!$A$3:$H$102,4,FALSE)+VLOOKUP($A26,main!$A$3:$H$102,4,FALSE)+(VLOOKUP(VLOOKUP(CV$1,main!$A$3:$H$102,8,FALSE),main!$K$19:$O$22,MATCH(VLOOKUP($A26,main!$A$3:$H$102,7,FALSE),main!$K$18:$O$18,0),0))),0)</f>
        <v>0</v>
      </c>
      <c r="CW26">
        <f>IF((gamma!CW26),IF(VLOOKUP(CW$1,main!$A$3:$H$102,7,FALSE)=VLOOKUP($A26,main!$A$3:$H$102,8,FALSE),VLOOKUP(CW$1,main!$A$3:$H$102,4,FALSE),VLOOKUP(CW$1,main!$A$3:$H$102,4,FALSE)+VLOOKUP($A26,main!$A$3:$H$102,4,FALSE)+(VLOOKUP(VLOOKUP(CW$1,main!$A$3:$H$102,8,FALSE),main!$K$19:$O$22,MATCH(VLOOKUP($A26,main!$A$3:$H$102,7,FALSE),main!$K$18:$O$18,0),0))),0)</f>
        <v>0</v>
      </c>
      <c r="CX26">
        <f>IF((gamma!CX26),IF(VLOOKUP(CX$1,main!$A$3:$H$102,7,FALSE)=VLOOKUP($A26,main!$A$3:$H$102,8,FALSE),VLOOKUP(CX$1,main!$A$3:$H$102,4,FALSE),VLOOKUP(CX$1,main!$A$3:$H$102,4,FALSE)+VLOOKUP($A26,main!$A$3:$H$102,4,FALSE)+(VLOOKUP(VLOOKUP(CX$1,main!$A$3:$H$102,8,FALSE),main!$K$19:$O$22,MATCH(VLOOKUP($A26,main!$A$3:$H$102,7,FALSE),main!$K$18:$O$18,0),0))),0)</f>
        <v>0</v>
      </c>
      <c r="CY26">
        <v>0</v>
      </c>
      <c r="CZ26">
        <v>0</v>
      </c>
      <c r="DA26">
        <v>0</v>
      </c>
    </row>
    <row r="27" spans="1:105" x14ac:dyDescent="0.25">
      <c r="A27" s="1">
        <v>25</v>
      </c>
      <c r="B27">
        <v>0</v>
      </c>
      <c r="C27">
        <f>IF((gamma!C27),IF(VLOOKUP(C$1,main!$A$3:$H$102,7,FALSE)=VLOOKUP($A27,main!$A$3:$H$102,8,FALSE),VLOOKUP(C$1,main!$A$3:$H$102,4,FALSE),VLOOKUP(C$1,main!$A$3:$H$102,4,FALSE)+VLOOKUP($A27,main!$A$3:$H$102,4,FALSE)+(VLOOKUP(VLOOKUP(C$1,main!$A$3:$H$102,8,FALSE),main!$K$19:$O$22,MATCH(VLOOKUP($A27,main!$A$3:$H$102,7,FALSE),main!$K$18:$O$18,0),0))),0)</f>
        <v>0</v>
      </c>
      <c r="D27">
        <f>IF((gamma!D27),IF(VLOOKUP(D$1,main!$A$3:$H$102,7,FALSE)=VLOOKUP($A27,main!$A$3:$H$102,8,FALSE),VLOOKUP(D$1,main!$A$3:$H$102,4,FALSE),VLOOKUP(D$1,main!$A$3:$H$102,4,FALSE)+VLOOKUP($A27,main!$A$3:$H$102,4,FALSE)+(VLOOKUP(VLOOKUP(D$1,main!$A$3:$H$102,8,FALSE),main!$K$19:$O$22,MATCH(VLOOKUP($A27,main!$A$3:$H$102,7,FALSE),main!$K$18:$O$18,0),0))),0)</f>
        <v>0</v>
      </c>
      <c r="E27">
        <f>IF((gamma!E27),IF(VLOOKUP(E$1,main!$A$3:$H$102,7,FALSE)=VLOOKUP($A27,main!$A$3:$H$102,8,FALSE),VLOOKUP(E$1,main!$A$3:$H$102,4,FALSE),VLOOKUP(E$1,main!$A$3:$H$102,4,FALSE)+VLOOKUP($A27,main!$A$3:$H$102,4,FALSE)+(VLOOKUP(VLOOKUP(E$1,main!$A$3:$H$102,8,FALSE),main!$K$19:$O$22,MATCH(VLOOKUP($A27,main!$A$3:$H$102,7,FALSE),main!$K$18:$O$18,0),0))),0)</f>
        <v>0</v>
      </c>
      <c r="F27">
        <f>IF((gamma!F27),IF(VLOOKUP(F$1,main!$A$3:$H$102,7,FALSE)=VLOOKUP($A27,main!$A$3:$H$102,8,FALSE),VLOOKUP(F$1,main!$A$3:$H$102,4,FALSE),VLOOKUP(F$1,main!$A$3:$H$102,4,FALSE)+VLOOKUP($A27,main!$A$3:$H$102,4,FALSE)+(VLOOKUP(VLOOKUP(F$1,main!$A$3:$H$102,8,FALSE),main!$K$19:$O$22,MATCH(VLOOKUP($A27,main!$A$3:$H$102,7,FALSE),main!$K$18:$O$18,0),0))),0)</f>
        <v>0</v>
      </c>
      <c r="G27">
        <f>IF((gamma!G27),IF(VLOOKUP(G$1,main!$A$3:$H$102,7,FALSE)=VLOOKUP($A27,main!$A$3:$H$102,8,FALSE),VLOOKUP(G$1,main!$A$3:$H$102,4,FALSE),VLOOKUP(G$1,main!$A$3:$H$102,4,FALSE)+VLOOKUP($A27,main!$A$3:$H$102,4,FALSE)+(VLOOKUP(VLOOKUP(G$1,main!$A$3:$H$102,8,FALSE),main!$K$19:$O$22,MATCH(VLOOKUP($A27,main!$A$3:$H$102,7,FALSE),main!$K$18:$O$18,0),0))),0)</f>
        <v>0</v>
      </c>
      <c r="H27">
        <f>IF((gamma!H27),IF(VLOOKUP(H$1,main!$A$3:$H$102,7,FALSE)=VLOOKUP($A27,main!$A$3:$H$102,8,FALSE),VLOOKUP(H$1,main!$A$3:$H$102,4,FALSE),VLOOKUP(H$1,main!$A$3:$H$102,4,FALSE)+VLOOKUP($A27,main!$A$3:$H$102,4,FALSE)+(VLOOKUP(VLOOKUP(H$1,main!$A$3:$H$102,8,FALSE),main!$K$19:$O$22,MATCH(VLOOKUP($A27,main!$A$3:$H$102,7,FALSE),main!$K$18:$O$18,0),0))),0)</f>
        <v>0</v>
      </c>
      <c r="I27">
        <f>IF((gamma!I27),IF(VLOOKUP(I$1,main!$A$3:$H$102,7,FALSE)=VLOOKUP($A27,main!$A$3:$H$102,8,FALSE),VLOOKUP(I$1,main!$A$3:$H$102,4,FALSE),VLOOKUP(I$1,main!$A$3:$H$102,4,FALSE)+VLOOKUP($A27,main!$A$3:$H$102,4,FALSE)+(VLOOKUP(VLOOKUP(I$1,main!$A$3:$H$102,8,FALSE),main!$K$19:$O$22,MATCH(VLOOKUP($A27,main!$A$3:$H$102,7,FALSE),main!$K$18:$O$18,0),0))),0)</f>
        <v>0</v>
      </c>
      <c r="J27">
        <f>IF((gamma!J27),IF(VLOOKUP(J$1,main!$A$3:$H$102,7,FALSE)=VLOOKUP($A27,main!$A$3:$H$102,8,FALSE),VLOOKUP(J$1,main!$A$3:$H$102,4,FALSE),VLOOKUP(J$1,main!$A$3:$H$102,4,FALSE)+VLOOKUP($A27,main!$A$3:$H$102,4,FALSE)+(VLOOKUP(VLOOKUP(J$1,main!$A$3:$H$102,8,FALSE),main!$K$19:$O$22,MATCH(VLOOKUP($A27,main!$A$3:$H$102,7,FALSE),main!$K$18:$O$18,0),0))),0)</f>
        <v>0</v>
      </c>
      <c r="K27">
        <f>IF((gamma!K27),IF(VLOOKUP(K$1,main!$A$3:$H$102,7,FALSE)=VLOOKUP($A27,main!$A$3:$H$102,8,FALSE),VLOOKUP(K$1,main!$A$3:$H$102,4,FALSE),VLOOKUP(K$1,main!$A$3:$H$102,4,FALSE)+VLOOKUP($A27,main!$A$3:$H$102,4,FALSE)+(VLOOKUP(VLOOKUP(K$1,main!$A$3:$H$102,8,FALSE),main!$K$19:$O$22,MATCH(VLOOKUP($A27,main!$A$3:$H$102,7,FALSE),main!$K$18:$O$18,0),0))),0)</f>
        <v>0</v>
      </c>
      <c r="L27">
        <f>IF((gamma!L27),IF(VLOOKUP(L$1,main!$A$3:$H$102,7,FALSE)=VLOOKUP($A27,main!$A$3:$H$102,8,FALSE),VLOOKUP(L$1,main!$A$3:$H$102,4,FALSE),VLOOKUP(L$1,main!$A$3:$H$102,4,FALSE)+VLOOKUP($A27,main!$A$3:$H$102,4,FALSE)+(VLOOKUP(VLOOKUP(L$1,main!$A$3:$H$102,8,FALSE),main!$K$19:$O$22,MATCH(VLOOKUP($A27,main!$A$3:$H$102,7,FALSE),main!$K$18:$O$18,0),0))),0)</f>
        <v>0</v>
      </c>
      <c r="M27">
        <f>IF((gamma!M27),IF(VLOOKUP(M$1,main!$A$3:$H$102,7,FALSE)=VLOOKUP($A27,main!$A$3:$H$102,8,FALSE),VLOOKUP(M$1,main!$A$3:$H$102,4,FALSE),VLOOKUP(M$1,main!$A$3:$H$102,4,FALSE)+VLOOKUP($A27,main!$A$3:$H$102,4,FALSE)+(VLOOKUP(VLOOKUP(M$1,main!$A$3:$H$102,8,FALSE),main!$K$19:$O$22,MATCH(VLOOKUP($A27,main!$A$3:$H$102,7,FALSE),main!$K$18:$O$18,0),0))),0)</f>
        <v>0</v>
      </c>
      <c r="N27">
        <f>IF((gamma!N27),IF(VLOOKUP(N$1,main!$A$3:$H$102,7,FALSE)=VLOOKUP($A27,main!$A$3:$H$102,8,FALSE),VLOOKUP(N$1,main!$A$3:$H$102,4,FALSE),VLOOKUP(N$1,main!$A$3:$H$102,4,FALSE)+VLOOKUP($A27,main!$A$3:$H$102,4,FALSE)+(VLOOKUP(VLOOKUP(N$1,main!$A$3:$H$102,8,FALSE),main!$K$19:$O$22,MATCH(VLOOKUP($A27,main!$A$3:$H$102,7,FALSE),main!$K$18:$O$18,0),0))),0)</f>
        <v>0</v>
      </c>
      <c r="O27">
        <f>IF((gamma!O27),IF(VLOOKUP(O$1,main!$A$3:$H$102,7,FALSE)=VLOOKUP($A27,main!$A$3:$H$102,8,FALSE),VLOOKUP(O$1,main!$A$3:$H$102,4,FALSE),VLOOKUP(O$1,main!$A$3:$H$102,4,FALSE)+VLOOKUP($A27,main!$A$3:$H$102,4,FALSE)+(VLOOKUP(VLOOKUP(O$1,main!$A$3:$H$102,8,FALSE),main!$K$19:$O$22,MATCH(VLOOKUP($A27,main!$A$3:$H$102,7,FALSE),main!$K$18:$O$18,0),0))),0)</f>
        <v>0</v>
      </c>
      <c r="P27">
        <f>IF((gamma!P27),IF(VLOOKUP(P$1,main!$A$3:$H$102,7,FALSE)=VLOOKUP($A27,main!$A$3:$H$102,8,FALSE),VLOOKUP(P$1,main!$A$3:$H$102,4,FALSE),VLOOKUP(P$1,main!$A$3:$H$102,4,FALSE)+VLOOKUP($A27,main!$A$3:$H$102,4,FALSE)+(VLOOKUP(VLOOKUP(P$1,main!$A$3:$H$102,8,FALSE),main!$K$19:$O$22,MATCH(VLOOKUP($A27,main!$A$3:$H$102,7,FALSE),main!$K$18:$O$18,0),0))),0)</f>
        <v>0</v>
      </c>
      <c r="Q27">
        <f>IF((gamma!Q27),IF(VLOOKUP(Q$1,main!$A$3:$H$102,7,FALSE)=VLOOKUP($A27,main!$A$3:$H$102,8,FALSE),VLOOKUP(Q$1,main!$A$3:$H$102,4,FALSE),VLOOKUP(Q$1,main!$A$3:$H$102,4,FALSE)+VLOOKUP($A27,main!$A$3:$H$102,4,FALSE)+(VLOOKUP(VLOOKUP(Q$1,main!$A$3:$H$102,8,FALSE),main!$K$19:$O$22,MATCH(VLOOKUP($A27,main!$A$3:$H$102,7,FALSE),main!$K$18:$O$18,0),0))),0)</f>
        <v>0</v>
      </c>
      <c r="R27">
        <f>IF((gamma!R27),IF(VLOOKUP(R$1,main!$A$3:$H$102,7,FALSE)=VLOOKUP($A27,main!$A$3:$H$102,8,FALSE),VLOOKUP(R$1,main!$A$3:$H$102,4,FALSE),VLOOKUP(R$1,main!$A$3:$H$102,4,FALSE)+VLOOKUP($A27,main!$A$3:$H$102,4,FALSE)+(VLOOKUP(VLOOKUP(R$1,main!$A$3:$H$102,8,FALSE),main!$K$19:$O$22,MATCH(VLOOKUP($A27,main!$A$3:$H$102,7,FALSE),main!$K$18:$O$18,0),0))),0)</f>
        <v>0</v>
      </c>
      <c r="S27">
        <f>IF((gamma!S27),IF(VLOOKUP(S$1,main!$A$3:$H$102,7,FALSE)=VLOOKUP($A27,main!$A$3:$H$102,8,FALSE),VLOOKUP(S$1,main!$A$3:$H$102,4,FALSE),VLOOKUP(S$1,main!$A$3:$H$102,4,FALSE)+VLOOKUP($A27,main!$A$3:$H$102,4,FALSE)+(VLOOKUP(VLOOKUP(S$1,main!$A$3:$H$102,8,FALSE),main!$K$19:$O$22,MATCH(VLOOKUP($A27,main!$A$3:$H$102,7,FALSE),main!$K$18:$O$18,0),0))),0)</f>
        <v>0</v>
      </c>
      <c r="T27">
        <f>IF((gamma!T27),IF(VLOOKUP(T$1,main!$A$3:$H$102,7,FALSE)=VLOOKUP($A27,main!$A$3:$H$102,8,FALSE),VLOOKUP(T$1,main!$A$3:$H$102,4,FALSE),VLOOKUP(T$1,main!$A$3:$H$102,4,FALSE)+VLOOKUP($A27,main!$A$3:$H$102,4,FALSE)+(VLOOKUP(VLOOKUP(T$1,main!$A$3:$H$102,8,FALSE),main!$K$19:$O$22,MATCH(VLOOKUP($A27,main!$A$3:$H$102,7,FALSE),main!$K$18:$O$18,0),0))),0)</f>
        <v>0</v>
      </c>
      <c r="U27">
        <f>IF((gamma!U27),IF(VLOOKUP(U$1,main!$A$3:$H$102,7,FALSE)=VLOOKUP($A27,main!$A$3:$H$102,8,FALSE),VLOOKUP(U$1,main!$A$3:$H$102,4,FALSE),VLOOKUP(U$1,main!$A$3:$H$102,4,FALSE)+VLOOKUP($A27,main!$A$3:$H$102,4,FALSE)+(VLOOKUP(VLOOKUP(U$1,main!$A$3:$H$102,8,FALSE),main!$K$19:$O$22,MATCH(VLOOKUP($A27,main!$A$3:$H$102,7,FALSE),main!$K$18:$O$18,0),0))),0)</f>
        <v>0</v>
      </c>
      <c r="V27">
        <f>IF((gamma!V27),IF(VLOOKUP(V$1,main!$A$3:$H$102,7,FALSE)=VLOOKUP($A27,main!$A$3:$H$102,8,FALSE),VLOOKUP(V$1,main!$A$3:$H$102,4,FALSE),VLOOKUP(V$1,main!$A$3:$H$102,4,FALSE)+VLOOKUP($A27,main!$A$3:$H$102,4,FALSE)+(VLOOKUP(VLOOKUP(V$1,main!$A$3:$H$102,8,FALSE),main!$K$19:$O$22,MATCH(VLOOKUP($A27,main!$A$3:$H$102,7,FALSE),main!$K$18:$O$18,0),0))),0)</f>
        <v>0</v>
      </c>
      <c r="W27">
        <f>IF((gamma!W27),IF(VLOOKUP(W$1,main!$A$3:$H$102,7,FALSE)=VLOOKUP($A27,main!$A$3:$H$102,8,FALSE),VLOOKUP(W$1,main!$A$3:$H$102,4,FALSE),VLOOKUP(W$1,main!$A$3:$H$102,4,FALSE)+VLOOKUP($A27,main!$A$3:$H$102,4,FALSE)+(VLOOKUP(VLOOKUP(W$1,main!$A$3:$H$102,8,FALSE),main!$K$19:$O$22,MATCH(VLOOKUP($A27,main!$A$3:$H$102,7,FALSE),main!$K$18:$O$18,0),0))),0)</f>
        <v>0</v>
      </c>
      <c r="X27">
        <f>IF((gamma!X27),IF(VLOOKUP(X$1,main!$A$3:$H$102,7,FALSE)=VLOOKUP($A27,main!$A$3:$H$102,8,FALSE),VLOOKUP(X$1,main!$A$3:$H$102,4,FALSE),VLOOKUP(X$1,main!$A$3:$H$102,4,FALSE)+VLOOKUP($A27,main!$A$3:$H$102,4,FALSE)+(VLOOKUP(VLOOKUP(X$1,main!$A$3:$H$102,8,FALSE),main!$K$19:$O$22,MATCH(VLOOKUP($A27,main!$A$3:$H$102,7,FALSE),main!$K$18:$O$18,0),0))),0)</f>
        <v>0</v>
      </c>
      <c r="Y27">
        <f>IF((gamma!Y27),IF(VLOOKUP(Y$1,main!$A$3:$H$102,7,FALSE)=VLOOKUP($A27,main!$A$3:$H$102,8,FALSE),VLOOKUP(Y$1,main!$A$3:$H$102,4,FALSE),VLOOKUP(Y$1,main!$A$3:$H$102,4,FALSE)+VLOOKUP($A27,main!$A$3:$H$102,4,FALSE)+(VLOOKUP(VLOOKUP(Y$1,main!$A$3:$H$102,8,FALSE),main!$K$19:$O$22,MATCH(VLOOKUP($A27,main!$A$3:$H$102,7,FALSE),main!$K$18:$O$18,0),0))),0)</f>
        <v>0</v>
      </c>
      <c r="Z27">
        <f>IF((gamma!Z27),IF(VLOOKUP(Z$1,main!$A$3:$H$102,7,FALSE)=VLOOKUP($A27,main!$A$3:$H$102,8,FALSE),VLOOKUP(Z$1,main!$A$3:$H$102,4,FALSE),VLOOKUP(Z$1,main!$A$3:$H$102,4,FALSE)+VLOOKUP($A27,main!$A$3:$H$102,4,FALSE)+(VLOOKUP(VLOOKUP(Z$1,main!$A$3:$H$102,8,FALSE),main!$K$19:$O$22,MATCH(VLOOKUP($A27,main!$A$3:$H$102,7,FALSE),main!$K$18:$O$18,0),0))),0)</f>
        <v>0</v>
      </c>
      <c r="AA27">
        <f>IF((gamma!AA27),IF(VLOOKUP(AA$1,main!$A$3:$H$102,7,FALSE)=VLOOKUP($A27,main!$A$3:$H$102,8,FALSE),VLOOKUP(AA$1,main!$A$3:$H$102,4,FALSE),VLOOKUP(AA$1,main!$A$3:$H$102,4,FALSE)+VLOOKUP($A27,main!$A$3:$H$102,4,FALSE)+(VLOOKUP(VLOOKUP(AA$1,main!$A$3:$H$102,8,FALSE),main!$K$19:$O$22,MATCH(VLOOKUP($A27,main!$A$3:$H$102,7,FALSE),main!$K$18:$O$18,0),0))),0)</f>
        <v>0</v>
      </c>
      <c r="AB27">
        <f>IF((gamma!AB27),IF(VLOOKUP(AB$1,main!$A$3:$H$102,7,FALSE)=VLOOKUP($A27,main!$A$3:$H$102,8,FALSE),VLOOKUP(AB$1,main!$A$3:$H$102,4,FALSE),VLOOKUP(AB$1,main!$A$3:$H$102,4,FALSE)+VLOOKUP($A27,main!$A$3:$H$102,4,FALSE)+(VLOOKUP(VLOOKUP(AB$1,main!$A$3:$H$102,8,FALSE),main!$K$19:$O$22,MATCH(VLOOKUP($A27,main!$A$3:$H$102,7,FALSE),main!$K$18:$O$18,0),0))),0)</f>
        <v>0</v>
      </c>
      <c r="AC27">
        <f>IF((gamma!AC27),IF(VLOOKUP(AC$1,main!$A$3:$H$102,7,FALSE)=VLOOKUP($A27,main!$A$3:$H$102,8,FALSE),VLOOKUP(AC$1,main!$A$3:$H$102,4,FALSE),VLOOKUP(AC$1,main!$A$3:$H$102,4,FALSE)+VLOOKUP($A27,main!$A$3:$H$102,4,FALSE)+(VLOOKUP(VLOOKUP(AC$1,main!$A$3:$H$102,8,FALSE),main!$K$19:$O$22,MATCH(VLOOKUP($A27,main!$A$3:$H$102,7,FALSE),main!$K$18:$O$18,0),0))),0)</f>
        <v>0</v>
      </c>
      <c r="AD27">
        <f>IF((gamma!AD27),IF(VLOOKUP(AD$1,main!$A$3:$H$102,7,FALSE)=VLOOKUP($A27,main!$A$3:$H$102,8,FALSE),VLOOKUP(AD$1,main!$A$3:$H$102,4,FALSE),VLOOKUP(AD$1,main!$A$3:$H$102,4,FALSE)+VLOOKUP($A27,main!$A$3:$H$102,4,FALSE)+(VLOOKUP(VLOOKUP(AD$1,main!$A$3:$H$102,8,FALSE),main!$K$19:$O$22,MATCH(VLOOKUP($A27,main!$A$3:$H$102,7,FALSE),main!$K$18:$O$18,0),0))),0)</f>
        <v>0</v>
      </c>
      <c r="AE27">
        <f>IF((gamma!AE27),IF(VLOOKUP(AE$1,main!$A$3:$H$102,7,FALSE)=VLOOKUP($A27,main!$A$3:$H$102,8,FALSE),VLOOKUP(AE$1,main!$A$3:$H$102,4,FALSE),VLOOKUP(AE$1,main!$A$3:$H$102,4,FALSE)+VLOOKUP($A27,main!$A$3:$H$102,4,FALSE)+(VLOOKUP(VLOOKUP(AE$1,main!$A$3:$H$102,8,FALSE),main!$K$19:$O$22,MATCH(VLOOKUP($A27,main!$A$3:$H$102,7,FALSE),main!$K$18:$O$18,0),0))),0)</f>
        <v>0</v>
      </c>
      <c r="AF27">
        <f>IF((gamma!AF27),IF(VLOOKUP(AF$1,main!$A$3:$H$102,7,FALSE)=VLOOKUP($A27,main!$A$3:$H$102,8,FALSE),VLOOKUP(AF$1,main!$A$3:$H$102,4,FALSE),VLOOKUP(AF$1,main!$A$3:$H$102,4,FALSE)+VLOOKUP($A27,main!$A$3:$H$102,4,FALSE)+(VLOOKUP(VLOOKUP(AF$1,main!$A$3:$H$102,8,FALSE),main!$K$19:$O$22,MATCH(VLOOKUP($A27,main!$A$3:$H$102,7,FALSE),main!$K$18:$O$18,0),0))),0)</f>
        <v>0</v>
      </c>
      <c r="AG27">
        <f>IF((gamma!AG27),IF(VLOOKUP(AG$1,main!$A$3:$H$102,7,FALSE)=VLOOKUP($A27,main!$A$3:$H$102,8,FALSE),VLOOKUP(AG$1,main!$A$3:$H$102,4,FALSE),VLOOKUP(AG$1,main!$A$3:$H$102,4,FALSE)+VLOOKUP($A27,main!$A$3:$H$102,4,FALSE)+(VLOOKUP(VLOOKUP(AG$1,main!$A$3:$H$102,8,FALSE),main!$K$19:$O$22,MATCH(VLOOKUP($A27,main!$A$3:$H$102,7,FALSE),main!$K$18:$O$18,0),0))),0)</f>
        <v>0</v>
      </c>
      <c r="AH27">
        <f>IF((gamma!AH27),IF(VLOOKUP(AH$1,main!$A$3:$H$102,7,FALSE)=VLOOKUP($A27,main!$A$3:$H$102,8,FALSE),VLOOKUP(AH$1,main!$A$3:$H$102,4,FALSE),VLOOKUP(AH$1,main!$A$3:$H$102,4,FALSE)+VLOOKUP($A27,main!$A$3:$H$102,4,FALSE)+(VLOOKUP(VLOOKUP(AH$1,main!$A$3:$H$102,8,FALSE),main!$K$19:$O$22,MATCH(VLOOKUP($A27,main!$A$3:$H$102,7,FALSE),main!$K$18:$O$18,0),0))),0)</f>
        <v>0</v>
      </c>
      <c r="AI27">
        <f>IF((gamma!AI27),IF(VLOOKUP(AI$1,main!$A$3:$H$102,7,FALSE)=VLOOKUP($A27,main!$A$3:$H$102,8,FALSE),VLOOKUP(AI$1,main!$A$3:$H$102,4,FALSE),VLOOKUP(AI$1,main!$A$3:$H$102,4,FALSE)+VLOOKUP($A27,main!$A$3:$H$102,4,FALSE)+(VLOOKUP(VLOOKUP(AI$1,main!$A$3:$H$102,8,FALSE),main!$K$19:$O$22,MATCH(VLOOKUP($A27,main!$A$3:$H$102,7,FALSE),main!$K$18:$O$18,0),0))),0)</f>
        <v>0</v>
      </c>
      <c r="AJ27">
        <f>IF((gamma!AJ27),IF(VLOOKUP(AJ$1,main!$A$3:$H$102,7,FALSE)=VLOOKUP($A27,main!$A$3:$H$102,8,FALSE),VLOOKUP(AJ$1,main!$A$3:$H$102,4,FALSE),VLOOKUP(AJ$1,main!$A$3:$H$102,4,FALSE)+VLOOKUP($A27,main!$A$3:$H$102,4,FALSE)+(VLOOKUP(VLOOKUP(AJ$1,main!$A$3:$H$102,8,FALSE),main!$K$19:$O$22,MATCH(VLOOKUP($A27,main!$A$3:$H$102,7,FALSE),main!$K$18:$O$18,0),0))),0)</f>
        <v>0</v>
      </c>
      <c r="AK27">
        <f>IF((gamma!AK27),IF(VLOOKUP(AK$1,main!$A$3:$H$102,7,FALSE)=VLOOKUP($A27,main!$A$3:$H$102,8,FALSE),VLOOKUP(AK$1,main!$A$3:$H$102,4,FALSE),VLOOKUP(AK$1,main!$A$3:$H$102,4,FALSE)+VLOOKUP($A27,main!$A$3:$H$102,4,FALSE)+(VLOOKUP(VLOOKUP(AK$1,main!$A$3:$H$102,8,FALSE),main!$K$19:$O$22,MATCH(VLOOKUP($A27,main!$A$3:$H$102,7,FALSE),main!$K$18:$O$18,0),0))),0)</f>
        <v>0</v>
      </c>
      <c r="AL27">
        <f>IF((gamma!AL27),IF(VLOOKUP(AL$1,main!$A$3:$H$102,7,FALSE)=VLOOKUP($A27,main!$A$3:$H$102,8,FALSE),VLOOKUP(AL$1,main!$A$3:$H$102,4,FALSE),VLOOKUP(AL$1,main!$A$3:$H$102,4,FALSE)+VLOOKUP($A27,main!$A$3:$H$102,4,FALSE)+(VLOOKUP(VLOOKUP(AL$1,main!$A$3:$H$102,8,FALSE),main!$K$19:$O$22,MATCH(VLOOKUP($A27,main!$A$3:$H$102,7,FALSE),main!$K$18:$O$18,0),0))),0)</f>
        <v>0</v>
      </c>
      <c r="AM27">
        <f>IF((gamma!AM27),IF(VLOOKUP(AM$1,main!$A$3:$H$102,7,FALSE)=VLOOKUP($A27,main!$A$3:$H$102,8,FALSE),VLOOKUP(AM$1,main!$A$3:$H$102,4,FALSE),VLOOKUP(AM$1,main!$A$3:$H$102,4,FALSE)+VLOOKUP($A27,main!$A$3:$H$102,4,FALSE)+(VLOOKUP(VLOOKUP(AM$1,main!$A$3:$H$102,8,FALSE),main!$K$19:$O$22,MATCH(VLOOKUP($A27,main!$A$3:$H$102,7,FALSE),main!$K$18:$O$18,0),0))),0)</f>
        <v>0</v>
      </c>
      <c r="AN27">
        <f>IF((gamma!AN27),IF(VLOOKUP(AN$1,main!$A$3:$H$102,7,FALSE)=VLOOKUP($A27,main!$A$3:$H$102,8,FALSE),VLOOKUP(AN$1,main!$A$3:$H$102,4,FALSE),VLOOKUP(AN$1,main!$A$3:$H$102,4,FALSE)+VLOOKUP($A27,main!$A$3:$H$102,4,FALSE)+(VLOOKUP(VLOOKUP(AN$1,main!$A$3:$H$102,8,FALSE),main!$K$19:$O$22,MATCH(VLOOKUP($A27,main!$A$3:$H$102,7,FALSE),main!$K$18:$O$18,0),0))),0)</f>
        <v>0</v>
      </c>
      <c r="AO27">
        <f>IF((gamma!AO27),IF(VLOOKUP(AO$1,main!$A$3:$H$102,7,FALSE)=VLOOKUP($A27,main!$A$3:$H$102,8,FALSE),VLOOKUP(AO$1,main!$A$3:$H$102,4,FALSE),VLOOKUP(AO$1,main!$A$3:$H$102,4,FALSE)+VLOOKUP($A27,main!$A$3:$H$102,4,FALSE)+(VLOOKUP(VLOOKUP(AO$1,main!$A$3:$H$102,8,FALSE),main!$K$19:$O$22,MATCH(VLOOKUP($A27,main!$A$3:$H$102,7,FALSE),main!$K$18:$O$18,0),0))),0)</f>
        <v>0</v>
      </c>
      <c r="AP27">
        <f>IF((gamma!AP27),IF(VLOOKUP(AP$1,main!$A$3:$H$102,7,FALSE)=VLOOKUP($A27,main!$A$3:$H$102,8,FALSE),VLOOKUP(AP$1,main!$A$3:$H$102,4,FALSE),VLOOKUP(AP$1,main!$A$3:$H$102,4,FALSE)+VLOOKUP($A27,main!$A$3:$H$102,4,FALSE)+(VLOOKUP(VLOOKUP(AP$1,main!$A$3:$H$102,8,FALSE),main!$K$19:$O$22,MATCH(VLOOKUP($A27,main!$A$3:$H$102,7,FALSE),main!$K$18:$O$18,0),0))),0)</f>
        <v>0</v>
      </c>
      <c r="AQ27">
        <f>IF((gamma!AQ27),IF(VLOOKUP(AQ$1,main!$A$3:$H$102,7,FALSE)=VLOOKUP($A27,main!$A$3:$H$102,8,FALSE),VLOOKUP(AQ$1,main!$A$3:$H$102,4,FALSE),VLOOKUP(AQ$1,main!$A$3:$H$102,4,FALSE)+VLOOKUP($A27,main!$A$3:$H$102,4,FALSE)+(VLOOKUP(VLOOKUP(AQ$1,main!$A$3:$H$102,8,FALSE),main!$K$19:$O$22,MATCH(VLOOKUP($A27,main!$A$3:$H$102,7,FALSE),main!$K$18:$O$18,0),0))),0)</f>
        <v>0</v>
      </c>
      <c r="AR27">
        <f>IF((gamma!AR27),IF(VLOOKUP(AR$1,main!$A$3:$H$102,7,FALSE)=VLOOKUP($A27,main!$A$3:$H$102,8,FALSE),VLOOKUP(AR$1,main!$A$3:$H$102,4,FALSE),VLOOKUP(AR$1,main!$A$3:$H$102,4,FALSE)+VLOOKUP($A27,main!$A$3:$H$102,4,FALSE)+(VLOOKUP(VLOOKUP(AR$1,main!$A$3:$H$102,8,FALSE),main!$K$19:$O$22,MATCH(VLOOKUP($A27,main!$A$3:$H$102,7,FALSE),main!$K$18:$O$18,0),0))),0)</f>
        <v>0</v>
      </c>
      <c r="AS27">
        <f>IF((gamma!AS27),IF(VLOOKUP(AS$1,main!$A$3:$H$102,7,FALSE)=VLOOKUP($A27,main!$A$3:$H$102,8,FALSE),VLOOKUP(AS$1,main!$A$3:$H$102,4,FALSE),VLOOKUP(AS$1,main!$A$3:$H$102,4,FALSE)+VLOOKUP($A27,main!$A$3:$H$102,4,FALSE)+(VLOOKUP(VLOOKUP(AS$1,main!$A$3:$H$102,8,FALSE),main!$K$19:$O$22,MATCH(VLOOKUP($A27,main!$A$3:$H$102,7,FALSE),main!$K$18:$O$18,0),0))),0)</f>
        <v>0</v>
      </c>
      <c r="AT27">
        <f>IF((gamma!AT27),IF(VLOOKUP(AT$1,main!$A$3:$H$102,7,FALSE)=VLOOKUP($A27,main!$A$3:$H$102,8,FALSE),VLOOKUP(AT$1,main!$A$3:$H$102,4,FALSE),VLOOKUP(AT$1,main!$A$3:$H$102,4,FALSE)+VLOOKUP($A27,main!$A$3:$H$102,4,FALSE)+(VLOOKUP(VLOOKUP(AT$1,main!$A$3:$H$102,8,FALSE),main!$K$19:$O$22,MATCH(VLOOKUP($A27,main!$A$3:$H$102,7,FALSE),main!$K$18:$O$18,0),0))),0)</f>
        <v>0</v>
      </c>
      <c r="AU27">
        <f>IF((gamma!AU27),IF(VLOOKUP(AU$1,main!$A$3:$H$102,7,FALSE)=VLOOKUP($A27,main!$A$3:$H$102,8,FALSE),VLOOKUP(AU$1,main!$A$3:$H$102,4,FALSE),VLOOKUP(AU$1,main!$A$3:$H$102,4,FALSE)+VLOOKUP($A27,main!$A$3:$H$102,4,FALSE)+(VLOOKUP(VLOOKUP(AU$1,main!$A$3:$H$102,8,FALSE),main!$K$19:$O$22,MATCH(VLOOKUP($A27,main!$A$3:$H$102,7,FALSE),main!$K$18:$O$18,0),0))),0)</f>
        <v>0</v>
      </c>
      <c r="AV27">
        <f>IF((gamma!AV27),IF(VLOOKUP(AV$1,main!$A$3:$H$102,7,FALSE)=VLOOKUP($A27,main!$A$3:$H$102,8,FALSE),VLOOKUP(AV$1,main!$A$3:$H$102,4,FALSE),VLOOKUP(AV$1,main!$A$3:$H$102,4,FALSE)+VLOOKUP($A27,main!$A$3:$H$102,4,FALSE)+(VLOOKUP(VLOOKUP(AV$1,main!$A$3:$H$102,8,FALSE),main!$K$19:$O$22,MATCH(VLOOKUP($A27,main!$A$3:$H$102,7,FALSE),main!$K$18:$O$18,0),0))),0)</f>
        <v>0</v>
      </c>
      <c r="AW27">
        <f>IF((gamma!AW27),IF(VLOOKUP(AW$1,main!$A$3:$H$102,7,FALSE)=VLOOKUP($A27,main!$A$3:$H$102,8,FALSE),VLOOKUP(AW$1,main!$A$3:$H$102,4,FALSE),VLOOKUP(AW$1,main!$A$3:$H$102,4,FALSE)+VLOOKUP($A27,main!$A$3:$H$102,4,FALSE)+(VLOOKUP(VLOOKUP(AW$1,main!$A$3:$H$102,8,FALSE),main!$K$19:$O$22,MATCH(VLOOKUP($A27,main!$A$3:$H$102,7,FALSE),main!$K$18:$O$18,0),0))),0)</f>
        <v>0</v>
      </c>
      <c r="AX27">
        <f>IF((gamma!AX27),IF(VLOOKUP(AX$1,main!$A$3:$H$102,7,FALSE)=VLOOKUP($A27,main!$A$3:$H$102,8,FALSE),VLOOKUP(AX$1,main!$A$3:$H$102,4,FALSE),VLOOKUP(AX$1,main!$A$3:$H$102,4,FALSE)+VLOOKUP($A27,main!$A$3:$H$102,4,FALSE)+(VLOOKUP(VLOOKUP(AX$1,main!$A$3:$H$102,8,FALSE),main!$K$19:$O$22,MATCH(VLOOKUP($A27,main!$A$3:$H$102,7,FALSE),main!$K$18:$O$18,0),0))),0)</f>
        <v>0</v>
      </c>
      <c r="AY27">
        <f>IF((gamma!AY27),IF(VLOOKUP(AY$1,main!$A$3:$H$102,7,FALSE)=VLOOKUP($A27,main!$A$3:$H$102,8,FALSE),VLOOKUP(AY$1,main!$A$3:$H$102,4,FALSE),VLOOKUP(AY$1,main!$A$3:$H$102,4,FALSE)+VLOOKUP($A27,main!$A$3:$H$102,4,FALSE)+(VLOOKUP(VLOOKUP(AY$1,main!$A$3:$H$102,8,FALSE),main!$K$19:$O$22,MATCH(VLOOKUP($A27,main!$A$3:$H$102,7,FALSE),main!$K$18:$O$18,0),0))),0)</f>
        <v>0</v>
      </c>
      <c r="AZ27">
        <f>IF((gamma!AZ27),IF(VLOOKUP(AZ$1,main!$A$3:$H$102,7,FALSE)=VLOOKUP($A27,main!$A$3:$H$102,8,FALSE),VLOOKUP(AZ$1,main!$A$3:$H$102,4,FALSE),VLOOKUP(AZ$1,main!$A$3:$H$102,4,FALSE)+VLOOKUP($A27,main!$A$3:$H$102,4,FALSE)+(VLOOKUP(VLOOKUP(AZ$1,main!$A$3:$H$102,8,FALSE),main!$K$19:$O$22,MATCH(VLOOKUP($A27,main!$A$3:$H$102,7,FALSE),main!$K$18:$O$18,0),0))),0)</f>
        <v>0</v>
      </c>
      <c r="BA27">
        <f>IF((gamma!BA27),IF(VLOOKUP(BA$1,main!$A$3:$H$102,7,FALSE)=VLOOKUP($A27,main!$A$3:$H$102,8,FALSE),VLOOKUP(BA$1,main!$A$3:$H$102,4,FALSE),VLOOKUP(BA$1,main!$A$3:$H$102,4,FALSE)+VLOOKUP($A27,main!$A$3:$H$102,4,FALSE)+(VLOOKUP(VLOOKUP(BA$1,main!$A$3:$H$102,8,FALSE),main!$K$19:$O$22,MATCH(VLOOKUP($A27,main!$A$3:$H$102,7,FALSE),main!$K$18:$O$18,0),0))),0)</f>
        <v>0</v>
      </c>
      <c r="BB27">
        <f>IF((gamma!BB27),IF(VLOOKUP(BB$1,main!$A$3:$H$102,7,FALSE)=VLOOKUP($A27,main!$A$3:$H$102,8,FALSE),VLOOKUP(BB$1,main!$A$3:$H$102,4,FALSE),VLOOKUP(BB$1,main!$A$3:$H$102,4,FALSE)+VLOOKUP($A27,main!$A$3:$H$102,4,FALSE)+(VLOOKUP(VLOOKUP(BB$1,main!$A$3:$H$102,8,FALSE),main!$K$19:$O$22,MATCH(VLOOKUP($A27,main!$A$3:$H$102,7,FALSE),main!$K$18:$O$18,0),0))),0)</f>
        <v>0</v>
      </c>
      <c r="BC27">
        <f>IF((gamma!BC27),IF(VLOOKUP(BC$1,main!$A$3:$H$102,7,FALSE)=VLOOKUP($A27,main!$A$3:$H$102,8,FALSE),VLOOKUP(BC$1,main!$A$3:$H$102,4,FALSE),VLOOKUP(BC$1,main!$A$3:$H$102,4,FALSE)+VLOOKUP($A27,main!$A$3:$H$102,4,FALSE)+(VLOOKUP(VLOOKUP(BC$1,main!$A$3:$H$102,8,FALSE),main!$K$19:$O$22,MATCH(VLOOKUP($A27,main!$A$3:$H$102,7,FALSE),main!$K$18:$O$18,0),0))),0)</f>
        <v>0</v>
      </c>
      <c r="BD27">
        <f>IF((gamma!BD27),IF(VLOOKUP(BD$1,main!$A$3:$H$102,7,FALSE)=VLOOKUP($A27,main!$A$3:$H$102,8,FALSE),VLOOKUP(BD$1,main!$A$3:$H$102,4,FALSE),VLOOKUP(BD$1,main!$A$3:$H$102,4,FALSE)+VLOOKUP($A27,main!$A$3:$H$102,4,FALSE)+(VLOOKUP(VLOOKUP(BD$1,main!$A$3:$H$102,8,FALSE),main!$K$19:$O$22,MATCH(VLOOKUP($A27,main!$A$3:$H$102,7,FALSE),main!$K$18:$O$18,0),0))),0)</f>
        <v>0</v>
      </c>
      <c r="BE27">
        <f>IF((gamma!BE27),IF(VLOOKUP(BE$1,main!$A$3:$H$102,7,FALSE)=VLOOKUP($A27,main!$A$3:$H$102,8,FALSE),VLOOKUP(BE$1,main!$A$3:$H$102,4,FALSE),VLOOKUP(BE$1,main!$A$3:$H$102,4,FALSE)+VLOOKUP($A27,main!$A$3:$H$102,4,FALSE)+(VLOOKUP(VLOOKUP(BE$1,main!$A$3:$H$102,8,FALSE),main!$K$19:$O$22,MATCH(VLOOKUP($A27,main!$A$3:$H$102,7,FALSE),main!$K$18:$O$18,0),0))),0)</f>
        <v>0</v>
      </c>
      <c r="BF27">
        <f>IF((gamma!BF27),IF(VLOOKUP(BF$1,main!$A$3:$H$102,7,FALSE)=VLOOKUP($A27,main!$A$3:$H$102,8,FALSE),VLOOKUP(BF$1,main!$A$3:$H$102,4,FALSE),VLOOKUP(BF$1,main!$A$3:$H$102,4,FALSE)+VLOOKUP($A27,main!$A$3:$H$102,4,FALSE)+(VLOOKUP(VLOOKUP(BF$1,main!$A$3:$H$102,8,FALSE),main!$K$19:$O$22,MATCH(VLOOKUP($A27,main!$A$3:$H$102,7,FALSE),main!$K$18:$O$18,0),0))),0)</f>
        <v>0</v>
      </c>
      <c r="BG27">
        <f>IF((gamma!BG27),IF(VLOOKUP(BG$1,main!$A$3:$H$102,7,FALSE)=VLOOKUP($A27,main!$A$3:$H$102,8,FALSE),VLOOKUP(BG$1,main!$A$3:$H$102,4,FALSE),VLOOKUP(BG$1,main!$A$3:$H$102,4,FALSE)+VLOOKUP($A27,main!$A$3:$H$102,4,FALSE)+(VLOOKUP(VLOOKUP(BG$1,main!$A$3:$H$102,8,FALSE),main!$K$19:$O$22,MATCH(VLOOKUP($A27,main!$A$3:$H$102,7,FALSE),main!$K$18:$O$18,0),0))),0)</f>
        <v>0</v>
      </c>
      <c r="BH27">
        <f>IF((gamma!BH27),IF(VLOOKUP(BH$1,main!$A$3:$H$102,7,FALSE)=VLOOKUP($A27,main!$A$3:$H$102,8,FALSE),VLOOKUP(BH$1,main!$A$3:$H$102,4,FALSE),VLOOKUP(BH$1,main!$A$3:$H$102,4,FALSE)+VLOOKUP($A27,main!$A$3:$H$102,4,FALSE)+(VLOOKUP(VLOOKUP(BH$1,main!$A$3:$H$102,8,FALSE),main!$K$19:$O$22,MATCH(VLOOKUP($A27,main!$A$3:$H$102,7,FALSE),main!$K$18:$O$18,0),0))),0)</f>
        <v>0</v>
      </c>
      <c r="BI27">
        <f>IF((gamma!BI27),IF(VLOOKUP(BI$1,main!$A$3:$H$102,7,FALSE)=VLOOKUP($A27,main!$A$3:$H$102,8,FALSE),VLOOKUP(BI$1,main!$A$3:$H$102,4,FALSE),VLOOKUP(BI$1,main!$A$3:$H$102,4,FALSE)+VLOOKUP($A27,main!$A$3:$H$102,4,FALSE)+(VLOOKUP(VLOOKUP(BI$1,main!$A$3:$H$102,8,FALSE),main!$K$19:$O$22,MATCH(VLOOKUP($A27,main!$A$3:$H$102,7,FALSE),main!$K$18:$O$18,0),0))),0)</f>
        <v>0</v>
      </c>
      <c r="BJ27">
        <f>IF((gamma!BJ27),IF(VLOOKUP(BJ$1,main!$A$3:$H$102,7,FALSE)=VLOOKUP($A27,main!$A$3:$H$102,8,FALSE),VLOOKUP(BJ$1,main!$A$3:$H$102,4,FALSE),VLOOKUP(BJ$1,main!$A$3:$H$102,4,FALSE)+VLOOKUP($A27,main!$A$3:$H$102,4,FALSE)+(VLOOKUP(VLOOKUP(BJ$1,main!$A$3:$H$102,8,FALSE),main!$K$19:$O$22,MATCH(VLOOKUP($A27,main!$A$3:$H$102,7,FALSE),main!$K$18:$O$18,0),0))),0)</f>
        <v>0</v>
      </c>
      <c r="BK27">
        <f>IF((gamma!BK27),IF(VLOOKUP(BK$1,main!$A$3:$H$102,7,FALSE)=VLOOKUP($A27,main!$A$3:$H$102,8,FALSE),VLOOKUP(BK$1,main!$A$3:$H$102,4,FALSE),VLOOKUP(BK$1,main!$A$3:$H$102,4,FALSE)+VLOOKUP($A27,main!$A$3:$H$102,4,FALSE)+(VLOOKUP(VLOOKUP(BK$1,main!$A$3:$H$102,8,FALSE),main!$K$19:$O$22,MATCH(VLOOKUP($A27,main!$A$3:$H$102,7,FALSE),main!$K$18:$O$18,0),0))),0)</f>
        <v>0</v>
      </c>
      <c r="BL27">
        <f>IF((gamma!BL27),IF(VLOOKUP(BL$1,main!$A$3:$H$102,7,FALSE)=VLOOKUP($A27,main!$A$3:$H$102,8,FALSE),VLOOKUP(BL$1,main!$A$3:$H$102,4,FALSE),VLOOKUP(BL$1,main!$A$3:$H$102,4,FALSE)+VLOOKUP($A27,main!$A$3:$H$102,4,FALSE)+(VLOOKUP(VLOOKUP(BL$1,main!$A$3:$H$102,8,FALSE),main!$K$19:$O$22,MATCH(VLOOKUP($A27,main!$A$3:$H$102,7,FALSE),main!$K$18:$O$18,0),0))),0)</f>
        <v>0</v>
      </c>
      <c r="BM27">
        <f>IF((gamma!BM27),IF(VLOOKUP(BM$1,main!$A$3:$H$102,7,FALSE)=VLOOKUP($A27,main!$A$3:$H$102,8,FALSE),VLOOKUP(BM$1,main!$A$3:$H$102,4,FALSE),VLOOKUP(BM$1,main!$A$3:$H$102,4,FALSE)+VLOOKUP($A27,main!$A$3:$H$102,4,FALSE)+(VLOOKUP(VLOOKUP(BM$1,main!$A$3:$H$102,8,FALSE),main!$K$19:$O$22,MATCH(VLOOKUP($A27,main!$A$3:$H$102,7,FALSE),main!$K$18:$O$18,0),0))),0)</f>
        <v>0</v>
      </c>
      <c r="BN27">
        <f>IF((gamma!BN27),IF(VLOOKUP(BN$1,main!$A$3:$H$102,7,FALSE)=VLOOKUP($A27,main!$A$3:$H$102,8,FALSE),VLOOKUP(BN$1,main!$A$3:$H$102,4,FALSE),VLOOKUP(BN$1,main!$A$3:$H$102,4,FALSE)+VLOOKUP($A27,main!$A$3:$H$102,4,FALSE)+(VLOOKUP(VLOOKUP(BN$1,main!$A$3:$H$102,8,FALSE),main!$K$19:$O$22,MATCH(VLOOKUP($A27,main!$A$3:$H$102,7,FALSE),main!$K$18:$O$18,0),0))),0)</f>
        <v>0</v>
      </c>
      <c r="BO27">
        <f>IF((gamma!BO27),IF(VLOOKUP(BO$1,main!$A$3:$H$102,7,FALSE)=VLOOKUP($A27,main!$A$3:$H$102,8,FALSE),VLOOKUP(BO$1,main!$A$3:$H$102,4,FALSE),VLOOKUP(BO$1,main!$A$3:$H$102,4,FALSE)+VLOOKUP($A27,main!$A$3:$H$102,4,FALSE)+(VLOOKUP(VLOOKUP(BO$1,main!$A$3:$H$102,8,FALSE),main!$K$19:$O$22,MATCH(VLOOKUP($A27,main!$A$3:$H$102,7,FALSE),main!$K$18:$O$18,0),0))),0)</f>
        <v>0</v>
      </c>
      <c r="BP27">
        <f>IF((gamma!BP27),IF(VLOOKUP(BP$1,main!$A$3:$H$102,7,FALSE)=VLOOKUP($A27,main!$A$3:$H$102,8,FALSE),VLOOKUP(BP$1,main!$A$3:$H$102,4,FALSE),VLOOKUP(BP$1,main!$A$3:$H$102,4,FALSE)+VLOOKUP($A27,main!$A$3:$H$102,4,FALSE)+(VLOOKUP(VLOOKUP(BP$1,main!$A$3:$H$102,8,FALSE),main!$K$19:$O$22,MATCH(VLOOKUP($A27,main!$A$3:$H$102,7,FALSE),main!$K$18:$O$18,0),0))),0)</f>
        <v>0</v>
      </c>
      <c r="BQ27">
        <f>IF((gamma!BQ27),IF(VLOOKUP(BQ$1,main!$A$3:$H$102,7,FALSE)=VLOOKUP($A27,main!$A$3:$H$102,8,FALSE),VLOOKUP(BQ$1,main!$A$3:$H$102,4,FALSE),VLOOKUP(BQ$1,main!$A$3:$H$102,4,FALSE)+VLOOKUP($A27,main!$A$3:$H$102,4,FALSE)+(VLOOKUP(VLOOKUP(BQ$1,main!$A$3:$H$102,8,FALSE),main!$K$19:$O$22,MATCH(VLOOKUP($A27,main!$A$3:$H$102,7,FALSE),main!$K$18:$O$18,0),0))),0)</f>
        <v>0</v>
      </c>
      <c r="BR27">
        <f>IF((gamma!BR27),IF(VLOOKUP(BR$1,main!$A$3:$H$102,7,FALSE)=VLOOKUP($A27,main!$A$3:$H$102,8,FALSE),VLOOKUP(BR$1,main!$A$3:$H$102,4,FALSE),VLOOKUP(BR$1,main!$A$3:$H$102,4,FALSE)+VLOOKUP($A27,main!$A$3:$H$102,4,FALSE)+(VLOOKUP(VLOOKUP(BR$1,main!$A$3:$H$102,8,FALSE),main!$K$19:$O$22,MATCH(VLOOKUP($A27,main!$A$3:$H$102,7,FALSE),main!$K$18:$O$18,0),0))),0)</f>
        <v>0</v>
      </c>
      <c r="BS27">
        <f>IF((gamma!BS27),IF(VLOOKUP(BS$1,main!$A$3:$H$102,7,FALSE)=VLOOKUP($A27,main!$A$3:$H$102,8,FALSE),VLOOKUP(BS$1,main!$A$3:$H$102,4,FALSE),VLOOKUP(BS$1,main!$A$3:$H$102,4,FALSE)+VLOOKUP($A27,main!$A$3:$H$102,4,FALSE)+(VLOOKUP(VLOOKUP(BS$1,main!$A$3:$H$102,8,FALSE),main!$K$19:$O$22,MATCH(VLOOKUP($A27,main!$A$3:$H$102,7,FALSE),main!$K$18:$O$18,0),0))),0)</f>
        <v>0</v>
      </c>
      <c r="BT27">
        <f>IF((gamma!BT27),IF(VLOOKUP(BT$1,main!$A$3:$H$102,7,FALSE)=VLOOKUP($A27,main!$A$3:$H$102,8,FALSE),VLOOKUP(BT$1,main!$A$3:$H$102,4,FALSE),VLOOKUP(BT$1,main!$A$3:$H$102,4,FALSE)+VLOOKUP($A27,main!$A$3:$H$102,4,FALSE)+(VLOOKUP(VLOOKUP(BT$1,main!$A$3:$H$102,8,FALSE),main!$K$19:$O$22,MATCH(VLOOKUP($A27,main!$A$3:$H$102,7,FALSE),main!$K$18:$O$18,0),0))),0)</f>
        <v>0</v>
      </c>
      <c r="BU27">
        <f>IF((gamma!BU27),IF(VLOOKUP(BU$1,main!$A$3:$H$102,7,FALSE)=VLOOKUP($A27,main!$A$3:$H$102,8,FALSE),VLOOKUP(BU$1,main!$A$3:$H$102,4,FALSE),VLOOKUP(BU$1,main!$A$3:$H$102,4,FALSE)+VLOOKUP($A27,main!$A$3:$H$102,4,FALSE)+(VLOOKUP(VLOOKUP(BU$1,main!$A$3:$H$102,8,FALSE),main!$K$19:$O$22,MATCH(VLOOKUP($A27,main!$A$3:$H$102,7,FALSE),main!$K$18:$O$18,0),0))),0)</f>
        <v>0</v>
      </c>
      <c r="BV27">
        <f>IF((gamma!BV27),IF(VLOOKUP(BV$1,main!$A$3:$H$102,7,FALSE)=VLOOKUP($A27,main!$A$3:$H$102,8,FALSE),VLOOKUP(BV$1,main!$A$3:$H$102,4,FALSE),VLOOKUP(BV$1,main!$A$3:$H$102,4,FALSE)+VLOOKUP($A27,main!$A$3:$H$102,4,FALSE)+(VLOOKUP(VLOOKUP(BV$1,main!$A$3:$H$102,8,FALSE),main!$K$19:$O$22,MATCH(VLOOKUP($A27,main!$A$3:$H$102,7,FALSE),main!$K$18:$O$18,0),0))),0)</f>
        <v>0</v>
      </c>
      <c r="BW27">
        <f>IF((gamma!BW27),IF(VLOOKUP(BW$1,main!$A$3:$H$102,7,FALSE)=VLOOKUP($A27,main!$A$3:$H$102,8,FALSE),VLOOKUP(BW$1,main!$A$3:$H$102,4,FALSE),VLOOKUP(BW$1,main!$A$3:$H$102,4,FALSE)+VLOOKUP($A27,main!$A$3:$H$102,4,FALSE)+(VLOOKUP(VLOOKUP(BW$1,main!$A$3:$H$102,8,FALSE),main!$K$19:$O$22,MATCH(VLOOKUP($A27,main!$A$3:$H$102,7,FALSE),main!$K$18:$O$18,0),0))),0)</f>
        <v>0</v>
      </c>
      <c r="BX27">
        <f>IF((gamma!BX27),IF(VLOOKUP(BX$1,main!$A$3:$H$102,7,FALSE)=VLOOKUP($A27,main!$A$3:$H$102,8,FALSE),VLOOKUP(BX$1,main!$A$3:$H$102,4,FALSE),VLOOKUP(BX$1,main!$A$3:$H$102,4,FALSE)+VLOOKUP($A27,main!$A$3:$H$102,4,FALSE)+(VLOOKUP(VLOOKUP(BX$1,main!$A$3:$H$102,8,FALSE),main!$K$19:$O$22,MATCH(VLOOKUP($A27,main!$A$3:$H$102,7,FALSE),main!$K$18:$O$18,0),0))),0)</f>
        <v>0</v>
      </c>
      <c r="BY27">
        <f>IF((gamma!BY27),IF(VLOOKUP(BY$1,main!$A$3:$H$102,7,FALSE)=VLOOKUP($A27,main!$A$3:$H$102,8,FALSE),VLOOKUP(BY$1,main!$A$3:$H$102,4,FALSE),VLOOKUP(BY$1,main!$A$3:$H$102,4,FALSE)+VLOOKUP($A27,main!$A$3:$H$102,4,FALSE)+(VLOOKUP(VLOOKUP(BY$1,main!$A$3:$H$102,8,FALSE),main!$K$19:$O$22,MATCH(VLOOKUP($A27,main!$A$3:$H$102,7,FALSE),main!$K$18:$O$18,0),0))),0)</f>
        <v>0</v>
      </c>
      <c r="BZ27">
        <f>IF((gamma!BZ27),IF(VLOOKUP(BZ$1,main!$A$3:$H$102,7,FALSE)=VLOOKUP($A27,main!$A$3:$H$102,8,FALSE),VLOOKUP(BZ$1,main!$A$3:$H$102,4,FALSE),VLOOKUP(BZ$1,main!$A$3:$H$102,4,FALSE)+VLOOKUP($A27,main!$A$3:$H$102,4,FALSE)+(VLOOKUP(VLOOKUP(BZ$1,main!$A$3:$H$102,8,FALSE),main!$K$19:$O$22,MATCH(VLOOKUP($A27,main!$A$3:$H$102,7,FALSE),main!$K$18:$O$18,0),0))),0)</f>
        <v>0</v>
      </c>
      <c r="CA27">
        <f>IF((gamma!CA27),IF(VLOOKUP(CA$1,main!$A$3:$H$102,7,FALSE)=VLOOKUP($A27,main!$A$3:$H$102,8,FALSE),VLOOKUP(CA$1,main!$A$3:$H$102,4,FALSE),VLOOKUP(CA$1,main!$A$3:$H$102,4,FALSE)+VLOOKUP($A27,main!$A$3:$H$102,4,FALSE)+(VLOOKUP(VLOOKUP(CA$1,main!$A$3:$H$102,8,FALSE),main!$K$19:$O$22,MATCH(VLOOKUP($A27,main!$A$3:$H$102,7,FALSE),main!$K$18:$O$18,0),0))),0)</f>
        <v>0</v>
      </c>
      <c r="CB27">
        <f>IF((gamma!CB27),IF(VLOOKUP(CB$1,main!$A$3:$H$102,7,FALSE)=VLOOKUP($A27,main!$A$3:$H$102,8,FALSE),VLOOKUP(CB$1,main!$A$3:$H$102,4,FALSE),VLOOKUP(CB$1,main!$A$3:$H$102,4,FALSE)+VLOOKUP($A27,main!$A$3:$H$102,4,FALSE)+(VLOOKUP(VLOOKUP(CB$1,main!$A$3:$H$102,8,FALSE),main!$K$19:$O$22,MATCH(VLOOKUP($A27,main!$A$3:$H$102,7,FALSE),main!$K$18:$O$18,0),0))),0)</f>
        <v>0</v>
      </c>
      <c r="CC27">
        <f>IF((gamma!CC27),IF(VLOOKUP(CC$1,main!$A$3:$H$102,7,FALSE)=VLOOKUP($A27,main!$A$3:$H$102,8,FALSE),VLOOKUP(CC$1,main!$A$3:$H$102,4,FALSE),VLOOKUP(CC$1,main!$A$3:$H$102,4,FALSE)+VLOOKUP($A27,main!$A$3:$H$102,4,FALSE)+(VLOOKUP(VLOOKUP(CC$1,main!$A$3:$H$102,8,FALSE),main!$K$19:$O$22,MATCH(VLOOKUP($A27,main!$A$3:$H$102,7,FALSE),main!$K$18:$O$18,0),0))),0)</f>
        <v>0</v>
      </c>
      <c r="CD27">
        <f>IF((gamma!CD27),IF(VLOOKUP(CD$1,main!$A$3:$H$102,7,FALSE)=VLOOKUP($A27,main!$A$3:$H$102,8,FALSE),VLOOKUP(CD$1,main!$A$3:$H$102,4,FALSE),VLOOKUP(CD$1,main!$A$3:$H$102,4,FALSE)+VLOOKUP($A27,main!$A$3:$H$102,4,FALSE)+(VLOOKUP(VLOOKUP(CD$1,main!$A$3:$H$102,8,FALSE),main!$K$19:$O$22,MATCH(VLOOKUP($A27,main!$A$3:$H$102,7,FALSE),main!$K$18:$O$18,0),0))),0)</f>
        <v>0</v>
      </c>
      <c r="CE27">
        <f>IF((gamma!CE27),IF(VLOOKUP(CE$1,main!$A$3:$H$102,7,FALSE)=VLOOKUP($A27,main!$A$3:$H$102,8,FALSE),VLOOKUP(CE$1,main!$A$3:$H$102,4,FALSE),VLOOKUP(CE$1,main!$A$3:$H$102,4,FALSE)+VLOOKUP($A27,main!$A$3:$H$102,4,FALSE)+(VLOOKUP(VLOOKUP(CE$1,main!$A$3:$H$102,8,FALSE),main!$K$19:$O$22,MATCH(VLOOKUP($A27,main!$A$3:$H$102,7,FALSE),main!$K$18:$O$18,0),0))),0)</f>
        <v>0</v>
      </c>
      <c r="CF27">
        <f>IF((gamma!CF27),IF(VLOOKUP(CF$1,main!$A$3:$H$102,7,FALSE)=VLOOKUP($A27,main!$A$3:$H$102,8,FALSE),VLOOKUP(CF$1,main!$A$3:$H$102,4,FALSE),VLOOKUP(CF$1,main!$A$3:$H$102,4,FALSE)+VLOOKUP($A27,main!$A$3:$H$102,4,FALSE)+(VLOOKUP(VLOOKUP(CF$1,main!$A$3:$H$102,8,FALSE),main!$K$19:$O$22,MATCH(VLOOKUP($A27,main!$A$3:$H$102,7,FALSE),main!$K$18:$O$18,0),0))),0)</f>
        <v>0</v>
      </c>
      <c r="CG27">
        <f>IF((gamma!CG27),IF(VLOOKUP(CG$1,main!$A$3:$H$102,7,FALSE)=VLOOKUP($A27,main!$A$3:$H$102,8,FALSE),VLOOKUP(CG$1,main!$A$3:$H$102,4,FALSE),VLOOKUP(CG$1,main!$A$3:$H$102,4,FALSE)+VLOOKUP($A27,main!$A$3:$H$102,4,FALSE)+(VLOOKUP(VLOOKUP(CG$1,main!$A$3:$H$102,8,FALSE),main!$K$19:$O$22,MATCH(VLOOKUP($A27,main!$A$3:$H$102,7,FALSE),main!$K$18:$O$18,0),0))),0)</f>
        <v>0</v>
      </c>
      <c r="CH27">
        <f>IF((gamma!CH27),IF(VLOOKUP(CH$1,main!$A$3:$H$102,7,FALSE)=VLOOKUP($A27,main!$A$3:$H$102,8,FALSE),VLOOKUP(CH$1,main!$A$3:$H$102,4,FALSE),VLOOKUP(CH$1,main!$A$3:$H$102,4,FALSE)+VLOOKUP($A27,main!$A$3:$H$102,4,FALSE)+(VLOOKUP(VLOOKUP(CH$1,main!$A$3:$H$102,8,FALSE),main!$K$19:$O$22,MATCH(VLOOKUP($A27,main!$A$3:$H$102,7,FALSE),main!$K$18:$O$18,0),0))),0)</f>
        <v>0</v>
      </c>
      <c r="CI27">
        <f>IF((gamma!CI27),IF(VLOOKUP(CI$1,main!$A$3:$H$102,7,FALSE)=VLOOKUP($A27,main!$A$3:$H$102,8,FALSE),VLOOKUP(CI$1,main!$A$3:$H$102,4,FALSE),VLOOKUP(CI$1,main!$A$3:$H$102,4,FALSE)+VLOOKUP($A27,main!$A$3:$H$102,4,FALSE)+(VLOOKUP(VLOOKUP(CI$1,main!$A$3:$H$102,8,FALSE),main!$K$19:$O$22,MATCH(VLOOKUP($A27,main!$A$3:$H$102,7,FALSE),main!$K$18:$O$18,0),0))),0)</f>
        <v>0</v>
      </c>
      <c r="CJ27">
        <f>IF((gamma!CJ27),IF(VLOOKUP(CJ$1,main!$A$3:$H$102,7,FALSE)=VLOOKUP($A27,main!$A$3:$H$102,8,FALSE),VLOOKUP(CJ$1,main!$A$3:$H$102,4,FALSE),VLOOKUP(CJ$1,main!$A$3:$H$102,4,FALSE)+VLOOKUP($A27,main!$A$3:$H$102,4,FALSE)+(VLOOKUP(VLOOKUP(CJ$1,main!$A$3:$H$102,8,FALSE),main!$K$19:$O$22,MATCH(VLOOKUP($A27,main!$A$3:$H$102,7,FALSE),main!$K$18:$O$18,0),0))),0)</f>
        <v>0</v>
      </c>
      <c r="CK27">
        <f>IF((gamma!CK27),IF(VLOOKUP(CK$1,main!$A$3:$H$102,7,FALSE)=VLOOKUP($A27,main!$A$3:$H$102,8,FALSE),VLOOKUP(CK$1,main!$A$3:$H$102,4,FALSE),VLOOKUP(CK$1,main!$A$3:$H$102,4,FALSE)+VLOOKUP($A27,main!$A$3:$H$102,4,FALSE)+(VLOOKUP(VLOOKUP(CK$1,main!$A$3:$H$102,8,FALSE),main!$K$19:$O$22,MATCH(VLOOKUP($A27,main!$A$3:$H$102,7,FALSE),main!$K$18:$O$18,0),0))),0)</f>
        <v>0</v>
      </c>
      <c r="CL27">
        <f>IF((gamma!CL27),IF(VLOOKUP(CL$1,main!$A$3:$H$102,7,FALSE)=VLOOKUP($A27,main!$A$3:$H$102,8,FALSE),VLOOKUP(CL$1,main!$A$3:$H$102,4,FALSE),VLOOKUP(CL$1,main!$A$3:$H$102,4,FALSE)+VLOOKUP($A27,main!$A$3:$H$102,4,FALSE)+(VLOOKUP(VLOOKUP(CL$1,main!$A$3:$H$102,8,FALSE),main!$K$19:$O$22,MATCH(VLOOKUP($A27,main!$A$3:$H$102,7,FALSE),main!$K$18:$O$18,0),0))),0)</f>
        <v>0</v>
      </c>
      <c r="CM27">
        <f>IF((gamma!CM27),IF(VLOOKUP(CM$1,main!$A$3:$H$102,7,FALSE)=VLOOKUP($A27,main!$A$3:$H$102,8,FALSE),VLOOKUP(CM$1,main!$A$3:$H$102,4,FALSE),VLOOKUP(CM$1,main!$A$3:$H$102,4,FALSE)+VLOOKUP($A27,main!$A$3:$H$102,4,FALSE)+(VLOOKUP(VLOOKUP(CM$1,main!$A$3:$H$102,8,FALSE),main!$K$19:$O$22,MATCH(VLOOKUP($A27,main!$A$3:$H$102,7,FALSE),main!$K$18:$O$18,0),0))),0)</f>
        <v>0</v>
      </c>
      <c r="CN27">
        <f>IF((gamma!CN27),IF(VLOOKUP(CN$1,main!$A$3:$H$102,7,FALSE)=VLOOKUP($A27,main!$A$3:$H$102,8,FALSE),VLOOKUP(CN$1,main!$A$3:$H$102,4,FALSE),VLOOKUP(CN$1,main!$A$3:$H$102,4,FALSE)+VLOOKUP($A27,main!$A$3:$H$102,4,FALSE)+(VLOOKUP(VLOOKUP(CN$1,main!$A$3:$H$102,8,FALSE),main!$K$19:$O$22,MATCH(VLOOKUP($A27,main!$A$3:$H$102,7,FALSE),main!$K$18:$O$18,0),0))),0)</f>
        <v>0</v>
      </c>
      <c r="CO27">
        <f>IF((gamma!CO27),IF(VLOOKUP(CO$1,main!$A$3:$H$102,7,FALSE)=VLOOKUP($A27,main!$A$3:$H$102,8,FALSE),VLOOKUP(CO$1,main!$A$3:$H$102,4,FALSE),VLOOKUP(CO$1,main!$A$3:$H$102,4,FALSE)+VLOOKUP($A27,main!$A$3:$H$102,4,FALSE)+(VLOOKUP(VLOOKUP(CO$1,main!$A$3:$H$102,8,FALSE),main!$K$19:$O$22,MATCH(VLOOKUP($A27,main!$A$3:$H$102,7,FALSE),main!$K$18:$O$18,0),0))),0)</f>
        <v>0</v>
      </c>
      <c r="CP27">
        <f>IF((gamma!CP27),IF(VLOOKUP(CP$1,main!$A$3:$H$102,7,FALSE)=VLOOKUP($A27,main!$A$3:$H$102,8,FALSE),VLOOKUP(CP$1,main!$A$3:$H$102,4,FALSE),VLOOKUP(CP$1,main!$A$3:$H$102,4,FALSE)+VLOOKUP($A27,main!$A$3:$H$102,4,FALSE)+(VLOOKUP(VLOOKUP(CP$1,main!$A$3:$H$102,8,FALSE),main!$K$19:$O$22,MATCH(VLOOKUP($A27,main!$A$3:$H$102,7,FALSE),main!$K$18:$O$18,0),0))),0)</f>
        <v>0</v>
      </c>
      <c r="CQ27">
        <f>IF((gamma!CQ27),IF(VLOOKUP(CQ$1,main!$A$3:$H$102,7,FALSE)=VLOOKUP($A27,main!$A$3:$H$102,8,FALSE),VLOOKUP(CQ$1,main!$A$3:$H$102,4,FALSE),VLOOKUP(CQ$1,main!$A$3:$H$102,4,FALSE)+VLOOKUP($A27,main!$A$3:$H$102,4,FALSE)+(VLOOKUP(VLOOKUP(CQ$1,main!$A$3:$H$102,8,FALSE),main!$K$19:$O$22,MATCH(VLOOKUP($A27,main!$A$3:$H$102,7,FALSE),main!$K$18:$O$18,0),0))),0)</f>
        <v>0</v>
      </c>
      <c r="CR27">
        <f>IF((gamma!CR27),IF(VLOOKUP(CR$1,main!$A$3:$H$102,7,FALSE)=VLOOKUP($A27,main!$A$3:$H$102,8,FALSE),VLOOKUP(CR$1,main!$A$3:$H$102,4,FALSE),VLOOKUP(CR$1,main!$A$3:$H$102,4,FALSE)+VLOOKUP($A27,main!$A$3:$H$102,4,FALSE)+(VLOOKUP(VLOOKUP(CR$1,main!$A$3:$H$102,8,FALSE),main!$K$19:$O$22,MATCH(VLOOKUP($A27,main!$A$3:$H$102,7,FALSE),main!$K$18:$O$18,0),0))),0)</f>
        <v>0</v>
      </c>
      <c r="CS27">
        <f>IF((gamma!CS27),IF(VLOOKUP(CS$1,main!$A$3:$H$102,7,FALSE)=VLOOKUP($A27,main!$A$3:$H$102,8,FALSE),VLOOKUP(CS$1,main!$A$3:$H$102,4,FALSE),VLOOKUP(CS$1,main!$A$3:$H$102,4,FALSE)+VLOOKUP($A27,main!$A$3:$H$102,4,FALSE)+(VLOOKUP(VLOOKUP(CS$1,main!$A$3:$H$102,8,FALSE),main!$K$19:$O$22,MATCH(VLOOKUP($A27,main!$A$3:$H$102,7,FALSE),main!$K$18:$O$18,0),0))),0)</f>
        <v>0</v>
      </c>
      <c r="CT27">
        <f>IF((gamma!CT27),IF(VLOOKUP(CT$1,main!$A$3:$H$102,7,FALSE)=VLOOKUP($A27,main!$A$3:$H$102,8,FALSE),VLOOKUP(CT$1,main!$A$3:$H$102,4,FALSE),VLOOKUP(CT$1,main!$A$3:$H$102,4,FALSE)+VLOOKUP($A27,main!$A$3:$H$102,4,FALSE)+(VLOOKUP(VLOOKUP(CT$1,main!$A$3:$H$102,8,FALSE),main!$K$19:$O$22,MATCH(VLOOKUP($A27,main!$A$3:$H$102,7,FALSE),main!$K$18:$O$18,0),0))),0)</f>
        <v>0</v>
      </c>
      <c r="CU27">
        <f>IF((gamma!CU27),IF(VLOOKUP(CU$1,main!$A$3:$H$102,7,FALSE)=VLOOKUP($A27,main!$A$3:$H$102,8,FALSE),VLOOKUP(CU$1,main!$A$3:$H$102,4,FALSE),VLOOKUP(CU$1,main!$A$3:$H$102,4,FALSE)+VLOOKUP($A27,main!$A$3:$H$102,4,FALSE)+(VLOOKUP(VLOOKUP(CU$1,main!$A$3:$H$102,8,FALSE),main!$K$19:$O$22,MATCH(VLOOKUP($A27,main!$A$3:$H$102,7,FALSE),main!$K$18:$O$18,0),0))),0)</f>
        <v>0</v>
      </c>
      <c r="CV27">
        <f>IF((gamma!CV27),IF(VLOOKUP(CV$1,main!$A$3:$H$102,7,FALSE)=VLOOKUP($A27,main!$A$3:$H$102,8,FALSE),VLOOKUP(CV$1,main!$A$3:$H$102,4,FALSE),VLOOKUP(CV$1,main!$A$3:$H$102,4,FALSE)+VLOOKUP($A27,main!$A$3:$H$102,4,FALSE)+(VLOOKUP(VLOOKUP(CV$1,main!$A$3:$H$102,8,FALSE),main!$K$19:$O$22,MATCH(VLOOKUP($A27,main!$A$3:$H$102,7,FALSE),main!$K$18:$O$18,0),0))),0)</f>
        <v>0</v>
      </c>
      <c r="CW27">
        <f>IF((gamma!CW27),IF(VLOOKUP(CW$1,main!$A$3:$H$102,7,FALSE)=VLOOKUP($A27,main!$A$3:$H$102,8,FALSE),VLOOKUP(CW$1,main!$A$3:$H$102,4,FALSE),VLOOKUP(CW$1,main!$A$3:$H$102,4,FALSE)+VLOOKUP($A27,main!$A$3:$H$102,4,FALSE)+(VLOOKUP(VLOOKUP(CW$1,main!$A$3:$H$102,8,FALSE),main!$K$19:$O$22,MATCH(VLOOKUP($A27,main!$A$3:$H$102,7,FALSE),main!$K$18:$O$18,0),0))),0)</f>
        <v>0</v>
      </c>
      <c r="CX27">
        <f>IF((gamma!CX27),IF(VLOOKUP(CX$1,main!$A$3:$H$102,7,FALSE)=VLOOKUP($A27,main!$A$3:$H$102,8,FALSE),VLOOKUP(CX$1,main!$A$3:$H$102,4,FALSE),VLOOKUP(CX$1,main!$A$3:$H$102,4,FALSE)+VLOOKUP($A27,main!$A$3:$H$102,4,FALSE)+(VLOOKUP(VLOOKUP(CX$1,main!$A$3:$H$102,8,FALSE),main!$K$19:$O$22,MATCH(VLOOKUP($A27,main!$A$3:$H$102,7,FALSE),main!$K$18:$O$18,0),0))),0)</f>
        <v>0</v>
      </c>
      <c r="CY27">
        <v>0</v>
      </c>
      <c r="CZ27">
        <v>0</v>
      </c>
      <c r="DA27">
        <v>0</v>
      </c>
    </row>
    <row r="28" spans="1:105" x14ac:dyDescent="0.25">
      <c r="A28" s="1">
        <v>26</v>
      </c>
      <c r="B28">
        <v>0</v>
      </c>
      <c r="C28">
        <f>IF((gamma!C28),IF(VLOOKUP(C$1,main!$A$3:$H$102,7,FALSE)=VLOOKUP($A28,main!$A$3:$H$102,8,FALSE),VLOOKUP(C$1,main!$A$3:$H$102,4,FALSE),VLOOKUP(C$1,main!$A$3:$H$102,4,FALSE)+VLOOKUP($A28,main!$A$3:$H$102,4,FALSE)+(VLOOKUP(VLOOKUP(C$1,main!$A$3:$H$102,8,FALSE),main!$K$19:$O$22,MATCH(VLOOKUP($A28,main!$A$3:$H$102,7,FALSE),main!$K$18:$O$18,0),0))),0)</f>
        <v>0</v>
      </c>
      <c r="D28">
        <f>IF((gamma!D28),IF(VLOOKUP(D$1,main!$A$3:$H$102,7,FALSE)=VLOOKUP($A28,main!$A$3:$H$102,8,FALSE),VLOOKUP(D$1,main!$A$3:$H$102,4,FALSE),VLOOKUP(D$1,main!$A$3:$H$102,4,FALSE)+VLOOKUP($A28,main!$A$3:$H$102,4,FALSE)+(VLOOKUP(VLOOKUP(D$1,main!$A$3:$H$102,8,FALSE),main!$K$19:$O$22,MATCH(VLOOKUP($A28,main!$A$3:$H$102,7,FALSE),main!$K$18:$O$18,0),0))),0)</f>
        <v>0</v>
      </c>
      <c r="E28">
        <f>IF((gamma!E28),IF(VLOOKUP(E$1,main!$A$3:$H$102,7,FALSE)=VLOOKUP($A28,main!$A$3:$H$102,8,FALSE),VLOOKUP(E$1,main!$A$3:$H$102,4,FALSE),VLOOKUP(E$1,main!$A$3:$H$102,4,FALSE)+VLOOKUP($A28,main!$A$3:$H$102,4,FALSE)+(VLOOKUP(VLOOKUP(E$1,main!$A$3:$H$102,8,FALSE),main!$K$19:$O$22,MATCH(VLOOKUP($A28,main!$A$3:$H$102,7,FALSE),main!$K$18:$O$18,0),0))),0)</f>
        <v>300</v>
      </c>
      <c r="F28">
        <f>IF((gamma!F28),IF(VLOOKUP(F$1,main!$A$3:$H$102,7,FALSE)=VLOOKUP($A28,main!$A$3:$H$102,8,FALSE),VLOOKUP(F$1,main!$A$3:$H$102,4,FALSE),VLOOKUP(F$1,main!$A$3:$H$102,4,FALSE)+VLOOKUP($A28,main!$A$3:$H$102,4,FALSE)+(VLOOKUP(VLOOKUP(F$1,main!$A$3:$H$102,8,FALSE),main!$K$19:$O$22,MATCH(VLOOKUP($A28,main!$A$3:$H$102,7,FALSE),main!$K$18:$O$18,0),0))),0)</f>
        <v>300</v>
      </c>
      <c r="G28">
        <f>IF((gamma!G28),IF(VLOOKUP(G$1,main!$A$3:$H$102,7,FALSE)=VLOOKUP($A28,main!$A$3:$H$102,8,FALSE),VLOOKUP(G$1,main!$A$3:$H$102,4,FALSE),VLOOKUP(G$1,main!$A$3:$H$102,4,FALSE)+VLOOKUP($A28,main!$A$3:$H$102,4,FALSE)+(VLOOKUP(VLOOKUP(G$1,main!$A$3:$H$102,8,FALSE),main!$K$19:$O$22,MATCH(VLOOKUP($A28,main!$A$3:$H$102,7,FALSE),main!$K$18:$O$18,0),0))),0)</f>
        <v>300</v>
      </c>
      <c r="H28">
        <f>IF((gamma!H28),IF(VLOOKUP(H$1,main!$A$3:$H$102,7,FALSE)=VLOOKUP($A28,main!$A$3:$H$102,8,FALSE),VLOOKUP(H$1,main!$A$3:$H$102,4,FALSE),VLOOKUP(H$1,main!$A$3:$H$102,4,FALSE)+VLOOKUP($A28,main!$A$3:$H$102,4,FALSE)+(VLOOKUP(VLOOKUP(H$1,main!$A$3:$H$102,8,FALSE),main!$K$19:$O$22,MATCH(VLOOKUP($A28,main!$A$3:$H$102,7,FALSE),main!$K$18:$O$18,0),0))),0)</f>
        <v>300</v>
      </c>
      <c r="I28">
        <f>IF((gamma!I28),IF(VLOOKUP(I$1,main!$A$3:$H$102,7,FALSE)=VLOOKUP($A28,main!$A$3:$H$102,8,FALSE),VLOOKUP(I$1,main!$A$3:$H$102,4,FALSE),VLOOKUP(I$1,main!$A$3:$H$102,4,FALSE)+VLOOKUP($A28,main!$A$3:$H$102,4,FALSE)+(VLOOKUP(VLOOKUP(I$1,main!$A$3:$H$102,8,FALSE),main!$K$19:$O$22,MATCH(VLOOKUP($A28,main!$A$3:$H$102,7,FALSE),main!$K$18:$O$18,0),0))),0)</f>
        <v>300</v>
      </c>
      <c r="J28">
        <f>IF((gamma!J28),IF(VLOOKUP(J$1,main!$A$3:$H$102,7,FALSE)=VLOOKUP($A28,main!$A$3:$H$102,8,FALSE),VLOOKUP(J$1,main!$A$3:$H$102,4,FALSE),VLOOKUP(J$1,main!$A$3:$H$102,4,FALSE)+VLOOKUP($A28,main!$A$3:$H$102,4,FALSE)+(VLOOKUP(VLOOKUP(J$1,main!$A$3:$H$102,8,FALSE),main!$K$19:$O$22,MATCH(VLOOKUP($A28,main!$A$3:$H$102,7,FALSE),main!$K$18:$O$18,0),0))),0)</f>
        <v>300</v>
      </c>
      <c r="K28">
        <f>IF((gamma!K28),IF(VLOOKUP(K$1,main!$A$3:$H$102,7,FALSE)=VLOOKUP($A28,main!$A$3:$H$102,8,FALSE),VLOOKUP(K$1,main!$A$3:$H$102,4,FALSE),VLOOKUP(K$1,main!$A$3:$H$102,4,FALSE)+VLOOKUP($A28,main!$A$3:$H$102,4,FALSE)+(VLOOKUP(VLOOKUP(K$1,main!$A$3:$H$102,8,FALSE),main!$K$19:$O$22,MATCH(VLOOKUP($A28,main!$A$3:$H$102,7,FALSE),main!$K$18:$O$18,0),0))),0)</f>
        <v>300</v>
      </c>
      <c r="L28">
        <f>IF((gamma!L28),IF(VLOOKUP(L$1,main!$A$3:$H$102,7,FALSE)=VLOOKUP($A28,main!$A$3:$H$102,8,FALSE),VLOOKUP(L$1,main!$A$3:$H$102,4,FALSE),VLOOKUP(L$1,main!$A$3:$H$102,4,FALSE)+VLOOKUP($A28,main!$A$3:$H$102,4,FALSE)+(VLOOKUP(VLOOKUP(L$1,main!$A$3:$H$102,8,FALSE),main!$K$19:$O$22,MATCH(VLOOKUP($A28,main!$A$3:$H$102,7,FALSE),main!$K$18:$O$18,0),0))),0)</f>
        <v>300</v>
      </c>
      <c r="M28">
        <f>IF((gamma!M28),IF(VLOOKUP(M$1,main!$A$3:$H$102,7,FALSE)=VLOOKUP($A28,main!$A$3:$H$102,8,FALSE),VLOOKUP(M$1,main!$A$3:$H$102,4,FALSE),VLOOKUP(M$1,main!$A$3:$H$102,4,FALSE)+VLOOKUP($A28,main!$A$3:$H$102,4,FALSE)+(VLOOKUP(VLOOKUP(M$1,main!$A$3:$H$102,8,FALSE),main!$K$19:$O$22,MATCH(VLOOKUP($A28,main!$A$3:$H$102,7,FALSE),main!$K$18:$O$18,0),0))),0)</f>
        <v>0</v>
      </c>
      <c r="N28">
        <f>IF((gamma!N28),IF(VLOOKUP(N$1,main!$A$3:$H$102,7,FALSE)=VLOOKUP($A28,main!$A$3:$H$102,8,FALSE),VLOOKUP(N$1,main!$A$3:$H$102,4,FALSE),VLOOKUP(N$1,main!$A$3:$H$102,4,FALSE)+VLOOKUP($A28,main!$A$3:$H$102,4,FALSE)+(VLOOKUP(VLOOKUP(N$1,main!$A$3:$H$102,8,FALSE),main!$K$19:$O$22,MATCH(VLOOKUP($A28,main!$A$3:$H$102,7,FALSE),main!$K$18:$O$18,0),0))),0)</f>
        <v>0</v>
      </c>
      <c r="O28">
        <f>IF((gamma!O28),IF(VLOOKUP(O$1,main!$A$3:$H$102,7,FALSE)=VLOOKUP($A28,main!$A$3:$H$102,8,FALSE),VLOOKUP(O$1,main!$A$3:$H$102,4,FALSE),VLOOKUP(O$1,main!$A$3:$H$102,4,FALSE)+VLOOKUP($A28,main!$A$3:$H$102,4,FALSE)+(VLOOKUP(VLOOKUP(O$1,main!$A$3:$H$102,8,FALSE),main!$K$19:$O$22,MATCH(VLOOKUP($A28,main!$A$3:$H$102,7,FALSE),main!$K$18:$O$18,0),0))),0)</f>
        <v>0</v>
      </c>
      <c r="P28">
        <f>IF((gamma!P28),IF(VLOOKUP(P$1,main!$A$3:$H$102,7,FALSE)=VLOOKUP($A28,main!$A$3:$H$102,8,FALSE),VLOOKUP(P$1,main!$A$3:$H$102,4,FALSE),VLOOKUP(P$1,main!$A$3:$H$102,4,FALSE)+VLOOKUP($A28,main!$A$3:$H$102,4,FALSE)+(VLOOKUP(VLOOKUP(P$1,main!$A$3:$H$102,8,FALSE),main!$K$19:$O$22,MATCH(VLOOKUP($A28,main!$A$3:$H$102,7,FALSE),main!$K$18:$O$18,0),0))),0)</f>
        <v>310</v>
      </c>
      <c r="Q28">
        <f>IF((gamma!Q28),IF(VLOOKUP(Q$1,main!$A$3:$H$102,7,FALSE)=VLOOKUP($A28,main!$A$3:$H$102,8,FALSE),VLOOKUP(Q$1,main!$A$3:$H$102,4,FALSE),VLOOKUP(Q$1,main!$A$3:$H$102,4,FALSE)+VLOOKUP($A28,main!$A$3:$H$102,4,FALSE)+(VLOOKUP(VLOOKUP(Q$1,main!$A$3:$H$102,8,FALSE),main!$K$19:$O$22,MATCH(VLOOKUP($A28,main!$A$3:$H$102,7,FALSE),main!$K$18:$O$18,0),0))),0)</f>
        <v>310</v>
      </c>
      <c r="R28">
        <f>IF((gamma!R28),IF(VLOOKUP(R$1,main!$A$3:$H$102,7,FALSE)=VLOOKUP($A28,main!$A$3:$H$102,8,FALSE),VLOOKUP(R$1,main!$A$3:$H$102,4,FALSE),VLOOKUP(R$1,main!$A$3:$H$102,4,FALSE)+VLOOKUP($A28,main!$A$3:$H$102,4,FALSE)+(VLOOKUP(VLOOKUP(R$1,main!$A$3:$H$102,8,FALSE),main!$K$19:$O$22,MATCH(VLOOKUP($A28,main!$A$3:$H$102,7,FALSE),main!$K$18:$O$18,0),0))),0)</f>
        <v>310</v>
      </c>
      <c r="S28">
        <f>IF((gamma!S28),IF(VLOOKUP(S$1,main!$A$3:$H$102,7,FALSE)=VLOOKUP($A28,main!$A$3:$H$102,8,FALSE),VLOOKUP(S$1,main!$A$3:$H$102,4,FALSE),VLOOKUP(S$1,main!$A$3:$H$102,4,FALSE)+VLOOKUP($A28,main!$A$3:$H$102,4,FALSE)+(VLOOKUP(VLOOKUP(S$1,main!$A$3:$H$102,8,FALSE),main!$K$19:$O$22,MATCH(VLOOKUP($A28,main!$A$3:$H$102,7,FALSE),main!$K$18:$O$18,0),0))),0)</f>
        <v>310</v>
      </c>
      <c r="T28">
        <f>IF((gamma!T28),IF(VLOOKUP(T$1,main!$A$3:$H$102,7,FALSE)=VLOOKUP($A28,main!$A$3:$H$102,8,FALSE),VLOOKUP(T$1,main!$A$3:$H$102,4,FALSE),VLOOKUP(T$1,main!$A$3:$H$102,4,FALSE)+VLOOKUP($A28,main!$A$3:$H$102,4,FALSE)+(VLOOKUP(VLOOKUP(T$1,main!$A$3:$H$102,8,FALSE),main!$K$19:$O$22,MATCH(VLOOKUP($A28,main!$A$3:$H$102,7,FALSE),main!$K$18:$O$18,0),0))),0)</f>
        <v>310</v>
      </c>
      <c r="U28">
        <f>IF((gamma!U28),IF(VLOOKUP(U$1,main!$A$3:$H$102,7,FALSE)=VLOOKUP($A28,main!$A$3:$H$102,8,FALSE),VLOOKUP(U$1,main!$A$3:$H$102,4,FALSE),VLOOKUP(U$1,main!$A$3:$H$102,4,FALSE)+VLOOKUP($A28,main!$A$3:$H$102,4,FALSE)+(VLOOKUP(VLOOKUP(U$1,main!$A$3:$H$102,8,FALSE),main!$K$19:$O$22,MATCH(VLOOKUP($A28,main!$A$3:$H$102,7,FALSE),main!$K$18:$O$18,0),0))),0)</f>
        <v>310</v>
      </c>
      <c r="V28">
        <f>IF((gamma!V28),IF(VLOOKUP(V$1,main!$A$3:$H$102,7,FALSE)=VLOOKUP($A28,main!$A$3:$H$102,8,FALSE),VLOOKUP(V$1,main!$A$3:$H$102,4,FALSE),VLOOKUP(V$1,main!$A$3:$H$102,4,FALSE)+VLOOKUP($A28,main!$A$3:$H$102,4,FALSE)+(VLOOKUP(VLOOKUP(V$1,main!$A$3:$H$102,8,FALSE),main!$K$19:$O$22,MATCH(VLOOKUP($A28,main!$A$3:$H$102,7,FALSE),main!$K$18:$O$18,0),0))),0)</f>
        <v>310</v>
      </c>
      <c r="W28">
        <f>IF((gamma!W28),IF(VLOOKUP(W$1,main!$A$3:$H$102,7,FALSE)=VLOOKUP($A28,main!$A$3:$H$102,8,FALSE),VLOOKUP(W$1,main!$A$3:$H$102,4,FALSE),VLOOKUP(W$1,main!$A$3:$H$102,4,FALSE)+VLOOKUP($A28,main!$A$3:$H$102,4,FALSE)+(VLOOKUP(VLOOKUP(W$1,main!$A$3:$H$102,8,FALSE),main!$K$19:$O$22,MATCH(VLOOKUP($A28,main!$A$3:$H$102,7,FALSE),main!$K$18:$O$18,0),0))),0)</f>
        <v>0</v>
      </c>
      <c r="X28">
        <f>IF((gamma!X28),IF(VLOOKUP(X$1,main!$A$3:$H$102,7,FALSE)=VLOOKUP($A28,main!$A$3:$H$102,8,FALSE),VLOOKUP(X$1,main!$A$3:$H$102,4,FALSE),VLOOKUP(X$1,main!$A$3:$H$102,4,FALSE)+VLOOKUP($A28,main!$A$3:$H$102,4,FALSE)+(VLOOKUP(VLOOKUP(X$1,main!$A$3:$H$102,8,FALSE),main!$K$19:$O$22,MATCH(VLOOKUP($A28,main!$A$3:$H$102,7,FALSE),main!$K$18:$O$18,0),0))),0)</f>
        <v>0</v>
      </c>
      <c r="Y28">
        <f>IF((gamma!Y28),IF(VLOOKUP(Y$1,main!$A$3:$H$102,7,FALSE)=VLOOKUP($A28,main!$A$3:$H$102,8,FALSE),VLOOKUP(Y$1,main!$A$3:$H$102,4,FALSE),VLOOKUP(Y$1,main!$A$3:$H$102,4,FALSE)+VLOOKUP($A28,main!$A$3:$H$102,4,FALSE)+(VLOOKUP(VLOOKUP(Y$1,main!$A$3:$H$102,8,FALSE),main!$K$19:$O$22,MATCH(VLOOKUP($A28,main!$A$3:$H$102,7,FALSE),main!$K$18:$O$18,0),0))),0)</f>
        <v>310</v>
      </c>
      <c r="Z28">
        <f>IF((gamma!Z28),IF(VLOOKUP(Z$1,main!$A$3:$H$102,7,FALSE)=VLOOKUP($A28,main!$A$3:$H$102,8,FALSE),VLOOKUP(Z$1,main!$A$3:$H$102,4,FALSE),VLOOKUP(Z$1,main!$A$3:$H$102,4,FALSE)+VLOOKUP($A28,main!$A$3:$H$102,4,FALSE)+(VLOOKUP(VLOOKUP(Z$1,main!$A$3:$H$102,8,FALSE),main!$K$19:$O$22,MATCH(VLOOKUP($A28,main!$A$3:$H$102,7,FALSE),main!$K$18:$O$18,0),0))),0)</f>
        <v>315</v>
      </c>
      <c r="AA28">
        <f>IF((gamma!AA28),IF(VLOOKUP(AA$1,main!$A$3:$H$102,7,FALSE)=VLOOKUP($A28,main!$A$3:$H$102,8,FALSE),VLOOKUP(AA$1,main!$A$3:$H$102,4,FALSE),VLOOKUP(AA$1,main!$A$3:$H$102,4,FALSE)+VLOOKUP($A28,main!$A$3:$H$102,4,FALSE)+(VLOOKUP(VLOOKUP(AA$1,main!$A$3:$H$102,8,FALSE),main!$K$19:$O$22,MATCH(VLOOKUP($A28,main!$A$3:$H$102,7,FALSE),main!$K$18:$O$18,0),0))),0)</f>
        <v>315</v>
      </c>
      <c r="AB28">
        <f>IF((gamma!AB28),IF(VLOOKUP(AB$1,main!$A$3:$H$102,7,FALSE)=VLOOKUP($A28,main!$A$3:$H$102,8,FALSE),VLOOKUP(AB$1,main!$A$3:$H$102,4,FALSE),VLOOKUP(AB$1,main!$A$3:$H$102,4,FALSE)+VLOOKUP($A28,main!$A$3:$H$102,4,FALSE)+(VLOOKUP(VLOOKUP(AB$1,main!$A$3:$H$102,8,FALSE),main!$K$19:$O$22,MATCH(VLOOKUP($A28,main!$A$3:$H$102,7,FALSE),main!$K$18:$O$18,0),0))),0)</f>
        <v>0</v>
      </c>
      <c r="AC28">
        <f>IF((gamma!AC28),IF(VLOOKUP(AC$1,main!$A$3:$H$102,7,FALSE)=VLOOKUP($A28,main!$A$3:$H$102,8,FALSE),VLOOKUP(AC$1,main!$A$3:$H$102,4,FALSE),VLOOKUP(AC$1,main!$A$3:$H$102,4,FALSE)+VLOOKUP($A28,main!$A$3:$H$102,4,FALSE)+(VLOOKUP(VLOOKUP(AC$1,main!$A$3:$H$102,8,FALSE),main!$K$19:$O$22,MATCH(VLOOKUP($A28,main!$A$3:$H$102,7,FALSE),main!$K$18:$O$18,0),0))),0)</f>
        <v>0</v>
      </c>
      <c r="AD28">
        <f>IF((gamma!AD28),IF(VLOOKUP(AD$1,main!$A$3:$H$102,7,FALSE)=VLOOKUP($A28,main!$A$3:$H$102,8,FALSE),VLOOKUP(AD$1,main!$A$3:$H$102,4,FALSE),VLOOKUP(AD$1,main!$A$3:$H$102,4,FALSE)+VLOOKUP($A28,main!$A$3:$H$102,4,FALSE)+(VLOOKUP(VLOOKUP(AD$1,main!$A$3:$H$102,8,FALSE),main!$K$19:$O$22,MATCH(VLOOKUP($A28,main!$A$3:$H$102,7,FALSE),main!$K$18:$O$18,0),0))),0)</f>
        <v>310</v>
      </c>
      <c r="AE28">
        <f>IF((gamma!AE28),IF(VLOOKUP(AE$1,main!$A$3:$H$102,7,FALSE)=VLOOKUP($A28,main!$A$3:$H$102,8,FALSE),VLOOKUP(AE$1,main!$A$3:$H$102,4,FALSE),VLOOKUP(AE$1,main!$A$3:$H$102,4,FALSE)+VLOOKUP($A28,main!$A$3:$H$102,4,FALSE)+(VLOOKUP(VLOOKUP(AE$1,main!$A$3:$H$102,8,FALSE),main!$K$19:$O$22,MATCH(VLOOKUP($A28,main!$A$3:$H$102,7,FALSE),main!$K$18:$O$18,0),0))),0)</f>
        <v>315</v>
      </c>
      <c r="AF28">
        <f>IF((gamma!AF28),IF(VLOOKUP(AF$1,main!$A$3:$H$102,7,FALSE)=VLOOKUP($A28,main!$A$3:$H$102,8,FALSE),VLOOKUP(AF$1,main!$A$3:$H$102,4,FALSE),VLOOKUP(AF$1,main!$A$3:$H$102,4,FALSE)+VLOOKUP($A28,main!$A$3:$H$102,4,FALSE)+(VLOOKUP(VLOOKUP(AF$1,main!$A$3:$H$102,8,FALSE),main!$K$19:$O$22,MATCH(VLOOKUP($A28,main!$A$3:$H$102,7,FALSE),main!$K$18:$O$18,0),0))),0)</f>
        <v>275</v>
      </c>
      <c r="AG28">
        <f>IF((gamma!AG28),IF(VLOOKUP(AG$1,main!$A$3:$H$102,7,FALSE)=VLOOKUP($A28,main!$A$3:$H$102,8,FALSE),VLOOKUP(AG$1,main!$A$3:$H$102,4,FALSE),VLOOKUP(AG$1,main!$A$3:$H$102,4,FALSE)+VLOOKUP($A28,main!$A$3:$H$102,4,FALSE)+(VLOOKUP(VLOOKUP(AG$1,main!$A$3:$H$102,8,FALSE),main!$K$19:$O$22,MATCH(VLOOKUP($A28,main!$A$3:$H$102,7,FALSE),main!$K$18:$O$18,0),0))),0)</f>
        <v>0</v>
      </c>
      <c r="AH28">
        <f>IF((gamma!AH28),IF(VLOOKUP(AH$1,main!$A$3:$H$102,7,FALSE)=VLOOKUP($A28,main!$A$3:$H$102,8,FALSE),VLOOKUP(AH$1,main!$A$3:$H$102,4,FALSE),VLOOKUP(AH$1,main!$A$3:$H$102,4,FALSE)+VLOOKUP($A28,main!$A$3:$H$102,4,FALSE)+(VLOOKUP(VLOOKUP(AH$1,main!$A$3:$H$102,8,FALSE),main!$K$19:$O$22,MATCH(VLOOKUP($A28,main!$A$3:$H$102,7,FALSE),main!$K$18:$O$18,0),0))),0)</f>
        <v>0</v>
      </c>
      <c r="AI28">
        <f>IF((gamma!AI28),IF(VLOOKUP(AI$1,main!$A$3:$H$102,7,FALSE)=VLOOKUP($A28,main!$A$3:$H$102,8,FALSE),VLOOKUP(AI$1,main!$A$3:$H$102,4,FALSE),VLOOKUP(AI$1,main!$A$3:$H$102,4,FALSE)+VLOOKUP($A28,main!$A$3:$H$102,4,FALSE)+(VLOOKUP(VLOOKUP(AI$1,main!$A$3:$H$102,8,FALSE),main!$K$19:$O$22,MATCH(VLOOKUP($A28,main!$A$3:$H$102,7,FALSE),main!$K$18:$O$18,0),0))),0)</f>
        <v>275</v>
      </c>
      <c r="AJ28">
        <f>IF((gamma!AJ28),IF(VLOOKUP(AJ$1,main!$A$3:$H$102,7,FALSE)=VLOOKUP($A28,main!$A$3:$H$102,8,FALSE),VLOOKUP(AJ$1,main!$A$3:$H$102,4,FALSE),VLOOKUP(AJ$1,main!$A$3:$H$102,4,FALSE)+VLOOKUP($A28,main!$A$3:$H$102,4,FALSE)+(VLOOKUP(VLOOKUP(AJ$1,main!$A$3:$H$102,8,FALSE),main!$K$19:$O$22,MATCH(VLOOKUP($A28,main!$A$3:$H$102,7,FALSE),main!$K$18:$O$18,0),0))),0)</f>
        <v>275</v>
      </c>
      <c r="AK28">
        <f>IF((gamma!AK28),IF(VLOOKUP(AK$1,main!$A$3:$H$102,7,FALSE)=VLOOKUP($A28,main!$A$3:$H$102,8,FALSE),VLOOKUP(AK$1,main!$A$3:$H$102,4,FALSE),VLOOKUP(AK$1,main!$A$3:$H$102,4,FALSE)+VLOOKUP($A28,main!$A$3:$H$102,4,FALSE)+(VLOOKUP(VLOOKUP(AK$1,main!$A$3:$H$102,8,FALSE),main!$K$19:$O$22,MATCH(VLOOKUP($A28,main!$A$3:$H$102,7,FALSE),main!$K$18:$O$18,0),0))),0)</f>
        <v>275</v>
      </c>
      <c r="AL28">
        <f>IF((gamma!AL28),IF(VLOOKUP(AL$1,main!$A$3:$H$102,7,FALSE)=VLOOKUP($A28,main!$A$3:$H$102,8,FALSE),VLOOKUP(AL$1,main!$A$3:$H$102,4,FALSE),VLOOKUP(AL$1,main!$A$3:$H$102,4,FALSE)+VLOOKUP($A28,main!$A$3:$H$102,4,FALSE)+(VLOOKUP(VLOOKUP(AL$1,main!$A$3:$H$102,8,FALSE),main!$K$19:$O$22,MATCH(VLOOKUP($A28,main!$A$3:$H$102,7,FALSE),main!$K$18:$O$18,0),0))),0)</f>
        <v>275</v>
      </c>
      <c r="AM28">
        <f>IF((gamma!AM28),IF(VLOOKUP(AM$1,main!$A$3:$H$102,7,FALSE)=VLOOKUP($A28,main!$A$3:$H$102,8,FALSE),VLOOKUP(AM$1,main!$A$3:$H$102,4,FALSE),VLOOKUP(AM$1,main!$A$3:$H$102,4,FALSE)+VLOOKUP($A28,main!$A$3:$H$102,4,FALSE)+(VLOOKUP(VLOOKUP(AM$1,main!$A$3:$H$102,8,FALSE),main!$K$19:$O$22,MATCH(VLOOKUP($A28,main!$A$3:$H$102,7,FALSE),main!$K$18:$O$18,0),0))),0)</f>
        <v>275</v>
      </c>
      <c r="AN28">
        <f>IF((gamma!AN28),IF(VLOOKUP(AN$1,main!$A$3:$H$102,7,FALSE)=VLOOKUP($A28,main!$A$3:$H$102,8,FALSE),VLOOKUP(AN$1,main!$A$3:$H$102,4,FALSE),VLOOKUP(AN$1,main!$A$3:$H$102,4,FALSE)+VLOOKUP($A28,main!$A$3:$H$102,4,FALSE)+(VLOOKUP(VLOOKUP(AN$1,main!$A$3:$H$102,8,FALSE),main!$K$19:$O$22,MATCH(VLOOKUP($A28,main!$A$3:$H$102,7,FALSE),main!$K$18:$O$18,0),0))),0)</f>
        <v>275</v>
      </c>
      <c r="AO28">
        <f>IF((gamma!AO28),IF(VLOOKUP(AO$1,main!$A$3:$H$102,7,FALSE)=VLOOKUP($A28,main!$A$3:$H$102,8,FALSE),VLOOKUP(AO$1,main!$A$3:$H$102,4,FALSE),VLOOKUP(AO$1,main!$A$3:$H$102,4,FALSE)+VLOOKUP($A28,main!$A$3:$H$102,4,FALSE)+(VLOOKUP(VLOOKUP(AO$1,main!$A$3:$H$102,8,FALSE),main!$K$19:$O$22,MATCH(VLOOKUP($A28,main!$A$3:$H$102,7,FALSE),main!$K$18:$O$18,0),0))),0)</f>
        <v>0</v>
      </c>
      <c r="AP28">
        <f>IF((gamma!AP28),IF(VLOOKUP(AP$1,main!$A$3:$H$102,7,FALSE)=VLOOKUP($A28,main!$A$3:$H$102,8,FALSE),VLOOKUP(AP$1,main!$A$3:$H$102,4,FALSE),VLOOKUP(AP$1,main!$A$3:$H$102,4,FALSE)+VLOOKUP($A28,main!$A$3:$H$102,4,FALSE)+(VLOOKUP(VLOOKUP(AP$1,main!$A$3:$H$102,8,FALSE),main!$K$19:$O$22,MATCH(VLOOKUP($A28,main!$A$3:$H$102,7,FALSE),main!$K$18:$O$18,0),0))),0)</f>
        <v>215</v>
      </c>
      <c r="AQ28">
        <f>IF((gamma!AQ28),IF(VLOOKUP(AQ$1,main!$A$3:$H$102,7,FALSE)=VLOOKUP($A28,main!$A$3:$H$102,8,FALSE),VLOOKUP(AQ$1,main!$A$3:$H$102,4,FALSE),VLOOKUP(AQ$1,main!$A$3:$H$102,4,FALSE)+VLOOKUP($A28,main!$A$3:$H$102,4,FALSE)+(VLOOKUP(VLOOKUP(AQ$1,main!$A$3:$H$102,8,FALSE),main!$K$19:$O$22,MATCH(VLOOKUP($A28,main!$A$3:$H$102,7,FALSE),main!$K$18:$O$18,0),0))),0)</f>
        <v>0</v>
      </c>
      <c r="AR28">
        <f>IF((gamma!AR28),IF(VLOOKUP(AR$1,main!$A$3:$H$102,7,FALSE)=VLOOKUP($A28,main!$A$3:$H$102,8,FALSE),VLOOKUP(AR$1,main!$A$3:$H$102,4,FALSE),VLOOKUP(AR$1,main!$A$3:$H$102,4,FALSE)+VLOOKUP($A28,main!$A$3:$H$102,4,FALSE)+(VLOOKUP(VLOOKUP(AR$1,main!$A$3:$H$102,8,FALSE),main!$K$19:$O$22,MATCH(VLOOKUP($A28,main!$A$3:$H$102,7,FALSE),main!$K$18:$O$18,0),0))),0)</f>
        <v>0</v>
      </c>
      <c r="AS28">
        <f>IF((gamma!AS28),IF(VLOOKUP(AS$1,main!$A$3:$H$102,7,FALSE)=VLOOKUP($A28,main!$A$3:$H$102,8,FALSE),VLOOKUP(AS$1,main!$A$3:$H$102,4,FALSE),VLOOKUP(AS$1,main!$A$3:$H$102,4,FALSE)+VLOOKUP($A28,main!$A$3:$H$102,4,FALSE)+(VLOOKUP(VLOOKUP(AS$1,main!$A$3:$H$102,8,FALSE),main!$K$19:$O$22,MATCH(VLOOKUP($A28,main!$A$3:$H$102,7,FALSE),main!$K$18:$O$18,0),0))),0)</f>
        <v>290</v>
      </c>
      <c r="AT28">
        <f>IF((gamma!AT28),IF(VLOOKUP(AT$1,main!$A$3:$H$102,7,FALSE)=VLOOKUP($A28,main!$A$3:$H$102,8,FALSE),VLOOKUP(AT$1,main!$A$3:$H$102,4,FALSE),VLOOKUP(AT$1,main!$A$3:$H$102,4,FALSE)+VLOOKUP($A28,main!$A$3:$H$102,4,FALSE)+(VLOOKUP(VLOOKUP(AT$1,main!$A$3:$H$102,8,FALSE),main!$K$19:$O$22,MATCH(VLOOKUP($A28,main!$A$3:$H$102,7,FALSE),main!$K$18:$O$18,0),0))),0)</f>
        <v>300</v>
      </c>
      <c r="AU28">
        <f>IF((gamma!AU28),IF(VLOOKUP(AU$1,main!$A$3:$H$102,7,FALSE)=VLOOKUP($A28,main!$A$3:$H$102,8,FALSE),VLOOKUP(AU$1,main!$A$3:$H$102,4,FALSE),VLOOKUP(AU$1,main!$A$3:$H$102,4,FALSE)+VLOOKUP($A28,main!$A$3:$H$102,4,FALSE)+(VLOOKUP(VLOOKUP(AU$1,main!$A$3:$H$102,8,FALSE),main!$K$19:$O$22,MATCH(VLOOKUP($A28,main!$A$3:$H$102,7,FALSE),main!$K$18:$O$18,0),0))),0)</f>
        <v>0</v>
      </c>
      <c r="AV28">
        <f>IF((gamma!AV28),IF(VLOOKUP(AV$1,main!$A$3:$H$102,7,FALSE)=VLOOKUP($A28,main!$A$3:$H$102,8,FALSE),VLOOKUP(AV$1,main!$A$3:$H$102,4,FALSE),VLOOKUP(AV$1,main!$A$3:$H$102,4,FALSE)+VLOOKUP($A28,main!$A$3:$H$102,4,FALSE)+(VLOOKUP(VLOOKUP(AV$1,main!$A$3:$H$102,8,FALSE),main!$K$19:$O$22,MATCH(VLOOKUP($A28,main!$A$3:$H$102,7,FALSE),main!$K$18:$O$18,0),0))),0)</f>
        <v>0</v>
      </c>
      <c r="AW28">
        <f>IF((gamma!AW28),IF(VLOOKUP(AW$1,main!$A$3:$H$102,7,FALSE)=VLOOKUP($A28,main!$A$3:$H$102,8,FALSE),VLOOKUP(AW$1,main!$A$3:$H$102,4,FALSE),VLOOKUP(AW$1,main!$A$3:$H$102,4,FALSE)+VLOOKUP($A28,main!$A$3:$H$102,4,FALSE)+(VLOOKUP(VLOOKUP(AW$1,main!$A$3:$H$102,8,FALSE),main!$K$19:$O$22,MATCH(VLOOKUP($A28,main!$A$3:$H$102,7,FALSE),main!$K$18:$O$18,0),0))),0)</f>
        <v>290</v>
      </c>
      <c r="AX28">
        <f>IF((gamma!AX28),IF(VLOOKUP(AX$1,main!$A$3:$H$102,7,FALSE)=VLOOKUP($A28,main!$A$3:$H$102,8,FALSE),VLOOKUP(AX$1,main!$A$3:$H$102,4,FALSE),VLOOKUP(AX$1,main!$A$3:$H$102,4,FALSE)+VLOOKUP($A28,main!$A$3:$H$102,4,FALSE)+(VLOOKUP(VLOOKUP(AX$1,main!$A$3:$H$102,8,FALSE),main!$K$19:$O$22,MATCH(VLOOKUP($A28,main!$A$3:$H$102,7,FALSE),main!$K$18:$O$18,0),0))),0)</f>
        <v>275</v>
      </c>
      <c r="AY28">
        <f>IF((gamma!AY28),IF(VLOOKUP(AY$1,main!$A$3:$H$102,7,FALSE)=VLOOKUP($A28,main!$A$3:$H$102,8,FALSE),VLOOKUP(AY$1,main!$A$3:$H$102,4,FALSE),VLOOKUP(AY$1,main!$A$3:$H$102,4,FALSE)+VLOOKUP($A28,main!$A$3:$H$102,4,FALSE)+(VLOOKUP(VLOOKUP(AY$1,main!$A$3:$H$102,8,FALSE),main!$K$19:$O$22,MATCH(VLOOKUP($A28,main!$A$3:$H$102,7,FALSE),main!$K$18:$O$18,0),0))),0)</f>
        <v>0</v>
      </c>
      <c r="AZ28">
        <f>IF((gamma!AZ28),IF(VLOOKUP(AZ$1,main!$A$3:$H$102,7,FALSE)=VLOOKUP($A28,main!$A$3:$H$102,8,FALSE),VLOOKUP(AZ$1,main!$A$3:$H$102,4,FALSE),VLOOKUP(AZ$1,main!$A$3:$H$102,4,FALSE)+VLOOKUP($A28,main!$A$3:$H$102,4,FALSE)+(VLOOKUP(VLOOKUP(AZ$1,main!$A$3:$H$102,8,FALSE),main!$K$19:$O$22,MATCH(VLOOKUP($A28,main!$A$3:$H$102,7,FALSE),main!$K$18:$O$18,0),0))),0)</f>
        <v>305</v>
      </c>
      <c r="BA28">
        <f>IF((gamma!BA28),IF(VLOOKUP(BA$1,main!$A$3:$H$102,7,FALSE)=VLOOKUP($A28,main!$A$3:$H$102,8,FALSE),VLOOKUP(BA$1,main!$A$3:$H$102,4,FALSE),VLOOKUP(BA$1,main!$A$3:$H$102,4,FALSE)+VLOOKUP($A28,main!$A$3:$H$102,4,FALSE)+(VLOOKUP(VLOOKUP(BA$1,main!$A$3:$H$102,8,FALSE),main!$K$19:$O$22,MATCH(VLOOKUP($A28,main!$A$3:$H$102,7,FALSE),main!$K$18:$O$18,0),0))),0)</f>
        <v>0</v>
      </c>
      <c r="BB28">
        <f>IF((gamma!BB28),IF(VLOOKUP(BB$1,main!$A$3:$H$102,7,FALSE)=VLOOKUP($A28,main!$A$3:$H$102,8,FALSE),VLOOKUP(BB$1,main!$A$3:$H$102,4,FALSE),VLOOKUP(BB$1,main!$A$3:$H$102,4,FALSE)+VLOOKUP($A28,main!$A$3:$H$102,4,FALSE)+(VLOOKUP(VLOOKUP(BB$1,main!$A$3:$H$102,8,FALSE),main!$K$19:$O$22,MATCH(VLOOKUP($A28,main!$A$3:$H$102,7,FALSE),main!$K$18:$O$18,0),0))),0)</f>
        <v>280</v>
      </c>
      <c r="BC28">
        <f>IF((gamma!BC28),IF(VLOOKUP(BC$1,main!$A$3:$H$102,7,FALSE)=VLOOKUP($A28,main!$A$3:$H$102,8,FALSE),VLOOKUP(BC$1,main!$A$3:$H$102,4,FALSE),VLOOKUP(BC$1,main!$A$3:$H$102,4,FALSE)+VLOOKUP($A28,main!$A$3:$H$102,4,FALSE)+(VLOOKUP(VLOOKUP(BC$1,main!$A$3:$H$102,8,FALSE),main!$K$19:$O$22,MATCH(VLOOKUP($A28,main!$A$3:$H$102,7,FALSE),main!$K$18:$O$18,0),0))),0)</f>
        <v>280</v>
      </c>
      <c r="BD28">
        <f>IF((gamma!BD28),IF(VLOOKUP(BD$1,main!$A$3:$H$102,7,FALSE)=VLOOKUP($A28,main!$A$3:$H$102,8,FALSE),VLOOKUP(BD$1,main!$A$3:$H$102,4,FALSE),VLOOKUP(BD$1,main!$A$3:$H$102,4,FALSE)+VLOOKUP($A28,main!$A$3:$H$102,4,FALSE)+(VLOOKUP(VLOOKUP(BD$1,main!$A$3:$H$102,8,FALSE),main!$K$19:$O$22,MATCH(VLOOKUP($A28,main!$A$3:$H$102,7,FALSE),main!$K$18:$O$18,0),0))),0)</f>
        <v>280</v>
      </c>
      <c r="BE28">
        <f>IF((gamma!BE28),IF(VLOOKUP(BE$1,main!$A$3:$H$102,7,FALSE)=VLOOKUP($A28,main!$A$3:$H$102,8,FALSE),VLOOKUP(BE$1,main!$A$3:$H$102,4,FALSE),VLOOKUP(BE$1,main!$A$3:$H$102,4,FALSE)+VLOOKUP($A28,main!$A$3:$H$102,4,FALSE)+(VLOOKUP(VLOOKUP(BE$1,main!$A$3:$H$102,8,FALSE),main!$K$19:$O$22,MATCH(VLOOKUP($A28,main!$A$3:$H$102,7,FALSE),main!$K$18:$O$18,0),0))),0)</f>
        <v>280</v>
      </c>
      <c r="BF28">
        <f>IF((gamma!BF28),IF(VLOOKUP(BF$1,main!$A$3:$H$102,7,FALSE)=VLOOKUP($A28,main!$A$3:$H$102,8,FALSE),VLOOKUP(BF$1,main!$A$3:$H$102,4,FALSE),VLOOKUP(BF$1,main!$A$3:$H$102,4,FALSE)+VLOOKUP($A28,main!$A$3:$H$102,4,FALSE)+(VLOOKUP(VLOOKUP(BF$1,main!$A$3:$H$102,8,FALSE),main!$K$19:$O$22,MATCH(VLOOKUP($A28,main!$A$3:$H$102,7,FALSE),main!$K$18:$O$18,0),0))),0)</f>
        <v>0</v>
      </c>
      <c r="BG28">
        <f>IF((gamma!BG28),IF(VLOOKUP(BG$1,main!$A$3:$H$102,7,FALSE)=VLOOKUP($A28,main!$A$3:$H$102,8,FALSE),VLOOKUP(BG$1,main!$A$3:$H$102,4,FALSE),VLOOKUP(BG$1,main!$A$3:$H$102,4,FALSE)+VLOOKUP($A28,main!$A$3:$H$102,4,FALSE)+(VLOOKUP(VLOOKUP(BG$1,main!$A$3:$H$102,8,FALSE),main!$K$19:$O$22,MATCH(VLOOKUP($A28,main!$A$3:$H$102,7,FALSE),main!$K$18:$O$18,0),0))),0)</f>
        <v>0</v>
      </c>
      <c r="BH28">
        <f>IF((gamma!BH28),IF(VLOOKUP(BH$1,main!$A$3:$H$102,7,FALSE)=VLOOKUP($A28,main!$A$3:$H$102,8,FALSE),VLOOKUP(BH$1,main!$A$3:$H$102,4,FALSE),VLOOKUP(BH$1,main!$A$3:$H$102,4,FALSE)+VLOOKUP($A28,main!$A$3:$H$102,4,FALSE)+(VLOOKUP(VLOOKUP(BH$1,main!$A$3:$H$102,8,FALSE),main!$K$19:$O$22,MATCH(VLOOKUP($A28,main!$A$3:$H$102,7,FALSE),main!$K$18:$O$18,0),0))),0)</f>
        <v>265</v>
      </c>
      <c r="BI28">
        <f>IF((gamma!BI28),IF(VLOOKUP(BI$1,main!$A$3:$H$102,7,FALSE)=VLOOKUP($A28,main!$A$3:$H$102,8,FALSE),VLOOKUP(BI$1,main!$A$3:$H$102,4,FALSE),VLOOKUP(BI$1,main!$A$3:$H$102,4,FALSE)+VLOOKUP($A28,main!$A$3:$H$102,4,FALSE)+(VLOOKUP(VLOOKUP(BI$1,main!$A$3:$H$102,8,FALSE),main!$K$19:$O$22,MATCH(VLOOKUP($A28,main!$A$3:$H$102,7,FALSE),main!$K$18:$O$18,0),0))),0)</f>
        <v>200</v>
      </c>
      <c r="BJ28">
        <f>IF((gamma!BJ28),IF(VLOOKUP(BJ$1,main!$A$3:$H$102,7,FALSE)=VLOOKUP($A28,main!$A$3:$H$102,8,FALSE),VLOOKUP(BJ$1,main!$A$3:$H$102,4,FALSE),VLOOKUP(BJ$1,main!$A$3:$H$102,4,FALSE)+VLOOKUP($A28,main!$A$3:$H$102,4,FALSE)+(VLOOKUP(VLOOKUP(BJ$1,main!$A$3:$H$102,8,FALSE),main!$K$19:$O$22,MATCH(VLOOKUP($A28,main!$A$3:$H$102,7,FALSE),main!$K$18:$O$18,0),0))),0)</f>
        <v>230</v>
      </c>
      <c r="BK28">
        <f>IF((gamma!BK28),IF(VLOOKUP(BK$1,main!$A$3:$H$102,7,FALSE)=VLOOKUP($A28,main!$A$3:$H$102,8,FALSE),VLOOKUP(BK$1,main!$A$3:$H$102,4,FALSE),VLOOKUP(BK$1,main!$A$3:$H$102,4,FALSE)+VLOOKUP($A28,main!$A$3:$H$102,4,FALSE)+(VLOOKUP(VLOOKUP(BK$1,main!$A$3:$H$102,8,FALSE),main!$K$19:$O$22,MATCH(VLOOKUP($A28,main!$A$3:$H$102,7,FALSE),main!$K$18:$O$18,0),0))),0)</f>
        <v>0</v>
      </c>
      <c r="BL28">
        <f>IF((gamma!BL28),IF(VLOOKUP(BL$1,main!$A$3:$H$102,7,FALSE)=VLOOKUP($A28,main!$A$3:$H$102,8,FALSE),VLOOKUP(BL$1,main!$A$3:$H$102,4,FALSE),VLOOKUP(BL$1,main!$A$3:$H$102,4,FALSE)+VLOOKUP($A28,main!$A$3:$H$102,4,FALSE)+(VLOOKUP(VLOOKUP(BL$1,main!$A$3:$H$102,8,FALSE),main!$K$19:$O$22,MATCH(VLOOKUP($A28,main!$A$3:$H$102,7,FALSE),main!$K$18:$O$18,0),0))),0)</f>
        <v>0</v>
      </c>
      <c r="BM28">
        <f>IF((gamma!BM28),IF(VLOOKUP(BM$1,main!$A$3:$H$102,7,FALSE)=VLOOKUP($A28,main!$A$3:$H$102,8,FALSE),VLOOKUP(BM$1,main!$A$3:$H$102,4,FALSE),VLOOKUP(BM$1,main!$A$3:$H$102,4,FALSE)+VLOOKUP($A28,main!$A$3:$H$102,4,FALSE)+(VLOOKUP(VLOOKUP(BM$1,main!$A$3:$H$102,8,FALSE),main!$K$19:$O$22,MATCH(VLOOKUP($A28,main!$A$3:$H$102,7,FALSE),main!$K$18:$O$18,0),0))),0)</f>
        <v>0</v>
      </c>
      <c r="BN28">
        <f>IF((gamma!BN28),IF(VLOOKUP(BN$1,main!$A$3:$H$102,7,FALSE)=VLOOKUP($A28,main!$A$3:$H$102,8,FALSE),VLOOKUP(BN$1,main!$A$3:$H$102,4,FALSE),VLOOKUP(BN$1,main!$A$3:$H$102,4,FALSE)+VLOOKUP($A28,main!$A$3:$H$102,4,FALSE)+(VLOOKUP(VLOOKUP(BN$1,main!$A$3:$H$102,8,FALSE),main!$K$19:$O$22,MATCH(VLOOKUP($A28,main!$A$3:$H$102,7,FALSE),main!$K$18:$O$18,0),0))),0)</f>
        <v>285</v>
      </c>
      <c r="BO28">
        <f>IF((gamma!BO28),IF(VLOOKUP(BO$1,main!$A$3:$H$102,7,FALSE)=VLOOKUP($A28,main!$A$3:$H$102,8,FALSE),VLOOKUP(BO$1,main!$A$3:$H$102,4,FALSE),VLOOKUP(BO$1,main!$A$3:$H$102,4,FALSE)+VLOOKUP($A28,main!$A$3:$H$102,4,FALSE)+(VLOOKUP(VLOOKUP(BO$1,main!$A$3:$H$102,8,FALSE),main!$K$19:$O$22,MATCH(VLOOKUP($A28,main!$A$3:$H$102,7,FALSE),main!$K$18:$O$18,0),0))),0)</f>
        <v>0</v>
      </c>
      <c r="BP28">
        <f>IF((gamma!BP28),IF(VLOOKUP(BP$1,main!$A$3:$H$102,7,FALSE)=VLOOKUP($A28,main!$A$3:$H$102,8,FALSE),VLOOKUP(BP$1,main!$A$3:$H$102,4,FALSE),VLOOKUP(BP$1,main!$A$3:$H$102,4,FALSE)+VLOOKUP($A28,main!$A$3:$H$102,4,FALSE)+(VLOOKUP(VLOOKUP(BP$1,main!$A$3:$H$102,8,FALSE),main!$K$19:$O$22,MATCH(VLOOKUP($A28,main!$A$3:$H$102,7,FALSE),main!$K$18:$O$18,0),0))),0)</f>
        <v>0</v>
      </c>
      <c r="BQ28">
        <f>IF((gamma!BQ28),IF(VLOOKUP(BQ$1,main!$A$3:$H$102,7,FALSE)=VLOOKUP($A28,main!$A$3:$H$102,8,FALSE),VLOOKUP(BQ$1,main!$A$3:$H$102,4,FALSE),VLOOKUP(BQ$1,main!$A$3:$H$102,4,FALSE)+VLOOKUP($A28,main!$A$3:$H$102,4,FALSE)+(VLOOKUP(VLOOKUP(BQ$1,main!$A$3:$H$102,8,FALSE),main!$K$19:$O$22,MATCH(VLOOKUP($A28,main!$A$3:$H$102,7,FALSE),main!$K$18:$O$18,0),0))),0)</f>
        <v>305</v>
      </c>
      <c r="BR28">
        <f>IF((gamma!BR28),IF(VLOOKUP(BR$1,main!$A$3:$H$102,7,FALSE)=VLOOKUP($A28,main!$A$3:$H$102,8,FALSE),VLOOKUP(BR$1,main!$A$3:$H$102,4,FALSE),VLOOKUP(BR$1,main!$A$3:$H$102,4,FALSE)+VLOOKUP($A28,main!$A$3:$H$102,4,FALSE)+(VLOOKUP(VLOOKUP(BR$1,main!$A$3:$H$102,8,FALSE),main!$K$19:$O$22,MATCH(VLOOKUP($A28,main!$A$3:$H$102,7,FALSE),main!$K$18:$O$18,0),0))),0)</f>
        <v>265</v>
      </c>
      <c r="BS28">
        <f>IF((gamma!BS28),IF(VLOOKUP(BS$1,main!$A$3:$H$102,7,FALSE)=VLOOKUP($A28,main!$A$3:$H$102,8,FALSE),VLOOKUP(BS$1,main!$A$3:$H$102,4,FALSE),VLOOKUP(BS$1,main!$A$3:$H$102,4,FALSE)+VLOOKUP($A28,main!$A$3:$H$102,4,FALSE)+(VLOOKUP(VLOOKUP(BS$1,main!$A$3:$H$102,8,FALSE),main!$K$19:$O$22,MATCH(VLOOKUP($A28,main!$A$3:$H$102,7,FALSE),main!$K$18:$O$18,0),0))),0)</f>
        <v>266</v>
      </c>
      <c r="BT28">
        <f>IF((gamma!BT28),IF(VLOOKUP(BT$1,main!$A$3:$H$102,7,FALSE)=VLOOKUP($A28,main!$A$3:$H$102,8,FALSE),VLOOKUP(BT$1,main!$A$3:$H$102,4,FALSE),VLOOKUP(BT$1,main!$A$3:$H$102,4,FALSE)+VLOOKUP($A28,main!$A$3:$H$102,4,FALSE)+(VLOOKUP(VLOOKUP(BT$1,main!$A$3:$H$102,8,FALSE),main!$K$19:$O$22,MATCH(VLOOKUP($A28,main!$A$3:$H$102,7,FALSE),main!$K$18:$O$18,0),0))),0)</f>
        <v>285</v>
      </c>
      <c r="BU28">
        <f>IF((gamma!BU28),IF(VLOOKUP(BU$1,main!$A$3:$H$102,7,FALSE)=VLOOKUP($A28,main!$A$3:$H$102,8,FALSE),VLOOKUP(BU$1,main!$A$3:$H$102,4,FALSE),VLOOKUP(BU$1,main!$A$3:$H$102,4,FALSE)+VLOOKUP($A28,main!$A$3:$H$102,4,FALSE)+(VLOOKUP(VLOOKUP(BU$1,main!$A$3:$H$102,8,FALSE),main!$K$19:$O$22,MATCH(VLOOKUP($A28,main!$A$3:$H$102,7,FALSE),main!$K$18:$O$18,0),0))),0)</f>
        <v>0</v>
      </c>
      <c r="BV28">
        <f>IF((gamma!BV28),IF(VLOOKUP(BV$1,main!$A$3:$H$102,7,FALSE)=VLOOKUP($A28,main!$A$3:$H$102,8,FALSE),VLOOKUP(BV$1,main!$A$3:$H$102,4,FALSE),VLOOKUP(BV$1,main!$A$3:$H$102,4,FALSE)+VLOOKUP($A28,main!$A$3:$H$102,4,FALSE)+(VLOOKUP(VLOOKUP(BV$1,main!$A$3:$H$102,8,FALSE),main!$K$19:$O$22,MATCH(VLOOKUP($A28,main!$A$3:$H$102,7,FALSE),main!$K$18:$O$18,0),0))),0)</f>
        <v>0</v>
      </c>
      <c r="BW28">
        <f>IF((gamma!BW28),IF(VLOOKUP(BW$1,main!$A$3:$H$102,7,FALSE)=VLOOKUP($A28,main!$A$3:$H$102,8,FALSE),VLOOKUP(BW$1,main!$A$3:$H$102,4,FALSE),VLOOKUP(BW$1,main!$A$3:$H$102,4,FALSE)+VLOOKUP($A28,main!$A$3:$H$102,4,FALSE)+(VLOOKUP(VLOOKUP(BW$1,main!$A$3:$H$102,8,FALSE),main!$K$19:$O$22,MATCH(VLOOKUP($A28,main!$A$3:$H$102,7,FALSE),main!$K$18:$O$18,0),0))),0)</f>
        <v>0</v>
      </c>
      <c r="BX28">
        <f>IF((gamma!BX28),IF(VLOOKUP(BX$1,main!$A$3:$H$102,7,FALSE)=VLOOKUP($A28,main!$A$3:$H$102,8,FALSE),VLOOKUP(BX$1,main!$A$3:$H$102,4,FALSE),VLOOKUP(BX$1,main!$A$3:$H$102,4,FALSE)+VLOOKUP($A28,main!$A$3:$H$102,4,FALSE)+(VLOOKUP(VLOOKUP(BX$1,main!$A$3:$H$102,8,FALSE),main!$K$19:$O$22,MATCH(VLOOKUP($A28,main!$A$3:$H$102,7,FALSE),main!$K$18:$O$18,0),0))),0)</f>
        <v>310</v>
      </c>
      <c r="BY28">
        <f>IF((gamma!BY28),IF(VLOOKUP(BY$1,main!$A$3:$H$102,7,FALSE)=VLOOKUP($A28,main!$A$3:$H$102,8,FALSE),VLOOKUP(BY$1,main!$A$3:$H$102,4,FALSE),VLOOKUP(BY$1,main!$A$3:$H$102,4,FALSE)+VLOOKUP($A28,main!$A$3:$H$102,4,FALSE)+(VLOOKUP(VLOOKUP(BY$1,main!$A$3:$H$102,8,FALSE),main!$K$19:$O$22,MATCH(VLOOKUP($A28,main!$A$3:$H$102,7,FALSE),main!$K$18:$O$18,0),0))),0)</f>
        <v>295</v>
      </c>
      <c r="BZ28">
        <f>IF((gamma!BZ28),IF(VLOOKUP(BZ$1,main!$A$3:$H$102,7,FALSE)=VLOOKUP($A28,main!$A$3:$H$102,8,FALSE),VLOOKUP(BZ$1,main!$A$3:$H$102,4,FALSE),VLOOKUP(BZ$1,main!$A$3:$H$102,4,FALSE)+VLOOKUP($A28,main!$A$3:$H$102,4,FALSE)+(VLOOKUP(VLOOKUP(BZ$1,main!$A$3:$H$102,8,FALSE),main!$K$19:$O$22,MATCH(VLOOKUP($A28,main!$A$3:$H$102,7,FALSE),main!$K$18:$O$18,0),0))),0)</f>
        <v>0</v>
      </c>
      <c r="CA28">
        <f>IF((gamma!CA28),IF(VLOOKUP(CA$1,main!$A$3:$H$102,7,FALSE)=VLOOKUP($A28,main!$A$3:$H$102,8,FALSE),VLOOKUP(CA$1,main!$A$3:$H$102,4,FALSE),VLOOKUP(CA$1,main!$A$3:$H$102,4,FALSE)+VLOOKUP($A28,main!$A$3:$H$102,4,FALSE)+(VLOOKUP(VLOOKUP(CA$1,main!$A$3:$H$102,8,FALSE),main!$K$19:$O$22,MATCH(VLOOKUP($A28,main!$A$3:$H$102,7,FALSE),main!$K$18:$O$18,0),0))),0)</f>
        <v>0</v>
      </c>
      <c r="CB28">
        <f>IF((gamma!CB28),IF(VLOOKUP(CB$1,main!$A$3:$H$102,7,FALSE)=VLOOKUP($A28,main!$A$3:$H$102,8,FALSE),VLOOKUP(CB$1,main!$A$3:$H$102,4,FALSE),VLOOKUP(CB$1,main!$A$3:$H$102,4,FALSE)+VLOOKUP($A28,main!$A$3:$H$102,4,FALSE)+(VLOOKUP(VLOOKUP(CB$1,main!$A$3:$H$102,8,FALSE),main!$K$19:$O$22,MATCH(VLOOKUP($A28,main!$A$3:$H$102,7,FALSE),main!$K$18:$O$18,0),0))),0)</f>
        <v>240</v>
      </c>
      <c r="CC28">
        <f>IF((gamma!CC28),IF(VLOOKUP(CC$1,main!$A$3:$H$102,7,FALSE)=VLOOKUP($A28,main!$A$3:$H$102,8,FALSE),VLOOKUP(CC$1,main!$A$3:$H$102,4,FALSE),VLOOKUP(CC$1,main!$A$3:$H$102,4,FALSE)+VLOOKUP($A28,main!$A$3:$H$102,4,FALSE)+(VLOOKUP(VLOOKUP(CC$1,main!$A$3:$H$102,8,FALSE),main!$K$19:$O$22,MATCH(VLOOKUP($A28,main!$A$3:$H$102,7,FALSE),main!$K$18:$O$18,0),0))),0)</f>
        <v>230</v>
      </c>
      <c r="CD28">
        <f>IF((gamma!CD28),IF(VLOOKUP(CD$1,main!$A$3:$H$102,7,FALSE)=VLOOKUP($A28,main!$A$3:$H$102,8,FALSE),VLOOKUP(CD$1,main!$A$3:$H$102,4,FALSE),VLOOKUP(CD$1,main!$A$3:$H$102,4,FALSE)+VLOOKUP($A28,main!$A$3:$H$102,4,FALSE)+(VLOOKUP(VLOOKUP(CD$1,main!$A$3:$H$102,8,FALSE),main!$K$19:$O$22,MATCH(VLOOKUP($A28,main!$A$3:$H$102,7,FALSE),main!$K$18:$O$18,0),0))),0)</f>
        <v>289</v>
      </c>
      <c r="CE28">
        <f>IF((gamma!CE28),IF(VLOOKUP(CE$1,main!$A$3:$H$102,7,FALSE)=VLOOKUP($A28,main!$A$3:$H$102,8,FALSE),VLOOKUP(CE$1,main!$A$3:$H$102,4,FALSE),VLOOKUP(CE$1,main!$A$3:$H$102,4,FALSE)+VLOOKUP($A28,main!$A$3:$H$102,4,FALSE)+(VLOOKUP(VLOOKUP(CE$1,main!$A$3:$H$102,8,FALSE),main!$K$19:$O$22,MATCH(VLOOKUP($A28,main!$A$3:$H$102,7,FALSE),main!$K$18:$O$18,0),0))),0)</f>
        <v>140</v>
      </c>
      <c r="CF28">
        <f>IF((gamma!CF28),IF(VLOOKUP(CF$1,main!$A$3:$H$102,7,FALSE)=VLOOKUP($A28,main!$A$3:$H$102,8,FALSE),VLOOKUP(CF$1,main!$A$3:$H$102,4,FALSE),VLOOKUP(CF$1,main!$A$3:$H$102,4,FALSE)+VLOOKUP($A28,main!$A$3:$H$102,4,FALSE)+(VLOOKUP(VLOOKUP(CF$1,main!$A$3:$H$102,8,FALSE),main!$K$19:$O$22,MATCH(VLOOKUP($A28,main!$A$3:$H$102,7,FALSE),main!$K$18:$O$18,0),0))),0)</f>
        <v>135</v>
      </c>
      <c r="CG28">
        <f>IF((gamma!CG28),IF(VLOOKUP(CG$1,main!$A$3:$H$102,7,FALSE)=VLOOKUP($A28,main!$A$3:$H$102,8,FALSE),VLOOKUP(CG$1,main!$A$3:$H$102,4,FALSE),VLOOKUP(CG$1,main!$A$3:$H$102,4,FALSE)+VLOOKUP($A28,main!$A$3:$H$102,4,FALSE)+(VLOOKUP(VLOOKUP(CG$1,main!$A$3:$H$102,8,FALSE),main!$K$19:$O$22,MATCH(VLOOKUP($A28,main!$A$3:$H$102,7,FALSE),main!$K$18:$O$18,0),0))),0)</f>
        <v>140</v>
      </c>
      <c r="CH28">
        <f>IF((gamma!CH28),IF(VLOOKUP(CH$1,main!$A$3:$H$102,7,FALSE)=VLOOKUP($A28,main!$A$3:$H$102,8,FALSE),VLOOKUP(CH$1,main!$A$3:$H$102,4,FALSE),VLOOKUP(CH$1,main!$A$3:$H$102,4,FALSE)+VLOOKUP($A28,main!$A$3:$H$102,4,FALSE)+(VLOOKUP(VLOOKUP(CH$1,main!$A$3:$H$102,8,FALSE),main!$K$19:$O$22,MATCH(VLOOKUP($A28,main!$A$3:$H$102,7,FALSE),main!$K$18:$O$18,0),0))),0)</f>
        <v>140</v>
      </c>
      <c r="CI28">
        <f>IF((gamma!CI28),IF(VLOOKUP(CI$1,main!$A$3:$H$102,7,FALSE)=VLOOKUP($A28,main!$A$3:$H$102,8,FALSE),VLOOKUP(CI$1,main!$A$3:$H$102,4,FALSE),VLOOKUP(CI$1,main!$A$3:$H$102,4,FALSE)+VLOOKUP($A28,main!$A$3:$H$102,4,FALSE)+(VLOOKUP(VLOOKUP(CI$1,main!$A$3:$H$102,8,FALSE),main!$K$19:$O$22,MATCH(VLOOKUP($A28,main!$A$3:$H$102,7,FALSE),main!$K$18:$O$18,0),0))),0)</f>
        <v>140</v>
      </c>
      <c r="CJ28">
        <f>IF((gamma!CJ28),IF(VLOOKUP(CJ$1,main!$A$3:$H$102,7,FALSE)=VLOOKUP($A28,main!$A$3:$H$102,8,FALSE),VLOOKUP(CJ$1,main!$A$3:$H$102,4,FALSE),VLOOKUP(CJ$1,main!$A$3:$H$102,4,FALSE)+VLOOKUP($A28,main!$A$3:$H$102,4,FALSE)+(VLOOKUP(VLOOKUP(CJ$1,main!$A$3:$H$102,8,FALSE),main!$K$19:$O$22,MATCH(VLOOKUP($A28,main!$A$3:$H$102,7,FALSE),main!$K$18:$O$18,0),0))),0)</f>
        <v>68</v>
      </c>
      <c r="CK28">
        <f>IF((gamma!CK28),IF(VLOOKUP(CK$1,main!$A$3:$H$102,7,FALSE)=VLOOKUP($A28,main!$A$3:$H$102,8,FALSE),VLOOKUP(CK$1,main!$A$3:$H$102,4,FALSE),VLOOKUP(CK$1,main!$A$3:$H$102,4,FALSE)+VLOOKUP($A28,main!$A$3:$H$102,4,FALSE)+(VLOOKUP(VLOOKUP(CK$1,main!$A$3:$H$102,8,FALSE),main!$K$19:$O$22,MATCH(VLOOKUP($A28,main!$A$3:$H$102,7,FALSE),main!$K$18:$O$18,0),0))),0)</f>
        <v>75</v>
      </c>
      <c r="CL28">
        <f>IF((gamma!CL28),IF(VLOOKUP(CL$1,main!$A$3:$H$102,7,FALSE)=VLOOKUP($A28,main!$A$3:$H$102,8,FALSE),VLOOKUP(CL$1,main!$A$3:$H$102,4,FALSE),VLOOKUP(CL$1,main!$A$3:$H$102,4,FALSE)+VLOOKUP($A28,main!$A$3:$H$102,4,FALSE)+(VLOOKUP(VLOOKUP(CL$1,main!$A$3:$H$102,8,FALSE),main!$K$19:$O$22,MATCH(VLOOKUP($A28,main!$A$3:$H$102,7,FALSE),main!$K$18:$O$18,0),0))),0)</f>
        <v>80</v>
      </c>
      <c r="CM28">
        <f>IF((gamma!CM28),IF(VLOOKUP(CM$1,main!$A$3:$H$102,7,FALSE)=VLOOKUP($A28,main!$A$3:$H$102,8,FALSE),VLOOKUP(CM$1,main!$A$3:$H$102,4,FALSE),VLOOKUP(CM$1,main!$A$3:$H$102,4,FALSE)+VLOOKUP($A28,main!$A$3:$H$102,4,FALSE)+(VLOOKUP(VLOOKUP(CM$1,main!$A$3:$H$102,8,FALSE),main!$K$19:$O$22,MATCH(VLOOKUP($A28,main!$A$3:$H$102,7,FALSE),main!$K$18:$O$18,0),0))),0)</f>
        <v>100</v>
      </c>
      <c r="CN28">
        <f>IF((gamma!CN28),IF(VLOOKUP(CN$1,main!$A$3:$H$102,7,FALSE)=VLOOKUP($A28,main!$A$3:$H$102,8,FALSE),VLOOKUP(CN$1,main!$A$3:$H$102,4,FALSE),VLOOKUP(CN$1,main!$A$3:$H$102,4,FALSE)+VLOOKUP($A28,main!$A$3:$H$102,4,FALSE)+(VLOOKUP(VLOOKUP(CN$1,main!$A$3:$H$102,8,FALSE),main!$K$19:$O$22,MATCH(VLOOKUP($A28,main!$A$3:$H$102,7,FALSE),main!$K$18:$O$18,0),0))),0)</f>
        <v>96</v>
      </c>
      <c r="CO28">
        <f>IF((gamma!CO28),IF(VLOOKUP(CO$1,main!$A$3:$H$102,7,FALSE)=VLOOKUP($A28,main!$A$3:$H$102,8,FALSE),VLOOKUP(CO$1,main!$A$3:$H$102,4,FALSE),VLOOKUP(CO$1,main!$A$3:$H$102,4,FALSE)+VLOOKUP($A28,main!$A$3:$H$102,4,FALSE)+(VLOOKUP(VLOOKUP(CO$1,main!$A$3:$H$102,8,FALSE),main!$K$19:$O$22,MATCH(VLOOKUP($A28,main!$A$3:$H$102,7,FALSE),main!$K$18:$O$18,0),0))),0)</f>
        <v>0</v>
      </c>
      <c r="CP28">
        <f>IF((gamma!CP28),IF(VLOOKUP(CP$1,main!$A$3:$H$102,7,FALSE)=VLOOKUP($A28,main!$A$3:$H$102,8,FALSE),VLOOKUP(CP$1,main!$A$3:$H$102,4,FALSE),VLOOKUP(CP$1,main!$A$3:$H$102,4,FALSE)+VLOOKUP($A28,main!$A$3:$H$102,4,FALSE)+(VLOOKUP(VLOOKUP(CP$1,main!$A$3:$H$102,8,FALSE),main!$K$19:$O$22,MATCH(VLOOKUP($A28,main!$A$3:$H$102,7,FALSE),main!$K$18:$O$18,0),0))),0)</f>
        <v>120</v>
      </c>
      <c r="CQ28">
        <f>IF((gamma!CQ28),IF(VLOOKUP(CQ$1,main!$A$3:$H$102,7,FALSE)=VLOOKUP($A28,main!$A$3:$H$102,8,FALSE),VLOOKUP(CQ$1,main!$A$3:$H$102,4,FALSE),VLOOKUP(CQ$1,main!$A$3:$H$102,4,FALSE)+VLOOKUP($A28,main!$A$3:$H$102,4,FALSE)+(VLOOKUP(VLOOKUP(CQ$1,main!$A$3:$H$102,8,FALSE),main!$K$19:$O$22,MATCH(VLOOKUP($A28,main!$A$3:$H$102,7,FALSE),main!$K$18:$O$18,0),0))),0)</f>
        <v>120</v>
      </c>
      <c r="CR28">
        <f>IF((gamma!CR28),IF(VLOOKUP(CR$1,main!$A$3:$H$102,7,FALSE)=VLOOKUP($A28,main!$A$3:$H$102,8,FALSE),VLOOKUP(CR$1,main!$A$3:$H$102,4,FALSE),VLOOKUP(CR$1,main!$A$3:$H$102,4,FALSE)+VLOOKUP($A28,main!$A$3:$H$102,4,FALSE)+(VLOOKUP(VLOOKUP(CR$1,main!$A$3:$H$102,8,FALSE),main!$K$19:$O$22,MATCH(VLOOKUP($A28,main!$A$3:$H$102,7,FALSE),main!$K$18:$O$18,0),0))),0)</f>
        <v>135</v>
      </c>
      <c r="CS28">
        <f>IF((gamma!CS28),IF(VLOOKUP(CS$1,main!$A$3:$H$102,7,FALSE)=VLOOKUP($A28,main!$A$3:$H$102,8,FALSE),VLOOKUP(CS$1,main!$A$3:$H$102,4,FALSE),VLOOKUP(CS$1,main!$A$3:$H$102,4,FALSE)+VLOOKUP($A28,main!$A$3:$H$102,4,FALSE)+(VLOOKUP(VLOOKUP(CS$1,main!$A$3:$H$102,8,FALSE),main!$K$19:$O$22,MATCH(VLOOKUP($A28,main!$A$3:$H$102,7,FALSE),main!$K$18:$O$18,0),0))),0)</f>
        <v>135</v>
      </c>
      <c r="CT28">
        <f>IF((gamma!CT28),IF(VLOOKUP(CT$1,main!$A$3:$H$102,7,FALSE)=VLOOKUP($A28,main!$A$3:$H$102,8,FALSE),VLOOKUP(CT$1,main!$A$3:$H$102,4,FALSE),VLOOKUP(CT$1,main!$A$3:$H$102,4,FALSE)+VLOOKUP($A28,main!$A$3:$H$102,4,FALSE)+(VLOOKUP(VLOOKUP(CT$1,main!$A$3:$H$102,8,FALSE),main!$K$19:$O$22,MATCH(VLOOKUP($A28,main!$A$3:$H$102,7,FALSE),main!$K$18:$O$18,0),0))),0)</f>
        <v>0</v>
      </c>
      <c r="CU28">
        <f>IF((gamma!CU28),IF(VLOOKUP(CU$1,main!$A$3:$H$102,7,FALSE)=VLOOKUP($A28,main!$A$3:$H$102,8,FALSE),VLOOKUP(CU$1,main!$A$3:$H$102,4,FALSE),VLOOKUP(CU$1,main!$A$3:$H$102,4,FALSE)+VLOOKUP($A28,main!$A$3:$H$102,4,FALSE)+(VLOOKUP(VLOOKUP(CU$1,main!$A$3:$H$102,8,FALSE),main!$K$19:$O$22,MATCH(VLOOKUP($A28,main!$A$3:$H$102,7,FALSE),main!$K$18:$O$18,0),0))),0)</f>
        <v>0</v>
      </c>
      <c r="CV28">
        <f>IF((gamma!CV28),IF(VLOOKUP(CV$1,main!$A$3:$H$102,7,FALSE)=VLOOKUP($A28,main!$A$3:$H$102,8,FALSE),VLOOKUP(CV$1,main!$A$3:$H$102,4,FALSE),VLOOKUP(CV$1,main!$A$3:$H$102,4,FALSE)+VLOOKUP($A28,main!$A$3:$H$102,4,FALSE)+(VLOOKUP(VLOOKUP(CV$1,main!$A$3:$H$102,8,FALSE),main!$K$19:$O$22,MATCH(VLOOKUP($A28,main!$A$3:$H$102,7,FALSE),main!$K$18:$O$18,0),0))),0)</f>
        <v>80</v>
      </c>
      <c r="CW28">
        <f>IF((gamma!CW28),IF(VLOOKUP(CW$1,main!$A$3:$H$102,7,FALSE)=VLOOKUP($A28,main!$A$3:$H$102,8,FALSE),VLOOKUP(CW$1,main!$A$3:$H$102,4,FALSE),VLOOKUP(CW$1,main!$A$3:$H$102,4,FALSE)+VLOOKUP($A28,main!$A$3:$H$102,4,FALSE)+(VLOOKUP(VLOOKUP(CW$1,main!$A$3:$H$102,8,FALSE),main!$K$19:$O$22,MATCH(VLOOKUP($A28,main!$A$3:$H$102,7,FALSE),main!$K$18:$O$18,0),0))),0)</f>
        <v>95</v>
      </c>
      <c r="CX28">
        <f>IF((gamma!CX28),IF(VLOOKUP(CX$1,main!$A$3:$H$102,7,FALSE)=VLOOKUP($A28,main!$A$3:$H$102,8,FALSE),VLOOKUP(CX$1,main!$A$3:$H$102,4,FALSE),VLOOKUP(CX$1,main!$A$3:$H$102,4,FALSE)+VLOOKUP($A28,main!$A$3:$H$102,4,FALSE)+(VLOOKUP(VLOOKUP(CX$1,main!$A$3:$H$102,8,FALSE),main!$K$19:$O$22,MATCH(VLOOKUP($A28,main!$A$3:$H$102,7,FALSE),main!$K$18:$O$18,0),0))),0)</f>
        <v>85</v>
      </c>
      <c r="CY28">
        <v>0</v>
      </c>
      <c r="CZ28">
        <v>0</v>
      </c>
      <c r="DA28">
        <v>0</v>
      </c>
    </row>
    <row r="29" spans="1:105" x14ac:dyDescent="0.25">
      <c r="A29" s="1">
        <v>27</v>
      </c>
      <c r="B29">
        <v>0</v>
      </c>
      <c r="C29">
        <f>IF((gamma!C29),IF(VLOOKUP(C$1,main!$A$3:$H$102,7,FALSE)=VLOOKUP($A29,main!$A$3:$H$102,8,FALSE),VLOOKUP(C$1,main!$A$3:$H$102,4,FALSE),VLOOKUP(C$1,main!$A$3:$H$102,4,FALSE)+VLOOKUP($A29,main!$A$3:$H$102,4,FALSE)+(VLOOKUP(VLOOKUP(C$1,main!$A$3:$H$102,8,FALSE),main!$K$19:$O$22,MATCH(VLOOKUP($A29,main!$A$3:$H$102,7,FALSE),main!$K$18:$O$18,0),0))),0)</f>
        <v>0</v>
      </c>
      <c r="D29">
        <f>IF((gamma!D29),IF(VLOOKUP(D$1,main!$A$3:$H$102,7,FALSE)=VLOOKUP($A29,main!$A$3:$H$102,8,FALSE),VLOOKUP(D$1,main!$A$3:$H$102,4,FALSE),VLOOKUP(D$1,main!$A$3:$H$102,4,FALSE)+VLOOKUP($A29,main!$A$3:$H$102,4,FALSE)+(VLOOKUP(VLOOKUP(D$1,main!$A$3:$H$102,8,FALSE),main!$K$19:$O$22,MATCH(VLOOKUP($A29,main!$A$3:$H$102,7,FALSE),main!$K$18:$O$18,0),0))),0)</f>
        <v>0</v>
      </c>
      <c r="E29">
        <f>IF((gamma!E29),IF(VLOOKUP(E$1,main!$A$3:$H$102,7,FALSE)=VLOOKUP($A29,main!$A$3:$H$102,8,FALSE),VLOOKUP(E$1,main!$A$3:$H$102,4,FALSE),VLOOKUP(E$1,main!$A$3:$H$102,4,FALSE)+VLOOKUP($A29,main!$A$3:$H$102,4,FALSE)+(VLOOKUP(VLOOKUP(E$1,main!$A$3:$H$102,8,FALSE),main!$K$19:$O$22,MATCH(VLOOKUP($A29,main!$A$3:$H$102,7,FALSE),main!$K$18:$O$18,0),0))),0)</f>
        <v>300</v>
      </c>
      <c r="F29">
        <f>IF((gamma!F29),IF(VLOOKUP(F$1,main!$A$3:$H$102,7,FALSE)=VLOOKUP($A29,main!$A$3:$H$102,8,FALSE),VLOOKUP(F$1,main!$A$3:$H$102,4,FALSE),VLOOKUP(F$1,main!$A$3:$H$102,4,FALSE)+VLOOKUP($A29,main!$A$3:$H$102,4,FALSE)+(VLOOKUP(VLOOKUP(F$1,main!$A$3:$H$102,8,FALSE),main!$K$19:$O$22,MATCH(VLOOKUP($A29,main!$A$3:$H$102,7,FALSE),main!$K$18:$O$18,0),0))),0)</f>
        <v>300</v>
      </c>
      <c r="G29">
        <f>IF((gamma!G29),IF(VLOOKUP(G$1,main!$A$3:$H$102,7,FALSE)=VLOOKUP($A29,main!$A$3:$H$102,8,FALSE),VLOOKUP(G$1,main!$A$3:$H$102,4,FALSE),VLOOKUP(G$1,main!$A$3:$H$102,4,FALSE)+VLOOKUP($A29,main!$A$3:$H$102,4,FALSE)+(VLOOKUP(VLOOKUP(G$1,main!$A$3:$H$102,8,FALSE),main!$K$19:$O$22,MATCH(VLOOKUP($A29,main!$A$3:$H$102,7,FALSE),main!$K$18:$O$18,0),0))),0)</f>
        <v>300</v>
      </c>
      <c r="H29">
        <f>IF((gamma!H29),IF(VLOOKUP(H$1,main!$A$3:$H$102,7,FALSE)=VLOOKUP($A29,main!$A$3:$H$102,8,FALSE),VLOOKUP(H$1,main!$A$3:$H$102,4,FALSE),VLOOKUP(H$1,main!$A$3:$H$102,4,FALSE)+VLOOKUP($A29,main!$A$3:$H$102,4,FALSE)+(VLOOKUP(VLOOKUP(H$1,main!$A$3:$H$102,8,FALSE),main!$K$19:$O$22,MATCH(VLOOKUP($A29,main!$A$3:$H$102,7,FALSE),main!$K$18:$O$18,0),0))),0)</f>
        <v>300</v>
      </c>
      <c r="I29">
        <f>IF((gamma!I29),IF(VLOOKUP(I$1,main!$A$3:$H$102,7,FALSE)=VLOOKUP($A29,main!$A$3:$H$102,8,FALSE),VLOOKUP(I$1,main!$A$3:$H$102,4,FALSE),VLOOKUP(I$1,main!$A$3:$H$102,4,FALSE)+VLOOKUP($A29,main!$A$3:$H$102,4,FALSE)+(VLOOKUP(VLOOKUP(I$1,main!$A$3:$H$102,8,FALSE),main!$K$19:$O$22,MATCH(VLOOKUP($A29,main!$A$3:$H$102,7,FALSE),main!$K$18:$O$18,0),0))),0)</f>
        <v>300</v>
      </c>
      <c r="J29">
        <f>IF((gamma!J29),IF(VLOOKUP(J$1,main!$A$3:$H$102,7,FALSE)=VLOOKUP($A29,main!$A$3:$H$102,8,FALSE),VLOOKUP(J$1,main!$A$3:$H$102,4,FALSE),VLOOKUP(J$1,main!$A$3:$H$102,4,FALSE)+VLOOKUP($A29,main!$A$3:$H$102,4,FALSE)+(VLOOKUP(VLOOKUP(J$1,main!$A$3:$H$102,8,FALSE),main!$K$19:$O$22,MATCH(VLOOKUP($A29,main!$A$3:$H$102,7,FALSE),main!$K$18:$O$18,0),0))),0)</f>
        <v>300</v>
      </c>
      <c r="K29">
        <f>IF((gamma!K29),IF(VLOOKUP(K$1,main!$A$3:$H$102,7,FALSE)=VLOOKUP($A29,main!$A$3:$H$102,8,FALSE),VLOOKUP(K$1,main!$A$3:$H$102,4,FALSE),VLOOKUP(K$1,main!$A$3:$H$102,4,FALSE)+VLOOKUP($A29,main!$A$3:$H$102,4,FALSE)+(VLOOKUP(VLOOKUP(K$1,main!$A$3:$H$102,8,FALSE),main!$K$19:$O$22,MATCH(VLOOKUP($A29,main!$A$3:$H$102,7,FALSE),main!$K$18:$O$18,0),0))),0)</f>
        <v>300</v>
      </c>
      <c r="L29">
        <f>IF((gamma!L29),IF(VLOOKUP(L$1,main!$A$3:$H$102,7,FALSE)=VLOOKUP($A29,main!$A$3:$H$102,8,FALSE),VLOOKUP(L$1,main!$A$3:$H$102,4,FALSE),VLOOKUP(L$1,main!$A$3:$H$102,4,FALSE)+VLOOKUP($A29,main!$A$3:$H$102,4,FALSE)+(VLOOKUP(VLOOKUP(L$1,main!$A$3:$H$102,8,FALSE),main!$K$19:$O$22,MATCH(VLOOKUP($A29,main!$A$3:$H$102,7,FALSE),main!$K$18:$O$18,0),0))),0)</f>
        <v>300</v>
      </c>
      <c r="M29">
        <f>IF((gamma!M29),IF(VLOOKUP(M$1,main!$A$3:$H$102,7,FALSE)=VLOOKUP($A29,main!$A$3:$H$102,8,FALSE),VLOOKUP(M$1,main!$A$3:$H$102,4,FALSE),VLOOKUP(M$1,main!$A$3:$H$102,4,FALSE)+VLOOKUP($A29,main!$A$3:$H$102,4,FALSE)+(VLOOKUP(VLOOKUP(M$1,main!$A$3:$H$102,8,FALSE),main!$K$19:$O$22,MATCH(VLOOKUP($A29,main!$A$3:$H$102,7,FALSE),main!$K$18:$O$18,0),0))),0)</f>
        <v>0</v>
      </c>
      <c r="N29">
        <f>IF((gamma!N29),IF(VLOOKUP(N$1,main!$A$3:$H$102,7,FALSE)=VLOOKUP($A29,main!$A$3:$H$102,8,FALSE),VLOOKUP(N$1,main!$A$3:$H$102,4,FALSE),VLOOKUP(N$1,main!$A$3:$H$102,4,FALSE)+VLOOKUP($A29,main!$A$3:$H$102,4,FALSE)+(VLOOKUP(VLOOKUP(N$1,main!$A$3:$H$102,8,FALSE),main!$K$19:$O$22,MATCH(VLOOKUP($A29,main!$A$3:$H$102,7,FALSE),main!$K$18:$O$18,0),0))),0)</f>
        <v>0</v>
      </c>
      <c r="O29">
        <f>IF((gamma!O29),IF(VLOOKUP(O$1,main!$A$3:$H$102,7,FALSE)=VLOOKUP($A29,main!$A$3:$H$102,8,FALSE),VLOOKUP(O$1,main!$A$3:$H$102,4,FALSE),VLOOKUP(O$1,main!$A$3:$H$102,4,FALSE)+VLOOKUP($A29,main!$A$3:$H$102,4,FALSE)+(VLOOKUP(VLOOKUP(O$1,main!$A$3:$H$102,8,FALSE),main!$K$19:$O$22,MATCH(VLOOKUP($A29,main!$A$3:$H$102,7,FALSE),main!$K$18:$O$18,0),0))),0)</f>
        <v>0</v>
      </c>
      <c r="P29">
        <f>IF((gamma!P29),IF(VLOOKUP(P$1,main!$A$3:$H$102,7,FALSE)=VLOOKUP($A29,main!$A$3:$H$102,8,FALSE),VLOOKUP(P$1,main!$A$3:$H$102,4,FALSE),VLOOKUP(P$1,main!$A$3:$H$102,4,FALSE)+VLOOKUP($A29,main!$A$3:$H$102,4,FALSE)+(VLOOKUP(VLOOKUP(P$1,main!$A$3:$H$102,8,FALSE),main!$K$19:$O$22,MATCH(VLOOKUP($A29,main!$A$3:$H$102,7,FALSE),main!$K$18:$O$18,0),0))),0)</f>
        <v>0</v>
      </c>
      <c r="Q29">
        <f>IF((gamma!Q29),IF(VLOOKUP(Q$1,main!$A$3:$H$102,7,FALSE)=VLOOKUP($A29,main!$A$3:$H$102,8,FALSE),VLOOKUP(Q$1,main!$A$3:$H$102,4,FALSE),VLOOKUP(Q$1,main!$A$3:$H$102,4,FALSE)+VLOOKUP($A29,main!$A$3:$H$102,4,FALSE)+(VLOOKUP(VLOOKUP(Q$1,main!$A$3:$H$102,8,FALSE),main!$K$19:$O$22,MATCH(VLOOKUP($A29,main!$A$3:$H$102,7,FALSE),main!$K$18:$O$18,0),0))),0)</f>
        <v>310</v>
      </c>
      <c r="R29">
        <f>IF((gamma!R29),IF(VLOOKUP(R$1,main!$A$3:$H$102,7,FALSE)=VLOOKUP($A29,main!$A$3:$H$102,8,FALSE),VLOOKUP(R$1,main!$A$3:$H$102,4,FALSE),VLOOKUP(R$1,main!$A$3:$H$102,4,FALSE)+VLOOKUP($A29,main!$A$3:$H$102,4,FALSE)+(VLOOKUP(VLOOKUP(R$1,main!$A$3:$H$102,8,FALSE),main!$K$19:$O$22,MATCH(VLOOKUP($A29,main!$A$3:$H$102,7,FALSE),main!$K$18:$O$18,0),0))),0)</f>
        <v>310</v>
      </c>
      <c r="S29">
        <f>IF((gamma!S29),IF(VLOOKUP(S$1,main!$A$3:$H$102,7,FALSE)=VLOOKUP($A29,main!$A$3:$H$102,8,FALSE),VLOOKUP(S$1,main!$A$3:$H$102,4,FALSE),VLOOKUP(S$1,main!$A$3:$H$102,4,FALSE)+VLOOKUP($A29,main!$A$3:$H$102,4,FALSE)+(VLOOKUP(VLOOKUP(S$1,main!$A$3:$H$102,8,FALSE),main!$K$19:$O$22,MATCH(VLOOKUP($A29,main!$A$3:$H$102,7,FALSE),main!$K$18:$O$18,0),0))),0)</f>
        <v>310</v>
      </c>
      <c r="T29">
        <f>IF((gamma!T29),IF(VLOOKUP(T$1,main!$A$3:$H$102,7,FALSE)=VLOOKUP($A29,main!$A$3:$H$102,8,FALSE),VLOOKUP(T$1,main!$A$3:$H$102,4,FALSE),VLOOKUP(T$1,main!$A$3:$H$102,4,FALSE)+VLOOKUP($A29,main!$A$3:$H$102,4,FALSE)+(VLOOKUP(VLOOKUP(T$1,main!$A$3:$H$102,8,FALSE),main!$K$19:$O$22,MATCH(VLOOKUP($A29,main!$A$3:$H$102,7,FALSE),main!$K$18:$O$18,0),0))),0)</f>
        <v>310</v>
      </c>
      <c r="U29">
        <f>IF((gamma!U29),IF(VLOOKUP(U$1,main!$A$3:$H$102,7,FALSE)=VLOOKUP($A29,main!$A$3:$H$102,8,FALSE),VLOOKUP(U$1,main!$A$3:$H$102,4,FALSE),VLOOKUP(U$1,main!$A$3:$H$102,4,FALSE)+VLOOKUP($A29,main!$A$3:$H$102,4,FALSE)+(VLOOKUP(VLOOKUP(U$1,main!$A$3:$H$102,8,FALSE),main!$K$19:$O$22,MATCH(VLOOKUP($A29,main!$A$3:$H$102,7,FALSE),main!$K$18:$O$18,0),0))),0)</f>
        <v>310</v>
      </c>
      <c r="V29">
        <f>IF((gamma!V29),IF(VLOOKUP(V$1,main!$A$3:$H$102,7,FALSE)=VLOOKUP($A29,main!$A$3:$H$102,8,FALSE),VLOOKUP(V$1,main!$A$3:$H$102,4,FALSE),VLOOKUP(V$1,main!$A$3:$H$102,4,FALSE)+VLOOKUP($A29,main!$A$3:$H$102,4,FALSE)+(VLOOKUP(VLOOKUP(V$1,main!$A$3:$H$102,8,FALSE),main!$K$19:$O$22,MATCH(VLOOKUP($A29,main!$A$3:$H$102,7,FALSE),main!$K$18:$O$18,0),0))),0)</f>
        <v>310</v>
      </c>
      <c r="W29">
        <f>IF((gamma!W29),IF(VLOOKUP(W$1,main!$A$3:$H$102,7,FALSE)=VLOOKUP($A29,main!$A$3:$H$102,8,FALSE),VLOOKUP(W$1,main!$A$3:$H$102,4,FALSE),VLOOKUP(W$1,main!$A$3:$H$102,4,FALSE)+VLOOKUP($A29,main!$A$3:$H$102,4,FALSE)+(VLOOKUP(VLOOKUP(W$1,main!$A$3:$H$102,8,FALSE),main!$K$19:$O$22,MATCH(VLOOKUP($A29,main!$A$3:$H$102,7,FALSE),main!$K$18:$O$18,0),0))),0)</f>
        <v>0</v>
      </c>
      <c r="X29">
        <f>IF((gamma!X29),IF(VLOOKUP(X$1,main!$A$3:$H$102,7,FALSE)=VLOOKUP($A29,main!$A$3:$H$102,8,FALSE),VLOOKUP(X$1,main!$A$3:$H$102,4,FALSE),VLOOKUP(X$1,main!$A$3:$H$102,4,FALSE)+VLOOKUP($A29,main!$A$3:$H$102,4,FALSE)+(VLOOKUP(VLOOKUP(X$1,main!$A$3:$H$102,8,FALSE),main!$K$19:$O$22,MATCH(VLOOKUP($A29,main!$A$3:$H$102,7,FALSE),main!$K$18:$O$18,0),0))),0)</f>
        <v>0</v>
      </c>
      <c r="Y29">
        <f>IF((gamma!Y29),IF(VLOOKUP(Y$1,main!$A$3:$H$102,7,FALSE)=VLOOKUP($A29,main!$A$3:$H$102,8,FALSE),VLOOKUP(Y$1,main!$A$3:$H$102,4,FALSE),VLOOKUP(Y$1,main!$A$3:$H$102,4,FALSE)+VLOOKUP($A29,main!$A$3:$H$102,4,FALSE)+(VLOOKUP(VLOOKUP(Y$1,main!$A$3:$H$102,8,FALSE),main!$K$19:$O$22,MATCH(VLOOKUP($A29,main!$A$3:$H$102,7,FALSE),main!$K$18:$O$18,0),0))),0)</f>
        <v>310</v>
      </c>
      <c r="Z29">
        <f>IF((gamma!Z29),IF(VLOOKUP(Z$1,main!$A$3:$H$102,7,FALSE)=VLOOKUP($A29,main!$A$3:$H$102,8,FALSE),VLOOKUP(Z$1,main!$A$3:$H$102,4,FALSE),VLOOKUP(Z$1,main!$A$3:$H$102,4,FALSE)+VLOOKUP($A29,main!$A$3:$H$102,4,FALSE)+(VLOOKUP(VLOOKUP(Z$1,main!$A$3:$H$102,8,FALSE),main!$K$19:$O$22,MATCH(VLOOKUP($A29,main!$A$3:$H$102,7,FALSE),main!$K$18:$O$18,0),0))),0)</f>
        <v>315</v>
      </c>
      <c r="AA29">
        <f>IF((gamma!AA29),IF(VLOOKUP(AA$1,main!$A$3:$H$102,7,FALSE)=VLOOKUP($A29,main!$A$3:$H$102,8,FALSE),VLOOKUP(AA$1,main!$A$3:$H$102,4,FALSE),VLOOKUP(AA$1,main!$A$3:$H$102,4,FALSE)+VLOOKUP($A29,main!$A$3:$H$102,4,FALSE)+(VLOOKUP(VLOOKUP(AA$1,main!$A$3:$H$102,8,FALSE),main!$K$19:$O$22,MATCH(VLOOKUP($A29,main!$A$3:$H$102,7,FALSE),main!$K$18:$O$18,0),0))),0)</f>
        <v>315</v>
      </c>
      <c r="AB29">
        <f>IF((gamma!AB29),IF(VLOOKUP(AB$1,main!$A$3:$H$102,7,FALSE)=VLOOKUP($A29,main!$A$3:$H$102,8,FALSE),VLOOKUP(AB$1,main!$A$3:$H$102,4,FALSE),VLOOKUP(AB$1,main!$A$3:$H$102,4,FALSE)+VLOOKUP($A29,main!$A$3:$H$102,4,FALSE)+(VLOOKUP(VLOOKUP(AB$1,main!$A$3:$H$102,8,FALSE),main!$K$19:$O$22,MATCH(VLOOKUP($A29,main!$A$3:$H$102,7,FALSE),main!$K$18:$O$18,0),0))),0)</f>
        <v>0</v>
      </c>
      <c r="AC29">
        <f>IF((gamma!AC29),IF(VLOOKUP(AC$1,main!$A$3:$H$102,7,FALSE)=VLOOKUP($A29,main!$A$3:$H$102,8,FALSE),VLOOKUP(AC$1,main!$A$3:$H$102,4,FALSE),VLOOKUP(AC$1,main!$A$3:$H$102,4,FALSE)+VLOOKUP($A29,main!$A$3:$H$102,4,FALSE)+(VLOOKUP(VLOOKUP(AC$1,main!$A$3:$H$102,8,FALSE),main!$K$19:$O$22,MATCH(VLOOKUP($A29,main!$A$3:$H$102,7,FALSE),main!$K$18:$O$18,0),0))),0)</f>
        <v>0</v>
      </c>
      <c r="AD29">
        <f>IF((gamma!AD29),IF(VLOOKUP(AD$1,main!$A$3:$H$102,7,FALSE)=VLOOKUP($A29,main!$A$3:$H$102,8,FALSE),VLOOKUP(AD$1,main!$A$3:$H$102,4,FALSE),VLOOKUP(AD$1,main!$A$3:$H$102,4,FALSE)+VLOOKUP($A29,main!$A$3:$H$102,4,FALSE)+(VLOOKUP(VLOOKUP(AD$1,main!$A$3:$H$102,8,FALSE),main!$K$19:$O$22,MATCH(VLOOKUP($A29,main!$A$3:$H$102,7,FALSE),main!$K$18:$O$18,0),0))),0)</f>
        <v>310</v>
      </c>
      <c r="AE29">
        <f>IF((gamma!AE29),IF(VLOOKUP(AE$1,main!$A$3:$H$102,7,FALSE)=VLOOKUP($A29,main!$A$3:$H$102,8,FALSE),VLOOKUP(AE$1,main!$A$3:$H$102,4,FALSE),VLOOKUP(AE$1,main!$A$3:$H$102,4,FALSE)+VLOOKUP($A29,main!$A$3:$H$102,4,FALSE)+(VLOOKUP(VLOOKUP(AE$1,main!$A$3:$H$102,8,FALSE),main!$K$19:$O$22,MATCH(VLOOKUP($A29,main!$A$3:$H$102,7,FALSE),main!$K$18:$O$18,0),0))),0)</f>
        <v>315</v>
      </c>
      <c r="AF29">
        <f>IF((gamma!AF29),IF(VLOOKUP(AF$1,main!$A$3:$H$102,7,FALSE)=VLOOKUP($A29,main!$A$3:$H$102,8,FALSE),VLOOKUP(AF$1,main!$A$3:$H$102,4,FALSE),VLOOKUP(AF$1,main!$A$3:$H$102,4,FALSE)+VLOOKUP($A29,main!$A$3:$H$102,4,FALSE)+(VLOOKUP(VLOOKUP(AF$1,main!$A$3:$H$102,8,FALSE),main!$K$19:$O$22,MATCH(VLOOKUP($A29,main!$A$3:$H$102,7,FALSE),main!$K$18:$O$18,0),0))),0)</f>
        <v>275</v>
      </c>
      <c r="AG29">
        <f>IF((gamma!AG29),IF(VLOOKUP(AG$1,main!$A$3:$H$102,7,FALSE)=VLOOKUP($A29,main!$A$3:$H$102,8,FALSE),VLOOKUP(AG$1,main!$A$3:$H$102,4,FALSE),VLOOKUP(AG$1,main!$A$3:$H$102,4,FALSE)+VLOOKUP($A29,main!$A$3:$H$102,4,FALSE)+(VLOOKUP(VLOOKUP(AG$1,main!$A$3:$H$102,8,FALSE),main!$K$19:$O$22,MATCH(VLOOKUP($A29,main!$A$3:$H$102,7,FALSE),main!$K$18:$O$18,0),0))),0)</f>
        <v>0</v>
      </c>
      <c r="AH29">
        <f>IF((gamma!AH29),IF(VLOOKUP(AH$1,main!$A$3:$H$102,7,FALSE)=VLOOKUP($A29,main!$A$3:$H$102,8,FALSE),VLOOKUP(AH$1,main!$A$3:$H$102,4,FALSE),VLOOKUP(AH$1,main!$A$3:$H$102,4,FALSE)+VLOOKUP($A29,main!$A$3:$H$102,4,FALSE)+(VLOOKUP(VLOOKUP(AH$1,main!$A$3:$H$102,8,FALSE),main!$K$19:$O$22,MATCH(VLOOKUP($A29,main!$A$3:$H$102,7,FALSE),main!$K$18:$O$18,0),0))),0)</f>
        <v>0</v>
      </c>
      <c r="AI29">
        <f>IF((gamma!AI29),IF(VLOOKUP(AI$1,main!$A$3:$H$102,7,FALSE)=VLOOKUP($A29,main!$A$3:$H$102,8,FALSE),VLOOKUP(AI$1,main!$A$3:$H$102,4,FALSE),VLOOKUP(AI$1,main!$A$3:$H$102,4,FALSE)+VLOOKUP($A29,main!$A$3:$H$102,4,FALSE)+(VLOOKUP(VLOOKUP(AI$1,main!$A$3:$H$102,8,FALSE),main!$K$19:$O$22,MATCH(VLOOKUP($A29,main!$A$3:$H$102,7,FALSE),main!$K$18:$O$18,0),0))),0)</f>
        <v>275</v>
      </c>
      <c r="AJ29">
        <f>IF((gamma!AJ29),IF(VLOOKUP(AJ$1,main!$A$3:$H$102,7,FALSE)=VLOOKUP($A29,main!$A$3:$H$102,8,FALSE),VLOOKUP(AJ$1,main!$A$3:$H$102,4,FALSE),VLOOKUP(AJ$1,main!$A$3:$H$102,4,FALSE)+VLOOKUP($A29,main!$A$3:$H$102,4,FALSE)+(VLOOKUP(VLOOKUP(AJ$1,main!$A$3:$H$102,8,FALSE),main!$K$19:$O$22,MATCH(VLOOKUP($A29,main!$A$3:$H$102,7,FALSE),main!$K$18:$O$18,0),0))),0)</f>
        <v>275</v>
      </c>
      <c r="AK29">
        <f>IF((gamma!AK29),IF(VLOOKUP(AK$1,main!$A$3:$H$102,7,FALSE)=VLOOKUP($A29,main!$A$3:$H$102,8,FALSE),VLOOKUP(AK$1,main!$A$3:$H$102,4,FALSE),VLOOKUP(AK$1,main!$A$3:$H$102,4,FALSE)+VLOOKUP($A29,main!$A$3:$H$102,4,FALSE)+(VLOOKUP(VLOOKUP(AK$1,main!$A$3:$H$102,8,FALSE),main!$K$19:$O$22,MATCH(VLOOKUP($A29,main!$A$3:$H$102,7,FALSE),main!$K$18:$O$18,0),0))),0)</f>
        <v>275</v>
      </c>
      <c r="AL29">
        <f>IF((gamma!AL29),IF(VLOOKUP(AL$1,main!$A$3:$H$102,7,FALSE)=VLOOKUP($A29,main!$A$3:$H$102,8,FALSE),VLOOKUP(AL$1,main!$A$3:$H$102,4,FALSE),VLOOKUP(AL$1,main!$A$3:$H$102,4,FALSE)+VLOOKUP($A29,main!$A$3:$H$102,4,FALSE)+(VLOOKUP(VLOOKUP(AL$1,main!$A$3:$H$102,8,FALSE),main!$K$19:$O$22,MATCH(VLOOKUP($A29,main!$A$3:$H$102,7,FALSE),main!$K$18:$O$18,0),0))),0)</f>
        <v>275</v>
      </c>
      <c r="AM29">
        <f>IF((gamma!AM29),IF(VLOOKUP(AM$1,main!$A$3:$H$102,7,FALSE)=VLOOKUP($A29,main!$A$3:$H$102,8,FALSE),VLOOKUP(AM$1,main!$A$3:$H$102,4,FALSE),VLOOKUP(AM$1,main!$A$3:$H$102,4,FALSE)+VLOOKUP($A29,main!$A$3:$H$102,4,FALSE)+(VLOOKUP(VLOOKUP(AM$1,main!$A$3:$H$102,8,FALSE),main!$K$19:$O$22,MATCH(VLOOKUP($A29,main!$A$3:$H$102,7,FALSE),main!$K$18:$O$18,0),0))),0)</f>
        <v>275</v>
      </c>
      <c r="AN29">
        <f>IF((gamma!AN29),IF(VLOOKUP(AN$1,main!$A$3:$H$102,7,FALSE)=VLOOKUP($A29,main!$A$3:$H$102,8,FALSE),VLOOKUP(AN$1,main!$A$3:$H$102,4,FALSE),VLOOKUP(AN$1,main!$A$3:$H$102,4,FALSE)+VLOOKUP($A29,main!$A$3:$H$102,4,FALSE)+(VLOOKUP(VLOOKUP(AN$1,main!$A$3:$H$102,8,FALSE),main!$K$19:$O$22,MATCH(VLOOKUP($A29,main!$A$3:$H$102,7,FALSE),main!$K$18:$O$18,0),0))),0)</f>
        <v>275</v>
      </c>
      <c r="AO29">
        <f>IF((gamma!AO29),IF(VLOOKUP(AO$1,main!$A$3:$H$102,7,FALSE)=VLOOKUP($A29,main!$A$3:$H$102,8,FALSE),VLOOKUP(AO$1,main!$A$3:$H$102,4,FALSE),VLOOKUP(AO$1,main!$A$3:$H$102,4,FALSE)+VLOOKUP($A29,main!$A$3:$H$102,4,FALSE)+(VLOOKUP(VLOOKUP(AO$1,main!$A$3:$H$102,8,FALSE),main!$K$19:$O$22,MATCH(VLOOKUP($A29,main!$A$3:$H$102,7,FALSE),main!$K$18:$O$18,0),0))),0)</f>
        <v>0</v>
      </c>
      <c r="AP29">
        <f>IF((gamma!AP29),IF(VLOOKUP(AP$1,main!$A$3:$H$102,7,FALSE)=VLOOKUP($A29,main!$A$3:$H$102,8,FALSE),VLOOKUP(AP$1,main!$A$3:$H$102,4,FALSE),VLOOKUP(AP$1,main!$A$3:$H$102,4,FALSE)+VLOOKUP($A29,main!$A$3:$H$102,4,FALSE)+(VLOOKUP(VLOOKUP(AP$1,main!$A$3:$H$102,8,FALSE),main!$K$19:$O$22,MATCH(VLOOKUP($A29,main!$A$3:$H$102,7,FALSE),main!$K$18:$O$18,0),0))),0)</f>
        <v>215</v>
      </c>
      <c r="AQ29">
        <f>IF((gamma!AQ29),IF(VLOOKUP(AQ$1,main!$A$3:$H$102,7,FALSE)=VLOOKUP($A29,main!$A$3:$H$102,8,FALSE),VLOOKUP(AQ$1,main!$A$3:$H$102,4,FALSE),VLOOKUP(AQ$1,main!$A$3:$H$102,4,FALSE)+VLOOKUP($A29,main!$A$3:$H$102,4,FALSE)+(VLOOKUP(VLOOKUP(AQ$1,main!$A$3:$H$102,8,FALSE),main!$K$19:$O$22,MATCH(VLOOKUP($A29,main!$A$3:$H$102,7,FALSE),main!$K$18:$O$18,0),0))),0)</f>
        <v>0</v>
      </c>
      <c r="AR29">
        <f>IF((gamma!AR29),IF(VLOOKUP(AR$1,main!$A$3:$H$102,7,FALSE)=VLOOKUP($A29,main!$A$3:$H$102,8,FALSE),VLOOKUP(AR$1,main!$A$3:$H$102,4,FALSE),VLOOKUP(AR$1,main!$A$3:$H$102,4,FALSE)+VLOOKUP($A29,main!$A$3:$H$102,4,FALSE)+(VLOOKUP(VLOOKUP(AR$1,main!$A$3:$H$102,8,FALSE),main!$K$19:$O$22,MATCH(VLOOKUP($A29,main!$A$3:$H$102,7,FALSE),main!$K$18:$O$18,0),0))),0)</f>
        <v>0</v>
      </c>
      <c r="AS29">
        <f>IF((gamma!AS29),IF(VLOOKUP(AS$1,main!$A$3:$H$102,7,FALSE)=VLOOKUP($A29,main!$A$3:$H$102,8,FALSE),VLOOKUP(AS$1,main!$A$3:$H$102,4,FALSE),VLOOKUP(AS$1,main!$A$3:$H$102,4,FALSE)+VLOOKUP($A29,main!$A$3:$H$102,4,FALSE)+(VLOOKUP(VLOOKUP(AS$1,main!$A$3:$H$102,8,FALSE),main!$K$19:$O$22,MATCH(VLOOKUP($A29,main!$A$3:$H$102,7,FALSE),main!$K$18:$O$18,0),0))),0)</f>
        <v>290</v>
      </c>
      <c r="AT29">
        <f>IF((gamma!AT29),IF(VLOOKUP(AT$1,main!$A$3:$H$102,7,FALSE)=VLOOKUP($A29,main!$A$3:$H$102,8,FALSE),VLOOKUP(AT$1,main!$A$3:$H$102,4,FALSE),VLOOKUP(AT$1,main!$A$3:$H$102,4,FALSE)+VLOOKUP($A29,main!$A$3:$H$102,4,FALSE)+(VLOOKUP(VLOOKUP(AT$1,main!$A$3:$H$102,8,FALSE),main!$K$19:$O$22,MATCH(VLOOKUP($A29,main!$A$3:$H$102,7,FALSE),main!$K$18:$O$18,0),0))),0)</f>
        <v>300</v>
      </c>
      <c r="AU29">
        <f>IF((gamma!AU29),IF(VLOOKUP(AU$1,main!$A$3:$H$102,7,FALSE)=VLOOKUP($A29,main!$A$3:$H$102,8,FALSE),VLOOKUP(AU$1,main!$A$3:$H$102,4,FALSE),VLOOKUP(AU$1,main!$A$3:$H$102,4,FALSE)+VLOOKUP($A29,main!$A$3:$H$102,4,FALSE)+(VLOOKUP(VLOOKUP(AU$1,main!$A$3:$H$102,8,FALSE),main!$K$19:$O$22,MATCH(VLOOKUP($A29,main!$A$3:$H$102,7,FALSE),main!$K$18:$O$18,0),0))),0)</f>
        <v>0</v>
      </c>
      <c r="AV29">
        <f>IF((gamma!AV29),IF(VLOOKUP(AV$1,main!$A$3:$H$102,7,FALSE)=VLOOKUP($A29,main!$A$3:$H$102,8,FALSE),VLOOKUP(AV$1,main!$A$3:$H$102,4,FALSE),VLOOKUP(AV$1,main!$A$3:$H$102,4,FALSE)+VLOOKUP($A29,main!$A$3:$H$102,4,FALSE)+(VLOOKUP(VLOOKUP(AV$1,main!$A$3:$H$102,8,FALSE),main!$K$19:$O$22,MATCH(VLOOKUP($A29,main!$A$3:$H$102,7,FALSE),main!$K$18:$O$18,0),0))),0)</f>
        <v>0</v>
      </c>
      <c r="AW29">
        <f>IF((gamma!AW29),IF(VLOOKUP(AW$1,main!$A$3:$H$102,7,FALSE)=VLOOKUP($A29,main!$A$3:$H$102,8,FALSE),VLOOKUP(AW$1,main!$A$3:$H$102,4,FALSE),VLOOKUP(AW$1,main!$A$3:$H$102,4,FALSE)+VLOOKUP($A29,main!$A$3:$H$102,4,FALSE)+(VLOOKUP(VLOOKUP(AW$1,main!$A$3:$H$102,8,FALSE),main!$K$19:$O$22,MATCH(VLOOKUP($A29,main!$A$3:$H$102,7,FALSE),main!$K$18:$O$18,0),0))),0)</f>
        <v>290</v>
      </c>
      <c r="AX29">
        <f>IF((gamma!AX29),IF(VLOOKUP(AX$1,main!$A$3:$H$102,7,FALSE)=VLOOKUP($A29,main!$A$3:$H$102,8,FALSE),VLOOKUP(AX$1,main!$A$3:$H$102,4,FALSE),VLOOKUP(AX$1,main!$A$3:$H$102,4,FALSE)+VLOOKUP($A29,main!$A$3:$H$102,4,FALSE)+(VLOOKUP(VLOOKUP(AX$1,main!$A$3:$H$102,8,FALSE),main!$K$19:$O$22,MATCH(VLOOKUP($A29,main!$A$3:$H$102,7,FALSE),main!$K$18:$O$18,0),0))),0)</f>
        <v>275</v>
      </c>
      <c r="AY29">
        <f>IF((gamma!AY29),IF(VLOOKUP(AY$1,main!$A$3:$H$102,7,FALSE)=VLOOKUP($A29,main!$A$3:$H$102,8,FALSE),VLOOKUP(AY$1,main!$A$3:$H$102,4,FALSE),VLOOKUP(AY$1,main!$A$3:$H$102,4,FALSE)+VLOOKUP($A29,main!$A$3:$H$102,4,FALSE)+(VLOOKUP(VLOOKUP(AY$1,main!$A$3:$H$102,8,FALSE),main!$K$19:$O$22,MATCH(VLOOKUP($A29,main!$A$3:$H$102,7,FALSE),main!$K$18:$O$18,0),0))),0)</f>
        <v>0</v>
      </c>
      <c r="AZ29">
        <f>IF((gamma!AZ29),IF(VLOOKUP(AZ$1,main!$A$3:$H$102,7,FALSE)=VLOOKUP($A29,main!$A$3:$H$102,8,FALSE),VLOOKUP(AZ$1,main!$A$3:$H$102,4,FALSE),VLOOKUP(AZ$1,main!$A$3:$H$102,4,FALSE)+VLOOKUP($A29,main!$A$3:$H$102,4,FALSE)+(VLOOKUP(VLOOKUP(AZ$1,main!$A$3:$H$102,8,FALSE),main!$K$19:$O$22,MATCH(VLOOKUP($A29,main!$A$3:$H$102,7,FALSE),main!$K$18:$O$18,0),0))),0)</f>
        <v>305</v>
      </c>
      <c r="BA29">
        <f>IF((gamma!BA29),IF(VLOOKUP(BA$1,main!$A$3:$H$102,7,FALSE)=VLOOKUP($A29,main!$A$3:$H$102,8,FALSE),VLOOKUP(BA$1,main!$A$3:$H$102,4,FALSE),VLOOKUP(BA$1,main!$A$3:$H$102,4,FALSE)+VLOOKUP($A29,main!$A$3:$H$102,4,FALSE)+(VLOOKUP(VLOOKUP(BA$1,main!$A$3:$H$102,8,FALSE),main!$K$19:$O$22,MATCH(VLOOKUP($A29,main!$A$3:$H$102,7,FALSE),main!$K$18:$O$18,0),0))),0)</f>
        <v>0</v>
      </c>
      <c r="BB29">
        <f>IF((gamma!BB29),IF(VLOOKUP(BB$1,main!$A$3:$H$102,7,FALSE)=VLOOKUP($A29,main!$A$3:$H$102,8,FALSE),VLOOKUP(BB$1,main!$A$3:$H$102,4,FALSE),VLOOKUP(BB$1,main!$A$3:$H$102,4,FALSE)+VLOOKUP($A29,main!$A$3:$H$102,4,FALSE)+(VLOOKUP(VLOOKUP(BB$1,main!$A$3:$H$102,8,FALSE),main!$K$19:$O$22,MATCH(VLOOKUP($A29,main!$A$3:$H$102,7,FALSE),main!$K$18:$O$18,0),0))),0)</f>
        <v>280</v>
      </c>
      <c r="BC29">
        <f>IF((gamma!BC29),IF(VLOOKUP(BC$1,main!$A$3:$H$102,7,FALSE)=VLOOKUP($A29,main!$A$3:$H$102,8,FALSE),VLOOKUP(BC$1,main!$A$3:$H$102,4,FALSE),VLOOKUP(BC$1,main!$A$3:$H$102,4,FALSE)+VLOOKUP($A29,main!$A$3:$H$102,4,FALSE)+(VLOOKUP(VLOOKUP(BC$1,main!$A$3:$H$102,8,FALSE),main!$K$19:$O$22,MATCH(VLOOKUP($A29,main!$A$3:$H$102,7,FALSE),main!$K$18:$O$18,0),0))),0)</f>
        <v>280</v>
      </c>
      <c r="BD29">
        <f>IF((gamma!BD29),IF(VLOOKUP(BD$1,main!$A$3:$H$102,7,FALSE)=VLOOKUP($A29,main!$A$3:$H$102,8,FALSE),VLOOKUP(BD$1,main!$A$3:$H$102,4,FALSE),VLOOKUP(BD$1,main!$A$3:$H$102,4,FALSE)+VLOOKUP($A29,main!$A$3:$H$102,4,FALSE)+(VLOOKUP(VLOOKUP(BD$1,main!$A$3:$H$102,8,FALSE),main!$K$19:$O$22,MATCH(VLOOKUP($A29,main!$A$3:$H$102,7,FALSE),main!$K$18:$O$18,0),0))),0)</f>
        <v>280</v>
      </c>
      <c r="BE29">
        <f>IF((gamma!BE29),IF(VLOOKUP(BE$1,main!$A$3:$H$102,7,FALSE)=VLOOKUP($A29,main!$A$3:$H$102,8,FALSE),VLOOKUP(BE$1,main!$A$3:$H$102,4,FALSE),VLOOKUP(BE$1,main!$A$3:$H$102,4,FALSE)+VLOOKUP($A29,main!$A$3:$H$102,4,FALSE)+(VLOOKUP(VLOOKUP(BE$1,main!$A$3:$H$102,8,FALSE),main!$K$19:$O$22,MATCH(VLOOKUP($A29,main!$A$3:$H$102,7,FALSE),main!$K$18:$O$18,0),0))),0)</f>
        <v>280</v>
      </c>
      <c r="BF29">
        <f>IF((gamma!BF29),IF(VLOOKUP(BF$1,main!$A$3:$H$102,7,FALSE)=VLOOKUP($A29,main!$A$3:$H$102,8,FALSE),VLOOKUP(BF$1,main!$A$3:$H$102,4,FALSE),VLOOKUP(BF$1,main!$A$3:$H$102,4,FALSE)+VLOOKUP($A29,main!$A$3:$H$102,4,FALSE)+(VLOOKUP(VLOOKUP(BF$1,main!$A$3:$H$102,8,FALSE),main!$K$19:$O$22,MATCH(VLOOKUP($A29,main!$A$3:$H$102,7,FALSE),main!$K$18:$O$18,0),0))),0)</f>
        <v>0</v>
      </c>
      <c r="BG29">
        <f>IF((gamma!BG29),IF(VLOOKUP(BG$1,main!$A$3:$H$102,7,FALSE)=VLOOKUP($A29,main!$A$3:$H$102,8,FALSE),VLOOKUP(BG$1,main!$A$3:$H$102,4,FALSE),VLOOKUP(BG$1,main!$A$3:$H$102,4,FALSE)+VLOOKUP($A29,main!$A$3:$H$102,4,FALSE)+(VLOOKUP(VLOOKUP(BG$1,main!$A$3:$H$102,8,FALSE),main!$K$19:$O$22,MATCH(VLOOKUP($A29,main!$A$3:$H$102,7,FALSE),main!$K$18:$O$18,0),0))),0)</f>
        <v>0</v>
      </c>
      <c r="BH29">
        <f>IF((gamma!BH29),IF(VLOOKUP(BH$1,main!$A$3:$H$102,7,FALSE)=VLOOKUP($A29,main!$A$3:$H$102,8,FALSE),VLOOKUP(BH$1,main!$A$3:$H$102,4,FALSE),VLOOKUP(BH$1,main!$A$3:$H$102,4,FALSE)+VLOOKUP($A29,main!$A$3:$H$102,4,FALSE)+(VLOOKUP(VLOOKUP(BH$1,main!$A$3:$H$102,8,FALSE),main!$K$19:$O$22,MATCH(VLOOKUP($A29,main!$A$3:$H$102,7,FALSE),main!$K$18:$O$18,0),0))),0)</f>
        <v>265</v>
      </c>
      <c r="BI29">
        <f>IF((gamma!BI29),IF(VLOOKUP(BI$1,main!$A$3:$H$102,7,FALSE)=VLOOKUP($A29,main!$A$3:$H$102,8,FALSE),VLOOKUP(BI$1,main!$A$3:$H$102,4,FALSE),VLOOKUP(BI$1,main!$A$3:$H$102,4,FALSE)+VLOOKUP($A29,main!$A$3:$H$102,4,FALSE)+(VLOOKUP(VLOOKUP(BI$1,main!$A$3:$H$102,8,FALSE),main!$K$19:$O$22,MATCH(VLOOKUP($A29,main!$A$3:$H$102,7,FALSE),main!$K$18:$O$18,0),0))),0)</f>
        <v>200</v>
      </c>
      <c r="BJ29">
        <f>IF((gamma!BJ29),IF(VLOOKUP(BJ$1,main!$A$3:$H$102,7,FALSE)=VLOOKUP($A29,main!$A$3:$H$102,8,FALSE),VLOOKUP(BJ$1,main!$A$3:$H$102,4,FALSE),VLOOKUP(BJ$1,main!$A$3:$H$102,4,FALSE)+VLOOKUP($A29,main!$A$3:$H$102,4,FALSE)+(VLOOKUP(VLOOKUP(BJ$1,main!$A$3:$H$102,8,FALSE),main!$K$19:$O$22,MATCH(VLOOKUP($A29,main!$A$3:$H$102,7,FALSE),main!$K$18:$O$18,0),0))),0)</f>
        <v>230</v>
      </c>
      <c r="BK29">
        <f>IF((gamma!BK29),IF(VLOOKUP(BK$1,main!$A$3:$H$102,7,FALSE)=VLOOKUP($A29,main!$A$3:$H$102,8,FALSE),VLOOKUP(BK$1,main!$A$3:$H$102,4,FALSE),VLOOKUP(BK$1,main!$A$3:$H$102,4,FALSE)+VLOOKUP($A29,main!$A$3:$H$102,4,FALSE)+(VLOOKUP(VLOOKUP(BK$1,main!$A$3:$H$102,8,FALSE),main!$K$19:$O$22,MATCH(VLOOKUP($A29,main!$A$3:$H$102,7,FALSE),main!$K$18:$O$18,0),0))),0)</f>
        <v>0</v>
      </c>
      <c r="BL29">
        <f>IF((gamma!BL29),IF(VLOOKUP(BL$1,main!$A$3:$H$102,7,FALSE)=VLOOKUP($A29,main!$A$3:$H$102,8,FALSE),VLOOKUP(BL$1,main!$A$3:$H$102,4,FALSE),VLOOKUP(BL$1,main!$A$3:$H$102,4,FALSE)+VLOOKUP($A29,main!$A$3:$H$102,4,FALSE)+(VLOOKUP(VLOOKUP(BL$1,main!$A$3:$H$102,8,FALSE),main!$K$19:$O$22,MATCH(VLOOKUP($A29,main!$A$3:$H$102,7,FALSE),main!$K$18:$O$18,0),0))),0)</f>
        <v>0</v>
      </c>
      <c r="BM29">
        <f>IF((gamma!BM29),IF(VLOOKUP(BM$1,main!$A$3:$H$102,7,FALSE)=VLOOKUP($A29,main!$A$3:$H$102,8,FALSE),VLOOKUP(BM$1,main!$A$3:$H$102,4,FALSE),VLOOKUP(BM$1,main!$A$3:$H$102,4,FALSE)+VLOOKUP($A29,main!$A$3:$H$102,4,FALSE)+(VLOOKUP(VLOOKUP(BM$1,main!$A$3:$H$102,8,FALSE),main!$K$19:$O$22,MATCH(VLOOKUP($A29,main!$A$3:$H$102,7,FALSE),main!$K$18:$O$18,0),0))),0)</f>
        <v>0</v>
      </c>
      <c r="BN29">
        <f>IF((gamma!BN29),IF(VLOOKUP(BN$1,main!$A$3:$H$102,7,FALSE)=VLOOKUP($A29,main!$A$3:$H$102,8,FALSE),VLOOKUP(BN$1,main!$A$3:$H$102,4,FALSE),VLOOKUP(BN$1,main!$A$3:$H$102,4,FALSE)+VLOOKUP($A29,main!$A$3:$H$102,4,FALSE)+(VLOOKUP(VLOOKUP(BN$1,main!$A$3:$H$102,8,FALSE),main!$K$19:$O$22,MATCH(VLOOKUP($A29,main!$A$3:$H$102,7,FALSE),main!$K$18:$O$18,0),0))),0)</f>
        <v>285</v>
      </c>
      <c r="BO29">
        <f>IF((gamma!BO29),IF(VLOOKUP(BO$1,main!$A$3:$H$102,7,FALSE)=VLOOKUP($A29,main!$A$3:$H$102,8,FALSE),VLOOKUP(BO$1,main!$A$3:$H$102,4,FALSE),VLOOKUP(BO$1,main!$A$3:$H$102,4,FALSE)+VLOOKUP($A29,main!$A$3:$H$102,4,FALSE)+(VLOOKUP(VLOOKUP(BO$1,main!$A$3:$H$102,8,FALSE),main!$K$19:$O$22,MATCH(VLOOKUP($A29,main!$A$3:$H$102,7,FALSE),main!$K$18:$O$18,0),0))),0)</f>
        <v>0</v>
      </c>
      <c r="BP29">
        <f>IF((gamma!BP29),IF(VLOOKUP(BP$1,main!$A$3:$H$102,7,FALSE)=VLOOKUP($A29,main!$A$3:$H$102,8,FALSE),VLOOKUP(BP$1,main!$A$3:$H$102,4,FALSE),VLOOKUP(BP$1,main!$A$3:$H$102,4,FALSE)+VLOOKUP($A29,main!$A$3:$H$102,4,FALSE)+(VLOOKUP(VLOOKUP(BP$1,main!$A$3:$H$102,8,FALSE),main!$K$19:$O$22,MATCH(VLOOKUP($A29,main!$A$3:$H$102,7,FALSE),main!$K$18:$O$18,0),0))),0)</f>
        <v>0</v>
      </c>
      <c r="BQ29">
        <f>IF((gamma!BQ29),IF(VLOOKUP(BQ$1,main!$A$3:$H$102,7,FALSE)=VLOOKUP($A29,main!$A$3:$H$102,8,FALSE),VLOOKUP(BQ$1,main!$A$3:$H$102,4,FALSE),VLOOKUP(BQ$1,main!$A$3:$H$102,4,FALSE)+VLOOKUP($A29,main!$A$3:$H$102,4,FALSE)+(VLOOKUP(VLOOKUP(BQ$1,main!$A$3:$H$102,8,FALSE),main!$K$19:$O$22,MATCH(VLOOKUP($A29,main!$A$3:$H$102,7,FALSE),main!$K$18:$O$18,0),0))),0)</f>
        <v>305</v>
      </c>
      <c r="BR29">
        <f>IF((gamma!BR29),IF(VLOOKUP(BR$1,main!$A$3:$H$102,7,FALSE)=VLOOKUP($A29,main!$A$3:$H$102,8,FALSE),VLOOKUP(BR$1,main!$A$3:$H$102,4,FALSE),VLOOKUP(BR$1,main!$A$3:$H$102,4,FALSE)+VLOOKUP($A29,main!$A$3:$H$102,4,FALSE)+(VLOOKUP(VLOOKUP(BR$1,main!$A$3:$H$102,8,FALSE),main!$K$19:$O$22,MATCH(VLOOKUP($A29,main!$A$3:$H$102,7,FALSE),main!$K$18:$O$18,0),0))),0)</f>
        <v>265</v>
      </c>
      <c r="BS29">
        <f>IF((gamma!BS29),IF(VLOOKUP(BS$1,main!$A$3:$H$102,7,FALSE)=VLOOKUP($A29,main!$A$3:$H$102,8,FALSE),VLOOKUP(BS$1,main!$A$3:$H$102,4,FALSE),VLOOKUP(BS$1,main!$A$3:$H$102,4,FALSE)+VLOOKUP($A29,main!$A$3:$H$102,4,FALSE)+(VLOOKUP(VLOOKUP(BS$1,main!$A$3:$H$102,8,FALSE),main!$K$19:$O$22,MATCH(VLOOKUP($A29,main!$A$3:$H$102,7,FALSE),main!$K$18:$O$18,0),0))),0)</f>
        <v>266</v>
      </c>
      <c r="BT29">
        <f>IF((gamma!BT29),IF(VLOOKUP(BT$1,main!$A$3:$H$102,7,FALSE)=VLOOKUP($A29,main!$A$3:$H$102,8,FALSE),VLOOKUP(BT$1,main!$A$3:$H$102,4,FALSE),VLOOKUP(BT$1,main!$A$3:$H$102,4,FALSE)+VLOOKUP($A29,main!$A$3:$H$102,4,FALSE)+(VLOOKUP(VLOOKUP(BT$1,main!$A$3:$H$102,8,FALSE),main!$K$19:$O$22,MATCH(VLOOKUP($A29,main!$A$3:$H$102,7,FALSE),main!$K$18:$O$18,0),0))),0)</f>
        <v>285</v>
      </c>
      <c r="BU29">
        <f>IF((gamma!BU29),IF(VLOOKUP(BU$1,main!$A$3:$H$102,7,FALSE)=VLOOKUP($A29,main!$A$3:$H$102,8,FALSE),VLOOKUP(BU$1,main!$A$3:$H$102,4,FALSE),VLOOKUP(BU$1,main!$A$3:$H$102,4,FALSE)+VLOOKUP($A29,main!$A$3:$H$102,4,FALSE)+(VLOOKUP(VLOOKUP(BU$1,main!$A$3:$H$102,8,FALSE),main!$K$19:$O$22,MATCH(VLOOKUP($A29,main!$A$3:$H$102,7,FALSE),main!$K$18:$O$18,0),0))),0)</f>
        <v>0</v>
      </c>
      <c r="BV29">
        <f>IF((gamma!BV29),IF(VLOOKUP(BV$1,main!$A$3:$H$102,7,FALSE)=VLOOKUP($A29,main!$A$3:$H$102,8,FALSE),VLOOKUP(BV$1,main!$A$3:$H$102,4,FALSE),VLOOKUP(BV$1,main!$A$3:$H$102,4,FALSE)+VLOOKUP($A29,main!$A$3:$H$102,4,FALSE)+(VLOOKUP(VLOOKUP(BV$1,main!$A$3:$H$102,8,FALSE),main!$K$19:$O$22,MATCH(VLOOKUP($A29,main!$A$3:$H$102,7,FALSE),main!$K$18:$O$18,0),0))),0)</f>
        <v>0</v>
      </c>
      <c r="BW29">
        <f>IF((gamma!BW29),IF(VLOOKUP(BW$1,main!$A$3:$H$102,7,FALSE)=VLOOKUP($A29,main!$A$3:$H$102,8,FALSE),VLOOKUP(BW$1,main!$A$3:$H$102,4,FALSE),VLOOKUP(BW$1,main!$A$3:$H$102,4,FALSE)+VLOOKUP($A29,main!$A$3:$H$102,4,FALSE)+(VLOOKUP(VLOOKUP(BW$1,main!$A$3:$H$102,8,FALSE),main!$K$19:$O$22,MATCH(VLOOKUP($A29,main!$A$3:$H$102,7,FALSE),main!$K$18:$O$18,0),0))),0)</f>
        <v>0</v>
      </c>
      <c r="BX29">
        <f>IF((gamma!BX29),IF(VLOOKUP(BX$1,main!$A$3:$H$102,7,FALSE)=VLOOKUP($A29,main!$A$3:$H$102,8,FALSE),VLOOKUP(BX$1,main!$A$3:$H$102,4,FALSE),VLOOKUP(BX$1,main!$A$3:$H$102,4,FALSE)+VLOOKUP($A29,main!$A$3:$H$102,4,FALSE)+(VLOOKUP(VLOOKUP(BX$1,main!$A$3:$H$102,8,FALSE),main!$K$19:$O$22,MATCH(VLOOKUP($A29,main!$A$3:$H$102,7,FALSE),main!$K$18:$O$18,0),0))),0)</f>
        <v>310</v>
      </c>
      <c r="BY29">
        <f>IF((gamma!BY29),IF(VLOOKUP(BY$1,main!$A$3:$H$102,7,FALSE)=VLOOKUP($A29,main!$A$3:$H$102,8,FALSE),VLOOKUP(BY$1,main!$A$3:$H$102,4,FALSE),VLOOKUP(BY$1,main!$A$3:$H$102,4,FALSE)+VLOOKUP($A29,main!$A$3:$H$102,4,FALSE)+(VLOOKUP(VLOOKUP(BY$1,main!$A$3:$H$102,8,FALSE),main!$K$19:$O$22,MATCH(VLOOKUP($A29,main!$A$3:$H$102,7,FALSE),main!$K$18:$O$18,0),0))),0)</f>
        <v>295</v>
      </c>
      <c r="BZ29">
        <f>IF((gamma!BZ29),IF(VLOOKUP(BZ$1,main!$A$3:$H$102,7,FALSE)=VLOOKUP($A29,main!$A$3:$H$102,8,FALSE),VLOOKUP(BZ$1,main!$A$3:$H$102,4,FALSE),VLOOKUP(BZ$1,main!$A$3:$H$102,4,FALSE)+VLOOKUP($A29,main!$A$3:$H$102,4,FALSE)+(VLOOKUP(VLOOKUP(BZ$1,main!$A$3:$H$102,8,FALSE),main!$K$19:$O$22,MATCH(VLOOKUP($A29,main!$A$3:$H$102,7,FALSE),main!$K$18:$O$18,0),0))),0)</f>
        <v>0</v>
      </c>
      <c r="CA29">
        <f>IF((gamma!CA29),IF(VLOOKUP(CA$1,main!$A$3:$H$102,7,FALSE)=VLOOKUP($A29,main!$A$3:$H$102,8,FALSE),VLOOKUP(CA$1,main!$A$3:$H$102,4,FALSE),VLOOKUP(CA$1,main!$A$3:$H$102,4,FALSE)+VLOOKUP($A29,main!$A$3:$H$102,4,FALSE)+(VLOOKUP(VLOOKUP(CA$1,main!$A$3:$H$102,8,FALSE),main!$K$19:$O$22,MATCH(VLOOKUP($A29,main!$A$3:$H$102,7,FALSE),main!$K$18:$O$18,0),0))),0)</f>
        <v>0</v>
      </c>
      <c r="CB29">
        <f>IF((gamma!CB29),IF(VLOOKUP(CB$1,main!$A$3:$H$102,7,FALSE)=VLOOKUP($A29,main!$A$3:$H$102,8,FALSE),VLOOKUP(CB$1,main!$A$3:$H$102,4,FALSE),VLOOKUP(CB$1,main!$A$3:$H$102,4,FALSE)+VLOOKUP($A29,main!$A$3:$H$102,4,FALSE)+(VLOOKUP(VLOOKUP(CB$1,main!$A$3:$H$102,8,FALSE),main!$K$19:$O$22,MATCH(VLOOKUP($A29,main!$A$3:$H$102,7,FALSE),main!$K$18:$O$18,0),0))),0)</f>
        <v>240</v>
      </c>
      <c r="CC29">
        <f>IF((gamma!CC29),IF(VLOOKUP(CC$1,main!$A$3:$H$102,7,FALSE)=VLOOKUP($A29,main!$A$3:$H$102,8,FALSE),VLOOKUP(CC$1,main!$A$3:$H$102,4,FALSE),VLOOKUP(CC$1,main!$A$3:$H$102,4,FALSE)+VLOOKUP($A29,main!$A$3:$H$102,4,FALSE)+(VLOOKUP(VLOOKUP(CC$1,main!$A$3:$H$102,8,FALSE),main!$K$19:$O$22,MATCH(VLOOKUP($A29,main!$A$3:$H$102,7,FALSE),main!$K$18:$O$18,0),0))),0)</f>
        <v>230</v>
      </c>
      <c r="CD29">
        <f>IF((gamma!CD29),IF(VLOOKUP(CD$1,main!$A$3:$H$102,7,FALSE)=VLOOKUP($A29,main!$A$3:$H$102,8,FALSE),VLOOKUP(CD$1,main!$A$3:$H$102,4,FALSE),VLOOKUP(CD$1,main!$A$3:$H$102,4,FALSE)+VLOOKUP($A29,main!$A$3:$H$102,4,FALSE)+(VLOOKUP(VLOOKUP(CD$1,main!$A$3:$H$102,8,FALSE),main!$K$19:$O$22,MATCH(VLOOKUP($A29,main!$A$3:$H$102,7,FALSE),main!$K$18:$O$18,0),0))),0)</f>
        <v>289</v>
      </c>
      <c r="CE29">
        <f>IF((gamma!CE29),IF(VLOOKUP(CE$1,main!$A$3:$H$102,7,FALSE)=VLOOKUP($A29,main!$A$3:$H$102,8,FALSE),VLOOKUP(CE$1,main!$A$3:$H$102,4,FALSE),VLOOKUP(CE$1,main!$A$3:$H$102,4,FALSE)+VLOOKUP($A29,main!$A$3:$H$102,4,FALSE)+(VLOOKUP(VLOOKUP(CE$1,main!$A$3:$H$102,8,FALSE),main!$K$19:$O$22,MATCH(VLOOKUP($A29,main!$A$3:$H$102,7,FALSE),main!$K$18:$O$18,0),0))),0)</f>
        <v>140</v>
      </c>
      <c r="CF29">
        <f>IF((gamma!CF29),IF(VLOOKUP(CF$1,main!$A$3:$H$102,7,FALSE)=VLOOKUP($A29,main!$A$3:$H$102,8,FALSE),VLOOKUP(CF$1,main!$A$3:$H$102,4,FALSE),VLOOKUP(CF$1,main!$A$3:$H$102,4,FALSE)+VLOOKUP($A29,main!$A$3:$H$102,4,FALSE)+(VLOOKUP(VLOOKUP(CF$1,main!$A$3:$H$102,8,FALSE),main!$K$19:$O$22,MATCH(VLOOKUP($A29,main!$A$3:$H$102,7,FALSE),main!$K$18:$O$18,0),0))),0)</f>
        <v>135</v>
      </c>
      <c r="CG29">
        <f>IF((gamma!CG29),IF(VLOOKUP(CG$1,main!$A$3:$H$102,7,FALSE)=VLOOKUP($A29,main!$A$3:$H$102,8,FALSE),VLOOKUP(CG$1,main!$A$3:$H$102,4,FALSE),VLOOKUP(CG$1,main!$A$3:$H$102,4,FALSE)+VLOOKUP($A29,main!$A$3:$H$102,4,FALSE)+(VLOOKUP(VLOOKUP(CG$1,main!$A$3:$H$102,8,FALSE),main!$K$19:$O$22,MATCH(VLOOKUP($A29,main!$A$3:$H$102,7,FALSE),main!$K$18:$O$18,0),0))),0)</f>
        <v>140</v>
      </c>
      <c r="CH29">
        <f>IF((gamma!CH29),IF(VLOOKUP(CH$1,main!$A$3:$H$102,7,FALSE)=VLOOKUP($A29,main!$A$3:$H$102,8,FALSE),VLOOKUP(CH$1,main!$A$3:$H$102,4,FALSE),VLOOKUP(CH$1,main!$A$3:$H$102,4,FALSE)+VLOOKUP($A29,main!$A$3:$H$102,4,FALSE)+(VLOOKUP(VLOOKUP(CH$1,main!$A$3:$H$102,8,FALSE),main!$K$19:$O$22,MATCH(VLOOKUP($A29,main!$A$3:$H$102,7,FALSE),main!$K$18:$O$18,0),0))),0)</f>
        <v>140</v>
      </c>
      <c r="CI29">
        <f>IF((gamma!CI29),IF(VLOOKUP(CI$1,main!$A$3:$H$102,7,FALSE)=VLOOKUP($A29,main!$A$3:$H$102,8,FALSE),VLOOKUP(CI$1,main!$A$3:$H$102,4,FALSE),VLOOKUP(CI$1,main!$A$3:$H$102,4,FALSE)+VLOOKUP($A29,main!$A$3:$H$102,4,FALSE)+(VLOOKUP(VLOOKUP(CI$1,main!$A$3:$H$102,8,FALSE),main!$K$19:$O$22,MATCH(VLOOKUP($A29,main!$A$3:$H$102,7,FALSE),main!$K$18:$O$18,0),0))),0)</f>
        <v>140</v>
      </c>
      <c r="CJ29">
        <f>IF((gamma!CJ29),IF(VLOOKUP(CJ$1,main!$A$3:$H$102,7,FALSE)=VLOOKUP($A29,main!$A$3:$H$102,8,FALSE),VLOOKUP(CJ$1,main!$A$3:$H$102,4,FALSE),VLOOKUP(CJ$1,main!$A$3:$H$102,4,FALSE)+VLOOKUP($A29,main!$A$3:$H$102,4,FALSE)+(VLOOKUP(VLOOKUP(CJ$1,main!$A$3:$H$102,8,FALSE),main!$K$19:$O$22,MATCH(VLOOKUP($A29,main!$A$3:$H$102,7,FALSE),main!$K$18:$O$18,0),0))),0)</f>
        <v>68</v>
      </c>
      <c r="CK29">
        <f>IF((gamma!CK29),IF(VLOOKUP(CK$1,main!$A$3:$H$102,7,FALSE)=VLOOKUP($A29,main!$A$3:$H$102,8,FALSE),VLOOKUP(CK$1,main!$A$3:$H$102,4,FALSE),VLOOKUP(CK$1,main!$A$3:$H$102,4,FALSE)+VLOOKUP($A29,main!$A$3:$H$102,4,FALSE)+(VLOOKUP(VLOOKUP(CK$1,main!$A$3:$H$102,8,FALSE),main!$K$19:$O$22,MATCH(VLOOKUP($A29,main!$A$3:$H$102,7,FALSE),main!$K$18:$O$18,0),0))),0)</f>
        <v>75</v>
      </c>
      <c r="CL29">
        <f>IF((gamma!CL29),IF(VLOOKUP(CL$1,main!$A$3:$H$102,7,FALSE)=VLOOKUP($A29,main!$A$3:$H$102,8,FALSE),VLOOKUP(CL$1,main!$A$3:$H$102,4,FALSE),VLOOKUP(CL$1,main!$A$3:$H$102,4,FALSE)+VLOOKUP($A29,main!$A$3:$H$102,4,FALSE)+(VLOOKUP(VLOOKUP(CL$1,main!$A$3:$H$102,8,FALSE),main!$K$19:$O$22,MATCH(VLOOKUP($A29,main!$A$3:$H$102,7,FALSE),main!$K$18:$O$18,0),0))),0)</f>
        <v>80</v>
      </c>
      <c r="CM29">
        <f>IF((gamma!CM29),IF(VLOOKUP(CM$1,main!$A$3:$H$102,7,FALSE)=VLOOKUP($A29,main!$A$3:$H$102,8,FALSE),VLOOKUP(CM$1,main!$A$3:$H$102,4,FALSE),VLOOKUP(CM$1,main!$A$3:$H$102,4,FALSE)+VLOOKUP($A29,main!$A$3:$H$102,4,FALSE)+(VLOOKUP(VLOOKUP(CM$1,main!$A$3:$H$102,8,FALSE),main!$K$19:$O$22,MATCH(VLOOKUP($A29,main!$A$3:$H$102,7,FALSE),main!$K$18:$O$18,0),0))),0)</f>
        <v>100</v>
      </c>
      <c r="CN29">
        <f>IF((gamma!CN29),IF(VLOOKUP(CN$1,main!$A$3:$H$102,7,FALSE)=VLOOKUP($A29,main!$A$3:$H$102,8,FALSE),VLOOKUP(CN$1,main!$A$3:$H$102,4,FALSE),VLOOKUP(CN$1,main!$A$3:$H$102,4,FALSE)+VLOOKUP($A29,main!$A$3:$H$102,4,FALSE)+(VLOOKUP(VLOOKUP(CN$1,main!$A$3:$H$102,8,FALSE),main!$K$19:$O$22,MATCH(VLOOKUP($A29,main!$A$3:$H$102,7,FALSE),main!$K$18:$O$18,0),0))),0)</f>
        <v>96</v>
      </c>
      <c r="CO29">
        <f>IF((gamma!CO29),IF(VLOOKUP(CO$1,main!$A$3:$H$102,7,FALSE)=VLOOKUP($A29,main!$A$3:$H$102,8,FALSE),VLOOKUP(CO$1,main!$A$3:$H$102,4,FALSE),VLOOKUP(CO$1,main!$A$3:$H$102,4,FALSE)+VLOOKUP($A29,main!$A$3:$H$102,4,FALSE)+(VLOOKUP(VLOOKUP(CO$1,main!$A$3:$H$102,8,FALSE),main!$K$19:$O$22,MATCH(VLOOKUP($A29,main!$A$3:$H$102,7,FALSE),main!$K$18:$O$18,0),0))),0)</f>
        <v>0</v>
      </c>
      <c r="CP29">
        <f>IF((gamma!CP29),IF(VLOOKUP(CP$1,main!$A$3:$H$102,7,FALSE)=VLOOKUP($A29,main!$A$3:$H$102,8,FALSE),VLOOKUP(CP$1,main!$A$3:$H$102,4,FALSE),VLOOKUP(CP$1,main!$A$3:$H$102,4,FALSE)+VLOOKUP($A29,main!$A$3:$H$102,4,FALSE)+(VLOOKUP(VLOOKUP(CP$1,main!$A$3:$H$102,8,FALSE),main!$K$19:$O$22,MATCH(VLOOKUP($A29,main!$A$3:$H$102,7,FALSE),main!$K$18:$O$18,0),0))),0)</f>
        <v>120</v>
      </c>
      <c r="CQ29">
        <f>IF((gamma!CQ29),IF(VLOOKUP(CQ$1,main!$A$3:$H$102,7,FALSE)=VLOOKUP($A29,main!$A$3:$H$102,8,FALSE),VLOOKUP(CQ$1,main!$A$3:$H$102,4,FALSE),VLOOKUP(CQ$1,main!$A$3:$H$102,4,FALSE)+VLOOKUP($A29,main!$A$3:$H$102,4,FALSE)+(VLOOKUP(VLOOKUP(CQ$1,main!$A$3:$H$102,8,FALSE),main!$K$19:$O$22,MATCH(VLOOKUP($A29,main!$A$3:$H$102,7,FALSE),main!$K$18:$O$18,0),0))),0)</f>
        <v>120</v>
      </c>
      <c r="CR29">
        <f>IF((gamma!CR29),IF(VLOOKUP(CR$1,main!$A$3:$H$102,7,FALSE)=VLOOKUP($A29,main!$A$3:$H$102,8,FALSE),VLOOKUP(CR$1,main!$A$3:$H$102,4,FALSE),VLOOKUP(CR$1,main!$A$3:$H$102,4,FALSE)+VLOOKUP($A29,main!$A$3:$H$102,4,FALSE)+(VLOOKUP(VLOOKUP(CR$1,main!$A$3:$H$102,8,FALSE),main!$K$19:$O$22,MATCH(VLOOKUP($A29,main!$A$3:$H$102,7,FALSE),main!$K$18:$O$18,0),0))),0)</f>
        <v>135</v>
      </c>
      <c r="CS29">
        <f>IF((gamma!CS29),IF(VLOOKUP(CS$1,main!$A$3:$H$102,7,FALSE)=VLOOKUP($A29,main!$A$3:$H$102,8,FALSE),VLOOKUP(CS$1,main!$A$3:$H$102,4,FALSE),VLOOKUP(CS$1,main!$A$3:$H$102,4,FALSE)+VLOOKUP($A29,main!$A$3:$H$102,4,FALSE)+(VLOOKUP(VLOOKUP(CS$1,main!$A$3:$H$102,8,FALSE),main!$K$19:$O$22,MATCH(VLOOKUP($A29,main!$A$3:$H$102,7,FALSE),main!$K$18:$O$18,0),0))),0)</f>
        <v>135</v>
      </c>
      <c r="CT29">
        <f>IF((gamma!CT29),IF(VLOOKUP(CT$1,main!$A$3:$H$102,7,FALSE)=VLOOKUP($A29,main!$A$3:$H$102,8,FALSE),VLOOKUP(CT$1,main!$A$3:$H$102,4,FALSE),VLOOKUP(CT$1,main!$A$3:$H$102,4,FALSE)+VLOOKUP($A29,main!$A$3:$H$102,4,FALSE)+(VLOOKUP(VLOOKUP(CT$1,main!$A$3:$H$102,8,FALSE),main!$K$19:$O$22,MATCH(VLOOKUP($A29,main!$A$3:$H$102,7,FALSE),main!$K$18:$O$18,0),0))),0)</f>
        <v>0</v>
      </c>
      <c r="CU29">
        <f>IF((gamma!CU29),IF(VLOOKUP(CU$1,main!$A$3:$H$102,7,FALSE)=VLOOKUP($A29,main!$A$3:$H$102,8,FALSE),VLOOKUP(CU$1,main!$A$3:$H$102,4,FALSE),VLOOKUP(CU$1,main!$A$3:$H$102,4,FALSE)+VLOOKUP($A29,main!$A$3:$H$102,4,FALSE)+(VLOOKUP(VLOOKUP(CU$1,main!$A$3:$H$102,8,FALSE),main!$K$19:$O$22,MATCH(VLOOKUP($A29,main!$A$3:$H$102,7,FALSE),main!$K$18:$O$18,0),0))),0)</f>
        <v>0</v>
      </c>
      <c r="CV29">
        <f>IF((gamma!CV29),IF(VLOOKUP(CV$1,main!$A$3:$H$102,7,FALSE)=VLOOKUP($A29,main!$A$3:$H$102,8,FALSE),VLOOKUP(CV$1,main!$A$3:$H$102,4,FALSE),VLOOKUP(CV$1,main!$A$3:$H$102,4,FALSE)+VLOOKUP($A29,main!$A$3:$H$102,4,FALSE)+(VLOOKUP(VLOOKUP(CV$1,main!$A$3:$H$102,8,FALSE),main!$K$19:$O$22,MATCH(VLOOKUP($A29,main!$A$3:$H$102,7,FALSE),main!$K$18:$O$18,0),0))),0)</f>
        <v>80</v>
      </c>
      <c r="CW29">
        <f>IF((gamma!CW29),IF(VLOOKUP(CW$1,main!$A$3:$H$102,7,FALSE)=VLOOKUP($A29,main!$A$3:$H$102,8,FALSE),VLOOKUP(CW$1,main!$A$3:$H$102,4,FALSE),VLOOKUP(CW$1,main!$A$3:$H$102,4,FALSE)+VLOOKUP($A29,main!$A$3:$H$102,4,FALSE)+(VLOOKUP(VLOOKUP(CW$1,main!$A$3:$H$102,8,FALSE),main!$K$19:$O$22,MATCH(VLOOKUP($A29,main!$A$3:$H$102,7,FALSE),main!$K$18:$O$18,0),0))),0)</f>
        <v>95</v>
      </c>
      <c r="CX29">
        <f>IF((gamma!CX29),IF(VLOOKUP(CX$1,main!$A$3:$H$102,7,FALSE)=VLOOKUP($A29,main!$A$3:$H$102,8,FALSE),VLOOKUP(CX$1,main!$A$3:$H$102,4,FALSE),VLOOKUP(CX$1,main!$A$3:$H$102,4,FALSE)+VLOOKUP($A29,main!$A$3:$H$102,4,FALSE)+(VLOOKUP(VLOOKUP(CX$1,main!$A$3:$H$102,8,FALSE),main!$K$19:$O$22,MATCH(VLOOKUP($A29,main!$A$3:$H$102,7,FALSE),main!$K$18:$O$18,0),0))),0)</f>
        <v>85</v>
      </c>
      <c r="CY29">
        <v>0</v>
      </c>
      <c r="CZ29">
        <v>0</v>
      </c>
      <c r="DA29">
        <v>0</v>
      </c>
    </row>
    <row r="30" spans="1:105" x14ac:dyDescent="0.25">
      <c r="A30" s="1">
        <v>28</v>
      </c>
      <c r="B30">
        <v>0</v>
      </c>
      <c r="C30">
        <f>IF((gamma!C30),IF(VLOOKUP(C$1,main!$A$3:$H$102,7,FALSE)=VLOOKUP($A30,main!$A$3:$H$102,8,FALSE),VLOOKUP(C$1,main!$A$3:$H$102,4,FALSE),VLOOKUP(C$1,main!$A$3:$H$102,4,FALSE)+VLOOKUP($A30,main!$A$3:$H$102,4,FALSE)+(VLOOKUP(VLOOKUP(C$1,main!$A$3:$H$102,8,FALSE),main!$K$19:$O$22,MATCH(VLOOKUP($A30,main!$A$3:$H$102,7,FALSE),main!$K$18:$O$18,0),0))),0)</f>
        <v>0</v>
      </c>
      <c r="D30">
        <f>IF((gamma!D30),IF(VLOOKUP(D$1,main!$A$3:$H$102,7,FALSE)=VLOOKUP($A30,main!$A$3:$H$102,8,FALSE),VLOOKUP(D$1,main!$A$3:$H$102,4,FALSE),VLOOKUP(D$1,main!$A$3:$H$102,4,FALSE)+VLOOKUP($A30,main!$A$3:$H$102,4,FALSE)+(VLOOKUP(VLOOKUP(D$1,main!$A$3:$H$102,8,FALSE),main!$K$19:$O$22,MATCH(VLOOKUP($A30,main!$A$3:$H$102,7,FALSE),main!$K$18:$O$18,0),0))),0)</f>
        <v>0</v>
      </c>
      <c r="E30">
        <f>IF((gamma!E30),IF(VLOOKUP(E$1,main!$A$3:$H$102,7,FALSE)=VLOOKUP($A30,main!$A$3:$H$102,8,FALSE),VLOOKUP(E$1,main!$A$3:$H$102,4,FALSE),VLOOKUP(E$1,main!$A$3:$H$102,4,FALSE)+VLOOKUP($A30,main!$A$3:$H$102,4,FALSE)+(VLOOKUP(VLOOKUP(E$1,main!$A$3:$H$102,8,FALSE),main!$K$19:$O$22,MATCH(VLOOKUP($A30,main!$A$3:$H$102,7,FALSE),main!$K$18:$O$18,0),0))),0)</f>
        <v>0</v>
      </c>
      <c r="F30">
        <f>IF((gamma!F30),IF(VLOOKUP(F$1,main!$A$3:$H$102,7,FALSE)=VLOOKUP($A30,main!$A$3:$H$102,8,FALSE),VLOOKUP(F$1,main!$A$3:$H$102,4,FALSE),VLOOKUP(F$1,main!$A$3:$H$102,4,FALSE)+VLOOKUP($A30,main!$A$3:$H$102,4,FALSE)+(VLOOKUP(VLOOKUP(F$1,main!$A$3:$H$102,8,FALSE),main!$K$19:$O$22,MATCH(VLOOKUP($A30,main!$A$3:$H$102,7,FALSE),main!$K$18:$O$18,0),0))),0)</f>
        <v>0</v>
      </c>
      <c r="G30">
        <f>IF((gamma!G30),IF(VLOOKUP(G$1,main!$A$3:$H$102,7,FALSE)=VLOOKUP($A30,main!$A$3:$H$102,8,FALSE),VLOOKUP(G$1,main!$A$3:$H$102,4,FALSE),VLOOKUP(G$1,main!$A$3:$H$102,4,FALSE)+VLOOKUP($A30,main!$A$3:$H$102,4,FALSE)+(VLOOKUP(VLOOKUP(G$1,main!$A$3:$H$102,8,FALSE),main!$K$19:$O$22,MATCH(VLOOKUP($A30,main!$A$3:$H$102,7,FALSE),main!$K$18:$O$18,0),0))),0)</f>
        <v>0</v>
      </c>
      <c r="H30">
        <f>IF((gamma!H30),IF(VLOOKUP(H$1,main!$A$3:$H$102,7,FALSE)=VLOOKUP($A30,main!$A$3:$H$102,8,FALSE),VLOOKUP(H$1,main!$A$3:$H$102,4,FALSE),VLOOKUP(H$1,main!$A$3:$H$102,4,FALSE)+VLOOKUP($A30,main!$A$3:$H$102,4,FALSE)+(VLOOKUP(VLOOKUP(H$1,main!$A$3:$H$102,8,FALSE),main!$K$19:$O$22,MATCH(VLOOKUP($A30,main!$A$3:$H$102,7,FALSE),main!$K$18:$O$18,0),0))),0)</f>
        <v>0</v>
      </c>
      <c r="I30">
        <f>IF((gamma!I30),IF(VLOOKUP(I$1,main!$A$3:$H$102,7,FALSE)=VLOOKUP($A30,main!$A$3:$H$102,8,FALSE),VLOOKUP(I$1,main!$A$3:$H$102,4,FALSE),VLOOKUP(I$1,main!$A$3:$H$102,4,FALSE)+VLOOKUP($A30,main!$A$3:$H$102,4,FALSE)+(VLOOKUP(VLOOKUP(I$1,main!$A$3:$H$102,8,FALSE),main!$K$19:$O$22,MATCH(VLOOKUP($A30,main!$A$3:$H$102,7,FALSE),main!$K$18:$O$18,0),0))),0)</f>
        <v>295</v>
      </c>
      <c r="J30">
        <f>IF((gamma!J30),IF(VLOOKUP(J$1,main!$A$3:$H$102,7,FALSE)=VLOOKUP($A30,main!$A$3:$H$102,8,FALSE),VLOOKUP(J$1,main!$A$3:$H$102,4,FALSE),VLOOKUP(J$1,main!$A$3:$H$102,4,FALSE)+VLOOKUP($A30,main!$A$3:$H$102,4,FALSE)+(VLOOKUP(VLOOKUP(J$1,main!$A$3:$H$102,8,FALSE),main!$K$19:$O$22,MATCH(VLOOKUP($A30,main!$A$3:$H$102,7,FALSE),main!$K$18:$O$18,0),0))),0)</f>
        <v>295</v>
      </c>
      <c r="K30">
        <f>IF((gamma!K30),IF(VLOOKUP(K$1,main!$A$3:$H$102,7,FALSE)=VLOOKUP($A30,main!$A$3:$H$102,8,FALSE),VLOOKUP(K$1,main!$A$3:$H$102,4,FALSE),VLOOKUP(K$1,main!$A$3:$H$102,4,FALSE)+VLOOKUP($A30,main!$A$3:$H$102,4,FALSE)+(VLOOKUP(VLOOKUP(K$1,main!$A$3:$H$102,8,FALSE),main!$K$19:$O$22,MATCH(VLOOKUP($A30,main!$A$3:$H$102,7,FALSE),main!$K$18:$O$18,0),0))),0)</f>
        <v>295</v>
      </c>
      <c r="L30">
        <f>IF((gamma!L30),IF(VLOOKUP(L$1,main!$A$3:$H$102,7,FALSE)=VLOOKUP($A30,main!$A$3:$H$102,8,FALSE),VLOOKUP(L$1,main!$A$3:$H$102,4,FALSE),VLOOKUP(L$1,main!$A$3:$H$102,4,FALSE)+VLOOKUP($A30,main!$A$3:$H$102,4,FALSE)+(VLOOKUP(VLOOKUP(L$1,main!$A$3:$H$102,8,FALSE),main!$K$19:$O$22,MATCH(VLOOKUP($A30,main!$A$3:$H$102,7,FALSE),main!$K$18:$O$18,0),0))),0)</f>
        <v>295</v>
      </c>
      <c r="M30">
        <f>IF((gamma!M30),IF(VLOOKUP(M$1,main!$A$3:$H$102,7,FALSE)=VLOOKUP($A30,main!$A$3:$H$102,8,FALSE),VLOOKUP(M$1,main!$A$3:$H$102,4,FALSE),VLOOKUP(M$1,main!$A$3:$H$102,4,FALSE)+VLOOKUP($A30,main!$A$3:$H$102,4,FALSE)+(VLOOKUP(VLOOKUP(M$1,main!$A$3:$H$102,8,FALSE),main!$K$19:$O$22,MATCH(VLOOKUP($A30,main!$A$3:$H$102,7,FALSE),main!$K$18:$O$18,0),0))),0)</f>
        <v>0</v>
      </c>
      <c r="N30">
        <f>IF((gamma!N30),IF(VLOOKUP(N$1,main!$A$3:$H$102,7,FALSE)=VLOOKUP($A30,main!$A$3:$H$102,8,FALSE),VLOOKUP(N$1,main!$A$3:$H$102,4,FALSE),VLOOKUP(N$1,main!$A$3:$H$102,4,FALSE)+VLOOKUP($A30,main!$A$3:$H$102,4,FALSE)+(VLOOKUP(VLOOKUP(N$1,main!$A$3:$H$102,8,FALSE),main!$K$19:$O$22,MATCH(VLOOKUP($A30,main!$A$3:$H$102,7,FALSE),main!$K$18:$O$18,0),0))),0)</f>
        <v>0</v>
      </c>
      <c r="O30">
        <f>IF((gamma!O30),IF(VLOOKUP(O$1,main!$A$3:$H$102,7,FALSE)=VLOOKUP($A30,main!$A$3:$H$102,8,FALSE),VLOOKUP(O$1,main!$A$3:$H$102,4,FALSE),VLOOKUP(O$1,main!$A$3:$H$102,4,FALSE)+VLOOKUP($A30,main!$A$3:$H$102,4,FALSE)+(VLOOKUP(VLOOKUP(O$1,main!$A$3:$H$102,8,FALSE),main!$K$19:$O$22,MATCH(VLOOKUP($A30,main!$A$3:$H$102,7,FALSE),main!$K$18:$O$18,0),0))),0)</f>
        <v>0</v>
      </c>
      <c r="P30">
        <f>IF((gamma!P30),IF(VLOOKUP(P$1,main!$A$3:$H$102,7,FALSE)=VLOOKUP($A30,main!$A$3:$H$102,8,FALSE),VLOOKUP(P$1,main!$A$3:$H$102,4,FALSE),VLOOKUP(P$1,main!$A$3:$H$102,4,FALSE)+VLOOKUP($A30,main!$A$3:$H$102,4,FALSE)+(VLOOKUP(VLOOKUP(P$1,main!$A$3:$H$102,8,FALSE),main!$K$19:$O$22,MATCH(VLOOKUP($A30,main!$A$3:$H$102,7,FALSE),main!$K$18:$O$18,0),0))),0)</f>
        <v>0</v>
      </c>
      <c r="Q30">
        <f>IF((gamma!Q30),IF(VLOOKUP(Q$1,main!$A$3:$H$102,7,FALSE)=VLOOKUP($A30,main!$A$3:$H$102,8,FALSE),VLOOKUP(Q$1,main!$A$3:$H$102,4,FALSE),VLOOKUP(Q$1,main!$A$3:$H$102,4,FALSE)+VLOOKUP($A30,main!$A$3:$H$102,4,FALSE)+(VLOOKUP(VLOOKUP(Q$1,main!$A$3:$H$102,8,FALSE),main!$K$19:$O$22,MATCH(VLOOKUP($A30,main!$A$3:$H$102,7,FALSE),main!$K$18:$O$18,0),0))),0)</f>
        <v>0</v>
      </c>
      <c r="R30">
        <f>IF((gamma!R30),IF(VLOOKUP(R$1,main!$A$3:$H$102,7,FALSE)=VLOOKUP($A30,main!$A$3:$H$102,8,FALSE),VLOOKUP(R$1,main!$A$3:$H$102,4,FALSE),VLOOKUP(R$1,main!$A$3:$H$102,4,FALSE)+VLOOKUP($A30,main!$A$3:$H$102,4,FALSE)+(VLOOKUP(VLOOKUP(R$1,main!$A$3:$H$102,8,FALSE),main!$K$19:$O$22,MATCH(VLOOKUP($A30,main!$A$3:$H$102,7,FALSE),main!$K$18:$O$18,0),0))),0)</f>
        <v>0</v>
      </c>
      <c r="S30">
        <f>IF((gamma!S30),IF(VLOOKUP(S$1,main!$A$3:$H$102,7,FALSE)=VLOOKUP($A30,main!$A$3:$H$102,8,FALSE),VLOOKUP(S$1,main!$A$3:$H$102,4,FALSE),VLOOKUP(S$1,main!$A$3:$H$102,4,FALSE)+VLOOKUP($A30,main!$A$3:$H$102,4,FALSE)+(VLOOKUP(VLOOKUP(S$1,main!$A$3:$H$102,8,FALSE),main!$K$19:$O$22,MATCH(VLOOKUP($A30,main!$A$3:$H$102,7,FALSE),main!$K$18:$O$18,0),0))),0)</f>
        <v>0</v>
      </c>
      <c r="T30">
        <f>IF((gamma!T30),IF(VLOOKUP(T$1,main!$A$3:$H$102,7,FALSE)=VLOOKUP($A30,main!$A$3:$H$102,8,FALSE),VLOOKUP(T$1,main!$A$3:$H$102,4,FALSE),VLOOKUP(T$1,main!$A$3:$H$102,4,FALSE)+VLOOKUP($A30,main!$A$3:$H$102,4,FALSE)+(VLOOKUP(VLOOKUP(T$1,main!$A$3:$H$102,8,FALSE),main!$K$19:$O$22,MATCH(VLOOKUP($A30,main!$A$3:$H$102,7,FALSE),main!$K$18:$O$18,0),0))),0)</f>
        <v>305</v>
      </c>
      <c r="U30">
        <f>IF((gamma!U30),IF(VLOOKUP(U$1,main!$A$3:$H$102,7,FALSE)=VLOOKUP($A30,main!$A$3:$H$102,8,FALSE),VLOOKUP(U$1,main!$A$3:$H$102,4,FALSE),VLOOKUP(U$1,main!$A$3:$H$102,4,FALSE)+VLOOKUP($A30,main!$A$3:$H$102,4,FALSE)+(VLOOKUP(VLOOKUP(U$1,main!$A$3:$H$102,8,FALSE),main!$K$19:$O$22,MATCH(VLOOKUP($A30,main!$A$3:$H$102,7,FALSE),main!$K$18:$O$18,0),0))),0)</f>
        <v>305</v>
      </c>
      <c r="V30">
        <f>IF((gamma!V30),IF(VLOOKUP(V$1,main!$A$3:$H$102,7,FALSE)=VLOOKUP($A30,main!$A$3:$H$102,8,FALSE),VLOOKUP(V$1,main!$A$3:$H$102,4,FALSE),VLOOKUP(V$1,main!$A$3:$H$102,4,FALSE)+VLOOKUP($A30,main!$A$3:$H$102,4,FALSE)+(VLOOKUP(VLOOKUP(V$1,main!$A$3:$H$102,8,FALSE),main!$K$19:$O$22,MATCH(VLOOKUP($A30,main!$A$3:$H$102,7,FALSE),main!$K$18:$O$18,0),0))),0)</f>
        <v>305</v>
      </c>
      <c r="W30">
        <f>IF((gamma!W30),IF(VLOOKUP(W$1,main!$A$3:$H$102,7,FALSE)=VLOOKUP($A30,main!$A$3:$H$102,8,FALSE),VLOOKUP(W$1,main!$A$3:$H$102,4,FALSE),VLOOKUP(W$1,main!$A$3:$H$102,4,FALSE)+VLOOKUP($A30,main!$A$3:$H$102,4,FALSE)+(VLOOKUP(VLOOKUP(W$1,main!$A$3:$H$102,8,FALSE),main!$K$19:$O$22,MATCH(VLOOKUP($A30,main!$A$3:$H$102,7,FALSE),main!$K$18:$O$18,0),0))),0)</f>
        <v>0</v>
      </c>
      <c r="X30">
        <f>IF((gamma!X30),IF(VLOOKUP(X$1,main!$A$3:$H$102,7,FALSE)=VLOOKUP($A30,main!$A$3:$H$102,8,FALSE),VLOOKUP(X$1,main!$A$3:$H$102,4,FALSE),VLOOKUP(X$1,main!$A$3:$H$102,4,FALSE)+VLOOKUP($A30,main!$A$3:$H$102,4,FALSE)+(VLOOKUP(VLOOKUP(X$1,main!$A$3:$H$102,8,FALSE),main!$K$19:$O$22,MATCH(VLOOKUP($A30,main!$A$3:$H$102,7,FALSE),main!$K$18:$O$18,0),0))),0)</f>
        <v>0</v>
      </c>
      <c r="Y30">
        <f>IF((gamma!Y30),IF(VLOOKUP(Y$1,main!$A$3:$H$102,7,FALSE)=VLOOKUP($A30,main!$A$3:$H$102,8,FALSE),VLOOKUP(Y$1,main!$A$3:$H$102,4,FALSE),VLOOKUP(Y$1,main!$A$3:$H$102,4,FALSE)+VLOOKUP($A30,main!$A$3:$H$102,4,FALSE)+(VLOOKUP(VLOOKUP(Y$1,main!$A$3:$H$102,8,FALSE),main!$K$19:$O$22,MATCH(VLOOKUP($A30,main!$A$3:$H$102,7,FALSE),main!$K$18:$O$18,0),0))),0)</f>
        <v>0</v>
      </c>
      <c r="Z30">
        <f>IF((gamma!Z30),IF(VLOOKUP(Z$1,main!$A$3:$H$102,7,FALSE)=VLOOKUP($A30,main!$A$3:$H$102,8,FALSE),VLOOKUP(Z$1,main!$A$3:$H$102,4,FALSE),VLOOKUP(Z$1,main!$A$3:$H$102,4,FALSE)+VLOOKUP($A30,main!$A$3:$H$102,4,FALSE)+(VLOOKUP(VLOOKUP(Z$1,main!$A$3:$H$102,8,FALSE),main!$K$19:$O$22,MATCH(VLOOKUP($A30,main!$A$3:$H$102,7,FALSE),main!$K$18:$O$18,0),0))),0)</f>
        <v>310</v>
      </c>
      <c r="AA30">
        <f>IF((gamma!AA30),IF(VLOOKUP(AA$1,main!$A$3:$H$102,7,FALSE)=VLOOKUP($A30,main!$A$3:$H$102,8,FALSE),VLOOKUP(AA$1,main!$A$3:$H$102,4,FALSE),VLOOKUP(AA$1,main!$A$3:$H$102,4,FALSE)+VLOOKUP($A30,main!$A$3:$H$102,4,FALSE)+(VLOOKUP(VLOOKUP(AA$1,main!$A$3:$H$102,8,FALSE),main!$K$19:$O$22,MATCH(VLOOKUP($A30,main!$A$3:$H$102,7,FALSE),main!$K$18:$O$18,0),0))),0)</f>
        <v>310</v>
      </c>
      <c r="AB30">
        <f>IF((gamma!AB30),IF(VLOOKUP(AB$1,main!$A$3:$H$102,7,FALSE)=VLOOKUP($A30,main!$A$3:$H$102,8,FALSE),VLOOKUP(AB$1,main!$A$3:$H$102,4,FALSE),VLOOKUP(AB$1,main!$A$3:$H$102,4,FALSE)+VLOOKUP($A30,main!$A$3:$H$102,4,FALSE)+(VLOOKUP(VLOOKUP(AB$1,main!$A$3:$H$102,8,FALSE),main!$K$19:$O$22,MATCH(VLOOKUP($A30,main!$A$3:$H$102,7,FALSE),main!$K$18:$O$18,0),0))),0)</f>
        <v>0</v>
      </c>
      <c r="AC30">
        <f>IF((gamma!AC30),IF(VLOOKUP(AC$1,main!$A$3:$H$102,7,FALSE)=VLOOKUP($A30,main!$A$3:$H$102,8,FALSE),VLOOKUP(AC$1,main!$A$3:$H$102,4,FALSE),VLOOKUP(AC$1,main!$A$3:$H$102,4,FALSE)+VLOOKUP($A30,main!$A$3:$H$102,4,FALSE)+(VLOOKUP(VLOOKUP(AC$1,main!$A$3:$H$102,8,FALSE),main!$K$19:$O$22,MATCH(VLOOKUP($A30,main!$A$3:$H$102,7,FALSE),main!$K$18:$O$18,0),0))),0)</f>
        <v>0</v>
      </c>
      <c r="AD30">
        <f>IF((gamma!AD30),IF(VLOOKUP(AD$1,main!$A$3:$H$102,7,FALSE)=VLOOKUP($A30,main!$A$3:$H$102,8,FALSE),VLOOKUP(AD$1,main!$A$3:$H$102,4,FALSE),VLOOKUP(AD$1,main!$A$3:$H$102,4,FALSE)+VLOOKUP($A30,main!$A$3:$H$102,4,FALSE)+(VLOOKUP(VLOOKUP(AD$1,main!$A$3:$H$102,8,FALSE),main!$K$19:$O$22,MATCH(VLOOKUP($A30,main!$A$3:$H$102,7,FALSE),main!$K$18:$O$18,0),0))),0)</f>
        <v>0</v>
      </c>
      <c r="AE30">
        <f>IF((gamma!AE30),IF(VLOOKUP(AE$1,main!$A$3:$H$102,7,FALSE)=VLOOKUP($A30,main!$A$3:$H$102,8,FALSE),VLOOKUP(AE$1,main!$A$3:$H$102,4,FALSE),VLOOKUP(AE$1,main!$A$3:$H$102,4,FALSE)+VLOOKUP($A30,main!$A$3:$H$102,4,FALSE)+(VLOOKUP(VLOOKUP(AE$1,main!$A$3:$H$102,8,FALSE),main!$K$19:$O$22,MATCH(VLOOKUP($A30,main!$A$3:$H$102,7,FALSE),main!$K$18:$O$18,0),0))),0)</f>
        <v>0</v>
      </c>
      <c r="AF30">
        <f>IF((gamma!AF30),IF(VLOOKUP(AF$1,main!$A$3:$H$102,7,FALSE)=VLOOKUP($A30,main!$A$3:$H$102,8,FALSE),VLOOKUP(AF$1,main!$A$3:$H$102,4,FALSE),VLOOKUP(AF$1,main!$A$3:$H$102,4,FALSE)+VLOOKUP($A30,main!$A$3:$H$102,4,FALSE)+(VLOOKUP(VLOOKUP(AF$1,main!$A$3:$H$102,8,FALSE),main!$K$19:$O$22,MATCH(VLOOKUP($A30,main!$A$3:$H$102,7,FALSE),main!$K$18:$O$18,0),0))),0)</f>
        <v>270</v>
      </c>
      <c r="AG30">
        <f>IF((gamma!AG30),IF(VLOOKUP(AG$1,main!$A$3:$H$102,7,FALSE)=VLOOKUP($A30,main!$A$3:$H$102,8,FALSE),VLOOKUP(AG$1,main!$A$3:$H$102,4,FALSE),VLOOKUP(AG$1,main!$A$3:$H$102,4,FALSE)+VLOOKUP($A30,main!$A$3:$H$102,4,FALSE)+(VLOOKUP(VLOOKUP(AG$1,main!$A$3:$H$102,8,FALSE),main!$K$19:$O$22,MATCH(VLOOKUP($A30,main!$A$3:$H$102,7,FALSE),main!$K$18:$O$18,0),0))),0)</f>
        <v>0</v>
      </c>
      <c r="AH30">
        <f>IF((gamma!AH30),IF(VLOOKUP(AH$1,main!$A$3:$H$102,7,FALSE)=VLOOKUP($A30,main!$A$3:$H$102,8,FALSE),VLOOKUP(AH$1,main!$A$3:$H$102,4,FALSE),VLOOKUP(AH$1,main!$A$3:$H$102,4,FALSE)+VLOOKUP($A30,main!$A$3:$H$102,4,FALSE)+(VLOOKUP(VLOOKUP(AH$1,main!$A$3:$H$102,8,FALSE),main!$K$19:$O$22,MATCH(VLOOKUP($A30,main!$A$3:$H$102,7,FALSE),main!$K$18:$O$18,0),0))),0)</f>
        <v>0</v>
      </c>
      <c r="AI30">
        <f>IF((gamma!AI30),IF(VLOOKUP(AI$1,main!$A$3:$H$102,7,FALSE)=VLOOKUP($A30,main!$A$3:$H$102,8,FALSE),VLOOKUP(AI$1,main!$A$3:$H$102,4,FALSE),VLOOKUP(AI$1,main!$A$3:$H$102,4,FALSE)+VLOOKUP($A30,main!$A$3:$H$102,4,FALSE)+(VLOOKUP(VLOOKUP(AI$1,main!$A$3:$H$102,8,FALSE),main!$K$19:$O$22,MATCH(VLOOKUP($A30,main!$A$3:$H$102,7,FALSE),main!$K$18:$O$18,0),0))),0)</f>
        <v>0</v>
      </c>
      <c r="AJ30">
        <f>IF((gamma!AJ30),IF(VLOOKUP(AJ$1,main!$A$3:$H$102,7,FALSE)=VLOOKUP($A30,main!$A$3:$H$102,8,FALSE),VLOOKUP(AJ$1,main!$A$3:$H$102,4,FALSE),VLOOKUP(AJ$1,main!$A$3:$H$102,4,FALSE)+VLOOKUP($A30,main!$A$3:$H$102,4,FALSE)+(VLOOKUP(VLOOKUP(AJ$1,main!$A$3:$H$102,8,FALSE),main!$K$19:$O$22,MATCH(VLOOKUP($A30,main!$A$3:$H$102,7,FALSE),main!$K$18:$O$18,0),0))),0)</f>
        <v>0</v>
      </c>
      <c r="AK30">
        <f>IF((gamma!AK30),IF(VLOOKUP(AK$1,main!$A$3:$H$102,7,FALSE)=VLOOKUP($A30,main!$A$3:$H$102,8,FALSE),VLOOKUP(AK$1,main!$A$3:$H$102,4,FALSE),VLOOKUP(AK$1,main!$A$3:$H$102,4,FALSE)+VLOOKUP($A30,main!$A$3:$H$102,4,FALSE)+(VLOOKUP(VLOOKUP(AK$1,main!$A$3:$H$102,8,FALSE),main!$K$19:$O$22,MATCH(VLOOKUP($A30,main!$A$3:$H$102,7,FALSE),main!$K$18:$O$18,0),0))),0)</f>
        <v>0</v>
      </c>
      <c r="AL30">
        <f>IF((gamma!AL30),IF(VLOOKUP(AL$1,main!$A$3:$H$102,7,FALSE)=VLOOKUP($A30,main!$A$3:$H$102,8,FALSE),VLOOKUP(AL$1,main!$A$3:$H$102,4,FALSE),VLOOKUP(AL$1,main!$A$3:$H$102,4,FALSE)+VLOOKUP($A30,main!$A$3:$H$102,4,FALSE)+(VLOOKUP(VLOOKUP(AL$1,main!$A$3:$H$102,8,FALSE),main!$K$19:$O$22,MATCH(VLOOKUP($A30,main!$A$3:$H$102,7,FALSE),main!$K$18:$O$18,0),0))),0)</f>
        <v>270</v>
      </c>
      <c r="AM30">
        <f>IF((gamma!AM30),IF(VLOOKUP(AM$1,main!$A$3:$H$102,7,FALSE)=VLOOKUP($A30,main!$A$3:$H$102,8,FALSE),VLOOKUP(AM$1,main!$A$3:$H$102,4,FALSE),VLOOKUP(AM$1,main!$A$3:$H$102,4,FALSE)+VLOOKUP($A30,main!$A$3:$H$102,4,FALSE)+(VLOOKUP(VLOOKUP(AM$1,main!$A$3:$H$102,8,FALSE),main!$K$19:$O$22,MATCH(VLOOKUP($A30,main!$A$3:$H$102,7,FALSE),main!$K$18:$O$18,0),0))),0)</f>
        <v>270</v>
      </c>
      <c r="AN30">
        <f>IF((gamma!AN30),IF(VLOOKUP(AN$1,main!$A$3:$H$102,7,FALSE)=VLOOKUP($A30,main!$A$3:$H$102,8,FALSE),VLOOKUP(AN$1,main!$A$3:$H$102,4,FALSE),VLOOKUP(AN$1,main!$A$3:$H$102,4,FALSE)+VLOOKUP($A30,main!$A$3:$H$102,4,FALSE)+(VLOOKUP(VLOOKUP(AN$1,main!$A$3:$H$102,8,FALSE),main!$K$19:$O$22,MATCH(VLOOKUP($A30,main!$A$3:$H$102,7,FALSE),main!$K$18:$O$18,0),0))),0)</f>
        <v>270</v>
      </c>
      <c r="AO30">
        <f>IF((gamma!AO30),IF(VLOOKUP(AO$1,main!$A$3:$H$102,7,FALSE)=VLOOKUP($A30,main!$A$3:$H$102,8,FALSE),VLOOKUP(AO$1,main!$A$3:$H$102,4,FALSE),VLOOKUP(AO$1,main!$A$3:$H$102,4,FALSE)+VLOOKUP($A30,main!$A$3:$H$102,4,FALSE)+(VLOOKUP(VLOOKUP(AO$1,main!$A$3:$H$102,8,FALSE),main!$K$19:$O$22,MATCH(VLOOKUP($A30,main!$A$3:$H$102,7,FALSE),main!$K$18:$O$18,0),0))),0)</f>
        <v>0</v>
      </c>
      <c r="AP30">
        <f>IF((gamma!AP30),IF(VLOOKUP(AP$1,main!$A$3:$H$102,7,FALSE)=VLOOKUP($A30,main!$A$3:$H$102,8,FALSE),VLOOKUP(AP$1,main!$A$3:$H$102,4,FALSE),VLOOKUP(AP$1,main!$A$3:$H$102,4,FALSE)+VLOOKUP($A30,main!$A$3:$H$102,4,FALSE)+(VLOOKUP(VLOOKUP(AP$1,main!$A$3:$H$102,8,FALSE),main!$K$19:$O$22,MATCH(VLOOKUP($A30,main!$A$3:$H$102,7,FALSE),main!$K$18:$O$18,0),0))),0)</f>
        <v>210</v>
      </c>
      <c r="AQ30">
        <f>IF((gamma!AQ30),IF(VLOOKUP(AQ$1,main!$A$3:$H$102,7,FALSE)=VLOOKUP($A30,main!$A$3:$H$102,8,FALSE),VLOOKUP(AQ$1,main!$A$3:$H$102,4,FALSE),VLOOKUP(AQ$1,main!$A$3:$H$102,4,FALSE)+VLOOKUP($A30,main!$A$3:$H$102,4,FALSE)+(VLOOKUP(VLOOKUP(AQ$1,main!$A$3:$H$102,8,FALSE),main!$K$19:$O$22,MATCH(VLOOKUP($A30,main!$A$3:$H$102,7,FALSE),main!$K$18:$O$18,0),0))),0)</f>
        <v>0</v>
      </c>
      <c r="AR30">
        <f>IF((gamma!AR30),IF(VLOOKUP(AR$1,main!$A$3:$H$102,7,FALSE)=VLOOKUP($A30,main!$A$3:$H$102,8,FALSE),VLOOKUP(AR$1,main!$A$3:$H$102,4,FALSE),VLOOKUP(AR$1,main!$A$3:$H$102,4,FALSE)+VLOOKUP($A30,main!$A$3:$H$102,4,FALSE)+(VLOOKUP(VLOOKUP(AR$1,main!$A$3:$H$102,8,FALSE),main!$K$19:$O$22,MATCH(VLOOKUP($A30,main!$A$3:$H$102,7,FALSE),main!$K$18:$O$18,0),0))),0)</f>
        <v>0</v>
      </c>
      <c r="AS30">
        <f>IF((gamma!AS30),IF(VLOOKUP(AS$1,main!$A$3:$H$102,7,FALSE)=VLOOKUP($A30,main!$A$3:$H$102,8,FALSE),VLOOKUP(AS$1,main!$A$3:$H$102,4,FALSE),VLOOKUP(AS$1,main!$A$3:$H$102,4,FALSE)+VLOOKUP($A30,main!$A$3:$H$102,4,FALSE)+(VLOOKUP(VLOOKUP(AS$1,main!$A$3:$H$102,8,FALSE),main!$K$19:$O$22,MATCH(VLOOKUP($A30,main!$A$3:$H$102,7,FALSE),main!$K$18:$O$18,0),0))),0)</f>
        <v>0</v>
      </c>
      <c r="AT30">
        <f>IF((gamma!AT30),IF(VLOOKUP(AT$1,main!$A$3:$H$102,7,FALSE)=VLOOKUP($A30,main!$A$3:$H$102,8,FALSE),VLOOKUP(AT$1,main!$A$3:$H$102,4,FALSE),VLOOKUP(AT$1,main!$A$3:$H$102,4,FALSE)+VLOOKUP($A30,main!$A$3:$H$102,4,FALSE)+(VLOOKUP(VLOOKUP(AT$1,main!$A$3:$H$102,8,FALSE),main!$K$19:$O$22,MATCH(VLOOKUP($A30,main!$A$3:$H$102,7,FALSE),main!$K$18:$O$18,0),0))),0)</f>
        <v>295</v>
      </c>
      <c r="AU30">
        <f>IF((gamma!AU30),IF(VLOOKUP(AU$1,main!$A$3:$H$102,7,FALSE)=VLOOKUP($A30,main!$A$3:$H$102,8,FALSE),VLOOKUP(AU$1,main!$A$3:$H$102,4,FALSE),VLOOKUP(AU$1,main!$A$3:$H$102,4,FALSE)+VLOOKUP($A30,main!$A$3:$H$102,4,FALSE)+(VLOOKUP(VLOOKUP(AU$1,main!$A$3:$H$102,8,FALSE),main!$K$19:$O$22,MATCH(VLOOKUP($A30,main!$A$3:$H$102,7,FALSE),main!$K$18:$O$18,0),0))),0)</f>
        <v>0</v>
      </c>
      <c r="AV30">
        <f>IF((gamma!AV30),IF(VLOOKUP(AV$1,main!$A$3:$H$102,7,FALSE)=VLOOKUP($A30,main!$A$3:$H$102,8,FALSE),VLOOKUP(AV$1,main!$A$3:$H$102,4,FALSE),VLOOKUP(AV$1,main!$A$3:$H$102,4,FALSE)+VLOOKUP($A30,main!$A$3:$H$102,4,FALSE)+(VLOOKUP(VLOOKUP(AV$1,main!$A$3:$H$102,8,FALSE),main!$K$19:$O$22,MATCH(VLOOKUP($A30,main!$A$3:$H$102,7,FALSE),main!$K$18:$O$18,0),0))),0)</f>
        <v>0</v>
      </c>
      <c r="AW30">
        <f>IF((gamma!AW30),IF(VLOOKUP(AW$1,main!$A$3:$H$102,7,FALSE)=VLOOKUP($A30,main!$A$3:$H$102,8,FALSE),VLOOKUP(AW$1,main!$A$3:$H$102,4,FALSE),VLOOKUP(AW$1,main!$A$3:$H$102,4,FALSE)+VLOOKUP($A30,main!$A$3:$H$102,4,FALSE)+(VLOOKUP(VLOOKUP(AW$1,main!$A$3:$H$102,8,FALSE),main!$K$19:$O$22,MATCH(VLOOKUP($A30,main!$A$3:$H$102,7,FALSE),main!$K$18:$O$18,0),0))),0)</f>
        <v>0</v>
      </c>
      <c r="AX30">
        <f>IF((gamma!AX30),IF(VLOOKUP(AX$1,main!$A$3:$H$102,7,FALSE)=VLOOKUP($A30,main!$A$3:$H$102,8,FALSE),VLOOKUP(AX$1,main!$A$3:$H$102,4,FALSE),VLOOKUP(AX$1,main!$A$3:$H$102,4,FALSE)+VLOOKUP($A30,main!$A$3:$H$102,4,FALSE)+(VLOOKUP(VLOOKUP(AX$1,main!$A$3:$H$102,8,FALSE),main!$K$19:$O$22,MATCH(VLOOKUP($A30,main!$A$3:$H$102,7,FALSE),main!$K$18:$O$18,0),0))),0)</f>
        <v>0</v>
      </c>
      <c r="AY30">
        <f>IF((gamma!AY30),IF(VLOOKUP(AY$1,main!$A$3:$H$102,7,FALSE)=VLOOKUP($A30,main!$A$3:$H$102,8,FALSE),VLOOKUP(AY$1,main!$A$3:$H$102,4,FALSE),VLOOKUP(AY$1,main!$A$3:$H$102,4,FALSE)+VLOOKUP($A30,main!$A$3:$H$102,4,FALSE)+(VLOOKUP(VLOOKUP(AY$1,main!$A$3:$H$102,8,FALSE),main!$K$19:$O$22,MATCH(VLOOKUP($A30,main!$A$3:$H$102,7,FALSE),main!$K$18:$O$18,0),0))),0)</f>
        <v>0</v>
      </c>
      <c r="AZ30">
        <f>IF((gamma!AZ30),IF(VLOOKUP(AZ$1,main!$A$3:$H$102,7,FALSE)=VLOOKUP($A30,main!$A$3:$H$102,8,FALSE),VLOOKUP(AZ$1,main!$A$3:$H$102,4,FALSE),VLOOKUP(AZ$1,main!$A$3:$H$102,4,FALSE)+VLOOKUP($A30,main!$A$3:$H$102,4,FALSE)+(VLOOKUP(VLOOKUP(AZ$1,main!$A$3:$H$102,8,FALSE),main!$K$19:$O$22,MATCH(VLOOKUP($A30,main!$A$3:$H$102,7,FALSE),main!$K$18:$O$18,0),0))),0)</f>
        <v>0</v>
      </c>
      <c r="BA30">
        <f>IF((gamma!BA30),IF(VLOOKUP(BA$1,main!$A$3:$H$102,7,FALSE)=VLOOKUP($A30,main!$A$3:$H$102,8,FALSE),VLOOKUP(BA$1,main!$A$3:$H$102,4,FALSE),VLOOKUP(BA$1,main!$A$3:$H$102,4,FALSE)+VLOOKUP($A30,main!$A$3:$H$102,4,FALSE)+(VLOOKUP(VLOOKUP(BA$1,main!$A$3:$H$102,8,FALSE),main!$K$19:$O$22,MATCH(VLOOKUP($A30,main!$A$3:$H$102,7,FALSE),main!$K$18:$O$18,0),0))),0)</f>
        <v>0</v>
      </c>
      <c r="BB30">
        <f>IF((gamma!BB30),IF(VLOOKUP(BB$1,main!$A$3:$H$102,7,FALSE)=VLOOKUP($A30,main!$A$3:$H$102,8,FALSE),VLOOKUP(BB$1,main!$A$3:$H$102,4,FALSE),VLOOKUP(BB$1,main!$A$3:$H$102,4,FALSE)+VLOOKUP($A30,main!$A$3:$H$102,4,FALSE)+(VLOOKUP(VLOOKUP(BB$1,main!$A$3:$H$102,8,FALSE),main!$K$19:$O$22,MATCH(VLOOKUP($A30,main!$A$3:$H$102,7,FALSE),main!$K$18:$O$18,0),0))),0)</f>
        <v>0</v>
      </c>
      <c r="BC30">
        <f>IF((gamma!BC30),IF(VLOOKUP(BC$1,main!$A$3:$H$102,7,FALSE)=VLOOKUP($A30,main!$A$3:$H$102,8,FALSE),VLOOKUP(BC$1,main!$A$3:$H$102,4,FALSE),VLOOKUP(BC$1,main!$A$3:$H$102,4,FALSE)+VLOOKUP($A30,main!$A$3:$H$102,4,FALSE)+(VLOOKUP(VLOOKUP(BC$1,main!$A$3:$H$102,8,FALSE),main!$K$19:$O$22,MATCH(VLOOKUP($A30,main!$A$3:$H$102,7,FALSE),main!$K$18:$O$18,0),0))),0)</f>
        <v>0</v>
      </c>
      <c r="BD30">
        <f>IF((gamma!BD30),IF(VLOOKUP(BD$1,main!$A$3:$H$102,7,FALSE)=VLOOKUP($A30,main!$A$3:$H$102,8,FALSE),VLOOKUP(BD$1,main!$A$3:$H$102,4,FALSE),VLOOKUP(BD$1,main!$A$3:$H$102,4,FALSE)+VLOOKUP($A30,main!$A$3:$H$102,4,FALSE)+(VLOOKUP(VLOOKUP(BD$1,main!$A$3:$H$102,8,FALSE),main!$K$19:$O$22,MATCH(VLOOKUP($A30,main!$A$3:$H$102,7,FALSE),main!$K$18:$O$18,0),0))),0)</f>
        <v>0</v>
      </c>
      <c r="BE30">
        <f>IF((gamma!BE30),IF(VLOOKUP(BE$1,main!$A$3:$H$102,7,FALSE)=VLOOKUP($A30,main!$A$3:$H$102,8,FALSE),VLOOKUP(BE$1,main!$A$3:$H$102,4,FALSE),VLOOKUP(BE$1,main!$A$3:$H$102,4,FALSE)+VLOOKUP($A30,main!$A$3:$H$102,4,FALSE)+(VLOOKUP(VLOOKUP(BE$1,main!$A$3:$H$102,8,FALSE),main!$K$19:$O$22,MATCH(VLOOKUP($A30,main!$A$3:$H$102,7,FALSE),main!$K$18:$O$18,0),0))),0)</f>
        <v>275</v>
      </c>
      <c r="BF30">
        <f>IF((gamma!BF30),IF(VLOOKUP(BF$1,main!$A$3:$H$102,7,FALSE)=VLOOKUP($A30,main!$A$3:$H$102,8,FALSE),VLOOKUP(BF$1,main!$A$3:$H$102,4,FALSE),VLOOKUP(BF$1,main!$A$3:$H$102,4,FALSE)+VLOOKUP($A30,main!$A$3:$H$102,4,FALSE)+(VLOOKUP(VLOOKUP(BF$1,main!$A$3:$H$102,8,FALSE),main!$K$19:$O$22,MATCH(VLOOKUP($A30,main!$A$3:$H$102,7,FALSE),main!$K$18:$O$18,0),0))),0)</f>
        <v>0</v>
      </c>
      <c r="BG30">
        <f>IF((gamma!BG30),IF(VLOOKUP(BG$1,main!$A$3:$H$102,7,FALSE)=VLOOKUP($A30,main!$A$3:$H$102,8,FALSE),VLOOKUP(BG$1,main!$A$3:$H$102,4,FALSE),VLOOKUP(BG$1,main!$A$3:$H$102,4,FALSE)+VLOOKUP($A30,main!$A$3:$H$102,4,FALSE)+(VLOOKUP(VLOOKUP(BG$1,main!$A$3:$H$102,8,FALSE),main!$K$19:$O$22,MATCH(VLOOKUP($A30,main!$A$3:$H$102,7,FALSE),main!$K$18:$O$18,0),0))),0)</f>
        <v>0</v>
      </c>
      <c r="BH30">
        <f>IF((gamma!BH30),IF(VLOOKUP(BH$1,main!$A$3:$H$102,7,FALSE)=VLOOKUP($A30,main!$A$3:$H$102,8,FALSE),VLOOKUP(BH$1,main!$A$3:$H$102,4,FALSE),VLOOKUP(BH$1,main!$A$3:$H$102,4,FALSE)+VLOOKUP($A30,main!$A$3:$H$102,4,FALSE)+(VLOOKUP(VLOOKUP(BH$1,main!$A$3:$H$102,8,FALSE),main!$K$19:$O$22,MATCH(VLOOKUP($A30,main!$A$3:$H$102,7,FALSE),main!$K$18:$O$18,0),0))),0)</f>
        <v>0</v>
      </c>
      <c r="BI30">
        <f>IF((gamma!BI30),IF(VLOOKUP(BI$1,main!$A$3:$H$102,7,FALSE)=VLOOKUP($A30,main!$A$3:$H$102,8,FALSE),VLOOKUP(BI$1,main!$A$3:$H$102,4,FALSE),VLOOKUP(BI$1,main!$A$3:$H$102,4,FALSE)+VLOOKUP($A30,main!$A$3:$H$102,4,FALSE)+(VLOOKUP(VLOOKUP(BI$1,main!$A$3:$H$102,8,FALSE),main!$K$19:$O$22,MATCH(VLOOKUP($A30,main!$A$3:$H$102,7,FALSE),main!$K$18:$O$18,0),0))),0)</f>
        <v>195</v>
      </c>
      <c r="BJ30">
        <f>IF((gamma!BJ30),IF(VLOOKUP(BJ$1,main!$A$3:$H$102,7,FALSE)=VLOOKUP($A30,main!$A$3:$H$102,8,FALSE),VLOOKUP(BJ$1,main!$A$3:$H$102,4,FALSE),VLOOKUP(BJ$1,main!$A$3:$H$102,4,FALSE)+VLOOKUP($A30,main!$A$3:$H$102,4,FALSE)+(VLOOKUP(VLOOKUP(BJ$1,main!$A$3:$H$102,8,FALSE),main!$K$19:$O$22,MATCH(VLOOKUP($A30,main!$A$3:$H$102,7,FALSE),main!$K$18:$O$18,0),0))),0)</f>
        <v>225</v>
      </c>
      <c r="BK30">
        <f>IF((gamma!BK30),IF(VLOOKUP(BK$1,main!$A$3:$H$102,7,FALSE)=VLOOKUP($A30,main!$A$3:$H$102,8,FALSE),VLOOKUP(BK$1,main!$A$3:$H$102,4,FALSE),VLOOKUP(BK$1,main!$A$3:$H$102,4,FALSE)+VLOOKUP($A30,main!$A$3:$H$102,4,FALSE)+(VLOOKUP(VLOOKUP(BK$1,main!$A$3:$H$102,8,FALSE),main!$K$19:$O$22,MATCH(VLOOKUP($A30,main!$A$3:$H$102,7,FALSE),main!$K$18:$O$18,0),0))),0)</f>
        <v>0</v>
      </c>
      <c r="BL30">
        <f>IF((gamma!BL30),IF(VLOOKUP(BL$1,main!$A$3:$H$102,7,FALSE)=VLOOKUP($A30,main!$A$3:$H$102,8,FALSE),VLOOKUP(BL$1,main!$A$3:$H$102,4,FALSE),VLOOKUP(BL$1,main!$A$3:$H$102,4,FALSE)+VLOOKUP($A30,main!$A$3:$H$102,4,FALSE)+(VLOOKUP(VLOOKUP(BL$1,main!$A$3:$H$102,8,FALSE),main!$K$19:$O$22,MATCH(VLOOKUP($A30,main!$A$3:$H$102,7,FALSE),main!$K$18:$O$18,0),0))),0)</f>
        <v>0</v>
      </c>
      <c r="BM30">
        <f>IF((gamma!BM30),IF(VLOOKUP(BM$1,main!$A$3:$H$102,7,FALSE)=VLOOKUP($A30,main!$A$3:$H$102,8,FALSE),VLOOKUP(BM$1,main!$A$3:$H$102,4,FALSE),VLOOKUP(BM$1,main!$A$3:$H$102,4,FALSE)+VLOOKUP($A30,main!$A$3:$H$102,4,FALSE)+(VLOOKUP(VLOOKUP(BM$1,main!$A$3:$H$102,8,FALSE),main!$K$19:$O$22,MATCH(VLOOKUP($A30,main!$A$3:$H$102,7,FALSE),main!$K$18:$O$18,0),0))),0)</f>
        <v>0</v>
      </c>
      <c r="BN30">
        <f>IF((gamma!BN30),IF(VLOOKUP(BN$1,main!$A$3:$H$102,7,FALSE)=VLOOKUP($A30,main!$A$3:$H$102,8,FALSE),VLOOKUP(BN$1,main!$A$3:$H$102,4,FALSE),VLOOKUP(BN$1,main!$A$3:$H$102,4,FALSE)+VLOOKUP($A30,main!$A$3:$H$102,4,FALSE)+(VLOOKUP(VLOOKUP(BN$1,main!$A$3:$H$102,8,FALSE),main!$K$19:$O$22,MATCH(VLOOKUP($A30,main!$A$3:$H$102,7,FALSE),main!$K$18:$O$18,0),0))),0)</f>
        <v>0</v>
      </c>
      <c r="BO30">
        <f>IF((gamma!BO30),IF(VLOOKUP(BO$1,main!$A$3:$H$102,7,FALSE)=VLOOKUP($A30,main!$A$3:$H$102,8,FALSE),VLOOKUP(BO$1,main!$A$3:$H$102,4,FALSE),VLOOKUP(BO$1,main!$A$3:$H$102,4,FALSE)+VLOOKUP($A30,main!$A$3:$H$102,4,FALSE)+(VLOOKUP(VLOOKUP(BO$1,main!$A$3:$H$102,8,FALSE),main!$K$19:$O$22,MATCH(VLOOKUP($A30,main!$A$3:$H$102,7,FALSE),main!$K$18:$O$18,0),0))),0)</f>
        <v>0</v>
      </c>
      <c r="BP30">
        <f>IF((gamma!BP30),IF(VLOOKUP(BP$1,main!$A$3:$H$102,7,FALSE)=VLOOKUP($A30,main!$A$3:$H$102,8,FALSE),VLOOKUP(BP$1,main!$A$3:$H$102,4,FALSE),VLOOKUP(BP$1,main!$A$3:$H$102,4,FALSE)+VLOOKUP($A30,main!$A$3:$H$102,4,FALSE)+(VLOOKUP(VLOOKUP(BP$1,main!$A$3:$H$102,8,FALSE),main!$K$19:$O$22,MATCH(VLOOKUP($A30,main!$A$3:$H$102,7,FALSE),main!$K$18:$O$18,0),0))),0)</f>
        <v>0</v>
      </c>
      <c r="BQ30">
        <f>IF((gamma!BQ30),IF(VLOOKUP(BQ$1,main!$A$3:$H$102,7,FALSE)=VLOOKUP($A30,main!$A$3:$H$102,8,FALSE),VLOOKUP(BQ$1,main!$A$3:$H$102,4,FALSE),VLOOKUP(BQ$1,main!$A$3:$H$102,4,FALSE)+VLOOKUP($A30,main!$A$3:$H$102,4,FALSE)+(VLOOKUP(VLOOKUP(BQ$1,main!$A$3:$H$102,8,FALSE),main!$K$19:$O$22,MATCH(VLOOKUP($A30,main!$A$3:$H$102,7,FALSE),main!$K$18:$O$18,0),0))),0)</f>
        <v>0</v>
      </c>
      <c r="BR30">
        <f>IF((gamma!BR30),IF(VLOOKUP(BR$1,main!$A$3:$H$102,7,FALSE)=VLOOKUP($A30,main!$A$3:$H$102,8,FALSE),VLOOKUP(BR$1,main!$A$3:$H$102,4,FALSE),VLOOKUP(BR$1,main!$A$3:$H$102,4,FALSE)+VLOOKUP($A30,main!$A$3:$H$102,4,FALSE)+(VLOOKUP(VLOOKUP(BR$1,main!$A$3:$H$102,8,FALSE),main!$K$19:$O$22,MATCH(VLOOKUP($A30,main!$A$3:$H$102,7,FALSE),main!$K$18:$O$18,0),0))),0)</f>
        <v>0</v>
      </c>
      <c r="BS30">
        <f>IF((gamma!BS30),IF(VLOOKUP(BS$1,main!$A$3:$H$102,7,FALSE)=VLOOKUP($A30,main!$A$3:$H$102,8,FALSE),VLOOKUP(BS$1,main!$A$3:$H$102,4,FALSE),VLOOKUP(BS$1,main!$A$3:$H$102,4,FALSE)+VLOOKUP($A30,main!$A$3:$H$102,4,FALSE)+(VLOOKUP(VLOOKUP(BS$1,main!$A$3:$H$102,8,FALSE),main!$K$19:$O$22,MATCH(VLOOKUP($A30,main!$A$3:$H$102,7,FALSE),main!$K$18:$O$18,0),0))),0)</f>
        <v>0</v>
      </c>
      <c r="BT30">
        <f>IF((gamma!BT30),IF(VLOOKUP(BT$1,main!$A$3:$H$102,7,FALSE)=VLOOKUP($A30,main!$A$3:$H$102,8,FALSE),VLOOKUP(BT$1,main!$A$3:$H$102,4,FALSE),VLOOKUP(BT$1,main!$A$3:$H$102,4,FALSE)+VLOOKUP($A30,main!$A$3:$H$102,4,FALSE)+(VLOOKUP(VLOOKUP(BT$1,main!$A$3:$H$102,8,FALSE),main!$K$19:$O$22,MATCH(VLOOKUP($A30,main!$A$3:$H$102,7,FALSE),main!$K$18:$O$18,0),0))),0)</f>
        <v>0</v>
      </c>
      <c r="BU30">
        <f>IF((gamma!BU30),IF(VLOOKUP(BU$1,main!$A$3:$H$102,7,FALSE)=VLOOKUP($A30,main!$A$3:$H$102,8,FALSE),VLOOKUP(BU$1,main!$A$3:$H$102,4,FALSE),VLOOKUP(BU$1,main!$A$3:$H$102,4,FALSE)+VLOOKUP($A30,main!$A$3:$H$102,4,FALSE)+(VLOOKUP(VLOOKUP(BU$1,main!$A$3:$H$102,8,FALSE),main!$K$19:$O$22,MATCH(VLOOKUP($A30,main!$A$3:$H$102,7,FALSE),main!$K$18:$O$18,0),0))),0)</f>
        <v>0</v>
      </c>
      <c r="BV30">
        <f>IF((gamma!BV30),IF(VLOOKUP(BV$1,main!$A$3:$H$102,7,FALSE)=VLOOKUP($A30,main!$A$3:$H$102,8,FALSE),VLOOKUP(BV$1,main!$A$3:$H$102,4,FALSE),VLOOKUP(BV$1,main!$A$3:$H$102,4,FALSE)+VLOOKUP($A30,main!$A$3:$H$102,4,FALSE)+(VLOOKUP(VLOOKUP(BV$1,main!$A$3:$H$102,8,FALSE),main!$K$19:$O$22,MATCH(VLOOKUP($A30,main!$A$3:$H$102,7,FALSE),main!$K$18:$O$18,0),0))),0)</f>
        <v>0</v>
      </c>
      <c r="BW30">
        <f>IF((gamma!BW30),IF(VLOOKUP(BW$1,main!$A$3:$H$102,7,FALSE)=VLOOKUP($A30,main!$A$3:$H$102,8,FALSE),VLOOKUP(BW$1,main!$A$3:$H$102,4,FALSE),VLOOKUP(BW$1,main!$A$3:$H$102,4,FALSE)+VLOOKUP($A30,main!$A$3:$H$102,4,FALSE)+(VLOOKUP(VLOOKUP(BW$1,main!$A$3:$H$102,8,FALSE),main!$K$19:$O$22,MATCH(VLOOKUP($A30,main!$A$3:$H$102,7,FALSE),main!$K$18:$O$18,0),0))),0)</f>
        <v>0</v>
      </c>
      <c r="BX30">
        <f>IF((gamma!BX30),IF(VLOOKUP(BX$1,main!$A$3:$H$102,7,FALSE)=VLOOKUP($A30,main!$A$3:$H$102,8,FALSE),VLOOKUP(BX$1,main!$A$3:$H$102,4,FALSE),VLOOKUP(BX$1,main!$A$3:$H$102,4,FALSE)+VLOOKUP($A30,main!$A$3:$H$102,4,FALSE)+(VLOOKUP(VLOOKUP(BX$1,main!$A$3:$H$102,8,FALSE),main!$K$19:$O$22,MATCH(VLOOKUP($A30,main!$A$3:$H$102,7,FALSE),main!$K$18:$O$18,0),0))),0)</f>
        <v>0</v>
      </c>
      <c r="BY30">
        <f>IF((gamma!BY30),IF(VLOOKUP(BY$1,main!$A$3:$H$102,7,FALSE)=VLOOKUP($A30,main!$A$3:$H$102,8,FALSE),VLOOKUP(BY$1,main!$A$3:$H$102,4,FALSE),VLOOKUP(BY$1,main!$A$3:$H$102,4,FALSE)+VLOOKUP($A30,main!$A$3:$H$102,4,FALSE)+(VLOOKUP(VLOOKUP(BY$1,main!$A$3:$H$102,8,FALSE),main!$K$19:$O$22,MATCH(VLOOKUP($A30,main!$A$3:$H$102,7,FALSE),main!$K$18:$O$18,0),0))),0)</f>
        <v>0</v>
      </c>
      <c r="BZ30">
        <f>IF((gamma!BZ30),IF(VLOOKUP(BZ$1,main!$A$3:$H$102,7,FALSE)=VLOOKUP($A30,main!$A$3:$H$102,8,FALSE),VLOOKUP(BZ$1,main!$A$3:$H$102,4,FALSE),VLOOKUP(BZ$1,main!$A$3:$H$102,4,FALSE)+VLOOKUP($A30,main!$A$3:$H$102,4,FALSE)+(VLOOKUP(VLOOKUP(BZ$1,main!$A$3:$H$102,8,FALSE),main!$K$19:$O$22,MATCH(VLOOKUP($A30,main!$A$3:$H$102,7,FALSE),main!$K$18:$O$18,0),0))),0)</f>
        <v>0</v>
      </c>
      <c r="CA30">
        <f>IF((gamma!CA30),IF(VLOOKUP(CA$1,main!$A$3:$H$102,7,FALSE)=VLOOKUP($A30,main!$A$3:$H$102,8,FALSE),VLOOKUP(CA$1,main!$A$3:$H$102,4,FALSE),VLOOKUP(CA$1,main!$A$3:$H$102,4,FALSE)+VLOOKUP($A30,main!$A$3:$H$102,4,FALSE)+(VLOOKUP(VLOOKUP(CA$1,main!$A$3:$H$102,8,FALSE),main!$K$19:$O$22,MATCH(VLOOKUP($A30,main!$A$3:$H$102,7,FALSE),main!$K$18:$O$18,0),0))),0)</f>
        <v>0</v>
      </c>
      <c r="CB30">
        <f>IF((gamma!CB30),IF(VLOOKUP(CB$1,main!$A$3:$H$102,7,FALSE)=VLOOKUP($A30,main!$A$3:$H$102,8,FALSE),VLOOKUP(CB$1,main!$A$3:$H$102,4,FALSE),VLOOKUP(CB$1,main!$A$3:$H$102,4,FALSE)+VLOOKUP($A30,main!$A$3:$H$102,4,FALSE)+(VLOOKUP(VLOOKUP(CB$1,main!$A$3:$H$102,8,FALSE),main!$K$19:$O$22,MATCH(VLOOKUP($A30,main!$A$3:$H$102,7,FALSE),main!$K$18:$O$18,0),0))),0)</f>
        <v>0</v>
      </c>
      <c r="CC30">
        <f>IF((gamma!CC30),IF(VLOOKUP(CC$1,main!$A$3:$H$102,7,FALSE)=VLOOKUP($A30,main!$A$3:$H$102,8,FALSE),VLOOKUP(CC$1,main!$A$3:$H$102,4,FALSE),VLOOKUP(CC$1,main!$A$3:$H$102,4,FALSE)+VLOOKUP($A30,main!$A$3:$H$102,4,FALSE)+(VLOOKUP(VLOOKUP(CC$1,main!$A$3:$H$102,8,FALSE),main!$K$19:$O$22,MATCH(VLOOKUP($A30,main!$A$3:$H$102,7,FALSE),main!$K$18:$O$18,0),0))),0)</f>
        <v>225</v>
      </c>
      <c r="CD30">
        <f>IF((gamma!CD30),IF(VLOOKUP(CD$1,main!$A$3:$H$102,7,FALSE)=VLOOKUP($A30,main!$A$3:$H$102,8,FALSE),VLOOKUP(CD$1,main!$A$3:$H$102,4,FALSE),VLOOKUP(CD$1,main!$A$3:$H$102,4,FALSE)+VLOOKUP($A30,main!$A$3:$H$102,4,FALSE)+(VLOOKUP(VLOOKUP(CD$1,main!$A$3:$H$102,8,FALSE),main!$K$19:$O$22,MATCH(VLOOKUP($A30,main!$A$3:$H$102,7,FALSE),main!$K$18:$O$18,0),0))),0)</f>
        <v>0</v>
      </c>
      <c r="CE30">
        <f>IF((gamma!CE30),IF(VLOOKUP(CE$1,main!$A$3:$H$102,7,FALSE)=VLOOKUP($A30,main!$A$3:$H$102,8,FALSE),VLOOKUP(CE$1,main!$A$3:$H$102,4,FALSE),VLOOKUP(CE$1,main!$A$3:$H$102,4,FALSE)+VLOOKUP($A30,main!$A$3:$H$102,4,FALSE)+(VLOOKUP(VLOOKUP(CE$1,main!$A$3:$H$102,8,FALSE),main!$K$19:$O$22,MATCH(VLOOKUP($A30,main!$A$3:$H$102,7,FALSE),main!$K$18:$O$18,0),0))),0)</f>
        <v>0</v>
      </c>
      <c r="CF30">
        <f>IF((gamma!CF30),IF(VLOOKUP(CF$1,main!$A$3:$H$102,7,FALSE)=VLOOKUP($A30,main!$A$3:$H$102,8,FALSE),VLOOKUP(CF$1,main!$A$3:$H$102,4,FALSE),VLOOKUP(CF$1,main!$A$3:$H$102,4,FALSE)+VLOOKUP($A30,main!$A$3:$H$102,4,FALSE)+(VLOOKUP(VLOOKUP(CF$1,main!$A$3:$H$102,8,FALSE),main!$K$19:$O$22,MATCH(VLOOKUP($A30,main!$A$3:$H$102,7,FALSE),main!$K$18:$O$18,0),0))),0)</f>
        <v>0</v>
      </c>
      <c r="CG30">
        <f>IF((gamma!CG30),IF(VLOOKUP(CG$1,main!$A$3:$H$102,7,FALSE)=VLOOKUP($A30,main!$A$3:$H$102,8,FALSE),VLOOKUP(CG$1,main!$A$3:$H$102,4,FALSE),VLOOKUP(CG$1,main!$A$3:$H$102,4,FALSE)+VLOOKUP($A30,main!$A$3:$H$102,4,FALSE)+(VLOOKUP(VLOOKUP(CG$1,main!$A$3:$H$102,8,FALSE),main!$K$19:$O$22,MATCH(VLOOKUP($A30,main!$A$3:$H$102,7,FALSE),main!$K$18:$O$18,0),0))),0)</f>
        <v>0</v>
      </c>
      <c r="CH30">
        <f>IF((gamma!CH30),IF(VLOOKUP(CH$1,main!$A$3:$H$102,7,FALSE)=VLOOKUP($A30,main!$A$3:$H$102,8,FALSE),VLOOKUP(CH$1,main!$A$3:$H$102,4,FALSE),VLOOKUP(CH$1,main!$A$3:$H$102,4,FALSE)+VLOOKUP($A30,main!$A$3:$H$102,4,FALSE)+(VLOOKUP(VLOOKUP(CH$1,main!$A$3:$H$102,8,FALSE),main!$K$19:$O$22,MATCH(VLOOKUP($A30,main!$A$3:$H$102,7,FALSE),main!$K$18:$O$18,0),0))),0)</f>
        <v>140</v>
      </c>
      <c r="CI30">
        <f>IF((gamma!CI30),IF(VLOOKUP(CI$1,main!$A$3:$H$102,7,FALSE)=VLOOKUP($A30,main!$A$3:$H$102,8,FALSE),VLOOKUP(CI$1,main!$A$3:$H$102,4,FALSE),VLOOKUP(CI$1,main!$A$3:$H$102,4,FALSE)+VLOOKUP($A30,main!$A$3:$H$102,4,FALSE)+(VLOOKUP(VLOOKUP(CI$1,main!$A$3:$H$102,8,FALSE),main!$K$19:$O$22,MATCH(VLOOKUP($A30,main!$A$3:$H$102,7,FALSE),main!$K$18:$O$18,0),0))),0)</f>
        <v>140</v>
      </c>
      <c r="CJ30">
        <f>IF((gamma!CJ30),IF(VLOOKUP(CJ$1,main!$A$3:$H$102,7,FALSE)=VLOOKUP($A30,main!$A$3:$H$102,8,FALSE),VLOOKUP(CJ$1,main!$A$3:$H$102,4,FALSE),VLOOKUP(CJ$1,main!$A$3:$H$102,4,FALSE)+VLOOKUP($A30,main!$A$3:$H$102,4,FALSE)+(VLOOKUP(VLOOKUP(CJ$1,main!$A$3:$H$102,8,FALSE),main!$K$19:$O$22,MATCH(VLOOKUP($A30,main!$A$3:$H$102,7,FALSE),main!$K$18:$O$18,0),0))),0)</f>
        <v>0</v>
      </c>
      <c r="CK30">
        <f>IF((gamma!CK30),IF(VLOOKUP(CK$1,main!$A$3:$H$102,7,FALSE)=VLOOKUP($A30,main!$A$3:$H$102,8,FALSE),VLOOKUP(CK$1,main!$A$3:$H$102,4,FALSE),VLOOKUP(CK$1,main!$A$3:$H$102,4,FALSE)+VLOOKUP($A30,main!$A$3:$H$102,4,FALSE)+(VLOOKUP(VLOOKUP(CK$1,main!$A$3:$H$102,8,FALSE),main!$K$19:$O$22,MATCH(VLOOKUP($A30,main!$A$3:$H$102,7,FALSE),main!$K$18:$O$18,0),0))),0)</f>
        <v>0</v>
      </c>
      <c r="CL30">
        <f>IF((gamma!CL30),IF(VLOOKUP(CL$1,main!$A$3:$H$102,7,FALSE)=VLOOKUP($A30,main!$A$3:$H$102,8,FALSE),VLOOKUP(CL$1,main!$A$3:$H$102,4,FALSE),VLOOKUP(CL$1,main!$A$3:$H$102,4,FALSE)+VLOOKUP($A30,main!$A$3:$H$102,4,FALSE)+(VLOOKUP(VLOOKUP(CL$1,main!$A$3:$H$102,8,FALSE),main!$K$19:$O$22,MATCH(VLOOKUP($A30,main!$A$3:$H$102,7,FALSE),main!$K$18:$O$18,0),0))),0)</f>
        <v>0</v>
      </c>
      <c r="CM30">
        <f>IF((gamma!CM30),IF(VLOOKUP(CM$1,main!$A$3:$H$102,7,FALSE)=VLOOKUP($A30,main!$A$3:$H$102,8,FALSE),VLOOKUP(CM$1,main!$A$3:$H$102,4,FALSE),VLOOKUP(CM$1,main!$A$3:$H$102,4,FALSE)+VLOOKUP($A30,main!$A$3:$H$102,4,FALSE)+(VLOOKUP(VLOOKUP(CM$1,main!$A$3:$H$102,8,FALSE),main!$K$19:$O$22,MATCH(VLOOKUP($A30,main!$A$3:$H$102,7,FALSE),main!$K$18:$O$18,0),0))),0)</f>
        <v>100</v>
      </c>
      <c r="CN30">
        <f>IF((gamma!CN30),IF(VLOOKUP(CN$1,main!$A$3:$H$102,7,FALSE)=VLOOKUP($A30,main!$A$3:$H$102,8,FALSE),VLOOKUP(CN$1,main!$A$3:$H$102,4,FALSE),VLOOKUP(CN$1,main!$A$3:$H$102,4,FALSE)+VLOOKUP($A30,main!$A$3:$H$102,4,FALSE)+(VLOOKUP(VLOOKUP(CN$1,main!$A$3:$H$102,8,FALSE),main!$K$19:$O$22,MATCH(VLOOKUP($A30,main!$A$3:$H$102,7,FALSE),main!$K$18:$O$18,0),0))),0)</f>
        <v>96</v>
      </c>
      <c r="CO30">
        <f>IF((gamma!CO30),IF(VLOOKUP(CO$1,main!$A$3:$H$102,7,FALSE)=VLOOKUP($A30,main!$A$3:$H$102,8,FALSE),VLOOKUP(CO$1,main!$A$3:$H$102,4,FALSE),VLOOKUP(CO$1,main!$A$3:$H$102,4,FALSE)+VLOOKUP($A30,main!$A$3:$H$102,4,FALSE)+(VLOOKUP(VLOOKUP(CO$1,main!$A$3:$H$102,8,FALSE),main!$K$19:$O$22,MATCH(VLOOKUP($A30,main!$A$3:$H$102,7,FALSE),main!$K$18:$O$18,0),0))),0)</f>
        <v>0</v>
      </c>
      <c r="CP30">
        <f>IF((gamma!CP30),IF(VLOOKUP(CP$1,main!$A$3:$H$102,7,FALSE)=VLOOKUP($A30,main!$A$3:$H$102,8,FALSE),VLOOKUP(CP$1,main!$A$3:$H$102,4,FALSE),VLOOKUP(CP$1,main!$A$3:$H$102,4,FALSE)+VLOOKUP($A30,main!$A$3:$H$102,4,FALSE)+(VLOOKUP(VLOOKUP(CP$1,main!$A$3:$H$102,8,FALSE),main!$K$19:$O$22,MATCH(VLOOKUP($A30,main!$A$3:$H$102,7,FALSE),main!$K$18:$O$18,0),0))),0)</f>
        <v>0</v>
      </c>
      <c r="CQ30">
        <f>IF((gamma!CQ30),IF(VLOOKUP(CQ$1,main!$A$3:$H$102,7,FALSE)=VLOOKUP($A30,main!$A$3:$H$102,8,FALSE),VLOOKUP(CQ$1,main!$A$3:$H$102,4,FALSE),VLOOKUP(CQ$1,main!$A$3:$H$102,4,FALSE)+VLOOKUP($A30,main!$A$3:$H$102,4,FALSE)+(VLOOKUP(VLOOKUP(CQ$1,main!$A$3:$H$102,8,FALSE),main!$K$19:$O$22,MATCH(VLOOKUP($A30,main!$A$3:$H$102,7,FALSE),main!$K$18:$O$18,0),0))),0)</f>
        <v>0</v>
      </c>
      <c r="CR30">
        <f>IF((gamma!CR30),IF(VLOOKUP(CR$1,main!$A$3:$H$102,7,FALSE)=VLOOKUP($A30,main!$A$3:$H$102,8,FALSE),VLOOKUP(CR$1,main!$A$3:$H$102,4,FALSE),VLOOKUP(CR$1,main!$A$3:$H$102,4,FALSE)+VLOOKUP($A30,main!$A$3:$H$102,4,FALSE)+(VLOOKUP(VLOOKUP(CR$1,main!$A$3:$H$102,8,FALSE),main!$K$19:$O$22,MATCH(VLOOKUP($A30,main!$A$3:$H$102,7,FALSE),main!$K$18:$O$18,0),0))),0)</f>
        <v>135</v>
      </c>
      <c r="CS30">
        <f>IF((gamma!CS30),IF(VLOOKUP(CS$1,main!$A$3:$H$102,7,FALSE)=VLOOKUP($A30,main!$A$3:$H$102,8,FALSE),VLOOKUP(CS$1,main!$A$3:$H$102,4,FALSE),VLOOKUP(CS$1,main!$A$3:$H$102,4,FALSE)+VLOOKUP($A30,main!$A$3:$H$102,4,FALSE)+(VLOOKUP(VLOOKUP(CS$1,main!$A$3:$H$102,8,FALSE),main!$K$19:$O$22,MATCH(VLOOKUP($A30,main!$A$3:$H$102,7,FALSE),main!$K$18:$O$18,0),0))),0)</f>
        <v>135</v>
      </c>
      <c r="CT30">
        <f>IF((gamma!CT30),IF(VLOOKUP(CT$1,main!$A$3:$H$102,7,FALSE)=VLOOKUP($A30,main!$A$3:$H$102,8,FALSE),VLOOKUP(CT$1,main!$A$3:$H$102,4,FALSE),VLOOKUP(CT$1,main!$A$3:$H$102,4,FALSE)+VLOOKUP($A30,main!$A$3:$H$102,4,FALSE)+(VLOOKUP(VLOOKUP(CT$1,main!$A$3:$H$102,8,FALSE),main!$K$19:$O$22,MATCH(VLOOKUP($A30,main!$A$3:$H$102,7,FALSE),main!$K$18:$O$18,0),0))),0)</f>
        <v>0</v>
      </c>
      <c r="CU30">
        <f>IF((gamma!CU30),IF(VLOOKUP(CU$1,main!$A$3:$H$102,7,FALSE)=VLOOKUP($A30,main!$A$3:$H$102,8,FALSE),VLOOKUP(CU$1,main!$A$3:$H$102,4,FALSE),VLOOKUP(CU$1,main!$A$3:$H$102,4,FALSE)+VLOOKUP($A30,main!$A$3:$H$102,4,FALSE)+(VLOOKUP(VLOOKUP(CU$1,main!$A$3:$H$102,8,FALSE),main!$K$19:$O$22,MATCH(VLOOKUP($A30,main!$A$3:$H$102,7,FALSE),main!$K$18:$O$18,0),0))),0)</f>
        <v>0</v>
      </c>
      <c r="CV30">
        <f>IF((gamma!CV30),IF(VLOOKUP(CV$1,main!$A$3:$H$102,7,FALSE)=VLOOKUP($A30,main!$A$3:$H$102,8,FALSE),VLOOKUP(CV$1,main!$A$3:$H$102,4,FALSE),VLOOKUP(CV$1,main!$A$3:$H$102,4,FALSE)+VLOOKUP($A30,main!$A$3:$H$102,4,FALSE)+(VLOOKUP(VLOOKUP(CV$1,main!$A$3:$H$102,8,FALSE),main!$K$19:$O$22,MATCH(VLOOKUP($A30,main!$A$3:$H$102,7,FALSE),main!$K$18:$O$18,0),0))),0)</f>
        <v>0</v>
      </c>
      <c r="CW30">
        <f>IF((gamma!CW30),IF(VLOOKUP(CW$1,main!$A$3:$H$102,7,FALSE)=VLOOKUP($A30,main!$A$3:$H$102,8,FALSE),VLOOKUP(CW$1,main!$A$3:$H$102,4,FALSE),VLOOKUP(CW$1,main!$A$3:$H$102,4,FALSE)+VLOOKUP($A30,main!$A$3:$H$102,4,FALSE)+(VLOOKUP(VLOOKUP(CW$1,main!$A$3:$H$102,8,FALSE),main!$K$19:$O$22,MATCH(VLOOKUP($A30,main!$A$3:$H$102,7,FALSE),main!$K$18:$O$18,0),0))),0)</f>
        <v>95</v>
      </c>
      <c r="CX30">
        <f>IF((gamma!CX30),IF(VLOOKUP(CX$1,main!$A$3:$H$102,7,FALSE)=VLOOKUP($A30,main!$A$3:$H$102,8,FALSE),VLOOKUP(CX$1,main!$A$3:$H$102,4,FALSE),VLOOKUP(CX$1,main!$A$3:$H$102,4,FALSE)+VLOOKUP($A30,main!$A$3:$H$102,4,FALSE)+(VLOOKUP(VLOOKUP(CX$1,main!$A$3:$H$102,8,FALSE),main!$K$19:$O$22,MATCH(VLOOKUP($A30,main!$A$3:$H$102,7,FALSE),main!$K$18:$O$18,0),0))),0)</f>
        <v>85</v>
      </c>
      <c r="CY30">
        <v>0</v>
      </c>
      <c r="CZ30">
        <v>0</v>
      </c>
      <c r="DA30">
        <v>0</v>
      </c>
    </row>
    <row r="31" spans="1:105" x14ac:dyDescent="0.25">
      <c r="A31" s="1">
        <v>29</v>
      </c>
      <c r="B31">
        <v>0</v>
      </c>
      <c r="C31">
        <f>IF((gamma!C31),IF(VLOOKUP(C$1,main!$A$3:$H$102,7,FALSE)=VLOOKUP($A31,main!$A$3:$H$102,8,FALSE),VLOOKUP(C$1,main!$A$3:$H$102,4,FALSE),VLOOKUP(C$1,main!$A$3:$H$102,4,FALSE)+VLOOKUP($A31,main!$A$3:$H$102,4,FALSE)+(VLOOKUP(VLOOKUP(C$1,main!$A$3:$H$102,8,FALSE),main!$K$19:$O$22,MATCH(VLOOKUP($A31,main!$A$3:$H$102,7,FALSE),main!$K$18:$O$18,0),0))),0)</f>
        <v>0</v>
      </c>
      <c r="D31">
        <f>IF((gamma!D31),IF(VLOOKUP(D$1,main!$A$3:$H$102,7,FALSE)=VLOOKUP($A31,main!$A$3:$H$102,8,FALSE),VLOOKUP(D$1,main!$A$3:$H$102,4,FALSE),VLOOKUP(D$1,main!$A$3:$H$102,4,FALSE)+VLOOKUP($A31,main!$A$3:$H$102,4,FALSE)+(VLOOKUP(VLOOKUP(D$1,main!$A$3:$H$102,8,FALSE),main!$K$19:$O$22,MATCH(VLOOKUP($A31,main!$A$3:$H$102,7,FALSE),main!$K$18:$O$18,0),0))),0)</f>
        <v>0</v>
      </c>
      <c r="E31">
        <f>IF((gamma!E31),IF(VLOOKUP(E$1,main!$A$3:$H$102,7,FALSE)=VLOOKUP($A31,main!$A$3:$H$102,8,FALSE),VLOOKUP(E$1,main!$A$3:$H$102,4,FALSE),VLOOKUP(E$1,main!$A$3:$H$102,4,FALSE)+VLOOKUP($A31,main!$A$3:$H$102,4,FALSE)+(VLOOKUP(VLOOKUP(E$1,main!$A$3:$H$102,8,FALSE),main!$K$19:$O$22,MATCH(VLOOKUP($A31,main!$A$3:$H$102,7,FALSE),main!$K$18:$O$18,0),0))),0)</f>
        <v>0</v>
      </c>
      <c r="F31">
        <f>IF((gamma!F31),IF(VLOOKUP(F$1,main!$A$3:$H$102,7,FALSE)=VLOOKUP($A31,main!$A$3:$H$102,8,FALSE),VLOOKUP(F$1,main!$A$3:$H$102,4,FALSE),VLOOKUP(F$1,main!$A$3:$H$102,4,FALSE)+VLOOKUP($A31,main!$A$3:$H$102,4,FALSE)+(VLOOKUP(VLOOKUP(F$1,main!$A$3:$H$102,8,FALSE),main!$K$19:$O$22,MATCH(VLOOKUP($A31,main!$A$3:$H$102,7,FALSE),main!$K$18:$O$18,0),0))),0)</f>
        <v>0</v>
      </c>
      <c r="G31">
        <f>IF((gamma!G31),IF(VLOOKUP(G$1,main!$A$3:$H$102,7,FALSE)=VLOOKUP($A31,main!$A$3:$H$102,8,FALSE),VLOOKUP(G$1,main!$A$3:$H$102,4,FALSE),VLOOKUP(G$1,main!$A$3:$H$102,4,FALSE)+VLOOKUP($A31,main!$A$3:$H$102,4,FALSE)+(VLOOKUP(VLOOKUP(G$1,main!$A$3:$H$102,8,FALSE),main!$K$19:$O$22,MATCH(VLOOKUP($A31,main!$A$3:$H$102,7,FALSE),main!$K$18:$O$18,0),0))),0)</f>
        <v>0</v>
      </c>
      <c r="H31">
        <f>IF((gamma!H31),IF(VLOOKUP(H$1,main!$A$3:$H$102,7,FALSE)=VLOOKUP($A31,main!$A$3:$H$102,8,FALSE),VLOOKUP(H$1,main!$A$3:$H$102,4,FALSE),VLOOKUP(H$1,main!$A$3:$H$102,4,FALSE)+VLOOKUP($A31,main!$A$3:$H$102,4,FALSE)+(VLOOKUP(VLOOKUP(H$1,main!$A$3:$H$102,8,FALSE),main!$K$19:$O$22,MATCH(VLOOKUP($A31,main!$A$3:$H$102,7,FALSE),main!$K$18:$O$18,0),0))),0)</f>
        <v>0</v>
      </c>
      <c r="I31">
        <f>IF((gamma!I31),IF(VLOOKUP(I$1,main!$A$3:$H$102,7,FALSE)=VLOOKUP($A31,main!$A$3:$H$102,8,FALSE),VLOOKUP(I$1,main!$A$3:$H$102,4,FALSE),VLOOKUP(I$1,main!$A$3:$H$102,4,FALSE)+VLOOKUP($A31,main!$A$3:$H$102,4,FALSE)+(VLOOKUP(VLOOKUP(I$1,main!$A$3:$H$102,8,FALSE),main!$K$19:$O$22,MATCH(VLOOKUP($A31,main!$A$3:$H$102,7,FALSE),main!$K$18:$O$18,0),0))),0)</f>
        <v>0</v>
      </c>
      <c r="J31">
        <f>IF((gamma!J31),IF(VLOOKUP(J$1,main!$A$3:$H$102,7,FALSE)=VLOOKUP($A31,main!$A$3:$H$102,8,FALSE),VLOOKUP(J$1,main!$A$3:$H$102,4,FALSE),VLOOKUP(J$1,main!$A$3:$H$102,4,FALSE)+VLOOKUP($A31,main!$A$3:$H$102,4,FALSE)+(VLOOKUP(VLOOKUP(J$1,main!$A$3:$H$102,8,FALSE),main!$K$19:$O$22,MATCH(VLOOKUP($A31,main!$A$3:$H$102,7,FALSE),main!$K$18:$O$18,0),0))),0)</f>
        <v>0</v>
      </c>
      <c r="K31">
        <f>IF((gamma!K31),IF(VLOOKUP(K$1,main!$A$3:$H$102,7,FALSE)=VLOOKUP($A31,main!$A$3:$H$102,8,FALSE),VLOOKUP(K$1,main!$A$3:$H$102,4,FALSE),VLOOKUP(K$1,main!$A$3:$H$102,4,FALSE)+VLOOKUP($A31,main!$A$3:$H$102,4,FALSE)+(VLOOKUP(VLOOKUP(K$1,main!$A$3:$H$102,8,FALSE),main!$K$19:$O$22,MATCH(VLOOKUP($A31,main!$A$3:$H$102,7,FALSE),main!$K$18:$O$18,0),0))),0)</f>
        <v>0</v>
      </c>
      <c r="L31">
        <f>IF((gamma!L31),IF(VLOOKUP(L$1,main!$A$3:$H$102,7,FALSE)=VLOOKUP($A31,main!$A$3:$H$102,8,FALSE),VLOOKUP(L$1,main!$A$3:$H$102,4,FALSE),VLOOKUP(L$1,main!$A$3:$H$102,4,FALSE)+VLOOKUP($A31,main!$A$3:$H$102,4,FALSE)+(VLOOKUP(VLOOKUP(L$1,main!$A$3:$H$102,8,FALSE),main!$K$19:$O$22,MATCH(VLOOKUP($A31,main!$A$3:$H$102,7,FALSE),main!$K$18:$O$18,0),0))),0)</f>
        <v>300</v>
      </c>
      <c r="M31">
        <f>IF((gamma!M31),IF(VLOOKUP(M$1,main!$A$3:$H$102,7,FALSE)=VLOOKUP($A31,main!$A$3:$H$102,8,FALSE),VLOOKUP(M$1,main!$A$3:$H$102,4,FALSE),VLOOKUP(M$1,main!$A$3:$H$102,4,FALSE)+VLOOKUP($A31,main!$A$3:$H$102,4,FALSE)+(VLOOKUP(VLOOKUP(M$1,main!$A$3:$H$102,8,FALSE),main!$K$19:$O$22,MATCH(VLOOKUP($A31,main!$A$3:$H$102,7,FALSE),main!$K$18:$O$18,0),0))),0)</f>
        <v>0</v>
      </c>
      <c r="N31">
        <f>IF((gamma!N31),IF(VLOOKUP(N$1,main!$A$3:$H$102,7,FALSE)=VLOOKUP($A31,main!$A$3:$H$102,8,FALSE),VLOOKUP(N$1,main!$A$3:$H$102,4,FALSE),VLOOKUP(N$1,main!$A$3:$H$102,4,FALSE)+VLOOKUP($A31,main!$A$3:$H$102,4,FALSE)+(VLOOKUP(VLOOKUP(N$1,main!$A$3:$H$102,8,FALSE),main!$K$19:$O$22,MATCH(VLOOKUP($A31,main!$A$3:$H$102,7,FALSE),main!$K$18:$O$18,0),0))),0)</f>
        <v>0</v>
      </c>
      <c r="O31">
        <f>IF((gamma!O31),IF(VLOOKUP(O$1,main!$A$3:$H$102,7,FALSE)=VLOOKUP($A31,main!$A$3:$H$102,8,FALSE),VLOOKUP(O$1,main!$A$3:$H$102,4,FALSE),VLOOKUP(O$1,main!$A$3:$H$102,4,FALSE)+VLOOKUP($A31,main!$A$3:$H$102,4,FALSE)+(VLOOKUP(VLOOKUP(O$1,main!$A$3:$H$102,8,FALSE),main!$K$19:$O$22,MATCH(VLOOKUP($A31,main!$A$3:$H$102,7,FALSE),main!$K$18:$O$18,0),0))),0)</f>
        <v>0</v>
      </c>
      <c r="P31">
        <f>IF((gamma!P31),IF(VLOOKUP(P$1,main!$A$3:$H$102,7,FALSE)=VLOOKUP($A31,main!$A$3:$H$102,8,FALSE),VLOOKUP(P$1,main!$A$3:$H$102,4,FALSE),VLOOKUP(P$1,main!$A$3:$H$102,4,FALSE)+VLOOKUP($A31,main!$A$3:$H$102,4,FALSE)+(VLOOKUP(VLOOKUP(P$1,main!$A$3:$H$102,8,FALSE),main!$K$19:$O$22,MATCH(VLOOKUP($A31,main!$A$3:$H$102,7,FALSE),main!$K$18:$O$18,0),0))),0)</f>
        <v>0</v>
      </c>
      <c r="Q31">
        <f>IF((gamma!Q31),IF(VLOOKUP(Q$1,main!$A$3:$H$102,7,FALSE)=VLOOKUP($A31,main!$A$3:$H$102,8,FALSE),VLOOKUP(Q$1,main!$A$3:$H$102,4,FALSE),VLOOKUP(Q$1,main!$A$3:$H$102,4,FALSE)+VLOOKUP($A31,main!$A$3:$H$102,4,FALSE)+(VLOOKUP(VLOOKUP(Q$1,main!$A$3:$H$102,8,FALSE),main!$K$19:$O$22,MATCH(VLOOKUP($A31,main!$A$3:$H$102,7,FALSE),main!$K$18:$O$18,0),0))),0)</f>
        <v>0</v>
      </c>
      <c r="R31">
        <f>IF((gamma!R31),IF(VLOOKUP(R$1,main!$A$3:$H$102,7,FALSE)=VLOOKUP($A31,main!$A$3:$H$102,8,FALSE),VLOOKUP(R$1,main!$A$3:$H$102,4,FALSE),VLOOKUP(R$1,main!$A$3:$H$102,4,FALSE)+VLOOKUP($A31,main!$A$3:$H$102,4,FALSE)+(VLOOKUP(VLOOKUP(R$1,main!$A$3:$H$102,8,FALSE),main!$K$19:$O$22,MATCH(VLOOKUP($A31,main!$A$3:$H$102,7,FALSE),main!$K$18:$O$18,0),0))),0)</f>
        <v>0</v>
      </c>
      <c r="S31">
        <f>IF((gamma!S31),IF(VLOOKUP(S$1,main!$A$3:$H$102,7,FALSE)=VLOOKUP($A31,main!$A$3:$H$102,8,FALSE),VLOOKUP(S$1,main!$A$3:$H$102,4,FALSE),VLOOKUP(S$1,main!$A$3:$H$102,4,FALSE)+VLOOKUP($A31,main!$A$3:$H$102,4,FALSE)+(VLOOKUP(VLOOKUP(S$1,main!$A$3:$H$102,8,FALSE),main!$K$19:$O$22,MATCH(VLOOKUP($A31,main!$A$3:$H$102,7,FALSE),main!$K$18:$O$18,0),0))),0)</f>
        <v>0</v>
      </c>
      <c r="T31">
        <f>IF((gamma!T31),IF(VLOOKUP(T$1,main!$A$3:$H$102,7,FALSE)=VLOOKUP($A31,main!$A$3:$H$102,8,FALSE),VLOOKUP(T$1,main!$A$3:$H$102,4,FALSE),VLOOKUP(T$1,main!$A$3:$H$102,4,FALSE)+VLOOKUP($A31,main!$A$3:$H$102,4,FALSE)+(VLOOKUP(VLOOKUP(T$1,main!$A$3:$H$102,8,FALSE),main!$K$19:$O$22,MATCH(VLOOKUP($A31,main!$A$3:$H$102,7,FALSE),main!$K$18:$O$18,0),0))),0)</f>
        <v>0</v>
      </c>
      <c r="U31">
        <f>IF((gamma!U31),IF(VLOOKUP(U$1,main!$A$3:$H$102,7,FALSE)=VLOOKUP($A31,main!$A$3:$H$102,8,FALSE),VLOOKUP(U$1,main!$A$3:$H$102,4,FALSE),VLOOKUP(U$1,main!$A$3:$H$102,4,FALSE)+VLOOKUP($A31,main!$A$3:$H$102,4,FALSE)+(VLOOKUP(VLOOKUP(U$1,main!$A$3:$H$102,8,FALSE),main!$K$19:$O$22,MATCH(VLOOKUP($A31,main!$A$3:$H$102,7,FALSE),main!$K$18:$O$18,0),0))),0)</f>
        <v>310</v>
      </c>
      <c r="V31">
        <f>IF((gamma!V31),IF(VLOOKUP(V$1,main!$A$3:$H$102,7,FALSE)=VLOOKUP($A31,main!$A$3:$H$102,8,FALSE),VLOOKUP(V$1,main!$A$3:$H$102,4,FALSE),VLOOKUP(V$1,main!$A$3:$H$102,4,FALSE)+VLOOKUP($A31,main!$A$3:$H$102,4,FALSE)+(VLOOKUP(VLOOKUP(V$1,main!$A$3:$H$102,8,FALSE),main!$K$19:$O$22,MATCH(VLOOKUP($A31,main!$A$3:$H$102,7,FALSE),main!$K$18:$O$18,0),0))),0)</f>
        <v>310</v>
      </c>
      <c r="W31">
        <f>IF((gamma!W31),IF(VLOOKUP(W$1,main!$A$3:$H$102,7,FALSE)=VLOOKUP($A31,main!$A$3:$H$102,8,FALSE),VLOOKUP(W$1,main!$A$3:$H$102,4,FALSE),VLOOKUP(W$1,main!$A$3:$H$102,4,FALSE)+VLOOKUP($A31,main!$A$3:$H$102,4,FALSE)+(VLOOKUP(VLOOKUP(W$1,main!$A$3:$H$102,8,FALSE),main!$K$19:$O$22,MATCH(VLOOKUP($A31,main!$A$3:$H$102,7,FALSE),main!$K$18:$O$18,0),0))),0)</f>
        <v>0</v>
      </c>
      <c r="X31">
        <f>IF((gamma!X31),IF(VLOOKUP(X$1,main!$A$3:$H$102,7,FALSE)=VLOOKUP($A31,main!$A$3:$H$102,8,FALSE),VLOOKUP(X$1,main!$A$3:$H$102,4,FALSE),VLOOKUP(X$1,main!$A$3:$H$102,4,FALSE)+VLOOKUP($A31,main!$A$3:$H$102,4,FALSE)+(VLOOKUP(VLOOKUP(X$1,main!$A$3:$H$102,8,FALSE),main!$K$19:$O$22,MATCH(VLOOKUP($A31,main!$A$3:$H$102,7,FALSE),main!$K$18:$O$18,0),0))),0)</f>
        <v>0</v>
      </c>
      <c r="Y31">
        <f>IF((gamma!Y31),IF(VLOOKUP(Y$1,main!$A$3:$H$102,7,FALSE)=VLOOKUP($A31,main!$A$3:$H$102,8,FALSE),VLOOKUP(Y$1,main!$A$3:$H$102,4,FALSE),VLOOKUP(Y$1,main!$A$3:$H$102,4,FALSE)+VLOOKUP($A31,main!$A$3:$H$102,4,FALSE)+(VLOOKUP(VLOOKUP(Y$1,main!$A$3:$H$102,8,FALSE),main!$K$19:$O$22,MATCH(VLOOKUP($A31,main!$A$3:$H$102,7,FALSE),main!$K$18:$O$18,0),0))),0)</f>
        <v>0</v>
      </c>
      <c r="Z31">
        <f>IF((gamma!Z31),IF(VLOOKUP(Z$1,main!$A$3:$H$102,7,FALSE)=VLOOKUP($A31,main!$A$3:$H$102,8,FALSE),VLOOKUP(Z$1,main!$A$3:$H$102,4,FALSE),VLOOKUP(Z$1,main!$A$3:$H$102,4,FALSE)+VLOOKUP($A31,main!$A$3:$H$102,4,FALSE)+(VLOOKUP(VLOOKUP(Z$1,main!$A$3:$H$102,8,FALSE),main!$K$19:$O$22,MATCH(VLOOKUP($A31,main!$A$3:$H$102,7,FALSE),main!$K$18:$O$18,0),0))),0)</f>
        <v>0</v>
      </c>
      <c r="AA31">
        <f>IF((gamma!AA31),IF(VLOOKUP(AA$1,main!$A$3:$H$102,7,FALSE)=VLOOKUP($A31,main!$A$3:$H$102,8,FALSE),VLOOKUP(AA$1,main!$A$3:$H$102,4,FALSE),VLOOKUP(AA$1,main!$A$3:$H$102,4,FALSE)+VLOOKUP($A31,main!$A$3:$H$102,4,FALSE)+(VLOOKUP(VLOOKUP(AA$1,main!$A$3:$H$102,8,FALSE),main!$K$19:$O$22,MATCH(VLOOKUP($A31,main!$A$3:$H$102,7,FALSE),main!$K$18:$O$18,0),0))),0)</f>
        <v>315</v>
      </c>
      <c r="AB31">
        <f>IF((gamma!AB31),IF(VLOOKUP(AB$1,main!$A$3:$H$102,7,FALSE)=VLOOKUP($A31,main!$A$3:$H$102,8,FALSE),VLOOKUP(AB$1,main!$A$3:$H$102,4,FALSE),VLOOKUP(AB$1,main!$A$3:$H$102,4,FALSE)+VLOOKUP($A31,main!$A$3:$H$102,4,FALSE)+(VLOOKUP(VLOOKUP(AB$1,main!$A$3:$H$102,8,FALSE),main!$K$19:$O$22,MATCH(VLOOKUP($A31,main!$A$3:$H$102,7,FALSE),main!$K$18:$O$18,0),0))),0)</f>
        <v>0</v>
      </c>
      <c r="AC31">
        <f>IF((gamma!AC31),IF(VLOOKUP(AC$1,main!$A$3:$H$102,7,FALSE)=VLOOKUP($A31,main!$A$3:$H$102,8,FALSE),VLOOKUP(AC$1,main!$A$3:$H$102,4,FALSE),VLOOKUP(AC$1,main!$A$3:$H$102,4,FALSE)+VLOOKUP($A31,main!$A$3:$H$102,4,FALSE)+(VLOOKUP(VLOOKUP(AC$1,main!$A$3:$H$102,8,FALSE),main!$K$19:$O$22,MATCH(VLOOKUP($A31,main!$A$3:$H$102,7,FALSE),main!$K$18:$O$18,0),0))),0)</f>
        <v>0</v>
      </c>
      <c r="AD31">
        <f>IF((gamma!AD31),IF(VLOOKUP(AD$1,main!$A$3:$H$102,7,FALSE)=VLOOKUP($A31,main!$A$3:$H$102,8,FALSE),VLOOKUP(AD$1,main!$A$3:$H$102,4,FALSE),VLOOKUP(AD$1,main!$A$3:$H$102,4,FALSE)+VLOOKUP($A31,main!$A$3:$H$102,4,FALSE)+(VLOOKUP(VLOOKUP(AD$1,main!$A$3:$H$102,8,FALSE),main!$K$19:$O$22,MATCH(VLOOKUP($A31,main!$A$3:$H$102,7,FALSE),main!$K$18:$O$18,0),0))),0)</f>
        <v>0</v>
      </c>
      <c r="AE31">
        <f>IF((gamma!AE31),IF(VLOOKUP(AE$1,main!$A$3:$H$102,7,FALSE)=VLOOKUP($A31,main!$A$3:$H$102,8,FALSE),VLOOKUP(AE$1,main!$A$3:$H$102,4,FALSE),VLOOKUP(AE$1,main!$A$3:$H$102,4,FALSE)+VLOOKUP($A31,main!$A$3:$H$102,4,FALSE)+(VLOOKUP(VLOOKUP(AE$1,main!$A$3:$H$102,8,FALSE),main!$K$19:$O$22,MATCH(VLOOKUP($A31,main!$A$3:$H$102,7,FALSE),main!$K$18:$O$18,0),0))),0)</f>
        <v>0</v>
      </c>
      <c r="AF31">
        <f>IF((gamma!AF31),IF(VLOOKUP(AF$1,main!$A$3:$H$102,7,FALSE)=VLOOKUP($A31,main!$A$3:$H$102,8,FALSE),VLOOKUP(AF$1,main!$A$3:$H$102,4,FALSE),VLOOKUP(AF$1,main!$A$3:$H$102,4,FALSE)+VLOOKUP($A31,main!$A$3:$H$102,4,FALSE)+(VLOOKUP(VLOOKUP(AF$1,main!$A$3:$H$102,8,FALSE),main!$K$19:$O$22,MATCH(VLOOKUP($A31,main!$A$3:$H$102,7,FALSE),main!$K$18:$O$18,0),0))),0)</f>
        <v>0</v>
      </c>
      <c r="AG31">
        <f>IF((gamma!AG31),IF(VLOOKUP(AG$1,main!$A$3:$H$102,7,FALSE)=VLOOKUP($A31,main!$A$3:$H$102,8,FALSE),VLOOKUP(AG$1,main!$A$3:$H$102,4,FALSE),VLOOKUP(AG$1,main!$A$3:$H$102,4,FALSE)+VLOOKUP($A31,main!$A$3:$H$102,4,FALSE)+(VLOOKUP(VLOOKUP(AG$1,main!$A$3:$H$102,8,FALSE),main!$K$19:$O$22,MATCH(VLOOKUP($A31,main!$A$3:$H$102,7,FALSE),main!$K$18:$O$18,0),0))),0)</f>
        <v>0</v>
      </c>
      <c r="AH31">
        <f>IF((gamma!AH31),IF(VLOOKUP(AH$1,main!$A$3:$H$102,7,FALSE)=VLOOKUP($A31,main!$A$3:$H$102,8,FALSE),VLOOKUP(AH$1,main!$A$3:$H$102,4,FALSE),VLOOKUP(AH$1,main!$A$3:$H$102,4,FALSE)+VLOOKUP($A31,main!$A$3:$H$102,4,FALSE)+(VLOOKUP(VLOOKUP(AH$1,main!$A$3:$H$102,8,FALSE),main!$K$19:$O$22,MATCH(VLOOKUP($A31,main!$A$3:$H$102,7,FALSE),main!$K$18:$O$18,0),0))),0)</f>
        <v>0</v>
      </c>
      <c r="AI31">
        <f>IF((gamma!AI31),IF(VLOOKUP(AI$1,main!$A$3:$H$102,7,FALSE)=VLOOKUP($A31,main!$A$3:$H$102,8,FALSE),VLOOKUP(AI$1,main!$A$3:$H$102,4,FALSE),VLOOKUP(AI$1,main!$A$3:$H$102,4,FALSE)+VLOOKUP($A31,main!$A$3:$H$102,4,FALSE)+(VLOOKUP(VLOOKUP(AI$1,main!$A$3:$H$102,8,FALSE),main!$K$19:$O$22,MATCH(VLOOKUP($A31,main!$A$3:$H$102,7,FALSE),main!$K$18:$O$18,0),0))),0)</f>
        <v>0</v>
      </c>
      <c r="AJ31">
        <f>IF((gamma!AJ31),IF(VLOOKUP(AJ$1,main!$A$3:$H$102,7,FALSE)=VLOOKUP($A31,main!$A$3:$H$102,8,FALSE),VLOOKUP(AJ$1,main!$A$3:$H$102,4,FALSE),VLOOKUP(AJ$1,main!$A$3:$H$102,4,FALSE)+VLOOKUP($A31,main!$A$3:$H$102,4,FALSE)+(VLOOKUP(VLOOKUP(AJ$1,main!$A$3:$H$102,8,FALSE),main!$K$19:$O$22,MATCH(VLOOKUP($A31,main!$A$3:$H$102,7,FALSE),main!$K$18:$O$18,0),0))),0)</f>
        <v>0</v>
      </c>
      <c r="AK31">
        <f>IF((gamma!AK31),IF(VLOOKUP(AK$1,main!$A$3:$H$102,7,FALSE)=VLOOKUP($A31,main!$A$3:$H$102,8,FALSE),VLOOKUP(AK$1,main!$A$3:$H$102,4,FALSE),VLOOKUP(AK$1,main!$A$3:$H$102,4,FALSE)+VLOOKUP($A31,main!$A$3:$H$102,4,FALSE)+(VLOOKUP(VLOOKUP(AK$1,main!$A$3:$H$102,8,FALSE),main!$K$19:$O$22,MATCH(VLOOKUP($A31,main!$A$3:$H$102,7,FALSE),main!$K$18:$O$18,0),0))),0)</f>
        <v>0</v>
      </c>
      <c r="AL31">
        <f>IF((gamma!AL31),IF(VLOOKUP(AL$1,main!$A$3:$H$102,7,FALSE)=VLOOKUP($A31,main!$A$3:$H$102,8,FALSE),VLOOKUP(AL$1,main!$A$3:$H$102,4,FALSE),VLOOKUP(AL$1,main!$A$3:$H$102,4,FALSE)+VLOOKUP($A31,main!$A$3:$H$102,4,FALSE)+(VLOOKUP(VLOOKUP(AL$1,main!$A$3:$H$102,8,FALSE),main!$K$19:$O$22,MATCH(VLOOKUP($A31,main!$A$3:$H$102,7,FALSE),main!$K$18:$O$18,0),0))),0)</f>
        <v>0</v>
      </c>
      <c r="AM31">
        <f>IF((gamma!AM31),IF(VLOOKUP(AM$1,main!$A$3:$H$102,7,FALSE)=VLOOKUP($A31,main!$A$3:$H$102,8,FALSE),VLOOKUP(AM$1,main!$A$3:$H$102,4,FALSE),VLOOKUP(AM$1,main!$A$3:$H$102,4,FALSE)+VLOOKUP($A31,main!$A$3:$H$102,4,FALSE)+(VLOOKUP(VLOOKUP(AM$1,main!$A$3:$H$102,8,FALSE),main!$K$19:$O$22,MATCH(VLOOKUP($A31,main!$A$3:$H$102,7,FALSE),main!$K$18:$O$18,0),0))),0)</f>
        <v>0</v>
      </c>
      <c r="AN31">
        <f>IF((gamma!AN31),IF(VLOOKUP(AN$1,main!$A$3:$H$102,7,FALSE)=VLOOKUP($A31,main!$A$3:$H$102,8,FALSE),VLOOKUP(AN$1,main!$A$3:$H$102,4,FALSE),VLOOKUP(AN$1,main!$A$3:$H$102,4,FALSE)+VLOOKUP($A31,main!$A$3:$H$102,4,FALSE)+(VLOOKUP(VLOOKUP(AN$1,main!$A$3:$H$102,8,FALSE),main!$K$19:$O$22,MATCH(VLOOKUP($A31,main!$A$3:$H$102,7,FALSE),main!$K$18:$O$18,0),0))),0)</f>
        <v>275</v>
      </c>
      <c r="AO31">
        <f>IF((gamma!AO31),IF(VLOOKUP(AO$1,main!$A$3:$H$102,7,FALSE)=VLOOKUP($A31,main!$A$3:$H$102,8,FALSE),VLOOKUP(AO$1,main!$A$3:$H$102,4,FALSE),VLOOKUP(AO$1,main!$A$3:$H$102,4,FALSE)+VLOOKUP($A31,main!$A$3:$H$102,4,FALSE)+(VLOOKUP(VLOOKUP(AO$1,main!$A$3:$H$102,8,FALSE),main!$K$19:$O$22,MATCH(VLOOKUP($A31,main!$A$3:$H$102,7,FALSE),main!$K$18:$O$18,0),0))),0)</f>
        <v>0</v>
      </c>
      <c r="AP31">
        <f>IF((gamma!AP31),IF(VLOOKUP(AP$1,main!$A$3:$H$102,7,FALSE)=VLOOKUP($A31,main!$A$3:$H$102,8,FALSE),VLOOKUP(AP$1,main!$A$3:$H$102,4,FALSE),VLOOKUP(AP$1,main!$A$3:$H$102,4,FALSE)+VLOOKUP($A31,main!$A$3:$H$102,4,FALSE)+(VLOOKUP(VLOOKUP(AP$1,main!$A$3:$H$102,8,FALSE),main!$K$19:$O$22,MATCH(VLOOKUP($A31,main!$A$3:$H$102,7,FALSE),main!$K$18:$O$18,0),0))),0)</f>
        <v>215</v>
      </c>
      <c r="AQ31">
        <f>IF((gamma!AQ31),IF(VLOOKUP(AQ$1,main!$A$3:$H$102,7,FALSE)=VLOOKUP($A31,main!$A$3:$H$102,8,FALSE),VLOOKUP(AQ$1,main!$A$3:$H$102,4,FALSE),VLOOKUP(AQ$1,main!$A$3:$H$102,4,FALSE)+VLOOKUP($A31,main!$A$3:$H$102,4,FALSE)+(VLOOKUP(VLOOKUP(AQ$1,main!$A$3:$H$102,8,FALSE),main!$K$19:$O$22,MATCH(VLOOKUP($A31,main!$A$3:$H$102,7,FALSE),main!$K$18:$O$18,0),0))),0)</f>
        <v>0</v>
      </c>
      <c r="AR31">
        <f>IF((gamma!AR31),IF(VLOOKUP(AR$1,main!$A$3:$H$102,7,FALSE)=VLOOKUP($A31,main!$A$3:$H$102,8,FALSE),VLOOKUP(AR$1,main!$A$3:$H$102,4,FALSE),VLOOKUP(AR$1,main!$A$3:$H$102,4,FALSE)+VLOOKUP($A31,main!$A$3:$H$102,4,FALSE)+(VLOOKUP(VLOOKUP(AR$1,main!$A$3:$H$102,8,FALSE),main!$K$19:$O$22,MATCH(VLOOKUP($A31,main!$A$3:$H$102,7,FALSE),main!$K$18:$O$18,0),0))),0)</f>
        <v>0</v>
      </c>
      <c r="AS31">
        <f>IF((gamma!AS31),IF(VLOOKUP(AS$1,main!$A$3:$H$102,7,FALSE)=VLOOKUP($A31,main!$A$3:$H$102,8,FALSE),VLOOKUP(AS$1,main!$A$3:$H$102,4,FALSE),VLOOKUP(AS$1,main!$A$3:$H$102,4,FALSE)+VLOOKUP($A31,main!$A$3:$H$102,4,FALSE)+(VLOOKUP(VLOOKUP(AS$1,main!$A$3:$H$102,8,FALSE),main!$K$19:$O$22,MATCH(VLOOKUP($A31,main!$A$3:$H$102,7,FALSE),main!$K$18:$O$18,0),0))),0)</f>
        <v>0</v>
      </c>
      <c r="AT31">
        <f>IF((gamma!AT31),IF(VLOOKUP(AT$1,main!$A$3:$H$102,7,FALSE)=VLOOKUP($A31,main!$A$3:$H$102,8,FALSE),VLOOKUP(AT$1,main!$A$3:$H$102,4,FALSE),VLOOKUP(AT$1,main!$A$3:$H$102,4,FALSE)+VLOOKUP($A31,main!$A$3:$H$102,4,FALSE)+(VLOOKUP(VLOOKUP(AT$1,main!$A$3:$H$102,8,FALSE),main!$K$19:$O$22,MATCH(VLOOKUP($A31,main!$A$3:$H$102,7,FALSE),main!$K$18:$O$18,0),0))),0)</f>
        <v>0</v>
      </c>
      <c r="AU31">
        <f>IF((gamma!AU31),IF(VLOOKUP(AU$1,main!$A$3:$H$102,7,FALSE)=VLOOKUP($A31,main!$A$3:$H$102,8,FALSE),VLOOKUP(AU$1,main!$A$3:$H$102,4,FALSE),VLOOKUP(AU$1,main!$A$3:$H$102,4,FALSE)+VLOOKUP($A31,main!$A$3:$H$102,4,FALSE)+(VLOOKUP(VLOOKUP(AU$1,main!$A$3:$H$102,8,FALSE),main!$K$19:$O$22,MATCH(VLOOKUP($A31,main!$A$3:$H$102,7,FALSE),main!$K$18:$O$18,0),0))),0)</f>
        <v>0</v>
      </c>
      <c r="AV31">
        <f>IF((gamma!AV31),IF(VLOOKUP(AV$1,main!$A$3:$H$102,7,FALSE)=VLOOKUP($A31,main!$A$3:$H$102,8,FALSE),VLOOKUP(AV$1,main!$A$3:$H$102,4,FALSE),VLOOKUP(AV$1,main!$A$3:$H$102,4,FALSE)+VLOOKUP($A31,main!$A$3:$H$102,4,FALSE)+(VLOOKUP(VLOOKUP(AV$1,main!$A$3:$H$102,8,FALSE),main!$K$19:$O$22,MATCH(VLOOKUP($A31,main!$A$3:$H$102,7,FALSE),main!$K$18:$O$18,0),0))),0)</f>
        <v>0</v>
      </c>
      <c r="AW31">
        <f>IF((gamma!AW31),IF(VLOOKUP(AW$1,main!$A$3:$H$102,7,FALSE)=VLOOKUP($A31,main!$A$3:$H$102,8,FALSE),VLOOKUP(AW$1,main!$A$3:$H$102,4,FALSE),VLOOKUP(AW$1,main!$A$3:$H$102,4,FALSE)+VLOOKUP($A31,main!$A$3:$H$102,4,FALSE)+(VLOOKUP(VLOOKUP(AW$1,main!$A$3:$H$102,8,FALSE),main!$K$19:$O$22,MATCH(VLOOKUP($A31,main!$A$3:$H$102,7,FALSE),main!$K$18:$O$18,0),0))),0)</f>
        <v>0</v>
      </c>
      <c r="AX31">
        <f>IF((gamma!AX31),IF(VLOOKUP(AX$1,main!$A$3:$H$102,7,FALSE)=VLOOKUP($A31,main!$A$3:$H$102,8,FALSE),VLOOKUP(AX$1,main!$A$3:$H$102,4,FALSE),VLOOKUP(AX$1,main!$A$3:$H$102,4,FALSE)+VLOOKUP($A31,main!$A$3:$H$102,4,FALSE)+(VLOOKUP(VLOOKUP(AX$1,main!$A$3:$H$102,8,FALSE),main!$K$19:$O$22,MATCH(VLOOKUP($A31,main!$A$3:$H$102,7,FALSE),main!$K$18:$O$18,0),0))),0)</f>
        <v>0</v>
      </c>
      <c r="AY31">
        <f>IF((gamma!AY31),IF(VLOOKUP(AY$1,main!$A$3:$H$102,7,FALSE)=VLOOKUP($A31,main!$A$3:$H$102,8,FALSE),VLOOKUP(AY$1,main!$A$3:$H$102,4,FALSE),VLOOKUP(AY$1,main!$A$3:$H$102,4,FALSE)+VLOOKUP($A31,main!$A$3:$H$102,4,FALSE)+(VLOOKUP(VLOOKUP(AY$1,main!$A$3:$H$102,8,FALSE),main!$K$19:$O$22,MATCH(VLOOKUP($A31,main!$A$3:$H$102,7,FALSE),main!$K$18:$O$18,0),0))),0)</f>
        <v>0</v>
      </c>
      <c r="AZ31">
        <f>IF((gamma!AZ31),IF(VLOOKUP(AZ$1,main!$A$3:$H$102,7,FALSE)=VLOOKUP($A31,main!$A$3:$H$102,8,FALSE),VLOOKUP(AZ$1,main!$A$3:$H$102,4,FALSE),VLOOKUP(AZ$1,main!$A$3:$H$102,4,FALSE)+VLOOKUP($A31,main!$A$3:$H$102,4,FALSE)+(VLOOKUP(VLOOKUP(AZ$1,main!$A$3:$H$102,8,FALSE),main!$K$19:$O$22,MATCH(VLOOKUP($A31,main!$A$3:$H$102,7,FALSE),main!$K$18:$O$18,0),0))),0)</f>
        <v>0</v>
      </c>
      <c r="BA31">
        <f>IF((gamma!BA31),IF(VLOOKUP(BA$1,main!$A$3:$H$102,7,FALSE)=VLOOKUP($A31,main!$A$3:$H$102,8,FALSE),VLOOKUP(BA$1,main!$A$3:$H$102,4,FALSE),VLOOKUP(BA$1,main!$A$3:$H$102,4,FALSE)+VLOOKUP($A31,main!$A$3:$H$102,4,FALSE)+(VLOOKUP(VLOOKUP(BA$1,main!$A$3:$H$102,8,FALSE),main!$K$19:$O$22,MATCH(VLOOKUP($A31,main!$A$3:$H$102,7,FALSE),main!$K$18:$O$18,0),0))),0)</f>
        <v>0</v>
      </c>
      <c r="BB31">
        <f>IF((gamma!BB31),IF(VLOOKUP(BB$1,main!$A$3:$H$102,7,FALSE)=VLOOKUP($A31,main!$A$3:$H$102,8,FALSE),VLOOKUP(BB$1,main!$A$3:$H$102,4,FALSE),VLOOKUP(BB$1,main!$A$3:$H$102,4,FALSE)+VLOOKUP($A31,main!$A$3:$H$102,4,FALSE)+(VLOOKUP(VLOOKUP(BB$1,main!$A$3:$H$102,8,FALSE),main!$K$19:$O$22,MATCH(VLOOKUP($A31,main!$A$3:$H$102,7,FALSE),main!$K$18:$O$18,0),0))),0)</f>
        <v>0</v>
      </c>
      <c r="BC31">
        <f>IF((gamma!BC31),IF(VLOOKUP(BC$1,main!$A$3:$H$102,7,FALSE)=VLOOKUP($A31,main!$A$3:$H$102,8,FALSE),VLOOKUP(BC$1,main!$A$3:$H$102,4,FALSE),VLOOKUP(BC$1,main!$A$3:$H$102,4,FALSE)+VLOOKUP($A31,main!$A$3:$H$102,4,FALSE)+(VLOOKUP(VLOOKUP(BC$1,main!$A$3:$H$102,8,FALSE),main!$K$19:$O$22,MATCH(VLOOKUP($A31,main!$A$3:$H$102,7,FALSE),main!$K$18:$O$18,0),0))),0)</f>
        <v>0</v>
      </c>
      <c r="BD31">
        <f>IF((gamma!BD31),IF(VLOOKUP(BD$1,main!$A$3:$H$102,7,FALSE)=VLOOKUP($A31,main!$A$3:$H$102,8,FALSE),VLOOKUP(BD$1,main!$A$3:$H$102,4,FALSE),VLOOKUP(BD$1,main!$A$3:$H$102,4,FALSE)+VLOOKUP($A31,main!$A$3:$H$102,4,FALSE)+(VLOOKUP(VLOOKUP(BD$1,main!$A$3:$H$102,8,FALSE),main!$K$19:$O$22,MATCH(VLOOKUP($A31,main!$A$3:$H$102,7,FALSE),main!$K$18:$O$18,0),0))),0)</f>
        <v>0</v>
      </c>
      <c r="BE31">
        <f>IF((gamma!BE31),IF(VLOOKUP(BE$1,main!$A$3:$H$102,7,FALSE)=VLOOKUP($A31,main!$A$3:$H$102,8,FALSE),VLOOKUP(BE$1,main!$A$3:$H$102,4,FALSE),VLOOKUP(BE$1,main!$A$3:$H$102,4,FALSE)+VLOOKUP($A31,main!$A$3:$H$102,4,FALSE)+(VLOOKUP(VLOOKUP(BE$1,main!$A$3:$H$102,8,FALSE),main!$K$19:$O$22,MATCH(VLOOKUP($A31,main!$A$3:$H$102,7,FALSE),main!$K$18:$O$18,0),0))),0)</f>
        <v>0</v>
      </c>
      <c r="BF31">
        <f>IF((gamma!BF31),IF(VLOOKUP(BF$1,main!$A$3:$H$102,7,FALSE)=VLOOKUP($A31,main!$A$3:$H$102,8,FALSE),VLOOKUP(BF$1,main!$A$3:$H$102,4,FALSE),VLOOKUP(BF$1,main!$A$3:$H$102,4,FALSE)+VLOOKUP($A31,main!$A$3:$H$102,4,FALSE)+(VLOOKUP(VLOOKUP(BF$1,main!$A$3:$H$102,8,FALSE),main!$K$19:$O$22,MATCH(VLOOKUP($A31,main!$A$3:$H$102,7,FALSE),main!$K$18:$O$18,0),0))),0)</f>
        <v>0</v>
      </c>
      <c r="BG31">
        <f>IF((gamma!BG31),IF(VLOOKUP(BG$1,main!$A$3:$H$102,7,FALSE)=VLOOKUP($A31,main!$A$3:$H$102,8,FALSE),VLOOKUP(BG$1,main!$A$3:$H$102,4,FALSE),VLOOKUP(BG$1,main!$A$3:$H$102,4,FALSE)+VLOOKUP($A31,main!$A$3:$H$102,4,FALSE)+(VLOOKUP(VLOOKUP(BG$1,main!$A$3:$H$102,8,FALSE),main!$K$19:$O$22,MATCH(VLOOKUP($A31,main!$A$3:$H$102,7,FALSE),main!$K$18:$O$18,0),0))),0)</f>
        <v>0</v>
      </c>
      <c r="BH31">
        <f>IF((gamma!BH31),IF(VLOOKUP(BH$1,main!$A$3:$H$102,7,FALSE)=VLOOKUP($A31,main!$A$3:$H$102,8,FALSE),VLOOKUP(BH$1,main!$A$3:$H$102,4,FALSE),VLOOKUP(BH$1,main!$A$3:$H$102,4,FALSE)+VLOOKUP($A31,main!$A$3:$H$102,4,FALSE)+(VLOOKUP(VLOOKUP(BH$1,main!$A$3:$H$102,8,FALSE),main!$K$19:$O$22,MATCH(VLOOKUP($A31,main!$A$3:$H$102,7,FALSE),main!$K$18:$O$18,0),0))),0)</f>
        <v>0</v>
      </c>
      <c r="BI31">
        <f>IF((gamma!BI31),IF(VLOOKUP(BI$1,main!$A$3:$H$102,7,FALSE)=VLOOKUP($A31,main!$A$3:$H$102,8,FALSE),VLOOKUP(BI$1,main!$A$3:$H$102,4,FALSE),VLOOKUP(BI$1,main!$A$3:$H$102,4,FALSE)+VLOOKUP($A31,main!$A$3:$H$102,4,FALSE)+(VLOOKUP(VLOOKUP(BI$1,main!$A$3:$H$102,8,FALSE),main!$K$19:$O$22,MATCH(VLOOKUP($A31,main!$A$3:$H$102,7,FALSE),main!$K$18:$O$18,0),0))),0)</f>
        <v>200</v>
      </c>
      <c r="BJ31">
        <f>IF((gamma!BJ31),IF(VLOOKUP(BJ$1,main!$A$3:$H$102,7,FALSE)=VLOOKUP($A31,main!$A$3:$H$102,8,FALSE),VLOOKUP(BJ$1,main!$A$3:$H$102,4,FALSE),VLOOKUP(BJ$1,main!$A$3:$H$102,4,FALSE)+VLOOKUP($A31,main!$A$3:$H$102,4,FALSE)+(VLOOKUP(VLOOKUP(BJ$1,main!$A$3:$H$102,8,FALSE),main!$K$19:$O$22,MATCH(VLOOKUP($A31,main!$A$3:$H$102,7,FALSE),main!$K$18:$O$18,0),0))),0)</f>
        <v>0</v>
      </c>
      <c r="BK31">
        <f>IF((gamma!BK31),IF(VLOOKUP(BK$1,main!$A$3:$H$102,7,FALSE)=VLOOKUP($A31,main!$A$3:$H$102,8,FALSE),VLOOKUP(BK$1,main!$A$3:$H$102,4,FALSE),VLOOKUP(BK$1,main!$A$3:$H$102,4,FALSE)+VLOOKUP($A31,main!$A$3:$H$102,4,FALSE)+(VLOOKUP(VLOOKUP(BK$1,main!$A$3:$H$102,8,FALSE),main!$K$19:$O$22,MATCH(VLOOKUP($A31,main!$A$3:$H$102,7,FALSE),main!$K$18:$O$18,0),0))),0)</f>
        <v>0</v>
      </c>
      <c r="BL31">
        <f>IF((gamma!BL31),IF(VLOOKUP(BL$1,main!$A$3:$H$102,7,FALSE)=VLOOKUP($A31,main!$A$3:$H$102,8,FALSE),VLOOKUP(BL$1,main!$A$3:$H$102,4,FALSE),VLOOKUP(BL$1,main!$A$3:$H$102,4,FALSE)+VLOOKUP($A31,main!$A$3:$H$102,4,FALSE)+(VLOOKUP(VLOOKUP(BL$1,main!$A$3:$H$102,8,FALSE),main!$K$19:$O$22,MATCH(VLOOKUP($A31,main!$A$3:$H$102,7,FALSE),main!$K$18:$O$18,0),0))),0)</f>
        <v>0</v>
      </c>
      <c r="BM31">
        <f>IF((gamma!BM31),IF(VLOOKUP(BM$1,main!$A$3:$H$102,7,FALSE)=VLOOKUP($A31,main!$A$3:$H$102,8,FALSE),VLOOKUP(BM$1,main!$A$3:$H$102,4,FALSE),VLOOKUP(BM$1,main!$A$3:$H$102,4,FALSE)+VLOOKUP($A31,main!$A$3:$H$102,4,FALSE)+(VLOOKUP(VLOOKUP(BM$1,main!$A$3:$H$102,8,FALSE),main!$K$19:$O$22,MATCH(VLOOKUP($A31,main!$A$3:$H$102,7,FALSE),main!$K$18:$O$18,0),0))),0)</f>
        <v>0</v>
      </c>
      <c r="BN31">
        <f>IF((gamma!BN31),IF(VLOOKUP(BN$1,main!$A$3:$H$102,7,FALSE)=VLOOKUP($A31,main!$A$3:$H$102,8,FALSE),VLOOKUP(BN$1,main!$A$3:$H$102,4,FALSE),VLOOKUP(BN$1,main!$A$3:$H$102,4,FALSE)+VLOOKUP($A31,main!$A$3:$H$102,4,FALSE)+(VLOOKUP(VLOOKUP(BN$1,main!$A$3:$H$102,8,FALSE),main!$K$19:$O$22,MATCH(VLOOKUP($A31,main!$A$3:$H$102,7,FALSE),main!$K$18:$O$18,0),0))),0)</f>
        <v>0</v>
      </c>
      <c r="BO31">
        <f>IF((gamma!BO31),IF(VLOOKUP(BO$1,main!$A$3:$H$102,7,FALSE)=VLOOKUP($A31,main!$A$3:$H$102,8,FALSE),VLOOKUP(BO$1,main!$A$3:$H$102,4,FALSE),VLOOKUP(BO$1,main!$A$3:$H$102,4,FALSE)+VLOOKUP($A31,main!$A$3:$H$102,4,FALSE)+(VLOOKUP(VLOOKUP(BO$1,main!$A$3:$H$102,8,FALSE),main!$K$19:$O$22,MATCH(VLOOKUP($A31,main!$A$3:$H$102,7,FALSE),main!$K$18:$O$18,0),0))),0)</f>
        <v>0</v>
      </c>
      <c r="BP31">
        <f>IF((gamma!BP31),IF(VLOOKUP(BP$1,main!$A$3:$H$102,7,FALSE)=VLOOKUP($A31,main!$A$3:$H$102,8,FALSE),VLOOKUP(BP$1,main!$A$3:$H$102,4,FALSE),VLOOKUP(BP$1,main!$A$3:$H$102,4,FALSE)+VLOOKUP($A31,main!$A$3:$H$102,4,FALSE)+(VLOOKUP(VLOOKUP(BP$1,main!$A$3:$H$102,8,FALSE),main!$K$19:$O$22,MATCH(VLOOKUP($A31,main!$A$3:$H$102,7,FALSE),main!$K$18:$O$18,0),0))),0)</f>
        <v>0</v>
      </c>
      <c r="BQ31">
        <f>IF((gamma!BQ31),IF(VLOOKUP(BQ$1,main!$A$3:$H$102,7,FALSE)=VLOOKUP($A31,main!$A$3:$H$102,8,FALSE),VLOOKUP(BQ$1,main!$A$3:$H$102,4,FALSE),VLOOKUP(BQ$1,main!$A$3:$H$102,4,FALSE)+VLOOKUP($A31,main!$A$3:$H$102,4,FALSE)+(VLOOKUP(VLOOKUP(BQ$1,main!$A$3:$H$102,8,FALSE),main!$K$19:$O$22,MATCH(VLOOKUP($A31,main!$A$3:$H$102,7,FALSE),main!$K$18:$O$18,0),0))),0)</f>
        <v>0</v>
      </c>
      <c r="BR31">
        <f>IF((gamma!BR31),IF(VLOOKUP(BR$1,main!$A$3:$H$102,7,FALSE)=VLOOKUP($A31,main!$A$3:$H$102,8,FALSE),VLOOKUP(BR$1,main!$A$3:$H$102,4,FALSE),VLOOKUP(BR$1,main!$A$3:$H$102,4,FALSE)+VLOOKUP($A31,main!$A$3:$H$102,4,FALSE)+(VLOOKUP(VLOOKUP(BR$1,main!$A$3:$H$102,8,FALSE),main!$K$19:$O$22,MATCH(VLOOKUP($A31,main!$A$3:$H$102,7,FALSE),main!$K$18:$O$18,0),0))),0)</f>
        <v>0</v>
      </c>
      <c r="BS31">
        <f>IF((gamma!BS31),IF(VLOOKUP(BS$1,main!$A$3:$H$102,7,FALSE)=VLOOKUP($A31,main!$A$3:$H$102,8,FALSE),VLOOKUP(BS$1,main!$A$3:$H$102,4,FALSE),VLOOKUP(BS$1,main!$A$3:$H$102,4,FALSE)+VLOOKUP($A31,main!$A$3:$H$102,4,FALSE)+(VLOOKUP(VLOOKUP(BS$1,main!$A$3:$H$102,8,FALSE),main!$K$19:$O$22,MATCH(VLOOKUP($A31,main!$A$3:$H$102,7,FALSE),main!$K$18:$O$18,0),0))),0)</f>
        <v>0</v>
      </c>
      <c r="BT31">
        <f>IF((gamma!BT31),IF(VLOOKUP(BT$1,main!$A$3:$H$102,7,FALSE)=VLOOKUP($A31,main!$A$3:$H$102,8,FALSE),VLOOKUP(BT$1,main!$A$3:$H$102,4,FALSE),VLOOKUP(BT$1,main!$A$3:$H$102,4,FALSE)+VLOOKUP($A31,main!$A$3:$H$102,4,FALSE)+(VLOOKUP(VLOOKUP(BT$1,main!$A$3:$H$102,8,FALSE),main!$K$19:$O$22,MATCH(VLOOKUP($A31,main!$A$3:$H$102,7,FALSE),main!$K$18:$O$18,0),0))),0)</f>
        <v>0</v>
      </c>
      <c r="BU31">
        <f>IF((gamma!BU31),IF(VLOOKUP(BU$1,main!$A$3:$H$102,7,FALSE)=VLOOKUP($A31,main!$A$3:$H$102,8,FALSE),VLOOKUP(BU$1,main!$A$3:$H$102,4,FALSE),VLOOKUP(BU$1,main!$A$3:$H$102,4,FALSE)+VLOOKUP($A31,main!$A$3:$H$102,4,FALSE)+(VLOOKUP(VLOOKUP(BU$1,main!$A$3:$H$102,8,FALSE),main!$K$19:$O$22,MATCH(VLOOKUP($A31,main!$A$3:$H$102,7,FALSE),main!$K$18:$O$18,0),0))),0)</f>
        <v>0</v>
      </c>
      <c r="BV31">
        <f>IF((gamma!BV31),IF(VLOOKUP(BV$1,main!$A$3:$H$102,7,FALSE)=VLOOKUP($A31,main!$A$3:$H$102,8,FALSE),VLOOKUP(BV$1,main!$A$3:$H$102,4,FALSE),VLOOKUP(BV$1,main!$A$3:$H$102,4,FALSE)+VLOOKUP($A31,main!$A$3:$H$102,4,FALSE)+(VLOOKUP(VLOOKUP(BV$1,main!$A$3:$H$102,8,FALSE),main!$K$19:$O$22,MATCH(VLOOKUP($A31,main!$A$3:$H$102,7,FALSE),main!$K$18:$O$18,0),0))),0)</f>
        <v>0</v>
      </c>
      <c r="BW31">
        <f>IF((gamma!BW31),IF(VLOOKUP(BW$1,main!$A$3:$H$102,7,FALSE)=VLOOKUP($A31,main!$A$3:$H$102,8,FALSE),VLOOKUP(BW$1,main!$A$3:$H$102,4,FALSE),VLOOKUP(BW$1,main!$A$3:$H$102,4,FALSE)+VLOOKUP($A31,main!$A$3:$H$102,4,FALSE)+(VLOOKUP(VLOOKUP(BW$1,main!$A$3:$H$102,8,FALSE),main!$K$19:$O$22,MATCH(VLOOKUP($A31,main!$A$3:$H$102,7,FALSE),main!$K$18:$O$18,0),0))),0)</f>
        <v>0</v>
      </c>
      <c r="BX31">
        <f>IF((gamma!BX31),IF(VLOOKUP(BX$1,main!$A$3:$H$102,7,FALSE)=VLOOKUP($A31,main!$A$3:$H$102,8,FALSE),VLOOKUP(BX$1,main!$A$3:$H$102,4,FALSE),VLOOKUP(BX$1,main!$A$3:$H$102,4,FALSE)+VLOOKUP($A31,main!$A$3:$H$102,4,FALSE)+(VLOOKUP(VLOOKUP(BX$1,main!$A$3:$H$102,8,FALSE),main!$K$19:$O$22,MATCH(VLOOKUP($A31,main!$A$3:$H$102,7,FALSE),main!$K$18:$O$18,0),0))),0)</f>
        <v>0</v>
      </c>
      <c r="BY31">
        <f>IF((gamma!BY31),IF(VLOOKUP(BY$1,main!$A$3:$H$102,7,FALSE)=VLOOKUP($A31,main!$A$3:$H$102,8,FALSE),VLOOKUP(BY$1,main!$A$3:$H$102,4,FALSE),VLOOKUP(BY$1,main!$A$3:$H$102,4,FALSE)+VLOOKUP($A31,main!$A$3:$H$102,4,FALSE)+(VLOOKUP(VLOOKUP(BY$1,main!$A$3:$H$102,8,FALSE),main!$K$19:$O$22,MATCH(VLOOKUP($A31,main!$A$3:$H$102,7,FALSE),main!$K$18:$O$18,0),0))),0)</f>
        <v>0</v>
      </c>
      <c r="BZ31">
        <f>IF((gamma!BZ31),IF(VLOOKUP(BZ$1,main!$A$3:$H$102,7,FALSE)=VLOOKUP($A31,main!$A$3:$H$102,8,FALSE),VLOOKUP(BZ$1,main!$A$3:$H$102,4,FALSE),VLOOKUP(BZ$1,main!$A$3:$H$102,4,FALSE)+VLOOKUP($A31,main!$A$3:$H$102,4,FALSE)+(VLOOKUP(VLOOKUP(BZ$1,main!$A$3:$H$102,8,FALSE),main!$K$19:$O$22,MATCH(VLOOKUP($A31,main!$A$3:$H$102,7,FALSE),main!$K$18:$O$18,0),0))),0)</f>
        <v>0</v>
      </c>
      <c r="CA31">
        <f>IF((gamma!CA31),IF(VLOOKUP(CA$1,main!$A$3:$H$102,7,FALSE)=VLOOKUP($A31,main!$A$3:$H$102,8,FALSE),VLOOKUP(CA$1,main!$A$3:$H$102,4,FALSE),VLOOKUP(CA$1,main!$A$3:$H$102,4,FALSE)+VLOOKUP($A31,main!$A$3:$H$102,4,FALSE)+(VLOOKUP(VLOOKUP(CA$1,main!$A$3:$H$102,8,FALSE),main!$K$19:$O$22,MATCH(VLOOKUP($A31,main!$A$3:$H$102,7,FALSE),main!$K$18:$O$18,0),0))),0)</f>
        <v>0</v>
      </c>
      <c r="CB31">
        <f>IF((gamma!CB31),IF(VLOOKUP(CB$1,main!$A$3:$H$102,7,FALSE)=VLOOKUP($A31,main!$A$3:$H$102,8,FALSE),VLOOKUP(CB$1,main!$A$3:$H$102,4,FALSE),VLOOKUP(CB$1,main!$A$3:$H$102,4,FALSE)+VLOOKUP($A31,main!$A$3:$H$102,4,FALSE)+(VLOOKUP(VLOOKUP(CB$1,main!$A$3:$H$102,8,FALSE),main!$K$19:$O$22,MATCH(VLOOKUP($A31,main!$A$3:$H$102,7,FALSE),main!$K$18:$O$18,0),0))),0)</f>
        <v>0</v>
      </c>
      <c r="CC31">
        <f>IF((gamma!CC31),IF(VLOOKUP(CC$1,main!$A$3:$H$102,7,FALSE)=VLOOKUP($A31,main!$A$3:$H$102,8,FALSE),VLOOKUP(CC$1,main!$A$3:$H$102,4,FALSE),VLOOKUP(CC$1,main!$A$3:$H$102,4,FALSE)+VLOOKUP($A31,main!$A$3:$H$102,4,FALSE)+(VLOOKUP(VLOOKUP(CC$1,main!$A$3:$H$102,8,FALSE),main!$K$19:$O$22,MATCH(VLOOKUP($A31,main!$A$3:$H$102,7,FALSE),main!$K$18:$O$18,0),0))),0)</f>
        <v>0</v>
      </c>
      <c r="CD31">
        <f>IF((gamma!CD31),IF(VLOOKUP(CD$1,main!$A$3:$H$102,7,FALSE)=VLOOKUP($A31,main!$A$3:$H$102,8,FALSE),VLOOKUP(CD$1,main!$A$3:$H$102,4,FALSE),VLOOKUP(CD$1,main!$A$3:$H$102,4,FALSE)+VLOOKUP($A31,main!$A$3:$H$102,4,FALSE)+(VLOOKUP(VLOOKUP(CD$1,main!$A$3:$H$102,8,FALSE),main!$K$19:$O$22,MATCH(VLOOKUP($A31,main!$A$3:$H$102,7,FALSE),main!$K$18:$O$18,0),0))),0)</f>
        <v>0</v>
      </c>
      <c r="CE31">
        <f>IF((gamma!CE31),IF(VLOOKUP(CE$1,main!$A$3:$H$102,7,FALSE)=VLOOKUP($A31,main!$A$3:$H$102,8,FALSE),VLOOKUP(CE$1,main!$A$3:$H$102,4,FALSE),VLOOKUP(CE$1,main!$A$3:$H$102,4,FALSE)+VLOOKUP($A31,main!$A$3:$H$102,4,FALSE)+(VLOOKUP(VLOOKUP(CE$1,main!$A$3:$H$102,8,FALSE),main!$K$19:$O$22,MATCH(VLOOKUP($A31,main!$A$3:$H$102,7,FALSE),main!$K$18:$O$18,0),0))),0)</f>
        <v>0</v>
      </c>
      <c r="CF31">
        <f>IF((gamma!CF31),IF(VLOOKUP(CF$1,main!$A$3:$H$102,7,FALSE)=VLOOKUP($A31,main!$A$3:$H$102,8,FALSE),VLOOKUP(CF$1,main!$A$3:$H$102,4,FALSE),VLOOKUP(CF$1,main!$A$3:$H$102,4,FALSE)+VLOOKUP($A31,main!$A$3:$H$102,4,FALSE)+(VLOOKUP(VLOOKUP(CF$1,main!$A$3:$H$102,8,FALSE),main!$K$19:$O$22,MATCH(VLOOKUP($A31,main!$A$3:$H$102,7,FALSE),main!$K$18:$O$18,0),0))),0)</f>
        <v>0</v>
      </c>
      <c r="CG31">
        <f>IF((gamma!CG31),IF(VLOOKUP(CG$1,main!$A$3:$H$102,7,FALSE)=VLOOKUP($A31,main!$A$3:$H$102,8,FALSE),VLOOKUP(CG$1,main!$A$3:$H$102,4,FALSE),VLOOKUP(CG$1,main!$A$3:$H$102,4,FALSE)+VLOOKUP($A31,main!$A$3:$H$102,4,FALSE)+(VLOOKUP(VLOOKUP(CG$1,main!$A$3:$H$102,8,FALSE),main!$K$19:$O$22,MATCH(VLOOKUP($A31,main!$A$3:$H$102,7,FALSE),main!$K$18:$O$18,0),0))),0)</f>
        <v>0</v>
      </c>
      <c r="CH31">
        <f>IF((gamma!CH31),IF(VLOOKUP(CH$1,main!$A$3:$H$102,7,FALSE)=VLOOKUP($A31,main!$A$3:$H$102,8,FALSE),VLOOKUP(CH$1,main!$A$3:$H$102,4,FALSE),VLOOKUP(CH$1,main!$A$3:$H$102,4,FALSE)+VLOOKUP($A31,main!$A$3:$H$102,4,FALSE)+(VLOOKUP(VLOOKUP(CH$1,main!$A$3:$H$102,8,FALSE),main!$K$19:$O$22,MATCH(VLOOKUP($A31,main!$A$3:$H$102,7,FALSE),main!$K$18:$O$18,0),0))),0)</f>
        <v>0</v>
      </c>
      <c r="CI31">
        <f>IF((gamma!CI31),IF(VLOOKUP(CI$1,main!$A$3:$H$102,7,FALSE)=VLOOKUP($A31,main!$A$3:$H$102,8,FALSE),VLOOKUP(CI$1,main!$A$3:$H$102,4,FALSE),VLOOKUP(CI$1,main!$A$3:$H$102,4,FALSE)+VLOOKUP($A31,main!$A$3:$H$102,4,FALSE)+(VLOOKUP(VLOOKUP(CI$1,main!$A$3:$H$102,8,FALSE),main!$K$19:$O$22,MATCH(VLOOKUP($A31,main!$A$3:$H$102,7,FALSE),main!$K$18:$O$18,0),0))),0)</f>
        <v>140</v>
      </c>
      <c r="CJ31">
        <f>IF((gamma!CJ31),IF(VLOOKUP(CJ$1,main!$A$3:$H$102,7,FALSE)=VLOOKUP($A31,main!$A$3:$H$102,8,FALSE),VLOOKUP(CJ$1,main!$A$3:$H$102,4,FALSE),VLOOKUP(CJ$1,main!$A$3:$H$102,4,FALSE)+VLOOKUP($A31,main!$A$3:$H$102,4,FALSE)+(VLOOKUP(VLOOKUP(CJ$1,main!$A$3:$H$102,8,FALSE),main!$K$19:$O$22,MATCH(VLOOKUP($A31,main!$A$3:$H$102,7,FALSE),main!$K$18:$O$18,0),0))),0)</f>
        <v>0</v>
      </c>
      <c r="CK31">
        <f>IF((gamma!CK31),IF(VLOOKUP(CK$1,main!$A$3:$H$102,7,FALSE)=VLOOKUP($A31,main!$A$3:$H$102,8,FALSE),VLOOKUP(CK$1,main!$A$3:$H$102,4,FALSE),VLOOKUP(CK$1,main!$A$3:$H$102,4,FALSE)+VLOOKUP($A31,main!$A$3:$H$102,4,FALSE)+(VLOOKUP(VLOOKUP(CK$1,main!$A$3:$H$102,8,FALSE),main!$K$19:$O$22,MATCH(VLOOKUP($A31,main!$A$3:$H$102,7,FALSE),main!$K$18:$O$18,0),0))),0)</f>
        <v>0</v>
      </c>
      <c r="CL31">
        <f>IF((gamma!CL31),IF(VLOOKUP(CL$1,main!$A$3:$H$102,7,FALSE)=VLOOKUP($A31,main!$A$3:$H$102,8,FALSE),VLOOKUP(CL$1,main!$A$3:$H$102,4,FALSE),VLOOKUP(CL$1,main!$A$3:$H$102,4,FALSE)+VLOOKUP($A31,main!$A$3:$H$102,4,FALSE)+(VLOOKUP(VLOOKUP(CL$1,main!$A$3:$H$102,8,FALSE),main!$K$19:$O$22,MATCH(VLOOKUP($A31,main!$A$3:$H$102,7,FALSE),main!$K$18:$O$18,0),0))),0)</f>
        <v>0</v>
      </c>
      <c r="CM31">
        <f>IF((gamma!CM31),IF(VLOOKUP(CM$1,main!$A$3:$H$102,7,FALSE)=VLOOKUP($A31,main!$A$3:$H$102,8,FALSE),VLOOKUP(CM$1,main!$A$3:$H$102,4,FALSE),VLOOKUP(CM$1,main!$A$3:$H$102,4,FALSE)+VLOOKUP($A31,main!$A$3:$H$102,4,FALSE)+(VLOOKUP(VLOOKUP(CM$1,main!$A$3:$H$102,8,FALSE),main!$K$19:$O$22,MATCH(VLOOKUP($A31,main!$A$3:$H$102,7,FALSE),main!$K$18:$O$18,0),0))),0)</f>
        <v>0</v>
      </c>
      <c r="CN31">
        <f>IF((gamma!CN31),IF(VLOOKUP(CN$1,main!$A$3:$H$102,7,FALSE)=VLOOKUP($A31,main!$A$3:$H$102,8,FALSE),VLOOKUP(CN$1,main!$A$3:$H$102,4,FALSE),VLOOKUP(CN$1,main!$A$3:$H$102,4,FALSE)+VLOOKUP($A31,main!$A$3:$H$102,4,FALSE)+(VLOOKUP(VLOOKUP(CN$1,main!$A$3:$H$102,8,FALSE),main!$K$19:$O$22,MATCH(VLOOKUP($A31,main!$A$3:$H$102,7,FALSE),main!$K$18:$O$18,0),0))),0)</f>
        <v>96</v>
      </c>
      <c r="CO31">
        <f>IF((gamma!CO31),IF(VLOOKUP(CO$1,main!$A$3:$H$102,7,FALSE)=VLOOKUP($A31,main!$A$3:$H$102,8,FALSE),VLOOKUP(CO$1,main!$A$3:$H$102,4,FALSE),VLOOKUP(CO$1,main!$A$3:$H$102,4,FALSE)+VLOOKUP($A31,main!$A$3:$H$102,4,FALSE)+(VLOOKUP(VLOOKUP(CO$1,main!$A$3:$H$102,8,FALSE),main!$K$19:$O$22,MATCH(VLOOKUP($A31,main!$A$3:$H$102,7,FALSE),main!$K$18:$O$18,0),0))),0)</f>
        <v>0</v>
      </c>
      <c r="CP31">
        <f>IF((gamma!CP31),IF(VLOOKUP(CP$1,main!$A$3:$H$102,7,FALSE)=VLOOKUP($A31,main!$A$3:$H$102,8,FALSE),VLOOKUP(CP$1,main!$A$3:$H$102,4,FALSE),VLOOKUP(CP$1,main!$A$3:$H$102,4,FALSE)+VLOOKUP($A31,main!$A$3:$H$102,4,FALSE)+(VLOOKUP(VLOOKUP(CP$1,main!$A$3:$H$102,8,FALSE),main!$K$19:$O$22,MATCH(VLOOKUP($A31,main!$A$3:$H$102,7,FALSE),main!$K$18:$O$18,0),0))),0)</f>
        <v>0</v>
      </c>
      <c r="CQ31">
        <f>IF((gamma!CQ31),IF(VLOOKUP(CQ$1,main!$A$3:$H$102,7,FALSE)=VLOOKUP($A31,main!$A$3:$H$102,8,FALSE),VLOOKUP(CQ$1,main!$A$3:$H$102,4,FALSE),VLOOKUP(CQ$1,main!$A$3:$H$102,4,FALSE)+VLOOKUP($A31,main!$A$3:$H$102,4,FALSE)+(VLOOKUP(VLOOKUP(CQ$1,main!$A$3:$H$102,8,FALSE),main!$K$19:$O$22,MATCH(VLOOKUP($A31,main!$A$3:$H$102,7,FALSE),main!$K$18:$O$18,0),0))),0)</f>
        <v>0</v>
      </c>
      <c r="CR31">
        <f>IF((gamma!CR31),IF(VLOOKUP(CR$1,main!$A$3:$H$102,7,FALSE)=VLOOKUP($A31,main!$A$3:$H$102,8,FALSE),VLOOKUP(CR$1,main!$A$3:$H$102,4,FALSE),VLOOKUP(CR$1,main!$A$3:$H$102,4,FALSE)+VLOOKUP($A31,main!$A$3:$H$102,4,FALSE)+(VLOOKUP(VLOOKUP(CR$1,main!$A$3:$H$102,8,FALSE),main!$K$19:$O$22,MATCH(VLOOKUP($A31,main!$A$3:$H$102,7,FALSE),main!$K$18:$O$18,0),0))),0)</f>
        <v>0</v>
      </c>
      <c r="CS31">
        <f>IF((gamma!CS31),IF(VLOOKUP(CS$1,main!$A$3:$H$102,7,FALSE)=VLOOKUP($A31,main!$A$3:$H$102,8,FALSE),VLOOKUP(CS$1,main!$A$3:$H$102,4,FALSE),VLOOKUP(CS$1,main!$A$3:$H$102,4,FALSE)+VLOOKUP($A31,main!$A$3:$H$102,4,FALSE)+(VLOOKUP(VLOOKUP(CS$1,main!$A$3:$H$102,8,FALSE),main!$K$19:$O$22,MATCH(VLOOKUP($A31,main!$A$3:$H$102,7,FALSE),main!$K$18:$O$18,0),0))),0)</f>
        <v>0</v>
      </c>
      <c r="CT31">
        <f>IF((gamma!CT31),IF(VLOOKUP(CT$1,main!$A$3:$H$102,7,FALSE)=VLOOKUP($A31,main!$A$3:$H$102,8,FALSE),VLOOKUP(CT$1,main!$A$3:$H$102,4,FALSE),VLOOKUP(CT$1,main!$A$3:$H$102,4,FALSE)+VLOOKUP($A31,main!$A$3:$H$102,4,FALSE)+(VLOOKUP(VLOOKUP(CT$1,main!$A$3:$H$102,8,FALSE),main!$K$19:$O$22,MATCH(VLOOKUP($A31,main!$A$3:$H$102,7,FALSE),main!$K$18:$O$18,0),0))),0)</f>
        <v>0</v>
      </c>
      <c r="CU31">
        <f>IF((gamma!CU31),IF(VLOOKUP(CU$1,main!$A$3:$H$102,7,FALSE)=VLOOKUP($A31,main!$A$3:$H$102,8,FALSE),VLOOKUP(CU$1,main!$A$3:$H$102,4,FALSE),VLOOKUP(CU$1,main!$A$3:$H$102,4,FALSE)+VLOOKUP($A31,main!$A$3:$H$102,4,FALSE)+(VLOOKUP(VLOOKUP(CU$1,main!$A$3:$H$102,8,FALSE),main!$K$19:$O$22,MATCH(VLOOKUP($A31,main!$A$3:$H$102,7,FALSE),main!$K$18:$O$18,0),0))),0)</f>
        <v>0</v>
      </c>
      <c r="CV31">
        <f>IF((gamma!CV31),IF(VLOOKUP(CV$1,main!$A$3:$H$102,7,FALSE)=VLOOKUP($A31,main!$A$3:$H$102,8,FALSE),VLOOKUP(CV$1,main!$A$3:$H$102,4,FALSE),VLOOKUP(CV$1,main!$A$3:$H$102,4,FALSE)+VLOOKUP($A31,main!$A$3:$H$102,4,FALSE)+(VLOOKUP(VLOOKUP(CV$1,main!$A$3:$H$102,8,FALSE),main!$K$19:$O$22,MATCH(VLOOKUP($A31,main!$A$3:$H$102,7,FALSE),main!$K$18:$O$18,0),0))),0)</f>
        <v>0</v>
      </c>
      <c r="CW31">
        <f>IF((gamma!CW31),IF(VLOOKUP(CW$1,main!$A$3:$H$102,7,FALSE)=VLOOKUP($A31,main!$A$3:$H$102,8,FALSE),VLOOKUP(CW$1,main!$A$3:$H$102,4,FALSE),VLOOKUP(CW$1,main!$A$3:$H$102,4,FALSE)+VLOOKUP($A31,main!$A$3:$H$102,4,FALSE)+(VLOOKUP(VLOOKUP(CW$1,main!$A$3:$H$102,8,FALSE),main!$K$19:$O$22,MATCH(VLOOKUP($A31,main!$A$3:$H$102,7,FALSE),main!$K$18:$O$18,0),0))),0)</f>
        <v>0</v>
      </c>
      <c r="CX31">
        <f>IF((gamma!CX31),IF(VLOOKUP(CX$1,main!$A$3:$H$102,7,FALSE)=VLOOKUP($A31,main!$A$3:$H$102,8,FALSE),VLOOKUP(CX$1,main!$A$3:$H$102,4,FALSE),VLOOKUP(CX$1,main!$A$3:$H$102,4,FALSE)+VLOOKUP($A31,main!$A$3:$H$102,4,FALSE)+(VLOOKUP(VLOOKUP(CX$1,main!$A$3:$H$102,8,FALSE),main!$K$19:$O$22,MATCH(VLOOKUP($A31,main!$A$3:$H$102,7,FALSE),main!$K$18:$O$18,0),0))),0)</f>
        <v>0</v>
      </c>
      <c r="CY31">
        <v>0</v>
      </c>
      <c r="CZ31">
        <v>0</v>
      </c>
      <c r="DA31">
        <v>0</v>
      </c>
    </row>
    <row r="32" spans="1:105" x14ac:dyDescent="0.25">
      <c r="A32" s="1">
        <v>30</v>
      </c>
      <c r="B32">
        <v>0</v>
      </c>
      <c r="C32">
        <f>IF((gamma!C32),IF(VLOOKUP(C$1,main!$A$3:$H$102,7,FALSE)=VLOOKUP($A32,main!$A$3:$H$102,8,FALSE),VLOOKUP(C$1,main!$A$3:$H$102,4,FALSE),VLOOKUP(C$1,main!$A$3:$H$102,4,FALSE)+VLOOKUP($A32,main!$A$3:$H$102,4,FALSE)+(VLOOKUP(VLOOKUP(C$1,main!$A$3:$H$102,8,FALSE),main!$K$19:$O$22,MATCH(VLOOKUP($A32,main!$A$3:$H$102,7,FALSE),main!$K$18:$O$18,0),0))),0)</f>
        <v>0</v>
      </c>
      <c r="D32">
        <f>IF((gamma!D32),IF(VLOOKUP(D$1,main!$A$3:$H$102,7,FALSE)=VLOOKUP($A32,main!$A$3:$H$102,8,FALSE),VLOOKUP(D$1,main!$A$3:$H$102,4,FALSE),VLOOKUP(D$1,main!$A$3:$H$102,4,FALSE)+VLOOKUP($A32,main!$A$3:$H$102,4,FALSE)+(VLOOKUP(VLOOKUP(D$1,main!$A$3:$H$102,8,FALSE),main!$K$19:$O$22,MATCH(VLOOKUP($A32,main!$A$3:$H$102,7,FALSE),main!$K$18:$O$18,0),0))),0)</f>
        <v>0</v>
      </c>
      <c r="E32">
        <f>IF((gamma!E32),IF(VLOOKUP(E$1,main!$A$3:$H$102,7,FALSE)=VLOOKUP($A32,main!$A$3:$H$102,8,FALSE),VLOOKUP(E$1,main!$A$3:$H$102,4,FALSE),VLOOKUP(E$1,main!$A$3:$H$102,4,FALSE)+VLOOKUP($A32,main!$A$3:$H$102,4,FALSE)+(VLOOKUP(VLOOKUP(E$1,main!$A$3:$H$102,8,FALSE),main!$K$19:$O$22,MATCH(VLOOKUP($A32,main!$A$3:$H$102,7,FALSE),main!$K$18:$O$18,0),0))),0)</f>
        <v>0</v>
      </c>
      <c r="F32">
        <f>IF((gamma!F32),IF(VLOOKUP(F$1,main!$A$3:$H$102,7,FALSE)=VLOOKUP($A32,main!$A$3:$H$102,8,FALSE),VLOOKUP(F$1,main!$A$3:$H$102,4,FALSE),VLOOKUP(F$1,main!$A$3:$H$102,4,FALSE)+VLOOKUP($A32,main!$A$3:$H$102,4,FALSE)+(VLOOKUP(VLOOKUP(F$1,main!$A$3:$H$102,8,FALSE),main!$K$19:$O$22,MATCH(VLOOKUP($A32,main!$A$3:$H$102,7,FALSE),main!$K$18:$O$18,0),0))),0)</f>
        <v>0</v>
      </c>
      <c r="G32">
        <f>IF((gamma!G32),IF(VLOOKUP(G$1,main!$A$3:$H$102,7,FALSE)=VLOOKUP($A32,main!$A$3:$H$102,8,FALSE),VLOOKUP(G$1,main!$A$3:$H$102,4,FALSE),VLOOKUP(G$1,main!$A$3:$H$102,4,FALSE)+VLOOKUP($A32,main!$A$3:$H$102,4,FALSE)+(VLOOKUP(VLOOKUP(G$1,main!$A$3:$H$102,8,FALSE),main!$K$19:$O$22,MATCH(VLOOKUP($A32,main!$A$3:$H$102,7,FALSE),main!$K$18:$O$18,0),0))),0)</f>
        <v>0</v>
      </c>
      <c r="H32">
        <f>IF((gamma!H32),IF(VLOOKUP(H$1,main!$A$3:$H$102,7,FALSE)=VLOOKUP($A32,main!$A$3:$H$102,8,FALSE),VLOOKUP(H$1,main!$A$3:$H$102,4,FALSE),VLOOKUP(H$1,main!$A$3:$H$102,4,FALSE)+VLOOKUP($A32,main!$A$3:$H$102,4,FALSE)+(VLOOKUP(VLOOKUP(H$1,main!$A$3:$H$102,8,FALSE),main!$K$19:$O$22,MATCH(VLOOKUP($A32,main!$A$3:$H$102,7,FALSE),main!$K$18:$O$18,0),0))),0)</f>
        <v>0</v>
      </c>
      <c r="I32">
        <f>IF((gamma!I32),IF(VLOOKUP(I$1,main!$A$3:$H$102,7,FALSE)=VLOOKUP($A32,main!$A$3:$H$102,8,FALSE),VLOOKUP(I$1,main!$A$3:$H$102,4,FALSE),VLOOKUP(I$1,main!$A$3:$H$102,4,FALSE)+VLOOKUP($A32,main!$A$3:$H$102,4,FALSE)+(VLOOKUP(VLOOKUP(I$1,main!$A$3:$H$102,8,FALSE),main!$K$19:$O$22,MATCH(VLOOKUP($A32,main!$A$3:$H$102,7,FALSE),main!$K$18:$O$18,0),0))),0)</f>
        <v>0</v>
      </c>
      <c r="J32">
        <f>IF((gamma!J32),IF(VLOOKUP(J$1,main!$A$3:$H$102,7,FALSE)=VLOOKUP($A32,main!$A$3:$H$102,8,FALSE),VLOOKUP(J$1,main!$A$3:$H$102,4,FALSE),VLOOKUP(J$1,main!$A$3:$H$102,4,FALSE)+VLOOKUP($A32,main!$A$3:$H$102,4,FALSE)+(VLOOKUP(VLOOKUP(J$1,main!$A$3:$H$102,8,FALSE),main!$K$19:$O$22,MATCH(VLOOKUP($A32,main!$A$3:$H$102,7,FALSE),main!$K$18:$O$18,0),0))),0)</f>
        <v>0</v>
      </c>
      <c r="K32">
        <f>IF((gamma!K32),IF(VLOOKUP(K$1,main!$A$3:$H$102,7,FALSE)=VLOOKUP($A32,main!$A$3:$H$102,8,FALSE),VLOOKUP(K$1,main!$A$3:$H$102,4,FALSE),VLOOKUP(K$1,main!$A$3:$H$102,4,FALSE)+VLOOKUP($A32,main!$A$3:$H$102,4,FALSE)+(VLOOKUP(VLOOKUP(K$1,main!$A$3:$H$102,8,FALSE),main!$K$19:$O$22,MATCH(VLOOKUP($A32,main!$A$3:$H$102,7,FALSE),main!$K$18:$O$18,0),0))),0)</f>
        <v>0</v>
      </c>
      <c r="L32">
        <f>IF((gamma!L32),IF(VLOOKUP(L$1,main!$A$3:$H$102,7,FALSE)=VLOOKUP($A32,main!$A$3:$H$102,8,FALSE),VLOOKUP(L$1,main!$A$3:$H$102,4,FALSE),VLOOKUP(L$1,main!$A$3:$H$102,4,FALSE)+VLOOKUP($A32,main!$A$3:$H$102,4,FALSE)+(VLOOKUP(VLOOKUP(L$1,main!$A$3:$H$102,8,FALSE),main!$K$19:$O$22,MATCH(VLOOKUP($A32,main!$A$3:$H$102,7,FALSE),main!$K$18:$O$18,0),0))),0)</f>
        <v>0</v>
      </c>
      <c r="M32">
        <f>IF((gamma!M32),IF(VLOOKUP(M$1,main!$A$3:$H$102,7,FALSE)=VLOOKUP($A32,main!$A$3:$H$102,8,FALSE),VLOOKUP(M$1,main!$A$3:$H$102,4,FALSE),VLOOKUP(M$1,main!$A$3:$H$102,4,FALSE)+VLOOKUP($A32,main!$A$3:$H$102,4,FALSE)+(VLOOKUP(VLOOKUP(M$1,main!$A$3:$H$102,8,FALSE),main!$K$19:$O$22,MATCH(VLOOKUP($A32,main!$A$3:$H$102,7,FALSE),main!$K$18:$O$18,0),0))),0)</f>
        <v>0</v>
      </c>
      <c r="N32">
        <f>IF((gamma!N32),IF(VLOOKUP(N$1,main!$A$3:$H$102,7,FALSE)=VLOOKUP($A32,main!$A$3:$H$102,8,FALSE),VLOOKUP(N$1,main!$A$3:$H$102,4,FALSE),VLOOKUP(N$1,main!$A$3:$H$102,4,FALSE)+VLOOKUP($A32,main!$A$3:$H$102,4,FALSE)+(VLOOKUP(VLOOKUP(N$1,main!$A$3:$H$102,8,FALSE),main!$K$19:$O$22,MATCH(VLOOKUP($A32,main!$A$3:$H$102,7,FALSE),main!$K$18:$O$18,0),0))),0)</f>
        <v>0</v>
      </c>
      <c r="O32">
        <f>IF((gamma!O32),IF(VLOOKUP(O$1,main!$A$3:$H$102,7,FALSE)=VLOOKUP($A32,main!$A$3:$H$102,8,FALSE),VLOOKUP(O$1,main!$A$3:$H$102,4,FALSE),VLOOKUP(O$1,main!$A$3:$H$102,4,FALSE)+VLOOKUP($A32,main!$A$3:$H$102,4,FALSE)+(VLOOKUP(VLOOKUP(O$1,main!$A$3:$H$102,8,FALSE),main!$K$19:$O$22,MATCH(VLOOKUP($A32,main!$A$3:$H$102,7,FALSE),main!$K$18:$O$18,0),0))),0)</f>
        <v>0</v>
      </c>
      <c r="P32">
        <f>IF((gamma!P32),IF(VLOOKUP(P$1,main!$A$3:$H$102,7,FALSE)=VLOOKUP($A32,main!$A$3:$H$102,8,FALSE),VLOOKUP(P$1,main!$A$3:$H$102,4,FALSE),VLOOKUP(P$1,main!$A$3:$H$102,4,FALSE)+VLOOKUP($A32,main!$A$3:$H$102,4,FALSE)+(VLOOKUP(VLOOKUP(P$1,main!$A$3:$H$102,8,FALSE),main!$K$19:$O$22,MATCH(VLOOKUP($A32,main!$A$3:$H$102,7,FALSE),main!$K$18:$O$18,0),0))),0)</f>
        <v>0</v>
      </c>
      <c r="Q32">
        <f>IF((gamma!Q32),IF(VLOOKUP(Q$1,main!$A$3:$H$102,7,FALSE)=VLOOKUP($A32,main!$A$3:$H$102,8,FALSE),VLOOKUP(Q$1,main!$A$3:$H$102,4,FALSE),VLOOKUP(Q$1,main!$A$3:$H$102,4,FALSE)+VLOOKUP($A32,main!$A$3:$H$102,4,FALSE)+(VLOOKUP(VLOOKUP(Q$1,main!$A$3:$H$102,8,FALSE),main!$K$19:$O$22,MATCH(VLOOKUP($A32,main!$A$3:$H$102,7,FALSE),main!$K$18:$O$18,0),0))),0)</f>
        <v>0</v>
      </c>
      <c r="R32">
        <f>IF((gamma!R32),IF(VLOOKUP(R$1,main!$A$3:$H$102,7,FALSE)=VLOOKUP($A32,main!$A$3:$H$102,8,FALSE),VLOOKUP(R$1,main!$A$3:$H$102,4,FALSE),VLOOKUP(R$1,main!$A$3:$H$102,4,FALSE)+VLOOKUP($A32,main!$A$3:$H$102,4,FALSE)+(VLOOKUP(VLOOKUP(R$1,main!$A$3:$H$102,8,FALSE),main!$K$19:$O$22,MATCH(VLOOKUP($A32,main!$A$3:$H$102,7,FALSE),main!$K$18:$O$18,0),0))),0)</f>
        <v>0</v>
      </c>
      <c r="S32">
        <f>IF((gamma!S32),IF(VLOOKUP(S$1,main!$A$3:$H$102,7,FALSE)=VLOOKUP($A32,main!$A$3:$H$102,8,FALSE),VLOOKUP(S$1,main!$A$3:$H$102,4,FALSE),VLOOKUP(S$1,main!$A$3:$H$102,4,FALSE)+VLOOKUP($A32,main!$A$3:$H$102,4,FALSE)+(VLOOKUP(VLOOKUP(S$1,main!$A$3:$H$102,8,FALSE),main!$K$19:$O$22,MATCH(VLOOKUP($A32,main!$A$3:$H$102,7,FALSE),main!$K$18:$O$18,0),0))),0)</f>
        <v>0</v>
      </c>
      <c r="T32">
        <f>IF((gamma!T32),IF(VLOOKUP(T$1,main!$A$3:$H$102,7,FALSE)=VLOOKUP($A32,main!$A$3:$H$102,8,FALSE),VLOOKUP(T$1,main!$A$3:$H$102,4,FALSE),VLOOKUP(T$1,main!$A$3:$H$102,4,FALSE)+VLOOKUP($A32,main!$A$3:$H$102,4,FALSE)+(VLOOKUP(VLOOKUP(T$1,main!$A$3:$H$102,8,FALSE),main!$K$19:$O$22,MATCH(VLOOKUP($A32,main!$A$3:$H$102,7,FALSE),main!$K$18:$O$18,0),0))),0)</f>
        <v>0</v>
      </c>
      <c r="U32">
        <f>IF((gamma!U32),IF(VLOOKUP(U$1,main!$A$3:$H$102,7,FALSE)=VLOOKUP($A32,main!$A$3:$H$102,8,FALSE),VLOOKUP(U$1,main!$A$3:$H$102,4,FALSE),VLOOKUP(U$1,main!$A$3:$H$102,4,FALSE)+VLOOKUP($A32,main!$A$3:$H$102,4,FALSE)+(VLOOKUP(VLOOKUP(U$1,main!$A$3:$H$102,8,FALSE),main!$K$19:$O$22,MATCH(VLOOKUP($A32,main!$A$3:$H$102,7,FALSE),main!$K$18:$O$18,0),0))),0)</f>
        <v>0</v>
      </c>
      <c r="V32">
        <f>IF((gamma!V32),IF(VLOOKUP(V$1,main!$A$3:$H$102,7,FALSE)=VLOOKUP($A32,main!$A$3:$H$102,8,FALSE),VLOOKUP(V$1,main!$A$3:$H$102,4,FALSE),VLOOKUP(V$1,main!$A$3:$H$102,4,FALSE)+VLOOKUP($A32,main!$A$3:$H$102,4,FALSE)+(VLOOKUP(VLOOKUP(V$1,main!$A$3:$H$102,8,FALSE),main!$K$19:$O$22,MATCH(VLOOKUP($A32,main!$A$3:$H$102,7,FALSE),main!$K$18:$O$18,0),0))),0)</f>
        <v>0</v>
      </c>
      <c r="W32">
        <f>IF((gamma!W32),IF(VLOOKUP(W$1,main!$A$3:$H$102,7,FALSE)=VLOOKUP($A32,main!$A$3:$H$102,8,FALSE),VLOOKUP(W$1,main!$A$3:$H$102,4,FALSE),VLOOKUP(W$1,main!$A$3:$H$102,4,FALSE)+VLOOKUP($A32,main!$A$3:$H$102,4,FALSE)+(VLOOKUP(VLOOKUP(W$1,main!$A$3:$H$102,8,FALSE),main!$K$19:$O$22,MATCH(VLOOKUP($A32,main!$A$3:$H$102,7,FALSE),main!$K$18:$O$18,0),0))),0)</f>
        <v>0</v>
      </c>
      <c r="X32">
        <f>IF((gamma!X32),IF(VLOOKUP(X$1,main!$A$3:$H$102,7,FALSE)=VLOOKUP($A32,main!$A$3:$H$102,8,FALSE),VLOOKUP(X$1,main!$A$3:$H$102,4,FALSE),VLOOKUP(X$1,main!$A$3:$H$102,4,FALSE)+VLOOKUP($A32,main!$A$3:$H$102,4,FALSE)+(VLOOKUP(VLOOKUP(X$1,main!$A$3:$H$102,8,FALSE),main!$K$19:$O$22,MATCH(VLOOKUP($A32,main!$A$3:$H$102,7,FALSE),main!$K$18:$O$18,0),0))),0)</f>
        <v>0</v>
      </c>
      <c r="Y32">
        <f>IF((gamma!Y32),IF(VLOOKUP(Y$1,main!$A$3:$H$102,7,FALSE)=VLOOKUP($A32,main!$A$3:$H$102,8,FALSE),VLOOKUP(Y$1,main!$A$3:$H$102,4,FALSE),VLOOKUP(Y$1,main!$A$3:$H$102,4,FALSE)+VLOOKUP($A32,main!$A$3:$H$102,4,FALSE)+(VLOOKUP(VLOOKUP(Y$1,main!$A$3:$H$102,8,FALSE),main!$K$19:$O$22,MATCH(VLOOKUP($A32,main!$A$3:$H$102,7,FALSE),main!$K$18:$O$18,0),0))),0)</f>
        <v>0</v>
      </c>
      <c r="Z32">
        <f>IF((gamma!Z32),IF(VLOOKUP(Z$1,main!$A$3:$H$102,7,FALSE)=VLOOKUP($A32,main!$A$3:$H$102,8,FALSE),VLOOKUP(Z$1,main!$A$3:$H$102,4,FALSE),VLOOKUP(Z$1,main!$A$3:$H$102,4,FALSE)+VLOOKUP($A32,main!$A$3:$H$102,4,FALSE)+(VLOOKUP(VLOOKUP(Z$1,main!$A$3:$H$102,8,FALSE),main!$K$19:$O$22,MATCH(VLOOKUP($A32,main!$A$3:$H$102,7,FALSE),main!$K$18:$O$18,0),0))),0)</f>
        <v>0</v>
      </c>
      <c r="AA32">
        <f>IF((gamma!AA32),IF(VLOOKUP(AA$1,main!$A$3:$H$102,7,FALSE)=VLOOKUP($A32,main!$A$3:$H$102,8,FALSE),VLOOKUP(AA$1,main!$A$3:$H$102,4,FALSE),VLOOKUP(AA$1,main!$A$3:$H$102,4,FALSE)+VLOOKUP($A32,main!$A$3:$H$102,4,FALSE)+(VLOOKUP(VLOOKUP(AA$1,main!$A$3:$H$102,8,FALSE),main!$K$19:$O$22,MATCH(VLOOKUP($A32,main!$A$3:$H$102,7,FALSE),main!$K$18:$O$18,0),0))),0)</f>
        <v>0</v>
      </c>
      <c r="AB32">
        <f>IF((gamma!AB32),IF(VLOOKUP(AB$1,main!$A$3:$H$102,7,FALSE)=VLOOKUP($A32,main!$A$3:$H$102,8,FALSE),VLOOKUP(AB$1,main!$A$3:$H$102,4,FALSE),VLOOKUP(AB$1,main!$A$3:$H$102,4,FALSE)+VLOOKUP($A32,main!$A$3:$H$102,4,FALSE)+(VLOOKUP(VLOOKUP(AB$1,main!$A$3:$H$102,8,FALSE),main!$K$19:$O$22,MATCH(VLOOKUP($A32,main!$A$3:$H$102,7,FALSE),main!$K$18:$O$18,0),0))),0)</f>
        <v>0</v>
      </c>
      <c r="AC32">
        <f>IF((gamma!AC32),IF(VLOOKUP(AC$1,main!$A$3:$H$102,7,FALSE)=VLOOKUP($A32,main!$A$3:$H$102,8,FALSE),VLOOKUP(AC$1,main!$A$3:$H$102,4,FALSE),VLOOKUP(AC$1,main!$A$3:$H$102,4,FALSE)+VLOOKUP($A32,main!$A$3:$H$102,4,FALSE)+(VLOOKUP(VLOOKUP(AC$1,main!$A$3:$H$102,8,FALSE),main!$K$19:$O$22,MATCH(VLOOKUP($A32,main!$A$3:$H$102,7,FALSE),main!$K$18:$O$18,0),0))),0)</f>
        <v>0</v>
      </c>
      <c r="AD32">
        <f>IF((gamma!AD32),IF(VLOOKUP(AD$1,main!$A$3:$H$102,7,FALSE)=VLOOKUP($A32,main!$A$3:$H$102,8,FALSE),VLOOKUP(AD$1,main!$A$3:$H$102,4,FALSE),VLOOKUP(AD$1,main!$A$3:$H$102,4,FALSE)+VLOOKUP($A32,main!$A$3:$H$102,4,FALSE)+(VLOOKUP(VLOOKUP(AD$1,main!$A$3:$H$102,8,FALSE),main!$K$19:$O$22,MATCH(VLOOKUP($A32,main!$A$3:$H$102,7,FALSE),main!$K$18:$O$18,0),0))),0)</f>
        <v>0</v>
      </c>
      <c r="AE32">
        <f>IF((gamma!AE32),IF(VLOOKUP(AE$1,main!$A$3:$H$102,7,FALSE)=VLOOKUP($A32,main!$A$3:$H$102,8,FALSE),VLOOKUP(AE$1,main!$A$3:$H$102,4,FALSE),VLOOKUP(AE$1,main!$A$3:$H$102,4,FALSE)+VLOOKUP($A32,main!$A$3:$H$102,4,FALSE)+(VLOOKUP(VLOOKUP(AE$1,main!$A$3:$H$102,8,FALSE),main!$K$19:$O$22,MATCH(VLOOKUP($A32,main!$A$3:$H$102,7,FALSE),main!$K$18:$O$18,0),0))),0)</f>
        <v>0</v>
      </c>
      <c r="AF32">
        <f>IF((gamma!AF32),IF(VLOOKUP(AF$1,main!$A$3:$H$102,7,FALSE)=VLOOKUP($A32,main!$A$3:$H$102,8,FALSE),VLOOKUP(AF$1,main!$A$3:$H$102,4,FALSE),VLOOKUP(AF$1,main!$A$3:$H$102,4,FALSE)+VLOOKUP($A32,main!$A$3:$H$102,4,FALSE)+(VLOOKUP(VLOOKUP(AF$1,main!$A$3:$H$102,8,FALSE),main!$K$19:$O$22,MATCH(VLOOKUP($A32,main!$A$3:$H$102,7,FALSE),main!$K$18:$O$18,0),0))),0)</f>
        <v>0</v>
      </c>
      <c r="AG32">
        <f>IF((gamma!AG32),IF(VLOOKUP(AG$1,main!$A$3:$H$102,7,FALSE)=VLOOKUP($A32,main!$A$3:$H$102,8,FALSE),VLOOKUP(AG$1,main!$A$3:$H$102,4,FALSE),VLOOKUP(AG$1,main!$A$3:$H$102,4,FALSE)+VLOOKUP($A32,main!$A$3:$H$102,4,FALSE)+(VLOOKUP(VLOOKUP(AG$1,main!$A$3:$H$102,8,FALSE),main!$K$19:$O$22,MATCH(VLOOKUP($A32,main!$A$3:$H$102,7,FALSE),main!$K$18:$O$18,0),0))),0)</f>
        <v>0</v>
      </c>
      <c r="AH32">
        <f>IF((gamma!AH32),IF(VLOOKUP(AH$1,main!$A$3:$H$102,7,FALSE)=VLOOKUP($A32,main!$A$3:$H$102,8,FALSE),VLOOKUP(AH$1,main!$A$3:$H$102,4,FALSE),VLOOKUP(AH$1,main!$A$3:$H$102,4,FALSE)+VLOOKUP($A32,main!$A$3:$H$102,4,FALSE)+(VLOOKUP(VLOOKUP(AH$1,main!$A$3:$H$102,8,FALSE),main!$K$19:$O$22,MATCH(VLOOKUP($A32,main!$A$3:$H$102,7,FALSE),main!$K$18:$O$18,0),0))),0)</f>
        <v>0</v>
      </c>
      <c r="AI32">
        <f>IF((gamma!AI32),IF(VLOOKUP(AI$1,main!$A$3:$H$102,7,FALSE)=VLOOKUP($A32,main!$A$3:$H$102,8,FALSE),VLOOKUP(AI$1,main!$A$3:$H$102,4,FALSE),VLOOKUP(AI$1,main!$A$3:$H$102,4,FALSE)+VLOOKUP($A32,main!$A$3:$H$102,4,FALSE)+(VLOOKUP(VLOOKUP(AI$1,main!$A$3:$H$102,8,FALSE),main!$K$19:$O$22,MATCH(VLOOKUP($A32,main!$A$3:$H$102,7,FALSE),main!$K$18:$O$18,0),0))),0)</f>
        <v>0</v>
      </c>
      <c r="AJ32">
        <f>IF((gamma!AJ32),IF(VLOOKUP(AJ$1,main!$A$3:$H$102,7,FALSE)=VLOOKUP($A32,main!$A$3:$H$102,8,FALSE),VLOOKUP(AJ$1,main!$A$3:$H$102,4,FALSE),VLOOKUP(AJ$1,main!$A$3:$H$102,4,FALSE)+VLOOKUP($A32,main!$A$3:$H$102,4,FALSE)+(VLOOKUP(VLOOKUP(AJ$1,main!$A$3:$H$102,8,FALSE),main!$K$19:$O$22,MATCH(VLOOKUP($A32,main!$A$3:$H$102,7,FALSE),main!$K$18:$O$18,0),0))),0)</f>
        <v>0</v>
      </c>
      <c r="AK32">
        <f>IF((gamma!AK32),IF(VLOOKUP(AK$1,main!$A$3:$H$102,7,FALSE)=VLOOKUP($A32,main!$A$3:$H$102,8,FALSE),VLOOKUP(AK$1,main!$A$3:$H$102,4,FALSE),VLOOKUP(AK$1,main!$A$3:$H$102,4,FALSE)+VLOOKUP($A32,main!$A$3:$H$102,4,FALSE)+(VLOOKUP(VLOOKUP(AK$1,main!$A$3:$H$102,8,FALSE),main!$K$19:$O$22,MATCH(VLOOKUP($A32,main!$A$3:$H$102,7,FALSE),main!$K$18:$O$18,0),0))),0)</f>
        <v>0</v>
      </c>
      <c r="AL32">
        <f>IF((gamma!AL32),IF(VLOOKUP(AL$1,main!$A$3:$H$102,7,FALSE)=VLOOKUP($A32,main!$A$3:$H$102,8,FALSE),VLOOKUP(AL$1,main!$A$3:$H$102,4,FALSE),VLOOKUP(AL$1,main!$A$3:$H$102,4,FALSE)+VLOOKUP($A32,main!$A$3:$H$102,4,FALSE)+(VLOOKUP(VLOOKUP(AL$1,main!$A$3:$H$102,8,FALSE),main!$K$19:$O$22,MATCH(VLOOKUP($A32,main!$A$3:$H$102,7,FALSE),main!$K$18:$O$18,0),0))),0)</f>
        <v>0</v>
      </c>
      <c r="AM32">
        <f>IF((gamma!AM32),IF(VLOOKUP(AM$1,main!$A$3:$H$102,7,FALSE)=VLOOKUP($A32,main!$A$3:$H$102,8,FALSE),VLOOKUP(AM$1,main!$A$3:$H$102,4,FALSE),VLOOKUP(AM$1,main!$A$3:$H$102,4,FALSE)+VLOOKUP($A32,main!$A$3:$H$102,4,FALSE)+(VLOOKUP(VLOOKUP(AM$1,main!$A$3:$H$102,8,FALSE),main!$K$19:$O$22,MATCH(VLOOKUP($A32,main!$A$3:$H$102,7,FALSE),main!$K$18:$O$18,0),0))),0)</f>
        <v>0</v>
      </c>
      <c r="AN32">
        <f>IF((gamma!AN32),IF(VLOOKUP(AN$1,main!$A$3:$H$102,7,FALSE)=VLOOKUP($A32,main!$A$3:$H$102,8,FALSE),VLOOKUP(AN$1,main!$A$3:$H$102,4,FALSE),VLOOKUP(AN$1,main!$A$3:$H$102,4,FALSE)+VLOOKUP($A32,main!$A$3:$H$102,4,FALSE)+(VLOOKUP(VLOOKUP(AN$1,main!$A$3:$H$102,8,FALSE),main!$K$19:$O$22,MATCH(VLOOKUP($A32,main!$A$3:$H$102,7,FALSE),main!$K$18:$O$18,0),0))),0)</f>
        <v>0</v>
      </c>
      <c r="AO32">
        <f>IF((gamma!AO32),IF(VLOOKUP(AO$1,main!$A$3:$H$102,7,FALSE)=VLOOKUP($A32,main!$A$3:$H$102,8,FALSE),VLOOKUP(AO$1,main!$A$3:$H$102,4,FALSE),VLOOKUP(AO$1,main!$A$3:$H$102,4,FALSE)+VLOOKUP($A32,main!$A$3:$H$102,4,FALSE)+(VLOOKUP(VLOOKUP(AO$1,main!$A$3:$H$102,8,FALSE),main!$K$19:$O$22,MATCH(VLOOKUP($A32,main!$A$3:$H$102,7,FALSE),main!$K$18:$O$18,0),0))),0)</f>
        <v>0</v>
      </c>
      <c r="AP32">
        <f>IF((gamma!AP32),IF(VLOOKUP(AP$1,main!$A$3:$H$102,7,FALSE)=VLOOKUP($A32,main!$A$3:$H$102,8,FALSE),VLOOKUP(AP$1,main!$A$3:$H$102,4,FALSE),VLOOKUP(AP$1,main!$A$3:$H$102,4,FALSE)+VLOOKUP($A32,main!$A$3:$H$102,4,FALSE)+(VLOOKUP(VLOOKUP(AP$1,main!$A$3:$H$102,8,FALSE),main!$K$19:$O$22,MATCH(VLOOKUP($A32,main!$A$3:$H$102,7,FALSE),main!$K$18:$O$18,0),0))),0)</f>
        <v>0</v>
      </c>
      <c r="AQ32">
        <f>IF((gamma!AQ32),IF(VLOOKUP(AQ$1,main!$A$3:$H$102,7,FALSE)=VLOOKUP($A32,main!$A$3:$H$102,8,FALSE),VLOOKUP(AQ$1,main!$A$3:$H$102,4,FALSE),VLOOKUP(AQ$1,main!$A$3:$H$102,4,FALSE)+VLOOKUP($A32,main!$A$3:$H$102,4,FALSE)+(VLOOKUP(VLOOKUP(AQ$1,main!$A$3:$H$102,8,FALSE),main!$K$19:$O$22,MATCH(VLOOKUP($A32,main!$A$3:$H$102,7,FALSE),main!$K$18:$O$18,0),0))),0)</f>
        <v>0</v>
      </c>
      <c r="AR32">
        <f>IF((gamma!AR32),IF(VLOOKUP(AR$1,main!$A$3:$H$102,7,FALSE)=VLOOKUP($A32,main!$A$3:$H$102,8,FALSE),VLOOKUP(AR$1,main!$A$3:$H$102,4,FALSE),VLOOKUP(AR$1,main!$A$3:$H$102,4,FALSE)+VLOOKUP($A32,main!$A$3:$H$102,4,FALSE)+(VLOOKUP(VLOOKUP(AR$1,main!$A$3:$H$102,8,FALSE),main!$K$19:$O$22,MATCH(VLOOKUP($A32,main!$A$3:$H$102,7,FALSE),main!$K$18:$O$18,0),0))),0)</f>
        <v>0</v>
      </c>
      <c r="AS32">
        <f>IF((gamma!AS32),IF(VLOOKUP(AS$1,main!$A$3:$H$102,7,FALSE)=VLOOKUP($A32,main!$A$3:$H$102,8,FALSE),VLOOKUP(AS$1,main!$A$3:$H$102,4,FALSE),VLOOKUP(AS$1,main!$A$3:$H$102,4,FALSE)+VLOOKUP($A32,main!$A$3:$H$102,4,FALSE)+(VLOOKUP(VLOOKUP(AS$1,main!$A$3:$H$102,8,FALSE),main!$K$19:$O$22,MATCH(VLOOKUP($A32,main!$A$3:$H$102,7,FALSE),main!$K$18:$O$18,0),0))),0)</f>
        <v>0</v>
      </c>
      <c r="AT32">
        <f>IF((gamma!AT32),IF(VLOOKUP(AT$1,main!$A$3:$H$102,7,FALSE)=VLOOKUP($A32,main!$A$3:$H$102,8,FALSE),VLOOKUP(AT$1,main!$A$3:$H$102,4,FALSE),VLOOKUP(AT$1,main!$A$3:$H$102,4,FALSE)+VLOOKUP($A32,main!$A$3:$H$102,4,FALSE)+(VLOOKUP(VLOOKUP(AT$1,main!$A$3:$H$102,8,FALSE),main!$K$19:$O$22,MATCH(VLOOKUP($A32,main!$A$3:$H$102,7,FALSE),main!$K$18:$O$18,0),0))),0)</f>
        <v>0</v>
      </c>
      <c r="AU32">
        <f>IF((gamma!AU32),IF(VLOOKUP(AU$1,main!$A$3:$H$102,7,FALSE)=VLOOKUP($A32,main!$A$3:$H$102,8,FALSE),VLOOKUP(AU$1,main!$A$3:$H$102,4,FALSE),VLOOKUP(AU$1,main!$A$3:$H$102,4,FALSE)+VLOOKUP($A32,main!$A$3:$H$102,4,FALSE)+(VLOOKUP(VLOOKUP(AU$1,main!$A$3:$H$102,8,FALSE),main!$K$19:$O$22,MATCH(VLOOKUP($A32,main!$A$3:$H$102,7,FALSE),main!$K$18:$O$18,0),0))),0)</f>
        <v>0</v>
      </c>
      <c r="AV32">
        <f>IF((gamma!AV32),IF(VLOOKUP(AV$1,main!$A$3:$H$102,7,FALSE)=VLOOKUP($A32,main!$A$3:$H$102,8,FALSE),VLOOKUP(AV$1,main!$A$3:$H$102,4,FALSE),VLOOKUP(AV$1,main!$A$3:$H$102,4,FALSE)+VLOOKUP($A32,main!$A$3:$H$102,4,FALSE)+(VLOOKUP(VLOOKUP(AV$1,main!$A$3:$H$102,8,FALSE),main!$K$19:$O$22,MATCH(VLOOKUP($A32,main!$A$3:$H$102,7,FALSE),main!$K$18:$O$18,0),0))),0)</f>
        <v>0</v>
      </c>
      <c r="AW32">
        <f>IF((gamma!AW32),IF(VLOOKUP(AW$1,main!$A$3:$H$102,7,FALSE)=VLOOKUP($A32,main!$A$3:$H$102,8,FALSE),VLOOKUP(AW$1,main!$A$3:$H$102,4,FALSE),VLOOKUP(AW$1,main!$A$3:$H$102,4,FALSE)+VLOOKUP($A32,main!$A$3:$H$102,4,FALSE)+(VLOOKUP(VLOOKUP(AW$1,main!$A$3:$H$102,8,FALSE),main!$K$19:$O$22,MATCH(VLOOKUP($A32,main!$A$3:$H$102,7,FALSE),main!$K$18:$O$18,0),0))),0)</f>
        <v>0</v>
      </c>
      <c r="AX32">
        <f>IF((gamma!AX32),IF(VLOOKUP(AX$1,main!$A$3:$H$102,7,FALSE)=VLOOKUP($A32,main!$A$3:$H$102,8,FALSE),VLOOKUP(AX$1,main!$A$3:$H$102,4,FALSE),VLOOKUP(AX$1,main!$A$3:$H$102,4,FALSE)+VLOOKUP($A32,main!$A$3:$H$102,4,FALSE)+(VLOOKUP(VLOOKUP(AX$1,main!$A$3:$H$102,8,FALSE),main!$K$19:$O$22,MATCH(VLOOKUP($A32,main!$A$3:$H$102,7,FALSE),main!$K$18:$O$18,0),0))),0)</f>
        <v>0</v>
      </c>
      <c r="AY32">
        <f>IF((gamma!AY32),IF(VLOOKUP(AY$1,main!$A$3:$H$102,7,FALSE)=VLOOKUP($A32,main!$A$3:$H$102,8,FALSE),VLOOKUP(AY$1,main!$A$3:$H$102,4,FALSE),VLOOKUP(AY$1,main!$A$3:$H$102,4,FALSE)+VLOOKUP($A32,main!$A$3:$H$102,4,FALSE)+(VLOOKUP(VLOOKUP(AY$1,main!$A$3:$H$102,8,FALSE),main!$K$19:$O$22,MATCH(VLOOKUP($A32,main!$A$3:$H$102,7,FALSE),main!$K$18:$O$18,0),0))),0)</f>
        <v>0</v>
      </c>
      <c r="AZ32">
        <f>IF((gamma!AZ32),IF(VLOOKUP(AZ$1,main!$A$3:$H$102,7,FALSE)=VLOOKUP($A32,main!$A$3:$H$102,8,FALSE),VLOOKUP(AZ$1,main!$A$3:$H$102,4,FALSE),VLOOKUP(AZ$1,main!$A$3:$H$102,4,FALSE)+VLOOKUP($A32,main!$A$3:$H$102,4,FALSE)+(VLOOKUP(VLOOKUP(AZ$1,main!$A$3:$H$102,8,FALSE),main!$K$19:$O$22,MATCH(VLOOKUP($A32,main!$A$3:$H$102,7,FALSE),main!$K$18:$O$18,0),0))),0)</f>
        <v>0</v>
      </c>
      <c r="BA32">
        <f>IF((gamma!BA32),IF(VLOOKUP(BA$1,main!$A$3:$H$102,7,FALSE)=VLOOKUP($A32,main!$A$3:$H$102,8,FALSE),VLOOKUP(BA$1,main!$A$3:$H$102,4,FALSE),VLOOKUP(BA$1,main!$A$3:$H$102,4,FALSE)+VLOOKUP($A32,main!$A$3:$H$102,4,FALSE)+(VLOOKUP(VLOOKUP(BA$1,main!$A$3:$H$102,8,FALSE),main!$K$19:$O$22,MATCH(VLOOKUP($A32,main!$A$3:$H$102,7,FALSE),main!$K$18:$O$18,0),0))),0)</f>
        <v>0</v>
      </c>
      <c r="BB32">
        <f>IF((gamma!BB32),IF(VLOOKUP(BB$1,main!$A$3:$H$102,7,FALSE)=VLOOKUP($A32,main!$A$3:$H$102,8,FALSE),VLOOKUP(BB$1,main!$A$3:$H$102,4,FALSE),VLOOKUP(BB$1,main!$A$3:$H$102,4,FALSE)+VLOOKUP($A32,main!$A$3:$H$102,4,FALSE)+(VLOOKUP(VLOOKUP(BB$1,main!$A$3:$H$102,8,FALSE),main!$K$19:$O$22,MATCH(VLOOKUP($A32,main!$A$3:$H$102,7,FALSE),main!$K$18:$O$18,0),0))),0)</f>
        <v>0</v>
      </c>
      <c r="BC32">
        <f>IF((gamma!BC32),IF(VLOOKUP(BC$1,main!$A$3:$H$102,7,FALSE)=VLOOKUP($A32,main!$A$3:$H$102,8,FALSE),VLOOKUP(BC$1,main!$A$3:$H$102,4,FALSE),VLOOKUP(BC$1,main!$A$3:$H$102,4,FALSE)+VLOOKUP($A32,main!$A$3:$H$102,4,FALSE)+(VLOOKUP(VLOOKUP(BC$1,main!$A$3:$H$102,8,FALSE),main!$K$19:$O$22,MATCH(VLOOKUP($A32,main!$A$3:$H$102,7,FALSE),main!$K$18:$O$18,0),0))),0)</f>
        <v>0</v>
      </c>
      <c r="BD32">
        <f>IF((gamma!BD32),IF(VLOOKUP(BD$1,main!$A$3:$H$102,7,FALSE)=VLOOKUP($A32,main!$A$3:$H$102,8,FALSE),VLOOKUP(BD$1,main!$A$3:$H$102,4,FALSE),VLOOKUP(BD$1,main!$A$3:$H$102,4,FALSE)+VLOOKUP($A32,main!$A$3:$H$102,4,FALSE)+(VLOOKUP(VLOOKUP(BD$1,main!$A$3:$H$102,8,FALSE),main!$K$19:$O$22,MATCH(VLOOKUP($A32,main!$A$3:$H$102,7,FALSE),main!$K$18:$O$18,0),0))),0)</f>
        <v>0</v>
      </c>
      <c r="BE32">
        <f>IF((gamma!BE32),IF(VLOOKUP(BE$1,main!$A$3:$H$102,7,FALSE)=VLOOKUP($A32,main!$A$3:$H$102,8,FALSE),VLOOKUP(BE$1,main!$A$3:$H$102,4,FALSE),VLOOKUP(BE$1,main!$A$3:$H$102,4,FALSE)+VLOOKUP($A32,main!$A$3:$H$102,4,FALSE)+(VLOOKUP(VLOOKUP(BE$1,main!$A$3:$H$102,8,FALSE),main!$K$19:$O$22,MATCH(VLOOKUP($A32,main!$A$3:$H$102,7,FALSE),main!$K$18:$O$18,0),0))),0)</f>
        <v>0</v>
      </c>
      <c r="BF32">
        <f>IF((gamma!BF32),IF(VLOOKUP(BF$1,main!$A$3:$H$102,7,FALSE)=VLOOKUP($A32,main!$A$3:$H$102,8,FALSE),VLOOKUP(BF$1,main!$A$3:$H$102,4,FALSE),VLOOKUP(BF$1,main!$A$3:$H$102,4,FALSE)+VLOOKUP($A32,main!$A$3:$H$102,4,FALSE)+(VLOOKUP(VLOOKUP(BF$1,main!$A$3:$H$102,8,FALSE),main!$K$19:$O$22,MATCH(VLOOKUP($A32,main!$A$3:$H$102,7,FALSE),main!$K$18:$O$18,0),0))),0)</f>
        <v>0</v>
      </c>
      <c r="BG32">
        <f>IF((gamma!BG32),IF(VLOOKUP(BG$1,main!$A$3:$H$102,7,FALSE)=VLOOKUP($A32,main!$A$3:$H$102,8,FALSE),VLOOKUP(BG$1,main!$A$3:$H$102,4,FALSE),VLOOKUP(BG$1,main!$A$3:$H$102,4,FALSE)+VLOOKUP($A32,main!$A$3:$H$102,4,FALSE)+(VLOOKUP(VLOOKUP(BG$1,main!$A$3:$H$102,8,FALSE),main!$K$19:$O$22,MATCH(VLOOKUP($A32,main!$A$3:$H$102,7,FALSE),main!$K$18:$O$18,0),0))),0)</f>
        <v>0</v>
      </c>
      <c r="BH32">
        <f>IF((gamma!BH32),IF(VLOOKUP(BH$1,main!$A$3:$H$102,7,FALSE)=VLOOKUP($A32,main!$A$3:$H$102,8,FALSE),VLOOKUP(BH$1,main!$A$3:$H$102,4,FALSE),VLOOKUP(BH$1,main!$A$3:$H$102,4,FALSE)+VLOOKUP($A32,main!$A$3:$H$102,4,FALSE)+(VLOOKUP(VLOOKUP(BH$1,main!$A$3:$H$102,8,FALSE),main!$K$19:$O$22,MATCH(VLOOKUP($A32,main!$A$3:$H$102,7,FALSE),main!$K$18:$O$18,0),0))),0)</f>
        <v>0</v>
      </c>
      <c r="BI32">
        <f>IF((gamma!BI32),IF(VLOOKUP(BI$1,main!$A$3:$H$102,7,FALSE)=VLOOKUP($A32,main!$A$3:$H$102,8,FALSE),VLOOKUP(BI$1,main!$A$3:$H$102,4,FALSE),VLOOKUP(BI$1,main!$A$3:$H$102,4,FALSE)+VLOOKUP($A32,main!$A$3:$H$102,4,FALSE)+(VLOOKUP(VLOOKUP(BI$1,main!$A$3:$H$102,8,FALSE),main!$K$19:$O$22,MATCH(VLOOKUP($A32,main!$A$3:$H$102,7,FALSE),main!$K$18:$O$18,0),0))),0)</f>
        <v>0</v>
      </c>
      <c r="BJ32">
        <f>IF((gamma!BJ32),IF(VLOOKUP(BJ$1,main!$A$3:$H$102,7,FALSE)=VLOOKUP($A32,main!$A$3:$H$102,8,FALSE),VLOOKUP(BJ$1,main!$A$3:$H$102,4,FALSE),VLOOKUP(BJ$1,main!$A$3:$H$102,4,FALSE)+VLOOKUP($A32,main!$A$3:$H$102,4,FALSE)+(VLOOKUP(VLOOKUP(BJ$1,main!$A$3:$H$102,8,FALSE),main!$K$19:$O$22,MATCH(VLOOKUP($A32,main!$A$3:$H$102,7,FALSE),main!$K$18:$O$18,0),0))),0)</f>
        <v>0</v>
      </c>
      <c r="BK32">
        <f>IF((gamma!BK32),IF(VLOOKUP(BK$1,main!$A$3:$H$102,7,FALSE)=VLOOKUP($A32,main!$A$3:$H$102,8,FALSE),VLOOKUP(BK$1,main!$A$3:$H$102,4,FALSE),VLOOKUP(BK$1,main!$A$3:$H$102,4,FALSE)+VLOOKUP($A32,main!$A$3:$H$102,4,FALSE)+(VLOOKUP(VLOOKUP(BK$1,main!$A$3:$H$102,8,FALSE),main!$K$19:$O$22,MATCH(VLOOKUP($A32,main!$A$3:$H$102,7,FALSE),main!$K$18:$O$18,0),0))),0)</f>
        <v>0</v>
      </c>
      <c r="BL32">
        <f>IF((gamma!BL32),IF(VLOOKUP(BL$1,main!$A$3:$H$102,7,FALSE)=VLOOKUP($A32,main!$A$3:$H$102,8,FALSE),VLOOKUP(BL$1,main!$A$3:$H$102,4,FALSE),VLOOKUP(BL$1,main!$A$3:$H$102,4,FALSE)+VLOOKUP($A32,main!$A$3:$H$102,4,FALSE)+(VLOOKUP(VLOOKUP(BL$1,main!$A$3:$H$102,8,FALSE),main!$K$19:$O$22,MATCH(VLOOKUP($A32,main!$A$3:$H$102,7,FALSE),main!$K$18:$O$18,0),0))),0)</f>
        <v>0</v>
      </c>
      <c r="BM32">
        <f>IF((gamma!BM32),IF(VLOOKUP(BM$1,main!$A$3:$H$102,7,FALSE)=VLOOKUP($A32,main!$A$3:$H$102,8,FALSE),VLOOKUP(BM$1,main!$A$3:$H$102,4,FALSE),VLOOKUP(BM$1,main!$A$3:$H$102,4,FALSE)+VLOOKUP($A32,main!$A$3:$H$102,4,FALSE)+(VLOOKUP(VLOOKUP(BM$1,main!$A$3:$H$102,8,FALSE),main!$K$19:$O$22,MATCH(VLOOKUP($A32,main!$A$3:$H$102,7,FALSE),main!$K$18:$O$18,0),0))),0)</f>
        <v>0</v>
      </c>
      <c r="BN32">
        <f>IF((gamma!BN32),IF(VLOOKUP(BN$1,main!$A$3:$H$102,7,FALSE)=VLOOKUP($A32,main!$A$3:$H$102,8,FALSE),VLOOKUP(BN$1,main!$A$3:$H$102,4,FALSE),VLOOKUP(BN$1,main!$A$3:$H$102,4,FALSE)+VLOOKUP($A32,main!$A$3:$H$102,4,FALSE)+(VLOOKUP(VLOOKUP(BN$1,main!$A$3:$H$102,8,FALSE),main!$K$19:$O$22,MATCH(VLOOKUP($A32,main!$A$3:$H$102,7,FALSE),main!$K$18:$O$18,0),0))),0)</f>
        <v>0</v>
      </c>
      <c r="BO32">
        <f>IF((gamma!BO32),IF(VLOOKUP(BO$1,main!$A$3:$H$102,7,FALSE)=VLOOKUP($A32,main!$A$3:$H$102,8,FALSE),VLOOKUP(BO$1,main!$A$3:$H$102,4,FALSE),VLOOKUP(BO$1,main!$A$3:$H$102,4,FALSE)+VLOOKUP($A32,main!$A$3:$H$102,4,FALSE)+(VLOOKUP(VLOOKUP(BO$1,main!$A$3:$H$102,8,FALSE),main!$K$19:$O$22,MATCH(VLOOKUP($A32,main!$A$3:$H$102,7,FALSE),main!$K$18:$O$18,0),0))),0)</f>
        <v>0</v>
      </c>
      <c r="BP32">
        <f>IF((gamma!BP32),IF(VLOOKUP(BP$1,main!$A$3:$H$102,7,FALSE)=VLOOKUP($A32,main!$A$3:$H$102,8,FALSE),VLOOKUP(BP$1,main!$A$3:$H$102,4,FALSE),VLOOKUP(BP$1,main!$A$3:$H$102,4,FALSE)+VLOOKUP($A32,main!$A$3:$H$102,4,FALSE)+(VLOOKUP(VLOOKUP(BP$1,main!$A$3:$H$102,8,FALSE),main!$K$19:$O$22,MATCH(VLOOKUP($A32,main!$A$3:$H$102,7,FALSE),main!$K$18:$O$18,0),0))),0)</f>
        <v>0</v>
      </c>
      <c r="BQ32">
        <f>IF((gamma!BQ32),IF(VLOOKUP(BQ$1,main!$A$3:$H$102,7,FALSE)=VLOOKUP($A32,main!$A$3:$H$102,8,FALSE),VLOOKUP(BQ$1,main!$A$3:$H$102,4,FALSE),VLOOKUP(BQ$1,main!$A$3:$H$102,4,FALSE)+VLOOKUP($A32,main!$A$3:$H$102,4,FALSE)+(VLOOKUP(VLOOKUP(BQ$1,main!$A$3:$H$102,8,FALSE),main!$K$19:$O$22,MATCH(VLOOKUP($A32,main!$A$3:$H$102,7,FALSE),main!$K$18:$O$18,0),0))),0)</f>
        <v>0</v>
      </c>
      <c r="BR32">
        <f>IF((gamma!BR32),IF(VLOOKUP(BR$1,main!$A$3:$H$102,7,FALSE)=VLOOKUP($A32,main!$A$3:$H$102,8,FALSE),VLOOKUP(BR$1,main!$A$3:$H$102,4,FALSE),VLOOKUP(BR$1,main!$A$3:$H$102,4,FALSE)+VLOOKUP($A32,main!$A$3:$H$102,4,FALSE)+(VLOOKUP(VLOOKUP(BR$1,main!$A$3:$H$102,8,FALSE),main!$K$19:$O$22,MATCH(VLOOKUP($A32,main!$A$3:$H$102,7,FALSE),main!$K$18:$O$18,0),0))),0)</f>
        <v>0</v>
      </c>
      <c r="BS32">
        <f>IF((gamma!BS32),IF(VLOOKUP(BS$1,main!$A$3:$H$102,7,FALSE)=VLOOKUP($A32,main!$A$3:$H$102,8,FALSE),VLOOKUP(BS$1,main!$A$3:$H$102,4,FALSE),VLOOKUP(BS$1,main!$A$3:$H$102,4,FALSE)+VLOOKUP($A32,main!$A$3:$H$102,4,FALSE)+(VLOOKUP(VLOOKUP(BS$1,main!$A$3:$H$102,8,FALSE),main!$K$19:$O$22,MATCH(VLOOKUP($A32,main!$A$3:$H$102,7,FALSE),main!$K$18:$O$18,0),0))),0)</f>
        <v>0</v>
      </c>
      <c r="BT32">
        <f>IF((gamma!BT32),IF(VLOOKUP(BT$1,main!$A$3:$H$102,7,FALSE)=VLOOKUP($A32,main!$A$3:$H$102,8,FALSE),VLOOKUP(BT$1,main!$A$3:$H$102,4,FALSE),VLOOKUP(BT$1,main!$A$3:$H$102,4,FALSE)+VLOOKUP($A32,main!$A$3:$H$102,4,FALSE)+(VLOOKUP(VLOOKUP(BT$1,main!$A$3:$H$102,8,FALSE),main!$K$19:$O$22,MATCH(VLOOKUP($A32,main!$A$3:$H$102,7,FALSE),main!$K$18:$O$18,0),0))),0)</f>
        <v>0</v>
      </c>
      <c r="BU32">
        <f>IF((gamma!BU32),IF(VLOOKUP(BU$1,main!$A$3:$H$102,7,FALSE)=VLOOKUP($A32,main!$A$3:$H$102,8,FALSE),VLOOKUP(BU$1,main!$A$3:$H$102,4,FALSE),VLOOKUP(BU$1,main!$A$3:$H$102,4,FALSE)+VLOOKUP($A32,main!$A$3:$H$102,4,FALSE)+(VLOOKUP(VLOOKUP(BU$1,main!$A$3:$H$102,8,FALSE),main!$K$19:$O$22,MATCH(VLOOKUP($A32,main!$A$3:$H$102,7,FALSE),main!$K$18:$O$18,0),0))),0)</f>
        <v>0</v>
      </c>
      <c r="BV32">
        <f>IF((gamma!BV32),IF(VLOOKUP(BV$1,main!$A$3:$H$102,7,FALSE)=VLOOKUP($A32,main!$A$3:$H$102,8,FALSE),VLOOKUP(BV$1,main!$A$3:$H$102,4,FALSE),VLOOKUP(BV$1,main!$A$3:$H$102,4,FALSE)+VLOOKUP($A32,main!$A$3:$H$102,4,FALSE)+(VLOOKUP(VLOOKUP(BV$1,main!$A$3:$H$102,8,FALSE),main!$K$19:$O$22,MATCH(VLOOKUP($A32,main!$A$3:$H$102,7,FALSE),main!$K$18:$O$18,0),0))),0)</f>
        <v>0</v>
      </c>
      <c r="BW32">
        <f>IF((gamma!BW32),IF(VLOOKUP(BW$1,main!$A$3:$H$102,7,FALSE)=VLOOKUP($A32,main!$A$3:$H$102,8,FALSE),VLOOKUP(BW$1,main!$A$3:$H$102,4,FALSE),VLOOKUP(BW$1,main!$A$3:$H$102,4,FALSE)+VLOOKUP($A32,main!$A$3:$H$102,4,FALSE)+(VLOOKUP(VLOOKUP(BW$1,main!$A$3:$H$102,8,FALSE),main!$K$19:$O$22,MATCH(VLOOKUP($A32,main!$A$3:$H$102,7,FALSE),main!$K$18:$O$18,0),0))),0)</f>
        <v>0</v>
      </c>
      <c r="BX32">
        <f>IF((gamma!BX32),IF(VLOOKUP(BX$1,main!$A$3:$H$102,7,FALSE)=VLOOKUP($A32,main!$A$3:$H$102,8,FALSE),VLOOKUP(BX$1,main!$A$3:$H$102,4,FALSE),VLOOKUP(BX$1,main!$A$3:$H$102,4,FALSE)+VLOOKUP($A32,main!$A$3:$H$102,4,FALSE)+(VLOOKUP(VLOOKUP(BX$1,main!$A$3:$H$102,8,FALSE),main!$K$19:$O$22,MATCH(VLOOKUP($A32,main!$A$3:$H$102,7,FALSE),main!$K$18:$O$18,0),0))),0)</f>
        <v>0</v>
      </c>
      <c r="BY32">
        <f>IF((gamma!BY32),IF(VLOOKUP(BY$1,main!$A$3:$H$102,7,FALSE)=VLOOKUP($A32,main!$A$3:$H$102,8,FALSE),VLOOKUP(BY$1,main!$A$3:$H$102,4,FALSE),VLOOKUP(BY$1,main!$A$3:$H$102,4,FALSE)+VLOOKUP($A32,main!$A$3:$H$102,4,FALSE)+(VLOOKUP(VLOOKUP(BY$1,main!$A$3:$H$102,8,FALSE),main!$K$19:$O$22,MATCH(VLOOKUP($A32,main!$A$3:$H$102,7,FALSE),main!$K$18:$O$18,0),0))),0)</f>
        <v>0</v>
      </c>
      <c r="BZ32">
        <f>IF((gamma!BZ32),IF(VLOOKUP(BZ$1,main!$A$3:$H$102,7,FALSE)=VLOOKUP($A32,main!$A$3:$H$102,8,FALSE),VLOOKUP(BZ$1,main!$A$3:$H$102,4,FALSE),VLOOKUP(BZ$1,main!$A$3:$H$102,4,FALSE)+VLOOKUP($A32,main!$A$3:$H$102,4,FALSE)+(VLOOKUP(VLOOKUP(BZ$1,main!$A$3:$H$102,8,FALSE),main!$K$19:$O$22,MATCH(VLOOKUP($A32,main!$A$3:$H$102,7,FALSE),main!$K$18:$O$18,0),0))),0)</f>
        <v>0</v>
      </c>
      <c r="CA32">
        <f>IF((gamma!CA32),IF(VLOOKUP(CA$1,main!$A$3:$H$102,7,FALSE)=VLOOKUP($A32,main!$A$3:$H$102,8,FALSE),VLOOKUP(CA$1,main!$A$3:$H$102,4,FALSE),VLOOKUP(CA$1,main!$A$3:$H$102,4,FALSE)+VLOOKUP($A32,main!$A$3:$H$102,4,FALSE)+(VLOOKUP(VLOOKUP(CA$1,main!$A$3:$H$102,8,FALSE),main!$K$19:$O$22,MATCH(VLOOKUP($A32,main!$A$3:$H$102,7,FALSE),main!$K$18:$O$18,0),0))),0)</f>
        <v>0</v>
      </c>
      <c r="CB32">
        <f>IF((gamma!CB32),IF(VLOOKUP(CB$1,main!$A$3:$H$102,7,FALSE)=VLOOKUP($A32,main!$A$3:$H$102,8,FALSE),VLOOKUP(CB$1,main!$A$3:$H$102,4,FALSE),VLOOKUP(CB$1,main!$A$3:$H$102,4,FALSE)+VLOOKUP($A32,main!$A$3:$H$102,4,FALSE)+(VLOOKUP(VLOOKUP(CB$1,main!$A$3:$H$102,8,FALSE),main!$K$19:$O$22,MATCH(VLOOKUP($A32,main!$A$3:$H$102,7,FALSE),main!$K$18:$O$18,0),0))),0)</f>
        <v>0</v>
      </c>
      <c r="CC32">
        <f>IF((gamma!CC32),IF(VLOOKUP(CC$1,main!$A$3:$H$102,7,FALSE)=VLOOKUP($A32,main!$A$3:$H$102,8,FALSE),VLOOKUP(CC$1,main!$A$3:$H$102,4,FALSE),VLOOKUP(CC$1,main!$A$3:$H$102,4,FALSE)+VLOOKUP($A32,main!$A$3:$H$102,4,FALSE)+(VLOOKUP(VLOOKUP(CC$1,main!$A$3:$H$102,8,FALSE),main!$K$19:$O$22,MATCH(VLOOKUP($A32,main!$A$3:$H$102,7,FALSE),main!$K$18:$O$18,0),0))),0)</f>
        <v>0</v>
      </c>
      <c r="CD32">
        <f>IF((gamma!CD32),IF(VLOOKUP(CD$1,main!$A$3:$H$102,7,FALSE)=VLOOKUP($A32,main!$A$3:$H$102,8,FALSE),VLOOKUP(CD$1,main!$A$3:$H$102,4,FALSE),VLOOKUP(CD$1,main!$A$3:$H$102,4,FALSE)+VLOOKUP($A32,main!$A$3:$H$102,4,FALSE)+(VLOOKUP(VLOOKUP(CD$1,main!$A$3:$H$102,8,FALSE),main!$K$19:$O$22,MATCH(VLOOKUP($A32,main!$A$3:$H$102,7,FALSE),main!$K$18:$O$18,0),0))),0)</f>
        <v>0</v>
      </c>
      <c r="CE32">
        <f>IF((gamma!CE32),IF(VLOOKUP(CE$1,main!$A$3:$H$102,7,FALSE)=VLOOKUP($A32,main!$A$3:$H$102,8,FALSE),VLOOKUP(CE$1,main!$A$3:$H$102,4,FALSE),VLOOKUP(CE$1,main!$A$3:$H$102,4,FALSE)+VLOOKUP($A32,main!$A$3:$H$102,4,FALSE)+(VLOOKUP(VLOOKUP(CE$1,main!$A$3:$H$102,8,FALSE),main!$K$19:$O$22,MATCH(VLOOKUP($A32,main!$A$3:$H$102,7,FALSE),main!$K$18:$O$18,0),0))),0)</f>
        <v>0</v>
      </c>
      <c r="CF32">
        <f>IF((gamma!CF32),IF(VLOOKUP(CF$1,main!$A$3:$H$102,7,FALSE)=VLOOKUP($A32,main!$A$3:$H$102,8,FALSE),VLOOKUP(CF$1,main!$A$3:$H$102,4,FALSE),VLOOKUP(CF$1,main!$A$3:$H$102,4,FALSE)+VLOOKUP($A32,main!$A$3:$H$102,4,FALSE)+(VLOOKUP(VLOOKUP(CF$1,main!$A$3:$H$102,8,FALSE),main!$K$19:$O$22,MATCH(VLOOKUP($A32,main!$A$3:$H$102,7,FALSE),main!$K$18:$O$18,0),0))),0)</f>
        <v>0</v>
      </c>
      <c r="CG32">
        <f>IF((gamma!CG32),IF(VLOOKUP(CG$1,main!$A$3:$H$102,7,FALSE)=VLOOKUP($A32,main!$A$3:$H$102,8,FALSE),VLOOKUP(CG$1,main!$A$3:$H$102,4,FALSE),VLOOKUP(CG$1,main!$A$3:$H$102,4,FALSE)+VLOOKUP($A32,main!$A$3:$H$102,4,FALSE)+(VLOOKUP(VLOOKUP(CG$1,main!$A$3:$H$102,8,FALSE),main!$K$19:$O$22,MATCH(VLOOKUP($A32,main!$A$3:$H$102,7,FALSE),main!$K$18:$O$18,0),0))),0)</f>
        <v>0</v>
      </c>
      <c r="CH32">
        <f>IF((gamma!CH32),IF(VLOOKUP(CH$1,main!$A$3:$H$102,7,FALSE)=VLOOKUP($A32,main!$A$3:$H$102,8,FALSE),VLOOKUP(CH$1,main!$A$3:$H$102,4,FALSE),VLOOKUP(CH$1,main!$A$3:$H$102,4,FALSE)+VLOOKUP($A32,main!$A$3:$H$102,4,FALSE)+(VLOOKUP(VLOOKUP(CH$1,main!$A$3:$H$102,8,FALSE),main!$K$19:$O$22,MATCH(VLOOKUP($A32,main!$A$3:$H$102,7,FALSE),main!$K$18:$O$18,0),0))),0)</f>
        <v>0</v>
      </c>
      <c r="CI32">
        <f>IF((gamma!CI32),IF(VLOOKUP(CI$1,main!$A$3:$H$102,7,FALSE)=VLOOKUP($A32,main!$A$3:$H$102,8,FALSE),VLOOKUP(CI$1,main!$A$3:$H$102,4,FALSE),VLOOKUP(CI$1,main!$A$3:$H$102,4,FALSE)+VLOOKUP($A32,main!$A$3:$H$102,4,FALSE)+(VLOOKUP(VLOOKUP(CI$1,main!$A$3:$H$102,8,FALSE),main!$K$19:$O$22,MATCH(VLOOKUP($A32,main!$A$3:$H$102,7,FALSE),main!$K$18:$O$18,0),0))),0)</f>
        <v>0</v>
      </c>
      <c r="CJ32">
        <f>IF((gamma!CJ32),IF(VLOOKUP(CJ$1,main!$A$3:$H$102,7,FALSE)=VLOOKUP($A32,main!$A$3:$H$102,8,FALSE),VLOOKUP(CJ$1,main!$A$3:$H$102,4,FALSE),VLOOKUP(CJ$1,main!$A$3:$H$102,4,FALSE)+VLOOKUP($A32,main!$A$3:$H$102,4,FALSE)+(VLOOKUP(VLOOKUP(CJ$1,main!$A$3:$H$102,8,FALSE),main!$K$19:$O$22,MATCH(VLOOKUP($A32,main!$A$3:$H$102,7,FALSE),main!$K$18:$O$18,0),0))),0)</f>
        <v>0</v>
      </c>
      <c r="CK32">
        <f>IF((gamma!CK32),IF(VLOOKUP(CK$1,main!$A$3:$H$102,7,FALSE)=VLOOKUP($A32,main!$A$3:$H$102,8,FALSE),VLOOKUP(CK$1,main!$A$3:$H$102,4,FALSE),VLOOKUP(CK$1,main!$A$3:$H$102,4,FALSE)+VLOOKUP($A32,main!$A$3:$H$102,4,FALSE)+(VLOOKUP(VLOOKUP(CK$1,main!$A$3:$H$102,8,FALSE),main!$K$19:$O$22,MATCH(VLOOKUP($A32,main!$A$3:$H$102,7,FALSE),main!$K$18:$O$18,0),0))),0)</f>
        <v>0</v>
      </c>
      <c r="CL32">
        <f>IF((gamma!CL32),IF(VLOOKUP(CL$1,main!$A$3:$H$102,7,FALSE)=VLOOKUP($A32,main!$A$3:$H$102,8,FALSE),VLOOKUP(CL$1,main!$A$3:$H$102,4,FALSE),VLOOKUP(CL$1,main!$A$3:$H$102,4,FALSE)+VLOOKUP($A32,main!$A$3:$H$102,4,FALSE)+(VLOOKUP(VLOOKUP(CL$1,main!$A$3:$H$102,8,FALSE),main!$K$19:$O$22,MATCH(VLOOKUP($A32,main!$A$3:$H$102,7,FALSE),main!$K$18:$O$18,0),0))),0)</f>
        <v>0</v>
      </c>
      <c r="CM32">
        <f>IF((gamma!CM32),IF(VLOOKUP(CM$1,main!$A$3:$H$102,7,FALSE)=VLOOKUP($A32,main!$A$3:$H$102,8,FALSE),VLOOKUP(CM$1,main!$A$3:$H$102,4,FALSE),VLOOKUP(CM$1,main!$A$3:$H$102,4,FALSE)+VLOOKUP($A32,main!$A$3:$H$102,4,FALSE)+(VLOOKUP(VLOOKUP(CM$1,main!$A$3:$H$102,8,FALSE),main!$K$19:$O$22,MATCH(VLOOKUP($A32,main!$A$3:$H$102,7,FALSE),main!$K$18:$O$18,0),0))),0)</f>
        <v>0</v>
      </c>
      <c r="CN32">
        <f>IF((gamma!CN32),IF(VLOOKUP(CN$1,main!$A$3:$H$102,7,FALSE)=VLOOKUP($A32,main!$A$3:$H$102,8,FALSE),VLOOKUP(CN$1,main!$A$3:$H$102,4,FALSE),VLOOKUP(CN$1,main!$A$3:$H$102,4,FALSE)+VLOOKUP($A32,main!$A$3:$H$102,4,FALSE)+(VLOOKUP(VLOOKUP(CN$1,main!$A$3:$H$102,8,FALSE),main!$K$19:$O$22,MATCH(VLOOKUP($A32,main!$A$3:$H$102,7,FALSE),main!$K$18:$O$18,0),0))),0)</f>
        <v>0</v>
      </c>
      <c r="CO32">
        <f>IF((gamma!CO32),IF(VLOOKUP(CO$1,main!$A$3:$H$102,7,FALSE)=VLOOKUP($A32,main!$A$3:$H$102,8,FALSE),VLOOKUP(CO$1,main!$A$3:$H$102,4,FALSE),VLOOKUP(CO$1,main!$A$3:$H$102,4,FALSE)+VLOOKUP($A32,main!$A$3:$H$102,4,FALSE)+(VLOOKUP(VLOOKUP(CO$1,main!$A$3:$H$102,8,FALSE),main!$K$19:$O$22,MATCH(VLOOKUP($A32,main!$A$3:$H$102,7,FALSE),main!$K$18:$O$18,0),0))),0)</f>
        <v>0</v>
      </c>
      <c r="CP32">
        <f>IF((gamma!CP32),IF(VLOOKUP(CP$1,main!$A$3:$H$102,7,FALSE)=VLOOKUP($A32,main!$A$3:$H$102,8,FALSE),VLOOKUP(CP$1,main!$A$3:$H$102,4,FALSE),VLOOKUP(CP$1,main!$A$3:$H$102,4,FALSE)+VLOOKUP($A32,main!$A$3:$H$102,4,FALSE)+(VLOOKUP(VLOOKUP(CP$1,main!$A$3:$H$102,8,FALSE),main!$K$19:$O$22,MATCH(VLOOKUP($A32,main!$A$3:$H$102,7,FALSE),main!$K$18:$O$18,0),0))),0)</f>
        <v>0</v>
      </c>
      <c r="CQ32">
        <f>IF((gamma!CQ32),IF(VLOOKUP(CQ$1,main!$A$3:$H$102,7,FALSE)=VLOOKUP($A32,main!$A$3:$H$102,8,FALSE),VLOOKUP(CQ$1,main!$A$3:$H$102,4,FALSE),VLOOKUP(CQ$1,main!$A$3:$H$102,4,FALSE)+VLOOKUP($A32,main!$A$3:$H$102,4,FALSE)+(VLOOKUP(VLOOKUP(CQ$1,main!$A$3:$H$102,8,FALSE),main!$K$19:$O$22,MATCH(VLOOKUP($A32,main!$A$3:$H$102,7,FALSE),main!$K$18:$O$18,0),0))),0)</f>
        <v>0</v>
      </c>
      <c r="CR32">
        <f>IF((gamma!CR32),IF(VLOOKUP(CR$1,main!$A$3:$H$102,7,FALSE)=VLOOKUP($A32,main!$A$3:$H$102,8,FALSE),VLOOKUP(CR$1,main!$A$3:$H$102,4,FALSE),VLOOKUP(CR$1,main!$A$3:$H$102,4,FALSE)+VLOOKUP($A32,main!$A$3:$H$102,4,FALSE)+(VLOOKUP(VLOOKUP(CR$1,main!$A$3:$H$102,8,FALSE),main!$K$19:$O$22,MATCH(VLOOKUP($A32,main!$A$3:$H$102,7,FALSE),main!$K$18:$O$18,0),0))),0)</f>
        <v>0</v>
      </c>
      <c r="CS32">
        <f>IF((gamma!CS32),IF(VLOOKUP(CS$1,main!$A$3:$H$102,7,FALSE)=VLOOKUP($A32,main!$A$3:$H$102,8,FALSE),VLOOKUP(CS$1,main!$A$3:$H$102,4,FALSE),VLOOKUP(CS$1,main!$A$3:$H$102,4,FALSE)+VLOOKUP($A32,main!$A$3:$H$102,4,FALSE)+(VLOOKUP(VLOOKUP(CS$1,main!$A$3:$H$102,8,FALSE),main!$K$19:$O$22,MATCH(VLOOKUP($A32,main!$A$3:$H$102,7,FALSE),main!$K$18:$O$18,0),0))),0)</f>
        <v>0</v>
      </c>
      <c r="CT32">
        <f>IF((gamma!CT32),IF(VLOOKUP(CT$1,main!$A$3:$H$102,7,FALSE)=VLOOKUP($A32,main!$A$3:$H$102,8,FALSE),VLOOKUP(CT$1,main!$A$3:$H$102,4,FALSE),VLOOKUP(CT$1,main!$A$3:$H$102,4,FALSE)+VLOOKUP($A32,main!$A$3:$H$102,4,FALSE)+(VLOOKUP(VLOOKUP(CT$1,main!$A$3:$H$102,8,FALSE),main!$K$19:$O$22,MATCH(VLOOKUP($A32,main!$A$3:$H$102,7,FALSE),main!$K$18:$O$18,0),0))),0)</f>
        <v>0</v>
      </c>
      <c r="CU32">
        <f>IF((gamma!CU32),IF(VLOOKUP(CU$1,main!$A$3:$H$102,7,FALSE)=VLOOKUP($A32,main!$A$3:$H$102,8,FALSE),VLOOKUP(CU$1,main!$A$3:$H$102,4,FALSE),VLOOKUP(CU$1,main!$A$3:$H$102,4,FALSE)+VLOOKUP($A32,main!$A$3:$H$102,4,FALSE)+(VLOOKUP(VLOOKUP(CU$1,main!$A$3:$H$102,8,FALSE),main!$K$19:$O$22,MATCH(VLOOKUP($A32,main!$A$3:$H$102,7,FALSE),main!$K$18:$O$18,0),0))),0)</f>
        <v>0</v>
      </c>
      <c r="CV32">
        <f>IF((gamma!CV32),IF(VLOOKUP(CV$1,main!$A$3:$H$102,7,FALSE)=VLOOKUP($A32,main!$A$3:$H$102,8,FALSE),VLOOKUP(CV$1,main!$A$3:$H$102,4,FALSE),VLOOKUP(CV$1,main!$A$3:$H$102,4,FALSE)+VLOOKUP($A32,main!$A$3:$H$102,4,FALSE)+(VLOOKUP(VLOOKUP(CV$1,main!$A$3:$H$102,8,FALSE),main!$K$19:$O$22,MATCH(VLOOKUP($A32,main!$A$3:$H$102,7,FALSE),main!$K$18:$O$18,0),0))),0)</f>
        <v>0</v>
      </c>
      <c r="CW32">
        <f>IF((gamma!CW32),IF(VLOOKUP(CW$1,main!$A$3:$H$102,7,FALSE)=VLOOKUP($A32,main!$A$3:$H$102,8,FALSE),VLOOKUP(CW$1,main!$A$3:$H$102,4,FALSE),VLOOKUP(CW$1,main!$A$3:$H$102,4,FALSE)+VLOOKUP($A32,main!$A$3:$H$102,4,FALSE)+(VLOOKUP(VLOOKUP(CW$1,main!$A$3:$H$102,8,FALSE),main!$K$19:$O$22,MATCH(VLOOKUP($A32,main!$A$3:$H$102,7,FALSE),main!$K$18:$O$18,0),0))),0)</f>
        <v>0</v>
      </c>
      <c r="CX32">
        <f>IF((gamma!CX32),IF(VLOOKUP(CX$1,main!$A$3:$H$102,7,FALSE)=VLOOKUP($A32,main!$A$3:$H$102,8,FALSE),VLOOKUP(CX$1,main!$A$3:$H$102,4,FALSE),VLOOKUP(CX$1,main!$A$3:$H$102,4,FALSE)+VLOOKUP($A32,main!$A$3:$H$102,4,FALSE)+(VLOOKUP(VLOOKUP(CX$1,main!$A$3:$H$102,8,FALSE),main!$K$19:$O$22,MATCH(VLOOKUP($A32,main!$A$3:$H$102,7,FALSE),main!$K$18:$O$18,0),0))),0)</f>
        <v>0</v>
      </c>
      <c r="CY32">
        <v>0</v>
      </c>
      <c r="CZ32">
        <v>0</v>
      </c>
      <c r="DA32">
        <v>0</v>
      </c>
    </row>
    <row r="33" spans="1:105" x14ac:dyDescent="0.25">
      <c r="A33" s="1">
        <v>31</v>
      </c>
      <c r="B33">
        <v>0</v>
      </c>
      <c r="C33">
        <f>IF((gamma!C33),IF(VLOOKUP(C$1,main!$A$3:$H$102,7,FALSE)=VLOOKUP($A33,main!$A$3:$H$102,8,FALSE),VLOOKUP(C$1,main!$A$3:$H$102,4,FALSE),VLOOKUP(C$1,main!$A$3:$H$102,4,FALSE)+VLOOKUP($A33,main!$A$3:$H$102,4,FALSE)+(VLOOKUP(VLOOKUP(C$1,main!$A$3:$H$102,8,FALSE),main!$K$19:$O$22,MATCH(VLOOKUP($A33,main!$A$3:$H$102,7,FALSE),main!$K$18:$O$18,0),0))),0)</f>
        <v>0</v>
      </c>
      <c r="D33">
        <f>IF((gamma!D33),IF(VLOOKUP(D$1,main!$A$3:$H$102,7,FALSE)=VLOOKUP($A33,main!$A$3:$H$102,8,FALSE),VLOOKUP(D$1,main!$A$3:$H$102,4,FALSE),VLOOKUP(D$1,main!$A$3:$H$102,4,FALSE)+VLOOKUP($A33,main!$A$3:$H$102,4,FALSE)+(VLOOKUP(VLOOKUP(D$1,main!$A$3:$H$102,8,FALSE),main!$K$19:$O$22,MATCH(VLOOKUP($A33,main!$A$3:$H$102,7,FALSE),main!$K$18:$O$18,0),0))),0)</f>
        <v>0</v>
      </c>
      <c r="E33">
        <f>IF((gamma!E33),IF(VLOOKUP(E$1,main!$A$3:$H$102,7,FALSE)=VLOOKUP($A33,main!$A$3:$H$102,8,FALSE),VLOOKUP(E$1,main!$A$3:$H$102,4,FALSE),VLOOKUP(E$1,main!$A$3:$H$102,4,FALSE)+VLOOKUP($A33,main!$A$3:$H$102,4,FALSE)+(VLOOKUP(VLOOKUP(E$1,main!$A$3:$H$102,8,FALSE),main!$K$19:$O$22,MATCH(VLOOKUP($A33,main!$A$3:$H$102,7,FALSE),main!$K$18:$O$18,0),0))),0)</f>
        <v>135</v>
      </c>
      <c r="F33">
        <f>IF((gamma!F33),IF(VLOOKUP(F$1,main!$A$3:$H$102,7,FALSE)=VLOOKUP($A33,main!$A$3:$H$102,8,FALSE),VLOOKUP(F$1,main!$A$3:$H$102,4,FALSE),VLOOKUP(F$1,main!$A$3:$H$102,4,FALSE)+VLOOKUP($A33,main!$A$3:$H$102,4,FALSE)+(VLOOKUP(VLOOKUP(F$1,main!$A$3:$H$102,8,FALSE),main!$K$19:$O$22,MATCH(VLOOKUP($A33,main!$A$3:$H$102,7,FALSE),main!$K$18:$O$18,0),0))),0)</f>
        <v>135</v>
      </c>
      <c r="G33">
        <f>IF((gamma!G33),IF(VLOOKUP(G$1,main!$A$3:$H$102,7,FALSE)=VLOOKUP($A33,main!$A$3:$H$102,8,FALSE),VLOOKUP(G$1,main!$A$3:$H$102,4,FALSE),VLOOKUP(G$1,main!$A$3:$H$102,4,FALSE)+VLOOKUP($A33,main!$A$3:$H$102,4,FALSE)+(VLOOKUP(VLOOKUP(G$1,main!$A$3:$H$102,8,FALSE),main!$K$19:$O$22,MATCH(VLOOKUP($A33,main!$A$3:$H$102,7,FALSE),main!$K$18:$O$18,0),0))),0)</f>
        <v>135</v>
      </c>
      <c r="H33">
        <f>IF((gamma!H33),IF(VLOOKUP(H$1,main!$A$3:$H$102,7,FALSE)=VLOOKUP($A33,main!$A$3:$H$102,8,FALSE),VLOOKUP(H$1,main!$A$3:$H$102,4,FALSE),VLOOKUP(H$1,main!$A$3:$H$102,4,FALSE)+VLOOKUP($A33,main!$A$3:$H$102,4,FALSE)+(VLOOKUP(VLOOKUP(H$1,main!$A$3:$H$102,8,FALSE),main!$K$19:$O$22,MATCH(VLOOKUP($A33,main!$A$3:$H$102,7,FALSE),main!$K$18:$O$18,0),0))),0)</f>
        <v>135</v>
      </c>
      <c r="I33">
        <f>IF((gamma!I33),IF(VLOOKUP(I$1,main!$A$3:$H$102,7,FALSE)=VLOOKUP($A33,main!$A$3:$H$102,8,FALSE),VLOOKUP(I$1,main!$A$3:$H$102,4,FALSE),VLOOKUP(I$1,main!$A$3:$H$102,4,FALSE)+VLOOKUP($A33,main!$A$3:$H$102,4,FALSE)+(VLOOKUP(VLOOKUP(I$1,main!$A$3:$H$102,8,FALSE),main!$K$19:$O$22,MATCH(VLOOKUP($A33,main!$A$3:$H$102,7,FALSE),main!$K$18:$O$18,0),0))),0)</f>
        <v>135</v>
      </c>
      <c r="J33">
        <f>IF((gamma!J33),IF(VLOOKUP(J$1,main!$A$3:$H$102,7,FALSE)=VLOOKUP($A33,main!$A$3:$H$102,8,FALSE),VLOOKUP(J$1,main!$A$3:$H$102,4,FALSE),VLOOKUP(J$1,main!$A$3:$H$102,4,FALSE)+VLOOKUP($A33,main!$A$3:$H$102,4,FALSE)+(VLOOKUP(VLOOKUP(J$1,main!$A$3:$H$102,8,FALSE),main!$K$19:$O$22,MATCH(VLOOKUP($A33,main!$A$3:$H$102,7,FALSE),main!$K$18:$O$18,0),0))),0)</f>
        <v>135</v>
      </c>
      <c r="K33">
        <f>IF((gamma!K33),IF(VLOOKUP(K$1,main!$A$3:$H$102,7,FALSE)=VLOOKUP($A33,main!$A$3:$H$102,8,FALSE),VLOOKUP(K$1,main!$A$3:$H$102,4,FALSE),VLOOKUP(K$1,main!$A$3:$H$102,4,FALSE)+VLOOKUP($A33,main!$A$3:$H$102,4,FALSE)+(VLOOKUP(VLOOKUP(K$1,main!$A$3:$H$102,8,FALSE),main!$K$19:$O$22,MATCH(VLOOKUP($A33,main!$A$3:$H$102,7,FALSE),main!$K$18:$O$18,0),0))),0)</f>
        <v>135</v>
      </c>
      <c r="L33">
        <f>IF((gamma!L33),IF(VLOOKUP(L$1,main!$A$3:$H$102,7,FALSE)=VLOOKUP($A33,main!$A$3:$H$102,8,FALSE),VLOOKUP(L$1,main!$A$3:$H$102,4,FALSE),VLOOKUP(L$1,main!$A$3:$H$102,4,FALSE)+VLOOKUP($A33,main!$A$3:$H$102,4,FALSE)+(VLOOKUP(VLOOKUP(L$1,main!$A$3:$H$102,8,FALSE),main!$K$19:$O$22,MATCH(VLOOKUP($A33,main!$A$3:$H$102,7,FALSE),main!$K$18:$O$18,0),0))),0)</f>
        <v>135</v>
      </c>
      <c r="M33">
        <f>IF((gamma!M33),IF(VLOOKUP(M$1,main!$A$3:$H$102,7,FALSE)=VLOOKUP($A33,main!$A$3:$H$102,8,FALSE),VLOOKUP(M$1,main!$A$3:$H$102,4,FALSE),VLOOKUP(M$1,main!$A$3:$H$102,4,FALSE)+VLOOKUP($A33,main!$A$3:$H$102,4,FALSE)+(VLOOKUP(VLOOKUP(M$1,main!$A$3:$H$102,8,FALSE),main!$K$19:$O$22,MATCH(VLOOKUP($A33,main!$A$3:$H$102,7,FALSE),main!$K$18:$O$18,0),0))),0)</f>
        <v>0</v>
      </c>
      <c r="N33">
        <f>IF((gamma!N33),IF(VLOOKUP(N$1,main!$A$3:$H$102,7,FALSE)=VLOOKUP($A33,main!$A$3:$H$102,8,FALSE),VLOOKUP(N$1,main!$A$3:$H$102,4,FALSE),VLOOKUP(N$1,main!$A$3:$H$102,4,FALSE)+VLOOKUP($A33,main!$A$3:$H$102,4,FALSE)+(VLOOKUP(VLOOKUP(N$1,main!$A$3:$H$102,8,FALSE),main!$K$19:$O$22,MATCH(VLOOKUP($A33,main!$A$3:$H$102,7,FALSE),main!$K$18:$O$18,0),0))),0)</f>
        <v>0</v>
      </c>
      <c r="O33">
        <f>IF((gamma!O33),IF(VLOOKUP(O$1,main!$A$3:$H$102,7,FALSE)=VLOOKUP($A33,main!$A$3:$H$102,8,FALSE),VLOOKUP(O$1,main!$A$3:$H$102,4,FALSE),VLOOKUP(O$1,main!$A$3:$H$102,4,FALSE)+VLOOKUP($A33,main!$A$3:$H$102,4,FALSE)+(VLOOKUP(VLOOKUP(O$1,main!$A$3:$H$102,8,FALSE),main!$K$19:$O$22,MATCH(VLOOKUP($A33,main!$A$3:$H$102,7,FALSE),main!$K$18:$O$18,0),0))),0)</f>
        <v>0</v>
      </c>
      <c r="P33">
        <f>IF((gamma!P33),IF(VLOOKUP(P$1,main!$A$3:$H$102,7,FALSE)=VLOOKUP($A33,main!$A$3:$H$102,8,FALSE),VLOOKUP(P$1,main!$A$3:$H$102,4,FALSE),VLOOKUP(P$1,main!$A$3:$H$102,4,FALSE)+VLOOKUP($A33,main!$A$3:$H$102,4,FALSE)+(VLOOKUP(VLOOKUP(P$1,main!$A$3:$H$102,8,FALSE),main!$K$19:$O$22,MATCH(VLOOKUP($A33,main!$A$3:$H$102,7,FALSE),main!$K$18:$O$18,0),0))),0)</f>
        <v>0</v>
      </c>
      <c r="Q33">
        <f>IF((gamma!Q33),IF(VLOOKUP(Q$1,main!$A$3:$H$102,7,FALSE)=VLOOKUP($A33,main!$A$3:$H$102,8,FALSE),VLOOKUP(Q$1,main!$A$3:$H$102,4,FALSE),VLOOKUP(Q$1,main!$A$3:$H$102,4,FALSE)+VLOOKUP($A33,main!$A$3:$H$102,4,FALSE)+(VLOOKUP(VLOOKUP(Q$1,main!$A$3:$H$102,8,FALSE),main!$K$19:$O$22,MATCH(VLOOKUP($A33,main!$A$3:$H$102,7,FALSE),main!$K$18:$O$18,0),0))),0)</f>
        <v>140</v>
      </c>
      <c r="R33">
        <f>IF((gamma!R33),IF(VLOOKUP(R$1,main!$A$3:$H$102,7,FALSE)=VLOOKUP($A33,main!$A$3:$H$102,8,FALSE),VLOOKUP(R$1,main!$A$3:$H$102,4,FALSE),VLOOKUP(R$1,main!$A$3:$H$102,4,FALSE)+VLOOKUP($A33,main!$A$3:$H$102,4,FALSE)+(VLOOKUP(VLOOKUP(R$1,main!$A$3:$H$102,8,FALSE),main!$K$19:$O$22,MATCH(VLOOKUP($A33,main!$A$3:$H$102,7,FALSE),main!$K$18:$O$18,0),0))),0)</f>
        <v>140</v>
      </c>
      <c r="S33">
        <f>IF((gamma!S33),IF(VLOOKUP(S$1,main!$A$3:$H$102,7,FALSE)=VLOOKUP($A33,main!$A$3:$H$102,8,FALSE),VLOOKUP(S$1,main!$A$3:$H$102,4,FALSE),VLOOKUP(S$1,main!$A$3:$H$102,4,FALSE)+VLOOKUP($A33,main!$A$3:$H$102,4,FALSE)+(VLOOKUP(VLOOKUP(S$1,main!$A$3:$H$102,8,FALSE),main!$K$19:$O$22,MATCH(VLOOKUP($A33,main!$A$3:$H$102,7,FALSE),main!$K$18:$O$18,0),0))),0)</f>
        <v>140</v>
      </c>
      <c r="T33">
        <f>IF((gamma!T33),IF(VLOOKUP(T$1,main!$A$3:$H$102,7,FALSE)=VLOOKUP($A33,main!$A$3:$H$102,8,FALSE),VLOOKUP(T$1,main!$A$3:$H$102,4,FALSE),VLOOKUP(T$1,main!$A$3:$H$102,4,FALSE)+VLOOKUP($A33,main!$A$3:$H$102,4,FALSE)+(VLOOKUP(VLOOKUP(T$1,main!$A$3:$H$102,8,FALSE),main!$K$19:$O$22,MATCH(VLOOKUP($A33,main!$A$3:$H$102,7,FALSE),main!$K$18:$O$18,0),0))),0)</f>
        <v>140</v>
      </c>
      <c r="U33">
        <f>IF((gamma!U33),IF(VLOOKUP(U$1,main!$A$3:$H$102,7,FALSE)=VLOOKUP($A33,main!$A$3:$H$102,8,FALSE),VLOOKUP(U$1,main!$A$3:$H$102,4,FALSE),VLOOKUP(U$1,main!$A$3:$H$102,4,FALSE)+VLOOKUP($A33,main!$A$3:$H$102,4,FALSE)+(VLOOKUP(VLOOKUP(U$1,main!$A$3:$H$102,8,FALSE),main!$K$19:$O$22,MATCH(VLOOKUP($A33,main!$A$3:$H$102,7,FALSE),main!$K$18:$O$18,0),0))),0)</f>
        <v>140</v>
      </c>
      <c r="V33">
        <f>IF((gamma!V33),IF(VLOOKUP(V$1,main!$A$3:$H$102,7,FALSE)=VLOOKUP($A33,main!$A$3:$H$102,8,FALSE),VLOOKUP(V$1,main!$A$3:$H$102,4,FALSE),VLOOKUP(V$1,main!$A$3:$H$102,4,FALSE)+VLOOKUP($A33,main!$A$3:$H$102,4,FALSE)+(VLOOKUP(VLOOKUP(V$1,main!$A$3:$H$102,8,FALSE),main!$K$19:$O$22,MATCH(VLOOKUP($A33,main!$A$3:$H$102,7,FALSE),main!$K$18:$O$18,0),0))),0)</f>
        <v>140</v>
      </c>
      <c r="W33">
        <f>IF((gamma!W33),IF(VLOOKUP(W$1,main!$A$3:$H$102,7,FALSE)=VLOOKUP($A33,main!$A$3:$H$102,8,FALSE),VLOOKUP(W$1,main!$A$3:$H$102,4,FALSE),VLOOKUP(W$1,main!$A$3:$H$102,4,FALSE)+VLOOKUP($A33,main!$A$3:$H$102,4,FALSE)+(VLOOKUP(VLOOKUP(W$1,main!$A$3:$H$102,8,FALSE),main!$K$19:$O$22,MATCH(VLOOKUP($A33,main!$A$3:$H$102,7,FALSE),main!$K$18:$O$18,0),0))),0)</f>
        <v>0</v>
      </c>
      <c r="X33">
        <f>IF((gamma!X33),IF(VLOOKUP(X$1,main!$A$3:$H$102,7,FALSE)=VLOOKUP($A33,main!$A$3:$H$102,8,FALSE),VLOOKUP(X$1,main!$A$3:$H$102,4,FALSE),VLOOKUP(X$1,main!$A$3:$H$102,4,FALSE)+VLOOKUP($A33,main!$A$3:$H$102,4,FALSE)+(VLOOKUP(VLOOKUP(X$1,main!$A$3:$H$102,8,FALSE),main!$K$19:$O$22,MATCH(VLOOKUP($A33,main!$A$3:$H$102,7,FALSE),main!$K$18:$O$18,0),0))),0)</f>
        <v>0</v>
      </c>
      <c r="Y33">
        <f>IF((gamma!Y33),IF(VLOOKUP(Y$1,main!$A$3:$H$102,7,FALSE)=VLOOKUP($A33,main!$A$3:$H$102,8,FALSE),VLOOKUP(Y$1,main!$A$3:$H$102,4,FALSE),VLOOKUP(Y$1,main!$A$3:$H$102,4,FALSE)+VLOOKUP($A33,main!$A$3:$H$102,4,FALSE)+(VLOOKUP(VLOOKUP(Y$1,main!$A$3:$H$102,8,FALSE),main!$K$19:$O$22,MATCH(VLOOKUP($A33,main!$A$3:$H$102,7,FALSE),main!$K$18:$O$18,0),0))),0)</f>
        <v>135</v>
      </c>
      <c r="Z33">
        <f>IF((gamma!Z33),IF(VLOOKUP(Z$1,main!$A$3:$H$102,7,FALSE)=VLOOKUP($A33,main!$A$3:$H$102,8,FALSE),VLOOKUP(Z$1,main!$A$3:$H$102,4,FALSE),VLOOKUP(Z$1,main!$A$3:$H$102,4,FALSE)+VLOOKUP($A33,main!$A$3:$H$102,4,FALSE)+(VLOOKUP(VLOOKUP(Z$1,main!$A$3:$H$102,8,FALSE),main!$K$19:$O$22,MATCH(VLOOKUP($A33,main!$A$3:$H$102,7,FALSE),main!$K$18:$O$18,0),0))),0)</f>
        <v>140</v>
      </c>
      <c r="AA33">
        <f>IF((gamma!AA33),IF(VLOOKUP(AA$1,main!$A$3:$H$102,7,FALSE)=VLOOKUP($A33,main!$A$3:$H$102,8,FALSE),VLOOKUP(AA$1,main!$A$3:$H$102,4,FALSE),VLOOKUP(AA$1,main!$A$3:$H$102,4,FALSE)+VLOOKUP($A33,main!$A$3:$H$102,4,FALSE)+(VLOOKUP(VLOOKUP(AA$1,main!$A$3:$H$102,8,FALSE),main!$K$19:$O$22,MATCH(VLOOKUP($A33,main!$A$3:$H$102,7,FALSE),main!$K$18:$O$18,0),0))),0)</f>
        <v>140</v>
      </c>
      <c r="AB33">
        <f>IF((gamma!AB33),IF(VLOOKUP(AB$1,main!$A$3:$H$102,7,FALSE)=VLOOKUP($A33,main!$A$3:$H$102,8,FALSE),VLOOKUP(AB$1,main!$A$3:$H$102,4,FALSE),VLOOKUP(AB$1,main!$A$3:$H$102,4,FALSE)+VLOOKUP($A33,main!$A$3:$H$102,4,FALSE)+(VLOOKUP(VLOOKUP(AB$1,main!$A$3:$H$102,8,FALSE),main!$K$19:$O$22,MATCH(VLOOKUP($A33,main!$A$3:$H$102,7,FALSE),main!$K$18:$O$18,0),0))),0)</f>
        <v>0</v>
      </c>
      <c r="AC33">
        <f>IF((gamma!AC33),IF(VLOOKUP(AC$1,main!$A$3:$H$102,7,FALSE)=VLOOKUP($A33,main!$A$3:$H$102,8,FALSE),VLOOKUP(AC$1,main!$A$3:$H$102,4,FALSE),VLOOKUP(AC$1,main!$A$3:$H$102,4,FALSE)+VLOOKUP($A33,main!$A$3:$H$102,4,FALSE)+(VLOOKUP(VLOOKUP(AC$1,main!$A$3:$H$102,8,FALSE),main!$K$19:$O$22,MATCH(VLOOKUP($A33,main!$A$3:$H$102,7,FALSE),main!$K$18:$O$18,0),0))),0)</f>
        <v>0</v>
      </c>
      <c r="AD33">
        <f>IF((gamma!AD33),IF(VLOOKUP(AD$1,main!$A$3:$H$102,7,FALSE)=VLOOKUP($A33,main!$A$3:$H$102,8,FALSE),VLOOKUP(AD$1,main!$A$3:$H$102,4,FALSE),VLOOKUP(AD$1,main!$A$3:$H$102,4,FALSE)+VLOOKUP($A33,main!$A$3:$H$102,4,FALSE)+(VLOOKUP(VLOOKUP(AD$1,main!$A$3:$H$102,8,FALSE),main!$K$19:$O$22,MATCH(VLOOKUP($A33,main!$A$3:$H$102,7,FALSE),main!$K$18:$O$18,0),0))),0)</f>
        <v>135</v>
      </c>
      <c r="AE33">
        <f>IF((gamma!AE33),IF(VLOOKUP(AE$1,main!$A$3:$H$102,7,FALSE)=VLOOKUP($A33,main!$A$3:$H$102,8,FALSE),VLOOKUP(AE$1,main!$A$3:$H$102,4,FALSE),VLOOKUP(AE$1,main!$A$3:$H$102,4,FALSE)+VLOOKUP($A33,main!$A$3:$H$102,4,FALSE)+(VLOOKUP(VLOOKUP(AE$1,main!$A$3:$H$102,8,FALSE),main!$K$19:$O$22,MATCH(VLOOKUP($A33,main!$A$3:$H$102,7,FALSE),main!$K$18:$O$18,0),0))),0)</f>
        <v>140</v>
      </c>
      <c r="AF33">
        <f>IF((gamma!AF33),IF(VLOOKUP(AF$1,main!$A$3:$H$102,7,FALSE)=VLOOKUP($A33,main!$A$3:$H$102,8,FALSE),VLOOKUP(AF$1,main!$A$3:$H$102,4,FALSE),VLOOKUP(AF$1,main!$A$3:$H$102,4,FALSE)+VLOOKUP($A33,main!$A$3:$H$102,4,FALSE)+(VLOOKUP(VLOOKUP(AF$1,main!$A$3:$H$102,8,FALSE),main!$K$19:$O$22,MATCH(VLOOKUP($A33,main!$A$3:$H$102,7,FALSE),main!$K$18:$O$18,0),0))),0)</f>
        <v>100</v>
      </c>
      <c r="AG33">
        <f>IF((gamma!AG33),IF(VLOOKUP(AG$1,main!$A$3:$H$102,7,FALSE)=VLOOKUP($A33,main!$A$3:$H$102,8,FALSE),VLOOKUP(AG$1,main!$A$3:$H$102,4,FALSE),VLOOKUP(AG$1,main!$A$3:$H$102,4,FALSE)+VLOOKUP($A33,main!$A$3:$H$102,4,FALSE)+(VLOOKUP(VLOOKUP(AG$1,main!$A$3:$H$102,8,FALSE),main!$K$19:$O$22,MATCH(VLOOKUP($A33,main!$A$3:$H$102,7,FALSE),main!$K$18:$O$18,0),0))),0)</f>
        <v>0</v>
      </c>
      <c r="AH33">
        <f>IF((gamma!AH33),IF(VLOOKUP(AH$1,main!$A$3:$H$102,7,FALSE)=VLOOKUP($A33,main!$A$3:$H$102,8,FALSE),VLOOKUP(AH$1,main!$A$3:$H$102,4,FALSE),VLOOKUP(AH$1,main!$A$3:$H$102,4,FALSE)+VLOOKUP($A33,main!$A$3:$H$102,4,FALSE)+(VLOOKUP(VLOOKUP(AH$1,main!$A$3:$H$102,8,FALSE),main!$K$19:$O$22,MATCH(VLOOKUP($A33,main!$A$3:$H$102,7,FALSE),main!$K$18:$O$18,0),0))),0)</f>
        <v>0</v>
      </c>
      <c r="AI33">
        <f>IF((gamma!AI33),IF(VLOOKUP(AI$1,main!$A$3:$H$102,7,FALSE)=VLOOKUP($A33,main!$A$3:$H$102,8,FALSE),VLOOKUP(AI$1,main!$A$3:$H$102,4,FALSE),VLOOKUP(AI$1,main!$A$3:$H$102,4,FALSE)+VLOOKUP($A33,main!$A$3:$H$102,4,FALSE)+(VLOOKUP(VLOOKUP(AI$1,main!$A$3:$H$102,8,FALSE),main!$K$19:$O$22,MATCH(VLOOKUP($A33,main!$A$3:$H$102,7,FALSE),main!$K$18:$O$18,0),0))),0)</f>
        <v>295</v>
      </c>
      <c r="AJ33">
        <f>IF((gamma!AJ33),IF(VLOOKUP(AJ$1,main!$A$3:$H$102,7,FALSE)=VLOOKUP($A33,main!$A$3:$H$102,8,FALSE),VLOOKUP(AJ$1,main!$A$3:$H$102,4,FALSE),VLOOKUP(AJ$1,main!$A$3:$H$102,4,FALSE)+VLOOKUP($A33,main!$A$3:$H$102,4,FALSE)+(VLOOKUP(VLOOKUP(AJ$1,main!$A$3:$H$102,8,FALSE),main!$K$19:$O$22,MATCH(VLOOKUP($A33,main!$A$3:$H$102,7,FALSE),main!$K$18:$O$18,0),0))),0)</f>
        <v>295</v>
      </c>
      <c r="AK33">
        <f>IF((gamma!AK33),IF(VLOOKUP(AK$1,main!$A$3:$H$102,7,FALSE)=VLOOKUP($A33,main!$A$3:$H$102,8,FALSE),VLOOKUP(AK$1,main!$A$3:$H$102,4,FALSE),VLOOKUP(AK$1,main!$A$3:$H$102,4,FALSE)+VLOOKUP($A33,main!$A$3:$H$102,4,FALSE)+(VLOOKUP(VLOOKUP(AK$1,main!$A$3:$H$102,8,FALSE),main!$K$19:$O$22,MATCH(VLOOKUP($A33,main!$A$3:$H$102,7,FALSE),main!$K$18:$O$18,0),0))),0)</f>
        <v>295</v>
      </c>
      <c r="AL33">
        <f>IF((gamma!AL33),IF(VLOOKUP(AL$1,main!$A$3:$H$102,7,FALSE)=VLOOKUP($A33,main!$A$3:$H$102,8,FALSE),VLOOKUP(AL$1,main!$A$3:$H$102,4,FALSE),VLOOKUP(AL$1,main!$A$3:$H$102,4,FALSE)+VLOOKUP($A33,main!$A$3:$H$102,4,FALSE)+(VLOOKUP(VLOOKUP(AL$1,main!$A$3:$H$102,8,FALSE),main!$K$19:$O$22,MATCH(VLOOKUP($A33,main!$A$3:$H$102,7,FALSE),main!$K$18:$O$18,0),0))),0)</f>
        <v>295</v>
      </c>
      <c r="AM33">
        <f>IF((gamma!AM33),IF(VLOOKUP(AM$1,main!$A$3:$H$102,7,FALSE)=VLOOKUP($A33,main!$A$3:$H$102,8,FALSE),VLOOKUP(AM$1,main!$A$3:$H$102,4,FALSE),VLOOKUP(AM$1,main!$A$3:$H$102,4,FALSE)+VLOOKUP($A33,main!$A$3:$H$102,4,FALSE)+(VLOOKUP(VLOOKUP(AM$1,main!$A$3:$H$102,8,FALSE),main!$K$19:$O$22,MATCH(VLOOKUP($A33,main!$A$3:$H$102,7,FALSE),main!$K$18:$O$18,0),0))),0)</f>
        <v>295</v>
      </c>
      <c r="AN33">
        <f>IF((gamma!AN33),IF(VLOOKUP(AN$1,main!$A$3:$H$102,7,FALSE)=VLOOKUP($A33,main!$A$3:$H$102,8,FALSE),VLOOKUP(AN$1,main!$A$3:$H$102,4,FALSE),VLOOKUP(AN$1,main!$A$3:$H$102,4,FALSE)+VLOOKUP($A33,main!$A$3:$H$102,4,FALSE)+(VLOOKUP(VLOOKUP(AN$1,main!$A$3:$H$102,8,FALSE),main!$K$19:$O$22,MATCH(VLOOKUP($A33,main!$A$3:$H$102,7,FALSE),main!$K$18:$O$18,0),0))),0)</f>
        <v>295</v>
      </c>
      <c r="AO33">
        <f>IF((gamma!AO33),IF(VLOOKUP(AO$1,main!$A$3:$H$102,7,FALSE)=VLOOKUP($A33,main!$A$3:$H$102,8,FALSE),VLOOKUP(AO$1,main!$A$3:$H$102,4,FALSE),VLOOKUP(AO$1,main!$A$3:$H$102,4,FALSE)+VLOOKUP($A33,main!$A$3:$H$102,4,FALSE)+(VLOOKUP(VLOOKUP(AO$1,main!$A$3:$H$102,8,FALSE),main!$K$19:$O$22,MATCH(VLOOKUP($A33,main!$A$3:$H$102,7,FALSE),main!$K$18:$O$18,0),0))),0)</f>
        <v>0</v>
      </c>
      <c r="AP33">
        <f>IF((gamma!AP33),IF(VLOOKUP(AP$1,main!$A$3:$H$102,7,FALSE)=VLOOKUP($A33,main!$A$3:$H$102,8,FALSE),VLOOKUP(AP$1,main!$A$3:$H$102,4,FALSE),VLOOKUP(AP$1,main!$A$3:$H$102,4,FALSE)+VLOOKUP($A33,main!$A$3:$H$102,4,FALSE)+(VLOOKUP(VLOOKUP(AP$1,main!$A$3:$H$102,8,FALSE),main!$K$19:$O$22,MATCH(VLOOKUP($A33,main!$A$3:$H$102,7,FALSE),main!$K$18:$O$18,0),0))),0)</f>
        <v>235</v>
      </c>
      <c r="AQ33">
        <f>IF((gamma!AQ33),IF(VLOOKUP(AQ$1,main!$A$3:$H$102,7,FALSE)=VLOOKUP($A33,main!$A$3:$H$102,8,FALSE),VLOOKUP(AQ$1,main!$A$3:$H$102,4,FALSE),VLOOKUP(AQ$1,main!$A$3:$H$102,4,FALSE)+VLOOKUP($A33,main!$A$3:$H$102,4,FALSE)+(VLOOKUP(VLOOKUP(AQ$1,main!$A$3:$H$102,8,FALSE),main!$K$19:$O$22,MATCH(VLOOKUP($A33,main!$A$3:$H$102,7,FALSE),main!$K$18:$O$18,0),0))),0)</f>
        <v>0</v>
      </c>
      <c r="AR33">
        <f>IF((gamma!AR33),IF(VLOOKUP(AR$1,main!$A$3:$H$102,7,FALSE)=VLOOKUP($A33,main!$A$3:$H$102,8,FALSE),VLOOKUP(AR$1,main!$A$3:$H$102,4,FALSE),VLOOKUP(AR$1,main!$A$3:$H$102,4,FALSE)+VLOOKUP($A33,main!$A$3:$H$102,4,FALSE)+(VLOOKUP(VLOOKUP(AR$1,main!$A$3:$H$102,8,FALSE),main!$K$19:$O$22,MATCH(VLOOKUP($A33,main!$A$3:$H$102,7,FALSE),main!$K$18:$O$18,0),0))),0)</f>
        <v>0</v>
      </c>
      <c r="AS33">
        <f>IF((gamma!AS33),IF(VLOOKUP(AS$1,main!$A$3:$H$102,7,FALSE)=VLOOKUP($A33,main!$A$3:$H$102,8,FALSE),VLOOKUP(AS$1,main!$A$3:$H$102,4,FALSE),VLOOKUP(AS$1,main!$A$3:$H$102,4,FALSE)+VLOOKUP($A33,main!$A$3:$H$102,4,FALSE)+(VLOOKUP(VLOOKUP(AS$1,main!$A$3:$H$102,8,FALSE),main!$K$19:$O$22,MATCH(VLOOKUP($A33,main!$A$3:$H$102,7,FALSE),main!$K$18:$O$18,0),0))),0)</f>
        <v>283</v>
      </c>
      <c r="AT33">
        <f>IF((gamma!AT33),IF(VLOOKUP(AT$1,main!$A$3:$H$102,7,FALSE)=VLOOKUP($A33,main!$A$3:$H$102,8,FALSE),VLOOKUP(AT$1,main!$A$3:$H$102,4,FALSE),VLOOKUP(AT$1,main!$A$3:$H$102,4,FALSE)+VLOOKUP($A33,main!$A$3:$H$102,4,FALSE)+(VLOOKUP(VLOOKUP(AT$1,main!$A$3:$H$102,8,FALSE),main!$K$19:$O$22,MATCH(VLOOKUP($A33,main!$A$3:$H$102,7,FALSE),main!$K$18:$O$18,0),0))),0)</f>
        <v>293</v>
      </c>
      <c r="AU33">
        <f>IF((gamma!AU33),IF(VLOOKUP(AU$1,main!$A$3:$H$102,7,FALSE)=VLOOKUP($A33,main!$A$3:$H$102,8,FALSE),VLOOKUP(AU$1,main!$A$3:$H$102,4,FALSE),VLOOKUP(AU$1,main!$A$3:$H$102,4,FALSE)+VLOOKUP($A33,main!$A$3:$H$102,4,FALSE)+(VLOOKUP(VLOOKUP(AU$1,main!$A$3:$H$102,8,FALSE),main!$K$19:$O$22,MATCH(VLOOKUP($A33,main!$A$3:$H$102,7,FALSE),main!$K$18:$O$18,0),0))),0)</f>
        <v>0</v>
      </c>
      <c r="AV33">
        <f>IF((gamma!AV33),IF(VLOOKUP(AV$1,main!$A$3:$H$102,7,FALSE)=VLOOKUP($A33,main!$A$3:$H$102,8,FALSE),VLOOKUP(AV$1,main!$A$3:$H$102,4,FALSE),VLOOKUP(AV$1,main!$A$3:$H$102,4,FALSE)+VLOOKUP($A33,main!$A$3:$H$102,4,FALSE)+(VLOOKUP(VLOOKUP(AV$1,main!$A$3:$H$102,8,FALSE),main!$K$19:$O$22,MATCH(VLOOKUP($A33,main!$A$3:$H$102,7,FALSE),main!$K$18:$O$18,0),0))),0)</f>
        <v>0</v>
      </c>
      <c r="AW33">
        <f>IF((gamma!AW33),IF(VLOOKUP(AW$1,main!$A$3:$H$102,7,FALSE)=VLOOKUP($A33,main!$A$3:$H$102,8,FALSE),VLOOKUP(AW$1,main!$A$3:$H$102,4,FALSE),VLOOKUP(AW$1,main!$A$3:$H$102,4,FALSE)+VLOOKUP($A33,main!$A$3:$H$102,4,FALSE)+(VLOOKUP(VLOOKUP(AW$1,main!$A$3:$H$102,8,FALSE),main!$K$19:$O$22,MATCH(VLOOKUP($A33,main!$A$3:$H$102,7,FALSE),main!$K$18:$O$18,0),0))),0)</f>
        <v>283</v>
      </c>
      <c r="AX33">
        <f>IF((gamma!AX33),IF(VLOOKUP(AX$1,main!$A$3:$H$102,7,FALSE)=VLOOKUP($A33,main!$A$3:$H$102,8,FALSE),VLOOKUP(AX$1,main!$A$3:$H$102,4,FALSE),VLOOKUP(AX$1,main!$A$3:$H$102,4,FALSE)+VLOOKUP($A33,main!$A$3:$H$102,4,FALSE)+(VLOOKUP(VLOOKUP(AX$1,main!$A$3:$H$102,8,FALSE),main!$K$19:$O$22,MATCH(VLOOKUP($A33,main!$A$3:$H$102,7,FALSE),main!$K$18:$O$18,0),0))),0)</f>
        <v>268</v>
      </c>
      <c r="AY33">
        <f>IF((gamma!AY33),IF(VLOOKUP(AY$1,main!$A$3:$H$102,7,FALSE)=VLOOKUP($A33,main!$A$3:$H$102,8,FALSE),VLOOKUP(AY$1,main!$A$3:$H$102,4,FALSE),VLOOKUP(AY$1,main!$A$3:$H$102,4,FALSE)+VLOOKUP($A33,main!$A$3:$H$102,4,FALSE)+(VLOOKUP(VLOOKUP(AY$1,main!$A$3:$H$102,8,FALSE),main!$K$19:$O$22,MATCH(VLOOKUP($A33,main!$A$3:$H$102,7,FALSE),main!$K$18:$O$18,0),0))),0)</f>
        <v>0</v>
      </c>
      <c r="AZ33">
        <f>IF((gamma!AZ33),IF(VLOOKUP(AZ$1,main!$A$3:$H$102,7,FALSE)=VLOOKUP($A33,main!$A$3:$H$102,8,FALSE),VLOOKUP(AZ$1,main!$A$3:$H$102,4,FALSE),VLOOKUP(AZ$1,main!$A$3:$H$102,4,FALSE)+VLOOKUP($A33,main!$A$3:$H$102,4,FALSE)+(VLOOKUP(VLOOKUP(AZ$1,main!$A$3:$H$102,8,FALSE),main!$K$19:$O$22,MATCH(VLOOKUP($A33,main!$A$3:$H$102,7,FALSE),main!$K$18:$O$18,0),0))),0)</f>
        <v>298</v>
      </c>
      <c r="BA33">
        <f>IF((gamma!BA33),IF(VLOOKUP(BA$1,main!$A$3:$H$102,7,FALSE)=VLOOKUP($A33,main!$A$3:$H$102,8,FALSE),VLOOKUP(BA$1,main!$A$3:$H$102,4,FALSE),VLOOKUP(BA$1,main!$A$3:$H$102,4,FALSE)+VLOOKUP($A33,main!$A$3:$H$102,4,FALSE)+(VLOOKUP(VLOOKUP(BA$1,main!$A$3:$H$102,8,FALSE),main!$K$19:$O$22,MATCH(VLOOKUP($A33,main!$A$3:$H$102,7,FALSE),main!$K$18:$O$18,0),0))),0)</f>
        <v>0</v>
      </c>
      <c r="BB33">
        <f>IF((gamma!BB33),IF(VLOOKUP(BB$1,main!$A$3:$H$102,7,FALSE)=VLOOKUP($A33,main!$A$3:$H$102,8,FALSE),VLOOKUP(BB$1,main!$A$3:$H$102,4,FALSE),VLOOKUP(BB$1,main!$A$3:$H$102,4,FALSE)+VLOOKUP($A33,main!$A$3:$H$102,4,FALSE)+(VLOOKUP(VLOOKUP(BB$1,main!$A$3:$H$102,8,FALSE),main!$K$19:$O$22,MATCH(VLOOKUP($A33,main!$A$3:$H$102,7,FALSE),main!$K$18:$O$18,0),0))),0)</f>
        <v>300</v>
      </c>
      <c r="BC33">
        <f>IF((gamma!BC33),IF(VLOOKUP(BC$1,main!$A$3:$H$102,7,FALSE)=VLOOKUP($A33,main!$A$3:$H$102,8,FALSE),VLOOKUP(BC$1,main!$A$3:$H$102,4,FALSE),VLOOKUP(BC$1,main!$A$3:$H$102,4,FALSE)+VLOOKUP($A33,main!$A$3:$H$102,4,FALSE)+(VLOOKUP(VLOOKUP(BC$1,main!$A$3:$H$102,8,FALSE),main!$K$19:$O$22,MATCH(VLOOKUP($A33,main!$A$3:$H$102,7,FALSE),main!$K$18:$O$18,0),0))),0)</f>
        <v>300</v>
      </c>
      <c r="BD33">
        <f>IF((gamma!BD33),IF(VLOOKUP(BD$1,main!$A$3:$H$102,7,FALSE)=VLOOKUP($A33,main!$A$3:$H$102,8,FALSE),VLOOKUP(BD$1,main!$A$3:$H$102,4,FALSE),VLOOKUP(BD$1,main!$A$3:$H$102,4,FALSE)+VLOOKUP($A33,main!$A$3:$H$102,4,FALSE)+(VLOOKUP(VLOOKUP(BD$1,main!$A$3:$H$102,8,FALSE),main!$K$19:$O$22,MATCH(VLOOKUP($A33,main!$A$3:$H$102,7,FALSE),main!$K$18:$O$18,0),0))),0)</f>
        <v>300</v>
      </c>
      <c r="BE33">
        <f>IF((gamma!BE33),IF(VLOOKUP(BE$1,main!$A$3:$H$102,7,FALSE)=VLOOKUP($A33,main!$A$3:$H$102,8,FALSE),VLOOKUP(BE$1,main!$A$3:$H$102,4,FALSE),VLOOKUP(BE$1,main!$A$3:$H$102,4,FALSE)+VLOOKUP($A33,main!$A$3:$H$102,4,FALSE)+(VLOOKUP(VLOOKUP(BE$1,main!$A$3:$H$102,8,FALSE),main!$K$19:$O$22,MATCH(VLOOKUP($A33,main!$A$3:$H$102,7,FALSE),main!$K$18:$O$18,0),0))),0)</f>
        <v>300</v>
      </c>
      <c r="BF33">
        <f>IF((gamma!BF33),IF(VLOOKUP(BF$1,main!$A$3:$H$102,7,FALSE)=VLOOKUP($A33,main!$A$3:$H$102,8,FALSE),VLOOKUP(BF$1,main!$A$3:$H$102,4,FALSE),VLOOKUP(BF$1,main!$A$3:$H$102,4,FALSE)+VLOOKUP($A33,main!$A$3:$H$102,4,FALSE)+(VLOOKUP(VLOOKUP(BF$1,main!$A$3:$H$102,8,FALSE),main!$K$19:$O$22,MATCH(VLOOKUP($A33,main!$A$3:$H$102,7,FALSE),main!$K$18:$O$18,0),0))),0)</f>
        <v>0</v>
      </c>
      <c r="BG33">
        <f>IF((gamma!BG33),IF(VLOOKUP(BG$1,main!$A$3:$H$102,7,FALSE)=VLOOKUP($A33,main!$A$3:$H$102,8,FALSE),VLOOKUP(BG$1,main!$A$3:$H$102,4,FALSE),VLOOKUP(BG$1,main!$A$3:$H$102,4,FALSE)+VLOOKUP($A33,main!$A$3:$H$102,4,FALSE)+(VLOOKUP(VLOOKUP(BG$1,main!$A$3:$H$102,8,FALSE),main!$K$19:$O$22,MATCH(VLOOKUP($A33,main!$A$3:$H$102,7,FALSE),main!$K$18:$O$18,0),0))),0)</f>
        <v>0</v>
      </c>
      <c r="BH33">
        <f>IF((gamma!BH33),IF(VLOOKUP(BH$1,main!$A$3:$H$102,7,FALSE)=VLOOKUP($A33,main!$A$3:$H$102,8,FALSE),VLOOKUP(BH$1,main!$A$3:$H$102,4,FALSE),VLOOKUP(BH$1,main!$A$3:$H$102,4,FALSE)+VLOOKUP($A33,main!$A$3:$H$102,4,FALSE)+(VLOOKUP(VLOOKUP(BH$1,main!$A$3:$H$102,8,FALSE),main!$K$19:$O$22,MATCH(VLOOKUP($A33,main!$A$3:$H$102,7,FALSE),main!$K$18:$O$18,0),0))),0)</f>
        <v>285</v>
      </c>
      <c r="BI33">
        <f>IF((gamma!BI33),IF(VLOOKUP(BI$1,main!$A$3:$H$102,7,FALSE)=VLOOKUP($A33,main!$A$3:$H$102,8,FALSE),VLOOKUP(BI$1,main!$A$3:$H$102,4,FALSE),VLOOKUP(BI$1,main!$A$3:$H$102,4,FALSE)+VLOOKUP($A33,main!$A$3:$H$102,4,FALSE)+(VLOOKUP(VLOOKUP(BI$1,main!$A$3:$H$102,8,FALSE),main!$K$19:$O$22,MATCH(VLOOKUP($A33,main!$A$3:$H$102,7,FALSE),main!$K$18:$O$18,0),0))),0)</f>
        <v>220</v>
      </c>
      <c r="BJ33">
        <f>IF((gamma!BJ33),IF(VLOOKUP(BJ$1,main!$A$3:$H$102,7,FALSE)=VLOOKUP($A33,main!$A$3:$H$102,8,FALSE),VLOOKUP(BJ$1,main!$A$3:$H$102,4,FALSE),VLOOKUP(BJ$1,main!$A$3:$H$102,4,FALSE)+VLOOKUP($A33,main!$A$3:$H$102,4,FALSE)+(VLOOKUP(VLOOKUP(BJ$1,main!$A$3:$H$102,8,FALSE),main!$K$19:$O$22,MATCH(VLOOKUP($A33,main!$A$3:$H$102,7,FALSE),main!$K$18:$O$18,0),0))),0)</f>
        <v>250</v>
      </c>
      <c r="BK33">
        <f>IF((gamma!BK33),IF(VLOOKUP(BK$1,main!$A$3:$H$102,7,FALSE)=VLOOKUP($A33,main!$A$3:$H$102,8,FALSE),VLOOKUP(BK$1,main!$A$3:$H$102,4,FALSE),VLOOKUP(BK$1,main!$A$3:$H$102,4,FALSE)+VLOOKUP($A33,main!$A$3:$H$102,4,FALSE)+(VLOOKUP(VLOOKUP(BK$1,main!$A$3:$H$102,8,FALSE),main!$K$19:$O$22,MATCH(VLOOKUP($A33,main!$A$3:$H$102,7,FALSE),main!$K$18:$O$18,0),0))),0)</f>
        <v>0</v>
      </c>
      <c r="BL33">
        <f>IF((gamma!BL33),IF(VLOOKUP(BL$1,main!$A$3:$H$102,7,FALSE)=VLOOKUP($A33,main!$A$3:$H$102,8,FALSE),VLOOKUP(BL$1,main!$A$3:$H$102,4,FALSE),VLOOKUP(BL$1,main!$A$3:$H$102,4,FALSE)+VLOOKUP($A33,main!$A$3:$H$102,4,FALSE)+(VLOOKUP(VLOOKUP(BL$1,main!$A$3:$H$102,8,FALSE),main!$K$19:$O$22,MATCH(VLOOKUP($A33,main!$A$3:$H$102,7,FALSE),main!$K$18:$O$18,0),0))),0)</f>
        <v>0</v>
      </c>
      <c r="BM33">
        <f>IF((gamma!BM33),IF(VLOOKUP(BM$1,main!$A$3:$H$102,7,FALSE)=VLOOKUP($A33,main!$A$3:$H$102,8,FALSE),VLOOKUP(BM$1,main!$A$3:$H$102,4,FALSE),VLOOKUP(BM$1,main!$A$3:$H$102,4,FALSE)+VLOOKUP($A33,main!$A$3:$H$102,4,FALSE)+(VLOOKUP(VLOOKUP(BM$1,main!$A$3:$H$102,8,FALSE),main!$K$19:$O$22,MATCH(VLOOKUP($A33,main!$A$3:$H$102,7,FALSE),main!$K$18:$O$18,0),0))),0)</f>
        <v>0</v>
      </c>
      <c r="BN33">
        <f>IF((gamma!BN33),IF(VLOOKUP(BN$1,main!$A$3:$H$102,7,FALSE)=VLOOKUP($A33,main!$A$3:$H$102,8,FALSE),VLOOKUP(BN$1,main!$A$3:$H$102,4,FALSE),VLOOKUP(BN$1,main!$A$3:$H$102,4,FALSE)+VLOOKUP($A33,main!$A$3:$H$102,4,FALSE)+(VLOOKUP(VLOOKUP(BN$1,main!$A$3:$H$102,8,FALSE),main!$K$19:$O$22,MATCH(VLOOKUP($A33,main!$A$3:$H$102,7,FALSE),main!$K$18:$O$18,0),0))),0)</f>
        <v>255</v>
      </c>
      <c r="BO33">
        <f>IF((gamma!BO33),IF(VLOOKUP(BO$1,main!$A$3:$H$102,7,FALSE)=VLOOKUP($A33,main!$A$3:$H$102,8,FALSE),VLOOKUP(BO$1,main!$A$3:$H$102,4,FALSE),VLOOKUP(BO$1,main!$A$3:$H$102,4,FALSE)+VLOOKUP($A33,main!$A$3:$H$102,4,FALSE)+(VLOOKUP(VLOOKUP(BO$1,main!$A$3:$H$102,8,FALSE),main!$K$19:$O$22,MATCH(VLOOKUP($A33,main!$A$3:$H$102,7,FALSE),main!$K$18:$O$18,0),0))),0)</f>
        <v>0</v>
      </c>
      <c r="BP33">
        <f>IF((gamma!BP33),IF(VLOOKUP(BP$1,main!$A$3:$H$102,7,FALSE)=VLOOKUP($A33,main!$A$3:$H$102,8,FALSE),VLOOKUP(BP$1,main!$A$3:$H$102,4,FALSE),VLOOKUP(BP$1,main!$A$3:$H$102,4,FALSE)+VLOOKUP($A33,main!$A$3:$H$102,4,FALSE)+(VLOOKUP(VLOOKUP(BP$1,main!$A$3:$H$102,8,FALSE),main!$K$19:$O$22,MATCH(VLOOKUP($A33,main!$A$3:$H$102,7,FALSE),main!$K$18:$O$18,0),0))),0)</f>
        <v>0</v>
      </c>
      <c r="BQ33">
        <f>IF((gamma!BQ33),IF(VLOOKUP(BQ$1,main!$A$3:$H$102,7,FALSE)=VLOOKUP($A33,main!$A$3:$H$102,8,FALSE),VLOOKUP(BQ$1,main!$A$3:$H$102,4,FALSE),VLOOKUP(BQ$1,main!$A$3:$H$102,4,FALSE)+VLOOKUP($A33,main!$A$3:$H$102,4,FALSE)+(VLOOKUP(VLOOKUP(BQ$1,main!$A$3:$H$102,8,FALSE),main!$K$19:$O$22,MATCH(VLOOKUP($A33,main!$A$3:$H$102,7,FALSE),main!$K$18:$O$18,0),0))),0)</f>
        <v>275</v>
      </c>
      <c r="BR33">
        <f>IF((gamma!BR33),IF(VLOOKUP(BR$1,main!$A$3:$H$102,7,FALSE)=VLOOKUP($A33,main!$A$3:$H$102,8,FALSE),VLOOKUP(BR$1,main!$A$3:$H$102,4,FALSE),VLOOKUP(BR$1,main!$A$3:$H$102,4,FALSE)+VLOOKUP($A33,main!$A$3:$H$102,4,FALSE)+(VLOOKUP(VLOOKUP(BR$1,main!$A$3:$H$102,8,FALSE),main!$K$19:$O$22,MATCH(VLOOKUP($A33,main!$A$3:$H$102,7,FALSE),main!$K$18:$O$18,0),0))),0)</f>
        <v>235</v>
      </c>
      <c r="BS33">
        <f>IF((gamma!BS33),IF(VLOOKUP(BS$1,main!$A$3:$H$102,7,FALSE)=VLOOKUP($A33,main!$A$3:$H$102,8,FALSE),VLOOKUP(BS$1,main!$A$3:$H$102,4,FALSE),VLOOKUP(BS$1,main!$A$3:$H$102,4,FALSE)+VLOOKUP($A33,main!$A$3:$H$102,4,FALSE)+(VLOOKUP(VLOOKUP(BS$1,main!$A$3:$H$102,8,FALSE),main!$K$19:$O$22,MATCH(VLOOKUP($A33,main!$A$3:$H$102,7,FALSE),main!$K$18:$O$18,0),0))),0)</f>
        <v>236</v>
      </c>
      <c r="BT33">
        <f>IF((gamma!BT33),IF(VLOOKUP(BT$1,main!$A$3:$H$102,7,FALSE)=VLOOKUP($A33,main!$A$3:$H$102,8,FALSE),VLOOKUP(BT$1,main!$A$3:$H$102,4,FALSE),VLOOKUP(BT$1,main!$A$3:$H$102,4,FALSE)+VLOOKUP($A33,main!$A$3:$H$102,4,FALSE)+(VLOOKUP(VLOOKUP(BT$1,main!$A$3:$H$102,8,FALSE),main!$K$19:$O$22,MATCH(VLOOKUP($A33,main!$A$3:$H$102,7,FALSE),main!$K$18:$O$18,0),0))),0)</f>
        <v>255</v>
      </c>
      <c r="BU33">
        <f>IF((gamma!BU33),IF(VLOOKUP(BU$1,main!$A$3:$H$102,7,FALSE)=VLOOKUP($A33,main!$A$3:$H$102,8,FALSE),VLOOKUP(BU$1,main!$A$3:$H$102,4,FALSE),VLOOKUP(BU$1,main!$A$3:$H$102,4,FALSE)+VLOOKUP($A33,main!$A$3:$H$102,4,FALSE)+(VLOOKUP(VLOOKUP(BU$1,main!$A$3:$H$102,8,FALSE),main!$K$19:$O$22,MATCH(VLOOKUP($A33,main!$A$3:$H$102,7,FALSE),main!$K$18:$O$18,0),0))),0)</f>
        <v>0</v>
      </c>
      <c r="BV33">
        <f>IF((gamma!BV33),IF(VLOOKUP(BV$1,main!$A$3:$H$102,7,FALSE)=VLOOKUP($A33,main!$A$3:$H$102,8,FALSE),VLOOKUP(BV$1,main!$A$3:$H$102,4,FALSE),VLOOKUP(BV$1,main!$A$3:$H$102,4,FALSE)+VLOOKUP($A33,main!$A$3:$H$102,4,FALSE)+(VLOOKUP(VLOOKUP(BV$1,main!$A$3:$H$102,8,FALSE),main!$K$19:$O$22,MATCH(VLOOKUP($A33,main!$A$3:$H$102,7,FALSE),main!$K$18:$O$18,0),0))),0)</f>
        <v>0</v>
      </c>
      <c r="BW33">
        <f>IF((gamma!BW33),IF(VLOOKUP(BW$1,main!$A$3:$H$102,7,FALSE)=VLOOKUP($A33,main!$A$3:$H$102,8,FALSE),VLOOKUP(BW$1,main!$A$3:$H$102,4,FALSE),VLOOKUP(BW$1,main!$A$3:$H$102,4,FALSE)+VLOOKUP($A33,main!$A$3:$H$102,4,FALSE)+(VLOOKUP(VLOOKUP(BW$1,main!$A$3:$H$102,8,FALSE),main!$K$19:$O$22,MATCH(VLOOKUP($A33,main!$A$3:$H$102,7,FALSE),main!$K$18:$O$18,0),0))),0)</f>
        <v>0</v>
      </c>
      <c r="BX33">
        <f>IF((gamma!BX33),IF(VLOOKUP(BX$1,main!$A$3:$H$102,7,FALSE)=VLOOKUP($A33,main!$A$3:$H$102,8,FALSE),VLOOKUP(BX$1,main!$A$3:$H$102,4,FALSE),VLOOKUP(BX$1,main!$A$3:$H$102,4,FALSE)+VLOOKUP($A33,main!$A$3:$H$102,4,FALSE)+(VLOOKUP(VLOOKUP(BX$1,main!$A$3:$H$102,8,FALSE),main!$K$19:$O$22,MATCH(VLOOKUP($A33,main!$A$3:$H$102,7,FALSE),main!$K$18:$O$18,0),0))),0)</f>
        <v>310</v>
      </c>
      <c r="BY33">
        <f>IF((gamma!BY33),IF(VLOOKUP(BY$1,main!$A$3:$H$102,7,FALSE)=VLOOKUP($A33,main!$A$3:$H$102,8,FALSE),VLOOKUP(BY$1,main!$A$3:$H$102,4,FALSE),VLOOKUP(BY$1,main!$A$3:$H$102,4,FALSE)+VLOOKUP($A33,main!$A$3:$H$102,4,FALSE)+(VLOOKUP(VLOOKUP(BY$1,main!$A$3:$H$102,8,FALSE),main!$K$19:$O$22,MATCH(VLOOKUP($A33,main!$A$3:$H$102,7,FALSE),main!$K$18:$O$18,0),0))),0)</f>
        <v>295</v>
      </c>
      <c r="BZ33">
        <f>IF((gamma!BZ33),IF(VLOOKUP(BZ$1,main!$A$3:$H$102,7,FALSE)=VLOOKUP($A33,main!$A$3:$H$102,8,FALSE),VLOOKUP(BZ$1,main!$A$3:$H$102,4,FALSE),VLOOKUP(BZ$1,main!$A$3:$H$102,4,FALSE)+VLOOKUP($A33,main!$A$3:$H$102,4,FALSE)+(VLOOKUP(VLOOKUP(BZ$1,main!$A$3:$H$102,8,FALSE),main!$K$19:$O$22,MATCH(VLOOKUP($A33,main!$A$3:$H$102,7,FALSE),main!$K$18:$O$18,0),0))),0)</f>
        <v>0</v>
      </c>
      <c r="CA33">
        <f>IF((gamma!CA33),IF(VLOOKUP(CA$1,main!$A$3:$H$102,7,FALSE)=VLOOKUP($A33,main!$A$3:$H$102,8,FALSE),VLOOKUP(CA$1,main!$A$3:$H$102,4,FALSE),VLOOKUP(CA$1,main!$A$3:$H$102,4,FALSE)+VLOOKUP($A33,main!$A$3:$H$102,4,FALSE)+(VLOOKUP(VLOOKUP(CA$1,main!$A$3:$H$102,8,FALSE),main!$K$19:$O$22,MATCH(VLOOKUP($A33,main!$A$3:$H$102,7,FALSE),main!$K$18:$O$18,0),0))),0)</f>
        <v>0</v>
      </c>
      <c r="CB33">
        <f>IF((gamma!CB33),IF(VLOOKUP(CB$1,main!$A$3:$H$102,7,FALSE)=VLOOKUP($A33,main!$A$3:$H$102,8,FALSE),VLOOKUP(CB$1,main!$A$3:$H$102,4,FALSE),VLOOKUP(CB$1,main!$A$3:$H$102,4,FALSE)+VLOOKUP($A33,main!$A$3:$H$102,4,FALSE)+(VLOOKUP(VLOOKUP(CB$1,main!$A$3:$H$102,8,FALSE),main!$K$19:$O$22,MATCH(VLOOKUP($A33,main!$A$3:$H$102,7,FALSE),main!$K$18:$O$18,0),0))),0)</f>
        <v>240</v>
      </c>
      <c r="CC33">
        <f>IF((gamma!CC33),IF(VLOOKUP(CC$1,main!$A$3:$H$102,7,FALSE)=VLOOKUP($A33,main!$A$3:$H$102,8,FALSE),VLOOKUP(CC$1,main!$A$3:$H$102,4,FALSE),VLOOKUP(CC$1,main!$A$3:$H$102,4,FALSE)+VLOOKUP($A33,main!$A$3:$H$102,4,FALSE)+(VLOOKUP(VLOOKUP(CC$1,main!$A$3:$H$102,8,FALSE),main!$K$19:$O$22,MATCH(VLOOKUP($A33,main!$A$3:$H$102,7,FALSE),main!$K$18:$O$18,0),0))),0)</f>
        <v>230</v>
      </c>
      <c r="CD33">
        <f>IF((gamma!CD33),IF(VLOOKUP(CD$1,main!$A$3:$H$102,7,FALSE)=VLOOKUP($A33,main!$A$3:$H$102,8,FALSE),VLOOKUP(CD$1,main!$A$3:$H$102,4,FALSE),VLOOKUP(CD$1,main!$A$3:$H$102,4,FALSE)+VLOOKUP($A33,main!$A$3:$H$102,4,FALSE)+(VLOOKUP(VLOOKUP(CD$1,main!$A$3:$H$102,8,FALSE),main!$K$19:$O$22,MATCH(VLOOKUP($A33,main!$A$3:$H$102,7,FALSE),main!$K$18:$O$18,0),0))),0)</f>
        <v>289</v>
      </c>
      <c r="CE33">
        <f>IF((gamma!CE33),IF(VLOOKUP(CE$1,main!$A$3:$H$102,7,FALSE)=VLOOKUP($A33,main!$A$3:$H$102,8,FALSE),VLOOKUP(CE$1,main!$A$3:$H$102,4,FALSE),VLOOKUP(CE$1,main!$A$3:$H$102,4,FALSE)+VLOOKUP($A33,main!$A$3:$H$102,4,FALSE)+(VLOOKUP(VLOOKUP(CE$1,main!$A$3:$H$102,8,FALSE),main!$K$19:$O$22,MATCH(VLOOKUP($A33,main!$A$3:$H$102,7,FALSE),main!$K$18:$O$18,0),0))),0)</f>
        <v>0</v>
      </c>
      <c r="CF33">
        <f>IF((gamma!CF33),IF(VLOOKUP(CF$1,main!$A$3:$H$102,7,FALSE)=VLOOKUP($A33,main!$A$3:$H$102,8,FALSE),VLOOKUP(CF$1,main!$A$3:$H$102,4,FALSE),VLOOKUP(CF$1,main!$A$3:$H$102,4,FALSE)+VLOOKUP($A33,main!$A$3:$H$102,4,FALSE)+(VLOOKUP(VLOOKUP(CF$1,main!$A$3:$H$102,8,FALSE),main!$K$19:$O$22,MATCH(VLOOKUP($A33,main!$A$3:$H$102,7,FALSE),main!$K$18:$O$18,0),0))),0)</f>
        <v>295</v>
      </c>
      <c r="CG33">
        <f>IF((gamma!CG33),IF(VLOOKUP(CG$1,main!$A$3:$H$102,7,FALSE)=VLOOKUP($A33,main!$A$3:$H$102,8,FALSE),VLOOKUP(CG$1,main!$A$3:$H$102,4,FALSE),VLOOKUP(CG$1,main!$A$3:$H$102,4,FALSE)+VLOOKUP($A33,main!$A$3:$H$102,4,FALSE)+(VLOOKUP(VLOOKUP(CG$1,main!$A$3:$H$102,8,FALSE),main!$K$19:$O$22,MATCH(VLOOKUP($A33,main!$A$3:$H$102,7,FALSE),main!$K$18:$O$18,0),0))),0)</f>
        <v>300</v>
      </c>
      <c r="CH33">
        <f>IF((gamma!CH33),IF(VLOOKUP(CH$1,main!$A$3:$H$102,7,FALSE)=VLOOKUP($A33,main!$A$3:$H$102,8,FALSE),VLOOKUP(CH$1,main!$A$3:$H$102,4,FALSE),VLOOKUP(CH$1,main!$A$3:$H$102,4,FALSE)+VLOOKUP($A33,main!$A$3:$H$102,4,FALSE)+(VLOOKUP(VLOOKUP(CH$1,main!$A$3:$H$102,8,FALSE),main!$K$19:$O$22,MATCH(VLOOKUP($A33,main!$A$3:$H$102,7,FALSE),main!$K$18:$O$18,0),0))),0)</f>
        <v>300</v>
      </c>
      <c r="CI33">
        <f>IF((gamma!CI33),IF(VLOOKUP(CI$1,main!$A$3:$H$102,7,FALSE)=VLOOKUP($A33,main!$A$3:$H$102,8,FALSE),VLOOKUP(CI$1,main!$A$3:$H$102,4,FALSE),VLOOKUP(CI$1,main!$A$3:$H$102,4,FALSE)+VLOOKUP($A33,main!$A$3:$H$102,4,FALSE)+(VLOOKUP(VLOOKUP(CI$1,main!$A$3:$H$102,8,FALSE),main!$K$19:$O$22,MATCH(VLOOKUP($A33,main!$A$3:$H$102,7,FALSE),main!$K$18:$O$18,0),0))),0)</f>
        <v>300</v>
      </c>
      <c r="CJ33">
        <f>IF((gamma!CJ33),IF(VLOOKUP(CJ$1,main!$A$3:$H$102,7,FALSE)=VLOOKUP($A33,main!$A$3:$H$102,8,FALSE),VLOOKUP(CJ$1,main!$A$3:$H$102,4,FALSE),VLOOKUP(CJ$1,main!$A$3:$H$102,4,FALSE)+VLOOKUP($A33,main!$A$3:$H$102,4,FALSE)+(VLOOKUP(VLOOKUP(CJ$1,main!$A$3:$H$102,8,FALSE),main!$K$19:$O$22,MATCH(VLOOKUP($A33,main!$A$3:$H$102,7,FALSE),main!$K$18:$O$18,0),0))),0)</f>
        <v>228</v>
      </c>
      <c r="CK33">
        <f>IF((gamma!CK33),IF(VLOOKUP(CK$1,main!$A$3:$H$102,7,FALSE)=VLOOKUP($A33,main!$A$3:$H$102,8,FALSE),VLOOKUP(CK$1,main!$A$3:$H$102,4,FALSE),VLOOKUP(CK$1,main!$A$3:$H$102,4,FALSE)+VLOOKUP($A33,main!$A$3:$H$102,4,FALSE)+(VLOOKUP(VLOOKUP(CK$1,main!$A$3:$H$102,8,FALSE),main!$K$19:$O$22,MATCH(VLOOKUP($A33,main!$A$3:$H$102,7,FALSE),main!$K$18:$O$18,0),0))),0)</f>
        <v>0</v>
      </c>
      <c r="CL33">
        <f>IF((gamma!CL33),IF(VLOOKUP(CL$1,main!$A$3:$H$102,7,FALSE)=VLOOKUP($A33,main!$A$3:$H$102,8,FALSE),VLOOKUP(CL$1,main!$A$3:$H$102,4,FALSE),VLOOKUP(CL$1,main!$A$3:$H$102,4,FALSE)+VLOOKUP($A33,main!$A$3:$H$102,4,FALSE)+(VLOOKUP(VLOOKUP(CL$1,main!$A$3:$H$102,8,FALSE),main!$K$19:$O$22,MATCH(VLOOKUP($A33,main!$A$3:$H$102,7,FALSE),main!$K$18:$O$18,0),0))),0)</f>
        <v>240</v>
      </c>
      <c r="CM33">
        <f>IF((gamma!CM33),IF(VLOOKUP(CM$1,main!$A$3:$H$102,7,FALSE)=VLOOKUP($A33,main!$A$3:$H$102,8,FALSE),VLOOKUP(CM$1,main!$A$3:$H$102,4,FALSE),VLOOKUP(CM$1,main!$A$3:$H$102,4,FALSE)+VLOOKUP($A33,main!$A$3:$H$102,4,FALSE)+(VLOOKUP(VLOOKUP(CM$1,main!$A$3:$H$102,8,FALSE),main!$K$19:$O$22,MATCH(VLOOKUP($A33,main!$A$3:$H$102,7,FALSE),main!$K$18:$O$18,0),0))),0)</f>
        <v>260</v>
      </c>
      <c r="CN33">
        <f>IF((gamma!CN33),IF(VLOOKUP(CN$1,main!$A$3:$H$102,7,FALSE)=VLOOKUP($A33,main!$A$3:$H$102,8,FALSE),VLOOKUP(CN$1,main!$A$3:$H$102,4,FALSE),VLOOKUP(CN$1,main!$A$3:$H$102,4,FALSE)+VLOOKUP($A33,main!$A$3:$H$102,4,FALSE)+(VLOOKUP(VLOOKUP(CN$1,main!$A$3:$H$102,8,FALSE),main!$K$19:$O$22,MATCH(VLOOKUP($A33,main!$A$3:$H$102,7,FALSE),main!$K$18:$O$18,0),0))),0)</f>
        <v>256</v>
      </c>
      <c r="CO33">
        <f>IF((gamma!CO33),IF(VLOOKUP(CO$1,main!$A$3:$H$102,7,FALSE)=VLOOKUP($A33,main!$A$3:$H$102,8,FALSE),VLOOKUP(CO$1,main!$A$3:$H$102,4,FALSE),VLOOKUP(CO$1,main!$A$3:$H$102,4,FALSE)+VLOOKUP($A33,main!$A$3:$H$102,4,FALSE)+(VLOOKUP(VLOOKUP(CO$1,main!$A$3:$H$102,8,FALSE),main!$K$19:$O$22,MATCH(VLOOKUP($A33,main!$A$3:$H$102,7,FALSE),main!$K$18:$O$18,0),0))),0)</f>
        <v>0</v>
      </c>
      <c r="CP33">
        <f>IF((gamma!CP33),IF(VLOOKUP(CP$1,main!$A$3:$H$102,7,FALSE)=VLOOKUP($A33,main!$A$3:$H$102,8,FALSE),VLOOKUP(CP$1,main!$A$3:$H$102,4,FALSE),VLOOKUP(CP$1,main!$A$3:$H$102,4,FALSE)+VLOOKUP($A33,main!$A$3:$H$102,4,FALSE)+(VLOOKUP(VLOOKUP(CP$1,main!$A$3:$H$102,8,FALSE),main!$K$19:$O$22,MATCH(VLOOKUP($A33,main!$A$3:$H$102,7,FALSE),main!$K$18:$O$18,0),0))),0)</f>
        <v>283</v>
      </c>
      <c r="CQ33">
        <f>IF((gamma!CQ33),IF(VLOOKUP(CQ$1,main!$A$3:$H$102,7,FALSE)=VLOOKUP($A33,main!$A$3:$H$102,8,FALSE),VLOOKUP(CQ$1,main!$A$3:$H$102,4,FALSE),VLOOKUP(CQ$1,main!$A$3:$H$102,4,FALSE)+VLOOKUP($A33,main!$A$3:$H$102,4,FALSE)+(VLOOKUP(VLOOKUP(CQ$1,main!$A$3:$H$102,8,FALSE),main!$K$19:$O$22,MATCH(VLOOKUP($A33,main!$A$3:$H$102,7,FALSE),main!$K$18:$O$18,0),0))),0)</f>
        <v>283</v>
      </c>
      <c r="CR33">
        <f>IF((gamma!CR33),IF(VLOOKUP(CR$1,main!$A$3:$H$102,7,FALSE)=VLOOKUP($A33,main!$A$3:$H$102,8,FALSE),VLOOKUP(CR$1,main!$A$3:$H$102,4,FALSE),VLOOKUP(CR$1,main!$A$3:$H$102,4,FALSE)+VLOOKUP($A33,main!$A$3:$H$102,4,FALSE)+(VLOOKUP(VLOOKUP(CR$1,main!$A$3:$H$102,8,FALSE),main!$K$19:$O$22,MATCH(VLOOKUP($A33,main!$A$3:$H$102,7,FALSE),main!$K$18:$O$18,0),0))),0)</f>
        <v>298</v>
      </c>
      <c r="CS33">
        <f>IF((gamma!CS33),IF(VLOOKUP(CS$1,main!$A$3:$H$102,7,FALSE)=VLOOKUP($A33,main!$A$3:$H$102,8,FALSE),VLOOKUP(CS$1,main!$A$3:$H$102,4,FALSE),VLOOKUP(CS$1,main!$A$3:$H$102,4,FALSE)+VLOOKUP($A33,main!$A$3:$H$102,4,FALSE)+(VLOOKUP(VLOOKUP(CS$1,main!$A$3:$H$102,8,FALSE),main!$K$19:$O$22,MATCH(VLOOKUP($A33,main!$A$3:$H$102,7,FALSE),main!$K$18:$O$18,0),0))),0)</f>
        <v>298</v>
      </c>
      <c r="CT33">
        <f>IF((gamma!CT33),IF(VLOOKUP(CT$1,main!$A$3:$H$102,7,FALSE)=VLOOKUP($A33,main!$A$3:$H$102,8,FALSE),VLOOKUP(CT$1,main!$A$3:$H$102,4,FALSE),VLOOKUP(CT$1,main!$A$3:$H$102,4,FALSE)+VLOOKUP($A33,main!$A$3:$H$102,4,FALSE)+(VLOOKUP(VLOOKUP(CT$1,main!$A$3:$H$102,8,FALSE),main!$K$19:$O$22,MATCH(VLOOKUP($A33,main!$A$3:$H$102,7,FALSE),main!$K$18:$O$18,0),0))),0)</f>
        <v>0</v>
      </c>
      <c r="CU33">
        <f>IF((gamma!CU33),IF(VLOOKUP(CU$1,main!$A$3:$H$102,7,FALSE)=VLOOKUP($A33,main!$A$3:$H$102,8,FALSE),VLOOKUP(CU$1,main!$A$3:$H$102,4,FALSE),VLOOKUP(CU$1,main!$A$3:$H$102,4,FALSE)+VLOOKUP($A33,main!$A$3:$H$102,4,FALSE)+(VLOOKUP(VLOOKUP(CU$1,main!$A$3:$H$102,8,FALSE),main!$K$19:$O$22,MATCH(VLOOKUP($A33,main!$A$3:$H$102,7,FALSE),main!$K$18:$O$18,0),0))),0)</f>
        <v>0</v>
      </c>
      <c r="CV33">
        <f>IF((gamma!CV33),IF(VLOOKUP(CV$1,main!$A$3:$H$102,7,FALSE)=VLOOKUP($A33,main!$A$3:$H$102,8,FALSE),VLOOKUP(CV$1,main!$A$3:$H$102,4,FALSE),VLOOKUP(CV$1,main!$A$3:$H$102,4,FALSE)+VLOOKUP($A33,main!$A$3:$H$102,4,FALSE)+(VLOOKUP(VLOOKUP(CV$1,main!$A$3:$H$102,8,FALSE),main!$K$19:$O$22,MATCH(VLOOKUP($A33,main!$A$3:$H$102,7,FALSE),main!$K$18:$O$18,0),0))),0)</f>
        <v>243</v>
      </c>
      <c r="CW33">
        <f>IF((gamma!CW33),IF(VLOOKUP(CW$1,main!$A$3:$H$102,7,FALSE)=VLOOKUP($A33,main!$A$3:$H$102,8,FALSE),VLOOKUP(CW$1,main!$A$3:$H$102,4,FALSE),VLOOKUP(CW$1,main!$A$3:$H$102,4,FALSE)+VLOOKUP($A33,main!$A$3:$H$102,4,FALSE)+(VLOOKUP(VLOOKUP(CW$1,main!$A$3:$H$102,8,FALSE),main!$K$19:$O$22,MATCH(VLOOKUP($A33,main!$A$3:$H$102,7,FALSE),main!$K$18:$O$18,0),0))),0)</f>
        <v>258</v>
      </c>
      <c r="CX33">
        <f>IF((gamma!CX33),IF(VLOOKUP(CX$1,main!$A$3:$H$102,7,FALSE)=VLOOKUP($A33,main!$A$3:$H$102,8,FALSE),VLOOKUP(CX$1,main!$A$3:$H$102,4,FALSE),VLOOKUP(CX$1,main!$A$3:$H$102,4,FALSE)+VLOOKUP($A33,main!$A$3:$H$102,4,FALSE)+(VLOOKUP(VLOOKUP(CX$1,main!$A$3:$H$102,8,FALSE),main!$K$19:$O$22,MATCH(VLOOKUP($A33,main!$A$3:$H$102,7,FALSE),main!$K$18:$O$18,0),0))),0)</f>
        <v>248</v>
      </c>
      <c r="CY33">
        <v>0</v>
      </c>
      <c r="CZ33">
        <v>0</v>
      </c>
      <c r="DA33">
        <v>0</v>
      </c>
    </row>
    <row r="34" spans="1:105" x14ac:dyDescent="0.25">
      <c r="A34" s="1">
        <v>32</v>
      </c>
      <c r="B34">
        <v>0</v>
      </c>
      <c r="C34">
        <f>IF((gamma!C34),IF(VLOOKUP(C$1,main!$A$3:$H$102,7,FALSE)=VLOOKUP($A34,main!$A$3:$H$102,8,FALSE),VLOOKUP(C$1,main!$A$3:$H$102,4,FALSE),VLOOKUP(C$1,main!$A$3:$H$102,4,FALSE)+VLOOKUP($A34,main!$A$3:$H$102,4,FALSE)+(VLOOKUP(VLOOKUP(C$1,main!$A$3:$H$102,8,FALSE),main!$K$19:$O$22,MATCH(VLOOKUP($A34,main!$A$3:$H$102,7,FALSE),main!$K$18:$O$18,0),0))),0)</f>
        <v>0</v>
      </c>
      <c r="D34">
        <f>IF((gamma!D34),IF(VLOOKUP(D$1,main!$A$3:$H$102,7,FALSE)=VLOOKUP($A34,main!$A$3:$H$102,8,FALSE),VLOOKUP(D$1,main!$A$3:$H$102,4,FALSE),VLOOKUP(D$1,main!$A$3:$H$102,4,FALSE)+VLOOKUP($A34,main!$A$3:$H$102,4,FALSE)+(VLOOKUP(VLOOKUP(D$1,main!$A$3:$H$102,8,FALSE),main!$K$19:$O$22,MATCH(VLOOKUP($A34,main!$A$3:$H$102,7,FALSE),main!$K$18:$O$18,0),0))),0)</f>
        <v>0</v>
      </c>
      <c r="E34">
        <f>IF((gamma!E34),IF(VLOOKUP(E$1,main!$A$3:$H$102,7,FALSE)=VLOOKUP($A34,main!$A$3:$H$102,8,FALSE),VLOOKUP(E$1,main!$A$3:$H$102,4,FALSE),VLOOKUP(E$1,main!$A$3:$H$102,4,FALSE)+VLOOKUP($A34,main!$A$3:$H$102,4,FALSE)+(VLOOKUP(VLOOKUP(E$1,main!$A$3:$H$102,8,FALSE),main!$K$19:$O$22,MATCH(VLOOKUP($A34,main!$A$3:$H$102,7,FALSE),main!$K$18:$O$18,0),0))),0)</f>
        <v>0</v>
      </c>
      <c r="F34">
        <f>IF((gamma!F34),IF(VLOOKUP(F$1,main!$A$3:$H$102,7,FALSE)=VLOOKUP($A34,main!$A$3:$H$102,8,FALSE),VLOOKUP(F$1,main!$A$3:$H$102,4,FALSE),VLOOKUP(F$1,main!$A$3:$H$102,4,FALSE)+VLOOKUP($A34,main!$A$3:$H$102,4,FALSE)+(VLOOKUP(VLOOKUP(F$1,main!$A$3:$H$102,8,FALSE),main!$K$19:$O$22,MATCH(VLOOKUP($A34,main!$A$3:$H$102,7,FALSE),main!$K$18:$O$18,0),0))),0)</f>
        <v>0</v>
      </c>
      <c r="G34">
        <f>IF((gamma!G34),IF(VLOOKUP(G$1,main!$A$3:$H$102,7,FALSE)=VLOOKUP($A34,main!$A$3:$H$102,8,FALSE),VLOOKUP(G$1,main!$A$3:$H$102,4,FALSE),VLOOKUP(G$1,main!$A$3:$H$102,4,FALSE)+VLOOKUP($A34,main!$A$3:$H$102,4,FALSE)+(VLOOKUP(VLOOKUP(G$1,main!$A$3:$H$102,8,FALSE),main!$K$19:$O$22,MATCH(VLOOKUP($A34,main!$A$3:$H$102,7,FALSE),main!$K$18:$O$18,0),0))),0)</f>
        <v>135</v>
      </c>
      <c r="H34">
        <f>IF((gamma!H34),IF(VLOOKUP(H$1,main!$A$3:$H$102,7,FALSE)=VLOOKUP($A34,main!$A$3:$H$102,8,FALSE),VLOOKUP(H$1,main!$A$3:$H$102,4,FALSE),VLOOKUP(H$1,main!$A$3:$H$102,4,FALSE)+VLOOKUP($A34,main!$A$3:$H$102,4,FALSE)+(VLOOKUP(VLOOKUP(H$1,main!$A$3:$H$102,8,FALSE),main!$K$19:$O$22,MATCH(VLOOKUP($A34,main!$A$3:$H$102,7,FALSE),main!$K$18:$O$18,0),0))),0)</f>
        <v>135</v>
      </c>
      <c r="I34">
        <f>IF((gamma!I34),IF(VLOOKUP(I$1,main!$A$3:$H$102,7,FALSE)=VLOOKUP($A34,main!$A$3:$H$102,8,FALSE),VLOOKUP(I$1,main!$A$3:$H$102,4,FALSE),VLOOKUP(I$1,main!$A$3:$H$102,4,FALSE)+VLOOKUP($A34,main!$A$3:$H$102,4,FALSE)+(VLOOKUP(VLOOKUP(I$1,main!$A$3:$H$102,8,FALSE),main!$K$19:$O$22,MATCH(VLOOKUP($A34,main!$A$3:$H$102,7,FALSE),main!$K$18:$O$18,0),0))),0)</f>
        <v>135</v>
      </c>
      <c r="J34">
        <f>IF((gamma!J34),IF(VLOOKUP(J$1,main!$A$3:$H$102,7,FALSE)=VLOOKUP($A34,main!$A$3:$H$102,8,FALSE),VLOOKUP(J$1,main!$A$3:$H$102,4,FALSE),VLOOKUP(J$1,main!$A$3:$H$102,4,FALSE)+VLOOKUP($A34,main!$A$3:$H$102,4,FALSE)+(VLOOKUP(VLOOKUP(J$1,main!$A$3:$H$102,8,FALSE),main!$K$19:$O$22,MATCH(VLOOKUP($A34,main!$A$3:$H$102,7,FALSE),main!$K$18:$O$18,0),0))),0)</f>
        <v>135</v>
      </c>
      <c r="K34">
        <f>IF((gamma!K34),IF(VLOOKUP(K$1,main!$A$3:$H$102,7,FALSE)=VLOOKUP($A34,main!$A$3:$H$102,8,FALSE),VLOOKUP(K$1,main!$A$3:$H$102,4,FALSE),VLOOKUP(K$1,main!$A$3:$H$102,4,FALSE)+VLOOKUP($A34,main!$A$3:$H$102,4,FALSE)+(VLOOKUP(VLOOKUP(K$1,main!$A$3:$H$102,8,FALSE),main!$K$19:$O$22,MATCH(VLOOKUP($A34,main!$A$3:$H$102,7,FALSE),main!$K$18:$O$18,0),0))),0)</f>
        <v>135</v>
      </c>
      <c r="L34">
        <f>IF((gamma!L34),IF(VLOOKUP(L$1,main!$A$3:$H$102,7,FALSE)=VLOOKUP($A34,main!$A$3:$H$102,8,FALSE),VLOOKUP(L$1,main!$A$3:$H$102,4,FALSE),VLOOKUP(L$1,main!$A$3:$H$102,4,FALSE)+VLOOKUP($A34,main!$A$3:$H$102,4,FALSE)+(VLOOKUP(VLOOKUP(L$1,main!$A$3:$H$102,8,FALSE),main!$K$19:$O$22,MATCH(VLOOKUP($A34,main!$A$3:$H$102,7,FALSE),main!$K$18:$O$18,0),0))),0)</f>
        <v>135</v>
      </c>
      <c r="M34">
        <f>IF((gamma!M34),IF(VLOOKUP(M$1,main!$A$3:$H$102,7,FALSE)=VLOOKUP($A34,main!$A$3:$H$102,8,FALSE),VLOOKUP(M$1,main!$A$3:$H$102,4,FALSE),VLOOKUP(M$1,main!$A$3:$H$102,4,FALSE)+VLOOKUP($A34,main!$A$3:$H$102,4,FALSE)+(VLOOKUP(VLOOKUP(M$1,main!$A$3:$H$102,8,FALSE),main!$K$19:$O$22,MATCH(VLOOKUP($A34,main!$A$3:$H$102,7,FALSE),main!$K$18:$O$18,0),0))),0)</f>
        <v>0</v>
      </c>
      <c r="N34">
        <f>IF((gamma!N34),IF(VLOOKUP(N$1,main!$A$3:$H$102,7,FALSE)=VLOOKUP($A34,main!$A$3:$H$102,8,FALSE),VLOOKUP(N$1,main!$A$3:$H$102,4,FALSE),VLOOKUP(N$1,main!$A$3:$H$102,4,FALSE)+VLOOKUP($A34,main!$A$3:$H$102,4,FALSE)+(VLOOKUP(VLOOKUP(N$1,main!$A$3:$H$102,8,FALSE),main!$K$19:$O$22,MATCH(VLOOKUP($A34,main!$A$3:$H$102,7,FALSE),main!$K$18:$O$18,0),0))),0)</f>
        <v>0</v>
      </c>
      <c r="O34">
        <f>IF((gamma!O34),IF(VLOOKUP(O$1,main!$A$3:$H$102,7,FALSE)=VLOOKUP($A34,main!$A$3:$H$102,8,FALSE),VLOOKUP(O$1,main!$A$3:$H$102,4,FALSE),VLOOKUP(O$1,main!$A$3:$H$102,4,FALSE)+VLOOKUP($A34,main!$A$3:$H$102,4,FALSE)+(VLOOKUP(VLOOKUP(O$1,main!$A$3:$H$102,8,FALSE),main!$K$19:$O$22,MATCH(VLOOKUP($A34,main!$A$3:$H$102,7,FALSE),main!$K$18:$O$18,0),0))),0)</f>
        <v>0</v>
      </c>
      <c r="P34">
        <f>IF((gamma!P34),IF(VLOOKUP(P$1,main!$A$3:$H$102,7,FALSE)=VLOOKUP($A34,main!$A$3:$H$102,8,FALSE),VLOOKUP(P$1,main!$A$3:$H$102,4,FALSE),VLOOKUP(P$1,main!$A$3:$H$102,4,FALSE)+VLOOKUP($A34,main!$A$3:$H$102,4,FALSE)+(VLOOKUP(VLOOKUP(P$1,main!$A$3:$H$102,8,FALSE),main!$K$19:$O$22,MATCH(VLOOKUP($A34,main!$A$3:$H$102,7,FALSE),main!$K$18:$O$18,0),0))),0)</f>
        <v>0</v>
      </c>
      <c r="Q34">
        <f>IF((gamma!Q34),IF(VLOOKUP(Q$1,main!$A$3:$H$102,7,FALSE)=VLOOKUP($A34,main!$A$3:$H$102,8,FALSE),VLOOKUP(Q$1,main!$A$3:$H$102,4,FALSE),VLOOKUP(Q$1,main!$A$3:$H$102,4,FALSE)+VLOOKUP($A34,main!$A$3:$H$102,4,FALSE)+(VLOOKUP(VLOOKUP(Q$1,main!$A$3:$H$102,8,FALSE),main!$K$19:$O$22,MATCH(VLOOKUP($A34,main!$A$3:$H$102,7,FALSE),main!$K$18:$O$18,0),0))),0)</f>
        <v>0</v>
      </c>
      <c r="R34">
        <f>IF((gamma!R34),IF(VLOOKUP(R$1,main!$A$3:$H$102,7,FALSE)=VLOOKUP($A34,main!$A$3:$H$102,8,FALSE),VLOOKUP(R$1,main!$A$3:$H$102,4,FALSE),VLOOKUP(R$1,main!$A$3:$H$102,4,FALSE)+VLOOKUP($A34,main!$A$3:$H$102,4,FALSE)+(VLOOKUP(VLOOKUP(R$1,main!$A$3:$H$102,8,FALSE),main!$K$19:$O$22,MATCH(VLOOKUP($A34,main!$A$3:$H$102,7,FALSE),main!$K$18:$O$18,0),0))),0)</f>
        <v>140</v>
      </c>
      <c r="S34">
        <f>IF((gamma!S34),IF(VLOOKUP(S$1,main!$A$3:$H$102,7,FALSE)=VLOOKUP($A34,main!$A$3:$H$102,8,FALSE),VLOOKUP(S$1,main!$A$3:$H$102,4,FALSE),VLOOKUP(S$1,main!$A$3:$H$102,4,FALSE)+VLOOKUP($A34,main!$A$3:$H$102,4,FALSE)+(VLOOKUP(VLOOKUP(S$1,main!$A$3:$H$102,8,FALSE),main!$K$19:$O$22,MATCH(VLOOKUP($A34,main!$A$3:$H$102,7,FALSE),main!$K$18:$O$18,0),0))),0)</f>
        <v>140</v>
      </c>
      <c r="T34">
        <f>IF((gamma!T34),IF(VLOOKUP(T$1,main!$A$3:$H$102,7,FALSE)=VLOOKUP($A34,main!$A$3:$H$102,8,FALSE),VLOOKUP(T$1,main!$A$3:$H$102,4,FALSE),VLOOKUP(T$1,main!$A$3:$H$102,4,FALSE)+VLOOKUP($A34,main!$A$3:$H$102,4,FALSE)+(VLOOKUP(VLOOKUP(T$1,main!$A$3:$H$102,8,FALSE),main!$K$19:$O$22,MATCH(VLOOKUP($A34,main!$A$3:$H$102,7,FALSE),main!$K$18:$O$18,0),0))),0)</f>
        <v>140</v>
      </c>
      <c r="U34">
        <f>IF((gamma!U34),IF(VLOOKUP(U$1,main!$A$3:$H$102,7,FALSE)=VLOOKUP($A34,main!$A$3:$H$102,8,FALSE),VLOOKUP(U$1,main!$A$3:$H$102,4,FALSE),VLOOKUP(U$1,main!$A$3:$H$102,4,FALSE)+VLOOKUP($A34,main!$A$3:$H$102,4,FALSE)+(VLOOKUP(VLOOKUP(U$1,main!$A$3:$H$102,8,FALSE),main!$K$19:$O$22,MATCH(VLOOKUP($A34,main!$A$3:$H$102,7,FALSE),main!$K$18:$O$18,0),0))),0)</f>
        <v>140</v>
      </c>
      <c r="V34">
        <f>IF((gamma!V34),IF(VLOOKUP(V$1,main!$A$3:$H$102,7,FALSE)=VLOOKUP($A34,main!$A$3:$H$102,8,FALSE),VLOOKUP(V$1,main!$A$3:$H$102,4,FALSE),VLOOKUP(V$1,main!$A$3:$H$102,4,FALSE)+VLOOKUP($A34,main!$A$3:$H$102,4,FALSE)+(VLOOKUP(VLOOKUP(V$1,main!$A$3:$H$102,8,FALSE),main!$K$19:$O$22,MATCH(VLOOKUP($A34,main!$A$3:$H$102,7,FALSE),main!$K$18:$O$18,0),0))),0)</f>
        <v>140</v>
      </c>
      <c r="W34">
        <f>IF((gamma!W34),IF(VLOOKUP(W$1,main!$A$3:$H$102,7,FALSE)=VLOOKUP($A34,main!$A$3:$H$102,8,FALSE),VLOOKUP(W$1,main!$A$3:$H$102,4,FALSE),VLOOKUP(W$1,main!$A$3:$H$102,4,FALSE)+VLOOKUP($A34,main!$A$3:$H$102,4,FALSE)+(VLOOKUP(VLOOKUP(W$1,main!$A$3:$H$102,8,FALSE),main!$K$19:$O$22,MATCH(VLOOKUP($A34,main!$A$3:$H$102,7,FALSE),main!$K$18:$O$18,0),0))),0)</f>
        <v>0</v>
      </c>
      <c r="X34">
        <f>IF((gamma!X34),IF(VLOOKUP(X$1,main!$A$3:$H$102,7,FALSE)=VLOOKUP($A34,main!$A$3:$H$102,8,FALSE),VLOOKUP(X$1,main!$A$3:$H$102,4,FALSE),VLOOKUP(X$1,main!$A$3:$H$102,4,FALSE)+VLOOKUP($A34,main!$A$3:$H$102,4,FALSE)+(VLOOKUP(VLOOKUP(X$1,main!$A$3:$H$102,8,FALSE),main!$K$19:$O$22,MATCH(VLOOKUP($A34,main!$A$3:$H$102,7,FALSE),main!$K$18:$O$18,0),0))),0)</f>
        <v>0</v>
      </c>
      <c r="Y34">
        <f>IF((gamma!Y34),IF(VLOOKUP(Y$1,main!$A$3:$H$102,7,FALSE)=VLOOKUP($A34,main!$A$3:$H$102,8,FALSE),VLOOKUP(Y$1,main!$A$3:$H$102,4,FALSE),VLOOKUP(Y$1,main!$A$3:$H$102,4,FALSE)+VLOOKUP($A34,main!$A$3:$H$102,4,FALSE)+(VLOOKUP(VLOOKUP(Y$1,main!$A$3:$H$102,8,FALSE),main!$K$19:$O$22,MATCH(VLOOKUP($A34,main!$A$3:$H$102,7,FALSE),main!$K$18:$O$18,0),0))),0)</f>
        <v>135</v>
      </c>
      <c r="Z34">
        <f>IF((gamma!Z34),IF(VLOOKUP(Z$1,main!$A$3:$H$102,7,FALSE)=VLOOKUP($A34,main!$A$3:$H$102,8,FALSE),VLOOKUP(Z$1,main!$A$3:$H$102,4,FALSE),VLOOKUP(Z$1,main!$A$3:$H$102,4,FALSE)+VLOOKUP($A34,main!$A$3:$H$102,4,FALSE)+(VLOOKUP(VLOOKUP(Z$1,main!$A$3:$H$102,8,FALSE),main!$K$19:$O$22,MATCH(VLOOKUP($A34,main!$A$3:$H$102,7,FALSE),main!$K$18:$O$18,0),0))),0)</f>
        <v>140</v>
      </c>
      <c r="AA34">
        <f>IF((gamma!AA34),IF(VLOOKUP(AA$1,main!$A$3:$H$102,7,FALSE)=VLOOKUP($A34,main!$A$3:$H$102,8,FALSE),VLOOKUP(AA$1,main!$A$3:$H$102,4,FALSE),VLOOKUP(AA$1,main!$A$3:$H$102,4,FALSE)+VLOOKUP($A34,main!$A$3:$H$102,4,FALSE)+(VLOOKUP(VLOOKUP(AA$1,main!$A$3:$H$102,8,FALSE),main!$K$19:$O$22,MATCH(VLOOKUP($A34,main!$A$3:$H$102,7,FALSE),main!$K$18:$O$18,0),0))),0)</f>
        <v>140</v>
      </c>
      <c r="AB34">
        <f>IF((gamma!AB34),IF(VLOOKUP(AB$1,main!$A$3:$H$102,7,FALSE)=VLOOKUP($A34,main!$A$3:$H$102,8,FALSE),VLOOKUP(AB$1,main!$A$3:$H$102,4,FALSE),VLOOKUP(AB$1,main!$A$3:$H$102,4,FALSE)+VLOOKUP($A34,main!$A$3:$H$102,4,FALSE)+(VLOOKUP(VLOOKUP(AB$1,main!$A$3:$H$102,8,FALSE),main!$K$19:$O$22,MATCH(VLOOKUP($A34,main!$A$3:$H$102,7,FALSE),main!$K$18:$O$18,0),0))),0)</f>
        <v>0</v>
      </c>
      <c r="AC34">
        <f>IF((gamma!AC34),IF(VLOOKUP(AC$1,main!$A$3:$H$102,7,FALSE)=VLOOKUP($A34,main!$A$3:$H$102,8,FALSE),VLOOKUP(AC$1,main!$A$3:$H$102,4,FALSE),VLOOKUP(AC$1,main!$A$3:$H$102,4,FALSE)+VLOOKUP($A34,main!$A$3:$H$102,4,FALSE)+(VLOOKUP(VLOOKUP(AC$1,main!$A$3:$H$102,8,FALSE),main!$K$19:$O$22,MATCH(VLOOKUP($A34,main!$A$3:$H$102,7,FALSE),main!$K$18:$O$18,0),0))),0)</f>
        <v>0</v>
      </c>
      <c r="AD34">
        <f>IF((gamma!AD34),IF(VLOOKUP(AD$1,main!$A$3:$H$102,7,FALSE)=VLOOKUP($A34,main!$A$3:$H$102,8,FALSE),VLOOKUP(AD$1,main!$A$3:$H$102,4,FALSE),VLOOKUP(AD$1,main!$A$3:$H$102,4,FALSE)+VLOOKUP($A34,main!$A$3:$H$102,4,FALSE)+(VLOOKUP(VLOOKUP(AD$1,main!$A$3:$H$102,8,FALSE),main!$K$19:$O$22,MATCH(VLOOKUP($A34,main!$A$3:$H$102,7,FALSE),main!$K$18:$O$18,0),0))),0)</f>
        <v>0</v>
      </c>
      <c r="AE34">
        <f>IF((gamma!AE34),IF(VLOOKUP(AE$1,main!$A$3:$H$102,7,FALSE)=VLOOKUP($A34,main!$A$3:$H$102,8,FALSE),VLOOKUP(AE$1,main!$A$3:$H$102,4,FALSE),VLOOKUP(AE$1,main!$A$3:$H$102,4,FALSE)+VLOOKUP($A34,main!$A$3:$H$102,4,FALSE)+(VLOOKUP(VLOOKUP(AE$1,main!$A$3:$H$102,8,FALSE),main!$K$19:$O$22,MATCH(VLOOKUP($A34,main!$A$3:$H$102,7,FALSE),main!$K$18:$O$18,0),0))),0)</f>
        <v>140</v>
      </c>
      <c r="AF34">
        <f>IF((gamma!AF34),IF(VLOOKUP(AF$1,main!$A$3:$H$102,7,FALSE)=VLOOKUP($A34,main!$A$3:$H$102,8,FALSE),VLOOKUP(AF$1,main!$A$3:$H$102,4,FALSE),VLOOKUP(AF$1,main!$A$3:$H$102,4,FALSE)+VLOOKUP($A34,main!$A$3:$H$102,4,FALSE)+(VLOOKUP(VLOOKUP(AF$1,main!$A$3:$H$102,8,FALSE),main!$K$19:$O$22,MATCH(VLOOKUP($A34,main!$A$3:$H$102,7,FALSE),main!$K$18:$O$18,0),0))),0)</f>
        <v>100</v>
      </c>
      <c r="AG34">
        <f>IF((gamma!AG34),IF(VLOOKUP(AG$1,main!$A$3:$H$102,7,FALSE)=VLOOKUP($A34,main!$A$3:$H$102,8,FALSE),VLOOKUP(AG$1,main!$A$3:$H$102,4,FALSE),VLOOKUP(AG$1,main!$A$3:$H$102,4,FALSE)+VLOOKUP($A34,main!$A$3:$H$102,4,FALSE)+(VLOOKUP(VLOOKUP(AG$1,main!$A$3:$H$102,8,FALSE),main!$K$19:$O$22,MATCH(VLOOKUP($A34,main!$A$3:$H$102,7,FALSE),main!$K$18:$O$18,0),0))),0)</f>
        <v>0</v>
      </c>
      <c r="AH34">
        <f>IF((gamma!AH34),IF(VLOOKUP(AH$1,main!$A$3:$H$102,7,FALSE)=VLOOKUP($A34,main!$A$3:$H$102,8,FALSE),VLOOKUP(AH$1,main!$A$3:$H$102,4,FALSE),VLOOKUP(AH$1,main!$A$3:$H$102,4,FALSE)+VLOOKUP($A34,main!$A$3:$H$102,4,FALSE)+(VLOOKUP(VLOOKUP(AH$1,main!$A$3:$H$102,8,FALSE),main!$K$19:$O$22,MATCH(VLOOKUP($A34,main!$A$3:$H$102,7,FALSE),main!$K$18:$O$18,0),0))),0)</f>
        <v>0</v>
      </c>
      <c r="AI34">
        <f>IF((gamma!AI34),IF(VLOOKUP(AI$1,main!$A$3:$H$102,7,FALSE)=VLOOKUP($A34,main!$A$3:$H$102,8,FALSE),VLOOKUP(AI$1,main!$A$3:$H$102,4,FALSE),VLOOKUP(AI$1,main!$A$3:$H$102,4,FALSE)+VLOOKUP($A34,main!$A$3:$H$102,4,FALSE)+(VLOOKUP(VLOOKUP(AI$1,main!$A$3:$H$102,8,FALSE),main!$K$19:$O$22,MATCH(VLOOKUP($A34,main!$A$3:$H$102,7,FALSE),main!$K$18:$O$18,0),0))),0)</f>
        <v>0</v>
      </c>
      <c r="AJ34">
        <f>IF((gamma!AJ34),IF(VLOOKUP(AJ$1,main!$A$3:$H$102,7,FALSE)=VLOOKUP($A34,main!$A$3:$H$102,8,FALSE),VLOOKUP(AJ$1,main!$A$3:$H$102,4,FALSE),VLOOKUP(AJ$1,main!$A$3:$H$102,4,FALSE)+VLOOKUP($A34,main!$A$3:$H$102,4,FALSE)+(VLOOKUP(VLOOKUP(AJ$1,main!$A$3:$H$102,8,FALSE),main!$K$19:$O$22,MATCH(VLOOKUP($A34,main!$A$3:$H$102,7,FALSE),main!$K$18:$O$18,0),0))),0)</f>
        <v>295</v>
      </c>
      <c r="AK34">
        <f>IF((gamma!AK34),IF(VLOOKUP(AK$1,main!$A$3:$H$102,7,FALSE)=VLOOKUP($A34,main!$A$3:$H$102,8,FALSE),VLOOKUP(AK$1,main!$A$3:$H$102,4,FALSE),VLOOKUP(AK$1,main!$A$3:$H$102,4,FALSE)+VLOOKUP($A34,main!$A$3:$H$102,4,FALSE)+(VLOOKUP(VLOOKUP(AK$1,main!$A$3:$H$102,8,FALSE),main!$K$19:$O$22,MATCH(VLOOKUP($A34,main!$A$3:$H$102,7,FALSE),main!$K$18:$O$18,0),0))),0)</f>
        <v>295</v>
      </c>
      <c r="AL34">
        <f>IF((gamma!AL34),IF(VLOOKUP(AL$1,main!$A$3:$H$102,7,FALSE)=VLOOKUP($A34,main!$A$3:$H$102,8,FALSE),VLOOKUP(AL$1,main!$A$3:$H$102,4,FALSE),VLOOKUP(AL$1,main!$A$3:$H$102,4,FALSE)+VLOOKUP($A34,main!$A$3:$H$102,4,FALSE)+(VLOOKUP(VLOOKUP(AL$1,main!$A$3:$H$102,8,FALSE),main!$K$19:$O$22,MATCH(VLOOKUP($A34,main!$A$3:$H$102,7,FALSE),main!$K$18:$O$18,0),0))),0)</f>
        <v>295</v>
      </c>
      <c r="AM34">
        <f>IF((gamma!AM34),IF(VLOOKUP(AM$1,main!$A$3:$H$102,7,FALSE)=VLOOKUP($A34,main!$A$3:$H$102,8,FALSE),VLOOKUP(AM$1,main!$A$3:$H$102,4,FALSE),VLOOKUP(AM$1,main!$A$3:$H$102,4,FALSE)+VLOOKUP($A34,main!$A$3:$H$102,4,FALSE)+(VLOOKUP(VLOOKUP(AM$1,main!$A$3:$H$102,8,FALSE),main!$K$19:$O$22,MATCH(VLOOKUP($A34,main!$A$3:$H$102,7,FALSE),main!$K$18:$O$18,0),0))),0)</f>
        <v>295</v>
      </c>
      <c r="AN34">
        <f>IF((gamma!AN34),IF(VLOOKUP(AN$1,main!$A$3:$H$102,7,FALSE)=VLOOKUP($A34,main!$A$3:$H$102,8,FALSE),VLOOKUP(AN$1,main!$A$3:$H$102,4,FALSE),VLOOKUP(AN$1,main!$A$3:$H$102,4,FALSE)+VLOOKUP($A34,main!$A$3:$H$102,4,FALSE)+(VLOOKUP(VLOOKUP(AN$1,main!$A$3:$H$102,8,FALSE),main!$K$19:$O$22,MATCH(VLOOKUP($A34,main!$A$3:$H$102,7,FALSE),main!$K$18:$O$18,0),0))),0)</f>
        <v>295</v>
      </c>
      <c r="AO34">
        <f>IF((gamma!AO34),IF(VLOOKUP(AO$1,main!$A$3:$H$102,7,FALSE)=VLOOKUP($A34,main!$A$3:$H$102,8,FALSE),VLOOKUP(AO$1,main!$A$3:$H$102,4,FALSE),VLOOKUP(AO$1,main!$A$3:$H$102,4,FALSE)+VLOOKUP($A34,main!$A$3:$H$102,4,FALSE)+(VLOOKUP(VLOOKUP(AO$1,main!$A$3:$H$102,8,FALSE),main!$K$19:$O$22,MATCH(VLOOKUP($A34,main!$A$3:$H$102,7,FALSE),main!$K$18:$O$18,0),0))),0)</f>
        <v>0</v>
      </c>
      <c r="AP34">
        <f>IF((gamma!AP34),IF(VLOOKUP(AP$1,main!$A$3:$H$102,7,FALSE)=VLOOKUP($A34,main!$A$3:$H$102,8,FALSE),VLOOKUP(AP$1,main!$A$3:$H$102,4,FALSE),VLOOKUP(AP$1,main!$A$3:$H$102,4,FALSE)+VLOOKUP($A34,main!$A$3:$H$102,4,FALSE)+(VLOOKUP(VLOOKUP(AP$1,main!$A$3:$H$102,8,FALSE),main!$K$19:$O$22,MATCH(VLOOKUP($A34,main!$A$3:$H$102,7,FALSE),main!$K$18:$O$18,0),0))),0)</f>
        <v>235</v>
      </c>
      <c r="AQ34">
        <f>IF((gamma!AQ34),IF(VLOOKUP(AQ$1,main!$A$3:$H$102,7,FALSE)=VLOOKUP($A34,main!$A$3:$H$102,8,FALSE),VLOOKUP(AQ$1,main!$A$3:$H$102,4,FALSE),VLOOKUP(AQ$1,main!$A$3:$H$102,4,FALSE)+VLOOKUP($A34,main!$A$3:$H$102,4,FALSE)+(VLOOKUP(VLOOKUP(AQ$1,main!$A$3:$H$102,8,FALSE),main!$K$19:$O$22,MATCH(VLOOKUP($A34,main!$A$3:$H$102,7,FALSE),main!$K$18:$O$18,0),0))),0)</f>
        <v>0</v>
      </c>
      <c r="AR34">
        <f>IF((gamma!AR34),IF(VLOOKUP(AR$1,main!$A$3:$H$102,7,FALSE)=VLOOKUP($A34,main!$A$3:$H$102,8,FALSE),VLOOKUP(AR$1,main!$A$3:$H$102,4,FALSE),VLOOKUP(AR$1,main!$A$3:$H$102,4,FALSE)+VLOOKUP($A34,main!$A$3:$H$102,4,FALSE)+(VLOOKUP(VLOOKUP(AR$1,main!$A$3:$H$102,8,FALSE),main!$K$19:$O$22,MATCH(VLOOKUP($A34,main!$A$3:$H$102,7,FALSE),main!$K$18:$O$18,0),0))),0)</f>
        <v>0</v>
      </c>
      <c r="AS34">
        <f>IF((gamma!AS34),IF(VLOOKUP(AS$1,main!$A$3:$H$102,7,FALSE)=VLOOKUP($A34,main!$A$3:$H$102,8,FALSE),VLOOKUP(AS$1,main!$A$3:$H$102,4,FALSE),VLOOKUP(AS$1,main!$A$3:$H$102,4,FALSE)+VLOOKUP($A34,main!$A$3:$H$102,4,FALSE)+(VLOOKUP(VLOOKUP(AS$1,main!$A$3:$H$102,8,FALSE),main!$K$19:$O$22,MATCH(VLOOKUP($A34,main!$A$3:$H$102,7,FALSE),main!$K$18:$O$18,0),0))),0)</f>
        <v>0</v>
      </c>
      <c r="AT34">
        <f>IF((gamma!AT34),IF(VLOOKUP(AT$1,main!$A$3:$H$102,7,FALSE)=VLOOKUP($A34,main!$A$3:$H$102,8,FALSE),VLOOKUP(AT$1,main!$A$3:$H$102,4,FALSE),VLOOKUP(AT$1,main!$A$3:$H$102,4,FALSE)+VLOOKUP($A34,main!$A$3:$H$102,4,FALSE)+(VLOOKUP(VLOOKUP(AT$1,main!$A$3:$H$102,8,FALSE),main!$K$19:$O$22,MATCH(VLOOKUP($A34,main!$A$3:$H$102,7,FALSE),main!$K$18:$O$18,0),0))),0)</f>
        <v>293</v>
      </c>
      <c r="AU34">
        <f>IF((gamma!AU34),IF(VLOOKUP(AU$1,main!$A$3:$H$102,7,FALSE)=VLOOKUP($A34,main!$A$3:$H$102,8,FALSE),VLOOKUP(AU$1,main!$A$3:$H$102,4,FALSE),VLOOKUP(AU$1,main!$A$3:$H$102,4,FALSE)+VLOOKUP($A34,main!$A$3:$H$102,4,FALSE)+(VLOOKUP(VLOOKUP(AU$1,main!$A$3:$H$102,8,FALSE),main!$K$19:$O$22,MATCH(VLOOKUP($A34,main!$A$3:$H$102,7,FALSE),main!$K$18:$O$18,0),0))),0)</f>
        <v>0</v>
      </c>
      <c r="AV34">
        <f>IF((gamma!AV34),IF(VLOOKUP(AV$1,main!$A$3:$H$102,7,FALSE)=VLOOKUP($A34,main!$A$3:$H$102,8,FALSE),VLOOKUP(AV$1,main!$A$3:$H$102,4,FALSE),VLOOKUP(AV$1,main!$A$3:$H$102,4,FALSE)+VLOOKUP($A34,main!$A$3:$H$102,4,FALSE)+(VLOOKUP(VLOOKUP(AV$1,main!$A$3:$H$102,8,FALSE),main!$K$19:$O$22,MATCH(VLOOKUP($A34,main!$A$3:$H$102,7,FALSE),main!$K$18:$O$18,0),0))),0)</f>
        <v>0</v>
      </c>
      <c r="AW34">
        <f>IF((gamma!AW34),IF(VLOOKUP(AW$1,main!$A$3:$H$102,7,FALSE)=VLOOKUP($A34,main!$A$3:$H$102,8,FALSE),VLOOKUP(AW$1,main!$A$3:$H$102,4,FALSE),VLOOKUP(AW$1,main!$A$3:$H$102,4,FALSE)+VLOOKUP($A34,main!$A$3:$H$102,4,FALSE)+(VLOOKUP(VLOOKUP(AW$1,main!$A$3:$H$102,8,FALSE),main!$K$19:$O$22,MATCH(VLOOKUP($A34,main!$A$3:$H$102,7,FALSE),main!$K$18:$O$18,0),0))),0)</f>
        <v>283</v>
      </c>
      <c r="AX34">
        <f>IF((gamma!AX34),IF(VLOOKUP(AX$1,main!$A$3:$H$102,7,FALSE)=VLOOKUP($A34,main!$A$3:$H$102,8,FALSE),VLOOKUP(AX$1,main!$A$3:$H$102,4,FALSE),VLOOKUP(AX$1,main!$A$3:$H$102,4,FALSE)+VLOOKUP($A34,main!$A$3:$H$102,4,FALSE)+(VLOOKUP(VLOOKUP(AX$1,main!$A$3:$H$102,8,FALSE),main!$K$19:$O$22,MATCH(VLOOKUP($A34,main!$A$3:$H$102,7,FALSE),main!$K$18:$O$18,0),0))),0)</f>
        <v>0</v>
      </c>
      <c r="AY34">
        <f>IF((gamma!AY34),IF(VLOOKUP(AY$1,main!$A$3:$H$102,7,FALSE)=VLOOKUP($A34,main!$A$3:$H$102,8,FALSE),VLOOKUP(AY$1,main!$A$3:$H$102,4,FALSE),VLOOKUP(AY$1,main!$A$3:$H$102,4,FALSE)+VLOOKUP($A34,main!$A$3:$H$102,4,FALSE)+(VLOOKUP(VLOOKUP(AY$1,main!$A$3:$H$102,8,FALSE),main!$K$19:$O$22,MATCH(VLOOKUP($A34,main!$A$3:$H$102,7,FALSE),main!$K$18:$O$18,0),0))),0)</f>
        <v>0</v>
      </c>
      <c r="AZ34">
        <f>IF((gamma!AZ34),IF(VLOOKUP(AZ$1,main!$A$3:$H$102,7,FALSE)=VLOOKUP($A34,main!$A$3:$H$102,8,FALSE),VLOOKUP(AZ$1,main!$A$3:$H$102,4,FALSE),VLOOKUP(AZ$1,main!$A$3:$H$102,4,FALSE)+VLOOKUP($A34,main!$A$3:$H$102,4,FALSE)+(VLOOKUP(VLOOKUP(AZ$1,main!$A$3:$H$102,8,FALSE),main!$K$19:$O$22,MATCH(VLOOKUP($A34,main!$A$3:$H$102,7,FALSE),main!$K$18:$O$18,0),0))),0)</f>
        <v>0</v>
      </c>
      <c r="BA34">
        <f>IF((gamma!BA34),IF(VLOOKUP(BA$1,main!$A$3:$H$102,7,FALSE)=VLOOKUP($A34,main!$A$3:$H$102,8,FALSE),VLOOKUP(BA$1,main!$A$3:$H$102,4,FALSE),VLOOKUP(BA$1,main!$A$3:$H$102,4,FALSE)+VLOOKUP($A34,main!$A$3:$H$102,4,FALSE)+(VLOOKUP(VLOOKUP(BA$1,main!$A$3:$H$102,8,FALSE),main!$K$19:$O$22,MATCH(VLOOKUP($A34,main!$A$3:$H$102,7,FALSE),main!$K$18:$O$18,0),0))),0)</f>
        <v>0</v>
      </c>
      <c r="BB34">
        <f>IF((gamma!BB34),IF(VLOOKUP(BB$1,main!$A$3:$H$102,7,FALSE)=VLOOKUP($A34,main!$A$3:$H$102,8,FALSE),VLOOKUP(BB$1,main!$A$3:$H$102,4,FALSE),VLOOKUP(BB$1,main!$A$3:$H$102,4,FALSE)+VLOOKUP($A34,main!$A$3:$H$102,4,FALSE)+(VLOOKUP(VLOOKUP(BB$1,main!$A$3:$H$102,8,FALSE),main!$K$19:$O$22,MATCH(VLOOKUP($A34,main!$A$3:$H$102,7,FALSE),main!$K$18:$O$18,0),0))),0)</f>
        <v>0</v>
      </c>
      <c r="BC34">
        <f>IF((gamma!BC34),IF(VLOOKUP(BC$1,main!$A$3:$H$102,7,FALSE)=VLOOKUP($A34,main!$A$3:$H$102,8,FALSE),VLOOKUP(BC$1,main!$A$3:$H$102,4,FALSE),VLOOKUP(BC$1,main!$A$3:$H$102,4,FALSE)+VLOOKUP($A34,main!$A$3:$H$102,4,FALSE)+(VLOOKUP(VLOOKUP(BC$1,main!$A$3:$H$102,8,FALSE),main!$K$19:$O$22,MATCH(VLOOKUP($A34,main!$A$3:$H$102,7,FALSE),main!$K$18:$O$18,0),0))),0)</f>
        <v>300</v>
      </c>
      <c r="BD34">
        <f>IF((gamma!BD34),IF(VLOOKUP(BD$1,main!$A$3:$H$102,7,FALSE)=VLOOKUP($A34,main!$A$3:$H$102,8,FALSE),VLOOKUP(BD$1,main!$A$3:$H$102,4,FALSE),VLOOKUP(BD$1,main!$A$3:$H$102,4,FALSE)+VLOOKUP($A34,main!$A$3:$H$102,4,FALSE)+(VLOOKUP(VLOOKUP(BD$1,main!$A$3:$H$102,8,FALSE),main!$K$19:$O$22,MATCH(VLOOKUP($A34,main!$A$3:$H$102,7,FALSE),main!$K$18:$O$18,0),0))),0)</f>
        <v>300</v>
      </c>
      <c r="BE34">
        <f>IF((gamma!BE34),IF(VLOOKUP(BE$1,main!$A$3:$H$102,7,FALSE)=VLOOKUP($A34,main!$A$3:$H$102,8,FALSE),VLOOKUP(BE$1,main!$A$3:$H$102,4,FALSE),VLOOKUP(BE$1,main!$A$3:$H$102,4,FALSE)+VLOOKUP($A34,main!$A$3:$H$102,4,FALSE)+(VLOOKUP(VLOOKUP(BE$1,main!$A$3:$H$102,8,FALSE),main!$K$19:$O$22,MATCH(VLOOKUP($A34,main!$A$3:$H$102,7,FALSE),main!$K$18:$O$18,0),0))),0)</f>
        <v>300</v>
      </c>
      <c r="BF34">
        <f>IF((gamma!BF34),IF(VLOOKUP(BF$1,main!$A$3:$H$102,7,FALSE)=VLOOKUP($A34,main!$A$3:$H$102,8,FALSE),VLOOKUP(BF$1,main!$A$3:$H$102,4,FALSE),VLOOKUP(BF$1,main!$A$3:$H$102,4,FALSE)+VLOOKUP($A34,main!$A$3:$H$102,4,FALSE)+(VLOOKUP(VLOOKUP(BF$1,main!$A$3:$H$102,8,FALSE),main!$K$19:$O$22,MATCH(VLOOKUP($A34,main!$A$3:$H$102,7,FALSE),main!$K$18:$O$18,0),0))),0)</f>
        <v>0</v>
      </c>
      <c r="BG34">
        <f>IF((gamma!BG34),IF(VLOOKUP(BG$1,main!$A$3:$H$102,7,FALSE)=VLOOKUP($A34,main!$A$3:$H$102,8,FALSE),VLOOKUP(BG$1,main!$A$3:$H$102,4,FALSE),VLOOKUP(BG$1,main!$A$3:$H$102,4,FALSE)+VLOOKUP($A34,main!$A$3:$H$102,4,FALSE)+(VLOOKUP(VLOOKUP(BG$1,main!$A$3:$H$102,8,FALSE),main!$K$19:$O$22,MATCH(VLOOKUP($A34,main!$A$3:$H$102,7,FALSE),main!$K$18:$O$18,0),0))),0)</f>
        <v>0</v>
      </c>
      <c r="BH34">
        <f>IF((gamma!BH34),IF(VLOOKUP(BH$1,main!$A$3:$H$102,7,FALSE)=VLOOKUP($A34,main!$A$3:$H$102,8,FALSE),VLOOKUP(BH$1,main!$A$3:$H$102,4,FALSE),VLOOKUP(BH$1,main!$A$3:$H$102,4,FALSE)+VLOOKUP($A34,main!$A$3:$H$102,4,FALSE)+(VLOOKUP(VLOOKUP(BH$1,main!$A$3:$H$102,8,FALSE),main!$K$19:$O$22,MATCH(VLOOKUP($A34,main!$A$3:$H$102,7,FALSE),main!$K$18:$O$18,0),0))),0)</f>
        <v>285</v>
      </c>
      <c r="BI34">
        <f>IF((gamma!BI34),IF(VLOOKUP(BI$1,main!$A$3:$H$102,7,FALSE)=VLOOKUP($A34,main!$A$3:$H$102,8,FALSE),VLOOKUP(BI$1,main!$A$3:$H$102,4,FALSE),VLOOKUP(BI$1,main!$A$3:$H$102,4,FALSE)+VLOOKUP($A34,main!$A$3:$H$102,4,FALSE)+(VLOOKUP(VLOOKUP(BI$1,main!$A$3:$H$102,8,FALSE),main!$K$19:$O$22,MATCH(VLOOKUP($A34,main!$A$3:$H$102,7,FALSE),main!$K$18:$O$18,0),0))),0)</f>
        <v>220</v>
      </c>
      <c r="BJ34">
        <f>IF((gamma!BJ34),IF(VLOOKUP(BJ$1,main!$A$3:$H$102,7,FALSE)=VLOOKUP($A34,main!$A$3:$H$102,8,FALSE),VLOOKUP(BJ$1,main!$A$3:$H$102,4,FALSE),VLOOKUP(BJ$1,main!$A$3:$H$102,4,FALSE)+VLOOKUP($A34,main!$A$3:$H$102,4,FALSE)+(VLOOKUP(VLOOKUP(BJ$1,main!$A$3:$H$102,8,FALSE),main!$K$19:$O$22,MATCH(VLOOKUP($A34,main!$A$3:$H$102,7,FALSE),main!$K$18:$O$18,0),0))),0)</f>
        <v>250</v>
      </c>
      <c r="BK34">
        <f>IF((gamma!BK34),IF(VLOOKUP(BK$1,main!$A$3:$H$102,7,FALSE)=VLOOKUP($A34,main!$A$3:$H$102,8,FALSE),VLOOKUP(BK$1,main!$A$3:$H$102,4,FALSE),VLOOKUP(BK$1,main!$A$3:$H$102,4,FALSE)+VLOOKUP($A34,main!$A$3:$H$102,4,FALSE)+(VLOOKUP(VLOOKUP(BK$1,main!$A$3:$H$102,8,FALSE),main!$K$19:$O$22,MATCH(VLOOKUP($A34,main!$A$3:$H$102,7,FALSE),main!$K$18:$O$18,0),0))),0)</f>
        <v>0</v>
      </c>
      <c r="BL34">
        <f>IF((gamma!BL34),IF(VLOOKUP(BL$1,main!$A$3:$H$102,7,FALSE)=VLOOKUP($A34,main!$A$3:$H$102,8,FALSE),VLOOKUP(BL$1,main!$A$3:$H$102,4,FALSE),VLOOKUP(BL$1,main!$A$3:$H$102,4,FALSE)+VLOOKUP($A34,main!$A$3:$H$102,4,FALSE)+(VLOOKUP(VLOOKUP(BL$1,main!$A$3:$H$102,8,FALSE),main!$K$19:$O$22,MATCH(VLOOKUP($A34,main!$A$3:$H$102,7,FALSE),main!$K$18:$O$18,0),0))),0)</f>
        <v>0</v>
      </c>
      <c r="BM34">
        <f>IF((gamma!BM34),IF(VLOOKUP(BM$1,main!$A$3:$H$102,7,FALSE)=VLOOKUP($A34,main!$A$3:$H$102,8,FALSE),VLOOKUP(BM$1,main!$A$3:$H$102,4,FALSE),VLOOKUP(BM$1,main!$A$3:$H$102,4,FALSE)+VLOOKUP($A34,main!$A$3:$H$102,4,FALSE)+(VLOOKUP(VLOOKUP(BM$1,main!$A$3:$H$102,8,FALSE),main!$K$19:$O$22,MATCH(VLOOKUP($A34,main!$A$3:$H$102,7,FALSE),main!$K$18:$O$18,0),0))),0)</f>
        <v>0</v>
      </c>
      <c r="BN34">
        <f>IF((gamma!BN34),IF(VLOOKUP(BN$1,main!$A$3:$H$102,7,FALSE)=VLOOKUP($A34,main!$A$3:$H$102,8,FALSE),VLOOKUP(BN$1,main!$A$3:$H$102,4,FALSE),VLOOKUP(BN$1,main!$A$3:$H$102,4,FALSE)+VLOOKUP($A34,main!$A$3:$H$102,4,FALSE)+(VLOOKUP(VLOOKUP(BN$1,main!$A$3:$H$102,8,FALSE),main!$K$19:$O$22,MATCH(VLOOKUP($A34,main!$A$3:$H$102,7,FALSE),main!$K$18:$O$18,0),0))),0)</f>
        <v>255</v>
      </c>
      <c r="BO34">
        <f>IF((gamma!BO34),IF(VLOOKUP(BO$1,main!$A$3:$H$102,7,FALSE)=VLOOKUP($A34,main!$A$3:$H$102,8,FALSE),VLOOKUP(BO$1,main!$A$3:$H$102,4,FALSE),VLOOKUP(BO$1,main!$A$3:$H$102,4,FALSE)+VLOOKUP($A34,main!$A$3:$H$102,4,FALSE)+(VLOOKUP(VLOOKUP(BO$1,main!$A$3:$H$102,8,FALSE),main!$K$19:$O$22,MATCH(VLOOKUP($A34,main!$A$3:$H$102,7,FALSE),main!$K$18:$O$18,0),0))),0)</f>
        <v>0</v>
      </c>
      <c r="BP34">
        <f>IF((gamma!BP34),IF(VLOOKUP(BP$1,main!$A$3:$H$102,7,FALSE)=VLOOKUP($A34,main!$A$3:$H$102,8,FALSE),VLOOKUP(BP$1,main!$A$3:$H$102,4,FALSE),VLOOKUP(BP$1,main!$A$3:$H$102,4,FALSE)+VLOOKUP($A34,main!$A$3:$H$102,4,FALSE)+(VLOOKUP(VLOOKUP(BP$1,main!$A$3:$H$102,8,FALSE),main!$K$19:$O$22,MATCH(VLOOKUP($A34,main!$A$3:$H$102,7,FALSE),main!$K$18:$O$18,0),0))),0)</f>
        <v>0</v>
      </c>
      <c r="BQ34">
        <f>IF((gamma!BQ34),IF(VLOOKUP(BQ$1,main!$A$3:$H$102,7,FALSE)=VLOOKUP($A34,main!$A$3:$H$102,8,FALSE),VLOOKUP(BQ$1,main!$A$3:$H$102,4,FALSE),VLOOKUP(BQ$1,main!$A$3:$H$102,4,FALSE)+VLOOKUP($A34,main!$A$3:$H$102,4,FALSE)+(VLOOKUP(VLOOKUP(BQ$1,main!$A$3:$H$102,8,FALSE),main!$K$19:$O$22,MATCH(VLOOKUP($A34,main!$A$3:$H$102,7,FALSE),main!$K$18:$O$18,0),0))),0)</f>
        <v>0</v>
      </c>
      <c r="BR34">
        <f>IF((gamma!BR34),IF(VLOOKUP(BR$1,main!$A$3:$H$102,7,FALSE)=VLOOKUP($A34,main!$A$3:$H$102,8,FALSE),VLOOKUP(BR$1,main!$A$3:$H$102,4,FALSE),VLOOKUP(BR$1,main!$A$3:$H$102,4,FALSE)+VLOOKUP($A34,main!$A$3:$H$102,4,FALSE)+(VLOOKUP(VLOOKUP(BR$1,main!$A$3:$H$102,8,FALSE),main!$K$19:$O$22,MATCH(VLOOKUP($A34,main!$A$3:$H$102,7,FALSE),main!$K$18:$O$18,0),0))),0)</f>
        <v>0</v>
      </c>
      <c r="BS34">
        <f>IF((gamma!BS34),IF(VLOOKUP(BS$1,main!$A$3:$H$102,7,FALSE)=VLOOKUP($A34,main!$A$3:$H$102,8,FALSE),VLOOKUP(BS$1,main!$A$3:$H$102,4,FALSE),VLOOKUP(BS$1,main!$A$3:$H$102,4,FALSE)+VLOOKUP($A34,main!$A$3:$H$102,4,FALSE)+(VLOOKUP(VLOOKUP(BS$1,main!$A$3:$H$102,8,FALSE),main!$K$19:$O$22,MATCH(VLOOKUP($A34,main!$A$3:$H$102,7,FALSE),main!$K$18:$O$18,0),0))),0)</f>
        <v>0</v>
      </c>
      <c r="BT34">
        <f>IF((gamma!BT34),IF(VLOOKUP(BT$1,main!$A$3:$H$102,7,FALSE)=VLOOKUP($A34,main!$A$3:$H$102,8,FALSE),VLOOKUP(BT$1,main!$A$3:$H$102,4,FALSE),VLOOKUP(BT$1,main!$A$3:$H$102,4,FALSE)+VLOOKUP($A34,main!$A$3:$H$102,4,FALSE)+(VLOOKUP(VLOOKUP(BT$1,main!$A$3:$H$102,8,FALSE),main!$K$19:$O$22,MATCH(VLOOKUP($A34,main!$A$3:$H$102,7,FALSE),main!$K$18:$O$18,0),0))),0)</f>
        <v>0</v>
      </c>
      <c r="BU34">
        <f>IF((gamma!BU34),IF(VLOOKUP(BU$1,main!$A$3:$H$102,7,FALSE)=VLOOKUP($A34,main!$A$3:$H$102,8,FALSE),VLOOKUP(BU$1,main!$A$3:$H$102,4,FALSE),VLOOKUP(BU$1,main!$A$3:$H$102,4,FALSE)+VLOOKUP($A34,main!$A$3:$H$102,4,FALSE)+(VLOOKUP(VLOOKUP(BU$1,main!$A$3:$H$102,8,FALSE),main!$K$19:$O$22,MATCH(VLOOKUP($A34,main!$A$3:$H$102,7,FALSE),main!$K$18:$O$18,0),0))),0)</f>
        <v>0</v>
      </c>
      <c r="BV34">
        <f>IF((gamma!BV34),IF(VLOOKUP(BV$1,main!$A$3:$H$102,7,FALSE)=VLOOKUP($A34,main!$A$3:$H$102,8,FALSE),VLOOKUP(BV$1,main!$A$3:$H$102,4,FALSE),VLOOKUP(BV$1,main!$A$3:$H$102,4,FALSE)+VLOOKUP($A34,main!$A$3:$H$102,4,FALSE)+(VLOOKUP(VLOOKUP(BV$1,main!$A$3:$H$102,8,FALSE),main!$K$19:$O$22,MATCH(VLOOKUP($A34,main!$A$3:$H$102,7,FALSE),main!$K$18:$O$18,0),0))),0)</f>
        <v>0</v>
      </c>
      <c r="BW34">
        <f>IF((gamma!BW34),IF(VLOOKUP(BW$1,main!$A$3:$H$102,7,FALSE)=VLOOKUP($A34,main!$A$3:$H$102,8,FALSE),VLOOKUP(BW$1,main!$A$3:$H$102,4,FALSE),VLOOKUP(BW$1,main!$A$3:$H$102,4,FALSE)+VLOOKUP($A34,main!$A$3:$H$102,4,FALSE)+(VLOOKUP(VLOOKUP(BW$1,main!$A$3:$H$102,8,FALSE),main!$K$19:$O$22,MATCH(VLOOKUP($A34,main!$A$3:$H$102,7,FALSE),main!$K$18:$O$18,0),0))),0)</f>
        <v>0</v>
      </c>
      <c r="BX34">
        <f>IF((gamma!BX34),IF(VLOOKUP(BX$1,main!$A$3:$H$102,7,FALSE)=VLOOKUP($A34,main!$A$3:$H$102,8,FALSE),VLOOKUP(BX$1,main!$A$3:$H$102,4,FALSE),VLOOKUP(BX$1,main!$A$3:$H$102,4,FALSE)+VLOOKUP($A34,main!$A$3:$H$102,4,FALSE)+(VLOOKUP(VLOOKUP(BX$1,main!$A$3:$H$102,8,FALSE),main!$K$19:$O$22,MATCH(VLOOKUP($A34,main!$A$3:$H$102,7,FALSE),main!$K$18:$O$18,0),0))),0)</f>
        <v>0</v>
      </c>
      <c r="BY34">
        <f>IF((gamma!BY34),IF(VLOOKUP(BY$1,main!$A$3:$H$102,7,FALSE)=VLOOKUP($A34,main!$A$3:$H$102,8,FALSE),VLOOKUP(BY$1,main!$A$3:$H$102,4,FALSE),VLOOKUP(BY$1,main!$A$3:$H$102,4,FALSE)+VLOOKUP($A34,main!$A$3:$H$102,4,FALSE)+(VLOOKUP(VLOOKUP(BY$1,main!$A$3:$H$102,8,FALSE),main!$K$19:$O$22,MATCH(VLOOKUP($A34,main!$A$3:$H$102,7,FALSE),main!$K$18:$O$18,0),0))),0)</f>
        <v>295</v>
      </c>
      <c r="BZ34">
        <f>IF((gamma!BZ34),IF(VLOOKUP(BZ$1,main!$A$3:$H$102,7,FALSE)=VLOOKUP($A34,main!$A$3:$H$102,8,FALSE),VLOOKUP(BZ$1,main!$A$3:$H$102,4,FALSE),VLOOKUP(BZ$1,main!$A$3:$H$102,4,FALSE)+VLOOKUP($A34,main!$A$3:$H$102,4,FALSE)+(VLOOKUP(VLOOKUP(BZ$1,main!$A$3:$H$102,8,FALSE),main!$K$19:$O$22,MATCH(VLOOKUP($A34,main!$A$3:$H$102,7,FALSE),main!$K$18:$O$18,0),0))),0)</f>
        <v>0</v>
      </c>
      <c r="CA34">
        <f>IF((gamma!CA34),IF(VLOOKUP(CA$1,main!$A$3:$H$102,7,FALSE)=VLOOKUP($A34,main!$A$3:$H$102,8,FALSE),VLOOKUP(CA$1,main!$A$3:$H$102,4,FALSE),VLOOKUP(CA$1,main!$A$3:$H$102,4,FALSE)+VLOOKUP($A34,main!$A$3:$H$102,4,FALSE)+(VLOOKUP(VLOOKUP(CA$1,main!$A$3:$H$102,8,FALSE),main!$K$19:$O$22,MATCH(VLOOKUP($A34,main!$A$3:$H$102,7,FALSE),main!$K$18:$O$18,0),0))),0)</f>
        <v>0</v>
      </c>
      <c r="CB34">
        <f>IF((gamma!CB34),IF(VLOOKUP(CB$1,main!$A$3:$H$102,7,FALSE)=VLOOKUP($A34,main!$A$3:$H$102,8,FALSE),VLOOKUP(CB$1,main!$A$3:$H$102,4,FALSE),VLOOKUP(CB$1,main!$A$3:$H$102,4,FALSE)+VLOOKUP($A34,main!$A$3:$H$102,4,FALSE)+(VLOOKUP(VLOOKUP(CB$1,main!$A$3:$H$102,8,FALSE),main!$K$19:$O$22,MATCH(VLOOKUP($A34,main!$A$3:$H$102,7,FALSE),main!$K$18:$O$18,0),0))),0)</f>
        <v>240</v>
      </c>
      <c r="CC34">
        <f>IF((gamma!CC34),IF(VLOOKUP(CC$1,main!$A$3:$H$102,7,FALSE)=VLOOKUP($A34,main!$A$3:$H$102,8,FALSE),VLOOKUP(CC$1,main!$A$3:$H$102,4,FALSE),VLOOKUP(CC$1,main!$A$3:$H$102,4,FALSE)+VLOOKUP($A34,main!$A$3:$H$102,4,FALSE)+(VLOOKUP(VLOOKUP(CC$1,main!$A$3:$H$102,8,FALSE),main!$K$19:$O$22,MATCH(VLOOKUP($A34,main!$A$3:$H$102,7,FALSE),main!$K$18:$O$18,0),0))),0)</f>
        <v>230</v>
      </c>
      <c r="CD34">
        <f>IF((gamma!CD34),IF(VLOOKUP(CD$1,main!$A$3:$H$102,7,FALSE)=VLOOKUP($A34,main!$A$3:$H$102,8,FALSE),VLOOKUP(CD$1,main!$A$3:$H$102,4,FALSE),VLOOKUP(CD$1,main!$A$3:$H$102,4,FALSE)+VLOOKUP($A34,main!$A$3:$H$102,4,FALSE)+(VLOOKUP(VLOOKUP(CD$1,main!$A$3:$H$102,8,FALSE),main!$K$19:$O$22,MATCH(VLOOKUP($A34,main!$A$3:$H$102,7,FALSE),main!$K$18:$O$18,0),0))),0)</f>
        <v>289</v>
      </c>
      <c r="CE34">
        <f>IF((gamma!CE34),IF(VLOOKUP(CE$1,main!$A$3:$H$102,7,FALSE)=VLOOKUP($A34,main!$A$3:$H$102,8,FALSE),VLOOKUP(CE$1,main!$A$3:$H$102,4,FALSE),VLOOKUP(CE$1,main!$A$3:$H$102,4,FALSE)+VLOOKUP($A34,main!$A$3:$H$102,4,FALSE)+(VLOOKUP(VLOOKUP(CE$1,main!$A$3:$H$102,8,FALSE),main!$K$19:$O$22,MATCH(VLOOKUP($A34,main!$A$3:$H$102,7,FALSE),main!$K$18:$O$18,0),0))),0)</f>
        <v>0</v>
      </c>
      <c r="CF34">
        <f>IF((gamma!CF34),IF(VLOOKUP(CF$1,main!$A$3:$H$102,7,FALSE)=VLOOKUP($A34,main!$A$3:$H$102,8,FALSE),VLOOKUP(CF$1,main!$A$3:$H$102,4,FALSE),VLOOKUP(CF$1,main!$A$3:$H$102,4,FALSE)+VLOOKUP($A34,main!$A$3:$H$102,4,FALSE)+(VLOOKUP(VLOOKUP(CF$1,main!$A$3:$H$102,8,FALSE),main!$K$19:$O$22,MATCH(VLOOKUP($A34,main!$A$3:$H$102,7,FALSE),main!$K$18:$O$18,0),0))),0)</f>
        <v>0</v>
      </c>
      <c r="CG34">
        <f>IF((gamma!CG34),IF(VLOOKUP(CG$1,main!$A$3:$H$102,7,FALSE)=VLOOKUP($A34,main!$A$3:$H$102,8,FALSE),VLOOKUP(CG$1,main!$A$3:$H$102,4,FALSE),VLOOKUP(CG$1,main!$A$3:$H$102,4,FALSE)+VLOOKUP($A34,main!$A$3:$H$102,4,FALSE)+(VLOOKUP(VLOOKUP(CG$1,main!$A$3:$H$102,8,FALSE),main!$K$19:$O$22,MATCH(VLOOKUP($A34,main!$A$3:$H$102,7,FALSE),main!$K$18:$O$18,0),0))),0)</f>
        <v>0</v>
      </c>
      <c r="CH34">
        <f>IF((gamma!CH34),IF(VLOOKUP(CH$1,main!$A$3:$H$102,7,FALSE)=VLOOKUP($A34,main!$A$3:$H$102,8,FALSE),VLOOKUP(CH$1,main!$A$3:$H$102,4,FALSE),VLOOKUP(CH$1,main!$A$3:$H$102,4,FALSE)+VLOOKUP($A34,main!$A$3:$H$102,4,FALSE)+(VLOOKUP(VLOOKUP(CH$1,main!$A$3:$H$102,8,FALSE),main!$K$19:$O$22,MATCH(VLOOKUP($A34,main!$A$3:$H$102,7,FALSE),main!$K$18:$O$18,0),0))),0)</f>
        <v>300</v>
      </c>
      <c r="CI34">
        <f>IF((gamma!CI34),IF(VLOOKUP(CI$1,main!$A$3:$H$102,7,FALSE)=VLOOKUP($A34,main!$A$3:$H$102,8,FALSE),VLOOKUP(CI$1,main!$A$3:$H$102,4,FALSE),VLOOKUP(CI$1,main!$A$3:$H$102,4,FALSE)+VLOOKUP($A34,main!$A$3:$H$102,4,FALSE)+(VLOOKUP(VLOOKUP(CI$1,main!$A$3:$H$102,8,FALSE),main!$K$19:$O$22,MATCH(VLOOKUP($A34,main!$A$3:$H$102,7,FALSE),main!$K$18:$O$18,0),0))),0)</f>
        <v>300</v>
      </c>
      <c r="CJ34">
        <f>IF((gamma!CJ34),IF(VLOOKUP(CJ$1,main!$A$3:$H$102,7,FALSE)=VLOOKUP($A34,main!$A$3:$H$102,8,FALSE),VLOOKUP(CJ$1,main!$A$3:$H$102,4,FALSE),VLOOKUP(CJ$1,main!$A$3:$H$102,4,FALSE)+VLOOKUP($A34,main!$A$3:$H$102,4,FALSE)+(VLOOKUP(VLOOKUP(CJ$1,main!$A$3:$H$102,8,FALSE),main!$K$19:$O$22,MATCH(VLOOKUP($A34,main!$A$3:$H$102,7,FALSE),main!$K$18:$O$18,0),0))),0)</f>
        <v>0</v>
      </c>
      <c r="CK34">
        <f>IF((gamma!CK34),IF(VLOOKUP(CK$1,main!$A$3:$H$102,7,FALSE)=VLOOKUP($A34,main!$A$3:$H$102,8,FALSE),VLOOKUP(CK$1,main!$A$3:$H$102,4,FALSE),VLOOKUP(CK$1,main!$A$3:$H$102,4,FALSE)+VLOOKUP($A34,main!$A$3:$H$102,4,FALSE)+(VLOOKUP(VLOOKUP(CK$1,main!$A$3:$H$102,8,FALSE),main!$K$19:$O$22,MATCH(VLOOKUP($A34,main!$A$3:$H$102,7,FALSE),main!$K$18:$O$18,0),0))),0)</f>
        <v>0</v>
      </c>
      <c r="CL34">
        <f>IF((gamma!CL34),IF(VLOOKUP(CL$1,main!$A$3:$H$102,7,FALSE)=VLOOKUP($A34,main!$A$3:$H$102,8,FALSE),VLOOKUP(CL$1,main!$A$3:$H$102,4,FALSE),VLOOKUP(CL$1,main!$A$3:$H$102,4,FALSE)+VLOOKUP($A34,main!$A$3:$H$102,4,FALSE)+(VLOOKUP(VLOOKUP(CL$1,main!$A$3:$H$102,8,FALSE),main!$K$19:$O$22,MATCH(VLOOKUP($A34,main!$A$3:$H$102,7,FALSE),main!$K$18:$O$18,0),0))),0)</f>
        <v>0</v>
      </c>
      <c r="CM34">
        <f>IF((gamma!CM34),IF(VLOOKUP(CM$1,main!$A$3:$H$102,7,FALSE)=VLOOKUP($A34,main!$A$3:$H$102,8,FALSE),VLOOKUP(CM$1,main!$A$3:$H$102,4,FALSE),VLOOKUP(CM$1,main!$A$3:$H$102,4,FALSE)+VLOOKUP($A34,main!$A$3:$H$102,4,FALSE)+(VLOOKUP(VLOOKUP(CM$1,main!$A$3:$H$102,8,FALSE),main!$K$19:$O$22,MATCH(VLOOKUP($A34,main!$A$3:$H$102,7,FALSE),main!$K$18:$O$18,0),0))),0)</f>
        <v>260</v>
      </c>
      <c r="CN34">
        <f>IF((gamma!CN34),IF(VLOOKUP(CN$1,main!$A$3:$H$102,7,FALSE)=VLOOKUP($A34,main!$A$3:$H$102,8,FALSE),VLOOKUP(CN$1,main!$A$3:$H$102,4,FALSE),VLOOKUP(CN$1,main!$A$3:$H$102,4,FALSE)+VLOOKUP($A34,main!$A$3:$H$102,4,FALSE)+(VLOOKUP(VLOOKUP(CN$1,main!$A$3:$H$102,8,FALSE),main!$K$19:$O$22,MATCH(VLOOKUP($A34,main!$A$3:$H$102,7,FALSE),main!$K$18:$O$18,0),0))),0)</f>
        <v>256</v>
      </c>
      <c r="CO34">
        <f>IF((gamma!CO34),IF(VLOOKUP(CO$1,main!$A$3:$H$102,7,FALSE)=VLOOKUP($A34,main!$A$3:$H$102,8,FALSE),VLOOKUP(CO$1,main!$A$3:$H$102,4,FALSE),VLOOKUP(CO$1,main!$A$3:$H$102,4,FALSE)+VLOOKUP($A34,main!$A$3:$H$102,4,FALSE)+(VLOOKUP(VLOOKUP(CO$1,main!$A$3:$H$102,8,FALSE),main!$K$19:$O$22,MATCH(VLOOKUP($A34,main!$A$3:$H$102,7,FALSE),main!$K$18:$O$18,0),0))),0)</f>
        <v>0</v>
      </c>
      <c r="CP34">
        <f>IF((gamma!CP34),IF(VLOOKUP(CP$1,main!$A$3:$H$102,7,FALSE)=VLOOKUP($A34,main!$A$3:$H$102,8,FALSE),VLOOKUP(CP$1,main!$A$3:$H$102,4,FALSE),VLOOKUP(CP$1,main!$A$3:$H$102,4,FALSE)+VLOOKUP($A34,main!$A$3:$H$102,4,FALSE)+(VLOOKUP(VLOOKUP(CP$1,main!$A$3:$H$102,8,FALSE),main!$K$19:$O$22,MATCH(VLOOKUP($A34,main!$A$3:$H$102,7,FALSE),main!$K$18:$O$18,0),0))),0)</f>
        <v>0</v>
      </c>
      <c r="CQ34">
        <f>IF((gamma!CQ34),IF(VLOOKUP(CQ$1,main!$A$3:$H$102,7,FALSE)=VLOOKUP($A34,main!$A$3:$H$102,8,FALSE),VLOOKUP(CQ$1,main!$A$3:$H$102,4,FALSE),VLOOKUP(CQ$1,main!$A$3:$H$102,4,FALSE)+VLOOKUP($A34,main!$A$3:$H$102,4,FALSE)+(VLOOKUP(VLOOKUP(CQ$1,main!$A$3:$H$102,8,FALSE),main!$K$19:$O$22,MATCH(VLOOKUP($A34,main!$A$3:$H$102,7,FALSE),main!$K$18:$O$18,0),0))),0)</f>
        <v>0</v>
      </c>
      <c r="CR34">
        <f>IF((gamma!CR34),IF(VLOOKUP(CR$1,main!$A$3:$H$102,7,FALSE)=VLOOKUP($A34,main!$A$3:$H$102,8,FALSE),VLOOKUP(CR$1,main!$A$3:$H$102,4,FALSE),VLOOKUP(CR$1,main!$A$3:$H$102,4,FALSE)+VLOOKUP($A34,main!$A$3:$H$102,4,FALSE)+(VLOOKUP(VLOOKUP(CR$1,main!$A$3:$H$102,8,FALSE),main!$K$19:$O$22,MATCH(VLOOKUP($A34,main!$A$3:$H$102,7,FALSE),main!$K$18:$O$18,0),0))),0)</f>
        <v>298</v>
      </c>
      <c r="CS34">
        <f>IF((gamma!CS34),IF(VLOOKUP(CS$1,main!$A$3:$H$102,7,FALSE)=VLOOKUP($A34,main!$A$3:$H$102,8,FALSE),VLOOKUP(CS$1,main!$A$3:$H$102,4,FALSE),VLOOKUP(CS$1,main!$A$3:$H$102,4,FALSE)+VLOOKUP($A34,main!$A$3:$H$102,4,FALSE)+(VLOOKUP(VLOOKUP(CS$1,main!$A$3:$H$102,8,FALSE),main!$K$19:$O$22,MATCH(VLOOKUP($A34,main!$A$3:$H$102,7,FALSE),main!$K$18:$O$18,0),0))),0)</f>
        <v>298</v>
      </c>
      <c r="CT34">
        <f>IF((gamma!CT34),IF(VLOOKUP(CT$1,main!$A$3:$H$102,7,FALSE)=VLOOKUP($A34,main!$A$3:$H$102,8,FALSE),VLOOKUP(CT$1,main!$A$3:$H$102,4,FALSE),VLOOKUP(CT$1,main!$A$3:$H$102,4,FALSE)+VLOOKUP($A34,main!$A$3:$H$102,4,FALSE)+(VLOOKUP(VLOOKUP(CT$1,main!$A$3:$H$102,8,FALSE),main!$K$19:$O$22,MATCH(VLOOKUP($A34,main!$A$3:$H$102,7,FALSE),main!$K$18:$O$18,0),0))),0)</f>
        <v>0</v>
      </c>
      <c r="CU34">
        <f>IF((gamma!CU34),IF(VLOOKUP(CU$1,main!$A$3:$H$102,7,FALSE)=VLOOKUP($A34,main!$A$3:$H$102,8,FALSE),VLOOKUP(CU$1,main!$A$3:$H$102,4,FALSE),VLOOKUP(CU$1,main!$A$3:$H$102,4,FALSE)+VLOOKUP($A34,main!$A$3:$H$102,4,FALSE)+(VLOOKUP(VLOOKUP(CU$1,main!$A$3:$H$102,8,FALSE),main!$K$19:$O$22,MATCH(VLOOKUP($A34,main!$A$3:$H$102,7,FALSE),main!$K$18:$O$18,0),0))),0)</f>
        <v>0</v>
      </c>
      <c r="CV34">
        <f>IF((gamma!CV34),IF(VLOOKUP(CV$1,main!$A$3:$H$102,7,FALSE)=VLOOKUP($A34,main!$A$3:$H$102,8,FALSE),VLOOKUP(CV$1,main!$A$3:$H$102,4,FALSE),VLOOKUP(CV$1,main!$A$3:$H$102,4,FALSE)+VLOOKUP($A34,main!$A$3:$H$102,4,FALSE)+(VLOOKUP(VLOOKUP(CV$1,main!$A$3:$H$102,8,FALSE),main!$K$19:$O$22,MATCH(VLOOKUP($A34,main!$A$3:$H$102,7,FALSE),main!$K$18:$O$18,0),0))),0)</f>
        <v>0</v>
      </c>
      <c r="CW34">
        <f>IF((gamma!CW34),IF(VLOOKUP(CW$1,main!$A$3:$H$102,7,FALSE)=VLOOKUP($A34,main!$A$3:$H$102,8,FALSE),VLOOKUP(CW$1,main!$A$3:$H$102,4,FALSE),VLOOKUP(CW$1,main!$A$3:$H$102,4,FALSE)+VLOOKUP($A34,main!$A$3:$H$102,4,FALSE)+(VLOOKUP(VLOOKUP(CW$1,main!$A$3:$H$102,8,FALSE),main!$K$19:$O$22,MATCH(VLOOKUP($A34,main!$A$3:$H$102,7,FALSE),main!$K$18:$O$18,0),0))),0)</f>
        <v>258</v>
      </c>
      <c r="CX34">
        <f>IF((gamma!CX34),IF(VLOOKUP(CX$1,main!$A$3:$H$102,7,FALSE)=VLOOKUP($A34,main!$A$3:$H$102,8,FALSE),VLOOKUP(CX$1,main!$A$3:$H$102,4,FALSE),VLOOKUP(CX$1,main!$A$3:$H$102,4,FALSE)+VLOOKUP($A34,main!$A$3:$H$102,4,FALSE)+(VLOOKUP(VLOOKUP(CX$1,main!$A$3:$H$102,8,FALSE),main!$K$19:$O$22,MATCH(VLOOKUP($A34,main!$A$3:$H$102,7,FALSE),main!$K$18:$O$18,0),0))),0)</f>
        <v>248</v>
      </c>
      <c r="CY34">
        <v>0</v>
      </c>
      <c r="CZ34">
        <v>0</v>
      </c>
      <c r="DA34">
        <v>0</v>
      </c>
    </row>
    <row r="35" spans="1:105" x14ac:dyDescent="0.25">
      <c r="A35" s="1">
        <v>33</v>
      </c>
      <c r="B35">
        <v>0</v>
      </c>
      <c r="C35">
        <f>IF((gamma!C35),IF(VLOOKUP(C$1,main!$A$3:$H$102,7,FALSE)=VLOOKUP($A35,main!$A$3:$H$102,8,FALSE),VLOOKUP(C$1,main!$A$3:$H$102,4,FALSE),VLOOKUP(C$1,main!$A$3:$H$102,4,FALSE)+VLOOKUP($A35,main!$A$3:$H$102,4,FALSE)+(VLOOKUP(VLOOKUP(C$1,main!$A$3:$H$102,8,FALSE),main!$K$19:$O$22,MATCH(VLOOKUP($A35,main!$A$3:$H$102,7,FALSE),main!$K$18:$O$18,0),0))),0)</f>
        <v>0</v>
      </c>
      <c r="D35">
        <f>IF((gamma!D35),IF(VLOOKUP(D$1,main!$A$3:$H$102,7,FALSE)=VLOOKUP($A35,main!$A$3:$H$102,8,FALSE),VLOOKUP(D$1,main!$A$3:$H$102,4,FALSE),VLOOKUP(D$1,main!$A$3:$H$102,4,FALSE)+VLOOKUP($A35,main!$A$3:$H$102,4,FALSE)+(VLOOKUP(VLOOKUP(D$1,main!$A$3:$H$102,8,FALSE),main!$K$19:$O$22,MATCH(VLOOKUP($A35,main!$A$3:$H$102,7,FALSE),main!$K$18:$O$18,0),0))),0)</f>
        <v>0</v>
      </c>
      <c r="E35">
        <f>IF((gamma!E35),IF(VLOOKUP(E$1,main!$A$3:$H$102,7,FALSE)=VLOOKUP($A35,main!$A$3:$H$102,8,FALSE),VLOOKUP(E$1,main!$A$3:$H$102,4,FALSE),VLOOKUP(E$1,main!$A$3:$H$102,4,FALSE)+VLOOKUP($A35,main!$A$3:$H$102,4,FALSE)+(VLOOKUP(VLOOKUP(E$1,main!$A$3:$H$102,8,FALSE),main!$K$19:$O$22,MATCH(VLOOKUP($A35,main!$A$3:$H$102,7,FALSE),main!$K$18:$O$18,0),0))),0)</f>
        <v>0</v>
      </c>
      <c r="F35">
        <f>IF((gamma!F35),IF(VLOOKUP(F$1,main!$A$3:$H$102,7,FALSE)=VLOOKUP($A35,main!$A$3:$H$102,8,FALSE),VLOOKUP(F$1,main!$A$3:$H$102,4,FALSE),VLOOKUP(F$1,main!$A$3:$H$102,4,FALSE)+VLOOKUP($A35,main!$A$3:$H$102,4,FALSE)+(VLOOKUP(VLOOKUP(F$1,main!$A$3:$H$102,8,FALSE),main!$K$19:$O$22,MATCH(VLOOKUP($A35,main!$A$3:$H$102,7,FALSE),main!$K$18:$O$18,0),0))),0)</f>
        <v>0</v>
      </c>
      <c r="G35">
        <f>IF((gamma!G35),IF(VLOOKUP(G$1,main!$A$3:$H$102,7,FALSE)=VLOOKUP($A35,main!$A$3:$H$102,8,FALSE),VLOOKUP(G$1,main!$A$3:$H$102,4,FALSE),VLOOKUP(G$1,main!$A$3:$H$102,4,FALSE)+VLOOKUP($A35,main!$A$3:$H$102,4,FALSE)+(VLOOKUP(VLOOKUP(G$1,main!$A$3:$H$102,8,FALSE),main!$K$19:$O$22,MATCH(VLOOKUP($A35,main!$A$3:$H$102,7,FALSE),main!$K$18:$O$18,0),0))),0)</f>
        <v>0</v>
      </c>
      <c r="H35">
        <f>IF((gamma!H35),IF(VLOOKUP(H$1,main!$A$3:$H$102,7,FALSE)=VLOOKUP($A35,main!$A$3:$H$102,8,FALSE),VLOOKUP(H$1,main!$A$3:$H$102,4,FALSE),VLOOKUP(H$1,main!$A$3:$H$102,4,FALSE)+VLOOKUP($A35,main!$A$3:$H$102,4,FALSE)+(VLOOKUP(VLOOKUP(H$1,main!$A$3:$H$102,8,FALSE),main!$K$19:$O$22,MATCH(VLOOKUP($A35,main!$A$3:$H$102,7,FALSE),main!$K$18:$O$18,0),0))),0)</f>
        <v>135</v>
      </c>
      <c r="I35">
        <f>IF((gamma!I35),IF(VLOOKUP(I$1,main!$A$3:$H$102,7,FALSE)=VLOOKUP($A35,main!$A$3:$H$102,8,FALSE),VLOOKUP(I$1,main!$A$3:$H$102,4,FALSE),VLOOKUP(I$1,main!$A$3:$H$102,4,FALSE)+VLOOKUP($A35,main!$A$3:$H$102,4,FALSE)+(VLOOKUP(VLOOKUP(I$1,main!$A$3:$H$102,8,FALSE),main!$K$19:$O$22,MATCH(VLOOKUP($A35,main!$A$3:$H$102,7,FALSE),main!$K$18:$O$18,0),0))),0)</f>
        <v>135</v>
      </c>
      <c r="J35">
        <f>IF((gamma!J35),IF(VLOOKUP(J$1,main!$A$3:$H$102,7,FALSE)=VLOOKUP($A35,main!$A$3:$H$102,8,FALSE),VLOOKUP(J$1,main!$A$3:$H$102,4,FALSE),VLOOKUP(J$1,main!$A$3:$H$102,4,FALSE)+VLOOKUP($A35,main!$A$3:$H$102,4,FALSE)+(VLOOKUP(VLOOKUP(J$1,main!$A$3:$H$102,8,FALSE),main!$K$19:$O$22,MATCH(VLOOKUP($A35,main!$A$3:$H$102,7,FALSE),main!$K$18:$O$18,0),0))),0)</f>
        <v>135</v>
      </c>
      <c r="K35">
        <f>IF((gamma!K35),IF(VLOOKUP(K$1,main!$A$3:$H$102,7,FALSE)=VLOOKUP($A35,main!$A$3:$H$102,8,FALSE),VLOOKUP(K$1,main!$A$3:$H$102,4,FALSE),VLOOKUP(K$1,main!$A$3:$H$102,4,FALSE)+VLOOKUP($A35,main!$A$3:$H$102,4,FALSE)+(VLOOKUP(VLOOKUP(K$1,main!$A$3:$H$102,8,FALSE),main!$K$19:$O$22,MATCH(VLOOKUP($A35,main!$A$3:$H$102,7,FALSE),main!$K$18:$O$18,0),0))),0)</f>
        <v>135</v>
      </c>
      <c r="L35">
        <f>IF((gamma!L35),IF(VLOOKUP(L$1,main!$A$3:$H$102,7,FALSE)=VLOOKUP($A35,main!$A$3:$H$102,8,FALSE),VLOOKUP(L$1,main!$A$3:$H$102,4,FALSE),VLOOKUP(L$1,main!$A$3:$H$102,4,FALSE)+VLOOKUP($A35,main!$A$3:$H$102,4,FALSE)+(VLOOKUP(VLOOKUP(L$1,main!$A$3:$H$102,8,FALSE),main!$K$19:$O$22,MATCH(VLOOKUP($A35,main!$A$3:$H$102,7,FALSE),main!$K$18:$O$18,0),0))),0)</f>
        <v>135</v>
      </c>
      <c r="M35">
        <f>IF((gamma!M35),IF(VLOOKUP(M$1,main!$A$3:$H$102,7,FALSE)=VLOOKUP($A35,main!$A$3:$H$102,8,FALSE),VLOOKUP(M$1,main!$A$3:$H$102,4,FALSE),VLOOKUP(M$1,main!$A$3:$H$102,4,FALSE)+VLOOKUP($A35,main!$A$3:$H$102,4,FALSE)+(VLOOKUP(VLOOKUP(M$1,main!$A$3:$H$102,8,FALSE),main!$K$19:$O$22,MATCH(VLOOKUP($A35,main!$A$3:$H$102,7,FALSE),main!$K$18:$O$18,0),0))),0)</f>
        <v>0</v>
      </c>
      <c r="N35">
        <f>IF((gamma!N35),IF(VLOOKUP(N$1,main!$A$3:$H$102,7,FALSE)=VLOOKUP($A35,main!$A$3:$H$102,8,FALSE),VLOOKUP(N$1,main!$A$3:$H$102,4,FALSE),VLOOKUP(N$1,main!$A$3:$H$102,4,FALSE)+VLOOKUP($A35,main!$A$3:$H$102,4,FALSE)+(VLOOKUP(VLOOKUP(N$1,main!$A$3:$H$102,8,FALSE),main!$K$19:$O$22,MATCH(VLOOKUP($A35,main!$A$3:$H$102,7,FALSE),main!$K$18:$O$18,0),0))),0)</f>
        <v>0</v>
      </c>
      <c r="O35">
        <f>IF((gamma!O35),IF(VLOOKUP(O$1,main!$A$3:$H$102,7,FALSE)=VLOOKUP($A35,main!$A$3:$H$102,8,FALSE),VLOOKUP(O$1,main!$A$3:$H$102,4,FALSE),VLOOKUP(O$1,main!$A$3:$H$102,4,FALSE)+VLOOKUP($A35,main!$A$3:$H$102,4,FALSE)+(VLOOKUP(VLOOKUP(O$1,main!$A$3:$H$102,8,FALSE),main!$K$19:$O$22,MATCH(VLOOKUP($A35,main!$A$3:$H$102,7,FALSE),main!$K$18:$O$18,0),0))),0)</f>
        <v>0</v>
      </c>
      <c r="P35">
        <f>IF((gamma!P35),IF(VLOOKUP(P$1,main!$A$3:$H$102,7,FALSE)=VLOOKUP($A35,main!$A$3:$H$102,8,FALSE),VLOOKUP(P$1,main!$A$3:$H$102,4,FALSE),VLOOKUP(P$1,main!$A$3:$H$102,4,FALSE)+VLOOKUP($A35,main!$A$3:$H$102,4,FALSE)+(VLOOKUP(VLOOKUP(P$1,main!$A$3:$H$102,8,FALSE),main!$K$19:$O$22,MATCH(VLOOKUP($A35,main!$A$3:$H$102,7,FALSE),main!$K$18:$O$18,0),0))),0)</f>
        <v>0</v>
      </c>
      <c r="Q35">
        <f>IF((gamma!Q35),IF(VLOOKUP(Q$1,main!$A$3:$H$102,7,FALSE)=VLOOKUP($A35,main!$A$3:$H$102,8,FALSE),VLOOKUP(Q$1,main!$A$3:$H$102,4,FALSE),VLOOKUP(Q$1,main!$A$3:$H$102,4,FALSE)+VLOOKUP($A35,main!$A$3:$H$102,4,FALSE)+(VLOOKUP(VLOOKUP(Q$1,main!$A$3:$H$102,8,FALSE),main!$K$19:$O$22,MATCH(VLOOKUP($A35,main!$A$3:$H$102,7,FALSE),main!$K$18:$O$18,0),0))),0)</f>
        <v>0</v>
      </c>
      <c r="R35">
        <f>IF((gamma!R35),IF(VLOOKUP(R$1,main!$A$3:$H$102,7,FALSE)=VLOOKUP($A35,main!$A$3:$H$102,8,FALSE),VLOOKUP(R$1,main!$A$3:$H$102,4,FALSE),VLOOKUP(R$1,main!$A$3:$H$102,4,FALSE)+VLOOKUP($A35,main!$A$3:$H$102,4,FALSE)+(VLOOKUP(VLOOKUP(R$1,main!$A$3:$H$102,8,FALSE),main!$K$19:$O$22,MATCH(VLOOKUP($A35,main!$A$3:$H$102,7,FALSE),main!$K$18:$O$18,0),0))),0)</f>
        <v>0</v>
      </c>
      <c r="S35">
        <f>IF((gamma!S35),IF(VLOOKUP(S$1,main!$A$3:$H$102,7,FALSE)=VLOOKUP($A35,main!$A$3:$H$102,8,FALSE),VLOOKUP(S$1,main!$A$3:$H$102,4,FALSE),VLOOKUP(S$1,main!$A$3:$H$102,4,FALSE)+VLOOKUP($A35,main!$A$3:$H$102,4,FALSE)+(VLOOKUP(VLOOKUP(S$1,main!$A$3:$H$102,8,FALSE),main!$K$19:$O$22,MATCH(VLOOKUP($A35,main!$A$3:$H$102,7,FALSE),main!$K$18:$O$18,0),0))),0)</f>
        <v>140</v>
      </c>
      <c r="T35">
        <f>IF((gamma!T35),IF(VLOOKUP(T$1,main!$A$3:$H$102,7,FALSE)=VLOOKUP($A35,main!$A$3:$H$102,8,FALSE),VLOOKUP(T$1,main!$A$3:$H$102,4,FALSE),VLOOKUP(T$1,main!$A$3:$H$102,4,FALSE)+VLOOKUP($A35,main!$A$3:$H$102,4,FALSE)+(VLOOKUP(VLOOKUP(T$1,main!$A$3:$H$102,8,FALSE),main!$K$19:$O$22,MATCH(VLOOKUP($A35,main!$A$3:$H$102,7,FALSE),main!$K$18:$O$18,0),0))),0)</f>
        <v>140</v>
      </c>
      <c r="U35">
        <f>IF((gamma!U35),IF(VLOOKUP(U$1,main!$A$3:$H$102,7,FALSE)=VLOOKUP($A35,main!$A$3:$H$102,8,FALSE),VLOOKUP(U$1,main!$A$3:$H$102,4,FALSE),VLOOKUP(U$1,main!$A$3:$H$102,4,FALSE)+VLOOKUP($A35,main!$A$3:$H$102,4,FALSE)+(VLOOKUP(VLOOKUP(U$1,main!$A$3:$H$102,8,FALSE),main!$K$19:$O$22,MATCH(VLOOKUP($A35,main!$A$3:$H$102,7,FALSE),main!$K$18:$O$18,0),0))),0)</f>
        <v>140</v>
      </c>
      <c r="V35">
        <f>IF((gamma!V35),IF(VLOOKUP(V$1,main!$A$3:$H$102,7,FALSE)=VLOOKUP($A35,main!$A$3:$H$102,8,FALSE),VLOOKUP(V$1,main!$A$3:$H$102,4,FALSE),VLOOKUP(V$1,main!$A$3:$H$102,4,FALSE)+VLOOKUP($A35,main!$A$3:$H$102,4,FALSE)+(VLOOKUP(VLOOKUP(V$1,main!$A$3:$H$102,8,FALSE),main!$K$19:$O$22,MATCH(VLOOKUP($A35,main!$A$3:$H$102,7,FALSE),main!$K$18:$O$18,0),0))),0)</f>
        <v>140</v>
      </c>
      <c r="W35">
        <f>IF((gamma!W35),IF(VLOOKUP(W$1,main!$A$3:$H$102,7,FALSE)=VLOOKUP($A35,main!$A$3:$H$102,8,FALSE),VLOOKUP(W$1,main!$A$3:$H$102,4,FALSE),VLOOKUP(W$1,main!$A$3:$H$102,4,FALSE)+VLOOKUP($A35,main!$A$3:$H$102,4,FALSE)+(VLOOKUP(VLOOKUP(W$1,main!$A$3:$H$102,8,FALSE),main!$K$19:$O$22,MATCH(VLOOKUP($A35,main!$A$3:$H$102,7,FALSE),main!$K$18:$O$18,0),0))),0)</f>
        <v>0</v>
      </c>
      <c r="X35">
        <f>IF((gamma!X35),IF(VLOOKUP(X$1,main!$A$3:$H$102,7,FALSE)=VLOOKUP($A35,main!$A$3:$H$102,8,FALSE),VLOOKUP(X$1,main!$A$3:$H$102,4,FALSE),VLOOKUP(X$1,main!$A$3:$H$102,4,FALSE)+VLOOKUP($A35,main!$A$3:$H$102,4,FALSE)+(VLOOKUP(VLOOKUP(X$1,main!$A$3:$H$102,8,FALSE),main!$K$19:$O$22,MATCH(VLOOKUP($A35,main!$A$3:$H$102,7,FALSE),main!$K$18:$O$18,0),0))),0)</f>
        <v>0</v>
      </c>
      <c r="Y35">
        <f>IF((gamma!Y35),IF(VLOOKUP(Y$1,main!$A$3:$H$102,7,FALSE)=VLOOKUP($A35,main!$A$3:$H$102,8,FALSE),VLOOKUP(Y$1,main!$A$3:$H$102,4,FALSE),VLOOKUP(Y$1,main!$A$3:$H$102,4,FALSE)+VLOOKUP($A35,main!$A$3:$H$102,4,FALSE)+(VLOOKUP(VLOOKUP(Y$1,main!$A$3:$H$102,8,FALSE),main!$K$19:$O$22,MATCH(VLOOKUP($A35,main!$A$3:$H$102,7,FALSE),main!$K$18:$O$18,0),0))),0)</f>
        <v>0</v>
      </c>
      <c r="Z35">
        <f>IF((gamma!Z35),IF(VLOOKUP(Z$1,main!$A$3:$H$102,7,FALSE)=VLOOKUP($A35,main!$A$3:$H$102,8,FALSE),VLOOKUP(Z$1,main!$A$3:$H$102,4,FALSE),VLOOKUP(Z$1,main!$A$3:$H$102,4,FALSE)+VLOOKUP($A35,main!$A$3:$H$102,4,FALSE)+(VLOOKUP(VLOOKUP(Z$1,main!$A$3:$H$102,8,FALSE),main!$K$19:$O$22,MATCH(VLOOKUP($A35,main!$A$3:$H$102,7,FALSE),main!$K$18:$O$18,0),0))),0)</f>
        <v>140</v>
      </c>
      <c r="AA35">
        <f>IF((gamma!AA35),IF(VLOOKUP(AA$1,main!$A$3:$H$102,7,FALSE)=VLOOKUP($A35,main!$A$3:$H$102,8,FALSE),VLOOKUP(AA$1,main!$A$3:$H$102,4,FALSE),VLOOKUP(AA$1,main!$A$3:$H$102,4,FALSE)+VLOOKUP($A35,main!$A$3:$H$102,4,FALSE)+(VLOOKUP(VLOOKUP(AA$1,main!$A$3:$H$102,8,FALSE),main!$K$19:$O$22,MATCH(VLOOKUP($A35,main!$A$3:$H$102,7,FALSE),main!$K$18:$O$18,0),0))),0)</f>
        <v>140</v>
      </c>
      <c r="AB35">
        <f>IF((gamma!AB35),IF(VLOOKUP(AB$1,main!$A$3:$H$102,7,FALSE)=VLOOKUP($A35,main!$A$3:$H$102,8,FALSE),VLOOKUP(AB$1,main!$A$3:$H$102,4,FALSE),VLOOKUP(AB$1,main!$A$3:$H$102,4,FALSE)+VLOOKUP($A35,main!$A$3:$H$102,4,FALSE)+(VLOOKUP(VLOOKUP(AB$1,main!$A$3:$H$102,8,FALSE),main!$K$19:$O$22,MATCH(VLOOKUP($A35,main!$A$3:$H$102,7,FALSE),main!$K$18:$O$18,0),0))),0)</f>
        <v>0</v>
      </c>
      <c r="AC35">
        <f>IF((gamma!AC35),IF(VLOOKUP(AC$1,main!$A$3:$H$102,7,FALSE)=VLOOKUP($A35,main!$A$3:$H$102,8,FALSE),VLOOKUP(AC$1,main!$A$3:$H$102,4,FALSE),VLOOKUP(AC$1,main!$A$3:$H$102,4,FALSE)+VLOOKUP($A35,main!$A$3:$H$102,4,FALSE)+(VLOOKUP(VLOOKUP(AC$1,main!$A$3:$H$102,8,FALSE),main!$K$19:$O$22,MATCH(VLOOKUP($A35,main!$A$3:$H$102,7,FALSE),main!$K$18:$O$18,0),0))),0)</f>
        <v>0</v>
      </c>
      <c r="AD35">
        <f>IF((gamma!AD35),IF(VLOOKUP(AD$1,main!$A$3:$H$102,7,FALSE)=VLOOKUP($A35,main!$A$3:$H$102,8,FALSE),VLOOKUP(AD$1,main!$A$3:$H$102,4,FALSE),VLOOKUP(AD$1,main!$A$3:$H$102,4,FALSE)+VLOOKUP($A35,main!$A$3:$H$102,4,FALSE)+(VLOOKUP(VLOOKUP(AD$1,main!$A$3:$H$102,8,FALSE),main!$K$19:$O$22,MATCH(VLOOKUP($A35,main!$A$3:$H$102,7,FALSE),main!$K$18:$O$18,0),0))),0)</f>
        <v>0</v>
      </c>
      <c r="AE35">
        <f>IF((gamma!AE35),IF(VLOOKUP(AE$1,main!$A$3:$H$102,7,FALSE)=VLOOKUP($A35,main!$A$3:$H$102,8,FALSE),VLOOKUP(AE$1,main!$A$3:$H$102,4,FALSE),VLOOKUP(AE$1,main!$A$3:$H$102,4,FALSE)+VLOOKUP($A35,main!$A$3:$H$102,4,FALSE)+(VLOOKUP(VLOOKUP(AE$1,main!$A$3:$H$102,8,FALSE),main!$K$19:$O$22,MATCH(VLOOKUP($A35,main!$A$3:$H$102,7,FALSE),main!$K$18:$O$18,0),0))),0)</f>
        <v>140</v>
      </c>
      <c r="AF35">
        <f>IF((gamma!AF35),IF(VLOOKUP(AF$1,main!$A$3:$H$102,7,FALSE)=VLOOKUP($A35,main!$A$3:$H$102,8,FALSE),VLOOKUP(AF$1,main!$A$3:$H$102,4,FALSE),VLOOKUP(AF$1,main!$A$3:$H$102,4,FALSE)+VLOOKUP($A35,main!$A$3:$H$102,4,FALSE)+(VLOOKUP(VLOOKUP(AF$1,main!$A$3:$H$102,8,FALSE),main!$K$19:$O$22,MATCH(VLOOKUP($A35,main!$A$3:$H$102,7,FALSE),main!$K$18:$O$18,0),0))),0)</f>
        <v>100</v>
      </c>
      <c r="AG35">
        <f>IF((gamma!AG35),IF(VLOOKUP(AG$1,main!$A$3:$H$102,7,FALSE)=VLOOKUP($A35,main!$A$3:$H$102,8,FALSE),VLOOKUP(AG$1,main!$A$3:$H$102,4,FALSE),VLOOKUP(AG$1,main!$A$3:$H$102,4,FALSE)+VLOOKUP($A35,main!$A$3:$H$102,4,FALSE)+(VLOOKUP(VLOOKUP(AG$1,main!$A$3:$H$102,8,FALSE),main!$K$19:$O$22,MATCH(VLOOKUP($A35,main!$A$3:$H$102,7,FALSE),main!$K$18:$O$18,0),0))),0)</f>
        <v>0</v>
      </c>
      <c r="AH35">
        <f>IF((gamma!AH35),IF(VLOOKUP(AH$1,main!$A$3:$H$102,7,FALSE)=VLOOKUP($A35,main!$A$3:$H$102,8,FALSE),VLOOKUP(AH$1,main!$A$3:$H$102,4,FALSE),VLOOKUP(AH$1,main!$A$3:$H$102,4,FALSE)+VLOOKUP($A35,main!$A$3:$H$102,4,FALSE)+(VLOOKUP(VLOOKUP(AH$1,main!$A$3:$H$102,8,FALSE),main!$K$19:$O$22,MATCH(VLOOKUP($A35,main!$A$3:$H$102,7,FALSE),main!$K$18:$O$18,0),0))),0)</f>
        <v>0</v>
      </c>
      <c r="AI35">
        <f>IF((gamma!AI35),IF(VLOOKUP(AI$1,main!$A$3:$H$102,7,FALSE)=VLOOKUP($A35,main!$A$3:$H$102,8,FALSE),VLOOKUP(AI$1,main!$A$3:$H$102,4,FALSE),VLOOKUP(AI$1,main!$A$3:$H$102,4,FALSE)+VLOOKUP($A35,main!$A$3:$H$102,4,FALSE)+(VLOOKUP(VLOOKUP(AI$1,main!$A$3:$H$102,8,FALSE),main!$K$19:$O$22,MATCH(VLOOKUP($A35,main!$A$3:$H$102,7,FALSE),main!$K$18:$O$18,0),0))),0)</f>
        <v>0</v>
      </c>
      <c r="AJ35">
        <f>IF((gamma!AJ35),IF(VLOOKUP(AJ$1,main!$A$3:$H$102,7,FALSE)=VLOOKUP($A35,main!$A$3:$H$102,8,FALSE),VLOOKUP(AJ$1,main!$A$3:$H$102,4,FALSE),VLOOKUP(AJ$1,main!$A$3:$H$102,4,FALSE)+VLOOKUP($A35,main!$A$3:$H$102,4,FALSE)+(VLOOKUP(VLOOKUP(AJ$1,main!$A$3:$H$102,8,FALSE),main!$K$19:$O$22,MATCH(VLOOKUP($A35,main!$A$3:$H$102,7,FALSE),main!$K$18:$O$18,0),0))),0)</f>
        <v>0</v>
      </c>
      <c r="AK35">
        <f>IF((gamma!AK35),IF(VLOOKUP(AK$1,main!$A$3:$H$102,7,FALSE)=VLOOKUP($A35,main!$A$3:$H$102,8,FALSE),VLOOKUP(AK$1,main!$A$3:$H$102,4,FALSE),VLOOKUP(AK$1,main!$A$3:$H$102,4,FALSE)+VLOOKUP($A35,main!$A$3:$H$102,4,FALSE)+(VLOOKUP(VLOOKUP(AK$1,main!$A$3:$H$102,8,FALSE),main!$K$19:$O$22,MATCH(VLOOKUP($A35,main!$A$3:$H$102,7,FALSE),main!$K$18:$O$18,0),0))),0)</f>
        <v>295</v>
      </c>
      <c r="AL35">
        <f>IF((gamma!AL35),IF(VLOOKUP(AL$1,main!$A$3:$H$102,7,FALSE)=VLOOKUP($A35,main!$A$3:$H$102,8,FALSE),VLOOKUP(AL$1,main!$A$3:$H$102,4,FALSE),VLOOKUP(AL$1,main!$A$3:$H$102,4,FALSE)+VLOOKUP($A35,main!$A$3:$H$102,4,FALSE)+(VLOOKUP(VLOOKUP(AL$1,main!$A$3:$H$102,8,FALSE),main!$K$19:$O$22,MATCH(VLOOKUP($A35,main!$A$3:$H$102,7,FALSE),main!$K$18:$O$18,0),0))),0)</f>
        <v>295</v>
      </c>
      <c r="AM35">
        <f>IF((gamma!AM35),IF(VLOOKUP(AM$1,main!$A$3:$H$102,7,FALSE)=VLOOKUP($A35,main!$A$3:$H$102,8,FALSE),VLOOKUP(AM$1,main!$A$3:$H$102,4,FALSE),VLOOKUP(AM$1,main!$A$3:$H$102,4,FALSE)+VLOOKUP($A35,main!$A$3:$H$102,4,FALSE)+(VLOOKUP(VLOOKUP(AM$1,main!$A$3:$H$102,8,FALSE),main!$K$19:$O$22,MATCH(VLOOKUP($A35,main!$A$3:$H$102,7,FALSE),main!$K$18:$O$18,0),0))),0)</f>
        <v>295</v>
      </c>
      <c r="AN35">
        <f>IF((gamma!AN35),IF(VLOOKUP(AN$1,main!$A$3:$H$102,7,FALSE)=VLOOKUP($A35,main!$A$3:$H$102,8,FALSE),VLOOKUP(AN$1,main!$A$3:$H$102,4,FALSE),VLOOKUP(AN$1,main!$A$3:$H$102,4,FALSE)+VLOOKUP($A35,main!$A$3:$H$102,4,FALSE)+(VLOOKUP(VLOOKUP(AN$1,main!$A$3:$H$102,8,FALSE),main!$K$19:$O$22,MATCH(VLOOKUP($A35,main!$A$3:$H$102,7,FALSE),main!$K$18:$O$18,0),0))),0)</f>
        <v>295</v>
      </c>
      <c r="AO35">
        <f>IF((gamma!AO35),IF(VLOOKUP(AO$1,main!$A$3:$H$102,7,FALSE)=VLOOKUP($A35,main!$A$3:$H$102,8,FALSE),VLOOKUP(AO$1,main!$A$3:$H$102,4,FALSE),VLOOKUP(AO$1,main!$A$3:$H$102,4,FALSE)+VLOOKUP($A35,main!$A$3:$H$102,4,FALSE)+(VLOOKUP(VLOOKUP(AO$1,main!$A$3:$H$102,8,FALSE),main!$K$19:$O$22,MATCH(VLOOKUP($A35,main!$A$3:$H$102,7,FALSE),main!$K$18:$O$18,0),0))),0)</f>
        <v>0</v>
      </c>
      <c r="AP35">
        <f>IF((gamma!AP35),IF(VLOOKUP(AP$1,main!$A$3:$H$102,7,FALSE)=VLOOKUP($A35,main!$A$3:$H$102,8,FALSE),VLOOKUP(AP$1,main!$A$3:$H$102,4,FALSE),VLOOKUP(AP$1,main!$A$3:$H$102,4,FALSE)+VLOOKUP($A35,main!$A$3:$H$102,4,FALSE)+(VLOOKUP(VLOOKUP(AP$1,main!$A$3:$H$102,8,FALSE),main!$K$19:$O$22,MATCH(VLOOKUP($A35,main!$A$3:$H$102,7,FALSE),main!$K$18:$O$18,0),0))),0)</f>
        <v>235</v>
      </c>
      <c r="AQ35">
        <f>IF((gamma!AQ35),IF(VLOOKUP(AQ$1,main!$A$3:$H$102,7,FALSE)=VLOOKUP($A35,main!$A$3:$H$102,8,FALSE),VLOOKUP(AQ$1,main!$A$3:$H$102,4,FALSE),VLOOKUP(AQ$1,main!$A$3:$H$102,4,FALSE)+VLOOKUP($A35,main!$A$3:$H$102,4,FALSE)+(VLOOKUP(VLOOKUP(AQ$1,main!$A$3:$H$102,8,FALSE),main!$K$19:$O$22,MATCH(VLOOKUP($A35,main!$A$3:$H$102,7,FALSE),main!$K$18:$O$18,0),0))),0)</f>
        <v>0</v>
      </c>
      <c r="AR35">
        <f>IF((gamma!AR35),IF(VLOOKUP(AR$1,main!$A$3:$H$102,7,FALSE)=VLOOKUP($A35,main!$A$3:$H$102,8,FALSE),VLOOKUP(AR$1,main!$A$3:$H$102,4,FALSE),VLOOKUP(AR$1,main!$A$3:$H$102,4,FALSE)+VLOOKUP($A35,main!$A$3:$H$102,4,FALSE)+(VLOOKUP(VLOOKUP(AR$1,main!$A$3:$H$102,8,FALSE),main!$K$19:$O$22,MATCH(VLOOKUP($A35,main!$A$3:$H$102,7,FALSE),main!$K$18:$O$18,0),0))),0)</f>
        <v>0</v>
      </c>
      <c r="AS35">
        <f>IF((gamma!AS35),IF(VLOOKUP(AS$1,main!$A$3:$H$102,7,FALSE)=VLOOKUP($A35,main!$A$3:$H$102,8,FALSE),VLOOKUP(AS$1,main!$A$3:$H$102,4,FALSE),VLOOKUP(AS$1,main!$A$3:$H$102,4,FALSE)+VLOOKUP($A35,main!$A$3:$H$102,4,FALSE)+(VLOOKUP(VLOOKUP(AS$1,main!$A$3:$H$102,8,FALSE),main!$K$19:$O$22,MATCH(VLOOKUP($A35,main!$A$3:$H$102,7,FALSE),main!$K$18:$O$18,0),0))),0)</f>
        <v>0</v>
      </c>
      <c r="AT35">
        <f>IF((gamma!AT35),IF(VLOOKUP(AT$1,main!$A$3:$H$102,7,FALSE)=VLOOKUP($A35,main!$A$3:$H$102,8,FALSE),VLOOKUP(AT$1,main!$A$3:$H$102,4,FALSE),VLOOKUP(AT$1,main!$A$3:$H$102,4,FALSE)+VLOOKUP($A35,main!$A$3:$H$102,4,FALSE)+(VLOOKUP(VLOOKUP(AT$1,main!$A$3:$H$102,8,FALSE),main!$K$19:$O$22,MATCH(VLOOKUP($A35,main!$A$3:$H$102,7,FALSE),main!$K$18:$O$18,0),0))),0)</f>
        <v>293</v>
      </c>
      <c r="AU35">
        <f>IF((gamma!AU35),IF(VLOOKUP(AU$1,main!$A$3:$H$102,7,FALSE)=VLOOKUP($A35,main!$A$3:$H$102,8,FALSE),VLOOKUP(AU$1,main!$A$3:$H$102,4,FALSE),VLOOKUP(AU$1,main!$A$3:$H$102,4,FALSE)+VLOOKUP($A35,main!$A$3:$H$102,4,FALSE)+(VLOOKUP(VLOOKUP(AU$1,main!$A$3:$H$102,8,FALSE),main!$K$19:$O$22,MATCH(VLOOKUP($A35,main!$A$3:$H$102,7,FALSE),main!$K$18:$O$18,0),0))),0)</f>
        <v>0</v>
      </c>
      <c r="AV35">
        <f>IF((gamma!AV35),IF(VLOOKUP(AV$1,main!$A$3:$H$102,7,FALSE)=VLOOKUP($A35,main!$A$3:$H$102,8,FALSE),VLOOKUP(AV$1,main!$A$3:$H$102,4,FALSE),VLOOKUP(AV$1,main!$A$3:$H$102,4,FALSE)+VLOOKUP($A35,main!$A$3:$H$102,4,FALSE)+(VLOOKUP(VLOOKUP(AV$1,main!$A$3:$H$102,8,FALSE),main!$K$19:$O$22,MATCH(VLOOKUP($A35,main!$A$3:$H$102,7,FALSE),main!$K$18:$O$18,0),0))),0)</f>
        <v>0</v>
      </c>
      <c r="AW35">
        <f>IF((gamma!AW35),IF(VLOOKUP(AW$1,main!$A$3:$H$102,7,FALSE)=VLOOKUP($A35,main!$A$3:$H$102,8,FALSE),VLOOKUP(AW$1,main!$A$3:$H$102,4,FALSE),VLOOKUP(AW$1,main!$A$3:$H$102,4,FALSE)+VLOOKUP($A35,main!$A$3:$H$102,4,FALSE)+(VLOOKUP(VLOOKUP(AW$1,main!$A$3:$H$102,8,FALSE),main!$K$19:$O$22,MATCH(VLOOKUP($A35,main!$A$3:$H$102,7,FALSE),main!$K$18:$O$18,0),0))),0)</f>
        <v>283</v>
      </c>
      <c r="AX35">
        <f>IF((gamma!AX35),IF(VLOOKUP(AX$1,main!$A$3:$H$102,7,FALSE)=VLOOKUP($A35,main!$A$3:$H$102,8,FALSE),VLOOKUP(AX$1,main!$A$3:$H$102,4,FALSE),VLOOKUP(AX$1,main!$A$3:$H$102,4,FALSE)+VLOOKUP($A35,main!$A$3:$H$102,4,FALSE)+(VLOOKUP(VLOOKUP(AX$1,main!$A$3:$H$102,8,FALSE),main!$K$19:$O$22,MATCH(VLOOKUP($A35,main!$A$3:$H$102,7,FALSE),main!$K$18:$O$18,0),0))),0)</f>
        <v>0</v>
      </c>
      <c r="AY35">
        <f>IF((gamma!AY35),IF(VLOOKUP(AY$1,main!$A$3:$H$102,7,FALSE)=VLOOKUP($A35,main!$A$3:$H$102,8,FALSE),VLOOKUP(AY$1,main!$A$3:$H$102,4,FALSE),VLOOKUP(AY$1,main!$A$3:$H$102,4,FALSE)+VLOOKUP($A35,main!$A$3:$H$102,4,FALSE)+(VLOOKUP(VLOOKUP(AY$1,main!$A$3:$H$102,8,FALSE),main!$K$19:$O$22,MATCH(VLOOKUP($A35,main!$A$3:$H$102,7,FALSE),main!$K$18:$O$18,0),0))),0)</f>
        <v>0</v>
      </c>
      <c r="AZ35">
        <f>IF((gamma!AZ35),IF(VLOOKUP(AZ$1,main!$A$3:$H$102,7,FALSE)=VLOOKUP($A35,main!$A$3:$H$102,8,FALSE),VLOOKUP(AZ$1,main!$A$3:$H$102,4,FALSE),VLOOKUP(AZ$1,main!$A$3:$H$102,4,FALSE)+VLOOKUP($A35,main!$A$3:$H$102,4,FALSE)+(VLOOKUP(VLOOKUP(AZ$1,main!$A$3:$H$102,8,FALSE),main!$K$19:$O$22,MATCH(VLOOKUP($A35,main!$A$3:$H$102,7,FALSE),main!$K$18:$O$18,0),0))),0)</f>
        <v>0</v>
      </c>
      <c r="BA35">
        <f>IF((gamma!BA35),IF(VLOOKUP(BA$1,main!$A$3:$H$102,7,FALSE)=VLOOKUP($A35,main!$A$3:$H$102,8,FALSE),VLOOKUP(BA$1,main!$A$3:$H$102,4,FALSE),VLOOKUP(BA$1,main!$A$3:$H$102,4,FALSE)+VLOOKUP($A35,main!$A$3:$H$102,4,FALSE)+(VLOOKUP(VLOOKUP(BA$1,main!$A$3:$H$102,8,FALSE),main!$K$19:$O$22,MATCH(VLOOKUP($A35,main!$A$3:$H$102,7,FALSE),main!$K$18:$O$18,0),0))),0)</f>
        <v>0</v>
      </c>
      <c r="BB35">
        <f>IF((gamma!BB35),IF(VLOOKUP(BB$1,main!$A$3:$H$102,7,FALSE)=VLOOKUP($A35,main!$A$3:$H$102,8,FALSE),VLOOKUP(BB$1,main!$A$3:$H$102,4,FALSE),VLOOKUP(BB$1,main!$A$3:$H$102,4,FALSE)+VLOOKUP($A35,main!$A$3:$H$102,4,FALSE)+(VLOOKUP(VLOOKUP(BB$1,main!$A$3:$H$102,8,FALSE),main!$K$19:$O$22,MATCH(VLOOKUP($A35,main!$A$3:$H$102,7,FALSE),main!$K$18:$O$18,0),0))),0)</f>
        <v>0</v>
      </c>
      <c r="BC35">
        <f>IF((gamma!BC35),IF(VLOOKUP(BC$1,main!$A$3:$H$102,7,FALSE)=VLOOKUP($A35,main!$A$3:$H$102,8,FALSE),VLOOKUP(BC$1,main!$A$3:$H$102,4,FALSE),VLOOKUP(BC$1,main!$A$3:$H$102,4,FALSE)+VLOOKUP($A35,main!$A$3:$H$102,4,FALSE)+(VLOOKUP(VLOOKUP(BC$1,main!$A$3:$H$102,8,FALSE),main!$K$19:$O$22,MATCH(VLOOKUP($A35,main!$A$3:$H$102,7,FALSE),main!$K$18:$O$18,0),0))),0)</f>
        <v>0</v>
      </c>
      <c r="BD35">
        <f>IF((gamma!BD35),IF(VLOOKUP(BD$1,main!$A$3:$H$102,7,FALSE)=VLOOKUP($A35,main!$A$3:$H$102,8,FALSE),VLOOKUP(BD$1,main!$A$3:$H$102,4,FALSE),VLOOKUP(BD$1,main!$A$3:$H$102,4,FALSE)+VLOOKUP($A35,main!$A$3:$H$102,4,FALSE)+(VLOOKUP(VLOOKUP(BD$1,main!$A$3:$H$102,8,FALSE),main!$K$19:$O$22,MATCH(VLOOKUP($A35,main!$A$3:$H$102,7,FALSE),main!$K$18:$O$18,0),0))),0)</f>
        <v>300</v>
      </c>
      <c r="BE35">
        <f>IF((gamma!BE35),IF(VLOOKUP(BE$1,main!$A$3:$H$102,7,FALSE)=VLOOKUP($A35,main!$A$3:$H$102,8,FALSE),VLOOKUP(BE$1,main!$A$3:$H$102,4,FALSE),VLOOKUP(BE$1,main!$A$3:$H$102,4,FALSE)+VLOOKUP($A35,main!$A$3:$H$102,4,FALSE)+(VLOOKUP(VLOOKUP(BE$1,main!$A$3:$H$102,8,FALSE),main!$K$19:$O$22,MATCH(VLOOKUP($A35,main!$A$3:$H$102,7,FALSE),main!$K$18:$O$18,0),0))),0)</f>
        <v>300</v>
      </c>
      <c r="BF35">
        <f>IF((gamma!BF35),IF(VLOOKUP(BF$1,main!$A$3:$H$102,7,FALSE)=VLOOKUP($A35,main!$A$3:$H$102,8,FALSE),VLOOKUP(BF$1,main!$A$3:$H$102,4,FALSE),VLOOKUP(BF$1,main!$A$3:$H$102,4,FALSE)+VLOOKUP($A35,main!$A$3:$H$102,4,FALSE)+(VLOOKUP(VLOOKUP(BF$1,main!$A$3:$H$102,8,FALSE),main!$K$19:$O$22,MATCH(VLOOKUP($A35,main!$A$3:$H$102,7,FALSE),main!$K$18:$O$18,0),0))),0)</f>
        <v>0</v>
      </c>
      <c r="BG35">
        <f>IF((gamma!BG35),IF(VLOOKUP(BG$1,main!$A$3:$H$102,7,FALSE)=VLOOKUP($A35,main!$A$3:$H$102,8,FALSE),VLOOKUP(BG$1,main!$A$3:$H$102,4,FALSE),VLOOKUP(BG$1,main!$A$3:$H$102,4,FALSE)+VLOOKUP($A35,main!$A$3:$H$102,4,FALSE)+(VLOOKUP(VLOOKUP(BG$1,main!$A$3:$H$102,8,FALSE),main!$K$19:$O$22,MATCH(VLOOKUP($A35,main!$A$3:$H$102,7,FALSE),main!$K$18:$O$18,0),0))),0)</f>
        <v>0</v>
      </c>
      <c r="BH35">
        <f>IF((gamma!BH35),IF(VLOOKUP(BH$1,main!$A$3:$H$102,7,FALSE)=VLOOKUP($A35,main!$A$3:$H$102,8,FALSE),VLOOKUP(BH$1,main!$A$3:$H$102,4,FALSE),VLOOKUP(BH$1,main!$A$3:$H$102,4,FALSE)+VLOOKUP($A35,main!$A$3:$H$102,4,FALSE)+(VLOOKUP(VLOOKUP(BH$1,main!$A$3:$H$102,8,FALSE),main!$K$19:$O$22,MATCH(VLOOKUP($A35,main!$A$3:$H$102,7,FALSE),main!$K$18:$O$18,0),0))),0)</f>
        <v>0</v>
      </c>
      <c r="BI35">
        <f>IF((gamma!BI35),IF(VLOOKUP(BI$1,main!$A$3:$H$102,7,FALSE)=VLOOKUP($A35,main!$A$3:$H$102,8,FALSE),VLOOKUP(BI$1,main!$A$3:$H$102,4,FALSE),VLOOKUP(BI$1,main!$A$3:$H$102,4,FALSE)+VLOOKUP($A35,main!$A$3:$H$102,4,FALSE)+(VLOOKUP(VLOOKUP(BI$1,main!$A$3:$H$102,8,FALSE),main!$K$19:$O$22,MATCH(VLOOKUP($A35,main!$A$3:$H$102,7,FALSE),main!$K$18:$O$18,0),0))),0)</f>
        <v>220</v>
      </c>
      <c r="BJ35">
        <f>IF((gamma!BJ35),IF(VLOOKUP(BJ$1,main!$A$3:$H$102,7,FALSE)=VLOOKUP($A35,main!$A$3:$H$102,8,FALSE),VLOOKUP(BJ$1,main!$A$3:$H$102,4,FALSE),VLOOKUP(BJ$1,main!$A$3:$H$102,4,FALSE)+VLOOKUP($A35,main!$A$3:$H$102,4,FALSE)+(VLOOKUP(VLOOKUP(BJ$1,main!$A$3:$H$102,8,FALSE),main!$K$19:$O$22,MATCH(VLOOKUP($A35,main!$A$3:$H$102,7,FALSE),main!$K$18:$O$18,0),0))),0)</f>
        <v>250</v>
      </c>
      <c r="BK35">
        <f>IF((gamma!BK35),IF(VLOOKUP(BK$1,main!$A$3:$H$102,7,FALSE)=VLOOKUP($A35,main!$A$3:$H$102,8,FALSE),VLOOKUP(BK$1,main!$A$3:$H$102,4,FALSE),VLOOKUP(BK$1,main!$A$3:$H$102,4,FALSE)+VLOOKUP($A35,main!$A$3:$H$102,4,FALSE)+(VLOOKUP(VLOOKUP(BK$1,main!$A$3:$H$102,8,FALSE),main!$K$19:$O$22,MATCH(VLOOKUP($A35,main!$A$3:$H$102,7,FALSE),main!$K$18:$O$18,0),0))),0)</f>
        <v>0</v>
      </c>
      <c r="BL35">
        <f>IF((gamma!BL35),IF(VLOOKUP(BL$1,main!$A$3:$H$102,7,FALSE)=VLOOKUP($A35,main!$A$3:$H$102,8,FALSE),VLOOKUP(BL$1,main!$A$3:$H$102,4,FALSE),VLOOKUP(BL$1,main!$A$3:$H$102,4,FALSE)+VLOOKUP($A35,main!$A$3:$H$102,4,FALSE)+(VLOOKUP(VLOOKUP(BL$1,main!$A$3:$H$102,8,FALSE),main!$K$19:$O$22,MATCH(VLOOKUP($A35,main!$A$3:$H$102,7,FALSE),main!$K$18:$O$18,0),0))),0)</f>
        <v>0</v>
      </c>
      <c r="BM35">
        <f>IF((gamma!BM35),IF(VLOOKUP(BM$1,main!$A$3:$H$102,7,FALSE)=VLOOKUP($A35,main!$A$3:$H$102,8,FALSE),VLOOKUP(BM$1,main!$A$3:$H$102,4,FALSE),VLOOKUP(BM$1,main!$A$3:$H$102,4,FALSE)+VLOOKUP($A35,main!$A$3:$H$102,4,FALSE)+(VLOOKUP(VLOOKUP(BM$1,main!$A$3:$H$102,8,FALSE),main!$K$19:$O$22,MATCH(VLOOKUP($A35,main!$A$3:$H$102,7,FALSE),main!$K$18:$O$18,0),0))),0)</f>
        <v>0</v>
      </c>
      <c r="BN35">
        <f>IF((gamma!BN35),IF(VLOOKUP(BN$1,main!$A$3:$H$102,7,FALSE)=VLOOKUP($A35,main!$A$3:$H$102,8,FALSE),VLOOKUP(BN$1,main!$A$3:$H$102,4,FALSE),VLOOKUP(BN$1,main!$A$3:$H$102,4,FALSE)+VLOOKUP($A35,main!$A$3:$H$102,4,FALSE)+(VLOOKUP(VLOOKUP(BN$1,main!$A$3:$H$102,8,FALSE),main!$K$19:$O$22,MATCH(VLOOKUP($A35,main!$A$3:$H$102,7,FALSE),main!$K$18:$O$18,0),0))),0)</f>
        <v>255</v>
      </c>
      <c r="BO35">
        <f>IF((gamma!BO35),IF(VLOOKUP(BO$1,main!$A$3:$H$102,7,FALSE)=VLOOKUP($A35,main!$A$3:$H$102,8,FALSE),VLOOKUP(BO$1,main!$A$3:$H$102,4,FALSE),VLOOKUP(BO$1,main!$A$3:$H$102,4,FALSE)+VLOOKUP($A35,main!$A$3:$H$102,4,FALSE)+(VLOOKUP(VLOOKUP(BO$1,main!$A$3:$H$102,8,FALSE),main!$K$19:$O$22,MATCH(VLOOKUP($A35,main!$A$3:$H$102,7,FALSE),main!$K$18:$O$18,0),0))),0)</f>
        <v>0</v>
      </c>
      <c r="BP35">
        <f>IF((gamma!BP35),IF(VLOOKUP(BP$1,main!$A$3:$H$102,7,FALSE)=VLOOKUP($A35,main!$A$3:$H$102,8,FALSE),VLOOKUP(BP$1,main!$A$3:$H$102,4,FALSE),VLOOKUP(BP$1,main!$A$3:$H$102,4,FALSE)+VLOOKUP($A35,main!$A$3:$H$102,4,FALSE)+(VLOOKUP(VLOOKUP(BP$1,main!$A$3:$H$102,8,FALSE),main!$K$19:$O$22,MATCH(VLOOKUP($A35,main!$A$3:$H$102,7,FALSE),main!$K$18:$O$18,0),0))),0)</f>
        <v>0</v>
      </c>
      <c r="BQ35">
        <f>IF((gamma!BQ35),IF(VLOOKUP(BQ$1,main!$A$3:$H$102,7,FALSE)=VLOOKUP($A35,main!$A$3:$H$102,8,FALSE),VLOOKUP(BQ$1,main!$A$3:$H$102,4,FALSE),VLOOKUP(BQ$1,main!$A$3:$H$102,4,FALSE)+VLOOKUP($A35,main!$A$3:$H$102,4,FALSE)+(VLOOKUP(VLOOKUP(BQ$1,main!$A$3:$H$102,8,FALSE),main!$K$19:$O$22,MATCH(VLOOKUP($A35,main!$A$3:$H$102,7,FALSE),main!$K$18:$O$18,0),0))),0)</f>
        <v>0</v>
      </c>
      <c r="BR35">
        <f>IF((gamma!BR35),IF(VLOOKUP(BR$1,main!$A$3:$H$102,7,FALSE)=VLOOKUP($A35,main!$A$3:$H$102,8,FALSE),VLOOKUP(BR$1,main!$A$3:$H$102,4,FALSE),VLOOKUP(BR$1,main!$A$3:$H$102,4,FALSE)+VLOOKUP($A35,main!$A$3:$H$102,4,FALSE)+(VLOOKUP(VLOOKUP(BR$1,main!$A$3:$H$102,8,FALSE),main!$K$19:$O$22,MATCH(VLOOKUP($A35,main!$A$3:$H$102,7,FALSE),main!$K$18:$O$18,0),0))),0)</f>
        <v>0</v>
      </c>
      <c r="BS35">
        <f>IF((gamma!BS35),IF(VLOOKUP(BS$1,main!$A$3:$H$102,7,FALSE)=VLOOKUP($A35,main!$A$3:$H$102,8,FALSE),VLOOKUP(BS$1,main!$A$3:$H$102,4,FALSE),VLOOKUP(BS$1,main!$A$3:$H$102,4,FALSE)+VLOOKUP($A35,main!$A$3:$H$102,4,FALSE)+(VLOOKUP(VLOOKUP(BS$1,main!$A$3:$H$102,8,FALSE),main!$K$19:$O$22,MATCH(VLOOKUP($A35,main!$A$3:$H$102,7,FALSE),main!$K$18:$O$18,0),0))),0)</f>
        <v>0</v>
      </c>
      <c r="BT35">
        <f>IF((gamma!BT35),IF(VLOOKUP(BT$1,main!$A$3:$H$102,7,FALSE)=VLOOKUP($A35,main!$A$3:$H$102,8,FALSE),VLOOKUP(BT$1,main!$A$3:$H$102,4,FALSE),VLOOKUP(BT$1,main!$A$3:$H$102,4,FALSE)+VLOOKUP($A35,main!$A$3:$H$102,4,FALSE)+(VLOOKUP(VLOOKUP(BT$1,main!$A$3:$H$102,8,FALSE),main!$K$19:$O$22,MATCH(VLOOKUP($A35,main!$A$3:$H$102,7,FALSE),main!$K$18:$O$18,0),0))),0)</f>
        <v>0</v>
      </c>
      <c r="BU35">
        <f>IF((gamma!BU35),IF(VLOOKUP(BU$1,main!$A$3:$H$102,7,FALSE)=VLOOKUP($A35,main!$A$3:$H$102,8,FALSE),VLOOKUP(BU$1,main!$A$3:$H$102,4,FALSE),VLOOKUP(BU$1,main!$A$3:$H$102,4,FALSE)+VLOOKUP($A35,main!$A$3:$H$102,4,FALSE)+(VLOOKUP(VLOOKUP(BU$1,main!$A$3:$H$102,8,FALSE),main!$K$19:$O$22,MATCH(VLOOKUP($A35,main!$A$3:$H$102,7,FALSE),main!$K$18:$O$18,0),0))),0)</f>
        <v>0</v>
      </c>
      <c r="BV35">
        <f>IF((gamma!BV35),IF(VLOOKUP(BV$1,main!$A$3:$H$102,7,FALSE)=VLOOKUP($A35,main!$A$3:$H$102,8,FALSE),VLOOKUP(BV$1,main!$A$3:$H$102,4,FALSE),VLOOKUP(BV$1,main!$A$3:$H$102,4,FALSE)+VLOOKUP($A35,main!$A$3:$H$102,4,FALSE)+(VLOOKUP(VLOOKUP(BV$1,main!$A$3:$H$102,8,FALSE),main!$K$19:$O$22,MATCH(VLOOKUP($A35,main!$A$3:$H$102,7,FALSE),main!$K$18:$O$18,0),0))),0)</f>
        <v>0</v>
      </c>
      <c r="BW35">
        <f>IF((gamma!BW35),IF(VLOOKUP(BW$1,main!$A$3:$H$102,7,FALSE)=VLOOKUP($A35,main!$A$3:$H$102,8,FALSE),VLOOKUP(BW$1,main!$A$3:$H$102,4,FALSE),VLOOKUP(BW$1,main!$A$3:$H$102,4,FALSE)+VLOOKUP($A35,main!$A$3:$H$102,4,FALSE)+(VLOOKUP(VLOOKUP(BW$1,main!$A$3:$H$102,8,FALSE),main!$K$19:$O$22,MATCH(VLOOKUP($A35,main!$A$3:$H$102,7,FALSE),main!$K$18:$O$18,0),0))),0)</f>
        <v>0</v>
      </c>
      <c r="BX35">
        <f>IF((gamma!BX35),IF(VLOOKUP(BX$1,main!$A$3:$H$102,7,FALSE)=VLOOKUP($A35,main!$A$3:$H$102,8,FALSE),VLOOKUP(BX$1,main!$A$3:$H$102,4,FALSE),VLOOKUP(BX$1,main!$A$3:$H$102,4,FALSE)+VLOOKUP($A35,main!$A$3:$H$102,4,FALSE)+(VLOOKUP(VLOOKUP(BX$1,main!$A$3:$H$102,8,FALSE),main!$K$19:$O$22,MATCH(VLOOKUP($A35,main!$A$3:$H$102,7,FALSE),main!$K$18:$O$18,0),0))),0)</f>
        <v>0</v>
      </c>
      <c r="BY35">
        <f>IF((gamma!BY35),IF(VLOOKUP(BY$1,main!$A$3:$H$102,7,FALSE)=VLOOKUP($A35,main!$A$3:$H$102,8,FALSE),VLOOKUP(BY$1,main!$A$3:$H$102,4,FALSE),VLOOKUP(BY$1,main!$A$3:$H$102,4,FALSE)+VLOOKUP($A35,main!$A$3:$H$102,4,FALSE)+(VLOOKUP(VLOOKUP(BY$1,main!$A$3:$H$102,8,FALSE),main!$K$19:$O$22,MATCH(VLOOKUP($A35,main!$A$3:$H$102,7,FALSE),main!$K$18:$O$18,0),0))),0)</f>
        <v>0</v>
      </c>
      <c r="BZ35">
        <f>IF((gamma!BZ35),IF(VLOOKUP(BZ$1,main!$A$3:$H$102,7,FALSE)=VLOOKUP($A35,main!$A$3:$H$102,8,FALSE),VLOOKUP(BZ$1,main!$A$3:$H$102,4,FALSE),VLOOKUP(BZ$1,main!$A$3:$H$102,4,FALSE)+VLOOKUP($A35,main!$A$3:$H$102,4,FALSE)+(VLOOKUP(VLOOKUP(BZ$1,main!$A$3:$H$102,8,FALSE),main!$K$19:$O$22,MATCH(VLOOKUP($A35,main!$A$3:$H$102,7,FALSE),main!$K$18:$O$18,0),0))),0)</f>
        <v>0</v>
      </c>
      <c r="CA35">
        <f>IF((gamma!CA35),IF(VLOOKUP(CA$1,main!$A$3:$H$102,7,FALSE)=VLOOKUP($A35,main!$A$3:$H$102,8,FALSE),VLOOKUP(CA$1,main!$A$3:$H$102,4,FALSE),VLOOKUP(CA$1,main!$A$3:$H$102,4,FALSE)+VLOOKUP($A35,main!$A$3:$H$102,4,FALSE)+(VLOOKUP(VLOOKUP(CA$1,main!$A$3:$H$102,8,FALSE),main!$K$19:$O$22,MATCH(VLOOKUP($A35,main!$A$3:$H$102,7,FALSE),main!$K$18:$O$18,0),0))),0)</f>
        <v>0</v>
      </c>
      <c r="CB35">
        <f>IF((gamma!CB35),IF(VLOOKUP(CB$1,main!$A$3:$H$102,7,FALSE)=VLOOKUP($A35,main!$A$3:$H$102,8,FALSE),VLOOKUP(CB$1,main!$A$3:$H$102,4,FALSE),VLOOKUP(CB$1,main!$A$3:$H$102,4,FALSE)+VLOOKUP($A35,main!$A$3:$H$102,4,FALSE)+(VLOOKUP(VLOOKUP(CB$1,main!$A$3:$H$102,8,FALSE),main!$K$19:$O$22,MATCH(VLOOKUP($A35,main!$A$3:$H$102,7,FALSE),main!$K$18:$O$18,0),0))),0)</f>
        <v>240</v>
      </c>
      <c r="CC35">
        <f>IF((gamma!CC35),IF(VLOOKUP(CC$1,main!$A$3:$H$102,7,FALSE)=VLOOKUP($A35,main!$A$3:$H$102,8,FALSE),VLOOKUP(CC$1,main!$A$3:$H$102,4,FALSE),VLOOKUP(CC$1,main!$A$3:$H$102,4,FALSE)+VLOOKUP($A35,main!$A$3:$H$102,4,FALSE)+(VLOOKUP(VLOOKUP(CC$1,main!$A$3:$H$102,8,FALSE),main!$K$19:$O$22,MATCH(VLOOKUP($A35,main!$A$3:$H$102,7,FALSE),main!$K$18:$O$18,0),0))),0)</f>
        <v>230</v>
      </c>
      <c r="CD35">
        <f>IF((gamma!CD35),IF(VLOOKUP(CD$1,main!$A$3:$H$102,7,FALSE)=VLOOKUP($A35,main!$A$3:$H$102,8,FALSE),VLOOKUP(CD$1,main!$A$3:$H$102,4,FALSE),VLOOKUP(CD$1,main!$A$3:$H$102,4,FALSE)+VLOOKUP($A35,main!$A$3:$H$102,4,FALSE)+(VLOOKUP(VLOOKUP(CD$1,main!$A$3:$H$102,8,FALSE),main!$K$19:$O$22,MATCH(VLOOKUP($A35,main!$A$3:$H$102,7,FALSE),main!$K$18:$O$18,0),0))),0)</f>
        <v>0</v>
      </c>
      <c r="CE35">
        <f>IF((gamma!CE35),IF(VLOOKUP(CE$1,main!$A$3:$H$102,7,FALSE)=VLOOKUP($A35,main!$A$3:$H$102,8,FALSE),VLOOKUP(CE$1,main!$A$3:$H$102,4,FALSE),VLOOKUP(CE$1,main!$A$3:$H$102,4,FALSE)+VLOOKUP($A35,main!$A$3:$H$102,4,FALSE)+(VLOOKUP(VLOOKUP(CE$1,main!$A$3:$H$102,8,FALSE),main!$K$19:$O$22,MATCH(VLOOKUP($A35,main!$A$3:$H$102,7,FALSE),main!$K$18:$O$18,0),0))),0)</f>
        <v>0</v>
      </c>
      <c r="CF35">
        <f>IF((gamma!CF35),IF(VLOOKUP(CF$1,main!$A$3:$H$102,7,FALSE)=VLOOKUP($A35,main!$A$3:$H$102,8,FALSE),VLOOKUP(CF$1,main!$A$3:$H$102,4,FALSE),VLOOKUP(CF$1,main!$A$3:$H$102,4,FALSE)+VLOOKUP($A35,main!$A$3:$H$102,4,FALSE)+(VLOOKUP(VLOOKUP(CF$1,main!$A$3:$H$102,8,FALSE),main!$K$19:$O$22,MATCH(VLOOKUP($A35,main!$A$3:$H$102,7,FALSE),main!$K$18:$O$18,0),0))),0)</f>
        <v>0</v>
      </c>
      <c r="CG35">
        <f>IF((gamma!CG35),IF(VLOOKUP(CG$1,main!$A$3:$H$102,7,FALSE)=VLOOKUP($A35,main!$A$3:$H$102,8,FALSE),VLOOKUP(CG$1,main!$A$3:$H$102,4,FALSE),VLOOKUP(CG$1,main!$A$3:$H$102,4,FALSE)+VLOOKUP($A35,main!$A$3:$H$102,4,FALSE)+(VLOOKUP(VLOOKUP(CG$1,main!$A$3:$H$102,8,FALSE),main!$K$19:$O$22,MATCH(VLOOKUP($A35,main!$A$3:$H$102,7,FALSE),main!$K$18:$O$18,0),0))),0)</f>
        <v>0</v>
      </c>
      <c r="CH35">
        <f>IF((gamma!CH35),IF(VLOOKUP(CH$1,main!$A$3:$H$102,7,FALSE)=VLOOKUP($A35,main!$A$3:$H$102,8,FALSE),VLOOKUP(CH$1,main!$A$3:$H$102,4,FALSE),VLOOKUP(CH$1,main!$A$3:$H$102,4,FALSE)+VLOOKUP($A35,main!$A$3:$H$102,4,FALSE)+(VLOOKUP(VLOOKUP(CH$1,main!$A$3:$H$102,8,FALSE),main!$K$19:$O$22,MATCH(VLOOKUP($A35,main!$A$3:$H$102,7,FALSE),main!$K$18:$O$18,0),0))),0)</f>
        <v>300</v>
      </c>
      <c r="CI35">
        <f>IF((gamma!CI35),IF(VLOOKUP(CI$1,main!$A$3:$H$102,7,FALSE)=VLOOKUP($A35,main!$A$3:$H$102,8,FALSE),VLOOKUP(CI$1,main!$A$3:$H$102,4,FALSE),VLOOKUP(CI$1,main!$A$3:$H$102,4,FALSE)+VLOOKUP($A35,main!$A$3:$H$102,4,FALSE)+(VLOOKUP(VLOOKUP(CI$1,main!$A$3:$H$102,8,FALSE),main!$K$19:$O$22,MATCH(VLOOKUP($A35,main!$A$3:$H$102,7,FALSE),main!$K$18:$O$18,0),0))),0)</f>
        <v>300</v>
      </c>
      <c r="CJ35">
        <f>IF((gamma!CJ35),IF(VLOOKUP(CJ$1,main!$A$3:$H$102,7,FALSE)=VLOOKUP($A35,main!$A$3:$H$102,8,FALSE),VLOOKUP(CJ$1,main!$A$3:$H$102,4,FALSE),VLOOKUP(CJ$1,main!$A$3:$H$102,4,FALSE)+VLOOKUP($A35,main!$A$3:$H$102,4,FALSE)+(VLOOKUP(VLOOKUP(CJ$1,main!$A$3:$H$102,8,FALSE),main!$K$19:$O$22,MATCH(VLOOKUP($A35,main!$A$3:$H$102,7,FALSE),main!$K$18:$O$18,0),0))),0)</f>
        <v>0</v>
      </c>
      <c r="CK35">
        <f>IF((gamma!CK35),IF(VLOOKUP(CK$1,main!$A$3:$H$102,7,FALSE)=VLOOKUP($A35,main!$A$3:$H$102,8,FALSE),VLOOKUP(CK$1,main!$A$3:$H$102,4,FALSE),VLOOKUP(CK$1,main!$A$3:$H$102,4,FALSE)+VLOOKUP($A35,main!$A$3:$H$102,4,FALSE)+(VLOOKUP(VLOOKUP(CK$1,main!$A$3:$H$102,8,FALSE),main!$K$19:$O$22,MATCH(VLOOKUP($A35,main!$A$3:$H$102,7,FALSE),main!$K$18:$O$18,0),0))),0)</f>
        <v>0</v>
      </c>
      <c r="CL35">
        <f>IF((gamma!CL35),IF(VLOOKUP(CL$1,main!$A$3:$H$102,7,FALSE)=VLOOKUP($A35,main!$A$3:$H$102,8,FALSE),VLOOKUP(CL$1,main!$A$3:$H$102,4,FALSE),VLOOKUP(CL$1,main!$A$3:$H$102,4,FALSE)+VLOOKUP($A35,main!$A$3:$H$102,4,FALSE)+(VLOOKUP(VLOOKUP(CL$1,main!$A$3:$H$102,8,FALSE),main!$K$19:$O$22,MATCH(VLOOKUP($A35,main!$A$3:$H$102,7,FALSE),main!$K$18:$O$18,0),0))),0)</f>
        <v>0</v>
      </c>
      <c r="CM35">
        <f>IF((gamma!CM35),IF(VLOOKUP(CM$1,main!$A$3:$H$102,7,FALSE)=VLOOKUP($A35,main!$A$3:$H$102,8,FALSE),VLOOKUP(CM$1,main!$A$3:$H$102,4,FALSE),VLOOKUP(CM$1,main!$A$3:$H$102,4,FALSE)+VLOOKUP($A35,main!$A$3:$H$102,4,FALSE)+(VLOOKUP(VLOOKUP(CM$1,main!$A$3:$H$102,8,FALSE),main!$K$19:$O$22,MATCH(VLOOKUP($A35,main!$A$3:$H$102,7,FALSE),main!$K$18:$O$18,0),0))),0)</f>
        <v>260</v>
      </c>
      <c r="CN35">
        <f>IF((gamma!CN35),IF(VLOOKUP(CN$1,main!$A$3:$H$102,7,FALSE)=VLOOKUP($A35,main!$A$3:$H$102,8,FALSE),VLOOKUP(CN$1,main!$A$3:$H$102,4,FALSE),VLOOKUP(CN$1,main!$A$3:$H$102,4,FALSE)+VLOOKUP($A35,main!$A$3:$H$102,4,FALSE)+(VLOOKUP(VLOOKUP(CN$1,main!$A$3:$H$102,8,FALSE),main!$K$19:$O$22,MATCH(VLOOKUP($A35,main!$A$3:$H$102,7,FALSE),main!$K$18:$O$18,0),0))),0)</f>
        <v>256</v>
      </c>
      <c r="CO35">
        <f>IF((gamma!CO35),IF(VLOOKUP(CO$1,main!$A$3:$H$102,7,FALSE)=VLOOKUP($A35,main!$A$3:$H$102,8,FALSE),VLOOKUP(CO$1,main!$A$3:$H$102,4,FALSE),VLOOKUP(CO$1,main!$A$3:$H$102,4,FALSE)+VLOOKUP($A35,main!$A$3:$H$102,4,FALSE)+(VLOOKUP(VLOOKUP(CO$1,main!$A$3:$H$102,8,FALSE),main!$K$19:$O$22,MATCH(VLOOKUP($A35,main!$A$3:$H$102,7,FALSE),main!$K$18:$O$18,0),0))),0)</f>
        <v>0</v>
      </c>
      <c r="CP35">
        <f>IF((gamma!CP35),IF(VLOOKUP(CP$1,main!$A$3:$H$102,7,FALSE)=VLOOKUP($A35,main!$A$3:$H$102,8,FALSE),VLOOKUP(CP$1,main!$A$3:$H$102,4,FALSE),VLOOKUP(CP$1,main!$A$3:$H$102,4,FALSE)+VLOOKUP($A35,main!$A$3:$H$102,4,FALSE)+(VLOOKUP(VLOOKUP(CP$1,main!$A$3:$H$102,8,FALSE),main!$K$19:$O$22,MATCH(VLOOKUP($A35,main!$A$3:$H$102,7,FALSE),main!$K$18:$O$18,0),0))),0)</f>
        <v>0</v>
      </c>
      <c r="CQ35">
        <f>IF((gamma!CQ35),IF(VLOOKUP(CQ$1,main!$A$3:$H$102,7,FALSE)=VLOOKUP($A35,main!$A$3:$H$102,8,FALSE),VLOOKUP(CQ$1,main!$A$3:$H$102,4,FALSE),VLOOKUP(CQ$1,main!$A$3:$H$102,4,FALSE)+VLOOKUP($A35,main!$A$3:$H$102,4,FALSE)+(VLOOKUP(VLOOKUP(CQ$1,main!$A$3:$H$102,8,FALSE),main!$K$19:$O$22,MATCH(VLOOKUP($A35,main!$A$3:$H$102,7,FALSE),main!$K$18:$O$18,0),0))),0)</f>
        <v>0</v>
      </c>
      <c r="CR35">
        <f>IF((gamma!CR35),IF(VLOOKUP(CR$1,main!$A$3:$H$102,7,FALSE)=VLOOKUP($A35,main!$A$3:$H$102,8,FALSE),VLOOKUP(CR$1,main!$A$3:$H$102,4,FALSE),VLOOKUP(CR$1,main!$A$3:$H$102,4,FALSE)+VLOOKUP($A35,main!$A$3:$H$102,4,FALSE)+(VLOOKUP(VLOOKUP(CR$1,main!$A$3:$H$102,8,FALSE),main!$K$19:$O$22,MATCH(VLOOKUP($A35,main!$A$3:$H$102,7,FALSE),main!$K$18:$O$18,0),0))),0)</f>
        <v>298</v>
      </c>
      <c r="CS35">
        <f>IF((gamma!CS35),IF(VLOOKUP(CS$1,main!$A$3:$H$102,7,FALSE)=VLOOKUP($A35,main!$A$3:$H$102,8,FALSE),VLOOKUP(CS$1,main!$A$3:$H$102,4,FALSE),VLOOKUP(CS$1,main!$A$3:$H$102,4,FALSE)+VLOOKUP($A35,main!$A$3:$H$102,4,FALSE)+(VLOOKUP(VLOOKUP(CS$1,main!$A$3:$H$102,8,FALSE),main!$K$19:$O$22,MATCH(VLOOKUP($A35,main!$A$3:$H$102,7,FALSE),main!$K$18:$O$18,0),0))),0)</f>
        <v>298</v>
      </c>
      <c r="CT35">
        <f>IF((gamma!CT35),IF(VLOOKUP(CT$1,main!$A$3:$H$102,7,FALSE)=VLOOKUP($A35,main!$A$3:$H$102,8,FALSE),VLOOKUP(CT$1,main!$A$3:$H$102,4,FALSE),VLOOKUP(CT$1,main!$A$3:$H$102,4,FALSE)+VLOOKUP($A35,main!$A$3:$H$102,4,FALSE)+(VLOOKUP(VLOOKUP(CT$1,main!$A$3:$H$102,8,FALSE),main!$K$19:$O$22,MATCH(VLOOKUP($A35,main!$A$3:$H$102,7,FALSE),main!$K$18:$O$18,0),0))),0)</f>
        <v>0</v>
      </c>
      <c r="CU35">
        <f>IF((gamma!CU35),IF(VLOOKUP(CU$1,main!$A$3:$H$102,7,FALSE)=VLOOKUP($A35,main!$A$3:$H$102,8,FALSE),VLOOKUP(CU$1,main!$A$3:$H$102,4,FALSE),VLOOKUP(CU$1,main!$A$3:$H$102,4,FALSE)+VLOOKUP($A35,main!$A$3:$H$102,4,FALSE)+(VLOOKUP(VLOOKUP(CU$1,main!$A$3:$H$102,8,FALSE),main!$K$19:$O$22,MATCH(VLOOKUP($A35,main!$A$3:$H$102,7,FALSE),main!$K$18:$O$18,0),0))),0)</f>
        <v>0</v>
      </c>
      <c r="CV35">
        <f>IF((gamma!CV35),IF(VLOOKUP(CV$1,main!$A$3:$H$102,7,FALSE)=VLOOKUP($A35,main!$A$3:$H$102,8,FALSE),VLOOKUP(CV$1,main!$A$3:$H$102,4,FALSE),VLOOKUP(CV$1,main!$A$3:$H$102,4,FALSE)+VLOOKUP($A35,main!$A$3:$H$102,4,FALSE)+(VLOOKUP(VLOOKUP(CV$1,main!$A$3:$H$102,8,FALSE),main!$K$19:$O$22,MATCH(VLOOKUP($A35,main!$A$3:$H$102,7,FALSE),main!$K$18:$O$18,0),0))),0)</f>
        <v>0</v>
      </c>
      <c r="CW35">
        <f>IF((gamma!CW35),IF(VLOOKUP(CW$1,main!$A$3:$H$102,7,FALSE)=VLOOKUP($A35,main!$A$3:$H$102,8,FALSE),VLOOKUP(CW$1,main!$A$3:$H$102,4,FALSE),VLOOKUP(CW$1,main!$A$3:$H$102,4,FALSE)+VLOOKUP($A35,main!$A$3:$H$102,4,FALSE)+(VLOOKUP(VLOOKUP(CW$1,main!$A$3:$H$102,8,FALSE),main!$K$19:$O$22,MATCH(VLOOKUP($A35,main!$A$3:$H$102,7,FALSE),main!$K$18:$O$18,0),0))),0)</f>
        <v>258</v>
      </c>
      <c r="CX35">
        <f>IF((gamma!CX35),IF(VLOOKUP(CX$1,main!$A$3:$H$102,7,FALSE)=VLOOKUP($A35,main!$A$3:$H$102,8,FALSE),VLOOKUP(CX$1,main!$A$3:$H$102,4,FALSE),VLOOKUP(CX$1,main!$A$3:$H$102,4,FALSE)+VLOOKUP($A35,main!$A$3:$H$102,4,FALSE)+(VLOOKUP(VLOOKUP(CX$1,main!$A$3:$H$102,8,FALSE),main!$K$19:$O$22,MATCH(VLOOKUP($A35,main!$A$3:$H$102,7,FALSE),main!$K$18:$O$18,0),0))),0)</f>
        <v>248</v>
      </c>
      <c r="CY35">
        <v>0</v>
      </c>
      <c r="CZ35">
        <v>0</v>
      </c>
      <c r="DA35">
        <v>0</v>
      </c>
    </row>
    <row r="36" spans="1:105" x14ac:dyDescent="0.25">
      <c r="A36" s="1">
        <v>34</v>
      </c>
      <c r="B36">
        <v>0</v>
      </c>
      <c r="C36">
        <f>IF((gamma!C36),IF(VLOOKUP(C$1,main!$A$3:$H$102,7,FALSE)=VLOOKUP($A36,main!$A$3:$H$102,8,FALSE),VLOOKUP(C$1,main!$A$3:$H$102,4,FALSE),VLOOKUP(C$1,main!$A$3:$H$102,4,FALSE)+VLOOKUP($A36,main!$A$3:$H$102,4,FALSE)+(VLOOKUP(VLOOKUP(C$1,main!$A$3:$H$102,8,FALSE),main!$K$19:$O$22,MATCH(VLOOKUP($A36,main!$A$3:$H$102,7,FALSE),main!$K$18:$O$18,0),0))),0)</f>
        <v>0</v>
      </c>
      <c r="D36">
        <f>IF((gamma!D36),IF(VLOOKUP(D$1,main!$A$3:$H$102,7,FALSE)=VLOOKUP($A36,main!$A$3:$H$102,8,FALSE),VLOOKUP(D$1,main!$A$3:$H$102,4,FALSE),VLOOKUP(D$1,main!$A$3:$H$102,4,FALSE)+VLOOKUP($A36,main!$A$3:$H$102,4,FALSE)+(VLOOKUP(VLOOKUP(D$1,main!$A$3:$H$102,8,FALSE),main!$K$19:$O$22,MATCH(VLOOKUP($A36,main!$A$3:$H$102,7,FALSE),main!$K$18:$O$18,0),0))),0)</f>
        <v>0</v>
      </c>
      <c r="E36">
        <f>IF((gamma!E36),IF(VLOOKUP(E$1,main!$A$3:$H$102,7,FALSE)=VLOOKUP($A36,main!$A$3:$H$102,8,FALSE),VLOOKUP(E$1,main!$A$3:$H$102,4,FALSE),VLOOKUP(E$1,main!$A$3:$H$102,4,FALSE)+VLOOKUP($A36,main!$A$3:$H$102,4,FALSE)+(VLOOKUP(VLOOKUP(E$1,main!$A$3:$H$102,8,FALSE),main!$K$19:$O$22,MATCH(VLOOKUP($A36,main!$A$3:$H$102,7,FALSE),main!$K$18:$O$18,0),0))),0)</f>
        <v>0</v>
      </c>
      <c r="F36">
        <f>IF((gamma!F36),IF(VLOOKUP(F$1,main!$A$3:$H$102,7,FALSE)=VLOOKUP($A36,main!$A$3:$H$102,8,FALSE),VLOOKUP(F$1,main!$A$3:$H$102,4,FALSE),VLOOKUP(F$1,main!$A$3:$H$102,4,FALSE)+VLOOKUP($A36,main!$A$3:$H$102,4,FALSE)+(VLOOKUP(VLOOKUP(F$1,main!$A$3:$H$102,8,FALSE),main!$K$19:$O$22,MATCH(VLOOKUP($A36,main!$A$3:$H$102,7,FALSE),main!$K$18:$O$18,0),0))),0)</f>
        <v>0</v>
      </c>
      <c r="G36">
        <f>IF((gamma!G36),IF(VLOOKUP(G$1,main!$A$3:$H$102,7,FALSE)=VLOOKUP($A36,main!$A$3:$H$102,8,FALSE),VLOOKUP(G$1,main!$A$3:$H$102,4,FALSE),VLOOKUP(G$1,main!$A$3:$H$102,4,FALSE)+VLOOKUP($A36,main!$A$3:$H$102,4,FALSE)+(VLOOKUP(VLOOKUP(G$1,main!$A$3:$H$102,8,FALSE),main!$K$19:$O$22,MATCH(VLOOKUP($A36,main!$A$3:$H$102,7,FALSE),main!$K$18:$O$18,0),0))),0)</f>
        <v>0</v>
      </c>
      <c r="H36">
        <f>IF((gamma!H36),IF(VLOOKUP(H$1,main!$A$3:$H$102,7,FALSE)=VLOOKUP($A36,main!$A$3:$H$102,8,FALSE),VLOOKUP(H$1,main!$A$3:$H$102,4,FALSE),VLOOKUP(H$1,main!$A$3:$H$102,4,FALSE)+VLOOKUP($A36,main!$A$3:$H$102,4,FALSE)+(VLOOKUP(VLOOKUP(H$1,main!$A$3:$H$102,8,FALSE),main!$K$19:$O$22,MATCH(VLOOKUP($A36,main!$A$3:$H$102,7,FALSE),main!$K$18:$O$18,0),0))),0)</f>
        <v>0</v>
      </c>
      <c r="I36">
        <f>IF((gamma!I36),IF(VLOOKUP(I$1,main!$A$3:$H$102,7,FALSE)=VLOOKUP($A36,main!$A$3:$H$102,8,FALSE),VLOOKUP(I$1,main!$A$3:$H$102,4,FALSE),VLOOKUP(I$1,main!$A$3:$H$102,4,FALSE)+VLOOKUP($A36,main!$A$3:$H$102,4,FALSE)+(VLOOKUP(VLOOKUP(I$1,main!$A$3:$H$102,8,FALSE),main!$K$19:$O$22,MATCH(VLOOKUP($A36,main!$A$3:$H$102,7,FALSE),main!$K$18:$O$18,0),0))),0)</f>
        <v>135</v>
      </c>
      <c r="J36">
        <f>IF((gamma!J36),IF(VLOOKUP(J$1,main!$A$3:$H$102,7,FALSE)=VLOOKUP($A36,main!$A$3:$H$102,8,FALSE),VLOOKUP(J$1,main!$A$3:$H$102,4,FALSE),VLOOKUP(J$1,main!$A$3:$H$102,4,FALSE)+VLOOKUP($A36,main!$A$3:$H$102,4,FALSE)+(VLOOKUP(VLOOKUP(J$1,main!$A$3:$H$102,8,FALSE),main!$K$19:$O$22,MATCH(VLOOKUP($A36,main!$A$3:$H$102,7,FALSE),main!$K$18:$O$18,0),0))),0)</f>
        <v>135</v>
      </c>
      <c r="K36">
        <f>IF((gamma!K36),IF(VLOOKUP(K$1,main!$A$3:$H$102,7,FALSE)=VLOOKUP($A36,main!$A$3:$H$102,8,FALSE),VLOOKUP(K$1,main!$A$3:$H$102,4,FALSE),VLOOKUP(K$1,main!$A$3:$H$102,4,FALSE)+VLOOKUP($A36,main!$A$3:$H$102,4,FALSE)+(VLOOKUP(VLOOKUP(K$1,main!$A$3:$H$102,8,FALSE),main!$K$19:$O$22,MATCH(VLOOKUP($A36,main!$A$3:$H$102,7,FALSE),main!$K$18:$O$18,0),0))),0)</f>
        <v>135</v>
      </c>
      <c r="L36">
        <f>IF((gamma!L36),IF(VLOOKUP(L$1,main!$A$3:$H$102,7,FALSE)=VLOOKUP($A36,main!$A$3:$H$102,8,FALSE),VLOOKUP(L$1,main!$A$3:$H$102,4,FALSE),VLOOKUP(L$1,main!$A$3:$H$102,4,FALSE)+VLOOKUP($A36,main!$A$3:$H$102,4,FALSE)+(VLOOKUP(VLOOKUP(L$1,main!$A$3:$H$102,8,FALSE),main!$K$19:$O$22,MATCH(VLOOKUP($A36,main!$A$3:$H$102,7,FALSE),main!$K$18:$O$18,0),0))),0)</f>
        <v>135</v>
      </c>
      <c r="M36">
        <f>IF((gamma!M36),IF(VLOOKUP(M$1,main!$A$3:$H$102,7,FALSE)=VLOOKUP($A36,main!$A$3:$H$102,8,FALSE),VLOOKUP(M$1,main!$A$3:$H$102,4,FALSE),VLOOKUP(M$1,main!$A$3:$H$102,4,FALSE)+VLOOKUP($A36,main!$A$3:$H$102,4,FALSE)+(VLOOKUP(VLOOKUP(M$1,main!$A$3:$H$102,8,FALSE),main!$K$19:$O$22,MATCH(VLOOKUP($A36,main!$A$3:$H$102,7,FALSE),main!$K$18:$O$18,0),0))),0)</f>
        <v>0</v>
      </c>
      <c r="N36">
        <f>IF((gamma!N36),IF(VLOOKUP(N$1,main!$A$3:$H$102,7,FALSE)=VLOOKUP($A36,main!$A$3:$H$102,8,FALSE),VLOOKUP(N$1,main!$A$3:$H$102,4,FALSE),VLOOKUP(N$1,main!$A$3:$H$102,4,FALSE)+VLOOKUP($A36,main!$A$3:$H$102,4,FALSE)+(VLOOKUP(VLOOKUP(N$1,main!$A$3:$H$102,8,FALSE),main!$K$19:$O$22,MATCH(VLOOKUP($A36,main!$A$3:$H$102,7,FALSE),main!$K$18:$O$18,0),0))),0)</f>
        <v>0</v>
      </c>
      <c r="O36">
        <f>IF((gamma!O36),IF(VLOOKUP(O$1,main!$A$3:$H$102,7,FALSE)=VLOOKUP($A36,main!$A$3:$H$102,8,FALSE),VLOOKUP(O$1,main!$A$3:$H$102,4,FALSE),VLOOKUP(O$1,main!$A$3:$H$102,4,FALSE)+VLOOKUP($A36,main!$A$3:$H$102,4,FALSE)+(VLOOKUP(VLOOKUP(O$1,main!$A$3:$H$102,8,FALSE),main!$K$19:$O$22,MATCH(VLOOKUP($A36,main!$A$3:$H$102,7,FALSE),main!$K$18:$O$18,0),0))),0)</f>
        <v>0</v>
      </c>
      <c r="P36">
        <f>IF((gamma!P36),IF(VLOOKUP(P$1,main!$A$3:$H$102,7,FALSE)=VLOOKUP($A36,main!$A$3:$H$102,8,FALSE),VLOOKUP(P$1,main!$A$3:$H$102,4,FALSE),VLOOKUP(P$1,main!$A$3:$H$102,4,FALSE)+VLOOKUP($A36,main!$A$3:$H$102,4,FALSE)+(VLOOKUP(VLOOKUP(P$1,main!$A$3:$H$102,8,FALSE),main!$K$19:$O$22,MATCH(VLOOKUP($A36,main!$A$3:$H$102,7,FALSE),main!$K$18:$O$18,0),0))),0)</f>
        <v>0</v>
      </c>
      <c r="Q36">
        <f>IF((gamma!Q36),IF(VLOOKUP(Q$1,main!$A$3:$H$102,7,FALSE)=VLOOKUP($A36,main!$A$3:$H$102,8,FALSE),VLOOKUP(Q$1,main!$A$3:$H$102,4,FALSE),VLOOKUP(Q$1,main!$A$3:$H$102,4,FALSE)+VLOOKUP($A36,main!$A$3:$H$102,4,FALSE)+(VLOOKUP(VLOOKUP(Q$1,main!$A$3:$H$102,8,FALSE),main!$K$19:$O$22,MATCH(VLOOKUP($A36,main!$A$3:$H$102,7,FALSE),main!$K$18:$O$18,0),0))),0)</f>
        <v>0</v>
      </c>
      <c r="R36">
        <f>IF((gamma!R36),IF(VLOOKUP(R$1,main!$A$3:$H$102,7,FALSE)=VLOOKUP($A36,main!$A$3:$H$102,8,FALSE),VLOOKUP(R$1,main!$A$3:$H$102,4,FALSE),VLOOKUP(R$1,main!$A$3:$H$102,4,FALSE)+VLOOKUP($A36,main!$A$3:$H$102,4,FALSE)+(VLOOKUP(VLOOKUP(R$1,main!$A$3:$H$102,8,FALSE),main!$K$19:$O$22,MATCH(VLOOKUP($A36,main!$A$3:$H$102,7,FALSE),main!$K$18:$O$18,0),0))),0)</f>
        <v>0</v>
      </c>
      <c r="S36">
        <f>IF((gamma!S36),IF(VLOOKUP(S$1,main!$A$3:$H$102,7,FALSE)=VLOOKUP($A36,main!$A$3:$H$102,8,FALSE),VLOOKUP(S$1,main!$A$3:$H$102,4,FALSE),VLOOKUP(S$1,main!$A$3:$H$102,4,FALSE)+VLOOKUP($A36,main!$A$3:$H$102,4,FALSE)+(VLOOKUP(VLOOKUP(S$1,main!$A$3:$H$102,8,FALSE),main!$K$19:$O$22,MATCH(VLOOKUP($A36,main!$A$3:$H$102,7,FALSE),main!$K$18:$O$18,0),0))),0)</f>
        <v>0</v>
      </c>
      <c r="T36">
        <f>IF((gamma!T36),IF(VLOOKUP(T$1,main!$A$3:$H$102,7,FALSE)=VLOOKUP($A36,main!$A$3:$H$102,8,FALSE),VLOOKUP(T$1,main!$A$3:$H$102,4,FALSE),VLOOKUP(T$1,main!$A$3:$H$102,4,FALSE)+VLOOKUP($A36,main!$A$3:$H$102,4,FALSE)+(VLOOKUP(VLOOKUP(T$1,main!$A$3:$H$102,8,FALSE),main!$K$19:$O$22,MATCH(VLOOKUP($A36,main!$A$3:$H$102,7,FALSE),main!$K$18:$O$18,0),0))),0)</f>
        <v>140</v>
      </c>
      <c r="U36">
        <f>IF((gamma!U36),IF(VLOOKUP(U$1,main!$A$3:$H$102,7,FALSE)=VLOOKUP($A36,main!$A$3:$H$102,8,FALSE),VLOOKUP(U$1,main!$A$3:$H$102,4,FALSE),VLOOKUP(U$1,main!$A$3:$H$102,4,FALSE)+VLOOKUP($A36,main!$A$3:$H$102,4,FALSE)+(VLOOKUP(VLOOKUP(U$1,main!$A$3:$H$102,8,FALSE),main!$K$19:$O$22,MATCH(VLOOKUP($A36,main!$A$3:$H$102,7,FALSE),main!$K$18:$O$18,0),0))),0)</f>
        <v>140</v>
      </c>
      <c r="V36">
        <f>IF((gamma!V36),IF(VLOOKUP(V$1,main!$A$3:$H$102,7,FALSE)=VLOOKUP($A36,main!$A$3:$H$102,8,FALSE),VLOOKUP(V$1,main!$A$3:$H$102,4,FALSE),VLOOKUP(V$1,main!$A$3:$H$102,4,FALSE)+VLOOKUP($A36,main!$A$3:$H$102,4,FALSE)+(VLOOKUP(VLOOKUP(V$1,main!$A$3:$H$102,8,FALSE),main!$K$19:$O$22,MATCH(VLOOKUP($A36,main!$A$3:$H$102,7,FALSE),main!$K$18:$O$18,0),0))),0)</f>
        <v>140</v>
      </c>
      <c r="W36">
        <f>IF((gamma!W36),IF(VLOOKUP(W$1,main!$A$3:$H$102,7,FALSE)=VLOOKUP($A36,main!$A$3:$H$102,8,FALSE),VLOOKUP(W$1,main!$A$3:$H$102,4,FALSE),VLOOKUP(W$1,main!$A$3:$H$102,4,FALSE)+VLOOKUP($A36,main!$A$3:$H$102,4,FALSE)+(VLOOKUP(VLOOKUP(W$1,main!$A$3:$H$102,8,FALSE),main!$K$19:$O$22,MATCH(VLOOKUP($A36,main!$A$3:$H$102,7,FALSE),main!$K$18:$O$18,0),0))),0)</f>
        <v>0</v>
      </c>
      <c r="X36">
        <f>IF((gamma!X36),IF(VLOOKUP(X$1,main!$A$3:$H$102,7,FALSE)=VLOOKUP($A36,main!$A$3:$H$102,8,FALSE),VLOOKUP(X$1,main!$A$3:$H$102,4,FALSE),VLOOKUP(X$1,main!$A$3:$H$102,4,FALSE)+VLOOKUP($A36,main!$A$3:$H$102,4,FALSE)+(VLOOKUP(VLOOKUP(X$1,main!$A$3:$H$102,8,FALSE),main!$K$19:$O$22,MATCH(VLOOKUP($A36,main!$A$3:$H$102,7,FALSE),main!$K$18:$O$18,0),0))),0)</f>
        <v>0</v>
      </c>
      <c r="Y36">
        <f>IF((gamma!Y36),IF(VLOOKUP(Y$1,main!$A$3:$H$102,7,FALSE)=VLOOKUP($A36,main!$A$3:$H$102,8,FALSE),VLOOKUP(Y$1,main!$A$3:$H$102,4,FALSE),VLOOKUP(Y$1,main!$A$3:$H$102,4,FALSE)+VLOOKUP($A36,main!$A$3:$H$102,4,FALSE)+(VLOOKUP(VLOOKUP(Y$1,main!$A$3:$H$102,8,FALSE),main!$K$19:$O$22,MATCH(VLOOKUP($A36,main!$A$3:$H$102,7,FALSE),main!$K$18:$O$18,0),0))),0)</f>
        <v>0</v>
      </c>
      <c r="Z36">
        <f>IF((gamma!Z36),IF(VLOOKUP(Z$1,main!$A$3:$H$102,7,FALSE)=VLOOKUP($A36,main!$A$3:$H$102,8,FALSE),VLOOKUP(Z$1,main!$A$3:$H$102,4,FALSE),VLOOKUP(Z$1,main!$A$3:$H$102,4,FALSE)+VLOOKUP($A36,main!$A$3:$H$102,4,FALSE)+(VLOOKUP(VLOOKUP(Z$1,main!$A$3:$H$102,8,FALSE),main!$K$19:$O$22,MATCH(VLOOKUP($A36,main!$A$3:$H$102,7,FALSE),main!$K$18:$O$18,0),0))),0)</f>
        <v>140</v>
      </c>
      <c r="AA36">
        <f>IF((gamma!AA36),IF(VLOOKUP(AA$1,main!$A$3:$H$102,7,FALSE)=VLOOKUP($A36,main!$A$3:$H$102,8,FALSE),VLOOKUP(AA$1,main!$A$3:$H$102,4,FALSE),VLOOKUP(AA$1,main!$A$3:$H$102,4,FALSE)+VLOOKUP($A36,main!$A$3:$H$102,4,FALSE)+(VLOOKUP(VLOOKUP(AA$1,main!$A$3:$H$102,8,FALSE),main!$K$19:$O$22,MATCH(VLOOKUP($A36,main!$A$3:$H$102,7,FALSE),main!$K$18:$O$18,0),0))),0)</f>
        <v>140</v>
      </c>
      <c r="AB36">
        <f>IF((gamma!AB36),IF(VLOOKUP(AB$1,main!$A$3:$H$102,7,FALSE)=VLOOKUP($A36,main!$A$3:$H$102,8,FALSE),VLOOKUP(AB$1,main!$A$3:$H$102,4,FALSE),VLOOKUP(AB$1,main!$A$3:$H$102,4,FALSE)+VLOOKUP($A36,main!$A$3:$H$102,4,FALSE)+(VLOOKUP(VLOOKUP(AB$1,main!$A$3:$H$102,8,FALSE),main!$K$19:$O$22,MATCH(VLOOKUP($A36,main!$A$3:$H$102,7,FALSE),main!$K$18:$O$18,0),0))),0)</f>
        <v>0</v>
      </c>
      <c r="AC36">
        <f>IF((gamma!AC36),IF(VLOOKUP(AC$1,main!$A$3:$H$102,7,FALSE)=VLOOKUP($A36,main!$A$3:$H$102,8,FALSE),VLOOKUP(AC$1,main!$A$3:$H$102,4,FALSE),VLOOKUP(AC$1,main!$A$3:$H$102,4,FALSE)+VLOOKUP($A36,main!$A$3:$H$102,4,FALSE)+(VLOOKUP(VLOOKUP(AC$1,main!$A$3:$H$102,8,FALSE),main!$K$19:$O$22,MATCH(VLOOKUP($A36,main!$A$3:$H$102,7,FALSE),main!$K$18:$O$18,0),0))),0)</f>
        <v>0</v>
      </c>
      <c r="AD36">
        <f>IF((gamma!AD36),IF(VLOOKUP(AD$1,main!$A$3:$H$102,7,FALSE)=VLOOKUP($A36,main!$A$3:$H$102,8,FALSE),VLOOKUP(AD$1,main!$A$3:$H$102,4,FALSE),VLOOKUP(AD$1,main!$A$3:$H$102,4,FALSE)+VLOOKUP($A36,main!$A$3:$H$102,4,FALSE)+(VLOOKUP(VLOOKUP(AD$1,main!$A$3:$H$102,8,FALSE),main!$K$19:$O$22,MATCH(VLOOKUP($A36,main!$A$3:$H$102,7,FALSE),main!$K$18:$O$18,0),0))),0)</f>
        <v>0</v>
      </c>
      <c r="AE36">
        <f>IF((gamma!AE36),IF(VLOOKUP(AE$1,main!$A$3:$H$102,7,FALSE)=VLOOKUP($A36,main!$A$3:$H$102,8,FALSE),VLOOKUP(AE$1,main!$A$3:$H$102,4,FALSE),VLOOKUP(AE$1,main!$A$3:$H$102,4,FALSE)+VLOOKUP($A36,main!$A$3:$H$102,4,FALSE)+(VLOOKUP(VLOOKUP(AE$1,main!$A$3:$H$102,8,FALSE),main!$K$19:$O$22,MATCH(VLOOKUP($A36,main!$A$3:$H$102,7,FALSE),main!$K$18:$O$18,0),0))),0)</f>
        <v>0</v>
      </c>
      <c r="AF36">
        <f>IF((gamma!AF36),IF(VLOOKUP(AF$1,main!$A$3:$H$102,7,FALSE)=VLOOKUP($A36,main!$A$3:$H$102,8,FALSE),VLOOKUP(AF$1,main!$A$3:$H$102,4,FALSE),VLOOKUP(AF$1,main!$A$3:$H$102,4,FALSE)+VLOOKUP($A36,main!$A$3:$H$102,4,FALSE)+(VLOOKUP(VLOOKUP(AF$1,main!$A$3:$H$102,8,FALSE),main!$K$19:$O$22,MATCH(VLOOKUP($A36,main!$A$3:$H$102,7,FALSE),main!$K$18:$O$18,0),0))),0)</f>
        <v>100</v>
      </c>
      <c r="AG36">
        <f>IF((gamma!AG36),IF(VLOOKUP(AG$1,main!$A$3:$H$102,7,FALSE)=VLOOKUP($A36,main!$A$3:$H$102,8,FALSE),VLOOKUP(AG$1,main!$A$3:$H$102,4,FALSE),VLOOKUP(AG$1,main!$A$3:$H$102,4,FALSE)+VLOOKUP($A36,main!$A$3:$H$102,4,FALSE)+(VLOOKUP(VLOOKUP(AG$1,main!$A$3:$H$102,8,FALSE),main!$K$19:$O$22,MATCH(VLOOKUP($A36,main!$A$3:$H$102,7,FALSE),main!$K$18:$O$18,0),0))),0)</f>
        <v>0</v>
      </c>
      <c r="AH36">
        <f>IF((gamma!AH36),IF(VLOOKUP(AH$1,main!$A$3:$H$102,7,FALSE)=VLOOKUP($A36,main!$A$3:$H$102,8,FALSE),VLOOKUP(AH$1,main!$A$3:$H$102,4,FALSE),VLOOKUP(AH$1,main!$A$3:$H$102,4,FALSE)+VLOOKUP($A36,main!$A$3:$H$102,4,FALSE)+(VLOOKUP(VLOOKUP(AH$1,main!$A$3:$H$102,8,FALSE),main!$K$19:$O$22,MATCH(VLOOKUP($A36,main!$A$3:$H$102,7,FALSE),main!$K$18:$O$18,0),0))),0)</f>
        <v>0</v>
      </c>
      <c r="AI36">
        <f>IF((gamma!AI36),IF(VLOOKUP(AI$1,main!$A$3:$H$102,7,FALSE)=VLOOKUP($A36,main!$A$3:$H$102,8,FALSE),VLOOKUP(AI$1,main!$A$3:$H$102,4,FALSE),VLOOKUP(AI$1,main!$A$3:$H$102,4,FALSE)+VLOOKUP($A36,main!$A$3:$H$102,4,FALSE)+(VLOOKUP(VLOOKUP(AI$1,main!$A$3:$H$102,8,FALSE),main!$K$19:$O$22,MATCH(VLOOKUP($A36,main!$A$3:$H$102,7,FALSE),main!$K$18:$O$18,0),0))),0)</f>
        <v>0</v>
      </c>
      <c r="AJ36">
        <f>IF((gamma!AJ36),IF(VLOOKUP(AJ$1,main!$A$3:$H$102,7,FALSE)=VLOOKUP($A36,main!$A$3:$H$102,8,FALSE),VLOOKUP(AJ$1,main!$A$3:$H$102,4,FALSE),VLOOKUP(AJ$1,main!$A$3:$H$102,4,FALSE)+VLOOKUP($A36,main!$A$3:$H$102,4,FALSE)+(VLOOKUP(VLOOKUP(AJ$1,main!$A$3:$H$102,8,FALSE),main!$K$19:$O$22,MATCH(VLOOKUP($A36,main!$A$3:$H$102,7,FALSE),main!$K$18:$O$18,0),0))),0)</f>
        <v>0</v>
      </c>
      <c r="AK36">
        <f>IF((gamma!AK36),IF(VLOOKUP(AK$1,main!$A$3:$H$102,7,FALSE)=VLOOKUP($A36,main!$A$3:$H$102,8,FALSE),VLOOKUP(AK$1,main!$A$3:$H$102,4,FALSE),VLOOKUP(AK$1,main!$A$3:$H$102,4,FALSE)+VLOOKUP($A36,main!$A$3:$H$102,4,FALSE)+(VLOOKUP(VLOOKUP(AK$1,main!$A$3:$H$102,8,FALSE),main!$K$19:$O$22,MATCH(VLOOKUP($A36,main!$A$3:$H$102,7,FALSE),main!$K$18:$O$18,0),0))),0)</f>
        <v>0</v>
      </c>
      <c r="AL36">
        <f>IF((gamma!AL36),IF(VLOOKUP(AL$1,main!$A$3:$H$102,7,FALSE)=VLOOKUP($A36,main!$A$3:$H$102,8,FALSE),VLOOKUP(AL$1,main!$A$3:$H$102,4,FALSE),VLOOKUP(AL$1,main!$A$3:$H$102,4,FALSE)+VLOOKUP($A36,main!$A$3:$H$102,4,FALSE)+(VLOOKUP(VLOOKUP(AL$1,main!$A$3:$H$102,8,FALSE),main!$K$19:$O$22,MATCH(VLOOKUP($A36,main!$A$3:$H$102,7,FALSE),main!$K$18:$O$18,0),0))),0)</f>
        <v>295</v>
      </c>
      <c r="AM36">
        <f>IF((gamma!AM36),IF(VLOOKUP(AM$1,main!$A$3:$H$102,7,FALSE)=VLOOKUP($A36,main!$A$3:$H$102,8,FALSE),VLOOKUP(AM$1,main!$A$3:$H$102,4,FALSE),VLOOKUP(AM$1,main!$A$3:$H$102,4,FALSE)+VLOOKUP($A36,main!$A$3:$H$102,4,FALSE)+(VLOOKUP(VLOOKUP(AM$1,main!$A$3:$H$102,8,FALSE),main!$K$19:$O$22,MATCH(VLOOKUP($A36,main!$A$3:$H$102,7,FALSE),main!$K$18:$O$18,0),0))),0)</f>
        <v>295</v>
      </c>
      <c r="AN36">
        <f>IF((gamma!AN36),IF(VLOOKUP(AN$1,main!$A$3:$H$102,7,FALSE)=VLOOKUP($A36,main!$A$3:$H$102,8,FALSE),VLOOKUP(AN$1,main!$A$3:$H$102,4,FALSE),VLOOKUP(AN$1,main!$A$3:$H$102,4,FALSE)+VLOOKUP($A36,main!$A$3:$H$102,4,FALSE)+(VLOOKUP(VLOOKUP(AN$1,main!$A$3:$H$102,8,FALSE),main!$K$19:$O$22,MATCH(VLOOKUP($A36,main!$A$3:$H$102,7,FALSE),main!$K$18:$O$18,0),0))),0)</f>
        <v>295</v>
      </c>
      <c r="AO36">
        <f>IF((gamma!AO36),IF(VLOOKUP(AO$1,main!$A$3:$H$102,7,FALSE)=VLOOKUP($A36,main!$A$3:$H$102,8,FALSE),VLOOKUP(AO$1,main!$A$3:$H$102,4,FALSE),VLOOKUP(AO$1,main!$A$3:$H$102,4,FALSE)+VLOOKUP($A36,main!$A$3:$H$102,4,FALSE)+(VLOOKUP(VLOOKUP(AO$1,main!$A$3:$H$102,8,FALSE),main!$K$19:$O$22,MATCH(VLOOKUP($A36,main!$A$3:$H$102,7,FALSE),main!$K$18:$O$18,0),0))),0)</f>
        <v>0</v>
      </c>
      <c r="AP36">
        <f>IF((gamma!AP36),IF(VLOOKUP(AP$1,main!$A$3:$H$102,7,FALSE)=VLOOKUP($A36,main!$A$3:$H$102,8,FALSE),VLOOKUP(AP$1,main!$A$3:$H$102,4,FALSE),VLOOKUP(AP$1,main!$A$3:$H$102,4,FALSE)+VLOOKUP($A36,main!$A$3:$H$102,4,FALSE)+(VLOOKUP(VLOOKUP(AP$1,main!$A$3:$H$102,8,FALSE),main!$K$19:$O$22,MATCH(VLOOKUP($A36,main!$A$3:$H$102,7,FALSE),main!$K$18:$O$18,0),0))),0)</f>
        <v>235</v>
      </c>
      <c r="AQ36">
        <f>IF((gamma!AQ36),IF(VLOOKUP(AQ$1,main!$A$3:$H$102,7,FALSE)=VLOOKUP($A36,main!$A$3:$H$102,8,FALSE),VLOOKUP(AQ$1,main!$A$3:$H$102,4,FALSE),VLOOKUP(AQ$1,main!$A$3:$H$102,4,FALSE)+VLOOKUP($A36,main!$A$3:$H$102,4,FALSE)+(VLOOKUP(VLOOKUP(AQ$1,main!$A$3:$H$102,8,FALSE),main!$K$19:$O$22,MATCH(VLOOKUP($A36,main!$A$3:$H$102,7,FALSE),main!$K$18:$O$18,0),0))),0)</f>
        <v>0</v>
      </c>
      <c r="AR36">
        <f>IF((gamma!AR36),IF(VLOOKUP(AR$1,main!$A$3:$H$102,7,FALSE)=VLOOKUP($A36,main!$A$3:$H$102,8,FALSE),VLOOKUP(AR$1,main!$A$3:$H$102,4,FALSE),VLOOKUP(AR$1,main!$A$3:$H$102,4,FALSE)+VLOOKUP($A36,main!$A$3:$H$102,4,FALSE)+(VLOOKUP(VLOOKUP(AR$1,main!$A$3:$H$102,8,FALSE),main!$K$19:$O$22,MATCH(VLOOKUP($A36,main!$A$3:$H$102,7,FALSE),main!$K$18:$O$18,0),0))),0)</f>
        <v>0</v>
      </c>
      <c r="AS36">
        <f>IF((gamma!AS36),IF(VLOOKUP(AS$1,main!$A$3:$H$102,7,FALSE)=VLOOKUP($A36,main!$A$3:$H$102,8,FALSE),VLOOKUP(AS$1,main!$A$3:$H$102,4,FALSE),VLOOKUP(AS$1,main!$A$3:$H$102,4,FALSE)+VLOOKUP($A36,main!$A$3:$H$102,4,FALSE)+(VLOOKUP(VLOOKUP(AS$1,main!$A$3:$H$102,8,FALSE),main!$K$19:$O$22,MATCH(VLOOKUP($A36,main!$A$3:$H$102,7,FALSE),main!$K$18:$O$18,0),0))),0)</f>
        <v>0</v>
      </c>
      <c r="AT36">
        <f>IF((gamma!AT36),IF(VLOOKUP(AT$1,main!$A$3:$H$102,7,FALSE)=VLOOKUP($A36,main!$A$3:$H$102,8,FALSE),VLOOKUP(AT$1,main!$A$3:$H$102,4,FALSE),VLOOKUP(AT$1,main!$A$3:$H$102,4,FALSE)+VLOOKUP($A36,main!$A$3:$H$102,4,FALSE)+(VLOOKUP(VLOOKUP(AT$1,main!$A$3:$H$102,8,FALSE),main!$K$19:$O$22,MATCH(VLOOKUP($A36,main!$A$3:$H$102,7,FALSE),main!$K$18:$O$18,0),0))),0)</f>
        <v>0</v>
      </c>
      <c r="AU36">
        <f>IF((gamma!AU36),IF(VLOOKUP(AU$1,main!$A$3:$H$102,7,FALSE)=VLOOKUP($A36,main!$A$3:$H$102,8,FALSE),VLOOKUP(AU$1,main!$A$3:$H$102,4,FALSE),VLOOKUP(AU$1,main!$A$3:$H$102,4,FALSE)+VLOOKUP($A36,main!$A$3:$H$102,4,FALSE)+(VLOOKUP(VLOOKUP(AU$1,main!$A$3:$H$102,8,FALSE),main!$K$19:$O$22,MATCH(VLOOKUP($A36,main!$A$3:$H$102,7,FALSE),main!$K$18:$O$18,0),0))),0)</f>
        <v>0</v>
      </c>
      <c r="AV36">
        <f>IF((gamma!AV36),IF(VLOOKUP(AV$1,main!$A$3:$H$102,7,FALSE)=VLOOKUP($A36,main!$A$3:$H$102,8,FALSE),VLOOKUP(AV$1,main!$A$3:$H$102,4,FALSE),VLOOKUP(AV$1,main!$A$3:$H$102,4,FALSE)+VLOOKUP($A36,main!$A$3:$H$102,4,FALSE)+(VLOOKUP(VLOOKUP(AV$1,main!$A$3:$H$102,8,FALSE),main!$K$19:$O$22,MATCH(VLOOKUP($A36,main!$A$3:$H$102,7,FALSE),main!$K$18:$O$18,0),0))),0)</f>
        <v>0</v>
      </c>
      <c r="AW36">
        <f>IF((gamma!AW36),IF(VLOOKUP(AW$1,main!$A$3:$H$102,7,FALSE)=VLOOKUP($A36,main!$A$3:$H$102,8,FALSE),VLOOKUP(AW$1,main!$A$3:$H$102,4,FALSE),VLOOKUP(AW$1,main!$A$3:$H$102,4,FALSE)+VLOOKUP($A36,main!$A$3:$H$102,4,FALSE)+(VLOOKUP(VLOOKUP(AW$1,main!$A$3:$H$102,8,FALSE),main!$K$19:$O$22,MATCH(VLOOKUP($A36,main!$A$3:$H$102,7,FALSE),main!$K$18:$O$18,0),0))),0)</f>
        <v>0</v>
      </c>
      <c r="AX36">
        <f>IF((gamma!AX36),IF(VLOOKUP(AX$1,main!$A$3:$H$102,7,FALSE)=VLOOKUP($A36,main!$A$3:$H$102,8,FALSE),VLOOKUP(AX$1,main!$A$3:$H$102,4,FALSE),VLOOKUP(AX$1,main!$A$3:$H$102,4,FALSE)+VLOOKUP($A36,main!$A$3:$H$102,4,FALSE)+(VLOOKUP(VLOOKUP(AX$1,main!$A$3:$H$102,8,FALSE),main!$K$19:$O$22,MATCH(VLOOKUP($A36,main!$A$3:$H$102,7,FALSE),main!$K$18:$O$18,0),0))),0)</f>
        <v>0</v>
      </c>
      <c r="AY36">
        <f>IF((gamma!AY36),IF(VLOOKUP(AY$1,main!$A$3:$H$102,7,FALSE)=VLOOKUP($A36,main!$A$3:$H$102,8,FALSE),VLOOKUP(AY$1,main!$A$3:$H$102,4,FALSE),VLOOKUP(AY$1,main!$A$3:$H$102,4,FALSE)+VLOOKUP($A36,main!$A$3:$H$102,4,FALSE)+(VLOOKUP(VLOOKUP(AY$1,main!$A$3:$H$102,8,FALSE),main!$K$19:$O$22,MATCH(VLOOKUP($A36,main!$A$3:$H$102,7,FALSE),main!$K$18:$O$18,0),0))),0)</f>
        <v>0</v>
      </c>
      <c r="AZ36">
        <f>IF((gamma!AZ36),IF(VLOOKUP(AZ$1,main!$A$3:$H$102,7,FALSE)=VLOOKUP($A36,main!$A$3:$H$102,8,FALSE),VLOOKUP(AZ$1,main!$A$3:$H$102,4,FALSE),VLOOKUP(AZ$1,main!$A$3:$H$102,4,FALSE)+VLOOKUP($A36,main!$A$3:$H$102,4,FALSE)+(VLOOKUP(VLOOKUP(AZ$1,main!$A$3:$H$102,8,FALSE),main!$K$19:$O$22,MATCH(VLOOKUP($A36,main!$A$3:$H$102,7,FALSE),main!$K$18:$O$18,0),0))),0)</f>
        <v>0</v>
      </c>
      <c r="BA36">
        <f>IF((gamma!BA36),IF(VLOOKUP(BA$1,main!$A$3:$H$102,7,FALSE)=VLOOKUP($A36,main!$A$3:$H$102,8,FALSE),VLOOKUP(BA$1,main!$A$3:$H$102,4,FALSE),VLOOKUP(BA$1,main!$A$3:$H$102,4,FALSE)+VLOOKUP($A36,main!$A$3:$H$102,4,FALSE)+(VLOOKUP(VLOOKUP(BA$1,main!$A$3:$H$102,8,FALSE),main!$K$19:$O$22,MATCH(VLOOKUP($A36,main!$A$3:$H$102,7,FALSE),main!$K$18:$O$18,0),0))),0)</f>
        <v>0</v>
      </c>
      <c r="BB36">
        <f>IF((gamma!BB36),IF(VLOOKUP(BB$1,main!$A$3:$H$102,7,FALSE)=VLOOKUP($A36,main!$A$3:$H$102,8,FALSE),VLOOKUP(BB$1,main!$A$3:$H$102,4,FALSE),VLOOKUP(BB$1,main!$A$3:$H$102,4,FALSE)+VLOOKUP($A36,main!$A$3:$H$102,4,FALSE)+(VLOOKUP(VLOOKUP(BB$1,main!$A$3:$H$102,8,FALSE),main!$K$19:$O$22,MATCH(VLOOKUP($A36,main!$A$3:$H$102,7,FALSE),main!$K$18:$O$18,0),0))),0)</f>
        <v>0</v>
      </c>
      <c r="BC36">
        <f>IF((gamma!BC36),IF(VLOOKUP(BC$1,main!$A$3:$H$102,7,FALSE)=VLOOKUP($A36,main!$A$3:$H$102,8,FALSE),VLOOKUP(BC$1,main!$A$3:$H$102,4,FALSE),VLOOKUP(BC$1,main!$A$3:$H$102,4,FALSE)+VLOOKUP($A36,main!$A$3:$H$102,4,FALSE)+(VLOOKUP(VLOOKUP(BC$1,main!$A$3:$H$102,8,FALSE),main!$K$19:$O$22,MATCH(VLOOKUP($A36,main!$A$3:$H$102,7,FALSE),main!$K$18:$O$18,0),0))),0)</f>
        <v>0</v>
      </c>
      <c r="BD36">
        <f>IF((gamma!BD36),IF(VLOOKUP(BD$1,main!$A$3:$H$102,7,FALSE)=VLOOKUP($A36,main!$A$3:$H$102,8,FALSE),VLOOKUP(BD$1,main!$A$3:$H$102,4,FALSE),VLOOKUP(BD$1,main!$A$3:$H$102,4,FALSE)+VLOOKUP($A36,main!$A$3:$H$102,4,FALSE)+(VLOOKUP(VLOOKUP(BD$1,main!$A$3:$H$102,8,FALSE),main!$K$19:$O$22,MATCH(VLOOKUP($A36,main!$A$3:$H$102,7,FALSE),main!$K$18:$O$18,0),0))),0)</f>
        <v>0</v>
      </c>
      <c r="BE36">
        <f>IF((gamma!BE36),IF(VLOOKUP(BE$1,main!$A$3:$H$102,7,FALSE)=VLOOKUP($A36,main!$A$3:$H$102,8,FALSE),VLOOKUP(BE$1,main!$A$3:$H$102,4,FALSE),VLOOKUP(BE$1,main!$A$3:$H$102,4,FALSE)+VLOOKUP($A36,main!$A$3:$H$102,4,FALSE)+(VLOOKUP(VLOOKUP(BE$1,main!$A$3:$H$102,8,FALSE),main!$K$19:$O$22,MATCH(VLOOKUP($A36,main!$A$3:$H$102,7,FALSE),main!$K$18:$O$18,0),0))),0)</f>
        <v>300</v>
      </c>
      <c r="BF36">
        <f>IF((gamma!BF36),IF(VLOOKUP(BF$1,main!$A$3:$H$102,7,FALSE)=VLOOKUP($A36,main!$A$3:$H$102,8,FALSE),VLOOKUP(BF$1,main!$A$3:$H$102,4,FALSE),VLOOKUP(BF$1,main!$A$3:$H$102,4,FALSE)+VLOOKUP($A36,main!$A$3:$H$102,4,FALSE)+(VLOOKUP(VLOOKUP(BF$1,main!$A$3:$H$102,8,FALSE),main!$K$19:$O$22,MATCH(VLOOKUP($A36,main!$A$3:$H$102,7,FALSE),main!$K$18:$O$18,0),0))),0)</f>
        <v>0</v>
      </c>
      <c r="BG36">
        <f>IF((gamma!BG36),IF(VLOOKUP(BG$1,main!$A$3:$H$102,7,FALSE)=VLOOKUP($A36,main!$A$3:$H$102,8,FALSE),VLOOKUP(BG$1,main!$A$3:$H$102,4,FALSE),VLOOKUP(BG$1,main!$A$3:$H$102,4,FALSE)+VLOOKUP($A36,main!$A$3:$H$102,4,FALSE)+(VLOOKUP(VLOOKUP(BG$1,main!$A$3:$H$102,8,FALSE),main!$K$19:$O$22,MATCH(VLOOKUP($A36,main!$A$3:$H$102,7,FALSE),main!$K$18:$O$18,0),0))),0)</f>
        <v>0</v>
      </c>
      <c r="BH36">
        <f>IF((gamma!BH36),IF(VLOOKUP(BH$1,main!$A$3:$H$102,7,FALSE)=VLOOKUP($A36,main!$A$3:$H$102,8,FALSE),VLOOKUP(BH$1,main!$A$3:$H$102,4,FALSE),VLOOKUP(BH$1,main!$A$3:$H$102,4,FALSE)+VLOOKUP($A36,main!$A$3:$H$102,4,FALSE)+(VLOOKUP(VLOOKUP(BH$1,main!$A$3:$H$102,8,FALSE),main!$K$19:$O$22,MATCH(VLOOKUP($A36,main!$A$3:$H$102,7,FALSE),main!$K$18:$O$18,0),0))),0)</f>
        <v>0</v>
      </c>
      <c r="BI36">
        <f>IF((gamma!BI36),IF(VLOOKUP(BI$1,main!$A$3:$H$102,7,FALSE)=VLOOKUP($A36,main!$A$3:$H$102,8,FALSE),VLOOKUP(BI$1,main!$A$3:$H$102,4,FALSE),VLOOKUP(BI$1,main!$A$3:$H$102,4,FALSE)+VLOOKUP($A36,main!$A$3:$H$102,4,FALSE)+(VLOOKUP(VLOOKUP(BI$1,main!$A$3:$H$102,8,FALSE),main!$K$19:$O$22,MATCH(VLOOKUP($A36,main!$A$3:$H$102,7,FALSE),main!$K$18:$O$18,0),0))),0)</f>
        <v>220</v>
      </c>
      <c r="BJ36">
        <f>IF((gamma!BJ36),IF(VLOOKUP(BJ$1,main!$A$3:$H$102,7,FALSE)=VLOOKUP($A36,main!$A$3:$H$102,8,FALSE),VLOOKUP(BJ$1,main!$A$3:$H$102,4,FALSE),VLOOKUP(BJ$1,main!$A$3:$H$102,4,FALSE)+VLOOKUP($A36,main!$A$3:$H$102,4,FALSE)+(VLOOKUP(VLOOKUP(BJ$1,main!$A$3:$H$102,8,FALSE),main!$K$19:$O$22,MATCH(VLOOKUP($A36,main!$A$3:$H$102,7,FALSE),main!$K$18:$O$18,0),0))),0)</f>
        <v>250</v>
      </c>
      <c r="BK36">
        <f>IF((gamma!BK36),IF(VLOOKUP(BK$1,main!$A$3:$H$102,7,FALSE)=VLOOKUP($A36,main!$A$3:$H$102,8,FALSE),VLOOKUP(BK$1,main!$A$3:$H$102,4,FALSE),VLOOKUP(BK$1,main!$A$3:$H$102,4,FALSE)+VLOOKUP($A36,main!$A$3:$H$102,4,FALSE)+(VLOOKUP(VLOOKUP(BK$1,main!$A$3:$H$102,8,FALSE),main!$K$19:$O$22,MATCH(VLOOKUP($A36,main!$A$3:$H$102,7,FALSE),main!$K$18:$O$18,0),0))),0)</f>
        <v>0</v>
      </c>
      <c r="BL36">
        <f>IF((gamma!BL36),IF(VLOOKUP(BL$1,main!$A$3:$H$102,7,FALSE)=VLOOKUP($A36,main!$A$3:$H$102,8,FALSE),VLOOKUP(BL$1,main!$A$3:$H$102,4,FALSE),VLOOKUP(BL$1,main!$A$3:$H$102,4,FALSE)+VLOOKUP($A36,main!$A$3:$H$102,4,FALSE)+(VLOOKUP(VLOOKUP(BL$1,main!$A$3:$H$102,8,FALSE),main!$K$19:$O$22,MATCH(VLOOKUP($A36,main!$A$3:$H$102,7,FALSE),main!$K$18:$O$18,0),0))),0)</f>
        <v>0</v>
      </c>
      <c r="BM36">
        <f>IF((gamma!BM36),IF(VLOOKUP(BM$1,main!$A$3:$H$102,7,FALSE)=VLOOKUP($A36,main!$A$3:$H$102,8,FALSE),VLOOKUP(BM$1,main!$A$3:$H$102,4,FALSE),VLOOKUP(BM$1,main!$A$3:$H$102,4,FALSE)+VLOOKUP($A36,main!$A$3:$H$102,4,FALSE)+(VLOOKUP(VLOOKUP(BM$1,main!$A$3:$H$102,8,FALSE),main!$K$19:$O$22,MATCH(VLOOKUP($A36,main!$A$3:$H$102,7,FALSE),main!$K$18:$O$18,0),0))),0)</f>
        <v>0</v>
      </c>
      <c r="BN36">
        <f>IF((gamma!BN36),IF(VLOOKUP(BN$1,main!$A$3:$H$102,7,FALSE)=VLOOKUP($A36,main!$A$3:$H$102,8,FALSE),VLOOKUP(BN$1,main!$A$3:$H$102,4,FALSE),VLOOKUP(BN$1,main!$A$3:$H$102,4,FALSE)+VLOOKUP($A36,main!$A$3:$H$102,4,FALSE)+(VLOOKUP(VLOOKUP(BN$1,main!$A$3:$H$102,8,FALSE),main!$K$19:$O$22,MATCH(VLOOKUP($A36,main!$A$3:$H$102,7,FALSE),main!$K$18:$O$18,0),0))),0)</f>
        <v>0</v>
      </c>
      <c r="BO36">
        <f>IF((gamma!BO36),IF(VLOOKUP(BO$1,main!$A$3:$H$102,7,FALSE)=VLOOKUP($A36,main!$A$3:$H$102,8,FALSE),VLOOKUP(BO$1,main!$A$3:$H$102,4,FALSE),VLOOKUP(BO$1,main!$A$3:$H$102,4,FALSE)+VLOOKUP($A36,main!$A$3:$H$102,4,FALSE)+(VLOOKUP(VLOOKUP(BO$1,main!$A$3:$H$102,8,FALSE),main!$K$19:$O$22,MATCH(VLOOKUP($A36,main!$A$3:$H$102,7,FALSE),main!$K$18:$O$18,0),0))),0)</f>
        <v>0</v>
      </c>
      <c r="BP36">
        <f>IF((gamma!BP36),IF(VLOOKUP(BP$1,main!$A$3:$H$102,7,FALSE)=VLOOKUP($A36,main!$A$3:$H$102,8,FALSE),VLOOKUP(BP$1,main!$A$3:$H$102,4,FALSE),VLOOKUP(BP$1,main!$A$3:$H$102,4,FALSE)+VLOOKUP($A36,main!$A$3:$H$102,4,FALSE)+(VLOOKUP(VLOOKUP(BP$1,main!$A$3:$H$102,8,FALSE),main!$K$19:$O$22,MATCH(VLOOKUP($A36,main!$A$3:$H$102,7,FALSE),main!$K$18:$O$18,0),0))),0)</f>
        <v>0</v>
      </c>
      <c r="BQ36">
        <f>IF((gamma!BQ36),IF(VLOOKUP(BQ$1,main!$A$3:$H$102,7,FALSE)=VLOOKUP($A36,main!$A$3:$H$102,8,FALSE),VLOOKUP(BQ$1,main!$A$3:$H$102,4,FALSE),VLOOKUP(BQ$1,main!$A$3:$H$102,4,FALSE)+VLOOKUP($A36,main!$A$3:$H$102,4,FALSE)+(VLOOKUP(VLOOKUP(BQ$1,main!$A$3:$H$102,8,FALSE),main!$K$19:$O$22,MATCH(VLOOKUP($A36,main!$A$3:$H$102,7,FALSE),main!$K$18:$O$18,0),0))),0)</f>
        <v>0</v>
      </c>
      <c r="BR36">
        <f>IF((gamma!BR36),IF(VLOOKUP(BR$1,main!$A$3:$H$102,7,FALSE)=VLOOKUP($A36,main!$A$3:$H$102,8,FALSE),VLOOKUP(BR$1,main!$A$3:$H$102,4,FALSE),VLOOKUP(BR$1,main!$A$3:$H$102,4,FALSE)+VLOOKUP($A36,main!$A$3:$H$102,4,FALSE)+(VLOOKUP(VLOOKUP(BR$1,main!$A$3:$H$102,8,FALSE),main!$K$19:$O$22,MATCH(VLOOKUP($A36,main!$A$3:$H$102,7,FALSE),main!$K$18:$O$18,0),0))),0)</f>
        <v>0</v>
      </c>
      <c r="BS36">
        <f>IF((gamma!BS36),IF(VLOOKUP(BS$1,main!$A$3:$H$102,7,FALSE)=VLOOKUP($A36,main!$A$3:$H$102,8,FALSE),VLOOKUP(BS$1,main!$A$3:$H$102,4,FALSE),VLOOKUP(BS$1,main!$A$3:$H$102,4,FALSE)+VLOOKUP($A36,main!$A$3:$H$102,4,FALSE)+(VLOOKUP(VLOOKUP(BS$1,main!$A$3:$H$102,8,FALSE),main!$K$19:$O$22,MATCH(VLOOKUP($A36,main!$A$3:$H$102,7,FALSE),main!$K$18:$O$18,0),0))),0)</f>
        <v>0</v>
      </c>
      <c r="BT36">
        <f>IF((gamma!BT36),IF(VLOOKUP(BT$1,main!$A$3:$H$102,7,FALSE)=VLOOKUP($A36,main!$A$3:$H$102,8,FALSE),VLOOKUP(BT$1,main!$A$3:$H$102,4,FALSE),VLOOKUP(BT$1,main!$A$3:$H$102,4,FALSE)+VLOOKUP($A36,main!$A$3:$H$102,4,FALSE)+(VLOOKUP(VLOOKUP(BT$1,main!$A$3:$H$102,8,FALSE),main!$K$19:$O$22,MATCH(VLOOKUP($A36,main!$A$3:$H$102,7,FALSE),main!$K$18:$O$18,0),0))),0)</f>
        <v>0</v>
      </c>
      <c r="BU36">
        <f>IF((gamma!BU36),IF(VLOOKUP(BU$1,main!$A$3:$H$102,7,FALSE)=VLOOKUP($A36,main!$A$3:$H$102,8,FALSE),VLOOKUP(BU$1,main!$A$3:$H$102,4,FALSE),VLOOKUP(BU$1,main!$A$3:$H$102,4,FALSE)+VLOOKUP($A36,main!$A$3:$H$102,4,FALSE)+(VLOOKUP(VLOOKUP(BU$1,main!$A$3:$H$102,8,FALSE),main!$K$19:$O$22,MATCH(VLOOKUP($A36,main!$A$3:$H$102,7,FALSE),main!$K$18:$O$18,0),0))),0)</f>
        <v>0</v>
      </c>
      <c r="BV36">
        <f>IF((gamma!BV36),IF(VLOOKUP(BV$1,main!$A$3:$H$102,7,FALSE)=VLOOKUP($A36,main!$A$3:$H$102,8,FALSE),VLOOKUP(BV$1,main!$A$3:$H$102,4,FALSE),VLOOKUP(BV$1,main!$A$3:$H$102,4,FALSE)+VLOOKUP($A36,main!$A$3:$H$102,4,FALSE)+(VLOOKUP(VLOOKUP(BV$1,main!$A$3:$H$102,8,FALSE),main!$K$19:$O$22,MATCH(VLOOKUP($A36,main!$A$3:$H$102,7,FALSE),main!$K$18:$O$18,0),0))),0)</f>
        <v>0</v>
      </c>
      <c r="BW36">
        <f>IF((gamma!BW36),IF(VLOOKUP(BW$1,main!$A$3:$H$102,7,FALSE)=VLOOKUP($A36,main!$A$3:$H$102,8,FALSE),VLOOKUP(BW$1,main!$A$3:$H$102,4,FALSE),VLOOKUP(BW$1,main!$A$3:$H$102,4,FALSE)+VLOOKUP($A36,main!$A$3:$H$102,4,FALSE)+(VLOOKUP(VLOOKUP(BW$1,main!$A$3:$H$102,8,FALSE),main!$K$19:$O$22,MATCH(VLOOKUP($A36,main!$A$3:$H$102,7,FALSE),main!$K$18:$O$18,0),0))),0)</f>
        <v>0</v>
      </c>
      <c r="BX36">
        <f>IF((gamma!BX36),IF(VLOOKUP(BX$1,main!$A$3:$H$102,7,FALSE)=VLOOKUP($A36,main!$A$3:$H$102,8,FALSE),VLOOKUP(BX$1,main!$A$3:$H$102,4,FALSE),VLOOKUP(BX$1,main!$A$3:$H$102,4,FALSE)+VLOOKUP($A36,main!$A$3:$H$102,4,FALSE)+(VLOOKUP(VLOOKUP(BX$1,main!$A$3:$H$102,8,FALSE),main!$K$19:$O$22,MATCH(VLOOKUP($A36,main!$A$3:$H$102,7,FALSE),main!$K$18:$O$18,0),0))),0)</f>
        <v>0</v>
      </c>
      <c r="BY36">
        <f>IF((gamma!BY36),IF(VLOOKUP(BY$1,main!$A$3:$H$102,7,FALSE)=VLOOKUP($A36,main!$A$3:$H$102,8,FALSE),VLOOKUP(BY$1,main!$A$3:$H$102,4,FALSE),VLOOKUP(BY$1,main!$A$3:$H$102,4,FALSE)+VLOOKUP($A36,main!$A$3:$H$102,4,FALSE)+(VLOOKUP(VLOOKUP(BY$1,main!$A$3:$H$102,8,FALSE),main!$K$19:$O$22,MATCH(VLOOKUP($A36,main!$A$3:$H$102,7,FALSE),main!$K$18:$O$18,0),0))),0)</f>
        <v>0</v>
      </c>
      <c r="BZ36">
        <f>IF((gamma!BZ36),IF(VLOOKUP(BZ$1,main!$A$3:$H$102,7,FALSE)=VLOOKUP($A36,main!$A$3:$H$102,8,FALSE),VLOOKUP(BZ$1,main!$A$3:$H$102,4,FALSE),VLOOKUP(BZ$1,main!$A$3:$H$102,4,FALSE)+VLOOKUP($A36,main!$A$3:$H$102,4,FALSE)+(VLOOKUP(VLOOKUP(BZ$1,main!$A$3:$H$102,8,FALSE),main!$K$19:$O$22,MATCH(VLOOKUP($A36,main!$A$3:$H$102,7,FALSE),main!$K$18:$O$18,0),0))),0)</f>
        <v>0</v>
      </c>
      <c r="CA36">
        <f>IF((gamma!CA36),IF(VLOOKUP(CA$1,main!$A$3:$H$102,7,FALSE)=VLOOKUP($A36,main!$A$3:$H$102,8,FALSE),VLOOKUP(CA$1,main!$A$3:$H$102,4,FALSE),VLOOKUP(CA$1,main!$A$3:$H$102,4,FALSE)+VLOOKUP($A36,main!$A$3:$H$102,4,FALSE)+(VLOOKUP(VLOOKUP(CA$1,main!$A$3:$H$102,8,FALSE),main!$K$19:$O$22,MATCH(VLOOKUP($A36,main!$A$3:$H$102,7,FALSE),main!$K$18:$O$18,0),0))),0)</f>
        <v>0</v>
      </c>
      <c r="CB36">
        <f>IF((gamma!CB36),IF(VLOOKUP(CB$1,main!$A$3:$H$102,7,FALSE)=VLOOKUP($A36,main!$A$3:$H$102,8,FALSE),VLOOKUP(CB$1,main!$A$3:$H$102,4,FALSE),VLOOKUP(CB$1,main!$A$3:$H$102,4,FALSE)+VLOOKUP($A36,main!$A$3:$H$102,4,FALSE)+(VLOOKUP(VLOOKUP(CB$1,main!$A$3:$H$102,8,FALSE),main!$K$19:$O$22,MATCH(VLOOKUP($A36,main!$A$3:$H$102,7,FALSE),main!$K$18:$O$18,0),0))),0)</f>
        <v>0</v>
      </c>
      <c r="CC36">
        <f>IF((gamma!CC36),IF(VLOOKUP(CC$1,main!$A$3:$H$102,7,FALSE)=VLOOKUP($A36,main!$A$3:$H$102,8,FALSE),VLOOKUP(CC$1,main!$A$3:$H$102,4,FALSE),VLOOKUP(CC$1,main!$A$3:$H$102,4,FALSE)+VLOOKUP($A36,main!$A$3:$H$102,4,FALSE)+(VLOOKUP(VLOOKUP(CC$1,main!$A$3:$H$102,8,FALSE),main!$K$19:$O$22,MATCH(VLOOKUP($A36,main!$A$3:$H$102,7,FALSE),main!$K$18:$O$18,0),0))),0)</f>
        <v>230</v>
      </c>
      <c r="CD36">
        <f>IF((gamma!CD36),IF(VLOOKUP(CD$1,main!$A$3:$H$102,7,FALSE)=VLOOKUP($A36,main!$A$3:$H$102,8,FALSE),VLOOKUP(CD$1,main!$A$3:$H$102,4,FALSE),VLOOKUP(CD$1,main!$A$3:$H$102,4,FALSE)+VLOOKUP($A36,main!$A$3:$H$102,4,FALSE)+(VLOOKUP(VLOOKUP(CD$1,main!$A$3:$H$102,8,FALSE),main!$K$19:$O$22,MATCH(VLOOKUP($A36,main!$A$3:$H$102,7,FALSE),main!$K$18:$O$18,0),0))),0)</f>
        <v>0</v>
      </c>
      <c r="CE36">
        <f>IF((gamma!CE36),IF(VLOOKUP(CE$1,main!$A$3:$H$102,7,FALSE)=VLOOKUP($A36,main!$A$3:$H$102,8,FALSE),VLOOKUP(CE$1,main!$A$3:$H$102,4,FALSE),VLOOKUP(CE$1,main!$A$3:$H$102,4,FALSE)+VLOOKUP($A36,main!$A$3:$H$102,4,FALSE)+(VLOOKUP(VLOOKUP(CE$1,main!$A$3:$H$102,8,FALSE),main!$K$19:$O$22,MATCH(VLOOKUP($A36,main!$A$3:$H$102,7,FALSE),main!$K$18:$O$18,0),0))),0)</f>
        <v>0</v>
      </c>
      <c r="CF36">
        <f>IF((gamma!CF36),IF(VLOOKUP(CF$1,main!$A$3:$H$102,7,FALSE)=VLOOKUP($A36,main!$A$3:$H$102,8,FALSE),VLOOKUP(CF$1,main!$A$3:$H$102,4,FALSE),VLOOKUP(CF$1,main!$A$3:$H$102,4,FALSE)+VLOOKUP($A36,main!$A$3:$H$102,4,FALSE)+(VLOOKUP(VLOOKUP(CF$1,main!$A$3:$H$102,8,FALSE),main!$K$19:$O$22,MATCH(VLOOKUP($A36,main!$A$3:$H$102,7,FALSE),main!$K$18:$O$18,0),0))),0)</f>
        <v>0</v>
      </c>
      <c r="CG36">
        <f>IF((gamma!CG36),IF(VLOOKUP(CG$1,main!$A$3:$H$102,7,FALSE)=VLOOKUP($A36,main!$A$3:$H$102,8,FALSE),VLOOKUP(CG$1,main!$A$3:$H$102,4,FALSE),VLOOKUP(CG$1,main!$A$3:$H$102,4,FALSE)+VLOOKUP($A36,main!$A$3:$H$102,4,FALSE)+(VLOOKUP(VLOOKUP(CG$1,main!$A$3:$H$102,8,FALSE),main!$K$19:$O$22,MATCH(VLOOKUP($A36,main!$A$3:$H$102,7,FALSE),main!$K$18:$O$18,0),0))),0)</f>
        <v>0</v>
      </c>
      <c r="CH36">
        <f>IF((gamma!CH36),IF(VLOOKUP(CH$1,main!$A$3:$H$102,7,FALSE)=VLOOKUP($A36,main!$A$3:$H$102,8,FALSE),VLOOKUP(CH$1,main!$A$3:$H$102,4,FALSE),VLOOKUP(CH$1,main!$A$3:$H$102,4,FALSE)+VLOOKUP($A36,main!$A$3:$H$102,4,FALSE)+(VLOOKUP(VLOOKUP(CH$1,main!$A$3:$H$102,8,FALSE),main!$K$19:$O$22,MATCH(VLOOKUP($A36,main!$A$3:$H$102,7,FALSE),main!$K$18:$O$18,0),0))),0)</f>
        <v>300</v>
      </c>
      <c r="CI36">
        <f>IF((gamma!CI36),IF(VLOOKUP(CI$1,main!$A$3:$H$102,7,FALSE)=VLOOKUP($A36,main!$A$3:$H$102,8,FALSE),VLOOKUP(CI$1,main!$A$3:$H$102,4,FALSE),VLOOKUP(CI$1,main!$A$3:$H$102,4,FALSE)+VLOOKUP($A36,main!$A$3:$H$102,4,FALSE)+(VLOOKUP(VLOOKUP(CI$1,main!$A$3:$H$102,8,FALSE),main!$K$19:$O$22,MATCH(VLOOKUP($A36,main!$A$3:$H$102,7,FALSE),main!$K$18:$O$18,0),0))),0)</f>
        <v>300</v>
      </c>
      <c r="CJ36">
        <f>IF((gamma!CJ36),IF(VLOOKUP(CJ$1,main!$A$3:$H$102,7,FALSE)=VLOOKUP($A36,main!$A$3:$H$102,8,FALSE),VLOOKUP(CJ$1,main!$A$3:$H$102,4,FALSE),VLOOKUP(CJ$1,main!$A$3:$H$102,4,FALSE)+VLOOKUP($A36,main!$A$3:$H$102,4,FALSE)+(VLOOKUP(VLOOKUP(CJ$1,main!$A$3:$H$102,8,FALSE),main!$K$19:$O$22,MATCH(VLOOKUP($A36,main!$A$3:$H$102,7,FALSE),main!$K$18:$O$18,0),0))),0)</f>
        <v>0</v>
      </c>
      <c r="CK36">
        <f>IF((gamma!CK36),IF(VLOOKUP(CK$1,main!$A$3:$H$102,7,FALSE)=VLOOKUP($A36,main!$A$3:$H$102,8,FALSE),VLOOKUP(CK$1,main!$A$3:$H$102,4,FALSE),VLOOKUP(CK$1,main!$A$3:$H$102,4,FALSE)+VLOOKUP($A36,main!$A$3:$H$102,4,FALSE)+(VLOOKUP(VLOOKUP(CK$1,main!$A$3:$H$102,8,FALSE),main!$K$19:$O$22,MATCH(VLOOKUP($A36,main!$A$3:$H$102,7,FALSE),main!$K$18:$O$18,0),0))),0)</f>
        <v>0</v>
      </c>
      <c r="CL36">
        <f>IF((gamma!CL36),IF(VLOOKUP(CL$1,main!$A$3:$H$102,7,FALSE)=VLOOKUP($A36,main!$A$3:$H$102,8,FALSE),VLOOKUP(CL$1,main!$A$3:$H$102,4,FALSE),VLOOKUP(CL$1,main!$A$3:$H$102,4,FALSE)+VLOOKUP($A36,main!$A$3:$H$102,4,FALSE)+(VLOOKUP(VLOOKUP(CL$1,main!$A$3:$H$102,8,FALSE),main!$K$19:$O$22,MATCH(VLOOKUP($A36,main!$A$3:$H$102,7,FALSE),main!$K$18:$O$18,0),0))),0)</f>
        <v>0</v>
      </c>
      <c r="CM36">
        <f>IF((gamma!CM36),IF(VLOOKUP(CM$1,main!$A$3:$H$102,7,FALSE)=VLOOKUP($A36,main!$A$3:$H$102,8,FALSE),VLOOKUP(CM$1,main!$A$3:$H$102,4,FALSE),VLOOKUP(CM$1,main!$A$3:$H$102,4,FALSE)+VLOOKUP($A36,main!$A$3:$H$102,4,FALSE)+(VLOOKUP(VLOOKUP(CM$1,main!$A$3:$H$102,8,FALSE),main!$K$19:$O$22,MATCH(VLOOKUP($A36,main!$A$3:$H$102,7,FALSE),main!$K$18:$O$18,0),0))),0)</f>
        <v>0</v>
      </c>
      <c r="CN36">
        <f>IF((gamma!CN36),IF(VLOOKUP(CN$1,main!$A$3:$H$102,7,FALSE)=VLOOKUP($A36,main!$A$3:$H$102,8,FALSE),VLOOKUP(CN$1,main!$A$3:$H$102,4,FALSE),VLOOKUP(CN$1,main!$A$3:$H$102,4,FALSE)+VLOOKUP($A36,main!$A$3:$H$102,4,FALSE)+(VLOOKUP(VLOOKUP(CN$1,main!$A$3:$H$102,8,FALSE),main!$K$19:$O$22,MATCH(VLOOKUP($A36,main!$A$3:$H$102,7,FALSE),main!$K$18:$O$18,0),0))),0)</f>
        <v>256</v>
      </c>
      <c r="CO36">
        <f>IF((gamma!CO36),IF(VLOOKUP(CO$1,main!$A$3:$H$102,7,FALSE)=VLOOKUP($A36,main!$A$3:$H$102,8,FALSE),VLOOKUP(CO$1,main!$A$3:$H$102,4,FALSE),VLOOKUP(CO$1,main!$A$3:$H$102,4,FALSE)+VLOOKUP($A36,main!$A$3:$H$102,4,FALSE)+(VLOOKUP(VLOOKUP(CO$1,main!$A$3:$H$102,8,FALSE),main!$K$19:$O$22,MATCH(VLOOKUP($A36,main!$A$3:$H$102,7,FALSE),main!$K$18:$O$18,0),0))),0)</f>
        <v>0</v>
      </c>
      <c r="CP36">
        <f>IF((gamma!CP36),IF(VLOOKUP(CP$1,main!$A$3:$H$102,7,FALSE)=VLOOKUP($A36,main!$A$3:$H$102,8,FALSE),VLOOKUP(CP$1,main!$A$3:$H$102,4,FALSE),VLOOKUP(CP$1,main!$A$3:$H$102,4,FALSE)+VLOOKUP($A36,main!$A$3:$H$102,4,FALSE)+(VLOOKUP(VLOOKUP(CP$1,main!$A$3:$H$102,8,FALSE),main!$K$19:$O$22,MATCH(VLOOKUP($A36,main!$A$3:$H$102,7,FALSE),main!$K$18:$O$18,0),0))),0)</f>
        <v>0</v>
      </c>
      <c r="CQ36">
        <f>IF((gamma!CQ36),IF(VLOOKUP(CQ$1,main!$A$3:$H$102,7,FALSE)=VLOOKUP($A36,main!$A$3:$H$102,8,FALSE),VLOOKUP(CQ$1,main!$A$3:$H$102,4,FALSE),VLOOKUP(CQ$1,main!$A$3:$H$102,4,FALSE)+VLOOKUP($A36,main!$A$3:$H$102,4,FALSE)+(VLOOKUP(VLOOKUP(CQ$1,main!$A$3:$H$102,8,FALSE),main!$K$19:$O$22,MATCH(VLOOKUP($A36,main!$A$3:$H$102,7,FALSE),main!$K$18:$O$18,0),0))),0)</f>
        <v>0</v>
      </c>
      <c r="CR36">
        <f>IF((gamma!CR36),IF(VLOOKUP(CR$1,main!$A$3:$H$102,7,FALSE)=VLOOKUP($A36,main!$A$3:$H$102,8,FALSE),VLOOKUP(CR$1,main!$A$3:$H$102,4,FALSE),VLOOKUP(CR$1,main!$A$3:$H$102,4,FALSE)+VLOOKUP($A36,main!$A$3:$H$102,4,FALSE)+(VLOOKUP(VLOOKUP(CR$1,main!$A$3:$H$102,8,FALSE),main!$K$19:$O$22,MATCH(VLOOKUP($A36,main!$A$3:$H$102,7,FALSE),main!$K$18:$O$18,0),0))),0)</f>
        <v>0</v>
      </c>
      <c r="CS36">
        <f>IF((gamma!CS36),IF(VLOOKUP(CS$1,main!$A$3:$H$102,7,FALSE)=VLOOKUP($A36,main!$A$3:$H$102,8,FALSE),VLOOKUP(CS$1,main!$A$3:$H$102,4,FALSE),VLOOKUP(CS$1,main!$A$3:$H$102,4,FALSE)+VLOOKUP($A36,main!$A$3:$H$102,4,FALSE)+(VLOOKUP(VLOOKUP(CS$1,main!$A$3:$H$102,8,FALSE),main!$K$19:$O$22,MATCH(VLOOKUP($A36,main!$A$3:$H$102,7,FALSE),main!$K$18:$O$18,0),0))),0)</f>
        <v>0</v>
      </c>
      <c r="CT36">
        <f>IF((gamma!CT36),IF(VLOOKUP(CT$1,main!$A$3:$H$102,7,FALSE)=VLOOKUP($A36,main!$A$3:$H$102,8,FALSE),VLOOKUP(CT$1,main!$A$3:$H$102,4,FALSE),VLOOKUP(CT$1,main!$A$3:$H$102,4,FALSE)+VLOOKUP($A36,main!$A$3:$H$102,4,FALSE)+(VLOOKUP(VLOOKUP(CT$1,main!$A$3:$H$102,8,FALSE),main!$K$19:$O$22,MATCH(VLOOKUP($A36,main!$A$3:$H$102,7,FALSE),main!$K$18:$O$18,0),0))),0)</f>
        <v>0</v>
      </c>
      <c r="CU36">
        <f>IF((gamma!CU36),IF(VLOOKUP(CU$1,main!$A$3:$H$102,7,FALSE)=VLOOKUP($A36,main!$A$3:$H$102,8,FALSE),VLOOKUP(CU$1,main!$A$3:$H$102,4,FALSE),VLOOKUP(CU$1,main!$A$3:$H$102,4,FALSE)+VLOOKUP($A36,main!$A$3:$H$102,4,FALSE)+(VLOOKUP(VLOOKUP(CU$1,main!$A$3:$H$102,8,FALSE),main!$K$19:$O$22,MATCH(VLOOKUP($A36,main!$A$3:$H$102,7,FALSE),main!$K$18:$O$18,0),0))),0)</f>
        <v>0</v>
      </c>
      <c r="CV36">
        <f>IF((gamma!CV36),IF(VLOOKUP(CV$1,main!$A$3:$H$102,7,FALSE)=VLOOKUP($A36,main!$A$3:$H$102,8,FALSE),VLOOKUP(CV$1,main!$A$3:$H$102,4,FALSE),VLOOKUP(CV$1,main!$A$3:$H$102,4,FALSE)+VLOOKUP($A36,main!$A$3:$H$102,4,FALSE)+(VLOOKUP(VLOOKUP(CV$1,main!$A$3:$H$102,8,FALSE),main!$K$19:$O$22,MATCH(VLOOKUP($A36,main!$A$3:$H$102,7,FALSE),main!$K$18:$O$18,0),0))),0)</f>
        <v>0</v>
      </c>
      <c r="CW36">
        <f>IF((gamma!CW36),IF(VLOOKUP(CW$1,main!$A$3:$H$102,7,FALSE)=VLOOKUP($A36,main!$A$3:$H$102,8,FALSE),VLOOKUP(CW$1,main!$A$3:$H$102,4,FALSE),VLOOKUP(CW$1,main!$A$3:$H$102,4,FALSE)+VLOOKUP($A36,main!$A$3:$H$102,4,FALSE)+(VLOOKUP(VLOOKUP(CW$1,main!$A$3:$H$102,8,FALSE),main!$K$19:$O$22,MATCH(VLOOKUP($A36,main!$A$3:$H$102,7,FALSE),main!$K$18:$O$18,0),0))),0)</f>
        <v>0</v>
      </c>
      <c r="CX36">
        <f>IF((gamma!CX36),IF(VLOOKUP(CX$1,main!$A$3:$H$102,7,FALSE)=VLOOKUP($A36,main!$A$3:$H$102,8,FALSE),VLOOKUP(CX$1,main!$A$3:$H$102,4,FALSE),VLOOKUP(CX$1,main!$A$3:$H$102,4,FALSE)+VLOOKUP($A36,main!$A$3:$H$102,4,FALSE)+(VLOOKUP(VLOOKUP(CX$1,main!$A$3:$H$102,8,FALSE),main!$K$19:$O$22,MATCH(VLOOKUP($A36,main!$A$3:$H$102,7,FALSE),main!$K$18:$O$18,0),0))),0)</f>
        <v>248</v>
      </c>
      <c r="CY36">
        <v>0</v>
      </c>
      <c r="CZ36">
        <v>0</v>
      </c>
      <c r="DA36">
        <v>0</v>
      </c>
    </row>
    <row r="37" spans="1:105" x14ac:dyDescent="0.25">
      <c r="A37" s="1">
        <v>35</v>
      </c>
      <c r="B37">
        <v>0</v>
      </c>
      <c r="C37">
        <f>IF((gamma!C37),IF(VLOOKUP(C$1,main!$A$3:$H$102,7,FALSE)=VLOOKUP($A37,main!$A$3:$H$102,8,FALSE),VLOOKUP(C$1,main!$A$3:$H$102,4,FALSE),VLOOKUP(C$1,main!$A$3:$H$102,4,FALSE)+VLOOKUP($A37,main!$A$3:$H$102,4,FALSE)+(VLOOKUP(VLOOKUP(C$1,main!$A$3:$H$102,8,FALSE),main!$K$19:$O$22,MATCH(VLOOKUP($A37,main!$A$3:$H$102,7,FALSE),main!$K$18:$O$18,0),0))),0)</f>
        <v>0</v>
      </c>
      <c r="D37">
        <f>IF((gamma!D37),IF(VLOOKUP(D$1,main!$A$3:$H$102,7,FALSE)=VLOOKUP($A37,main!$A$3:$H$102,8,FALSE),VLOOKUP(D$1,main!$A$3:$H$102,4,FALSE),VLOOKUP(D$1,main!$A$3:$H$102,4,FALSE)+VLOOKUP($A37,main!$A$3:$H$102,4,FALSE)+(VLOOKUP(VLOOKUP(D$1,main!$A$3:$H$102,8,FALSE),main!$K$19:$O$22,MATCH(VLOOKUP($A37,main!$A$3:$H$102,7,FALSE),main!$K$18:$O$18,0),0))),0)</f>
        <v>0</v>
      </c>
      <c r="E37">
        <f>IF((gamma!E37),IF(VLOOKUP(E$1,main!$A$3:$H$102,7,FALSE)=VLOOKUP($A37,main!$A$3:$H$102,8,FALSE),VLOOKUP(E$1,main!$A$3:$H$102,4,FALSE),VLOOKUP(E$1,main!$A$3:$H$102,4,FALSE)+VLOOKUP($A37,main!$A$3:$H$102,4,FALSE)+(VLOOKUP(VLOOKUP(E$1,main!$A$3:$H$102,8,FALSE),main!$K$19:$O$22,MATCH(VLOOKUP($A37,main!$A$3:$H$102,7,FALSE),main!$K$18:$O$18,0),0))),0)</f>
        <v>0</v>
      </c>
      <c r="F37">
        <f>IF((gamma!F37),IF(VLOOKUP(F$1,main!$A$3:$H$102,7,FALSE)=VLOOKUP($A37,main!$A$3:$H$102,8,FALSE),VLOOKUP(F$1,main!$A$3:$H$102,4,FALSE),VLOOKUP(F$1,main!$A$3:$H$102,4,FALSE)+VLOOKUP($A37,main!$A$3:$H$102,4,FALSE)+(VLOOKUP(VLOOKUP(F$1,main!$A$3:$H$102,8,FALSE),main!$K$19:$O$22,MATCH(VLOOKUP($A37,main!$A$3:$H$102,7,FALSE),main!$K$18:$O$18,0),0))),0)</f>
        <v>0</v>
      </c>
      <c r="G37">
        <f>IF((gamma!G37),IF(VLOOKUP(G$1,main!$A$3:$H$102,7,FALSE)=VLOOKUP($A37,main!$A$3:$H$102,8,FALSE),VLOOKUP(G$1,main!$A$3:$H$102,4,FALSE),VLOOKUP(G$1,main!$A$3:$H$102,4,FALSE)+VLOOKUP($A37,main!$A$3:$H$102,4,FALSE)+(VLOOKUP(VLOOKUP(G$1,main!$A$3:$H$102,8,FALSE),main!$K$19:$O$22,MATCH(VLOOKUP($A37,main!$A$3:$H$102,7,FALSE),main!$K$18:$O$18,0),0))),0)</f>
        <v>0</v>
      </c>
      <c r="H37">
        <f>IF((gamma!H37),IF(VLOOKUP(H$1,main!$A$3:$H$102,7,FALSE)=VLOOKUP($A37,main!$A$3:$H$102,8,FALSE),VLOOKUP(H$1,main!$A$3:$H$102,4,FALSE),VLOOKUP(H$1,main!$A$3:$H$102,4,FALSE)+VLOOKUP($A37,main!$A$3:$H$102,4,FALSE)+(VLOOKUP(VLOOKUP(H$1,main!$A$3:$H$102,8,FALSE),main!$K$19:$O$22,MATCH(VLOOKUP($A37,main!$A$3:$H$102,7,FALSE),main!$K$18:$O$18,0),0))),0)</f>
        <v>0</v>
      </c>
      <c r="I37">
        <f>IF((gamma!I37),IF(VLOOKUP(I$1,main!$A$3:$H$102,7,FALSE)=VLOOKUP($A37,main!$A$3:$H$102,8,FALSE),VLOOKUP(I$1,main!$A$3:$H$102,4,FALSE),VLOOKUP(I$1,main!$A$3:$H$102,4,FALSE)+VLOOKUP($A37,main!$A$3:$H$102,4,FALSE)+(VLOOKUP(VLOOKUP(I$1,main!$A$3:$H$102,8,FALSE),main!$K$19:$O$22,MATCH(VLOOKUP($A37,main!$A$3:$H$102,7,FALSE),main!$K$18:$O$18,0),0))),0)</f>
        <v>0</v>
      </c>
      <c r="J37">
        <f>IF((gamma!J37),IF(VLOOKUP(J$1,main!$A$3:$H$102,7,FALSE)=VLOOKUP($A37,main!$A$3:$H$102,8,FALSE),VLOOKUP(J$1,main!$A$3:$H$102,4,FALSE),VLOOKUP(J$1,main!$A$3:$H$102,4,FALSE)+VLOOKUP($A37,main!$A$3:$H$102,4,FALSE)+(VLOOKUP(VLOOKUP(J$1,main!$A$3:$H$102,8,FALSE),main!$K$19:$O$22,MATCH(VLOOKUP($A37,main!$A$3:$H$102,7,FALSE),main!$K$18:$O$18,0),0))),0)</f>
        <v>0</v>
      </c>
      <c r="K37">
        <f>IF((gamma!K37),IF(VLOOKUP(K$1,main!$A$3:$H$102,7,FALSE)=VLOOKUP($A37,main!$A$3:$H$102,8,FALSE),VLOOKUP(K$1,main!$A$3:$H$102,4,FALSE),VLOOKUP(K$1,main!$A$3:$H$102,4,FALSE)+VLOOKUP($A37,main!$A$3:$H$102,4,FALSE)+(VLOOKUP(VLOOKUP(K$1,main!$A$3:$H$102,8,FALSE),main!$K$19:$O$22,MATCH(VLOOKUP($A37,main!$A$3:$H$102,7,FALSE),main!$K$18:$O$18,0),0))),0)</f>
        <v>135</v>
      </c>
      <c r="L37">
        <f>IF((gamma!L37),IF(VLOOKUP(L$1,main!$A$3:$H$102,7,FALSE)=VLOOKUP($A37,main!$A$3:$H$102,8,FALSE),VLOOKUP(L$1,main!$A$3:$H$102,4,FALSE),VLOOKUP(L$1,main!$A$3:$H$102,4,FALSE)+VLOOKUP($A37,main!$A$3:$H$102,4,FALSE)+(VLOOKUP(VLOOKUP(L$1,main!$A$3:$H$102,8,FALSE),main!$K$19:$O$22,MATCH(VLOOKUP($A37,main!$A$3:$H$102,7,FALSE),main!$K$18:$O$18,0),0))),0)</f>
        <v>135</v>
      </c>
      <c r="M37">
        <f>IF((gamma!M37),IF(VLOOKUP(M$1,main!$A$3:$H$102,7,FALSE)=VLOOKUP($A37,main!$A$3:$H$102,8,FALSE),VLOOKUP(M$1,main!$A$3:$H$102,4,FALSE),VLOOKUP(M$1,main!$A$3:$H$102,4,FALSE)+VLOOKUP($A37,main!$A$3:$H$102,4,FALSE)+(VLOOKUP(VLOOKUP(M$1,main!$A$3:$H$102,8,FALSE),main!$K$19:$O$22,MATCH(VLOOKUP($A37,main!$A$3:$H$102,7,FALSE),main!$K$18:$O$18,0),0))),0)</f>
        <v>0</v>
      </c>
      <c r="N37">
        <f>IF((gamma!N37),IF(VLOOKUP(N$1,main!$A$3:$H$102,7,FALSE)=VLOOKUP($A37,main!$A$3:$H$102,8,FALSE),VLOOKUP(N$1,main!$A$3:$H$102,4,FALSE),VLOOKUP(N$1,main!$A$3:$H$102,4,FALSE)+VLOOKUP($A37,main!$A$3:$H$102,4,FALSE)+(VLOOKUP(VLOOKUP(N$1,main!$A$3:$H$102,8,FALSE),main!$K$19:$O$22,MATCH(VLOOKUP($A37,main!$A$3:$H$102,7,FALSE),main!$K$18:$O$18,0),0))),0)</f>
        <v>0</v>
      </c>
      <c r="O37">
        <f>IF((gamma!O37),IF(VLOOKUP(O$1,main!$A$3:$H$102,7,FALSE)=VLOOKUP($A37,main!$A$3:$H$102,8,FALSE),VLOOKUP(O$1,main!$A$3:$H$102,4,FALSE),VLOOKUP(O$1,main!$A$3:$H$102,4,FALSE)+VLOOKUP($A37,main!$A$3:$H$102,4,FALSE)+(VLOOKUP(VLOOKUP(O$1,main!$A$3:$H$102,8,FALSE),main!$K$19:$O$22,MATCH(VLOOKUP($A37,main!$A$3:$H$102,7,FALSE),main!$K$18:$O$18,0),0))),0)</f>
        <v>0</v>
      </c>
      <c r="P37">
        <f>IF((gamma!P37),IF(VLOOKUP(P$1,main!$A$3:$H$102,7,FALSE)=VLOOKUP($A37,main!$A$3:$H$102,8,FALSE),VLOOKUP(P$1,main!$A$3:$H$102,4,FALSE),VLOOKUP(P$1,main!$A$3:$H$102,4,FALSE)+VLOOKUP($A37,main!$A$3:$H$102,4,FALSE)+(VLOOKUP(VLOOKUP(P$1,main!$A$3:$H$102,8,FALSE),main!$K$19:$O$22,MATCH(VLOOKUP($A37,main!$A$3:$H$102,7,FALSE),main!$K$18:$O$18,0),0))),0)</f>
        <v>0</v>
      </c>
      <c r="Q37">
        <f>IF((gamma!Q37),IF(VLOOKUP(Q$1,main!$A$3:$H$102,7,FALSE)=VLOOKUP($A37,main!$A$3:$H$102,8,FALSE),VLOOKUP(Q$1,main!$A$3:$H$102,4,FALSE),VLOOKUP(Q$1,main!$A$3:$H$102,4,FALSE)+VLOOKUP($A37,main!$A$3:$H$102,4,FALSE)+(VLOOKUP(VLOOKUP(Q$1,main!$A$3:$H$102,8,FALSE),main!$K$19:$O$22,MATCH(VLOOKUP($A37,main!$A$3:$H$102,7,FALSE),main!$K$18:$O$18,0),0))),0)</f>
        <v>0</v>
      </c>
      <c r="R37">
        <f>IF((gamma!R37),IF(VLOOKUP(R$1,main!$A$3:$H$102,7,FALSE)=VLOOKUP($A37,main!$A$3:$H$102,8,FALSE),VLOOKUP(R$1,main!$A$3:$H$102,4,FALSE),VLOOKUP(R$1,main!$A$3:$H$102,4,FALSE)+VLOOKUP($A37,main!$A$3:$H$102,4,FALSE)+(VLOOKUP(VLOOKUP(R$1,main!$A$3:$H$102,8,FALSE),main!$K$19:$O$22,MATCH(VLOOKUP($A37,main!$A$3:$H$102,7,FALSE),main!$K$18:$O$18,0),0))),0)</f>
        <v>0</v>
      </c>
      <c r="S37">
        <f>IF((gamma!S37),IF(VLOOKUP(S$1,main!$A$3:$H$102,7,FALSE)=VLOOKUP($A37,main!$A$3:$H$102,8,FALSE),VLOOKUP(S$1,main!$A$3:$H$102,4,FALSE),VLOOKUP(S$1,main!$A$3:$H$102,4,FALSE)+VLOOKUP($A37,main!$A$3:$H$102,4,FALSE)+(VLOOKUP(VLOOKUP(S$1,main!$A$3:$H$102,8,FALSE),main!$K$19:$O$22,MATCH(VLOOKUP($A37,main!$A$3:$H$102,7,FALSE),main!$K$18:$O$18,0),0))),0)</f>
        <v>0</v>
      </c>
      <c r="T37">
        <f>IF((gamma!T37),IF(VLOOKUP(T$1,main!$A$3:$H$102,7,FALSE)=VLOOKUP($A37,main!$A$3:$H$102,8,FALSE),VLOOKUP(T$1,main!$A$3:$H$102,4,FALSE),VLOOKUP(T$1,main!$A$3:$H$102,4,FALSE)+VLOOKUP($A37,main!$A$3:$H$102,4,FALSE)+(VLOOKUP(VLOOKUP(T$1,main!$A$3:$H$102,8,FALSE),main!$K$19:$O$22,MATCH(VLOOKUP($A37,main!$A$3:$H$102,7,FALSE),main!$K$18:$O$18,0),0))),0)</f>
        <v>0</v>
      </c>
      <c r="U37">
        <f>IF((gamma!U37),IF(VLOOKUP(U$1,main!$A$3:$H$102,7,FALSE)=VLOOKUP($A37,main!$A$3:$H$102,8,FALSE),VLOOKUP(U$1,main!$A$3:$H$102,4,FALSE),VLOOKUP(U$1,main!$A$3:$H$102,4,FALSE)+VLOOKUP($A37,main!$A$3:$H$102,4,FALSE)+(VLOOKUP(VLOOKUP(U$1,main!$A$3:$H$102,8,FALSE),main!$K$19:$O$22,MATCH(VLOOKUP($A37,main!$A$3:$H$102,7,FALSE),main!$K$18:$O$18,0),0))),0)</f>
        <v>140</v>
      </c>
      <c r="V37">
        <f>IF((gamma!V37),IF(VLOOKUP(V$1,main!$A$3:$H$102,7,FALSE)=VLOOKUP($A37,main!$A$3:$H$102,8,FALSE),VLOOKUP(V$1,main!$A$3:$H$102,4,FALSE),VLOOKUP(V$1,main!$A$3:$H$102,4,FALSE)+VLOOKUP($A37,main!$A$3:$H$102,4,FALSE)+(VLOOKUP(VLOOKUP(V$1,main!$A$3:$H$102,8,FALSE),main!$K$19:$O$22,MATCH(VLOOKUP($A37,main!$A$3:$H$102,7,FALSE),main!$K$18:$O$18,0),0))),0)</f>
        <v>140</v>
      </c>
      <c r="W37">
        <f>IF((gamma!W37),IF(VLOOKUP(W$1,main!$A$3:$H$102,7,FALSE)=VLOOKUP($A37,main!$A$3:$H$102,8,FALSE),VLOOKUP(W$1,main!$A$3:$H$102,4,FALSE),VLOOKUP(W$1,main!$A$3:$H$102,4,FALSE)+VLOOKUP($A37,main!$A$3:$H$102,4,FALSE)+(VLOOKUP(VLOOKUP(W$1,main!$A$3:$H$102,8,FALSE),main!$K$19:$O$22,MATCH(VLOOKUP($A37,main!$A$3:$H$102,7,FALSE),main!$K$18:$O$18,0),0))),0)</f>
        <v>0</v>
      </c>
      <c r="X37">
        <f>IF((gamma!X37),IF(VLOOKUP(X$1,main!$A$3:$H$102,7,FALSE)=VLOOKUP($A37,main!$A$3:$H$102,8,FALSE),VLOOKUP(X$1,main!$A$3:$H$102,4,FALSE),VLOOKUP(X$1,main!$A$3:$H$102,4,FALSE)+VLOOKUP($A37,main!$A$3:$H$102,4,FALSE)+(VLOOKUP(VLOOKUP(X$1,main!$A$3:$H$102,8,FALSE),main!$K$19:$O$22,MATCH(VLOOKUP($A37,main!$A$3:$H$102,7,FALSE),main!$K$18:$O$18,0),0))),0)</f>
        <v>0</v>
      </c>
      <c r="Y37">
        <f>IF((gamma!Y37),IF(VLOOKUP(Y$1,main!$A$3:$H$102,7,FALSE)=VLOOKUP($A37,main!$A$3:$H$102,8,FALSE),VLOOKUP(Y$1,main!$A$3:$H$102,4,FALSE),VLOOKUP(Y$1,main!$A$3:$H$102,4,FALSE)+VLOOKUP($A37,main!$A$3:$H$102,4,FALSE)+(VLOOKUP(VLOOKUP(Y$1,main!$A$3:$H$102,8,FALSE),main!$K$19:$O$22,MATCH(VLOOKUP($A37,main!$A$3:$H$102,7,FALSE),main!$K$18:$O$18,0),0))),0)</f>
        <v>0</v>
      </c>
      <c r="Z37">
        <f>IF((gamma!Z37),IF(VLOOKUP(Z$1,main!$A$3:$H$102,7,FALSE)=VLOOKUP($A37,main!$A$3:$H$102,8,FALSE),VLOOKUP(Z$1,main!$A$3:$H$102,4,FALSE),VLOOKUP(Z$1,main!$A$3:$H$102,4,FALSE)+VLOOKUP($A37,main!$A$3:$H$102,4,FALSE)+(VLOOKUP(VLOOKUP(Z$1,main!$A$3:$H$102,8,FALSE),main!$K$19:$O$22,MATCH(VLOOKUP($A37,main!$A$3:$H$102,7,FALSE),main!$K$18:$O$18,0),0))),0)</f>
        <v>0</v>
      </c>
      <c r="AA37">
        <f>IF((gamma!AA37),IF(VLOOKUP(AA$1,main!$A$3:$H$102,7,FALSE)=VLOOKUP($A37,main!$A$3:$H$102,8,FALSE),VLOOKUP(AA$1,main!$A$3:$H$102,4,FALSE),VLOOKUP(AA$1,main!$A$3:$H$102,4,FALSE)+VLOOKUP($A37,main!$A$3:$H$102,4,FALSE)+(VLOOKUP(VLOOKUP(AA$1,main!$A$3:$H$102,8,FALSE),main!$K$19:$O$22,MATCH(VLOOKUP($A37,main!$A$3:$H$102,7,FALSE),main!$K$18:$O$18,0),0))),0)</f>
        <v>140</v>
      </c>
      <c r="AB37">
        <f>IF((gamma!AB37),IF(VLOOKUP(AB$1,main!$A$3:$H$102,7,FALSE)=VLOOKUP($A37,main!$A$3:$H$102,8,FALSE),VLOOKUP(AB$1,main!$A$3:$H$102,4,FALSE),VLOOKUP(AB$1,main!$A$3:$H$102,4,FALSE)+VLOOKUP($A37,main!$A$3:$H$102,4,FALSE)+(VLOOKUP(VLOOKUP(AB$1,main!$A$3:$H$102,8,FALSE),main!$K$19:$O$22,MATCH(VLOOKUP($A37,main!$A$3:$H$102,7,FALSE),main!$K$18:$O$18,0),0))),0)</f>
        <v>0</v>
      </c>
      <c r="AC37">
        <f>IF((gamma!AC37),IF(VLOOKUP(AC$1,main!$A$3:$H$102,7,FALSE)=VLOOKUP($A37,main!$A$3:$H$102,8,FALSE),VLOOKUP(AC$1,main!$A$3:$H$102,4,FALSE),VLOOKUP(AC$1,main!$A$3:$H$102,4,FALSE)+VLOOKUP($A37,main!$A$3:$H$102,4,FALSE)+(VLOOKUP(VLOOKUP(AC$1,main!$A$3:$H$102,8,FALSE),main!$K$19:$O$22,MATCH(VLOOKUP($A37,main!$A$3:$H$102,7,FALSE),main!$K$18:$O$18,0),0))),0)</f>
        <v>0</v>
      </c>
      <c r="AD37">
        <f>IF((gamma!AD37),IF(VLOOKUP(AD$1,main!$A$3:$H$102,7,FALSE)=VLOOKUP($A37,main!$A$3:$H$102,8,FALSE),VLOOKUP(AD$1,main!$A$3:$H$102,4,FALSE),VLOOKUP(AD$1,main!$A$3:$H$102,4,FALSE)+VLOOKUP($A37,main!$A$3:$H$102,4,FALSE)+(VLOOKUP(VLOOKUP(AD$1,main!$A$3:$H$102,8,FALSE),main!$K$19:$O$22,MATCH(VLOOKUP($A37,main!$A$3:$H$102,7,FALSE),main!$K$18:$O$18,0),0))),0)</f>
        <v>0</v>
      </c>
      <c r="AE37">
        <f>IF((gamma!AE37),IF(VLOOKUP(AE$1,main!$A$3:$H$102,7,FALSE)=VLOOKUP($A37,main!$A$3:$H$102,8,FALSE),VLOOKUP(AE$1,main!$A$3:$H$102,4,FALSE),VLOOKUP(AE$1,main!$A$3:$H$102,4,FALSE)+VLOOKUP($A37,main!$A$3:$H$102,4,FALSE)+(VLOOKUP(VLOOKUP(AE$1,main!$A$3:$H$102,8,FALSE),main!$K$19:$O$22,MATCH(VLOOKUP($A37,main!$A$3:$H$102,7,FALSE),main!$K$18:$O$18,0),0))),0)</f>
        <v>0</v>
      </c>
      <c r="AF37">
        <f>IF((gamma!AF37),IF(VLOOKUP(AF$1,main!$A$3:$H$102,7,FALSE)=VLOOKUP($A37,main!$A$3:$H$102,8,FALSE),VLOOKUP(AF$1,main!$A$3:$H$102,4,FALSE),VLOOKUP(AF$1,main!$A$3:$H$102,4,FALSE)+VLOOKUP($A37,main!$A$3:$H$102,4,FALSE)+(VLOOKUP(VLOOKUP(AF$1,main!$A$3:$H$102,8,FALSE),main!$K$19:$O$22,MATCH(VLOOKUP($A37,main!$A$3:$H$102,7,FALSE),main!$K$18:$O$18,0),0))),0)</f>
        <v>100</v>
      </c>
      <c r="AG37">
        <f>IF((gamma!AG37),IF(VLOOKUP(AG$1,main!$A$3:$H$102,7,FALSE)=VLOOKUP($A37,main!$A$3:$H$102,8,FALSE),VLOOKUP(AG$1,main!$A$3:$H$102,4,FALSE),VLOOKUP(AG$1,main!$A$3:$H$102,4,FALSE)+VLOOKUP($A37,main!$A$3:$H$102,4,FALSE)+(VLOOKUP(VLOOKUP(AG$1,main!$A$3:$H$102,8,FALSE),main!$K$19:$O$22,MATCH(VLOOKUP($A37,main!$A$3:$H$102,7,FALSE),main!$K$18:$O$18,0),0))),0)</f>
        <v>0</v>
      </c>
      <c r="AH37">
        <f>IF((gamma!AH37),IF(VLOOKUP(AH$1,main!$A$3:$H$102,7,FALSE)=VLOOKUP($A37,main!$A$3:$H$102,8,FALSE),VLOOKUP(AH$1,main!$A$3:$H$102,4,FALSE),VLOOKUP(AH$1,main!$A$3:$H$102,4,FALSE)+VLOOKUP($A37,main!$A$3:$H$102,4,FALSE)+(VLOOKUP(VLOOKUP(AH$1,main!$A$3:$H$102,8,FALSE),main!$K$19:$O$22,MATCH(VLOOKUP($A37,main!$A$3:$H$102,7,FALSE),main!$K$18:$O$18,0),0))),0)</f>
        <v>0</v>
      </c>
      <c r="AI37">
        <f>IF((gamma!AI37),IF(VLOOKUP(AI$1,main!$A$3:$H$102,7,FALSE)=VLOOKUP($A37,main!$A$3:$H$102,8,FALSE),VLOOKUP(AI$1,main!$A$3:$H$102,4,FALSE),VLOOKUP(AI$1,main!$A$3:$H$102,4,FALSE)+VLOOKUP($A37,main!$A$3:$H$102,4,FALSE)+(VLOOKUP(VLOOKUP(AI$1,main!$A$3:$H$102,8,FALSE),main!$K$19:$O$22,MATCH(VLOOKUP($A37,main!$A$3:$H$102,7,FALSE),main!$K$18:$O$18,0),0))),0)</f>
        <v>0</v>
      </c>
      <c r="AJ37">
        <f>IF((gamma!AJ37),IF(VLOOKUP(AJ$1,main!$A$3:$H$102,7,FALSE)=VLOOKUP($A37,main!$A$3:$H$102,8,FALSE),VLOOKUP(AJ$1,main!$A$3:$H$102,4,FALSE),VLOOKUP(AJ$1,main!$A$3:$H$102,4,FALSE)+VLOOKUP($A37,main!$A$3:$H$102,4,FALSE)+(VLOOKUP(VLOOKUP(AJ$1,main!$A$3:$H$102,8,FALSE),main!$K$19:$O$22,MATCH(VLOOKUP($A37,main!$A$3:$H$102,7,FALSE),main!$K$18:$O$18,0),0))),0)</f>
        <v>0</v>
      </c>
      <c r="AK37">
        <f>IF((gamma!AK37),IF(VLOOKUP(AK$1,main!$A$3:$H$102,7,FALSE)=VLOOKUP($A37,main!$A$3:$H$102,8,FALSE),VLOOKUP(AK$1,main!$A$3:$H$102,4,FALSE),VLOOKUP(AK$1,main!$A$3:$H$102,4,FALSE)+VLOOKUP($A37,main!$A$3:$H$102,4,FALSE)+(VLOOKUP(VLOOKUP(AK$1,main!$A$3:$H$102,8,FALSE),main!$K$19:$O$22,MATCH(VLOOKUP($A37,main!$A$3:$H$102,7,FALSE),main!$K$18:$O$18,0),0))),0)</f>
        <v>0</v>
      </c>
      <c r="AL37">
        <f>IF((gamma!AL37),IF(VLOOKUP(AL$1,main!$A$3:$H$102,7,FALSE)=VLOOKUP($A37,main!$A$3:$H$102,8,FALSE),VLOOKUP(AL$1,main!$A$3:$H$102,4,FALSE),VLOOKUP(AL$1,main!$A$3:$H$102,4,FALSE)+VLOOKUP($A37,main!$A$3:$H$102,4,FALSE)+(VLOOKUP(VLOOKUP(AL$1,main!$A$3:$H$102,8,FALSE),main!$K$19:$O$22,MATCH(VLOOKUP($A37,main!$A$3:$H$102,7,FALSE),main!$K$18:$O$18,0),0))),0)</f>
        <v>0</v>
      </c>
      <c r="AM37">
        <f>IF((gamma!AM37),IF(VLOOKUP(AM$1,main!$A$3:$H$102,7,FALSE)=VLOOKUP($A37,main!$A$3:$H$102,8,FALSE),VLOOKUP(AM$1,main!$A$3:$H$102,4,FALSE),VLOOKUP(AM$1,main!$A$3:$H$102,4,FALSE)+VLOOKUP($A37,main!$A$3:$H$102,4,FALSE)+(VLOOKUP(VLOOKUP(AM$1,main!$A$3:$H$102,8,FALSE),main!$K$19:$O$22,MATCH(VLOOKUP($A37,main!$A$3:$H$102,7,FALSE),main!$K$18:$O$18,0),0))),0)</f>
        <v>295</v>
      </c>
      <c r="AN37">
        <f>IF((gamma!AN37),IF(VLOOKUP(AN$1,main!$A$3:$H$102,7,FALSE)=VLOOKUP($A37,main!$A$3:$H$102,8,FALSE),VLOOKUP(AN$1,main!$A$3:$H$102,4,FALSE),VLOOKUP(AN$1,main!$A$3:$H$102,4,FALSE)+VLOOKUP($A37,main!$A$3:$H$102,4,FALSE)+(VLOOKUP(VLOOKUP(AN$1,main!$A$3:$H$102,8,FALSE),main!$K$19:$O$22,MATCH(VLOOKUP($A37,main!$A$3:$H$102,7,FALSE),main!$K$18:$O$18,0),0))),0)</f>
        <v>295</v>
      </c>
      <c r="AO37">
        <f>IF((gamma!AO37),IF(VLOOKUP(AO$1,main!$A$3:$H$102,7,FALSE)=VLOOKUP($A37,main!$A$3:$H$102,8,FALSE),VLOOKUP(AO$1,main!$A$3:$H$102,4,FALSE),VLOOKUP(AO$1,main!$A$3:$H$102,4,FALSE)+VLOOKUP($A37,main!$A$3:$H$102,4,FALSE)+(VLOOKUP(VLOOKUP(AO$1,main!$A$3:$H$102,8,FALSE),main!$K$19:$O$22,MATCH(VLOOKUP($A37,main!$A$3:$H$102,7,FALSE),main!$K$18:$O$18,0),0))),0)</f>
        <v>0</v>
      </c>
      <c r="AP37">
        <f>IF((gamma!AP37),IF(VLOOKUP(AP$1,main!$A$3:$H$102,7,FALSE)=VLOOKUP($A37,main!$A$3:$H$102,8,FALSE),VLOOKUP(AP$1,main!$A$3:$H$102,4,FALSE),VLOOKUP(AP$1,main!$A$3:$H$102,4,FALSE)+VLOOKUP($A37,main!$A$3:$H$102,4,FALSE)+(VLOOKUP(VLOOKUP(AP$1,main!$A$3:$H$102,8,FALSE),main!$K$19:$O$22,MATCH(VLOOKUP($A37,main!$A$3:$H$102,7,FALSE),main!$K$18:$O$18,0),0))),0)</f>
        <v>235</v>
      </c>
      <c r="AQ37">
        <f>IF((gamma!AQ37),IF(VLOOKUP(AQ$1,main!$A$3:$H$102,7,FALSE)=VLOOKUP($A37,main!$A$3:$H$102,8,FALSE),VLOOKUP(AQ$1,main!$A$3:$H$102,4,FALSE),VLOOKUP(AQ$1,main!$A$3:$H$102,4,FALSE)+VLOOKUP($A37,main!$A$3:$H$102,4,FALSE)+(VLOOKUP(VLOOKUP(AQ$1,main!$A$3:$H$102,8,FALSE),main!$K$19:$O$22,MATCH(VLOOKUP($A37,main!$A$3:$H$102,7,FALSE),main!$K$18:$O$18,0),0))),0)</f>
        <v>0</v>
      </c>
      <c r="AR37">
        <f>IF((gamma!AR37),IF(VLOOKUP(AR$1,main!$A$3:$H$102,7,FALSE)=VLOOKUP($A37,main!$A$3:$H$102,8,FALSE),VLOOKUP(AR$1,main!$A$3:$H$102,4,FALSE),VLOOKUP(AR$1,main!$A$3:$H$102,4,FALSE)+VLOOKUP($A37,main!$A$3:$H$102,4,FALSE)+(VLOOKUP(VLOOKUP(AR$1,main!$A$3:$H$102,8,FALSE),main!$K$19:$O$22,MATCH(VLOOKUP($A37,main!$A$3:$H$102,7,FALSE),main!$K$18:$O$18,0),0))),0)</f>
        <v>0</v>
      </c>
      <c r="AS37">
        <f>IF((gamma!AS37),IF(VLOOKUP(AS$1,main!$A$3:$H$102,7,FALSE)=VLOOKUP($A37,main!$A$3:$H$102,8,FALSE),VLOOKUP(AS$1,main!$A$3:$H$102,4,FALSE),VLOOKUP(AS$1,main!$A$3:$H$102,4,FALSE)+VLOOKUP($A37,main!$A$3:$H$102,4,FALSE)+(VLOOKUP(VLOOKUP(AS$1,main!$A$3:$H$102,8,FALSE),main!$K$19:$O$22,MATCH(VLOOKUP($A37,main!$A$3:$H$102,7,FALSE),main!$K$18:$O$18,0),0))),0)</f>
        <v>0</v>
      </c>
      <c r="AT37">
        <f>IF((gamma!AT37),IF(VLOOKUP(AT$1,main!$A$3:$H$102,7,FALSE)=VLOOKUP($A37,main!$A$3:$H$102,8,FALSE),VLOOKUP(AT$1,main!$A$3:$H$102,4,FALSE),VLOOKUP(AT$1,main!$A$3:$H$102,4,FALSE)+VLOOKUP($A37,main!$A$3:$H$102,4,FALSE)+(VLOOKUP(VLOOKUP(AT$1,main!$A$3:$H$102,8,FALSE),main!$K$19:$O$22,MATCH(VLOOKUP($A37,main!$A$3:$H$102,7,FALSE),main!$K$18:$O$18,0),0))),0)</f>
        <v>0</v>
      </c>
      <c r="AU37">
        <f>IF((gamma!AU37),IF(VLOOKUP(AU$1,main!$A$3:$H$102,7,FALSE)=VLOOKUP($A37,main!$A$3:$H$102,8,FALSE),VLOOKUP(AU$1,main!$A$3:$H$102,4,FALSE),VLOOKUP(AU$1,main!$A$3:$H$102,4,FALSE)+VLOOKUP($A37,main!$A$3:$H$102,4,FALSE)+(VLOOKUP(VLOOKUP(AU$1,main!$A$3:$H$102,8,FALSE),main!$K$19:$O$22,MATCH(VLOOKUP($A37,main!$A$3:$H$102,7,FALSE),main!$K$18:$O$18,0),0))),0)</f>
        <v>0</v>
      </c>
      <c r="AV37">
        <f>IF((gamma!AV37),IF(VLOOKUP(AV$1,main!$A$3:$H$102,7,FALSE)=VLOOKUP($A37,main!$A$3:$H$102,8,FALSE),VLOOKUP(AV$1,main!$A$3:$H$102,4,FALSE),VLOOKUP(AV$1,main!$A$3:$H$102,4,FALSE)+VLOOKUP($A37,main!$A$3:$H$102,4,FALSE)+(VLOOKUP(VLOOKUP(AV$1,main!$A$3:$H$102,8,FALSE),main!$K$19:$O$22,MATCH(VLOOKUP($A37,main!$A$3:$H$102,7,FALSE),main!$K$18:$O$18,0),0))),0)</f>
        <v>0</v>
      </c>
      <c r="AW37">
        <f>IF((gamma!AW37),IF(VLOOKUP(AW$1,main!$A$3:$H$102,7,FALSE)=VLOOKUP($A37,main!$A$3:$H$102,8,FALSE),VLOOKUP(AW$1,main!$A$3:$H$102,4,FALSE),VLOOKUP(AW$1,main!$A$3:$H$102,4,FALSE)+VLOOKUP($A37,main!$A$3:$H$102,4,FALSE)+(VLOOKUP(VLOOKUP(AW$1,main!$A$3:$H$102,8,FALSE),main!$K$19:$O$22,MATCH(VLOOKUP($A37,main!$A$3:$H$102,7,FALSE),main!$K$18:$O$18,0),0))),0)</f>
        <v>0</v>
      </c>
      <c r="AX37">
        <f>IF((gamma!AX37),IF(VLOOKUP(AX$1,main!$A$3:$H$102,7,FALSE)=VLOOKUP($A37,main!$A$3:$H$102,8,FALSE),VLOOKUP(AX$1,main!$A$3:$H$102,4,FALSE),VLOOKUP(AX$1,main!$A$3:$H$102,4,FALSE)+VLOOKUP($A37,main!$A$3:$H$102,4,FALSE)+(VLOOKUP(VLOOKUP(AX$1,main!$A$3:$H$102,8,FALSE),main!$K$19:$O$22,MATCH(VLOOKUP($A37,main!$A$3:$H$102,7,FALSE),main!$K$18:$O$18,0),0))),0)</f>
        <v>0</v>
      </c>
      <c r="AY37">
        <f>IF((gamma!AY37),IF(VLOOKUP(AY$1,main!$A$3:$H$102,7,FALSE)=VLOOKUP($A37,main!$A$3:$H$102,8,FALSE),VLOOKUP(AY$1,main!$A$3:$H$102,4,FALSE),VLOOKUP(AY$1,main!$A$3:$H$102,4,FALSE)+VLOOKUP($A37,main!$A$3:$H$102,4,FALSE)+(VLOOKUP(VLOOKUP(AY$1,main!$A$3:$H$102,8,FALSE),main!$K$19:$O$22,MATCH(VLOOKUP($A37,main!$A$3:$H$102,7,FALSE),main!$K$18:$O$18,0),0))),0)</f>
        <v>0</v>
      </c>
      <c r="AZ37">
        <f>IF((gamma!AZ37),IF(VLOOKUP(AZ$1,main!$A$3:$H$102,7,FALSE)=VLOOKUP($A37,main!$A$3:$H$102,8,FALSE),VLOOKUP(AZ$1,main!$A$3:$H$102,4,FALSE),VLOOKUP(AZ$1,main!$A$3:$H$102,4,FALSE)+VLOOKUP($A37,main!$A$3:$H$102,4,FALSE)+(VLOOKUP(VLOOKUP(AZ$1,main!$A$3:$H$102,8,FALSE),main!$K$19:$O$22,MATCH(VLOOKUP($A37,main!$A$3:$H$102,7,FALSE),main!$K$18:$O$18,0),0))),0)</f>
        <v>0</v>
      </c>
      <c r="BA37">
        <f>IF((gamma!BA37),IF(VLOOKUP(BA$1,main!$A$3:$H$102,7,FALSE)=VLOOKUP($A37,main!$A$3:$H$102,8,FALSE),VLOOKUP(BA$1,main!$A$3:$H$102,4,FALSE),VLOOKUP(BA$1,main!$A$3:$H$102,4,FALSE)+VLOOKUP($A37,main!$A$3:$H$102,4,FALSE)+(VLOOKUP(VLOOKUP(BA$1,main!$A$3:$H$102,8,FALSE),main!$K$19:$O$22,MATCH(VLOOKUP($A37,main!$A$3:$H$102,7,FALSE),main!$K$18:$O$18,0),0))),0)</f>
        <v>0</v>
      </c>
      <c r="BB37">
        <f>IF((gamma!BB37),IF(VLOOKUP(BB$1,main!$A$3:$H$102,7,FALSE)=VLOOKUP($A37,main!$A$3:$H$102,8,FALSE),VLOOKUP(BB$1,main!$A$3:$H$102,4,FALSE),VLOOKUP(BB$1,main!$A$3:$H$102,4,FALSE)+VLOOKUP($A37,main!$A$3:$H$102,4,FALSE)+(VLOOKUP(VLOOKUP(BB$1,main!$A$3:$H$102,8,FALSE),main!$K$19:$O$22,MATCH(VLOOKUP($A37,main!$A$3:$H$102,7,FALSE),main!$K$18:$O$18,0),0))),0)</f>
        <v>0</v>
      </c>
      <c r="BC37">
        <f>IF((gamma!BC37),IF(VLOOKUP(BC$1,main!$A$3:$H$102,7,FALSE)=VLOOKUP($A37,main!$A$3:$H$102,8,FALSE),VLOOKUP(BC$1,main!$A$3:$H$102,4,FALSE),VLOOKUP(BC$1,main!$A$3:$H$102,4,FALSE)+VLOOKUP($A37,main!$A$3:$H$102,4,FALSE)+(VLOOKUP(VLOOKUP(BC$1,main!$A$3:$H$102,8,FALSE),main!$K$19:$O$22,MATCH(VLOOKUP($A37,main!$A$3:$H$102,7,FALSE),main!$K$18:$O$18,0),0))),0)</f>
        <v>0</v>
      </c>
      <c r="BD37">
        <f>IF((gamma!BD37),IF(VLOOKUP(BD$1,main!$A$3:$H$102,7,FALSE)=VLOOKUP($A37,main!$A$3:$H$102,8,FALSE),VLOOKUP(BD$1,main!$A$3:$H$102,4,FALSE),VLOOKUP(BD$1,main!$A$3:$H$102,4,FALSE)+VLOOKUP($A37,main!$A$3:$H$102,4,FALSE)+(VLOOKUP(VLOOKUP(BD$1,main!$A$3:$H$102,8,FALSE),main!$K$19:$O$22,MATCH(VLOOKUP($A37,main!$A$3:$H$102,7,FALSE),main!$K$18:$O$18,0),0))),0)</f>
        <v>0</v>
      </c>
      <c r="BE37">
        <f>IF((gamma!BE37),IF(VLOOKUP(BE$1,main!$A$3:$H$102,7,FALSE)=VLOOKUP($A37,main!$A$3:$H$102,8,FALSE),VLOOKUP(BE$1,main!$A$3:$H$102,4,FALSE),VLOOKUP(BE$1,main!$A$3:$H$102,4,FALSE)+VLOOKUP($A37,main!$A$3:$H$102,4,FALSE)+(VLOOKUP(VLOOKUP(BE$1,main!$A$3:$H$102,8,FALSE),main!$K$19:$O$22,MATCH(VLOOKUP($A37,main!$A$3:$H$102,7,FALSE),main!$K$18:$O$18,0),0))),0)</f>
        <v>0</v>
      </c>
      <c r="BF37">
        <f>IF((gamma!BF37),IF(VLOOKUP(BF$1,main!$A$3:$H$102,7,FALSE)=VLOOKUP($A37,main!$A$3:$H$102,8,FALSE),VLOOKUP(BF$1,main!$A$3:$H$102,4,FALSE),VLOOKUP(BF$1,main!$A$3:$H$102,4,FALSE)+VLOOKUP($A37,main!$A$3:$H$102,4,FALSE)+(VLOOKUP(VLOOKUP(BF$1,main!$A$3:$H$102,8,FALSE),main!$K$19:$O$22,MATCH(VLOOKUP($A37,main!$A$3:$H$102,7,FALSE),main!$K$18:$O$18,0),0))),0)</f>
        <v>0</v>
      </c>
      <c r="BG37">
        <f>IF((gamma!BG37),IF(VLOOKUP(BG$1,main!$A$3:$H$102,7,FALSE)=VLOOKUP($A37,main!$A$3:$H$102,8,FALSE),VLOOKUP(BG$1,main!$A$3:$H$102,4,FALSE),VLOOKUP(BG$1,main!$A$3:$H$102,4,FALSE)+VLOOKUP($A37,main!$A$3:$H$102,4,FALSE)+(VLOOKUP(VLOOKUP(BG$1,main!$A$3:$H$102,8,FALSE),main!$K$19:$O$22,MATCH(VLOOKUP($A37,main!$A$3:$H$102,7,FALSE),main!$K$18:$O$18,0),0))),0)</f>
        <v>0</v>
      </c>
      <c r="BH37">
        <f>IF((gamma!BH37),IF(VLOOKUP(BH$1,main!$A$3:$H$102,7,FALSE)=VLOOKUP($A37,main!$A$3:$H$102,8,FALSE),VLOOKUP(BH$1,main!$A$3:$H$102,4,FALSE),VLOOKUP(BH$1,main!$A$3:$H$102,4,FALSE)+VLOOKUP($A37,main!$A$3:$H$102,4,FALSE)+(VLOOKUP(VLOOKUP(BH$1,main!$A$3:$H$102,8,FALSE),main!$K$19:$O$22,MATCH(VLOOKUP($A37,main!$A$3:$H$102,7,FALSE),main!$K$18:$O$18,0),0))),0)</f>
        <v>0</v>
      </c>
      <c r="BI37">
        <f>IF((gamma!BI37),IF(VLOOKUP(BI$1,main!$A$3:$H$102,7,FALSE)=VLOOKUP($A37,main!$A$3:$H$102,8,FALSE),VLOOKUP(BI$1,main!$A$3:$H$102,4,FALSE),VLOOKUP(BI$1,main!$A$3:$H$102,4,FALSE)+VLOOKUP($A37,main!$A$3:$H$102,4,FALSE)+(VLOOKUP(VLOOKUP(BI$1,main!$A$3:$H$102,8,FALSE),main!$K$19:$O$22,MATCH(VLOOKUP($A37,main!$A$3:$H$102,7,FALSE),main!$K$18:$O$18,0),0))),0)</f>
        <v>220</v>
      </c>
      <c r="BJ37">
        <f>IF((gamma!BJ37),IF(VLOOKUP(BJ$1,main!$A$3:$H$102,7,FALSE)=VLOOKUP($A37,main!$A$3:$H$102,8,FALSE),VLOOKUP(BJ$1,main!$A$3:$H$102,4,FALSE),VLOOKUP(BJ$1,main!$A$3:$H$102,4,FALSE)+VLOOKUP($A37,main!$A$3:$H$102,4,FALSE)+(VLOOKUP(VLOOKUP(BJ$1,main!$A$3:$H$102,8,FALSE),main!$K$19:$O$22,MATCH(VLOOKUP($A37,main!$A$3:$H$102,7,FALSE),main!$K$18:$O$18,0),0))),0)</f>
        <v>0</v>
      </c>
      <c r="BK37">
        <f>IF((gamma!BK37),IF(VLOOKUP(BK$1,main!$A$3:$H$102,7,FALSE)=VLOOKUP($A37,main!$A$3:$H$102,8,FALSE),VLOOKUP(BK$1,main!$A$3:$H$102,4,FALSE),VLOOKUP(BK$1,main!$A$3:$H$102,4,FALSE)+VLOOKUP($A37,main!$A$3:$H$102,4,FALSE)+(VLOOKUP(VLOOKUP(BK$1,main!$A$3:$H$102,8,FALSE),main!$K$19:$O$22,MATCH(VLOOKUP($A37,main!$A$3:$H$102,7,FALSE),main!$K$18:$O$18,0),0))),0)</f>
        <v>0</v>
      </c>
      <c r="BL37">
        <f>IF((gamma!BL37),IF(VLOOKUP(BL$1,main!$A$3:$H$102,7,FALSE)=VLOOKUP($A37,main!$A$3:$H$102,8,FALSE),VLOOKUP(BL$1,main!$A$3:$H$102,4,FALSE),VLOOKUP(BL$1,main!$A$3:$H$102,4,FALSE)+VLOOKUP($A37,main!$A$3:$H$102,4,FALSE)+(VLOOKUP(VLOOKUP(BL$1,main!$A$3:$H$102,8,FALSE),main!$K$19:$O$22,MATCH(VLOOKUP($A37,main!$A$3:$H$102,7,FALSE),main!$K$18:$O$18,0),0))),0)</f>
        <v>0</v>
      </c>
      <c r="BM37">
        <f>IF((gamma!BM37),IF(VLOOKUP(BM$1,main!$A$3:$H$102,7,FALSE)=VLOOKUP($A37,main!$A$3:$H$102,8,FALSE),VLOOKUP(BM$1,main!$A$3:$H$102,4,FALSE),VLOOKUP(BM$1,main!$A$3:$H$102,4,FALSE)+VLOOKUP($A37,main!$A$3:$H$102,4,FALSE)+(VLOOKUP(VLOOKUP(BM$1,main!$A$3:$H$102,8,FALSE),main!$K$19:$O$22,MATCH(VLOOKUP($A37,main!$A$3:$H$102,7,FALSE),main!$K$18:$O$18,0),0))),0)</f>
        <v>0</v>
      </c>
      <c r="BN37">
        <f>IF((gamma!BN37),IF(VLOOKUP(BN$1,main!$A$3:$H$102,7,FALSE)=VLOOKUP($A37,main!$A$3:$H$102,8,FALSE),VLOOKUP(BN$1,main!$A$3:$H$102,4,FALSE),VLOOKUP(BN$1,main!$A$3:$H$102,4,FALSE)+VLOOKUP($A37,main!$A$3:$H$102,4,FALSE)+(VLOOKUP(VLOOKUP(BN$1,main!$A$3:$H$102,8,FALSE),main!$K$19:$O$22,MATCH(VLOOKUP($A37,main!$A$3:$H$102,7,FALSE),main!$K$18:$O$18,0),0))),0)</f>
        <v>0</v>
      </c>
      <c r="BO37">
        <f>IF((gamma!BO37),IF(VLOOKUP(BO$1,main!$A$3:$H$102,7,FALSE)=VLOOKUP($A37,main!$A$3:$H$102,8,FALSE),VLOOKUP(BO$1,main!$A$3:$H$102,4,FALSE),VLOOKUP(BO$1,main!$A$3:$H$102,4,FALSE)+VLOOKUP($A37,main!$A$3:$H$102,4,FALSE)+(VLOOKUP(VLOOKUP(BO$1,main!$A$3:$H$102,8,FALSE),main!$K$19:$O$22,MATCH(VLOOKUP($A37,main!$A$3:$H$102,7,FALSE),main!$K$18:$O$18,0),0))),0)</f>
        <v>0</v>
      </c>
      <c r="BP37">
        <f>IF((gamma!BP37),IF(VLOOKUP(BP$1,main!$A$3:$H$102,7,FALSE)=VLOOKUP($A37,main!$A$3:$H$102,8,FALSE),VLOOKUP(BP$1,main!$A$3:$H$102,4,FALSE),VLOOKUP(BP$1,main!$A$3:$H$102,4,FALSE)+VLOOKUP($A37,main!$A$3:$H$102,4,FALSE)+(VLOOKUP(VLOOKUP(BP$1,main!$A$3:$H$102,8,FALSE),main!$K$19:$O$22,MATCH(VLOOKUP($A37,main!$A$3:$H$102,7,FALSE),main!$K$18:$O$18,0),0))),0)</f>
        <v>0</v>
      </c>
      <c r="BQ37">
        <f>IF((gamma!BQ37),IF(VLOOKUP(BQ$1,main!$A$3:$H$102,7,FALSE)=VLOOKUP($A37,main!$A$3:$H$102,8,FALSE),VLOOKUP(BQ$1,main!$A$3:$H$102,4,FALSE),VLOOKUP(BQ$1,main!$A$3:$H$102,4,FALSE)+VLOOKUP($A37,main!$A$3:$H$102,4,FALSE)+(VLOOKUP(VLOOKUP(BQ$1,main!$A$3:$H$102,8,FALSE),main!$K$19:$O$22,MATCH(VLOOKUP($A37,main!$A$3:$H$102,7,FALSE),main!$K$18:$O$18,0),0))),0)</f>
        <v>0</v>
      </c>
      <c r="BR37">
        <f>IF((gamma!BR37),IF(VLOOKUP(BR$1,main!$A$3:$H$102,7,FALSE)=VLOOKUP($A37,main!$A$3:$H$102,8,FALSE),VLOOKUP(BR$1,main!$A$3:$H$102,4,FALSE),VLOOKUP(BR$1,main!$A$3:$H$102,4,FALSE)+VLOOKUP($A37,main!$A$3:$H$102,4,FALSE)+(VLOOKUP(VLOOKUP(BR$1,main!$A$3:$H$102,8,FALSE),main!$K$19:$O$22,MATCH(VLOOKUP($A37,main!$A$3:$H$102,7,FALSE),main!$K$18:$O$18,0),0))),0)</f>
        <v>0</v>
      </c>
      <c r="BS37">
        <f>IF((gamma!BS37),IF(VLOOKUP(BS$1,main!$A$3:$H$102,7,FALSE)=VLOOKUP($A37,main!$A$3:$H$102,8,FALSE),VLOOKUP(BS$1,main!$A$3:$H$102,4,FALSE),VLOOKUP(BS$1,main!$A$3:$H$102,4,FALSE)+VLOOKUP($A37,main!$A$3:$H$102,4,FALSE)+(VLOOKUP(VLOOKUP(BS$1,main!$A$3:$H$102,8,FALSE),main!$K$19:$O$22,MATCH(VLOOKUP($A37,main!$A$3:$H$102,7,FALSE),main!$K$18:$O$18,0),0))),0)</f>
        <v>0</v>
      </c>
      <c r="BT37">
        <f>IF((gamma!BT37),IF(VLOOKUP(BT$1,main!$A$3:$H$102,7,FALSE)=VLOOKUP($A37,main!$A$3:$H$102,8,FALSE),VLOOKUP(BT$1,main!$A$3:$H$102,4,FALSE),VLOOKUP(BT$1,main!$A$3:$H$102,4,FALSE)+VLOOKUP($A37,main!$A$3:$H$102,4,FALSE)+(VLOOKUP(VLOOKUP(BT$1,main!$A$3:$H$102,8,FALSE),main!$K$19:$O$22,MATCH(VLOOKUP($A37,main!$A$3:$H$102,7,FALSE),main!$K$18:$O$18,0),0))),0)</f>
        <v>0</v>
      </c>
      <c r="BU37">
        <f>IF((gamma!BU37),IF(VLOOKUP(BU$1,main!$A$3:$H$102,7,FALSE)=VLOOKUP($A37,main!$A$3:$H$102,8,FALSE),VLOOKUP(BU$1,main!$A$3:$H$102,4,FALSE),VLOOKUP(BU$1,main!$A$3:$H$102,4,FALSE)+VLOOKUP($A37,main!$A$3:$H$102,4,FALSE)+(VLOOKUP(VLOOKUP(BU$1,main!$A$3:$H$102,8,FALSE),main!$K$19:$O$22,MATCH(VLOOKUP($A37,main!$A$3:$H$102,7,FALSE),main!$K$18:$O$18,0),0))),0)</f>
        <v>0</v>
      </c>
      <c r="BV37">
        <f>IF((gamma!BV37),IF(VLOOKUP(BV$1,main!$A$3:$H$102,7,FALSE)=VLOOKUP($A37,main!$A$3:$H$102,8,FALSE),VLOOKUP(BV$1,main!$A$3:$H$102,4,FALSE),VLOOKUP(BV$1,main!$A$3:$H$102,4,FALSE)+VLOOKUP($A37,main!$A$3:$H$102,4,FALSE)+(VLOOKUP(VLOOKUP(BV$1,main!$A$3:$H$102,8,FALSE),main!$K$19:$O$22,MATCH(VLOOKUP($A37,main!$A$3:$H$102,7,FALSE),main!$K$18:$O$18,0),0))),0)</f>
        <v>0</v>
      </c>
      <c r="BW37">
        <f>IF((gamma!BW37),IF(VLOOKUP(BW$1,main!$A$3:$H$102,7,FALSE)=VLOOKUP($A37,main!$A$3:$H$102,8,FALSE),VLOOKUP(BW$1,main!$A$3:$H$102,4,FALSE),VLOOKUP(BW$1,main!$A$3:$H$102,4,FALSE)+VLOOKUP($A37,main!$A$3:$H$102,4,FALSE)+(VLOOKUP(VLOOKUP(BW$1,main!$A$3:$H$102,8,FALSE),main!$K$19:$O$22,MATCH(VLOOKUP($A37,main!$A$3:$H$102,7,FALSE),main!$K$18:$O$18,0),0))),0)</f>
        <v>0</v>
      </c>
      <c r="BX37">
        <f>IF((gamma!BX37),IF(VLOOKUP(BX$1,main!$A$3:$H$102,7,FALSE)=VLOOKUP($A37,main!$A$3:$H$102,8,FALSE),VLOOKUP(BX$1,main!$A$3:$H$102,4,FALSE),VLOOKUP(BX$1,main!$A$3:$H$102,4,FALSE)+VLOOKUP($A37,main!$A$3:$H$102,4,FALSE)+(VLOOKUP(VLOOKUP(BX$1,main!$A$3:$H$102,8,FALSE),main!$K$19:$O$22,MATCH(VLOOKUP($A37,main!$A$3:$H$102,7,FALSE),main!$K$18:$O$18,0),0))),0)</f>
        <v>0</v>
      </c>
      <c r="BY37">
        <f>IF((gamma!BY37),IF(VLOOKUP(BY$1,main!$A$3:$H$102,7,FALSE)=VLOOKUP($A37,main!$A$3:$H$102,8,FALSE),VLOOKUP(BY$1,main!$A$3:$H$102,4,FALSE),VLOOKUP(BY$1,main!$A$3:$H$102,4,FALSE)+VLOOKUP($A37,main!$A$3:$H$102,4,FALSE)+(VLOOKUP(VLOOKUP(BY$1,main!$A$3:$H$102,8,FALSE),main!$K$19:$O$22,MATCH(VLOOKUP($A37,main!$A$3:$H$102,7,FALSE),main!$K$18:$O$18,0),0))),0)</f>
        <v>0</v>
      </c>
      <c r="BZ37">
        <f>IF((gamma!BZ37),IF(VLOOKUP(BZ$1,main!$A$3:$H$102,7,FALSE)=VLOOKUP($A37,main!$A$3:$H$102,8,FALSE),VLOOKUP(BZ$1,main!$A$3:$H$102,4,FALSE),VLOOKUP(BZ$1,main!$A$3:$H$102,4,FALSE)+VLOOKUP($A37,main!$A$3:$H$102,4,FALSE)+(VLOOKUP(VLOOKUP(BZ$1,main!$A$3:$H$102,8,FALSE),main!$K$19:$O$22,MATCH(VLOOKUP($A37,main!$A$3:$H$102,7,FALSE),main!$K$18:$O$18,0),0))),0)</f>
        <v>0</v>
      </c>
      <c r="CA37">
        <f>IF((gamma!CA37),IF(VLOOKUP(CA$1,main!$A$3:$H$102,7,FALSE)=VLOOKUP($A37,main!$A$3:$H$102,8,FALSE),VLOOKUP(CA$1,main!$A$3:$H$102,4,FALSE),VLOOKUP(CA$1,main!$A$3:$H$102,4,FALSE)+VLOOKUP($A37,main!$A$3:$H$102,4,FALSE)+(VLOOKUP(VLOOKUP(CA$1,main!$A$3:$H$102,8,FALSE),main!$K$19:$O$22,MATCH(VLOOKUP($A37,main!$A$3:$H$102,7,FALSE),main!$K$18:$O$18,0),0))),0)</f>
        <v>0</v>
      </c>
      <c r="CB37">
        <f>IF((gamma!CB37),IF(VLOOKUP(CB$1,main!$A$3:$H$102,7,FALSE)=VLOOKUP($A37,main!$A$3:$H$102,8,FALSE),VLOOKUP(CB$1,main!$A$3:$H$102,4,FALSE),VLOOKUP(CB$1,main!$A$3:$H$102,4,FALSE)+VLOOKUP($A37,main!$A$3:$H$102,4,FALSE)+(VLOOKUP(VLOOKUP(CB$1,main!$A$3:$H$102,8,FALSE),main!$K$19:$O$22,MATCH(VLOOKUP($A37,main!$A$3:$H$102,7,FALSE),main!$K$18:$O$18,0),0))),0)</f>
        <v>0</v>
      </c>
      <c r="CC37">
        <f>IF((gamma!CC37),IF(VLOOKUP(CC$1,main!$A$3:$H$102,7,FALSE)=VLOOKUP($A37,main!$A$3:$H$102,8,FALSE),VLOOKUP(CC$1,main!$A$3:$H$102,4,FALSE),VLOOKUP(CC$1,main!$A$3:$H$102,4,FALSE)+VLOOKUP($A37,main!$A$3:$H$102,4,FALSE)+(VLOOKUP(VLOOKUP(CC$1,main!$A$3:$H$102,8,FALSE),main!$K$19:$O$22,MATCH(VLOOKUP($A37,main!$A$3:$H$102,7,FALSE),main!$K$18:$O$18,0),0))),0)</f>
        <v>230</v>
      </c>
      <c r="CD37">
        <f>IF((gamma!CD37),IF(VLOOKUP(CD$1,main!$A$3:$H$102,7,FALSE)=VLOOKUP($A37,main!$A$3:$H$102,8,FALSE),VLOOKUP(CD$1,main!$A$3:$H$102,4,FALSE),VLOOKUP(CD$1,main!$A$3:$H$102,4,FALSE)+VLOOKUP($A37,main!$A$3:$H$102,4,FALSE)+(VLOOKUP(VLOOKUP(CD$1,main!$A$3:$H$102,8,FALSE),main!$K$19:$O$22,MATCH(VLOOKUP($A37,main!$A$3:$H$102,7,FALSE),main!$K$18:$O$18,0),0))),0)</f>
        <v>0</v>
      </c>
      <c r="CE37">
        <f>IF((gamma!CE37),IF(VLOOKUP(CE$1,main!$A$3:$H$102,7,FALSE)=VLOOKUP($A37,main!$A$3:$H$102,8,FALSE),VLOOKUP(CE$1,main!$A$3:$H$102,4,FALSE),VLOOKUP(CE$1,main!$A$3:$H$102,4,FALSE)+VLOOKUP($A37,main!$A$3:$H$102,4,FALSE)+(VLOOKUP(VLOOKUP(CE$1,main!$A$3:$H$102,8,FALSE),main!$K$19:$O$22,MATCH(VLOOKUP($A37,main!$A$3:$H$102,7,FALSE),main!$K$18:$O$18,0),0))),0)</f>
        <v>0</v>
      </c>
      <c r="CF37">
        <f>IF((gamma!CF37),IF(VLOOKUP(CF$1,main!$A$3:$H$102,7,FALSE)=VLOOKUP($A37,main!$A$3:$H$102,8,FALSE),VLOOKUP(CF$1,main!$A$3:$H$102,4,FALSE),VLOOKUP(CF$1,main!$A$3:$H$102,4,FALSE)+VLOOKUP($A37,main!$A$3:$H$102,4,FALSE)+(VLOOKUP(VLOOKUP(CF$1,main!$A$3:$H$102,8,FALSE),main!$K$19:$O$22,MATCH(VLOOKUP($A37,main!$A$3:$H$102,7,FALSE),main!$K$18:$O$18,0),0))),0)</f>
        <v>0</v>
      </c>
      <c r="CG37">
        <f>IF((gamma!CG37),IF(VLOOKUP(CG$1,main!$A$3:$H$102,7,FALSE)=VLOOKUP($A37,main!$A$3:$H$102,8,FALSE),VLOOKUP(CG$1,main!$A$3:$H$102,4,FALSE),VLOOKUP(CG$1,main!$A$3:$H$102,4,FALSE)+VLOOKUP($A37,main!$A$3:$H$102,4,FALSE)+(VLOOKUP(VLOOKUP(CG$1,main!$A$3:$H$102,8,FALSE),main!$K$19:$O$22,MATCH(VLOOKUP($A37,main!$A$3:$H$102,7,FALSE),main!$K$18:$O$18,0),0))),0)</f>
        <v>0</v>
      </c>
      <c r="CH37">
        <f>IF((gamma!CH37),IF(VLOOKUP(CH$1,main!$A$3:$H$102,7,FALSE)=VLOOKUP($A37,main!$A$3:$H$102,8,FALSE),VLOOKUP(CH$1,main!$A$3:$H$102,4,FALSE),VLOOKUP(CH$1,main!$A$3:$H$102,4,FALSE)+VLOOKUP($A37,main!$A$3:$H$102,4,FALSE)+(VLOOKUP(VLOOKUP(CH$1,main!$A$3:$H$102,8,FALSE),main!$K$19:$O$22,MATCH(VLOOKUP($A37,main!$A$3:$H$102,7,FALSE),main!$K$18:$O$18,0),0))),0)</f>
        <v>0</v>
      </c>
      <c r="CI37">
        <f>IF((gamma!CI37),IF(VLOOKUP(CI$1,main!$A$3:$H$102,7,FALSE)=VLOOKUP($A37,main!$A$3:$H$102,8,FALSE),VLOOKUP(CI$1,main!$A$3:$H$102,4,FALSE),VLOOKUP(CI$1,main!$A$3:$H$102,4,FALSE)+VLOOKUP($A37,main!$A$3:$H$102,4,FALSE)+(VLOOKUP(VLOOKUP(CI$1,main!$A$3:$H$102,8,FALSE),main!$K$19:$O$22,MATCH(VLOOKUP($A37,main!$A$3:$H$102,7,FALSE),main!$K$18:$O$18,0),0))),0)</f>
        <v>300</v>
      </c>
      <c r="CJ37">
        <f>IF((gamma!CJ37),IF(VLOOKUP(CJ$1,main!$A$3:$H$102,7,FALSE)=VLOOKUP($A37,main!$A$3:$H$102,8,FALSE),VLOOKUP(CJ$1,main!$A$3:$H$102,4,FALSE),VLOOKUP(CJ$1,main!$A$3:$H$102,4,FALSE)+VLOOKUP($A37,main!$A$3:$H$102,4,FALSE)+(VLOOKUP(VLOOKUP(CJ$1,main!$A$3:$H$102,8,FALSE),main!$K$19:$O$22,MATCH(VLOOKUP($A37,main!$A$3:$H$102,7,FALSE),main!$K$18:$O$18,0),0))),0)</f>
        <v>0</v>
      </c>
      <c r="CK37">
        <f>IF((gamma!CK37),IF(VLOOKUP(CK$1,main!$A$3:$H$102,7,FALSE)=VLOOKUP($A37,main!$A$3:$H$102,8,FALSE),VLOOKUP(CK$1,main!$A$3:$H$102,4,FALSE),VLOOKUP(CK$1,main!$A$3:$H$102,4,FALSE)+VLOOKUP($A37,main!$A$3:$H$102,4,FALSE)+(VLOOKUP(VLOOKUP(CK$1,main!$A$3:$H$102,8,FALSE),main!$K$19:$O$22,MATCH(VLOOKUP($A37,main!$A$3:$H$102,7,FALSE),main!$K$18:$O$18,0),0))),0)</f>
        <v>0</v>
      </c>
      <c r="CL37">
        <f>IF((gamma!CL37),IF(VLOOKUP(CL$1,main!$A$3:$H$102,7,FALSE)=VLOOKUP($A37,main!$A$3:$H$102,8,FALSE),VLOOKUP(CL$1,main!$A$3:$H$102,4,FALSE),VLOOKUP(CL$1,main!$A$3:$H$102,4,FALSE)+VLOOKUP($A37,main!$A$3:$H$102,4,FALSE)+(VLOOKUP(VLOOKUP(CL$1,main!$A$3:$H$102,8,FALSE),main!$K$19:$O$22,MATCH(VLOOKUP($A37,main!$A$3:$H$102,7,FALSE),main!$K$18:$O$18,0),0))),0)</f>
        <v>0</v>
      </c>
      <c r="CM37">
        <f>IF((gamma!CM37),IF(VLOOKUP(CM$1,main!$A$3:$H$102,7,FALSE)=VLOOKUP($A37,main!$A$3:$H$102,8,FALSE),VLOOKUP(CM$1,main!$A$3:$H$102,4,FALSE),VLOOKUP(CM$1,main!$A$3:$H$102,4,FALSE)+VLOOKUP($A37,main!$A$3:$H$102,4,FALSE)+(VLOOKUP(VLOOKUP(CM$1,main!$A$3:$H$102,8,FALSE),main!$K$19:$O$22,MATCH(VLOOKUP($A37,main!$A$3:$H$102,7,FALSE),main!$K$18:$O$18,0),0))),0)</f>
        <v>0</v>
      </c>
      <c r="CN37">
        <f>IF((gamma!CN37),IF(VLOOKUP(CN$1,main!$A$3:$H$102,7,FALSE)=VLOOKUP($A37,main!$A$3:$H$102,8,FALSE),VLOOKUP(CN$1,main!$A$3:$H$102,4,FALSE),VLOOKUP(CN$1,main!$A$3:$H$102,4,FALSE)+VLOOKUP($A37,main!$A$3:$H$102,4,FALSE)+(VLOOKUP(VLOOKUP(CN$1,main!$A$3:$H$102,8,FALSE),main!$K$19:$O$22,MATCH(VLOOKUP($A37,main!$A$3:$H$102,7,FALSE),main!$K$18:$O$18,0),0))),0)</f>
        <v>256</v>
      </c>
      <c r="CO37">
        <f>IF((gamma!CO37),IF(VLOOKUP(CO$1,main!$A$3:$H$102,7,FALSE)=VLOOKUP($A37,main!$A$3:$H$102,8,FALSE),VLOOKUP(CO$1,main!$A$3:$H$102,4,FALSE),VLOOKUP(CO$1,main!$A$3:$H$102,4,FALSE)+VLOOKUP($A37,main!$A$3:$H$102,4,FALSE)+(VLOOKUP(VLOOKUP(CO$1,main!$A$3:$H$102,8,FALSE),main!$K$19:$O$22,MATCH(VLOOKUP($A37,main!$A$3:$H$102,7,FALSE),main!$K$18:$O$18,0),0))),0)</f>
        <v>0</v>
      </c>
      <c r="CP37">
        <f>IF((gamma!CP37),IF(VLOOKUP(CP$1,main!$A$3:$H$102,7,FALSE)=VLOOKUP($A37,main!$A$3:$H$102,8,FALSE),VLOOKUP(CP$1,main!$A$3:$H$102,4,FALSE),VLOOKUP(CP$1,main!$A$3:$H$102,4,FALSE)+VLOOKUP($A37,main!$A$3:$H$102,4,FALSE)+(VLOOKUP(VLOOKUP(CP$1,main!$A$3:$H$102,8,FALSE),main!$K$19:$O$22,MATCH(VLOOKUP($A37,main!$A$3:$H$102,7,FALSE),main!$K$18:$O$18,0),0))),0)</f>
        <v>0</v>
      </c>
      <c r="CQ37">
        <f>IF((gamma!CQ37),IF(VLOOKUP(CQ$1,main!$A$3:$H$102,7,FALSE)=VLOOKUP($A37,main!$A$3:$H$102,8,FALSE),VLOOKUP(CQ$1,main!$A$3:$H$102,4,FALSE),VLOOKUP(CQ$1,main!$A$3:$H$102,4,FALSE)+VLOOKUP($A37,main!$A$3:$H$102,4,FALSE)+(VLOOKUP(VLOOKUP(CQ$1,main!$A$3:$H$102,8,FALSE),main!$K$19:$O$22,MATCH(VLOOKUP($A37,main!$A$3:$H$102,7,FALSE),main!$K$18:$O$18,0),0))),0)</f>
        <v>0</v>
      </c>
      <c r="CR37">
        <f>IF((gamma!CR37),IF(VLOOKUP(CR$1,main!$A$3:$H$102,7,FALSE)=VLOOKUP($A37,main!$A$3:$H$102,8,FALSE),VLOOKUP(CR$1,main!$A$3:$H$102,4,FALSE),VLOOKUP(CR$1,main!$A$3:$H$102,4,FALSE)+VLOOKUP($A37,main!$A$3:$H$102,4,FALSE)+(VLOOKUP(VLOOKUP(CR$1,main!$A$3:$H$102,8,FALSE),main!$K$19:$O$22,MATCH(VLOOKUP($A37,main!$A$3:$H$102,7,FALSE),main!$K$18:$O$18,0),0))),0)</f>
        <v>0</v>
      </c>
      <c r="CS37">
        <f>IF((gamma!CS37),IF(VLOOKUP(CS$1,main!$A$3:$H$102,7,FALSE)=VLOOKUP($A37,main!$A$3:$H$102,8,FALSE),VLOOKUP(CS$1,main!$A$3:$H$102,4,FALSE),VLOOKUP(CS$1,main!$A$3:$H$102,4,FALSE)+VLOOKUP($A37,main!$A$3:$H$102,4,FALSE)+(VLOOKUP(VLOOKUP(CS$1,main!$A$3:$H$102,8,FALSE),main!$K$19:$O$22,MATCH(VLOOKUP($A37,main!$A$3:$H$102,7,FALSE),main!$K$18:$O$18,0),0))),0)</f>
        <v>0</v>
      </c>
      <c r="CT37">
        <f>IF((gamma!CT37),IF(VLOOKUP(CT$1,main!$A$3:$H$102,7,FALSE)=VLOOKUP($A37,main!$A$3:$H$102,8,FALSE),VLOOKUP(CT$1,main!$A$3:$H$102,4,FALSE),VLOOKUP(CT$1,main!$A$3:$H$102,4,FALSE)+VLOOKUP($A37,main!$A$3:$H$102,4,FALSE)+(VLOOKUP(VLOOKUP(CT$1,main!$A$3:$H$102,8,FALSE),main!$K$19:$O$22,MATCH(VLOOKUP($A37,main!$A$3:$H$102,7,FALSE),main!$K$18:$O$18,0),0))),0)</f>
        <v>0</v>
      </c>
      <c r="CU37">
        <f>IF((gamma!CU37),IF(VLOOKUP(CU$1,main!$A$3:$H$102,7,FALSE)=VLOOKUP($A37,main!$A$3:$H$102,8,FALSE),VLOOKUP(CU$1,main!$A$3:$H$102,4,FALSE),VLOOKUP(CU$1,main!$A$3:$H$102,4,FALSE)+VLOOKUP($A37,main!$A$3:$H$102,4,FALSE)+(VLOOKUP(VLOOKUP(CU$1,main!$A$3:$H$102,8,FALSE),main!$K$19:$O$22,MATCH(VLOOKUP($A37,main!$A$3:$H$102,7,FALSE),main!$K$18:$O$18,0),0))),0)</f>
        <v>0</v>
      </c>
      <c r="CV37">
        <f>IF((gamma!CV37),IF(VLOOKUP(CV$1,main!$A$3:$H$102,7,FALSE)=VLOOKUP($A37,main!$A$3:$H$102,8,FALSE),VLOOKUP(CV$1,main!$A$3:$H$102,4,FALSE),VLOOKUP(CV$1,main!$A$3:$H$102,4,FALSE)+VLOOKUP($A37,main!$A$3:$H$102,4,FALSE)+(VLOOKUP(VLOOKUP(CV$1,main!$A$3:$H$102,8,FALSE),main!$K$19:$O$22,MATCH(VLOOKUP($A37,main!$A$3:$H$102,7,FALSE),main!$K$18:$O$18,0),0))),0)</f>
        <v>0</v>
      </c>
      <c r="CW37">
        <f>IF((gamma!CW37),IF(VLOOKUP(CW$1,main!$A$3:$H$102,7,FALSE)=VLOOKUP($A37,main!$A$3:$H$102,8,FALSE),VLOOKUP(CW$1,main!$A$3:$H$102,4,FALSE),VLOOKUP(CW$1,main!$A$3:$H$102,4,FALSE)+VLOOKUP($A37,main!$A$3:$H$102,4,FALSE)+(VLOOKUP(VLOOKUP(CW$1,main!$A$3:$H$102,8,FALSE),main!$K$19:$O$22,MATCH(VLOOKUP($A37,main!$A$3:$H$102,7,FALSE),main!$K$18:$O$18,0),0))),0)</f>
        <v>0</v>
      </c>
      <c r="CX37">
        <f>IF((gamma!CX37),IF(VLOOKUP(CX$1,main!$A$3:$H$102,7,FALSE)=VLOOKUP($A37,main!$A$3:$H$102,8,FALSE),VLOOKUP(CX$1,main!$A$3:$H$102,4,FALSE),VLOOKUP(CX$1,main!$A$3:$H$102,4,FALSE)+VLOOKUP($A37,main!$A$3:$H$102,4,FALSE)+(VLOOKUP(VLOOKUP(CX$1,main!$A$3:$H$102,8,FALSE),main!$K$19:$O$22,MATCH(VLOOKUP($A37,main!$A$3:$H$102,7,FALSE),main!$K$18:$O$18,0),0))),0)</f>
        <v>0</v>
      </c>
      <c r="CY37">
        <v>0</v>
      </c>
      <c r="CZ37">
        <v>0</v>
      </c>
      <c r="DA37">
        <v>0</v>
      </c>
    </row>
    <row r="38" spans="1:105" x14ac:dyDescent="0.25">
      <c r="A38" s="1">
        <v>36</v>
      </c>
      <c r="B38">
        <v>0</v>
      </c>
      <c r="C38">
        <f>IF((gamma!C38),IF(VLOOKUP(C$1,main!$A$3:$H$102,7,FALSE)=VLOOKUP($A38,main!$A$3:$H$102,8,FALSE),VLOOKUP(C$1,main!$A$3:$H$102,4,FALSE),VLOOKUP(C$1,main!$A$3:$H$102,4,FALSE)+VLOOKUP($A38,main!$A$3:$H$102,4,FALSE)+(VLOOKUP(VLOOKUP(C$1,main!$A$3:$H$102,8,FALSE),main!$K$19:$O$22,MATCH(VLOOKUP($A38,main!$A$3:$H$102,7,FALSE),main!$K$18:$O$18,0),0))),0)</f>
        <v>0</v>
      </c>
      <c r="D38">
        <f>IF((gamma!D38),IF(VLOOKUP(D$1,main!$A$3:$H$102,7,FALSE)=VLOOKUP($A38,main!$A$3:$H$102,8,FALSE),VLOOKUP(D$1,main!$A$3:$H$102,4,FALSE),VLOOKUP(D$1,main!$A$3:$H$102,4,FALSE)+VLOOKUP($A38,main!$A$3:$H$102,4,FALSE)+(VLOOKUP(VLOOKUP(D$1,main!$A$3:$H$102,8,FALSE),main!$K$19:$O$22,MATCH(VLOOKUP($A38,main!$A$3:$H$102,7,FALSE),main!$K$18:$O$18,0),0))),0)</f>
        <v>0</v>
      </c>
      <c r="E38">
        <f>IF((gamma!E38),IF(VLOOKUP(E$1,main!$A$3:$H$102,7,FALSE)=VLOOKUP($A38,main!$A$3:$H$102,8,FALSE),VLOOKUP(E$1,main!$A$3:$H$102,4,FALSE),VLOOKUP(E$1,main!$A$3:$H$102,4,FALSE)+VLOOKUP($A38,main!$A$3:$H$102,4,FALSE)+(VLOOKUP(VLOOKUP(E$1,main!$A$3:$H$102,8,FALSE),main!$K$19:$O$22,MATCH(VLOOKUP($A38,main!$A$3:$H$102,7,FALSE),main!$K$18:$O$18,0),0))),0)</f>
        <v>0</v>
      </c>
      <c r="F38">
        <f>IF((gamma!F38),IF(VLOOKUP(F$1,main!$A$3:$H$102,7,FALSE)=VLOOKUP($A38,main!$A$3:$H$102,8,FALSE),VLOOKUP(F$1,main!$A$3:$H$102,4,FALSE),VLOOKUP(F$1,main!$A$3:$H$102,4,FALSE)+VLOOKUP($A38,main!$A$3:$H$102,4,FALSE)+(VLOOKUP(VLOOKUP(F$1,main!$A$3:$H$102,8,FALSE),main!$K$19:$O$22,MATCH(VLOOKUP($A38,main!$A$3:$H$102,7,FALSE),main!$K$18:$O$18,0),0))),0)</f>
        <v>0</v>
      </c>
      <c r="G38">
        <f>IF((gamma!G38),IF(VLOOKUP(G$1,main!$A$3:$H$102,7,FALSE)=VLOOKUP($A38,main!$A$3:$H$102,8,FALSE),VLOOKUP(G$1,main!$A$3:$H$102,4,FALSE),VLOOKUP(G$1,main!$A$3:$H$102,4,FALSE)+VLOOKUP($A38,main!$A$3:$H$102,4,FALSE)+(VLOOKUP(VLOOKUP(G$1,main!$A$3:$H$102,8,FALSE),main!$K$19:$O$22,MATCH(VLOOKUP($A38,main!$A$3:$H$102,7,FALSE),main!$K$18:$O$18,0),0))),0)</f>
        <v>0</v>
      </c>
      <c r="H38">
        <f>IF((gamma!H38),IF(VLOOKUP(H$1,main!$A$3:$H$102,7,FALSE)=VLOOKUP($A38,main!$A$3:$H$102,8,FALSE),VLOOKUP(H$1,main!$A$3:$H$102,4,FALSE),VLOOKUP(H$1,main!$A$3:$H$102,4,FALSE)+VLOOKUP($A38,main!$A$3:$H$102,4,FALSE)+(VLOOKUP(VLOOKUP(H$1,main!$A$3:$H$102,8,FALSE),main!$K$19:$O$22,MATCH(VLOOKUP($A38,main!$A$3:$H$102,7,FALSE),main!$K$18:$O$18,0),0))),0)</f>
        <v>0</v>
      </c>
      <c r="I38">
        <f>IF((gamma!I38),IF(VLOOKUP(I$1,main!$A$3:$H$102,7,FALSE)=VLOOKUP($A38,main!$A$3:$H$102,8,FALSE),VLOOKUP(I$1,main!$A$3:$H$102,4,FALSE),VLOOKUP(I$1,main!$A$3:$H$102,4,FALSE)+VLOOKUP($A38,main!$A$3:$H$102,4,FALSE)+(VLOOKUP(VLOOKUP(I$1,main!$A$3:$H$102,8,FALSE),main!$K$19:$O$22,MATCH(VLOOKUP($A38,main!$A$3:$H$102,7,FALSE),main!$K$18:$O$18,0),0))),0)</f>
        <v>0</v>
      </c>
      <c r="J38">
        <f>IF((gamma!J38),IF(VLOOKUP(J$1,main!$A$3:$H$102,7,FALSE)=VLOOKUP($A38,main!$A$3:$H$102,8,FALSE),VLOOKUP(J$1,main!$A$3:$H$102,4,FALSE),VLOOKUP(J$1,main!$A$3:$H$102,4,FALSE)+VLOOKUP($A38,main!$A$3:$H$102,4,FALSE)+(VLOOKUP(VLOOKUP(J$1,main!$A$3:$H$102,8,FALSE),main!$K$19:$O$22,MATCH(VLOOKUP($A38,main!$A$3:$H$102,7,FALSE),main!$K$18:$O$18,0),0))),0)</f>
        <v>0</v>
      </c>
      <c r="K38">
        <f>IF((gamma!K38),IF(VLOOKUP(K$1,main!$A$3:$H$102,7,FALSE)=VLOOKUP($A38,main!$A$3:$H$102,8,FALSE),VLOOKUP(K$1,main!$A$3:$H$102,4,FALSE),VLOOKUP(K$1,main!$A$3:$H$102,4,FALSE)+VLOOKUP($A38,main!$A$3:$H$102,4,FALSE)+(VLOOKUP(VLOOKUP(K$1,main!$A$3:$H$102,8,FALSE),main!$K$19:$O$22,MATCH(VLOOKUP($A38,main!$A$3:$H$102,7,FALSE),main!$K$18:$O$18,0),0))),0)</f>
        <v>0</v>
      </c>
      <c r="L38">
        <f>IF((gamma!L38),IF(VLOOKUP(L$1,main!$A$3:$H$102,7,FALSE)=VLOOKUP($A38,main!$A$3:$H$102,8,FALSE),VLOOKUP(L$1,main!$A$3:$H$102,4,FALSE),VLOOKUP(L$1,main!$A$3:$H$102,4,FALSE)+VLOOKUP($A38,main!$A$3:$H$102,4,FALSE)+(VLOOKUP(VLOOKUP(L$1,main!$A$3:$H$102,8,FALSE),main!$K$19:$O$22,MATCH(VLOOKUP($A38,main!$A$3:$H$102,7,FALSE),main!$K$18:$O$18,0),0))),0)</f>
        <v>135</v>
      </c>
      <c r="M38">
        <f>IF((gamma!M38),IF(VLOOKUP(M$1,main!$A$3:$H$102,7,FALSE)=VLOOKUP($A38,main!$A$3:$H$102,8,FALSE),VLOOKUP(M$1,main!$A$3:$H$102,4,FALSE),VLOOKUP(M$1,main!$A$3:$H$102,4,FALSE)+VLOOKUP($A38,main!$A$3:$H$102,4,FALSE)+(VLOOKUP(VLOOKUP(M$1,main!$A$3:$H$102,8,FALSE),main!$K$19:$O$22,MATCH(VLOOKUP($A38,main!$A$3:$H$102,7,FALSE),main!$K$18:$O$18,0),0))),0)</f>
        <v>0</v>
      </c>
      <c r="N38">
        <f>IF((gamma!N38),IF(VLOOKUP(N$1,main!$A$3:$H$102,7,FALSE)=VLOOKUP($A38,main!$A$3:$H$102,8,FALSE),VLOOKUP(N$1,main!$A$3:$H$102,4,FALSE),VLOOKUP(N$1,main!$A$3:$H$102,4,FALSE)+VLOOKUP($A38,main!$A$3:$H$102,4,FALSE)+(VLOOKUP(VLOOKUP(N$1,main!$A$3:$H$102,8,FALSE),main!$K$19:$O$22,MATCH(VLOOKUP($A38,main!$A$3:$H$102,7,FALSE),main!$K$18:$O$18,0),0))),0)</f>
        <v>0</v>
      </c>
      <c r="O38">
        <f>IF((gamma!O38),IF(VLOOKUP(O$1,main!$A$3:$H$102,7,FALSE)=VLOOKUP($A38,main!$A$3:$H$102,8,FALSE),VLOOKUP(O$1,main!$A$3:$H$102,4,FALSE),VLOOKUP(O$1,main!$A$3:$H$102,4,FALSE)+VLOOKUP($A38,main!$A$3:$H$102,4,FALSE)+(VLOOKUP(VLOOKUP(O$1,main!$A$3:$H$102,8,FALSE),main!$K$19:$O$22,MATCH(VLOOKUP($A38,main!$A$3:$H$102,7,FALSE),main!$K$18:$O$18,0),0))),0)</f>
        <v>0</v>
      </c>
      <c r="P38">
        <f>IF((gamma!P38),IF(VLOOKUP(P$1,main!$A$3:$H$102,7,FALSE)=VLOOKUP($A38,main!$A$3:$H$102,8,FALSE),VLOOKUP(P$1,main!$A$3:$H$102,4,FALSE),VLOOKUP(P$1,main!$A$3:$H$102,4,FALSE)+VLOOKUP($A38,main!$A$3:$H$102,4,FALSE)+(VLOOKUP(VLOOKUP(P$1,main!$A$3:$H$102,8,FALSE),main!$K$19:$O$22,MATCH(VLOOKUP($A38,main!$A$3:$H$102,7,FALSE),main!$K$18:$O$18,0),0))),0)</f>
        <v>0</v>
      </c>
      <c r="Q38">
        <f>IF((gamma!Q38),IF(VLOOKUP(Q$1,main!$A$3:$H$102,7,FALSE)=VLOOKUP($A38,main!$A$3:$H$102,8,FALSE),VLOOKUP(Q$1,main!$A$3:$H$102,4,FALSE),VLOOKUP(Q$1,main!$A$3:$H$102,4,FALSE)+VLOOKUP($A38,main!$A$3:$H$102,4,FALSE)+(VLOOKUP(VLOOKUP(Q$1,main!$A$3:$H$102,8,FALSE),main!$K$19:$O$22,MATCH(VLOOKUP($A38,main!$A$3:$H$102,7,FALSE),main!$K$18:$O$18,0),0))),0)</f>
        <v>0</v>
      </c>
      <c r="R38">
        <f>IF((gamma!R38),IF(VLOOKUP(R$1,main!$A$3:$H$102,7,FALSE)=VLOOKUP($A38,main!$A$3:$H$102,8,FALSE),VLOOKUP(R$1,main!$A$3:$H$102,4,FALSE),VLOOKUP(R$1,main!$A$3:$H$102,4,FALSE)+VLOOKUP($A38,main!$A$3:$H$102,4,FALSE)+(VLOOKUP(VLOOKUP(R$1,main!$A$3:$H$102,8,FALSE),main!$K$19:$O$22,MATCH(VLOOKUP($A38,main!$A$3:$H$102,7,FALSE),main!$K$18:$O$18,0),0))),0)</f>
        <v>0</v>
      </c>
      <c r="S38">
        <f>IF((gamma!S38),IF(VLOOKUP(S$1,main!$A$3:$H$102,7,FALSE)=VLOOKUP($A38,main!$A$3:$H$102,8,FALSE),VLOOKUP(S$1,main!$A$3:$H$102,4,FALSE),VLOOKUP(S$1,main!$A$3:$H$102,4,FALSE)+VLOOKUP($A38,main!$A$3:$H$102,4,FALSE)+(VLOOKUP(VLOOKUP(S$1,main!$A$3:$H$102,8,FALSE),main!$K$19:$O$22,MATCH(VLOOKUP($A38,main!$A$3:$H$102,7,FALSE),main!$K$18:$O$18,0),0))),0)</f>
        <v>0</v>
      </c>
      <c r="T38">
        <f>IF((gamma!T38),IF(VLOOKUP(T$1,main!$A$3:$H$102,7,FALSE)=VLOOKUP($A38,main!$A$3:$H$102,8,FALSE),VLOOKUP(T$1,main!$A$3:$H$102,4,FALSE),VLOOKUP(T$1,main!$A$3:$H$102,4,FALSE)+VLOOKUP($A38,main!$A$3:$H$102,4,FALSE)+(VLOOKUP(VLOOKUP(T$1,main!$A$3:$H$102,8,FALSE),main!$K$19:$O$22,MATCH(VLOOKUP($A38,main!$A$3:$H$102,7,FALSE),main!$K$18:$O$18,0),0))),0)</f>
        <v>0</v>
      </c>
      <c r="U38">
        <f>IF((gamma!U38),IF(VLOOKUP(U$1,main!$A$3:$H$102,7,FALSE)=VLOOKUP($A38,main!$A$3:$H$102,8,FALSE),VLOOKUP(U$1,main!$A$3:$H$102,4,FALSE),VLOOKUP(U$1,main!$A$3:$H$102,4,FALSE)+VLOOKUP($A38,main!$A$3:$H$102,4,FALSE)+(VLOOKUP(VLOOKUP(U$1,main!$A$3:$H$102,8,FALSE),main!$K$19:$O$22,MATCH(VLOOKUP($A38,main!$A$3:$H$102,7,FALSE),main!$K$18:$O$18,0),0))),0)</f>
        <v>140</v>
      </c>
      <c r="V38">
        <f>IF((gamma!V38),IF(VLOOKUP(V$1,main!$A$3:$H$102,7,FALSE)=VLOOKUP($A38,main!$A$3:$H$102,8,FALSE),VLOOKUP(V$1,main!$A$3:$H$102,4,FALSE),VLOOKUP(V$1,main!$A$3:$H$102,4,FALSE)+VLOOKUP($A38,main!$A$3:$H$102,4,FALSE)+(VLOOKUP(VLOOKUP(V$1,main!$A$3:$H$102,8,FALSE),main!$K$19:$O$22,MATCH(VLOOKUP($A38,main!$A$3:$H$102,7,FALSE),main!$K$18:$O$18,0),0))),0)</f>
        <v>140</v>
      </c>
      <c r="W38">
        <f>IF((gamma!W38),IF(VLOOKUP(W$1,main!$A$3:$H$102,7,FALSE)=VLOOKUP($A38,main!$A$3:$H$102,8,FALSE),VLOOKUP(W$1,main!$A$3:$H$102,4,FALSE),VLOOKUP(W$1,main!$A$3:$H$102,4,FALSE)+VLOOKUP($A38,main!$A$3:$H$102,4,FALSE)+(VLOOKUP(VLOOKUP(W$1,main!$A$3:$H$102,8,FALSE),main!$K$19:$O$22,MATCH(VLOOKUP($A38,main!$A$3:$H$102,7,FALSE),main!$K$18:$O$18,0),0))),0)</f>
        <v>0</v>
      </c>
      <c r="X38">
        <f>IF((gamma!X38),IF(VLOOKUP(X$1,main!$A$3:$H$102,7,FALSE)=VLOOKUP($A38,main!$A$3:$H$102,8,FALSE),VLOOKUP(X$1,main!$A$3:$H$102,4,FALSE),VLOOKUP(X$1,main!$A$3:$H$102,4,FALSE)+VLOOKUP($A38,main!$A$3:$H$102,4,FALSE)+(VLOOKUP(VLOOKUP(X$1,main!$A$3:$H$102,8,FALSE),main!$K$19:$O$22,MATCH(VLOOKUP($A38,main!$A$3:$H$102,7,FALSE),main!$K$18:$O$18,0),0))),0)</f>
        <v>0</v>
      </c>
      <c r="Y38">
        <f>IF((gamma!Y38),IF(VLOOKUP(Y$1,main!$A$3:$H$102,7,FALSE)=VLOOKUP($A38,main!$A$3:$H$102,8,FALSE),VLOOKUP(Y$1,main!$A$3:$H$102,4,FALSE),VLOOKUP(Y$1,main!$A$3:$H$102,4,FALSE)+VLOOKUP($A38,main!$A$3:$H$102,4,FALSE)+(VLOOKUP(VLOOKUP(Y$1,main!$A$3:$H$102,8,FALSE),main!$K$19:$O$22,MATCH(VLOOKUP($A38,main!$A$3:$H$102,7,FALSE),main!$K$18:$O$18,0),0))),0)</f>
        <v>0</v>
      </c>
      <c r="Z38">
        <f>IF((gamma!Z38),IF(VLOOKUP(Z$1,main!$A$3:$H$102,7,FALSE)=VLOOKUP($A38,main!$A$3:$H$102,8,FALSE),VLOOKUP(Z$1,main!$A$3:$H$102,4,FALSE),VLOOKUP(Z$1,main!$A$3:$H$102,4,FALSE)+VLOOKUP($A38,main!$A$3:$H$102,4,FALSE)+(VLOOKUP(VLOOKUP(Z$1,main!$A$3:$H$102,8,FALSE),main!$K$19:$O$22,MATCH(VLOOKUP($A38,main!$A$3:$H$102,7,FALSE),main!$K$18:$O$18,0),0))),0)</f>
        <v>0</v>
      </c>
      <c r="AA38">
        <f>IF((gamma!AA38),IF(VLOOKUP(AA$1,main!$A$3:$H$102,7,FALSE)=VLOOKUP($A38,main!$A$3:$H$102,8,FALSE),VLOOKUP(AA$1,main!$A$3:$H$102,4,FALSE),VLOOKUP(AA$1,main!$A$3:$H$102,4,FALSE)+VLOOKUP($A38,main!$A$3:$H$102,4,FALSE)+(VLOOKUP(VLOOKUP(AA$1,main!$A$3:$H$102,8,FALSE),main!$K$19:$O$22,MATCH(VLOOKUP($A38,main!$A$3:$H$102,7,FALSE),main!$K$18:$O$18,0),0))),0)</f>
        <v>0</v>
      </c>
      <c r="AB38">
        <f>IF((gamma!AB38),IF(VLOOKUP(AB$1,main!$A$3:$H$102,7,FALSE)=VLOOKUP($A38,main!$A$3:$H$102,8,FALSE),VLOOKUP(AB$1,main!$A$3:$H$102,4,FALSE),VLOOKUP(AB$1,main!$A$3:$H$102,4,FALSE)+VLOOKUP($A38,main!$A$3:$H$102,4,FALSE)+(VLOOKUP(VLOOKUP(AB$1,main!$A$3:$H$102,8,FALSE),main!$K$19:$O$22,MATCH(VLOOKUP($A38,main!$A$3:$H$102,7,FALSE),main!$K$18:$O$18,0),0))),0)</f>
        <v>0</v>
      </c>
      <c r="AC38">
        <f>IF((gamma!AC38),IF(VLOOKUP(AC$1,main!$A$3:$H$102,7,FALSE)=VLOOKUP($A38,main!$A$3:$H$102,8,FALSE),VLOOKUP(AC$1,main!$A$3:$H$102,4,FALSE),VLOOKUP(AC$1,main!$A$3:$H$102,4,FALSE)+VLOOKUP($A38,main!$A$3:$H$102,4,FALSE)+(VLOOKUP(VLOOKUP(AC$1,main!$A$3:$H$102,8,FALSE),main!$K$19:$O$22,MATCH(VLOOKUP($A38,main!$A$3:$H$102,7,FALSE),main!$K$18:$O$18,0),0))),0)</f>
        <v>0</v>
      </c>
      <c r="AD38">
        <f>IF((gamma!AD38),IF(VLOOKUP(AD$1,main!$A$3:$H$102,7,FALSE)=VLOOKUP($A38,main!$A$3:$H$102,8,FALSE),VLOOKUP(AD$1,main!$A$3:$H$102,4,FALSE),VLOOKUP(AD$1,main!$A$3:$H$102,4,FALSE)+VLOOKUP($A38,main!$A$3:$H$102,4,FALSE)+(VLOOKUP(VLOOKUP(AD$1,main!$A$3:$H$102,8,FALSE),main!$K$19:$O$22,MATCH(VLOOKUP($A38,main!$A$3:$H$102,7,FALSE),main!$K$18:$O$18,0),0))),0)</f>
        <v>0</v>
      </c>
      <c r="AE38">
        <f>IF((gamma!AE38),IF(VLOOKUP(AE$1,main!$A$3:$H$102,7,FALSE)=VLOOKUP($A38,main!$A$3:$H$102,8,FALSE),VLOOKUP(AE$1,main!$A$3:$H$102,4,FALSE),VLOOKUP(AE$1,main!$A$3:$H$102,4,FALSE)+VLOOKUP($A38,main!$A$3:$H$102,4,FALSE)+(VLOOKUP(VLOOKUP(AE$1,main!$A$3:$H$102,8,FALSE),main!$K$19:$O$22,MATCH(VLOOKUP($A38,main!$A$3:$H$102,7,FALSE),main!$K$18:$O$18,0),0))),0)</f>
        <v>0</v>
      </c>
      <c r="AF38">
        <f>IF((gamma!AF38),IF(VLOOKUP(AF$1,main!$A$3:$H$102,7,FALSE)=VLOOKUP($A38,main!$A$3:$H$102,8,FALSE),VLOOKUP(AF$1,main!$A$3:$H$102,4,FALSE),VLOOKUP(AF$1,main!$A$3:$H$102,4,FALSE)+VLOOKUP($A38,main!$A$3:$H$102,4,FALSE)+(VLOOKUP(VLOOKUP(AF$1,main!$A$3:$H$102,8,FALSE),main!$K$19:$O$22,MATCH(VLOOKUP($A38,main!$A$3:$H$102,7,FALSE),main!$K$18:$O$18,0),0))),0)</f>
        <v>0</v>
      </c>
      <c r="AG38">
        <f>IF((gamma!AG38),IF(VLOOKUP(AG$1,main!$A$3:$H$102,7,FALSE)=VLOOKUP($A38,main!$A$3:$H$102,8,FALSE),VLOOKUP(AG$1,main!$A$3:$H$102,4,FALSE),VLOOKUP(AG$1,main!$A$3:$H$102,4,FALSE)+VLOOKUP($A38,main!$A$3:$H$102,4,FALSE)+(VLOOKUP(VLOOKUP(AG$1,main!$A$3:$H$102,8,FALSE),main!$K$19:$O$22,MATCH(VLOOKUP($A38,main!$A$3:$H$102,7,FALSE),main!$K$18:$O$18,0),0))),0)</f>
        <v>0</v>
      </c>
      <c r="AH38">
        <f>IF((gamma!AH38),IF(VLOOKUP(AH$1,main!$A$3:$H$102,7,FALSE)=VLOOKUP($A38,main!$A$3:$H$102,8,FALSE),VLOOKUP(AH$1,main!$A$3:$H$102,4,FALSE),VLOOKUP(AH$1,main!$A$3:$H$102,4,FALSE)+VLOOKUP($A38,main!$A$3:$H$102,4,FALSE)+(VLOOKUP(VLOOKUP(AH$1,main!$A$3:$H$102,8,FALSE),main!$K$19:$O$22,MATCH(VLOOKUP($A38,main!$A$3:$H$102,7,FALSE),main!$K$18:$O$18,0),0))),0)</f>
        <v>0</v>
      </c>
      <c r="AI38">
        <f>IF((gamma!AI38),IF(VLOOKUP(AI$1,main!$A$3:$H$102,7,FALSE)=VLOOKUP($A38,main!$A$3:$H$102,8,FALSE),VLOOKUP(AI$1,main!$A$3:$H$102,4,FALSE),VLOOKUP(AI$1,main!$A$3:$H$102,4,FALSE)+VLOOKUP($A38,main!$A$3:$H$102,4,FALSE)+(VLOOKUP(VLOOKUP(AI$1,main!$A$3:$H$102,8,FALSE),main!$K$19:$O$22,MATCH(VLOOKUP($A38,main!$A$3:$H$102,7,FALSE),main!$K$18:$O$18,0),0))),0)</f>
        <v>0</v>
      </c>
      <c r="AJ38">
        <f>IF((gamma!AJ38),IF(VLOOKUP(AJ$1,main!$A$3:$H$102,7,FALSE)=VLOOKUP($A38,main!$A$3:$H$102,8,FALSE),VLOOKUP(AJ$1,main!$A$3:$H$102,4,FALSE),VLOOKUP(AJ$1,main!$A$3:$H$102,4,FALSE)+VLOOKUP($A38,main!$A$3:$H$102,4,FALSE)+(VLOOKUP(VLOOKUP(AJ$1,main!$A$3:$H$102,8,FALSE),main!$K$19:$O$22,MATCH(VLOOKUP($A38,main!$A$3:$H$102,7,FALSE),main!$K$18:$O$18,0),0))),0)</f>
        <v>0</v>
      </c>
      <c r="AK38">
        <f>IF((gamma!AK38),IF(VLOOKUP(AK$1,main!$A$3:$H$102,7,FALSE)=VLOOKUP($A38,main!$A$3:$H$102,8,FALSE),VLOOKUP(AK$1,main!$A$3:$H$102,4,FALSE),VLOOKUP(AK$1,main!$A$3:$H$102,4,FALSE)+VLOOKUP($A38,main!$A$3:$H$102,4,FALSE)+(VLOOKUP(VLOOKUP(AK$1,main!$A$3:$H$102,8,FALSE),main!$K$19:$O$22,MATCH(VLOOKUP($A38,main!$A$3:$H$102,7,FALSE),main!$K$18:$O$18,0),0))),0)</f>
        <v>0</v>
      </c>
      <c r="AL38">
        <f>IF((gamma!AL38),IF(VLOOKUP(AL$1,main!$A$3:$H$102,7,FALSE)=VLOOKUP($A38,main!$A$3:$H$102,8,FALSE),VLOOKUP(AL$1,main!$A$3:$H$102,4,FALSE),VLOOKUP(AL$1,main!$A$3:$H$102,4,FALSE)+VLOOKUP($A38,main!$A$3:$H$102,4,FALSE)+(VLOOKUP(VLOOKUP(AL$1,main!$A$3:$H$102,8,FALSE),main!$K$19:$O$22,MATCH(VLOOKUP($A38,main!$A$3:$H$102,7,FALSE),main!$K$18:$O$18,0),0))),0)</f>
        <v>0</v>
      </c>
      <c r="AM38">
        <f>IF((gamma!AM38),IF(VLOOKUP(AM$1,main!$A$3:$H$102,7,FALSE)=VLOOKUP($A38,main!$A$3:$H$102,8,FALSE),VLOOKUP(AM$1,main!$A$3:$H$102,4,FALSE),VLOOKUP(AM$1,main!$A$3:$H$102,4,FALSE)+VLOOKUP($A38,main!$A$3:$H$102,4,FALSE)+(VLOOKUP(VLOOKUP(AM$1,main!$A$3:$H$102,8,FALSE),main!$K$19:$O$22,MATCH(VLOOKUP($A38,main!$A$3:$H$102,7,FALSE),main!$K$18:$O$18,0),0))),0)</f>
        <v>0</v>
      </c>
      <c r="AN38">
        <f>IF((gamma!AN38),IF(VLOOKUP(AN$1,main!$A$3:$H$102,7,FALSE)=VLOOKUP($A38,main!$A$3:$H$102,8,FALSE),VLOOKUP(AN$1,main!$A$3:$H$102,4,FALSE),VLOOKUP(AN$1,main!$A$3:$H$102,4,FALSE)+VLOOKUP($A38,main!$A$3:$H$102,4,FALSE)+(VLOOKUP(VLOOKUP(AN$1,main!$A$3:$H$102,8,FALSE),main!$K$19:$O$22,MATCH(VLOOKUP($A38,main!$A$3:$H$102,7,FALSE),main!$K$18:$O$18,0),0))),0)</f>
        <v>0</v>
      </c>
      <c r="AO38">
        <f>IF((gamma!AO38),IF(VLOOKUP(AO$1,main!$A$3:$H$102,7,FALSE)=VLOOKUP($A38,main!$A$3:$H$102,8,FALSE),VLOOKUP(AO$1,main!$A$3:$H$102,4,FALSE),VLOOKUP(AO$1,main!$A$3:$H$102,4,FALSE)+VLOOKUP($A38,main!$A$3:$H$102,4,FALSE)+(VLOOKUP(VLOOKUP(AO$1,main!$A$3:$H$102,8,FALSE),main!$K$19:$O$22,MATCH(VLOOKUP($A38,main!$A$3:$H$102,7,FALSE),main!$K$18:$O$18,0),0))),0)</f>
        <v>0</v>
      </c>
      <c r="AP38">
        <f>IF((gamma!AP38),IF(VLOOKUP(AP$1,main!$A$3:$H$102,7,FALSE)=VLOOKUP($A38,main!$A$3:$H$102,8,FALSE),VLOOKUP(AP$1,main!$A$3:$H$102,4,FALSE),VLOOKUP(AP$1,main!$A$3:$H$102,4,FALSE)+VLOOKUP($A38,main!$A$3:$H$102,4,FALSE)+(VLOOKUP(VLOOKUP(AP$1,main!$A$3:$H$102,8,FALSE),main!$K$19:$O$22,MATCH(VLOOKUP($A38,main!$A$3:$H$102,7,FALSE),main!$K$18:$O$18,0),0))),0)</f>
        <v>235</v>
      </c>
      <c r="AQ38">
        <f>IF((gamma!AQ38),IF(VLOOKUP(AQ$1,main!$A$3:$H$102,7,FALSE)=VLOOKUP($A38,main!$A$3:$H$102,8,FALSE),VLOOKUP(AQ$1,main!$A$3:$H$102,4,FALSE),VLOOKUP(AQ$1,main!$A$3:$H$102,4,FALSE)+VLOOKUP($A38,main!$A$3:$H$102,4,FALSE)+(VLOOKUP(VLOOKUP(AQ$1,main!$A$3:$H$102,8,FALSE),main!$K$19:$O$22,MATCH(VLOOKUP($A38,main!$A$3:$H$102,7,FALSE),main!$K$18:$O$18,0),0))),0)</f>
        <v>0</v>
      </c>
      <c r="AR38">
        <f>IF((gamma!AR38),IF(VLOOKUP(AR$1,main!$A$3:$H$102,7,FALSE)=VLOOKUP($A38,main!$A$3:$H$102,8,FALSE),VLOOKUP(AR$1,main!$A$3:$H$102,4,FALSE),VLOOKUP(AR$1,main!$A$3:$H$102,4,FALSE)+VLOOKUP($A38,main!$A$3:$H$102,4,FALSE)+(VLOOKUP(VLOOKUP(AR$1,main!$A$3:$H$102,8,FALSE),main!$K$19:$O$22,MATCH(VLOOKUP($A38,main!$A$3:$H$102,7,FALSE),main!$K$18:$O$18,0),0))),0)</f>
        <v>0</v>
      </c>
      <c r="AS38">
        <f>IF((gamma!AS38),IF(VLOOKUP(AS$1,main!$A$3:$H$102,7,FALSE)=VLOOKUP($A38,main!$A$3:$H$102,8,FALSE),VLOOKUP(AS$1,main!$A$3:$H$102,4,FALSE),VLOOKUP(AS$1,main!$A$3:$H$102,4,FALSE)+VLOOKUP($A38,main!$A$3:$H$102,4,FALSE)+(VLOOKUP(VLOOKUP(AS$1,main!$A$3:$H$102,8,FALSE),main!$K$19:$O$22,MATCH(VLOOKUP($A38,main!$A$3:$H$102,7,FALSE),main!$K$18:$O$18,0),0))),0)</f>
        <v>0</v>
      </c>
      <c r="AT38">
        <f>IF((gamma!AT38),IF(VLOOKUP(AT$1,main!$A$3:$H$102,7,FALSE)=VLOOKUP($A38,main!$A$3:$H$102,8,FALSE),VLOOKUP(AT$1,main!$A$3:$H$102,4,FALSE),VLOOKUP(AT$1,main!$A$3:$H$102,4,FALSE)+VLOOKUP($A38,main!$A$3:$H$102,4,FALSE)+(VLOOKUP(VLOOKUP(AT$1,main!$A$3:$H$102,8,FALSE),main!$K$19:$O$22,MATCH(VLOOKUP($A38,main!$A$3:$H$102,7,FALSE),main!$K$18:$O$18,0),0))),0)</f>
        <v>0</v>
      </c>
      <c r="AU38">
        <f>IF((gamma!AU38),IF(VLOOKUP(AU$1,main!$A$3:$H$102,7,FALSE)=VLOOKUP($A38,main!$A$3:$H$102,8,FALSE),VLOOKUP(AU$1,main!$A$3:$H$102,4,FALSE),VLOOKUP(AU$1,main!$A$3:$H$102,4,FALSE)+VLOOKUP($A38,main!$A$3:$H$102,4,FALSE)+(VLOOKUP(VLOOKUP(AU$1,main!$A$3:$H$102,8,FALSE),main!$K$19:$O$22,MATCH(VLOOKUP($A38,main!$A$3:$H$102,7,FALSE),main!$K$18:$O$18,0),0))),0)</f>
        <v>0</v>
      </c>
      <c r="AV38">
        <f>IF((gamma!AV38),IF(VLOOKUP(AV$1,main!$A$3:$H$102,7,FALSE)=VLOOKUP($A38,main!$A$3:$H$102,8,FALSE),VLOOKUP(AV$1,main!$A$3:$H$102,4,FALSE),VLOOKUP(AV$1,main!$A$3:$H$102,4,FALSE)+VLOOKUP($A38,main!$A$3:$H$102,4,FALSE)+(VLOOKUP(VLOOKUP(AV$1,main!$A$3:$H$102,8,FALSE),main!$K$19:$O$22,MATCH(VLOOKUP($A38,main!$A$3:$H$102,7,FALSE),main!$K$18:$O$18,0),0))),0)</f>
        <v>0</v>
      </c>
      <c r="AW38">
        <f>IF((gamma!AW38),IF(VLOOKUP(AW$1,main!$A$3:$H$102,7,FALSE)=VLOOKUP($A38,main!$A$3:$H$102,8,FALSE),VLOOKUP(AW$1,main!$A$3:$H$102,4,FALSE),VLOOKUP(AW$1,main!$A$3:$H$102,4,FALSE)+VLOOKUP($A38,main!$A$3:$H$102,4,FALSE)+(VLOOKUP(VLOOKUP(AW$1,main!$A$3:$H$102,8,FALSE),main!$K$19:$O$22,MATCH(VLOOKUP($A38,main!$A$3:$H$102,7,FALSE),main!$K$18:$O$18,0),0))),0)</f>
        <v>0</v>
      </c>
      <c r="AX38">
        <f>IF((gamma!AX38),IF(VLOOKUP(AX$1,main!$A$3:$H$102,7,FALSE)=VLOOKUP($A38,main!$A$3:$H$102,8,FALSE),VLOOKUP(AX$1,main!$A$3:$H$102,4,FALSE),VLOOKUP(AX$1,main!$A$3:$H$102,4,FALSE)+VLOOKUP($A38,main!$A$3:$H$102,4,FALSE)+(VLOOKUP(VLOOKUP(AX$1,main!$A$3:$H$102,8,FALSE),main!$K$19:$O$22,MATCH(VLOOKUP($A38,main!$A$3:$H$102,7,FALSE),main!$K$18:$O$18,0),0))),0)</f>
        <v>0</v>
      </c>
      <c r="AY38">
        <f>IF((gamma!AY38),IF(VLOOKUP(AY$1,main!$A$3:$H$102,7,FALSE)=VLOOKUP($A38,main!$A$3:$H$102,8,FALSE),VLOOKUP(AY$1,main!$A$3:$H$102,4,FALSE),VLOOKUP(AY$1,main!$A$3:$H$102,4,FALSE)+VLOOKUP($A38,main!$A$3:$H$102,4,FALSE)+(VLOOKUP(VLOOKUP(AY$1,main!$A$3:$H$102,8,FALSE),main!$K$19:$O$22,MATCH(VLOOKUP($A38,main!$A$3:$H$102,7,FALSE),main!$K$18:$O$18,0),0))),0)</f>
        <v>0</v>
      </c>
      <c r="AZ38">
        <f>IF((gamma!AZ38),IF(VLOOKUP(AZ$1,main!$A$3:$H$102,7,FALSE)=VLOOKUP($A38,main!$A$3:$H$102,8,FALSE),VLOOKUP(AZ$1,main!$A$3:$H$102,4,FALSE),VLOOKUP(AZ$1,main!$A$3:$H$102,4,FALSE)+VLOOKUP($A38,main!$A$3:$H$102,4,FALSE)+(VLOOKUP(VLOOKUP(AZ$1,main!$A$3:$H$102,8,FALSE),main!$K$19:$O$22,MATCH(VLOOKUP($A38,main!$A$3:$H$102,7,FALSE),main!$K$18:$O$18,0),0))),0)</f>
        <v>0</v>
      </c>
      <c r="BA38">
        <f>IF((gamma!BA38),IF(VLOOKUP(BA$1,main!$A$3:$H$102,7,FALSE)=VLOOKUP($A38,main!$A$3:$H$102,8,FALSE),VLOOKUP(BA$1,main!$A$3:$H$102,4,FALSE),VLOOKUP(BA$1,main!$A$3:$H$102,4,FALSE)+VLOOKUP($A38,main!$A$3:$H$102,4,FALSE)+(VLOOKUP(VLOOKUP(BA$1,main!$A$3:$H$102,8,FALSE),main!$K$19:$O$22,MATCH(VLOOKUP($A38,main!$A$3:$H$102,7,FALSE),main!$K$18:$O$18,0),0))),0)</f>
        <v>0</v>
      </c>
      <c r="BB38">
        <f>IF((gamma!BB38),IF(VLOOKUP(BB$1,main!$A$3:$H$102,7,FALSE)=VLOOKUP($A38,main!$A$3:$H$102,8,FALSE),VLOOKUP(BB$1,main!$A$3:$H$102,4,FALSE),VLOOKUP(BB$1,main!$A$3:$H$102,4,FALSE)+VLOOKUP($A38,main!$A$3:$H$102,4,FALSE)+(VLOOKUP(VLOOKUP(BB$1,main!$A$3:$H$102,8,FALSE),main!$K$19:$O$22,MATCH(VLOOKUP($A38,main!$A$3:$H$102,7,FALSE),main!$K$18:$O$18,0),0))),0)</f>
        <v>0</v>
      </c>
      <c r="BC38">
        <f>IF((gamma!BC38),IF(VLOOKUP(BC$1,main!$A$3:$H$102,7,FALSE)=VLOOKUP($A38,main!$A$3:$H$102,8,FALSE),VLOOKUP(BC$1,main!$A$3:$H$102,4,FALSE),VLOOKUP(BC$1,main!$A$3:$H$102,4,FALSE)+VLOOKUP($A38,main!$A$3:$H$102,4,FALSE)+(VLOOKUP(VLOOKUP(BC$1,main!$A$3:$H$102,8,FALSE),main!$K$19:$O$22,MATCH(VLOOKUP($A38,main!$A$3:$H$102,7,FALSE),main!$K$18:$O$18,0),0))),0)</f>
        <v>0</v>
      </c>
      <c r="BD38">
        <f>IF((gamma!BD38),IF(VLOOKUP(BD$1,main!$A$3:$H$102,7,FALSE)=VLOOKUP($A38,main!$A$3:$H$102,8,FALSE),VLOOKUP(BD$1,main!$A$3:$H$102,4,FALSE),VLOOKUP(BD$1,main!$A$3:$H$102,4,FALSE)+VLOOKUP($A38,main!$A$3:$H$102,4,FALSE)+(VLOOKUP(VLOOKUP(BD$1,main!$A$3:$H$102,8,FALSE),main!$K$19:$O$22,MATCH(VLOOKUP($A38,main!$A$3:$H$102,7,FALSE),main!$K$18:$O$18,0),0))),0)</f>
        <v>0</v>
      </c>
      <c r="BE38">
        <f>IF((gamma!BE38),IF(VLOOKUP(BE$1,main!$A$3:$H$102,7,FALSE)=VLOOKUP($A38,main!$A$3:$H$102,8,FALSE),VLOOKUP(BE$1,main!$A$3:$H$102,4,FALSE),VLOOKUP(BE$1,main!$A$3:$H$102,4,FALSE)+VLOOKUP($A38,main!$A$3:$H$102,4,FALSE)+(VLOOKUP(VLOOKUP(BE$1,main!$A$3:$H$102,8,FALSE),main!$K$19:$O$22,MATCH(VLOOKUP($A38,main!$A$3:$H$102,7,FALSE),main!$K$18:$O$18,0),0))),0)</f>
        <v>0</v>
      </c>
      <c r="BF38">
        <f>IF((gamma!BF38),IF(VLOOKUP(BF$1,main!$A$3:$H$102,7,FALSE)=VLOOKUP($A38,main!$A$3:$H$102,8,FALSE),VLOOKUP(BF$1,main!$A$3:$H$102,4,FALSE),VLOOKUP(BF$1,main!$A$3:$H$102,4,FALSE)+VLOOKUP($A38,main!$A$3:$H$102,4,FALSE)+(VLOOKUP(VLOOKUP(BF$1,main!$A$3:$H$102,8,FALSE),main!$K$19:$O$22,MATCH(VLOOKUP($A38,main!$A$3:$H$102,7,FALSE),main!$K$18:$O$18,0),0))),0)</f>
        <v>0</v>
      </c>
      <c r="BG38">
        <f>IF((gamma!BG38),IF(VLOOKUP(BG$1,main!$A$3:$H$102,7,FALSE)=VLOOKUP($A38,main!$A$3:$H$102,8,FALSE),VLOOKUP(BG$1,main!$A$3:$H$102,4,FALSE),VLOOKUP(BG$1,main!$A$3:$H$102,4,FALSE)+VLOOKUP($A38,main!$A$3:$H$102,4,FALSE)+(VLOOKUP(VLOOKUP(BG$1,main!$A$3:$H$102,8,FALSE),main!$K$19:$O$22,MATCH(VLOOKUP($A38,main!$A$3:$H$102,7,FALSE),main!$K$18:$O$18,0),0))),0)</f>
        <v>0</v>
      </c>
      <c r="BH38">
        <f>IF((gamma!BH38),IF(VLOOKUP(BH$1,main!$A$3:$H$102,7,FALSE)=VLOOKUP($A38,main!$A$3:$H$102,8,FALSE),VLOOKUP(BH$1,main!$A$3:$H$102,4,FALSE),VLOOKUP(BH$1,main!$A$3:$H$102,4,FALSE)+VLOOKUP($A38,main!$A$3:$H$102,4,FALSE)+(VLOOKUP(VLOOKUP(BH$1,main!$A$3:$H$102,8,FALSE),main!$K$19:$O$22,MATCH(VLOOKUP($A38,main!$A$3:$H$102,7,FALSE),main!$K$18:$O$18,0),0))),0)</f>
        <v>0</v>
      </c>
      <c r="BI38">
        <f>IF((gamma!BI38),IF(VLOOKUP(BI$1,main!$A$3:$H$102,7,FALSE)=VLOOKUP($A38,main!$A$3:$H$102,8,FALSE),VLOOKUP(BI$1,main!$A$3:$H$102,4,FALSE),VLOOKUP(BI$1,main!$A$3:$H$102,4,FALSE)+VLOOKUP($A38,main!$A$3:$H$102,4,FALSE)+(VLOOKUP(VLOOKUP(BI$1,main!$A$3:$H$102,8,FALSE),main!$K$19:$O$22,MATCH(VLOOKUP($A38,main!$A$3:$H$102,7,FALSE),main!$K$18:$O$18,0),0))),0)</f>
        <v>220</v>
      </c>
      <c r="BJ38">
        <f>IF((gamma!BJ38),IF(VLOOKUP(BJ$1,main!$A$3:$H$102,7,FALSE)=VLOOKUP($A38,main!$A$3:$H$102,8,FALSE),VLOOKUP(BJ$1,main!$A$3:$H$102,4,FALSE),VLOOKUP(BJ$1,main!$A$3:$H$102,4,FALSE)+VLOOKUP($A38,main!$A$3:$H$102,4,FALSE)+(VLOOKUP(VLOOKUP(BJ$1,main!$A$3:$H$102,8,FALSE),main!$K$19:$O$22,MATCH(VLOOKUP($A38,main!$A$3:$H$102,7,FALSE),main!$K$18:$O$18,0),0))),0)</f>
        <v>0</v>
      </c>
      <c r="BK38">
        <f>IF((gamma!BK38),IF(VLOOKUP(BK$1,main!$A$3:$H$102,7,FALSE)=VLOOKUP($A38,main!$A$3:$H$102,8,FALSE),VLOOKUP(BK$1,main!$A$3:$H$102,4,FALSE),VLOOKUP(BK$1,main!$A$3:$H$102,4,FALSE)+VLOOKUP($A38,main!$A$3:$H$102,4,FALSE)+(VLOOKUP(VLOOKUP(BK$1,main!$A$3:$H$102,8,FALSE),main!$K$19:$O$22,MATCH(VLOOKUP($A38,main!$A$3:$H$102,7,FALSE),main!$K$18:$O$18,0),0))),0)</f>
        <v>0</v>
      </c>
      <c r="BL38">
        <f>IF((gamma!BL38),IF(VLOOKUP(BL$1,main!$A$3:$H$102,7,FALSE)=VLOOKUP($A38,main!$A$3:$H$102,8,FALSE),VLOOKUP(BL$1,main!$A$3:$H$102,4,FALSE),VLOOKUP(BL$1,main!$A$3:$H$102,4,FALSE)+VLOOKUP($A38,main!$A$3:$H$102,4,FALSE)+(VLOOKUP(VLOOKUP(BL$1,main!$A$3:$H$102,8,FALSE),main!$K$19:$O$22,MATCH(VLOOKUP($A38,main!$A$3:$H$102,7,FALSE),main!$K$18:$O$18,0),0))),0)</f>
        <v>0</v>
      </c>
      <c r="BM38">
        <f>IF((gamma!BM38),IF(VLOOKUP(BM$1,main!$A$3:$H$102,7,FALSE)=VLOOKUP($A38,main!$A$3:$H$102,8,FALSE),VLOOKUP(BM$1,main!$A$3:$H$102,4,FALSE),VLOOKUP(BM$1,main!$A$3:$H$102,4,FALSE)+VLOOKUP($A38,main!$A$3:$H$102,4,FALSE)+(VLOOKUP(VLOOKUP(BM$1,main!$A$3:$H$102,8,FALSE),main!$K$19:$O$22,MATCH(VLOOKUP($A38,main!$A$3:$H$102,7,FALSE),main!$K$18:$O$18,0),0))),0)</f>
        <v>0</v>
      </c>
      <c r="BN38">
        <f>IF((gamma!BN38),IF(VLOOKUP(BN$1,main!$A$3:$H$102,7,FALSE)=VLOOKUP($A38,main!$A$3:$H$102,8,FALSE),VLOOKUP(BN$1,main!$A$3:$H$102,4,FALSE),VLOOKUP(BN$1,main!$A$3:$H$102,4,FALSE)+VLOOKUP($A38,main!$A$3:$H$102,4,FALSE)+(VLOOKUP(VLOOKUP(BN$1,main!$A$3:$H$102,8,FALSE),main!$K$19:$O$22,MATCH(VLOOKUP($A38,main!$A$3:$H$102,7,FALSE),main!$K$18:$O$18,0),0))),0)</f>
        <v>0</v>
      </c>
      <c r="BO38">
        <f>IF((gamma!BO38),IF(VLOOKUP(BO$1,main!$A$3:$H$102,7,FALSE)=VLOOKUP($A38,main!$A$3:$H$102,8,FALSE),VLOOKUP(BO$1,main!$A$3:$H$102,4,FALSE),VLOOKUP(BO$1,main!$A$3:$H$102,4,FALSE)+VLOOKUP($A38,main!$A$3:$H$102,4,FALSE)+(VLOOKUP(VLOOKUP(BO$1,main!$A$3:$H$102,8,FALSE),main!$K$19:$O$22,MATCH(VLOOKUP($A38,main!$A$3:$H$102,7,FALSE),main!$K$18:$O$18,0),0))),0)</f>
        <v>0</v>
      </c>
      <c r="BP38">
        <f>IF((gamma!BP38),IF(VLOOKUP(BP$1,main!$A$3:$H$102,7,FALSE)=VLOOKUP($A38,main!$A$3:$H$102,8,FALSE),VLOOKUP(BP$1,main!$A$3:$H$102,4,FALSE),VLOOKUP(BP$1,main!$A$3:$H$102,4,FALSE)+VLOOKUP($A38,main!$A$3:$H$102,4,FALSE)+(VLOOKUP(VLOOKUP(BP$1,main!$A$3:$H$102,8,FALSE),main!$K$19:$O$22,MATCH(VLOOKUP($A38,main!$A$3:$H$102,7,FALSE),main!$K$18:$O$18,0),0))),0)</f>
        <v>0</v>
      </c>
      <c r="BQ38">
        <f>IF((gamma!BQ38),IF(VLOOKUP(BQ$1,main!$A$3:$H$102,7,FALSE)=VLOOKUP($A38,main!$A$3:$H$102,8,FALSE),VLOOKUP(BQ$1,main!$A$3:$H$102,4,FALSE),VLOOKUP(BQ$1,main!$A$3:$H$102,4,FALSE)+VLOOKUP($A38,main!$A$3:$H$102,4,FALSE)+(VLOOKUP(VLOOKUP(BQ$1,main!$A$3:$H$102,8,FALSE),main!$K$19:$O$22,MATCH(VLOOKUP($A38,main!$A$3:$H$102,7,FALSE),main!$K$18:$O$18,0),0))),0)</f>
        <v>0</v>
      </c>
      <c r="BR38">
        <f>IF((gamma!BR38),IF(VLOOKUP(BR$1,main!$A$3:$H$102,7,FALSE)=VLOOKUP($A38,main!$A$3:$H$102,8,FALSE),VLOOKUP(BR$1,main!$A$3:$H$102,4,FALSE),VLOOKUP(BR$1,main!$A$3:$H$102,4,FALSE)+VLOOKUP($A38,main!$A$3:$H$102,4,FALSE)+(VLOOKUP(VLOOKUP(BR$1,main!$A$3:$H$102,8,FALSE),main!$K$19:$O$22,MATCH(VLOOKUP($A38,main!$A$3:$H$102,7,FALSE),main!$K$18:$O$18,0),0))),0)</f>
        <v>0</v>
      </c>
      <c r="BS38">
        <f>IF((gamma!BS38),IF(VLOOKUP(BS$1,main!$A$3:$H$102,7,FALSE)=VLOOKUP($A38,main!$A$3:$H$102,8,FALSE),VLOOKUP(BS$1,main!$A$3:$H$102,4,FALSE),VLOOKUP(BS$1,main!$A$3:$H$102,4,FALSE)+VLOOKUP($A38,main!$A$3:$H$102,4,FALSE)+(VLOOKUP(VLOOKUP(BS$1,main!$A$3:$H$102,8,FALSE),main!$K$19:$O$22,MATCH(VLOOKUP($A38,main!$A$3:$H$102,7,FALSE),main!$K$18:$O$18,0),0))),0)</f>
        <v>0</v>
      </c>
      <c r="BT38">
        <f>IF((gamma!BT38),IF(VLOOKUP(BT$1,main!$A$3:$H$102,7,FALSE)=VLOOKUP($A38,main!$A$3:$H$102,8,FALSE),VLOOKUP(BT$1,main!$A$3:$H$102,4,FALSE),VLOOKUP(BT$1,main!$A$3:$H$102,4,FALSE)+VLOOKUP($A38,main!$A$3:$H$102,4,FALSE)+(VLOOKUP(VLOOKUP(BT$1,main!$A$3:$H$102,8,FALSE),main!$K$19:$O$22,MATCH(VLOOKUP($A38,main!$A$3:$H$102,7,FALSE),main!$K$18:$O$18,0),0))),0)</f>
        <v>0</v>
      </c>
      <c r="BU38">
        <f>IF((gamma!BU38),IF(VLOOKUP(BU$1,main!$A$3:$H$102,7,FALSE)=VLOOKUP($A38,main!$A$3:$H$102,8,FALSE),VLOOKUP(BU$1,main!$A$3:$H$102,4,FALSE),VLOOKUP(BU$1,main!$A$3:$H$102,4,FALSE)+VLOOKUP($A38,main!$A$3:$H$102,4,FALSE)+(VLOOKUP(VLOOKUP(BU$1,main!$A$3:$H$102,8,FALSE),main!$K$19:$O$22,MATCH(VLOOKUP($A38,main!$A$3:$H$102,7,FALSE),main!$K$18:$O$18,0),0))),0)</f>
        <v>0</v>
      </c>
      <c r="BV38">
        <f>IF((gamma!BV38),IF(VLOOKUP(BV$1,main!$A$3:$H$102,7,FALSE)=VLOOKUP($A38,main!$A$3:$H$102,8,FALSE),VLOOKUP(BV$1,main!$A$3:$H$102,4,FALSE),VLOOKUP(BV$1,main!$A$3:$H$102,4,FALSE)+VLOOKUP($A38,main!$A$3:$H$102,4,FALSE)+(VLOOKUP(VLOOKUP(BV$1,main!$A$3:$H$102,8,FALSE),main!$K$19:$O$22,MATCH(VLOOKUP($A38,main!$A$3:$H$102,7,FALSE),main!$K$18:$O$18,0),0))),0)</f>
        <v>0</v>
      </c>
      <c r="BW38">
        <f>IF((gamma!BW38),IF(VLOOKUP(BW$1,main!$A$3:$H$102,7,FALSE)=VLOOKUP($A38,main!$A$3:$H$102,8,FALSE),VLOOKUP(BW$1,main!$A$3:$H$102,4,FALSE),VLOOKUP(BW$1,main!$A$3:$H$102,4,FALSE)+VLOOKUP($A38,main!$A$3:$H$102,4,FALSE)+(VLOOKUP(VLOOKUP(BW$1,main!$A$3:$H$102,8,FALSE),main!$K$19:$O$22,MATCH(VLOOKUP($A38,main!$A$3:$H$102,7,FALSE),main!$K$18:$O$18,0),0))),0)</f>
        <v>0</v>
      </c>
      <c r="BX38">
        <f>IF((gamma!BX38),IF(VLOOKUP(BX$1,main!$A$3:$H$102,7,FALSE)=VLOOKUP($A38,main!$A$3:$H$102,8,FALSE),VLOOKUP(BX$1,main!$A$3:$H$102,4,FALSE),VLOOKUP(BX$1,main!$A$3:$H$102,4,FALSE)+VLOOKUP($A38,main!$A$3:$H$102,4,FALSE)+(VLOOKUP(VLOOKUP(BX$1,main!$A$3:$H$102,8,FALSE),main!$K$19:$O$22,MATCH(VLOOKUP($A38,main!$A$3:$H$102,7,FALSE),main!$K$18:$O$18,0),0))),0)</f>
        <v>0</v>
      </c>
      <c r="BY38">
        <f>IF((gamma!BY38),IF(VLOOKUP(BY$1,main!$A$3:$H$102,7,FALSE)=VLOOKUP($A38,main!$A$3:$H$102,8,FALSE),VLOOKUP(BY$1,main!$A$3:$H$102,4,FALSE),VLOOKUP(BY$1,main!$A$3:$H$102,4,FALSE)+VLOOKUP($A38,main!$A$3:$H$102,4,FALSE)+(VLOOKUP(VLOOKUP(BY$1,main!$A$3:$H$102,8,FALSE),main!$K$19:$O$22,MATCH(VLOOKUP($A38,main!$A$3:$H$102,7,FALSE),main!$K$18:$O$18,0),0))),0)</f>
        <v>0</v>
      </c>
      <c r="BZ38">
        <f>IF((gamma!BZ38),IF(VLOOKUP(BZ$1,main!$A$3:$H$102,7,FALSE)=VLOOKUP($A38,main!$A$3:$H$102,8,FALSE),VLOOKUP(BZ$1,main!$A$3:$H$102,4,FALSE),VLOOKUP(BZ$1,main!$A$3:$H$102,4,FALSE)+VLOOKUP($A38,main!$A$3:$H$102,4,FALSE)+(VLOOKUP(VLOOKUP(BZ$1,main!$A$3:$H$102,8,FALSE),main!$K$19:$O$22,MATCH(VLOOKUP($A38,main!$A$3:$H$102,7,FALSE),main!$K$18:$O$18,0),0))),0)</f>
        <v>0</v>
      </c>
      <c r="CA38">
        <f>IF((gamma!CA38),IF(VLOOKUP(CA$1,main!$A$3:$H$102,7,FALSE)=VLOOKUP($A38,main!$A$3:$H$102,8,FALSE),VLOOKUP(CA$1,main!$A$3:$H$102,4,FALSE),VLOOKUP(CA$1,main!$A$3:$H$102,4,FALSE)+VLOOKUP($A38,main!$A$3:$H$102,4,FALSE)+(VLOOKUP(VLOOKUP(CA$1,main!$A$3:$H$102,8,FALSE),main!$K$19:$O$22,MATCH(VLOOKUP($A38,main!$A$3:$H$102,7,FALSE),main!$K$18:$O$18,0),0))),0)</f>
        <v>0</v>
      </c>
      <c r="CB38">
        <f>IF((gamma!CB38),IF(VLOOKUP(CB$1,main!$A$3:$H$102,7,FALSE)=VLOOKUP($A38,main!$A$3:$H$102,8,FALSE),VLOOKUP(CB$1,main!$A$3:$H$102,4,FALSE),VLOOKUP(CB$1,main!$A$3:$H$102,4,FALSE)+VLOOKUP($A38,main!$A$3:$H$102,4,FALSE)+(VLOOKUP(VLOOKUP(CB$1,main!$A$3:$H$102,8,FALSE),main!$K$19:$O$22,MATCH(VLOOKUP($A38,main!$A$3:$H$102,7,FALSE),main!$K$18:$O$18,0),0))),0)</f>
        <v>0</v>
      </c>
      <c r="CC38">
        <f>IF((gamma!CC38),IF(VLOOKUP(CC$1,main!$A$3:$H$102,7,FALSE)=VLOOKUP($A38,main!$A$3:$H$102,8,FALSE),VLOOKUP(CC$1,main!$A$3:$H$102,4,FALSE),VLOOKUP(CC$1,main!$A$3:$H$102,4,FALSE)+VLOOKUP($A38,main!$A$3:$H$102,4,FALSE)+(VLOOKUP(VLOOKUP(CC$1,main!$A$3:$H$102,8,FALSE),main!$K$19:$O$22,MATCH(VLOOKUP($A38,main!$A$3:$H$102,7,FALSE),main!$K$18:$O$18,0),0))),0)</f>
        <v>0</v>
      </c>
      <c r="CD38">
        <f>IF((gamma!CD38),IF(VLOOKUP(CD$1,main!$A$3:$H$102,7,FALSE)=VLOOKUP($A38,main!$A$3:$H$102,8,FALSE),VLOOKUP(CD$1,main!$A$3:$H$102,4,FALSE),VLOOKUP(CD$1,main!$A$3:$H$102,4,FALSE)+VLOOKUP($A38,main!$A$3:$H$102,4,FALSE)+(VLOOKUP(VLOOKUP(CD$1,main!$A$3:$H$102,8,FALSE),main!$K$19:$O$22,MATCH(VLOOKUP($A38,main!$A$3:$H$102,7,FALSE),main!$K$18:$O$18,0),0))),0)</f>
        <v>0</v>
      </c>
      <c r="CE38">
        <f>IF((gamma!CE38),IF(VLOOKUP(CE$1,main!$A$3:$H$102,7,FALSE)=VLOOKUP($A38,main!$A$3:$H$102,8,FALSE),VLOOKUP(CE$1,main!$A$3:$H$102,4,FALSE),VLOOKUP(CE$1,main!$A$3:$H$102,4,FALSE)+VLOOKUP($A38,main!$A$3:$H$102,4,FALSE)+(VLOOKUP(VLOOKUP(CE$1,main!$A$3:$H$102,8,FALSE),main!$K$19:$O$22,MATCH(VLOOKUP($A38,main!$A$3:$H$102,7,FALSE),main!$K$18:$O$18,0),0))),0)</f>
        <v>0</v>
      </c>
      <c r="CF38">
        <f>IF((gamma!CF38),IF(VLOOKUP(CF$1,main!$A$3:$H$102,7,FALSE)=VLOOKUP($A38,main!$A$3:$H$102,8,FALSE),VLOOKUP(CF$1,main!$A$3:$H$102,4,FALSE),VLOOKUP(CF$1,main!$A$3:$H$102,4,FALSE)+VLOOKUP($A38,main!$A$3:$H$102,4,FALSE)+(VLOOKUP(VLOOKUP(CF$1,main!$A$3:$H$102,8,FALSE),main!$K$19:$O$22,MATCH(VLOOKUP($A38,main!$A$3:$H$102,7,FALSE),main!$K$18:$O$18,0),0))),0)</f>
        <v>0</v>
      </c>
      <c r="CG38">
        <f>IF((gamma!CG38),IF(VLOOKUP(CG$1,main!$A$3:$H$102,7,FALSE)=VLOOKUP($A38,main!$A$3:$H$102,8,FALSE),VLOOKUP(CG$1,main!$A$3:$H$102,4,FALSE),VLOOKUP(CG$1,main!$A$3:$H$102,4,FALSE)+VLOOKUP($A38,main!$A$3:$H$102,4,FALSE)+(VLOOKUP(VLOOKUP(CG$1,main!$A$3:$H$102,8,FALSE),main!$K$19:$O$22,MATCH(VLOOKUP($A38,main!$A$3:$H$102,7,FALSE),main!$K$18:$O$18,0),0))),0)</f>
        <v>0</v>
      </c>
      <c r="CH38">
        <f>IF((gamma!CH38),IF(VLOOKUP(CH$1,main!$A$3:$H$102,7,FALSE)=VLOOKUP($A38,main!$A$3:$H$102,8,FALSE),VLOOKUP(CH$1,main!$A$3:$H$102,4,FALSE),VLOOKUP(CH$1,main!$A$3:$H$102,4,FALSE)+VLOOKUP($A38,main!$A$3:$H$102,4,FALSE)+(VLOOKUP(VLOOKUP(CH$1,main!$A$3:$H$102,8,FALSE),main!$K$19:$O$22,MATCH(VLOOKUP($A38,main!$A$3:$H$102,7,FALSE),main!$K$18:$O$18,0),0))),0)</f>
        <v>0</v>
      </c>
      <c r="CI38">
        <f>IF((gamma!CI38),IF(VLOOKUP(CI$1,main!$A$3:$H$102,7,FALSE)=VLOOKUP($A38,main!$A$3:$H$102,8,FALSE),VLOOKUP(CI$1,main!$A$3:$H$102,4,FALSE),VLOOKUP(CI$1,main!$A$3:$H$102,4,FALSE)+VLOOKUP($A38,main!$A$3:$H$102,4,FALSE)+(VLOOKUP(VLOOKUP(CI$1,main!$A$3:$H$102,8,FALSE),main!$K$19:$O$22,MATCH(VLOOKUP($A38,main!$A$3:$H$102,7,FALSE),main!$K$18:$O$18,0),0))),0)</f>
        <v>300</v>
      </c>
      <c r="CJ38">
        <f>IF((gamma!CJ38),IF(VLOOKUP(CJ$1,main!$A$3:$H$102,7,FALSE)=VLOOKUP($A38,main!$A$3:$H$102,8,FALSE),VLOOKUP(CJ$1,main!$A$3:$H$102,4,FALSE),VLOOKUP(CJ$1,main!$A$3:$H$102,4,FALSE)+VLOOKUP($A38,main!$A$3:$H$102,4,FALSE)+(VLOOKUP(VLOOKUP(CJ$1,main!$A$3:$H$102,8,FALSE),main!$K$19:$O$22,MATCH(VLOOKUP($A38,main!$A$3:$H$102,7,FALSE),main!$K$18:$O$18,0),0))),0)</f>
        <v>0</v>
      </c>
      <c r="CK38">
        <f>IF((gamma!CK38),IF(VLOOKUP(CK$1,main!$A$3:$H$102,7,FALSE)=VLOOKUP($A38,main!$A$3:$H$102,8,FALSE),VLOOKUP(CK$1,main!$A$3:$H$102,4,FALSE),VLOOKUP(CK$1,main!$A$3:$H$102,4,FALSE)+VLOOKUP($A38,main!$A$3:$H$102,4,FALSE)+(VLOOKUP(VLOOKUP(CK$1,main!$A$3:$H$102,8,FALSE),main!$K$19:$O$22,MATCH(VLOOKUP($A38,main!$A$3:$H$102,7,FALSE),main!$K$18:$O$18,0),0))),0)</f>
        <v>0</v>
      </c>
      <c r="CL38">
        <f>IF((gamma!CL38),IF(VLOOKUP(CL$1,main!$A$3:$H$102,7,FALSE)=VLOOKUP($A38,main!$A$3:$H$102,8,FALSE),VLOOKUP(CL$1,main!$A$3:$H$102,4,FALSE),VLOOKUP(CL$1,main!$A$3:$H$102,4,FALSE)+VLOOKUP($A38,main!$A$3:$H$102,4,FALSE)+(VLOOKUP(VLOOKUP(CL$1,main!$A$3:$H$102,8,FALSE),main!$K$19:$O$22,MATCH(VLOOKUP($A38,main!$A$3:$H$102,7,FALSE),main!$K$18:$O$18,0),0))),0)</f>
        <v>0</v>
      </c>
      <c r="CM38">
        <f>IF((gamma!CM38),IF(VLOOKUP(CM$1,main!$A$3:$H$102,7,FALSE)=VLOOKUP($A38,main!$A$3:$H$102,8,FALSE),VLOOKUP(CM$1,main!$A$3:$H$102,4,FALSE),VLOOKUP(CM$1,main!$A$3:$H$102,4,FALSE)+VLOOKUP($A38,main!$A$3:$H$102,4,FALSE)+(VLOOKUP(VLOOKUP(CM$1,main!$A$3:$H$102,8,FALSE),main!$K$19:$O$22,MATCH(VLOOKUP($A38,main!$A$3:$H$102,7,FALSE),main!$K$18:$O$18,0),0))),0)</f>
        <v>0</v>
      </c>
      <c r="CN38">
        <f>IF((gamma!CN38),IF(VLOOKUP(CN$1,main!$A$3:$H$102,7,FALSE)=VLOOKUP($A38,main!$A$3:$H$102,8,FALSE),VLOOKUP(CN$1,main!$A$3:$H$102,4,FALSE),VLOOKUP(CN$1,main!$A$3:$H$102,4,FALSE)+VLOOKUP($A38,main!$A$3:$H$102,4,FALSE)+(VLOOKUP(VLOOKUP(CN$1,main!$A$3:$H$102,8,FALSE),main!$K$19:$O$22,MATCH(VLOOKUP($A38,main!$A$3:$H$102,7,FALSE),main!$K$18:$O$18,0),0))),0)</f>
        <v>256</v>
      </c>
      <c r="CO38">
        <f>IF((gamma!CO38),IF(VLOOKUP(CO$1,main!$A$3:$H$102,7,FALSE)=VLOOKUP($A38,main!$A$3:$H$102,8,FALSE),VLOOKUP(CO$1,main!$A$3:$H$102,4,FALSE),VLOOKUP(CO$1,main!$A$3:$H$102,4,FALSE)+VLOOKUP($A38,main!$A$3:$H$102,4,FALSE)+(VLOOKUP(VLOOKUP(CO$1,main!$A$3:$H$102,8,FALSE),main!$K$19:$O$22,MATCH(VLOOKUP($A38,main!$A$3:$H$102,7,FALSE),main!$K$18:$O$18,0),0))),0)</f>
        <v>0</v>
      </c>
      <c r="CP38">
        <f>IF((gamma!CP38),IF(VLOOKUP(CP$1,main!$A$3:$H$102,7,FALSE)=VLOOKUP($A38,main!$A$3:$H$102,8,FALSE),VLOOKUP(CP$1,main!$A$3:$H$102,4,FALSE),VLOOKUP(CP$1,main!$A$3:$H$102,4,FALSE)+VLOOKUP($A38,main!$A$3:$H$102,4,FALSE)+(VLOOKUP(VLOOKUP(CP$1,main!$A$3:$H$102,8,FALSE),main!$K$19:$O$22,MATCH(VLOOKUP($A38,main!$A$3:$H$102,7,FALSE),main!$K$18:$O$18,0),0))),0)</f>
        <v>0</v>
      </c>
      <c r="CQ38">
        <f>IF((gamma!CQ38),IF(VLOOKUP(CQ$1,main!$A$3:$H$102,7,FALSE)=VLOOKUP($A38,main!$A$3:$H$102,8,FALSE),VLOOKUP(CQ$1,main!$A$3:$H$102,4,FALSE),VLOOKUP(CQ$1,main!$A$3:$H$102,4,FALSE)+VLOOKUP($A38,main!$A$3:$H$102,4,FALSE)+(VLOOKUP(VLOOKUP(CQ$1,main!$A$3:$H$102,8,FALSE),main!$K$19:$O$22,MATCH(VLOOKUP($A38,main!$A$3:$H$102,7,FALSE),main!$K$18:$O$18,0),0))),0)</f>
        <v>0</v>
      </c>
      <c r="CR38">
        <f>IF((gamma!CR38),IF(VLOOKUP(CR$1,main!$A$3:$H$102,7,FALSE)=VLOOKUP($A38,main!$A$3:$H$102,8,FALSE),VLOOKUP(CR$1,main!$A$3:$H$102,4,FALSE),VLOOKUP(CR$1,main!$A$3:$H$102,4,FALSE)+VLOOKUP($A38,main!$A$3:$H$102,4,FALSE)+(VLOOKUP(VLOOKUP(CR$1,main!$A$3:$H$102,8,FALSE),main!$K$19:$O$22,MATCH(VLOOKUP($A38,main!$A$3:$H$102,7,FALSE),main!$K$18:$O$18,0),0))),0)</f>
        <v>0</v>
      </c>
      <c r="CS38">
        <f>IF((gamma!CS38),IF(VLOOKUP(CS$1,main!$A$3:$H$102,7,FALSE)=VLOOKUP($A38,main!$A$3:$H$102,8,FALSE),VLOOKUP(CS$1,main!$A$3:$H$102,4,FALSE),VLOOKUP(CS$1,main!$A$3:$H$102,4,FALSE)+VLOOKUP($A38,main!$A$3:$H$102,4,FALSE)+(VLOOKUP(VLOOKUP(CS$1,main!$A$3:$H$102,8,FALSE),main!$K$19:$O$22,MATCH(VLOOKUP($A38,main!$A$3:$H$102,7,FALSE),main!$K$18:$O$18,0),0))),0)</f>
        <v>0</v>
      </c>
      <c r="CT38">
        <f>IF((gamma!CT38),IF(VLOOKUP(CT$1,main!$A$3:$H$102,7,FALSE)=VLOOKUP($A38,main!$A$3:$H$102,8,FALSE),VLOOKUP(CT$1,main!$A$3:$H$102,4,FALSE),VLOOKUP(CT$1,main!$A$3:$H$102,4,FALSE)+VLOOKUP($A38,main!$A$3:$H$102,4,FALSE)+(VLOOKUP(VLOOKUP(CT$1,main!$A$3:$H$102,8,FALSE),main!$K$19:$O$22,MATCH(VLOOKUP($A38,main!$A$3:$H$102,7,FALSE),main!$K$18:$O$18,0),0))),0)</f>
        <v>0</v>
      </c>
      <c r="CU38">
        <f>IF((gamma!CU38),IF(VLOOKUP(CU$1,main!$A$3:$H$102,7,FALSE)=VLOOKUP($A38,main!$A$3:$H$102,8,FALSE),VLOOKUP(CU$1,main!$A$3:$H$102,4,FALSE),VLOOKUP(CU$1,main!$A$3:$H$102,4,FALSE)+VLOOKUP($A38,main!$A$3:$H$102,4,FALSE)+(VLOOKUP(VLOOKUP(CU$1,main!$A$3:$H$102,8,FALSE),main!$K$19:$O$22,MATCH(VLOOKUP($A38,main!$A$3:$H$102,7,FALSE),main!$K$18:$O$18,0),0))),0)</f>
        <v>0</v>
      </c>
      <c r="CV38">
        <f>IF((gamma!CV38),IF(VLOOKUP(CV$1,main!$A$3:$H$102,7,FALSE)=VLOOKUP($A38,main!$A$3:$H$102,8,FALSE),VLOOKUP(CV$1,main!$A$3:$H$102,4,FALSE),VLOOKUP(CV$1,main!$A$3:$H$102,4,FALSE)+VLOOKUP($A38,main!$A$3:$H$102,4,FALSE)+(VLOOKUP(VLOOKUP(CV$1,main!$A$3:$H$102,8,FALSE),main!$K$19:$O$22,MATCH(VLOOKUP($A38,main!$A$3:$H$102,7,FALSE),main!$K$18:$O$18,0),0))),0)</f>
        <v>0</v>
      </c>
      <c r="CW38">
        <f>IF((gamma!CW38),IF(VLOOKUP(CW$1,main!$A$3:$H$102,7,FALSE)=VLOOKUP($A38,main!$A$3:$H$102,8,FALSE),VLOOKUP(CW$1,main!$A$3:$H$102,4,FALSE),VLOOKUP(CW$1,main!$A$3:$H$102,4,FALSE)+VLOOKUP($A38,main!$A$3:$H$102,4,FALSE)+(VLOOKUP(VLOOKUP(CW$1,main!$A$3:$H$102,8,FALSE),main!$K$19:$O$22,MATCH(VLOOKUP($A38,main!$A$3:$H$102,7,FALSE),main!$K$18:$O$18,0),0))),0)</f>
        <v>0</v>
      </c>
      <c r="CX38">
        <f>IF((gamma!CX38),IF(VLOOKUP(CX$1,main!$A$3:$H$102,7,FALSE)=VLOOKUP($A38,main!$A$3:$H$102,8,FALSE),VLOOKUP(CX$1,main!$A$3:$H$102,4,FALSE),VLOOKUP(CX$1,main!$A$3:$H$102,4,FALSE)+VLOOKUP($A38,main!$A$3:$H$102,4,FALSE)+(VLOOKUP(VLOOKUP(CX$1,main!$A$3:$H$102,8,FALSE),main!$K$19:$O$22,MATCH(VLOOKUP($A38,main!$A$3:$H$102,7,FALSE),main!$K$18:$O$18,0),0))),0)</f>
        <v>0</v>
      </c>
      <c r="CY38">
        <v>0</v>
      </c>
      <c r="CZ38">
        <v>0</v>
      </c>
      <c r="DA38">
        <v>0</v>
      </c>
    </row>
    <row r="39" spans="1:105" x14ac:dyDescent="0.25">
      <c r="A39" s="1">
        <v>37</v>
      </c>
      <c r="B39">
        <v>0</v>
      </c>
      <c r="C39">
        <f>IF((gamma!C39),IF(VLOOKUP(C$1,main!$A$3:$H$102,7,FALSE)=VLOOKUP($A39,main!$A$3:$H$102,8,FALSE),VLOOKUP(C$1,main!$A$3:$H$102,4,FALSE),VLOOKUP(C$1,main!$A$3:$H$102,4,FALSE)+VLOOKUP($A39,main!$A$3:$H$102,4,FALSE)+(VLOOKUP(VLOOKUP(C$1,main!$A$3:$H$102,8,FALSE),main!$K$19:$O$22,MATCH(VLOOKUP($A39,main!$A$3:$H$102,7,FALSE),main!$K$18:$O$18,0),0))),0)</f>
        <v>0</v>
      </c>
      <c r="D39">
        <f>IF((gamma!D39),IF(VLOOKUP(D$1,main!$A$3:$H$102,7,FALSE)=VLOOKUP($A39,main!$A$3:$H$102,8,FALSE),VLOOKUP(D$1,main!$A$3:$H$102,4,FALSE),VLOOKUP(D$1,main!$A$3:$H$102,4,FALSE)+VLOOKUP($A39,main!$A$3:$H$102,4,FALSE)+(VLOOKUP(VLOOKUP(D$1,main!$A$3:$H$102,8,FALSE),main!$K$19:$O$22,MATCH(VLOOKUP($A39,main!$A$3:$H$102,7,FALSE),main!$K$18:$O$18,0),0))),0)</f>
        <v>0</v>
      </c>
      <c r="E39">
        <f>IF((gamma!E39),IF(VLOOKUP(E$1,main!$A$3:$H$102,7,FALSE)=VLOOKUP($A39,main!$A$3:$H$102,8,FALSE),VLOOKUP(E$1,main!$A$3:$H$102,4,FALSE),VLOOKUP(E$1,main!$A$3:$H$102,4,FALSE)+VLOOKUP($A39,main!$A$3:$H$102,4,FALSE)+(VLOOKUP(VLOOKUP(E$1,main!$A$3:$H$102,8,FALSE),main!$K$19:$O$22,MATCH(VLOOKUP($A39,main!$A$3:$H$102,7,FALSE),main!$K$18:$O$18,0),0))),0)</f>
        <v>0</v>
      </c>
      <c r="F39">
        <f>IF((gamma!F39),IF(VLOOKUP(F$1,main!$A$3:$H$102,7,FALSE)=VLOOKUP($A39,main!$A$3:$H$102,8,FALSE),VLOOKUP(F$1,main!$A$3:$H$102,4,FALSE),VLOOKUP(F$1,main!$A$3:$H$102,4,FALSE)+VLOOKUP($A39,main!$A$3:$H$102,4,FALSE)+(VLOOKUP(VLOOKUP(F$1,main!$A$3:$H$102,8,FALSE),main!$K$19:$O$22,MATCH(VLOOKUP($A39,main!$A$3:$H$102,7,FALSE),main!$K$18:$O$18,0),0))),0)</f>
        <v>0</v>
      </c>
      <c r="G39">
        <f>IF((gamma!G39),IF(VLOOKUP(G$1,main!$A$3:$H$102,7,FALSE)=VLOOKUP($A39,main!$A$3:$H$102,8,FALSE),VLOOKUP(G$1,main!$A$3:$H$102,4,FALSE),VLOOKUP(G$1,main!$A$3:$H$102,4,FALSE)+VLOOKUP($A39,main!$A$3:$H$102,4,FALSE)+(VLOOKUP(VLOOKUP(G$1,main!$A$3:$H$102,8,FALSE),main!$K$19:$O$22,MATCH(VLOOKUP($A39,main!$A$3:$H$102,7,FALSE),main!$K$18:$O$18,0),0))),0)</f>
        <v>0</v>
      </c>
      <c r="H39">
        <f>IF((gamma!H39),IF(VLOOKUP(H$1,main!$A$3:$H$102,7,FALSE)=VLOOKUP($A39,main!$A$3:$H$102,8,FALSE),VLOOKUP(H$1,main!$A$3:$H$102,4,FALSE),VLOOKUP(H$1,main!$A$3:$H$102,4,FALSE)+VLOOKUP($A39,main!$A$3:$H$102,4,FALSE)+(VLOOKUP(VLOOKUP(H$1,main!$A$3:$H$102,8,FALSE),main!$K$19:$O$22,MATCH(VLOOKUP($A39,main!$A$3:$H$102,7,FALSE),main!$K$18:$O$18,0),0))),0)</f>
        <v>0</v>
      </c>
      <c r="I39">
        <f>IF((gamma!I39),IF(VLOOKUP(I$1,main!$A$3:$H$102,7,FALSE)=VLOOKUP($A39,main!$A$3:$H$102,8,FALSE),VLOOKUP(I$1,main!$A$3:$H$102,4,FALSE),VLOOKUP(I$1,main!$A$3:$H$102,4,FALSE)+VLOOKUP($A39,main!$A$3:$H$102,4,FALSE)+(VLOOKUP(VLOOKUP(I$1,main!$A$3:$H$102,8,FALSE),main!$K$19:$O$22,MATCH(VLOOKUP($A39,main!$A$3:$H$102,7,FALSE),main!$K$18:$O$18,0),0))),0)</f>
        <v>0</v>
      </c>
      <c r="J39">
        <f>IF((gamma!J39),IF(VLOOKUP(J$1,main!$A$3:$H$102,7,FALSE)=VLOOKUP($A39,main!$A$3:$H$102,8,FALSE),VLOOKUP(J$1,main!$A$3:$H$102,4,FALSE),VLOOKUP(J$1,main!$A$3:$H$102,4,FALSE)+VLOOKUP($A39,main!$A$3:$H$102,4,FALSE)+(VLOOKUP(VLOOKUP(J$1,main!$A$3:$H$102,8,FALSE),main!$K$19:$O$22,MATCH(VLOOKUP($A39,main!$A$3:$H$102,7,FALSE),main!$K$18:$O$18,0),0))),0)</f>
        <v>0</v>
      </c>
      <c r="K39">
        <f>IF((gamma!K39),IF(VLOOKUP(K$1,main!$A$3:$H$102,7,FALSE)=VLOOKUP($A39,main!$A$3:$H$102,8,FALSE),VLOOKUP(K$1,main!$A$3:$H$102,4,FALSE),VLOOKUP(K$1,main!$A$3:$H$102,4,FALSE)+VLOOKUP($A39,main!$A$3:$H$102,4,FALSE)+(VLOOKUP(VLOOKUP(K$1,main!$A$3:$H$102,8,FALSE),main!$K$19:$O$22,MATCH(VLOOKUP($A39,main!$A$3:$H$102,7,FALSE),main!$K$18:$O$18,0),0))),0)</f>
        <v>0</v>
      </c>
      <c r="L39">
        <f>IF((gamma!L39),IF(VLOOKUP(L$1,main!$A$3:$H$102,7,FALSE)=VLOOKUP($A39,main!$A$3:$H$102,8,FALSE),VLOOKUP(L$1,main!$A$3:$H$102,4,FALSE),VLOOKUP(L$1,main!$A$3:$H$102,4,FALSE)+VLOOKUP($A39,main!$A$3:$H$102,4,FALSE)+(VLOOKUP(VLOOKUP(L$1,main!$A$3:$H$102,8,FALSE),main!$K$19:$O$22,MATCH(VLOOKUP($A39,main!$A$3:$H$102,7,FALSE),main!$K$18:$O$18,0),0))),0)</f>
        <v>0</v>
      </c>
      <c r="M39">
        <f>IF((gamma!M39),IF(VLOOKUP(M$1,main!$A$3:$H$102,7,FALSE)=VLOOKUP($A39,main!$A$3:$H$102,8,FALSE),VLOOKUP(M$1,main!$A$3:$H$102,4,FALSE),VLOOKUP(M$1,main!$A$3:$H$102,4,FALSE)+VLOOKUP($A39,main!$A$3:$H$102,4,FALSE)+(VLOOKUP(VLOOKUP(M$1,main!$A$3:$H$102,8,FALSE),main!$K$19:$O$22,MATCH(VLOOKUP($A39,main!$A$3:$H$102,7,FALSE),main!$K$18:$O$18,0),0))),0)</f>
        <v>0</v>
      </c>
      <c r="N39">
        <f>IF((gamma!N39),IF(VLOOKUP(N$1,main!$A$3:$H$102,7,FALSE)=VLOOKUP($A39,main!$A$3:$H$102,8,FALSE),VLOOKUP(N$1,main!$A$3:$H$102,4,FALSE),VLOOKUP(N$1,main!$A$3:$H$102,4,FALSE)+VLOOKUP($A39,main!$A$3:$H$102,4,FALSE)+(VLOOKUP(VLOOKUP(N$1,main!$A$3:$H$102,8,FALSE),main!$K$19:$O$22,MATCH(VLOOKUP($A39,main!$A$3:$H$102,7,FALSE),main!$K$18:$O$18,0),0))),0)</f>
        <v>0</v>
      </c>
      <c r="O39">
        <f>IF((gamma!O39),IF(VLOOKUP(O$1,main!$A$3:$H$102,7,FALSE)=VLOOKUP($A39,main!$A$3:$H$102,8,FALSE),VLOOKUP(O$1,main!$A$3:$H$102,4,FALSE),VLOOKUP(O$1,main!$A$3:$H$102,4,FALSE)+VLOOKUP($A39,main!$A$3:$H$102,4,FALSE)+(VLOOKUP(VLOOKUP(O$1,main!$A$3:$H$102,8,FALSE),main!$K$19:$O$22,MATCH(VLOOKUP($A39,main!$A$3:$H$102,7,FALSE),main!$K$18:$O$18,0),0))),0)</f>
        <v>0</v>
      </c>
      <c r="P39">
        <f>IF((gamma!P39),IF(VLOOKUP(P$1,main!$A$3:$H$102,7,FALSE)=VLOOKUP($A39,main!$A$3:$H$102,8,FALSE),VLOOKUP(P$1,main!$A$3:$H$102,4,FALSE),VLOOKUP(P$1,main!$A$3:$H$102,4,FALSE)+VLOOKUP($A39,main!$A$3:$H$102,4,FALSE)+(VLOOKUP(VLOOKUP(P$1,main!$A$3:$H$102,8,FALSE),main!$K$19:$O$22,MATCH(VLOOKUP($A39,main!$A$3:$H$102,7,FALSE),main!$K$18:$O$18,0),0))),0)</f>
        <v>0</v>
      </c>
      <c r="Q39">
        <f>IF((gamma!Q39),IF(VLOOKUP(Q$1,main!$A$3:$H$102,7,FALSE)=VLOOKUP($A39,main!$A$3:$H$102,8,FALSE),VLOOKUP(Q$1,main!$A$3:$H$102,4,FALSE),VLOOKUP(Q$1,main!$A$3:$H$102,4,FALSE)+VLOOKUP($A39,main!$A$3:$H$102,4,FALSE)+(VLOOKUP(VLOOKUP(Q$1,main!$A$3:$H$102,8,FALSE),main!$K$19:$O$22,MATCH(VLOOKUP($A39,main!$A$3:$H$102,7,FALSE),main!$K$18:$O$18,0),0))),0)</f>
        <v>0</v>
      </c>
      <c r="R39">
        <f>IF((gamma!R39),IF(VLOOKUP(R$1,main!$A$3:$H$102,7,FALSE)=VLOOKUP($A39,main!$A$3:$H$102,8,FALSE),VLOOKUP(R$1,main!$A$3:$H$102,4,FALSE),VLOOKUP(R$1,main!$A$3:$H$102,4,FALSE)+VLOOKUP($A39,main!$A$3:$H$102,4,FALSE)+(VLOOKUP(VLOOKUP(R$1,main!$A$3:$H$102,8,FALSE),main!$K$19:$O$22,MATCH(VLOOKUP($A39,main!$A$3:$H$102,7,FALSE),main!$K$18:$O$18,0),0))),0)</f>
        <v>0</v>
      </c>
      <c r="S39">
        <f>IF((gamma!S39),IF(VLOOKUP(S$1,main!$A$3:$H$102,7,FALSE)=VLOOKUP($A39,main!$A$3:$H$102,8,FALSE),VLOOKUP(S$1,main!$A$3:$H$102,4,FALSE),VLOOKUP(S$1,main!$A$3:$H$102,4,FALSE)+VLOOKUP($A39,main!$A$3:$H$102,4,FALSE)+(VLOOKUP(VLOOKUP(S$1,main!$A$3:$H$102,8,FALSE),main!$K$19:$O$22,MATCH(VLOOKUP($A39,main!$A$3:$H$102,7,FALSE),main!$K$18:$O$18,0),0))),0)</f>
        <v>0</v>
      </c>
      <c r="T39">
        <f>IF((gamma!T39),IF(VLOOKUP(T$1,main!$A$3:$H$102,7,FALSE)=VLOOKUP($A39,main!$A$3:$H$102,8,FALSE),VLOOKUP(T$1,main!$A$3:$H$102,4,FALSE),VLOOKUP(T$1,main!$A$3:$H$102,4,FALSE)+VLOOKUP($A39,main!$A$3:$H$102,4,FALSE)+(VLOOKUP(VLOOKUP(T$1,main!$A$3:$H$102,8,FALSE),main!$K$19:$O$22,MATCH(VLOOKUP($A39,main!$A$3:$H$102,7,FALSE),main!$K$18:$O$18,0),0))),0)</f>
        <v>0</v>
      </c>
      <c r="U39">
        <f>IF((gamma!U39),IF(VLOOKUP(U$1,main!$A$3:$H$102,7,FALSE)=VLOOKUP($A39,main!$A$3:$H$102,8,FALSE),VLOOKUP(U$1,main!$A$3:$H$102,4,FALSE),VLOOKUP(U$1,main!$A$3:$H$102,4,FALSE)+VLOOKUP($A39,main!$A$3:$H$102,4,FALSE)+(VLOOKUP(VLOOKUP(U$1,main!$A$3:$H$102,8,FALSE),main!$K$19:$O$22,MATCH(VLOOKUP($A39,main!$A$3:$H$102,7,FALSE),main!$K$18:$O$18,0),0))),0)</f>
        <v>0</v>
      </c>
      <c r="V39">
        <f>IF((gamma!V39),IF(VLOOKUP(V$1,main!$A$3:$H$102,7,FALSE)=VLOOKUP($A39,main!$A$3:$H$102,8,FALSE),VLOOKUP(V$1,main!$A$3:$H$102,4,FALSE),VLOOKUP(V$1,main!$A$3:$H$102,4,FALSE)+VLOOKUP($A39,main!$A$3:$H$102,4,FALSE)+(VLOOKUP(VLOOKUP(V$1,main!$A$3:$H$102,8,FALSE),main!$K$19:$O$22,MATCH(VLOOKUP($A39,main!$A$3:$H$102,7,FALSE),main!$K$18:$O$18,0),0))),0)</f>
        <v>0</v>
      </c>
      <c r="W39">
        <f>IF((gamma!W39),IF(VLOOKUP(W$1,main!$A$3:$H$102,7,FALSE)=VLOOKUP($A39,main!$A$3:$H$102,8,FALSE),VLOOKUP(W$1,main!$A$3:$H$102,4,FALSE),VLOOKUP(W$1,main!$A$3:$H$102,4,FALSE)+VLOOKUP($A39,main!$A$3:$H$102,4,FALSE)+(VLOOKUP(VLOOKUP(W$1,main!$A$3:$H$102,8,FALSE),main!$K$19:$O$22,MATCH(VLOOKUP($A39,main!$A$3:$H$102,7,FALSE),main!$K$18:$O$18,0),0))),0)</f>
        <v>0</v>
      </c>
      <c r="X39">
        <f>IF((gamma!X39),IF(VLOOKUP(X$1,main!$A$3:$H$102,7,FALSE)=VLOOKUP($A39,main!$A$3:$H$102,8,FALSE),VLOOKUP(X$1,main!$A$3:$H$102,4,FALSE),VLOOKUP(X$1,main!$A$3:$H$102,4,FALSE)+VLOOKUP($A39,main!$A$3:$H$102,4,FALSE)+(VLOOKUP(VLOOKUP(X$1,main!$A$3:$H$102,8,FALSE),main!$K$19:$O$22,MATCH(VLOOKUP($A39,main!$A$3:$H$102,7,FALSE),main!$K$18:$O$18,0),0))),0)</f>
        <v>0</v>
      </c>
      <c r="Y39">
        <f>IF((gamma!Y39),IF(VLOOKUP(Y$1,main!$A$3:$H$102,7,FALSE)=VLOOKUP($A39,main!$A$3:$H$102,8,FALSE),VLOOKUP(Y$1,main!$A$3:$H$102,4,FALSE),VLOOKUP(Y$1,main!$A$3:$H$102,4,FALSE)+VLOOKUP($A39,main!$A$3:$H$102,4,FALSE)+(VLOOKUP(VLOOKUP(Y$1,main!$A$3:$H$102,8,FALSE),main!$K$19:$O$22,MATCH(VLOOKUP($A39,main!$A$3:$H$102,7,FALSE),main!$K$18:$O$18,0),0))),0)</f>
        <v>0</v>
      </c>
      <c r="Z39">
        <f>IF((gamma!Z39),IF(VLOOKUP(Z$1,main!$A$3:$H$102,7,FALSE)=VLOOKUP($A39,main!$A$3:$H$102,8,FALSE),VLOOKUP(Z$1,main!$A$3:$H$102,4,FALSE),VLOOKUP(Z$1,main!$A$3:$H$102,4,FALSE)+VLOOKUP($A39,main!$A$3:$H$102,4,FALSE)+(VLOOKUP(VLOOKUP(Z$1,main!$A$3:$H$102,8,FALSE),main!$K$19:$O$22,MATCH(VLOOKUP($A39,main!$A$3:$H$102,7,FALSE),main!$K$18:$O$18,0),0))),0)</f>
        <v>0</v>
      </c>
      <c r="AA39">
        <f>IF((gamma!AA39),IF(VLOOKUP(AA$1,main!$A$3:$H$102,7,FALSE)=VLOOKUP($A39,main!$A$3:$H$102,8,FALSE),VLOOKUP(AA$1,main!$A$3:$H$102,4,FALSE),VLOOKUP(AA$1,main!$A$3:$H$102,4,FALSE)+VLOOKUP($A39,main!$A$3:$H$102,4,FALSE)+(VLOOKUP(VLOOKUP(AA$1,main!$A$3:$H$102,8,FALSE),main!$K$19:$O$22,MATCH(VLOOKUP($A39,main!$A$3:$H$102,7,FALSE),main!$K$18:$O$18,0),0))),0)</f>
        <v>0</v>
      </c>
      <c r="AB39">
        <f>IF((gamma!AB39),IF(VLOOKUP(AB$1,main!$A$3:$H$102,7,FALSE)=VLOOKUP($A39,main!$A$3:$H$102,8,FALSE),VLOOKUP(AB$1,main!$A$3:$H$102,4,FALSE),VLOOKUP(AB$1,main!$A$3:$H$102,4,FALSE)+VLOOKUP($A39,main!$A$3:$H$102,4,FALSE)+(VLOOKUP(VLOOKUP(AB$1,main!$A$3:$H$102,8,FALSE),main!$K$19:$O$22,MATCH(VLOOKUP($A39,main!$A$3:$H$102,7,FALSE),main!$K$18:$O$18,0),0))),0)</f>
        <v>0</v>
      </c>
      <c r="AC39">
        <f>IF((gamma!AC39),IF(VLOOKUP(AC$1,main!$A$3:$H$102,7,FALSE)=VLOOKUP($A39,main!$A$3:$H$102,8,FALSE),VLOOKUP(AC$1,main!$A$3:$H$102,4,FALSE),VLOOKUP(AC$1,main!$A$3:$H$102,4,FALSE)+VLOOKUP($A39,main!$A$3:$H$102,4,FALSE)+(VLOOKUP(VLOOKUP(AC$1,main!$A$3:$H$102,8,FALSE),main!$K$19:$O$22,MATCH(VLOOKUP($A39,main!$A$3:$H$102,7,FALSE),main!$K$18:$O$18,0),0))),0)</f>
        <v>0</v>
      </c>
      <c r="AD39">
        <f>IF((gamma!AD39),IF(VLOOKUP(AD$1,main!$A$3:$H$102,7,FALSE)=VLOOKUP($A39,main!$A$3:$H$102,8,FALSE),VLOOKUP(AD$1,main!$A$3:$H$102,4,FALSE),VLOOKUP(AD$1,main!$A$3:$H$102,4,FALSE)+VLOOKUP($A39,main!$A$3:$H$102,4,FALSE)+(VLOOKUP(VLOOKUP(AD$1,main!$A$3:$H$102,8,FALSE),main!$K$19:$O$22,MATCH(VLOOKUP($A39,main!$A$3:$H$102,7,FALSE),main!$K$18:$O$18,0),0))),0)</f>
        <v>0</v>
      </c>
      <c r="AE39">
        <f>IF((gamma!AE39),IF(VLOOKUP(AE$1,main!$A$3:$H$102,7,FALSE)=VLOOKUP($A39,main!$A$3:$H$102,8,FALSE),VLOOKUP(AE$1,main!$A$3:$H$102,4,FALSE),VLOOKUP(AE$1,main!$A$3:$H$102,4,FALSE)+VLOOKUP($A39,main!$A$3:$H$102,4,FALSE)+(VLOOKUP(VLOOKUP(AE$1,main!$A$3:$H$102,8,FALSE),main!$K$19:$O$22,MATCH(VLOOKUP($A39,main!$A$3:$H$102,7,FALSE),main!$K$18:$O$18,0),0))),0)</f>
        <v>0</v>
      </c>
      <c r="AF39">
        <f>IF((gamma!AF39),IF(VLOOKUP(AF$1,main!$A$3:$H$102,7,FALSE)=VLOOKUP($A39,main!$A$3:$H$102,8,FALSE),VLOOKUP(AF$1,main!$A$3:$H$102,4,FALSE),VLOOKUP(AF$1,main!$A$3:$H$102,4,FALSE)+VLOOKUP($A39,main!$A$3:$H$102,4,FALSE)+(VLOOKUP(VLOOKUP(AF$1,main!$A$3:$H$102,8,FALSE),main!$K$19:$O$22,MATCH(VLOOKUP($A39,main!$A$3:$H$102,7,FALSE),main!$K$18:$O$18,0),0))),0)</f>
        <v>0</v>
      </c>
      <c r="AG39">
        <f>IF((gamma!AG39),IF(VLOOKUP(AG$1,main!$A$3:$H$102,7,FALSE)=VLOOKUP($A39,main!$A$3:$H$102,8,FALSE),VLOOKUP(AG$1,main!$A$3:$H$102,4,FALSE),VLOOKUP(AG$1,main!$A$3:$H$102,4,FALSE)+VLOOKUP($A39,main!$A$3:$H$102,4,FALSE)+(VLOOKUP(VLOOKUP(AG$1,main!$A$3:$H$102,8,FALSE),main!$K$19:$O$22,MATCH(VLOOKUP($A39,main!$A$3:$H$102,7,FALSE),main!$K$18:$O$18,0),0))),0)</f>
        <v>0</v>
      </c>
      <c r="AH39">
        <f>IF((gamma!AH39),IF(VLOOKUP(AH$1,main!$A$3:$H$102,7,FALSE)=VLOOKUP($A39,main!$A$3:$H$102,8,FALSE),VLOOKUP(AH$1,main!$A$3:$H$102,4,FALSE),VLOOKUP(AH$1,main!$A$3:$H$102,4,FALSE)+VLOOKUP($A39,main!$A$3:$H$102,4,FALSE)+(VLOOKUP(VLOOKUP(AH$1,main!$A$3:$H$102,8,FALSE),main!$K$19:$O$22,MATCH(VLOOKUP($A39,main!$A$3:$H$102,7,FALSE),main!$K$18:$O$18,0),0))),0)</f>
        <v>0</v>
      </c>
      <c r="AI39">
        <f>IF((gamma!AI39),IF(VLOOKUP(AI$1,main!$A$3:$H$102,7,FALSE)=VLOOKUP($A39,main!$A$3:$H$102,8,FALSE),VLOOKUP(AI$1,main!$A$3:$H$102,4,FALSE),VLOOKUP(AI$1,main!$A$3:$H$102,4,FALSE)+VLOOKUP($A39,main!$A$3:$H$102,4,FALSE)+(VLOOKUP(VLOOKUP(AI$1,main!$A$3:$H$102,8,FALSE),main!$K$19:$O$22,MATCH(VLOOKUP($A39,main!$A$3:$H$102,7,FALSE),main!$K$18:$O$18,0),0))),0)</f>
        <v>0</v>
      </c>
      <c r="AJ39">
        <f>IF((gamma!AJ39),IF(VLOOKUP(AJ$1,main!$A$3:$H$102,7,FALSE)=VLOOKUP($A39,main!$A$3:$H$102,8,FALSE),VLOOKUP(AJ$1,main!$A$3:$H$102,4,FALSE),VLOOKUP(AJ$1,main!$A$3:$H$102,4,FALSE)+VLOOKUP($A39,main!$A$3:$H$102,4,FALSE)+(VLOOKUP(VLOOKUP(AJ$1,main!$A$3:$H$102,8,FALSE),main!$K$19:$O$22,MATCH(VLOOKUP($A39,main!$A$3:$H$102,7,FALSE),main!$K$18:$O$18,0),0))),0)</f>
        <v>0</v>
      </c>
      <c r="AK39">
        <f>IF((gamma!AK39),IF(VLOOKUP(AK$1,main!$A$3:$H$102,7,FALSE)=VLOOKUP($A39,main!$A$3:$H$102,8,FALSE),VLOOKUP(AK$1,main!$A$3:$H$102,4,FALSE),VLOOKUP(AK$1,main!$A$3:$H$102,4,FALSE)+VLOOKUP($A39,main!$A$3:$H$102,4,FALSE)+(VLOOKUP(VLOOKUP(AK$1,main!$A$3:$H$102,8,FALSE),main!$K$19:$O$22,MATCH(VLOOKUP($A39,main!$A$3:$H$102,7,FALSE),main!$K$18:$O$18,0),0))),0)</f>
        <v>0</v>
      </c>
      <c r="AL39">
        <f>IF((gamma!AL39),IF(VLOOKUP(AL$1,main!$A$3:$H$102,7,FALSE)=VLOOKUP($A39,main!$A$3:$H$102,8,FALSE),VLOOKUP(AL$1,main!$A$3:$H$102,4,FALSE),VLOOKUP(AL$1,main!$A$3:$H$102,4,FALSE)+VLOOKUP($A39,main!$A$3:$H$102,4,FALSE)+(VLOOKUP(VLOOKUP(AL$1,main!$A$3:$H$102,8,FALSE),main!$K$19:$O$22,MATCH(VLOOKUP($A39,main!$A$3:$H$102,7,FALSE),main!$K$18:$O$18,0),0))),0)</f>
        <v>0</v>
      </c>
      <c r="AM39">
        <f>IF((gamma!AM39),IF(VLOOKUP(AM$1,main!$A$3:$H$102,7,FALSE)=VLOOKUP($A39,main!$A$3:$H$102,8,FALSE),VLOOKUP(AM$1,main!$A$3:$H$102,4,FALSE),VLOOKUP(AM$1,main!$A$3:$H$102,4,FALSE)+VLOOKUP($A39,main!$A$3:$H$102,4,FALSE)+(VLOOKUP(VLOOKUP(AM$1,main!$A$3:$H$102,8,FALSE),main!$K$19:$O$22,MATCH(VLOOKUP($A39,main!$A$3:$H$102,7,FALSE),main!$K$18:$O$18,0),0))),0)</f>
        <v>0</v>
      </c>
      <c r="AN39">
        <f>IF((gamma!AN39),IF(VLOOKUP(AN$1,main!$A$3:$H$102,7,FALSE)=VLOOKUP($A39,main!$A$3:$H$102,8,FALSE),VLOOKUP(AN$1,main!$A$3:$H$102,4,FALSE),VLOOKUP(AN$1,main!$A$3:$H$102,4,FALSE)+VLOOKUP($A39,main!$A$3:$H$102,4,FALSE)+(VLOOKUP(VLOOKUP(AN$1,main!$A$3:$H$102,8,FALSE),main!$K$19:$O$22,MATCH(VLOOKUP($A39,main!$A$3:$H$102,7,FALSE),main!$K$18:$O$18,0),0))),0)</f>
        <v>0</v>
      </c>
      <c r="AO39">
        <f>IF((gamma!AO39),IF(VLOOKUP(AO$1,main!$A$3:$H$102,7,FALSE)=VLOOKUP($A39,main!$A$3:$H$102,8,FALSE),VLOOKUP(AO$1,main!$A$3:$H$102,4,FALSE),VLOOKUP(AO$1,main!$A$3:$H$102,4,FALSE)+VLOOKUP($A39,main!$A$3:$H$102,4,FALSE)+(VLOOKUP(VLOOKUP(AO$1,main!$A$3:$H$102,8,FALSE),main!$K$19:$O$22,MATCH(VLOOKUP($A39,main!$A$3:$H$102,7,FALSE),main!$K$18:$O$18,0),0))),0)</f>
        <v>0</v>
      </c>
      <c r="AP39">
        <f>IF((gamma!AP39),IF(VLOOKUP(AP$1,main!$A$3:$H$102,7,FALSE)=VLOOKUP($A39,main!$A$3:$H$102,8,FALSE),VLOOKUP(AP$1,main!$A$3:$H$102,4,FALSE),VLOOKUP(AP$1,main!$A$3:$H$102,4,FALSE)+VLOOKUP($A39,main!$A$3:$H$102,4,FALSE)+(VLOOKUP(VLOOKUP(AP$1,main!$A$3:$H$102,8,FALSE),main!$K$19:$O$22,MATCH(VLOOKUP($A39,main!$A$3:$H$102,7,FALSE),main!$K$18:$O$18,0),0))),0)</f>
        <v>0</v>
      </c>
      <c r="AQ39">
        <f>IF((gamma!AQ39),IF(VLOOKUP(AQ$1,main!$A$3:$H$102,7,FALSE)=VLOOKUP($A39,main!$A$3:$H$102,8,FALSE),VLOOKUP(AQ$1,main!$A$3:$H$102,4,FALSE),VLOOKUP(AQ$1,main!$A$3:$H$102,4,FALSE)+VLOOKUP($A39,main!$A$3:$H$102,4,FALSE)+(VLOOKUP(VLOOKUP(AQ$1,main!$A$3:$H$102,8,FALSE),main!$K$19:$O$22,MATCH(VLOOKUP($A39,main!$A$3:$H$102,7,FALSE),main!$K$18:$O$18,0),0))),0)</f>
        <v>0</v>
      </c>
      <c r="AR39">
        <f>IF((gamma!AR39),IF(VLOOKUP(AR$1,main!$A$3:$H$102,7,FALSE)=VLOOKUP($A39,main!$A$3:$H$102,8,FALSE),VLOOKUP(AR$1,main!$A$3:$H$102,4,FALSE),VLOOKUP(AR$1,main!$A$3:$H$102,4,FALSE)+VLOOKUP($A39,main!$A$3:$H$102,4,FALSE)+(VLOOKUP(VLOOKUP(AR$1,main!$A$3:$H$102,8,FALSE),main!$K$19:$O$22,MATCH(VLOOKUP($A39,main!$A$3:$H$102,7,FALSE),main!$K$18:$O$18,0),0))),0)</f>
        <v>0</v>
      </c>
      <c r="AS39">
        <f>IF((gamma!AS39),IF(VLOOKUP(AS$1,main!$A$3:$H$102,7,FALSE)=VLOOKUP($A39,main!$A$3:$H$102,8,FALSE),VLOOKUP(AS$1,main!$A$3:$H$102,4,FALSE),VLOOKUP(AS$1,main!$A$3:$H$102,4,FALSE)+VLOOKUP($A39,main!$A$3:$H$102,4,FALSE)+(VLOOKUP(VLOOKUP(AS$1,main!$A$3:$H$102,8,FALSE),main!$K$19:$O$22,MATCH(VLOOKUP($A39,main!$A$3:$H$102,7,FALSE),main!$K$18:$O$18,0),0))),0)</f>
        <v>0</v>
      </c>
      <c r="AT39">
        <f>IF((gamma!AT39),IF(VLOOKUP(AT$1,main!$A$3:$H$102,7,FALSE)=VLOOKUP($A39,main!$A$3:$H$102,8,FALSE),VLOOKUP(AT$1,main!$A$3:$H$102,4,FALSE),VLOOKUP(AT$1,main!$A$3:$H$102,4,FALSE)+VLOOKUP($A39,main!$A$3:$H$102,4,FALSE)+(VLOOKUP(VLOOKUP(AT$1,main!$A$3:$H$102,8,FALSE),main!$K$19:$O$22,MATCH(VLOOKUP($A39,main!$A$3:$H$102,7,FALSE),main!$K$18:$O$18,0),0))),0)</f>
        <v>0</v>
      </c>
      <c r="AU39">
        <f>IF((gamma!AU39),IF(VLOOKUP(AU$1,main!$A$3:$H$102,7,FALSE)=VLOOKUP($A39,main!$A$3:$H$102,8,FALSE),VLOOKUP(AU$1,main!$A$3:$H$102,4,FALSE),VLOOKUP(AU$1,main!$A$3:$H$102,4,FALSE)+VLOOKUP($A39,main!$A$3:$H$102,4,FALSE)+(VLOOKUP(VLOOKUP(AU$1,main!$A$3:$H$102,8,FALSE),main!$K$19:$O$22,MATCH(VLOOKUP($A39,main!$A$3:$H$102,7,FALSE),main!$K$18:$O$18,0),0))),0)</f>
        <v>0</v>
      </c>
      <c r="AV39">
        <f>IF((gamma!AV39),IF(VLOOKUP(AV$1,main!$A$3:$H$102,7,FALSE)=VLOOKUP($A39,main!$A$3:$H$102,8,FALSE),VLOOKUP(AV$1,main!$A$3:$H$102,4,FALSE),VLOOKUP(AV$1,main!$A$3:$H$102,4,FALSE)+VLOOKUP($A39,main!$A$3:$H$102,4,FALSE)+(VLOOKUP(VLOOKUP(AV$1,main!$A$3:$H$102,8,FALSE),main!$K$19:$O$22,MATCH(VLOOKUP($A39,main!$A$3:$H$102,7,FALSE),main!$K$18:$O$18,0),0))),0)</f>
        <v>0</v>
      </c>
      <c r="AW39">
        <f>IF((gamma!AW39),IF(VLOOKUP(AW$1,main!$A$3:$H$102,7,FALSE)=VLOOKUP($A39,main!$A$3:$H$102,8,FALSE),VLOOKUP(AW$1,main!$A$3:$H$102,4,FALSE),VLOOKUP(AW$1,main!$A$3:$H$102,4,FALSE)+VLOOKUP($A39,main!$A$3:$H$102,4,FALSE)+(VLOOKUP(VLOOKUP(AW$1,main!$A$3:$H$102,8,FALSE),main!$K$19:$O$22,MATCH(VLOOKUP($A39,main!$A$3:$H$102,7,FALSE),main!$K$18:$O$18,0),0))),0)</f>
        <v>0</v>
      </c>
      <c r="AX39">
        <f>IF((gamma!AX39),IF(VLOOKUP(AX$1,main!$A$3:$H$102,7,FALSE)=VLOOKUP($A39,main!$A$3:$H$102,8,FALSE),VLOOKUP(AX$1,main!$A$3:$H$102,4,FALSE),VLOOKUP(AX$1,main!$A$3:$H$102,4,FALSE)+VLOOKUP($A39,main!$A$3:$H$102,4,FALSE)+(VLOOKUP(VLOOKUP(AX$1,main!$A$3:$H$102,8,FALSE),main!$K$19:$O$22,MATCH(VLOOKUP($A39,main!$A$3:$H$102,7,FALSE),main!$K$18:$O$18,0),0))),0)</f>
        <v>0</v>
      </c>
      <c r="AY39">
        <f>IF((gamma!AY39),IF(VLOOKUP(AY$1,main!$A$3:$H$102,7,FALSE)=VLOOKUP($A39,main!$A$3:$H$102,8,FALSE),VLOOKUP(AY$1,main!$A$3:$H$102,4,FALSE),VLOOKUP(AY$1,main!$A$3:$H$102,4,FALSE)+VLOOKUP($A39,main!$A$3:$H$102,4,FALSE)+(VLOOKUP(VLOOKUP(AY$1,main!$A$3:$H$102,8,FALSE),main!$K$19:$O$22,MATCH(VLOOKUP($A39,main!$A$3:$H$102,7,FALSE),main!$K$18:$O$18,0),0))),0)</f>
        <v>0</v>
      </c>
      <c r="AZ39">
        <f>IF((gamma!AZ39),IF(VLOOKUP(AZ$1,main!$A$3:$H$102,7,FALSE)=VLOOKUP($A39,main!$A$3:$H$102,8,FALSE),VLOOKUP(AZ$1,main!$A$3:$H$102,4,FALSE),VLOOKUP(AZ$1,main!$A$3:$H$102,4,FALSE)+VLOOKUP($A39,main!$A$3:$H$102,4,FALSE)+(VLOOKUP(VLOOKUP(AZ$1,main!$A$3:$H$102,8,FALSE),main!$K$19:$O$22,MATCH(VLOOKUP($A39,main!$A$3:$H$102,7,FALSE),main!$K$18:$O$18,0),0))),0)</f>
        <v>0</v>
      </c>
      <c r="BA39">
        <f>IF((gamma!BA39),IF(VLOOKUP(BA$1,main!$A$3:$H$102,7,FALSE)=VLOOKUP($A39,main!$A$3:$H$102,8,FALSE),VLOOKUP(BA$1,main!$A$3:$H$102,4,FALSE),VLOOKUP(BA$1,main!$A$3:$H$102,4,FALSE)+VLOOKUP($A39,main!$A$3:$H$102,4,FALSE)+(VLOOKUP(VLOOKUP(BA$1,main!$A$3:$H$102,8,FALSE),main!$K$19:$O$22,MATCH(VLOOKUP($A39,main!$A$3:$H$102,7,FALSE),main!$K$18:$O$18,0),0))),0)</f>
        <v>0</v>
      </c>
      <c r="BB39">
        <f>IF((gamma!BB39),IF(VLOOKUP(BB$1,main!$A$3:$H$102,7,FALSE)=VLOOKUP($A39,main!$A$3:$H$102,8,FALSE),VLOOKUP(BB$1,main!$A$3:$H$102,4,FALSE),VLOOKUP(BB$1,main!$A$3:$H$102,4,FALSE)+VLOOKUP($A39,main!$A$3:$H$102,4,FALSE)+(VLOOKUP(VLOOKUP(BB$1,main!$A$3:$H$102,8,FALSE),main!$K$19:$O$22,MATCH(VLOOKUP($A39,main!$A$3:$H$102,7,FALSE),main!$K$18:$O$18,0),0))),0)</f>
        <v>0</v>
      </c>
      <c r="BC39">
        <f>IF((gamma!BC39),IF(VLOOKUP(BC$1,main!$A$3:$H$102,7,FALSE)=VLOOKUP($A39,main!$A$3:$H$102,8,FALSE),VLOOKUP(BC$1,main!$A$3:$H$102,4,FALSE),VLOOKUP(BC$1,main!$A$3:$H$102,4,FALSE)+VLOOKUP($A39,main!$A$3:$H$102,4,FALSE)+(VLOOKUP(VLOOKUP(BC$1,main!$A$3:$H$102,8,FALSE),main!$K$19:$O$22,MATCH(VLOOKUP($A39,main!$A$3:$H$102,7,FALSE),main!$K$18:$O$18,0),0))),0)</f>
        <v>0</v>
      </c>
      <c r="BD39">
        <f>IF((gamma!BD39),IF(VLOOKUP(BD$1,main!$A$3:$H$102,7,FALSE)=VLOOKUP($A39,main!$A$3:$H$102,8,FALSE),VLOOKUP(BD$1,main!$A$3:$H$102,4,FALSE),VLOOKUP(BD$1,main!$A$3:$H$102,4,FALSE)+VLOOKUP($A39,main!$A$3:$H$102,4,FALSE)+(VLOOKUP(VLOOKUP(BD$1,main!$A$3:$H$102,8,FALSE),main!$K$19:$O$22,MATCH(VLOOKUP($A39,main!$A$3:$H$102,7,FALSE),main!$K$18:$O$18,0),0))),0)</f>
        <v>0</v>
      </c>
      <c r="BE39">
        <f>IF((gamma!BE39),IF(VLOOKUP(BE$1,main!$A$3:$H$102,7,FALSE)=VLOOKUP($A39,main!$A$3:$H$102,8,FALSE),VLOOKUP(BE$1,main!$A$3:$H$102,4,FALSE),VLOOKUP(BE$1,main!$A$3:$H$102,4,FALSE)+VLOOKUP($A39,main!$A$3:$H$102,4,FALSE)+(VLOOKUP(VLOOKUP(BE$1,main!$A$3:$H$102,8,FALSE),main!$K$19:$O$22,MATCH(VLOOKUP($A39,main!$A$3:$H$102,7,FALSE),main!$K$18:$O$18,0),0))),0)</f>
        <v>0</v>
      </c>
      <c r="BF39">
        <f>IF((gamma!BF39),IF(VLOOKUP(BF$1,main!$A$3:$H$102,7,FALSE)=VLOOKUP($A39,main!$A$3:$H$102,8,FALSE),VLOOKUP(BF$1,main!$A$3:$H$102,4,FALSE),VLOOKUP(BF$1,main!$A$3:$H$102,4,FALSE)+VLOOKUP($A39,main!$A$3:$H$102,4,FALSE)+(VLOOKUP(VLOOKUP(BF$1,main!$A$3:$H$102,8,FALSE),main!$K$19:$O$22,MATCH(VLOOKUP($A39,main!$A$3:$H$102,7,FALSE),main!$K$18:$O$18,0),0))),0)</f>
        <v>0</v>
      </c>
      <c r="BG39">
        <f>IF((gamma!BG39),IF(VLOOKUP(BG$1,main!$A$3:$H$102,7,FALSE)=VLOOKUP($A39,main!$A$3:$H$102,8,FALSE),VLOOKUP(BG$1,main!$A$3:$H$102,4,FALSE),VLOOKUP(BG$1,main!$A$3:$H$102,4,FALSE)+VLOOKUP($A39,main!$A$3:$H$102,4,FALSE)+(VLOOKUP(VLOOKUP(BG$1,main!$A$3:$H$102,8,FALSE),main!$K$19:$O$22,MATCH(VLOOKUP($A39,main!$A$3:$H$102,7,FALSE),main!$K$18:$O$18,0),0))),0)</f>
        <v>0</v>
      </c>
      <c r="BH39">
        <f>IF((gamma!BH39),IF(VLOOKUP(BH$1,main!$A$3:$H$102,7,FALSE)=VLOOKUP($A39,main!$A$3:$H$102,8,FALSE),VLOOKUP(BH$1,main!$A$3:$H$102,4,FALSE),VLOOKUP(BH$1,main!$A$3:$H$102,4,FALSE)+VLOOKUP($A39,main!$A$3:$H$102,4,FALSE)+(VLOOKUP(VLOOKUP(BH$1,main!$A$3:$H$102,8,FALSE),main!$K$19:$O$22,MATCH(VLOOKUP($A39,main!$A$3:$H$102,7,FALSE),main!$K$18:$O$18,0),0))),0)</f>
        <v>0</v>
      </c>
      <c r="BI39">
        <f>IF((gamma!BI39),IF(VLOOKUP(BI$1,main!$A$3:$H$102,7,FALSE)=VLOOKUP($A39,main!$A$3:$H$102,8,FALSE),VLOOKUP(BI$1,main!$A$3:$H$102,4,FALSE),VLOOKUP(BI$1,main!$A$3:$H$102,4,FALSE)+VLOOKUP($A39,main!$A$3:$H$102,4,FALSE)+(VLOOKUP(VLOOKUP(BI$1,main!$A$3:$H$102,8,FALSE),main!$K$19:$O$22,MATCH(VLOOKUP($A39,main!$A$3:$H$102,7,FALSE),main!$K$18:$O$18,0),0))),0)</f>
        <v>0</v>
      </c>
      <c r="BJ39">
        <f>IF((gamma!BJ39),IF(VLOOKUP(BJ$1,main!$A$3:$H$102,7,FALSE)=VLOOKUP($A39,main!$A$3:$H$102,8,FALSE),VLOOKUP(BJ$1,main!$A$3:$H$102,4,FALSE),VLOOKUP(BJ$1,main!$A$3:$H$102,4,FALSE)+VLOOKUP($A39,main!$A$3:$H$102,4,FALSE)+(VLOOKUP(VLOOKUP(BJ$1,main!$A$3:$H$102,8,FALSE),main!$K$19:$O$22,MATCH(VLOOKUP($A39,main!$A$3:$H$102,7,FALSE),main!$K$18:$O$18,0),0))),0)</f>
        <v>0</v>
      </c>
      <c r="BK39">
        <f>IF((gamma!BK39),IF(VLOOKUP(BK$1,main!$A$3:$H$102,7,FALSE)=VLOOKUP($A39,main!$A$3:$H$102,8,FALSE),VLOOKUP(BK$1,main!$A$3:$H$102,4,FALSE),VLOOKUP(BK$1,main!$A$3:$H$102,4,FALSE)+VLOOKUP($A39,main!$A$3:$H$102,4,FALSE)+(VLOOKUP(VLOOKUP(BK$1,main!$A$3:$H$102,8,FALSE),main!$K$19:$O$22,MATCH(VLOOKUP($A39,main!$A$3:$H$102,7,FALSE),main!$K$18:$O$18,0),0))),0)</f>
        <v>0</v>
      </c>
      <c r="BL39">
        <f>IF((gamma!BL39),IF(VLOOKUP(BL$1,main!$A$3:$H$102,7,FALSE)=VLOOKUP($A39,main!$A$3:$H$102,8,FALSE),VLOOKUP(BL$1,main!$A$3:$H$102,4,FALSE),VLOOKUP(BL$1,main!$A$3:$H$102,4,FALSE)+VLOOKUP($A39,main!$A$3:$H$102,4,FALSE)+(VLOOKUP(VLOOKUP(BL$1,main!$A$3:$H$102,8,FALSE),main!$K$19:$O$22,MATCH(VLOOKUP($A39,main!$A$3:$H$102,7,FALSE),main!$K$18:$O$18,0),0))),0)</f>
        <v>0</v>
      </c>
      <c r="BM39">
        <f>IF((gamma!BM39),IF(VLOOKUP(BM$1,main!$A$3:$H$102,7,FALSE)=VLOOKUP($A39,main!$A$3:$H$102,8,FALSE),VLOOKUP(BM$1,main!$A$3:$H$102,4,FALSE),VLOOKUP(BM$1,main!$A$3:$H$102,4,FALSE)+VLOOKUP($A39,main!$A$3:$H$102,4,FALSE)+(VLOOKUP(VLOOKUP(BM$1,main!$A$3:$H$102,8,FALSE),main!$K$19:$O$22,MATCH(VLOOKUP($A39,main!$A$3:$H$102,7,FALSE),main!$K$18:$O$18,0),0))),0)</f>
        <v>0</v>
      </c>
      <c r="BN39">
        <f>IF((gamma!BN39),IF(VLOOKUP(BN$1,main!$A$3:$H$102,7,FALSE)=VLOOKUP($A39,main!$A$3:$H$102,8,FALSE),VLOOKUP(BN$1,main!$A$3:$H$102,4,FALSE),VLOOKUP(BN$1,main!$A$3:$H$102,4,FALSE)+VLOOKUP($A39,main!$A$3:$H$102,4,FALSE)+(VLOOKUP(VLOOKUP(BN$1,main!$A$3:$H$102,8,FALSE),main!$K$19:$O$22,MATCH(VLOOKUP($A39,main!$A$3:$H$102,7,FALSE),main!$K$18:$O$18,0),0))),0)</f>
        <v>0</v>
      </c>
      <c r="BO39">
        <f>IF((gamma!BO39),IF(VLOOKUP(BO$1,main!$A$3:$H$102,7,FALSE)=VLOOKUP($A39,main!$A$3:$H$102,8,FALSE),VLOOKUP(BO$1,main!$A$3:$H$102,4,FALSE),VLOOKUP(BO$1,main!$A$3:$H$102,4,FALSE)+VLOOKUP($A39,main!$A$3:$H$102,4,FALSE)+(VLOOKUP(VLOOKUP(BO$1,main!$A$3:$H$102,8,FALSE),main!$K$19:$O$22,MATCH(VLOOKUP($A39,main!$A$3:$H$102,7,FALSE),main!$K$18:$O$18,0),0))),0)</f>
        <v>0</v>
      </c>
      <c r="BP39">
        <f>IF((gamma!BP39),IF(VLOOKUP(BP$1,main!$A$3:$H$102,7,FALSE)=VLOOKUP($A39,main!$A$3:$H$102,8,FALSE),VLOOKUP(BP$1,main!$A$3:$H$102,4,FALSE),VLOOKUP(BP$1,main!$A$3:$H$102,4,FALSE)+VLOOKUP($A39,main!$A$3:$H$102,4,FALSE)+(VLOOKUP(VLOOKUP(BP$1,main!$A$3:$H$102,8,FALSE),main!$K$19:$O$22,MATCH(VLOOKUP($A39,main!$A$3:$H$102,7,FALSE),main!$K$18:$O$18,0),0))),0)</f>
        <v>0</v>
      </c>
      <c r="BQ39">
        <f>IF((gamma!BQ39),IF(VLOOKUP(BQ$1,main!$A$3:$H$102,7,FALSE)=VLOOKUP($A39,main!$A$3:$H$102,8,FALSE),VLOOKUP(BQ$1,main!$A$3:$H$102,4,FALSE),VLOOKUP(BQ$1,main!$A$3:$H$102,4,FALSE)+VLOOKUP($A39,main!$A$3:$H$102,4,FALSE)+(VLOOKUP(VLOOKUP(BQ$1,main!$A$3:$H$102,8,FALSE),main!$K$19:$O$22,MATCH(VLOOKUP($A39,main!$A$3:$H$102,7,FALSE),main!$K$18:$O$18,0),0))),0)</f>
        <v>0</v>
      </c>
      <c r="BR39">
        <f>IF((gamma!BR39),IF(VLOOKUP(BR$1,main!$A$3:$H$102,7,FALSE)=VLOOKUP($A39,main!$A$3:$H$102,8,FALSE),VLOOKUP(BR$1,main!$A$3:$H$102,4,FALSE),VLOOKUP(BR$1,main!$A$3:$H$102,4,FALSE)+VLOOKUP($A39,main!$A$3:$H$102,4,FALSE)+(VLOOKUP(VLOOKUP(BR$1,main!$A$3:$H$102,8,FALSE),main!$K$19:$O$22,MATCH(VLOOKUP($A39,main!$A$3:$H$102,7,FALSE),main!$K$18:$O$18,0),0))),0)</f>
        <v>0</v>
      </c>
      <c r="BS39">
        <f>IF((gamma!BS39),IF(VLOOKUP(BS$1,main!$A$3:$H$102,7,FALSE)=VLOOKUP($A39,main!$A$3:$H$102,8,FALSE),VLOOKUP(BS$1,main!$A$3:$H$102,4,FALSE),VLOOKUP(BS$1,main!$A$3:$H$102,4,FALSE)+VLOOKUP($A39,main!$A$3:$H$102,4,FALSE)+(VLOOKUP(VLOOKUP(BS$1,main!$A$3:$H$102,8,FALSE),main!$K$19:$O$22,MATCH(VLOOKUP($A39,main!$A$3:$H$102,7,FALSE),main!$K$18:$O$18,0),0))),0)</f>
        <v>0</v>
      </c>
      <c r="BT39">
        <f>IF((gamma!BT39),IF(VLOOKUP(BT$1,main!$A$3:$H$102,7,FALSE)=VLOOKUP($A39,main!$A$3:$H$102,8,FALSE),VLOOKUP(BT$1,main!$A$3:$H$102,4,FALSE),VLOOKUP(BT$1,main!$A$3:$H$102,4,FALSE)+VLOOKUP($A39,main!$A$3:$H$102,4,FALSE)+(VLOOKUP(VLOOKUP(BT$1,main!$A$3:$H$102,8,FALSE),main!$K$19:$O$22,MATCH(VLOOKUP($A39,main!$A$3:$H$102,7,FALSE),main!$K$18:$O$18,0),0))),0)</f>
        <v>0</v>
      </c>
      <c r="BU39">
        <f>IF((gamma!BU39),IF(VLOOKUP(BU$1,main!$A$3:$H$102,7,FALSE)=VLOOKUP($A39,main!$A$3:$H$102,8,FALSE),VLOOKUP(BU$1,main!$A$3:$H$102,4,FALSE),VLOOKUP(BU$1,main!$A$3:$H$102,4,FALSE)+VLOOKUP($A39,main!$A$3:$H$102,4,FALSE)+(VLOOKUP(VLOOKUP(BU$1,main!$A$3:$H$102,8,FALSE),main!$K$19:$O$22,MATCH(VLOOKUP($A39,main!$A$3:$H$102,7,FALSE),main!$K$18:$O$18,0),0))),0)</f>
        <v>0</v>
      </c>
      <c r="BV39">
        <f>IF((gamma!BV39),IF(VLOOKUP(BV$1,main!$A$3:$H$102,7,FALSE)=VLOOKUP($A39,main!$A$3:$H$102,8,FALSE),VLOOKUP(BV$1,main!$A$3:$H$102,4,FALSE),VLOOKUP(BV$1,main!$A$3:$H$102,4,FALSE)+VLOOKUP($A39,main!$A$3:$H$102,4,FALSE)+(VLOOKUP(VLOOKUP(BV$1,main!$A$3:$H$102,8,FALSE),main!$K$19:$O$22,MATCH(VLOOKUP($A39,main!$A$3:$H$102,7,FALSE),main!$K$18:$O$18,0),0))),0)</f>
        <v>0</v>
      </c>
      <c r="BW39">
        <f>IF((gamma!BW39),IF(VLOOKUP(BW$1,main!$A$3:$H$102,7,FALSE)=VLOOKUP($A39,main!$A$3:$H$102,8,FALSE),VLOOKUP(BW$1,main!$A$3:$H$102,4,FALSE),VLOOKUP(BW$1,main!$A$3:$H$102,4,FALSE)+VLOOKUP($A39,main!$A$3:$H$102,4,FALSE)+(VLOOKUP(VLOOKUP(BW$1,main!$A$3:$H$102,8,FALSE),main!$K$19:$O$22,MATCH(VLOOKUP($A39,main!$A$3:$H$102,7,FALSE),main!$K$18:$O$18,0),0))),0)</f>
        <v>0</v>
      </c>
      <c r="BX39">
        <f>IF((gamma!BX39),IF(VLOOKUP(BX$1,main!$A$3:$H$102,7,FALSE)=VLOOKUP($A39,main!$A$3:$H$102,8,FALSE),VLOOKUP(BX$1,main!$A$3:$H$102,4,FALSE),VLOOKUP(BX$1,main!$A$3:$H$102,4,FALSE)+VLOOKUP($A39,main!$A$3:$H$102,4,FALSE)+(VLOOKUP(VLOOKUP(BX$1,main!$A$3:$H$102,8,FALSE),main!$K$19:$O$22,MATCH(VLOOKUP($A39,main!$A$3:$H$102,7,FALSE),main!$K$18:$O$18,0),0))),0)</f>
        <v>0</v>
      </c>
      <c r="BY39">
        <f>IF((gamma!BY39),IF(VLOOKUP(BY$1,main!$A$3:$H$102,7,FALSE)=VLOOKUP($A39,main!$A$3:$H$102,8,FALSE),VLOOKUP(BY$1,main!$A$3:$H$102,4,FALSE),VLOOKUP(BY$1,main!$A$3:$H$102,4,FALSE)+VLOOKUP($A39,main!$A$3:$H$102,4,FALSE)+(VLOOKUP(VLOOKUP(BY$1,main!$A$3:$H$102,8,FALSE),main!$K$19:$O$22,MATCH(VLOOKUP($A39,main!$A$3:$H$102,7,FALSE),main!$K$18:$O$18,0),0))),0)</f>
        <v>0</v>
      </c>
      <c r="BZ39">
        <f>IF((gamma!BZ39),IF(VLOOKUP(BZ$1,main!$A$3:$H$102,7,FALSE)=VLOOKUP($A39,main!$A$3:$H$102,8,FALSE),VLOOKUP(BZ$1,main!$A$3:$H$102,4,FALSE),VLOOKUP(BZ$1,main!$A$3:$H$102,4,FALSE)+VLOOKUP($A39,main!$A$3:$H$102,4,FALSE)+(VLOOKUP(VLOOKUP(BZ$1,main!$A$3:$H$102,8,FALSE),main!$K$19:$O$22,MATCH(VLOOKUP($A39,main!$A$3:$H$102,7,FALSE),main!$K$18:$O$18,0),0))),0)</f>
        <v>0</v>
      </c>
      <c r="CA39">
        <f>IF((gamma!CA39),IF(VLOOKUP(CA$1,main!$A$3:$H$102,7,FALSE)=VLOOKUP($A39,main!$A$3:$H$102,8,FALSE),VLOOKUP(CA$1,main!$A$3:$H$102,4,FALSE),VLOOKUP(CA$1,main!$A$3:$H$102,4,FALSE)+VLOOKUP($A39,main!$A$3:$H$102,4,FALSE)+(VLOOKUP(VLOOKUP(CA$1,main!$A$3:$H$102,8,FALSE),main!$K$19:$O$22,MATCH(VLOOKUP($A39,main!$A$3:$H$102,7,FALSE),main!$K$18:$O$18,0),0))),0)</f>
        <v>0</v>
      </c>
      <c r="CB39">
        <f>IF((gamma!CB39),IF(VLOOKUP(CB$1,main!$A$3:$H$102,7,FALSE)=VLOOKUP($A39,main!$A$3:$H$102,8,FALSE),VLOOKUP(CB$1,main!$A$3:$H$102,4,FALSE),VLOOKUP(CB$1,main!$A$3:$H$102,4,FALSE)+VLOOKUP($A39,main!$A$3:$H$102,4,FALSE)+(VLOOKUP(VLOOKUP(CB$1,main!$A$3:$H$102,8,FALSE),main!$K$19:$O$22,MATCH(VLOOKUP($A39,main!$A$3:$H$102,7,FALSE),main!$K$18:$O$18,0),0))),0)</f>
        <v>0</v>
      </c>
      <c r="CC39">
        <f>IF((gamma!CC39),IF(VLOOKUP(CC$1,main!$A$3:$H$102,7,FALSE)=VLOOKUP($A39,main!$A$3:$H$102,8,FALSE),VLOOKUP(CC$1,main!$A$3:$H$102,4,FALSE),VLOOKUP(CC$1,main!$A$3:$H$102,4,FALSE)+VLOOKUP($A39,main!$A$3:$H$102,4,FALSE)+(VLOOKUP(VLOOKUP(CC$1,main!$A$3:$H$102,8,FALSE),main!$K$19:$O$22,MATCH(VLOOKUP($A39,main!$A$3:$H$102,7,FALSE),main!$K$18:$O$18,0),0))),0)</f>
        <v>0</v>
      </c>
      <c r="CD39">
        <f>IF((gamma!CD39),IF(VLOOKUP(CD$1,main!$A$3:$H$102,7,FALSE)=VLOOKUP($A39,main!$A$3:$H$102,8,FALSE),VLOOKUP(CD$1,main!$A$3:$H$102,4,FALSE),VLOOKUP(CD$1,main!$A$3:$H$102,4,FALSE)+VLOOKUP($A39,main!$A$3:$H$102,4,FALSE)+(VLOOKUP(VLOOKUP(CD$1,main!$A$3:$H$102,8,FALSE),main!$K$19:$O$22,MATCH(VLOOKUP($A39,main!$A$3:$H$102,7,FALSE),main!$K$18:$O$18,0),0))),0)</f>
        <v>0</v>
      </c>
      <c r="CE39">
        <f>IF((gamma!CE39),IF(VLOOKUP(CE$1,main!$A$3:$H$102,7,FALSE)=VLOOKUP($A39,main!$A$3:$H$102,8,FALSE),VLOOKUP(CE$1,main!$A$3:$H$102,4,FALSE),VLOOKUP(CE$1,main!$A$3:$H$102,4,FALSE)+VLOOKUP($A39,main!$A$3:$H$102,4,FALSE)+(VLOOKUP(VLOOKUP(CE$1,main!$A$3:$H$102,8,FALSE),main!$K$19:$O$22,MATCH(VLOOKUP($A39,main!$A$3:$H$102,7,FALSE),main!$K$18:$O$18,0),0))),0)</f>
        <v>0</v>
      </c>
      <c r="CF39">
        <f>IF((gamma!CF39),IF(VLOOKUP(CF$1,main!$A$3:$H$102,7,FALSE)=VLOOKUP($A39,main!$A$3:$H$102,8,FALSE),VLOOKUP(CF$1,main!$A$3:$H$102,4,FALSE),VLOOKUP(CF$1,main!$A$3:$H$102,4,FALSE)+VLOOKUP($A39,main!$A$3:$H$102,4,FALSE)+(VLOOKUP(VLOOKUP(CF$1,main!$A$3:$H$102,8,FALSE),main!$K$19:$O$22,MATCH(VLOOKUP($A39,main!$A$3:$H$102,7,FALSE),main!$K$18:$O$18,0),0))),0)</f>
        <v>0</v>
      </c>
      <c r="CG39">
        <f>IF((gamma!CG39),IF(VLOOKUP(CG$1,main!$A$3:$H$102,7,FALSE)=VLOOKUP($A39,main!$A$3:$H$102,8,FALSE),VLOOKUP(CG$1,main!$A$3:$H$102,4,FALSE),VLOOKUP(CG$1,main!$A$3:$H$102,4,FALSE)+VLOOKUP($A39,main!$A$3:$H$102,4,FALSE)+(VLOOKUP(VLOOKUP(CG$1,main!$A$3:$H$102,8,FALSE),main!$K$19:$O$22,MATCH(VLOOKUP($A39,main!$A$3:$H$102,7,FALSE),main!$K$18:$O$18,0),0))),0)</f>
        <v>0</v>
      </c>
      <c r="CH39">
        <f>IF((gamma!CH39),IF(VLOOKUP(CH$1,main!$A$3:$H$102,7,FALSE)=VLOOKUP($A39,main!$A$3:$H$102,8,FALSE),VLOOKUP(CH$1,main!$A$3:$H$102,4,FALSE),VLOOKUP(CH$1,main!$A$3:$H$102,4,FALSE)+VLOOKUP($A39,main!$A$3:$H$102,4,FALSE)+(VLOOKUP(VLOOKUP(CH$1,main!$A$3:$H$102,8,FALSE),main!$K$19:$O$22,MATCH(VLOOKUP($A39,main!$A$3:$H$102,7,FALSE),main!$K$18:$O$18,0),0))),0)</f>
        <v>0</v>
      </c>
      <c r="CI39">
        <f>IF((gamma!CI39),IF(VLOOKUP(CI$1,main!$A$3:$H$102,7,FALSE)=VLOOKUP($A39,main!$A$3:$H$102,8,FALSE),VLOOKUP(CI$1,main!$A$3:$H$102,4,FALSE),VLOOKUP(CI$1,main!$A$3:$H$102,4,FALSE)+VLOOKUP($A39,main!$A$3:$H$102,4,FALSE)+(VLOOKUP(VLOOKUP(CI$1,main!$A$3:$H$102,8,FALSE),main!$K$19:$O$22,MATCH(VLOOKUP($A39,main!$A$3:$H$102,7,FALSE),main!$K$18:$O$18,0),0))),0)</f>
        <v>0</v>
      </c>
      <c r="CJ39">
        <f>IF((gamma!CJ39),IF(VLOOKUP(CJ$1,main!$A$3:$H$102,7,FALSE)=VLOOKUP($A39,main!$A$3:$H$102,8,FALSE),VLOOKUP(CJ$1,main!$A$3:$H$102,4,FALSE),VLOOKUP(CJ$1,main!$A$3:$H$102,4,FALSE)+VLOOKUP($A39,main!$A$3:$H$102,4,FALSE)+(VLOOKUP(VLOOKUP(CJ$1,main!$A$3:$H$102,8,FALSE),main!$K$19:$O$22,MATCH(VLOOKUP($A39,main!$A$3:$H$102,7,FALSE),main!$K$18:$O$18,0),0))),0)</f>
        <v>0</v>
      </c>
      <c r="CK39">
        <f>IF((gamma!CK39),IF(VLOOKUP(CK$1,main!$A$3:$H$102,7,FALSE)=VLOOKUP($A39,main!$A$3:$H$102,8,FALSE),VLOOKUP(CK$1,main!$A$3:$H$102,4,FALSE),VLOOKUP(CK$1,main!$A$3:$H$102,4,FALSE)+VLOOKUP($A39,main!$A$3:$H$102,4,FALSE)+(VLOOKUP(VLOOKUP(CK$1,main!$A$3:$H$102,8,FALSE),main!$K$19:$O$22,MATCH(VLOOKUP($A39,main!$A$3:$H$102,7,FALSE),main!$K$18:$O$18,0),0))),0)</f>
        <v>0</v>
      </c>
      <c r="CL39">
        <f>IF((gamma!CL39),IF(VLOOKUP(CL$1,main!$A$3:$H$102,7,FALSE)=VLOOKUP($A39,main!$A$3:$H$102,8,FALSE),VLOOKUP(CL$1,main!$A$3:$H$102,4,FALSE),VLOOKUP(CL$1,main!$A$3:$H$102,4,FALSE)+VLOOKUP($A39,main!$A$3:$H$102,4,FALSE)+(VLOOKUP(VLOOKUP(CL$1,main!$A$3:$H$102,8,FALSE),main!$K$19:$O$22,MATCH(VLOOKUP($A39,main!$A$3:$H$102,7,FALSE),main!$K$18:$O$18,0),0))),0)</f>
        <v>0</v>
      </c>
      <c r="CM39">
        <f>IF((gamma!CM39),IF(VLOOKUP(CM$1,main!$A$3:$H$102,7,FALSE)=VLOOKUP($A39,main!$A$3:$H$102,8,FALSE),VLOOKUP(CM$1,main!$A$3:$H$102,4,FALSE),VLOOKUP(CM$1,main!$A$3:$H$102,4,FALSE)+VLOOKUP($A39,main!$A$3:$H$102,4,FALSE)+(VLOOKUP(VLOOKUP(CM$1,main!$A$3:$H$102,8,FALSE),main!$K$19:$O$22,MATCH(VLOOKUP($A39,main!$A$3:$H$102,7,FALSE),main!$K$18:$O$18,0),0))),0)</f>
        <v>0</v>
      </c>
      <c r="CN39">
        <f>IF((gamma!CN39),IF(VLOOKUP(CN$1,main!$A$3:$H$102,7,FALSE)=VLOOKUP($A39,main!$A$3:$H$102,8,FALSE),VLOOKUP(CN$1,main!$A$3:$H$102,4,FALSE),VLOOKUP(CN$1,main!$A$3:$H$102,4,FALSE)+VLOOKUP($A39,main!$A$3:$H$102,4,FALSE)+(VLOOKUP(VLOOKUP(CN$1,main!$A$3:$H$102,8,FALSE),main!$K$19:$O$22,MATCH(VLOOKUP($A39,main!$A$3:$H$102,7,FALSE),main!$K$18:$O$18,0),0))),0)</f>
        <v>0</v>
      </c>
      <c r="CO39">
        <f>IF((gamma!CO39),IF(VLOOKUP(CO$1,main!$A$3:$H$102,7,FALSE)=VLOOKUP($A39,main!$A$3:$H$102,8,FALSE),VLOOKUP(CO$1,main!$A$3:$H$102,4,FALSE),VLOOKUP(CO$1,main!$A$3:$H$102,4,FALSE)+VLOOKUP($A39,main!$A$3:$H$102,4,FALSE)+(VLOOKUP(VLOOKUP(CO$1,main!$A$3:$H$102,8,FALSE),main!$K$19:$O$22,MATCH(VLOOKUP($A39,main!$A$3:$H$102,7,FALSE),main!$K$18:$O$18,0),0))),0)</f>
        <v>0</v>
      </c>
      <c r="CP39">
        <f>IF((gamma!CP39),IF(VLOOKUP(CP$1,main!$A$3:$H$102,7,FALSE)=VLOOKUP($A39,main!$A$3:$H$102,8,FALSE),VLOOKUP(CP$1,main!$A$3:$H$102,4,FALSE),VLOOKUP(CP$1,main!$A$3:$H$102,4,FALSE)+VLOOKUP($A39,main!$A$3:$H$102,4,FALSE)+(VLOOKUP(VLOOKUP(CP$1,main!$A$3:$H$102,8,FALSE),main!$K$19:$O$22,MATCH(VLOOKUP($A39,main!$A$3:$H$102,7,FALSE),main!$K$18:$O$18,0),0))),0)</f>
        <v>0</v>
      </c>
      <c r="CQ39">
        <f>IF((gamma!CQ39),IF(VLOOKUP(CQ$1,main!$A$3:$H$102,7,FALSE)=VLOOKUP($A39,main!$A$3:$H$102,8,FALSE),VLOOKUP(CQ$1,main!$A$3:$H$102,4,FALSE),VLOOKUP(CQ$1,main!$A$3:$H$102,4,FALSE)+VLOOKUP($A39,main!$A$3:$H$102,4,FALSE)+(VLOOKUP(VLOOKUP(CQ$1,main!$A$3:$H$102,8,FALSE),main!$K$19:$O$22,MATCH(VLOOKUP($A39,main!$A$3:$H$102,7,FALSE),main!$K$18:$O$18,0),0))),0)</f>
        <v>0</v>
      </c>
      <c r="CR39">
        <f>IF((gamma!CR39),IF(VLOOKUP(CR$1,main!$A$3:$H$102,7,FALSE)=VLOOKUP($A39,main!$A$3:$H$102,8,FALSE),VLOOKUP(CR$1,main!$A$3:$H$102,4,FALSE),VLOOKUP(CR$1,main!$A$3:$H$102,4,FALSE)+VLOOKUP($A39,main!$A$3:$H$102,4,FALSE)+(VLOOKUP(VLOOKUP(CR$1,main!$A$3:$H$102,8,FALSE),main!$K$19:$O$22,MATCH(VLOOKUP($A39,main!$A$3:$H$102,7,FALSE),main!$K$18:$O$18,0),0))),0)</f>
        <v>0</v>
      </c>
      <c r="CS39">
        <f>IF((gamma!CS39),IF(VLOOKUP(CS$1,main!$A$3:$H$102,7,FALSE)=VLOOKUP($A39,main!$A$3:$H$102,8,FALSE),VLOOKUP(CS$1,main!$A$3:$H$102,4,FALSE),VLOOKUP(CS$1,main!$A$3:$H$102,4,FALSE)+VLOOKUP($A39,main!$A$3:$H$102,4,FALSE)+(VLOOKUP(VLOOKUP(CS$1,main!$A$3:$H$102,8,FALSE),main!$K$19:$O$22,MATCH(VLOOKUP($A39,main!$A$3:$H$102,7,FALSE),main!$K$18:$O$18,0),0))),0)</f>
        <v>0</v>
      </c>
      <c r="CT39">
        <f>IF((gamma!CT39),IF(VLOOKUP(CT$1,main!$A$3:$H$102,7,FALSE)=VLOOKUP($A39,main!$A$3:$H$102,8,FALSE),VLOOKUP(CT$1,main!$A$3:$H$102,4,FALSE),VLOOKUP(CT$1,main!$A$3:$H$102,4,FALSE)+VLOOKUP($A39,main!$A$3:$H$102,4,FALSE)+(VLOOKUP(VLOOKUP(CT$1,main!$A$3:$H$102,8,FALSE),main!$K$19:$O$22,MATCH(VLOOKUP($A39,main!$A$3:$H$102,7,FALSE),main!$K$18:$O$18,0),0))),0)</f>
        <v>0</v>
      </c>
      <c r="CU39">
        <f>IF((gamma!CU39),IF(VLOOKUP(CU$1,main!$A$3:$H$102,7,FALSE)=VLOOKUP($A39,main!$A$3:$H$102,8,FALSE),VLOOKUP(CU$1,main!$A$3:$H$102,4,FALSE),VLOOKUP(CU$1,main!$A$3:$H$102,4,FALSE)+VLOOKUP($A39,main!$A$3:$H$102,4,FALSE)+(VLOOKUP(VLOOKUP(CU$1,main!$A$3:$H$102,8,FALSE),main!$K$19:$O$22,MATCH(VLOOKUP($A39,main!$A$3:$H$102,7,FALSE),main!$K$18:$O$18,0),0))),0)</f>
        <v>0</v>
      </c>
      <c r="CV39">
        <f>IF((gamma!CV39),IF(VLOOKUP(CV$1,main!$A$3:$H$102,7,FALSE)=VLOOKUP($A39,main!$A$3:$H$102,8,FALSE),VLOOKUP(CV$1,main!$A$3:$H$102,4,FALSE),VLOOKUP(CV$1,main!$A$3:$H$102,4,FALSE)+VLOOKUP($A39,main!$A$3:$H$102,4,FALSE)+(VLOOKUP(VLOOKUP(CV$1,main!$A$3:$H$102,8,FALSE),main!$K$19:$O$22,MATCH(VLOOKUP($A39,main!$A$3:$H$102,7,FALSE),main!$K$18:$O$18,0),0))),0)</f>
        <v>0</v>
      </c>
      <c r="CW39">
        <f>IF((gamma!CW39),IF(VLOOKUP(CW$1,main!$A$3:$H$102,7,FALSE)=VLOOKUP($A39,main!$A$3:$H$102,8,FALSE),VLOOKUP(CW$1,main!$A$3:$H$102,4,FALSE),VLOOKUP(CW$1,main!$A$3:$H$102,4,FALSE)+VLOOKUP($A39,main!$A$3:$H$102,4,FALSE)+(VLOOKUP(VLOOKUP(CW$1,main!$A$3:$H$102,8,FALSE),main!$K$19:$O$22,MATCH(VLOOKUP($A39,main!$A$3:$H$102,7,FALSE),main!$K$18:$O$18,0),0))),0)</f>
        <v>0</v>
      </c>
      <c r="CX39">
        <f>IF((gamma!CX39),IF(VLOOKUP(CX$1,main!$A$3:$H$102,7,FALSE)=VLOOKUP($A39,main!$A$3:$H$102,8,FALSE),VLOOKUP(CX$1,main!$A$3:$H$102,4,FALSE),VLOOKUP(CX$1,main!$A$3:$H$102,4,FALSE)+VLOOKUP($A39,main!$A$3:$H$102,4,FALSE)+(VLOOKUP(VLOOKUP(CX$1,main!$A$3:$H$102,8,FALSE),main!$K$19:$O$22,MATCH(VLOOKUP($A39,main!$A$3:$H$102,7,FALSE),main!$K$18:$O$18,0),0))),0)</f>
        <v>0</v>
      </c>
      <c r="CY39">
        <v>0</v>
      </c>
      <c r="CZ39">
        <v>0</v>
      </c>
      <c r="DA39">
        <v>0</v>
      </c>
    </row>
    <row r="40" spans="1:105" x14ac:dyDescent="0.25">
      <c r="A40" s="1">
        <v>38</v>
      </c>
      <c r="B40">
        <v>0</v>
      </c>
      <c r="C40">
        <f>IF((gamma!C40),IF(VLOOKUP(C$1,main!$A$3:$H$102,7,FALSE)=VLOOKUP($A40,main!$A$3:$H$102,8,FALSE),VLOOKUP(C$1,main!$A$3:$H$102,4,FALSE),VLOOKUP(C$1,main!$A$3:$H$102,4,FALSE)+VLOOKUP($A40,main!$A$3:$H$102,4,FALSE)+(VLOOKUP(VLOOKUP(C$1,main!$A$3:$H$102,8,FALSE),main!$K$19:$O$22,MATCH(VLOOKUP($A40,main!$A$3:$H$102,7,FALSE),main!$K$18:$O$18,0),0))),0)</f>
        <v>0</v>
      </c>
      <c r="D40">
        <f>IF((gamma!D40),IF(VLOOKUP(D$1,main!$A$3:$H$102,7,FALSE)=VLOOKUP($A40,main!$A$3:$H$102,8,FALSE),VLOOKUP(D$1,main!$A$3:$H$102,4,FALSE),VLOOKUP(D$1,main!$A$3:$H$102,4,FALSE)+VLOOKUP($A40,main!$A$3:$H$102,4,FALSE)+(VLOOKUP(VLOOKUP(D$1,main!$A$3:$H$102,8,FALSE),main!$K$19:$O$22,MATCH(VLOOKUP($A40,main!$A$3:$H$102,7,FALSE),main!$K$18:$O$18,0),0))),0)</f>
        <v>0</v>
      </c>
      <c r="E40">
        <f>IF((gamma!E40),IF(VLOOKUP(E$1,main!$A$3:$H$102,7,FALSE)=VLOOKUP($A40,main!$A$3:$H$102,8,FALSE),VLOOKUP(E$1,main!$A$3:$H$102,4,FALSE),VLOOKUP(E$1,main!$A$3:$H$102,4,FALSE)+VLOOKUP($A40,main!$A$3:$H$102,4,FALSE)+(VLOOKUP(VLOOKUP(E$1,main!$A$3:$H$102,8,FALSE),main!$K$19:$O$22,MATCH(VLOOKUP($A40,main!$A$3:$H$102,7,FALSE),main!$K$18:$O$18,0),0))),0)</f>
        <v>0</v>
      </c>
      <c r="F40">
        <f>IF((gamma!F40),IF(VLOOKUP(F$1,main!$A$3:$H$102,7,FALSE)=VLOOKUP($A40,main!$A$3:$H$102,8,FALSE),VLOOKUP(F$1,main!$A$3:$H$102,4,FALSE),VLOOKUP(F$1,main!$A$3:$H$102,4,FALSE)+VLOOKUP($A40,main!$A$3:$H$102,4,FALSE)+(VLOOKUP(VLOOKUP(F$1,main!$A$3:$H$102,8,FALSE),main!$K$19:$O$22,MATCH(VLOOKUP($A40,main!$A$3:$H$102,7,FALSE),main!$K$18:$O$18,0),0))),0)</f>
        <v>0</v>
      </c>
      <c r="G40">
        <f>IF((gamma!G40),IF(VLOOKUP(G$1,main!$A$3:$H$102,7,FALSE)=VLOOKUP($A40,main!$A$3:$H$102,8,FALSE),VLOOKUP(G$1,main!$A$3:$H$102,4,FALSE),VLOOKUP(G$1,main!$A$3:$H$102,4,FALSE)+VLOOKUP($A40,main!$A$3:$H$102,4,FALSE)+(VLOOKUP(VLOOKUP(G$1,main!$A$3:$H$102,8,FALSE),main!$K$19:$O$22,MATCH(VLOOKUP($A40,main!$A$3:$H$102,7,FALSE),main!$K$18:$O$18,0),0))),0)</f>
        <v>0</v>
      </c>
      <c r="H40">
        <f>IF((gamma!H40),IF(VLOOKUP(H$1,main!$A$3:$H$102,7,FALSE)=VLOOKUP($A40,main!$A$3:$H$102,8,FALSE),VLOOKUP(H$1,main!$A$3:$H$102,4,FALSE),VLOOKUP(H$1,main!$A$3:$H$102,4,FALSE)+VLOOKUP($A40,main!$A$3:$H$102,4,FALSE)+(VLOOKUP(VLOOKUP(H$1,main!$A$3:$H$102,8,FALSE),main!$K$19:$O$22,MATCH(VLOOKUP($A40,main!$A$3:$H$102,7,FALSE),main!$K$18:$O$18,0),0))),0)</f>
        <v>0</v>
      </c>
      <c r="I40">
        <f>IF((gamma!I40),IF(VLOOKUP(I$1,main!$A$3:$H$102,7,FALSE)=VLOOKUP($A40,main!$A$3:$H$102,8,FALSE),VLOOKUP(I$1,main!$A$3:$H$102,4,FALSE),VLOOKUP(I$1,main!$A$3:$H$102,4,FALSE)+VLOOKUP($A40,main!$A$3:$H$102,4,FALSE)+(VLOOKUP(VLOOKUP(I$1,main!$A$3:$H$102,8,FALSE),main!$K$19:$O$22,MATCH(VLOOKUP($A40,main!$A$3:$H$102,7,FALSE),main!$K$18:$O$18,0),0))),0)</f>
        <v>0</v>
      </c>
      <c r="J40">
        <f>IF((gamma!J40),IF(VLOOKUP(J$1,main!$A$3:$H$102,7,FALSE)=VLOOKUP($A40,main!$A$3:$H$102,8,FALSE),VLOOKUP(J$1,main!$A$3:$H$102,4,FALSE),VLOOKUP(J$1,main!$A$3:$H$102,4,FALSE)+VLOOKUP($A40,main!$A$3:$H$102,4,FALSE)+(VLOOKUP(VLOOKUP(J$1,main!$A$3:$H$102,8,FALSE),main!$K$19:$O$22,MATCH(VLOOKUP($A40,main!$A$3:$H$102,7,FALSE),main!$K$18:$O$18,0),0))),0)</f>
        <v>0</v>
      </c>
      <c r="K40">
        <f>IF((gamma!K40),IF(VLOOKUP(K$1,main!$A$3:$H$102,7,FALSE)=VLOOKUP($A40,main!$A$3:$H$102,8,FALSE),VLOOKUP(K$1,main!$A$3:$H$102,4,FALSE),VLOOKUP(K$1,main!$A$3:$H$102,4,FALSE)+VLOOKUP($A40,main!$A$3:$H$102,4,FALSE)+(VLOOKUP(VLOOKUP(K$1,main!$A$3:$H$102,8,FALSE),main!$K$19:$O$22,MATCH(VLOOKUP($A40,main!$A$3:$H$102,7,FALSE),main!$K$18:$O$18,0),0))),0)</f>
        <v>0</v>
      </c>
      <c r="L40">
        <f>IF((gamma!L40),IF(VLOOKUP(L$1,main!$A$3:$H$102,7,FALSE)=VLOOKUP($A40,main!$A$3:$H$102,8,FALSE),VLOOKUP(L$1,main!$A$3:$H$102,4,FALSE),VLOOKUP(L$1,main!$A$3:$H$102,4,FALSE)+VLOOKUP($A40,main!$A$3:$H$102,4,FALSE)+(VLOOKUP(VLOOKUP(L$1,main!$A$3:$H$102,8,FALSE),main!$K$19:$O$22,MATCH(VLOOKUP($A40,main!$A$3:$H$102,7,FALSE),main!$K$18:$O$18,0),0))),0)</f>
        <v>0</v>
      </c>
      <c r="M40">
        <f>IF((gamma!M40),IF(VLOOKUP(M$1,main!$A$3:$H$102,7,FALSE)=VLOOKUP($A40,main!$A$3:$H$102,8,FALSE),VLOOKUP(M$1,main!$A$3:$H$102,4,FALSE),VLOOKUP(M$1,main!$A$3:$H$102,4,FALSE)+VLOOKUP($A40,main!$A$3:$H$102,4,FALSE)+(VLOOKUP(VLOOKUP(M$1,main!$A$3:$H$102,8,FALSE),main!$K$19:$O$22,MATCH(VLOOKUP($A40,main!$A$3:$H$102,7,FALSE),main!$K$18:$O$18,0),0))),0)</f>
        <v>0</v>
      </c>
      <c r="N40">
        <f>IF((gamma!N40),IF(VLOOKUP(N$1,main!$A$3:$H$102,7,FALSE)=VLOOKUP($A40,main!$A$3:$H$102,8,FALSE),VLOOKUP(N$1,main!$A$3:$H$102,4,FALSE),VLOOKUP(N$1,main!$A$3:$H$102,4,FALSE)+VLOOKUP($A40,main!$A$3:$H$102,4,FALSE)+(VLOOKUP(VLOOKUP(N$1,main!$A$3:$H$102,8,FALSE),main!$K$19:$O$22,MATCH(VLOOKUP($A40,main!$A$3:$H$102,7,FALSE),main!$K$18:$O$18,0),0))),0)</f>
        <v>0</v>
      </c>
      <c r="O40">
        <f>IF((gamma!O40),IF(VLOOKUP(O$1,main!$A$3:$H$102,7,FALSE)=VLOOKUP($A40,main!$A$3:$H$102,8,FALSE),VLOOKUP(O$1,main!$A$3:$H$102,4,FALSE),VLOOKUP(O$1,main!$A$3:$H$102,4,FALSE)+VLOOKUP($A40,main!$A$3:$H$102,4,FALSE)+(VLOOKUP(VLOOKUP(O$1,main!$A$3:$H$102,8,FALSE),main!$K$19:$O$22,MATCH(VLOOKUP($A40,main!$A$3:$H$102,7,FALSE),main!$K$18:$O$18,0),0))),0)</f>
        <v>0</v>
      </c>
      <c r="P40">
        <f>IF((gamma!P40),IF(VLOOKUP(P$1,main!$A$3:$H$102,7,FALSE)=VLOOKUP($A40,main!$A$3:$H$102,8,FALSE),VLOOKUP(P$1,main!$A$3:$H$102,4,FALSE),VLOOKUP(P$1,main!$A$3:$H$102,4,FALSE)+VLOOKUP($A40,main!$A$3:$H$102,4,FALSE)+(VLOOKUP(VLOOKUP(P$1,main!$A$3:$H$102,8,FALSE),main!$K$19:$O$22,MATCH(VLOOKUP($A40,main!$A$3:$H$102,7,FALSE),main!$K$18:$O$18,0),0))),0)</f>
        <v>0</v>
      </c>
      <c r="Q40">
        <f>IF((gamma!Q40),IF(VLOOKUP(Q$1,main!$A$3:$H$102,7,FALSE)=VLOOKUP($A40,main!$A$3:$H$102,8,FALSE),VLOOKUP(Q$1,main!$A$3:$H$102,4,FALSE),VLOOKUP(Q$1,main!$A$3:$H$102,4,FALSE)+VLOOKUP($A40,main!$A$3:$H$102,4,FALSE)+(VLOOKUP(VLOOKUP(Q$1,main!$A$3:$H$102,8,FALSE),main!$K$19:$O$22,MATCH(VLOOKUP($A40,main!$A$3:$H$102,7,FALSE),main!$K$18:$O$18,0),0))),0)</f>
        <v>0</v>
      </c>
      <c r="R40">
        <f>IF((gamma!R40),IF(VLOOKUP(R$1,main!$A$3:$H$102,7,FALSE)=VLOOKUP($A40,main!$A$3:$H$102,8,FALSE),VLOOKUP(R$1,main!$A$3:$H$102,4,FALSE),VLOOKUP(R$1,main!$A$3:$H$102,4,FALSE)+VLOOKUP($A40,main!$A$3:$H$102,4,FALSE)+(VLOOKUP(VLOOKUP(R$1,main!$A$3:$H$102,8,FALSE),main!$K$19:$O$22,MATCH(VLOOKUP($A40,main!$A$3:$H$102,7,FALSE),main!$K$18:$O$18,0),0))),0)</f>
        <v>0</v>
      </c>
      <c r="S40">
        <f>IF((gamma!S40),IF(VLOOKUP(S$1,main!$A$3:$H$102,7,FALSE)=VLOOKUP($A40,main!$A$3:$H$102,8,FALSE),VLOOKUP(S$1,main!$A$3:$H$102,4,FALSE),VLOOKUP(S$1,main!$A$3:$H$102,4,FALSE)+VLOOKUP($A40,main!$A$3:$H$102,4,FALSE)+(VLOOKUP(VLOOKUP(S$1,main!$A$3:$H$102,8,FALSE),main!$K$19:$O$22,MATCH(VLOOKUP($A40,main!$A$3:$H$102,7,FALSE),main!$K$18:$O$18,0),0))),0)</f>
        <v>0</v>
      </c>
      <c r="T40">
        <f>IF((gamma!T40),IF(VLOOKUP(T$1,main!$A$3:$H$102,7,FALSE)=VLOOKUP($A40,main!$A$3:$H$102,8,FALSE),VLOOKUP(T$1,main!$A$3:$H$102,4,FALSE),VLOOKUP(T$1,main!$A$3:$H$102,4,FALSE)+VLOOKUP($A40,main!$A$3:$H$102,4,FALSE)+(VLOOKUP(VLOOKUP(T$1,main!$A$3:$H$102,8,FALSE),main!$K$19:$O$22,MATCH(VLOOKUP($A40,main!$A$3:$H$102,7,FALSE),main!$K$18:$O$18,0),0))),0)</f>
        <v>0</v>
      </c>
      <c r="U40">
        <f>IF((gamma!U40),IF(VLOOKUP(U$1,main!$A$3:$H$102,7,FALSE)=VLOOKUP($A40,main!$A$3:$H$102,8,FALSE),VLOOKUP(U$1,main!$A$3:$H$102,4,FALSE),VLOOKUP(U$1,main!$A$3:$H$102,4,FALSE)+VLOOKUP($A40,main!$A$3:$H$102,4,FALSE)+(VLOOKUP(VLOOKUP(U$1,main!$A$3:$H$102,8,FALSE),main!$K$19:$O$22,MATCH(VLOOKUP($A40,main!$A$3:$H$102,7,FALSE),main!$K$18:$O$18,0),0))),0)</f>
        <v>0</v>
      </c>
      <c r="V40">
        <f>IF((gamma!V40),IF(VLOOKUP(V$1,main!$A$3:$H$102,7,FALSE)=VLOOKUP($A40,main!$A$3:$H$102,8,FALSE),VLOOKUP(V$1,main!$A$3:$H$102,4,FALSE),VLOOKUP(V$1,main!$A$3:$H$102,4,FALSE)+VLOOKUP($A40,main!$A$3:$H$102,4,FALSE)+(VLOOKUP(VLOOKUP(V$1,main!$A$3:$H$102,8,FALSE),main!$K$19:$O$22,MATCH(VLOOKUP($A40,main!$A$3:$H$102,7,FALSE),main!$K$18:$O$18,0),0))),0)</f>
        <v>0</v>
      </c>
      <c r="W40">
        <f>IF((gamma!W40),IF(VLOOKUP(W$1,main!$A$3:$H$102,7,FALSE)=VLOOKUP($A40,main!$A$3:$H$102,8,FALSE),VLOOKUP(W$1,main!$A$3:$H$102,4,FALSE),VLOOKUP(W$1,main!$A$3:$H$102,4,FALSE)+VLOOKUP($A40,main!$A$3:$H$102,4,FALSE)+(VLOOKUP(VLOOKUP(W$1,main!$A$3:$H$102,8,FALSE),main!$K$19:$O$22,MATCH(VLOOKUP($A40,main!$A$3:$H$102,7,FALSE),main!$K$18:$O$18,0),0))),0)</f>
        <v>0</v>
      </c>
      <c r="X40">
        <f>IF((gamma!X40),IF(VLOOKUP(X$1,main!$A$3:$H$102,7,FALSE)=VLOOKUP($A40,main!$A$3:$H$102,8,FALSE),VLOOKUP(X$1,main!$A$3:$H$102,4,FALSE),VLOOKUP(X$1,main!$A$3:$H$102,4,FALSE)+VLOOKUP($A40,main!$A$3:$H$102,4,FALSE)+(VLOOKUP(VLOOKUP(X$1,main!$A$3:$H$102,8,FALSE),main!$K$19:$O$22,MATCH(VLOOKUP($A40,main!$A$3:$H$102,7,FALSE),main!$K$18:$O$18,0),0))),0)</f>
        <v>0</v>
      </c>
      <c r="Y40">
        <f>IF((gamma!Y40),IF(VLOOKUP(Y$1,main!$A$3:$H$102,7,FALSE)=VLOOKUP($A40,main!$A$3:$H$102,8,FALSE),VLOOKUP(Y$1,main!$A$3:$H$102,4,FALSE),VLOOKUP(Y$1,main!$A$3:$H$102,4,FALSE)+VLOOKUP($A40,main!$A$3:$H$102,4,FALSE)+(VLOOKUP(VLOOKUP(Y$1,main!$A$3:$H$102,8,FALSE),main!$K$19:$O$22,MATCH(VLOOKUP($A40,main!$A$3:$H$102,7,FALSE),main!$K$18:$O$18,0),0))),0)</f>
        <v>0</v>
      </c>
      <c r="Z40">
        <f>IF((gamma!Z40),IF(VLOOKUP(Z$1,main!$A$3:$H$102,7,FALSE)=VLOOKUP($A40,main!$A$3:$H$102,8,FALSE),VLOOKUP(Z$1,main!$A$3:$H$102,4,FALSE),VLOOKUP(Z$1,main!$A$3:$H$102,4,FALSE)+VLOOKUP($A40,main!$A$3:$H$102,4,FALSE)+(VLOOKUP(VLOOKUP(Z$1,main!$A$3:$H$102,8,FALSE),main!$K$19:$O$22,MATCH(VLOOKUP($A40,main!$A$3:$H$102,7,FALSE),main!$K$18:$O$18,0),0))),0)</f>
        <v>0</v>
      </c>
      <c r="AA40">
        <f>IF((gamma!AA40),IF(VLOOKUP(AA$1,main!$A$3:$H$102,7,FALSE)=VLOOKUP($A40,main!$A$3:$H$102,8,FALSE),VLOOKUP(AA$1,main!$A$3:$H$102,4,FALSE),VLOOKUP(AA$1,main!$A$3:$H$102,4,FALSE)+VLOOKUP($A40,main!$A$3:$H$102,4,FALSE)+(VLOOKUP(VLOOKUP(AA$1,main!$A$3:$H$102,8,FALSE),main!$K$19:$O$22,MATCH(VLOOKUP($A40,main!$A$3:$H$102,7,FALSE),main!$K$18:$O$18,0),0))),0)</f>
        <v>0</v>
      </c>
      <c r="AB40">
        <f>IF((gamma!AB40),IF(VLOOKUP(AB$1,main!$A$3:$H$102,7,FALSE)=VLOOKUP($A40,main!$A$3:$H$102,8,FALSE),VLOOKUP(AB$1,main!$A$3:$H$102,4,FALSE),VLOOKUP(AB$1,main!$A$3:$H$102,4,FALSE)+VLOOKUP($A40,main!$A$3:$H$102,4,FALSE)+(VLOOKUP(VLOOKUP(AB$1,main!$A$3:$H$102,8,FALSE),main!$K$19:$O$22,MATCH(VLOOKUP($A40,main!$A$3:$H$102,7,FALSE),main!$K$18:$O$18,0),0))),0)</f>
        <v>0</v>
      </c>
      <c r="AC40">
        <f>IF((gamma!AC40),IF(VLOOKUP(AC$1,main!$A$3:$H$102,7,FALSE)=VLOOKUP($A40,main!$A$3:$H$102,8,FALSE),VLOOKUP(AC$1,main!$A$3:$H$102,4,FALSE),VLOOKUP(AC$1,main!$A$3:$H$102,4,FALSE)+VLOOKUP($A40,main!$A$3:$H$102,4,FALSE)+(VLOOKUP(VLOOKUP(AC$1,main!$A$3:$H$102,8,FALSE),main!$K$19:$O$22,MATCH(VLOOKUP($A40,main!$A$3:$H$102,7,FALSE),main!$K$18:$O$18,0),0))),0)</f>
        <v>0</v>
      </c>
      <c r="AD40">
        <f>IF((gamma!AD40),IF(VLOOKUP(AD$1,main!$A$3:$H$102,7,FALSE)=VLOOKUP($A40,main!$A$3:$H$102,8,FALSE),VLOOKUP(AD$1,main!$A$3:$H$102,4,FALSE),VLOOKUP(AD$1,main!$A$3:$H$102,4,FALSE)+VLOOKUP($A40,main!$A$3:$H$102,4,FALSE)+(VLOOKUP(VLOOKUP(AD$1,main!$A$3:$H$102,8,FALSE),main!$K$19:$O$22,MATCH(VLOOKUP($A40,main!$A$3:$H$102,7,FALSE),main!$K$18:$O$18,0),0))),0)</f>
        <v>0</v>
      </c>
      <c r="AE40">
        <f>IF((gamma!AE40),IF(VLOOKUP(AE$1,main!$A$3:$H$102,7,FALSE)=VLOOKUP($A40,main!$A$3:$H$102,8,FALSE),VLOOKUP(AE$1,main!$A$3:$H$102,4,FALSE),VLOOKUP(AE$1,main!$A$3:$H$102,4,FALSE)+VLOOKUP($A40,main!$A$3:$H$102,4,FALSE)+(VLOOKUP(VLOOKUP(AE$1,main!$A$3:$H$102,8,FALSE),main!$K$19:$O$22,MATCH(VLOOKUP($A40,main!$A$3:$H$102,7,FALSE),main!$K$18:$O$18,0),0))),0)</f>
        <v>0</v>
      </c>
      <c r="AF40">
        <f>IF((gamma!AF40),IF(VLOOKUP(AF$1,main!$A$3:$H$102,7,FALSE)=VLOOKUP($A40,main!$A$3:$H$102,8,FALSE),VLOOKUP(AF$1,main!$A$3:$H$102,4,FALSE),VLOOKUP(AF$1,main!$A$3:$H$102,4,FALSE)+VLOOKUP($A40,main!$A$3:$H$102,4,FALSE)+(VLOOKUP(VLOOKUP(AF$1,main!$A$3:$H$102,8,FALSE),main!$K$19:$O$22,MATCH(VLOOKUP($A40,main!$A$3:$H$102,7,FALSE),main!$K$18:$O$18,0),0))),0)</f>
        <v>0</v>
      </c>
      <c r="AG40">
        <f>IF((gamma!AG40),IF(VLOOKUP(AG$1,main!$A$3:$H$102,7,FALSE)=VLOOKUP($A40,main!$A$3:$H$102,8,FALSE),VLOOKUP(AG$1,main!$A$3:$H$102,4,FALSE),VLOOKUP(AG$1,main!$A$3:$H$102,4,FALSE)+VLOOKUP($A40,main!$A$3:$H$102,4,FALSE)+(VLOOKUP(VLOOKUP(AG$1,main!$A$3:$H$102,8,FALSE),main!$K$19:$O$22,MATCH(VLOOKUP($A40,main!$A$3:$H$102,7,FALSE),main!$K$18:$O$18,0),0))),0)</f>
        <v>0</v>
      </c>
      <c r="AH40">
        <f>IF((gamma!AH40),IF(VLOOKUP(AH$1,main!$A$3:$H$102,7,FALSE)=VLOOKUP($A40,main!$A$3:$H$102,8,FALSE),VLOOKUP(AH$1,main!$A$3:$H$102,4,FALSE),VLOOKUP(AH$1,main!$A$3:$H$102,4,FALSE)+VLOOKUP($A40,main!$A$3:$H$102,4,FALSE)+(VLOOKUP(VLOOKUP(AH$1,main!$A$3:$H$102,8,FALSE),main!$K$19:$O$22,MATCH(VLOOKUP($A40,main!$A$3:$H$102,7,FALSE),main!$K$18:$O$18,0),0))),0)</f>
        <v>0</v>
      </c>
      <c r="AI40">
        <f>IF((gamma!AI40),IF(VLOOKUP(AI$1,main!$A$3:$H$102,7,FALSE)=VLOOKUP($A40,main!$A$3:$H$102,8,FALSE),VLOOKUP(AI$1,main!$A$3:$H$102,4,FALSE),VLOOKUP(AI$1,main!$A$3:$H$102,4,FALSE)+VLOOKUP($A40,main!$A$3:$H$102,4,FALSE)+(VLOOKUP(VLOOKUP(AI$1,main!$A$3:$H$102,8,FALSE),main!$K$19:$O$22,MATCH(VLOOKUP($A40,main!$A$3:$H$102,7,FALSE),main!$K$18:$O$18,0),0))),0)</f>
        <v>0</v>
      </c>
      <c r="AJ40">
        <f>IF((gamma!AJ40),IF(VLOOKUP(AJ$1,main!$A$3:$H$102,7,FALSE)=VLOOKUP($A40,main!$A$3:$H$102,8,FALSE),VLOOKUP(AJ$1,main!$A$3:$H$102,4,FALSE),VLOOKUP(AJ$1,main!$A$3:$H$102,4,FALSE)+VLOOKUP($A40,main!$A$3:$H$102,4,FALSE)+(VLOOKUP(VLOOKUP(AJ$1,main!$A$3:$H$102,8,FALSE),main!$K$19:$O$22,MATCH(VLOOKUP($A40,main!$A$3:$H$102,7,FALSE),main!$K$18:$O$18,0),0))),0)</f>
        <v>0</v>
      </c>
      <c r="AK40">
        <f>IF((gamma!AK40),IF(VLOOKUP(AK$1,main!$A$3:$H$102,7,FALSE)=VLOOKUP($A40,main!$A$3:$H$102,8,FALSE),VLOOKUP(AK$1,main!$A$3:$H$102,4,FALSE),VLOOKUP(AK$1,main!$A$3:$H$102,4,FALSE)+VLOOKUP($A40,main!$A$3:$H$102,4,FALSE)+(VLOOKUP(VLOOKUP(AK$1,main!$A$3:$H$102,8,FALSE),main!$K$19:$O$22,MATCH(VLOOKUP($A40,main!$A$3:$H$102,7,FALSE),main!$K$18:$O$18,0),0))),0)</f>
        <v>0</v>
      </c>
      <c r="AL40">
        <f>IF((gamma!AL40),IF(VLOOKUP(AL$1,main!$A$3:$H$102,7,FALSE)=VLOOKUP($A40,main!$A$3:$H$102,8,FALSE),VLOOKUP(AL$1,main!$A$3:$H$102,4,FALSE),VLOOKUP(AL$1,main!$A$3:$H$102,4,FALSE)+VLOOKUP($A40,main!$A$3:$H$102,4,FALSE)+(VLOOKUP(VLOOKUP(AL$1,main!$A$3:$H$102,8,FALSE),main!$K$19:$O$22,MATCH(VLOOKUP($A40,main!$A$3:$H$102,7,FALSE),main!$K$18:$O$18,0),0))),0)</f>
        <v>0</v>
      </c>
      <c r="AM40">
        <f>IF((gamma!AM40),IF(VLOOKUP(AM$1,main!$A$3:$H$102,7,FALSE)=VLOOKUP($A40,main!$A$3:$H$102,8,FALSE),VLOOKUP(AM$1,main!$A$3:$H$102,4,FALSE),VLOOKUP(AM$1,main!$A$3:$H$102,4,FALSE)+VLOOKUP($A40,main!$A$3:$H$102,4,FALSE)+(VLOOKUP(VLOOKUP(AM$1,main!$A$3:$H$102,8,FALSE),main!$K$19:$O$22,MATCH(VLOOKUP($A40,main!$A$3:$H$102,7,FALSE),main!$K$18:$O$18,0),0))),0)</f>
        <v>0</v>
      </c>
      <c r="AN40">
        <f>IF((gamma!AN40),IF(VLOOKUP(AN$1,main!$A$3:$H$102,7,FALSE)=VLOOKUP($A40,main!$A$3:$H$102,8,FALSE),VLOOKUP(AN$1,main!$A$3:$H$102,4,FALSE),VLOOKUP(AN$1,main!$A$3:$H$102,4,FALSE)+VLOOKUP($A40,main!$A$3:$H$102,4,FALSE)+(VLOOKUP(VLOOKUP(AN$1,main!$A$3:$H$102,8,FALSE),main!$K$19:$O$22,MATCH(VLOOKUP($A40,main!$A$3:$H$102,7,FALSE),main!$K$18:$O$18,0),0))),0)</f>
        <v>0</v>
      </c>
      <c r="AO40">
        <f>IF((gamma!AO40),IF(VLOOKUP(AO$1,main!$A$3:$H$102,7,FALSE)=VLOOKUP($A40,main!$A$3:$H$102,8,FALSE),VLOOKUP(AO$1,main!$A$3:$H$102,4,FALSE),VLOOKUP(AO$1,main!$A$3:$H$102,4,FALSE)+VLOOKUP($A40,main!$A$3:$H$102,4,FALSE)+(VLOOKUP(VLOOKUP(AO$1,main!$A$3:$H$102,8,FALSE),main!$K$19:$O$22,MATCH(VLOOKUP($A40,main!$A$3:$H$102,7,FALSE),main!$K$18:$O$18,0),0))),0)</f>
        <v>0</v>
      </c>
      <c r="AP40">
        <f>IF((gamma!AP40),IF(VLOOKUP(AP$1,main!$A$3:$H$102,7,FALSE)=VLOOKUP($A40,main!$A$3:$H$102,8,FALSE),VLOOKUP(AP$1,main!$A$3:$H$102,4,FALSE),VLOOKUP(AP$1,main!$A$3:$H$102,4,FALSE)+VLOOKUP($A40,main!$A$3:$H$102,4,FALSE)+(VLOOKUP(VLOOKUP(AP$1,main!$A$3:$H$102,8,FALSE),main!$K$19:$O$22,MATCH(VLOOKUP($A40,main!$A$3:$H$102,7,FALSE),main!$K$18:$O$18,0),0))),0)</f>
        <v>0</v>
      </c>
      <c r="AQ40">
        <f>IF((gamma!AQ40),IF(VLOOKUP(AQ$1,main!$A$3:$H$102,7,FALSE)=VLOOKUP($A40,main!$A$3:$H$102,8,FALSE),VLOOKUP(AQ$1,main!$A$3:$H$102,4,FALSE),VLOOKUP(AQ$1,main!$A$3:$H$102,4,FALSE)+VLOOKUP($A40,main!$A$3:$H$102,4,FALSE)+(VLOOKUP(VLOOKUP(AQ$1,main!$A$3:$H$102,8,FALSE),main!$K$19:$O$22,MATCH(VLOOKUP($A40,main!$A$3:$H$102,7,FALSE),main!$K$18:$O$18,0),0))),0)</f>
        <v>0</v>
      </c>
      <c r="AR40">
        <f>IF((gamma!AR40),IF(VLOOKUP(AR$1,main!$A$3:$H$102,7,FALSE)=VLOOKUP($A40,main!$A$3:$H$102,8,FALSE),VLOOKUP(AR$1,main!$A$3:$H$102,4,FALSE),VLOOKUP(AR$1,main!$A$3:$H$102,4,FALSE)+VLOOKUP($A40,main!$A$3:$H$102,4,FALSE)+(VLOOKUP(VLOOKUP(AR$1,main!$A$3:$H$102,8,FALSE),main!$K$19:$O$22,MATCH(VLOOKUP($A40,main!$A$3:$H$102,7,FALSE),main!$K$18:$O$18,0),0))),0)</f>
        <v>0</v>
      </c>
      <c r="AS40">
        <f>IF((gamma!AS40),IF(VLOOKUP(AS$1,main!$A$3:$H$102,7,FALSE)=VLOOKUP($A40,main!$A$3:$H$102,8,FALSE),VLOOKUP(AS$1,main!$A$3:$H$102,4,FALSE),VLOOKUP(AS$1,main!$A$3:$H$102,4,FALSE)+VLOOKUP($A40,main!$A$3:$H$102,4,FALSE)+(VLOOKUP(VLOOKUP(AS$1,main!$A$3:$H$102,8,FALSE),main!$K$19:$O$22,MATCH(VLOOKUP($A40,main!$A$3:$H$102,7,FALSE),main!$K$18:$O$18,0),0))),0)</f>
        <v>0</v>
      </c>
      <c r="AT40">
        <f>IF((gamma!AT40),IF(VLOOKUP(AT$1,main!$A$3:$H$102,7,FALSE)=VLOOKUP($A40,main!$A$3:$H$102,8,FALSE),VLOOKUP(AT$1,main!$A$3:$H$102,4,FALSE),VLOOKUP(AT$1,main!$A$3:$H$102,4,FALSE)+VLOOKUP($A40,main!$A$3:$H$102,4,FALSE)+(VLOOKUP(VLOOKUP(AT$1,main!$A$3:$H$102,8,FALSE),main!$K$19:$O$22,MATCH(VLOOKUP($A40,main!$A$3:$H$102,7,FALSE),main!$K$18:$O$18,0),0))),0)</f>
        <v>0</v>
      </c>
      <c r="AU40">
        <f>IF((gamma!AU40),IF(VLOOKUP(AU$1,main!$A$3:$H$102,7,FALSE)=VLOOKUP($A40,main!$A$3:$H$102,8,FALSE),VLOOKUP(AU$1,main!$A$3:$H$102,4,FALSE),VLOOKUP(AU$1,main!$A$3:$H$102,4,FALSE)+VLOOKUP($A40,main!$A$3:$H$102,4,FALSE)+(VLOOKUP(VLOOKUP(AU$1,main!$A$3:$H$102,8,FALSE),main!$K$19:$O$22,MATCH(VLOOKUP($A40,main!$A$3:$H$102,7,FALSE),main!$K$18:$O$18,0),0))),0)</f>
        <v>0</v>
      </c>
      <c r="AV40">
        <f>IF((gamma!AV40),IF(VLOOKUP(AV$1,main!$A$3:$H$102,7,FALSE)=VLOOKUP($A40,main!$A$3:$H$102,8,FALSE),VLOOKUP(AV$1,main!$A$3:$H$102,4,FALSE),VLOOKUP(AV$1,main!$A$3:$H$102,4,FALSE)+VLOOKUP($A40,main!$A$3:$H$102,4,FALSE)+(VLOOKUP(VLOOKUP(AV$1,main!$A$3:$H$102,8,FALSE),main!$K$19:$O$22,MATCH(VLOOKUP($A40,main!$A$3:$H$102,7,FALSE),main!$K$18:$O$18,0),0))),0)</f>
        <v>0</v>
      </c>
      <c r="AW40">
        <f>IF((gamma!AW40),IF(VLOOKUP(AW$1,main!$A$3:$H$102,7,FALSE)=VLOOKUP($A40,main!$A$3:$H$102,8,FALSE),VLOOKUP(AW$1,main!$A$3:$H$102,4,FALSE),VLOOKUP(AW$1,main!$A$3:$H$102,4,FALSE)+VLOOKUP($A40,main!$A$3:$H$102,4,FALSE)+(VLOOKUP(VLOOKUP(AW$1,main!$A$3:$H$102,8,FALSE),main!$K$19:$O$22,MATCH(VLOOKUP($A40,main!$A$3:$H$102,7,FALSE),main!$K$18:$O$18,0),0))),0)</f>
        <v>0</v>
      </c>
      <c r="AX40">
        <f>IF((gamma!AX40),IF(VLOOKUP(AX$1,main!$A$3:$H$102,7,FALSE)=VLOOKUP($A40,main!$A$3:$H$102,8,FALSE),VLOOKUP(AX$1,main!$A$3:$H$102,4,FALSE),VLOOKUP(AX$1,main!$A$3:$H$102,4,FALSE)+VLOOKUP($A40,main!$A$3:$H$102,4,FALSE)+(VLOOKUP(VLOOKUP(AX$1,main!$A$3:$H$102,8,FALSE),main!$K$19:$O$22,MATCH(VLOOKUP($A40,main!$A$3:$H$102,7,FALSE),main!$K$18:$O$18,0),0))),0)</f>
        <v>0</v>
      </c>
      <c r="AY40">
        <f>IF((gamma!AY40),IF(VLOOKUP(AY$1,main!$A$3:$H$102,7,FALSE)=VLOOKUP($A40,main!$A$3:$H$102,8,FALSE),VLOOKUP(AY$1,main!$A$3:$H$102,4,FALSE),VLOOKUP(AY$1,main!$A$3:$H$102,4,FALSE)+VLOOKUP($A40,main!$A$3:$H$102,4,FALSE)+(VLOOKUP(VLOOKUP(AY$1,main!$A$3:$H$102,8,FALSE),main!$K$19:$O$22,MATCH(VLOOKUP($A40,main!$A$3:$H$102,7,FALSE),main!$K$18:$O$18,0),0))),0)</f>
        <v>0</v>
      </c>
      <c r="AZ40">
        <f>IF((gamma!AZ40),IF(VLOOKUP(AZ$1,main!$A$3:$H$102,7,FALSE)=VLOOKUP($A40,main!$A$3:$H$102,8,FALSE),VLOOKUP(AZ$1,main!$A$3:$H$102,4,FALSE),VLOOKUP(AZ$1,main!$A$3:$H$102,4,FALSE)+VLOOKUP($A40,main!$A$3:$H$102,4,FALSE)+(VLOOKUP(VLOOKUP(AZ$1,main!$A$3:$H$102,8,FALSE),main!$K$19:$O$22,MATCH(VLOOKUP($A40,main!$A$3:$H$102,7,FALSE),main!$K$18:$O$18,0),0))),0)</f>
        <v>0</v>
      </c>
      <c r="BA40">
        <f>IF((gamma!BA40),IF(VLOOKUP(BA$1,main!$A$3:$H$102,7,FALSE)=VLOOKUP($A40,main!$A$3:$H$102,8,FALSE),VLOOKUP(BA$1,main!$A$3:$H$102,4,FALSE),VLOOKUP(BA$1,main!$A$3:$H$102,4,FALSE)+VLOOKUP($A40,main!$A$3:$H$102,4,FALSE)+(VLOOKUP(VLOOKUP(BA$1,main!$A$3:$H$102,8,FALSE),main!$K$19:$O$22,MATCH(VLOOKUP($A40,main!$A$3:$H$102,7,FALSE),main!$K$18:$O$18,0),0))),0)</f>
        <v>0</v>
      </c>
      <c r="BB40">
        <f>IF((gamma!BB40),IF(VLOOKUP(BB$1,main!$A$3:$H$102,7,FALSE)=VLOOKUP($A40,main!$A$3:$H$102,8,FALSE),VLOOKUP(BB$1,main!$A$3:$H$102,4,FALSE),VLOOKUP(BB$1,main!$A$3:$H$102,4,FALSE)+VLOOKUP($A40,main!$A$3:$H$102,4,FALSE)+(VLOOKUP(VLOOKUP(BB$1,main!$A$3:$H$102,8,FALSE),main!$K$19:$O$22,MATCH(VLOOKUP($A40,main!$A$3:$H$102,7,FALSE),main!$K$18:$O$18,0),0))),0)</f>
        <v>0</v>
      </c>
      <c r="BC40">
        <f>IF((gamma!BC40),IF(VLOOKUP(BC$1,main!$A$3:$H$102,7,FALSE)=VLOOKUP($A40,main!$A$3:$H$102,8,FALSE),VLOOKUP(BC$1,main!$A$3:$H$102,4,FALSE),VLOOKUP(BC$1,main!$A$3:$H$102,4,FALSE)+VLOOKUP($A40,main!$A$3:$H$102,4,FALSE)+(VLOOKUP(VLOOKUP(BC$1,main!$A$3:$H$102,8,FALSE),main!$K$19:$O$22,MATCH(VLOOKUP($A40,main!$A$3:$H$102,7,FALSE),main!$K$18:$O$18,0),0))),0)</f>
        <v>0</v>
      </c>
      <c r="BD40">
        <f>IF((gamma!BD40),IF(VLOOKUP(BD$1,main!$A$3:$H$102,7,FALSE)=VLOOKUP($A40,main!$A$3:$H$102,8,FALSE),VLOOKUP(BD$1,main!$A$3:$H$102,4,FALSE),VLOOKUP(BD$1,main!$A$3:$H$102,4,FALSE)+VLOOKUP($A40,main!$A$3:$H$102,4,FALSE)+(VLOOKUP(VLOOKUP(BD$1,main!$A$3:$H$102,8,FALSE),main!$K$19:$O$22,MATCH(VLOOKUP($A40,main!$A$3:$H$102,7,FALSE),main!$K$18:$O$18,0),0))),0)</f>
        <v>0</v>
      </c>
      <c r="BE40">
        <f>IF((gamma!BE40),IF(VLOOKUP(BE$1,main!$A$3:$H$102,7,FALSE)=VLOOKUP($A40,main!$A$3:$H$102,8,FALSE),VLOOKUP(BE$1,main!$A$3:$H$102,4,FALSE),VLOOKUP(BE$1,main!$A$3:$H$102,4,FALSE)+VLOOKUP($A40,main!$A$3:$H$102,4,FALSE)+(VLOOKUP(VLOOKUP(BE$1,main!$A$3:$H$102,8,FALSE),main!$K$19:$O$22,MATCH(VLOOKUP($A40,main!$A$3:$H$102,7,FALSE),main!$K$18:$O$18,0),0))),0)</f>
        <v>0</v>
      </c>
      <c r="BF40">
        <f>IF((gamma!BF40),IF(VLOOKUP(BF$1,main!$A$3:$H$102,7,FALSE)=VLOOKUP($A40,main!$A$3:$H$102,8,FALSE),VLOOKUP(BF$1,main!$A$3:$H$102,4,FALSE),VLOOKUP(BF$1,main!$A$3:$H$102,4,FALSE)+VLOOKUP($A40,main!$A$3:$H$102,4,FALSE)+(VLOOKUP(VLOOKUP(BF$1,main!$A$3:$H$102,8,FALSE),main!$K$19:$O$22,MATCH(VLOOKUP($A40,main!$A$3:$H$102,7,FALSE),main!$K$18:$O$18,0),0))),0)</f>
        <v>0</v>
      </c>
      <c r="BG40">
        <f>IF((gamma!BG40),IF(VLOOKUP(BG$1,main!$A$3:$H$102,7,FALSE)=VLOOKUP($A40,main!$A$3:$H$102,8,FALSE),VLOOKUP(BG$1,main!$A$3:$H$102,4,FALSE),VLOOKUP(BG$1,main!$A$3:$H$102,4,FALSE)+VLOOKUP($A40,main!$A$3:$H$102,4,FALSE)+(VLOOKUP(VLOOKUP(BG$1,main!$A$3:$H$102,8,FALSE),main!$K$19:$O$22,MATCH(VLOOKUP($A40,main!$A$3:$H$102,7,FALSE),main!$K$18:$O$18,0),0))),0)</f>
        <v>0</v>
      </c>
      <c r="BH40">
        <f>IF((gamma!BH40),IF(VLOOKUP(BH$1,main!$A$3:$H$102,7,FALSE)=VLOOKUP($A40,main!$A$3:$H$102,8,FALSE),VLOOKUP(BH$1,main!$A$3:$H$102,4,FALSE),VLOOKUP(BH$1,main!$A$3:$H$102,4,FALSE)+VLOOKUP($A40,main!$A$3:$H$102,4,FALSE)+(VLOOKUP(VLOOKUP(BH$1,main!$A$3:$H$102,8,FALSE),main!$K$19:$O$22,MATCH(VLOOKUP($A40,main!$A$3:$H$102,7,FALSE),main!$K$18:$O$18,0),0))),0)</f>
        <v>0</v>
      </c>
      <c r="BI40">
        <f>IF((gamma!BI40),IF(VLOOKUP(BI$1,main!$A$3:$H$102,7,FALSE)=VLOOKUP($A40,main!$A$3:$H$102,8,FALSE),VLOOKUP(BI$1,main!$A$3:$H$102,4,FALSE),VLOOKUP(BI$1,main!$A$3:$H$102,4,FALSE)+VLOOKUP($A40,main!$A$3:$H$102,4,FALSE)+(VLOOKUP(VLOOKUP(BI$1,main!$A$3:$H$102,8,FALSE),main!$K$19:$O$22,MATCH(VLOOKUP($A40,main!$A$3:$H$102,7,FALSE),main!$K$18:$O$18,0),0))),0)</f>
        <v>0</v>
      </c>
      <c r="BJ40">
        <f>IF((gamma!BJ40),IF(VLOOKUP(BJ$1,main!$A$3:$H$102,7,FALSE)=VLOOKUP($A40,main!$A$3:$H$102,8,FALSE),VLOOKUP(BJ$1,main!$A$3:$H$102,4,FALSE),VLOOKUP(BJ$1,main!$A$3:$H$102,4,FALSE)+VLOOKUP($A40,main!$A$3:$H$102,4,FALSE)+(VLOOKUP(VLOOKUP(BJ$1,main!$A$3:$H$102,8,FALSE),main!$K$19:$O$22,MATCH(VLOOKUP($A40,main!$A$3:$H$102,7,FALSE),main!$K$18:$O$18,0),0))),0)</f>
        <v>0</v>
      </c>
      <c r="BK40">
        <f>IF((gamma!BK40),IF(VLOOKUP(BK$1,main!$A$3:$H$102,7,FALSE)=VLOOKUP($A40,main!$A$3:$H$102,8,FALSE),VLOOKUP(BK$1,main!$A$3:$H$102,4,FALSE),VLOOKUP(BK$1,main!$A$3:$H$102,4,FALSE)+VLOOKUP($A40,main!$A$3:$H$102,4,FALSE)+(VLOOKUP(VLOOKUP(BK$1,main!$A$3:$H$102,8,FALSE),main!$K$19:$O$22,MATCH(VLOOKUP($A40,main!$A$3:$H$102,7,FALSE),main!$K$18:$O$18,0),0))),0)</f>
        <v>0</v>
      </c>
      <c r="BL40">
        <f>IF((gamma!BL40),IF(VLOOKUP(BL$1,main!$A$3:$H$102,7,FALSE)=VLOOKUP($A40,main!$A$3:$H$102,8,FALSE),VLOOKUP(BL$1,main!$A$3:$H$102,4,FALSE),VLOOKUP(BL$1,main!$A$3:$H$102,4,FALSE)+VLOOKUP($A40,main!$A$3:$H$102,4,FALSE)+(VLOOKUP(VLOOKUP(BL$1,main!$A$3:$H$102,8,FALSE),main!$K$19:$O$22,MATCH(VLOOKUP($A40,main!$A$3:$H$102,7,FALSE),main!$K$18:$O$18,0),0))),0)</f>
        <v>0</v>
      </c>
      <c r="BM40">
        <f>IF((gamma!BM40),IF(VLOOKUP(BM$1,main!$A$3:$H$102,7,FALSE)=VLOOKUP($A40,main!$A$3:$H$102,8,FALSE),VLOOKUP(BM$1,main!$A$3:$H$102,4,FALSE),VLOOKUP(BM$1,main!$A$3:$H$102,4,FALSE)+VLOOKUP($A40,main!$A$3:$H$102,4,FALSE)+(VLOOKUP(VLOOKUP(BM$1,main!$A$3:$H$102,8,FALSE),main!$K$19:$O$22,MATCH(VLOOKUP($A40,main!$A$3:$H$102,7,FALSE),main!$K$18:$O$18,0),0))),0)</f>
        <v>0</v>
      </c>
      <c r="BN40">
        <f>IF((gamma!BN40),IF(VLOOKUP(BN$1,main!$A$3:$H$102,7,FALSE)=VLOOKUP($A40,main!$A$3:$H$102,8,FALSE),VLOOKUP(BN$1,main!$A$3:$H$102,4,FALSE),VLOOKUP(BN$1,main!$A$3:$H$102,4,FALSE)+VLOOKUP($A40,main!$A$3:$H$102,4,FALSE)+(VLOOKUP(VLOOKUP(BN$1,main!$A$3:$H$102,8,FALSE),main!$K$19:$O$22,MATCH(VLOOKUP($A40,main!$A$3:$H$102,7,FALSE),main!$K$18:$O$18,0),0))),0)</f>
        <v>0</v>
      </c>
      <c r="BO40">
        <f>IF((gamma!BO40),IF(VLOOKUP(BO$1,main!$A$3:$H$102,7,FALSE)=VLOOKUP($A40,main!$A$3:$H$102,8,FALSE),VLOOKUP(BO$1,main!$A$3:$H$102,4,FALSE),VLOOKUP(BO$1,main!$A$3:$H$102,4,FALSE)+VLOOKUP($A40,main!$A$3:$H$102,4,FALSE)+(VLOOKUP(VLOOKUP(BO$1,main!$A$3:$H$102,8,FALSE),main!$K$19:$O$22,MATCH(VLOOKUP($A40,main!$A$3:$H$102,7,FALSE),main!$K$18:$O$18,0),0))),0)</f>
        <v>0</v>
      </c>
      <c r="BP40">
        <f>IF((gamma!BP40),IF(VLOOKUP(BP$1,main!$A$3:$H$102,7,FALSE)=VLOOKUP($A40,main!$A$3:$H$102,8,FALSE),VLOOKUP(BP$1,main!$A$3:$H$102,4,FALSE),VLOOKUP(BP$1,main!$A$3:$H$102,4,FALSE)+VLOOKUP($A40,main!$A$3:$H$102,4,FALSE)+(VLOOKUP(VLOOKUP(BP$1,main!$A$3:$H$102,8,FALSE),main!$K$19:$O$22,MATCH(VLOOKUP($A40,main!$A$3:$H$102,7,FALSE),main!$K$18:$O$18,0),0))),0)</f>
        <v>0</v>
      </c>
      <c r="BQ40">
        <f>IF((gamma!BQ40),IF(VLOOKUP(BQ$1,main!$A$3:$H$102,7,FALSE)=VLOOKUP($A40,main!$A$3:$H$102,8,FALSE),VLOOKUP(BQ$1,main!$A$3:$H$102,4,FALSE),VLOOKUP(BQ$1,main!$A$3:$H$102,4,FALSE)+VLOOKUP($A40,main!$A$3:$H$102,4,FALSE)+(VLOOKUP(VLOOKUP(BQ$1,main!$A$3:$H$102,8,FALSE),main!$K$19:$O$22,MATCH(VLOOKUP($A40,main!$A$3:$H$102,7,FALSE),main!$K$18:$O$18,0),0))),0)</f>
        <v>0</v>
      </c>
      <c r="BR40">
        <f>IF((gamma!BR40),IF(VLOOKUP(BR$1,main!$A$3:$H$102,7,FALSE)=VLOOKUP($A40,main!$A$3:$H$102,8,FALSE),VLOOKUP(BR$1,main!$A$3:$H$102,4,FALSE),VLOOKUP(BR$1,main!$A$3:$H$102,4,FALSE)+VLOOKUP($A40,main!$A$3:$H$102,4,FALSE)+(VLOOKUP(VLOOKUP(BR$1,main!$A$3:$H$102,8,FALSE),main!$K$19:$O$22,MATCH(VLOOKUP($A40,main!$A$3:$H$102,7,FALSE),main!$K$18:$O$18,0),0))),0)</f>
        <v>0</v>
      </c>
      <c r="BS40">
        <f>IF((gamma!BS40),IF(VLOOKUP(BS$1,main!$A$3:$H$102,7,FALSE)=VLOOKUP($A40,main!$A$3:$H$102,8,FALSE),VLOOKUP(BS$1,main!$A$3:$H$102,4,FALSE),VLOOKUP(BS$1,main!$A$3:$H$102,4,FALSE)+VLOOKUP($A40,main!$A$3:$H$102,4,FALSE)+(VLOOKUP(VLOOKUP(BS$1,main!$A$3:$H$102,8,FALSE),main!$K$19:$O$22,MATCH(VLOOKUP($A40,main!$A$3:$H$102,7,FALSE),main!$K$18:$O$18,0),0))),0)</f>
        <v>0</v>
      </c>
      <c r="BT40">
        <f>IF((gamma!BT40),IF(VLOOKUP(BT$1,main!$A$3:$H$102,7,FALSE)=VLOOKUP($A40,main!$A$3:$H$102,8,FALSE),VLOOKUP(BT$1,main!$A$3:$H$102,4,FALSE),VLOOKUP(BT$1,main!$A$3:$H$102,4,FALSE)+VLOOKUP($A40,main!$A$3:$H$102,4,FALSE)+(VLOOKUP(VLOOKUP(BT$1,main!$A$3:$H$102,8,FALSE),main!$K$19:$O$22,MATCH(VLOOKUP($A40,main!$A$3:$H$102,7,FALSE),main!$K$18:$O$18,0),0))),0)</f>
        <v>0</v>
      </c>
      <c r="BU40">
        <f>IF((gamma!BU40),IF(VLOOKUP(BU$1,main!$A$3:$H$102,7,FALSE)=VLOOKUP($A40,main!$A$3:$H$102,8,FALSE),VLOOKUP(BU$1,main!$A$3:$H$102,4,FALSE),VLOOKUP(BU$1,main!$A$3:$H$102,4,FALSE)+VLOOKUP($A40,main!$A$3:$H$102,4,FALSE)+(VLOOKUP(VLOOKUP(BU$1,main!$A$3:$H$102,8,FALSE),main!$K$19:$O$22,MATCH(VLOOKUP($A40,main!$A$3:$H$102,7,FALSE),main!$K$18:$O$18,0),0))),0)</f>
        <v>0</v>
      </c>
      <c r="BV40">
        <f>IF((gamma!BV40),IF(VLOOKUP(BV$1,main!$A$3:$H$102,7,FALSE)=VLOOKUP($A40,main!$A$3:$H$102,8,FALSE),VLOOKUP(BV$1,main!$A$3:$H$102,4,FALSE),VLOOKUP(BV$1,main!$A$3:$H$102,4,FALSE)+VLOOKUP($A40,main!$A$3:$H$102,4,FALSE)+(VLOOKUP(VLOOKUP(BV$1,main!$A$3:$H$102,8,FALSE),main!$K$19:$O$22,MATCH(VLOOKUP($A40,main!$A$3:$H$102,7,FALSE),main!$K$18:$O$18,0),0))),0)</f>
        <v>0</v>
      </c>
      <c r="BW40">
        <f>IF((gamma!BW40),IF(VLOOKUP(BW$1,main!$A$3:$H$102,7,FALSE)=VLOOKUP($A40,main!$A$3:$H$102,8,FALSE),VLOOKUP(BW$1,main!$A$3:$H$102,4,FALSE),VLOOKUP(BW$1,main!$A$3:$H$102,4,FALSE)+VLOOKUP($A40,main!$A$3:$H$102,4,FALSE)+(VLOOKUP(VLOOKUP(BW$1,main!$A$3:$H$102,8,FALSE),main!$K$19:$O$22,MATCH(VLOOKUP($A40,main!$A$3:$H$102,7,FALSE),main!$K$18:$O$18,0),0))),0)</f>
        <v>0</v>
      </c>
      <c r="BX40">
        <f>IF((gamma!BX40),IF(VLOOKUP(BX$1,main!$A$3:$H$102,7,FALSE)=VLOOKUP($A40,main!$A$3:$H$102,8,FALSE),VLOOKUP(BX$1,main!$A$3:$H$102,4,FALSE),VLOOKUP(BX$1,main!$A$3:$H$102,4,FALSE)+VLOOKUP($A40,main!$A$3:$H$102,4,FALSE)+(VLOOKUP(VLOOKUP(BX$1,main!$A$3:$H$102,8,FALSE),main!$K$19:$O$22,MATCH(VLOOKUP($A40,main!$A$3:$H$102,7,FALSE),main!$K$18:$O$18,0),0))),0)</f>
        <v>0</v>
      </c>
      <c r="BY40">
        <f>IF((gamma!BY40),IF(VLOOKUP(BY$1,main!$A$3:$H$102,7,FALSE)=VLOOKUP($A40,main!$A$3:$H$102,8,FALSE),VLOOKUP(BY$1,main!$A$3:$H$102,4,FALSE),VLOOKUP(BY$1,main!$A$3:$H$102,4,FALSE)+VLOOKUP($A40,main!$A$3:$H$102,4,FALSE)+(VLOOKUP(VLOOKUP(BY$1,main!$A$3:$H$102,8,FALSE),main!$K$19:$O$22,MATCH(VLOOKUP($A40,main!$A$3:$H$102,7,FALSE),main!$K$18:$O$18,0),0))),0)</f>
        <v>0</v>
      </c>
      <c r="BZ40">
        <f>IF((gamma!BZ40),IF(VLOOKUP(BZ$1,main!$A$3:$H$102,7,FALSE)=VLOOKUP($A40,main!$A$3:$H$102,8,FALSE),VLOOKUP(BZ$1,main!$A$3:$H$102,4,FALSE),VLOOKUP(BZ$1,main!$A$3:$H$102,4,FALSE)+VLOOKUP($A40,main!$A$3:$H$102,4,FALSE)+(VLOOKUP(VLOOKUP(BZ$1,main!$A$3:$H$102,8,FALSE),main!$K$19:$O$22,MATCH(VLOOKUP($A40,main!$A$3:$H$102,7,FALSE),main!$K$18:$O$18,0),0))),0)</f>
        <v>0</v>
      </c>
      <c r="CA40">
        <f>IF((gamma!CA40),IF(VLOOKUP(CA$1,main!$A$3:$H$102,7,FALSE)=VLOOKUP($A40,main!$A$3:$H$102,8,FALSE),VLOOKUP(CA$1,main!$A$3:$H$102,4,FALSE),VLOOKUP(CA$1,main!$A$3:$H$102,4,FALSE)+VLOOKUP($A40,main!$A$3:$H$102,4,FALSE)+(VLOOKUP(VLOOKUP(CA$1,main!$A$3:$H$102,8,FALSE),main!$K$19:$O$22,MATCH(VLOOKUP($A40,main!$A$3:$H$102,7,FALSE),main!$K$18:$O$18,0),0))),0)</f>
        <v>0</v>
      </c>
      <c r="CB40">
        <f>IF((gamma!CB40),IF(VLOOKUP(CB$1,main!$A$3:$H$102,7,FALSE)=VLOOKUP($A40,main!$A$3:$H$102,8,FALSE),VLOOKUP(CB$1,main!$A$3:$H$102,4,FALSE),VLOOKUP(CB$1,main!$A$3:$H$102,4,FALSE)+VLOOKUP($A40,main!$A$3:$H$102,4,FALSE)+(VLOOKUP(VLOOKUP(CB$1,main!$A$3:$H$102,8,FALSE),main!$K$19:$O$22,MATCH(VLOOKUP($A40,main!$A$3:$H$102,7,FALSE),main!$K$18:$O$18,0),0))),0)</f>
        <v>0</v>
      </c>
      <c r="CC40">
        <f>IF((gamma!CC40),IF(VLOOKUP(CC$1,main!$A$3:$H$102,7,FALSE)=VLOOKUP($A40,main!$A$3:$H$102,8,FALSE),VLOOKUP(CC$1,main!$A$3:$H$102,4,FALSE),VLOOKUP(CC$1,main!$A$3:$H$102,4,FALSE)+VLOOKUP($A40,main!$A$3:$H$102,4,FALSE)+(VLOOKUP(VLOOKUP(CC$1,main!$A$3:$H$102,8,FALSE),main!$K$19:$O$22,MATCH(VLOOKUP($A40,main!$A$3:$H$102,7,FALSE),main!$K$18:$O$18,0),0))),0)</f>
        <v>0</v>
      </c>
      <c r="CD40">
        <f>IF((gamma!CD40),IF(VLOOKUP(CD$1,main!$A$3:$H$102,7,FALSE)=VLOOKUP($A40,main!$A$3:$H$102,8,FALSE),VLOOKUP(CD$1,main!$A$3:$H$102,4,FALSE),VLOOKUP(CD$1,main!$A$3:$H$102,4,FALSE)+VLOOKUP($A40,main!$A$3:$H$102,4,FALSE)+(VLOOKUP(VLOOKUP(CD$1,main!$A$3:$H$102,8,FALSE),main!$K$19:$O$22,MATCH(VLOOKUP($A40,main!$A$3:$H$102,7,FALSE),main!$K$18:$O$18,0),0))),0)</f>
        <v>0</v>
      </c>
      <c r="CE40">
        <f>IF((gamma!CE40),IF(VLOOKUP(CE$1,main!$A$3:$H$102,7,FALSE)=VLOOKUP($A40,main!$A$3:$H$102,8,FALSE),VLOOKUP(CE$1,main!$A$3:$H$102,4,FALSE),VLOOKUP(CE$1,main!$A$3:$H$102,4,FALSE)+VLOOKUP($A40,main!$A$3:$H$102,4,FALSE)+(VLOOKUP(VLOOKUP(CE$1,main!$A$3:$H$102,8,FALSE),main!$K$19:$O$22,MATCH(VLOOKUP($A40,main!$A$3:$H$102,7,FALSE),main!$K$18:$O$18,0),0))),0)</f>
        <v>0</v>
      </c>
      <c r="CF40">
        <f>IF((gamma!CF40),IF(VLOOKUP(CF$1,main!$A$3:$H$102,7,FALSE)=VLOOKUP($A40,main!$A$3:$H$102,8,FALSE),VLOOKUP(CF$1,main!$A$3:$H$102,4,FALSE),VLOOKUP(CF$1,main!$A$3:$H$102,4,FALSE)+VLOOKUP($A40,main!$A$3:$H$102,4,FALSE)+(VLOOKUP(VLOOKUP(CF$1,main!$A$3:$H$102,8,FALSE),main!$K$19:$O$22,MATCH(VLOOKUP($A40,main!$A$3:$H$102,7,FALSE),main!$K$18:$O$18,0),0))),0)</f>
        <v>0</v>
      </c>
      <c r="CG40">
        <f>IF((gamma!CG40),IF(VLOOKUP(CG$1,main!$A$3:$H$102,7,FALSE)=VLOOKUP($A40,main!$A$3:$H$102,8,FALSE),VLOOKUP(CG$1,main!$A$3:$H$102,4,FALSE),VLOOKUP(CG$1,main!$A$3:$H$102,4,FALSE)+VLOOKUP($A40,main!$A$3:$H$102,4,FALSE)+(VLOOKUP(VLOOKUP(CG$1,main!$A$3:$H$102,8,FALSE),main!$K$19:$O$22,MATCH(VLOOKUP($A40,main!$A$3:$H$102,7,FALSE),main!$K$18:$O$18,0),0))),0)</f>
        <v>0</v>
      </c>
      <c r="CH40">
        <f>IF((gamma!CH40),IF(VLOOKUP(CH$1,main!$A$3:$H$102,7,FALSE)=VLOOKUP($A40,main!$A$3:$H$102,8,FALSE),VLOOKUP(CH$1,main!$A$3:$H$102,4,FALSE),VLOOKUP(CH$1,main!$A$3:$H$102,4,FALSE)+VLOOKUP($A40,main!$A$3:$H$102,4,FALSE)+(VLOOKUP(VLOOKUP(CH$1,main!$A$3:$H$102,8,FALSE),main!$K$19:$O$22,MATCH(VLOOKUP($A40,main!$A$3:$H$102,7,FALSE),main!$K$18:$O$18,0),0))),0)</f>
        <v>0</v>
      </c>
      <c r="CI40">
        <f>IF((gamma!CI40),IF(VLOOKUP(CI$1,main!$A$3:$H$102,7,FALSE)=VLOOKUP($A40,main!$A$3:$H$102,8,FALSE),VLOOKUP(CI$1,main!$A$3:$H$102,4,FALSE),VLOOKUP(CI$1,main!$A$3:$H$102,4,FALSE)+VLOOKUP($A40,main!$A$3:$H$102,4,FALSE)+(VLOOKUP(VLOOKUP(CI$1,main!$A$3:$H$102,8,FALSE),main!$K$19:$O$22,MATCH(VLOOKUP($A40,main!$A$3:$H$102,7,FALSE),main!$K$18:$O$18,0),0))),0)</f>
        <v>0</v>
      </c>
      <c r="CJ40">
        <f>IF((gamma!CJ40),IF(VLOOKUP(CJ$1,main!$A$3:$H$102,7,FALSE)=VLOOKUP($A40,main!$A$3:$H$102,8,FALSE),VLOOKUP(CJ$1,main!$A$3:$H$102,4,FALSE),VLOOKUP(CJ$1,main!$A$3:$H$102,4,FALSE)+VLOOKUP($A40,main!$A$3:$H$102,4,FALSE)+(VLOOKUP(VLOOKUP(CJ$1,main!$A$3:$H$102,8,FALSE),main!$K$19:$O$22,MATCH(VLOOKUP($A40,main!$A$3:$H$102,7,FALSE),main!$K$18:$O$18,0),0))),0)</f>
        <v>0</v>
      </c>
      <c r="CK40">
        <f>IF((gamma!CK40),IF(VLOOKUP(CK$1,main!$A$3:$H$102,7,FALSE)=VLOOKUP($A40,main!$A$3:$H$102,8,FALSE),VLOOKUP(CK$1,main!$A$3:$H$102,4,FALSE),VLOOKUP(CK$1,main!$A$3:$H$102,4,FALSE)+VLOOKUP($A40,main!$A$3:$H$102,4,FALSE)+(VLOOKUP(VLOOKUP(CK$1,main!$A$3:$H$102,8,FALSE),main!$K$19:$O$22,MATCH(VLOOKUP($A40,main!$A$3:$H$102,7,FALSE),main!$K$18:$O$18,0),0))),0)</f>
        <v>0</v>
      </c>
      <c r="CL40">
        <f>IF((gamma!CL40),IF(VLOOKUP(CL$1,main!$A$3:$H$102,7,FALSE)=VLOOKUP($A40,main!$A$3:$H$102,8,FALSE),VLOOKUP(CL$1,main!$A$3:$H$102,4,FALSE),VLOOKUP(CL$1,main!$A$3:$H$102,4,FALSE)+VLOOKUP($A40,main!$A$3:$H$102,4,FALSE)+(VLOOKUP(VLOOKUP(CL$1,main!$A$3:$H$102,8,FALSE),main!$K$19:$O$22,MATCH(VLOOKUP($A40,main!$A$3:$H$102,7,FALSE),main!$K$18:$O$18,0),0))),0)</f>
        <v>0</v>
      </c>
      <c r="CM40">
        <f>IF((gamma!CM40),IF(VLOOKUP(CM$1,main!$A$3:$H$102,7,FALSE)=VLOOKUP($A40,main!$A$3:$H$102,8,FALSE),VLOOKUP(CM$1,main!$A$3:$H$102,4,FALSE),VLOOKUP(CM$1,main!$A$3:$H$102,4,FALSE)+VLOOKUP($A40,main!$A$3:$H$102,4,FALSE)+(VLOOKUP(VLOOKUP(CM$1,main!$A$3:$H$102,8,FALSE),main!$K$19:$O$22,MATCH(VLOOKUP($A40,main!$A$3:$H$102,7,FALSE),main!$K$18:$O$18,0),0))),0)</f>
        <v>0</v>
      </c>
      <c r="CN40">
        <f>IF((gamma!CN40),IF(VLOOKUP(CN$1,main!$A$3:$H$102,7,FALSE)=VLOOKUP($A40,main!$A$3:$H$102,8,FALSE),VLOOKUP(CN$1,main!$A$3:$H$102,4,FALSE),VLOOKUP(CN$1,main!$A$3:$H$102,4,FALSE)+VLOOKUP($A40,main!$A$3:$H$102,4,FALSE)+(VLOOKUP(VLOOKUP(CN$1,main!$A$3:$H$102,8,FALSE),main!$K$19:$O$22,MATCH(VLOOKUP($A40,main!$A$3:$H$102,7,FALSE),main!$K$18:$O$18,0),0))),0)</f>
        <v>0</v>
      </c>
      <c r="CO40">
        <f>IF((gamma!CO40),IF(VLOOKUP(CO$1,main!$A$3:$H$102,7,FALSE)=VLOOKUP($A40,main!$A$3:$H$102,8,FALSE),VLOOKUP(CO$1,main!$A$3:$H$102,4,FALSE),VLOOKUP(CO$1,main!$A$3:$H$102,4,FALSE)+VLOOKUP($A40,main!$A$3:$H$102,4,FALSE)+(VLOOKUP(VLOOKUP(CO$1,main!$A$3:$H$102,8,FALSE),main!$K$19:$O$22,MATCH(VLOOKUP($A40,main!$A$3:$H$102,7,FALSE),main!$K$18:$O$18,0),0))),0)</f>
        <v>0</v>
      </c>
      <c r="CP40">
        <f>IF((gamma!CP40),IF(VLOOKUP(CP$1,main!$A$3:$H$102,7,FALSE)=VLOOKUP($A40,main!$A$3:$H$102,8,FALSE),VLOOKUP(CP$1,main!$A$3:$H$102,4,FALSE),VLOOKUP(CP$1,main!$A$3:$H$102,4,FALSE)+VLOOKUP($A40,main!$A$3:$H$102,4,FALSE)+(VLOOKUP(VLOOKUP(CP$1,main!$A$3:$H$102,8,FALSE),main!$K$19:$O$22,MATCH(VLOOKUP($A40,main!$A$3:$H$102,7,FALSE),main!$K$18:$O$18,0),0))),0)</f>
        <v>0</v>
      </c>
      <c r="CQ40">
        <f>IF((gamma!CQ40),IF(VLOOKUP(CQ$1,main!$A$3:$H$102,7,FALSE)=VLOOKUP($A40,main!$A$3:$H$102,8,FALSE),VLOOKUP(CQ$1,main!$A$3:$H$102,4,FALSE),VLOOKUP(CQ$1,main!$A$3:$H$102,4,FALSE)+VLOOKUP($A40,main!$A$3:$H$102,4,FALSE)+(VLOOKUP(VLOOKUP(CQ$1,main!$A$3:$H$102,8,FALSE),main!$K$19:$O$22,MATCH(VLOOKUP($A40,main!$A$3:$H$102,7,FALSE),main!$K$18:$O$18,0),0))),0)</f>
        <v>0</v>
      </c>
      <c r="CR40">
        <f>IF((gamma!CR40),IF(VLOOKUP(CR$1,main!$A$3:$H$102,7,FALSE)=VLOOKUP($A40,main!$A$3:$H$102,8,FALSE),VLOOKUP(CR$1,main!$A$3:$H$102,4,FALSE),VLOOKUP(CR$1,main!$A$3:$H$102,4,FALSE)+VLOOKUP($A40,main!$A$3:$H$102,4,FALSE)+(VLOOKUP(VLOOKUP(CR$1,main!$A$3:$H$102,8,FALSE),main!$K$19:$O$22,MATCH(VLOOKUP($A40,main!$A$3:$H$102,7,FALSE),main!$K$18:$O$18,0),0))),0)</f>
        <v>0</v>
      </c>
      <c r="CS40">
        <f>IF((gamma!CS40),IF(VLOOKUP(CS$1,main!$A$3:$H$102,7,FALSE)=VLOOKUP($A40,main!$A$3:$H$102,8,FALSE),VLOOKUP(CS$1,main!$A$3:$H$102,4,FALSE),VLOOKUP(CS$1,main!$A$3:$H$102,4,FALSE)+VLOOKUP($A40,main!$A$3:$H$102,4,FALSE)+(VLOOKUP(VLOOKUP(CS$1,main!$A$3:$H$102,8,FALSE),main!$K$19:$O$22,MATCH(VLOOKUP($A40,main!$A$3:$H$102,7,FALSE),main!$K$18:$O$18,0),0))),0)</f>
        <v>0</v>
      </c>
      <c r="CT40">
        <f>IF((gamma!CT40),IF(VLOOKUP(CT$1,main!$A$3:$H$102,7,FALSE)=VLOOKUP($A40,main!$A$3:$H$102,8,FALSE),VLOOKUP(CT$1,main!$A$3:$H$102,4,FALSE),VLOOKUP(CT$1,main!$A$3:$H$102,4,FALSE)+VLOOKUP($A40,main!$A$3:$H$102,4,FALSE)+(VLOOKUP(VLOOKUP(CT$1,main!$A$3:$H$102,8,FALSE),main!$K$19:$O$22,MATCH(VLOOKUP($A40,main!$A$3:$H$102,7,FALSE),main!$K$18:$O$18,0),0))),0)</f>
        <v>0</v>
      </c>
      <c r="CU40">
        <f>IF((gamma!CU40),IF(VLOOKUP(CU$1,main!$A$3:$H$102,7,FALSE)=VLOOKUP($A40,main!$A$3:$H$102,8,FALSE),VLOOKUP(CU$1,main!$A$3:$H$102,4,FALSE),VLOOKUP(CU$1,main!$A$3:$H$102,4,FALSE)+VLOOKUP($A40,main!$A$3:$H$102,4,FALSE)+(VLOOKUP(VLOOKUP(CU$1,main!$A$3:$H$102,8,FALSE),main!$K$19:$O$22,MATCH(VLOOKUP($A40,main!$A$3:$H$102,7,FALSE),main!$K$18:$O$18,0),0))),0)</f>
        <v>0</v>
      </c>
      <c r="CV40">
        <f>IF((gamma!CV40),IF(VLOOKUP(CV$1,main!$A$3:$H$102,7,FALSE)=VLOOKUP($A40,main!$A$3:$H$102,8,FALSE),VLOOKUP(CV$1,main!$A$3:$H$102,4,FALSE),VLOOKUP(CV$1,main!$A$3:$H$102,4,FALSE)+VLOOKUP($A40,main!$A$3:$H$102,4,FALSE)+(VLOOKUP(VLOOKUP(CV$1,main!$A$3:$H$102,8,FALSE),main!$K$19:$O$22,MATCH(VLOOKUP($A40,main!$A$3:$H$102,7,FALSE),main!$K$18:$O$18,0),0))),0)</f>
        <v>0</v>
      </c>
      <c r="CW40">
        <f>IF((gamma!CW40),IF(VLOOKUP(CW$1,main!$A$3:$H$102,7,FALSE)=VLOOKUP($A40,main!$A$3:$H$102,8,FALSE),VLOOKUP(CW$1,main!$A$3:$H$102,4,FALSE),VLOOKUP(CW$1,main!$A$3:$H$102,4,FALSE)+VLOOKUP($A40,main!$A$3:$H$102,4,FALSE)+(VLOOKUP(VLOOKUP(CW$1,main!$A$3:$H$102,8,FALSE),main!$K$19:$O$22,MATCH(VLOOKUP($A40,main!$A$3:$H$102,7,FALSE),main!$K$18:$O$18,0),0))),0)</f>
        <v>0</v>
      </c>
      <c r="CX40">
        <f>IF((gamma!CX40),IF(VLOOKUP(CX$1,main!$A$3:$H$102,7,FALSE)=VLOOKUP($A40,main!$A$3:$H$102,8,FALSE),VLOOKUP(CX$1,main!$A$3:$H$102,4,FALSE),VLOOKUP(CX$1,main!$A$3:$H$102,4,FALSE)+VLOOKUP($A40,main!$A$3:$H$102,4,FALSE)+(VLOOKUP(VLOOKUP(CX$1,main!$A$3:$H$102,8,FALSE),main!$K$19:$O$22,MATCH(VLOOKUP($A40,main!$A$3:$H$102,7,FALSE),main!$K$18:$O$18,0),0))),0)</f>
        <v>0</v>
      </c>
      <c r="CY40">
        <v>0</v>
      </c>
      <c r="CZ40">
        <v>0</v>
      </c>
      <c r="DA40">
        <v>0</v>
      </c>
    </row>
    <row r="41" spans="1:105" x14ac:dyDescent="0.25">
      <c r="A41" s="1">
        <v>39</v>
      </c>
      <c r="B41">
        <v>0</v>
      </c>
      <c r="C41">
        <f>IF((gamma!C41),IF(VLOOKUP(C$1,main!$A$3:$H$102,7,FALSE)=VLOOKUP($A41,main!$A$3:$H$102,8,FALSE),VLOOKUP(C$1,main!$A$3:$H$102,4,FALSE),VLOOKUP(C$1,main!$A$3:$H$102,4,FALSE)+VLOOKUP($A41,main!$A$3:$H$102,4,FALSE)+(VLOOKUP(VLOOKUP(C$1,main!$A$3:$H$102,8,FALSE),main!$K$19:$O$22,MATCH(VLOOKUP($A41,main!$A$3:$H$102,7,FALSE),main!$K$18:$O$18,0),0))),0)</f>
        <v>0</v>
      </c>
      <c r="D41">
        <f>IF((gamma!D41),IF(VLOOKUP(D$1,main!$A$3:$H$102,7,FALSE)=VLOOKUP($A41,main!$A$3:$H$102,8,FALSE),VLOOKUP(D$1,main!$A$3:$H$102,4,FALSE),VLOOKUP(D$1,main!$A$3:$H$102,4,FALSE)+VLOOKUP($A41,main!$A$3:$H$102,4,FALSE)+(VLOOKUP(VLOOKUP(D$1,main!$A$3:$H$102,8,FALSE),main!$K$19:$O$22,MATCH(VLOOKUP($A41,main!$A$3:$H$102,7,FALSE),main!$K$18:$O$18,0),0))),0)</f>
        <v>0</v>
      </c>
      <c r="E41">
        <f>IF((gamma!E41),IF(VLOOKUP(E$1,main!$A$3:$H$102,7,FALSE)=VLOOKUP($A41,main!$A$3:$H$102,8,FALSE),VLOOKUP(E$1,main!$A$3:$H$102,4,FALSE),VLOOKUP(E$1,main!$A$3:$H$102,4,FALSE)+VLOOKUP($A41,main!$A$3:$H$102,4,FALSE)+(VLOOKUP(VLOOKUP(E$1,main!$A$3:$H$102,8,FALSE),main!$K$19:$O$22,MATCH(VLOOKUP($A41,main!$A$3:$H$102,7,FALSE),main!$K$18:$O$18,0),0))),0)</f>
        <v>135</v>
      </c>
      <c r="F41">
        <f>IF((gamma!F41),IF(VLOOKUP(F$1,main!$A$3:$H$102,7,FALSE)=VLOOKUP($A41,main!$A$3:$H$102,8,FALSE),VLOOKUP(F$1,main!$A$3:$H$102,4,FALSE),VLOOKUP(F$1,main!$A$3:$H$102,4,FALSE)+VLOOKUP($A41,main!$A$3:$H$102,4,FALSE)+(VLOOKUP(VLOOKUP(F$1,main!$A$3:$H$102,8,FALSE),main!$K$19:$O$22,MATCH(VLOOKUP($A41,main!$A$3:$H$102,7,FALSE),main!$K$18:$O$18,0),0))),0)</f>
        <v>135</v>
      </c>
      <c r="G41">
        <f>IF((gamma!G41),IF(VLOOKUP(G$1,main!$A$3:$H$102,7,FALSE)=VLOOKUP($A41,main!$A$3:$H$102,8,FALSE),VLOOKUP(G$1,main!$A$3:$H$102,4,FALSE),VLOOKUP(G$1,main!$A$3:$H$102,4,FALSE)+VLOOKUP($A41,main!$A$3:$H$102,4,FALSE)+(VLOOKUP(VLOOKUP(G$1,main!$A$3:$H$102,8,FALSE),main!$K$19:$O$22,MATCH(VLOOKUP($A41,main!$A$3:$H$102,7,FALSE),main!$K$18:$O$18,0),0))),0)</f>
        <v>135</v>
      </c>
      <c r="H41">
        <f>IF((gamma!H41),IF(VLOOKUP(H$1,main!$A$3:$H$102,7,FALSE)=VLOOKUP($A41,main!$A$3:$H$102,8,FALSE),VLOOKUP(H$1,main!$A$3:$H$102,4,FALSE),VLOOKUP(H$1,main!$A$3:$H$102,4,FALSE)+VLOOKUP($A41,main!$A$3:$H$102,4,FALSE)+(VLOOKUP(VLOOKUP(H$1,main!$A$3:$H$102,8,FALSE),main!$K$19:$O$22,MATCH(VLOOKUP($A41,main!$A$3:$H$102,7,FALSE),main!$K$18:$O$18,0),0))),0)</f>
        <v>135</v>
      </c>
      <c r="I41">
        <f>IF((gamma!I41),IF(VLOOKUP(I$1,main!$A$3:$H$102,7,FALSE)=VLOOKUP($A41,main!$A$3:$H$102,8,FALSE),VLOOKUP(I$1,main!$A$3:$H$102,4,FALSE),VLOOKUP(I$1,main!$A$3:$H$102,4,FALSE)+VLOOKUP($A41,main!$A$3:$H$102,4,FALSE)+(VLOOKUP(VLOOKUP(I$1,main!$A$3:$H$102,8,FALSE),main!$K$19:$O$22,MATCH(VLOOKUP($A41,main!$A$3:$H$102,7,FALSE),main!$K$18:$O$18,0),0))),0)</f>
        <v>135</v>
      </c>
      <c r="J41">
        <f>IF((gamma!J41),IF(VLOOKUP(J$1,main!$A$3:$H$102,7,FALSE)=VLOOKUP($A41,main!$A$3:$H$102,8,FALSE),VLOOKUP(J$1,main!$A$3:$H$102,4,FALSE),VLOOKUP(J$1,main!$A$3:$H$102,4,FALSE)+VLOOKUP($A41,main!$A$3:$H$102,4,FALSE)+(VLOOKUP(VLOOKUP(J$1,main!$A$3:$H$102,8,FALSE),main!$K$19:$O$22,MATCH(VLOOKUP($A41,main!$A$3:$H$102,7,FALSE),main!$K$18:$O$18,0),0))),0)</f>
        <v>135</v>
      </c>
      <c r="K41">
        <f>IF((gamma!K41),IF(VLOOKUP(K$1,main!$A$3:$H$102,7,FALSE)=VLOOKUP($A41,main!$A$3:$H$102,8,FALSE),VLOOKUP(K$1,main!$A$3:$H$102,4,FALSE),VLOOKUP(K$1,main!$A$3:$H$102,4,FALSE)+VLOOKUP($A41,main!$A$3:$H$102,4,FALSE)+(VLOOKUP(VLOOKUP(K$1,main!$A$3:$H$102,8,FALSE),main!$K$19:$O$22,MATCH(VLOOKUP($A41,main!$A$3:$H$102,7,FALSE),main!$K$18:$O$18,0),0))),0)</f>
        <v>135</v>
      </c>
      <c r="L41">
        <f>IF((gamma!L41),IF(VLOOKUP(L$1,main!$A$3:$H$102,7,FALSE)=VLOOKUP($A41,main!$A$3:$H$102,8,FALSE),VLOOKUP(L$1,main!$A$3:$H$102,4,FALSE),VLOOKUP(L$1,main!$A$3:$H$102,4,FALSE)+VLOOKUP($A41,main!$A$3:$H$102,4,FALSE)+(VLOOKUP(VLOOKUP(L$1,main!$A$3:$H$102,8,FALSE),main!$K$19:$O$22,MATCH(VLOOKUP($A41,main!$A$3:$H$102,7,FALSE),main!$K$18:$O$18,0),0))),0)</f>
        <v>135</v>
      </c>
      <c r="M41">
        <f>IF((gamma!M41),IF(VLOOKUP(M$1,main!$A$3:$H$102,7,FALSE)=VLOOKUP($A41,main!$A$3:$H$102,8,FALSE),VLOOKUP(M$1,main!$A$3:$H$102,4,FALSE),VLOOKUP(M$1,main!$A$3:$H$102,4,FALSE)+VLOOKUP($A41,main!$A$3:$H$102,4,FALSE)+(VLOOKUP(VLOOKUP(M$1,main!$A$3:$H$102,8,FALSE),main!$K$19:$O$22,MATCH(VLOOKUP($A41,main!$A$3:$H$102,7,FALSE),main!$K$18:$O$18,0),0))),0)</f>
        <v>0</v>
      </c>
      <c r="N41">
        <f>IF((gamma!N41),IF(VLOOKUP(N$1,main!$A$3:$H$102,7,FALSE)=VLOOKUP($A41,main!$A$3:$H$102,8,FALSE),VLOOKUP(N$1,main!$A$3:$H$102,4,FALSE),VLOOKUP(N$1,main!$A$3:$H$102,4,FALSE)+VLOOKUP($A41,main!$A$3:$H$102,4,FALSE)+(VLOOKUP(VLOOKUP(N$1,main!$A$3:$H$102,8,FALSE),main!$K$19:$O$22,MATCH(VLOOKUP($A41,main!$A$3:$H$102,7,FALSE),main!$K$18:$O$18,0),0))),0)</f>
        <v>0</v>
      </c>
      <c r="O41">
        <f>IF((gamma!O41),IF(VLOOKUP(O$1,main!$A$3:$H$102,7,FALSE)=VLOOKUP($A41,main!$A$3:$H$102,8,FALSE),VLOOKUP(O$1,main!$A$3:$H$102,4,FALSE),VLOOKUP(O$1,main!$A$3:$H$102,4,FALSE)+VLOOKUP($A41,main!$A$3:$H$102,4,FALSE)+(VLOOKUP(VLOOKUP(O$1,main!$A$3:$H$102,8,FALSE),main!$K$19:$O$22,MATCH(VLOOKUP($A41,main!$A$3:$H$102,7,FALSE),main!$K$18:$O$18,0),0))),0)</f>
        <v>140</v>
      </c>
      <c r="P41">
        <f>IF((gamma!P41),IF(VLOOKUP(P$1,main!$A$3:$H$102,7,FALSE)=VLOOKUP($A41,main!$A$3:$H$102,8,FALSE),VLOOKUP(P$1,main!$A$3:$H$102,4,FALSE),VLOOKUP(P$1,main!$A$3:$H$102,4,FALSE)+VLOOKUP($A41,main!$A$3:$H$102,4,FALSE)+(VLOOKUP(VLOOKUP(P$1,main!$A$3:$H$102,8,FALSE),main!$K$19:$O$22,MATCH(VLOOKUP($A41,main!$A$3:$H$102,7,FALSE),main!$K$18:$O$18,0),0))),0)</f>
        <v>140</v>
      </c>
      <c r="Q41">
        <f>IF((gamma!Q41),IF(VLOOKUP(Q$1,main!$A$3:$H$102,7,FALSE)=VLOOKUP($A41,main!$A$3:$H$102,8,FALSE),VLOOKUP(Q$1,main!$A$3:$H$102,4,FALSE),VLOOKUP(Q$1,main!$A$3:$H$102,4,FALSE)+VLOOKUP($A41,main!$A$3:$H$102,4,FALSE)+(VLOOKUP(VLOOKUP(Q$1,main!$A$3:$H$102,8,FALSE),main!$K$19:$O$22,MATCH(VLOOKUP($A41,main!$A$3:$H$102,7,FALSE),main!$K$18:$O$18,0),0))),0)</f>
        <v>140</v>
      </c>
      <c r="R41">
        <f>IF((gamma!R41),IF(VLOOKUP(R$1,main!$A$3:$H$102,7,FALSE)=VLOOKUP($A41,main!$A$3:$H$102,8,FALSE),VLOOKUP(R$1,main!$A$3:$H$102,4,FALSE),VLOOKUP(R$1,main!$A$3:$H$102,4,FALSE)+VLOOKUP($A41,main!$A$3:$H$102,4,FALSE)+(VLOOKUP(VLOOKUP(R$1,main!$A$3:$H$102,8,FALSE),main!$K$19:$O$22,MATCH(VLOOKUP($A41,main!$A$3:$H$102,7,FALSE),main!$K$18:$O$18,0),0))),0)</f>
        <v>140</v>
      </c>
      <c r="S41">
        <f>IF((gamma!S41),IF(VLOOKUP(S$1,main!$A$3:$H$102,7,FALSE)=VLOOKUP($A41,main!$A$3:$H$102,8,FALSE),VLOOKUP(S$1,main!$A$3:$H$102,4,FALSE),VLOOKUP(S$1,main!$A$3:$H$102,4,FALSE)+VLOOKUP($A41,main!$A$3:$H$102,4,FALSE)+(VLOOKUP(VLOOKUP(S$1,main!$A$3:$H$102,8,FALSE),main!$K$19:$O$22,MATCH(VLOOKUP($A41,main!$A$3:$H$102,7,FALSE),main!$K$18:$O$18,0),0))),0)</f>
        <v>140</v>
      </c>
      <c r="T41">
        <f>IF((gamma!T41),IF(VLOOKUP(T$1,main!$A$3:$H$102,7,FALSE)=VLOOKUP($A41,main!$A$3:$H$102,8,FALSE),VLOOKUP(T$1,main!$A$3:$H$102,4,FALSE),VLOOKUP(T$1,main!$A$3:$H$102,4,FALSE)+VLOOKUP($A41,main!$A$3:$H$102,4,FALSE)+(VLOOKUP(VLOOKUP(T$1,main!$A$3:$H$102,8,FALSE),main!$K$19:$O$22,MATCH(VLOOKUP($A41,main!$A$3:$H$102,7,FALSE),main!$K$18:$O$18,0),0))),0)</f>
        <v>140</v>
      </c>
      <c r="U41">
        <f>IF((gamma!U41),IF(VLOOKUP(U$1,main!$A$3:$H$102,7,FALSE)=VLOOKUP($A41,main!$A$3:$H$102,8,FALSE),VLOOKUP(U$1,main!$A$3:$H$102,4,FALSE),VLOOKUP(U$1,main!$A$3:$H$102,4,FALSE)+VLOOKUP($A41,main!$A$3:$H$102,4,FALSE)+(VLOOKUP(VLOOKUP(U$1,main!$A$3:$H$102,8,FALSE),main!$K$19:$O$22,MATCH(VLOOKUP($A41,main!$A$3:$H$102,7,FALSE),main!$K$18:$O$18,0),0))),0)</f>
        <v>140</v>
      </c>
      <c r="V41">
        <f>IF((gamma!V41),IF(VLOOKUP(V$1,main!$A$3:$H$102,7,FALSE)=VLOOKUP($A41,main!$A$3:$H$102,8,FALSE),VLOOKUP(V$1,main!$A$3:$H$102,4,FALSE),VLOOKUP(V$1,main!$A$3:$H$102,4,FALSE)+VLOOKUP($A41,main!$A$3:$H$102,4,FALSE)+(VLOOKUP(VLOOKUP(V$1,main!$A$3:$H$102,8,FALSE),main!$K$19:$O$22,MATCH(VLOOKUP($A41,main!$A$3:$H$102,7,FALSE),main!$K$18:$O$18,0),0))),0)</f>
        <v>140</v>
      </c>
      <c r="W41">
        <f>IF((gamma!W41),IF(VLOOKUP(W$1,main!$A$3:$H$102,7,FALSE)=VLOOKUP($A41,main!$A$3:$H$102,8,FALSE),VLOOKUP(W$1,main!$A$3:$H$102,4,FALSE),VLOOKUP(W$1,main!$A$3:$H$102,4,FALSE)+VLOOKUP($A41,main!$A$3:$H$102,4,FALSE)+(VLOOKUP(VLOOKUP(W$1,main!$A$3:$H$102,8,FALSE),main!$K$19:$O$22,MATCH(VLOOKUP($A41,main!$A$3:$H$102,7,FALSE),main!$K$18:$O$18,0),0))),0)</f>
        <v>0</v>
      </c>
      <c r="X41">
        <f>IF((gamma!X41),IF(VLOOKUP(X$1,main!$A$3:$H$102,7,FALSE)=VLOOKUP($A41,main!$A$3:$H$102,8,FALSE),VLOOKUP(X$1,main!$A$3:$H$102,4,FALSE),VLOOKUP(X$1,main!$A$3:$H$102,4,FALSE)+VLOOKUP($A41,main!$A$3:$H$102,4,FALSE)+(VLOOKUP(VLOOKUP(X$1,main!$A$3:$H$102,8,FALSE),main!$K$19:$O$22,MATCH(VLOOKUP($A41,main!$A$3:$H$102,7,FALSE),main!$K$18:$O$18,0),0))),0)</f>
        <v>140</v>
      </c>
      <c r="Y41">
        <f>IF((gamma!Y41),IF(VLOOKUP(Y$1,main!$A$3:$H$102,7,FALSE)=VLOOKUP($A41,main!$A$3:$H$102,8,FALSE),VLOOKUP(Y$1,main!$A$3:$H$102,4,FALSE),VLOOKUP(Y$1,main!$A$3:$H$102,4,FALSE)+VLOOKUP($A41,main!$A$3:$H$102,4,FALSE)+(VLOOKUP(VLOOKUP(Y$1,main!$A$3:$H$102,8,FALSE),main!$K$19:$O$22,MATCH(VLOOKUP($A41,main!$A$3:$H$102,7,FALSE),main!$K$18:$O$18,0),0))),0)</f>
        <v>135</v>
      </c>
      <c r="Z41">
        <f>IF((gamma!Z41),IF(VLOOKUP(Z$1,main!$A$3:$H$102,7,FALSE)=VLOOKUP($A41,main!$A$3:$H$102,8,FALSE),VLOOKUP(Z$1,main!$A$3:$H$102,4,FALSE),VLOOKUP(Z$1,main!$A$3:$H$102,4,FALSE)+VLOOKUP($A41,main!$A$3:$H$102,4,FALSE)+(VLOOKUP(VLOOKUP(Z$1,main!$A$3:$H$102,8,FALSE),main!$K$19:$O$22,MATCH(VLOOKUP($A41,main!$A$3:$H$102,7,FALSE),main!$K$18:$O$18,0),0))),0)</f>
        <v>140</v>
      </c>
      <c r="AA41">
        <f>IF((gamma!AA41),IF(VLOOKUP(AA$1,main!$A$3:$H$102,7,FALSE)=VLOOKUP($A41,main!$A$3:$H$102,8,FALSE),VLOOKUP(AA$1,main!$A$3:$H$102,4,FALSE),VLOOKUP(AA$1,main!$A$3:$H$102,4,FALSE)+VLOOKUP($A41,main!$A$3:$H$102,4,FALSE)+(VLOOKUP(VLOOKUP(AA$1,main!$A$3:$H$102,8,FALSE),main!$K$19:$O$22,MATCH(VLOOKUP($A41,main!$A$3:$H$102,7,FALSE),main!$K$18:$O$18,0),0))),0)</f>
        <v>140</v>
      </c>
      <c r="AB41">
        <f>IF((gamma!AB41),IF(VLOOKUP(AB$1,main!$A$3:$H$102,7,FALSE)=VLOOKUP($A41,main!$A$3:$H$102,8,FALSE),VLOOKUP(AB$1,main!$A$3:$H$102,4,FALSE),VLOOKUP(AB$1,main!$A$3:$H$102,4,FALSE)+VLOOKUP($A41,main!$A$3:$H$102,4,FALSE)+(VLOOKUP(VLOOKUP(AB$1,main!$A$3:$H$102,8,FALSE),main!$K$19:$O$22,MATCH(VLOOKUP($A41,main!$A$3:$H$102,7,FALSE),main!$K$18:$O$18,0),0))),0)</f>
        <v>0</v>
      </c>
      <c r="AC41">
        <f>IF((gamma!AC41),IF(VLOOKUP(AC$1,main!$A$3:$H$102,7,FALSE)=VLOOKUP($A41,main!$A$3:$H$102,8,FALSE),VLOOKUP(AC$1,main!$A$3:$H$102,4,FALSE),VLOOKUP(AC$1,main!$A$3:$H$102,4,FALSE)+VLOOKUP($A41,main!$A$3:$H$102,4,FALSE)+(VLOOKUP(VLOOKUP(AC$1,main!$A$3:$H$102,8,FALSE),main!$K$19:$O$22,MATCH(VLOOKUP($A41,main!$A$3:$H$102,7,FALSE),main!$K$18:$O$18,0),0))),0)</f>
        <v>0</v>
      </c>
      <c r="AD41">
        <f>IF((gamma!AD41),IF(VLOOKUP(AD$1,main!$A$3:$H$102,7,FALSE)=VLOOKUP($A41,main!$A$3:$H$102,8,FALSE),VLOOKUP(AD$1,main!$A$3:$H$102,4,FALSE),VLOOKUP(AD$1,main!$A$3:$H$102,4,FALSE)+VLOOKUP($A41,main!$A$3:$H$102,4,FALSE)+(VLOOKUP(VLOOKUP(AD$1,main!$A$3:$H$102,8,FALSE),main!$K$19:$O$22,MATCH(VLOOKUP($A41,main!$A$3:$H$102,7,FALSE),main!$K$18:$O$18,0),0))),0)</f>
        <v>135</v>
      </c>
      <c r="AE41">
        <f>IF((gamma!AE41),IF(VLOOKUP(AE$1,main!$A$3:$H$102,7,FALSE)=VLOOKUP($A41,main!$A$3:$H$102,8,FALSE),VLOOKUP(AE$1,main!$A$3:$H$102,4,FALSE),VLOOKUP(AE$1,main!$A$3:$H$102,4,FALSE)+VLOOKUP($A41,main!$A$3:$H$102,4,FALSE)+(VLOOKUP(VLOOKUP(AE$1,main!$A$3:$H$102,8,FALSE),main!$K$19:$O$22,MATCH(VLOOKUP($A41,main!$A$3:$H$102,7,FALSE),main!$K$18:$O$18,0),0))),0)</f>
        <v>140</v>
      </c>
      <c r="AF41">
        <f>IF((gamma!AF41),IF(VLOOKUP(AF$1,main!$A$3:$H$102,7,FALSE)=VLOOKUP($A41,main!$A$3:$H$102,8,FALSE),VLOOKUP(AF$1,main!$A$3:$H$102,4,FALSE),VLOOKUP(AF$1,main!$A$3:$H$102,4,FALSE)+VLOOKUP($A41,main!$A$3:$H$102,4,FALSE)+(VLOOKUP(VLOOKUP(AF$1,main!$A$3:$H$102,8,FALSE),main!$K$19:$O$22,MATCH(VLOOKUP($A41,main!$A$3:$H$102,7,FALSE),main!$K$18:$O$18,0),0))),0)</f>
        <v>100</v>
      </c>
      <c r="AG41">
        <f>IF((gamma!AG41),IF(VLOOKUP(AG$1,main!$A$3:$H$102,7,FALSE)=VLOOKUP($A41,main!$A$3:$H$102,8,FALSE),VLOOKUP(AG$1,main!$A$3:$H$102,4,FALSE),VLOOKUP(AG$1,main!$A$3:$H$102,4,FALSE)+VLOOKUP($A41,main!$A$3:$H$102,4,FALSE)+(VLOOKUP(VLOOKUP(AG$1,main!$A$3:$H$102,8,FALSE),main!$K$19:$O$22,MATCH(VLOOKUP($A41,main!$A$3:$H$102,7,FALSE),main!$K$18:$O$18,0),0))),0)</f>
        <v>0</v>
      </c>
      <c r="AH41">
        <f>IF((gamma!AH41),IF(VLOOKUP(AH$1,main!$A$3:$H$102,7,FALSE)=VLOOKUP($A41,main!$A$3:$H$102,8,FALSE),VLOOKUP(AH$1,main!$A$3:$H$102,4,FALSE),VLOOKUP(AH$1,main!$A$3:$H$102,4,FALSE)+VLOOKUP($A41,main!$A$3:$H$102,4,FALSE)+(VLOOKUP(VLOOKUP(AH$1,main!$A$3:$H$102,8,FALSE),main!$K$19:$O$22,MATCH(VLOOKUP($A41,main!$A$3:$H$102,7,FALSE),main!$K$18:$O$18,0),0))),0)</f>
        <v>295</v>
      </c>
      <c r="AI41">
        <f>IF((gamma!AI41),IF(VLOOKUP(AI$1,main!$A$3:$H$102,7,FALSE)=VLOOKUP($A41,main!$A$3:$H$102,8,FALSE),VLOOKUP(AI$1,main!$A$3:$H$102,4,FALSE),VLOOKUP(AI$1,main!$A$3:$H$102,4,FALSE)+VLOOKUP($A41,main!$A$3:$H$102,4,FALSE)+(VLOOKUP(VLOOKUP(AI$1,main!$A$3:$H$102,8,FALSE),main!$K$19:$O$22,MATCH(VLOOKUP($A41,main!$A$3:$H$102,7,FALSE),main!$K$18:$O$18,0),0))),0)</f>
        <v>295</v>
      </c>
      <c r="AJ41">
        <f>IF((gamma!AJ41),IF(VLOOKUP(AJ$1,main!$A$3:$H$102,7,FALSE)=VLOOKUP($A41,main!$A$3:$H$102,8,FALSE),VLOOKUP(AJ$1,main!$A$3:$H$102,4,FALSE),VLOOKUP(AJ$1,main!$A$3:$H$102,4,FALSE)+VLOOKUP($A41,main!$A$3:$H$102,4,FALSE)+(VLOOKUP(VLOOKUP(AJ$1,main!$A$3:$H$102,8,FALSE),main!$K$19:$O$22,MATCH(VLOOKUP($A41,main!$A$3:$H$102,7,FALSE),main!$K$18:$O$18,0),0))),0)</f>
        <v>295</v>
      </c>
      <c r="AK41">
        <f>IF((gamma!AK41),IF(VLOOKUP(AK$1,main!$A$3:$H$102,7,FALSE)=VLOOKUP($A41,main!$A$3:$H$102,8,FALSE),VLOOKUP(AK$1,main!$A$3:$H$102,4,FALSE),VLOOKUP(AK$1,main!$A$3:$H$102,4,FALSE)+VLOOKUP($A41,main!$A$3:$H$102,4,FALSE)+(VLOOKUP(VLOOKUP(AK$1,main!$A$3:$H$102,8,FALSE),main!$K$19:$O$22,MATCH(VLOOKUP($A41,main!$A$3:$H$102,7,FALSE),main!$K$18:$O$18,0),0))),0)</f>
        <v>295</v>
      </c>
      <c r="AL41">
        <f>IF((gamma!AL41),IF(VLOOKUP(AL$1,main!$A$3:$H$102,7,FALSE)=VLOOKUP($A41,main!$A$3:$H$102,8,FALSE),VLOOKUP(AL$1,main!$A$3:$H$102,4,FALSE),VLOOKUP(AL$1,main!$A$3:$H$102,4,FALSE)+VLOOKUP($A41,main!$A$3:$H$102,4,FALSE)+(VLOOKUP(VLOOKUP(AL$1,main!$A$3:$H$102,8,FALSE),main!$K$19:$O$22,MATCH(VLOOKUP($A41,main!$A$3:$H$102,7,FALSE),main!$K$18:$O$18,0),0))),0)</f>
        <v>295</v>
      </c>
      <c r="AM41">
        <f>IF((gamma!AM41),IF(VLOOKUP(AM$1,main!$A$3:$H$102,7,FALSE)=VLOOKUP($A41,main!$A$3:$H$102,8,FALSE),VLOOKUP(AM$1,main!$A$3:$H$102,4,FALSE),VLOOKUP(AM$1,main!$A$3:$H$102,4,FALSE)+VLOOKUP($A41,main!$A$3:$H$102,4,FALSE)+(VLOOKUP(VLOOKUP(AM$1,main!$A$3:$H$102,8,FALSE),main!$K$19:$O$22,MATCH(VLOOKUP($A41,main!$A$3:$H$102,7,FALSE),main!$K$18:$O$18,0),0))),0)</f>
        <v>295</v>
      </c>
      <c r="AN41">
        <f>IF((gamma!AN41),IF(VLOOKUP(AN$1,main!$A$3:$H$102,7,FALSE)=VLOOKUP($A41,main!$A$3:$H$102,8,FALSE),VLOOKUP(AN$1,main!$A$3:$H$102,4,FALSE),VLOOKUP(AN$1,main!$A$3:$H$102,4,FALSE)+VLOOKUP($A41,main!$A$3:$H$102,4,FALSE)+(VLOOKUP(VLOOKUP(AN$1,main!$A$3:$H$102,8,FALSE),main!$K$19:$O$22,MATCH(VLOOKUP($A41,main!$A$3:$H$102,7,FALSE),main!$K$18:$O$18,0),0))),0)</f>
        <v>295</v>
      </c>
      <c r="AO41">
        <f>IF((gamma!AO41),IF(VLOOKUP(AO$1,main!$A$3:$H$102,7,FALSE)=VLOOKUP($A41,main!$A$3:$H$102,8,FALSE),VLOOKUP(AO$1,main!$A$3:$H$102,4,FALSE),VLOOKUP(AO$1,main!$A$3:$H$102,4,FALSE)+VLOOKUP($A41,main!$A$3:$H$102,4,FALSE)+(VLOOKUP(VLOOKUP(AO$1,main!$A$3:$H$102,8,FALSE),main!$K$19:$O$22,MATCH(VLOOKUP($A41,main!$A$3:$H$102,7,FALSE),main!$K$18:$O$18,0),0))),0)</f>
        <v>0</v>
      </c>
      <c r="AP41">
        <f>IF((gamma!AP41),IF(VLOOKUP(AP$1,main!$A$3:$H$102,7,FALSE)=VLOOKUP($A41,main!$A$3:$H$102,8,FALSE),VLOOKUP(AP$1,main!$A$3:$H$102,4,FALSE),VLOOKUP(AP$1,main!$A$3:$H$102,4,FALSE)+VLOOKUP($A41,main!$A$3:$H$102,4,FALSE)+(VLOOKUP(VLOOKUP(AP$1,main!$A$3:$H$102,8,FALSE),main!$K$19:$O$22,MATCH(VLOOKUP($A41,main!$A$3:$H$102,7,FALSE),main!$K$18:$O$18,0),0))),0)</f>
        <v>235</v>
      </c>
      <c r="AQ41">
        <f>IF((gamma!AQ41),IF(VLOOKUP(AQ$1,main!$A$3:$H$102,7,FALSE)=VLOOKUP($A41,main!$A$3:$H$102,8,FALSE),VLOOKUP(AQ$1,main!$A$3:$H$102,4,FALSE),VLOOKUP(AQ$1,main!$A$3:$H$102,4,FALSE)+VLOOKUP($A41,main!$A$3:$H$102,4,FALSE)+(VLOOKUP(VLOOKUP(AQ$1,main!$A$3:$H$102,8,FALSE),main!$K$19:$O$22,MATCH(VLOOKUP($A41,main!$A$3:$H$102,7,FALSE),main!$K$18:$O$18,0),0))),0)</f>
        <v>0</v>
      </c>
      <c r="AR41">
        <f>IF((gamma!AR41),IF(VLOOKUP(AR$1,main!$A$3:$H$102,7,FALSE)=VLOOKUP($A41,main!$A$3:$H$102,8,FALSE),VLOOKUP(AR$1,main!$A$3:$H$102,4,FALSE),VLOOKUP(AR$1,main!$A$3:$H$102,4,FALSE)+VLOOKUP($A41,main!$A$3:$H$102,4,FALSE)+(VLOOKUP(VLOOKUP(AR$1,main!$A$3:$H$102,8,FALSE),main!$K$19:$O$22,MATCH(VLOOKUP($A41,main!$A$3:$H$102,7,FALSE),main!$K$18:$O$18,0),0))),0)</f>
        <v>0</v>
      </c>
      <c r="AS41">
        <f>IF((gamma!AS41),IF(VLOOKUP(AS$1,main!$A$3:$H$102,7,FALSE)=VLOOKUP($A41,main!$A$3:$H$102,8,FALSE),VLOOKUP(AS$1,main!$A$3:$H$102,4,FALSE),VLOOKUP(AS$1,main!$A$3:$H$102,4,FALSE)+VLOOKUP($A41,main!$A$3:$H$102,4,FALSE)+(VLOOKUP(VLOOKUP(AS$1,main!$A$3:$H$102,8,FALSE),main!$K$19:$O$22,MATCH(VLOOKUP($A41,main!$A$3:$H$102,7,FALSE),main!$K$18:$O$18,0),0))),0)</f>
        <v>283</v>
      </c>
      <c r="AT41">
        <f>IF((gamma!AT41),IF(VLOOKUP(AT$1,main!$A$3:$H$102,7,FALSE)=VLOOKUP($A41,main!$A$3:$H$102,8,FALSE),VLOOKUP(AT$1,main!$A$3:$H$102,4,FALSE),VLOOKUP(AT$1,main!$A$3:$H$102,4,FALSE)+VLOOKUP($A41,main!$A$3:$H$102,4,FALSE)+(VLOOKUP(VLOOKUP(AT$1,main!$A$3:$H$102,8,FALSE),main!$K$19:$O$22,MATCH(VLOOKUP($A41,main!$A$3:$H$102,7,FALSE),main!$K$18:$O$18,0),0))),0)</f>
        <v>293</v>
      </c>
      <c r="AU41">
        <f>IF((gamma!AU41),IF(VLOOKUP(AU$1,main!$A$3:$H$102,7,FALSE)=VLOOKUP($A41,main!$A$3:$H$102,8,FALSE),VLOOKUP(AU$1,main!$A$3:$H$102,4,FALSE),VLOOKUP(AU$1,main!$A$3:$H$102,4,FALSE)+VLOOKUP($A41,main!$A$3:$H$102,4,FALSE)+(VLOOKUP(VLOOKUP(AU$1,main!$A$3:$H$102,8,FALSE),main!$K$19:$O$22,MATCH(VLOOKUP($A41,main!$A$3:$H$102,7,FALSE),main!$K$18:$O$18,0),0))),0)</f>
        <v>0</v>
      </c>
      <c r="AV41">
        <f>IF((gamma!AV41),IF(VLOOKUP(AV$1,main!$A$3:$H$102,7,FALSE)=VLOOKUP($A41,main!$A$3:$H$102,8,FALSE),VLOOKUP(AV$1,main!$A$3:$H$102,4,FALSE),VLOOKUP(AV$1,main!$A$3:$H$102,4,FALSE)+VLOOKUP($A41,main!$A$3:$H$102,4,FALSE)+(VLOOKUP(VLOOKUP(AV$1,main!$A$3:$H$102,8,FALSE),main!$K$19:$O$22,MATCH(VLOOKUP($A41,main!$A$3:$H$102,7,FALSE),main!$K$18:$O$18,0),0))),0)</f>
        <v>0</v>
      </c>
      <c r="AW41">
        <f>IF((gamma!AW41),IF(VLOOKUP(AW$1,main!$A$3:$H$102,7,FALSE)=VLOOKUP($A41,main!$A$3:$H$102,8,FALSE),VLOOKUP(AW$1,main!$A$3:$H$102,4,FALSE),VLOOKUP(AW$1,main!$A$3:$H$102,4,FALSE)+VLOOKUP($A41,main!$A$3:$H$102,4,FALSE)+(VLOOKUP(VLOOKUP(AW$1,main!$A$3:$H$102,8,FALSE),main!$K$19:$O$22,MATCH(VLOOKUP($A41,main!$A$3:$H$102,7,FALSE),main!$K$18:$O$18,0),0))),0)</f>
        <v>283</v>
      </c>
      <c r="AX41">
        <f>IF((gamma!AX41),IF(VLOOKUP(AX$1,main!$A$3:$H$102,7,FALSE)=VLOOKUP($A41,main!$A$3:$H$102,8,FALSE),VLOOKUP(AX$1,main!$A$3:$H$102,4,FALSE),VLOOKUP(AX$1,main!$A$3:$H$102,4,FALSE)+VLOOKUP($A41,main!$A$3:$H$102,4,FALSE)+(VLOOKUP(VLOOKUP(AX$1,main!$A$3:$H$102,8,FALSE),main!$K$19:$O$22,MATCH(VLOOKUP($A41,main!$A$3:$H$102,7,FALSE),main!$K$18:$O$18,0),0))),0)</f>
        <v>268</v>
      </c>
      <c r="AY41">
        <f>IF((gamma!AY41),IF(VLOOKUP(AY$1,main!$A$3:$H$102,7,FALSE)=VLOOKUP($A41,main!$A$3:$H$102,8,FALSE),VLOOKUP(AY$1,main!$A$3:$H$102,4,FALSE),VLOOKUP(AY$1,main!$A$3:$H$102,4,FALSE)+VLOOKUP($A41,main!$A$3:$H$102,4,FALSE)+(VLOOKUP(VLOOKUP(AY$1,main!$A$3:$H$102,8,FALSE),main!$K$19:$O$22,MATCH(VLOOKUP($A41,main!$A$3:$H$102,7,FALSE),main!$K$18:$O$18,0),0))),0)</f>
        <v>0</v>
      </c>
      <c r="AZ41">
        <f>IF((gamma!AZ41),IF(VLOOKUP(AZ$1,main!$A$3:$H$102,7,FALSE)=VLOOKUP($A41,main!$A$3:$H$102,8,FALSE),VLOOKUP(AZ$1,main!$A$3:$H$102,4,FALSE),VLOOKUP(AZ$1,main!$A$3:$H$102,4,FALSE)+VLOOKUP($A41,main!$A$3:$H$102,4,FALSE)+(VLOOKUP(VLOOKUP(AZ$1,main!$A$3:$H$102,8,FALSE),main!$K$19:$O$22,MATCH(VLOOKUP($A41,main!$A$3:$H$102,7,FALSE),main!$K$18:$O$18,0),0))),0)</f>
        <v>298</v>
      </c>
      <c r="BA41">
        <f>IF((gamma!BA41),IF(VLOOKUP(BA$1,main!$A$3:$H$102,7,FALSE)=VLOOKUP($A41,main!$A$3:$H$102,8,FALSE),VLOOKUP(BA$1,main!$A$3:$H$102,4,FALSE),VLOOKUP(BA$1,main!$A$3:$H$102,4,FALSE)+VLOOKUP($A41,main!$A$3:$H$102,4,FALSE)+(VLOOKUP(VLOOKUP(BA$1,main!$A$3:$H$102,8,FALSE),main!$K$19:$O$22,MATCH(VLOOKUP($A41,main!$A$3:$H$102,7,FALSE),main!$K$18:$O$18,0),0))),0)</f>
        <v>0</v>
      </c>
      <c r="BB41">
        <f>IF((gamma!BB41),IF(VLOOKUP(BB$1,main!$A$3:$H$102,7,FALSE)=VLOOKUP($A41,main!$A$3:$H$102,8,FALSE),VLOOKUP(BB$1,main!$A$3:$H$102,4,FALSE),VLOOKUP(BB$1,main!$A$3:$H$102,4,FALSE)+VLOOKUP($A41,main!$A$3:$H$102,4,FALSE)+(VLOOKUP(VLOOKUP(BB$1,main!$A$3:$H$102,8,FALSE),main!$K$19:$O$22,MATCH(VLOOKUP($A41,main!$A$3:$H$102,7,FALSE),main!$K$18:$O$18,0),0))),0)</f>
        <v>300</v>
      </c>
      <c r="BC41">
        <f>IF((gamma!BC41),IF(VLOOKUP(BC$1,main!$A$3:$H$102,7,FALSE)=VLOOKUP($A41,main!$A$3:$H$102,8,FALSE),VLOOKUP(BC$1,main!$A$3:$H$102,4,FALSE),VLOOKUP(BC$1,main!$A$3:$H$102,4,FALSE)+VLOOKUP($A41,main!$A$3:$H$102,4,FALSE)+(VLOOKUP(VLOOKUP(BC$1,main!$A$3:$H$102,8,FALSE),main!$K$19:$O$22,MATCH(VLOOKUP($A41,main!$A$3:$H$102,7,FALSE),main!$K$18:$O$18,0),0))),0)</f>
        <v>300</v>
      </c>
      <c r="BD41">
        <f>IF((gamma!BD41),IF(VLOOKUP(BD$1,main!$A$3:$H$102,7,FALSE)=VLOOKUP($A41,main!$A$3:$H$102,8,FALSE),VLOOKUP(BD$1,main!$A$3:$H$102,4,FALSE),VLOOKUP(BD$1,main!$A$3:$H$102,4,FALSE)+VLOOKUP($A41,main!$A$3:$H$102,4,FALSE)+(VLOOKUP(VLOOKUP(BD$1,main!$A$3:$H$102,8,FALSE),main!$K$19:$O$22,MATCH(VLOOKUP($A41,main!$A$3:$H$102,7,FALSE),main!$K$18:$O$18,0),0))),0)</f>
        <v>300</v>
      </c>
      <c r="BE41">
        <f>IF((gamma!BE41),IF(VLOOKUP(BE$1,main!$A$3:$H$102,7,FALSE)=VLOOKUP($A41,main!$A$3:$H$102,8,FALSE),VLOOKUP(BE$1,main!$A$3:$H$102,4,FALSE),VLOOKUP(BE$1,main!$A$3:$H$102,4,FALSE)+VLOOKUP($A41,main!$A$3:$H$102,4,FALSE)+(VLOOKUP(VLOOKUP(BE$1,main!$A$3:$H$102,8,FALSE),main!$K$19:$O$22,MATCH(VLOOKUP($A41,main!$A$3:$H$102,7,FALSE),main!$K$18:$O$18,0),0))),0)</f>
        <v>300</v>
      </c>
      <c r="BF41">
        <f>IF((gamma!BF41),IF(VLOOKUP(BF$1,main!$A$3:$H$102,7,FALSE)=VLOOKUP($A41,main!$A$3:$H$102,8,FALSE),VLOOKUP(BF$1,main!$A$3:$H$102,4,FALSE),VLOOKUP(BF$1,main!$A$3:$H$102,4,FALSE)+VLOOKUP($A41,main!$A$3:$H$102,4,FALSE)+(VLOOKUP(VLOOKUP(BF$1,main!$A$3:$H$102,8,FALSE),main!$K$19:$O$22,MATCH(VLOOKUP($A41,main!$A$3:$H$102,7,FALSE),main!$K$18:$O$18,0),0))),0)</f>
        <v>0</v>
      </c>
      <c r="BG41">
        <f>IF((gamma!BG41),IF(VLOOKUP(BG$1,main!$A$3:$H$102,7,FALSE)=VLOOKUP($A41,main!$A$3:$H$102,8,FALSE),VLOOKUP(BG$1,main!$A$3:$H$102,4,FALSE),VLOOKUP(BG$1,main!$A$3:$H$102,4,FALSE)+VLOOKUP($A41,main!$A$3:$H$102,4,FALSE)+(VLOOKUP(VLOOKUP(BG$1,main!$A$3:$H$102,8,FALSE),main!$K$19:$O$22,MATCH(VLOOKUP($A41,main!$A$3:$H$102,7,FALSE),main!$K$18:$O$18,0),0))),0)</f>
        <v>275</v>
      </c>
      <c r="BH41">
        <f>IF((gamma!BH41),IF(VLOOKUP(BH$1,main!$A$3:$H$102,7,FALSE)=VLOOKUP($A41,main!$A$3:$H$102,8,FALSE),VLOOKUP(BH$1,main!$A$3:$H$102,4,FALSE),VLOOKUP(BH$1,main!$A$3:$H$102,4,FALSE)+VLOOKUP($A41,main!$A$3:$H$102,4,FALSE)+(VLOOKUP(VLOOKUP(BH$1,main!$A$3:$H$102,8,FALSE),main!$K$19:$O$22,MATCH(VLOOKUP($A41,main!$A$3:$H$102,7,FALSE),main!$K$18:$O$18,0),0))),0)</f>
        <v>285</v>
      </c>
      <c r="BI41">
        <f>IF((gamma!BI41),IF(VLOOKUP(BI$1,main!$A$3:$H$102,7,FALSE)=VLOOKUP($A41,main!$A$3:$H$102,8,FALSE),VLOOKUP(BI$1,main!$A$3:$H$102,4,FALSE),VLOOKUP(BI$1,main!$A$3:$H$102,4,FALSE)+VLOOKUP($A41,main!$A$3:$H$102,4,FALSE)+(VLOOKUP(VLOOKUP(BI$1,main!$A$3:$H$102,8,FALSE),main!$K$19:$O$22,MATCH(VLOOKUP($A41,main!$A$3:$H$102,7,FALSE),main!$K$18:$O$18,0),0))),0)</f>
        <v>220</v>
      </c>
      <c r="BJ41">
        <f>IF((gamma!BJ41),IF(VLOOKUP(BJ$1,main!$A$3:$H$102,7,FALSE)=VLOOKUP($A41,main!$A$3:$H$102,8,FALSE),VLOOKUP(BJ$1,main!$A$3:$H$102,4,FALSE),VLOOKUP(BJ$1,main!$A$3:$H$102,4,FALSE)+VLOOKUP($A41,main!$A$3:$H$102,4,FALSE)+(VLOOKUP(VLOOKUP(BJ$1,main!$A$3:$H$102,8,FALSE),main!$K$19:$O$22,MATCH(VLOOKUP($A41,main!$A$3:$H$102,7,FALSE),main!$K$18:$O$18,0),0))),0)</f>
        <v>250</v>
      </c>
      <c r="BK41">
        <f>IF((gamma!BK41),IF(VLOOKUP(BK$1,main!$A$3:$H$102,7,FALSE)=VLOOKUP($A41,main!$A$3:$H$102,8,FALSE),VLOOKUP(BK$1,main!$A$3:$H$102,4,FALSE),VLOOKUP(BK$1,main!$A$3:$H$102,4,FALSE)+VLOOKUP($A41,main!$A$3:$H$102,4,FALSE)+(VLOOKUP(VLOOKUP(BK$1,main!$A$3:$H$102,8,FALSE),main!$K$19:$O$22,MATCH(VLOOKUP($A41,main!$A$3:$H$102,7,FALSE),main!$K$18:$O$18,0),0))),0)</f>
        <v>0</v>
      </c>
      <c r="BL41">
        <f>IF((gamma!BL41),IF(VLOOKUP(BL$1,main!$A$3:$H$102,7,FALSE)=VLOOKUP($A41,main!$A$3:$H$102,8,FALSE),VLOOKUP(BL$1,main!$A$3:$H$102,4,FALSE),VLOOKUP(BL$1,main!$A$3:$H$102,4,FALSE)+VLOOKUP($A41,main!$A$3:$H$102,4,FALSE)+(VLOOKUP(VLOOKUP(BL$1,main!$A$3:$H$102,8,FALSE),main!$K$19:$O$22,MATCH(VLOOKUP($A41,main!$A$3:$H$102,7,FALSE),main!$K$18:$O$18,0),0))),0)</f>
        <v>0</v>
      </c>
      <c r="BM41">
        <f>IF((gamma!BM41),IF(VLOOKUP(BM$1,main!$A$3:$H$102,7,FALSE)=VLOOKUP($A41,main!$A$3:$H$102,8,FALSE),VLOOKUP(BM$1,main!$A$3:$H$102,4,FALSE),VLOOKUP(BM$1,main!$A$3:$H$102,4,FALSE)+VLOOKUP($A41,main!$A$3:$H$102,4,FALSE)+(VLOOKUP(VLOOKUP(BM$1,main!$A$3:$H$102,8,FALSE),main!$K$19:$O$22,MATCH(VLOOKUP($A41,main!$A$3:$H$102,7,FALSE),main!$K$18:$O$18,0),0))),0)</f>
        <v>275</v>
      </c>
      <c r="BN41">
        <f>IF((gamma!BN41),IF(VLOOKUP(BN$1,main!$A$3:$H$102,7,FALSE)=VLOOKUP($A41,main!$A$3:$H$102,8,FALSE),VLOOKUP(BN$1,main!$A$3:$H$102,4,FALSE),VLOOKUP(BN$1,main!$A$3:$H$102,4,FALSE)+VLOOKUP($A41,main!$A$3:$H$102,4,FALSE)+(VLOOKUP(VLOOKUP(BN$1,main!$A$3:$H$102,8,FALSE),main!$K$19:$O$22,MATCH(VLOOKUP($A41,main!$A$3:$H$102,7,FALSE),main!$K$18:$O$18,0),0))),0)</f>
        <v>255</v>
      </c>
      <c r="BO41">
        <f>IF((gamma!BO41),IF(VLOOKUP(BO$1,main!$A$3:$H$102,7,FALSE)=VLOOKUP($A41,main!$A$3:$H$102,8,FALSE),VLOOKUP(BO$1,main!$A$3:$H$102,4,FALSE),VLOOKUP(BO$1,main!$A$3:$H$102,4,FALSE)+VLOOKUP($A41,main!$A$3:$H$102,4,FALSE)+(VLOOKUP(VLOOKUP(BO$1,main!$A$3:$H$102,8,FALSE),main!$K$19:$O$22,MATCH(VLOOKUP($A41,main!$A$3:$H$102,7,FALSE),main!$K$18:$O$18,0),0))),0)</f>
        <v>0</v>
      </c>
      <c r="BP41">
        <f>IF((gamma!BP41),IF(VLOOKUP(BP$1,main!$A$3:$H$102,7,FALSE)=VLOOKUP($A41,main!$A$3:$H$102,8,FALSE),VLOOKUP(BP$1,main!$A$3:$H$102,4,FALSE),VLOOKUP(BP$1,main!$A$3:$H$102,4,FALSE)+VLOOKUP($A41,main!$A$3:$H$102,4,FALSE)+(VLOOKUP(VLOOKUP(BP$1,main!$A$3:$H$102,8,FALSE),main!$K$19:$O$22,MATCH(VLOOKUP($A41,main!$A$3:$H$102,7,FALSE),main!$K$18:$O$18,0),0))),0)</f>
        <v>0</v>
      </c>
      <c r="BQ41">
        <f>IF((gamma!BQ41),IF(VLOOKUP(BQ$1,main!$A$3:$H$102,7,FALSE)=VLOOKUP($A41,main!$A$3:$H$102,8,FALSE),VLOOKUP(BQ$1,main!$A$3:$H$102,4,FALSE),VLOOKUP(BQ$1,main!$A$3:$H$102,4,FALSE)+VLOOKUP($A41,main!$A$3:$H$102,4,FALSE)+(VLOOKUP(VLOOKUP(BQ$1,main!$A$3:$H$102,8,FALSE),main!$K$19:$O$22,MATCH(VLOOKUP($A41,main!$A$3:$H$102,7,FALSE),main!$K$18:$O$18,0),0))),0)</f>
        <v>275</v>
      </c>
      <c r="BR41">
        <f>IF((gamma!BR41),IF(VLOOKUP(BR$1,main!$A$3:$H$102,7,FALSE)=VLOOKUP($A41,main!$A$3:$H$102,8,FALSE),VLOOKUP(BR$1,main!$A$3:$H$102,4,FALSE),VLOOKUP(BR$1,main!$A$3:$H$102,4,FALSE)+VLOOKUP($A41,main!$A$3:$H$102,4,FALSE)+(VLOOKUP(VLOOKUP(BR$1,main!$A$3:$H$102,8,FALSE),main!$K$19:$O$22,MATCH(VLOOKUP($A41,main!$A$3:$H$102,7,FALSE),main!$K$18:$O$18,0),0))),0)</f>
        <v>235</v>
      </c>
      <c r="BS41">
        <f>IF((gamma!BS41),IF(VLOOKUP(BS$1,main!$A$3:$H$102,7,FALSE)=VLOOKUP($A41,main!$A$3:$H$102,8,FALSE),VLOOKUP(BS$1,main!$A$3:$H$102,4,FALSE),VLOOKUP(BS$1,main!$A$3:$H$102,4,FALSE)+VLOOKUP($A41,main!$A$3:$H$102,4,FALSE)+(VLOOKUP(VLOOKUP(BS$1,main!$A$3:$H$102,8,FALSE),main!$K$19:$O$22,MATCH(VLOOKUP($A41,main!$A$3:$H$102,7,FALSE),main!$K$18:$O$18,0),0))),0)</f>
        <v>236</v>
      </c>
      <c r="BT41">
        <f>IF((gamma!BT41),IF(VLOOKUP(BT$1,main!$A$3:$H$102,7,FALSE)=VLOOKUP($A41,main!$A$3:$H$102,8,FALSE),VLOOKUP(BT$1,main!$A$3:$H$102,4,FALSE),VLOOKUP(BT$1,main!$A$3:$H$102,4,FALSE)+VLOOKUP($A41,main!$A$3:$H$102,4,FALSE)+(VLOOKUP(VLOOKUP(BT$1,main!$A$3:$H$102,8,FALSE),main!$K$19:$O$22,MATCH(VLOOKUP($A41,main!$A$3:$H$102,7,FALSE),main!$K$18:$O$18,0),0))),0)</f>
        <v>255</v>
      </c>
      <c r="BU41">
        <f>IF((gamma!BU41),IF(VLOOKUP(BU$1,main!$A$3:$H$102,7,FALSE)=VLOOKUP($A41,main!$A$3:$H$102,8,FALSE),VLOOKUP(BU$1,main!$A$3:$H$102,4,FALSE),VLOOKUP(BU$1,main!$A$3:$H$102,4,FALSE)+VLOOKUP($A41,main!$A$3:$H$102,4,FALSE)+(VLOOKUP(VLOOKUP(BU$1,main!$A$3:$H$102,8,FALSE),main!$K$19:$O$22,MATCH(VLOOKUP($A41,main!$A$3:$H$102,7,FALSE),main!$K$18:$O$18,0),0))),0)</f>
        <v>0</v>
      </c>
      <c r="BV41">
        <f>IF((gamma!BV41),IF(VLOOKUP(BV$1,main!$A$3:$H$102,7,FALSE)=VLOOKUP($A41,main!$A$3:$H$102,8,FALSE),VLOOKUP(BV$1,main!$A$3:$H$102,4,FALSE),VLOOKUP(BV$1,main!$A$3:$H$102,4,FALSE)+VLOOKUP($A41,main!$A$3:$H$102,4,FALSE)+(VLOOKUP(VLOOKUP(BV$1,main!$A$3:$H$102,8,FALSE),main!$K$19:$O$22,MATCH(VLOOKUP($A41,main!$A$3:$H$102,7,FALSE),main!$K$18:$O$18,0),0))),0)</f>
        <v>0</v>
      </c>
      <c r="BW41">
        <f>IF((gamma!BW41),IF(VLOOKUP(BW$1,main!$A$3:$H$102,7,FALSE)=VLOOKUP($A41,main!$A$3:$H$102,8,FALSE),VLOOKUP(BW$1,main!$A$3:$H$102,4,FALSE),VLOOKUP(BW$1,main!$A$3:$H$102,4,FALSE)+VLOOKUP($A41,main!$A$3:$H$102,4,FALSE)+(VLOOKUP(VLOOKUP(BW$1,main!$A$3:$H$102,8,FALSE),main!$K$19:$O$22,MATCH(VLOOKUP($A41,main!$A$3:$H$102,7,FALSE),main!$K$18:$O$18,0),0))),0)</f>
        <v>0</v>
      </c>
      <c r="BX41">
        <f>IF((gamma!BX41),IF(VLOOKUP(BX$1,main!$A$3:$H$102,7,FALSE)=VLOOKUP($A41,main!$A$3:$H$102,8,FALSE),VLOOKUP(BX$1,main!$A$3:$H$102,4,FALSE),VLOOKUP(BX$1,main!$A$3:$H$102,4,FALSE)+VLOOKUP($A41,main!$A$3:$H$102,4,FALSE)+(VLOOKUP(VLOOKUP(BX$1,main!$A$3:$H$102,8,FALSE),main!$K$19:$O$22,MATCH(VLOOKUP($A41,main!$A$3:$H$102,7,FALSE),main!$K$18:$O$18,0),0))),0)</f>
        <v>310</v>
      </c>
      <c r="BY41">
        <f>IF((gamma!BY41),IF(VLOOKUP(BY$1,main!$A$3:$H$102,7,FALSE)=VLOOKUP($A41,main!$A$3:$H$102,8,FALSE),VLOOKUP(BY$1,main!$A$3:$H$102,4,FALSE),VLOOKUP(BY$1,main!$A$3:$H$102,4,FALSE)+VLOOKUP($A41,main!$A$3:$H$102,4,FALSE)+(VLOOKUP(VLOOKUP(BY$1,main!$A$3:$H$102,8,FALSE),main!$K$19:$O$22,MATCH(VLOOKUP($A41,main!$A$3:$H$102,7,FALSE),main!$K$18:$O$18,0),0))),0)</f>
        <v>295</v>
      </c>
      <c r="BZ41">
        <f>IF((gamma!BZ41),IF(VLOOKUP(BZ$1,main!$A$3:$H$102,7,FALSE)=VLOOKUP($A41,main!$A$3:$H$102,8,FALSE),VLOOKUP(BZ$1,main!$A$3:$H$102,4,FALSE),VLOOKUP(BZ$1,main!$A$3:$H$102,4,FALSE)+VLOOKUP($A41,main!$A$3:$H$102,4,FALSE)+(VLOOKUP(VLOOKUP(BZ$1,main!$A$3:$H$102,8,FALSE),main!$K$19:$O$22,MATCH(VLOOKUP($A41,main!$A$3:$H$102,7,FALSE),main!$K$18:$O$18,0),0))),0)</f>
        <v>0</v>
      </c>
      <c r="CA41">
        <f>IF((gamma!CA41),IF(VLOOKUP(CA$1,main!$A$3:$H$102,7,FALSE)=VLOOKUP($A41,main!$A$3:$H$102,8,FALSE),VLOOKUP(CA$1,main!$A$3:$H$102,4,FALSE),VLOOKUP(CA$1,main!$A$3:$H$102,4,FALSE)+VLOOKUP($A41,main!$A$3:$H$102,4,FALSE)+(VLOOKUP(VLOOKUP(CA$1,main!$A$3:$H$102,8,FALSE),main!$K$19:$O$22,MATCH(VLOOKUP($A41,main!$A$3:$H$102,7,FALSE),main!$K$18:$O$18,0),0))),0)</f>
        <v>0</v>
      </c>
      <c r="CB41">
        <f>IF((gamma!CB41),IF(VLOOKUP(CB$1,main!$A$3:$H$102,7,FALSE)=VLOOKUP($A41,main!$A$3:$H$102,8,FALSE),VLOOKUP(CB$1,main!$A$3:$H$102,4,FALSE),VLOOKUP(CB$1,main!$A$3:$H$102,4,FALSE)+VLOOKUP($A41,main!$A$3:$H$102,4,FALSE)+(VLOOKUP(VLOOKUP(CB$1,main!$A$3:$H$102,8,FALSE),main!$K$19:$O$22,MATCH(VLOOKUP($A41,main!$A$3:$H$102,7,FALSE),main!$K$18:$O$18,0),0))),0)</f>
        <v>240</v>
      </c>
      <c r="CC41">
        <f>IF((gamma!CC41),IF(VLOOKUP(CC$1,main!$A$3:$H$102,7,FALSE)=VLOOKUP($A41,main!$A$3:$H$102,8,FALSE),VLOOKUP(CC$1,main!$A$3:$H$102,4,FALSE),VLOOKUP(CC$1,main!$A$3:$H$102,4,FALSE)+VLOOKUP($A41,main!$A$3:$H$102,4,FALSE)+(VLOOKUP(VLOOKUP(CC$1,main!$A$3:$H$102,8,FALSE),main!$K$19:$O$22,MATCH(VLOOKUP($A41,main!$A$3:$H$102,7,FALSE),main!$K$18:$O$18,0),0))),0)</f>
        <v>230</v>
      </c>
      <c r="CD41">
        <f>IF((gamma!CD41),IF(VLOOKUP(CD$1,main!$A$3:$H$102,7,FALSE)=VLOOKUP($A41,main!$A$3:$H$102,8,FALSE),VLOOKUP(CD$1,main!$A$3:$H$102,4,FALSE),VLOOKUP(CD$1,main!$A$3:$H$102,4,FALSE)+VLOOKUP($A41,main!$A$3:$H$102,4,FALSE)+(VLOOKUP(VLOOKUP(CD$1,main!$A$3:$H$102,8,FALSE),main!$K$19:$O$22,MATCH(VLOOKUP($A41,main!$A$3:$H$102,7,FALSE),main!$K$18:$O$18,0),0))),0)</f>
        <v>289</v>
      </c>
      <c r="CE41">
        <f>IF((gamma!CE41),IF(VLOOKUP(CE$1,main!$A$3:$H$102,7,FALSE)=VLOOKUP($A41,main!$A$3:$H$102,8,FALSE),VLOOKUP(CE$1,main!$A$3:$H$102,4,FALSE),VLOOKUP(CE$1,main!$A$3:$H$102,4,FALSE)+VLOOKUP($A41,main!$A$3:$H$102,4,FALSE)+(VLOOKUP(VLOOKUP(CE$1,main!$A$3:$H$102,8,FALSE),main!$K$19:$O$22,MATCH(VLOOKUP($A41,main!$A$3:$H$102,7,FALSE),main!$K$18:$O$18,0),0))),0)</f>
        <v>300</v>
      </c>
      <c r="CF41">
        <f>IF((gamma!CF41),IF(VLOOKUP(CF$1,main!$A$3:$H$102,7,FALSE)=VLOOKUP($A41,main!$A$3:$H$102,8,FALSE),VLOOKUP(CF$1,main!$A$3:$H$102,4,FALSE),VLOOKUP(CF$1,main!$A$3:$H$102,4,FALSE)+VLOOKUP($A41,main!$A$3:$H$102,4,FALSE)+(VLOOKUP(VLOOKUP(CF$1,main!$A$3:$H$102,8,FALSE),main!$K$19:$O$22,MATCH(VLOOKUP($A41,main!$A$3:$H$102,7,FALSE),main!$K$18:$O$18,0),0))),0)</f>
        <v>295</v>
      </c>
      <c r="CG41">
        <f>IF((gamma!CG41),IF(VLOOKUP(CG$1,main!$A$3:$H$102,7,FALSE)=VLOOKUP($A41,main!$A$3:$H$102,8,FALSE),VLOOKUP(CG$1,main!$A$3:$H$102,4,FALSE),VLOOKUP(CG$1,main!$A$3:$H$102,4,FALSE)+VLOOKUP($A41,main!$A$3:$H$102,4,FALSE)+(VLOOKUP(VLOOKUP(CG$1,main!$A$3:$H$102,8,FALSE),main!$K$19:$O$22,MATCH(VLOOKUP($A41,main!$A$3:$H$102,7,FALSE),main!$K$18:$O$18,0),0))),0)</f>
        <v>300</v>
      </c>
      <c r="CH41">
        <f>IF((gamma!CH41),IF(VLOOKUP(CH$1,main!$A$3:$H$102,7,FALSE)=VLOOKUP($A41,main!$A$3:$H$102,8,FALSE),VLOOKUP(CH$1,main!$A$3:$H$102,4,FALSE),VLOOKUP(CH$1,main!$A$3:$H$102,4,FALSE)+VLOOKUP($A41,main!$A$3:$H$102,4,FALSE)+(VLOOKUP(VLOOKUP(CH$1,main!$A$3:$H$102,8,FALSE),main!$K$19:$O$22,MATCH(VLOOKUP($A41,main!$A$3:$H$102,7,FALSE),main!$K$18:$O$18,0),0))),0)</f>
        <v>300</v>
      </c>
      <c r="CI41">
        <f>IF((gamma!CI41),IF(VLOOKUP(CI$1,main!$A$3:$H$102,7,FALSE)=VLOOKUP($A41,main!$A$3:$H$102,8,FALSE),VLOOKUP(CI$1,main!$A$3:$H$102,4,FALSE),VLOOKUP(CI$1,main!$A$3:$H$102,4,FALSE)+VLOOKUP($A41,main!$A$3:$H$102,4,FALSE)+(VLOOKUP(VLOOKUP(CI$1,main!$A$3:$H$102,8,FALSE),main!$K$19:$O$22,MATCH(VLOOKUP($A41,main!$A$3:$H$102,7,FALSE),main!$K$18:$O$18,0),0))),0)</f>
        <v>300</v>
      </c>
      <c r="CJ41">
        <f>IF((gamma!CJ41),IF(VLOOKUP(CJ$1,main!$A$3:$H$102,7,FALSE)=VLOOKUP($A41,main!$A$3:$H$102,8,FALSE),VLOOKUP(CJ$1,main!$A$3:$H$102,4,FALSE),VLOOKUP(CJ$1,main!$A$3:$H$102,4,FALSE)+VLOOKUP($A41,main!$A$3:$H$102,4,FALSE)+(VLOOKUP(VLOOKUP(CJ$1,main!$A$3:$H$102,8,FALSE),main!$K$19:$O$22,MATCH(VLOOKUP($A41,main!$A$3:$H$102,7,FALSE),main!$K$18:$O$18,0),0))),0)</f>
        <v>228</v>
      </c>
      <c r="CK41">
        <f>IF((gamma!CK41),IF(VLOOKUP(CK$1,main!$A$3:$H$102,7,FALSE)=VLOOKUP($A41,main!$A$3:$H$102,8,FALSE),VLOOKUP(CK$1,main!$A$3:$H$102,4,FALSE),VLOOKUP(CK$1,main!$A$3:$H$102,4,FALSE)+VLOOKUP($A41,main!$A$3:$H$102,4,FALSE)+(VLOOKUP(VLOOKUP(CK$1,main!$A$3:$H$102,8,FALSE),main!$K$19:$O$22,MATCH(VLOOKUP($A41,main!$A$3:$H$102,7,FALSE),main!$K$18:$O$18,0),0))),0)</f>
        <v>235</v>
      </c>
      <c r="CL41">
        <f>IF((gamma!CL41),IF(VLOOKUP(CL$1,main!$A$3:$H$102,7,FALSE)=VLOOKUP($A41,main!$A$3:$H$102,8,FALSE),VLOOKUP(CL$1,main!$A$3:$H$102,4,FALSE),VLOOKUP(CL$1,main!$A$3:$H$102,4,FALSE)+VLOOKUP($A41,main!$A$3:$H$102,4,FALSE)+(VLOOKUP(VLOOKUP(CL$1,main!$A$3:$H$102,8,FALSE),main!$K$19:$O$22,MATCH(VLOOKUP($A41,main!$A$3:$H$102,7,FALSE),main!$K$18:$O$18,0),0))),0)</f>
        <v>240</v>
      </c>
      <c r="CM41">
        <f>IF((gamma!CM41),IF(VLOOKUP(CM$1,main!$A$3:$H$102,7,FALSE)=VLOOKUP($A41,main!$A$3:$H$102,8,FALSE),VLOOKUP(CM$1,main!$A$3:$H$102,4,FALSE),VLOOKUP(CM$1,main!$A$3:$H$102,4,FALSE)+VLOOKUP($A41,main!$A$3:$H$102,4,FALSE)+(VLOOKUP(VLOOKUP(CM$1,main!$A$3:$H$102,8,FALSE),main!$K$19:$O$22,MATCH(VLOOKUP($A41,main!$A$3:$H$102,7,FALSE),main!$K$18:$O$18,0),0))),0)</f>
        <v>260</v>
      </c>
      <c r="CN41">
        <f>IF((gamma!CN41),IF(VLOOKUP(CN$1,main!$A$3:$H$102,7,FALSE)=VLOOKUP($A41,main!$A$3:$H$102,8,FALSE),VLOOKUP(CN$1,main!$A$3:$H$102,4,FALSE),VLOOKUP(CN$1,main!$A$3:$H$102,4,FALSE)+VLOOKUP($A41,main!$A$3:$H$102,4,FALSE)+(VLOOKUP(VLOOKUP(CN$1,main!$A$3:$H$102,8,FALSE),main!$K$19:$O$22,MATCH(VLOOKUP($A41,main!$A$3:$H$102,7,FALSE),main!$K$18:$O$18,0),0))),0)</f>
        <v>256</v>
      </c>
      <c r="CO41">
        <f>IF((gamma!CO41),IF(VLOOKUP(CO$1,main!$A$3:$H$102,7,FALSE)=VLOOKUP($A41,main!$A$3:$H$102,8,FALSE),VLOOKUP(CO$1,main!$A$3:$H$102,4,FALSE),VLOOKUP(CO$1,main!$A$3:$H$102,4,FALSE)+VLOOKUP($A41,main!$A$3:$H$102,4,FALSE)+(VLOOKUP(VLOOKUP(CO$1,main!$A$3:$H$102,8,FALSE),main!$K$19:$O$22,MATCH(VLOOKUP($A41,main!$A$3:$H$102,7,FALSE),main!$K$18:$O$18,0),0))),0)</f>
        <v>0</v>
      </c>
      <c r="CP41">
        <f>IF((gamma!CP41),IF(VLOOKUP(CP$1,main!$A$3:$H$102,7,FALSE)=VLOOKUP($A41,main!$A$3:$H$102,8,FALSE),VLOOKUP(CP$1,main!$A$3:$H$102,4,FALSE),VLOOKUP(CP$1,main!$A$3:$H$102,4,FALSE)+VLOOKUP($A41,main!$A$3:$H$102,4,FALSE)+(VLOOKUP(VLOOKUP(CP$1,main!$A$3:$H$102,8,FALSE),main!$K$19:$O$22,MATCH(VLOOKUP($A41,main!$A$3:$H$102,7,FALSE),main!$K$18:$O$18,0),0))),0)</f>
        <v>283</v>
      </c>
      <c r="CQ41">
        <f>IF((gamma!CQ41),IF(VLOOKUP(CQ$1,main!$A$3:$H$102,7,FALSE)=VLOOKUP($A41,main!$A$3:$H$102,8,FALSE),VLOOKUP(CQ$1,main!$A$3:$H$102,4,FALSE),VLOOKUP(CQ$1,main!$A$3:$H$102,4,FALSE)+VLOOKUP($A41,main!$A$3:$H$102,4,FALSE)+(VLOOKUP(VLOOKUP(CQ$1,main!$A$3:$H$102,8,FALSE),main!$K$19:$O$22,MATCH(VLOOKUP($A41,main!$A$3:$H$102,7,FALSE),main!$K$18:$O$18,0),0))),0)</f>
        <v>283</v>
      </c>
      <c r="CR41">
        <f>IF((gamma!CR41),IF(VLOOKUP(CR$1,main!$A$3:$H$102,7,FALSE)=VLOOKUP($A41,main!$A$3:$H$102,8,FALSE),VLOOKUP(CR$1,main!$A$3:$H$102,4,FALSE),VLOOKUP(CR$1,main!$A$3:$H$102,4,FALSE)+VLOOKUP($A41,main!$A$3:$H$102,4,FALSE)+(VLOOKUP(VLOOKUP(CR$1,main!$A$3:$H$102,8,FALSE),main!$K$19:$O$22,MATCH(VLOOKUP($A41,main!$A$3:$H$102,7,FALSE),main!$K$18:$O$18,0),0))),0)</f>
        <v>298</v>
      </c>
      <c r="CS41">
        <f>IF((gamma!CS41),IF(VLOOKUP(CS$1,main!$A$3:$H$102,7,FALSE)=VLOOKUP($A41,main!$A$3:$H$102,8,FALSE),VLOOKUP(CS$1,main!$A$3:$H$102,4,FALSE),VLOOKUP(CS$1,main!$A$3:$H$102,4,FALSE)+VLOOKUP($A41,main!$A$3:$H$102,4,FALSE)+(VLOOKUP(VLOOKUP(CS$1,main!$A$3:$H$102,8,FALSE),main!$K$19:$O$22,MATCH(VLOOKUP($A41,main!$A$3:$H$102,7,FALSE),main!$K$18:$O$18,0),0))),0)</f>
        <v>298</v>
      </c>
      <c r="CT41">
        <f>IF((gamma!CT41),IF(VLOOKUP(CT$1,main!$A$3:$H$102,7,FALSE)=VLOOKUP($A41,main!$A$3:$H$102,8,FALSE),VLOOKUP(CT$1,main!$A$3:$H$102,4,FALSE),VLOOKUP(CT$1,main!$A$3:$H$102,4,FALSE)+VLOOKUP($A41,main!$A$3:$H$102,4,FALSE)+(VLOOKUP(VLOOKUP(CT$1,main!$A$3:$H$102,8,FALSE),main!$K$19:$O$22,MATCH(VLOOKUP($A41,main!$A$3:$H$102,7,FALSE),main!$K$18:$O$18,0),0))),0)</f>
        <v>0</v>
      </c>
      <c r="CU41">
        <f>IF((gamma!CU41),IF(VLOOKUP(CU$1,main!$A$3:$H$102,7,FALSE)=VLOOKUP($A41,main!$A$3:$H$102,8,FALSE),VLOOKUP(CU$1,main!$A$3:$H$102,4,FALSE),VLOOKUP(CU$1,main!$A$3:$H$102,4,FALSE)+VLOOKUP($A41,main!$A$3:$H$102,4,FALSE)+(VLOOKUP(VLOOKUP(CU$1,main!$A$3:$H$102,8,FALSE),main!$K$19:$O$22,MATCH(VLOOKUP($A41,main!$A$3:$H$102,7,FALSE),main!$K$18:$O$18,0),0))),0)</f>
        <v>0</v>
      </c>
      <c r="CV41">
        <f>IF((gamma!CV41),IF(VLOOKUP(CV$1,main!$A$3:$H$102,7,FALSE)=VLOOKUP($A41,main!$A$3:$H$102,8,FALSE),VLOOKUP(CV$1,main!$A$3:$H$102,4,FALSE),VLOOKUP(CV$1,main!$A$3:$H$102,4,FALSE)+VLOOKUP($A41,main!$A$3:$H$102,4,FALSE)+(VLOOKUP(VLOOKUP(CV$1,main!$A$3:$H$102,8,FALSE),main!$K$19:$O$22,MATCH(VLOOKUP($A41,main!$A$3:$H$102,7,FALSE),main!$K$18:$O$18,0),0))),0)</f>
        <v>243</v>
      </c>
      <c r="CW41">
        <f>IF((gamma!CW41),IF(VLOOKUP(CW$1,main!$A$3:$H$102,7,FALSE)=VLOOKUP($A41,main!$A$3:$H$102,8,FALSE),VLOOKUP(CW$1,main!$A$3:$H$102,4,FALSE),VLOOKUP(CW$1,main!$A$3:$H$102,4,FALSE)+VLOOKUP($A41,main!$A$3:$H$102,4,FALSE)+(VLOOKUP(VLOOKUP(CW$1,main!$A$3:$H$102,8,FALSE),main!$K$19:$O$22,MATCH(VLOOKUP($A41,main!$A$3:$H$102,7,FALSE),main!$K$18:$O$18,0),0))),0)</f>
        <v>258</v>
      </c>
      <c r="CX41">
        <f>IF((gamma!CX41),IF(VLOOKUP(CX$1,main!$A$3:$H$102,7,FALSE)=VLOOKUP($A41,main!$A$3:$H$102,8,FALSE),VLOOKUP(CX$1,main!$A$3:$H$102,4,FALSE),VLOOKUP(CX$1,main!$A$3:$H$102,4,FALSE)+VLOOKUP($A41,main!$A$3:$H$102,4,FALSE)+(VLOOKUP(VLOOKUP(CX$1,main!$A$3:$H$102,8,FALSE),main!$K$19:$O$22,MATCH(VLOOKUP($A41,main!$A$3:$H$102,7,FALSE),main!$K$18:$O$18,0),0))),0)</f>
        <v>248</v>
      </c>
      <c r="CY41">
        <v>0</v>
      </c>
      <c r="CZ41">
        <v>0</v>
      </c>
      <c r="DA41">
        <v>0</v>
      </c>
    </row>
    <row r="42" spans="1:105" x14ac:dyDescent="0.25">
      <c r="A42" s="1">
        <v>40</v>
      </c>
      <c r="B42">
        <v>0</v>
      </c>
      <c r="C42">
        <f>IF((gamma!C42),IF(VLOOKUP(C$1,main!$A$3:$H$102,7,FALSE)=VLOOKUP($A42,main!$A$3:$H$102,8,FALSE),VLOOKUP(C$1,main!$A$3:$H$102,4,FALSE),VLOOKUP(C$1,main!$A$3:$H$102,4,FALSE)+VLOOKUP($A42,main!$A$3:$H$102,4,FALSE)+(VLOOKUP(VLOOKUP(C$1,main!$A$3:$H$102,8,FALSE),main!$K$19:$O$22,MATCH(VLOOKUP($A42,main!$A$3:$H$102,7,FALSE),main!$K$18:$O$18,0),0))),0)</f>
        <v>0</v>
      </c>
      <c r="D42">
        <f>IF((gamma!D42),IF(VLOOKUP(D$1,main!$A$3:$H$102,7,FALSE)=VLOOKUP($A42,main!$A$3:$H$102,8,FALSE),VLOOKUP(D$1,main!$A$3:$H$102,4,FALSE),VLOOKUP(D$1,main!$A$3:$H$102,4,FALSE)+VLOOKUP($A42,main!$A$3:$H$102,4,FALSE)+(VLOOKUP(VLOOKUP(D$1,main!$A$3:$H$102,8,FALSE),main!$K$19:$O$22,MATCH(VLOOKUP($A42,main!$A$3:$H$102,7,FALSE),main!$K$18:$O$18,0),0))),0)</f>
        <v>0</v>
      </c>
      <c r="E42">
        <f>IF((gamma!E42),IF(VLOOKUP(E$1,main!$A$3:$H$102,7,FALSE)=VLOOKUP($A42,main!$A$3:$H$102,8,FALSE),VLOOKUP(E$1,main!$A$3:$H$102,4,FALSE),VLOOKUP(E$1,main!$A$3:$H$102,4,FALSE)+VLOOKUP($A42,main!$A$3:$H$102,4,FALSE)+(VLOOKUP(VLOOKUP(E$1,main!$A$3:$H$102,8,FALSE),main!$K$19:$O$22,MATCH(VLOOKUP($A42,main!$A$3:$H$102,7,FALSE),main!$K$18:$O$18,0),0))),0)</f>
        <v>0</v>
      </c>
      <c r="F42">
        <f>IF((gamma!F42),IF(VLOOKUP(F$1,main!$A$3:$H$102,7,FALSE)=VLOOKUP($A42,main!$A$3:$H$102,8,FALSE),VLOOKUP(F$1,main!$A$3:$H$102,4,FALSE),VLOOKUP(F$1,main!$A$3:$H$102,4,FALSE)+VLOOKUP($A42,main!$A$3:$H$102,4,FALSE)+(VLOOKUP(VLOOKUP(F$1,main!$A$3:$H$102,8,FALSE),main!$K$19:$O$22,MATCH(VLOOKUP($A42,main!$A$3:$H$102,7,FALSE),main!$K$18:$O$18,0),0))),0)</f>
        <v>0</v>
      </c>
      <c r="G42">
        <f>IF((gamma!G42),IF(VLOOKUP(G$1,main!$A$3:$H$102,7,FALSE)=VLOOKUP($A42,main!$A$3:$H$102,8,FALSE),VLOOKUP(G$1,main!$A$3:$H$102,4,FALSE),VLOOKUP(G$1,main!$A$3:$H$102,4,FALSE)+VLOOKUP($A42,main!$A$3:$H$102,4,FALSE)+(VLOOKUP(VLOOKUP(G$1,main!$A$3:$H$102,8,FALSE),main!$K$19:$O$22,MATCH(VLOOKUP($A42,main!$A$3:$H$102,7,FALSE),main!$K$18:$O$18,0),0))),0)</f>
        <v>0</v>
      </c>
      <c r="H42">
        <f>IF((gamma!H42),IF(VLOOKUP(H$1,main!$A$3:$H$102,7,FALSE)=VLOOKUP($A42,main!$A$3:$H$102,8,FALSE),VLOOKUP(H$1,main!$A$3:$H$102,4,FALSE),VLOOKUP(H$1,main!$A$3:$H$102,4,FALSE)+VLOOKUP($A42,main!$A$3:$H$102,4,FALSE)+(VLOOKUP(VLOOKUP(H$1,main!$A$3:$H$102,8,FALSE),main!$K$19:$O$22,MATCH(VLOOKUP($A42,main!$A$3:$H$102,7,FALSE),main!$K$18:$O$18,0),0))),0)</f>
        <v>0</v>
      </c>
      <c r="I42">
        <f>IF((gamma!I42),IF(VLOOKUP(I$1,main!$A$3:$H$102,7,FALSE)=VLOOKUP($A42,main!$A$3:$H$102,8,FALSE),VLOOKUP(I$1,main!$A$3:$H$102,4,FALSE),VLOOKUP(I$1,main!$A$3:$H$102,4,FALSE)+VLOOKUP($A42,main!$A$3:$H$102,4,FALSE)+(VLOOKUP(VLOOKUP(I$1,main!$A$3:$H$102,8,FALSE),main!$K$19:$O$22,MATCH(VLOOKUP($A42,main!$A$3:$H$102,7,FALSE),main!$K$18:$O$18,0),0))),0)</f>
        <v>0</v>
      </c>
      <c r="J42">
        <f>IF((gamma!J42),IF(VLOOKUP(J$1,main!$A$3:$H$102,7,FALSE)=VLOOKUP($A42,main!$A$3:$H$102,8,FALSE),VLOOKUP(J$1,main!$A$3:$H$102,4,FALSE),VLOOKUP(J$1,main!$A$3:$H$102,4,FALSE)+VLOOKUP($A42,main!$A$3:$H$102,4,FALSE)+(VLOOKUP(VLOOKUP(J$1,main!$A$3:$H$102,8,FALSE),main!$K$19:$O$22,MATCH(VLOOKUP($A42,main!$A$3:$H$102,7,FALSE),main!$K$18:$O$18,0),0))),0)</f>
        <v>0</v>
      </c>
      <c r="K42">
        <f>IF((gamma!K42),IF(VLOOKUP(K$1,main!$A$3:$H$102,7,FALSE)=VLOOKUP($A42,main!$A$3:$H$102,8,FALSE),VLOOKUP(K$1,main!$A$3:$H$102,4,FALSE),VLOOKUP(K$1,main!$A$3:$H$102,4,FALSE)+VLOOKUP($A42,main!$A$3:$H$102,4,FALSE)+(VLOOKUP(VLOOKUP(K$1,main!$A$3:$H$102,8,FALSE),main!$K$19:$O$22,MATCH(VLOOKUP($A42,main!$A$3:$H$102,7,FALSE),main!$K$18:$O$18,0),0))),0)</f>
        <v>0</v>
      </c>
      <c r="L42">
        <f>IF((gamma!L42),IF(VLOOKUP(L$1,main!$A$3:$H$102,7,FALSE)=VLOOKUP($A42,main!$A$3:$H$102,8,FALSE),VLOOKUP(L$1,main!$A$3:$H$102,4,FALSE),VLOOKUP(L$1,main!$A$3:$H$102,4,FALSE)+VLOOKUP($A42,main!$A$3:$H$102,4,FALSE)+(VLOOKUP(VLOOKUP(L$1,main!$A$3:$H$102,8,FALSE),main!$K$19:$O$22,MATCH(VLOOKUP($A42,main!$A$3:$H$102,7,FALSE),main!$K$18:$O$18,0),0))),0)</f>
        <v>0</v>
      </c>
      <c r="M42">
        <f>IF((gamma!M42),IF(VLOOKUP(M$1,main!$A$3:$H$102,7,FALSE)=VLOOKUP($A42,main!$A$3:$H$102,8,FALSE),VLOOKUP(M$1,main!$A$3:$H$102,4,FALSE),VLOOKUP(M$1,main!$A$3:$H$102,4,FALSE)+VLOOKUP($A42,main!$A$3:$H$102,4,FALSE)+(VLOOKUP(VLOOKUP(M$1,main!$A$3:$H$102,8,FALSE),main!$K$19:$O$22,MATCH(VLOOKUP($A42,main!$A$3:$H$102,7,FALSE),main!$K$18:$O$18,0),0))),0)</f>
        <v>0</v>
      </c>
      <c r="N42">
        <f>IF((gamma!N42),IF(VLOOKUP(N$1,main!$A$3:$H$102,7,FALSE)=VLOOKUP($A42,main!$A$3:$H$102,8,FALSE),VLOOKUP(N$1,main!$A$3:$H$102,4,FALSE),VLOOKUP(N$1,main!$A$3:$H$102,4,FALSE)+VLOOKUP($A42,main!$A$3:$H$102,4,FALSE)+(VLOOKUP(VLOOKUP(N$1,main!$A$3:$H$102,8,FALSE),main!$K$19:$O$22,MATCH(VLOOKUP($A42,main!$A$3:$H$102,7,FALSE),main!$K$18:$O$18,0),0))),0)</f>
        <v>0</v>
      </c>
      <c r="O42">
        <f>IF((gamma!O42),IF(VLOOKUP(O$1,main!$A$3:$H$102,7,FALSE)=VLOOKUP($A42,main!$A$3:$H$102,8,FALSE),VLOOKUP(O$1,main!$A$3:$H$102,4,FALSE),VLOOKUP(O$1,main!$A$3:$H$102,4,FALSE)+VLOOKUP($A42,main!$A$3:$H$102,4,FALSE)+(VLOOKUP(VLOOKUP(O$1,main!$A$3:$H$102,8,FALSE),main!$K$19:$O$22,MATCH(VLOOKUP($A42,main!$A$3:$H$102,7,FALSE),main!$K$18:$O$18,0),0))),0)</f>
        <v>0</v>
      </c>
      <c r="P42">
        <f>IF((gamma!P42),IF(VLOOKUP(P$1,main!$A$3:$H$102,7,FALSE)=VLOOKUP($A42,main!$A$3:$H$102,8,FALSE),VLOOKUP(P$1,main!$A$3:$H$102,4,FALSE),VLOOKUP(P$1,main!$A$3:$H$102,4,FALSE)+VLOOKUP($A42,main!$A$3:$H$102,4,FALSE)+(VLOOKUP(VLOOKUP(P$1,main!$A$3:$H$102,8,FALSE),main!$K$19:$O$22,MATCH(VLOOKUP($A42,main!$A$3:$H$102,7,FALSE),main!$K$18:$O$18,0),0))),0)</f>
        <v>0</v>
      </c>
      <c r="Q42">
        <f>IF((gamma!Q42),IF(VLOOKUP(Q$1,main!$A$3:$H$102,7,FALSE)=VLOOKUP($A42,main!$A$3:$H$102,8,FALSE),VLOOKUP(Q$1,main!$A$3:$H$102,4,FALSE),VLOOKUP(Q$1,main!$A$3:$H$102,4,FALSE)+VLOOKUP($A42,main!$A$3:$H$102,4,FALSE)+(VLOOKUP(VLOOKUP(Q$1,main!$A$3:$H$102,8,FALSE),main!$K$19:$O$22,MATCH(VLOOKUP($A42,main!$A$3:$H$102,7,FALSE),main!$K$18:$O$18,0),0))),0)</f>
        <v>0</v>
      </c>
      <c r="R42">
        <f>IF((gamma!R42),IF(VLOOKUP(R$1,main!$A$3:$H$102,7,FALSE)=VLOOKUP($A42,main!$A$3:$H$102,8,FALSE),VLOOKUP(R$1,main!$A$3:$H$102,4,FALSE),VLOOKUP(R$1,main!$A$3:$H$102,4,FALSE)+VLOOKUP($A42,main!$A$3:$H$102,4,FALSE)+(VLOOKUP(VLOOKUP(R$1,main!$A$3:$H$102,8,FALSE),main!$K$19:$O$22,MATCH(VLOOKUP($A42,main!$A$3:$H$102,7,FALSE),main!$K$18:$O$18,0),0))),0)</f>
        <v>0</v>
      </c>
      <c r="S42">
        <f>IF((gamma!S42),IF(VLOOKUP(S$1,main!$A$3:$H$102,7,FALSE)=VLOOKUP($A42,main!$A$3:$H$102,8,FALSE),VLOOKUP(S$1,main!$A$3:$H$102,4,FALSE),VLOOKUP(S$1,main!$A$3:$H$102,4,FALSE)+VLOOKUP($A42,main!$A$3:$H$102,4,FALSE)+(VLOOKUP(VLOOKUP(S$1,main!$A$3:$H$102,8,FALSE),main!$K$19:$O$22,MATCH(VLOOKUP($A42,main!$A$3:$H$102,7,FALSE),main!$K$18:$O$18,0),0))),0)</f>
        <v>0</v>
      </c>
      <c r="T42">
        <f>IF((gamma!T42),IF(VLOOKUP(T$1,main!$A$3:$H$102,7,FALSE)=VLOOKUP($A42,main!$A$3:$H$102,8,FALSE),VLOOKUP(T$1,main!$A$3:$H$102,4,FALSE),VLOOKUP(T$1,main!$A$3:$H$102,4,FALSE)+VLOOKUP($A42,main!$A$3:$H$102,4,FALSE)+(VLOOKUP(VLOOKUP(T$1,main!$A$3:$H$102,8,FALSE),main!$K$19:$O$22,MATCH(VLOOKUP($A42,main!$A$3:$H$102,7,FALSE),main!$K$18:$O$18,0),0))),0)</f>
        <v>0</v>
      </c>
      <c r="U42">
        <f>IF((gamma!U42),IF(VLOOKUP(U$1,main!$A$3:$H$102,7,FALSE)=VLOOKUP($A42,main!$A$3:$H$102,8,FALSE),VLOOKUP(U$1,main!$A$3:$H$102,4,FALSE),VLOOKUP(U$1,main!$A$3:$H$102,4,FALSE)+VLOOKUP($A42,main!$A$3:$H$102,4,FALSE)+(VLOOKUP(VLOOKUP(U$1,main!$A$3:$H$102,8,FALSE),main!$K$19:$O$22,MATCH(VLOOKUP($A42,main!$A$3:$H$102,7,FALSE),main!$K$18:$O$18,0),0))),0)</f>
        <v>0</v>
      </c>
      <c r="V42">
        <f>IF((gamma!V42),IF(VLOOKUP(V$1,main!$A$3:$H$102,7,FALSE)=VLOOKUP($A42,main!$A$3:$H$102,8,FALSE),VLOOKUP(V$1,main!$A$3:$H$102,4,FALSE),VLOOKUP(V$1,main!$A$3:$H$102,4,FALSE)+VLOOKUP($A42,main!$A$3:$H$102,4,FALSE)+(VLOOKUP(VLOOKUP(V$1,main!$A$3:$H$102,8,FALSE),main!$K$19:$O$22,MATCH(VLOOKUP($A42,main!$A$3:$H$102,7,FALSE),main!$K$18:$O$18,0),0))),0)</f>
        <v>0</v>
      </c>
      <c r="W42">
        <f>IF((gamma!W42),IF(VLOOKUP(W$1,main!$A$3:$H$102,7,FALSE)=VLOOKUP($A42,main!$A$3:$H$102,8,FALSE),VLOOKUP(W$1,main!$A$3:$H$102,4,FALSE),VLOOKUP(W$1,main!$A$3:$H$102,4,FALSE)+VLOOKUP($A42,main!$A$3:$H$102,4,FALSE)+(VLOOKUP(VLOOKUP(W$1,main!$A$3:$H$102,8,FALSE),main!$K$19:$O$22,MATCH(VLOOKUP($A42,main!$A$3:$H$102,7,FALSE),main!$K$18:$O$18,0),0))),0)</f>
        <v>0</v>
      </c>
      <c r="X42">
        <f>IF((gamma!X42),IF(VLOOKUP(X$1,main!$A$3:$H$102,7,FALSE)=VLOOKUP($A42,main!$A$3:$H$102,8,FALSE),VLOOKUP(X$1,main!$A$3:$H$102,4,FALSE),VLOOKUP(X$1,main!$A$3:$H$102,4,FALSE)+VLOOKUP($A42,main!$A$3:$H$102,4,FALSE)+(VLOOKUP(VLOOKUP(X$1,main!$A$3:$H$102,8,FALSE),main!$K$19:$O$22,MATCH(VLOOKUP($A42,main!$A$3:$H$102,7,FALSE),main!$K$18:$O$18,0),0))),0)</f>
        <v>0</v>
      </c>
      <c r="Y42">
        <f>IF((gamma!Y42),IF(VLOOKUP(Y$1,main!$A$3:$H$102,7,FALSE)=VLOOKUP($A42,main!$A$3:$H$102,8,FALSE),VLOOKUP(Y$1,main!$A$3:$H$102,4,FALSE),VLOOKUP(Y$1,main!$A$3:$H$102,4,FALSE)+VLOOKUP($A42,main!$A$3:$H$102,4,FALSE)+(VLOOKUP(VLOOKUP(Y$1,main!$A$3:$H$102,8,FALSE),main!$K$19:$O$22,MATCH(VLOOKUP($A42,main!$A$3:$H$102,7,FALSE),main!$K$18:$O$18,0),0))),0)</f>
        <v>0</v>
      </c>
      <c r="Z42">
        <f>IF((gamma!Z42),IF(VLOOKUP(Z$1,main!$A$3:$H$102,7,FALSE)=VLOOKUP($A42,main!$A$3:$H$102,8,FALSE),VLOOKUP(Z$1,main!$A$3:$H$102,4,FALSE),VLOOKUP(Z$1,main!$A$3:$H$102,4,FALSE)+VLOOKUP($A42,main!$A$3:$H$102,4,FALSE)+(VLOOKUP(VLOOKUP(Z$1,main!$A$3:$H$102,8,FALSE),main!$K$19:$O$22,MATCH(VLOOKUP($A42,main!$A$3:$H$102,7,FALSE),main!$K$18:$O$18,0),0))),0)</f>
        <v>0</v>
      </c>
      <c r="AA42">
        <f>IF((gamma!AA42),IF(VLOOKUP(AA$1,main!$A$3:$H$102,7,FALSE)=VLOOKUP($A42,main!$A$3:$H$102,8,FALSE),VLOOKUP(AA$1,main!$A$3:$H$102,4,FALSE),VLOOKUP(AA$1,main!$A$3:$H$102,4,FALSE)+VLOOKUP($A42,main!$A$3:$H$102,4,FALSE)+(VLOOKUP(VLOOKUP(AA$1,main!$A$3:$H$102,8,FALSE),main!$K$19:$O$22,MATCH(VLOOKUP($A42,main!$A$3:$H$102,7,FALSE),main!$K$18:$O$18,0),0))),0)</f>
        <v>0</v>
      </c>
      <c r="AB42">
        <f>IF((gamma!AB42),IF(VLOOKUP(AB$1,main!$A$3:$H$102,7,FALSE)=VLOOKUP($A42,main!$A$3:$H$102,8,FALSE),VLOOKUP(AB$1,main!$A$3:$H$102,4,FALSE),VLOOKUP(AB$1,main!$A$3:$H$102,4,FALSE)+VLOOKUP($A42,main!$A$3:$H$102,4,FALSE)+(VLOOKUP(VLOOKUP(AB$1,main!$A$3:$H$102,8,FALSE),main!$K$19:$O$22,MATCH(VLOOKUP($A42,main!$A$3:$H$102,7,FALSE),main!$K$18:$O$18,0),0))),0)</f>
        <v>0</v>
      </c>
      <c r="AC42">
        <f>IF((gamma!AC42),IF(VLOOKUP(AC$1,main!$A$3:$H$102,7,FALSE)=VLOOKUP($A42,main!$A$3:$H$102,8,FALSE),VLOOKUP(AC$1,main!$A$3:$H$102,4,FALSE),VLOOKUP(AC$1,main!$A$3:$H$102,4,FALSE)+VLOOKUP($A42,main!$A$3:$H$102,4,FALSE)+(VLOOKUP(VLOOKUP(AC$1,main!$A$3:$H$102,8,FALSE),main!$K$19:$O$22,MATCH(VLOOKUP($A42,main!$A$3:$H$102,7,FALSE),main!$K$18:$O$18,0),0))),0)</f>
        <v>0</v>
      </c>
      <c r="AD42">
        <f>IF((gamma!AD42),IF(VLOOKUP(AD$1,main!$A$3:$H$102,7,FALSE)=VLOOKUP($A42,main!$A$3:$H$102,8,FALSE),VLOOKUP(AD$1,main!$A$3:$H$102,4,FALSE),VLOOKUP(AD$1,main!$A$3:$H$102,4,FALSE)+VLOOKUP($A42,main!$A$3:$H$102,4,FALSE)+(VLOOKUP(VLOOKUP(AD$1,main!$A$3:$H$102,8,FALSE),main!$K$19:$O$22,MATCH(VLOOKUP($A42,main!$A$3:$H$102,7,FALSE),main!$K$18:$O$18,0),0))),0)</f>
        <v>0</v>
      </c>
      <c r="AE42">
        <f>IF((gamma!AE42),IF(VLOOKUP(AE$1,main!$A$3:$H$102,7,FALSE)=VLOOKUP($A42,main!$A$3:$H$102,8,FALSE),VLOOKUP(AE$1,main!$A$3:$H$102,4,FALSE),VLOOKUP(AE$1,main!$A$3:$H$102,4,FALSE)+VLOOKUP($A42,main!$A$3:$H$102,4,FALSE)+(VLOOKUP(VLOOKUP(AE$1,main!$A$3:$H$102,8,FALSE),main!$K$19:$O$22,MATCH(VLOOKUP($A42,main!$A$3:$H$102,7,FALSE),main!$K$18:$O$18,0),0))),0)</f>
        <v>0</v>
      </c>
      <c r="AF42">
        <f>IF((gamma!AF42),IF(VLOOKUP(AF$1,main!$A$3:$H$102,7,FALSE)=VLOOKUP($A42,main!$A$3:$H$102,8,FALSE),VLOOKUP(AF$1,main!$A$3:$H$102,4,FALSE),VLOOKUP(AF$1,main!$A$3:$H$102,4,FALSE)+VLOOKUP($A42,main!$A$3:$H$102,4,FALSE)+(VLOOKUP(VLOOKUP(AF$1,main!$A$3:$H$102,8,FALSE),main!$K$19:$O$22,MATCH(VLOOKUP($A42,main!$A$3:$H$102,7,FALSE),main!$K$18:$O$18,0),0))),0)</f>
        <v>0</v>
      </c>
      <c r="AG42">
        <f>IF((gamma!AG42),IF(VLOOKUP(AG$1,main!$A$3:$H$102,7,FALSE)=VLOOKUP($A42,main!$A$3:$H$102,8,FALSE),VLOOKUP(AG$1,main!$A$3:$H$102,4,FALSE),VLOOKUP(AG$1,main!$A$3:$H$102,4,FALSE)+VLOOKUP($A42,main!$A$3:$H$102,4,FALSE)+(VLOOKUP(VLOOKUP(AG$1,main!$A$3:$H$102,8,FALSE),main!$K$19:$O$22,MATCH(VLOOKUP($A42,main!$A$3:$H$102,7,FALSE),main!$K$18:$O$18,0),0))),0)</f>
        <v>0</v>
      </c>
      <c r="AH42">
        <f>IF((gamma!AH42),IF(VLOOKUP(AH$1,main!$A$3:$H$102,7,FALSE)=VLOOKUP($A42,main!$A$3:$H$102,8,FALSE),VLOOKUP(AH$1,main!$A$3:$H$102,4,FALSE),VLOOKUP(AH$1,main!$A$3:$H$102,4,FALSE)+VLOOKUP($A42,main!$A$3:$H$102,4,FALSE)+(VLOOKUP(VLOOKUP(AH$1,main!$A$3:$H$102,8,FALSE),main!$K$19:$O$22,MATCH(VLOOKUP($A42,main!$A$3:$H$102,7,FALSE),main!$K$18:$O$18,0),0))),0)</f>
        <v>0</v>
      </c>
      <c r="AI42">
        <f>IF((gamma!AI42),IF(VLOOKUP(AI$1,main!$A$3:$H$102,7,FALSE)=VLOOKUP($A42,main!$A$3:$H$102,8,FALSE),VLOOKUP(AI$1,main!$A$3:$H$102,4,FALSE),VLOOKUP(AI$1,main!$A$3:$H$102,4,FALSE)+VLOOKUP($A42,main!$A$3:$H$102,4,FALSE)+(VLOOKUP(VLOOKUP(AI$1,main!$A$3:$H$102,8,FALSE),main!$K$19:$O$22,MATCH(VLOOKUP($A42,main!$A$3:$H$102,7,FALSE),main!$K$18:$O$18,0),0))),0)</f>
        <v>0</v>
      </c>
      <c r="AJ42">
        <f>IF((gamma!AJ42),IF(VLOOKUP(AJ$1,main!$A$3:$H$102,7,FALSE)=VLOOKUP($A42,main!$A$3:$H$102,8,FALSE),VLOOKUP(AJ$1,main!$A$3:$H$102,4,FALSE),VLOOKUP(AJ$1,main!$A$3:$H$102,4,FALSE)+VLOOKUP($A42,main!$A$3:$H$102,4,FALSE)+(VLOOKUP(VLOOKUP(AJ$1,main!$A$3:$H$102,8,FALSE),main!$K$19:$O$22,MATCH(VLOOKUP($A42,main!$A$3:$H$102,7,FALSE),main!$K$18:$O$18,0),0))),0)</f>
        <v>0</v>
      </c>
      <c r="AK42">
        <f>IF((gamma!AK42),IF(VLOOKUP(AK$1,main!$A$3:$H$102,7,FALSE)=VLOOKUP($A42,main!$A$3:$H$102,8,FALSE),VLOOKUP(AK$1,main!$A$3:$H$102,4,FALSE),VLOOKUP(AK$1,main!$A$3:$H$102,4,FALSE)+VLOOKUP($A42,main!$A$3:$H$102,4,FALSE)+(VLOOKUP(VLOOKUP(AK$1,main!$A$3:$H$102,8,FALSE),main!$K$19:$O$22,MATCH(VLOOKUP($A42,main!$A$3:$H$102,7,FALSE),main!$K$18:$O$18,0),0))),0)</f>
        <v>0</v>
      </c>
      <c r="AL42">
        <f>IF((gamma!AL42),IF(VLOOKUP(AL$1,main!$A$3:$H$102,7,FALSE)=VLOOKUP($A42,main!$A$3:$H$102,8,FALSE),VLOOKUP(AL$1,main!$A$3:$H$102,4,FALSE),VLOOKUP(AL$1,main!$A$3:$H$102,4,FALSE)+VLOOKUP($A42,main!$A$3:$H$102,4,FALSE)+(VLOOKUP(VLOOKUP(AL$1,main!$A$3:$H$102,8,FALSE),main!$K$19:$O$22,MATCH(VLOOKUP($A42,main!$A$3:$H$102,7,FALSE),main!$K$18:$O$18,0),0))),0)</f>
        <v>0</v>
      </c>
      <c r="AM42">
        <f>IF((gamma!AM42),IF(VLOOKUP(AM$1,main!$A$3:$H$102,7,FALSE)=VLOOKUP($A42,main!$A$3:$H$102,8,FALSE),VLOOKUP(AM$1,main!$A$3:$H$102,4,FALSE),VLOOKUP(AM$1,main!$A$3:$H$102,4,FALSE)+VLOOKUP($A42,main!$A$3:$H$102,4,FALSE)+(VLOOKUP(VLOOKUP(AM$1,main!$A$3:$H$102,8,FALSE),main!$K$19:$O$22,MATCH(VLOOKUP($A42,main!$A$3:$H$102,7,FALSE),main!$K$18:$O$18,0),0))),0)</f>
        <v>0</v>
      </c>
      <c r="AN42">
        <f>IF((gamma!AN42),IF(VLOOKUP(AN$1,main!$A$3:$H$102,7,FALSE)=VLOOKUP($A42,main!$A$3:$H$102,8,FALSE),VLOOKUP(AN$1,main!$A$3:$H$102,4,FALSE),VLOOKUP(AN$1,main!$A$3:$H$102,4,FALSE)+VLOOKUP($A42,main!$A$3:$H$102,4,FALSE)+(VLOOKUP(VLOOKUP(AN$1,main!$A$3:$H$102,8,FALSE),main!$K$19:$O$22,MATCH(VLOOKUP($A42,main!$A$3:$H$102,7,FALSE),main!$K$18:$O$18,0),0))),0)</f>
        <v>0</v>
      </c>
      <c r="AO42">
        <f>IF((gamma!AO42),IF(VLOOKUP(AO$1,main!$A$3:$H$102,7,FALSE)=VLOOKUP($A42,main!$A$3:$H$102,8,FALSE),VLOOKUP(AO$1,main!$A$3:$H$102,4,FALSE),VLOOKUP(AO$1,main!$A$3:$H$102,4,FALSE)+VLOOKUP($A42,main!$A$3:$H$102,4,FALSE)+(VLOOKUP(VLOOKUP(AO$1,main!$A$3:$H$102,8,FALSE),main!$K$19:$O$22,MATCH(VLOOKUP($A42,main!$A$3:$H$102,7,FALSE),main!$K$18:$O$18,0),0))),0)</f>
        <v>0</v>
      </c>
      <c r="AP42">
        <f>IF((gamma!AP42),IF(VLOOKUP(AP$1,main!$A$3:$H$102,7,FALSE)=VLOOKUP($A42,main!$A$3:$H$102,8,FALSE),VLOOKUP(AP$1,main!$A$3:$H$102,4,FALSE),VLOOKUP(AP$1,main!$A$3:$H$102,4,FALSE)+VLOOKUP($A42,main!$A$3:$H$102,4,FALSE)+(VLOOKUP(VLOOKUP(AP$1,main!$A$3:$H$102,8,FALSE),main!$K$19:$O$22,MATCH(VLOOKUP($A42,main!$A$3:$H$102,7,FALSE),main!$K$18:$O$18,0),0))),0)</f>
        <v>0</v>
      </c>
      <c r="AQ42">
        <f>IF((gamma!AQ42),IF(VLOOKUP(AQ$1,main!$A$3:$H$102,7,FALSE)=VLOOKUP($A42,main!$A$3:$H$102,8,FALSE),VLOOKUP(AQ$1,main!$A$3:$H$102,4,FALSE),VLOOKUP(AQ$1,main!$A$3:$H$102,4,FALSE)+VLOOKUP($A42,main!$A$3:$H$102,4,FALSE)+(VLOOKUP(VLOOKUP(AQ$1,main!$A$3:$H$102,8,FALSE),main!$K$19:$O$22,MATCH(VLOOKUP($A42,main!$A$3:$H$102,7,FALSE),main!$K$18:$O$18,0),0))),0)</f>
        <v>0</v>
      </c>
      <c r="AR42">
        <f>IF((gamma!AR42),IF(VLOOKUP(AR$1,main!$A$3:$H$102,7,FALSE)=VLOOKUP($A42,main!$A$3:$H$102,8,FALSE),VLOOKUP(AR$1,main!$A$3:$H$102,4,FALSE),VLOOKUP(AR$1,main!$A$3:$H$102,4,FALSE)+VLOOKUP($A42,main!$A$3:$H$102,4,FALSE)+(VLOOKUP(VLOOKUP(AR$1,main!$A$3:$H$102,8,FALSE),main!$K$19:$O$22,MATCH(VLOOKUP($A42,main!$A$3:$H$102,7,FALSE),main!$K$18:$O$18,0),0))),0)</f>
        <v>0</v>
      </c>
      <c r="AS42">
        <f>IF((gamma!AS42),IF(VLOOKUP(AS$1,main!$A$3:$H$102,7,FALSE)=VLOOKUP($A42,main!$A$3:$H$102,8,FALSE),VLOOKUP(AS$1,main!$A$3:$H$102,4,FALSE),VLOOKUP(AS$1,main!$A$3:$H$102,4,FALSE)+VLOOKUP($A42,main!$A$3:$H$102,4,FALSE)+(VLOOKUP(VLOOKUP(AS$1,main!$A$3:$H$102,8,FALSE),main!$K$19:$O$22,MATCH(VLOOKUP($A42,main!$A$3:$H$102,7,FALSE),main!$K$18:$O$18,0),0))),0)</f>
        <v>0</v>
      </c>
      <c r="AT42">
        <f>IF((gamma!AT42),IF(VLOOKUP(AT$1,main!$A$3:$H$102,7,FALSE)=VLOOKUP($A42,main!$A$3:$H$102,8,FALSE),VLOOKUP(AT$1,main!$A$3:$H$102,4,FALSE),VLOOKUP(AT$1,main!$A$3:$H$102,4,FALSE)+VLOOKUP($A42,main!$A$3:$H$102,4,FALSE)+(VLOOKUP(VLOOKUP(AT$1,main!$A$3:$H$102,8,FALSE),main!$K$19:$O$22,MATCH(VLOOKUP($A42,main!$A$3:$H$102,7,FALSE),main!$K$18:$O$18,0),0))),0)</f>
        <v>0</v>
      </c>
      <c r="AU42">
        <f>IF((gamma!AU42),IF(VLOOKUP(AU$1,main!$A$3:$H$102,7,FALSE)=VLOOKUP($A42,main!$A$3:$H$102,8,FALSE),VLOOKUP(AU$1,main!$A$3:$H$102,4,FALSE),VLOOKUP(AU$1,main!$A$3:$H$102,4,FALSE)+VLOOKUP($A42,main!$A$3:$H$102,4,FALSE)+(VLOOKUP(VLOOKUP(AU$1,main!$A$3:$H$102,8,FALSE),main!$K$19:$O$22,MATCH(VLOOKUP($A42,main!$A$3:$H$102,7,FALSE),main!$K$18:$O$18,0),0))),0)</f>
        <v>0</v>
      </c>
      <c r="AV42">
        <f>IF((gamma!AV42),IF(VLOOKUP(AV$1,main!$A$3:$H$102,7,FALSE)=VLOOKUP($A42,main!$A$3:$H$102,8,FALSE),VLOOKUP(AV$1,main!$A$3:$H$102,4,FALSE),VLOOKUP(AV$1,main!$A$3:$H$102,4,FALSE)+VLOOKUP($A42,main!$A$3:$H$102,4,FALSE)+(VLOOKUP(VLOOKUP(AV$1,main!$A$3:$H$102,8,FALSE),main!$K$19:$O$22,MATCH(VLOOKUP($A42,main!$A$3:$H$102,7,FALSE),main!$K$18:$O$18,0),0))),0)</f>
        <v>0</v>
      </c>
      <c r="AW42">
        <f>IF((gamma!AW42),IF(VLOOKUP(AW$1,main!$A$3:$H$102,7,FALSE)=VLOOKUP($A42,main!$A$3:$H$102,8,FALSE),VLOOKUP(AW$1,main!$A$3:$H$102,4,FALSE),VLOOKUP(AW$1,main!$A$3:$H$102,4,FALSE)+VLOOKUP($A42,main!$A$3:$H$102,4,FALSE)+(VLOOKUP(VLOOKUP(AW$1,main!$A$3:$H$102,8,FALSE),main!$K$19:$O$22,MATCH(VLOOKUP($A42,main!$A$3:$H$102,7,FALSE),main!$K$18:$O$18,0),0))),0)</f>
        <v>0</v>
      </c>
      <c r="AX42">
        <f>IF((gamma!AX42),IF(VLOOKUP(AX$1,main!$A$3:$H$102,7,FALSE)=VLOOKUP($A42,main!$A$3:$H$102,8,FALSE),VLOOKUP(AX$1,main!$A$3:$H$102,4,FALSE),VLOOKUP(AX$1,main!$A$3:$H$102,4,FALSE)+VLOOKUP($A42,main!$A$3:$H$102,4,FALSE)+(VLOOKUP(VLOOKUP(AX$1,main!$A$3:$H$102,8,FALSE),main!$K$19:$O$22,MATCH(VLOOKUP($A42,main!$A$3:$H$102,7,FALSE),main!$K$18:$O$18,0),0))),0)</f>
        <v>0</v>
      </c>
      <c r="AY42">
        <f>IF((gamma!AY42),IF(VLOOKUP(AY$1,main!$A$3:$H$102,7,FALSE)=VLOOKUP($A42,main!$A$3:$H$102,8,FALSE),VLOOKUP(AY$1,main!$A$3:$H$102,4,FALSE),VLOOKUP(AY$1,main!$A$3:$H$102,4,FALSE)+VLOOKUP($A42,main!$A$3:$H$102,4,FALSE)+(VLOOKUP(VLOOKUP(AY$1,main!$A$3:$H$102,8,FALSE),main!$K$19:$O$22,MATCH(VLOOKUP($A42,main!$A$3:$H$102,7,FALSE),main!$K$18:$O$18,0),0))),0)</f>
        <v>0</v>
      </c>
      <c r="AZ42">
        <f>IF((gamma!AZ42),IF(VLOOKUP(AZ$1,main!$A$3:$H$102,7,FALSE)=VLOOKUP($A42,main!$A$3:$H$102,8,FALSE),VLOOKUP(AZ$1,main!$A$3:$H$102,4,FALSE),VLOOKUP(AZ$1,main!$A$3:$H$102,4,FALSE)+VLOOKUP($A42,main!$A$3:$H$102,4,FALSE)+(VLOOKUP(VLOOKUP(AZ$1,main!$A$3:$H$102,8,FALSE),main!$K$19:$O$22,MATCH(VLOOKUP($A42,main!$A$3:$H$102,7,FALSE),main!$K$18:$O$18,0),0))),0)</f>
        <v>0</v>
      </c>
      <c r="BA42">
        <f>IF((gamma!BA42),IF(VLOOKUP(BA$1,main!$A$3:$H$102,7,FALSE)=VLOOKUP($A42,main!$A$3:$H$102,8,FALSE),VLOOKUP(BA$1,main!$A$3:$H$102,4,FALSE),VLOOKUP(BA$1,main!$A$3:$H$102,4,FALSE)+VLOOKUP($A42,main!$A$3:$H$102,4,FALSE)+(VLOOKUP(VLOOKUP(BA$1,main!$A$3:$H$102,8,FALSE),main!$K$19:$O$22,MATCH(VLOOKUP($A42,main!$A$3:$H$102,7,FALSE),main!$K$18:$O$18,0),0))),0)</f>
        <v>0</v>
      </c>
      <c r="BB42">
        <f>IF((gamma!BB42),IF(VLOOKUP(BB$1,main!$A$3:$H$102,7,FALSE)=VLOOKUP($A42,main!$A$3:$H$102,8,FALSE),VLOOKUP(BB$1,main!$A$3:$H$102,4,FALSE),VLOOKUP(BB$1,main!$A$3:$H$102,4,FALSE)+VLOOKUP($A42,main!$A$3:$H$102,4,FALSE)+(VLOOKUP(VLOOKUP(BB$1,main!$A$3:$H$102,8,FALSE),main!$K$19:$O$22,MATCH(VLOOKUP($A42,main!$A$3:$H$102,7,FALSE),main!$K$18:$O$18,0),0))),0)</f>
        <v>0</v>
      </c>
      <c r="BC42">
        <f>IF((gamma!BC42),IF(VLOOKUP(BC$1,main!$A$3:$H$102,7,FALSE)=VLOOKUP($A42,main!$A$3:$H$102,8,FALSE),VLOOKUP(BC$1,main!$A$3:$H$102,4,FALSE),VLOOKUP(BC$1,main!$A$3:$H$102,4,FALSE)+VLOOKUP($A42,main!$A$3:$H$102,4,FALSE)+(VLOOKUP(VLOOKUP(BC$1,main!$A$3:$H$102,8,FALSE),main!$K$19:$O$22,MATCH(VLOOKUP($A42,main!$A$3:$H$102,7,FALSE),main!$K$18:$O$18,0),0))),0)</f>
        <v>0</v>
      </c>
      <c r="BD42">
        <f>IF((gamma!BD42),IF(VLOOKUP(BD$1,main!$A$3:$H$102,7,FALSE)=VLOOKUP($A42,main!$A$3:$H$102,8,FALSE),VLOOKUP(BD$1,main!$A$3:$H$102,4,FALSE),VLOOKUP(BD$1,main!$A$3:$H$102,4,FALSE)+VLOOKUP($A42,main!$A$3:$H$102,4,FALSE)+(VLOOKUP(VLOOKUP(BD$1,main!$A$3:$H$102,8,FALSE),main!$K$19:$O$22,MATCH(VLOOKUP($A42,main!$A$3:$H$102,7,FALSE),main!$K$18:$O$18,0),0))),0)</f>
        <v>0</v>
      </c>
      <c r="BE42">
        <f>IF((gamma!BE42),IF(VLOOKUP(BE$1,main!$A$3:$H$102,7,FALSE)=VLOOKUP($A42,main!$A$3:$H$102,8,FALSE),VLOOKUP(BE$1,main!$A$3:$H$102,4,FALSE),VLOOKUP(BE$1,main!$A$3:$H$102,4,FALSE)+VLOOKUP($A42,main!$A$3:$H$102,4,FALSE)+(VLOOKUP(VLOOKUP(BE$1,main!$A$3:$H$102,8,FALSE),main!$K$19:$O$22,MATCH(VLOOKUP($A42,main!$A$3:$H$102,7,FALSE),main!$K$18:$O$18,0),0))),0)</f>
        <v>0</v>
      </c>
      <c r="BF42">
        <f>IF((gamma!BF42),IF(VLOOKUP(BF$1,main!$A$3:$H$102,7,FALSE)=VLOOKUP($A42,main!$A$3:$H$102,8,FALSE),VLOOKUP(BF$1,main!$A$3:$H$102,4,FALSE),VLOOKUP(BF$1,main!$A$3:$H$102,4,FALSE)+VLOOKUP($A42,main!$A$3:$H$102,4,FALSE)+(VLOOKUP(VLOOKUP(BF$1,main!$A$3:$H$102,8,FALSE),main!$K$19:$O$22,MATCH(VLOOKUP($A42,main!$A$3:$H$102,7,FALSE),main!$K$18:$O$18,0),0))),0)</f>
        <v>0</v>
      </c>
      <c r="BG42">
        <f>IF((gamma!BG42),IF(VLOOKUP(BG$1,main!$A$3:$H$102,7,FALSE)=VLOOKUP($A42,main!$A$3:$H$102,8,FALSE),VLOOKUP(BG$1,main!$A$3:$H$102,4,FALSE),VLOOKUP(BG$1,main!$A$3:$H$102,4,FALSE)+VLOOKUP($A42,main!$A$3:$H$102,4,FALSE)+(VLOOKUP(VLOOKUP(BG$1,main!$A$3:$H$102,8,FALSE),main!$K$19:$O$22,MATCH(VLOOKUP($A42,main!$A$3:$H$102,7,FALSE),main!$K$18:$O$18,0),0))),0)</f>
        <v>0</v>
      </c>
      <c r="BH42">
        <f>IF((gamma!BH42),IF(VLOOKUP(BH$1,main!$A$3:$H$102,7,FALSE)=VLOOKUP($A42,main!$A$3:$H$102,8,FALSE),VLOOKUP(BH$1,main!$A$3:$H$102,4,FALSE),VLOOKUP(BH$1,main!$A$3:$H$102,4,FALSE)+VLOOKUP($A42,main!$A$3:$H$102,4,FALSE)+(VLOOKUP(VLOOKUP(BH$1,main!$A$3:$H$102,8,FALSE),main!$K$19:$O$22,MATCH(VLOOKUP($A42,main!$A$3:$H$102,7,FALSE),main!$K$18:$O$18,0),0))),0)</f>
        <v>0</v>
      </c>
      <c r="BI42">
        <f>IF((gamma!BI42),IF(VLOOKUP(BI$1,main!$A$3:$H$102,7,FALSE)=VLOOKUP($A42,main!$A$3:$H$102,8,FALSE),VLOOKUP(BI$1,main!$A$3:$H$102,4,FALSE),VLOOKUP(BI$1,main!$A$3:$H$102,4,FALSE)+VLOOKUP($A42,main!$A$3:$H$102,4,FALSE)+(VLOOKUP(VLOOKUP(BI$1,main!$A$3:$H$102,8,FALSE),main!$K$19:$O$22,MATCH(VLOOKUP($A42,main!$A$3:$H$102,7,FALSE),main!$K$18:$O$18,0),0))),0)</f>
        <v>0</v>
      </c>
      <c r="BJ42">
        <f>IF((gamma!BJ42),IF(VLOOKUP(BJ$1,main!$A$3:$H$102,7,FALSE)=VLOOKUP($A42,main!$A$3:$H$102,8,FALSE),VLOOKUP(BJ$1,main!$A$3:$H$102,4,FALSE),VLOOKUP(BJ$1,main!$A$3:$H$102,4,FALSE)+VLOOKUP($A42,main!$A$3:$H$102,4,FALSE)+(VLOOKUP(VLOOKUP(BJ$1,main!$A$3:$H$102,8,FALSE),main!$K$19:$O$22,MATCH(VLOOKUP($A42,main!$A$3:$H$102,7,FALSE),main!$K$18:$O$18,0),0))),0)</f>
        <v>0</v>
      </c>
      <c r="BK42">
        <f>IF((gamma!BK42),IF(VLOOKUP(BK$1,main!$A$3:$H$102,7,FALSE)=VLOOKUP($A42,main!$A$3:$H$102,8,FALSE),VLOOKUP(BK$1,main!$A$3:$H$102,4,FALSE),VLOOKUP(BK$1,main!$A$3:$H$102,4,FALSE)+VLOOKUP($A42,main!$A$3:$H$102,4,FALSE)+(VLOOKUP(VLOOKUP(BK$1,main!$A$3:$H$102,8,FALSE),main!$K$19:$O$22,MATCH(VLOOKUP($A42,main!$A$3:$H$102,7,FALSE),main!$K$18:$O$18,0),0))),0)</f>
        <v>0</v>
      </c>
      <c r="BL42">
        <f>IF((gamma!BL42),IF(VLOOKUP(BL$1,main!$A$3:$H$102,7,FALSE)=VLOOKUP($A42,main!$A$3:$H$102,8,FALSE),VLOOKUP(BL$1,main!$A$3:$H$102,4,FALSE),VLOOKUP(BL$1,main!$A$3:$H$102,4,FALSE)+VLOOKUP($A42,main!$A$3:$H$102,4,FALSE)+(VLOOKUP(VLOOKUP(BL$1,main!$A$3:$H$102,8,FALSE),main!$K$19:$O$22,MATCH(VLOOKUP($A42,main!$A$3:$H$102,7,FALSE),main!$K$18:$O$18,0),0))),0)</f>
        <v>0</v>
      </c>
      <c r="BM42">
        <f>IF((gamma!BM42),IF(VLOOKUP(BM$1,main!$A$3:$H$102,7,FALSE)=VLOOKUP($A42,main!$A$3:$H$102,8,FALSE),VLOOKUP(BM$1,main!$A$3:$H$102,4,FALSE),VLOOKUP(BM$1,main!$A$3:$H$102,4,FALSE)+VLOOKUP($A42,main!$A$3:$H$102,4,FALSE)+(VLOOKUP(VLOOKUP(BM$1,main!$A$3:$H$102,8,FALSE),main!$K$19:$O$22,MATCH(VLOOKUP($A42,main!$A$3:$H$102,7,FALSE),main!$K$18:$O$18,0),0))),0)</f>
        <v>0</v>
      </c>
      <c r="BN42">
        <f>IF((gamma!BN42),IF(VLOOKUP(BN$1,main!$A$3:$H$102,7,FALSE)=VLOOKUP($A42,main!$A$3:$H$102,8,FALSE),VLOOKUP(BN$1,main!$A$3:$H$102,4,FALSE),VLOOKUP(BN$1,main!$A$3:$H$102,4,FALSE)+VLOOKUP($A42,main!$A$3:$H$102,4,FALSE)+(VLOOKUP(VLOOKUP(BN$1,main!$A$3:$H$102,8,FALSE),main!$K$19:$O$22,MATCH(VLOOKUP($A42,main!$A$3:$H$102,7,FALSE),main!$K$18:$O$18,0),0))),0)</f>
        <v>0</v>
      </c>
      <c r="BO42">
        <f>IF((gamma!BO42),IF(VLOOKUP(BO$1,main!$A$3:$H$102,7,FALSE)=VLOOKUP($A42,main!$A$3:$H$102,8,FALSE),VLOOKUP(BO$1,main!$A$3:$H$102,4,FALSE),VLOOKUP(BO$1,main!$A$3:$H$102,4,FALSE)+VLOOKUP($A42,main!$A$3:$H$102,4,FALSE)+(VLOOKUP(VLOOKUP(BO$1,main!$A$3:$H$102,8,FALSE),main!$K$19:$O$22,MATCH(VLOOKUP($A42,main!$A$3:$H$102,7,FALSE),main!$K$18:$O$18,0),0))),0)</f>
        <v>0</v>
      </c>
      <c r="BP42">
        <f>IF((gamma!BP42),IF(VLOOKUP(BP$1,main!$A$3:$H$102,7,FALSE)=VLOOKUP($A42,main!$A$3:$H$102,8,FALSE),VLOOKUP(BP$1,main!$A$3:$H$102,4,FALSE),VLOOKUP(BP$1,main!$A$3:$H$102,4,FALSE)+VLOOKUP($A42,main!$A$3:$H$102,4,FALSE)+(VLOOKUP(VLOOKUP(BP$1,main!$A$3:$H$102,8,FALSE),main!$K$19:$O$22,MATCH(VLOOKUP($A42,main!$A$3:$H$102,7,FALSE),main!$K$18:$O$18,0),0))),0)</f>
        <v>0</v>
      </c>
      <c r="BQ42">
        <f>IF((gamma!BQ42),IF(VLOOKUP(BQ$1,main!$A$3:$H$102,7,FALSE)=VLOOKUP($A42,main!$A$3:$H$102,8,FALSE),VLOOKUP(BQ$1,main!$A$3:$H$102,4,FALSE),VLOOKUP(BQ$1,main!$A$3:$H$102,4,FALSE)+VLOOKUP($A42,main!$A$3:$H$102,4,FALSE)+(VLOOKUP(VLOOKUP(BQ$1,main!$A$3:$H$102,8,FALSE),main!$K$19:$O$22,MATCH(VLOOKUP($A42,main!$A$3:$H$102,7,FALSE),main!$K$18:$O$18,0),0))),0)</f>
        <v>0</v>
      </c>
      <c r="BR42">
        <f>IF((gamma!BR42),IF(VLOOKUP(BR$1,main!$A$3:$H$102,7,FALSE)=VLOOKUP($A42,main!$A$3:$H$102,8,FALSE),VLOOKUP(BR$1,main!$A$3:$H$102,4,FALSE),VLOOKUP(BR$1,main!$A$3:$H$102,4,FALSE)+VLOOKUP($A42,main!$A$3:$H$102,4,FALSE)+(VLOOKUP(VLOOKUP(BR$1,main!$A$3:$H$102,8,FALSE),main!$K$19:$O$22,MATCH(VLOOKUP($A42,main!$A$3:$H$102,7,FALSE),main!$K$18:$O$18,0),0))),0)</f>
        <v>0</v>
      </c>
      <c r="BS42">
        <f>IF((gamma!BS42),IF(VLOOKUP(BS$1,main!$A$3:$H$102,7,FALSE)=VLOOKUP($A42,main!$A$3:$H$102,8,FALSE),VLOOKUP(BS$1,main!$A$3:$H$102,4,FALSE),VLOOKUP(BS$1,main!$A$3:$H$102,4,FALSE)+VLOOKUP($A42,main!$A$3:$H$102,4,FALSE)+(VLOOKUP(VLOOKUP(BS$1,main!$A$3:$H$102,8,FALSE),main!$K$19:$O$22,MATCH(VLOOKUP($A42,main!$A$3:$H$102,7,FALSE),main!$K$18:$O$18,0),0))),0)</f>
        <v>0</v>
      </c>
      <c r="BT42">
        <f>IF((gamma!BT42),IF(VLOOKUP(BT$1,main!$A$3:$H$102,7,FALSE)=VLOOKUP($A42,main!$A$3:$H$102,8,FALSE),VLOOKUP(BT$1,main!$A$3:$H$102,4,FALSE),VLOOKUP(BT$1,main!$A$3:$H$102,4,FALSE)+VLOOKUP($A42,main!$A$3:$H$102,4,FALSE)+(VLOOKUP(VLOOKUP(BT$1,main!$A$3:$H$102,8,FALSE),main!$K$19:$O$22,MATCH(VLOOKUP($A42,main!$A$3:$H$102,7,FALSE),main!$K$18:$O$18,0),0))),0)</f>
        <v>0</v>
      </c>
      <c r="BU42">
        <f>IF((gamma!BU42),IF(VLOOKUP(BU$1,main!$A$3:$H$102,7,FALSE)=VLOOKUP($A42,main!$A$3:$H$102,8,FALSE),VLOOKUP(BU$1,main!$A$3:$H$102,4,FALSE),VLOOKUP(BU$1,main!$A$3:$H$102,4,FALSE)+VLOOKUP($A42,main!$A$3:$H$102,4,FALSE)+(VLOOKUP(VLOOKUP(BU$1,main!$A$3:$H$102,8,FALSE),main!$K$19:$O$22,MATCH(VLOOKUP($A42,main!$A$3:$H$102,7,FALSE),main!$K$18:$O$18,0),0))),0)</f>
        <v>0</v>
      </c>
      <c r="BV42">
        <f>IF((gamma!BV42),IF(VLOOKUP(BV$1,main!$A$3:$H$102,7,FALSE)=VLOOKUP($A42,main!$A$3:$H$102,8,FALSE),VLOOKUP(BV$1,main!$A$3:$H$102,4,FALSE),VLOOKUP(BV$1,main!$A$3:$H$102,4,FALSE)+VLOOKUP($A42,main!$A$3:$H$102,4,FALSE)+(VLOOKUP(VLOOKUP(BV$1,main!$A$3:$H$102,8,FALSE),main!$K$19:$O$22,MATCH(VLOOKUP($A42,main!$A$3:$H$102,7,FALSE),main!$K$18:$O$18,0),0))),0)</f>
        <v>0</v>
      </c>
      <c r="BW42">
        <f>IF((gamma!BW42),IF(VLOOKUP(BW$1,main!$A$3:$H$102,7,FALSE)=VLOOKUP($A42,main!$A$3:$H$102,8,FALSE),VLOOKUP(BW$1,main!$A$3:$H$102,4,FALSE),VLOOKUP(BW$1,main!$A$3:$H$102,4,FALSE)+VLOOKUP($A42,main!$A$3:$H$102,4,FALSE)+(VLOOKUP(VLOOKUP(BW$1,main!$A$3:$H$102,8,FALSE),main!$K$19:$O$22,MATCH(VLOOKUP($A42,main!$A$3:$H$102,7,FALSE),main!$K$18:$O$18,0),0))),0)</f>
        <v>0</v>
      </c>
      <c r="BX42">
        <f>IF((gamma!BX42),IF(VLOOKUP(BX$1,main!$A$3:$H$102,7,FALSE)=VLOOKUP($A42,main!$A$3:$H$102,8,FALSE),VLOOKUP(BX$1,main!$A$3:$H$102,4,FALSE),VLOOKUP(BX$1,main!$A$3:$H$102,4,FALSE)+VLOOKUP($A42,main!$A$3:$H$102,4,FALSE)+(VLOOKUP(VLOOKUP(BX$1,main!$A$3:$H$102,8,FALSE),main!$K$19:$O$22,MATCH(VLOOKUP($A42,main!$A$3:$H$102,7,FALSE),main!$K$18:$O$18,0),0))),0)</f>
        <v>0</v>
      </c>
      <c r="BY42">
        <f>IF((gamma!BY42),IF(VLOOKUP(BY$1,main!$A$3:$H$102,7,FALSE)=VLOOKUP($A42,main!$A$3:$H$102,8,FALSE),VLOOKUP(BY$1,main!$A$3:$H$102,4,FALSE),VLOOKUP(BY$1,main!$A$3:$H$102,4,FALSE)+VLOOKUP($A42,main!$A$3:$H$102,4,FALSE)+(VLOOKUP(VLOOKUP(BY$1,main!$A$3:$H$102,8,FALSE),main!$K$19:$O$22,MATCH(VLOOKUP($A42,main!$A$3:$H$102,7,FALSE),main!$K$18:$O$18,0),0))),0)</f>
        <v>0</v>
      </c>
      <c r="BZ42">
        <f>IF((gamma!BZ42),IF(VLOOKUP(BZ$1,main!$A$3:$H$102,7,FALSE)=VLOOKUP($A42,main!$A$3:$H$102,8,FALSE),VLOOKUP(BZ$1,main!$A$3:$H$102,4,FALSE),VLOOKUP(BZ$1,main!$A$3:$H$102,4,FALSE)+VLOOKUP($A42,main!$A$3:$H$102,4,FALSE)+(VLOOKUP(VLOOKUP(BZ$1,main!$A$3:$H$102,8,FALSE),main!$K$19:$O$22,MATCH(VLOOKUP($A42,main!$A$3:$H$102,7,FALSE),main!$K$18:$O$18,0),0))),0)</f>
        <v>0</v>
      </c>
      <c r="CA42">
        <f>IF((gamma!CA42),IF(VLOOKUP(CA$1,main!$A$3:$H$102,7,FALSE)=VLOOKUP($A42,main!$A$3:$H$102,8,FALSE),VLOOKUP(CA$1,main!$A$3:$H$102,4,FALSE),VLOOKUP(CA$1,main!$A$3:$H$102,4,FALSE)+VLOOKUP($A42,main!$A$3:$H$102,4,FALSE)+(VLOOKUP(VLOOKUP(CA$1,main!$A$3:$H$102,8,FALSE),main!$K$19:$O$22,MATCH(VLOOKUP($A42,main!$A$3:$H$102,7,FALSE),main!$K$18:$O$18,0),0))),0)</f>
        <v>0</v>
      </c>
      <c r="CB42">
        <f>IF((gamma!CB42),IF(VLOOKUP(CB$1,main!$A$3:$H$102,7,FALSE)=VLOOKUP($A42,main!$A$3:$H$102,8,FALSE),VLOOKUP(CB$1,main!$A$3:$H$102,4,FALSE),VLOOKUP(CB$1,main!$A$3:$H$102,4,FALSE)+VLOOKUP($A42,main!$A$3:$H$102,4,FALSE)+(VLOOKUP(VLOOKUP(CB$1,main!$A$3:$H$102,8,FALSE),main!$K$19:$O$22,MATCH(VLOOKUP($A42,main!$A$3:$H$102,7,FALSE),main!$K$18:$O$18,0),0))),0)</f>
        <v>0</v>
      </c>
      <c r="CC42">
        <f>IF((gamma!CC42),IF(VLOOKUP(CC$1,main!$A$3:$H$102,7,FALSE)=VLOOKUP($A42,main!$A$3:$H$102,8,FALSE),VLOOKUP(CC$1,main!$A$3:$H$102,4,FALSE),VLOOKUP(CC$1,main!$A$3:$H$102,4,FALSE)+VLOOKUP($A42,main!$A$3:$H$102,4,FALSE)+(VLOOKUP(VLOOKUP(CC$1,main!$A$3:$H$102,8,FALSE),main!$K$19:$O$22,MATCH(VLOOKUP($A42,main!$A$3:$H$102,7,FALSE),main!$K$18:$O$18,0),0))),0)</f>
        <v>0</v>
      </c>
      <c r="CD42">
        <f>IF((gamma!CD42),IF(VLOOKUP(CD$1,main!$A$3:$H$102,7,FALSE)=VLOOKUP($A42,main!$A$3:$H$102,8,FALSE),VLOOKUP(CD$1,main!$A$3:$H$102,4,FALSE),VLOOKUP(CD$1,main!$A$3:$H$102,4,FALSE)+VLOOKUP($A42,main!$A$3:$H$102,4,FALSE)+(VLOOKUP(VLOOKUP(CD$1,main!$A$3:$H$102,8,FALSE),main!$K$19:$O$22,MATCH(VLOOKUP($A42,main!$A$3:$H$102,7,FALSE),main!$K$18:$O$18,0),0))),0)</f>
        <v>0</v>
      </c>
      <c r="CE42">
        <f>IF((gamma!CE42),IF(VLOOKUP(CE$1,main!$A$3:$H$102,7,FALSE)=VLOOKUP($A42,main!$A$3:$H$102,8,FALSE),VLOOKUP(CE$1,main!$A$3:$H$102,4,FALSE),VLOOKUP(CE$1,main!$A$3:$H$102,4,FALSE)+VLOOKUP($A42,main!$A$3:$H$102,4,FALSE)+(VLOOKUP(VLOOKUP(CE$1,main!$A$3:$H$102,8,FALSE),main!$K$19:$O$22,MATCH(VLOOKUP($A42,main!$A$3:$H$102,7,FALSE),main!$K$18:$O$18,0),0))),0)</f>
        <v>0</v>
      </c>
      <c r="CF42">
        <f>IF((gamma!CF42),IF(VLOOKUP(CF$1,main!$A$3:$H$102,7,FALSE)=VLOOKUP($A42,main!$A$3:$H$102,8,FALSE),VLOOKUP(CF$1,main!$A$3:$H$102,4,FALSE),VLOOKUP(CF$1,main!$A$3:$H$102,4,FALSE)+VLOOKUP($A42,main!$A$3:$H$102,4,FALSE)+(VLOOKUP(VLOOKUP(CF$1,main!$A$3:$H$102,8,FALSE),main!$K$19:$O$22,MATCH(VLOOKUP($A42,main!$A$3:$H$102,7,FALSE),main!$K$18:$O$18,0),0))),0)</f>
        <v>0</v>
      </c>
      <c r="CG42">
        <f>IF((gamma!CG42),IF(VLOOKUP(CG$1,main!$A$3:$H$102,7,FALSE)=VLOOKUP($A42,main!$A$3:$H$102,8,FALSE),VLOOKUP(CG$1,main!$A$3:$H$102,4,FALSE),VLOOKUP(CG$1,main!$A$3:$H$102,4,FALSE)+VLOOKUP($A42,main!$A$3:$H$102,4,FALSE)+(VLOOKUP(VLOOKUP(CG$1,main!$A$3:$H$102,8,FALSE),main!$K$19:$O$22,MATCH(VLOOKUP($A42,main!$A$3:$H$102,7,FALSE),main!$K$18:$O$18,0),0))),0)</f>
        <v>0</v>
      </c>
      <c r="CH42">
        <f>IF((gamma!CH42),IF(VLOOKUP(CH$1,main!$A$3:$H$102,7,FALSE)=VLOOKUP($A42,main!$A$3:$H$102,8,FALSE),VLOOKUP(CH$1,main!$A$3:$H$102,4,FALSE),VLOOKUP(CH$1,main!$A$3:$H$102,4,FALSE)+VLOOKUP($A42,main!$A$3:$H$102,4,FALSE)+(VLOOKUP(VLOOKUP(CH$1,main!$A$3:$H$102,8,FALSE),main!$K$19:$O$22,MATCH(VLOOKUP($A42,main!$A$3:$H$102,7,FALSE),main!$K$18:$O$18,0),0))),0)</f>
        <v>0</v>
      </c>
      <c r="CI42">
        <f>IF((gamma!CI42),IF(VLOOKUP(CI$1,main!$A$3:$H$102,7,FALSE)=VLOOKUP($A42,main!$A$3:$H$102,8,FALSE),VLOOKUP(CI$1,main!$A$3:$H$102,4,FALSE),VLOOKUP(CI$1,main!$A$3:$H$102,4,FALSE)+VLOOKUP($A42,main!$A$3:$H$102,4,FALSE)+(VLOOKUP(VLOOKUP(CI$1,main!$A$3:$H$102,8,FALSE),main!$K$19:$O$22,MATCH(VLOOKUP($A42,main!$A$3:$H$102,7,FALSE),main!$K$18:$O$18,0),0))),0)</f>
        <v>0</v>
      </c>
      <c r="CJ42">
        <f>IF((gamma!CJ42),IF(VLOOKUP(CJ$1,main!$A$3:$H$102,7,FALSE)=VLOOKUP($A42,main!$A$3:$H$102,8,FALSE),VLOOKUP(CJ$1,main!$A$3:$H$102,4,FALSE),VLOOKUP(CJ$1,main!$A$3:$H$102,4,FALSE)+VLOOKUP($A42,main!$A$3:$H$102,4,FALSE)+(VLOOKUP(VLOOKUP(CJ$1,main!$A$3:$H$102,8,FALSE),main!$K$19:$O$22,MATCH(VLOOKUP($A42,main!$A$3:$H$102,7,FALSE),main!$K$18:$O$18,0),0))),0)</f>
        <v>0</v>
      </c>
      <c r="CK42">
        <f>IF((gamma!CK42),IF(VLOOKUP(CK$1,main!$A$3:$H$102,7,FALSE)=VLOOKUP($A42,main!$A$3:$H$102,8,FALSE),VLOOKUP(CK$1,main!$A$3:$H$102,4,FALSE),VLOOKUP(CK$1,main!$A$3:$H$102,4,FALSE)+VLOOKUP($A42,main!$A$3:$H$102,4,FALSE)+(VLOOKUP(VLOOKUP(CK$1,main!$A$3:$H$102,8,FALSE),main!$K$19:$O$22,MATCH(VLOOKUP($A42,main!$A$3:$H$102,7,FALSE),main!$K$18:$O$18,0),0))),0)</f>
        <v>0</v>
      </c>
      <c r="CL42">
        <f>IF((gamma!CL42),IF(VLOOKUP(CL$1,main!$A$3:$H$102,7,FALSE)=VLOOKUP($A42,main!$A$3:$H$102,8,FALSE),VLOOKUP(CL$1,main!$A$3:$H$102,4,FALSE),VLOOKUP(CL$1,main!$A$3:$H$102,4,FALSE)+VLOOKUP($A42,main!$A$3:$H$102,4,FALSE)+(VLOOKUP(VLOOKUP(CL$1,main!$A$3:$H$102,8,FALSE),main!$K$19:$O$22,MATCH(VLOOKUP($A42,main!$A$3:$H$102,7,FALSE),main!$K$18:$O$18,0),0))),0)</f>
        <v>0</v>
      </c>
      <c r="CM42">
        <f>IF((gamma!CM42),IF(VLOOKUP(CM$1,main!$A$3:$H$102,7,FALSE)=VLOOKUP($A42,main!$A$3:$H$102,8,FALSE),VLOOKUP(CM$1,main!$A$3:$H$102,4,FALSE),VLOOKUP(CM$1,main!$A$3:$H$102,4,FALSE)+VLOOKUP($A42,main!$A$3:$H$102,4,FALSE)+(VLOOKUP(VLOOKUP(CM$1,main!$A$3:$H$102,8,FALSE),main!$K$19:$O$22,MATCH(VLOOKUP($A42,main!$A$3:$H$102,7,FALSE),main!$K$18:$O$18,0),0))),0)</f>
        <v>0</v>
      </c>
      <c r="CN42">
        <f>IF((gamma!CN42),IF(VLOOKUP(CN$1,main!$A$3:$H$102,7,FALSE)=VLOOKUP($A42,main!$A$3:$H$102,8,FALSE),VLOOKUP(CN$1,main!$A$3:$H$102,4,FALSE),VLOOKUP(CN$1,main!$A$3:$H$102,4,FALSE)+VLOOKUP($A42,main!$A$3:$H$102,4,FALSE)+(VLOOKUP(VLOOKUP(CN$1,main!$A$3:$H$102,8,FALSE),main!$K$19:$O$22,MATCH(VLOOKUP($A42,main!$A$3:$H$102,7,FALSE),main!$K$18:$O$18,0),0))),0)</f>
        <v>0</v>
      </c>
      <c r="CO42">
        <f>IF((gamma!CO42),IF(VLOOKUP(CO$1,main!$A$3:$H$102,7,FALSE)=VLOOKUP($A42,main!$A$3:$H$102,8,FALSE),VLOOKUP(CO$1,main!$A$3:$H$102,4,FALSE),VLOOKUP(CO$1,main!$A$3:$H$102,4,FALSE)+VLOOKUP($A42,main!$A$3:$H$102,4,FALSE)+(VLOOKUP(VLOOKUP(CO$1,main!$A$3:$H$102,8,FALSE),main!$K$19:$O$22,MATCH(VLOOKUP($A42,main!$A$3:$H$102,7,FALSE),main!$K$18:$O$18,0),0))),0)</f>
        <v>0</v>
      </c>
      <c r="CP42">
        <f>IF((gamma!CP42),IF(VLOOKUP(CP$1,main!$A$3:$H$102,7,FALSE)=VLOOKUP($A42,main!$A$3:$H$102,8,FALSE),VLOOKUP(CP$1,main!$A$3:$H$102,4,FALSE),VLOOKUP(CP$1,main!$A$3:$H$102,4,FALSE)+VLOOKUP($A42,main!$A$3:$H$102,4,FALSE)+(VLOOKUP(VLOOKUP(CP$1,main!$A$3:$H$102,8,FALSE),main!$K$19:$O$22,MATCH(VLOOKUP($A42,main!$A$3:$H$102,7,FALSE),main!$K$18:$O$18,0),0))),0)</f>
        <v>0</v>
      </c>
      <c r="CQ42">
        <f>IF((gamma!CQ42),IF(VLOOKUP(CQ$1,main!$A$3:$H$102,7,FALSE)=VLOOKUP($A42,main!$A$3:$H$102,8,FALSE),VLOOKUP(CQ$1,main!$A$3:$H$102,4,FALSE),VLOOKUP(CQ$1,main!$A$3:$H$102,4,FALSE)+VLOOKUP($A42,main!$A$3:$H$102,4,FALSE)+(VLOOKUP(VLOOKUP(CQ$1,main!$A$3:$H$102,8,FALSE),main!$K$19:$O$22,MATCH(VLOOKUP($A42,main!$A$3:$H$102,7,FALSE),main!$K$18:$O$18,0),0))),0)</f>
        <v>0</v>
      </c>
      <c r="CR42">
        <f>IF((gamma!CR42),IF(VLOOKUP(CR$1,main!$A$3:$H$102,7,FALSE)=VLOOKUP($A42,main!$A$3:$H$102,8,FALSE),VLOOKUP(CR$1,main!$A$3:$H$102,4,FALSE),VLOOKUP(CR$1,main!$A$3:$H$102,4,FALSE)+VLOOKUP($A42,main!$A$3:$H$102,4,FALSE)+(VLOOKUP(VLOOKUP(CR$1,main!$A$3:$H$102,8,FALSE),main!$K$19:$O$22,MATCH(VLOOKUP($A42,main!$A$3:$H$102,7,FALSE),main!$K$18:$O$18,0),0))),0)</f>
        <v>0</v>
      </c>
      <c r="CS42">
        <f>IF((gamma!CS42),IF(VLOOKUP(CS$1,main!$A$3:$H$102,7,FALSE)=VLOOKUP($A42,main!$A$3:$H$102,8,FALSE),VLOOKUP(CS$1,main!$A$3:$H$102,4,FALSE),VLOOKUP(CS$1,main!$A$3:$H$102,4,FALSE)+VLOOKUP($A42,main!$A$3:$H$102,4,FALSE)+(VLOOKUP(VLOOKUP(CS$1,main!$A$3:$H$102,8,FALSE),main!$K$19:$O$22,MATCH(VLOOKUP($A42,main!$A$3:$H$102,7,FALSE),main!$K$18:$O$18,0),0))),0)</f>
        <v>0</v>
      </c>
      <c r="CT42">
        <f>IF((gamma!CT42),IF(VLOOKUP(CT$1,main!$A$3:$H$102,7,FALSE)=VLOOKUP($A42,main!$A$3:$H$102,8,FALSE),VLOOKUP(CT$1,main!$A$3:$H$102,4,FALSE),VLOOKUP(CT$1,main!$A$3:$H$102,4,FALSE)+VLOOKUP($A42,main!$A$3:$H$102,4,FALSE)+(VLOOKUP(VLOOKUP(CT$1,main!$A$3:$H$102,8,FALSE),main!$K$19:$O$22,MATCH(VLOOKUP($A42,main!$A$3:$H$102,7,FALSE),main!$K$18:$O$18,0),0))),0)</f>
        <v>0</v>
      </c>
      <c r="CU42">
        <f>IF((gamma!CU42),IF(VLOOKUP(CU$1,main!$A$3:$H$102,7,FALSE)=VLOOKUP($A42,main!$A$3:$H$102,8,FALSE),VLOOKUP(CU$1,main!$A$3:$H$102,4,FALSE),VLOOKUP(CU$1,main!$A$3:$H$102,4,FALSE)+VLOOKUP($A42,main!$A$3:$H$102,4,FALSE)+(VLOOKUP(VLOOKUP(CU$1,main!$A$3:$H$102,8,FALSE),main!$K$19:$O$22,MATCH(VLOOKUP($A42,main!$A$3:$H$102,7,FALSE),main!$K$18:$O$18,0),0))),0)</f>
        <v>0</v>
      </c>
      <c r="CV42">
        <f>IF((gamma!CV42),IF(VLOOKUP(CV$1,main!$A$3:$H$102,7,FALSE)=VLOOKUP($A42,main!$A$3:$H$102,8,FALSE),VLOOKUP(CV$1,main!$A$3:$H$102,4,FALSE),VLOOKUP(CV$1,main!$A$3:$H$102,4,FALSE)+VLOOKUP($A42,main!$A$3:$H$102,4,FALSE)+(VLOOKUP(VLOOKUP(CV$1,main!$A$3:$H$102,8,FALSE),main!$K$19:$O$22,MATCH(VLOOKUP($A42,main!$A$3:$H$102,7,FALSE),main!$K$18:$O$18,0),0))),0)</f>
        <v>0</v>
      </c>
      <c r="CW42">
        <f>IF((gamma!CW42),IF(VLOOKUP(CW$1,main!$A$3:$H$102,7,FALSE)=VLOOKUP($A42,main!$A$3:$H$102,8,FALSE),VLOOKUP(CW$1,main!$A$3:$H$102,4,FALSE),VLOOKUP(CW$1,main!$A$3:$H$102,4,FALSE)+VLOOKUP($A42,main!$A$3:$H$102,4,FALSE)+(VLOOKUP(VLOOKUP(CW$1,main!$A$3:$H$102,8,FALSE),main!$K$19:$O$22,MATCH(VLOOKUP($A42,main!$A$3:$H$102,7,FALSE),main!$K$18:$O$18,0),0))),0)</f>
        <v>0</v>
      </c>
      <c r="CX42">
        <f>IF((gamma!CX42),IF(VLOOKUP(CX$1,main!$A$3:$H$102,7,FALSE)=VLOOKUP($A42,main!$A$3:$H$102,8,FALSE),VLOOKUP(CX$1,main!$A$3:$H$102,4,FALSE),VLOOKUP(CX$1,main!$A$3:$H$102,4,FALSE)+VLOOKUP($A42,main!$A$3:$H$102,4,FALSE)+(VLOOKUP(VLOOKUP(CX$1,main!$A$3:$H$102,8,FALSE),main!$K$19:$O$22,MATCH(VLOOKUP($A42,main!$A$3:$H$102,7,FALSE),main!$K$18:$O$18,0),0))),0)</f>
        <v>0</v>
      </c>
      <c r="CY42">
        <v>0</v>
      </c>
      <c r="CZ42">
        <v>0</v>
      </c>
      <c r="DA42">
        <v>0</v>
      </c>
    </row>
    <row r="43" spans="1:105" x14ac:dyDescent="0.25">
      <c r="A43" s="1">
        <v>41</v>
      </c>
      <c r="B43">
        <v>0</v>
      </c>
      <c r="C43">
        <f>IF((gamma!C43),IF(VLOOKUP(C$1,main!$A$3:$H$102,7,FALSE)=VLOOKUP($A43,main!$A$3:$H$102,8,FALSE),VLOOKUP(C$1,main!$A$3:$H$102,4,FALSE),VLOOKUP(C$1,main!$A$3:$H$102,4,FALSE)+VLOOKUP($A43,main!$A$3:$H$102,4,FALSE)+(VLOOKUP(VLOOKUP(C$1,main!$A$3:$H$102,8,FALSE),main!$K$19:$O$22,MATCH(VLOOKUP($A43,main!$A$3:$H$102,7,FALSE),main!$K$18:$O$18,0),0))),0)</f>
        <v>0</v>
      </c>
      <c r="D43">
        <f>IF((gamma!D43),IF(VLOOKUP(D$1,main!$A$3:$H$102,7,FALSE)=VLOOKUP($A43,main!$A$3:$H$102,8,FALSE),VLOOKUP(D$1,main!$A$3:$H$102,4,FALSE),VLOOKUP(D$1,main!$A$3:$H$102,4,FALSE)+VLOOKUP($A43,main!$A$3:$H$102,4,FALSE)+(VLOOKUP(VLOOKUP(D$1,main!$A$3:$H$102,8,FALSE),main!$K$19:$O$22,MATCH(VLOOKUP($A43,main!$A$3:$H$102,7,FALSE),main!$K$18:$O$18,0),0))),0)</f>
        <v>0</v>
      </c>
      <c r="E43">
        <f>IF((gamma!E43),IF(VLOOKUP(E$1,main!$A$3:$H$102,7,FALSE)=VLOOKUP($A43,main!$A$3:$H$102,8,FALSE),VLOOKUP(E$1,main!$A$3:$H$102,4,FALSE),VLOOKUP(E$1,main!$A$3:$H$102,4,FALSE)+VLOOKUP($A43,main!$A$3:$H$102,4,FALSE)+(VLOOKUP(VLOOKUP(E$1,main!$A$3:$H$102,8,FALSE),main!$K$19:$O$22,MATCH(VLOOKUP($A43,main!$A$3:$H$102,7,FALSE),main!$K$18:$O$18,0),0))),0)</f>
        <v>275</v>
      </c>
      <c r="F43">
        <f>IF((gamma!F43),IF(VLOOKUP(F$1,main!$A$3:$H$102,7,FALSE)=VLOOKUP($A43,main!$A$3:$H$102,8,FALSE),VLOOKUP(F$1,main!$A$3:$H$102,4,FALSE),VLOOKUP(F$1,main!$A$3:$H$102,4,FALSE)+VLOOKUP($A43,main!$A$3:$H$102,4,FALSE)+(VLOOKUP(VLOOKUP(F$1,main!$A$3:$H$102,8,FALSE),main!$K$19:$O$22,MATCH(VLOOKUP($A43,main!$A$3:$H$102,7,FALSE),main!$K$18:$O$18,0),0))),0)</f>
        <v>275</v>
      </c>
      <c r="G43">
        <f>IF((gamma!G43),IF(VLOOKUP(G$1,main!$A$3:$H$102,7,FALSE)=VLOOKUP($A43,main!$A$3:$H$102,8,FALSE),VLOOKUP(G$1,main!$A$3:$H$102,4,FALSE),VLOOKUP(G$1,main!$A$3:$H$102,4,FALSE)+VLOOKUP($A43,main!$A$3:$H$102,4,FALSE)+(VLOOKUP(VLOOKUP(G$1,main!$A$3:$H$102,8,FALSE),main!$K$19:$O$22,MATCH(VLOOKUP($A43,main!$A$3:$H$102,7,FALSE),main!$K$18:$O$18,0),0))),0)</f>
        <v>275</v>
      </c>
      <c r="H43">
        <f>IF((gamma!H43),IF(VLOOKUP(H$1,main!$A$3:$H$102,7,FALSE)=VLOOKUP($A43,main!$A$3:$H$102,8,FALSE),VLOOKUP(H$1,main!$A$3:$H$102,4,FALSE),VLOOKUP(H$1,main!$A$3:$H$102,4,FALSE)+VLOOKUP($A43,main!$A$3:$H$102,4,FALSE)+(VLOOKUP(VLOOKUP(H$1,main!$A$3:$H$102,8,FALSE),main!$K$19:$O$22,MATCH(VLOOKUP($A43,main!$A$3:$H$102,7,FALSE),main!$K$18:$O$18,0),0))),0)</f>
        <v>275</v>
      </c>
      <c r="I43">
        <f>IF((gamma!I43),IF(VLOOKUP(I$1,main!$A$3:$H$102,7,FALSE)=VLOOKUP($A43,main!$A$3:$H$102,8,FALSE),VLOOKUP(I$1,main!$A$3:$H$102,4,FALSE),VLOOKUP(I$1,main!$A$3:$H$102,4,FALSE)+VLOOKUP($A43,main!$A$3:$H$102,4,FALSE)+(VLOOKUP(VLOOKUP(I$1,main!$A$3:$H$102,8,FALSE),main!$K$19:$O$22,MATCH(VLOOKUP($A43,main!$A$3:$H$102,7,FALSE),main!$K$18:$O$18,0),0))),0)</f>
        <v>275</v>
      </c>
      <c r="J43">
        <f>IF((gamma!J43),IF(VLOOKUP(J$1,main!$A$3:$H$102,7,FALSE)=VLOOKUP($A43,main!$A$3:$H$102,8,FALSE),VLOOKUP(J$1,main!$A$3:$H$102,4,FALSE),VLOOKUP(J$1,main!$A$3:$H$102,4,FALSE)+VLOOKUP($A43,main!$A$3:$H$102,4,FALSE)+(VLOOKUP(VLOOKUP(J$1,main!$A$3:$H$102,8,FALSE),main!$K$19:$O$22,MATCH(VLOOKUP($A43,main!$A$3:$H$102,7,FALSE),main!$K$18:$O$18,0),0))),0)</f>
        <v>275</v>
      </c>
      <c r="K43">
        <f>IF((gamma!K43),IF(VLOOKUP(K$1,main!$A$3:$H$102,7,FALSE)=VLOOKUP($A43,main!$A$3:$H$102,8,FALSE),VLOOKUP(K$1,main!$A$3:$H$102,4,FALSE),VLOOKUP(K$1,main!$A$3:$H$102,4,FALSE)+VLOOKUP($A43,main!$A$3:$H$102,4,FALSE)+(VLOOKUP(VLOOKUP(K$1,main!$A$3:$H$102,8,FALSE),main!$K$19:$O$22,MATCH(VLOOKUP($A43,main!$A$3:$H$102,7,FALSE),main!$K$18:$O$18,0),0))),0)</f>
        <v>275</v>
      </c>
      <c r="L43">
        <f>IF((gamma!L43),IF(VLOOKUP(L$1,main!$A$3:$H$102,7,FALSE)=VLOOKUP($A43,main!$A$3:$H$102,8,FALSE),VLOOKUP(L$1,main!$A$3:$H$102,4,FALSE),VLOOKUP(L$1,main!$A$3:$H$102,4,FALSE)+VLOOKUP($A43,main!$A$3:$H$102,4,FALSE)+(VLOOKUP(VLOOKUP(L$1,main!$A$3:$H$102,8,FALSE),main!$K$19:$O$22,MATCH(VLOOKUP($A43,main!$A$3:$H$102,7,FALSE),main!$K$18:$O$18,0),0))),0)</f>
        <v>275</v>
      </c>
      <c r="M43">
        <f>IF((gamma!M43),IF(VLOOKUP(M$1,main!$A$3:$H$102,7,FALSE)=VLOOKUP($A43,main!$A$3:$H$102,8,FALSE),VLOOKUP(M$1,main!$A$3:$H$102,4,FALSE),VLOOKUP(M$1,main!$A$3:$H$102,4,FALSE)+VLOOKUP($A43,main!$A$3:$H$102,4,FALSE)+(VLOOKUP(VLOOKUP(M$1,main!$A$3:$H$102,8,FALSE),main!$K$19:$O$22,MATCH(VLOOKUP($A43,main!$A$3:$H$102,7,FALSE),main!$K$18:$O$18,0),0))),0)</f>
        <v>0</v>
      </c>
      <c r="N43">
        <f>IF((gamma!N43),IF(VLOOKUP(N$1,main!$A$3:$H$102,7,FALSE)=VLOOKUP($A43,main!$A$3:$H$102,8,FALSE),VLOOKUP(N$1,main!$A$3:$H$102,4,FALSE),VLOOKUP(N$1,main!$A$3:$H$102,4,FALSE)+VLOOKUP($A43,main!$A$3:$H$102,4,FALSE)+(VLOOKUP(VLOOKUP(N$1,main!$A$3:$H$102,8,FALSE),main!$K$19:$O$22,MATCH(VLOOKUP($A43,main!$A$3:$H$102,7,FALSE),main!$K$18:$O$18,0),0))),0)</f>
        <v>0</v>
      </c>
      <c r="O43">
        <f>IF((gamma!O43),IF(VLOOKUP(O$1,main!$A$3:$H$102,7,FALSE)=VLOOKUP($A43,main!$A$3:$H$102,8,FALSE),VLOOKUP(O$1,main!$A$3:$H$102,4,FALSE),VLOOKUP(O$1,main!$A$3:$H$102,4,FALSE)+VLOOKUP($A43,main!$A$3:$H$102,4,FALSE)+(VLOOKUP(VLOOKUP(O$1,main!$A$3:$H$102,8,FALSE),main!$K$19:$O$22,MATCH(VLOOKUP($A43,main!$A$3:$H$102,7,FALSE),main!$K$18:$O$18,0),0))),0)</f>
        <v>0</v>
      </c>
      <c r="P43">
        <f>IF((gamma!P43),IF(VLOOKUP(P$1,main!$A$3:$H$102,7,FALSE)=VLOOKUP($A43,main!$A$3:$H$102,8,FALSE),VLOOKUP(P$1,main!$A$3:$H$102,4,FALSE),VLOOKUP(P$1,main!$A$3:$H$102,4,FALSE)+VLOOKUP($A43,main!$A$3:$H$102,4,FALSE)+(VLOOKUP(VLOOKUP(P$1,main!$A$3:$H$102,8,FALSE),main!$K$19:$O$22,MATCH(VLOOKUP($A43,main!$A$3:$H$102,7,FALSE),main!$K$18:$O$18,0),0))),0)</f>
        <v>308</v>
      </c>
      <c r="Q43">
        <f>IF((gamma!Q43),IF(VLOOKUP(Q$1,main!$A$3:$H$102,7,FALSE)=VLOOKUP($A43,main!$A$3:$H$102,8,FALSE),VLOOKUP(Q$1,main!$A$3:$H$102,4,FALSE),VLOOKUP(Q$1,main!$A$3:$H$102,4,FALSE)+VLOOKUP($A43,main!$A$3:$H$102,4,FALSE)+(VLOOKUP(VLOOKUP(Q$1,main!$A$3:$H$102,8,FALSE),main!$K$19:$O$22,MATCH(VLOOKUP($A43,main!$A$3:$H$102,7,FALSE),main!$K$18:$O$18,0),0))),0)</f>
        <v>308</v>
      </c>
      <c r="R43">
        <f>IF((gamma!R43),IF(VLOOKUP(R$1,main!$A$3:$H$102,7,FALSE)=VLOOKUP($A43,main!$A$3:$H$102,8,FALSE),VLOOKUP(R$1,main!$A$3:$H$102,4,FALSE),VLOOKUP(R$1,main!$A$3:$H$102,4,FALSE)+VLOOKUP($A43,main!$A$3:$H$102,4,FALSE)+(VLOOKUP(VLOOKUP(R$1,main!$A$3:$H$102,8,FALSE),main!$K$19:$O$22,MATCH(VLOOKUP($A43,main!$A$3:$H$102,7,FALSE),main!$K$18:$O$18,0),0))),0)</f>
        <v>308</v>
      </c>
      <c r="S43">
        <f>IF((gamma!S43),IF(VLOOKUP(S$1,main!$A$3:$H$102,7,FALSE)=VLOOKUP($A43,main!$A$3:$H$102,8,FALSE),VLOOKUP(S$1,main!$A$3:$H$102,4,FALSE),VLOOKUP(S$1,main!$A$3:$H$102,4,FALSE)+VLOOKUP($A43,main!$A$3:$H$102,4,FALSE)+(VLOOKUP(VLOOKUP(S$1,main!$A$3:$H$102,8,FALSE),main!$K$19:$O$22,MATCH(VLOOKUP($A43,main!$A$3:$H$102,7,FALSE),main!$K$18:$O$18,0),0))),0)</f>
        <v>308</v>
      </c>
      <c r="T43">
        <f>IF((gamma!T43),IF(VLOOKUP(T$1,main!$A$3:$H$102,7,FALSE)=VLOOKUP($A43,main!$A$3:$H$102,8,FALSE),VLOOKUP(T$1,main!$A$3:$H$102,4,FALSE),VLOOKUP(T$1,main!$A$3:$H$102,4,FALSE)+VLOOKUP($A43,main!$A$3:$H$102,4,FALSE)+(VLOOKUP(VLOOKUP(T$1,main!$A$3:$H$102,8,FALSE),main!$K$19:$O$22,MATCH(VLOOKUP($A43,main!$A$3:$H$102,7,FALSE),main!$K$18:$O$18,0),0))),0)</f>
        <v>308</v>
      </c>
      <c r="U43">
        <f>IF((gamma!U43),IF(VLOOKUP(U$1,main!$A$3:$H$102,7,FALSE)=VLOOKUP($A43,main!$A$3:$H$102,8,FALSE),VLOOKUP(U$1,main!$A$3:$H$102,4,FALSE),VLOOKUP(U$1,main!$A$3:$H$102,4,FALSE)+VLOOKUP($A43,main!$A$3:$H$102,4,FALSE)+(VLOOKUP(VLOOKUP(U$1,main!$A$3:$H$102,8,FALSE),main!$K$19:$O$22,MATCH(VLOOKUP($A43,main!$A$3:$H$102,7,FALSE),main!$K$18:$O$18,0),0))),0)</f>
        <v>308</v>
      </c>
      <c r="V43">
        <f>IF((gamma!V43),IF(VLOOKUP(V$1,main!$A$3:$H$102,7,FALSE)=VLOOKUP($A43,main!$A$3:$H$102,8,FALSE),VLOOKUP(V$1,main!$A$3:$H$102,4,FALSE),VLOOKUP(V$1,main!$A$3:$H$102,4,FALSE)+VLOOKUP($A43,main!$A$3:$H$102,4,FALSE)+(VLOOKUP(VLOOKUP(V$1,main!$A$3:$H$102,8,FALSE),main!$K$19:$O$22,MATCH(VLOOKUP($A43,main!$A$3:$H$102,7,FALSE),main!$K$18:$O$18,0),0))),0)</f>
        <v>308</v>
      </c>
      <c r="W43">
        <f>IF((gamma!W43),IF(VLOOKUP(W$1,main!$A$3:$H$102,7,FALSE)=VLOOKUP($A43,main!$A$3:$H$102,8,FALSE),VLOOKUP(W$1,main!$A$3:$H$102,4,FALSE),VLOOKUP(W$1,main!$A$3:$H$102,4,FALSE)+VLOOKUP($A43,main!$A$3:$H$102,4,FALSE)+(VLOOKUP(VLOOKUP(W$1,main!$A$3:$H$102,8,FALSE),main!$K$19:$O$22,MATCH(VLOOKUP($A43,main!$A$3:$H$102,7,FALSE),main!$K$18:$O$18,0),0))),0)</f>
        <v>0</v>
      </c>
      <c r="X43">
        <f>IF((gamma!X43),IF(VLOOKUP(X$1,main!$A$3:$H$102,7,FALSE)=VLOOKUP($A43,main!$A$3:$H$102,8,FALSE),VLOOKUP(X$1,main!$A$3:$H$102,4,FALSE),VLOOKUP(X$1,main!$A$3:$H$102,4,FALSE)+VLOOKUP($A43,main!$A$3:$H$102,4,FALSE)+(VLOOKUP(VLOOKUP(X$1,main!$A$3:$H$102,8,FALSE),main!$K$19:$O$22,MATCH(VLOOKUP($A43,main!$A$3:$H$102,7,FALSE),main!$K$18:$O$18,0),0))),0)</f>
        <v>320</v>
      </c>
      <c r="Y43">
        <f>IF((gamma!Y43),IF(VLOOKUP(Y$1,main!$A$3:$H$102,7,FALSE)=VLOOKUP($A43,main!$A$3:$H$102,8,FALSE),VLOOKUP(Y$1,main!$A$3:$H$102,4,FALSE),VLOOKUP(Y$1,main!$A$3:$H$102,4,FALSE)+VLOOKUP($A43,main!$A$3:$H$102,4,FALSE)+(VLOOKUP(VLOOKUP(Y$1,main!$A$3:$H$102,8,FALSE),main!$K$19:$O$22,MATCH(VLOOKUP($A43,main!$A$3:$H$102,7,FALSE),main!$K$18:$O$18,0),0))),0)</f>
        <v>315</v>
      </c>
      <c r="Z43">
        <f>IF((gamma!Z43),IF(VLOOKUP(Z$1,main!$A$3:$H$102,7,FALSE)=VLOOKUP($A43,main!$A$3:$H$102,8,FALSE),VLOOKUP(Z$1,main!$A$3:$H$102,4,FALSE),VLOOKUP(Z$1,main!$A$3:$H$102,4,FALSE)+VLOOKUP($A43,main!$A$3:$H$102,4,FALSE)+(VLOOKUP(VLOOKUP(Z$1,main!$A$3:$H$102,8,FALSE),main!$K$19:$O$22,MATCH(VLOOKUP($A43,main!$A$3:$H$102,7,FALSE),main!$K$18:$O$18,0),0))),0)</f>
        <v>320</v>
      </c>
      <c r="AA43">
        <f>IF((gamma!AA43),IF(VLOOKUP(AA$1,main!$A$3:$H$102,7,FALSE)=VLOOKUP($A43,main!$A$3:$H$102,8,FALSE),VLOOKUP(AA$1,main!$A$3:$H$102,4,FALSE),VLOOKUP(AA$1,main!$A$3:$H$102,4,FALSE)+VLOOKUP($A43,main!$A$3:$H$102,4,FALSE)+(VLOOKUP(VLOOKUP(AA$1,main!$A$3:$H$102,8,FALSE),main!$K$19:$O$22,MATCH(VLOOKUP($A43,main!$A$3:$H$102,7,FALSE),main!$K$18:$O$18,0),0))),0)</f>
        <v>320</v>
      </c>
      <c r="AB43">
        <f>IF((gamma!AB43),IF(VLOOKUP(AB$1,main!$A$3:$H$102,7,FALSE)=VLOOKUP($A43,main!$A$3:$H$102,8,FALSE),VLOOKUP(AB$1,main!$A$3:$H$102,4,FALSE),VLOOKUP(AB$1,main!$A$3:$H$102,4,FALSE)+VLOOKUP($A43,main!$A$3:$H$102,4,FALSE)+(VLOOKUP(VLOOKUP(AB$1,main!$A$3:$H$102,8,FALSE),main!$K$19:$O$22,MATCH(VLOOKUP($A43,main!$A$3:$H$102,7,FALSE),main!$K$18:$O$18,0),0))),0)</f>
        <v>0</v>
      </c>
      <c r="AC43">
        <f>IF((gamma!AC43),IF(VLOOKUP(AC$1,main!$A$3:$H$102,7,FALSE)=VLOOKUP($A43,main!$A$3:$H$102,8,FALSE),VLOOKUP(AC$1,main!$A$3:$H$102,4,FALSE),VLOOKUP(AC$1,main!$A$3:$H$102,4,FALSE)+VLOOKUP($A43,main!$A$3:$H$102,4,FALSE)+(VLOOKUP(VLOOKUP(AC$1,main!$A$3:$H$102,8,FALSE),main!$K$19:$O$22,MATCH(VLOOKUP($A43,main!$A$3:$H$102,7,FALSE),main!$K$18:$O$18,0),0))),0)</f>
        <v>0</v>
      </c>
      <c r="AD43">
        <f>IF((gamma!AD43),IF(VLOOKUP(AD$1,main!$A$3:$H$102,7,FALSE)=VLOOKUP($A43,main!$A$3:$H$102,8,FALSE),VLOOKUP(AD$1,main!$A$3:$H$102,4,FALSE),VLOOKUP(AD$1,main!$A$3:$H$102,4,FALSE)+VLOOKUP($A43,main!$A$3:$H$102,4,FALSE)+(VLOOKUP(VLOOKUP(AD$1,main!$A$3:$H$102,8,FALSE),main!$K$19:$O$22,MATCH(VLOOKUP($A43,main!$A$3:$H$102,7,FALSE),main!$K$18:$O$18,0),0))),0)</f>
        <v>315</v>
      </c>
      <c r="AE43">
        <f>IF((gamma!AE43),IF(VLOOKUP(AE$1,main!$A$3:$H$102,7,FALSE)=VLOOKUP($A43,main!$A$3:$H$102,8,FALSE),VLOOKUP(AE$1,main!$A$3:$H$102,4,FALSE),VLOOKUP(AE$1,main!$A$3:$H$102,4,FALSE)+VLOOKUP($A43,main!$A$3:$H$102,4,FALSE)+(VLOOKUP(VLOOKUP(AE$1,main!$A$3:$H$102,8,FALSE),main!$K$19:$O$22,MATCH(VLOOKUP($A43,main!$A$3:$H$102,7,FALSE),main!$K$18:$O$18,0),0))),0)</f>
        <v>320</v>
      </c>
      <c r="AF43">
        <f>IF((gamma!AF43),IF(VLOOKUP(AF$1,main!$A$3:$H$102,7,FALSE)=VLOOKUP($A43,main!$A$3:$H$102,8,FALSE),VLOOKUP(AF$1,main!$A$3:$H$102,4,FALSE),VLOOKUP(AF$1,main!$A$3:$H$102,4,FALSE)+VLOOKUP($A43,main!$A$3:$H$102,4,FALSE)+(VLOOKUP(VLOOKUP(AF$1,main!$A$3:$H$102,8,FALSE),main!$K$19:$O$22,MATCH(VLOOKUP($A43,main!$A$3:$H$102,7,FALSE),main!$K$18:$O$18,0),0))),0)</f>
        <v>280</v>
      </c>
      <c r="AG43">
        <f>IF((gamma!AG43),IF(VLOOKUP(AG$1,main!$A$3:$H$102,7,FALSE)=VLOOKUP($A43,main!$A$3:$H$102,8,FALSE),VLOOKUP(AG$1,main!$A$3:$H$102,4,FALSE),VLOOKUP(AG$1,main!$A$3:$H$102,4,FALSE)+VLOOKUP($A43,main!$A$3:$H$102,4,FALSE)+(VLOOKUP(VLOOKUP(AG$1,main!$A$3:$H$102,8,FALSE),main!$K$19:$O$22,MATCH(VLOOKUP($A43,main!$A$3:$H$102,7,FALSE),main!$K$18:$O$18,0),0))),0)</f>
        <v>0</v>
      </c>
      <c r="AH43">
        <f>IF((gamma!AH43),IF(VLOOKUP(AH$1,main!$A$3:$H$102,7,FALSE)=VLOOKUP($A43,main!$A$3:$H$102,8,FALSE),VLOOKUP(AH$1,main!$A$3:$H$102,4,FALSE),VLOOKUP(AH$1,main!$A$3:$H$102,4,FALSE)+VLOOKUP($A43,main!$A$3:$H$102,4,FALSE)+(VLOOKUP(VLOOKUP(AH$1,main!$A$3:$H$102,8,FALSE),main!$K$19:$O$22,MATCH(VLOOKUP($A43,main!$A$3:$H$102,7,FALSE),main!$K$18:$O$18,0),0))),0)</f>
        <v>300</v>
      </c>
      <c r="AI43">
        <f>IF((gamma!AI43),IF(VLOOKUP(AI$1,main!$A$3:$H$102,7,FALSE)=VLOOKUP($A43,main!$A$3:$H$102,8,FALSE),VLOOKUP(AI$1,main!$A$3:$H$102,4,FALSE),VLOOKUP(AI$1,main!$A$3:$H$102,4,FALSE)+VLOOKUP($A43,main!$A$3:$H$102,4,FALSE)+(VLOOKUP(VLOOKUP(AI$1,main!$A$3:$H$102,8,FALSE),main!$K$19:$O$22,MATCH(VLOOKUP($A43,main!$A$3:$H$102,7,FALSE),main!$K$18:$O$18,0),0))),0)</f>
        <v>300</v>
      </c>
      <c r="AJ43">
        <f>IF((gamma!AJ43),IF(VLOOKUP(AJ$1,main!$A$3:$H$102,7,FALSE)=VLOOKUP($A43,main!$A$3:$H$102,8,FALSE),VLOOKUP(AJ$1,main!$A$3:$H$102,4,FALSE),VLOOKUP(AJ$1,main!$A$3:$H$102,4,FALSE)+VLOOKUP($A43,main!$A$3:$H$102,4,FALSE)+(VLOOKUP(VLOOKUP(AJ$1,main!$A$3:$H$102,8,FALSE),main!$K$19:$O$22,MATCH(VLOOKUP($A43,main!$A$3:$H$102,7,FALSE),main!$K$18:$O$18,0),0))),0)</f>
        <v>300</v>
      </c>
      <c r="AK43">
        <f>IF((gamma!AK43),IF(VLOOKUP(AK$1,main!$A$3:$H$102,7,FALSE)=VLOOKUP($A43,main!$A$3:$H$102,8,FALSE),VLOOKUP(AK$1,main!$A$3:$H$102,4,FALSE),VLOOKUP(AK$1,main!$A$3:$H$102,4,FALSE)+VLOOKUP($A43,main!$A$3:$H$102,4,FALSE)+(VLOOKUP(VLOOKUP(AK$1,main!$A$3:$H$102,8,FALSE),main!$K$19:$O$22,MATCH(VLOOKUP($A43,main!$A$3:$H$102,7,FALSE),main!$K$18:$O$18,0),0))),0)</f>
        <v>300</v>
      </c>
      <c r="AL43">
        <f>IF((gamma!AL43),IF(VLOOKUP(AL$1,main!$A$3:$H$102,7,FALSE)=VLOOKUP($A43,main!$A$3:$H$102,8,FALSE),VLOOKUP(AL$1,main!$A$3:$H$102,4,FALSE),VLOOKUP(AL$1,main!$A$3:$H$102,4,FALSE)+VLOOKUP($A43,main!$A$3:$H$102,4,FALSE)+(VLOOKUP(VLOOKUP(AL$1,main!$A$3:$H$102,8,FALSE),main!$K$19:$O$22,MATCH(VLOOKUP($A43,main!$A$3:$H$102,7,FALSE),main!$K$18:$O$18,0),0))),0)</f>
        <v>300</v>
      </c>
      <c r="AM43">
        <f>IF((gamma!AM43),IF(VLOOKUP(AM$1,main!$A$3:$H$102,7,FALSE)=VLOOKUP($A43,main!$A$3:$H$102,8,FALSE),VLOOKUP(AM$1,main!$A$3:$H$102,4,FALSE),VLOOKUP(AM$1,main!$A$3:$H$102,4,FALSE)+VLOOKUP($A43,main!$A$3:$H$102,4,FALSE)+(VLOOKUP(VLOOKUP(AM$1,main!$A$3:$H$102,8,FALSE),main!$K$19:$O$22,MATCH(VLOOKUP($A43,main!$A$3:$H$102,7,FALSE),main!$K$18:$O$18,0),0))),0)</f>
        <v>300</v>
      </c>
      <c r="AN43">
        <f>IF((gamma!AN43),IF(VLOOKUP(AN$1,main!$A$3:$H$102,7,FALSE)=VLOOKUP($A43,main!$A$3:$H$102,8,FALSE),VLOOKUP(AN$1,main!$A$3:$H$102,4,FALSE),VLOOKUP(AN$1,main!$A$3:$H$102,4,FALSE)+VLOOKUP($A43,main!$A$3:$H$102,4,FALSE)+(VLOOKUP(VLOOKUP(AN$1,main!$A$3:$H$102,8,FALSE),main!$K$19:$O$22,MATCH(VLOOKUP($A43,main!$A$3:$H$102,7,FALSE),main!$K$18:$O$18,0),0))),0)</f>
        <v>300</v>
      </c>
      <c r="AO43">
        <f>IF((gamma!AO43),IF(VLOOKUP(AO$1,main!$A$3:$H$102,7,FALSE)=VLOOKUP($A43,main!$A$3:$H$102,8,FALSE),VLOOKUP(AO$1,main!$A$3:$H$102,4,FALSE),VLOOKUP(AO$1,main!$A$3:$H$102,4,FALSE)+VLOOKUP($A43,main!$A$3:$H$102,4,FALSE)+(VLOOKUP(VLOOKUP(AO$1,main!$A$3:$H$102,8,FALSE),main!$K$19:$O$22,MATCH(VLOOKUP($A43,main!$A$3:$H$102,7,FALSE),main!$K$18:$O$18,0),0))),0)</f>
        <v>0</v>
      </c>
      <c r="AP43">
        <f>IF((gamma!AP43),IF(VLOOKUP(AP$1,main!$A$3:$H$102,7,FALSE)=VLOOKUP($A43,main!$A$3:$H$102,8,FALSE),VLOOKUP(AP$1,main!$A$3:$H$102,4,FALSE),VLOOKUP(AP$1,main!$A$3:$H$102,4,FALSE)+VLOOKUP($A43,main!$A$3:$H$102,4,FALSE)+(VLOOKUP(VLOOKUP(AP$1,main!$A$3:$H$102,8,FALSE),main!$K$19:$O$22,MATCH(VLOOKUP($A43,main!$A$3:$H$102,7,FALSE),main!$K$18:$O$18,0),0))),0)</f>
        <v>240</v>
      </c>
      <c r="AQ43">
        <f>IF((gamma!AQ43),IF(VLOOKUP(AQ$1,main!$A$3:$H$102,7,FALSE)=VLOOKUP($A43,main!$A$3:$H$102,8,FALSE),VLOOKUP(AQ$1,main!$A$3:$H$102,4,FALSE),VLOOKUP(AQ$1,main!$A$3:$H$102,4,FALSE)+VLOOKUP($A43,main!$A$3:$H$102,4,FALSE)+(VLOOKUP(VLOOKUP(AQ$1,main!$A$3:$H$102,8,FALSE),main!$K$19:$O$22,MATCH(VLOOKUP($A43,main!$A$3:$H$102,7,FALSE),main!$K$18:$O$18,0),0))),0)</f>
        <v>0</v>
      </c>
      <c r="AR43">
        <f>IF((gamma!AR43),IF(VLOOKUP(AR$1,main!$A$3:$H$102,7,FALSE)=VLOOKUP($A43,main!$A$3:$H$102,8,FALSE),VLOOKUP(AR$1,main!$A$3:$H$102,4,FALSE),VLOOKUP(AR$1,main!$A$3:$H$102,4,FALSE)+VLOOKUP($A43,main!$A$3:$H$102,4,FALSE)+(VLOOKUP(VLOOKUP(AR$1,main!$A$3:$H$102,8,FALSE),main!$K$19:$O$22,MATCH(VLOOKUP($A43,main!$A$3:$H$102,7,FALSE),main!$K$18:$O$18,0),0))),0)</f>
        <v>0</v>
      </c>
      <c r="AS43">
        <f>IF((gamma!AS43),IF(VLOOKUP(AS$1,main!$A$3:$H$102,7,FALSE)=VLOOKUP($A43,main!$A$3:$H$102,8,FALSE),VLOOKUP(AS$1,main!$A$3:$H$102,4,FALSE),VLOOKUP(AS$1,main!$A$3:$H$102,4,FALSE)+VLOOKUP($A43,main!$A$3:$H$102,4,FALSE)+(VLOOKUP(VLOOKUP(AS$1,main!$A$3:$H$102,8,FALSE),main!$K$19:$O$22,MATCH(VLOOKUP($A43,main!$A$3:$H$102,7,FALSE),main!$K$18:$O$18,0),0))),0)</f>
        <v>288</v>
      </c>
      <c r="AT43">
        <f>IF((gamma!AT43),IF(VLOOKUP(AT$1,main!$A$3:$H$102,7,FALSE)=VLOOKUP($A43,main!$A$3:$H$102,8,FALSE),VLOOKUP(AT$1,main!$A$3:$H$102,4,FALSE),VLOOKUP(AT$1,main!$A$3:$H$102,4,FALSE)+VLOOKUP($A43,main!$A$3:$H$102,4,FALSE)+(VLOOKUP(VLOOKUP(AT$1,main!$A$3:$H$102,8,FALSE),main!$K$19:$O$22,MATCH(VLOOKUP($A43,main!$A$3:$H$102,7,FALSE),main!$K$18:$O$18,0),0))),0)</f>
        <v>298</v>
      </c>
      <c r="AU43">
        <f>IF((gamma!AU43),IF(VLOOKUP(AU$1,main!$A$3:$H$102,7,FALSE)=VLOOKUP($A43,main!$A$3:$H$102,8,FALSE),VLOOKUP(AU$1,main!$A$3:$H$102,4,FALSE),VLOOKUP(AU$1,main!$A$3:$H$102,4,FALSE)+VLOOKUP($A43,main!$A$3:$H$102,4,FALSE)+(VLOOKUP(VLOOKUP(AU$1,main!$A$3:$H$102,8,FALSE),main!$K$19:$O$22,MATCH(VLOOKUP($A43,main!$A$3:$H$102,7,FALSE),main!$K$18:$O$18,0),0))),0)</f>
        <v>0</v>
      </c>
      <c r="AV43">
        <f>IF((gamma!AV43),IF(VLOOKUP(AV$1,main!$A$3:$H$102,7,FALSE)=VLOOKUP($A43,main!$A$3:$H$102,8,FALSE),VLOOKUP(AV$1,main!$A$3:$H$102,4,FALSE),VLOOKUP(AV$1,main!$A$3:$H$102,4,FALSE)+VLOOKUP($A43,main!$A$3:$H$102,4,FALSE)+(VLOOKUP(VLOOKUP(AV$1,main!$A$3:$H$102,8,FALSE),main!$K$19:$O$22,MATCH(VLOOKUP($A43,main!$A$3:$H$102,7,FALSE),main!$K$18:$O$18,0),0))),0)</f>
        <v>0</v>
      </c>
      <c r="AW43">
        <f>IF((gamma!AW43),IF(VLOOKUP(AW$1,main!$A$3:$H$102,7,FALSE)=VLOOKUP($A43,main!$A$3:$H$102,8,FALSE),VLOOKUP(AW$1,main!$A$3:$H$102,4,FALSE),VLOOKUP(AW$1,main!$A$3:$H$102,4,FALSE)+VLOOKUP($A43,main!$A$3:$H$102,4,FALSE)+(VLOOKUP(VLOOKUP(AW$1,main!$A$3:$H$102,8,FALSE),main!$K$19:$O$22,MATCH(VLOOKUP($A43,main!$A$3:$H$102,7,FALSE),main!$K$18:$O$18,0),0))),0)</f>
        <v>288</v>
      </c>
      <c r="AX43">
        <f>IF((gamma!AX43),IF(VLOOKUP(AX$1,main!$A$3:$H$102,7,FALSE)=VLOOKUP($A43,main!$A$3:$H$102,8,FALSE),VLOOKUP(AX$1,main!$A$3:$H$102,4,FALSE),VLOOKUP(AX$1,main!$A$3:$H$102,4,FALSE)+VLOOKUP($A43,main!$A$3:$H$102,4,FALSE)+(VLOOKUP(VLOOKUP(AX$1,main!$A$3:$H$102,8,FALSE),main!$K$19:$O$22,MATCH(VLOOKUP($A43,main!$A$3:$H$102,7,FALSE),main!$K$18:$O$18,0),0))),0)</f>
        <v>273</v>
      </c>
      <c r="AY43">
        <f>IF((gamma!AY43),IF(VLOOKUP(AY$1,main!$A$3:$H$102,7,FALSE)=VLOOKUP($A43,main!$A$3:$H$102,8,FALSE),VLOOKUP(AY$1,main!$A$3:$H$102,4,FALSE),VLOOKUP(AY$1,main!$A$3:$H$102,4,FALSE)+VLOOKUP($A43,main!$A$3:$H$102,4,FALSE)+(VLOOKUP(VLOOKUP(AY$1,main!$A$3:$H$102,8,FALSE),main!$K$19:$O$22,MATCH(VLOOKUP($A43,main!$A$3:$H$102,7,FALSE),main!$K$18:$O$18,0),0))),0)</f>
        <v>0</v>
      </c>
      <c r="AZ43">
        <f>IF((gamma!AZ43),IF(VLOOKUP(AZ$1,main!$A$3:$H$102,7,FALSE)=VLOOKUP($A43,main!$A$3:$H$102,8,FALSE),VLOOKUP(AZ$1,main!$A$3:$H$102,4,FALSE),VLOOKUP(AZ$1,main!$A$3:$H$102,4,FALSE)+VLOOKUP($A43,main!$A$3:$H$102,4,FALSE)+(VLOOKUP(VLOOKUP(AZ$1,main!$A$3:$H$102,8,FALSE),main!$K$19:$O$22,MATCH(VLOOKUP($A43,main!$A$3:$H$102,7,FALSE),main!$K$18:$O$18,0),0))),0)</f>
        <v>303</v>
      </c>
      <c r="BA43">
        <f>IF((gamma!BA43),IF(VLOOKUP(BA$1,main!$A$3:$H$102,7,FALSE)=VLOOKUP($A43,main!$A$3:$H$102,8,FALSE),VLOOKUP(BA$1,main!$A$3:$H$102,4,FALSE),VLOOKUP(BA$1,main!$A$3:$H$102,4,FALSE)+VLOOKUP($A43,main!$A$3:$H$102,4,FALSE)+(VLOOKUP(VLOOKUP(BA$1,main!$A$3:$H$102,8,FALSE),main!$K$19:$O$22,MATCH(VLOOKUP($A43,main!$A$3:$H$102,7,FALSE),main!$K$18:$O$18,0),0))),0)</f>
        <v>0</v>
      </c>
      <c r="BB43">
        <f>IF((gamma!BB43),IF(VLOOKUP(BB$1,main!$A$3:$H$102,7,FALSE)=VLOOKUP($A43,main!$A$3:$H$102,8,FALSE),VLOOKUP(BB$1,main!$A$3:$H$102,4,FALSE),VLOOKUP(BB$1,main!$A$3:$H$102,4,FALSE)+VLOOKUP($A43,main!$A$3:$H$102,4,FALSE)+(VLOOKUP(VLOOKUP(BB$1,main!$A$3:$H$102,8,FALSE),main!$K$19:$O$22,MATCH(VLOOKUP($A43,main!$A$3:$H$102,7,FALSE),main!$K$18:$O$18,0),0))),0)</f>
        <v>140</v>
      </c>
      <c r="BC43">
        <f>IF((gamma!BC43),IF(VLOOKUP(BC$1,main!$A$3:$H$102,7,FALSE)=VLOOKUP($A43,main!$A$3:$H$102,8,FALSE),VLOOKUP(BC$1,main!$A$3:$H$102,4,FALSE),VLOOKUP(BC$1,main!$A$3:$H$102,4,FALSE)+VLOOKUP($A43,main!$A$3:$H$102,4,FALSE)+(VLOOKUP(VLOOKUP(BC$1,main!$A$3:$H$102,8,FALSE),main!$K$19:$O$22,MATCH(VLOOKUP($A43,main!$A$3:$H$102,7,FALSE),main!$K$18:$O$18,0),0))),0)</f>
        <v>140</v>
      </c>
      <c r="BD43">
        <f>IF((gamma!BD43),IF(VLOOKUP(BD$1,main!$A$3:$H$102,7,FALSE)=VLOOKUP($A43,main!$A$3:$H$102,8,FALSE),VLOOKUP(BD$1,main!$A$3:$H$102,4,FALSE),VLOOKUP(BD$1,main!$A$3:$H$102,4,FALSE)+VLOOKUP($A43,main!$A$3:$H$102,4,FALSE)+(VLOOKUP(VLOOKUP(BD$1,main!$A$3:$H$102,8,FALSE),main!$K$19:$O$22,MATCH(VLOOKUP($A43,main!$A$3:$H$102,7,FALSE),main!$K$18:$O$18,0),0))),0)</f>
        <v>140</v>
      </c>
      <c r="BE43">
        <f>IF((gamma!BE43),IF(VLOOKUP(BE$1,main!$A$3:$H$102,7,FALSE)=VLOOKUP($A43,main!$A$3:$H$102,8,FALSE),VLOOKUP(BE$1,main!$A$3:$H$102,4,FALSE),VLOOKUP(BE$1,main!$A$3:$H$102,4,FALSE)+VLOOKUP($A43,main!$A$3:$H$102,4,FALSE)+(VLOOKUP(VLOOKUP(BE$1,main!$A$3:$H$102,8,FALSE),main!$K$19:$O$22,MATCH(VLOOKUP($A43,main!$A$3:$H$102,7,FALSE),main!$K$18:$O$18,0),0))),0)</f>
        <v>140</v>
      </c>
      <c r="BF43">
        <f>IF((gamma!BF43),IF(VLOOKUP(BF$1,main!$A$3:$H$102,7,FALSE)=VLOOKUP($A43,main!$A$3:$H$102,8,FALSE),VLOOKUP(BF$1,main!$A$3:$H$102,4,FALSE),VLOOKUP(BF$1,main!$A$3:$H$102,4,FALSE)+VLOOKUP($A43,main!$A$3:$H$102,4,FALSE)+(VLOOKUP(VLOOKUP(BF$1,main!$A$3:$H$102,8,FALSE),main!$K$19:$O$22,MATCH(VLOOKUP($A43,main!$A$3:$H$102,7,FALSE),main!$K$18:$O$18,0),0))),0)</f>
        <v>0</v>
      </c>
      <c r="BG43">
        <f>IF((gamma!BG43),IF(VLOOKUP(BG$1,main!$A$3:$H$102,7,FALSE)=VLOOKUP($A43,main!$A$3:$H$102,8,FALSE),VLOOKUP(BG$1,main!$A$3:$H$102,4,FALSE),VLOOKUP(BG$1,main!$A$3:$H$102,4,FALSE)+VLOOKUP($A43,main!$A$3:$H$102,4,FALSE)+(VLOOKUP(VLOOKUP(BG$1,main!$A$3:$H$102,8,FALSE),main!$K$19:$O$22,MATCH(VLOOKUP($A43,main!$A$3:$H$102,7,FALSE),main!$K$18:$O$18,0),0))),0)</f>
        <v>115</v>
      </c>
      <c r="BH43">
        <f>IF((gamma!BH43),IF(VLOOKUP(BH$1,main!$A$3:$H$102,7,FALSE)=VLOOKUP($A43,main!$A$3:$H$102,8,FALSE),VLOOKUP(BH$1,main!$A$3:$H$102,4,FALSE),VLOOKUP(BH$1,main!$A$3:$H$102,4,FALSE)+VLOOKUP($A43,main!$A$3:$H$102,4,FALSE)+(VLOOKUP(VLOOKUP(BH$1,main!$A$3:$H$102,8,FALSE),main!$K$19:$O$22,MATCH(VLOOKUP($A43,main!$A$3:$H$102,7,FALSE),main!$K$18:$O$18,0),0))),0)</f>
        <v>125</v>
      </c>
      <c r="BI43">
        <f>IF((gamma!BI43),IF(VLOOKUP(BI$1,main!$A$3:$H$102,7,FALSE)=VLOOKUP($A43,main!$A$3:$H$102,8,FALSE),VLOOKUP(BI$1,main!$A$3:$H$102,4,FALSE),VLOOKUP(BI$1,main!$A$3:$H$102,4,FALSE)+VLOOKUP($A43,main!$A$3:$H$102,4,FALSE)+(VLOOKUP(VLOOKUP(BI$1,main!$A$3:$H$102,8,FALSE),main!$K$19:$O$22,MATCH(VLOOKUP($A43,main!$A$3:$H$102,7,FALSE),main!$K$18:$O$18,0),0))),0)</f>
        <v>60</v>
      </c>
      <c r="BJ43">
        <f>IF((gamma!BJ43),IF(VLOOKUP(BJ$1,main!$A$3:$H$102,7,FALSE)=VLOOKUP($A43,main!$A$3:$H$102,8,FALSE),VLOOKUP(BJ$1,main!$A$3:$H$102,4,FALSE),VLOOKUP(BJ$1,main!$A$3:$H$102,4,FALSE)+VLOOKUP($A43,main!$A$3:$H$102,4,FALSE)+(VLOOKUP(VLOOKUP(BJ$1,main!$A$3:$H$102,8,FALSE),main!$K$19:$O$22,MATCH(VLOOKUP($A43,main!$A$3:$H$102,7,FALSE),main!$K$18:$O$18,0),0))),0)</f>
        <v>90</v>
      </c>
      <c r="BK43">
        <f>IF((gamma!BK43),IF(VLOOKUP(BK$1,main!$A$3:$H$102,7,FALSE)=VLOOKUP($A43,main!$A$3:$H$102,8,FALSE),VLOOKUP(BK$1,main!$A$3:$H$102,4,FALSE),VLOOKUP(BK$1,main!$A$3:$H$102,4,FALSE)+VLOOKUP($A43,main!$A$3:$H$102,4,FALSE)+(VLOOKUP(VLOOKUP(BK$1,main!$A$3:$H$102,8,FALSE),main!$K$19:$O$22,MATCH(VLOOKUP($A43,main!$A$3:$H$102,7,FALSE),main!$K$18:$O$18,0),0))),0)</f>
        <v>0</v>
      </c>
      <c r="BL43">
        <f>IF((gamma!BL43),IF(VLOOKUP(BL$1,main!$A$3:$H$102,7,FALSE)=VLOOKUP($A43,main!$A$3:$H$102,8,FALSE),VLOOKUP(BL$1,main!$A$3:$H$102,4,FALSE),VLOOKUP(BL$1,main!$A$3:$H$102,4,FALSE)+VLOOKUP($A43,main!$A$3:$H$102,4,FALSE)+(VLOOKUP(VLOOKUP(BL$1,main!$A$3:$H$102,8,FALSE),main!$K$19:$O$22,MATCH(VLOOKUP($A43,main!$A$3:$H$102,7,FALSE),main!$K$18:$O$18,0),0))),0)</f>
        <v>0</v>
      </c>
      <c r="BM43">
        <f>IF((gamma!BM43),IF(VLOOKUP(BM$1,main!$A$3:$H$102,7,FALSE)=VLOOKUP($A43,main!$A$3:$H$102,8,FALSE),VLOOKUP(BM$1,main!$A$3:$H$102,4,FALSE),VLOOKUP(BM$1,main!$A$3:$H$102,4,FALSE)+VLOOKUP($A43,main!$A$3:$H$102,4,FALSE)+(VLOOKUP(VLOOKUP(BM$1,main!$A$3:$H$102,8,FALSE),main!$K$19:$O$22,MATCH(VLOOKUP($A43,main!$A$3:$H$102,7,FALSE),main!$K$18:$O$18,0),0))),0)</f>
        <v>140</v>
      </c>
      <c r="BN43">
        <f>IF((gamma!BN43),IF(VLOOKUP(BN$1,main!$A$3:$H$102,7,FALSE)=VLOOKUP($A43,main!$A$3:$H$102,8,FALSE),VLOOKUP(BN$1,main!$A$3:$H$102,4,FALSE),VLOOKUP(BN$1,main!$A$3:$H$102,4,FALSE)+VLOOKUP($A43,main!$A$3:$H$102,4,FALSE)+(VLOOKUP(VLOOKUP(BN$1,main!$A$3:$H$102,8,FALSE),main!$K$19:$O$22,MATCH(VLOOKUP($A43,main!$A$3:$H$102,7,FALSE),main!$K$18:$O$18,0),0))),0)</f>
        <v>120</v>
      </c>
      <c r="BO43">
        <f>IF((gamma!BO43),IF(VLOOKUP(BO$1,main!$A$3:$H$102,7,FALSE)=VLOOKUP($A43,main!$A$3:$H$102,8,FALSE),VLOOKUP(BO$1,main!$A$3:$H$102,4,FALSE),VLOOKUP(BO$1,main!$A$3:$H$102,4,FALSE)+VLOOKUP($A43,main!$A$3:$H$102,4,FALSE)+(VLOOKUP(VLOOKUP(BO$1,main!$A$3:$H$102,8,FALSE),main!$K$19:$O$22,MATCH(VLOOKUP($A43,main!$A$3:$H$102,7,FALSE),main!$K$18:$O$18,0),0))),0)</f>
        <v>0</v>
      </c>
      <c r="BP43">
        <f>IF((gamma!BP43),IF(VLOOKUP(BP$1,main!$A$3:$H$102,7,FALSE)=VLOOKUP($A43,main!$A$3:$H$102,8,FALSE),VLOOKUP(BP$1,main!$A$3:$H$102,4,FALSE),VLOOKUP(BP$1,main!$A$3:$H$102,4,FALSE)+VLOOKUP($A43,main!$A$3:$H$102,4,FALSE)+(VLOOKUP(VLOOKUP(BP$1,main!$A$3:$H$102,8,FALSE),main!$K$19:$O$22,MATCH(VLOOKUP($A43,main!$A$3:$H$102,7,FALSE),main!$K$18:$O$18,0),0))),0)</f>
        <v>0</v>
      </c>
      <c r="BQ43">
        <f>IF((gamma!BQ43),IF(VLOOKUP(BQ$1,main!$A$3:$H$102,7,FALSE)=VLOOKUP($A43,main!$A$3:$H$102,8,FALSE),VLOOKUP(BQ$1,main!$A$3:$H$102,4,FALSE),VLOOKUP(BQ$1,main!$A$3:$H$102,4,FALSE)+VLOOKUP($A43,main!$A$3:$H$102,4,FALSE)+(VLOOKUP(VLOOKUP(BQ$1,main!$A$3:$H$102,8,FALSE),main!$K$19:$O$22,MATCH(VLOOKUP($A43,main!$A$3:$H$102,7,FALSE),main!$K$18:$O$18,0),0))),0)</f>
        <v>140</v>
      </c>
      <c r="BR43">
        <f>IF((gamma!BR43),IF(VLOOKUP(BR$1,main!$A$3:$H$102,7,FALSE)=VLOOKUP($A43,main!$A$3:$H$102,8,FALSE),VLOOKUP(BR$1,main!$A$3:$H$102,4,FALSE),VLOOKUP(BR$1,main!$A$3:$H$102,4,FALSE)+VLOOKUP($A43,main!$A$3:$H$102,4,FALSE)+(VLOOKUP(VLOOKUP(BR$1,main!$A$3:$H$102,8,FALSE),main!$K$19:$O$22,MATCH(VLOOKUP($A43,main!$A$3:$H$102,7,FALSE),main!$K$18:$O$18,0),0))),0)</f>
        <v>100</v>
      </c>
      <c r="BS43">
        <f>IF((gamma!BS43),IF(VLOOKUP(BS$1,main!$A$3:$H$102,7,FALSE)=VLOOKUP($A43,main!$A$3:$H$102,8,FALSE),VLOOKUP(BS$1,main!$A$3:$H$102,4,FALSE),VLOOKUP(BS$1,main!$A$3:$H$102,4,FALSE)+VLOOKUP($A43,main!$A$3:$H$102,4,FALSE)+(VLOOKUP(VLOOKUP(BS$1,main!$A$3:$H$102,8,FALSE),main!$K$19:$O$22,MATCH(VLOOKUP($A43,main!$A$3:$H$102,7,FALSE),main!$K$18:$O$18,0),0))),0)</f>
        <v>101</v>
      </c>
      <c r="BT43">
        <f>IF((gamma!BT43),IF(VLOOKUP(BT$1,main!$A$3:$H$102,7,FALSE)=VLOOKUP($A43,main!$A$3:$H$102,8,FALSE),VLOOKUP(BT$1,main!$A$3:$H$102,4,FALSE),VLOOKUP(BT$1,main!$A$3:$H$102,4,FALSE)+VLOOKUP($A43,main!$A$3:$H$102,4,FALSE)+(VLOOKUP(VLOOKUP(BT$1,main!$A$3:$H$102,8,FALSE),main!$K$19:$O$22,MATCH(VLOOKUP($A43,main!$A$3:$H$102,7,FALSE),main!$K$18:$O$18,0),0))),0)</f>
        <v>120</v>
      </c>
      <c r="BU43">
        <f>IF((gamma!BU43),IF(VLOOKUP(BU$1,main!$A$3:$H$102,7,FALSE)=VLOOKUP($A43,main!$A$3:$H$102,8,FALSE),VLOOKUP(BU$1,main!$A$3:$H$102,4,FALSE),VLOOKUP(BU$1,main!$A$3:$H$102,4,FALSE)+VLOOKUP($A43,main!$A$3:$H$102,4,FALSE)+(VLOOKUP(VLOOKUP(BU$1,main!$A$3:$H$102,8,FALSE),main!$K$19:$O$22,MATCH(VLOOKUP($A43,main!$A$3:$H$102,7,FALSE),main!$K$18:$O$18,0),0))),0)</f>
        <v>0</v>
      </c>
      <c r="BV43">
        <f>IF((gamma!BV43),IF(VLOOKUP(BV$1,main!$A$3:$H$102,7,FALSE)=VLOOKUP($A43,main!$A$3:$H$102,8,FALSE),VLOOKUP(BV$1,main!$A$3:$H$102,4,FALSE),VLOOKUP(BV$1,main!$A$3:$H$102,4,FALSE)+VLOOKUP($A43,main!$A$3:$H$102,4,FALSE)+(VLOOKUP(VLOOKUP(BV$1,main!$A$3:$H$102,8,FALSE),main!$K$19:$O$22,MATCH(VLOOKUP($A43,main!$A$3:$H$102,7,FALSE),main!$K$18:$O$18,0),0))),0)</f>
        <v>0</v>
      </c>
      <c r="BW43">
        <f>IF((gamma!BW43),IF(VLOOKUP(BW$1,main!$A$3:$H$102,7,FALSE)=VLOOKUP($A43,main!$A$3:$H$102,8,FALSE),VLOOKUP(BW$1,main!$A$3:$H$102,4,FALSE),VLOOKUP(BW$1,main!$A$3:$H$102,4,FALSE)+VLOOKUP($A43,main!$A$3:$H$102,4,FALSE)+(VLOOKUP(VLOOKUP(BW$1,main!$A$3:$H$102,8,FALSE),main!$K$19:$O$22,MATCH(VLOOKUP($A43,main!$A$3:$H$102,7,FALSE),main!$K$18:$O$18,0),0))),0)</f>
        <v>135</v>
      </c>
      <c r="BX43">
        <f>IF((gamma!BX43),IF(VLOOKUP(BX$1,main!$A$3:$H$102,7,FALSE)=VLOOKUP($A43,main!$A$3:$H$102,8,FALSE),VLOOKUP(BX$1,main!$A$3:$H$102,4,FALSE),VLOOKUP(BX$1,main!$A$3:$H$102,4,FALSE)+VLOOKUP($A43,main!$A$3:$H$102,4,FALSE)+(VLOOKUP(VLOOKUP(BX$1,main!$A$3:$H$102,8,FALSE),main!$K$19:$O$22,MATCH(VLOOKUP($A43,main!$A$3:$H$102,7,FALSE),main!$K$18:$O$18,0),0))),0)</f>
        <v>135</v>
      </c>
      <c r="BY43">
        <f>IF((gamma!BY43),IF(VLOOKUP(BY$1,main!$A$3:$H$102,7,FALSE)=VLOOKUP($A43,main!$A$3:$H$102,8,FALSE),VLOOKUP(BY$1,main!$A$3:$H$102,4,FALSE),VLOOKUP(BY$1,main!$A$3:$H$102,4,FALSE)+VLOOKUP($A43,main!$A$3:$H$102,4,FALSE)+(VLOOKUP(VLOOKUP(BY$1,main!$A$3:$H$102,8,FALSE),main!$K$19:$O$22,MATCH(VLOOKUP($A43,main!$A$3:$H$102,7,FALSE),main!$K$18:$O$18,0),0))),0)</f>
        <v>120</v>
      </c>
      <c r="BZ43">
        <f>IF((gamma!BZ43),IF(VLOOKUP(BZ$1,main!$A$3:$H$102,7,FALSE)=VLOOKUP($A43,main!$A$3:$H$102,8,FALSE),VLOOKUP(BZ$1,main!$A$3:$H$102,4,FALSE),VLOOKUP(BZ$1,main!$A$3:$H$102,4,FALSE)+VLOOKUP($A43,main!$A$3:$H$102,4,FALSE)+(VLOOKUP(VLOOKUP(BZ$1,main!$A$3:$H$102,8,FALSE),main!$K$19:$O$22,MATCH(VLOOKUP($A43,main!$A$3:$H$102,7,FALSE),main!$K$18:$O$18,0),0))),0)</f>
        <v>0</v>
      </c>
      <c r="CA43">
        <f>IF((gamma!CA43),IF(VLOOKUP(CA$1,main!$A$3:$H$102,7,FALSE)=VLOOKUP($A43,main!$A$3:$H$102,8,FALSE),VLOOKUP(CA$1,main!$A$3:$H$102,4,FALSE),VLOOKUP(CA$1,main!$A$3:$H$102,4,FALSE)+VLOOKUP($A43,main!$A$3:$H$102,4,FALSE)+(VLOOKUP(VLOOKUP(CA$1,main!$A$3:$H$102,8,FALSE),main!$K$19:$O$22,MATCH(VLOOKUP($A43,main!$A$3:$H$102,7,FALSE),main!$K$18:$O$18,0),0))),0)</f>
        <v>75</v>
      </c>
      <c r="CB43">
        <f>IF((gamma!CB43),IF(VLOOKUP(CB$1,main!$A$3:$H$102,7,FALSE)=VLOOKUP($A43,main!$A$3:$H$102,8,FALSE),VLOOKUP(CB$1,main!$A$3:$H$102,4,FALSE),VLOOKUP(CB$1,main!$A$3:$H$102,4,FALSE)+VLOOKUP($A43,main!$A$3:$H$102,4,FALSE)+(VLOOKUP(VLOOKUP(CB$1,main!$A$3:$H$102,8,FALSE),main!$K$19:$O$22,MATCH(VLOOKUP($A43,main!$A$3:$H$102,7,FALSE),main!$K$18:$O$18,0),0))),0)</f>
        <v>65</v>
      </c>
      <c r="CC43">
        <f>IF((gamma!CC43),IF(VLOOKUP(CC$1,main!$A$3:$H$102,7,FALSE)=VLOOKUP($A43,main!$A$3:$H$102,8,FALSE),VLOOKUP(CC$1,main!$A$3:$H$102,4,FALSE),VLOOKUP(CC$1,main!$A$3:$H$102,4,FALSE)+VLOOKUP($A43,main!$A$3:$H$102,4,FALSE)+(VLOOKUP(VLOOKUP(CC$1,main!$A$3:$H$102,8,FALSE),main!$K$19:$O$22,MATCH(VLOOKUP($A43,main!$A$3:$H$102,7,FALSE),main!$K$18:$O$18,0),0))),0)</f>
        <v>55</v>
      </c>
      <c r="CD43">
        <f>IF((gamma!CD43),IF(VLOOKUP(CD$1,main!$A$3:$H$102,7,FALSE)=VLOOKUP($A43,main!$A$3:$H$102,8,FALSE),VLOOKUP(CD$1,main!$A$3:$H$102,4,FALSE),VLOOKUP(CD$1,main!$A$3:$H$102,4,FALSE)+VLOOKUP($A43,main!$A$3:$H$102,4,FALSE)+(VLOOKUP(VLOOKUP(CD$1,main!$A$3:$H$102,8,FALSE),main!$K$19:$O$22,MATCH(VLOOKUP($A43,main!$A$3:$H$102,7,FALSE),main!$K$18:$O$18,0),0))),0)</f>
        <v>114</v>
      </c>
      <c r="CE43">
        <f>IF((gamma!CE43),IF(VLOOKUP(CE$1,main!$A$3:$H$102,7,FALSE)=VLOOKUP($A43,main!$A$3:$H$102,8,FALSE),VLOOKUP(CE$1,main!$A$3:$H$102,4,FALSE),VLOOKUP(CE$1,main!$A$3:$H$102,4,FALSE)+VLOOKUP($A43,main!$A$3:$H$102,4,FALSE)+(VLOOKUP(VLOOKUP(CE$1,main!$A$3:$H$102,8,FALSE),main!$K$19:$O$22,MATCH(VLOOKUP($A43,main!$A$3:$H$102,7,FALSE),main!$K$18:$O$18,0),0))),0)</f>
        <v>305</v>
      </c>
      <c r="CF43">
        <f>IF((gamma!CF43),IF(VLOOKUP(CF$1,main!$A$3:$H$102,7,FALSE)=VLOOKUP($A43,main!$A$3:$H$102,8,FALSE),VLOOKUP(CF$1,main!$A$3:$H$102,4,FALSE),VLOOKUP(CF$1,main!$A$3:$H$102,4,FALSE)+VLOOKUP($A43,main!$A$3:$H$102,4,FALSE)+(VLOOKUP(VLOOKUP(CF$1,main!$A$3:$H$102,8,FALSE),main!$K$19:$O$22,MATCH(VLOOKUP($A43,main!$A$3:$H$102,7,FALSE),main!$K$18:$O$18,0),0))),0)</f>
        <v>300</v>
      </c>
      <c r="CG43">
        <f>IF((gamma!CG43),IF(VLOOKUP(CG$1,main!$A$3:$H$102,7,FALSE)=VLOOKUP($A43,main!$A$3:$H$102,8,FALSE),VLOOKUP(CG$1,main!$A$3:$H$102,4,FALSE),VLOOKUP(CG$1,main!$A$3:$H$102,4,FALSE)+VLOOKUP($A43,main!$A$3:$H$102,4,FALSE)+(VLOOKUP(VLOOKUP(CG$1,main!$A$3:$H$102,8,FALSE),main!$K$19:$O$22,MATCH(VLOOKUP($A43,main!$A$3:$H$102,7,FALSE),main!$K$18:$O$18,0),0))),0)</f>
        <v>305</v>
      </c>
      <c r="CH43">
        <f>IF((gamma!CH43),IF(VLOOKUP(CH$1,main!$A$3:$H$102,7,FALSE)=VLOOKUP($A43,main!$A$3:$H$102,8,FALSE),VLOOKUP(CH$1,main!$A$3:$H$102,4,FALSE),VLOOKUP(CH$1,main!$A$3:$H$102,4,FALSE)+VLOOKUP($A43,main!$A$3:$H$102,4,FALSE)+(VLOOKUP(VLOOKUP(CH$1,main!$A$3:$H$102,8,FALSE),main!$K$19:$O$22,MATCH(VLOOKUP($A43,main!$A$3:$H$102,7,FALSE),main!$K$18:$O$18,0),0))),0)</f>
        <v>305</v>
      </c>
      <c r="CI43">
        <f>IF((gamma!CI43),IF(VLOOKUP(CI$1,main!$A$3:$H$102,7,FALSE)=VLOOKUP($A43,main!$A$3:$H$102,8,FALSE),VLOOKUP(CI$1,main!$A$3:$H$102,4,FALSE),VLOOKUP(CI$1,main!$A$3:$H$102,4,FALSE)+VLOOKUP($A43,main!$A$3:$H$102,4,FALSE)+(VLOOKUP(VLOOKUP(CI$1,main!$A$3:$H$102,8,FALSE),main!$K$19:$O$22,MATCH(VLOOKUP($A43,main!$A$3:$H$102,7,FALSE),main!$K$18:$O$18,0),0))),0)</f>
        <v>305</v>
      </c>
      <c r="CJ43">
        <f>IF((gamma!CJ43),IF(VLOOKUP(CJ$1,main!$A$3:$H$102,7,FALSE)=VLOOKUP($A43,main!$A$3:$H$102,8,FALSE),VLOOKUP(CJ$1,main!$A$3:$H$102,4,FALSE),VLOOKUP(CJ$1,main!$A$3:$H$102,4,FALSE)+VLOOKUP($A43,main!$A$3:$H$102,4,FALSE)+(VLOOKUP(VLOOKUP(CJ$1,main!$A$3:$H$102,8,FALSE),main!$K$19:$O$22,MATCH(VLOOKUP($A43,main!$A$3:$H$102,7,FALSE),main!$K$18:$O$18,0),0))),0)</f>
        <v>233</v>
      </c>
      <c r="CK43">
        <f>IF((gamma!CK43),IF(VLOOKUP(CK$1,main!$A$3:$H$102,7,FALSE)=VLOOKUP($A43,main!$A$3:$H$102,8,FALSE),VLOOKUP(CK$1,main!$A$3:$H$102,4,FALSE),VLOOKUP(CK$1,main!$A$3:$H$102,4,FALSE)+VLOOKUP($A43,main!$A$3:$H$102,4,FALSE)+(VLOOKUP(VLOOKUP(CK$1,main!$A$3:$H$102,8,FALSE),main!$K$19:$O$22,MATCH(VLOOKUP($A43,main!$A$3:$H$102,7,FALSE),main!$K$18:$O$18,0),0))),0)</f>
        <v>240</v>
      </c>
      <c r="CL43">
        <f>IF((gamma!CL43),IF(VLOOKUP(CL$1,main!$A$3:$H$102,7,FALSE)=VLOOKUP($A43,main!$A$3:$H$102,8,FALSE),VLOOKUP(CL$1,main!$A$3:$H$102,4,FALSE),VLOOKUP(CL$1,main!$A$3:$H$102,4,FALSE)+VLOOKUP($A43,main!$A$3:$H$102,4,FALSE)+(VLOOKUP(VLOOKUP(CL$1,main!$A$3:$H$102,8,FALSE),main!$K$19:$O$22,MATCH(VLOOKUP($A43,main!$A$3:$H$102,7,FALSE),main!$K$18:$O$18,0),0))),0)</f>
        <v>245</v>
      </c>
      <c r="CM43">
        <f>IF((gamma!CM43),IF(VLOOKUP(CM$1,main!$A$3:$H$102,7,FALSE)=VLOOKUP($A43,main!$A$3:$H$102,8,FALSE),VLOOKUP(CM$1,main!$A$3:$H$102,4,FALSE),VLOOKUP(CM$1,main!$A$3:$H$102,4,FALSE)+VLOOKUP($A43,main!$A$3:$H$102,4,FALSE)+(VLOOKUP(VLOOKUP(CM$1,main!$A$3:$H$102,8,FALSE),main!$K$19:$O$22,MATCH(VLOOKUP($A43,main!$A$3:$H$102,7,FALSE),main!$K$18:$O$18,0),0))),0)</f>
        <v>265</v>
      </c>
      <c r="CN43">
        <f>IF((gamma!CN43),IF(VLOOKUP(CN$1,main!$A$3:$H$102,7,FALSE)=VLOOKUP($A43,main!$A$3:$H$102,8,FALSE),VLOOKUP(CN$1,main!$A$3:$H$102,4,FALSE),VLOOKUP(CN$1,main!$A$3:$H$102,4,FALSE)+VLOOKUP($A43,main!$A$3:$H$102,4,FALSE)+(VLOOKUP(VLOOKUP(CN$1,main!$A$3:$H$102,8,FALSE),main!$K$19:$O$22,MATCH(VLOOKUP($A43,main!$A$3:$H$102,7,FALSE),main!$K$18:$O$18,0),0))),0)</f>
        <v>261</v>
      </c>
      <c r="CO43">
        <f>IF((gamma!CO43),IF(VLOOKUP(CO$1,main!$A$3:$H$102,7,FALSE)=VLOOKUP($A43,main!$A$3:$H$102,8,FALSE),VLOOKUP(CO$1,main!$A$3:$H$102,4,FALSE),VLOOKUP(CO$1,main!$A$3:$H$102,4,FALSE)+VLOOKUP($A43,main!$A$3:$H$102,4,FALSE)+(VLOOKUP(VLOOKUP(CO$1,main!$A$3:$H$102,8,FALSE),main!$K$19:$O$22,MATCH(VLOOKUP($A43,main!$A$3:$H$102,7,FALSE),main!$K$18:$O$18,0),0))),0)</f>
        <v>0</v>
      </c>
      <c r="CP43">
        <f>IF((gamma!CP43),IF(VLOOKUP(CP$1,main!$A$3:$H$102,7,FALSE)=VLOOKUP($A43,main!$A$3:$H$102,8,FALSE),VLOOKUP(CP$1,main!$A$3:$H$102,4,FALSE),VLOOKUP(CP$1,main!$A$3:$H$102,4,FALSE)+VLOOKUP($A43,main!$A$3:$H$102,4,FALSE)+(VLOOKUP(VLOOKUP(CP$1,main!$A$3:$H$102,8,FALSE),main!$K$19:$O$22,MATCH(VLOOKUP($A43,main!$A$3:$H$102,7,FALSE),main!$K$18:$O$18,0),0))),0)</f>
        <v>288</v>
      </c>
      <c r="CQ43">
        <f>IF((gamma!CQ43),IF(VLOOKUP(CQ$1,main!$A$3:$H$102,7,FALSE)=VLOOKUP($A43,main!$A$3:$H$102,8,FALSE),VLOOKUP(CQ$1,main!$A$3:$H$102,4,FALSE),VLOOKUP(CQ$1,main!$A$3:$H$102,4,FALSE)+VLOOKUP($A43,main!$A$3:$H$102,4,FALSE)+(VLOOKUP(VLOOKUP(CQ$1,main!$A$3:$H$102,8,FALSE),main!$K$19:$O$22,MATCH(VLOOKUP($A43,main!$A$3:$H$102,7,FALSE),main!$K$18:$O$18,0),0))),0)</f>
        <v>288</v>
      </c>
      <c r="CR43">
        <f>IF((gamma!CR43),IF(VLOOKUP(CR$1,main!$A$3:$H$102,7,FALSE)=VLOOKUP($A43,main!$A$3:$H$102,8,FALSE),VLOOKUP(CR$1,main!$A$3:$H$102,4,FALSE),VLOOKUP(CR$1,main!$A$3:$H$102,4,FALSE)+VLOOKUP($A43,main!$A$3:$H$102,4,FALSE)+(VLOOKUP(VLOOKUP(CR$1,main!$A$3:$H$102,8,FALSE),main!$K$19:$O$22,MATCH(VLOOKUP($A43,main!$A$3:$H$102,7,FALSE),main!$K$18:$O$18,0),0))),0)</f>
        <v>303</v>
      </c>
      <c r="CS43">
        <f>IF((gamma!CS43),IF(VLOOKUP(CS$1,main!$A$3:$H$102,7,FALSE)=VLOOKUP($A43,main!$A$3:$H$102,8,FALSE),VLOOKUP(CS$1,main!$A$3:$H$102,4,FALSE),VLOOKUP(CS$1,main!$A$3:$H$102,4,FALSE)+VLOOKUP($A43,main!$A$3:$H$102,4,FALSE)+(VLOOKUP(VLOOKUP(CS$1,main!$A$3:$H$102,8,FALSE),main!$K$19:$O$22,MATCH(VLOOKUP($A43,main!$A$3:$H$102,7,FALSE),main!$K$18:$O$18,0),0))),0)</f>
        <v>303</v>
      </c>
      <c r="CT43">
        <f>IF((gamma!CT43),IF(VLOOKUP(CT$1,main!$A$3:$H$102,7,FALSE)=VLOOKUP($A43,main!$A$3:$H$102,8,FALSE),VLOOKUP(CT$1,main!$A$3:$H$102,4,FALSE),VLOOKUP(CT$1,main!$A$3:$H$102,4,FALSE)+VLOOKUP($A43,main!$A$3:$H$102,4,FALSE)+(VLOOKUP(VLOOKUP(CT$1,main!$A$3:$H$102,8,FALSE),main!$K$19:$O$22,MATCH(VLOOKUP($A43,main!$A$3:$H$102,7,FALSE),main!$K$18:$O$18,0),0))),0)</f>
        <v>0</v>
      </c>
      <c r="CU43">
        <f>IF((gamma!CU43),IF(VLOOKUP(CU$1,main!$A$3:$H$102,7,FALSE)=VLOOKUP($A43,main!$A$3:$H$102,8,FALSE),VLOOKUP(CU$1,main!$A$3:$H$102,4,FALSE),VLOOKUP(CU$1,main!$A$3:$H$102,4,FALSE)+VLOOKUP($A43,main!$A$3:$H$102,4,FALSE)+(VLOOKUP(VLOOKUP(CU$1,main!$A$3:$H$102,8,FALSE),main!$K$19:$O$22,MATCH(VLOOKUP($A43,main!$A$3:$H$102,7,FALSE),main!$K$18:$O$18,0),0))),0)</f>
        <v>0</v>
      </c>
      <c r="CV43">
        <f>IF((gamma!CV43),IF(VLOOKUP(CV$1,main!$A$3:$H$102,7,FALSE)=VLOOKUP($A43,main!$A$3:$H$102,8,FALSE),VLOOKUP(CV$1,main!$A$3:$H$102,4,FALSE),VLOOKUP(CV$1,main!$A$3:$H$102,4,FALSE)+VLOOKUP($A43,main!$A$3:$H$102,4,FALSE)+(VLOOKUP(VLOOKUP(CV$1,main!$A$3:$H$102,8,FALSE),main!$K$19:$O$22,MATCH(VLOOKUP($A43,main!$A$3:$H$102,7,FALSE),main!$K$18:$O$18,0),0))),0)</f>
        <v>248</v>
      </c>
      <c r="CW43">
        <f>IF((gamma!CW43),IF(VLOOKUP(CW$1,main!$A$3:$H$102,7,FALSE)=VLOOKUP($A43,main!$A$3:$H$102,8,FALSE),VLOOKUP(CW$1,main!$A$3:$H$102,4,FALSE),VLOOKUP(CW$1,main!$A$3:$H$102,4,FALSE)+VLOOKUP($A43,main!$A$3:$H$102,4,FALSE)+(VLOOKUP(VLOOKUP(CW$1,main!$A$3:$H$102,8,FALSE),main!$K$19:$O$22,MATCH(VLOOKUP($A43,main!$A$3:$H$102,7,FALSE),main!$K$18:$O$18,0),0))),0)</f>
        <v>263</v>
      </c>
      <c r="CX43">
        <f>IF((gamma!CX43),IF(VLOOKUP(CX$1,main!$A$3:$H$102,7,FALSE)=VLOOKUP($A43,main!$A$3:$H$102,8,FALSE),VLOOKUP(CX$1,main!$A$3:$H$102,4,FALSE),VLOOKUP(CX$1,main!$A$3:$H$102,4,FALSE)+VLOOKUP($A43,main!$A$3:$H$102,4,FALSE)+(VLOOKUP(VLOOKUP(CX$1,main!$A$3:$H$102,8,FALSE),main!$K$19:$O$22,MATCH(VLOOKUP($A43,main!$A$3:$H$102,7,FALSE),main!$K$18:$O$18,0),0))),0)</f>
        <v>253</v>
      </c>
      <c r="CY43">
        <v>0</v>
      </c>
      <c r="CZ43">
        <v>0</v>
      </c>
      <c r="DA43">
        <v>0</v>
      </c>
    </row>
    <row r="44" spans="1:105" x14ac:dyDescent="0.25">
      <c r="A44" s="1">
        <v>42</v>
      </c>
      <c r="B44">
        <v>0</v>
      </c>
      <c r="C44">
        <f>IF((gamma!C44),IF(VLOOKUP(C$1,main!$A$3:$H$102,7,FALSE)=VLOOKUP($A44,main!$A$3:$H$102,8,FALSE),VLOOKUP(C$1,main!$A$3:$H$102,4,FALSE),VLOOKUP(C$1,main!$A$3:$H$102,4,FALSE)+VLOOKUP($A44,main!$A$3:$H$102,4,FALSE)+(VLOOKUP(VLOOKUP(C$1,main!$A$3:$H$102,8,FALSE),main!$K$19:$O$22,MATCH(VLOOKUP($A44,main!$A$3:$H$102,7,FALSE),main!$K$18:$O$18,0),0))),0)</f>
        <v>0</v>
      </c>
      <c r="D44">
        <f>IF((gamma!D44),IF(VLOOKUP(D$1,main!$A$3:$H$102,7,FALSE)=VLOOKUP($A44,main!$A$3:$H$102,8,FALSE),VLOOKUP(D$1,main!$A$3:$H$102,4,FALSE),VLOOKUP(D$1,main!$A$3:$H$102,4,FALSE)+VLOOKUP($A44,main!$A$3:$H$102,4,FALSE)+(VLOOKUP(VLOOKUP(D$1,main!$A$3:$H$102,8,FALSE),main!$K$19:$O$22,MATCH(VLOOKUP($A44,main!$A$3:$H$102,7,FALSE),main!$K$18:$O$18,0),0))),0)</f>
        <v>0</v>
      </c>
      <c r="E44">
        <f>IF((gamma!E44),IF(VLOOKUP(E$1,main!$A$3:$H$102,7,FALSE)=VLOOKUP($A44,main!$A$3:$H$102,8,FALSE),VLOOKUP(E$1,main!$A$3:$H$102,4,FALSE),VLOOKUP(E$1,main!$A$3:$H$102,4,FALSE)+VLOOKUP($A44,main!$A$3:$H$102,4,FALSE)+(VLOOKUP(VLOOKUP(E$1,main!$A$3:$H$102,8,FALSE),main!$K$19:$O$22,MATCH(VLOOKUP($A44,main!$A$3:$H$102,7,FALSE),main!$K$18:$O$18,0),0))),0)</f>
        <v>0</v>
      </c>
      <c r="F44">
        <f>IF((gamma!F44),IF(VLOOKUP(F$1,main!$A$3:$H$102,7,FALSE)=VLOOKUP($A44,main!$A$3:$H$102,8,FALSE),VLOOKUP(F$1,main!$A$3:$H$102,4,FALSE),VLOOKUP(F$1,main!$A$3:$H$102,4,FALSE)+VLOOKUP($A44,main!$A$3:$H$102,4,FALSE)+(VLOOKUP(VLOOKUP(F$1,main!$A$3:$H$102,8,FALSE),main!$K$19:$O$22,MATCH(VLOOKUP($A44,main!$A$3:$H$102,7,FALSE),main!$K$18:$O$18,0),0))),0)</f>
        <v>0</v>
      </c>
      <c r="G44">
        <f>IF((gamma!G44),IF(VLOOKUP(G$1,main!$A$3:$H$102,7,FALSE)=VLOOKUP($A44,main!$A$3:$H$102,8,FALSE),VLOOKUP(G$1,main!$A$3:$H$102,4,FALSE),VLOOKUP(G$1,main!$A$3:$H$102,4,FALSE)+VLOOKUP($A44,main!$A$3:$H$102,4,FALSE)+(VLOOKUP(VLOOKUP(G$1,main!$A$3:$H$102,8,FALSE),main!$K$19:$O$22,MATCH(VLOOKUP($A44,main!$A$3:$H$102,7,FALSE),main!$K$18:$O$18,0),0))),0)</f>
        <v>275</v>
      </c>
      <c r="H44">
        <f>IF((gamma!H44),IF(VLOOKUP(H$1,main!$A$3:$H$102,7,FALSE)=VLOOKUP($A44,main!$A$3:$H$102,8,FALSE),VLOOKUP(H$1,main!$A$3:$H$102,4,FALSE),VLOOKUP(H$1,main!$A$3:$H$102,4,FALSE)+VLOOKUP($A44,main!$A$3:$H$102,4,FALSE)+(VLOOKUP(VLOOKUP(H$1,main!$A$3:$H$102,8,FALSE),main!$K$19:$O$22,MATCH(VLOOKUP($A44,main!$A$3:$H$102,7,FALSE),main!$K$18:$O$18,0),0))),0)</f>
        <v>275</v>
      </c>
      <c r="I44">
        <f>IF((gamma!I44),IF(VLOOKUP(I$1,main!$A$3:$H$102,7,FALSE)=VLOOKUP($A44,main!$A$3:$H$102,8,FALSE),VLOOKUP(I$1,main!$A$3:$H$102,4,FALSE),VLOOKUP(I$1,main!$A$3:$H$102,4,FALSE)+VLOOKUP($A44,main!$A$3:$H$102,4,FALSE)+(VLOOKUP(VLOOKUP(I$1,main!$A$3:$H$102,8,FALSE),main!$K$19:$O$22,MATCH(VLOOKUP($A44,main!$A$3:$H$102,7,FALSE),main!$K$18:$O$18,0),0))),0)</f>
        <v>275</v>
      </c>
      <c r="J44">
        <f>IF((gamma!J44),IF(VLOOKUP(J$1,main!$A$3:$H$102,7,FALSE)=VLOOKUP($A44,main!$A$3:$H$102,8,FALSE),VLOOKUP(J$1,main!$A$3:$H$102,4,FALSE),VLOOKUP(J$1,main!$A$3:$H$102,4,FALSE)+VLOOKUP($A44,main!$A$3:$H$102,4,FALSE)+(VLOOKUP(VLOOKUP(J$1,main!$A$3:$H$102,8,FALSE),main!$K$19:$O$22,MATCH(VLOOKUP($A44,main!$A$3:$H$102,7,FALSE),main!$K$18:$O$18,0),0))),0)</f>
        <v>275</v>
      </c>
      <c r="K44">
        <f>IF((gamma!K44),IF(VLOOKUP(K$1,main!$A$3:$H$102,7,FALSE)=VLOOKUP($A44,main!$A$3:$H$102,8,FALSE),VLOOKUP(K$1,main!$A$3:$H$102,4,FALSE),VLOOKUP(K$1,main!$A$3:$H$102,4,FALSE)+VLOOKUP($A44,main!$A$3:$H$102,4,FALSE)+(VLOOKUP(VLOOKUP(K$1,main!$A$3:$H$102,8,FALSE),main!$K$19:$O$22,MATCH(VLOOKUP($A44,main!$A$3:$H$102,7,FALSE),main!$K$18:$O$18,0),0))),0)</f>
        <v>275</v>
      </c>
      <c r="L44">
        <f>IF((gamma!L44),IF(VLOOKUP(L$1,main!$A$3:$H$102,7,FALSE)=VLOOKUP($A44,main!$A$3:$H$102,8,FALSE),VLOOKUP(L$1,main!$A$3:$H$102,4,FALSE),VLOOKUP(L$1,main!$A$3:$H$102,4,FALSE)+VLOOKUP($A44,main!$A$3:$H$102,4,FALSE)+(VLOOKUP(VLOOKUP(L$1,main!$A$3:$H$102,8,FALSE),main!$K$19:$O$22,MATCH(VLOOKUP($A44,main!$A$3:$H$102,7,FALSE),main!$K$18:$O$18,0),0))),0)</f>
        <v>275</v>
      </c>
      <c r="M44">
        <f>IF((gamma!M44),IF(VLOOKUP(M$1,main!$A$3:$H$102,7,FALSE)=VLOOKUP($A44,main!$A$3:$H$102,8,FALSE),VLOOKUP(M$1,main!$A$3:$H$102,4,FALSE),VLOOKUP(M$1,main!$A$3:$H$102,4,FALSE)+VLOOKUP($A44,main!$A$3:$H$102,4,FALSE)+(VLOOKUP(VLOOKUP(M$1,main!$A$3:$H$102,8,FALSE),main!$K$19:$O$22,MATCH(VLOOKUP($A44,main!$A$3:$H$102,7,FALSE),main!$K$18:$O$18,0),0))),0)</f>
        <v>0</v>
      </c>
      <c r="N44">
        <f>IF((gamma!N44),IF(VLOOKUP(N$1,main!$A$3:$H$102,7,FALSE)=VLOOKUP($A44,main!$A$3:$H$102,8,FALSE),VLOOKUP(N$1,main!$A$3:$H$102,4,FALSE),VLOOKUP(N$1,main!$A$3:$H$102,4,FALSE)+VLOOKUP($A44,main!$A$3:$H$102,4,FALSE)+(VLOOKUP(VLOOKUP(N$1,main!$A$3:$H$102,8,FALSE),main!$K$19:$O$22,MATCH(VLOOKUP($A44,main!$A$3:$H$102,7,FALSE),main!$K$18:$O$18,0),0))),0)</f>
        <v>0</v>
      </c>
      <c r="O44">
        <f>IF((gamma!O44),IF(VLOOKUP(O$1,main!$A$3:$H$102,7,FALSE)=VLOOKUP($A44,main!$A$3:$H$102,8,FALSE),VLOOKUP(O$1,main!$A$3:$H$102,4,FALSE),VLOOKUP(O$1,main!$A$3:$H$102,4,FALSE)+VLOOKUP($A44,main!$A$3:$H$102,4,FALSE)+(VLOOKUP(VLOOKUP(O$1,main!$A$3:$H$102,8,FALSE),main!$K$19:$O$22,MATCH(VLOOKUP($A44,main!$A$3:$H$102,7,FALSE),main!$K$18:$O$18,0),0))),0)</f>
        <v>0</v>
      </c>
      <c r="P44">
        <f>IF((gamma!P44),IF(VLOOKUP(P$1,main!$A$3:$H$102,7,FALSE)=VLOOKUP($A44,main!$A$3:$H$102,8,FALSE),VLOOKUP(P$1,main!$A$3:$H$102,4,FALSE),VLOOKUP(P$1,main!$A$3:$H$102,4,FALSE)+VLOOKUP($A44,main!$A$3:$H$102,4,FALSE)+(VLOOKUP(VLOOKUP(P$1,main!$A$3:$H$102,8,FALSE),main!$K$19:$O$22,MATCH(VLOOKUP($A44,main!$A$3:$H$102,7,FALSE),main!$K$18:$O$18,0),0))),0)</f>
        <v>0</v>
      </c>
      <c r="Q44">
        <f>IF((gamma!Q44),IF(VLOOKUP(Q$1,main!$A$3:$H$102,7,FALSE)=VLOOKUP($A44,main!$A$3:$H$102,8,FALSE),VLOOKUP(Q$1,main!$A$3:$H$102,4,FALSE),VLOOKUP(Q$1,main!$A$3:$H$102,4,FALSE)+VLOOKUP($A44,main!$A$3:$H$102,4,FALSE)+(VLOOKUP(VLOOKUP(Q$1,main!$A$3:$H$102,8,FALSE),main!$K$19:$O$22,MATCH(VLOOKUP($A44,main!$A$3:$H$102,7,FALSE),main!$K$18:$O$18,0),0))),0)</f>
        <v>0</v>
      </c>
      <c r="R44">
        <f>IF((gamma!R44),IF(VLOOKUP(R$1,main!$A$3:$H$102,7,FALSE)=VLOOKUP($A44,main!$A$3:$H$102,8,FALSE),VLOOKUP(R$1,main!$A$3:$H$102,4,FALSE),VLOOKUP(R$1,main!$A$3:$H$102,4,FALSE)+VLOOKUP($A44,main!$A$3:$H$102,4,FALSE)+(VLOOKUP(VLOOKUP(R$1,main!$A$3:$H$102,8,FALSE),main!$K$19:$O$22,MATCH(VLOOKUP($A44,main!$A$3:$H$102,7,FALSE),main!$K$18:$O$18,0),0))),0)</f>
        <v>308</v>
      </c>
      <c r="S44">
        <f>IF((gamma!S44),IF(VLOOKUP(S$1,main!$A$3:$H$102,7,FALSE)=VLOOKUP($A44,main!$A$3:$H$102,8,FALSE),VLOOKUP(S$1,main!$A$3:$H$102,4,FALSE),VLOOKUP(S$1,main!$A$3:$H$102,4,FALSE)+VLOOKUP($A44,main!$A$3:$H$102,4,FALSE)+(VLOOKUP(VLOOKUP(S$1,main!$A$3:$H$102,8,FALSE),main!$K$19:$O$22,MATCH(VLOOKUP($A44,main!$A$3:$H$102,7,FALSE),main!$K$18:$O$18,0),0))),0)</f>
        <v>308</v>
      </c>
      <c r="T44">
        <f>IF((gamma!T44),IF(VLOOKUP(T$1,main!$A$3:$H$102,7,FALSE)=VLOOKUP($A44,main!$A$3:$H$102,8,FALSE),VLOOKUP(T$1,main!$A$3:$H$102,4,FALSE),VLOOKUP(T$1,main!$A$3:$H$102,4,FALSE)+VLOOKUP($A44,main!$A$3:$H$102,4,FALSE)+(VLOOKUP(VLOOKUP(T$1,main!$A$3:$H$102,8,FALSE),main!$K$19:$O$22,MATCH(VLOOKUP($A44,main!$A$3:$H$102,7,FALSE),main!$K$18:$O$18,0),0))),0)</f>
        <v>308</v>
      </c>
      <c r="U44">
        <f>IF((gamma!U44),IF(VLOOKUP(U$1,main!$A$3:$H$102,7,FALSE)=VLOOKUP($A44,main!$A$3:$H$102,8,FALSE),VLOOKUP(U$1,main!$A$3:$H$102,4,FALSE),VLOOKUP(U$1,main!$A$3:$H$102,4,FALSE)+VLOOKUP($A44,main!$A$3:$H$102,4,FALSE)+(VLOOKUP(VLOOKUP(U$1,main!$A$3:$H$102,8,FALSE),main!$K$19:$O$22,MATCH(VLOOKUP($A44,main!$A$3:$H$102,7,FALSE),main!$K$18:$O$18,0),0))),0)</f>
        <v>308</v>
      </c>
      <c r="V44">
        <f>IF((gamma!V44),IF(VLOOKUP(V$1,main!$A$3:$H$102,7,FALSE)=VLOOKUP($A44,main!$A$3:$H$102,8,FALSE),VLOOKUP(V$1,main!$A$3:$H$102,4,FALSE),VLOOKUP(V$1,main!$A$3:$H$102,4,FALSE)+VLOOKUP($A44,main!$A$3:$H$102,4,FALSE)+(VLOOKUP(VLOOKUP(V$1,main!$A$3:$H$102,8,FALSE),main!$K$19:$O$22,MATCH(VLOOKUP($A44,main!$A$3:$H$102,7,FALSE),main!$K$18:$O$18,0),0))),0)</f>
        <v>308</v>
      </c>
      <c r="W44">
        <f>IF((gamma!W44),IF(VLOOKUP(W$1,main!$A$3:$H$102,7,FALSE)=VLOOKUP($A44,main!$A$3:$H$102,8,FALSE),VLOOKUP(W$1,main!$A$3:$H$102,4,FALSE),VLOOKUP(W$1,main!$A$3:$H$102,4,FALSE)+VLOOKUP($A44,main!$A$3:$H$102,4,FALSE)+(VLOOKUP(VLOOKUP(W$1,main!$A$3:$H$102,8,FALSE),main!$K$19:$O$22,MATCH(VLOOKUP($A44,main!$A$3:$H$102,7,FALSE),main!$K$18:$O$18,0),0))),0)</f>
        <v>0</v>
      </c>
      <c r="X44">
        <f>IF((gamma!X44),IF(VLOOKUP(X$1,main!$A$3:$H$102,7,FALSE)=VLOOKUP($A44,main!$A$3:$H$102,8,FALSE),VLOOKUP(X$1,main!$A$3:$H$102,4,FALSE),VLOOKUP(X$1,main!$A$3:$H$102,4,FALSE)+VLOOKUP($A44,main!$A$3:$H$102,4,FALSE)+(VLOOKUP(VLOOKUP(X$1,main!$A$3:$H$102,8,FALSE),main!$K$19:$O$22,MATCH(VLOOKUP($A44,main!$A$3:$H$102,7,FALSE),main!$K$18:$O$18,0),0))),0)</f>
        <v>0</v>
      </c>
      <c r="Y44">
        <f>IF((gamma!Y44),IF(VLOOKUP(Y$1,main!$A$3:$H$102,7,FALSE)=VLOOKUP($A44,main!$A$3:$H$102,8,FALSE),VLOOKUP(Y$1,main!$A$3:$H$102,4,FALSE),VLOOKUP(Y$1,main!$A$3:$H$102,4,FALSE)+VLOOKUP($A44,main!$A$3:$H$102,4,FALSE)+(VLOOKUP(VLOOKUP(Y$1,main!$A$3:$H$102,8,FALSE),main!$K$19:$O$22,MATCH(VLOOKUP($A44,main!$A$3:$H$102,7,FALSE),main!$K$18:$O$18,0),0))),0)</f>
        <v>315</v>
      </c>
      <c r="Z44">
        <f>IF((gamma!Z44),IF(VLOOKUP(Z$1,main!$A$3:$H$102,7,FALSE)=VLOOKUP($A44,main!$A$3:$H$102,8,FALSE),VLOOKUP(Z$1,main!$A$3:$H$102,4,FALSE),VLOOKUP(Z$1,main!$A$3:$H$102,4,FALSE)+VLOOKUP($A44,main!$A$3:$H$102,4,FALSE)+(VLOOKUP(VLOOKUP(Z$1,main!$A$3:$H$102,8,FALSE),main!$K$19:$O$22,MATCH(VLOOKUP($A44,main!$A$3:$H$102,7,FALSE),main!$K$18:$O$18,0),0))),0)</f>
        <v>320</v>
      </c>
      <c r="AA44">
        <f>IF((gamma!AA44),IF(VLOOKUP(AA$1,main!$A$3:$H$102,7,FALSE)=VLOOKUP($A44,main!$A$3:$H$102,8,FALSE),VLOOKUP(AA$1,main!$A$3:$H$102,4,FALSE),VLOOKUP(AA$1,main!$A$3:$H$102,4,FALSE)+VLOOKUP($A44,main!$A$3:$H$102,4,FALSE)+(VLOOKUP(VLOOKUP(AA$1,main!$A$3:$H$102,8,FALSE),main!$K$19:$O$22,MATCH(VLOOKUP($A44,main!$A$3:$H$102,7,FALSE),main!$K$18:$O$18,0),0))),0)</f>
        <v>320</v>
      </c>
      <c r="AB44">
        <f>IF((gamma!AB44),IF(VLOOKUP(AB$1,main!$A$3:$H$102,7,FALSE)=VLOOKUP($A44,main!$A$3:$H$102,8,FALSE),VLOOKUP(AB$1,main!$A$3:$H$102,4,FALSE),VLOOKUP(AB$1,main!$A$3:$H$102,4,FALSE)+VLOOKUP($A44,main!$A$3:$H$102,4,FALSE)+(VLOOKUP(VLOOKUP(AB$1,main!$A$3:$H$102,8,FALSE),main!$K$19:$O$22,MATCH(VLOOKUP($A44,main!$A$3:$H$102,7,FALSE),main!$K$18:$O$18,0),0))),0)</f>
        <v>0</v>
      </c>
      <c r="AC44">
        <f>IF((gamma!AC44),IF(VLOOKUP(AC$1,main!$A$3:$H$102,7,FALSE)=VLOOKUP($A44,main!$A$3:$H$102,8,FALSE),VLOOKUP(AC$1,main!$A$3:$H$102,4,FALSE),VLOOKUP(AC$1,main!$A$3:$H$102,4,FALSE)+VLOOKUP($A44,main!$A$3:$H$102,4,FALSE)+(VLOOKUP(VLOOKUP(AC$1,main!$A$3:$H$102,8,FALSE),main!$K$19:$O$22,MATCH(VLOOKUP($A44,main!$A$3:$H$102,7,FALSE),main!$K$18:$O$18,0),0))),0)</f>
        <v>0</v>
      </c>
      <c r="AD44">
        <f>IF((gamma!AD44),IF(VLOOKUP(AD$1,main!$A$3:$H$102,7,FALSE)=VLOOKUP($A44,main!$A$3:$H$102,8,FALSE),VLOOKUP(AD$1,main!$A$3:$H$102,4,FALSE),VLOOKUP(AD$1,main!$A$3:$H$102,4,FALSE)+VLOOKUP($A44,main!$A$3:$H$102,4,FALSE)+(VLOOKUP(VLOOKUP(AD$1,main!$A$3:$H$102,8,FALSE),main!$K$19:$O$22,MATCH(VLOOKUP($A44,main!$A$3:$H$102,7,FALSE),main!$K$18:$O$18,0),0))),0)</f>
        <v>0</v>
      </c>
      <c r="AE44">
        <f>IF((gamma!AE44),IF(VLOOKUP(AE$1,main!$A$3:$H$102,7,FALSE)=VLOOKUP($A44,main!$A$3:$H$102,8,FALSE),VLOOKUP(AE$1,main!$A$3:$H$102,4,FALSE),VLOOKUP(AE$1,main!$A$3:$H$102,4,FALSE)+VLOOKUP($A44,main!$A$3:$H$102,4,FALSE)+(VLOOKUP(VLOOKUP(AE$1,main!$A$3:$H$102,8,FALSE),main!$K$19:$O$22,MATCH(VLOOKUP($A44,main!$A$3:$H$102,7,FALSE),main!$K$18:$O$18,0),0))),0)</f>
        <v>320</v>
      </c>
      <c r="AF44">
        <f>IF((gamma!AF44),IF(VLOOKUP(AF$1,main!$A$3:$H$102,7,FALSE)=VLOOKUP($A44,main!$A$3:$H$102,8,FALSE),VLOOKUP(AF$1,main!$A$3:$H$102,4,FALSE),VLOOKUP(AF$1,main!$A$3:$H$102,4,FALSE)+VLOOKUP($A44,main!$A$3:$H$102,4,FALSE)+(VLOOKUP(VLOOKUP(AF$1,main!$A$3:$H$102,8,FALSE),main!$K$19:$O$22,MATCH(VLOOKUP($A44,main!$A$3:$H$102,7,FALSE),main!$K$18:$O$18,0),0))),0)</f>
        <v>280</v>
      </c>
      <c r="AG44">
        <f>IF((gamma!AG44),IF(VLOOKUP(AG$1,main!$A$3:$H$102,7,FALSE)=VLOOKUP($A44,main!$A$3:$H$102,8,FALSE),VLOOKUP(AG$1,main!$A$3:$H$102,4,FALSE),VLOOKUP(AG$1,main!$A$3:$H$102,4,FALSE)+VLOOKUP($A44,main!$A$3:$H$102,4,FALSE)+(VLOOKUP(VLOOKUP(AG$1,main!$A$3:$H$102,8,FALSE),main!$K$19:$O$22,MATCH(VLOOKUP($A44,main!$A$3:$H$102,7,FALSE),main!$K$18:$O$18,0),0))),0)</f>
        <v>0</v>
      </c>
      <c r="AH44">
        <f>IF((gamma!AH44),IF(VLOOKUP(AH$1,main!$A$3:$H$102,7,FALSE)=VLOOKUP($A44,main!$A$3:$H$102,8,FALSE),VLOOKUP(AH$1,main!$A$3:$H$102,4,FALSE),VLOOKUP(AH$1,main!$A$3:$H$102,4,FALSE)+VLOOKUP($A44,main!$A$3:$H$102,4,FALSE)+(VLOOKUP(VLOOKUP(AH$1,main!$A$3:$H$102,8,FALSE),main!$K$19:$O$22,MATCH(VLOOKUP($A44,main!$A$3:$H$102,7,FALSE),main!$K$18:$O$18,0),0))),0)</f>
        <v>0</v>
      </c>
      <c r="AI44">
        <f>IF((gamma!AI44),IF(VLOOKUP(AI$1,main!$A$3:$H$102,7,FALSE)=VLOOKUP($A44,main!$A$3:$H$102,8,FALSE),VLOOKUP(AI$1,main!$A$3:$H$102,4,FALSE),VLOOKUP(AI$1,main!$A$3:$H$102,4,FALSE)+VLOOKUP($A44,main!$A$3:$H$102,4,FALSE)+(VLOOKUP(VLOOKUP(AI$1,main!$A$3:$H$102,8,FALSE),main!$K$19:$O$22,MATCH(VLOOKUP($A44,main!$A$3:$H$102,7,FALSE),main!$K$18:$O$18,0),0))),0)</f>
        <v>0</v>
      </c>
      <c r="AJ44">
        <f>IF((gamma!AJ44),IF(VLOOKUP(AJ$1,main!$A$3:$H$102,7,FALSE)=VLOOKUP($A44,main!$A$3:$H$102,8,FALSE),VLOOKUP(AJ$1,main!$A$3:$H$102,4,FALSE),VLOOKUP(AJ$1,main!$A$3:$H$102,4,FALSE)+VLOOKUP($A44,main!$A$3:$H$102,4,FALSE)+(VLOOKUP(VLOOKUP(AJ$1,main!$A$3:$H$102,8,FALSE),main!$K$19:$O$22,MATCH(VLOOKUP($A44,main!$A$3:$H$102,7,FALSE),main!$K$18:$O$18,0),0))),0)</f>
        <v>300</v>
      </c>
      <c r="AK44">
        <f>IF((gamma!AK44),IF(VLOOKUP(AK$1,main!$A$3:$H$102,7,FALSE)=VLOOKUP($A44,main!$A$3:$H$102,8,FALSE),VLOOKUP(AK$1,main!$A$3:$H$102,4,FALSE),VLOOKUP(AK$1,main!$A$3:$H$102,4,FALSE)+VLOOKUP($A44,main!$A$3:$H$102,4,FALSE)+(VLOOKUP(VLOOKUP(AK$1,main!$A$3:$H$102,8,FALSE),main!$K$19:$O$22,MATCH(VLOOKUP($A44,main!$A$3:$H$102,7,FALSE),main!$K$18:$O$18,0),0))),0)</f>
        <v>300</v>
      </c>
      <c r="AL44">
        <f>IF((gamma!AL44),IF(VLOOKUP(AL$1,main!$A$3:$H$102,7,FALSE)=VLOOKUP($A44,main!$A$3:$H$102,8,FALSE),VLOOKUP(AL$1,main!$A$3:$H$102,4,FALSE),VLOOKUP(AL$1,main!$A$3:$H$102,4,FALSE)+VLOOKUP($A44,main!$A$3:$H$102,4,FALSE)+(VLOOKUP(VLOOKUP(AL$1,main!$A$3:$H$102,8,FALSE),main!$K$19:$O$22,MATCH(VLOOKUP($A44,main!$A$3:$H$102,7,FALSE),main!$K$18:$O$18,0),0))),0)</f>
        <v>300</v>
      </c>
      <c r="AM44">
        <f>IF((gamma!AM44),IF(VLOOKUP(AM$1,main!$A$3:$H$102,7,FALSE)=VLOOKUP($A44,main!$A$3:$H$102,8,FALSE),VLOOKUP(AM$1,main!$A$3:$H$102,4,FALSE),VLOOKUP(AM$1,main!$A$3:$H$102,4,FALSE)+VLOOKUP($A44,main!$A$3:$H$102,4,FALSE)+(VLOOKUP(VLOOKUP(AM$1,main!$A$3:$H$102,8,FALSE),main!$K$19:$O$22,MATCH(VLOOKUP($A44,main!$A$3:$H$102,7,FALSE),main!$K$18:$O$18,0),0))),0)</f>
        <v>300</v>
      </c>
      <c r="AN44">
        <f>IF((gamma!AN44),IF(VLOOKUP(AN$1,main!$A$3:$H$102,7,FALSE)=VLOOKUP($A44,main!$A$3:$H$102,8,FALSE),VLOOKUP(AN$1,main!$A$3:$H$102,4,FALSE),VLOOKUP(AN$1,main!$A$3:$H$102,4,FALSE)+VLOOKUP($A44,main!$A$3:$H$102,4,FALSE)+(VLOOKUP(VLOOKUP(AN$1,main!$A$3:$H$102,8,FALSE),main!$K$19:$O$22,MATCH(VLOOKUP($A44,main!$A$3:$H$102,7,FALSE),main!$K$18:$O$18,0),0))),0)</f>
        <v>300</v>
      </c>
      <c r="AO44">
        <f>IF((gamma!AO44),IF(VLOOKUP(AO$1,main!$A$3:$H$102,7,FALSE)=VLOOKUP($A44,main!$A$3:$H$102,8,FALSE),VLOOKUP(AO$1,main!$A$3:$H$102,4,FALSE),VLOOKUP(AO$1,main!$A$3:$H$102,4,FALSE)+VLOOKUP($A44,main!$A$3:$H$102,4,FALSE)+(VLOOKUP(VLOOKUP(AO$1,main!$A$3:$H$102,8,FALSE),main!$K$19:$O$22,MATCH(VLOOKUP($A44,main!$A$3:$H$102,7,FALSE),main!$K$18:$O$18,0),0))),0)</f>
        <v>0</v>
      </c>
      <c r="AP44">
        <f>IF((gamma!AP44),IF(VLOOKUP(AP$1,main!$A$3:$H$102,7,FALSE)=VLOOKUP($A44,main!$A$3:$H$102,8,FALSE),VLOOKUP(AP$1,main!$A$3:$H$102,4,FALSE),VLOOKUP(AP$1,main!$A$3:$H$102,4,FALSE)+VLOOKUP($A44,main!$A$3:$H$102,4,FALSE)+(VLOOKUP(VLOOKUP(AP$1,main!$A$3:$H$102,8,FALSE),main!$K$19:$O$22,MATCH(VLOOKUP($A44,main!$A$3:$H$102,7,FALSE),main!$K$18:$O$18,0),0))),0)</f>
        <v>240</v>
      </c>
      <c r="AQ44">
        <f>IF((gamma!AQ44),IF(VLOOKUP(AQ$1,main!$A$3:$H$102,7,FALSE)=VLOOKUP($A44,main!$A$3:$H$102,8,FALSE),VLOOKUP(AQ$1,main!$A$3:$H$102,4,FALSE),VLOOKUP(AQ$1,main!$A$3:$H$102,4,FALSE)+VLOOKUP($A44,main!$A$3:$H$102,4,FALSE)+(VLOOKUP(VLOOKUP(AQ$1,main!$A$3:$H$102,8,FALSE),main!$K$19:$O$22,MATCH(VLOOKUP($A44,main!$A$3:$H$102,7,FALSE),main!$K$18:$O$18,0),0))),0)</f>
        <v>0</v>
      </c>
      <c r="AR44">
        <f>IF((gamma!AR44),IF(VLOOKUP(AR$1,main!$A$3:$H$102,7,FALSE)=VLOOKUP($A44,main!$A$3:$H$102,8,FALSE),VLOOKUP(AR$1,main!$A$3:$H$102,4,FALSE),VLOOKUP(AR$1,main!$A$3:$H$102,4,FALSE)+VLOOKUP($A44,main!$A$3:$H$102,4,FALSE)+(VLOOKUP(VLOOKUP(AR$1,main!$A$3:$H$102,8,FALSE),main!$K$19:$O$22,MATCH(VLOOKUP($A44,main!$A$3:$H$102,7,FALSE),main!$K$18:$O$18,0),0))),0)</f>
        <v>0</v>
      </c>
      <c r="AS44">
        <f>IF((gamma!AS44),IF(VLOOKUP(AS$1,main!$A$3:$H$102,7,FALSE)=VLOOKUP($A44,main!$A$3:$H$102,8,FALSE),VLOOKUP(AS$1,main!$A$3:$H$102,4,FALSE),VLOOKUP(AS$1,main!$A$3:$H$102,4,FALSE)+VLOOKUP($A44,main!$A$3:$H$102,4,FALSE)+(VLOOKUP(VLOOKUP(AS$1,main!$A$3:$H$102,8,FALSE),main!$K$19:$O$22,MATCH(VLOOKUP($A44,main!$A$3:$H$102,7,FALSE),main!$K$18:$O$18,0),0))),0)</f>
        <v>288</v>
      </c>
      <c r="AT44">
        <f>IF((gamma!AT44),IF(VLOOKUP(AT$1,main!$A$3:$H$102,7,FALSE)=VLOOKUP($A44,main!$A$3:$H$102,8,FALSE),VLOOKUP(AT$1,main!$A$3:$H$102,4,FALSE),VLOOKUP(AT$1,main!$A$3:$H$102,4,FALSE)+VLOOKUP($A44,main!$A$3:$H$102,4,FALSE)+(VLOOKUP(VLOOKUP(AT$1,main!$A$3:$H$102,8,FALSE),main!$K$19:$O$22,MATCH(VLOOKUP($A44,main!$A$3:$H$102,7,FALSE),main!$K$18:$O$18,0),0))),0)</f>
        <v>298</v>
      </c>
      <c r="AU44">
        <f>IF((gamma!AU44),IF(VLOOKUP(AU$1,main!$A$3:$H$102,7,FALSE)=VLOOKUP($A44,main!$A$3:$H$102,8,FALSE),VLOOKUP(AU$1,main!$A$3:$H$102,4,FALSE),VLOOKUP(AU$1,main!$A$3:$H$102,4,FALSE)+VLOOKUP($A44,main!$A$3:$H$102,4,FALSE)+(VLOOKUP(VLOOKUP(AU$1,main!$A$3:$H$102,8,FALSE),main!$K$19:$O$22,MATCH(VLOOKUP($A44,main!$A$3:$H$102,7,FALSE),main!$K$18:$O$18,0),0))),0)</f>
        <v>0</v>
      </c>
      <c r="AV44">
        <f>IF((gamma!AV44),IF(VLOOKUP(AV$1,main!$A$3:$H$102,7,FALSE)=VLOOKUP($A44,main!$A$3:$H$102,8,FALSE),VLOOKUP(AV$1,main!$A$3:$H$102,4,FALSE),VLOOKUP(AV$1,main!$A$3:$H$102,4,FALSE)+VLOOKUP($A44,main!$A$3:$H$102,4,FALSE)+(VLOOKUP(VLOOKUP(AV$1,main!$A$3:$H$102,8,FALSE),main!$K$19:$O$22,MATCH(VLOOKUP($A44,main!$A$3:$H$102,7,FALSE),main!$K$18:$O$18,0),0))),0)</f>
        <v>0</v>
      </c>
      <c r="AW44">
        <f>IF((gamma!AW44),IF(VLOOKUP(AW$1,main!$A$3:$H$102,7,FALSE)=VLOOKUP($A44,main!$A$3:$H$102,8,FALSE),VLOOKUP(AW$1,main!$A$3:$H$102,4,FALSE),VLOOKUP(AW$1,main!$A$3:$H$102,4,FALSE)+VLOOKUP($A44,main!$A$3:$H$102,4,FALSE)+(VLOOKUP(VLOOKUP(AW$1,main!$A$3:$H$102,8,FALSE),main!$K$19:$O$22,MATCH(VLOOKUP($A44,main!$A$3:$H$102,7,FALSE),main!$K$18:$O$18,0),0))),0)</f>
        <v>288</v>
      </c>
      <c r="AX44">
        <f>IF((gamma!AX44),IF(VLOOKUP(AX$1,main!$A$3:$H$102,7,FALSE)=VLOOKUP($A44,main!$A$3:$H$102,8,FALSE),VLOOKUP(AX$1,main!$A$3:$H$102,4,FALSE),VLOOKUP(AX$1,main!$A$3:$H$102,4,FALSE)+VLOOKUP($A44,main!$A$3:$H$102,4,FALSE)+(VLOOKUP(VLOOKUP(AX$1,main!$A$3:$H$102,8,FALSE),main!$K$19:$O$22,MATCH(VLOOKUP($A44,main!$A$3:$H$102,7,FALSE),main!$K$18:$O$18,0),0))),0)</f>
        <v>0</v>
      </c>
      <c r="AY44">
        <f>IF((gamma!AY44),IF(VLOOKUP(AY$1,main!$A$3:$H$102,7,FALSE)=VLOOKUP($A44,main!$A$3:$H$102,8,FALSE),VLOOKUP(AY$1,main!$A$3:$H$102,4,FALSE),VLOOKUP(AY$1,main!$A$3:$H$102,4,FALSE)+VLOOKUP($A44,main!$A$3:$H$102,4,FALSE)+(VLOOKUP(VLOOKUP(AY$1,main!$A$3:$H$102,8,FALSE),main!$K$19:$O$22,MATCH(VLOOKUP($A44,main!$A$3:$H$102,7,FALSE),main!$K$18:$O$18,0),0))),0)</f>
        <v>0</v>
      </c>
      <c r="AZ44">
        <f>IF((gamma!AZ44),IF(VLOOKUP(AZ$1,main!$A$3:$H$102,7,FALSE)=VLOOKUP($A44,main!$A$3:$H$102,8,FALSE),VLOOKUP(AZ$1,main!$A$3:$H$102,4,FALSE),VLOOKUP(AZ$1,main!$A$3:$H$102,4,FALSE)+VLOOKUP($A44,main!$A$3:$H$102,4,FALSE)+(VLOOKUP(VLOOKUP(AZ$1,main!$A$3:$H$102,8,FALSE),main!$K$19:$O$22,MATCH(VLOOKUP($A44,main!$A$3:$H$102,7,FALSE),main!$K$18:$O$18,0),0))),0)</f>
        <v>0</v>
      </c>
      <c r="BA44">
        <f>IF((gamma!BA44),IF(VLOOKUP(BA$1,main!$A$3:$H$102,7,FALSE)=VLOOKUP($A44,main!$A$3:$H$102,8,FALSE),VLOOKUP(BA$1,main!$A$3:$H$102,4,FALSE),VLOOKUP(BA$1,main!$A$3:$H$102,4,FALSE)+VLOOKUP($A44,main!$A$3:$H$102,4,FALSE)+(VLOOKUP(VLOOKUP(BA$1,main!$A$3:$H$102,8,FALSE),main!$K$19:$O$22,MATCH(VLOOKUP($A44,main!$A$3:$H$102,7,FALSE),main!$K$18:$O$18,0),0))),0)</f>
        <v>0</v>
      </c>
      <c r="BB44">
        <f>IF((gamma!BB44),IF(VLOOKUP(BB$1,main!$A$3:$H$102,7,FALSE)=VLOOKUP($A44,main!$A$3:$H$102,8,FALSE),VLOOKUP(BB$1,main!$A$3:$H$102,4,FALSE),VLOOKUP(BB$1,main!$A$3:$H$102,4,FALSE)+VLOOKUP($A44,main!$A$3:$H$102,4,FALSE)+(VLOOKUP(VLOOKUP(BB$1,main!$A$3:$H$102,8,FALSE),main!$K$19:$O$22,MATCH(VLOOKUP($A44,main!$A$3:$H$102,7,FALSE),main!$K$18:$O$18,0),0))),0)</f>
        <v>0</v>
      </c>
      <c r="BC44">
        <f>IF((gamma!BC44),IF(VLOOKUP(BC$1,main!$A$3:$H$102,7,FALSE)=VLOOKUP($A44,main!$A$3:$H$102,8,FALSE),VLOOKUP(BC$1,main!$A$3:$H$102,4,FALSE),VLOOKUP(BC$1,main!$A$3:$H$102,4,FALSE)+VLOOKUP($A44,main!$A$3:$H$102,4,FALSE)+(VLOOKUP(VLOOKUP(BC$1,main!$A$3:$H$102,8,FALSE),main!$K$19:$O$22,MATCH(VLOOKUP($A44,main!$A$3:$H$102,7,FALSE),main!$K$18:$O$18,0),0))),0)</f>
        <v>140</v>
      </c>
      <c r="BD44">
        <f>IF((gamma!BD44),IF(VLOOKUP(BD$1,main!$A$3:$H$102,7,FALSE)=VLOOKUP($A44,main!$A$3:$H$102,8,FALSE),VLOOKUP(BD$1,main!$A$3:$H$102,4,FALSE),VLOOKUP(BD$1,main!$A$3:$H$102,4,FALSE)+VLOOKUP($A44,main!$A$3:$H$102,4,FALSE)+(VLOOKUP(VLOOKUP(BD$1,main!$A$3:$H$102,8,FALSE),main!$K$19:$O$22,MATCH(VLOOKUP($A44,main!$A$3:$H$102,7,FALSE),main!$K$18:$O$18,0),0))),0)</f>
        <v>140</v>
      </c>
      <c r="BE44">
        <f>IF((gamma!BE44),IF(VLOOKUP(BE$1,main!$A$3:$H$102,7,FALSE)=VLOOKUP($A44,main!$A$3:$H$102,8,FALSE),VLOOKUP(BE$1,main!$A$3:$H$102,4,FALSE),VLOOKUP(BE$1,main!$A$3:$H$102,4,FALSE)+VLOOKUP($A44,main!$A$3:$H$102,4,FALSE)+(VLOOKUP(VLOOKUP(BE$1,main!$A$3:$H$102,8,FALSE),main!$K$19:$O$22,MATCH(VLOOKUP($A44,main!$A$3:$H$102,7,FALSE),main!$K$18:$O$18,0),0))),0)</f>
        <v>140</v>
      </c>
      <c r="BF44">
        <f>IF((gamma!BF44),IF(VLOOKUP(BF$1,main!$A$3:$H$102,7,FALSE)=VLOOKUP($A44,main!$A$3:$H$102,8,FALSE),VLOOKUP(BF$1,main!$A$3:$H$102,4,FALSE),VLOOKUP(BF$1,main!$A$3:$H$102,4,FALSE)+VLOOKUP($A44,main!$A$3:$H$102,4,FALSE)+(VLOOKUP(VLOOKUP(BF$1,main!$A$3:$H$102,8,FALSE),main!$K$19:$O$22,MATCH(VLOOKUP($A44,main!$A$3:$H$102,7,FALSE),main!$K$18:$O$18,0),0))),0)</f>
        <v>0</v>
      </c>
      <c r="BG44">
        <f>IF((gamma!BG44),IF(VLOOKUP(BG$1,main!$A$3:$H$102,7,FALSE)=VLOOKUP($A44,main!$A$3:$H$102,8,FALSE),VLOOKUP(BG$1,main!$A$3:$H$102,4,FALSE),VLOOKUP(BG$1,main!$A$3:$H$102,4,FALSE)+VLOOKUP($A44,main!$A$3:$H$102,4,FALSE)+(VLOOKUP(VLOOKUP(BG$1,main!$A$3:$H$102,8,FALSE),main!$K$19:$O$22,MATCH(VLOOKUP($A44,main!$A$3:$H$102,7,FALSE),main!$K$18:$O$18,0),0))),0)</f>
        <v>0</v>
      </c>
      <c r="BH44">
        <f>IF((gamma!BH44),IF(VLOOKUP(BH$1,main!$A$3:$H$102,7,FALSE)=VLOOKUP($A44,main!$A$3:$H$102,8,FALSE),VLOOKUP(BH$1,main!$A$3:$H$102,4,FALSE),VLOOKUP(BH$1,main!$A$3:$H$102,4,FALSE)+VLOOKUP($A44,main!$A$3:$H$102,4,FALSE)+(VLOOKUP(VLOOKUP(BH$1,main!$A$3:$H$102,8,FALSE),main!$K$19:$O$22,MATCH(VLOOKUP($A44,main!$A$3:$H$102,7,FALSE),main!$K$18:$O$18,0),0))),0)</f>
        <v>125</v>
      </c>
      <c r="BI44">
        <f>IF((gamma!BI44),IF(VLOOKUP(BI$1,main!$A$3:$H$102,7,FALSE)=VLOOKUP($A44,main!$A$3:$H$102,8,FALSE),VLOOKUP(BI$1,main!$A$3:$H$102,4,FALSE),VLOOKUP(BI$1,main!$A$3:$H$102,4,FALSE)+VLOOKUP($A44,main!$A$3:$H$102,4,FALSE)+(VLOOKUP(VLOOKUP(BI$1,main!$A$3:$H$102,8,FALSE),main!$K$19:$O$22,MATCH(VLOOKUP($A44,main!$A$3:$H$102,7,FALSE),main!$K$18:$O$18,0),0))),0)</f>
        <v>60</v>
      </c>
      <c r="BJ44">
        <f>IF((gamma!BJ44),IF(VLOOKUP(BJ$1,main!$A$3:$H$102,7,FALSE)=VLOOKUP($A44,main!$A$3:$H$102,8,FALSE),VLOOKUP(BJ$1,main!$A$3:$H$102,4,FALSE),VLOOKUP(BJ$1,main!$A$3:$H$102,4,FALSE)+VLOOKUP($A44,main!$A$3:$H$102,4,FALSE)+(VLOOKUP(VLOOKUP(BJ$1,main!$A$3:$H$102,8,FALSE),main!$K$19:$O$22,MATCH(VLOOKUP($A44,main!$A$3:$H$102,7,FALSE),main!$K$18:$O$18,0),0))),0)</f>
        <v>90</v>
      </c>
      <c r="BK44">
        <f>IF((gamma!BK44),IF(VLOOKUP(BK$1,main!$A$3:$H$102,7,FALSE)=VLOOKUP($A44,main!$A$3:$H$102,8,FALSE),VLOOKUP(BK$1,main!$A$3:$H$102,4,FALSE),VLOOKUP(BK$1,main!$A$3:$H$102,4,FALSE)+VLOOKUP($A44,main!$A$3:$H$102,4,FALSE)+(VLOOKUP(VLOOKUP(BK$1,main!$A$3:$H$102,8,FALSE),main!$K$19:$O$22,MATCH(VLOOKUP($A44,main!$A$3:$H$102,7,FALSE),main!$K$18:$O$18,0),0))),0)</f>
        <v>0</v>
      </c>
      <c r="BL44">
        <f>IF((gamma!BL44),IF(VLOOKUP(BL$1,main!$A$3:$H$102,7,FALSE)=VLOOKUP($A44,main!$A$3:$H$102,8,FALSE),VLOOKUP(BL$1,main!$A$3:$H$102,4,FALSE),VLOOKUP(BL$1,main!$A$3:$H$102,4,FALSE)+VLOOKUP($A44,main!$A$3:$H$102,4,FALSE)+(VLOOKUP(VLOOKUP(BL$1,main!$A$3:$H$102,8,FALSE),main!$K$19:$O$22,MATCH(VLOOKUP($A44,main!$A$3:$H$102,7,FALSE),main!$K$18:$O$18,0),0))),0)</f>
        <v>0</v>
      </c>
      <c r="BM44">
        <f>IF((gamma!BM44),IF(VLOOKUP(BM$1,main!$A$3:$H$102,7,FALSE)=VLOOKUP($A44,main!$A$3:$H$102,8,FALSE),VLOOKUP(BM$1,main!$A$3:$H$102,4,FALSE),VLOOKUP(BM$1,main!$A$3:$H$102,4,FALSE)+VLOOKUP($A44,main!$A$3:$H$102,4,FALSE)+(VLOOKUP(VLOOKUP(BM$1,main!$A$3:$H$102,8,FALSE),main!$K$19:$O$22,MATCH(VLOOKUP($A44,main!$A$3:$H$102,7,FALSE),main!$K$18:$O$18,0),0))),0)</f>
        <v>0</v>
      </c>
      <c r="BN44">
        <f>IF((gamma!BN44),IF(VLOOKUP(BN$1,main!$A$3:$H$102,7,FALSE)=VLOOKUP($A44,main!$A$3:$H$102,8,FALSE),VLOOKUP(BN$1,main!$A$3:$H$102,4,FALSE),VLOOKUP(BN$1,main!$A$3:$H$102,4,FALSE)+VLOOKUP($A44,main!$A$3:$H$102,4,FALSE)+(VLOOKUP(VLOOKUP(BN$1,main!$A$3:$H$102,8,FALSE),main!$K$19:$O$22,MATCH(VLOOKUP($A44,main!$A$3:$H$102,7,FALSE),main!$K$18:$O$18,0),0))),0)</f>
        <v>120</v>
      </c>
      <c r="BO44">
        <f>IF((gamma!BO44),IF(VLOOKUP(BO$1,main!$A$3:$H$102,7,FALSE)=VLOOKUP($A44,main!$A$3:$H$102,8,FALSE),VLOOKUP(BO$1,main!$A$3:$H$102,4,FALSE),VLOOKUP(BO$1,main!$A$3:$H$102,4,FALSE)+VLOOKUP($A44,main!$A$3:$H$102,4,FALSE)+(VLOOKUP(VLOOKUP(BO$1,main!$A$3:$H$102,8,FALSE),main!$K$19:$O$22,MATCH(VLOOKUP($A44,main!$A$3:$H$102,7,FALSE),main!$K$18:$O$18,0),0))),0)</f>
        <v>0</v>
      </c>
      <c r="BP44">
        <f>IF((gamma!BP44),IF(VLOOKUP(BP$1,main!$A$3:$H$102,7,FALSE)=VLOOKUP($A44,main!$A$3:$H$102,8,FALSE),VLOOKUP(BP$1,main!$A$3:$H$102,4,FALSE),VLOOKUP(BP$1,main!$A$3:$H$102,4,FALSE)+VLOOKUP($A44,main!$A$3:$H$102,4,FALSE)+(VLOOKUP(VLOOKUP(BP$1,main!$A$3:$H$102,8,FALSE),main!$K$19:$O$22,MATCH(VLOOKUP($A44,main!$A$3:$H$102,7,FALSE),main!$K$18:$O$18,0),0))),0)</f>
        <v>0</v>
      </c>
      <c r="BQ44">
        <f>IF((gamma!BQ44),IF(VLOOKUP(BQ$1,main!$A$3:$H$102,7,FALSE)=VLOOKUP($A44,main!$A$3:$H$102,8,FALSE),VLOOKUP(BQ$1,main!$A$3:$H$102,4,FALSE),VLOOKUP(BQ$1,main!$A$3:$H$102,4,FALSE)+VLOOKUP($A44,main!$A$3:$H$102,4,FALSE)+(VLOOKUP(VLOOKUP(BQ$1,main!$A$3:$H$102,8,FALSE),main!$K$19:$O$22,MATCH(VLOOKUP($A44,main!$A$3:$H$102,7,FALSE),main!$K$18:$O$18,0),0))),0)</f>
        <v>140</v>
      </c>
      <c r="BR44">
        <f>IF((gamma!BR44),IF(VLOOKUP(BR$1,main!$A$3:$H$102,7,FALSE)=VLOOKUP($A44,main!$A$3:$H$102,8,FALSE),VLOOKUP(BR$1,main!$A$3:$H$102,4,FALSE),VLOOKUP(BR$1,main!$A$3:$H$102,4,FALSE)+VLOOKUP($A44,main!$A$3:$H$102,4,FALSE)+(VLOOKUP(VLOOKUP(BR$1,main!$A$3:$H$102,8,FALSE),main!$K$19:$O$22,MATCH(VLOOKUP($A44,main!$A$3:$H$102,7,FALSE),main!$K$18:$O$18,0),0))),0)</f>
        <v>100</v>
      </c>
      <c r="BS44">
        <f>IF((gamma!BS44),IF(VLOOKUP(BS$1,main!$A$3:$H$102,7,FALSE)=VLOOKUP($A44,main!$A$3:$H$102,8,FALSE),VLOOKUP(BS$1,main!$A$3:$H$102,4,FALSE),VLOOKUP(BS$1,main!$A$3:$H$102,4,FALSE)+VLOOKUP($A44,main!$A$3:$H$102,4,FALSE)+(VLOOKUP(VLOOKUP(BS$1,main!$A$3:$H$102,8,FALSE),main!$K$19:$O$22,MATCH(VLOOKUP($A44,main!$A$3:$H$102,7,FALSE),main!$K$18:$O$18,0),0))),0)</f>
        <v>101</v>
      </c>
      <c r="BT44">
        <f>IF((gamma!BT44),IF(VLOOKUP(BT$1,main!$A$3:$H$102,7,FALSE)=VLOOKUP($A44,main!$A$3:$H$102,8,FALSE),VLOOKUP(BT$1,main!$A$3:$H$102,4,FALSE),VLOOKUP(BT$1,main!$A$3:$H$102,4,FALSE)+VLOOKUP($A44,main!$A$3:$H$102,4,FALSE)+(VLOOKUP(VLOOKUP(BT$1,main!$A$3:$H$102,8,FALSE),main!$K$19:$O$22,MATCH(VLOOKUP($A44,main!$A$3:$H$102,7,FALSE),main!$K$18:$O$18,0),0))),0)</f>
        <v>120</v>
      </c>
      <c r="BU44">
        <f>IF((gamma!BU44),IF(VLOOKUP(BU$1,main!$A$3:$H$102,7,FALSE)=VLOOKUP($A44,main!$A$3:$H$102,8,FALSE),VLOOKUP(BU$1,main!$A$3:$H$102,4,FALSE),VLOOKUP(BU$1,main!$A$3:$H$102,4,FALSE)+VLOOKUP($A44,main!$A$3:$H$102,4,FALSE)+(VLOOKUP(VLOOKUP(BU$1,main!$A$3:$H$102,8,FALSE),main!$K$19:$O$22,MATCH(VLOOKUP($A44,main!$A$3:$H$102,7,FALSE),main!$K$18:$O$18,0),0))),0)</f>
        <v>0</v>
      </c>
      <c r="BV44">
        <f>IF((gamma!BV44),IF(VLOOKUP(BV$1,main!$A$3:$H$102,7,FALSE)=VLOOKUP($A44,main!$A$3:$H$102,8,FALSE),VLOOKUP(BV$1,main!$A$3:$H$102,4,FALSE),VLOOKUP(BV$1,main!$A$3:$H$102,4,FALSE)+VLOOKUP($A44,main!$A$3:$H$102,4,FALSE)+(VLOOKUP(VLOOKUP(BV$1,main!$A$3:$H$102,8,FALSE),main!$K$19:$O$22,MATCH(VLOOKUP($A44,main!$A$3:$H$102,7,FALSE),main!$K$18:$O$18,0),0))),0)</f>
        <v>0</v>
      </c>
      <c r="BW44">
        <f>IF((gamma!BW44),IF(VLOOKUP(BW$1,main!$A$3:$H$102,7,FALSE)=VLOOKUP($A44,main!$A$3:$H$102,8,FALSE),VLOOKUP(BW$1,main!$A$3:$H$102,4,FALSE),VLOOKUP(BW$1,main!$A$3:$H$102,4,FALSE)+VLOOKUP($A44,main!$A$3:$H$102,4,FALSE)+(VLOOKUP(VLOOKUP(BW$1,main!$A$3:$H$102,8,FALSE),main!$K$19:$O$22,MATCH(VLOOKUP($A44,main!$A$3:$H$102,7,FALSE),main!$K$18:$O$18,0),0))),0)</f>
        <v>0</v>
      </c>
      <c r="BX44">
        <f>IF((gamma!BX44),IF(VLOOKUP(BX$1,main!$A$3:$H$102,7,FALSE)=VLOOKUP($A44,main!$A$3:$H$102,8,FALSE),VLOOKUP(BX$1,main!$A$3:$H$102,4,FALSE),VLOOKUP(BX$1,main!$A$3:$H$102,4,FALSE)+VLOOKUP($A44,main!$A$3:$H$102,4,FALSE)+(VLOOKUP(VLOOKUP(BX$1,main!$A$3:$H$102,8,FALSE),main!$K$19:$O$22,MATCH(VLOOKUP($A44,main!$A$3:$H$102,7,FALSE),main!$K$18:$O$18,0),0))),0)</f>
        <v>135</v>
      </c>
      <c r="BY44">
        <f>IF((gamma!BY44),IF(VLOOKUP(BY$1,main!$A$3:$H$102,7,FALSE)=VLOOKUP($A44,main!$A$3:$H$102,8,FALSE),VLOOKUP(BY$1,main!$A$3:$H$102,4,FALSE),VLOOKUP(BY$1,main!$A$3:$H$102,4,FALSE)+VLOOKUP($A44,main!$A$3:$H$102,4,FALSE)+(VLOOKUP(VLOOKUP(BY$1,main!$A$3:$H$102,8,FALSE),main!$K$19:$O$22,MATCH(VLOOKUP($A44,main!$A$3:$H$102,7,FALSE),main!$K$18:$O$18,0),0))),0)</f>
        <v>120</v>
      </c>
      <c r="BZ44">
        <f>IF((gamma!BZ44),IF(VLOOKUP(BZ$1,main!$A$3:$H$102,7,FALSE)=VLOOKUP($A44,main!$A$3:$H$102,8,FALSE),VLOOKUP(BZ$1,main!$A$3:$H$102,4,FALSE),VLOOKUP(BZ$1,main!$A$3:$H$102,4,FALSE)+VLOOKUP($A44,main!$A$3:$H$102,4,FALSE)+(VLOOKUP(VLOOKUP(BZ$1,main!$A$3:$H$102,8,FALSE),main!$K$19:$O$22,MATCH(VLOOKUP($A44,main!$A$3:$H$102,7,FALSE),main!$K$18:$O$18,0),0))),0)</f>
        <v>0</v>
      </c>
      <c r="CA44">
        <f>IF((gamma!CA44),IF(VLOOKUP(CA$1,main!$A$3:$H$102,7,FALSE)=VLOOKUP($A44,main!$A$3:$H$102,8,FALSE),VLOOKUP(CA$1,main!$A$3:$H$102,4,FALSE),VLOOKUP(CA$1,main!$A$3:$H$102,4,FALSE)+VLOOKUP($A44,main!$A$3:$H$102,4,FALSE)+(VLOOKUP(VLOOKUP(CA$1,main!$A$3:$H$102,8,FALSE),main!$K$19:$O$22,MATCH(VLOOKUP($A44,main!$A$3:$H$102,7,FALSE),main!$K$18:$O$18,0),0))),0)</f>
        <v>0</v>
      </c>
      <c r="CB44">
        <f>IF((gamma!CB44),IF(VLOOKUP(CB$1,main!$A$3:$H$102,7,FALSE)=VLOOKUP($A44,main!$A$3:$H$102,8,FALSE),VLOOKUP(CB$1,main!$A$3:$H$102,4,FALSE),VLOOKUP(CB$1,main!$A$3:$H$102,4,FALSE)+VLOOKUP($A44,main!$A$3:$H$102,4,FALSE)+(VLOOKUP(VLOOKUP(CB$1,main!$A$3:$H$102,8,FALSE),main!$K$19:$O$22,MATCH(VLOOKUP($A44,main!$A$3:$H$102,7,FALSE),main!$K$18:$O$18,0),0))),0)</f>
        <v>65</v>
      </c>
      <c r="CC44">
        <f>IF((gamma!CC44),IF(VLOOKUP(CC$1,main!$A$3:$H$102,7,FALSE)=VLOOKUP($A44,main!$A$3:$H$102,8,FALSE),VLOOKUP(CC$1,main!$A$3:$H$102,4,FALSE),VLOOKUP(CC$1,main!$A$3:$H$102,4,FALSE)+VLOOKUP($A44,main!$A$3:$H$102,4,FALSE)+(VLOOKUP(VLOOKUP(CC$1,main!$A$3:$H$102,8,FALSE),main!$K$19:$O$22,MATCH(VLOOKUP($A44,main!$A$3:$H$102,7,FALSE),main!$K$18:$O$18,0),0))),0)</f>
        <v>55</v>
      </c>
      <c r="CD44">
        <f>IF((gamma!CD44),IF(VLOOKUP(CD$1,main!$A$3:$H$102,7,FALSE)=VLOOKUP($A44,main!$A$3:$H$102,8,FALSE),VLOOKUP(CD$1,main!$A$3:$H$102,4,FALSE),VLOOKUP(CD$1,main!$A$3:$H$102,4,FALSE)+VLOOKUP($A44,main!$A$3:$H$102,4,FALSE)+(VLOOKUP(VLOOKUP(CD$1,main!$A$3:$H$102,8,FALSE),main!$K$19:$O$22,MATCH(VLOOKUP($A44,main!$A$3:$H$102,7,FALSE),main!$K$18:$O$18,0),0))),0)</f>
        <v>114</v>
      </c>
      <c r="CE44">
        <f>IF((gamma!CE44),IF(VLOOKUP(CE$1,main!$A$3:$H$102,7,FALSE)=VLOOKUP($A44,main!$A$3:$H$102,8,FALSE),VLOOKUP(CE$1,main!$A$3:$H$102,4,FALSE),VLOOKUP(CE$1,main!$A$3:$H$102,4,FALSE)+VLOOKUP($A44,main!$A$3:$H$102,4,FALSE)+(VLOOKUP(VLOOKUP(CE$1,main!$A$3:$H$102,8,FALSE),main!$K$19:$O$22,MATCH(VLOOKUP($A44,main!$A$3:$H$102,7,FALSE),main!$K$18:$O$18,0),0))),0)</f>
        <v>0</v>
      </c>
      <c r="CF44">
        <f>IF((gamma!CF44),IF(VLOOKUP(CF$1,main!$A$3:$H$102,7,FALSE)=VLOOKUP($A44,main!$A$3:$H$102,8,FALSE),VLOOKUP(CF$1,main!$A$3:$H$102,4,FALSE),VLOOKUP(CF$1,main!$A$3:$H$102,4,FALSE)+VLOOKUP($A44,main!$A$3:$H$102,4,FALSE)+(VLOOKUP(VLOOKUP(CF$1,main!$A$3:$H$102,8,FALSE),main!$K$19:$O$22,MATCH(VLOOKUP($A44,main!$A$3:$H$102,7,FALSE),main!$K$18:$O$18,0),0))),0)</f>
        <v>0</v>
      </c>
      <c r="CG44">
        <f>IF((gamma!CG44),IF(VLOOKUP(CG$1,main!$A$3:$H$102,7,FALSE)=VLOOKUP($A44,main!$A$3:$H$102,8,FALSE),VLOOKUP(CG$1,main!$A$3:$H$102,4,FALSE),VLOOKUP(CG$1,main!$A$3:$H$102,4,FALSE)+VLOOKUP($A44,main!$A$3:$H$102,4,FALSE)+(VLOOKUP(VLOOKUP(CG$1,main!$A$3:$H$102,8,FALSE),main!$K$19:$O$22,MATCH(VLOOKUP($A44,main!$A$3:$H$102,7,FALSE),main!$K$18:$O$18,0),0))),0)</f>
        <v>305</v>
      </c>
      <c r="CH44">
        <f>IF((gamma!CH44),IF(VLOOKUP(CH$1,main!$A$3:$H$102,7,FALSE)=VLOOKUP($A44,main!$A$3:$H$102,8,FALSE),VLOOKUP(CH$1,main!$A$3:$H$102,4,FALSE),VLOOKUP(CH$1,main!$A$3:$H$102,4,FALSE)+VLOOKUP($A44,main!$A$3:$H$102,4,FALSE)+(VLOOKUP(VLOOKUP(CH$1,main!$A$3:$H$102,8,FALSE),main!$K$19:$O$22,MATCH(VLOOKUP($A44,main!$A$3:$H$102,7,FALSE),main!$K$18:$O$18,0),0))),0)</f>
        <v>305</v>
      </c>
      <c r="CI44">
        <f>IF((gamma!CI44),IF(VLOOKUP(CI$1,main!$A$3:$H$102,7,FALSE)=VLOOKUP($A44,main!$A$3:$H$102,8,FALSE),VLOOKUP(CI$1,main!$A$3:$H$102,4,FALSE),VLOOKUP(CI$1,main!$A$3:$H$102,4,FALSE)+VLOOKUP($A44,main!$A$3:$H$102,4,FALSE)+(VLOOKUP(VLOOKUP(CI$1,main!$A$3:$H$102,8,FALSE),main!$K$19:$O$22,MATCH(VLOOKUP($A44,main!$A$3:$H$102,7,FALSE),main!$K$18:$O$18,0),0))),0)</f>
        <v>305</v>
      </c>
      <c r="CJ44">
        <f>IF((gamma!CJ44),IF(VLOOKUP(CJ$1,main!$A$3:$H$102,7,FALSE)=VLOOKUP($A44,main!$A$3:$H$102,8,FALSE),VLOOKUP(CJ$1,main!$A$3:$H$102,4,FALSE),VLOOKUP(CJ$1,main!$A$3:$H$102,4,FALSE)+VLOOKUP($A44,main!$A$3:$H$102,4,FALSE)+(VLOOKUP(VLOOKUP(CJ$1,main!$A$3:$H$102,8,FALSE),main!$K$19:$O$22,MATCH(VLOOKUP($A44,main!$A$3:$H$102,7,FALSE),main!$K$18:$O$18,0),0))),0)</f>
        <v>233</v>
      </c>
      <c r="CK44">
        <f>IF((gamma!CK44),IF(VLOOKUP(CK$1,main!$A$3:$H$102,7,FALSE)=VLOOKUP($A44,main!$A$3:$H$102,8,FALSE),VLOOKUP(CK$1,main!$A$3:$H$102,4,FALSE),VLOOKUP(CK$1,main!$A$3:$H$102,4,FALSE)+VLOOKUP($A44,main!$A$3:$H$102,4,FALSE)+(VLOOKUP(VLOOKUP(CK$1,main!$A$3:$H$102,8,FALSE),main!$K$19:$O$22,MATCH(VLOOKUP($A44,main!$A$3:$H$102,7,FALSE),main!$K$18:$O$18,0),0))),0)</f>
        <v>0</v>
      </c>
      <c r="CL44">
        <f>IF((gamma!CL44),IF(VLOOKUP(CL$1,main!$A$3:$H$102,7,FALSE)=VLOOKUP($A44,main!$A$3:$H$102,8,FALSE),VLOOKUP(CL$1,main!$A$3:$H$102,4,FALSE),VLOOKUP(CL$1,main!$A$3:$H$102,4,FALSE)+VLOOKUP($A44,main!$A$3:$H$102,4,FALSE)+(VLOOKUP(VLOOKUP(CL$1,main!$A$3:$H$102,8,FALSE),main!$K$19:$O$22,MATCH(VLOOKUP($A44,main!$A$3:$H$102,7,FALSE),main!$K$18:$O$18,0),0))),0)</f>
        <v>245</v>
      </c>
      <c r="CM44">
        <f>IF((gamma!CM44),IF(VLOOKUP(CM$1,main!$A$3:$H$102,7,FALSE)=VLOOKUP($A44,main!$A$3:$H$102,8,FALSE),VLOOKUP(CM$1,main!$A$3:$H$102,4,FALSE),VLOOKUP(CM$1,main!$A$3:$H$102,4,FALSE)+VLOOKUP($A44,main!$A$3:$H$102,4,FALSE)+(VLOOKUP(VLOOKUP(CM$1,main!$A$3:$H$102,8,FALSE),main!$K$19:$O$22,MATCH(VLOOKUP($A44,main!$A$3:$H$102,7,FALSE),main!$K$18:$O$18,0),0))),0)</f>
        <v>265</v>
      </c>
      <c r="CN44">
        <f>IF((gamma!CN44),IF(VLOOKUP(CN$1,main!$A$3:$H$102,7,FALSE)=VLOOKUP($A44,main!$A$3:$H$102,8,FALSE),VLOOKUP(CN$1,main!$A$3:$H$102,4,FALSE),VLOOKUP(CN$1,main!$A$3:$H$102,4,FALSE)+VLOOKUP($A44,main!$A$3:$H$102,4,FALSE)+(VLOOKUP(VLOOKUP(CN$1,main!$A$3:$H$102,8,FALSE),main!$K$19:$O$22,MATCH(VLOOKUP($A44,main!$A$3:$H$102,7,FALSE),main!$K$18:$O$18,0),0))),0)</f>
        <v>261</v>
      </c>
      <c r="CO44">
        <f>IF((gamma!CO44),IF(VLOOKUP(CO$1,main!$A$3:$H$102,7,FALSE)=VLOOKUP($A44,main!$A$3:$H$102,8,FALSE),VLOOKUP(CO$1,main!$A$3:$H$102,4,FALSE),VLOOKUP(CO$1,main!$A$3:$H$102,4,FALSE)+VLOOKUP($A44,main!$A$3:$H$102,4,FALSE)+(VLOOKUP(VLOOKUP(CO$1,main!$A$3:$H$102,8,FALSE),main!$K$19:$O$22,MATCH(VLOOKUP($A44,main!$A$3:$H$102,7,FALSE),main!$K$18:$O$18,0),0))),0)</f>
        <v>0</v>
      </c>
      <c r="CP44">
        <f>IF((gamma!CP44),IF(VLOOKUP(CP$1,main!$A$3:$H$102,7,FALSE)=VLOOKUP($A44,main!$A$3:$H$102,8,FALSE),VLOOKUP(CP$1,main!$A$3:$H$102,4,FALSE),VLOOKUP(CP$1,main!$A$3:$H$102,4,FALSE)+VLOOKUP($A44,main!$A$3:$H$102,4,FALSE)+(VLOOKUP(VLOOKUP(CP$1,main!$A$3:$H$102,8,FALSE),main!$K$19:$O$22,MATCH(VLOOKUP($A44,main!$A$3:$H$102,7,FALSE),main!$K$18:$O$18,0),0))),0)</f>
        <v>0</v>
      </c>
      <c r="CQ44">
        <f>IF((gamma!CQ44),IF(VLOOKUP(CQ$1,main!$A$3:$H$102,7,FALSE)=VLOOKUP($A44,main!$A$3:$H$102,8,FALSE),VLOOKUP(CQ$1,main!$A$3:$H$102,4,FALSE),VLOOKUP(CQ$1,main!$A$3:$H$102,4,FALSE)+VLOOKUP($A44,main!$A$3:$H$102,4,FALSE)+(VLOOKUP(VLOOKUP(CQ$1,main!$A$3:$H$102,8,FALSE),main!$K$19:$O$22,MATCH(VLOOKUP($A44,main!$A$3:$H$102,7,FALSE),main!$K$18:$O$18,0),0))),0)</f>
        <v>0</v>
      </c>
      <c r="CR44">
        <f>IF((gamma!CR44),IF(VLOOKUP(CR$1,main!$A$3:$H$102,7,FALSE)=VLOOKUP($A44,main!$A$3:$H$102,8,FALSE),VLOOKUP(CR$1,main!$A$3:$H$102,4,FALSE),VLOOKUP(CR$1,main!$A$3:$H$102,4,FALSE)+VLOOKUP($A44,main!$A$3:$H$102,4,FALSE)+(VLOOKUP(VLOOKUP(CR$1,main!$A$3:$H$102,8,FALSE),main!$K$19:$O$22,MATCH(VLOOKUP($A44,main!$A$3:$H$102,7,FALSE),main!$K$18:$O$18,0),0))),0)</f>
        <v>303</v>
      </c>
      <c r="CS44">
        <f>IF((gamma!CS44),IF(VLOOKUP(CS$1,main!$A$3:$H$102,7,FALSE)=VLOOKUP($A44,main!$A$3:$H$102,8,FALSE),VLOOKUP(CS$1,main!$A$3:$H$102,4,FALSE),VLOOKUP(CS$1,main!$A$3:$H$102,4,FALSE)+VLOOKUP($A44,main!$A$3:$H$102,4,FALSE)+(VLOOKUP(VLOOKUP(CS$1,main!$A$3:$H$102,8,FALSE),main!$K$19:$O$22,MATCH(VLOOKUP($A44,main!$A$3:$H$102,7,FALSE),main!$K$18:$O$18,0),0))),0)</f>
        <v>303</v>
      </c>
      <c r="CT44">
        <f>IF((gamma!CT44),IF(VLOOKUP(CT$1,main!$A$3:$H$102,7,FALSE)=VLOOKUP($A44,main!$A$3:$H$102,8,FALSE),VLOOKUP(CT$1,main!$A$3:$H$102,4,FALSE),VLOOKUP(CT$1,main!$A$3:$H$102,4,FALSE)+VLOOKUP($A44,main!$A$3:$H$102,4,FALSE)+(VLOOKUP(VLOOKUP(CT$1,main!$A$3:$H$102,8,FALSE),main!$K$19:$O$22,MATCH(VLOOKUP($A44,main!$A$3:$H$102,7,FALSE),main!$K$18:$O$18,0),0))),0)</f>
        <v>0</v>
      </c>
      <c r="CU44">
        <f>IF((gamma!CU44),IF(VLOOKUP(CU$1,main!$A$3:$H$102,7,FALSE)=VLOOKUP($A44,main!$A$3:$H$102,8,FALSE),VLOOKUP(CU$1,main!$A$3:$H$102,4,FALSE),VLOOKUP(CU$1,main!$A$3:$H$102,4,FALSE)+VLOOKUP($A44,main!$A$3:$H$102,4,FALSE)+(VLOOKUP(VLOOKUP(CU$1,main!$A$3:$H$102,8,FALSE),main!$K$19:$O$22,MATCH(VLOOKUP($A44,main!$A$3:$H$102,7,FALSE),main!$K$18:$O$18,0),0))),0)</f>
        <v>0</v>
      </c>
      <c r="CV44">
        <f>IF((gamma!CV44),IF(VLOOKUP(CV$1,main!$A$3:$H$102,7,FALSE)=VLOOKUP($A44,main!$A$3:$H$102,8,FALSE),VLOOKUP(CV$1,main!$A$3:$H$102,4,FALSE),VLOOKUP(CV$1,main!$A$3:$H$102,4,FALSE)+VLOOKUP($A44,main!$A$3:$H$102,4,FALSE)+(VLOOKUP(VLOOKUP(CV$1,main!$A$3:$H$102,8,FALSE),main!$K$19:$O$22,MATCH(VLOOKUP($A44,main!$A$3:$H$102,7,FALSE),main!$K$18:$O$18,0),0))),0)</f>
        <v>0</v>
      </c>
      <c r="CW44">
        <f>IF((gamma!CW44),IF(VLOOKUP(CW$1,main!$A$3:$H$102,7,FALSE)=VLOOKUP($A44,main!$A$3:$H$102,8,FALSE),VLOOKUP(CW$1,main!$A$3:$H$102,4,FALSE),VLOOKUP(CW$1,main!$A$3:$H$102,4,FALSE)+VLOOKUP($A44,main!$A$3:$H$102,4,FALSE)+(VLOOKUP(VLOOKUP(CW$1,main!$A$3:$H$102,8,FALSE),main!$K$19:$O$22,MATCH(VLOOKUP($A44,main!$A$3:$H$102,7,FALSE),main!$K$18:$O$18,0),0))),0)</f>
        <v>263</v>
      </c>
      <c r="CX44">
        <f>IF((gamma!CX44),IF(VLOOKUP(CX$1,main!$A$3:$H$102,7,FALSE)=VLOOKUP($A44,main!$A$3:$H$102,8,FALSE),VLOOKUP(CX$1,main!$A$3:$H$102,4,FALSE),VLOOKUP(CX$1,main!$A$3:$H$102,4,FALSE)+VLOOKUP($A44,main!$A$3:$H$102,4,FALSE)+(VLOOKUP(VLOOKUP(CX$1,main!$A$3:$H$102,8,FALSE),main!$K$19:$O$22,MATCH(VLOOKUP($A44,main!$A$3:$H$102,7,FALSE),main!$K$18:$O$18,0),0))),0)</f>
        <v>253</v>
      </c>
      <c r="CY44">
        <v>0</v>
      </c>
      <c r="CZ44">
        <v>0</v>
      </c>
      <c r="DA44">
        <v>0</v>
      </c>
    </row>
    <row r="45" spans="1:105" x14ac:dyDescent="0.25">
      <c r="A45" s="1">
        <v>43</v>
      </c>
      <c r="B45">
        <v>0</v>
      </c>
      <c r="C45">
        <f>IF((gamma!C45),IF(VLOOKUP(C$1,main!$A$3:$H$102,7,FALSE)=VLOOKUP($A45,main!$A$3:$H$102,8,FALSE),VLOOKUP(C$1,main!$A$3:$H$102,4,FALSE),VLOOKUP(C$1,main!$A$3:$H$102,4,FALSE)+VLOOKUP($A45,main!$A$3:$H$102,4,FALSE)+(VLOOKUP(VLOOKUP(C$1,main!$A$3:$H$102,8,FALSE),main!$K$19:$O$22,MATCH(VLOOKUP($A45,main!$A$3:$H$102,7,FALSE),main!$K$18:$O$18,0),0))),0)</f>
        <v>0</v>
      </c>
      <c r="D45">
        <f>IF((gamma!D45),IF(VLOOKUP(D$1,main!$A$3:$H$102,7,FALSE)=VLOOKUP($A45,main!$A$3:$H$102,8,FALSE),VLOOKUP(D$1,main!$A$3:$H$102,4,FALSE),VLOOKUP(D$1,main!$A$3:$H$102,4,FALSE)+VLOOKUP($A45,main!$A$3:$H$102,4,FALSE)+(VLOOKUP(VLOOKUP(D$1,main!$A$3:$H$102,8,FALSE),main!$K$19:$O$22,MATCH(VLOOKUP($A45,main!$A$3:$H$102,7,FALSE),main!$K$18:$O$18,0),0))),0)</f>
        <v>0</v>
      </c>
      <c r="E45">
        <f>IF((gamma!E45),IF(VLOOKUP(E$1,main!$A$3:$H$102,7,FALSE)=VLOOKUP($A45,main!$A$3:$H$102,8,FALSE),VLOOKUP(E$1,main!$A$3:$H$102,4,FALSE),VLOOKUP(E$1,main!$A$3:$H$102,4,FALSE)+VLOOKUP($A45,main!$A$3:$H$102,4,FALSE)+(VLOOKUP(VLOOKUP(E$1,main!$A$3:$H$102,8,FALSE),main!$K$19:$O$22,MATCH(VLOOKUP($A45,main!$A$3:$H$102,7,FALSE),main!$K$18:$O$18,0),0))),0)</f>
        <v>0</v>
      </c>
      <c r="F45">
        <f>IF((gamma!F45),IF(VLOOKUP(F$1,main!$A$3:$H$102,7,FALSE)=VLOOKUP($A45,main!$A$3:$H$102,8,FALSE),VLOOKUP(F$1,main!$A$3:$H$102,4,FALSE),VLOOKUP(F$1,main!$A$3:$H$102,4,FALSE)+VLOOKUP($A45,main!$A$3:$H$102,4,FALSE)+(VLOOKUP(VLOOKUP(F$1,main!$A$3:$H$102,8,FALSE),main!$K$19:$O$22,MATCH(VLOOKUP($A45,main!$A$3:$H$102,7,FALSE),main!$K$18:$O$18,0),0))),0)</f>
        <v>0</v>
      </c>
      <c r="G45">
        <f>IF((gamma!G45),IF(VLOOKUP(G$1,main!$A$3:$H$102,7,FALSE)=VLOOKUP($A45,main!$A$3:$H$102,8,FALSE),VLOOKUP(G$1,main!$A$3:$H$102,4,FALSE),VLOOKUP(G$1,main!$A$3:$H$102,4,FALSE)+VLOOKUP($A45,main!$A$3:$H$102,4,FALSE)+(VLOOKUP(VLOOKUP(G$1,main!$A$3:$H$102,8,FALSE),main!$K$19:$O$22,MATCH(VLOOKUP($A45,main!$A$3:$H$102,7,FALSE),main!$K$18:$O$18,0),0))),0)</f>
        <v>0</v>
      </c>
      <c r="H45">
        <f>IF((gamma!H45),IF(VLOOKUP(H$1,main!$A$3:$H$102,7,FALSE)=VLOOKUP($A45,main!$A$3:$H$102,8,FALSE),VLOOKUP(H$1,main!$A$3:$H$102,4,FALSE),VLOOKUP(H$1,main!$A$3:$H$102,4,FALSE)+VLOOKUP($A45,main!$A$3:$H$102,4,FALSE)+(VLOOKUP(VLOOKUP(H$1,main!$A$3:$H$102,8,FALSE),main!$K$19:$O$22,MATCH(VLOOKUP($A45,main!$A$3:$H$102,7,FALSE),main!$K$18:$O$18,0),0))),0)</f>
        <v>0</v>
      </c>
      <c r="I45">
        <f>IF((gamma!I45),IF(VLOOKUP(I$1,main!$A$3:$H$102,7,FALSE)=VLOOKUP($A45,main!$A$3:$H$102,8,FALSE),VLOOKUP(I$1,main!$A$3:$H$102,4,FALSE),VLOOKUP(I$1,main!$A$3:$H$102,4,FALSE)+VLOOKUP($A45,main!$A$3:$H$102,4,FALSE)+(VLOOKUP(VLOOKUP(I$1,main!$A$3:$H$102,8,FALSE),main!$K$19:$O$22,MATCH(VLOOKUP($A45,main!$A$3:$H$102,7,FALSE),main!$K$18:$O$18,0),0))),0)</f>
        <v>255</v>
      </c>
      <c r="J45">
        <f>IF((gamma!J45),IF(VLOOKUP(J$1,main!$A$3:$H$102,7,FALSE)=VLOOKUP($A45,main!$A$3:$H$102,8,FALSE),VLOOKUP(J$1,main!$A$3:$H$102,4,FALSE),VLOOKUP(J$1,main!$A$3:$H$102,4,FALSE)+VLOOKUP($A45,main!$A$3:$H$102,4,FALSE)+(VLOOKUP(VLOOKUP(J$1,main!$A$3:$H$102,8,FALSE),main!$K$19:$O$22,MATCH(VLOOKUP($A45,main!$A$3:$H$102,7,FALSE),main!$K$18:$O$18,0),0))),0)</f>
        <v>255</v>
      </c>
      <c r="K45">
        <f>IF((gamma!K45),IF(VLOOKUP(K$1,main!$A$3:$H$102,7,FALSE)=VLOOKUP($A45,main!$A$3:$H$102,8,FALSE),VLOOKUP(K$1,main!$A$3:$H$102,4,FALSE),VLOOKUP(K$1,main!$A$3:$H$102,4,FALSE)+VLOOKUP($A45,main!$A$3:$H$102,4,FALSE)+(VLOOKUP(VLOOKUP(K$1,main!$A$3:$H$102,8,FALSE),main!$K$19:$O$22,MATCH(VLOOKUP($A45,main!$A$3:$H$102,7,FALSE),main!$K$18:$O$18,0),0))),0)</f>
        <v>255</v>
      </c>
      <c r="L45">
        <f>IF((gamma!L45),IF(VLOOKUP(L$1,main!$A$3:$H$102,7,FALSE)=VLOOKUP($A45,main!$A$3:$H$102,8,FALSE),VLOOKUP(L$1,main!$A$3:$H$102,4,FALSE),VLOOKUP(L$1,main!$A$3:$H$102,4,FALSE)+VLOOKUP($A45,main!$A$3:$H$102,4,FALSE)+(VLOOKUP(VLOOKUP(L$1,main!$A$3:$H$102,8,FALSE),main!$K$19:$O$22,MATCH(VLOOKUP($A45,main!$A$3:$H$102,7,FALSE),main!$K$18:$O$18,0),0))),0)</f>
        <v>255</v>
      </c>
      <c r="M45">
        <f>IF((gamma!M45),IF(VLOOKUP(M$1,main!$A$3:$H$102,7,FALSE)=VLOOKUP($A45,main!$A$3:$H$102,8,FALSE),VLOOKUP(M$1,main!$A$3:$H$102,4,FALSE),VLOOKUP(M$1,main!$A$3:$H$102,4,FALSE)+VLOOKUP($A45,main!$A$3:$H$102,4,FALSE)+(VLOOKUP(VLOOKUP(M$1,main!$A$3:$H$102,8,FALSE),main!$K$19:$O$22,MATCH(VLOOKUP($A45,main!$A$3:$H$102,7,FALSE),main!$K$18:$O$18,0),0))),0)</f>
        <v>0</v>
      </c>
      <c r="N45">
        <f>IF((gamma!N45),IF(VLOOKUP(N$1,main!$A$3:$H$102,7,FALSE)=VLOOKUP($A45,main!$A$3:$H$102,8,FALSE),VLOOKUP(N$1,main!$A$3:$H$102,4,FALSE),VLOOKUP(N$1,main!$A$3:$H$102,4,FALSE)+VLOOKUP($A45,main!$A$3:$H$102,4,FALSE)+(VLOOKUP(VLOOKUP(N$1,main!$A$3:$H$102,8,FALSE),main!$K$19:$O$22,MATCH(VLOOKUP($A45,main!$A$3:$H$102,7,FALSE),main!$K$18:$O$18,0),0))),0)</f>
        <v>0</v>
      </c>
      <c r="O45">
        <f>IF((gamma!O45),IF(VLOOKUP(O$1,main!$A$3:$H$102,7,FALSE)=VLOOKUP($A45,main!$A$3:$H$102,8,FALSE),VLOOKUP(O$1,main!$A$3:$H$102,4,FALSE),VLOOKUP(O$1,main!$A$3:$H$102,4,FALSE)+VLOOKUP($A45,main!$A$3:$H$102,4,FALSE)+(VLOOKUP(VLOOKUP(O$1,main!$A$3:$H$102,8,FALSE),main!$K$19:$O$22,MATCH(VLOOKUP($A45,main!$A$3:$H$102,7,FALSE),main!$K$18:$O$18,0),0))),0)</f>
        <v>0</v>
      </c>
      <c r="P45">
        <f>IF((gamma!P45),IF(VLOOKUP(P$1,main!$A$3:$H$102,7,FALSE)=VLOOKUP($A45,main!$A$3:$H$102,8,FALSE),VLOOKUP(P$1,main!$A$3:$H$102,4,FALSE),VLOOKUP(P$1,main!$A$3:$H$102,4,FALSE)+VLOOKUP($A45,main!$A$3:$H$102,4,FALSE)+(VLOOKUP(VLOOKUP(P$1,main!$A$3:$H$102,8,FALSE),main!$K$19:$O$22,MATCH(VLOOKUP($A45,main!$A$3:$H$102,7,FALSE),main!$K$18:$O$18,0),0))),0)</f>
        <v>0</v>
      </c>
      <c r="Q45">
        <f>IF((gamma!Q45),IF(VLOOKUP(Q$1,main!$A$3:$H$102,7,FALSE)=VLOOKUP($A45,main!$A$3:$H$102,8,FALSE),VLOOKUP(Q$1,main!$A$3:$H$102,4,FALSE),VLOOKUP(Q$1,main!$A$3:$H$102,4,FALSE)+VLOOKUP($A45,main!$A$3:$H$102,4,FALSE)+(VLOOKUP(VLOOKUP(Q$1,main!$A$3:$H$102,8,FALSE),main!$K$19:$O$22,MATCH(VLOOKUP($A45,main!$A$3:$H$102,7,FALSE),main!$K$18:$O$18,0),0))),0)</f>
        <v>0</v>
      </c>
      <c r="R45">
        <f>IF((gamma!R45),IF(VLOOKUP(R$1,main!$A$3:$H$102,7,FALSE)=VLOOKUP($A45,main!$A$3:$H$102,8,FALSE),VLOOKUP(R$1,main!$A$3:$H$102,4,FALSE),VLOOKUP(R$1,main!$A$3:$H$102,4,FALSE)+VLOOKUP($A45,main!$A$3:$H$102,4,FALSE)+(VLOOKUP(VLOOKUP(R$1,main!$A$3:$H$102,8,FALSE),main!$K$19:$O$22,MATCH(VLOOKUP($A45,main!$A$3:$H$102,7,FALSE),main!$K$18:$O$18,0),0))),0)</f>
        <v>0</v>
      </c>
      <c r="S45">
        <f>IF((gamma!S45),IF(VLOOKUP(S$1,main!$A$3:$H$102,7,FALSE)=VLOOKUP($A45,main!$A$3:$H$102,8,FALSE),VLOOKUP(S$1,main!$A$3:$H$102,4,FALSE),VLOOKUP(S$1,main!$A$3:$H$102,4,FALSE)+VLOOKUP($A45,main!$A$3:$H$102,4,FALSE)+(VLOOKUP(VLOOKUP(S$1,main!$A$3:$H$102,8,FALSE),main!$K$19:$O$22,MATCH(VLOOKUP($A45,main!$A$3:$H$102,7,FALSE),main!$K$18:$O$18,0),0))),0)</f>
        <v>0</v>
      </c>
      <c r="T45">
        <f>IF((gamma!T45),IF(VLOOKUP(T$1,main!$A$3:$H$102,7,FALSE)=VLOOKUP($A45,main!$A$3:$H$102,8,FALSE),VLOOKUP(T$1,main!$A$3:$H$102,4,FALSE),VLOOKUP(T$1,main!$A$3:$H$102,4,FALSE)+VLOOKUP($A45,main!$A$3:$H$102,4,FALSE)+(VLOOKUP(VLOOKUP(T$1,main!$A$3:$H$102,8,FALSE),main!$K$19:$O$22,MATCH(VLOOKUP($A45,main!$A$3:$H$102,7,FALSE),main!$K$18:$O$18,0),0))),0)</f>
        <v>288</v>
      </c>
      <c r="U45">
        <f>IF((gamma!U45),IF(VLOOKUP(U$1,main!$A$3:$H$102,7,FALSE)=VLOOKUP($A45,main!$A$3:$H$102,8,FALSE),VLOOKUP(U$1,main!$A$3:$H$102,4,FALSE),VLOOKUP(U$1,main!$A$3:$H$102,4,FALSE)+VLOOKUP($A45,main!$A$3:$H$102,4,FALSE)+(VLOOKUP(VLOOKUP(U$1,main!$A$3:$H$102,8,FALSE),main!$K$19:$O$22,MATCH(VLOOKUP($A45,main!$A$3:$H$102,7,FALSE),main!$K$18:$O$18,0),0))),0)</f>
        <v>288</v>
      </c>
      <c r="V45">
        <f>IF((gamma!V45),IF(VLOOKUP(V$1,main!$A$3:$H$102,7,FALSE)=VLOOKUP($A45,main!$A$3:$H$102,8,FALSE),VLOOKUP(V$1,main!$A$3:$H$102,4,FALSE),VLOOKUP(V$1,main!$A$3:$H$102,4,FALSE)+VLOOKUP($A45,main!$A$3:$H$102,4,FALSE)+(VLOOKUP(VLOOKUP(V$1,main!$A$3:$H$102,8,FALSE),main!$K$19:$O$22,MATCH(VLOOKUP($A45,main!$A$3:$H$102,7,FALSE),main!$K$18:$O$18,0),0))),0)</f>
        <v>288</v>
      </c>
      <c r="W45">
        <f>IF((gamma!W45),IF(VLOOKUP(W$1,main!$A$3:$H$102,7,FALSE)=VLOOKUP($A45,main!$A$3:$H$102,8,FALSE),VLOOKUP(W$1,main!$A$3:$H$102,4,FALSE),VLOOKUP(W$1,main!$A$3:$H$102,4,FALSE)+VLOOKUP($A45,main!$A$3:$H$102,4,FALSE)+(VLOOKUP(VLOOKUP(W$1,main!$A$3:$H$102,8,FALSE),main!$K$19:$O$22,MATCH(VLOOKUP($A45,main!$A$3:$H$102,7,FALSE),main!$K$18:$O$18,0),0))),0)</f>
        <v>0</v>
      </c>
      <c r="X45">
        <f>IF((gamma!X45),IF(VLOOKUP(X$1,main!$A$3:$H$102,7,FALSE)=VLOOKUP($A45,main!$A$3:$H$102,8,FALSE),VLOOKUP(X$1,main!$A$3:$H$102,4,FALSE),VLOOKUP(X$1,main!$A$3:$H$102,4,FALSE)+VLOOKUP($A45,main!$A$3:$H$102,4,FALSE)+(VLOOKUP(VLOOKUP(X$1,main!$A$3:$H$102,8,FALSE),main!$K$19:$O$22,MATCH(VLOOKUP($A45,main!$A$3:$H$102,7,FALSE),main!$K$18:$O$18,0),0))),0)</f>
        <v>0</v>
      </c>
      <c r="Y45">
        <f>IF((gamma!Y45),IF(VLOOKUP(Y$1,main!$A$3:$H$102,7,FALSE)=VLOOKUP($A45,main!$A$3:$H$102,8,FALSE),VLOOKUP(Y$1,main!$A$3:$H$102,4,FALSE),VLOOKUP(Y$1,main!$A$3:$H$102,4,FALSE)+VLOOKUP($A45,main!$A$3:$H$102,4,FALSE)+(VLOOKUP(VLOOKUP(Y$1,main!$A$3:$H$102,8,FALSE),main!$K$19:$O$22,MATCH(VLOOKUP($A45,main!$A$3:$H$102,7,FALSE),main!$K$18:$O$18,0),0))),0)</f>
        <v>0</v>
      </c>
      <c r="Z45">
        <f>IF((gamma!Z45),IF(VLOOKUP(Z$1,main!$A$3:$H$102,7,FALSE)=VLOOKUP($A45,main!$A$3:$H$102,8,FALSE),VLOOKUP(Z$1,main!$A$3:$H$102,4,FALSE),VLOOKUP(Z$1,main!$A$3:$H$102,4,FALSE)+VLOOKUP($A45,main!$A$3:$H$102,4,FALSE)+(VLOOKUP(VLOOKUP(Z$1,main!$A$3:$H$102,8,FALSE),main!$K$19:$O$22,MATCH(VLOOKUP($A45,main!$A$3:$H$102,7,FALSE),main!$K$18:$O$18,0),0))),0)</f>
        <v>300</v>
      </c>
      <c r="AA45">
        <f>IF((gamma!AA45),IF(VLOOKUP(AA$1,main!$A$3:$H$102,7,FALSE)=VLOOKUP($A45,main!$A$3:$H$102,8,FALSE),VLOOKUP(AA$1,main!$A$3:$H$102,4,FALSE),VLOOKUP(AA$1,main!$A$3:$H$102,4,FALSE)+VLOOKUP($A45,main!$A$3:$H$102,4,FALSE)+(VLOOKUP(VLOOKUP(AA$1,main!$A$3:$H$102,8,FALSE),main!$K$19:$O$22,MATCH(VLOOKUP($A45,main!$A$3:$H$102,7,FALSE),main!$K$18:$O$18,0),0))),0)</f>
        <v>300</v>
      </c>
      <c r="AB45">
        <f>IF((gamma!AB45),IF(VLOOKUP(AB$1,main!$A$3:$H$102,7,FALSE)=VLOOKUP($A45,main!$A$3:$H$102,8,FALSE),VLOOKUP(AB$1,main!$A$3:$H$102,4,FALSE),VLOOKUP(AB$1,main!$A$3:$H$102,4,FALSE)+VLOOKUP($A45,main!$A$3:$H$102,4,FALSE)+(VLOOKUP(VLOOKUP(AB$1,main!$A$3:$H$102,8,FALSE),main!$K$19:$O$22,MATCH(VLOOKUP($A45,main!$A$3:$H$102,7,FALSE),main!$K$18:$O$18,0),0))),0)</f>
        <v>0</v>
      </c>
      <c r="AC45">
        <f>IF((gamma!AC45),IF(VLOOKUP(AC$1,main!$A$3:$H$102,7,FALSE)=VLOOKUP($A45,main!$A$3:$H$102,8,FALSE),VLOOKUP(AC$1,main!$A$3:$H$102,4,FALSE),VLOOKUP(AC$1,main!$A$3:$H$102,4,FALSE)+VLOOKUP($A45,main!$A$3:$H$102,4,FALSE)+(VLOOKUP(VLOOKUP(AC$1,main!$A$3:$H$102,8,FALSE),main!$K$19:$O$22,MATCH(VLOOKUP($A45,main!$A$3:$H$102,7,FALSE),main!$K$18:$O$18,0),0))),0)</f>
        <v>0</v>
      </c>
      <c r="AD45">
        <f>IF((gamma!AD45),IF(VLOOKUP(AD$1,main!$A$3:$H$102,7,FALSE)=VLOOKUP($A45,main!$A$3:$H$102,8,FALSE),VLOOKUP(AD$1,main!$A$3:$H$102,4,FALSE),VLOOKUP(AD$1,main!$A$3:$H$102,4,FALSE)+VLOOKUP($A45,main!$A$3:$H$102,4,FALSE)+(VLOOKUP(VLOOKUP(AD$1,main!$A$3:$H$102,8,FALSE),main!$K$19:$O$22,MATCH(VLOOKUP($A45,main!$A$3:$H$102,7,FALSE),main!$K$18:$O$18,0),0))),0)</f>
        <v>0</v>
      </c>
      <c r="AE45">
        <f>IF((gamma!AE45),IF(VLOOKUP(AE$1,main!$A$3:$H$102,7,FALSE)=VLOOKUP($A45,main!$A$3:$H$102,8,FALSE),VLOOKUP(AE$1,main!$A$3:$H$102,4,FALSE),VLOOKUP(AE$1,main!$A$3:$H$102,4,FALSE)+VLOOKUP($A45,main!$A$3:$H$102,4,FALSE)+(VLOOKUP(VLOOKUP(AE$1,main!$A$3:$H$102,8,FALSE),main!$K$19:$O$22,MATCH(VLOOKUP($A45,main!$A$3:$H$102,7,FALSE),main!$K$18:$O$18,0),0))),0)</f>
        <v>0</v>
      </c>
      <c r="AF45">
        <f>IF((gamma!AF45),IF(VLOOKUP(AF$1,main!$A$3:$H$102,7,FALSE)=VLOOKUP($A45,main!$A$3:$H$102,8,FALSE),VLOOKUP(AF$1,main!$A$3:$H$102,4,FALSE),VLOOKUP(AF$1,main!$A$3:$H$102,4,FALSE)+VLOOKUP($A45,main!$A$3:$H$102,4,FALSE)+(VLOOKUP(VLOOKUP(AF$1,main!$A$3:$H$102,8,FALSE),main!$K$19:$O$22,MATCH(VLOOKUP($A45,main!$A$3:$H$102,7,FALSE),main!$K$18:$O$18,0),0))),0)</f>
        <v>260</v>
      </c>
      <c r="AG45">
        <f>IF((gamma!AG45),IF(VLOOKUP(AG$1,main!$A$3:$H$102,7,FALSE)=VLOOKUP($A45,main!$A$3:$H$102,8,FALSE),VLOOKUP(AG$1,main!$A$3:$H$102,4,FALSE),VLOOKUP(AG$1,main!$A$3:$H$102,4,FALSE)+VLOOKUP($A45,main!$A$3:$H$102,4,FALSE)+(VLOOKUP(VLOOKUP(AG$1,main!$A$3:$H$102,8,FALSE),main!$K$19:$O$22,MATCH(VLOOKUP($A45,main!$A$3:$H$102,7,FALSE),main!$K$18:$O$18,0),0))),0)</f>
        <v>0</v>
      </c>
      <c r="AH45">
        <f>IF((gamma!AH45),IF(VLOOKUP(AH$1,main!$A$3:$H$102,7,FALSE)=VLOOKUP($A45,main!$A$3:$H$102,8,FALSE),VLOOKUP(AH$1,main!$A$3:$H$102,4,FALSE),VLOOKUP(AH$1,main!$A$3:$H$102,4,FALSE)+VLOOKUP($A45,main!$A$3:$H$102,4,FALSE)+(VLOOKUP(VLOOKUP(AH$1,main!$A$3:$H$102,8,FALSE),main!$K$19:$O$22,MATCH(VLOOKUP($A45,main!$A$3:$H$102,7,FALSE),main!$K$18:$O$18,0),0))),0)</f>
        <v>0</v>
      </c>
      <c r="AI45">
        <f>IF((gamma!AI45),IF(VLOOKUP(AI$1,main!$A$3:$H$102,7,FALSE)=VLOOKUP($A45,main!$A$3:$H$102,8,FALSE),VLOOKUP(AI$1,main!$A$3:$H$102,4,FALSE),VLOOKUP(AI$1,main!$A$3:$H$102,4,FALSE)+VLOOKUP($A45,main!$A$3:$H$102,4,FALSE)+(VLOOKUP(VLOOKUP(AI$1,main!$A$3:$H$102,8,FALSE),main!$K$19:$O$22,MATCH(VLOOKUP($A45,main!$A$3:$H$102,7,FALSE),main!$K$18:$O$18,0),0))),0)</f>
        <v>0</v>
      </c>
      <c r="AJ45">
        <f>IF((gamma!AJ45),IF(VLOOKUP(AJ$1,main!$A$3:$H$102,7,FALSE)=VLOOKUP($A45,main!$A$3:$H$102,8,FALSE),VLOOKUP(AJ$1,main!$A$3:$H$102,4,FALSE),VLOOKUP(AJ$1,main!$A$3:$H$102,4,FALSE)+VLOOKUP($A45,main!$A$3:$H$102,4,FALSE)+(VLOOKUP(VLOOKUP(AJ$1,main!$A$3:$H$102,8,FALSE),main!$K$19:$O$22,MATCH(VLOOKUP($A45,main!$A$3:$H$102,7,FALSE),main!$K$18:$O$18,0),0))),0)</f>
        <v>0</v>
      </c>
      <c r="AK45">
        <f>IF((gamma!AK45),IF(VLOOKUP(AK$1,main!$A$3:$H$102,7,FALSE)=VLOOKUP($A45,main!$A$3:$H$102,8,FALSE),VLOOKUP(AK$1,main!$A$3:$H$102,4,FALSE),VLOOKUP(AK$1,main!$A$3:$H$102,4,FALSE)+VLOOKUP($A45,main!$A$3:$H$102,4,FALSE)+(VLOOKUP(VLOOKUP(AK$1,main!$A$3:$H$102,8,FALSE),main!$K$19:$O$22,MATCH(VLOOKUP($A45,main!$A$3:$H$102,7,FALSE),main!$K$18:$O$18,0),0))),0)</f>
        <v>0</v>
      </c>
      <c r="AL45">
        <f>IF((gamma!AL45),IF(VLOOKUP(AL$1,main!$A$3:$H$102,7,FALSE)=VLOOKUP($A45,main!$A$3:$H$102,8,FALSE),VLOOKUP(AL$1,main!$A$3:$H$102,4,FALSE),VLOOKUP(AL$1,main!$A$3:$H$102,4,FALSE)+VLOOKUP($A45,main!$A$3:$H$102,4,FALSE)+(VLOOKUP(VLOOKUP(AL$1,main!$A$3:$H$102,8,FALSE),main!$K$19:$O$22,MATCH(VLOOKUP($A45,main!$A$3:$H$102,7,FALSE),main!$K$18:$O$18,0),0))),0)</f>
        <v>280</v>
      </c>
      <c r="AM45">
        <f>IF((gamma!AM45),IF(VLOOKUP(AM$1,main!$A$3:$H$102,7,FALSE)=VLOOKUP($A45,main!$A$3:$H$102,8,FALSE),VLOOKUP(AM$1,main!$A$3:$H$102,4,FALSE),VLOOKUP(AM$1,main!$A$3:$H$102,4,FALSE)+VLOOKUP($A45,main!$A$3:$H$102,4,FALSE)+(VLOOKUP(VLOOKUP(AM$1,main!$A$3:$H$102,8,FALSE),main!$K$19:$O$22,MATCH(VLOOKUP($A45,main!$A$3:$H$102,7,FALSE),main!$K$18:$O$18,0),0))),0)</f>
        <v>280</v>
      </c>
      <c r="AN45">
        <f>IF((gamma!AN45),IF(VLOOKUP(AN$1,main!$A$3:$H$102,7,FALSE)=VLOOKUP($A45,main!$A$3:$H$102,8,FALSE),VLOOKUP(AN$1,main!$A$3:$H$102,4,FALSE),VLOOKUP(AN$1,main!$A$3:$H$102,4,FALSE)+VLOOKUP($A45,main!$A$3:$H$102,4,FALSE)+(VLOOKUP(VLOOKUP(AN$1,main!$A$3:$H$102,8,FALSE),main!$K$19:$O$22,MATCH(VLOOKUP($A45,main!$A$3:$H$102,7,FALSE),main!$K$18:$O$18,0),0))),0)</f>
        <v>280</v>
      </c>
      <c r="AO45">
        <f>IF((gamma!AO45),IF(VLOOKUP(AO$1,main!$A$3:$H$102,7,FALSE)=VLOOKUP($A45,main!$A$3:$H$102,8,FALSE),VLOOKUP(AO$1,main!$A$3:$H$102,4,FALSE),VLOOKUP(AO$1,main!$A$3:$H$102,4,FALSE)+VLOOKUP($A45,main!$A$3:$H$102,4,FALSE)+(VLOOKUP(VLOOKUP(AO$1,main!$A$3:$H$102,8,FALSE),main!$K$19:$O$22,MATCH(VLOOKUP($A45,main!$A$3:$H$102,7,FALSE),main!$K$18:$O$18,0),0))),0)</f>
        <v>0</v>
      </c>
      <c r="AP45">
        <f>IF((gamma!AP45),IF(VLOOKUP(AP$1,main!$A$3:$H$102,7,FALSE)=VLOOKUP($A45,main!$A$3:$H$102,8,FALSE),VLOOKUP(AP$1,main!$A$3:$H$102,4,FALSE),VLOOKUP(AP$1,main!$A$3:$H$102,4,FALSE)+VLOOKUP($A45,main!$A$3:$H$102,4,FALSE)+(VLOOKUP(VLOOKUP(AP$1,main!$A$3:$H$102,8,FALSE),main!$K$19:$O$22,MATCH(VLOOKUP($A45,main!$A$3:$H$102,7,FALSE),main!$K$18:$O$18,0),0))),0)</f>
        <v>220</v>
      </c>
      <c r="AQ45">
        <f>IF((gamma!AQ45),IF(VLOOKUP(AQ$1,main!$A$3:$H$102,7,FALSE)=VLOOKUP($A45,main!$A$3:$H$102,8,FALSE),VLOOKUP(AQ$1,main!$A$3:$H$102,4,FALSE),VLOOKUP(AQ$1,main!$A$3:$H$102,4,FALSE)+VLOOKUP($A45,main!$A$3:$H$102,4,FALSE)+(VLOOKUP(VLOOKUP(AQ$1,main!$A$3:$H$102,8,FALSE),main!$K$19:$O$22,MATCH(VLOOKUP($A45,main!$A$3:$H$102,7,FALSE),main!$K$18:$O$18,0),0))),0)</f>
        <v>0</v>
      </c>
      <c r="AR45">
        <f>IF((gamma!AR45),IF(VLOOKUP(AR$1,main!$A$3:$H$102,7,FALSE)=VLOOKUP($A45,main!$A$3:$H$102,8,FALSE),VLOOKUP(AR$1,main!$A$3:$H$102,4,FALSE),VLOOKUP(AR$1,main!$A$3:$H$102,4,FALSE)+VLOOKUP($A45,main!$A$3:$H$102,4,FALSE)+(VLOOKUP(VLOOKUP(AR$1,main!$A$3:$H$102,8,FALSE),main!$K$19:$O$22,MATCH(VLOOKUP($A45,main!$A$3:$H$102,7,FALSE),main!$K$18:$O$18,0),0))),0)</f>
        <v>0</v>
      </c>
      <c r="AS45">
        <f>IF((gamma!AS45),IF(VLOOKUP(AS$1,main!$A$3:$H$102,7,FALSE)=VLOOKUP($A45,main!$A$3:$H$102,8,FALSE),VLOOKUP(AS$1,main!$A$3:$H$102,4,FALSE),VLOOKUP(AS$1,main!$A$3:$H$102,4,FALSE)+VLOOKUP($A45,main!$A$3:$H$102,4,FALSE)+(VLOOKUP(VLOOKUP(AS$1,main!$A$3:$H$102,8,FALSE),main!$K$19:$O$22,MATCH(VLOOKUP($A45,main!$A$3:$H$102,7,FALSE),main!$K$18:$O$18,0),0))),0)</f>
        <v>0</v>
      </c>
      <c r="AT45">
        <f>IF((gamma!AT45),IF(VLOOKUP(AT$1,main!$A$3:$H$102,7,FALSE)=VLOOKUP($A45,main!$A$3:$H$102,8,FALSE),VLOOKUP(AT$1,main!$A$3:$H$102,4,FALSE),VLOOKUP(AT$1,main!$A$3:$H$102,4,FALSE)+VLOOKUP($A45,main!$A$3:$H$102,4,FALSE)+(VLOOKUP(VLOOKUP(AT$1,main!$A$3:$H$102,8,FALSE),main!$K$19:$O$22,MATCH(VLOOKUP($A45,main!$A$3:$H$102,7,FALSE),main!$K$18:$O$18,0),0))),0)</f>
        <v>0</v>
      </c>
      <c r="AU45">
        <f>IF((gamma!AU45),IF(VLOOKUP(AU$1,main!$A$3:$H$102,7,FALSE)=VLOOKUP($A45,main!$A$3:$H$102,8,FALSE),VLOOKUP(AU$1,main!$A$3:$H$102,4,FALSE),VLOOKUP(AU$1,main!$A$3:$H$102,4,FALSE)+VLOOKUP($A45,main!$A$3:$H$102,4,FALSE)+(VLOOKUP(VLOOKUP(AU$1,main!$A$3:$H$102,8,FALSE),main!$K$19:$O$22,MATCH(VLOOKUP($A45,main!$A$3:$H$102,7,FALSE),main!$K$18:$O$18,0),0))),0)</f>
        <v>0</v>
      </c>
      <c r="AV45">
        <f>IF((gamma!AV45),IF(VLOOKUP(AV$1,main!$A$3:$H$102,7,FALSE)=VLOOKUP($A45,main!$A$3:$H$102,8,FALSE),VLOOKUP(AV$1,main!$A$3:$H$102,4,FALSE),VLOOKUP(AV$1,main!$A$3:$H$102,4,FALSE)+VLOOKUP($A45,main!$A$3:$H$102,4,FALSE)+(VLOOKUP(VLOOKUP(AV$1,main!$A$3:$H$102,8,FALSE),main!$K$19:$O$22,MATCH(VLOOKUP($A45,main!$A$3:$H$102,7,FALSE),main!$K$18:$O$18,0),0))),0)</f>
        <v>0</v>
      </c>
      <c r="AW45">
        <f>IF((gamma!AW45),IF(VLOOKUP(AW$1,main!$A$3:$H$102,7,FALSE)=VLOOKUP($A45,main!$A$3:$H$102,8,FALSE),VLOOKUP(AW$1,main!$A$3:$H$102,4,FALSE),VLOOKUP(AW$1,main!$A$3:$H$102,4,FALSE)+VLOOKUP($A45,main!$A$3:$H$102,4,FALSE)+(VLOOKUP(VLOOKUP(AW$1,main!$A$3:$H$102,8,FALSE),main!$K$19:$O$22,MATCH(VLOOKUP($A45,main!$A$3:$H$102,7,FALSE),main!$K$18:$O$18,0),0))),0)</f>
        <v>0</v>
      </c>
      <c r="AX45">
        <f>IF((gamma!AX45),IF(VLOOKUP(AX$1,main!$A$3:$H$102,7,FALSE)=VLOOKUP($A45,main!$A$3:$H$102,8,FALSE),VLOOKUP(AX$1,main!$A$3:$H$102,4,FALSE),VLOOKUP(AX$1,main!$A$3:$H$102,4,FALSE)+VLOOKUP($A45,main!$A$3:$H$102,4,FALSE)+(VLOOKUP(VLOOKUP(AX$1,main!$A$3:$H$102,8,FALSE),main!$K$19:$O$22,MATCH(VLOOKUP($A45,main!$A$3:$H$102,7,FALSE),main!$K$18:$O$18,0),0))),0)</f>
        <v>0</v>
      </c>
      <c r="AY45">
        <f>IF((gamma!AY45),IF(VLOOKUP(AY$1,main!$A$3:$H$102,7,FALSE)=VLOOKUP($A45,main!$A$3:$H$102,8,FALSE),VLOOKUP(AY$1,main!$A$3:$H$102,4,FALSE),VLOOKUP(AY$1,main!$A$3:$H$102,4,FALSE)+VLOOKUP($A45,main!$A$3:$H$102,4,FALSE)+(VLOOKUP(VLOOKUP(AY$1,main!$A$3:$H$102,8,FALSE),main!$K$19:$O$22,MATCH(VLOOKUP($A45,main!$A$3:$H$102,7,FALSE),main!$K$18:$O$18,0),0))),0)</f>
        <v>0</v>
      </c>
      <c r="AZ45">
        <f>IF((gamma!AZ45),IF(VLOOKUP(AZ$1,main!$A$3:$H$102,7,FALSE)=VLOOKUP($A45,main!$A$3:$H$102,8,FALSE),VLOOKUP(AZ$1,main!$A$3:$H$102,4,FALSE),VLOOKUP(AZ$1,main!$A$3:$H$102,4,FALSE)+VLOOKUP($A45,main!$A$3:$H$102,4,FALSE)+(VLOOKUP(VLOOKUP(AZ$1,main!$A$3:$H$102,8,FALSE),main!$K$19:$O$22,MATCH(VLOOKUP($A45,main!$A$3:$H$102,7,FALSE),main!$K$18:$O$18,0),0))),0)</f>
        <v>0</v>
      </c>
      <c r="BA45">
        <f>IF((gamma!BA45),IF(VLOOKUP(BA$1,main!$A$3:$H$102,7,FALSE)=VLOOKUP($A45,main!$A$3:$H$102,8,FALSE),VLOOKUP(BA$1,main!$A$3:$H$102,4,FALSE),VLOOKUP(BA$1,main!$A$3:$H$102,4,FALSE)+VLOOKUP($A45,main!$A$3:$H$102,4,FALSE)+(VLOOKUP(VLOOKUP(BA$1,main!$A$3:$H$102,8,FALSE),main!$K$19:$O$22,MATCH(VLOOKUP($A45,main!$A$3:$H$102,7,FALSE),main!$K$18:$O$18,0),0))),0)</f>
        <v>0</v>
      </c>
      <c r="BB45">
        <f>IF((gamma!BB45),IF(VLOOKUP(BB$1,main!$A$3:$H$102,7,FALSE)=VLOOKUP($A45,main!$A$3:$H$102,8,FALSE),VLOOKUP(BB$1,main!$A$3:$H$102,4,FALSE),VLOOKUP(BB$1,main!$A$3:$H$102,4,FALSE)+VLOOKUP($A45,main!$A$3:$H$102,4,FALSE)+(VLOOKUP(VLOOKUP(BB$1,main!$A$3:$H$102,8,FALSE),main!$K$19:$O$22,MATCH(VLOOKUP($A45,main!$A$3:$H$102,7,FALSE),main!$K$18:$O$18,0),0))),0)</f>
        <v>0</v>
      </c>
      <c r="BC45">
        <f>IF((gamma!BC45),IF(VLOOKUP(BC$1,main!$A$3:$H$102,7,FALSE)=VLOOKUP($A45,main!$A$3:$H$102,8,FALSE),VLOOKUP(BC$1,main!$A$3:$H$102,4,FALSE),VLOOKUP(BC$1,main!$A$3:$H$102,4,FALSE)+VLOOKUP($A45,main!$A$3:$H$102,4,FALSE)+(VLOOKUP(VLOOKUP(BC$1,main!$A$3:$H$102,8,FALSE),main!$K$19:$O$22,MATCH(VLOOKUP($A45,main!$A$3:$H$102,7,FALSE),main!$K$18:$O$18,0),0))),0)</f>
        <v>0</v>
      </c>
      <c r="BD45">
        <f>IF((gamma!BD45),IF(VLOOKUP(BD$1,main!$A$3:$H$102,7,FALSE)=VLOOKUP($A45,main!$A$3:$H$102,8,FALSE),VLOOKUP(BD$1,main!$A$3:$H$102,4,FALSE),VLOOKUP(BD$1,main!$A$3:$H$102,4,FALSE)+VLOOKUP($A45,main!$A$3:$H$102,4,FALSE)+(VLOOKUP(VLOOKUP(BD$1,main!$A$3:$H$102,8,FALSE),main!$K$19:$O$22,MATCH(VLOOKUP($A45,main!$A$3:$H$102,7,FALSE),main!$K$18:$O$18,0),0))),0)</f>
        <v>0</v>
      </c>
      <c r="BE45">
        <f>IF((gamma!BE45),IF(VLOOKUP(BE$1,main!$A$3:$H$102,7,FALSE)=VLOOKUP($A45,main!$A$3:$H$102,8,FALSE),VLOOKUP(BE$1,main!$A$3:$H$102,4,FALSE),VLOOKUP(BE$1,main!$A$3:$H$102,4,FALSE)+VLOOKUP($A45,main!$A$3:$H$102,4,FALSE)+(VLOOKUP(VLOOKUP(BE$1,main!$A$3:$H$102,8,FALSE),main!$K$19:$O$22,MATCH(VLOOKUP($A45,main!$A$3:$H$102,7,FALSE),main!$K$18:$O$18,0),0))),0)</f>
        <v>140</v>
      </c>
      <c r="BF45">
        <f>IF((gamma!BF45),IF(VLOOKUP(BF$1,main!$A$3:$H$102,7,FALSE)=VLOOKUP($A45,main!$A$3:$H$102,8,FALSE),VLOOKUP(BF$1,main!$A$3:$H$102,4,FALSE),VLOOKUP(BF$1,main!$A$3:$H$102,4,FALSE)+VLOOKUP($A45,main!$A$3:$H$102,4,FALSE)+(VLOOKUP(VLOOKUP(BF$1,main!$A$3:$H$102,8,FALSE),main!$K$19:$O$22,MATCH(VLOOKUP($A45,main!$A$3:$H$102,7,FALSE),main!$K$18:$O$18,0),0))),0)</f>
        <v>0</v>
      </c>
      <c r="BG45">
        <f>IF((gamma!BG45),IF(VLOOKUP(BG$1,main!$A$3:$H$102,7,FALSE)=VLOOKUP($A45,main!$A$3:$H$102,8,FALSE),VLOOKUP(BG$1,main!$A$3:$H$102,4,FALSE),VLOOKUP(BG$1,main!$A$3:$H$102,4,FALSE)+VLOOKUP($A45,main!$A$3:$H$102,4,FALSE)+(VLOOKUP(VLOOKUP(BG$1,main!$A$3:$H$102,8,FALSE),main!$K$19:$O$22,MATCH(VLOOKUP($A45,main!$A$3:$H$102,7,FALSE),main!$K$18:$O$18,0),0))),0)</f>
        <v>0</v>
      </c>
      <c r="BH45">
        <f>IF((gamma!BH45),IF(VLOOKUP(BH$1,main!$A$3:$H$102,7,FALSE)=VLOOKUP($A45,main!$A$3:$H$102,8,FALSE),VLOOKUP(BH$1,main!$A$3:$H$102,4,FALSE),VLOOKUP(BH$1,main!$A$3:$H$102,4,FALSE)+VLOOKUP($A45,main!$A$3:$H$102,4,FALSE)+(VLOOKUP(VLOOKUP(BH$1,main!$A$3:$H$102,8,FALSE),main!$K$19:$O$22,MATCH(VLOOKUP($A45,main!$A$3:$H$102,7,FALSE),main!$K$18:$O$18,0),0))),0)</f>
        <v>0</v>
      </c>
      <c r="BI45">
        <f>IF((gamma!BI45),IF(VLOOKUP(BI$1,main!$A$3:$H$102,7,FALSE)=VLOOKUP($A45,main!$A$3:$H$102,8,FALSE),VLOOKUP(BI$1,main!$A$3:$H$102,4,FALSE),VLOOKUP(BI$1,main!$A$3:$H$102,4,FALSE)+VLOOKUP($A45,main!$A$3:$H$102,4,FALSE)+(VLOOKUP(VLOOKUP(BI$1,main!$A$3:$H$102,8,FALSE),main!$K$19:$O$22,MATCH(VLOOKUP($A45,main!$A$3:$H$102,7,FALSE),main!$K$18:$O$18,0),0))),0)</f>
        <v>60</v>
      </c>
      <c r="BJ45">
        <f>IF((gamma!BJ45),IF(VLOOKUP(BJ$1,main!$A$3:$H$102,7,FALSE)=VLOOKUP($A45,main!$A$3:$H$102,8,FALSE),VLOOKUP(BJ$1,main!$A$3:$H$102,4,FALSE),VLOOKUP(BJ$1,main!$A$3:$H$102,4,FALSE)+VLOOKUP($A45,main!$A$3:$H$102,4,FALSE)+(VLOOKUP(VLOOKUP(BJ$1,main!$A$3:$H$102,8,FALSE),main!$K$19:$O$22,MATCH(VLOOKUP($A45,main!$A$3:$H$102,7,FALSE),main!$K$18:$O$18,0),0))),0)</f>
        <v>90</v>
      </c>
      <c r="BK45">
        <f>IF((gamma!BK45),IF(VLOOKUP(BK$1,main!$A$3:$H$102,7,FALSE)=VLOOKUP($A45,main!$A$3:$H$102,8,FALSE),VLOOKUP(BK$1,main!$A$3:$H$102,4,FALSE),VLOOKUP(BK$1,main!$A$3:$H$102,4,FALSE)+VLOOKUP($A45,main!$A$3:$H$102,4,FALSE)+(VLOOKUP(VLOOKUP(BK$1,main!$A$3:$H$102,8,FALSE),main!$K$19:$O$22,MATCH(VLOOKUP($A45,main!$A$3:$H$102,7,FALSE),main!$K$18:$O$18,0),0))),0)</f>
        <v>0</v>
      </c>
      <c r="BL45">
        <f>IF((gamma!BL45),IF(VLOOKUP(BL$1,main!$A$3:$H$102,7,FALSE)=VLOOKUP($A45,main!$A$3:$H$102,8,FALSE),VLOOKUP(BL$1,main!$A$3:$H$102,4,FALSE),VLOOKUP(BL$1,main!$A$3:$H$102,4,FALSE)+VLOOKUP($A45,main!$A$3:$H$102,4,FALSE)+(VLOOKUP(VLOOKUP(BL$1,main!$A$3:$H$102,8,FALSE),main!$K$19:$O$22,MATCH(VLOOKUP($A45,main!$A$3:$H$102,7,FALSE),main!$K$18:$O$18,0),0))),0)</f>
        <v>0</v>
      </c>
      <c r="BM45">
        <f>IF((gamma!BM45),IF(VLOOKUP(BM$1,main!$A$3:$H$102,7,FALSE)=VLOOKUP($A45,main!$A$3:$H$102,8,FALSE),VLOOKUP(BM$1,main!$A$3:$H$102,4,FALSE),VLOOKUP(BM$1,main!$A$3:$H$102,4,FALSE)+VLOOKUP($A45,main!$A$3:$H$102,4,FALSE)+(VLOOKUP(VLOOKUP(BM$1,main!$A$3:$H$102,8,FALSE),main!$K$19:$O$22,MATCH(VLOOKUP($A45,main!$A$3:$H$102,7,FALSE),main!$K$18:$O$18,0),0))),0)</f>
        <v>0</v>
      </c>
      <c r="BN45">
        <f>IF((gamma!BN45),IF(VLOOKUP(BN$1,main!$A$3:$H$102,7,FALSE)=VLOOKUP($A45,main!$A$3:$H$102,8,FALSE),VLOOKUP(BN$1,main!$A$3:$H$102,4,FALSE),VLOOKUP(BN$1,main!$A$3:$H$102,4,FALSE)+VLOOKUP($A45,main!$A$3:$H$102,4,FALSE)+(VLOOKUP(VLOOKUP(BN$1,main!$A$3:$H$102,8,FALSE),main!$K$19:$O$22,MATCH(VLOOKUP($A45,main!$A$3:$H$102,7,FALSE),main!$K$18:$O$18,0),0))),0)</f>
        <v>0</v>
      </c>
      <c r="BO45">
        <f>IF((gamma!BO45),IF(VLOOKUP(BO$1,main!$A$3:$H$102,7,FALSE)=VLOOKUP($A45,main!$A$3:$H$102,8,FALSE),VLOOKUP(BO$1,main!$A$3:$H$102,4,FALSE),VLOOKUP(BO$1,main!$A$3:$H$102,4,FALSE)+VLOOKUP($A45,main!$A$3:$H$102,4,FALSE)+(VLOOKUP(VLOOKUP(BO$1,main!$A$3:$H$102,8,FALSE),main!$K$19:$O$22,MATCH(VLOOKUP($A45,main!$A$3:$H$102,7,FALSE),main!$K$18:$O$18,0),0))),0)</f>
        <v>0</v>
      </c>
      <c r="BP45">
        <f>IF((gamma!BP45),IF(VLOOKUP(BP$1,main!$A$3:$H$102,7,FALSE)=VLOOKUP($A45,main!$A$3:$H$102,8,FALSE),VLOOKUP(BP$1,main!$A$3:$H$102,4,FALSE),VLOOKUP(BP$1,main!$A$3:$H$102,4,FALSE)+VLOOKUP($A45,main!$A$3:$H$102,4,FALSE)+(VLOOKUP(VLOOKUP(BP$1,main!$A$3:$H$102,8,FALSE),main!$K$19:$O$22,MATCH(VLOOKUP($A45,main!$A$3:$H$102,7,FALSE),main!$K$18:$O$18,0),0))),0)</f>
        <v>0</v>
      </c>
      <c r="BQ45">
        <f>IF((gamma!BQ45),IF(VLOOKUP(BQ$1,main!$A$3:$H$102,7,FALSE)=VLOOKUP($A45,main!$A$3:$H$102,8,FALSE),VLOOKUP(BQ$1,main!$A$3:$H$102,4,FALSE),VLOOKUP(BQ$1,main!$A$3:$H$102,4,FALSE)+VLOOKUP($A45,main!$A$3:$H$102,4,FALSE)+(VLOOKUP(VLOOKUP(BQ$1,main!$A$3:$H$102,8,FALSE),main!$K$19:$O$22,MATCH(VLOOKUP($A45,main!$A$3:$H$102,7,FALSE),main!$K$18:$O$18,0),0))),0)</f>
        <v>0</v>
      </c>
      <c r="BR45">
        <f>IF((gamma!BR45),IF(VLOOKUP(BR$1,main!$A$3:$H$102,7,FALSE)=VLOOKUP($A45,main!$A$3:$H$102,8,FALSE),VLOOKUP(BR$1,main!$A$3:$H$102,4,FALSE),VLOOKUP(BR$1,main!$A$3:$H$102,4,FALSE)+VLOOKUP($A45,main!$A$3:$H$102,4,FALSE)+(VLOOKUP(VLOOKUP(BR$1,main!$A$3:$H$102,8,FALSE),main!$K$19:$O$22,MATCH(VLOOKUP($A45,main!$A$3:$H$102,7,FALSE),main!$K$18:$O$18,0),0))),0)</f>
        <v>0</v>
      </c>
      <c r="BS45">
        <f>IF((gamma!BS45),IF(VLOOKUP(BS$1,main!$A$3:$H$102,7,FALSE)=VLOOKUP($A45,main!$A$3:$H$102,8,FALSE),VLOOKUP(BS$1,main!$A$3:$H$102,4,FALSE),VLOOKUP(BS$1,main!$A$3:$H$102,4,FALSE)+VLOOKUP($A45,main!$A$3:$H$102,4,FALSE)+(VLOOKUP(VLOOKUP(BS$1,main!$A$3:$H$102,8,FALSE),main!$K$19:$O$22,MATCH(VLOOKUP($A45,main!$A$3:$H$102,7,FALSE),main!$K$18:$O$18,0),0))),0)</f>
        <v>0</v>
      </c>
      <c r="BT45">
        <f>IF((gamma!BT45),IF(VLOOKUP(BT$1,main!$A$3:$H$102,7,FALSE)=VLOOKUP($A45,main!$A$3:$H$102,8,FALSE),VLOOKUP(BT$1,main!$A$3:$H$102,4,FALSE),VLOOKUP(BT$1,main!$A$3:$H$102,4,FALSE)+VLOOKUP($A45,main!$A$3:$H$102,4,FALSE)+(VLOOKUP(VLOOKUP(BT$1,main!$A$3:$H$102,8,FALSE),main!$K$19:$O$22,MATCH(VLOOKUP($A45,main!$A$3:$H$102,7,FALSE),main!$K$18:$O$18,0),0))),0)</f>
        <v>0</v>
      </c>
      <c r="BU45">
        <f>IF((gamma!BU45),IF(VLOOKUP(BU$1,main!$A$3:$H$102,7,FALSE)=VLOOKUP($A45,main!$A$3:$H$102,8,FALSE),VLOOKUP(BU$1,main!$A$3:$H$102,4,FALSE),VLOOKUP(BU$1,main!$A$3:$H$102,4,FALSE)+VLOOKUP($A45,main!$A$3:$H$102,4,FALSE)+(VLOOKUP(VLOOKUP(BU$1,main!$A$3:$H$102,8,FALSE),main!$K$19:$O$22,MATCH(VLOOKUP($A45,main!$A$3:$H$102,7,FALSE),main!$K$18:$O$18,0),0))),0)</f>
        <v>0</v>
      </c>
      <c r="BV45">
        <f>IF((gamma!BV45),IF(VLOOKUP(BV$1,main!$A$3:$H$102,7,FALSE)=VLOOKUP($A45,main!$A$3:$H$102,8,FALSE),VLOOKUP(BV$1,main!$A$3:$H$102,4,FALSE),VLOOKUP(BV$1,main!$A$3:$H$102,4,FALSE)+VLOOKUP($A45,main!$A$3:$H$102,4,FALSE)+(VLOOKUP(VLOOKUP(BV$1,main!$A$3:$H$102,8,FALSE),main!$K$19:$O$22,MATCH(VLOOKUP($A45,main!$A$3:$H$102,7,FALSE),main!$K$18:$O$18,0),0))),0)</f>
        <v>0</v>
      </c>
      <c r="BW45">
        <f>IF((gamma!BW45),IF(VLOOKUP(BW$1,main!$A$3:$H$102,7,FALSE)=VLOOKUP($A45,main!$A$3:$H$102,8,FALSE),VLOOKUP(BW$1,main!$A$3:$H$102,4,FALSE),VLOOKUP(BW$1,main!$A$3:$H$102,4,FALSE)+VLOOKUP($A45,main!$A$3:$H$102,4,FALSE)+(VLOOKUP(VLOOKUP(BW$1,main!$A$3:$H$102,8,FALSE),main!$K$19:$O$22,MATCH(VLOOKUP($A45,main!$A$3:$H$102,7,FALSE),main!$K$18:$O$18,0),0))),0)</f>
        <v>0</v>
      </c>
      <c r="BX45">
        <f>IF((gamma!BX45),IF(VLOOKUP(BX$1,main!$A$3:$H$102,7,FALSE)=VLOOKUP($A45,main!$A$3:$H$102,8,FALSE),VLOOKUP(BX$1,main!$A$3:$H$102,4,FALSE),VLOOKUP(BX$1,main!$A$3:$H$102,4,FALSE)+VLOOKUP($A45,main!$A$3:$H$102,4,FALSE)+(VLOOKUP(VLOOKUP(BX$1,main!$A$3:$H$102,8,FALSE),main!$K$19:$O$22,MATCH(VLOOKUP($A45,main!$A$3:$H$102,7,FALSE),main!$K$18:$O$18,0),0))),0)</f>
        <v>0</v>
      </c>
      <c r="BY45">
        <f>IF((gamma!BY45),IF(VLOOKUP(BY$1,main!$A$3:$H$102,7,FALSE)=VLOOKUP($A45,main!$A$3:$H$102,8,FALSE),VLOOKUP(BY$1,main!$A$3:$H$102,4,FALSE),VLOOKUP(BY$1,main!$A$3:$H$102,4,FALSE)+VLOOKUP($A45,main!$A$3:$H$102,4,FALSE)+(VLOOKUP(VLOOKUP(BY$1,main!$A$3:$H$102,8,FALSE),main!$K$19:$O$22,MATCH(VLOOKUP($A45,main!$A$3:$H$102,7,FALSE),main!$K$18:$O$18,0),0))),0)</f>
        <v>0</v>
      </c>
      <c r="BZ45">
        <f>IF((gamma!BZ45),IF(VLOOKUP(BZ$1,main!$A$3:$H$102,7,FALSE)=VLOOKUP($A45,main!$A$3:$H$102,8,FALSE),VLOOKUP(BZ$1,main!$A$3:$H$102,4,FALSE),VLOOKUP(BZ$1,main!$A$3:$H$102,4,FALSE)+VLOOKUP($A45,main!$A$3:$H$102,4,FALSE)+(VLOOKUP(VLOOKUP(BZ$1,main!$A$3:$H$102,8,FALSE),main!$K$19:$O$22,MATCH(VLOOKUP($A45,main!$A$3:$H$102,7,FALSE),main!$K$18:$O$18,0),0))),0)</f>
        <v>0</v>
      </c>
      <c r="CA45">
        <f>IF((gamma!CA45),IF(VLOOKUP(CA$1,main!$A$3:$H$102,7,FALSE)=VLOOKUP($A45,main!$A$3:$H$102,8,FALSE),VLOOKUP(CA$1,main!$A$3:$H$102,4,FALSE),VLOOKUP(CA$1,main!$A$3:$H$102,4,FALSE)+VLOOKUP($A45,main!$A$3:$H$102,4,FALSE)+(VLOOKUP(VLOOKUP(CA$1,main!$A$3:$H$102,8,FALSE),main!$K$19:$O$22,MATCH(VLOOKUP($A45,main!$A$3:$H$102,7,FALSE),main!$K$18:$O$18,0),0))),0)</f>
        <v>0</v>
      </c>
      <c r="CB45">
        <f>IF((gamma!CB45),IF(VLOOKUP(CB$1,main!$A$3:$H$102,7,FALSE)=VLOOKUP($A45,main!$A$3:$H$102,8,FALSE),VLOOKUP(CB$1,main!$A$3:$H$102,4,FALSE),VLOOKUP(CB$1,main!$A$3:$H$102,4,FALSE)+VLOOKUP($A45,main!$A$3:$H$102,4,FALSE)+(VLOOKUP(VLOOKUP(CB$1,main!$A$3:$H$102,8,FALSE),main!$K$19:$O$22,MATCH(VLOOKUP($A45,main!$A$3:$H$102,7,FALSE),main!$K$18:$O$18,0),0))),0)</f>
        <v>0</v>
      </c>
      <c r="CC45">
        <f>IF((gamma!CC45),IF(VLOOKUP(CC$1,main!$A$3:$H$102,7,FALSE)=VLOOKUP($A45,main!$A$3:$H$102,8,FALSE),VLOOKUP(CC$1,main!$A$3:$H$102,4,FALSE),VLOOKUP(CC$1,main!$A$3:$H$102,4,FALSE)+VLOOKUP($A45,main!$A$3:$H$102,4,FALSE)+(VLOOKUP(VLOOKUP(CC$1,main!$A$3:$H$102,8,FALSE),main!$K$19:$O$22,MATCH(VLOOKUP($A45,main!$A$3:$H$102,7,FALSE),main!$K$18:$O$18,0),0))),0)</f>
        <v>55</v>
      </c>
      <c r="CD45">
        <f>IF((gamma!CD45),IF(VLOOKUP(CD$1,main!$A$3:$H$102,7,FALSE)=VLOOKUP($A45,main!$A$3:$H$102,8,FALSE),VLOOKUP(CD$1,main!$A$3:$H$102,4,FALSE),VLOOKUP(CD$1,main!$A$3:$H$102,4,FALSE)+VLOOKUP($A45,main!$A$3:$H$102,4,FALSE)+(VLOOKUP(VLOOKUP(CD$1,main!$A$3:$H$102,8,FALSE),main!$K$19:$O$22,MATCH(VLOOKUP($A45,main!$A$3:$H$102,7,FALSE),main!$K$18:$O$18,0),0))),0)</f>
        <v>0</v>
      </c>
      <c r="CE45">
        <f>IF((gamma!CE45),IF(VLOOKUP(CE$1,main!$A$3:$H$102,7,FALSE)=VLOOKUP($A45,main!$A$3:$H$102,8,FALSE),VLOOKUP(CE$1,main!$A$3:$H$102,4,FALSE),VLOOKUP(CE$1,main!$A$3:$H$102,4,FALSE)+VLOOKUP($A45,main!$A$3:$H$102,4,FALSE)+(VLOOKUP(VLOOKUP(CE$1,main!$A$3:$H$102,8,FALSE),main!$K$19:$O$22,MATCH(VLOOKUP($A45,main!$A$3:$H$102,7,FALSE),main!$K$18:$O$18,0),0))),0)</f>
        <v>0</v>
      </c>
      <c r="CF45">
        <f>IF((gamma!CF45),IF(VLOOKUP(CF$1,main!$A$3:$H$102,7,FALSE)=VLOOKUP($A45,main!$A$3:$H$102,8,FALSE),VLOOKUP(CF$1,main!$A$3:$H$102,4,FALSE),VLOOKUP(CF$1,main!$A$3:$H$102,4,FALSE)+VLOOKUP($A45,main!$A$3:$H$102,4,FALSE)+(VLOOKUP(VLOOKUP(CF$1,main!$A$3:$H$102,8,FALSE),main!$K$19:$O$22,MATCH(VLOOKUP($A45,main!$A$3:$H$102,7,FALSE),main!$K$18:$O$18,0),0))),0)</f>
        <v>0</v>
      </c>
      <c r="CG45">
        <f>IF((gamma!CG45),IF(VLOOKUP(CG$1,main!$A$3:$H$102,7,FALSE)=VLOOKUP($A45,main!$A$3:$H$102,8,FALSE),VLOOKUP(CG$1,main!$A$3:$H$102,4,FALSE),VLOOKUP(CG$1,main!$A$3:$H$102,4,FALSE)+VLOOKUP($A45,main!$A$3:$H$102,4,FALSE)+(VLOOKUP(VLOOKUP(CG$1,main!$A$3:$H$102,8,FALSE),main!$K$19:$O$22,MATCH(VLOOKUP($A45,main!$A$3:$H$102,7,FALSE),main!$K$18:$O$18,0),0))),0)</f>
        <v>0</v>
      </c>
      <c r="CH45">
        <f>IF((gamma!CH45),IF(VLOOKUP(CH$1,main!$A$3:$H$102,7,FALSE)=VLOOKUP($A45,main!$A$3:$H$102,8,FALSE),VLOOKUP(CH$1,main!$A$3:$H$102,4,FALSE),VLOOKUP(CH$1,main!$A$3:$H$102,4,FALSE)+VLOOKUP($A45,main!$A$3:$H$102,4,FALSE)+(VLOOKUP(VLOOKUP(CH$1,main!$A$3:$H$102,8,FALSE),main!$K$19:$O$22,MATCH(VLOOKUP($A45,main!$A$3:$H$102,7,FALSE),main!$K$18:$O$18,0),0))),0)</f>
        <v>285</v>
      </c>
      <c r="CI45">
        <f>IF((gamma!CI45),IF(VLOOKUP(CI$1,main!$A$3:$H$102,7,FALSE)=VLOOKUP($A45,main!$A$3:$H$102,8,FALSE),VLOOKUP(CI$1,main!$A$3:$H$102,4,FALSE),VLOOKUP(CI$1,main!$A$3:$H$102,4,FALSE)+VLOOKUP($A45,main!$A$3:$H$102,4,FALSE)+(VLOOKUP(VLOOKUP(CI$1,main!$A$3:$H$102,8,FALSE),main!$K$19:$O$22,MATCH(VLOOKUP($A45,main!$A$3:$H$102,7,FALSE),main!$K$18:$O$18,0),0))),0)</f>
        <v>285</v>
      </c>
      <c r="CJ45">
        <f>IF((gamma!CJ45),IF(VLOOKUP(CJ$1,main!$A$3:$H$102,7,FALSE)=VLOOKUP($A45,main!$A$3:$H$102,8,FALSE),VLOOKUP(CJ$1,main!$A$3:$H$102,4,FALSE),VLOOKUP(CJ$1,main!$A$3:$H$102,4,FALSE)+VLOOKUP($A45,main!$A$3:$H$102,4,FALSE)+(VLOOKUP(VLOOKUP(CJ$1,main!$A$3:$H$102,8,FALSE),main!$K$19:$O$22,MATCH(VLOOKUP($A45,main!$A$3:$H$102,7,FALSE),main!$K$18:$O$18,0),0))),0)</f>
        <v>0</v>
      </c>
      <c r="CK45">
        <f>IF((gamma!CK45),IF(VLOOKUP(CK$1,main!$A$3:$H$102,7,FALSE)=VLOOKUP($A45,main!$A$3:$H$102,8,FALSE),VLOOKUP(CK$1,main!$A$3:$H$102,4,FALSE),VLOOKUP(CK$1,main!$A$3:$H$102,4,FALSE)+VLOOKUP($A45,main!$A$3:$H$102,4,FALSE)+(VLOOKUP(VLOOKUP(CK$1,main!$A$3:$H$102,8,FALSE),main!$K$19:$O$22,MATCH(VLOOKUP($A45,main!$A$3:$H$102,7,FALSE),main!$K$18:$O$18,0),0))),0)</f>
        <v>0</v>
      </c>
      <c r="CL45">
        <f>IF((gamma!CL45),IF(VLOOKUP(CL$1,main!$A$3:$H$102,7,FALSE)=VLOOKUP($A45,main!$A$3:$H$102,8,FALSE),VLOOKUP(CL$1,main!$A$3:$H$102,4,FALSE),VLOOKUP(CL$1,main!$A$3:$H$102,4,FALSE)+VLOOKUP($A45,main!$A$3:$H$102,4,FALSE)+(VLOOKUP(VLOOKUP(CL$1,main!$A$3:$H$102,8,FALSE),main!$K$19:$O$22,MATCH(VLOOKUP($A45,main!$A$3:$H$102,7,FALSE),main!$K$18:$O$18,0),0))),0)</f>
        <v>0</v>
      </c>
      <c r="CM45">
        <f>IF((gamma!CM45),IF(VLOOKUP(CM$1,main!$A$3:$H$102,7,FALSE)=VLOOKUP($A45,main!$A$3:$H$102,8,FALSE),VLOOKUP(CM$1,main!$A$3:$H$102,4,FALSE),VLOOKUP(CM$1,main!$A$3:$H$102,4,FALSE)+VLOOKUP($A45,main!$A$3:$H$102,4,FALSE)+(VLOOKUP(VLOOKUP(CM$1,main!$A$3:$H$102,8,FALSE),main!$K$19:$O$22,MATCH(VLOOKUP($A45,main!$A$3:$H$102,7,FALSE),main!$K$18:$O$18,0),0))),0)</f>
        <v>245</v>
      </c>
      <c r="CN45">
        <f>IF((gamma!CN45),IF(VLOOKUP(CN$1,main!$A$3:$H$102,7,FALSE)=VLOOKUP($A45,main!$A$3:$H$102,8,FALSE),VLOOKUP(CN$1,main!$A$3:$H$102,4,FALSE),VLOOKUP(CN$1,main!$A$3:$H$102,4,FALSE)+VLOOKUP($A45,main!$A$3:$H$102,4,FALSE)+(VLOOKUP(VLOOKUP(CN$1,main!$A$3:$H$102,8,FALSE),main!$K$19:$O$22,MATCH(VLOOKUP($A45,main!$A$3:$H$102,7,FALSE),main!$K$18:$O$18,0),0))),0)</f>
        <v>241</v>
      </c>
      <c r="CO45">
        <f>IF((gamma!CO45),IF(VLOOKUP(CO$1,main!$A$3:$H$102,7,FALSE)=VLOOKUP($A45,main!$A$3:$H$102,8,FALSE),VLOOKUP(CO$1,main!$A$3:$H$102,4,FALSE),VLOOKUP(CO$1,main!$A$3:$H$102,4,FALSE)+VLOOKUP($A45,main!$A$3:$H$102,4,FALSE)+(VLOOKUP(VLOOKUP(CO$1,main!$A$3:$H$102,8,FALSE),main!$K$19:$O$22,MATCH(VLOOKUP($A45,main!$A$3:$H$102,7,FALSE),main!$K$18:$O$18,0),0))),0)</f>
        <v>0</v>
      </c>
      <c r="CP45">
        <f>IF((gamma!CP45),IF(VLOOKUP(CP$1,main!$A$3:$H$102,7,FALSE)=VLOOKUP($A45,main!$A$3:$H$102,8,FALSE),VLOOKUP(CP$1,main!$A$3:$H$102,4,FALSE),VLOOKUP(CP$1,main!$A$3:$H$102,4,FALSE)+VLOOKUP($A45,main!$A$3:$H$102,4,FALSE)+(VLOOKUP(VLOOKUP(CP$1,main!$A$3:$H$102,8,FALSE),main!$K$19:$O$22,MATCH(VLOOKUP($A45,main!$A$3:$H$102,7,FALSE),main!$K$18:$O$18,0),0))),0)</f>
        <v>0</v>
      </c>
      <c r="CQ45">
        <f>IF((gamma!CQ45),IF(VLOOKUP(CQ$1,main!$A$3:$H$102,7,FALSE)=VLOOKUP($A45,main!$A$3:$H$102,8,FALSE),VLOOKUP(CQ$1,main!$A$3:$H$102,4,FALSE),VLOOKUP(CQ$1,main!$A$3:$H$102,4,FALSE)+VLOOKUP($A45,main!$A$3:$H$102,4,FALSE)+(VLOOKUP(VLOOKUP(CQ$1,main!$A$3:$H$102,8,FALSE),main!$K$19:$O$22,MATCH(VLOOKUP($A45,main!$A$3:$H$102,7,FALSE),main!$K$18:$O$18,0),0))),0)</f>
        <v>0</v>
      </c>
      <c r="CR45">
        <f>IF((gamma!CR45),IF(VLOOKUP(CR$1,main!$A$3:$H$102,7,FALSE)=VLOOKUP($A45,main!$A$3:$H$102,8,FALSE),VLOOKUP(CR$1,main!$A$3:$H$102,4,FALSE),VLOOKUP(CR$1,main!$A$3:$H$102,4,FALSE)+VLOOKUP($A45,main!$A$3:$H$102,4,FALSE)+(VLOOKUP(VLOOKUP(CR$1,main!$A$3:$H$102,8,FALSE),main!$K$19:$O$22,MATCH(VLOOKUP($A45,main!$A$3:$H$102,7,FALSE),main!$K$18:$O$18,0),0))),0)</f>
        <v>0</v>
      </c>
      <c r="CS45">
        <f>IF((gamma!CS45),IF(VLOOKUP(CS$1,main!$A$3:$H$102,7,FALSE)=VLOOKUP($A45,main!$A$3:$H$102,8,FALSE),VLOOKUP(CS$1,main!$A$3:$H$102,4,FALSE),VLOOKUP(CS$1,main!$A$3:$H$102,4,FALSE)+VLOOKUP($A45,main!$A$3:$H$102,4,FALSE)+(VLOOKUP(VLOOKUP(CS$1,main!$A$3:$H$102,8,FALSE),main!$K$19:$O$22,MATCH(VLOOKUP($A45,main!$A$3:$H$102,7,FALSE),main!$K$18:$O$18,0),0))),0)</f>
        <v>283</v>
      </c>
      <c r="CT45">
        <f>IF((gamma!CT45),IF(VLOOKUP(CT$1,main!$A$3:$H$102,7,FALSE)=VLOOKUP($A45,main!$A$3:$H$102,8,FALSE),VLOOKUP(CT$1,main!$A$3:$H$102,4,FALSE),VLOOKUP(CT$1,main!$A$3:$H$102,4,FALSE)+VLOOKUP($A45,main!$A$3:$H$102,4,FALSE)+(VLOOKUP(VLOOKUP(CT$1,main!$A$3:$H$102,8,FALSE),main!$K$19:$O$22,MATCH(VLOOKUP($A45,main!$A$3:$H$102,7,FALSE),main!$K$18:$O$18,0),0))),0)</f>
        <v>0</v>
      </c>
      <c r="CU45">
        <f>IF((gamma!CU45),IF(VLOOKUP(CU$1,main!$A$3:$H$102,7,FALSE)=VLOOKUP($A45,main!$A$3:$H$102,8,FALSE),VLOOKUP(CU$1,main!$A$3:$H$102,4,FALSE),VLOOKUP(CU$1,main!$A$3:$H$102,4,FALSE)+VLOOKUP($A45,main!$A$3:$H$102,4,FALSE)+(VLOOKUP(VLOOKUP(CU$1,main!$A$3:$H$102,8,FALSE),main!$K$19:$O$22,MATCH(VLOOKUP($A45,main!$A$3:$H$102,7,FALSE),main!$K$18:$O$18,0),0))),0)</f>
        <v>0</v>
      </c>
      <c r="CV45">
        <f>IF((gamma!CV45),IF(VLOOKUP(CV$1,main!$A$3:$H$102,7,FALSE)=VLOOKUP($A45,main!$A$3:$H$102,8,FALSE),VLOOKUP(CV$1,main!$A$3:$H$102,4,FALSE),VLOOKUP(CV$1,main!$A$3:$H$102,4,FALSE)+VLOOKUP($A45,main!$A$3:$H$102,4,FALSE)+(VLOOKUP(VLOOKUP(CV$1,main!$A$3:$H$102,8,FALSE),main!$K$19:$O$22,MATCH(VLOOKUP($A45,main!$A$3:$H$102,7,FALSE),main!$K$18:$O$18,0),0))),0)</f>
        <v>0</v>
      </c>
      <c r="CW45">
        <f>IF((gamma!CW45),IF(VLOOKUP(CW$1,main!$A$3:$H$102,7,FALSE)=VLOOKUP($A45,main!$A$3:$H$102,8,FALSE),VLOOKUP(CW$1,main!$A$3:$H$102,4,FALSE),VLOOKUP(CW$1,main!$A$3:$H$102,4,FALSE)+VLOOKUP($A45,main!$A$3:$H$102,4,FALSE)+(VLOOKUP(VLOOKUP(CW$1,main!$A$3:$H$102,8,FALSE),main!$K$19:$O$22,MATCH(VLOOKUP($A45,main!$A$3:$H$102,7,FALSE),main!$K$18:$O$18,0),0))),0)</f>
        <v>0</v>
      </c>
      <c r="CX45">
        <f>IF((gamma!CX45),IF(VLOOKUP(CX$1,main!$A$3:$H$102,7,FALSE)=VLOOKUP($A45,main!$A$3:$H$102,8,FALSE),VLOOKUP(CX$1,main!$A$3:$H$102,4,FALSE),VLOOKUP(CX$1,main!$A$3:$H$102,4,FALSE)+VLOOKUP($A45,main!$A$3:$H$102,4,FALSE)+(VLOOKUP(VLOOKUP(CX$1,main!$A$3:$H$102,8,FALSE),main!$K$19:$O$22,MATCH(VLOOKUP($A45,main!$A$3:$H$102,7,FALSE),main!$K$18:$O$18,0),0))),0)</f>
        <v>233</v>
      </c>
      <c r="CY45">
        <v>0</v>
      </c>
      <c r="CZ45">
        <v>0</v>
      </c>
      <c r="DA45">
        <v>0</v>
      </c>
    </row>
    <row r="46" spans="1:105" x14ac:dyDescent="0.25">
      <c r="A46" s="1">
        <v>44</v>
      </c>
      <c r="B46">
        <v>0</v>
      </c>
      <c r="C46">
        <f>IF((gamma!C46),IF(VLOOKUP(C$1,main!$A$3:$H$102,7,FALSE)=VLOOKUP($A46,main!$A$3:$H$102,8,FALSE),VLOOKUP(C$1,main!$A$3:$H$102,4,FALSE),VLOOKUP(C$1,main!$A$3:$H$102,4,FALSE)+VLOOKUP($A46,main!$A$3:$H$102,4,FALSE)+(VLOOKUP(VLOOKUP(C$1,main!$A$3:$H$102,8,FALSE),main!$K$19:$O$22,MATCH(VLOOKUP($A46,main!$A$3:$H$102,7,FALSE),main!$K$18:$O$18,0),0))),0)</f>
        <v>0</v>
      </c>
      <c r="D46">
        <f>IF((gamma!D46),IF(VLOOKUP(D$1,main!$A$3:$H$102,7,FALSE)=VLOOKUP($A46,main!$A$3:$H$102,8,FALSE),VLOOKUP(D$1,main!$A$3:$H$102,4,FALSE),VLOOKUP(D$1,main!$A$3:$H$102,4,FALSE)+VLOOKUP($A46,main!$A$3:$H$102,4,FALSE)+(VLOOKUP(VLOOKUP(D$1,main!$A$3:$H$102,8,FALSE),main!$K$19:$O$22,MATCH(VLOOKUP($A46,main!$A$3:$H$102,7,FALSE),main!$K$18:$O$18,0),0))),0)</f>
        <v>0</v>
      </c>
      <c r="E46">
        <f>IF((gamma!E46),IF(VLOOKUP(E$1,main!$A$3:$H$102,7,FALSE)=VLOOKUP($A46,main!$A$3:$H$102,8,FALSE),VLOOKUP(E$1,main!$A$3:$H$102,4,FALSE),VLOOKUP(E$1,main!$A$3:$H$102,4,FALSE)+VLOOKUP($A46,main!$A$3:$H$102,4,FALSE)+(VLOOKUP(VLOOKUP(E$1,main!$A$3:$H$102,8,FALSE),main!$K$19:$O$22,MATCH(VLOOKUP($A46,main!$A$3:$H$102,7,FALSE),main!$K$18:$O$18,0),0))),0)</f>
        <v>0</v>
      </c>
      <c r="F46">
        <f>IF((gamma!F46),IF(VLOOKUP(F$1,main!$A$3:$H$102,7,FALSE)=VLOOKUP($A46,main!$A$3:$H$102,8,FALSE),VLOOKUP(F$1,main!$A$3:$H$102,4,FALSE),VLOOKUP(F$1,main!$A$3:$H$102,4,FALSE)+VLOOKUP($A46,main!$A$3:$H$102,4,FALSE)+(VLOOKUP(VLOOKUP(F$1,main!$A$3:$H$102,8,FALSE),main!$K$19:$O$22,MATCH(VLOOKUP($A46,main!$A$3:$H$102,7,FALSE),main!$K$18:$O$18,0),0))),0)</f>
        <v>0</v>
      </c>
      <c r="G46">
        <f>IF((gamma!G46),IF(VLOOKUP(G$1,main!$A$3:$H$102,7,FALSE)=VLOOKUP($A46,main!$A$3:$H$102,8,FALSE),VLOOKUP(G$1,main!$A$3:$H$102,4,FALSE),VLOOKUP(G$1,main!$A$3:$H$102,4,FALSE)+VLOOKUP($A46,main!$A$3:$H$102,4,FALSE)+(VLOOKUP(VLOOKUP(G$1,main!$A$3:$H$102,8,FALSE),main!$K$19:$O$22,MATCH(VLOOKUP($A46,main!$A$3:$H$102,7,FALSE),main!$K$18:$O$18,0),0))),0)</f>
        <v>0</v>
      </c>
      <c r="H46">
        <f>IF((gamma!H46),IF(VLOOKUP(H$1,main!$A$3:$H$102,7,FALSE)=VLOOKUP($A46,main!$A$3:$H$102,8,FALSE),VLOOKUP(H$1,main!$A$3:$H$102,4,FALSE),VLOOKUP(H$1,main!$A$3:$H$102,4,FALSE)+VLOOKUP($A46,main!$A$3:$H$102,4,FALSE)+(VLOOKUP(VLOOKUP(H$1,main!$A$3:$H$102,8,FALSE),main!$K$19:$O$22,MATCH(VLOOKUP($A46,main!$A$3:$H$102,7,FALSE),main!$K$18:$O$18,0),0))),0)</f>
        <v>0</v>
      </c>
      <c r="I46">
        <f>IF((gamma!I46),IF(VLOOKUP(I$1,main!$A$3:$H$102,7,FALSE)=VLOOKUP($A46,main!$A$3:$H$102,8,FALSE),VLOOKUP(I$1,main!$A$3:$H$102,4,FALSE),VLOOKUP(I$1,main!$A$3:$H$102,4,FALSE)+VLOOKUP($A46,main!$A$3:$H$102,4,FALSE)+(VLOOKUP(VLOOKUP(I$1,main!$A$3:$H$102,8,FALSE),main!$K$19:$O$22,MATCH(VLOOKUP($A46,main!$A$3:$H$102,7,FALSE),main!$K$18:$O$18,0),0))),0)</f>
        <v>0</v>
      </c>
      <c r="J46">
        <f>IF((gamma!J46),IF(VLOOKUP(J$1,main!$A$3:$H$102,7,FALSE)=VLOOKUP($A46,main!$A$3:$H$102,8,FALSE),VLOOKUP(J$1,main!$A$3:$H$102,4,FALSE),VLOOKUP(J$1,main!$A$3:$H$102,4,FALSE)+VLOOKUP($A46,main!$A$3:$H$102,4,FALSE)+(VLOOKUP(VLOOKUP(J$1,main!$A$3:$H$102,8,FALSE),main!$K$19:$O$22,MATCH(VLOOKUP($A46,main!$A$3:$H$102,7,FALSE),main!$K$18:$O$18,0),0))),0)</f>
        <v>0</v>
      </c>
      <c r="K46">
        <f>IF((gamma!K46),IF(VLOOKUP(K$1,main!$A$3:$H$102,7,FALSE)=VLOOKUP($A46,main!$A$3:$H$102,8,FALSE),VLOOKUP(K$1,main!$A$3:$H$102,4,FALSE),VLOOKUP(K$1,main!$A$3:$H$102,4,FALSE)+VLOOKUP($A46,main!$A$3:$H$102,4,FALSE)+(VLOOKUP(VLOOKUP(K$1,main!$A$3:$H$102,8,FALSE),main!$K$19:$O$22,MATCH(VLOOKUP($A46,main!$A$3:$H$102,7,FALSE),main!$K$18:$O$18,0),0))),0)</f>
        <v>0</v>
      </c>
      <c r="L46">
        <f>IF((gamma!L46),IF(VLOOKUP(L$1,main!$A$3:$H$102,7,FALSE)=VLOOKUP($A46,main!$A$3:$H$102,8,FALSE),VLOOKUP(L$1,main!$A$3:$H$102,4,FALSE),VLOOKUP(L$1,main!$A$3:$H$102,4,FALSE)+VLOOKUP($A46,main!$A$3:$H$102,4,FALSE)+(VLOOKUP(VLOOKUP(L$1,main!$A$3:$H$102,8,FALSE),main!$K$19:$O$22,MATCH(VLOOKUP($A46,main!$A$3:$H$102,7,FALSE),main!$K$18:$O$18,0),0))),0)</f>
        <v>265</v>
      </c>
      <c r="M46">
        <f>IF((gamma!M46),IF(VLOOKUP(M$1,main!$A$3:$H$102,7,FALSE)=VLOOKUP($A46,main!$A$3:$H$102,8,FALSE),VLOOKUP(M$1,main!$A$3:$H$102,4,FALSE),VLOOKUP(M$1,main!$A$3:$H$102,4,FALSE)+VLOOKUP($A46,main!$A$3:$H$102,4,FALSE)+(VLOOKUP(VLOOKUP(M$1,main!$A$3:$H$102,8,FALSE),main!$K$19:$O$22,MATCH(VLOOKUP($A46,main!$A$3:$H$102,7,FALSE),main!$K$18:$O$18,0),0))),0)</f>
        <v>0</v>
      </c>
      <c r="N46">
        <f>IF((gamma!N46),IF(VLOOKUP(N$1,main!$A$3:$H$102,7,FALSE)=VLOOKUP($A46,main!$A$3:$H$102,8,FALSE),VLOOKUP(N$1,main!$A$3:$H$102,4,FALSE),VLOOKUP(N$1,main!$A$3:$H$102,4,FALSE)+VLOOKUP($A46,main!$A$3:$H$102,4,FALSE)+(VLOOKUP(VLOOKUP(N$1,main!$A$3:$H$102,8,FALSE),main!$K$19:$O$22,MATCH(VLOOKUP($A46,main!$A$3:$H$102,7,FALSE),main!$K$18:$O$18,0),0))),0)</f>
        <v>0</v>
      </c>
      <c r="O46">
        <f>IF((gamma!O46),IF(VLOOKUP(O$1,main!$A$3:$H$102,7,FALSE)=VLOOKUP($A46,main!$A$3:$H$102,8,FALSE),VLOOKUP(O$1,main!$A$3:$H$102,4,FALSE),VLOOKUP(O$1,main!$A$3:$H$102,4,FALSE)+VLOOKUP($A46,main!$A$3:$H$102,4,FALSE)+(VLOOKUP(VLOOKUP(O$1,main!$A$3:$H$102,8,FALSE),main!$K$19:$O$22,MATCH(VLOOKUP($A46,main!$A$3:$H$102,7,FALSE),main!$K$18:$O$18,0),0))),0)</f>
        <v>0</v>
      </c>
      <c r="P46">
        <f>IF((gamma!P46),IF(VLOOKUP(P$1,main!$A$3:$H$102,7,FALSE)=VLOOKUP($A46,main!$A$3:$H$102,8,FALSE),VLOOKUP(P$1,main!$A$3:$H$102,4,FALSE),VLOOKUP(P$1,main!$A$3:$H$102,4,FALSE)+VLOOKUP($A46,main!$A$3:$H$102,4,FALSE)+(VLOOKUP(VLOOKUP(P$1,main!$A$3:$H$102,8,FALSE),main!$K$19:$O$22,MATCH(VLOOKUP($A46,main!$A$3:$H$102,7,FALSE),main!$K$18:$O$18,0),0))),0)</f>
        <v>0</v>
      </c>
      <c r="Q46">
        <f>IF((gamma!Q46),IF(VLOOKUP(Q$1,main!$A$3:$H$102,7,FALSE)=VLOOKUP($A46,main!$A$3:$H$102,8,FALSE),VLOOKUP(Q$1,main!$A$3:$H$102,4,FALSE),VLOOKUP(Q$1,main!$A$3:$H$102,4,FALSE)+VLOOKUP($A46,main!$A$3:$H$102,4,FALSE)+(VLOOKUP(VLOOKUP(Q$1,main!$A$3:$H$102,8,FALSE),main!$K$19:$O$22,MATCH(VLOOKUP($A46,main!$A$3:$H$102,7,FALSE),main!$K$18:$O$18,0),0))),0)</f>
        <v>0</v>
      </c>
      <c r="R46">
        <f>IF((gamma!R46),IF(VLOOKUP(R$1,main!$A$3:$H$102,7,FALSE)=VLOOKUP($A46,main!$A$3:$H$102,8,FALSE),VLOOKUP(R$1,main!$A$3:$H$102,4,FALSE),VLOOKUP(R$1,main!$A$3:$H$102,4,FALSE)+VLOOKUP($A46,main!$A$3:$H$102,4,FALSE)+(VLOOKUP(VLOOKUP(R$1,main!$A$3:$H$102,8,FALSE),main!$K$19:$O$22,MATCH(VLOOKUP($A46,main!$A$3:$H$102,7,FALSE),main!$K$18:$O$18,0),0))),0)</f>
        <v>0</v>
      </c>
      <c r="S46">
        <f>IF((gamma!S46),IF(VLOOKUP(S$1,main!$A$3:$H$102,7,FALSE)=VLOOKUP($A46,main!$A$3:$H$102,8,FALSE),VLOOKUP(S$1,main!$A$3:$H$102,4,FALSE),VLOOKUP(S$1,main!$A$3:$H$102,4,FALSE)+VLOOKUP($A46,main!$A$3:$H$102,4,FALSE)+(VLOOKUP(VLOOKUP(S$1,main!$A$3:$H$102,8,FALSE),main!$K$19:$O$22,MATCH(VLOOKUP($A46,main!$A$3:$H$102,7,FALSE),main!$K$18:$O$18,0),0))),0)</f>
        <v>0</v>
      </c>
      <c r="T46">
        <f>IF((gamma!T46),IF(VLOOKUP(T$1,main!$A$3:$H$102,7,FALSE)=VLOOKUP($A46,main!$A$3:$H$102,8,FALSE),VLOOKUP(T$1,main!$A$3:$H$102,4,FALSE),VLOOKUP(T$1,main!$A$3:$H$102,4,FALSE)+VLOOKUP($A46,main!$A$3:$H$102,4,FALSE)+(VLOOKUP(VLOOKUP(T$1,main!$A$3:$H$102,8,FALSE),main!$K$19:$O$22,MATCH(VLOOKUP($A46,main!$A$3:$H$102,7,FALSE),main!$K$18:$O$18,0),0))),0)</f>
        <v>0</v>
      </c>
      <c r="U46">
        <f>IF((gamma!U46),IF(VLOOKUP(U$1,main!$A$3:$H$102,7,FALSE)=VLOOKUP($A46,main!$A$3:$H$102,8,FALSE),VLOOKUP(U$1,main!$A$3:$H$102,4,FALSE),VLOOKUP(U$1,main!$A$3:$H$102,4,FALSE)+VLOOKUP($A46,main!$A$3:$H$102,4,FALSE)+(VLOOKUP(VLOOKUP(U$1,main!$A$3:$H$102,8,FALSE),main!$K$19:$O$22,MATCH(VLOOKUP($A46,main!$A$3:$H$102,7,FALSE),main!$K$18:$O$18,0),0))),0)</f>
        <v>0</v>
      </c>
      <c r="V46">
        <f>IF((gamma!V46),IF(VLOOKUP(V$1,main!$A$3:$H$102,7,FALSE)=VLOOKUP($A46,main!$A$3:$H$102,8,FALSE),VLOOKUP(V$1,main!$A$3:$H$102,4,FALSE),VLOOKUP(V$1,main!$A$3:$H$102,4,FALSE)+VLOOKUP($A46,main!$A$3:$H$102,4,FALSE)+(VLOOKUP(VLOOKUP(V$1,main!$A$3:$H$102,8,FALSE),main!$K$19:$O$22,MATCH(VLOOKUP($A46,main!$A$3:$H$102,7,FALSE),main!$K$18:$O$18,0),0))),0)</f>
        <v>298</v>
      </c>
      <c r="W46">
        <f>IF((gamma!W46),IF(VLOOKUP(W$1,main!$A$3:$H$102,7,FALSE)=VLOOKUP($A46,main!$A$3:$H$102,8,FALSE),VLOOKUP(W$1,main!$A$3:$H$102,4,FALSE),VLOOKUP(W$1,main!$A$3:$H$102,4,FALSE)+VLOOKUP($A46,main!$A$3:$H$102,4,FALSE)+(VLOOKUP(VLOOKUP(W$1,main!$A$3:$H$102,8,FALSE),main!$K$19:$O$22,MATCH(VLOOKUP($A46,main!$A$3:$H$102,7,FALSE),main!$K$18:$O$18,0),0))),0)</f>
        <v>0</v>
      </c>
      <c r="X46">
        <f>IF((gamma!X46),IF(VLOOKUP(X$1,main!$A$3:$H$102,7,FALSE)=VLOOKUP($A46,main!$A$3:$H$102,8,FALSE),VLOOKUP(X$1,main!$A$3:$H$102,4,FALSE),VLOOKUP(X$1,main!$A$3:$H$102,4,FALSE)+VLOOKUP($A46,main!$A$3:$H$102,4,FALSE)+(VLOOKUP(VLOOKUP(X$1,main!$A$3:$H$102,8,FALSE),main!$K$19:$O$22,MATCH(VLOOKUP($A46,main!$A$3:$H$102,7,FALSE),main!$K$18:$O$18,0),0))),0)</f>
        <v>0</v>
      </c>
      <c r="Y46">
        <f>IF((gamma!Y46),IF(VLOOKUP(Y$1,main!$A$3:$H$102,7,FALSE)=VLOOKUP($A46,main!$A$3:$H$102,8,FALSE),VLOOKUP(Y$1,main!$A$3:$H$102,4,FALSE),VLOOKUP(Y$1,main!$A$3:$H$102,4,FALSE)+VLOOKUP($A46,main!$A$3:$H$102,4,FALSE)+(VLOOKUP(VLOOKUP(Y$1,main!$A$3:$H$102,8,FALSE),main!$K$19:$O$22,MATCH(VLOOKUP($A46,main!$A$3:$H$102,7,FALSE),main!$K$18:$O$18,0),0))),0)</f>
        <v>0</v>
      </c>
      <c r="Z46">
        <f>IF((gamma!Z46),IF(VLOOKUP(Z$1,main!$A$3:$H$102,7,FALSE)=VLOOKUP($A46,main!$A$3:$H$102,8,FALSE),VLOOKUP(Z$1,main!$A$3:$H$102,4,FALSE),VLOOKUP(Z$1,main!$A$3:$H$102,4,FALSE)+VLOOKUP($A46,main!$A$3:$H$102,4,FALSE)+(VLOOKUP(VLOOKUP(Z$1,main!$A$3:$H$102,8,FALSE),main!$K$19:$O$22,MATCH(VLOOKUP($A46,main!$A$3:$H$102,7,FALSE),main!$K$18:$O$18,0),0))),0)</f>
        <v>0</v>
      </c>
      <c r="AA46">
        <f>IF((gamma!AA46),IF(VLOOKUP(AA$1,main!$A$3:$H$102,7,FALSE)=VLOOKUP($A46,main!$A$3:$H$102,8,FALSE),VLOOKUP(AA$1,main!$A$3:$H$102,4,FALSE),VLOOKUP(AA$1,main!$A$3:$H$102,4,FALSE)+VLOOKUP($A46,main!$A$3:$H$102,4,FALSE)+(VLOOKUP(VLOOKUP(AA$1,main!$A$3:$H$102,8,FALSE),main!$K$19:$O$22,MATCH(VLOOKUP($A46,main!$A$3:$H$102,7,FALSE),main!$K$18:$O$18,0),0))),0)</f>
        <v>0</v>
      </c>
      <c r="AB46">
        <f>IF((gamma!AB46),IF(VLOOKUP(AB$1,main!$A$3:$H$102,7,FALSE)=VLOOKUP($A46,main!$A$3:$H$102,8,FALSE),VLOOKUP(AB$1,main!$A$3:$H$102,4,FALSE),VLOOKUP(AB$1,main!$A$3:$H$102,4,FALSE)+VLOOKUP($A46,main!$A$3:$H$102,4,FALSE)+(VLOOKUP(VLOOKUP(AB$1,main!$A$3:$H$102,8,FALSE),main!$K$19:$O$22,MATCH(VLOOKUP($A46,main!$A$3:$H$102,7,FALSE),main!$K$18:$O$18,0),0))),0)</f>
        <v>0</v>
      </c>
      <c r="AC46">
        <f>IF((gamma!AC46),IF(VLOOKUP(AC$1,main!$A$3:$H$102,7,FALSE)=VLOOKUP($A46,main!$A$3:$H$102,8,FALSE),VLOOKUP(AC$1,main!$A$3:$H$102,4,FALSE),VLOOKUP(AC$1,main!$A$3:$H$102,4,FALSE)+VLOOKUP($A46,main!$A$3:$H$102,4,FALSE)+(VLOOKUP(VLOOKUP(AC$1,main!$A$3:$H$102,8,FALSE),main!$K$19:$O$22,MATCH(VLOOKUP($A46,main!$A$3:$H$102,7,FALSE),main!$K$18:$O$18,0),0))),0)</f>
        <v>0</v>
      </c>
      <c r="AD46">
        <f>IF((gamma!AD46),IF(VLOOKUP(AD$1,main!$A$3:$H$102,7,FALSE)=VLOOKUP($A46,main!$A$3:$H$102,8,FALSE),VLOOKUP(AD$1,main!$A$3:$H$102,4,FALSE),VLOOKUP(AD$1,main!$A$3:$H$102,4,FALSE)+VLOOKUP($A46,main!$A$3:$H$102,4,FALSE)+(VLOOKUP(VLOOKUP(AD$1,main!$A$3:$H$102,8,FALSE),main!$K$19:$O$22,MATCH(VLOOKUP($A46,main!$A$3:$H$102,7,FALSE),main!$K$18:$O$18,0),0))),0)</f>
        <v>0</v>
      </c>
      <c r="AE46">
        <f>IF((gamma!AE46),IF(VLOOKUP(AE$1,main!$A$3:$H$102,7,FALSE)=VLOOKUP($A46,main!$A$3:$H$102,8,FALSE),VLOOKUP(AE$1,main!$A$3:$H$102,4,FALSE),VLOOKUP(AE$1,main!$A$3:$H$102,4,FALSE)+VLOOKUP($A46,main!$A$3:$H$102,4,FALSE)+(VLOOKUP(VLOOKUP(AE$1,main!$A$3:$H$102,8,FALSE),main!$K$19:$O$22,MATCH(VLOOKUP($A46,main!$A$3:$H$102,7,FALSE),main!$K$18:$O$18,0),0))),0)</f>
        <v>0</v>
      </c>
      <c r="AF46">
        <f>IF((gamma!AF46),IF(VLOOKUP(AF$1,main!$A$3:$H$102,7,FALSE)=VLOOKUP($A46,main!$A$3:$H$102,8,FALSE),VLOOKUP(AF$1,main!$A$3:$H$102,4,FALSE),VLOOKUP(AF$1,main!$A$3:$H$102,4,FALSE)+VLOOKUP($A46,main!$A$3:$H$102,4,FALSE)+(VLOOKUP(VLOOKUP(AF$1,main!$A$3:$H$102,8,FALSE),main!$K$19:$O$22,MATCH(VLOOKUP($A46,main!$A$3:$H$102,7,FALSE),main!$K$18:$O$18,0),0))),0)</f>
        <v>0</v>
      </c>
      <c r="AG46">
        <f>IF((gamma!AG46),IF(VLOOKUP(AG$1,main!$A$3:$H$102,7,FALSE)=VLOOKUP($A46,main!$A$3:$H$102,8,FALSE),VLOOKUP(AG$1,main!$A$3:$H$102,4,FALSE),VLOOKUP(AG$1,main!$A$3:$H$102,4,FALSE)+VLOOKUP($A46,main!$A$3:$H$102,4,FALSE)+(VLOOKUP(VLOOKUP(AG$1,main!$A$3:$H$102,8,FALSE),main!$K$19:$O$22,MATCH(VLOOKUP($A46,main!$A$3:$H$102,7,FALSE),main!$K$18:$O$18,0),0))),0)</f>
        <v>0</v>
      </c>
      <c r="AH46">
        <f>IF((gamma!AH46),IF(VLOOKUP(AH$1,main!$A$3:$H$102,7,FALSE)=VLOOKUP($A46,main!$A$3:$H$102,8,FALSE),VLOOKUP(AH$1,main!$A$3:$H$102,4,FALSE),VLOOKUP(AH$1,main!$A$3:$H$102,4,FALSE)+VLOOKUP($A46,main!$A$3:$H$102,4,FALSE)+(VLOOKUP(VLOOKUP(AH$1,main!$A$3:$H$102,8,FALSE),main!$K$19:$O$22,MATCH(VLOOKUP($A46,main!$A$3:$H$102,7,FALSE),main!$K$18:$O$18,0),0))),0)</f>
        <v>0</v>
      </c>
      <c r="AI46">
        <f>IF((gamma!AI46),IF(VLOOKUP(AI$1,main!$A$3:$H$102,7,FALSE)=VLOOKUP($A46,main!$A$3:$H$102,8,FALSE),VLOOKUP(AI$1,main!$A$3:$H$102,4,FALSE),VLOOKUP(AI$1,main!$A$3:$H$102,4,FALSE)+VLOOKUP($A46,main!$A$3:$H$102,4,FALSE)+(VLOOKUP(VLOOKUP(AI$1,main!$A$3:$H$102,8,FALSE),main!$K$19:$O$22,MATCH(VLOOKUP($A46,main!$A$3:$H$102,7,FALSE),main!$K$18:$O$18,0),0))),0)</f>
        <v>0</v>
      </c>
      <c r="AJ46">
        <f>IF((gamma!AJ46),IF(VLOOKUP(AJ$1,main!$A$3:$H$102,7,FALSE)=VLOOKUP($A46,main!$A$3:$H$102,8,FALSE),VLOOKUP(AJ$1,main!$A$3:$H$102,4,FALSE),VLOOKUP(AJ$1,main!$A$3:$H$102,4,FALSE)+VLOOKUP($A46,main!$A$3:$H$102,4,FALSE)+(VLOOKUP(VLOOKUP(AJ$1,main!$A$3:$H$102,8,FALSE),main!$K$19:$O$22,MATCH(VLOOKUP($A46,main!$A$3:$H$102,7,FALSE),main!$K$18:$O$18,0),0))),0)</f>
        <v>0</v>
      </c>
      <c r="AK46">
        <f>IF((gamma!AK46),IF(VLOOKUP(AK$1,main!$A$3:$H$102,7,FALSE)=VLOOKUP($A46,main!$A$3:$H$102,8,FALSE),VLOOKUP(AK$1,main!$A$3:$H$102,4,FALSE),VLOOKUP(AK$1,main!$A$3:$H$102,4,FALSE)+VLOOKUP($A46,main!$A$3:$H$102,4,FALSE)+(VLOOKUP(VLOOKUP(AK$1,main!$A$3:$H$102,8,FALSE),main!$K$19:$O$22,MATCH(VLOOKUP($A46,main!$A$3:$H$102,7,FALSE),main!$K$18:$O$18,0),0))),0)</f>
        <v>0</v>
      </c>
      <c r="AL46">
        <f>IF((gamma!AL46),IF(VLOOKUP(AL$1,main!$A$3:$H$102,7,FALSE)=VLOOKUP($A46,main!$A$3:$H$102,8,FALSE),VLOOKUP(AL$1,main!$A$3:$H$102,4,FALSE),VLOOKUP(AL$1,main!$A$3:$H$102,4,FALSE)+VLOOKUP($A46,main!$A$3:$H$102,4,FALSE)+(VLOOKUP(VLOOKUP(AL$1,main!$A$3:$H$102,8,FALSE),main!$K$19:$O$22,MATCH(VLOOKUP($A46,main!$A$3:$H$102,7,FALSE),main!$K$18:$O$18,0),0))),0)</f>
        <v>0</v>
      </c>
      <c r="AM46">
        <f>IF((gamma!AM46),IF(VLOOKUP(AM$1,main!$A$3:$H$102,7,FALSE)=VLOOKUP($A46,main!$A$3:$H$102,8,FALSE),VLOOKUP(AM$1,main!$A$3:$H$102,4,FALSE),VLOOKUP(AM$1,main!$A$3:$H$102,4,FALSE)+VLOOKUP($A46,main!$A$3:$H$102,4,FALSE)+(VLOOKUP(VLOOKUP(AM$1,main!$A$3:$H$102,8,FALSE),main!$K$19:$O$22,MATCH(VLOOKUP($A46,main!$A$3:$H$102,7,FALSE),main!$K$18:$O$18,0),0))),0)</f>
        <v>0</v>
      </c>
      <c r="AN46">
        <f>IF((gamma!AN46),IF(VLOOKUP(AN$1,main!$A$3:$H$102,7,FALSE)=VLOOKUP($A46,main!$A$3:$H$102,8,FALSE),VLOOKUP(AN$1,main!$A$3:$H$102,4,FALSE),VLOOKUP(AN$1,main!$A$3:$H$102,4,FALSE)+VLOOKUP($A46,main!$A$3:$H$102,4,FALSE)+(VLOOKUP(VLOOKUP(AN$1,main!$A$3:$H$102,8,FALSE),main!$K$19:$O$22,MATCH(VLOOKUP($A46,main!$A$3:$H$102,7,FALSE),main!$K$18:$O$18,0),0))),0)</f>
        <v>0</v>
      </c>
      <c r="AO46">
        <f>IF((gamma!AO46),IF(VLOOKUP(AO$1,main!$A$3:$H$102,7,FALSE)=VLOOKUP($A46,main!$A$3:$H$102,8,FALSE),VLOOKUP(AO$1,main!$A$3:$H$102,4,FALSE),VLOOKUP(AO$1,main!$A$3:$H$102,4,FALSE)+VLOOKUP($A46,main!$A$3:$H$102,4,FALSE)+(VLOOKUP(VLOOKUP(AO$1,main!$A$3:$H$102,8,FALSE),main!$K$19:$O$22,MATCH(VLOOKUP($A46,main!$A$3:$H$102,7,FALSE),main!$K$18:$O$18,0),0))),0)</f>
        <v>0</v>
      </c>
      <c r="AP46">
        <f>IF((gamma!AP46),IF(VLOOKUP(AP$1,main!$A$3:$H$102,7,FALSE)=VLOOKUP($A46,main!$A$3:$H$102,8,FALSE),VLOOKUP(AP$1,main!$A$3:$H$102,4,FALSE),VLOOKUP(AP$1,main!$A$3:$H$102,4,FALSE)+VLOOKUP($A46,main!$A$3:$H$102,4,FALSE)+(VLOOKUP(VLOOKUP(AP$1,main!$A$3:$H$102,8,FALSE),main!$K$19:$O$22,MATCH(VLOOKUP($A46,main!$A$3:$H$102,7,FALSE),main!$K$18:$O$18,0),0))),0)</f>
        <v>230</v>
      </c>
      <c r="AQ46">
        <f>IF((gamma!AQ46),IF(VLOOKUP(AQ$1,main!$A$3:$H$102,7,FALSE)=VLOOKUP($A46,main!$A$3:$H$102,8,FALSE),VLOOKUP(AQ$1,main!$A$3:$H$102,4,FALSE),VLOOKUP(AQ$1,main!$A$3:$H$102,4,FALSE)+VLOOKUP($A46,main!$A$3:$H$102,4,FALSE)+(VLOOKUP(VLOOKUP(AQ$1,main!$A$3:$H$102,8,FALSE),main!$K$19:$O$22,MATCH(VLOOKUP($A46,main!$A$3:$H$102,7,FALSE),main!$K$18:$O$18,0),0))),0)</f>
        <v>0</v>
      </c>
      <c r="AR46">
        <f>IF((gamma!AR46),IF(VLOOKUP(AR$1,main!$A$3:$H$102,7,FALSE)=VLOOKUP($A46,main!$A$3:$H$102,8,FALSE),VLOOKUP(AR$1,main!$A$3:$H$102,4,FALSE),VLOOKUP(AR$1,main!$A$3:$H$102,4,FALSE)+VLOOKUP($A46,main!$A$3:$H$102,4,FALSE)+(VLOOKUP(VLOOKUP(AR$1,main!$A$3:$H$102,8,FALSE),main!$K$19:$O$22,MATCH(VLOOKUP($A46,main!$A$3:$H$102,7,FALSE),main!$K$18:$O$18,0),0))),0)</f>
        <v>0</v>
      </c>
      <c r="AS46">
        <f>IF((gamma!AS46),IF(VLOOKUP(AS$1,main!$A$3:$H$102,7,FALSE)=VLOOKUP($A46,main!$A$3:$H$102,8,FALSE),VLOOKUP(AS$1,main!$A$3:$H$102,4,FALSE),VLOOKUP(AS$1,main!$A$3:$H$102,4,FALSE)+VLOOKUP($A46,main!$A$3:$H$102,4,FALSE)+(VLOOKUP(VLOOKUP(AS$1,main!$A$3:$H$102,8,FALSE),main!$K$19:$O$22,MATCH(VLOOKUP($A46,main!$A$3:$H$102,7,FALSE),main!$K$18:$O$18,0),0))),0)</f>
        <v>0</v>
      </c>
      <c r="AT46">
        <f>IF((gamma!AT46),IF(VLOOKUP(AT$1,main!$A$3:$H$102,7,FALSE)=VLOOKUP($A46,main!$A$3:$H$102,8,FALSE),VLOOKUP(AT$1,main!$A$3:$H$102,4,FALSE),VLOOKUP(AT$1,main!$A$3:$H$102,4,FALSE)+VLOOKUP($A46,main!$A$3:$H$102,4,FALSE)+(VLOOKUP(VLOOKUP(AT$1,main!$A$3:$H$102,8,FALSE),main!$K$19:$O$22,MATCH(VLOOKUP($A46,main!$A$3:$H$102,7,FALSE),main!$K$18:$O$18,0),0))),0)</f>
        <v>0</v>
      </c>
      <c r="AU46">
        <f>IF((gamma!AU46),IF(VLOOKUP(AU$1,main!$A$3:$H$102,7,FALSE)=VLOOKUP($A46,main!$A$3:$H$102,8,FALSE),VLOOKUP(AU$1,main!$A$3:$H$102,4,FALSE),VLOOKUP(AU$1,main!$A$3:$H$102,4,FALSE)+VLOOKUP($A46,main!$A$3:$H$102,4,FALSE)+(VLOOKUP(VLOOKUP(AU$1,main!$A$3:$H$102,8,FALSE),main!$K$19:$O$22,MATCH(VLOOKUP($A46,main!$A$3:$H$102,7,FALSE),main!$K$18:$O$18,0),0))),0)</f>
        <v>0</v>
      </c>
      <c r="AV46">
        <f>IF((gamma!AV46),IF(VLOOKUP(AV$1,main!$A$3:$H$102,7,FALSE)=VLOOKUP($A46,main!$A$3:$H$102,8,FALSE),VLOOKUP(AV$1,main!$A$3:$H$102,4,FALSE),VLOOKUP(AV$1,main!$A$3:$H$102,4,FALSE)+VLOOKUP($A46,main!$A$3:$H$102,4,FALSE)+(VLOOKUP(VLOOKUP(AV$1,main!$A$3:$H$102,8,FALSE),main!$K$19:$O$22,MATCH(VLOOKUP($A46,main!$A$3:$H$102,7,FALSE),main!$K$18:$O$18,0),0))),0)</f>
        <v>0</v>
      </c>
      <c r="AW46">
        <f>IF((gamma!AW46),IF(VLOOKUP(AW$1,main!$A$3:$H$102,7,FALSE)=VLOOKUP($A46,main!$A$3:$H$102,8,FALSE),VLOOKUP(AW$1,main!$A$3:$H$102,4,FALSE),VLOOKUP(AW$1,main!$A$3:$H$102,4,FALSE)+VLOOKUP($A46,main!$A$3:$H$102,4,FALSE)+(VLOOKUP(VLOOKUP(AW$1,main!$A$3:$H$102,8,FALSE),main!$K$19:$O$22,MATCH(VLOOKUP($A46,main!$A$3:$H$102,7,FALSE),main!$K$18:$O$18,0),0))),0)</f>
        <v>0</v>
      </c>
      <c r="AX46">
        <f>IF((gamma!AX46),IF(VLOOKUP(AX$1,main!$A$3:$H$102,7,FALSE)=VLOOKUP($A46,main!$A$3:$H$102,8,FALSE),VLOOKUP(AX$1,main!$A$3:$H$102,4,FALSE),VLOOKUP(AX$1,main!$A$3:$H$102,4,FALSE)+VLOOKUP($A46,main!$A$3:$H$102,4,FALSE)+(VLOOKUP(VLOOKUP(AX$1,main!$A$3:$H$102,8,FALSE),main!$K$19:$O$22,MATCH(VLOOKUP($A46,main!$A$3:$H$102,7,FALSE),main!$K$18:$O$18,0),0))),0)</f>
        <v>0</v>
      </c>
      <c r="AY46">
        <f>IF((gamma!AY46),IF(VLOOKUP(AY$1,main!$A$3:$H$102,7,FALSE)=VLOOKUP($A46,main!$A$3:$H$102,8,FALSE),VLOOKUP(AY$1,main!$A$3:$H$102,4,FALSE),VLOOKUP(AY$1,main!$A$3:$H$102,4,FALSE)+VLOOKUP($A46,main!$A$3:$H$102,4,FALSE)+(VLOOKUP(VLOOKUP(AY$1,main!$A$3:$H$102,8,FALSE),main!$K$19:$O$22,MATCH(VLOOKUP($A46,main!$A$3:$H$102,7,FALSE),main!$K$18:$O$18,0),0))),0)</f>
        <v>0</v>
      </c>
      <c r="AZ46">
        <f>IF((gamma!AZ46),IF(VLOOKUP(AZ$1,main!$A$3:$H$102,7,FALSE)=VLOOKUP($A46,main!$A$3:$H$102,8,FALSE),VLOOKUP(AZ$1,main!$A$3:$H$102,4,FALSE),VLOOKUP(AZ$1,main!$A$3:$H$102,4,FALSE)+VLOOKUP($A46,main!$A$3:$H$102,4,FALSE)+(VLOOKUP(VLOOKUP(AZ$1,main!$A$3:$H$102,8,FALSE),main!$K$19:$O$22,MATCH(VLOOKUP($A46,main!$A$3:$H$102,7,FALSE),main!$K$18:$O$18,0),0))),0)</f>
        <v>0</v>
      </c>
      <c r="BA46">
        <f>IF((gamma!BA46),IF(VLOOKUP(BA$1,main!$A$3:$H$102,7,FALSE)=VLOOKUP($A46,main!$A$3:$H$102,8,FALSE),VLOOKUP(BA$1,main!$A$3:$H$102,4,FALSE),VLOOKUP(BA$1,main!$A$3:$H$102,4,FALSE)+VLOOKUP($A46,main!$A$3:$H$102,4,FALSE)+(VLOOKUP(VLOOKUP(BA$1,main!$A$3:$H$102,8,FALSE),main!$K$19:$O$22,MATCH(VLOOKUP($A46,main!$A$3:$H$102,7,FALSE),main!$K$18:$O$18,0),0))),0)</f>
        <v>0</v>
      </c>
      <c r="BB46">
        <f>IF((gamma!BB46),IF(VLOOKUP(BB$1,main!$A$3:$H$102,7,FALSE)=VLOOKUP($A46,main!$A$3:$H$102,8,FALSE),VLOOKUP(BB$1,main!$A$3:$H$102,4,FALSE),VLOOKUP(BB$1,main!$A$3:$H$102,4,FALSE)+VLOOKUP($A46,main!$A$3:$H$102,4,FALSE)+(VLOOKUP(VLOOKUP(BB$1,main!$A$3:$H$102,8,FALSE),main!$K$19:$O$22,MATCH(VLOOKUP($A46,main!$A$3:$H$102,7,FALSE),main!$K$18:$O$18,0),0))),0)</f>
        <v>0</v>
      </c>
      <c r="BC46">
        <f>IF((gamma!BC46),IF(VLOOKUP(BC$1,main!$A$3:$H$102,7,FALSE)=VLOOKUP($A46,main!$A$3:$H$102,8,FALSE),VLOOKUP(BC$1,main!$A$3:$H$102,4,FALSE),VLOOKUP(BC$1,main!$A$3:$H$102,4,FALSE)+VLOOKUP($A46,main!$A$3:$H$102,4,FALSE)+(VLOOKUP(VLOOKUP(BC$1,main!$A$3:$H$102,8,FALSE),main!$K$19:$O$22,MATCH(VLOOKUP($A46,main!$A$3:$H$102,7,FALSE),main!$K$18:$O$18,0),0))),0)</f>
        <v>0</v>
      </c>
      <c r="BD46">
        <f>IF((gamma!BD46),IF(VLOOKUP(BD$1,main!$A$3:$H$102,7,FALSE)=VLOOKUP($A46,main!$A$3:$H$102,8,FALSE),VLOOKUP(BD$1,main!$A$3:$H$102,4,FALSE),VLOOKUP(BD$1,main!$A$3:$H$102,4,FALSE)+VLOOKUP($A46,main!$A$3:$H$102,4,FALSE)+(VLOOKUP(VLOOKUP(BD$1,main!$A$3:$H$102,8,FALSE),main!$K$19:$O$22,MATCH(VLOOKUP($A46,main!$A$3:$H$102,7,FALSE),main!$K$18:$O$18,0),0))),0)</f>
        <v>0</v>
      </c>
      <c r="BE46">
        <f>IF((gamma!BE46),IF(VLOOKUP(BE$1,main!$A$3:$H$102,7,FALSE)=VLOOKUP($A46,main!$A$3:$H$102,8,FALSE),VLOOKUP(BE$1,main!$A$3:$H$102,4,FALSE),VLOOKUP(BE$1,main!$A$3:$H$102,4,FALSE)+VLOOKUP($A46,main!$A$3:$H$102,4,FALSE)+(VLOOKUP(VLOOKUP(BE$1,main!$A$3:$H$102,8,FALSE),main!$K$19:$O$22,MATCH(VLOOKUP($A46,main!$A$3:$H$102,7,FALSE),main!$K$18:$O$18,0),0))),0)</f>
        <v>0</v>
      </c>
      <c r="BF46">
        <f>IF((gamma!BF46),IF(VLOOKUP(BF$1,main!$A$3:$H$102,7,FALSE)=VLOOKUP($A46,main!$A$3:$H$102,8,FALSE),VLOOKUP(BF$1,main!$A$3:$H$102,4,FALSE),VLOOKUP(BF$1,main!$A$3:$H$102,4,FALSE)+VLOOKUP($A46,main!$A$3:$H$102,4,FALSE)+(VLOOKUP(VLOOKUP(BF$1,main!$A$3:$H$102,8,FALSE),main!$K$19:$O$22,MATCH(VLOOKUP($A46,main!$A$3:$H$102,7,FALSE),main!$K$18:$O$18,0),0))),0)</f>
        <v>0</v>
      </c>
      <c r="BG46">
        <f>IF((gamma!BG46),IF(VLOOKUP(BG$1,main!$A$3:$H$102,7,FALSE)=VLOOKUP($A46,main!$A$3:$H$102,8,FALSE),VLOOKUP(BG$1,main!$A$3:$H$102,4,FALSE),VLOOKUP(BG$1,main!$A$3:$H$102,4,FALSE)+VLOOKUP($A46,main!$A$3:$H$102,4,FALSE)+(VLOOKUP(VLOOKUP(BG$1,main!$A$3:$H$102,8,FALSE),main!$K$19:$O$22,MATCH(VLOOKUP($A46,main!$A$3:$H$102,7,FALSE),main!$K$18:$O$18,0),0))),0)</f>
        <v>0</v>
      </c>
      <c r="BH46">
        <f>IF((gamma!BH46),IF(VLOOKUP(BH$1,main!$A$3:$H$102,7,FALSE)=VLOOKUP($A46,main!$A$3:$H$102,8,FALSE),VLOOKUP(BH$1,main!$A$3:$H$102,4,FALSE),VLOOKUP(BH$1,main!$A$3:$H$102,4,FALSE)+VLOOKUP($A46,main!$A$3:$H$102,4,FALSE)+(VLOOKUP(VLOOKUP(BH$1,main!$A$3:$H$102,8,FALSE),main!$K$19:$O$22,MATCH(VLOOKUP($A46,main!$A$3:$H$102,7,FALSE),main!$K$18:$O$18,0),0))),0)</f>
        <v>0</v>
      </c>
      <c r="BI46">
        <f>IF((gamma!BI46),IF(VLOOKUP(BI$1,main!$A$3:$H$102,7,FALSE)=VLOOKUP($A46,main!$A$3:$H$102,8,FALSE),VLOOKUP(BI$1,main!$A$3:$H$102,4,FALSE),VLOOKUP(BI$1,main!$A$3:$H$102,4,FALSE)+VLOOKUP($A46,main!$A$3:$H$102,4,FALSE)+(VLOOKUP(VLOOKUP(BI$1,main!$A$3:$H$102,8,FALSE),main!$K$19:$O$22,MATCH(VLOOKUP($A46,main!$A$3:$H$102,7,FALSE),main!$K$18:$O$18,0),0))),0)</f>
        <v>60</v>
      </c>
      <c r="BJ46">
        <f>IF((gamma!BJ46),IF(VLOOKUP(BJ$1,main!$A$3:$H$102,7,FALSE)=VLOOKUP($A46,main!$A$3:$H$102,8,FALSE),VLOOKUP(BJ$1,main!$A$3:$H$102,4,FALSE),VLOOKUP(BJ$1,main!$A$3:$H$102,4,FALSE)+VLOOKUP($A46,main!$A$3:$H$102,4,FALSE)+(VLOOKUP(VLOOKUP(BJ$1,main!$A$3:$H$102,8,FALSE),main!$K$19:$O$22,MATCH(VLOOKUP($A46,main!$A$3:$H$102,7,FALSE),main!$K$18:$O$18,0),0))),0)</f>
        <v>0</v>
      </c>
      <c r="BK46">
        <f>IF((gamma!BK46),IF(VLOOKUP(BK$1,main!$A$3:$H$102,7,FALSE)=VLOOKUP($A46,main!$A$3:$H$102,8,FALSE),VLOOKUP(BK$1,main!$A$3:$H$102,4,FALSE),VLOOKUP(BK$1,main!$A$3:$H$102,4,FALSE)+VLOOKUP($A46,main!$A$3:$H$102,4,FALSE)+(VLOOKUP(VLOOKUP(BK$1,main!$A$3:$H$102,8,FALSE),main!$K$19:$O$22,MATCH(VLOOKUP($A46,main!$A$3:$H$102,7,FALSE),main!$K$18:$O$18,0),0))),0)</f>
        <v>0</v>
      </c>
      <c r="BL46">
        <f>IF((gamma!BL46),IF(VLOOKUP(BL$1,main!$A$3:$H$102,7,FALSE)=VLOOKUP($A46,main!$A$3:$H$102,8,FALSE),VLOOKUP(BL$1,main!$A$3:$H$102,4,FALSE),VLOOKUP(BL$1,main!$A$3:$H$102,4,FALSE)+VLOOKUP($A46,main!$A$3:$H$102,4,FALSE)+(VLOOKUP(VLOOKUP(BL$1,main!$A$3:$H$102,8,FALSE),main!$K$19:$O$22,MATCH(VLOOKUP($A46,main!$A$3:$H$102,7,FALSE),main!$K$18:$O$18,0),0))),0)</f>
        <v>0</v>
      </c>
      <c r="BM46">
        <f>IF((gamma!BM46),IF(VLOOKUP(BM$1,main!$A$3:$H$102,7,FALSE)=VLOOKUP($A46,main!$A$3:$H$102,8,FALSE),VLOOKUP(BM$1,main!$A$3:$H$102,4,FALSE),VLOOKUP(BM$1,main!$A$3:$H$102,4,FALSE)+VLOOKUP($A46,main!$A$3:$H$102,4,FALSE)+(VLOOKUP(VLOOKUP(BM$1,main!$A$3:$H$102,8,FALSE),main!$K$19:$O$22,MATCH(VLOOKUP($A46,main!$A$3:$H$102,7,FALSE),main!$K$18:$O$18,0),0))),0)</f>
        <v>0</v>
      </c>
      <c r="BN46">
        <f>IF((gamma!BN46),IF(VLOOKUP(BN$1,main!$A$3:$H$102,7,FALSE)=VLOOKUP($A46,main!$A$3:$H$102,8,FALSE),VLOOKUP(BN$1,main!$A$3:$H$102,4,FALSE),VLOOKUP(BN$1,main!$A$3:$H$102,4,FALSE)+VLOOKUP($A46,main!$A$3:$H$102,4,FALSE)+(VLOOKUP(VLOOKUP(BN$1,main!$A$3:$H$102,8,FALSE),main!$K$19:$O$22,MATCH(VLOOKUP($A46,main!$A$3:$H$102,7,FALSE),main!$K$18:$O$18,0),0))),0)</f>
        <v>0</v>
      </c>
      <c r="BO46">
        <f>IF((gamma!BO46),IF(VLOOKUP(BO$1,main!$A$3:$H$102,7,FALSE)=VLOOKUP($A46,main!$A$3:$H$102,8,FALSE),VLOOKUP(BO$1,main!$A$3:$H$102,4,FALSE),VLOOKUP(BO$1,main!$A$3:$H$102,4,FALSE)+VLOOKUP($A46,main!$A$3:$H$102,4,FALSE)+(VLOOKUP(VLOOKUP(BO$1,main!$A$3:$H$102,8,FALSE),main!$K$19:$O$22,MATCH(VLOOKUP($A46,main!$A$3:$H$102,7,FALSE),main!$K$18:$O$18,0),0))),0)</f>
        <v>0</v>
      </c>
      <c r="BP46">
        <f>IF((gamma!BP46),IF(VLOOKUP(BP$1,main!$A$3:$H$102,7,FALSE)=VLOOKUP($A46,main!$A$3:$H$102,8,FALSE),VLOOKUP(BP$1,main!$A$3:$H$102,4,FALSE),VLOOKUP(BP$1,main!$A$3:$H$102,4,FALSE)+VLOOKUP($A46,main!$A$3:$H$102,4,FALSE)+(VLOOKUP(VLOOKUP(BP$1,main!$A$3:$H$102,8,FALSE),main!$K$19:$O$22,MATCH(VLOOKUP($A46,main!$A$3:$H$102,7,FALSE),main!$K$18:$O$18,0),0))),0)</f>
        <v>0</v>
      </c>
      <c r="BQ46">
        <f>IF((gamma!BQ46),IF(VLOOKUP(BQ$1,main!$A$3:$H$102,7,FALSE)=VLOOKUP($A46,main!$A$3:$H$102,8,FALSE),VLOOKUP(BQ$1,main!$A$3:$H$102,4,FALSE),VLOOKUP(BQ$1,main!$A$3:$H$102,4,FALSE)+VLOOKUP($A46,main!$A$3:$H$102,4,FALSE)+(VLOOKUP(VLOOKUP(BQ$1,main!$A$3:$H$102,8,FALSE),main!$K$19:$O$22,MATCH(VLOOKUP($A46,main!$A$3:$H$102,7,FALSE),main!$K$18:$O$18,0),0))),0)</f>
        <v>0</v>
      </c>
      <c r="BR46">
        <f>IF((gamma!BR46),IF(VLOOKUP(BR$1,main!$A$3:$H$102,7,FALSE)=VLOOKUP($A46,main!$A$3:$H$102,8,FALSE),VLOOKUP(BR$1,main!$A$3:$H$102,4,FALSE),VLOOKUP(BR$1,main!$A$3:$H$102,4,FALSE)+VLOOKUP($A46,main!$A$3:$H$102,4,FALSE)+(VLOOKUP(VLOOKUP(BR$1,main!$A$3:$H$102,8,FALSE),main!$K$19:$O$22,MATCH(VLOOKUP($A46,main!$A$3:$H$102,7,FALSE),main!$K$18:$O$18,0),0))),0)</f>
        <v>0</v>
      </c>
      <c r="BS46">
        <f>IF((gamma!BS46),IF(VLOOKUP(BS$1,main!$A$3:$H$102,7,FALSE)=VLOOKUP($A46,main!$A$3:$H$102,8,FALSE),VLOOKUP(BS$1,main!$A$3:$H$102,4,FALSE),VLOOKUP(BS$1,main!$A$3:$H$102,4,FALSE)+VLOOKUP($A46,main!$A$3:$H$102,4,FALSE)+(VLOOKUP(VLOOKUP(BS$1,main!$A$3:$H$102,8,FALSE),main!$K$19:$O$22,MATCH(VLOOKUP($A46,main!$A$3:$H$102,7,FALSE),main!$K$18:$O$18,0),0))),0)</f>
        <v>0</v>
      </c>
      <c r="BT46">
        <f>IF((gamma!BT46),IF(VLOOKUP(BT$1,main!$A$3:$H$102,7,FALSE)=VLOOKUP($A46,main!$A$3:$H$102,8,FALSE),VLOOKUP(BT$1,main!$A$3:$H$102,4,FALSE),VLOOKUP(BT$1,main!$A$3:$H$102,4,FALSE)+VLOOKUP($A46,main!$A$3:$H$102,4,FALSE)+(VLOOKUP(VLOOKUP(BT$1,main!$A$3:$H$102,8,FALSE),main!$K$19:$O$22,MATCH(VLOOKUP($A46,main!$A$3:$H$102,7,FALSE),main!$K$18:$O$18,0),0))),0)</f>
        <v>0</v>
      </c>
      <c r="BU46">
        <f>IF((gamma!BU46),IF(VLOOKUP(BU$1,main!$A$3:$H$102,7,FALSE)=VLOOKUP($A46,main!$A$3:$H$102,8,FALSE),VLOOKUP(BU$1,main!$A$3:$H$102,4,FALSE),VLOOKUP(BU$1,main!$A$3:$H$102,4,FALSE)+VLOOKUP($A46,main!$A$3:$H$102,4,FALSE)+(VLOOKUP(VLOOKUP(BU$1,main!$A$3:$H$102,8,FALSE),main!$K$19:$O$22,MATCH(VLOOKUP($A46,main!$A$3:$H$102,7,FALSE),main!$K$18:$O$18,0),0))),0)</f>
        <v>0</v>
      </c>
      <c r="BV46">
        <f>IF((gamma!BV46),IF(VLOOKUP(BV$1,main!$A$3:$H$102,7,FALSE)=VLOOKUP($A46,main!$A$3:$H$102,8,FALSE),VLOOKUP(BV$1,main!$A$3:$H$102,4,FALSE),VLOOKUP(BV$1,main!$A$3:$H$102,4,FALSE)+VLOOKUP($A46,main!$A$3:$H$102,4,FALSE)+(VLOOKUP(VLOOKUP(BV$1,main!$A$3:$H$102,8,FALSE),main!$K$19:$O$22,MATCH(VLOOKUP($A46,main!$A$3:$H$102,7,FALSE),main!$K$18:$O$18,0),0))),0)</f>
        <v>0</v>
      </c>
      <c r="BW46">
        <f>IF((gamma!BW46),IF(VLOOKUP(BW$1,main!$A$3:$H$102,7,FALSE)=VLOOKUP($A46,main!$A$3:$H$102,8,FALSE),VLOOKUP(BW$1,main!$A$3:$H$102,4,FALSE),VLOOKUP(BW$1,main!$A$3:$H$102,4,FALSE)+VLOOKUP($A46,main!$A$3:$H$102,4,FALSE)+(VLOOKUP(VLOOKUP(BW$1,main!$A$3:$H$102,8,FALSE),main!$K$19:$O$22,MATCH(VLOOKUP($A46,main!$A$3:$H$102,7,FALSE),main!$K$18:$O$18,0),0))),0)</f>
        <v>0</v>
      </c>
      <c r="BX46">
        <f>IF((gamma!BX46),IF(VLOOKUP(BX$1,main!$A$3:$H$102,7,FALSE)=VLOOKUP($A46,main!$A$3:$H$102,8,FALSE),VLOOKUP(BX$1,main!$A$3:$H$102,4,FALSE),VLOOKUP(BX$1,main!$A$3:$H$102,4,FALSE)+VLOOKUP($A46,main!$A$3:$H$102,4,FALSE)+(VLOOKUP(VLOOKUP(BX$1,main!$A$3:$H$102,8,FALSE),main!$K$19:$O$22,MATCH(VLOOKUP($A46,main!$A$3:$H$102,7,FALSE),main!$K$18:$O$18,0),0))),0)</f>
        <v>0</v>
      </c>
      <c r="BY46">
        <f>IF((gamma!BY46),IF(VLOOKUP(BY$1,main!$A$3:$H$102,7,FALSE)=VLOOKUP($A46,main!$A$3:$H$102,8,FALSE),VLOOKUP(BY$1,main!$A$3:$H$102,4,FALSE),VLOOKUP(BY$1,main!$A$3:$H$102,4,FALSE)+VLOOKUP($A46,main!$A$3:$H$102,4,FALSE)+(VLOOKUP(VLOOKUP(BY$1,main!$A$3:$H$102,8,FALSE),main!$K$19:$O$22,MATCH(VLOOKUP($A46,main!$A$3:$H$102,7,FALSE),main!$K$18:$O$18,0),0))),0)</f>
        <v>0</v>
      </c>
      <c r="BZ46">
        <f>IF((gamma!BZ46),IF(VLOOKUP(BZ$1,main!$A$3:$H$102,7,FALSE)=VLOOKUP($A46,main!$A$3:$H$102,8,FALSE),VLOOKUP(BZ$1,main!$A$3:$H$102,4,FALSE),VLOOKUP(BZ$1,main!$A$3:$H$102,4,FALSE)+VLOOKUP($A46,main!$A$3:$H$102,4,FALSE)+(VLOOKUP(VLOOKUP(BZ$1,main!$A$3:$H$102,8,FALSE),main!$K$19:$O$22,MATCH(VLOOKUP($A46,main!$A$3:$H$102,7,FALSE),main!$K$18:$O$18,0),0))),0)</f>
        <v>0</v>
      </c>
      <c r="CA46">
        <f>IF((gamma!CA46),IF(VLOOKUP(CA$1,main!$A$3:$H$102,7,FALSE)=VLOOKUP($A46,main!$A$3:$H$102,8,FALSE),VLOOKUP(CA$1,main!$A$3:$H$102,4,FALSE),VLOOKUP(CA$1,main!$A$3:$H$102,4,FALSE)+VLOOKUP($A46,main!$A$3:$H$102,4,FALSE)+(VLOOKUP(VLOOKUP(CA$1,main!$A$3:$H$102,8,FALSE),main!$K$19:$O$22,MATCH(VLOOKUP($A46,main!$A$3:$H$102,7,FALSE),main!$K$18:$O$18,0),0))),0)</f>
        <v>0</v>
      </c>
      <c r="CB46">
        <f>IF((gamma!CB46),IF(VLOOKUP(CB$1,main!$A$3:$H$102,7,FALSE)=VLOOKUP($A46,main!$A$3:$H$102,8,FALSE),VLOOKUP(CB$1,main!$A$3:$H$102,4,FALSE),VLOOKUP(CB$1,main!$A$3:$H$102,4,FALSE)+VLOOKUP($A46,main!$A$3:$H$102,4,FALSE)+(VLOOKUP(VLOOKUP(CB$1,main!$A$3:$H$102,8,FALSE),main!$K$19:$O$22,MATCH(VLOOKUP($A46,main!$A$3:$H$102,7,FALSE),main!$K$18:$O$18,0),0))),0)</f>
        <v>0</v>
      </c>
      <c r="CC46">
        <f>IF((gamma!CC46),IF(VLOOKUP(CC$1,main!$A$3:$H$102,7,FALSE)=VLOOKUP($A46,main!$A$3:$H$102,8,FALSE),VLOOKUP(CC$1,main!$A$3:$H$102,4,FALSE),VLOOKUP(CC$1,main!$A$3:$H$102,4,FALSE)+VLOOKUP($A46,main!$A$3:$H$102,4,FALSE)+(VLOOKUP(VLOOKUP(CC$1,main!$A$3:$H$102,8,FALSE),main!$K$19:$O$22,MATCH(VLOOKUP($A46,main!$A$3:$H$102,7,FALSE),main!$K$18:$O$18,0),0))),0)</f>
        <v>0</v>
      </c>
      <c r="CD46">
        <f>IF((gamma!CD46),IF(VLOOKUP(CD$1,main!$A$3:$H$102,7,FALSE)=VLOOKUP($A46,main!$A$3:$H$102,8,FALSE),VLOOKUP(CD$1,main!$A$3:$H$102,4,FALSE),VLOOKUP(CD$1,main!$A$3:$H$102,4,FALSE)+VLOOKUP($A46,main!$A$3:$H$102,4,FALSE)+(VLOOKUP(VLOOKUP(CD$1,main!$A$3:$H$102,8,FALSE),main!$K$19:$O$22,MATCH(VLOOKUP($A46,main!$A$3:$H$102,7,FALSE),main!$K$18:$O$18,0),0))),0)</f>
        <v>0</v>
      </c>
      <c r="CE46">
        <f>IF((gamma!CE46),IF(VLOOKUP(CE$1,main!$A$3:$H$102,7,FALSE)=VLOOKUP($A46,main!$A$3:$H$102,8,FALSE),VLOOKUP(CE$1,main!$A$3:$H$102,4,FALSE),VLOOKUP(CE$1,main!$A$3:$H$102,4,FALSE)+VLOOKUP($A46,main!$A$3:$H$102,4,FALSE)+(VLOOKUP(VLOOKUP(CE$1,main!$A$3:$H$102,8,FALSE),main!$K$19:$O$22,MATCH(VLOOKUP($A46,main!$A$3:$H$102,7,FALSE),main!$K$18:$O$18,0),0))),0)</f>
        <v>0</v>
      </c>
      <c r="CF46">
        <f>IF((gamma!CF46),IF(VLOOKUP(CF$1,main!$A$3:$H$102,7,FALSE)=VLOOKUP($A46,main!$A$3:$H$102,8,FALSE),VLOOKUP(CF$1,main!$A$3:$H$102,4,FALSE),VLOOKUP(CF$1,main!$A$3:$H$102,4,FALSE)+VLOOKUP($A46,main!$A$3:$H$102,4,FALSE)+(VLOOKUP(VLOOKUP(CF$1,main!$A$3:$H$102,8,FALSE),main!$K$19:$O$22,MATCH(VLOOKUP($A46,main!$A$3:$H$102,7,FALSE),main!$K$18:$O$18,0),0))),0)</f>
        <v>0</v>
      </c>
      <c r="CG46">
        <f>IF((gamma!CG46),IF(VLOOKUP(CG$1,main!$A$3:$H$102,7,FALSE)=VLOOKUP($A46,main!$A$3:$H$102,8,FALSE),VLOOKUP(CG$1,main!$A$3:$H$102,4,FALSE),VLOOKUP(CG$1,main!$A$3:$H$102,4,FALSE)+VLOOKUP($A46,main!$A$3:$H$102,4,FALSE)+(VLOOKUP(VLOOKUP(CG$1,main!$A$3:$H$102,8,FALSE),main!$K$19:$O$22,MATCH(VLOOKUP($A46,main!$A$3:$H$102,7,FALSE),main!$K$18:$O$18,0),0))),0)</f>
        <v>0</v>
      </c>
      <c r="CH46">
        <f>IF((gamma!CH46),IF(VLOOKUP(CH$1,main!$A$3:$H$102,7,FALSE)=VLOOKUP($A46,main!$A$3:$H$102,8,FALSE),VLOOKUP(CH$1,main!$A$3:$H$102,4,FALSE),VLOOKUP(CH$1,main!$A$3:$H$102,4,FALSE)+VLOOKUP($A46,main!$A$3:$H$102,4,FALSE)+(VLOOKUP(VLOOKUP(CH$1,main!$A$3:$H$102,8,FALSE),main!$K$19:$O$22,MATCH(VLOOKUP($A46,main!$A$3:$H$102,7,FALSE),main!$K$18:$O$18,0),0))),0)</f>
        <v>0</v>
      </c>
      <c r="CI46">
        <f>IF((gamma!CI46),IF(VLOOKUP(CI$1,main!$A$3:$H$102,7,FALSE)=VLOOKUP($A46,main!$A$3:$H$102,8,FALSE),VLOOKUP(CI$1,main!$A$3:$H$102,4,FALSE),VLOOKUP(CI$1,main!$A$3:$H$102,4,FALSE)+VLOOKUP($A46,main!$A$3:$H$102,4,FALSE)+(VLOOKUP(VLOOKUP(CI$1,main!$A$3:$H$102,8,FALSE),main!$K$19:$O$22,MATCH(VLOOKUP($A46,main!$A$3:$H$102,7,FALSE),main!$K$18:$O$18,0),0))),0)</f>
        <v>295</v>
      </c>
      <c r="CJ46">
        <f>IF((gamma!CJ46),IF(VLOOKUP(CJ$1,main!$A$3:$H$102,7,FALSE)=VLOOKUP($A46,main!$A$3:$H$102,8,FALSE),VLOOKUP(CJ$1,main!$A$3:$H$102,4,FALSE),VLOOKUP(CJ$1,main!$A$3:$H$102,4,FALSE)+VLOOKUP($A46,main!$A$3:$H$102,4,FALSE)+(VLOOKUP(VLOOKUP(CJ$1,main!$A$3:$H$102,8,FALSE),main!$K$19:$O$22,MATCH(VLOOKUP($A46,main!$A$3:$H$102,7,FALSE),main!$K$18:$O$18,0),0))),0)</f>
        <v>0</v>
      </c>
      <c r="CK46">
        <f>IF((gamma!CK46),IF(VLOOKUP(CK$1,main!$A$3:$H$102,7,FALSE)=VLOOKUP($A46,main!$A$3:$H$102,8,FALSE),VLOOKUP(CK$1,main!$A$3:$H$102,4,FALSE),VLOOKUP(CK$1,main!$A$3:$H$102,4,FALSE)+VLOOKUP($A46,main!$A$3:$H$102,4,FALSE)+(VLOOKUP(VLOOKUP(CK$1,main!$A$3:$H$102,8,FALSE),main!$K$19:$O$22,MATCH(VLOOKUP($A46,main!$A$3:$H$102,7,FALSE),main!$K$18:$O$18,0),0))),0)</f>
        <v>0</v>
      </c>
      <c r="CL46">
        <f>IF((gamma!CL46),IF(VLOOKUP(CL$1,main!$A$3:$H$102,7,FALSE)=VLOOKUP($A46,main!$A$3:$H$102,8,FALSE),VLOOKUP(CL$1,main!$A$3:$H$102,4,FALSE),VLOOKUP(CL$1,main!$A$3:$H$102,4,FALSE)+VLOOKUP($A46,main!$A$3:$H$102,4,FALSE)+(VLOOKUP(VLOOKUP(CL$1,main!$A$3:$H$102,8,FALSE),main!$K$19:$O$22,MATCH(VLOOKUP($A46,main!$A$3:$H$102,7,FALSE),main!$K$18:$O$18,0),0))),0)</f>
        <v>0</v>
      </c>
      <c r="CM46">
        <f>IF((gamma!CM46),IF(VLOOKUP(CM$1,main!$A$3:$H$102,7,FALSE)=VLOOKUP($A46,main!$A$3:$H$102,8,FALSE),VLOOKUP(CM$1,main!$A$3:$H$102,4,FALSE),VLOOKUP(CM$1,main!$A$3:$H$102,4,FALSE)+VLOOKUP($A46,main!$A$3:$H$102,4,FALSE)+(VLOOKUP(VLOOKUP(CM$1,main!$A$3:$H$102,8,FALSE),main!$K$19:$O$22,MATCH(VLOOKUP($A46,main!$A$3:$H$102,7,FALSE),main!$K$18:$O$18,0),0))),0)</f>
        <v>0</v>
      </c>
      <c r="CN46">
        <f>IF((gamma!CN46),IF(VLOOKUP(CN$1,main!$A$3:$H$102,7,FALSE)=VLOOKUP($A46,main!$A$3:$H$102,8,FALSE),VLOOKUP(CN$1,main!$A$3:$H$102,4,FALSE),VLOOKUP(CN$1,main!$A$3:$H$102,4,FALSE)+VLOOKUP($A46,main!$A$3:$H$102,4,FALSE)+(VLOOKUP(VLOOKUP(CN$1,main!$A$3:$H$102,8,FALSE),main!$K$19:$O$22,MATCH(VLOOKUP($A46,main!$A$3:$H$102,7,FALSE),main!$K$18:$O$18,0),0))),0)</f>
        <v>251</v>
      </c>
      <c r="CO46">
        <f>IF((gamma!CO46),IF(VLOOKUP(CO$1,main!$A$3:$H$102,7,FALSE)=VLOOKUP($A46,main!$A$3:$H$102,8,FALSE),VLOOKUP(CO$1,main!$A$3:$H$102,4,FALSE),VLOOKUP(CO$1,main!$A$3:$H$102,4,FALSE)+VLOOKUP($A46,main!$A$3:$H$102,4,FALSE)+(VLOOKUP(VLOOKUP(CO$1,main!$A$3:$H$102,8,FALSE),main!$K$19:$O$22,MATCH(VLOOKUP($A46,main!$A$3:$H$102,7,FALSE),main!$K$18:$O$18,0),0))),0)</f>
        <v>0</v>
      </c>
      <c r="CP46">
        <f>IF((gamma!CP46),IF(VLOOKUP(CP$1,main!$A$3:$H$102,7,FALSE)=VLOOKUP($A46,main!$A$3:$H$102,8,FALSE),VLOOKUP(CP$1,main!$A$3:$H$102,4,FALSE),VLOOKUP(CP$1,main!$A$3:$H$102,4,FALSE)+VLOOKUP($A46,main!$A$3:$H$102,4,FALSE)+(VLOOKUP(VLOOKUP(CP$1,main!$A$3:$H$102,8,FALSE),main!$K$19:$O$22,MATCH(VLOOKUP($A46,main!$A$3:$H$102,7,FALSE),main!$K$18:$O$18,0),0))),0)</f>
        <v>0</v>
      </c>
      <c r="CQ46">
        <f>IF((gamma!CQ46),IF(VLOOKUP(CQ$1,main!$A$3:$H$102,7,FALSE)=VLOOKUP($A46,main!$A$3:$H$102,8,FALSE),VLOOKUP(CQ$1,main!$A$3:$H$102,4,FALSE),VLOOKUP(CQ$1,main!$A$3:$H$102,4,FALSE)+VLOOKUP($A46,main!$A$3:$H$102,4,FALSE)+(VLOOKUP(VLOOKUP(CQ$1,main!$A$3:$H$102,8,FALSE),main!$K$19:$O$22,MATCH(VLOOKUP($A46,main!$A$3:$H$102,7,FALSE),main!$K$18:$O$18,0),0))),0)</f>
        <v>0</v>
      </c>
      <c r="CR46">
        <f>IF((gamma!CR46),IF(VLOOKUP(CR$1,main!$A$3:$H$102,7,FALSE)=VLOOKUP($A46,main!$A$3:$H$102,8,FALSE),VLOOKUP(CR$1,main!$A$3:$H$102,4,FALSE),VLOOKUP(CR$1,main!$A$3:$H$102,4,FALSE)+VLOOKUP($A46,main!$A$3:$H$102,4,FALSE)+(VLOOKUP(VLOOKUP(CR$1,main!$A$3:$H$102,8,FALSE),main!$K$19:$O$22,MATCH(VLOOKUP($A46,main!$A$3:$H$102,7,FALSE),main!$K$18:$O$18,0),0))),0)</f>
        <v>0</v>
      </c>
      <c r="CS46">
        <f>IF((gamma!CS46),IF(VLOOKUP(CS$1,main!$A$3:$H$102,7,FALSE)=VLOOKUP($A46,main!$A$3:$H$102,8,FALSE),VLOOKUP(CS$1,main!$A$3:$H$102,4,FALSE),VLOOKUP(CS$1,main!$A$3:$H$102,4,FALSE)+VLOOKUP($A46,main!$A$3:$H$102,4,FALSE)+(VLOOKUP(VLOOKUP(CS$1,main!$A$3:$H$102,8,FALSE),main!$K$19:$O$22,MATCH(VLOOKUP($A46,main!$A$3:$H$102,7,FALSE),main!$K$18:$O$18,0),0))),0)</f>
        <v>0</v>
      </c>
      <c r="CT46">
        <f>IF((gamma!CT46),IF(VLOOKUP(CT$1,main!$A$3:$H$102,7,FALSE)=VLOOKUP($A46,main!$A$3:$H$102,8,FALSE),VLOOKUP(CT$1,main!$A$3:$H$102,4,FALSE),VLOOKUP(CT$1,main!$A$3:$H$102,4,FALSE)+VLOOKUP($A46,main!$A$3:$H$102,4,FALSE)+(VLOOKUP(VLOOKUP(CT$1,main!$A$3:$H$102,8,FALSE),main!$K$19:$O$22,MATCH(VLOOKUP($A46,main!$A$3:$H$102,7,FALSE),main!$K$18:$O$18,0),0))),0)</f>
        <v>0</v>
      </c>
      <c r="CU46">
        <f>IF((gamma!CU46),IF(VLOOKUP(CU$1,main!$A$3:$H$102,7,FALSE)=VLOOKUP($A46,main!$A$3:$H$102,8,FALSE),VLOOKUP(CU$1,main!$A$3:$H$102,4,FALSE),VLOOKUP(CU$1,main!$A$3:$H$102,4,FALSE)+VLOOKUP($A46,main!$A$3:$H$102,4,FALSE)+(VLOOKUP(VLOOKUP(CU$1,main!$A$3:$H$102,8,FALSE),main!$K$19:$O$22,MATCH(VLOOKUP($A46,main!$A$3:$H$102,7,FALSE),main!$K$18:$O$18,0),0))),0)</f>
        <v>0</v>
      </c>
      <c r="CV46">
        <f>IF((gamma!CV46),IF(VLOOKUP(CV$1,main!$A$3:$H$102,7,FALSE)=VLOOKUP($A46,main!$A$3:$H$102,8,FALSE),VLOOKUP(CV$1,main!$A$3:$H$102,4,FALSE),VLOOKUP(CV$1,main!$A$3:$H$102,4,FALSE)+VLOOKUP($A46,main!$A$3:$H$102,4,FALSE)+(VLOOKUP(VLOOKUP(CV$1,main!$A$3:$H$102,8,FALSE),main!$K$19:$O$22,MATCH(VLOOKUP($A46,main!$A$3:$H$102,7,FALSE),main!$K$18:$O$18,0),0))),0)</f>
        <v>0</v>
      </c>
      <c r="CW46">
        <f>IF((gamma!CW46),IF(VLOOKUP(CW$1,main!$A$3:$H$102,7,FALSE)=VLOOKUP($A46,main!$A$3:$H$102,8,FALSE),VLOOKUP(CW$1,main!$A$3:$H$102,4,FALSE),VLOOKUP(CW$1,main!$A$3:$H$102,4,FALSE)+VLOOKUP($A46,main!$A$3:$H$102,4,FALSE)+(VLOOKUP(VLOOKUP(CW$1,main!$A$3:$H$102,8,FALSE),main!$K$19:$O$22,MATCH(VLOOKUP($A46,main!$A$3:$H$102,7,FALSE),main!$K$18:$O$18,0),0))),0)</f>
        <v>0</v>
      </c>
      <c r="CX46">
        <f>IF((gamma!CX46),IF(VLOOKUP(CX$1,main!$A$3:$H$102,7,FALSE)=VLOOKUP($A46,main!$A$3:$H$102,8,FALSE),VLOOKUP(CX$1,main!$A$3:$H$102,4,FALSE),VLOOKUP(CX$1,main!$A$3:$H$102,4,FALSE)+VLOOKUP($A46,main!$A$3:$H$102,4,FALSE)+(VLOOKUP(VLOOKUP(CX$1,main!$A$3:$H$102,8,FALSE),main!$K$19:$O$22,MATCH(VLOOKUP($A46,main!$A$3:$H$102,7,FALSE),main!$K$18:$O$18,0),0))),0)</f>
        <v>0</v>
      </c>
      <c r="CY46">
        <v>0</v>
      </c>
      <c r="CZ46">
        <v>0</v>
      </c>
      <c r="DA46">
        <v>0</v>
      </c>
    </row>
    <row r="47" spans="1:105" x14ac:dyDescent="0.25">
      <c r="A47" s="1">
        <v>45</v>
      </c>
      <c r="B47">
        <v>0</v>
      </c>
      <c r="C47">
        <f>IF((gamma!C47),IF(VLOOKUP(C$1,main!$A$3:$H$102,7,FALSE)=VLOOKUP($A47,main!$A$3:$H$102,8,FALSE),VLOOKUP(C$1,main!$A$3:$H$102,4,FALSE),VLOOKUP(C$1,main!$A$3:$H$102,4,FALSE)+VLOOKUP($A47,main!$A$3:$H$102,4,FALSE)+(VLOOKUP(VLOOKUP(C$1,main!$A$3:$H$102,8,FALSE),main!$K$19:$O$22,MATCH(VLOOKUP($A47,main!$A$3:$H$102,7,FALSE),main!$K$18:$O$18,0),0))),0)</f>
        <v>0</v>
      </c>
      <c r="D47">
        <f>IF((gamma!D47),IF(VLOOKUP(D$1,main!$A$3:$H$102,7,FALSE)=VLOOKUP($A47,main!$A$3:$H$102,8,FALSE),VLOOKUP(D$1,main!$A$3:$H$102,4,FALSE),VLOOKUP(D$1,main!$A$3:$H$102,4,FALSE)+VLOOKUP($A47,main!$A$3:$H$102,4,FALSE)+(VLOOKUP(VLOOKUP(D$1,main!$A$3:$H$102,8,FALSE),main!$K$19:$O$22,MATCH(VLOOKUP($A47,main!$A$3:$H$102,7,FALSE),main!$K$18:$O$18,0),0))),0)</f>
        <v>0</v>
      </c>
      <c r="E47">
        <f>IF((gamma!E47),IF(VLOOKUP(E$1,main!$A$3:$H$102,7,FALSE)=VLOOKUP($A47,main!$A$3:$H$102,8,FALSE),VLOOKUP(E$1,main!$A$3:$H$102,4,FALSE),VLOOKUP(E$1,main!$A$3:$H$102,4,FALSE)+VLOOKUP($A47,main!$A$3:$H$102,4,FALSE)+(VLOOKUP(VLOOKUP(E$1,main!$A$3:$H$102,8,FALSE),main!$K$19:$O$22,MATCH(VLOOKUP($A47,main!$A$3:$H$102,7,FALSE),main!$K$18:$O$18,0),0))),0)</f>
        <v>205</v>
      </c>
      <c r="F47">
        <f>IF((gamma!F47),IF(VLOOKUP(F$1,main!$A$3:$H$102,7,FALSE)=VLOOKUP($A47,main!$A$3:$H$102,8,FALSE),VLOOKUP(F$1,main!$A$3:$H$102,4,FALSE),VLOOKUP(F$1,main!$A$3:$H$102,4,FALSE)+VLOOKUP($A47,main!$A$3:$H$102,4,FALSE)+(VLOOKUP(VLOOKUP(F$1,main!$A$3:$H$102,8,FALSE),main!$K$19:$O$22,MATCH(VLOOKUP($A47,main!$A$3:$H$102,7,FALSE),main!$K$18:$O$18,0),0))),0)</f>
        <v>205</v>
      </c>
      <c r="G47">
        <f>IF((gamma!G47),IF(VLOOKUP(G$1,main!$A$3:$H$102,7,FALSE)=VLOOKUP($A47,main!$A$3:$H$102,8,FALSE),VLOOKUP(G$1,main!$A$3:$H$102,4,FALSE),VLOOKUP(G$1,main!$A$3:$H$102,4,FALSE)+VLOOKUP($A47,main!$A$3:$H$102,4,FALSE)+(VLOOKUP(VLOOKUP(G$1,main!$A$3:$H$102,8,FALSE),main!$K$19:$O$22,MATCH(VLOOKUP($A47,main!$A$3:$H$102,7,FALSE),main!$K$18:$O$18,0),0))),0)</f>
        <v>205</v>
      </c>
      <c r="H47">
        <f>IF((gamma!H47),IF(VLOOKUP(H$1,main!$A$3:$H$102,7,FALSE)=VLOOKUP($A47,main!$A$3:$H$102,8,FALSE),VLOOKUP(H$1,main!$A$3:$H$102,4,FALSE),VLOOKUP(H$1,main!$A$3:$H$102,4,FALSE)+VLOOKUP($A47,main!$A$3:$H$102,4,FALSE)+(VLOOKUP(VLOOKUP(H$1,main!$A$3:$H$102,8,FALSE),main!$K$19:$O$22,MATCH(VLOOKUP($A47,main!$A$3:$H$102,7,FALSE),main!$K$18:$O$18,0),0))),0)</f>
        <v>205</v>
      </c>
      <c r="I47">
        <f>IF((gamma!I47),IF(VLOOKUP(I$1,main!$A$3:$H$102,7,FALSE)=VLOOKUP($A47,main!$A$3:$H$102,8,FALSE),VLOOKUP(I$1,main!$A$3:$H$102,4,FALSE),VLOOKUP(I$1,main!$A$3:$H$102,4,FALSE)+VLOOKUP($A47,main!$A$3:$H$102,4,FALSE)+(VLOOKUP(VLOOKUP(I$1,main!$A$3:$H$102,8,FALSE),main!$K$19:$O$22,MATCH(VLOOKUP($A47,main!$A$3:$H$102,7,FALSE),main!$K$18:$O$18,0),0))),0)</f>
        <v>205</v>
      </c>
      <c r="J47">
        <f>IF((gamma!J47),IF(VLOOKUP(J$1,main!$A$3:$H$102,7,FALSE)=VLOOKUP($A47,main!$A$3:$H$102,8,FALSE),VLOOKUP(J$1,main!$A$3:$H$102,4,FALSE),VLOOKUP(J$1,main!$A$3:$H$102,4,FALSE)+VLOOKUP($A47,main!$A$3:$H$102,4,FALSE)+(VLOOKUP(VLOOKUP(J$1,main!$A$3:$H$102,8,FALSE),main!$K$19:$O$22,MATCH(VLOOKUP($A47,main!$A$3:$H$102,7,FALSE),main!$K$18:$O$18,0),0))),0)</f>
        <v>205</v>
      </c>
      <c r="K47">
        <f>IF((gamma!K47),IF(VLOOKUP(K$1,main!$A$3:$H$102,7,FALSE)=VLOOKUP($A47,main!$A$3:$H$102,8,FALSE),VLOOKUP(K$1,main!$A$3:$H$102,4,FALSE),VLOOKUP(K$1,main!$A$3:$H$102,4,FALSE)+VLOOKUP($A47,main!$A$3:$H$102,4,FALSE)+(VLOOKUP(VLOOKUP(K$1,main!$A$3:$H$102,8,FALSE),main!$K$19:$O$22,MATCH(VLOOKUP($A47,main!$A$3:$H$102,7,FALSE),main!$K$18:$O$18,0),0))),0)</f>
        <v>205</v>
      </c>
      <c r="L47">
        <f>IF((gamma!L47),IF(VLOOKUP(L$1,main!$A$3:$H$102,7,FALSE)=VLOOKUP($A47,main!$A$3:$H$102,8,FALSE),VLOOKUP(L$1,main!$A$3:$H$102,4,FALSE),VLOOKUP(L$1,main!$A$3:$H$102,4,FALSE)+VLOOKUP($A47,main!$A$3:$H$102,4,FALSE)+(VLOOKUP(VLOOKUP(L$1,main!$A$3:$H$102,8,FALSE),main!$K$19:$O$22,MATCH(VLOOKUP($A47,main!$A$3:$H$102,7,FALSE),main!$K$18:$O$18,0),0))),0)</f>
        <v>205</v>
      </c>
      <c r="M47">
        <f>IF((gamma!M47),IF(VLOOKUP(M$1,main!$A$3:$H$102,7,FALSE)=VLOOKUP($A47,main!$A$3:$H$102,8,FALSE),VLOOKUP(M$1,main!$A$3:$H$102,4,FALSE),VLOOKUP(M$1,main!$A$3:$H$102,4,FALSE)+VLOOKUP($A47,main!$A$3:$H$102,4,FALSE)+(VLOOKUP(VLOOKUP(M$1,main!$A$3:$H$102,8,FALSE),main!$K$19:$O$22,MATCH(VLOOKUP($A47,main!$A$3:$H$102,7,FALSE),main!$K$18:$O$18,0),0))),0)</f>
        <v>0</v>
      </c>
      <c r="N47">
        <f>IF((gamma!N47),IF(VLOOKUP(N$1,main!$A$3:$H$102,7,FALSE)=VLOOKUP($A47,main!$A$3:$H$102,8,FALSE),VLOOKUP(N$1,main!$A$3:$H$102,4,FALSE),VLOOKUP(N$1,main!$A$3:$H$102,4,FALSE)+VLOOKUP($A47,main!$A$3:$H$102,4,FALSE)+(VLOOKUP(VLOOKUP(N$1,main!$A$3:$H$102,8,FALSE),main!$K$19:$O$22,MATCH(VLOOKUP($A47,main!$A$3:$H$102,7,FALSE),main!$K$18:$O$18,0),0))),0)</f>
        <v>238</v>
      </c>
      <c r="O47">
        <f>IF((gamma!O47),IF(VLOOKUP(O$1,main!$A$3:$H$102,7,FALSE)=VLOOKUP($A47,main!$A$3:$H$102,8,FALSE),VLOOKUP(O$1,main!$A$3:$H$102,4,FALSE),VLOOKUP(O$1,main!$A$3:$H$102,4,FALSE)+VLOOKUP($A47,main!$A$3:$H$102,4,FALSE)+(VLOOKUP(VLOOKUP(O$1,main!$A$3:$H$102,8,FALSE),main!$K$19:$O$22,MATCH(VLOOKUP($A47,main!$A$3:$H$102,7,FALSE),main!$K$18:$O$18,0),0))),0)</f>
        <v>238</v>
      </c>
      <c r="P47">
        <f>IF((gamma!P47),IF(VLOOKUP(P$1,main!$A$3:$H$102,7,FALSE)=VLOOKUP($A47,main!$A$3:$H$102,8,FALSE),VLOOKUP(P$1,main!$A$3:$H$102,4,FALSE),VLOOKUP(P$1,main!$A$3:$H$102,4,FALSE)+VLOOKUP($A47,main!$A$3:$H$102,4,FALSE)+(VLOOKUP(VLOOKUP(P$1,main!$A$3:$H$102,8,FALSE),main!$K$19:$O$22,MATCH(VLOOKUP($A47,main!$A$3:$H$102,7,FALSE),main!$K$18:$O$18,0),0))),0)</f>
        <v>238</v>
      </c>
      <c r="Q47">
        <f>IF((gamma!Q47),IF(VLOOKUP(Q$1,main!$A$3:$H$102,7,FALSE)=VLOOKUP($A47,main!$A$3:$H$102,8,FALSE),VLOOKUP(Q$1,main!$A$3:$H$102,4,FALSE),VLOOKUP(Q$1,main!$A$3:$H$102,4,FALSE)+VLOOKUP($A47,main!$A$3:$H$102,4,FALSE)+(VLOOKUP(VLOOKUP(Q$1,main!$A$3:$H$102,8,FALSE),main!$K$19:$O$22,MATCH(VLOOKUP($A47,main!$A$3:$H$102,7,FALSE),main!$K$18:$O$18,0),0))),0)</f>
        <v>238</v>
      </c>
      <c r="R47">
        <f>IF((gamma!R47),IF(VLOOKUP(R$1,main!$A$3:$H$102,7,FALSE)=VLOOKUP($A47,main!$A$3:$H$102,8,FALSE),VLOOKUP(R$1,main!$A$3:$H$102,4,FALSE),VLOOKUP(R$1,main!$A$3:$H$102,4,FALSE)+VLOOKUP($A47,main!$A$3:$H$102,4,FALSE)+(VLOOKUP(VLOOKUP(R$1,main!$A$3:$H$102,8,FALSE),main!$K$19:$O$22,MATCH(VLOOKUP($A47,main!$A$3:$H$102,7,FALSE),main!$K$18:$O$18,0),0))),0)</f>
        <v>238</v>
      </c>
      <c r="S47">
        <f>IF((gamma!S47),IF(VLOOKUP(S$1,main!$A$3:$H$102,7,FALSE)=VLOOKUP($A47,main!$A$3:$H$102,8,FALSE),VLOOKUP(S$1,main!$A$3:$H$102,4,FALSE),VLOOKUP(S$1,main!$A$3:$H$102,4,FALSE)+VLOOKUP($A47,main!$A$3:$H$102,4,FALSE)+(VLOOKUP(VLOOKUP(S$1,main!$A$3:$H$102,8,FALSE),main!$K$19:$O$22,MATCH(VLOOKUP($A47,main!$A$3:$H$102,7,FALSE),main!$K$18:$O$18,0),0))),0)</f>
        <v>238</v>
      </c>
      <c r="T47">
        <f>IF((gamma!T47),IF(VLOOKUP(T$1,main!$A$3:$H$102,7,FALSE)=VLOOKUP($A47,main!$A$3:$H$102,8,FALSE),VLOOKUP(T$1,main!$A$3:$H$102,4,FALSE),VLOOKUP(T$1,main!$A$3:$H$102,4,FALSE)+VLOOKUP($A47,main!$A$3:$H$102,4,FALSE)+(VLOOKUP(VLOOKUP(T$1,main!$A$3:$H$102,8,FALSE),main!$K$19:$O$22,MATCH(VLOOKUP($A47,main!$A$3:$H$102,7,FALSE),main!$K$18:$O$18,0),0))),0)</f>
        <v>238</v>
      </c>
      <c r="U47">
        <f>IF((gamma!U47),IF(VLOOKUP(U$1,main!$A$3:$H$102,7,FALSE)=VLOOKUP($A47,main!$A$3:$H$102,8,FALSE),VLOOKUP(U$1,main!$A$3:$H$102,4,FALSE),VLOOKUP(U$1,main!$A$3:$H$102,4,FALSE)+VLOOKUP($A47,main!$A$3:$H$102,4,FALSE)+(VLOOKUP(VLOOKUP(U$1,main!$A$3:$H$102,8,FALSE),main!$K$19:$O$22,MATCH(VLOOKUP($A47,main!$A$3:$H$102,7,FALSE),main!$K$18:$O$18,0),0))),0)</f>
        <v>238</v>
      </c>
      <c r="V47">
        <f>IF((gamma!V47),IF(VLOOKUP(V$1,main!$A$3:$H$102,7,FALSE)=VLOOKUP($A47,main!$A$3:$H$102,8,FALSE),VLOOKUP(V$1,main!$A$3:$H$102,4,FALSE),VLOOKUP(V$1,main!$A$3:$H$102,4,FALSE)+VLOOKUP($A47,main!$A$3:$H$102,4,FALSE)+(VLOOKUP(VLOOKUP(V$1,main!$A$3:$H$102,8,FALSE),main!$K$19:$O$22,MATCH(VLOOKUP($A47,main!$A$3:$H$102,7,FALSE),main!$K$18:$O$18,0),0))),0)</f>
        <v>238</v>
      </c>
      <c r="W47">
        <f>IF((gamma!W47),IF(VLOOKUP(W$1,main!$A$3:$H$102,7,FALSE)=VLOOKUP($A47,main!$A$3:$H$102,8,FALSE),VLOOKUP(W$1,main!$A$3:$H$102,4,FALSE),VLOOKUP(W$1,main!$A$3:$H$102,4,FALSE)+VLOOKUP($A47,main!$A$3:$H$102,4,FALSE)+(VLOOKUP(VLOOKUP(W$1,main!$A$3:$H$102,8,FALSE),main!$K$19:$O$22,MATCH(VLOOKUP($A47,main!$A$3:$H$102,7,FALSE),main!$K$18:$O$18,0),0))),0)</f>
        <v>0</v>
      </c>
      <c r="X47">
        <f>IF((gamma!X47),IF(VLOOKUP(X$1,main!$A$3:$H$102,7,FALSE)=VLOOKUP($A47,main!$A$3:$H$102,8,FALSE),VLOOKUP(X$1,main!$A$3:$H$102,4,FALSE),VLOOKUP(X$1,main!$A$3:$H$102,4,FALSE)+VLOOKUP($A47,main!$A$3:$H$102,4,FALSE)+(VLOOKUP(VLOOKUP(X$1,main!$A$3:$H$102,8,FALSE),main!$K$19:$O$22,MATCH(VLOOKUP($A47,main!$A$3:$H$102,7,FALSE),main!$K$18:$O$18,0),0))),0)</f>
        <v>250</v>
      </c>
      <c r="Y47">
        <f>IF((gamma!Y47),IF(VLOOKUP(Y$1,main!$A$3:$H$102,7,FALSE)=VLOOKUP($A47,main!$A$3:$H$102,8,FALSE),VLOOKUP(Y$1,main!$A$3:$H$102,4,FALSE),VLOOKUP(Y$1,main!$A$3:$H$102,4,FALSE)+VLOOKUP($A47,main!$A$3:$H$102,4,FALSE)+(VLOOKUP(VLOOKUP(Y$1,main!$A$3:$H$102,8,FALSE),main!$K$19:$O$22,MATCH(VLOOKUP($A47,main!$A$3:$H$102,7,FALSE),main!$K$18:$O$18,0),0))),0)</f>
        <v>245</v>
      </c>
      <c r="Z47">
        <f>IF((gamma!Z47),IF(VLOOKUP(Z$1,main!$A$3:$H$102,7,FALSE)=VLOOKUP($A47,main!$A$3:$H$102,8,FALSE),VLOOKUP(Z$1,main!$A$3:$H$102,4,FALSE),VLOOKUP(Z$1,main!$A$3:$H$102,4,FALSE)+VLOOKUP($A47,main!$A$3:$H$102,4,FALSE)+(VLOOKUP(VLOOKUP(Z$1,main!$A$3:$H$102,8,FALSE),main!$K$19:$O$22,MATCH(VLOOKUP($A47,main!$A$3:$H$102,7,FALSE),main!$K$18:$O$18,0),0))),0)</f>
        <v>250</v>
      </c>
      <c r="AA47">
        <f>IF((gamma!AA47),IF(VLOOKUP(AA$1,main!$A$3:$H$102,7,FALSE)=VLOOKUP($A47,main!$A$3:$H$102,8,FALSE),VLOOKUP(AA$1,main!$A$3:$H$102,4,FALSE),VLOOKUP(AA$1,main!$A$3:$H$102,4,FALSE)+VLOOKUP($A47,main!$A$3:$H$102,4,FALSE)+(VLOOKUP(VLOOKUP(AA$1,main!$A$3:$H$102,8,FALSE),main!$K$19:$O$22,MATCH(VLOOKUP($A47,main!$A$3:$H$102,7,FALSE),main!$K$18:$O$18,0),0))),0)</f>
        <v>250</v>
      </c>
      <c r="AB47">
        <f>IF((gamma!AB47),IF(VLOOKUP(AB$1,main!$A$3:$H$102,7,FALSE)=VLOOKUP($A47,main!$A$3:$H$102,8,FALSE),VLOOKUP(AB$1,main!$A$3:$H$102,4,FALSE),VLOOKUP(AB$1,main!$A$3:$H$102,4,FALSE)+VLOOKUP($A47,main!$A$3:$H$102,4,FALSE)+(VLOOKUP(VLOOKUP(AB$1,main!$A$3:$H$102,8,FALSE),main!$K$19:$O$22,MATCH(VLOOKUP($A47,main!$A$3:$H$102,7,FALSE),main!$K$18:$O$18,0),0))),0)</f>
        <v>0</v>
      </c>
      <c r="AC47">
        <f>IF((gamma!AC47),IF(VLOOKUP(AC$1,main!$A$3:$H$102,7,FALSE)=VLOOKUP($A47,main!$A$3:$H$102,8,FALSE),VLOOKUP(AC$1,main!$A$3:$H$102,4,FALSE),VLOOKUP(AC$1,main!$A$3:$H$102,4,FALSE)+VLOOKUP($A47,main!$A$3:$H$102,4,FALSE)+(VLOOKUP(VLOOKUP(AC$1,main!$A$3:$H$102,8,FALSE),main!$K$19:$O$22,MATCH(VLOOKUP($A47,main!$A$3:$H$102,7,FALSE),main!$K$18:$O$18,0),0))),0)</f>
        <v>0</v>
      </c>
      <c r="AD47">
        <f>IF((gamma!AD47),IF(VLOOKUP(AD$1,main!$A$3:$H$102,7,FALSE)=VLOOKUP($A47,main!$A$3:$H$102,8,FALSE),VLOOKUP(AD$1,main!$A$3:$H$102,4,FALSE),VLOOKUP(AD$1,main!$A$3:$H$102,4,FALSE)+VLOOKUP($A47,main!$A$3:$H$102,4,FALSE)+(VLOOKUP(VLOOKUP(AD$1,main!$A$3:$H$102,8,FALSE),main!$K$19:$O$22,MATCH(VLOOKUP($A47,main!$A$3:$H$102,7,FALSE),main!$K$18:$O$18,0),0))),0)</f>
        <v>245</v>
      </c>
      <c r="AE47">
        <f>IF((gamma!AE47),IF(VLOOKUP(AE$1,main!$A$3:$H$102,7,FALSE)=VLOOKUP($A47,main!$A$3:$H$102,8,FALSE),VLOOKUP(AE$1,main!$A$3:$H$102,4,FALSE),VLOOKUP(AE$1,main!$A$3:$H$102,4,FALSE)+VLOOKUP($A47,main!$A$3:$H$102,4,FALSE)+(VLOOKUP(VLOOKUP(AE$1,main!$A$3:$H$102,8,FALSE),main!$K$19:$O$22,MATCH(VLOOKUP($A47,main!$A$3:$H$102,7,FALSE),main!$K$18:$O$18,0),0))),0)</f>
        <v>250</v>
      </c>
      <c r="AF47">
        <f>IF((gamma!AF47),IF(VLOOKUP(AF$1,main!$A$3:$H$102,7,FALSE)=VLOOKUP($A47,main!$A$3:$H$102,8,FALSE),VLOOKUP(AF$1,main!$A$3:$H$102,4,FALSE),VLOOKUP(AF$1,main!$A$3:$H$102,4,FALSE)+VLOOKUP($A47,main!$A$3:$H$102,4,FALSE)+(VLOOKUP(VLOOKUP(AF$1,main!$A$3:$H$102,8,FALSE),main!$K$19:$O$22,MATCH(VLOOKUP($A47,main!$A$3:$H$102,7,FALSE),main!$K$18:$O$18,0),0))),0)</f>
        <v>210</v>
      </c>
      <c r="AG47">
        <f>IF((gamma!AG47),IF(VLOOKUP(AG$1,main!$A$3:$H$102,7,FALSE)=VLOOKUP($A47,main!$A$3:$H$102,8,FALSE),VLOOKUP(AG$1,main!$A$3:$H$102,4,FALSE),VLOOKUP(AG$1,main!$A$3:$H$102,4,FALSE)+VLOOKUP($A47,main!$A$3:$H$102,4,FALSE)+(VLOOKUP(VLOOKUP(AG$1,main!$A$3:$H$102,8,FALSE),main!$K$19:$O$22,MATCH(VLOOKUP($A47,main!$A$3:$H$102,7,FALSE),main!$K$18:$O$18,0),0))),0)</f>
        <v>0</v>
      </c>
      <c r="AH47">
        <f>IF((gamma!AH47),IF(VLOOKUP(AH$1,main!$A$3:$H$102,7,FALSE)=VLOOKUP($A47,main!$A$3:$H$102,8,FALSE),VLOOKUP(AH$1,main!$A$3:$H$102,4,FALSE),VLOOKUP(AH$1,main!$A$3:$H$102,4,FALSE)+VLOOKUP($A47,main!$A$3:$H$102,4,FALSE)+(VLOOKUP(VLOOKUP(AH$1,main!$A$3:$H$102,8,FALSE),main!$K$19:$O$22,MATCH(VLOOKUP($A47,main!$A$3:$H$102,7,FALSE),main!$K$18:$O$18,0),0))),0)</f>
        <v>230</v>
      </c>
      <c r="AI47">
        <f>IF((gamma!AI47),IF(VLOOKUP(AI$1,main!$A$3:$H$102,7,FALSE)=VLOOKUP($A47,main!$A$3:$H$102,8,FALSE),VLOOKUP(AI$1,main!$A$3:$H$102,4,FALSE),VLOOKUP(AI$1,main!$A$3:$H$102,4,FALSE)+VLOOKUP($A47,main!$A$3:$H$102,4,FALSE)+(VLOOKUP(VLOOKUP(AI$1,main!$A$3:$H$102,8,FALSE),main!$K$19:$O$22,MATCH(VLOOKUP($A47,main!$A$3:$H$102,7,FALSE),main!$K$18:$O$18,0),0))),0)</f>
        <v>230</v>
      </c>
      <c r="AJ47">
        <f>IF((gamma!AJ47),IF(VLOOKUP(AJ$1,main!$A$3:$H$102,7,FALSE)=VLOOKUP($A47,main!$A$3:$H$102,8,FALSE),VLOOKUP(AJ$1,main!$A$3:$H$102,4,FALSE),VLOOKUP(AJ$1,main!$A$3:$H$102,4,FALSE)+VLOOKUP($A47,main!$A$3:$H$102,4,FALSE)+(VLOOKUP(VLOOKUP(AJ$1,main!$A$3:$H$102,8,FALSE),main!$K$19:$O$22,MATCH(VLOOKUP($A47,main!$A$3:$H$102,7,FALSE),main!$K$18:$O$18,0),0))),0)</f>
        <v>230</v>
      </c>
      <c r="AK47">
        <f>IF((gamma!AK47),IF(VLOOKUP(AK$1,main!$A$3:$H$102,7,FALSE)=VLOOKUP($A47,main!$A$3:$H$102,8,FALSE),VLOOKUP(AK$1,main!$A$3:$H$102,4,FALSE),VLOOKUP(AK$1,main!$A$3:$H$102,4,FALSE)+VLOOKUP($A47,main!$A$3:$H$102,4,FALSE)+(VLOOKUP(VLOOKUP(AK$1,main!$A$3:$H$102,8,FALSE),main!$K$19:$O$22,MATCH(VLOOKUP($A47,main!$A$3:$H$102,7,FALSE),main!$K$18:$O$18,0),0))),0)</f>
        <v>230</v>
      </c>
      <c r="AL47">
        <f>IF((gamma!AL47),IF(VLOOKUP(AL$1,main!$A$3:$H$102,7,FALSE)=VLOOKUP($A47,main!$A$3:$H$102,8,FALSE),VLOOKUP(AL$1,main!$A$3:$H$102,4,FALSE),VLOOKUP(AL$1,main!$A$3:$H$102,4,FALSE)+VLOOKUP($A47,main!$A$3:$H$102,4,FALSE)+(VLOOKUP(VLOOKUP(AL$1,main!$A$3:$H$102,8,FALSE),main!$K$19:$O$22,MATCH(VLOOKUP($A47,main!$A$3:$H$102,7,FALSE),main!$K$18:$O$18,0),0))),0)</f>
        <v>230</v>
      </c>
      <c r="AM47">
        <f>IF((gamma!AM47),IF(VLOOKUP(AM$1,main!$A$3:$H$102,7,FALSE)=VLOOKUP($A47,main!$A$3:$H$102,8,FALSE),VLOOKUP(AM$1,main!$A$3:$H$102,4,FALSE),VLOOKUP(AM$1,main!$A$3:$H$102,4,FALSE)+VLOOKUP($A47,main!$A$3:$H$102,4,FALSE)+(VLOOKUP(VLOOKUP(AM$1,main!$A$3:$H$102,8,FALSE),main!$K$19:$O$22,MATCH(VLOOKUP($A47,main!$A$3:$H$102,7,FALSE),main!$K$18:$O$18,0),0))),0)</f>
        <v>230</v>
      </c>
      <c r="AN47">
        <f>IF((gamma!AN47),IF(VLOOKUP(AN$1,main!$A$3:$H$102,7,FALSE)=VLOOKUP($A47,main!$A$3:$H$102,8,FALSE),VLOOKUP(AN$1,main!$A$3:$H$102,4,FALSE),VLOOKUP(AN$1,main!$A$3:$H$102,4,FALSE)+VLOOKUP($A47,main!$A$3:$H$102,4,FALSE)+(VLOOKUP(VLOOKUP(AN$1,main!$A$3:$H$102,8,FALSE),main!$K$19:$O$22,MATCH(VLOOKUP($A47,main!$A$3:$H$102,7,FALSE),main!$K$18:$O$18,0),0))),0)</f>
        <v>230</v>
      </c>
      <c r="AO47">
        <f>IF((gamma!AO47),IF(VLOOKUP(AO$1,main!$A$3:$H$102,7,FALSE)=VLOOKUP($A47,main!$A$3:$H$102,8,FALSE),VLOOKUP(AO$1,main!$A$3:$H$102,4,FALSE),VLOOKUP(AO$1,main!$A$3:$H$102,4,FALSE)+VLOOKUP($A47,main!$A$3:$H$102,4,FALSE)+(VLOOKUP(VLOOKUP(AO$1,main!$A$3:$H$102,8,FALSE),main!$K$19:$O$22,MATCH(VLOOKUP($A47,main!$A$3:$H$102,7,FALSE),main!$K$18:$O$18,0),0))),0)</f>
        <v>0</v>
      </c>
      <c r="AP47">
        <f>IF((gamma!AP47),IF(VLOOKUP(AP$1,main!$A$3:$H$102,7,FALSE)=VLOOKUP($A47,main!$A$3:$H$102,8,FALSE),VLOOKUP(AP$1,main!$A$3:$H$102,4,FALSE),VLOOKUP(AP$1,main!$A$3:$H$102,4,FALSE)+VLOOKUP($A47,main!$A$3:$H$102,4,FALSE)+(VLOOKUP(VLOOKUP(AP$1,main!$A$3:$H$102,8,FALSE),main!$K$19:$O$22,MATCH(VLOOKUP($A47,main!$A$3:$H$102,7,FALSE),main!$K$18:$O$18,0),0))),0)</f>
        <v>170</v>
      </c>
      <c r="AQ47">
        <f>IF((gamma!AQ47),IF(VLOOKUP(AQ$1,main!$A$3:$H$102,7,FALSE)=VLOOKUP($A47,main!$A$3:$H$102,8,FALSE),VLOOKUP(AQ$1,main!$A$3:$H$102,4,FALSE),VLOOKUP(AQ$1,main!$A$3:$H$102,4,FALSE)+VLOOKUP($A47,main!$A$3:$H$102,4,FALSE)+(VLOOKUP(VLOOKUP(AQ$1,main!$A$3:$H$102,8,FALSE),main!$K$19:$O$22,MATCH(VLOOKUP($A47,main!$A$3:$H$102,7,FALSE),main!$K$18:$O$18,0),0))),0)</f>
        <v>0</v>
      </c>
      <c r="AR47">
        <f>IF((gamma!AR47),IF(VLOOKUP(AR$1,main!$A$3:$H$102,7,FALSE)=VLOOKUP($A47,main!$A$3:$H$102,8,FALSE),VLOOKUP(AR$1,main!$A$3:$H$102,4,FALSE),VLOOKUP(AR$1,main!$A$3:$H$102,4,FALSE)+VLOOKUP($A47,main!$A$3:$H$102,4,FALSE)+(VLOOKUP(VLOOKUP(AR$1,main!$A$3:$H$102,8,FALSE),main!$K$19:$O$22,MATCH(VLOOKUP($A47,main!$A$3:$H$102,7,FALSE),main!$K$18:$O$18,0),0))),0)</f>
        <v>238</v>
      </c>
      <c r="AS47">
        <f>IF((gamma!AS47),IF(VLOOKUP(AS$1,main!$A$3:$H$102,7,FALSE)=VLOOKUP($A47,main!$A$3:$H$102,8,FALSE),VLOOKUP(AS$1,main!$A$3:$H$102,4,FALSE),VLOOKUP(AS$1,main!$A$3:$H$102,4,FALSE)+VLOOKUP($A47,main!$A$3:$H$102,4,FALSE)+(VLOOKUP(VLOOKUP(AS$1,main!$A$3:$H$102,8,FALSE),main!$K$19:$O$22,MATCH(VLOOKUP($A47,main!$A$3:$H$102,7,FALSE),main!$K$18:$O$18,0),0))),0)</f>
        <v>218</v>
      </c>
      <c r="AT47">
        <f>IF((gamma!AT47),IF(VLOOKUP(AT$1,main!$A$3:$H$102,7,FALSE)=VLOOKUP($A47,main!$A$3:$H$102,8,FALSE),VLOOKUP(AT$1,main!$A$3:$H$102,4,FALSE),VLOOKUP(AT$1,main!$A$3:$H$102,4,FALSE)+VLOOKUP($A47,main!$A$3:$H$102,4,FALSE)+(VLOOKUP(VLOOKUP(AT$1,main!$A$3:$H$102,8,FALSE),main!$K$19:$O$22,MATCH(VLOOKUP($A47,main!$A$3:$H$102,7,FALSE),main!$K$18:$O$18,0),0))),0)</f>
        <v>228</v>
      </c>
      <c r="AU47">
        <f>IF((gamma!AU47),IF(VLOOKUP(AU$1,main!$A$3:$H$102,7,FALSE)=VLOOKUP($A47,main!$A$3:$H$102,8,FALSE),VLOOKUP(AU$1,main!$A$3:$H$102,4,FALSE),VLOOKUP(AU$1,main!$A$3:$H$102,4,FALSE)+VLOOKUP($A47,main!$A$3:$H$102,4,FALSE)+(VLOOKUP(VLOOKUP(AU$1,main!$A$3:$H$102,8,FALSE),main!$K$19:$O$22,MATCH(VLOOKUP($A47,main!$A$3:$H$102,7,FALSE),main!$K$18:$O$18,0),0))),0)</f>
        <v>0</v>
      </c>
      <c r="AV47">
        <f>IF((gamma!AV47),IF(VLOOKUP(AV$1,main!$A$3:$H$102,7,FALSE)=VLOOKUP($A47,main!$A$3:$H$102,8,FALSE),VLOOKUP(AV$1,main!$A$3:$H$102,4,FALSE),VLOOKUP(AV$1,main!$A$3:$H$102,4,FALSE)+VLOOKUP($A47,main!$A$3:$H$102,4,FALSE)+(VLOOKUP(VLOOKUP(AV$1,main!$A$3:$H$102,8,FALSE),main!$K$19:$O$22,MATCH(VLOOKUP($A47,main!$A$3:$H$102,7,FALSE),main!$K$18:$O$18,0),0))),0)</f>
        <v>0</v>
      </c>
      <c r="AW47">
        <f>IF((gamma!AW47),IF(VLOOKUP(AW$1,main!$A$3:$H$102,7,FALSE)=VLOOKUP($A47,main!$A$3:$H$102,8,FALSE),VLOOKUP(AW$1,main!$A$3:$H$102,4,FALSE),VLOOKUP(AW$1,main!$A$3:$H$102,4,FALSE)+VLOOKUP($A47,main!$A$3:$H$102,4,FALSE)+(VLOOKUP(VLOOKUP(AW$1,main!$A$3:$H$102,8,FALSE),main!$K$19:$O$22,MATCH(VLOOKUP($A47,main!$A$3:$H$102,7,FALSE),main!$K$18:$O$18,0),0))),0)</f>
        <v>218</v>
      </c>
      <c r="AX47">
        <f>IF((gamma!AX47),IF(VLOOKUP(AX$1,main!$A$3:$H$102,7,FALSE)=VLOOKUP($A47,main!$A$3:$H$102,8,FALSE),VLOOKUP(AX$1,main!$A$3:$H$102,4,FALSE),VLOOKUP(AX$1,main!$A$3:$H$102,4,FALSE)+VLOOKUP($A47,main!$A$3:$H$102,4,FALSE)+(VLOOKUP(VLOOKUP(AX$1,main!$A$3:$H$102,8,FALSE),main!$K$19:$O$22,MATCH(VLOOKUP($A47,main!$A$3:$H$102,7,FALSE),main!$K$18:$O$18,0),0))),0)</f>
        <v>203</v>
      </c>
      <c r="AY47">
        <f>IF((gamma!AY47),IF(VLOOKUP(AY$1,main!$A$3:$H$102,7,FALSE)=VLOOKUP($A47,main!$A$3:$H$102,8,FALSE),VLOOKUP(AY$1,main!$A$3:$H$102,4,FALSE),VLOOKUP(AY$1,main!$A$3:$H$102,4,FALSE)+VLOOKUP($A47,main!$A$3:$H$102,4,FALSE)+(VLOOKUP(VLOOKUP(AY$1,main!$A$3:$H$102,8,FALSE),main!$K$19:$O$22,MATCH(VLOOKUP($A47,main!$A$3:$H$102,7,FALSE),main!$K$18:$O$18,0),0))),0)</f>
        <v>188</v>
      </c>
      <c r="AZ47">
        <f>IF((gamma!AZ47),IF(VLOOKUP(AZ$1,main!$A$3:$H$102,7,FALSE)=VLOOKUP($A47,main!$A$3:$H$102,8,FALSE),VLOOKUP(AZ$1,main!$A$3:$H$102,4,FALSE),VLOOKUP(AZ$1,main!$A$3:$H$102,4,FALSE)+VLOOKUP($A47,main!$A$3:$H$102,4,FALSE)+(VLOOKUP(VLOOKUP(AZ$1,main!$A$3:$H$102,8,FALSE),main!$K$19:$O$22,MATCH(VLOOKUP($A47,main!$A$3:$H$102,7,FALSE),main!$K$18:$O$18,0),0))),0)</f>
        <v>233</v>
      </c>
      <c r="BA47">
        <f>IF((gamma!BA47),IF(VLOOKUP(BA$1,main!$A$3:$H$102,7,FALSE)=VLOOKUP($A47,main!$A$3:$H$102,8,FALSE),VLOOKUP(BA$1,main!$A$3:$H$102,4,FALSE),VLOOKUP(BA$1,main!$A$3:$H$102,4,FALSE)+VLOOKUP($A47,main!$A$3:$H$102,4,FALSE)+(VLOOKUP(VLOOKUP(BA$1,main!$A$3:$H$102,8,FALSE),main!$K$19:$O$22,MATCH(VLOOKUP($A47,main!$A$3:$H$102,7,FALSE),main!$K$18:$O$18,0),0))),0)</f>
        <v>140</v>
      </c>
      <c r="BB47">
        <f>IF((gamma!BB47),IF(VLOOKUP(BB$1,main!$A$3:$H$102,7,FALSE)=VLOOKUP($A47,main!$A$3:$H$102,8,FALSE),VLOOKUP(BB$1,main!$A$3:$H$102,4,FALSE),VLOOKUP(BB$1,main!$A$3:$H$102,4,FALSE)+VLOOKUP($A47,main!$A$3:$H$102,4,FALSE)+(VLOOKUP(VLOOKUP(BB$1,main!$A$3:$H$102,8,FALSE),main!$K$19:$O$22,MATCH(VLOOKUP($A47,main!$A$3:$H$102,7,FALSE),main!$K$18:$O$18,0),0))),0)</f>
        <v>140</v>
      </c>
      <c r="BC47">
        <f>IF((gamma!BC47),IF(VLOOKUP(BC$1,main!$A$3:$H$102,7,FALSE)=VLOOKUP($A47,main!$A$3:$H$102,8,FALSE),VLOOKUP(BC$1,main!$A$3:$H$102,4,FALSE),VLOOKUP(BC$1,main!$A$3:$H$102,4,FALSE)+VLOOKUP($A47,main!$A$3:$H$102,4,FALSE)+(VLOOKUP(VLOOKUP(BC$1,main!$A$3:$H$102,8,FALSE),main!$K$19:$O$22,MATCH(VLOOKUP($A47,main!$A$3:$H$102,7,FALSE),main!$K$18:$O$18,0),0))),0)</f>
        <v>140</v>
      </c>
      <c r="BD47">
        <f>IF((gamma!BD47),IF(VLOOKUP(BD$1,main!$A$3:$H$102,7,FALSE)=VLOOKUP($A47,main!$A$3:$H$102,8,FALSE),VLOOKUP(BD$1,main!$A$3:$H$102,4,FALSE),VLOOKUP(BD$1,main!$A$3:$H$102,4,FALSE)+VLOOKUP($A47,main!$A$3:$H$102,4,FALSE)+(VLOOKUP(VLOOKUP(BD$1,main!$A$3:$H$102,8,FALSE),main!$K$19:$O$22,MATCH(VLOOKUP($A47,main!$A$3:$H$102,7,FALSE),main!$K$18:$O$18,0),0))),0)</f>
        <v>140</v>
      </c>
      <c r="BE47">
        <f>IF((gamma!BE47),IF(VLOOKUP(BE$1,main!$A$3:$H$102,7,FALSE)=VLOOKUP($A47,main!$A$3:$H$102,8,FALSE),VLOOKUP(BE$1,main!$A$3:$H$102,4,FALSE),VLOOKUP(BE$1,main!$A$3:$H$102,4,FALSE)+VLOOKUP($A47,main!$A$3:$H$102,4,FALSE)+(VLOOKUP(VLOOKUP(BE$1,main!$A$3:$H$102,8,FALSE),main!$K$19:$O$22,MATCH(VLOOKUP($A47,main!$A$3:$H$102,7,FALSE),main!$K$18:$O$18,0),0))),0)</f>
        <v>140</v>
      </c>
      <c r="BF47">
        <f>IF((gamma!BF47),IF(VLOOKUP(BF$1,main!$A$3:$H$102,7,FALSE)=VLOOKUP($A47,main!$A$3:$H$102,8,FALSE),VLOOKUP(BF$1,main!$A$3:$H$102,4,FALSE),VLOOKUP(BF$1,main!$A$3:$H$102,4,FALSE)+VLOOKUP($A47,main!$A$3:$H$102,4,FALSE)+(VLOOKUP(VLOOKUP(BF$1,main!$A$3:$H$102,8,FALSE),main!$K$19:$O$22,MATCH(VLOOKUP($A47,main!$A$3:$H$102,7,FALSE),main!$K$18:$O$18,0),0))),0)</f>
        <v>120</v>
      </c>
      <c r="BG47">
        <f>IF((gamma!BG47),IF(VLOOKUP(BG$1,main!$A$3:$H$102,7,FALSE)=VLOOKUP($A47,main!$A$3:$H$102,8,FALSE),VLOOKUP(BG$1,main!$A$3:$H$102,4,FALSE),VLOOKUP(BG$1,main!$A$3:$H$102,4,FALSE)+VLOOKUP($A47,main!$A$3:$H$102,4,FALSE)+(VLOOKUP(VLOOKUP(BG$1,main!$A$3:$H$102,8,FALSE),main!$K$19:$O$22,MATCH(VLOOKUP($A47,main!$A$3:$H$102,7,FALSE),main!$K$18:$O$18,0),0))),0)</f>
        <v>115</v>
      </c>
      <c r="BH47">
        <f>IF((gamma!BH47),IF(VLOOKUP(BH$1,main!$A$3:$H$102,7,FALSE)=VLOOKUP($A47,main!$A$3:$H$102,8,FALSE),VLOOKUP(BH$1,main!$A$3:$H$102,4,FALSE),VLOOKUP(BH$1,main!$A$3:$H$102,4,FALSE)+VLOOKUP($A47,main!$A$3:$H$102,4,FALSE)+(VLOOKUP(VLOOKUP(BH$1,main!$A$3:$H$102,8,FALSE),main!$K$19:$O$22,MATCH(VLOOKUP($A47,main!$A$3:$H$102,7,FALSE),main!$K$18:$O$18,0),0))),0)</f>
        <v>125</v>
      </c>
      <c r="BI47">
        <f>IF((gamma!BI47),IF(VLOOKUP(BI$1,main!$A$3:$H$102,7,FALSE)=VLOOKUP($A47,main!$A$3:$H$102,8,FALSE),VLOOKUP(BI$1,main!$A$3:$H$102,4,FALSE),VLOOKUP(BI$1,main!$A$3:$H$102,4,FALSE)+VLOOKUP($A47,main!$A$3:$H$102,4,FALSE)+(VLOOKUP(VLOOKUP(BI$1,main!$A$3:$H$102,8,FALSE),main!$K$19:$O$22,MATCH(VLOOKUP($A47,main!$A$3:$H$102,7,FALSE),main!$K$18:$O$18,0),0))),0)</f>
        <v>60</v>
      </c>
      <c r="BJ47">
        <f>IF((gamma!BJ47),IF(VLOOKUP(BJ$1,main!$A$3:$H$102,7,FALSE)=VLOOKUP($A47,main!$A$3:$H$102,8,FALSE),VLOOKUP(BJ$1,main!$A$3:$H$102,4,FALSE),VLOOKUP(BJ$1,main!$A$3:$H$102,4,FALSE)+VLOOKUP($A47,main!$A$3:$H$102,4,FALSE)+(VLOOKUP(VLOOKUP(BJ$1,main!$A$3:$H$102,8,FALSE),main!$K$19:$O$22,MATCH(VLOOKUP($A47,main!$A$3:$H$102,7,FALSE),main!$K$18:$O$18,0),0))),0)</f>
        <v>90</v>
      </c>
      <c r="BK47">
        <f>IF((gamma!BK47),IF(VLOOKUP(BK$1,main!$A$3:$H$102,7,FALSE)=VLOOKUP($A47,main!$A$3:$H$102,8,FALSE),VLOOKUP(BK$1,main!$A$3:$H$102,4,FALSE),VLOOKUP(BK$1,main!$A$3:$H$102,4,FALSE)+VLOOKUP($A47,main!$A$3:$H$102,4,FALSE)+(VLOOKUP(VLOOKUP(BK$1,main!$A$3:$H$102,8,FALSE),main!$K$19:$O$22,MATCH(VLOOKUP($A47,main!$A$3:$H$102,7,FALSE),main!$K$18:$O$18,0),0))),0)</f>
        <v>0</v>
      </c>
      <c r="BL47">
        <f>IF((gamma!BL47),IF(VLOOKUP(BL$1,main!$A$3:$H$102,7,FALSE)=VLOOKUP($A47,main!$A$3:$H$102,8,FALSE),VLOOKUP(BL$1,main!$A$3:$H$102,4,FALSE),VLOOKUP(BL$1,main!$A$3:$H$102,4,FALSE)+VLOOKUP($A47,main!$A$3:$H$102,4,FALSE)+(VLOOKUP(VLOOKUP(BL$1,main!$A$3:$H$102,8,FALSE),main!$K$19:$O$22,MATCH(VLOOKUP($A47,main!$A$3:$H$102,7,FALSE),main!$K$18:$O$18,0),0))),0)</f>
        <v>140</v>
      </c>
      <c r="BM47">
        <f>IF((gamma!BM47),IF(VLOOKUP(BM$1,main!$A$3:$H$102,7,FALSE)=VLOOKUP($A47,main!$A$3:$H$102,8,FALSE),VLOOKUP(BM$1,main!$A$3:$H$102,4,FALSE),VLOOKUP(BM$1,main!$A$3:$H$102,4,FALSE)+VLOOKUP($A47,main!$A$3:$H$102,4,FALSE)+(VLOOKUP(VLOOKUP(BM$1,main!$A$3:$H$102,8,FALSE),main!$K$19:$O$22,MATCH(VLOOKUP($A47,main!$A$3:$H$102,7,FALSE),main!$K$18:$O$18,0),0))),0)</f>
        <v>140</v>
      </c>
      <c r="BN47">
        <f>IF((gamma!BN47),IF(VLOOKUP(BN$1,main!$A$3:$H$102,7,FALSE)=VLOOKUP($A47,main!$A$3:$H$102,8,FALSE),VLOOKUP(BN$1,main!$A$3:$H$102,4,FALSE),VLOOKUP(BN$1,main!$A$3:$H$102,4,FALSE)+VLOOKUP($A47,main!$A$3:$H$102,4,FALSE)+(VLOOKUP(VLOOKUP(BN$1,main!$A$3:$H$102,8,FALSE),main!$K$19:$O$22,MATCH(VLOOKUP($A47,main!$A$3:$H$102,7,FALSE),main!$K$18:$O$18,0),0))),0)</f>
        <v>120</v>
      </c>
      <c r="BO47">
        <f>IF((gamma!BO47),IF(VLOOKUP(BO$1,main!$A$3:$H$102,7,FALSE)=VLOOKUP($A47,main!$A$3:$H$102,8,FALSE),VLOOKUP(BO$1,main!$A$3:$H$102,4,FALSE),VLOOKUP(BO$1,main!$A$3:$H$102,4,FALSE)+VLOOKUP($A47,main!$A$3:$H$102,4,FALSE)+(VLOOKUP(VLOOKUP(BO$1,main!$A$3:$H$102,8,FALSE),main!$K$19:$O$22,MATCH(VLOOKUP($A47,main!$A$3:$H$102,7,FALSE),main!$K$18:$O$18,0),0))),0)</f>
        <v>0</v>
      </c>
      <c r="BP47">
        <f>IF((gamma!BP47),IF(VLOOKUP(BP$1,main!$A$3:$H$102,7,FALSE)=VLOOKUP($A47,main!$A$3:$H$102,8,FALSE),VLOOKUP(BP$1,main!$A$3:$H$102,4,FALSE),VLOOKUP(BP$1,main!$A$3:$H$102,4,FALSE)+VLOOKUP($A47,main!$A$3:$H$102,4,FALSE)+(VLOOKUP(VLOOKUP(BP$1,main!$A$3:$H$102,8,FALSE),main!$K$19:$O$22,MATCH(VLOOKUP($A47,main!$A$3:$H$102,7,FALSE),main!$K$18:$O$18,0),0))),0)</f>
        <v>0</v>
      </c>
      <c r="BQ47">
        <f>IF((gamma!BQ47),IF(VLOOKUP(BQ$1,main!$A$3:$H$102,7,FALSE)=VLOOKUP($A47,main!$A$3:$H$102,8,FALSE),VLOOKUP(BQ$1,main!$A$3:$H$102,4,FALSE),VLOOKUP(BQ$1,main!$A$3:$H$102,4,FALSE)+VLOOKUP($A47,main!$A$3:$H$102,4,FALSE)+(VLOOKUP(VLOOKUP(BQ$1,main!$A$3:$H$102,8,FALSE),main!$K$19:$O$22,MATCH(VLOOKUP($A47,main!$A$3:$H$102,7,FALSE),main!$K$18:$O$18,0),0))),0)</f>
        <v>140</v>
      </c>
      <c r="BR47">
        <f>IF((gamma!BR47),IF(VLOOKUP(BR$1,main!$A$3:$H$102,7,FALSE)=VLOOKUP($A47,main!$A$3:$H$102,8,FALSE),VLOOKUP(BR$1,main!$A$3:$H$102,4,FALSE),VLOOKUP(BR$1,main!$A$3:$H$102,4,FALSE)+VLOOKUP($A47,main!$A$3:$H$102,4,FALSE)+(VLOOKUP(VLOOKUP(BR$1,main!$A$3:$H$102,8,FALSE),main!$K$19:$O$22,MATCH(VLOOKUP($A47,main!$A$3:$H$102,7,FALSE),main!$K$18:$O$18,0),0))),0)</f>
        <v>100</v>
      </c>
      <c r="BS47">
        <f>IF((gamma!BS47),IF(VLOOKUP(BS$1,main!$A$3:$H$102,7,FALSE)=VLOOKUP($A47,main!$A$3:$H$102,8,FALSE),VLOOKUP(BS$1,main!$A$3:$H$102,4,FALSE),VLOOKUP(BS$1,main!$A$3:$H$102,4,FALSE)+VLOOKUP($A47,main!$A$3:$H$102,4,FALSE)+(VLOOKUP(VLOOKUP(BS$1,main!$A$3:$H$102,8,FALSE),main!$K$19:$O$22,MATCH(VLOOKUP($A47,main!$A$3:$H$102,7,FALSE),main!$K$18:$O$18,0),0))),0)</f>
        <v>101</v>
      </c>
      <c r="BT47">
        <f>IF((gamma!BT47),IF(VLOOKUP(BT$1,main!$A$3:$H$102,7,FALSE)=VLOOKUP($A47,main!$A$3:$H$102,8,FALSE),VLOOKUP(BT$1,main!$A$3:$H$102,4,FALSE),VLOOKUP(BT$1,main!$A$3:$H$102,4,FALSE)+VLOOKUP($A47,main!$A$3:$H$102,4,FALSE)+(VLOOKUP(VLOOKUP(BT$1,main!$A$3:$H$102,8,FALSE),main!$K$19:$O$22,MATCH(VLOOKUP($A47,main!$A$3:$H$102,7,FALSE),main!$K$18:$O$18,0),0))),0)</f>
        <v>120</v>
      </c>
      <c r="BU47">
        <f>IF((gamma!BU47),IF(VLOOKUP(BU$1,main!$A$3:$H$102,7,FALSE)=VLOOKUP($A47,main!$A$3:$H$102,8,FALSE),VLOOKUP(BU$1,main!$A$3:$H$102,4,FALSE),VLOOKUP(BU$1,main!$A$3:$H$102,4,FALSE)+VLOOKUP($A47,main!$A$3:$H$102,4,FALSE)+(VLOOKUP(VLOOKUP(BU$1,main!$A$3:$H$102,8,FALSE),main!$K$19:$O$22,MATCH(VLOOKUP($A47,main!$A$3:$H$102,7,FALSE),main!$K$18:$O$18,0),0))),0)</f>
        <v>0</v>
      </c>
      <c r="BV47">
        <f>IF((gamma!BV47),IF(VLOOKUP(BV$1,main!$A$3:$H$102,7,FALSE)=VLOOKUP($A47,main!$A$3:$H$102,8,FALSE),VLOOKUP(BV$1,main!$A$3:$H$102,4,FALSE),VLOOKUP(BV$1,main!$A$3:$H$102,4,FALSE)+VLOOKUP($A47,main!$A$3:$H$102,4,FALSE)+(VLOOKUP(VLOOKUP(BV$1,main!$A$3:$H$102,8,FALSE),main!$K$19:$O$22,MATCH(VLOOKUP($A47,main!$A$3:$H$102,7,FALSE),main!$K$18:$O$18,0),0))),0)</f>
        <v>135</v>
      </c>
      <c r="BW47">
        <f>IF((gamma!BW47),IF(VLOOKUP(BW$1,main!$A$3:$H$102,7,FALSE)=VLOOKUP($A47,main!$A$3:$H$102,8,FALSE),VLOOKUP(BW$1,main!$A$3:$H$102,4,FALSE),VLOOKUP(BW$1,main!$A$3:$H$102,4,FALSE)+VLOOKUP($A47,main!$A$3:$H$102,4,FALSE)+(VLOOKUP(VLOOKUP(BW$1,main!$A$3:$H$102,8,FALSE),main!$K$19:$O$22,MATCH(VLOOKUP($A47,main!$A$3:$H$102,7,FALSE),main!$K$18:$O$18,0),0))),0)</f>
        <v>135</v>
      </c>
      <c r="BX47">
        <f>IF((gamma!BX47),IF(VLOOKUP(BX$1,main!$A$3:$H$102,7,FALSE)=VLOOKUP($A47,main!$A$3:$H$102,8,FALSE),VLOOKUP(BX$1,main!$A$3:$H$102,4,FALSE),VLOOKUP(BX$1,main!$A$3:$H$102,4,FALSE)+VLOOKUP($A47,main!$A$3:$H$102,4,FALSE)+(VLOOKUP(VLOOKUP(BX$1,main!$A$3:$H$102,8,FALSE),main!$K$19:$O$22,MATCH(VLOOKUP($A47,main!$A$3:$H$102,7,FALSE),main!$K$18:$O$18,0),0))),0)</f>
        <v>135</v>
      </c>
      <c r="BY47">
        <f>IF((gamma!BY47),IF(VLOOKUP(BY$1,main!$A$3:$H$102,7,FALSE)=VLOOKUP($A47,main!$A$3:$H$102,8,FALSE),VLOOKUP(BY$1,main!$A$3:$H$102,4,FALSE),VLOOKUP(BY$1,main!$A$3:$H$102,4,FALSE)+VLOOKUP($A47,main!$A$3:$H$102,4,FALSE)+(VLOOKUP(VLOOKUP(BY$1,main!$A$3:$H$102,8,FALSE),main!$K$19:$O$22,MATCH(VLOOKUP($A47,main!$A$3:$H$102,7,FALSE),main!$K$18:$O$18,0),0))),0)</f>
        <v>120</v>
      </c>
      <c r="BZ47">
        <f>IF((gamma!BZ47),IF(VLOOKUP(BZ$1,main!$A$3:$H$102,7,FALSE)=VLOOKUP($A47,main!$A$3:$H$102,8,FALSE),VLOOKUP(BZ$1,main!$A$3:$H$102,4,FALSE),VLOOKUP(BZ$1,main!$A$3:$H$102,4,FALSE)+VLOOKUP($A47,main!$A$3:$H$102,4,FALSE)+(VLOOKUP(VLOOKUP(BZ$1,main!$A$3:$H$102,8,FALSE),main!$K$19:$O$22,MATCH(VLOOKUP($A47,main!$A$3:$H$102,7,FALSE),main!$K$18:$O$18,0),0))),0)</f>
        <v>0</v>
      </c>
      <c r="CA47">
        <f>IF((gamma!CA47),IF(VLOOKUP(CA$1,main!$A$3:$H$102,7,FALSE)=VLOOKUP($A47,main!$A$3:$H$102,8,FALSE),VLOOKUP(CA$1,main!$A$3:$H$102,4,FALSE),VLOOKUP(CA$1,main!$A$3:$H$102,4,FALSE)+VLOOKUP($A47,main!$A$3:$H$102,4,FALSE)+(VLOOKUP(VLOOKUP(CA$1,main!$A$3:$H$102,8,FALSE),main!$K$19:$O$22,MATCH(VLOOKUP($A47,main!$A$3:$H$102,7,FALSE),main!$K$18:$O$18,0),0))),0)</f>
        <v>75</v>
      </c>
      <c r="CB47">
        <f>IF((gamma!CB47),IF(VLOOKUP(CB$1,main!$A$3:$H$102,7,FALSE)=VLOOKUP($A47,main!$A$3:$H$102,8,FALSE),VLOOKUP(CB$1,main!$A$3:$H$102,4,FALSE),VLOOKUP(CB$1,main!$A$3:$H$102,4,FALSE)+VLOOKUP($A47,main!$A$3:$H$102,4,FALSE)+(VLOOKUP(VLOOKUP(CB$1,main!$A$3:$H$102,8,FALSE),main!$K$19:$O$22,MATCH(VLOOKUP($A47,main!$A$3:$H$102,7,FALSE),main!$K$18:$O$18,0),0))),0)</f>
        <v>65</v>
      </c>
      <c r="CC47">
        <f>IF((gamma!CC47),IF(VLOOKUP(CC$1,main!$A$3:$H$102,7,FALSE)=VLOOKUP($A47,main!$A$3:$H$102,8,FALSE),VLOOKUP(CC$1,main!$A$3:$H$102,4,FALSE),VLOOKUP(CC$1,main!$A$3:$H$102,4,FALSE)+VLOOKUP($A47,main!$A$3:$H$102,4,FALSE)+(VLOOKUP(VLOOKUP(CC$1,main!$A$3:$H$102,8,FALSE),main!$K$19:$O$22,MATCH(VLOOKUP($A47,main!$A$3:$H$102,7,FALSE),main!$K$18:$O$18,0),0))),0)</f>
        <v>55</v>
      </c>
      <c r="CD47">
        <f>IF((gamma!CD47),IF(VLOOKUP(CD$1,main!$A$3:$H$102,7,FALSE)=VLOOKUP($A47,main!$A$3:$H$102,8,FALSE),VLOOKUP(CD$1,main!$A$3:$H$102,4,FALSE),VLOOKUP(CD$1,main!$A$3:$H$102,4,FALSE)+VLOOKUP($A47,main!$A$3:$H$102,4,FALSE)+(VLOOKUP(VLOOKUP(CD$1,main!$A$3:$H$102,8,FALSE),main!$K$19:$O$22,MATCH(VLOOKUP($A47,main!$A$3:$H$102,7,FALSE),main!$K$18:$O$18,0),0))),0)</f>
        <v>114</v>
      </c>
      <c r="CE47">
        <f>IF((gamma!CE47),IF(VLOOKUP(CE$1,main!$A$3:$H$102,7,FALSE)=VLOOKUP($A47,main!$A$3:$H$102,8,FALSE),VLOOKUP(CE$1,main!$A$3:$H$102,4,FALSE),VLOOKUP(CE$1,main!$A$3:$H$102,4,FALSE)+VLOOKUP($A47,main!$A$3:$H$102,4,FALSE)+(VLOOKUP(VLOOKUP(CE$1,main!$A$3:$H$102,8,FALSE),main!$K$19:$O$22,MATCH(VLOOKUP($A47,main!$A$3:$H$102,7,FALSE),main!$K$18:$O$18,0),0))),0)</f>
        <v>235</v>
      </c>
      <c r="CF47">
        <f>IF((gamma!CF47),IF(VLOOKUP(CF$1,main!$A$3:$H$102,7,FALSE)=VLOOKUP($A47,main!$A$3:$H$102,8,FALSE),VLOOKUP(CF$1,main!$A$3:$H$102,4,FALSE),VLOOKUP(CF$1,main!$A$3:$H$102,4,FALSE)+VLOOKUP($A47,main!$A$3:$H$102,4,FALSE)+(VLOOKUP(VLOOKUP(CF$1,main!$A$3:$H$102,8,FALSE),main!$K$19:$O$22,MATCH(VLOOKUP($A47,main!$A$3:$H$102,7,FALSE),main!$K$18:$O$18,0),0))),0)</f>
        <v>230</v>
      </c>
      <c r="CG47">
        <f>IF((gamma!CG47),IF(VLOOKUP(CG$1,main!$A$3:$H$102,7,FALSE)=VLOOKUP($A47,main!$A$3:$H$102,8,FALSE),VLOOKUP(CG$1,main!$A$3:$H$102,4,FALSE),VLOOKUP(CG$1,main!$A$3:$H$102,4,FALSE)+VLOOKUP($A47,main!$A$3:$H$102,4,FALSE)+(VLOOKUP(VLOOKUP(CG$1,main!$A$3:$H$102,8,FALSE),main!$K$19:$O$22,MATCH(VLOOKUP($A47,main!$A$3:$H$102,7,FALSE),main!$K$18:$O$18,0),0))),0)</f>
        <v>235</v>
      </c>
      <c r="CH47">
        <f>IF((gamma!CH47),IF(VLOOKUP(CH$1,main!$A$3:$H$102,7,FALSE)=VLOOKUP($A47,main!$A$3:$H$102,8,FALSE),VLOOKUP(CH$1,main!$A$3:$H$102,4,FALSE),VLOOKUP(CH$1,main!$A$3:$H$102,4,FALSE)+VLOOKUP($A47,main!$A$3:$H$102,4,FALSE)+(VLOOKUP(VLOOKUP(CH$1,main!$A$3:$H$102,8,FALSE),main!$K$19:$O$22,MATCH(VLOOKUP($A47,main!$A$3:$H$102,7,FALSE),main!$K$18:$O$18,0),0))),0)</f>
        <v>235</v>
      </c>
      <c r="CI47">
        <f>IF((gamma!CI47),IF(VLOOKUP(CI$1,main!$A$3:$H$102,7,FALSE)=VLOOKUP($A47,main!$A$3:$H$102,8,FALSE),VLOOKUP(CI$1,main!$A$3:$H$102,4,FALSE),VLOOKUP(CI$1,main!$A$3:$H$102,4,FALSE)+VLOOKUP($A47,main!$A$3:$H$102,4,FALSE)+(VLOOKUP(VLOOKUP(CI$1,main!$A$3:$H$102,8,FALSE),main!$K$19:$O$22,MATCH(VLOOKUP($A47,main!$A$3:$H$102,7,FALSE),main!$K$18:$O$18,0),0))),0)</f>
        <v>235</v>
      </c>
      <c r="CJ47">
        <f>IF((gamma!CJ47),IF(VLOOKUP(CJ$1,main!$A$3:$H$102,7,FALSE)=VLOOKUP($A47,main!$A$3:$H$102,8,FALSE),VLOOKUP(CJ$1,main!$A$3:$H$102,4,FALSE),VLOOKUP(CJ$1,main!$A$3:$H$102,4,FALSE)+VLOOKUP($A47,main!$A$3:$H$102,4,FALSE)+(VLOOKUP(VLOOKUP(CJ$1,main!$A$3:$H$102,8,FALSE),main!$K$19:$O$22,MATCH(VLOOKUP($A47,main!$A$3:$H$102,7,FALSE),main!$K$18:$O$18,0),0))),0)</f>
        <v>163</v>
      </c>
      <c r="CK47">
        <f>IF((gamma!CK47),IF(VLOOKUP(CK$1,main!$A$3:$H$102,7,FALSE)=VLOOKUP($A47,main!$A$3:$H$102,8,FALSE),VLOOKUP(CK$1,main!$A$3:$H$102,4,FALSE),VLOOKUP(CK$1,main!$A$3:$H$102,4,FALSE)+VLOOKUP($A47,main!$A$3:$H$102,4,FALSE)+(VLOOKUP(VLOOKUP(CK$1,main!$A$3:$H$102,8,FALSE),main!$K$19:$O$22,MATCH(VLOOKUP($A47,main!$A$3:$H$102,7,FALSE),main!$K$18:$O$18,0),0))),0)</f>
        <v>170</v>
      </c>
      <c r="CL47">
        <f>IF((gamma!CL47),IF(VLOOKUP(CL$1,main!$A$3:$H$102,7,FALSE)=VLOOKUP($A47,main!$A$3:$H$102,8,FALSE),VLOOKUP(CL$1,main!$A$3:$H$102,4,FALSE),VLOOKUP(CL$1,main!$A$3:$H$102,4,FALSE)+VLOOKUP($A47,main!$A$3:$H$102,4,FALSE)+(VLOOKUP(VLOOKUP(CL$1,main!$A$3:$H$102,8,FALSE),main!$K$19:$O$22,MATCH(VLOOKUP($A47,main!$A$3:$H$102,7,FALSE),main!$K$18:$O$18,0),0))),0)</f>
        <v>175</v>
      </c>
      <c r="CM47">
        <f>IF((gamma!CM47),IF(VLOOKUP(CM$1,main!$A$3:$H$102,7,FALSE)=VLOOKUP($A47,main!$A$3:$H$102,8,FALSE),VLOOKUP(CM$1,main!$A$3:$H$102,4,FALSE),VLOOKUP(CM$1,main!$A$3:$H$102,4,FALSE)+VLOOKUP($A47,main!$A$3:$H$102,4,FALSE)+(VLOOKUP(VLOOKUP(CM$1,main!$A$3:$H$102,8,FALSE),main!$K$19:$O$22,MATCH(VLOOKUP($A47,main!$A$3:$H$102,7,FALSE),main!$K$18:$O$18,0),0))),0)</f>
        <v>195</v>
      </c>
      <c r="CN47">
        <f>IF((gamma!CN47),IF(VLOOKUP(CN$1,main!$A$3:$H$102,7,FALSE)=VLOOKUP($A47,main!$A$3:$H$102,8,FALSE),VLOOKUP(CN$1,main!$A$3:$H$102,4,FALSE),VLOOKUP(CN$1,main!$A$3:$H$102,4,FALSE)+VLOOKUP($A47,main!$A$3:$H$102,4,FALSE)+(VLOOKUP(VLOOKUP(CN$1,main!$A$3:$H$102,8,FALSE),main!$K$19:$O$22,MATCH(VLOOKUP($A47,main!$A$3:$H$102,7,FALSE),main!$K$18:$O$18,0),0))),0)</f>
        <v>191</v>
      </c>
      <c r="CO47">
        <f>IF((gamma!CO47),IF(VLOOKUP(CO$1,main!$A$3:$H$102,7,FALSE)=VLOOKUP($A47,main!$A$3:$H$102,8,FALSE),VLOOKUP(CO$1,main!$A$3:$H$102,4,FALSE),VLOOKUP(CO$1,main!$A$3:$H$102,4,FALSE)+VLOOKUP($A47,main!$A$3:$H$102,4,FALSE)+(VLOOKUP(VLOOKUP(CO$1,main!$A$3:$H$102,8,FALSE),main!$K$19:$O$22,MATCH(VLOOKUP($A47,main!$A$3:$H$102,7,FALSE),main!$K$18:$O$18,0),0))),0)</f>
        <v>238</v>
      </c>
      <c r="CP47">
        <f>IF((gamma!CP47),IF(VLOOKUP(CP$1,main!$A$3:$H$102,7,FALSE)=VLOOKUP($A47,main!$A$3:$H$102,8,FALSE),VLOOKUP(CP$1,main!$A$3:$H$102,4,FALSE),VLOOKUP(CP$1,main!$A$3:$H$102,4,FALSE)+VLOOKUP($A47,main!$A$3:$H$102,4,FALSE)+(VLOOKUP(VLOOKUP(CP$1,main!$A$3:$H$102,8,FALSE),main!$K$19:$O$22,MATCH(VLOOKUP($A47,main!$A$3:$H$102,7,FALSE),main!$K$18:$O$18,0),0))),0)</f>
        <v>218</v>
      </c>
      <c r="CQ47">
        <f>IF((gamma!CQ47),IF(VLOOKUP(CQ$1,main!$A$3:$H$102,7,FALSE)=VLOOKUP($A47,main!$A$3:$H$102,8,FALSE),VLOOKUP(CQ$1,main!$A$3:$H$102,4,FALSE),VLOOKUP(CQ$1,main!$A$3:$H$102,4,FALSE)+VLOOKUP($A47,main!$A$3:$H$102,4,FALSE)+(VLOOKUP(VLOOKUP(CQ$1,main!$A$3:$H$102,8,FALSE),main!$K$19:$O$22,MATCH(VLOOKUP($A47,main!$A$3:$H$102,7,FALSE),main!$K$18:$O$18,0),0))),0)</f>
        <v>218</v>
      </c>
      <c r="CR47">
        <f>IF((gamma!CR47),IF(VLOOKUP(CR$1,main!$A$3:$H$102,7,FALSE)=VLOOKUP($A47,main!$A$3:$H$102,8,FALSE),VLOOKUP(CR$1,main!$A$3:$H$102,4,FALSE),VLOOKUP(CR$1,main!$A$3:$H$102,4,FALSE)+VLOOKUP($A47,main!$A$3:$H$102,4,FALSE)+(VLOOKUP(VLOOKUP(CR$1,main!$A$3:$H$102,8,FALSE),main!$K$19:$O$22,MATCH(VLOOKUP($A47,main!$A$3:$H$102,7,FALSE),main!$K$18:$O$18,0),0))),0)</f>
        <v>233</v>
      </c>
      <c r="CS47">
        <f>IF((gamma!CS47),IF(VLOOKUP(CS$1,main!$A$3:$H$102,7,FALSE)=VLOOKUP($A47,main!$A$3:$H$102,8,FALSE),VLOOKUP(CS$1,main!$A$3:$H$102,4,FALSE),VLOOKUP(CS$1,main!$A$3:$H$102,4,FALSE)+VLOOKUP($A47,main!$A$3:$H$102,4,FALSE)+(VLOOKUP(VLOOKUP(CS$1,main!$A$3:$H$102,8,FALSE),main!$K$19:$O$22,MATCH(VLOOKUP($A47,main!$A$3:$H$102,7,FALSE),main!$K$18:$O$18,0),0))),0)</f>
        <v>233</v>
      </c>
      <c r="CT47">
        <f>IF((gamma!CT47),IF(VLOOKUP(CT$1,main!$A$3:$H$102,7,FALSE)=VLOOKUP($A47,main!$A$3:$H$102,8,FALSE),VLOOKUP(CT$1,main!$A$3:$H$102,4,FALSE),VLOOKUP(CT$1,main!$A$3:$H$102,4,FALSE)+VLOOKUP($A47,main!$A$3:$H$102,4,FALSE)+(VLOOKUP(VLOOKUP(CT$1,main!$A$3:$H$102,8,FALSE),main!$K$19:$O$22,MATCH(VLOOKUP($A47,main!$A$3:$H$102,7,FALSE),main!$K$18:$O$18,0),0))),0)</f>
        <v>0</v>
      </c>
      <c r="CU47">
        <f>IF((gamma!CU47),IF(VLOOKUP(CU$1,main!$A$3:$H$102,7,FALSE)=VLOOKUP($A47,main!$A$3:$H$102,8,FALSE),VLOOKUP(CU$1,main!$A$3:$H$102,4,FALSE),VLOOKUP(CU$1,main!$A$3:$H$102,4,FALSE)+VLOOKUP($A47,main!$A$3:$H$102,4,FALSE)+(VLOOKUP(VLOOKUP(CU$1,main!$A$3:$H$102,8,FALSE),main!$K$19:$O$22,MATCH(VLOOKUP($A47,main!$A$3:$H$102,7,FALSE),main!$K$18:$O$18,0),0))),0)</f>
        <v>168</v>
      </c>
      <c r="CV47">
        <f>IF((gamma!CV47),IF(VLOOKUP(CV$1,main!$A$3:$H$102,7,FALSE)=VLOOKUP($A47,main!$A$3:$H$102,8,FALSE),VLOOKUP(CV$1,main!$A$3:$H$102,4,FALSE),VLOOKUP(CV$1,main!$A$3:$H$102,4,FALSE)+VLOOKUP($A47,main!$A$3:$H$102,4,FALSE)+(VLOOKUP(VLOOKUP(CV$1,main!$A$3:$H$102,8,FALSE),main!$K$19:$O$22,MATCH(VLOOKUP($A47,main!$A$3:$H$102,7,FALSE),main!$K$18:$O$18,0),0))),0)</f>
        <v>178</v>
      </c>
      <c r="CW47">
        <f>IF((gamma!CW47),IF(VLOOKUP(CW$1,main!$A$3:$H$102,7,FALSE)=VLOOKUP($A47,main!$A$3:$H$102,8,FALSE),VLOOKUP(CW$1,main!$A$3:$H$102,4,FALSE),VLOOKUP(CW$1,main!$A$3:$H$102,4,FALSE)+VLOOKUP($A47,main!$A$3:$H$102,4,FALSE)+(VLOOKUP(VLOOKUP(CW$1,main!$A$3:$H$102,8,FALSE),main!$K$19:$O$22,MATCH(VLOOKUP($A47,main!$A$3:$H$102,7,FALSE),main!$K$18:$O$18,0),0))),0)</f>
        <v>193</v>
      </c>
      <c r="CX47">
        <f>IF((gamma!CX47),IF(VLOOKUP(CX$1,main!$A$3:$H$102,7,FALSE)=VLOOKUP($A47,main!$A$3:$H$102,8,FALSE),VLOOKUP(CX$1,main!$A$3:$H$102,4,FALSE),VLOOKUP(CX$1,main!$A$3:$H$102,4,FALSE)+VLOOKUP($A47,main!$A$3:$H$102,4,FALSE)+(VLOOKUP(VLOOKUP(CX$1,main!$A$3:$H$102,8,FALSE),main!$K$19:$O$22,MATCH(VLOOKUP($A47,main!$A$3:$H$102,7,FALSE),main!$K$18:$O$18,0),0))),0)</f>
        <v>183</v>
      </c>
      <c r="CY47">
        <v>0</v>
      </c>
      <c r="CZ47">
        <v>0</v>
      </c>
      <c r="DA47">
        <v>0</v>
      </c>
    </row>
    <row r="48" spans="1:105" x14ac:dyDescent="0.25">
      <c r="A48" s="1">
        <v>46</v>
      </c>
      <c r="B48">
        <v>0</v>
      </c>
      <c r="C48">
        <f>IF((gamma!C48),IF(VLOOKUP(C$1,main!$A$3:$H$102,7,FALSE)=VLOOKUP($A48,main!$A$3:$H$102,8,FALSE),VLOOKUP(C$1,main!$A$3:$H$102,4,FALSE),VLOOKUP(C$1,main!$A$3:$H$102,4,FALSE)+VLOOKUP($A48,main!$A$3:$H$102,4,FALSE)+(VLOOKUP(VLOOKUP(C$1,main!$A$3:$H$102,8,FALSE),main!$K$19:$O$22,MATCH(VLOOKUP($A48,main!$A$3:$H$102,7,FALSE),main!$K$18:$O$18,0),0))),0)</f>
        <v>0</v>
      </c>
      <c r="D48">
        <f>IF((gamma!D48),IF(VLOOKUP(D$1,main!$A$3:$H$102,7,FALSE)=VLOOKUP($A48,main!$A$3:$H$102,8,FALSE),VLOOKUP(D$1,main!$A$3:$H$102,4,FALSE),VLOOKUP(D$1,main!$A$3:$H$102,4,FALSE)+VLOOKUP($A48,main!$A$3:$H$102,4,FALSE)+(VLOOKUP(VLOOKUP(D$1,main!$A$3:$H$102,8,FALSE),main!$K$19:$O$22,MATCH(VLOOKUP($A48,main!$A$3:$H$102,7,FALSE),main!$K$18:$O$18,0),0))),0)</f>
        <v>0</v>
      </c>
      <c r="E48">
        <f>IF((gamma!E48),IF(VLOOKUP(E$1,main!$A$3:$H$102,7,FALSE)=VLOOKUP($A48,main!$A$3:$H$102,8,FALSE),VLOOKUP(E$1,main!$A$3:$H$102,4,FALSE),VLOOKUP(E$1,main!$A$3:$H$102,4,FALSE)+VLOOKUP($A48,main!$A$3:$H$102,4,FALSE)+(VLOOKUP(VLOOKUP(E$1,main!$A$3:$H$102,8,FALSE),main!$K$19:$O$22,MATCH(VLOOKUP($A48,main!$A$3:$H$102,7,FALSE),main!$K$18:$O$18,0),0))),0)</f>
        <v>195</v>
      </c>
      <c r="F48">
        <f>IF((gamma!F48),IF(VLOOKUP(F$1,main!$A$3:$H$102,7,FALSE)=VLOOKUP($A48,main!$A$3:$H$102,8,FALSE),VLOOKUP(F$1,main!$A$3:$H$102,4,FALSE),VLOOKUP(F$1,main!$A$3:$H$102,4,FALSE)+VLOOKUP($A48,main!$A$3:$H$102,4,FALSE)+(VLOOKUP(VLOOKUP(F$1,main!$A$3:$H$102,8,FALSE),main!$K$19:$O$22,MATCH(VLOOKUP($A48,main!$A$3:$H$102,7,FALSE),main!$K$18:$O$18,0),0))),0)</f>
        <v>195</v>
      </c>
      <c r="G48">
        <f>IF((gamma!G48),IF(VLOOKUP(G$1,main!$A$3:$H$102,7,FALSE)=VLOOKUP($A48,main!$A$3:$H$102,8,FALSE),VLOOKUP(G$1,main!$A$3:$H$102,4,FALSE),VLOOKUP(G$1,main!$A$3:$H$102,4,FALSE)+VLOOKUP($A48,main!$A$3:$H$102,4,FALSE)+(VLOOKUP(VLOOKUP(G$1,main!$A$3:$H$102,8,FALSE),main!$K$19:$O$22,MATCH(VLOOKUP($A48,main!$A$3:$H$102,7,FALSE),main!$K$18:$O$18,0),0))),0)</f>
        <v>195</v>
      </c>
      <c r="H48">
        <f>IF((gamma!H48),IF(VLOOKUP(H$1,main!$A$3:$H$102,7,FALSE)=VLOOKUP($A48,main!$A$3:$H$102,8,FALSE),VLOOKUP(H$1,main!$A$3:$H$102,4,FALSE),VLOOKUP(H$1,main!$A$3:$H$102,4,FALSE)+VLOOKUP($A48,main!$A$3:$H$102,4,FALSE)+(VLOOKUP(VLOOKUP(H$1,main!$A$3:$H$102,8,FALSE),main!$K$19:$O$22,MATCH(VLOOKUP($A48,main!$A$3:$H$102,7,FALSE),main!$K$18:$O$18,0),0))),0)</f>
        <v>195</v>
      </c>
      <c r="I48">
        <f>IF((gamma!I48),IF(VLOOKUP(I$1,main!$A$3:$H$102,7,FALSE)=VLOOKUP($A48,main!$A$3:$H$102,8,FALSE),VLOOKUP(I$1,main!$A$3:$H$102,4,FALSE),VLOOKUP(I$1,main!$A$3:$H$102,4,FALSE)+VLOOKUP($A48,main!$A$3:$H$102,4,FALSE)+(VLOOKUP(VLOOKUP(I$1,main!$A$3:$H$102,8,FALSE),main!$K$19:$O$22,MATCH(VLOOKUP($A48,main!$A$3:$H$102,7,FALSE),main!$K$18:$O$18,0),0))),0)</f>
        <v>195</v>
      </c>
      <c r="J48">
        <f>IF((gamma!J48),IF(VLOOKUP(J$1,main!$A$3:$H$102,7,FALSE)=VLOOKUP($A48,main!$A$3:$H$102,8,FALSE),VLOOKUP(J$1,main!$A$3:$H$102,4,FALSE),VLOOKUP(J$1,main!$A$3:$H$102,4,FALSE)+VLOOKUP($A48,main!$A$3:$H$102,4,FALSE)+(VLOOKUP(VLOOKUP(J$1,main!$A$3:$H$102,8,FALSE),main!$K$19:$O$22,MATCH(VLOOKUP($A48,main!$A$3:$H$102,7,FALSE),main!$K$18:$O$18,0),0))),0)</f>
        <v>195</v>
      </c>
      <c r="K48">
        <f>IF((gamma!K48),IF(VLOOKUP(K$1,main!$A$3:$H$102,7,FALSE)=VLOOKUP($A48,main!$A$3:$H$102,8,FALSE),VLOOKUP(K$1,main!$A$3:$H$102,4,FALSE),VLOOKUP(K$1,main!$A$3:$H$102,4,FALSE)+VLOOKUP($A48,main!$A$3:$H$102,4,FALSE)+(VLOOKUP(VLOOKUP(K$1,main!$A$3:$H$102,8,FALSE),main!$K$19:$O$22,MATCH(VLOOKUP($A48,main!$A$3:$H$102,7,FALSE),main!$K$18:$O$18,0),0))),0)</f>
        <v>195</v>
      </c>
      <c r="L48">
        <f>IF((gamma!L48),IF(VLOOKUP(L$1,main!$A$3:$H$102,7,FALSE)=VLOOKUP($A48,main!$A$3:$H$102,8,FALSE),VLOOKUP(L$1,main!$A$3:$H$102,4,FALSE),VLOOKUP(L$1,main!$A$3:$H$102,4,FALSE)+VLOOKUP($A48,main!$A$3:$H$102,4,FALSE)+(VLOOKUP(VLOOKUP(L$1,main!$A$3:$H$102,8,FALSE),main!$K$19:$O$22,MATCH(VLOOKUP($A48,main!$A$3:$H$102,7,FALSE),main!$K$18:$O$18,0),0))),0)</f>
        <v>195</v>
      </c>
      <c r="M48">
        <f>IF((gamma!M48),IF(VLOOKUP(M$1,main!$A$3:$H$102,7,FALSE)=VLOOKUP($A48,main!$A$3:$H$102,8,FALSE),VLOOKUP(M$1,main!$A$3:$H$102,4,FALSE),VLOOKUP(M$1,main!$A$3:$H$102,4,FALSE)+VLOOKUP($A48,main!$A$3:$H$102,4,FALSE)+(VLOOKUP(VLOOKUP(M$1,main!$A$3:$H$102,8,FALSE),main!$K$19:$O$22,MATCH(VLOOKUP($A48,main!$A$3:$H$102,7,FALSE),main!$K$18:$O$18,0),0))),0)</f>
        <v>0</v>
      </c>
      <c r="N48">
        <f>IF((gamma!N48),IF(VLOOKUP(N$1,main!$A$3:$H$102,7,FALSE)=VLOOKUP($A48,main!$A$3:$H$102,8,FALSE),VLOOKUP(N$1,main!$A$3:$H$102,4,FALSE),VLOOKUP(N$1,main!$A$3:$H$102,4,FALSE)+VLOOKUP($A48,main!$A$3:$H$102,4,FALSE)+(VLOOKUP(VLOOKUP(N$1,main!$A$3:$H$102,8,FALSE),main!$K$19:$O$22,MATCH(VLOOKUP($A48,main!$A$3:$H$102,7,FALSE),main!$K$18:$O$18,0),0))),0)</f>
        <v>0</v>
      </c>
      <c r="O48">
        <f>IF((gamma!O48),IF(VLOOKUP(O$1,main!$A$3:$H$102,7,FALSE)=VLOOKUP($A48,main!$A$3:$H$102,8,FALSE),VLOOKUP(O$1,main!$A$3:$H$102,4,FALSE),VLOOKUP(O$1,main!$A$3:$H$102,4,FALSE)+VLOOKUP($A48,main!$A$3:$H$102,4,FALSE)+(VLOOKUP(VLOOKUP(O$1,main!$A$3:$H$102,8,FALSE),main!$K$19:$O$22,MATCH(VLOOKUP($A48,main!$A$3:$H$102,7,FALSE),main!$K$18:$O$18,0),0))),0)</f>
        <v>0</v>
      </c>
      <c r="P48">
        <f>IF((gamma!P48),IF(VLOOKUP(P$1,main!$A$3:$H$102,7,FALSE)=VLOOKUP($A48,main!$A$3:$H$102,8,FALSE),VLOOKUP(P$1,main!$A$3:$H$102,4,FALSE),VLOOKUP(P$1,main!$A$3:$H$102,4,FALSE)+VLOOKUP($A48,main!$A$3:$H$102,4,FALSE)+(VLOOKUP(VLOOKUP(P$1,main!$A$3:$H$102,8,FALSE),main!$K$19:$O$22,MATCH(VLOOKUP($A48,main!$A$3:$H$102,7,FALSE),main!$K$18:$O$18,0),0))),0)</f>
        <v>228</v>
      </c>
      <c r="Q48">
        <f>IF((gamma!Q48),IF(VLOOKUP(Q$1,main!$A$3:$H$102,7,FALSE)=VLOOKUP($A48,main!$A$3:$H$102,8,FALSE),VLOOKUP(Q$1,main!$A$3:$H$102,4,FALSE),VLOOKUP(Q$1,main!$A$3:$H$102,4,FALSE)+VLOOKUP($A48,main!$A$3:$H$102,4,FALSE)+(VLOOKUP(VLOOKUP(Q$1,main!$A$3:$H$102,8,FALSE),main!$K$19:$O$22,MATCH(VLOOKUP($A48,main!$A$3:$H$102,7,FALSE),main!$K$18:$O$18,0),0))),0)</f>
        <v>228</v>
      </c>
      <c r="R48">
        <f>IF((gamma!R48),IF(VLOOKUP(R$1,main!$A$3:$H$102,7,FALSE)=VLOOKUP($A48,main!$A$3:$H$102,8,FALSE),VLOOKUP(R$1,main!$A$3:$H$102,4,FALSE),VLOOKUP(R$1,main!$A$3:$H$102,4,FALSE)+VLOOKUP($A48,main!$A$3:$H$102,4,FALSE)+(VLOOKUP(VLOOKUP(R$1,main!$A$3:$H$102,8,FALSE),main!$K$19:$O$22,MATCH(VLOOKUP($A48,main!$A$3:$H$102,7,FALSE),main!$K$18:$O$18,0),0))),0)</f>
        <v>228</v>
      </c>
      <c r="S48">
        <f>IF((gamma!S48),IF(VLOOKUP(S$1,main!$A$3:$H$102,7,FALSE)=VLOOKUP($A48,main!$A$3:$H$102,8,FALSE),VLOOKUP(S$1,main!$A$3:$H$102,4,FALSE),VLOOKUP(S$1,main!$A$3:$H$102,4,FALSE)+VLOOKUP($A48,main!$A$3:$H$102,4,FALSE)+(VLOOKUP(VLOOKUP(S$1,main!$A$3:$H$102,8,FALSE),main!$K$19:$O$22,MATCH(VLOOKUP($A48,main!$A$3:$H$102,7,FALSE),main!$K$18:$O$18,0),0))),0)</f>
        <v>228</v>
      </c>
      <c r="T48">
        <f>IF((gamma!T48),IF(VLOOKUP(T$1,main!$A$3:$H$102,7,FALSE)=VLOOKUP($A48,main!$A$3:$H$102,8,FALSE),VLOOKUP(T$1,main!$A$3:$H$102,4,FALSE),VLOOKUP(T$1,main!$A$3:$H$102,4,FALSE)+VLOOKUP($A48,main!$A$3:$H$102,4,FALSE)+(VLOOKUP(VLOOKUP(T$1,main!$A$3:$H$102,8,FALSE),main!$K$19:$O$22,MATCH(VLOOKUP($A48,main!$A$3:$H$102,7,FALSE),main!$K$18:$O$18,0),0))),0)</f>
        <v>228</v>
      </c>
      <c r="U48">
        <f>IF((gamma!U48),IF(VLOOKUP(U$1,main!$A$3:$H$102,7,FALSE)=VLOOKUP($A48,main!$A$3:$H$102,8,FALSE),VLOOKUP(U$1,main!$A$3:$H$102,4,FALSE),VLOOKUP(U$1,main!$A$3:$H$102,4,FALSE)+VLOOKUP($A48,main!$A$3:$H$102,4,FALSE)+(VLOOKUP(VLOOKUP(U$1,main!$A$3:$H$102,8,FALSE),main!$K$19:$O$22,MATCH(VLOOKUP($A48,main!$A$3:$H$102,7,FALSE),main!$K$18:$O$18,0),0))),0)</f>
        <v>228</v>
      </c>
      <c r="V48">
        <f>IF((gamma!V48),IF(VLOOKUP(V$1,main!$A$3:$H$102,7,FALSE)=VLOOKUP($A48,main!$A$3:$H$102,8,FALSE),VLOOKUP(V$1,main!$A$3:$H$102,4,FALSE),VLOOKUP(V$1,main!$A$3:$H$102,4,FALSE)+VLOOKUP($A48,main!$A$3:$H$102,4,FALSE)+(VLOOKUP(VLOOKUP(V$1,main!$A$3:$H$102,8,FALSE),main!$K$19:$O$22,MATCH(VLOOKUP($A48,main!$A$3:$H$102,7,FALSE),main!$K$18:$O$18,0),0))),0)</f>
        <v>228</v>
      </c>
      <c r="W48">
        <f>IF((gamma!W48),IF(VLOOKUP(W$1,main!$A$3:$H$102,7,FALSE)=VLOOKUP($A48,main!$A$3:$H$102,8,FALSE),VLOOKUP(W$1,main!$A$3:$H$102,4,FALSE),VLOOKUP(W$1,main!$A$3:$H$102,4,FALSE)+VLOOKUP($A48,main!$A$3:$H$102,4,FALSE)+(VLOOKUP(VLOOKUP(W$1,main!$A$3:$H$102,8,FALSE),main!$K$19:$O$22,MATCH(VLOOKUP($A48,main!$A$3:$H$102,7,FALSE),main!$K$18:$O$18,0),0))),0)</f>
        <v>0</v>
      </c>
      <c r="X48">
        <f>IF((gamma!X48),IF(VLOOKUP(X$1,main!$A$3:$H$102,7,FALSE)=VLOOKUP($A48,main!$A$3:$H$102,8,FALSE),VLOOKUP(X$1,main!$A$3:$H$102,4,FALSE),VLOOKUP(X$1,main!$A$3:$H$102,4,FALSE)+VLOOKUP($A48,main!$A$3:$H$102,4,FALSE)+(VLOOKUP(VLOOKUP(X$1,main!$A$3:$H$102,8,FALSE),main!$K$19:$O$22,MATCH(VLOOKUP($A48,main!$A$3:$H$102,7,FALSE),main!$K$18:$O$18,0),0))),0)</f>
        <v>240</v>
      </c>
      <c r="Y48">
        <f>IF((gamma!Y48),IF(VLOOKUP(Y$1,main!$A$3:$H$102,7,FALSE)=VLOOKUP($A48,main!$A$3:$H$102,8,FALSE),VLOOKUP(Y$1,main!$A$3:$H$102,4,FALSE),VLOOKUP(Y$1,main!$A$3:$H$102,4,FALSE)+VLOOKUP($A48,main!$A$3:$H$102,4,FALSE)+(VLOOKUP(VLOOKUP(Y$1,main!$A$3:$H$102,8,FALSE),main!$K$19:$O$22,MATCH(VLOOKUP($A48,main!$A$3:$H$102,7,FALSE),main!$K$18:$O$18,0),0))),0)</f>
        <v>235</v>
      </c>
      <c r="Z48">
        <f>IF((gamma!Z48),IF(VLOOKUP(Z$1,main!$A$3:$H$102,7,FALSE)=VLOOKUP($A48,main!$A$3:$H$102,8,FALSE),VLOOKUP(Z$1,main!$A$3:$H$102,4,FALSE),VLOOKUP(Z$1,main!$A$3:$H$102,4,FALSE)+VLOOKUP($A48,main!$A$3:$H$102,4,FALSE)+(VLOOKUP(VLOOKUP(Z$1,main!$A$3:$H$102,8,FALSE),main!$K$19:$O$22,MATCH(VLOOKUP($A48,main!$A$3:$H$102,7,FALSE),main!$K$18:$O$18,0),0))),0)</f>
        <v>240</v>
      </c>
      <c r="AA48">
        <f>IF((gamma!AA48),IF(VLOOKUP(AA$1,main!$A$3:$H$102,7,FALSE)=VLOOKUP($A48,main!$A$3:$H$102,8,FALSE),VLOOKUP(AA$1,main!$A$3:$H$102,4,FALSE),VLOOKUP(AA$1,main!$A$3:$H$102,4,FALSE)+VLOOKUP($A48,main!$A$3:$H$102,4,FALSE)+(VLOOKUP(VLOOKUP(AA$1,main!$A$3:$H$102,8,FALSE),main!$K$19:$O$22,MATCH(VLOOKUP($A48,main!$A$3:$H$102,7,FALSE),main!$K$18:$O$18,0),0))),0)</f>
        <v>240</v>
      </c>
      <c r="AB48">
        <f>IF((gamma!AB48),IF(VLOOKUP(AB$1,main!$A$3:$H$102,7,FALSE)=VLOOKUP($A48,main!$A$3:$H$102,8,FALSE),VLOOKUP(AB$1,main!$A$3:$H$102,4,FALSE),VLOOKUP(AB$1,main!$A$3:$H$102,4,FALSE)+VLOOKUP($A48,main!$A$3:$H$102,4,FALSE)+(VLOOKUP(VLOOKUP(AB$1,main!$A$3:$H$102,8,FALSE),main!$K$19:$O$22,MATCH(VLOOKUP($A48,main!$A$3:$H$102,7,FALSE),main!$K$18:$O$18,0),0))),0)</f>
        <v>0</v>
      </c>
      <c r="AC48">
        <f>IF((gamma!AC48),IF(VLOOKUP(AC$1,main!$A$3:$H$102,7,FALSE)=VLOOKUP($A48,main!$A$3:$H$102,8,FALSE),VLOOKUP(AC$1,main!$A$3:$H$102,4,FALSE),VLOOKUP(AC$1,main!$A$3:$H$102,4,FALSE)+VLOOKUP($A48,main!$A$3:$H$102,4,FALSE)+(VLOOKUP(VLOOKUP(AC$1,main!$A$3:$H$102,8,FALSE),main!$K$19:$O$22,MATCH(VLOOKUP($A48,main!$A$3:$H$102,7,FALSE),main!$K$18:$O$18,0),0))),0)</f>
        <v>0</v>
      </c>
      <c r="AD48">
        <f>IF((gamma!AD48),IF(VLOOKUP(AD$1,main!$A$3:$H$102,7,FALSE)=VLOOKUP($A48,main!$A$3:$H$102,8,FALSE),VLOOKUP(AD$1,main!$A$3:$H$102,4,FALSE),VLOOKUP(AD$1,main!$A$3:$H$102,4,FALSE)+VLOOKUP($A48,main!$A$3:$H$102,4,FALSE)+(VLOOKUP(VLOOKUP(AD$1,main!$A$3:$H$102,8,FALSE),main!$K$19:$O$22,MATCH(VLOOKUP($A48,main!$A$3:$H$102,7,FALSE),main!$K$18:$O$18,0),0))),0)</f>
        <v>235</v>
      </c>
      <c r="AE48">
        <f>IF((gamma!AE48),IF(VLOOKUP(AE$1,main!$A$3:$H$102,7,FALSE)=VLOOKUP($A48,main!$A$3:$H$102,8,FALSE),VLOOKUP(AE$1,main!$A$3:$H$102,4,FALSE),VLOOKUP(AE$1,main!$A$3:$H$102,4,FALSE)+VLOOKUP($A48,main!$A$3:$H$102,4,FALSE)+(VLOOKUP(VLOOKUP(AE$1,main!$A$3:$H$102,8,FALSE),main!$K$19:$O$22,MATCH(VLOOKUP($A48,main!$A$3:$H$102,7,FALSE),main!$K$18:$O$18,0),0))),0)</f>
        <v>240</v>
      </c>
      <c r="AF48">
        <f>IF((gamma!AF48),IF(VLOOKUP(AF$1,main!$A$3:$H$102,7,FALSE)=VLOOKUP($A48,main!$A$3:$H$102,8,FALSE),VLOOKUP(AF$1,main!$A$3:$H$102,4,FALSE),VLOOKUP(AF$1,main!$A$3:$H$102,4,FALSE)+VLOOKUP($A48,main!$A$3:$H$102,4,FALSE)+(VLOOKUP(VLOOKUP(AF$1,main!$A$3:$H$102,8,FALSE),main!$K$19:$O$22,MATCH(VLOOKUP($A48,main!$A$3:$H$102,7,FALSE),main!$K$18:$O$18,0),0))),0)</f>
        <v>200</v>
      </c>
      <c r="AG48">
        <f>IF((gamma!AG48),IF(VLOOKUP(AG$1,main!$A$3:$H$102,7,FALSE)=VLOOKUP($A48,main!$A$3:$H$102,8,FALSE),VLOOKUP(AG$1,main!$A$3:$H$102,4,FALSE),VLOOKUP(AG$1,main!$A$3:$H$102,4,FALSE)+VLOOKUP($A48,main!$A$3:$H$102,4,FALSE)+(VLOOKUP(VLOOKUP(AG$1,main!$A$3:$H$102,8,FALSE),main!$K$19:$O$22,MATCH(VLOOKUP($A48,main!$A$3:$H$102,7,FALSE),main!$K$18:$O$18,0),0))),0)</f>
        <v>0</v>
      </c>
      <c r="AH48">
        <f>IF((gamma!AH48),IF(VLOOKUP(AH$1,main!$A$3:$H$102,7,FALSE)=VLOOKUP($A48,main!$A$3:$H$102,8,FALSE),VLOOKUP(AH$1,main!$A$3:$H$102,4,FALSE),VLOOKUP(AH$1,main!$A$3:$H$102,4,FALSE)+VLOOKUP($A48,main!$A$3:$H$102,4,FALSE)+(VLOOKUP(VLOOKUP(AH$1,main!$A$3:$H$102,8,FALSE),main!$K$19:$O$22,MATCH(VLOOKUP($A48,main!$A$3:$H$102,7,FALSE),main!$K$18:$O$18,0),0))),0)</f>
        <v>220</v>
      </c>
      <c r="AI48">
        <f>IF((gamma!AI48),IF(VLOOKUP(AI$1,main!$A$3:$H$102,7,FALSE)=VLOOKUP($A48,main!$A$3:$H$102,8,FALSE),VLOOKUP(AI$1,main!$A$3:$H$102,4,FALSE),VLOOKUP(AI$1,main!$A$3:$H$102,4,FALSE)+VLOOKUP($A48,main!$A$3:$H$102,4,FALSE)+(VLOOKUP(VLOOKUP(AI$1,main!$A$3:$H$102,8,FALSE),main!$K$19:$O$22,MATCH(VLOOKUP($A48,main!$A$3:$H$102,7,FALSE),main!$K$18:$O$18,0),0))),0)</f>
        <v>220</v>
      </c>
      <c r="AJ48">
        <f>IF((gamma!AJ48),IF(VLOOKUP(AJ$1,main!$A$3:$H$102,7,FALSE)=VLOOKUP($A48,main!$A$3:$H$102,8,FALSE),VLOOKUP(AJ$1,main!$A$3:$H$102,4,FALSE),VLOOKUP(AJ$1,main!$A$3:$H$102,4,FALSE)+VLOOKUP($A48,main!$A$3:$H$102,4,FALSE)+(VLOOKUP(VLOOKUP(AJ$1,main!$A$3:$H$102,8,FALSE),main!$K$19:$O$22,MATCH(VLOOKUP($A48,main!$A$3:$H$102,7,FALSE),main!$K$18:$O$18,0),0))),0)</f>
        <v>220</v>
      </c>
      <c r="AK48">
        <f>IF((gamma!AK48),IF(VLOOKUP(AK$1,main!$A$3:$H$102,7,FALSE)=VLOOKUP($A48,main!$A$3:$H$102,8,FALSE),VLOOKUP(AK$1,main!$A$3:$H$102,4,FALSE),VLOOKUP(AK$1,main!$A$3:$H$102,4,FALSE)+VLOOKUP($A48,main!$A$3:$H$102,4,FALSE)+(VLOOKUP(VLOOKUP(AK$1,main!$A$3:$H$102,8,FALSE),main!$K$19:$O$22,MATCH(VLOOKUP($A48,main!$A$3:$H$102,7,FALSE),main!$K$18:$O$18,0),0))),0)</f>
        <v>220</v>
      </c>
      <c r="AL48">
        <f>IF((gamma!AL48),IF(VLOOKUP(AL$1,main!$A$3:$H$102,7,FALSE)=VLOOKUP($A48,main!$A$3:$H$102,8,FALSE),VLOOKUP(AL$1,main!$A$3:$H$102,4,FALSE),VLOOKUP(AL$1,main!$A$3:$H$102,4,FALSE)+VLOOKUP($A48,main!$A$3:$H$102,4,FALSE)+(VLOOKUP(VLOOKUP(AL$1,main!$A$3:$H$102,8,FALSE),main!$K$19:$O$22,MATCH(VLOOKUP($A48,main!$A$3:$H$102,7,FALSE),main!$K$18:$O$18,0),0))),0)</f>
        <v>220</v>
      </c>
      <c r="AM48">
        <f>IF((gamma!AM48),IF(VLOOKUP(AM$1,main!$A$3:$H$102,7,FALSE)=VLOOKUP($A48,main!$A$3:$H$102,8,FALSE),VLOOKUP(AM$1,main!$A$3:$H$102,4,FALSE),VLOOKUP(AM$1,main!$A$3:$H$102,4,FALSE)+VLOOKUP($A48,main!$A$3:$H$102,4,FALSE)+(VLOOKUP(VLOOKUP(AM$1,main!$A$3:$H$102,8,FALSE),main!$K$19:$O$22,MATCH(VLOOKUP($A48,main!$A$3:$H$102,7,FALSE),main!$K$18:$O$18,0),0))),0)</f>
        <v>220</v>
      </c>
      <c r="AN48">
        <f>IF((gamma!AN48),IF(VLOOKUP(AN$1,main!$A$3:$H$102,7,FALSE)=VLOOKUP($A48,main!$A$3:$H$102,8,FALSE),VLOOKUP(AN$1,main!$A$3:$H$102,4,FALSE),VLOOKUP(AN$1,main!$A$3:$H$102,4,FALSE)+VLOOKUP($A48,main!$A$3:$H$102,4,FALSE)+(VLOOKUP(VLOOKUP(AN$1,main!$A$3:$H$102,8,FALSE),main!$K$19:$O$22,MATCH(VLOOKUP($A48,main!$A$3:$H$102,7,FALSE),main!$K$18:$O$18,0),0))),0)</f>
        <v>220</v>
      </c>
      <c r="AO48">
        <f>IF((gamma!AO48),IF(VLOOKUP(AO$1,main!$A$3:$H$102,7,FALSE)=VLOOKUP($A48,main!$A$3:$H$102,8,FALSE),VLOOKUP(AO$1,main!$A$3:$H$102,4,FALSE),VLOOKUP(AO$1,main!$A$3:$H$102,4,FALSE)+VLOOKUP($A48,main!$A$3:$H$102,4,FALSE)+(VLOOKUP(VLOOKUP(AO$1,main!$A$3:$H$102,8,FALSE),main!$K$19:$O$22,MATCH(VLOOKUP($A48,main!$A$3:$H$102,7,FALSE),main!$K$18:$O$18,0),0))),0)</f>
        <v>0</v>
      </c>
      <c r="AP48">
        <f>IF((gamma!AP48),IF(VLOOKUP(AP$1,main!$A$3:$H$102,7,FALSE)=VLOOKUP($A48,main!$A$3:$H$102,8,FALSE),VLOOKUP(AP$1,main!$A$3:$H$102,4,FALSE),VLOOKUP(AP$1,main!$A$3:$H$102,4,FALSE)+VLOOKUP($A48,main!$A$3:$H$102,4,FALSE)+(VLOOKUP(VLOOKUP(AP$1,main!$A$3:$H$102,8,FALSE),main!$K$19:$O$22,MATCH(VLOOKUP($A48,main!$A$3:$H$102,7,FALSE),main!$K$18:$O$18,0),0))),0)</f>
        <v>160</v>
      </c>
      <c r="AQ48">
        <f>IF((gamma!AQ48),IF(VLOOKUP(AQ$1,main!$A$3:$H$102,7,FALSE)=VLOOKUP($A48,main!$A$3:$H$102,8,FALSE),VLOOKUP(AQ$1,main!$A$3:$H$102,4,FALSE),VLOOKUP(AQ$1,main!$A$3:$H$102,4,FALSE)+VLOOKUP($A48,main!$A$3:$H$102,4,FALSE)+(VLOOKUP(VLOOKUP(AQ$1,main!$A$3:$H$102,8,FALSE),main!$K$19:$O$22,MATCH(VLOOKUP($A48,main!$A$3:$H$102,7,FALSE),main!$K$18:$O$18,0),0))),0)</f>
        <v>0</v>
      </c>
      <c r="AR48">
        <f>IF((gamma!AR48),IF(VLOOKUP(AR$1,main!$A$3:$H$102,7,FALSE)=VLOOKUP($A48,main!$A$3:$H$102,8,FALSE),VLOOKUP(AR$1,main!$A$3:$H$102,4,FALSE),VLOOKUP(AR$1,main!$A$3:$H$102,4,FALSE)+VLOOKUP($A48,main!$A$3:$H$102,4,FALSE)+(VLOOKUP(VLOOKUP(AR$1,main!$A$3:$H$102,8,FALSE),main!$K$19:$O$22,MATCH(VLOOKUP($A48,main!$A$3:$H$102,7,FALSE),main!$K$18:$O$18,0),0))),0)</f>
        <v>0</v>
      </c>
      <c r="AS48">
        <f>IF((gamma!AS48),IF(VLOOKUP(AS$1,main!$A$3:$H$102,7,FALSE)=VLOOKUP($A48,main!$A$3:$H$102,8,FALSE),VLOOKUP(AS$1,main!$A$3:$H$102,4,FALSE),VLOOKUP(AS$1,main!$A$3:$H$102,4,FALSE)+VLOOKUP($A48,main!$A$3:$H$102,4,FALSE)+(VLOOKUP(VLOOKUP(AS$1,main!$A$3:$H$102,8,FALSE),main!$K$19:$O$22,MATCH(VLOOKUP($A48,main!$A$3:$H$102,7,FALSE),main!$K$18:$O$18,0),0))),0)</f>
        <v>208</v>
      </c>
      <c r="AT48">
        <f>IF((gamma!AT48),IF(VLOOKUP(AT$1,main!$A$3:$H$102,7,FALSE)=VLOOKUP($A48,main!$A$3:$H$102,8,FALSE),VLOOKUP(AT$1,main!$A$3:$H$102,4,FALSE),VLOOKUP(AT$1,main!$A$3:$H$102,4,FALSE)+VLOOKUP($A48,main!$A$3:$H$102,4,FALSE)+(VLOOKUP(VLOOKUP(AT$1,main!$A$3:$H$102,8,FALSE),main!$K$19:$O$22,MATCH(VLOOKUP($A48,main!$A$3:$H$102,7,FALSE),main!$K$18:$O$18,0),0))),0)</f>
        <v>218</v>
      </c>
      <c r="AU48">
        <f>IF((gamma!AU48),IF(VLOOKUP(AU$1,main!$A$3:$H$102,7,FALSE)=VLOOKUP($A48,main!$A$3:$H$102,8,FALSE),VLOOKUP(AU$1,main!$A$3:$H$102,4,FALSE),VLOOKUP(AU$1,main!$A$3:$H$102,4,FALSE)+VLOOKUP($A48,main!$A$3:$H$102,4,FALSE)+(VLOOKUP(VLOOKUP(AU$1,main!$A$3:$H$102,8,FALSE),main!$K$19:$O$22,MATCH(VLOOKUP($A48,main!$A$3:$H$102,7,FALSE),main!$K$18:$O$18,0),0))),0)</f>
        <v>0</v>
      </c>
      <c r="AV48">
        <f>IF((gamma!AV48),IF(VLOOKUP(AV$1,main!$A$3:$H$102,7,FALSE)=VLOOKUP($A48,main!$A$3:$H$102,8,FALSE),VLOOKUP(AV$1,main!$A$3:$H$102,4,FALSE),VLOOKUP(AV$1,main!$A$3:$H$102,4,FALSE)+VLOOKUP($A48,main!$A$3:$H$102,4,FALSE)+(VLOOKUP(VLOOKUP(AV$1,main!$A$3:$H$102,8,FALSE),main!$K$19:$O$22,MATCH(VLOOKUP($A48,main!$A$3:$H$102,7,FALSE),main!$K$18:$O$18,0),0))),0)</f>
        <v>0</v>
      </c>
      <c r="AW48">
        <f>IF((gamma!AW48),IF(VLOOKUP(AW$1,main!$A$3:$H$102,7,FALSE)=VLOOKUP($A48,main!$A$3:$H$102,8,FALSE),VLOOKUP(AW$1,main!$A$3:$H$102,4,FALSE),VLOOKUP(AW$1,main!$A$3:$H$102,4,FALSE)+VLOOKUP($A48,main!$A$3:$H$102,4,FALSE)+(VLOOKUP(VLOOKUP(AW$1,main!$A$3:$H$102,8,FALSE),main!$K$19:$O$22,MATCH(VLOOKUP($A48,main!$A$3:$H$102,7,FALSE),main!$K$18:$O$18,0),0))),0)</f>
        <v>208</v>
      </c>
      <c r="AX48">
        <f>IF((gamma!AX48),IF(VLOOKUP(AX$1,main!$A$3:$H$102,7,FALSE)=VLOOKUP($A48,main!$A$3:$H$102,8,FALSE),VLOOKUP(AX$1,main!$A$3:$H$102,4,FALSE),VLOOKUP(AX$1,main!$A$3:$H$102,4,FALSE)+VLOOKUP($A48,main!$A$3:$H$102,4,FALSE)+(VLOOKUP(VLOOKUP(AX$1,main!$A$3:$H$102,8,FALSE),main!$K$19:$O$22,MATCH(VLOOKUP($A48,main!$A$3:$H$102,7,FALSE),main!$K$18:$O$18,0),0))),0)</f>
        <v>193</v>
      </c>
      <c r="AY48">
        <f>IF((gamma!AY48),IF(VLOOKUP(AY$1,main!$A$3:$H$102,7,FALSE)=VLOOKUP($A48,main!$A$3:$H$102,8,FALSE),VLOOKUP(AY$1,main!$A$3:$H$102,4,FALSE),VLOOKUP(AY$1,main!$A$3:$H$102,4,FALSE)+VLOOKUP($A48,main!$A$3:$H$102,4,FALSE)+(VLOOKUP(VLOOKUP(AY$1,main!$A$3:$H$102,8,FALSE),main!$K$19:$O$22,MATCH(VLOOKUP($A48,main!$A$3:$H$102,7,FALSE),main!$K$18:$O$18,0),0))),0)</f>
        <v>0</v>
      </c>
      <c r="AZ48">
        <f>IF((gamma!AZ48),IF(VLOOKUP(AZ$1,main!$A$3:$H$102,7,FALSE)=VLOOKUP($A48,main!$A$3:$H$102,8,FALSE),VLOOKUP(AZ$1,main!$A$3:$H$102,4,FALSE),VLOOKUP(AZ$1,main!$A$3:$H$102,4,FALSE)+VLOOKUP($A48,main!$A$3:$H$102,4,FALSE)+(VLOOKUP(VLOOKUP(AZ$1,main!$A$3:$H$102,8,FALSE),main!$K$19:$O$22,MATCH(VLOOKUP($A48,main!$A$3:$H$102,7,FALSE),main!$K$18:$O$18,0),0))),0)</f>
        <v>223</v>
      </c>
      <c r="BA48">
        <f>IF((gamma!BA48),IF(VLOOKUP(BA$1,main!$A$3:$H$102,7,FALSE)=VLOOKUP($A48,main!$A$3:$H$102,8,FALSE),VLOOKUP(BA$1,main!$A$3:$H$102,4,FALSE),VLOOKUP(BA$1,main!$A$3:$H$102,4,FALSE)+VLOOKUP($A48,main!$A$3:$H$102,4,FALSE)+(VLOOKUP(VLOOKUP(BA$1,main!$A$3:$H$102,8,FALSE),main!$K$19:$O$22,MATCH(VLOOKUP($A48,main!$A$3:$H$102,7,FALSE),main!$K$18:$O$18,0),0))),0)</f>
        <v>0</v>
      </c>
      <c r="BB48">
        <f>IF((gamma!BB48),IF(VLOOKUP(BB$1,main!$A$3:$H$102,7,FALSE)=VLOOKUP($A48,main!$A$3:$H$102,8,FALSE),VLOOKUP(BB$1,main!$A$3:$H$102,4,FALSE),VLOOKUP(BB$1,main!$A$3:$H$102,4,FALSE)+VLOOKUP($A48,main!$A$3:$H$102,4,FALSE)+(VLOOKUP(VLOOKUP(BB$1,main!$A$3:$H$102,8,FALSE),main!$K$19:$O$22,MATCH(VLOOKUP($A48,main!$A$3:$H$102,7,FALSE),main!$K$18:$O$18,0),0))),0)</f>
        <v>140</v>
      </c>
      <c r="BC48">
        <f>IF((gamma!BC48),IF(VLOOKUP(BC$1,main!$A$3:$H$102,7,FALSE)=VLOOKUP($A48,main!$A$3:$H$102,8,FALSE),VLOOKUP(BC$1,main!$A$3:$H$102,4,FALSE),VLOOKUP(BC$1,main!$A$3:$H$102,4,FALSE)+VLOOKUP($A48,main!$A$3:$H$102,4,FALSE)+(VLOOKUP(VLOOKUP(BC$1,main!$A$3:$H$102,8,FALSE),main!$K$19:$O$22,MATCH(VLOOKUP($A48,main!$A$3:$H$102,7,FALSE),main!$K$18:$O$18,0),0))),0)</f>
        <v>140</v>
      </c>
      <c r="BD48">
        <f>IF((gamma!BD48),IF(VLOOKUP(BD$1,main!$A$3:$H$102,7,FALSE)=VLOOKUP($A48,main!$A$3:$H$102,8,FALSE),VLOOKUP(BD$1,main!$A$3:$H$102,4,FALSE),VLOOKUP(BD$1,main!$A$3:$H$102,4,FALSE)+VLOOKUP($A48,main!$A$3:$H$102,4,FALSE)+(VLOOKUP(VLOOKUP(BD$1,main!$A$3:$H$102,8,FALSE),main!$K$19:$O$22,MATCH(VLOOKUP($A48,main!$A$3:$H$102,7,FALSE),main!$K$18:$O$18,0),0))),0)</f>
        <v>140</v>
      </c>
      <c r="BE48">
        <f>IF((gamma!BE48),IF(VLOOKUP(BE$1,main!$A$3:$H$102,7,FALSE)=VLOOKUP($A48,main!$A$3:$H$102,8,FALSE),VLOOKUP(BE$1,main!$A$3:$H$102,4,FALSE),VLOOKUP(BE$1,main!$A$3:$H$102,4,FALSE)+VLOOKUP($A48,main!$A$3:$H$102,4,FALSE)+(VLOOKUP(VLOOKUP(BE$1,main!$A$3:$H$102,8,FALSE),main!$K$19:$O$22,MATCH(VLOOKUP($A48,main!$A$3:$H$102,7,FALSE),main!$K$18:$O$18,0),0))),0)</f>
        <v>140</v>
      </c>
      <c r="BF48">
        <f>IF((gamma!BF48),IF(VLOOKUP(BF$1,main!$A$3:$H$102,7,FALSE)=VLOOKUP($A48,main!$A$3:$H$102,8,FALSE),VLOOKUP(BF$1,main!$A$3:$H$102,4,FALSE),VLOOKUP(BF$1,main!$A$3:$H$102,4,FALSE)+VLOOKUP($A48,main!$A$3:$H$102,4,FALSE)+(VLOOKUP(VLOOKUP(BF$1,main!$A$3:$H$102,8,FALSE),main!$K$19:$O$22,MATCH(VLOOKUP($A48,main!$A$3:$H$102,7,FALSE),main!$K$18:$O$18,0),0))),0)</f>
        <v>120</v>
      </c>
      <c r="BG48">
        <f>IF((gamma!BG48),IF(VLOOKUP(BG$1,main!$A$3:$H$102,7,FALSE)=VLOOKUP($A48,main!$A$3:$H$102,8,FALSE),VLOOKUP(BG$1,main!$A$3:$H$102,4,FALSE),VLOOKUP(BG$1,main!$A$3:$H$102,4,FALSE)+VLOOKUP($A48,main!$A$3:$H$102,4,FALSE)+(VLOOKUP(VLOOKUP(BG$1,main!$A$3:$H$102,8,FALSE),main!$K$19:$O$22,MATCH(VLOOKUP($A48,main!$A$3:$H$102,7,FALSE),main!$K$18:$O$18,0),0))),0)</f>
        <v>115</v>
      </c>
      <c r="BH48">
        <f>IF((gamma!BH48),IF(VLOOKUP(BH$1,main!$A$3:$H$102,7,FALSE)=VLOOKUP($A48,main!$A$3:$H$102,8,FALSE),VLOOKUP(BH$1,main!$A$3:$H$102,4,FALSE),VLOOKUP(BH$1,main!$A$3:$H$102,4,FALSE)+VLOOKUP($A48,main!$A$3:$H$102,4,FALSE)+(VLOOKUP(VLOOKUP(BH$1,main!$A$3:$H$102,8,FALSE),main!$K$19:$O$22,MATCH(VLOOKUP($A48,main!$A$3:$H$102,7,FALSE),main!$K$18:$O$18,0),0))),0)</f>
        <v>125</v>
      </c>
      <c r="BI48">
        <f>IF((gamma!BI48),IF(VLOOKUP(BI$1,main!$A$3:$H$102,7,FALSE)=VLOOKUP($A48,main!$A$3:$H$102,8,FALSE),VLOOKUP(BI$1,main!$A$3:$H$102,4,FALSE),VLOOKUP(BI$1,main!$A$3:$H$102,4,FALSE)+VLOOKUP($A48,main!$A$3:$H$102,4,FALSE)+(VLOOKUP(VLOOKUP(BI$1,main!$A$3:$H$102,8,FALSE),main!$K$19:$O$22,MATCH(VLOOKUP($A48,main!$A$3:$H$102,7,FALSE),main!$K$18:$O$18,0),0))),0)</f>
        <v>60</v>
      </c>
      <c r="BJ48">
        <f>IF((gamma!BJ48),IF(VLOOKUP(BJ$1,main!$A$3:$H$102,7,FALSE)=VLOOKUP($A48,main!$A$3:$H$102,8,FALSE),VLOOKUP(BJ$1,main!$A$3:$H$102,4,FALSE),VLOOKUP(BJ$1,main!$A$3:$H$102,4,FALSE)+VLOOKUP($A48,main!$A$3:$H$102,4,FALSE)+(VLOOKUP(VLOOKUP(BJ$1,main!$A$3:$H$102,8,FALSE),main!$K$19:$O$22,MATCH(VLOOKUP($A48,main!$A$3:$H$102,7,FALSE),main!$K$18:$O$18,0),0))),0)</f>
        <v>90</v>
      </c>
      <c r="BK48">
        <f>IF((gamma!BK48),IF(VLOOKUP(BK$1,main!$A$3:$H$102,7,FALSE)=VLOOKUP($A48,main!$A$3:$H$102,8,FALSE),VLOOKUP(BK$1,main!$A$3:$H$102,4,FALSE),VLOOKUP(BK$1,main!$A$3:$H$102,4,FALSE)+VLOOKUP($A48,main!$A$3:$H$102,4,FALSE)+(VLOOKUP(VLOOKUP(BK$1,main!$A$3:$H$102,8,FALSE),main!$K$19:$O$22,MATCH(VLOOKUP($A48,main!$A$3:$H$102,7,FALSE),main!$K$18:$O$18,0),0))),0)</f>
        <v>0</v>
      </c>
      <c r="BL48">
        <f>IF((gamma!BL48),IF(VLOOKUP(BL$1,main!$A$3:$H$102,7,FALSE)=VLOOKUP($A48,main!$A$3:$H$102,8,FALSE),VLOOKUP(BL$1,main!$A$3:$H$102,4,FALSE),VLOOKUP(BL$1,main!$A$3:$H$102,4,FALSE)+VLOOKUP($A48,main!$A$3:$H$102,4,FALSE)+(VLOOKUP(VLOOKUP(BL$1,main!$A$3:$H$102,8,FALSE),main!$K$19:$O$22,MATCH(VLOOKUP($A48,main!$A$3:$H$102,7,FALSE),main!$K$18:$O$18,0),0))),0)</f>
        <v>0</v>
      </c>
      <c r="BM48">
        <f>IF((gamma!BM48),IF(VLOOKUP(BM$1,main!$A$3:$H$102,7,FALSE)=VLOOKUP($A48,main!$A$3:$H$102,8,FALSE),VLOOKUP(BM$1,main!$A$3:$H$102,4,FALSE),VLOOKUP(BM$1,main!$A$3:$H$102,4,FALSE)+VLOOKUP($A48,main!$A$3:$H$102,4,FALSE)+(VLOOKUP(VLOOKUP(BM$1,main!$A$3:$H$102,8,FALSE),main!$K$19:$O$22,MATCH(VLOOKUP($A48,main!$A$3:$H$102,7,FALSE),main!$K$18:$O$18,0),0))),0)</f>
        <v>140</v>
      </c>
      <c r="BN48">
        <f>IF((gamma!BN48),IF(VLOOKUP(BN$1,main!$A$3:$H$102,7,FALSE)=VLOOKUP($A48,main!$A$3:$H$102,8,FALSE),VLOOKUP(BN$1,main!$A$3:$H$102,4,FALSE),VLOOKUP(BN$1,main!$A$3:$H$102,4,FALSE)+VLOOKUP($A48,main!$A$3:$H$102,4,FALSE)+(VLOOKUP(VLOOKUP(BN$1,main!$A$3:$H$102,8,FALSE),main!$K$19:$O$22,MATCH(VLOOKUP($A48,main!$A$3:$H$102,7,FALSE),main!$K$18:$O$18,0),0))),0)</f>
        <v>120</v>
      </c>
      <c r="BO48">
        <f>IF((gamma!BO48),IF(VLOOKUP(BO$1,main!$A$3:$H$102,7,FALSE)=VLOOKUP($A48,main!$A$3:$H$102,8,FALSE),VLOOKUP(BO$1,main!$A$3:$H$102,4,FALSE),VLOOKUP(BO$1,main!$A$3:$H$102,4,FALSE)+VLOOKUP($A48,main!$A$3:$H$102,4,FALSE)+(VLOOKUP(VLOOKUP(BO$1,main!$A$3:$H$102,8,FALSE),main!$K$19:$O$22,MATCH(VLOOKUP($A48,main!$A$3:$H$102,7,FALSE),main!$K$18:$O$18,0),0))),0)</f>
        <v>0</v>
      </c>
      <c r="BP48">
        <f>IF((gamma!BP48),IF(VLOOKUP(BP$1,main!$A$3:$H$102,7,FALSE)=VLOOKUP($A48,main!$A$3:$H$102,8,FALSE),VLOOKUP(BP$1,main!$A$3:$H$102,4,FALSE),VLOOKUP(BP$1,main!$A$3:$H$102,4,FALSE)+VLOOKUP($A48,main!$A$3:$H$102,4,FALSE)+(VLOOKUP(VLOOKUP(BP$1,main!$A$3:$H$102,8,FALSE),main!$K$19:$O$22,MATCH(VLOOKUP($A48,main!$A$3:$H$102,7,FALSE),main!$K$18:$O$18,0),0))),0)</f>
        <v>0</v>
      </c>
      <c r="BQ48">
        <f>IF((gamma!BQ48),IF(VLOOKUP(BQ$1,main!$A$3:$H$102,7,FALSE)=VLOOKUP($A48,main!$A$3:$H$102,8,FALSE),VLOOKUP(BQ$1,main!$A$3:$H$102,4,FALSE),VLOOKUP(BQ$1,main!$A$3:$H$102,4,FALSE)+VLOOKUP($A48,main!$A$3:$H$102,4,FALSE)+(VLOOKUP(VLOOKUP(BQ$1,main!$A$3:$H$102,8,FALSE),main!$K$19:$O$22,MATCH(VLOOKUP($A48,main!$A$3:$H$102,7,FALSE),main!$K$18:$O$18,0),0))),0)</f>
        <v>140</v>
      </c>
      <c r="BR48">
        <f>IF((gamma!BR48),IF(VLOOKUP(BR$1,main!$A$3:$H$102,7,FALSE)=VLOOKUP($A48,main!$A$3:$H$102,8,FALSE),VLOOKUP(BR$1,main!$A$3:$H$102,4,FALSE),VLOOKUP(BR$1,main!$A$3:$H$102,4,FALSE)+VLOOKUP($A48,main!$A$3:$H$102,4,FALSE)+(VLOOKUP(VLOOKUP(BR$1,main!$A$3:$H$102,8,FALSE),main!$K$19:$O$22,MATCH(VLOOKUP($A48,main!$A$3:$H$102,7,FALSE),main!$K$18:$O$18,0),0))),0)</f>
        <v>100</v>
      </c>
      <c r="BS48">
        <f>IF((gamma!BS48),IF(VLOOKUP(BS$1,main!$A$3:$H$102,7,FALSE)=VLOOKUP($A48,main!$A$3:$H$102,8,FALSE),VLOOKUP(BS$1,main!$A$3:$H$102,4,FALSE),VLOOKUP(BS$1,main!$A$3:$H$102,4,FALSE)+VLOOKUP($A48,main!$A$3:$H$102,4,FALSE)+(VLOOKUP(VLOOKUP(BS$1,main!$A$3:$H$102,8,FALSE),main!$K$19:$O$22,MATCH(VLOOKUP($A48,main!$A$3:$H$102,7,FALSE),main!$K$18:$O$18,0),0))),0)</f>
        <v>101</v>
      </c>
      <c r="BT48">
        <f>IF((gamma!BT48),IF(VLOOKUP(BT$1,main!$A$3:$H$102,7,FALSE)=VLOOKUP($A48,main!$A$3:$H$102,8,FALSE),VLOOKUP(BT$1,main!$A$3:$H$102,4,FALSE),VLOOKUP(BT$1,main!$A$3:$H$102,4,FALSE)+VLOOKUP($A48,main!$A$3:$H$102,4,FALSE)+(VLOOKUP(VLOOKUP(BT$1,main!$A$3:$H$102,8,FALSE),main!$K$19:$O$22,MATCH(VLOOKUP($A48,main!$A$3:$H$102,7,FALSE),main!$K$18:$O$18,0),0))),0)</f>
        <v>120</v>
      </c>
      <c r="BU48">
        <f>IF((gamma!BU48),IF(VLOOKUP(BU$1,main!$A$3:$H$102,7,FALSE)=VLOOKUP($A48,main!$A$3:$H$102,8,FALSE),VLOOKUP(BU$1,main!$A$3:$H$102,4,FALSE),VLOOKUP(BU$1,main!$A$3:$H$102,4,FALSE)+VLOOKUP($A48,main!$A$3:$H$102,4,FALSE)+(VLOOKUP(VLOOKUP(BU$1,main!$A$3:$H$102,8,FALSE),main!$K$19:$O$22,MATCH(VLOOKUP($A48,main!$A$3:$H$102,7,FALSE),main!$K$18:$O$18,0),0))),0)</f>
        <v>0</v>
      </c>
      <c r="BV48">
        <f>IF((gamma!BV48),IF(VLOOKUP(BV$1,main!$A$3:$H$102,7,FALSE)=VLOOKUP($A48,main!$A$3:$H$102,8,FALSE),VLOOKUP(BV$1,main!$A$3:$H$102,4,FALSE),VLOOKUP(BV$1,main!$A$3:$H$102,4,FALSE)+VLOOKUP($A48,main!$A$3:$H$102,4,FALSE)+(VLOOKUP(VLOOKUP(BV$1,main!$A$3:$H$102,8,FALSE),main!$K$19:$O$22,MATCH(VLOOKUP($A48,main!$A$3:$H$102,7,FALSE),main!$K$18:$O$18,0),0))),0)</f>
        <v>0</v>
      </c>
      <c r="BW48">
        <f>IF((gamma!BW48),IF(VLOOKUP(BW$1,main!$A$3:$H$102,7,FALSE)=VLOOKUP($A48,main!$A$3:$H$102,8,FALSE),VLOOKUP(BW$1,main!$A$3:$H$102,4,FALSE),VLOOKUP(BW$1,main!$A$3:$H$102,4,FALSE)+VLOOKUP($A48,main!$A$3:$H$102,4,FALSE)+(VLOOKUP(VLOOKUP(BW$1,main!$A$3:$H$102,8,FALSE),main!$K$19:$O$22,MATCH(VLOOKUP($A48,main!$A$3:$H$102,7,FALSE),main!$K$18:$O$18,0),0))),0)</f>
        <v>135</v>
      </c>
      <c r="BX48">
        <f>IF((gamma!BX48),IF(VLOOKUP(BX$1,main!$A$3:$H$102,7,FALSE)=VLOOKUP($A48,main!$A$3:$H$102,8,FALSE),VLOOKUP(BX$1,main!$A$3:$H$102,4,FALSE),VLOOKUP(BX$1,main!$A$3:$H$102,4,FALSE)+VLOOKUP($A48,main!$A$3:$H$102,4,FALSE)+(VLOOKUP(VLOOKUP(BX$1,main!$A$3:$H$102,8,FALSE),main!$K$19:$O$22,MATCH(VLOOKUP($A48,main!$A$3:$H$102,7,FALSE),main!$K$18:$O$18,0),0))),0)</f>
        <v>135</v>
      </c>
      <c r="BY48">
        <f>IF((gamma!BY48),IF(VLOOKUP(BY$1,main!$A$3:$H$102,7,FALSE)=VLOOKUP($A48,main!$A$3:$H$102,8,FALSE),VLOOKUP(BY$1,main!$A$3:$H$102,4,FALSE),VLOOKUP(BY$1,main!$A$3:$H$102,4,FALSE)+VLOOKUP($A48,main!$A$3:$H$102,4,FALSE)+(VLOOKUP(VLOOKUP(BY$1,main!$A$3:$H$102,8,FALSE),main!$K$19:$O$22,MATCH(VLOOKUP($A48,main!$A$3:$H$102,7,FALSE),main!$K$18:$O$18,0),0))),0)</f>
        <v>120</v>
      </c>
      <c r="BZ48">
        <f>IF((gamma!BZ48),IF(VLOOKUP(BZ$1,main!$A$3:$H$102,7,FALSE)=VLOOKUP($A48,main!$A$3:$H$102,8,FALSE),VLOOKUP(BZ$1,main!$A$3:$H$102,4,FALSE),VLOOKUP(BZ$1,main!$A$3:$H$102,4,FALSE)+VLOOKUP($A48,main!$A$3:$H$102,4,FALSE)+(VLOOKUP(VLOOKUP(BZ$1,main!$A$3:$H$102,8,FALSE),main!$K$19:$O$22,MATCH(VLOOKUP($A48,main!$A$3:$H$102,7,FALSE),main!$K$18:$O$18,0),0))),0)</f>
        <v>0</v>
      </c>
      <c r="CA48">
        <f>IF((gamma!CA48),IF(VLOOKUP(CA$1,main!$A$3:$H$102,7,FALSE)=VLOOKUP($A48,main!$A$3:$H$102,8,FALSE),VLOOKUP(CA$1,main!$A$3:$H$102,4,FALSE),VLOOKUP(CA$1,main!$A$3:$H$102,4,FALSE)+VLOOKUP($A48,main!$A$3:$H$102,4,FALSE)+(VLOOKUP(VLOOKUP(CA$1,main!$A$3:$H$102,8,FALSE),main!$K$19:$O$22,MATCH(VLOOKUP($A48,main!$A$3:$H$102,7,FALSE),main!$K$18:$O$18,0),0))),0)</f>
        <v>75</v>
      </c>
      <c r="CB48">
        <f>IF((gamma!CB48),IF(VLOOKUP(CB$1,main!$A$3:$H$102,7,FALSE)=VLOOKUP($A48,main!$A$3:$H$102,8,FALSE),VLOOKUP(CB$1,main!$A$3:$H$102,4,FALSE),VLOOKUP(CB$1,main!$A$3:$H$102,4,FALSE)+VLOOKUP($A48,main!$A$3:$H$102,4,FALSE)+(VLOOKUP(VLOOKUP(CB$1,main!$A$3:$H$102,8,FALSE),main!$K$19:$O$22,MATCH(VLOOKUP($A48,main!$A$3:$H$102,7,FALSE),main!$K$18:$O$18,0),0))),0)</f>
        <v>65</v>
      </c>
      <c r="CC48">
        <f>IF((gamma!CC48),IF(VLOOKUP(CC$1,main!$A$3:$H$102,7,FALSE)=VLOOKUP($A48,main!$A$3:$H$102,8,FALSE),VLOOKUP(CC$1,main!$A$3:$H$102,4,FALSE),VLOOKUP(CC$1,main!$A$3:$H$102,4,FALSE)+VLOOKUP($A48,main!$A$3:$H$102,4,FALSE)+(VLOOKUP(VLOOKUP(CC$1,main!$A$3:$H$102,8,FALSE),main!$K$19:$O$22,MATCH(VLOOKUP($A48,main!$A$3:$H$102,7,FALSE),main!$K$18:$O$18,0),0))),0)</f>
        <v>55</v>
      </c>
      <c r="CD48">
        <f>IF((gamma!CD48),IF(VLOOKUP(CD$1,main!$A$3:$H$102,7,FALSE)=VLOOKUP($A48,main!$A$3:$H$102,8,FALSE),VLOOKUP(CD$1,main!$A$3:$H$102,4,FALSE),VLOOKUP(CD$1,main!$A$3:$H$102,4,FALSE)+VLOOKUP($A48,main!$A$3:$H$102,4,FALSE)+(VLOOKUP(VLOOKUP(CD$1,main!$A$3:$H$102,8,FALSE),main!$K$19:$O$22,MATCH(VLOOKUP($A48,main!$A$3:$H$102,7,FALSE),main!$K$18:$O$18,0),0))),0)</f>
        <v>114</v>
      </c>
      <c r="CE48">
        <f>IF((gamma!CE48),IF(VLOOKUP(CE$1,main!$A$3:$H$102,7,FALSE)=VLOOKUP($A48,main!$A$3:$H$102,8,FALSE),VLOOKUP(CE$1,main!$A$3:$H$102,4,FALSE),VLOOKUP(CE$1,main!$A$3:$H$102,4,FALSE)+VLOOKUP($A48,main!$A$3:$H$102,4,FALSE)+(VLOOKUP(VLOOKUP(CE$1,main!$A$3:$H$102,8,FALSE),main!$K$19:$O$22,MATCH(VLOOKUP($A48,main!$A$3:$H$102,7,FALSE),main!$K$18:$O$18,0),0))),0)</f>
        <v>225</v>
      </c>
      <c r="CF48">
        <f>IF((gamma!CF48),IF(VLOOKUP(CF$1,main!$A$3:$H$102,7,FALSE)=VLOOKUP($A48,main!$A$3:$H$102,8,FALSE),VLOOKUP(CF$1,main!$A$3:$H$102,4,FALSE),VLOOKUP(CF$1,main!$A$3:$H$102,4,FALSE)+VLOOKUP($A48,main!$A$3:$H$102,4,FALSE)+(VLOOKUP(VLOOKUP(CF$1,main!$A$3:$H$102,8,FALSE),main!$K$19:$O$22,MATCH(VLOOKUP($A48,main!$A$3:$H$102,7,FALSE),main!$K$18:$O$18,0),0))),0)</f>
        <v>220</v>
      </c>
      <c r="CG48">
        <f>IF((gamma!CG48),IF(VLOOKUP(CG$1,main!$A$3:$H$102,7,FALSE)=VLOOKUP($A48,main!$A$3:$H$102,8,FALSE),VLOOKUP(CG$1,main!$A$3:$H$102,4,FALSE),VLOOKUP(CG$1,main!$A$3:$H$102,4,FALSE)+VLOOKUP($A48,main!$A$3:$H$102,4,FALSE)+(VLOOKUP(VLOOKUP(CG$1,main!$A$3:$H$102,8,FALSE),main!$K$19:$O$22,MATCH(VLOOKUP($A48,main!$A$3:$H$102,7,FALSE),main!$K$18:$O$18,0),0))),0)</f>
        <v>225</v>
      </c>
      <c r="CH48">
        <f>IF((gamma!CH48),IF(VLOOKUP(CH$1,main!$A$3:$H$102,7,FALSE)=VLOOKUP($A48,main!$A$3:$H$102,8,FALSE),VLOOKUP(CH$1,main!$A$3:$H$102,4,FALSE),VLOOKUP(CH$1,main!$A$3:$H$102,4,FALSE)+VLOOKUP($A48,main!$A$3:$H$102,4,FALSE)+(VLOOKUP(VLOOKUP(CH$1,main!$A$3:$H$102,8,FALSE),main!$K$19:$O$22,MATCH(VLOOKUP($A48,main!$A$3:$H$102,7,FALSE),main!$K$18:$O$18,0),0))),0)</f>
        <v>225</v>
      </c>
      <c r="CI48">
        <f>IF((gamma!CI48),IF(VLOOKUP(CI$1,main!$A$3:$H$102,7,FALSE)=VLOOKUP($A48,main!$A$3:$H$102,8,FALSE),VLOOKUP(CI$1,main!$A$3:$H$102,4,FALSE),VLOOKUP(CI$1,main!$A$3:$H$102,4,FALSE)+VLOOKUP($A48,main!$A$3:$H$102,4,FALSE)+(VLOOKUP(VLOOKUP(CI$1,main!$A$3:$H$102,8,FALSE),main!$K$19:$O$22,MATCH(VLOOKUP($A48,main!$A$3:$H$102,7,FALSE),main!$K$18:$O$18,0),0))),0)</f>
        <v>225</v>
      </c>
      <c r="CJ48">
        <f>IF((gamma!CJ48),IF(VLOOKUP(CJ$1,main!$A$3:$H$102,7,FALSE)=VLOOKUP($A48,main!$A$3:$H$102,8,FALSE),VLOOKUP(CJ$1,main!$A$3:$H$102,4,FALSE),VLOOKUP(CJ$1,main!$A$3:$H$102,4,FALSE)+VLOOKUP($A48,main!$A$3:$H$102,4,FALSE)+(VLOOKUP(VLOOKUP(CJ$1,main!$A$3:$H$102,8,FALSE),main!$K$19:$O$22,MATCH(VLOOKUP($A48,main!$A$3:$H$102,7,FALSE),main!$K$18:$O$18,0),0))),0)</f>
        <v>153</v>
      </c>
      <c r="CK48">
        <f>IF((gamma!CK48),IF(VLOOKUP(CK$1,main!$A$3:$H$102,7,FALSE)=VLOOKUP($A48,main!$A$3:$H$102,8,FALSE),VLOOKUP(CK$1,main!$A$3:$H$102,4,FALSE),VLOOKUP(CK$1,main!$A$3:$H$102,4,FALSE)+VLOOKUP($A48,main!$A$3:$H$102,4,FALSE)+(VLOOKUP(VLOOKUP(CK$1,main!$A$3:$H$102,8,FALSE),main!$K$19:$O$22,MATCH(VLOOKUP($A48,main!$A$3:$H$102,7,FALSE),main!$K$18:$O$18,0),0))),0)</f>
        <v>160</v>
      </c>
      <c r="CL48">
        <f>IF((gamma!CL48),IF(VLOOKUP(CL$1,main!$A$3:$H$102,7,FALSE)=VLOOKUP($A48,main!$A$3:$H$102,8,FALSE),VLOOKUP(CL$1,main!$A$3:$H$102,4,FALSE),VLOOKUP(CL$1,main!$A$3:$H$102,4,FALSE)+VLOOKUP($A48,main!$A$3:$H$102,4,FALSE)+(VLOOKUP(VLOOKUP(CL$1,main!$A$3:$H$102,8,FALSE),main!$K$19:$O$22,MATCH(VLOOKUP($A48,main!$A$3:$H$102,7,FALSE),main!$K$18:$O$18,0),0))),0)</f>
        <v>165</v>
      </c>
      <c r="CM48">
        <f>IF((gamma!CM48),IF(VLOOKUP(CM$1,main!$A$3:$H$102,7,FALSE)=VLOOKUP($A48,main!$A$3:$H$102,8,FALSE),VLOOKUP(CM$1,main!$A$3:$H$102,4,FALSE),VLOOKUP(CM$1,main!$A$3:$H$102,4,FALSE)+VLOOKUP($A48,main!$A$3:$H$102,4,FALSE)+(VLOOKUP(VLOOKUP(CM$1,main!$A$3:$H$102,8,FALSE),main!$K$19:$O$22,MATCH(VLOOKUP($A48,main!$A$3:$H$102,7,FALSE),main!$K$18:$O$18,0),0))),0)</f>
        <v>185</v>
      </c>
      <c r="CN48">
        <f>IF((gamma!CN48),IF(VLOOKUP(CN$1,main!$A$3:$H$102,7,FALSE)=VLOOKUP($A48,main!$A$3:$H$102,8,FALSE),VLOOKUP(CN$1,main!$A$3:$H$102,4,FALSE),VLOOKUP(CN$1,main!$A$3:$H$102,4,FALSE)+VLOOKUP($A48,main!$A$3:$H$102,4,FALSE)+(VLOOKUP(VLOOKUP(CN$1,main!$A$3:$H$102,8,FALSE),main!$K$19:$O$22,MATCH(VLOOKUP($A48,main!$A$3:$H$102,7,FALSE),main!$K$18:$O$18,0),0))),0)</f>
        <v>181</v>
      </c>
      <c r="CO48">
        <f>IF((gamma!CO48),IF(VLOOKUP(CO$1,main!$A$3:$H$102,7,FALSE)=VLOOKUP($A48,main!$A$3:$H$102,8,FALSE),VLOOKUP(CO$1,main!$A$3:$H$102,4,FALSE),VLOOKUP(CO$1,main!$A$3:$H$102,4,FALSE)+VLOOKUP($A48,main!$A$3:$H$102,4,FALSE)+(VLOOKUP(VLOOKUP(CO$1,main!$A$3:$H$102,8,FALSE),main!$K$19:$O$22,MATCH(VLOOKUP($A48,main!$A$3:$H$102,7,FALSE),main!$K$18:$O$18,0),0))),0)</f>
        <v>0</v>
      </c>
      <c r="CP48">
        <f>IF((gamma!CP48),IF(VLOOKUP(CP$1,main!$A$3:$H$102,7,FALSE)=VLOOKUP($A48,main!$A$3:$H$102,8,FALSE),VLOOKUP(CP$1,main!$A$3:$H$102,4,FALSE),VLOOKUP(CP$1,main!$A$3:$H$102,4,FALSE)+VLOOKUP($A48,main!$A$3:$H$102,4,FALSE)+(VLOOKUP(VLOOKUP(CP$1,main!$A$3:$H$102,8,FALSE),main!$K$19:$O$22,MATCH(VLOOKUP($A48,main!$A$3:$H$102,7,FALSE),main!$K$18:$O$18,0),0))),0)</f>
        <v>208</v>
      </c>
      <c r="CQ48">
        <f>IF((gamma!CQ48),IF(VLOOKUP(CQ$1,main!$A$3:$H$102,7,FALSE)=VLOOKUP($A48,main!$A$3:$H$102,8,FALSE),VLOOKUP(CQ$1,main!$A$3:$H$102,4,FALSE),VLOOKUP(CQ$1,main!$A$3:$H$102,4,FALSE)+VLOOKUP($A48,main!$A$3:$H$102,4,FALSE)+(VLOOKUP(VLOOKUP(CQ$1,main!$A$3:$H$102,8,FALSE),main!$K$19:$O$22,MATCH(VLOOKUP($A48,main!$A$3:$H$102,7,FALSE),main!$K$18:$O$18,0),0))),0)</f>
        <v>208</v>
      </c>
      <c r="CR48">
        <f>IF((gamma!CR48),IF(VLOOKUP(CR$1,main!$A$3:$H$102,7,FALSE)=VLOOKUP($A48,main!$A$3:$H$102,8,FALSE),VLOOKUP(CR$1,main!$A$3:$H$102,4,FALSE),VLOOKUP(CR$1,main!$A$3:$H$102,4,FALSE)+VLOOKUP($A48,main!$A$3:$H$102,4,FALSE)+(VLOOKUP(VLOOKUP(CR$1,main!$A$3:$H$102,8,FALSE),main!$K$19:$O$22,MATCH(VLOOKUP($A48,main!$A$3:$H$102,7,FALSE),main!$K$18:$O$18,0),0))),0)</f>
        <v>223</v>
      </c>
      <c r="CS48">
        <f>IF((gamma!CS48),IF(VLOOKUP(CS$1,main!$A$3:$H$102,7,FALSE)=VLOOKUP($A48,main!$A$3:$H$102,8,FALSE),VLOOKUP(CS$1,main!$A$3:$H$102,4,FALSE),VLOOKUP(CS$1,main!$A$3:$H$102,4,FALSE)+VLOOKUP($A48,main!$A$3:$H$102,4,FALSE)+(VLOOKUP(VLOOKUP(CS$1,main!$A$3:$H$102,8,FALSE),main!$K$19:$O$22,MATCH(VLOOKUP($A48,main!$A$3:$H$102,7,FALSE),main!$K$18:$O$18,0),0))),0)</f>
        <v>223</v>
      </c>
      <c r="CT48">
        <f>IF((gamma!CT48),IF(VLOOKUP(CT$1,main!$A$3:$H$102,7,FALSE)=VLOOKUP($A48,main!$A$3:$H$102,8,FALSE),VLOOKUP(CT$1,main!$A$3:$H$102,4,FALSE),VLOOKUP(CT$1,main!$A$3:$H$102,4,FALSE)+VLOOKUP($A48,main!$A$3:$H$102,4,FALSE)+(VLOOKUP(VLOOKUP(CT$1,main!$A$3:$H$102,8,FALSE),main!$K$19:$O$22,MATCH(VLOOKUP($A48,main!$A$3:$H$102,7,FALSE),main!$K$18:$O$18,0),0))),0)</f>
        <v>0</v>
      </c>
      <c r="CU48">
        <f>IF((gamma!CU48),IF(VLOOKUP(CU$1,main!$A$3:$H$102,7,FALSE)=VLOOKUP($A48,main!$A$3:$H$102,8,FALSE),VLOOKUP(CU$1,main!$A$3:$H$102,4,FALSE),VLOOKUP(CU$1,main!$A$3:$H$102,4,FALSE)+VLOOKUP($A48,main!$A$3:$H$102,4,FALSE)+(VLOOKUP(VLOOKUP(CU$1,main!$A$3:$H$102,8,FALSE),main!$K$19:$O$22,MATCH(VLOOKUP($A48,main!$A$3:$H$102,7,FALSE),main!$K$18:$O$18,0),0))),0)</f>
        <v>0</v>
      </c>
      <c r="CV48">
        <f>IF((gamma!CV48),IF(VLOOKUP(CV$1,main!$A$3:$H$102,7,FALSE)=VLOOKUP($A48,main!$A$3:$H$102,8,FALSE),VLOOKUP(CV$1,main!$A$3:$H$102,4,FALSE),VLOOKUP(CV$1,main!$A$3:$H$102,4,FALSE)+VLOOKUP($A48,main!$A$3:$H$102,4,FALSE)+(VLOOKUP(VLOOKUP(CV$1,main!$A$3:$H$102,8,FALSE),main!$K$19:$O$22,MATCH(VLOOKUP($A48,main!$A$3:$H$102,7,FALSE),main!$K$18:$O$18,0),0))),0)</f>
        <v>168</v>
      </c>
      <c r="CW48">
        <f>IF((gamma!CW48),IF(VLOOKUP(CW$1,main!$A$3:$H$102,7,FALSE)=VLOOKUP($A48,main!$A$3:$H$102,8,FALSE),VLOOKUP(CW$1,main!$A$3:$H$102,4,FALSE),VLOOKUP(CW$1,main!$A$3:$H$102,4,FALSE)+VLOOKUP($A48,main!$A$3:$H$102,4,FALSE)+(VLOOKUP(VLOOKUP(CW$1,main!$A$3:$H$102,8,FALSE),main!$K$19:$O$22,MATCH(VLOOKUP($A48,main!$A$3:$H$102,7,FALSE),main!$K$18:$O$18,0),0))),0)</f>
        <v>183</v>
      </c>
      <c r="CX48">
        <f>IF((gamma!CX48),IF(VLOOKUP(CX$1,main!$A$3:$H$102,7,FALSE)=VLOOKUP($A48,main!$A$3:$H$102,8,FALSE),VLOOKUP(CX$1,main!$A$3:$H$102,4,FALSE),VLOOKUP(CX$1,main!$A$3:$H$102,4,FALSE)+VLOOKUP($A48,main!$A$3:$H$102,4,FALSE)+(VLOOKUP(VLOOKUP(CX$1,main!$A$3:$H$102,8,FALSE),main!$K$19:$O$22,MATCH(VLOOKUP($A48,main!$A$3:$H$102,7,FALSE),main!$K$18:$O$18,0),0))),0)</f>
        <v>173</v>
      </c>
      <c r="CY48">
        <v>0</v>
      </c>
      <c r="CZ48">
        <v>0</v>
      </c>
      <c r="DA48">
        <v>0</v>
      </c>
    </row>
    <row r="49" spans="1:105" x14ac:dyDescent="0.25">
      <c r="A49" s="1">
        <v>47</v>
      </c>
      <c r="B49">
        <v>0</v>
      </c>
      <c r="C49">
        <f>IF((gamma!C49),IF(VLOOKUP(C$1,main!$A$3:$H$102,7,FALSE)=VLOOKUP($A49,main!$A$3:$H$102,8,FALSE),VLOOKUP(C$1,main!$A$3:$H$102,4,FALSE),VLOOKUP(C$1,main!$A$3:$H$102,4,FALSE)+VLOOKUP($A49,main!$A$3:$H$102,4,FALSE)+(VLOOKUP(VLOOKUP(C$1,main!$A$3:$H$102,8,FALSE),main!$K$19:$O$22,MATCH(VLOOKUP($A49,main!$A$3:$H$102,7,FALSE),main!$K$18:$O$18,0),0))),0)</f>
        <v>0</v>
      </c>
      <c r="D49">
        <f>IF((gamma!D49),IF(VLOOKUP(D$1,main!$A$3:$H$102,7,FALSE)=VLOOKUP($A49,main!$A$3:$H$102,8,FALSE),VLOOKUP(D$1,main!$A$3:$H$102,4,FALSE),VLOOKUP(D$1,main!$A$3:$H$102,4,FALSE)+VLOOKUP($A49,main!$A$3:$H$102,4,FALSE)+(VLOOKUP(VLOOKUP(D$1,main!$A$3:$H$102,8,FALSE),main!$K$19:$O$22,MATCH(VLOOKUP($A49,main!$A$3:$H$102,7,FALSE),main!$K$18:$O$18,0),0))),0)</f>
        <v>0</v>
      </c>
      <c r="E49">
        <f>IF((gamma!E49),IF(VLOOKUP(E$1,main!$A$3:$H$102,7,FALSE)=VLOOKUP($A49,main!$A$3:$H$102,8,FALSE),VLOOKUP(E$1,main!$A$3:$H$102,4,FALSE),VLOOKUP(E$1,main!$A$3:$H$102,4,FALSE)+VLOOKUP($A49,main!$A$3:$H$102,4,FALSE)+(VLOOKUP(VLOOKUP(E$1,main!$A$3:$H$102,8,FALSE),main!$K$19:$O$22,MATCH(VLOOKUP($A49,main!$A$3:$H$102,7,FALSE),main!$K$18:$O$18,0),0))),0)</f>
        <v>0</v>
      </c>
      <c r="F49">
        <f>IF((gamma!F49),IF(VLOOKUP(F$1,main!$A$3:$H$102,7,FALSE)=VLOOKUP($A49,main!$A$3:$H$102,8,FALSE),VLOOKUP(F$1,main!$A$3:$H$102,4,FALSE),VLOOKUP(F$1,main!$A$3:$H$102,4,FALSE)+VLOOKUP($A49,main!$A$3:$H$102,4,FALSE)+(VLOOKUP(VLOOKUP(F$1,main!$A$3:$H$102,8,FALSE),main!$K$19:$O$22,MATCH(VLOOKUP($A49,main!$A$3:$H$102,7,FALSE),main!$K$18:$O$18,0),0))),0)</f>
        <v>0</v>
      </c>
      <c r="G49">
        <f>IF((gamma!G49),IF(VLOOKUP(G$1,main!$A$3:$H$102,7,FALSE)=VLOOKUP($A49,main!$A$3:$H$102,8,FALSE),VLOOKUP(G$1,main!$A$3:$H$102,4,FALSE),VLOOKUP(G$1,main!$A$3:$H$102,4,FALSE)+VLOOKUP($A49,main!$A$3:$H$102,4,FALSE)+(VLOOKUP(VLOOKUP(G$1,main!$A$3:$H$102,8,FALSE),main!$K$19:$O$22,MATCH(VLOOKUP($A49,main!$A$3:$H$102,7,FALSE),main!$K$18:$O$18,0),0))),0)</f>
        <v>0</v>
      </c>
      <c r="H49">
        <f>IF((gamma!H49),IF(VLOOKUP(H$1,main!$A$3:$H$102,7,FALSE)=VLOOKUP($A49,main!$A$3:$H$102,8,FALSE),VLOOKUP(H$1,main!$A$3:$H$102,4,FALSE),VLOOKUP(H$1,main!$A$3:$H$102,4,FALSE)+VLOOKUP($A49,main!$A$3:$H$102,4,FALSE)+(VLOOKUP(VLOOKUP(H$1,main!$A$3:$H$102,8,FALSE),main!$K$19:$O$22,MATCH(VLOOKUP($A49,main!$A$3:$H$102,7,FALSE),main!$K$18:$O$18,0),0))),0)</f>
        <v>0</v>
      </c>
      <c r="I49">
        <f>IF((gamma!I49),IF(VLOOKUP(I$1,main!$A$3:$H$102,7,FALSE)=VLOOKUP($A49,main!$A$3:$H$102,8,FALSE),VLOOKUP(I$1,main!$A$3:$H$102,4,FALSE),VLOOKUP(I$1,main!$A$3:$H$102,4,FALSE)+VLOOKUP($A49,main!$A$3:$H$102,4,FALSE)+(VLOOKUP(VLOOKUP(I$1,main!$A$3:$H$102,8,FALSE),main!$K$19:$O$22,MATCH(VLOOKUP($A49,main!$A$3:$H$102,7,FALSE),main!$K$18:$O$18,0),0))),0)</f>
        <v>0</v>
      </c>
      <c r="J49">
        <f>IF((gamma!J49),IF(VLOOKUP(J$1,main!$A$3:$H$102,7,FALSE)=VLOOKUP($A49,main!$A$3:$H$102,8,FALSE),VLOOKUP(J$1,main!$A$3:$H$102,4,FALSE),VLOOKUP(J$1,main!$A$3:$H$102,4,FALSE)+VLOOKUP($A49,main!$A$3:$H$102,4,FALSE)+(VLOOKUP(VLOOKUP(J$1,main!$A$3:$H$102,8,FALSE),main!$K$19:$O$22,MATCH(VLOOKUP($A49,main!$A$3:$H$102,7,FALSE),main!$K$18:$O$18,0),0))),0)</f>
        <v>0</v>
      </c>
      <c r="K49">
        <f>IF((gamma!K49),IF(VLOOKUP(K$1,main!$A$3:$H$102,7,FALSE)=VLOOKUP($A49,main!$A$3:$H$102,8,FALSE),VLOOKUP(K$1,main!$A$3:$H$102,4,FALSE),VLOOKUP(K$1,main!$A$3:$H$102,4,FALSE)+VLOOKUP($A49,main!$A$3:$H$102,4,FALSE)+(VLOOKUP(VLOOKUP(K$1,main!$A$3:$H$102,8,FALSE),main!$K$19:$O$22,MATCH(VLOOKUP($A49,main!$A$3:$H$102,7,FALSE),main!$K$18:$O$18,0),0))),0)</f>
        <v>255</v>
      </c>
      <c r="L49">
        <f>IF((gamma!L49),IF(VLOOKUP(L$1,main!$A$3:$H$102,7,FALSE)=VLOOKUP($A49,main!$A$3:$H$102,8,FALSE),VLOOKUP(L$1,main!$A$3:$H$102,4,FALSE),VLOOKUP(L$1,main!$A$3:$H$102,4,FALSE)+VLOOKUP($A49,main!$A$3:$H$102,4,FALSE)+(VLOOKUP(VLOOKUP(L$1,main!$A$3:$H$102,8,FALSE),main!$K$19:$O$22,MATCH(VLOOKUP($A49,main!$A$3:$H$102,7,FALSE),main!$K$18:$O$18,0),0))),0)</f>
        <v>255</v>
      </c>
      <c r="M49">
        <f>IF((gamma!M49),IF(VLOOKUP(M$1,main!$A$3:$H$102,7,FALSE)=VLOOKUP($A49,main!$A$3:$H$102,8,FALSE),VLOOKUP(M$1,main!$A$3:$H$102,4,FALSE),VLOOKUP(M$1,main!$A$3:$H$102,4,FALSE)+VLOOKUP($A49,main!$A$3:$H$102,4,FALSE)+(VLOOKUP(VLOOKUP(M$1,main!$A$3:$H$102,8,FALSE),main!$K$19:$O$22,MATCH(VLOOKUP($A49,main!$A$3:$H$102,7,FALSE),main!$K$18:$O$18,0),0))),0)</f>
        <v>0</v>
      </c>
      <c r="N49">
        <f>IF((gamma!N49),IF(VLOOKUP(N$1,main!$A$3:$H$102,7,FALSE)=VLOOKUP($A49,main!$A$3:$H$102,8,FALSE),VLOOKUP(N$1,main!$A$3:$H$102,4,FALSE),VLOOKUP(N$1,main!$A$3:$H$102,4,FALSE)+VLOOKUP($A49,main!$A$3:$H$102,4,FALSE)+(VLOOKUP(VLOOKUP(N$1,main!$A$3:$H$102,8,FALSE),main!$K$19:$O$22,MATCH(VLOOKUP($A49,main!$A$3:$H$102,7,FALSE),main!$K$18:$O$18,0),0))),0)</f>
        <v>0</v>
      </c>
      <c r="O49">
        <f>IF((gamma!O49),IF(VLOOKUP(O$1,main!$A$3:$H$102,7,FALSE)=VLOOKUP($A49,main!$A$3:$H$102,8,FALSE),VLOOKUP(O$1,main!$A$3:$H$102,4,FALSE),VLOOKUP(O$1,main!$A$3:$H$102,4,FALSE)+VLOOKUP($A49,main!$A$3:$H$102,4,FALSE)+(VLOOKUP(VLOOKUP(O$1,main!$A$3:$H$102,8,FALSE),main!$K$19:$O$22,MATCH(VLOOKUP($A49,main!$A$3:$H$102,7,FALSE),main!$K$18:$O$18,0),0))),0)</f>
        <v>0</v>
      </c>
      <c r="P49">
        <f>IF((gamma!P49),IF(VLOOKUP(P$1,main!$A$3:$H$102,7,FALSE)=VLOOKUP($A49,main!$A$3:$H$102,8,FALSE),VLOOKUP(P$1,main!$A$3:$H$102,4,FALSE),VLOOKUP(P$1,main!$A$3:$H$102,4,FALSE)+VLOOKUP($A49,main!$A$3:$H$102,4,FALSE)+(VLOOKUP(VLOOKUP(P$1,main!$A$3:$H$102,8,FALSE),main!$K$19:$O$22,MATCH(VLOOKUP($A49,main!$A$3:$H$102,7,FALSE),main!$K$18:$O$18,0),0))),0)</f>
        <v>0</v>
      </c>
      <c r="Q49">
        <f>IF((gamma!Q49),IF(VLOOKUP(Q$1,main!$A$3:$H$102,7,FALSE)=VLOOKUP($A49,main!$A$3:$H$102,8,FALSE),VLOOKUP(Q$1,main!$A$3:$H$102,4,FALSE),VLOOKUP(Q$1,main!$A$3:$H$102,4,FALSE)+VLOOKUP($A49,main!$A$3:$H$102,4,FALSE)+(VLOOKUP(VLOOKUP(Q$1,main!$A$3:$H$102,8,FALSE),main!$K$19:$O$22,MATCH(VLOOKUP($A49,main!$A$3:$H$102,7,FALSE),main!$K$18:$O$18,0),0))),0)</f>
        <v>0</v>
      </c>
      <c r="R49">
        <f>IF((gamma!R49),IF(VLOOKUP(R$1,main!$A$3:$H$102,7,FALSE)=VLOOKUP($A49,main!$A$3:$H$102,8,FALSE),VLOOKUP(R$1,main!$A$3:$H$102,4,FALSE),VLOOKUP(R$1,main!$A$3:$H$102,4,FALSE)+VLOOKUP($A49,main!$A$3:$H$102,4,FALSE)+(VLOOKUP(VLOOKUP(R$1,main!$A$3:$H$102,8,FALSE),main!$K$19:$O$22,MATCH(VLOOKUP($A49,main!$A$3:$H$102,7,FALSE),main!$K$18:$O$18,0),0))),0)</f>
        <v>0</v>
      </c>
      <c r="S49">
        <f>IF((gamma!S49),IF(VLOOKUP(S$1,main!$A$3:$H$102,7,FALSE)=VLOOKUP($A49,main!$A$3:$H$102,8,FALSE),VLOOKUP(S$1,main!$A$3:$H$102,4,FALSE),VLOOKUP(S$1,main!$A$3:$H$102,4,FALSE)+VLOOKUP($A49,main!$A$3:$H$102,4,FALSE)+(VLOOKUP(VLOOKUP(S$1,main!$A$3:$H$102,8,FALSE),main!$K$19:$O$22,MATCH(VLOOKUP($A49,main!$A$3:$H$102,7,FALSE),main!$K$18:$O$18,0),0))),0)</f>
        <v>0</v>
      </c>
      <c r="T49">
        <f>IF((gamma!T49),IF(VLOOKUP(T$1,main!$A$3:$H$102,7,FALSE)=VLOOKUP($A49,main!$A$3:$H$102,8,FALSE),VLOOKUP(T$1,main!$A$3:$H$102,4,FALSE),VLOOKUP(T$1,main!$A$3:$H$102,4,FALSE)+VLOOKUP($A49,main!$A$3:$H$102,4,FALSE)+(VLOOKUP(VLOOKUP(T$1,main!$A$3:$H$102,8,FALSE),main!$K$19:$O$22,MATCH(VLOOKUP($A49,main!$A$3:$H$102,7,FALSE),main!$K$18:$O$18,0),0))),0)</f>
        <v>0</v>
      </c>
      <c r="U49">
        <f>IF((gamma!U49),IF(VLOOKUP(U$1,main!$A$3:$H$102,7,FALSE)=VLOOKUP($A49,main!$A$3:$H$102,8,FALSE),VLOOKUP(U$1,main!$A$3:$H$102,4,FALSE),VLOOKUP(U$1,main!$A$3:$H$102,4,FALSE)+VLOOKUP($A49,main!$A$3:$H$102,4,FALSE)+(VLOOKUP(VLOOKUP(U$1,main!$A$3:$H$102,8,FALSE),main!$K$19:$O$22,MATCH(VLOOKUP($A49,main!$A$3:$H$102,7,FALSE),main!$K$18:$O$18,0),0))),0)</f>
        <v>288</v>
      </c>
      <c r="V49">
        <f>IF((gamma!V49),IF(VLOOKUP(V$1,main!$A$3:$H$102,7,FALSE)=VLOOKUP($A49,main!$A$3:$H$102,8,FALSE),VLOOKUP(V$1,main!$A$3:$H$102,4,FALSE),VLOOKUP(V$1,main!$A$3:$H$102,4,FALSE)+VLOOKUP($A49,main!$A$3:$H$102,4,FALSE)+(VLOOKUP(VLOOKUP(V$1,main!$A$3:$H$102,8,FALSE),main!$K$19:$O$22,MATCH(VLOOKUP($A49,main!$A$3:$H$102,7,FALSE),main!$K$18:$O$18,0),0))),0)</f>
        <v>288</v>
      </c>
      <c r="W49">
        <f>IF((gamma!W49),IF(VLOOKUP(W$1,main!$A$3:$H$102,7,FALSE)=VLOOKUP($A49,main!$A$3:$H$102,8,FALSE),VLOOKUP(W$1,main!$A$3:$H$102,4,FALSE),VLOOKUP(W$1,main!$A$3:$H$102,4,FALSE)+VLOOKUP($A49,main!$A$3:$H$102,4,FALSE)+(VLOOKUP(VLOOKUP(W$1,main!$A$3:$H$102,8,FALSE),main!$K$19:$O$22,MATCH(VLOOKUP($A49,main!$A$3:$H$102,7,FALSE),main!$K$18:$O$18,0),0))),0)</f>
        <v>0</v>
      </c>
      <c r="X49">
        <f>IF((gamma!X49),IF(VLOOKUP(X$1,main!$A$3:$H$102,7,FALSE)=VLOOKUP($A49,main!$A$3:$H$102,8,FALSE),VLOOKUP(X$1,main!$A$3:$H$102,4,FALSE),VLOOKUP(X$1,main!$A$3:$H$102,4,FALSE)+VLOOKUP($A49,main!$A$3:$H$102,4,FALSE)+(VLOOKUP(VLOOKUP(X$1,main!$A$3:$H$102,8,FALSE),main!$K$19:$O$22,MATCH(VLOOKUP($A49,main!$A$3:$H$102,7,FALSE),main!$K$18:$O$18,0),0))),0)</f>
        <v>0</v>
      </c>
      <c r="Y49">
        <f>IF((gamma!Y49),IF(VLOOKUP(Y$1,main!$A$3:$H$102,7,FALSE)=VLOOKUP($A49,main!$A$3:$H$102,8,FALSE),VLOOKUP(Y$1,main!$A$3:$H$102,4,FALSE),VLOOKUP(Y$1,main!$A$3:$H$102,4,FALSE)+VLOOKUP($A49,main!$A$3:$H$102,4,FALSE)+(VLOOKUP(VLOOKUP(Y$1,main!$A$3:$H$102,8,FALSE),main!$K$19:$O$22,MATCH(VLOOKUP($A49,main!$A$3:$H$102,7,FALSE),main!$K$18:$O$18,0),0))),0)</f>
        <v>0</v>
      </c>
      <c r="Z49">
        <f>IF((gamma!Z49),IF(VLOOKUP(Z$1,main!$A$3:$H$102,7,FALSE)=VLOOKUP($A49,main!$A$3:$H$102,8,FALSE),VLOOKUP(Z$1,main!$A$3:$H$102,4,FALSE),VLOOKUP(Z$1,main!$A$3:$H$102,4,FALSE)+VLOOKUP($A49,main!$A$3:$H$102,4,FALSE)+(VLOOKUP(VLOOKUP(Z$1,main!$A$3:$H$102,8,FALSE),main!$K$19:$O$22,MATCH(VLOOKUP($A49,main!$A$3:$H$102,7,FALSE),main!$K$18:$O$18,0),0))),0)</f>
        <v>0</v>
      </c>
      <c r="AA49">
        <f>IF((gamma!AA49),IF(VLOOKUP(AA$1,main!$A$3:$H$102,7,FALSE)=VLOOKUP($A49,main!$A$3:$H$102,8,FALSE),VLOOKUP(AA$1,main!$A$3:$H$102,4,FALSE),VLOOKUP(AA$1,main!$A$3:$H$102,4,FALSE)+VLOOKUP($A49,main!$A$3:$H$102,4,FALSE)+(VLOOKUP(VLOOKUP(AA$1,main!$A$3:$H$102,8,FALSE),main!$K$19:$O$22,MATCH(VLOOKUP($A49,main!$A$3:$H$102,7,FALSE),main!$K$18:$O$18,0),0))),0)</f>
        <v>300</v>
      </c>
      <c r="AB49">
        <f>IF((gamma!AB49),IF(VLOOKUP(AB$1,main!$A$3:$H$102,7,FALSE)=VLOOKUP($A49,main!$A$3:$H$102,8,FALSE),VLOOKUP(AB$1,main!$A$3:$H$102,4,FALSE),VLOOKUP(AB$1,main!$A$3:$H$102,4,FALSE)+VLOOKUP($A49,main!$A$3:$H$102,4,FALSE)+(VLOOKUP(VLOOKUP(AB$1,main!$A$3:$H$102,8,FALSE),main!$K$19:$O$22,MATCH(VLOOKUP($A49,main!$A$3:$H$102,7,FALSE),main!$K$18:$O$18,0),0))),0)</f>
        <v>0</v>
      </c>
      <c r="AC49">
        <f>IF((gamma!AC49),IF(VLOOKUP(AC$1,main!$A$3:$H$102,7,FALSE)=VLOOKUP($A49,main!$A$3:$H$102,8,FALSE),VLOOKUP(AC$1,main!$A$3:$H$102,4,FALSE),VLOOKUP(AC$1,main!$A$3:$H$102,4,FALSE)+VLOOKUP($A49,main!$A$3:$H$102,4,FALSE)+(VLOOKUP(VLOOKUP(AC$1,main!$A$3:$H$102,8,FALSE),main!$K$19:$O$22,MATCH(VLOOKUP($A49,main!$A$3:$H$102,7,FALSE),main!$K$18:$O$18,0),0))),0)</f>
        <v>0</v>
      </c>
      <c r="AD49">
        <f>IF((gamma!AD49),IF(VLOOKUP(AD$1,main!$A$3:$H$102,7,FALSE)=VLOOKUP($A49,main!$A$3:$H$102,8,FALSE),VLOOKUP(AD$1,main!$A$3:$H$102,4,FALSE),VLOOKUP(AD$1,main!$A$3:$H$102,4,FALSE)+VLOOKUP($A49,main!$A$3:$H$102,4,FALSE)+(VLOOKUP(VLOOKUP(AD$1,main!$A$3:$H$102,8,FALSE),main!$K$19:$O$22,MATCH(VLOOKUP($A49,main!$A$3:$H$102,7,FALSE),main!$K$18:$O$18,0),0))),0)</f>
        <v>0</v>
      </c>
      <c r="AE49">
        <f>IF((gamma!AE49),IF(VLOOKUP(AE$1,main!$A$3:$H$102,7,FALSE)=VLOOKUP($A49,main!$A$3:$H$102,8,FALSE),VLOOKUP(AE$1,main!$A$3:$H$102,4,FALSE),VLOOKUP(AE$1,main!$A$3:$H$102,4,FALSE)+VLOOKUP($A49,main!$A$3:$H$102,4,FALSE)+(VLOOKUP(VLOOKUP(AE$1,main!$A$3:$H$102,8,FALSE),main!$K$19:$O$22,MATCH(VLOOKUP($A49,main!$A$3:$H$102,7,FALSE),main!$K$18:$O$18,0),0))),0)</f>
        <v>0</v>
      </c>
      <c r="AF49">
        <f>IF((gamma!AF49),IF(VLOOKUP(AF$1,main!$A$3:$H$102,7,FALSE)=VLOOKUP($A49,main!$A$3:$H$102,8,FALSE),VLOOKUP(AF$1,main!$A$3:$H$102,4,FALSE),VLOOKUP(AF$1,main!$A$3:$H$102,4,FALSE)+VLOOKUP($A49,main!$A$3:$H$102,4,FALSE)+(VLOOKUP(VLOOKUP(AF$1,main!$A$3:$H$102,8,FALSE),main!$K$19:$O$22,MATCH(VLOOKUP($A49,main!$A$3:$H$102,7,FALSE),main!$K$18:$O$18,0),0))),0)</f>
        <v>260</v>
      </c>
      <c r="AG49">
        <f>IF((gamma!AG49),IF(VLOOKUP(AG$1,main!$A$3:$H$102,7,FALSE)=VLOOKUP($A49,main!$A$3:$H$102,8,FALSE),VLOOKUP(AG$1,main!$A$3:$H$102,4,FALSE),VLOOKUP(AG$1,main!$A$3:$H$102,4,FALSE)+VLOOKUP($A49,main!$A$3:$H$102,4,FALSE)+(VLOOKUP(VLOOKUP(AG$1,main!$A$3:$H$102,8,FALSE),main!$K$19:$O$22,MATCH(VLOOKUP($A49,main!$A$3:$H$102,7,FALSE),main!$K$18:$O$18,0),0))),0)</f>
        <v>0</v>
      </c>
      <c r="AH49">
        <f>IF((gamma!AH49),IF(VLOOKUP(AH$1,main!$A$3:$H$102,7,FALSE)=VLOOKUP($A49,main!$A$3:$H$102,8,FALSE),VLOOKUP(AH$1,main!$A$3:$H$102,4,FALSE),VLOOKUP(AH$1,main!$A$3:$H$102,4,FALSE)+VLOOKUP($A49,main!$A$3:$H$102,4,FALSE)+(VLOOKUP(VLOOKUP(AH$1,main!$A$3:$H$102,8,FALSE),main!$K$19:$O$22,MATCH(VLOOKUP($A49,main!$A$3:$H$102,7,FALSE),main!$K$18:$O$18,0),0))),0)</f>
        <v>0</v>
      </c>
      <c r="AI49">
        <f>IF((gamma!AI49),IF(VLOOKUP(AI$1,main!$A$3:$H$102,7,FALSE)=VLOOKUP($A49,main!$A$3:$H$102,8,FALSE),VLOOKUP(AI$1,main!$A$3:$H$102,4,FALSE),VLOOKUP(AI$1,main!$A$3:$H$102,4,FALSE)+VLOOKUP($A49,main!$A$3:$H$102,4,FALSE)+(VLOOKUP(VLOOKUP(AI$1,main!$A$3:$H$102,8,FALSE),main!$K$19:$O$22,MATCH(VLOOKUP($A49,main!$A$3:$H$102,7,FALSE),main!$K$18:$O$18,0),0))),0)</f>
        <v>0</v>
      </c>
      <c r="AJ49">
        <f>IF((gamma!AJ49),IF(VLOOKUP(AJ$1,main!$A$3:$H$102,7,FALSE)=VLOOKUP($A49,main!$A$3:$H$102,8,FALSE),VLOOKUP(AJ$1,main!$A$3:$H$102,4,FALSE),VLOOKUP(AJ$1,main!$A$3:$H$102,4,FALSE)+VLOOKUP($A49,main!$A$3:$H$102,4,FALSE)+(VLOOKUP(VLOOKUP(AJ$1,main!$A$3:$H$102,8,FALSE),main!$K$19:$O$22,MATCH(VLOOKUP($A49,main!$A$3:$H$102,7,FALSE),main!$K$18:$O$18,0),0))),0)</f>
        <v>0</v>
      </c>
      <c r="AK49">
        <f>IF((gamma!AK49),IF(VLOOKUP(AK$1,main!$A$3:$H$102,7,FALSE)=VLOOKUP($A49,main!$A$3:$H$102,8,FALSE),VLOOKUP(AK$1,main!$A$3:$H$102,4,FALSE),VLOOKUP(AK$1,main!$A$3:$H$102,4,FALSE)+VLOOKUP($A49,main!$A$3:$H$102,4,FALSE)+(VLOOKUP(VLOOKUP(AK$1,main!$A$3:$H$102,8,FALSE),main!$K$19:$O$22,MATCH(VLOOKUP($A49,main!$A$3:$H$102,7,FALSE),main!$K$18:$O$18,0),0))),0)</f>
        <v>0</v>
      </c>
      <c r="AL49">
        <f>IF((gamma!AL49),IF(VLOOKUP(AL$1,main!$A$3:$H$102,7,FALSE)=VLOOKUP($A49,main!$A$3:$H$102,8,FALSE),VLOOKUP(AL$1,main!$A$3:$H$102,4,FALSE),VLOOKUP(AL$1,main!$A$3:$H$102,4,FALSE)+VLOOKUP($A49,main!$A$3:$H$102,4,FALSE)+(VLOOKUP(VLOOKUP(AL$1,main!$A$3:$H$102,8,FALSE),main!$K$19:$O$22,MATCH(VLOOKUP($A49,main!$A$3:$H$102,7,FALSE),main!$K$18:$O$18,0),0))),0)</f>
        <v>0</v>
      </c>
      <c r="AM49">
        <f>IF((gamma!AM49),IF(VLOOKUP(AM$1,main!$A$3:$H$102,7,FALSE)=VLOOKUP($A49,main!$A$3:$H$102,8,FALSE),VLOOKUP(AM$1,main!$A$3:$H$102,4,FALSE),VLOOKUP(AM$1,main!$A$3:$H$102,4,FALSE)+VLOOKUP($A49,main!$A$3:$H$102,4,FALSE)+(VLOOKUP(VLOOKUP(AM$1,main!$A$3:$H$102,8,FALSE),main!$K$19:$O$22,MATCH(VLOOKUP($A49,main!$A$3:$H$102,7,FALSE),main!$K$18:$O$18,0),0))),0)</f>
        <v>280</v>
      </c>
      <c r="AN49">
        <f>IF((gamma!AN49),IF(VLOOKUP(AN$1,main!$A$3:$H$102,7,FALSE)=VLOOKUP($A49,main!$A$3:$H$102,8,FALSE),VLOOKUP(AN$1,main!$A$3:$H$102,4,FALSE),VLOOKUP(AN$1,main!$A$3:$H$102,4,FALSE)+VLOOKUP($A49,main!$A$3:$H$102,4,FALSE)+(VLOOKUP(VLOOKUP(AN$1,main!$A$3:$H$102,8,FALSE),main!$K$19:$O$22,MATCH(VLOOKUP($A49,main!$A$3:$H$102,7,FALSE),main!$K$18:$O$18,0),0))),0)</f>
        <v>280</v>
      </c>
      <c r="AO49">
        <f>IF((gamma!AO49),IF(VLOOKUP(AO$1,main!$A$3:$H$102,7,FALSE)=VLOOKUP($A49,main!$A$3:$H$102,8,FALSE),VLOOKUP(AO$1,main!$A$3:$H$102,4,FALSE),VLOOKUP(AO$1,main!$A$3:$H$102,4,FALSE)+VLOOKUP($A49,main!$A$3:$H$102,4,FALSE)+(VLOOKUP(VLOOKUP(AO$1,main!$A$3:$H$102,8,FALSE),main!$K$19:$O$22,MATCH(VLOOKUP($A49,main!$A$3:$H$102,7,FALSE),main!$K$18:$O$18,0),0))),0)</f>
        <v>0</v>
      </c>
      <c r="AP49">
        <f>IF((gamma!AP49),IF(VLOOKUP(AP$1,main!$A$3:$H$102,7,FALSE)=VLOOKUP($A49,main!$A$3:$H$102,8,FALSE),VLOOKUP(AP$1,main!$A$3:$H$102,4,FALSE),VLOOKUP(AP$1,main!$A$3:$H$102,4,FALSE)+VLOOKUP($A49,main!$A$3:$H$102,4,FALSE)+(VLOOKUP(VLOOKUP(AP$1,main!$A$3:$H$102,8,FALSE),main!$K$19:$O$22,MATCH(VLOOKUP($A49,main!$A$3:$H$102,7,FALSE),main!$K$18:$O$18,0),0))),0)</f>
        <v>220</v>
      </c>
      <c r="AQ49">
        <f>IF((gamma!AQ49),IF(VLOOKUP(AQ$1,main!$A$3:$H$102,7,FALSE)=VLOOKUP($A49,main!$A$3:$H$102,8,FALSE),VLOOKUP(AQ$1,main!$A$3:$H$102,4,FALSE),VLOOKUP(AQ$1,main!$A$3:$H$102,4,FALSE)+VLOOKUP($A49,main!$A$3:$H$102,4,FALSE)+(VLOOKUP(VLOOKUP(AQ$1,main!$A$3:$H$102,8,FALSE),main!$K$19:$O$22,MATCH(VLOOKUP($A49,main!$A$3:$H$102,7,FALSE),main!$K$18:$O$18,0),0))),0)</f>
        <v>0</v>
      </c>
      <c r="AR49">
        <f>IF((gamma!AR49),IF(VLOOKUP(AR$1,main!$A$3:$H$102,7,FALSE)=VLOOKUP($A49,main!$A$3:$H$102,8,FALSE),VLOOKUP(AR$1,main!$A$3:$H$102,4,FALSE),VLOOKUP(AR$1,main!$A$3:$H$102,4,FALSE)+VLOOKUP($A49,main!$A$3:$H$102,4,FALSE)+(VLOOKUP(VLOOKUP(AR$1,main!$A$3:$H$102,8,FALSE),main!$K$19:$O$22,MATCH(VLOOKUP($A49,main!$A$3:$H$102,7,FALSE),main!$K$18:$O$18,0),0))),0)</f>
        <v>0</v>
      </c>
      <c r="AS49">
        <f>IF((gamma!AS49),IF(VLOOKUP(AS$1,main!$A$3:$H$102,7,FALSE)=VLOOKUP($A49,main!$A$3:$H$102,8,FALSE),VLOOKUP(AS$1,main!$A$3:$H$102,4,FALSE),VLOOKUP(AS$1,main!$A$3:$H$102,4,FALSE)+VLOOKUP($A49,main!$A$3:$H$102,4,FALSE)+(VLOOKUP(VLOOKUP(AS$1,main!$A$3:$H$102,8,FALSE),main!$K$19:$O$22,MATCH(VLOOKUP($A49,main!$A$3:$H$102,7,FALSE),main!$K$18:$O$18,0),0))),0)</f>
        <v>0</v>
      </c>
      <c r="AT49">
        <f>IF((gamma!AT49),IF(VLOOKUP(AT$1,main!$A$3:$H$102,7,FALSE)=VLOOKUP($A49,main!$A$3:$H$102,8,FALSE),VLOOKUP(AT$1,main!$A$3:$H$102,4,FALSE),VLOOKUP(AT$1,main!$A$3:$H$102,4,FALSE)+VLOOKUP($A49,main!$A$3:$H$102,4,FALSE)+(VLOOKUP(VLOOKUP(AT$1,main!$A$3:$H$102,8,FALSE),main!$K$19:$O$22,MATCH(VLOOKUP($A49,main!$A$3:$H$102,7,FALSE),main!$K$18:$O$18,0),0))),0)</f>
        <v>0</v>
      </c>
      <c r="AU49">
        <f>IF((gamma!AU49),IF(VLOOKUP(AU$1,main!$A$3:$H$102,7,FALSE)=VLOOKUP($A49,main!$A$3:$H$102,8,FALSE),VLOOKUP(AU$1,main!$A$3:$H$102,4,FALSE),VLOOKUP(AU$1,main!$A$3:$H$102,4,FALSE)+VLOOKUP($A49,main!$A$3:$H$102,4,FALSE)+(VLOOKUP(VLOOKUP(AU$1,main!$A$3:$H$102,8,FALSE),main!$K$19:$O$22,MATCH(VLOOKUP($A49,main!$A$3:$H$102,7,FALSE),main!$K$18:$O$18,0),0))),0)</f>
        <v>0</v>
      </c>
      <c r="AV49">
        <f>IF((gamma!AV49),IF(VLOOKUP(AV$1,main!$A$3:$H$102,7,FALSE)=VLOOKUP($A49,main!$A$3:$H$102,8,FALSE),VLOOKUP(AV$1,main!$A$3:$H$102,4,FALSE),VLOOKUP(AV$1,main!$A$3:$H$102,4,FALSE)+VLOOKUP($A49,main!$A$3:$H$102,4,FALSE)+(VLOOKUP(VLOOKUP(AV$1,main!$A$3:$H$102,8,FALSE),main!$K$19:$O$22,MATCH(VLOOKUP($A49,main!$A$3:$H$102,7,FALSE),main!$K$18:$O$18,0),0))),0)</f>
        <v>0</v>
      </c>
      <c r="AW49">
        <f>IF((gamma!AW49),IF(VLOOKUP(AW$1,main!$A$3:$H$102,7,FALSE)=VLOOKUP($A49,main!$A$3:$H$102,8,FALSE),VLOOKUP(AW$1,main!$A$3:$H$102,4,FALSE),VLOOKUP(AW$1,main!$A$3:$H$102,4,FALSE)+VLOOKUP($A49,main!$A$3:$H$102,4,FALSE)+(VLOOKUP(VLOOKUP(AW$1,main!$A$3:$H$102,8,FALSE),main!$K$19:$O$22,MATCH(VLOOKUP($A49,main!$A$3:$H$102,7,FALSE),main!$K$18:$O$18,0),0))),0)</f>
        <v>0</v>
      </c>
      <c r="AX49">
        <f>IF((gamma!AX49),IF(VLOOKUP(AX$1,main!$A$3:$H$102,7,FALSE)=VLOOKUP($A49,main!$A$3:$H$102,8,FALSE),VLOOKUP(AX$1,main!$A$3:$H$102,4,FALSE),VLOOKUP(AX$1,main!$A$3:$H$102,4,FALSE)+VLOOKUP($A49,main!$A$3:$H$102,4,FALSE)+(VLOOKUP(VLOOKUP(AX$1,main!$A$3:$H$102,8,FALSE),main!$K$19:$O$22,MATCH(VLOOKUP($A49,main!$A$3:$H$102,7,FALSE),main!$K$18:$O$18,0),0))),0)</f>
        <v>0</v>
      </c>
      <c r="AY49">
        <f>IF((gamma!AY49),IF(VLOOKUP(AY$1,main!$A$3:$H$102,7,FALSE)=VLOOKUP($A49,main!$A$3:$H$102,8,FALSE),VLOOKUP(AY$1,main!$A$3:$H$102,4,FALSE),VLOOKUP(AY$1,main!$A$3:$H$102,4,FALSE)+VLOOKUP($A49,main!$A$3:$H$102,4,FALSE)+(VLOOKUP(VLOOKUP(AY$1,main!$A$3:$H$102,8,FALSE),main!$K$19:$O$22,MATCH(VLOOKUP($A49,main!$A$3:$H$102,7,FALSE),main!$K$18:$O$18,0),0))),0)</f>
        <v>0</v>
      </c>
      <c r="AZ49">
        <f>IF((gamma!AZ49),IF(VLOOKUP(AZ$1,main!$A$3:$H$102,7,FALSE)=VLOOKUP($A49,main!$A$3:$H$102,8,FALSE),VLOOKUP(AZ$1,main!$A$3:$H$102,4,FALSE),VLOOKUP(AZ$1,main!$A$3:$H$102,4,FALSE)+VLOOKUP($A49,main!$A$3:$H$102,4,FALSE)+(VLOOKUP(VLOOKUP(AZ$1,main!$A$3:$H$102,8,FALSE),main!$K$19:$O$22,MATCH(VLOOKUP($A49,main!$A$3:$H$102,7,FALSE),main!$K$18:$O$18,0),0))),0)</f>
        <v>0</v>
      </c>
      <c r="BA49">
        <f>IF((gamma!BA49),IF(VLOOKUP(BA$1,main!$A$3:$H$102,7,FALSE)=VLOOKUP($A49,main!$A$3:$H$102,8,FALSE),VLOOKUP(BA$1,main!$A$3:$H$102,4,FALSE),VLOOKUP(BA$1,main!$A$3:$H$102,4,FALSE)+VLOOKUP($A49,main!$A$3:$H$102,4,FALSE)+(VLOOKUP(VLOOKUP(BA$1,main!$A$3:$H$102,8,FALSE),main!$K$19:$O$22,MATCH(VLOOKUP($A49,main!$A$3:$H$102,7,FALSE),main!$K$18:$O$18,0),0))),0)</f>
        <v>0</v>
      </c>
      <c r="BB49">
        <f>IF((gamma!BB49),IF(VLOOKUP(BB$1,main!$A$3:$H$102,7,FALSE)=VLOOKUP($A49,main!$A$3:$H$102,8,FALSE),VLOOKUP(BB$1,main!$A$3:$H$102,4,FALSE),VLOOKUP(BB$1,main!$A$3:$H$102,4,FALSE)+VLOOKUP($A49,main!$A$3:$H$102,4,FALSE)+(VLOOKUP(VLOOKUP(BB$1,main!$A$3:$H$102,8,FALSE),main!$K$19:$O$22,MATCH(VLOOKUP($A49,main!$A$3:$H$102,7,FALSE),main!$K$18:$O$18,0),0))),0)</f>
        <v>0</v>
      </c>
      <c r="BC49">
        <f>IF((gamma!BC49),IF(VLOOKUP(BC$1,main!$A$3:$H$102,7,FALSE)=VLOOKUP($A49,main!$A$3:$H$102,8,FALSE),VLOOKUP(BC$1,main!$A$3:$H$102,4,FALSE),VLOOKUP(BC$1,main!$A$3:$H$102,4,FALSE)+VLOOKUP($A49,main!$A$3:$H$102,4,FALSE)+(VLOOKUP(VLOOKUP(BC$1,main!$A$3:$H$102,8,FALSE),main!$K$19:$O$22,MATCH(VLOOKUP($A49,main!$A$3:$H$102,7,FALSE),main!$K$18:$O$18,0),0))),0)</f>
        <v>0</v>
      </c>
      <c r="BD49">
        <f>IF((gamma!BD49),IF(VLOOKUP(BD$1,main!$A$3:$H$102,7,FALSE)=VLOOKUP($A49,main!$A$3:$H$102,8,FALSE),VLOOKUP(BD$1,main!$A$3:$H$102,4,FALSE),VLOOKUP(BD$1,main!$A$3:$H$102,4,FALSE)+VLOOKUP($A49,main!$A$3:$H$102,4,FALSE)+(VLOOKUP(VLOOKUP(BD$1,main!$A$3:$H$102,8,FALSE),main!$K$19:$O$22,MATCH(VLOOKUP($A49,main!$A$3:$H$102,7,FALSE),main!$K$18:$O$18,0),0))),0)</f>
        <v>0</v>
      </c>
      <c r="BE49">
        <f>IF((gamma!BE49),IF(VLOOKUP(BE$1,main!$A$3:$H$102,7,FALSE)=VLOOKUP($A49,main!$A$3:$H$102,8,FALSE),VLOOKUP(BE$1,main!$A$3:$H$102,4,FALSE),VLOOKUP(BE$1,main!$A$3:$H$102,4,FALSE)+VLOOKUP($A49,main!$A$3:$H$102,4,FALSE)+(VLOOKUP(VLOOKUP(BE$1,main!$A$3:$H$102,8,FALSE),main!$K$19:$O$22,MATCH(VLOOKUP($A49,main!$A$3:$H$102,7,FALSE),main!$K$18:$O$18,0),0))),0)</f>
        <v>140</v>
      </c>
      <c r="BF49">
        <f>IF((gamma!BF49),IF(VLOOKUP(BF$1,main!$A$3:$H$102,7,FALSE)=VLOOKUP($A49,main!$A$3:$H$102,8,FALSE),VLOOKUP(BF$1,main!$A$3:$H$102,4,FALSE),VLOOKUP(BF$1,main!$A$3:$H$102,4,FALSE)+VLOOKUP($A49,main!$A$3:$H$102,4,FALSE)+(VLOOKUP(VLOOKUP(BF$1,main!$A$3:$H$102,8,FALSE),main!$K$19:$O$22,MATCH(VLOOKUP($A49,main!$A$3:$H$102,7,FALSE),main!$K$18:$O$18,0),0))),0)</f>
        <v>0</v>
      </c>
      <c r="BG49">
        <f>IF((gamma!BG49),IF(VLOOKUP(BG$1,main!$A$3:$H$102,7,FALSE)=VLOOKUP($A49,main!$A$3:$H$102,8,FALSE),VLOOKUP(BG$1,main!$A$3:$H$102,4,FALSE),VLOOKUP(BG$1,main!$A$3:$H$102,4,FALSE)+VLOOKUP($A49,main!$A$3:$H$102,4,FALSE)+(VLOOKUP(VLOOKUP(BG$1,main!$A$3:$H$102,8,FALSE),main!$K$19:$O$22,MATCH(VLOOKUP($A49,main!$A$3:$H$102,7,FALSE),main!$K$18:$O$18,0),0))),0)</f>
        <v>0</v>
      </c>
      <c r="BH49">
        <f>IF((gamma!BH49),IF(VLOOKUP(BH$1,main!$A$3:$H$102,7,FALSE)=VLOOKUP($A49,main!$A$3:$H$102,8,FALSE),VLOOKUP(BH$1,main!$A$3:$H$102,4,FALSE),VLOOKUP(BH$1,main!$A$3:$H$102,4,FALSE)+VLOOKUP($A49,main!$A$3:$H$102,4,FALSE)+(VLOOKUP(VLOOKUP(BH$1,main!$A$3:$H$102,8,FALSE),main!$K$19:$O$22,MATCH(VLOOKUP($A49,main!$A$3:$H$102,7,FALSE),main!$K$18:$O$18,0),0))),0)</f>
        <v>0</v>
      </c>
      <c r="BI49">
        <f>IF((gamma!BI49),IF(VLOOKUP(BI$1,main!$A$3:$H$102,7,FALSE)=VLOOKUP($A49,main!$A$3:$H$102,8,FALSE),VLOOKUP(BI$1,main!$A$3:$H$102,4,FALSE),VLOOKUP(BI$1,main!$A$3:$H$102,4,FALSE)+VLOOKUP($A49,main!$A$3:$H$102,4,FALSE)+(VLOOKUP(VLOOKUP(BI$1,main!$A$3:$H$102,8,FALSE),main!$K$19:$O$22,MATCH(VLOOKUP($A49,main!$A$3:$H$102,7,FALSE),main!$K$18:$O$18,0),0))),0)</f>
        <v>60</v>
      </c>
      <c r="BJ49">
        <f>IF((gamma!BJ49),IF(VLOOKUP(BJ$1,main!$A$3:$H$102,7,FALSE)=VLOOKUP($A49,main!$A$3:$H$102,8,FALSE),VLOOKUP(BJ$1,main!$A$3:$H$102,4,FALSE),VLOOKUP(BJ$1,main!$A$3:$H$102,4,FALSE)+VLOOKUP($A49,main!$A$3:$H$102,4,FALSE)+(VLOOKUP(VLOOKUP(BJ$1,main!$A$3:$H$102,8,FALSE),main!$K$19:$O$22,MATCH(VLOOKUP($A49,main!$A$3:$H$102,7,FALSE),main!$K$18:$O$18,0),0))),0)</f>
        <v>0</v>
      </c>
      <c r="BK49">
        <f>IF((gamma!BK49),IF(VLOOKUP(BK$1,main!$A$3:$H$102,7,FALSE)=VLOOKUP($A49,main!$A$3:$H$102,8,FALSE),VLOOKUP(BK$1,main!$A$3:$H$102,4,FALSE),VLOOKUP(BK$1,main!$A$3:$H$102,4,FALSE)+VLOOKUP($A49,main!$A$3:$H$102,4,FALSE)+(VLOOKUP(VLOOKUP(BK$1,main!$A$3:$H$102,8,FALSE),main!$K$19:$O$22,MATCH(VLOOKUP($A49,main!$A$3:$H$102,7,FALSE),main!$K$18:$O$18,0),0))),0)</f>
        <v>0</v>
      </c>
      <c r="BL49">
        <f>IF((gamma!BL49),IF(VLOOKUP(BL$1,main!$A$3:$H$102,7,FALSE)=VLOOKUP($A49,main!$A$3:$H$102,8,FALSE),VLOOKUP(BL$1,main!$A$3:$H$102,4,FALSE),VLOOKUP(BL$1,main!$A$3:$H$102,4,FALSE)+VLOOKUP($A49,main!$A$3:$H$102,4,FALSE)+(VLOOKUP(VLOOKUP(BL$1,main!$A$3:$H$102,8,FALSE),main!$K$19:$O$22,MATCH(VLOOKUP($A49,main!$A$3:$H$102,7,FALSE),main!$K$18:$O$18,0),0))),0)</f>
        <v>0</v>
      </c>
      <c r="BM49">
        <f>IF((gamma!BM49),IF(VLOOKUP(BM$1,main!$A$3:$H$102,7,FALSE)=VLOOKUP($A49,main!$A$3:$H$102,8,FALSE),VLOOKUP(BM$1,main!$A$3:$H$102,4,FALSE),VLOOKUP(BM$1,main!$A$3:$H$102,4,FALSE)+VLOOKUP($A49,main!$A$3:$H$102,4,FALSE)+(VLOOKUP(VLOOKUP(BM$1,main!$A$3:$H$102,8,FALSE),main!$K$19:$O$22,MATCH(VLOOKUP($A49,main!$A$3:$H$102,7,FALSE),main!$K$18:$O$18,0),0))),0)</f>
        <v>0</v>
      </c>
      <c r="BN49">
        <f>IF((gamma!BN49),IF(VLOOKUP(BN$1,main!$A$3:$H$102,7,FALSE)=VLOOKUP($A49,main!$A$3:$H$102,8,FALSE),VLOOKUP(BN$1,main!$A$3:$H$102,4,FALSE),VLOOKUP(BN$1,main!$A$3:$H$102,4,FALSE)+VLOOKUP($A49,main!$A$3:$H$102,4,FALSE)+(VLOOKUP(VLOOKUP(BN$1,main!$A$3:$H$102,8,FALSE),main!$K$19:$O$22,MATCH(VLOOKUP($A49,main!$A$3:$H$102,7,FALSE),main!$K$18:$O$18,0),0))),0)</f>
        <v>0</v>
      </c>
      <c r="BO49">
        <f>IF((gamma!BO49),IF(VLOOKUP(BO$1,main!$A$3:$H$102,7,FALSE)=VLOOKUP($A49,main!$A$3:$H$102,8,FALSE),VLOOKUP(BO$1,main!$A$3:$H$102,4,FALSE),VLOOKUP(BO$1,main!$A$3:$H$102,4,FALSE)+VLOOKUP($A49,main!$A$3:$H$102,4,FALSE)+(VLOOKUP(VLOOKUP(BO$1,main!$A$3:$H$102,8,FALSE),main!$K$19:$O$22,MATCH(VLOOKUP($A49,main!$A$3:$H$102,7,FALSE),main!$K$18:$O$18,0),0))),0)</f>
        <v>0</v>
      </c>
      <c r="BP49">
        <f>IF((gamma!BP49),IF(VLOOKUP(BP$1,main!$A$3:$H$102,7,FALSE)=VLOOKUP($A49,main!$A$3:$H$102,8,FALSE),VLOOKUP(BP$1,main!$A$3:$H$102,4,FALSE),VLOOKUP(BP$1,main!$A$3:$H$102,4,FALSE)+VLOOKUP($A49,main!$A$3:$H$102,4,FALSE)+(VLOOKUP(VLOOKUP(BP$1,main!$A$3:$H$102,8,FALSE),main!$K$19:$O$22,MATCH(VLOOKUP($A49,main!$A$3:$H$102,7,FALSE),main!$K$18:$O$18,0),0))),0)</f>
        <v>0</v>
      </c>
      <c r="BQ49">
        <f>IF((gamma!BQ49),IF(VLOOKUP(BQ$1,main!$A$3:$H$102,7,FALSE)=VLOOKUP($A49,main!$A$3:$H$102,8,FALSE),VLOOKUP(BQ$1,main!$A$3:$H$102,4,FALSE),VLOOKUP(BQ$1,main!$A$3:$H$102,4,FALSE)+VLOOKUP($A49,main!$A$3:$H$102,4,FALSE)+(VLOOKUP(VLOOKUP(BQ$1,main!$A$3:$H$102,8,FALSE),main!$K$19:$O$22,MATCH(VLOOKUP($A49,main!$A$3:$H$102,7,FALSE),main!$K$18:$O$18,0),0))),0)</f>
        <v>0</v>
      </c>
      <c r="BR49">
        <f>IF((gamma!BR49),IF(VLOOKUP(BR$1,main!$A$3:$H$102,7,FALSE)=VLOOKUP($A49,main!$A$3:$H$102,8,FALSE),VLOOKUP(BR$1,main!$A$3:$H$102,4,FALSE),VLOOKUP(BR$1,main!$A$3:$H$102,4,FALSE)+VLOOKUP($A49,main!$A$3:$H$102,4,FALSE)+(VLOOKUP(VLOOKUP(BR$1,main!$A$3:$H$102,8,FALSE),main!$K$19:$O$22,MATCH(VLOOKUP($A49,main!$A$3:$H$102,7,FALSE),main!$K$18:$O$18,0),0))),0)</f>
        <v>0</v>
      </c>
      <c r="BS49">
        <f>IF((gamma!BS49),IF(VLOOKUP(BS$1,main!$A$3:$H$102,7,FALSE)=VLOOKUP($A49,main!$A$3:$H$102,8,FALSE),VLOOKUP(BS$1,main!$A$3:$H$102,4,FALSE),VLOOKUP(BS$1,main!$A$3:$H$102,4,FALSE)+VLOOKUP($A49,main!$A$3:$H$102,4,FALSE)+(VLOOKUP(VLOOKUP(BS$1,main!$A$3:$H$102,8,FALSE),main!$K$19:$O$22,MATCH(VLOOKUP($A49,main!$A$3:$H$102,7,FALSE),main!$K$18:$O$18,0),0))),0)</f>
        <v>0</v>
      </c>
      <c r="BT49">
        <f>IF((gamma!BT49),IF(VLOOKUP(BT$1,main!$A$3:$H$102,7,FALSE)=VLOOKUP($A49,main!$A$3:$H$102,8,FALSE),VLOOKUP(BT$1,main!$A$3:$H$102,4,FALSE),VLOOKUP(BT$1,main!$A$3:$H$102,4,FALSE)+VLOOKUP($A49,main!$A$3:$H$102,4,FALSE)+(VLOOKUP(VLOOKUP(BT$1,main!$A$3:$H$102,8,FALSE),main!$K$19:$O$22,MATCH(VLOOKUP($A49,main!$A$3:$H$102,7,FALSE),main!$K$18:$O$18,0),0))),0)</f>
        <v>0</v>
      </c>
      <c r="BU49">
        <f>IF((gamma!BU49),IF(VLOOKUP(BU$1,main!$A$3:$H$102,7,FALSE)=VLOOKUP($A49,main!$A$3:$H$102,8,FALSE),VLOOKUP(BU$1,main!$A$3:$H$102,4,FALSE),VLOOKUP(BU$1,main!$A$3:$H$102,4,FALSE)+VLOOKUP($A49,main!$A$3:$H$102,4,FALSE)+(VLOOKUP(VLOOKUP(BU$1,main!$A$3:$H$102,8,FALSE),main!$K$19:$O$22,MATCH(VLOOKUP($A49,main!$A$3:$H$102,7,FALSE),main!$K$18:$O$18,0),0))),0)</f>
        <v>0</v>
      </c>
      <c r="BV49">
        <f>IF((gamma!BV49),IF(VLOOKUP(BV$1,main!$A$3:$H$102,7,FALSE)=VLOOKUP($A49,main!$A$3:$H$102,8,FALSE),VLOOKUP(BV$1,main!$A$3:$H$102,4,FALSE),VLOOKUP(BV$1,main!$A$3:$H$102,4,FALSE)+VLOOKUP($A49,main!$A$3:$H$102,4,FALSE)+(VLOOKUP(VLOOKUP(BV$1,main!$A$3:$H$102,8,FALSE),main!$K$19:$O$22,MATCH(VLOOKUP($A49,main!$A$3:$H$102,7,FALSE),main!$K$18:$O$18,0),0))),0)</f>
        <v>0</v>
      </c>
      <c r="BW49">
        <f>IF((gamma!BW49),IF(VLOOKUP(BW$1,main!$A$3:$H$102,7,FALSE)=VLOOKUP($A49,main!$A$3:$H$102,8,FALSE),VLOOKUP(BW$1,main!$A$3:$H$102,4,FALSE),VLOOKUP(BW$1,main!$A$3:$H$102,4,FALSE)+VLOOKUP($A49,main!$A$3:$H$102,4,FALSE)+(VLOOKUP(VLOOKUP(BW$1,main!$A$3:$H$102,8,FALSE),main!$K$19:$O$22,MATCH(VLOOKUP($A49,main!$A$3:$H$102,7,FALSE),main!$K$18:$O$18,0),0))),0)</f>
        <v>0</v>
      </c>
      <c r="BX49">
        <f>IF((gamma!BX49),IF(VLOOKUP(BX$1,main!$A$3:$H$102,7,FALSE)=VLOOKUP($A49,main!$A$3:$H$102,8,FALSE),VLOOKUP(BX$1,main!$A$3:$H$102,4,FALSE),VLOOKUP(BX$1,main!$A$3:$H$102,4,FALSE)+VLOOKUP($A49,main!$A$3:$H$102,4,FALSE)+(VLOOKUP(VLOOKUP(BX$1,main!$A$3:$H$102,8,FALSE),main!$K$19:$O$22,MATCH(VLOOKUP($A49,main!$A$3:$H$102,7,FALSE),main!$K$18:$O$18,0),0))),0)</f>
        <v>0</v>
      </c>
      <c r="BY49">
        <f>IF((gamma!BY49),IF(VLOOKUP(BY$1,main!$A$3:$H$102,7,FALSE)=VLOOKUP($A49,main!$A$3:$H$102,8,FALSE),VLOOKUP(BY$1,main!$A$3:$H$102,4,FALSE),VLOOKUP(BY$1,main!$A$3:$H$102,4,FALSE)+VLOOKUP($A49,main!$A$3:$H$102,4,FALSE)+(VLOOKUP(VLOOKUP(BY$1,main!$A$3:$H$102,8,FALSE),main!$K$19:$O$22,MATCH(VLOOKUP($A49,main!$A$3:$H$102,7,FALSE),main!$K$18:$O$18,0),0))),0)</f>
        <v>0</v>
      </c>
      <c r="BZ49">
        <f>IF((gamma!BZ49),IF(VLOOKUP(BZ$1,main!$A$3:$H$102,7,FALSE)=VLOOKUP($A49,main!$A$3:$H$102,8,FALSE),VLOOKUP(BZ$1,main!$A$3:$H$102,4,FALSE),VLOOKUP(BZ$1,main!$A$3:$H$102,4,FALSE)+VLOOKUP($A49,main!$A$3:$H$102,4,FALSE)+(VLOOKUP(VLOOKUP(BZ$1,main!$A$3:$H$102,8,FALSE),main!$K$19:$O$22,MATCH(VLOOKUP($A49,main!$A$3:$H$102,7,FALSE),main!$K$18:$O$18,0),0))),0)</f>
        <v>0</v>
      </c>
      <c r="CA49">
        <f>IF((gamma!CA49),IF(VLOOKUP(CA$1,main!$A$3:$H$102,7,FALSE)=VLOOKUP($A49,main!$A$3:$H$102,8,FALSE),VLOOKUP(CA$1,main!$A$3:$H$102,4,FALSE),VLOOKUP(CA$1,main!$A$3:$H$102,4,FALSE)+VLOOKUP($A49,main!$A$3:$H$102,4,FALSE)+(VLOOKUP(VLOOKUP(CA$1,main!$A$3:$H$102,8,FALSE),main!$K$19:$O$22,MATCH(VLOOKUP($A49,main!$A$3:$H$102,7,FALSE),main!$K$18:$O$18,0),0))),0)</f>
        <v>0</v>
      </c>
      <c r="CB49">
        <f>IF((gamma!CB49),IF(VLOOKUP(CB$1,main!$A$3:$H$102,7,FALSE)=VLOOKUP($A49,main!$A$3:$H$102,8,FALSE),VLOOKUP(CB$1,main!$A$3:$H$102,4,FALSE),VLOOKUP(CB$1,main!$A$3:$H$102,4,FALSE)+VLOOKUP($A49,main!$A$3:$H$102,4,FALSE)+(VLOOKUP(VLOOKUP(CB$1,main!$A$3:$H$102,8,FALSE),main!$K$19:$O$22,MATCH(VLOOKUP($A49,main!$A$3:$H$102,7,FALSE),main!$K$18:$O$18,0),0))),0)</f>
        <v>0</v>
      </c>
      <c r="CC49">
        <f>IF((gamma!CC49),IF(VLOOKUP(CC$1,main!$A$3:$H$102,7,FALSE)=VLOOKUP($A49,main!$A$3:$H$102,8,FALSE),VLOOKUP(CC$1,main!$A$3:$H$102,4,FALSE),VLOOKUP(CC$1,main!$A$3:$H$102,4,FALSE)+VLOOKUP($A49,main!$A$3:$H$102,4,FALSE)+(VLOOKUP(VLOOKUP(CC$1,main!$A$3:$H$102,8,FALSE),main!$K$19:$O$22,MATCH(VLOOKUP($A49,main!$A$3:$H$102,7,FALSE),main!$K$18:$O$18,0),0))),0)</f>
        <v>55</v>
      </c>
      <c r="CD49">
        <f>IF((gamma!CD49),IF(VLOOKUP(CD$1,main!$A$3:$H$102,7,FALSE)=VLOOKUP($A49,main!$A$3:$H$102,8,FALSE),VLOOKUP(CD$1,main!$A$3:$H$102,4,FALSE),VLOOKUP(CD$1,main!$A$3:$H$102,4,FALSE)+VLOOKUP($A49,main!$A$3:$H$102,4,FALSE)+(VLOOKUP(VLOOKUP(CD$1,main!$A$3:$H$102,8,FALSE),main!$K$19:$O$22,MATCH(VLOOKUP($A49,main!$A$3:$H$102,7,FALSE),main!$K$18:$O$18,0),0))),0)</f>
        <v>0</v>
      </c>
      <c r="CE49">
        <f>IF((gamma!CE49),IF(VLOOKUP(CE$1,main!$A$3:$H$102,7,FALSE)=VLOOKUP($A49,main!$A$3:$H$102,8,FALSE),VLOOKUP(CE$1,main!$A$3:$H$102,4,FALSE),VLOOKUP(CE$1,main!$A$3:$H$102,4,FALSE)+VLOOKUP($A49,main!$A$3:$H$102,4,FALSE)+(VLOOKUP(VLOOKUP(CE$1,main!$A$3:$H$102,8,FALSE),main!$K$19:$O$22,MATCH(VLOOKUP($A49,main!$A$3:$H$102,7,FALSE),main!$K$18:$O$18,0),0))),0)</f>
        <v>0</v>
      </c>
      <c r="CF49">
        <f>IF((gamma!CF49),IF(VLOOKUP(CF$1,main!$A$3:$H$102,7,FALSE)=VLOOKUP($A49,main!$A$3:$H$102,8,FALSE),VLOOKUP(CF$1,main!$A$3:$H$102,4,FALSE),VLOOKUP(CF$1,main!$A$3:$H$102,4,FALSE)+VLOOKUP($A49,main!$A$3:$H$102,4,FALSE)+(VLOOKUP(VLOOKUP(CF$1,main!$A$3:$H$102,8,FALSE),main!$K$19:$O$22,MATCH(VLOOKUP($A49,main!$A$3:$H$102,7,FALSE),main!$K$18:$O$18,0),0))),0)</f>
        <v>0</v>
      </c>
      <c r="CG49">
        <f>IF((gamma!CG49),IF(VLOOKUP(CG$1,main!$A$3:$H$102,7,FALSE)=VLOOKUP($A49,main!$A$3:$H$102,8,FALSE),VLOOKUP(CG$1,main!$A$3:$H$102,4,FALSE),VLOOKUP(CG$1,main!$A$3:$H$102,4,FALSE)+VLOOKUP($A49,main!$A$3:$H$102,4,FALSE)+(VLOOKUP(VLOOKUP(CG$1,main!$A$3:$H$102,8,FALSE),main!$K$19:$O$22,MATCH(VLOOKUP($A49,main!$A$3:$H$102,7,FALSE),main!$K$18:$O$18,0),0))),0)</f>
        <v>0</v>
      </c>
      <c r="CH49">
        <f>IF((gamma!CH49),IF(VLOOKUP(CH$1,main!$A$3:$H$102,7,FALSE)=VLOOKUP($A49,main!$A$3:$H$102,8,FALSE),VLOOKUP(CH$1,main!$A$3:$H$102,4,FALSE),VLOOKUP(CH$1,main!$A$3:$H$102,4,FALSE)+VLOOKUP($A49,main!$A$3:$H$102,4,FALSE)+(VLOOKUP(VLOOKUP(CH$1,main!$A$3:$H$102,8,FALSE),main!$K$19:$O$22,MATCH(VLOOKUP($A49,main!$A$3:$H$102,7,FALSE),main!$K$18:$O$18,0),0))),0)</f>
        <v>0</v>
      </c>
      <c r="CI49">
        <f>IF((gamma!CI49),IF(VLOOKUP(CI$1,main!$A$3:$H$102,7,FALSE)=VLOOKUP($A49,main!$A$3:$H$102,8,FALSE),VLOOKUP(CI$1,main!$A$3:$H$102,4,FALSE),VLOOKUP(CI$1,main!$A$3:$H$102,4,FALSE)+VLOOKUP($A49,main!$A$3:$H$102,4,FALSE)+(VLOOKUP(VLOOKUP(CI$1,main!$A$3:$H$102,8,FALSE),main!$K$19:$O$22,MATCH(VLOOKUP($A49,main!$A$3:$H$102,7,FALSE),main!$K$18:$O$18,0),0))),0)</f>
        <v>285</v>
      </c>
      <c r="CJ49">
        <f>IF((gamma!CJ49),IF(VLOOKUP(CJ$1,main!$A$3:$H$102,7,FALSE)=VLOOKUP($A49,main!$A$3:$H$102,8,FALSE),VLOOKUP(CJ$1,main!$A$3:$H$102,4,FALSE),VLOOKUP(CJ$1,main!$A$3:$H$102,4,FALSE)+VLOOKUP($A49,main!$A$3:$H$102,4,FALSE)+(VLOOKUP(VLOOKUP(CJ$1,main!$A$3:$H$102,8,FALSE),main!$K$19:$O$22,MATCH(VLOOKUP($A49,main!$A$3:$H$102,7,FALSE),main!$K$18:$O$18,0),0))),0)</f>
        <v>0</v>
      </c>
      <c r="CK49">
        <f>IF((gamma!CK49),IF(VLOOKUP(CK$1,main!$A$3:$H$102,7,FALSE)=VLOOKUP($A49,main!$A$3:$H$102,8,FALSE),VLOOKUP(CK$1,main!$A$3:$H$102,4,FALSE),VLOOKUP(CK$1,main!$A$3:$H$102,4,FALSE)+VLOOKUP($A49,main!$A$3:$H$102,4,FALSE)+(VLOOKUP(VLOOKUP(CK$1,main!$A$3:$H$102,8,FALSE),main!$K$19:$O$22,MATCH(VLOOKUP($A49,main!$A$3:$H$102,7,FALSE),main!$K$18:$O$18,0),0))),0)</f>
        <v>0</v>
      </c>
      <c r="CL49">
        <f>IF((gamma!CL49),IF(VLOOKUP(CL$1,main!$A$3:$H$102,7,FALSE)=VLOOKUP($A49,main!$A$3:$H$102,8,FALSE),VLOOKUP(CL$1,main!$A$3:$H$102,4,FALSE),VLOOKUP(CL$1,main!$A$3:$H$102,4,FALSE)+VLOOKUP($A49,main!$A$3:$H$102,4,FALSE)+(VLOOKUP(VLOOKUP(CL$1,main!$A$3:$H$102,8,FALSE),main!$K$19:$O$22,MATCH(VLOOKUP($A49,main!$A$3:$H$102,7,FALSE),main!$K$18:$O$18,0),0))),0)</f>
        <v>0</v>
      </c>
      <c r="CM49">
        <f>IF((gamma!CM49),IF(VLOOKUP(CM$1,main!$A$3:$H$102,7,FALSE)=VLOOKUP($A49,main!$A$3:$H$102,8,FALSE),VLOOKUP(CM$1,main!$A$3:$H$102,4,FALSE),VLOOKUP(CM$1,main!$A$3:$H$102,4,FALSE)+VLOOKUP($A49,main!$A$3:$H$102,4,FALSE)+(VLOOKUP(VLOOKUP(CM$1,main!$A$3:$H$102,8,FALSE),main!$K$19:$O$22,MATCH(VLOOKUP($A49,main!$A$3:$H$102,7,FALSE),main!$K$18:$O$18,0),0))),0)</f>
        <v>0</v>
      </c>
      <c r="CN49">
        <f>IF((gamma!CN49),IF(VLOOKUP(CN$1,main!$A$3:$H$102,7,FALSE)=VLOOKUP($A49,main!$A$3:$H$102,8,FALSE),VLOOKUP(CN$1,main!$A$3:$H$102,4,FALSE),VLOOKUP(CN$1,main!$A$3:$H$102,4,FALSE)+VLOOKUP($A49,main!$A$3:$H$102,4,FALSE)+(VLOOKUP(VLOOKUP(CN$1,main!$A$3:$H$102,8,FALSE),main!$K$19:$O$22,MATCH(VLOOKUP($A49,main!$A$3:$H$102,7,FALSE),main!$K$18:$O$18,0),0))),0)</f>
        <v>241</v>
      </c>
      <c r="CO49">
        <f>IF((gamma!CO49),IF(VLOOKUP(CO$1,main!$A$3:$H$102,7,FALSE)=VLOOKUP($A49,main!$A$3:$H$102,8,FALSE),VLOOKUP(CO$1,main!$A$3:$H$102,4,FALSE),VLOOKUP(CO$1,main!$A$3:$H$102,4,FALSE)+VLOOKUP($A49,main!$A$3:$H$102,4,FALSE)+(VLOOKUP(VLOOKUP(CO$1,main!$A$3:$H$102,8,FALSE),main!$K$19:$O$22,MATCH(VLOOKUP($A49,main!$A$3:$H$102,7,FALSE),main!$K$18:$O$18,0),0))),0)</f>
        <v>0</v>
      </c>
      <c r="CP49">
        <f>IF((gamma!CP49),IF(VLOOKUP(CP$1,main!$A$3:$H$102,7,FALSE)=VLOOKUP($A49,main!$A$3:$H$102,8,FALSE),VLOOKUP(CP$1,main!$A$3:$H$102,4,FALSE),VLOOKUP(CP$1,main!$A$3:$H$102,4,FALSE)+VLOOKUP($A49,main!$A$3:$H$102,4,FALSE)+(VLOOKUP(VLOOKUP(CP$1,main!$A$3:$H$102,8,FALSE),main!$K$19:$O$22,MATCH(VLOOKUP($A49,main!$A$3:$H$102,7,FALSE),main!$K$18:$O$18,0),0))),0)</f>
        <v>0</v>
      </c>
      <c r="CQ49">
        <f>IF((gamma!CQ49),IF(VLOOKUP(CQ$1,main!$A$3:$H$102,7,FALSE)=VLOOKUP($A49,main!$A$3:$H$102,8,FALSE),VLOOKUP(CQ$1,main!$A$3:$H$102,4,FALSE),VLOOKUP(CQ$1,main!$A$3:$H$102,4,FALSE)+VLOOKUP($A49,main!$A$3:$H$102,4,FALSE)+(VLOOKUP(VLOOKUP(CQ$1,main!$A$3:$H$102,8,FALSE),main!$K$19:$O$22,MATCH(VLOOKUP($A49,main!$A$3:$H$102,7,FALSE),main!$K$18:$O$18,0),0))),0)</f>
        <v>0</v>
      </c>
      <c r="CR49">
        <f>IF((gamma!CR49),IF(VLOOKUP(CR$1,main!$A$3:$H$102,7,FALSE)=VLOOKUP($A49,main!$A$3:$H$102,8,FALSE),VLOOKUP(CR$1,main!$A$3:$H$102,4,FALSE),VLOOKUP(CR$1,main!$A$3:$H$102,4,FALSE)+VLOOKUP($A49,main!$A$3:$H$102,4,FALSE)+(VLOOKUP(VLOOKUP(CR$1,main!$A$3:$H$102,8,FALSE),main!$K$19:$O$22,MATCH(VLOOKUP($A49,main!$A$3:$H$102,7,FALSE),main!$K$18:$O$18,0),0))),0)</f>
        <v>0</v>
      </c>
      <c r="CS49">
        <f>IF((gamma!CS49),IF(VLOOKUP(CS$1,main!$A$3:$H$102,7,FALSE)=VLOOKUP($A49,main!$A$3:$H$102,8,FALSE),VLOOKUP(CS$1,main!$A$3:$H$102,4,FALSE),VLOOKUP(CS$1,main!$A$3:$H$102,4,FALSE)+VLOOKUP($A49,main!$A$3:$H$102,4,FALSE)+(VLOOKUP(VLOOKUP(CS$1,main!$A$3:$H$102,8,FALSE),main!$K$19:$O$22,MATCH(VLOOKUP($A49,main!$A$3:$H$102,7,FALSE),main!$K$18:$O$18,0),0))),0)</f>
        <v>0</v>
      </c>
      <c r="CT49">
        <f>IF((gamma!CT49),IF(VLOOKUP(CT$1,main!$A$3:$H$102,7,FALSE)=VLOOKUP($A49,main!$A$3:$H$102,8,FALSE),VLOOKUP(CT$1,main!$A$3:$H$102,4,FALSE),VLOOKUP(CT$1,main!$A$3:$H$102,4,FALSE)+VLOOKUP($A49,main!$A$3:$H$102,4,FALSE)+(VLOOKUP(VLOOKUP(CT$1,main!$A$3:$H$102,8,FALSE),main!$K$19:$O$22,MATCH(VLOOKUP($A49,main!$A$3:$H$102,7,FALSE),main!$K$18:$O$18,0),0))),0)</f>
        <v>0</v>
      </c>
      <c r="CU49">
        <f>IF((gamma!CU49),IF(VLOOKUP(CU$1,main!$A$3:$H$102,7,FALSE)=VLOOKUP($A49,main!$A$3:$H$102,8,FALSE),VLOOKUP(CU$1,main!$A$3:$H$102,4,FALSE),VLOOKUP(CU$1,main!$A$3:$H$102,4,FALSE)+VLOOKUP($A49,main!$A$3:$H$102,4,FALSE)+(VLOOKUP(VLOOKUP(CU$1,main!$A$3:$H$102,8,FALSE),main!$K$19:$O$22,MATCH(VLOOKUP($A49,main!$A$3:$H$102,7,FALSE),main!$K$18:$O$18,0),0))),0)</f>
        <v>0</v>
      </c>
      <c r="CV49">
        <f>IF((gamma!CV49),IF(VLOOKUP(CV$1,main!$A$3:$H$102,7,FALSE)=VLOOKUP($A49,main!$A$3:$H$102,8,FALSE),VLOOKUP(CV$1,main!$A$3:$H$102,4,FALSE),VLOOKUP(CV$1,main!$A$3:$H$102,4,FALSE)+VLOOKUP($A49,main!$A$3:$H$102,4,FALSE)+(VLOOKUP(VLOOKUP(CV$1,main!$A$3:$H$102,8,FALSE),main!$K$19:$O$22,MATCH(VLOOKUP($A49,main!$A$3:$H$102,7,FALSE),main!$K$18:$O$18,0),0))),0)</f>
        <v>0</v>
      </c>
      <c r="CW49">
        <f>IF((gamma!CW49),IF(VLOOKUP(CW$1,main!$A$3:$H$102,7,FALSE)=VLOOKUP($A49,main!$A$3:$H$102,8,FALSE),VLOOKUP(CW$1,main!$A$3:$H$102,4,FALSE),VLOOKUP(CW$1,main!$A$3:$H$102,4,FALSE)+VLOOKUP($A49,main!$A$3:$H$102,4,FALSE)+(VLOOKUP(VLOOKUP(CW$1,main!$A$3:$H$102,8,FALSE),main!$K$19:$O$22,MATCH(VLOOKUP($A49,main!$A$3:$H$102,7,FALSE),main!$K$18:$O$18,0),0))),0)</f>
        <v>0</v>
      </c>
      <c r="CX49">
        <f>IF((gamma!CX49),IF(VLOOKUP(CX$1,main!$A$3:$H$102,7,FALSE)=VLOOKUP($A49,main!$A$3:$H$102,8,FALSE),VLOOKUP(CX$1,main!$A$3:$H$102,4,FALSE),VLOOKUP(CX$1,main!$A$3:$H$102,4,FALSE)+VLOOKUP($A49,main!$A$3:$H$102,4,FALSE)+(VLOOKUP(VLOOKUP(CX$1,main!$A$3:$H$102,8,FALSE),main!$K$19:$O$22,MATCH(VLOOKUP($A49,main!$A$3:$H$102,7,FALSE),main!$K$18:$O$18,0),0))),0)</f>
        <v>0</v>
      </c>
      <c r="CY49">
        <v>0</v>
      </c>
      <c r="CZ49">
        <v>0</v>
      </c>
      <c r="DA49">
        <v>0</v>
      </c>
    </row>
    <row r="50" spans="1:105" x14ac:dyDescent="0.25">
      <c r="A50" s="1">
        <v>48</v>
      </c>
      <c r="B50">
        <v>0</v>
      </c>
      <c r="C50">
        <f>IF((gamma!C50),IF(VLOOKUP(C$1,main!$A$3:$H$102,7,FALSE)=VLOOKUP($A50,main!$A$3:$H$102,8,FALSE),VLOOKUP(C$1,main!$A$3:$H$102,4,FALSE),VLOOKUP(C$1,main!$A$3:$H$102,4,FALSE)+VLOOKUP($A50,main!$A$3:$H$102,4,FALSE)+(VLOOKUP(VLOOKUP(C$1,main!$A$3:$H$102,8,FALSE),main!$K$19:$O$22,MATCH(VLOOKUP($A50,main!$A$3:$H$102,7,FALSE),main!$K$18:$O$18,0),0))),0)</f>
        <v>0</v>
      </c>
      <c r="D50">
        <f>IF((gamma!D50),IF(VLOOKUP(D$1,main!$A$3:$H$102,7,FALSE)=VLOOKUP($A50,main!$A$3:$H$102,8,FALSE),VLOOKUP(D$1,main!$A$3:$H$102,4,FALSE),VLOOKUP(D$1,main!$A$3:$H$102,4,FALSE)+VLOOKUP($A50,main!$A$3:$H$102,4,FALSE)+(VLOOKUP(VLOOKUP(D$1,main!$A$3:$H$102,8,FALSE),main!$K$19:$O$22,MATCH(VLOOKUP($A50,main!$A$3:$H$102,7,FALSE),main!$K$18:$O$18,0),0))),0)</f>
        <v>0</v>
      </c>
      <c r="E50">
        <f>IF((gamma!E50),IF(VLOOKUP(E$1,main!$A$3:$H$102,7,FALSE)=VLOOKUP($A50,main!$A$3:$H$102,8,FALSE),VLOOKUP(E$1,main!$A$3:$H$102,4,FALSE),VLOOKUP(E$1,main!$A$3:$H$102,4,FALSE)+VLOOKUP($A50,main!$A$3:$H$102,4,FALSE)+(VLOOKUP(VLOOKUP(E$1,main!$A$3:$H$102,8,FALSE),main!$K$19:$O$22,MATCH(VLOOKUP($A50,main!$A$3:$H$102,7,FALSE),main!$K$18:$O$18,0),0))),0)</f>
        <v>0</v>
      </c>
      <c r="F50">
        <f>IF((gamma!F50),IF(VLOOKUP(F$1,main!$A$3:$H$102,7,FALSE)=VLOOKUP($A50,main!$A$3:$H$102,8,FALSE),VLOOKUP(F$1,main!$A$3:$H$102,4,FALSE),VLOOKUP(F$1,main!$A$3:$H$102,4,FALSE)+VLOOKUP($A50,main!$A$3:$H$102,4,FALSE)+(VLOOKUP(VLOOKUP(F$1,main!$A$3:$H$102,8,FALSE),main!$K$19:$O$22,MATCH(VLOOKUP($A50,main!$A$3:$H$102,7,FALSE),main!$K$18:$O$18,0),0))),0)</f>
        <v>0</v>
      </c>
      <c r="G50">
        <f>IF((gamma!G50),IF(VLOOKUP(G$1,main!$A$3:$H$102,7,FALSE)=VLOOKUP($A50,main!$A$3:$H$102,8,FALSE),VLOOKUP(G$1,main!$A$3:$H$102,4,FALSE),VLOOKUP(G$1,main!$A$3:$H$102,4,FALSE)+VLOOKUP($A50,main!$A$3:$H$102,4,FALSE)+(VLOOKUP(VLOOKUP(G$1,main!$A$3:$H$102,8,FALSE),main!$K$19:$O$22,MATCH(VLOOKUP($A50,main!$A$3:$H$102,7,FALSE),main!$K$18:$O$18,0),0))),0)</f>
        <v>0</v>
      </c>
      <c r="H50">
        <f>IF((gamma!H50),IF(VLOOKUP(H$1,main!$A$3:$H$102,7,FALSE)=VLOOKUP($A50,main!$A$3:$H$102,8,FALSE),VLOOKUP(H$1,main!$A$3:$H$102,4,FALSE),VLOOKUP(H$1,main!$A$3:$H$102,4,FALSE)+VLOOKUP($A50,main!$A$3:$H$102,4,FALSE)+(VLOOKUP(VLOOKUP(H$1,main!$A$3:$H$102,8,FALSE),main!$K$19:$O$22,MATCH(VLOOKUP($A50,main!$A$3:$H$102,7,FALSE),main!$K$18:$O$18,0),0))),0)</f>
        <v>240</v>
      </c>
      <c r="I50">
        <f>IF((gamma!I50),IF(VLOOKUP(I$1,main!$A$3:$H$102,7,FALSE)=VLOOKUP($A50,main!$A$3:$H$102,8,FALSE),VLOOKUP(I$1,main!$A$3:$H$102,4,FALSE),VLOOKUP(I$1,main!$A$3:$H$102,4,FALSE)+VLOOKUP($A50,main!$A$3:$H$102,4,FALSE)+(VLOOKUP(VLOOKUP(I$1,main!$A$3:$H$102,8,FALSE),main!$K$19:$O$22,MATCH(VLOOKUP($A50,main!$A$3:$H$102,7,FALSE),main!$K$18:$O$18,0),0))),0)</f>
        <v>240</v>
      </c>
      <c r="J50">
        <f>IF((gamma!J50),IF(VLOOKUP(J$1,main!$A$3:$H$102,7,FALSE)=VLOOKUP($A50,main!$A$3:$H$102,8,FALSE),VLOOKUP(J$1,main!$A$3:$H$102,4,FALSE),VLOOKUP(J$1,main!$A$3:$H$102,4,FALSE)+VLOOKUP($A50,main!$A$3:$H$102,4,FALSE)+(VLOOKUP(VLOOKUP(J$1,main!$A$3:$H$102,8,FALSE),main!$K$19:$O$22,MATCH(VLOOKUP($A50,main!$A$3:$H$102,7,FALSE),main!$K$18:$O$18,0),0))),0)</f>
        <v>240</v>
      </c>
      <c r="K50">
        <f>IF((gamma!K50),IF(VLOOKUP(K$1,main!$A$3:$H$102,7,FALSE)=VLOOKUP($A50,main!$A$3:$H$102,8,FALSE),VLOOKUP(K$1,main!$A$3:$H$102,4,FALSE),VLOOKUP(K$1,main!$A$3:$H$102,4,FALSE)+VLOOKUP($A50,main!$A$3:$H$102,4,FALSE)+(VLOOKUP(VLOOKUP(K$1,main!$A$3:$H$102,8,FALSE),main!$K$19:$O$22,MATCH(VLOOKUP($A50,main!$A$3:$H$102,7,FALSE),main!$K$18:$O$18,0),0))),0)</f>
        <v>240</v>
      </c>
      <c r="L50">
        <f>IF((gamma!L50),IF(VLOOKUP(L$1,main!$A$3:$H$102,7,FALSE)=VLOOKUP($A50,main!$A$3:$H$102,8,FALSE),VLOOKUP(L$1,main!$A$3:$H$102,4,FALSE),VLOOKUP(L$1,main!$A$3:$H$102,4,FALSE)+VLOOKUP($A50,main!$A$3:$H$102,4,FALSE)+(VLOOKUP(VLOOKUP(L$1,main!$A$3:$H$102,8,FALSE),main!$K$19:$O$22,MATCH(VLOOKUP($A50,main!$A$3:$H$102,7,FALSE),main!$K$18:$O$18,0),0))),0)</f>
        <v>240</v>
      </c>
      <c r="M50">
        <f>IF((gamma!M50),IF(VLOOKUP(M$1,main!$A$3:$H$102,7,FALSE)=VLOOKUP($A50,main!$A$3:$H$102,8,FALSE),VLOOKUP(M$1,main!$A$3:$H$102,4,FALSE),VLOOKUP(M$1,main!$A$3:$H$102,4,FALSE)+VLOOKUP($A50,main!$A$3:$H$102,4,FALSE)+(VLOOKUP(VLOOKUP(M$1,main!$A$3:$H$102,8,FALSE),main!$K$19:$O$22,MATCH(VLOOKUP($A50,main!$A$3:$H$102,7,FALSE),main!$K$18:$O$18,0),0))),0)</f>
        <v>0</v>
      </c>
      <c r="N50">
        <f>IF((gamma!N50),IF(VLOOKUP(N$1,main!$A$3:$H$102,7,FALSE)=VLOOKUP($A50,main!$A$3:$H$102,8,FALSE),VLOOKUP(N$1,main!$A$3:$H$102,4,FALSE),VLOOKUP(N$1,main!$A$3:$H$102,4,FALSE)+VLOOKUP($A50,main!$A$3:$H$102,4,FALSE)+(VLOOKUP(VLOOKUP(N$1,main!$A$3:$H$102,8,FALSE),main!$K$19:$O$22,MATCH(VLOOKUP($A50,main!$A$3:$H$102,7,FALSE),main!$K$18:$O$18,0),0))),0)</f>
        <v>0</v>
      </c>
      <c r="O50">
        <f>IF((gamma!O50),IF(VLOOKUP(O$1,main!$A$3:$H$102,7,FALSE)=VLOOKUP($A50,main!$A$3:$H$102,8,FALSE),VLOOKUP(O$1,main!$A$3:$H$102,4,FALSE),VLOOKUP(O$1,main!$A$3:$H$102,4,FALSE)+VLOOKUP($A50,main!$A$3:$H$102,4,FALSE)+(VLOOKUP(VLOOKUP(O$1,main!$A$3:$H$102,8,FALSE),main!$K$19:$O$22,MATCH(VLOOKUP($A50,main!$A$3:$H$102,7,FALSE),main!$K$18:$O$18,0),0))),0)</f>
        <v>0</v>
      </c>
      <c r="P50">
        <f>IF((gamma!P50),IF(VLOOKUP(P$1,main!$A$3:$H$102,7,FALSE)=VLOOKUP($A50,main!$A$3:$H$102,8,FALSE),VLOOKUP(P$1,main!$A$3:$H$102,4,FALSE),VLOOKUP(P$1,main!$A$3:$H$102,4,FALSE)+VLOOKUP($A50,main!$A$3:$H$102,4,FALSE)+(VLOOKUP(VLOOKUP(P$1,main!$A$3:$H$102,8,FALSE),main!$K$19:$O$22,MATCH(VLOOKUP($A50,main!$A$3:$H$102,7,FALSE),main!$K$18:$O$18,0),0))),0)</f>
        <v>0</v>
      </c>
      <c r="Q50">
        <f>IF((gamma!Q50),IF(VLOOKUP(Q$1,main!$A$3:$H$102,7,FALSE)=VLOOKUP($A50,main!$A$3:$H$102,8,FALSE),VLOOKUP(Q$1,main!$A$3:$H$102,4,FALSE),VLOOKUP(Q$1,main!$A$3:$H$102,4,FALSE)+VLOOKUP($A50,main!$A$3:$H$102,4,FALSE)+(VLOOKUP(VLOOKUP(Q$1,main!$A$3:$H$102,8,FALSE),main!$K$19:$O$22,MATCH(VLOOKUP($A50,main!$A$3:$H$102,7,FALSE),main!$K$18:$O$18,0),0))),0)</f>
        <v>0</v>
      </c>
      <c r="R50">
        <f>IF((gamma!R50),IF(VLOOKUP(R$1,main!$A$3:$H$102,7,FALSE)=VLOOKUP($A50,main!$A$3:$H$102,8,FALSE),VLOOKUP(R$1,main!$A$3:$H$102,4,FALSE),VLOOKUP(R$1,main!$A$3:$H$102,4,FALSE)+VLOOKUP($A50,main!$A$3:$H$102,4,FALSE)+(VLOOKUP(VLOOKUP(R$1,main!$A$3:$H$102,8,FALSE),main!$K$19:$O$22,MATCH(VLOOKUP($A50,main!$A$3:$H$102,7,FALSE),main!$K$18:$O$18,0),0))),0)</f>
        <v>0</v>
      </c>
      <c r="S50">
        <f>IF((gamma!S50),IF(VLOOKUP(S$1,main!$A$3:$H$102,7,FALSE)=VLOOKUP($A50,main!$A$3:$H$102,8,FALSE),VLOOKUP(S$1,main!$A$3:$H$102,4,FALSE),VLOOKUP(S$1,main!$A$3:$H$102,4,FALSE)+VLOOKUP($A50,main!$A$3:$H$102,4,FALSE)+(VLOOKUP(VLOOKUP(S$1,main!$A$3:$H$102,8,FALSE),main!$K$19:$O$22,MATCH(VLOOKUP($A50,main!$A$3:$H$102,7,FALSE),main!$K$18:$O$18,0),0))),0)</f>
        <v>273</v>
      </c>
      <c r="T50">
        <f>IF((gamma!T50),IF(VLOOKUP(T$1,main!$A$3:$H$102,7,FALSE)=VLOOKUP($A50,main!$A$3:$H$102,8,FALSE),VLOOKUP(T$1,main!$A$3:$H$102,4,FALSE),VLOOKUP(T$1,main!$A$3:$H$102,4,FALSE)+VLOOKUP($A50,main!$A$3:$H$102,4,FALSE)+(VLOOKUP(VLOOKUP(T$1,main!$A$3:$H$102,8,FALSE),main!$K$19:$O$22,MATCH(VLOOKUP($A50,main!$A$3:$H$102,7,FALSE),main!$K$18:$O$18,0),0))),0)</f>
        <v>273</v>
      </c>
      <c r="U50">
        <f>IF((gamma!U50),IF(VLOOKUP(U$1,main!$A$3:$H$102,7,FALSE)=VLOOKUP($A50,main!$A$3:$H$102,8,FALSE),VLOOKUP(U$1,main!$A$3:$H$102,4,FALSE),VLOOKUP(U$1,main!$A$3:$H$102,4,FALSE)+VLOOKUP($A50,main!$A$3:$H$102,4,FALSE)+(VLOOKUP(VLOOKUP(U$1,main!$A$3:$H$102,8,FALSE),main!$K$19:$O$22,MATCH(VLOOKUP($A50,main!$A$3:$H$102,7,FALSE),main!$K$18:$O$18,0),0))),0)</f>
        <v>273</v>
      </c>
      <c r="V50">
        <f>IF((gamma!V50),IF(VLOOKUP(V$1,main!$A$3:$H$102,7,FALSE)=VLOOKUP($A50,main!$A$3:$H$102,8,FALSE),VLOOKUP(V$1,main!$A$3:$H$102,4,FALSE),VLOOKUP(V$1,main!$A$3:$H$102,4,FALSE)+VLOOKUP($A50,main!$A$3:$H$102,4,FALSE)+(VLOOKUP(VLOOKUP(V$1,main!$A$3:$H$102,8,FALSE),main!$K$19:$O$22,MATCH(VLOOKUP($A50,main!$A$3:$H$102,7,FALSE),main!$K$18:$O$18,0),0))),0)</f>
        <v>273</v>
      </c>
      <c r="W50">
        <f>IF((gamma!W50),IF(VLOOKUP(W$1,main!$A$3:$H$102,7,FALSE)=VLOOKUP($A50,main!$A$3:$H$102,8,FALSE),VLOOKUP(W$1,main!$A$3:$H$102,4,FALSE),VLOOKUP(W$1,main!$A$3:$H$102,4,FALSE)+VLOOKUP($A50,main!$A$3:$H$102,4,FALSE)+(VLOOKUP(VLOOKUP(W$1,main!$A$3:$H$102,8,FALSE),main!$K$19:$O$22,MATCH(VLOOKUP($A50,main!$A$3:$H$102,7,FALSE),main!$K$18:$O$18,0),0))),0)</f>
        <v>0</v>
      </c>
      <c r="X50">
        <f>IF((gamma!X50),IF(VLOOKUP(X$1,main!$A$3:$H$102,7,FALSE)=VLOOKUP($A50,main!$A$3:$H$102,8,FALSE),VLOOKUP(X$1,main!$A$3:$H$102,4,FALSE),VLOOKUP(X$1,main!$A$3:$H$102,4,FALSE)+VLOOKUP($A50,main!$A$3:$H$102,4,FALSE)+(VLOOKUP(VLOOKUP(X$1,main!$A$3:$H$102,8,FALSE),main!$K$19:$O$22,MATCH(VLOOKUP($A50,main!$A$3:$H$102,7,FALSE),main!$K$18:$O$18,0),0))),0)</f>
        <v>0</v>
      </c>
      <c r="Y50">
        <f>IF((gamma!Y50),IF(VLOOKUP(Y$1,main!$A$3:$H$102,7,FALSE)=VLOOKUP($A50,main!$A$3:$H$102,8,FALSE),VLOOKUP(Y$1,main!$A$3:$H$102,4,FALSE),VLOOKUP(Y$1,main!$A$3:$H$102,4,FALSE)+VLOOKUP($A50,main!$A$3:$H$102,4,FALSE)+(VLOOKUP(VLOOKUP(Y$1,main!$A$3:$H$102,8,FALSE),main!$K$19:$O$22,MATCH(VLOOKUP($A50,main!$A$3:$H$102,7,FALSE),main!$K$18:$O$18,0),0))),0)</f>
        <v>0</v>
      </c>
      <c r="Z50">
        <f>IF((gamma!Z50),IF(VLOOKUP(Z$1,main!$A$3:$H$102,7,FALSE)=VLOOKUP($A50,main!$A$3:$H$102,8,FALSE),VLOOKUP(Z$1,main!$A$3:$H$102,4,FALSE),VLOOKUP(Z$1,main!$A$3:$H$102,4,FALSE)+VLOOKUP($A50,main!$A$3:$H$102,4,FALSE)+(VLOOKUP(VLOOKUP(Z$1,main!$A$3:$H$102,8,FALSE),main!$K$19:$O$22,MATCH(VLOOKUP($A50,main!$A$3:$H$102,7,FALSE),main!$K$18:$O$18,0),0))),0)</f>
        <v>285</v>
      </c>
      <c r="AA50">
        <f>IF((gamma!AA50),IF(VLOOKUP(AA$1,main!$A$3:$H$102,7,FALSE)=VLOOKUP($A50,main!$A$3:$H$102,8,FALSE),VLOOKUP(AA$1,main!$A$3:$H$102,4,FALSE),VLOOKUP(AA$1,main!$A$3:$H$102,4,FALSE)+VLOOKUP($A50,main!$A$3:$H$102,4,FALSE)+(VLOOKUP(VLOOKUP(AA$1,main!$A$3:$H$102,8,FALSE),main!$K$19:$O$22,MATCH(VLOOKUP($A50,main!$A$3:$H$102,7,FALSE),main!$K$18:$O$18,0),0))),0)</f>
        <v>285</v>
      </c>
      <c r="AB50">
        <f>IF((gamma!AB50),IF(VLOOKUP(AB$1,main!$A$3:$H$102,7,FALSE)=VLOOKUP($A50,main!$A$3:$H$102,8,FALSE),VLOOKUP(AB$1,main!$A$3:$H$102,4,FALSE),VLOOKUP(AB$1,main!$A$3:$H$102,4,FALSE)+VLOOKUP($A50,main!$A$3:$H$102,4,FALSE)+(VLOOKUP(VLOOKUP(AB$1,main!$A$3:$H$102,8,FALSE),main!$K$19:$O$22,MATCH(VLOOKUP($A50,main!$A$3:$H$102,7,FALSE),main!$K$18:$O$18,0),0))),0)</f>
        <v>0</v>
      </c>
      <c r="AC50">
        <f>IF((gamma!AC50),IF(VLOOKUP(AC$1,main!$A$3:$H$102,7,FALSE)=VLOOKUP($A50,main!$A$3:$H$102,8,FALSE),VLOOKUP(AC$1,main!$A$3:$H$102,4,FALSE),VLOOKUP(AC$1,main!$A$3:$H$102,4,FALSE)+VLOOKUP($A50,main!$A$3:$H$102,4,FALSE)+(VLOOKUP(VLOOKUP(AC$1,main!$A$3:$H$102,8,FALSE),main!$K$19:$O$22,MATCH(VLOOKUP($A50,main!$A$3:$H$102,7,FALSE),main!$K$18:$O$18,0),0))),0)</f>
        <v>0</v>
      </c>
      <c r="AD50">
        <f>IF((gamma!AD50),IF(VLOOKUP(AD$1,main!$A$3:$H$102,7,FALSE)=VLOOKUP($A50,main!$A$3:$H$102,8,FALSE),VLOOKUP(AD$1,main!$A$3:$H$102,4,FALSE),VLOOKUP(AD$1,main!$A$3:$H$102,4,FALSE)+VLOOKUP($A50,main!$A$3:$H$102,4,FALSE)+(VLOOKUP(VLOOKUP(AD$1,main!$A$3:$H$102,8,FALSE),main!$K$19:$O$22,MATCH(VLOOKUP($A50,main!$A$3:$H$102,7,FALSE),main!$K$18:$O$18,0),0))),0)</f>
        <v>0</v>
      </c>
      <c r="AE50">
        <f>IF((gamma!AE50),IF(VLOOKUP(AE$1,main!$A$3:$H$102,7,FALSE)=VLOOKUP($A50,main!$A$3:$H$102,8,FALSE),VLOOKUP(AE$1,main!$A$3:$H$102,4,FALSE),VLOOKUP(AE$1,main!$A$3:$H$102,4,FALSE)+VLOOKUP($A50,main!$A$3:$H$102,4,FALSE)+(VLOOKUP(VLOOKUP(AE$1,main!$A$3:$H$102,8,FALSE),main!$K$19:$O$22,MATCH(VLOOKUP($A50,main!$A$3:$H$102,7,FALSE),main!$K$18:$O$18,0),0))),0)</f>
        <v>285</v>
      </c>
      <c r="AF50">
        <f>IF((gamma!AF50),IF(VLOOKUP(AF$1,main!$A$3:$H$102,7,FALSE)=VLOOKUP($A50,main!$A$3:$H$102,8,FALSE),VLOOKUP(AF$1,main!$A$3:$H$102,4,FALSE),VLOOKUP(AF$1,main!$A$3:$H$102,4,FALSE)+VLOOKUP($A50,main!$A$3:$H$102,4,FALSE)+(VLOOKUP(VLOOKUP(AF$1,main!$A$3:$H$102,8,FALSE),main!$K$19:$O$22,MATCH(VLOOKUP($A50,main!$A$3:$H$102,7,FALSE),main!$K$18:$O$18,0),0))),0)</f>
        <v>245</v>
      </c>
      <c r="AG50">
        <f>IF((gamma!AG50),IF(VLOOKUP(AG$1,main!$A$3:$H$102,7,FALSE)=VLOOKUP($A50,main!$A$3:$H$102,8,FALSE),VLOOKUP(AG$1,main!$A$3:$H$102,4,FALSE),VLOOKUP(AG$1,main!$A$3:$H$102,4,FALSE)+VLOOKUP($A50,main!$A$3:$H$102,4,FALSE)+(VLOOKUP(VLOOKUP(AG$1,main!$A$3:$H$102,8,FALSE),main!$K$19:$O$22,MATCH(VLOOKUP($A50,main!$A$3:$H$102,7,FALSE),main!$K$18:$O$18,0),0))),0)</f>
        <v>0</v>
      </c>
      <c r="AH50">
        <f>IF((gamma!AH50),IF(VLOOKUP(AH$1,main!$A$3:$H$102,7,FALSE)=VLOOKUP($A50,main!$A$3:$H$102,8,FALSE),VLOOKUP(AH$1,main!$A$3:$H$102,4,FALSE),VLOOKUP(AH$1,main!$A$3:$H$102,4,FALSE)+VLOOKUP($A50,main!$A$3:$H$102,4,FALSE)+(VLOOKUP(VLOOKUP(AH$1,main!$A$3:$H$102,8,FALSE),main!$K$19:$O$22,MATCH(VLOOKUP($A50,main!$A$3:$H$102,7,FALSE),main!$K$18:$O$18,0),0))),0)</f>
        <v>0</v>
      </c>
      <c r="AI50">
        <f>IF((gamma!AI50),IF(VLOOKUP(AI$1,main!$A$3:$H$102,7,FALSE)=VLOOKUP($A50,main!$A$3:$H$102,8,FALSE),VLOOKUP(AI$1,main!$A$3:$H$102,4,FALSE),VLOOKUP(AI$1,main!$A$3:$H$102,4,FALSE)+VLOOKUP($A50,main!$A$3:$H$102,4,FALSE)+(VLOOKUP(VLOOKUP(AI$1,main!$A$3:$H$102,8,FALSE),main!$K$19:$O$22,MATCH(VLOOKUP($A50,main!$A$3:$H$102,7,FALSE),main!$K$18:$O$18,0),0))),0)</f>
        <v>0</v>
      </c>
      <c r="AJ50">
        <f>IF((gamma!AJ50),IF(VLOOKUP(AJ$1,main!$A$3:$H$102,7,FALSE)=VLOOKUP($A50,main!$A$3:$H$102,8,FALSE),VLOOKUP(AJ$1,main!$A$3:$H$102,4,FALSE),VLOOKUP(AJ$1,main!$A$3:$H$102,4,FALSE)+VLOOKUP($A50,main!$A$3:$H$102,4,FALSE)+(VLOOKUP(VLOOKUP(AJ$1,main!$A$3:$H$102,8,FALSE),main!$K$19:$O$22,MATCH(VLOOKUP($A50,main!$A$3:$H$102,7,FALSE),main!$K$18:$O$18,0),0))),0)</f>
        <v>0</v>
      </c>
      <c r="AK50">
        <f>IF((gamma!AK50),IF(VLOOKUP(AK$1,main!$A$3:$H$102,7,FALSE)=VLOOKUP($A50,main!$A$3:$H$102,8,FALSE),VLOOKUP(AK$1,main!$A$3:$H$102,4,FALSE),VLOOKUP(AK$1,main!$A$3:$H$102,4,FALSE)+VLOOKUP($A50,main!$A$3:$H$102,4,FALSE)+(VLOOKUP(VLOOKUP(AK$1,main!$A$3:$H$102,8,FALSE),main!$K$19:$O$22,MATCH(VLOOKUP($A50,main!$A$3:$H$102,7,FALSE),main!$K$18:$O$18,0),0))),0)</f>
        <v>265</v>
      </c>
      <c r="AL50">
        <f>IF((gamma!AL50),IF(VLOOKUP(AL$1,main!$A$3:$H$102,7,FALSE)=VLOOKUP($A50,main!$A$3:$H$102,8,FALSE),VLOOKUP(AL$1,main!$A$3:$H$102,4,FALSE),VLOOKUP(AL$1,main!$A$3:$H$102,4,FALSE)+VLOOKUP($A50,main!$A$3:$H$102,4,FALSE)+(VLOOKUP(VLOOKUP(AL$1,main!$A$3:$H$102,8,FALSE),main!$K$19:$O$22,MATCH(VLOOKUP($A50,main!$A$3:$H$102,7,FALSE),main!$K$18:$O$18,0),0))),0)</f>
        <v>265</v>
      </c>
      <c r="AM50">
        <f>IF((gamma!AM50),IF(VLOOKUP(AM$1,main!$A$3:$H$102,7,FALSE)=VLOOKUP($A50,main!$A$3:$H$102,8,FALSE),VLOOKUP(AM$1,main!$A$3:$H$102,4,FALSE),VLOOKUP(AM$1,main!$A$3:$H$102,4,FALSE)+VLOOKUP($A50,main!$A$3:$H$102,4,FALSE)+(VLOOKUP(VLOOKUP(AM$1,main!$A$3:$H$102,8,FALSE),main!$K$19:$O$22,MATCH(VLOOKUP($A50,main!$A$3:$H$102,7,FALSE),main!$K$18:$O$18,0),0))),0)</f>
        <v>265</v>
      </c>
      <c r="AN50">
        <f>IF((gamma!AN50),IF(VLOOKUP(AN$1,main!$A$3:$H$102,7,FALSE)=VLOOKUP($A50,main!$A$3:$H$102,8,FALSE),VLOOKUP(AN$1,main!$A$3:$H$102,4,FALSE),VLOOKUP(AN$1,main!$A$3:$H$102,4,FALSE)+VLOOKUP($A50,main!$A$3:$H$102,4,FALSE)+(VLOOKUP(VLOOKUP(AN$1,main!$A$3:$H$102,8,FALSE),main!$K$19:$O$22,MATCH(VLOOKUP($A50,main!$A$3:$H$102,7,FALSE),main!$K$18:$O$18,0),0))),0)</f>
        <v>265</v>
      </c>
      <c r="AO50">
        <f>IF((gamma!AO50),IF(VLOOKUP(AO$1,main!$A$3:$H$102,7,FALSE)=VLOOKUP($A50,main!$A$3:$H$102,8,FALSE),VLOOKUP(AO$1,main!$A$3:$H$102,4,FALSE),VLOOKUP(AO$1,main!$A$3:$H$102,4,FALSE)+VLOOKUP($A50,main!$A$3:$H$102,4,FALSE)+(VLOOKUP(VLOOKUP(AO$1,main!$A$3:$H$102,8,FALSE),main!$K$19:$O$22,MATCH(VLOOKUP($A50,main!$A$3:$H$102,7,FALSE),main!$K$18:$O$18,0),0))),0)</f>
        <v>0</v>
      </c>
      <c r="AP50">
        <f>IF((gamma!AP50),IF(VLOOKUP(AP$1,main!$A$3:$H$102,7,FALSE)=VLOOKUP($A50,main!$A$3:$H$102,8,FALSE),VLOOKUP(AP$1,main!$A$3:$H$102,4,FALSE),VLOOKUP(AP$1,main!$A$3:$H$102,4,FALSE)+VLOOKUP($A50,main!$A$3:$H$102,4,FALSE)+(VLOOKUP(VLOOKUP(AP$1,main!$A$3:$H$102,8,FALSE),main!$K$19:$O$22,MATCH(VLOOKUP($A50,main!$A$3:$H$102,7,FALSE),main!$K$18:$O$18,0),0))),0)</f>
        <v>205</v>
      </c>
      <c r="AQ50">
        <f>IF((gamma!AQ50),IF(VLOOKUP(AQ$1,main!$A$3:$H$102,7,FALSE)=VLOOKUP($A50,main!$A$3:$H$102,8,FALSE),VLOOKUP(AQ$1,main!$A$3:$H$102,4,FALSE),VLOOKUP(AQ$1,main!$A$3:$H$102,4,FALSE)+VLOOKUP($A50,main!$A$3:$H$102,4,FALSE)+(VLOOKUP(VLOOKUP(AQ$1,main!$A$3:$H$102,8,FALSE),main!$K$19:$O$22,MATCH(VLOOKUP($A50,main!$A$3:$H$102,7,FALSE),main!$K$18:$O$18,0),0))),0)</f>
        <v>0</v>
      </c>
      <c r="AR50">
        <f>IF((gamma!AR50),IF(VLOOKUP(AR$1,main!$A$3:$H$102,7,FALSE)=VLOOKUP($A50,main!$A$3:$H$102,8,FALSE),VLOOKUP(AR$1,main!$A$3:$H$102,4,FALSE),VLOOKUP(AR$1,main!$A$3:$H$102,4,FALSE)+VLOOKUP($A50,main!$A$3:$H$102,4,FALSE)+(VLOOKUP(VLOOKUP(AR$1,main!$A$3:$H$102,8,FALSE),main!$K$19:$O$22,MATCH(VLOOKUP($A50,main!$A$3:$H$102,7,FALSE),main!$K$18:$O$18,0),0))),0)</f>
        <v>0</v>
      </c>
      <c r="AS50">
        <f>IF((gamma!AS50),IF(VLOOKUP(AS$1,main!$A$3:$H$102,7,FALSE)=VLOOKUP($A50,main!$A$3:$H$102,8,FALSE),VLOOKUP(AS$1,main!$A$3:$H$102,4,FALSE),VLOOKUP(AS$1,main!$A$3:$H$102,4,FALSE)+VLOOKUP($A50,main!$A$3:$H$102,4,FALSE)+(VLOOKUP(VLOOKUP(AS$1,main!$A$3:$H$102,8,FALSE),main!$K$19:$O$22,MATCH(VLOOKUP($A50,main!$A$3:$H$102,7,FALSE),main!$K$18:$O$18,0),0))),0)</f>
        <v>0</v>
      </c>
      <c r="AT50">
        <f>IF((gamma!AT50),IF(VLOOKUP(AT$1,main!$A$3:$H$102,7,FALSE)=VLOOKUP($A50,main!$A$3:$H$102,8,FALSE),VLOOKUP(AT$1,main!$A$3:$H$102,4,FALSE),VLOOKUP(AT$1,main!$A$3:$H$102,4,FALSE)+VLOOKUP($A50,main!$A$3:$H$102,4,FALSE)+(VLOOKUP(VLOOKUP(AT$1,main!$A$3:$H$102,8,FALSE),main!$K$19:$O$22,MATCH(VLOOKUP($A50,main!$A$3:$H$102,7,FALSE),main!$K$18:$O$18,0),0))),0)</f>
        <v>263</v>
      </c>
      <c r="AU50">
        <f>IF((gamma!AU50),IF(VLOOKUP(AU$1,main!$A$3:$H$102,7,FALSE)=VLOOKUP($A50,main!$A$3:$H$102,8,FALSE),VLOOKUP(AU$1,main!$A$3:$H$102,4,FALSE),VLOOKUP(AU$1,main!$A$3:$H$102,4,FALSE)+VLOOKUP($A50,main!$A$3:$H$102,4,FALSE)+(VLOOKUP(VLOOKUP(AU$1,main!$A$3:$H$102,8,FALSE),main!$K$19:$O$22,MATCH(VLOOKUP($A50,main!$A$3:$H$102,7,FALSE),main!$K$18:$O$18,0),0))),0)</f>
        <v>0</v>
      </c>
      <c r="AV50">
        <f>IF((gamma!AV50),IF(VLOOKUP(AV$1,main!$A$3:$H$102,7,FALSE)=VLOOKUP($A50,main!$A$3:$H$102,8,FALSE),VLOOKUP(AV$1,main!$A$3:$H$102,4,FALSE),VLOOKUP(AV$1,main!$A$3:$H$102,4,FALSE)+VLOOKUP($A50,main!$A$3:$H$102,4,FALSE)+(VLOOKUP(VLOOKUP(AV$1,main!$A$3:$H$102,8,FALSE),main!$K$19:$O$22,MATCH(VLOOKUP($A50,main!$A$3:$H$102,7,FALSE),main!$K$18:$O$18,0),0))),0)</f>
        <v>0</v>
      </c>
      <c r="AW50">
        <f>IF((gamma!AW50),IF(VLOOKUP(AW$1,main!$A$3:$H$102,7,FALSE)=VLOOKUP($A50,main!$A$3:$H$102,8,FALSE),VLOOKUP(AW$1,main!$A$3:$H$102,4,FALSE),VLOOKUP(AW$1,main!$A$3:$H$102,4,FALSE)+VLOOKUP($A50,main!$A$3:$H$102,4,FALSE)+(VLOOKUP(VLOOKUP(AW$1,main!$A$3:$H$102,8,FALSE),main!$K$19:$O$22,MATCH(VLOOKUP($A50,main!$A$3:$H$102,7,FALSE),main!$K$18:$O$18,0),0))),0)</f>
        <v>253</v>
      </c>
      <c r="AX50">
        <f>IF((gamma!AX50),IF(VLOOKUP(AX$1,main!$A$3:$H$102,7,FALSE)=VLOOKUP($A50,main!$A$3:$H$102,8,FALSE),VLOOKUP(AX$1,main!$A$3:$H$102,4,FALSE),VLOOKUP(AX$1,main!$A$3:$H$102,4,FALSE)+VLOOKUP($A50,main!$A$3:$H$102,4,FALSE)+(VLOOKUP(VLOOKUP(AX$1,main!$A$3:$H$102,8,FALSE),main!$K$19:$O$22,MATCH(VLOOKUP($A50,main!$A$3:$H$102,7,FALSE),main!$K$18:$O$18,0),0))),0)</f>
        <v>0</v>
      </c>
      <c r="AY50">
        <f>IF((gamma!AY50),IF(VLOOKUP(AY$1,main!$A$3:$H$102,7,FALSE)=VLOOKUP($A50,main!$A$3:$H$102,8,FALSE),VLOOKUP(AY$1,main!$A$3:$H$102,4,FALSE),VLOOKUP(AY$1,main!$A$3:$H$102,4,FALSE)+VLOOKUP($A50,main!$A$3:$H$102,4,FALSE)+(VLOOKUP(VLOOKUP(AY$1,main!$A$3:$H$102,8,FALSE),main!$K$19:$O$22,MATCH(VLOOKUP($A50,main!$A$3:$H$102,7,FALSE),main!$K$18:$O$18,0),0))),0)</f>
        <v>0</v>
      </c>
      <c r="AZ50">
        <f>IF((gamma!AZ50),IF(VLOOKUP(AZ$1,main!$A$3:$H$102,7,FALSE)=VLOOKUP($A50,main!$A$3:$H$102,8,FALSE),VLOOKUP(AZ$1,main!$A$3:$H$102,4,FALSE),VLOOKUP(AZ$1,main!$A$3:$H$102,4,FALSE)+VLOOKUP($A50,main!$A$3:$H$102,4,FALSE)+(VLOOKUP(VLOOKUP(AZ$1,main!$A$3:$H$102,8,FALSE),main!$K$19:$O$22,MATCH(VLOOKUP($A50,main!$A$3:$H$102,7,FALSE),main!$K$18:$O$18,0),0))),0)</f>
        <v>0</v>
      </c>
      <c r="BA50">
        <f>IF((gamma!BA50),IF(VLOOKUP(BA$1,main!$A$3:$H$102,7,FALSE)=VLOOKUP($A50,main!$A$3:$H$102,8,FALSE),VLOOKUP(BA$1,main!$A$3:$H$102,4,FALSE),VLOOKUP(BA$1,main!$A$3:$H$102,4,FALSE)+VLOOKUP($A50,main!$A$3:$H$102,4,FALSE)+(VLOOKUP(VLOOKUP(BA$1,main!$A$3:$H$102,8,FALSE),main!$K$19:$O$22,MATCH(VLOOKUP($A50,main!$A$3:$H$102,7,FALSE),main!$K$18:$O$18,0),0))),0)</f>
        <v>0</v>
      </c>
      <c r="BB50">
        <f>IF((gamma!BB50),IF(VLOOKUP(BB$1,main!$A$3:$H$102,7,FALSE)=VLOOKUP($A50,main!$A$3:$H$102,8,FALSE),VLOOKUP(BB$1,main!$A$3:$H$102,4,FALSE),VLOOKUP(BB$1,main!$A$3:$H$102,4,FALSE)+VLOOKUP($A50,main!$A$3:$H$102,4,FALSE)+(VLOOKUP(VLOOKUP(BB$1,main!$A$3:$H$102,8,FALSE),main!$K$19:$O$22,MATCH(VLOOKUP($A50,main!$A$3:$H$102,7,FALSE),main!$K$18:$O$18,0),0))),0)</f>
        <v>0</v>
      </c>
      <c r="BC50">
        <f>IF((gamma!BC50),IF(VLOOKUP(BC$1,main!$A$3:$H$102,7,FALSE)=VLOOKUP($A50,main!$A$3:$H$102,8,FALSE),VLOOKUP(BC$1,main!$A$3:$H$102,4,FALSE),VLOOKUP(BC$1,main!$A$3:$H$102,4,FALSE)+VLOOKUP($A50,main!$A$3:$H$102,4,FALSE)+(VLOOKUP(VLOOKUP(BC$1,main!$A$3:$H$102,8,FALSE),main!$K$19:$O$22,MATCH(VLOOKUP($A50,main!$A$3:$H$102,7,FALSE),main!$K$18:$O$18,0),0))),0)</f>
        <v>140</v>
      </c>
      <c r="BD50">
        <f>IF((gamma!BD50),IF(VLOOKUP(BD$1,main!$A$3:$H$102,7,FALSE)=VLOOKUP($A50,main!$A$3:$H$102,8,FALSE),VLOOKUP(BD$1,main!$A$3:$H$102,4,FALSE),VLOOKUP(BD$1,main!$A$3:$H$102,4,FALSE)+VLOOKUP($A50,main!$A$3:$H$102,4,FALSE)+(VLOOKUP(VLOOKUP(BD$1,main!$A$3:$H$102,8,FALSE),main!$K$19:$O$22,MATCH(VLOOKUP($A50,main!$A$3:$H$102,7,FALSE),main!$K$18:$O$18,0),0))),0)</f>
        <v>140</v>
      </c>
      <c r="BE50">
        <f>IF((gamma!BE50),IF(VLOOKUP(BE$1,main!$A$3:$H$102,7,FALSE)=VLOOKUP($A50,main!$A$3:$H$102,8,FALSE),VLOOKUP(BE$1,main!$A$3:$H$102,4,FALSE),VLOOKUP(BE$1,main!$A$3:$H$102,4,FALSE)+VLOOKUP($A50,main!$A$3:$H$102,4,FALSE)+(VLOOKUP(VLOOKUP(BE$1,main!$A$3:$H$102,8,FALSE),main!$K$19:$O$22,MATCH(VLOOKUP($A50,main!$A$3:$H$102,7,FALSE),main!$K$18:$O$18,0),0))),0)</f>
        <v>140</v>
      </c>
      <c r="BF50">
        <f>IF((gamma!BF50),IF(VLOOKUP(BF$1,main!$A$3:$H$102,7,FALSE)=VLOOKUP($A50,main!$A$3:$H$102,8,FALSE),VLOOKUP(BF$1,main!$A$3:$H$102,4,FALSE),VLOOKUP(BF$1,main!$A$3:$H$102,4,FALSE)+VLOOKUP($A50,main!$A$3:$H$102,4,FALSE)+(VLOOKUP(VLOOKUP(BF$1,main!$A$3:$H$102,8,FALSE),main!$K$19:$O$22,MATCH(VLOOKUP($A50,main!$A$3:$H$102,7,FALSE),main!$K$18:$O$18,0),0))),0)</f>
        <v>0</v>
      </c>
      <c r="BG50">
        <f>IF((gamma!BG50),IF(VLOOKUP(BG$1,main!$A$3:$H$102,7,FALSE)=VLOOKUP($A50,main!$A$3:$H$102,8,FALSE),VLOOKUP(BG$1,main!$A$3:$H$102,4,FALSE),VLOOKUP(BG$1,main!$A$3:$H$102,4,FALSE)+VLOOKUP($A50,main!$A$3:$H$102,4,FALSE)+(VLOOKUP(VLOOKUP(BG$1,main!$A$3:$H$102,8,FALSE),main!$K$19:$O$22,MATCH(VLOOKUP($A50,main!$A$3:$H$102,7,FALSE),main!$K$18:$O$18,0),0))),0)</f>
        <v>0</v>
      </c>
      <c r="BH50">
        <f>IF((gamma!BH50),IF(VLOOKUP(BH$1,main!$A$3:$H$102,7,FALSE)=VLOOKUP($A50,main!$A$3:$H$102,8,FALSE),VLOOKUP(BH$1,main!$A$3:$H$102,4,FALSE),VLOOKUP(BH$1,main!$A$3:$H$102,4,FALSE)+VLOOKUP($A50,main!$A$3:$H$102,4,FALSE)+(VLOOKUP(VLOOKUP(BH$1,main!$A$3:$H$102,8,FALSE),main!$K$19:$O$22,MATCH(VLOOKUP($A50,main!$A$3:$H$102,7,FALSE),main!$K$18:$O$18,0),0))),0)</f>
        <v>0</v>
      </c>
      <c r="BI50">
        <f>IF((gamma!BI50),IF(VLOOKUP(BI$1,main!$A$3:$H$102,7,FALSE)=VLOOKUP($A50,main!$A$3:$H$102,8,FALSE),VLOOKUP(BI$1,main!$A$3:$H$102,4,FALSE),VLOOKUP(BI$1,main!$A$3:$H$102,4,FALSE)+VLOOKUP($A50,main!$A$3:$H$102,4,FALSE)+(VLOOKUP(VLOOKUP(BI$1,main!$A$3:$H$102,8,FALSE),main!$K$19:$O$22,MATCH(VLOOKUP($A50,main!$A$3:$H$102,7,FALSE),main!$K$18:$O$18,0),0))),0)</f>
        <v>60</v>
      </c>
      <c r="BJ50">
        <f>IF((gamma!BJ50),IF(VLOOKUP(BJ$1,main!$A$3:$H$102,7,FALSE)=VLOOKUP($A50,main!$A$3:$H$102,8,FALSE),VLOOKUP(BJ$1,main!$A$3:$H$102,4,FALSE),VLOOKUP(BJ$1,main!$A$3:$H$102,4,FALSE)+VLOOKUP($A50,main!$A$3:$H$102,4,FALSE)+(VLOOKUP(VLOOKUP(BJ$1,main!$A$3:$H$102,8,FALSE),main!$K$19:$O$22,MATCH(VLOOKUP($A50,main!$A$3:$H$102,7,FALSE),main!$K$18:$O$18,0),0))),0)</f>
        <v>90</v>
      </c>
      <c r="BK50">
        <f>IF((gamma!BK50),IF(VLOOKUP(BK$1,main!$A$3:$H$102,7,FALSE)=VLOOKUP($A50,main!$A$3:$H$102,8,FALSE),VLOOKUP(BK$1,main!$A$3:$H$102,4,FALSE),VLOOKUP(BK$1,main!$A$3:$H$102,4,FALSE)+VLOOKUP($A50,main!$A$3:$H$102,4,FALSE)+(VLOOKUP(VLOOKUP(BK$1,main!$A$3:$H$102,8,FALSE),main!$K$19:$O$22,MATCH(VLOOKUP($A50,main!$A$3:$H$102,7,FALSE),main!$K$18:$O$18,0),0))),0)</f>
        <v>0</v>
      </c>
      <c r="BL50">
        <f>IF((gamma!BL50),IF(VLOOKUP(BL$1,main!$A$3:$H$102,7,FALSE)=VLOOKUP($A50,main!$A$3:$H$102,8,FALSE),VLOOKUP(BL$1,main!$A$3:$H$102,4,FALSE),VLOOKUP(BL$1,main!$A$3:$H$102,4,FALSE)+VLOOKUP($A50,main!$A$3:$H$102,4,FALSE)+(VLOOKUP(VLOOKUP(BL$1,main!$A$3:$H$102,8,FALSE),main!$K$19:$O$22,MATCH(VLOOKUP($A50,main!$A$3:$H$102,7,FALSE),main!$K$18:$O$18,0),0))),0)</f>
        <v>0</v>
      </c>
      <c r="BM50">
        <f>IF((gamma!BM50),IF(VLOOKUP(BM$1,main!$A$3:$H$102,7,FALSE)=VLOOKUP($A50,main!$A$3:$H$102,8,FALSE),VLOOKUP(BM$1,main!$A$3:$H$102,4,FALSE),VLOOKUP(BM$1,main!$A$3:$H$102,4,FALSE)+VLOOKUP($A50,main!$A$3:$H$102,4,FALSE)+(VLOOKUP(VLOOKUP(BM$1,main!$A$3:$H$102,8,FALSE),main!$K$19:$O$22,MATCH(VLOOKUP($A50,main!$A$3:$H$102,7,FALSE),main!$K$18:$O$18,0),0))),0)</f>
        <v>0</v>
      </c>
      <c r="BN50">
        <f>IF((gamma!BN50),IF(VLOOKUP(BN$1,main!$A$3:$H$102,7,FALSE)=VLOOKUP($A50,main!$A$3:$H$102,8,FALSE),VLOOKUP(BN$1,main!$A$3:$H$102,4,FALSE),VLOOKUP(BN$1,main!$A$3:$H$102,4,FALSE)+VLOOKUP($A50,main!$A$3:$H$102,4,FALSE)+(VLOOKUP(VLOOKUP(BN$1,main!$A$3:$H$102,8,FALSE),main!$K$19:$O$22,MATCH(VLOOKUP($A50,main!$A$3:$H$102,7,FALSE),main!$K$18:$O$18,0),0))),0)</f>
        <v>120</v>
      </c>
      <c r="BO50">
        <f>IF((gamma!BO50),IF(VLOOKUP(BO$1,main!$A$3:$H$102,7,FALSE)=VLOOKUP($A50,main!$A$3:$H$102,8,FALSE),VLOOKUP(BO$1,main!$A$3:$H$102,4,FALSE),VLOOKUP(BO$1,main!$A$3:$H$102,4,FALSE)+VLOOKUP($A50,main!$A$3:$H$102,4,FALSE)+(VLOOKUP(VLOOKUP(BO$1,main!$A$3:$H$102,8,FALSE),main!$K$19:$O$22,MATCH(VLOOKUP($A50,main!$A$3:$H$102,7,FALSE),main!$K$18:$O$18,0),0))),0)</f>
        <v>0</v>
      </c>
      <c r="BP50">
        <f>IF((gamma!BP50),IF(VLOOKUP(BP$1,main!$A$3:$H$102,7,FALSE)=VLOOKUP($A50,main!$A$3:$H$102,8,FALSE),VLOOKUP(BP$1,main!$A$3:$H$102,4,FALSE),VLOOKUP(BP$1,main!$A$3:$H$102,4,FALSE)+VLOOKUP($A50,main!$A$3:$H$102,4,FALSE)+(VLOOKUP(VLOOKUP(BP$1,main!$A$3:$H$102,8,FALSE),main!$K$19:$O$22,MATCH(VLOOKUP($A50,main!$A$3:$H$102,7,FALSE),main!$K$18:$O$18,0),0))),0)</f>
        <v>0</v>
      </c>
      <c r="BQ50">
        <f>IF((gamma!BQ50),IF(VLOOKUP(BQ$1,main!$A$3:$H$102,7,FALSE)=VLOOKUP($A50,main!$A$3:$H$102,8,FALSE),VLOOKUP(BQ$1,main!$A$3:$H$102,4,FALSE),VLOOKUP(BQ$1,main!$A$3:$H$102,4,FALSE)+VLOOKUP($A50,main!$A$3:$H$102,4,FALSE)+(VLOOKUP(VLOOKUP(BQ$1,main!$A$3:$H$102,8,FALSE),main!$K$19:$O$22,MATCH(VLOOKUP($A50,main!$A$3:$H$102,7,FALSE),main!$K$18:$O$18,0),0))),0)</f>
        <v>0</v>
      </c>
      <c r="BR50">
        <f>IF((gamma!BR50),IF(VLOOKUP(BR$1,main!$A$3:$H$102,7,FALSE)=VLOOKUP($A50,main!$A$3:$H$102,8,FALSE),VLOOKUP(BR$1,main!$A$3:$H$102,4,FALSE),VLOOKUP(BR$1,main!$A$3:$H$102,4,FALSE)+VLOOKUP($A50,main!$A$3:$H$102,4,FALSE)+(VLOOKUP(VLOOKUP(BR$1,main!$A$3:$H$102,8,FALSE),main!$K$19:$O$22,MATCH(VLOOKUP($A50,main!$A$3:$H$102,7,FALSE),main!$K$18:$O$18,0),0))),0)</f>
        <v>0</v>
      </c>
      <c r="BS50">
        <f>IF((gamma!BS50),IF(VLOOKUP(BS$1,main!$A$3:$H$102,7,FALSE)=VLOOKUP($A50,main!$A$3:$H$102,8,FALSE),VLOOKUP(BS$1,main!$A$3:$H$102,4,FALSE),VLOOKUP(BS$1,main!$A$3:$H$102,4,FALSE)+VLOOKUP($A50,main!$A$3:$H$102,4,FALSE)+(VLOOKUP(VLOOKUP(BS$1,main!$A$3:$H$102,8,FALSE),main!$K$19:$O$22,MATCH(VLOOKUP($A50,main!$A$3:$H$102,7,FALSE),main!$K$18:$O$18,0),0))),0)</f>
        <v>0</v>
      </c>
      <c r="BT50">
        <f>IF((gamma!BT50),IF(VLOOKUP(BT$1,main!$A$3:$H$102,7,FALSE)=VLOOKUP($A50,main!$A$3:$H$102,8,FALSE),VLOOKUP(BT$1,main!$A$3:$H$102,4,FALSE),VLOOKUP(BT$1,main!$A$3:$H$102,4,FALSE)+VLOOKUP($A50,main!$A$3:$H$102,4,FALSE)+(VLOOKUP(VLOOKUP(BT$1,main!$A$3:$H$102,8,FALSE),main!$K$19:$O$22,MATCH(VLOOKUP($A50,main!$A$3:$H$102,7,FALSE),main!$K$18:$O$18,0),0))),0)</f>
        <v>0</v>
      </c>
      <c r="BU50">
        <f>IF((gamma!BU50),IF(VLOOKUP(BU$1,main!$A$3:$H$102,7,FALSE)=VLOOKUP($A50,main!$A$3:$H$102,8,FALSE),VLOOKUP(BU$1,main!$A$3:$H$102,4,FALSE),VLOOKUP(BU$1,main!$A$3:$H$102,4,FALSE)+VLOOKUP($A50,main!$A$3:$H$102,4,FALSE)+(VLOOKUP(VLOOKUP(BU$1,main!$A$3:$H$102,8,FALSE),main!$K$19:$O$22,MATCH(VLOOKUP($A50,main!$A$3:$H$102,7,FALSE),main!$K$18:$O$18,0),0))),0)</f>
        <v>0</v>
      </c>
      <c r="BV50">
        <f>IF((gamma!BV50),IF(VLOOKUP(BV$1,main!$A$3:$H$102,7,FALSE)=VLOOKUP($A50,main!$A$3:$H$102,8,FALSE),VLOOKUP(BV$1,main!$A$3:$H$102,4,FALSE),VLOOKUP(BV$1,main!$A$3:$H$102,4,FALSE)+VLOOKUP($A50,main!$A$3:$H$102,4,FALSE)+(VLOOKUP(VLOOKUP(BV$1,main!$A$3:$H$102,8,FALSE),main!$K$19:$O$22,MATCH(VLOOKUP($A50,main!$A$3:$H$102,7,FALSE),main!$K$18:$O$18,0),0))),0)</f>
        <v>0</v>
      </c>
      <c r="BW50">
        <f>IF((gamma!BW50),IF(VLOOKUP(BW$1,main!$A$3:$H$102,7,FALSE)=VLOOKUP($A50,main!$A$3:$H$102,8,FALSE),VLOOKUP(BW$1,main!$A$3:$H$102,4,FALSE),VLOOKUP(BW$1,main!$A$3:$H$102,4,FALSE)+VLOOKUP($A50,main!$A$3:$H$102,4,FALSE)+(VLOOKUP(VLOOKUP(BW$1,main!$A$3:$H$102,8,FALSE),main!$K$19:$O$22,MATCH(VLOOKUP($A50,main!$A$3:$H$102,7,FALSE),main!$K$18:$O$18,0),0))),0)</f>
        <v>0</v>
      </c>
      <c r="BX50">
        <f>IF((gamma!BX50),IF(VLOOKUP(BX$1,main!$A$3:$H$102,7,FALSE)=VLOOKUP($A50,main!$A$3:$H$102,8,FALSE),VLOOKUP(BX$1,main!$A$3:$H$102,4,FALSE),VLOOKUP(BX$1,main!$A$3:$H$102,4,FALSE)+VLOOKUP($A50,main!$A$3:$H$102,4,FALSE)+(VLOOKUP(VLOOKUP(BX$1,main!$A$3:$H$102,8,FALSE),main!$K$19:$O$22,MATCH(VLOOKUP($A50,main!$A$3:$H$102,7,FALSE),main!$K$18:$O$18,0),0))),0)</f>
        <v>0</v>
      </c>
      <c r="BY50">
        <f>IF((gamma!BY50),IF(VLOOKUP(BY$1,main!$A$3:$H$102,7,FALSE)=VLOOKUP($A50,main!$A$3:$H$102,8,FALSE),VLOOKUP(BY$1,main!$A$3:$H$102,4,FALSE),VLOOKUP(BY$1,main!$A$3:$H$102,4,FALSE)+VLOOKUP($A50,main!$A$3:$H$102,4,FALSE)+(VLOOKUP(VLOOKUP(BY$1,main!$A$3:$H$102,8,FALSE),main!$K$19:$O$22,MATCH(VLOOKUP($A50,main!$A$3:$H$102,7,FALSE),main!$K$18:$O$18,0),0))),0)</f>
        <v>0</v>
      </c>
      <c r="BZ50">
        <f>IF((gamma!BZ50),IF(VLOOKUP(BZ$1,main!$A$3:$H$102,7,FALSE)=VLOOKUP($A50,main!$A$3:$H$102,8,FALSE),VLOOKUP(BZ$1,main!$A$3:$H$102,4,FALSE),VLOOKUP(BZ$1,main!$A$3:$H$102,4,FALSE)+VLOOKUP($A50,main!$A$3:$H$102,4,FALSE)+(VLOOKUP(VLOOKUP(BZ$1,main!$A$3:$H$102,8,FALSE),main!$K$19:$O$22,MATCH(VLOOKUP($A50,main!$A$3:$H$102,7,FALSE),main!$K$18:$O$18,0),0))),0)</f>
        <v>0</v>
      </c>
      <c r="CA50">
        <f>IF((gamma!CA50),IF(VLOOKUP(CA$1,main!$A$3:$H$102,7,FALSE)=VLOOKUP($A50,main!$A$3:$H$102,8,FALSE),VLOOKUP(CA$1,main!$A$3:$H$102,4,FALSE),VLOOKUP(CA$1,main!$A$3:$H$102,4,FALSE)+VLOOKUP($A50,main!$A$3:$H$102,4,FALSE)+(VLOOKUP(VLOOKUP(CA$1,main!$A$3:$H$102,8,FALSE),main!$K$19:$O$22,MATCH(VLOOKUP($A50,main!$A$3:$H$102,7,FALSE),main!$K$18:$O$18,0),0))),0)</f>
        <v>0</v>
      </c>
      <c r="CB50">
        <f>IF((gamma!CB50),IF(VLOOKUP(CB$1,main!$A$3:$H$102,7,FALSE)=VLOOKUP($A50,main!$A$3:$H$102,8,FALSE),VLOOKUP(CB$1,main!$A$3:$H$102,4,FALSE),VLOOKUP(CB$1,main!$A$3:$H$102,4,FALSE)+VLOOKUP($A50,main!$A$3:$H$102,4,FALSE)+(VLOOKUP(VLOOKUP(CB$1,main!$A$3:$H$102,8,FALSE),main!$K$19:$O$22,MATCH(VLOOKUP($A50,main!$A$3:$H$102,7,FALSE),main!$K$18:$O$18,0),0))),0)</f>
        <v>65</v>
      </c>
      <c r="CC50">
        <f>IF((gamma!CC50),IF(VLOOKUP(CC$1,main!$A$3:$H$102,7,FALSE)=VLOOKUP($A50,main!$A$3:$H$102,8,FALSE),VLOOKUP(CC$1,main!$A$3:$H$102,4,FALSE),VLOOKUP(CC$1,main!$A$3:$H$102,4,FALSE)+VLOOKUP($A50,main!$A$3:$H$102,4,FALSE)+(VLOOKUP(VLOOKUP(CC$1,main!$A$3:$H$102,8,FALSE),main!$K$19:$O$22,MATCH(VLOOKUP($A50,main!$A$3:$H$102,7,FALSE),main!$K$18:$O$18,0),0))),0)</f>
        <v>55</v>
      </c>
      <c r="CD50">
        <f>IF((gamma!CD50),IF(VLOOKUP(CD$1,main!$A$3:$H$102,7,FALSE)=VLOOKUP($A50,main!$A$3:$H$102,8,FALSE),VLOOKUP(CD$1,main!$A$3:$H$102,4,FALSE),VLOOKUP(CD$1,main!$A$3:$H$102,4,FALSE)+VLOOKUP($A50,main!$A$3:$H$102,4,FALSE)+(VLOOKUP(VLOOKUP(CD$1,main!$A$3:$H$102,8,FALSE),main!$K$19:$O$22,MATCH(VLOOKUP($A50,main!$A$3:$H$102,7,FALSE),main!$K$18:$O$18,0),0))),0)</f>
        <v>0</v>
      </c>
      <c r="CE50">
        <f>IF((gamma!CE50),IF(VLOOKUP(CE$1,main!$A$3:$H$102,7,FALSE)=VLOOKUP($A50,main!$A$3:$H$102,8,FALSE),VLOOKUP(CE$1,main!$A$3:$H$102,4,FALSE),VLOOKUP(CE$1,main!$A$3:$H$102,4,FALSE)+VLOOKUP($A50,main!$A$3:$H$102,4,FALSE)+(VLOOKUP(VLOOKUP(CE$1,main!$A$3:$H$102,8,FALSE),main!$K$19:$O$22,MATCH(VLOOKUP($A50,main!$A$3:$H$102,7,FALSE),main!$K$18:$O$18,0),0))),0)</f>
        <v>0</v>
      </c>
      <c r="CF50">
        <f>IF((gamma!CF50),IF(VLOOKUP(CF$1,main!$A$3:$H$102,7,FALSE)=VLOOKUP($A50,main!$A$3:$H$102,8,FALSE),VLOOKUP(CF$1,main!$A$3:$H$102,4,FALSE),VLOOKUP(CF$1,main!$A$3:$H$102,4,FALSE)+VLOOKUP($A50,main!$A$3:$H$102,4,FALSE)+(VLOOKUP(VLOOKUP(CF$1,main!$A$3:$H$102,8,FALSE),main!$K$19:$O$22,MATCH(VLOOKUP($A50,main!$A$3:$H$102,7,FALSE),main!$K$18:$O$18,0),0))),0)</f>
        <v>0</v>
      </c>
      <c r="CG50">
        <f>IF((gamma!CG50),IF(VLOOKUP(CG$1,main!$A$3:$H$102,7,FALSE)=VLOOKUP($A50,main!$A$3:$H$102,8,FALSE),VLOOKUP(CG$1,main!$A$3:$H$102,4,FALSE),VLOOKUP(CG$1,main!$A$3:$H$102,4,FALSE)+VLOOKUP($A50,main!$A$3:$H$102,4,FALSE)+(VLOOKUP(VLOOKUP(CG$1,main!$A$3:$H$102,8,FALSE),main!$K$19:$O$22,MATCH(VLOOKUP($A50,main!$A$3:$H$102,7,FALSE),main!$K$18:$O$18,0),0))),0)</f>
        <v>0</v>
      </c>
      <c r="CH50">
        <f>IF((gamma!CH50),IF(VLOOKUP(CH$1,main!$A$3:$H$102,7,FALSE)=VLOOKUP($A50,main!$A$3:$H$102,8,FALSE),VLOOKUP(CH$1,main!$A$3:$H$102,4,FALSE),VLOOKUP(CH$1,main!$A$3:$H$102,4,FALSE)+VLOOKUP($A50,main!$A$3:$H$102,4,FALSE)+(VLOOKUP(VLOOKUP(CH$1,main!$A$3:$H$102,8,FALSE),main!$K$19:$O$22,MATCH(VLOOKUP($A50,main!$A$3:$H$102,7,FALSE),main!$K$18:$O$18,0),0))),0)</f>
        <v>270</v>
      </c>
      <c r="CI50">
        <f>IF((gamma!CI50),IF(VLOOKUP(CI$1,main!$A$3:$H$102,7,FALSE)=VLOOKUP($A50,main!$A$3:$H$102,8,FALSE),VLOOKUP(CI$1,main!$A$3:$H$102,4,FALSE),VLOOKUP(CI$1,main!$A$3:$H$102,4,FALSE)+VLOOKUP($A50,main!$A$3:$H$102,4,FALSE)+(VLOOKUP(VLOOKUP(CI$1,main!$A$3:$H$102,8,FALSE),main!$K$19:$O$22,MATCH(VLOOKUP($A50,main!$A$3:$H$102,7,FALSE),main!$K$18:$O$18,0),0))),0)</f>
        <v>270</v>
      </c>
      <c r="CJ50">
        <f>IF((gamma!CJ50),IF(VLOOKUP(CJ$1,main!$A$3:$H$102,7,FALSE)=VLOOKUP($A50,main!$A$3:$H$102,8,FALSE),VLOOKUP(CJ$1,main!$A$3:$H$102,4,FALSE),VLOOKUP(CJ$1,main!$A$3:$H$102,4,FALSE)+VLOOKUP($A50,main!$A$3:$H$102,4,FALSE)+(VLOOKUP(VLOOKUP(CJ$1,main!$A$3:$H$102,8,FALSE),main!$K$19:$O$22,MATCH(VLOOKUP($A50,main!$A$3:$H$102,7,FALSE),main!$K$18:$O$18,0),0))),0)</f>
        <v>0</v>
      </c>
      <c r="CK50">
        <f>IF((gamma!CK50),IF(VLOOKUP(CK$1,main!$A$3:$H$102,7,FALSE)=VLOOKUP($A50,main!$A$3:$H$102,8,FALSE),VLOOKUP(CK$1,main!$A$3:$H$102,4,FALSE),VLOOKUP(CK$1,main!$A$3:$H$102,4,FALSE)+VLOOKUP($A50,main!$A$3:$H$102,4,FALSE)+(VLOOKUP(VLOOKUP(CK$1,main!$A$3:$H$102,8,FALSE),main!$K$19:$O$22,MATCH(VLOOKUP($A50,main!$A$3:$H$102,7,FALSE),main!$K$18:$O$18,0),0))),0)</f>
        <v>0</v>
      </c>
      <c r="CL50">
        <f>IF((gamma!CL50),IF(VLOOKUP(CL$1,main!$A$3:$H$102,7,FALSE)=VLOOKUP($A50,main!$A$3:$H$102,8,FALSE),VLOOKUP(CL$1,main!$A$3:$H$102,4,FALSE),VLOOKUP(CL$1,main!$A$3:$H$102,4,FALSE)+VLOOKUP($A50,main!$A$3:$H$102,4,FALSE)+(VLOOKUP(VLOOKUP(CL$1,main!$A$3:$H$102,8,FALSE),main!$K$19:$O$22,MATCH(VLOOKUP($A50,main!$A$3:$H$102,7,FALSE),main!$K$18:$O$18,0),0))),0)</f>
        <v>0</v>
      </c>
      <c r="CM50">
        <f>IF((gamma!CM50),IF(VLOOKUP(CM$1,main!$A$3:$H$102,7,FALSE)=VLOOKUP($A50,main!$A$3:$H$102,8,FALSE),VLOOKUP(CM$1,main!$A$3:$H$102,4,FALSE),VLOOKUP(CM$1,main!$A$3:$H$102,4,FALSE)+VLOOKUP($A50,main!$A$3:$H$102,4,FALSE)+(VLOOKUP(VLOOKUP(CM$1,main!$A$3:$H$102,8,FALSE),main!$K$19:$O$22,MATCH(VLOOKUP($A50,main!$A$3:$H$102,7,FALSE),main!$K$18:$O$18,0),0))),0)</f>
        <v>230</v>
      </c>
      <c r="CN50">
        <f>IF((gamma!CN50),IF(VLOOKUP(CN$1,main!$A$3:$H$102,7,FALSE)=VLOOKUP($A50,main!$A$3:$H$102,8,FALSE),VLOOKUP(CN$1,main!$A$3:$H$102,4,FALSE),VLOOKUP(CN$1,main!$A$3:$H$102,4,FALSE)+VLOOKUP($A50,main!$A$3:$H$102,4,FALSE)+(VLOOKUP(VLOOKUP(CN$1,main!$A$3:$H$102,8,FALSE),main!$K$19:$O$22,MATCH(VLOOKUP($A50,main!$A$3:$H$102,7,FALSE),main!$K$18:$O$18,0),0))),0)</f>
        <v>226</v>
      </c>
      <c r="CO50">
        <f>IF((gamma!CO50),IF(VLOOKUP(CO$1,main!$A$3:$H$102,7,FALSE)=VLOOKUP($A50,main!$A$3:$H$102,8,FALSE),VLOOKUP(CO$1,main!$A$3:$H$102,4,FALSE),VLOOKUP(CO$1,main!$A$3:$H$102,4,FALSE)+VLOOKUP($A50,main!$A$3:$H$102,4,FALSE)+(VLOOKUP(VLOOKUP(CO$1,main!$A$3:$H$102,8,FALSE),main!$K$19:$O$22,MATCH(VLOOKUP($A50,main!$A$3:$H$102,7,FALSE),main!$K$18:$O$18,0),0))),0)</f>
        <v>0</v>
      </c>
      <c r="CP50">
        <f>IF((gamma!CP50),IF(VLOOKUP(CP$1,main!$A$3:$H$102,7,FALSE)=VLOOKUP($A50,main!$A$3:$H$102,8,FALSE),VLOOKUP(CP$1,main!$A$3:$H$102,4,FALSE),VLOOKUP(CP$1,main!$A$3:$H$102,4,FALSE)+VLOOKUP($A50,main!$A$3:$H$102,4,FALSE)+(VLOOKUP(VLOOKUP(CP$1,main!$A$3:$H$102,8,FALSE),main!$K$19:$O$22,MATCH(VLOOKUP($A50,main!$A$3:$H$102,7,FALSE),main!$K$18:$O$18,0),0))),0)</f>
        <v>0</v>
      </c>
      <c r="CQ50">
        <f>IF((gamma!CQ50),IF(VLOOKUP(CQ$1,main!$A$3:$H$102,7,FALSE)=VLOOKUP($A50,main!$A$3:$H$102,8,FALSE),VLOOKUP(CQ$1,main!$A$3:$H$102,4,FALSE),VLOOKUP(CQ$1,main!$A$3:$H$102,4,FALSE)+VLOOKUP($A50,main!$A$3:$H$102,4,FALSE)+(VLOOKUP(VLOOKUP(CQ$1,main!$A$3:$H$102,8,FALSE),main!$K$19:$O$22,MATCH(VLOOKUP($A50,main!$A$3:$H$102,7,FALSE),main!$K$18:$O$18,0),0))),0)</f>
        <v>0</v>
      </c>
      <c r="CR50">
        <f>IF((gamma!CR50),IF(VLOOKUP(CR$1,main!$A$3:$H$102,7,FALSE)=VLOOKUP($A50,main!$A$3:$H$102,8,FALSE),VLOOKUP(CR$1,main!$A$3:$H$102,4,FALSE),VLOOKUP(CR$1,main!$A$3:$H$102,4,FALSE)+VLOOKUP($A50,main!$A$3:$H$102,4,FALSE)+(VLOOKUP(VLOOKUP(CR$1,main!$A$3:$H$102,8,FALSE),main!$K$19:$O$22,MATCH(VLOOKUP($A50,main!$A$3:$H$102,7,FALSE),main!$K$18:$O$18,0),0))),0)</f>
        <v>268</v>
      </c>
      <c r="CS50">
        <f>IF((gamma!CS50),IF(VLOOKUP(CS$1,main!$A$3:$H$102,7,FALSE)=VLOOKUP($A50,main!$A$3:$H$102,8,FALSE),VLOOKUP(CS$1,main!$A$3:$H$102,4,FALSE),VLOOKUP(CS$1,main!$A$3:$H$102,4,FALSE)+VLOOKUP($A50,main!$A$3:$H$102,4,FALSE)+(VLOOKUP(VLOOKUP(CS$1,main!$A$3:$H$102,8,FALSE),main!$K$19:$O$22,MATCH(VLOOKUP($A50,main!$A$3:$H$102,7,FALSE),main!$K$18:$O$18,0),0))),0)</f>
        <v>268</v>
      </c>
      <c r="CT50">
        <f>IF((gamma!CT50),IF(VLOOKUP(CT$1,main!$A$3:$H$102,7,FALSE)=VLOOKUP($A50,main!$A$3:$H$102,8,FALSE),VLOOKUP(CT$1,main!$A$3:$H$102,4,FALSE),VLOOKUP(CT$1,main!$A$3:$H$102,4,FALSE)+VLOOKUP($A50,main!$A$3:$H$102,4,FALSE)+(VLOOKUP(VLOOKUP(CT$1,main!$A$3:$H$102,8,FALSE),main!$K$19:$O$22,MATCH(VLOOKUP($A50,main!$A$3:$H$102,7,FALSE),main!$K$18:$O$18,0),0))),0)</f>
        <v>0</v>
      </c>
      <c r="CU50">
        <f>IF((gamma!CU50),IF(VLOOKUP(CU$1,main!$A$3:$H$102,7,FALSE)=VLOOKUP($A50,main!$A$3:$H$102,8,FALSE),VLOOKUP(CU$1,main!$A$3:$H$102,4,FALSE),VLOOKUP(CU$1,main!$A$3:$H$102,4,FALSE)+VLOOKUP($A50,main!$A$3:$H$102,4,FALSE)+(VLOOKUP(VLOOKUP(CU$1,main!$A$3:$H$102,8,FALSE),main!$K$19:$O$22,MATCH(VLOOKUP($A50,main!$A$3:$H$102,7,FALSE),main!$K$18:$O$18,0),0))),0)</f>
        <v>0</v>
      </c>
      <c r="CV50">
        <f>IF((gamma!CV50),IF(VLOOKUP(CV$1,main!$A$3:$H$102,7,FALSE)=VLOOKUP($A50,main!$A$3:$H$102,8,FALSE),VLOOKUP(CV$1,main!$A$3:$H$102,4,FALSE),VLOOKUP(CV$1,main!$A$3:$H$102,4,FALSE)+VLOOKUP($A50,main!$A$3:$H$102,4,FALSE)+(VLOOKUP(VLOOKUP(CV$1,main!$A$3:$H$102,8,FALSE),main!$K$19:$O$22,MATCH(VLOOKUP($A50,main!$A$3:$H$102,7,FALSE),main!$K$18:$O$18,0),0))),0)</f>
        <v>0</v>
      </c>
      <c r="CW50">
        <f>IF((gamma!CW50),IF(VLOOKUP(CW$1,main!$A$3:$H$102,7,FALSE)=VLOOKUP($A50,main!$A$3:$H$102,8,FALSE),VLOOKUP(CW$1,main!$A$3:$H$102,4,FALSE),VLOOKUP(CW$1,main!$A$3:$H$102,4,FALSE)+VLOOKUP($A50,main!$A$3:$H$102,4,FALSE)+(VLOOKUP(VLOOKUP(CW$1,main!$A$3:$H$102,8,FALSE),main!$K$19:$O$22,MATCH(VLOOKUP($A50,main!$A$3:$H$102,7,FALSE),main!$K$18:$O$18,0),0))),0)</f>
        <v>228</v>
      </c>
      <c r="CX50">
        <f>IF((gamma!CX50),IF(VLOOKUP(CX$1,main!$A$3:$H$102,7,FALSE)=VLOOKUP($A50,main!$A$3:$H$102,8,FALSE),VLOOKUP(CX$1,main!$A$3:$H$102,4,FALSE),VLOOKUP(CX$1,main!$A$3:$H$102,4,FALSE)+VLOOKUP($A50,main!$A$3:$H$102,4,FALSE)+(VLOOKUP(VLOOKUP(CX$1,main!$A$3:$H$102,8,FALSE),main!$K$19:$O$22,MATCH(VLOOKUP($A50,main!$A$3:$H$102,7,FALSE),main!$K$18:$O$18,0),0))),0)</f>
        <v>218</v>
      </c>
      <c r="CY50">
        <v>0</v>
      </c>
      <c r="CZ50">
        <v>0</v>
      </c>
      <c r="DA50">
        <v>0</v>
      </c>
    </row>
    <row r="51" spans="1:105" x14ac:dyDescent="0.25">
      <c r="A51" s="1">
        <v>49</v>
      </c>
      <c r="B51">
        <v>0</v>
      </c>
      <c r="C51">
        <f>IF((gamma!C51),IF(VLOOKUP(C$1,main!$A$3:$H$102,7,FALSE)=VLOOKUP($A51,main!$A$3:$H$102,8,FALSE),VLOOKUP(C$1,main!$A$3:$H$102,4,FALSE),VLOOKUP(C$1,main!$A$3:$H$102,4,FALSE)+VLOOKUP($A51,main!$A$3:$H$102,4,FALSE)+(VLOOKUP(VLOOKUP(C$1,main!$A$3:$H$102,8,FALSE),main!$K$19:$O$22,MATCH(VLOOKUP($A51,main!$A$3:$H$102,7,FALSE),main!$K$18:$O$18,0),0))),0)</f>
        <v>0</v>
      </c>
      <c r="D51">
        <f>IF((gamma!D51),IF(VLOOKUP(D$1,main!$A$3:$H$102,7,FALSE)=VLOOKUP($A51,main!$A$3:$H$102,8,FALSE),VLOOKUP(D$1,main!$A$3:$H$102,4,FALSE),VLOOKUP(D$1,main!$A$3:$H$102,4,FALSE)+VLOOKUP($A51,main!$A$3:$H$102,4,FALSE)+(VLOOKUP(VLOOKUP(D$1,main!$A$3:$H$102,8,FALSE),main!$K$19:$O$22,MATCH(VLOOKUP($A51,main!$A$3:$H$102,7,FALSE),main!$K$18:$O$18,0),0))),0)</f>
        <v>0</v>
      </c>
      <c r="E51">
        <f>IF((gamma!E51),IF(VLOOKUP(E$1,main!$A$3:$H$102,7,FALSE)=VLOOKUP($A51,main!$A$3:$H$102,8,FALSE),VLOOKUP(E$1,main!$A$3:$H$102,4,FALSE),VLOOKUP(E$1,main!$A$3:$H$102,4,FALSE)+VLOOKUP($A51,main!$A$3:$H$102,4,FALSE)+(VLOOKUP(VLOOKUP(E$1,main!$A$3:$H$102,8,FALSE),main!$K$19:$O$22,MATCH(VLOOKUP($A51,main!$A$3:$H$102,7,FALSE),main!$K$18:$O$18,0),0))),0)</f>
        <v>0</v>
      </c>
      <c r="F51">
        <f>IF((gamma!F51),IF(VLOOKUP(F$1,main!$A$3:$H$102,7,FALSE)=VLOOKUP($A51,main!$A$3:$H$102,8,FALSE),VLOOKUP(F$1,main!$A$3:$H$102,4,FALSE),VLOOKUP(F$1,main!$A$3:$H$102,4,FALSE)+VLOOKUP($A51,main!$A$3:$H$102,4,FALSE)+(VLOOKUP(VLOOKUP(F$1,main!$A$3:$H$102,8,FALSE),main!$K$19:$O$22,MATCH(VLOOKUP($A51,main!$A$3:$H$102,7,FALSE),main!$K$18:$O$18,0),0))),0)</f>
        <v>225</v>
      </c>
      <c r="G51">
        <f>IF((gamma!G51),IF(VLOOKUP(G$1,main!$A$3:$H$102,7,FALSE)=VLOOKUP($A51,main!$A$3:$H$102,8,FALSE),VLOOKUP(G$1,main!$A$3:$H$102,4,FALSE),VLOOKUP(G$1,main!$A$3:$H$102,4,FALSE)+VLOOKUP($A51,main!$A$3:$H$102,4,FALSE)+(VLOOKUP(VLOOKUP(G$1,main!$A$3:$H$102,8,FALSE),main!$K$19:$O$22,MATCH(VLOOKUP($A51,main!$A$3:$H$102,7,FALSE),main!$K$18:$O$18,0),0))),0)</f>
        <v>225</v>
      </c>
      <c r="H51">
        <f>IF((gamma!H51),IF(VLOOKUP(H$1,main!$A$3:$H$102,7,FALSE)=VLOOKUP($A51,main!$A$3:$H$102,8,FALSE),VLOOKUP(H$1,main!$A$3:$H$102,4,FALSE),VLOOKUP(H$1,main!$A$3:$H$102,4,FALSE)+VLOOKUP($A51,main!$A$3:$H$102,4,FALSE)+(VLOOKUP(VLOOKUP(H$1,main!$A$3:$H$102,8,FALSE),main!$K$19:$O$22,MATCH(VLOOKUP($A51,main!$A$3:$H$102,7,FALSE),main!$K$18:$O$18,0),0))),0)</f>
        <v>225</v>
      </c>
      <c r="I51">
        <f>IF((gamma!I51),IF(VLOOKUP(I$1,main!$A$3:$H$102,7,FALSE)=VLOOKUP($A51,main!$A$3:$H$102,8,FALSE),VLOOKUP(I$1,main!$A$3:$H$102,4,FALSE),VLOOKUP(I$1,main!$A$3:$H$102,4,FALSE)+VLOOKUP($A51,main!$A$3:$H$102,4,FALSE)+(VLOOKUP(VLOOKUP(I$1,main!$A$3:$H$102,8,FALSE),main!$K$19:$O$22,MATCH(VLOOKUP($A51,main!$A$3:$H$102,7,FALSE),main!$K$18:$O$18,0),0))),0)</f>
        <v>225</v>
      </c>
      <c r="J51">
        <f>IF((gamma!J51),IF(VLOOKUP(J$1,main!$A$3:$H$102,7,FALSE)=VLOOKUP($A51,main!$A$3:$H$102,8,FALSE),VLOOKUP(J$1,main!$A$3:$H$102,4,FALSE),VLOOKUP(J$1,main!$A$3:$H$102,4,FALSE)+VLOOKUP($A51,main!$A$3:$H$102,4,FALSE)+(VLOOKUP(VLOOKUP(J$1,main!$A$3:$H$102,8,FALSE),main!$K$19:$O$22,MATCH(VLOOKUP($A51,main!$A$3:$H$102,7,FALSE),main!$K$18:$O$18,0),0))),0)</f>
        <v>225</v>
      </c>
      <c r="K51">
        <f>IF((gamma!K51),IF(VLOOKUP(K$1,main!$A$3:$H$102,7,FALSE)=VLOOKUP($A51,main!$A$3:$H$102,8,FALSE),VLOOKUP(K$1,main!$A$3:$H$102,4,FALSE),VLOOKUP(K$1,main!$A$3:$H$102,4,FALSE)+VLOOKUP($A51,main!$A$3:$H$102,4,FALSE)+(VLOOKUP(VLOOKUP(K$1,main!$A$3:$H$102,8,FALSE),main!$K$19:$O$22,MATCH(VLOOKUP($A51,main!$A$3:$H$102,7,FALSE),main!$K$18:$O$18,0),0))),0)</f>
        <v>225</v>
      </c>
      <c r="L51">
        <f>IF((gamma!L51),IF(VLOOKUP(L$1,main!$A$3:$H$102,7,FALSE)=VLOOKUP($A51,main!$A$3:$H$102,8,FALSE),VLOOKUP(L$1,main!$A$3:$H$102,4,FALSE),VLOOKUP(L$1,main!$A$3:$H$102,4,FALSE)+VLOOKUP($A51,main!$A$3:$H$102,4,FALSE)+(VLOOKUP(VLOOKUP(L$1,main!$A$3:$H$102,8,FALSE),main!$K$19:$O$22,MATCH(VLOOKUP($A51,main!$A$3:$H$102,7,FALSE),main!$K$18:$O$18,0),0))),0)</f>
        <v>225</v>
      </c>
      <c r="M51">
        <f>IF((gamma!M51),IF(VLOOKUP(M$1,main!$A$3:$H$102,7,FALSE)=VLOOKUP($A51,main!$A$3:$H$102,8,FALSE),VLOOKUP(M$1,main!$A$3:$H$102,4,FALSE),VLOOKUP(M$1,main!$A$3:$H$102,4,FALSE)+VLOOKUP($A51,main!$A$3:$H$102,4,FALSE)+(VLOOKUP(VLOOKUP(M$1,main!$A$3:$H$102,8,FALSE),main!$K$19:$O$22,MATCH(VLOOKUP($A51,main!$A$3:$H$102,7,FALSE),main!$K$18:$O$18,0),0))),0)</f>
        <v>0</v>
      </c>
      <c r="N51">
        <f>IF((gamma!N51),IF(VLOOKUP(N$1,main!$A$3:$H$102,7,FALSE)=VLOOKUP($A51,main!$A$3:$H$102,8,FALSE),VLOOKUP(N$1,main!$A$3:$H$102,4,FALSE),VLOOKUP(N$1,main!$A$3:$H$102,4,FALSE)+VLOOKUP($A51,main!$A$3:$H$102,4,FALSE)+(VLOOKUP(VLOOKUP(N$1,main!$A$3:$H$102,8,FALSE),main!$K$19:$O$22,MATCH(VLOOKUP($A51,main!$A$3:$H$102,7,FALSE),main!$K$18:$O$18,0),0))),0)</f>
        <v>0</v>
      </c>
      <c r="O51">
        <f>IF((gamma!O51),IF(VLOOKUP(O$1,main!$A$3:$H$102,7,FALSE)=VLOOKUP($A51,main!$A$3:$H$102,8,FALSE),VLOOKUP(O$1,main!$A$3:$H$102,4,FALSE),VLOOKUP(O$1,main!$A$3:$H$102,4,FALSE)+VLOOKUP($A51,main!$A$3:$H$102,4,FALSE)+(VLOOKUP(VLOOKUP(O$1,main!$A$3:$H$102,8,FALSE),main!$K$19:$O$22,MATCH(VLOOKUP($A51,main!$A$3:$H$102,7,FALSE),main!$K$18:$O$18,0),0))),0)</f>
        <v>0</v>
      </c>
      <c r="P51">
        <f>IF((gamma!P51),IF(VLOOKUP(P$1,main!$A$3:$H$102,7,FALSE)=VLOOKUP($A51,main!$A$3:$H$102,8,FALSE),VLOOKUP(P$1,main!$A$3:$H$102,4,FALSE),VLOOKUP(P$1,main!$A$3:$H$102,4,FALSE)+VLOOKUP($A51,main!$A$3:$H$102,4,FALSE)+(VLOOKUP(VLOOKUP(P$1,main!$A$3:$H$102,8,FALSE),main!$K$19:$O$22,MATCH(VLOOKUP($A51,main!$A$3:$H$102,7,FALSE),main!$K$18:$O$18,0),0))),0)</f>
        <v>0</v>
      </c>
      <c r="Q51">
        <f>IF((gamma!Q51),IF(VLOOKUP(Q$1,main!$A$3:$H$102,7,FALSE)=VLOOKUP($A51,main!$A$3:$H$102,8,FALSE),VLOOKUP(Q$1,main!$A$3:$H$102,4,FALSE),VLOOKUP(Q$1,main!$A$3:$H$102,4,FALSE)+VLOOKUP($A51,main!$A$3:$H$102,4,FALSE)+(VLOOKUP(VLOOKUP(Q$1,main!$A$3:$H$102,8,FALSE),main!$K$19:$O$22,MATCH(VLOOKUP($A51,main!$A$3:$H$102,7,FALSE),main!$K$18:$O$18,0),0))),0)</f>
        <v>258</v>
      </c>
      <c r="R51">
        <f>IF((gamma!R51),IF(VLOOKUP(R$1,main!$A$3:$H$102,7,FALSE)=VLOOKUP($A51,main!$A$3:$H$102,8,FALSE),VLOOKUP(R$1,main!$A$3:$H$102,4,FALSE),VLOOKUP(R$1,main!$A$3:$H$102,4,FALSE)+VLOOKUP($A51,main!$A$3:$H$102,4,FALSE)+(VLOOKUP(VLOOKUP(R$1,main!$A$3:$H$102,8,FALSE),main!$K$19:$O$22,MATCH(VLOOKUP($A51,main!$A$3:$H$102,7,FALSE),main!$K$18:$O$18,0),0))),0)</f>
        <v>258</v>
      </c>
      <c r="S51">
        <f>IF((gamma!S51),IF(VLOOKUP(S$1,main!$A$3:$H$102,7,FALSE)=VLOOKUP($A51,main!$A$3:$H$102,8,FALSE),VLOOKUP(S$1,main!$A$3:$H$102,4,FALSE),VLOOKUP(S$1,main!$A$3:$H$102,4,FALSE)+VLOOKUP($A51,main!$A$3:$H$102,4,FALSE)+(VLOOKUP(VLOOKUP(S$1,main!$A$3:$H$102,8,FALSE),main!$K$19:$O$22,MATCH(VLOOKUP($A51,main!$A$3:$H$102,7,FALSE),main!$K$18:$O$18,0),0))),0)</f>
        <v>258</v>
      </c>
      <c r="T51">
        <f>IF((gamma!T51),IF(VLOOKUP(T$1,main!$A$3:$H$102,7,FALSE)=VLOOKUP($A51,main!$A$3:$H$102,8,FALSE),VLOOKUP(T$1,main!$A$3:$H$102,4,FALSE),VLOOKUP(T$1,main!$A$3:$H$102,4,FALSE)+VLOOKUP($A51,main!$A$3:$H$102,4,FALSE)+(VLOOKUP(VLOOKUP(T$1,main!$A$3:$H$102,8,FALSE),main!$K$19:$O$22,MATCH(VLOOKUP($A51,main!$A$3:$H$102,7,FALSE),main!$K$18:$O$18,0),0))),0)</f>
        <v>258</v>
      </c>
      <c r="U51">
        <f>IF((gamma!U51),IF(VLOOKUP(U$1,main!$A$3:$H$102,7,FALSE)=VLOOKUP($A51,main!$A$3:$H$102,8,FALSE),VLOOKUP(U$1,main!$A$3:$H$102,4,FALSE),VLOOKUP(U$1,main!$A$3:$H$102,4,FALSE)+VLOOKUP($A51,main!$A$3:$H$102,4,FALSE)+(VLOOKUP(VLOOKUP(U$1,main!$A$3:$H$102,8,FALSE),main!$K$19:$O$22,MATCH(VLOOKUP($A51,main!$A$3:$H$102,7,FALSE),main!$K$18:$O$18,0),0))),0)</f>
        <v>258</v>
      </c>
      <c r="V51">
        <f>IF((gamma!V51),IF(VLOOKUP(V$1,main!$A$3:$H$102,7,FALSE)=VLOOKUP($A51,main!$A$3:$H$102,8,FALSE),VLOOKUP(V$1,main!$A$3:$H$102,4,FALSE),VLOOKUP(V$1,main!$A$3:$H$102,4,FALSE)+VLOOKUP($A51,main!$A$3:$H$102,4,FALSE)+(VLOOKUP(VLOOKUP(V$1,main!$A$3:$H$102,8,FALSE),main!$K$19:$O$22,MATCH(VLOOKUP($A51,main!$A$3:$H$102,7,FALSE),main!$K$18:$O$18,0),0))),0)</f>
        <v>258</v>
      </c>
      <c r="W51">
        <f>IF((gamma!W51),IF(VLOOKUP(W$1,main!$A$3:$H$102,7,FALSE)=VLOOKUP($A51,main!$A$3:$H$102,8,FALSE),VLOOKUP(W$1,main!$A$3:$H$102,4,FALSE),VLOOKUP(W$1,main!$A$3:$H$102,4,FALSE)+VLOOKUP($A51,main!$A$3:$H$102,4,FALSE)+(VLOOKUP(VLOOKUP(W$1,main!$A$3:$H$102,8,FALSE),main!$K$19:$O$22,MATCH(VLOOKUP($A51,main!$A$3:$H$102,7,FALSE),main!$K$18:$O$18,0),0))),0)</f>
        <v>0</v>
      </c>
      <c r="X51">
        <f>IF((gamma!X51),IF(VLOOKUP(X$1,main!$A$3:$H$102,7,FALSE)=VLOOKUP($A51,main!$A$3:$H$102,8,FALSE),VLOOKUP(X$1,main!$A$3:$H$102,4,FALSE),VLOOKUP(X$1,main!$A$3:$H$102,4,FALSE)+VLOOKUP($A51,main!$A$3:$H$102,4,FALSE)+(VLOOKUP(VLOOKUP(X$1,main!$A$3:$H$102,8,FALSE),main!$K$19:$O$22,MATCH(VLOOKUP($A51,main!$A$3:$H$102,7,FALSE),main!$K$18:$O$18,0),0))),0)</f>
        <v>0</v>
      </c>
      <c r="Y51">
        <f>IF((gamma!Y51),IF(VLOOKUP(Y$1,main!$A$3:$H$102,7,FALSE)=VLOOKUP($A51,main!$A$3:$H$102,8,FALSE),VLOOKUP(Y$1,main!$A$3:$H$102,4,FALSE),VLOOKUP(Y$1,main!$A$3:$H$102,4,FALSE)+VLOOKUP($A51,main!$A$3:$H$102,4,FALSE)+(VLOOKUP(VLOOKUP(Y$1,main!$A$3:$H$102,8,FALSE),main!$K$19:$O$22,MATCH(VLOOKUP($A51,main!$A$3:$H$102,7,FALSE),main!$K$18:$O$18,0),0))),0)</f>
        <v>265</v>
      </c>
      <c r="Z51">
        <f>IF((gamma!Z51),IF(VLOOKUP(Z$1,main!$A$3:$H$102,7,FALSE)=VLOOKUP($A51,main!$A$3:$H$102,8,FALSE),VLOOKUP(Z$1,main!$A$3:$H$102,4,FALSE),VLOOKUP(Z$1,main!$A$3:$H$102,4,FALSE)+VLOOKUP($A51,main!$A$3:$H$102,4,FALSE)+(VLOOKUP(VLOOKUP(Z$1,main!$A$3:$H$102,8,FALSE),main!$K$19:$O$22,MATCH(VLOOKUP($A51,main!$A$3:$H$102,7,FALSE),main!$K$18:$O$18,0),0))),0)</f>
        <v>270</v>
      </c>
      <c r="AA51">
        <f>IF((gamma!AA51),IF(VLOOKUP(AA$1,main!$A$3:$H$102,7,FALSE)=VLOOKUP($A51,main!$A$3:$H$102,8,FALSE),VLOOKUP(AA$1,main!$A$3:$H$102,4,FALSE),VLOOKUP(AA$1,main!$A$3:$H$102,4,FALSE)+VLOOKUP($A51,main!$A$3:$H$102,4,FALSE)+(VLOOKUP(VLOOKUP(AA$1,main!$A$3:$H$102,8,FALSE),main!$K$19:$O$22,MATCH(VLOOKUP($A51,main!$A$3:$H$102,7,FALSE),main!$K$18:$O$18,0),0))),0)</f>
        <v>270</v>
      </c>
      <c r="AB51">
        <f>IF((gamma!AB51),IF(VLOOKUP(AB$1,main!$A$3:$H$102,7,FALSE)=VLOOKUP($A51,main!$A$3:$H$102,8,FALSE),VLOOKUP(AB$1,main!$A$3:$H$102,4,FALSE),VLOOKUP(AB$1,main!$A$3:$H$102,4,FALSE)+VLOOKUP($A51,main!$A$3:$H$102,4,FALSE)+(VLOOKUP(VLOOKUP(AB$1,main!$A$3:$H$102,8,FALSE),main!$K$19:$O$22,MATCH(VLOOKUP($A51,main!$A$3:$H$102,7,FALSE),main!$K$18:$O$18,0),0))),0)</f>
        <v>0</v>
      </c>
      <c r="AC51">
        <f>IF((gamma!AC51),IF(VLOOKUP(AC$1,main!$A$3:$H$102,7,FALSE)=VLOOKUP($A51,main!$A$3:$H$102,8,FALSE),VLOOKUP(AC$1,main!$A$3:$H$102,4,FALSE),VLOOKUP(AC$1,main!$A$3:$H$102,4,FALSE)+VLOOKUP($A51,main!$A$3:$H$102,4,FALSE)+(VLOOKUP(VLOOKUP(AC$1,main!$A$3:$H$102,8,FALSE),main!$K$19:$O$22,MATCH(VLOOKUP($A51,main!$A$3:$H$102,7,FALSE),main!$K$18:$O$18,0),0))),0)</f>
        <v>0</v>
      </c>
      <c r="AD51">
        <f>IF((gamma!AD51),IF(VLOOKUP(AD$1,main!$A$3:$H$102,7,FALSE)=VLOOKUP($A51,main!$A$3:$H$102,8,FALSE),VLOOKUP(AD$1,main!$A$3:$H$102,4,FALSE),VLOOKUP(AD$1,main!$A$3:$H$102,4,FALSE)+VLOOKUP($A51,main!$A$3:$H$102,4,FALSE)+(VLOOKUP(VLOOKUP(AD$1,main!$A$3:$H$102,8,FALSE),main!$K$19:$O$22,MATCH(VLOOKUP($A51,main!$A$3:$H$102,7,FALSE),main!$K$18:$O$18,0),0))),0)</f>
        <v>265</v>
      </c>
      <c r="AE51">
        <f>IF((gamma!AE51),IF(VLOOKUP(AE$1,main!$A$3:$H$102,7,FALSE)=VLOOKUP($A51,main!$A$3:$H$102,8,FALSE),VLOOKUP(AE$1,main!$A$3:$H$102,4,FALSE),VLOOKUP(AE$1,main!$A$3:$H$102,4,FALSE)+VLOOKUP($A51,main!$A$3:$H$102,4,FALSE)+(VLOOKUP(VLOOKUP(AE$1,main!$A$3:$H$102,8,FALSE),main!$K$19:$O$22,MATCH(VLOOKUP($A51,main!$A$3:$H$102,7,FALSE),main!$K$18:$O$18,0),0))),0)</f>
        <v>270</v>
      </c>
      <c r="AF51">
        <f>IF((gamma!AF51),IF(VLOOKUP(AF$1,main!$A$3:$H$102,7,FALSE)=VLOOKUP($A51,main!$A$3:$H$102,8,FALSE),VLOOKUP(AF$1,main!$A$3:$H$102,4,FALSE),VLOOKUP(AF$1,main!$A$3:$H$102,4,FALSE)+VLOOKUP($A51,main!$A$3:$H$102,4,FALSE)+(VLOOKUP(VLOOKUP(AF$1,main!$A$3:$H$102,8,FALSE),main!$K$19:$O$22,MATCH(VLOOKUP($A51,main!$A$3:$H$102,7,FALSE),main!$K$18:$O$18,0),0))),0)</f>
        <v>230</v>
      </c>
      <c r="AG51">
        <f>IF((gamma!AG51),IF(VLOOKUP(AG$1,main!$A$3:$H$102,7,FALSE)=VLOOKUP($A51,main!$A$3:$H$102,8,FALSE),VLOOKUP(AG$1,main!$A$3:$H$102,4,FALSE),VLOOKUP(AG$1,main!$A$3:$H$102,4,FALSE)+VLOOKUP($A51,main!$A$3:$H$102,4,FALSE)+(VLOOKUP(VLOOKUP(AG$1,main!$A$3:$H$102,8,FALSE),main!$K$19:$O$22,MATCH(VLOOKUP($A51,main!$A$3:$H$102,7,FALSE),main!$K$18:$O$18,0),0))),0)</f>
        <v>0</v>
      </c>
      <c r="AH51">
        <f>IF((gamma!AH51),IF(VLOOKUP(AH$1,main!$A$3:$H$102,7,FALSE)=VLOOKUP($A51,main!$A$3:$H$102,8,FALSE),VLOOKUP(AH$1,main!$A$3:$H$102,4,FALSE),VLOOKUP(AH$1,main!$A$3:$H$102,4,FALSE)+VLOOKUP($A51,main!$A$3:$H$102,4,FALSE)+(VLOOKUP(VLOOKUP(AH$1,main!$A$3:$H$102,8,FALSE),main!$K$19:$O$22,MATCH(VLOOKUP($A51,main!$A$3:$H$102,7,FALSE),main!$K$18:$O$18,0),0))),0)</f>
        <v>0</v>
      </c>
      <c r="AI51">
        <f>IF((gamma!AI51),IF(VLOOKUP(AI$1,main!$A$3:$H$102,7,FALSE)=VLOOKUP($A51,main!$A$3:$H$102,8,FALSE),VLOOKUP(AI$1,main!$A$3:$H$102,4,FALSE),VLOOKUP(AI$1,main!$A$3:$H$102,4,FALSE)+VLOOKUP($A51,main!$A$3:$H$102,4,FALSE)+(VLOOKUP(VLOOKUP(AI$1,main!$A$3:$H$102,8,FALSE),main!$K$19:$O$22,MATCH(VLOOKUP($A51,main!$A$3:$H$102,7,FALSE),main!$K$18:$O$18,0),0))),0)</f>
        <v>0</v>
      </c>
      <c r="AJ51">
        <f>IF((gamma!AJ51),IF(VLOOKUP(AJ$1,main!$A$3:$H$102,7,FALSE)=VLOOKUP($A51,main!$A$3:$H$102,8,FALSE),VLOOKUP(AJ$1,main!$A$3:$H$102,4,FALSE),VLOOKUP(AJ$1,main!$A$3:$H$102,4,FALSE)+VLOOKUP($A51,main!$A$3:$H$102,4,FALSE)+(VLOOKUP(VLOOKUP(AJ$1,main!$A$3:$H$102,8,FALSE),main!$K$19:$O$22,MATCH(VLOOKUP($A51,main!$A$3:$H$102,7,FALSE),main!$K$18:$O$18,0),0))),0)</f>
        <v>250</v>
      </c>
      <c r="AK51">
        <f>IF((gamma!AK51),IF(VLOOKUP(AK$1,main!$A$3:$H$102,7,FALSE)=VLOOKUP($A51,main!$A$3:$H$102,8,FALSE),VLOOKUP(AK$1,main!$A$3:$H$102,4,FALSE),VLOOKUP(AK$1,main!$A$3:$H$102,4,FALSE)+VLOOKUP($A51,main!$A$3:$H$102,4,FALSE)+(VLOOKUP(VLOOKUP(AK$1,main!$A$3:$H$102,8,FALSE),main!$K$19:$O$22,MATCH(VLOOKUP($A51,main!$A$3:$H$102,7,FALSE),main!$K$18:$O$18,0),0))),0)</f>
        <v>250</v>
      </c>
      <c r="AL51">
        <f>IF((gamma!AL51),IF(VLOOKUP(AL$1,main!$A$3:$H$102,7,FALSE)=VLOOKUP($A51,main!$A$3:$H$102,8,FALSE),VLOOKUP(AL$1,main!$A$3:$H$102,4,FALSE),VLOOKUP(AL$1,main!$A$3:$H$102,4,FALSE)+VLOOKUP($A51,main!$A$3:$H$102,4,FALSE)+(VLOOKUP(VLOOKUP(AL$1,main!$A$3:$H$102,8,FALSE),main!$K$19:$O$22,MATCH(VLOOKUP($A51,main!$A$3:$H$102,7,FALSE),main!$K$18:$O$18,0),0))),0)</f>
        <v>250</v>
      </c>
      <c r="AM51">
        <f>IF((gamma!AM51),IF(VLOOKUP(AM$1,main!$A$3:$H$102,7,FALSE)=VLOOKUP($A51,main!$A$3:$H$102,8,FALSE),VLOOKUP(AM$1,main!$A$3:$H$102,4,FALSE),VLOOKUP(AM$1,main!$A$3:$H$102,4,FALSE)+VLOOKUP($A51,main!$A$3:$H$102,4,FALSE)+(VLOOKUP(VLOOKUP(AM$1,main!$A$3:$H$102,8,FALSE),main!$K$19:$O$22,MATCH(VLOOKUP($A51,main!$A$3:$H$102,7,FALSE),main!$K$18:$O$18,0),0))),0)</f>
        <v>250</v>
      </c>
      <c r="AN51">
        <f>IF((gamma!AN51),IF(VLOOKUP(AN$1,main!$A$3:$H$102,7,FALSE)=VLOOKUP($A51,main!$A$3:$H$102,8,FALSE),VLOOKUP(AN$1,main!$A$3:$H$102,4,FALSE),VLOOKUP(AN$1,main!$A$3:$H$102,4,FALSE)+VLOOKUP($A51,main!$A$3:$H$102,4,FALSE)+(VLOOKUP(VLOOKUP(AN$1,main!$A$3:$H$102,8,FALSE),main!$K$19:$O$22,MATCH(VLOOKUP($A51,main!$A$3:$H$102,7,FALSE),main!$K$18:$O$18,0),0))),0)</f>
        <v>250</v>
      </c>
      <c r="AO51">
        <f>IF((gamma!AO51),IF(VLOOKUP(AO$1,main!$A$3:$H$102,7,FALSE)=VLOOKUP($A51,main!$A$3:$H$102,8,FALSE),VLOOKUP(AO$1,main!$A$3:$H$102,4,FALSE),VLOOKUP(AO$1,main!$A$3:$H$102,4,FALSE)+VLOOKUP($A51,main!$A$3:$H$102,4,FALSE)+(VLOOKUP(VLOOKUP(AO$1,main!$A$3:$H$102,8,FALSE),main!$K$19:$O$22,MATCH(VLOOKUP($A51,main!$A$3:$H$102,7,FALSE),main!$K$18:$O$18,0),0))),0)</f>
        <v>0</v>
      </c>
      <c r="AP51">
        <f>IF((gamma!AP51),IF(VLOOKUP(AP$1,main!$A$3:$H$102,7,FALSE)=VLOOKUP($A51,main!$A$3:$H$102,8,FALSE),VLOOKUP(AP$1,main!$A$3:$H$102,4,FALSE),VLOOKUP(AP$1,main!$A$3:$H$102,4,FALSE)+VLOOKUP($A51,main!$A$3:$H$102,4,FALSE)+(VLOOKUP(VLOOKUP(AP$1,main!$A$3:$H$102,8,FALSE),main!$K$19:$O$22,MATCH(VLOOKUP($A51,main!$A$3:$H$102,7,FALSE),main!$K$18:$O$18,0),0))),0)</f>
        <v>190</v>
      </c>
      <c r="AQ51">
        <f>IF((gamma!AQ51),IF(VLOOKUP(AQ$1,main!$A$3:$H$102,7,FALSE)=VLOOKUP($A51,main!$A$3:$H$102,8,FALSE),VLOOKUP(AQ$1,main!$A$3:$H$102,4,FALSE),VLOOKUP(AQ$1,main!$A$3:$H$102,4,FALSE)+VLOOKUP($A51,main!$A$3:$H$102,4,FALSE)+(VLOOKUP(VLOOKUP(AQ$1,main!$A$3:$H$102,8,FALSE),main!$K$19:$O$22,MATCH(VLOOKUP($A51,main!$A$3:$H$102,7,FALSE),main!$K$18:$O$18,0),0))),0)</f>
        <v>0</v>
      </c>
      <c r="AR51">
        <f>IF((gamma!AR51),IF(VLOOKUP(AR$1,main!$A$3:$H$102,7,FALSE)=VLOOKUP($A51,main!$A$3:$H$102,8,FALSE),VLOOKUP(AR$1,main!$A$3:$H$102,4,FALSE),VLOOKUP(AR$1,main!$A$3:$H$102,4,FALSE)+VLOOKUP($A51,main!$A$3:$H$102,4,FALSE)+(VLOOKUP(VLOOKUP(AR$1,main!$A$3:$H$102,8,FALSE),main!$K$19:$O$22,MATCH(VLOOKUP($A51,main!$A$3:$H$102,7,FALSE),main!$K$18:$O$18,0),0))),0)</f>
        <v>0</v>
      </c>
      <c r="AS51">
        <f>IF((gamma!AS51),IF(VLOOKUP(AS$1,main!$A$3:$H$102,7,FALSE)=VLOOKUP($A51,main!$A$3:$H$102,8,FALSE),VLOOKUP(AS$1,main!$A$3:$H$102,4,FALSE),VLOOKUP(AS$1,main!$A$3:$H$102,4,FALSE)+VLOOKUP($A51,main!$A$3:$H$102,4,FALSE)+(VLOOKUP(VLOOKUP(AS$1,main!$A$3:$H$102,8,FALSE),main!$K$19:$O$22,MATCH(VLOOKUP($A51,main!$A$3:$H$102,7,FALSE),main!$K$18:$O$18,0),0))),0)</f>
        <v>238</v>
      </c>
      <c r="AT51">
        <f>IF((gamma!AT51),IF(VLOOKUP(AT$1,main!$A$3:$H$102,7,FALSE)=VLOOKUP($A51,main!$A$3:$H$102,8,FALSE),VLOOKUP(AT$1,main!$A$3:$H$102,4,FALSE),VLOOKUP(AT$1,main!$A$3:$H$102,4,FALSE)+VLOOKUP($A51,main!$A$3:$H$102,4,FALSE)+(VLOOKUP(VLOOKUP(AT$1,main!$A$3:$H$102,8,FALSE),main!$K$19:$O$22,MATCH(VLOOKUP($A51,main!$A$3:$H$102,7,FALSE),main!$K$18:$O$18,0),0))),0)</f>
        <v>248</v>
      </c>
      <c r="AU51">
        <f>IF((gamma!AU51),IF(VLOOKUP(AU$1,main!$A$3:$H$102,7,FALSE)=VLOOKUP($A51,main!$A$3:$H$102,8,FALSE),VLOOKUP(AU$1,main!$A$3:$H$102,4,FALSE),VLOOKUP(AU$1,main!$A$3:$H$102,4,FALSE)+VLOOKUP($A51,main!$A$3:$H$102,4,FALSE)+(VLOOKUP(VLOOKUP(AU$1,main!$A$3:$H$102,8,FALSE),main!$K$19:$O$22,MATCH(VLOOKUP($A51,main!$A$3:$H$102,7,FALSE),main!$K$18:$O$18,0),0))),0)</f>
        <v>0</v>
      </c>
      <c r="AV51">
        <f>IF((gamma!AV51),IF(VLOOKUP(AV$1,main!$A$3:$H$102,7,FALSE)=VLOOKUP($A51,main!$A$3:$H$102,8,FALSE),VLOOKUP(AV$1,main!$A$3:$H$102,4,FALSE),VLOOKUP(AV$1,main!$A$3:$H$102,4,FALSE)+VLOOKUP($A51,main!$A$3:$H$102,4,FALSE)+(VLOOKUP(VLOOKUP(AV$1,main!$A$3:$H$102,8,FALSE),main!$K$19:$O$22,MATCH(VLOOKUP($A51,main!$A$3:$H$102,7,FALSE),main!$K$18:$O$18,0),0))),0)</f>
        <v>0</v>
      </c>
      <c r="AW51">
        <f>IF((gamma!AW51),IF(VLOOKUP(AW$1,main!$A$3:$H$102,7,FALSE)=VLOOKUP($A51,main!$A$3:$H$102,8,FALSE),VLOOKUP(AW$1,main!$A$3:$H$102,4,FALSE),VLOOKUP(AW$1,main!$A$3:$H$102,4,FALSE)+VLOOKUP($A51,main!$A$3:$H$102,4,FALSE)+(VLOOKUP(VLOOKUP(AW$1,main!$A$3:$H$102,8,FALSE),main!$K$19:$O$22,MATCH(VLOOKUP($A51,main!$A$3:$H$102,7,FALSE),main!$K$18:$O$18,0),0))),0)</f>
        <v>238</v>
      </c>
      <c r="AX51">
        <f>IF((gamma!AX51),IF(VLOOKUP(AX$1,main!$A$3:$H$102,7,FALSE)=VLOOKUP($A51,main!$A$3:$H$102,8,FALSE),VLOOKUP(AX$1,main!$A$3:$H$102,4,FALSE),VLOOKUP(AX$1,main!$A$3:$H$102,4,FALSE)+VLOOKUP($A51,main!$A$3:$H$102,4,FALSE)+(VLOOKUP(VLOOKUP(AX$1,main!$A$3:$H$102,8,FALSE),main!$K$19:$O$22,MATCH(VLOOKUP($A51,main!$A$3:$H$102,7,FALSE),main!$K$18:$O$18,0),0))),0)</f>
        <v>223</v>
      </c>
      <c r="AY51">
        <f>IF((gamma!AY51),IF(VLOOKUP(AY$1,main!$A$3:$H$102,7,FALSE)=VLOOKUP($A51,main!$A$3:$H$102,8,FALSE),VLOOKUP(AY$1,main!$A$3:$H$102,4,FALSE),VLOOKUP(AY$1,main!$A$3:$H$102,4,FALSE)+VLOOKUP($A51,main!$A$3:$H$102,4,FALSE)+(VLOOKUP(VLOOKUP(AY$1,main!$A$3:$H$102,8,FALSE),main!$K$19:$O$22,MATCH(VLOOKUP($A51,main!$A$3:$H$102,7,FALSE),main!$K$18:$O$18,0),0))),0)</f>
        <v>0</v>
      </c>
      <c r="AZ51">
        <f>IF((gamma!AZ51),IF(VLOOKUP(AZ$1,main!$A$3:$H$102,7,FALSE)=VLOOKUP($A51,main!$A$3:$H$102,8,FALSE),VLOOKUP(AZ$1,main!$A$3:$H$102,4,FALSE),VLOOKUP(AZ$1,main!$A$3:$H$102,4,FALSE)+VLOOKUP($A51,main!$A$3:$H$102,4,FALSE)+(VLOOKUP(VLOOKUP(AZ$1,main!$A$3:$H$102,8,FALSE),main!$K$19:$O$22,MATCH(VLOOKUP($A51,main!$A$3:$H$102,7,FALSE),main!$K$18:$O$18,0),0))),0)</f>
        <v>0</v>
      </c>
      <c r="BA51">
        <f>IF((gamma!BA51),IF(VLOOKUP(BA$1,main!$A$3:$H$102,7,FALSE)=VLOOKUP($A51,main!$A$3:$H$102,8,FALSE),VLOOKUP(BA$1,main!$A$3:$H$102,4,FALSE),VLOOKUP(BA$1,main!$A$3:$H$102,4,FALSE)+VLOOKUP($A51,main!$A$3:$H$102,4,FALSE)+(VLOOKUP(VLOOKUP(BA$1,main!$A$3:$H$102,8,FALSE),main!$K$19:$O$22,MATCH(VLOOKUP($A51,main!$A$3:$H$102,7,FALSE),main!$K$18:$O$18,0),0))),0)</f>
        <v>0</v>
      </c>
      <c r="BB51">
        <f>IF((gamma!BB51),IF(VLOOKUP(BB$1,main!$A$3:$H$102,7,FALSE)=VLOOKUP($A51,main!$A$3:$H$102,8,FALSE),VLOOKUP(BB$1,main!$A$3:$H$102,4,FALSE),VLOOKUP(BB$1,main!$A$3:$H$102,4,FALSE)+VLOOKUP($A51,main!$A$3:$H$102,4,FALSE)+(VLOOKUP(VLOOKUP(BB$1,main!$A$3:$H$102,8,FALSE),main!$K$19:$O$22,MATCH(VLOOKUP($A51,main!$A$3:$H$102,7,FALSE),main!$K$18:$O$18,0),0))),0)</f>
        <v>140</v>
      </c>
      <c r="BC51">
        <f>IF((gamma!BC51),IF(VLOOKUP(BC$1,main!$A$3:$H$102,7,FALSE)=VLOOKUP($A51,main!$A$3:$H$102,8,FALSE),VLOOKUP(BC$1,main!$A$3:$H$102,4,FALSE),VLOOKUP(BC$1,main!$A$3:$H$102,4,FALSE)+VLOOKUP($A51,main!$A$3:$H$102,4,FALSE)+(VLOOKUP(VLOOKUP(BC$1,main!$A$3:$H$102,8,FALSE),main!$K$19:$O$22,MATCH(VLOOKUP($A51,main!$A$3:$H$102,7,FALSE),main!$K$18:$O$18,0),0))),0)</f>
        <v>140</v>
      </c>
      <c r="BD51">
        <f>IF((gamma!BD51),IF(VLOOKUP(BD$1,main!$A$3:$H$102,7,FALSE)=VLOOKUP($A51,main!$A$3:$H$102,8,FALSE),VLOOKUP(BD$1,main!$A$3:$H$102,4,FALSE),VLOOKUP(BD$1,main!$A$3:$H$102,4,FALSE)+VLOOKUP($A51,main!$A$3:$H$102,4,FALSE)+(VLOOKUP(VLOOKUP(BD$1,main!$A$3:$H$102,8,FALSE),main!$K$19:$O$22,MATCH(VLOOKUP($A51,main!$A$3:$H$102,7,FALSE),main!$K$18:$O$18,0),0))),0)</f>
        <v>140</v>
      </c>
      <c r="BE51">
        <f>IF((gamma!BE51),IF(VLOOKUP(BE$1,main!$A$3:$H$102,7,FALSE)=VLOOKUP($A51,main!$A$3:$H$102,8,FALSE),VLOOKUP(BE$1,main!$A$3:$H$102,4,FALSE),VLOOKUP(BE$1,main!$A$3:$H$102,4,FALSE)+VLOOKUP($A51,main!$A$3:$H$102,4,FALSE)+(VLOOKUP(VLOOKUP(BE$1,main!$A$3:$H$102,8,FALSE),main!$K$19:$O$22,MATCH(VLOOKUP($A51,main!$A$3:$H$102,7,FALSE),main!$K$18:$O$18,0),0))),0)</f>
        <v>140</v>
      </c>
      <c r="BF51">
        <f>IF((gamma!BF51),IF(VLOOKUP(BF$1,main!$A$3:$H$102,7,FALSE)=VLOOKUP($A51,main!$A$3:$H$102,8,FALSE),VLOOKUP(BF$1,main!$A$3:$H$102,4,FALSE),VLOOKUP(BF$1,main!$A$3:$H$102,4,FALSE)+VLOOKUP($A51,main!$A$3:$H$102,4,FALSE)+(VLOOKUP(VLOOKUP(BF$1,main!$A$3:$H$102,8,FALSE),main!$K$19:$O$22,MATCH(VLOOKUP($A51,main!$A$3:$H$102,7,FALSE),main!$K$18:$O$18,0),0))),0)</f>
        <v>0</v>
      </c>
      <c r="BG51">
        <f>IF((gamma!BG51),IF(VLOOKUP(BG$1,main!$A$3:$H$102,7,FALSE)=VLOOKUP($A51,main!$A$3:$H$102,8,FALSE),VLOOKUP(BG$1,main!$A$3:$H$102,4,FALSE),VLOOKUP(BG$1,main!$A$3:$H$102,4,FALSE)+VLOOKUP($A51,main!$A$3:$H$102,4,FALSE)+(VLOOKUP(VLOOKUP(BG$1,main!$A$3:$H$102,8,FALSE),main!$K$19:$O$22,MATCH(VLOOKUP($A51,main!$A$3:$H$102,7,FALSE),main!$K$18:$O$18,0),0))),0)</f>
        <v>0</v>
      </c>
      <c r="BH51">
        <f>IF((gamma!BH51),IF(VLOOKUP(BH$1,main!$A$3:$H$102,7,FALSE)=VLOOKUP($A51,main!$A$3:$H$102,8,FALSE),VLOOKUP(BH$1,main!$A$3:$H$102,4,FALSE),VLOOKUP(BH$1,main!$A$3:$H$102,4,FALSE)+VLOOKUP($A51,main!$A$3:$H$102,4,FALSE)+(VLOOKUP(VLOOKUP(BH$1,main!$A$3:$H$102,8,FALSE),main!$K$19:$O$22,MATCH(VLOOKUP($A51,main!$A$3:$H$102,7,FALSE),main!$K$18:$O$18,0),0))),0)</f>
        <v>125</v>
      </c>
      <c r="BI51">
        <f>IF((gamma!BI51),IF(VLOOKUP(BI$1,main!$A$3:$H$102,7,FALSE)=VLOOKUP($A51,main!$A$3:$H$102,8,FALSE),VLOOKUP(BI$1,main!$A$3:$H$102,4,FALSE),VLOOKUP(BI$1,main!$A$3:$H$102,4,FALSE)+VLOOKUP($A51,main!$A$3:$H$102,4,FALSE)+(VLOOKUP(VLOOKUP(BI$1,main!$A$3:$H$102,8,FALSE),main!$K$19:$O$22,MATCH(VLOOKUP($A51,main!$A$3:$H$102,7,FALSE),main!$K$18:$O$18,0),0))),0)</f>
        <v>60</v>
      </c>
      <c r="BJ51">
        <f>IF((gamma!BJ51),IF(VLOOKUP(BJ$1,main!$A$3:$H$102,7,FALSE)=VLOOKUP($A51,main!$A$3:$H$102,8,FALSE),VLOOKUP(BJ$1,main!$A$3:$H$102,4,FALSE),VLOOKUP(BJ$1,main!$A$3:$H$102,4,FALSE)+VLOOKUP($A51,main!$A$3:$H$102,4,FALSE)+(VLOOKUP(VLOOKUP(BJ$1,main!$A$3:$H$102,8,FALSE),main!$K$19:$O$22,MATCH(VLOOKUP($A51,main!$A$3:$H$102,7,FALSE),main!$K$18:$O$18,0),0))),0)</f>
        <v>90</v>
      </c>
      <c r="BK51">
        <f>IF((gamma!BK51),IF(VLOOKUP(BK$1,main!$A$3:$H$102,7,FALSE)=VLOOKUP($A51,main!$A$3:$H$102,8,FALSE),VLOOKUP(BK$1,main!$A$3:$H$102,4,FALSE),VLOOKUP(BK$1,main!$A$3:$H$102,4,FALSE)+VLOOKUP($A51,main!$A$3:$H$102,4,FALSE)+(VLOOKUP(VLOOKUP(BK$1,main!$A$3:$H$102,8,FALSE),main!$K$19:$O$22,MATCH(VLOOKUP($A51,main!$A$3:$H$102,7,FALSE),main!$K$18:$O$18,0),0))),0)</f>
        <v>0</v>
      </c>
      <c r="BL51">
        <f>IF((gamma!BL51),IF(VLOOKUP(BL$1,main!$A$3:$H$102,7,FALSE)=VLOOKUP($A51,main!$A$3:$H$102,8,FALSE),VLOOKUP(BL$1,main!$A$3:$H$102,4,FALSE),VLOOKUP(BL$1,main!$A$3:$H$102,4,FALSE)+VLOOKUP($A51,main!$A$3:$H$102,4,FALSE)+(VLOOKUP(VLOOKUP(BL$1,main!$A$3:$H$102,8,FALSE),main!$K$19:$O$22,MATCH(VLOOKUP($A51,main!$A$3:$H$102,7,FALSE),main!$K$18:$O$18,0),0))),0)</f>
        <v>0</v>
      </c>
      <c r="BM51">
        <f>IF((gamma!BM51),IF(VLOOKUP(BM$1,main!$A$3:$H$102,7,FALSE)=VLOOKUP($A51,main!$A$3:$H$102,8,FALSE),VLOOKUP(BM$1,main!$A$3:$H$102,4,FALSE),VLOOKUP(BM$1,main!$A$3:$H$102,4,FALSE)+VLOOKUP($A51,main!$A$3:$H$102,4,FALSE)+(VLOOKUP(VLOOKUP(BM$1,main!$A$3:$H$102,8,FALSE),main!$K$19:$O$22,MATCH(VLOOKUP($A51,main!$A$3:$H$102,7,FALSE),main!$K$18:$O$18,0),0))),0)</f>
        <v>0</v>
      </c>
      <c r="BN51">
        <f>IF((gamma!BN51),IF(VLOOKUP(BN$1,main!$A$3:$H$102,7,FALSE)=VLOOKUP($A51,main!$A$3:$H$102,8,FALSE),VLOOKUP(BN$1,main!$A$3:$H$102,4,FALSE),VLOOKUP(BN$1,main!$A$3:$H$102,4,FALSE)+VLOOKUP($A51,main!$A$3:$H$102,4,FALSE)+(VLOOKUP(VLOOKUP(BN$1,main!$A$3:$H$102,8,FALSE),main!$K$19:$O$22,MATCH(VLOOKUP($A51,main!$A$3:$H$102,7,FALSE),main!$K$18:$O$18,0),0))),0)</f>
        <v>120</v>
      </c>
      <c r="BO51">
        <f>IF((gamma!BO51),IF(VLOOKUP(BO$1,main!$A$3:$H$102,7,FALSE)=VLOOKUP($A51,main!$A$3:$H$102,8,FALSE),VLOOKUP(BO$1,main!$A$3:$H$102,4,FALSE),VLOOKUP(BO$1,main!$A$3:$H$102,4,FALSE)+VLOOKUP($A51,main!$A$3:$H$102,4,FALSE)+(VLOOKUP(VLOOKUP(BO$1,main!$A$3:$H$102,8,FALSE),main!$K$19:$O$22,MATCH(VLOOKUP($A51,main!$A$3:$H$102,7,FALSE),main!$K$18:$O$18,0),0))),0)</f>
        <v>0</v>
      </c>
      <c r="BP51">
        <f>IF((gamma!BP51),IF(VLOOKUP(BP$1,main!$A$3:$H$102,7,FALSE)=VLOOKUP($A51,main!$A$3:$H$102,8,FALSE),VLOOKUP(BP$1,main!$A$3:$H$102,4,FALSE),VLOOKUP(BP$1,main!$A$3:$H$102,4,FALSE)+VLOOKUP($A51,main!$A$3:$H$102,4,FALSE)+(VLOOKUP(VLOOKUP(BP$1,main!$A$3:$H$102,8,FALSE),main!$K$19:$O$22,MATCH(VLOOKUP($A51,main!$A$3:$H$102,7,FALSE),main!$K$18:$O$18,0),0))),0)</f>
        <v>0</v>
      </c>
      <c r="BQ51">
        <f>IF((gamma!BQ51),IF(VLOOKUP(BQ$1,main!$A$3:$H$102,7,FALSE)=VLOOKUP($A51,main!$A$3:$H$102,8,FALSE),VLOOKUP(BQ$1,main!$A$3:$H$102,4,FALSE),VLOOKUP(BQ$1,main!$A$3:$H$102,4,FALSE)+VLOOKUP($A51,main!$A$3:$H$102,4,FALSE)+(VLOOKUP(VLOOKUP(BQ$1,main!$A$3:$H$102,8,FALSE),main!$K$19:$O$22,MATCH(VLOOKUP($A51,main!$A$3:$H$102,7,FALSE),main!$K$18:$O$18,0),0))),0)</f>
        <v>140</v>
      </c>
      <c r="BR51">
        <f>IF((gamma!BR51),IF(VLOOKUP(BR$1,main!$A$3:$H$102,7,FALSE)=VLOOKUP($A51,main!$A$3:$H$102,8,FALSE),VLOOKUP(BR$1,main!$A$3:$H$102,4,FALSE),VLOOKUP(BR$1,main!$A$3:$H$102,4,FALSE)+VLOOKUP($A51,main!$A$3:$H$102,4,FALSE)+(VLOOKUP(VLOOKUP(BR$1,main!$A$3:$H$102,8,FALSE),main!$K$19:$O$22,MATCH(VLOOKUP($A51,main!$A$3:$H$102,7,FALSE),main!$K$18:$O$18,0),0))),0)</f>
        <v>100</v>
      </c>
      <c r="BS51">
        <f>IF((gamma!BS51),IF(VLOOKUP(BS$1,main!$A$3:$H$102,7,FALSE)=VLOOKUP($A51,main!$A$3:$H$102,8,FALSE),VLOOKUP(BS$1,main!$A$3:$H$102,4,FALSE),VLOOKUP(BS$1,main!$A$3:$H$102,4,FALSE)+VLOOKUP($A51,main!$A$3:$H$102,4,FALSE)+(VLOOKUP(VLOOKUP(BS$1,main!$A$3:$H$102,8,FALSE),main!$K$19:$O$22,MATCH(VLOOKUP($A51,main!$A$3:$H$102,7,FALSE),main!$K$18:$O$18,0),0))),0)</f>
        <v>101</v>
      </c>
      <c r="BT51">
        <f>IF((gamma!BT51),IF(VLOOKUP(BT$1,main!$A$3:$H$102,7,FALSE)=VLOOKUP($A51,main!$A$3:$H$102,8,FALSE),VLOOKUP(BT$1,main!$A$3:$H$102,4,FALSE),VLOOKUP(BT$1,main!$A$3:$H$102,4,FALSE)+VLOOKUP($A51,main!$A$3:$H$102,4,FALSE)+(VLOOKUP(VLOOKUP(BT$1,main!$A$3:$H$102,8,FALSE),main!$K$19:$O$22,MATCH(VLOOKUP($A51,main!$A$3:$H$102,7,FALSE),main!$K$18:$O$18,0),0))),0)</f>
        <v>120</v>
      </c>
      <c r="BU51">
        <f>IF((gamma!BU51),IF(VLOOKUP(BU$1,main!$A$3:$H$102,7,FALSE)=VLOOKUP($A51,main!$A$3:$H$102,8,FALSE),VLOOKUP(BU$1,main!$A$3:$H$102,4,FALSE),VLOOKUP(BU$1,main!$A$3:$H$102,4,FALSE)+VLOOKUP($A51,main!$A$3:$H$102,4,FALSE)+(VLOOKUP(VLOOKUP(BU$1,main!$A$3:$H$102,8,FALSE),main!$K$19:$O$22,MATCH(VLOOKUP($A51,main!$A$3:$H$102,7,FALSE),main!$K$18:$O$18,0),0))),0)</f>
        <v>0</v>
      </c>
      <c r="BV51">
        <f>IF((gamma!BV51),IF(VLOOKUP(BV$1,main!$A$3:$H$102,7,FALSE)=VLOOKUP($A51,main!$A$3:$H$102,8,FALSE),VLOOKUP(BV$1,main!$A$3:$H$102,4,FALSE),VLOOKUP(BV$1,main!$A$3:$H$102,4,FALSE)+VLOOKUP($A51,main!$A$3:$H$102,4,FALSE)+(VLOOKUP(VLOOKUP(BV$1,main!$A$3:$H$102,8,FALSE),main!$K$19:$O$22,MATCH(VLOOKUP($A51,main!$A$3:$H$102,7,FALSE),main!$K$18:$O$18,0),0))),0)</f>
        <v>0</v>
      </c>
      <c r="BW51">
        <f>IF((gamma!BW51),IF(VLOOKUP(BW$1,main!$A$3:$H$102,7,FALSE)=VLOOKUP($A51,main!$A$3:$H$102,8,FALSE),VLOOKUP(BW$1,main!$A$3:$H$102,4,FALSE),VLOOKUP(BW$1,main!$A$3:$H$102,4,FALSE)+VLOOKUP($A51,main!$A$3:$H$102,4,FALSE)+(VLOOKUP(VLOOKUP(BW$1,main!$A$3:$H$102,8,FALSE),main!$K$19:$O$22,MATCH(VLOOKUP($A51,main!$A$3:$H$102,7,FALSE),main!$K$18:$O$18,0),0))),0)</f>
        <v>0</v>
      </c>
      <c r="BX51">
        <f>IF((gamma!BX51),IF(VLOOKUP(BX$1,main!$A$3:$H$102,7,FALSE)=VLOOKUP($A51,main!$A$3:$H$102,8,FALSE),VLOOKUP(BX$1,main!$A$3:$H$102,4,FALSE),VLOOKUP(BX$1,main!$A$3:$H$102,4,FALSE)+VLOOKUP($A51,main!$A$3:$H$102,4,FALSE)+(VLOOKUP(VLOOKUP(BX$1,main!$A$3:$H$102,8,FALSE),main!$K$19:$O$22,MATCH(VLOOKUP($A51,main!$A$3:$H$102,7,FALSE),main!$K$18:$O$18,0),0))),0)</f>
        <v>135</v>
      </c>
      <c r="BY51">
        <f>IF((gamma!BY51),IF(VLOOKUP(BY$1,main!$A$3:$H$102,7,FALSE)=VLOOKUP($A51,main!$A$3:$H$102,8,FALSE),VLOOKUP(BY$1,main!$A$3:$H$102,4,FALSE),VLOOKUP(BY$1,main!$A$3:$H$102,4,FALSE)+VLOOKUP($A51,main!$A$3:$H$102,4,FALSE)+(VLOOKUP(VLOOKUP(BY$1,main!$A$3:$H$102,8,FALSE),main!$K$19:$O$22,MATCH(VLOOKUP($A51,main!$A$3:$H$102,7,FALSE),main!$K$18:$O$18,0),0))),0)</f>
        <v>120</v>
      </c>
      <c r="BZ51">
        <f>IF((gamma!BZ51),IF(VLOOKUP(BZ$1,main!$A$3:$H$102,7,FALSE)=VLOOKUP($A51,main!$A$3:$H$102,8,FALSE),VLOOKUP(BZ$1,main!$A$3:$H$102,4,FALSE),VLOOKUP(BZ$1,main!$A$3:$H$102,4,FALSE)+VLOOKUP($A51,main!$A$3:$H$102,4,FALSE)+(VLOOKUP(VLOOKUP(BZ$1,main!$A$3:$H$102,8,FALSE),main!$K$19:$O$22,MATCH(VLOOKUP($A51,main!$A$3:$H$102,7,FALSE),main!$K$18:$O$18,0),0))),0)</f>
        <v>0</v>
      </c>
      <c r="CA51">
        <f>IF((gamma!CA51),IF(VLOOKUP(CA$1,main!$A$3:$H$102,7,FALSE)=VLOOKUP($A51,main!$A$3:$H$102,8,FALSE),VLOOKUP(CA$1,main!$A$3:$H$102,4,FALSE),VLOOKUP(CA$1,main!$A$3:$H$102,4,FALSE)+VLOOKUP($A51,main!$A$3:$H$102,4,FALSE)+(VLOOKUP(VLOOKUP(CA$1,main!$A$3:$H$102,8,FALSE),main!$K$19:$O$22,MATCH(VLOOKUP($A51,main!$A$3:$H$102,7,FALSE),main!$K$18:$O$18,0),0))),0)</f>
        <v>0</v>
      </c>
      <c r="CB51">
        <f>IF((gamma!CB51),IF(VLOOKUP(CB$1,main!$A$3:$H$102,7,FALSE)=VLOOKUP($A51,main!$A$3:$H$102,8,FALSE),VLOOKUP(CB$1,main!$A$3:$H$102,4,FALSE),VLOOKUP(CB$1,main!$A$3:$H$102,4,FALSE)+VLOOKUP($A51,main!$A$3:$H$102,4,FALSE)+(VLOOKUP(VLOOKUP(CB$1,main!$A$3:$H$102,8,FALSE),main!$K$19:$O$22,MATCH(VLOOKUP($A51,main!$A$3:$H$102,7,FALSE),main!$K$18:$O$18,0),0))),0)</f>
        <v>65</v>
      </c>
      <c r="CC51">
        <f>IF((gamma!CC51),IF(VLOOKUP(CC$1,main!$A$3:$H$102,7,FALSE)=VLOOKUP($A51,main!$A$3:$H$102,8,FALSE),VLOOKUP(CC$1,main!$A$3:$H$102,4,FALSE),VLOOKUP(CC$1,main!$A$3:$H$102,4,FALSE)+VLOOKUP($A51,main!$A$3:$H$102,4,FALSE)+(VLOOKUP(VLOOKUP(CC$1,main!$A$3:$H$102,8,FALSE),main!$K$19:$O$22,MATCH(VLOOKUP($A51,main!$A$3:$H$102,7,FALSE),main!$K$18:$O$18,0),0))),0)</f>
        <v>55</v>
      </c>
      <c r="CD51">
        <f>IF((gamma!CD51),IF(VLOOKUP(CD$1,main!$A$3:$H$102,7,FALSE)=VLOOKUP($A51,main!$A$3:$H$102,8,FALSE),VLOOKUP(CD$1,main!$A$3:$H$102,4,FALSE),VLOOKUP(CD$1,main!$A$3:$H$102,4,FALSE)+VLOOKUP($A51,main!$A$3:$H$102,4,FALSE)+(VLOOKUP(VLOOKUP(CD$1,main!$A$3:$H$102,8,FALSE),main!$K$19:$O$22,MATCH(VLOOKUP($A51,main!$A$3:$H$102,7,FALSE),main!$K$18:$O$18,0),0))),0)</f>
        <v>114</v>
      </c>
      <c r="CE51">
        <f>IF((gamma!CE51),IF(VLOOKUP(CE$1,main!$A$3:$H$102,7,FALSE)=VLOOKUP($A51,main!$A$3:$H$102,8,FALSE),VLOOKUP(CE$1,main!$A$3:$H$102,4,FALSE),VLOOKUP(CE$1,main!$A$3:$H$102,4,FALSE)+VLOOKUP($A51,main!$A$3:$H$102,4,FALSE)+(VLOOKUP(VLOOKUP(CE$1,main!$A$3:$H$102,8,FALSE),main!$K$19:$O$22,MATCH(VLOOKUP($A51,main!$A$3:$H$102,7,FALSE),main!$K$18:$O$18,0),0))),0)</f>
        <v>0</v>
      </c>
      <c r="CF51">
        <f>IF((gamma!CF51),IF(VLOOKUP(CF$1,main!$A$3:$H$102,7,FALSE)=VLOOKUP($A51,main!$A$3:$H$102,8,FALSE),VLOOKUP(CF$1,main!$A$3:$H$102,4,FALSE),VLOOKUP(CF$1,main!$A$3:$H$102,4,FALSE)+VLOOKUP($A51,main!$A$3:$H$102,4,FALSE)+(VLOOKUP(VLOOKUP(CF$1,main!$A$3:$H$102,8,FALSE),main!$K$19:$O$22,MATCH(VLOOKUP($A51,main!$A$3:$H$102,7,FALSE),main!$K$18:$O$18,0),0))),0)</f>
        <v>250</v>
      </c>
      <c r="CG51">
        <f>IF((gamma!CG51),IF(VLOOKUP(CG$1,main!$A$3:$H$102,7,FALSE)=VLOOKUP($A51,main!$A$3:$H$102,8,FALSE),VLOOKUP(CG$1,main!$A$3:$H$102,4,FALSE),VLOOKUP(CG$1,main!$A$3:$H$102,4,FALSE)+VLOOKUP($A51,main!$A$3:$H$102,4,FALSE)+(VLOOKUP(VLOOKUP(CG$1,main!$A$3:$H$102,8,FALSE),main!$K$19:$O$22,MATCH(VLOOKUP($A51,main!$A$3:$H$102,7,FALSE),main!$K$18:$O$18,0),0))),0)</f>
        <v>255</v>
      </c>
      <c r="CH51">
        <f>IF((gamma!CH51),IF(VLOOKUP(CH$1,main!$A$3:$H$102,7,FALSE)=VLOOKUP($A51,main!$A$3:$H$102,8,FALSE),VLOOKUP(CH$1,main!$A$3:$H$102,4,FALSE),VLOOKUP(CH$1,main!$A$3:$H$102,4,FALSE)+VLOOKUP($A51,main!$A$3:$H$102,4,FALSE)+(VLOOKUP(VLOOKUP(CH$1,main!$A$3:$H$102,8,FALSE),main!$K$19:$O$22,MATCH(VLOOKUP($A51,main!$A$3:$H$102,7,FALSE),main!$K$18:$O$18,0),0))),0)</f>
        <v>255</v>
      </c>
      <c r="CI51">
        <f>IF((gamma!CI51),IF(VLOOKUP(CI$1,main!$A$3:$H$102,7,FALSE)=VLOOKUP($A51,main!$A$3:$H$102,8,FALSE),VLOOKUP(CI$1,main!$A$3:$H$102,4,FALSE),VLOOKUP(CI$1,main!$A$3:$H$102,4,FALSE)+VLOOKUP($A51,main!$A$3:$H$102,4,FALSE)+(VLOOKUP(VLOOKUP(CI$1,main!$A$3:$H$102,8,FALSE),main!$K$19:$O$22,MATCH(VLOOKUP($A51,main!$A$3:$H$102,7,FALSE),main!$K$18:$O$18,0),0))),0)</f>
        <v>255</v>
      </c>
      <c r="CJ51">
        <f>IF((gamma!CJ51),IF(VLOOKUP(CJ$1,main!$A$3:$H$102,7,FALSE)=VLOOKUP($A51,main!$A$3:$H$102,8,FALSE),VLOOKUP(CJ$1,main!$A$3:$H$102,4,FALSE),VLOOKUP(CJ$1,main!$A$3:$H$102,4,FALSE)+VLOOKUP($A51,main!$A$3:$H$102,4,FALSE)+(VLOOKUP(VLOOKUP(CJ$1,main!$A$3:$H$102,8,FALSE),main!$K$19:$O$22,MATCH(VLOOKUP($A51,main!$A$3:$H$102,7,FALSE),main!$K$18:$O$18,0),0))),0)</f>
        <v>183</v>
      </c>
      <c r="CK51">
        <f>IF((gamma!CK51),IF(VLOOKUP(CK$1,main!$A$3:$H$102,7,FALSE)=VLOOKUP($A51,main!$A$3:$H$102,8,FALSE),VLOOKUP(CK$1,main!$A$3:$H$102,4,FALSE),VLOOKUP(CK$1,main!$A$3:$H$102,4,FALSE)+VLOOKUP($A51,main!$A$3:$H$102,4,FALSE)+(VLOOKUP(VLOOKUP(CK$1,main!$A$3:$H$102,8,FALSE),main!$K$19:$O$22,MATCH(VLOOKUP($A51,main!$A$3:$H$102,7,FALSE),main!$K$18:$O$18,0),0))),0)</f>
        <v>0</v>
      </c>
      <c r="CL51">
        <f>IF((gamma!CL51),IF(VLOOKUP(CL$1,main!$A$3:$H$102,7,FALSE)=VLOOKUP($A51,main!$A$3:$H$102,8,FALSE),VLOOKUP(CL$1,main!$A$3:$H$102,4,FALSE),VLOOKUP(CL$1,main!$A$3:$H$102,4,FALSE)+VLOOKUP($A51,main!$A$3:$H$102,4,FALSE)+(VLOOKUP(VLOOKUP(CL$1,main!$A$3:$H$102,8,FALSE),main!$K$19:$O$22,MATCH(VLOOKUP($A51,main!$A$3:$H$102,7,FALSE),main!$K$18:$O$18,0),0))),0)</f>
        <v>195</v>
      </c>
      <c r="CM51">
        <f>IF((gamma!CM51),IF(VLOOKUP(CM$1,main!$A$3:$H$102,7,FALSE)=VLOOKUP($A51,main!$A$3:$H$102,8,FALSE),VLOOKUP(CM$1,main!$A$3:$H$102,4,FALSE),VLOOKUP(CM$1,main!$A$3:$H$102,4,FALSE)+VLOOKUP($A51,main!$A$3:$H$102,4,FALSE)+(VLOOKUP(VLOOKUP(CM$1,main!$A$3:$H$102,8,FALSE),main!$K$19:$O$22,MATCH(VLOOKUP($A51,main!$A$3:$H$102,7,FALSE),main!$K$18:$O$18,0),0))),0)</f>
        <v>215</v>
      </c>
      <c r="CN51">
        <f>IF((gamma!CN51),IF(VLOOKUP(CN$1,main!$A$3:$H$102,7,FALSE)=VLOOKUP($A51,main!$A$3:$H$102,8,FALSE),VLOOKUP(CN$1,main!$A$3:$H$102,4,FALSE),VLOOKUP(CN$1,main!$A$3:$H$102,4,FALSE)+VLOOKUP($A51,main!$A$3:$H$102,4,FALSE)+(VLOOKUP(VLOOKUP(CN$1,main!$A$3:$H$102,8,FALSE),main!$K$19:$O$22,MATCH(VLOOKUP($A51,main!$A$3:$H$102,7,FALSE),main!$K$18:$O$18,0),0))),0)</f>
        <v>211</v>
      </c>
      <c r="CO51">
        <f>IF((gamma!CO51),IF(VLOOKUP(CO$1,main!$A$3:$H$102,7,FALSE)=VLOOKUP($A51,main!$A$3:$H$102,8,FALSE),VLOOKUP(CO$1,main!$A$3:$H$102,4,FALSE),VLOOKUP(CO$1,main!$A$3:$H$102,4,FALSE)+VLOOKUP($A51,main!$A$3:$H$102,4,FALSE)+(VLOOKUP(VLOOKUP(CO$1,main!$A$3:$H$102,8,FALSE),main!$K$19:$O$22,MATCH(VLOOKUP($A51,main!$A$3:$H$102,7,FALSE),main!$K$18:$O$18,0),0))),0)</f>
        <v>0</v>
      </c>
      <c r="CP51">
        <f>IF((gamma!CP51),IF(VLOOKUP(CP$1,main!$A$3:$H$102,7,FALSE)=VLOOKUP($A51,main!$A$3:$H$102,8,FALSE),VLOOKUP(CP$1,main!$A$3:$H$102,4,FALSE),VLOOKUP(CP$1,main!$A$3:$H$102,4,FALSE)+VLOOKUP($A51,main!$A$3:$H$102,4,FALSE)+(VLOOKUP(VLOOKUP(CP$1,main!$A$3:$H$102,8,FALSE),main!$K$19:$O$22,MATCH(VLOOKUP($A51,main!$A$3:$H$102,7,FALSE),main!$K$18:$O$18,0),0))),0)</f>
        <v>238</v>
      </c>
      <c r="CQ51">
        <f>IF((gamma!CQ51),IF(VLOOKUP(CQ$1,main!$A$3:$H$102,7,FALSE)=VLOOKUP($A51,main!$A$3:$H$102,8,FALSE),VLOOKUP(CQ$1,main!$A$3:$H$102,4,FALSE),VLOOKUP(CQ$1,main!$A$3:$H$102,4,FALSE)+VLOOKUP($A51,main!$A$3:$H$102,4,FALSE)+(VLOOKUP(VLOOKUP(CQ$1,main!$A$3:$H$102,8,FALSE),main!$K$19:$O$22,MATCH(VLOOKUP($A51,main!$A$3:$H$102,7,FALSE),main!$K$18:$O$18,0),0))),0)</f>
        <v>238</v>
      </c>
      <c r="CR51">
        <f>IF((gamma!CR51),IF(VLOOKUP(CR$1,main!$A$3:$H$102,7,FALSE)=VLOOKUP($A51,main!$A$3:$H$102,8,FALSE),VLOOKUP(CR$1,main!$A$3:$H$102,4,FALSE),VLOOKUP(CR$1,main!$A$3:$H$102,4,FALSE)+VLOOKUP($A51,main!$A$3:$H$102,4,FALSE)+(VLOOKUP(VLOOKUP(CR$1,main!$A$3:$H$102,8,FALSE),main!$K$19:$O$22,MATCH(VLOOKUP($A51,main!$A$3:$H$102,7,FALSE),main!$K$18:$O$18,0),0))),0)</f>
        <v>253</v>
      </c>
      <c r="CS51">
        <f>IF((gamma!CS51),IF(VLOOKUP(CS$1,main!$A$3:$H$102,7,FALSE)=VLOOKUP($A51,main!$A$3:$H$102,8,FALSE),VLOOKUP(CS$1,main!$A$3:$H$102,4,FALSE),VLOOKUP(CS$1,main!$A$3:$H$102,4,FALSE)+VLOOKUP($A51,main!$A$3:$H$102,4,FALSE)+(VLOOKUP(VLOOKUP(CS$1,main!$A$3:$H$102,8,FALSE),main!$K$19:$O$22,MATCH(VLOOKUP($A51,main!$A$3:$H$102,7,FALSE),main!$K$18:$O$18,0),0))),0)</f>
        <v>253</v>
      </c>
      <c r="CT51">
        <f>IF((gamma!CT51),IF(VLOOKUP(CT$1,main!$A$3:$H$102,7,FALSE)=VLOOKUP($A51,main!$A$3:$H$102,8,FALSE),VLOOKUP(CT$1,main!$A$3:$H$102,4,FALSE),VLOOKUP(CT$1,main!$A$3:$H$102,4,FALSE)+VLOOKUP($A51,main!$A$3:$H$102,4,FALSE)+(VLOOKUP(VLOOKUP(CT$1,main!$A$3:$H$102,8,FALSE),main!$K$19:$O$22,MATCH(VLOOKUP($A51,main!$A$3:$H$102,7,FALSE),main!$K$18:$O$18,0),0))),0)</f>
        <v>0</v>
      </c>
      <c r="CU51">
        <f>IF((gamma!CU51),IF(VLOOKUP(CU$1,main!$A$3:$H$102,7,FALSE)=VLOOKUP($A51,main!$A$3:$H$102,8,FALSE),VLOOKUP(CU$1,main!$A$3:$H$102,4,FALSE),VLOOKUP(CU$1,main!$A$3:$H$102,4,FALSE)+VLOOKUP($A51,main!$A$3:$H$102,4,FALSE)+(VLOOKUP(VLOOKUP(CU$1,main!$A$3:$H$102,8,FALSE),main!$K$19:$O$22,MATCH(VLOOKUP($A51,main!$A$3:$H$102,7,FALSE),main!$K$18:$O$18,0),0))),0)</f>
        <v>0</v>
      </c>
      <c r="CV51">
        <f>IF((gamma!CV51),IF(VLOOKUP(CV$1,main!$A$3:$H$102,7,FALSE)=VLOOKUP($A51,main!$A$3:$H$102,8,FALSE),VLOOKUP(CV$1,main!$A$3:$H$102,4,FALSE),VLOOKUP(CV$1,main!$A$3:$H$102,4,FALSE)+VLOOKUP($A51,main!$A$3:$H$102,4,FALSE)+(VLOOKUP(VLOOKUP(CV$1,main!$A$3:$H$102,8,FALSE),main!$K$19:$O$22,MATCH(VLOOKUP($A51,main!$A$3:$H$102,7,FALSE),main!$K$18:$O$18,0),0))),0)</f>
        <v>198</v>
      </c>
      <c r="CW51">
        <f>IF((gamma!CW51),IF(VLOOKUP(CW$1,main!$A$3:$H$102,7,FALSE)=VLOOKUP($A51,main!$A$3:$H$102,8,FALSE),VLOOKUP(CW$1,main!$A$3:$H$102,4,FALSE),VLOOKUP(CW$1,main!$A$3:$H$102,4,FALSE)+VLOOKUP($A51,main!$A$3:$H$102,4,FALSE)+(VLOOKUP(VLOOKUP(CW$1,main!$A$3:$H$102,8,FALSE),main!$K$19:$O$22,MATCH(VLOOKUP($A51,main!$A$3:$H$102,7,FALSE),main!$K$18:$O$18,0),0))),0)</f>
        <v>213</v>
      </c>
      <c r="CX51">
        <f>IF((gamma!CX51),IF(VLOOKUP(CX$1,main!$A$3:$H$102,7,FALSE)=VLOOKUP($A51,main!$A$3:$H$102,8,FALSE),VLOOKUP(CX$1,main!$A$3:$H$102,4,FALSE),VLOOKUP(CX$1,main!$A$3:$H$102,4,FALSE)+VLOOKUP($A51,main!$A$3:$H$102,4,FALSE)+(VLOOKUP(VLOOKUP(CX$1,main!$A$3:$H$102,8,FALSE),main!$K$19:$O$22,MATCH(VLOOKUP($A51,main!$A$3:$H$102,7,FALSE),main!$K$18:$O$18,0),0))),0)</f>
        <v>203</v>
      </c>
      <c r="CY51">
        <v>0</v>
      </c>
      <c r="CZ51">
        <v>0</v>
      </c>
      <c r="DA51">
        <v>0</v>
      </c>
    </row>
    <row r="52" spans="1:105" x14ac:dyDescent="0.25">
      <c r="A52" s="1">
        <v>50</v>
      </c>
      <c r="B52">
        <v>0</v>
      </c>
      <c r="C52">
        <f>IF((gamma!C52),IF(VLOOKUP(C$1,main!$A$3:$H$102,7,FALSE)=VLOOKUP($A52,main!$A$3:$H$102,8,FALSE),VLOOKUP(C$1,main!$A$3:$H$102,4,FALSE),VLOOKUP(C$1,main!$A$3:$H$102,4,FALSE)+VLOOKUP($A52,main!$A$3:$H$102,4,FALSE)+(VLOOKUP(VLOOKUP(C$1,main!$A$3:$H$102,8,FALSE),main!$K$19:$O$22,MATCH(VLOOKUP($A52,main!$A$3:$H$102,7,FALSE),main!$K$18:$O$18,0),0))),0)</f>
        <v>0</v>
      </c>
      <c r="D52">
        <f>IF((gamma!D52),IF(VLOOKUP(D$1,main!$A$3:$H$102,7,FALSE)=VLOOKUP($A52,main!$A$3:$H$102,8,FALSE),VLOOKUP(D$1,main!$A$3:$H$102,4,FALSE),VLOOKUP(D$1,main!$A$3:$H$102,4,FALSE)+VLOOKUP($A52,main!$A$3:$H$102,4,FALSE)+(VLOOKUP(VLOOKUP(D$1,main!$A$3:$H$102,8,FALSE),main!$K$19:$O$22,MATCH(VLOOKUP($A52,main!$A$3:$H$102,7,FALSE),main!$K$18:$O$18,0),0))),0)</f>
        <v>0</v>
      </c>
      <c r="E52">
        <f>IF((gamma!E52),IF(VLOOKUP(E$1,main!$A$3:$H$102,7,FALSE)=VLOOKUP($A52,main!$A$3:$H$102,8,FALSE),VLOOKUP(E$1,main!$A$3:$H$102,4,FALSE),VLOOKUP(E$1,main!$A$3:$H$102,4,FALSE)+VLOOKUP($A52,main!$A$3:$H$102,4,FALSE)+(VLOOKUP(VLOOKUP(E$1,main!$A$3:$H$102,8,FALSE),main!$K$19:$O$22,MATCH(VLOOKUP($A52,main!$A$3:$H$102,7,FALSE),main!$K$18:$O$18,0),0))),0)</f>
        <v>0</v>
      </c>
      <c r="F52">
        <f>IF((gamma!F52),IF(VLOOKUP(F$1,main!$A$3:$H$102,7,FALSE)=VLOOKUP($A52,main!$A$3:$H$102,8,FALSE),VLOOKUP(F$1,main!$A$3:$H$102,4,FALSE),VLOOKUP(F$1,main!$A$3:$H$102,4,FALSE)+VLOOKUP($A52,main!$A$3:$H$102,4,FALSE)+(VLOOKUP(VLOOKUP(F$1,main!$A$3:$H$102,8,FALSE),main!$K$19:$O$22,MATCH(VLOOKUP($A52,main!$A$3:$H$102,7,FALSE),main!$K$18:$O$18,0),0))),0)</f>
        <v>0</v>
      </c>
      <c r="G52">
        <f>IF((gamma!G52),IF(VLOOKUP(G$1,main!$A$3:$H$102,7,FALSE)=VLOOKUP($A52,main!$A$3:$H$102,8,FALSE),VLOOKUP(G$1,main!$A$3:$H$102,4,FALSE),VLOOKUP(G$1,main!$A$3:$H$102,4,FALSE)+VLOOKUP($A52,main!$A$3:$H$102,4,FALSE)+(VLOOKUP(VLOOKUP(G$1,main!$A$3:$H$102,8,FALSE),main!$K$19:$O$22,MATCH(VLOOKUP($A52,main!$A$3:$H$102,7,FALSE),main!$K$18:$O$18,0),0))),0)</f>
        <v>0</v>
      </c>
      <c r="H52">
        <f>IF((gamma!H52),IF(VLOOKUP(H$1,main!$A$3:$H$102,7,FALSE)=VLOOKUP($A52,main!$A$3:$H$102,8,FALSE),VLOOKUP(H$1,main!$A$3:$H$102,4,FALSE),VLOOKUP(H$1,main!$A$3:$H$102,4,FALSE)+VLOOKUP($A52,main!$A$3:$H$102,4,FALSE)+(VLOOKUP(VLOOKUP(H$1,main!$A$3:$H$102,8,FALSE),main!$K$19:$O$22,MATCH(VLOOKUP($A52,main!$A$3:$H$102,7,FALSE),main!$K$18:$O$18,0),0))),0)</f>
        <v>270</v>
      </c>
      <c r="I52">
        <f>IF((gamma!I52),IF(VLOOKUP(I$1,main!$A$3:$H$102,7,FALSE)=VLOOKUP($A52,main!$A$3:$H$102,8,FALSE),VLOOKUP(I$1,main!$A$3:$H$102,4,FALSE),VLOOKUP(I$1,main!$A$3:$H$102,4,FALSE)+VLOOKUP($A52,main!$A$3:$H$102,4,FALSE)+(VLOOKUP(VLOOKUP(I$1,main!$A$3:$H$102,8,FALSE),main!$K$19:$O$22,MATCH(VLOOKUP($A52,main!$A$3:$H$102,7,FALSE),main!$K$18:$O$18,0),0))),0)</f>
        <v>270</v>
      </c>
      <c r="J52">
        <f>IF((gamma!J52),IF(VLOOKUP(J$1,main!$A$3:$H$102,7,FALSE)=VLOOKUP($A52,main!$A$3:$H$102,8,FALSE),VLOOKUP(J$1,main!$A$3:$H$102,4,FALSE),VLOOKUP(J$1,main!$A$3:$H$102,4,FALSE)+VLOOKUP($A52,main!$A$3:$H$102,4,FALSE)+(VLOOKUP(VLOOKUP(J$1,main!$A$3:$H$102,8,FALSE),main!$K$19:$O$22,MATCH(VLOOKUP($A52,main!$A$3:$H$102,7,FALSE),main!$K$18:$O$18,0),0))),0)</f>
        <v>270</v>
      </c>
      <c r="K52">
        <f>IF((gamma!K52),IF(VLOOKUP(K$1,main!$A$3:$H$102,7,FALSE)=VLOOKUP($A52,main!$A$3:$H$102,8,FALSE),VLOOKUP(K$1,main!$A$3:$H$102,4,FALSE),VLOOKUP(K$1,main!$A$3:$H$102,4,FALSE)+VLOOKUP($A52,main!$A$3:$H$102,4,FALSE)+(VLOOKUP(VLOOKUP(K$1,main!$A$3:$H$102,8,FALSE),main!$K$19:$O$22,MATCH(VLOOKUP($A52,main!$A$3:$H$102,7,FALSE),main!$K$18:$O$18,0),0))),0)</f>
        <v>270</v>
      </c>
      <c r="L52">
        <f>IF((gamma!L52),IF(VLOOKUP(L$1,main!$A$3:$H$102,7,FALSE)=VLOOKUP($A52,main!$A$3:$H$102,8,FALSE),VLOOKUP(L$1,main!$A$3:$H$102,4,FALSE),VLOOKUP(L$1,main!$A$3:$H$102,4,FALSE)+VLOOKUP($A52,main!$A$3:$H$102,4,FALSE)+(VLOOKUP(VLOOKUP(L$1,main!$A$3:$H$102,8,FALSE),main!$K$19:$O$22,MATCH(VLOOKUP($A52,main!$A$3:$H$102,7,FALSE),main!$K$18:$O$18,0),0))),0)</f>
        <v>270</v>
      </c>
      <c r="M52">
        <f>IF((gamma!M52),IF(VLOOKUP(M$1,main!$A$3:$H$102,7,FALSE)=VLOOKUP($A52,main!$A$3:$H$102,8,FALSE),VLOOKUP(M$1,main!$A$3:$H$102,4,FALSE),VLOOKUP(M$1,main!$A$3:$H$102,4,FALSE)+VLOOKUP($A52,main!$A$3:$H$102,4,FALSE)+(VLOOKUP(VLOOKUP(M$1,main!$A$3:$H$102,8,FALSE),main!$K$19:$O$22,MATCH(VLOOKUP($A52,main!$A$3:$H$102,7,FALSE),main!$K$18:$O$18,0),0))),0)</f>
        <v>0</v>
      </c>
      <c r="N52">
        <f>IF((gamma!N52),IF(VLOOKUP(N$1,main!$A$3:$H$102,7,FALSE)=VLOOKUP($A52,main!$A$3:$H$102,8,FALSE),VLOOKUP(N$1,main!$A$3:$H$102,4,FALSE),VLOOKUP(N$1,main!$A$3:$H$102,4,FALSE)+VLOOKUP($A52,main!$A$3:$H$102,4,FALSE)+(VLOOKUP(VLOOKUP(N$1,main!$A$3:$H$102,8,FALSE),main!$K$19:$O$22,MATCH(VLOOKUP($A52,main!$A$3:$H$102,7,FALSE),main!$K$18:$O$18,0),0))),0)</f>
        <v>0</v>
      </c>
      <c r="O52">
        <f>IF((gamma!O52),IF(VLOOKUP(O$1,main!$A$3:$H$102,7,FALSE)=VLOOKUP($A52,main!$A$3:$H$102,8,FALSE),VLOOKUP(O$1,main!$A$3:$H$102,4,FALSE),VLOOKUP(O$1,main!$A$3:$H$102,4,FALSE)+VLOOKUP($A52,main!$A$3:$H$102,4,FALSE)+(VLOOKUP(VLOOKUP(O$1,main!$A$3:$H$102,8,FALSE),main!$K$19:$O$22,MATCH(VLOOKUP($A52,main!$A$3:$H$102,7,FALSE),main!$K$18:$O$18,0),0))),0)</f>
        <v>0</v>
      </c>
      <c r="P52">
        <f>IF((gamma!P52),IF(VLOOKUP(P$1,main!$A$3:$H$102,7,FALSE)=VLOOKUP($A52,main!$A$3:$H$102,8,FALSE),VLOOKUP(P$1,main!$A$3:$H$102,4,FALSE),VLOOKUP(P$1,main!$A$3:$H$102,4,FALSE)+VLOOKUP($A52,main!$A$3:$H$102,4,FALSE)+(VLOOKUP(VLOOKUP(P$1,main!$A$3:$H$102,8,FALSE),main!$K$19:$O$22,MATCH(VLOOKUP($A52,main!$A$3:$H$102,7,FALSE),main!$K$18:$O$18,0),0))),0)</f>
        <v>0</v>
      </c>
      <c r="Q52">
        <f>IF((gamma!Q52),IF(VLOOKUP(Q$1,main!$A$3:$H$102,7,FALSE)=VLOOKUP($A52,main!$A$3:$H$102,8,FALSE),VLOOKUP(Q$1,main!$A$3:$H$102,4,FALSE),VLOOKUP(Q$1,main!$A$3:$H$102,4,FALSE)+VLOOKUP($A52,main!$A$3:$H$102,4,FALSE)+(VLOOKUP(VLOOKUP(Q$1,main!$A$3:$H$102,8,FALSE),main!$K$19:$O$22,MATCH(VLOOKUP($A52,main!$A$3:$H$102,7,FALSE),main!$K$18:$O$18,0),0))),0)</f>
        <v>0</v>
      </c>
      <c r="R52">
        <f>IF((gamma!R52),IF(VLOOKUP(R$1,main!$A$3:$H$102,7,FALSE)=VLOOKUP($A52,main!$A$3:$H$102,8,FALSE),VLOOKUP(R$1,main!$A$3:$H$102,4,FALSE),VLOOKUP(R$1,main!$A$3:$H$102,4,FALSE)+VLOOKUP($A52,main!$A$3:$H$102,4,FALSE)+(VLOOKUP(VLOOKUP(R$1,main!$A$3:$H$102,8,FALSE),main!$K$19:$O$22,MATCH(VLOOKUP($A52,main!$A$3:$H$102,7,FALSE),main!$K$18:$O$18,0),0))),0)</f>
        <v>0</v>
      </c>
      <c r="S52">
        <f>IF((gamma!S52),IF(VLOOKUP(S$1,main!$A$3:$H$102,7,FALSE)=VLOOKUP($A52,main!$A$3:$H$102,8,FALSE),VLOOKUP(S$1,main!$A$3:$H$102,4,FALSE),VLOOKUP(S$1,main!$A$3:$H$102,4,FALSE)+VLOOKUP($A52,main!$A$3:$H$102,4,FALSE)+(VLOOKUP(VLOOKUP(S$1,main!$A$3:$H$102,8,FALSE),main!$K$19:$O$22,MATCH(VLOOKUP($A52,main!$A$3:$H$102,7,FALSE),main!$K$18:$O$18,0),0))),0)</f>
        <v>303</v>
      </c>
      <c r="T52">
        <f>IF((gamma!T52),IF(VLOOKUP(T$1,main!$A$3:$H$102,7,FALSE)=VLOOKUP($A52,main!$A$3:$H$102,8,FALSE),VLOOKUP(T$1,main!$A$3:$H$102,4,FALSE),VLOOKUP(T$1,main!$A$3:$H$102,4,FALSE)+VLOOKUP($A52,main!$A$3:$H$102,4,FALSE)+(VLOOKUP(VLOOKUP(T$1,main!$A$3:$H$102,8,FALSE),main!$K$19:$O$22,MATCH(VLOOKUP($A52,main!$A$3:$H$102,7,FALSE),main!$K$18:$O$18,0),0))),0)</f>
        <v>303</v>
      </c>
      <c r="U52">
        <f>IF((gamma!U52),IF(VLOOKUP(U$1,main!$A$3:$H$102,7,FALSE)=VLOOKUP($A52,main!$A$3:$H$102,8,FALSE),VLOOKUP(U$1,main!$A$3:$H$102,4,FALSE),VLOOKUP(U$1,main!$A$3:$H$102,4,FALSE)+VLOOKUP($A52,main!$A$3:$H$102,4,FALSE)+(VLOOKUP(VLOOKUP(U$1,main!$A$3:$H$102,8,FALSE),main!$K$19:$O$22,MATCH(VLOOKUP($A52,main!$A$3:$H$102,7,FALSE),main!$K$18:$O$18,0),0))),0)</f>
        <v>303</v>
      </c>
      <c r="V52">
        <f>IF((gamma!V52),IF(VLOOKUP(V$1,main!$A$3:$H$102,7,FALSE)=VLOOKUP($A52,main!$A$3:$H$102,8,FALSE),VLOOKUP(V$1,main!$A$3:$H$102,4,FALSE),VLOOKUP(V$1,main!$A$3:$H$102,4,FALSE)+VLOOKUP($A52,main!$A$3:$H$102,4,FALSE)+(VLOOKUP(VLOOKUP(V$1,main!$A$3:$H$102,8,FALSE),main!$K$19:$O$22,MATCH(VLOOKUP($A52,main!$A$3:$H$102,7,FALSE),main!$K$18:$O$18,0),0))),0)</f>
        <v>303</v>
      </c>
      <c r="W52">
        <f>IF((gamma!W52),IF(VLOOKUP(W$1,main!$A$3:$H$102,7,FALSE)=VLOOKUP($A52,main!$A$3:$H$102,8,FALSE),VLOOKUP(W$1,main!$A$3:$H$102,4,FALSE),VLOOKUP(W$1,main!$A$3:$H$102,4,FALSE)+VLOOKUP($A52,main!$A$3:$H$102,4,FALSE)+(VLOOKUP(VLOOKUP(W$1,main!$A$3:$H$102,8,FALSE),main!$K$19:$O$22,MATCH(VLOOKUP($A52,main!$A$3:$H$102,7,FALSE),main!$K$18:$O$18,0),0))),0)</f>
        <v>0</v>
      </c>
      <c r="X52">
        <f>IF((gamma!X52),IF(VLOOKUP(X$1,main!$A$3:$H$102,7,FALSE)=VLOOKUP($A52,main!$A$3:$H$102,8,FALSE),VLOOKUP(X$1,main!$A$3:$H$102,4,FALSE),VLOOKUP(X$1,main!$A$3:$H$102,4,FALSE)+VLOOKUP($A52,main!$A$3:$H$102,4,FALSE)+(VLOOKUP(VLOOKUP(X$1,main!$A$3:$H$102,8,FALSE),main!$K$19:$O$22,MATCH(VLOOKUP($A52,main!$A$3:$H$102,7,FALSE),main!$K$18:$O$18,0),0))),0)</f>
        <v>0</v>
      </c>
      <c r="Y52">
        <f>IF((gamma!Y52),IF(VLOOKUP(Y$1,main!$A$3:$H$102,7,FALSE)=VLOOKUP($A52,main!$A$3:$H$102,8,FALSE),VLOOKUP(Y$1,main!$A$3:$H$102,4,FALSE),VLOOKUP(Y$1,main!$A$3:$H$102,4,FALSE)+VLOOKUP($A52,main!$A$3:$H$102,4,FALSE)+(VLOOKUP(VLOOKUP(Y$1,main!$A$3:$H$102,8,FALSE),main!$K$19:$O$22,MATCH(VLOOKUP($A52,main!$A$3:$H$102,7,FALSE),main!$K$18:$O$18,0),0))),0)</f>
        <v>0</v>
      </c>
      <c r="Z52">
        <f>IF((gamma!Z52),IF(VLOOKUP(Z$1,main!$A$3:$H$102,7,FALSE)=VLOOKUP($A52,main!$A$3:$H$102,8,FALSE),VLOOKUP(Z$1,main!$A$3:$H$102,4,FALSE),VLOOKUP(Z$1,main!$A$3:$H$102,4,FALSE)+VLOOKUP($A52,main!$A$3:$H$102,4,FALSE)+(VLOOKUP(VLOOKUP(Z$1,main!$A$3:$H$102,8,FALSE),main!$K$19:$O$22,MATCH(VLOOKUP($A52,main!$A$3:$H$102,7,FALSE),main!$K$18:$O$18,0),0))),0)</f>
        <v>315</v>
      </c>
      <c r="AA52">
        <f>IF((gamma!AA52),IF(VLOOKUP(AA$1,main!$A$3:$H$102,7,FALSE)=VLOOKUP($A52,main!$A$3:$H$102,8,FALSE),VLOOKUP(AA$1,main!$A$3:$H$102,4,FALSE),VLOOKUP(AA$1,main!$A$3:$H$102,4,FALSE)+VLOOKUP($A52,main!$A$3:$H$102,4,FALSE)+(VLOOKUP(VLOOKUP(AA$1,main!$A$3:$H$102,8,FALSE),main!$K$19:$O$22,MATCH(VLOOKUP($A52,main!$A$3:$H$102,7,FALSE),main!$K$18:$O$18,0),0))),0)</f>
        <v>315</v>
      </c>
      <c r="AB52">
        <f>IF((gamma!AB52),IF(VLOOKUP(AB$1,main!$A$3:$H$102,7,FALSE)=VLOOKUP($A52,main!$A$3:$H$102,8,FALSE),VLOOKUP(AB$1,main!$A$3:$H$102,4,FALSE),VLOOKUP(AB$1,main!$A$3:$H$102,4,FALSE)+VLOOKUP($A52,main!$A$3:$H$102,4,FALSE)+(VLOOKUP(VLOOKUP(AB$1,main!$A$3:$H$102,8,FALSE),main!$K$19:$O$22,MATCH(VLOOKUP($A52,main!$A$3:$H$102,7,FALSE),main!$K$18:$O$18,0),0))),0)</f>
        <v>0</v>
      </c>
      <c r="AC52">
        <f>IF((gamma!AC52),IF(VLOOKUP(AC$1,main!$A$3:$H$102,7,FALSE)=VLOOKUP($A52,main!$A$3:$H$102,8,FALSE),VLOOKUP(AC$1,main!$A$3:$H$102,4,FALSE),VLOOKUP(AC$1,main!$A$3:$H$102,4,FALSE)+VLOOKUP($A52,main!$A$3:$H$102,4,FALSE)+(VLOOKUP(VLOOKUP(AC$1,main!$A$3:$H$102,8,FALSE),main!$K$19:$O$22,MATCH(VLOOKUP($A52,main!$A$3:$H$102,7,FALSE),main!$K$18:$O$18,0),0))),0)</f>
        <v>0</v>
      </c>
      <c r="AD52">
        <f>IF((gamma!AD52),IF(VLOOKUP(AD$1,main!$A$3:$H$102,7,FALSE)=VLOOKUP($A52,main!$A$3:$H$102,8,FALSE),VLOOKUP(AD$1,main!$A$3:$H$102,4,FALSE),VLOOKUP(AD$1,main!$A$3:$H$102,4,FALSE)+VLOOKUP($A52,main!$A$3:$H$102,4,FALSE)+(VLOOKUP(VLOOKUP(AD$1,main!$A$3:$H$102,8,FALSE),main!$K$19:$O$22,MATCH(VLOOKUP($A52,main!$A$3:$H$102,7,FALSE),main!$K$18:$O$18,0),0))),0)</f>
        <v>0</v>
      </c>
      <c r="AE52">
        <f>IF((gamma!AE52),IF(VLOOKUP(AE$1,main!$A$3:$H$102,7,FALSE)=VLOOKUP($A52,main!$A$3:$H$102,8,FALSE),VLOOKUP(AE$1,main!$A$3:$H$102,4,FALSE),VLOOKUP(AE$1,main!$A$3:$H$102,4,FALSE)+VLOOKUP($A52,main!$A$3:$H$102,4,FALSE)+(VLOOKUP(VLOOKUP(AE$1,main!$A$3:$H$102,8,FALSE),main!$K$19:$O$22,MATCH(VLOOKUP($A52,main!$A$3:$H$102,7,FALSE),main!$K$18:$O$18,0),0))),0)</f>
        <v>315</v>
      </c>
      <c r="AF52">
        <f>IF((gamma!AF52),IF(VLOOKUP(AF$1,main!$A$3:$H$102,7,FALSE)=VLOOKUP($A52,main!$A$3:$H$102,8,FALSE),VLOOKUP(AF$1,main!$A$3:$H$102,4,FALSE),VLOOKUP(AF$1,main!$A$3:$H$102,4,FALSE)+VLOOKUP($A52,main!$A$3:$H$102,4,FALSE)+(VLOOKUP(VLOOKUP(AF$1,main!$A$3:$H$102,8,FALSE),main!$K$19:$O$22,MATCH(VLOOKUP($A52,main!$A$3:$H$102,7,FALSE),main!$K$18:$O$18,0),0))),0)</f>
        <v>275</v>
      </c>
      <c r="AG52">
        <f>IF((gamma!AG52),IF(VLOOKUP(AG$1,main!$A$3:$H$102,7,FALSE)=VLOOKUP($A52,main!$A$3:$H$102,8,FALSE),VLOOKUP(AG$1,main!$A$3:$H$102,4,FALSE),VLOOKUP(AG$1,main!$A$3:$H$102,4,FALSE)+VLOOKUP($A52,main!$A$3:$H$102,4,FALSE)+(VLOOKUP(VLOOKUP(AG$1,main!$A$3:$H$102,8,FALSE),main!$K$19:$O$22,MATCH(VLOOKUP($A52,main!$A$3:$H$102,7,FALSE),main!$K$18:$O$18,0),0))),0)</f>
        <v>0</v>
      </c>
      <c r="AH52">
        <f>IF((gamma!AH52),IF(VLOOKUP(AH$1,main!$A$3:$H$102,7,FALSE)=VLOOKUP($A52,main!$A$3:$H$102,8,FALSE),VLOOKUP(AH$1,main!$A$3:$H$102,4,FALSE),VLOOKUP(AH$1,main!$A$3:$H$102,4,FALSE)+VLOOKUP($A52,main!$A$3:$H$102,4,FALSE)+(VLOOKUP(VLOOKUP(AH$1,main!$A$3:$H$102,8,FALSE),main!$K$19:$O$22,MATCH(VLOOKUP($A52,main!$A$3:$H$102,7,FALSE),main!$K$18:$O$18,0),0))),0)</f>
        <v>0</v>
      </c>
      <c r="AI52">
        <f>IF((gamma!AI52),IF(VLOOKUP(AI$1,main!$A$3:$H$102,7,FALSE)=VLOOKUP($A52,main!$A$3:$H$102,8,FALSE),VLOOKUP(AI$1,main!$A$3:$H$102,4,FALSE),VLOOKUP(AI$1,main!$A$3:$H$102,4,FALSE)+VLOOKUP($A52,main!$A$3:$H$102,4,FALSE)+(VLOOKUP(VLOOKUP(AI$1,main!$A$3:$H$102,8,FALSE),main!$K$19:$O$22,MATCH(VLOOKUP($A52,main!$A$3:$H$102,7,FALSE),main!$K$18:$O$18,0),0))),0)</f>
        <v>0</v>
      </c>
      <c r="AJ52">
        <f>IF((gamma!AJ52),IF(VLOOKUP(AJ$1,main!$A$3:$H$102,7,FALSE)=VLOOKUP($A52,main!$A$3:$H$102,8,FALSE),VLOOKUP(AJ$1,main!$A$3:$H$102,4,FALSE),VLOOKUP(AJ$1,main!$A$3:$H$102,4,FALSE)+VLOOKUP($A52,main!$A$3:$H$102,4,FALSE)+(VLOOKUP(VLOOKUP(AJ$1,main!$A$3:$H$102,8,FALSE),main!$K$19:$O$22,MATCH(VLOOKUP($A52,main!$A$3:$H$102,7,FALSE),main!$K$18:$O$18,0),0))),0)</f>
        <v>0</v>
      </c>
      <c r="AK52">
        <f>IF((gamma!AK52),IF(VLOOKUP(AK$1,main!$A$3:$H$102,7,FALSE)=VLOOKUP($A52,main!$A$3:$H$102,8,FALSE),VLOOKUP(AK$1,main!$A$3:$H$102,4,FALSE),VLOOKUP(AK$1,main!$A$3:$H$102,4,FALSE)+VLOOKUP($A52,main!$A$3:$H$102,4,FALSE)+(VLOOKUP(VLOOKUP(AK$1,main!$A$3:$H$102,8,FALSE),main!$K$19:$O$22,MATCH(VLOOKUP($A52,main!$A$3:$H$102,7,FALSE),main!$K$18:$O$18,0),0))),0)</f>
        <v>0</v>
      </c>
      <c r="AL52">
        <f>IF((gamma!AL52),IF(VLOOKUP(AL$1,main!$A$3:$H$102,7,FALSE)=VLOOKUP($A52,main!$A$3:$H$102,8,FALSE),VLOOKUP(AL$1,main!$A$3:$H$102,4,FALSE),VLOOKUP(AL$1,main!$A$3:$H$102,4,FALSE)+VLOOKUP($A52,main!$A$3:$H$102,4,FALSE)+(VLOOKUP(VLOOKUP(AL$1,main!$A$3:$H$102,8,FALSE),main!$K$19:$O$22,MATCH(VLOOKUP($A52,main!$A$3:$H$102,7,FALSE),main!$K$18:$O$18,0),0))),0)</f>
        <v>295</v>
      </c>
      <c r="AM52">
        <f>IF((gamma!AM52),IF(VLOOKUP(AM$1,main!$A$3:$H$102,7,FALSE)=VLOOKUP($A52,main!$A$3:$H$102,8,FALSE),VLOOKUP(AM$1,main!$A$3:$H$102,4,FALSE),VLOOKUP(AM$1,main!$A$3:$H$102,4,FALSE)+VLOOKUP($A52,main!$A$3:$H$102,4,FALSE)+(VLOOKUP(VLOOKUP(AM$1,main!$A$3:$H$102,8,FALSE),main!$K$19:$O$22,MATCH(VLOOKUP($A52,main!$A$3:$H$102,7,FALSE),main!$K$18:$O$18,0),0))),0)</f>
        <v>295</v>
      </c>
      <c r="AN52">
        <f>IF((gamma!AN52),IF(VLOOKUP(AN$1,main!$A$3:$H$102,7,FALSE)=VLOOKUP($A52,main!$A$3:$H$102,8,FALSE),VLOOKUP(AN$1,main!$A$3:$H$102,4,FALSE),VLOOKUP(AN$1,main!$A$3:$H$102,4,FALSE)+VLOOKUP($A52,main!$A$3:$H$102,4,FALSE)+(VLOOKUP(VLOOKUP(AN$1,main!$A$3:$H$102,8,FALSE),main!$K$19:$O$22,MATCH(VLOOKUP($A52,main!$A$3:$H$102,7,FALSE),main!$K$18:$O$18,0),0))),0)</f>
        <v>295</v>
      </c>
      <c r="AO52">
        <f>IF((gamma!AO52),IF(VLOOKUP(AO$1,main!$A$3:$H$102,7,FALSE)=VLOOKUP($A52,main!$A$3:$H$102,8,FALSE),VLOOKUP(AO$1,main!$A$3:$H$102,4,FALSE),VLOOKUP(AO$1,main!$A$3:$H$102,4,FALSE)+VLOOKUP($A52,main!$A$3:$H$102,4,FALSE)+(VLOOKUP(VLOOKUP(AO$1,main!$A$3:$H$102,8,FALSE),main!$K$19:$O$22,MATCH(VLOOKUP($A52,main!$A$3:$H$102,7,FALSE),main!$K$18:$O$18,0),0))),0)</f>
        <v>0</v>
      </c>
      <c r="AP52">
        <f>IF((gamma!AP52),IF(VLOOKUP(AP$1,main!$A$3:$H$102,7,FALSE)=VLOOKUP($A52,main!$A$3:$H$102,8,FALSE),VLOOKUP(AP$1,main!$A$3:$H$102,4,FALSE),VLOOKUP(AP$1,main!$A$3:$H$102,4,FALSE)+VLOOKUP($A52,main!$A$3:$H$102,4,FALSE)+(VLOOKUP(VLOOKUP(AP$1,main!$A$3:$H$102,8,FALSE),main!$K$19:$O$22,MATCH(VLOOKUP($A52,main!$A$3:$H$102,7,FALSE),main!$K$18:$O$18,0),0))),0)</f>
        <v>235</v>
      </c>
      <c r="AQ52">
        <f>IF((gamma!AQ52),IF(VLOOKUP(AQ$1,main!$A$3:$H$102,7,FALSE)=VLOOKUP($A52,main!$A$3:$H$102,8,FALSE),VLOOKUP(AQ$1,main!$A$3:$H$102,4,FALSE),VLOOKUP(AQ$1,main!$A$3:$H$102,4,FALSE)+VLOOKUP($A52,main!$A$3:$H$102,4,FALSE)+(VLOOKUP(VLOOKUP(AQ$1,main!$A$3:$H$102,8,FALSE),main!$K$19:$O$22,MATCH(VLOOKUP($A52,main!$A$3:$H$102,7,FALSE),main!$K$18:$O$18,0),0))),0)</f>
        <v>0</v>
      </c>
      <c r="AR52">
        <f>IF((gamma!AR52),IF(VLOOKUP(AR$1,main!$A$3:$H$102,7,FALSE)=VLOOKUP($A52,main!$A$3:$H$102,8,FALSE),VLOOKUP(AR$1,main!$A$3:$H$102,4,FALSE),VLOOKUP(AR$1,main!$A$3:$H$102,4,FALSE)+VLOOKUP($A52,main!$A$3:$H$102,4,FALSE)+(VLOOKUP(VLOOKUP(AR$1,main!$A$3:$H$102,8,FALSE),main!$K$19:$O$22,MATCH(VLOOKUP($A52,main!$A$3:$H$102,7,FALSE),main!$K$18:$O$18,0),0))),0)</f>
        <v>0</v>
      </c>
      <c r="AS52">
        <f>IF((gamma!AS52),IF(VLOOKUP(AS$1,main!$A$3:$H$102,7,FALSE)=VLOOKUP($A52,main!$A$3:$H$102,8,FALSE),VLOOKUP(AS$1,main!$A$3:$H$102,4,FALSE),VLOOKUP(AS$1,main!$A$3:$H$102,4,FALSE)+VLOOKUP($A52,main!$A$3:$H$102,4,FALSE)+(VLOOKUP(VLOOKUP(AS$1,main!$A$3:$H$102,8,FALSE),main!$K$19:$O$22,MATCH(VLOOKUP($A52,main!$A$3:$H$102,7,FALSE),main!$K$18:$O$18,0),0))),0)</f>
        <v>0</v>
      </c>
      <c r="AT52">
        <f>IF((gamma!AT52),IF(VLOOKUP(AT$1,main!$A$3:$H$102,7,FALSE)=VLOOKUP($A52,main!$A$3:$H$102,8,FALSE),VLOOKUP(AT$1,main!$A$3:$H$102,4,FALSE),VLOOKUP(AT$1,main!$A$3:$H$102,4,FALSE)+VLOOKUP($A52,main!$A$3:$H$102,4,FALSE)+(VLOOKUP(VLOOKUP(AT$1,main!$A$3:$H$102,8,FALSE),main!$K$19:$O$22,MATCH(VLOOKUP($A52,main!$A$3:$H$102,7,FALSE),main!$K$18:$O$18,0),0))),0)</f>
        <v>293</v>
      </c>
      <c r="AU52">
        <f>IF((gamma!AU52),IF(VLOOKUP(AU$1,main!$A$3:$H$102,7,FALSE)=VLOOKUP($A52,main!$A$3:$H$102,8,FALSE),VLOOKUP(AU$1,main!$A$3:$H$102,4,FALSE),VLOOKUP(AU$1,main!$A$3:$H$102,4,FALSE)+VLOOKUP($A52,main!$A$3:$H$102,4,FALSE)+(VLOOKUP(VLOOKUP(AU$1,main!$A$3:$H$102,8,FALSE),main!$K$19:$O$22,MATCH(VLOOKUP($A52,main!$A$3:$H$102,7,FALSE),main!$K$18:$O$18,0),0))),0)</f>
        <v>0</v>
      </c>
      <c r="AV52">
        <f>IF((gamma!AV52),IF(VLOOKUP(AV$1,main!$A$3:$H$102,7,FALSE)=VLOOKUP($A52,main!$A$3:$H$102,8,FALSE),VLOOKUP(AV$1,main!$A$3:$H$102,4,FALSE),VLOOKUP(AV$1,main!$A$3:$H$102,4,FALSE)+VLOOKUP($A52,main!$A$3:$H$102,4,FALSE)+(VLOOKUP(VLOOKUP(AV$1,main!$A$3:$H$102,8,FALSE),main!$K$19:$O$22,MATCH(VLOOKUP($A52,main!$A$3:$H$102,7,FALSE),main!$K$18:$O$18,0),0))),0)</f>
        <v>0</v>
      </c>
      <c r="AW52">
        <f>IF((gamma!AW52),IF(VLOOKUP(AW$1,main!$A$3:$H$102,7,FALSE)=VLOOKUP($A52,main!$A$3:$H$102,8,FALSE),VLOOKUP(AW$1,main!$A$3:$H$102,4,FALSE),VLOOKUP(AW$1,main!$A$3:$H$102,4,FALSE)+VLOOKUP($A52,main!$A$3:$H$102,4,FALSE)+(VLOOKUP(VLOOKUP(AW$1,main!$A$3:$H$102,8,FALSE),main!$K$19:$O$22,MATCH(VLOOKUP($A52,main!$A$3:$H$102,7,FALSE),main!$K$18:$O$18,0),0))),0)</f>
        <v>0</v>
      </c>
      <c r="AX52">
        <f>IF((gamma!AX52),IF(VLOOKUP(AX$1,main!$A$3:$H$102,7,FALSE)=VLOOKUP($A52,main!$A$3:$H$102,8,FALSE),VLOOKUP(AX$1,main!$A$3:$H$102,4,FALSE),VLOOKUP(AX$1,main!$A$3:$H$102,4,FALSE)+VLOOKUP($A52,main!$A$3:$H$102,4,FALSE)+(VLOOKUP(VLOOKUP(AX$1,main!$A$3:$H$102,8,FALSE),main!$K$19:$O$22,MATCH(VLOOKUP($A52,main!$A$3:$H$102,7,FALSE),main!$K$18:$O$18,0),0))),0)</f>
        <v>0</v>
      </c>
      <c r="AY52">
        <f>IF((gamma!AY52),IF(VLOOKUP(AY$1,main!$A$3:$H$102,7,FALSE)=VLOOKUP($A52,main!$A$3:$H$102,8,FALSE),VLOOKUP(AY$1,main!$A$3:$H$102,4,FALSE),VLOOKUP(AY$1,main!$A$3:$H$102,4,FALSE)+VLOOKUP($A52,main!$A$3:$H$102,4,FALSE)+(VLOOKUP(VLOOKUP(AY$1,main!$A$3:$H$102,8,FALSE),main!$K$19:$O$22,MATCH(VLOOKUP($A52,main!$A$3:$H$102,7,FALSE),main!$K$18:$O$18,0),0))),0)</f>
        <v>0</v>
      </c>
      <c r="AZ52">
        <f>IF((gamma!AZ52),IF(VLOOKUP(AZ$1,main!$A$3:$H$102,7,FALSE)=VLOOKUP($A52,main!$A$3:$H$102,8,FALSE),VLOOKUP(AZ$1,main!$A$3:$H$102,4,FALSE),VLOOKUP(AZ$1,main!$A$3:$H$102,4,FALSE)+VLOOKUP($A52,main!$A$3:$H$102,4,FALSE)+(VLOOKUP(VLOOKUP(AZ$1,main!$A$3:$H$102,8,FALSE),main!$K$19:$O$22,MATCH(VLOOKUP($A52,main!$A$3:$H$102,7,FALSE),main!$K$18:$O$18,0),0))),0)</f>
        <v>0</v>
      </c>
      <c r="BA52">
        <f>IF((gamma!BA52),IF(VLOOKUP(BA$1,main!$A$3:$H$102,7,FALSE)=VLOOKUP($A52,main!$A$3:$H$102,8,FALSE),VLOOKUP(BA$1,main!$A$3:$H$102,4,FALSE),VLOOKUP(BA$1,main!$A$3:$H$102,4,FALSE)+VLOOKUP($A52,main!$A$3:$H$102,4,FALSE)+(VLOOKUP(VLOOKUP(BA$1,main!$A$3:$H$102,8,FALSE),main!$K$19:$O$22,MATCH(VLOOKUP($A52,main!$A$3:$H$102,7,FALSE),main!$K$18:$O$18,0),0))),0)</f>
        <v>0</v>
      </c>
      <c r="BB52">
        <f>IF((gamma!BB52),IF(VLOOKUP(BB$1,main!$A$3:$H$102,7,FALSE)=VLOOKUP($A52,main!$A$3:$H$102,8,FALSE),VLOOKUP(BB$1,main!$A$3:$H$102,4,FALSE),VLOOKUP(BB$1,main!$A$3:$H$102,4,FALSE)+VLOOKUP($A52,main!$A$3:$H$102,4,FALSE)+(VLOOKUP(VLOOKUP(BB$1,main!$A$3:$H$102,8,FALSE),main!$K$19:$O$22,MATCH(VLOOKUP($A52,main!$A$3:$H$102,7,FALSE),main!$K$18:$O$18,0),0))),0)</f>
        <v>0</v>
      </c>
      <c r="BC52">
        <f>IF((gamma!BC52),IF(VLOOKUP(BC$1,main!$A$3:$H$102,7,FALSE)=VLOOKUP($A52,main!$A$3:$H$102,8,FALSE),VLOOKUP(BC$1,main!$A$3:$H$102,4,FALSE),VLOOKUP(BC$1,main!$A$3:$H$102,4,FALSE)+VLOOKUP($A52,main!$A$3:$H$102,4,FALSE)+(VLOOKUP(VLOOKUP(BC$1,main!$A$3:$H$102,8,FALSE),main!$K$19:$O$22,MATCH(VLOOKUP($A52,main!$A$3:$H$102,7,FALSE),main!$K$18:$O$18,0),0))),0)</f>
        <v>0</v>
      </c>
      <c r="BD52">
        <f>IF((gamma!BD52),IF(VLOOKUP(BD$1,main!$A$3:$H$102,7,FALSE)=VLOOKUP($A52,main!$A$3:$H$102,8,FALSE),VLOOKUP(BD$1,main!$A$3:$H$102,4,FALSE),VLOOKUP(BD$1,main!$A$3:$H$102,4,FALSE)+VLOOKUP($A52,main!$A$3:$H$102,4,FALSE)+(VLOOKUP(VLOOKUP(BD$1,main!$A$3:$H$102,8,FALSE),main!$K$19:$O$22,MATCH(VLOOKUP($A52,main!$A$3:$H$102,7,FALSE),main!$K$18:$O$18,0),0))),0)</f>
        <v>140</v>
      </c>
      <c r="BE52">
        <f>IF((gamma!BE52),IF(VLOOKUP(BE$1,main!$A$3:$H$102,7,FALSE)=VLOOKUP($A52,main!$A$3:$H$102,8,FALSE),VLOOKUP(BE$1,main!$A$3:$H$102,4,FALSE),VLOOKUP(BE$1,main!$A$3:$H$102,4,FALSE)+VLOOKUP($A52,main!$A$3:$H$102,4,FALSE)+(VLOOKUP(VLOOKUP(BE$1,main!$A$3:$H$102,8,FALSE),main!$K$19:$O$22,MATCH(VLOOKUP($A52,main!$A$3:$H$102,7,FALSE),main!$K$18:$O$18,0),0))),0)</f>
        <v>140</v>
      </c>
      <c r="BF52">
        <f>IF((gamma!BF52),IF(VLOOKUP(BF$1,main!$A$3:$H$102,7,FALSE)=VLOOKUP($A52,main!$A$3:$H$102,8,FALSE),VLOOKUP(BF$1,main!$A$3:$H$102,4,FALSE),VLOOKUP(BF$1,main!$A$3:$H$102,4,FALSE)+VLOOKUP($A52,main!$A$3:$H$102,4,FALSE)+(VLOOKUP(VLOOKUP(BF$1,main!$A$3:$H$102,8,FALSE),main!$K$19:$O$22,MATCH(VLOOKUP($A52,main!$A$3:$H$102,7,FALSE),main!$K$18:$O$18,0),0))),0)</f>
        <v>0</v>
      </c>
      <c r="BG52">
        <f>IF((gamma!BG52),IF(VLOOKUP(BG$1,main!$A$3:$H$102,7,FALSE)=VLOOKUP($A52,main!$A$3:$H$102,8,FALSE),VLOOKUP(BG$1,main!$A$3:$H$102,4,FALSE),VLOOKUP(BG$1,main!$A$3:$H$102,4,FALSE)+VLOOKUP($A52,main!$A$3:$H$102,4,FALSE)+(VLOOKUP(VLOOKUP(BG$1,main!$A$3:$H$102,8,FALSE),main!$K$19:$O$22,MATCH(VLOOKUP($A52,main!$A$3:$H$102,7,FALSE),main!$K$18:$O$18,0),0))),0)</f>
        <v>0</v>
      </c>
      <c r="BH52">
        <f>IF((gamma!BH52),IF(VLOOKUP(BH$1,main!$A$3:$H$102,7,FALSE)=VLOOKUP($A52,main!$A$3:$H$102,8,FALSE),VLOOKUP(BH$1,main!$A$3:$H$102,4,FALSE),VLOOKUP(BH$1,main!$A$3:$H$102,4,FALSE)+VLOOKUP($A52,main!$A$3:$H$102,4,FALSE)+(VLOOKUP(VLOOKUP(BH$1,main!$A$3:$H$102,8,FALSE),main!$K$19:$O$22,MATCH(VLOOKUP($A52,main!$A$3:$H$102,7,FALSE),main!$K$18:$O$18,0),0))),0)</f>
        <v>0</v>
      </c>
      <c r="BI52">
        <f>IF((gamma!BI52),IF(VLOOKUP(BI$1,main!$A$3:$H$102,7,FALSE)=VLOOKUP($A52,main!$A$3:$H$102,8,FALSE),VLOOKUP(BI$1,main!$A$3:$H$102,4,FALSE),VLOOKUP(BI$1,main!$A$3:$H$102,4,FALSE)+VLOOKUP($A52,main!$A$3:$H$102,4,FALSE)+(VLOOKUP(VLOOKUP(BI$1,main!$A$3:$H$102,8,FALSE),main!$K$19:$O$22,MATCH(VLOOKUP($A52,main!$A$3:$H$102,7,FALSE),main!$K$18:$O$18,0),0))),0)</f>
        <v>60</v>
      </c>
      <c r="BJ52">
        <f>IF((gamma!BJ52),IF(VLOOKUP(BJ$1,main!$A$3:$H$102,7,FALSE)=VLOOKUP($A52,main!$A$3:$H$102,8,FALSE),VLOOKUP(BJ$1,main!$A$3:$H$102,4,FALSE),VLOOKUP(BJ$1,main!$A$3:$H$102,4,FALSE)+VLOOKUP($A52,main!$A$3:$H$102,4,FALSE)+(VLOOKUP(VLOOKUP(BJ$1,main!$A$3:$H$102,8,FALSE),main!$K$19:$O$22,MATCH(VLOOKUP($A52,main!$A$3:$H$102,7,FALSE),main!$K$18:$O$18,0),0))),0)</f>
        <v>90</v>
      </c>
      <c r="BK52">
        <f>IF((gamma!BK52),IF(VLOOKUP(BK$1,main!$A$3:$H$102,7,FALSE)=VLOOKUP($A52,main!$A$3:$H$102,8,FALSE),VLOOKUP(BK$1,main!$A$3:$H$102,4,FALSE),VLOOKUP(BK$1,main!$A$3:$H$102,4,FALSE)+VLOOKUP($A52,main!$A$3:$H$102,4,FALSE)+(VLOOKUP(VLOOKUP(BK$1,main!$A$3:$H$102,8,FALSE),main!$K$19:$O$22,MATCH(VLOOKUP($A52,main!$A$3:$H$102,7,FALSE),main!$K$18:$O$18,0),0))),0)</f>
        <v>0</v>
      </c>
      <c r="BL52">
        <f>IF((gamma!BL52),IF(VLOOKUP(BL$1,main!$A$3:$H$102,7,FALSE)=VLOOKUP($A52,main!$A$3:$H$102,8,FALSE),VLOOKUP(BL$1,main!$A$3:$H$102,4,FALSE),VLOOKUP(BL$1,main!$A$3:$H$102,4,FALSE)+VLOOKUP($A52,main!$A$3:$H$102,4,FALSE)+(VLOOKUP(VLOOKUP(BL$1,main!$A$3:$H$102,8,FALSE),main!$K$19:$O$22,MATCH(VLOOKUP($A52,main!$A$3:$H$102,7,FALSE),main!$K$18:$O$18,0),0))),0)</f>
        <v>0</v>
      </c>
      <c r="BM52">
        <f>IF((gamma!BM52),IF(VLOOKUP(BM$1,main!$A$3:$H$102,7,FALSE)=VLOOKUP($A52,main!$A$3:$H$102,8,FALSE),VLOOKUP(BM$1,main!$A$3:$H$102,4,FALSE),VLOOKUP(BM$1,main!$A$3:$H$102,4,FALSE)+VLOOKUP($A52,main!$A$3:$H$102,4,FALSE)+(VLOOKUP(VLOOKUP(BM$1,main!$A$3:$H$102,8,FALSE),main!$K$19:$O$22,MATCH(VLOOKUP($A52,main!$A$3:$H$102,7,FALSE),main!$K$18:$O$18,0),0))),0)</f>
        <v>0</v>
      </c>
      <c r="BN52">
        <f>IF((gamma!BN52),IF(VLOOKUP(BN$1,main!$A$3:$H$102,7,FALSE)=VLOOKUP($A52,main!$A$3:$H$102,8,FALSE),VLOOKUP(BN$1,main!$A$3:$H$102,4,FALSE),VLOOKUP(BN$1,main!$A$3:$H$102,4,FALSE)+VLOOKUP($A52,main!$A$3:$H$102,4,FALSE)+(VLOOKUP(VLOOKUP(BN$1,main!$A$3:$H$102,8,FALSE),main!$K$19:$O$22,MATCH(VLOOKUP($A52,main!$A$3:$H$102,7,FALSE),main!$K$18:$O$18,0),0))),0)</f>
        <v>120</v>
      </c>
      <c r="BO52">
        <f>IF((gamma!BO52),IF(VLOOKUP(BO$1,main!$A$3:$H$102,7,FALSE)=VLOOKUP($A52,main!$A$3:$H$102,8,FALSE),VLOOKUP(BO$1,main!$A$3:$H$102,4,FALSE),VLOOKUP(BO$1,main!$A$3:$H$102,4,FALSE)+VLOOKUP($A52,main!$A$3:$H$102,4,FALSE)+(VLOOKUP(VLOOKUP(BO$1,main!$A$3:$H$102,8,FALSE),main!$K$19:$O$22,MATCH(VLOOKUP($A52,main!$A$3:$H$102,7,FALSE),main!$K$18:$O$18,0),0))),0)</f>
        <v>0</v>
      </c>
      <c r="BP52">
        <f>IF((gamma!BP52),IF(VLOOKUP(BP$1,main!$A$3:$H$102,7,FALSE)=VLOOKUP($A52,main!$A$3:$H$102,8,FALSE),VLOOKUP(BP$1,main!$A$3:$H$102,4,FALSE),VLOOKUP(BP$1,main!$A$3:$H$102,4,FALSE)+VLOOKUP($A52,main!$A$3:$H$102,4,FALSE)+(VLOOKUP(VLOOKUP(BP$1,main!$A$3:$H$102,8,FALSE),main!$K$19:$O$22,MATCH(VLOOKUP($A52,main!$A$3:$H$102,7,FALSE),main!$K$18:$O$18,0),0))),0)</f>
        <v>0</v>
      </c>
      <c r="BQ52">
        <f>IF((gamma!BQ52),IF(VLOOKUP(BQ$1,main!$A$3:$H$102,7,FALSE)=VLOOKUP($A52,main!$A$3:$H$102,8,FALSE),VLOOKUP(BQ$1,main!$A$3:$H$102,4,FALSE),VLOOKUP(BQ$1,main!$A$3:$H$102,4,FALSE)+VLOOKUP($A52,main!$A$3:$H$102,4,FALSE)+(VLOOKUP(VLOOKUP(BQ$1,main!$A$3:$H$102,8,FALSE),main!$K$19:$O$22,MATCH(VLOOKUP($A52,main!$A$3:$H$102,7,FALSE),main!$K$18:$O$18,0),0))),0)</f>
        <v>0</v>
      </c>
      <c r="BR52">
        <f>IF((gamma!BR52),IF(VLOOKUP(BR$1,main!$A$3:$H$102,7,FALSE)=VLOOKUP($A52,main!$A$3:$H$102,8,FALSE),VLOOKUP(BR$1,main!$A$3:$H$102,4,FALSE),VLOOKUP(BR$1,main!$A$3:$H$102,4,FALSE)+VLOOKUP($A52,main!$A$3:$H$102,4,FALSE)+(VLOOKUP(VLOOKUP(BR$1,main!$A$3:$H$102,8,FALSE),main!$K$19:$O$22,MATCH(VLOOKUP($A52,main!$A$3:$H$102,7,FALSE),main!$K$18:$O$18,0),0))),0)</f>
        <v>0</v>
      </c>
      <c r="BS52">
        <f>IF((gamma!BS52),IF(VLOOKUP(BS$1,main!$A$3:$H$102,7,FALSE)=VLOOKUP($A52,main!$A$3:$H$102,8,FALSE),VLOOKUP(BS$1,main!$A$3:$H$102,4,FALSE),VLOOKUP(BS$1,main!$A$3:$H$102,4,FALSE)+VLOOKUP($A52,main!$A$3:$H$102,4,FALSE)+(VLOOKUP(VLOOKUP(BS$1,main!$A$3:$H$102,8,FALSE),main!$K$19:$O$22,MATCH(VLOOKUP($A52,main!$A$3:$H$102,7,FALSE),main!$K$18:$O$18,0),0))),0)</f>
        <v>0</v>
      </c>
      <c r="BT52">
        <f>IF((gamma!BT52),IF(VLOOKUP(BT$1,main!$A$3:$H$102,7,FALSE)=VLOOKUP($A52,main!$A$3:$H$102,8,FALSE),VLOOKUP(BT$1,main!$A$3:$H$102,4,FALSE),VLOOKUP(BT$1,main!$A$3:$H$102,4,FALSE)+VLOOKUP($A52,main!$A$3:$H$102,4,FALSE)+(VLOOKUP(VLOOKUP(BT$1,main!$A$3:$H$102,8,FALSE),main!$K$19:$O$22,MATCH(VLOOKUP($A52,main!$A$3:$H$102,7,FALSE),main!$K$18:$O$18,0),0))),0)</f>
        <v>0</v>
      </c>
      <c r="BU52">
        <f>IF((gamma!BU52),IF(VLOOKUP(BU$1,main!$A$3:$H$102,7,FALSE)=VLOOKUP($A52,main!$A$3:$H$102,8,FALSE),VLOOKUP(BU$1,main!$A$3:$H$102,4,FALSE),VLOOKUP(BU$1,main!$A$3:$H$102,4,FALSE)+VLOOKUP($A52,main!$A$3:$H$102,4,FALSE)+(VLOOKUP(VLOOKUP(BU$1,main!$A$3:$H$102,8,FALSE),main!$K$19:$O$22,MATCH(VLOOKUP($A52,main!$A$3:$H$102,7,FALSE),main!$K$18:$O$18,0),0))),0)</f>
        <v>0</v>
      </c>
      <c r="BV52">
        <f>IF((gamma!BV52),IF(VLOOKUP(BV$1,main!$A$3:$H$102,7,FALSE)=VLOOKUP($A52,main!$A$3:$H$102,8,FALSE),VLOOKUP(BV$1,main!$A$3:$H$102,4,FALSE),VLOOKUP(BV$1,main!$A$3:$H$102,4,FALSE)+VLOOKUP($A52,main!$A$3:$H$102,4,FALSE)+(VLOOKUP(VLOOKUP(BV$1,main!$A$3:$H$102,8,FALSE),main!$K$19:$O$22,MATCH(VLOOKUP($A52,main!$A$3:$H$102,7,FALSE),main!$K$18:$O$18,0),0))),0)</f>
        <v>0</v>
      </c>
      <c r="BW52">
        <f>IF((gamma!BW52),IF(VLOOKUP(BW$1,main!$A$3:$H$102,7,FALSE)=VLOOKUP($A52,main!$A$3:$H$102,8,FALSE),VLOOKUP(BW$1,main!$A$3:$H$102,4,FALSE),VLOOKUP(BW$1,main!$A$3:$H$102,4,FALSE)+VLOOKUP($A52,main!$A$3:$H$102,4,FALSE)+(VLOOKUP(VLOOKUP(BW$1,main!$A$3:$H$102,8,FALSE),main!$K$19:$O$22,MATCH(VLOOKUP($A52,main!$A$3:$H$102,7,FALSE),main!$K$18:$O$18,0),0))),0)</f>
        <v>0</v>
      </c>
      <c r="BX52">
        <f>IF((gamma!BX52),IF(VLOOKUP(BX$1,main!$A$3:$H$102,7,FALSE)=VLOOKUP($A52,main!$A$3:$H$102,8,FALSE),VLOOKUP(BX$1,main!$A$3:$H$102,4,FALSE),VLOOKUP(BX$1,main!$A$3:$H$102,4,FALSE)+VLOOKUP($A52,main!$A$3:$H$102,4,FALSE)+(VLOOKUP(VLOOKUP(BX$1,main!$A$3:$H$102,8,FALSE),main!$K$19:$O$22,MATCH(VLOOKUP($A52,main!$A$3:$H$102,7,FALSE),main!$K$18:$O$18,0),0))),0)</f>
        <v>0</v>
      </c>
      <c r="BY52">
        <f>IF((gamma!BY52),IF(VLOOKUP(BY$1,main!$A$3:$H$102,7,FALSE)=VLOOKUP($A52,main!$A$3:$H$102,8,FALSE),VLOOKUP(BY$1,main!$A$3:$H$102,4,FALSE),VLOOKUP(BY$1,main!$A$3:$H$102,4,FALSE)+VLOOKUP($A52,main!$A$3:$H$102,4,FALSE)+(VLOOKUP(VLOOKUP(BY$1,main!$A$3:$H$102,8,FALSE),main!$K$19:$O$22,MATCH(VLOOKUP($A52,main!$A$3:$H$102,7,FALSE),main!$K$18:$O$18,0),0))),0)</f>
        <v>0</v>
      </c>
      <c r="BZ52">
        <f>IF((gamma!BZ52),IF(VLOOKUP(BZ$1,main!$A$3:$H$102,7,FALSE)=VLOOKUP($A52,main!$A$3:$H$102,8,FALSE),VLOOKUP(BZ$1,main!$A$3:$H$102,4,FALSE),VLOOKUP(BZ$1,main!$A$3:$H$102,4,FALSE)+VLOOKUP($A52,main!$A$3:$H$102,4,FALSE)+(VLOOKUP(VLOOKUP(BZ$1,main!$A$3:$H$102,8,FALSE),main!$K$19:$O$22,MATCH(VLOOKUP($A52,main!$A$3:$H$102,7,FALSE),main!$K$18:$O$18,0),0))),0)</f>
        <v>0</v>
      </c>
      <c r="CA52">
        <f>IF((gamma!CA52),IF(VLOOKUP(CA$1,main!$A$3:$H$102,7,FALSE)=VLOOKUP($A52,main!$A$3:$H$102,8,FALSE),VLOOKUP(CA$1,main!$A$3:$H$102,4,FALSE),VLOOKUP(CA$1,main!$A$3:$H$102,4,FALSE)+VLOOKUP($A52,main!$A$3:$H$102,4,FALSE)+(VLOOKUP(VLOOKUP(CA$1,main!$A$3:$H$102,8,FALSE),main!$K$19:$O$22,MATCH(VLOOKUP($A52,main!$A$3:$H$102,7,FALSE),main!$K$18:$O$18,0),0))),0)</f>
        <v>0</v>
      </c>
      <c r="CB52">
        <f>IF((gamma!CB52),IF(VLOOKUP(CB$1,main!$A$3:$H$102,7,FALSE)=VLOOKUP($A52,main!$A$3:$H$102,8,FALSE),VLOOKUP(CB$1,main!$A$3:$H$102,4,FALSE),VLOOKUP(CB$1,main!$A$3:$H$102,4,FALSE)+VLOOKUP($A52,main!$A$3:$H$102,4,FALSE)+(VLOOKUP(VLOOKUP(CB$1,main!$A$3:$H$102,8,FALSE),main!$K$19:$O$22,MATCH(VLOOKUP($A52,main!$A$3:$H$102,7,FALSE),main!$K$18:$O$18,0),0))),0)</f>
        <v>65</v>
      </c>
      <c r="CC52">
        <f>IF((gamma!CC52),IF(VLOOKUP(CC$1,main!$A$3:$H$102,7,FALSE)=VLOOKUP($A52,main!$A$3:$H$102,8,FALSE),VLOOKUP(CC$1,main!$A$3:$H$102,4,FALSE),VLOOKUP(CC$1,main!$A$3:$H$102,4,FALSE)+VLOOKUP($A52,main!$A$3:$H$102,4,FALSE)+(VLOOKUP(VLOOKUP(CC$1,main!$A$3:$H$102,8,FALSE),main!$K$19:$O$22,MATCH(VLOOKUP($A52,main!$A$3:$H$102,7,FALSE),main!$K$18:$O$18,0),0))),0)</f>
        <v>55</v>
      </c>
      <c r="CD52">
        <f>IF((gamma!CD52),IF(VLOOKUP(CD$1,main!$A$3:$H$102,7,FALSE)=VLOOKUP($A52,main!$A$3:$H$102,8,FALSE),VLOOKUP(CD$1,main!$A$3:$H$102,4,FALSE),VLOOKUP(CD$1,main!$A$3:$H$102,4,FALSE)+VLOOKUP($A52,main!$A$3:$H$102,4,FALSE)+(VLOOKUP(VLOOKUP(CD$1,main!$A$3:$H$102,8,FALSE),main!$K$19:$O$22,MATCH(VLOOKUP($A52,main!$A$3:$H$102,7,FALSE),main!$K$18:$O$18,0),0))),0)</f>
        <v>0</v>
      </c>
      <c r="CE52">
        <f>IF((gamma!CE52),IF(VLOOKUP(CE$1,main!$A$3:$H$102,7,FALSE)=VLOOKUP($A52,main!$A$3:$H$102,8,FALSE),VLOOKUP(CE$1,main!$A$3:$H$102,4,FALSE),VLOOKUP(CE$1,main!$A$3:$H$102,4,FALSE)+VLOOKUP($A52,main!$A$3:$H$102,4,FALSE)+(VLOOKUP(VLOOKUP(CE$1,main!$A$3:$H$102,8,FALSE),main!$K$19:$O$22,MATCH(VLOOKUP($A52,main!$A$3:$H$102,7,FALSE),main!$K$18:$O$18,0),0))),0)</f>
        <v>0</v>
      </c>
      <c r="CF52">
        <f>IF((gamma!CF52),IF(VLOOKUP(CF$1,main!$A$3:$H$102,7,FALSE)=VLOOKUP($A52,main!$A$3:$H$102,8,FALSE),VLOOKUP(CF$1,main!$A$3:$H$102,4,FALSE),VLOOKUP(CF$1,main!$A$3:$H$102,4,FALSE)+VLOOKUP($A52,main!$A$3:$H$102,4,FALSE)+(VLOOKUP(VLOOKUP(CF$1,main!$A$3:$H$102,8,FALSE),main!$K$19:$O$22,MATCH(VLOOKUP($A52,main!$A$3:$H$102,7,FALSE),main!$K$18:$O$18,0),0))),0)</f>
        <v>0</v>
      </c>
      <c r="CG52">
        <f>IF((gamma!CG52),IF(VLOOKUP(CG$1,main!$A$3:$H$102,7,FALSE)=VLOOKUP($A52,main!$A$3:$H$102,8,FALSE),VLOOKUP(CG$1,main!$A$3:$H$102,4,FALSE),VLOOKUP(CG$1,main!$A$3:$H$102,4,FALSE)+VLOOKUP($A52,main!$A$3:$H$102,4,FALSE)+(VLOOKUP(VLOOKUP(CG$1,main!$A$3:$H$102,8,FALSE),main!$K$19:$O$22,MATCH(VLOOKUP($A52,main!$A$3:$H$102,7,FALSE),main!$K$18:$O$18,0),0))),0)</f>
        <v>0</v>
      </c>
      <c r="CH52">
        <f>IF((gamma!CH52),IF(VLOOKUP(CH$1,main!$A$3:$H$102,7,FALSE)=VLOOKUP($A52,main!$A$3:$H$102,8,FALSE),VLOOKUP(CH$1,main!$A$3:$H$102,4,FALSE),VLOOKUP(CH$1,main!$A$3:$H$102,4,FALSE)+VLOOKUP($A52,main!$A$3:$H$102,4,FALSE)+(VLOOKUP(VLOOKUP(CH$1,main!$A$3:$H$102,8,FALSE),main!$K$19:$O$22,MATCH(VLOOKUP($A52,main!$A$3:$H$102,7,FALSE),main!$K$18:$O$18,0),0))),0)</f>
        <v>300</v>
      </c>
      <c r="CI52">
        <f>IF((gamma!CI52),IF(VLOOKUP(CI$1,main!$A$3:$H$102,7,FALSE)=VLOOKUP($A52,main!$A$3:$H$102,8,FALSE),VLOOKUP(CI$1,main!$A$3:$H$102,4,FALSE),VLOOKUP(CI$1,main!$A$3:$H$102,4,FALSE)+VLOOKUP($A52,main!$A$3:$H$102,4,FALSE)+(VLOOKUP(VLOOKUP(CI$1,main!$A$3:$H$102,8,FALSE),main!$K$19:$O$22,MATCH(VLOOKUP($A52,main!$A$3:$H$102,7,FALSE),main!$K$18:$O$18,0),0))),0)</f>
        <v>300</v>
      </c>
      <c r="CJ52">
        <f>IF((gamma!CJ52),IF(VLOOKUP(CJ$1,main!$A$3:$H$102,7,FALSE)=VLOOKUP($A52,main!$A$3:$H$102,8,FALSE),VLOOKUP(CJ$1,main!$A$3:$H$102,4,FALSE),VLOOKUP(CJ$1,main!$A$3:$H$102,4,FALSE)+VLOOKUP($A52,main!$A$3:$H$102,4,FALSE)+(VLOOKUP(VLOOKUP(CJ$1,main!$A$3:$H$102,8,FALSE),main!$K$19:$O$22,MATCH(VLOOKUP($A52,main!$A$3:$H$102,7,FALSE),main!$K$18:$O$18,0),0))),0)</f>
        <v>0</v>
      </c>
      <c r="CK52">
        <f>IF((gamma!CK52),IF(VLOOKUP(CK$1,main!$A$3:$H$102,7,FALSE)=VLOOKUP($A52,main!$A$3:$H$102,8,FALSE),VLOOKUP(CK$1,main!$A$3:$H$102,4,FALSE),VLOOKUP(CK$1,main!$A$3:$H$102,4,FALSE)+VLOOKUP($A52,main!$A$3:$H$102,4,FALSE)+(VLOOKUP(VLOOKUP(CK$1,main!$A$3:$H$102,8,FALSE),main!$K$19:$O$22,MATCH(VLOOKUP($A52,main!$A$3:$H$102,7,FALSE),main!$K$18:$O$18,0),0))),0)</f>
        <v>0</v>
      </c>
      <c r="CL52">
        <f>IF((gamma!CL52),IF(VLOOKUP(CL$1,main!$A$3:$H$102,7,FALSE)=VLOOKUP($A52,main!$A$3:$H$102,8,FALSE),VLOOKUP(CL$1,main!$A$3:$H$102,4,FALSE),VLOOKUP(CL$1,main!$A$3:$H$102,4,FALSE)+VLOOKUP($A52,main!$A$3:$H$102,4,FALSE)+(VLOOKUP(VLOOKUP(CL$1,main!$A$3:$H$102,8,FALSE),main!$K$19:$O$22,MATCH(VLOOKUP($A52,main!$A$3:$H$102,7,FALSE),main!$K$18:$O$18,0),0))),0)</f>
        <v>0</v>
      </c>
      <c r="CM52">
        <f>IF((gamma!CM52),IF(VLOOKUP(CM$1,main!$A$3:$H$102,7,FALSE)=VLOOKUP($A52,main!$A$3:$H$102,8,FALSE),VLOOKUP(CM$1,main!$A$3:$H$102,4,FALSE),VLOOKUP(CM$1,main!$A$3:$H$102,4,FALSE)+VLOOKUP($A52,main!$A$3:$H$102,4,FALSE)+(VLOOKUP(VLOOKUP(CM$1,main!$A$3:$H$102,8,FALSE),main!$K$19:$O$22,MATCH(VLOOKUP($A52,main!$A$3:$H$102,7,FALSE),main!$K$18:$O$18,0),0))),0)</f>
        <v>260</v>
      </c>
      <c r="CN52">
        <f>IF((gamma!CN52),IF(VLOOKUP(CN$1,main!$A$3:$H$102,7,FALSE)=VLOOKUP($A52,main!$A$3:$H$102,8,FALSE),VLOOKUP(CN$1,main!$A$3:$H$102,4,FALSE),VLOOKUP(CN$1,main!$A$3:$H$102,4,FALSE)+VLOOKUP($A52,main!$A$3:$H$102,4,FALSE)+(VLOOKUP(VLOOKUP(CN$1,main!$A$3:$H$102,8,FALSE),main!$K$19:$O$22,MATCH(VLOOKUP($A52,main!$A$3:$H$102,7,FALSE),main!$K$18:$O$18,0),0))),0)</f>
        <v>256</v>
      </c>
      <c r="CO52">
        <f>IF((gamma!CO52),IF(VLOOKUP(CO$1,main!$A$3:$H$102,7,FALSE)=VLOOKUP($A52,main!$A$3:$H$102,8,FALSE),VLOOKUP(CO$1,main!$A$3:$H$102,4,FALSE),VLOOKUP(CO$1,main!$A$3:$H$102,4,FALSE)+VLOOKUP($A52,main!$A$3:$H$102,4,FALSE)+(VLOOKUP(VLOOKUP(CO$1,main!$A$3:$H$102,8,FALSE),main!$K$19:$O$22,MATCH(VLOOKUP($A52,main!$A$3:$H$102,7,FALSE),main!$K$18:$O$18,0),0))),0)</f>
        <v>0</v>
      </c>
      <c r="CP52">
        <f>IF((gamma!CP52),IF(VLOOKUP(CP$1,main!$A$3:$H$102,7,FALSE)=VLOOKUP($A52,main!$A$3:$H$102,8,FALSE),VLOOKUP(CP$1,main!$A$3:$H$102,4,FALSE),VLOOKUP(CP$1,main!$A$3:$H$102,4,FALSE)+VLOOKUP($A52,main!$A$3:$H$102,4,FALSE)+(VLOOKUP(VLOOKUP(CP$1,main!$A$3:$H$102,8,FALSE),main!$K$19:$O$22,MATCH(VLOOKUP($A52,main!$A$3:$H$102,7,FALSE),main!$K$18:$O$18,0),0))),0)</f>
        <v>0</v>
      </c>
      <c r="CQ52">
        <f>IF((gamma!CQ52),IF(VLOOKUP(CQ$1,main!$A$3:$H$102,7,FALSE)=VLOOKUP($A52,main!$A$3:$H$102,8,FALSE),VLOOKUP(CQ$1,main!$A$3:$H$102,4,FALSE),VLOOKUP(CQ$1,main!$A$3:$H$102,4,FALSE)+VLOOKUP($A52,main!$A$3:$H$102,4,FALSE)+(VLOOKUP(VLOOKUP(CQ$1,main!$A$3:$H$102,8,FALSE),main!$K$19:$O$22,MATCH(VLOOKUP($A52,main!$A$3:$H$102,7,FALSE),main!$K$18:$O$18,0),0))),0)</f>
        <v>0</v>
      </c>
      <c r="CR52">
        <f>IF((gamma!CR52),IF(VLOOKUP(CR$1,main!$A$3:$H$102,7,FALSE)=VLOOKUP($A52,main!$A$3:$H$102,8,FALSE),VLOOKUP(CR$1,main!$A$3:$H$102,4,FALSE),VLOOKUP(CR$1,main!$A$3:$H$102,4,FALSE)+VLOOKUP($A52,main!$A$3:$H$102,4,FALSE)+(VLOOKUP(VLOOKUP(CR$1,main!$A$3:$H$102,8,FALSE),main!$K$19:$O$22,MATCH(VLOOKUP($A52,main!$A$3:$H$102,7,FALSE),main!$K$18:$O$18,0),0))),0)</f>
        <v>298</v>
      </c>
      <c r="CS52">
        <f>IF((gamma!CS52),IF(VLOOKUP(CS$1,main!$A$3:$H$102,7,FALSE)=VLOOKUP($A52,main!$A$3:$H$102,8,FALSE),VLOOKUP(CS$1,main!$A$3:$H$102,4,FALSE),VLOOKUP(CS$1,main!$A$3:$H$102,4,FALSE)+VLOOKUP($A52,main!$A$3:$H$102,4,FALSE)+(VLOOKUP(VLOOKUP(CS$1,main!$A$3:$H$102,8,FALSE),main!$K$19:$O$22,MATCH(VLOOKUP($A52,main!$A$3:$H$102,7,FALSE),main!$K$18:$O$18,0),0))),0)</f>
        <v>298</v>
      </c>
      <c r="CT52">
        <f>IF((gamma!CT52),IF(VLOOKUP(CT$1,main!$A$3:$H$102,7,FALSE)=VLOOKUP($A52,main!$A$3:$H$102,8,FALSE),VLOOKUP(CT$1,main!$A$3:$H$102,4,FALSE),VLOOKUP(CT$1,main!$A$3:$H$102,4,FALSE)+VLOOKUP($A52,main!$A$3:$H$102,4,FALSE)+(VLOOKUP(VLOOKUP(CT$1,main!$A$3:$H$102,8,FALSE),main!$K$19:$O$22,MATCH(VLOOKUP($A52,main!$A$3:$H$102,7,FALSE),main!$K$18:$O$18,0),0))),0)</f>
        <v>0</v>
      </c>
      <c r="CU52">
        <f>IF((gamma!CU52),IF(VLOOKUP(CU$1,main!$A$3:$H$102,7,FALSE)=VLOOKUP($A52,main!$A$3:$H$102,8,FALSE),VLOOKUP(CU$1,main!$A$3:$H$102,4,FALSE),VLOOKUP(CU$1,main!$A$3:$H$102,4,FALSE)+VLOOKUP($A52,main!$A$3:$H$102,4,FALSE)+(VLOOKUP(VLOOKUP(CU$1,main!$A$3:$H$102,8,FALSE),main!$K$19:$O$22,MATCH(VLOOKUP($A52,main!$A$3:$H$102,7,FALSE),main!$K$18:$O$18,0),0))),0)</f>
        <v>0</v>
      </c>
      <c r="CV52">
        <f>IF((gamma!CV52),IF(VLOOKUP(CV$1,main!$A$3:$H$102,7,FALSE)=VLOOKUP($A52,main!$A$3:$H$102,8,FALSE),VLOOKUP(CV$1,main!$A$3:$H$102,4,FALSE),VLOOKUP(CV$1,main!$A$3:$H$102,4,FALSE)+VLOOKUP($A52,main!$A$3:$H$102,4,FALSE)+(VLOOKUP(VLOOKUP(CV$1,main!$A$3:$H$102,8,FALSE),main!$K$19:$O$22,MATCH(VLOOKUP($A52,main!$A$3:$H$102,7,FALSE),main!$K$18:$O$18,0),0))),0)</f>
        <v>0</v>
      </c>
      <c r="CW52">
        <f>IF((gamma!CW52),IF(VLOOKUP(CW$1,main!$A$3:$H$102,7,FALSE)=VLOOKUP($A52,main!$A$3:$H$102,8,FALSE),VLOOKUP(CW$1,main!$A$3:$H$102,4,FALSE),VLOOKUP(CW$1,main!$A$3:$H$102,4,FALSE)+VLOOKUP($A52,main!$A$3:$H$102,4,FALSE)+(VLOOKUP(VLOOKUP(CW$1,main!$A$3:$H$102,8,FALSE),main!$K$19:$O$22,MATCH(VLOOKUP($A52,main!$A$3:$H$102,7,FALSE),main!$K$18:$O$18,0),0))),0)</f>
        <v>258</v>
      </c>
      <c r="CX52">
        <f>IF((gamma!CX52),IF(VLOOKUP(CX$1,main!$A$3:$H$102,7,FALSE)=VLOOKUP($A52,main!$A$3:$H$102,8,FALSE),VLOOKUP(CX$1,main!$A$3:$H$102,4,FALSE),VLOOKUP(CX$1,main!$A$3:$H$102,4,FALSE)+VLOOKUP($A52,main!$A$3:$H$102,4,FALSE)+(VLOOKUP(VLOOKUP(CX$1,main!$A$3:$H$102,8,FALSE),main!$K$19:$O$22,MATCH(VLOOKUP($A52,main!$A$3:$H$102,7,FALSE),main!$K$18:$O$18,0),0))),0)</f>
        <v>248</v>
      </c>
      <c r="CY52">
        <v>0</v>
      </c>
      <c r="CZ52">
        <v>0</v>
      </c>
      <c r="DA52">
        <v>0</v>
      </c>
    </row>
    <row r="53" spans="1:105" x14ac:dyDescent="0.25">
      <c r="A53" s="1">
        <v>51</v>
      </c>
      <c r="B53">
        <v>0</v>
      </c>
      <c r="C53">
        <f>IF((gamma!C53),IF(VLOOKUP(C$1,main!$A$3:$H$102,7,FALSE)=VLOOKUP($A53,main!$A$3:$H$102,8,FALSE),VLOOKUP(C$1,main!$A$3:$H$102,4,FALSE),VLOOKUP(C$1,main!$A$3:$H$102,4,FALSE)+VLOOKUP($A53,main!$A$3:$H$102,4,FALSE)+(VLOOKUP(VLOOKUP(C$1,main!$A$3:$H$102,8,FALSE),main!$K$19:$O$22,MATCH(VLOOKUP($A53,main!$A$3:$H$102,7,FALSE),main!$K$18:$O$18,0),0))),0)</f>
        <v>0</v>
      </c>
      <c r="D53">
        <f>IF((gamma!D53),IF(VLOOKUP(D$1,main!$A$3:$H$102,7,FALSE)=VLOOKUP($A53,main!$A$3:$H$102,8,FALSE),VLOOKUP(D$1,main!$A$3:$H$102,4,FALSE),VLOOKUP(D$1,main!$A$3:$H$102,4,FALSE)+VLOOKUP($A53,main!$A$3:$H$102,4,FALSE)+(VLOOKUP(VLOOKUP(D$1,main!$A$3:$H$102,8,FALSE),main!$K$19:$O$22,MATCH(VLOOKUP($A53,main!$A$3:$H$102,7,FALSE),main!$K$18:$O$18,0),0))),0)</f>
        <v>0</v>
      </c>
      <c r="E53">
        <f>IF((gamma!E53),IF(VLOOKUP(E$1,main!$A$3:$H$102,7,FALSE)=VLOOKUP($A53,main!$A$3:$H$102,8,FALSE),VLOOKUP(E$1,main!$A$3:$H$102,4,FALSE),VLOOKUP(E$1,main!$A$3:$H$102,4,FALSE)+VLOOKUP($A53,main!$A$3:$H$102,4,FALSE)+(VLOOKUP(VLOOKUP(E$1,main!$A$3:$H$102,8,FALSE),main!$K$19:$O$22,MATCH(VLOOKUP($A53,main!$A$3:$H$102,7,FALSE),main!$K$18:$O$18,0),0))),0)</f>
        <v>0</v>
      </c>
      <c r="F53">
        <f>IF((gamma!F53),IF(VLOOKUP(F$1,main!$A$3:$H$102,7,FALSE)=VLOOKUP($A53,main!$A$3:$H$102,8,FALSE),VLOOKUP(F$1,main!$A$3:$H$102,4,FALSE),VLOOKUP(F$1,main!$A$3:$H$102,4,FALSE)+VLOOKUP($A53,main!$A$3:$H$102,4,FALSE)+(VLOOKUP(VLOOKUP(F$1,main!$A$3:$H$102,8,FALSE),main!$K$19:$O$22,MATCH(VLOOKUP($A53,main!$A$3:$H$102,7,FALSE),main!$K$18:$O$18,0),0))),0)</f>
        <v>135</v>
      </c>
      <c r="G53">
        <f>IF((gamma!G53),IF(VLOOKUP(G$1,main!$A$3:$H$102,7,FALSE)=VLOOKUP($A53,main!$A$3:$H$102,8,FALSE),VLOOKUP(G$1,main!$A$3:$H$102,4,FALSE),VLOOKUP(G$1,main!$A$3:$H$102,4,FALSE)+VLOOKUP($A53,main!$A$3:$H$102,4,FALSE)+(VLOOKUP(VLOOKUP(G$1,main!$A$3:$H$102,8,FALSE),main!$K$19:$O$22,MATCH(VLOOKUP($A53,main!$A$3:$H$102,7,FALSE),main!$K$18:$O$18,0),0))),0)</f>
        <v>135</v>
      </c>
      <c r="H53">
        <f>IF((gamma!H53),IF(VLOOKUP(H$1,main!$A$3:$H$102,7,FALSE)=VLOOKUP($A53,main!$A$3:$H$102,8,FALSE),VLOOKUP(H$1,main!$A$3:$H$102,4,FALSE),VLOOKUP(H$1,main!$A$3:$H$102,4,FALSE)+VLOOKUP($A53,main!$A$3:$H$102,4,FALSE)+(VLOOKUP(VLOOKUP(H$1,main!$A$3:$H$102,8,FALSE),main!$K$19:$O$22,MATCH(VLOOKUP($A53,main!$A$3:$H$102,7,FALSE),main!$K$18:$O$18,0),0))),0)</f>
        <v>135</v>
      </c>
      <c r="I53">
        <f>IF((gamma!I53),IF(VLOOKUP(I$1,main!$A$3:$H$102,7,FALSE)=VLOOKUP($A53,main!$A$3:$H$102,8,FALSE),VLOOKUP(I$1,main!$A$3:$H$102,4,FALSE),VLOOKUP(I$1,main!$A$3:$H$102,4,FALSE)+VLOOKUP($A53,main!$A$3:$H$102,4,FALSE)+(VLOOKUP(VLOOKUP(I$1,main!$A$3:$H$102,8,FALSE),main!$K$19:$O$22,MATCH(VLOOKUP($A53,main!$A$3:$H$102,7,FALSE),main!$K$18:$O$18,0),0))),0)</f>
        <v>135</v>
      </c>
      <c r="J53">
        <f>IF((gamma!J53),IF(VLOOKUP(J$1,main!$A$3:$H$102,7,FALSE)=VLOOKUP($A53,main!$A$3:$H$102,8,FALSE),VLOOKUP(J$1,main!$A$3:$H$102,4,FALSE),VLOOKUP(J$1,main!$A$3:$H$102,4,FALSE)+VLOOKUP($A53,main!$A$3:$H$102,4,FALSE)+(VLOOKUP(VLOOKUP(J$1,main!$A$3:$H$102,8,FALSE),main!$K$19:$O$22,MATCH(VLOOKUP($A53,main!$A$3:$H$102,7,FALSE),main!$K$18:$O$18,0),0))),0)</f>
        <v>135</v>
      </c>
      <c r="K53">
        <f>IF((gamma!K53),IF(VLOOKUP(K$1,main!$A$3:$H$102,7,FALSE)=VLOOKUP($A53,main!$A$3:$H$102,8,FALSE),VLOOKUP(K$1,main!$A$3:$H$102,4,FALSE),VLOOKUP(K$1,main!$A$3:$H$102,4,FALSE)+VLOOKUP($A53,main!$A$3:$H$102,4,FALSE)+(VLOOKUP(VLOOKUP(K$1,main!$A$3:$H$102,8,FALSE),main!$K$19:$O$22,MATCH(VLOOKUP($A53,main!$A$3:$H$102,7,FALSE),main!$K$18:$O$18,0),0))),0)</f>
        <v>135</v>
      </c>
      <c r="L53">
        <f>IF((gamma!L53),IF(VLOOKUP(L$1,main!$A$3:$H$102,7,FALSE)=VLOOKUP($A53,main!$A$3:$H$102,8,FALSE),VLOOKUP(L$1,main!$A$3:$H$102,4,FALSE),VLOOKUP(L$1,main!$A$3:$H$102,4,FALSE)+VLOOKUP($A53,main!$A$3:$H$102,4,FALSE)+(VLOOKUP(VLOOKUP(L$1,main!$A$3:$H$102,8,FALSE),main!$K$19:$O$22,MATCH(VLOOKUP($A53,main!$A$3:$H$102,7,FALSE),main!$K$18:$O$18,0),0))),0)</f>
        <v>135</v>
      </c>
      <c r="M53">
        <f>IF((gamma!M53),IF(VLOOKUP(M$1,main!$A$3:$H$102,7,FALSE)=VLOOKUP($A53,main!$A$3:$H$102,8,FALSE),VLOOKUP(M$1,main!$A$3:$H$102,4,FALSE),VLOOKUP(M$1,main!$A$3:$H$102,4,FALSE)+VLOOKUP($A53,main!$A$3:$H$102,4,FALSE)+(VLOOKUP(VLOOKUP(M$1,main!$A$3:$H$102,8,FALSE),main!$K$19:$O$22,MATCH(VLOOKUP($A53,main!$A$3:$H$102,7,FALSE),main!$K$18:$O$18,0),0))),0)</f>
        <v>0</v>
      </c>
      <c r="N53">
        <f>IF((gamma!N53),IF(VLOOKUP(N$1,main!$A$3:$H$102,7,FALSE)=VLOOKUP($A53,main!$A$3:$H$102,8,FALSE),VLOOKUP(N$1,main!$A$3:$H$102,4,FALSE),VLOOKUP(N$1,main!$A$3:$H$102,4,FALSE)+VLOOKUP($A53,main!$A$3:$H$102,4,FALSE)+(VLOOKUP(VLOOKUP(N$1,main!$A$3:$H$102,8,FALSE),main!$K$19:$O$22,MATCH(VLOOKUP($A53,main!$A$3:$H$102,7,FALSE),main!$K$18:$O$18,0),0))),0)</f>
        <v>0</v>
      </c>
      <c r="O53">
        <f>IF((gamma!O53),IF(VLOOKUP(O$1,main!$A$3:$H$102,7,FALSE)=VLOOKUP($A53,main!$A$3:$H$102,8,FALSE),VLOOKUP(O$1,main!$A$3:$H$102,4,FALSE),VLOOKUP(O$1,main!$A$3:$H$102,4,FALSE)+VLOOKUP($A53,main!$A$3:$H$102,4,FALSE)+(VLOOKUP(VLOOKUP(O$1,main!$A$3:$H$102,8,FALSE),main!$K$19:$O$22,MATCH(VLOOKUP($A53,main!$A$3:$H$102,7,FALSE),main!$K$18:$O$18,0),0))),0)</f>
        <v>0</v>
      </c>
      <c r="P53">
        <f>IF((gamma!P53),IF(VLOOKUP(P$1,main!$A$3:$H$102,7,FALSE)=VLOOKUP($A53,main!$A$3:$H$102,8,FALSE),VLOOKUP(P$1,main!$A$3:$H$102,4,FALSE),VLOOKUP(P$1,main!$A$3:$H$102,4,FALSE)+VLOOKUP($A53,main!$A$3:$H$102,4,FALSE)+(VLOOKUP(VLOOKUP(P$1,main!$A$3:$H$102,8,FALSE),main!$K$19:$O$22,MATCH(VLOOKUP($A53,main!$A$3:$H$102,7,FALSE),main!$K$18:$O$18,0),0))),0)</f>
        <v>0</v>
      </c>
      <c r="Q53">
        <f>IF((gamma!Q53),IF(VLOOKUP(Q$1,main!$A$3:$H$102,7,FALSE)=VLOOKUP($A53,main!$A$3:$H$102,8,FALSE),VLOOKUP(Q$1,main!$A$3:$H$102,4,FALSE),VLOOKUP(Q$1,main!$A$3:$H$102,4,FALSE)+VLOOKUP($A53,main!$A$3:$H$102,4,FALSE)+(VLOOKUP(VLOOKUP(Q$1,main!$A$3:$H$102,8,FALSE),main!$K$19:$O$22,MATCH(VLOOKUP($A53,main!$A$3:$H$102,7,FALSE),main!$K$18:$O$18,0),0))),0)</f>
        <v>140</v>
      </c>
      <c r="R53">
        <f>IF((gamma!R53),IF(VLOOKUP(R$1,main!$A$3:$H$102,7,FALSE)=VLOOKUP($A53,main!$A$3:$H$102,8,FALSE),VLOOKUP(R$1,main!$A$3:$H$102,4,FALSE),VLOOKUP(R$1,main!$A$3:$H$102,4,FALSE)+VLOOKUP($A53,main!$A$3:$H$102,4,FALSE)+(VLOOKUP(VLOOKUP(R$1,main!$A$3:$H$102,8,FALSE),main!$K$19:$O$22,MATCH(VLOOKUP($A53,main!$A$3:$H$102,7,FALSE),main!$K$18:$O$18,0),0))),0)</f>
        <v>140</v>
      </c>
      <c r="S53">
        <f>IF((gamma!S53),IF(VLOOKUP(S$1,main!$A$3:$H$102,7,FALSE)=VLOOKUP($A53,main!$A$3:$H$102,8,FALSE),VLOOKUP(S$1,main!$A$3:$H$102,4,FALSE),VLOOKUP(S$1,main!$A$3:$H$102,4,FALSE)+VLOOKUP($A53,main!$A$3:$H$102,4,FALSE)+(VLOOKUP(VLOOKUP(S$1,main!$A$3:$H$102,8,FALSE),main!$K$19:$O$22,MATCH(VLOOKUP($A53,main!$A$3:$H$102,7,FALSE),main!$K$18:$O$18,0),0))),0)</f>
        <v>140</v>
      </c>
      <c r="T53">
        <f>IF((gamma!T53),IF(VLOOKUP(T$1,main!$A$3:$H$102,7,FALSE)=VLOOKUP($A53,main!$A$3:$H$102,8,FALSE),VLOOKUP(T$1,main!$A$3:$H$102,4,FALSE),VLOOKUP(T$1,main!$A$3:$H$102,4,FALSE)+VLOOKUP($A53,main!$A$3:$H$102,4,FALSE)+(VLOOKUP(VLOOKUP(T$1,main!$A$3:$H$102,8,FALSE),main!$K$19:$O$22,MATCH(VLOOKUP($A53,main!$A$3:$H$102,7,FALSE),main!$K$18:$O$18,0),0))),0)</f>
        <v>140</v>
      </c>
      <c r="U53">
        <f>IF((gamma!U53),IF(VLOOKUP(U$1,main!$A$3:$H$102,7,FALSE)=VLOOKUP($A53,main!$A$3:$H$102,8,FALSE),VLOOKUP(U$1,main!$A$3:$H$102,4,FALSE),VLOOKUP(U$1,main!$A$3:$H$102,4,FALSE)+VLOOKUP($A53,main!$A$3:$H$102,4,FALSE)+(VLOOKUP(VLOOKUP(U$1,main!$A$3:$H$102,8,FALSE),main!$K$19:$O$22,MATCH(VLOOKUP($A53,main!$A$3:$H$102,7,FALSE),main!$K$18:$O$18,0),0))),0)</f>
        <v>140</v>
      </c>
      <c r="V53">
        <f>IF((gamma!V53),IF(VLOOKUP(V$1,main!$A$3:$H$102,7,FALSE)=VLOOKUP($A53,main!$A$3:$H$102,8,FALSE),VLOOKUP(V$1,main!$A$3:$H$102,4,FALSE),VLOOKUP(V$1,main!$A$3:$H$102,4,FALSE)+VLOOKUP($A53,main!$A$3:$H$102,4,FALSE)+(VLOOKUP(VLOOKUP(V$1,main!$A$3:$H$102,8,FALSE),main!$K$19:$O$22,MATCH(VLOOKUP($A53,main!$A$3:$H$102,7,FALSE),main!$K$18:$O$18,0),0))),0)</f>
        <v>140</v>
      </c>
      <c r="W53">
        <f>IF((gamma!W53),IF(VLOOKUP(W$1,main!$A$3:$H$102,7,FALSE)=VLOOKUP($A53,main!$A$3:$H$102,8,FALSE),VLOOKUP(W$1,main!$A$3:$H$102,4,FALSE),VLOOKUP(W$1,main!$A$3:$H$102,4,FALSE)+VLOOKUP($A53,main!$A$3:$H$102,4,FALSE)+(VLOOKUP(VLOOKUP(W$1,main!$A$3:$H$102,8,FALSE),main!$K$19:$O$22,MATCH(VLOOKUP($A53,main!$A$3:$H$102,7,FALSE),main!$K$18:$O$18,0),0))),0)</f>
        <v>0</v>
      </c>
      <c r="X53">
        <f>IF((gamma!X53),IF(VLOOKUP(X$1,main!$A$3:$H$102,7,FALSE)=VLOOKUP($A53,main!$A$3:$H$102,8,FALSE),VLOOKUP(X$1,main!$A$3:$H$102,4,FALSE),VLOOKUP(X$1,main!$A$3:$H$102,4,FALSE)+VLOOKUP($A53,main!$A$3:$H$102,4,FALSE)+(VLOOKUP(VLOOKUP(X$1,main!$A$3:$H$102,8,FALSE),main!$K$19:$O$22,MATCH(VLOOKUP($A53,main!$A$3:$H$102,7,FALSE),main!$K$18:$O$18,0),0))),0)</f>
        <v>0</v>
      </c>
      <c r="Y53">
        <f>IF((gamma!Y53),IF(VLOOKUP(Y$1,main!$A$3:$H$102,7,FALSE)=VLOOKUP($A53,main!$A$3:$H$102,8,FALSE),VLOOKUP(Y$1,main!$A$3:$H$102,4,FALSE),VLOOKUP(Y$1,main!$A$3:$H$102,4,FALSE)+VLOOKUP($A53,main!$A$3:$H$102,4,FALSE)+(VLOOKUP(VLOOKUP(Y$1,main!$A$3:$H$102,8,FALSE),main!$K$19:$O$22,MATCH(VLOOKUP($A53,main!$A$3:$H$102,7,FALSE),main!$K$18:$O$18,0),0))),0)</f>
        <v>135</v>
      </c>
      <c r="Z53">
        <f>IF((gamma!Z53),IF(VLOOKUP(Z$1,main!$A$3:$H$102,7,FALSE)=VLOOKUP($A53,main!$A$3:$H$102,8,FALSE),VLOOKUP(Z$1,main!$A$3:$H$102,4,FALSE),VLOOKUP(Z$1,main!$A$3:$H$102,4,FALSE)+VLOOKUP($A53,main!$A$3:$H$102,4,FALSE)+(VLOOKUP(VLOOKUP(Z$1,main!$A$3:$H$102,8,FALSE),main!$K$19:$O$22,MATCH(VLOOKUP($A53,main!$A$3:$H$102,7,FALSE),main!$K$18:$O$18,0),0))),0)</f>
        <v>140</v>
      </c>
      <c r="AA53">
        <f>IF((gamma!AA53),IF(VLOOKUP(AA$1,main!$A$3:$H$102,7,FALSE)=VLOOKUP($A53,main!$A$3:$H$102,8,FALSE),VLOOKUP(AA$1,main!$A$3:$H$102,4,FALSE),VLOOKUP(AA$1,main!$A$3:$H$102,4,FALSE)+VLOOKUP($A53,main!$A$3:$H$102,4,FALSE)+(VLOOKUP(VLOOKUP(AA$1,main!$A$3:$H$102,8,FALSE),main!$K$19:$O$22,MATCH(VLOOKUP($A53,main!$A$3:$H$102,7,FALSE),main!$K$18:$O$18,0),0))),0)</f>
        <v>140</v>
      </c>
      <c r="AB53">
        <f>IF((gamma!AB53),IF(VLOOKUP(AB$1,main!$A$3:$H$102,7,FALSE)=VLOOKUP($A53,main!$A$3:$H$102,8,FALSE),VLOOKUP(AB$1,main!$A$3:$H$102,4,FALSE),VLOOKUP(AB$1,main!$A$3:$H$102,4,FALSE)+VLOOKUP($A53,main!$A$3:$H$102,4,FALSE)+(VLOOKUP(VLOOKUP(AB$1,main!$A$3:$H$102,8,FALSE),main!$K$19:$O$22,MATCH(VLOOKUP($A53,main!$A$3:$H$102,7,FALSE),main!$K$18:$O$18,0),0))),0)</f>
        <v>0</v>
      </c>
      <c r="AC53">
        <f>IF((gamma!AC53),IF(VLOOKUP(AC$1,main!$A$3:$H$102,7,FALSE)=VLOOKUP($A53,main!$A$3:$H$102,8,FALSE),VLOOKUP(AC$1,main!$A$3:$H$102,4,FALSE),VLOOKUP(AC$1,main!$A$3:$H$102,4,FALSE)+VLOOKUP($A53,main!$A$3:$H$102,4,FALSE)+(VLOOKUP(VLOOKUP(AC$1,main!$A$3:$H$102,8,FALSE),main!$K$19:$O$22,MATCH(VLOOKUP($A53,main!$A$3:$H$102,7,FALSE),main!$K$18:$O$18,0),0))),0)</f>
        <v>0</v>
      </c>
      <c r="AD53">
        <f>IF((gamma!AD53),IF(VLOOKUP(AD$1,main!$A$3:$H$102,7,FALSE)=VLOOKUP($A53,main!$A$3:$H$102,8,FALSE),VLOOKUP(AD$1,main!$A$3:$H$102,4,FALSE),VLOOKUP(AD$1,main!$A$3:$H$102,4,FALSE)+VLOOKUP($A53,main!$A$3:$H$102,4,FALSE)+(VLOOKUP(VLOOKUP(AD$1,main!$A$3:$H$102,8,FALSE),main!$K$19:$O$22,MATCH(VLOOKUP($A53,main!$A$3:$H$102,7,FALSE),main!$K$18:$O$18,0),0))),0)</f>
        <v>135</v>
      </c>
      <c r="AE53">
        <f>IF((gamma!AE53),IF(VLOOKUP(AE$1,main!$A$3:$H$102,7,FALSE)=VLOOKUP($A53,main!$A$3:$H$102,8,FALSE),VLOOKUP(AE$1,main!$A$3:$H$102,4,FALSE),VLOOKUP(AE$1,main!$A$3:$H$102,4,FALSE)+VLOOKUP($A53,main!$A$3:$H$102,4,FALSE)+(VLOOKUP(VLOOKUP(AE$1,main!$A$3:$H$102,8,FALSE),main!$K$19:$O$22,MATCH(VLOOKUP($A53,main!$A$3:$H$102,7,FALSE),main!$K$18:$O$18,0),0))),0)</f>
        <v>140</v>
      </c>
      <c r="AF53">
        <f>IF((gamma!AF53),IF(VLOOKUP(AF$1,main!$A$3:$H$102,7,FALSE)=VLOOKUP($A53,main!$A$3:$H$102,8,FALSE),VLOOKUP(AF$1,main!$A$3:$H$102,4,FALSE),VLOOKUP(AF$1,main!$A$3:$H$102,4,FALSE)+VLOOKUP($A53,main!$A$3:$H$102,4,FALSE)+(VLOOKUP(VLOOKUP(AF$1,main!$A$3:$H$102,8,FALSE),main!$K$19:$O$22,MATCH(VLOOKUP($A53,main!$A$3:$H$102,7,FALSE),main!$K$18:$O$18,0),0))),0)</f>
        <v>100</v>
      </c>
      <c r="AG53">
        <f>IF((gamma!AG53),IF(VLOOKUP(AG$1,main!$A$3:$H$102,7,FALSE)=VLOOKUP($A53,main!$A$3:$H$102,8,FALSE),VLOOKUP(AG$1,main!$A$3:$H$102,4,FALSE),VLOOKUP(AG$1,main!$A$3:$H$102,4,FALSE)+VLOOKUP($A53,main!$A$3:$H$102,4,FALSE)+(VLOOKUP(VLOOKUP(AG$1,main!$A$3:$H$102,8,FALSE),main!$K$19:$O$22,MATCH(VLOOKUP($A53,main!$A$3:$H$102,7,FALSE),main!$K$18:$O$18,0),0))),0)</f>
        <v>0</v>
      </c>
      <c r="AH53">
        <f>IF((gamma!AH53),IF(VLOOKUP(AH$1,main!$A$3:$H$102,7,FALSE)=VLOOKUP($A53,main!$A$3:$H$102,8,FALSE),VLOOKUP(AH$1,main!$A$3:$H$102,4,FALSE),VLOOKUP(AH$1,main!$A$3:$H$102,4,FALSE)+VLOOKUP($A53,main!$A$3:$H$102,4,FALSE)+(VLOOKUP(VLOOKUP(AH$1,main!$A$3:$H$102,8,FALSE),main!$K$19:$O$22,MATCH(VLOOKUP($A53,main!$A$3:$H$102,7,FALSE),main!$K$18:$O$18,0),0))),0)</f>
        <v>0</v>
      </c>
      <c r="AI53">
        <f>IF((gamma!AI53),IF(VLOOKUP(AI$1,main!$A$3:$H$102,7,FALSE)=VLOOKUP($A53,main!$A$3:$H$102,8,FALSE),VLOOKUP(AI$1,main!$A$3:$H$102,4,FALSE),VLOOKUP(AI$1,main!$A$3:$H$102,4,FALSE)+VLOOKUP($A53,main!$A$3:$H$102,4,FALSE)+(VLOOKUP(VLOOKUP(AI$1,main!$A$3:$H$102,8,FALSE),main!$K$19:$O$22,MATCH(VLOOKUP($A53,main!$A$3:$H$102,7,FALSE),main!$K$18:$O$18,0),0))),0)</f>
        <v>0</v>
      </c>
      <c r="AJ53">
        <f>IF((gamma!AJ53),IF(VLOOKUP(AJ$1,main!$A$3:$H$102,7,FALSE)=VLOOKUP($A53,main!$A$3:$H$102,8,FALSE),VLOOKUP(AJ$1,main!$A$3:$H$102,4,FALSE),VLOOKUP(AJ$1,main!$A$3:$H$102,4,FALSE)+VLOOKUP($A53,main!$A$3:$H$102,4,FALSE)+(VLOOKUP(VLOOKUP(AJ$1,main!$A$3:$H$102,8,FALSE),main!$K$19:$O$22,MATCH(VLOOKUP($A53,main!$A$3:$H$102,7,FALSE),main!$K$18:$O$18,0),0))),0)</f>
        <v>305</v>
      </c>
      <c r="AK53">
        <f>IF((gamma!AK53),IF(VLOOKUP(AK$1,main!$A$3:$H$102,7,FALSE)=VLOOKUP($A53,main!$A$3:$H$102,8,FALSE),VLOOKUP(AK$1,main!$A$3:$H$102,4,FALSE),VLOOKUP(AK$1,main!$A$3:$H$102,4,FALSE)+VLOOKUP($A53,main!$A$3:$H$102,4,FALSE)+(VLOOKUP(VLOOKUP(AK$1,main!$A$3:$H$102,8,FALSE),main!$K$19:$O$22,MATCH(VLOOKUP($A53,main!$A$3:$H$102,7,FALSE),main!$K$18:$O$18,0),0))),0)</f>
        <v>305</v>
      </c>
      <c r="AL53">
        <f>IF((gamma!AL53),IF(VLOOKUP(AL$1,main!$A$3:$H$102,7,FALSE)=VLOOKUP($A53,main!$A$3:$H$102,8,FALSE),VLOOKUP(AL$1,main!$A$3:$H$102,4,FALSE),VLOOKUP(AL$1,main!$A$3:$H$102,4,FALSE)+VLOOKUP($A53,main!$A$3:$H$102,4,FALSE)+(VLOOKUP(VLOOKUP(AL$1,main!$A$3:$H$102,8,FALSE),main!$K$19:$O$22,MATCH(VLOOKUP($A53,main!$A$3:$H$102,7,FALSE),main!$K$18:$O$18,0),0))),0)</f>
        <v>305</v>
      </c>
      <c r="AM53">
        <f>IF((gamma!AM53),IF(VLOOKUP(AM$1,main!$A$3:$H$102,7,FALSE)=VLOOKUP($A53,main!$A$3:$H$102,8,FALSE),VLOOKUP(AM$1,main!$A$3:$H$102,4,FALSE),VLOOKUP(AM$1,main!$A$3:$H$102,4,FALSE)+VLOOKUP($A53,main!$A$3:$H$102,4,FALSE)+(VLOOKUP(VLOOKUP(AM$1,main!$A$3:$H$102,8,FALSE),main!$K$19:$O$22,MATCH(VLOOKUP($A53,main!$A$3:$H$102,7,FALSE),main!$K$18:$O$18,0),0))),0)</f>
        <v>305</v>
      </c>
      <c r="AN53">
        <f>IF((gamma!AN53),IF(VLOOKUP(AN$1,main!$A$3:$H$102,7,FALSE)=VLOOKUP($A53,main!$A$3:$H$102,8,FALSE),VLOOKUP(AN$1,main!$A$3:$H$102,4,FALSE),VLOOKUP(AN$1,main!$A$3:$H$102,4,FALSE)+VLOOKUP($A53,main!$A$3:$H$102,4,FALSE)+(VLOOKUP(VLOOKUP(AN$1,main!$A$3:$H$102,8,FALSE),main!$K$19:$O$22,MATCH(VLOOKUP($A53,main!$A$3:$H$102,7,FALSE),main!$K$18:$O$18,0),0))),0)</f>
        <v>305</v>
      </c>
      <c r="AO53">
        <f>IF((gamma!AO53),IF(VLOOKUP(AO$1,main!$A$3:$H$102,7,FALSE)=VLOOKUP($A53,main!$A$3:$H$102,8,FALSE),VLOOKUP(AO$1,main!$A$3:$H$102,4,FALSE),VLOOKUP(AO$1,main!$A$3:$H$102,4,FALSE)+VLOOKUP($A53,main!$A$3:$H$102,4,FALSE)+(VLOOKUP(VLOOKUP(AO$1,main!$A$3:$H$102,8,FALSE),main!$K$19:$O$22,MATCH(VLOOKUP($A53,main!$A$3:$H$102,7,FALSE),main!$K$18:$O$18,0),0))),0)</f>
        <v>0</v>
      </c>
      <c r="AP53">
        <f>IF((gamma!AP53),IF(VLOOKUP(AP$1,main!$A$3:$H$102,7,FALSE)=VLOOKUP($A53,main!$A$3:$H$102,8,FALSE),VLOOKUP(AP$1,main!$A$3:$H$102,4,FALSE),VLOOKUP(AP$1,main!$A$3:$H$102,4,FALSE)+VLOOKUP($A53,main!$A$3:$H$102,4,FALSE)+(VLOOKUP(VLOOKUP(AP$1,main!$A$3:$H$102,8,FALSE),main!$K$19:$O$22,MATCH(VLOOKUP($A53,main!$A$3:$H$102,7,FALSE),main!$K$18:$O$18,0),0))),0)</f>
        <v>245</v>
      </c>
      <c r="AQ53">
        <f>IF((gamma!AQ53),IF(VLOOKUP(AQ$1,main!$A$3:$H$102,7,FALSE)=VLOOKUP($A53,main!$A$3:$H$102,8,FALSE),VLOOKUP(AQ$1,main!$A$3:$H$102,4,FALSE),VLOOKUP(AQ$1,main!$A$3:$H$102,4,FALSE)+VLOOKUP($A53,main!$A$3:$H$102,4,FALSE)+(VLOOKUP(VLOOKUP(AQ$1,main!$A$3:$H$102,8,FALSE),main!$K$19:$O$22,MATCH(VLOOKUP($A53,main!$A$3:$H$102,7,FALSE),main!$K$18:$O$18,0),0))),0)</f>
        <v>0</v>
      </c>
      <c r="AR53">
        <f>IF((gamma!AR53),IF(VLOOKUP(AR$1,main!$A$3:$H$102,7,FALSE)=VLOOKUP($A53,main!$A$3:$H$102,8,FALSE),VLOOKUP(AR$1,main!$A$3:$H$102,4,FALSE),VLOOKUP(AR$1,main!$A$3:$H$102,4,FALSE)+VLOOKUP($A53,main!$A$3:$H$102,4,FALSE)+(VLOOKUP(VLOOKUP(AR$1,main!$A$3:$H$102,8,FALSE),main!$K$19:$O$22,MATCH(VLOOKUP($A53,main!$A$3:$H$102,7,FALSE),main!$K$18:$O$18,0),0))),0)</f>
        <v>0</v>
      </c>
      <c r="AS53">
        <f>IF((gamma!AS53),IF(VLOOKUP(AS$1,main!$A$3:$H$102,7,FALSE)=VLOOKUP($A53,main!$A$3:$H$102,8,FALSE),VLOOKUP(AS$1,main!$A$3:$H$102,4,FALSE),VLOOKUP(AS$1,main!$A$3:$H$102,4,FALSE)+VLOOKUP($A53,main!$A$3:$H$102,4,FALSE)+(VLOOKUP(VLOOKUP(AS$1,main!$A$3:$H$102,8,FALSE),main!$K$19:$O$22,MATCH(VLOOKUP($A53,main!$A$3:$H$102,7,FALSE),main!$K$18:$O$18,0),0))),0)</f>
        <v>260</v>
      </c>
      <c r="AT53">
        <f>IF((gamma!AT53),IF(VLOOKUP(AT$1,main!$A$3:$H$102,7,FALSE)=VLOOKUP($A53,main!$A$3:$H$102,8,FALSE),VLOOKUP(AT$1,main!$A$3:$H$102,4,FALSE),VLOOKUP(AT$1,main!$A$3:$H$102,4,FALSE)+VLOOKUP($A53,main!$A$3:$H$102,4,FALSE)+(VLOOKUP(VLOOKUP(AT$1,main!$A$3:$H$102,8,FALSE),main!$K$19:$O$22,MATCH(VLOOKUP($A53,main!$A$3:$H$102,7,FALSE),main!$K$18:$O$18,0),0))),0)</f>
        <v>270</v>
      </c>
      <c r="AU53">
        <f>IF((gamma!AU53),IF(VLOOKUP(AU$1,main!$A$3:$H$102,7,FALSE)=VLOOKUP($A53,main!$A$3:$H$102,8,FALSE),VLOOKUP(AU$1,main!$A$3:$H$102,4,FALSE),VLOOKUP(AU$1,main!$A$3:$H$102,4,FALSE)+VLOOKUP($A53,main!$A$3:$H$102,4,FALSE)+(VLOOKUP(VLOOKUP(AU$1,main!$A$3:$H$102,8,FALSE),main!$K$19:$O$22,MATCH(VLOOKUP($A53,main!$A$3:$H$102,7,FALSE),main!$K$18:$O$18,0),0))),0)</f>
        <v>0</v>
      </c>
      <c r="AV53">
        <f>IF((gamma!AV53),IF(VLOOKUP(AV$1,main!$A$3:$H$102,7,FALSE)=VLOOKUP($A53,main!$A$3:$H$102,8,FALSE),VLOOKUP(AV$1,main!$A$3:$H$102,4,FALSE),VLOOKUP(AV$1,main!$A$3:$H$102,4,FALSE)+VLOOKUP($A53,main!$A$3:$H$102,4,FALSE)+(VLOOKUP(VLOOKUP(AV$1,main!$A$3:$H$102,8,FALSE),main!$K$19:$O$22,MATCH(VLOOKUP($A53,main!$A$3:$H$102,7,FALSE),main!$K$18:$O$18,0),0))),0)</f>
        <v>0</v>
      </c>
      <c r="AW53">
        <f>IF((gamma!AW53),IF(VLOOKUP(AW$1,main!$A$3:$H$102,7,FALSE)=VLOOKUP($A53,main!$A$3:$H$102,8,FALSE),VLOOKUP(AW$1,main!$A$3:$H$102,4,FALSE),VLOOKUP(AW$1,main!$A$3:$H$102,4,FALSE)+VLOOKUP($A53,main!$A$3:$H$102,4,FALSE)+(VLOOKUP(VLOOKUP(AW$1,main!$A$3:$H$102,8,FALSE),main!$K$19:$O$22,MATCH(VLOOKUP($A53,main!$A$3:$H$102,7,FALSE),main!$K$18:$O$18,0),0))),0)</f>
        <v>260</v>
      </c>
      <c r="AX53">
        <f>IF((gamma!AX53),IF(VLOOKUP(AX$1,main!$A$3:$H$102,7,FALSE)=VLOOKUP($A53,main!$A$3:$H$102,8,FALSE),VLOOKUP(AX$1,main!$A$3:$H$102,4,FALSE),VLOOKUP(AX$1,main!$A$3:$H$102,4,FALSE)+VLOOKUP($A53,main!$A$3:$H$102,4,FALSE)+(VLOOKUP(VLOOKUP(AX$1,main!$A$3:$H$102,8,FALSE),main!$K$19:$O$22,MATCH(VLOOKUP($A53,main!$A$3:$H$102,7,FALSE),main!$K$18:$O$18,0),0))),0)</f>
        <v>0</v>
      </c>
      <c r="AY53">
        <f>IF((gamma!AY53),IF(VLOOKUP(AY$1,main!$A$3:$H$102,7,FALSE)=VLOOKUP($A53,main!$A$3:$H$102,8,FALSE),VLOOKUP(AY$1,main!$A$3:$H$102,4,FALSE),VLOOKUP(AY$1,main!$A$3:$H$102,4,FALSE)+VLOOKUP($A53,main!$A$3:$H$102,4,FALSE)+(VLOOKUP(VLOOKUP(AY$1,main!$A$3:$H$102,8,FALSE),main!$K$19:$O$22,MATCH(VLOOKUP($A53,main!$A$3:$H$102,7,FALSE),main!$K$18:$O$18,0),0))),0)</f>
        <v>0</v>
      </c>
      <c r="AZ53">
        <f>IF((gamma!AZ53),IF(VLOOKUP(AZ$1,main!$A$3:$H$102,7,FALSE)=VLOOKUP($A53,main!$A$3:$H$102,8,FALSE),VLOOKUP(AZ$1,main!$A$3:$H$102,4,FALSE),VLOOKUP(AZ$1,main!$A$3:$H$102,4,FALSE)+VLOOKUP($A53,main!$A$3:$H$102,4,FALSE)+(VLOOKUP(VLOOKUP(AZ$1,main!$A$3:$H$102,8,FALSE),main!$K$19:$O$22,MATCH(VLOOKUP($A53,main!$A$3:$H$102,7,FALSE),main!$K$18:$O$18,0),0))),0)</f>
        <v>0</v>
      </c>
      <c r="BA53">
        <f>IF((gamma!BA53),IF(VLOOKUP(BA$1,main!$A$3:$H$102,7,FALSE)=VLOOKUP($A53,main!$A$3:$H$102,8,FALSE),VLOOKUP(BA$1,main!$A$3:$H$102,4,FALSE),VLOOKUP(BA$1,main!$A$3:$H$102,4,FALSE)+VLOOKUP($A53,main!$A$3:$H$102,4,FALSE)+(VLOOKUP(VLOOKUP(BA$1,main!$A$3:$H$102,8,FALSE),main!$K$19:$O$22,MATCH(VLOOKUP($A53,main!$A$3:$H$102,7,FALSE),main!$K$18:$O$18,0),0))),0)</f>
        <v>0</v>
      </c>
      <c r="BB53">
        <f>IF((gamma!BB53),IF(VLOOKUP(BB$1,main!$A$3:$H$102,7,FALSE)=VLOOKUP($A53,main!$A$3:$H$102,8,FALSE),VLOOKUP(BB$1,main!$A$3:$H$102,4,FALSE),VLOOKUP(BB$1,main!$A$3:$H$102,4,FALSE)+VLOOKUP($A53,main!$A$3:$H$102,4,FALSE)+(VLOOKUP(VLOOKUP(BB$1,main!$A$3:$H$102,8,FALSE),main!$K$19:$O$22,MATCH(VLOOKUP($A53,main!$A$3:$H$102,7,FALSE),main!$K$18:$O$18,0),0))),0)</f>
        <v>0</v>
      </c>
      <c r="BC53">
        <f>IF((gamma!BC53),IF(VLOOKUP(BC$1,main!$A$3:$H$102,7,FALSE)=VLOOKUP($A53,main!$A$3:$H$102,8,FALSE),VLOOKUP(BC$1,main!$A$3:$H$102,4,FALSE),VLOOKUP(BC$1,main!$A$3:$H$102,4,FALSE)+VLOOKUP($A53,main!$A$3:$H$102,4,FALSE)+(VLOOKUP(VLOOKUP(BC$1,main!$A$3:$H$102,8,FALSE),main!$K$19:$O$22,MATCH(VLOOKUP($A53,main!$A$3:$H$102,7,FALSE),main!$K$18:$O$18,0),0))),0)</f>
        <v>310</v>
      </c>
      <c r="BD53">
        <f>IF((gamma!BD53),IF(VLOOKUP(BD$1,main!$A$3:$H$102,7,FALSE)=VLOOKUP($A53,main!$A$3:$H$102,8,FALSE),VLOOKUP(BD$1,main!$A$3:$H$102,4,FALSE),VLOOKUP(BD$1,main!$A$3:$H$102,4,FALSE)+VLOOKUP($A53,main!$A$3:$H$102,4,FALSE)+(VLOOKUP(VLOOKUP(BD$1,main!$A$3:$H$102,8,FALSE),main!$K$19:$O$22,MATCH(VLOOKUP($A53,main!$A$3:$H$102,7,FALSE),main!$K$18:$O$18,0),0))),0)</f>
        <v>310</v>
      </c>
      <c r="BE53">
        <f>IF((gamma!BE53),IF(VLOOKUP(BE$1,main!$A$3:$H$102,7,FALSE)=VLOOKUP($A53,main!$A$3:$H$102,8,FALSE),VLOOKUP(BE$1,main!$A$3:$H$102,4,FALSE),VLOOKUP(BE$1,main!$A$3:$H$102,4,FALSE)+VLOOKUP($A53,main!$A$3:$H$102,4,FALSE)+(VLOOKUP(VLOOKUP(BE$1,main!$A$3:$H$102,8,FALSE),main!$K$19:$O$22,MATCH(VLOOKUP($A53,main!$A$3:$H$102,7,FALSE),main!$K$18:$O$18,0),0))),0)</f>
        <v>310</v>
      </c>
      <c r="BF53">
        <f>IF((gamma!BF53),IF(VLOOKUP(BF$1,main!$A$3:$H$102,7,FALSE)=VLOOKUP($A53,main!$A$3:$H$102,8,FALSE),VLOOKUP(BF$1,main!$A$3:$H$102,4,FALSE),VLOOKUP(BF$1,main!$A$3:$H$102,4,FALSE)+VLOOKUP($A53,main!$A$3:$H$102,4,FALSE)+(VLOOKUP(VLOOKUP(BF$1,main!$A$3:$H$102,8,FALSE),main!$K$19:$O$22,MATCH(VLOOKUP($A53,main!$A$3:$H$102,7,FALSE),main!$K$18:$O$18,0),0))),0)</f>
        <v>0</v>
      </c>
      <c r="BG53">
        <f>IF((gamma!BG53),IF(VLOOKUP(BG$1,main!$A$3:$H$102,7,FALSE)=VLOOKUP($A53,main!$A$3:$H$102,8,FALSE),VLOOKUP(BG$1,main!$A$3:$H$102,4,FALSE),VLOOKUP(BG$1,main!$A$3:$H$102,4,FALSE)+VLOOKUP($A53,main!$A$3:$H$102,4,FALSE)+(VLOOKUP(VLOOKUP(BG$1,main!$A$3:$H$102,8,FALSE),main!$K$19:$O$22,MATCH(VLOOKUP($A53,main!$A$3:$H$102,7,FALSE),main!$K$18:$O$18,0),0))),0)</f>
        <v>0</v>
      </c>
      <c r="BH53">
        <f>IF((gamma!BH53),IF(VLOOKUP(BH$1,main!$A$3:$H$102,7,FALSE)=VLOOKUP($A53,main!$A$3:$H$102,8,FALSE),VLOOKUP(BH$1,main!$A$3:$H$102,4,FALSE),VLOOKUP(BH$1,main!$A$3:$H$102,4,FALSE)+VLOOKUP($A53,main!$A$3:$H$102,4,FALSE)+(VLOOKUP(VLOOKUP(BH$1,main!$A$3:$H$102,8,FALSE),main!$K$19:$O$22,MATCH(VLOOKUP($A53,main!$A$3:$H$102,7,FALSE),main!$K$18:$O$18,0),0))),0)</f>
        <v>295</v>
      </c>
      <c r="BI53">
        <f>IF((gamma!BI53),IF(VLOOKUP(BI$1,main!$A$3:$H$102,7,FALSE)=VLOOKUP($A53,main!$A$3:$H$102,8,FALSE),VLOOKUP(BI$1,main!$A$3:$H$102,4,FALSE),VLOOKUP(BI$1,main!$A$3:$H$102,4,FALSE)+VLOOKUP($A53,main!$A$3:$H$102,4,FALSE)+(VLOOKUP(VLOOKUP(BI$1,main!$A$3:$H$102,8,FALSE),main!$K$19:$O$22,MATCH(VLOOKUP($A53,main!$A$3:$H$102,7,FALSE),main!$K$18:$O$18,0),0))),0)</f>
        <v>230</v>
      </c>
      <c r="BJ53">
        <f>IF((gamma!BJ53),IF(VLOOKUP(BJ$1,main!$A$3:$H$102,7,FALSE)=VLOOKUP($A53,main!$A$3:$H$102,8,FALSE),VLOOKUP(BJ$1,main!$A$3:$H$102,4,FALSE),VLOOKUP(BJ$1,main!$A$3:$H$102,4,FALSE)+VLOOKUP($A53,main!$A$3:$H$102,4,FALSE)+(VLOOKUP(VLOOKUP(BJ$1,main!$A$3:$H$102,8,FALSE),main!$K$19:$O$22,MATCH(VLOOKUP($A53,main!$A$3:$H$102,7,FALSE),main!$K$18:$O$18,0),0))),0)</f>
        <v>260</v>
      </c>
      <c r="BK53">
        <f>IF((gamma!BK53),IF(VLOOKUP(BK$1,main!$A$3:$H$102,7,FALSE)=VLOOKUP($A53,main!$A$3:$H$102,8,FALSE),VLOOKUP(BK$1,main!$A$3:$H$102,4,FALSE),VLOOKUP(BK$1,main!$A$3:$H$102,4,FALSE)+VLOOKUP($A53,main!$A$3:$H$102,4,FALSE)+(VLOOKUP(VLOOKUP(BK$1,main!$A$3:$H$102,8,FALSE),main!$K$19:$O$22,MATCH(VLOOKUP($A53,main!$A$3:$H$102,7,FALSE),main!$K$18:$O$18,0),0))),0)</f>
        <v>0</v>
      </c>
      <c r="BL53">
        <f>IF((gamma!BL53),IF(VLOOKUP(BL$1,main!$A$3:$H$102,7,FALSE)=VLOOKUP($A53,main!$A$3:$H$102,8,FALSE),VLOOKUP(BL$1,main!$A$3:$H$102,4,FALSE),VLOOKUP(BL$1,main!$A$3:$H$102,4,FALSE)+VLOOKUP($A53,main!$A$3:$H$102,4,FALSE)+(VLOOKUP(VLOOKUP(BL$1,main!$A$3:$H$102,8,FALSE),main!$K$19:$O$22,MATCH(VLOOKUP($A53,main!$A$3:$H$102,7,FALSE),main!$K$18:$O$18,0),0))),0)</f>
        <v>0</v>
      </c>
      <c r="BM53">
        <f>IF((gamma!BM53),IF(VLOOKUP(BM$1,main!$A$3:$H$102,7,FALSE)=VLOOKUP($A53,main!$A$3:$H$102,8,FALSE),VLOOKUP(BM$1,main!$A$3:$H$102,4,FALSE),VLOOKUP(BM$1,main!$A$3:$H$102,4,FALSE)+VLOOKUP($A53,main!$A$3:$H$102,4,FALSE)+(VLOOKUP(VLOOKUP(BM$1,main!$A$3:$H$102,8,FALSE),main!$K$19:$O$22,MATCH(VLOOKUP($A53,main!$A$3:$H$102,7,FALSE),main!$K$18:$O$18,0),0))),0)</f>
        <v>0</v>
      </c>
      <c r="BN53">
        <f>IF((gamma!BN53),IF(VLOOKUP(BN$1,main!$A$3:$H$102,7,FALSE)=VLOOKUP($A53,main!$A$3:$H$102,8,FALSE),VLOOKUP(BN$1,main!$A$3:$H$102,4,FALSE),VLOOKUP(BN$1,main!$A$3:$H$102,4,FALSE)+VLOOKUP($A53,main!$A$3:$H$102,4,FALSE)+(VLOOKUP(VLOOKUP(BN$1,main!$A$3:$H$102,8,FALSE),main!$K$19:$O$22,MATCH(VLOOKUP($A53,main!$A$3:$H$102,7,FALSE),main!$K$18:$O$18,0),0))),0)</f>
        <v>288</v>
      </c>
      <c r="BO53">
        <f>IF((gamma!BO53),IF(VLOOKUP(BO$1,main!$A$3:$H$102,7,FALSE)=VLOOKUP($A53,main!$A$3:$H$102,8,FALSE),VLOOKUP(BO$1,main!$A$3:$H$102,4,FALSE),VLOOKUP(BO$1,main!$A$3:$H$102,4,FALSE)+VLOOKUP($A53,main!$A$3:$H$102,4,FALSE)+(VLOOKUP(VLOOKUP(BO$1,main!$A$3:$H$102,8,FALSE),main!$K$19:$O$22,MATCH(VLOOKUP($A53,main!$A$3:$H$102,7,FALSE),main!$K$18:$O$18,0),0))),0)</f>
        <v>0</v>
      </c>
      <c r="BP53">
        <f>IF((gamma!BP53),IF(VLOOKUP(BP$1,main!$A$3:$H$102,7,FALSE)=VLOOKUP($A53,main!$A$3:$H$102,8,FALSE),VLOOKUP(BP$1,main!$A$3:$H$102,4,FALSE),VLOOKUP(BP$1,main!$A$3:$H$102,4,FALSE)+VLOOKUP($A53,main!$A$3:$H$102,4,FALSE)+(VLOOKUP(VLOOKUP(BP$1,main!$A$3:$H$102,8,FALSE),main!$K$19:$O$22,MATCH(VLOOKUP($A53,main!$A$3:$H$102,7,FALSE),main!$K$18:$O$18,0),0))),0)</f>
        <v>0</v>
      </c>
      <c r="BQ53">
        <f>IF((gamma!BQ53),IF(VLOOKUP(BQ$1,main!$A$3:$H$102,7,FALSE)=VLOOKUP($A53,main!$A$3:$H$102,8,FALSE),VLOOKUP(BQ$1,main!$A$3:$H$102,4,FALSE),VLOOKUP(BQ$1,main!$A$3:$H$102,4,FALSE)+VLOOKUP($A53,main!$A$3:$H$102,4,FALSE)+(VLOOKUP(VLOOKUP(BQ$1,main!$A$3:$H$102,8,FALSE),main!$K$19:$O$22,MATCH(VLOOKUP($A53,main!$A$3:$H$102,7,FALSE),main!$K$18:$O$18,0),0))),0)</f>
        <v>308</v>
      </c>
      <c r="BR53">
        <f>IF((gamma!BR53),IF(VLOOKUP(BR$1,main!$A$3:$H$102,7,FALSE)=VLOOKUP($A53,main!$A$3:$H$102,8,FALSE),VLOOKUP(BR$1,main!$A$3:$H$102,4,FALSE),VLOOKUP(BR$1,main!$A$3:$H$102,4,FALSE)+VLOOKUP($A53,main!$A$3:$H$102,4,FALSE)+(VLOOKUP(VLOOKUP(BR$1,main!$A$3:$H$102,8,FALSE),main!$K$19:$O$22,MATCH(VLOOKUP($A53,main!$A$3:$H$102,7,FALSE),main!$K$18:$O$18,0),0))),0)</f>
        <v>268</v>
      </c>
      <c r="BS53">
        <f>IF((gamma!BS53),IF(VLOOKUP(BS$1,main!$A$3:$H$102,7,FALSE)=VLOOKUP($A53,main!$A$3:$H$102,8,FALSE),VLOOKUP(BS$1,main!$A$3:$H$102,4,FALSE),VLOOKUP(BS$1,main!$A$3:$H$102,4,FALSE)+VLOOKUP($A53,main!$A$3:$H$102,4,FALSE)+(VLOOKUP(VLOOKUP(BS$1,main!$A$3:$H$102,8,FALSE),main!$K$19:$O$22,MATCH(VLOOKUP($A53,main!$A$3:$H$102,7,FALSE),main!$K$18:$O$18,0),0))),0)</f>
        <v>269</v>
      </c>
      <c r="BT53">
        <f>IF((gamma!BT53),IF(VLOOKUP(BT$1,main!$A$3:$H$102,7,FALSE)=VLOOKUP($A53,main!$A$3:$H$102,8,FALSE),VLOOKUP(BT$1,main!$A$3:$H$102,4,FALSE),VLOOKUP(BT$1,main!$A$3:$H$102,4,FALSE)+VLOOKUP($A53,main!$A$3:$H$102,4,FALSE)+(VLOOKUP(VLOOKUP(BT$1,main!$A$3:$H$102,8,FALSE),main!$K$19:$O$22,MATCH(VLOOKUP($A53,main!$A$3:$H$102,7,FALSE),main!$K$18:$O$18,0),0))),0)</f>
        <v>0</v>
      </c>
      <c r="BU53">
        <f>IF((gamma!BU53),IF(VLOOKUP(BU$1,main!$A$3:$H$102,7,FALSE)=VLOOKUP($A53,main!$A$3:$H$102,8,FALSE),VLOOKUP(BU$1,main!$A$3:$H$102,4,FALSE),VLOOKUP(BU$1,main!$A$3:$H$102,4,FALSE)+VLOOKUP($A53,main!$A$3:$H$102,4,FALSE)+(VLOOKUP(VLOOKUP(BU$1,main!$A$3:$H$102,8,FALSE),main!$K$19:$O$22,MATCH(VLOOKUP($A53,main!$A$3:$H$102,7,FALSE),main!$K$18:$O$18,0),0))),0)</f>
        <v>0</v>
      </c>
      <c r="BV53">
        <f>IF((gamma!BV53),IF(VLOOKUP(BV$1,main!$A$3:$H$102,7,FALSE)=VLOOKUP($A53,main!$A$3:$H$102,8,FALSE),VLOOKUP(BV$1,main!$A$3:$H$102,4,FALSE),VLOOKUP(BV$1,main!$A$3:$H$102,4,FALSE)+VLOOKUP($A53,main!$A$3:$H$102,4,FALSE)+(VLOOKUP(VLOOKUP(BV$1,main!$A$3:$H$102,8,FALSE),main!$K$19:$O$22,MATCH(VLOOKUP($A53,main!$A$3:$H$102,7,FALSE),main!$K$18:$O$18,0),0))),0)</f>
        <v>0</v>
      </c>
      <c r="BW53">
        <f>IF((gamma!BW53),IF(VLOOKUP(BW$1,main!$A$3:$H$102,7,FALSE)=VLOOKUP($A53,main!$A$3:$H$102,8,FALSE),VLOOKUP(BW$1,main!$A$3:$H$102,4,FALSE),VLOOKUP(BW$1,main!$A$3:$H$102,4,FALSE)+VLOOKUP($A53,main!$A$3:$H$102,4,FALSE)+(VLOOKUP(VLOOKUP(BW$1,main!$A$3:$H$102,8,FALSE),main!$K$19:$O$22,MATCH(VLOOKUP($A53,main!$A$3:$H$102,7,FALSE),main!$K$18:$O$18,0),0))),0)</f>
        <v>0</v>
      </c>
      <c r="BX53">
        <f>IF((gamma!BX53),IF(VLOOKUP(BX$1,main!$A$3:$H$102,7,FALSE)=VLOOKUP($A53,main!$A$3:$H$102,8,FALSE),VLOOKUP(BX$1,main!$A$3:$H$102,4,FALSE),VLOOKUP(BX$1,main!$A$3:$H$102,4,FALSE)+VLOOKUP($A53,main!$A$3:$H$102,4,FALSE)+(VLOOKUP(VLOOKUP(BX$1,main!$A$3:$H$102,8,FALSE),main!$K$19:$O$22,MATCH(VLOOKUP($A53,main!$A$3:$H$102,7,FALSE),main!$K$18:$O$18,0),0))),0)</f>
        <v>308</v>
      </c>
      <c r="BY53">
        <f>IF((gamma!BY53),IF(VLOOKUP(BY$1,main!$A$3:$H$102,7,FALSE)=VLOOKUP($A53,main!$A$3:$H$102,8,FALSE),VLOOKUP(BY$1,main!$A$3:$H$102,4,FALSE),VLOOKUP(BY$1,main!$A$3:$H$102,4,FALSE)+VLOOKUP($A53,main!$A$3:$H$102,4,FALSE)+(VLOOKUP(VLOOKUP(BY$1,main!$A$3:$H$102,8,FALSE),main!$K$19:$O$22,MATCH(VLOOKUP($A53,main!$A$3:$H$102,7,FALSE),main!$K$18:$O$18,0),0))),0)</f>
        <v>293</v>
      </c>
      <c r="BZ53">
        <f>IF((gamma!BZ53),IF(VLOOKUP(BZ$1,main!$A$3:$H$102,7,FALSE)=VLOOKUP($A53,main!$A$3:$H$102,8,FALSE),VLOOKUP(BZ$1,main!$A$3:$H$102,4,FALSE),VLOOKUP(BZ$1,main!$A$3:$H$102,4,FALSE)+VLOOKUP($A53,main!$A$3:$H$102,4,FALSE)+(VLOOKUP(VLOOKUP(BZ$1,main!$A$3:$H$102,8,FALSE),main!$K$19:$O$22,MATCH(VLOOKUP($A53,main!$A$3:$H$102,7,FALSE),main!$K$18:$O$18,0),0))),0)</f>
        <v>0</v>
      </c>
      <c r="CA53">
        <f>IF((gamma!CA53),IF(VLOOKUP(CA$1,main!$A$3:$H$102,7,FALSE)=VLOOKUP($A53,main!$A$3:$H$102,8,FALSE),VLOOKUP(CA$1,main!$A$3:$H$102,4,FALSE),VLOOKUP(CA$1,main!$A$3:$H$102,4,FALSE)+VLOOKUP($A53,main!$A$3:$H$102,4,FALSE)+(VLOOKUP(VLOOKUP(CA$1,main!$A$3:$H$102,8,FALSE),main!$K$19:$O$22,MATCH(VLOOKUP($A53,main!$A$3:$H$102,7,FALSE),main!$K$18:$O$18,0),0))),0)</f>
        <v>0</v>
      </c>
      <c r="CB53">
        <f>IF((gamma!CB53),IF(VLOOKUP(CB$1,main!$A$3:$H$102,7,FALSE)=VLOOKUP($A53,main!$A$3:$H$102,8,FALSE),VLOOKUP(CB$1,main!$A$3:$H$102,4,FALSE),VLOOKUP(CB$1,main!$A$3:$H$102,4,FALSE)+VLOOKUP($A53,main!$A$3:$H$102,4,FALSE)+(VLOOKUP(VLOOKUP(CB$1,main!$A$3:$H$102,8,FALSE),main!$K$19:$O$22,MATCH(VLOOKUP($A53,main!$A$3:$H$102,7,FALSE),main!$K$18:$O$18,0),0))),0)</f>
        <v>238</v>
      </c>
      <c r="CC53">
        <f>IF((gamma!CC53),IF(VLOOKUP(CC$1,main!$A$3:$H$102,7,FALSE)=VLOOKUP($A53,main!$A$3:$H$102,8,FALSE),VLOOKUP(CC$1,main!$A$3:$H$102,4,FALSE),VLOOKUP(CC$1,main!$A$3:$H$102,4,FALSE)+VLOOKUP($A53,main!$A$3:$H$102,4,FALSE)+(VLOOKUP(VLOOKUP(CC$1,main!$A$3:$H$102,8,FALSE),main!$K$19:$O$22,MATCH(VLOOKUP($A53,main!$A$3:$H$102,7,FALSE),main!$K$18:$O$18,0),0))),0)</f>
        <v>228</v>
      </c>
      <c r="CD53">
        <f>IF((gamma!CD53),IF(VLOOKUP(CD$1,main!$A$3:$H$102,7,FALSE)=VLOOKUP($A53,main!$A$3:$H$102,8,FALSE),VLOOKUP(CD$1,main!$A$3:$H$102,4,FALSE),VLOOKUP(CD$1,main!$A$3:$H$102,4,FALSE)+VLOOKUP($A53,main!$A$3:$H$102,4,FALSE)+(VLOOKUP(VLOOKUP(CD$1,main!$A$3:$H$102,8,FALSE),main!$K$19:$O$22,MATCH(VLOOKUP($A53,main!$A$3:$H$102,7,FALSE),main!$K$18:$O$18,0),0))),0)</f>
        <v>287</v>
      </c>
      <c r="CE53">
        <f>IF((gamma!CE53),IF(VLOOKUP(CE$1,main!$A$3:$H$102,7,FALSE)=VLOOKUP($A53,main!$A$3:$H$102,8,FALSE),VLOOKUP(CE$1,main!$A$3:$H$102,4,FALSE),VLOOKUP(CE$1,main!$A$3:$H$102,4,FALSE)+VLOOKUP($A53,main!$A$3:$H$102,4,FALSE)+(VLOOKUP(VLOOKUP(CE$1,main!$A$3:$H$102,8,FALSE),main!$K$19:$O$22,MATCH(VLOOKUP($A53,main!$A$3:$H$102,7,FALSE),main!$K$18:$O$18,0),0))),0)</f>
        <v>0</v>
      </c>
      <c r="CF53">
        <f>IF((gamma!CF53),IF(VLOOKUP(CF$1,main!$A$3:$H$102,7,FALSE)=VLOOKUP($A53,main!$A$3:$H$102,8,FALSE),VLOOKUP(CF$1,main!$A$3:$H$102,4,FALSE),VLOOKUP(CF$1,main!$A$3:$H$102,4,FALSE)+VLOOKUP($A53,main!$A$3:$H$102,4,FALSE)+(VLOOKUP(VLOOKUP(CF$1,main!$A$3:$H$102,8,FALSE),main!$K$19:$O$22,MATCH(VLOOKUP($A53,main!$A$3:$H$102,7,FALSE),main!$K$18:$O$18,0),0))),0)</f>
        <v>0</v>
      </c>
      <c r="CG53">
        <f>IF((gamma!CG53),IF(VLOOKUP(CG$1,main!$A$3:$H$102,7,FALSE)=VLOOKUP($A53,main!$A$3:$H$102,8,FALSE),VLOOKUP(CG$1,main!$A$3:$H$102,4,FALSE),VLOOKUP(CG$1,main!$A$3:$H$102,4,FALSE)+VLOOKUP($A53,main!$A$3:$H$102,4,FALSE)+(VLOOKUP(VLOOKUP(CG$1,main!$A$3:$H$102,8,FALSE),main!$K$19:$O$22,MATCH(VLOOKUP($A53,main!$A$3:$H$102,7,FALSE),main!$K$18:$O$18,0),0))),0)</f>
        <v>310</v>
      </c>
      <c r="CH53">
        <f>IF((gamma!CH53),IF(VLOOKUP(CH$1,main!$A$3:$H$102,7,FALSE)=VLOOKUP($A53,main!$A$3:$H$102,8,FALSE),VLOOKUP(CH$1,main!$A$3:$H$102,4,FALSE),VLOOKUP(CH$1,main!$A$3:$H$102,4,FALSE)+VLOOKUP($A53,main!$A$3:$H$102,4,FALSE)+(VLOOKUP(VLOOKUP(CH$1,main!$A$3:$H$102,8,FALSE),main!$K$19:$O$22,MATCH(VLOOKUP($A53,main!$A$3:$H$102,7,FALSE),main!$K$18:$O$18,0),0))),0)</f>
        <v>310</v>
      </c>
      <c r="CI53">
        <f>IF((gamma!CI53),IF(VLOOKUP(CI$1,main!$A$3:$H$102,7,FALSE)=VLOOKUP($A53,main!$A$3:$H$102,8,FALSE),VLOOKUP(CI$1,main!$A$3:$H$102,4,FALSE),VLOOKUP(CI$1,main!$A$3:$H$102,4,FALSE)+VLOOKUP($A53,main!$A$3:$H$102,4,FALSE)+(VLOOKUP(VLOOKUP(CI$1,main!$A$3:$H$102,8,FALSE),main!$K$19:$O$22,MATCH(VLOOKUP($A53,main!$A$3:$H$102,7,FALSE),main!$K$18:$O$18,0),0))),0)</f>
        <v>310</v>
      </c>
      <c r="CJ53">
        <f>IF((gamma!CJ53),IF(VLOOKUP(CJ$1,main!$A$3:$H$102,7,FALSE)=VLOOKUP($A53,main!$A$3:$H$102,8,FALSE),VLOOKUP(CJ$1,main!$A$3:$H$102,4,FALSE),VLOOKUP(CJ$1,main!$A$3:$H$102,4,FALSE)+VLOOKUP($A53,main!$A$3:$H$102,4,FALSE)+(VLOOKUP(VLOOKUP(CJ$1,main!$A$3:$H$102,8,FALSE),main!$K$19:$O$22,MATCH(VLOOKUP($A53,main!$A$3:$H$102,7,FALSE),main!$K$18:$O$18,0),0))),0)</f>
        <v>238</v>
      </c>
      <c r="CK53">
        <f>IF((gamma!CK53),IF(VLOOKUP(CK$1,main!$A$3:$H$102,7,FALSE)=VLOOKUP($A53,main!$A$3:$H$102,8,FALSE),VLOOKUP(CK$1,main!$A$3:$H$102,4,FALSE),VLOOKUP(CK$1,main!$A$3:$H$102,4,FALSE)+VLOOKUP($A53,main!$A$3:$H$102,4,FALSE)+(VLOOKUP(VLOOKUP(CK$1,main!$A$3:$H$102,8,FALSE),main!$K$19:$O$22,MATCH(VLOOKUP($A53,main!$A$3:$H$102,7,FALSE),main!$K$18:$O$18,0),0))),0)</f>
        <v>0</v>
      </c>
      <c r="CL53">
        <f>IF((gamma!CL53),IF(VLOOKUP(CL$1,main!$A$3:$H$102,7,FALSE)=VLOOKUP($A53,main!$A$3:$H$102,8,FALSE),VLOOKUP(CL$1,main!$A$3:$H$102,4,FALSE),VLOOKUP(CL$1,main!$A$3:$H$102,4,FALSE)+VLOOKUP($A53,main!$A$3:$H$102,4,FALSE)+(VLOOKUP(VLOOKUP(CL$1,main!$A$3:$H$102,8,FALSE),main!$K$19:$O$22,MATCH(VLOOKUP($A53,main!$A$3:$H$102,7,FALSE),main!$K$18:$O$18,0),0))),0)</f>
        <v>250</v>
      </c>
      <c r="CM53">
        <f>IF((gamma!CM53),IF(VLOOKUP(CM$1,main!$A$3:$H$102,7,FALSE)=VLOOKUP($A53,main!$A$3:$H$102,8,FALSE),VLOOKUP(CM$1,main!$A$3:$H$102,4,FALSE),VLOOKUP(CM$1,main!$A$3:$H$102,4,FALSE)+VLOOKUP($A53,main!$A$3:$H$102,4,FALSE)+(VLOOKUP(VLOOKUP(CM$1,main!$A$3:$H$102,8,FALSE),main!$K$19:$O$22,MATCH(VLOOKUP($A53,main!$A$3:$H$102,7,FALSE),main!$K$18:$O$18,0),0))),0)</f>
        <v>270</v>
      </c>
      <c r="CN53">
        <f>IF((gamma!CN53),IF(VLOOKUP(CN$1,main!$A$3:$H$102,7,FALSE)=VLOOKUP($A53,main!$A$3:$H$102,8,FALSE),VLOOKUP(CN$1,main!$A$3:$H$102,4,FALSE),VLOOKUP(CN$1,main!$A$3:$H$102,4,FALSE)+VLOOKUP($A53,main!$A$3:$H$102,4,FALSE)+(VLOOKUP(VLOOKUP(CN$1,main!$A$3:$H$102,8,FALSE),main!$K$19:$O$22,MATCH(VLOOKUP($A53,main!$A$3:$H$102,7,FALSE),main!$K$18:$O$18,0),0))),0)</f>
        <v>266</v>
      </c>
      <c r="CO53">
        <f>IF((gamma!CO53),IF(VLOOKUP(CO$1,main!$A$3:$H$102,7,FALSE)=VLOOKUP($A53,main!$A$3:$H$102,8,FALSE),VLOOKUP(CO$1,main!$A$3:$H$102,4,FALSE),VLOOKUP(CO$1,main!$A$3:$H$102,4,FALSE)+VLOOKUP($A53,main!$A$3:$H$102,4,FALSE)+(VLOOKUP(VLOOKUP(CO$1,main!$A$3:$H$102,8,FALSE),main!$K$19:$O$22,MATCH(VLOOKUP($A53,main!$A$3:$H$102,7,FALSE),main!$K$18:$O$18,0),0))),0)</f>
        <v>0</v>
      </c>
      <c r="CP53">
        <f>IF((gamma!CP53),IF(VLOOKUP(CP$1,main!$A$3:$H$102,7,FALSE)=VLOOKUP($A53,main!$A$3:$H$102,8,FALSE),VLOOKUP(CP$1,main!$A$3:$H$102,4,FALSE),VLOOKUP(CP$1,main!$A$3:$H$102,4,FALSE)+VLOOKUP($A53,main!$A$3:$H$102,4,FALSE)+(VLOOKUP(VLOOKUP(CP$1,main!$A$3:$H$102,8,FALSE),main!$K$19:$O$22,MATCH(VLOOKUP($A53,main!$A$3:$H$102,7,FALSE),main!$K$18:$O$18,0),0))),0)</f>
        <v>260</v>
      </c>
      <c r="CQ53">
        <f>IF((gamma!CQ53),IF(VLOOKUP(CQ$1,main!$A$3:$H$102,7,FALSE)=VLOOKUP($A53,main!$A$3:$H$102,8,FALSE),VLOOKUP(CQ$1,main!$A$3:$H$102,4,FALSE),VLOOKUP(CQ$1,main!$A$3:$H$102,4,FALSE)+VLOOKUP($A53,main!$A$3:$H$102,4,FALSE)+(VLOOKUP(VLOOKUP(CQ$1,main!$A$3:$H$102,8,FALSE),main!$K$19:$O$22,MATCH(VLOOKUP($A53,main!$A$3:$H$102,7,FALSE),main!$K$18:$O$18,0),0))),0)</f>
        <v>260</v>
      </c>
      <c r="CR53">
        <f>IF((gamma!CR53),IF(VLOOKUP(CR$1,main!$A$3:$H$102,7,FALSE)=VLOOKUP($A53,main!$A$3:$H$102,8,FALSE),VLOOKUP(CR$1,main!$A$3:$H$102,4,FALSE),VLOOKUP(CR$1,main!$A$3:$H$102,4,FALSE)+VLOOKUP($A53,main!$A$3:$H$102,4,FALSE)+(VLOOKUP(VLOOKUP(CR$1,main!$A$3:$H$102,8,FALSE),main!$K$19:$O$22,MATCH(VLOOKUP($A53,main!$A$3:$H$102,7,FALSE),main!$K$18:$O$18,0),0))),0)</f>
        <v>275</v>
      </c>
      <c r="CS53">
        <f>IF((gamma!CS53),IF(VLOOKUP(CS$1,main!$A$3:$H$102,7,FALSE)=VLOOKUP($A53,main!$A$3:$H$102,8,FALSE),VLOOKUP(CS$1,main!$A$3:$H$102,4,FALSE),VLOOKUP(CS$1,main!$A$3:$H$102,4,FALSE)+VLOOKUP($A53,main!$A$3:$H$102,4,FALSE)+(VLOOKUP(VLOOKUP(CS$1,main!$A$3:$H$102,8,FALSE),main!$K$19:$O$22,MATCH(VLOOKUP($A53,main!$A$3:$H$102,7,FALSE),main!$K$18:$O$18,0),0))),0)</f>
        <v>275</v>
      </c>
      <c r="CT53">
        <f>IF((gamma!CT53),IF(VLOOKUP(CT$1,main!$A$3:$H$102,7,FALSE)=VLOOKUP($A53,main!$A$3:$H$102,8,FALSE),VLOOKUP(CT$1,main!$A$3:$H$102,4,FALSE),VLOOKUP(CT$1,main!$A$3:$H$102,4,FALSE)+VLOOKUP($A53,main!$A$3:$H$102,4,FALSE)+(VLOOKUP(VLOOKUP(CT$1,main!$A$3:$H$102,8,FALSE),main!$K$19:$O$22,MATCH(VLOOKUP($A53,main!$A$3:$H$102,7,FALSE),main!$K$18:$O$18,0),0))),0)</f>
        <v>0</v>
      </c>
      <c r="CU53">
        <f>IF((gamma!CU53),IF(VLOOKUP(CU$1,main!$A$3:$H$102,7,FALSE)=VLOOKUP($A53,main!$A$3:$H$102,8,FALSE),VLOOKUP(CU$1,main!$A$3:$H$102,4,FALSE),VLOOKUP(CU$1,main!$A$3:$H$102,4,FALSE)+VLOOKUP($A53,main!$A$3:$H$102,4,FALSE)+(VLOOKUP(VLOOKUP(CU$1,main!$A$3:$H$102,8,FALSE),main!$K$19:$O$22,MATCH(VLOOKUP($A53,main!$A$3:$H$102,7,FALSE),main!$K$18:$O$18,0),0))),0)</f>
        <v>0</v>
      </c>
      <c r="CV53">
        <f>IF((gamma!CV53),IF(VLOOKUP(CV$1,main!$A$3:$H$102,7,FALSE)=VLOOKUP($A53,main!$A$3:$H$102,8,FALSE),VLOOKUP(CV$1,main!$A$3:$H$102,4,FALSE),VLOOKUP(CV$1,main!$A$3:$H$102,4,FALSE)+VLOOKUP($A53,main!$A$3:$H$102,4,FALSE)+(VLOOKUP(VLOOKUP(CV$1,main!$A$3:$H$102,8,FALSE),main!$K$19:$O$22,MATCH(VLOOKUP($A53,main!$A$3:$H$102,7,FALSE),main!$K$18:$O$18,0),0))),0)</f>
        <v>220</v>
      </c>
      <c r="CW53">
        <f>IF((gamma!CW53),IF(VLOOKUP(CW$1,main!$A$3:$H$102,7,FALSE)=VLOOKUP($A53,main!$A$3:$H$102,8,FALSE),VLOOKUP(CW$1,main!$A$3:$H$102,4,FALSE),VLOOKUP(CW$1,main!$A$3:$H$102,4,FALSE)+VLOOKUP($A53,main!$A$3:$H$102,4,FALSE)+(VLOOKUP(VLOOKUP(CW$1,main!$A$3:$H$102,8,FALSE),main!$K$19:$O$22,MATCH(VLOOKUP($A53,main!$A$3:$H$102,7,FALSE),main!$K$18:$O$18,0),0))),0)</f>
        <v>235</v>
      </c>
      <c r="CX53">
        <f>IF((gamma!CX53),IF(VLOOKUP(CX$1,main!$A$3:$H$102,7,FALSE)=VLOOKUP($A53,main!$A$3:$H$102,8,FALSE),VLOOKUP(CX$1,main!$A$3:$H$102,4,FALSE),VLOOKUP(CX$1,main!$A$3:$H$102,4,FALSE)+VLOOKUP($A53,main!$A$3:$H$102,4,FALSE)+(VLOOKUP(VLOOKUP(CX$1,main!$A$3:$H$102,8,FALSE),main!$K$19:$O$22,MATCH(VLOOKUP($A53,main!$A$3:$H$102,7,FALSE),main!$K$18:$O$18,0),0))),0)</f>
        <v>225</v>
      </c>
      <c r="CY53">
        <v>0</v>
      </c>
      <c r="CZ53">
        <v>0</v>
      </c>
      <c r="DA53">
        <v>0</v>
      </c>
    </row>
    <row r="54" spans="1:105" x14ac:dyDescent="0.25">
      <c r="A54" s="1">
        <v>52</v>
      </c>
      <c r="B54">
        <v>0</v>
      </c>
      <c r="C54">
        <f>IF((gamma!C54),IF(VLOOKUP(C$1,main!$A$3:$H$102,7,FALSE)=VLOOKUP($A54,main!$A$3:$H$102,8,FALSE),VLOOKUP(C$1,main!$A$3:$H$102,4,FALSE),VLOOKUP(C$1,main!$A$3:$H$102,4,FALSE)+VLOOKUP($A54,main!$A$3:$H$102,4,FALSE)+(VLOOKUP(VLOOKUP(C$1,main!$A$3:$H$102,8,FALSE),main!$K$19:$O$22,MATCH(VLOOKUP($A54,main!$A$3:$H$102,7,FALSE),main!$K$18:$O$18,0),0))),0)</f>
        <v>0</v>
      </c>
      <c r="D54">
        <f>IF((gamma!D54),IF(VLOOKUP(D$1,main!$A$3:$H$102,7,FALSE)=VLOOKUP($A54,main!$A$3:$H$102,8,FALSE),VLOOKUP(D$1,main!$A$3:$H$102,4,FALSE),VLOOKUP(D$1,main!$A$3:$H$102,4,FALSE)+VLOOKUP($A54,main!$A$3:$H$102,4,FALSE)+(VLOOKUP(VLOOKUP(D$1,main!$A$3:$H$102,8,FALSE),main!$K$19:$O$22,MATCH(VLOOKUP($A54,main!$A$3:$H$102,7,FALSE),main!$K$18:$O$18,0),0))),0)</f>
        <v>0</v>
      </c>
      <c r="E54">
        <f>IF((gamma!E54),IF(VLOOKUP(E$1,main!$A$3:$H$102,7,FALSE)=VLOOKUP($A54,main!$A$3:$H$102,8,FALSE),VLOOKUP(E$1,main!$A$3:$H$102,4,FALSE),VLOOKUP(E$1,main!$A$3:$H$102,4,FALSE)+VLOOKUP($A54,main!$A$3:$H$102,4,FALSE)+(VLOOKUP(VLOOKUP(E$1,main!$A$3:$H$102,8,FALSE),main!$K$19:$O$22,MATCH(VLOOKUP($A54,main!$A$3:$H$102,7,FALSE),main!$K$18:$O$18,0),0))),0)</f>
        <v>0</v>
      </c>
      <c r="F54">
        <f>IF((gamma!F54),IF(VLOOKUP(F$1,main!$A$3:$H$102,7,FALSE)=VLOOKUP($A54,main!$A$3:$H$102,8,FALSE),VLOOKUP(F$1,main!$A$3:$H$102,4,FALSE),VLOOKUP(F$1,main!$A$3:$H$102,4,FALSE)+VLOOKUP($A54,main!$A$3:$H$102,4,FALSE)+(VLOOKUP(VLOOKUP(F$1,main!$A$3:$H$102,8,FALSE),main!$K$19:$O$22,MATCH(VLOOKUP($A54,main!$A$3:$H$102,7,FALSE),main!$K$18:$O$18,0),0))),0)</f>
        <v>0</v>
      </c>
      <c r="G54">
        <f>IF((gamma!G54),IF(VLOOKUP(G$1,main!$A$3:$H$102,7,FALSE)=VLOOKUP($A54,main!$A$3:$H$102,8,FALSE),VLOOKUP(G$1,main!$A$3:$H$102,4,FALSE),VLOOKUP(G$1,main!$A$3:$H$102,4,FALSE)+VLOOKUP($A54,main!$A$3:$H$102,4,FALSE)+(VLOOKUP(VLOOKUP(G$1,main!$A$3:$H$102,8,FALSE),main!$K$19:$O$22,MATCH(VLOOKUP($A54,main!$A$3:$H$102,7,FALSE),main!$K$18:$O$18,0),0))),0)</f>
        <v>0</v>
      </c>
      <c r="H54">
        <f>IF((gamma!H54),IF(VLOOKUP(H$1,main!$A$3:$H$102,7,FALSE)=VLOOKUP($A54,main!$A$3:$H$102,8,FALSE),VLOOKUP(H$1,main!$A$3:$H$102,4,FALSE),VLOOKUP(H$1,main!$A$3:$H$102,4,FALSE)+VLOOKUP($A54,main!$A$3:$H$102,4,FALSE)+(VLOOKUP(VLOOKUP(H$1,main!$A$3:$H$102,8,FALSE),main!$K$19:$O$22,MATCH(VLOOKUP($A54,main!$A$3:$H$102,7,FALSE),main!$K$18:$O$18,0),0))),0)</f>
        <v>135</v>
      </c>
      <c r="I54">
        <f>IF((gamma!I54),IF(VLOOKUP(I$1,main!$A$3:$H$102,7,FALSE)=VLOOKUP($A54,main!$A$3:$H$102,8,FALSE),VLOOKUP(I$1,main!$A$3:$H$102,4,FALSE),VLOOKUP(I$1,main!$A$3:$H$102,4,FALSE)+VLOOKUP($A54,main!$A$3:$H$102,4,FALSE)+(VLOOKUP(VLOOKUP(I$1,main!$A$3:$H$102,8,FALSE),main!$K$19:$O$22,MATCH(VLOOKUP($A54,main!$A$3:$H$102,7,FALSE),main!$K$18:$O$18,0),0))),0)</f>
        <v>135</v>
      </c>
      <c r="J54">
        <f>IF((gamma!J54),IF(VLOOKUP(J$1,main!$A$3:$H$102,7,FALSE)=VLOOKUP($A54,main!$A$3:$H$102,8,FALSE),VLOOKUP(J$1,main!$A$3:$H$102,4,FALSE),VLOOKUP(J$1,main!$A$3:$H$102,4,FALSE)+VLOOKUP($A54,main!$A$3:$H$102,4,FALSE)+(VLOOKUP(VLOOKUP(J$1,main!$A$3:$H$102,8,FALSE),main!$K$19:$O$22,MATCH(VLOOKUP($A54,main!$A$3:$H$102,7,FALSE),main!$K$18:$O$18,0),0))),0)</f>
        <v>135</v>
      </c>
      <c r="K54">
        <f>IF((gamma!K54),IF(VLOOKUP(K$1,main!$A$3:$H$102,7,FALSE)=VLOOKUP($A54,main!$A$3:$H$102,8,FALSE),VLOOKUP(K$1,main!$A$3:$H$102,4,FALSE),VLOOKUP(K$1,main!$A$3:$H$102,4,FALSE)+VLOOKUP($A54,main!$A$3:$H$102,4,FALSE)+(VLOOKUP(VLOOKUP(K$1,main!$A$3:$H$102,8,FALSE),main!$K$19:$O$22,MATCH(VLOOKUP($A54,main!$A$3:$H$102,7,FALSE),main!$K$18:$O$18,0),0))),0)</f>
        <v>135</v>
      </c>
      <c r="L54">
        <f>IF((gamma!L54),IF(VLOOKUP(L$1,main!$A$3:$H$102,7,FALSE)=VLOOKUP($A54,main!$A$3:$H$102,8,FALSE),VLOOKUP(L$1,main!$A$3:$H$102,4,FALSE),VLOOKUP(L$1,main!$A$3:$H$102,4,FALSE)+VLOOKUP($A54,main!$A$3:$H$102,4,FALSE)+(VLOOKUP(VLOOKUP(L$1,main!$A$3:$H$102,8,FALSE),main!$K$19:$O$22,MATCH(VLOOKUP($A54,main!$A$3:$H$102,7,FALSE),main!$K$18:$O$18,0),0))),0)</f>
        <v>135</v>
      </c>
      <c r="M54">
        <f>IF((gamma!M54),IF(VLOOKUP(M$1,main!$A$3:$H$102,7,FALSE)=VLOOKUP($A54,main!$A$3:$H$102,8,FALSE),VLOOKUP(M$1,main!$A$3:$H$102,4,FALSE),VLOOKUP(M$1,main!$A$3:$H$102,4,FALSE)+VLOOKUP($A54,main!$A$3:$H$102,4,FALSE)+(VLOOKUP(VLOOKUP(M$1,main!$A$3:$H$102,8,FALSE),main!$K$19:$O$22,MATCH(VLOOKUP($A54,main!$A$3:$H$102,7,FALSE),main!$K$18:$O$18,0),0))),0)</f>
        <v>0</v>
      </c>
      <c r="N54">
        <f>IF((gamma!N54),IF(VLOOKUP(N$1,main!$A$3:$H$102,7,FALSE)=VLOOKUP($A54,main!$A$3:$H$102,8,FALSE),VLOOKUP(N$1,main!$A$3:$H$102,4,FALSE),VLOOKUP(N$1,main!$A$3:$H$102,4,FALSE)+VLOOKUP($A54,main!$A$3:$H$102,4,FALSE)+(VLOOKUP(VLOOKUP(N$1,main!$A$3:$H$102,8,FALSE),main!$K$19:$O$22,MATCH(VLOOKUP($A54,main!$A$3:$H$102,7,FALSE),main!$K$18:$O$18,0),0))),0)</f>
        <v>0</v>
      </c>
      <c r="O54">
        <f>IF((gamma!O54),IF(VLOOKUP(O$1,main!$A$3:$H$102,7,FALSE)=VLOOKUP($A54,main!$A$3:$H$102,8,FALSE),VLOOKUP(O$1,main!$A$3:$H$102,4,FALSE),VLOOKUP(O$1,main!$A$3:$H$102,4,FALSE)+VLOOKUP($A54,main!$A$3:$H$102,4,FALSE)+(VLOOKUP(VLOOKUP(O$1,main!$A$3:$H$102,8,FALSE),main!$K$19:$O$22,MATCH(VLOOKUP($A54,main!$A$3:$H$102,7,FALSE),main!$K$18:$O$18,0),0))),0)</f>
        <v>0</v>
      </c>
      <c r="P54">
        <f>IF((gamma!P54),IF(VLOOKUP(P$1,main!$A$3:$H$102,7,FALSE)=VLOOKUP($A54,main!$A$3:$H$102,8,FALSE),VLOOKUP(P$1,main!$A$3:$H$102,4,FALSE),VLOOKUP(P$1,main!$A$3:$H$102,4,FALSE)+VLOOKUP($A54,main!$A$3:$H$102,4,FALSE)+(VLOOKUP(VLOOKUP(P$1,main!$A$3:$H$102,8,FALSE),main!$K$19:$O$22,MATCH(VLOOKUP($A54,main!$A$3:$H$102,7,FALSE),main!$K$18:$O$18,0),0))),0)</f>
        <v>0</v>
      </c>
      <c r="Q54">
        <f>IF((gamma!Q54),IF(VLOOKUP(Q$1,main!$A$3:$H$102,7,FALSE)=VLOOKUP($A54,main!$A$3:$H$102,8,FALSE),VLOOKUP(Q$1,main!$A$3:$H$102,4,FALSE),VLOOKUP(Q$1,main!$A$3:$H$102,4,FALSE)+VLOOKUP($A54,main!$A$3:$H$102,4,FALSE)+(VLOOKUP(VLOOKUP(Q$1,main!$A$3:$H$102,8,FALSE),main!$K$19:$O$22,MATCH(VLOOKUP($A54,main!$A$3:$H$102,7,FALSE),main!$K$18:$O$18,0),0))),0)</f>
        <v>0</v>
      </c>
      <c r="R54">
        <f>IF((gamma!R54),IF(VLOOKUP(R$1,main!$A$3:$H$102,7,FALSE)=VLOOKUP($A54,main!$A$3:$H$102,8,FALSE),VLOOKUP(R$1,main!$A$3:$H$102,4,FALSE),VLOOKUP(R$1,main!$A$3:$H$102,4,FALSE)+VLOOKUP($A54,main!$A$3:$H$102,4,FALSE)+(VLOOKUP(VLOOKUP(R$1,main!$A$3:$H$102,8,FALSE),main!$K$19:$O$22,MATCH(VLOOKUP($A54,main!$A$3:$H$102,7,FALSE),main!$K$18:$O$18,0),0))),0)</f>
        <v>0</v>
      </c>
      <c r="S54">
        <f>IF((gamma!S54),IF(VLOOKUP(S$1,main!$A$3:$H$102,7,FALSE)=VLOOKUP($A54,main!$A$3:$H$102,8,FALSE),VLOOKUP(S$1,main!$A$3:$H$102,4,FALSE),VLOOKUP(S$1,main!$A$3:$H$102,4,FALSE)+VLOOKUP($A54,main!$A$3:$H$102,4,FALSE)+(VLOOKUP(VLOOKUP(S$1,main!$A$3:$H$102,8,FALSE),main!$K$19:$O$22,MATCH(VLOOKUP($A54,main!$A$3:$H$102,7,FALSE),main!$K$18:$O$18,0),0))),0)</f>
        <v>140</v>
      </c>
      <c r="T54">
        <f>IF((gamma!T54),IF(VLOOKUP(T$1,main!$A$3:$H$102,7,FALSE)=VLOOKUP($A54,main!$A$3:$H$102,8,FALSE),VLOOKUP(T$1,main!$A$3:$H$102,4,FALSE),VLOOKUP(T$1,main!$A$3:$H$102,4,FALSE)+VLOOKUP($A54,main!$A$3:$H$102,4,FALSE)+(VLOOKUP(VLOOKUP(T$1,main!$A$3:$H$102,8,FALSE),main!$K$19:$O$22,MATCH(VLOOKUP($A54,main!$A$3:$H$102,7,FALSE),main!$K$18:$O$18,0),0))),0)</f>
        <v>140</v>
      </c>
      <c r="U54">
        <f>IF((gamma!U54),IF(VLOOKUP(U$1,main!$A$3:$H$102,7,FALSE)=VLOOKUP($A54,main!$A$3:$H$102,8,FALSE),VLOOKUP(U$1,main!$A$3:$H$102,4,FALSE),VLOOKUP(U$1,main!$A$3:$H$102,4,FALSE)+VLOOKUP($A54,main!$A$3:$H$102,4,FALSE)+(VLOOKUP(VLOOKUP(U$1,main!$A$3:$H$102,8,FALSE),main!$K$19:$O$22,MATCH(VLOOKUP($A54,main!$A$3:$H$102,7,FALSE),main!$K$18:$O$18,0),0))),0)</f>
        <v>140</v>
      </c>
      <c r="V54">
        <f>IF((gamma!V54),IF(VLOOKUP(V$1,main!$A$3:$H$102,7,FALSE)=VLOOKUP($A54,main!$A$3:$H$102,8,FALSE),VLOOKUP(V$1,main!$A$3:$H$102,4,FALSE),VLOOKUP(V$1,main!$A$3:$H$102,4,FALSE)+VLOOKUP($A54,main!$A$3:$H$102,4,FALSE)+(VLOOKUP(VLOOKUP(V$1,main!$A$3:$H$102,8,FALSE),main!$K$19:$O$22,MATCH(VLOOKUP($A54,main!$A$3:$H$102,7,FALSE),main!$K$18:$O$18,0),0))),0)</f>
        <v>140</v>
      </c>
      <c r="W54">
        <f>IF((gamma!W54),IF(VLOOKUP(W$1,main!$A$3:$H$102,7,FALSE)=VLOOKUP($A54,main!$A$3:$H$102,8,FALSE),VLOOKUP(W$1,main!$A$3:$H$102,4,FALSE),VLOOKUP(W$1,main!$A$3:$H$102,4,FALSE)+VLOOKUP($A54,main!$A$3:$H$102,4,FALSE)+(VLOOKUP(VLOOKUP(W$1,main!$A$3:$H$102,8,FALSE),main!$K$19:$O$22,MATCH(VLOOKUP($A54,main!$A$3:$H$102,7,FALSE),main!$K$18:$O$18,0),0))),0)</f>
        <v>0</v>
      </c>
      <c r="X54">
        <f>IF((gamma!X54),IF(VLOOKUP(X$1,main!$A$3:$H$102,7,FALSE)=VLOOKUP($A54,main!$A$3:$H$102,8,FALSE),VLOOKUP(X$1,main!$A$3:$H$102,4,FALSE),VLOOKUP(X$1,main!$A$3:$H$102,4,FALSE)+VLOOKUP($A54,main!$A$3:$H$102,4,FALSE)+(VLOOKUP(VLOOKUP(X$1,main!$A$3:$H$102,8,FALSE),main!$K$19:$O$22,MATCH(VLOOKUP($A54,main!$A$3:$H$102,7,FALSE),main!$K$18:$O$18,0),0))),0)</f>
        <v>0</v>
      </c>
      <c r="Y54">
        <f>IF((gamma!Y54),IF(VLOOKUP(Y$1,main!$A$3:$H$102,7,FALSE)=VLOOKUP($A54,main!$A$3:$H$102,8,FALSE),VLOOKUP(Y$1,main!$A$3:$H$102,4,FALSE),VLOOKUP(Y$1,main!$A$3:$H$102,4,FALSE)+VLOOKUP($A54,main!$A$3:$H$102,4,FALSE)+(VLOOKUP(VLOOKUP(Y$1,main!$A$3:$H$102,8,FALSE),main!$K$19:$O$22,MATCH(VLOOKUP($A54,main!$A$3:$H$102,7,FALSE),main!$K$18:$O$18,0),0))),0)</f>
        <v>0</v>
      </c>
      <c r="Z54">
        <f>IF((gamma!Z54),IF(VLOOKUP(Z$1,main!$A$3:$H$102,7,FALSE)=VLOOKUP($A54,main!$A$3:$H$102,8,FALSE),VLOOKUP(Z$1,main!$A$3:$H$102,4,FALSE),VLOOKUP(Z$1,main!$A$3:$H$102,4,FALSE)+VLOOKUP($A54,main!$A$3:$H$102,4,FALSE)+(VLOOKUP(VLOOKUP(Z$1,main!$A$3:$H$102,8,FALSE),main!$K$19:$O$22,MATCH(VLOOKUP($A54,main!$A$3:$H$102,7,FALSE),main!$K$18:$O$18,0),0))),0)</f>
        <v>140</v>
      </c>
      <c r="AA54">
        <f>IF((gamma!AA54),IF(VLOOKUP(AA$1,main!$A$3:$H$102,7,FALSE)=VLOOKUP($A54,main!$A$3:$H$102,8,FALSE),VLOOKUP(AA$1,main!$A$3:$H$102,4,FALSE),VLOOKUP(AA$1,main!$A$3:$H$102,4,FALSE)+VLOOKUP($A54,main!$A$3:$H$102,4,FALSE)+(VLOOKUP(VLOOKUP(AA$1,main!$A$3:$H$102,8,FALSE),main!$K$19:$O$22,MATCH(VLOOKUP($A54,main!$A$3:$H$102,7,FALSE),main!$K$18:$O$18,0),0))),0)</f>
        <v>140</v>
      </c>
      <c r="AB54">
        <f>IF((gamma!AB54),IF(VLOOKUP(AB$1,main!$A$3:$H$102,7,FALSE)=VLOOKUP($A54,main!$A$3:$H$102,8,FALSE),VLOOKUP(AB$1,main!$A$3:$H$102,4,FALSE),VLOOKUP(AB$1,main!$A$3:$H$102,4,FALSE)+VLOOKUP($A54,main!$A$3:$H$102,4,FALSE)+(VLOOKUP(VLOOKUP(AB$1,main!$A$3:$H$102,8,FALSE),main!$K$19:$O$22,MATCH(VLOOKUP($A54,main!$A$3:$H$102,7,FALSE),main!$K$18:$O$18,0),0))),0)</f>
        <v>0</v>
      </c>
      <c r="AC54">
        <f>IF((gamma!AC54),IF(VLOOKUP(AC$1,main!$A$3:$H$102,7,FALSE)=VLOOKUP($A54,main!$A$3:$H$102,8,FALSE),VLOOKUP(AC$1,main!$A$3:$H$102,4,FALSE),VLOOKUP(AC$1,main!$A$3:$H$102,4,FALSE)+VLOOKUP($A54,main!$A$3:$H$102,4,FALSE)+(VLOOKUP(VLOOKUP(AC$1,main!$A$3:$H$102,8,FALSE),main!$K$19:$O$22,MATCH(VLOOKUP($A54,main!$A$3:$H$102,7,FALSE),main!$K$18:$O$18,0),0))),0)</f>
        <v>0</v>
      </c>
      <c r="AD54">
        <f>IF((gamma!AD54),IF(VLOOKUP(AD$1,main!$A$3:$H$102,7,FALSE)=VLOOKUP($A54,main!$A$3:$H$102,8,FALSE),VLOOKUP(AD$1,main!$A$3:$H$102,4,FALSE),VLOOKUP(AD$1,main!$A$3:$H$102,4,FALSE)+VLOOKUP($A54,main!$A$3:$H$102,4,FALSE)+(VLOOKUP(VLOOKUP(AD$1,main!$A$3:$H$102,8,FALSE),main!$K$19:$O$22,MATCH(VLOOKUP($A54,main!$A$3:$H$102,7,FALSE),main!$K$18:$O$18,0),0))),0)</f>
        <v>0</v>
      </c>
      <c r="AE54">
        <f>IF((gamma!AE54),IF(VLOOKUP(AE$1,main!$A$3:$H$102,7,FALSE)=VLOOKUP($A54,main!$A$3:$H$102,8,FALSE),VLOOKUP(AE$1,main!$A$3:$H$102,4,FALSE),VLOOKUP(AE$1,main!$A$3:$H$102,4,FALSE)+VLOOKUP($A54,main!$A$3:$H$102,4,FALSE)+(VLOOKUP(VLOOKUP(AE$1,main!$A$3:$H$102,8,FALSE),main!$K$19:$O$22,MATCH(VLOOKUP($A54,main!$A$3:$H$102,7,FALSE),main!$K$18:$O$18,0),0))),0)</f>
        <v>140</v>
      </c>
      <c r="AF54">
        <f>IF((gamma!AF54),IF(VLOOKUP(AF$1,main!$A$3:$H$102,7,FALSE)=VLOOKUP($A54,main!$A$3:$H$102,8,FALSE),VLOOKUP(AF$1,main!$A$3:$H$102,4,FALSE),VLOOKUP(AF$1,main!$A$3:$H$102,4,FALSE)+VLOOKUP($A54,main!$A$3:$H$102,4,FALSE)+(VLOOKUP(VLOOKUP(AF$1,main!$A$3:$H$102,8,FALSE),main!$K$19:$O$22,MATCH(VLOOKUP($A54,main!$A$3:$H$102,7,FALSE),main!$K$18:$O$18,0),0))),0)</f>
        <v>100</v>
      </c>
      <c r="AG54">
        <f>IF((gamma!AG54),IF(VLOOKUP(AG$1,main!$A$3:$H$102,7,FALSE)=VLOOKUP($A54,main!$A$3:$H$102,8,FALSE),VLOOKUP(AG$1,main!$A$3:$H$102,4,FALSE),VLOOKUP(AG$1,main!$A$3:$H$102,4,FALSE)+VLOOKUP($A54,main!$A$3:$H$102,4,FALSE)+(VLOOKUP(VLOOKUP(AG$1,main!$A$3:$H$102,8,FALSE),main!$K$19:$O$22,MATCH(VLOOKUP($A54,main!$A$3:$H$102,7,FALSE),main!$K$18:$O$18,0),0))),0)</f>
        <v>0</v>
      </c>
      <c r="AH54">
        <f>IF((gamma!AH54),IF(VLOOKUP(AH$1,main!$A$3:$H$102,7,FALSE)=VLOOKUP($A54,main!$A$3:$H$102,8,FALSE),VLOOKUP(AH$1,main!$A$3:$H$102,4,FALSE),VLOOKUP(AH$1,main!$A$3:$H$102,4,FALSE)+VLOOKUP($A54,main!$A$3:$H$102,4,FALSE)+(VLOOKUP(VLOOKUP(AH$1,main!$A$3:$H$102,8,FALSE),main!$K$19:$O$22,MATCH(VLOOKUP($A54,main!$A$3:$H$102,7,FALSE),main!$K$18:$O$18,0),0))),0)</f>
        <v>0</v>
      </c>
      <c r="AI54">
        <f>IF((gamma!AI54),IF(VLOOKUP(AI$1,main!$A$3:$H$102,7,FALSE)=VLOOKUP($A54,main!$A$3:$H$102,8,FALSE),VLOOKUP(AI$1,main!$A$3:$H$102,4,FALSE),VLOOKUP(AI$1,main!$A$3:$H$102,4,FALSE)+VLOOKUP($A54,main!$A$3:$H$102,4,FALSE)+(VLOOKUP(VLOOKUP(AI$1,main!$A$3:$H$102,8,FALSE),main!$K$19:$O$22,MATCH(VLOOKUP($A54,main!$A$3:$H$102,7,FALSE),main!$K$18:$O$18,0),0))),0)</f>
        <v>0</v>
      </c>
      <c r="AJ54">
        <f>IF((gamma!AJ54),IF(VLOOKUP(AJ$1,main!$A$3:$H$102,7,FALSE)=VLOOKUP($A54,main!$A$3:$H$102,8,FALSE),VLOOKUP(AJ$1,main!$A$3:$H$102,4,FALSE),VLOOKUP(AJ$1,main!$A$3:$H$102,4,FALSE)+VLOOKUP($A54,main!$A$3:$H$102,4,FALSE)+(VLOOKUP(VLOOKUP(AJ$1,main!$A$3:$H$102,8,FALSE),main!$K$19:$O$22,MATCH(VLOOKUP($A54,main!$A$3:$H$102,7,FALSE),main!$K$18:$O$18,0),0))),0)</f>
        <v>0</v>
      </c>
      <c r="AK54">
        <f>IF((gamma!AK54),IF(VLOOKUP(AK$1,main!$A$3:$H$102,7,FALSE)=VLOOKUP($A54,main!$A$3:$H$102,8,FALSE),VLOOKUP(AK$1,main!$A$3:$H$102,4,FALSE),VLOOKUP(AK$1,main!$A$3:$H$102,4,FALSE)+VLOOKUP($A54,main!$A$3:$H$102,4,FALSE)+(VLOOKUP(VLOOKUP(AK$1,main!$A$3:$H$102,8,FALSE),main!$K$19:$O$22,MATCH(VLOOKUP($A54,main!$A$3:$H$102,7,FALSE),main!$K$18:$O$18,0),0))),0)</f>
        <v>0</v>
      </c>
      <c r="AL54">
        <f>IF((gamma!AL54),IF(VLOOKUP(AL$1,main!$A$3:$H$102,7,FALSE)=VLOOKUP($A54,main!$A$3:$H$102,8,FALSE),VLOOKUP(AL$1,main!$A$3:$H$102,4,FALSE),VLOOKUP(AL$1,main!$A$3:$H$102,4,FALSE)+VLOOKUP($A54,main!$A$3:$H$102,4,FALSE)+(VLOOKUP(VLOOKUP(AL$1,main!$A$3:$H$102,8,FALSE),main!$K$19:$O$22,MATCH(VLOOKUP($A54,main!$A$3:$H$102,7,FALSE),main!$K$18:$O$18,0),0))),0)</f>
        <v>305</v>
      </c>
      <c r="AM54">
        <f>IF((gamma!AM54),IF(VLOOKUP(AM$1,main!$A$3:$H$102,7,FALSE)=VLOOKUP($A54,main!$A$3:$H$102,8,FALSE),VLOOKUP(AM$1,main!$A$3:$H$102,4,FALSE),VLOOKUP(AM$1,main!$A$3:$H$102,4,FALSE)+VLOOKUP($A54,main!$A$3:$H$102,4,FALSE)+(VLOOKUP(VLOOKUP(AM$1,main!$A$3:$H$102,8,FALSE),main!$K$19:$O$22,MATCH(VLOOKUP($A54,main!$A$3:$H$102,7,FALSE),main!$K$18:$O$18,0),0))),0)</f>
        <v>305</v>
      </c>
      <c r="AN54">
        <f>IF((gamma!AN54),IF(VLOOKUP(AN$1,main!$A$3:$H$102,7,FALSE)=VLOOKUP($A54,main!$A$3:$H$102,8,FALSE),VLOOKUP(AN$1,main!$A$3:$H$102,4,FALSE),VLOOKUP(AN$1,main!$A$3:$H$102,4,FALSE)+VLOOKUP($A54,main!$A$3:$H$102,4,FALSE)+(VLOOKUP(VLOOKUP(AN$1,main!$A$3:$H$102,8,FALSE),main!$K$19:$O$22,MATCH(VLOOKUP($A54,main!$A$3:$H$102,7,FALSE),main!$K$18:$O$18,0),0))),0)</f>
        <v>305</v>
      </c>
      <c r="AO54">
        <f>IF((gamma!AO54),IF(VLOOKUP(AO$1,main!$A$3:$H$102,7,FALSE)=VLOOKUP($A54,main!$A$3:$H$102,8,FALSE),VLOOKUP(AO$1,main!$A$3:$H$102,4,FALSE),VLOOKUP(AO$1,main!$A$3:$H$102,4,FALSE)+VLOOKUP($A54,main!$A$3:$H$102,4,FALSE)+(VLOOKUP(VLOOKUP(AO$1,main!$A$3:$H$102,8,FALSE),main!$K$19:$O$22,MATCH(VLOOKUP($A54,main!$A$3:$H$102,7,FALSE),main!$K$18:$O$18,0),0))),0)</f>
        <v>0</v>
      </c>
      <c r="AP54">
        <f>IF((gamma!AP54),IF(VLOOKUP(AP$1,main!$A$3:$H$102,7,FALSE)=VLOOKUP($A54,main!$A$3:$H$102,8,FALSE),VLOOKUP(AP$1,main!$A$3:$H$102,4,FALSE),VLOOKUP(AP$1,main!$A$3:$H$102,4,FALSE)+VLOOKUP($A54,main!$A$3:$H$102,4,FALSE)+(VLOOKUP(VLOOKUP(AP$1,main!$A$3:$H$102,8,FALSE),main!$K$19:$O$22,MATCH(VLOOKUP($A54,main!$A$3:$H$102,7,FALSE),main!$K$18:$O$18,0),0))),0)</f>
        <v>245</v>
      </c>
      <c r="AQ54">
        <f>IF((gamma!AQ54),IF(VLOOKUP(AQ$1,main!$A$3:$H$102,7,FALSE)=VLOOKUP($A54,main!$A$3:$H$102,8,FALSE),VLOOKUP(AQ$1,main!$A$3:$H$102,4,FALSE),VLOOKUP(AQ$1,main!$A$3:$H$102,4,FALSE)+VLOOKUP($A54,main!$A$3:$H$102,4,FALSE)+(VLOOKUP(VLOOKUP(AQ$1,main!$A$3:$H$102,8,FALSE),main!$K$19:$O$22,MATCH(VLOOKUP($A54,main!$A$3:$H$102,7,FALSE),main!$K$18:$O$18,0),0))),0)</f>
        <v>0</v>
      </c>
      <c r="AR54">
        <f>IF((gamma!AR54),IF(VLOOKUP(AR$1,main!$A$3:$H$102,7,FALSE)=VLOOKUP($A54,main!$A$3:$H$102,8,FALSE),VLOOKUP(AR$1,main!$A$3:$H$102,4,FALSE),VLOOKUP(AR$1,main!$A$3:$H$102,4,FALSE)+VLOOKUP($A54,main!$A$3:$H$102,4,FALSE)+(VLOOKUP(VLOOKUP(AR$1,main!$A$3:$H$102,8,FALSE),main!$K$19:$O$22,MATCH(VLOOKUP($A54,main!$A$3:$H$102,7,FALSE),main!$K$18:$O$18,0),0))),0)</f>
        <v>0</v>
      </c>
      <c r="AS54">
        <f>IF((gamma!AS54),IF(VLOOKUP(AS$1,main!$A$3:$H$102,7,FALSE)=VLOOKUP($A54,main!$A$3:$H$102,8,FALSE),VLOOKUP(AS$1,main!$A$3:$H$102,4,FALSE),VLOOKUP(AS$1,main!$A$3:$H$102,4,FALSE)+VLOOKUP($A54,main!$A$3:$H$102,4,FALSE)+(VLOOKUP(VLOOKUP(AS$1,main!$A$3:$H$102,8,FALSE),main!$K$19:$O$22,MATCH(VLOOKUP($A54,main!$A$3:$H$102,7,FALSE),main!$K$18:$O$18,0),0))),0)</f>
        <v>0</v>
      </c>
      <c r="AT54">
        <f>IF((gamma!AT54),IF(VLOOKUP(AT$1,main!$A$3:$H$102,7,FALSE)=VLOOKUP($A54,main!$A$3:$H$102,8,FALSE),VLOOKUP(AT$1,main!$A$3:$H$102,4,FALSE),VLOOKUP(AT$1,main!$A$3:$H$102,4,FALSE)+VLOOKUP($A54,main!$A$3:$H$102,4,FALSE)+(VLOOKUP(VLOOKUP(AT$1,main!$A$3:$H$102,8,FALSE),main!$K$19:$O$22,MATCH(VLOOKUP($A54,main!$A$3:$H$102,7,FALSE),main!$K$18:$O$18,0),0))),0)</f>
        <v>270</v>
      </c>
      <c r="AU54">
        <f>IF((gamma!AU54),IF(VLOOKUP(AU$1,main!$A$3:$H$102,7,FALSE)=VLOOKUP($A54,main!$A$3:$H$102,8,FALSE),VLOOKUP(AU$1,main!$A$3:$H$102,4,FALSE),VLOOKUP(AU$1,main!$A$3:$H$102,4,FALSE)+VLOOKUP($A54,main!$A$3:$H$102,4,FALSE)+(VLOOKUP(VLOOKUP(AU$1,main!$A$3:$H$102,8,FALSE),main!$K$19:$O$22,MATCH(VLOOKUP($A54,main!$A$3:$H$102,7,FALSE),main!$K$18:$O$18,0),0))),0)</f>
        <v>0</v>
      </c>
      <c r="AV54">
        <f>IF((gamma!AV54),IF(VLOOKUP(AV$1,main!$A$3:$H$102,7,FALSE)=VLOOKUP($A54,main!$A$3:$H$102,8,FALSE),VLOOKUP(AV$1,main!$A$3:$H$102,4,FALSE),VLOOKUP(AV$1,main!$A$3:$H$102,4,FALSE)+VLOOKUP($A54,main!$A$3:$H$102,4,FALSE)+(VLOOKUP(VLOOKUP(AV$1,main!$A$3:$H$102,8,FALSE),main!$K$19:$O$22,MATCH(VLOOKUP($A54,main!$A$3:$H$102,7,FALSE),main!$K$18:$O$18,0),0))),0)</f>
        <v>0</v>
      </c>
      <c r="AW54">
        <f>IF((gamma!AW54),IF(VLOOKUP(AW$1,main!$A$3:$H$102,7,FALSE)=VLOOKUP($A54,main!$A$3:$H$102,8,FALSE),VLOOKUP(AW$1,main!$A$3:$H$102,4,FALSE),VLOOKUP(AW$1,main!$A$3:$H$102,4,FALSE)+VLOOKUP($A54,main!$A$3:$H$102,4,FALSE)+(VLOOKUP(VLOOKUP(AW$1,main!$A$3:$H$102,8,FALSE),main!$K$19:$O$22,MATCH(VLOOKUP($A54,main!$A$3:$H$102,7,FALSE),main!$K$18:$O$18,0),0))),0)</f>
        <v>0</v>
      </c>
      <c r="AX54">
        <f>IF((gamma!AX54),IF(VLOOKUP(AX$1,main!$A$3:$H$102,7,FALSE)=VLOOKUP($A54,main!$A$3:$H$102,8,FALSE),VLOOKUP(AX$1,main!$A$3:$H$102,4,FALSE),VLOOKUP(AX$1,main!$A$3:$H$102,4,FALSE)+VLOOKUP($A54,main!$A$3:$H$102,4,FALSE)+(VLOOKUP(VLOOKUP(AX$1,main!$A$3:$H$102,8,FALSE),main!$K$19:$O$22,MATCH(VLOOKUP($A54,main!$A$3:$H$102,7,FALSE),main!$K$18:$O$18,0),0))),0)</f>
        <v>0</v>
      </c>
      <c r="AY54">
        <f>IF((gamma!AY54),IF(VLOOKUP(AY$1,main!$A$3:$H$102,7,FALSE)=VLOOKUP($A54,main!$A$3:$H$102,8,FALSE),VLOOKUP(AY$1,main!$A$3:$H$102,4,FALSE),VLOOKUP(AY$1,main!$A$3:$H$102,4,FALSE)+VLOOKUP($A54,main!$A$3:$H$102,4,FALSE)+(VLOOKUP(VLOOKUP(AY$1,main!$A$3:$H$102,8,FALSE),main!$K$19:$O$22,MATCH(VLOOKUP($A54,main!$A$3:$H$102,7,FALSE),main!$K$18:$O$18,0),0))),0)</f>
        <v>0</v>
      </c>
      <c r="AZ54">
        <f>IF((gamma!AZ54),IF(VLOOKUP(AZ$1,main!$A$3:$H$102,7,FALSE)=VLOOKUP($A54,main!$A$3:$H$102,8,FALSE),VLOOKUP(AZ$1,main!$A$3:$H$102,4,FALSE),VLOOKUP(AZ$1,main!$A$3:$H$102,4,FALSE)+VLOOKUP($A54,main!$A$3:$H$102,4,FALSE)+(VLOOKUP(VLOOKUP(AZ$1,main!$A$3:$H$102,8,FALSE),main!$K$19:$O$22,MATCH(VLOOKUP($A54,main!$A$3:$H$102,7,FALSE),main!$K$18:$O$18,0),0))),0)</f>
        <v>0</v>
      </c>
      <c r="BA54">
        <f>IF((gamma!BA54),IF(VLOOKUP(BA$1,main!$A$3:$H$102,7,FALSE)=VLOOKUP($A54,main!$A$3:$H$102,8,FALSE),VLOOKUP(BA$1,main!$A$3:$H$102,4,FALSE),VLOOKUP(BA$1,main!$A$3:$H$102,4,FALSE)+VLOOKUP($A54,main!$A$3:$H$102,4,FALSE)+(VLOOKUP(VLOOKUP(BA$1,main!$A$3:$H$102,8,FALSE),main!$K$19:$O$22,MATCH(VLOOKUP($A54,main!$A$3:$H$102,7,FALSE),main!$K$18:$O$18,0),0))),0)</f>
        <v>0</v>
      </c>
      <c r="BB54">
        <f>IF((gamma!BB54),IF(VLOOKUP(BB$1,main!$A$3:$H$102,7,FALSE)=VLOOKUP($A54,main!$A$3:$H$102,8,FALSE),VLOOKUP(BB$1,main!$A$3:$H$102,4,FALSE),VLOOKUP(BB$1,main!$A$3:$H$102,4,FALSE)+VLOOKUP($A54,main!$A$3:$H$102,4,FALSE)+(VLOOKUP(VLOOKUP(BB$1,main!$A$3:$H$102,8,FALSE),main!$K$19:$O$22,MATCH(VLOOKUP($A54,main!$A$3:$H$102,7,FALSE),main!$K$18:$O$18,0),0))),0)</f>
        <v>0</v>
      </c>
      <c r="BC54">
        <f>IF((gamma!BC54),IF(VLOOKUP(BC$1,main!$A$3:$H$102,7,FALSE)=VLOOKUP($A54,main!$A$3:$H$102,8,FALSE),VLOOKUP(BC$1,main!$A$3:$H$102,4,FALSE),VLOOKUP(BC$1,main!$A$3:$H$102,4,FALSE)+VLOOKUP($A54,main!$A$3:$H$102,4,FALSE)+(VLOOKUP(VLOOKUP(BC$1,main!$A$3:$H$102,8,FALSE),main!$K$19:$O$22,MATCH(VLOOKUP($A54,main!$A$3:$H$102,7,FALSE),main!$K$18:$O$18,0),0))),0)</f>
        <v>0</v>
      </c>
      <c r="BD54">
        <f>IF((gamma!BD54),IF(VLOOKUP(BD$1,main!$A$3:$H$102,7,FALSE)=VLOOKUP($A54,main!$A$3:$H$102,8,FALSE),VLOOKUP(BD$1,main!$A$3:$H$102,4,FALSE),VLOOKUP(BD$1,main!$A$3:$H$102,4,FALSE)+VLOOKUP($A54,main!$A$3:$H$102,4,FALSE)+(VLOOKUP(VLOOKUP(BD$1,main!$A$3:$H$102,8,FALSE),main!$K$19:$O$22,MATCH(VLOOKUP($A54,main!$A$3:$H$102,7,FALSE),main!$K$18:$O$18,0),0))),0)</f>
        <v>0</v>
      </c>
      <c r="BE54">
        <f>IF((gamma!BE54),IF(VLOOKUP(BE$1,main!$A$3:$H$102,7,FALSE)=VLOOKUP($A54,main!$A$3:$H$102,8,FALSE),VLOOKUP(BE$1,main!$A$3:$H$102,4,FALSE),VLOOKUP(BE$1,main!$A$3:$H$102,4,FALSE)+VLOOKUP($A54,main!$A$3:$H$102,4,FALSE)+(VLOOKUP(VLOOKUP(BE$1,main!$A$3:$H$102,8,FALSE),main!$K$19:$O$22,MATCH(VLOOKUP($A54,main!$A$3:$H$102,7,FALSE),main!$K$18:$O$18,0),0))),0)</f>
        <v>310</v>
      </c>
      <c r="BF54">
        <f>IF((gamma!BF54),IF(VLOOKUP(BF$1,main!$A$3:$H$102,7,FALSE)=VLOOKUP($A54,main!$A$3:$H$102,8,FALSE),VLOOKUP(BF$1,main!$A$3:$H$102,4,FALSE),VLOOKUP(BF$1,main!$A$3:$H$102,4,FALSE)+VLOOKUP($A54,main!$A$3:$H$102,4,FALSE)+(VLOOKUP(VLOOKUP(BF$1,main!$A$3:$H$102,8,FALSE),main!$K$19:$O$22,MATCH(VLOOKUP($A54,main!$A$3:$H$102,7,FALSE),main!$K$18:$O$18,0),0))),0)</f>
        <v>0</v>
      </c>
      <c r="BG54">
        <f>IF((gamma!BG54),IF(VLOOKUP(BG$1,main!$A$3:$H$102,7,FALSE)=VLOOKUP($A54,main!$A$3:$H$102,8,FALSE),VLOOKUP(BG$1,main!$A$3:$H$102,4,FALSE),VLOOKUP(BG$1,main!$A$3:$H$102,4,FALSE)+VLOOKUP($A54,main!$A$3:$H$102,4,FALSE)+(VLOOKUP(VLOOKUP(BG$1,main!$A$3:$H$102,8,FALSE),main!$K$19:$O$22,MATCH(VLOOKUP($A54,main!$A$3:$H$102,7,FALSE),main!$K$18:$O$18,0),0))),0)</f>
        <v>0</v>
      </c>
      <c r="BH54">
        <f>IF((gamma!BH54),IF(VLOOKUP(BH$1,main!$A$3:$H$102,7,FALSE)=VLOOKUP($A54,main!$A$3:$H$102,8,FALSE),VLOOKUP(BH$1,main!$A$3:$H$102,4,FALSE),VLOOKUP(BH$1,main!$A$3:$H$102,4,FALSE)+VLOOKUP($A54,main!$A$3:$H$102,4,FALSE)+(VLOOKUP(VLOOKUP(BH$1,main!$A$3:$H$102,8,FALSE),main!$K$19:$O$22,MATCH(VLOOKUP($A54,main!$A$3:$H$102,7,FALSE),main!$K$18:$O$18,0),0))),0)</f>
        <v>0</v>
      </c>
      <c r="BI54">
        <f>IF((gamma!BI54),IF(VLOOKUP(BI$1,main!$A$3:$H$102,7,FALSE)=VLOOKUP($A54,main!$A$3:$H$102,8,FALSE),VLOOKUP(BI$1,main!$A$3:$H$102,4,FALSE),VLOOKUP(BI$1,main!$A$3:$H$102,4,FALSE)+VLOOKUP($A54,main!$A$3:$H$102,4,FALSE)+(VLOOKUP(VLOOKUP(BI$1,main!$A$3:$H$102,8,FALSE),main!$K$19:$O$22,MATCH(VLOOKUP($A54,main!$A$3:$H$102,7,FALSE),main!$K$18:$O$18,0),0))),0)</f>
        <v>230</v>
      </c>
      <c r="BJ54">
        <f>IF((gamma!BJ54),IF(VLOOKUP(BJ$1,main!$A$3:$H$102,7,FALSE)=VLOOKUP($A54,main!$A$3:$H$102,8,FALSE),VLOOKUP(BJ$1,main!$A$3:$H$102,4,FALSE),VLOOKUP(BJ$1,main!$A$3:$H$102,4,FALSE)+VLOOKUP($A54,main!$A$3:$H$102,4,FALSE)+(VLOOKUP(VLOOKUP(BJ$1,main!$A$3:$H$102,8,FALSE),main!$K$19:$O$22,MATCH(VLOOKUP($A54,main!$A$3:$H$102,7,FALSE),main!$K$18:$O$18,0),0))),0)</f>
        <v>260</v>
      </c>
      <c r="BK54">
        <f>IF((gamma!BK54),IF(VLOOKUP(BK$1,main!$A$3:$H$102,7,FALSE)=VLOOKUP($A54,main!$A$3:$H$102,8,FALSE),VLOOKUP(BK$1,main!$A$3:$H$102,4,FALSE),VLOOKUP(BK$1,main!$A$3:$H$102,4,FALSE)+VLOOKUP($A54,main!$A$3:$H$102,4,FALSE)+(VLOOKUP(VLOOKUP(BK$1,main!$A$3:$H$102,8,FALSE),main!$K$19:$O$22,MATCH(VLOOKUP($A54,main!$A$3:$H$102,7,FALSE),main!$K$18:$O$18,0),0))),0)</f>
        <v>0</v>
      </c>
      <c r="BL54">
        <f>IF((gamma!BL54),IF(VLOOKUP(BL$1,main!$A$3:$H$102,7,FALSE)=VLOOKUP($A54,main!$A$3:$H$102,8,FALSE),VLOOKUP(BL$1,main!$A$3:$H$102,4,FALSE),VLOOKUP(BL$1,main!$A$3:$H$102,4,FALSE)+VLOOKUP($A54,main!$A$3:$H$102,4,FALSE)+(VLOOKUP(VLOOKUP(BL$1,main!$A$3:$H$102,8,FALSE),main!$K$19:$O$22,MATCH(VLOOKUP($A54,main!$A$3:$H$102,7,FALSE),main!$K$18:$O$18,0),0))),0)</f>
        <v>0</v>
      </c>
      <c r="BM54">
        <f>IF((gamma!BM54),IF(VLOOKUP(BM$1,main!$A$3:$H$102,7,FALSE)=VLOOKUP($A54,main!$A$3:$H$102,8,FALSE),VLOOKUP(BM$1,main!$A$3:$H$102,4,FALSE),VLOOKUP(BM$1,main!$A$3:$H$102,4,FALSE)+VLOOKUP($A54,main!$A$3:$H$102,4,FALSE)+(VLOOKUP(VLOOKUP(BM$1,main!$A$3:$H$102,8,FALSE),main!$K$19:$O$22,MATCH(VLOOKUP($A54,main!$A$3:$H$102,7,FALSE),main!$K$18:$O$18,0),0))),0)</f>
        <v>0</v>
      </c>
      <c r="BN54">
        <f>IF((gamma!BN54),IF(VLOOKUP(BN$1,main!$A$3:$H$102,7,FALSE)=VLOOKUP($A54,main!$A$3:$H$102,8,FALSE),VLOOKUP(BN$1,main!$A$3:$H$102,4,FALSE),VLOOKUP(BN$1,main!$A$3:$H$102,4,FALSE)+VLOOKUP($A54,main!$A$3:$H$102,4,FALSE)+(VLOOKUP(VLOOKUP(BN$1,main!$A$3:$H$102,8,FALSE),main!$K$19:$O$22,MATCH(VLOOKUP($A54,main!$A$3:$H$102,7,FALSE),main!$K$18:$O$18,0),0))),0)</f>
        <v>0</v>
      </c>
      <c r="BO54">
        <f>IF((gamma!BO54),IF(VLOOKUP(BO$1,main!$A$3:$H$102,7,FALSE)=VLOOKUP($A54,main!$A$3:$H$102,8,FALSE),VLOOKUP(BO$1,main!$A$3:$H$102,4,FALSE),VLOOKUP(BO$1,main!$A$3:$H$102,4,FALSE)+VLOOKUP($A54,main!$A$3:$H$102,4,FALSE)+(VLOOKUP(VLOOKUP(BO$1,main!$A$3:$H$102,8,FALSE),main!$K$19:$O$22,MATCH(VLOOKUP($A54,main!$A$3:$H$102,7,FALSE),main!$K$18:$O$18,0),0))),0)</f>
        <v>0</v>
      </c>
      <c r="BP54">
        <f>IF((gamma!BP54),IF(VLOOKUP(BP$1,main!$A$3:$H$102,7,FALSE)=VLOOKUP($A54,main!$A$3:$H$102,8,FALSE),VLOOKUP(BP$1,main!$A$3:$H$102,4,FALSE),VLOOKUP(BP$1,main!$A$3:$H$102,4,FALSE)+VLOOKUP($A54,main!$A$3:$H$102,4,FALSE)+(VLOOKUP(VLOOKUP(BP$1,main!$A$3:$H$102,8,FALSE),main!$K$19:$O$22,MATCH(VLOOKUP($A54,main!$A$3:$H$102,7,FALSE),main!$K$18:$O$18,0),0))),0)</f>
        <v>0</v>
      </c>
      <c r="BQ54">
        <f>IF((gamma!BQ54),IF(VLOOKUP(BQ$1,main!$A$3:$H$102,7,FALSE)=VLOOKUP($A54,main!$A$3:$H$102,8,FALSE),VLOOKUP(BQ$1,main!$A$3:$H$102,4,FALSE),VLOOKUP(BQ$1,main!$A$3:$H$102,4,FALSE)+VLOOKUP($A54,main!$A$3:$H$102,4,FALSE)+(VLOOKUP(VLOOKUP(BQ$1,main!$A$3:$H$102,8,FALSE),main!$K$19:$O$22,MATCH(VLOOKUP($A54,main!$A$3:$H$102,7,FALSE),main!$K$18:$O$18,0),0))),0)</f>
        <v>0</v>
      </c>
      <c r="BR54">
        <f>IF((gamma!BR54),IF(VLOOKUP(BR$1,main!$A$3:$H$102,7,FALSE)=VLOOKUP($A54,main!$A$3:$H$102,8,FALSE),VLOOKUP(BR$1,main!$A$3:$H$102,4,FALSE),VLOOKUP(BR$1,main!$A$3:$H$102,4,FALSE)+VLOOKUP($A54,main!$A$3:$H$102,4,FALSE)+(VLOOKUP(VLOOKUP(BR$1,main!$A$3:$H$102,8,FALSE),main!$K$19:$O$22,MATCH(VLOOKUP($A54,main!$A$3:$H$102,7,FALSE),main!$K$18:$O$18,0),0))),0)</f>
        <v>0</v>
      </c>
      <c r="BS54">
        <f>IF((gamma!BS54),IF(VLOOKUP(BS$1,main!$A$3:$H$102,7,FALSE)=VLOOKUP($A54,main!$A$3:$H$102,8,FALSE),VLOOKUP(BS$1,main!$A$3:$H$102,4,FALSE),VLOOKUP(BS$1,main!$A$3:$H$102,4,FALSE)+VLOOKUP($A54,main!$A$3:$H$102,4,FALSE)+(VLOOKUP(VLOOKUP(BS$1,main!$A$3:$H$102,8,FALSE),main!$K$19:$O$22,MATCH(VLOOKUP($A54,main!$A$3:$H$102,7,FALSE),main!$K$18:$O$18,0),0))),0)</f>
        <v>0</v>
      </c>
      <c r="BT54">
        <f>IF((gamma!BT54),IF(VLOOKUP(BT$1,main!$A$3:$H$102,7,FALSE)=VLOOKUP($A54,main!$A$3:$H$102,8,FALSE),VLOOKUP(BT$1,main!$A$3:$H$102,4,FALSE),VLOOKUP(BT$1,main!$A$3:$H$102,4,FALSE)+VLOOKUP($A54,main!$A$3:$H$102,4,FALSE)+(VLOOKUP(VLOOKUP(BT$1,main!$A$3:$H$102,8,FALSE),main!$K$19:$O$22,MATCH(VLOOKUP($A54,main!$A$3:$H$102,7,FALSE),main!$K$18:$O$18,0),0))),0)</f>
        <v>0</v>
      </c>
      <c r="BU54">
        <f>IF((gamma!BU54),IF(VLOOKUP(BU$1,main!$A$3:$H$102,7,FALSE)=VLOOKUP($A54,main!$A$3:$H$102,8,FALSE),VLOOKUP(BU$1,main!$A$3:$H$102,4,FALSE),VLOOKUP(BU$1,main!$A$3:$H$102,4,FALSE)+VLOOKUP($A54,main!$A$3:$H$102,4,FALSE)+(VLOOKUP(VLOOKUP(BU$1,main!$A$3:$H$102,8,FALSE),main!$K$19:$O$22,MATCH(VLOOKUP($A54,main!$A$3:$H$102,7,FALSE),main!$K$18:$O$18,0),0))),0)</f>
        <v>0</v>
      </c>
      <c r="BV54">
        <f>IF((gamma!BV54),IF(VLOOKUP(BV$1,main!$A$3:$H$102,7,FALSE)=VLOOKUP($A54,main!$A$3:$H$102,8,FALSE),VLOOKUP(BV$1,main!$A$3:$H$102,4,FALSE),VLOOKUP(BV$1,main!$A$3:$H$102,4,FALSE)+VLOOKUP($A54,main!$A$3:$H$102,4,FALSE)+(VLOOKUP(VLOOKUP(BV$1,main!$A$3:$H$102,8,FALSE),main!$K$19:$O$22,MATCH(VLOOKUP($A54,main!$A$3:$H$102,7,FALSE),main!$K$18:$O$18,0),0))),0)</f>
        <v>0</v>
      </c>
      <c r="BW54">
        <f>IF((gamma!BW54),IF(VLOOKUP(BW$1,main!$A$3:$H$102,7,FALSE)=VLOOKUP($A54,main!$A$3:$H$102,8,FALSE),VLOOKUP(BW$1,main!$A$3:$H$102,4,FALSE),VLOOKUP(BW$1,main!$A$3:$H$102,4,FALSE)+VLOOKUP($A54,main!$A$3:$H$102,4,FALSE)+(VLOOKUP(VLOOKUP(BW$1,main!$A$3:$H$102,8,FALSE),main!$K$19:$O$22,MATCH(VLOOKUP($A54,main!$A$3:$H$102,7,FALSE),main!$K$18:$O$18,0),0))),0)</f>
        <v>0</v>
      </c>
      <c r="BX54">
        <f>IF((gamma!BX54),IF(VLOOKUP(BX$1,main!$A$3:$H$102,7,FALSE)=VLOOKUP($A54,main!$A$3:$H$102,8,FALSE),VLOOKUP(BX$1,main!$A$3:$H$102,4,FALSE),VLOOKUP(BX$1,main!$A$3:$H$102,4,FALSE)+VLOOKUP($A54,main!$A$3:$H$102,4,FALSE)+(VLOOKUP(VLOOKUP(BX$1,main!$A$3:$H$102,8,FALSE),main!$K$19:$O$22,MATCH(VLOOKUP($A54,main!$A$3:$H$102,7,FALSE),main!$K$18:$O$18,0),0))),0)</f>
        <v>0</v>
      </c>
      <c r="BY54">
        <f>IF((gamma!BY54),IF(VLOOKUP(BY$1,main!$A$3:$H$102,7,FALSE)=VLOOKUP($A54,main!$A$3:$H$102,8,FALSE),VLOOKUP(BY$1,main!$A$3:$H$102,4,FALSE),VLOOKUP(BY$1,main!$A$3:$H$102,4,FALSE)+VLOOKUP($A54,main!$A$3:$H$102,4,FALSE)+(VLOOKUP(VLOOKUP(BY$1,main!$A$3:$H$102,8,FALSE),main!$K$19:$O$22,MATCH(VLOOKUP($A54,main!$A$3:$H$102,7,FALSE),main!$K$18:$O$18,0),0))),0)</f>
        <v>0</v>
      </c>
      <c r="BZ54">
        <f>IF((gamma!BZ54),IF(VLOOKUP(BZ$1,main!$A$3:$H$102,7,FALSE)=VLOOKUP($A54,main!$A$3:$H$102,8,FALSE),VLOOKUP(BZ$1,main!$A$3:$H$102,4,FALSE),VLOOKUP(BZ$1,main!$A$3:$H$102,4,FALSE)+VLOOKUP($A54,main!$A$3:$H$102,4,FALSE)+(VLOOKUP(VLOOKUP(BZ$1,main!$A$3:$H$102,8,FALSE),main!$K$19:$O$22,MATCH(VLOOKUP($A54,main!$A$3:$H$102,7,FALSE),main!$K$18:$O$18,0),0))),0)</f>
        <v>0</v>
      </c>
      <c r="CA54">
        <f>IF((gamma!CA54),IF(VLOOKUP(CA$1,main!$A$3:$H$102,7,FALSE)=VLOOKUP($A54,main!$A$3:$H$102,8,FALSE),VLOOKUP(CA$1,main!$A$3:$H$102,4,FALSE),VLOOKUP(CA$1,main!$A$3:$H$102,4,FALSE)+VLOOKUP($A54,main!$A$3:$H$102,4,FALSE)+(VLOOKUP(VLOOKUP(CA$1,main!$A$3:$H$102,8,FALSE),main!$K$19:$O$22,MATCH(VLOOKUP($A54,main!$A$3:$H$102,7,FALSE),main!$K$18:$O$18,0),0))),0)</f>
        <v>0</v>
      </c>
      <c r="CB54">
        <f>IF((gamma!CB54),IF(VLOOKUP(CB$1,main!$A$3:$H$102,7,FALSE)=VLOOKUP($A54,main!$A$3:$H$102,8,FALSE),VLOOKUP(CB$1,main!$A$3:$H$102,4,FALSE),VLOOKUP(CB$1,main!$A$3:$H$102,4,FALSE)+VLOOKUP($A54,main!$A$3:$H$102,4,FALSE)+(VLOOKUP(VLOOKUP(CB$1,main!$A$3:$H$102,8,FALSE),main!$K$19:$O$22,MATCH(VLOOKUP($A54,main!$A$3:$H$102,7,FALSE),main!$K$18:$O$18,0),0))),0)</f>
        <v>0</v>
      </c>
      <c r="CC54">
        <f>IF((gamma!CC54),IF(VLOOKUP(CC$1,main!$A$3:$H$102,7,FALSE)=VLOOKUP($A54,main!$A$3:$H$102,8,FALSE),VLOOKUP(CC$1,main!$A$3:$H$102,4,FALSE),VLOOKUP(CC$1,main!$A$3:$H$102,4,FALSE)+VLOOKUP($A54,main!$A$3:$H$102,4,FALSE)+(VLOOKUP(VLOOKUP(CC$1,main!$A$3:$H$102,8,FALSE),main!$K$19:$O$22,MATCH(VLOOKUP($A54,main!$A$3:$H$102,7,FALSE),main!$K$18:$O$18,0),0))),0)</f>
        <v>228</v>
      </c>
      <c r="CD54">
        <f>IF((gamma!CD54),IF(VLOOKUP(CD$1,main!$A$3:$H$102,7,FALSE)=VLOOKUP($A54,main!$A$3:$H$102,8,FALSE),VLOOKUP(CD$1,main!$A$3:$H$102,4,FALSE),VLOOKUP(CD$1,main!$A$3:$H$102,4,FALSE)+VLOOKUP($A54,main!$A$3:$H$102,4,FALSE)+(VLOOKUP(VLOOKUP(CD$1,main!$A$3:$H$102,8,FALSE),main!$K$19:$O$22,MATCH(VLOOKUP($A54,main!$A$3:$H$102,7,FALSE),main!$K$18:$O$18,0),0))),0)</f>
        <v>0</v>
      </c>
      <c r="CE54">
        <f>IF((gamma!CE54),IF(VLOOKUP(CE$1,main!$A$3:$H$102,7,FALSE)=VLOOKUP($A54,main!$A$3:$H$102,8,FALSE),VLOOKUP(CE$1,main!$A$3:$H$102,4,FALSE),VLOOKUP(CE$1,main!$A$3:$H$102,4,FALSE)+VLOOKUP($A54,main!$A$3:$H$102,4,FALSE)+(VLOOKUP(VLOOKUP(CE$1,main!$A$3:$H$102,8,FALSE),main!$K$19:$O$22,MATCH(VLOOKUP($A54,main!$A$3:$H$102,7,FALSE),main!$K$18:$O$18,0),0))),0)</f>
        <v>0</v>
      </c>
      <c r="CF54">
        <f>IF((gamma!CF54),IF(VLOOKUP(CF$1,main!$A$3:$H$102,7,FALSE)=VLOOKUP($A54,main!$A$3:$H$102,8,FALSE),VLOOKUP(CF$1,main!$A$3:$H$102,4,FALSE),VLOOKUP(CF$1,main!$A$3:$H$102,4,FALSE)+VLOOKUP($A54,main!$A$3:$H$102,4,FALSE)+(VLOOKUP(VLOOKUP(CF$1,main!$A$3:$H$102,8,FALSE),main!$K$19:$O$22,MATCH(VLOOKUP($A54,main!$A$3:$H$102,7,FALSE),main!$K$18:$O$18,0),0))),0)</f>
        <v>0</v>
      </c>
      <c r="CG54">
        <f>IF((gamma!CG54),IF(VLOOKUP(CG$1,main!$A$3:$H$102,7,FALSE)=VLOOKUP($A54,main!$A$3:$H$102,8,FALSE),VLOOKUP(CG$1,main!$A$3:$H$102,4,FALSE),VLOOKUP(CG$1,main!$A$3:$H$102,4,FALSE)+VLOOKUP($A54,main!$A$3:$H$102,4,FALSE)+(VLOOKUP(VLOOKUP(CG$1,main!$A$3:$H$102,8,FALSE),main!$K$19:$O$22,MATCH(VLOOKUP($A54,main!$A$3:$H$102,7,FALSE),main!$K$18:$O$18,0),0))),0)</f>
        <v>0</v>
      </c>
      <c r="CH54">
        <f>IF((gamma!CH54),IF(VLOOKUP(CH$1,main!$A$3:$H$102,7,FALSE)=VLOOKUP($A54,main!$A$3:$H$102,8,FALSE),VLOOKUP(CH$1,main!$A$3:$H$102,4,FALSE),VLOOKUP(CH$1,main!$A$3:$H$102,4,FALSE)+VLOOKUP($A54,main!$A$3:$H$102,4,FALSE)+(VLOOKUP(VLOOKUP(CH$1,main!$A$3:$H$102,8,FALSE),main!$K$19:$O$22,MATCH(VLOOKUP($A54,main!$A$3:$H$102,7,FALSE),main!$K$18:$O$18,0),0))),0)</f>
        <v>310</v>
      </c>
      <c r="CI54">
        <f>IF((gamma!CI54),IF(VLOOKUP(CI$1,main!$A$3:$H$102,7,FALSE)=VLOOKUP($A54,main!$A$3:$H$102,8,FALSE),VLOOKUP(CI$1,main!$A$3:$H$102,4,FALSE),VLOOKUP(CI$1,main!$A$3:$H$102,4,FALSE)+VLOOKUP($A54,main!$A$3:$H$102,4,FALSE)+(VLOOKUP(VLOOKUP(CI$1,main!$A$3:$H$102,8,FALSE),main!$K$19:$O$22,MATCH(VLOOKUP($A54,main!$A$3:$H$102,7,FALSE),main!$K$18:$O$18,0),0))),0)</f>
        <v>310</v>
      </c>
      <c r="CJ54">
        <f>IF((gamma!CJ54),IF(VLOOKUP(CJ$1,main!$A$3:$H$102,7,FALSE)=VLOOKUP($A54,main!$A$3:$H$102,8,FALSE),VLOOKUP(CJ$1,main!$A$3:$H$102,4,FALSE),VLOOKUP(CJ$1,main!$A$3:$H$102,4,FALSE)+VLOOKUP($A54,main!$A$3:$H$102,4,FALSE)+(VLOOKUP(VLOOKUP(CJ$1,main!$A$3:$H$102,8,FALSE),main!$K$19:$O$22,MATCH(VLOOKUP($A54,main!$A$3:$H$102,7,FALSE),main!$K$18:$O$18,0),0))),0)</f>
        <v>0</v>
      </c>
      <c r="CK54">
        <f>IF((gamma!CK54),IF(VLOOKUP(CK$1,main!$A$3:$H$102,7,FALSE)=VLOOKUP($A54,main!$A$3:$H$102,8,FALSE),VLOOKUP(CK$1,main!$A$3:$H$102,4,FALSE),VLOOKUP(CK$1,main!$A$3:$H$102,4,FALSE)+VLOOKUP($A54,main!$A$3:$H$102,4,FALSE)+(VLOOKUP(VLOOKUP(CK$1,main!$A$3:$H$102,8,FALSE),main!$K$19:$O$22,MATCH(VLOOKUP($A54,main!$A$3:$H$102,7,FALSE),main!$K$18:$O$18,0),0))),0)</f>
        <v>0</v>
      </c>
      <c r="CL54">
        <f>IF((gamma!CL54),IF(VLOOKUP(CL$1,main!$A$3:$H$102,7,FALSE)=VLOOKUP($A54,main!$A$3:$H$102,8,FALSE),VLOOKUP(CL$1,main!$A$3:$H$102,4,FALSE),VLOOKUP(CL$1,main!$A$3:$H$102,4,FALSE)+VLOOKUP($A54,main!$A$3:$H$102,4,FALSE)+(VLOOKUP(VLOOKUP(CL$1,main!$A$3:$H$102,8,FALSE),main!$K$19:$O$22,MATCH(VLOOKUP($A54,main!$A$3:$H$102,7,FALSE),main!$K$18:$O$18,0),0))),0)</f>
        <v>0</v>
      </c>
      <c r="CM54">
        <f>IF((gamma!CM54),IF(VLOOKUP(CM$1,main!$A$3:$H$102,7,FALSE)=VLOOKUP($A54,main!$A$3:$H$102,8,FALSE),VLOOKUP(CM$1,main!$A$3:$H$102,4,FALSE),VLOOKUP(CM$1,main!$A$3:$H$102,4,FALSE)+VLOOKUP($A54,main!$A$3:$H$102,4,FALSE)+(VLOOKUP(VLOOKUP(CM$1,main!$A$3:$H$102,8,FALSE),main!$K$19:$O$22,MATCH(VLOOKUP($A54,main!$A$3:$H$102,7,FALSE),main!$K$18:$O$18,0),0))),0)</f>
        <v>270</v>
      </c>
      <c r="CN54">
        <f>IF((gamma!CN54),IF(VLOOKUP(CN$1,main!$A$3:$H$102,7,FALSE)=VLOOKUP($A54,main!$A$3:$H$102,8,FALSE),VLOOKUP(CN$1,main!$A$3:$H$102,4,FALSE),VLOOKUP(CN$1,main!$A$3:$H$102,4,FALSE)+VLOOKUP($A54,main!$A$3:$H$102,4,FALSE)+(VLOOKUP(VLOOKUP(CN$1,main!$A$3:$H$102,8,FALSE),main!$K$19:$O$22,MATCH(VLOOKUP($A54,main!$A$3:$H$102,7,FALSE),main!$K$18:$O$18,0),0))),0)</f>
        <v>266</v>
      </c>
      <c r="CO54">
        <f>IF((gamma!CO54),IF(VLOOKUP(CO$1,main!$A$3:$H$102,7,FALSE)=VLOOKUP($A54,main!$A$3:$H$102,8,FALSE),VLOOKUP(CO$1,main!$A$3:$H$102,4,FALSE),VLOOKUP(CO$1,main!$A$3:$H$102,4,FALSE)+VLOOKUP($A54,main!$A$3:$H$102,4,FALSE)+(VLOOKUP(VLOOKUP(CO$1,main!$A$3:$H$102,8,FALSE),main!$K$19:$O$22,MATCH(VLOOKUP($A54,main!$A$3:$H$102,7,FALSE),main!$K$18:$O$18,0),0))),0)</f>
        <v>0</v>
      </c>
      <c r="CP54">
        <f>IF((gamma!CP54),IF(VLOOKUP(CP$1,main!$A$3:$H$102,7,FALSE)=VLOOKUP($A54,main!$A$3:$H$102,8,FALSE),VLOOKUP(CP$1,main!$A$3:$H$102,4,FALSE),VLOOKUP(CP$1,main!$A$3:$H$102,4,FALSE)+VLOOKUP($A54,main!$A$3:$H$102,4,FALSE)+(VLOOKUP(VLOOKUP(CP$1,main!$A$3:$H$102,8,FALSE),main!$K$19:$O$22,MATCH(VLOOKUP($A54,main!$A$3:$H$102,7,FALSE),main!$K$18:$O$18,0),0))),0)</f>
        <v>0</v>
      </c>
      <c r="CQ54">
        <f>IF((gamma!CQ54),IF(VLOOKUP(CQ$1,main!$A$3:$H$102,7,FALSE)=VLOOKUP($A54,main!$A$3:$H$102,8,FALSE),VLOOKUP(CQ$1,main!$A$3:$H$102,4,FALSE),VLOOKUP(CQ$1,main!$A$3:$H$102,4,FALSE)+VLOOKUP($A54,main!$A$3:$H$102,4,FALSE)+(VLOOKUP(VLOOKUP(CQ$1,main!$A$3:$H$102,8,FALSE),main!$K$19:$O$22,MATCH(VLOOKUP($A54,main!$A$3:$H$102,7,FALSE),main!$K$18:$O$18,0),0))),0)</f>
        <v>0</v>
      </c>
      <c r="CR54">
        <f>IF((gamma!CR54),IF(VLOOKUP(CR$1,main!$A$3:$H$102,7,FALSE)=VLOOKUP($A54,main!$A$3:$H$102,8,FALSE),VLOOKUP(CR$1,main!$A$3:$H$102,4,FALSE),VLOOKUP(CR$1,main!$A$3:$H$102,4,FALSE)+VLOOKUP($A54,main!$A$3:$H$102,4,FALSE)+(VLOOKUP(VLOOKUP(CR$1,main!$A$3:$H$102,8,FALSE),main!$K$19:$O$22,MATCH(VLOOKUP($A54,main!$A$3:$H$102,7,FALSE),main!$K$18:$O$18,0),0))),0)</f>
        <v>275</v>
      </c>
      <c r="CS54">
        <f>IF((gamma!CS54),IF(VLOOKUP(CS$1,main!$A$3:$H$102,7,FALSE)=VLOOKUP($A54,main!$A$3:$H$102,8,FALSE),VLOOKUP(CS$1,main!$A$3:$H$102,4,FALSE),VLOOKUP(CS$1,main!$A$3:$H$102,4,FALSE)+VLOOKUP($A54,main!$A$3:$H$102,4,FALSE)+(VLOOKUP(VLOOKUP(CS$1,main!$A$3:$H$102,8,FALSE),main!$K$19:$O$22,MATCH(VLOOKUP($A54,main!$A$3:$H$102,7,FALSE),main!$K$18:$O$18,0),0))),0)</f>
        <v>275</v>
      </c>
      <c r="CT54">
        <f>IF((gamma!CT54),IF(VLOOKUP(CT$1,main!$A$3:$H$102,7,FALSE)=VLOOKUP($A54,main!$A$3:$H$102,8,FALSE),VLOOKUP(CT$1,main!$A$3:$H$102,4,FALSE),VLOOKUP(CT$1,main!$A$3:$H$102,4,FALSE)+VLOOKUP($A54,main!$A$3:$H$102,4,FALSE)+(VLOOKUP(VLOOKUP(CT$1,main!$A$3:$H$102,8,FALSE),main!$K$19:$O$22,MATCH(VLOOKUP($A54,main!$A$3:$H$102,7,FALSE),main!$K$18:$O$18,0),0))),0)</f>
        <v>0</v>
      </c>
      <c r="CU54">
        <f>IF((gamma!CU54),IF(VLOOKUP(CU$1,main!$A$3:$H$102,7,FALSE)=VLOOKUP($A54,main!$A$3:$H$102,8,FALSE),VLOOKUP(CU$1,main!$A$3:$H$102,4,FALSE),VLOOKUP(CU$1,main!$A$3:$H$102,4,FALSE)+VLOOKUP($A54,main!$A$3:$H$102,4,FALSE)+(VLOOKUP(VLOOKUP(CU$1,main!$A$3:$H$102,8,FALSE),main!$K$19:$O$22,MATCH(VLOOKUP($A54,main!$A$3:$H$102,7,FALSE),main!$K$18:$O$18,0),0))),0)</f>
        <v>0</v>
      </c>
      <c r="CV54">
        <f>IF((gamma!CV54),IF(VLOOKUP(CV$1,main!$A$3:$H$102,7,FALSE)=VLOOKUP($A54,main!$A$3:$H$102,8,FALSE),VLOOKUP(CV$1,main!$A$3:$H$102,4,FALSE),VLOOKUP(CV$1,main!$A$3:$H$102,4,FALSE)+VLOOKUP($A54,main!$A$3:$H$102,4,FALSE)+(VLOOKUP(VLOOKUP(CV$1,main!$A$3:$H$102,8,FALSE),main!$K$19:$O$22,MATCH(VLOOKUP($A54,main!$A$3:$H$102,7,FALSE),main!$K$18:$O$18,0),0))),0)</f>
        <v>0</v>
      </c>
      <c r="CW54">
        <f>IF((gamma!CW54),IF(VLOOKUP(CW$1,main!$A$3:$H$102,7,FALSE)=VLOOKUP($A54,main!$A$3:$H$102,8,FALSE),VLOOKUP(CW$1,main!$A$3:$H$102,4,FALSE),VLOOKUP(CW$1,main!$A$3:$H$102,4,FALSE)+VLOOKUP($A54,main!$A$3:$H$102,4,FALSE)+(VLOOKUP(VLOOKUP(CW$1,main!$A$3:$H$102,8,FALSE),main!$K$19:$O$22,MATCH(VLOOKUP($A54,main!$A$3:$H$102,7,FALSE),main!$K$18:$O$18,0),0))),0)</f>
        <v>235</v>
      </c>
      <c r="CX54">
        <f>IF((gamma!CX54),IF(VLOOKUP(CX$1,main!$A$3:$H$102,7,FALSE)=VLOOKUP($A54,main!$A$3:$H$102,8,FALSE),VLOOKUP(CX$1,main!$A$3:$H$102,4,FALSE),VLOOKUP(CX$1,main!$A$3:$H$102,4,FALSE)+VLOOKUP($A54,main!$A$3:$H$102,4,FALSE)+(VLOOKUP(VLOOKUP(CX$1,main!$A$3:$H$102,8,FALSE),main!$K$19:$O$22,MATCH(VLOOKUP($A54,main!$A$3:$H$102,7,FALSE),main!$K$18:$O$18,0),0))),0)</f>
        <v>225</v>
      </c>
      <c r="CY54">
        <v>0</v>
      </c>
      <c r="CZ54">
        <v>0</v>
      </c>
      <c r="DA54">
        <v>0</v>
      </c>
    </row>
    <row r="55" spans="1:105" x14ac:dyDescent="0.25">
      <c r="A55" s="1">
        <v>53</v>
      </c>
      <c r="B55">
        <v>0</v>
      </c>
      <c r="C55">
        <f>IF((gamma!C55),IF(VLOOKUP(C$1,main!$A$3:$H$102,7,FALSE)=VLOOKUP($A55,main!$A$3:$H$102,8,FALSE),VLOOKUP(C$1,main!$A$3:$H$102,4,FALSE),VLOOKUP(C$1,main!$A$3:$H$102,4,FALSE)+VLOOKUP($A55,main!$A$3:$H$102,4,FALSE)+(VLOOKUP(VLOOKUP(C$1,main!$A$3:$H$102,8,FALSE),main!$K$19:$O$22,MATCH(VLOOKUP($A55,main!$A$3:$H$102,7,FALSE),main!$K$18:$O$18,0),0))),0)</f>
        <v>0</v>
      </c>
      <c r="D55">
        <f>IF((gamma!D55),IF(VLOOKUP(D$1,main!$A$3:$H$102,7,FALSE)=VLOOKUP($A55,main!$A$3:$H$102,8,FALSE),VLOOKUP(D$1,main!$A$3:$H$102,4,FALSE),VLOOKUP(D$1,main!$A$3:$H$102,4,FALSE)+VLOOKUP($A55,main!$A$3:$H$102,4,FALSE)+(VLOOKUP(VLOOKUP(D$1,main!$A$3:$H$102,8,FALSE),main!$K$19:$O$22,MATCH(VLOOKUP($A55,main!$A$3:$H$102,7,FALSE),main!$K$18:$O$18,0),0))),0)</f>
        <v>0</v>
      </c>
      <c r="E55">
        <f>IF((gamma!E55),IF(VLOOKUP(E$1,main!$A$3:$H$102,7,FALSE)=VLOOKUP($A55,main!$A$3:$H$102,8,FALSE),VLOOKUP(E$1,main!$A$3:$H$102,4,FALSE),VLOOKUP(E$1,main!$A$3:$H$102,4,FALSE)+VLOOKUP($A55,main!$A$3:$H$102,4,FALSE)+(VLOOKUP(VLOOKUP(E$1,main!$A$3:$H$102,8,FALSE),main!$K$19:$O$22,MATCH(VLOOKUP($A55,main!$A$3:$H$102,7,FALSE),main!$K$18:$O$18,0),0))),0)</f>
        <v>0</v>
      </c>
      <c r="F55">
        <f>IF((gamma!F55),IF(VLOOKUP(F$1,main!$A$3:$H$102,7,FALSE)=VLOOKUP($A55,main!$A$3:$H$102,8,FALSE),VLOOKUP(F$1,main!$A$3:$H$102,4,FALSE),VLOOKUP(F$1,main!$A$3:$H$102,4,FALSE)+VLOOKUP($A55,main!$A$3:$H$102,4,FALSE)+(VLOOKUP(VLOOKUP(F$1,main!$A$3:$H$102,8,FALSE),main!$K$19:$O$22,MATCH(VLOOKUP($A55,main!$A$3:$H$102,7,FALSE),main!$K$18:$O$18,0),0))),0)</f>
        <v>0</v>
      </c>
      <c r="G55">
        <f>IF((gamma!G55),IF(VLOOKUP(G$1,main!$A$3:$H$102,7,FALSE)=VLOOKUP($A55,main!$A$3:$H$102,8,FALSE),VLOOKUP(G$1,main!$A$3:$H$102,4,FALSE),VLOOKUP(G$1,main!$A$3:$H$102,4,FALSE)+VLOOKUP($A55,main!$A$3:$H$102,4,FALSE)+(VLOOKUP(VLOOKUP(G$1,main!$A$3:$H$102,8,FALSE),main!$K$19:$O$22,MATCH(VLOOKUP($A55,main!$A$3:$H$102,7,FALSE),main!$K$18:$O$18,0),0))),0)</f>
        <v>0</v>
      </c>
      <c r="H55">
        <f>IF((gamma!H55),IF(VLOOKUP(H$1,main!$A$3:$H$102,7,FALSE)=VLOOKUP($A55,main!$A$3:$H$102,8,FALSE),VLOOKUP(H$1,main!$A$3:$H$102,4,FALSE),VLOOKUP(H$1,main!$A$3:$H$102,4,FALSE)+VLOOKUP($A55,main!$A$3:$H$102,4,FALSE)+(VLOOKUP(VLOOKUP(H$1,main!$A$3:$H$102,8,FALSE),main!$K$19:$O$22,MATCH(VLOOKUP($A55,main!$A$3:$H$102,7,FALSE),main!$K$18:$O$18,0),0))),0)</f>
        <v>0</v>
      </c>
      <c r="I55">
        <f>IF((gamma!I55),IF(VLOOKUP(I$1,main!$A$3:$H$102,7,FALSE)=VLOOKUP($A55,main!$A$3:$H$102,8,FALSE),VLOOKUP(I$1,main!$A$3:$H$102,4,FALSE),VLOOKUP(I$1,main!$A$3:$H$102,4,FALSE)+VLOOKUP($A55,main!$A$3:$H$102,4,FALSE)+(VLOOKUP(VLOOKUP(I$1,main!$A$3:$H$102,8,FALSE),main!$K$19:$O$22,MATCH(VLOOKUP($A55,main!$A$3:$H$102,7,FALSE),main!$K$18:$O$18,0),0))),0)</f>
        <v>0</v>
      </c>
      <c r="J55">
        <f>IF((gamma!J55),IF(VLOOKUP(J$1,main!$A$3:$H$102,7,FALSE)=VLOOKUP($A55,main!$A$3:$H$102,8,FALSE),VLOOKUP(J$1,main!$A$3:$H$102,4,FALSE),VLOOKUP(J$1,main!$A$3:$H$102,4,FALSE)+VLOOKUP($A55,main!$A$3:$H$102,4,FALSE)+(VLOOKUP(VLOOKUP(J$1,main!$A$3:$H$102,8,FALSE),main!$K$19:$O$22,MATCH(VLOOKUP($A55,main!$A$3:$H$102,7,FALSE),main!$K$18:$O$18,0),0))),0)</f>
        <v>135</v>
      </c>
      <c r="K55">
        <f>IF((gamma!K55),IF(VLOOKUP(K$1,main!$A$3:$H$102,7,FALSE)=VLOOKUP($A55,main!$A$3:$H$102,8,FALSE),VLOOKUP(K$1,main!$A$3:$H$102,4,FALSE),VLOOKUP(K$1,main!$A$3:$H$102,4,FALSE)+VLOOKUP($A55,main!$A$3:$H$102,4,FALSE)+(VLOOKUP(VLOOKUP(K$1,main!$A$3:$H$102,8,FALSE),main!$K$19:$O$22,MATCH(VLOOKUP($A55,main!$A$3:$H$102,7,FALSE),main!$K$18:$O$18,0),0))),0)</f>
        <v>135</v>
      </c>
      <c r="L55">
        <f>IF((gamma!L55),IF(VLOOKUP(L$1,main!$A$3:$H$102,7,FALSE)=VLOOKUP($A55,main!$A$3:$H$102,8,FALSE),VLOOKUP(L$1,main!$A$3:$H$102,4,FALSE),VLOOKUP(L$1,main!$A$3:$H$102,4,FALSE)+VLOOKUP($A55,main!$A$3:$H$102,4,FALSE)+(VLOOKUP(VLOOKUP(L$1,main!$A$3:$H$102,8,FALSE),main!$K$19:$O$22,MATCH(VLOOKUP($A55,main!$A$3:$H$102,7,FALSE),main!$K$18:$O$18,0),0))),0)</f>
        <v>135</v>
      </c>
      <c r="M55">
        <f>IF((gamma!M55),IF(VLOOKUP(M$1,main!$A$3:$H$102,7,FALSE)=VLOOKUP($A55,main!$A$3:$H$102,8,FALSE),VLOOKUP(M$1,main!$A$3:$H$102,4,FALSE),VLOOKUP(M$1,main!$A$3:$H$102,4,FALSE)+VLOOKUP($A55,main!$A$3:$H$102,4,FALSE)+(VLOOKUP(VLOOKUP(M$1,main!$A$3:$H$102,8,FALSE),main!$K$19:$O$22,MATCH(VLOOKUP($A55,main!$A$3:$H$102,7,FALSE),main!$K$18:$O$18,0),0))),0)</f>
        <v>0</v>
      </c>
      <c r="N55">
        <f>IF((gamma!N55),IF(VLOOKUP(N$1,main!$A$3:$H$102,7,FALSE)=VLOOKUP($A55,main!$A$3:$H$102,8,FALSE),VLOOKUP(N$1,main!$A$3:$H$102,4,FALSE),VLOOKUP(N$1,main!$A$3:$H$102,4,FALSE)+VLOOKUP($A55,main!$A$3:$H$102,4,FALSE)+(VLOOKUP(VLOOKUP(N$1,main!$A$3:$H$102,8,FALSE),main!$K$19:$O$22,MATCH(VLOOKUP($A55,main!$A$3:$H$102,7,FALSE),main!$K$18:$O$18,0),0))),0)</f>
        <v>0</v>
      </c>
      <c r="O55">
        <f>IF((gamma!O55),IF(VLOOKUP(O$1,main!$A$3:$H$102,7,FALSE)=VLOOKUP($A55,main!$A$3:$H$102,8,FALSE),VLOOKUP(O$1,main!$A$3:$H$102,4,FALSE),VLOOKUP(O$1,main!$A$3:$H$102,4,FALSE)+VLOOKUP($A55,main!$A$3:$H$102,4,FALSE)+(VLOOKUP(VLOOKUP(O$1,main!$A$3:$H$102,8,FALSE),main!$K$19:$O$22,MATCH(VLOOKUP($A55,main!$A$3:$H$102,7,FALSE),main!$K$18:$O$18,0),0))),0)</f>
        <v>0</v>
      </c>
      <c r="P55">
        <f>IF((gamma!P55),IF(VLOOKUP(P$1,main!$A$3:$H$102,7,FALSE)=VLOOKUP($A55,main!$A$3:$H$102,8,FALSE),VLOOKUP(P$1,main!$A$3:$H$102,4,FALSE),VLOOKUP(P$1,main!$A$3:$H$102,4,FALSE)+VLOOKUP($A55,main!$A$3:$H$102,4,FALSE)+(VLOOKUP(VLOOKUP(P$1,main!$A$3:$H$102,8,FALSE),main!$K$19:$O$22,MATCH(VLOOKUP($A55,main!$A$3:$H$102,7,FALSE),main!$K$18:$O$18,0),0))),0)</f>
        <v>0</v>
      </c>
      <c r="Q55">
        <f>IF((gamma!Q55),IF(VLOOKUP(Q$1,main!$A$3:$H$102,7,FALSE)=VLOOKUP($A55,main!$A$3:$H$102,8,FALSE),VLOOKUP(Q$1,main!$A$3:$H$102,4,FALSE),VLOOKUP(Q$1,main!$A$3:$H$102,4,FALSE)+VLOOKUP($A55,main!$A$3:$H$102,4,FALSE)+(VLOOKUP(VLOOKUP(Q$1,main!$A$3:$H$102,8,FALSE),main!$K$19:$O$22,MATCH(VLOOKUP($A55,main!$A$3:$H$102,7,FALSE),main!$K$18:$O$18,0),0))),0)</f>
        <v>0</v>
      </c>
      <c r="R55">
        <f>IF((gamma!R55),IF(VLOOKUP(R$1,main!$A$3:$H$102,7,FALSE)=VLOOKUP($A55,main!$A$3:$H$102,8,FALSE),VLOOKUP(R$1,main!$A$3:$H$102,4,FALSE),VLOOKUP(R$1,main!$A$3:$H$102,4,FALSE)+VLOOKUP($A55,main!$A$3:$H$102,4,FALSE)+(VLOOKUP(VLOOKUP(R$1,main!$A$3:$H$102,8,FALSE),main!$K$19:$O$22,MATCH(VLOOKUP($A55,main!$A$3:$H$102,7,FALSE),main!$K$18:$O$18,0),0))),0)</f>
        <v>0</v>
      </c>
      <c r="S55">
        <f>IF((gamma!S55),IF(VLOOKUP(S$1,main!$A$3:$H$102,7,FALSE)=VLOOKUP($A55,main!$A$3:$H$102,8,FALSE),VLOOKUP(S$1,main!$A$3:$H$102,4,FALSE),VLOOKUP(S$1,main!$A$3:$H$102,4,FALSE)+VLOOKUP($A55,main!$A$3:$H$102,4,FALSE)+(VLOOKUP(VLOOKUP(S$1,main!$A$3:$H$102,8,FALSE),main!$K$19:$O$22,MATCH(VLOOKUP($A55,main!$A$3:$H$102,7,FALSE),main!$K$18:$O$18,0),0))),0)</f>
        <v>0</v>
      </c>
      <c r="T55">
        <f>IF((gamma!T55),IF(VLOOKUP(T$1,main!$A$3:$H$102,7,FALSE)=VLOOKUP($A55,main!$A$3:$H$102,8,FALSE),VLOOKUP(T$1,main!$A$3:$H$102,4,FALSE),VLOOKUP(T$1,main!$A$3:$H$102,4,FALSE)+VLOOKUP($A55,main!$A$3:$H$102,4,FALSE)+(VLOOKUP(VLOOKUP(T$1,main!$A$3:$H$102,8,FALSE),main!$K$19:$O$22,MATCH(VLOOKUP($A55,main!$A$3:$H$102,7,FALSE),main!$K$18:$O$18,0),0))),0)</f>
        <v>0</v>
      </c>
      <c r="U55">
        <f>IF((gamma!U55),IF(VLOOKUP(U$1,main!$A$3:$H$102,7,FALSE)=VLOOKUP($A55,main!$A$3:$H$102,8,FALSE),VLOOKUP(U$1,main!$A$3:$H$102,4,FALSE),VLOOKUP(U$1,main!$A$3:$H$102,4,FALSE)+VLOOKUP($A55,main!$A$3:$H$102,4,FALSE)+(VLOOKUP(VLOOKUP(U$1,main!$A$3:$H$102,8,FALSE),main!$K$19:$O$22,MATCH(VLOOKUP($A55,main!$A$3:$H$102,7,FALSE),main!$K$18:$O$18,0),0))),0)</f>
        <v>140</v>
      </c>
      <c r="V55">
        <f>IF((gamma!V55),IF(VLOOKUP(V$1,main!$A$3:$H$102,7,FALSE)=VLOOKUP($A55,main!$A$3:$H$102,8,FALSE),VLOOKUP(V$1,main!$A$3:$H$102,4,FALSE),VLOOKUP(V$1,main!$A$3:$H$102,4,FALSE)+VLOOKUP($A55,main!$A$3:$H$102,4,FALSE)+(VLOOKUP(VLOOKUP(V$1,main!$A$3:$H$102,8,FALSE),main!$K$19:$O$22,MATCH(VLOOKUP($A55,main!$A$3:$H$102,7,FALSE),main!$K$18:$O$18,0),0))),0)</f>
        <v>140</v>
      </c>
      <c r="W55">
        <f>IF((gamma!W55),IF(VLOOKUP(W$1,main!$A$3:$H$102,7,FALSE)=VLOOKUP($A55,main!$A$3:$H$102,8,FALSE),VLOOKUP(W$1,main!$A$3:$H$102,4,FALSE),VLOOKUP(W$1,main!$A$3:$H$102,4,FALSE)+VLOOKUP($A55,main!$A$3:$H$102,4,FALSE)+(VLOOKUP(VLOOKUP(W$1,main!$A$3:$H$102,8,FALSE),main!$K$19:$O$22,MATCH(VLOOKUP($A55,main!$A$3:$H$102,7,FALSE),main!$K$18:$O$18,0),0))),0)</f>
        <v>0</v>
      </c>
      <c r="X55">
        <f>IF((gamma!X55),IF(VLOOKUP(X$1,main!$A$3:$H$102,7,FALSE)=VLOOKUP($A55,main!$A$3:$H$102,8,FALSE),VLOOKUP(X$1,main!$A$3:$H$102,4,FALSE),VLOOKUP(X$1,main!$A$3:$H$102,4,FALSE)+VLOOKUP($A55,main!$A$3:$H$102,4,FALSE)+(VLOOKUP(VLOOKUP(X$1,main!$A$3:$H$102,8,FALSE),main!$K$19:$O$22,MATCH(VLOOKUP($A55,main!$A$3:$H$102,7,FALSE),main!$K$18:$O$18,0),0))),0)</f>
        <v>0</v>
      </c>
      <c r="Y55">
        <f>IF((gamma!Y55),IF(VLOOKUP(Y$1,main!$A$3:$H$102,7,FALSE)=VLOOKUP($A55,main!$A$3:$H$102,8,FALSE),VLOOKUP(Y$1,main!$A$3:$H$102,4,FALSE),VLOOKUP(Y$1,main!$A$3:$H$102,4,FALSE)+VLOOKUP($A55,main!$A$3:$H$102,4,FALSE)+(VLOOKUP(VLOOKUP(Y$1,main!$A$3:$H$102,8,FALSE),main!$K$19:$O$22,MATCH(VLOOKUP($A55,main!$A$3:$H$102,7,FALSE),main!$K$18:$O$18,0),0))),0)</f>
        <v>0</v>
      </c>
      <c r="Z55">
        <f>IF((gamma!Z55),IF(VLOOKUP(Z$1,main!$A$3:$H$102,7,FALSE)=VLOOKUP($A55,main!$A$3:$H$102,8,FALSE),VLOOKUP(Z$1,main!$A$3:$H$102,4,FALSE),VLOOKUP(Z$1,main!$A$3:$H$102,4,FALSE)+VLOOKUP($A55,main!$A$3:$H$102,4,FALSE)+(VLOOKUP(VLOOKUP(Z$1,main!$A$3:$H$102,8,FALSE),main!$K$19:$O$22,MATCH(VLOOKUP($A55,main!$A$3:$H$102,7,FALSE),main!$K$18:$O$18,0),0))),0)</f>
        <v>0</v>
      </c>
      <c r="AA55">
        <f>IF((gamma!AA55),IF(VLOOKUP(AA$1,main!$A$3:$H$102,7,FALSE)=VLOOKUP($A55,main!$A$3:$H$102,8,FALSE),VLOOKUP(AA$1,main!$A$3:$H$102,4,FALSE),VLOOKUP(AA$1,main!$A$3:$H$102,4,FALSE)+VLOOKUP($A55,main!$A$3:$H$102,4,FALSE)+(VLOOKUP(VLOOKUP(AA$1,main!$A$3:$H$102,8,FALSE),main!$K$19:$O$22,MATCH(VLOOKUP($A55,main!$A$3:$H$102,7,FALSE),main!$K$18:$O$18,0),0))),0)</f>
        <v>140</v>
      </c>
      <c r="AB55">
        <f>IF((gamma!AB55),IF(VLOOKUP(AB$1,main!$A$3:$H$102,7,FALSE)=VLOOKUP($A55,main!$A$3:$H$102,8,FALSE),VLOOKUP(AB$1,main!$A$3:$H$102,4,FALSE),VLOOKUP(AB$1,main!$A$3:$H$102,4,FALSE)+VLOOKUP($A55,main!$A$3:$H$102,4,FALSE)+(VLOOKUP(VLOOKUP(AB$1,main!$A$3:$H$102,8,FALSE),main!$K$19:$O$22,MATCH(VLOOKUP($A55,main!$A$3:$H$102,7,FALSE),main!$K$18:$O$18,0),0))),0)</f>
        <v>0</v>
      </c>
      <c r="AC55">
        <f>IF((gamma!AC55),IF(VLOOKUP(AC$1,main!$A$3:$H$102,7,FALSE)=VLOOKUP($A55,main!$A$3:$H$102,8,FALSE),VLOOKUP(AC$1,main!$A$3:$H$102,4,FALSE),VLOOKUP(AC$1,main!$A$3:$H$102,4,FALSE)+VLOOKUP($A55,main!$A$3:$H$102,4,FALSE)+(VLOOKUP(VLOOKUP(AC$1,main!$A$3:$H$102,8,FALSE),main!$K$19:$O$22,MATCH(VLOOKUP($A55,main!$A$3:$H$102,7,FALSE),main!$K$18:$O$18,0),0))),0)</f>
        <v>0</v>
      </c>
      <c r="AD55">
        <f>IF((gamma!AD55),IF(VLOOKUP(AD$1,main!$A$3:$H$102,7,FALSE)=VLOOKUP($A55,main!$A$3:$H$102,8,FALSE),VLOOKUP(AD$1,main!$A$3:$H$102,4,FALSE),VLOOKUP(AD$1,main!$A$3:$H$102,4,FALSE)+VLOOKUP($A55,main!$A$3:$H$102,4,FALSE)+(VLOOKUP(VLOOKUP(AD$1,main!$A$3:$H$102,8,FALSE),main!$K$19:$O$22,MATCH(VLOOKUP($A55,main!$A$3:$H$102,7,FALSE),main!$K$18:$O$18,0),0))),0)</f>
        <v>0</v>
      </c>
      <c r="AE55">
        <f>IF((gamma!AE55),IF(VLOOKUP(AE$1,main!$A$3:$H$102,7,FALSE)=VLOOKUP($A55,main!$A$3:$H$102,8,FALSE),VLOOKUP(AE$1,main!$A$3:$H$102,4,FALSE),VLOOKUP(AE$1,main!$A$3:$H$102,4,FALSE)+VLOOKUP($A55,main!$A$3:$H$102,4,FALSE)+(VLOOKUP(VLOOKUP(AE$1,main!$A$3:$H$102,8,FALSE),main!$K$19:$O$22,MATCH(VLOOKUP($A55,main!$A$3:$H$102,7,FALSE),main!$K$18:$O$18,0),0))),0)</f>
        <v>0</v>
      </c>
      <c r="AF55">
        <f>IF((gamma!AF55),IF(VLOOKUP(AF$1,main!$A$3:$H$102,7,FALSE)=VLOOKUP($A55,main!$A$3:$H$102,8,FALSE),VLOOKUP(AF$1,main!$A$3:$H$102,4,FALSE),VLOOKUP(AF$1,main!$A$3:$H$102,4,FALSE)+VLOOKUP($A55,main!$A$3:$H$102,4,FALSE)+(VLOOKUP(VLOOKUP(AF$1,main!$A$3:$H$102,8,FALSE),main!$K$19:$O$22,MATCH(VLOOKUP($A55,main!$A$3:$H$102,7,FALSE),main!$K$18:$O$18,0),0))),0)</f>
        <v>100</v>
      </c>
      <c r="AG55">
        <f>IF((gamma!AG55),IF(VLOOKUP(AG$1,main!$A$3:$H$102,7,FALSE)=VLOOKUP($A55,main!$A$3:$H$102,8,FALSE),VLOOKUP(AG$1,main!$A$3:$H$102,4,FALSE),VLOOKUP(AG$1,main!$A$3:$H$102,4,FALSE)+VLOOKUP($A55,main!$A$3:$H$102,4,FALSE)+(VLOOKUP(VLOOKUP(AG$1,main!$A$3:$H$102,8,FALSE),main!$K$19:$O$22,MATCH(VLOOKUP($A55,main!$A$3:$H$102,7,FALSE),main!$K$18:$O$18,0),0))),0)</f>
        <v>0</v>
      </c>
      <c r="AH55">
        <f>IF((gamma!AH55),IF(VLOOKUP(AH$1,main!$A$3:$H$102,7,FALSE)=VLOOKUP($A55,main!$A$3:$H$102,8,FALSE),VLOOKUP(AH$1,main!$A$3:$H$102,4,FALSE),VLOOKUP(AH$1,main!$A$3:$H$102,4,FALSE)+VLOOKUP($A55,main!$A$3:$H$102,4,FALSE)+(VLOOKUP(VLOOKUP(AH$1,main!$A$3:$H$102,8,FALSE),main!$K$19:$O$22,MATCH(VLOOKUP($A55,main!$A$3:$H$102,7,FALSE),main!$K$18:$O$18,0),0))),0)</f>
        <v>0</v>
      </c>
      <c r="AI55">
        <f>IF((gamma!AI55),IF(VLOOKUP(AI$1,main!$A$3:$H$102,7,FALSE)=VLOOKUP($A55,main!$A$3:$H$102,8,FALSE),VLOOKUP(AI$1,main!$A$3:$H$102,4,FALSE),VLOOKUP(AI$1,main!$A$3:$H$102,4,FALSE)+VLOOKUP($A55,main!$A$3:$H$102,4,FALSE)+(VLOOKUP(VLOOKUP(AI$1,main!$A$3:$H$102,8,FALSE),main!$K$19:$O$22,MATCH(VLOOKUP($A55,main!$A$3:$H$102,7,FALSE),main!$K$18:$O$18,0),0))),0)</f>
        <v>0</v>
      </c>
      <c r="AJ55">
        <f>IF((gamma!AJ55),IF(VLOOKUP(AJ$1,main!$A$3:$H$102,7,FALSE)=VLOOKUP($A55,main!$A$3:$H$102,8,FALSE),VLOOKUP(AJ$1,main!$A$3:$H$102,4,FALSE),VLOOKUP(AJ$1,main!$A$3:$H$102,4,FALSE)+VLOOKUP($A55,main!$A$3:$H$102,4,FALSE)+(VLOOKUP(VLOOKUP(AJ$1,main!$A$3:$H$102,8,FALSE),main!$K$19:$O$22,MATCH(VLOOKUP($A55,main!$A$3:$H$102,7,FALSE),main!$K$18:$O$18,0),0))),0)</f>
        <v>0</v>
      </c>
      <c r="AK55">
        <f>IF((gamma!AK55),IF(VLOOKUP(AK$1,main!$A$3:$H$102,7,FALSE)=VLOOKUP($A55,main!$A$3:$H$102,8,FALSE),VLOOKUP(AK$1,main!$A$3:$H$102,4,FALSE),VLOOKUP(AK$1,main!$A$3:$H$102,4,FALSE)+VLOOKUP($A55,main!$A$3:$H$102,4,FALSE)+(VLOOKUP(VLOOKUP(AK$1,main!$A$3:$H$102,8,FALSE),main!$K$19:$O$22,MATCH(VLOOKUP($A55,main!$A$3:$H$102,7,FALSE),main!$K$18:$O$18,0),0))),0)</f>
        <v>0</v>
      </c>
      <c r="AL55">
        <f>IF((gamma!AL55),IF(VLOOKUP(AL$1,main!$A$3:$H$102,7,FALSE)=VLOOKUP($A55,main!$A$3:$H$102,8,FALSE),VLOOKUP(AL$1,main!$A$3:$H$102,4,FALSE),VLOOKUP(AL$1,main!$A$3:$H$102,4,FALSE)+VLOOKUP($A55,main!$A$3:$H$102,4,FALSE)+(VLOOKUP(VLOOKUP(AL$1,main!$A$3:$H$102,8,FALSE),main!$K$19:$O$22,MATCH(VLOOKUP($A55,main!$A$3:$H$102,7,FALSE),main!$K$18:$O$18,0),0))),0)</f>
        <v>0</v>
      </c>
      <c r="AM55">
        <f>IF((gamma!AM55),IF(VLOOKUP(AM$1,main!$A$3:$H$102,7,FALSE)=VLOOKUP($A55,main!$A$3:$H$102,8,FALSE),VLOOKUP(AM$1,main!$A$3:$H$102,4,FALSE),VLOOKUP(AM$1,main!$A$3:$H$102,4,FALSE)+VLOOKUP($A55,main!$A$3:$H$102,4,FALSE)+(VLOOKUP(VLOOKUP(AM$1,main!$A$3:$H$102,8,FALSE),main!$K$19:$O$22,MATCH(VLOOKUP($A55,main!$A$3:$H$102,7,FALSE),main!$K$18:$O$18,0),0))),0)</f>
        <v>305</v>
      </c>
      <c r="AN55">
        <f>IF((gamma!AN55),IF(VLOOKUP(AN$1,main!$A$3:$H$102,7,FALSE)=VLOOKUP($A55,main!$A$3:$H$102,8,FALSE),VLOOKUP(AN$1,main!$A$3:$H$102,4,FALSE),VLOOKUP(AN$1,main!$A$3:$H$102,4,FALSE)+VLOOKUP($A55,main!$A$3:$H$102,4,FALSE)+(VLOOKUP(VLOOKUP(AN$1,main!$A$3:$H$102,8,FALSE),main!$K$19:$O$22,MATCH(VLOOKUP($A55,main!$A$3:$H$102,7,FALSE),main!$K$18:$O$18,0),0))),0)</f>
        <v>305</v>
      </c>
      <c r="AO55">
        <f>IF((gamma!AO55),IF(VLOOKUP(AO$1,main!$A$3:$H$102,7,FALSE)=VLOOKUP($A55,main!$A$3:$H$102,8,FALSE),VLOOKUP(AO$1,main!$A$3:$H$102,4,FALSE),VLOOKUP(AO$1,main!$A$3:$H$102,4,FALSE)+VLOOKUP($A55,main!$A$3:$H$102,4,FALSE)+(VLOOKUP(VLOOKUP(AO$1,main!$A$3:$H$102,8,FALSE),main!$K$19:$O$22,MATCH(VLOOKUP($A55,main!$A$3:$H$102,7,FALSE),main!$K$18:$O$18,0),0))),0)</f>
        <v>0</v>
      </c>
      <c r="AP55">
        <f>IF((gamma!AP55),IF(VLOOKUP(AP$1,main!$A$3:$H$102,7,FALSE)=VLOOKUP($A55,main!$A$3:$H$102,8,FALSE),VLOOKUP(AP$1,main!$A$3:$H$102,4,FALSE),VLOOKUP(AP$1,main!$A$3:$H$102,4,FALSE)+VLOOKUP($A55,main!$A$3:$H$102,4,FALSE)+(VLOOKUP(VLOOKUP(AP$1,main!$A$3:$H$102,8,FALSE),main!$K$19:$O$22,MATCH(VLOOKUP($A55,main!$A$3:$H$102,7,FALSE),main!$K$18:$O$18,0),0))),0)</f>
        <v>245</v>
      </c>
      <c r="AQ55">
        <f>IF((gamma!AQ55),IF(VLOOKUP(AQ$1,main!$A$3:$H$102,7,FALSE)=VLOOKUP($A55,main!$A$3:$H$102,8,FALSE),VLOOKUP(AQ$1,main!$A$3:$H$102,4,FALSE),VLOOKUP(AQ$1,main!$A$3:$H$102,4,FALSE)+VLOOKUP($A55,main!$A$3:$H$102,4,FALSE)+(VLOOKUP(VLOOKUP(AQ$1,main!$A$3:$H$102,8,FALSE),main!$K$19:$O$22,MATCH(VLOOKUP($A55,main!$A$3:$H$102,7,FALSE),main!$K$18:$O$18,0),0))),0)</f>
        <v>0</v>
      </c>
      <c r="AR55">
        <f>IF((gamma!AR55),IF(VLOOKUP(AR$1,main!$A$3:$H$102,7,FALSE)=VLOOKUP($A55,main!$A$3:$H$102,8,FALSE),VLOOKUP(AR$1,main!$A$3:$H$102,4,FALSE),VLOOKUP(AR$1,main!$A$3:$H$102,4,FALSE)+VLOOKUP($A55,main!$A$3:$H$102,4,FALSE)+(VLOOKUP(VLOOKUP(AR$1,main!$A$3:$H$102,8,FALSE),main!$K$19:$O$22,MATCH(VLOOKUP($A55,main!$A$3:$H$102,7,FALSE),main!$K$18:$O$18,0),0))),0)</f>
        <v>0</v>
      </c>
      <c r="AS55">
        <f>IF((gamma!AS55),IF(VLOOKUP(AS$1,main!$A$3:$H$102,7,FALSE)=VLOOKUP($A55,main!$A$3:$H$102,8,FALSE),VLOOKUP(AS$1,main!$A$3:$H$102,4,FALSE),VLOOKUP(AS$1,main!$A$3:$H$102,4,FALSE)+VLOOKUP($A55,main!$A$3:$H$102,4,FALSE)+(VLOOKUP(VLOOKUP(AS$1,main!$A$3:$H$102,8,FALSE),main!$K$19:$O$22,MATCH(VLOOKUP($A55,main!$A$3:$H$102,7,FALSE),main!$K$18:$O$18,0),0))),0)</f>
        <v>0</v>
      </c>
      <c r="AT55">
        <f>IF((gamma!AT55),IF(VLOOKUP(AT$1,main!$A$3:$H$102,7,FALSE)=VLOOKUP($A55,main!$A$3:$H$102,8,FALSE),VLOOKUP(AT$1,main!$A$3:$H$102,4,FALSE),VLOOKUP(AT$1,main!$A$3:$H$102,4,FALSE)+VLOOKUP($A55,main!$A$3:$H$102,4,FALSE)+(VLOOKUP(VLOOKUP(AT$1,main!$A$3:$H$102,8,FALSE),main!$K$19:$O$22,MATCH(VLOOKUP($A55,main!$A$3:$H$102,7,FALSE),main!$K$18:$O$18,0),0))),0)</f>
        <v>0</v>
      </c>
      <c r="AU55">
        <f>IF((gamma!AU55),IF(VLOOKUP(AU$1,main!$A$3:$H$102,7,FALSE)=VLOOKUP($A55,main!$A$3:$H$102,8,FALSE),VLOOKUP(AU$1,main!$A$3:$H$102,4,FALSE),VLOOKUP(AU$1,main!$A$3:$H$102,4,FALSE)+VLOOKUP($A55,main!$A$3:$H$102,4,FALSE)+(VLOOKUP(VLOOKUP(AU$1,main!$A$3:$H$102,8,FALSE),main!$K$19:$O$22,MATCH(VLOOKUP($A55,main!$A$3:$H$102,7,FALSE),main!$K$18:$O$18,0),0))),0)</f>
        <v>0</v>
      </c>
      <c r="AV55">
        <f>IF((gamma!AV55),IF(VLOOKUP(AV$1,main!$A$3:$H$102,7,FALSE)=VLOOKUP($A55,main!$A$3:$H$102,8,FALSE),VLOOKUP(AV$1,main!$A$3:$H$102,4,FALSE),VLOOKUP(AV$1,main!$A$3:$H$102,4,FALSE)+VLOOKUP($A55,main!$A$3:$H$102,4,FALSE)+(VLOOKUP(VLOOKUP(AV$1,main!$A$3:$H$102,8,FALSE),main!$K$19:$O$22,MATCH(VLOOKUP($A55,main!$A$3:$H$102,7,FALSE),main!$K$18:$O$18,0),0))),0)</f>
        <v>0</v>
      </c>
      <c r="AW55">
        <f>IF((gamma!AW55),IF(VLOOKUP(AW$1,main!$A$3:$H$102,7,FALSE)=VLOOKUP($A55,main!$A$3:$H$102,8,FALSE),VLOOKUP(AW$1,main!$A$3:$H$102,4,FALSE),VLOOKUP(AW$1,main!$A$3:$H$102,4,FALSE)+VLOOKUP($A55,main!$A$3:$H$102,4,FALSE)+(VLOOKUP(VLOOKUP(AW$1,main!$A$3:$H$102,8,FALSE),main!$K$19:$O$22,MATCH(VLOOKUP($A55,main!$A$3:$H$102,7,FALSE),main!$K$18:$O$18,0),0))),0)</f>
        <v>0</v>
      </c>
      <c r="AX55">
        <f>IF((gamma!AX55),IF(VLOOKUP(AX$1,main!$A$3:$H$102,7,FALSE)=VLOOKUP($A55,main!$A$3:$H$102,8,FALSE),VLOOKUP(AX$1,main!$A$3:$H$102,4,FALSE),VLOOKUP(AX$1,main!$A$3:$H$102,4,FALSE)+VLOOKUP($A55,main!$A$3:$H$102,4,FALSE)+(VLOOKUP(VLOOKUP(AX$1,main!$A$3:$H$102,8,FALSE),main!$K$19:$O$22,MATCH(VLOOKUP($A55,main!$A$3:$H$102,7,FALSE),main!$K$18:$O$18,0),0))),0)</f>
        <v>0</v>
      </c>
      <c r="AY55">
        <f>IF((gamma!AY55),IF(VLOOKUP(AY$1,main!$A$3:$H$102,7,FALSE)=VLOOKUP($A55,main!$A$3:$H$102,8,FALSE),VLOOKUP(AY$1,main!$A$3:$H$102,4,FALSE),VLOOKUP(AY$1,main!$A$3:$H$102,4,FALSE)+VLOOKUP($A55,main!$A$3:$H$102,4,FALSE)+(VLOOKUP(VLOOKUP(AY$1,main!$A$3:$H$102,8,FALSE),main!$K$19:$O$22,MATCH(VLOOKUP($A55,main!$A$3:$H$102,7,FALSE),main!$K$18:$O$18,0),0))),0)</f>
        <v>0</v>
      </c>
      <c r="AZ55">
        <f>IF((gamma!AZ55),IF(VLOOKUP(AZ$1,main!$A$3:$H$102,7,FALSE)=VLOOKUP($A55,main!$A$3:$H$102,8,FALSE),VLOOKUP(AZ$1,main!$A$3:$H$102,4,FALSE),VLOOKUP(AZ$1,main!$A$3:$H$102,4,FALSE)+VLOOKUP($A55,main!$A$3:$H$102,4,FALSE)+(VLOOKUP(VLOOKUP(AZ$1,main!$A$3:$H$102,8,FALSE),main!$K$19:$O$22,MATCH(VLOOKUP($A55,main!$A$3:$H$102,7,FALSE),main!$K$18:$O$18,0),0))),0)</f>
        <v>0</v>
      </c>
      <c r="BA55">
        <f>IF((gamma!BA55),IF(VLOOKUP(BA$1,main!$A$3:$H$102,7,FALSE)=VLOOKUP($A55,main!$A$3:$H$102,8,FALSE),VLOOKUP(BA$1,main!$A$3:$H$102,4,FALSE),VLOOKUP(BA$1,main!$A$3:$H$102,4,FALSE)+VLOOKUP($A55,main!$A$3:$H$102,4,FALSE)+(VLOOKUP(VLOOKUP(BA$1,main!$A$3:$H$102,8,FALSE),main!$K$19:$O$22,MATCH(VLOOKUP($A55,main!$A$3:$H$102,7,FALSE),main!$K$18:$O$18,0),0))),0)</f>
        <v>0</v>
      </c>
      <c r="BB55">
        <f>IF((gamma!BB55),IF(VLOOKUP(BB$1,main!$A$3:$H$102,7,FALSE)=VLOOKUP($A55,main!$A$3:$H$102,8,FALSE),VLOOKUP(BB$1,main!$A$3:$H$102,4,FALSE),VLOOKUP(BB$1,main!$A$3:$H$102,4,FALSE)+VLOOKUP($A55,main!$A$3:$H$102,4,FALSE)+(VLOOKUP(VLOOKUP(BB$1,main!$A$3:$H$102,8,FALSE),main!$K$19:$O$22,MATCH(VLOOKUP($A55,main!$A$3:$H$102,7,FALSE),main!$K$18:$O$18,0),0))),0)</f>
        <v>0</v>
      </c>
      <c r="BC55">
        <f>IF((gamma!BC55),IF(VLOOKUP(BC$1,main!$A$3:$H$102,7,FALSE)=VLOOKUP($A55,main!$A$3:$H$102,8,FALSE),VLOOKUP(BC$1,main!$A$3:$H$102,4,FALSE),VLOOKUP(BC$1,main!$A$3:$H$102,4,FALSE)+VLOOKUP($A55,main!$A$3:$H$102,4,FALSE)+(VLOOKUP(VLOOKUP(BC$1,main!$A$3:$H$102,8,FALSE),main!$K$19:$O$22,MATCH(VLOOKUP($A55,main!$A$3:$H$102,7,FALSE),main!$K$18:$O$18,0),0))),0)</f>
        <v>0</v>
      </c>
      <c r="BD55">
        <f>IF((gamma!BD55),IF(VLOOKUP(BD$1,main!$A$3:$H$102,7,FALSE)=VLOOKUP($A55,main!$A$3:$H$102,8,FALSE),VLOOKUP(BD$1,main!$A$3:$H$102,4,FALSE),VLOOKUP(BD$1,main!$A$3:$H$102,4,FALSE)+VLOOKUP($A55,main!$A$3:$H$102,4,FALSE)+(VLOOKUP(VLOOKUP(BD$1,main!$A$3:$H$102,8,FALSE),main!$K$19:$O$22,MATCH(VLOOKUP($A55,main!$A$3:$H$102,7,FALSE),main!$K$18:$O$18,0),0))),0)</f>
        <v>0</v>
      </c>
      <c r="BE55">
        <f>IF((gamma!BE55),IF(VLOOKUP(BE$1,main!$A$3:$H$102,7,FALSE)=VLOOKUP($A55,main!$A$3:$H$102,8,FALSE),VLOOKUP(BE$1,main!$A$3:$H$102,4,FALSE),VLOOKUP(BE$1,main!$A$3:$H$102,4,FALSE)+VLOOKUP($A55,main!$A$3:$H$102,4,FALSE)+(VLOOKUP(VLOOKUP(BE$1,main!$A$3:$H$102,8,FALSE),main!$K$19:$O$22,MATCH(VLOOKUP($A55,main!$A$3:$H$102,7,FALSE),main!$K$18:$O$18,0),0))),0)</f>
        <v>0</v>
      </c>
      <c r="BF55">
        <f>IF((gamma!BF55),IF(VLOOKUP(BF$1,main!$A$3:$H$102,7,FALSE)=VLOOKUP($A55,main!$A$3:$H$102,8,FALSE),VLOOKUP(BF$1,main!$A$3:$H$102,4,FALSE),VLOOKUP(BF$1,main!$A$3:$H$102,4,FALSE)+VLOOKUP($A55,main!$A$3:$H$102,4,FALSE)+(VLOOKUP(VLOOKUP(BF$1,main!$A$3:$H$102,8,FALSE),main!$K$19:$O$22,MATCH(VLOOKUP($A55,main!$A$3:$H$102,7,FALSE),main!$K$18:$O$18,0),0))),0)</f>
        <v>0</v>
      </c>
      <c r="BG55">
        <f>IF((gamma!BG55),IF(VLOOKUP(BG$1,main!$A$3:$H$102,7,FALSE)=VLOOKUP($A55,main!$A$3:$H$102,8,FALSE),VLOOKUP(BG$1,main!$A$3:$H$102,4,FALSE),VLOOKUP(BG$1,main!$A$3:$H$102,4,FALSE)+VLOOKUP($A55,main!$A$3:$H$102,4,FALSE)+(VLOOKUP(VLOOKUP(BG$1,main!$A$3:$H$102,8,FALSE),main!$K$19:$O$22,MATCH(VLOOKUP($A55,main!$A$3:$H$102,7,FALSE),main!$K$18:$O$18,0),0))),0)</f>
        <v>0</v>
      </c>
      <c r="BH55">
        <f>IF((gamma!BH55),IF(VLOOKUP(BH$1,main!$A$3:$H$102,7,FALSE)=VLOOKUP($A55,main!$A$3:$H$102,8,FALSE),VLOOKUP(BH$1,main!$A$3:$H$102,4,FALSE),VLOOKUP(BH$1,main!$A$3:$H$102,4,FALSE)+VLOOKUP($A55,main!$A$3:$H$102,4,FALSE)+(VLOOKUP(VLOOKUP(BH$1,main!$A$3:$H$102,8,FALSE),main!$K$19:$O$22,MATCH(VLOOKUP($A55,main!$A$3:$H$102,7,FALSE),main!$K$18:$O$18,0),0))),0)</f>
        <v>0</v>
      </c>
      <c r="BI55">
        <f>IF((gamma!BI55),IF(VLOOKUP(BI$1,main!$A$3:$H$102,7,FALSE)=VLOOKUP($A55,main!$A$3:$H$102,8,FALSE),VLOOKUP(BI$1,main!$A$3:$H$102,4,FALSE),VLOOKUP(BI$1,main!$A$3:$H$102,4,FALSE)+VLOOKUP($A55,main!$A$3:$H$102,4,FALSE)+(VLOOKUP(VLOOKUP(BI$1,main!$A$3:$H$102,8,FALSE),main!$K$19:$O$22,MATCH(VLOOKUP($A55,main!$A$3:$H$102,7,FALSE),main!$K$18:$O$18,0),0))),0)</f>
        <v>230</v>
      </c>
      <c r="BJ55">
        <f>IF((gamma!BJ55),IF(VLOOKUP(BJ$1,main!$A$3:$H$102,7,FALSE)=VLOOKUP($A55,main!$A$3:$H$102,8,FALSE),VLOOKUP(BJ$1,main!$A$3:$H$102,4,FALSE),VLOOKUP(BJ$1,main!$A$3:$H$102,4,FALSE)+VLOOKUP($A55,main!$A$3:$H$102,4,FALSE)+(VLOOKUP(VLOOKUP(BJ$1,main!$A$3:$H$102,8,FALSE),main!$K$19:$O$22,MATCH(VLOOKUP($A55,main!$A$3:$H$102,7,FALSE),main!$K$18:$O$18,0),0))),0)</f>
        <v>0</v>
      </c>
      <c r="BK55">
        <f>IF((gamma!BK55),IF(VLOOKUP(BK$1,main!$A$3:$H$102,7,FALSE)=VLOOKUP($A55,main!$A$3:$H$102,8,FALSE),VLOOKUP(BK$1,main!$A$3:$H$102,4,FALSE),VLOOKUP(BK$1,main!$A$3:$H$102,4,FALSE)+VLOOKUP($A55,main!$A$3:$H$102,4,FALSE)+(VLOOKUP(VLOOKUP(BK$1,main!$A$3:$H$102,8,FALSE),main!$K$19:$O$22,MATCH(VLOOKUP($A55,main!$A$3:$H$102,7,FALSE),main!$K$18:$O$18,0),0))),0)</f>
        <v>0</v>
      </c>
      <c r="BL55">
        <f>IF((gamma!BL55),IF(VLOOKUP(BL$1,main!$A$3:$H$102,7,FALSE)=VLOOKUP($A55,main!$A$3:$H$102,8,FALSE),VLOOKUP(BL$1,main!$A$3:$H$102,4,FALSE),VLOOKUP(BL$1,main!$A$3:$H$102,4,FALSE)+VLOOKUP($A55,main!$A$3:$H$102,4,FALSE)+(VLOOKUP(VLOOKUP(BL$1,main!$A$3:$H$102,8,FALSE),main!$K$19:$O$22,MATCH(VLOOKUP($A55,main!$A$3:$H$102,7,FALSE),main!$K$18:$O$18,0),0))),0)</f>
        <v>0</v>
      </c>
      <c r="BM55">
        <f>IF((gamma!BM55),IF(VLOOKUP(BM$1,main!$A$3:$H$102,7,FALSE)=VLOOKUP($A55,main!$A$3:$H$102,8,FALSE),VLOOKUP(BM$1,main!$A$3:$H$102,4,FALSE),VLOOKUP(BM$1,main!$A$3:$H$102,4,FALSE)+VLOOKUP($A55,main!$A$3:$H$102,4,FALSE)+(VLOOKUP(VLOOKUP(BM$1,main!$A$3:$H$102,8,FALSE),main!$K$19:$O$22,MATCH(VLOOKUP($A55,main!$A$3:$H$102,7,FALSE),main!$K$18:$O$18,0),0))),0)</f>
        <v>0</v>
      </c>
      <c r="BN55">
        <f>IF((gamma!BN55),IF(VLOOKUP(BN$1,main!$A$3:$H$102,7,FALSE)=VLOOKUP($A55,main!$A$3:$H$102,8,FALSE),VLOOKUP(BN$1,main!$A$3:$H$102,4,FALSE),VLOOKUP(BN$1,main!$A$3:$H$102,4,FALSE)+VLOOKUP($A55,main!$A$3:$H$102,4,FALSE)+(VLOOKUP(VLOOKUP(BN$1,main!$A$3:$H$102,8,FALSE),main!$K$19:$O$22,MATCH(VLOOKUP($A55,main!$A$3:$H$102,7,FALSE),main!$K$18:$O$18,0),0))),0)</f>
        <v>0</v>
      </c>
      <c r="BO55">
        <f>IF((gamma!BO55),IF(VLOOKUP(BO$1,main!$A$3:$H$102,7,FALSE)=VLOOKUP($A55,main!$A$3:$H$102,8,FALSE),VLOOKUP(BO$1,main!$A$3:$H$102,4,FALSE),VLOOKUP(BO$1,main!$A$3:$H$102,4,FALSE)+VLOOKUP($A55,main!$A$3:$H$102,4,FALSE)+(VLOOKUP(VLOOKUP(BO$1,main!$A$3:$H$102,8,FALSE),main!$K$19:$O$22,MATCH(VLOOKUP($A55,main!$A$3:$H$102,7,FALSE),main!$K$18:$O$18,0),0))),0)</f>
        <v>0</v>
      </c>
      <c r="BP55">
        <f>IF((gamma!BP55),IF(VLOOKUP(BP$1,main!$A$3:$H$102,7,FALSE)=VLOOKUP($A55,main!$A$3:$H$102,8,FALSE),VLOOKUP(BP$1,main!$A$3:$H$102,4,FALSE),VLOOKUP(BP$1,main!$A$3:$H$102,4,FALSE)+VLOOKUP($A55,main!$A$3:$H$102,4,FALSE)+(VLOOKUP(VLOOKUP(BP$1,main!$A$3:$H$102,8,FALSE),main!$K$19:$O$22,MATCH(VLOOKUP($A55,main!$A$3:$H$102,7,FALSE),main!$K$18:$O$18,0),0))),0)</f>
        <v>0</v>
      </c>
      <c r="BQ55">
        <f>IF((gamma!BQ55),IF(VLOOKUP(BQ$1,main!$A$3:$H$102,7,FALSE)=VLOOKUP($A55,main!$A$3:$H$102,8,FALSE),VLOOKUP(BQ$1,main!$A$3:$H$102,4,FALSE),VLOOKUP(BQ$1,main!$A$3:$H$102,4,FALSE)+VLOOKUP($A55,main!$A$3:$H$102,4,FALSE)+(VLOOKUP(VLOOKUP(BQ$1,main!$A$3:$H$102,8,FALSE),main!$K$19:$O$22,MATCH(VLOOKUP($A55,main!$A$3:$H$102,7,FALSE),main!$K$18:$O$18,0),0))),0)</f>
        <v>0</v>
      </c>
      <c r="BR55">
        <f>IF((gamma!BR55),IF(VLOOKUP(BR$1,main!$A$3:$H$102,7,FALSE)=VLOOKUP($A55,main!$A$3:$H$102,8,FALSE),VLOOKUP(BR$1,main!$A$3:$H$102,4,FALSE),VLOOKUP(BR$1,main!$A$3:$H$102,4,FALSE)+VLOOKUP($A55,main!$A$3:$H$102,4,FALSE)+(VLOOKUP(VLOOKUP(BR$1,main!$A$3:$H$102,8,FALSE),main!$K$19:$O$22,MATCH(VLOOKUP($A55,main!$A$3:$H$102,7,FALSE),main!$K$18:$O$18,0),0))),0)</f>
        <v>0</v>
      </c>
      <c r="BS55">
        <f>IF((gamma!BS55),IF(VLOOKUP(BS$1,main!$A$3:$H$102,7,FALSE)=VLOOKUP($A55,main!$A$3:$H$102,8,FALSE),VLOOKUP(BS$1,main!$A$3:$H$102,4,FALSE),VLOOKUP(BS$1,main!$A$3:$H$102,4,FALSE)+VLOOKUP($A55,main!$A$3:$H$102,4,FALSE)+(VLOOKUP(VLOOKUP(BS$1,main!$A$3:$H$102,8,FALSE),main!$K$19:$O$22,MATCH(VLOOKUP($A55,main!$A$3:$H$102,7,FALSE),main!$K$18:$O$18,0),0))),0)</f>
        <v>0</v>
      </c>
      <c r="BT55">
        <f>IF((gamma!BT55),IF(VLOOKUP(BT$1,main!$A$3:$H$102,7,FALSE)=VLOOKUP($A55,main!$A$3:$H$102,8,FALSE),VLOOKUP(BT$1,main!$A$3:$H$102,4,FALSE),VLOOKUP(BT$1,main!$A$3:$H$102,4,FALSE)+VLOOKUP($A55,main!$A$3:$H$102,4,FALSE)+(VLOOKUP(VLOOKUP(BT$1,main!$A$3:$H$102,8,FALSE),main!$K$19:$O$22,MATCH(VLOOKUP($A55,main!$A$3:$H$102,7,FALSE),main!$K$18:$O$18,0),0))),0)</f>
        <v>0</v>
      </c>
      <c r="BU55">
        <f>IF((gamma!BU55),IF(VLOOKUP(BU$1,main!$A$3:$H$102,7,FALSE)=VLOOKUP($A55,main!$A$3:$H$102,8,FALSE),VLOOKUP(BU$1,main!$A$3:$H$102,4,FALSE),VLOOKUP(BU$1,main!$A$3:$H$102,4,FALSE)+VLOOKUP($A55,main!$A$3:$H$102,4,FALSE)+(VLOOKUP(VLOOKUP(BU$1,main!$A$3:$H$102,8,FALSE),main!$K$19:$O$22,MATCH(VLOOKUP($A55,main!$A$3:$H$102,7,FALSE),main!$K$18:$O$18,0),0))),0)</f>
        <v>0</v>
      </c>
      <c r="BV55">
        <f>IF((gamma!BV55),IF(VLOOKUP(BV$1,main!$A$3:$H$102,7,FALSE)=VLOOKUP($A55,main!$A$3:$H$102,8,FALSE),VLOOKUP(BV$1,main!$A$3:$H$102,4,FALSE),VLOOKUP(BV$1,main!$A$3:$H$102,4,FALSE)+VLOOKUP($A55,main!$A$3:$H$102,4,FALSE)+(VLOOKUP(VLOOKUP(BV$1,main!$A$3:$H$102,8,FALSE),main!$K$19:$O$22,MATCH(VLOOKUP($A55,main!$A$3:$H$102,7,FALSE),main!$K$18:$O$18,0),0))),0)</f>
        <v>0</v>
      </c>
      <c r="BW55">
        <f>IF((gamma!BW55),IF(VLOOKUP(BW$1,main!$A$3:$H$102,7,FALSE)=VLOOKUP($A55,main!$A$3:$H$102,8,FALSE),VLOOKUP(BW$1,main!$A$3:$H$102,4,FALSE),VLOOKUP(BW$1,main!$A$3:$H$102,4,FALSE)+VLOOKUP($A55,main!$A$3:$H$102,4,FALSE)+(VLOOKUP(VLOOKUP(BW$1,main!$A$3:$H$102,8,FALSE),main!$K$19:$O$22,MATCH(VLOOKUP($A55,main!$A$3:$H$102,7,FALSE),main!$K$18:$O$18,0),0))),0)</f>
        <v>0</v>
      </c>
      <c r="BX55">
        <f>IF((gamma!BX55),IF(VLOOKUP(BX$1,main!$A$3:$H$102,7,FALSE)=VLOOKUP($A55,main!$A$3:$H$102,8,FALSE),VLOOKUP(BX$1,main!$A$3:$H$102,4,FALSE),VLOOKUP(BX$1,main!$A$3:$H$102,4,FALSE)+VLOOKUP($A55,main!$A$3:$H$102,4,FALSE)+(VLOOKUP(VLOOKUP(BX$1,main!$A$3:$H$102,8,FALSE),main!$K$19:$O$22,MATCH(VLOOKUP($A55,main!$A$3:$H$102,7,FALSE),main!$K$18:$O$18,0),0))),0)</f>
        <v>0</v>
      </c>
      <c r="BY55">
        <f>IF((gamma!BY55),IF(VLOOKUP(BY$1,main!$A$3:$H$102,7,FALSE)=VLOOKUP($A55,main!$A$3:$H$102,8,FALSE),VLOOKUP(BY$1,main!$A$3:$H$102,4,FALSE),VLOOKUP(BY$1,main!$A$3:$H$102,4,FALSE)+VLOOKUP($A55,main!$A$3:$H$102,4,FALSE)+(VLOOKUP(VLOOKUP(BY$1,main!$A$3:$H$102,8,FALSE),main!$K$19:$O$22,MATCH(VLOOKUP($A55,main!$A$3:$H$102,7,FALSE),main!$K$18:$O$18,0),0))),0)</f>
        <v>0</v>
      </c>
      <c r="BZ55">
        <f>IF((gamma!BZ55),IF(VLOOKUP(BZ$1,main!$A$3:$H$102,7,FALSE)=VLOOKUP($A55,main!$A$3:$H$102,8,FALSE),VLOOKUP(BZ$1,main!$A$3:$H$102,4,FALSE),VLOOKUP(BZ$1,main!$A$3:$H$102,4,FALSE)+VLOOKUP($A55,main!$A$3:$H$102,4,FALSE)+(VLOOKUP(VLOOKUP(BZ$1,main!$A$3:$H$102,8,FALSE),main!$K$19:$O$22,MATCH(VLOOKUP($A55,main!$A$3:$H$102,7,FALSE),main!$K$18:$O$18,0),0))),0)</f>
        <v>0</v>
      </c>
      <c r="CA55">
        <f>IF((gamma!CA55),IF(VLOOKUP(CA$1,main!$A$3:$H$102,7,FALSE)=VLOOKUP($A55,main!$A$3:$H$102,8,FALSE),VLOOKUP(CA$1,main!$A$3:$H$102,4,FALSE),VLOOKUP(CA$1,main!$A$3:$H$102,4,FALSE)+VLOOKUP($A55,main!$A$3:$H$102,4,FALSE)+(VLOOKUP(VLOOKUP(CA$1,main!$A$3:$H$102,8,FALSE),main!$K$19:$O$22,MATCH(VLOOKUP($A55,main!$A$3:$H$102,7,FALSE),main!$K$18:$O$18,0),0))),0)</f>
        <v>0</v>
      </c>
      <c r="CB55">
        <f>IF((gamma!CB55),IF(VLOOKUP(CB$1,main!$A$3:$H$102,7,FALSE)=VLOOKUP($A55,main!$A$3:$H$102,8,FALSE),VLOOKUP(CB$1,main!$A$3:$H$102,4,FALSE),VLOOKUP(CB$1,main!$A$3:$H$102,4,FALSE)+VLOOKUP($A55,main!$A$3:$H$102,4,FALSE)+(VLOOKUP(VLOOKUP(CB$1,main!$A$3:$H$102,8,FALSE),main!$K$19:$O$22,MATCH(VLOOKUP($A55,main!$A$3:$H$102,7,FALSE),main!$K$18:$O$18,0),0))),0)</f>
        <v>0</v>
      </c>
      <c r="CC55">
        <f>IF((gamma!CC55),IF(VLOOKUP(CC$1,main!$A$3:$H$102,7,FALSE)=VLOOKUP($A55,main!$A$3:$H$102,8,FALSE),VLOOKUP(CC$1,main!$A$3:$H$102,4,FALSE),VLOOKUP(CC$1,main!$A$3:$H$102,4,FALSE)+VLOOKUP($A55,main!$A$3:$H$102,4,FALSE)+(VLOOKUP(VLOOKUP(CC$1,main!$A$3:$H$102,8,FALSE),main!$K$19:$O$22,MATCH(VLOOKUP($A55,main!$A$3:$H$102,7,FALSE),main!$K$18:$O$18,0),0))),0)</f>
        <v>228</v>
      </c>
      <c r="CD55">
        <f>IF((gamma!CD55),IF(VLOOKUP(CD$1,main!$A$3:$H$102,7,FALSE)=VLOOKUP($A55,main!$A$3:$H$102,8,FALSE),VLOOKUP(CD$1,main!$A$3:$H$102,4,FALSE),VLOOKUP(CD$1,main!$A$3:$H$102,4,FALSE)+VLOOKUP($A55,main!$A$3:$H$102,4,FALSE)+(VLOOKUP(VLOOKUP(CD$1,main!$A$3:$H$102,8,FALSE),main!$K$19:$O$22,MATCH(VLOOKUP($A55,main!$A$3:$H$102,7,FALSE),main!$K$18:$O$18,0),0))),0)</f>
        <v>0</v>
      </c>
      <c r="CE55">
        <f>IF((gamma!CE55),IF(VLOOKUP(CE$1,main!$A$3:$H$102,7,FALSE)=VLOOKUP($A55,main!$A$3:$H$102,8,FALSE),VLOOKUP(CE$1,main!$A$3:$H$102,4,FALSE),VLOOKUP(CE$1,main!$A$3:$H$102,4,FALSE)+VLOOKUP($A55,main!$A$3:$H$102,4,FALSE)+(VLOOKUP(VLOOKUP(CE$1,main!$A$3:$H$102,8,FALSE),main!$K$19:$O$22,MATCH(VLOOKUP($A55,main!$A$3:$H$102,7,FALSE),main!$K$18:$O$18,0),0))),0)</f>
        <v>0</v>
      </c>
      <c r="CF55">
        <f>IF((gamma!CF55),IF(VLOOKUP(CF$1,main!$A$3:$H$102,7,FALSE)=VLOOKUP($A55,main!$A$3:$H$102,8,FALSE),VLOOKUP(CF$1,main!$A$3:$H$102,4,FALSE),VLOOKUP(CF$1,main!$A$3:$H$102,4,FALSE)+VLOOKUP($A55,main!$A$3:$H$102,4,FALSE)+(VLOOKUP(VLOOKUP(CF$1,main!$A$3:$H$102,8,FALSE),main!$K$19:$O$22,MATCH(VLOOKUP($A55,main!$A$3:$H$102,7,FALSE),main!$K$18:$O$18,0),0))),0)</f>
        <v>0</v>
      </c>
      <c r="CG55">
        <f>IF((gamma!CG55),IF(VLOOKUP(CG$1,main!$A$3:$H$102,7,FALSE)=VLOOKUP($A55,main!$A$3:$H$102,8,FALSE),VLOOKUP(CG$1,main!$A$3:$H$102,4,FALSE),VLOOKUP(CG$1,main!$A$3:$H$102,4,FALSE)+VLOOKUP($A55,main!$A$3:$H$102,4,FALSE)+(VLOOKUP(VLOOKUP(CG$1,main!$A$3:$H$102,8,FALSE),main!$K$19:$O$22,MATCH(VLOOKUP($A55,main!$A$3:$H$102,7,FALSE),main!$K$18:$O$18,0),0))),0)</f>
        <v>0</v>
      </c>
      <c r="CH55">
        <f>IF((gamma!CH55),IF(VLOOKUP(CH$1,main!$A$3:$H$102,7,FALSE)=VLOOKUP($A55,main!$A$3:$H$102,8,FALSE),VLOOKUP(CH$1,main!$A$3:$H$102,4,FALSE),VLOOKUP(CH$1,main!$A$3:$H$102,4,FALSE)+VLOOKUP($A55,main!$A$3:$H$102,4,FALSE)+(VLOOKUP(VLOOKUP(CH$1,main!$A$3:$H$102,8,FALSE),main!$K$19:$O$22,MATCH(VLOOKUP($A55,main!$A$3:$H$102,7,FALSE),main!$K$18:$O$18,0),0))),0)</f>
        <v>0</v>
      </c>
      <c r="CI55">
        <f>IF((gamma!CI55),IF(VLOOKUP(CI$1,main!$A$3:$H$102,7,FALSE)=VLOOKUP($A55,main!$A$3:$H$102,8,FALSE),VLOOKUP(CI$1,main!$A$3:$H$102,4,FALSE),VLOOKUP(CI$1,main!$A$3:$H$102,4,FALSE)+VLOOKUP($A55,main!$A$3:$H$102,4,FALSE)+(VLOOKUP(VLOOKUP(CI$1,main!$A$3:$H$102,8,FALSE),main!$K$19:$O$22,MATCH(VLOOKUP($A55,main!$A$3:$H$102,7,FALSE),main!$K$18:$O$18,0),0))),0)</f>
        <v>310</v>
      </c>
      <c r="CJ55">
        <f>IF((gamma!CJ55),IF(VLOOKUP(CJ$1,main!$A$3:$H$102,7,FALSE)=VLOOKUP($A55,main!$A$3:$H$102,8,FALSE),VLOOKUP(CJ$1,main!$A$3:$H$102,4,FALSE),VLOOKUP(CJ$1,main!$A$3:$H$102,4,FALSE)+VLOOKUP($A55,main!$A$3:$H$102,4,FALSE)+(VLOOKUP(VLOOKUP(CJ$1,main!$A$3:$H$102,8,FALSE),main!$K$19:$O$22,MATCH(VLOOKUP($A55,main!$A$3:$H$102,7,FALSE),main!$K$18:$O$18,0),0))),0)</f>
        <v>0</v>
      </c>
      <c r="CK55">
        <f>IF((gamma!CK55),IF(VLOOKUP(CK$1,main!$A$3:$H$102,7,FALSE)=VLOOKUP($A55,main!$A$3:$H$102,8,FALSE),VLOOKUP(CK$1,main!$A$3:$H$102,4,FALSE),VLOOKUP(CK$1,main!$A$3:$H$102,4,FALSE)+VLOOKUP($A55,main!$A$3:$H$102,4,FALSE)+(VLOOKUP(VLOOKUP(CK$1,main!$A$3:$H$102,8,FALSE),main!$K$19:$O$22,MATCH(VLOOKUP($A55,main!$A$3:$H$102,7,FALSE),main!$K$18:$O$18,0),0))),0)</f>
        <v>0</v>
      </c>
      <c r="CL55">
        <f>IF((gamma!CL55),IF(VLOOKUP(CL$1,main!$A$3:$H$102,7,FALSE)=VLOOKUP($A55,main!$A$3:$H$102,8,FALSE),VLOOKUP(CL$1,main!$A$3:$H$102,4,FALSE),VLOOKUP(CL$1,main!$A$3:$H$102,4,FALSE)+VLOOKUP($A55,main!$A$3:$H$102,4,FALSE)+(VLOOKUP(VLOOKUP(CL$1,main!$A$3:$H$102,8,FALSE),main!$K$19:$O$22,MATCH(VLOOKUP($A55,main!$A$3:$H$102,7,FALSE),main!$K$18:$O$18,0),0))),0)</f>
        <v>0</v>
      </c>
      <c r="CM55">
        <f>IF((gamma!CM55),IF(VLOOKUP(CM$1,main!$A$3:$H$102,7,FALSE)=VLOOKUP($A55,main!$A$3:$H$102,8,FALSE),VLOOKUP(CM$1,main!$A$3:$H$102,4,FALSE),VLOOKUP(CM$1,main!$A$3:$H$102,4,FALSE)+VLOOKUP($A55,main!$A$3:$H$102,4,FALSE)+(VLOOKUP(VLOOKUP(CM$1,main!$A$3:$H$102,8,FALSE),main!$K$19:$O$22,MATCH(VLOOKUP($A55,main!$A$3:$H$102,7,FALSE),main!$K$18:$O$18,0),0))),0)</f>
        <v>0</v>
      </c>
      <c r="CN55">
        <f>IF((gamma!CN55),IF(VLOOKUP(CN$1,main!$A$3:$H$102,7,FALSE)=VLOOKUP($A55,main!$A$3:$H$102,8,FALSE),VLOOKUP(CN$1,main!$A$3:$H$102,4,FALSE),VLOOKUP(CN$1,main!$A$3:$H$102,4,FALSE)+VLOOKUP($A55,main!$A$3:$H$102,4,FALSE)+(VLOOKUP(VLOOKUP(CN$1,main!$A$3:$H$102,8,FALSE),main!$K$19:$O$22,MATCH(VLOOKUP($A55,main!$A$3:$H$102,7,FALSE),main!$K$18:$O$18,0),0))),0)</f>
        <v>266</v>
      </c>
      <c r="CO55">
        <f>IF((gamma!CO55),IF(VLOOKUP(CO$1,main!$A$3:$H$102,7,FALSE)=VLOOKUP($A55,main!$A$3:$H$102,8,FALSE),VLOOKUP(CO$1,main!$A$3:$H$102,4,FALSE),VLOOKUP(CO$1,main!$A$3:$H$102,4,FALSE)+VLOOKUP($A55,main!$A$3:$H$102,4,FALSE)+(VLOOKUP(VLOOKUP(CO$1,main!$A$3:$H$102,8,FALSE),main!$K$19:$O$22,MATCH(VLOOKUP($A55,main!$A$3:$H$102,7,FALSE),main!$K$18:$O$18,0),0))),0)</f>
        <v>0</v>
      </c>
      <c r="CP55">
        <f>IF((gamma!CP55),IF(VLOOKUP(CP$1,main!$A$3:$H$102,7,FALSE)=VLOOKUP($A55,main!$A$3:$H$102,8,FALSE),VLOOKUP(CP$1,main!$A$3:$H$102,4,FALSE),VLOOKUP(CP$1,main!$A$3:$H$102,4,FALSE)+VLOOKUP($A55,main!$A$3:$H$102,4,FALSE)+(VLOOKUP(VLOOKUP(CP$1,main!$A$3:$H$102,8,FALSE),main!$K$19:$O$22,MATCH(VLOOKUP($A55,main!$A$3:$H$102,7,FALSE),main!$K$18:$O$18,0),0))),0)</f>
        <v>0</v>
      </c>
      <c r="CQ55">
        <f>IF((gamma!CQ55),IF(VLOOKUP(CQ$1,main!$A$3:$H$102,7,FALSE)=VLOOKUP($A55,main!$A$3:$H$102,8,FALSE),VLOOKUP(CQ$1,main!$A$3:$H$102,4,FALSE),VLOOKUP(CQ$1,main!$A$3:$H$102,4,FALSE)+VLOOKUP($A55,main!$A$3:$H$102,4,FALSE)+(VLOOKUP(VLOOKUP(CQ$1,main!$A$3:$H$102,8,FALSE),main!$K$19:$O$22,MATCH(VLOOKUP($A55,main!$A$3:$H$102,7,FALSE),main!$K$18:$O$18,0),0))),0)</f>
        <v>0</v>
      </c>
      <c r="CR55">
        <f>IF((gamma!CR55),IF(VLOOKUP(CR$1,main!$A$3:$H$102,7,FALSE)=VLOOKUP($A55,main!$A$3:$H$102,8,FALSE),VLOOKUP(CR$1,main!$A$3:$H$102,4,FALSE),VLOOKUP(CR$1,main!$A$3:$H$102,4,FALSE)+VLOOKUP($A55,main!$A$3:$H$102,4,FALSE)+(VLOOKUP(VLOOKUP(CR$1,main!$A$3:$H$102,8,FALSE),main!$K$19:$O$22,MATCH(VLOOKUP($A55,main!$A$3:$H$102,7,FALSE),main!$K$18:$O$18,0),0))),0)</f>
        <v>0</v>
      </c>
      <c r="CS55">
        <f>IF((gamma!CS55),IF(VLOOKUP(CS$1,main!$A$3:$H$102,7,FALSE)=VLOOKUP($A55,main!$A$3:$H$102,8,FALSE),VLOOKUP(CS$1,main!$A$3:$H$102,4,FALSE),VLOOKUP(CS$1,main!$A$3:$H$102,4,FALSE)+VLOOKUP($A55,main!$A$3:$H$102,4,FALSE)+(VLOOKUP(VLOOKUP(CS$1,main!$A$3:$H$102,8,FALSE),main!$K$19:$O$22,MATCH(VLOOKUP($A55,main!$A$3:$H$102,7,FALSE),main!$K$18:$O$18,0),0))),0)</f>
        <v>0</v>
      </c>
      <c r="CT55">
        <f>IF((gamma!CT55),IF(VLOOKUP(CT$1,main!$A$3:$H$102,7,FALSE)=VLOOKUP($A55,main!$A$3:$H$102,8,FALSE),VLOOKUP(CT$1,main!$A$3:$H$102,4,FALSE),VLOOKUP(CT$1,main!$A$3:$H$102,4,FALSE)+VLOOKUP($A55,main!$A$3:$H$102,4,FALSE)+(VLOOKUP(VLOOKUP(CT$1,main!$A$3:$H$102,8,FALSE),main!$K$19:$O$22,MATCH(VLOOKUP($A55,main!$A$3:$H$102,7,FALSE),main!$K$18:$O$18,0),0))),0)</f>
        <v>0</v>
      </c>
      <c r="CU55">
        <f>IF((gamma!CU55),IF(VLOOKUP(CU$1,main!$A$3:$H$102,7,FALSE)=VLOOKUP($A55,main!$A$3:$H$102,8,FALSE),VLOOKUP(CU$1,main!$A$3:$H$102,4,FALSE),VLOOKUP(CU$1,main!$A$3:$H$102,4,FALSE)+VLOOKUP($A55,main!$A$3:$H$102,4,FALSE)+(VLOOKUP(VLOOKUP(CU$1,main!$A$3:$H$102,8,FALSE),main!$K$19:$O$22,MATCH(VLOOKUP($A55,main!$A$3:$H$102,7,FALSE),main!$K$18:$O$18,0),0))),0)</f>
        <v>0</v>
      </c>
      <c r="CV55">
        <f>IF((gamma!CV55),IF(VLOOKUP(CV$1,main!$A$3:$H$102,7,FALSE)=VLOOKUP($A55,main!$A$3:$H$102,8,FALSE),VLOOKUP(CV$1,main!$A$3:$H$102,4,FALSE),VLOOKUP(CV$1,main!$A$3:$H$102,4,FALSE)+VLOOKUP($A55,main!$A$3:$H$102,4,FALSE)+(VLOOKUP(VLOOKUP(CV$1,main!$A$3:$H$102,8,FALSE),main!$K$19:$O$22,MATCH(VLOOKUP($A55,main!$A$3:$H$102,7,FALSE),main!$K$18:$O$18,0),0))),0)</f>
        <v>0</v>
      </c>
      <c r="CW55">
        <f>IF((gamma!CW55),IF(VLOOKUP(CW$1,main!$A$3:$H$102,7,FALSE)=VLOOKUP($A55,main!$A$3:$H$102,8,FALSE),VLOOKUP(CW$1,main!$A$3:$H$102,4,FALSE),VLOOKUP(CW$1,main!$A$3:$H$102,4,FALSE)+VLOOKUP($A55,main!$A$3:$H$102,4,FALSE)+(VLOOKUP(VLOOKUP(CW$1,main!$A$3:$H$102,8,FALSE),main!$K$19:$O$22,MATCH(VLOOKUP($A55,main!$A$3:$H$102,7,FALSE),main!$K$18:$O$18,0),0))),0)</f>
        <v>0</v>
      </c>
      <c r="CX55">
        <f>IF((gamma!CX55),IF(VLOOKUP(CX$1,main!$A$3:$H$102,7,FALSE)=VLOOKUP($A55,main!$A$3:$H$102,8,FALSE),VLOOKUP(CX$1,main!$A$3:$H$102,4,FALSE),VLOOKUP(CX$1,main!$A$3:$H$102,4,FALSE)+VLOOKUP($A55,main!$A$3:$H$102,4,FALSE)+(VLOOKUP(VLOOKUP(CX$1,main!$A$3:$H$102,8,FALSE),main!$K$19:$O$22,MATCH(VLOOKUP($A55,main!$A$3:$H$102,7,FALSE),main!$K$18:$O$18,0),0))),0)</f>
        <v>0</v>
      </c>
      <c r="CY55">
        <v>0</v>
      </c>
      <c r="CZ55">
        <v>0</v>
      </c>
      <c r="DA55">
        <v>0</v>
      </c>
    </row>
    <row r="56" spans="1:105" x14ac:dyDescent="0.25">
      <c r="A56" s="1">
        <v>54</v>
      </c>
      <c r="B56">
        <v>0</v>
      </c>
      <c r="C56">
        <f>IF((gamma!C56),IF(VLOOKUP(C$1,main!$A$3:$H$102,7,FALSE)=VLOOKUP($A56,main!$A$3:$H$102,8,FALSE),VLOOKUP(C$1,main!$A$3:$H$102,4,FALSE),VLOOKUP(C$1,main!$A$3:$H$102,4,FALSE)+VLOOKUP($A56,main!$A$3:$H$102,4,FALSE)+(VLOOKUP(VLOOKUP(C$1,main!$A$3:$H$102,8,FALSE),main!$K$19:$O$22,MATCH(VLOOKUP($A56,main!$A$3:$H$102,7,FALSE),main!$K$18:$O$18,0),0))),0)</f>
        <v>0</v>
      </c>
      <c r="D56">
        <f>IF((gamma!D56),IF(VLOOKUP(D$1,main!$A$3:$H$102,7,FALSE)=VLOOKUP($A56,main!$A$3:$H$102,8,FALSE),VLOOKUP(D$1,main!$A$3:$H$102,4,FALSE),VLOOKUP(D$1,main!$A$3:$H$102,4,FALSE)+VLOOKUP($A56,main!$A$3:$H$102,4,FALSE)+(VLOOKUP(VLOOKUP(D$1,main!$A$3:$H$102,8,FALSE),main!$K$19:$O$22,MATCH(VLOOKUP($A56,main!$A$3:$H$102,7,FALSE),main!$K$18:$O$18,0),0))),0)</f>
        <v>0</v>
      </c>
      <c r="E56">
        <f>IF((gamma!E56),IF(VLOOKUP(E$1,main!$A$3:$H$102,7,FALSE)=VLOOKUP($A56,main!$A$3:$H$102,8,FALSE),VLOOKUP(E$1,main!$A$3:$H$102,4,FALSE),VLOOKUP(E$1,main!$A$3:$H$102,4,FALSE)+VLOOKUP($A56,main!$A$3:$H$102,4,FALSE)+(VLOOKUP(VLOOKUP(E$1,main!$A$3:$H$102,8,FALSE),main!$K$19:$O$22,MATCH(VLOOKUP($A56,main!$A$3:$H$102,7,FALSE),main!$K$18:$O$18,0),0))),0)</f>
        <v>0</v>
      </c>
      <c r="F56">
        <f>IF((gamma!F56),IF(VLOOKUP(F$1,main!$A$3:$H$102,7,FALSE)=VLOOKUP($A56,main!$A$3:$H$102,8,FALSE),VLOOKUP(F$1,main!$A$3:$H$102,4,FALSE),VLOOKUP(F$1,main!$A$3:$H$102,4,FALSE)+VLOOKUP($A56,main!$A$3:$H$102,4,FALSE)+(VLOOKUP(VLOOKUP(F$1,main!$A$3:$H$102,8,FALSE),main!$K$19:$O$22,MATCH(VLOOKUP($A56,main!$A$3:$H$102,7,FALSE),main!$K$18:$O$18,0),0))),0)</f>
        <v>0</v>
      </c>
      <c r="G56">
        <f>IF((gamma!G56),IF(VLOOKUP(G$1,main!$A$3:$H$102,7,FALSE)=VLOOKUP($A56,main!$A$3:$H$102,8,FALSE),VLOOKUP(G$1,main!$A$3:$H$102,4,FALSE),VLOOKUP(G$1,main!$A$3:$H$102,4,FALSE)+VLOOKUP($A56,main!$A$3:$H$102,4,FALSE)+(VLOOKUP(VLOOKUP(G$1,main!$A$3:$H$102,8,FALSE),main!$K$19:$O$22,MATCH(VLOOKUP($A56,main!$A$3:$H$102,7,FALSE),main!$K$18:$O$18,0),0))),0)</f>
        <v>0</v>
      </c>
      <c r="H56">
        <f>IF((gamma!H56),IF(VLOOKUP(H$1,main!$A$3:$H$102,7,FALSE)=VLOOKUP($A56,main!$A$3:$H$102,8,FALSE),VLOOKUP(H$1,main!$A$3:$H$102,4,FALSE),VLOOKUP(H$1,main!$A$3:$H$102,4,FALSE)+VLOOKUP($A56,main!$A$3:$H$102,4,FALSE)+(VLOOKUP(VLOOKUP(H$1,main!$A$3:$H$102,8,FALSE),main!$K$19:$O$22,MATCH(VLOOKUP($A56,main!$A$3:$H$102,7,FALSE),main!$K$18:$O$18,0),0))),0)</f>
        <v>0</v>
      </c>
      <c r="I56">
        <f>IF((gamma!I56),IF(VLOOKUP(I$1,main!$A$3:$H$102,7,FALSE)=VLOOKUP($A56,main!$A$3:$H$102,8,FALSE),VLOOKUP(I$1,main!$A$3:$H$102,4,FALSE),VLOOKUP(I$1,main!$A$3:$H$102,4,FALSE)+VLOOKUP($A56,main!$A$3:$H$102,4,FALSE)+(VLOOKUP(VLOOKUP(I$1,main!$A$3:$H$102,8,FALSE),main!$K$19:$O$22,MATCH(VLOOKUP($A56,main!$A$3:$H$102,7,FALSE),main!$K$18:$O$18,0),0))),0)</f>
        <v>0</v>
      </c>
      <c r="J56">
        <f>IF((gamma!J56),IF(VLOOKUP(J$1,main!$A$3:$H$102,7,FALSE)=VLOOKUP($A56,main!$A$3:$H$102,8,FALSE),VLOOKUP(J$1,main!$A$3:$H$102,4,FALSE),VLOOKUP(J$1,main!$A$3:$H$102,4,FALSE)+VLOOKUP($A56,main!$A$3:$H$102,4,FALSE)+(VLOOKUP(VLOOKUP(J$1,main!$A$3:$H$102,8,FALSE),main!$K$19:$O$22,MATCH(VLOOKUP($A56,main!$A$3:$H$102,7,FALSE),main!$K$18:$O$18,0),0))),0)</f>
        <v>0</v>
      </c>
      <c r="K56">
        <f>IF((gamma!K56),IF(VLOOKUP(K$1,main!$A$3:$H$102,7,FALSE)=VLOOKUP($A56,main!$A$3:$H$102,8,FALSE),VLOOKUP(K$1,main!$A$3:$H$102,4,FALSE),VLOOKUP(K$1,main!$A$3:$H$102,4,FALSE)+VLOOKUP($A56,main!$A$3:$H$102,4,FALSE)+(VLOOKUP(VLOOKUP(K$1,main!$A$3:$H$102,8,FALSE),main!$K$19:$O$22,MATCH(VLOOKUP($A56,main!$A$3:$H$102,7,FALSE),main!$K$18:$O$18,0),0))),0)</f>
        <v>135</v>
      </c>
      <c r="L56">
        <f>IF((gamma!L56),IF(VLOOKUP(L$1,main!$A$3:$H$102,7,FALSE)=VLOOKUP($A56,main!$A$3:$H$102,8,FALSE),VLOOKUP(L$1,main!$A$3:$H$102,4,FALSE),VLOOKUP(L$1,main!$A$3:$H$102,4,FALSE)+VLOOKUP($A56,main!$A$3:$H$102,4,FALSE)+(VLOOKUP(VLOOKUP(L$1,main!$A$3:$H$102,8,FALSE),main!$K$19:$O$22,MATCH(VLOOKUP($A56,main!$A$3:$H$102,7,FALSE),main!$K$18:$O$18,0),0))),0)</f>
        <v>135</v>
      </c>
      <c r="M56">
        <f>IF((gamma!M56),IF(VLOOKUP(M$1,main!$A$3:$H$102,7,FALSE)=VLOOKUP($A56,main!$A$3:$H$102,8,FALSE),VLOOKUP(M$1,main!$A$3:$H$102,4,FALSE),VLOOKUP(M$1,main!$A$3:$H$102,4,FALSE)+VLOOKUP($A56,main!$A$3:$H$102,4,FALSE)+(VLOOKUP(VLOOKUP(M$1,main!$A$3:$H$102,8,FALSE),main!$K$19:$O$22,MATCH(VLOOKUP($A56,main!$A$3:$H$102,7,FALSE),main!$K$18:$O$18,0),0))),0)</f>
        <v>0</v>
      </c>
      <c r="N56">
        <f>IF((gamma!N56),IF(VLOOKUP(N$1,main!$A$3:$H$102,7,FALSE)=VLOOKUP($A56,main!$A$3:$H$102,8,FALSE),VLOOKUP(N$1,main!$A$3:$H$102,4,FALSE),VLOOKUP(N$1,main!$A$3:$H$102,4,FALSE)+VLOOKUP($A56,main!$A$3:$H$102,4,FALSE)+(VLOOKUP(VLOOKUP(N$1,main!$A$3:$H$102,8,FALSE),main!$K$19:$O$22,MATCH(VLOOKUP($A56,main!$A$3:$H$102,7,FALSE),main!$K$18:$O$18,0),0))),0)</f>
        <v>0</v>
      </c>
      <c r="O56">
        <f>IF((gamma!O56),IF(VLOOKUP(O$1,main!$A$3:$H$102,7,FALSE)=VLOOKUP($A56,main!$A$3:$H$102,8,FALSE),VLOOKUP(O$1,main!$A$3:$H$102,4,FALSE),VLOOKUP(O$1,main!$A$3:$H$102,4,FALSE)+VLOOKUP($A56,main!$A$3:$H$102,4,FALSE)+(VLOOKUP(VLOOKUP(O$1,main!$A$3:$H$102,8,FALSE),main!$K$19:$O$22,MATCH(VLOOKUP($A56,main!$A$3:$H$102,7,FALSE),main!$K$18:$O$18,0),0))),0)</f>
        <v>0</v>
      </c>
      <c r="P56">
        <f>IF((gamma!P56),IF(VLOOKUP(P$1,main!$A$3:$H$102,7,FALSE)=VLOOKUP($A56,main!$A$3:$H$102,8,FALSE),VLOOKUP(P$1,main!$A$3:$H$102,4,FALSE),VLOOKUP(P$1,main!$A$3:$H$102,4,FALSE)+VLOOKUP($A56,main!$A$3:$H$102,4,FALSE)+(VLOOKUP(VLOOKUP(P$1,main!$A$3:$H$102,8,FALSE),main!$K$19:$O$22,MATCH(VLOOKUP($A56,main!$A$3:$H$102,7,FALSE),main!$K$18:$O$18,0),0))),0)</f>
        <v>0</v>
      </c>
      <c r="Q56">
        <f>IF((gamma!Q56),IF(VLOOKUP(Q$1,main!$A$3:$H$102,7,FALSE)=VLOOKUP($A56,main!$A$3:$H$102,8,FALSE),VLOOKUP(Q$1,main!$A$3:$H$102,4,FALSE),VLOOKUP(Q$1,main!$A$3:$H$102,4,FALSE)+VLOOKUP($A56,main!$A$3:$H$102,4,FALSE)+(VLOOKUP(VLOOKUP(Q$1,main!$A$3:$H$102,8,FALSE),main!$K$19:$O$22,MATCH(VLOOKUP($A56,main!$A$3:$H$102,7,FALSE),main!$K$18:$O$18,0),0))),0)</f>
        <v>0</v>
      </c>
      <c r="R56">
        <f>IF((gamma!R56),IF(VLOOKUP(R$1,main!$A$3:$H$102,7,FALSE)=VLOOKUP($A56,main!$A$3:$H$102,8,FALSE),VLOOKUP(R$1,main!$A$3:$H$102,4,FALSE),VLOOKUP(R$1,main!$A$3:$H$102,4,FALSE)+VLOOKUP($A56,main!$A$3:$H$102,4,FALSE)+(VLOOKUP(VLOOKUP(R$1,main!$A$3:$H$102,8,FALSE),main!$K$19:$O$22,MATCH(VLOOKUP($A56,main!$A$3:$H$102,7,FALSE),main!$K$18:$O$18,0),0))),0)</f>
        <v>0</v>
      </c>
      <c r="S56">
        <f>IF((gamma!S56),IF(VLOOKUP(S$1,main!$A$3:$H$102,7,FALSE)=VLOOKUP($A56,main!$A$3:$H$102,8,FALSE),VLOOKUP(S$1,main!$A$3:$H$102,4,FALSE),VLOOKUP(S$1,main!$A$3:$H$102,4,FALSE)+VLOOKUP($A56,main!$A$3:$H$102,4,FALSE)+(VLOOKUP(VLOOKUP(S$1,main!$A$3:$H$102,8,FALSE),main!$K$19:$O$22,MATCH(VLOOKUP($A56,main!$A$3:$H$102,7,FALSE),main!$K$18:$O$18,0),0))),0)</f>
        <v>0</v>
      </c>
      <c r="T56">
        <f>IF((gamma!T56),IF(VLOOKUP(T$1,main!$A$3:$H$102,7,FALSE)=VLOOKUP($A56,main!$A$3:$H$102,8,FALSE),VLOOKUP(T$1,main!$A$3:$H$102,4,FALSE),VLOOKUP(T$1,main!$A$3:$H$102,4,FALSE)+VLOOKUP($A56,main!$A$3:$H$102,4,FALSE)+(VLOOKUP(VLOOKUP(T$1,main!$A$3:$H$102,8,FALSE),main!$K$19:$O$22,MATCH(VLOOKUP($A56,main!$A$3:$H$102,7,FALSE),main!$K$18:$O$18,0),0))),0)</f>
        <v>0</v>
      </c>
      <c r="U56">
        <f>IF((gamma!U56),IF(VLOOKUP(U$1,main!$A$3:$H$102,7,FALSE)=VLOOKUP($A56,main!$A$3:$H$102,8,FALSE),VLOOKUP(U$1,main!$A$3:$H$102,4,FALSE),VLOOKUP(U$1,main!$A$3:$H$102,4,FALSE)+VLOOKUP($A56,main!$A$3:$H$102,4,FALSE)+(VLOOKUP(VLOOKUP(U$1,main!$A$3:$H$102,8,FALSE),main!$K$19:$O$22,MATCH(VLOOKUP($A56,main!$A$3:$H$102,7,FALSE),main!$K$18:$O$18,0),0))),0)</f>
        <v>140</v>
      </c>
      <c r="V56">
        <f>IF((gamma!V56),IF(VLOOKUP(V$1,main!$A$3:$H$102,7,FALSE)=VLOOKUP($A56,main!$A$3:$H$102,8,FALSE),VLOOKUP(V$1,main!$A$3:$H$102,4,FALSE),VLOOKUP(V$1,main!$A$3:$H$102,4,FALSE)+VLOOKUP($A56,main!$A$3:$H$102,4,FALSE)+(VLOOKUP(VLOOKUP(V$1,main!$A$3:$H$102,8,FALSE),main!$K$19:$O$22,MATCH(VLOOKUP($A56,main!$A$3:$H$102,7,FALSE),main!$K$18:$O$18,0),0))),0)</f>
        <v>140</v>
      </c>
      <c r="W56">
        <f>IF((gamma!W56),IF(VLOOKUP(W$1,main!$A$3:$H$102,7,FALSE)=VLOOKUP($A56,main!$A$3:$H$102,8,FALSE),VLOOKUP(W$1,main!$A$3:$H$102,4,FALSE),VLOOKUP(W$1,main!$A$3:$H$102,4,FALSE)+VLOOKUP($A56,main!$A$3:$H$102,4,FALSE)+(VLOOKUP(VLOOKUP(W$1,main!$A$3:$H$102,8,FALSE),main!$K$19:$O$22,MATCH(VLOOKUP($A56,main!$A$3:$H$102,7,FALSE),main!$K$18:$O$18,0),0))),0)</f>
        <v>0</v>
      </c>
      <c r="X56">
        <f>IF((gamma!X56),IF(VLOOKUP(X$1,main!$A$3:$H$102,7,FALSE)=VLOOKUP($A56,main!$A$3:$H$102,8,FALSE),VLOOKUP(X$1,main!$A$3:$H$102,4,FALSE),VLOOKUP(X$1,main!$A$3:$H$102,4,FALSE)+VLOOKUP($A56,main!$A$3:$H$102,4,FALSE)+(VLOOKUP(VLOOKUP(X$1,main!$A$3:$H$102,8,FALSE),main!$K$19:$O$22,MATCH(VLOOKUP($A56,main!$A$3:$H$102,7,FALSE),main!$K$18:$O$18,0),0))),0)</f>
        <v>0</v>
      </c>
      <c r="Y56">
        <f>IF((gamma!Y56),IF(VLOOKUP(Y$1,main!$A$3:$H$102,7,FALSE)=VLOOKUP($A56,main!$A$3:$H$102,8,FALSE),VLOOKUP(Y$1,main!$A$3:$H$102,4,FALSE),VLOOKUP(Y$1,main!$A$3:$H$102,4,FALSE)+VLOOKUP($A56,main!$A$3:$H$102,4,FALSE)+(VLOOKUP(VLOOKUP(Y$1,main!$A$3:$H$102,8,FALSE),main!$K$19:$O$22,MATCH(VLOOKUP($A56,main!$A$3:$H$102,7,FALSE),main!$K$18:$O$18,0),0))),0)</f>
        <v>0</v>
      </c>
      <c r="Z56">
        <f>IF((gamma!Z56),IF(VLOOKUP(Z$1,main!$A$3:$H$102,7,FALSE)=VLOOKUP($A56,main!$A$3:$H$102,8,FALSE),VLOOKUP(Z$1,main!$A$3:$H$102,4,FALSE),VLOOKUP(Z$1,main!$A$3:$H$102,4,FALSE)+VLOOKUP($A56,main!$A$3:$H$102,4,FALSE)+(VLOOKUP(VLOOKUP(Z$1,main!$A$3:$H$102,8,FALSE),main!$K$19:$O$22,MATCH(VLOOKUP($A56,main!$A$3:$H$102,7,FALSE),main!$K$18:$O$18,0),0))),0)</f>
        <v>0</v>
      </c>
      <c r="AA56">
        <f>IF((gamma!AA56),IF(VLOOKUP(AA$1,main!$A$3:$H$102,7,FALSE)=VLOOKUP($A56,main!$A$3:$H$102,8,FALSE),VLOOKUP(AA$1,main!$A$3:$H$102,4,FALSE),VLOOKUP(AA$1,main!$A$3:$H$102,4,FALSE)+VLOOKUP($A56,main!$A$3:$H$102,4,FALSE)+(VLOOKUP(VLOOKUP(AA$1,main!$A$3:$H$102,8,FALSE),main!$K$19:$O$22,MATCH(VLOOKUP($A56,main!$A$3:$H$102,7,FALSE),main!$K$18:$O$18,0),0))),0)</f>
        <v>140</v>
      </c>
      <c r="AB56">
        <f>IF((gamma!AB56),IF(VLOOKUP(AB$1,main!$A$3:$H$102,7,FALSE)=VLOOKUP($A56,main!$A$3:$H$102,8,FALSE),VLOOKUP(AB$1,main!$A$3:$H$102,4,FALSE),VLOOKUP(AB$1,main!$A$3:$H$102,4,FALSE)+VLOOKUP($A56,main!$A$3:$H$102,4,FALSE)+(VLOOKUP(VLOOKUP(AB$1,main!$A$3:$H$102,8,FALSE),main!$K$19:$O$22,MATCH(VLOOKUP($A56,main!$A$3:$H$102,7,FALSE),main!$K$18:$O$18,0),0))),0)</f>
        <v>0</v>
      </c>
      <c r="AC56">
        <f>IF((gamma!AC56),IF(VLOOKUP(AC$1,main!$A$3:$H$102,7,FALSE)=VLOOKUP($A56,main!$A$3:$H$102,8,FALSE),VLOOKUP(AC$1,main!$A$3:$H$102,4,FALSE),VLOOKUP(AC$1,main!$A$3:$H$102,4,FALSE)+VLOOKUP($A56,main!$A$3:$H$102,4,FALSE)+(VLOOKUP(VLOOKUP(AC$1,main!$A$3:$H$102,8,FALSE),main!$K$19:$O$22,MATCH(VLOOKUP($A56,main!$A$3:$H$102,7,FALSE),main!$K$18:$O$18,0),0))),0)</f>
        <v>0</v>
      </c>
      <c r="AD56">
        <f>IF((gamma!AD56),IF(VLOOKUP(AD$1,main!$A$3:$H$102,7,FALSE)=VLOOKUP($A56,main!$A$3:$H$102,8,FALSE),VLOOKUP(AD$1,main!$A$3:$H$102,4,FALSE),VLOOKUP(AD$1,main!$A$3:$H$102,4,FALSE)+VLOOKUP($A56,main!$A$3:$H$102,4,FALSE)+(VLOOKUP(VLOOKUP(AD$1,main!$A$3:$H$102,8,FALSE),main!$K$19:$O$22,MATCH(VLOOKUP($A56,main!$A$3:$H$102,7,FALSE),main!$K$18:$O$18,0),0))),0)</f>
        <v>0</v>
      </c>
      <c r="AE56">
        <f>IF((gamma!AE56),IF(VLOOKUP(AE$1,main!$A$3:$H$102,7,FALSE)=VLOOKUP($A56,main!$A$3:$H$102,8,FALSE),VLOOKUP(AE$1,main!$A$3:$H$102,4,FALSE),VLOOKUP(AE$1,main!$A$3:$H$102,4,FALSE)+VLOOKUP($A56,main!$A$3:$H$102,4,FALSE)+(VLOOKUP(VLOOKUP(AE$1,main!$A$3:$H$102,8,FALSE),main!$K$19:$O$22,MATCH(VLOOKUP($A56,main!$A$3:$H$102,7,FALSE),main!$K$18:$O$18,0),0))),0)</f>
        <v>0</v>
      </c>
      <c r="AF56">
        <f>IF((gamma!AF56),IF(VLOOKUP(AF$1,main!$A$3:$H$102,7,FALSE)=VLOOKUP($A56,main!$A$3:$H$102,8,FALSE),VLOOKUP(AF$1,main!$A$3:$H$102,4,FALSE),VLOOKUP(AF$1,main!$A$3:$H$102,4,FALSE)+VLOOKUP($A56,main!$A$3:$H$102,4,FALSE)+(VLOOKUP(VLOOKUP(AF$1,main!$A$3:$H$102,8,FALSE),main!$K$19:$O$22,MATCH(VLOOKUP($A56,main!$A$3:$H$102,7,FALSE),main!$K$18:$O$18,0),0))),0)</f>
        <v>100</v>
      </c>
      <c r="AG56">
        <f>IF((gamma!AG56),IF(VLOOKUP(AG$1,main!$A$3:$H$102,7,FALSE)=VLOOKUP($A56,main!$A$3:$H$102,8,FALSE),VLOOKUP(AG$1,main!$A$3:$H$102,4,FALSE),VLOOKUP(AG$1,main!$A$3:$H$102,4,FALSE)+VLOOKUP($A56,main!$A$3:$H$102,4,FALSE)+(VLOOKUP(VLOOKUP(AG$1,main!$A$3:$H$102,8,FALSE),main!$K$19:$O$22,MATCH(VLOOKUP($A56,main!$A$3:$H$102,7,FALSE),main!$K$18:$O$18,0),0))),0)</f>
        <v>0</v>
      </c>
      <c r="AH56">
        <f>IF((gamma!AH56),IF(VLOOKUP(AH$1,main!$A$3:$H$102,7,FALSE)=VLOOKUP($A56,main!$A$3:$H$102,8,FALSE),VLOOKUP(AH$1,main!$A$3:$H$102,4,FALSE),VLOOKUP(AH$1,main!$A$3:$H$102,4,FALSE)+VLOOKUP($A56,main!$A$3:$H$102,4,FALSE)+(VLOOKUP(VLOOKUP(AH$1,main!$A$3:$H$102,8,FALSE),main!$K$19:$O$22,MATCH(VLOOKUP($A56,main!$A$3:$H$102,7,FALSE),main!$K$18:$O$18,0),0))),0)</f>
        <v>0</v>
      </c>
      <c r="AI56">
        <f>IF((gamma!AI56),IF(VLOOKUP(AI$1,main!$A$3:$H$102,7,FALSE)=VLOOKUP($A56,main!$A$3:$H$102,8,FALSE),VLOOKUP(AI$1,main!$A$3:$H$102,4,FALSE),VLOOKUP(AI$1,main!$A$3:$H$102,4,FALSE)+VLOOKUP($A56,main!$A$3:$H$102,4,FALSE)+(VLOOKUP(VLOOKUP(AI$1,main!$A$3:$H$102,8,FALSE),main!$K$19:$O$22,MATCH(VLOOKUP($A56,main!$A$3:$H$102,7,FALSE),main!$K$18:$O$18,0),0))),0)</f>
        <v>0</v>
      </c>
      <c r="AJ56">
        <f>IF((gamma!AJ56),IF(VLOOKUP(AJ$1,main!$A$3:$H$102,7,FALSE)=VLOOKUP($A56,main!$A$3:$H$102,8,FALSE),VLOOKUP(AJ$1,main!$A$3:$H$102,4,FALSE),VLOOKUP(AJ$1,main!$A$3:$H$102,4,FALSE)+VLOOKUP($A56,main!$A$3:$H$102,4,FALSE)+(VLOOKUP(VLOOKUP(AJ$1,main!$A$3:$H$102,8,FALSE),main!$K$19:$O$22,MATCH(VLOOKUP($A56,main!$A$3:$H$102,7,FALSE),main!$K$18:$O$18,0),0))),0)</f>
        <v>0</v>
      </c>
      <c r="AK56">
        <f>IF((gamma!AK56),IF(VLOOKUP(AK$1,main!$A$3:$H$102,7,FALSE)=VLOOKUP($A56,main!$A$3:$H$102,8,FALSE),VLOOKUP(AK$1,main!$A$3:$H$102,4,FALSE),VLOOKUP(AK$1,main!$A$3:$H$102,4,FALSE)+VLOOKUP($A56,main!$A$3:$H$102,4,FALSE)+(VLOOKUP(VLOOKUP(AK$1,main!$A$3:$H$102,8,FALSE),main!$K$19:$O$22,MATCH(VLOOKUP($A56,main!$A$3:$H$102,7,FALSE),main!$K$18:$O$18,0),0))),0)</f>
        <v>0</v>
      </c>
      <c r="AL56">
        <f>IF((gamma!AL56),IF(VLOOKUP(AL$1,main!$A$3:$H$102,7,FALSE)=VLOOKUP($A56,main!$A$3:$H$102,8,FALSE),VLOOKUP(AL$1,main!$A$3:$H$102,4,FALSE),VLOOKUP(AL$1,main!$A$3:$H$102,4,FALSE)+VLOOKUP($A56,main!$A$3:$H$102,4,FALSE)+(VLOOKUP(VLOOKUP(AL$1,main!$A$3:$H$102,8,FALSE),main!$K$19:$O$22,MATCH(VLOOKUP($A56,main!$A$3:$H$102,7,FALSE),main!$K$18:$O$18,0),0))),0)</f>
        <v>0</v>
      </c>
      <c r="AM56">
        <f>IF((gamma!AM56),IF(VLOOKUP(AM$1,main!$A$3:$H$102,7,FALSE)=VLOOKUP($A56,main!$A$3:$H$102,8,FALSE),VLOOKUP(AM$1,main!$A$3:$H$102,4,FALSE),VLOOKUP(AM$1,main!$A$3:$H$102,4,FALSE)+VLOOKUP($A56,main!$A$3:$H$102,4,FALSE)+(VLOOKUP(VLOOKUP(AM$1,main!$A$3:$H$102,8,FALSE),main!$K$19:$O$22,MATCH(VLOOKUP($A56,main!$A$3:$H$102,7,FALSE),main!$K$18:$O$18,0),0))),0)</f>
        <v>0</v>
      </c>
      <c r="AN56">
        <f>IF((gamma!AN56),IF(VLOOKUP(AN$1,main!$A$3:$H$102,7,FALSE)=VLOOKUP($A56,main!$A$3:$H$102,8,FALSE),VLOOKUP(AN$1,main!$A$3:$H$102,4,FALSE),VLOOKUP(AN$1,main!$A$3:$H$102,4,FALSE)+VLOOKUP($A56,main!$A$3:$H$102,4,FALSE)+(VLOOKUP(VLOOKUP(AN$1,main!$A$3:$H$102,8,FALSE),main!$K$19:$O$22,MATCH(VLOOKUP($A56,main!$A$3:$H$102,7,FALSE),main!$K$18:$O$18,0),0))),0)</f>
        <v>305</v>
      </c>
      <c r="AO56">
        <f>IF((gamma!AO56),IF(VLOOKUP(AO$1,main!$A$3:$H$102,7,FALSE)=VLOOKUP($A56,main!$A$3:$H$102,8,FALSE),VLOOKUP(AO$1,main!$A$3:$H$102,4,FALSE),VLOOKUP(AO$1,main!$A$3:$H$102,4,FALSE)+VLOOKUP($A56,main!$A$3:$H$102,4,FALSE)+(VLOOKUP(VLOOKUP(AO$1,main!$A$3:$H$102,8,FALSE),main!$K$19:$O$22,MATCH(VLOOKUP($A56,main!$A$3:$H$102,7,FALSE),main!$K$18:$O$18,0),0))),0)</f>
        <v>0</v>
      </c>
      <c r="AP56">
        <f>IF((gamma!AP56),IF(VLOOKUP(AP$1,main!$A$3:$H$102,7,FALSE)=VLOOKUP($A56,main!$A$3:$H$102,8,FALSE),VLOOKUP(AP$1,main!$A$3:$H$102,4,FALSE),VLOOKUP(AP$1,main!$A$3:$H$102,4,FALSE)+VLOOKUP($A56,main!$A$3:$H$102,4,FALSE)+(VLOOKUP(VLOOKUP(AP$1,main!$A$3:$H$102,8,FALSE),main!$K$19:$O$22,MATCH(VLOOKUP($A56,main!$A$3:$H$102,7,FALSE),main!$K$18:$O$18,0),0))),0)</f>
        <v>245</v>
      </c>
      <c r="AQ56">
        <f>IF((gamma!AQ56),IF(VLOOKUP(AQ$1,main!$A$3:$H$102,7,FALSE)=VLOOKUP($A56,main!$A$3:$H$102,8,FALSE),VLOOKUP(AQ$1,main!$A$3:$H$102,4,FALSE),VLOOKUP(AQ$1,main!$A$3:$H$102,4,FALSE)+VLOOKUP($A56,main!$A$3:$H$102,4,FALSE)+(VLOOKUP(VLOOKUP(AQ$1,main!$A$3:$H$102,8,FALSE),main!$K$19:$O$22,MATCH(VLOOKUP($A56,main!$A$3:$H$102,7,FALSE),main!$K$18:$O$18,0),0))),0)</f>
        <v>0</v>
      </c>
      <c r="AR56">
        <f>IF((gamma!AR56),IF(VLOOKUP(AR$1,main!$A$3:$H$102,7,FALSE)=VLOOKUP($A56,main!$A$3:$H$102,8,FALSE),VLOOKUP(AR$1,main!$A$3:$H$102,4,FALSE),VLOOKUP(AR$1,main!$A$3:$H$102,4,FALSE)+VLOOKUP($A56,main!$A$3:$H$102,4,FALSE)+(VLOOKUP(VLOOKUP(AR$1,main!$A$3:$H$102,8,FALSE),main!$K$19:$O$22,MATCH(VLOOKUP($A56,main!$A$3:$H$102,7,FALSE),main!$K$18:$O$18,0),0))),0)</f>
        <v>0</v>
      </c>
      <c r="AS56">
        <f>IF((gamma!AS56),IF(VLOOKUP(AS$1,main!$A$3:$H$102,7,FALSE)=VLOOKUP($A56,main!$A$3:$H$102,8,FALSE),VLOOKUP(AS$1,main!$A$3:$H$102,4,FALSE),VLOOKUP(AS$1,main!$A$3:$H$102,4,FALSE)+VLOOKUP($A56,main!$A$3:$H$102,4,FALSE)+(VLOOKUP(VLOOKUP(AS$1,main!$A$3:$H$102,8,FALSE),main!$K$19:$O$22,MATCH(VLOOKUP($A56,main!$A$3:$H$102,7,FALSE),main!$K$18:$O$18,0),0))),0)</f>
        <v>0</v>
      </c>
      <c r="AT56">
        <f>IF((gamma!AT56),IF(VLOOKUP(AT$1,main!$A$3:$H$102,7,FALSE)=VLOOKUP($A56,main!$A$3:$H$102,8,FALSE),VLOOKUP(AT$1,main!$A$3:$H$102,4,FALSE),VLOOKUP(AT$1,main!$A$3:$H$102,4,FALSE)+VLOOKUP($A56,main!$A$3:$H$102,4,FALSE)+(VLOOKUP(VLOOKUP(AT$1,main!$A$3:$H$102,8,FALSE),main!$K$19:$O$22,MATCH(VLOOKUP($A56,main!$A$3:$H$102,7,FALSE),main!$K$18:$O$18,0),0))),0)</f>
        <v>0</v>
      </c>
      <c r="AU56">
        <f>IF((gamma!AU56),IF(VLOOKUP(AU$1,main!$A$3:$H$102,7,FALSE)=VLOOKUP($A56,main!$A$3:$H$102,8,FALSE),VLOOKUP(AU$1,main!$A$3:$H$102,4,FALSE),VLOOKUP(AU$1,main!$A$3:$H$102,4,FALSE)+VLOOKUP($A56,main!$A$3:$H$102,4,FALSE)+(VLOOKUP(VLOOKUP(AU$1,main!$A$3:$H$102,8,FALSE),main!$K$19:$O$22,MATCH(VLOOKUP($A56,main!$A$3:$H$102,7,FALSE),main!$K$18:$O$18,0),0))),0)</f>
        <v>0</v>
      </c>
      <c r="AV56">
        <f>IF((gamma!AV56),IF(VLOOKUP(AV$1,main!$A$3:$H$102,7,FALSE)=VLOOKUP($A56,main!$A$3:$H$102,8,FALSE),VLOOKUP(AV$1,main!$A$3:$H$102,4,FALSE),VLOOKUP(AV$1,main!$A$3:$H$102,4,FALSE)+VLOOKUP($A56,main!$A$3:$H$102,4,FALSE)+(VLOOKUP(VLOOKUP(AV$1,main!$A$3:$H$102,8,FALSE),main!$K$19:$O$22,MATCH(VLOOKUP($A56,main!$A$3:$H$102,7,FALSE),main!$K$18:$O$18,0),0))),0)</f>
        <v>0</v>
      </c>
      <c r="AW56">
        <f>IF((gamma!AW56),IF(VLOOKUP(AW$1,main!$A$3:$H$102,7,FALSE)=VLOOKUP($A56,main!$A$3:$H$102,8,FALSE),VLOOKUP(AW$1,main!$A$3:$H$102,4,FALSE),VLOOKUP(AW$1,main!$A$3:$H$102,4,FALSE)+VLOOKUP($A56,main!$A$3:$H$102,4,FALSE)+(VLOOKUP(VLOOKUP(AW$1,main!$A$3:$H$102,8,FALSE),main!$K$19:$O$22,MATCH(VLOOKUP($A56,main!$A$3:$H$102,7,FALSE),main!$K$18:$O$18,0),0))),0)</f>
        <v>0</v>
      </c>
      <c r="AX56">
        <f>IF((gamma!AX56),IF(VLOOKUP(AX$1,main!$A$3:$H$102,7,FALSE)=VLOOKUP($A56,main!$A$3:$H$102,8,FALSE),VLOOKUP(AX$1,main!$A$3:$H$102,4,FALSE),VLOOKUP(AX$1,main!$A$3:$H$102,4,FALSE)+VLOOKUP($A56,main!$A$3:$H$102,4,FALSE)+(VLOOKUP(VLOOKUP(AX$1,main!$A$3:$H$102,8,FALSE),main!$K$19:$O$22,MATCH(VLOOKUP($A56,main!$A$3:$H$102,7,FALSE),main!$K$18:$O$18,0),0))),0)</f>
        <v>0</v>
      </c>
      <c r="AY56">
        <f>IF((gamma!AY56),IF(VLOOKUP(AY$1,main!$A$3:$H$102,7,FALSE)=VLOOKUP($A56,main!$A$3:$H$102,8,FALSE),VLOOKUP(AY$1,main!$A$3:$H$102,4,FALSE),VLOOKUP(AY$1,main!$A$3:$H$102,4,FALSE)+VLOOKUP($A56,main!$A$3:$H$102,4,FALSE)+(VLOOKUP(VLOOKUP(AY$1,main!$A$3:$H$102,8,FALSE),main!$K$19:$O$22,MATCH(VLOOKUP($A56,main!$A$3:$H$102,7,FALSE),main!$K$18:$O$18,0),0))),0)</f>
        <v>0</v>
      </c>
      <c r="AZ56">
        <f>IF((gamma!AZ56),IF(VLOOKUP(AZ$1,main!$A$3:$H$102,7,FALSE)=VLOOKUP($A56,main!$A$3:$H$102,8,FALSE),VLOOKUP(AZ$1,main!$A$3:$H$102,4,FALSE),VLOOKUP(AZ$1,main!$A$3:$H$102,4,FALSE)+VLOOKUP($A56,main!$A$3:$H$102,4,FALSE)+(VLOOKUP(VLOOKUP(AZ$1,main!$A$3:$H$102,8,FALSE),main!$K$19:$O$22,MATCH(VLOOKUP($A56,main!$A$3:$H$102,7,FALSE),main!$K$18:$O$18,0),0))),0)</f>
        <v>0</v>
      </c>
      <c r="BA56">
        <f>IF((gamma!BA56),IF(VLOOKUP(BA$1,main!$A$3:$H$102,7,FALSE)=VLOOKUP($A56,main!$A$3:$H$102,8,FALSE),VLOOKUP(BA$1,main!$A$3:$H$102,4,FALSE),VLOOKUP(BA$1,main!$A$3:$H$102,4,FALSE)+VLOOKUP($A56,main!$A$3:$H$102,4,FALSE)+(VLOOKUP(VLOOKUP(BA$1,main!$A$3:$H$102,8,FALSE),main!$K$19:$O$22,MATCH(VLOOKUP($A56,main!$A$3:$H$102,7,FALSE),main!$K$18:$O$18,0),0))),0)</f>
        <v>0</v>
      </c>
      <c r="BB56">
        <f>IF((gamma!BB56),IF(VLOOKUP(BB$1,main!$A$3:$H$102,7,FALSE)=VLOOKUP($A56,main!$A$3:$H$102,8,FALSE),VLOOKUP(BB$1,main!$A$3:$H$102,4,FALSE),VLOOKUP(BB$1,main!$A$3:$H$102,4,FALSE)+VLOOKUP($A56,main!$A$3:$H$102,4,FALSE)+(VLOOKUP(VLOOKUP(BB$1,main!$A$3:$H$102,8,FALSE),main!$K$19:$O$22,MATCH(VLOOKUP($A56,main!$A$3:$H$102,7,FALSE),main!$K$18:$O$18,0),0))),0)</f>
        <v>0</v>
      </c>
      <c r="BC56">
        <f>IF((gamma!BC56),IF(VLOOKUP(BC$1,main!$A$3:$H$102,7,FALSE)=VLOOKUP($A56,main!$A$3:$H$102,8,FALSE),VLOOKUP(BC$1,main!$A$3:$H$102,4,FALSE),VLOOKUP(BC$1,main!$A$3:$H$102,4,FALSE)+VLOOKUP($A56,main!$A$3:$H$102,4,FALSE)+(VLOOKUP(VLOOKUP(BC$1,main!$A$3:$H$102,8,FALSE),main!$K$19:$O$22,MATCH(VLOOKUP($A56,main!$A$3:$H$102,7,FALSE),main!$K$18:$O$18,0),0))),0)</f>
        <v>0</v>
      </c>
      <c r="BD56">
        <f>IF((gamma!BD56),IF(VLOOKUP(BD$1,main!$A$3:$H$102,7,FALSE)=VLOOKUP($A56,main!$A$3:$H$102,8,FALSE),VLOOKUP(BD$1,main!$A$3:$H$102,4,FALSE),VLOOKUP(BD$1,main!$A$3:$H$102,4,FALSE)+VLOOKUP($A56,main!$A$3:$H$102,4,FALSE)+(VLOOKUP(VLOOKUP(BD$1,main!$A$3:$H$102,8,FALSE),main!$K$19:$O$22,MATCH(VLOOKUP($A56,main!$A$3:$H$102,7,FALSE),main!$K$18:$O$18,0),0))),0)</f>
        <v>0</v>
      </c>
      <c r="BE56">
        <f>IF((gamma!BE56),IF(VLOOKUP(BE$1,main!$A$3:$H$102,7,FALSE)=VLOOKUP($A56,main!$A$3:$H$102,8,FALSE),VLOOKUP(BE$1,main!$A$3:$H$102,4,FALSE),VLOOKUP(BE$1,main!$A$3:$H$102,4,FALSE)+VLOOKUP($A56,main!$A$3:$H$102,4,FALSE)+(VLOOKUP(VLOOKUP(BE$1,main!$A$3:$H$102,8,FALSE),main!$K$19:$O$22,MATCH(VLOOKUP($A56,main!$A$3:$H$102,7,FALSE),main!$K$18:$O$18,0),0))),0)</f>
        <v>0</v>
      </c>
      <c r="BF56">
        <f>IF((gamma!BF56),IF(VLOOKUP(BF$1,main!$A$3:$H$102,7,FALSE)=VLOOKUP($A56,main!$A$3:$H$102,8,FALSE),VLOOKUP(BF$1,main!$A$3:$H$102,4,FALSE),VLOOKUP(BF$1,main!$A$3:$H$102,4,FALSE)+VLOOKUP($A56,main!$A$3:$H$102,4,FALSE)+(VLOOKUP(VLOOKUP(BF$1,main!$A$3:$H$102,8,FALSE),main!$K$19:$O$22,MATCH(VLOOKUP($A56,main!$A$3:$H$102,7,FALSE),main!$K$18:$O$18,0),0))),0)</f>
        <v>0</v>
      </c>
      <c r="BG56">
        <f>IF((gamma!BG56),IF(VLOOKUP(BG$1,main!$A$3:$H$102,7,FALSE)=VLOOKUP($A56,main!$A$3:$H$102,8,FALSE),VLOOKUP(BG$1,main!$A$3:$H$102,4,FALSE),VLOOKUP(BG$1,main!$A$3:$H$102,4,FALSE)+VLOOKUP($A56,main!$A$3:$H$102,4,FALSE)+(VLOOKUP(VLOOKUP(BG$1,main!$A$3:$H$102,8,FALSE),main!$K$19:$O$22,MATCH(VLOOKUP($A56,main!$A$3:$H$102,7,FALSE),main!$K$18:$O$18,0),0))),0)</f>
        <v>0</v>
      </c>
      <c r="BH56">
        <f>IF((gamma!BH56),IF(VLOOKUP(BH$1,main!$A$3:$H$102,7,FALSE)=VLOOKUP($A56,main!$A$3:$H$102,8,FALSE),VLOOKUP(BH$1,main!$A$3:$H$102,4,FALSE),VLOOKUP(BH$1,main!$A$3:$H$102,4,FALSE)+VLOOKUP($A56,main!$A$3:$H$102,4,FALSE)+(VLOOKUP(VLOOKUP(BH$1,main!$A$3:$H$102,8,FALSE),main!$K$19:$O$22,MATCH(VLOOKUP($A56,main!$A$3:$H$102,7,FALSE),main!$K$18:$O$18,0),0))),0)</f>
        <v>0</v>
      </c>
      <c r="BI56">
        <f>IF((gamma!BI56),IF(VLOOKUP(BI$1,main!$A$3:$H$102,7,FALSE)=VLOOKUP($A56,main!$A$3:$H$102,8,FALSE),VLOOKUP(BI$1,main!$A$3:$H$102,4,FALSE),VLOOKUP(BI$1,main!$A$3:$H$102,4,FALSE)+VLOOKUP($A56,main!$A$3:$H$102,4,FALSE)+(VLOOKUP(VLOOKUP(BI$1,main!$A$3:$H$102,8,FALSE),main!$K$19:$O$22,MATCH(VLOOKUP($A56,main!$A$3:$H$102,7,FALSE),main!$K$18:$O$18,0),0))),0)</f>
        <v>230</v>
      </c>
      <c r="BJ56">
        <f>IF((gamma!BJ56),IF(VLOOKUP(BJ$1,main!$A$3:$H$102,7,FALSE)=VLOOKUP($A56,main!$A$3:$H$102,8,FALSE),VLOOKUP(BJ$1,main!$A$3:$H$102,4,FALSE),VLOOKUP(BJ$1,main!$A$3:$H$102,4,FALSE)+VLOOKUP($A56,main!$A$3:$H$102,4,FALSE)+(VLOOKUP(VLOOKUP(BJ$1,main!$A$3:$H$102,8,FALSE),main!$K$19:$O$22,MATCH(VLOOKUP($A56,main!$A$3:$H$102,7,FALSE),main!$K$18:$O$18,0),0))),0)</f>
        <v>0</v>
      </c>
      <c r="BK56">
        <f>IF((gamma!BK56),IF(VLOOKUP(BK$1,main!$A$3:$H$102,7,FALSE)=VLOOKUP($A56,main!$A$3:$H$102,8,FALSE),VLOOKUP(BK$1,main!$A$3:$H$102,4,FALSE),VLOOKUP(BK$1,main!$A$3:$H$102,4,FALSE)+VLOOKUP($A56,main!$A$3:$H$102,4,FALSE)+(VLOOKUP(VLOOKUP(BK$1,main!$A$3:$H$102,8,FALSE),main!$K$19:$O$22,MATCH(VLOOKUP($A56,main!$A$3:$H$102,7,FALSE),main!$K$18:$O$18,0),0))),0)</f>
        <v>0</v>
      </c>
      <c r="BL56">
        <f>IF((gamma!BL56),IF(VLOOKUP(BL$1,main!$A$3:$H$102,7,FALSE)=VLOOKUP($A56,main!$A$3:$H$102,8,FALSE),VLOOKUP(BL$1,main!$A$3:$H$102,4,FALSE),VLOOKUP(BL$1,main!$A$3:$H$102,4,FALSE)+VLOOKUP($A56,main!$A$3:$H$102,4,FALSE)+(VLOOKUP(VLOOKUP(BL$1,main!$A$3:$H$102,8,FALSE),main!$K$19:$O$22,MATCH(VLOOKUP($A56,main!$A$3:$H$102,7,FALSE),main!$K$18:$O$18,0),0))),0)</f>
        <v>0</v>
      </c>
      <c r="BM56">
        <f>IF((gamma!BM56),IF(VLOOKUP(BM$1,main!$A$3:$H$102,7,FALSE)=VLOOKUP($A56,main!$A$3:$H$102,8,FALSE),VLOOKUP(BM$1,main!$A$3:$H$102,4,FALSE),VLOOKUP(BM$1,main!$A$3:$H$102,4,FALSE)+VLOOKUP($A56,main!$A$3:$H$102,4,FALSE)+(VLOOKUP(VLOOKUP(BM$1,main!$A$3:$H$102,8,FALSE),main!$K$19:$O$22,MATCH(VLOOKUP($A56,main!$A$3:$H$102,7,FALSE),main!$K$18:$O$18,0),0))),0)</f>
        <v>0</v>
      </c>
      <c r="BN56">
        <f>IF((gamma!BN56),IF(VLOOKUP(BN$1,main!$A$3:$H$102,7,FALSE)=VLOOKUP($A56,main!$A$3:$H$102,8,FALSE),VLOOKUP(BN$1,main!$A$3:$H$102,4,FALSE),VLOOKUP(BN$1,main!$A$3:$H$102,4,FALSE)+VLOOKUP($A56,main!$A$3:$H$102,4,FALSE)+(VLOOKUP(VLOOKUP(BN$1,main!$A$3:$H$102,8,FALSE),main!$K$19:$O$22,MATCH(VLOOKUP($A56,main!$A$3:$H$102,7,FALSE),main!$K$18:$O$18,0),0))),0)</f>
        <v>0</v>
      </c>
      <c r="BO56">
        <f>IF((gamma!BO56),IF(VLOOKUP(BO$1,main!$A$3:$H$102,7,FALSE)=VLOOKUP($A56,main!$A$3:$H$102,8,FALSE),VLOOKUP(BO$1,main!$A$3:$H$102,4,FALSE),VLOOKUP(BO$1,main!$A$3:$H$102,4,FALSE)+VLOOKUP($A56,main!$A$3:$H$102,4,FALSE)+(VLOOKUP(VLOOKUP(BO$1,main!$A$3:$H$102,8,FALSE),main!$K$19:$O$22,MATCH(VLOOKUP($A56,main!$A$3:$H$102,7,FALSE),main!$K$18:$O$18,0),0))),0)</f>
        <v>0</v>
      </c>
      <c r="BP56">
        <f>IF((gamma!BP56),IF(VLOOKUP(BP$1,main!$A$3:$H$102,7,FALSE)=VLOOKUP($A56,main!$A$3:$H$102,8,FALSE),VLOOKUP(BP$1,main!$A$3:$H$102,4,FALSE),VLOOKUP(BP$1,main!$A$3:$H$102,4,FALSE)+VLOOKUP($A56,main!$A$3:$H$102,4,FALSE)+(VLOOKUP(VLOOKUP(BP$1,main!$A$3:$H$102,8,FALSE),main!$K$19:$O$22,MATCH(VLOOKUP($A56,main!$A$3:$H$102,7,FALSE),main!$K$18:$O$18,0),0))),0)</f>
        <v>0</v>
      </c>
      <c r="BQ56">
        <f>IF((gamma!BQ56),IF(VLOOKUP(BQ$1,main!$A$3:$H$102,7,FALSE)=VLOOKUP($A56,main!$A$3:$H$102,8,FALSE),VLOOKUP(BQ$1,main!$A$3:$H$102,4,FALSE),VLOOKUP(BQ$1,main!$A$3:$H$102,4,FALSE)+VLOOKUP($A56,main!$A$3:$H$102,4,FALSE)+(VLOOKUP(VLOOKUP(BQ$1,main!$A$3:$H$102,8,FALSE),main!$K$19:$O$22,MATCH(VLOOKUP($A56,main!$A$3:$H$102,7,FALSE),main!$K$18:$O$18,0),0))),0)</f>
        <v>0</v>
      </c>
      <c r="BR56">
        <f>IF((gamma!BR56),IF(VLOOKUP(BR$1,main!$A$3:$H$102,7,FALSE)=VLOOKUP($A56,main!$A$3:$H$102,8,FALSE),VLOOKUP(BR$1,main!$A$3:$H$102,4,FALSE),VLOOKUP(BR$1,main!$A$3:$H$102,4,FALSE)+VLOOKUP($A56,main!$A$3:$H$102,4,FALSE)+(VLOOKUP(VLOOKUP(BR$1,main!$A$3:$H$102,8,FALSE),main!$K$19:$O$22,MATCH(VLOOKUP($A56,main!$A$3:$H$102,7,FALSE),main!$K$18:$O$18,0),0))),0)</f>
        <v>0</v>
      </c>
      <c r="BS56">
        <f>IF((gamma!BS56),IF(VLOOKUP(BS$1,main!$A$3:$H$102,7,FALSE)=VLOOKUP($A56,main!$A$3:$H$102,8,FALSE),VLOOKUP(BS$1,main!$A$3:$H$102,4,FALSE),VLOOKUP(BS$1,main!$A$3:$H$102,4,FALSE)+VLOOKUP($A56,main!$A$3:$H$102,4,FALSE)+(VLOOKUP(VLOOKUP(BS$1,main!$A$3:$H$102,8,FALSE),main!$K$19:$O$22,MATCH(VLOOKUP($A56,main!$A$3:$H$102,7,FALSE),main!$K$18:$O$18,0),0))),0)</f>
        <v>0</v>
      </c>
      <c r="BT56">
        <f>IF((gamma!BT56),IF(VLOOKUP(BT$1,main!$A$3:$H$102,7,FALSE)=VLOOKUP($A56,main!$A$3:$H$102,8,FALSE),VLOOKUP(BT$1,main!$A$3:$H$102,4,FALSE),VLOOKUP(BT$1,main!$A$3:$H$102,4,FALSE)+VLOOKUP($A56,main!$A$3:$H$102,4,FALSE)+(VLOOKUP(VLOOKUP(BT$1,main!$A$3:$H$102,8,FALSE),main!$K$19:$O$22,MATCH(VLOOKUP($A56,main!$A$3:$H$102,7,FALSE),main!$K$18:$O$18,0),0))),0)</f>
        <v>0</v>
      </c>
      <c r="BU56">
        <f>IF((gamma!BU56),IF(VLOOKUP(BU$1,main!$A$3:$H$102,7,FALSE)=VLOOKUP($A56,main!$A$3:$H$102,8,FALSE),VLOOKUP(BU$1,main!$A$3:$H$102,4,FALSE),VLOOKUP(BU$1,main!$A$3:$H$102,4,FALSE)+VLOOKUP($A56,main!$A$3:$H$102,4,FALSE)+(VLOOKUP(VLOOKUP(BU$1,main!$A$3:$H$102,8,FALSE),main!$K$19:$O$22,MATCH(VLOOKUP($A56,main!$A$3:$H$102,7,FALSE),main!$K$18:$O$18,0),0))),0)</f>
        <v>0</v>
      </c>
      <c r="BV56">
        <f>IF((gamma!BV56),IF(VLOOKUP(BV$1,main!$A$3:$H$102,7,FALSE)=VLOOKUP($A56,main!$A$3:$H$102,8,FALSE),VLOOKUP(BV$1,main!$A$3:$H$102,4,FALSE),VLOOKUP(BV$1,main!$A$3:$H$102,4,FALSE)+VLOOKUP($A56,main!$A$3:$H$102,4,FALSE)+(VLOOKUP(VLOOKUP(BV$1,main!$A$3:$H$102,8,FALSE),main!$K$19:$O$22,MATCH(VLOOKUP($A56,main!$A$3:$H$102,7,FALSE),main!$K$18:$O$18,0),0))),0)</f>
        <v>0</v>
      </c>
      <c r="BW56">
        <f>IF((gamma!BW56),IF(VLOOKUP(BW$1,main!$A$3:$H$102,7,FALSE)=VLOOKUP($A56,main!$A$3:$H$102,8,FALSE),VLOOKUP(BW$1,main!$A$3:$H$102,4,FALSE),VLOOKUP(BW$1,main!$A$3:$H$102,4,FALSE)+VLOOKUP($A56,main!$A$3:$H$102,4,FALSE)+(VLOOKUP(VLOOKUP(BW$1,main!$A$3:$H$102,8,FALSE),main!$K$19:$O$22,MATCH(VLOOKUP($A56,main!$A$3:$H$102,7,FALSE),main!$K$18:$O$18,0),0))),0)</f>
        <v>0</v>
      </c>
      <c r="BX56">
        <f>IF((gamma!BX56),IF(VLOOKUP(BX$1,main!$A$3:$H$102,7,FALSE)=VLOOKUP($A56,main!$A$3:$H$102,8,FALSE),VLOOKUP(BX$1,main!$A$3:$H$102,4,FALSE),VLOOKUP(BX$1,main!$A$3:$H$102,4,FALSE)+VLOOKUP($A56,main!$A$3:$H$102,4,FALSE)+(VLOOKUP(VLOOKUP(BX$1,main!$A$3:$H$102,8,FALSE),main!$K$19:$O$22,MATCH(VLOOKUP($A56,main!$A$3:$H$102,7,FALSE),main!$K$18:$O$18,0),0))),0)</f>
        <v>0</v>
      </c>
      <c r="BY56">
        <f>IF((gamma!BY56),IF(VLOOKUP(BY$1,main!$A$3:$H$102,7,FALSE)=VLOOKUP($A56,main!$A$3:$H$102,8,FALSE),VLOOKUP(BY$1,main!$A$3:$H$102,4,FALSE),VLOOKUP(BY$1,main!$A$3:$H$102,4,FALSE)+VLOOKUP($A56,main!$A$3:$H$102,4,FALSE)+(VLOOKUP(VLOOKUP(BY$1,main!$A$3:$H$102,8,FALSE),main!$K$19:$O$22,MATCH(VLOOKUP($A56,main!$A$3:$H$102,7,FALSE),main!$K$18:$O$18,0),0))),0)</f>
        <v>0</v>
      </c>
      <c r="BZ56">
        <f>IF((gamma!BZ56),IF(VLOOKUP(BZ$1,main!$A$3:$H$102,7,FALSE)=VLOOKUP($A56,main!$A$3:$H$102,8,FALSE),VLOOKUP(BZ$1,main!$A$3:$H$102,4,FALSE),VLOOKUP(BZ$1,main!$A$3:$H$102,4,FALSE)+VLOOKUP($A56,main!$A$3:$H$102,4,FALSE)+(VLOOKUP(VLOOKUP(BZ$1,main!$A$3:$H$102,8,FALSE),main!$K$19:$O$22,MATCH(VLOOKUP($A56,main!$A$3:$H$102,7,FALSE),main!$K$18:$O$18,0),0))),0)</f>
        <v>0</v>
      </c>
      <c r="CA56">
        <f>IF((gamma!CA56),IF(VLOOKUP(CA$1,main!$A$3:$H$102,7,FALSE)=VLOOKUP($A56,main!$A$3:$H$102,8,FALSE),VLOOKUP(CA$1,main!$A$3:$H$102,4,FALSE),VLOOKUP(CA$1,main!$A$3:$H$102,4,FALSE)+VLOOKUP($A56,main!$A$3:$H$102,4,FALSE)+(VLOOKUP(VLOOKUP(CA$1,main!$A$3:$H$102,8,FALSE),main!$K$19:$O$22,MATCH(VLOOKUP($A56,main!$A$3:$H$102,7,FALSE),main!$K$18:$O$18,0),0))),0)</f>
        <v>0</v>
      </c>
      <c r="CB56">
        <f>IF((gamma!CB56),IF(VLOOKUP(CB$1,main!$A$3:$H$102,7,FALSE)=VLOOKUP($A56,main!$A$3:$H$102,8,FALSE),VLOOKUP(CB$1,main!$A$3:$H$102,4,FALSE),VLOOKUP(CB$1,main!$A$3:$H$102,4,FALSE)+VLOOKUP($A56,main!$A$3:$H$102,4,FALSE)+(VLOOKUP(VLOOKUP(CB$1,main!$A$3:$H$102,8,FALSE),main!$K$19:$O$22,MATCH(VLOOKUP($A56,main!$A$3:$H$102,7,FALSE),main!$K$18:$O$18,0),0))),0)</f>
        <v>0</v>
      </c>
      <c r="CC56">
        <f>IF((gamma!CC56),IF(VLOOKUP(CC$1,main!$A$3:$H$102,7,FALSE)=VLOOKUP($A56,main!$A$3:$H$102,8,FALSE),VLOOKUP(CC$1,main!$A$3:$H$102,4,FALSE),VLOOKUP(CC$1,main!$A$3:$H$102,4,FALSE)+VLOOKUP($A56,main!$A$3:$H$102,4,FALSE)+(VLOOKUP(VLOOKUP(CC$1,main!$A$3:$H$102,8,FALSE),main!$K$19:$O$22,MATCH(VLOOKUP($A56,main!$A$3:$H$102,7,FALSE),main!$K$18:$O$18,0),0))),0)</f>
        <v>228</v>
      </c>
      <c r="CD56">
        <f>IF((gamma!CD56),IF(VLOOKUP(CD$1,main!$A$3:$H$102,7,FALSE)=VLOOKUP($A56,main!$A$3:$H$102,8,FALSE),VLOOKUP(CD$1,main!$A$3:$H$102,4,FALSE),VLOOKUP(CD$1,main!$A$3:$H$102,4,FALSE)+VLOOKUP($A56,main!$A$3:$H$102,4,FALSE)+(VLOOKUP(VLOOKUP(CD$1,main!$A$3:$H$102,8,FALSE),main!$K$19:$O$22,MATCH(VLOOKUP($A56,main!$A$3:$H$102,7,FALSE),main!$K$18:$O$18,0),0))),0)</f>
        <v>0</v>
      </c>
      <c r="CE56">
        <f>IF((gamma!CE56),IF(VLOOKUP(CE$1,main!$A$3:$H$102,7,FALSE)=VLOOKUP($A56,main!$A$3:$H$102,8,FALSE),VLOOKUP(CE$1,main!$A$3:$H$102,4,FALSE),VLOOKUP(CE$1,main!$A$3:$H$102,4,FALSE)+VLOOKUP($A56,main!$A$3:$H$102,4,FALSE)+(VLOOKUP(VLOOKUP(CE$1,main!$A$3:$H$102,8,FALSE),main!$K$19:$O$22,MATCH(VLOOKUP($A56,main!$A$3:$H$102,7,FALSE),main!$K$18:$O$18,0),0))),0)</f>
        <v>0</v>
      </c>
      <c r="CF56">
        <f>IF((gamma!CF56),IF(VLOOKUP(CF$1,main!$A$3:$H$102,7,FALSE)=VLOOKUP($A56,main!$A$3:$H$102,8,FALSE),VLOOKUP(CF$1,main!$A$3:$H$102,4,FALSE),VLOOKUP(CF$1,main!$A$3:$H$102,4,FALSE)+VLOOKUP($A56,main!$A$3:$H$102,4,FALSE)+(VLOOKUP(VLOOKUP(CF$1,main!$A$3:$H$102,8,FALSE),main!$K$19:$O$22,MATCH(VLOOKUP($A56,main!$A$3:$H$102,7,FALSE),main!$K$18:$O$18,0),0))),0)</f>
        <v>0</v>
      </c>
      <c r="CG56">
        <f>IF((gamma!CG56),IF(VLOOKUP(CG$1,main!$A$3:$H$102,7,FALSE)=VLOOKUP($A56,main!$A$3:$H$102,8,FALSE),VLOOKUP(CG$1,main!$A$3:$H$102,4,FALSE),VLOOKUP(CG$1,main!$A$3:$H$102,4,FALSE)+VLOOKUP($A56,main!$A$3:$H$102,4,FALSE)+(VLOOKUP(VLOOKUP(CG$1,main!$A$3:$H$102,8,FALSE),main!$K$19:$O$22,MATCH(VLOOKUP($A56,main!$A$3:$H$102,7,FALSE),main!$K$18:$O$18,0),0))),0)</f>
        <v>0</v>
      </c>
      <c r="CH56">
        <f>IF((gamma!CH56),IF(VLOOKUP(CH$1,main!$A$3:$H$102,7,FALSE)=VLOOKUP($A56,main!$A$3:$H$102,8,FALSE),VLOOKUP(CH$1,main!$A$3:$H$102,4,FALSE),VLOOKUP(CH$1,main!$A$3:$H$102,4,FALSE)+VLOOKUP($A56,main!$A$3:$H$102,4,FALSE)+(VLOOKUP(VLOOKUP(CH$1,main!$A$3:$H$102,8,FALSE),main!$K$19:$O$22,MATCH(VLOOKUP($A56,main!$A$3:$H$102,7,FALSE),main!$K$18:$O$18,0),0))),0)</f>
        <v>0</v>
      </c>
      <c r="CI56">
        <f>IF((gamma!CI56),IF(VLOOKUP(CI$1,main!$A$3:$H$102,7,FALSE)=VLOOKUP($A56,main!$A$3:$H$102,8,FALSE),VLOOKUP(CI$1,main!$A$3:$H$102,4,FALSE),VLOOKUP(CI$1,main!$A$3:$H$102,4,FALSE)+VLOOKUP($A56,main!$A$3:$H$102,4,FALSE)+(VLOOKUP(VLOOKUP(CI$1,main!$A$3:$H$102,8,FALSE),main!$K$19:$O$22,MATCH(VLOOKUP($A56,main!$A$3:$H$102,7,FALSE),main!$K$18:$O$18,0),0))),0)</f>
        <v>310</v>
      </c>
      <c r="CJ56">
        <f>IF((gamma!CJ56),IF(VLOOKUP(CJ$1,main!$A$3:$H$102,7,FALSE)=VLOOKUP($A56,main!$A$3:$H$102,8,FALSE),VLOOKUP(CJ$1,main!$A$3:$H$102,4,FALSE),VLOOKUP(CJ$1,main!$A$3:$H$102,4,FALSE)+VLOOKUP($A56,main!$A$3:$H$102,4,FALSE)+(VLOOKUP(VLOOKUP(CJ$1,main!$A$3:$H$102,8,FALSE),main!$K$19:$O$22,MATCH(VLOOKUP($A56,main!$A$3:$H$102,7,FALSE),main!$K$18:$O$18,0),0))),0)</f>
        <v>0</v>
      </c>
      <c r="CK56">
        <f>IF((gamma!CK56),IF(VLOOKUP(CK$1,main!$A$3:$H$102,7,FALSE)=VLOOKUP($A56,main!$A$3:$H$102,8,FALSE),VLOOKUP(CK$1,main!$A$3:$H$102,4,FALSE),VLOOKUP(CK$1,main!$A$3:$H$102,4,FALSE)+VLOOKUP($A56,main!$A$3:$H$102,4,FALSE)+(VLOOKUP(VLOOKUP(CK$1,main!$A$3:$H$102,8,FALSE),main!$K$19:$O$22,MATCH(VLOOKUP($A56,main!$A$3:$H$102,7,FALSE),main!$K$18:$O$18,0),0))),0)</f>
        <v>0</v>
      </c>
      <c r="CL56">
        <f>IF((gamma!CL56),IF(VLOOKUP(CL$1,main!$A$3:$H$102,7,FALSE)=VLOOKUP($A56,main!$A$3:$H$102,8,FALSE),VLOOKUP(CL$1,main!$A$3:$H$102,4,FALSE),VLOOKUP(CL$1,main!$A$3:$H$102,4,FALSE)+VLOOKUP($A56,main!$A$3:$H$102,4,FALSE)+(VLOOKUP(VLOOKUP(CL$1,main!$A$3:$H$102,8,FALSE),main!$K$19:$O$22,MATCH(VLOOKUP($A56,main!$A$3:$H$102,7,FALSE),main!$K$18:$O$18,0),0))),0)</f>
        <v>0</v>
      </c>
      <c r="CM56">
        <f>IF((gamma!CM56),IF(VLOOKUP(CM$1,main!$A$3:$H$102,7,FALSE)=VLOOKUP($A56,main!$A$3:$H$102,8,FALSE),VLOOKUP(CM$1,main!$A$3:$H$102,4,FALSE),VLOOKUP(CM$1,main!$A$3:$H$102,4,FALSE)+VLOOKUP($A56,main!$A$3:$H$102,4,FALSE)+(VLOOKUP(VLOOKUP(CM$1,main!$A$3:$H$102,8,FALSE),main!$K$19:$O$22,MATCH(VLOOKUP($A56,main!$A$3:$H$102,7,FALSE),main!$K$18:$O$18,0),0))),0)</f>
        <v>0</v>
      </c>
      <c r="CN56">
        <f>IF((gamma!CN56),IF(VLOOKUP(CN$1,main!$A$3:$H$102,7,FALSE)=VLOOKUP($A56,main!$A$3:$H$102,8,FALSE),VLOOKUP(CN$1,main!$A$3:$H$102,4,FALSE),VLOOKUP(CN$1,main!$A$3:$H$102,4,FALSE)+VLOOKUP($A56,main!$A$3:$H$102,4,FALSE)+(VLOOKUP(VLOOKUP(CN$1,main!$A$3:$H$102,8,FALSE),main!$K$19:$O$22,MATCH(VLOOKUP($A56,main!$A$3:$H$102,7,FALSE),main!$K$18:$O$18,0),0))),0)</f>
        <v>266</v>
      </c>
      <c r="CO56">
        <f>IF((gamma!CO56),IF(VLOOKUP(CO$1,main!$A$3:$H$102,7,FALSE)=VLOOKUP($A56,main!$A$3:$H$102,8,FALSE),VLOOKUP(CO$1,main!$A$3:$H$102,4,FALSE),VLOOKUP(CO$1,main!$A$3:$H$102,4,FALSE)+VLOOKUP($A56,main!$A$3:$H$102,4,FALSE)+(VLOOKUP(VLOOKUP(CO$1,main!$A$3:$H$102,8,FALSE),main!$K$19:$O$22,MATCH(VLOOKUP($A56,main!$A$3:$H$102,7,FALSE),main!$K$18:$O$18,0),0))),0)</f>
        <v>0</v>
      </c>
      <c r="CP56">
        <f>IF((gamma!CP56),IF(VLOOKUP(CP$1,main!$A$3:$H$102,7,FALSE)=VLOOKUP($A56,main!$A$3:$H$102,8,FALSE),VLOOKUP(CP$1,main!$A$3:$H$102,4,FALSE),VLOOKUP(CP$1,main!$A$3:$H$102,4,FALSE)+VLOOKUP($A56,main!$A$3:$H$102,4,FALSE)+(VLOOKUP(VLOOKUP(CP$1,main!$A$3:$H$102,8,FALSE),main!$K$19:$O$22,MATCH(VLOOKUP($A56,main!$A$3:$H$102,7,FALSE),main!$K$18:$O$18,0),0))),0)</f>
        <v>0</v>
      </c>
      <c r="CQ56">
        <f>IF((gamma!CQ56),IF(VLOOKUP(CQ$1,main!$A$3:$H$102,7,FALSE)=VLOOKUP($A56,main!$A$3:$H$102,8,FALSE),VLOOKUP(CQ$1,main!$A$3:$H$102,4,FALSE),VLOOKUP(CQ$1,main!$A$3:$H$102,4,FALSE)+VLOOKUP($A56,main!$A$3:$H$102,4,FALSE)+(VLOOKUP(VLOOKUP(CQ$1,main!$A$3:$H$102,8,FALSE),main!$K$19:$O$22,MATCH(VLOOKUP($A56,main!$A$3:$H$102,7,FALSE),main!$K$18:$O$18,0),0))),0)</f>
        <v>0</v>
      </c>
      <c r="CR56">
        <f>IF((gamma!CR56),IF(VLOOKUP(CR$1,main!$A$3:$H$102,7,FALSE)=VLOOKUP($A56,main!$A$3:$H$102,8,FALSE),VLOOKUP(CR$1,main!$A$3:$H$102,4,FALSE),VLOOKUP(CR$1,main!$A$3:$H$102,4,FALSE)+VLOOKUP($A56,main!$A$3:$H$102,4,FALSE)+(VLOOKUP(VLOOKUP(CR$1,main!$A$3:$H$102,8,FALSE),main!$K$19:$O$22,MATCH(VLOOKUP($A56,main!$A$3:$H$102,7,FALSE),main!$K$18:$O$18,0),0))),0)</f>
        <v>0</v>
      </c>
      <c r="CS56">
        <f>IF((gamma!CS56),IF(VLOOKUP(CS$1,main!$A$3:$H$102,7,FALSE)=VLOOKUP($A56,main!$A$3:$H$102,8,FALSE),VLOOKUP(CS$1,main!$A$3:$H$102,4,FALSE),VLOOKUP(CS$1,main!$A$3:$H$102,4,FALSE)+VLOOKUP($A56,main!$A$3:$H$102,4,FALSE)+(VLOOKUP(VLOOKUP(CS$1,main!$A$3:$H$102,8,FALSE),main!$K$19:$O$22,MATCH(VLOOKUP($A56,main!$A$3:$H$102,7,FALSE),main!$K$18:$O$18,0),0))),0)</f>
        <v>0</v>
      </c>
      <c r="CT56">
        <f>IF((gamma!CT56),IF(VLOOKUP(CT$1,main!$A$3:$H$102,7,FALSE)=VLOOKUP($A56,main!$A$3:$H$102,8,FALSE),VLOOKUP(CT$1,main!$A$3:$H$102,4,FALSE),VLOOKUP(CT$1,main!$A$3:$H$102,4,FALSE)+VLOOKUP($A56,main!$A$3:$H$102,4,FALSE)+(VLOOKUP(VLOOKUP(CT$1,main!$A$3:$H$102,8,FALSE),main!$K$19:$O$22,MATCH(VLOOKUP($A56,main!$A$3:$H$102,7,FALSE),main!$K$18:$O$18,0),0))),0)</f>
        <v>0</v>
      </c>
      <c r="CU56">
        <f>IF((gamma!CU56),IF(VLOOKUP(CU$1,main!$A$3:$H$102,7,FALSE)=VLOOKUP($A56,main!$A$3:$H$102,8,FALSE),VLOOKUP(CU$1,main!$A$3:$H$102,4,FALSE),VLOOKUP(CU$1,main!$A$3:$H$102,4,FALSE)+VLOOKUP($A56,main!$A$3:$H$102,4,FALSE)+(VLOOKUP(VLOOKUP(CU$1,main!$A$3:$H$102,8,FALSE),main!$K$19:$O$22,MATCH(VLOOKUP($A56,main!$A$3:$H$102,7,FALSE),main!$K$18:$O$18,0),0))),0)</f>
        <v>0</v>
      </c>
      <c r="CV56">
        <f>IF((gamma!CV56),IF(VLOOKUP(CV$1,main!$A$3:$H$102,7,FALSE)=VLOOKUP($A56,main!$A$3:$H$102,8,FALSE),VLOOKUP(CV$1,main!$A$3:$H$102,4,FALSE),VLOOKUP(CV$1,main!$A$3:$H$102,4,FALSE)+VLOOKUP($A56,main!$A$3:$H$102,4,FALSE)+(VLOOKUP(VLOOKUP(CV$1,main!$A$3:$H$102,8,FALSE),main!$K$19:$O$22,MATCH(VLOOKUP($A56,main!$A$3:$H$102,7,FALSE),main!$K$18:$O$18,0),0))),0)</f>
        <v>0</v>
      </c>
      <c r="CW56">
        <f>IF((gamma!CW56),IF(VLOOKUP(CW$1,main!$A$3:$H$102,7,FALSE)=VLOOKUP($A56,main!$A$3:$H$102,8,FALSE),VLOOKUP(CW$1,main!$A$3:$H$102,4,FALSE),VLOOKUP(CW$1,main!$A$3:$H$102,4,FALSE)+VLOOKUP($A56,main!$A$3:$H$102,4,FALSE)+(VLOOKUP(VLOOKUP(CW$1,main!$A$3:$H$102,8,FALSE),main!$K$19:$O$22,MATCH(VLOOKUP($A56,main!$A$3:$H$102,7,FALSE),main!$K$18:$O$18,0),0))),0)</f>
        <v>0</v>
      </c>
      <c r="CX56">
        <f>IF((gamma!CX56),IF(VLOOKUP(CX$1,main!$A$3:$H$102,7,FALSE)=VLOOKUP($A56,main!$A$3:$H$102,8,FALSE),VLOOKUP(CX$1,main!$A$3:$H$102,4,FALSE),VLOOKUP(CX$1,main!$A$3:$H$102,4,FALSE)+VLOOKUP($A56,main!$A$3:$H$102,4,FALSE)+(VLOOKUP(VLOOKUP(CX$1,main!$A$3:$H$102,8,FALSE),main!$K$19:$O$22,MATCH(VLOOKUP($A56,main!$A$3:$H$102,7,FALSE),main!$K$18:$O$18,0),0))),0)</f>
        <v>0</v>
      </c>
      <c r="CY56">
        <v>0</v>
      </c>
      <c r="CZ56">
        <v>0</v>
      </c>
      <c r="DA56">
        <v>0</v>
      </c>
    </row>
    <row r="57" spans="1:105" x14ac:dyDescent="0.25">
      <c r="A57" s="1">
        <v>55</v>
      </c>
      <c r="B57">
        <v>0</v>
      </c>
      <c r="C57">
        <f>IF((gamma!C57),IF(VLOOKUP(C$1,main!$A$3:$H$102,7,FALSE)=VLOOKUP($A57,main!$A$3:$H$102,8,FALSE),VLOOKUP(C$1,main!$A$3:$H$102,4,FALSE),VLOOKUP(C$1,main!$A$3:$H$102,4,FALSE)+VLOOKUP($A57,main!$A$3:$H$102,4,FALSE)+(VLOOKUP(VLOOKUP(C$1,main!$A$3:$H$102,8,FALSE),main!$K$19:$O$22,MATCH(VLOOKUP($A57,main!$A$3:$H$102,7,FALSE),main!$K$18:$O$18,0),0))),0)</f>
        <v>0</v>
      </c>
      <c r="D57">
        <f>IF((gamma!D57),IF(VLOOKUP(D$1,main!$A$3:$H$102,7,FALSE)=VLOOKUP($A57,main!$A$3:$H$102,8,FALSE),VLOOKUP(D$1,main!$A$3:$H$102,4,FALSE),VLOOKUP(D$1,main!$A$3:$H$102,4,FALSE)+VLOOKUP($A57,main!$A$3:$H$102,4,FALSE)+(VLOOKUP(VLOOKUP(D$1,main!$A$3:$H$102,8,FALSE),main!$K$19:$O$22,MATCH(VLOOKUP($A57,main!$A$3:$H$102,7,FALSE),main!$K$18:$O$18,0),0))),0)</f>
        <v>0</v>
      </c>
      <c r="E57">
        <f>IF((gamma!E57),IF(VLOOKUP(E$1,main!$A$3:$H$102,7,FALSE)=VLOOKUP($A57,main!$A$3:$H$102,8,FALSE),VLOOKUP(E$1,main!$A$3:$H$102,4,FALSE),VLOOKUP(E$1,main!$A$3:$H$102,4,FALSE)+VLOOKUP($A57,main!$A$3:$H$102,4,FALSE)+(VLOOKUP(VLOOKUP(E$1,main!$A$3:$H$102,8,FALSE),main!$K$19:$O$22,MATCH(VLOOKUP($A57,main!$A$3:$H$102,7,FALSE),main!$K$18:$O$18,0),0))),0)</f>
        <v>0</v>
      </c>
      <c r="F57">
        <f>IF((gamma!F57),IF(VLOOKUP(F$1,main!$A$3:$H$102,7,FALSE)=VLOOKUP($A57,main!$A$3:$H$102,8,FALSE),VLOOKUP(F$1,main!$A$3:$H$102,4,FALSE),VLOOKUP(F$1,main!$A$3:$H$102,4,FALSE)+VLOOKUP($A57,main!$A$3:$H$102,4,FALSE)+(VLOOKUP(VLOOKUP(F$1,main!$A$3:$H$102,8,FALSE),main!$K$19:$O$22,MATCH(VLOOKUP($A57,main!$A$3:$H$102,7,FALSE),main!$K$18:$O$18,0),0))),0)</f>
        <v>0</v>
      </c>
      <c r="G57">
        <f>IF((gamma!G57),IF(VLOOKUP(G$1,main!$A$3:$H$102,7,FALSE)=VLOOKUP($A57,main!$A$3:$H$102,8,FALSE),VLOOKUP(G$1,main!$A$3:$H$102,4,FALSE),VLOOKUP(G$1,main!$A$3:$H$102,4,FALSE)+VLOOKUP($A57,main!$A$3:$H$102,4,FALSE)+(VLOOKUP(VLOOKUP(G$1,main!$A$3:$H$102,8,FALSE),main!$K$19:$O$22,MATCH(VLOOKUP($A57,main!$A$3:$H$102,7,FALSE),main!$K$18:$O$18,0),0))),0)</f>
        <v>0</v>
      </c>
      <c r="H57">
        <f>IF((gamma!H57),IF(VLOOKUP(H$1,main!$A$3:$H$102,7,FALSE)=VLOOKUP($A57,main!$A$3:$H$102,8,FALSE),VLOOKUP(H$1,main!$A$3:$H$102,4,FALSE),VLOOKUP(H$1,main!$A$3:$H$102,4,FALSE)+VLOOKUP($A57,main!$A$3:$H$102,4,FALSE)+(VLOOKUP(VLOOKUP(H$1,main!$A$3:$H$102,8,FALSE),main!$K$19:$O$22,MATCH(VLOOKUP($A57,main!$A$3:$H$102,7,FALSE),main!$K$18:$O$18,0),0))),0)</f>
        <v>0</v>
      </c>
      <c r="I57">
        <f>IF((gamma!I57),IF(VLOOKUP(I$1,main!$A$3:$H$102,7,FALSE)=VLOOKUP($A57,main!$A$3:$H$102,8,FALSE),VLOOKUP(I$1,main!$A$3:$H$102,4,FALSE),VLOOKUP(I$1,main!$A$3:$H$102,4,FALSE)+VLOOKUP($A57,main!$A$3:$H$102,4,FALSE)+(VLOOKUP(VLOOKUP(I$1,main!$A$3:$H$102,8,FALSE),main!$K$19:$O$22,MATCH(VLOOKUP($A57,main!$A$3:$H$102,7,FALSE),main!$K$18:$O$18,0),0))),0)</f>
        <v>0</v>
      </c>
      <c r="J57">
        <f>IF((gamma!J57),IF(VLOOKUP(J$1,main!$A$3:$H$102,7,FALSE)=VLOOKUP($A57,main!$A$3:$H$102,8,FALSE),VLOOKUP(J$1,main!$A$3:$H$102,4,FALSE),VLOOKUP(J$1,main!$A$3:$H$102,4,FALSE)+VLOOKUP($A57,main!$A$3:$H$102,4,FALSE)+(VLOOKUP(VLOOKUP(J$1,main!$A$3:$H$102,8,FALSE),main!$K$19:$O$22,MATCH(VLOOKUP($A57,main!$A$3:$H$102,7,FALSE),main!$K$18:$O$18,0),0))),0)</f>
        <v>0</v>
      </c>
      <c r="K57">
        <f>IF((gamma!K57),IF(VLOOKUP(K$1,main!$A$3:$H$102,7,FALSE)=VLOOKUP($A57,main!$A$3:$H$102,8,FALSE),VLOOKUP(K$1,main!$A$3:$H$102,4,FALSE),VLOOKUP(K$1,main!$A$3:$H$102,4,FALSE)+VLOOKUP($A57,main!$A$3:$H$102,4,FALSE)+(VLOOKUP(VLOOKUP(K$1,main!$A$3:$H$102,8,FALSE),main!$K$19:$O$22,MATCH(VLOOKUP($A57,main!$A$3:$H$102,7,FALSE),main!$K$18:$O$18,0),0))),0)</f>
        <v>0</v>
      </c>
      <c r="L57">
        <f>IF((gamma!L57),IF(VLOOKUP(L$1,main!$A$3:$H$102,7,FALSE)=VLOOKUP($A57,main!$A$3:$H$102,8,FALSE),VLOOKUP(L$1,main!$A$3:$H$102,4,FALSE),VLOOKUP(L$1,main!$A$3:$H$102,4,FALSE)+VLOOKUP($A57,main!$A$3:$H$102,4,FALSE)+(VLOOKUP(VLOOKUP(L$1,main!$A$3:$H$102,8,FALSE),main!$K$19:$O$22,MATCH(VLOOKUP($A57,main!$A$3:$H$102,7,FALSE),main!$K$18:$O$18,0),0))),0)</f>
        <v>0</v>
      </c>
      <c r="M57">
        <f>IF((gamma!M57),IF(VLOOKUP(M$1,main!$A$3:$H$102,7,FALSE)=VLOOKUP($A57,main!$A$3:$H$102,8,FALSE),VLOOKUP(M$1,main!$A$3:$H$102,4,FALSE),VLOOKUP(M$1,main!$A$3:$H$102,4,FALSE)+VLOOKUP($A57,main!$A$3:$H$102,4,FALSE)+(VLOOKUP(VLOOKUP(M$1,main!$A$3:$H$102,8,FALSE),main!$K$19:$O$22,MATCH(VLOOKUP($A57,main!$A$3:$H$102,7,FALSE),main!$K$18:$O$18,0),0))),0)</f>
        <v>0</v>
      </c>
      <c r="N57">
        <f>IF((gamma!N57),IF(VLOOKUP(N$1,main!$A$3:$H$102,7,FALSE)=VLOOKUP($A57,main!$A$3:$H$102,8,FALSE),VLOOKUP(N$1,main!$A$3:$H$102,4,FALSE),VLOOKUP(N$1,main!$A$3:$H$102,4,FALSE)+VLOOKUP($A57,main!$A$3:$H$102,4,FALSE)+(VLOOKUP(VLOOKUP(N$1,main!$A$3:$H$102,8,FALSE),main!$K$19:$O$22,MATCH(VLOOKUP($A57,main!$A$3:$H$102,7,FALSE),main!$K$18:$O$18,0),0))),0)</f>
        <v>0</v>
      </c>
      <c r="O57">
        <f>IF((gamma!O57),IF(VLOOKUP(O$1,main!$A$3:$H$102,7,FALSE)=VLOOKUP($A57,main!$A$3:$H$102,8,FALSE),VLOOKUP(O$1,main!$A$3:$H$102,4,FALSE),VLOOKUP(O$1,main!$A$3:$H$102,4,FALSE)+VLOOKUP($A57,main!$A$3:$H$102,4,FALSE)+(VLOOKUP(VLOOKUP(O$1,main!$A$3:$H$102,8,FALSE),main!$K$19:$O$22,MATCH(VLOOKUP($A57,main!$A$3:$H$102,7,FALSE),main!$K$18:$O$18,0),0))),0)</f>
        <v>0</v>
      </c>
      <c r="P57">
        <f>IF((gamma!P57),IF(VLOOKUP(P$1,main!$A$3:$H$102,7,FALSE)=VLOOKUP($A57,main!$A$3:$H$102,8,FALSE),VLOOKUP(P$1,main!$A$3:$H$102,4,FALSE),VLOOKUP(P$1,main!$A$3:$H$102,4,FALSE)+VLOOKUP($A57,main!$A$3:$H$102,4,FALSE)+(VLOOKUP(VLOOKUP(P$1,main!$A$3:$H$102,8,FALSE),main!$K$19:$O$22,MATCH(VLOOKUP($A57,main!$A$3:$H$102,7,FALSE),main!$K$18:$O$18,0),0))),0)</f>
        <v>0</v>
      </c>
      <c r="Q57">
        <f>IF((gamma!Q57),IF(VLOOKUP(Q$1,main!$A$3:$H$102,7,FALSE)=VLOOKUP($A57,main!$A$3:$H$102,8,FALSE),VLOOKUP(Q$1,main!$A$3:$H$102,4,FALSE),VLOOKUP(Q$1,main!$A$3:$H$102,4,FALSE)+VLOOKUP($A57,main!$A$3:$H$102,4,FALSE)+(VLOOKUP(VLOOKUP(Q$1,main!$A$3:$H$102,8,FALSE),main!$K$19:$O$22,MATCH(VLOOKUP($A57,main!$A$3:$H$102,7,FALSE),main!$K$18:$O$18,0),0))),0)</f>
        <v>0</v>
      </c>
      <c r="R57">
        <f>IF((gamma!R57),IF(VLOOKUP(R$1,main!$A$3:$H$102,7,FALSE)=VLOOKUP($A57,main!$A$3:$H$102,8,FALSE),VLOOKUP(R$1,main!$A$3:$H$102,4,FALSE),VLOOKUP(R$1,main!$A$3:$H$102,4,FALSE)+VLOOKUP($A57,main!$A$3:$H$102,4,FALSE)+(VLOOKUP(VLOOKUP(R$1,main!$A$3:$H$102,8,FALSE),main!$K$19:$O$22,MATCH(VLOOKUP($A57,main!$A$3:$H$102,7,FALSE),main!$K$18:$O$18,0),0))),0)</f>
        <v>0</v>
      </c>
      <c r="S57">
        <f>IF((gamma!S57),IF(VLOOKUP(S$1,main!$A$3:$H$102,7,FALSE)=VLOOKUP($A57,main!$A$3:$H$102,8,FALSE),VLOOKUP(S$1,main!$A$3:$H$102,4,FALSE),VLOOKUP(S$1,main!$A$3:$H$102,4,FALSE)+VLOOKUP($A57,main!$A$3:$H$102,4,FALSE)+(VLOOKUP(VLOOKUP(S$1,main!$A$3:$H$102,8,FALSE),main!$K$19:$O$22,MATCH(VLOOKUP($A57,main!$A$3:$H$102,7,FALSE),main!$K$18:$O$18,0),0))),0)</f>
        <v>0</v>
      </c>
      <c r="T57">
        <f>IF((gamma!T57),IF(VLOOKUP(T$1,main!$A$3:$H$102,7,FALSE)=VLOOKUP($A57,main!$A$3:$H$102,8,FALSE),VLOOKUP(T$1,main!$A$3:$H$102,4,FALSE),VLOOKUP(T$1,main!$A$3:$H$102,4,FALSE)+VLOOKUP($A57,main!$A$3:$H$102,4,FALSE)+(VLOOKUP(VLOOKUP(T$1,main!$A$3:$H$102,8,FALSE),main!$K$19:$O$22,MATCH(VLOOKUP($A57,main!$A$3:$H$102,7,FALSE),main!$K$18:$O$18,0),0))),0)</f>
        <v>0</v>
      </c>
      <c r="U57">
        <f>IF((gamma!U57),IF(VLOOKUP(U$1,main!$A$3:$H$102,7,FALSE)=VLOOKUP($A57,main!$A$3:$H$102,8,FALSE),VLOOKUP(U$1,main!$A$3:$H$102,4,FALSE),VLOOKUP(U$1,main!$A$3:$H$102,4,FALSE)+VLOOKUP($A57,main!$A$3:$H$102,4,FALSE)+(VLOOKUP(VLOOKUP(U$1,main!$A$3:$H$102,8,FALSE),main!$K$19:$O$22,MATCH(VLOOKUP($A57,main!$A$3:$H$102,7,FALSE),main!$K$18:$O$18,0),0))),0)</f>
        <v>0</v>
      </c>
      <c r="V57">
        <f>IF((gamma!V57),IF(VLOOKUP(V$1,main!$A$3:$H$102,7,FALSE)=VLOOKUP($A57,main!$A$3:$H$102,8,FALSE),VLOOKUP(V$1,main!$A$3:$H$102,4,FALSE),VLOOKUP(V$1,main!$A$3:$H$102,4,FALSE)+VLOOKUP($A57,main!$A$3:$H$102,4,FALSE)+(VLOOKUP(VLOOKUP(V$1,main!$A$3:$H$102,8,FALSE),main!$K$19:$O$22,MATCH(VLOOKUP($A57,main!$A$3:$H$102,7,FALSE),main!$K$18:$O$18,0),0))),0)</f>
        <v>140</v>
      </c>
      <c r="W57">
        <f>IF((gamma!W57),IF(VLOOKUP(W$1,main!$A$3:$H$102,7,FALSE)=VLOOKUP($A57,main!$A$3:$H$102,8,FALSE),VLOOKUP(W$1,main!$A$3:$H$102,4,FALSE),VLOOKUP(W$1,main!$A$3:$H$102,4,FALSE)+VLOOKUP($A57,main!$A$3:$H$102,4,FALSE)+(VLOOKUP(VLOOKUP(W$1,main!$A$3:$H$102,8,FALSE),main!$K$19:$O$22,MATCH(VLOOKUP($A57,main!$A$3:$H$102,7,FALSE),main!$K$18:$O$18,0),0))),0)</f>
        <v>0</v>
      </c>
      <c r="X57">
        <f>IF((gamma!X57),IF(VLOOKUP(X$1,main!$A$3:$H$102,7,FALSE)=VLOOKUP($A57,main!$A$3:$H$102,8,FALSE),VLOOKUP(X$1,main!$A$3:$H$102,4,FALSE),VLOOKUP(X$1,main!$A$3:$H$102,4,FALSE)+VLOOKUP($A57,main!$A$3:$H$102,4,FALSE)+(VLOOKUP(VLOOKUP(X$1,main!$A$3:$H$102,8,FALSE),main!$K$19:$O$22,MATCH(VLOOKUP($A57,main!$A$3:$H$102,7,FALSE),main!$K$18:$O$18,0),0))),0)</f>
        <v>0</v>
      </c>
      <c r="Y57">
        <f>IF((gamma!Y57),IF(VLOOKUP(Y$1,main!$A$3:$H$102,7,FALSE)=VLOOKUP($A57,main!$A$3:$H$102,8,FALSE),VLOOKUP(Y$1,main!$A$3:$H$102,4,FALSE),VLOOKUP(Y$1,main!$A$3:$H$102,4,FALSE)+VLOOKUP($A57,main!$A$3:$H$102,4,FALSE)+(VLOOKUP(VLOOKUP(Y$1,main!$A$3:$H$102,8,FALSE),main!$K$19:$O$22,MATCH(VLOOKUP($A57,main!$A$3:$H$102,7,FALSE),main!$K$18:$O$18,0),0))),0)</f>
        <v>0</v>
      </c>
      <c r="Z57">
        <f>IF((gamma!Z57),IF(VLOOKUP(Z$1,main!$A$3:$H$102,7,FALSE)=VLOOKUP($A57,main!$A$3:$H$102,8,FALSE),VLOOKUP(Z$1,main!$A$3:$H$102,4,FALSE),VLOOKUP(Z$1,main!$A$3:$H$102,4,FALSE)+VLOOKUP($A57,main!$A$3:$H$102,4,FALSE)+(VLOOKUP(VLOOKUP(Z$1,main!$A$3:$H$102,8,FALSE),main!$K$19:$O$22,MATCH(VLOOKUP($A57,main!$A$3:$H$102,7,FALSE),main!$K$18:$O$18,0),0))),0)</f>
        <v>0</v>
      </c>
      <c r="AA57">
        <f>IF((gamma!AA57),IF(VLOOKUP(AA$1,main!$A$3:$H$102,7,FALSE)=VLOOKUP($A57,main!$A$3:$H$102,8,FALSE),VLOOKUP(AA$1,main!$A$3:$H$102,4,FALSE),VLOOKUP(AA$1,main!$A$3:$H$102,4,FALSE)+VLOOKUP($A57,main!$A$3:$H$102,4,FALSE)+(VLOOKUP(VLOOKUP(AA$1,main!$A$3:$H$102,8,FALSE),main!$K$19:$O$22,MATCH(VLOOKUP($A57,main!$A$3:$H$102,7,FALSE),main!$K$18:$O$18,0),0))),0)</f>
        <v>0</v>
      </c>
      <c r="AB57">
        <f>IF((gamma!AB57),IF(VLOOKUP(AB$1,main!$A$3:$H$102,7,FALSE)=VLOOKUP($A57,main!$A$3:$H$102,8,FALSE),VLOOKUP(AB$1,main!$A$3:$H$102,4,FALSE),VLOOKUP(AB$1,main!$A$3:$H$102,4,FALSE)+VLOOKUP($A57,main!$A$3:$H$102,4,FALSE)+(VLOOKUP(VLOOKUP(AB$1,main!$A$3:$H$102,8,FALSE),main!$K$19:$O$22,MATCH(VLOOKUP($A57,main!$A$3:$H$102,7,FALSE),main!$K$18:$O$18,0),0))),0)</f>
        <v>0</v>
      </c>
      <c r="AC57">
        <f>IF((gamma!AC57),IF(VLOOKUP(AC$1,main!$A$3:$H$102,7,FALSE)=VLOOKUP($A57,main!$A$3:$H$102,8,FALSE),VLOOKUP(AC$1,main!$A$3:$H$102,4,FALSE),VLOOKUP(AC$1,main!$A$3:$H$102,4,FALSE)+VLOOKUP($A57,main!$A$3:$H$102,4,FALSE)+(VLOOKUP(VLOOKUP(AC$1,main!$A$3:$H$102,8,FALSE),main!$K$19:$O$22,MATCH(VLOOKUP($A57,main!$A$3:$H$102,7,FALSE),main!$K$18:$O$18,0),0))),0)</f>
        <v>0</v>
      </c>
      <c r="AD57">
        <f>IF((gamma!AD57),IF(VLOOKUP(AD$1,main!$A$3:$H$102,7,FALSE)=VLOOKUP($A57,main!$A$3:$H$102,8,FALSE),VLOOKUP(AD$1,main!$A$3:$H$102,4,FALSE),VLOOKUP(AD$1,main!$A$3:$H$102,4,FALSE)+VLOOKUP($A57,main!$A$3:$H$102,4,FALSE)+(VLOOKUP(VLOOKUP(AD$1,main!$A$3:$H$102,8,FALSE),main!$K$19:$O$22,MATCH(VLOOKUP($A57,main!$A$3:$H$102,7,FALSE),main!$K$18:$O$18,0),0))),0)</f>
        <v>0</v>
      </c>
      <c r="AE57">
        <f>IF((gamma!AE57),IF(VLOOKUP(AE$1,main!$A$3:$H$102,7,FALSE)=VLOOKUP($A57,main!$A$3:$H$102,8,FALSE),VLOOKUP(AE$1,main!$A$3:$H$102,4,FALSE),VLOOKUP(AE$1,main!$A$3:$H$102,4,FALSE)+VLOOKUP($A57,main!$A$3:$H$102,4,FALSE)+(VLOOKUP(VLOOKUP(AE$1,main!$A$3:$H$102,8,FALSE),main!$K$19:$O$22,MATCH(VLOOKUP($A57,main!$A$3:$H$102,7,FALSE),main!$K$18:$O$18,0),0))),0)</f>
        <v>0</v>
      </c>
      <c r="AF57">
        <f>IF((gamma!AF57),IF(VLOOKUP(AF$1,main!$A$3:$H$102,7,FALSE)=VLOOKUP($A57,main!$A$3:$H$102,8,FALSE),VLOOKUP(AF$1,main!$A$3:$H$102,4,FALSE),VLOOKUP(AF$1,main!$A$3:$H$102,4,FALSE)+VLOOKUP($A57,main!$A$3:$H$102,4,FALSE)+(VLOOKUP(VLOOKUP(AF$1,main!$A$3:$H$102,8,FALSE),main!$K$19:$O$22,MATCH(VLOOKUP($A57,main!$A$3:$H$102,7,FALSE),main!$K$18:$O$18,0),0))),0)</f>
        <v>0</v>
      </c>
      <c r="AG57">
        <f>IF((gamma!AG57),IF(VLOOKUP(AG$1,main!$A$3:$H$102,7,FALSE)=VLOOKUP($A57,main!$A$3:$H$102,8,FALSE),VLOOKUP(AG$1,main!$A$3:$H$102,4,FALSE),VLOOKUP(AG$1,main!$A$3:$H$102,4,FALSE)+VLOOKUP($A57,main!$A$3:$H$102,4,FALSE)+(VLOOKUP(VLOOKUP(AG$1,main!$A$3:$H$102,8,FALSE),main!$K$19:$O$22,MATCH(VLOOKUP($A57,main!$A$3:$H$102,7,FALSE),main!$K$18:$O$18,0),0))),0)</f>
        <v>0</v>
      </c>
      <c r="AH57">
        <f>IF((gamma!AH57),IF(VLOOKUP(AH$1,main!$A$3:$H$102,7,FALSE)=VLOOKUP($A57,main!$A$3:$H$102,8,FALSE),VLOOKUP(AH$1,main!$A$3:$H$102,4,FALSE),VLOOKUP(AH$1,main!$A$3:$H$102,4,FALSE)+VLOOKUP($A57,main!$A$3:$H$102,4,FALSE)+(VLOOKUP(VLOOKUP(AH$1,main!$A$3:$H$102,8,FALSE),main!$K$19:$O$22,MATCH(VLOOKUP($A57,main!$A$3:$H$102,7,FALSE),main!$K$18:$O$18,0),0))),0)</f>
        <v>0</v>
      </c>
      <c r="AI57">
        <f>IF((gamma!AI57),IF(VLOOKUP(AI$1,main!$A$3:$H$102,7,FALSE)=VLOOKUP($A57,main!$A$3:$H$102,8,FALSE),VLOOKUP(AI$1,main!$A$3:$H$102,4,FALSE),VLOOKUP(AI$1,main!$A$3:$H$102,4,FALSE)+VLOOKUP($A57,main!$A$3:$H$102,4,FALSE)+(VLOOKUP(VLOOKUP(AI$1,main!$A$3:$H$102,8,FALSE),main!$K$19:$O$22,MATCH(VLOOKUP($A57,main!$A$3:$H$102,7,FALSE),main!$K$18:$O$18,0),0))),0)</f>
        <v>0</v>
      </c>
      <c r="AJ57">
        <f>IF((gamma!AJ57),IF(VLOOKUP(AJ$1,main!$A$3:$H$102,7,FALSE)=VLOOKUP($A57,main!$A$3:$H$102,8,FALSE),VLOOKUP(AJ$1,main!$A$3:$H$102,4,FALSE),VLOOKUP(AJ$1,main!$A$3:$H$102,4,FALSE)+VLOOKUP($A57,main!$A$3:$H$102,4,FALSE)+(VLOOKUP(VLOOKUP(AJ$1,main!$A$3:$H$102,8,FALSE),main!$K$19:$O$22,MATCH(VLOOKUP($A57,main!$A$3:$H$102,7,FALSE),main!$K$18:$O$18,0),0))),0)</f>
        <v>0</v>
      </c>
      <c r="AK57">
        <f>IF((gamma!AK57),IF(VLOOKUP(AK$1,main!$A$3:$H$102,7,FALSE)=VLOOKUP($A57,main!$A$3:$H$102,8,FALSE),VLOOKUP(AK$1,main!$A$3:$H$102,4,FALSE),VLOOKUP(AK$1,main!$A$3:$H$102,4,FALSE)+VLOOKUP($A57,main!$A$3:$H$102,4,FALSE)+(VLOOKUP(VLOOKUP(AK$1,main!$A$3:$H$102,8,FALSE),main!$K$19:$O$22,MATCH(VLOOKUP($A57,main!$A$3:$H$102,7,FALSE),main!$K$18:$O$18,0),0))),0)</f>
        <v>0</v>
      </c>
      <c r="AL57">
        <f>IF((gamma!AL57),IF(VLOOKUP(AL$1,main!$A$3:$H$102,7,FALSE)=VLOOKUP($A57,main!$A$3:$H$102,8,FALSE),VLOOKUP(AL$1,main!$A$3:$H$102,4,FALSE),VLOOKUP(AL$1,main!$A$3:$H$102,4,FALSE)+VLOOKUP($A57,main!$A$3:$H$102,4,FALSE)+(VLOOKUP(VLOOKUP(AL$1,main!$A$3:$H$102,8,FALSE),main!$K$19:$O$22,MATCH(VLOOKUP($A57,main!$A$3:$H$102,7,FALSE),main!$K$18:$O$18,0),0))),0)</f>
        <v>0</v>
      </c>
      <c r="AM57">
        <f>IF((gamma!AM57),IF(VLOOKUP(AM$1,main!$A$3:$H$102,7,FALSE)=VLOOKUP($A57,main!$A$3:$H$102,8,FALSE),VLOOKUP(AM$1,main!$A$3:$H$102,4,FALSE),VLOOKUP(AM$1,main!$A$3:$H$102,4,FALSE)+VLOOKUP($A57,main!$A$3:$H$102,4,FALSE)+(VLOOKUP(VLOOKUP(AM$1,main!$A$3:$H$102,8,FALSE),main!$K$19:$O$22,MATCH(VLOOKUP($A57,main!$A$3:$H$102,7,FALSE),main!$K$18:$O$18,0),0))),0)</f>
        <v>0</v>
      </c>
      <c r="AN57">
        <f>IF((gamma!AN57),IF(VLOOKUP(AN$1,main!$A$3:$H$102,7,FALSE)=VLOOKUP($A57,main!$A$3:$H$102,8,FALSE),VLOOKUP(AN$1,main!$A$3:$H$102,4,FALSE),VLOOKUP(AN$1,main!$A$3:$H$102,4,FALSE)+VLOOKUP($A57,main!$A$3:$H$102,4,FALSE)+(VLOOKUP(VLOOKUP(AN$1,main!$A$3:$H$102,8,FALSE),main!$K$19:$O$22,MATCH(VLOOKUP($A57,main!$A$3:$H$102,7,FALSE),main!$K$18:$O$18,0),0))),0)</f>
        <v>0</v>
      </c>
      <c r="AO57">
        <f>IF((gamma!AO57),IF(VLOOKUP(AO$1,main!$A$3:$H$102,7,FALSE)=VLOOKUP($A57,main!$A$3:$H$102,8,FALSE),VLOOKUP(AO$1,main!$A$3:$H$102,4,FALSE),VLOOKUP(AO$1,main!$A$3:$H$102,4,FALSE)+VLOOKUP($A57,main!$A$3:$H$102,4,FALSE)+(VLOOKUP(VLOOKUP(AO$1,main!$A$3:$H$102,8,FALSE),main!$K$19:$O$22,MATCH(VLOOKUP($A57,main!$A$3:$H$102,7,FALSE),main!$K$18:$O$18,0),0))),0)</f>
        <v>0</v>
      </c>
      <c r="AP57">
        <f>IF((gamma!AP57),IF(VLOOKUP(AP$1,main!$A$3:$H$102,7,FALSE)=VLOOKUP($A57,main!$A$3:$H$102,8,FALSE),VLOOKUP(AP$1,main!$A$3:$H$102,4,FALSE),VLOOKUP(AP$1,main!$A$3:$H$102,4,FALSE)+VLOOKUP($A57,main!$A$3:$H$102,4,FALSE)+(VLOOKUP(VLOOKUP(AP$1,main!$A$3:$H$102,8,FALSE),main!$K$19:$O$22,MATCH(VLOOKUP($A57,main!$A$3:$H$102,7,FALSE),main!$K$18:$O$18,0),0))),0)</f>
        <v>0</v>
      </c>
      <c r="AQ57">
        <f>IF((gamma!AQ57),IF(VLOOKUP(AQ$1,main!$A$3:$H$102,7,FALSE)=VLOOKUP($A57,main!$A$3:$H$102,8,FALSE),VLOOKUP(AQ$1,main!$A$3:$H$102,4,FALSE),VLOOKUP(AQ$1,main!$A$3:$H$102,4,FALSE)+VLOOKUP($A57,main!$A$3:$H$102,4,FALSE)+(VLOOKUP(VLOOKUP(AQ$1,main!$A$3:$H$102,8,FALSE),main!$K$19:$O$22,MATCH(VLOOKUP($A57,main!$A$3:$H$102,7,FALSE),main!$K$18:$O$18,0),0))),0)</f>
        <v>0</v>
      </c>
      <c r="AR57">
        <f>IF((gamma!AR57),IF(VLOOKUP(AR$1,main!$A$3:$H$102,7,FALSE)=VLOOKUP($A57,main!$A$3:$H$102,8,FALSE),VLOOKUP(AR$1,main!$A$3:$H$102,4,FALSE),VLOOKUP(AR$1,main!$A$3:$H$102,4,FALSE)+VLOOKUP($A57,main!$A$3:$H$102,4,FALSE)+(VLOOKUP(VLOOKUP(AR$1,main!$A$3:$H$102,8,FALSE),main!$K$19:$O$22,MATCH(VLOOKUP($A57,main!$A$3:$H$102,7,FALSE),main!$K$18:$O$18,0),0))),0)</f>
        <v>0</v>
      </c>
      <c r="AS57">
        <f>IF((gamma!AS57),IF(VLOOKUP(AS$1,main!$A$3:$H$102,7,FALSE)=VLOOKUP($A57,main!$A$3:$H$102,8,FALSE),VLOOKUP(AS$1,main!$A$3:$H$102,4,FALSE),VLOOKUP(AS$1,main!$A$3:$H$102,4,FALSE)+VLOOKUP($A57,main!$A$3:$H$102,4,FALSE)+(VLOOKUP(VLOOKUP(AS$1,main!$A$3:$H$102,8,FALSE),main!$K$19:$O$22,MATCH(VLOOKUP($A57,main!$A$3:$H$102,7,FALSE),main!$K$18:$O$18,0),0))),0)</f>
        <v>0</v>
      </c>
      <c r="AT57">
        <f>IF((gamma!AT57),IF(VLOOKUP(AT$1,main!$A$3:$H$102,7,FALSE)=VLOOKUP($A57,main!$A$3:$H$102,8,FALSE),VLOOKUP(AT$1,main!$A$3:$H$102,4,FALSE),VLOOKUP(AT$1,main!$A$3:$H$102,4,FALSE)+VLOOKUP($A57,main!$A$3:$H$102,4,FALSE)+(VLOOKUP(VLOOKUP(AT$1,main!$A$3:$H$102,8,FALSE),main!$K$19:$O$22,MATCH(VLOOKUP($A57,main!$A$3:$H$102,7,FALSE),main!$K$18:$O$18,0),0))),0)</f>
        <v>0</v>
      </c>
      <c r="AU57">
        <f>IF((gamma!AU57),IF(VLOOKUP(AU$1,main!$A$3:$H$102,7,FALSE)=VLOOKUP($A57,main!$A$3:$H$102,8,FALSE),VLOOKUP(AU$1,main!$A$3:$H$102,4,FALSE),VLOOKUP(AU$1,main!$A$3:$H$102,4,FALSE)+VLOOKUP($A57,main!$A$3:$H$102,4,FALSE)+(VLOOKUP(VLOOKUP(AU$1,main!$A$3:$H$102,8,FALSE),main!$K$19:$O$22,MATCH(VLOOKUP($A57,main!$A$3:$H$102,7,FALSE),main!$K$18:$O$18,0),0))),0)</f>
        <v>0</v>
      </c>
      <c r="AV57">
        <f>IF((gamma!AV57),IF(VLOOKUP(AV$1,main!$A$3:$H$102,7,FALSE)=VLOOKUP($A57,main!$A$3:$H$102,8,FALSE),VLOOKUP(AV$1,main!$A$3:$H$102,4,FALSE),VLOOKUP(AV$1,main!$A$3:$H$102,4,FALSE)+VLOOKUP($A57,main!$A$3:$H$102,4,FALSE)+(VLOOKUP(VLOOKUP(AV$1,main!$A$3:$H$102,8,FALSE),main!$K$19:$O$22,MATCH(VLOOKUP($A57,main!$A$3:$H$102,7,FALSE),main!$K$18:$O$18,0),0))),0)</f>
        <v>0</v>
      </c>
      <c r="AW57">
        <f>IF((gamma!AW57),IF(VLOOKUP(AW$1,main!$A$3:$H$102,7,FALSE)=VLOOKUP($A57,main!$A$3:$H$102,8,FALSE),VLOOKUP(AW$1,main!$A$3:$H$102,4,FALSE),VLOOKUP(AW$1,main!$A$3:$H$102,4,FALSE)+VLOOKUP($A57,main!$A$3:$H$102,4,FALSE)+(VLOOKUP(VLOOKUP(AW$1,main!$A$3:$H$102,8,FALSE),main!$K$19:$O$22,MATCH(VLOOKUP($A57,main!$A$3:$H$102,7,FALSE),main!$K$18:$O$18,0),0))),0)</f>
        <v>0</v>
      </c>
      <c r="AX57">
        <f>IF((gamma!AX57),IF(VLOOKUP(AX$1,main!$A$3:$H$102,7,FALSE)=VLOOKUP($A57,main!$A$3:$H$102,8,FALSE),VLOOKUP(AX$1,main!$A$3:$H$102,4,FALSE),VLOOKUP(AX$1,main!$A$3:$H$102,4,FALSE)+VLOOKUP($A57,main!$A$3:$H$102,4,FALSE)+(VLOOKUP(VLOOKUP(AX$1,main!$A$3:$H$102,8,FALSE),main!$K$19:$O$22,MATCH(VLOOKUP($A57,main!$A$3:$H$102,7,FALSE),main!$K$18:$O$18,0),0))),0)</f>
        <v>0</v>
      </c>
      <c r="AY57">
        <f>IF((gamma!AY57),IF(VLOOKUP(AY$1,main!$A$3:$H$102,7,FALSE)=VLOOKUP($A57,main!$A$3:$H$102,8,FALSE),VLOOKUP(AY$1,main!$A$3:$H$102,4,FALSE),VLOOKUP(AY$1,main!$A$3:$H$102,4,FALSE)+VLOOKUP($A57,main!$A$3:$H$102,4,FALSE)+(VLOOKUP(VLOOKUP(AY$1,main!$A$3:$H$102,8,FALSE),main!$K$19:$O$22,MATCH(VLOOKUP($A57,main!$A$3:$H$102,7,FALSE),main!$K$18:$O$18,0),0))),0)</f>
        <v>0</v>
      </c>
      <c r="AZ57">
        <f>IF((gamma!AZ57),IF(VLOOKUP(AZ$1,main!$A$3:$H$102,7,FALSE)=VLOOKUP($A57,main!$A$3:$H$102,8,FALSE),VLOOKUP(AZ$1,main!$A$3:$H$102,4,FALSE),VLOOKUP(AZ$1,main!$A$3:$H$102,4,FALSE)+VLOOKUP($A57,main!$A$3:$H$102,4,FALSE)+(VLOOKUP(VLOOKUP(AZ$1,main!$A$3:$H$102,8,FALSE),main!$K$19:$O$22,MATCH(VLOOKUP($A57,main!$A$3:$H$102,7,FALSE),main!$K$18:$O$18,0),0))),0)</f>
        <v>0</v>
      </c>
      <c r="BA57">
        <f>IF((gamma!BA57),IF(VLOOKUP(BA$1,main!$A$3:$H$102,7,FALSE)=VLOOKUP($A57,main!$A$3:$H$102,8,FALSE),VLOOKUP(BA$1,main!$A$3:$H$102,4,FALSE),VLOOKUP(BA$1,main!$A$3:$H$102,4,FALSE)+VLOOKUP($A57,main!$A$3:$H$102,4,FALSE)+(VLOOKUP(VLOOKUP(BA$1,main!$A$3:$H$102,8,FALSE),main!$K$19:$O$22,MATCH(VLOOKUP($A57,main!$A$3:$H$102,7,FALSE),main!$K$18:$O$18,0),0))),0)</f>
        <v>0</v>
      </c>
      <c r="BB57">
        <f>IF((gamma!BB57),IF(VLOOKUP(BB$1,main!$A$3:$H$102,7,FALSE)=VLOOKUP($A57,main!$A$3:$H$102,8,FALSE),VLOOKUP(BB$1,main!$A$3:$H$102,4,FALSE),VLOOKUP(BB$1,main!$A$3:$H$102,4,FALSE)+VLOOKUP($A57,main!$A$3:$H$102,4,FALSE)+(VLOOKUP(VLOOKUP(BB$1,main!$A$3:$H$102,8,FALSE),main!$K$19:$O$22,MATCH(VLOOKUP($A57,main!$A$3:$H$102,7,FALSE),main!$K$18:$O$18,0),0))),0)</f>
        <v>0</v>
      </c>
      <c r="BC57">
        <f>IF((gamma!BC57),IF(VLOOKUP(BC$1,main!$A$3:$H$102,7,FALSE)=VLOOKUP($A57,main!$A$3:$H$102,8,FALSE),VLOOKUP(BC$1,main!$A$3:$H$102,4,FALSE),VLOOKUP(BC$1,main!$A$3:$H$102,4,FALSE)+VLOOKUP($A57,main!$A$3:$H$102,4,FALSE)+(VLOOKUP(VLOOKUP(BC$1,main!$A$3:$H$102,8,FALSE),main!$K$19:$O$22,MATCH(VLOOKUP($A57,main!$A$3:$H$102,7,FALSE),main!$K$18:$O$18,0),0))),0)</f>
        <v>0</v>
      </c>
      <c r="BD57">
        <f>IF((gamma!BD57),IF(VLOOKUP(BD$1,main!$A$3:$H$102,7,FALSE)=VLOOKUP($A57,main!$A$3:$H$102,8,FALSE),VLOOKUP(BD$1,main!$A$3:$H$102,4,FALSE),VLOOKUP(BD$1,main!$A$3:$H$102,4,FALSE)+VLOOKUP($A57,main!$A$3:$H$102,4,FALSE)+(VLOOKUP(VLOOKUP(BD$1,main!$A$3:$H$102,8,FALSE),main!$K$19:$O$22,MATCH(VLOOKUP($A57,main!$A$3:$H$102,7,FALSE),main!$K$18:$O$18,0),0))),0)</f>
        <v>0</v>
      </c>
      <c r="BE57">
        <f>IF((gamma!BE57),IF(VLOOKUP(BE$1,main!$A$3:$H$102,7,FALSE)=VLOOKUP($A57,main!$A$3:$H$102,8,FALSE),VLOOKUP(BE$1,main!$A$3:$H$102,4,FALSE),VLOOKUP(BE$1,main!$A$3:$H$102,4,FALSE)+VLOOKUP($A57,main!$A$3:$H$102,4,FALSE)+(VLOOKUP(VLOOKUP(BE$1,main!$A$3:$H$102,8,FALSE),main!$K$19:$O$22,MATCH(VLOOKUP($A57,main!$A$3:$H$102,7,FALSE),main!$K$18:$O$18,0),0))),0)</f>
        <v>0</v>
      </c>
      <c r="BF57">
        <f>IF((gamma!BF57),IF(VLOOKUP(BF$1,main!$A$3:$H$102,7,FALSE)=VLOOKUP($A57,main!$A$3:$H$102,8,FALSE),VLOOKUP(BF$1,main!$A$3:$H$102,4,FALSE),VLOOKUP(BF$1,main!$A$3:$H$102,4,FALSE)+VLOOKUP($A57,main!$A$3:$H$102,4,FALSE)+(VLOOKUP(VLOOKUP(BF$1,main!$A$3:$H$102,8,FALSE),main!$K$19:$O$22,MATCH(VLOOKUP($A57,main!$A$3:$H$102,7,FALSE),main!$K$18:$O$18,0),0))),0)</f>
        <v>0</v>
      </c>
      <c r="BG57">
        <f>IF((gamma!BG57),IF(VLOOKUP(BG$1,main!$A$3:$H$102,7,FALSE)=VLOOKUP($A57,main!$A$3:$H$102,8,FALSE),VLOOKUP(BG$1,main!$A$3:$H$102,4,FALSE),VLOOKUP(BG$1,main!$A$3:$H$102,4,FALSE)+VLOOKUP($A57,main!$A$3:$H$102,4,FALSE)+(VLOOKUP(VLOOKUP(BG$1,main!$A$3:$H$102,8,FALSE),main!$K$19:$O$22,MATCH(VLOOKUP($A57,main!$A$3:$H$102,7,FALSE),main!$K$18:$O$18,0),0))),0)</f>
        <v>0</v>
      </c>
      <c r="BH57">
        <f>IF((gamma!BH57),IF(VLOOKUP(BH$1,main!$A$3:$H$102,7,FALSE)=VLOOKUP($A57,main!$A$3:$H$102,8,FALSE),VLOOKUP(BH$1,main!$A$3:$H$102,4,FALSE),VLOOKUP(BH$1,main!$A$3:$H$102,4,FALSE)+VLOOKUP($A57,main!$A$3:$H$102,4,FALSE)+(VLOOKUP(VLOOKUP(BH$1,main!$A$3:$H$102,8,FALSE),main!$K$19:$O$22,MATCH(VLOOKUP($A57,main!$A$3:$H$102,7,FALSE),main!$K$18:$O$18,0),0))),0)</f>
        <v>0</v>
      </c>
      <c r="BI57">
        <f>IF((gamma!BI57),IF(VLOOKUP(BI$1,main!$A$3:$H$102,7,FALSE)=VLOOKUP($A57,main!$A$3:$H$102,8,FALSE),VLOOKUP(BI$1,main!$A$3:$H$102,4,FALSE),VLOOKUP(BI$1,main!$A$3:$H$102,4,FALSE)+VLOOKUP($A57,main!$A$3:$H$102,4,FALSE)+(VLOOKUP(VLOOKUP(BI$1,main!$A$3:$H$102,8,FALSE),main!$K$19:$O$22,MATCH(VLOOKUP($A57,main!$A$3:$H$102,7,FALSE),main!$K$18:$O$18,0),0))),0)</f>
        <v>0</v>
      </c>
      <c r="BJ57">
        <f>IF((gamma!BJ57),IF(VLOOKUP(BJ$1,main!$A$3:$H$102,7,FALSE)=VLOOKUP($A57,main!$A$3:$H$102,8,FALSE),VLOOKUP(BJ$1,main!$A$3:$H$102,4,FALSE),VLOOKUP(BJ$1,main!$A$3:$H$102,4,FALSE)+VLOOKUP($A57,main!$A$3:$H$102,4,FALSE)+(VLOOKUP(VLOOKUP(BJ$1,main!$A$3:$H$102,8,FALSE),main!$K$19:$O$22,MATCH(VLOOKUP($A57,main!$A$3:$H$102,7,FALSE),main!$K$18:$O$18,0),0))),0)</f>
        <v>0</v>
      </c>
      <c r="BK57">
        <f>IF((gamma!BK57),IF(VLOOKUP(BK$1,main!$A$3:$H$102,7,FALSE)=VLOOKUP($A57,main!$A$3:$H$102,8,FALSE),VLOOKUP(BK$1,main!$A$3:$H$102,4,FALSE),VLOOKUP(BK$1,main!$A$3:$H$102,4,FALSE)+VLOOKUP($A57,main!$A$3:$H$102,4,FALSE)+(VLOOKUP(VLOOKUP(BK$1,main!$A$3:$H$102,8,FALSE),main!$K$19:$O$22,MATCH(VLOOKUP($A57,main!$A$3:$H$102,7,FALSE),main!$K$18:$O$18,0),0))),0)</f>
        <v>0</v>
      </c>
      <c r="BL57">
        <f>IF((gamma!BL57),IF(VLOOKUP(BL$1,main!$A$3:$H$102,7,FALSE)=VLOOKUP($A57,main!$A$3:$H$102,8,FALSE),VLOOKUP(BL$1,main!$A$3:$H$102,4,FALSE),VLOOKUP(BL$1,main!$A$3:$H$102,4,FALSE)+VLOOKUP($A57,main!$A$3:$H$102,4,FALSE)+(VLOOKUP(VLOOKUP(BL$1,main!$A$3:$H$102,8,FALSE),main!$K$19:$O$22,MATCH(VLOOKUP($A57,main!$A$3:$H$102,7,FALSE),main!$K$18:$O$18,0),0))),0)</f>
        <v>0</v>
      </c>
      <c r="BM57">
        <f>IF((gamma!BM57),IF(VLOOKUP(BM$1,main!$A$3:$H$102,7,FALSE)=VLOOKUP($A57,main!$A$3:$H$102,8,FALSE),VLOOKUP(BM$1,main!$A$3:$H$102,4,FALSE),VLOOKUP(BM$1,main!$A$3:$H$102,4,FALSE)+VLOOKUP($A57,main!$A$3:$H$102,4,FALSE)+(VLOOKUP(VLOOKUP(BM$1,main!$A$3:$H$102,8,FALSE),main!$K$19:$O$22,MATCH(VLOOKUP($A57,main!$A$3:$H$102,7,FALSE),main!$K$18:$O$18,0),0))),0)</f>
        <v>0</v>
      </c>
      <c r="BN57">
        <f>IF((gamma!BN57),IF(VLOOKUP(BN$1,main!$A$3:$H$102,7,FALSE)=VLOOKUP($A57,main!$A$3:$H$102,8,FALSE),VLOOKUP(BN$1,main!$A$3:$H$102,4,FALSE),VLOOKUP(BN$1,main!$A$3:$H$102,4,FALSE)+VLOOKUP($A57,main!$A$3:$H$102,4,FALSE)+(VLOOKUP(VLOOKUP(BN$1,main!$A$3:$H$102,8,FALSE),main!$K$19:$O$22,MATCH(VLOOKUP($A57,main!$A$3:$H$102,7,FALSE),main!$K$18:$O$18,0),0))),0)</f>
        <v>0</v>
      </c>
      <c r="BO57">
        <f>IF((gamma!BO57),IF(VLOOKUP(BO$1,main!$A$3:$H$102,7,FALSE)=VLOOKUP($A57,main!$A$3:$H$102,8,FALSE),VLOOKUP(BO$1,main!$A$3:$H$102,4,FALSE),VLOOKUP(BO$1,main!$A$3:$H$102,4,FALSE)+VLOOKUP($A57,main!$A$3:$H$102,4,FALSE)+(VLOOKUP(VLOOKUP(BO$1,main!$A$3:$H$102,8,FALSE),main!$K$19:$O$22,MATCH(VLOOKUP($A57,main!$A$3:$H$102,7,FALSE),main!$K$18:$O$18,0),0))),0)</f>
        <v>0</v>
      </c>
      <c r="BP57">
        <f>IF((gamma!BP57),IF(VLOOKUP(BP$1,main!$A$3:$H$102,7,FALSE)=VLOOKUP($A57,main!$A$3:$H$102,8,FALSE),VLOOKUP(BP$1,main!$A$3:$H$102,4,FALSE),VLOOKUP(BP$1,main!$A$3:$H$102,4,FALSE)+VLOOKUP($A57,main!$A$3:$H$102,4,FALSE)+(VLOOKUP(VLOOKUP(BP$1,main!$A$3:$H$102,8,FALSE),main!$K$19:$O$22,MATCH(VLOOKUP($A57,main!$A$3:$H$102,7,FALSE),main!$K$18:$O$18,0),0))),0)</f>
        <v>0</v>
      </c>
      <c r="BQ57">
        <f>IF((gamma!BQ57),IF(VLOOKUP(BQ$1,main!$A$3:$H$102,7,FALSE)=VLOOKUP($A57,main!$A$3:$H$102,8,FALSE),VLOOKUP(BQ$1,main!$A$3:$H$102,4,FALSE),VLOOKUP(BQ$1,main!$A$3:$H$102,4,FALSE)+VLOOKUP($A57,main!$A$3:$H$102,4,FALSE)+(VLOOKUP(VLOOKUP(BQ$1,main!$A$3:$H$102,8,FALSE),main!$K$19:$O$22,MATCH(VLOOKUP($A57,main!$A$3:$H$102,7,FALSE),main!$K$18:$O$18,0),0))),0)</f>
        <v>0</v>
      </c>
      <c r="BR57">
        <f>IF((gamma!BR57),IF(VLOOKUP(BR$1,main!$A$3:$H$102,7,FALSE)=VLOOKUP($A57,main!$A$3:$H$102,8,FALSE),VLOOKUP(BR$1,main!$A$3:$H$102,4,FALSE),VLOOKUP(BR$1,main!$A$3:$H$102,4,FALSE)+VLOOKUP($A57,main!$A$3:$H$102,4,FALSE)+(VLOOKUP(VLOOKUP(BR$1,main!$A$3:$H$102,8,FALSE),main!$K$19:$O$22,MATCH(VLOOKUP($A57,main!$A$3:$H$102,7,FALSE),main!$K$18:$O$18,0),0))),0)</f>
        <v>0</v>
      </c>
      <c r="BS57">
        <f>IF((gamma!BS57),IF(VLOOKUP(BS$1,main!$A$3:$H$102,7,FALSE)=VLOOKUP($A57,main!$A$3:$H$102,8,FALSE),VLOOKUP(BS$1,main!$A$3:$H$102,4,FALSE),VLOOKUP(BS$1,main!$A$3:$H$102,4,FALSE)+VLOOKUP($A57,main!$A$3:$H$102,4,FALSE)+(VLOOKUP(VLOOKUP(BS$1,main!$A$3:$H$102,8,FALSE),main!$K$19:$O$22,MATCH(VLOOKUP($A57,main!$A$3:$H$102,7,FALSE),main!$K$18:$O$18,0),0))),0)</f>
        <v>0</v>
      </c>
      <c r="BT57">
        <f>IF((gamma!BT57),IF(VLOOKUP(BT$1,main!$A$3:$H$102,7,FALSE)=VLOOKUP($A57,main!$A$3:$H$102,8,FALSE),VLOOKUP(BT$1,main!$A$3:$H$102,4,FALSE),VLOOKUP(BT$1,main!$A$3:$H$102,4,FALSE)+VLOOKUP($A57,main!$A$3:$H$102,4,FALSE)+(VLOOKUP(VLOOKUP(BT$1,main!$A$3:$H$102,8,FALSE),main!$K$19:$O$22,MATCH(VLOOKUP($A57,main!$A$3:$H$102,7,FALSE),main!$K$18:$O$18,0),0))),0)</f>
        <v>0</v>
      </c>
      <c r="BU57">
        <f>IF((gamma!BU57),IF(VLOOKUP(BU$1,main!$A$3:$H$102,7,FALSE)=VLOOKUP($A57,main!$A$3:$H$102,8,FALSE),VLOOKUP(BU$1,main!$A$3:$H$102,4,FALSE),VLOOKUP(BU$1,main!$A$3:$H$102,4,FALSE)+VLOOKUP($A57,main!$A$3:$H$102,4,FALSE)+(VLOOKUP(VLOOKUP(BU$1,main!$A$3:$H$102,8,FALSE),main!$K$19:$O$22,MATCH(VLOOKUP($A57,main!$A$3:$H$102,7,FALSE),main!$K$18:$O$18,0),0))),0)</f>
        <v>0</v>
      </c>
      <c r="BV57">
        <f>IF((gamma!BV57),IF(VLOOKUP(BV$1,main!$A$3:$H$102,7,FALSE)=VLOOKUP($A57,main!$A$3:$H$102,8,FALSE),VLOOKUP(BV$1,main!$A$3:$H$102,4,FALSE),VLOOKUP(BV$1,main!$A$3:$H$102,4,FALSE)+VLOOKUP($A57,main!$A$3:$H$102,4,FALSE)+(VLOOKUP(VLOOKUP(BV$1,main!$A$3:$H$102,8,FALSE),main!$K$19:$O$22,MATCH(VLOOKUP($A57,main!$A$3:$H$102,7,FALSE),main!$K$18:$O$18,0),0))),0)</f>
        <v>0</v>
      </c>
      <c r="BW57">
        <f>IF((gamma!BW57),IF(VLOOKUP(BW$1,main!$A$3:$H$102,7,FALSE)=VLOOKUP($A57,main!$A$3:$H$102,8,FALSE),VLOOKUP(BW$1,main!$A$3:$H$102,4,FALSE),VLOOKUP(BW$1,main!$A$3:$H$102,4,FALSE)+VLOOKUP($A57,main!$A$3:$H$102,4,FALSE)+(VLOOKUP(VLOOKUP(BW$1,main!$A$3:$H$102,8,FALSE),main!$K$19:$O$22,MATCH(VLOOKUP($A57,main!$A$3:$H$102,7,FALSE),main!$K$18:$O$18,0),0))),0)</f>
        <v>0</v>
      </c>
      <c r="BX57">
        <f>IF((gamma!BX57),IF(VLOOKUP(BX$1,main!$A$3:$H$102,7,FALSE)=VLOOKUP($A57,main!$A$3:$H$102,8,FALSE),VLOOKUP(BX$1,main!$A$3:$H$102,4,FALSE),VLOOKUP(BX$1,main!$A$3:$H$102,4,FALSE)+VLOOKUP($A57,main!$A$3:$H$102,4,FALSE)+(VLOOKUP(VLOOKUP(BX$1,main!$A$3:$H$102,8,FALSE),main!$K$19:$O$22,MATCH(VLOOKUP($A57,main!$A$3:$H$102,7,FALSE),main!$K$18:$O$18,0),0))),0)</f>
        <v>0</v>
      </c>
      <c r="BY57">
        <f>IF((gamma!BY57),IF(VLOOKUP(BY$1,main!$A$3:$H$102,7,FALSE)=VLOOKUP($A57,main!$A$3:$H$102,8,FALSE),VLOOKUP(BY$1,main!$A$3:$H$102,4,FALSE),VLOOKUP(BY$1,main!$A$3:$H$102,4,FALSE)+VLOOKUP($A57,main!$A$3:$H$102,4,FALSE)+(VLOOKUP(VLOOKUP(BY$1,main!$A$3:$H$102,8,FALSE),main!$K$19:$O$22,MATCH(VLOOKUP($A57,main!$A$3:$H$102,7,FALSE),main!$K$18:$O$18,0),0))),0)</f>
        <v>0</v>
      </c>
      <c r="BZ57">
        <f>IF((gamma!BZ57),IF(VLOOKUP(BZ$1,main!$A$3:$H$102,7,FALSE)=VLOOKUP($A57,main!$A$3:$H$102,8,FALSE),VLOOKUP(BZ$1,main!$A$3:$H$102,4,FALSE),VLOOKUP(BZ$1,main!$A$3:$H$102,4,FALSE)+VLOOKUP($A57,main!$A$3:$H$102,4,FALSE)+(VLOOKUP(VLOOKUP(BZ$1,main!$A$3:$H$102,8,FALSE),main!$K$19:$O$22,MATCH(VLOOKUP($A57,main!$A$3:$H$102,7,FALSE),main!$K$18:$O$18,0),0))),0)</f>
        <v>0</v>
      </c>
      <c r="CA57">
        <f>IF((gamma!CA57),IF(VLOOKUP(CA$1,main!$A$3:$H$102,7,FALSE)=VLOOKUP($A57,main!$A$3:$H$102,8,FALSE),VLOOKUP(CA$1,main!$A$3:$H$102,4,FALSE),VLOOKUP(CA$1,main!$A$3:$H$102,4,FALSE)+VLOOKUP($A57,main!$A$3:$H$102,4,FALSE)+(VLOOKUP(VLOOKUP(CA$1,main!$A$3:$H$102,8,FALSE),main!$K$19:$O$22,MATCH(VLOOKUP($A57,main!$A$3:$H$102,7,FALSE),main!$K$18:$O$18,0),0))),0)</f>
        <v>0</v>
      </c>
      <c r="CB57">
        <f>IF((gamma!CB57),IF(VLOOKUP(CB$1,main!$A$3:$H$102,7,FALSE)=VLOOKUP($A57,main!$A$3:$H$102,8,FALSE),VLOOKUP(CB$1,main!$A$3:$H$102,4,FALSE),VLOOKUP(CB$1,main!$A$3:$H$102,4,FALSE)+VLOOKUP($A57,main!$A$3:$H$102,4,FALSE)+(VLOOKUP(VLOOKUP(CB$1,main!$A$3:$H$102,8,FALSE),main!$K$19:$O$22,MATCH(VLOOKUP($A57,main!$A$3:$H$102,7,FALSE),main!$K$18:$O$18,0),0))),0)</f>
        <v>0</v>
      </c>
      <c r="CC57">
        <f>IF((gamma!CC57),IF(VLOOKUP(CC$1,main!$A$3:$H$102,7,FALSE)=VLOOKUP($A57,main!$A$3:$H$102,8,FALSE),VLOOKUP(CC$1,main!$A$3:$H$102,4,FALSE),VLOOKUP(CC$1,main!$A$3:$H$102,4,FALSE)+VLOOKUP($A57,main!$A$3:$H$102,4,FALSE)+(VLOOKUP(VLOOKUP(CC$1,main!$A$3:$H$102,8,FALSE),main!$K$19:$O$22,MATCH(VLOOKUP($A57,main!$A$3:$H$102,7,FALSE),main!$K$18:$O$18,0),0))),0)</f>
        <v>0</v>
      </c>
      <c r="CD57">
        <f>IF((gamma!CD57),IF(VLOOKUP(CD$1,main!$A$3:$H$102,7,FALSE)=VLOOKUP($A57,main!$A$3:$H$102,8,FALSE),VLOOKUP(CD$1,main!$A$3:$H$102,4,FALSE),VLOOKUP(CD$1,main!$A$3:$H$102,4,FALSE)+VLOOKUP($A57,main!$A$3:$H$102,4,FALSE)+(VLOOKUP(VLOOKUP(CD$1,main!$A$3:$H$102,8,FALSE),main!$K$19:$O$22,MATCH(VLOOKUP($A57,main!$A$3:$H$102,7,FALSE),main!$K$18:$O$18,0),0))),0)</f>
        <v>0</v>
      </c>
      <c r="CE57">
        <f>IF((gamma!CE57),IF(VLOOKUP(CE$1,main!$A$3:$H$102,7,FALSE)=VLOOKUP($A57,main!$A$3:$H$102,8,FALSE),VLOOKUP(CE$1,main!$A$3:$H$102,4,FALSE),VLOOKUP(CE$1,main!$A$3:$H$102,4,FALSE)+VLOOKUP($A57,main!$A$3:$H$102,4,FALSE)+(VLOOKUP(VLOOKUP(CE$1,main!$A$3:$H$102,8,FALSE),main!$K$19:$O$22,MATCH(VLOOKUP($A57,main!$A$3:$H$102,7,FALSE),main!$K$18:$O$18,0),0))),0)</f>
        <v>0</v>
      </c>
      <c r="CF57">
        <f>IF((gamma!CF57),IF(VLOOKUP(CF$1,main!$A$3:$H$102,7,FALSE)=VLOOKUP($A57,main!$A$3:$H$102,8,FALSE),VLOOKUP(CF$1,main!$A$3:$H$102,4,FALSE),VLOOKUP(CF$1,main!$A$3:$H$102,4,FALSE)+VLOOKUP($A57,main!$A$3:$H$102,4,FALSE)+(VLOOKUP(VLOOKUP(CF$1,main!$A$3:$H$102,8,FALSE),main!$K$19:$O$22,MATCH(VLOOKUP($A57,main!$A$3:$H$102,7,FALSE),main!$K$18:$O$18,0),0))),0)</f>
        <v>0</v>
      </c>
      <c r="CG57">
        <f>IF((gamma!CG57),IF(VLOOKUP(CG$1,main!$A$3:$H$102,7,FALSE)=VLOOKUP($A57,main!$A$3:$H$102,8,FALSE),VLOOKUP(CG$1,main!$A$3:$H$102,4,FALSE),VLOOKUP(CG$1,main!$A$3:$H$102,4,FALSE)+VLOOKUP($A57,main!$A$3:$H$102,4,FALSE)+(VLOOKUP(VLOOKUP(CG$1,main!$A$3:$H$102,8,FALSE),main!$K$19:$O$22,MATCH(VLOOKUP($A57,main!$A$3:$H$102,7,FALSE),main!$K$18:$O$18,0),0))),0)</f>
        <v>0</v>
      </c>
      <c r="CH57">
        <f>IF((gamma!CH57),IF(VLOOKUP(CH$1,main!$A$3:$H$102,7,FALSE)=VLOOKUP($A57,main!$A$3:$H$102,8,FALSE),VLOOKUP(CH$1,main!$A$3:$H$102,4,FALSE),VLOOKUP(CH$1,main!$A$3:$H$102,4,FALSE)+VLOOKUP($A57,main!$A$3:$H$102,4,FALSE)+(VLOOKUP(VLOOKUP(CH$1,main!$A$3:$H$102,8,FALSE),main!$K$19:$O$22,MATCH(VLOOKUP($A57,main!$A$3:$H$102,7,FALSE),main!$K$18:$O$18,0),0))),0)</f>
        <v>0</v>
      </c>
      <c r="CI57">
        <f>IF((gamma!CI57),IF(VLOOKUP(CI$1,main!$A$3:$H$102,7,FALSE)=VLOOKUP($A57,main!$A$3:$H$102,8,FALSE),VLOOKUP(CI$1,main!$A$3:$H$102,4,FALSE),VLOOKUP(CI$1,main!$A$3:$H$102,4,FALSE)+VLOOKUP($A57,main!$A$3:$H$102,4,FALSE)+(VLOOKUP(VLOOKUP(CI$1,main!$A$3:$H$102,8,FALSE),main!$K$19:$O$22,MATCH(VLOOKUP($A57,main!$A$3:$H$102,7,FALSE),main!$K$18:$O$18,0),0))),0)</f>
        <v>0</v>
      </c>
      <c r="CJ57">
        <f>IF((gamma!CJ57),IF(VLOOKUP(CJ$1,main!$A$3:$H$102,7,FALSE)=VLOOKUP($A57,main!$A$3:$H$102,8,FALSE),VLOOKUP(CJ$1,main!$A$3:$H$102,4,FALSE),VLOOKUP(CJ$1,main!$A$3:$H$102,4,FALSE)+VLOOKUP($A57,main!$A$3:$H$102,4,FALSE)+(VLOOKUP(VLOOKUP(CJ$1,main!$A$3:$H$102,8,FALSE),main!$K$19:$O$22,MATCH(VLOOKUP($A57,main!$A$3:$H$102,7,FALSE),main!$K$18:$O$18,0),0))),0)</f>
        <v>0</v>
      </c>
      <c r="CK57">
        <f>IF((gamma!CK57),IF(VLOOKUP(CK$1,main!$A$3:$H$102,7,FALSE)=VLOOKUP($A57,main!$A$3:$H$102,8,FALSE),VLOOKUP(CK$1,main!$A$3:$H$102,4,FALSE),VLOOKUP(CK$1,main!$A$3:$H$102,4,FALSE)+VLOOKUP($A57,main!$A$3:$H$102,4,FALSE)+(VLOOKUP(VLOOKUP(CK$1,main!$A$3:$H$102,8,FALSE),main!$K$19:$O$22,MATCH(VLOOKUP($A57,main!$A$3:$H$102,7,FALSE),main!$K$18:$O$18,0),0))),0)</f>
        <v>0</v>
      </c>
      <c r="CL57">
        <f>IF((gamma!CL57),IF(VLOOKUP(CL$1,main!$A$3:$H$102,7,FALSE)=VLOOKUP($A57,main!$A$3:$H$102,8,FALSE),VLOOKUP(CL$1,main!$A$3:$H$102,4,FALSE),VLOOKUP(CL$1,main!$A$3:$H$102,4,FALSE)+VLOOKUP($A57,main!$A$3:$H$102,4,FALSE)+(VLOOKUP(VLOOKUP(CL$1,main!$A$3:$H$102,8,FALSE),main!$K$19:$O$22,MATCH(VLOOKUP($A57,main!$A$3:$H$102,7,FALSE),main!$K$18:$O$18,0),0))),0)</f>
        <v>0</v>
      </c>
      <c r="CM57">
        <f>IF((gamma!CM57),IF(VLOOKUP(CM$1,main!$A$3:$H$102,7,FALSE)=VLOOKUP($A57,main!$A$3:$H$102,8,FALSE),VLOOKUP(CM$1,main!$A$3:$H$102,4,FALSE),VLOOKUP(CM$1,main!$A$3:$H$102,4,FALSE)+VLOOKUP($A57,main!$A$3:$H$102,4,FALSE)+(VLOOKUP(VLOOKUP(CM$1,main!$A$3:$H$102,8,FALSE),main!$K$19:$O$22,MATCH(VLOOKUP($A57,main!$A$3:$H$102,7,FALSE),main!$K$18:$O$18,0),0))),0)</f>
        <v>0</v>
      </c>
      <c r="CN57">
        <f>IF((gamma!CN57),IF(VLOOKUP(CN$1,main!$A$3:$H$102,7,FALSE)=VLOOKUP($A57,main!$A$3:$H$102,8,FALSE),VLOOKUP(CN$1,main!$A$3:$H$102,4,FALSE),VLOOKUP(CN$1,main!$A$3:$H$102,4,FALSE)+VLOOKUP($A57,main!$A$3:$H$102,4,FALSE)+(VLOOKUP(VLOOKUP(CN$1,main!$A$3:$H$102,8,FALSE),main!$K$19:$O$22,MATCH(VLOOKUP($A57,main!$A$3:$H$102,7,FALSE),main!$K$18:$O$18,0),0))),0)</f>
        <v>0</v>
      </c>
      <c r="CO57">
        <f>IF((gamma!CO57),IF(VLOOKUP(CO$1,main!$A$3:$H$102,7,FALSE)=VLOOKUP($A57,main!$A$3:$H$102,8,FALSE),VLOOKUP(CO$1,main!$A$3:$H$102,4,FALSE),VLOOKUP(CO$1,main!$A$3:$H$102,4,FALSE)+VLOOKUP($A57,main!$A$3:$H$102,4,FALSE)+(VLOOKUP(VLOOKUP(CO$1,main!$A$3:$H$102,8,FALSE),main!$K$19:$O$22,MATCH(VLOOKUP($A57,main!$A$3:$H$102,7,FALSE),main!$K$18:$O$18,0),0))),0)</f>
        <v>0</v>
      </c>
      <c r="CP57">
        <f>IF((gamma!CP57),IF(VLOOKUP(CP$1,main!$A$3:$H$102,7,FALSE)=VLOOKUP($A57,main!$A$3:$H$102,8,FALSE),VLOOKUP(CP$1,main!$A$3:$H$102,4,FALSE),VLOOKUP(CP$1,main!$A$3:$H$102,4,FALSE)+VLOOKUP($A57,main!$A$3:$H$102,4,FALSE)+(VLOOKUP(VLOOKUP(CP$1,main!$A$3:$H$102,8,FALSE),main!$K$19:$O$22,MATCH(VLOOKUP($A57,main!$A$3:$H$102,7,FALSE),main!$K$18:$O$18,0),0))),0)</f>
        <v>0</v>
      </c>
      <c r="CQ57">
        <f>IF((gamma!CQ57),IF(VLOOKUP(CQ$1,main!$A$3:$H$102,7,FALSE)=VLOOKUP($A57,main!$A$3:$H$102,8,FALSE),VLOOKUP(CQ$1,main!$A$3:$H$102,4,FALSE),VLOOKUP(CQ$1,main!$A$3:$H$102,4,FALSE)+VLOOKUP($A57,main!$A$3:$H$102,4,FALSE)+(VLOOKUP(VLOOKUP(CQ$1,main!$A$3:$H$102,8,FALSE),main!$K$19:$O$22,MATCH(VLOOKUP($A57,main!$A$3:$H$102,7,FALSE),main!$K$18:$O$18,0),0))),0)</f>
        <v>0</v>
      </c>
      <c r="CR57">
        <f>IF((gamma!CR57),IF(VLOOKUP(CR$1,main!$A$3:$H$102,7,FALSE)=VLOOKUP($A57,main!$A$3:$H$102,8,FALSE),VLOOKUP(CR$1,main!$A$3:$H$102,4,FALSE),VLOOKUP(CR$1,main!$A$3:$H$102,4,FALSE)+VLOOKUP($A57,main!$A$3:$H$102,4,FALSE)+(VLOOKUP(VLOOKUP(CR$1,main!$A$3:$H$102,8,FALSE),main!$K$19:$O$22,MATCH(VLOOKUP($A57,main!$A$3:$H$102,7,FALSE),main!$K$18:$O$18,0),0))),0)</f>
        <v>0</v>
      </c>
      <c r="CS57">
        <f>IF((gamma!CS57),IF(VLOOKUP(CS$1,main!$A$3:$H$102,7,FALSE)=VLOOKUP($A57,main!$A$3:$H$102,8,FALSE),VLOOKUP(CS$1,main!$A$3:$H$102,4,FALSE),VLOOKUP(CS$1,main!$A$3:$H$102,4,FALSE)+VLOOKUP($A57,main!$A$3:$H$102,4,FALSE)+(VLOOKUP(VLOOKUP(CS$1,main!$A$3:$H$102,8,FALSE),main!$K$19:$O$22,MATCH(VLOOKUP($A57,main!$A$3:$H$102,7,FALSE),main!$K$18:$O$18,0),0))),0)</f>
        <v>0</v>
      </c>
      <c r="CT57">
        <f>IF((gamma!CT57),IF(VLOOKUP(CT$1,main!$A$3:$H$102,7,FALSE)=VLOOKUP($A57,main!$A$3:$H$102,8,FALSE),VLOOKUP(CT$1,main!$A$3:$H$102,4,FALSE),VLOOKUP(CT$1,main!$A$3:$H$102,4,FALSE)+VLOOKUP($A57,main!$A$3:$H$102,4,FALSE)+(VLOOKUP(VLOOKUP(CT$1,main!$A$3:$H$102,8,FALSE),main!$K$19:$O$22,MATCH(VLOOKUP($A57,main!$A$3:$H$102,7,FALSE),main!$K$18:$O$18,0),0))),0)</f>
        <v>0</v>
      </c>
      <c r="CU57">
        <f>IF((gamma!CU57),IF(VLOOKUP(CU$1,main!$A$3:$H$102,7,FALSE)=VLOOKUP($A57,main!$A$3:$H$102,8,FALSE),VLOOKUP(CU$1,main!$A$3:$H$102,4,FALSE),VLOOKUP(CU$1,main!$A$3:$H$102,4,FALSE)+VLOOKUP($A57,main!$A$3:$H$102,4,FALSE)+(VLOOKUP(VLOOKUP(CU$1,main!$A$3:$H$102,8,FALSE),main!$K$19:$O$22,MATCH(VLOOKUP($A57,main!$A$3:$H$102,7,FALSE),main!$K$18:$O$18,0),0))),0)</f>
        <v>0</v>
      </c>
      <c r="CV57">
        <f>IF((gamma!CV57),IF(VLOOKUP(CV$1,main!$A$3:$H$102,7,FALSE)=VLOOKUP($A57,main!$A$3:$H$102,8,FALSE),VLOOKUP(CV$1,main!$A$3:$H$102,4,FALSE),VLOOKUP(CV$1,main!$A$3:$H$102,4,FALSE)+VLOOKUP($A57,main!$A$3:$H$102,4,FALSE)+(VLOOKUP(VLOOKUP(CV$1,main!$A$3:$H$102,8,FALSE),main!$K$19:$O$22,MATCH(VLOOKUP($A57,main!$A$3:$H$102,7,FALSE),main!$K$18:$O$18,0),0))),0)</f>
        <v>0</v>
      </c>
      <c r="CW57">
        <f>IF((gamma!CW57),IF(VLOOKUP(CW$1,main!$A$3:$H$102,7,FALSE)=VLOOKUP($A57,main!$A$3:$H$102,8,FALSE),VLOOKUP(CW$1,main!$A$3:$H$102,4,FALSE),VLOOKUP(CW$1,main!$A$3:$H$102,4,FALSE)+VLOOKUP($A57,main!$A$3:$H$102,4,FALSE)+(VLOOKUP(VLOOKUP(CW$1,main!$A$3:$H$102,8,FALSE),main!$K$19:$O$22,MATCH(VLOOKUP($A57,main!$A$3:$H$102,7,FALSE),main!$K$18:$O$18,0),0))),0)</f>
        <v>0</v>
      </c>
      <c r="CX57">
        <f>IF((gamma!CX57),IF(VLOOKUP(CX$1,main!$A$3:$H$102,7,FALSE)=VLOOKUP($A57,main!$A$3:$H$102,8,FALSE),VLOOKUP(CX$1,main!$A$3:$H$102,4,FALSE),VLOOKUP(CX$1,main!$A$3:$H$102,4,FALSE)+VLOOKUP($A57,main!$A$3:$H$102,4,FALSE)+(VLOOKUP(VLOOKUP(CX$1,main!$A$3:$H$102,8,FALSE),main!$K$19:$O$22,MATCH(VLOOKUP($A57,main!$A$3:$H$102,7,FALSE),main!$K$18:$O$18,0),0))),0)</f>
        <v>0</v>
      </c>
      <c r="CY57">
        <v>0</v>
      </c>
      <c r="CZ57">
        <v>0</v>
      </c>
      <c r="DA57">
        <v>0</v>
      </c>
    </row>
    <row r="58" spans="1:105" x14ac:dyDescent="0.25">
      <c r="A58" s="1">
        <v>56</v>
      </c>
      <c r="B58">
        <v>0</v>
      </c>
      <c r="C58">
        <f>IF((gamma!C58),IF(VLOOKUP(C$1,main!$A$3:$H$102,7,FALSE)=VLOOKUP($A58,main!$A$3:$H$102,8,FALSE),VLOOKUP(C$1,main!$A$3:$H$102,4,FALSE),VLOOKUP(C$1,main!$A$3:$H$102,4,FALSE)+VLOOKUP($A58,main!$A$3:$H$102,4,FALSE)+(VLOOKUP(VLOOKUP(C$1,main!$A$3:$H$102,8,FALSE),main!$K$19:$O$22,MATCH(VLOOKUP($A58,main!$A$3:$H$102,7,FALSE),main!$K$18:$O$18,0),0))),0)</f>
        <v>0</v>
      </c>
      <c r="D58">
        <f>IF((gamma!D58),IF(VLOOKUP(D$1,main!$A$3:$H$102,7,FALSE)=VLOOKUP($A58,main!$A$3:$H$102,8,FALSE),VLOOKUP(D$1,main!$A$3:$H$102,4,FALSE),VLOOKUP(D$1,main!$A$3:$H$102,4,FALSE)+VLOOKUP($A58,main!$A$3:$H$102,4,FALSE)+(VLOOKUP(VLOOKUP(D$1,main!$A$3:$H$102,8,FALSE),main!$K$19:$O$22,MATCH(VLOOKUP($A58,main!$A$3:$H$102,7,FALSE),main!$K$18:$O$18,0),0))),0)</f>
        <v>0</v>
      </c>
      <c r="E58">
        <f>IF((gamma!E58),IF(VLOOKUP(E$1,main!$A$3:$H$102,7,FALSE)=VLOOKUP($A58,main!$A$3:$H$102,8,FALSE),VLOOKUP(E$1,main!$A$3:$H$102,4,FALSE),VLOOKUP(E$1,main!$A$3:$H$102,4,FALSE)+VLOOKUP($A58,main!$A$3:$H$102,4,FALSE)+(VLOOKUP(VLOOKUP(E$1,main!$A$3:$H$102,8,FALSE),main!$K$19:$O$22,MATCH(VLOOKUP($A58,main!$A$3:$H$102,7,FALSE),main!$K$18:$O$18,0),0))),0)</f>
        <v>135</v>
      </c>
      <c r="F58">
        <f>IF((gamma!F58),IF(VLOOKUP(F$1,main!$A$3:$H$102,7,FALSE)=VLOOKUP($A58,main!$A$3:$H$102,8,FALSE),VLOOKUP(F$1,main!$A$3:$H$102,4,FALSE),VLOOKUP(F$1,main!$A$3:$H$102,4,FALSE)+VLOOKUP($A58,main!$A$3:$H$102,4,FALSE)+(VLOOKUP(VLOOKUP(F$1,main!$A$3:$H$102,8,FALSE),main!$K$19:$O$22,MATCH(VLOOKUP($A58,main!$A$3:$H$102,7,FALSE),main!$K$18:$O$18,0),0))),0)</f>
        <v>135</v>
      </c>
      <c r="G58">
        <f>IF((gamma!G58),IF(VLOOKUP(G$1,main!$A$3:$H$102,7,FALSE)=VLOOKUP($A58,main!$A$3:$H$102,8,FALSE),VLOOKUP(G$1,main!$A$3:$H$102,4,FALSE),VLOOKUP(G$1,main!$A$3:$H$102,4,FALSE)+VLOOKUP($A58,main!$A$3:$H$102,4,FALSE)+(VLOOKUP(VLOOKUP(G$1,main!$A$3:$H$102,8,FALSE),main!$K$19:$O$22,MATCH(VLOOKUP($A58,main!$A$3:$H$102,7,FALSE),main!$K$18:$O$18,0),0))),0)</f>
        <v>135</v>
      </c>
      <c r="H58">
        <f>IF((gamma!H58),IF(VLOOKUP(H$1,main!$A$3:$H$102,7,FALSE)=VLOOKUP($A58,main!$A$3:$H$102,8,FALSE),VLOOKUP(H$1,main!$A$3:$H$102,4,FALSE),VLOOKUP(H$1,main!$A$3:$H$102,4,FALSE)+VLOOKUP($A58,main!$A$3:$H$102,4,FALSE)+(VLOOKUP(VLOOKUP(H$1,main!$A$3:$H$102,8,FALSE),main!$K$19:$O$22,MATCH(VLOOKUP($A58,main!$A$3:$H$102,7,FALSE),main!$K$18:$O$18,0),0))),0)</f>
        <v>135</v>
      </c>
      <c r="I58">
        <f>IF((gamma!I58),IF(VLOOKUP(I$1,main!$A$3:$H$102,7,FALSE)=VLOOKUP($A58,main!$A$3:$H$102,8,FALSE),VLOOKUP(I$1,main!$A$3:$H$102,4,FALSE),VLOOKUP(I$1,main!$A$3:$H$102,4,FALSE)+VLOOKUP($A58,main!$A$3:$H$102,4,FALSE)+(VLOOKUP(VLOOKUP(I$1,main!$A$3:$H$102,8,FALSE),main!$K$19:$O$22,MATCH(VLOOKUP($A58,main!$A$3:$H$102,7,FALSE),main!$K$18:$O$18,0),0))),0)</f>
        <v>135</v>
      </c>
      <c r="J58">
        <f>IF((gamma!J58),IF(VLOOKUP(J$1,main!$A$3:$H$102,7,FALSE)=VLOOKUP($A58,main!$A$3:$H$102,8,FALSE),VLOOKUP(J$1,main!$A$3:$H$102,4,FALSE),VLOOKUP(J$1,main!$A$3:$H$102,4,FALSE)+VLOOKUP($A58,main!$A$3:$H$102,4,FALSE)+(VLOOKUP(VLOOKUP(J$1,main!$A$3:$H$102,8,FALSE),main!$K$19:$O$22,MATCH(VLOOKUP($A58,main!$A$3:$H$102,7,FALSE),main!$K$18:$O$18,0),0))),0)</f>
        <v>135</v>
      </c>
      <c r="K58">
        <f>IF((gamma!K58),IF(VLOOKUP(K$1,main!$A$3:$H$102,7,FALSE)=VLOOKUP($A58,main!$A$3:$H$102,8,FALSE),VLOOKUP(K$1,main!$A$3:$H$102,4,FALSE),VLOOKUP(K$1,main!$A$3:$H$102,4,FALSE)+VLOOKUP($A58,main!$A$3:$H$102,4,FALSE)+(VLOOKUP(VLOOKUP(K$1,main!$A$3:$H$102,8,FALSE),main!$K$19:$O$22,MATCH(VLOOKUP($A58,main!$A$3:$H$102,7,FALSE),main!$K$18:$O$18,0),0))),0)</f>
        <v>135</v>
      </c>
      <c r="L58">
        <f>IF((gamma!L58),IF(VLOOKUP(L$1,main!$A$3:$H$102,7,FALSE)=VLOOKUP($A58,main!$A$3:$H$102,8,FALSE),VLOOKUP(L$1,main!$A$3:$H$102,4,FALSE),VLOOKUP(L$1,main!$A$3:$H$102,4,FALSE)+VLOOKUP($A58,main!$A$3:$H$102,4,FALSE)+(VLOOKUP(VLOOKUP(L$1,main!$A$3:$H$102,8,FALSE),main!$K$19:$O$22,MATCH(VLOOKUP($A58,main!$A$3:$H$102,7,FALSE),main!$K$18:$O$18,0),0))),0)</f>
        <v>135</v>
      </c>
      <c r="M58">
        <f>IF((gamma!M58),IF(VLOOKUP(M$1,main!$A$3:$H$102,7,FALSE)=VLOOKUP($A58,main!$A$3:$H$102,8,FALSE),VLOOKUP(M$1,main!$A$3:$H$102,4,FALSE),VLOOKUP(M$1,main!$A$3:$H$102,4,FALSE)+VLOOKUP($A58,main!$A$3:$H$102,4,FALSE)+(VLOOKUP(VLOOKUP(M$1,main!$A$3:$H$102,8,FALSE),main!$K$19:$O$22,MATCH(VLOOKUP($A58,main!$A$3:$H$102,7,FALSE),main!$K$18:$O$18,0),0))),0)</f>
        <v>0</v>
      </c>
      <c r="N58">
        <f>IF((gamma!N58),IF(VLOOKUP(N$1,main!$A$3:$H$102,7,FALSE)=VLOOKUP($A58,main!$A$3:$H$102,8,FALSE),VLOOKUP(N$1,main!$A$3:$H$102,4,FALSE),VLOOKUP(N$1,main!$A$3:$H$102,4,FALSE)+VLOOKUP($A58,main!$A$3:$H$102,4,FALSE)+(VLOOKUP(VLOOKUP(N$1,main!$A$3:$H$102,8,FALSE),main!$K$19:$O$22,MATCH(VLOOKUP($A58,main!$A$3:$H$102,7,FALSE),main!$K$18:$O$18,0),0))),0)</f>
        <v>0</v>
      </c>
      <c r="O58">
        <f>IF((gamma!O58),IF(VLOOKUP(O$1,main!$A$3:$H$102,7,FALSE)=VLOOKUP($A58,main!$A$3:$H$102,8,FALSE),VLOOKUP(O$1,main!$A$3:$H$102,4,FALSE),VLOOKUP(O$1,main!$A$3:$H$102,4,FALSE)+VLOOKUP($A58,main!$A$3:$H$102,4,FALSE)+(VLOOKUP(VLOOKUP(O$1,main!$A$3:$H$102,8,FALSE),main!$K$19:$O$22,MATCH(VLOOKUP($A58,main!$A$3:$H$102,7,FALSE),main!$K$18:$O$18,0),0))),0)</f>
        <v>0</v>
      </c>
      <c r="P58">
        <f>IF((gamma!P58),IF(VLOOKUP(P$1,main!$A$3:$H$102,7,FALSE)=VLOOKUP($A58,main!$A$3:$H$102,8,FALSE),VLOOKUP(P$1,main!$A$3:$H$102,4,FALSE),VLOOKUP(P$1,main!$A$3:$H$102,4,FALSE)+VLOOKUP($A58,main!$A$3:$H$102,4,FALSE)+(VLOOKUP(VLOOKUP(P$1,main!$A$3:$H$102,8,FALSE),main!$K$19:$O$22,MATCH(VLOOKUP($A58,main!$A$3:$H$102,7,FALSE),main!$K$18:$O$18,0),0))),0)</f>
        <v>0</v>
      </c>
      <c r="Q58">
        <f>IF((gamma!Q58),IF(VLOOKUP(Q$1,main!$A$3:$H$102,7,FALSE)=VLOOKUP($A58,main!$A$3:$H$102,8,FALSE),VLOOKUP(Q$1,main!$A$3:$H$102,4,FALSE),VLOOKUP(Q$1,main!$A$3:$H$102,4,FALSE)+VLOOKUP($A58,main!$A$3:$H$102,4,FALSE)+(VLOOKUP(VLOOKUP(Q$1,main!$A$3:$H$102,8,FALSE),main!$K$19:$O$22,MATCH(VLOOKUP($A58,main!$A$3:$H$102,7,FALSE),main!$K$18:$O$18,0),0))),0)</f>
        <v>140</v>
      </c>
      <c r="R58">
        <f>IF((gamma!R58),IF(VLOOKUP(R$1,main!$A$3:$H$102,7,FALSE)=VLOOKUP($A58,main!$A$3:$H$102,8,FALSE),VLOOKUP(R$1,main!$A$3:$H$102,4,FALSE),VLOOKUP(R$1,main!$A$3:$H$102,4,FALSE)+VLOOKUP($A58,main!$A$3:$H$102,4,FALSE)+(VLOOKUP(VLOOKUP(R$1,main!$A$3:$H$102,8,FALSE),main!$K$19:$O$22,MATCH(VLOOKUP($A58,main!$A$3:$H$102,7,FALSE),main!$K$18:$O$18,0),0))),0)</f>
        <v>140</v>
      </c>
      <c r="S58">
        <f>IF((gamma!S58),IF(VLOOKUP(S$1,main!$A$3:$H$102,7,FALSE)=VLOOKUP($A58,main!$A$3:$H$102,8,FALSE),VLOOKUP(S$1,main!$A$3:$H$102,4,FALSE),VLOOKUP(S$1,main!$A$3:$H$102,4,FALSE)+VLOOKUP($A58,main!$A$3:$H$102,4,FALSE)+(VLOOKUP(VLOOKUP(S$1,main!$A$3:$H$102,8,FALSE),main!$K$19:$O$22,MATCH(VLOOKUP($A58,main!$A$3:$H$102,7,FALSE),main!$K$18:$O$18,0),0))),0)</f>
        <v>140</v>
      </c>
      <c r="T58">
        <f>IF((gamma!T58),IF(VLOOKUP(T$1,main!$A$3:$H$102,7,FALSE)=VLOOKUP($A58,main!$A$3:$H$102,8,FALSE),VLOOKUP(T$1,main!$A$3:$H$102,4,FALSE),VLOOKUP(T$1,main!$A$3:$H$102,4,FALSE)+VLOOKUP($A58,main!$A$3:$H$102,4,FALSE)+(VLOOKUP(VLOOKUP(T$1,main!$A$3:$H$102,8,FALSE),main!$K$19:$O$22,MATCH(VLOOKUP($A58,main!$A$3:$H$102,7,FALSE),main!$K$18:$O$18,0),0))),0)</f>
        <v>140</v>
      </c>
      <c r="U58">
        <f>IF((gamma!U58),IF(VLOOKUP(U$1,main!$A$3:$H$102,7,FALSE)=VLOOKUP($A58,main!$A$3:$H$102,8,FALSE),VLOOKUP(U$1,main!$A$3:$H$102,4,FALSE),VLOOKUP(U$1,main!$A$3:$H$102,4,FALSE)+VLOOKUP($A58,main!$A$3:$H$102,4,FALSE)+(VLOOKUP(VLOOKUP(U$1,main!$A$3:$H$102,8,FALSE),main!$K$19:$O$22,MATCH(VLOOKUP($A58,main!$A$3:$H$102,7,FALSE),main!$K$18:$O$18,0),0))),0)</f>
        <v>140</v>
      </c>
      <c r="V58">
        <f>IF((gamma!V58),IF(VLOOKUP(V$1,main!$A$3:$H$102,7,FALSE)=VLOOKUP($A58,main!$A$3:$H$102,8,FALSE),VLOOKUP(V$1,main!$A$3:$H$102,4,FALSE),VLOOKUP(V$1,main!$A$3:$H$102,4,FALSE)+VLOOKUP($A58,main!$A$3:$H$102,4,FALSE)+(VLOOKUP(VLOOKUP(V$1,main!$A$3:$H$102,8,FALSE),main!$K$19:$O$22,MATCH(VLOOKUP($A58,main!$A$3:$H$102,7,FALSE),main!$K$18:$O$18,0),0))),0)</f>
        <v>140</v>
      </c>
      <c r="W58">
        <f>IF((gamma!W58),IF(VLOOKUP(W$1,main!$A$3:$H$102,7,FALSE)=VLOOKUP($A58,main!$A$3:$H$102,8,FALSE),VLOOKUP(W$1,main!$A$3:$H$102,4,FALSE),VLOOKUP(W$1,main!$A$3:$H$102,4,FALSE)+VLOOKUP($A58,main!$A$3:$H$102,4,FALSE)+(VLOOKUP(VLOOKUP(W$1,main!$A$3:$H$102,8,FALSE),main!$K$19:$O$22,MATCH(VLOOKUP($A58,main!$A$3:$H$102,7,FALSE),main!$K$18:$O$18,0),0))),0)</f>
        <v>0</v>
      </c>
      <c r="X58">
        <f>IF((gamma!X58),IF(VLOOKUP(X$1,main!$A$3:$H$102,7,FALSE)=VLOOKUP($A58,main!$A$3:$H$102,8,FALSE),VLOOKUP(X$1,main!$A$3:$H$102,4,FALSE),VLOOKUP(X$1,main!$A$3:$H$102,4,FALSE)+VLOOKUP($A58,main!$A$3:$H$102,4,FALSE)+(VLOOKUP(VLOOKUP(X$1,main!$A$3:$H$102,8,FALSE),main!$K$19:$O$22,MATCH(VLOOKUP($A58,main!$A$3:$H$102,7,FALSE),main!$K$18:$O$18,0),0))),0)</f>
        <v>0</v>
      </c>
      <c r="Y58">
        <f>IF((gamma!Y58),IF(VLOOKUP(Y$1,main!$A$3:$H$102,7,FALSE)=VLOOKUP($A58,main!$A$3:$H$102,8,FALSE),VLOOKUP(Y$1,main!$A$3:$H$102,4,FALSE),VLOOKUP(Y$1,main!$A$3:$H$102,4,FALSE)+VLOOKUP($A58,main!$A$3:$H$102,4,FALSE)+(VLOOKUP(VLOOKUP(Y$1,main!$A$3:$H$102,8,FALSE),main!$K$19:$O$22,MATCH(VLOOKUP($A58,main!$A$3:$H$102,7,FALSE),main!$K$18:$O$18,0),0))),0)</f>
        <v>135</v>
      </c>
      <c r="Z58">
        <f>IF((gamma!Z58),IF(VLOOKUP(Z$1,main!$A$3:$H$102,7,FALSE)=VLOOKUP($A58,main!$A$3:$H$102,8,FALSE),VLOOKUP(Z$1,main!$A$3:$H$102,4,FALSE),VLOOKUP(Z$1,main!$A$3:$H$102,4,FALSE)+VLOOKUP($A58,main!$A$3:$H$102,4,FALSE)+(VLOOKUP(VLOOKUP(Z$1,main!$A$3:$H$102,8,FALSE),main!$K$19:$O$22,MATCH(VLOOKUP($A58,main!$A$3:$H$102,7,FALSE),main!$K$18:$O$18,0),0))),0)</f>
        <v>140</v>
      </c>
      <c r="AA58">
        <f>IF((gamma!AA58),IF(VLOOKUP(AA$1,main!$A$3:$H$102,7,FALSE)=VLOOKUP($A58,main!$A$3:$H$102,8,FALSE),VLOOKUP(AA$1,main!$A$3:$H$102,4,FALSE),VLOOKUP(AA$1,main!$A$3:$H$102,4,FALSE)+VLOOKUP($A58,main!$A$3:$H$102,4,FALSE)+(VLOOKUP(VLOOKUP(AA$1,main!$A$3:$H$102,8,FALSE),main!$K$19:$O$22,MATCH(VLOOKUP($A58,main!$A$3:$H$102,7,FALSE),main!$K$18:$O$18,0),0))),0)</f>
        <v>140</v>
      </c>
      <c r="AB58">
        <f>IF((gamma!AB58),IF(VLOOKUP(AB$1,main!$A$3:$H$102,7,FALSE)=VLOOKUP($A58,main!$A$3:$H$102,8,FALSE),VLOOKUP(AB$1,main!$A$3:$H$102,4,FALSE),VLOOKUP(AB$1,main!$A$3:$H$102,4,FALSE)+VLOOKUP($A58,main!$A$3:$H$102,4,FALSE)+(VLOOKUP(VLOOKUP(AB$1,main!$A$3:$H$102,8,FALSE),main!$K$19:$O$22,MATCH(VLOOKUP($A58,main!$A$3:$H$102,7,FALSE),main!$K$18:$O$18,0),0))),0)</f>
        <v>0</v>
      </c>
      <c r="AC58">
        <f>IF((gamma!AC58),IF(VLOOKUP(AC$1,main!$A$3:$H$102,7,FALSE)=VLOOKUP($A58,main!$A$3:$H$102,8,FALSE),VLOOKUP(AC$1,main!$A$3:$H$102,4,FALSE),VLOOKUP(AC$1,main!$A$3:$H$102,4,FALSE)+VLOOKUP($A58,main!$A$3:$H$102,4,FALSE)+(VLOOKUP(VLOOKUP(AC$1,main!$A$3:$H$102,8,FALSE),main!$K$19:$O$22,MATCH(VLOOKUP($A58,main!$A$3:$H$102,7,FALSE),main!$K$18:$O$18,0),0))),0)</f>
        <v>0</v>
      </c>
      <c r="AD58">
        <f>IF((gamma!AD58),IF(VLOOKUP(AD$1,main!$A$3:$H$102,7,FALSE)=VLOOKUP($A58,main!$A$3:$H$102,8,FALSE),VLOOKUP(AD$1,main!$A$3:$H$102,4,FALSE),VLOOKUP(AD$1,main!$A$3:$H$102,4,FALSE)+VLOOKUP($A58,main!$A$3:$H$102,4,FALSE)+(VLOOKUP(VLOOKUP(AD$1,main!$A$3:$H$102,8,FALSE),main!$K$19:$O$22,MATCH(VLOOKUP($A58,main!$A$3:$H$102,7,FALSE),main!$K$18:$O$18,0),0))),0)</f>
        <v>135</v>
      </c>
      <c r="AE58">
        <f>IF((gamma!AE58),IF(VLOOKUP(AE$1,main!$A$3:$H$102,7,FALSE)=VLOOKUP($A58,main!$A$3:$H$102,8,FALSE),VLOOKUP(AE$1,main!$A$3:$H$102,4,FALSE),VLOOKUP(AE$1,main!$A$3:$H$102,4,FALSE)+VLOOKUP($A58,main!$A$3:$H$102,4,FALSE)+(VLOOKUP(VLOOKUP(AE$1,main!$A$3:$H$102,8,FALSE),main!$K$19:$O$22,MATCH(VLOOKUP($A58,main!$A$3:$H$102,7,FALSE),main!$K$18:$O$18,0),0))),0)</f>
        <v>140</v>
      </c>
      <c r="AF58">
        <f>IF((gamma!AF58),IF(VLOOKUP(AF$1,main!$A$3:$H$102,7,FALSE)=VLOOKUP($A58,main!$A$3:$H$102,8,FALSE),VLOOKUP(AF$1,main!$A$3:$H$102,4,FALSE),VLOOKUP(AF$1,main!$A$3:$H$102,4,FALSE)+VLOOKUP($A58,main!$A$3:$H$102,4,FALSE)+(VLOOKUP(VLOOKUP(AF$1,main!$A$3:$H$102,8,FALSE),main!$K$19:$O$22,MATCH(VLOOKUP($A58,main!$A$3:$H$102,7,FALSE),main!$K$18:$O$18,0),0))),0)</f>
        <v>100</v>
      </c>
      <c r="AG58">
        <f>IF((gamma!AG58),IF(VLOOKUP(AG$1,main!$A$3:$H$102,7,FALSE)=VLOOKUP($A58,main!$A$3:$H$102,8,FALSE),VLOOKUP(AG$1,main!$A$3:$H$102,4,FALSE),VLOOKUP(AG$1,main!$A$3:$H$102,4,FALSE)+VLOOKUP($A58,main!$A$3:$H$102,4,FALSE)+(VLOOKUP(VLOOKUP(AG$1,main!$A$3:$H$102,8,FALSE),main!$K$19:$O$22,MATCH(VLOOKUP($A58,main!$A$3:$H$102,7,FALSE),main!$K$18:$O$18,0),0))),0)</f>
        <v>0</v>
      </c>
      <c r="AH58">
        <f>IF((gamma!AH58),IF(VLOOKUP(AH$1,main!$A$3:$H$102,7,FALSE)=VLOOKUP($A58,main!$A$3:$H$102,8,FALSE),VLOOKUP(AH$1,main!$A$3:$H$102,4,FALSE),VLOOKUP(AH$1,main!$A$3:$H$102,4,FALSE)+VLOOKUP($A58,main!$A$3:$H$102,4,FALSE)+(VLOOKUP(VLOOKUP(AH$1,main!$A$3:$H$102,8,FALSE),main!$K$19:$O$22,MATCH(VLOOKUP($A58,main!$A$3:$H$102,7,FALSE),main!$K$18:$O$18,0),0))),0)</f>
        <v>0</v>
      </c>
      <c r="AI58">
        <f>IF((gamma!AI58),IF(VLOOKUP(AI$1,main!$A$3:$H$102,7,FALSE)=VLOOKUP($A58,main!$A$3:$H$102,8,FALSE),VLOOKUP(AI$1,main!$A$3:$H$102,4,FALSE),VLOOKUP(AI$1,main!$A$3:$H$102,4,FALSE)+VLOOKUP($A58,main!$A$3:$H$102,4,FALSE)+(VLOOKUP(VLOOKUP(AI$1,main!$A$3:$H$102,8,FALSE),main!$K$19:$O$22,MATCH(VLOOKUP($A58,main!$A$3:$H$102,7,FALSE),main!$K$18:$O$18,0),0))),0)</f>
        <v>0</v>
      </c>
      <c r="AJ58">
        <f>IF((gamma!AJ58),IF(VLOOKUP(AJ$1,main!$A$3:$H$102,7,FALSE)=VLOOKUP($A58,main!$A$3:$H$102,8,FALSE),VLOOKUP(AJ$1,main!$A$3:$H$102,4,FALSE),VLOOKUP(AJ$1,main!$A$3:$H$102,4,FALSE)+VLOOKUP($A58,main!$A$3:$H$102,4,FALSE)+(VLOOKUP(VLOOKUP(AJ$1,main!$A$3:$H$102,8,FALSE),main!$K$19:$O$22,MATCH(VLOOKUP($A58,main!$A$3:$H$102,7,FALSE),main!$K$18:$O$18,0),0))),0)</f>
        <v>285</v>
      </c>
      <c r="AK58">
        <f>IF((gamma!AK58),IF(VLOOKUP(AK$1,main!$A$3:$H$102,7,FALSE)=VLOOKUP($A58,main!$A$3:$H$102,8,FALSE),VLOOKUP(AK$1,main!$A$3:$H$102,4,FALSE),VLOOKUP(AK$1,main!$A$3:$H$102,4,FALSE)+VLOOKUP($A58,main!$A$3:$H$102,4,FALSE)+(VLOOKUP(VLOOKUP(AK$1,main!$A$3:$H$102,8,FALSE),main!$K$19:$O$22,MATCH(VLOOKUP($A58,main!$A$3:$H$102,7,FALSE),main!$K$18:$O$18,0),0))),0)</f>
        <v>285</v>
      </c>
      <c r="AL58">
        <f>IF((gamma!AL58),IF(VLOOKUP(AL$1,main!$A$3:$H$102,7,FALSE)=VLOOKUP($A58,main!$A$3:$H$102,8,FALSE),VLOOKUP(AL$1,main!$A$3:$H$102,4,FALSE),VLOOKUP(AL$1,main!$A$3:$H$102,4,FALSE)+VLOOKUP($A58,main!$A$3:$H$102,4,FALSE)+(VLOOKUP(VLOOKUP(AL$1,main!$A$3:$H$102,8,FALSE),main!$K$19:$O$22,MATCH(VLOOKUP($A58,main!$A$3:$H$102,7,FALSE),main!$K$18:$O$18,0),0))),0)</f>
        <v>285</v>
      </c>
      <c r="AM58">
        <f>IF((gamma!AM58),IF(VLOOKUP(AM$1,main!$A$3:$H$102,7,FALSE)=VLOOKUP($A58,main!$A$3:$H$102,8,FALSE),VLOOKUP(AM$1,main!$A$3:$H$102,4,FALSE),VLOOKUP(AM$1,main!$A$3:$H$102,4,FALSE)+VLOOKUP($A58,main!$A$3:$H$102,4,FALSE)+(VLOOKUP(VLOOKUP(AM$1,main!$A$3:$H$102,8,FALSE),main!$K$19:$O$22,MATCH(VLOOKUP($A58,main!$A$3:$H$102,7,FALSE),main!$K$18:$O$18,0),0))),0)</f>
        <v>285</v>
      </c>
      <c r="AN58">
        <f>IF((gamma!AN58),IF(VLOOKUP(AN$1,main!$A$3:$H$102,7,FALSE)=VLOOKUP($A58,main!$A$3:$H$102,8,FALSE),VLOOKUP(AN$1,main!$A$3:$H$102,4,FALSE),VLOOKUP(AN$1,main!$A$3:$H$102,4,FALSE)+VLOOKUP($A58,main!$A$3:$H$102,4,FALSE)+(VLOOKUP(VLOOKUP(AN$1,main!$A$3:$H$102,8,FALSE),main!$K$19:$O$22,MATCH(VLOOKUP($A58,main!$A$3:$H$102,7,FALSE),main!$K$18:$O$18,0),0))),0)</f>
        <v>285</v>
      </c>
      <c r="AO58">
        <f>IF((gamma!AO58),IF(VLOOKUP(AO$1,main!$A$3:$H$102,7,FALSE)=VLOOKUP($A58,main!$A$3:$H$102,8,FALSE),VLOOKUP(AO$1,main!$A$3:$H$102,4,FALSE),VLOOKUP(AO$1,main!$A$3:$H$102,4,FALSE)+VLOOKUP($A58,main!$A$3:$H$102,4,FALSE)+(VLOOKUP(VLOOKUP(AO$1,main!$A$3:$H$102,8,FALSE),main!$K$19:$O$22,MATCH(VLOOKUP($A58,main!$A$3:$H$102,7,FALSE),main!$K$18:$O$18,0),0))),0)</f>
        <v>0</v>
      </c>
      <c r="AP58">
        <f>IF((gamma!AP58),IF(VLOOKUP(AP$1,main!$A$3:$H$102,7,FALSE)=VLOOKUP($A58,main!$A$3:$H$102,8,FALSE),VLOOKUP(AP$1,main!$A$3:$H$102,4,FALSE),VLOOKUP(AP$1,main!$A$3:$H$102,4,FALSE)+VLOOKUP($A58,main!$A$3:$H$102,4,FALSE)+(VLOOKUP(VLOOKUP(AP$1,main!$A$3:$H$102,8,FALSE),main!$K$19:$O$22,MATCH(VLOOKUP($A58,main!$A$3:$H$102,7,FALSE),main!$K$18:$O$18,0),0))),0)</f>
        <v>225</v>
      </c>
      <c r="AQ58">
        <f>IF((gamma!AQ58),IF(VLOOKUP(AQ$1,main!$A$3:$H$102,7,FALSE)=VLOOKUP($A58,main!$A$3:$H$102,8,FALSE),VLOOKUP(AQ$1,main!$A$3:$H$102,4,FALSE),VLOOKUP(AQ$1,main!$A$3:$H$102,4,FALSE)+VLOOKUP($A58,main!$A$3:$H$102,4,FALSE)+(VLOOKUP(VLOOKUP(AQ$1,main!$A$3:$H$102,8,FALSE),main!$K$19:$O$22,MATCH(VLOOKUP($A58,main!$A$3:$H$102,7,FALSE),main!$K$18:$O$18,0),0))),0)</f>
        <v>0</v>
      </c>
      <c r="AR58">
        <f>IF((gamma!AR58),IF(VLOOKUP(AR$1,main!$A$3:$H$102,7,FALSE)=VLOOKUP($A58,main!$A$3:$H$102,8,FALSE),VLOOKUP(AR$1,main!$A$3:$H$102,4,FALSE),VLOOKUP(AR$1,main!$A$3:$H$102,4,FALSE)+VLOOKUP($A58,main!$A$3:$H$102,4,FALSE)+(VLOOKUP(VLOOKUP(AR$1,main!$A$3:$H$102,8,FALSE),main!$K$19:$O$22,MATCH(VLOOKUP($A58,main!$A$3:$H$102,7,FALSE),main!$K$18:$O$18,0),0))),0)</f>
        <v>0</v>
      </c>
      <c r="AS58">
        <f>IF((gamma!AS58),IF(VLOOKUP(AS$1,main!$A$3:$H$102,7,FALSE)=VLOOKUP($A58,main!$A$3:$H$102,8,FALSE),VLOOKUP(AS$1,main!$A$3:$H$102,4,FALSE),VLOOKUP(AS$1,main!$A$3:$H$102,4,FALSE)+VLOOKUP($A58,main!$A$3:$H$102,4,FALSE)+(VLOOKUP(VLOOKUP(AS$1,main!$A$3:$H$102,8,FALSE),main!$K$19:$O$22,MATCH(VLOOKUP($A58,main!$A$3:$H$102,7,FALSE),main!$K$18:$O$18,0),0))),0)</f>
        <v>240</v>
      </c>
      <c r="AT58">
        <f>IF((gamma!AT58),IF(VLOOKUP(AT$1,main!$A$3:$H$102,7,FALSE)=VLOOKUP($A58,main!$A$3:$H$102,8,FALSE),VLOOKUP(AT$1,main!$A$3:$H$102,4,FALSE),VLOOKUP(AT$1,main!$A$3:$H$102,4,FALSE)+VLOOKUP($A58,main!$A$3:$H$102,4,FALSE)+(VLOOKUP(VLOOKUP(AT$1,main!$A$3:$H$102,8,FALSE),main!$K$19:$O$22,MATCH(VLOOKUP($A58,main!$A$3:$H$102,7,FALSE),main!$K$18:$O$18,0),0))),0)</f>
        <v>250</v>
      </c>
      <c r="AU58">
        <f>IF((gamma!AU58),IF(VLOOKUP(AU$1,main!$A$3:$H$102,7,FALSE)=VLOOKUP($A58,main!$A$3:$H$102,8,FALSE),VLOOKUP(AU$1,main!$A$3:$H$102,4,FALSE),VLOOKUP(AU$1,main!$A$3:$H$102,4,FALSE)+VLOOKUP($A58,main!$A$3:$H$102,4,FALSE)+(VLOOKUP(VLOOKUP(AU$1,main!$A$3:$H$102,8,FALSE),main!$K$19:$O$22,MATCH(VLOOKUP($A58,main!$A$3:$H$102,7,FALSE),main!$K$18:$O$18,0),0))),0)</f>
        <v>0</v>
      </c>
      <c r="AV58">
        <f>IF((gamma!AV58),IF(VLOOKUP(AV$1,main!$A$3:$H$102,7,FALSE)=VLOOKUP($A58,main!$A$3:$H$102,8,FALSE),VLOOKUP(AV$1,main!$A$3:$H$102,4,FALSE),VLOOKUP(AV$1,main!$A$3:$H$102,4,FALSE)+VLOOKUP($A58,main!$A$3:$H$102,4,FALSE)+(VLOOKUP(VLOOKUP(AV$1,main!$A$3:$H$102,8,FALSE),main!$K$19:$O$22,MATCH(VLOOKUP($A58,main!$A$3:$H$102,7,FALSE),main!$K$18:$O$18,0),0))),0)</f>
        <v>0</v>
      </c>
      <c r="AW58">
        <f>IF((gamma!AW58),IF(VLOOKUP(AW$1,main!$A$3:$H$102,7,FALSE)=VLOOKUP($A58,main!$A$3:$H$102,8,FALSE),VLOOKUP(AW$1,main!$A$3:$H$102,4,FALSE),VLOOKUP(AW$1,main!$A$3:$H$102,4,FALSE)+VLOOKUP($A58,main!$A$3:$H$102,4,FALSE)+(VLOOKUP(VLOOKUP(AW$1,main!$A$3:$H$102,8,FALSE),main!$K$19:$O$22,MATCH(VLOOKUP($A58,main!$A$3:$H$102,7,FALSE),main!$K$18:$O$18,0),0))),0)</f>
        <v>240</v>
      </c>
      <c r="AX58">
        <f>IF((gamma!AX58),IF(VLOOKUP(AX$1,main!$A$3:$H$102,7,FALSE)=VLOOKUP($A58,main!$A$3:$H$102,8,FALSE),VLOOKUP(AX$1,main!$A$3:$H$102,4,FALSE),VLOOKUP(AX$1,main!$A$3:$H$102,4,FALSE)+VLOOKUP($A58,main!$A$3:$H$102,4,FALSE)+(VLOOKUP(VLOOKUP(AX$1,main!$A$3:$H$102,8,FALSE),main!$K$19:$O$22,MATCH(VLOOKUP($A58,main!$A$3:$H$102,7,FALSE),main!$K$18:$O$18,0),0))),0)</f>
        <v>225</v>
      </c>
      <c r="AY58">
        <f>IF((gamma!AY58),IF(VLOOKUP(AY$1,main!$A$3:$H$102,7,FALSE)=VLOOKUP($A58,main!$A$3:$H$102,8,FALSE),VLOOKUP(AY$1,main!$A$3:$H$102,4,FALSE),VLOOKUP(AY$1,main!$A$3:$H$102,4,FALSE)+VLOOKUP($A58,main!$A$3:$H$102,4,FALSE)+(VLOOKUP(VLOOKUP(AY$1,main!$A$3:$H$102,8,FALSE),main!$K$19:$O$22,MATCH(VLOOKUP($A58,main!$A$3:$H$102,7,FALSE),main!$K$18:$O$18,0),0))),0)</f>
        <v>0</v>
      </c>
      <c r="AZ58">
        <f>IF((gamma!AZ58),IF(VLOOKUP(AZ$1,main!$A$3:$H$102,7,FALSE)=VLOOKUP($A58,main!$A$3:$H$102,8,FALSE),VLOOKUP(AZ$1,main!$A$3:$H$102,4,FALSE),VLOOKUP(AZ$1,main!$A$3:$H$102,4,FALSE)+VLOOKUP($A58,main!$A$3:$H$102,4,FALSE)+(VLOOKUP(VLOOKUP(AZ$1,main!$A$3:$H$102,8,FALSE),main!$K$19:$O$22,MATCH(VLOOKUP($A58,main!$A$3:$H$102,7,FALSE),main!$K$18:$O$18,0),0))),0)</f>
        <v>0</v>
      </c>
      <c r="BA58">
        <f>IF((gamma!BA58),IF(VLOOKUP(BA$1,main!$A$3:$H$102,7,FALSE)=VLOOKUP($A58,main!$A$3:$H$102,8,FALSE),VLOOKUP(BA$1,main!$A$3:$H$102,4,FALSE),VLOOKUP(BA$1,main!$A$3:$H$102,4,FALSE)+VLOOKUP($A58,main!$A$3:$H$102,4,FALSE)+(VLOOKUP(VLOOKUP(BA$1,main!$A$3:$H$102,8,FALSE),main!$K$19:$O$22,MATCH(VLOOKUP($A58,main!$A$3:$H$102,7,FALSE),main!$K$18:$O$18,0),0))),0)</f>
        <v>0</v>
      </c>
      <c r="BB58">
        <f>IF((gamma!BB58),IF(VLOOKUP(BB$1,main!$A$3:$H$102,7,FALSE)=VLOOKUP($A58,main!$A$3:$H$102,8,FALSE),VLOOKUP(BB$1,main!$A$3:$H$102,4,FALSE),VLOOKUP(BB$1,main!$A$3:$H$102,4,FALSE)+VLOOKUP($A58,main!$A$3:$H$102,4,FALSE)+(VLOOKUP(VLOOKUP(BB$1,main!$A$3:$H$102,8,FALSE),main!$K$19:$O$22,MATCH(VLOOKUP($A58,main!$A$3:$H$102,7,FALSE),main!$K$18:$O$18,0),0))),0)</f>
        <v>0</v>
      </c>
      <c r="BC58">
        <f>IF((gamma!BC58),IF(VLOOKUP(BC$1,main!$A$3:$H$102,7,FALSE)=VLOOKUP($A58,main!$A$3:$H$102,8,FALSE),VLOOKUP(BC$1,main!$A$3:$H$102,4,FALSE),VLOOKUP(BC$1,main!$A$3:$H$102,4,FALSE)+VLOOKUP($A58,main!$A$3:$H$102,4,FALSE)+(VLOOKUP(VLOOKUP(BC$1,main!$A$3:$H$102,8,FALSE),main!$K$19:$O$22,MATCH(VLOOKUP($A58,main!$A$3:$H$102,7,FALSE),main!$K$18:$O$18,0),0))),0)</f>
        <v>290</v>
      </c>
      <c r="BD58">
        <f>IF((gamma!BD58),IF(VLOOKUP(BD$1,main!$A$3:$H$102,7,FALSE)=VLOOKUP($A58,main!$A$3:$H$102,8,FALSE),VLOOKUP(BD$1,main!$A$3:$H$102,4,FALSE),VLOOKUP(BD$1,main!$A$3:$H$102,4,FALSE)+VLOOKUP($A58,main!$A$3:$H$102,4,FALSE)+(VLOOKUP(VLOOKUP(BD$1,main!$A$3:$H$102,8,FALSE),main!$K$19:$O$22,MATCH(VLOOKUP($A58,main!$A$3:$H$102,7,FALSE),main!$K$18:$O$18,0),0))),0)</f>
        <v>290</v>
      </c>
      <c r="BE58">
        <f>IF((gamma!BE58),IF(VLOOKUP(BE$1,main!$A$3:$H$102,7,FALSE)=VLOOKUP($A58,main!$A$3:$H$102,8,FALSE),VLOOKUP(BE$1,main!$A$3:$H$102,4,FALSE),VLOOKUP(BE$1,main!$A$3:$H$102,4,FALSE)+VLOOKUP($A58,main!$A$3:$H$102,4,FALSE)+(VLOOKUP(VLOOKUP(BE$1,main!$A$3:$H$102,8,FALSE),main!$K$19:$O$22,MATCH(VLOOKUP($A58,main!$A$3:$H$102,7,FALSE),main!$K$18:$O$18,0),0))),0)</f>
        <v>290</v>
      </c>
      <c r="BF58">
        <f>IF((gamma!BF58),IF(VLOOKUP(BF$1,main!$A$3:$H$102,7,FALSE)=VLOOKUP($A58,main!$A$3:$H$102,8,FALSE),VLOOKUP(BF$1,main!$A$3:$H$102,4,FALSE),VLOOKUP(BF$1,main!$A$3:$H$102,4,FALSE)+VLOOKUP($A58,main!$A$3:$H$102,4,FALSE)+(VLOOKUP(VLOOKUP(BF$1,main!$A$3:$H$102,8,FALSE),main!$K$19:$O$22,MATCH(VLOOKUP($A58,main!$A$3:$H$102,7,FALSE),main!$K$18:$O$18,0),0))),0)</f>
        <v>0</v>
      </c>
      <c r="BG58">
        <f>IF((gamma!BG58),IF(VLOOKUP(BG$1,main!$A$3:$H$102,7,FALSE)=VLOOKUP($A58,main!$A$3:$H$102,8,FALSE),VLOOKUP(BG$1,main!$A$3:$H$102,4,FALSE),VLOOKUP(BG$1,main!$A$3:$H$102,4,FALSE)+VLOOKUP($A58,main!$A$3:$H$102,4,FALSE)+(VLOOKUP(VLOOKUP(BG$1,main!$A$3:$H$102,8,FALSE),main!$K$19:$O$22,MATCH(VLOOKUP($A58,main!$A$3:$H$102,7,FALSE),main!$K$18:$O$18,0),0))),0)</f>
        <v>0</v>
      </c>
      <c r="BH58">
        <f>IF((gamma!BH58),IF(VLOOKUP(BH$1,main!$A$3:$H$102,7,FALSE)=VLOOKUP($A58,main!$A$3:$H$102,8,FALSE),VLOOKUP(BH$1,main!$A$3:$H$102,4,FALSE),VLOOKUP(BH$1,main!$A$3:$H$102,4,FALSE)+VLOOKUP($A58,main!$A$3:$H$102,4,FALSE)+(VLOOKUP(VLOOKUP(BH$1,main!$A$3:$H$102,8,FALSE),main!$K$19:$O$22,MATCH(VLOOKUP($A58,main!$A$3:$H$102,7,FALSE),main!$K$18:$O$18,0),0))),0)</f>
        <v>275</v>
      </c>
      <c r="BI58">
        <f>IF((gamma!BI58),IF(VLOOKUP(BI$1,main!$A$3:$H$102,7,FALSE)=VLOOKUP($A58,main!$A$3:$H$102,8,FALSE),VLOOKUP(BI$1,main!$A$3:$H$102,4,FALSE),VLOOKUP(BI$1,main!$A$3:$H$102,4,FALSE)+VLOOKUP($A58,main!$A$3:$H$102,4,FALSE)+(VLOOKUP(VLOOKUP(BI$1,main!$A$3:$H$102,8,FALSE),main!$K$19:$O$22,MATCH(VLOOKUP($A58,main!$A$3:$H$102,7,FALSE),main!$K$18:$O$18,0),0))),0)</f>
        <v>210</v>
      </c>
      <c r="BJ58">
        <f>IF((gamma!BJ58),IF(VLOOKUP(BJ$1,main!$A$3:$H$102,7,FALSE)=VLOOKUP($A58,main!$A$3:$H$102,8,FALSE),VLOOKUP(BJ$1,main!$A$3:$H$102,4,FALSE),VLOOKUP(BJ$1,main!$A$3:$H$102,4,FALSE)+VLOOKUP($A58,main!$A$3:$H$102,4,FALSE)+(VLOOKUP(VLOOKUP(BJ$1,main!$A$3:$H$102,8,FALSE),main!$K$19:$O$22,MATCH(VLOOKUP($A58,main!$A$3:$H$102,7,FALSE),main!$K$18:$O$18,0),0))),0)</f>
        <v>240</v>
      </c>
      <c r="BK58">
        <f>IF((gamma!BK58),IF(VLOOKUP(BK$1,main!$A$3:$H$102,7,FALSE)=VLOOKUP($A58,main!$A$3:$H$102,8,FALSE),VLOOKUP(BK$1,main!$A$3:$H$102,4,FALSE),VLOOKUP(BK$1,main!$A$3:$H$102,4,FALSE)+VLOOKUP($A58,main!$A$3:$H$102,4,FALSE)+(VLOOKUP(VLOOKUP(BK$1,main!$A$3:$H$102,8,FALSE),main!$K$19:$O$22,MATCH(VLOOKUP($A58,main!$A$3:$H$102,7,FALSE),main!$K$18:$O$18,0),0))),0)</f>
        <v>0</v>
      </c>
      <c r="BL58">
        <f>IF((gamma!BL58),IF(VLOOKUP(BL$1,main!$A$3:$H$102,7,FALSE)=VLOOKUP($A58,main!$A$3:$H$102,8,FALSE),VLOOKUP(BL$1,main!$A$3:$H$102,4,FALSE),VLOOKUP(BL$1,main!$A$3:$H$102,4,FALSE)+VLOOKUP($A58,main!$A$3:$H$102,4,FALSE)+(VLOOKUP(VLOOKUP(BL$1,main!$A$3:$H$102,8,FALSE),main!$K$19:$O$22,MATCH(VLOOKUP($A58,main!$A$3:$H$102,7,FALSE),main!$K$18:$O$18,0),0))),0)</f>
        <v>0</v>
      </c>
      <c r="BM58">
        <f>IF((gamma!BM58),IF(VLOOKUP(BM$1,main!$A$3:$H$102,7,FALSE)=VLOOKUP($A58,main!$A$3:$H$102,8,FALSE),VLOOKUP(BM$1,main!$A$3:$H$102,4,FALSE),VLOOKUP(BM$1,main!$A$3:$H$102,4,FALSE)+VLOOKUP($A58,main!$A$3:$H$102,4,FALSE)+(VLOOKUP(VLOOKUP(BM$1,main!$A$3:$H$102,8,FALSE),main!$K$19:$O$22,MATCH(VLOOKUP($A58,main!$A$3:$H$102,7,FALSE),main!$K$18:$O$18,0),0))),0)</f>
        <v>0</v>
      </c>
      <c r="BN58">
        <f>IF((gamma!BN58),IF(VLOOKUP(BN$1,main!$A$3:$H$102,7,FALSE)=VLOOKUP($A58,main!$A$3:$H$102,8,FALSE),VLOOKUP(BN$1,main!$A$3:$H$102,4,FALSE),VLOOKUP(BN$1,main!$A$3:$H$102,4,FALSE)+VLOOKUP($A58,main!$A$3:$H$102,4,FALSE)+(VLOOKUP(VLOOKUP(BN$1,main!$A$3:$H$102,8,FALSE),main!$K$19:$O$22,MATCH(VLOOKUP($A58,main!$A$3:$H$102,7,FALSE),main!$K$18:$O$18,0),0))),0)</f>
        <v>268</v>
      </c>
      <c r="BO58">
        <f>IF((gamma!BO58),IF(VLOOKUP(BO$1,main!$A$3:$H$102,7,FALSE)=VLOOKUP($A58,main!$A$3:$H$102,8,FALSE),VLOOKUP(BO$1,main!$A$3:$H$102,4,FALSE),VLOOKUP(BO$1,main!$A$3:$H$102,4,FALSE)+VLOOKUP($A58,main!$A$3:$H$102,4,FALSE)+(VLOOKUP(VLOOKUP(BO$1,main!$A$3:$H$102,8,FALSE),main!$K$19:$O$22,MATCH(VLOOKUP($A58,main!$A$3:$H$102,7,FALSE),main!$K$18:$O$18,0),0))),0)</f>
        <v>0</v>
      </c>
      <c r="BP58">
        <f>IF((gamma!BP58),IF(VLOOKUP(BP$1,main!$A$3:$H$102,7,FALSE)=VLOOKUP($A58,main!$A$3:$H$102,8,FALSE),VLOOKUP(BP$1,main!$A$3:$H$102,4,FALSE),VLOOKUP(BP$1,main!$A$3:$H$102,4,FALSE)+VLOOKUP($A58,main!$A$3:$H$102,4,FALSE)+(VLOOKUP(VLOOKUP(BP$1,main!$A$3:$H$102,8,FALSE),main!$K$19:$O$22,MATCH(VLOOKUP($A58,main!$A$3:$H$102,7,FALSE),main!$K$18:$O$18,0),0))),0)</f>
        <v>0</v>
      </c>
      <c r="BQ58">
        <f>IF((gamma!BQ58),IF(VLOOKUP(BQ$1,main!$A$3:$H$102,7,FALSE)=VLOOKUP($A58,main!$A$3:$H$102,8,FALSE),VLOOKUP(BQ$1,main!$A$3:$H$102,4,FALSE),VLOOKUP(BQ$1,main!$A$3:$H$102,4,FALSE)+VLOOKUP($A58,main!$A$3:$H$102,4,FALSE)+(VLOOKUP(VLOOKUP(BQ$1,main!$A$3:$H$102,8,FALSE),main!$K$19:$O$22,MATCH(VLOOKUP($A58,main!$A$3:$H$102,7,FALSE),main!$K$18:$O$18,0),0))),0)</f>
        <v>288</v>
      </c>
      <c r="BR58">
        <f>IF((gamma!BR58),IF(VLOOKUP(BR$1,main!$A$3:$H$102,7,FALSE)=VLOOKUP($A58,main!$A$3:$H$102,8,FALSE),VLOOKUP(BR$1,main!$A$3:$H$102,4,FALSE),VLOOKUP(BR$1,main!$A$3:$H$102,4,FALSE)+VLOOKUP($A58,main!$A$3:$H$102,4,FALSE)+(VLOOKUP(VLOOKUP(BR$1,main!$A$3:$H$102,8,FALSE),main!$K$19:$O$22,MATCH(VLOOKUP($A58,main!$A$3:$H$102,7,FALSE),main!$K$18:$O$18,0),0))),0)</f>
        <v>248</v>
      </c>
      <c r="BS58">
        <f>IF((gamma!BS58),IF(VLOOKUP(BS$1,main!$A$3:$H$102,7,FALSE)=VLOOKUP($A58,main!$A$3:$H$102,8,FALSE),VLOOKUP(BS$1,main!$A$3:$H$102,4,FALSE),VLOOKUP(BS$1,main!$A$3:$H$102,4,FALSE)+VLOOKUP($A58,main!$A$3:$H$102,4,FALSE)+(VLOOKUP(VLOOKUP(BS$1,main!$A$3:$H$102,8,FALSE),main!$K$19:$O$22,MATCH(VLOOKUP($A58,main!$A$3:$H$102,7,FALSE),main!$K$18:$O$18,0),0))),0)</f>
        <v>249</v>
      </c>
      <c r="BT58">
        <f>IF((gamma!BT58),IF(VLOOKUP(BT$1,main!$A$3:$H$102,7,FALSE)=VLOOKUP($A58,main!$A$3:$H$102,8,FALSE),VLOOKUP(BT$1,main!$A$3:$H$102,4,FALSE),VLOOKUP(BT$1,main!$A$3:$H$102,4,FALSE)+VLOOKUP($A58,main!$A$3:$H$102,4,FALSE)+(VLOOKUP(VLOOKUP(BT$1,main!$A$3:$H$102,8,FALSE),main!$K$19:$O$22,MATCH(VLOOKUP($A58,main!$A$3:$H$102,7,FALSE),main!$K$18:$O$18,0),0))),0)</f>
        <v>268</v>
      </c>
      <c r="BU58">
        <f>IF((gamma!BU58),IF(VLOOKUP(BU$1,main!$A$3:$H$102,7,FALSE)=VLOOKUP($A58,main!$A$3:$H$102,8,FALSE),VLOOKUP(BU$1,main!$A$3:$H$102,4,FALSE),VLOOKUP(BU$1,main!$A$3:$H$102,4,FALSE)+VLOOKUP($A58,main!$A$3:$H$102,4,FALSE)+(VLOOKUP(VLOOKUP(BU$1,main!$A$3:$H$102,8,FALSE),main!$K$19:$O$22,MATCH(VLOOKUP($A58,main!$A$3:$H$102,7,FALSE),main!$K$18:$O$18,0),0))),0)</f>
        <v>0</v>
      </c>
      <c r="BV58">
        <f>IF((gamma!BV58),IF(VLOOKUP(BV$1,main!$A$3:$H$102,7,FALSE)=VLOOKUP($A58,main!$A$3:$H$102,8,FALSE),VLOOKUP(BV$1,main!$A$3:$H$102,4,FALSE),VLOOKUP(BV$1,main!$A$3:$H$102,4,FALSE)+VLOOKUP($A58,main!$A$3:$H$102,4,FALSE)+(VLOOKUP(VLOOKUP(BV$1,main!$A$3:$H$102,8,FALSE),main!$K$19:$O$22,MATCH(VLOOKUP($A58,main!$A$3:$H$102,7,FALSE),main!$K$18:$O$18,0),0))),0)</f>
        <v>0</v>
      </c>
      <c r="BW58">
        <f>IF((gamma!BW58),IF(VLOOKUP(BW$1,main!$A$3:$H$102,7,FALSE)=VLOOKUP($A58,main!$A$3:$H$102,8,FALSE),VLOOKUP(BW$1,main!$A$3:$H$102,4,FALSE),VLOOKUP(BW$1,main!$A$3:$H$102,4,FALSE)+VLOOKUP($A58,main!$A$3:$H$102,4,FALSE)+(VLOOKUP(VLOOKUP(BW$1,main!$A$3:$H$102,8,FALSE),main!$K$19:$O$22,MATCH(VLOOKUP($A58,main!$A$3:$H$102,7,FALSE),main!$K$18:$O$18,0),0))),0)</f>
        <v>0</v>
      </c>
      <c r="BX58">
        <f>IF((gamma!BX58),IF(VLOOKUP(BX$1,main!$A$3:$H$102,7,FALSE)=VLOOKUP($A58,main!$A$3:$H$102,8,FALSE),VLOOKUP(BX$1,main!$A$3:$H$102,4,FALSE),VLOOKUP(BX$1,main!$A$3:$H$102,4,FALSE)+VLOOKUP($A58,main!$A$3:$H$102,4,FALSE)+(VLOOKUP(VLOOKUP(BX$1,main!$A$3:$H$102,8,FALSE),main!$K$19:$O$22,MATCH(VLOOKUP($A58,main!$A$3:$H$102,7,FALSE),main!$K$18:$O$18,0),0))),0)</f>
        <v>288</v>
      </c>
      <c r="BY58">
        <f>IF((gamma!BY58),IF(VLOOKUP(BY$1,main!$A$3:$H$102,7,FALSE)=VLOOKUP($A58,main!$A$3:$H$102,8,FALSE),VLOOKUP(BY$1,main!$A$3:$H$102,4,FALSE),VLOOKUP(BY$1,main!$A$3:$H$102,4,FALSE)+VLOOKUP($A58,main!$A$3:$H$102,4,FALSE)+(VLOOKUP(VLOOKUP(BY$1,main!$A$3:$H$102,8,FALSE),main!$K$19:$O$22,MATCH(VLOOKUP($A58,main!$A$3:$H$102,7,FALSE),main!$K$18:$O$18,0),0))),0)</f>
        <v>273</v>
      </c>
      <c r="BZ58">
        <f>IF((gamma!BZ58),IF(VLOOKUP(BZ$1,main!$A$3:$H$102,7,FALSE)=VLOOKUP($A58,main!$A$3:$H$102,8,FALSE),VLOOKUP(BZ$1,main!$A$3:$H$102,4,FALSE),VLOOKUP(BZ$1,main!$A$3:$H$102,4,FALSE)+VLOOKUP($A58,main!$A$3:$H$102,4,FALSE)+(VLOOKUP(VLOOKUP(BZ$1,main!$A$3:$H$102,8,FALSE),main!$K$19:$O$22,MATCH(VLOOKUP($A58,main!$A$3:$H$102,7,FALSE),main!$K$18:$O$18,0),0))),0)</f>
        <v>0</v>
      </c>
      <c r="CA58">
        <f>IF((gamma!CA58),IF(VLOOKUP(CA$1,main!$A$3:$H$102,7,FALSE)=VLOOKUP($A58,main!$A$3:$H$102,8,FALSE),VLOOKUP(CA$1,main!$A$3:$H$102,4,FALSE),VLOOKUP(CA$1,main!$A$3:$H$102,4,FALSE)+VLOOKUP($A58,main!$A$3:$H$102,4,FALSE)+(VLOOKUP(VLOOKUP(CA$1,main!$A$3:$H$102,8,FALSE),main!$K$19:$O$22,MATCH(VLOOKUP($A58,main!$A$3:$H$102,7,FALSE),main!$K$18:$O$18,0),0))),0)</f>
        <v>0</v>
      </c>
      <c r="CB58">
        <f>IF((gamma!CB58),IF(VLOOKUP(CB$1,main!$A$3:$H$102,7,FALSE)=VLOOKUP($A58,main!$A$3:$H$102,8,FALSE),VLOOKUP(CB$1,main!$A$3:$H$102,4,FALSE),VLOOKUP(CB$1,main!$A$3:$H$102,4,FALSE)+VLOOKUP($A58,main!$A$3:$H$102,4,FALSE)+(VLOOKUP(VLOOKUP(CB$1,main!$A$3:$H$102,8,FALSE),main!$K$19:$O$22,MATCH(VLOOKUP($A58,main!$A$3:$H$102,7,FALSE),main!$K$18:$O$18,0),0))),0)</f>
        <v>218</v>
      </c>
      <c r="CC58">
        <f>IF((gamma!CC58),IF(VLOOKUP(CC$1,main!$A$3:$H$102,7,FALSE)=VLOOKUP($A58,main!$A$3:$H$102,8,FALSE),VLOOKUP(CC$1,main!$A$3:$H$102,4,FALSE),VLOOKUP(CC$1,main!$A$3:$H$102,4,FALSE)+VLOOKUP($A58,main!$A$3:$H$102,4,FALSE)+(VLOOKUP(VLOOKUP(CC$1,main!$A$3:$H$102,8,FALSE),main!$K$19:$O$22,MATCH(VLOOKUP($A58,main!$A$3:$H$102,7,FALSE),main!$K$18:$O$18,0),0))),0)</f>
        <v>208</v>
      </c>
      <c r="CD58">
        <f>IF((gamma!CD58),IF(VLOOKUP(CD$1,main!$A$3:$H$102,7,FALSE)=VLOOKUP($A58,main!$A$3:$H$102,8,FALSE),VLOOKUP(CD$1,main!$A$3:$H$102,4,FALSE),VLOOKUP(CD$1,main!$A$3:$H$102,4,FALSE)+VLOOKUP($A58,main!$A$3:$H$102,4,FALSE)+(VLOOKUP(VLOOKUP(CD$1,main!$A$3:$H$102,8,FALSE),main!$K$19:$O$22,MATCH(VLOOKUP($A58,main!$A$3:$H$102,7,FALSE),main!$K$18:$O$18,0),0))),0)</f>
        <v>267</v>
      </c>
      <c r="CE58">
        <f>IF((gamma!CE58),IF(VLOOKUP(CE$1,main!$A$3:$H$102,7,FALSE)=VLOOKUP($A58,main!$A$3:$H$102,8,FALSE),VLOOKUP(CE$1,main!$A$3:$H$102,4,FALSE),VLOOKUP(CE$1,main!$A$3:$H$102,4,FALSE)+VLOOKUP($A58,main!$A$3:$H$102,4,FALSE)+(VLOOKUP(VLOOKUP(CE$1,main!$A$3:$H$102,8,FALSE),main!$K$19:$O$22,MATCH(VLOOKUP($A58,main!$A$3:$H$102,7,FALSE),main!$K$18:$O$18,0),0))),0)</f>
        <v>0</v>
      </c>
      <c r="CF58">
        <f>IF((gamma!CF58),IF(VLOOKUP(CF$1,main!$A$3:$H$102,7,FALSE)=VLOOKUP($A58,main!$A$3:$H$102,8,FALSE),VLOOKUP(CF$1,main!$A$3:$H$102,4,FALSE),VLOOKUP(CF$1,main!$A$3:$H$102,4,FALSE)+VLOOKUP($A58,main!$A$3:$H$102,4,FALSE)+(VLOOKUP(VLOOKUP(CF$1,main!$A$3:$H$102,8,FALSE),main!$K$19:$O$22,MATCH(VLOOKUP($A58,main!$A$3:$H$102,7,FALSE),main!$K$18:$O$18,0),0))),0)</f>
        <v>285</v>
      </c>
      <c r="CG58">
        <f>IF((gamma!CG58),IF(VLOOKUP(CG$1,main!$A$3:$H$102,7,FALSE)=VLOOKUP($A58,main!$A$3:$H$102,8,FALSE),VLOOKUP(CG$1,main!$A$3:$H$102,4,FALSE),VLOOKUP(CG$1,main!$A$3:$H$102,4,FALSE)+VLOOKUP($A58,main!$A$3:$H$102,4,FALSE)+(VLOOKUP(VLOOKUP(CG$1,main!$A$3:$H$102,8,FALSE),main!$K$19:$O$22,MATCH(VLOOKUP($A58,main!$A$3:$H$102,7,FALSE),main!$K$18:$O$18,0),0))),0)</f>
        <v>290</v>
      </c>
      <c r="CH58">
        <f>IF((gamma!CH58),IF(VLOOKUP(CH$1,main!$A$3:$H$102,7,FALSE)=VLOOKUP($A58,main!$A$3:$H$102,8,FALSE),VLOOKUP(CH$1,main!$A$3:$H$102,4,FALSE),VLOOKUP(CH$1,main!$A$3:$H$102,4,FALSE)+VLOOKUP($A58,main!$A$3:$H$102,4,FALSE)+(VLOOKUP(VLOOKUP(CH$1,main!$A$3:$H$102,8,FALSE),main!$K$19:$O$22,MATCH(VLOOKUP($A58,main!$A$3:$H$102,7,FALSE),main!$K$18:$O$18,0),0))),0)</f>
        <v>290</v>
      </c>
      <c r="CI58">
        <f>IF((gamma!CI58),IF(VLOOKUP(CI$1,main!$A$3:$H$102,7,FALSE)=VLOOKUP($A58,main!$A$3:$H$102,8,FALSE),VLOOKUP(CI$1,main!$A$3:$H$102,4,FALSE),VLOOKUP(CI$1,main!$A$3:$H$102,4,FALSE)+VLOOKUP($A58,main!$A$3:$H$102,4,FALSE)+(VLOOKUP(VLOOKUP(CI$1,main!$A$3:$H$102,8,FALSE),main!$K$19:$O$22,MATCH(VLOOKUP($A58,main!$A$3:$H$102,7,FALSE),main!$K$18:$O$18,0),0))),0)</f>
        <v>290</v>
      </c>
      <c r="CJ58">
        <f>IF((gamma!CJ58),IF(VLOOKUP(CJ$1,main!$A$3:$H$102,7,FALSE)=VLOOKUP($A58,main!$A$3:$H$102,8,FALSE),VLOOKUP(CJ$1,main!$A$3:$H$102,4,FALSE),VLOOKUP(CJ$1,main!$A$3:$H$102,4,FALSE)+VLOOKUP($A58,main!$A$3:$H$102,4,FALSE)+(VLOOKUP(VLOOKUP(CJ$1,main!$A$3:$H$102,8,FALSE),main!$K$19:$O$22,MATCH(VLOOKUP($A58,main!$A$3:$H$102,7,FALSE),main!$K$18:$O$18,0),0))),0)</f>
        <v>218</v>
      </c>
      <c r="CK58">
        <f>IF((gamma!CK58),IF(VLOOKUP(CK$1,main!$A$3:$H$102,7,FALSE)=VLOOKUP($A58,main!$A$3:$H$102,8,FALSE),VLOOKUP(CK$1,main!$A$3:$H$102,4,FALSE),VLOOKUP(CK$1,main!$A$3:$H$102,4,FALSE)+VLOOKUP($A58,main!$A$3:$H$102,4,FALSE)+(VLOOKUP(VLOOKUP(CK$1,main!$A$3:$H$102,8,FALSE),main!$K$19:$O$22,MATCH(VLOOKUP($A58,main!$A$3:$H$102,7,FALSE),main!$K$18:$O$18,0),0))),0)</f>
        <v>0</v>
      </c>
      <c r="CL58">
        <f>IF((gamma!CL58),IF(VLOOKUP(CL$1,main!$A$3:$H$102,7,FALSE)=VLOOKUP($A58,main!$A$3:$H$102,8,FALSE),VLOOKUP(CL$1,main!$A$3:$H$102,4,FALSE),VLOOKUP(CL$1,main!$A$3:$H$102,4,FALSE)+VLOOKUP($A58,main!$A$3:$H$102,4,FALSE)+(VLOOKUP(VLOOKUP(CL$1,main!$A$3:$H$102,8,FALSE),main!$K$19:$O$22,MATCH(VLOOKUP($A58,main!$A$3:$H$102,7,FALSE),main!$K$18:$O$18,0),0))),0)</f>
        <v>230</v>
      </c>
      <c r="CM58">
        <f>IF((gamma!CM58),IF(VLOOKUP(CM$1,main!$A$3:$H$102,7,FALSE)=VLOOKUP($A58,main!$A$3:$H$102,8,FALSE),VLOOKUP(CM$1,main!$A$3:$H$102,4,FALSE),VLOOKUP(CM$1,main!$A$3:$H$102,4,FALSE)+VLOOKUP($A58,main!$A$3:$H$102,4,FALSE)+(VLOOKUP(VLOOKUP(CM$1,main!$A$3:$H$102,8,FALSE),main!$K$19:$O$22,MATCH(VLOOKUP($A58,main!$A$3:$H$102,7,FALSE),main!$K$18:$O$18,0),0))),0)</f>
        <v>250</v>
      </c>
      <c r="CN58">
        <f>IF((gamma!CN58),IF(VLOOKUP(CN$1,main!$A$3:$H$102,7,FALSE)=VLOOKUP($A58,main!$A$3:$H$102,8,FALSE),VLOOKUP(CN$1,main!$A$3:$H$102,4,FALSE),VLOOKUP(CN$1,main!$A$3:$H$102,4,FALSE)+VLOOKUP($A58,main!$A$3:$H$102,4,FALSE)+(VLOOKUP(VLOOKUP(CN$1,main!$A$3:$H$102,8,FALSE),main!$K$19:$O$22,MATCH(VLOOKUP($A58,main!$A$3:$H$102,7,FALSE),main!$K$18:$O$18,0),0))),0)</f>
        <v>246</v>
      </c>
      <c r="CO58">
        <f>IF((gamma!CO58),IF(VLOOKUP(CO$1,main!$A$3:$H$102,7,FALSE)=VLOOKUP($A58,main!$A$3:$H$102,8,FALSE),VLOOKUP(CO$1,main!$A$3:$H$102,4,FALSE),VLOOKUP(CO$1,main!$A$3:$H$102,4,FALSE)+VLOOKUP($A58,main!$A$3:$H$102,4,FALSE)+(VLOOKUP(VLOOKUP(CO$1,main!$A$3:$H$102,8,FALSE),main!$K$19:$O$22,MATCH(VLOOKUP($A58,main!$A$3:$H$102,7,FALSE),main!$K$18:$O$18,0),0))),0)</f>
        <v>0</v>
      </c>
      <c r="CP58">
        <f>IF((gamma!CP58),IF(VLOOKUP(CP$1,main!$A$3:$H$102,7,FALSE)=VLOOKUP($A58,main!$A$3:$H$102,8,FALSE),VLOOKUP(CP$1,main!$A$3:$H$102,4,FALSE),VLOOKUP(CP$1,main!$A$3:$H$102,4,FALSE)+VLOOKUP($A58,main!$A$3:$H$102,4,FALSE)+(VLOOKUP(VLOOKUP(CP$1,main!$A$3:$H$102,8,FALSE),main!$K$19:$O$22,MATCH(VLOOKUP($A58,main!$A$3:$H$102,7,FALSE),main!$K$18:$O$18,0),0))),0)</f>
        <v>240</v>
      </c>
      <c r="CQ58">
        <f>IF((gamma!CQ58),IF(VLOOKUP(CQ$1,main!$A$3:$H$102,7,FALSE)=VLOOKUP($A58,main!$A$3:$H$102,8,FALSE),VLOOKUP(CQ$1,main!$A$3:$H$102,4,FALSE),VLOOKUP(CQ$1,main!$A$3:$H$102,4,FALSE)+VLOOKUP($A58,main!$A$3:$H$102,4,FALSE)+(VLOOKUP(VLOOKUP(CQ$1,main!$A$3:$H$102,8,FALSE),main!$K$19:$O$22,MATCH(VLOOKUP($A58,main!$A$3:$H$102,7,FALSE),main!$K$18:$O$18,0),0))),0)</f>
        <v>240</v>
      </c>
      <c r="CR58">
        <f>IF((gamma!CR58),IF(VLOOKUP(CR$1,main!$A$3:$H$102,7,FALSE)=VLOOKUP($A58,main!$A$3:$H$102,8,FALSE),VLOOKUP(CR$1,main!$A$3:$H$102,4,FALSE),VLOOKUP(CR$1,main!$A$3:$H$102,4,FALSE)+VLOOKUP($A58,main!$A$3:$H$102,4,FALSE)+(VLOOKUP(VLOOKUP(CR$1,main!$A$3:$H$102,8,FALSE),main!$K$19:$O$22,MATCH(VLOOKUP($A58,main!$A$3:$H$102,7,FALSE),main!$K$18:$O$18,0),0))),0)</f>
        <v>255</v>
      </c>
      <c r="CS58">
        <f>IF((gamma!CS58),IF(VLOOKUP(CS$1,main!$A$3:$H$102,7,FALSE)=VLOOKUP($A58,main!$A$3:$H$102,8,FALSE),VLOOKUP(CS$1,main!$A$3:$H$102,4,FALSE),VLOOKUP(CS$1,main!$A$3:$H$102,4,FALSE)+VLOOKUP($A58,main!$A$3:$H$102,4,FALSE)+(VLOOKUP(VLOOKUP(CS$1,main!$A$3:$H$102,8,FALSE),main!$K$19:$O$22,MATCH(VLOOKUP($A58,main!$A$3:$H$102,7,FALSE),main!$K$18:$O$18,0),0))),0)</f>
        <v>255</v>
      </c>
      <c r="CT58">
        <f>IF((gamma!CT58),IF(VLOOKUP(CT$1,main!$A$3:$H$102,7,FALSE)=VLOOKUP($A58,main!$A$3:$H$102,8,FALSE),VLOOKUP(CT$1,main!$A$3:$H$102,4,FALSE),VLOOKUP(CT$1,main!$A$3:$H$102,4,FALSE)+VLOOKUP($A58,main!$A$3:$H$102,4,FALSE)+(VLOOKUP(VLOOKUP(CT$1,main!$A$3:$H$102,8,FALSE),main!$K$19:$O$22,MATCH(VLOOKUP($A58,main!$A$3:$H$102,7,FALSE),main!$K$18:$O$18,0),0))),0)</f>
        <v>0</v>
      </c>
      <c r="CU58">
        <f>IF((gamma!CU58),IF(VLOOKUP(CU$1,main!$A$3:$H$102,7,FALSE)=VLOOKUP($A58,main!$A$3:$H$102,8,FALSE),VLOOKUP(CU$1,main!$A$3:$H$102,4,FALSE),VLOOKUP(CU$1,main!$A$3:$H$102,4,FALSE)+VLOOKUP($A58,main!$A$3:$H$102,4,FALSE)+(VLOOKUP(VLOOKUP(CU$1,main!$A$3:$H$102,8,FALSE),main!$K$19:$O$22,MATCH(VLOOKUP($A58,main!$A$3:$H$102,7,FALSE),main!$K$18:$O$18,0),0))),0)</f>
        <v>0</v>
      </c>
      <c r="CV58">
        <f>IF((gamma!CV58),IF(VLOOKUP(CV$1,main!$A$3:$H$102,7,FALSE)=VLOOKUP($A58,main!$A$3:$H$102,8,FALSE),VLOOKUP(CV$1,main!$A$3:$H$102,4,FALSE),VLOOKUP(CV$1,main!$A$3:$H$102,4,FALSE)+VLOOKUP($A58,main!$A$3:$H$102,4,FALSE)+(VLOOKUP(VLOOKUP(CV$1,main!$A$3:$H$102,8,FALSE),main!$K$19:$O$22,MATCH(VLOOKUP($A58,main!$A$3:$H$102,7,FALSE),main!$K$18:$O$18,0),0))),0)</f>
        <v>200</v>
      </c>
      <c r="CW58">
        <f>IF((gamma!CW58),IF(VLOOKUP(CW$1,main!$A$3:$H$102,7,FALSE)=VLOOKUP($A58,main!$A$3:$H$102,8,FALSE),VLOOKUP(CW$1,main!$A$3:$H$102,4,FALSE),VLOOKUP(CW$1,main!$A$3:$H$102,4,FALSE)+VLOOKUP($A58,main!$A$3:$H$102,4,FALSE)+(VLOOKUP(VLOOKUP(CW$1,main!$A$3:$H$102,8,FALSE),main!$K$19:$O$22,MATCH(VLOOKUP($A58,main!$A$3:$H$102,7,FALSE),main!$K$18:$O$18,0),0))),0)</f>
        <v>215</v>
      </c>
      <c r="CX58">
        <f>IF((gamma!CX58),IF(VLOOKUP(CX$1,main!$A$3:$H$102,7,FALSE)=VLOOKUP($A58,main!$A$3:$H$102,8,FALSE),VLOOKUP(CX$1,main!$A$3:$H$102,4,FALSE),VLOOKUP(CX$1,main!$A$3:$H$102,4,FALSE)+VLOOKUP($A58,main!$A$3:$H$102,4,FALSE)+(VLOOKUP(VLOOKUP(CX$1,main!$A$3:$H$102,8,FALSE),main!$K$19:$O$22,MATCH(VLOOKUP($A58,main!$A$3:$H$102,7,FALSE),main!$K$18:$O$18,0),0))),0)</f>
        <v>205</v>
      </c>
      <c r="CY58">
        <v>0</v>
      </c>
      <c r="CZ58">
        <v>0</v>
      </c>
      <c r="DA58">
        <v>0</v>
      </c>
    </row>
    <row r="59" spans="1:105" x14ac:dyDescent="0.25">
      <c r="A59" s="1">
        <v>57</v>
      </c>
      <c r="B59">
        <v>0</v>
      </c>
      <c r="C59">
        <f>IF((gamma!C59),IF(VLOOKUP(C$1,main!$A$3:$H$102,7,FALSE)=VLOOKUP($A59,main!$A$3:$H$102,8,FALSE),VLOOKUP(C$1,main!$A$3:$H$102,4,FALSE),VLOOKUP(C$1,main!$A$3:$H$102,4,FALSE)+VLOOKUP($A59,main!$A$3:$H$102,4,FALSE)+(VLOOKUP(VLOOKUP(C$1,main!$A$3:$H$102,8,FALSE),main!$K$19:$O$22,MATCH(VLOOKUP($A59,main!$A$3:$H$102,7,FALSE),main!$K$18:$O$18,0),0))),0)</f>
        <v>0</v>
      </c>
      <c r="D59">
        <f>IF((gamma!D59),IF(VLOOKUP(D$1,main!$A$3:$H$102,7,FALSE)=VLOOKUP($A59,main!$A$3:$H$102,8,FALSE),VLOOKUP(D$1,main!$A$3:$H$102,4,FALSE),VLOOKUP(D$1,main!$A$3:$H$102,4,FALSE)+VLOOKUP($A59,main!$A$3:$H$102,4,FALSE)+(VLOOKUP(VLOOKUP(D$1,main!$A$3:$H$102,8,FALSE),main!$K$19:$O$22,MATCH(VLOOKUP($A59,main!$A$3:$H$102,7,FALSE),main!$K$18:$O$18,0),0))),0)</f>
        <v>0</v>
      </c>
      <c r="E59">
        <f>IF((gamma!E59),IF(VLOOKUP(E$1,main!$A$3:$H$102,7,FALSE)=VLOOKUP($A59,main!$A$3:$H$102,8,FALSE),VLOOKUP(E$1,main!$A$3:$H$102,4,FALSE),VLOOKUP(E$1,main!$A$3:$H$102,4,FALSE)+VLOOKUP($A59,main!$A$3:$H$102,4,FALSE)+(VLOOKUP(VLOOKUP(E$1,main!$A$3:$H$102,8,FALSE),main!$K$19:$O$22,MATCH(VLOOKUP($A59,main!$A$3:$H$102,7,FALSE),main!$K$18:$O$18,0),0))),0)</f>
        <v>0</v>
      </c>
      <c r="F59">
        <f>IF((gamma!F59),IF(VLOOKUP(F$1,main!$A$3:$H$102,7,FALSE)=VLOOKUP($A59,main!$A$3:$H$102,8,FALSE),VLOOKUP(F$1,main!$A$3:$H$102,4,FALSE),VLOOKUP(F$1,main!$A$3:$H$102,4,FALSE)+VLOOKUP($A59,main!$A$3:$H$102,4,FALSE)+(VLOOKUP(VLOOKUP(F$1,main!$A$3:$H$102,8,FALSE),main!$K$19:$O$22,MATCH(VLOOKUP($A59,main!$A$3:$H$102,7,FALSE),main!$K$18:$O$18,0),0))),0)</f>
        <v>0</v>
      </c>
      <c r="G59">
        <f>IF((gamma!G59),IF(VLOOKUP(G$1,main!$A$3:$H$102,7,FALSE)=VLOOKUP($A59,main!$A$3:$H$102,8,FALSE),VLOOKUP(G$1,main!$A$3:$H$102,4,FALSE),VLOOKUP(G$1,main!$A$3:$H$102,4,FALSE)+VLOOKUP($A59,main!$A$3:$H$102,4,FALSE)+(VLOOKUP(VLOOKUP(G$1,main!$A$3:$H$102,8,FALSE),main!$K$19:$O$22,MATCH(VLOOKUP($A59,main!$A$3:$H$102,7,FALSE),main!$K$18:$O$18,0),0))),0)</f>
        <v>135</v>
      </c>
      <c r="H59">
        <f>IF((gamma!H59),IF(VLOOKUP(H$1,main!$A$3:$H$102,7,FALSE)=VLOOKUP($A59,main!$A$3:$H$102,8,FALSE),VLOOKUP(H$1,main!$A$3:$H$102,4,FALSE),VLOOKUP(H$1,main!$A$3:$H$102,4,FALSE)+VLOOKUP($A59,main!$A$3:$H$102,4,FALSE)+(VLOOKUP(VLOOKUP(H$1,main!$A$3:$H$102,8,FALSE),main!$K$19:$O$22,MATCH(VLOOKUP($A59,main!$A$3:$H$102,7,FALSE),main!$K$18:$O$18,0),0))),0)</f>
        <v>135</v>
      </c>
      <c r="I59">
        <f>IF((gamma!I59),IF(VLOOKUP(I$1,main!$A$3:$H$102,7,FALSE)=VLOOKUP($A59,main!$A$3:$H$102,8,FALSE),VLOOKUP(I$1,main!$A$3:$H$102,4,FALSE),VLOOKUP(I$1,main!$A$3:$H$102,4,FALSE)+VLOOKUP($A59,main!$A$3:$H$102,4,FALSE)+(VLOOKUP(VLOOKUP(I$1,main!$A$3:$H$102,8,FALSE),main!$K$19:$O$22,MATCH(VLOOKUP($A59,main!$A$3:$H$102,7,FALSE),main!$K$18:$O$18,0),0))),0)</f>
        <v>135</v>
      </c>
      <c r="J59">
        <f>IF((gamma!J59),IF(VLOOKUP(J$1,main!$A$3:$H$102,7,FALSE)=VLOOKUP($A59,main!$A$3:$H$102,8,FALSE),VLOOKUP(J$1,main!$A$3:$H$102,4,FALSE),VLOOKUP(J$1,main!$A$3:$H$102,4,FALSE)+VLOOKUP($A59,main!$A$3:$H$102,4,FALSE)+(VLOOKUP(VLOOKUP(J$1,main!$A$3:$H$102,8,FALSE),main!$K$19:$O$22,MATCH(VLOOKUP($A59,main!$A$3:$H$102,7,FALSE),main!$K$18:$O$18,0),0))),0)</f>
        <v>135</v>
      </c>
      <c r="K59">
        <f>IF((gamma!K59),IF(VLOOKUP(K$1,main!$A$3:$H$102,7,FALSE)=VLOOKUP($A59,main!$A$3:$H$102,8,FALSE),VLOOKUP(K$1,main!$A$3:$H$102,4,FALSE),VLOOKUP(K$1,main!$A$3:$H$102,4,FALSE)+VLOOKUP($A59,main!$A$3:$H$102,4,FALSE)+(VLOOKUP(VLOOKUP(K$1,main!$A$3:$H$102,8,FALSE),main!$K$19:$O$22,MATCH(VLOOKUP($A59,main!$A$3:$H$102,7,FALSE),main!$K$18:$O$18,0),0))),0)</f>
        <v>135</v>
      </c>
      <c r="L59">
        <f>IF((gamma!L59),IF(VLOOKUP(L$1,main!$A$3:$H$102,7,FALSE)=VLOOKUP($A59,main!$A$3:$H$102,8,FALSE),VLOOKUP(L$1,main!$A$3:$H$102,4,FALSE),VLOOKUP(L$1,main!$A$3:$H$102,4,FALSE)+VLOOKUP($A59,main!$A$3:$H$102,4,FALSE)+(VLOOKUP(VLOOKUP(L$1,main!$A$3:$H$102,8,FALSE),main!$K$19:$O$22,MATCH(VLOOKUP($A59,main!$A$3:$H$102,7,FALSE),main!$K$18:$O$18,0),0))),0)</f>
        <v>135</v>
      </c>
      <c r="M59">
        <f>IF((gamma!M59),IF(VLOOKUP(M$1,main!$A$3:$H$102,7,FALSE)=VLOOKUP($A59,main!$A$3:$H$102,8,FALSE),VLOOKUP(M$1,main!$A$3:$H$102,4,FALSE),VLOOKUP(M$1,main!$A$3:$H$102,4,FALSE)+VLOOKUP($A59,main!$A$3:$H$102,4,FALSE)+(VLOOKUP(VLOOKUP(M$1,main!$A$3:$H$102,8,FALSE),main!$K$19:$O$22,MATCH(VLOOKUP($A59,main!$A$3:$H$102,7,FALSE),main!$K$18:$O$18,0),0))),0)</f>
        <v>0</v>
      </c>
      <c r="N59">
        <f>IF((gamma!N59),IF(VLOOKUP(N$1,main!$A$3:$H$102,7,FALSE)=VLOOKUP($A59,main!$A$3:$H$102,8,FALSE),VLOOKUP(N$1,main!$A$3:$H$102,4,FALSE),VLOOKUP(N$1,main!$A$3:$H$102,4,FALSE)+VLOOKUP($A59,main!$A$3:$H$102,4,FALSE)+(VLOOKUP(VLOOKUP(N$1,main!$A$3:$H$102,8,FALSE),main!$K$19:$O$22,MATCH(VLOOKUP($A59,main!$A$3:$H$102,7,FALSE),main!$K$18:$O$18,0),0))),0)</f>
        <v>0</v>
      </c>
      <c r="O59">
        <f>IF((gamma!O59),IF(VLOOKUP(O$1,main!$A$3:$H$102,7,FALSE)=VLOOKUP($A59,main!$A$3:$H$102,8,FALSE),VLOOKUP(O$1,main!$A$3:$H$102,4,FALSE),VLOOKUP(O$1,main!$A$3:$H$102,4,FALSE)+VLOOKUP($A59,main!$A$3:$H$102,4,FALSE)+(VLOOKUP(VLOOKUP(O$1,main!$A$3:$H$102,8,FALSE),main!$K$19:$O$22,MATCH(VLOOKUP($A59,main!$A$3:$H$102,7,FALSE),main!$K$18:$O$18,0),0))),0)</f>
        <v>0</v>
      </c>
      <c r="P59">
        <f>IF((gamma!P59),IF(VLOOKUP(P$1,main!$A$3:$H$102,7,FALSE)=VLOOKUP($A59,main!$A$3:$H$102,8,FALSE),VLOOKUP(P$1,main!$A$3:$H$102,4,FALSE),VLOOKUP(P$1,main!$A$3:$H$102,4,FALSE)+VLOOKUP($A59,main!$A$3:$H$102,4,FALSE)+(VLOOKUP(VLOOKUP(P$1,main!$A$3:$H$102,8,FALSE),main!$K$19:$O$22,MATCH(VLOOKUP($A59,main!$A$3:$H$102,7,FALSE),main!$K$18:$O$18,0),0))),0)</f>
        <v>0</v>
      </c>
      <c r="Q59">
        <f>IF((gamma!Q59),IF(VLOOKUP(Q$1,main!$A$3:$H$102,7,FALSE)=VLOOKUP($A59,main!$A$3:$H$102,8,FALSE),VLOOKUP(Q$1,main!$A$3:$H$102,4,FALSE),VLOOKUP(Q$1,main!$A$3:$H$102,4,FALSE)+VLOOKUP($A59,main!$A$3:$H$102,4,FALSE)+(VLOOKUP(VLOOKUP(Q$1,main!$A$3:$H$102,8,FALSE),main!$K$19:$O$22,MATCH(VLOOKUP($A59,main!$A$3:$H$102,7,FALSE),main!$K$18:$O$18,0),0))),0)</f>
        <v>0</v>
      </c>
      <c r="R59">
        <f>IF((gamma!R59),IF(VLOOKUP(R$1,main!$A$3:$H$102,7,FALSE)=VLOOKUP($A59,main!$A$3:$H$102,8,FALSE),VLOOKUP(R$1,main!$A$3:$H$102,4,FALSE),VLOOKUP(R$1,main!$A$3:$H$102,4,FALSE)+VLOOKUP($A59,main!$A$3:$H$102,4,FALSE)+(VLOOKUP(VLOOKUP(R$1,main!$A$3:$H$102,8,FALSE),main!$K$19:$O$22,MATCH(VLOOKUP($A59,main!$A$3:$H$102,7,FALSE),main!$K$18:$O$18,0),0))),0)</f>
        <v>140</v>
      </c>
      <c r="S59">
        <f>IF((gamma!S59),IF(VLOOKUP(S$1,main!$A$3:$H$102,7,FALSE)=VLOOKUP($A59,main!$A$3:$H$102,8,FALSE),VLOOKUP(S$1,main!$A$3:$H$102,4,FALSE),VLOOKUP(S$1,main!$A$3:$H$102,4,FALSE)+VLOOKUP($A59,main!$A$3:$H$102,4,FALSE)+(VLOOKUP(VLOOKUP(S$1,main!$A$3:$H$102,8,FALSE),main!$K$19:$O$22,MATCH(VLOOKUP($A59,main!$A$3:$H$102,7,FALSE),main!$K$18:$O$18,0),0))),0)</f>
        <v>140</v>
      </c>
      <c r="T59">
        <f>IF((gamma!T59),IF(VLOOKUP(T$1,main!$A$3:$H$102,7,FALSE)=VLOOKUP($A59,main!$A$3:$H$102,8,FALSE),VLOOKUP(T$1,main!$A$3:$H$102,4,FALSE),VLOOKUP(T$1,main!$A$3:$H$102,4,FALSE)+VLOOKUP($A59,main!$A$3:$H$102,4,FALSE)+(VLOOKUP(VLOOKUP(T$1,main!$A$3:$H$102,8,FALSE),main!$K$19:$O$22,MATCH(VLOOKUP($A59,main!$A$3:$H$102,7,FALSE),main!$K$18:$O$18,0),0))),0)</f>
        <v>140</v>
      </c>
      <c r="U59">
        <f>IF((gamma!U59),IF(VLOOKUP(U$1,main!$A$3:$H$102,7,FALSE)=VLOOKUP($A59,main!$A$3:$H$102,8,FALSE),VLOOKUP(U$1,main!$A$3:$H$102,4,FALSE),VLOOKUP(U$1,main!$A$3:$H$102,4,FALSE)+VLOOKUP($A59,main!$A$3:$H$102,4,FALSE)+(VLOOKUP(VLOOKUP(U$1,main!$A$3:$H$102,8,FALSE),main!$K$19:$O$22,MATCH(VLOOKUP($A59,main!$A$3:$H$102,7,FALSE),main!$K$18:$O$18,0),0))),0)</f>
        <v>140</v>
      </c>
      <c r="V59">
        <f>IF((gamma!V59),IF(VLOOKUP(V$1,main!$A$3:$H$102,7,FALSE)=VLOOKUP($A59,main!$A$3:$H$102,8,FALSE),VLOOKUP(V$1,main!$A$3:$H$102,4,FALSE),VLOOKUP(V$1,main!$A$3:$H$102,4,FALSE)+VLOOKUP($A59,main!$A$3:$H$102,4,FALSE)+(VLOOKUP(VLOOKUP(V$1,main!$A$3:$H$102,8,FALSE),main!$K$19:$O$22,MATCH(VLOOKUP($A59,main!$A$3:$H$102,7,FALSE),main!$K$18:$O$18,0),0))),0)</f>
        <v>140</v>
      </c>
      <c r="W59">
        <f>IF((gamma!W59),IF(VLOOKUP(W$1,main!$A$3:$H$102,7,FALSE)=VLOOKUP($A59,main!$A$3:$H$102,8,FALSE),VLOOKUP(W$1,main!$A$3:$H$102,4,FALSE),VLOOKUP(W$1,main!$A$3:$H$102,4,FALSE)+VLOOKUP($A59,main!$A$3:$H$102,4,FALSE)+(VLOOKUP(VLOOKUP(W$1,main!$A$3:$H$102,8,FALSE),main!$K$19:$O$22,MATCH(VLOOKUP($A59,main!$A$3:$H$102,7,FALSE),main!$K$18:$O$18,0),0))),0)</f>
        <v>0</v>
      </c>
      <c r="X59">
        <f>IF((gamma!X59),IF(VLOOKUP(X$1,main!$A$3:$H$102,7,FALSE)=VLOOKUP($A59,main!$A$3:$H$102,8,FALSE),VLOOKUP(X$1,main!$A$3:$H$102,4,FALSE),VLOOKUP(X$1,main!$A$3:$H$102,4,FALSE)+VLOOKUP($A59,main!$A$3:$H$102,4,FALSE)+(VLOOKUP(VLOOKUP(X$1,main!$A$3:$H$102,8,FALSE),main!$K$19:$O$22,MATCH(VLOOKUP($A59,main!$A$3:$H$102,7,FALSE),main!$K$18:$O$18,0),0))),0)</f>
        <v>0</v>
      </c>
      <c r="Y59">
        <f>IF((gamma!Y59),IF(VLOOKUP(Y$1,main!$A$3:$H$102,7,FALSE)=VLOOKUP($A59,main!$A$3:$H$102,8,FALSE),VLOOKUP(Y$1,main!$A$3:$H$102,4,FALSE),VLOOKUP(Y$1,main!$A$3:$H$102,4,FALSE)+VLOOKUP($A59,main!$A$3:$H$102,4,FALSE)+(VLOOKUP(VLOOKUP(Y$1,main!$A$3:$H$102,8,FALSE),main!$K$19:$O$22,MATCH(VLOOKUP($A59,main!$A$3:$H$102,7,FALSE),main!$K$18:$O$18,0),0))),0)</f>
        <v>135</v>
      </c>
      <c r="Z59">
        <f>IF((gamma!Z59),IF(VLOOKUP(Z$1,main!$A$3:$H$102,7,FALSE)=VLOOKUP($A59,main!$A$3:$H$102,8,FALSE),VLOOKUP(Z$1,main!$A$3:$H$102,4,FALSE),VLOOKUP(Z$1,main!$A$3:$H$102,4,FALSE)+VLOOKUP($A59,main!$A$3:$H$102,4,FALSE)+(VLOOKUP(VLOOKUP(Z$1,main!$A$3:$H$102,8,FALSE),main!$K$19:$O$22,MATCH(VLOOKUP($A59,main!$A$3:$H$102,7,FALSE),main!$K$18:$O$18,0),0))),0)</f>
        <v>140</v>
      </c>
      <c r="AA59">
        <f>IF((gamma!AA59),IF(VLOOKUP(AA$1,main!$A$3:$H$102,7,FALSE)=VLOOKUP($A59,main!$A$3:$H$102,8,FALSE),VLOOKUP(AA$1,main!$A$3:$H$102,4,FALSE),VLOOKUP(AA$1,main!$A$3:$H$102,4,FALSE)+VLOOKUP($A59,main!$A$3:$H$102,4,FALSE)+(VLOOKUP(VLOOKUP(AA$1,main!$A$3:$H$102,8,FALSE),main!$K$19:$O$22,MATCH(VLOOKUP($A59,main!$A$3:$H$102,7,FALSE),main!$K$18:$O$18,0),0))),0)</f>
        <v>140</v>
      </c>
      <c r="AB59">
        <f>IF((gamma!AB59),IF(VLOOKUP(AB$1,main!$A$3:$H$102,7,FALSE)=VLOOKUP($A59,main!$A$3:$H$102,8,FALSE),VLOOKUP(AB$1,main!$A$3:$H$102,4,FALSE),VLOOKUP(AB$1,main!$A$3:$H$102,4,FALSE)+VLOOKUP($A59,main!$A$3:$H$102,4,FALSE)+(VLOOKUP(VLOOKUP(AB$1,main!$A$3:$H$102,8,FALSE),main!$K$19:$O$22,MATCH(VLOOKUP($A59,main!$A$3:$H$102,7,FALSE),main!$K$18:$O$18,0),0))),0)</f>
        <v>0</v>
      </c>
      <c r="AC59">
        <f>IF((gamma!AC59),IF(VLOOKUP(AC$1,main!$A$3:$H$102,7,FALSE)=VLOOKUP($A59,main!$A$3:$H$102,8,FALSE),VLOOKUP(AC$1,main!$A$3:$H$102,4,FALSE),VLOOKUP(AC$1,main!$A$3:$H$102,4,FALSE)+VLOOKUP($A59,main!$A$3:$H$102,4,FALSE)+(VLOOKUP(VLOOKUP(AC$1,main!$A$3:$H$102,8,FALSE),main!$K$19:$O$22,MATCH(VLOOKUP($A59,main!$A$3:$H$102,7,FALSE),main!$K$18:$O$18,0),0))),0)</f>
        <v>0</v>
      </c>
      <c r="AD59">
        <f>IF((gamma!AD59),IF(VLOOKUP(AD$1,main!$A$3:$H$102,7,FALSE)=VLOOKUP($A59,main!$A$3:$H$102,8,FALSE),VLOOKUP(AD$1,main!$A$3:$H$102,4,FALSE),VLOOKUP(AD$1,main!$A$3:$H$102,4,FALSE)+VLOOKUP($A59,main!$A$3:$H$102,4,FALSE)+(VLOOKUP(VLOOKUP(AD$1,main!$A$3:$H$102,8,FALSE),main!$K$19:$O$22,MATCH(VLOOKUP($A59,main!$A$3:$H$102,7,FALSE),main!$K$18:$O$18,0),0))),0)</f>
        <v>0</v>
      </c>
      <c r="AE59">
        <f>IF((gamma!AE59),IF(VLOOKUP(AE$1,main!$A$3:$H$102,7,FALSE)=VLOOKUP($A59,main!$A$3:$H$102,8,FALSE),VLOOKUP(AE$1,main!$A$3:$H$102,4,FALSE),VLOOKUP(AE$1,main!$A$3:$H$102,4,FALSE)+VLOOKUP($A59,main!$A$3:$H$102,4,FALSE)+(VLOOKUP(VLOOKUP(AE$1,main!$A$3:$H$102,8,FALSE),main!$K$19:$O$22,MATCH(VLOOKUP($A59,main!$A$3:$H$102,7,FALSE),main!$K$18:$O$18,0),0))),0)</f>
        <v>140</v>
      </c>
      <c r="AF59">
        <f>IF((gamma!AF59),IF(VLOOKUP(AF$1,main!$A$3:$H$102,7,FALSE)=VLOOKUP($A59,main!$A$3:$H$102,8,FALSE),VLOOKUP(AF$1,main!$A$3:$H$102,4,FALSE),VLOOKUP(AF$1,main!$A$3:$H$102,4,FALSE)+VLOOKUP($A59,main!$A$3:$H$102,4,FALSE)+(VLOOKUP(VLOOKUP(AF$1,main!$A$3:$H$102,8,FALSE),main!$K$19:$O$22,MATCH(VLOOKUP($A59,main!$A$3:$H$102,7,FALSE),main!$K$18:$O$18,0),0))),0)</f>
        <v>100</v>
      </c>
      <c r="AG59">
        <f>IF((gamma!AG59),IF(VLOOKUP(AG$1,main!$A$3:$H$102,7,FALSE)=VLOOKUP($A59,main!$A$3:$H$102,8,FALSE),VLOOKUP(AG$1,main!$A$3:$H$102,4,FALSE),VLOOKUP(AG$1,main!$A$3:$H$102,4,FALSE)+VLOOKUP($A59,main!$A$3:$H$102,4,FALSE)+(VLOOKUP(VLOOKUP(AG$1,main!$A$3:$H$102,8,FALSE),main!$K$19:$O$22,MATCH(VLOOKUP($A59,main!$A$3:$H$102,7,FALSE),main!$K$18:$O$18,0),0))),0)</f>
        <v>0</v>
      </c>
      <c r="AH59">
        <f>IF((gamma!AH59),IF(VLOOKUP(AH$1,main!$A$3:$H$102,7,FALSE)=VLOOKUP($A59,main!$A$3:$H$102,8,FALSE),VLOOKUP(AH$1,main!$A$3:$H$102,4,FALSE),VLOOKUP(AH$1,main!$A$3:$H$102,4,FALSE)+VLOOKUP($A59,main!$A$3:$H$102,4,FALSE)+(VLOOKUP(VLOOKUP(AH$1,main!$A$3:$H$102,8,FALSE),main!$K$19:$O$22,MATCH(VLOOKUP($A59,main!$A$3:$H$102,7,FALSE),main!$K$18:$O$18,0),0))),0)</f>
        <v>0</v>
      </c>
      <c r="AI59">
        <f>IF((gamma!AI59),IF(VLOOKUP(AI$1,main!$A$3:$H$102,7,FALSE)=VLOOKUP($A59,main!$A$3:$H$102,8,FALSE),VLOOKUP(AI$1,main!$A$3:$H$102,4,FALSE),VLOOKUP(AI$1,main!$A$3:$H$102,4,FALSE)+VLOOKUP($A59,main!$A$3:$H$102,4,FALSE)+(VLOOKUP(VLOOKUP(AI$1,main!$A$3:$H$102,8,FALSE),main!$K$19:$O$22,MATCH(VLOOKUP($A59,main!$A$3:$H$102,7,FALSE),main!$K$18:$O$18,0),0))),0)</f>
        <v>0</v>
      </c>
      <c r="AJ59">
        <f>IF((gamma!AJ59),IF(VLOOKUP(AJ$1,main!$A$3:$H$102,7,FALSE)=VLOOKUP($A59,main!$A$3:$H$102,8,FALSE),VLOOKUP(AJ$1,main!$A$3:$H$102,4,FALSE),VLOOKUP(AJ$1,main!$A$3:$H$102,4,FALSE)+VLOOKUP($A59,main!$A$3:$H$102,4,FALSE)+(VLOOKUP(VLOOKUP(AJ$1,main!$A$3:$H$102,8,FALSE),main!$K$19:$O$22,MATCH(VLOOKUP($A59,main!$A$3:$H$102,7,FALSE),main!$K$18:$O$18,0),0))),0)</f>
        <v>280</v>
      </c>
      <c r="AK59">
        <f>IF((gamma!AK59),IF(VLOOKUP(AK$1,main!$A$3:$H$102,7,FALSE)=VLOOKUP($A59,main!$A$3:$H$102,8,FALSE),VLOOKUP(AK$1,main!$A$3:$H$102,4,FALSE),VLOOKUP(AK$1,main!$A$3:$H$102,4,FALSE)+VLOOKUP($A59,main!$A$3:$H$102,4,FALSE)+(VLOOKUP(VLOOKUP(AK$1,main!$A$3:$H$102,8,FALSE),main!$K$19:$O$22,MATCH(VLOOKUP($A59,main!$A$3:$H$102,7,FALSE),main!$K$18:$O$18,0),0))),0)</f>
        <v>280</v>
      </c>
      <c r="AL59">
        <f>IF((gamma!AL59),IF(VLOOKUP(AL$1,main!$A$3:$H$102,7,FALSE)=VLOOKUP($A59,main!$A$3:$H$102,8,FALSE),VLOOKUP(AL$1,main!$A$3:$H$102,4,FALSE),VLOOKUP(AL$1,main!$A$3:$H$102,4,FALSE)+VLOOKUP($A59,main!$A$3:$H$102,4,FALSE)+(VLOOKUP(VLOOKUP(AL$1,main!$A$3:$H$102,8,FALSE),main!$K$19:$O$22,MATCH(VLOOKUP($A59,main!$A$3:$H$102,7,FALSE),main!$K$18:$O$18,0),0))),0)</f>
        <v>280</v>
      </c>
      <c r="AM59">
        <f>IF((gamma!AM59),IF(VLOOKUP(AM$1,main!$A$3:$H$102,7,FALSE)=VLOOKUP($A59,main!$A$3:$H$102,8,FALSE),VLOOKUP(AM$1,main!$A$3:$H$102,4,FALSE),VLOOKUP(AM$1,main!$A$3:$H$102,4,FALSE)+VLOOKUP($A59,main!$A$3:$H$102,4,FALSE)+(VLOOKUP(VLOOKUP(AM$1,main!$A$3:$H$102,8,FALSE),main!$K$19:$O$22,MATCH(VLOOKUP($A59,main!$A$3:$H$102,7,FALSE),main!$K$18:$O$18,0),0))),0)</f>
        <v>280</v>
      </c>
      <c r="AN59">
        <f>IF((gamma!AN59),IF(VLOOKUP(AN$1,main!$A$3:$H$102,7,FALSE)=VLOOKUP($A59,main!$A$3:$H$102,8,FALSE),VLOOKUP(AN$1,main!$A$3:$H$102,4,FALSE),VLOOKUP(AN$1,main!$A$3:$H$102,4,FALSE)+VLOOKUP($A59,main!$A$3:$H$102,4,FALSE)+(VLOOKUP(VLOOKUP(AN$1,main!$A$3:$H$102,8,FALSE),main!$K$19:$O$22,MATCH(VLOOKUP($A59,main!$A$3:$H$102,7,FALSE),main!$K$18:$O$18,0),0))),0)</f>
        <v>280</v>
      </c>
      <c r="AO59">
        <f>IF((gamma!AO59),IF(VLOOKUP(AO$1,main!$A$3:$H$102,7,FALSE)=VLOOKUP($A59,main!$A$3:$H$102,8,FALSE),VLOOKUP(AO$1,main!$A$3:$H$102,4,FALSE),VLOOKUP(AO$1,main!$A$3:$H$102,4,FALSE)+VLOOKUP($A59,main!$A$3:$H$102,4,FALSE)+(VLOOKUP(VLOOKUP(AO$1,main!$A$3:$H$102,8,FALSE),main!$K$19:$O$22,MATCH(VLOOKUP($A59,main!$A$3:$H$102,7,FALSE),main!$K$18:$O$18,0),0))),0)</f>
        <v>0</v>
      </c>
      <c r="AP59">
        <f>IF((gamma!AP59),IF(VLOOKUP(AP$1,main!$A$3:$H$102,7,FALSE)=VLOOKUP($A59,main!$A$3:$H$102,8,FALSE),VLOOKUP(AP$1,main!$A$3:$H$102,4,FALSE),VLOOKUP(AP$1,main!$A$3:$H$102,4,FALSE)+VLOOKUP($A59,main!$A$3:$H$102,4,FALSE)+(VLOOKUP(VLOOKUP(AP$1,main!$A$3:$H$102,8,FALSE),main!$K$19:$O$22,MATCH(VLOOKUP($A59,main!$A$3:$H$102,7,FALSE),main!$K$18:$O$18,0),0))),0)</f>
        <v>220</v>
      </c>
      <c r="AQ59">
        <f>IF((gamma!AQ59),IF(VLOOKUP(AQ$1,main!$A$3:$H$102,7,FALSE)=VLOOKUP($A59,main!$A$3:$H$102,8,FALSE),VLOOKUP(AQ$1,main!$A$3:$H$102,4,FALSE),VLOOKUP(AQ$1,main!$A$3:$H$102,4,FALSE)+VLOOKUP($A59,main!$A$3:$H$102,4,FALSE)+(VLOOKUP(VLOOKUP(AQ$1,main!$A$3:$H$102,8,FALSE),main!$K$19:$O$22,MATCH(VLOOKUP($A59,main!$A$3:$H$102,7,FALSE),main!$K$18:$O$18,0),0))),0)</f>
        <v>0</v>
      </c>
      <c r="AR59">
        <f>IF((gamma!AR59),IF(VLOOKUP(AR$1,main!$A$3:$H$102,7,FALSE)=VLOOKUP($A59,main!$A$3:$H$102,8,FALSE),VLOOKUP(AR$1,main!$A$3:$H$102,4,FALSE),VLOOKUP(AR$1,main!$A$3:$H$102,4,FALSE)+VLOOKUP($A59,main!$A$3:$H$102,4,FALSE)+(VLOOKUP(VLOOKUP(AR$1,main!$A$3:$H$102,8,FALSE),main!$K$19:$O$22,MATCH(VLOOKUP($A59,main!$A$3:$H$102,7,FALSE),main!$K$18:$O$18,0),0))),0)</f>
        <v>0</v>
      </c>
      <c r="AS59">
        <f>IF((gamma!AS59),IF(VLOOKUP(AS$1,main!$A$3:$H$102,7,FALSE)=VLOOKUP($A59,main!$A$3:$H$102,8,FALSE),VLOOKUP(AS$1,main!$A$3:$H$102,4,FALSE),VLOOKUP(AS$1,main!$A$3:$H$102,4,FALSE)+VLOOKUP($A59,main!$A$3:$H$102,4,FALSE)+(VLOOKUP(VLOOKUP(AS$1,main!$A$3:$H$102,8,FALSE),main!$K$19:$O$22,MATCH(VLOOKUP($A59,main!$A$3:$H$102,7,FALSE),main!$K$18:$O$18,0),0))),0)</f>
        <v>235</v>
      </c>
      <c r="AT59">
        <f>IF((gamma!AT59),IF(VLOOKUP(AT$1,main!$A$3:$H$102,7,FALSE)=VLOOKUP($A59,main!$A$3:$H$102,8,FALSE),VLOOKUP(AT$1,main!$A$3:$H$102,4,FALSE),VLOOKUP(AT$1,main!$A$3:$H$102,4,FALSE)+VLOOKUP($A59,main!$A$3:$H$102,4,FALSE)+(VLOOKUP(VLOOKUP(AT$1,main!$A$3:$H$102,8,FALSE),main!$K$19:$O$22,MATCH(VLOOKUP($A59,main!$A$3:$H$102,7,FALSE),main!$K$18:$O$18,0),0))),0)</f>
        <v>245</v>
      </c>
      <c r="AU59">
        <f>IF((gamma!AU59),IF(VLOOKUP(AU$1,main!$A$3:$H$102,7,FALSE)=VLOOKUP($A59,main!$A$3:$H$102,8,FALSE),VLOOKUP(AU$1,main!$A$3:$H$102,4,FALSE),VLOOKUP(AU$1,main!$A$3:$H$102,4,FALSE)+VLOOKUP($A59,main!$A$3:$H$102,4,FALSE)+(VLOOKUP(VLOOKUP(AU$1,main!$A$3:$H$102,8,FALSE),main!$K$19:$O$22,MATCH(VLOOKUP($A59,main!$A$3:$H$102,7,FALSE),main!$K$18:$O$18,0),0))),0)</f>
        <v>0</v>
      </c>
      <c r="AV59">
        <f>IF((gamma!AV59),IF(VLOOKUP(AV$1,main!$A$3:$H$102,7,FALSE)=VLOOKUP($A59,main!$A$3:$H$102,8,FALSE),VLOOKUP(AV$1,main!$A$3:$H$102,4,FALSE),VLOOKUP(AV$1,main!$A$3:$H$102,4,FALSE)+VLOOKUP($A59,main!$A$3:$H$102,4,FALSE)+(VLOOKUP(VLOOKUP(AV$1,main!$A$3:$H$102,8,FALSE),main!$K$19:$O$22,MATCH(VLOOKUP($A59,main!$A$3:$H$102,7,FALSE),main!$K$18:$O$18,0),0))),0)</f>
        <v>0</v>
      </c>
      <c r="AW59">
        <f>IF((gamma!AW59),IF(VLOOKUP(AW$1,main!$A$3:$H$102,7,FALSE)=VLOOKUP($A59,main!$A$3:$H$102,8,FALSE),VLOOKUP(AW$1,main!$A$3:$H$102,4,FALSE),VLOOKUP(AW$1,main!$A$3:$H$102,4,FALSE)+VLOOKUP($A59,main!$A$3:$H$102,4,FALSE)+(VLOOKUP(VLOOKUP(AW$1,main!$A$3:$H$102,8,FALSE),main!$K$19:$O$22,MATCH(VLOOKUP($A59,main!$A$3:$H$102,7,FALSE),main!$K$18:$O$18,0),0))),0)</f>
        <v>235</v>
      </c>
      <c r="AX59">
        <f>IF((gamma!AX59),IF(VLOOKUP(AX$1,main!$A$3:$H$102,7,FALSE)=VLOOKUP($A59,main!$A$3:$H$102,8,FALSE),VLOOKUP(AX$1,main!$A$3:$H$102,4,FALSE),VLOOKUP(AX$1,main!$A$3:$H$102,4,FALSE)+VLOOKUP($A59,main!$A$3:$H$102,4,FALSE)+(VLOOKUP(VLOOKUP(AX$1,main!$A$3:$H$102,8,FALSE),main!$K$19:$O$22,MATCH(VLOOKUP($A59,main!$A$3:$H$102,7,FALSE),main!$K$18:$O$18,0),0))),0)</f>
        <v>0</v>
      </c>
      <c r="AY59">
        <f>IF((gamma!AY59),IF(VLOOKUP(AY$1,main!$A$3:$H$102,7,FALSE)=VLOOKUP($A59,main!$A$3:$H$102,8,FALSE),VLOOKUP(AY$1,main!$A$3:$H$102,4,FALSE),VLOOKUP(AY$1,main!$A$3:$H$102,4,FALSE)+VLOOKUP($A59,main!$A$3:$H$102,4,FALSE)+(VLOOKUP(VLOOKUP(AY$1,main!$A$3:$H$102,8,FALSE),main!$K$19:$O$22,MATCH(VLOOKUP($A59,main!$A$3:$H$102,7,FALSE),main!$K$18:$O$18,0),0))),0)</f>
        <v>0</v>
      </c>
      <c r="AZ59">
        <f>IF((gamma!AZ59),IF(VLOOKUP(AZ$1,main!$A$3:$H$102,7,FALSE)=VLOOKUP($A59,main!$A$3:$H$102,8,FALSE),VLOOKUP(AZ$1,main!$A$3:$H$102,4,FALSE),VLOOKUP(AZ$1,main!$A$3:$H$102,4,FALSE)+VLOOKUP($A59,main!$A$3:$H$102,4,FALSE)+(VLOOKUP(VLOOKUP(AZ$1,main!$A$3:$H$102,8,FALSE),main!$K$19:$O$22,MATCH(VLOOKUP($A59,main!$A$3:$H$102,7,FALSE),main!$K$18:$O$18,0),0))),0)</f>
        <v>0</v>
      </c>
      <c r="BA59">
        <f>IF((gamma!BA59),IF(VLOOKUP(BA$1,main!$A$3:$H$102,7,FALSE)=VLOOKUP($A59,main!$A$3:$H$102,8,FALSE),VLOOKUP(BA$1,main!$A$3:$H$102,4,FALSE),VLOOKUP(BA$1,main!$A$3:$H$102,4,FALSE)+VLOOKUP($A59,main!$A$3:$H$102,4,FALSE)+(VLOOKUP(VLOOKUP(BA$1,main!$A$3:$H$102,8,FALSE),main!$K$19:$O$22,MATCH(VLOOKUP($A59,main!$A$3:$H$102,7,FALSE),main!$K$18:$O$18,0),0))),0)</f>
        <v>0</v>
      </c>
      <c r="BB59">
        <f>IF((gamma!BB59),IF(VLOOKUP(BB$1,main!$A$3:$H$102,7,FALSE)=VLOOKUP($A59,main!$A$3:$H$102,8,FALSE),VLOOKUP(BB$1,main!$A$3:$H$102,4,FALSE),VLOOKUP(BB$1,main!$A$3:$H$102,4,FALSE)+VLOOKUP($A59,main!$A$3:$H$102,4,FALSE)+(VLOOKUP(VLOOKUP(BB$1,main!$A$3:$H$102,8,FALSE),main!$K$19:$O$22,MATCH(VLOOKUP($A59,main!$A$3:$H$102,7,FALSE),main!$K$18:$O$18,0),0))),0)</f>
        <v>0</v>
      </c>
      <c r="BC59">
        <f>IF((gamma!BC59),IF(VLOOKUP(BC$1,main!$A$3:$H$102,7,FALSE)=VLOOKUP($A59,main!$A$3:$H$102,8,FALSE),VLOOKUP(BC$1,main!$A$3:$H$102,4,FALSE),VLOOKUP(BC$1,main!$A$3:$H$102,4,FALSE)+VLOOKUP($A59,main!$A$3:$H$102,4,FALSE)+(VLOOKUP(VLOOKUP(BC$1,main!$A$3:$H$102,8,FALSE),main!$K$19:$O$22,MATCH(VLOOKUP($A59,main!$A$3:$H$102,7,FALSE),main!$K$18:$O$18,0),0))),0)</f>
        <v>285</v>
      </c>
      <c r="BD59">
        <f>IF((gamma!BD59),IF(VLOOKUP(BD$1,main!$A$3:$H$102,7,FALSE)=VLOOKUP($A59,main!$A$3:$H$102,8,FALSE),VLOOKUP(BD$1,main!$A$3:$H$102,4,FALSE),VLOOKUP(BD$1,main!$A$3:$H$102,4,FALSE)+VLOOKUP($A59,main!$A$3:$H$102,4,FALSE)+(VLOOKUP(VLOOKUP(BD$1,main!$A$3:$H$102,8,FALSE),main!$K$19:$O$22,MATCH(VLOOKUP($A59,main!$A$3:$H$102,7,FALSE),main!$K$18:$O$18,0),0))),0)</f>
        <v>285</v>
      </c>
      <c r="BE59">
        <f>IF((gamma!BE59),IF(VLOOKUP(BE$1,main!$A$3:$H$102,7,FALSE)=VLOOKUP($A59,main!$A$3:$H$102,8,FALSE),VLOOKUP(BE$1,main!$A$3:$H$102,4,FALSE),VLOOKUP(BE$1,main!$A$3:$H$102,4,FALSE)+VLOOKUP($A59,main!$A$3:$H$102,4,FALSE)+(VLOOKUP(VLOOKUP(BE$1,main!$A$3:$H$102,8,FALSE),main!$K$19:$O$22,MATCH(VLOOKUP($A59,main!$A$3:$H$102,7,FALSE),main!$K$18:$O$18,0),0))),0)</f>
        <v>285</v>
      </c>
      <c r="BF59">
        <f>IF((gamma!BF59),IF(VLOOKUP(BF$1,main!$A$3:$H$102,7,FALSE)=VLOOKUP($A59,main!$A$3:$H$102,8,FALSE),VLOOKUP(BF$1,main!$A$3:$H$102,4,FALSE),VLOOKUP(BF$1,main!$A$3:$H$102,4,FALSE)+VLOOKUP($A59,main!$A$3:$H$102,4,FALSE)+(VLOOKUP(VLOOKUP(BF$1,main!$A$3:$H$102,8,FALSE),main!$K$19:$O$22,MATCH(VLOOKUP($A59,main!$A$3:$H$102,7,FALSE),main!$K$18:$O$18,0),0))),0)</f>
        <v>0</v>
      </c>
      <c r="BG59">
        <f>IF((gamma!BG59),IF(VLOOKUP(BG$1,main!$A$3:$H$102,7,FALSE)=VLOOKUP($A59,main!$A$3:$H$102,8,FALSE),VLOOKUP(BG$1,main!$A$3:$H$102,4,FALSE),VLOOKUP(BG$1,main!$A$3:$H$102,4,FALSE)+VLOOKUP($A59,main!$A$3:$H$102,4,FALSE)+(VLOOKUP(VLOOKUP(BG$1,main!$A$3:$H$102,8,FALSE),main!$K$19:$O$22,MATCH(VLOOKUP($A59,main!$A$3:$H$102,7,FALSE),main!$K$18:$O$18,0),0))),0)</f>
        <v>0</v>
      </c>
      <c r="BH59">
        <f>IF((gamma!BH59),IF(VLOOKUP(BH$1,main!$A$3:$H$102,7,FALSE)=VLOOKUP($A59,main!$A$3:$H$102,8,FALSE),VLOOKUP(BH$1,main!$A$3:$H$102,4,FALSE),VLOOKUP(BH$1,main!$A$3:$H$102,4,FALSE)+VLOOKUP($A59,main!$A$3:$H$102,4,FALSE)+(VLOOKUP(VLOOKUP(BH$1,main!$A$3:$H$102,8,FALSE),main!$K$19:$O$22,MATCH(VLOOKUP($A59,main!$A$3:$H$102,7,FALSE),main!$K$18:$O$18,0),0))),0)</f>
        <v>270</v>
      </c>
      <c r="BI59">
        <f>IF((gamma!BI59),IF(VLOOKUP(BI$1,main!$A$3:$H$102,7,FALSE)=VLOOKUP($A59,main!$A$3:$H$102,8,FALSE),VLOOKUP(BI$1,main!$A$3:$H$102,4,FALSE),VLOOKUP(BI$1,main!$A$3:$H$102,4,FALSE)+VLOOKUP($A59,main!$A$3:$H$102,4,FALSE)+(VLOOKUP(VLOOKUP(BI$1,main!$A$3:$H$102,8,FALSE),main!$K$19:$O$22,MATCH(VLOOKUP($A59,main!$A$3:$H$102,7,FALSE),main!$K$18:$O$18,0),0))),0)</f>
        <v>205</v>
      </c>
      <c r="BJ59">
        <f>IF((gamma!BJ59),IF(VLOOKUP(BJ$1,main!$A$3:$H$102,7,FALSE)=VLOOKUP($A59,main!$A$3:$H$102,8,FALSE),VLOOKUP(BJ$1,main!$A$3:$H$102,4,FALSE),VLOOKUP(BJ$1,main!$A$3:$H$102,4,FALSE)+VLOOKUP($A59,main!$A$3:$H$102,4,FALSE)+(VLOOKUP(VLOOKUP(BJ$1,main!$A$3:$H$102,8,FALSE),main!$K$19:$O$22,MATCH(VLOOKUP($A59,main!$A$3:$H$102,7,FALSE),main!$K$18:$O$18,0),0))),0)</f>
        <v>235</v>
      </c>
      <c r="BK59">
        <f>IF((gamma!BK59),IF(VLOOKUP(BK$1,main!$A$3:$H$102,7,FALSE)=VLOOKUP($A59,main!$A$3:$H$102,8,FALSE),VLOOKUP(BK$1,main!$A$3:$H$102,4,FALSE),VLOOKUP(BK$1,main!$A$3:$H$102,4,FALSE)+VLOOKUP($A59,main!$A$3:$H$102,4,FALSE)+(VLOOKUP(VLOOKUP(BK$1,main!$A$3:$H$102,8,FALSE),main!$K$19:$O$22,MATCH(VLOOKUP($A59,main!$A$3:$H$102,7,FALSE),main!$K$18:$O$18,0),0))),0)</f>
        <v>0</v>
      </c>
      <c r="BL59">
        <f>IF((gamma!BL59),IF(VLOOKUP(BL$1,main!$A$3:$H$102,7,FALSE)=VLOOKUP($A59,main!$A$3:$H$102,8,FALSE),VLOOKUP(BL$1,main!$A$3:$H$102,4,FALSE),VLOOKUP(BL$1,main!$A$3:$H$102,4,FALSE)+VLOOKUP($A59,main!$A$3:$H$102,4,FALSE)+(VLOOKUP(VLOOKUP(BL$1,main!$A$3:$H$102,8,FALSE),main!$K$19:$O$22,MATCH(VLOOKUP($A59,main!$A$3:$H$102,7,FALSE),main!$K$18:$O$18,0),0))),0)</f>
        <v>0</v>
      </c>
      <c r="BM59">
        <f>IF((gamma!BM59),IF(VLOOKUP(BM$1,main!$A$3:$H$102,7,FALSE)=VLOOKUP($A59,main!$A$3:$H$102,8,FALSE),VLOOKUP(BM$1,main!$A$3:$H$102,4,FALSE),VLOOKUP(BM$1,main!$A$3:$H$102,4,FALSE)+VLOOKUP($A59,main!$A$3:$H$102,4,FALSE)+(VLOOKUP(VLOOKUP(BM$1,main!$A$3:$H$102,8,FALSE),main!$K$19:$O$22,MATCH(VLOOKUP($A59,main!$A$3:$H$102,7,FALSE),main!$K$18:$O$18,0),0))),0)</f>
        <v>0</v>
      </c>
      <c r="BN59">
        <f>IF((gamma!BN59),IF(VLOOKUP(BN$1,main!$A$3:$H$102,7,FALSE)=VLOOKUP($A59,main!$A$3:$H$102,8,FALSE),VLOOKUP(BN$1,main!$A$3:$H$102,4,FALSE),VLOOKUP(BN$1,main!$A$3:$H$102,4,FALSE)+VLOOKUP($A59,main!$A$3:$H$102,4,FALSE)+(VLOOKUP(VLOOKUP(BN$1,main!$A$3:$H$102,8,FALSE),main!$K$19:$O$22,MATCH(VLOOKUP($A59,main!$A$3:$H$102,7,FALSE),main!$K$18:$O$18,0),0))),0)</f>
        <v>263</v>
      </c>
      <c r="BO59">
        <f>IF((gamma!BO59),IF(VLOOKUP(BO$1,main!$A$3:$H$102,7,FALSE)=VLOOKUP($A59,main!$A$3:$H$102,8,FALSE),VLOOKUP(BO$1,main!$A$3:$H$102,4,FALSE),VLOOKUP(BO$1,main!$A$3:$H$102,4,FALSE)+VLOOKUP($A59,main!$A$3:$H$102,4,FALSE)+(VLOOKUP(VLOOKUP(BO$1,main!$A$3:$H$102,8,FALSE),main!$K$19:$O$22,MATCH(VLOOKUP($A59,main!$A$3:$H$102,7,FALSE),main!$K$18:$O$18,0),0))),0)</f>
        <v>0</v>
      </c>
      <c r="BP59">
        <f>IF((gamma!BP59),IF(VLOOKUP(BP$1,main!$A$3:$H$102,7,FALSE)=VLOOKUP($A59,main!$A$3:$H$102,8,FALSE),VLOOKUP(BP$1,main!$A$3:$H$102,4,FALSE),VLOOKUP(BP$1,main!$A$3:$H$102,4,FALSE)+VLOOKUP($A59,main!$A$3:$H$102,4,FALSE)+(VLOOKUP(VLOOKUP(BP$1,main!$A$3:$H$102,8,FALSE),main!$K$19:$O$22,MATCH(VLOOKUP($A59,main!$A$3:$H$102,7,FALSE),main!$K$18:$O$18,0),0))),0)</f>
        <v>0</v>
      </c>
      <c r="BQ59">
        <f>IF((gamma!BQ59),IF(VLOOKUP(BQ$1,main!$A$3:$H$102,7,FALSE)=VLOOKUP($A59,main!$A$3:$H$102,8,FALSE),VLOOKUP(BQ$1,main!$A$3:$H$102,4,FALSE),VLOOKUP(BQ$1,main!$A$3:$H$102,4,FALSE)+VLOOKUP($A59,main!$A$3:$H$102,4,FALSE)+(VLOOKUP(VLOOKUP(BQ$1,main!$A$3:$H$102,8,FALSE),main!$K$19:$O$22,MATCH(VLOOKUP($A59,main!$A$3:$H$102,7,FALSE),main!$K$18:$O$18,0),0))),0)</f>
        <v>0</v>
      </c>
      <c r="BR59">
        <f>IF((gamma!BR59),IF(VLOOKUP(BR$1,main!$A$3:$H$102,7,FALSE)=VLOOKUP($A59,main!$A$3:$H$102,8,FALSE),VLOOKUP(BR$1,main!$A$3:$H$102,4,FALSE),VLOOKUP(BR$1,main!$A$3:$H$102,4,FALSE)+VLOOKUP($A59,main!$A$3:$H$102,4,FALSE)+(VLOOKUP(VLOOKUP(BR$1,main!$A$3:$H$102,8,FALSE),main!$K$19:$O$22,MATCH(VLOOKUP($A59,main!$A$3:$H$102,7,FALSE),main!$K$18:$O$18,0),0))),0)</f>
        <v>243</v>
      </c>
      <c r="BS59">
        <f>IF((gamma!BS59),IF(VLOOKUP(BS$1,main!$A$3:$H$102,7,FALSE)=VLOOKUP($A59,main!$A$3:$H$102,8,FALSE),VLOOKUP(BS$1,main!$A$3:$H$102,4,FALSE),VLOOKUP(BS$1,main!$A$3:$H$102,4,FALSE)+VLOOKUP($A59,main!$A$3:$H$102,4,FALSE)+(VLOOKUP(VLOOKUP(BS$1,main!$A$3:$H$102,8,FALSE),main!$K$19:$O$22,MATCH(VLOOKUP($A59,main!$A$3:$H$102,7,FALSE),main!$K$18:$O$18,0),0))),0)</f>
        <v>244</v>
      </c>
      <c r="BT59">
        <f>IF((gamma!BT59),IF(VLOOKUP(BT$1,main!$A$3:$H$102,7,FALSE)=VLOOKUP($A59,main!$A$3:$H$102,8,FALSE),VLOOKUP(BT$1,main!$A$3:$H$102,4,FALSE),VLOOKUP(BT$1,main!$A$3:$H$102,4,FALSE)+VLOOKUP($A59,main!$A$3:$H$102,4,FALSE)+(VLOOKUP(VLOOKUP(BT$1,main!$A$3:$H$102,8,FALSE),main!$K$19:$O$22,MATCH(VLOOKUP($A59,main!$A$3:$H$102,7,FALSE),main!$K$18:$O$18,0),0))),0)</f>
        <v>0</v>
      </c>
      <c r="BU59">
        <f>IF((gamma!BU59),IF(VLOOKUP(BU$1,main!$A$3:$H$102,7,FALSE)=VLOOKUP($A59,main!$A$3:$H$102,8,FALSE),VLOOKUP(BU$1,main!$A$3:$H$102,4,FALSE),VLOOKUP(BU$1,main!$A$3:$H$102,4,FALSE)+VLOOKUP($A59,main!$A$3:$H$102,4,FALSE)+(VLOOKUP(VLOOKUP(BU$1,main!$A$3:$H$102,8,FALSE),main!$K$19:$O$22,MATCH(VLOOKUP($A59,main!$A$3:$H$102,7,FALSE),main!$K$18:$O$18,0),0))),0)</f>
        <v>0</v>
      </c>
      <c r="BV59">
        <f>IF((gamma!BV59),IF(VLOOKUP(BV$1,main!$A$3:$H$102,7,FALSE)=VLOOKUP($A59,main!$A$3:$H$102,8,FALSE),VLOOKUP(BV$1,main!$A$3:$H$102,4,FALSE),VLOOKUP(BV$1,main!$A$3:$H$102,4,FALSE)+VLOOKUP($A59,main!$A$3:$H$102,4,FALSE)+(VLOOKUP(VLOOKUP(BV$1,main!$A$3:$H$102,8,FALSE),main!$K$19:$O$22,MATCH(VLOOKUP($A59,main!$A$3:$H$102,7,FALSE),main!$K$18:$O$18,0),0))),0)</f>
        <v>0</v>
      </c>
      <c r="BW59">
        <f>IF((gamma!BW59),IF(VLOOKUP(BW$1,main!$A$3:$H$102,7,FALSE)=VLOOKUP($A59,main!$A$3:$H$102,8,FALSE),VLOOKUP(BW$1,main!$A$3:$H$102,4,FALSE),VLOOKUP(BW$1,main!$A$3:$H$102,4,FALSE)+VLOOKUP($A59,main!$A$3:$H$102,4,FALSE)+(VLOOKUP(VLOOKUP(BW$1,main!$A$3:$H$102,8,FALSE),main!$K$19:$O$22,MATCH(VLOOKUP($A59,main!$A$3:$H$102,7,FALSE),main!$K$18:$O$18,0),0))),0)</f>
        <v>0</v>
      </c>
      <c r="BX59">
        <f>IF((gamma!BX59),IF(VLOOKUP(BX$1,main!$A$3:$H$102,7,FALSE)=VLOOKUP($A59,main!$A$3:$H$102,8,FALSE),VLOOKUP(BX$1,main!$A$3:$H$102,4,FALSE),VLOOKUP(BX$1,main!$A$3:$H$102,4,FALSE)+VLOOKUP($A59,main!$A$3:$H$102,4,FALSE)+(VLOOKUP(VLOOKUP(BX$1,main!$A$3:$H$102,8,FALSE),main!$K$19:$O$22,MATCH(VLOOKUP($A59,main!$A$3:$H$102,7,FALSE),main!$K$18:$O$18,0),0))),0)</f>
        <v>0</v>
      </c>
      <c r="BY59">
        <f>IF((gamma!BY59),IF(VLOOKUP(BY$1,main!$A$3:$H$102,7,FALSE)=VLOOKUP($A59,main!$A$3:$H$102,8,FALSE),VLOOKUP(BY$1,main!$A$3:$H$102,4,FALSE),VLOOKUP(BY$1,main!$A$3:$H$102,4,FALSE)+VLOOKUP($A59,main!$A$3:$H$102,4,FALSE)+(VLOOKUP(VLOOKUP(BY$1,main!$A$3:$H$102,8,FALSE),main!$K$19:$O$22,MATCH(VLOOKUP($A59,main!$A$3:$H$102,7,FALSE),main!$K$18:$O$18,0),0))),0)</f>
        <v>268</v>
      </c>
      <c r="BZ59">
        <f>IF((gamma!BZ59),IF(VLOOKUP(BZ$1,main!$A$3:$H$102,7,FALSE)=VLOOKUP($A59,main!$A$3:$H$102,8,FALSE),VLOOKUP(BZ$1,main!$A$3:$H$102,4,FALSE),VLOOKUP(BZ$1,main!$A$3:$H$102,4,FALSE)+VLOOKUP($A59,main!$A$3:$H$102,4,FALSE)+(VLOOKUP(VLOOKUP(BZ$1,main!$A$3:$H$102,8,FALSE),main!$K$19:$O$22,MATCH(VLOOKUP($A59,main!$A$3:$H$102,7,FALSE),main!$K$18:$O$18,0),0))),0)</f>
        <v>0</v>
      </c>
      <c r="CA59">
        <f>IF((gamma!CA59),IF(VLOOKUP(CA$1,main!$A$3:$H$102,7,FALSE)=VLOOKUP($A59,main!$A$3:$H$102,8,FALSE),VLOOKUP(CA$1,main!$A$3:$H$102,4,FALSE),VLOOKUP(CA$1,main!$A$3:$H$102,4,FALSE)+VLOOKUP($A59,main!$A$3:$H$102,4,FALSE)+(VLOOKUP(VLOOKUP(CA$1,main!$A$3:$H$102,8,FALSE),main!$K$19:$O$22,MATCH(VLOOKUP($A59,main!$A$3:$H$102,7,FALSE),main!$K$18:$O$18,0),0))),0)</f>
        <v>0</v>
      </c>
      <c r="CB59">
        <f>IF((gamma!CB59),IF(VLOOKUP(CB$1,main!$A$3:$H$102,7,FALSE)=VLOOKUP($A59,main!$A$3:$H$102,8,FALSE),VLOOKUP(CB$1,main!$A$3:$H$102,4,FALSE),VLOOKUP(CB$1,main!$A$3:$H$102,4,FALSE)+VLOOKUP($A59,main!$A$3:$H$102,4,FALSE)+(VLOOKUP(VLOOKUP(CB$1,main!$A$3:$H$102,8,FALSE),main!$K$19:$O$22,MATCH(VLOOKUP($A59,main!$A$3:$H$102,7,FALSE),main!$K$18:$O$18,0),0))),0)</f>
        <v>213</v>
      </c>
      <c r="CC59">
        <f>IF((gamma!CC59),IF(VLOOKUP(CC$1,main!$A$3:$H$102,7,FALSE)=VLOOKUP($A59,main!$A$3:$H$102,8,FALSE),VLOOKUP(CC$1,main!$A$3:$H$102,4,FALSE),VLOOKUP(CC$1,main!$A$3:$H$102,4,FALSE)+VLOOKUP($A59,main!$A$3:$H$102,4,FALSE)+(VLOOKUP(VLOOKUP(CC$1,main!$A$3:$H$102,8,FALSE),main!$K$19:$O$22,MATCH(VLOOKUP($A59,main!$A$3:$H$102,7,FALSE),main!$K$18:$O$18,0),0))),0)</f>
        <v>203</v>
      </c>
      <c r="CD59">
        <f>IF((gamma!CD59),IF(VLOOKUP(CD$1,main!$A$3:$H$102,7,FALSE)=VLOOKUP($A59,main!$A$3:$H$102,8,FALSE),VLOOKUP(CD$1,main!$A$3:$H$102,4,FALSE),VLOOKUP(CD$1,main!$A$3:$H$102,4,FALSE)+VLOOKUP($A59,main!$A$3:$H$102,4,FALSE)+(VLOOKUP(VLOOKUP(CD$1,main!$A$3:$H$102,8,FALSE),main!$K$19:$O$22,MATCH(VLOOKUP($A59,main!$A$3:$H$102,7,FALSE),main!$K$18:$O$18,0),0))),0)</f>
        <v>262</v>
      </c>
      <c r="CE59">
        <f>IF((gamma!CE59),IF(VLOOKUP(CE$1,main!$A$3:$H$102,7,FALSE)=VLOOKUP($A59,main!$A$3:$H$102,8,FALSE),VLOOKUP(CE$1,main!$A$3:$H$102,4,FALSE),VLOOKUP(CE$1,main!$A$3:$H$102,4,FALSE)+VLOOKUP($A59,main!$A$3:$H$102,4,FALSE)+(VLOOKUP(VLOOKUP(CE$1,main!$A$3:$H$102,8,FALSE),main!$K$19:$O$22,MATCH(VLOOKUP($A59,main!$A$3:$H$102,7,FALSE),main!$K$18:$O$18,0),0))),0)</f>
        <v>0</v>
      </c>
      <c r="CF59">
        <f>IF((gamma!CF59),IF(VLOOKUP(CF$1,main!$A$3:$H$102,7,FALSE)=VLOOKUP($A59,main!$A$3:$H$102,8,FALSE),VLOOKUP(CF$1,main!$A$3:$H$102,4,FALSE),VLOOKUP(CF$1,main!$A$3:$H$102,4,FALSE)+VLOOKUP($A59,main!$A$3:$H$102,4,FALSE)+(VLOOKUP(VLOOKUP(CF$1,main!$A$3:$H$102,8,FALSE),main!$K$19:$O$22,MATCH(VLOOKUP($A59,main!$A$3:$H$102,7,FALSE),main!$K$18:$O$18,0),0))),0)</f>
        <v>0</v>
      </c>
      <c r="CG59">
        <f>IF((gamma!CG59),IF(VLOOKUP(CG$1,main!$A$3:$H$102,7,FALSE)=VLOOKUP($A59,main!$A$3:$H$102,8,FALSE),VLOOKUP(CG$1,main!$A$3:$H$102,4,FALSE),VLOOKUP(CG$1,main!$A$3:$H$102,4,FALSE)+VLOOKUP($A59,main!$A$3:$H$102,4,FALSE)+(VLOOKUP(VLOOKUP(CG$1,main!$A$3:$H$102,8,FALSE),main!$K$19:$O$22,MATCH(VLOOKUP($A59,main!$A$3:$H$102,7,FALSE),main!$K$18:$O$18,0),0))),0)</f>
        <v>285</v>
      </c>
      <c r="CH59">
        <f>IF((gamma!CH59),IF(VLOOKUP(CH$1,main!$A$3:$H$102,7,FALSE)=VLOOKUP($A59,main!$A$3:$H$102,8,FALSE),VLOOKUP(CH$1,main!$A$3:$H$102,4,FALSE),VLOOKUP(CH$1,main!$A$3:$H$102,4,FALSE)+VLOOKUP($A59,main!$A$3:$H$102,4,FALSE)+(VLOOKUP(VLOOKUP(CH$1,main!$A$3:$H$102,8,FALSE),main!$K$19:$O$22,MATCH(VLOOKUP($A59,main!$A$3:$H$102,7,FALSE),main!$K$18:$O$18,0),0))),0)</f>
        <v>285</v>
      </c>
      <c r="CI59">
        <f>IF((gamma!CI59),IF(VLOOKUP(CI$1,main!$A$3:$H$102,7,FALSE)=VLOOKUP($A59,main!$A$3:$H$102,8,FALSE),VLOOKUP(CI$1,main!$A$3:$H$102,4,FALSE),VLOOKUP(CI$1,main!$A$3:$H$102,4,FALSE)+VLOOKUP($A59,main!$A$3:$H$102,4,FALSE)+(VLOOKUP(VLOOKUP(CI$1,main!$A$3:$H$102,8,FALSE),main!$K$19:$O$22,MATCH(VLOOKUP($A59,main!$A$3:$H$102,7,FALSE),main!$K$18:$O$18,0),0))),0)</f>
        <v>285</v>
      </c>
      <c r="CJ59">
        <f>IF((gamma!CJ59),IF(VLOOKUP(CJ$1,main!$A$3:$H$102,7,FALSE)=VLOOKUP($A59,main!$A$3:$H$102,8,FALSE),VLOOKUP(CJ$1,main!$A$3:$H$102,4,FALSE),VLOOKUP(CJ$1,main!$A$3:$H$102,4,FALSE)+VLOOKUP($A59,main!$A$3:$H$102,4,FALSE)+(VLOOKUP(VLOOKUP(CJ$1,main!$A$3:$H$102,8,FALSE),main!$K$19:$O$22,MATCH(VLOOKUP($A59,main!$A$3:$H$102,7,FALSE),main!$K$18:$O$18,0),0))),0)</f>
        <v>0</v>
      </c>
      <c r="CK59">
        <f>IF((gamma!CK59),IF(VLOOKUP(CK$1,main!$A$3:$H$102,7,FALSE)=VLOOKUP($A59,main!$A$3:$H$102,8,FALSE),VLOOKUP(CK$1,main!$A$3:$H$102,4,FALSE),VLOOKUP(CK$1,main!$A$3:$H$102,4,FALSE)+VLOOKUP($A59,main!$A$3:$H$102,4,FALSE)+(VLOOKUP(VLOOKUP(CK$1,main!$A$3:$H$102,8,FALSE),main!$K$19:$O$22,MATCH(VLOOKUP($A59,main!$A$3:$H$102,7,FALSE),main!$K$18:$O$18,0),0))),0)</f>
        <v>0</v>
      </c>
      <c r="CL59">
        <f>IF((gamma!CL59),IF(VLOOKUP(CL$1,main!$A$3:$H$102,7,FALSE)=VLOOKUP($A59,main!$A$3:$H$102,8,FALSE),VLOOKUP(CL$1,main!$A$3:$H$102,4,FALSE),VLOOKUP(CL$1,main!$A$3:$H$102,4,FALSE)+VLOOKUP($A59,main!$A$3:$H$102,4,FALSE)+(VLOOKUP(VLOOKUP(CL$1,main!$A$3:$H$102,8,FALSE),main!$K$19:$O$22,MATCH(VLOOKUP($A59,main!$A$3:$H$102,7,FALSE),main!$K$18:$O$18,0),0))),0)</f>
        <v>225</v>
      </c>
      <c r="CM59">
        <f>IF((gamma!CM59),IF(VLOOKUP(CM$1,main!$A$3:$H$102,7,FALSE)=VLOOKUP($A59,main!$A$3:$H$102,8,FALSE),VLOOKUP(CM$1,main!$A$3:$H$102,4,FALSE),VLOOKUP(CM$1,main!$A$3:$H$102,4,FALSE)+VLOOKUP($A59,main!$A$3:$H$102,4,FALSE)+(VLOOKUP(VLOOKUP(CM$1,main!$A$3:$H$102,8,FALSE),main!$K$19:$O$22,MATCH(VLOOKUP($A59,main!$A$3:$H$102,7,FALSE),main!$K$18:$O$18,0),0))),0)</f>
        <v>245</v>
      </c>
      <c r="CN59">
        <f>IF((gamma!CN59),IF(VLOOKUP(CN$1,main!$A$3:$H$102,7,FALSE)=VLOOKUP($A59,main!$A$3:$H$102,8,FALSE),VLOOKUP(CN$1,main!$A$3:$H$102,4,FALSE),VLOOKUP(CN$1,main!$A$3:$H$102,4,FALSE)+VLOOKUP($A59,main!$A$3:$H$102,4,FALSE)+(VLOOKUP(VLOOKUP(CN$1,main!$A$3:$H$102,8,FALSE),main!$K$19:$O$22,MATCH(VLOOKUP($A59,main!$A$3:$H$102,7,FALSE),main!$K$18:$O$18,0),0))),0)</f>
        <v>241</v>
      </c>
      <c r="CO59">
        <f>IF((gamma!CO59),IF(VLOOKUP(CO$1,main!$A$3:$H$102,7,FALSE)=VLOOKUP($A59,main!$A$3:$H$102,8,FALSE),VLOOKUP(CO$1,main!$A$3:$H$102,4,FALSE),VLOOKUP(CO$1,main!$A$3:$H$102,4,FALSE)+VLOOKUP($A59,main!$A$3:$H$102,4,FALSE)+(VLOOKUP(VLOOKUP(CO$1,main!$A$3:$H$102,8,FALSE),main!$K$19:$O$22,MATCH(VLOOKUP($A59,main!$A$3:$H$102,7,FALSE),main!$K$18:$O$18,0),0))),0)</f>
        <v>0</v>
      </c>
      <c r="CP59">
        <f>IF((gamma!CP59),IF(VLOOKUP(CP$1,main!$A$3:$H$102,7,FALSE)=VLOOKUP($A59,main!$A$3:$H$102,8,FALSE),VLOOKUP(CP$1,main!$A$3:$H$102,4,FALSE),VLOOKUP(CP$1,main!$A$3:$H$102,4,FALSE)+VLOOKUP($A59,main!$A$3:$H$102,4,FALSE)+(VLOOKUP(VLOOKUP(CP$1,main!$A$3:$H$102,8,FALSE),main!$K$19:$O$22,MATCH(VLOOKUP($A59,main!$A$3:$H$102,7,FALSE),main!$K$18:$O$18,0),0))),0)</f>
        <v>0</v>
      </c>
      <c r="CQ59">
        <f>IF((gamma!CQ59),IF(VLOOKUP(CQ$1,main!$A$3:$H$102,7,FALSE)=VLOOKUP($A59,main!$A$3:$H$102,8,FALSE),VLOOKUP(CQ$1,main!$A$3:$H$102,4,FALSE),VLOOKUP(CQ$1,main!$A$3:$H$102,4,FALSE)+VLOOKUP($A59,main!$A$3:$H$102,4,FALSE)+(VLOOKUP(VLOOKUP(CQ$1,main!$A$3:$H$102,8,FALSE),main!$K$19:$O$22,MATCH(VLOOKUP($A59,main!$A$3:$H$102,7,FALSE),main!$K$18:$O$18,0),0))),0)</f>
        <v>0</v>
      </c>
      <c r="CR59">
        <f>IF((gamma!CR59),IF(VLOOKUP(CR$1,main!$A$3:$H$102,7,FALSE)=VLOOKUP($A59,main!$A$3:$H$102,8,FALSE),VLOOKUP(CR$1,main!$A$3:$H$102,4,FALSE),VLOOKUP(CR$1,main!$A$3:$H$102,4,FALSE)+VLOOKUP($A59,main!$A$3:$H$102,4,FALSE)+(VLOOKUP(VLOOKUP(CR$1,main!$A$3:$H$102,8,FALSE),main!$K$19:$O$22,MATCH(VLOOKUP($A59,main!$A$3:$H$102,7,FALSE),main!$K$18:$O$18,0),0))),0)</f>
        <v>250</v>
      </c>
      <c r="CS59">
        <f>IF((gamma!CS59),IF(VLOOKUP(CS$1,main!$A$3:$H$102,7,FALSE)=VLOOKUP($A59,main!$A$3:$H$102,8,FALSE),VLOOKUP(CS$1,main!$A$3:$H$102,4,FALSE),VLOOKUP(CS$1,main!$A$3:$H$102,4,FALSE)+VLOOKUP($A59,main!$A$3:$H$102,4,FALSE)+(VLOOKUP(VLOOKUP(CS$1,main!$A$3:$H$102,8,FALSE),main!$K$19:$O$22,MATCH(VLOOKUP($A59,main!$A$3:$H$102,7,FALSE),main!$K$18:$O$18,0),0))),0)</f>
        <v>250</v>
      </c>
      <c r="CT59">
        <f>IF((gamma!CT59),IF(VLOOKUP(CT$1,main!$A$3:$H$102,7,FALSE)=VLOOKUP($A59,main!$A$3:$H$102,8,FALSE),VLOOKUP(CT$1,main!$A$3:$H$102,4,FALSE),VLOOKUP(CT$1,main!$A$3:$H$102,4,FALSE)+VLOOKUP($A59,main!$A$3:$H$102,4,FALSE)+(VLOOKUP(VLOOKUP(CT$1,main!$A$3:$H$102,8,FALSE),main!$K$19:$O$22,MATCH(VLOOKUP($A59,main!$A$3:$H$102,7,FALSE),main!$K$18:$O$18,0),0))),0)</f>
        <v>0</v>
      </c>
      <c r="CU59">
        <f>IF((gamma!CU59),IF(VLOOKUP(CU$1,main!$A$3:$H$102,7,FALSE)=VLOOKUP($A59,main!$A$3:$H$102,8,FALSE),VLOOKUP(CU$1,main!$A$3:$H$102,4,FALSE),VLOOKUP(CU$1,main!$A$3:$H$102,4,FALSE)+VLOOKUP($A59,main!$A$3:$H$102,4,FALSE)+(VLOOKUP(VLOOKUP(CU$1,main!$A$3:$H$102,8,FALSE),main!$K$19:$O$22,MATCH(VLOOKUP($A59,main!$A$3:$H$102,7,FALSE),main!$K$18:$O$18,0),0))),0)</f>
        <v>0</v>
      </c>
      <c r="CV59">
        <f>IF((gamma!CV59),IF(VLOOKUP(CV$1,main!$A$3:$H$102,7,FALSE)=VLOOKUP($A59,main!$A$3:$H$102,8,FALSE),VLOOKUP(CV$1,main!$A$3:$H$102,4,FALSE),VLOOKUP(CV$1,main!$A$3:$H$102,4,FALSE)+VLOOKUP($A59,main!$A$3:$H$102,4,FALSE)+(VLOOKUP(VLOOKUP(CV$1,main!$A$3:$H$102,8,FALSE),main!$K$19:$O$22,MATCH(VLOOKUP($A59,main!$A$3:$H$102,7,FALSE),main!$K$18:$O$18,0),0))),0)</f>
        <v>0</v>
      </c>
      <c r="CW59">
        <f>IF((gamma!CW59),IF(VLOOKUP(CW$1,main!$A$3:$H$102,7,FALSE)=VLOOKUP($A59,main!$A$3:$H$102,8,FALSE),VLOOKUP(CW$1,main!$A$3:$H$102,4,FALSE),VLOOKUP(CW$1,main!$A$3:$H$102,4,FALSE)+VLOOKUP($A59,main!$A$3:$H$102,4,FALSE)+(VLOOKUP(VLOOKUP(CW$1,main!$A$3:$H$102,8,FALSE),main!$K$19:$O$22,MATCH(VLOOKUP($A59,main!$A$3:$H$102,7,FALSE),main!$K$18:$O$18,0),0))),0)</f>
        <v>210</v>
      </c>
      <c r="CX59">
        <f>IF((gamma!CX59),IF(VLOOKUP(CX$1,main!$A$3:$H$102,7,FALSE)=VLOOKUP($A59,main!$A$3:$H$102,8,FALSE),VLOOKUP(CX$1,main!$A$3:$H$102,4,FALSE),VLOOKUP(CX$1,main!$A$3:$H$102,4,FALSE)+VLOOKUP($A59,main!$A$3:$H$102,4,FALSE)+(VLOOKUP(VLOOKUP(CX$1,main!$A$3:$H$102,8,FALSE),main!$K$19:$O$22,MATCH(VLOOKUP($A59,main!$A$3:$H$102,7,FALSE),main!$K$18:$O$18,0),0))),0)</f>
        <v>200</v>
      </c>
      <c r="CY59">
        <v>0</v>
      </c>
      <c r="CZ59">
        <v>0</v>
      </c>
      <c r="DA59">
        <v>0</v>
      </c>
    </row>
    <row r="60" spans="1:105" x14ac:dyDescent="0.25">
      <c r="A60" s="1">
        <v>58</v>
      </c>
      <c r="B60">
        <v>0</v>
      </c>
      <c r="C60">
        <f>IF((gamma!C60),IF(VLOOKUP(C$1,main!$A$3:$H$102,7,FALSE)=VLOOKUP($A60,main!$A$3:$H$102,8,FALSE),VLOOKUP(C$1,main!$A$3:$H$102,4,FALSE),VLOOKUP(C$1,main!$A$3:$H$102,4,FALSE)+VLOOKUP($A60,main!$A$3:$H$102,4,FALSE)+(VLOOKUP(VLOOKUP(C$1,main!$A$3:$H$102,8,FALSE),main!$K$19:$O$22,MATCH(VLOOKUP($A60,main!$A$3:$H$102,7,FALSE),main!$K$18:$O$18,0),0))),0)</f>
        <v>0</v>
      </c>
      <c r="D60">
        <f>IF((gamma!D60),IF(VLOOKUP(D$1,main!$A$3:$H$102,7,FALSE)=VLOOKUP($A60,main!$A$3:$H$102,8,FALSE),VLOOKUP(D$1,main!$A$3:$H$102,4,FALSE),VLOOKUP(D$1,main!$A$3:$H$102,4,FALSE)+VLOOKUP($A60,main!$A$3:$H$102,4,FALSE)+(VLOOKUP(VLOOKUP(D$1,main!$A$3:$H$102,8,FALSE),main!$K$19:$O$22,MATCH(VLOOKUP($A60,main!$A$3:$H$102,7,FALSE),main!$K$18:$O$18,0),0))),0)</f>
        <v>0</v>
      </c>
      <c r="E60">
        <f>IF((gamma!E60),IF(VLOOKUP(E$1,main!$A$3:$H$102,7,FALSE)=VLOOKUP($A60,main!$A$3:$H$102,8,FALSE),VLOOKUP(E$1,main!$A$3:$H$102,4,FALSE),VLOOKUP(E$1,main!$A$3:$H$102,4,FALSE)+VLOOKUP($A60,main!$A$3:$H$102,4,FALSE)+(VLOOKUP(VLOOKUP(E$1,main!$A$3:$H$102,8,FALSE),main!$K$19:$O$22,MATCH(VLOOKUP($A60,main!$A$3:$H$102,7,FALSE),main!$K$18:$O$18,0),0))),0)</f>
        <v>0</v>
      </c>
      <c r="F60">
        <f>IF((gamma!F60),IF(VLOOKUP(F$1,main!$A$3:$H$102,7,FALSE)=VLOOKUP($A60,main!$A$3:$H$102,8,FALSE),VLOOKUP(F$1,main!$A$3:$H$102,4,FALSE),VLOOKUP(F$1,main!$A$3:$H$102,4,FALSE)+VLOOKUP($A60,main!$A$3:$H$102,4,FALSE)+(VLOOKUP(VLOOKUP(F$1,main!$A$3:$H$102,8,FALSE),main!$K$19:$O$22,MATCH(VLOOKUP($A60,main!$A$3:$H$102,7,FALSE),main!$K$18:$O$18,0),0))),0)</f>
        <v>0</v>
      </c>
      <c r="G60">
        <f>IF((gamma!G60),IF(VLOOKUP(G$1,main!$A$3:$H$102,7,FALSE)=VLOOKUP($A60,main!$A$3:$H$102,8,FALSE),VLOOKUP(G$1,main!$A$3:$H$102,4,FALSE),VLOOKUP(G$1,main!$A$3:$H$102,4,FALSE)+VLOOKUP($A60,main!$A$3:$H$102,4,FALSE)+(VLOOKUP(VLOOKUP(G$1,main!$A$3:$H$102,8,FALSE),main!$K$19:$O$22,MATCH(VLOOKUP($A60,main!$A$3:$H$102,7,FALSE),main!$K$18:$O$18,0),0))),0)</f>
        <v>0</v>
      </c>
      <c r="H60">
        <f>IF((gamma!H60),IF(VLOOKUP(H$1,main!$A$3:$H$102,7,FALSE)=VLOOKUP($A60,main!$A$3:$H$102,8,FALSE),VLOOKUP(H$1,main!$A$3:$H$102,4,FALSE),VLOOKUP(H$1,main!$A$3:$H$102,4,FALSE)+VLOOKUP($A60,main!$A$3:$H$102,4,FALSE)+(VLOOKUP(VLOOKUP(H$1,main!$A$3:$H$102,8,FALSE),main!$K$19:$O$22,MATCH(VLOOKUP($A60,main!$A$3:$H$102,7,FALSE),main!$K$18:$O$18,0),0))),0)</f>
        <v>0</v>
      </c>
      <c r="I60">
        <f>IF((gamma!I60),IF(VLOOKUP(I$1,main!$A$3:$H$102,7,FALSE)=VLOOKUP($A60,main!$A$3:$H$102,8,FALSE),VLOOKUP(I$1,main!$A$3:$H$102,4,FALSE),VLOOKUP(I$1,main!$A$3:$H$102,4,FALSE)+VLOOKUP($A60,main!$A$3:$H$102,4,FALSE)+(VLOOKUP(VLOOKUP(I$1,main!$A$3:$H$102,8,FALSE),main!$K$19:$O$22,MATCH(VLOOKUP($A60,main!$A$3:$H$102,7,FALSE),main!$K$18:$O$18,0),0))),0)</f>
        <v>135</v>
      </c>
      <c r="J60">
        <f>IF((gamma!J60),IF(VLOOKUP(J$1,main!$A$3:$H$102,7,FALSE)=VLOOKUP($A60,main!$A$3:$H$102,8,FALSE),VLOOKUP(J$1,main!$A$3:$H$102,4,FALSE),VLOOKUP(J$1,main!$A$3:$H$102,4,FALSE)+VLOOKUP($A60,main!$A$3:$H$102,4,FALSE)+(VLOOKUP(VLOOKUP(J$1,main!$A$3:$H$102,8,FALSE),main!$K$19:$O$22,MATCH(VLOOKUP($A60,main!$A$3:$H$102,7,FALSE),main!$K$18:$O$18,0),0))),0)</f>
        <v>135</v>
      </c>
      <c r="K60">
        <f>IF((gamma!K60),IF(VLOOKUP(K$1,main!$A$3:$H$102,7,FALSE)=VLOOKUP($A60,main!$A$3:$H$102,8,FALSE),VLOOKUP(K$1,main!$A$3:$H$102,4,FALSE),VLOOKUP(K$1,main!$A$3:$H$102,4,FALSE)+VLOOKUP($A60,main!$A$3:$H$102,4,FALSE)+(VLOOKUP(VLOOKUP(K$1,main!$A$3:$H$102,8,FALSE),main!$K$19:$O$22,MATCH(VLOOKUP($A60,main!$A$3:$H$102,7,FALSE),main!$K$18:$O$18,0),0))),0)</f>
        <v>135</v>
      </c>
      <c r="L60">
        <f>IF((gamma!L60),IF(VLOOKUP(L$1,main!$A$3:$H$102,7,FALSE)=VLOOKUP($A60,main!$A$3:$H$102,8,FALSE),VLOOKUP(L$1,main!$A$3:$H$102,4,FALSE),VLOOKUP(L$1,main!$A$3:$H$102,4,FALSE)+VLOOKUP($A60,main!$A$3:$H$102,4,FALSE)+(VLOOKUP(VLOOKUP(L$1,main!$A$3:$H$102,8,FALSE),main!$K$19:$O$22,MATCH(VLOOKUP($A60,main!$A$3:$H$102,7,FALSE),main!$K$18:$O$18,0),0))),0)</f>
        <v>135</v>
      </c>
      <c r="M60">
        <f>IF((gamma!M60),IF(VLOOKUP(M$1,main!$A$3:$H$102,7,FALSE)=VLOOKUP($A60,main!$A$3:$H$102,8,FALSE),VLOOKUP(M$1,main!$A$3:$H$102,4,FALSE),VLOOKUP(M$1,main!$A$3:$H$102,4,FALSE)+VLOOKUP($A60,main!$A$3:$H$102,4,FALSE)+(VLOOKUP(VLOOKUP(M$1,main!$A$3:$H$102,8,FALSE),main!$K$19:$O$22,MATCH(VLOOKUP($A60,main!$A$3:$H$102,7,FALSE),main!$K$18:$O$18,0),0))),0)</f>
        <v>0</v>
      </c>
      <c r="N60">
        <f>IF((gamma!N60),IF(VLOOKUP(N$1,main!$A$3:$H$102,7,FALSE)=VLOOKUP($A60,main!$A$3:$H$102,8,FALSE),VLOOKUP(N$1,main!$A$3:$H$102,4,FALSE),VLOOKUP(N$1,main!$A$3:$H$102,4,FALSE)+VLOOKUP($A60,main!$A$3:$H$102,4,FALSE)+(VLOOKUP(VLOOKUP(N$1,main!$A$3:$H$102,8,FALSE),main!$K$19:$O$22,MATCH(VLOOKUP($A60,main!$A$3:$H$102,7,FALSE),main!$K$18:$O$18,0),0))),0)</f>
        <v>0</v>
      </c>
      <c r="O60">
        <f>IF((gamma!O60),IF(VLOOKUP(O$1,main!$A$3:$H$102,7,FALSE)=VLOOKUP($A60,main!$A$3:$H$102,8,FALSE),VLOOKUP(O$1,main!$A$3:$H$102,4,FALSE),VLOOKUP(O$1,main!$A$3:$H$102,4,FALSE)+VLOOKUP($A60,main!$A$3:$H$102,4,FALSE)+(VLOOKUP(VLOOKUP(O$1,main!$A$3:$H$102,8,FALSE),main!$K$19:$O$22,MATCH(VLOOKUP($A60,main!$A$3:$H$102,7,FALSE),main!$K$18:$O$18,0),0))),0)</f>
        <v>0</v>
      </c>
      <c r="P60">
        <f>IF((gamma!P60),IF(VLOOKUP(P$1,main!$A$3:$H$102,7,FALSE)=VLOOKUP($A60,main!$A$3:$H$102,8,FALSE),VLOOKUP(P$1,main!$A$3:$H$102,4,FALSE),VLOOKUP(P$1,main!$A$3:$H$102,4,FALSE)+VLOOKUP($A60,main!$A$3:$H$102,4,FALSE)+(VLOOKUP(VLOOKUP(P$1,main!$A$3:$H$102,8,FALSE),main!$K$19:$O$22,MATCH(VLOOKUP($A60,main!$A$3:$H$102,7,FALSE),main!$K$18:$O$18,0),0))),0)</f>
        <v>0</v>
      </c>
      <c r="Q60">
        <f>IF((gamma!Q60),IF(VLOOKUP(Q$1,main!$A$3:$H$102,7,FALSE)=VLOOKUP($A60,main!$A$3:$H$102,8,FALSE),VLOOKUP(Q$1,main!$A$3:$H$102,4,FALSE),VLOOKUP(Q$1,main!$A$3:$H$102,4,FALSE)+VLOOKUP($A60,main!$A$3:$H$102,4,FALSE)+(VLOOKUP(VLOOKUP(Q$1,main!$A$3:$H$102,8,FALSE),main!$K$19:$O$22,MATCH(VLOOKUP($A60,main!$A$3:$H$102,7,FALSE),main!$K$18:$O$18,0),0))),0)</f>
        <v>0</v>
      </c>
      <c r="R60">
        <f>IF((gamma!R60),IF(VLOOKUP(R$1,main!$A$3:$H$102,7,FALSE)=VLOOKUP($A60,main!$A$3:$H$102,8,FALSE),VLOOKUP(R$1,main!$A$3:$H$102,4,FALSE),VLOOKUP(R$1,main!$A$3:$H$102,4,FALSE)+VLOOKUP($A60,main!$A$3:$H$102,4,FALSE)+(VLOOKUP(VLOOKUP(R$1,main!$A$3:$H$102,8,FALSE),main!$K$19:$O$22,MATCH(VLOOKUP($A60,main!$A$3:$H$102,7,FALSE),main!$K$18:$O$18,0),0))),0)</f>
        <v>0</v>
      </c>
      <c r="S60">
        <f>IF((gamma!S60),IF(VLOOKUP(S$1,main!$A$3:$H$102,7,FALSE)=VLOOKUP($A60,main!$A$3:$H$102,8,FALSE),VLOOKUP(S$1,main!$A$3:$H$102,4,FALSE),VLOOKUP(S$1,main!$A$3:$H$102,4,FALSE)+VLOOKUP($A60,main!$A$3:$H$102,4,FALSE)+(VLOOKUP(VLOOKUP(S$1,main!$A$3:$H$102,8,FALSE),main!$K$19:$O$22,MATCH(VLOOKUP($A60,main!$A$3:$H$102,7,FALSE),main!$K$18:$O$18,0),0))),0)</f>
        <v>0</v>
      </c>
      <c r="T60">
        <f>IF((gamma!T60),IF(VLOOKUP(T$1,main!$A$3:$H$102,7,FALSE)=VLOOKUP($A60,main!$A$3:$H$102,8,FALSE),VLOOKUP(T$1,main!$A$3:$H$102,4,FALSE),VLOOKUP(T$1,main!$A$3:$H$102,4,FALSE)+VLOOKUP($A60,main!$A$3:$H$102,4,FALSE)+(VLOOKUP(VLOOKUP(T$1,main!$A$3:$H$102,8,FALSE),main!$K$19:$O$22,MATCH(VLOOKUP($A60,main!$A$3:$H$102,7,FALSE),main!$K$18:$O$18,0),0))),0)</f>
        <v>140</v>
      </c>
      <c r="U60">
        <f>IF((gamma!U60),IF(VLOOKUP(U$1,main!$A$3:$H$102,7,FALSE)=VLOOKUP($A60,main!$A$3:$H$102,8,FALSE),VLOOKUP(U$1,main!$A$3:$H$102,4,FALSE),VLOOKUP(U$1,main!$A$3:$H$102,4,FALSE)+VLOOKUP($A60,main!$A$3:$H$102,4,FALSE)+(VLOOKUP(VLOOKUP(U$1,main!$A$3:$H$102,8,FALSE),main!$K$19:$O$22,MATCH(VLOOKUP($A60,main!$A$3:$H$102,7,FALSE),main!$K$18:$O$18,0),0))),0)</f>
        <v>140</v>
      </c>
      <c r="V60">
        <f>IF((gamma!V60),IF(VLOOKUP(V$1,main!$A$3:$H$102,7,FALSE)=VLOOKUP($A60,main!$A$3:$H$102,8,FALSE),VLOOKUP(V$1,main!$A$3:$H$102,4,FALSE),VLOOKUP(V$1,main!$A$3:$H$102,4,FALSE)+VLOOKUP($A60,main!$A$3:$H$102,4,FALSE)+(VLOOKUP(VLOOKUP(V$1,main!$A$3:$H$102,8,FALSE),main!$K$19:$O$22,MATCH(VLOOKUP($A60,main!$A$3:$H$102,7,FALSE),main!$K$18:$O$18,0),0))),0)</f>
        <v>140</v>
      </c>
      <c r="W60">
        <f>IF((gamma!W60),IF(VLOOKUP(W$1,main!$A$3:$H$102,7,FALSE)=VLOOKUP($A60,main!$A$3:$H$102,8,FALSE),VLOOKUP(W$1,main!$A$3:$H$102,4,FALSE),VLOOKUP(W$1,main!$A$3:$H$102,4,FALSE)+VLOOKUP($A60,main!$A$3:$H$102,4,FALSE)+(VLOOKUP(VLOOKUP(W$1,main!$A$3:$H$102,8,FALSE),main!$K$19:$O$22,MATCH(VLOOKUP($A60,main!$A$3:$H$102,7,FALSE),main!$K$18:$O$18,0),0))),0)</f>
        <v>0</v>
      </c>
      <c r="X60">
        <f>IF((gamma!X60),IF(VLOOKUP(X$1,main!$A$3:$H$102,7,FALSE)=VLOOKUP($A60,main!$A$3:$H$102,8,FALSE),VLOOKUP(X$1,main!$A$3:$H$102,4,FALSE),VLOOKUP(X$1,main!$A$3:$H$102,4,FALSE)+VLOOKUP($A60,main!$A$3:$H$102,4,FALSE)+(VLOOKUP(VLOOKUP(X$1,main!$A$3:$H$102,8,FALSE),main!$K$19:$O$22,MATCH(VLOOKUP($A60,main!$A$3:$H$102,7,FALSE),main!$K$18:$O$18,0),0))),0)</f>
        <v>0</v>
      </c>
      <c r="Y60">
        <f>IF((gamma!Y60),IF(VLOOKUP(Y$1,main!$A$3:$H$102,7,FALSE)=VLOOKUP($A60,main!$A$3:$H$102,8,FALSE),VLOOKUP(Y$1,main!$A$3:$H$102,4,FALSE),VLOOKUP(Y$1,main!$A$3:$H$102,4,FALSE)+VLOOKUP($A60,main!$A$3:$H$102,4,FALSE)+(VLOOKUP(VLOOKUP(Y$1,main!$A$3:$H$102,8,FALSE),main!$K$19:$O$22,MATCH(VLOOKUP($A60,main!$A$3:$H$102,7,FALSE),main!$K$18:$O$18,0),0))),0)</f>
        <v>0</v>
      </c>
      <c r="Z60">
        <f>IF((gamma!Z60),IF(VLOOKUP(Z$1,main!$A$3:$H$102,7,FALSE)=VLOOKUP($A60,main!$A$3:$H$102,8,FALSE),VLOOKUP(Z$1,main!$A$3:$H$102,4,FALSE),VLOOKUP(Z$1,main!$A$3:$H$102,4,FALSE)+VLOOKUP($A60,main!$A$3:$H$102,4,FALSE)+(VLOOKUP(VLOOKUP(Z$1,main!$A$3:$H$102,8,FALSE),main!$K$19:$O$22,MATCH(VLOOKUP($A60,main!$A$3:$H$102,7,FALSE),main!$K$18:$O$18,0),0))),0)</f>
        <v>140</v>
      </c>
      <c r="AA60">
        <f>IF((gamma!AA60),IF(VLOOKUP(AA$1,main!$A$3:$H$102,7,FALSE)=VLOOKUP($A60,main!$A$3:$H$102,8,FALSE),VLOOKUP(AA$1,main!$A$3:$H$102,4,FALSE),VLOOKUP(AA$1,main!$A$3:$H$102,4,FALSE)+VLOOKUP($A60,main!$A$3:$H$102,4,FALSE)+(VLOOKUP(VLOOKUP(AA$1,main!$A$3:$H$102,8,FALSE),main!$K$19:$O$22,MATCH(VLOOKUP($A60,main!$A$3:$H$102,7,FALSE),main!$K$18:$O$18,0),0))),0)</f>
        <v>140</v>
      </c>
      <c r="AB60">
        <f>IF((gamma!AB60),IF(VLOOKUP(AB$1,main!$A$3:$H$102,7,FALSE)=VLOOKUP($A60,main!$A$3:$H$102,8,FALSE),VLOOKUP(AB$1,main!$A$3:$H$102,4,FALSE),VLOOKUP(AB$1,main!$A$3:$H$102,4,FALSE)+VLOOKUP($A60,main!$A$3:$H$102,4,FALSE)+(VLOOKUP(VLOOKUP(AB$1,main!$A$3:$H$102,8,FALSE),main!$K$19:$O$22,MATCH(VLOOKUP($A60,main!$A$3:$H$102,7,FALSE),main!$K$18:$O$18,0),0))),0)</f>
        <v>0</v>
      </c>
      <c r="AC60">
        <f>IF((gamma!AC60),IF(VLOOKUP(AC$1,main!$A$3:$H$102,7,FALSE)=VLOOKUP($A60,main!$A$3:$H$102,8,FALSE),VLOOKUP(AC$1,main!$A$3:$H$102,4,FALSE),VLOOKUP(AC$1,main!$A$3:$H$102,4,FALSE)+VLOOKUP($A60,main!$A$3:$H$102,4,FALSE)+(VLOOKUP(VLOOKUP(AC$1,main!$A$3:$H$102,8,FALSE),main!$K$19:$O$22,MATCH(VLOOKUP($A60,main!$A$3:$H$102,7,FALSE),main!$K$18:$O$18,0),0))),0)</f>
        <v>0</v>
      </c>
      <c r="AD60">
        <f>IF((gamma!AD60),IF(VLOOKUP(AD$1,main!$A$3:$H$102,7,FALSE)=VLOOKUP($A60,main!$A$3:$H$102,8,FALSE),VLOOKUP(AD$1,main!$A$3:$H$102,4,FALSE),VLOOKUP(AD$1,main!$A$3:$H$102,4,FALSE)+VLOOKUP($A60,main!$A$3:$H$102,4,FALSE)+(VLOOKUP(VLOOKUP(AD$1,main!$A$3:$H$102,8,FALSE),main!$K$19:$O$22,MATCH(VLOOKUP($A60,main!$A$3:$H$102,7,FALSE),main!$K$18:$O$18,0),0))),0)</f>
        <v>0</v>
      </c>
      <c r="AE60">
        <f>IF((gamma!AE60),IF(VLOOKUP(AE$1,main!$A$3:$H$102,7,FALSE)=VLOOKUP($A60,main!$A$3:$H$102,8,FALSE),VLOOKUP(AE$1,main!$A$3:$H$102,4,FALSE),VLOOKUP(AE$1,main!$A$3:$H$102,4,FALSE)+VLOOKUP($A60,main!$A$3:$H$102,4,FALSE)+(VLOOKUP(VLOOKUP(AE$1,main!$A$3:$H$102,8,FALSE),main!$K$19:$O$22,MATCH(VLOOKUP($A60,main!$A$3:$H$102,7,FALSE),main!$K$18:$O$18,0),0))),0)</f>
        <v>0</v>
      </c>
      <c r="AF60">
        <f>IF((gamma!AF60),IF(VLOOKUP(AF$1,main!$A$3:$H$102,7,FALSE)=VLOOKUP($A60,main!$A$3:$H$102,8,FALSE),VLOOKUP(AF$1,main!$A$3:$H$102,4,FALSE),VLOOKUP(AF$1,main!$A$3:$H$102,4,FALSE)+VLOOKUP($A60,main!$A$3:$H$102,4,FALSE)+(VLOOKUP(VLOOKUP(AF$1,main!$A$3:$H$102,8,FALSE),main!$K$19:$O$22,MATCH(VLOOKUP($A60,main!$A$3:$H$102,7,FALSE),main!$K$18:$O$18,0),0))),0)</f>
        <v>100</v>
      </c>
      <c r="AG60">
        <f>IF((gamma!AG60),IF(VLOOKUP(AG$1,main!$A$3:$H$102,7,FALSE)=VLOOKUP($A60,main!$A$3:$H$102,8,FALSE),VLOOKUP(AG$1,main!$A$3:$H$102,4,FALSE),VLOOKUP(AG$1,main!$A$3:$H$102,4,FALSE)+VLOOKUP($A60,main!$A$3:$H$102,4,FALSE)+(VLOOKUP(VLOOKUP(AG$1,main!$A$3:$H$102,8,FALSE),main!$K$19:$O$22,MATCH(VLOOKUP($A60,main!$A$3:$H$102,7,FALSE),main!$K$18:$O$18,0),0))),0)</f>
        <v>0</v>
      </c>
      <c r="AH60">
        <f>IF((gamma!AH60),IF(VLOOKUP(AH$1,main!$A$3:$H$102,7,FALSE)=VLOOKUP($A60,main!$A$3:$H$102,8,FALSE),VLOOKUP(AH$1,main!$A$3:$H$102,4,FALSE),VLOOKUP(AH$1,main!$A$3:$H$102,4,FALSE)+VLOOKUP($A60,main!$A$3:$H$102,4,FALSE)+(VLOOKUP(VLOOKUP(AH$1,main!$A$3:$H$102,8,FALSE),main!$K$19:$O$22,MATCH(VLOOKUP($A60,main!$A$3:$H$102,7,FALSE),main!$K$18:$O$18,0),0))),0)</f>
        <v>0</v>
      </c>
      <c r="AI60">
        <f>IF((gamma!AI60),IF(VLOOKUP(AI$1,main!$A$3:$H$102,7,FALSE)=VLOOKUP($A60,main!$A$3:$H$102,8,FALSE),VLOOKUP(AI$1,main!$A$3:$H$102,4,FALSE),VLOOKUP(AI$1,main!$A$3:$H$102,4,FALSE)+VLOOKUP($A60,main!$A$3:$H$102,4,FALSE)+(VLOOKUP(VLOOKUP(AI$1,main!$A$3:$H$102,8,FALSE),main!$K$19:$O$22,MATCH(VLOOKUP($A60,main!$A$3:$H$102,7,FALSE),main!$K$18:$O$18,0),0))),0)</f>
        <v>0</v>
      </c>
      <c r="AJ60">
        <f>IF((gamma!AJ60),IF(VLOOKUP(AJ$1,main!$A$3:$H$102,7,FALSE)=VLOOKUP($A60,main!$A$3:$H$102,8,FALSE),VLOOKUP(AJ$1,main!$A$3:$H$102,4,FALSE),VLOOKUP(AJ$1,main!$A$3:$H$102,4,FALSE)+VLOOKUP($A60,main!$A$3:$H$102,4,FALSE)+(VLOOKUP(VLOOKUP(AJ$1,main!$A$3:$H$102,8,FALSE),main!$K$19:$O$22,MATCH(VLOOKUP($A60,main!$A$3:$H$102,7,FALSE),main!$K$18:$O$18,0),0))),0)</f>
        <v>0</v>
      </c>
      <c r="AK60">
        <f>IF((gamma!AK60),IF(VLOOKUP(AK$1,main!$A$3:$H$102,7,FALSE)=VLOOKUP($A60,main!$A$3:$H$102,8,FALSE),VLOOKUP(AK$1,main!$A$3:$H$102,4,FALSE),VLOOKUP(AK$1,main!$A$3:$H$102,4,FALSE)+VLOOKUP($A60,main!$A$3:$H$102,4,FALSE)+(VLOOKUP(VLOOKUP(AK$1,main!$A$3:$H$102,8,FALSE),main!$K$19:$O$22,MATCH(VLOOKUP($A60,main!$A$3:$H$102,7,FALSE),main!$K$18:$O$18,0),0))),0)</f>
        <v>0</v>
      </c>
      <c r="AL60">
        <f>IF((gamma!AL60),IF(VLOOKUP(AL$1,main!$A$3:$H$102,7,FALSE)=VLOOKUP($A60,main!$A$3:$H$102,8,FALSE),VLOOKUP(AL$1,main!$A$3:$H$102,4,FALSE),VLOOKUP(AL$1,main!$A$3:$H$102,4,FALSE)+VLOOKUP($A60,main!$A$3:$H$102,4,FALSE)+(VLOOKUP(VLOOKUP(AL$1,main!$A$3:$H$102,8,FALSE),main!$K$19:$O$22,MATCH(VLOOKUP($A60,main!$A$3:$H$102,7,FALSE),main!$K$18:$O$18,0),0))),0)</f>
        <v>290</v>
      </c>
      <c r="AM60">
        <f>IF((gamma!AM60),IF(VLOOKUP(AM$1,main!$A$3:$H$102,7,FALSE)=VLOOKUP($A60,main!$A$3:$H$102,8,FALSE),VLOOKUP(AM$1,main!$A$3:$H$102,4,FALSE),VLOOKUP(AM$1,main!$A$3:$H$102,4,FALSE)+VLOOKUP($A60,main!$A$3:$H$102,4,FALSE)+(VLOOKUP(VLOOKUP(AM$1,main!$A$3:$H$102,8,FALSE),main!$K$19:$O$22,MATCH(VLOOKUP($A60,main!$A$3:$H$102,7,FALSE),main!$K$18:$O$18,0),0))),0)</f>
        <v>290</v>
      </c>
      <c r="AN60">
        <f>IF((gamma!AN60),IF(VLOOKUP(AN$1,main!$A$3:$H$102,7,FALSE)=VLOOKUP($A60,main!$A$3:$H$102,8,FALSE),VLOOKUP(AN$1,main!$A$3:$H$102,4,FALSE),VLOOKUP(AN$1,main!$A$3:$H$102,4,FALSE)+VLOOKUP($A60,main!$A$3:$H$102,4,FALSE)+(VLOOKUP(VLOOKUP(AN$1,main!$A$3:$H$102,8,FALSE),main!$K$19:$O$22,MATCH(VLOOKUP($A60,main!$A$3:$H$102,7,FALSE),main!$K$18:$O$18,0),0))),0)</f>
        <v>290</v>
      </c>
      <c r="AO60">
        <f>IF((gamma!AO60),IF(VLOOKUP(AO$1,main!$A$3:$H$102,7,FALSE)=VLOOKUP($A60,main!$A$3:$H$102,8,FALSE),VLOOKUP(AO$1,main!$A$3:$H$102,4,FALSE),VLOOKUP(AO$1,main!$A$3:$H$102,4,FALSE)+VLOOKUP($A60,main!$A$3:$H$102,4,FALSE)+(VLOOKUP(VLOOKUP(AO$1,main!$A$3:$H$102,8,FALSE),main!$K$19:$O$22,MATCH(VLOOKUP($A60,main!$A$3:$H$102,7,FALSE),main!$K$18:$O$18,0),0))),0)</f>
        <v>0</v>
      </c>
      <c r="AP60">
        <f>IF((gamma!AP60),IF(VLOOKUP(AP$1,main!$A$3:$H$102,7,FALSE)=VLOOKUP($A60,main!$A$3:$H$102,8,FALSE),VLOOKUP(AP$1,main!$A$3:$H$102,4,FALSE),VLOOKUP(AP$1,main!$A$3:$H$102,4,FALSE)+VLOOKUP($A60,main!$A$3:$H$102,4,FALSE)+(VLOOKUP(VLOOKUP(AP$1,main!$A$3:$H$102,8,FALSE),main!$K$19:$O$22,MATCH(VLOOKUP($A60,main!$A$3:$H$102,7,FALSE),main!$K$18:$O$18,0),0))),0)</f>
        <v>230</v>
      </c>
      <c r="AQ60">
        <f>IF((gamma!AQ60),IF(VLOOKUP(AQ$1,main!$A$3:$H$102,7,FALSE)=VLOOKUP($A60,main!$A$3:$H$102,8,FALSE),VLOOKUP(AQ$1,main!$A$3:$H$102,4,FALSE),VLOOKUP(AQ$1,main!$A$3:$H$102,4,FALSE)+VLOOKUP($A60,main!$A$3:$H$102,4,FALSE)+(VLOOKUP(VLOOKUP(AQ$1,main!$A$3:$H$102,8,FALSE),main!$K$19:$O$22,MATCH(VLOOKUP($A60,main!$A$3:$H$102,7,FALSE),main!$K$18:$O$18,0),0))),0)</f>
        <v>0</v>
      </c>
      <c r="AR60">
        <f>IF((gamma!AR60),IF(VLOOKUP(AR$1,main!$A$3:$H$102,7,FALSE)=VLOOKUP($A60,main!$A$3:$H$102,8,FALSE),VLOOKUP(AR$1,main!$A$3:$H$102,4,FALSE),VLOOKUP(AR$1,main!$A$3:$H$102,4,FALSE)+VLOOKUP($A60,main!$A$3:$H$102,4,FALSE)+(VLOOKUP(VLOOKUP(AR$1,main!$A$3:$H$102,8,FALSE),main!$K$19:$O$22,MATCH(VLOOKUP($A60,main!$A$3:$H$102,7,FALSE),main!$K$18:$O$18,0),0))),0)</f>
        <v>0</v>
      </c>
      <c r="AS60">
        <f>IF((gamma!AS60),IF(VLOOKUP(AS$1,main!$A$3:$H$102,7,FALSE)=VLOOKUP($A60,main!$A$3:$H$102,8,FALSE),VLOOKUP(AS$1,main!$A$3:$H$102,4,FALSE),VLOOKUP(AS$1,main!$A$3:$H$102,4,FALSE)+VLOOKUP($A60,main!$A$3:$H$102,4,FALSE)+(VLOOKUP(VLOOKUP(AS$1,main!$A$3:$H$102,8,FALSE),main!$K$19:$O$22,MATCH(VLOOKUP($A60,main!$A$3:$H$102,7,FALSE),main!$K$18:$O$18,0),0))),0)</f>
        <v>0</v>
      </c>
      <c r="AT60">
        <f>IF((gamma!AT60),IF(VLOOKUP(AT$1,main!$A$3:$H$102,7,FALSE)=VLOOKUP($A60,main!$A$3:$H$102,8,FALSE),VLOOKUP(AT$1,main!$A$3:$H$102,4,FALSE),VLOOKUP(AT$1,main!$A$3:$H$102,4,FALSE)+VLOOKUP($A60,main!$A$3:$H$102,4,FALSE)+(VLOOKUP(VLOOKUP(AT$1,main!$A$3:$H$102,8,FALSE),main!$K$19:$O$22,MATCH(VLOOKUP($A60,main!$A$3:$H$102,7,FALSE),main!$K$18:$O$18,0),0))),0)</f>
        <v>0</v>
      </c>
      <c r="AU60">
        <f>IF((gamma!AU60),IF(VLOOKUP(AU$1,main!$A$3:$H$102,7,FALSE)=VLOOKUP($A60,main!$A$3:$H$102,8,FALSE),VLOOKUP(AU$1,main!$A$3:$H$102,4,FALSE),VLOOKUP(AU$1,main!$A$3:$H$102,4,FALSE)+VLOOKUP($A60,main!$A$3:$H$102,4,FALSE)+(VLOOKUP(VLOOKUP(AU$1,main!$A$3:$H$102,8,FALSE),main!$K$19:$O$22,MATCH(VLOOKUP($A60,main!$A$3:$H$102,7,FALSE),main!$K$18:$O$18,0),0))),0)</f>
        <v>0</v>
      </c>
      <c r="AV60">
        <f>IF((gamma!AV60),IF(VLOOKUP(AV$1,main!$A$3:$H$102,7,FALSE)=VLOOKUP($A60,main!$A$3:$H$102,8,FALSE),VLOOKUP(AV$1,main!$A$3:$H$102,4,FALSE),VLOOKUP(AV$1,main!$A$3:$H$102,4,FALSE)+VLOOKUP($A60,main!$A$3:$H$102,4,FALSE)+(VLOOKUP(VLOOKUP(AV$1,main!$A$3:$H$102,8,FALSE),main!$K$19:$O$22,MATCH(VLOOKUP($A60,main!$A$3:$H$102,7,FALSE),main!$K$18:$O$18,0),0))),0)</f>
        <v>0</v>
      </c>
      <c r="AW60">
        <f>IF((gamma!AW60),IF(VLOOKUP(AW$1,main!$A$3:$H$102,7,FALSE)=VLOOKUP($A60,main!$A$3:$H$102,8,FALSE),VLOOKUP(AW$1,main!$A$3:$H$102,4,FALSE),VLOOKUP(AW$1,main!$A$3:$H$102,4,FALSE)+VLOOKUP($A60,main!$A$3:$H$102,4,FALSE)+(VLOOKUP(VLOOKUP(AW$1,main!$A$3:$H$102,8,FALSE),main!$K$19:$O$22,MATCH(VLOOKUP($A60,main!$A$3:$H$102,7,FALSE),main!$K$18:$O$18,0),0))),0)</f>
        <v>0</v>
      </c>
      <c r="AX60">
        <f>IF((gamma!AX60),IF(VLOOKUP(AX$1,main!$A$3:$H$102,7,FALSE)=VLOOKUP($A60,main!$A$3:$H$102,8,FALSE),VLOOKUP(AX$1,main!$A$3:$H$102,4,FALSE),VLOOKUP(AX$1,main!$A$3:$H$102,4,FALSE)+VLOOKUP($A60,main!$A$3:$H$102,4,FALSE)+(VLOOKUP(VLOOKUP(AX$1,main!$A$3:$H$102,8,FALSE),main!$K$19:$O$22,MATCH(VLOOKUP($A60,main!$A$3:$H$102,7,FALSE),main!$K$18:$O$18,0),0))),0)</f>
        <v>0</v>
      </c>
      <c r="AY60">
        <f>IF((gamma!AY60),IF(VLOOKUP(AY$1,main!$A$3:$H$102,7,FALSE)=VLOOKUP($A60,main!$A$3:$H$102,8,FALSE),VLOOKUP(AY$1,main!$A$3:$H$102,4,FALSE),VLOOKUP(AY$1,main!$A$3:$H$102,4,FALSE)+VLOOKUP($A60,main!$A$3:$H$102,4,FALSE)+(VLOOKUP(VLOOKUP(AY$1,main!$A$3:$H$102,8,FALSE),main!$K$19:$O$22,MATCH(VLOOKUP($A60,main!$A$3:$H$102,7,FALSE),main!$K$18:$O$18,0),0))),0)</f>
        <v>0</v>
      </c>
      <c r="AZ60">
        <f>IF((gamma!AZ60),IF(VLOOKUP(AZ$1,main!$A$3:$H$102,7,FALSE)=VLOOKUP($A60,main!$A$3:$H$102,8,FALSE),VLOOKUP(AZ$1,main!$A$3:$H$102,4,FALSE),VLOOKUP(AZ$1,main!$A$3:$H$102,4,FALSE)+VLOOKUP($A60,main!$A$3:$H$102,4,FALSE)+(VLOOKUP(VLOOKUP(AZ$1,main!$A$3:$H$102,8,FALSE),main!$K$19:$O$22,MATCH(VLOOKUP($A60,main!$A$3:$H$102,7,FALSE),main!$K$18:$O$18,0),0))),0)</f>
        <v>0</v>
      </c>
      <c r="BA60">
        <f>IF((gamma!BA60),IF(VLOOKUP(BA$1,main!$A$3:$H$102,7,FALSE)=VLOOKUP($A60,main!$A$3:$H$102,8,FALSE),VLOOKUP(BA$1,main!$A$3:$H$102,4,FALSE),VLOOKUP(BA$1,main!$A$3:$H$102,4,FALSE)+VLOOKUP($A60,main!$A$3:$H$102,4,FALSE)+(VLOOKUP(VLOOKUP(BA$1,main!$A$3:$H$102,8,FALSE),main!$K$19:$O$22,MATCH(VLOOKUP($A60,main!$A$3:$H$102,7,FALSE),main!$K$18:$O$18,0),0))),0)</f>
        <v>0</v>
      </c>
      <c r="BB60">
        <f>IF((gamma!BB60),IF(VLOOKUP(BB$1,main!$A$3:$H$102,7,FALSE)=VLOOKUP($A60,main!$A$3:$H$102,8,FALSE),VLOOKUP(BB$1,main!$A$3:$H$102,4,FALSE),VLOOKUP(BB$1,main!$A$3:$H$102,4,FALSE)+VLOOKUP($A60,main!$A$3:$H$102,4,FALSE)+(VLOOKUP(VLOOKUP(BB$1,main!$A$3:$H$102,8,FALSE),main!$K$19:$O$22,MATCH(VLOOKUP($A60,main!$A$3:$H$102,7,FALSE),main!$K$18:$O$18,0),0))),0)</f>
        <v>0</v>
      </c>
      <c r="BC60">
        <f>IF((gamma!BC60),IF(VLOOKUP(BC$1,main!$A$3:$H$102,7,FALSE)=VLOOKUP($A60,main!$A$3:$H$102,8,FALSE),VLOOKUP(BC$1,main!$A$3:$H$102,4,FALSE),VLOOKUP(BC$1,main!$A$3:$H$102,4,FALSE)+VLOOKUP($A60,main!$A$3:$H$102,4,FALSE)+(VLOOKUP(VLOOKUP(BC$1,main!$A$3:$H$102,8,FALSE),main!$K$19:$O$22,MATCH(VLOOKUP($A60,main!$A$3:$H$102,7,FALSE),main!$K$18:$O$18,0),0))),0)</f>
        <v>0</v>
      </c>
      <c r="BD60">
        <f>IF((gamma!BD60),IF(VLOOKUP(BD$1,main!$A$3:$H$102,7,FALSE)=VLOOKUP($A60,main!$A$3:$H$102,8,FALSE),VLOOKUP(BD$1,main!$A$3:$H$102,4,FALSE),VLOOKUP(BD$1,main!$A$3:$H$102,4,FALSE)+VLOOKUP($A60,main!$A$3:$H$102,4,FALSE)+(VLOOKUP(VLOOKUP(BD$1,main!$A$3:$H$102,8,FALSE),main!$K$19:$O$22,MATCH(VLOOKUP($A60,main!$A$3:$H$102,7,FALSE),main!$K$18:$O$18,0),0))),0)</f>
        <v>0</v>
      </c>
      <c r="BE60">
        <f>IF((gamma!BE60),IF(VLOOKUP(BE$1,main!$A$3:$H$102,7,FALSE)=VLOOKUP($A60,main!$A$3:$H$102,8,FALSE),VLOOKUP(BE$1,main!$A$3:$H$102,4,FALSE),VLOOKUP(BE$1,main!$A$3:$H$102,4,FALSE)+VLOOKUP($A60,main!$A$3:$H$102,4,FALSE)+(VLOOKUP(VLOOKUP(BE$1,main!$A$3:$H$102,8,FALSE),main!$K$19:$O$22,MATCH(VLOOKUP($A60,main!$A$3:$H$102,7,FALSE),main!$K$18:$O$18,0),0))),0)</f>
        <v>295</v>
      </c>
      <c r="BF60">
        <f>IF((gamma!BF60),IF(VLOOKUP(BF$1,main!$A$3:$H$102,7,FALSE)=VLOOKUP($A60,main!$A$3:$H$102,8,FALSE),VLOOKUP(BF$1,main!$A$3:$H$102,4,FALSE),VLOOKUP(BF$1,main!$A$3:$H$102,4,FALSE)+VLOOKUP($A60,main!$A$3:$H$102,4,FALSE)+(VLOOKUP(VLOOKUP(BF$1,main!$A$3:$H$102,8,FALSE),main!$K$19:$O$22,MATCH(VLOOKUP($A60,main!$A$3:$H$102,7,FALSE),main!$K$18:$O$18,0),0))),0)</f>
        <v>0</v>
      </c>
      <c r="BG60">
        <f>IF((gamma!BG60),IF(VLOOKUP(BG$1,main!$A$3:$H$102,7,FALSE)=VLOOKUP($A60,main!$A$3:$H$102,8,FALSE),VLOOKUP(BG$1,main!$A$3:$H$102,4,FALSE),VLOOKUP(BG$1,main!$A$3:$H$102,4,FALSE)+VLOOKUP($A60,main!$A$3:$H$102,4,FALSE)+(VLOOKUP(VLOOKUP(BG$1,main!$A$3:$H$102,8,FALSE),main!$K$19:$O$22,MATCH(VLOOKUP($A60,main!$A$3:$H$102,7,FALSE),main!$K$18:$O$18,0),0))),0)</f>
        <v>0</v>
      </c>
      <c r="BH60">
        <f>IF((gamma!BH60),IF(VLOOKUP(BH$1,main!$A$3:$H$102,7,FALSE)=VLOOKUP($A60,main!$A$3:$H$102,8,FALSE),VLOOKUP(BH$1,main!$A$3:$H$102,4,FALSE),VLOOKUP(BH$1,main!$A$3:$H$102,4,FALSE)+VLOOKUP($A60,main!$A$3:$H$102,4,FALSE)+(VLOOKUP(VLOOKUP(BH$1,main!$A$3:$H$102,8,FALSE),main!$K$19:$O$22,MATCH(VLOOKUP($A60,main!$A$3:$H$102,7,FALSE),main!$K$18:$O$18,0),0))),0)</f>
        <v>0</v>
      </c>
      <c r="BI60">
        <f>IF((gamma!BI60),IF(VLOOKUP(BI$1,main!$A$3:$H$102,7,FALSE)=VLOOKUP($A60,main!$A$3:$H$102,8,FALSE),VLOOKUP(BI$1,main!$A$3:$H$102,4,FALSE),VLOOKUP(BI$1,main!$A$3:$H$102,4,FALSE)+VLOOKUP($A60,main!$A$3:$H$102,4,FALSE)+(VLOOKUP(VLOOKUP(BI$1,main!$A$3:$H$102,8,FALSE),main!$K$19:$O$22,MATCH(VLOOKUP($A60,main!$A$3:$H$102,7,FALSE),main!$K$18:$O$18,0),0))),0)</f>
        <v>215</v>
      </c>
      <c r="BJ60">
        <f>IF((gamma!BJ60),IF(VLOOKUP(BJ$1,main!$A$3:$H$102,7,FALSE)=VLOOKUP($A60,main!$A$3:$H$102,8,FALSE),VLOOKUP(BJ$1,main!$A$3:$H$102,4,FALSE),VLOOKUP(BJ$1,main!$A$3:$H$102,4,FALSE)+VLOOKUP($A60,main!$A$3:$H$102,4,FALSE)+(VLOOKUP(VLOOKUP(BJ$1,main!$A$3:$H$102,8,FALSE),main!$K$19:$O$22,MATCH(VLOOKUP($A60,main!$A$3:$H$102,7,FALSE),main!$K$18:$O$18,0),0))),0)</f>
        <v>245</v>
      </c>
      <c r="BK60">
        <f>IF((gamma!BK60),IF(VLOOKUP(BK$1,main!$A$3:$H$102,7,FALSE)=VLOOKUP($A60,main!$A$3:$H$102,8,FALSE),VLOOKUP(BK$1,main!$A$3:$H$102,4,FALSE),VLOOKUP(BK$1,main!$A$3:$H$102,4,FALSE)+VLOOKUP($A60,main!$A$3:$H$102,4,FALSE)+(VLOOKUP(VLOOKUP(BK$1,main!$A$3:$H$102,8,FALSE),main!$K$19:$O$22,MATCH(VLOOKUP($A60,main!$A$3:$H$102,7,FALSE),main!$K$18:$O$18,0),0))),0)</f>
        <v>0</v>
      </c>
      <c r="BL60">
        <f>IF((gamma!BL60),IF(VLOOKUP(BL$1,main!$A$3:$H$102,7,FALSE)=VLOOKUP($A60,main!$A$3:$H$102,8,FALSE),VLOOKUP(BL$1,main!$A$3:$H$102,4,FALSE),VLOOKUP(BL$1,main!$A$3:$H$102,4,FALSE)+VLOOKUP($A60,main!$A$3:$H$102,4,FALSE)+(VLOOKUP(VLOOKUP(BL$1,main!$A$3:$H$102,8,FALSE),main!$K$19:$O$22,MATCH(VLOOKUP($A60,main!$A$3:$H$102,7,FALSE),main!$K$18:$O$18,0),0))),0)</f>
        <v>0</v>
      </c>
      <c r="BM60">
        <f>IF((gamma!BM60),IF(VLOOKUP(BM$1,main!$A$3:$H$102,7,FALSE)=VLOOKUP($A60,main!$A$3:$H$102,8,FALSE),VLOOKUP(BM$1,main!$A$3:$H$102,4,FALSE),VLOOKUP(BM$1,main!$A$3:$H$102,4,FALSE)+VLOOKUP($A60,main!$A$3:$H$102,4,FALSE)+(VLOOKUP(VLOOKUP(BM$1,main!$A$3:$H$102,8,FALSE),main!$K$19:$O$22,MATCH(VLOOKUP($A60,main!$A$3:$H$102,7,FALSE),main!$K$18:$O$18,0),0))),0)</f>
        <v>0</v>
      </c>
      <c r="BN60">
        <f>IF((gamma!BN60),IF(VLOOKUP(BN$1,main!$A$3:$H$102,7,FALSE)=VLOOKUP($A60,main!$A$3:$H$102,8,FALSE),VLOOKUP(BN$1,main!$A$3:$H$102,4,FALSE),VLOOKUP(BN$1,main!$A$3:$H$102,4,FALSE)+VLOOKUP($A60,main!$A$3:$H$102,4,FALSE)+(VLOOKUP(VLOOKUP(BN$1,main!$A$3:$H$102,8,FALSE),main!$K$19:$O$22,MATCH(VLOOKUP($A60,main!$A$3:$H$102,7,FALSE),main!$K$18:$O$18,0),0))),0)</f>
        <v>0</v>
      </c>
      <c r="BO60">
        <f>IF((gamma!BO60),IF(VLOOKUP(BO$1,main!$A$3:$H$102,7,FALSE)=VLOOKUP($A60,main!$A$3:$H$102,8,FALSE),VLOOKUP(BO$1,main!$A$3:$H$102,4,FALSE),VLOOKUP(BO$1,main!$A$3:$H$102,4,FALSE)+VLOOKUP($A60,main!$A$3:$H$102,4,FALSE)+(VLOOKUP(VLOOKUP(BO$1,main!$A$3:$H$102,8,FALSE),main!$K$19:$O$22,MATCH(VLOOKUP($A60,main!$A$3:$H$102,7,FALSE),main!$K$18:$O$18,0),0))),0)</f>
        <v>0</v>
      </c>
      <c r="BP60">
        <f>IF((gamma!BP60),IF(VLOOKUP(BP$1,main!$A$3:$H$102,7,FALSE)=VLOOKUP($A60,main!$A$3:$H$102,8,FALSE),VLOOKUP(BP$1,main!$A$3:$H$102,4,FALSE),VLOOKUP(BP$1,main!$A$3:$H$102,4,FALSE)+VLOOKUP($A60,main!$A$3:$H$102,4,FALSE)+(VLOOKUP(VLOOKUP(BP$1,main!$A$3:$H$102,8,FALSE),main!$K$19:$O$22,MATCH(VLOOKUP($A60,main!$A$3:$H$102,7,FALSE),main!$K$18:$O$18,0),0))),0)</f>
        <v>0</v>
      </c>
      <c r="BQ60">
        <f>IF((gamma!BQ60),IF(VLOOKUP(BQ$1,main!$A$3:$H$102,7,FALSE)=VLOOKUP($A60,main!$A$3:$H$102,8,FALSE),VLOOKUP(BQ$1,main!$A$3:$H$102,4,FALSE),VLOOKUP(BQ$1,main!$A$3:$H$102,4,FALSE)+VLOOKUP($A60,main!$A$3:$H$102,4,FALSE)+(VLOOKUP(VLOOKUP(BQ$1,main!$A$3:$H$102,8,FALSE),main!$K$19:$O$22,MATCH(VLOOKUP($A60,main!$A$3:$H$102,7,FALSE),main!$K$18:$O$18,0),0))),0)</f>
        <v>0</v>
      </c>
      <c r="BR60">
        <f>IF((gamma!BR60),IF(VLOOKUP(BR$1,main!$A$3:$H$102,7,FALSE)=VLOOKUP($A60,main!$A$3:$H$102,8,FALSE),VLOOKUP(BR$1,main!$A$3:$H$102,4,FALSE),VLOOKUP(BR$1,main!$A$3:$H$102,4,FALSE)+VLOOKUP($A60,main!$A$3:$H$102,4,FALSE)+(VLOOKUP(VLOOKUP(BR$1,main!$A$3:$H$102,8,FALSE),main!$K$19:$O$22,MATCH(VLOOKUP($A60,main!$A$3:$H$102,7,FALSE),main!$K$18:$O$18,0),0))),0)</f>
        <v>0</v>
      </c>
      <c r="BS60">
        <f>IF((gamma!BS60),IF(VLOOKUP(BS$1,main!$A$3:$H$102,7,FALSE)=VLOOKUP($A60,main!$A$3:$H$102,8,FALSE),VLOOKUP(BS$1,main!$A$3:$H$102,4,FALSE),VLOOKUP(BS$1,main!$A$3:$H$102,4,FALSE)+VLOOKUP($A60,main!$A$3:$H$102,4,FALSE)+(VLOOKUP(VLOOKUP(BS$1,main!$A$3:$H$102,8,FALSE),main!$K$19:$O$22,MATCH(VLOOKUP($A60,main!$A$3:$H$102,7,FALSE),main!$K$18:$O$18,0),0))),0)</f>
        <v>0</v>
      </c>
      <c r="BT60">
        <f>IF((gamma!BT60),IF(VLOOKUP(BT$1,main!$A$3:$H$102,7,FALSE)=VLOOKUP($A60,main!$A$3:$H$102,8,FALSE),VLOOKUP(BT$1,main!$A$3:$H$102,4,FALSE),VLOOKUP(BT$1,main!$A$3:$H$102,4,FALSE)+VLOOKUP($A60,main!$A$3:$H$102,4,FALSE)+(VLOOKUP(VLOOKUP(BT$1,main!$A$3:$H$102,8,FALSE),main!$K$19:$O$22,MATCH(VLOOKUP($A60,main!$A$3:$H$102,7,FALSE),main!$K$18:$O$18,0),0))),0)</f>
        <v>0</v>
      </c>
      <c r="BU60">
        <f>IF((gamma!BU60),IF(VLOOKUP(BU$1,main!$A$3:$H$102,7,FALSE)=VLOOKUP($A60,main!$A$3:$H$102,8,FALSE),VLOOKUP(BU$1,main!$A$3:$H$102,4,FALSE),VLOOKUP(BU$1,main!$A$3:$H$102,4,FALSE)+VLOOKUP($A60,main!$A$3:$H$102,4,FALSE)+(VLOOKUP(VLOOKUP(BU$1,main!$A$3:$H$102,8,FALSE),main!$K$19:$O$22,MATCH(VLOOKUP($A60,main!$A$3:$H$102,7,FALSE),main!$K$18:$O$18,0),0))),0)</f>
        <v>0</v>
      </c>
      <c r="BV60">
        <f>IF((gamma!BV60),IF(VLOOKUP(BV$1,main!$A$3:$H$102,7,FALSE)=VLOOKUP($A60,main!$A$3:$H$102,8,FALSE),VLOOKUP(BV$1,main!$A$3:$H$102,4,FALSE),VLOOKUP(BV$1,main!$A$3:$H$102,4,FALSE)+VLOOKUP($A60,main!$A$3:$H$102,4,FALSE)+(VLOOKUP(VLOOKUP(BV$1,main!$A$3:$H$102,8,FALSE),main!$K$19:$O$22,MATCH(VLOOKUP($A60,main!$A$3:$H$102,7,FALSE),main!$K$18:$O$18,0),0))),0)</f>
        <v>0</v>
      </c>
      <c r="BW60">
        <f>IF((gamma!BW60),IF(VLOOKUP(BW$1,main!$A$3:$H$102,7,FALSE)=VLOOKUP($A60,main!$A$3:$H$102,8,FALSE),VLOOKUP(BW$1,main!$A$3:$H$102,4,FALSE),VLOOKUP(BW$1,main!$A$3:$H$102,4,FALSE)+VLOOKUP($A60,main!$A$3:$H$102,4,FALSE)+(VLOOKUP(VLOOKUP(BW$1,main!$A$3:$H$102,8,FALSE),main!$K$19:$O$22,MATCH(VLOOKUP($A60,main!$A$3:$H$102,7,FALSE),main!$K$18:$O$18,0),0))),0)</f>
        <v>0</v>
      </c>
      <c r="BX60">
        <f>IF((gamma!BX60),IF(VLOOKUP(BX$1,main!$A$3:$H$102,7,FALSE)=VLOOKUP($A60,main!$A$3:$H$102,8,FALSE),VLOOKUP(BX$1,main!$A$3:$H$102,4,FALSE),VLOOKUP(BX$1,main!$A$3:$H$102,4,FALSE)+VLOOKUP($A60,main!$A$3:$H$102,4,FALSE)+(VLOOKUP(VLOOKUP(BX$1,main!$A$3:$H$102,8,FALSE),main!$K$19:$O$22,MATCH(VLOOKUP($A60,main!$A$3:$H$102,7,FALSE),main!$K$18:$O$18,0),0))),0)</f>
        <v>0</v>
      </c>
      <c r="BY60">
        <f>IF((gamma!BY60),IF(VLOOKUP(BY$1,main!$A$3:$H$102,7,FALSE)=VLOOKUP($A60,main!$A$3:$H$102,8,FALSE),VLOOKUP(BY$1,main!$A$3:$H$102,4,FALSE),VLOOKUP(BY$1,main!$A$3:$H$102,4,FALSE)+VLOOKUP($A60,main!$A$3:$H$102,4,FALSE)+(VLOOKUP(VLOOKUP(BY$1,main!$A$3:$H$102,8,FALSE),main!$K$19:$O$22,MATCH(VLOOKUP($A60,main!$A$3:$H$102,7,FALSE),main!$K$18:$O$18,0),0))),0)</f>
        <v>0</v>
      </c>
      <c r="BZ60">
        <f>IF((gamma!BZ60),IF(VLOOKUP(BZ$1,main!$A$3:$H$102,7,FALSE)=VLOOKUP($A60,main!$A$3:$H$102,8,FALSE),VLOOKUP(BZ$1,main!$A$3:$H$102,4,FALSE),VLOOKUP(BZ$1,main!$A$3:$H$102,4,FALSE)+VLOOKUP($A60,main!$A$3:$H$102,4,FALSE)+(VLOOKUP(VLOOKUP(BZ$1,main!$A$3:$H$102,8,FALSE),main!$K$19:$O$22,MATCH(VLOOKUP($A60,main!$A$3:$H$102,7,FALSE),main!$K$18:$O$18,0),0))),0)</f>
        <v>0</v>
      </c>
      <c r="CA60">
        <f>IF((gamma!CA60),IF(VLOOKUP(CA$1,main!$A$3:$H$102,7,FALSE)=VLOOKUP($A60,main!$A$3:$H$102,8,FALSE),VLOOKUP(CA$1,main!$A$3:$H$102,4,FALSE),VLOOKUP(CA$1,main!$A$3:$H$102,4,FALSE)+VLOOKUP($A60,main!$A$3:$H$102,4,FALSE)+(VLOOKUP(VLOOKUP(CA$1,main!$A$3:$H$102,8,FALSE),main!$K$19:$O$22,MATCH(VLOOKUP($A60,main!$A$3:$H$102,7,FALSE),main!$K$18:$O$18,0),0))),0)</f>
        <v>0</v>
      </c>
      <c r="CB60">
        <f>IF((gamma!CB60),IF(VLOOKUP(CB$1,main!$A$3:$H$102,7,FALSE)=VLOOKUP($A60,main!$A$3:$H$102,8,FALSE),VLOOKUP(CB$1,main!$A$3:$H$102,4,FALSE),VLOOKUP(CB$1,main!$A$3:$H$102,4,FALSE)+VLOOKUP($A60,main!$A$3:$H$102,4,FALSE)+(VLOOKUP(VLOOKUP(CB$1,main!$A$3:$H$102,8,FALSE),main!$K$19:$O$22,MATCH(VLOOKUP($A60,main!$A$3:$H$102,7,FALSE),main!$K$18:$O$18,0),0))),0)</f>
        <v>0</v>
      </c>
      <c r="CC60">
        <f>IF((gamma!CC60),IF(VLOOKUP(CC$1,main!$A$3:$H$102,7,FALSE)=VLOOKUP($A60,main!$A$3:$H$102,8,FALSE),VLOOKUP(CC$1,main!$A$3:$H$102,4,FALSE),VLOOKUP(CC$1,main!$A$3:$H$102,4,FALSE)+VLOOKUP($A60,main!$A$3:$H$102,4,FALSE)+(VLOOKUP(VLOOKUP(CC$1,main!$A$3:$H$102,8,FALSE),main!$K$19:$O$22,MATCH(VLOOKUP($A60,main!$A$3:$H$102,7,FALSE),main!$K$18:$O$18,0),0))),0)</f>
        <v>213</v>
      </c>
      <c r="CD60">
        <f>IF((gamma!CD60),IF(VLOOKUP(CD$1,main!$A$3:$H$102,7,FALSE)=VLOOKUP($A60,main!$A$3:$H$102,8,FALSE),VLOOKUP(CD$1,main!$A$3:$H$102,4,FALSE),VLOOKUP(CD$1,main!$A$3:$H$102,4,FALSE)+VLOOKUP($A60,main!$A$3:$H$102,4,FALSE)+(VLOOKUP(VLOOKUP(CD$1,main!$A$3:$H$102,8,FALSE),main!$K$19:$O$22,MATCH(VLOOKUP($A60,main!$A$3:$H$102,7,FALSE),main!$K$18:$O$18,0),0))),0)</f>
        <v>0</v>
      </c>
      <c r="CE60">
        <f>IF((gamma!CE60),IF(VLOOKUP(CE$1,main!$A$3:$H$102,7,FALSE)=VLOOKUP($A60,main!$A$3:$H$102,8,FALSE),VLOOKUP(CE$1,main!$A$3:$H$102,4,FALSE),VLOOKUP(CE$1,main!$A$3:$H$102,4,FALSE)+VLOOKUP($A60,main!$A$3:$H$102,4,FALSE)+(VLOOKUP(VLOOKUP(CE$1,main!$A$3:$H$102,8,FALSE),main!$K$19:$O$22,MATCH(VLOOKUP($A60,main!$A$3:$H$102,7,FALSE),main!$K$18:$O$18,0),0))),0)</f>
        <v>0</v>
      </c>
      <c r="CF60">
        <f>IF((gamma!CF60),IF(VLOOKUP(CF$1,main!$A$3:$H$102,7,FALSE)=VLOOKUP($A60,main!$A$3:$H$102,8,FALSE),VLOOKUP(CF$1,main!$A$3:$H$102,4,FALSE),VLOOKUP(CF$1,main!$A$3:$H$102,4,FALSE)+VLOOKUP($A60,main!$A$3:$H$102,4,FALSE)+(VLOOKUP(VLOOKUP(CF$1,main!$A$3:$H$102,8,FALSE),main!$K$19:$O$22,MATCH(VLOOKUP($A60,main!$A$3:$H$102,7,FALSE),main!$K$18:$O$18,0),0))),0)</f>
        <v>0</v>
      </c>
      <c r="CG60">
        <f>IF((gamma!CG60),IF(VLOOKUP(CG$1,main!$A$3:$H$102,7,FALSE)=VLOOKUP($A60,main!$A$3:$H$102,8,FALSE),VLOOKUP(CG$1,main!$A$3:$H$102,4,FALSE),VLOOKUP(CG$1,main!$A$3:$H$102,4,FALSE)+VLOOKUP($A60,main!$A$3:$H$102,4,FALSE)+(VLOOKUP(VLOOKUP(CG$1,main!$A$3:$H$102,8,FALSE),main!$K$19:$O$22,MATCH(VLOOKUP($A60,main!$A$3:$H$102,7,FALSE),main!$K$18:$O$18,0),0))),0)</f>
        <v>0</v>
      </c>
      <c r="CH60">
        <f>IF((gamma!CH60),IF(VLOOKUP(CH$1,main!$A$3:$H$102,7,FALSE)=VLOOKUP($A60,main!$A$3:$H$102,8,FALSE),VLOOKUP(CH$1,main!$A$3:$H$102,4,FALSE),VLOOKUP(CH$1,main!$A$3:$H$102,4,FALSE)+VLOOKUP($A60,main!$A$3:$H$102,4,FALSE)+(VLOOKUP(VLOOKUP(CH$1,main!$A$3:$H$102,8,FALSE),main!$K$19:$O$22,MATCH(VLOOKUP($A60,main!$A$3:$H$102,7,FALSE),main!$K$18:$O$18,0),0))),0)</f>
        <v>295</v>
      </c>
      <c r="CI60">
        <f>IF((gamma!CI60),IF(VLOOKUP(CI$1,main!$A$3:$H$102,7,FALSE)=VLOOKUP($A60,main!$A$3:$H$102,8,FALSE),VLOOKUP(CI$1,main!$A$3:$H$102,4,FALSE),VLOOKUP(CI$1,main!$A$3:$H$102,4,FALSE)+VLOOKUP($A60,main!$A$3:$H$102,4,FALSE)+(VLOOKUP(VLOOKUP(CI$1,main!$A$3:$H$102,8,FALSE),main!$K$19:$O$22,MATCH(VLOOKUP($A60,main!$A$3:$H$102,7,FALSE),main!$K$18:$O$18,0),0))),0)</f>
        <v>295</v>
      </c>
      <c r="CJ60">
        <f>IF((gamma!CJ60),IF(VLOOKUP(CJ$1,main!$A$3:$H$102,7,FALSE)=VLOOKUP($A60,main!$A$3:$H$102,8,FALSE),VLOOKUP(CJ$1,main!$A$3:$H$102,4,FALSE),VLOOKUP(CJ$1,main!$A$3:$H$102,4,FALSE)+VLOOKUP($A60,main!$A$3:$H$102,4,FALSE)+(VLOOKUP(VLOOKUP(CJ$1,main!$A$3:$H$102,8,FALSE),main!$K$19:$O$22,MATCH(VLOOKUP($A60,main!$A$3:$H$102,7,FALSE),main!$K$18:$O$18,0),0))),0)</f>
        <v>0</v>
      </c>
      <c r="CK60">
        <f>IF((gamma!CK60),IF(VLOOKUP(CK$1,main!$A$3:$H$102,7,FALSE)=VLOOKUP($A60,main!$A$3:$H$102,8,FALSE),VLOOKUP(CK$1,main!$A$3:$H$102,4,FALSE),VLOOKUP(CK$1,main!$A$3:$H$102,4,FALSE)+VLOOKUP($A60,main!$A$3:$H$102,4,FALSE)+(VLOOKUP(VLOOKUP(CK$1,main!$A$3:$H$102,8,FALSE),main!$K$19:$O$22,MATCH(VLOOKUP($A60,main!$A$3:$H$102,7,FALSE),main!$K$18:$O$18,0),0))),0)</f>
        <v>0</v>
      </c>
      <c r="CL60">
        <f>IF((gamma!CL60),IF(VLOOKUP(CL$1,main!$A$3:$H$102,7,FALSE)=VLOOKUP($A60,main!$A$3:$H$102,8,FALSE),VLOOKUP(CL$1,main!$A$3:$H$102,4,FALSE),VLOOKUP(CL$1,main!$A$3:$H$102,4,FALSE)+VLOOKUP($A60,main!$A$3:$H$102,4,FALSE)+(VLOOKUP(VLOOKUP(CL$1,main!$A$3:$H$102,8,FALSE),main!$K$19:$O$22,MATCH(VLOOKUP($A60,main!$A$3:$H$102,7,FALSE),main!$K$18:$O$18,0),0))),0)</f>
        <v>0</v>
      </c>
      <c r="CM60">
        <f>IF((gamma!CM60),IF(VLOOKUP(CM$1,main!$A$3:$H$102,7,FALSE)=VLOOKUP($A60,main!$A$3:$H$102,8,FALSE),VLOOKUP(CM$1,main!$A$3:$H$102,4,FALSE),VLOOKUP(CM$1,main!$A$3:$H$102,4,FALSE)+VLOOKUP($A60,main!$A$3:$H$102,4,FALSE)+(VLOOKUP(VLOOKUP(CM$1,main!$A$3:$H$102,8,FALSE),main!$K$19:$O$22,MATCH(VLOOKUP($A60,main!$A$3:$H$102,7,FALSE),main!$K$18:$O$18,0),0))),0)</f>
        <v>0</v>
      </c>
      <c r="CN60">
        <f>IF((gamma!CN60),IF(VLOOKUP(CN$1,main!$A$3:$H$102,7,FALSE)=VLOOKUP($A60,main!$A$3:$H$102,8,FALSE),VLOOKUP(CN$1,main!$A$3:$H$102,4,FALSE),VLOOKUP(CN$1,main!$A$3:$H$102,4,FALSE)+VLOOKUP($A60,main!$A$3:$H$102,4,FALSE)+(VLOOKUP(VLOOKUP(CN$1,main!$A$3:$H$102,8,FALSE),main!$K$19:$O$22,MATCH(VLOOKUP($A60,main!$A$3:$H$102,7,FALSE),main!$K$18:$O$18,0),0))),0)</f>
        <v>251</v>
      </c>
      <c r="CO60">
        <f>IF((gamma!CO60),IF(VLOOKUP(CO$1,main!$A$3:$H$102,7,FALSE)=VLOOKUP($A60,main!$A$3:$H$102,8,FALSE),VLOOKUP(CO$1,main!$A$3:$H$102,4,FALSE),VLOOKUP(CO$1,main!$A$3:$H$102,4,FALSE)+VLOOKUP($A60,main!$A$3:$H$102,4,FALSE)+(VLOOKUP(VLOOKUP(CO$1,main!$A$3:$H$102,8,FALSE),main!$K$19:$O$22,MATCH(VLOOKUP($A60,main!$A$3:$H$102,7,FALSE),main!$K$18:$O$18,0),0))),0)</f>
        <v>0</v>
      </c>
      <c r="CP60">
        <f>IF((gamma!CP60),IF(VLOOKUP(CP$1,main!$A$3:$H$102,7,FALSE)=VLOOKUP($A60,main!$A$3:$H$102,8,FALSE),VLOOKUP(CP$1,main!$A$3:$H$102,4,FALSE),VLOOKUP(CP$1,main!$A$3:$H$102,4,FALSE)+VLOOKUP($A60,main!$A$3:$H$102,4,FALSE)+(VLOOKUP(VLOOKUP(CP$1,main!$A$3:$H$102,8,FALSE),main!$K$19:$O$22,MATCH(VLOOKUP($A60,main!$A$3:$H$102,7,FALSE),main!$K$18:$O$18,0),0))),0)</f>
        <v>0</v>
      </c>
      <c r="CQ60">
        <f>IF((gamma!CQ60),IF(VLOOKUP(CQ$1,main!$A$3:$H$102,7,FALSE)=VLOOKUP($A60,main!$A$3:$H$102,8,FALSE),VLOOKUP(CQ$1,main!$A$3:$H$102,4,FALSE),VLOOKUP(CQ$1,main!$A$3:$H$102,4,FALSE)+VLOOKUP($A60,main!$A$3:$H$102,4,FALSE)+(VLOOKUP(VLOOKUP(CQ$1,main!$A$3:$H$102,8,FALSE),main!$K$19:$O$22,MATCH(VLOOKUP($A60,main!$A$3:$H$102,7,FALSE),main!$K$18:$O$18,0),0))),0)</f>
        <v>0</v>
      </c>
      <c r="CR60">
        <f>IF((gamma!CR60),IF(VLOOKUP(CR$1,main!$A$3:$H$102,7,FALSE)=VLOOKUP($A60,main!$A$3:$H$102,8,FALSE),VLOOKUP(CR$1,main!$A$3:$H$102,4,FALSE),VLOOKUP(CR$1,main!$A$3:$H$102,4,FALSE)+VLOOKUP($A60,main!$A$3:$H$102,4,FALSE)+(VLOOKUP(VLOOKUP(CR$1,main!$A$3:$H$102,8,FALSE),main!$K$19:$O$22,MATCH(VLOOKUP($A60,main!$A$3:$H$102,7,FALSE),main!$K$18:$O$18,0),0))),0)</f>
        <v>0</v>
      </c>
      <c r="CS60">
        <f>IF((gamma!CS60),IF(VLOOKUP(CS$1,main!$A$3:$H$102,7,FALSE)=VLOOKUP($A60,main!$A$3:$H$102,8,FALSE),VLOOKUP(CS$1,main!$A$3:$H$102,4,FALSE),VLOOKUP(CS$1,main!$A$3:$H$102,4,FALSE)+VLOOKUP($A60,main!$A$3:$H$102,4,FALSE)+(VLOOKUP(VLOOKUP(CS$1,main!$A$3:$H$102,8,FALSE),main!$K$19:$O$22,MATCH(VLOOKUP($A60,main!$A$3:$H$102,7,FALSE),main!$K$18:$O$18,0),0))),0)</f>
        <v>0</v>
      </c>
      <c r="CT60">
        <f>IF((gamma!CT60),IF(VLOOKUP(CT$1,main!$A$3:$H$102,7,FALSE)=VLOOKUP($A60,main!$A$3:$H$102,8,FALSE),VLOOKUP(CT$1,main!$A$3:$H$102,4,FALSE),VLOOKUP(CT$1,main!$A$3:$H$102,4,FALSE)+VLOOKUP($A60,main!$A$3:$H$102,4,FALSE)+(VLOOKUP(VLOOKUP(CT$1,main!$A$3:$H$102,8,FALSE),main!$K$19:$O$22,MATCH(VLOOKUP($A60,main!$A$3:$H$102,7,FALSE),main!$K$18:$O$18,0),0))),0)</f>
        <v>0</v>
      </c>
      <c r="CU60">
        <f>IF((gamma!CU60),IF(VLOOKUP(CU$1,main!$A$3:$H$102,7,FALSE)=VLOOKUP($A60,main!$A$3:$H$102,8,FALSE),VLOOKUP(CU$1,main!$A$3:$H$102,4,FALSE),VLOOKUP(CU$1,main!$A$3:$H$102,4,FALSE)+VLOOKUP($A60,main!$A$3:$H$102,4,FALSE)+(VLOOKUP(VLOOKUP(CU$1,main!$A$3:$H$102,8,FALSE),main!$K$19:$O$22,MATCH(VLOOKUP($A60,main!$A$3:$H$102,7,FALSE),main!$K$18:$O$18,0),0))),0)</f>
        <v>0</v>
      </c>
      <c r="CV60">
        <f>IF((gamma!CV60),IF(VLOOKUP(CV$1,main!$A$3:$H$102,7,FALSE)=VLOOKUP($A60,main!$A$3:$H$102,8,FALSE),VLOOKUP(CV$1,main!$A$3:$H$102,4,FALSE),VLOOKUP(CV$1,main!$A$3:$H$102,4,FALSE)+VLOOKUP($A60,main!$A$3:$H$102,4,FALSE)+(VLOOKUP(VLOOKUP(CV$1,main!$A$3:$H$102,8,FALSE),main!$K$19:$O$22,MATCH(VLOOKUP($A60,main!$A$3:$H$102,7,FALSE),main!$K$18:$O$18,0),0))),0)</f>
        <v>0</v>
      </c>
      <c r="CW60">
        <f>IF((gamma!CW60),IF(VLOOKUP(CW$1,main!$A$3:$H$102,7,FALSE)=VLOOKUP($A60,main!$A$3:$H$102,8,FALSE),VLOOKUP(CW$1,main!$A$3:$H$102,4,FALSE),VLOOKUP(CW$1,main!$A$3:$H$102,4,FALSE)+VLOOKUP($A60,main!$A$3:$H$102,4,FALSE)+(VLOOKUP(VLOOKUP(CW$1,main!$A$3:$H$102,8,FALSE),main!$K$19:$O$22,MATCH(VLOOKUP($A60,main!$A$3:$H$102,7,FALSE),main!$K$18:$O$18,0),0))),0)</f>
        <v>0</v>
      </c>
      <c r="CX60">
        <f>IF((gamma!CX60),IF(VLOOKUP(CX$1,main!$A$3:$H$102,7,FALSE)=VLOOKUP($A60,main!$A$3:$H$102,8,FALSE),VLOOKUP(CX$1,main!$A$3:$H$102,4,FALSE),VLOOKUP(CX$1,main!$A$3:$H$102,4,FALSE)+VLOOKUP($A60,main!$A$3:$H$102,4,FALSE)+(VLOOKUP(VLOOKUP(CX$1,main!$A$3:$H$102,8,FALSE),main!$K$19:$O$22,MATCH(VLOOKUP($A60,main!$A$3:$H$102,7,FALSE),main!$K$18:$O$18,0),0))),0)</f>
        <v>210</v>
      </c>
      <c r="CY60">
        <v>0</v>
      </c>
      <c r="CZ60">
        <v>0</v>
      </c>
      <c r="DA60">
        <v>0</v>
      </c>
    </row>
    <row r="61" spans="1:105" x14ac:dyDescent="0.25">
      <c r="A61" s="1">
        <v>59</v>
      </c>
      <c r="B61">
        <v>0</v>
      </c>
      <c r="C61">
        <f>IF((gamma!C61),IF(VLOOKUP(C$1,main!$A$3:$H$102,7,FALSE)=VLOOKUP($A61,main!$A$3:$H$102,8,FALSE),VLOOKUP(C$1,main!$A$3:$H$102,4,FALSE),VLOOKUP(C$1,main!$A$3:$H$102,4,FALSE)+VLOOKUP($A61,main!$A$3:$H$102,4,FALSE)+(VLOOKUP(VLOOKUP(C$1,main!$A$3:$H$102,8,FALSE),main!$K$19:$O$22,MATCH(VLOOKUP($A61,main!$A$3:$H$102,7,FALSE),main!$K$18:$O$18,0),0))),0)</f>
        <v>0</v>
      </c>
      <c r="D61">
        <f>IF((gamma!D61),IF(VLOOKUP(D$1,main!$A$3:$H$102,7,FALSE)=VLOOKUP($A61,main!$A$3:$H$102,8,FALSE),VLOOKUP(D$1,main!$A$3:$H$102,4,FALSE),VLOOKUP(D$1,main!$A$3:$H$102,4,FALSE)+VLOOKUP($A61,main!$A$3:$H$102,4,FALSE)+(VLOOKUP(VLOOKUP(D$1,main!$A$3:$H$102,8,FALSE),main!$K$19:$O$22,MATCH(VLOOKUP($A61,main!$A$3:$H$102,7,FALSE),main!$K$18:$O$18,0),0))),0)</f>
        <v>0</v>
      </c>
      <c r="E61">
        <f>IF((gamma!E61),IF(VLOOKUP(E$1,main!$A$3:$H$102,7,FALSE)=VLOOKUP($A61,main!$A$3:$H$102,8,FALSE),VLOOKUP(E$1,main!$A$3:$H$102,4,FALSE),VLOOKUP(E$1,main!$A$3:$H$102,4,FALSE)+VLOOKUP($A61,main!$A$3:$H$102,4,FALSE)+(VLOOKUP(VLOOKUP(E$1,main!$A$3:$H$102,8,FALSE),main!$K$19:$O$22,MATCH(VLOOKUP($A61,main!$A$3:$H$102,7,FALSE),main!$K$18:$O$18,0),0))),0)</f>
        <v>0</v>
      </c>
      <c r="F61">
        <f>IF((gamma!F61),IF(VLOOKUP(F$1,main!$A$3:$H$102,7,FALSE)=VLOOKUP($A61,main!$A$3:$H$102,8,FALSE),VLOOKUP(F$1,main!$A$3:$H$102,4,FALSE),VLOOKUP(F$1,main!$A$3:$H$102,4,FALSE)+VLOOKUP($A61,main!$A$3:$H$102,4,FALSE)+(VLOOKUP(VLOOKUP(F$1,main!$A$3:$H$102,8,FALSE),main!$K$19:$O$22,MATCH(VLOOKUP($A61,main!$A$3:$H$102,7,FALSE),main!$K$18:$O$18,0),0))),0)</f>
        <v>0</v>
      </c>
      <c r="G61">
        <f>IF((gamma!G61),IF(VLOOKUP(G$1,main!$A$3:$H$102,7,FALSE)=VLOOKUP($A61,main!$A$3:$H$102,8,FALSE),VLOOKUP(G$1,main!$A$3:$H$102,4,FALSE),VLOOKUP(G$1,main!$A$3:$H$102,4,FALSE)+VLOOKUP($A61,main!$A$3:$H$102,4,FALSE)+(VLOOKUP(VLOOKUP(G$1,main!$A$3:$H$102,8,FALSE),main!$K$19:$O$22,MATCH(VLOOKUP($A61,main!$A$3:$H$102,7,FALSE),main!$K$18:$O$18,0),0))),0)</f>
        <v>0</v>
      </c>
      <c r="H61">
        <f>IF((gamma!H61),IF(VLOOKUP(H$1,main!$A$3:$H$102,7,FALSE)=VLOOKUP($A61,main!$A$3:$H$102,8,FALSE),VLOOKUP(H$1,main!$A$3:$H$102,4,FALSE),VLOOKUP(H$1,main!$A$3:$H$102,4,FALSE)+VLOOKUP($A61,main!$A$3:$H$102,4,FALSE)+(VLOOKUP(VLOOKUP(H$1,main!$A$3:$H$102,8,FALSE),main!$K$19:$O$22,MATCH(VLOOKUP($A61,main!$A$3:$H$102,7,FALSE),main!$K$18:$O$18,0),0))),0)</f>
        <v>0</v>
      </c>
      <c r="I61">
        <f>IF((gamma!I61),IF(VLOOKUP(I$1,main!$A$3:$H$102,7,FALSE)=VLOOKUP($A61,main!$A$3:$H$102,8,FALSE),VLOOKUP(I$1,main!$A$3:$H$102,4,FALSE),VLOOKUP(I$1,main!$A$3:$H$102,4,FALSE)+VLOOKUP($A61,main!$A$3:$H$102,4,FALSE)+(VLOOKUP(VLOOKUP(I$1,main!$A$3:$H$102,8,FALSE),main!$K$19:$O$22,MATCH(VLOOKUP($A61,main!$A$3:$H$102,7,FALSE),main!$K$18:$O$18,0),0))),0)</f>
        <v>0</v>
      </c>
      <c r="J61">
        <f>IF((gamma!J61),IF(VLOOKUP(J$1,main!$A$3:$H$102,7,FALSE)=VLOOKUP($A61,main!$A$3:$H$102,8,FALSE),VLOOKUP(J$1,main!$A$3:$H$102,4,FALSE),VLOOKUP(J$1,main!$A$3:$H$102,4,FALSE)+VLOOKUP($A61,main!$A$3:$H$102,4,FALSE)+(VLOOKUP(VLOOKUP(J$1,main!$A$3:$H$102,8,FALSE),main!$K$19:$O$22,MATCH(VLOOKUP($A61,main!$A$3:$H$102,7,FALSE),main!$K$18:$O$18,0),0))),0)</f>
        <v>0</v>
      </c>
      <c r="K61">
        <f>IF((gamma!K61),IF(VLOOKUP(K$1,main!$A$3:$H$102,7,FALSE)=VLOOKUP($A61,main!$A$3:$H$102,8,FALSE),VLOOKUP(K$1,main!$A$3:$H$102,4,FALSE),VLOOKUP(K$1,main!$A$3:$H$102,4,FALSE)+VLOOKUP($A61,main!$A$3:$H$102,4,FALSE)+(VLOOKUP(VLOOKUP(K$1,main!$A$3:$H$102,8,FALSE),main!$K$19:$O$22,MATCH(VLOOKUP($A61,main!$A$3:$H$102,7,FALSE),main!$K$18:$O$18,0),0))),0)</f>
        <v>0</v>
      </c>
      <c r="L61">
        <f>IF((gamma!L61),IF(VLOOKUP(L$1,main!$A$3:$H$102,7,FALSE)=VLOOKUP($A61,main!$A$3:$H$102,8,FALSE),VLOOKUP(L$1,main!$A$3:$H$102,4,FALSE),VLOOKUP(L$1,main!$A$3:$H$102,4,FALSE)+VLOOKUP($A61,main!$A$3:$H$102,4,FALSE)+(VLOOKUP(VLOOKUP(L$1,main!$A$3:$H$102,8,FALSE),main!$K$19:$O$22,MATCH(VLOOKUP($A61,main!$A$3:$H$102,7,FALSE),main!$K$18:$O$18,0),0))),0)</f>
        <v>0</v>
      </c>
      <c r="M61">
        <f>IF((gamma!M61),IF(VLOOKUP(M$1,main!$A$3:$H$102,7,FALSE)=VLOOKUP($A61,main!$A$3:$H$102,8,FALSE),VLOOKUP(M$1,main!$A$3:$H$102,4,FALSE),VLOOKUP(M$1,main!$A$3:$H$102,4,FALSE)+VLOOKUP($A61,main!$A$3:$H$102,4,FALSE)+(VLOOKUP(VLOOKUP(M$1,main!$A$3:$H$102,8,FALSE),main!$K$19:$O$22,MATCH(VLOOKUP($A61,main!$A$3:$H$102,7,FALSE),main!$K$18:$O$18,0),0))),0)</f>
        <v>0</v>
      </c>
      <c r="N61">
        <f>IF((gamma!N61),IF(VLOOKUP(N$1,main!$A$3:$H$102,7,FALSE)=VLOOKUP($A61,main!$A$3:$H$102,8,FALSE),VLOOKUP(N$1,main!$A$3:$H$102,4,FALSE),VLOOKUP(N$1,main!$A$3:$H$102,4,FALSE)+VLOOKUP($A61,main!$A$3:$H$102,4,FALSE)+(VLOOKUP(VLOOKUP(N$1,main!$A$3:$H$102,8,FALSE),main!$K$19:$O$22,MATCH(VLOOKUP($A61,main!$A$3:$H$102,7,FALSE),main!$K$18:$O$18,0),0))),0)</f>
        <v>0</v>
      </c>
      <c r="O61">
        <f>IF((gamma!O61),IF(VLOOKUP(O$1,main!$A$3:$H$102,7,FALSE)=VLOOKUP($A61,main!$A$3:$H$102,8,FALSE),VLOOKUP(O$1,main!$A$3:$H$102,4,FALSE),VLOOKUP(O$1,main!$A$3:$H$102,4,FALSE)+VLOOKUP($A61,main!$A$3:$H$102,4,FALSE)+(VLOOKUP(VLOOKUP(O$1,main!$A$3:$H$102,8,FALSE),main!$K$19:$O$22,MATCH(VLOOKUP($A61,main!$A$3:$H$102,7,FALSE),main!$K$18:$O$18,0),0))),0)</f>
        <v>0</v>
      </c>
      <c r="P61">
        <f>IF((gamma!P61),IF(VLOOKUP(P$1,main!$A$3:$H$102,7,FALSE)=VLOOKUP($A61,main!$A$3:$H$102,8,FALSE),VLOOKUP(P$1,main!$A$3:$H$102,4,FALSE),VLOOKUP(P$1,main!$A$3:$H$102,4,FALSE)+VLOOKUP($A61,main!$A$3:$H$102,4,FALSE)+(VLOOKUP(VLOOKUP(P$1,main!$A$3:$H$102,8,FALSE),main!$K$19:$O$22,MATCH(VLOOKUP($A61,main!$A$3:$H$102,7,FALSE),main!$K$18:$O$18,0),0))),0)</f>
        <v>0</v>
      </c>
      <c r="Q61">
        <f>IF((gamma!Q61),IF(VLOOKUP(Q$1,main!$A$3:$H$102,7,FALSE)=VLOOKUP($A61,main!$A$3:$H$102,8,FALSE),VLOOKUP(Q$1,main!$A$3:$H$102,4,FALSE),VLOOKUP(Q$1,main!$A$3:$H$102,4,FALSE)+VLOOKUP($A61,main!$A$3:$H$102,4,FALSE)+(VLOOKUP(VLOOKUP(Q$1,main!$A$3:$H$102,8,FALSE),main!$K$19:$O$22,MATCH(VLOOKUP($A61,main!$A$3:$H$102,7,FALSE),main!$K$18:$O$18,0),0))),0)</f>
        <v>0</v>
      </c>
      <c r="R61">
        <f>IF((gamma!R61),IF(VLOOKUP(R$1,main!$A$3:$H$102,7,FALSE)=VLOOKUP($A61,main!$A$3:$H$102,8,FALSE),VLOOKUP(R$1,main!$A$3:$H$102,4,FALSE),VLOOKUP(R$1,main!$A$3:$H$102,4,FALSE)+VLOOKUP($A61,main!$A$3:$H$102,4,FALSE)+(VLOOKUP(VLOOKUP(R$1,main!$A$3:$H$102,8,FALSE),main!$K$19:$O$22,MATCH(VLOOKUP($A61,main!$A$3:$H$102,7,FALSE),main!$K$18:$O$18,0),0))),0)</f>
        <v>0</v>
      </c>
      <c r="S61">
        <f>IF((gamma!S61),IF(VLOOKUP(S$1,main!$A$3:$H$102,7,FALSE)=VLOOKUP($A61,main!$A$3:$H$102,8,FALSE),VLOOKUP(S$1,main!$A$3:$H$102,4,FALSE),VLOOKUP(S$1,main!$A$3:$H$102,4,FALSE)+VLOOKUP($A61,main!$A$3:$H$102,4,FALSE)+(VLOOKUP(VLOOKUP(S$1,main!$A$3:$H$102,8,FALSE),main!$K$19:$O$22,MATCH(VLOOKUP($A61,main!$A$3:$H$102,7,FALSE),main!$K$18:$O$18,0),0))),0)</f>
        <v>0</v>
      </c>
      <c r="T61">
        <f>IF((gamma!T61),IF(VLOOKUP(T$1,main!$A$3:$H$102,7,FALSE)=VLOOKUP($A61,main!$A$3:$H$102,8,FALSE),VLOOKUP(T$1,main!$A$3:$H$102,4,FALSE),VLOOKUP(T$1,main!$A$3:$H$102,4,FALSE)+VLOOKUP($A61,main!$A$3:$H$102,4,FALSE)+(VLOOKUP(VLOOKUP(T$1,main!$A$3:$H$102,8,FALSE),main!$K$19:$O$22,MATCH(VLOOKUP($A61,main!$A$3:$H$102,7,FALSE),main!$K$18:$O$18,0),0))),0)</f>
        <v>0</v>
      </c>
      <c r="U61">
        <f>IF((gamma!U61),IF(VLOOKUP(U$1,main!$A$3:$H$102,7,FALSE)=VLOOKUP($A61,main!$A$3:$H$102,8,FALSE),VLOOKUP(U$1,main!$A$3:$H$102,4,FALSE),VLOOKUP(U$1,main!$A$3:$H$102,4,FALSE)+VLOOKUP($A61,main!$A$3:$H$102,4,FALSE)+(VLOOKUP(VLOOKUP(U$1,main!$A$3:$H$102,8,FALSE),main!$K$19:$O$22,MATCH(VLOOKUP($A61,main!$A$3:$H$102,7,FALSE),main!$K$18:$O$18,0),0))),0)</f>
        <v>0</v>
      </c>
      <c r="V61">
        <f>IF((gamma!V61),IF(VLOOKUP(V$1,main!$A$3:$H$102,7,FALSE)=VLOOKUP($A61,main!$A$3:$H$102,8,FALSE),VLOOKUP(V$1,main!$A$3:$H$102,4,FALSE),VLOOKUP(V$1,main!$A$3:$H$102,4,FALSE)+VLOOKUP($A61,main!$A$3:$H$102,4,FALSE)+(VLOOKUP(VLOOKUP(V$1,main!$A$3:$H$102,8,FALSE),main!$K$19:$O$22,MATCH(VLOOKUP($A61,main!$A$3:$H$102,7,FALSE),main!$K$18:$O$18,0),0))),0)</f>
        <v>0</v>
      </c>
      <c r="W61">
        <f>IF((gamma!W61),IF(VLOOKUP(W$1,main!$A$3:$H$102,7,FALSE)=VLOOKUP($A61,main!$A$3:$H$102,8,FALSE),VLOOKUP(W$1,main!$A$3:$H$102,4,FALSE),VLOOKUP(W$1,main!$A$3:$H$102,4,FALSE)+VLOOKUP($A61,main!$A$3:$H$102,4,FALSE)+(VLOOKUP(VLOOKUP(W$1,main!$A$3:$H$102,8,FALSE),main!$K$19:$O$22,MATCH(VLOOKUP($A61,main!$A$3:$H$102,7,FALSE),main!$K$18:$O$18,0),0))),0)</f>
        <v>0</v>
      </c>
      <c r="X61">
        <f>IF((gamma!X61),IF(VLOOKUP(X$1,main!$A$3:$H$102,7,FALSE)=VLOOKUP($A61,main!$A$3:$H$102,8,FALSE),VLOOKUP(X$1,main!$A$3:$H$102,4,FALSE),VLOOKUP(X$1,main!$A$3:$H$102,4,FALSE)+VLOOKUP($A61,main!$A$3:$H$102,4,FALSE)+(VLOOKUP(VLOOKUP(X$1,main!$A$3:$H$102,8,FALSE),main!$K$19:$O$22,MATCH(VLOOKUP($A61,main!$A$3:$H$102,7,FALSE),main!$K$18:$O$18,0),0))),0)</f>
        <v>0</v>
      </c>
      <c r="Y61">
        <f>IF((gamma!Y61),IF(VLOOKUP(Y$1,main!$A$3:$H$102,7,FALSE)=VLOOKUP($A61,main!$A$3:$H$102,8,FALSE),VLOOKUP(Y$1,main!$A$3:$H$102,4,FALSE),VLOOKUP(Y$1,main!$A$3:$H$102,4,FALSE)+VLOOKUP($A61,main!$A$3:$H$102,4,FALSE)+(VLOOKUP(VLOOKUP(Y$1,main!$A$3:$H$102,8,FALSE),main!$K$19:$O$22,MATCH(VLOOKUP($A61,main!$A$3:$H$102,7,FALSE),main!$K$18:$O$18,0),0))),0)</f>
        <v>0</v>
      </c>
      <c r="Z61">
        <f>IF((gamma!Z61),IF(VLOOKUP(Z$1,main!$A$3:$H$102,7,FALSE)=VLOOKUP($A61,main!$A$3:$H$102,8,FALSE),VLOOKUP(Z$1,main!$A$3:$H$102,4,FALSE),VLOOKUP(Z$1,main!$A$3:$H$102,4,FALSE)+VLOOKUP($A61,main!$A$3:$H$102,4,FALSE)+(VLOOKUP(VLOOKUP(Z$1,main!$A$3:$H$102,8,FALSE),main!$K$19:$O$22,MATCH(VLOOKUP($A61,main!$A$3:$H$102,7,FALSE),main!$K$18:$O$18,0),0))),0)</f>
        <v>0</v>
      </c>
      <c r="AA61">
        <f>IF((gamma!AA61),IF(VLOOKUP(AA$1,main!$A$3:$H$102,7,FALSE)=VLOOKUP($A61,main!$A$3:$H$102,8,FALSE),VLOOKUP(AA$1,main!$A$3:$H$102,4,FALSE),VLOOKUP(AA$1,main!$A$3:$H$102,4,FALSE)+VLOOKUP($A61,main!$A$3:$H$102,4,FALSE)+(VLOOKUP(VLOOKUP(AA$1,main!$A$3:$H$102,8,FALSE),main!$K$19:$O$22,MATCH(VLOOKUP($A61,main!$A$3:$H$102,7,FALSE),main!$K$18:$O$18,0),0))),0)</f>
        <v>0</v>
      </c>
      <c r="AB61">
        <f>IF((gamma!AB61),IF(VLOOKUP(AB$1,main!$A$3:$H$102,7,FALSE)=VLOOKUP($A61,main!$A$3:$H$102,8,FALSE),VLOOKUP(AB$1,main!$A$3:$H$102,4,FALSE),VLOOKUP(AB$1,main!$A$3:$H$102,4,FALSE)+VLOOKUP($A61,main!$A$3:$H$102,4,FALSE)+(VLOOKUP(VLOOKUP(AB$1,main!$A$3:$H$102,8,FALSE),main!$K$19:$O$22,MATCH(VLOOKUP($A61,main!$A$3:$H$102,7,FALSE),main!$K$18:$O$18,0),0))),0)</f>
        <v>0</v>
      </c>
      <c r="AC61">
        <f>IF((gamma!AC61),IF(VLOOKUP(AC$1,main!$A$3:$H$102,7,FALSE)=VLOOKUP($A61,main!$A$3:$H$102,8,FALSE),VLOOKUP(AC$1,main!$A$3:$H$102,4,FALSE),VLOOKUP(AC$1,main!$A$3:$H$102,4,FALSE)+VLOOKUP($A61,main!$A$3:$H$102,4,FALSE)+(VLOOKUP(VLOOKUP(AC$1,main!$A$3:$H$102,8,FALSE),main!$K$19:$O$22,MATCH(VLOOKUP($A61,main!$A$3:$H$102,7,FALSE),main!$K$18:$O$18,0),0))),0)</f>
        <v>0</v>
      </c>
      <c r="AD61">
        <f>IF((gamma!AD61),IF(VLOOKUP(AD$1,main!$A$3:$H$102,7,FALSE)=VLOOKUP($A61,main!$A$3:$H$102,8,FALSE),VLOOKUP(AD$1,main!$A$3:$H$102,4,FALSE),VLOOKUP(AD$1,main!$A$3:$H$102,4,FALSE)+VLOOKUP($A61,main!$A$3:$H$102,4,FALSE)+(VLOOKUP(VLOOKUP(AD$1,main!$A$3:$H$102,8,FALSE),main!$K$19:$O$22,MATCH(VLOOKUP($A61,main!$A$3:$H$102,7,FALSE),main!$K$18:$O$18,0),0))),0)</f>
        <v>0</v>
      </c>
      <c r="AE61">
        <f>IF((gamma!AE61),IF(VLOOKUP(AE$1,main!$A$3:$H$102,7,FALSE)=VLOOKUP($A61,main!$A$3:$H$102,8,FALSE),VLOOKUP(AE$1,main!$A$3:$H$102,4,FALSE),VLOOKUP(AE$1,main!$A$3:$H$102,4,FALSE)+VLOOKUP($A61,main!$A$3:$H$102,4,FALSE)+(VLOOKUP(VLOOKUP(AE$1,main!$A$3:$H$102,8,FALSE),main!$K$19:$O$22,MATCH(VLOOKUP($A61,main!$A$3:$H$102,7,FALSE),main!$K$18:$O$18,0),0))),0)</f>
        <v>0</v>
      </c>
      <c r="AF61">
        <f>IF((gamma!AF61),IF(VLOOKUP(AF$1,main!$A$3:$H$102,7,FALSE)=VLOOKUP($A61,main!$A$3:$H$102,8,FALSE),VLOOKUP(AF$1,main!$A$3:$H$102,4,FALSE),VLOOKUP(AF$1,main!$A$3:$H$102,4,FALSE)+VLOOKUP($A61,main!$A$3:$H$102,4,FALSE)+(VLOOKUP(VLOOKUP(AF$1,main!$A$3:$H$102,8,FALSE),main!$K$19:$O$22,MATCH(VLOOKUP($A61,main!$A$3:$H$102,7,FALSE),main!$K$18:$O$18,0),0))),0)</f>
        <v>0</v>
      </c>
      <c r="AG61">
        <f>IF((gamma!AG61),IF(VLOOKUP(AG$1,main!$A$3:$H$102,7,FALSE)=VLOOKUP($A61,main!$A$3:$H$102,8,FALSE),VLOOKUP(AG$1,main!$A$3:$H$102,4,FALSE),VLOOKUP(AG$1,main!$A$3:$H$102,4,FALSE)+VLOOKUP($A61,main!$A$3:$H$102,4,FALSE)+(VLOOKUP(VLOOKUP(AG$1,main!$A$3:$H$102,8,FALSE),main!$K$19:$O$22,MATCH(VLOOKUP($A61,main!$A$3:$H$102,7,FALSE),main!$K$18:$O$18,0),0))),0)</f>
        <v>0</v>
      </c>
      <c r="AH61">
        <f>IF((gamma!AH61),IF(VLOOKUP(AH$1,main!$A$3:$H$102,7,FALSE)=VLOOKUP($A61,main!$A$3:$H$102,8,FALSE),VLOOKUP(AH$1,main!$A$3:$H$102,4,FALSE),VLOOKUP(AH$1,main!$A$3:$H$102,4,FALSE)+VLOOKUP($A61,main!$A$3:$H$102,4,FALSE)+(VLOOKUP(VLOOKUP(AH$1,main!$A$3:$H$102,8,FALSE),main!$K$19:$O$22,MATCH(VLOOKUP($A61,main!$A$3:$H$102,7,FALSE),main!$K$18:$O$18,0),0))),0)</f>
        <v>0</v>
      </c>
      <c r="AI61">
        <f>IF((gamma!AI61),IF(VLOOKUP(AI$1,main!$A$3:$H$102,7,FALSE)=VLOOKUP($A61,main!$A$3:$H$102,8,FALSE),VLOOKUP(AI$1,main!$A$3:$H$102,4,FALSE),VLOOKUP(AI$1,main!$A$3:$H$102,4,FALSE)+VLOOKUP($A61,main!$A$3:$H$102,4,FALSE)+(VLOOKUP(VLOOKUP(AI$1,main!$A$3:$H$102,8,FALSE),main!$K$19:$O$22,MATCH(VLOOKUP($A61,main!$A$3:$H$102,7,FALSE),main!$K$18:$O$18,0),0))),0)</f>
        <v>0</v>
      </c>
      <c r="AJ61">
        <f>IF((gamma!AJ61),IF(VLOOKUP(AJ$1,main!$A$3:$H$102,7,FALSE)=VLOOKUP($A61,main!$A$3:$H$102,8,FALSE),VLOOKUP(AJ$1,main!$A$3:$H$102,4,FALSE),VLOOKUP(AJ$1,main!$A$3:$H$102,4,FALSE)+VLOOKUP($A61,main!$A$3:$H$102,4,FALSE)+(VLOOKUP(VLOOKUP(AJ$1,main!$A$3:$H$102,8,FALSE),main!$K$19:$O$22,MATCH(VLOOKUP($A61,main!$A$3:$H$102,7,FALSE),main!$K$18:$O$18,0),0))),0)</f>
        <v>0</v>
      </c>
      <c r="AK61">
        <f>IF((gamma!AK61),IF(VLOOKUP(AK$1,main!$A$3:$H$102,7,FALSE)=VLOOKUP($A61,main!$A$3:$H$102,8,FALSE),VLOOKUP(AK$1,main!$A$3:$H$102,4,FALSE),VLOOKUP(AK$1,main!$A$3:$H$102,4,FALSE)+VLOOKUP($A61,main!$A$3:$H$102,4,FALSE)+(VLOOKUP(VLOOKUP(AK$1,main!$A$3:$H$102,8,FALSE),main!$K$19:$O$22,MATCH(VLOOKUP($A61,main!$A$3:$H$102,7,FALSE),main!$K$18:$O$18,0),0))),0)</f>
        <v>0</v>
      </c>
      <c r="AL61">
        <f>IF((gamma!AL61),IF(VLOOKUP(AL$1,main!$A$3:$H$102,7,FALSE)=VLOOKUP($A61,main!$A$3:$H$102,8,FALSE),VLOOKUP(AL$1,main!$A$3:$H$102,4,FALSE),VLOOKUP(AL$1,main!$A$3:$H$102,4,FALSE)+VLOOKUP($A61,main!$A$3:$H$102,4,FALSE)+(VLOOKUP(VLOOKUP(AL$1,main!$A$3:$H$102,8,FALSE),main!$K$19:$O$22,MATCH(VLOOKUP($A61,main!$A$3:$H$102,7,FALSE),main!$K$18:$O$18,0),0))),0)</f>
        <v>0</v>
      </c>
      <c r="AM61">
        <f>IF((gamma!AM61),IF(VLOOKUP(AM$1,main!$A$3:$H$102,7,FALSE)=VLOOKUP($A61,main!$A$3:$H$102,8,FALSE),VLOOKUP(AM$1,main!$A$3:$H$102,4,FALSE),VLOOKUP(AM$1,main!$A$3:$H$102,4,FALSE)+VLOOKUP($A61,main!$A$3:$H$102,4,FALSE)+(VLOOKUP(VLOOKUP(AM$1,main!$A$3:$H$102,8,FALSE),main!$K$19:$O$22,MATCH(VLOOKUP($A61,main!$A$3:$H$102,7,FALSE),main!$K$18:$O$18,0),0))),0)</f>
        <v>0</v>
      </c>
      <c r="AN61">
        <f>IF((gamma!AN61),IF(VLOOKUP(AN$1,main!$A$3:$H$102,7,FALSE)=VLOOKUP($A61,main!$A$3:$H$102,8,FALSE),VLOOKUP(AN$1,main!$A$3:$H$102,4,FALSE),VLOOKUP(AN$1,main!$A$3:$H$102,4,FALSE)+VLOOKUP($A61,main!$A$3:$H$102,4,FALSE)+(VLOOKUP(VLOOKUP(AN$1,main!$A$3:$H$102,8,FALSE),main!$K$19:$O$22,MATCH(VLOOKUP($A61,main!$A$3:$H$102,7,FALSE),main!$K$18:$O$18,0),0))),0)</f>
        <v>0</v>
      </c>
      <c r="AO61">
        <f>IF((gamma!AO61),IF(VLOOKUP(AO$1,main!$A$3:$H$102,7,FALSE)=VLOOKUP($A61,main!$A$3:$H$102,8,FALSE),VLOOKUP(AO$1,main!$A$3:$H$102,4,FALSE),VLOOKUP(AO$1,main!$A$3:$H$102,4,FALSE)+VLOOKUP($A61,main!$A$3:$H$102,4,FALSE)+(VLOOKUP(VLOOKUP(AO$1,main!$A$3:$H$102,8,FALSE),main!$K$19:$O$22,MATCH(VLOOKUP($A61,main!$A$3:$H$102,7,FALSE),main!$K$18:$O$18,0),0))),0)</f>
        <v>0</v>
      </c>
      <c r="AP61">
        <f>IF((gamma!AP61),IF(VLOOKUP(AP$1,main!$A$3:$H$102,7,FALSE)=VLOOKUP($A61,main!$A$3:$H$102,8,FALSE),VLOOKUP(AP$1,main!$A$3:$H$102,4,FALSE),VLOOKUP(AP$1,main!$A$3:$H$102,4,FALSE)+VLOOKUP($A61,main!$A$3:$H$102,4,FALSE)+(VLOOKUP(VLOOKUP(AP$1,main!$A$3:$H$102,8,FALSE),main!$K$19:$O$22,MATCH(VLOOKUP($A61,main!$A$3:$H$102,7,FALSE),main!$K$18:$O$18,0),0))),0)</f>
        <v>0</v>
      </c>
      <c r="AQ61">
        <f>IF((gamma!AQ61),IF(VLOOKUP(AQ$1,main!$A$3:$H$102,7,FALSE)=VLOOKUP($A61,main!$A$3:$H$102,8,FALSE),VLOOKUP(AQ$1,main!$A$3:$H$102,4,FALSE),VLOOKUP(AQ$1,main!$A$3:$H$102,4,FALSE)+VLOOKUP($A61,main!$A$3:$H$102,4,FALSE)+(VLOOKUP(VLOOKUP(AQ$1,main!$A$3:$H$102,8,FALSE),main!$K$19:$O$22,MATCH(VLOOKUP($A61,main!$A$3:$H$102,7,FALSE),main!$K$18:$O$18,0),0))),0)</f>
        <v>0</v>
      </c>
      <c r="AR61">
        <f>IF((gamma!AR61),IF(VLOOKUP(AR$1,main!$A$3:$H$102,7,FALSE)=VLOOKUP($A61,main!$A$3:$H$102,8,FALSE),VLOOKUP(AR$1,main!$A$3:$H$102,4,FALSE),VLOOKUP(AR$1,main!$A$3:$H$102,4,FALSE)+VLOOKUP($A61,main!$A$3:$H$102,4,FALSE)+(VLOOKUP(VLOOKUP(AR$1,main!$A$3:$H$102,8,FALSE),main!$K$19:$O$22,MATCH(VLOOKUP($A61,main!$A$3:$H$102,7,FALSE),main!$K$18:$O$18,0),0))),0)</f>
        <v>0</v>
      </c>
      <c r="AS61">
        <f>IF((gamma!AS61),IF(VLOOKUP(AS$1,main!$A$3:$H$102,7,FALSE)=VLOOKUP($A61,main!$A$3:$H$102,8,FALSE),VLOOKUP(AS$1,main!$A$3:$H$102,4,FALSE),VLOOKUP(AS$1,main!$A$3:$H$102,4,FALSE)+VLOOKUP($A61,main!$A$3:$H$102,4,FALSE)+(VLOOKUP(VLOOKUP(AS$1,main!$A$3:$H$102,8,FALSE),main!$K$19:$O$22,MATCH(VLOOKUP($A61,main!$A$3:$H$102,7,FALSE),main!$K$18:$O$18,0),0))),0)</f>
        <v>0</v>
      </c>
      <c r="AT61">
        <f>IF((gamma!AT61),IF(VLOOKUP(AT$1,main!$A$3:$H$102,7,FALSE)=VLOOKUP($A61,main!$A$3:$H$102,8,FALSE),VLOOKUP(AT$1,main!$A$3:$H$102,4,FALSE),VLOOKUP(AT$1,main!$A$3:$H$102,4,FALSE)+VLOOKUP($A61,main!$A$3:$H$102,4,FALSE)+(VLOOKUP(VLOOKUP(AT$1,main!$A$3:$H$102,8,FALSE),main!$K$19:$O$22,MATCH(VLOOKUP($A61,main!$A$3:$H$102,7,FALSE),main!$K$18:$O$18,0),0))),0)</f>
        <v>0</v>
      </c>
      <c r="AU61">
        <f>IF((gamma!AU61),IF(VLOOKUP(AU$1,main!$A$3:$H$102,7,FALSE)=VLOOKUP($A61,main!$A$3:$H$102,8,FALSE),VLOOKUP(AU$1,main!$A$3:$H$102,4,FALSE),VLOOKUP(AU$1,main!$A$3:$H$102,4,FALSE)+VLOOKUP($A61,main!$A$3:$H$102,4,FALSE)+(VLOOKUP(VLOOKUP(AU$1,main!$A$3:$H$102,8,FALSE),main!$K$19:$O$22,MATCH(VLOOKUP($A61,main!$A$3:$H$102,7,FALSE),main!$K$18:$O$18,0),0))),0)</f>
        <v>0</v>
      </c>
      <c r="AV61">
        <f>IF((gamma!AV61),IF(VLOOKUP(AV$1,main!$A$3:$H$102,7,FALSE)=VLOOKUP($A61,main!$A$3:$H$102,8,FALSE),VLOOKUP(AV$1,main!$A$3:$H$102,4,FALSE),VLOOKUP(AV$1,main!$A$3:$H$102,4,FALSE)+VLOOKUP($A61,main!$A$3:$H$102,4,FALSE)+(VLOOKUP(VLOOKUP(AV$1,main!$A$3:$H$102,8,FALSE),main!$K$19:$O$22,MATCH(VLOOKUP($A61,main!$A$3:$H$102,7,FALSE),main!$K$18:$O$18,0),0))),0)</f>
        <v>0</v>
      </c>
      <c r="AW61">
        <f>IF((gamma!AW61),IF(VLOOKUP(AW$1,main!$A$3:$H$102,7,FALSE)=VLOOKUP($A61,main!$A$3:$H$102,8,FALSE),VLOOKUP(AW$1,main!$A$3:$H$102,4,FALSE),VLOOKUP(AW$1,main!$A$3:$H$102,4,FALSE)+VLOOKUP($A61,main!$A$3:$H$102,4,FALSE)+(VLOOKUP(VLOOKUP(AW$1,main!$A$3:$H$102,8,FALSE),main!$K$19:$O$22,MATCH(VLOOKUP($A61,main!$A$3:$H$102,7,FALSE),main!$K$18:$O$18,0),0))),0)</f>
        <v>0</v>
      </c>
      <c r="AX61">
        <f>IF((gamma!AX61),IF(VLOOKUP(AX$1,main!$A$3:$H$102,7,FALSE)=VLOOKUP($A61,main!$A$3:$H$102,8,FALSE),VLOOKUP(AX$1,main!$A$3:$H$102,4,FALSE),VLOOKUP(AX$1,main!$A$3:$H$102,4,FALSE)+VLOOKUP($A61,main!$A$3:$H$102,4,FALSE)+(VLOOKUP(VLOOKUP(AX$1,main!$A$3:$H$102,8,FALSE),main!$K$19:$O$22,MATCH(VLOOKUP($A61,main!$A$3:$H$102,7,FALSE),main!$K$18:$O$18,0),0))),0)</f>
        <v>0</v>
      </c>
      <c r="AY61">
        <f>IF((gamma!AY61),IF(VLOOKUP(AY$1,main!$A$3:$H$102,7,FALSE)=VLOOKUP($A61,main!$A$3:$H$102,8,FALSE),VLOOKUP(AY$1,main!$A$3:$H$102,4,FALSE),VLOOKUP(AY$1,main!$A$3:$H$102,4,FALSE)+VLOOKUP($A61,main!$A$3:$H$102,4,FALSE)+(VLOOKUP(VLOOKUP(AY$1,main!$A$3:$H$102,8,FALSE),main!$K$19:$O$22,MATCH(VLOOKUP($A61,main!$A$3:$H$102,7,FALSE),main!$K$18:$O$18,0),0))),0)</f>
        <v>0</v>
      </c>
      <c r="AZ61">
        <f>IF((gamma!AZ61),IF(VLOOKUP(AZ$1,main!$A$3:$H$102,7,FALSE)=VLOOKUP($A61,main!$A$3:$H$102,8,FALSE),VLOOKUP(AZ$1,main!$A$3:$H$102,4,FALSE),VLOOKUP(AZ$1,main!$A$3:$H$102,4,FALSE)+VLOOKUP($A61,main!$A$3:$H$102,4,FALSE)+(VLOOKUP(VLOOKUP(AZ$1,main!$A$3:$H$102,8,FALSE),main!$K$19:$O$22,MATCH(VLOOKUP($A61,main!$A$3:$H$102,7,FALSE),main!$K$18:$O$18,0),0))),0)</f>
        <v>0</v>
      </c>
      <c r="BA61">
        <f>IF((gamma!BA61),IF(VLOOKUP(BA$1,main!$A$3:$H$102,7,FALSE)=VLOOKUP($A61,main!$A$3:$H$102,8,FALSE),VLOOKUP(BA$1,main!$A$3:$H$102,4,FALSE),VLOOKUP(BA$1,main!$A$3:$H$102,4,FALSE)+VLOOKUP($A61,main!$A$3:$H$102,4,FALSE)+(VLOOKUP(VLOOKUP(BA$1,main!$A$3:$H$102,8,FALSE),main!$K$19:$O$22,MATCH(VLOOKUP($A61,main!$A$3:$H$102,7,FALSE),main!$K$18:$O$18,0),0))),0)</f>
        <v>0</v>
      </c>
      <c r="BB61">
        <f>IF((gamma!BB61),IF(VLOOKUP(BB$1,main!$A$3:$H$102,7,FALSE)=VLOOKUP($A61,main!$A$3:$H$102,8,FALSE),VLOOKUP(BB$1,main!$A$3:$H$102,4,FALSE),VLOOKUP(BB$1,main!$A$3:$H$102,4,FALSE)+VLOOKUP($A61,main!$A$3:$H$102,4,FALSE)+(VLOOKUP(VLOOKUP(BB$1,main!$A$3:$H$102,8,FALSE),main!$K$19:$O$22,MATCH(VLOOKUP($A61,main!$A$3:$H$102,7,FALSE),main!$K$18:$O$18,0),0))),0)</f>
        <v>0</v>
      </c>
      <c r="BC61">
        <f>IF((gamma!BC61),IF(VLOOKUP(BC$1,main!$A$3:$H$102,7,FALSE)=VLOOKUP($A61,main!$A$3:$H$102,8,FALSE),VLOOKUP(BC$1,main!$A$3:$H$102,4,FALSE),VLOOKUP(BC$1,main!$A$3:$H$102,4,FALSE)+VLOOKUP($A61,main!$A$3:$H$102,4,FALSE)+(VLOOKUP(VLOOKUP(BC$1,main!$A$3:$H$102,8,FALSE),main!$K$19:$O$22,MATCH(VLOOKUP($A61,main!$A$3:$H$102,7,FALSE),main!$K$18:$O$18,0),0))),0)</f>
        <v>0</v>
      </c>
      <c r="BD61">
        <f>IF((gamma!BD61),IF(VLOOKUP(BD$1,main!$A$3:$H$102,7,FALSE)=VLOOKUP($A61,main!$A$3:$H$102,8,FALSE),VLOOKUP(BD$1,main!$A$3:$H$102,4,FALSE),VLOOKUP(BD$1,main!$A$3:$H$102,4,FALSE)+VLOOKUP($A61,main!$A$3:$H$102,4,FALSE)+(VLOOKUP(VLOOKUP(BD$1,main!$A$3:$H$102,8,FALSE),main!$K$19:$O$22,MATCH(VLOOKUP($A61,main!$A$3:$H$102,7,FALSE),main!$K$18:$O$18,0),0))),0)</f>
        <v>0</v>
      </c>
      <c r="BE61">
        <f>IF((gamma!BE61),IF(VLOOKUP(BE$1,main!$A$3:$H$102,7,FALSE)=VLOOKUP($A61,main!$A$3:$H$102,8,FALSE),VLOOKUP(BE$1,main!$A$3:$H$102,4,FALSE),VLOOKUP(BE$1,main!$A$3:$H$102,4,FALSE)+VLOOKUP($A61,main!$A$3:$H$102,4,FALSE)+(VLOOKUP(VLOOKUP(BE$1,main!$A$3:$H$102,8,FALSE),main!$K$19:$O$22,MATCH(VLOOKUP($A61,main!$A$3:$H$102,7,FALSE),main!$K$18:$O$18,0),0))),0)</f>
        <v>0</v>
      </c>
      <c r="BF61">
        <f>IF((gamma!BF61),IF(VLOOKUP(BF$1,main!$A$3:$H$102,7,FALSE)=VLOOKUP($A61,main!$A$3:$H$102,8,FALSE),VLOOKUP(BF$1,main!$A$3:$H$102,4,FALSE),VLOOKUP(BF$1,main!$A$3:$H$102,4,FALSE)+VLOOKUP($A61,main!$A$3:$H$102,4,FALSE)+(VLOOKUP(VLOOKUP(BF$1,main!$A$3:$H$102,8,FALSE),main!$K$19:$O$22,MATCH(VLOOKUP($A61,main!$A$3:$H$102,7,FALSE),main!$K$18:$O$18,0),0))),0)</f>
        <v>0</v>
      </c>
      <c r="BG61">
        <f>IF((gamma!BG61),IF(VLOOKUP(BG$1,main!$A$3:$H$102,7,FALSE)=VLOOKUP($A61,main!$A$3:$H$102,8,FALSE),VLOOKUP(BG$1,main!$A$3:$H$102,4,FALSE),VLOOKUP(BG$1,main!$A$3:$H$102,4,FALSE)+VLOOKUP($A61,main!$A$3:$H$102,4,FALSE)+(VLOOKUP(VLOOKUP(BG$1,main!$A$3:$H$102,8,FALSE),main!$K$19:$O$22,MATCH(VLOOKUP($A61,main!$A$3:$H$102,7,FALSE),main!$K$18:$O$18,0),0))),0)</f>
        <v>0</v>
      </c>
      <c r="BH61">
        <f>IF((gamma!BH61),IF(VLOOKUP(BH$1,main!$A$3:$H$102,7,FALSE)=VLOOKUP($A61,main!$A$3:$H$102,8,FALSE),VLOOKUP(BH$1,main!$A$3:$H$102,4,FALSE),VLOOKUP(BH$1,main!$A$3:$H$102,4,FALSE)+VLOOKUP($A61,main!$A$3:$H$102,4,FALSE)+(VLOOKUP(VLOOKUP(BH$1,main!$A$3:$H$102,8,FALSE),main!$K$19:$O$22,MATCH(VLOOKUP($A61,main!$A$3:$H$102,7,FALSE),main!$K$18:$O$18,0),0))),0)</f>
        <v>0</v>
      </c>
      <c r="BI61">
        <f>IF((gamma!BI61),IF(VLOOKUP(BI$1,main!$A$3:$H$102,7,FALSE)=VLOOKUP($A61,main!$A$3:$H$102,8,FALSE),VLOOKUP(BI$1,main!$A$3:$H$102,4,FALSE),VLOOKUP(BI$1,main!$A$3:$H$102,4,FALSE)+VLOOKUP($A61,main!$A$3:$H$102,4,FALSE)+(VLOOKUP(VLOOKUP(BI$1,main!$A$3:$H$102,8,FALSE),main!$K$19:$O$22,MATCH(VLOOKUP($A61,main!$A$3:$H$102,7,FALSE),main!$K$18:$O$18,0),0))),0)</f>
        <v>0</v>
      </c>
      <c r="BJ61">
        <f>IF((gamma!BJ61),IF(VLOOKUP(BJ$1,main!$A$3:$H$102,7,FALSE)=VLOOKUP($A61,main!$A$3:$H$102,8,FALSE),VLOOKUP(BJ$1,main!$A$3:$H$102,4,FALSE),VLOOKUP(BJ$1,main!$A$3:$H$102,4,FALSE)+VLOOKUP($A61,main!$A$3:$H$102,4,FALSE)+(VLOOKUP(VLOOKUP(BJ$1,main!$A$3:$H$102,8,FALSE),main!$K$19:$O$22,MATCH(VLOOKUP($A61,main!$A$3:$H$102,7,FALSE),main!$K$18:$O$18,0),0))),0)</f>
        <v>0</v>
      </c>
      <c r="BK61">
        <f>IF((gamma!BK61),IF(VLOOKUP(BK$1,main!$A$3:$H$102,7,FALSE)=VLOOKUP($A61,main!$A$3:$H$102,8,FALSE),VLOOKUP(BK$1,main!$A$3:$H$102,4,FALSE),VLOOKUP(BK$1,main!$A$3:$H$102,4,FALSE)+VLOOKUP($A61,main!$A$3:$H$102,4,FALSE)+(VLOOKUP(VLOOKUP(BK$1,main!$A$3:$H$102,8,FALSE),main!$K$19:$O$22,MATCH(VLOOKUP($A61,main!$A$3:$H$102,7,FALSE),main!$K$18:$O$18,0),0))),0)</f>
        <v>0</v>
      </c>
      <c r="BL61">
        <f>IF((gamma!BL61),IF(VLOOKUP(BL$1,main!$A$3:$H$102,7,FALSE)=VLOOKUP($A61,main!$A$3:$H$102,8,FALSE),VLOOKUP(BL$1,main!$A$3:$H$102,4,FALSE),VLOOKUP(BL$1,main!$A$3:$H$102,4,FALSE)+VLOOKUP($A61,main!$A$3:$H$102,4,FALSE)+(VLOOKUP(VLOOKUP(BL$1,main!$A$3:$H$102,8,FALSE),main!$K$19:$O$22,MATCH(VLOOKUP($A61,main!$A$3:$H$102,7,FALSE),main!$K$18:$O$18,0),0))),0)</f>
        <v>0</v>
      </c>
      <c r="BM61">
        <f>IF((gamma!BM61),IF(VLOOKUP(BM$1,main!$A$3:$H$102,7,FALSE)=VLOOKUP($A61,main!$A$3:$H$102,8,FALSE),VLOOKUP(BM$1,main!$A$3:$H$102,4,FALSE),VLOOKUP(BM$1,main!$A$3:$H$102,4,FALSE)+VLOOKUP($A61,main!$A$3:$H$102,4,FALSE)+(VLOOKUP(VLOOKUP(BM$1,main!$A$3:$H$102,8,FALSE),main!$K$19:$O$22,MATCH(VLOOKUP($A61,main!$A$3:$H$102,7,FALSE),main!$K$18:$O$18,0),0))),0)</f>
        <v>0</v>
      </c>
      <c r="BN61">
        <f>IF((gamma!BN61),IF(VLOOKUP(BN$1,main!$A$3:$H$102,7,FALSE)=VLOOKUP($A61,main!$A$3:$H$102,8,FALSE),VLOOKUP(BN$1,main!$A$3:$H$102,4,FALSE),VLOOKUP(BN$1,main!$A$3:$H$102,4,FALSE)+VLOOKUP($A61,main!$A$3:$H$102,4,FALSE)+(VLOOKUP(VLOOKUP(BN$1,main!$A$3:$H$102,8,FALSE),main!$K$19:$O$22,MATCH(VLOOKUP($A61,main!$A$3:$H$102,7,FALSE),main!$K$18:$O$18,0),0))),0)</f>
        <v>0</v>
      </c>
      <c r="BO61">
        <f>IF((gamma!BO61),IF(VLOOKUP(BO$1,main!$A$3:$H$102,7,FALSE)=VLOOKUP($A61,main!$A$3:$H$102,8,FALSE),VLOOKUP(BO$1,main!$A$3:$H$102,4,FALSE),VLOOKUP(BO$1,main!$A$3:$H$102,4,FALSE)+VLOOKUP($A61,main!$A$3:$H$102,4,FALSE)+(VLOOKUP(VLOOKUP(BO$1,main!$A$3:$H$102,8,FALSE),main!$K$19:$O$22,MATCH(VLOOKUP($A61,main!$A$3:$H$102,7,FALSE),main!$K$18:$O$18,0),0))),0)</f>
        <v>0</v>
      </c>
      <c r="BP61">
        <f>IF((gamma!BP61),IF(VLOOKUP(BP$1,main!$A$3:$H$102,7,FALSE)=VLOOKUP($A61,main!$A$3:$H$102,8,FALSE),VLOOKUP(BP$1,main!$A$3:$H$102,4,FALSE),VLOOKUP(BP$1,main!$A$3:$H$102,4,FALSE)+VLOOKUP($A61,main!$A$3:$H$102,4,FALSE)+(VLOOKUP(VLOOKUP(BP$1,main!$A$3:$H$102,8,FALSE),main!$K$19:$O$22,MATCH(VLOOKUP($A61,main!$A$3:$H$102,7,FALSE),main!$K$18:$O$18,0),0))),0)</f>
        <v>0</v>
      </c>
      <c r="BQ61">
        <f>IF((gamma!BQ61),IF(VLOOKUP(BQ$1,main!$A$3:$H$102,7,FALSE)=VLOOKUP($A61,main!$A$3:$H$102,8,FALSE),VLOOKUP(BQ$1,main!$A$3:$H$102,4,FALSE),VLOOKUP(BQ$1,main!$A$3:$H$102,4,FALSE)+VLOOKUP($A61,main!$A$3:$H$102,4,FALSE)+(VLOOKUP(VLOOKUP(BQ$1,main!$A$3:$H$102,8,FALSE),main!$K$19:$O$22,MATCH(VLOOKUP($A61,main!$A$3:$H$102,7,FALSE),main!$K$18:$O$18,0),0))),0)</f>
        <v>0</v>
      </c>
      <c r="BR61">
        <f>IF((gamma!BR61),IF(VLOOKUP(BR$1,main!$A$3:$H$102,7,FALSE)=VLOOKUP($A61,main!$A$3:$H$102,8,FALSE),VLOOKUP(BR$1,main!$A$3:$H$102,4,FALSE),VLOOKUP(BR$1,main!$A$3:$H$102,4,FALSE)+VLOOKUP($A61,main!$A$3:$H$102,4,FALSE)+(VLOOKUP(VLOOKUP(BR$1,main!$A$3:$H$102,8,FALSE),main!$K$19:$O$22,MATCH(VLOOKUP($A61,main!$A$3:$H$102,7,FALSE),main!$K$18:$O$18,0),0))),0)</f>
        <v>0</v>
      </c>
      <c r="BS61">
        <f>IF((gamma!BS61),IF(VLOOKUP(BS$1,main!$A$3:$H$102,7,FALSE)=VLOOKUP($A61,main!$A$3:$H$102,8,FALSE),VLOOKUP(BS$1,main!$A$3:$H$102,4,FALSE),VLOOKUP(BS$1,main!$A$3:$H$102,4,FALSE)+VLOOKUP($A61,main!$A$3:$H$102,4,FALSE)+(VLOOKUP(VLOOKUP(BS$1,main!$A$3:$H$102,8,FALSE),main!$K$19:$O$22,MATCH(VLOOKUP($A61,main!$A$3:$H$102,7,FALSE),main!$K$18:$O$18,0),0))),0)</f>
        <v>0</v>
      </c>
      <c r="BT61">
        <f>IF((gamma!BT61),IF(VLOOKUP(BT$1,main!$A$3:$H$102,7,FALSE)=VLOOKUP($A61,main!$A$3:$H$102,8,FALSE),VLOOKUP(BT$1,main!$A$3:$H$102,4,FALSE),VLOOKUP(BT$1,main!$A$3:$H$102,4,FALSE)+VLOOKUP($A61,main!$A$3:$H$102,4,FALSE)+(VLOOKUP(VLOOKUP(BT$1,main!$A$3:$H$102,8,FALSE),main!$K$19:$O$22,MATCH(VLOOKUP($A61,main!$A$3:$H$102,7,FALSE),main!$K$18:$O$18,0),0))),0)</f>
        <v>0</v>
      </c>
      <c r="BU61">
        <f>IF((gamma!BU61),IF(VLOOKUP(BU$1,main!$A$3:$H$102,7,FALSE)=VLOOKUP($A61,main!$A$3:$H$102,8,FALSE),VLOOKUP(BU$1,main!$A$3:$H$102,4,FALSE),VLOOKUP(BU$1,main!$A$3:$H$102,4,FALSE)+VLOOKUP($A61,main!$A$3:$H$102,4,FALSE)+(VLOOKUP(VLOOKUP(BU$1,main!$A$3:$H$102,8,FALSE),main!$K$19:$O$22,MATCH(VLOOKUP($A61,main!$A$3:$H$102,7,FALSE),main!$K$18:$O$18,0),0))),0)</f>
        <v>0</v>
      </c>
      <c r="BV61">
        <f>IF((gamma!BV61),IF(VLOOKUP(BV$1,main!$A$3:$H$102,7,FALSE)=VLOOKUP($A61,main!$A$3:$H$102,8,FALSE),VLOOKUP(BV$1,main!$A$3:$H$102,4,FALSE),VLOOKUP(BV$1,main!$A$3:$H$102,4,FALSE)+VLOOKUP($A61,main!$A$3:$H$102,4,FALSE)+(VLOOKUP(VLOOKUP(BV$1,main!$A$3:$H$102,8,FALSE),main!$K$19:$O$22,MATCH(VLOOKUP($A61,main!$A$3:$H$102,7,FALSE),main!$K$18:$O$18,0),0))),0)</f>
        <v>0</v>
      </c>
      <c r="BW61">
        <f>IF((gamma!BW61),IF(VLOOKUP(BW$1,main!$A$3:$H$102,7,FALSE)=VLOOKUP($A61,main!$A$3:$H$102,8,FALSE),VLOOKUP(BW$1,main!$A$3:$H$102,4,FALSE),VLOOKUP(BW$1,main!$A$3:$H$102,4,FALSE)+VLOOKUP($A61,main!$A$3:$H$102,4,FALSE)+(VLOOKUP(VLOOKUP(BW$1,main!$A$3:$H$102,8,FALSE),main!$K$19:$O$22,MATCH(VLOOKUP($A61,main!$A$3:$H$102,7,FALSE),main!$K$18:$O$18,0),0))),0)</f>
        <v>0</v>
      </c>
      <c r="BX61">
        <f>IF((gamma!BX61),IF(VLOOKUP(BX$1,main!$A$3:$H$102,7,FALSE)=VLOOKUP($A61,main!$A$3:$H$102,8,FALSE),VLOOKUP(BX$1,main!$A$3:$H$102,4,FALSE),VLOOKUP(BX$1,main!$A$3:$H$102,4,FALSE)+VLOOKUP($A61,main!$A$3:$H$102,4,FALSE)+(VLOOKUP(VLOOKUP(BX$1,main!$A$3:$H$102,8,FALSE),main!$K$19:$O$22,MATCH(VLOOKUP($A61,main!$A$3:$H$102,7,FALSE),main!$K$18:$O$18,0),0))),0)</f>
        <v>0</v>
      </c>
      <c r="BY61">
        <f>IF((gamma!BY61),IF(VLOOKUP(BY$1,main!$A$3:$H$102,7,FALSE)=VLOOKUP($A61,main!$A$3:$H$102,8,FALSE),VLOOKUP(BY$1,main!$A$3:$H$102,4,FALSE),VLOOKUP(BY$1,main!$A$3:$H$102,4,FALSE)+VLOOKUP($A61,main!$A$3:$H$102,4,FALSE)+(VLOOKUP(VLOOKUP(BY$1,main!$A$3:$H$102,8,FALSE),main!$K$19:$O$22,MATCH(VLOOKUP($A61,main!$A$3:$H$102,7,FALSE),main!$K$18:$O$18,0),0))),0)</f>
        <v>0</v>
      </c>
      <c r="BZ61">
        <f>IF((gamma!BZ61),IF(VLOOKUP(BZ$1,main!$A$3:$H$102,7,FALSE)=VLOOKUP($A61,main!$A$3:$H$102,8,FALSE),VLOOKUP(BZ$1,main!$A$3:$H$102,4,FALSE),VLOOKUP(BZ$1,main!$A$3:$H$102,4,FALSE)+VLOOKUP($A61,main!$A$3:$H$102,4,FALSE)+(VLOOKUP(VLOOKUP(BZ$1,main!$A$3:$H$102,8,FALSE),main!$K$19:$O$22,MATCH(VLOOKUP($A61,main!$A$3:$H$102,7,FALSE),main!$K$18:$O$18,0),0))),0)</f>
        <v>0</v>
      </c>
      <c r="CA61">
        <f>IF((gamma!CA61),IF(VLOOKUP(CA$1,main!$A$3:$H$102,7,FALSE)=VLOOKUP($A61,main!$A$3:$H$102,8,FALSE),VLOOKUP(CA$1,main!$A$3:$H$102,4,FALSE),VLOOKUP(CA$1,main!$A$3:$H$102,4,FALSE)+VLOOKUP($A61,main!$A$3:$H$102,4,FALSE)+(VLOOKUP(VLOOKUP(CA$1,main!$A$3:$H$102,8,FALSE),main!$K$19:$O$22,MATCH(VLOOKUP($A61,main!$A$3:$H$102,7,FALSE),main!$K$18:$O$18,0),0))),0)</f>
        <v>0</v>
      </c>
      <c r="CB61">
        <f>IF((gamma!CB61),IF(VLOOKUP(CB$1,main!$A$3:$H$102,7,FALSE)=VLOOKUP($A61,main!$A$3:$H$102,8,FALSE),VLOOKUP(CB$1,main!$A$3:$H$102,4,FALSE),VLOOKUP(CB$1,main!$A$3:$H$102,4,FALSE)+VLOOKUP($A61,main!$A$3:$H$102,4,FALSE)+(VLOOKUP(VLOOKUP(CB$1,main!$A$3:$H$102,8,FALSE),main!$K$19:$O$22,MATCH(VLOOKUP($A61,main!$A$3:$H$102,7,FALSE),main!$K$18:$O$18,0),0))),0)</f>
        <v>0</v>
      </c>
      <c r="CC61">
        <f>IF((gamma!CC61),IF(VLOOKUP(CC$1,main!$A$3:$H$102,7,FALSE)=VLOOKUP($A61,main!$A$3:$H$102,8,FALSE),VLOOKUP(CC$1,main!$A$3:$H$102,4,FALSE),VLOOKUP(CC$1,main!$A$3:$H$102,4,FALSE)+VLOOKUP($A61,main!$A$3:$H$102,4,FALSE)+(VLOOKUP(VLOOKUP(CC$1,main!$A$3:$H$102,8,FALSE),main!$K$19:$O$22,MATCH(VLOOKUP($A61,main!$A$3:$H$102,7,FALSE),main!$K$18:$O$18,0),0))),0)</f>
        <v>0</v>
      </c>
      <c r="CD61">
        <f>IF((gamma!CD61),IF(VLOOKUP(CD$1,main!$A$3:$H$102,7,FALSE)=VLOOKUP($A61,main!$A$3:$H$102,8,FALSE),VLOOKUP(CD$1,main!$A$3:$H$102,4,FALSE),VLOOKUP(CD$1,main!$A$3:$H$102,4,FALSE)+VLOOKUP($A61,main!$A$3:$H$102,4,FALSE)+(VLOOKUP(VLOOKUP(CD$1,main!$A$3:$H$102,8,FALSE),main!$K$19:$O$22,MATCH(VLOOKUP($A61,main!$A$3:$H$102,7,FALSE),main!$K$18:$O$18,0),0))),0)</f>
        <v>0</v>
      </c>
      <c r="CE61">
        <f>IF((gamma!CE61),IF(VLOOKUP(CE$1,main!$A$3:$H$102,7,FALSE)=VLOOKUP($A61,main!$A$3:$H$102,8,FALSE),VLOOKUP(CE$1,main!$A$3:$H$102,4,FALSE),VLOOKUP(CE$1,main!$A$3:$H$102,4,FALSE)+VLOOKUP($A61,main!$A$3:$H$102,4,FALSE)+(VLOOKUP(VLOOKUP(CE$1,main!$A$3:$H$102,8,FALSE),main!$K$19:$O$22,MATCH(VLOOKUP($A61,main!$A$3:$H$102,7,FALSE),main!$K$18:$O$18,0),0))),0)</f>
        <v>0</v>
      </c>
      <c r="CF61">
        <f>IF((gamma!CF61),IF(VLOOKUP(CF$1,main!$A$3:$H$102,7,FALSE)=VLOOKUP($A61,main!$A$3:$H$102,8,FALSE),VLOOKUP(CF$1,main!$A$3:$H$102,4,FALSE),VLOOKUP(CF$1,main!$A$3:$H$102,4,FALSE)+VLOOKUP($A61,main!$A$3:$H$102,4,FALSE)+(VLOOKUP(VLOOKUP(CF$1,main!$A$3:$H$102,8,FALSE),main!$K$19:$O$22,MATCH(VLOOKUP($A61,main!$A$3:$H$102,7,FALSE),main!$K$18:$O$18,0),0))),0)</f>
        <v>0</v>
      </c>
      <c r="CG61">
        <f>IF((gamma!CG61),IF(VLOOKUP(CG$1,main!$A$3:$H$102,7,FALSE)=VLOOKUP($A61,main!$A$3:$H$102,8,FALSE),VLOOKUP(CG$1,main!$A$3:$H$102,4,FALSE),VLOOKUP(CG$1,main!$A$3:$H$102,4,FALSE)+VLOOKUP($A61,main!$A$3:$H$102,4,FALSE)+(VLOOKUP(VLOOKUP(CG$1,main!$A$3:$H$102,8,FALSE),main!$K$19:$O$22,MATCH(VLOOKUP($A61,main!$A$3:$H$102,7,FALSE),main!$K$18:$O$18,0),0))),0)</f>
        <v>0</v>
      </c>
      <c r="CH61">
        <f>IF((gamma!CH61),IF(VLOOKUP(CH$1,main!$A$3:$H$102,7,FALSE)=VLOOKUP($A61,main!$A$3:$H$102,8,FALSE),VLOOKUP(CH$1,main!$A$3:$H$102,4,FALSE),VLOOKUP(CH$1,main!$A$3:$H$102,4,FALSE)+VLOOKUP($A61,main!$A$3:$H$102,4,FALSE)+(VLOOKUP(VLOOKUP(CH$1,main!$A$3:$H$102,8,FALSE),main!$K$19:$O$22,MATCH(VLOOKUP($A61,main!$A$3:$H$102,7,FALSE),main!$K$18:$O$18,0),0))),0)</f>
        <v>0</v>
      </c>
      <c r="CI61">
        <f>IF((gamma!CI61),IF(VLOOKUP(CI$1,main!$A$3:$H$102,7,FALSE)=VLOOKUP($A61,main!$A$3:$H$102,8,FALSE),VLOOKUP(CI$1,main!$A$3:$H$102,4,FALSE),VLOOKUP(CI$1,main!$A$3:$H$102,4,FALSE)+VLOOKUP($A61,main!$A$3:$H$102,4,FALSE)+(VLOOKUP(VLOOKUP(CI$1,main!$A$3:$H$102,8,FALSE),main!$K$19:$O$22,MATCH(VLOOKUP($A61,main!$A$3:$H$102,7,FALSE),main!$K$18:$O$18,0),0))),0)</f>
        <v>0</v>
      </c>
      <c r="CJ61">
        <f>IF((gamma!CJ61),IF(VLOOKUP(CJ$1,main!$A$3:$H$102,7,FALSE)=VLOOKUP($A61,main!$A$3:$H$102,8,FALSE),VLOOKUP(CJ$1,main!$A$3:$H$102,4,FALSE),VLOOKUP(CJ$1,main!$A$3:$H$102,4,FALSE)+VLOOKUP($A61,main!$A$3:$H$102,4,FALSE)+(VLOOKUP(VLOOKUP(CJ$1,main!$A$3:$H$102,8,FALSE),main!$K$19:$O$22,MATCH(VLOOKUP($A61,main!$A$3:$H$102,7,FALSE),main!$K$18:$O$18,0),0))),0)</f>
        <v>0</v>
      </c>
      <c r="CK61">
        <f>IF((gamma!CK61),IF(VLOOKUP(CK$1,main!$A$3:$H$102,7,FALSE)=VLOOKUP($A61,main!$A$3:$H$102,8,FALSE),VLOOKUP(CK$1,main!$A$3:$H$102,4,FALSE),VLOOKUP(CK$1,main!$A$3:$H$102,4,FALSE)+VLOOKUP($A61,main!$A$3:$H$102,4,FALSE)+(VLOOKUP(VLOOKUP(CK$1,main!$A$3:$H$102,8,FALSE),main!$K$19:$O$22,MATCH(VLOOKUP($A61,main!$A$3:$H$102,7,FALSE),main!$K$18:$O$18,0),0))),0)</f>
        <v>0</v>
      </c>
      <c r="CL61">
        <f>IF((gamma!CL61),IF(VLOOKUP(CL$1,main!$A$3:$H$102,7,FALSE)=VLOOKUP($A61,main!$A$3:$H$102,8,FALSE),VLOOKUP(CL$1,main!$A$3:$H$102,4,FALSE),VLOOKUP(CL$1,main!$A$3:$H$102,4,FALSE)+VLOOKUP($A61,main!$A$3:$H$102,4,FALSE)+(VLOOKUP(VLOOKUP(CL$1,main!$A$3:$H$102,8,FALSE),main!$K$19:$O$22,MATCH(VLOOKUP($A61,main!$A$3:$H$102,7,FALSE),main!$K$18:$O$18,0),0))),0)</f>
        <v>0</v>
      </c>
      <c r="CM61">
        <f>IF((gamma!CM61),IF(VLOOKUP(CM$1,main!$A$3:$H$102,7,FALSE)=VLOOKUP($A61,main!$A$3:$H$102,8,FALSE),VLOOKUP(CM$1,main!$A$3:$H$102,4,FALSE),VLOOKUP(CM$1,main!$A$3:$H$102,4,FALSE)+VLOOKUP($A61,main!$A$3:$H$102,4,FALSE)+(VLOOKUP(VLOOKUP(CM$1,main!$A$3:$H$102,8,FALSE),main!$K$19:$O$22,MATCH(VLOOKUP($A61,main!$A$3:$H$102,7,FALSE),main!$K$18:$O$18,0),0))),0)</f>
        <v>0</v>
      </c>
      <c r="CN61">
        <f>IF((gamma!CN61),IF(VLOOKUP(CN$1,main!$A$3:$H$102,7,FALSE)=VLOOKUP($A61,main!$A$3:$H$102,8,FALSE),VLOOKUP(CN$1,main!$A$3:$H$102,4,FALSE),VLOOKUP(CN$1,main!$A$3:$H$102,4,FALSE)+VLOOKUP($A61,main!$A$3:$H$102,4,FALSE)+(VLOOKUP(VLOOKUP(CN$1,main!$A$3:$H$102,8,FALSE),main!$K$19:$O$22,MATCH(VLOOKUP($A61,main!$A$3:$H$102,7,FALSE),main!$K$18:$O$18,0),0))),0)</f>
        <v>0</v>
      </c>
      <c r="CO61">
        <f>IF((gamma!CO61),IF(VLOOKUP(CO$1,main!$A$3:$H$102,7,FALSE)=VLOOKUP($A61,main!$A$3:$H$102,8,FALSE),VLOOKUP(CO$1,main!$A$3:$H$102,4,FALSE),VLOOKUP(CO$1,main!$A$3:$H$102,4,FALSE)+VLOOKUP($A61,main!$A$3:$H$102,4,FALSE)+(VLOOKUP(VLOOKUP(CO$1,main!$A$3:$H$102,8,FALSE),main!$K$19:$O$22,MATCH(VLOOKUP($A61,main!$A$3:$H$102,7,FALSE),main!$K$18:$O$18,0),0))),0)</f>
        <v>0</v>
      </c>
      <c r="CP61">
        <f>IF((gamma!CP61),IF(VLOOKUP(CP$1,main!$A$3:$H$102,7,FALSE)=VLOOKUP($A61,main!$A$3:$H$102,8,FALSE),VLOOKUP(CP$1,main!$A$3:$H$102,4,FALSE),VLOOKUP(CP$1,main!$A$3:$H$102,4,FALSE)+VLOOKUP($A61,main!$A$3:$H$102,4,FALSE)+(VLOOKUP(VLOOKUP(CP$1,main!$A$3:$H$102,8,FALSE),main!$K$19:$O$22,MATCH(VLOOKUP($A61,main!$A$3:$H$102,7,FALSE),main!$K$18:$O$18,0),0))),0)</f>
        <v>0</v>
      </c>
      <c r="CQ61">
        <f>IF((gamma!CQ61),IF(VLOOKUP(CQ$1,main!$A$3:$H$102,7,FALSE)=VLOOKUP($A61,main!$A$3:$H$102,8,FALSE),VLOOKUP(CQ$1,main!$A$3:$H$102,4,FALSE),VLOOKUP(CQ$1,main!$A$3:$H$102,4,FALSE)+VLOOKUP($A61,main!$A$3:$H$102,4,FALSE)+(VLOOKUP(VLOOKUP(CQ$1,main!$A$3:$H$102,8,FALSE),main!$K$19:$O$22,MATCH(VLOOKUP($A61,main!$A$3:$H$102,7,FALSE),main!$K$18:$O$18,0),0))),0)</f>
        <v>0</v>
      </c>
      <c r="CR61">
        <f>IF((gamma!CR61),IF(VLOOKUP(CR$1,main!$A$3:$H$102,7,FALSE)=VLOOKUP($A61,main!$A$3:$H$102,8,FALSE),VLOOKUP(CR$1,main!$A$3:$H$102,4,FALSE),VLOOKUP(CR$1,main!$A$3:$H$102,4,FALSE)+VLOOKUP($A61,main!$A$3:$H$102,4,FALSE)+(VLOOKUP(VLOOKUP(CR$1,main!$A$3:$H$102,8,FALSE),main!$K$19:$O$22,MATCH(VLOOKUP($A61,main!$A$3:$H$102,7,FALSE),main!$K$18:$O$18,0),0))),0)</f>
        <v>0</v>
      </c>
      <c r="CS61">
        <f>IF((gamma!CS61),IF(VLOOKUP(CS$1,main!$A$3:$H$102,7,FALSE)=VLOOKUP($A61,main!$A$3:$H$102,8,FALSE),VLOOKUP(CS$1,main!$A$3:$H$102,4,FALSE),VLOOKUP(CS$1,main!$A$3:$H$102,4,FALSE)+VLOOKUP($A61,main!$A$3:$H$102,4,FALSE)+(VLOOKUP(VLOOKUP(CS$1,main!$A$3:$H$102,8,FALSE),main!$K$19:$O$22,MATCH(VLOOKUP($A61,main!$A$3:$H$102,7,FALSE),main!$K$18:$O$18,0),0))),0)</f>
        <v>0</v>
      </c>
      <c r="CT61">
        <f>IF((gamma!CT61),IF(VLOOKUP(CT$1,main!$A$3:$H$102,7,FALSE)=VLOOKUP($A61,main!$A$3:$H$102,8,FALSE),VLOOKUP(CT$1,main!$A$3:$H$102,4,FALSE),VLOOKUP(CT$1,main!$A$3:$H$102,4,FALSE)+VLOOKUP($A61,main!$A$3:$H$102,4,FALSE)+(VLOOKUP(VLOOKUP(CT$1,main!$A$3:$H$102,8,FALSE),main!$K$19:$O$22,MATCH(VLOOKUP($A61,main!$A$3:$H$102,7,FALSE),main!$K$18:$O$18,0),0))),0)</f>
        <v>0</v>
      </c>
      <c r="CU61">
        <f>IF((gamma!CU61),IF(VLOOKUP(CU$1,main!$A$3:$H$102,7,FALSE)=VLOOKUP($A61,main!$A$3:$H$102,8,FALSE),VLOOKUP(CU$1,main!$A$3:$H$102,4,FALSE),VLOOKUP(CU$1,main!$A$3:$H$102,4,FALSE)+VLOOKUP($A61,main!$A$3:$H$102,4,FALSE)+(VLOOKUP(VLOOKUP(CU$1,main!$A$3:$H$102,8,FALSE),main!$K$19:$O$22,MATCH(VLOOKUP($A61,main!$A$3:$H$102,7,FALSE),main!$K$18:$O$18,0),0))),0)</f>
        <v>0</v>
      </c>
      <c r="CV61">
        <f>IF((gamma!CV61),IF(VLOOKUP(CV$1,main!$A$3:$H$102,7,FALSE)=VLOOKUP($A61,main!$A$3:$H$102,8,FALSE),VLOOKUP(CV$1,main!$A$3:$H$102,4,FALSE),VLOOKUP(CV$1,main!$A$3:$H$102,4,FALSE)+VLOOKUP($A61,main!$A$3:$H$102,4,FALSE)+(VLOOKUP(VLOOKUP(CV$1,main!$A$3:$H$102,8,FALSE),main!$K$19:$O$22,MATCH(VLOOKUP($A61,main!$A$3:$H$102,7,FALSE),main!$K$18:$O$18,0),0))),0)</f>
        <v>0</v>
      </c>
      <c r="CW61">
        <f>IF((gamma!CW61),IF(VLOOKUP(CW$1,main!$A$3:$H$102,7,FALSE)=VLOOKUP($A61,main!$A$3:$H$102,8,FALSE),VLOOKUP(CW$1,main!$A$3:$H$102,4,FALSE),VLOOKUP(CW$1,main!$A$3:$H$102,4,FALSE)+VLOOKUP($A61,main!$A$3:$H$102,4,FALSE)+(VLOOKUP(VLOOKUP(CW$1,main!$A$3:$H$102,8,FALSE),main!$K$19:$O$22,MATCH(VLOOKUP($A61,main!$A$3:$H$102,7,FALSE),main!$K$18:$O$18,0),0))),0)</f>
        <v>0</v>
      </c>
      <c r="CX61">
        <f>IF((gamma!CX61),IF(VLOOKUP(CX$1,main!$A$3:$H$102,7,FALSE)=VLOOKUP($A61,main!$A$3:$H$102,8,FALSE),VLOOKUP(CX$1,main!$A$3:$H$102,4,FALSE),VLOOKUP(CX$1,main!$A$3:$H$102,4,FALSE)+VLOOKUP($A61,main!$A$3:$H$102,4,FALSE)+(VLOOKUP(VLOOKUP(CX$1,main!$A$3:$H$102,8,FALSE),main!$K$19:$O$22,MATCH(VLOOKUP($A61,main!$A$3:$H$102,7,FALSE),main!$K$18:$O$18,0),0))),0)</f>
        <v>0</v>
      </c>
      <c r="CY61">
        <v>0</v>
      </c>
      <c r="CZ61">
        <v>0</v>
      </c>
      <c r="DA61">
        <v>0</v>
      </c>
    </row>
    <row r="62" spans="1:105" x14ac:dyDescent="0.25">
      <c r="A62" s="1">
        <v>60</v>
      </c>
      <c r="B62">
        <v>0</v>
      </c>
      <c r="C62">
        <f>IF((gamma!C62),IF(VLOOKUP(C$1,main!$A$3:$H$102,7,FALSE)=VLOOKUP($A62,main!$A$3:$H$102,8,FALSE),VLOOKUP(C$1,main!$A$3:$H$102,4,FALSE),VLOOKUP(C$1,main!$A$3:$H$102,4,FALSE)+VLOOKUP($A62,main!$A$3:$H$102,4,FALSE)+(VLOOKUP(VLOOKUP(C$1,main!$A$3:$H$102,8,FALSE),main!$K$19:$O$22,MATCH(VLOOKUP($A62,main!$A$3:$H$102,7,FALSE),main!$K$18:$O$18,0),0))),0)</f>
        <v>0</v>
      </c>
      <c r="D62">
        <f>IF((gamma!D62),IF(VLOOKUP(D$1,main!$A$3:$H$102,7,FALSE)=VLOOKUP($A62,main!$A$3:$H$102,8,FALSE),VLOOKUP(D$1,main!$A$3:$H$102,4,FALSE),VLOOKUP(D$1,main!$A$3:$H$102,4,FALSE)+VLOOKUP($A62,main!$A$3:$H$102,4,FALSE)+(VLOOKUP(VLOOKUP(D$1,main!$A$3:$H$102,8,FALSE),main!$K$19:$O$22,MATCH(VLOOKUP($A62,main!$A$3:$H$102,7,FALSE),main!$K$18:$O$18,0),0))),0)</f>
        <v>0</v>
      </c>
      <c r="E62">
        <f>IF((gamma!E62),IF(VLOOKUP(E$1,main!$A$3:$H$102,7,FALSE)=VLOOKUP($A62,main!$A$3:$H$102,8,FALSE),VLOOKUP(E$1,main!$A$3:$H$102,4,FALSE),VLOOKUP(E$1,main!$A$3:$H$102,4,FALSE)+VLOOKUP($A62,main!$A$3:$H$102,4,FALSE)+(VLOOKUP(VLOOKUP(E$1,main!$A$3:$H$102,8,FALSE),main!$K$19:$O$22,MATCH(VLOOKUP($A62,main!$A$3:$H$102,7,FALSE),main!$K$18:$O$18,0),0))),0)</f>
        <v>0</v>
      </c>
      <c r="F62">
        <f>IF((gamma!F62),IF(VLOOKUP(F$1,main!$A$3:$H$102,7,FALSE)=VLOOKUP($A62,main!$A$3:$H$102,8,FALSE),VLOOKUP(F$1,main!$A$3:$H$102,4,FALSE),VLOOKUP(F$1,main!$A$3:$H$102,4,FALSE)+VLOOKUP($A62,main!$A$3:$H$102,4,FALSE)+(VLOOKUP(VLOOKUP(F$1,main!$A$3:$H$102,8,FALSE),main!$K$19:$O$22,MATCH(VLOOKUP($A62,main!$A$3:$H$102,7,FALSE),main!$K$18:$O$18,0),0))),0)</f>
        <v>0</v>
      </c>
      <c r="G62">
        <f>IF((gamma!G62),IF(VLOOKUP(G$1,main!$A$3:$H$102,7,FALSE)=VLOOKUP($A62,main!$A$3:$H$102,8,FALSE),VLOOKUP(G$1,main!$A$3:$H$102,4,FALSE),VLOOKUP(G$1,main!$A$3:$H$102,4,FALSE)+VLOOKUP($A62,main!$A$3:$H$102,4,FALSE)+(VLOOKUP(VLOOKUP(G$1,main!$A$3:$H$102,8,FALSE),main!$K$19:$O$22,MATCH(VLOOKUP($A62,main!$A$3:$H$102,7,FALSE),main!$K$18:$O$18,0),0))),0)</f>
        <v>0</v>
      </c>
      <c r="H62">
        <f>IF((gamma!H62),IF(VLOOKUP(H$1,main!$A$3:$H$102,7,FALSE)=VLOOKUP($A62,main!$A$3:$H$102,8,FALSE),VLOOKUP(H$1,main!$A$3:$H$102,4,FALSE),VLOOKUP(H$1,main!$A$3:$H$102,4,FALSE)+VLOOKUP($A62,main!$A$3:$H$102,4,FALSE)+(VLOOKUP(VLOOKUP(H$1,main!$A$3:$H$102,8,FALSE),main!$K$19:$O$22,MATCH(VLOOKUP($A62,main!$A$3:$H$102,7,FALSE),main!$K$18:$O$18,0),0))),0)</f>
        <v>0</v>
      </c>
      <c r="I62">
        <f>IF((gamma!I62),IF(VLOOKUP(I$1,main!$A$3:$H$102,7,FALSE)=VLOOKUP($A62,main!$A$3:$H$102,8,FALSE),VLOOKUP(I$1,main!$A$3:$H$102,4,FALSE),VLOOKUP(I$1,main!$A$3:$H$102,4,FALSE)+VLOOKUP($A62,main!$A$3:$H$102,4,FALSE)+(VLOOKUP(VLOOKUP(I$1,main!$A$3:$H$102,8,FALSE),main!$K$19:$O$22,MATCH(VLOOKUP($A62,main!$A$3:$H$102,7,FALSE),main!$K$18:$O$18,0),0))),0)</f>
        <v>0</v>
      </c>
      <c r="J62">
        <f>IF((gamma!J62),IF(VLOOKUP(J$1,main!$A$3:$H$102,7,FALSE)=VLOOKUP($A62,main!$A$3:$H$102,8,FALSE),VLOOKUP(J$1,main!$A$3:$H$102,4,FALSE),VLOOKUP(J$1,main!$A$3:$H$102,4,FALSE)+VLOOKUP($A62,main!$A$3:$H$102,4,FALSE)+(VLOOKUP(VLOOKUP(J$1,main!$A$3:$H$102,8,FALSE),main!$K$19:$O$22,MATCH(VLOOKUP($A62,main!$A$3:$H$102,7,FALSE),main!$K$18:$O$18,0),0))),0)</f>
        <v>0</v>
      </c>
      <c r="K62">
        <f>IF((gamma!K62),IF(VLOOKUP(K$1,main!$A$3:$H$102,7,FALSE)=VLOOKUP($A62,main!$A$3:$H$102,8,FALSE),VLOOKUP(K$1,main!$A$3:$H$102,4,FALSE),VLOOKUP(K$1,main!$A$3:$H$102,4,FALSE)+VLOOKUP($A62,main!$A$3:$H$102,4,FALSE)+(VLOOKUP(VLOOKUP(K$1,main!$A$3:$H$102,8,FALSE),main!$K$19:$O$22,MATCH(VLOOKUP($A62,main!$A$3:$H$102,7,FALSE),main!$K$18:$O$18,0),0))),0)</f>
        <v>0</v>
      </c>
      <c r="L62">
        <f>IF((gamma!L62),IF(VLOOKUP(L$1,main!$A$3:$H$102,7,FALSE)=VLOOKUP($A62,main!$A$3:$H$102,8,FALSE),VLOOKUP(L$1,main!$A$3:$H$102,4,FALSE),VLOOKUP(L$1,main!$A$3:$H$102,4,FALSE)+VLOOKUP($A62,main!$A$3:$H$102,4,FALSE)+(VLOOKUP(VLOOKUP(L$1,main!$A$3:$H$102,8,FALSE),main!$K$19:$O$22,MATCH(VLOOKUP($A62,main!$A$3:$H$102,7,FALSE),main!$K$18:$O$18,0),0))),0)</f>
        <v>135</v>
      </c>
      <c r="M62">
        <f>IF((gamma!M62),IF(VLOOKUP(M$1,main!$A$3:$H$102,7,FALSE)=VLOOKUP($A62,main!$A$3:$H$102,8,FALSE),VLOOKUP(M$1,main!$A$3:$H$102,4,FALSE),VLOOKUP(M$1,main!$A$3:$H$102,4,FALSE)+VLOOKUP($A62,main!$A$3:$H$102,4,FALSE)+(VLOOKUP(VLOOKUP(M$1,main!$A$3:$H$102,8,FALSE),main!$K$19:$O$22,MATCH(VLOOKUP($A62,main!$A$3:$H$102,7,FALSE),main!$K$18:$O$18,0),0))),0)</f>
        <v>0</v>
      </c>
      <c r="N62">
        <f>IF((gamma!N62),IF(VLOOKUP(N$1,main!$A$3:$H$102,7,FALSE)=VLOOKUP($A62,main!$A$3:$H$102,8,FALSE),VLOOKUP(N$1,main!$A$3:$H$102,4,FALSE),VLOOKUP(N$1,main!$A$3:$H$102,4,FALSE)+VLOOKUP($A62,main!$A$3:$H$102,4,FALSE)+(VLOOKUP(VLOOKUP(N$1,main!$A$3:$H$102,8,FALSE),main!$K$19:$O$22,MATCH(VLOOKUP($A62,main!$A$3:$H$102,7,FALSE),main!$K$18:$O$18,0),0))),0)</f>
        <v>0</v>
      </c>
      <c r="O62">
        <f>IF((gamma!O62),IF(VLOOKUP(O$1,main!$A$3:$H$102,7,FALSE)=VLOOKUP($A62,main!$A$3:$H$102,8,FALSE),VLOOKUP(O$1,main!$A$3:$H$102,4,FALSE),VLOOKUP(O$1,main!$A$3:$H$102,4,FALSE)+VLOOKUP($A62,main!$A$3:$H$102,4,FALSE)+(VLOOKUP(VLOOKUP(O$1,main!$A$3:$H$102,8,FALSE),main!$K$19:$O$22,MATCH(VLOOKUP($A62,main!$A$3:$H$102,7,FALSE),main!$K$18:$O$18,0),0))),0)</f>
        <v>0</v>
      </c>
      <c r="P62">
        <f>IF((gamma!P62),IF(VLOOKUP(P$1,main!$A$3:$H$102,7,FALSE)=VLOOKUP($A62,main!$A$3:$H$102,8,FALSE),VLOOKUP(P$1,main!$A$3:$H$102,4,FALSE),VLOOKUP(P$1,main!$A$3:$H$102,4,FALSE)+VLOOKUP($A62,main!$A$3:$H$102,4,FALSE)+(VLOOKUP(VLOOKUP(P$1,main!$A$3:$H$102,8,FALSE),main!$K$19:$O$22,MATCH(VLOOKUP($A62,main!$A$3:$H$102,7,FALSE),main!$K$18:$O$18,0),0))),0)</f>
        <v>0</v>
      </c>
      <c r="Q62">
        <f>IF((gamma!Q62),IF(VLOOKUP(Q$1,main!$A$3:$H$102,7,FALSE)=VLOOKUP($A62,main!$A$3:$H$102,8,FALSE),VLOOKUP(Q$1,main!$A$3:$H$102,4,FALSE),VLOOKUP(Q$1,main!$A$3:$H$102,4,FALSE)+VLOOKUP($A62,main!$A$3:$H$102,4,FALSE)+(VLOOKUP(VLOOKUP(Q$1,main!$A$3:$H$102,8,FALSE),main!$K$19:$O$22,MATCH(VLOOKUP($A62,main!$A$3:$H$102,7,FALSE),main!$K$18:$O$18,0),0))),0)</f>
        <v>0</v>
      </c>
      <c r="R62">
        <f>IF((gamma!R62),IF(VLOOKUP(R$1,main!$A$3:$H$102,7,FALSE)=VLOOKUP($A62,main!$A$3:$H$102,8,FALSE),VLOOKUP(R$1,main!$A$3:$H$102,4,FALSE),VLOOKUP(R$1,main!$A$3:$H$102,4,FALSE)+VLOOKUP($A62,main!$A$3:$H$102,4,FALSE)+(VLOOKUP(VLOOKUP(R$1,main!$A$3:$H$102,8,FALSE),main!$K$19:$O$22,MATCH(VLOOKUP($A62,main!$A$3:$H$102,7,FALSE),main!$K$18:$O$18,0),0))),0)</f>
        <v>0</v>
      </c>
      <c r="S62">
        <f>IF((gamma!S62),IF(VLOOKUP(S$1,main!$A$3:$H$102,7,FALSE)=VLOOKUP($A62,main!$A$3:$H$102,8,FALSE),VLOOKUP(S$1,main!$A$3:$H$102,4,FALSE),VLOOKUP(S$1,main!$A$3:$H$102,4,FALSE)+VLOOKUP($A62,main!$A$3:$H$102,4,FALSE)+(VLOOKUP(VLOOKUP(S$1,main!$A$3:$H$102,8,FALSE),main!$K$19:$O$22,MATCH(VLOOKUP($A62,main!$A$3:$H$102,7,FALSE),main!$K$18:$O$18,0),0))),0)</f>
        <v>0</v>
      </c>
      <c r="T62">
        <f>IF((gamma!T62),IF(VLOOKUP(T$1,main!$A$3:$H$102,7,FALSE)=VLOOKUP($A62,main!$A$3:$H$102,8,FALSE),VLOOKUP(T$1,main!$A$3:$H$102,4,FALSE),VLOOKUP(T$1,main!$A$3:$H$102,4,FALSE)+VLOOKUP($A62,main!$A$3:$H$102,4,FALSE)+(VLOOKUP(VLOOKUP(T$1,main!$A$3:$H$102,8,FALSE),main!$K$19:$O$22,MATCH(VLOOKUP($A62,main!$A$3:$H$102,7,FALSE),main!$K$18:$O$18,0),0))),0)</f>
        <v>0</v>
      </c>
      <c r="U62">
        <f>IF((gamma!U62),IF(VLOOKUP(U$1,main!$A$3:$H$102,7,FALSE)=VLOOKUP($A62,main!$A$3:$H$102,8,FALSE),VLOOKUP(U$1,main!$A$3:$H$102,4,FALSE),VLOOKUP(U$1,main!$A$3:$H$102,4,FALSE)+VLOOKUP($A62,main!$A$3:$H$102,4,FALSE)+(VLOOKUP(VLOOKUP(U$1,main!$A$3:$H$102,8,FALSE),main!$K$19:$O$22,MATCH(VLOOKUP($A62,main!$A$3:$H$102,7,FALSE),main!$K$18:$O$18,0),0))),0)</f>
        <v>140</v>
      </c>
      <c r="V62">
        <f>IF((gamma!V62),IF(VLOOKUP(V$1,main!$A$3:$H$102,7,FALSE)=VLOOKUP($A62,main!$A$3:$H$102,8,FALSE),VLOOKUP(V$1,main!$A$3:$H$102,4,FALSE),VLOOKUP(V$1,main!$A$3:$H$102,4,FALSE)+VLOOKUP($A62,main!$A$3:$H$102,4,FALSE)+(VLOOKUP(VLOOKUP(V$1,main!$A$3:$H$102,8,FALSE),main!$K$19:$O$22,MATCH(VLOOKUP($A62,main!$A$3:$H$102,7,FALSE),main!$K$18:$O$18,0),0))),0)</f>
        <v>140</v>
      </c>
      <c r="W62">
        <f>IF((gamma!W62),IF(VLOOKUP(W$1,main!$A$3:$H$102,7,FALSE)=VLOOKUP($A62,main!$A$3:$H$102,8,FALSE),VLOOKUP(W$1,main!$A$3:$H$102,4,FALSE),VLOOKUP(W$1,main!$A$3:$H$102,4,FALSE)+VLOOKUP($A62,main!$A$3:$H$102,4,FALSE)+(VLOOKUP(VLOOKUP(W$1,main!$A$3:$H$102,8,FALSE),main!$K$19:$O$22,MATCH(VLOOKUP($A62,main!$A$3:$H$102,7,FALSE),main!$K$18:$O$18,0),0))),0)</f>
        <v>0</v>
      </c>
      <c r="X62">
        <f>IF((gamma!X62),IF(VLOOKUP(X$1,main!$A$3:$H$102,7,FALSE)=VLOOKUP($A62,main!$A$3:$H$102,8,FALSE),VLOOKUP(X$1,main!$A$3:$H$102,4,FALSE),VLOOKUP(X$1,main!$A$3:$H$102,4,FALSE)+VLOOKUP($A62,main!$A$3:$H$102,4,FALSE)+(VLOOKUP(VLOOKUP(X$1,main!$A$3:$H$102,8,FALSE),main!$K$19:$O$22,MATCH(VLOOKUP($A62,main!$A$3:$H$102,7,FALSE),main!$K$18:$O$18,0),0))),0)</f>
        <v>0</v>
      </c>
      <c r="Y62">
        <f>IF((gamma!Y62),IF(VLOOKUP(Y$1,main!$A$3:$H$102,7,FALSE)=VLOOKUP($A62,main!$A$3:$H$102,8,FALSE),VLOOKUP(Y$1,main!$A$3:$H$102,4,FALSE),VLOOKUP(Y$1,main!$A$3:$H$102,4,FALSE)+VLOOKUP($A62,main!$A$3:$H$102,4,FALSE)+(VLOOKUP(VLOOKUP(Y$1,main!$A$3:$H$102,8,FALSE),main!$K$19:$O$22,MATCH(VLOOKUP($A62,main!$A$3:$H$102,7,FALSE),main!$K$18:$O$18,0),0))),0)</f>
        <v>0</v>
      </c>
      <c r="Z62">
        <f>IF((gamma!Z62),IF(VLOOKUP(Z$1,main!$A$3:$H$102,7,FALSE)=VLOOKUP($A62,main!$A$3:$H$102,8,FALSE),VLOOKUP(Z$1,main!$A$3:$H$102,4,FALSE),VLOOKUP(Z$1,main!$A$3:$H$102,4,FALSE)+VLOOKUP($A62,main!$A$3:$H$102,4,FALSE)+(VLOOKUP(VLOOKUP(Z$1,main!$A$3:$H$102,8,FALSE),main!$K$19:$O$22,MATCH(VLOOKUP($A62,main!$A$3:$H$102,7,FALSE),main!$K$18:$O$18,0),0))),0)</f>
        <v>0</v>
      </c>
      <c r="AA62">
        <f>IF((gamma!AA62),IF(VLOOKUP(AA$1,main!$A$3:$H$102,7,FALSE)=VLOOKUP($A62,main!$A$3:$H$102,8,FALSE),VLOOKUP(AA$1,main!$A$3:$H$102,4,FALSE),VLOOKUP(AA$1,main!$A$3:$H$102,4,FALSE)+VLOOKUP($A62,main!$A$3:$H$102,4,FALSE)+(VLOOKUP(VLOOKUP(AA$1,main!$A$3:$H$102,8,FALSE),main!$K$19:$O$22,MATCH(VLOOKUP($A62,main!$A$3:$H$102,7,FALSE),main!$K$18:$O$18,0),0))),0)</f>
        <v>140</v>
      </c>
      <c r="AB62">
        <f>IF((gamma!AB62),IF(VLOOKUP(AB$1,main!$A$3:$H$102,7,FALSE)=VLOOKUP($A62,main!$A$3:$H$102,8,FALSE),VLOOKUP(AB$1,main!$A$3:$H$102,4,FALSE),VLOOKUP(AB$1,main!$A$3:$H$102,4,FALSE)+VLOOKUP($A62,main!$A$3:$H$102,4,FALSE)+(VLOOKUP(VLOOKUP(AB$1,main!$A$3:$H$102,8,FALSE),main!$K$19:$O$22,MATCH(VLOOKUP($A62,main!$A$3:$H$102,7,FALSE),main!$K$18:$O$18,0),0))),0)</f>
        <v>0</v>
      </c>
      <c r="AC62">
        <f>IF((gamma!AC62),IF(VLOOKUP(AC$1,main!$A$3:$H$102,7,FALSE)=VLOOKUP($A62,main!$A$3:$H$102,8,FALSE),VLOOKUP(AC$1,main!$A$3:$H$102,4,FALSE),VLOOKUP(AC$1,main!$A$3:$H$102,4,FALSE)+VLOOKUP($A62,main!$A$3:$H$102,4,FALSE)+(VLOOKUP(VLOOKUP(AC$1,main!$A$3:$H$102,8,FALSE),main!$K$19:$O$22,MATCH(VLOOKUP($A62,main!$A$3:$H$102,7,FALSE),main!$K$18:$O$18,0),0))),0)</f>
        <v>0</v>
      </c>
      <c r="AD62">
        <f>IF((gamma!AD62),IF(VLOOKUP(AD$1,main!$A$3:$H$102,7,FALSE)=VLOOKUP($A62,main!$A$3:$H$102,8,FALSE),VLOOKUP(AD$1,main!$A$3:$H$102,4,FALSE),VLOOKUP(AD$1,main!$A$3:$H$102,4,FALSE)+VLOOKUP($A62,main!$A$3:$H$102,4,FALSE)+(VLOOKUP(VLOOKUP(AD$1,main!$A$3:$H$102,8,FALSE),main!$K$19:$O$22,MATCH(VLOOKUP($A62,main!$A$3:$H$102,7,FALSE),main!$K$18:$O$18,0),0))),0)</f>
        <v>0</v>
      </c>
      <c r="AE62">
        <f>IF((gamma!AE62),IF(VLOOKUP(AE$1,main!$A$3:$H$102,7,FALSE)=VLOOKUP($A62,main!$A$3:$H$102,8,FALSE),VLOOKUP(AE$1,main!$A$3:$H$102,4,FALSE),VLOOKUP(AE$1,main!$A$3:$H$102,4,FALSE)+VLOOKUP($A62,main!$A$3:$H$102,4,FALSE)+(VLOOKUP(VLOOKUP(AE$1,main!$A$3:$H$102,8,FALSE),main!$K$19:$O$22,MATCH(VLOOKUP($A62,main!$A$3:$H$102,7,FALSE),main!$K$18:$O$18,0),0))),0)</f>
        <v>0</v>
      </c>
      <c r="AF62">
        <f>IF((gamma!AF62),IF(VLOOKUP(AF$1,main!$A$3:$H$102,7,FALSE)=VLOOKUP($A62,main!$A$3:$H$102,8,FALSE),VLOOKUP(AF$1,main!$A$3:$H$102,4,FALSE),VLOOKUP(AF$1,main!$A$3:$H$102,4,FALSE)+VLOOKUP($A62,main!$A$3:$H$102,4,FALSE)+(VLOOKUP(VLOOKUP(AF$1,main!$A$3:$H$102,8,FALSE),main!$K$19:$O$22,MATCH(VLOOKUP($A62,main!$A$3:$H$102,7,FALSE),main!$K$18:$O$18,0),0))),0)</f>
        <v>0</v>
      </c>
      <c r="AG62">
        <f>IF((gamma!AG62),IF(VLOOKUP(AG$1,main!$A$3:$H$102,7,FALSE)=VLOOKUP($A62,main!$A$3:$H$102,8,FALSE),VLOOKUP(AG$1,main!$A$3:$H$102,4,FALSE),VLOOKUP(AG$1,main!$A$3:$H$102,4,FALSE)+VLOOKUP($A62,main!$A$3:$H$102,4,FALSE)+(VLOOKUP(VLOOKUP(AG$1,main!$A$3:$H$102,8,FALSE),main!$K$19:$O$22,MATCH(VLOOKUP($A62,main!$A$3:$H$102,7,FALSE),main!$K$18:$O$18,0),0))),0)</f>
        <v>0</v>
      </c>
      <c r="AH62">
        <f>IF((gamma!AH62),IF(VLOOKUP(AH$1,main!$A$3:$H$102,7,FALSE)=VLOOKUP($A62,main!$A$3:$H$102,8,FALSE),VLOOKUP(AH$1,main!$A$3:$H$102,4,FALSE),VLOOKUP(AH$1,main!$A$3:$H$102,4,FALSE)+VLOOKUP($A62,main!$A$3:$H$102,4,FALSE)+(VLOOKUP(VLOOKUP(AH$1,main!$A$3:$H$102,8,FALSE),main!$K$19:$O$22,MATCH(VLOOKUP($A62,main!$A$3:$H$102,7,FALSE),main!$K$18:$O$18,0),0))),0)</f>
        <v>0</v>
      </c>
      <c r="AI62">
        <f>IF((gamma!AI62),IF(VLOOKUP(AI$1,main!$A$3:$H$102,7,FALSE)=VLOOKUP($A62,main!$A$3:$H$102,8,FALSE),VLOOKUP(AI$1,main!$A$3:$H$102,4,FALSE),VLOOKUP(AI$1,main!$A$3:$H$102,4,FALSE)+VLOOKUP($A62,main!$A$3:$H$102,4,FALSE)+(VLOOKUP(VLOOKUP(AI$1,main!$A$3:$H$102,8,FALSE),main!$K$19:$O$22,MATCH(VLOOKUP($A62,main!$A$3:$H$102,7,FALSE),main!$K$18:$O$18,0),0))),0)</f>
        <v>0</v>
      </c>
      <c r="AJ62">
        <f>IF((gamma!AJ62),IF(VLOOKUP(AJ$1,main!$A$3:$H$102,7,FALSE)=VLOOKUP($A62,main!$A$3:$H$102,8,FALSE),VLOOKUP(AJ$1,main!$A$3:$H$102,4,FALSE),VLOOKUP(AJ$1,main!$A$3:$H$102,4,FALSE)+VLOOKUP($A62,main!$A$3:$H$102,4,FALSE)+(VLOOKUP(VLOOKUP(AJ$1,main!$A$3:$H$102,8,FALSE),main!$K$19:$O$22,MATCH(VLOOKUP($A62,main!$A$3:$H$102,7,FALSE),main!$K$18:$O$18,0),0))),0)</f>
        <v>0</v>
      </c>
      <c r="AK62">
        <f>IF((gamma!AK62),IF(VLOOKUP(AK$1,main!$A$3:$H$102,7,FALSE)=VLOOKUP($A62,main!$A$3:$H$102,8,FALSE),VLOOKUP(AK$1,main!$A$3:$H$102,4,FALSE),VLOOKUP(AK$1,main!$A$3:$H$102,4,FALSE)+VLOOKUP($A62,main!$A$3:$H$102,4,FALSE)+(VLOOKUP(VLOOKUP(AK$1,main!$A$3:$H$102,8,FALSE),main!$K$19:$O$22,MATCH(VLOOKUP($A62,main!$A$3:$H$102,7,FALSE),main!$K$18:$O$18,0),0))),0)</f>
        <v>0</v>
      </c>
      <c r="AL62">
        <f>IF((gamma!AL62),IF(VLOOKUP(AL$1,main!$A$3:$H$102,7,FALSE)=VLOOKUP($A62,main!$A$3:$H$102,8,FALSE),VLOOKUP(AL$1,main!$A$3:$H$102,4,FALSE),VLOOKUP(AL$1,main!$A$3:$H$102,4,FALSE)+VLOOKUP($A62,main!$A$3:$H$102,4,FALSE)+(VLOOKUP(VLOOKUP(AL$1,main!$A$3:$H$102,8,FALSE),main!$K$19:$O$22,MATCH(VLOOKUP($A62,main!$A$3:$H$102,7,FALSE),main!$K$18:$O$18,0),0))),0)</f>
        <v>0</v>
      </c>
      <c r="AM62">
        <f>IF((gamma!AM62),IF(VLOOKUP(AM$1,main!$A$3:$H$102,7,FALSE)=VLOOKUP($A62,main!$A$3:$H$102,8,FALSE),VLOOKUP(AM$1,main!$A$3:$H$102,4,FALSE),VLOOKUP(AM$1,main!$A$3:$H$102,4,FALSE)+VLOOKUP($A62,main!$A$3:$H$102,4,FALSE)+(VLOOKUP(VLOOKUP(AM$1,main!$A$3:$H$102,8,FALSE),main!$K$19:$O$22,MATCH(VLOOKUP($A62,main!$A$3:$H$102,7,FALSE),main!$K$18:$O$18,0),0))),0)</f>
        <v>0</v>
      </c>
      <c r="AN62">
        <f>IF((gamma!AN62),IF(VLOOKUP(AN$1,main!$A$3:$H$102,7,FALSE)=VLOOKUP($A62,main!$A$3:$H$102,8,FALSE),VLOOKUP(AN$1,main!$A$3:$H$102,4,FALSE),VLOOKUP(AN$1,main!$A$3:$H$102,4,FALSE)+VLOOKUP($A62,main!$A$3:$H$102,4,FALSE)+(VLOOKUP(VLOOKUP(AN$1,main!$A$3:$H$102,8,FALSE),main!$K$19:$O$22,MATCH(VLOOKUP($A62,main!$A$3:$H$102,7,FALSE),main!$K$18:$O$18,0),0))),0)</f>
        <v>255</v>
      </c>
      <c r="AO62">
        <f>IF((gamma!AO62),IF(VLOOKUP(AO$1,main!$A$3:$H$102,7,FALSE)=VLOOKUP($A62,main!$A$3:$H$102,8,FALSE),VLOOKUP(AO$1,main!$A$3:$H$102,4,FALSE),VLOOKUP(AO$1,main!$A$3:$H$102,4,FALSE)+VLOOKUP($A62,main!$A$3:$H$102,4,FALSE)+(VLOOKUP(VLOOKUP(AO$1,main!$A$3:$H$102,8,FALSE),main!$K$19:$O$22,MATCH(VLOOKUP($A62,main!$A$3:$H$102,7,FALSE),main!$K$18:$O$18,0),0))),0)</f>
        <v>0</v>
      </c>
      <c r="AP62">
        <f>IF((gamma!AP62),IF(VLOOKUP(AP$1,main!$A$3:$H$102,7,FALSE)=VLOOKUP($A62,main!$A$3:$H$102,8,FALSE),VLOOKUP(AP$1,main!$A$3:$H$102,4,FALSE),VLOOKUP(AP$1,main!$A$3:$H$102,4,FALSE)+VLOOKUP($A62,main!$A$3:$H$102,4,FALSE)+(VLOOKUP(VLOOKUP(AP$1,main!$A$3:$H$102,8,FALSE),main!$K$19:$O$22,MATCH(VLOOKUP($A62,main!$A$3:$H$102,7,FALSE),main!$K$18:$O$18,0),0))),0)</f>
        <v>195</v>
      </c>
      <c r="AQ62">
        <f>IF((gamma!AQ62),IF(VLOOKUP(AQ$1,main!$A$3:$H$102,7,FALSE)=VLOOKUP($A62,main!$A$3:$H$102,8,FALSE),VLOOKUP(AQ$1,main!$A$3:$H$102,4,FALSE),VLOOKUP(AQ$1,main!$A$3:$H$102,4,FALSE)+VLOOKUP($A62,main!$A$3:$H$102,4,FALSE)+(VLOOKUP(VLOOKUP(AQ$1,main!$A$3:$H$102,8,FALSE),main!$K$19:$O$22,MATCH(VLOOKUP($A62,main!$A$3:$H$102,7,FALSE),main!$K$18:$O$18,0),0))),0)</f>
        <v>0</v>
      </c>
      <c r="AR62">
        <f>IF((gamma!AR62),IF(VLOOKUP(AR$1,main!$A$3:$H$102,7,FALSE)=VLOOKUP($A62,main!$A$3:$H$102,8,FALSE),VLOOKUP(AR$1,main!$A$3:$H$102,4,FALSE),VLOOKUP(AR$1,main!$A$3:$H$102,4,FALSE)+VLOOKUP($A62,main!$A$3:$H$102,4,FALSE)+(VLOOKUP(VLOOKUP(AR$1,main!$A$3:$H$102,8,FALSE),main!$K$19:$O$22,MATCH(VLOOKUP($A62,main!$A$3:$H$102,7,FALSE),main!$K$18:$O$18,0),0))),0)</f>
        <v>0</v>
      </c>
      <c r="AS62">
        <f>IF((gamma!AS62),IF(VLOOKUP(AS$1,main!$A$3:$H$102,7,FALSE)=VLOOKUP($A62,main!$A$3:$H$102,8,FALSE),VLOOKUP(AS$1,main!$A$3:$H$102,4,FALSE),VLOOKUP(AS$1,main!$A$3:$H$102,4,FALSE)+VLOOKUP($A62,main!$A$3:$H$102,4,FALSE)+(VLOOKUP(VLOOKUP(AS$1,main!$A$3:$H$102,8,FALSE),main!$K$19:$O$22,MATCH(VLOOKUP($A62,main!$A$3:$H$102,7,FALSE),main!$K$18:$O$18,0),0))),0)</f>
        <v>0</v>
      </c>
      <c r="AT62">
        <f>IF((gamma!AT62),IF(VLOOKUP(AT$1,main!$A$3:$H$102,7,FALSE)=VLOOKUP($A62,main!$A$3:$H$102,8,FALSE),VLOOKUP(AT$1,main!$A$3:$H$102,4,FALSE),VLOOKUP(AT$1,main!$A$3:$H$102,4,FALSE)+VLOOKUP($A62,main!$A$3:$H$102,4,FALSE)+(VLOOKUP(VLOOKUP(AT$1,main!$A$3:$H$102,8,FALSE),main!$K$19:$O$22,MATCH(VLOOKUP($A62,main!$A$3:$H$102,7,FALSE),main!$K$18:$O$18,0),0))),0)</f>
        <v>0</v>
      </c>
      <c r="AU62">
        <f>IF((gamma!AU62),IF(VLOOKUP(AU$1,main!$A$3:$H$102,7,FALSE)=VLOOKUP($A62,main!$A$3:$H$102,8,FALSE),VLOOKUP(AU$1,main!$A$3:$H$102,4,FALSE),VLOOKUP(AU$1,main!$A$3:$H$102,4,FALSE)+VLOOKUP($A62,main!$A$3:$H$102,4,FALSE)+(VLOOKUP(VLOOKUP(AU$1,main!$A$3:$H$102,8,FALSE),main!$K$19:$O$22,MATCH(VLOOKUP($A62,main!$A$3:$H$102,7,FALSE),main!$K$18:$O$18,0),0))),0)</f>
        <v>0</v>
      </c>
      <c r="AV62">
        <f>IF((gamma!AV62),IF(VLOOKUP(AV$1,main!$A$3:$H$102,7,FALSE)=VLOOKUP($A62,main!$A$3:$H$102,8,FALSE),VLOOKUP(AV$1,main!$A$3:$H$102,4,FALSE),VLOOKUP(AV$1,main!$A$3:$H$102,4,FALSE)+VLOOKUP($A62,main!$A$3:$H$102,4,FALSE)+(VLOOKUP(VLOOKUP(AV$1,main!$A$3:$H$102,8,FALSE),main!$K$19:$O$22,MATCH(VLOOKUP($A62,main!$A$3:$H$102,7,FALSE),main!$K$18:$O$18,0),0))),0)</f>
        <v>0</v>
      </c>
      <c r="AW62">
        <f>IF((gamma!AW62),IF(VLOOKUP(AW$1,main!$A$3:$H$102,7,FALSE)=VLOOKUP($A62,main!$A$3:$H$102,8,FALSE),VLOOKUP(AW$1,main!$A$3:$H$102,4,FALSE),VLOOKUP(AW$1,main!$A$3:$H$102,4,FALSE)+VLOOKUP($A62,main!$A$3:$H$102,4,FALSE)+(VLOOKUP(VLOOKUP(AW$1,main!$A$3:$H$102,8,FALSE),main!$K$19:$O$22,MATCH(VLOOKUP($A62,main!$A$3:$H$102,7,FALSE),main!$K$18:$O$18,0),0))),0)</f>
        <v>0</v>
      </c>
      <c r="AX62">
        <f>IF((gamma!AX62),IF(VLOOKUP(AX$1,main!$A$3:$H$102,7,FALSE)=VLOOKUP($A62,main!$A$3:$H$102,8,FALSE),VLOOKUP(AX$1,main!$A$3:$H$102,4,FALSE),VLOOKUP(AX$1,main!$A$3:$H$102,4,FALSE)+VLOOKUP($A62,main!$A$3:$H$102,4,FALSE)+(VLOOKUP(VLOOKUP(AX$1,main!$A$3:$H$102,8,FALSE),main!$K$19:$O$22,MATCH(VLOOKUP($A62,main!$A$3:$H$102,7,FALSE),main!$K$18:$O$18,0),0))),0)</f>
        <v>0</v>
      </c>
      <c r="AY62">
        <f>IF((gamma!AY62),IF(VLOOKUP(AY$1,main!$A$3:$H$102,7,FALSE)=VLOOKUP($A62,main!$A$3:$H$102,8,FALSE),VLOOKUP(AY$1,main!$A$3:$H$102,4,FALSE),VLOOKUP(AY$1,main!$A$3:$H$102,4,FALSE)+VLOOKUP($A62,main!$A$3:$H$102,4,FALSE)+(VLOOKUP(VLOOKUP(AY$1,main!$A$3:$H$102,8,FALSE),main!$K$19:$O$22,MATCH(VLOOKUP($A62,main!$A$3:$H$102,7,FALSE),main!$K$18:$O$18,0),0))),0)</f>
        <v>0</v>
      </c>
      <c r="AZ62">
        <f>IF((gamma!AZ62),IF(VLOOKUP(AZ$1,main!$A$3:$H$102,7,FALSE)=VLOOKUP($A62,main!$A$3:$H$102,8,FALSE),VLOOKUP(AZ$1,main!$A$3:$H$102,4,FALSE),VLOOKUP(AZ$1,main!$A$3:$H$102,4,FALSE)+VLOOKUP($A62,main!$A$3:$H$102,4,FALSE)+(VLOOKUP(VLOOKUP(AZ$1,main!$A$3:$H$102,8,FALSE),main!$K$19:$O$22,MATCH(VLOOKUP($A62,main!$A$3:$H$102,7,FALSE),main!$K$18:$O$18,0),0))),0)</f>
        <v>0</v>
      </c>
      <c r="BA62">
        <f>IF((gamma!BA62),IF(VLOOKUP(BA$1,main!$A$3:$H$102,7,FALSE)=VLOOKUP($A62,main!$A$3:$H$102,8,FALSE),VLOOKUP(BA$1,main!$A$3:$H$102,4,FALSE),VLOOKUP(BA$1,main!$A$3:$H$102,4,FALSE)+VLOOKUP($A62,main!$A$3:$H$102,4,FALSE)+(VLOOKUP(VLOOKUP(BA$1,main!$A$3:$H$102,8,FALSE),main!$K$19:$O$22,MATCH(VLOOKUP($A62,main!$A$3:$H$102,7,FALSE),main!$K$18:$O$18,0),0))),0)</f>
        <v>0</v>
      </c>
      <c r="BB62">
        <f>IF((gamma!BB62),IF(VLOOKUP(BB$1,main!$A$3:$H$102,7,FALSE)=VLOOKUP($A62,main!$A$3:$H$102,8,FALSE),VLOOKUP(BB$1,main!$A$3:$H$102,4,FALSE),VLOOKUP(BB$1,main!$A$3:$H$102,4,FALSE)+VLOOKUP($A62,main!$A$3:$H$102,4,FALSE)+(VLOOKUP(VLOOKUP(BB$1,main!$A$3:$H$102,8,FALSE),main!$K$19:$O$22,MATCH(VLOOKUP($A62,main!$A$3:$H$102,7,FALSE),main!$K$18:$O$18,0),0))),0)</f>
        <v>0</v>
      </c>
      <c r="BC62">
        <f>IF((gamma!BC62),IF(VLOOKUP(BC$1,main!$A$3:$H$102,7,FALSE)=VLOOKUP($A62,main!$A$3:$H$102,8,FALSE),VLOOKUP(BC$1,main!$A$3:$H$102,4,FALSE),VLOOKUP(BC$1,main!$A$3:$H$102,4,FALSE)+VLOOKUP($A62,main!$A$3:$H$102,4,FALSE)+(VLOOKUP(VLOOKUP(BC$1,main!$A$3:$H$102,8,FALSE),main!$K$19:$O$22,MATCH(VLOOKUP($A62,main!$A$3:$H$102,7,FALSE),main!$K$18:$O$18,0),0))),0)</f>
        <v>0</v>
      </c>
      <c r="BD62">
        <f>IF((gamma!BD62),IF(VLOOKUP(BD$1,main!$A$3:$H$102,7,FALSE)=VLOOKUP($A62,main!$A$3:$H$102,8,FALSE),VLOOKUP(BD$1,main!$A$3:$H$102,4,FALSE),VLOOKUP(BD$1,main!$A$3:$H$102,4,FALSE)+VLOOKUP($A62,main!$A$3:$H$102,4,FALSE)+(VLOOKUP(VLOOKUP(BD$1,main!$A$3:$H$102,8,FALSE),main!$K$19:$O$22,MATCH(VLOOKUP($A62,main!$A$3:$H$102,7,FALSE),main!$K$18:$O$18,0),0))),0)</f>
        <v>0</v>
      </c>
      <c r="BE62">
        <f>IF((gamma!BE62),IF(VLOOKUP(BE$1,main!$A$3:$H$102,7,FALSE)=VLOOKUP($A62,main!$A$3:$H$102,8,FALSE),VLOOKUP(BE$1,main!$A$3:$H$102,4,FALSE),VLOOKUP(BE$1,main!$A$3:$H$102,4,FALSE)+VLOOKUP($A62,main!$A$3:$H$102,4,FALSE)+(VLOOKUP(VLOOKUP(BE$1,main!$A$3:$H$102,8,FALSE),main!$K$19:$O$22,MATCH(VLOOKUP($A62,main!$A$3:$H$102,7,FALSE),main!$K$18:$O$18,0),0))),0)</f>
        <v>0</v>
      </c>
      <c r="BF62">
        <f>IF((gamma!BF62),IF(VLOOKUP(BF$1,main!$A$3:$H$102,7,FALSE)=VLOOKUP($A62,main!$A$3:$H$102,8,FALSE),VLOOKUP(BF$1,main!$A$3:$H$102,4,FALSE),VLOOKUP(BF$1,main!$A$3:$H$102,4,FALSE)+VLOOKUP($A62,main!$A$3:$H$102,4,FALSE)+(VLOOKUP(VLOOKUP(BF$1,main!$A$3:$H$102,8,FALSE),main!$K$19:$O$22,MATCH(VLOOKUP($A62,main!$A$3:$H$102,7,FALSE),main!$K$18:$O$18,0),0))),0)</f>
        <v>0</v>
      </c>
      <c r="BG62">
        <f>IF((gamma!BG62),IF(VLOOKUP(BG$1,main!$A$3:$H$102,7,FALSE)=VLOOKUP($A62,main!$A$3:$H$102,8,FALSE),VLOOKUP(BG$1,main!$A$3:$H$102,4,FALSE),VLOOKUP(BG$1,main!$A$3:$H$102,4,FALSE)+VLOOKUP($A62,main!$A$3:$H$102,4,FALSE)+(VLOOKUP(VLOOKUP(BG$1,main!$A$3:$H$102,8,FALSE),main!$K$19:$O$22,MATCH(VLOOKUP($A62,main!$A$3:$H$102,7,FALSE),main!$K$18:$O$18,0),0))),0)</f>
        <v>0</v>
      </c>
      <c r="BH62">
        <f>IF((gamma!BH62),IF(VLOOKUP(BH$1,main!$A$3:$H$102,7,FALSE)=VLOOKUP($A62,main!$A$3:$H$102,8,FALSE),VLOOKUP(BH$1,main!$A$3:$H$102,4,FALSE),VLOOKUP(BH$1,main!$A$3:$H$102,4,FALSE)+VLOOKUP($A62,main!$A$3:$H$102,4,FALSE)+(VLOOKUP(VLOOKUP(BH$1,main!$A$3:$H$102,8,FALSE),main!$K$19:$O$22,MATCH(VLOOKUP($A62,main!$A$3:$H$102,7,FALSE),main!$K$18:$O$18,0),0))),0)</f>
        <v>0</v>
      </c>
      <c r="BI62">
        <f>IF((gamma!BI62),IF(VLOOKUP(BI$1,main!$A$3:$H$102,7,FALSE)=VLOOKUP($A62,main!$A$3:$H$102,8,FALSE),VLOOKUP(BI$1,main!$A$3:$H$102,4,FALSE),VLOOKUP(BI$1,main!$A$3:$H$102,4,FALSE)+VLOOKUP($A62,main!$A$3:$H$102,4,FALSE)+(VLOOKUP(VLOOKUP(BI$1,main!$A$3:$H$102,8,FALSE),main!$K$19:$O$22,MATCH(VLOOKUP($A62,main!$A$3:$H$102,7,FALSE),main!$K$18:$O$18,0),0))),0)</f>
        <v>180</v>
      </c>
      <c r="BJ62">
        <f>IF((gamma!BJ62),IF(VLOOKUP(BJ$1,main!$A$3:$H$102,7,FALSE)=VLOOKUP($A62,main!$A$3:$H$102,8,FALSE),VLOOKUP(BJ$1,main!$A$3:$H$102,4,FALSE),VLOOKUP(BJ$1,main!$A$3:$H$102,4,FALSE)+VLOOKUP($A62,main!$A$3:$H$102,4,FALSE)+(VLOOKUP(VLOOKUP(BJ$1,main!$A$3:$H$102,8,FALSE),main!$K$19:$O$22,MATCH(VLOOKUP($A62,main!$A$3:$H$102,7,FALSE),main!$K$18:$O$18,0),0))),0)</f>
        <v>0</v>
      </c>
      <c r="BK62">
        <f>IF((gamma!BK62),IF(VLOOKUP(BK$1,main!$A$3:$H$102,7,FALSE)=VLOOKUP($A62,main!$A$3:$H$102,8,FALSE),VLOOKUP(BK$1,main!$A$3:$H$102,4,FALSE),VLOOKUP(BK$1,main!$A$3:$H$102,4,FALSE)+VLOOKUP($A62,main!$A$3:$H$102,4,FALSE)+(VLOOKUP(VLOOKUP(BK$1,main!$A$3:$H$102,8,FALSE),main!$K$19:$O$22,MATCH(VLOOKUP($A62,main!$A$3:$H$102,7,FALSE),main!$K$18:$O$18,0),0))),0)</f>
        <v>0</v>
      </c>
      <c r="BL62">
        <f>IF((gamma!BL62),IF(VLOOKUP(BL$1,main!$A$3:$H$102,7,FALSE)=VLOOKUP($A62,main!$A$3:$H$102,8,FALSE),VLOOKUP(BL$1,main!$A$3:$H$102,4,FALSE),VLOOKUP(BL$1,main!$A$3:$H$102,4,FALSE)+VLOOKUP($A62,main!$A$3:$H$102,4,FALSE)+(VLOOKUP(VLOOKUP(BL$1,main!$A$3:$H$102,8,FALSE),main!$K$19:$O$22,MATCH(VLOOKUP($A62,main!$A$3:$H$102,7,FALSE),main!$K$18:$O$18,0),0))),0)</f>
        <v>0</v>
      </c>
      <c r="BM62">
        <f>IF((gamma!BM62),IF(VLOOKUP(BM$1,main!$A$3:$H$102,7,FALSE)=VLOOKUP($A62,main!$A$3:$H$102,8,FALSE),VLOOKUP(BM$1,main!$A$3:$H$102,4,FALSE),VLOOKUP(BM$1,main!$A$3:$H$102,4,FALSE)+VLOOKUP($A62,main!$A$3:$H$102,4,FALSE)+(VLOOKUP(VLOOKUP(BM$1,main!$A$3:$H$102,8,FALSE),main!$K$19:$O$22,MATCH(VLOOKUP($A62,main!$A$3:$H$102,7,FALSE),main!$K$18:$O$18,0),0))),0)</f>
        <v>0</v>
      </c>
      <c r="BN62">
        <f>IF((gamma!BN62),IF(VLOOKUP(BN$1,main!$A$3:$H$102,7,FALSE)=VLOOKUP($A62,main!$A$3:$H$102,8,FALSE),VLOOKUP(BN$1,main!$A$3:$H$102,4,FALSE),VLOOKUP(BN$1,main!$A$3:$H$102,4,FALSE)+VLOOKUP($A62,main!$A$3:$H$102,4,FALSE)+(VLOOKUP(VLOOKUP(BN$1,main!$A$3:$H$102,8,FALSE),main!$K$19:$O$22,MATCH(VLOOKUP($A62,main!$A$3:$H$102,7,FALSE),main!$K$18:$O$18,0),0))),0)</f>
        <v>0</v>
      </c>
      <c r="BO62">
        <f>IF((gamma!BO62),IF(VLOOKUP(BO$1,main!$A$3:$H$102,7,FALSE)=VLOOKUP($A62,main!$A$3:$H$102,8,FALSE),VLOOKUP(BO$1,main!$A$3:$H$102,4,FALSE),VLOOKUP(BO$1,main!$A$3:$H$102,4,FALSE)+VLOOKUP($A62,main!$A$3:$H$102,4,FALSE)+(VLOOKUP(VLOOKUP(BO$1,main!$A$3:$H$102,8,FALSE),main!$K$19:$O$22,MATCH(VLOOKUP($A62,main!$A$3:$H$102,7,FALSE),main!$K$18:$O$18,0),0))),0)</f>
        <v>0</v>
      </c>
      <c r="BP62">
        <f>IF((gamma!BP62),IF(VLOOKUP(BP$1,main!$A$3:$H$102,7,FALSE)=VLOOKUP($A62,main!$A$3:$H$102,8,FALSE),VLOOKUP(BP$1,main!$A$3:$H$102,4,FALSE),VLOOKUP(BP$1,main!$A$3:$H$102,4,FALSE)+VLOOKUP($A62,main!$A$3:$H$102,4,FALSE)+(VLOOKUP(VLOOKUP(BP$1,main!$A$3:$H$102,8,FALSE),main!$K$19:$O$22,MATCH(VLOOKUP($A62,main!$A$3:$H$102,7,FALSE),main!$K$18:$O$18,0),0))),0)</f>
        <v>0</v>
      </c>
      <c r="BQ62">
        <f>IF((gamma!BQ62),IF(VLOOKUP(BQ$1,main!$A$3:$H$102,7,FALSE)=VLOOKUP($A62,main!$A$3:$H$102,8,FALSE),VLOOKUP(BQ$1,main!$A$3:$H$102,4,FALSE),VLOOKUP(BQ$1,main!$A$3:$H$102,4,FALSE)+VLOOKUP($A62,main!$A$3:$H$102,4,FALSE)+(VLOOKUP(VLOOKUP(BQ$1,main!$A$3:$H$102,8,FALSE),main!$K$19:$O$22,MATCH(VLOOKUP($A62,main!$A$3:$H$102,7,FALSE),main!$K$18:$O$18,0),0))),0)</f>
        <v>0</v>
      </c>
      <c r="BR62">
        <f>IF((gamma!BR62),IF(VLOOKUP(BR$1,main!$A$3:$H$102,7,FALSE)=VLOOKUP($A62,main!$A$3:$H$102,8,FALSE),VLOOKUP(BR$1,main!$A$3:$H$102,4,FALSE),VLOOKUP(BR$1,main!$A$3:$H$102,4,FALSE)+VLOOKUP($A62,main!$A$3:$H$102,4,FALSE)+(VLOOKUP(VLOOKUP(BR$1,main!$A$3:$H$102,8,FALSE),main!$K$19:$O$22,MATCH(VLOOKUP($A62,main!$A$3:$H$102,7,FALSE),main!$K$18:$O$18,0),0))),0)</f>
        <v>0</v>
      </c>
      <c r="BS62">
        <f>IF((gamma!BS62),IF(VLOOKUP(BS$1,main!$A$3:$H$102,7,FALSE)=VLOOKUP($A62,main!$A$3:$H$102,8,FALSE),VLOOKUP(BS$1,main!$A$3:$H$102,4,FALSE),VLOOKUP(BS$1,main!$A$3:$H$102,4,FALSE)+VLOOKUP($A62,main!$A$3:$H$102,4,FALSE)+(VLOOKUP(VLOOKUP(BS$1,main!$A$3:$H$102,8,FALSE),main!$K$19:$O$22,MATCH(VLOOKUP($A62,main!$A$3:$H$102,7,FALSE),main!$K$18:$O$18,0),0))),0)</f>
        <v>0</v>
      </c>
      <c r="BT62">
        <f>IF((gamma!BT62),IF(VLOOKUP(BT$1,main!$A$3:$H$102,7,FALSE)=VLOOKUP($A62,main!$A$3:$H$102,8,FALSE),VLOOKUP(BT$1,main!$A$3:$H$102,4,FALSE),VLOOKUP(BT$1,main!$A$3:$H$102,4,FALSE)+VLOOKUP($A62,main!$A$3:$H$102,4,FALSE)+(VLOOKUP(VLOOKUP(BT$1,main!$A$3:$H$102,8,FALSE),main!$K$19:$O$22,MATCH(VLOOKUP($A62,main!$A$3:$H$102,7,FALSE),main!$K$18:$O$18,0),0))),0)</f>
        <v>0</v>
      </c>
      <c r="BU62">
        <f>IF((gamma!BU62),IF(VLOOKUP(BU$1,main!$A$3:$H$102,7,FALSE)=VLOOKUP($A62,main!$A$3:$H$102,8,FALSE),VLOOKUP(BU$1,main!$A$3:$H$102,4,FALSE),VLOOKUP(BU$1,main!$A$3:$H$102,4,FALSE)+VLOOKUP($A62,main!$A$3:$H$102,4,FALSE)+(VLOOKUP(VLOOKUP(BU$1,main!$A$3:$H$102,8,FALSE),main!$K$19:$O$22,MATCH(VLOOKUP($A62,main!$A$3:$H$102,7,FALSE),main!$K$18:$O$18,0),0))),0)</f>
        <v>0</v>
      </c>
      <c r="BV62">
        <f>IF((gamma!BV62),IF(VLOOKUP(BV$1,main!$A$3:$H$102,7,FALSE)=VLOOKUP($A62,main!$A$3:$H$102,8,FALSE),VLOOKUP(BV$1,main!$A$3:$H$102,4,FALSE),VLOOKUP(BV$1,main!$A$3:$H$102,4,FALSE)+VLOOKUP($A62,main!$A$3:$H$102,4,FALSE)+(VLOOKUP(VLOOKUP(BV$1,main!$A$3:$H$102,8,FALSE),main!$K$19:$O$22,MATCH(VLOOKUP($A62,main!$A$3:$H$102,7,FALSE),main!$K$18:$O$18,0),0))),0)</f>
        <v>0</v>
      </c>
      <c r="BW62">
        <f>IF((gamma!BW62),IF(VLOOKUP(BW$1,main!$A$3:$H$102,7,FALSE)=VLOOKUP($A62,main!$A$3:$H$102,8,FALSE),VLOOKUP(BW$1,main!$A$3:$H$102,4,FALSE),VLOOKUP(BW$1,main!$A$3:$H$102,4,FALSE)+VLOOKUP($A62,main!$A$3:$H$102,4,FALSE)+(VLOOKUP(VLOOKUP(BW$1,main!$A$3:$H$102,8,FALSE),main!$K$19:$O$22,MATCH(VLOOKUP($A62,main!$A$3:$H$102,7,FALSE),main!$K$18:$O$18,0),0))),0)</f>
        <v>0</v>
      </c>
      <c r="BX62">
        <f>IF((gamma!BX62),IF(VLOOKUP(BX$1,main!$A$3:$H$102,7,FALSE)=VLOOKUP($A62,main!$A$3:$H$102,8,FALSE),VLOOKUP(BX$1,main!$A$3:$H$102,4,FALSE),VLOOKUP(BX$1,main!$A$3:$H$102,4,FALSE)+VLOOKUP($A62,main!$A$3:$H$102,4,FALSE)+(VLOOKUP(VLOOKUP(BX$1,main!$A$3:$H$102,8,FALSE),main!$K$19:$O$22,MATCH(VLOOKUP($A62,main!$A$3:$H$102,7,FALSE),main!$K$18:$O$18,0),0))),0)</f>
        <v>0</v>
      </c>
      <c r="BY62">
        <f>IF((gamma!BY62),IF(VLOOKUP(BY$1,main!$A$3:$H$102,7,FALSE)=VLOOKUP($A62,main!$A$3:$H$102,8,FALSE),VLOOKUP(BY$1,main!$A$3:$H$102,4,FALSE),VLOOKUP(BY$1,main!$A$3:$H$102,4,FALSE)+VLOOKUP($A62,main!$A$3:$H$102,4,FALSE)+(VLOOKUP(VLOOKUP(BY$1,main!$A$3:$H$102,8,FALSE),main!$K$19:$O$22,MATCH(VLOOKUP($A62,main!$A$3:$H$102,7,FALSE),main!$K$18:$O$18,0),0))),0)</f>
        <v>0</v>
      </c>
      <c r="BZ62">
        <f>IF((gamma!BZ62),IF(VLOOKUP(BZ$1,main!$A$3:$H$102,7,FALSE)=VLOOKUP($A62,main!$A$3:$H$102,8,FALSE),VLOOKUP(BZ$1,main!$A$3:$H$102,4,FALSE),VLOOKUP(BZ$1,main!$A$3:$H$102,4,FALSE)+VLOOKUP($A62,main!$A$3:$H$102,4,FALSE)+(VLOOKUP(VLOOKUP(BZ$1,main!$A$3:$H$102,8,FALSE),main!$K$19:$O$22,MATCH(VLOOKUP($A62,main!$A$3:$H$102,7,FALSE),main!$K$18:$O$18,0),0))),0)</f>
        <v>0</v>
      </c>
      <c r="CA62">
        <f>IF((gamma!CA62),IF(VLOOKUP(CA$1,main!$A$3:$H$102,7,FALSE)=VLOOKUP($A62,main!$A$3:$H$102,8,FALSE),VLOOKUP(CA$1,main!$A$3:$H$102,4,FALSE),VLOOKUP(CA$1,main!$A$3:$H$102,4,FALSE)+VLOOKUP($A62,main!$A$3:$H$102,4,FALSE)+(VLOOKUP(VLOOKUP(CA$1,main!$A$3:$H$102,8,FALSE),main!$K$19:$O$22,MATCH(VLOOKUP($A62,main!$A$3:$H$102,7,FALSE),main!$K$18:$O$18,0),0))),0)</f>
        <v>0</v>
      </c>
      <c r="CB62">
        <f>IF((gamma!CB62),IF(VLOOKUP(CB$1,main!$A$3:$H$102,7,FALSE)=VLOOKUP($A62,main!$A$3:$H$102,8,FALSE),VLOOKUP(CB$1,main!$A$3:$H$102,4,FALSE),VLOOKUP(CB$1,main!$A$3:$H$102,4,FALSE)+VLOOKUP($A62,main!$A$3:$H$102,4,FALSE)+(VLOOKUP(VLOOKUP(CB$1,main!$A$3:$H$102,8,FALSE),main!$K$19:$O$22,MATCH(VLOOKUP($A62,main!$A$3:$H$102,7,FALSE),main!$K$18:$O$18,0),0))),0)</f>
        <v>0</v>
      </c>
      <c r="CC62">
        <f>IF((gamma!CC62),IF(VLOOKUP(CC$1,main!$A$3:$H$102,7,FALSE)=VLOOKUP($A62,main!$A$3:$H$102,8,FALSE),VLOOKUP(CC$1,main!$A$3:$H$102,4,FALSE),VLOOKUP(CC$1,main!$A$3:$H$102,4,FALSE)+VLOOKUP($A62,main!$A$3:$H$102,4,FALSE)+(VLOOKUP(VLOOKUP(CC$1,main!$A$3:$H$102,8,FALSE),main!$K$19:$O$22,MATCH(VLOOKUP($A62,main!$A$3:$H$102,7,FALSE),main!$K$18:$O$18,0),0))),0)</f>
        <v>0</v>
      </c>
      <c r="CD62">
        <f>IF((gamma!CD62),IF(VLOOKUP(CD$1,main!$A$3:$H$102,7,FALSE)=VLOOKUP($A62,main!$A$3:$H$102,8,FALSE),VLOOKUP(CD$1,main!$A$3:$H$102,4,FALSE),VLOOKUP(CD$1,main!$A$3:$H$102,4,FALSE)+VLOOKUP($A62,main!$A$3:$H$102,4,FALSE)+(VLOOKUP(VLOOKUP(CD$1,main!$A$3:$H$102,8,FALSE),main!$K$19:$O$22,MATCH(VLOOKUP($A62,main!$A$3:$H$102,7,FALSE),main!$K$18:$O$18,0),0))),0)</f>
        <v>0</v>
      </c>
      <c r="CE62">
        <f>IF((gamma!CE62),IF(VLOOKUP(CE$1,main!$A$3:$H$102,7,FALSE)=VLOOKUP($A62,main!$A$3:$H$102,8,FALSE),VLOOKUP(CE$1,main!$A$3:$H$102,4,FALSE),VLOOKUP(CE$1,main!$A$3:$H$102,4,FALSE)+VLOOKUP($A62,main!$A$3:$H$102,4,FALSE)+(VLOOKUP(VLOOKUP(CE$1,main!$A$3:$H$102,8,FALSE),main!$K$19:$O$22,MATCH(VLOOKUP($A62,main!$A$3:$H$102,7,FALSE),main!$K$18:$O$18,0),0))),0)</f>
        <v>0</v>
      </c>
      <c r="CF62">
        <f>IF((gamma!CF62),IF(VLOOKUP(CF$1,main!$A$3:$H$102,7,FALSE)=VLOOKUP($A62,main!$A$3:$H$102,8,FALSE),VLOOKUP(CF$1,main!$A$3:$H$102,4,FALSE),VLOOKUP(CF$1,main!$A$3:$H$102,4,FALSE)+VLOOKUP($A62,main!$A$3:$H$102,4,FALSE)+(VLOOKUP(VLOOKUP(CF$1,main!$A$3:$H$102,8,FALSE),main!$K$19:$O$22,MATCH(VLOOKUP($A62,main!$A$3:$H$102,7,FALSE),main!$K$18:$O$18,0),0))),0)</f>
        <v>0</v>
      </c>
      <c r="CG62">
        <f>IF((gamma!CG62),IF(VLOOKUP(CG$1,main!$A$3:$H$102,7,FALSE)=VLOOKUP($A62,main!$A$3:$H$102,8,FALSE),VLOOKUP(CG$1,main!$A$3:$H$102,4,FALSE),VLOOKUP(CG$1,main!$A$3:$H$102,4,FALSE)+VLOOKUP($A62,main!$A$3:$H$102,4,FALSE)+(VLOOKUP(VLOOKUP(CG$1,main!$A$3:$H$102,8,FALSE),main!$K$19:$O$22,MATCH(VLOOKUP($A62,main!$A$3:$H$102,7,FALSE),main!$K$18:$O$18,0),0))),0)</f>
        <v>0</v>
      </c>
      <c r="CH62">
        <f>IF((gamma!CH62),IF(VLOOKUP(CH$1,main!$A$3:$H$102,7,FALSE)=VLOOKUP($A62,main!$A$3:$H$102,8,FALSE),VLOOKUP(CH$1,main!$A$3:$H$102,4,FALSE),VLOOKUP(CH$1,main!$A$3:$H$102,4,FALSE)+VLOOKUP($A62,main!$A$3:$H$102,4,FALSE)+(VLOOKUP(VLOOKUP(CH$1,main!$A$3:$H$102,8,FALSE),main!$K$19:$O$22,MATCH(VLOOKUP($A62,main!$A$3:$H$102,7,FALSE),main!$K$18:$O$18,0),0))),0)</f>
        <v>0</v>
      </c>
      <c r="CI62">
        <f>IF((gamma!CI62),IF(VLOOKUP(CI$1,main!$A$3:$H$102,7,FALSE)=VLOOKUP($A62,main!$A$3:$H$102,8,FALSE),VLOOKUP(CI$1,main!$A$3:$H$102,4,FALSE),VLOOKUP(CI$1,main!$A$3:$H$102,4,FALSE)+VLOOKUP($A62,main!$A$3:$H$102,4,FALSE)+(VLOOKUP(VLOOKUP(CI$1,main!$A$3:$H$102,8,FALSE),main!$K$19:$O$22,MATCH(VLOOKUP($A62,main!$A$3:$H$102,7,FALSE),main!$K$18:$O$18,0),0))),0)</f>
        <v>260</v>
      </c>
      <c r="CJ62">
        <f>IF((gamma!CJ62),IF(VLOOKUP(CJ$1,main!$A$3:$H$102,7,FALSE)=VLOOKUP($A62,main!$A$3:$H$102,8,FALSE),VLOOKUP(CJ$1,main!$A$3:$H$102,4,FALSE),VLOOKUP(CJ$1,main!$A$3:$H$102,4,FALSE)+VLOOKUP($A62,main!$A$3:$H$102,4,FALSE)+(VLOOKUP(VLOOKUP(CJ$1,main!$A$3:$H$102,8,FALSE),main!$K$19:$O$22,MATCH(VLOOKUP($A62,main!$A$3:$H$102,7,FALSE),main!$K$18:$O$18,0),0))),0)</f>
        <v>0</v>
      </c>
      <c r="CK62">
        <f>IF((gamma!CK62),IF(VLOOKUP(CK$1,main!$A$3:$H$102,7,FALSE)=VLOOKUP($A62,main!$A$3:$H$102,8,FALSE),VLOOKUP(CK$1,main!$A$3:$H$102,4,FALSE),VLOOKUP(CK$1,main!$A$3:$H$102,4,FALSE)+VLOOKUP($A62,main!$A$3:$H$102,4,FALSE)+(VLOOKUP(VLOOKUP(CK$1,main!$A$3:$H$102,8,FALSE),main!$K$19:$O$22,MATCH(VLOOKUP($A62,main!$A$3:$H$102,7,FALSE),main!$K$18:$O$18,0),0))),0)</f>
        <v>0</v>
      </c>
      <c r="CL62">
        <f>IF((gamma!CL62),IF(VLOOKUP(CL$1,main!$A$3:$H$102,7,FALSE)=VLOOKUP($A62,main!$A$3:$H$102,8,FALSE),VLOOKUP(CL$1,main!$A$3:$H$102,4,FALSE),VLOOKUP(CL$1,main!$A$3:$H$102,4,FALSE)+VLOOKUP($A62,main!$A$3:$H$102,4,FALSE)+(VLOOKUP(VLOOKUP(CL$1,main!$A$3:$H$102,8,FALSE),main!$K$19:$O$22,MATCH(VLOOKUP($A62,main!$A$3:$H$102,7,FALSE),main!$K$18:$O$18,0),0))),0)</f>
        <v>0</v>
      </c>
      <c r="CM62">
        <f>IF((gamma!CM62),IF(VLOOKUP(CM$1,main!$A$3:$H$102,7,FALSE)=VLOOKUP($A62,main!$A$3:$H$102,8,FALSE),VLOOKUP(CM$1,main!$A$3:$H$102,4,FALSE),VLOOKUP(CM$1,main!$A$3:$H$102,4,FALSE)+VLOOKUP($A62,main!$A$3:$H$102,4,FALSE)+(VLOOKUP(VLOOKUP(CM$1,main!$A$3:$H$102,8,FALSE),main!$K$19:$O$22,MATCH(VLOOKUP($A62,main!$A$3:$H$102,7,FALSE),main!$K$18:$O$18,0),0))),0)</f>
        <v>0</v>
      </c>
      <c r="CN62">
        <f>IF((gamma!CN62),IF(VLOOKUP(CN$1,main!$A$3:$H$102,7,FALSE)=VLOOKUP($A62,main!$A$3:$H$102,8,FALSE),VLOOKUP(CN$1,main!$A$3:$H$102,4,FALSE),VLOOKUP(CN$1,main!$A$3:$H$102,4,FALSE)+VLOOKUP($A62,main!$A$3:$H$102,4,FALSE)+(VLOOKUP(VLOOKUP(CN$1,main!$A$3:$H$102,8,FALSE),main!$K$19:$O$22,MATCH(VLOOKUP($A62,main!$A$3:$H$102,7,FALSE),main!$K$18:$O$18,0),0))),0)</f>
        <v>216</v>
      </c>
      <c r="CO62">
        <f>IF((gamma!CO62),IF(VLOOKUP(CO$1,main!$A$3:$H$102,7,FALSE)=VLOOKUP($A62,main!$A$3:$H$102,8,FALSE),VLOOKUP(CO$1,main!$A$3:$H$102,4,FALSE),VLOOKUP(CO$1,main!$A$3:$H$102,4,FALSE)+VLOOKUP($A62,main!$A$3:$H$102,4,FALSE)+(VLOOKUP(VLOOKUP(CO$1,main!$A$3:$H$102,8,FALSE),main!$K$19:$O$22,MATCH(VLOOKUP($A62,main!$A$3:$H$102,7,FALSE),main!$K$18:$O$18,0),0))),0)</f>
        <v>0</v>
      </c>
      <c r="CP62">
        <f>IF((gamma!CP62),IF(VLOOKUP(CP$1,main!$A$3:$H$102,7,FALSE)=VLOOKUP($A62,main!$A$3:$H$102,8,FALSE),VLOOKUP(CP$1,main!$A$3:$H$102,4,FALSE),VLOOKUP(CP$1,main!$A$3:$H$102,4,FALSE)+VLOOKUP($A62,main!$A$3:$H$102,4,FALSE)+(VLOOKUP(VLOOKUP(CP$1,main!$A$3:$H$102,8,FALSE),main!$K$19:$O$22,MATCH(VLOOKUP($A62,main!$A$3:$H$102,7,FALSE),main!$K$18:$O$18,0),0))),0)</f>
        <v>0</v>
      </c>
      <c r="CQ62">
        <f>IF((gamma!CQ62),IF(VLOOKUP(CQ$1,main!$A$3:$H$102,7,FALSE)=VLOOKUP($A62,main!$A$3:$H$102,8,FALSE),VLOOKUP(CQ$1,main!$A$3:$H$102,4,FALSE),VLOOKUP(CQ$1,main!$A$3:$H$102,4,FALSE)+VLOOKUP($A62,main!$A$3:$H$102,4,FALSE)+(VLOOKUP(VLOOKUP(CQ$1,main!$A$3:$H$102,8,FALSE),main!$K$19:$O$22,MATCH(VLOOKUP($A62,main!$A$3:$H$102,7,FALSE),main!$K$18:$O$18,0),0))),0)</f>
        <v>0</v>
      </c>
      <c r="CR62">
        <f>IF((gamma!CR62),IF(VLOOKUP(CR$1,main!$A$3:$H$102,7,FALSE)=VLOOKUP($A62,main!$A$3:$H$102,8,FALSE),VLOOKUP(CR$1,main!$A$3:$H$102,4,FALSE),VLOOKUP(CR$1,main!$A$3:$H$102,4,FALSE)+VLOOKUP($A62,main!$A$3:$H$102,4,FALSE)+(VLOOKUP(VLOOKUP(CR$1,main!$A$3:$H$102,8,FALSE),main!$K$19:$O$22,MATCH(VLOOKUP($A62,main!$A$3:$H$102,7,FALSE),main!$K$18:$O$18,0),0))),0)</f>
        <v>0</v>
      </c>
      <c r="CS62">
        <f>IF((gamma!CS62),IF(VLOOKUP(CS$1,main!$A$3:$H$102,7,FALSE)=VLOOKUP($A62,main!$A$3:$H$102,8,FALSE),VLOOKUP(CS$1,main!$A$3:$H$102,4,FALSE),VLOOKUP(CS$1,main!$A$3:$H$102,4,FALSE)+VLOOKUP($A62,main!$A$3:$H$102,4,FALSE)+(VLOOKUP(VLOOKUP(CS$1,main!$A$3:$H$102,8,FALSE),main!$K$19:$O$22,MATCH(VLOOKUP($A62,main!$A$3:$H$102,7,FALSE),main!$K$18:$O$18,0),0))),0)</f>
        <v>0</v>
      </c>
      <c r="CT62">
        <f>IF((gamma!CT62),IF(VLOOKUP(CT$1,main!$A$3:$H$102,7,FALSE)=VLOOKUP($A62,main!$A$3:$H$102,8,FALSE),VLOOKUP(CT$1,main!$A$3:$H$102,4,FALSE),VLOOKUP(CT$1,main!$A$3:$H$102,4,FALSE)+VLOOKUP($A62,main!$A$3:$H$102,4,FALSE)+(VLOOKUP(VLOOKUP(CT$1,main!$A$3:$H$102,8,FALSE),main!$K$19:$O$22,MATCH(VLOOKUP($A62,main!$A$3:$H$102,7,FALSE),main!$K$18:$O$18,0),0))),0)</f>
        <v>0</v>
      </c>
      <c r="CU62">
        <f>IF((gamma!CU62),IF(VLOOKUP(CU$1,main!$A$3:$H$102,7,FALSE)=VLOOKUP($A62,main!$A$3:$H$102,8,FALSE),VLOOKUP(CU$1,main!$A$3:$H$102,4,FALSE),VLOOKUP(CU$1,main!$A$3:$H$102,4,FALSE)+VLOOKUP($A62,main!$A$3:$H$102,4,FALSE)+(VLOOKUP(VLOOKUP(CU$1,main!$A$3:$H$102,8,FALSE),main!$K$19:$O$22,MATCH(VLOOKUP($A62,main!$A$3:$H$102,7,FALSE),main!$K$18:$O$18,0),0))),0)</f>
        <v>0</v>
      </c>
      <c r="CV62">
        <f>IF((gamma!CV62),IF(VLOOKUP(CV$1,main!$A$3:$H$102,7,FALSE)=VLOOKUP($A62,main!$A$3:$H$102,8,FALSE),VLOOKUP(CV$1,main!$A$3:$H$102,4,FALSE),VLOOKUP(CV$1,main!$A$3:$H$102,4,FALSE)+VLOOKUP($A62,main!$A$3:$H$102,4,FALSE)+(VLOOKUP(VLOOKUP(CV$1,main!$A$3:$H$102,8,FALSE),main!$K$19:$O$22,MATCH(VLOOKUP($A62,main!$A$3:$H$102,7,FALSE),main!$K$18:$O$18,0),0))),0)</f>
        <v>0</v>
      </c>
      <c r="CW62">
        <f>IF((gamma!CW62),IF(VLOOKUP(CW$1,main!$A$3:$H$102,7,FALSE)=VLOOKUP($A62,main!$A$3:$H$102,8,FALSE),VLOOKUP(CW$1,main!$A$3:$H$102,4,FALSE),VLOOKUP(CW$1,main!$A$3:$H$102,4,FALSE)+VLOOKUP($A62,main!$A$3:$H$102,4,FALSE)+(VLOOKUP(VLOOKUP(CW$1,main!$A$3:$H$102,8,FALSE),main!$K$19:$O$22,MATCH(VLOOKUP($A62,main!$A$3:$H$102,7,FALSE),main!$K$18:$O$18,0),0))),0)</f>
        <v>0</v>
      </c>
      <c r="CX62">
        <f>IF((gamma!CX62),IF(VLOOKUP(CX$1,main!$A$3:$H$102,7,FALSE)=VLOOKUP($A62,main!$A$3:$H$102,8,FALSE),VLOOKUP(CX$1,main!$A$3:$H$102,4,FALSE),VLOOKUP(CX$1,main!$A$3:$H$102,4,FALSE)+VLOOKUP($A62,main!$A$3:$H$102,4,FALSE)+(VLOOKUP(VLOOKUP(CX$1,main!$A$3:$H$102,8,FALSE),main!$K$19:$O$22,MATCH(VLOOKUP($A62,main!$A$3:$H$102,7,FALSE),main!$K$18:$O$18,0),0))),0)</f>
        <v>0</v>
      </c>
      <c r="CY62">
        <v>0</v>
      </c>
      <c r="CZ62">
        <v>0</v>
      </c>
      <c r="DA62">
        <v>0</v>
      </c>
    </row>
    <row r="63" spans="1:105" x14ac:dyDescent="0.25">
      <c r="A63" s="1">
        <v>61</v>
      </c>
      <c r="B63">
        <v>0</v>
      </c>
      <c r="C63">
        <f>IF((gamma!C63),IF(VLOOKUP(C$1,main!$A$3:$H$102,7,FALSE)=VLOOKUP($A63,main!$A$3:$H$102,8,FALSE),VLOOKUP(C$1,main!$A$3:$H$102,4,FALSE),VLOOKUP(C$1,main!$A$3:$H$102,4,FALSE)+VLOOKUP($A63,main!$A$3:$H$102,4,FALSE)+(VLOOKUP(VLOOKUP(C$1,main!$A$3:$H$102,8,FALSE),main!$K$19:$O$22,MATCH(VLOOKUP($A63,main!$A$3:$H$102,7,FALSE),main!$K$18:$O$18,0),0))),0)</f>
        <v>0</v>
      </c>
      <c r="D63">
        <f>IF((gamma!D63),IF(VLOOKUP(D$1,main!$A$3:$H$102,7,FALSE)=VLOOKUP($A63,main!$A$3:$H$102,8,FALSE),VLOOKUP(D$1,main!$A$3:$H$102,4,FALSE),VLOOKUP(D$1,main!$A$3:$H$102,4,FALSE)+VLOOKUP($A63,main!$A$3:$H$102,4,FALSE)+(VLOOKUP(VLOOKUP(D$1,main!$A$3:$H$102,8,FALSE),main!$K$19:$O$22,MATCH(VLOOKUP($A63,main!$A$3:$H$102,7,FALSE),main!$K$18:$O$18,0),0))),0)</f>
        <v>283</v>
      </c>
      <c r="E63">
        <f>IF((gamma!E63),IF(VLOOKUP(E$1,main!$A$3:$H$102,7,FALSE)=VLOOKUP($A63,main!$A$3:$H$102,8,FALSE),VLOOKUP(E$1,main!$A$3:$H$102,4,FALSE),VLOOKUP(E$1,main!$A$3:$H$102,4,FALSE)+VLOOKUP($A63,main!$A$3:$H$102,4,FALSE)+(VLOOKUP(VLOOKUP(E$1,main!$A$3:$H$102,8,FALSE),main!$K$19:$O$22,MATCH(VLOOKUP($A63,main!$A$3:$H$102,7,FALSE),main!$K$18:$O$18,0),0))),0)</f>
        <v>283</v>
      </c>
      <c r="F63">
        <f>IF((gamma!F63),IF(VLOOKUP(F$1,main!$A$3:$H$102,7,FALSE)=VLOOKUP($A63,main!$A$3:$H$102,8,FALSE),VLOOKUP(F$1,main!$A$3:$H$102,4,FALSE),VLOOKUP(F$1,main!$A$3:$H$102,4,FALSE)+VLOOKUP($A63,main!$A$3:$H$102,4,FALSE)+(VLOOKUP(VLOOKUP(F$1,main!$A$3:$H$102,8,FALSE),main!$K$19:$O$22,MATCH(VLOOKUP($A63,main!$A$3:$H$102,7,FALSE),main!$K$18:$O$18,0),0))),0)</f>
        <v>283</v>
      </c>
      <c r="G63">
        <f>IF((gamma!G63),IF(VLOOKUP(G$1,main!$A$3:$H$102,7,FALSE)=VLOOKUP($A63,main!$A$3:$H$102,8,FALSE),VLOOKUP(G$1,main!$A$3:$H$102,4,FALSE),VLOOKUP(G$1,main!$A$3:$H$102,4,FALSE)+VLOOKUP($A63,main!$A$3:$H$102,4,FALSE)+(VLOOKUP(VLOOKUP(G$1,main!$A$3:$H$102,8,FALSE),main!$K$19:$O$22,MATCH(VLOOKUP($A63,main!$A$3:$H$102,7,FALSE),main!$K$18:$O$18,0),0))),0)</f>
        <v>283</v>
      </c>
      <c r="H63">
        <f>IF((gamma!H63),IF(VLOOKUP(H$1,main!$A$3:$H$102,7,FALSE)=VLOOKUP($A63,main!$A$3:$H$102,8,FALSE),VLOOKUP(H$1,main!$A$3:$H$102,4,FALSE),VLOOKUP(H$1,main!$A$3:$H$102,4,FALSE)+VLOOKUP($A63,main!$A$3:$H$102,4,FALSE)+(VLOOKUP(VLOOKUP(H$1,main!$A$3:$H$102,8,FALSE),main!$K$19:$O$22,MATCH(VLOOKUP($A63,main!$A$3:$H$102,7,FALSE),main!$K$18:$O$18,0),0))),0)</f>
        <v>283</v>
      </c>
      <c r="I63">
        <f>IF((gamma!I63),IF(VLOOKUP(I$1,main!$A$3:$H$102,7,FALSE)=VLOOKUP($A63,main!$A$3:$H$102,8,FALSE),VLOOKUP(I$1,main!$A$3:$H$102,4,FALSE),VLOOKUP(I$1,main!$A$3:$H$102,4,FALSE)+VLOOKUP($A63,main!$A$3:$H$102,4,FALSE)+(VLOOKUP(VLOOKUP(I$1,main!$A$3:$H$102,8,FALSE),main!$K$19:$O$22,MATCH(VLOOKUP($A63,main!$A$3:$H$102,7,FALSE),main!$K$18:$O$18,0),0))),0)</f>
        <v>283</v>
      </c>
      <c r="J63">
        <f>IF((gamma!J63),IF(VLOOKUP(J$1,main!$A$3:$H$102,7,FALSE)=VLOOKUP($A63,main!$A$3:$H$102,8,FALSE),VLOOKUP(J$1,main!$A$3:$H$102,4,FALSE),VLOOKUP(J$1,main!$A$3:$H$102,4,FALSE)+VLOOKUP($A63,main!$A$3:$H$102,4,FALSE)+(VLOOKUP(VLOOKUP(J$1,main!$A$3:$H$102,8,FALSE),main!$K$19:$O$22,MATCH(VLOOKUP($A63,main!$A$3:$H$102,7,FALSE),main!$K$18:$O$18,0),0))),0)</f>
        <v>283</v>
      </c>
      <c r="K63">
        <f>IF((gamma!K63),IF(VLOOKUP(K$1,main!$A$3:$H$102,7,FALSE)=VLOOKUP($A63,main!$A$3:$H$102,8,FALSE),VLOOKUP(K$1,main!$A$3:$H$102,4,FALSE),VLOOKUP(K$1,main!$A$3:$H$102,4,FALSE)+VLOOKUP($A63,main!$A$3:$H$102,4,FALSE)+(VLOOKUP(VLOOKUP(K$1,main!$A$3:$H$102,8,FALSE),main!$K$19:$O$22,MATCH(VLOOKUP($A63,main!$A$3:$H$102,7,FALSE),main!$K$18:$O$18,0),0))),0)</f>
        <v>283</v>
      </c>
      <c r="L63">
        <f>IF((gamma!L63),IF(VLOOKUP(L$1,main!$A$3:$H$102,7,FALSE)=VLOOKUP($A63,main!$A$3:$H$102,8,FALSE),VLOOKUP(L$1,main!$A$3:$H$102,4,FALSE),VLOOKUP(L$1,main!$A$3:$H$102,4,FALSE)+VLOOKUP($A63,main!$A$3:$H$102,4,FALSE)+(VLOOKUP(VLOOKUP(L$1,main!$A$3:$H$102,8,FALSE),main!$K$19:$O$22,MATCH(VLOOKUP($A63,main!$A$3:$H$102,7,FALSE),main!$K$18:$O$18,0),0))),0)</f>
        <v>283</v>
      </c>
      <c r="M63">
        <f>IF((gamma!M63),IF(VLOOKUP(M$1,main!$A$3:$H$102,7,FALSE)=VLOOKUP($A63,main!$A$3:$H$102,8,FALSE),VLOOKUP(M$1,main!$A$3:$H$102,4,FALSE),VLOOKUP(M$1,main!$A$3:$H$102,4,FALSE)+VLOOKUP($A63,main!$A$3:$H$102,4,FALSE)+(VLOOKUP(VLOOKUP(M$1,main!$A$3:$H$102,8,FALSE),main!$K$19:$O$22,MATCH(VLOOKUP($A63,main!$A$3:$H$102,7,FALSE),main!$K$18:$O$18,0),0))),0)</f>
        <v>260</v>
      </c>
      <c r="N63">
        <f>IF((gamma!N63),IF(VLOOKUP(N$1,main!$A$3:$H$102,7,FALSE)=VLOOKUP($A63,main!$A$3:$H$102,8,FALSE),VLOOKUP(N$1,main!$A$3:$H$102,4,FALSE),VLOOKUP(N$1,main!$A$3:$H$102,4,FALSE)+VLOOKUP($A63,main!$A$3:$H$102,4,FALSE)+(VLOOKUP(VLOOKUP(N$1,main!$A$3:$H$102,8,FALSE),main!$K$19:$O$22,MATCH(VLOOKUP($A63,main!$A$3:$H$102,7,FALSE),main!$K$18:$O$18,0),0))),0)</f>
        <v>260</v>
      </c>
      <c r="O63">
        <f>IF((gamma!O63),IF(VLOOKUP(O$1,main!$A$3:$H$102,7,FALSE)=VLOOKUP($A63,main!$A$3:$H$102,8,FALSE),VLOOKUP(O$1,main!$A$3:$H$102,4,FALSE),VLOOKUP(O$1,main!$A$3:$H$102,4,FALSE)+VLOOKUP($A63,main!$A$3:$H$102,4,FALSE)+(VLOOKUP(VLOOKUP(O$1,main!$A$3:$H$102,8,FALSE),main!$K$19:$O$22,MATCH(VLOOKUP($A63,main!$A$3:$H$102,7,FALSE),main!$K$18:$O$18,0),0))),0)</f>
        <v>260</v>
      </c>
      <c r="P63">
        <f>IF((gamma!P63),IF(VLOOKUP(P$1,main!$A$3:$H$102,7,FALSE)=VLOOKUP($A63,main!$A$3:$H$102,8,FALSE),VLOOKUP(P$1,main!$A$3:$H$102,4,FALSE),VLOOKUP(P$1,main!$A$3:$H$102,4,FALSE)+VLOOKUP($A63,main!$A$3:$H$102,4,FALSE)+(VLOOKUP(VLOOKUP(P$1,main!$A$3:$H$102,8,FALSE),main!$K$19:$O$22,MATCH(VLOOKUP($A63,main!$A$3:$H$102,7,FALSE),main!$K$18:$O$18,0),0))),0)</f>
        <v>260</v>
      </c>
      <c r="Q63">
        <f>IF((gamma!Q63),IF(VLOOKUP(Q$1,main!$A$3:$H$102,7,FALSE)=VLOOKUP($A63,main!$A$3:$H$102,8,FALSE),VLOOKUP(Q$1,main!$A$3:$H$102,4,FALSE),VLOOKUP(Q$1,main!$A$3:$H$102,4,FALSE)+VLOOKUP($A63,main!$A$3:$H$102,4,FALSE)+(VLOOKUP(VLOOKUP(Q$1,main!$A$3:$H$102,8,FALSE),main!$K$19:$O$22,MATCH(VLOOKUP($A63,main!$A$3:$H$102,7,FALSE),main!$K$18:$O$18,0),0))),0)</f>
        <v>260</v>
      </c>
      <c r="R63">
        <f>IF((gamma!R63),IF(VLOOKUP(R$1,main!$A$3:$H$102,7,FALSE)=VLOOKUP($A63,main!$A$3:$H$102,8,FALSE),VLOOKUP(R$1,main!$A$3:$H$102,4,FALSE),VLOOKUP(R$1,main!$A$3:$H$102,4,FALSE)+VLOOKUP($A63,main!$A$3:$H$102,4,FALSE)+(VLOOKUP(VLOOKUP(R$1,main!$A$3:$H$102,8,FALSE),main!$K$19:$O$22,MATCH(VLOOKUP($A63,main!$A$3:$H$102,7,FALSE),main!$K$18:$O$18,0),0))),0)</f>
        <v>260</v>
      </c>
      <c r="S63">
        <f>IF((gamma!S63),IF(VLOOKUP(S$1,main!$A$3:$H$102,7,FALSE)=VLOOKUP($A63,main!$A$3:$H$102,8,FALSE),VLOOKUP(S$1,main!$A$3:$H$102,4,FALSE),VLOOKUP(S$1,main!$A$3:$H$102,4,FALSE)+VLOOKUP($A63,main!$A$3:$H$102,4,FALSE)+(VLOOKUP(VLOOKUP(S$1,main!$A$3:$H$102,8,FALSE),main!$K$19:$O$22,MATCH(VLOOKUP($A63,main!$A$3:$H$102,7,FALSE),main!$K$18:$O$18,0),0))),0)</f>
        <v>260</v>
      </c>
      <c r="T63">
        <f>IF((gamma!T63),IF(VLOOKUP(T$1,main!$A$3:$H$102,7,FALSE)=VLOOKUP($A63,main!$A$3:$H$102,8,FALSE),VLOOKUP(T$1,main!$A$3:$H$102,4,FALSE),VLOOKUP(T$1,main!$A$3:$H$102,4,FALSE)+VLOOKUP($A63,main!$A$3:$H$102,4,FALSE)+(VLOOKUP(VLOOKUP(T$1,main!$A$3:$H$102,8,FALSE),main!$K$19:$O$22,MATCH(VLOOKUP($A63,main!$A$3:$H$102,7,FALSE),main!$K$18:$O$18,0),0))),0)</f>
        <v>260</v>
      </c>
      <c r="U63">
        <f>IF((gamma!U63),IF(VLOOKUP(U$1,main!$A$3:$H$102,7,FALSE)=VLOOKUP($A63,main!$A$3:$H$102,8,FALSE),VLOOKUP(U$1,main!$A$3:$H$102,4,FALSE),VLOOKUP(U$1,main!$A$3:$H$102,4,FALSE)+VLOOKUP($A63,main!$A$3:$H$102,4,FALSE)+(VLOOKUP(VLOOKUP(U$1,main!$A$3:$H$102,8,FALSE),main!$K$19:$O$22,MATCH(VLOOKUP($A63,main!$A$3:$H$102,7,FALSE),main!$K$18:$O$18,0),0))),0)</f>
        <v>260</v>
      </c>
      <c r="V63">
        <f>IF((gamma!V63),IF(VLOOKUP(V$1,main!$A$3:$H$102,7,FALSE)=VLOOKUP($A63,main!$A$3:$H$102,8,FALSE),VLOOKUP(V$1,main!$A$3:$H$102,4,FALSE),VLOOKUP(V$1,main!$A$3:$H$102,4,FALSE)+VLOOKUP($A63,main!$A$3:$H$102,4,FALSE)+(VLOOKUP(VLOOKUP(V$1,main!$A$3:$H$102,8,FALSE),main!$K$19:$O$22,MATCH(VLOOKUP($A63,main!$A$3:$H$102,7,FALSE),main!$K$18:$O$18,0),0))),0)</f>
        <v>260</v>
      </c>
      <c r="W63">
        <f>IF((gamma!W63),IF(VLOOKUP(W$1,main!$A$3:$H$102,7,FALSE)=VLOOKUP($A63,main!$A$3:$H$102,8,FALSE),VLOOKUP(W$1,main!$A$3:$H$102,4,FALSE),VLOOKUP(W$1,main!$A$3:$H$102,4,FALSE)+VLOOKUP($A63,main!$A$3:$H$102,4,FALSE)+(VLOOKUP(VLOOKUP(W$1,main!$A$3:$H$102,8,FALSE),main!$K$19:$O$22,MATCH(VLOOKUP($A63,main!$A$3:$H$102,7,FALSE),main!$K$18:$O$18,0),0))),0)</f>
        <v>293</v>
      </c>
      <c r="X63">
        <f>IF((gamma!X63),IF(VLOOKUP(X$1,main!$A$3:$H$102,7,FALSE)=VLOOKUP($A63,main!$A$3:$H$102,8,FALSE),VLOOKUP(X$1,main!$A$3:$H$102,4,FALSE),VLOOKUP(X$1,main!$A$3:$H$102,4,FALSE)+VLOOKUP($A63,main!$A$3:$H$102,4,FALSE)+(VLOOKUP(VLOOKUP(X$1,main!$A$3:$H$102,8,FALSE),main!$K$19:$O$22,MATCH(VLOOKUP($A63,main!$A$3:$H$102,7,FALSE),main!$K$18:$O$18,0),0))),0)</f>
        <v>293</v>
      </c>
      <c r="Y63">
        <f>IF((gamma!Y63),IF(VLOOKUP(Y$1,main!$A$3:$H$102,7,FALSE)=VLOOKUP($A63,main!$A$3:$H$102,8,FALSE),VLOOKUP(Y$1,main!$A$3:$H$102,4,FALSE),VLOOKUP(Y$1,main!$A$3:$H$102,4,FALSE)+VLOOKUP($A63,main!$A$3:$H$102,4,FALSE)+(VLOOKUP(VLOOKUP(Y$1,main!$A$3:$H$102,8,FALSE),main!$K$19:$O$22,MATCH(VLOOKUP($A63,main!$A$3:$H$102,7,FALSE),main!$K$18:$O$18,0),0))),0)</f>
        <v>288</v>
      </c>
      <c r="Z63">
        <f>IF((gamma!Z63),IF(VLOOKUP(Z$1,main!$A$3:$H$102,7,FALSE)=VLOOKUP($A63,main!$A$3:$H$102,8,FALSE),VLOOKUP(Z$1,main!$A$3:$H$102,4,FALSE),VLOOKUP(Z$1,main!$A$3:$H$102,4,FALSE)+VLOOKUP($A63,main!$A$3:$H$102,4,FALSE)+(VLOOKUP(VLOOKUP(Z$1,main!$A$3:$H$102,8,FALSE),main!$K$19:$O$22,MATCH(VLOOKUP($A63,main!$A$3:$H$102,7,FALSE),main!$K$18:$O$18,0),0))),0)</f>
        <v>293</v>
      </c>
      <c r="AA63">
        <f>IF((gamma!AA63),IF(VLOOKUP(AA$1,main!$A$3:$H$102,7,FALSE)=VLOOKUP($A63,main!$A$3:$H$102,8,FALSE),VLOOKUP(AA$1,main!$A$3:$H$102,4,FALSE),VLOOKUP(AA$1,main!$A$3:$H$102,4,FALSE)+VLOOKUP($A63,main!$A$3:$H$102,4,FALSE)+(VLOOKUP(VLOOKUP(AA$1,main!$A$3:$H$102,8,FALSE),main!$K$19:$O$22,MATCH(VLOOKUP($A63,main!$A$3:$H$102,7,FALSE),main!$K$18:$O$18,0),0))),0)</f>
        <v>293</v>
      </c>
      <c r="AB63">
        <f>IF((gamma!AB63),IF(VLOOKUP(AB$1,main!$A$3:$H$102,7,FALSE)=VLOOKUP($A63,main!$A$3:$H$102,8,FALSE),VLOOKUP(AB$1,main!$A$3:$H$102,4,FALSE),VLOOKUP(AB$1,main!$A$3:$H$102,4,FALSE)+VLOOKUP($A63,main!$A$3:$H$102,4,FALSE)+(VLOOKUP(VLOOKUP(AB$1,main!$A$3:$H$102,8,FALSE),main!$K$19:$O$22,MATCH(VLOOKUP($A63,main!$A$3:$H$102,7,FALSE),main!$K$18:$O$18,0),0))),0)</f>
        <v>293</v>
      </c>
      <c r="AC63">
        <f>IF((gamma!AC63),IF(VLOOKUP(AC$1,main!$A$3:$H$102,7,FALSE)=VLOOKUP($A63,main!$A$3:$H$102,8,FALSE),VLOOKUP(AC$1,main!$A$3:$H$102,4,FALSE),VLOOKUP(AC$1,main!$A$3:$H$102,4,FALSE)+VLOOKUP($A63,main!$A$3:$H$102,4,FALSE)+(VLOOKUP(VLOOKUP(AC$1,main!$A$3:$H$102,8,FALSE),main!$K$19:$O$22,MATCH(VLOOKUP($A63,main!$A$3:$H$102,7,FALSE),main!$K$18:$O$18,0),0))),0)</f>
        <v>293</v>
      </c>
      <c r="AD63">
        <f>IF((gamma!AD63),IF(VLOOKUP(AD$1,main!$A$3:$H$102,7,FALSE)=VLOOKUP($A63,main!$A$3:$H$102,8,FALSE),VLOOKUP(AD$1,main!$A$3:$H$102,4,FALSE),VLOOKUP(AD$1,main!$A$3:$H$102,4,FALSE)+VLOOKUP($A63,main!$A$3:$H$102,4,FALSE)+(VLOOKUP(VLOOKUP(AD$1,main!$A$3:$H$102,8,FALSE),main!$K$19:$O$22,MATCH(VLOOKUP($A63,main!$A$3:$H$102,7,FALSE),main!$K$18:$O$18,0),0))),0)</f>
        <v>288</v>
      </c>
      <c r="AE63">
        <f>IF((gamma!AE63),IF(VLOOKUP(AE$1,main!$A$3:$H$102,7,FALSE)=VLOOKUP($A63,main!$A$3:$H$102,8,FALSE),VLOOKUP(AE$1,main!$A$3:$H$102,4,FALSE),VLOOKUP(AE$1,main!$A$3:$H$102,4,FALSE)+VLOOKUP($A63,main!$A$3:$H$102,4,FALSE)+(VLOOKUP(VLOOKUP(AE$1,main!$A$3:$H$102,8,FALSE),main!$K$19:$O$22,MATCH(VLOOKUP($A63,main!$A$3:$H$102,7,FALSE),main!$K$18:$O$18,0),0))),0)</f>
        <v>293</v>
      </c>
      <c r="AF63">
        <f>IF((gamma!AF63),IF(VLOOKUP(AF$1,main!$A$3:$H$102,7,FALSE)=VLOOKUP($A63,main!$A$3:$H$102,8,FALSE),VLOOKUP(AF$1,main!$A$3:$H$102,4,FALSE),VLOOKUP(AF$1,main!$A$3:$H$102,4,FALSE)+VLOOKUP($A63,main!$A$3:$H$102,4,FALSE)+(VLOOKUP(VLOOKUP(AF$1,main!$A$3:$H$102,8,FALSE),main!$K$19:$O$22,MATCH(VLOOKUP($A63,main!$A$3:$H$102,7,FALSE),main!$K$18:$O$18,0),0))),0)</f>
        <v>253</v>
      </c>
      <c r="AG63">
        <f>IF((gamma!AG63),IF(VLOOKUP(AG$1,main!$A$3:$H$102,7,FALSE)=VLOOKUP($A63,main!$A$3:$H$102,8,FALSE),VLOOKUP(AG$1,main!$A$3:$H$102,4,FALSE),VLOOKUP(AG$1,main!$A$3:$H$102,4,FALSE)+VLOOKUP($A63,main!$A$3:$H$102,4,FALSE)+(VLOOKUP(VLOOKUP(AG$1,main!$A$3:$H$102,8,FALSE),main!$K$19:$O$22,MATCH(VLOOKUP($A63,main!$A$3:$H$102,7,FALSE),main!$K$18:$O$18,0),0))),0)</f>
        <v>135</v>
      </c>
      <c r="AH63">
        <f>IF((gamma!AH63),IF(VLOOKUP(AH$1,main!$A$3:$H$102,7,FALSE)=VLOOKUP($A63,main!$A$3:$H$102,8,FALSE),VLOOKUP(AH$1,main!$A$3:$H$102,4,FALSE),VLOOKUP(AH$1,main!$A$3:$H$102,4,FALSE)+VLOOKUP($A63,main!$A$3:$H$102,4,FALSE)+(VLOOKUP(VLOOKUP(AH$1,main!$A$3:$H$102,8,FALSE),main!$K$19:$O$22,MATCH(VLOOKUP($A63,main!$A$3:$H$102,7,FALSE),main!$K$18:$O$18,0),0))),0)</f>
        <v>135</v>
      </c>
      <c r="AI63">
        <f>IF((gamma!AI63),IF(VLOOKUP(AI$1,main!$A$3:$H$102,7,FALSE)=VLOOKUP($A63,main!$A$3:$H$102,8,FALSE),VLOOKUP(AI$1,main!$A$3:$H$102,4,FALSE),VLOOKUP(AI$1,main!$A$3:$H$102,4,FALSE)+VLOOKUP($A63,main!$A$3:$H$102,4,FALSE)+(VLOOKUP(VLOOKUP(AI$1,main!$A$3:$H$102,8,FALSE),main!$K$19:$O$22,MATCH(VLOOKUP($A63,main!$A$3:$H$102,7,FALSE),main!$K$18:$O$18,0),0))),0)</f>
        <v>135</v>
      </c>
      <c r="AJ63">
        <f>IF((gamma!AJ63),IF(VLOOKUP(AJ$1,main!$A$3:$H$102,7,FALSE)=VLOOKUP($A63,main!$A$3:$H$102,8,FALSE),VLOOKUP(AJ$1,main!$A$3:$H$102,4,FALSE),VLOOKUP(AJ$1,main!$A$3:$H$102,4,FALSE)+VLOOKUP($A63,main!$A$3:$H$102,4,FALSE)+(VLOOKUP(VLOOKUP(AJ$1,main!$A$3:$H$102,8,FALSE),main!$K$19:$O$22,MATCH(VLOOKUP($A63,main!$A$3:$H$102,7,FALSE),main!$K$18:$O$18,0),0))),0)</f>
        <v>135</v>
      </c>
      <c r="AK63">
        <f>IF((gamma!AK63),IF(VLOOKUP(AK$1,main!$A$3:$H$102,7,FALSE)=VLOOKUP($A63,main!$A$3:$H$102,8,FALSE),VLOOKUP(AK$1,main!$A$3:$H$102,4,FALSE),VLOOKUP(AK$1,main!$A$3:$H$102,4,FALSE)+VLOOKUP($A63,main!$A$3:$H$102,4,FALSE)+(VLOOKUP(VLOOKUP(AK$1,main!$A$3:$H$102,8,FALSE),main!$K$19:$O$22,MATCH(VLOOKUP($A63,main!$A$3:$H$102,7,FALSE),main!$K$18:$O$18,0),0))),0)</f>
        <v>135</v>
      </c>
      <c r="AL63">
        <f>IF((gamma!AL63),IF(VLOOKUP(AL$1,main!$A$3:$H$102,7,FALSE)=VLOOKUP($A63,main!$A$3:$H$102,8,FALSE),VLOOKUP(AL$1,main!$A$3:$H$102,4,FALSE),VLOOKUP(AL$1,main!$A$3:$H$102,4,FALSE)+VLOOKUP($A63,main!$A$3:$H$102,4,FALSE)+(VLOOKUP(VLOOKUP(AL$1,main!$A$3:$H$102,8,FALSE),main!$K$19:$O$22,MATCH(VLOOKUP($A63,main!$A$3:$H$102,7,FALSE),main!$K$18:$O$18,0),0))),0)</f>
        <v>135</v>
      </c>
      <c r="AM63">
        <f>IF((gamma!AM63),IF(VLOOKUP(AM$1,main!$A$3:$H$102,7,FALSE)=VLOOKUP($A63,main!$A$3:$H$102,8,FALSE),VLOOKUP(AM$1,main!$A$3:$H$102,4,FALSE),VLOOKUP(AM$1,main!$A$3:$H$102,4,FALSE)+VLOOKUP($A63,main!$A$3:$H$102,4,FALSE)+(VLOOKUP(VLOOKUP(AM$1,main!$A$3:$H$102,8,FALSE),main!$K$19:$O$22,MATCH(VLOOKUP($A63,main!$A$3:$H$102,7,FALSE),main!$K$18:$O$18,0),0))),0)</f>
        <v>135</v>
      </c>
      <c r="AN63">
        <f>IF((gamma!AN63),IF(VLOOKUP(AN$1,main!$A$3:$H$102,7,FALSE)=VLOOKUP($A63,main!$A$3:$H$102,8,FALSE),VLOOKUP(AN$1,main!$A$3:$H$102,4,FALSE),VLOOKUP(AN$1,main!$A$3:$H$102,4,FALSE)+VLOOKUP($A63,main!$A$3:$H$102,4,FALSE)+(VLOOKUP(VLOOKUP(AN$1,main!$A$3:$H$102,8,FALSE),main!$K$19:$O$22,MATCH(VLOOKUP($A63,main!$A$3:$H$102,7,FALSE),main!$K$18:$O$18,0),0))),0)</f>
        <v>135</v>
      </c>
      <c r="AO63">
        <f>IF((gamma!AO63),IF(VLOOKUP(AO$1,main!$A$3:$H$102,7,FALSE)=VLOOKUP($A63,main!$A$3:$H$102,8,FALSE),VLOOKUP(AO$1,main!$A$3:$H$102,4,FALSE),VLOOKUP(AO$1,main!$A$3:$H$102,4,FALSE)+VLOOKUP($A63,main!$A$3:$H$102,4,FALSE)+(VLOOKUP(VLOOKUP(AO$1,main!$A$3:$H$102,8,FALSE),main!$K$19:$O$22,MATCH(VLOOKUP($A63,main!$A$3:$H$102,7,FALSE),main!$K$18:$O$18,0),0))),0)</f>
        <v>135</v>
      </c>
      <c r="AP63">
        <f>IF((gamma!AP63),IF(VLOOKUP(AP$1,main!$A$3:$H$102,7,FALSE)=VLOOKUP($A63,main!$A$3:$H$102,8,FALSE),VLOOKUP(AP$1,main!$A$3:$H$102,4,FALSE),VLOOKUP(AP$1,main!$A$3:$H$102,4,FALSE)+VLOOKUP($A63,main!$A$3:$H$102,4,FALSE)+(VLOOKUP(VLOOKUP(AP$1,main!$A$3:$H$102,8,FALSE),main!$K$19:$O$22,MATCH(VLOOKUP($A63,main!$A$3:$H$102,7,FALSE),main!$K$18:$O$18,0),0))),0)</f>
        <v>75</v>
      </c>
      <c r="AQ63">
        <f>IF((gamma!AQ63),IF(VLOOKUP(AQ$1,main!$A$3:$H$102,7,FALSE)=VLOOKUP($A63,main!$A$3:$H$102,8,FALSE),VLOOKUP(AQ$1,main!$A$3:$H$102,4,FALSE),VLOOKUP(AQ$1,main!$A$3:$H$102,4,FALSE)+VLOOKUP($A63,main!$A$3:$H$102,4,FALSE)+(VLOOKUP(VLOOKUP(AQ$1,main!$A$3:$H$102,8,FALSE),main!$K$19:$O$22,MATCH(VLOOKUP($A63,main!$A$3:$H$102,7,FALSE),main!$K$18:$O$18,0),0))),0)</f>
        <v>140</v>
      </c>
      <c r="AR63">
        <f>IF((gamma!AR63),IF(VLOOKUP(AR$1,main!$A$3:$H$102,7,FALSE)=VLOOKUP($A63,main!$A$3:$H$102,8,FALSE),VLOOKUP(AR$1,main!$A$3:$H$102,4,FALSE),VLOOKUP(AR$1,main!$A$3:$H$102,4,FALSE)+VLOOKUP($A63,main!$A$3:$H$102,4,FALSE)+(VLOOKUP(VLOOKUP(AR$1,main!$A$3:$H$102,8,FALSE),main!$K$19:$O$22,MATCH(VLOOKUP($A63,main!$A$3:$H$102,7,FALSE),main!$K$18:$O$18,0),0))),0)</f>
        <v>140</v>
      </c>
      <c r="AS63">
        <f>IF((gamma!AS63),IF(VLOOKUP(AS$1,main!$A$3:$H$102,7,FALSE)=VLOOKUP($A63,main!$A$3:$H$102,8,FALSE),VLOOKUP(AS$1,main!$A$3:$H$102,4,FALSE),VLOOKUP(AS$1,main!$A$3:$H$102,4,FALSE)+VLOOKUP($A63,main!$A$3:$H$102,4,FALSE)+(VLOOKUP(VLOOKUP(AS$1,main!$A$3:$H$102,8,FALSE),main!$K$19:$O$22,MATCH(VLOOKUP($A63,main!$A$3:$H$102,7,FALSE),main!$K$18:$O$18,0),0))),0)</f>
        <v>120</v>
      </c>
      <c r="AT63">
        <f>IF((gamma!AT63),IF(VLOOKUP(AT$1,main!$A$3:$H$102,7,FALSE)=VLOOKUP($A63,main!$A$3:$H$102,8,FALSE),VLOOKUP(AT$1,main!$A$3:$H$102,4,FALSE),VLOOKUP(AT$1,main!$A$3:$H$102,4,FALSE)+VLOOKUP($A63,main!$A$3:$H$102,4,FALSE)+(VLOOKUP(VLOOKUP(AT$1,main!$A$3:$H$102,8,FALSE),main!$K$19:$O$22,MATCH(VLOOKUP($A63,main!$A$3:$H$102,7,FALSE),main!$K$18:$O$18,0),0))),0)</f>
        <v>130</v>
      </c>
      <c r="AU63">
        <f>IF((gamma!AU63),IF(VLOOKUP(AU$1,main!$A$3:$H$102,7,FALSE)=VLOOKUP($A63,main!$A$3:$H$102,8,FALSE),VLOOKUP(AU$1,main!$A$3:$H$102,4,FALSE),VLOOKUP(AU$1,main!$A$3:$H$102,4,FALSE)+VLOOKUP($A63,main!$A$3:$H$102,4,FALSE)+(VLOOKUP(VLOOKUP(AU$1,main!$A$3:$H$102,8,FALSE),main!$K$19:$O$22,MATCH(VLOOKUP($A63,main!$A$3:$H$102,7,FALSE),main!$K$18:$O$18,0),0))),0)</f>
        <v>70</v>
      </c>
      <c r="AV63">
        <f>IF((gamma!AV63),IF(VLOOKUP(AV$1,main!$A$3:$H$102,7,FALSE)=VLOOKUP($A63,main!$A$3:$H$102,8,FALSE),VLOOKUP(AV$1,main!$A$3:$H$102,4,FALSE),VLOOKUP(AV$1,main!$A$3:$H$102,4,FALSE)+VLOOKUP($A63,main!$A$3:$H$102,4,FALSE)+(VLOOKUP(VLOOKUP(AV$1,main!$A$3:$H$102,8,FALSE),main!$K$19:$O$22,MATCH(VLOOKUP($A63,main!$A$3:$H$102,7,FALSE),main!$K$18:$O$18,0),0))),0)</f>
        <v>60</v>
      </c>
      <c r="AW63">
        <f>IF((gamma!AW63),IF(VLOOKUP(AW$1,main!$A$3:$H$102,7,FALSE)=VLOOKUP($A63,main!$A$3:$H$102,8,FALSE),VLOOKUP(AW$1,main!$A$3:$H$102,4,FALSE),VLOOKUP(AW$1,main!$A$3:$H$102,4,FALSE)+VLOOKUP($A63,main!$A$3:$H$102,4,FALSE)+(VLOOKUP(VLOOKUP(AW$1,main!$A$3:$H$102,8,FALSE),main!$K$19:$O$22,MATCH(VLOOKUP($A63,main!$A$3:$H$102,7,FALSE),main!$K$18:$O$18,0),0))),0)</f>
        <v>120</v>
      </c>
      <c r="AX63">
        <f>IF((gamma!AX63),IF(VLOOKUP(AX$1,main!$A$3:$H$102,7,FALSE)=VLOOKUP($A63,main!$A$3:$H$102,8,FALSE),VLOOKUP(AX$1,main!$A$3:$H$102,4,FALSE),VLOOKUP(AX$1,main!$A$3:$H$102,4,FALSE)+VLOOKUP($A63,main!$A$3:$H$102,4,FALSE)+(VLOOKUP(VLOOKUP(AX$1,main!$A$3:$H$102,8,FALSE),main!$K$19:$O$22,MATCH(VLOOKUP($A63,main!$A$3:$H$102,7,FALSE),main!$K$18:$O$18,0),0))),0)</f>
        <v>105</v>
      </c>
      <c r="AY63">
        <f>IF((gamma!AY63),IF(VLOOKUP(AY$1,main!$A$3:$H$102,7,FALSE)=VLOOKUP($A63,main!$A$3:$H$102,8,FALSE),VLOOKUP(AY$1,main!$A$3:$H$102,4,FALSE),VLOOKUP(AY$1,main!$A$3:$H$102,4,FALSE)+VLOOKUP($A63,main!$A$3:$H$102,4,FALSE)+(VLOOKUP(VLOOKUP(AY$1,main!$A$3:$H$102,8,FALSE),main!$K$19:$O$22,MATCH(VLOOKUP($A63,main!$A$3:$H$102,7,FALSE),main!$K$18:$O$18,0),0))),0)</f>
        <v>90</v>
      </c>
      <c r="AZ63">
        <f>IF((gamma!AZ63),IF(VLOOKUP(AZ$1,main!$A$3:$H$102,7,FALSE)=VLOOKUP($A63,main!$A$3:$H$102,8,FALSE),VLOOKUP(AZ$1,main!$A$3:$H$102,4,FALSE),VLOOKUP(AZ$1,main!$A$3:$H$102,4,FALSE)+VLOOKUP($A63,main!$A$3:$H$102,4,FALSE)+(VLOOKUP(VLOOKUP(AZ$1,main!$A$3:$H$102,8,FALSE),main!$K$19:$O$22,MATCH(VLOOKUP($A63,main!$A$3:$H$102,7,FALSE),main!$K$18:$O$18,0),0))),0)</f>
        <v>135</v>
      </c>
      <c r="BA63">
        <f>IF((gamma!BA63),IF(VLOOKUP(BA$1,main!$A$3:$H$102,7,FALSE)=VLOOKUP($A63,main!$A$3:$H$102,8,FALSE),VLOOKUP(BA$1,main!$A$3:$H$102,4,FALSE),VLOOKUP(BA$1,main!$A$3:$H$102,4,FALSE)+VLOOKUP($A63,main!$A$3:$H$102,4,FALSE)+(VLOOKUP(VLOOKUP(BA$1,main!$A$3:$H$102,8,FALSE),main!$K$19:$O$22,MATCH(VLOOKUP($A63,main!$A$3:$H$102,7,FALSE),main!$K$18:$O$18,0),0))),0)</f>
        <v>290</v>
      </c>
      <c r="BB63">
        <f>IF((gamma!BB63),IF(VLOOKUP(BB$1,main!$A$3:$H$102,7,FALSE)=VLOOKUP($A63,main!$A$3:$H$102,8,FALSE),VLOOKUP(BB$1,main!$A$3:$H$102,4,FALSE),VLOOKUP(BB$1,main!$A$3:$H$102,4,FALSE)+VLOOKUP($A63,main!$A$3:$H$102,4,FALSE)+(VLOOKUP(VLOOKUP(BB$1,main!$A$3:$H$102,8,FALSE),main!$K$19:$O$22,MATCH(VLOOKUP($A63,main!$A$3:$H$102,7,FALSE),main!$K$18:$O$18,0),0))),0)</f>
        <v>290</v>
      </c>
      <c r="BC63">
        <f>IF((gamma!BC63),IF(VLOOKUP(BC$1,main!$A$3:$H$102,7,FALSE)=VLOOKUP($A63,main!$A$3:$H$102,8,FALSE),VLOOKUP(BC$1,main!$A$3:$H$102,4,FALSE),VLOOKUP(BC$1,main!$A$3:$H$102,4,FALSE)+VLOOKUP($A63,main!$A$3:$H$102,4,FALSE)+(VLOOKUP(VLOOKUP(BC$1,main!$A$3:$H$102,8,FALSE),main!$K$19:$O$22,MATCH(VLOOKUP($A63,main!$A$3:$H$102,7,FALSE),main!$K$18:$O$18,0),0))),0)</f>
        <v>290</v>
      </c>
      <c r="BD63">
        <f>IF((gamma!BD63),IF(VLOOKUP(BD$1,main!$A$3:$H$102,7,FALSE)=VLOOKUP($A63,main!$A$3:$H$102,8,FALSE),VLOOKUP(BD$1,main!$A$3:$H$102,4,FALSE),VLOOKUP(BD$1,main!$A$3:$H$102,4,FALSE)+VLOOKUP($A63,main!$A$3:$H$102,4,FALSE)+(VLOOKUP(VLOOKUP(BD$1,main!$A$3:$H$102,8,FALSE),main!$K$19:$O$22,MATCH(VLOOKUP($A63,main!$A$3:$H$102,7,FALSE),main!$K$18:$O$18,0),0))),0)</f>
        <v>290</v>
      </c>
      <c r="BE63">
        <f>IF((gamma!BE63),IF(VLOOKUP(BE$1,main!$A$3:$H$102,7,FALSE)=VLOOKUP($A63,main!$A$3:$H$102,8,FALSE),VLOOKUP(BE$1,main!$A$3:$H$102,4,FALSE),VLOOKUP(BE$1,main!$A$3:$H$102,4,FALSE)+VLOOKUP($A63,main!$A$3:$H$102,4,FALSE)+(VLOOKUP(VLOOKUP(BE$1,main!$A$3:$H$102,8,FALSE),main!$K$19:$O$22,MATCH(VLOOKUP($A63,main!$A$3:$H$102,7,FALSE),main!$K$18:$O$18,0),0))),0)</f>
        <v>290</v>
      </c>
      <c r="BF63">
        <f>IF((gamma!BF63),IF(VLOOKUP(BF$1,main!$A$3:$H$102,7,FALSE)=VLOOKUP($A63,main!$A$3:$H$102,8,FALSE),VLOOKUP(BF$1,main!$A$3:$H$102,4,FALSE),VLOOKUP(BF$1,main!$A$3:$H$102,4,FALSE)+VLOOKUP($A63,main!$A$3:$H$102,4,FALSE)+(VLOOKUP(VLOOKUP(BF$1,main!$A$3:$H$102,8,FALSE),main!$K$19:$O$22,MATCH(VLOOKUP($A63,main!$A$3:$H$102,7,FALSE),main!$K$18:$O$18,0),0))),0)</f>
        <v>270</v>
      </c>
      <c r="BG63">
        <f>IF((gamma!BG63),IF(VLOOKUP(BG$1,main!$A$3:$H$102,7,FALSE)=VLOOKUP($A63,main!$A$3:$H$102,8,FALSE),VLOOKUP(BG$1,main!$A$3:$H$102,4,FALSE),VLOOKUP(BG$1,main!$A$3:$H$102,4,FALSE)+VLOOKUP($A63,main!$A$3:$H$102,4,FALSE)+(VLOOKUP(VLOOKUP(BG$1,main!$A$3:$H$102,8,FALSE),main!$K$19:$O$22,MATCH(VLOOKUP($A63,main!$A$3:$H$102,7,FALSE),main!$K$18:$O$18,0),0))),0)</f>
        <v>265</v>
      </c>
      <c r="BH63">
        <f>IF((gamma!BH63),IF(VLOOKUP(BH$1,main!$A$3:$H$102,7,FALSE)=VLOOKUP($A63,main!$A$3:$H$102,8,FALSE),VLOOKUP(BH$1,main!$A$3:$H$102,4,FALSE),VLOOKUP(BH$1,main!$A$3:$H$102,4,FALSE)+VLOOKUP($A63,main!$A$3:$H$102,4,FALSE)+(VLOOKUP(VLOOKUP(BH$1,main!$A$3:$H$102,8,FALSE),main!$K$19:$O$22,MATCH(VLOOKUP($A63,main!$A$3:$H$102,7,FALSE),main!$K$18:$O$18,0),0))),0)</f>
        <v>275</v>
      </c>
      <c r="BI63">
        <f>IF((gamma!BI63),IF(VLOOKUP(BI$1,main!$A$3:$H$102,7,FALSE)=VLOOKUP($A63,main!$A$3:$H$102,8,FALSE),VLOOKUP(BI$1,main!$A$3:$H$102,4,FALSE),VLOOKUP(BI$1,main!$A$3:$H$102,4,FALSE)+VLOOKUP($A63,main!$A$3:$H$102,4,FALSE)+(VLOOKUP(VLOOKUP(BI$1,main!$A$3:$H$102,8,FALSE),main!$K$19:$O$22,MATCH(VLOOKUP($A63,main!$A$3:$H$102,7,FALSE),main!$K$18:$O$18,0),0))),0)</f>
        <v>210</v>
      </c>
      <c r="BJ63">
        <f>IF((gamma!BJ63),IF(VLOOKUP(BJ$1,main!$A$3:$H$102,7,FALSE)=VLOOKUP($A63,main!$A$3:$H$102,8,FALSE),VLOOKUP(BJ$1,main!$A$3:$H$102,4,FALSE),VLOOKUP(BJ$1,main!$A$3:$H$102,4,FALSE)+VLOOKUP($A63,main!$A$3:$H$102,4,FALSE)+(VLOOKUP(VLOOKUP(BJ$1,main!$A$3:$H$102,8,FALSE),main!$K$19:$O$22,MATCH(VLOOKUP($A63,main!$A$3:$H$102,7,FALSE),main!$K$18:$O$18,0),0))),0)</f>
        <v>240</v>
      </c>
      <c r="BK63">
        <f>IF((gamma!BK63),IF(VLOOKUP(BK$1,main!$A$3:$H$102,7,FALSE)=VLOOKUP($A63,main!$A$3:$H$102,8,FALSE),VLOOKUP(BK$1,main!$A$3:$H$102,4,FALSE),VLOOKUP(BK$1,main!$A$3:$H$102,4,FALSE)+VLOOKUP($A63,main!$A$3:$H$102,4,FALSE)+(VLOOKUP(VLOOKUP(BK$1,main!$A$3:$H$102,8,FALSE),main!$K$19:$O$22,MATCH(VLOOKUP($A63,main!$A$3:$H$102,7,FALSE),main!$K$18:$O$18,0),0))),0)</f>
        <v>0</v>
      </c>
      <c r="BL63">
        <f>IF((gamma!BL63),IF(VLOOKUP(BL$1,main!$A$3:$H$102,7,FALSE)=VLOOKUP($A63,main!$A$3:$H$102,8,FALSE),VLOOKUP(BL$1,main!$A$3:$H$102,4,FALSE),VLOOKUP(BL$1,main!$A$3:$H$102,4,FALSE)+VLOOKUP($A63,main!$A$3:$H$102,4,FALSE)+(VLOOKUP(VLOOKUP(BL$1,main!$A$3:$H$102,8,FALSE),main!$K$19:$O$22,MATCH(VLOOKUP($A63,main!$A$3:$H$102,7,FALSE),main!$K$18:$O$18,0),0))),0)</f>
        <v>288</v>
      </c>
      <c r="BM63">
        <f>IF((gamma!BM63),IF(VLOOKUP(BM$1,main!$A$3:$H$102,7,FALSE)=VLOOKUP($A63,main!$A$3:$H$102,8,FALSE),VLOOKUP(BM$1,main!$A$3:$H$102,4,FALSE),VLOOKUP(BM$1,main!$A$3:$H$102,4,FALSE)+VLOOKUP($A63,main!$A$3:$H$102,4,FALSE)+(VLOOKUP(VLOOKUP(BM$1,main!$A$3:$H$102,8,FALSE),main!$K$19:$O$22,MATCH(VLOOKUP($A63,main!$A$3:$H$102,7,FALSE),main!$K$18:$O$18,0),0))),0)</f>
        <v>288</v>
      </c>
      <c r="BN63">
        <f>IF((gamma!BN63),IF(VLOOKUP(BN$1,main!$A$3:$H$102,7,FALSE)=VLOOKUP($A63,main!$A$3:$H$102,8,FALSE),VLOOKUP(BN$1,main!$A$3:$H$102,4,FALSE),VLOOKUP(BN$1,main!$A$3:$H$102,4,FALSE)+VLOOKUP($A63,main!$A$3:$H$102,4,FALSE)+(VLOOKUP(VLOOKUP(BN$1,main!$A$3:$H$102,8,FALSE),main!$K$19:$O$22,MATCH(VLOOKUP($A63,main!$A$3:$H$102,7,FALSE),main!$K$18:$O$18,0),0))),0)</f>
        <v>268</v>
      </c>
      <c r="BO63">
        <f>IF((gamma!BO63),IF(VLOOKUP(BO$1,main!$A$3:$H$102,7,FALSE)=VLOOKUP($A63,main!$A$3:$H$102,8,FALSE),VLOOKUP(BO$1,main!$A$3:$H$102,4,FALSE),VLOOKUP(BO$1,main!$A$3:$H$102,4,FALSE)+VLOOKUP($A63,main!$A$3:$H$102,4,FALSE)+(VLOOKUP(VLOOKUP(BO$1,main!$A$3:$H$102,8,FALSE),main!$K$19:$O$22,MATCH(VLOOKUP($A63,main!$A$3:$H$102,7,FALSE),main!$K$18:$O$18,0),0))),0)</f>
        <v>0</v>
      </c>
      <c r="BP63">
        <f>IF((gamma!BP63),IF(VLOOKUP(BP$1,main!$A$3:$H$102,7,FALSE)=VLOOKUP($A63,main!$A$3:$H$102,8,FALSE),VLOOKUP(BP$1,main!$A$3:$H$102,4,FALSE),VLOOKUP(BP$1,main!$A$3:$H$102,4,FALSE)+VLOOKUP($A63,main!$A$3:$H$102,4,FALSE)+(VLOOKUP(VLOOKUP(BP$1,main!$A$3:$H$102,8,FALSE),main!$K$19:$O$22,MATCH(VLOOKUP($A63,main!$A$3:$H$102,7,FALSE),main!$K$18:$O$18,0),0))),0)</f>
        <v>288</v>
      </c>
      <c r="BQ63">
        <f>IF((gamma!BQ63),IF(VLOOKUP(BQ$1,main!$A$3:$H$102,7,FALSE)=VLOOKUP($A63,main!$A$3:$H$102,8,FALSE),VLOOKUP(BQ$1,main!$A$3:$H$102,4,FALSE),VLOOKUP(BQ$1,main!$A$3:$H$102,4,FALSE)+VLOOKUP($A63,main!$A$3:$H$102,4,FALSE)+(VLOOKUP(VLOOKUP(BQ$1,main!$A$3:$H$102,8,FALSE),main!$K$19:$O$22,MATCH(VLOOKUP($A63,main!$A$3:$H$102,7,FALSE),main!$K$18:$O$18,0),0))),0)</f>
        <v>288</v>
      </c>
      <c r="BR63">
        <f>IF((gamma!BR63),IF(VLOOKUP(BR$1,main!$A$3:$H$102,7,FALSE)=VLOOKUP($A63,main!$A$3:$H$102,8,FALSE),VLOOKUP(BR$1,main!$A$3:$H$102,4,FALSE),VLOOKUP(BR$1,main!$A$3:$H$102,4,FALSE)+VLOOKUP($A63,main!$A$3:$H$102,4,FALSE)+(VLOOKUP(VLOOKUP(BR$1,main!$A$3:$H$102,8,FALSE),main!$K$19:$O$22,MATCH(VLOOKUP($A63,main!$A$3:$H$102,7,FALSE),main!$K$18:$O$18,0),0))),0)</f>
        <v>248</v>
      </c>
      <c r="BS63">
        <f>IF((gamma!BS63),IF(VLOOKUP(BS$1,main!$A$3:$H$102,7,FALSE)=VLOOKUP($A63,main!$A$3:$H$102,8,FALSE),VLOOKUP(BS$1,main!$A$3:$H$102,4,FALSE),VLOOKUP(BS$1,main!$A$3:$H$102,4,FALSE)+VLOOKUP($A63,main!$A$3:$H$102,4,FALSE)+(VLOOKUP(VLOOKUP(BS$1,main!$A$3:$H$102,8,FALSE),main!$K$19:$O$22,MATCH(VLOOKUP($A63,main!$A$3:$H$102,7,FALSE),main!$K$18:$O$18,0),0))),0)</f>
        <v>249</v>
      </c>
      <c r="BT63">
        <f>IF((gamma!BT63),IF(VLOOKUP(BT$1,main!$A$3:$H$102,7,FALSE)=VLOOKUP($A63,main!$A$3:$H$102,8,FALSE),VLOOKUP(BT$1,main!$A$3:$H$102,4,FALSE),VLOOKUP(BT$1,main!$A$3:$H$102,4,FALSE)+VLOOKUP($A63,main!$A$3:$H$102,4,FALSE)+(VLOOKUP(VLOOKUP(BT$1,main!$A$3:$H$102,8,FALSE),main!$K$19:$O$22,MATCH(VLOOKUP($A63,main!$A$3:$H$102,7,FALSE),main!$K$18:$O$18,0),0))),0)</f>
        <v>268</v>
      </c>
      <c r="BU63">
        <f>IF((gamma!BU63),IF(VLOOKUP(BU$1,main!$A$3:$H$102,7,FALSE)=VLOOKUP($A63,main!$A$3:$H$102,8,FALSE),VLOOKUP(BU$1,main!$A$3:$H$102,4,FALSE),VLOOKUP(BU$1,main!$A$3:$H$102,4,FALSE)+VLOOKUP($A63,main!$A$3:$H$102,4,FALSE)+(VLOOKUP(VLOOKUP(BU$1,main!$A$3:$H$102,8,FALSE),main!$K$19:$O$22,MATCH(VLOOKUP($A63,main!$A$3:$H$102,7,FALSE),main!$K$18:$O$18,0),0))),0)</f>
        <v>0</v>
      </c>
      <c r="BV63">
        <f>IF((gamma!BV63),IF(VLOOKUP(BV$1,main!$A$3:$H$102,7,FALSE)=VLOOKUP($A63,main!$A$3:$H$102,8,FALSE),VLOOKUP(BV$1,main!$A$3:$H$102,4,FALSE),VLOOKUP(BV$1,main!$A$3:$H$102,4,FALSE)+VLOOKUP($A63,main!$A$3:$H$102,4,FALSE)+(VLOOKUP(VLOOKUP(BV$1,main!$A$3:$H$102,8,FALSE),main!$K$19:$O$22,MATCH(VLOOKUP($A63,main!$A$3:$H$102,7,FALSE),main!$K$18:$O$18,0),0))),0)</f>
        <v>288</v>
      </c>
      <c r="BW63">
        <f>IF((gamma!BW63),IF(VLOOKUP(BW$1,main!$A$3:$H$102,7,FALSE)=VLOOKUP($A63,main!$A$3:$H$102,8,FALSE),VLOOKUP(BW$1,main!$A$3:$H$102,4,FALSE),VLOOKUP(BW$1,main!$A$3:$H$102,4,FALSE)+VLOOKUP($A63,main!$A$3:$H$102,4,FALSE)+(VLOOKUP(VLOOKUP(BW$1,main!$A$3:$H$102,8,FALSE),main!$K$19:$O$22,MATCH(VLOOKUP($A63,main!$A$3:$H$102,7,FALSE),main!$K$18:$O$18,0),0))),0)</f>
        <v>288</v>
      </c>
      <c r="BX63">
        <f>IF((gamma!BX63),IF(VLOOKUP(BX$1,main!$A$3:$H$102,7,FALSE)=VLOOKUP($A63,main!$A$3:$H$102,8,FALSE),VLOOKUP(BX$1,main!$A$3:$H$102,4,FALSE),VLOOKUP(BX$1,main!$A$3:$H$102,4,FALSE)+VLOOKUP($A63,main!$A$3:$H$102,4,FALSE)+(VLOOKUP(VLOOKUP(BX$1,main!$A$3:$H$102,8,FALSE),main!$K$19:$O$22,MATCH(VLOOKUP($A63,main!$A$3:$H$102,7,FALSE),main!$K$18:$O$18,0),0))),0)</f>
        <v>288</v>
      </c>
      <c r="BY63">
        <f>IF((gamma!BY63),IF(VLOOKUP(BY$1,main!$A$3:$H$102,7,FALSE)=VLOOKUP($A63,main!$A$3:$H$102,8,FALSE),VLOOKUP(BY$1,main!$A$3:$H$102,4,FALSE),VLOOKUP(BY$1,main!$A$3:$H$102,4,FALSE)+VLOOKUP($A63,main!$A$3:$H$102,4,FALSE)+(VLOOKUP(VLOOKUP(BY$1,main!$A$3:$H$102,8,FALSE),main!$K$19:$O$22,MATCH(VLOOKUP($A63,main!$A$3:$H$102,7,FALSE),main!$K$18:$O$18,0),0))),0)</f>
        <v>273</v>
      </c>
      <c r="BZ63">
        <f>IF((gamma!BZ63),IF(VLOOKUP(BZ$1,main!$A$3:$H$102,7,FALSE)=VLOOKUP($A63,main!$A$3:$H$102,8,FALSE),VLOOKUP(BZ$1,main!$A$3:$H$102,4,FALSE),VLOOKUP(BZ$1,main!$A$3:$H$102,4,FALSE)+VLOOKUP($A63,main!$A$3:$H$102,4,FALSE)+(VLOOKUP(VLOOKUP(BZ$1,main!$A$3:$H$102,8,FALSE),main!$K$19:$O$22,MATCH(VLOOKUP($A63,main!$A$3:$H$102,7,FALSE),main!$K$18:$O$18,0),0))),0)</f>
        <v>293</v>
      </c>
      <c r="CA63">
        <f>IF((gamma!CA63),IF(VLOOKUP(CA$1,main!$A$3:$H$102,7,FALSE)=VLOOKUP($A63,main!$A$3:$H$102,8,FALSE),VLOOKUP(CA$1,main!$A$3:$H$102,4,FALSE),VLOOKUP(CA$1,main!$A$3:$H$102,4,FALSE)+VLOOKUP($A63,main!$A$3:$H$102,4,FALSE)+(VLOOKUP(VLOOKUP(CA$1,main!$A$3:$H$102,8,FALSE),main!$K$19:$O$22,MATCH(VLOOKUP($A63,main!$A$3:$H$102,7,FALSE),main!$K$18:$O$18,0),0))),0)</f>
        <v>228</v>
      </c>
      <c r="CB63">
        <f>IF((gamma!CB63),IF(VLOOKUP(CB$1,main!$A$3:$H$102,7,FALSE)=VLOOKUP($A63,main!$A$3:$H$102,8,FALSE),VLOOKUP(CB$1,main!$A$3:$H$102,4,FALSE),VLOOKUP(CB$1,main!$A$3:$H$102,4,FALSE)+VLOOKUP($A63,main!$A$3:$H$102,4,FALSE)+(VLOOKUP(VLOOKUP(CB$1,main!$A$3:$H$102,8,FALSE),main!$K$19:$O$22,MATCH(VLOOKUP($A63,main!$A$3:$H$102,7,FALSE),main!$K$18:$O$18,0),0))),0)</f>
        <v>218</v>
      </c>
      <c r="CC63">
        <f>IF((gamma!CC63),IF(VLOOKUP(CC$1,main!$A$3:$H$102,7,FALSE)=VLOOKUP($A63,main!$A$3:$H$102,8,FALSE),VLOOKUP(CC$1,main!$A$3:$H$102,4,FALSE),VLOOKUP(CC$1,main!$A$3:$H$102,4,FALSE)+VLOOKUP($A63,main!$A$3:$H$102,4,FALSE)+(VLOOKUP(VLOOKUP(CC$1,main!$A$3:$H$102,8,FALSE),main!$K$19:$O$22,MATCH(VLOOKUP($A63,main!$A$3:$H$102,7,FALSE),main!$K$18:$O$18,0),0))),0)</f>
        <v>208</v>
      </c>
      <c r="CD63">
        <f>IF((gamma!CD63),IF(VLOOKUP(CD$1,main!$A$3:$H$102,7,FALSE)=VLOOKUP($A63,main!$A$3:$H$102,8,FALSE),VLOOKUP(CD$1,main!$A$3:$H$102,4,FALSE),VLOOKUP(CD$1,main!$A$3:$H$102,4,FALSE)+VLOOKUP($A63,main!$A$3:$H$102,4,FALSE)+(VLOOKUP(VLOOKUP(CD$1,main!$A$3:$H$102,8,FALSE),main!$K$19:$O$22,MATCH(VLOOKUP($A63,main!$A$3:$H$102,7,FALSE),main!$K$18:$O$18,0),0))),0)</f>
        <v>267</v>
      </c>
      <c r="CE63">
        <f>IF((gamma!CE63),IF(VLOOKUP(CE$1,main!$A$3:$H$102,7,FALSE)=VLOOKUP($A63,main!$A$3:$H$102,8,FALSE),VLOOKUP(CE$1,main!$A$3:$H$102,4,FALSE),VLOOKUP(CE$1,main!$A$3:$H$102,4,FALSE)+VLOOKUP($A63,main!$A$3:$H$102,4,FALSE)+(VLOOKUP(VLOOKUP(CE$1,main!$A$3:$H$102,8,FALSE),main!$K$19:$O$22,MATCH(VLOOKUP($A63,main!$A$3:$H$102,7,FALSE),main!$K$18:$O$18,0),0))),0)</f>
        <v>290</v>
      </c>
      <c r="CF63">
        <f>IF((gamma!CF63),IF(VLOOKUP(CF$1,main!$A$3:$H$102,7,FALSE)=VLOOKUP($A63,main!$A$3:$H$102,8,FALSE),VLOOKUP(CF$1,main!$A$3:$H$102,4,FALSE),VLOOKUP(CF$1,main!$A$3:$H$102,4,FALSE)+VLOOKUP($A63,main!$A$3:$H$102,4,FALSE)+(VLOOKUP(VLOOKUP(CF$1,main!$A$3:$H$102,8,FALSE),main!$K$19:$O$22,MATCH(VLOOKUP($A63,main!$A$3:$H$102,7,FALSE),main!$K$18:$O$18,0),0))),0)</f>
        <v>285</v>
      </c>
      <c r="CG63">
        <f>IF((gamma!CG63),IF(VLOOKUP(CG$1,main!$A$3:$H$102,7,FALSE)=VLOOKUP($A63,main!$A$3:$H$102,8,FALSE),VLOOKUP(CG$1,main!$A$3:$H$102,4,FALSE),VLOOKUP(CG$1,main!$A$3:$H$102,4,FALSE)+VLOOKUP($A63,main!$A$3:$H$102,4,FALSE)+(VLOOKUP(VLOOKUP(CG$1,main!$A$3:$H$102,8,FALSE),main!$K$19:$O$22,MATCH(VLOOKUP($A63,main!$A$3:$H$102,7,FALSE),main!$K$18:$O$18,0),0))),0)</f>
        <v>290</v>
      </c>
      <c r="CH63">
        <f>IF((gamma!CH63),IF(VLOOKUP(CH$1,main!$A$3:$H$102,7,FALSE)=VLOOKUP($A63,main!$A$3:$H$102,8,FALSE),VLOOKUP(CH$1,main!$A$3:$H$102,4,FALSE),VLOOKUP(CH$1,main!$A$3:$H$102,4,FALSE)+VLOOKUP($A63,main!$A$3:$H$102,4,FALSE)+(VLOOKUP(VLOOKUP(CH$1,main!$A$3:$H$102,8,FALSE),main!$K$19:$O$22,MATCH(VLOOKUP($A63,main!$A$3:$H$102,7,FALSE),main!$K$18:$O$18,0),0))),0)</f>
        <v>290</v>
      </c>
      <c r="CI63">
        <f>IF((gamma!CI63),IF(VLOOKUP(CI$1,main!$A$3:$H$102,7,FALSE)=VLOOKUP($A63,main!$A$3:$H$102,8,FALSE),VLOOKUP(CI$1,main!$A$3:$H$102,4,FALSE),VLOOKUP(CI$1,main!$A$3:$H$102,4,FALSE)+VLOOKUP($A63,main!$A$3:$H$102,4,FALSE)+(VLOOKUP(VLOOKUP(CI$1,main!$A$3:$H$102,8,FALSE),main!$K$19:$O$22,MATCH(VLOOKUP($A63,main!$A$3:$H$102,7,FALSE),main!$K$18:$O$18,0),0))),0)</f>
        <v>290</v>
      </c>
      <c r="CJ63">
        <f>IF((gamma!CJ63),IF(VLOOKUP(CJ$1,main!$A$3:$H$102,7,FALSE)=VLOOKUP($A63,main!$A$3:$H$102,8,FALSE),VLOOKUP(CJ$1,main!$A$3:$H$102,4,FALSE),VLOOKUP(CJ$1,main!$A$3:$H$102,4,FALSE)+VLOOKUP($A63,main!$A$3:$H$102,4,FALSE)+(VLOOKUP(VLOOKUP(CJ$1,main!$A$3:$H$102,8,FALSE),main!$K$19:$O$22,MATCH(VLOOKUP($A63,main!$A$3:$H$102,7,FALSE),main!$K$18:$O$18,0),0))),0)</f>
        <v>218</v>
      </c>
      <c r="CK63">
        <f>IF((gamma!CK63),IF(VLOOKUP(CK$1,main!$A$3:$H$102,7,FALSE)=VLOOKUP($A63,main!$A$3:$H$102,8,FALSE),VLOOKUP(CK$1,main!$A$3:$H$102,4,FALSE),VLOOKUP(CK$1,main!$A$3:$H$102,4,FALSE)+VLOOKUP($A63,main!$A$3:$H$102,4,FALSE)+(VLOOKUP(VLOOKUP(CK$1,main!$A$3:$H$102,8,FALSE),main!$K$19:$O$22,MATCH(VLOOKUP($A63,main!$A$3:$H$102,7,FALSE),main!$K$18:$O$18,0),0))),0)</f>
        <v>225</v>
      </c>
      <c r="CL63">
        <f>IF((gamma!CL63),IF(VLOOKUP(CL$1,main!$A$3:$H$102,7,FALSE)=VLOOKUP($A63,main!$A$3:$H$102,8,FALSE),VLOOKUP(CL$1,main!$A$3:$H$102,4,FALSE),VLOOKUP(CL$1,main!$A$3:$H$102,4,FALSE)+VLOOKUP($A63,main!$A$3:$H$102,4,FALSE)+(VLOOKUP(VLOOKUP(CL$1,main!$A$3:$H$102,8,FALSE),main!$K$19:$O$22,MATCH(VLOOKUP($A63,main!$A$3:$H$102,7,FALSE),main!$K$18:$O$18,0),0))),0)</f>
        <v>230</v>
      </c>
      <c r="CM63">
        <f>IF((gamma!CM63),IF(VLOOKUP(CM$1,main!$A$3:$H$102,7,FALSE)=VLOOKUP($A63,main!$A$3:$H$102,8,FALSE),VLOOKUP(CM$1,main!$A$3:$H$102,4,FALSE),VLOOKUP(CM$1,main!$A$3:$H$102,4,FALSE)+VLOOKUP($A63,main!$A$3:$H$102,4,FALSE)+(VLOOKUP(VLOOKUP(CM$1,main!$A$3:$H$102,8,FALSE),main!$K$19:$O$22,MATCH(VLOOKUP($A63,main!$A$3:$H$102,7,FALSE),main!$K$18:$O$18,0),0))),0)</f>
        <v>250</v>
      </c>
      <c r="CN63">
        <f>IF((gamma!CN63),IF(VLOOKUP(CN$1,main!$A$3:$H$102,7,FALSE)=VLOOKUP($A63,main!$A$3:$H$102,8,FALSE),VLOOKUP(CN$1,main!$A$3:$H$102,4,FALSE),VLOOKUP(CN$1,main!$A$3:$H$102,4,FALSE)+VLOOKUP($A63,main!$A$3:$H$102,4,FALSE)+(VLOOKUP(VLOOKUP(CN$1,main!$A$3:$H$102,8,FALSE),main!$K$19:$O$22,MATCH(VLOOKUP($A63,main!$A$3:$H$102,7,FALSE),main!$K$18:$O$18,0),0))),0)</f>
        <v>246</v>
      </c>
      <c r="CO63">
        <f>IF((gamma!CO63),IF(VLOOKUP(CO$1,main!$A$3:$H$102,7,FALSE)=VLOOKUP($A63,main!$A$3:$H$102,8,FALSE),VLOOKUP(CO$1,main!$A$3:$H$102,4,FALSE),VLOOKUP(CO$1,main!$A$3:$H$102,4,FALSE)+VLOOKUP($A63,main!$A$3:$H$102,4,FALSE)+(VLOOKUP(VLOOKUP(CO$1,main!$A$3:$H$102,8,FALSE),main!$K$19:$O$22,MATCH(VLOOKUP($A63,main!$A$3:$H$102,7,FALSE),main!$K$18:$O$18,0),0))),0)</f>
        <v>260</v>
      </c>
      <c r="CP63">
        <f>IF((gamma!CP63),IF(VLOOKUP(CP$1,main!$A$3:$H$102,7,FALSE)=VLOOKUP($A63,main!$A$3:$H$102,8,FALSE),VLOOKUP(CP$1,main!$A$3:$H$102,4,FALSE),VLOOKUP(CP$1,main!$A$3:$H$102,4,FALSE)+VLOOKUP($A63,main!$A$3:$H$102,4,FALSE)+(VLOOKUP(VLOOKUP(CP$1,main!$A$3:$H$102,8,FALSE),main!$K$19:$O$22,MATCH(VLOOKUP($A63,main!$A$3:$H$102,7,FALSE),main!$K$18:$O$18,0),0))),0)</f>
        <v>240</v>
      </c>
      <c r="CQ63">
        <f>IF((gamma!CQ63),IF(VLOOKUP(CQ$1,main!$A$3:$H$102,7,FALSE)=VLOOKUP($A63,main!$A$3:$H$102,8,FALSE),VLOOKUP(CQ$1,main!$A$3:$H$102,4,FALSE),VLOOKUP(CQ$1,main!$A$3:$H$102,4,FALSE)+VLOOKUP($A63,main!$A$3:$H$102,4,FALSE)+(VLOOKUP(VLOOKUP(CQ$1,main!$A$3:$H$102,8,FALSE),main!$K$19:$O$22,MATCH(VLOOKUP($A63,main!$A$3:$H$102,7,FALSE),main!$K$18:$O$18,0),0))),0)</f>
        <v>240</v>
      </c>
      <c r="CR63">
        <f>IF((gamma!CR63),IF(VLOOKUP(CR$1,main!$A$3:$H$102,7,FALSE)=VLOOKUP($A63,main!$A$3:$H$102,8,FALSE),VLOOKUP(CR$1,main!$A$3:$H$102,4,FALSE),VLOOKUP(CR$1,main!$A$3:$H$102,4,FALSE)+VLOOKUP($A63,main!$A$3:$H$102,4,FALSE)+(VLOOKUP(VLOOKUP(CR$1,main!$A$3:$H$102,8,FALSE),main!$K$19:$O$22,MATCH(VLOOKUP($A63,main!$A$3:$H$102,7,FALSE),main!$K$18:$O$18,0),0))),0)</f>
        <v>255</v>
      </c>
      <c r="CS63">
        <f>IF((gamma!CS63),IF(VLOOKUP(CS$1,main!$A$3:$H$102,7,FALSE)=VLOOKUP($A63,main!$A$3:$H$102,8,FALSE),VLOOKUP(CS$1,main!$A$3:$H$102,4,FALSE),VLOOKUP(CS$1,main!$A$3:$H$102,4,FALSE)+VLOOKUP($A63,main!$A$3:$H$102,4,FALSE)+(VLOOKUP(VLOOKUP(CS$1,main!$A$3:$H$102,8,FALSE),main!$K$19:$O$22,MATCH(VLOOKUP($A63,main!$A$3:$H$102,7,FALSE),main!$K$18:$O$18,0),0))),0)</f>
        <v>255</v>
      </c>
      <c r="CT63">
        <f>IF((gamma!CT63),IF(VLOOKUP(CT$1,main!$A$3:$H$102,7,FALSE)=VLOOKUP($A63,main!$A$3:$H$102,8,FALSE),VLOOKUP(CT$1,main!$A$3:$H$102,4,FALSE),VLOOKUP(CT$1,main!$A$3:$H$102,4,FALSE)+VLOOKUP($A63,main!$A$3:$H$102,4,FALSE)+(VLOOKUP(VLOOKUP(CT$1,main!$A$3:$H$102,8,FALSE),main!$K$19:$O$22,MATCH(VLOOKUP($A63,main!$A$3:$H$102,7,FALSE),main!$K$18:$O$18,0),0))),0)</f>
        <v>240</v>
      </c>
      <c r="CU63">
        <f>IF((gamma!CU63),IF(VLOOKUP(CU$1,main!$A$3:$H$102,7,FALSE)=VLOOKUP($A63,main!$A$3:$H$102,8,FALSE),VLOOKUP(CU$1,main!$A$3:$H$102,4,FALSE),VLOOKUP(CU$1,main!$A$3:$H$102,4,FALSE)+VLOOKUP($A63,main!$A$3:$H$102,4,FALSE)+(VLOOKUP(VLOOKUP(CU$1,main!$A$3:$H$102,8,FALSE),main!$K$19:$O$22,MATCH(VLOOKUP($A63,main!$A$3:$H$102,7,FALSE),main!$K$18:$O$18,0),0))),0)</f>
        <v>190</v>
      </c>
      <c r="CV63">
        <f>IF((gamma!CV63),IF(VLOOKUP(CV$1,main!$A$3:$H$102,7,FALSE)=VLOOKUP($A63,main!$A$3:$H$102,8,FALSE),VLOOKUP(CV$1,main!$A$3:$H$102,4,FALSE),VLOOKUP(CV$1,main!$A$3:$H$102,4,FALSE)+VLOOKUP($A63,main!$A$3:$H$102,4,FALSE)+(VLOOKUP(VLOOKUP(CV$1,main!$A$3:$H$102,8,FALSE),main!$K$19:$O$22,MATCH(VLOOKUP($A63,main!$A$3:$H$102,7,FALSE),main!$K$18:$O$18,0),0))),0)</f>
        <v>200</v>
      </c>
      <c r="CW63">
        <f>IF((gamma!CW63),IF(VLOOKUP(CW$1,main!$A$3:$H$102,7,FALSE)=VLOOKUP($A63,main!$A$3:$H$102,8,FALSE),VLOOKUP(CW$1,main!$A$3:$H$102,4,FALSE),VLOOKUP(CW$1,main!$A$3:$H$102,4,FALSE)+VLOOKUP($A63,main!$A$3:$H$102,4,FALSE)+(VLOOKUP(VLOOKUP(CW$1,main!$A$3:$H$102,8,FALSE),main!$K$19:$O$22,MATCH(VLOOKUP($A63,main!$A$3:$H$102,7,FALSE),main!$K$18:$O$18,0),0))),0)</f>
        <v>215</v>
      </c>
      <c r="CX63">
        <f>IF((gamma!CX63),IF(VLOOKUP(CX$1,main!$A$3:$H$102,7,FALSE)=VLOOKUP($A63,main!$A$3:$H$102,8,FALSE),VLOOKUP(CX$1,main!$A$3:$H$102,4,FALSE),VLOOKUP(CX$1,main!$A$3:$H$102,4,FALSE)+VLOOKUP($A63,main!$A$3:$H$102,4,FALSE)+(VLOOKUP(VLOOKUP(CX$1,main!$A$3:$H$102,8,FALSE),main!$K$19:$O$22,MATCH(VLOOKUP($A63,main!$A$3:$H$102,7,FALSE),main!$K$18:$O$18,0),0))),0)</f>
        <v>205</v>
      </c>
      <c r="CY63">
        <v>0</v>
      </c>
      <c r="CZ63">
        <v>0</v>
      </c>
      <c r="DA63">
        <v>0</v>
      </c>
    </row>
    <row r="64" spans="1:105" x14ac:dyDescent="0.25">
      <c r="A64" s="1">
        <v>62</v>
      </c>
      <c r="B64">
        <v>0</v>
      </c>
      <c r="C64">
        <f>IF((gamma!C64),IF(VLOOKUP(C$1,main!$A$3:$H$102,7,FALSE)=VLOOKUP($A64,main!$A$3:$H$102,8,FALSE),VLOOKUP(C$1,main!$A$3:$H$102,4,FALSE),VLOOKUP(C$1,main!$A$3:$H$102,4,FALSE)+VLOOKUP($A64,main!$A$3:$H$102,4,FALSE)+(VLOOKUP(VLOOKUP(C$1,main!$A$3:$H$102,8,FALSE),main!$K$19:$O$22,MATCH(VLOOKUP($A64,main!$A$3:$H$102,7,FALSE),main!$K$18:$O$18,0),0))),0)</f>
        <v>0</v>
      </c>
      <c r="D64">
        <f>IF((gamma!D64),IF(VLOOKUP(D$1,main!$A$3:$H$102,7,FALSE)=VLOOKUP($A64,main!$A$3:$H$102,8,FALSE),VLOOKUP(D$1,main!$A$3:$H$102,4,FALSE),VLOOKUP(D$1,main!$A$3:$H$102,4,FALSE)+VLOOKUP($A64,main!$A$3:$H$102,4,FALSE)+(VLOOKUP(VLOOKUP(D$1,main!$A$3:$H$102,8,FALSE),main!$K$19:$O$22,MATCH(VLOOKUP($A64,main!$A$3:$H$102,7,FALSE),main!$K$18:$O$18,0),0))),0)</f>
        <v>0</v>
      </c>
      <c r="E64">
        <f>IF((gamma!E64),IF(VLOOKUP(E$1,main!$A$3:$H$102,7,FALSE)=VLOOKUP($A64,main!$A$3:$H$102,8,FALSE),VLOOKUP(E$1,main!$A$3:$H$102,4,FALSE),VLOOKUP(E$1,main!$A$3:$H$102,4,FALSE)+VLOOKUP($A64,main!$A$3:$H$102,4,FALSE)+(VLOOKUP(VLOOKUP(E$1,main!$A$3:$H$102,8,FALSE),main!$K$19:$O$22,MATCH(VLOOKUP($A64,main!$A$3:$H$102,7,FALSE),main!$K$18:$O$18,0),0))),0)</f>
        <v>303</v>
      </c>
      <c r="F64">
        <f>IF((gamma!F64),IF(VLOOKUP(F$1,main!$A$3:$H$102,7,FALSE)=VLOOKUP($A64,main!$A$3:$H$102,8,FALSE),VLOOKUP(F$1,main!$A$3:$H$102,4,FALSE),VLOOKUP(F$1,main!$A$3:$H$102,4,FALSE)+VLOOKUP($A64,main!$A$3:$H$102,4,FALSE)+(VLOOKUP(VLOOKUP(F$1,main!$A$3:$H$102,8,FALSE),main!$K$19:$O$22,MATCH(VLOOKUP($A64,main!$A$3:$H$102,7,FALSE),main!$K$18:$O$18,0),0))),0)</f>
        <v>303</v>
      </c>
      <c r="G64">
        <f>IF((gamma!G64),IF(VLOOKUP(G$1,main!$A$3:$H$102,7,FALSE)=VLOOKUP($A64,main!$A$3:$H$102,8,FALSE),VLOOKUP(G$1,main!$A$3:$H$102,4,FALSE),VLOOKUP(G$1,main!$A$3:$H$102,4,FALSE)+VLOOKUP($A64,main!$A$3:$H$102,4,FALSE)+(VLOOKUP(VLOOKUP(G$1,main!$A$3:$H$102,8,FALSE),main!$K$19:$O$22,MATCH(VLOOKUP($A64,main!$A$3:$H$102,7,FALSE),main!$K$18:$O$18,0),0))),0)</f>
        <v>303</v>
      </c>
      <c r="H64">
        <f>IF((gamma!H64),IF(VLOOKUP(H$1,main!$A$3:$H$102,7,FALSE)=VLOOKUP($A64,main!$A$3:$H$102,8,FALSE),VLOOKUP(H$1,main!$A$3:$H$102,4,FALSE),VLOOKUP(H$1,main!$A$3:$H$102,4,FALSE)+VLOOKUP($A64,main!$A$3:$H$102,4,FALSE)+(VLOOKUP(VLOOKUP(H$1,main!$A$3:$H$102,8,FALSE),main!$K$19:$O$22,MATCH(VLOOKUP($A64,main!$A$3:$H$102,7,FALSE),main!$K$18:$O$18,0),0))),0)</f>
        <v>303</v>
      </c>
      <c r="I64">
        <f>IF((gamma!I64),IF(VLOOKUP(I$1,main!$A$3:$H$102,7,FALSE)=VLOOKUP($A64,main!$A$3:$H$102,8,FALSE),VLOOKUP(I$1,main!$A$3:$H$102,4,FALSE),VLOOKUP(I$1,main!$A$3:$H$102,4,FALSE)+VLOOKUP($A64,main!$A$3:$H$102,4,FALSE)+(VLOOKUP(VLOOKUP(I$1,main!$A$3:$H$102,8,FALSE),main!$K$19:$O$22,MATCH(VLOOKUP($A64,main!$A$3:$H$102,7,FALSE),main!$K$18:$O$18,0),0))),0)</f>
        <v>303</v>
      </c>
      <c r="J64">
        <f>IF((gamma!J64),IF(VLOOKUP(J$1,main!$A$3:$H$102,7,FALSE)=VLOOKUP($A64,main!$A$3:$H$102,8,FALSE),VLOOKUP(J$1,main!$A$3:$H$102,4,FALSE),VLOOKUP(J$1,main!$A$3:$H$102,4,FALSE)+VLOOKUP($A64,main!$A$3:$H$102,4,FALSE)+(VLOOKUP(VLOOKUP(J$1,main!$A$3:$H$102,8,FALSE),main!$K$19:$O$22,MATCH(VLOOKUP($A64,main!$A$3:$H$102,7,FALSE),main!$K$18:$O$18,0),0))),0)</f>
        <v>303</v>
      </c>
      <c r="K64">
        <f>IF((gamma!K64),IF(VLOOKUP(K$1,main!$A$3:$H$102,7,FALSE)=VLOOKUP($A64,main!$A$3:$H$102,8,FALSE),VLOOKUP(K$1,main!$A$3:$H$102,4,FALSE),VLOOKUP(K$1,main!$A$3:$H$102,4,FALSE)+VLOOKUP($A64,main!$A$3:$H$102,4,FALSE)+(VLOOKUP(VLOOKUP(K$1,main!$A$3:$H$102,8,FALSE),main!$K$19:$O$22,MATCH(VLOOKUP($A64,main!$A$3:$H$102,7,FALSE),main!$K$18:$O$18,0),0))),0)</f>
        <v>303</v>
      </c>
      <c r="L64">
        <f>IF((gamma!L64),IF(VLOOKUP(L$1,main!$A$3:$H$102,7,FALSE)=VLOOKUP($A64,main!$A$3:$H$102,8,FALSE),VLOOKUP(L$1,main!$A$3:$H$102,4,FALSE),VLOOKUP(L$1,main!$A$3:$H$102,4,FALSE)+VLOOKUP($A64,main!$A$3:$H$102,4,FALSE)+(VLOOKUP(VLOOKUP(L$1,main!$A$3:$H$102,8,FALSE),main!$K$19:$O$22,MATCH(VLOOKUP($A64,main!$A$3:$H$102,7,FALSE),main!$K$18:$O$18,0),0))),0)</f>
        <v>303</v>
      </c>
      <c r="M64">
        <f>IF((gamma!M64),IF(VLOOKUP(M$1,main!$A$3:$H$102,7,FALSE)=VLOOKUP($A64,main!$A$3:$H$102,8,FALSE),VLOOKUP(M$1,main!$A$3:$H$102,4,FALSE),VLOOKUP(M$1,main!$A$3:$H$102,4,FALSE)+VLOOKUP($A64,main!$A$3:$H$102,4,FALSE)+(VLOOKUP(VLOOKUP(M$1,main!$A$3:$H$102,8,FALSE),main!$K$19:$O$22,MATCH(VLOOKUP($A64,main!$A$3:$H$102,7,FALSE),main!$K$18:$O$18,0),0))),0)</f>
        <v>0</v>
      </c>
      <c r="N64">
        <f>IF((gamma!N64),IF(VLOOKUP(N$1,main!$A$3:$H$102,7,FALSE)=VLOOKUP($A64,main!$A$3:$H$102,8,FALSE),VLOOKUP(N$1,main!$A$3:$H$102,4,FALSE),VLOOKUP(N$1,main!$A$3:$H$102,4,FALSE)+VLOOKUP($A64,main!$A$3:$H$102,4,FALSE)+(VLOOKUP(VLOOKUP(N$1,main!$A$3:$H$102,8,FALSE),main!$K$19:$O$22,MATCH(VLOOKUP($A64,main!$A$3:$H$102,7,FALSE),main!$K$18:$O$18,0),0))),0)</f>
        <v>0</v>
      </c>
      <c r="O64">
        <f>IF((gamma!O64),IF(VLOOKUP(O$1,main!$A$3:$H$102,7,FALSE)=VLOOKUP($A64,main!$A$3:$H$102,8,FALSE),VLOOKUP(O$1,main!$A$3:$H$102,4,FALSE),VLOOKUP(O$1,main!$A$3:$H$102,4,FALSE)+VLOOKUP($A64,main!$A$3:$H$102,4,FALSE)+(VLOOKUP(VLOOKUP(O$1,main!$A$3:$H$102,8,FALSE),main!$K$19:$O$22,MATCH(VLOOKUP($A64,main!$A$3:$H$102,7,FALSE),main!$K$18:$O$18,0),0))),0)</f>
        <v>0</v>
      </c>
      <c r="P64">
        <f>IF((gamma!P64),IF(VLOOKUP(P$1,main!$A$3:$H$102,7,FALSE)=VLOOKUP($A64,main!$A$3:$H$102,8,FALSE),VLOOKUP(P$1,main!$A$3:$H$102,4,FALSE),VLOOKUP(P$1,main!$A$3:$H$102,4,FALSE)+VLOOKUP($A64,main!$A$3:$H$102,4,FALSE)+(VLOOKUP(VLOOKUP(P$1,main!$A$3:$H$102,8,FALSE),main!$K$19:$O$22,MATCH(VLOOKUP($A64,main!$A$3:$H$102,7,FALSE),main!$K$18:$O$18,0),0))),0)</f>
        <v>0</v>
      </c>
      <c r="Q64">
        <f>IF((gamma!Q64),IF(VLOOKUP(Q$1,main!$A$3:$H$102,7,FALSE)=VLOOKUP($A64,main!$A$3:$H$102,8,FALSE),VLOOKUP(Q$1,main!$A$3:$H$102,4,FALSE),VLOOKUP(Q$1,main!$A$3:$H$102,4,FALSE)+VLOOKUP($A64,main!$A$3:$H$102,4,FALSE)+(VLOOKUP(VLOOKUP(Q$1,main!$A$3:$H$102,8,FALSE),main!$K$19:$O$22,MATCH(VLOOKUP($A64,main!$A$3:$H$102,7,FALSE),main!$K$18:$O$18,0),0))),0)</f>
        <v>280</v>
      </c>
      <c r="R64">
        <f>IF((gamma!R64),IF(VLOOKUP(R$1,main!$A$3:$H$102,7,FALSE)=VLOOKUP($A64,main!$A$3:$H$102,8,FALSE),VLOOKUP(R$1,main!$A$3:$H$102,4,FALSE),VLOOKUP(R$1,main!$A$3:$H$102,4,FALSE)+VLOOKUP($A64,main!$A$3:$H$102,4,FALSE)+(VLOOKUP(VLOOKUP(R$1,main!$A$3:$H$102,8,FALSE),main!$K$19:$O$22,MATCH(VLOOKUP($A64,main!$A$3:$H$102,7,FALSE),main!$K$18:$O$18,0),0))),0)</f>
        <v>280</v>
      </c>
      <c r="S64">
        <f>IF((gamma!S64),IF(VLOOKUP(S$1,main!$A$3:$H$102,7,FALSE)=VLOOKUP($A64,main!$A$3:$H$102,8,FALSE),VLOOKUP(S$1,main!$A$3:$H$102,4,FALSE),VLOOKUP(S$1,main!$A$3:$H$102,4,FALSE)+VLOOKUP($A64,main!$A$3:$H$102,4,FALSE)+(VLOOKUP(VLOOKUP(S$1,main!$A$3:$H$102,8,FALSE),main!$K$19:$O$22,MATCH(VLOOKUP($A64,main!$A$3:$H$102,7,FALSE),main!$K$18:$O$18,0),0))),0)</f>
        <v>280</v>
      </c>
      <c r="T64">
        <f>IF((gamma!T64),IF(VLOOKUP(T$1,main!$A$3:$H$102,7,FALSE)=VLOOKUP($A64,main!$A$3:$H$102,8,FALSE),VLOOKUP(T$1,main!$A$3:$H$102,4,FALSE),VLOOKUP(T$1,main!$A$3:$H$102,4,FALSE)+VLOOKUP($A64,main!$A$3:$H$102,4,FALSE)+(VLOOKUP(VLOOKUP(T$1,main!$A$3:$H$102,8,FALSE),main!$K$19:$O$22,MATCH(VLOOKUP($A64,main!$A$3:$H$102,7,FALSE),main!$K$18:$O$18,0),0))),0)</f>
        <v>280</v>
      </c>
      <c r="U64">
        <f>IF((gamma!U64),IF(VLOOKUP(U$1,main!$A$3:$H$102,7,FALSE)=VLOOKUP($A64,main!$A$3:$H$102,8,FALSE),VLOOKUP(U$1,main!$A$3:$H$102,4,FALSE),VLOOKUP(U$1,main!$A$3:$H$102,4,FALSE)+VLOOKUP($A64,main!$A$3:$H$102,4,FALSE)+(VLOOKUP(VLOOKUP(U$1,main!$A$3:$H$102,8,FALSE),main!$K$19:$O$22,MATCH(VLOOKUP($A64,main!$A$3:$H$102,7,FALSE),main!$K$18:$O$18,0),0))),0)</f>
        <v>280</v>
      </c>
      <c r="V64">
        <f>IF((gamma!V64),IF(VLOOKUP(V$1,main!$A$3:$H$102,7,FALSE)=VLOOKUP($A64,main!$A$3:$H$102,8,FALSE),VLOOKUP(V$1,main!$A$3:$H$102,4,FALSE),VLOOKUP(V$1,main!$A$3:$H$102,4,FALSE)+VLOOKUP($A64,main!$A$3:$H$102,4,FALSE)+(VLOOKUP(VLOOKUP(V$1,main!$A$3:$H$102,8,FALSE),main!$K$19:$O$22,MATCH(VLOOKUP($A64,main!$A$3:$H$102,7,FALSE),main!$K$18:$O$18,0),0))),0)</f>
        <v>280</v>
      </c>
      <c r="W64">
        <f>IF((gamma!W64),IF(VLOOKUP(W$1,main!$A$3:$H$102,7,FALSE)=VLOOKUP($A64,main!$A$3:$H$102,8,FALSE),VLOOKUP(W$1,main!$A$3:$H$102,4,FALSE),VLOOKUP(W$1,main!$A$3:$H$102,4,FALSE)+VLOOKUP($A64,main!$A$3:$H$102,4,FALSE)+(VLOOKUP(VLOOKUP(W$1,main!$A$3:$H$102,8,FALSE),main!$K$19:$O$22,MATCH(VLOOKUP($A64,main!$A$3:$H$102,7,FALSE),main!$K$18:$O$18,0),0))),0)</f>
        <v>0</v>
      </c>
      <c r="X64">
        <f>IF((gamma!X64),IF(VLOOKUP(X$1,main!$A$3:$H$102,7,FALSE)=VLOOKUP($A64,main!$A$3:$H$102,8,FALSE),VLOOKUP(X$1,main!$A$3:$H$102,4,FALSE),VLOOKUP(X$1,main!$A$3:$H$102,4,FALSE)+VLOOKUP($A64,main!$A$3:$H$102,4,FALSE)+(VLOOKUP(VLOOKUP(X$1,main!$A$3:$H$102,8,FALSE),main!$K$19:$O$22,MATCH(VLOOKUP($A64,main!$A$3:$H$102,7,FALSE),main!$K$18:$O$18,0),0))),0)</f>
        <v>0</v>
      </c>
      <c r="Y64">
        <f>IF((gamma!Y64),IF(VLOOKUP(Y$1,main!$A$3:$H$102,7,FALSE)=VLOOKUP($A64,main!$A$3:$H$102,8,FALSE),VLOOKUP(Y$1,main!$A$3:$H$102,4,FALSE),VLOOKUP(Y$1,main!$A$3:$H$102,4,FALSE)+VLOOKUP($A64,main!$A$3:$H$102,4,FALSE)+(VLOOKUP(VLOOKUP(Y$1,main!$A$3:$H$102,8,FALSE),main!$K$19:$O$22,MATCH(VLOOKUP($A64,main!$A$3:$H$102,7,FALSE),main!$K$18:$O$18,0),0))),0)</f>
        <v>308</v>
      </c>
      <c r="Z64">
        <f>IF((gamma!Z64),IF(VLOOKUP(Z$1,main!$A$3:$H$102,7,FALSE)=VLOOKUP($A64,main!$A$3:$H$102,8,FALSE),VLOOKUP(Z$1,main!$A$3:$H$102,4,FALSE),VLOOKUP(Z$1,main!$A$3:$H$102,4,FALSE)+VLOOKUP($A64,main!$A$3:$H$102,4,FALSE)+(VLOOKUP(VLOOKUP(Z$1,main!$A$3:$H$102,8,FALSE),main!$K$19:$O$22,MATCH(VLOOKUP($A64,main!$A$3:$H$102,7,FALSE),main!$K$18:$O$18,0),0))),0)</f>
        <v>313</v>
      </c>
      <c r="AA64">
        <f>IF((gamma!AA64),IF(VLOOKUP(AA$1,main!$A$3:$H$102,7,FALSE)=VLOOKUP($A64,main!$A$3:$H$102,8,FALSE),VLOOKUP(AA$1,main!$A$3:$H$102,4,FALSE),VLOOKUP(AA$1,main!$A$3:$H$102,4,FALSE)+VLOOKUP($A64,main!$A$3:$H$102,4,FALSE)+(VLOOKUP(VLOOKUP(AA$1,main!$A$3:$H$102,8,FALSE),main!$K$19:$O$22,MATCH(VLOOKUP($A64,main!$A$3:$H$102,7,FALSE),main!$K$18:$O$18,0),0))),0)</f>
        <v>313</v>
      </c>
      <c r="AB64">
        <f>IF((gamma!AB64),IF(VLOOKUP(AB$1,main!$A$3:$H$102,7,FALSE)=VLOOKUP($A64,main!$A$3:$H$102,8,FALSE),VLOOKUP(AB$1,main!$A$3:$H$102,4,FALSE),VLOOKUP(AB$1,main!$A$3:$H$102,4,FALSE)+VLOOKUP($A64,main!$A$3:$H$102,4,FALSE)+(VLOOKUP(VLOOKUP(AB$1,main!$A$3:$H$102,8,FALSE),main!$K$19:$O$22,MATCH(VLOOKUP($A64,main!$A$3:$H$102,7,FALSE),main!$K$18:$O$18,0),0))),0)</f>
        <v>0</v>
      </c>
      <c r="AC64">
        <f>IF((gamma!AC64),IF(VLOOKUP(AC$1,main!$A$3:$H$102,7,FALSE)=VLOOKUP($A64,main!$A$3:$H$102,8,FALSE),VLOOKUP(AC$1,main!$A$3:$H$102,4,FALSE),VLOOKUP(AC$1,main!$A$3:$H$102,4,FALSE)+VLOOKUP($A64,main!$A$3:$H$102,4,FALSE)+(VLOOKUP(VLOOKUP(AC$1,main!$A$3:$H$102,8,FALSE),main!$K$19:$O$22,MATCH(VLOOKUP($A64,main!$A$3:$H$102,7,FALSE),main!$K$18:$O$18,0),0))),0)</f>
        <v>0</v>
      </c>
      <c r="AD64">
        <f>IF((gamma!AD64),IF(VLOOKUP(AD$1,main!$A$3:$H$102,7,FALSE)=VLOOKUP($A64,main!$A$3:$H$102,8,FALSE),VLOOKUP(AD$1,main!$A$3:$H$102,4,FALSE),VLOOKUP(AD$1,main!$A$3:$H$102,4,FALSE)+VLOOKUP($A64,main!$A$3:$H$102,4,FALSE)+(VLOOKUP(VLOOKUP(AD$1,main!$A$3:$H$102,8,FALSE),main!$K$19:$O$22,MATCH(VLOOKUP($A64,main!$A$3:$H$102,7,FALSE),main!$K$18:$O$18,0),0))),0)</f>
        <v>308</v>
      </c>
      <c r="AE64">
        <f>IF((gamma!AE64),IF(VLOOKUP(AE$1,main!$A$3:$H$102,7,FALSE)=VLOOKUP($A64,main!$A$3:$H$102,8,FALSE),VLOOKUP(AE$1,main!$A$3:$H$102,4,FALSE),VLOOKUP(AE$1,main!$A$3:$H$102,4,FALSE)+VLOOKUP($A64,main!$A$3:$H$102,4,FALSE)+(VLOOKUP(VLOOKUP(AE$1,main!$A$3:$H$102,8,FALSE),main!$K$19:$O$22,MATCH(VLOOKUP($A64,main!$A$3:$H$102,7,FALSE),main!$K$18:$O$18,0),0))),0)</f>
        <v>313</v>
      </c>
      <c r="AF64">
        <f>IF((gamma!AF64),IF(VLOOKUP(AF$1,main!$A$3:$H$102,7,FALSE)=VLOOKUP($A64,main!$A$3:$H$102,8,FALSE),VLOOKUP(AF$1,main!$A$3:$H$102,4,FALSE),VLOOKUP(AF$1,main!$A$3:$H$102,4,FALSE)+VLOOKUP($A64,main!$A$3:$H$102,4,FALSE)+(VLOOKUP(VLOOKUP(AF$1,main!$A$3:$H$102,8,FALSE),main!$K$19:$O$22,MATCH(VLOOKUP($A64,main!$A$3:$H$102,7,FALSE),main!$K$18:$O$18,0),0))),0)</f>
        <v>273</v>
      </c>
      <c r="AG64">
        <f>IF((gamma!AG64),IF(VLOOKUP(AG$1,main!$A$3:$H$102,7,FALSE)=VLOOKUP($A64,main!$A$3:$H$102,8,FALSE),VLOOKUP(AG$1,main!$A$3:$H$102,4,FALSE),VLOOKUP(AG$1,main!$A$3:$H$102,4,FALSE)+VLOOKUP($A64,main!$A$3:$H$102,4,FALSE)+(VLOOKUP(VLOOKUP(AG$1,main!$A$3:$H$102,8,FALSE),main!$K$19:$O$22,MATCH(VLOOKUP($A64,main!$A$3:$H$102,7,FALSE),main!$K$18:$O$18,0),0))),0)</f>
        <v>0</v>
      </c>
      <c r="AH64">
        <f>IF((gamma!AH64),IF(VLOOKUP(AH$1,main!$A$3:$H$102,7,FALSE)=VLOOKUP($A64,main!$A$3:$H$102,8,FALSE),VLOOKUP(AH$1,main!$A$3:$H$102,4,FALSE),VLOOKUP(AH$1,main!$A$3:$H$102,4,FALSE)+VLOOKUP($A64,main!$A$3:$H$102,4,FALSE)+(VLOOKUP(VLOOKUP(AH$1,main!$A$3:$H$102,8,FALSE),main!$K$19:$O$22,MATCH(VLOOKUP($A64,main!$A$3:$H$102,7,FALSE),main!$K$18:$O$18,0),0))),0)</f>
        <v>0</v>
      </c>
      <c r="AI64">
        <f>IF((gamma!AI64),IF(VLOOKUP(AI$1,main!$A$3:$H$102,7,FALSE)=VLOOKUP($A64,main!$A$3:$H$102,8,FALSE),VLOOKUP(AI$1,main!$A$3:$H$102,4,FALSE),VLOOKUP(AI$1,main!$A$3:$H$102,4,FALSE)+VLOOKUP($A64,main!$A$3:$H$102,4,FALSE)+(VLOOKUP(VLOOKUP(AI$1,main!$A$3:$H$102,8,FALSE),main!$K$19:$O$22,MATCH(VLOOKUP($A64,main!$A$3:$H$102,7,FALSE),main!$K$18:$O$18,0),0))),0)</f>
        <v>135</v>
      </c>
      <c r="AJ64">
        <f>IF((gamma!AJ64),IF(VLOOKUP(AJ$1,main!$A$3:$H$102,7,FALSE)=VLOOKUP($A64,main!$A$3:$H$102,8,FALSE),VLOOKUP(AJ$1,main!$A$3:$H$102,4,FALSE),VLOOKUP(AJ$1,main!$A$3:$H$102,4,FALSE)+VLOOKUP($A64,main!$A$3:$H$102,4,FALSE)+(VLOOKUP(VLOOKUP(AJ$1,main!$A$3:$H$102,8,FALSE),main!$K$19:$O$22,MATCH(VLOOKUP($A64,main!$A$3:$H$102,7,FALSE),main!$K$18:$O$18,0),0))),0)</f>
        <v>135</v>
      </c>
      <c r="AK64">
        <f>IF((gamma!AK64),IF(VLOOKUP(AK$1,main!$A$3:$H$102,7,FALSE)=VLOOKUP($A64,main!$A$3:$H$102,8,FALSE),VLOOKUP(AK$1,main!$A$3:$H$102,4,FALSE),VLOOKUP(AK$1,main!$A$3:$H$102,4,FALSE)+VLOOKUP($A64,main!$A$3:$H$102,4,FALSE)+(VLOOKUP(VLOOKUP(AK$1,main!$A$3:$H$102,8,FALSE),main!$K$19:$O$22,MATCH(VLOOKUP($A64,main!$A$3:$H$102,7,FALSE),main!$K$18:$O$18,0),0))),0)</f>
        <v>135</v>
      </c>
      <c r="AL64">
        <f>IF((gamma!AL64),IF(VLOOKUP(AL$1,main!$A$3:$H$102,7,FALSE)=VLOOKUP($A64,main!$A$3:$H$102,8,FALSE),VLOOKUP(AL$1,main!$A$3:$H$102,4,FALSE),VLOOKUP(AL$1,main!$A$3:$H$102,4,FALSE)+VLOOKUP($A64,main!$A$3:$H$102,4,FALSE)+(VLOOKUP(VLOOKUP(AL$1,main!$A$3:$H$102,8,FALSE),main!$K$19:$O$22,MATCH(VLOOKUP($A64,main!$A$3:$H$102,7,FALSE),main!$K$18:$O$18,0),0))),0)</f>
        <v>135</v>
      </c>
      <c r="AM64">
        <f>IF((gamma!AM64),IF(VLOOKUP(AM$1,main!$A$3:$H$102,7,FALSE)=VLOOKUP($A64,main!$A$3:$H$102,8,FALSE),VLOOKUP(AM$1,main!$A$3:$H$102,4,FALSE),VLOOKUP(AM$1,main!$A$3:$H$102,4,FALSE)+VLOOKUP($A64,main!$A$3:$H$102,4,FALSE)+(VLOOKUP(VLOOKUP(AM$1,main!$A$3:$H$102,8,FALSE),main!$K$19:$O$22,MATCH(VLOOKUP($A64,main!$A$3:$H$102,7,FALSE),main!$K$18:$O$18,0),0))),0)</f>
        <v>135</v>
      </c>
      <c r="AN64">
        <f>IF((gamma!AN64),IF(VLOOKUP(AN$1,main!$A$3:$H$102,7,FALSE)=VLOOKUP($A64,main!$A$3:$H$102,8,FALSE),VLOOKUP(AN$1,main!$A$3:$H$102,4,FALSE),VLOOKUP(AN$1,main!$A$3:$H$102,4,FALSE)+VLOOKUP($A64,main!$A$3:$H$102,4,FALSE)+(VLOOKUP(VLOOKUP(AN$1,main!$A$3:$H$102,8,FALSE),main!$K$19:$O$22,MATCH(VLOOKUP($A64,main!$A$3:$H$102,7,FALSE),main!$K$18:$O$18,0),0))),0)</f>
        <v>135</v>
      </c>
      <c r="AO64">
        <f>IF((gamma!AO64),IF(VLOOKUP(AO$1,main!$A$3:$H$102,7,FALSE)=VLOOKUP($A64,main!$A$3:$H$102,8,FALSE),VLOOKUP(AO$1,main!$A$3:$H$102,4,FALSE),VLOOKUP(AO$1,main!$A$3:$H$102,4,FALSE)+VLOOKUP($A64,main!$A$3:$H$102,4,FALSE)+(VLOOKUP(VLOOKUP(AO$1,main!$A$3:$H$102,8,FALSE),main!$K$19:$O$22,MATCH(VLOOKUP($A64,main!$A$3:$H$102,7,FALSE),main!$K$18:$O$18,0),0))),0)</f>
        <v>0</v>
      </c>
      <c r="AP64">
        <f>IF((gamma!AP64),IF(VLOOKUP(AP$1,main!$A$3:$H$102,7,FALSE)=VLOOKUP($A64,main!$A$3:$H$102,8,FALSE),VLOOKUP(AP$1,main!$A$3:$H$102,4,FALSE),VLOOKUP(AP$1,main!$A$3:$H$102,4,FALSE)+VLOOKUP($A64,main!$A$3:$H$102,4,FALSE)+(VLOOKUP(VLOOKUP(AP$1,main!$A$3:$H$102,8,FALSE),main!$K$19:$O$22,MATCH(VLOOKUP($A64,main!$A$3:$H$102,7,FALSE),main!$K$18:$O$18,0),0))),0)</f>
        <v>75</v>
      </c>
      <c r="AQ64">
        <f>IF((gamma!AQ64),IF(VLOOKUP(AQ$1,main!$A$3:$H$102,7,FALSE)=VLOOKUP($A64,main!$A$3:$H$102,8,FALSE),VLOOKUP(AQ$1,main!$A$3:$H$102,4,FALSE),VLOOKUP(AQ$1,main!$A$3:$H$102,4,FALSE)+VLOOKUP($A64,main!$A$3:$H$102,4,FALSE)+(VLOOKUP(VLOOKUP(AQ$1,main!$A$3:$H$102,8,FALSE),main!$K$19:$O$22,MATCH(VLOOKUP($A64,main!$A$3:$H$102,7,FALSE),main!$K$18:$O$18,0),0))),0)</f>
        <v>0</v>
      </c>
      <c r="AR64">
        <f>IF((gamma!AR64),IF(VLOOKUP(AR$1,main!$A$3:$H$102,7,FALSE)=VLOOKUP($A64,main!$A$3:$H$102,8,FALSE),VLOOKUP(AR$1,main!$A$3:$H$102,4,FALSE),VLOOKUP(AR$1,main!$A$3:$H$102,4,FALSE)+VLOOKUP($A64,main!$A$3:$H$102,4,FALSE)+(VLOOKUP(VLOOKUP(AR$1,main!$A$3:$H$102,8,FALSE),main!$K$19:$O$22,MATCH(VLOOKUP($A64,main!$A$3:$H$102,7,FALSE),main!$K$18:$O$18,0),0))),0)</f>
        <v>0</v>
      </c>
      <c r="AS64">
        <f>IF((gamma!AS64),IF(VLOOKUP(AS$1,main!$A$3:$H$102,7,FALSE)=VLOOKUP($A64,main!$A$3:$H$102,8,FALSE),VLOOKUP(AS$1,main!$A$3:$H$102,4,FALSE),VLOOKUP(AS$1,main!$A$3:$H$102,4,FALSE)+VLOOKUP($A64,main!$A$3:$H$102,4,FALSE)+(VLOOKUP(VLOOKUP(AS$1,main!$A$3:$H$102,8,FALSE),main!$K$19:$O$22,MATCH(VLOOKUP($A64,main!$A$3:$H$102,7,FALSE),main!$K$18:$O$18,0),0))),0)</f>
        <v>120</v>
      </c>
      <c r="AT64">
        <f>IF((gamma!AT64),IF(VLOOKUP(AT$1,main!$A$3:$H$102,7,FALSE)=VLOOKUP($A64,main!$A$3:$H$102,8,FALSE),VLOOKUP(AT$1,main!$A$3:$H$102,4,FALSE),VLOOKUP(AT$1,main!$A$3:$H$102,4,FALSE)+VLOOKUP($A64,main!$A$3:$H$102,4,FALSE)+(VLOOKUP(VLOOKUP(AT$1,main!$A$3:$H$102,8,FALSE),main!$K$19:$O$22,MATCH(VLOOKUP($A64,main!$A$3:$H$102,7,FALSE),main!$K$18:$O$18,0),0))),0)</f>
        <v>130</v>
      </c>
      <c r="AU64">
        <f>IF((gamma!AU64),IF(VLOOKUP(AU$1,main!$A$3:$H$102,7,FALSE)=VLOOKUP($A64,main!$A$3:$H$102,8,FALSE),VLOOKUP(AU$1,main!$A$3:$H$102,4,FALSE),VLOOKUP(AU$1,main!$A$3:$H$102,4,FALSE)+VLOOKUP($A64,main!$A$3:$H$102,4,FALSE)+(VLOOKUP(VLOOKUP(AU$1,main!$A$3:$H$102,8,FALSE),main!$K$19:$O$22,MATCH(VLOOKUP($A64,main!$A$3:$H$102,7,FALSE),main!$K$18:$O$18,0),0))),0)</f>
        <v>0</v>
      </c>
      <c r="AV64">
        <f>IF((gamma!AV64),IF(VLOOKUP(AV$1,main!$A$3:$H$102,7,FALSE)=VLOOKUP($A64,main!$A$3:$H$102,8,FALSE),VLOOKUP(AV$1,main!$A$3:$H$102,4,FALSE),VLOOKUP(AV$1,main!$A$3:$H$102,4,FALSE)+VLOOKUP($A64,main!$A$3:$H$102,4,FALSE)+(VLOOKUP(VLOOKUP(AV$1,main!$A$3:$H$102,8,FALSE),main!$K$19:$O$22,MATCH(VLOOKUP($A64,main!$A$3:$H$102,7,FALSE),main!$K$18:$O$18,0),0))),0)</f>
        <v>0</v>
      </c>
      <c r="AW64">
        <f>IF((gamma!AW64),IF(VLOOKUP(AW$1,main!$A$3:$H$102,7,FALSE)=VLOOKUP($A64,main!$A$3:$H$102,8,FALSE),VLOOKUP(AW$1,main!$A$3:$H$102,4,FALSE),VLOOKUP(AW$1,main!$A$3:$H$102,4,FALSE)+VLOOKUP($A64,main!$A$3:$H$102,4,FALSE)+(VLOOKUP(VLOOKUP(AW$1,main!$A$3:$H$102,8,FALSE),main!$K$19:$O$22,MATCH(VLOOKUP($A64,main!$A$3:$H$102,7,FALSE),main!$K$18:$O$18,0),0))),0)</f>
        <v>120</v>
      </c>
      <c r="AX64">
        <f>IF((gamma!AX64),IF(VLOOKUP(AX$1,main!$A$3:$H$102,7,FALSE)=VLOOKUP($A64,main!$A$3:$H$102,8,FALSE),VLOOKUP(AX$1,main!$A$3:$H$102,4,FALSE),VLOOKUP(AX$1,main!$A$3:$H$102,4,FALSE)+VLOOKUP($A64,main!$A$3:$H$102,4,FALSE)+(VLOOKUP(VLOOKUP(AX$1,main!$A$3:$H$102,8,FALSE),main!$K$19:$O$22,MATCH(VLOOKUP($A64,main!$A$3:$H$102,7,FALSE),main!$K$18:$O$18,0),0))),0)</f>
        <v>105</v>
      </c>
      <c r="AY64">
        <f>IF((gamma!AY64),IF(VLOOKUP(AY$1,main!$A$3:$H$102,7,FALSE)=VLOOKUP($A64,main!$A$3:$H$102,8,FALSE),VLOOKUP(AY$1,main!$A$3:$H$102,4,FALSE),VLOOKUP(AY$1,main!$A$3:$H$102,4,FALSE)+VLOOKUP($A64,main!$A$3:$H$102,4,FALSE)+(VLOOKUP(VLOOKUP(AY$1,main!$A$3:$H$102,8,FALSE),main!$K$19:$O$22,MATCH(VLOOKUP($A64,main!$A$3:$H$102,7,FALSE),main!$K$18:$O$18,0),0))),0)</f>
        <v>0</v>
      </c>
      <c r="AZ64">
        <f>IF((gamma!AZ64),IF(VLOOKUP(AZ$1,main!$A$3:$H$102,7,FALSE)=VLOOKUP($A64,main!$A$3:$H$102,8,FALSE),VLOOKUP(AZ$1,main!$A$3:$H$102,4,FALSE),VLOOKUP(AZ$1,main!$A$3:$H$102,4,FALSE)+VLOOKUP($A64,main!$A$3:$H$102,4,FALSE)+(VLOOKUP(VLOOKUP(AZ$1,main!$A$3:$H$102,8,FALSE),main!$K$19:$O$22,MATCH(VLOOKUP($A64,main!$A$3:$H$102,7,FALSE),main!$K$18:$O$18,0),0))),0)</f>
        <v>135</v>
      </c>
      <c r="BA64">
        <f>IF((gamma!BA64),IF(VLOOKUP(BA$1,main!$A$3:$H$102,7,FALSE)=VLOOKUP($A64,main!$A$3:$H$102,8,FALSE),VLOOKUP(BA$1,main!$A$3:$H$102,4,FALSE),VLOOKUP(BA$1,main!$A$3:$H$102,4,FALSE)+VLOOKUP($A64,main!$A$3:$H$102,4,FALSE)+(VLOOKUP(VLOOKUP(BA$1,main!$A$3:$H$102,8,FALSE),main!$K$19:$O$22,MATCH(VLOOKUP($A64,main!$A$3:$H$102,7,FALSE),main!$K$18:$O$18,0),0))),0)</f>
        <v>0</v>
      </c>
      <c r="BB64">
        <f>IF((gamma!BB64),IF(VLOOKUP(BB$1,main!$A$3:$H$102,7,FALSE)=VLOOKUP($A64,main!$A$3:$H$102,8,FALSE),VLOOKUP(BB$1,main!$A$3:$H$102,4,FALSE),VLOOKUP(BB$1,main!$A$3:$H$102,4,FALSE)+VLOOKUP($A64,main!$A$3:$H$102,4,FALSE)+(VLOOKUP(VLOOKUP(BB$1,main!$A$3:$H$102,8,FALSE),main!$K$19:$O$22,MATCH(VLOOKUP($A64,main!$A$3:$H$102,7,FALSE),main!$K$18:$O$18,0),0))),0)</f>
        <v>310</v>
      </c>
      <c r="BC64">
        <f>IF((gamma!BC64),IF(VLOOKUP(BC$1,main!$A$3:$H$102,7,FALSE)=VLOOKUP($A64,main!$A$3:$H$102,8,FALSE),VLOOKUP(BC$1,main!$A$3:$H$102,4,FALSE),VLOOKUP(BC$1,main!$A$3:$H$102,4,FALSE)+VLOOKUP($A64,main!$A$3:$H$102,4,FALSE)+(VLOOKUP(VLOOKUP(BC$1,main!$A$3:$H$102,8,FALSE),main!$K$19:$O$22,MATCH(VLOOKUP($A64,main!$A$3:$H$102,7,FALSE),main!$K$18:$O$18,0),0))),0)</f>
        <v>310</v>
      </c>
      <c r="BD64">
        <f>IF((gamma!BD64),IF(VLOOKUP(BD$1,main!$A$3:$H$102,7,FALSE)=VLOOKUP($A64,main!$A$3:$H$102,8,FALSE),VLOOKUP(BD$1,main!$A$3:$H$102,4,FALSE),VLOOKUP(BD$1,main!$A$3:$H$102,4,FALSE)+VLOOKUP($A64,main!$A$3:$H$102,4,FALSE)+(VLOOKUP(VLOOKUP(BD$1,main!$A$3:$H$102,8,FALSE),main!$K$19:$O$22,MATCH(VLOOKUP($A64,main!$A$3:$H$102,7,FALSE),main!$K$18:$O$18,0),0))),0)</f>
        <v>310</v>
      </c>
      <c r="BE64">
        <f>IF((gamma!BE64),IF(VLOOKUP(BE$1,main!$A$3:$H$102,7,FALSE)=VLOOKUP($A64,main!$A$3:$H$102,8,FALSE),VLOOKUP(BE$1,main!$A$3:$H$102,4,FALSE),VLOOKUP(BE$1,main!$A$3:$H$102,4,FALSE)+VLOOKUP($A64,main!$A$3:$H$102,4,FALSE)+(VLOOKUP(VLOOKUP(BE$1,main!$A$3:$H$102,8,FALSE),main!$K$19:$O$22,MATCH(VLOOKUP($A64,main!$A$3:$H$102,7,FALSE),main!$K$18:$O$18,0),0))),0)</f>
        <v>310</v>
      </c>
      <c r="BF64">
        <f>IF((gamma!BF64),IF(VLOOKUP(BF$1,main!$A$3:$H$102,7,FALSE)=VLOOKUP($A64,main!$A$3:$H$102,8,FALSE),VLOOKUP(BF$1,main!$A$3:$H$102,4,FALSE),VLOOKUP(BF$1,main!$A$3:$H$102,4,FALSE)+VLOOKUP($A64,main!$A$3:$H$102,4,FALSE)+(VLOOKUP(VLOOKUP(BF$1,main!$A$3:$H$102,8,FALSE),main!$K$19:$O$22,MATCH(VLOOKUP($A64,main!$A$3:$H$102,7,FALSE),main!$K$18:$O$18,0),0))),0)</f>
        <v>0</v>
      </c>
      <c r="BG64">
        <f>IF((gamma!BG64),IF(VLOOKUP(BG$1,main!$A$3:$H$102,7,FALSE)=VLOOKUP($A64,main!$A$3:$H$102,8,FALSE),VLOOKUP(BG$1,main!$A$3:$H$102,4,FALSE),VLOOKUP(BG$1,main!$A$3:$H$102,4,FALSE)+VLOOKUP($A64,main!$A$3:$H$102,4,FALSE)+(VLOOKUP(VLOOKUP(BG$1,main!$A$3:$H$102,8,FALSE),main!$K$19:$O$22,MATCH(VLOOKUP($A64,main!$A$3:$H$102,7,FALSE),main!$K$18:$O$18,0),0))),0)</f>
        <v>0</v>
      </c>
      <c r="BH64">
        <f>IF((gamma!BH64),IF(VLOOKUP(BH$1,main!$A$3:$H$102,7,FALSE)=VLOOKUP($A64,main!$A$3:$H$102,8,FALSE),VLOOKUP(BH$1,main!$A$3:$H$102,4,FALSE),VLOOKUP(BH$1,main!$A$3:$H$102,4,FALSE)+VLOOKUP($A64,main!$A$3:$H$102,4,FALSE)+(VLOOKUP(VLOOKUP(BH$1,main!$A$3:$H$102,8,FALSE),main!$K$19:$O$22,MATCH(VLOOKUP($A64,main!$A$3:$H$102,7,FALSE),main!$K$18:$O$18,0),0))),0)</f>
        <v>295</v>
      </c>
      <c r="BI64">
        <f>IF((gamma!BI64),IF(VLOOKUP(BI$1,main!$A$3:$H$102,7,FALSE)=VLOOKUP($A64,main!$A$3:$H$102,8,FALSE),VLOOKUP(BI$1,main!$A$3:$H$102,4,FALSE),VLOOKUP(BI$1,main!$A$3:$H$102,4,FALSE)+VLOOKUP($A64,main!$A$3:$H$102,4,FALSE)+(VLOOKUP(VLOOKUP(BI$1,main!$A$3:$H$102,8,FALSE),main!$K$19:$O$22,MATCH(VLOOKUP($A64,main!$A$3:$H$102,7,FALSE),main!$K$18:$O$18,0),0))),0)</f>
        <v>230</v>
      </c>
      <c r="BJ64">
        <f>IF((gamma!BJ64),IF(VLOOKUP(BJ$1,main!$A$3:$H$102,7,FALSE)=VLOOKUP($A64,main!$A$3:$H$102,8,FALSE),VLOOKUP(BJ$1,main!$A$3:$H$102,4,FALSE),VLOOKUP(BJ$1,main!$A$3:$H$102,4,FALSE)+VLOOKUP($A64,main!$A$3:$H$102,4,FALSE)+(VLOOKUP(VLOOKUP(BJ$1,main!$A$3:$H$102,8,FALSE),main!$K$19:$O$22,MATCH(VLOOKUP($A64,main!$A$3:$H$102,7,FALSE),main!$K$18:$O$18,0),0))),0)</f>
        <v>260</v>
      </c>
      <c r="BK64">
        <f>IF((gamma!BK64),IF(VLOOKUP(BK$1,main!$A$3:$H$102,7,FALSE)=VLOOKUP($A64,main!$A$3:$H$102,8,FALSE),VLOOKUP(BK$1,main!$A$3:$H$102,4,FALSE),VLOOKUP(BK$1,main!$A$3:$H$102,4,FALSE)+VLOOKUP($A64,main!$A$3:$H$102,4,FALSE)+(VLOOKUP(VLOOKUP(BK$1,main!$A$3:$H$102,8,FALSE),main!$K$19:$O$22,MATCH(VLOOKUP($A64,main!$A$3:$H$102,7,FALSE),main!$K$18:$O$18,0),0))),0)</f>
        <v>0</v>
      </c>
      <c r="BL64">
        <f>IF((gamma!BL64),IF(VLOOKUP(BL$1,main!$A$3:$H$102,7,FALSE)=VLOOKUP($A64,main!$A$3:$H$102,8,FALSE),VLOOKUP(BL$1,main!$A$3:$H$102,4,FALSE),VLOOKUP(BL$1,main!$A$3:$H$102,4,FALSE)+VLOOKUP($A64,main!$A$3:$H$102,4,FALSE)+(VLOOKUP(VLOOKUP(BL$1,main!$A$3:$H$102,8,FALSE),main!$K$19:$O$22,MATCH(VLOOKUP($A64,main!$A$3:$H$102,7,FALSE),main!$K$18:$O$18,0),0))),0)</f>
        <v>0</v>
      </c>
      <c r="BM64">
        <f>IF((gamma!BM64),IF(VLOOKUP(BM$1,main!$A$3:$H$102,7,FALSE)=VLOOKUP($A64,main!$A$3:$H$102,8,FALSE),VLOOKUP(BM$1,main!$A$3:$H$102,4,FALSE),VLOOKUP(BM$1,main!$A$3:$H$102,4,FALSE)+VLOOKUP($A64,main!$A$3:$H$102,4,FALSE)+(VLOOKUP(VLOOKUP(BM$1,main!$A$3:$H$102,8,FALSE),main!$K$19:$O$22,MATCH(VLOOKUP($A64,main!$A$3:$H$102,7,FALSE),main!$K$18:$O$18,0),0))),0)</f>
        <v>0</v>
      </c>
      <c r="BN64">
        <f>IF((gamma!BN64),IF(VLOOKUP(BN$1,main!$A$3:$H$102,7,FALSE)=VLOOKUP($A64,main!$A$3:$H$102,8,FALSE),VLOOKUP(BN$1,main!$A$3:$H$102,4,FALSE),VLOOKUP(BN$1,main!$A$3:$H$102,4,FALSE)+VLOOKUP($A64,main!$A$3:$H$102,4,FALSE)+(VLOOKUP(VLOOKUP(BN$1,main!$A$3:$H$102,8,FALSE),main!$K$19:$O$22,MATCH(VLOOKUP($A64,main!$A$3:$H$102,7,FALSE),main!$K$18:$O$18,0),0))),0)</f>
        <v>288</v>
      </c>
      <c r="BO64">
        <f>IF((gamma!BO64),IF(VLOOKUP(BO$1,main!$A$3:$H$102,7,FALSE)=VLOOKUP($A64,main!$A$3:$H$102,8,FALSE),VLOOKUP(BO$1,main!$A$3:$H$102,4,FALSE),VLOOKUP(BO$1,main!$A$3:$H$102,4,FALSE)+VLOOKUP($A64,main!$A$3:$H$102,4,FALSE)+(VLOOKUP(VLOOKUP(BO$1,main!$A$3:$H$102,8,FALSE),main!$K$19:$O$22,MATCH(VLOOKUP($A64,main!$A$3:$H$102,7,FALSE),main!$K$18:$O$18,0),0))),0)</f>
        <v>0</v>
      </c>
      <c r="BP64">
        <f>IF((gamma!BP64),IF(VLOOKUP(BP$1,main!$A$3:$H$102,7,FALSE)=VLOOKUP($A64,main!$A$3:$H$102,8,FALSE),VLOOKUP(BP$1,main!$A$3:$H$102,4,FALSE),VLOOKUP(BP$1,main!$A$3:$H$102,4,FALSE)+VLOOKUP($A64,main!$A$3:$H$102,4,FALSE)+(VLOOKUP(VLOOKUP(BP$1,main!$A$3:$H$102,8,FALSE),main!$K$19:$O$22,MATCH(VLOOKUP($A64,main!$A$3:$H$102,7,FALSE),main!$K$18:$O$18,0),0))),0)</f>
        <v>0</v>
      </c>
      <c r="BQ64">
        <f>IF((gamma!BQ64),IF(VLOOKUP(BQ$1,main!$A$3:$H$102,7,FALSE)=VLOOKUP($A64,main!$A$3:$H$102,8,FALSE),VLOOKUP(BQ$1,main!$A$3:$H$102,4,FALSE),VLOOKUP(BQ$1,main!$A$3:$H$102,4,FALSE)+VLOOKUP($A64,main!$A$3:$H$102,4,FALSE)+(VLOOKUP(VLOOKUP(BQ$1,main!$A$3:$H$102,8,FALSE),main!$K$19:$O$22,MATCH(VLOOKUP($A64,main!$A$3:$H$102,7,FALSE),main!$K$18:$O$18,0),0))),0)</f>
        <v>308</v>
      </c>
      <c r="BR64">
        <f>IF((gamma!BR64),IF(VLOOKUP(BR$1,main!$A$3:$H$102,7,FALSE)=VLOOKUP($A64,main!$A$3:$H$102,8,FALSE),VLOOKUP(BR$1,main!$A$3:$H$102,4,FALSE),VLOOKUP(BR$1,main!$A$3:$H$102,4,FALSE)+VLOOKUP($A64,main!$A$3:$H$102,4,FALSE)+(VLOOKUP(VLOOKUP(BR$1,main!$A$3:$H$102,8,FALSE),main!$K$19:$O$22,MATCH(VLOOKUP($A64,main!$A$3:$H$102,7,FALSE),main!$K$18:$O$18,0),0))),0)</f>
        <v>268</v>
      </c>
      <c r="BS64">
        <f>IF((gamma!BS64),IF(VLOOKUP(BS$1,main!$A$3:$H$102,7,FALSE)=VLOOKUP($A64,main!$A$3:$H$102,8,FALSE),VLOOKUP(BS$1,main!$A$3:$H$102,4,FALSE),VLOOKUP(BS$1,main!$A$3:$H$102,4,FALSE)+VLOOKUP($A64,main!$A$3:$H$102,4,FALSE)+(VLOOKUP(VLOOKUP(BS$1,main!$A$3:$H$102,8,FALSE),main!$K$19:$O$22,MATCH(VLOOKUP($A64,main!$A$3:$H$102,7,FALSE),main!$K$18:$O$18,0),0))),0)</f>
        <v>269</v>
      </c>
      <c r="BT64">
        <f>IF((gamma!BT64),IF(VLOOKUP(BT$1,main!$A$3:$H$102,7,FALSE)=VLOOKUP($A64,main!$A$3:$H$102,8,FALSE),VLOOKUP(BT$1,main!$A$3:$H$102,4,FALSE),VLOOKUP(BT$1,main!$A$3:$H$102,4,FALSE)+VLOOKUP($A64,main!$A$3:$H$102,4,FALSE)+(VLOOKUP(VLOOKUP(BT$1,main!$A$3:$H$102,8,FALSE),main!$K$19:$O$22,MATCH(VLOOKUP($A64,main!$A$3:$H$102,7,FALSE),main!$K$18:$O$18,0),0))),0)</f>
        <v>288</v>
      </c>
      <c r="BU64">
        <f>IF((gamma!BU64),IF(VLOOKUP(BU$1,main!$A$3:$H$102,7,FALSE)=VLOOKUP($A64,main!$A$3:$H$102,8,FALSE),VLOOKUP(BU$1,main!$A$3:$H$102,4,FALSE),VLOOKUP(BU$1,main!$A$3:$H$102,4,FALSE)+VLOOKUP($A64,main!$A$3:$H$102,4,FALSE)+(VLOOKUP(VLOOKUP(BU$1,main!$A$3:$H$102,8,FALSE),main!$K$19:$O$22,MATCH(VLOOKUP($A64,main!$A$3:$H$102,7,FALSE),main!$K$18:$O$18,0),0))),0)</f>
        <v>0</v>
      </c>
      <c r="BV64">
        <f>IF((gamma!BV64),IF(VLOOKUP(BV$1,main!$A$3:$H$102,7,FALSE)=VLOOKUP($A64,main!$A$3:$H$102,8,FALSE),VLOOKUP(BV$1,main!$A$3:$H$102,4,FALSE),VLOOKUP(BV$1,main!$A$3:$H$102,4,FALSE)+VLOOKUP($A64,main!$A$3:$H$102,4,FALSE)+(VLOOKUP(VLOOKUP(BV$1,main!$A$3:$H$102,8,FALSE),main!$K$19:$O$22,MATCH(VLOOKUP($A64,main!$A$3:$H$102,7,FALSE),main!$K$18:$O$18,0),0))),0)</f>
        <v>0</v>
      </c>
      <c r="BW64">
        <f>IF((gamma!BW64),IF(VLOOKUP(BW$1,main!$A$3:$H$102,7,FALSE)=VLOOKUP($A64,main!$A$3:$H$102,8,FALSE),VLOOKUP(BW$1,main!$A$3:$H$102,4,FALSE),VLOOKUP(BW$1,main!$A$3:$H$102,4,FALSE)+VLOOKUP($A64,main!$A$3:$H$102,4,FALSE)+(VLOOKUP(VLOOKUP(BW$1,main!$A$3:$H$102,8,FALSE),main!$K$19:$O$22,MATCH(VLOOKUP($A64,main!$A$3:$H$102,7,FALSE),main!$K$18:$O$18,0),0))),0)</f>
        <v>0</v>
      </c>
      <c r="BX64">
        <f>IF((gamma!BX64),IF(VLOOKUP(BX$1,main!$A$3:$H$102,7,FALSE)=VLOOKUP($A64,main!$A$3:$H$102,8,FALSE),VLOOKUP(BX$1,main!$A$3:$H$102,4,FALSE),VLOOKUP(BX$1,main!$A$3:$H$102,4,FALSE)+VLOOKUP($A64,main!$A$3:$H$102,4,FALSE)+(VLOOKUP(VLOOKUP(BX$1,main!$A$3:$H$102,8,FALSE),main!$K$19:$O$22,MATCH(VLOOKUP($A64,main!$A$3:$H$102,7,FALSE),main!$K$18:$O$18,0),0))),0)</f>
        <v>308</v>
      </c>
      <c r="BY64">
        <f>IF((gamma!BY64),IF(VLOOKUP(BY$1,main!$A$3:$H$102,7,FALSE)=VLOOKUP($A64,main!$A$3:$H$102,8,FALSE),VLOOKUP(BY$1,main!$A$3:$H$102,4,FALSE),VLOOKUP(BY$1,main!$A$3:$H$102,4,FALSE)+VLOOKUP($A64,main!$A$3:$H$102,4,FALSE)+(VLOOKUP(VLOOKUP(BY$1,main!$A$3:$H$102,8,FALSE),main!$K$19:$O$22,MATCH(VLOOKUP($A64,main!$A$3:$H$102,7,FALSE),main!$K$18:$O$18,0),0))),0)</f>
        <v>293</v>
      </c>
      <c r="BZ64">
        <f>IF((gamma!BZ64),IF(VLOOKUP(BZ$1,main!$A$3:$H$102,7,FALSE)=VLOOKUP($A64,main!$A$3:$H$102,8,FALSE),VLOOKUP(BZ$1,main!$A$3:$H$102,4,FALSE),VLOOKUP(BZ$1,main!$A$3:$H$102,4,FALSE)+VLOOKUP($A64,main!$A$3:$H$102,4,FALSE)+(VLOOKUP(VLOOKUP(BZ$1,main!$A$3:$H$102,8,FALSE),main!$K$19:$O$22,MATCH(VLOOKUP($A64,main!$A$3:$H$102,7,FALSE),main!$K$18:$O$18,0),0))),0)</f>
        <v>0</v>
      </c>
      <c r="CA64">
        <f>IF((gamma!CA64),IF(VLOOKUP(CA$1,main!$A$3:$H$102,7,FALSE)=VLOOKUP($A64,main!$A$3:$H$102,8,FALSE),VLOOKUP(CA$1,main!$A$3:$H$102,4,FALSE),VLOOKUP(CA$1,main!$A$3:$H$102,4,FALSE)+VLOOKUP($A64,main!$A$3:$H$102,4,FALSE)+(VLOOKUP(VLOOKUP(CA$1,main!$A$3:$H$102,8,FALSE),main!$K$19:$O$22,MATCH(VLOOKUP($A64,main!$A$3:$H$102,7,FALSE),main!$K$18:$O$18,0),0))),0)</f>
        <v>0</v>
      </c>
      <c r="CB64">
        <f>IF((gamma!CB64),IF(VLOOKUP(CB$1,main!$A$3:$H$102,7,FALSE)=VLOOKUP($A64,main!$A$3:$H$102,8,FALSE),VLOOKUP(CB$1,main!$A$3:$H$102,4,FALSE),VLOOKUP(CB$1,main!$A$3:$H$102,4,FALSE)+VLOOKUP($A64,main!$A$3:$H$102,4,FALSE)+(VLOOKUP(VLOOKUP(CB$1,main!$A$3:$H$102,8,FALSE),main!$K$19:$O$22,MATCH(VLOOKUP($A64,main!$A$3:$H$102,7,FALSE),main!$K$18:$O$18,0),0))),0)</f>
        <v>238</v>
      </c>
      <c r="CC64">
        <f>IF((gamma!CC64),IF(VLOOKUP(CC$1,main!$A$3:$H$102,7,FALSE)=VLOOKUP($A64,main!$A$3:$H$102,8,FALSE),VLOOKUP(CC$1,main!$A$3:$H$102,4,FALSE),VLOOKUP(CC$1,main!$A$3:$H$102,4,FALSE)+VLOOKUP($A64,main!$A$3:$H$102,4,FALSE)+(VLOOKUP(VLOOKUP(CC$1,main!$A$3:$H$102,8,FALSE),main!$K$19:$O$22,MATCH(VLOOKUP($A64,main!$A$3:$H$102,7,FALSE),main!$K$18:$O$18,0),0))),0)</f>
        <v>228</v>
      </c>
      <c r="CD64">
        <f>IF((gamma!CD64),IF(VLOOKUP(CD$1,main!$A$3:$H$102,7,FALSE)=VLOOKUP($A64,main!$A$3:$H$102,8,FALSE),VLOOKUP(CD$1,main!$A$3:$H$102,4,FALSE),VLOOKUP(CD$1,main!$A$3:$H$102,4,FALSE)+VLOOKUP($A64,main!$A$3:$H$102,4,FALSE)+(VLOOKUP(VLOOKUP(CD$1,main!$A$3:$H$102,8,FALSE),main!$K$19:$O$22,MATCH(VLOOKUP($A64,main!$A$3:$H$102,7,FALSE),main!$K$18:$O$18,0),0))),0)</f>
        <v>287</v>
      </c>
      <c r="CE64">
        <f>IF((gamma!CE64),IF(VLOOKUP(CE$1,main!$A$3:$H$102,7,FALSE)=VLOOKUP($A64,main!$A$3:$H$102,8,FALSE),VLOOKUP(CE$1,main!$A$3:$H$102,4,FALSE),VLOOKUP(CE$1,main!$A$3:$H$102,4,FALSE)+VLOOKUP($A64,main!$A$3:$H$102,4,FALSE)+(VLOOKUP(VLOOKUP(CE$1,main!$A$3:$H$102,8,FALSE),main!$K$19:$O$22,MATCH(VLOOKUP($A64,main!$A$3:$H$102,7,FALSE),main!$K$18:$O$18,0),0))),0)</f>
        <v>0</v>
      </c>
      <c r="CF64">
        <f>IF((gamma!CF64),IF(VLOOKUP(CF$1,main!$A$3:$H$102,7,FALSE)=VLOOKUP($A64,main!$A$3:$H$102,8,FALSE),VLOOKUP(CF$1,main!$A$3:$H$102,4,FALSE),VLOOKUP(CF$1,main!$A$3:$H$102,4,FALSE)+VLOOKUP($A64,main!$A$3:$H$102,4,FALSE)+(VLOOKUP(VLOOKUP(CF$1,main!$A$3:$H$102,8,FALSE),main!$K$19:$O$22,MATCH(VLOOKUP($A64,main!$A$3:$H$102,7,FALSE),main!$K$18:$O$18,0),0))),0)</f>
        <v>305</v>
      </c>
      <c r="CG64">
        <f>IF((gamma!CG64),IF(VLOOKUP(CG$1,main!$A$3:$H$102,7,FALSE)=VLOOKUP($A64,main!$A$3:$H$102,8,FALSE),VLOOKUP(CG$1,main!$A$3:$H$102,4,FALSE),VLOOKUP(CG$1,main!$A$3:$H$102,4,FALSE)+VLOOKUP($A64,main!$A$3:$H$102,4,FALSE)+(VLOOKUP(VLOOKUP(CG$1,main!$A$3:$H$102,8,FALSE),main!$K$19:$O$22,MATCH(VLOOKUP($A64,main!$A$3:$H$102,7,FALSE),main!$K$18:$O$18,0),0))),0)</f>
        <v>310</v>
      </c>
      <c r="CH64">
        <f>IF((gamma!CH64),IF(VLOOKUP(CH$1,main!$A$3:$H$102,7,FALSE)=VLOOKUP($A64,main!$A$3:$H$102,8,FALSE),VLOOKUP(CH$1,main!$A$3:$H$102,4,FALSE),VLOOKUP(CH$1,main!$A$3:$H$102,4,FALSE)+VLOOKUP($A64,main!$A$3:$H$102,4,FALSE)+(VLOOKUP(VLOOKUP(CH$1,main!$A$3:$H$102,8,FALSE),main!$K$19:$O$22,MATCH(VLOOKUP($A64,main!$A$3:$H$102,7,FALSE),main!$K$18:$O$18,0),0))),0)</f>
        <v>310</v>
      </c>
      <c r="CI64">
        <f>IF((gamma!CI64),IF(VLOOKUP(CI$1,main!$A$3:$H$102,7,FALSE)=VLOOKUP($A64,main!$A$3:$H$102,8,FALSE),VLOOKUP(CI$1,main!$A$3:$H$102,4,FALSE),VLOOKUP(CI$1,main!$A$3:$H$102,4,FALSE)+VLOOKUP($A64,main!$A$3:$H$102,4,FALSE)+(VLOOKUP(VLOOKUP(CI$1,main!$A$3:$H$102,8,FALSE),main!$K$19:$O$22,MATCH(VLOOKUP($A64,main!$A$3:$H$102,7,FALSE),main!$K$18:$O$18,0),0))),0)</f>
        <v>310</v>
      </c>
      <c r="CJ64">
        <f>IF((gamma!CJ64),IF(VLOOKUP(CJ$1,main!$A$3:$H$102,7,FALSE)=VLOOKUP($A64,main!$A$3:$H$102,8,FALSE),VLOOKUP(CJ$1,main!$A$3:$H$102,4,FALSE),VLOOKUP(CJ$1,main!$A$3:$H$102,4,FALSE)+VLOOKUP($A64,main!$A$3:$H$102,4,FALSE)+(VLOOKUP(VLOOKUP(CJ$1,main!$A$3:$H$102,8,FALSE),main!$K$19:$O$22,MATCH(VLOOKUP($A64,main!$A$3:$H$102,7,FALSE),main!$K$18:$O$18,0),0))),0)</f>
        <v>238</v>
      </c>
      <c r="CK64">
        <f>IF((gamma!CK64),IF(VLOOKUP(CK$1,main!$A$3:$H$102,7,FALSE)=VLOOKUP($A64,main!$A$3:$H$102,8,FALSE),VLOOKUP(CK$1,main!$A$3:$H$102,4,FALSE),VLOOKUP(CK$1,main!$A$3:$H$102,4,FALSE)+VLOOKUP($A64,main!$A$3:$H$102,4,FALSE)+(VLOOKUP(VLOOKUP(CK$1,main!$A$3:$H$102,8,FALSE),main!$K$19:$O$22,MATCH(VLOOKUP($A64,main!$A$3:$H$102,7,FALSE),main!$K$18:$O$18,0),0))),0)</f>
        <v>0</v>
      </c>
      <c r="CL64">
        <f>IF((gamma!CL64),IF(VLOOKUP(CL$1,main!$A$3:$H$102,7,FALSE)=VLOOKUP($A64,main!$A$3:$H$102,8,FALSE),VLOOKUP(CL$1,main!$A$3:$H$102,4,FALSE),VLOOKUP(CL$1,main!$A$3:$H$102,4,FALSE)+VLOOKUP($A64,main!$A$3:$H$102,4,FALSE)+(VLOOKUP(VLOOKUP(CL$1,main!$A$3:$H$102,8,FALSE),main!$K$19:$O$22,MATCH(VLOOKUP($A64,main!$A$3:$H$102,7,FALSE),main!$K$18:$O$18,0),0))),0)</f>
        <v>250</v>
      </c>
      <c r="CM64">
        <f>IF((gamma!CM64),IF(VLOOKUP(CM$1,main!$A$3:$H$102,7,FALSE)=VLOOKUP($A64,main!$A$3:$H$102,8,FALSE),VLOOKUP(CM$1,main!$A$3:$H$102,4,FALSE),VLOOKUP(CM$1,main!$A$3:$H$102,4,FALSE)+VLOOKUP($A64,main!$A$3:$H$102,4,FALSE)+(VLOOKUP(VLOOKUP(CM$1,main!$A$3:$H$102,8,FALSE),main!$K$19:$O$22,MATCH(VLOOKUP($A64,main!$A$3:$H$102,7,FALSE),main!$K$18:$O$18,0),0))),0)</f>
        <v>270</v>
      </c>
      <c r="CN64">
        <f>IF((gamma!CN64),IF(VLOOKUP(CN$1,main!$A$3:$H$102,7,FALSE)=VLOOKUP($A64,main!$A$3:$H$102,8,FALSE),VLOOKUP(CN$1,main!$A$3:$H$102,4,FALSE),VLOOKUP(CN$1,main!$A$3:$H$102,4,FALSE)+VLOOKUP($A64,main!$A$3:$H$102,4,FALSE)+(VLOOKUP(VLOOKUP(CN$1,main!$A$3:$H$102,8,FALSE),main!$K$19:$O$22,MATCH(VLOOKUP($A64,main!$A$3:$H$102,7,FALSE),main!$K$18:$O$18,0),0))),0)</f>
        <v>266</v>
      </c>
      <c r="CO64">
        <f>IF((gamma!CO64),IF(VLOOKUP(CO$1,main!$A$3:$H$102,7,FALSE)=VLOOKUP($A64,main!$A$3:$H$102,8,FALSE),VLOOKUP(CO$1,main!$A$3:$H$102,4,FALSE),VLOOKUP(CO$1,main!$A$3:$H$102,4,FALSE)+VLOOKUP($A64,main!$A$3:$H$102,4,FALSE)+(VLOOKUP(VLOOKUP(CO$1,main!$A$3:$H$102,8,FALSE),main!$K$19:$O$22,MATCH(VLOOKUP($A64,main!$A$3:$H$102,7,FALSE),main!$K$18:$O$18,0),0))),0)</f>
        <v>0</v>
      </c>
      <c r="CP64">
        <f>IF((gamma!CP64),IF(VLOOKUP(CP$1,main!$A$3:$H$102,7,FALSE)=VLOOKUP($A64,main!$A$3:$H$102,8,FALSE),VLOOKUP(CP$1,main!$A$3:$H$102,4,FALSE),VLOOKUP(CP$1,main!$A$3:$H$102,4,FALSE)+VLOOKUP($A64,main!$A$3:$H$102,4,FALSE)+(VLOOKUP(VLOOKUP(CP$1,main!$A$3:$H$102,8,FALSE),main!$K$19:$O$22,MATCH(VLOOKUP($A64,main!$A$3:$H$102,7,FALSE),main!$K$18:$O$18,0),0))),0)</f>
        <v>260</v>
      </c>
      <c r="CQ64">
        <f>IF((gamma!CQ64),IF(VLOOKUP(CQ$1,main!$A$3:$H$102,7,FALSE)=VLOOKUP($A64,main!$A$3:$H$102,8,FALSE),VLOOKUP(CQ$1,main!$A$3:$H$102,4,FALSE),VLOOKUP(CQ$1,main!$A$3:$H$102,4,FALSE)+VLOOKUP($A64,main!$A$3:$H$102,4,FALSE)+(VLOOKUP(VLOOKUP(CQ$1,main!$A$3:$H$102,8,FALSE),main!$K$19:$O$22,MATCH(VLOOKUP($A64,main!$A$3:$H$102,7,FALSE),main!$K$18:$O$18,0),0))),0)</f>
        <v>260</v>
      </c>
      <c r="CR64">
        <f>IF((gamma!CR64),IF(VLOOKUP(CR$1,main!$A$3:$H$102,7,FALSE)=VLOOKUP($A64,main!$A$3:$H$102,8,FALSE),VLOOKUP(CR$1,main!$A$3:$H$102,4,FALSE),VLOOKUP(CR$1,main!$A$3:$H$102,4,FALSE)+VLOOKUP($A64,main!$A$3:$H$102,4,FALSE)+(VLOOKUP(VLOOKUP(CR$1,main!$A$3:$H$102,8,FALSE),main!$K$19:$O$22,MATCH(VLOOKUP($A64,main!$A$3:$H$102,7,FALSE),main!$K$18:$O$18,0),0))),0)</f>
        <v>275</v>
      </c>
      <c r="CS64">
        <f>IF((gamma!CS64),IF(VLOOKUP(CS$1,main!$A$3:$H$102,7,FALSE)=VLOOKUP($A64,main!$A$3:$H$102,8,FALSE),VLOOKUP(CS$1,main!$A$3:$H$102,4,FALSE),VLOOKUP(CS$1,main!$A$3:$H$102,4,FALSE)+VLOOKUP($A64,main!$A$3:$H$102,4,FALSE)+(VLOOKUP(VLOOKUP(CS$1,main!$A$3:$H$102,8,FALSE),main!$K$19:$O$22,MATCH(VLOOKUP($A64,main!$A$3:$H$102,7,FALSE),main!$K$18:$O$18,0),0))),0)</f>
        <v>275</v>
      </c>
      <c r="CT64">
        <f>IF((gamma!CT64),IF(VLOOKUP(CT$1,main!$A$3:$H$102,7,FALSE)=VLOOKUP($A64,main!$A$3:$H$102,8,FALSE),VLOOKUP(CT$1,main!$A$3:$H$102,4,FALSE),VLOOKUP(CT$1,main!$A$3:$H$102,4,FALSE)+VLOOKUP($A64,main!$A$3:$H$102,4,FALSE)+(VLOOKUP(VLOOKUP(CT$1,main!$A$3:$H$102,8,FALSE),main!$K$19:$O$22,MATCH(VLOOKUP($A64,main!$A$3:$H$102,7,FALSE),main!$K$18:$O$18,0),0))),0)</f>
        <v>0</v>
      </c>
      <c r="CU64">
        <f>IF((gamma!CU64),IF(VLOOKUP(CU$1,main!$A$3:$H$102,7,FALSE)=VLOOKUP($A64,main!$A$3:$H$102,8,FALSE),VLOOKUP(CU$1,main!$A$3:$H$102,4,FALSE),VLOOKUP(CU$1,main!$A$3:$H$102,4,FALSE)+VLOOKUP($A64,main!$A$3:$H$102,4,FALSE)+(VLOOKUP(VLOOKUP(CU$1,main!$A$3:$H$102,8,FALSE),main!$K$19:$O$22,MATCH(VLOOKUP($A64,main!$A$3:$H$102,7,FALSE),main!$K$18:$O$18,0),0))),0)</f>
        <v>0</v>
      </c>
      <c r="CV64">
        <f>IF((gamma!CV64),IF(VLOOKUP(CV$1,main!$A$3:$H$102,7,FALSE)=VLOOKUP($A64,main!$A$3:$H$102,8,FALSE),VLOOKUP(CV$1,main!$A$3:$H$102,4,FALSE),VLOOKUP(CV$1,main!$A$3:$H$102,4,FALSE)+VLOOKUP($A64,main!$A$3:$H$102,4,FALSE)+(VLOOKUP(VLOOKUP(CV$1,main!$A$3:$H$102,8,FALSE),main!$K$19:$O$22,MATCH(VLOOKUP($A64,main!$A$3:$H$102,7,FALSE),main!$K$18:$O$18,0),0))),0)</f>
        <v>220</v>
      </c>
      <c r="CW64">
        <f>IF((gamma!CW64),IF(VLOOKUP(CW$1,main!$A$3:$H$102,7,FALSE)=VLOOKUP($A64,main!$A$3:$H$102,8,FALSE),VLOOKUP(CW$1,main!$A$3:$H$102,4,FALSE),VLOOKUP(CW$1,main!$A$3:$H$102,4,FALSE)+VLOOKUP($A64,main!$A$3:$H$102,4,FALSE)+(VLOOKUP(VLOOKUP(CW$1,main!$A$3:$H$102,8,FALSE),main!$K$19:$O$22,MATCH(VLOOKUP($A64,main!$A$3:$H$102,7,FALSE),main!$K$18:$O$18,0),0))),0)</f>
        <v>235</v>
      </c>
      <c r="CX64">
        <f>IF((gamma!CX64),IF(VLOOKUP(CX$1,main!$A$3:$H$102,7,FALSE)=VLOOKUP($A64,main!$A$3:$H$102,8,FALSE),VLOOKUP(CX$1,main!$A$3:$H$102,4,FALSE),VLOOKUP(CX$1,main!$A$3:$H$102,4,FALSE)+VLOOKUP($A64,main!$A$3:$H$102,4,FALSE)+(VLOOKUP(VLOOKUP(CX$1,main!$A$3:$H$102,8,FALSE),main!$K$19:$O$22,MATCH(VLOOKUP($A64,main!$A$3:$H$102,7,FALSE),main!$K$18:$O$18,0),0))),0)</f>
        <v>225</v>
      </c>
      <c r="CY64">
        <v>0</v>
      </c>
      <c r="CZ64">
        <v>0</v>
      </c>
      <c r="DA64">
        <v>0</v>
      </c>
    </row>
    <row r="65" spans="1:105" x14ac:dyDescent="0.25">
      <c r="A65" s="1">
        <v>63</v>
      </c>
      <c r="B65">
        <v>0</v>
      </c>
      <c r="C65">
        <f>IF((gamma!C65),IF(VLOOKUP(C$1,main!$A$3:$H$102,7,FALSE)=VLOOKUP($A65,main!$A$3:$H$102,8,FALSE),VLOOKUP(C$1,main!$A$3:$H$102,4,FALSE),VLOOKUP(C$1,main!$A$3:$H$102,4,FALSE)+VLOOKUP($A65,main!$A$3:$H$102,4,FALSE)+(VLOOKUP(VLOOKUP(C$1,main!$A$3:$H$102,8,FALSE),main!$K$19:$O$22,MATCH(VLOOKUP($A65,main!$A$3:$H$102,7,FALSE),main!$K$18:$O$18,0),0))),0)</f>
        <v>0</v>
      </c>
      <c r="D65">
        <f>IF((gamma!D65),IF(VLOOKUP(D$1,main!$A$3:$H$102,7,FALSE)=VLOOKUP($A65,main!$A$3:$H$102,8,FALSE),VLOOKUP(D$1,main!$A$3:$H$102,4,FALSE),VLOOKUP(D$1,main!$A$3:$H$102,4,FALSE)+VLOOKUP($A65,main!$A$3:$H$102,4,FALSE)+(VLOOKUP(VLOOKUP(D$1,main!$A$3:$H$102,8,FALSE),main!$K$19:$O$22,MATCH(VLOOKUP($A65,main!$A$3:$H$102,7,FALSE),main!$K$18:$O$18,0),0))),0)</f>
        <v>0</v>
      </c>
      <c r="E65">
        <f>IF((gamma!E65),IF(VLOOKUP(E$1,main!$A$3:$H$102,7,FALSE)=VLOOKUP($A65,main!$A$3:$H$102,8,FALSE),VLOOKUP(E$1,main!$A$3:$H$102,4,FALSE),VLOOKUP(E$1,main!$A$3:$H$102,4,FALSE)+VLOOKUP($A65,main!$A$3:$H$102,4,FALSE)+(VLOOKUP(VLOOKUP(E$1,main!$A$3:$H$102,8,FALSE),main!$K$19:$O$22,MATCH(VLOOKUP($A65,main!$A$3:$H$102,7,FALSE),main!$K$18:$O$18,0),0))),0)</f>
        <v>0</v>
      </c>
      <c r="F65">
        <f>IF((gamma!F65),IF(VLOOKUP(F$1,main!$A$3:$H$102,7,FALSE)=VLOOKUP($A65,main!$A$3:$H$102,8,FALSE),VLOOKUP(F$1,main!$A$3:$H$102,4,FALSE),VLOOKUP(F$1,main!$A$3:$H$102,4,FALSE)+VLOOKUP($A65,main!$A$3:$H$102,4,FALSE)+(VLOOKUP(VLOOKUP(F$1,main!$A$3:$H$102,8,FALSE),main!$K$19:$O$22,MATCH(VLOOKUP($A65,main!$A$3:$H$102,7,FALSE),main!$K$18:$O$18,0),0))),0)</f>
        <v>0</v>
      </c>
      <c r="G65">
        <f>IF((gamma!G65),IF(VLOOKUP(G$1,main!$A$3:$H$102,7,FALSE)=VLOOKUP($A65,main!$A$3:$H$102,8,FALSE),VLOOKUP(G$1,main!$A$3:$H$102,4,FALSE),VLOOKUP(G$1,main!$A$3:$H$102,4,FALSE)+VLOOKUP($A65,main!$A$3:$H$102,4,FALSE)+(VLOOKUP(VLOOKUP(G$1,main!$A$3:$H$102,8,FALSE),main!$K$19:$O$22,MATCH(VLOOKUP($A65,main!$A$3:$H$102,7,FALSE),main!$K$18:$O$18,0),0))),0)</f>
        <v>303</v>
      </c>
      <c r="H65">
        <f>IF((gamma!H65),IF(VLOOKUP(H$1,main!$A$3:$H$102,7,FALSE)=VLOOKUP($A65,main!$A$3:$H$102,8,FALSE),VLOOKUP(H$1,main!$A$3:$H$102,4,FALSE),VLOOKUP(H$1,main!$A$3:$H$102,4,FALSE)+VLOOKUP($A65,main!$A$3:$H$102,4,FALSE)+(VLOOKUP(VLOOKUP(H$1,main!$A$3:$H$102,8,FALSE),main!$K$19:$O$22,MATCH(VLOOKUP($A65,main!$A$3:$H$102,7,FALSE),main!$K$18:$O$18,0),0))),0)</f>
        <v>303</v>
      </c>
      <c r="I65">
        <f>IF((gamma!I65),IF(VLOOKUP(I$1,main!$A$3:$H$102,7,FALSE)=VLOOKUP($A65,main!$A$3:$H$102,8,FALSE),VLOOKUP(I$1,main!$A$3:$H$102,4,FALSE),VLOOKUP(I$1,main!$A$3:$H$102,4,FALSE)+VLOOKUP($A65,main!$A$3:$H$102,4,FALSE)+(VLOOKUP(VLOOKUP(I$1,main!$A$3:$H$102,8,FALSE),main!$K$19:$O$22,MATCH(VLOOKUP($A65,main!$A$3:$H$102,7,FALSE),main!$K$18:$O$18,0),0))),0)</f>
        <v>303</v>
      </c>
      <c r="J65">
        <f>IF((gamma!J65),IF(VLOOKUP(J$1,main!$A$3:$H$102,7,FALSE)=VLOOKUP($A65,main!$A$3:$H$102,8,FALSE),VLOOKUP(J$1,main!$A$3:$H$102,4,FALSE),VLOOKUP(J$1,main!$A$3:$H$102,4,FALSE)+VLOOKUP($A65,main!$A$3:$H$102,4,FALSE)+(VLOOKUP(VLOOKUP(J$1,main!$A$3:$H$102,8,FALSE),main!$K$19:$O$22,MATCH(VLOOKUP($A65,main!$A$3:$H$102,7,FALSE),main!$K$18:$O$18,0),0))),0)</f>
        <v>303</v>
      </c>
      <c r="K65">
        <f>IF((gamma!K65),IF(VLOOKUP(K$1,main!$A$3:$H$102,7,FALSE)=VLOOKUP($A65,main!$A$3:$H$102,8,FALSE),VLOOKUP(K$1,main!$A$3:$H$102,4,FALSE),VLOOKUP(K$1,main!$A$3:$H$102,4,FALSE)+VLOOKUP($A65,main!$A$3:$H$102,4,FALSE)+(VLOOKUP(VLOOKUP(K$1,main!$A$3:$H$102,8,FALSE),main!$K$19:$O$22,MATCH(VLOOKUP($A65,main!$A$3:$H$102,7,FALSE),main!$K$18:$O$18,0),0))),0)</f>
        <v>303</v>
      </c>
      <c r="L65">
        <f>IF((gamma!L65),IF(VLOOKUP(L$1,main!$A$3:$H$102,7,FALSE)=VLOOKUP($A65,main!$A$3:$H$102,8,FALSE),VLOOKUP(L$1,main!$A$3:$H$102,4,FALSE),VLOOKUP(L$1,main!$A$3:$H$102,4,FALSE)+VLOOKUP($A65,main!$A$3:$H$102,4,FALSE)+(VLOOKUP(VLOOKUP(L$1,main!$A$3:$H$102,8,FALSE),main!$K$19:$O$22,MATCH(VLOOKUP($A65,main!$A$3:$H$102,7,FALSE),main!$K$18:$O$18,0),0))),0)</f>
        <v>303</v>
      </c>
      <c r="M65">
        <f>IF((gamma!M65),IF(VLOOKUP(M$1,main!$A$3:$H$102,7,FALSE)=VLOOKUP($A65,main!$A$3:$H$102,8,FALSE),VLOOKUP(M$1,main!$A$3:$H$102,4,FALSE),VLOOKUP(M$1,main!$A$3:$H$102,4,FALSE)+VLOOKUP($A65,main!$A$3:$H$102,4,FALSE)+(VLOOKUP(VLOOKUP(M$1,main!$A$3:$H$102,8,FALSE),main!$K$19:$O$22,MATCH(VLOOKUP($A65,main!$A$3:$H$102,7,FALSE),main!$K$18:$O$18,0),0))),0)</f>
        <v>0</v>
      </c>
      <c r="N65">
        <f>IF((gamma!N65),IF(VLOOKUP(N$1,main!$A$3:$H$102,7,FALSE)=VLOOKUP($A65,main!$A$3:$H$102,8,FALSE),VLOOKUP(N$1,main!$A$3:$H$102,4,FALSE),VLOOKUP(N$1,main!$A$3:$H$102,4,FALSE)+VLOOKUP($A65,main!$A$3:$H$102,4,FALSE)+(VLOOKUP(VLOOKUP(N$1,main!$A$3:$H$102,8,FALSE),main!$K$19:$O$22,MATCH(VLOOKUP($A65,main!$A$3:$H$102,7,FALSE),main!$K$18:$O$18,0),0))),0)</f>
        <v>0</v>
      </c>
      <c r="O65">
        <f>IF((gamma!O65),IF(VLOOKUP(O$1,main!$A$3:$H$102,7,FALSE)=VLOOKUP($A65,main!$A$3:$H$102,8,FALSE),VLOOKUP(O$1,main!$A$3:$H$102,4,FALSE),VLOOKUP(O$1,main!$A$3:$H$102,4,FALSE)+VLOOKUP($A65,main!$A$3:$H$102,4,FALSE)+(VLOOKUP(VLOOKUP(O$1,main!$A$3:$H$102,8,FALSE),main!$K$19:$O$22,MATCH(VLOOKUP($A65,main!$A$3:$H$102,7,FALSE),main!$K$18:$O$18,0),0))),0)</f>
        <v>0</v>
      </c>
      <c r="P65">
        <f>IF((gamma!P65),IF(VLOOKUP(P$1,main!$A$3:$H$102,7,FALSE)=VLOOKUP($A65,main!$A$3:$H$102,8,FALSE),VLOOKUP(P$1,main!$A$3:$H$102,4,FALSE),VLOOKUP(P$1,main!$A$3:$H$102,4,FALSE)+VLOOKUP($A65,main!$A$3:$H$102,4,FALSE)+(VLOOKUP(VLOOKUP(P$1,main!$A$3:$H$102,8,FALSE),main!$K$19:$O$22,MATCH(VLOOKUP($A65,main!$A$3:$H$102,7,FALSE),main!$K$18:$O$18,0),0))),0)</f>
        <v>0</v>
      </c>
      <c r="Q65">
        <f>IF((gamma!Q65),IF(VLOOKUP(Q$1,main!$A$3:$H$102,7,FALSE)=VLOOKUP($A65,main!$A$3:$H$102,8,FALSE),VLOOKUP(Q$1,main!$A$3:$H$102,4,FALSE),VLOOKUP(Q$1,main!$A$3:$H$102,4,FALSE)+VLOOKUP($A65,main!$A$3:$H$102,4,FALSE)+(VLOOKUP(VLOOKUP(Q$1,main!$A$3:$H$102,8,FALSE),main!$K$19:$O$22,MATCH(VLOOKUP($A65,main!$A$3:$H$102,7,FALSE),main!$K$18:$O$18,0),0))),0)</f>
        <v>0</v>
      </c>
      <c r="R65">
        <f>IF((gamma!R65),IF(VLOOKUP(R$1,main!$A$3:$H$102,7,FALSE)=VLOOKUP($A65,main!$A$3:$H$102,8,FALSE),VLOOKUP(R$1,main!$A$3:$H$102,4,FALSE),VLOOKUP(R$1,main!$A$3:$H$102,4,FALSE)+VLOOKUP($A65,main!$A$3:$H$102,4,FALSE)+(VLOOKUP(VLOOKUP(R$1,main!$A$3:$H$102,8,FALSE),main!$K$19:$O$22,MATCH(VLOOKUP($A65,main!$A$3:$H$102,7,FALSE),main!$K$18:$O$18,0),0))),0)</f>
        <v>0</v>
      </c>
      <c r="S65">
        <f>IF((gamma!S65),IF(VLOOKUP(S$1,main!$A$3:$H$102,7,FALSE)=VLOOKUP($A65,main!$A$3:$H$102,8,FALSE),VLOOKUP(S$1,main!$A$3:$H$102,4,FALSE),VLOOKUP(S$1,main!$A$3:$H$102,4,FALSE)+VLOOKUP($A65,main!$A$3:$H$102,4,FALSE)+(VLOOKUP(VLOOKUP(S$1,main!$A$3:$H$102,8,FALSE),main!$K$19:$O$22,MATCH(VLOOKUP($A65,main!$A$3:$H$102,7,FALSE),main!$K$18:$O$18,0),0))),0)</f>
        <v>280</v>
      </c>
      <c r="T65">
        <f>IF((gamma!T65),IF(VLOOKUP(T$1,main!$A$3:$H$102,7,FALSE)=VLOOKUP($A65,main!$A$3:$H$102,8,FALSE),VLOOKUP(T$1,main!$A$3:$H$102,4,FALSE),VLOOKUP(T$1,main!$A$3:$H$102,4,FALSE)+VLOOKUP($A65,main!$A$3:$H$102,4,FALSE)+(VLOOKUP(VLOOKUP(T$1,main!$A$3:$H$102,8,FALSE),main!$K$19:$O$22,MATCH(VLOOKUP($A65,main!$A$3:$H$102,7,FALSE),main!$K$18:$O$18,0),0))),0)</f>
        <v>280</v>
      </c>
      <c r="U65">
        <f>IF((gamma!U65),IF(VLOOKUP(U$1,main!$A$3:$H$102,7,FALSE)=VLOOKUP($A65,main!$A$3:$H$102,8,FALSE),VLOOKUP(U$1,main!$A$3:$H$102,4,FALSE),VLOOKUP(U$1,main!$A$3:$H$102,4,FALSE)+VLOOKUP($A65,main!$A$3:$H$102,4,FALSE)+(VLOOKUP(VLOOKUP(U$1,main!$A$3:$H$102,8,FALSE),main!$K$19:$O$22,MATCH(VLOOKUP($A65,main!$A$3:$H$102,7,FALSE),main!$K$18:$O$18,0),0))),0)</f>
        <v>280</v>
      </c>
      <c r="V65">
        <f>IF((gamma!V65),IF(VLOOKUP(V$1,main!$A$3:$H$102,7,FALSE)=VLOOKUP($A65,main!$A$3:$H$102,8,FALSE),VLOOKUP(V$1,main!$A$3:$H$102,4,FALSE),VLOOKUP(V$1,main!$A$3:$H$102,4,FALSE)+VLOOKUP($A65,main!$A$3:$H$102,4,FALSE)+(VLOOKUP(VLOOKUP(V$1,main!$A$3:$H$102,8,FALSE),main!$K$19:$O$22,MATCH(VLOOKUP($A65,main!$A$3:$H$102,7,FALSE),main!$K$18:$O$18,0),0))),0)</f>
        <v>280</v>
      </c>
      <c r="W65">
        <f>IF((gamma!W65),IF(VLOOKUP(W$1,main!$A$3:$H$102,7,FALSE)=VLOOKUP($A65,main!$A$3:$H$102,8,FALSE),VLOOKUP(W$1,main!$A$3:$H$102,4,FALSE),VLOOKUP(W$1,main!$A$3:$H$102,4,FALSE)+VLOOKUP($A65,main!$A$3:$H$102,4,FALSE)+(VLOOKUP(VLOOKUP(W$1,main!$A$3:$H$102,8,FALSE),main!$K$19:$O$22,MATCH(VLOOKUP($A65,main!$A$3:$H$102,7,FALSE),main!$K$18:$O$18,0),0))),0)</f>
        <v>0</v>
      </c>
      <c r="X65">
        <f>IF((gamma!X65),IF(VLOOKUP(X$1,main!$A$3:$H$102,7,FALSE)=VLOOKUP($A65,main!$A$3:$H$102,8,FALSE),VLOOKUP(X$1,main!$A$3:$H$102,4,FALSE),VLOOKUP(X$1,main!$A$3:$H$102,4,FALSE)+VLOOKUP($A65,main!$A$3:$H$102,4,FALSE)+(VLOOKUP(VLOOKUP(X$1,main!$A$3:$H$102,8,FALSE),main!$K$19:$O$22,MATCH(VLOOKUP($A65,main!$A$3:$H$102,7,FALSE),main!$K$18:$O$18,0),0))),0)</f>
        <v>0</v>
      </c>
      <c r="Y65">
        <f>IF((gamma!Y65),IF(VLOOKUP(Y$1,main!$A$3:$H$102,7,FALSE)=VLOOKUP($A65,main!$A$3:$H$102,8,FALSE),VLOOKUP(Y$1,main!$A$3:$H$102,4,FALSE),VLOOKUP(Y$1,main!$A$3:$H$102,4,FALSE)+VLOOKUP($A65,main!$A$3:$H$102,4,FALSE)+(VLOOKUP(VLOOKUP(Y$1,main!$A$3:$H$102,8,FALSE),main!$K$19:$O$22,MATCH(VLOOKUP($A65,main!$A$3:$H$102,7,FALSE),main!$K$18:$O$18,0),0))),0)</f>
        <v>0</v>
      </c>
      <c r="Z65">
        <f>IF((gamma!Z65),IF(VLOOKUP(Z$1,main!$A$3:$H$102,7,FALSE)=VLOOKUP($A65,main!$A$3:$H$102,8,FALSE),VLOOKUP(Z$1,main!$A$3:$H$102,4,FALSE),VLOOKUP(Z$1,main!$A$3:$H$102,4,FALSE)+VLOOKUP($A65,main!$A$3:$H$102,4,FALSE)+(VLOOKUP(VLOOKUP(Z$1,main!$A$3:$H$102,8,FALSE),main!$K$19:$O$22,MATCH(VLOOKUP($A65,main!$A$3:$H$102,7,FALSE),main!$K$18:$O$18,0),0))),0)</f>
        <v>313</v>
      </c>
      <c r="AA65">
        <f>IF((gamma!AA65),IF(VLOOKUP(AA$1,main!$A$3:$H$102,7,FALSE)=VLOOKUP($A65,main!$A$3:$H$102,8,FALSE),VLOOKUP(AA$1,main!$A$3:$H$102,4,FALSE),VLOOKUP(AA$1,main!$A$3:$H$102,4,FALSE)+VLOOKUP($A65,main!$A$3:$H$102,4,FALSE)+(VLOOKUP(VLOOKUP(AA$1,main!$A$3:$H$102,8,FALSE),main!$K$19:$O$22,MATCH(VLOOKUP($A65,main!$A$3:$H$102,7,FALSE),main!$K$18:$O$18,0),0))),0)</f>
        <v>313</v>
      </c>
      <c r="AB65">
        <f>IF((gamma!AB65),IF(VLOOKUP(AB$1,main!$A$3:$H$102,7,FALSE)=VLOOKUP($A65,main!$A$3:$H$102,8,FALSE),VLOOKUP(AB$1,main!$A$3:$H$102,4,FALSE),VLOOKUP(AB$1,main!$A$3:$H$102,4,FALSE)+VLOOKUP($A65,main!$A$3:$H$102,4,FALSE)+(VLOOKUP(VLOOKUP(AB$1,main!$A$3:$H$102,8,FALSE),main!$K$19:$O$22,MATCH(VLOOKUP($A65,main!$A$3:$H$102,7,FALSE),main!$K$18:$O$18,0),0))),0)</f>
        <v>0</v>
      </c>
      <c r="AC65">
        <f>IF((gamma!AC65),IF(VLOOKUP(AC$1,main!$A$3:$H$102,7,FALSE)=VLOOKUP($A65,main!$A$3:$H$102,8,FALSE),VLOOKUP(AC$1,main!$A$3:$H$102,4,FALSE),VLOOKUP(AC$1,main!$A$3:$H$102,4,FALSE)+VLOOKUP($A65,main!$A$3:$H$102,4,FALSE)+(VLOOKUP(VLOOKUP(AC$1,main!$A$3:$H$102,8,FALSE),main!$K$19:$O$22,MATCH(VLOOKUP($A65,main!$A$3:$H$102,7,FALSE),main!$K$18:$O$18,0),0))),0)</f>
        <v>0</v>
      </c>
      <c r="AD65">
        <f>IF((gamma!AD65),IF(VLOOKUP(AD$1,main!$A$3:$H$102,7,FALSE)=VLOOKUP($A65,main!$A$3:$H$102,8,FALSE),VLOOKUP(AD$1,main!$A$3:$H$102,4,FALSE),VLOOKUP(AD$1,main!$A$3:$H$102,4,FALSE)+VLOOKUP($A65,main!$A$3:$H$102,4,FALSE)+(VLOOKUP(VLOOKUP(AD$1,main!$A$3:$H$102,8,FALSE),main!$K$19:$O$22,MATCH(VLOOKUP($A65,main!$A$3:$H$102,7,FALSE),main!$K$18:$O$18,0),0))),0)</f>
        <v>0</v>
      </c>
      <c r="AE65">
        <f>IF((gamma!AE65),IF(VLOOKUP(AE$1,main!$A$3:$H$102,7,FALSE)=VLOOKUP($A65,main!$A$3:$H$102,8,FALSE),VLOOKUP(AE$1,main!$A$3:$H$102,4,FALSE),VLOOKUP(AE$1,main!$A$3:$H$102,4,FALSE)+VLOOKUP($A65,main!$A$3:$H$102,4,FALSE)+(VLOOKUP(VLOOKUP(AE$1,main!$A$3:$H$102,8,FALSE),main!$K$19:$O$22,MATCH(VLOOKUP($A65,main!$A$3:$H$102,7,FALSE),main!$K$18:$O$18,0),0))),0)</f>
        <v>313</v>
      </c>
      <c r="AF65">
        <f>IF((gamma!AF65),IF(VLOOKUP(AF$1,main!$A$3:$H$102,7,FALSE)=VLOOKUP($A65,main!$A$3:$H$102,8,FALSE),VLOOKUP(AF$1,main!$A$3:$H$102,4,FALSE),VLOOKUP(AF$1,main!$A$3:$H$102,4,FALSE)+VLOOKUP($A65,main!$A$3:$H$102,4,FALSE)+(VLOOKUP(VLOOKUP(AF$1,main!$A$3:$H$102,8,FALSE),main!$K$19:$O$22,MATCH(VLOOKUP($A65,main!$A$3:$H$102,7,FALSE),main!$K$18:$O$18,0),0))),0)</f>
        <v>273</v>
      </c>
      <c r="AG65">
        <f>IF((gamma!AG65),IF(VLOOKUP(AG$1,main!$A$3:$H$102,7,FALSE)=VLOOKUP($A65,main!$A$3:$H$102,8,FALSE),VLOOKUP(AG$1,main!$A$3:$H$102,4,FALSE),VLOOKUP(AG$1,main!$A$3:$H$102,4,FALSE)+VLOOKUP($A65,main!$A$3:$H$102,4,FALSE)+(VLOOKUP(VLOOKUP(AG$1,main!$A$3:$H$102,8,FALSE),main!$K$19:$O$22,MATCH(VLOOKUP($A65,main!$A$3:$H$102,7,FALSE),main!$K$18:$O$18,0),0))),0)</f>
        <v>0</v>
      </c>
      <c r="AH65">
        <f>IF((gamma!AH65),IF(VLOOKUP(AH$1,main!$A$3:$H$102,7,FALSE)=VLOOKUP($A65,main!$A$3:$H$102,8,FALSE),VLOOKUP(AH$1,main!$A$3:$H$102,4,FALSE),VLOOKUP(AH$1,main!$A$3:$H$102,4,FALSE)+VLOOKUP($A65,main!$A$3:$H$102,4,FALSE)+(VLOOKUP(VLOOKUP(AH$1,main!$A$3:$H$102,8,FALSE),main!$K$19:$O$22,MATCH(VLOOKUP($A65,main!$A$3:$H$102,7,FALSE),main!$K$18:$O$18,0),0))),0)</f>
        <v>0</v>
      </c>
      <c r="AI65">
        <f>IF((gamma!AI65),IF(VLOOKUP(AI$1,main!$A$3:$H$102,7,FALSE)=VLOOKUP($A65,main!$A$3:$H$102,8,FALSE),VLOOKUP(AI$1,main!$A$3:$H$102,4,FALSE),VLOOKUP(AI$1,main!$A$3:$H$102,4,FALSE)+VLOOKUP($A65,main!$A$3:$H$102,4,FALSE)+(VLOOKUP(VLOOKUP(AI$1,main!$A$3:$H$102,8,FALSE),main!$K$19:$O$22,MATCH(VLOOKUP($A65,main!$A$3:$H$102,7,FALSE),main!$K$18:$O$18,0),0))),0)</f>
        <v>0</v>
      </c>
      <c r="AJ65">
        <f>IF((gamma!AJ65),IF(VLOOKUP(AJ$1,main!$A$3:$H$102,7,FALSE)=VLOOKUP($A65,main!$A$3:$H$102,8,FALSE),VLOOKUP(AJ$1,main!$A$3:$H$102,4,FALSE),VLOOKUP(AJ$1,main!$A$3:$H$102,4,FALSE)+VLOOKUP($A65,main!$A$3:$H$102,4,FALSE)+(VLOOKUP(VLOOKUP(AJ$1,main!$A$3:$H$102,8,FALSE),main!$K$19:$O$22,MATCH(VLOOKUP($A65,main!$A$3:$H$102,7,FALSE),main!$K$18:$O$18,0),0))),0)</f>
        <v>135</v>
      </c>
      <c r="AK65">
        <f>IF((gamma!AK65),IF(VLOOKUP(AK$1,main!$A$3:$H$102,7,FALSE)=VLOOKUP($A65,main!$A$3:$H$102,8,FALSE),VLOOKUP(AK$1,main!$A$3:$H$102,4,FALSE),VLOOKUP(AK$1,main!$A$3:$H$102,4,FALSE)+VLOOKUP($A65,main!$A$3:$H$102,4,FALSE)+(VLOOKUP(VLOOKUP(AK$1,main!$A$3:$H$102,8,FALSE),main!$K$19:$O$22,MATCH(VLOOKUP($A65,main!$A$3:$H$102,7,FALSE),main!$K$18:$O$18,0),0))),0)</f>
        <v>135</v>
      </c>
      <c r="AL65">
        <f>IF((gamma!AL65),IF(VLOOKUP(AL$1,main!$A$3:$H$102,7,FALSE)=VLOOKUP($A65,main!$A$3:$H$102,8,FALSE),VLOOKUP(AL$1,main!$A$3:$H$102,4,FALSE),VLOOKUP(AL$1,main!$A$3:$H$102,4,FALSE)+VLOOKUP($A65,main!$A$3:$H$102,4,FALSE)+(VLOOKUP(VLOOKUP(AL$1,main!$A$3:$H$102,8,FALSE),main!$K$19:$O$22,MATCH(VLOOKUP($A65,main!$A$3:$H$102,7,FALSE),main!$K$18:$O$18,0),0))),0)</f>
        <v>135</v>
      </c>
      <c r="AM65">
        <f>IF((gamma!AM65),IF(VLOOKUP(AM$1,main!$A$3:$H$102,7,FALSE)=VLOOKUP($A65,main!$A$3:$H$102,8,FALSE),VLOOKUP(AM$1,main!$A$3:$H$102,4,FALSE),VLOOKUP(AM$1,main!$A$3:$H$102,4,FALSE)+VLOOKUP($A65,main!$A$3:$H$102,4,FALSE)+(VLOOKUP(VLOOKUP(AM$1,main!$A$3:$H$102,8,FALSE),main!$K$19:$O$22,MATCH(VLOOKUP($A65,main!$A$3:$H$102,7,FALSE),main!$K$18:$O$18,0),0))),0)</f>
        <v>135</v>
      </c>
      <c r="AN65">
        <f>IF((gamma!AN65),IF(VLOOKUP(AN$1,main!$A$3:$H$102,7,FALSE)=VLOOKUP($A65,main!$A$3:$H$102,8,FALSE),VLOOKUP(AN$1,main!$A$3:$H$102,4,FALSE),VLOOKUP(AN$1,main!$A$3:$H$102,4,FALSE)+VLOOKUP($A65,main!$A$3:$H$102,4,FALSE)+(VLOOKUP(VLOOKUP(AN$1,main!$A$3:$H$102,8,FALSE),main!$K$19:$O$22,MATCH(VLOOKUP($A65,main!$A$3:$H$102,7,FALSE),main!$K$18:$O$18,0),0))),0)</f>
        <v>135</v>
      </c>
      <c r="AO65">
        <f>IF((gamma!AO65),IF(VLOOKUP(AO$1,main!$A$3:$H$102,7,FALSE)=VLOOKUP($A65,main!$A$3:$H$102,8,FALSE),VLOOKUP(AO$1,main!$A$3:$H$102,4,FALSE),VLOOKUP(AO$1,main!$A$3:$H$102,4,FALSE)+VLOOKUP($A65,main!$A$3:$H$102,4,FALSE)+(VLOOKUP(VLOOKUP(AO$1,main!$A$3:$H$102,8,FALSE),main!$K$19:$O$22,MATCH(VLOOKUP($A65,main!$A$3:$H$102,7,FALSE),main!$K$18:$O$18,0),0))),0)</f>
        <v>0</v>
      </c>
      <c r="AP65">
        <f>IF((gamma!AP65),IF(VLOOKUP(AP$1,main!$A$3:$H$102,7,FALSE)=VLOOKUP($A65,main!$A$3:$H$102,8,FALSE),VLOOKUP(AP$1,main!$A$3:$H$102,4,FALSE),VLOOKUP(AP$1,main!$A$3:$H$102,4,FALSE)+VLOOKUP($A65,main!$A$3:$H$102,4,FALSE)+(VLOOKUP(VLOOKUP(AP$1,main!$A$3:$H$102,8,FALSE),main!$K$19:$O$22,MATCH(VLOOKUP($A65,main!$A$3:$H$102,7,FALSE),main!$K$18:$O$18,0),0))),0)</f>
        <v>75</v>
      </c>
      <c r="AQ65">
        <f>IF((gamma!AQ65),IF(VLOOKUP(AQ$1,main!$A$3:$H$102,7,FALSE)=VLOOKUP($A65,main!$A$3:$H$102,8,FALSE),VLOOKUP(AQ$1,main!$A$3:$H$102,4,FALSE),VLOOKUP(AQ$1,main!$A$3:$H$102,4,FALSE)+VLOOKUP($A65,main!$A$3:$H$102,4,FALSE)+(VLOOKUP(VLOOKUP(AQ$1,main!$A$3:$H$102,8,FALSE),main!$K$19:$O$22,MATCH(VLOOKUP($A65,main!$A$3:$H$102,7,FALSE),main!$K$18:$O$18,0),0))),0)</f>
        <v>0</v>
      </c>
      <c r="AR65">
        <f>IF((gamma!AR65),IF(VLOOKUP(AR$1,main!$A$3:$H$102,7,FALSE)=VLOOKUP($A65,main!$A$3:$H$102,8,FALSE),VLOOKUP(AR$1,main!$A$3:$H$102,4,FALSE),VLOOKUP(AR$1,main!$A$3:$H$102,4,FALSE)+VLOOKUP($A65,main!$A$3:$H$102,4,FALSE)+(VLOOKUP(VLOOKUP(AR$1,main!$A$3:$H$102,8,FALSE),main!$K$19:$O$22,MATCH(VLOOKUP($A65,main!$A$3:$H$102,7,FALSE),main!$K$18:$O$18,0),0))),0)</f>
        <v>0</v>
      </c>
      <c r="AS65">
        <f>IF((gamma!AS65),IF(VLOOKUP(AS$1,main!$A$3:$H$102,7,FALSE)=VLOOKUP($A65,main!$A$3:$H$102,8,FALSE),VLOOKUP(AS$1,main!$A$3:$H$102,4,FALSE),VLOOKUP(AS$1,main!$A$3:$H$102,4,FALSE)+VLOOKUP($A65,main!$A$3:$H$102,4,FALSE)+(VLOOKUP(VLOOKUP(AS$1,main!$A$3:$H$102,8,FALSE),main!$K$19:$O$22,MATCH(VLOOKUP($A65,main!$A$3:$H$102,7,FALSE),main!$K$18:$O$18,0),0))),0)</f>
        <v>120</v>
      </c>
      <c r="AT65">
        <f>IF((gamma!AT65),IF(VLOOKUP(AT$1,main!$A$3:$H$102,7,FALSE)=VLOOKUP($A65,main!$A$3:$H$102,8,FALSE),VLOOKUP(AT$1,main!$A$3:$H$102,4,FALSE),VLOOKUP(AT$1,main!$A$3:$H$102,4,FALSE)+VLOOKUP($A65,main!$A$3:$H$102,4,FALSE)+(VLOOKUP(VLOOKUP(AT$1,main!$A$3:$H$102,8,FALSE),main!$K$19:$O$22,MATCH(VLOOKUP($A65,main!$A$3:$H$102,7,FALSE),main!$K$18:$O$18,0),0))),0)</f>
        <v>130</v>
      </c>
      <c r="AU65">
        <f>IF((gamma!AU65),IF(VLOOKUP(AU$1,main!$A$3:$H$102,7,FALSE)=VLOOKUP($A65,main!$A$3:$H$102,8,FALSE),VLOOKUP(AU$1,main!$A$3:$H$102,4,FALSE),VLOOKUP(AU$1,main!$A$3:$H$102,4,FALSE)+VLOOKUP($A65,main!$A$3:$H$102,4,FALSE)+(VLOOKUP(VLOOKUP(AU$1,main!$A$3:$H$102,8,FALSE),main!$K$19:$O$22,MATCH(VLOOKUP($A65,main!$A$3:$H$102,7,FALSE),main!$K$18:$O$18,0),0))),0)</f>
        <v>0</v>
      </c>
      <c r="AV65">
        <f>IF((gamma!AV65),IF(VLOOKUP(AV$1,main!$A$3:$H$102,7,FALSE)=VLOOKUP($A65,main!$A$3:$H$102,8,FALSE),VLOOKUP(AV$1,main!$A$3:$H$102,4,FALSE),VLOOKUP(AV$1,main!$A$3:$H$102,4,FALSE)+VLOOKUP($A65,main!$A$3:$H$102,4,FALSE)+(VLOOKUP(VLOOKUP(AV$1,main!$A$3:$H$102,8,FALSE),main!$K$19:$O$22,MATCH(VLOOKUP($A65,main!$A$3:$H$102,7,FALSE),main!$K$18:$O$18,0),0))),0)</f>
        <v>0</v>
      </c>
      <c r="AW65">
        <f>IF((gamma!AW65),IF(VLOOKUP(AW$1,main!$A$3:$H$102,7,FALSE)=VLOOKUP($A65,main!$A$3:$H$102,8,FALSE),VLOOKUP(AW$1,main!$A$3:$H$102,4,FALSE),VLOOKUP(AW$1,main!$A$3:$H$102,4,FALSE)+VLOOKUP($A65,main!$A$3:$H$102,4,FALSE)+(VLOOKUP(VLOOKUP(AW$1,main!$A$3:$H$102,8,FALSE),main!$K$19:$O$22,MATCH(VLOOKUP($A65,main!$A$3:$H$102,7,FALSE),main!$K$18:$O$18,0),0))),0)</f>
        <v>120</v>
      </c>
      <c r="AX65">
        <f>IF((gamma!AX65),IF(VLOOKUP(AX$1,main!$A$3:$H$102,7,FALSE)=VLOOKUP($A65,main!$A$3:$H$102,8,FALSE),VLOOKUP(AX$1,main!$A$3:$H$102,4,FALSE),VLOOKUP(AX$1,main!$A$3:$H$102,4,FALSE)+VLOOKUP($A65,main!$A$3:$H$102,4,FALSE)+(VLOOKUP(VLOOKUP(AX$1,main!$A$3:$H$102,8,FALSE),main!$K$19:$O$22,MATCH(VLOOKUP($A65,main!$A$3:$H$102,7,FALSE),main!$K$18:$O$18,0),0))),0)</f>
        <v>0</v>
      </c>
      <c r="AY65">
        <f>IF((gamma!AY65),IF(VLOOKUP(AY$1,main!$A$3:$H$102,7,FALSE)=VLOOKUP($A65,main!$A$3:$H$102,8,FALSE),VLOOKUP(AY$1,main!$A$3:$H$102,4,FALSE),VLOOKUP(AY$1,main!$A$3:$H$102,4,FALSE)+VLOOKUP($A65,main!$A$3:$H$102,4,FALSE)+(VLOOKUP(VLOOKUP(AY$1,main!$A$3:$H$102,8,FALSE),main!$K$19:$O$22,MATCH(VLOOKUP($A65,main!$A$3:$H$102,7,FALSE),main!$K$18:$O$18,0),0))),0)</f>
        <v>0</v>
      </c>
      <c r="AZ65">
        <f>IF((gamma!AZ65),IF(VLOOKUP(AZ$1,main!$A$3:$H$102,7,FALSE)=VLOOKUP($A65,main!$A$3:$H$102,8,FALSE),VLOOKUP(AZ$1,main!$A$3:$H$102,4,FALSE),VLOOKUP(AZ$1,main!$A$3:$H$102,4,FALSE)+VLOOKUP($A65,main!$A$3:$H$102,4,FALSE)+(VLOOKUP(VLOOKUP(AZ$1,main!$A$3:$H$102,8,FALSE),main!$K$19:$O$22,MATCH(VLOOKUP($A65,main!$A$3:$H$102,7,FALSE),main!$K$18:$O$18,0),0))),0)</f>
        <v>0</v>
      </c>
      <c r="BA65">
        <f>IF((gamma!BA65),IF(VLOOKUP(BA$1,main!$A$3:$H$102,7,FALSE)=VLOOKUP($A65,main!$A$3:$H$102,8,FALSE),VLOOKUP(BA$1,main!$A$3:$H$102,4,FALSE),VLOOKUP(BA$1,main!$A$3:$H$102,4,FALSE)+VLOOKUP($A65,main!$A$3:$H$102,4,FALSE)+(VLOOKUP(VLOOKUP(BA$1,main!$A$3:$H$102,8,FALSE),main!$K$19:$O$22,MATCH(VLOOKUP($A65,main!$A$3:$H$102,7,FALSE),main!$K$18:$O$18,0),0))),0)</f>
        <v>0</v>
      </c>
      <c r="BB65">
        <f>IF((gamma!BB65),IF(VLOOKUP(BB$1,main!$A$3:$H$102,7,FALSE)=VLOOKUP($A65,main!$A$3:$H$102,8,FALSE),VLOOKUP(BB$1,main!$A$3:$H$102,4,FALSE),VLOOKUP(BB$1,main!$A$3:$H$102,4,FALSE)+VLOOKUP($A65,main!$A$3:$H$102,4,FALSE)+(VLOOKUP(VLOOKUP(BB$1,main!$A$3:$H$102,8,FALSE),main!$K$19:$O$22,MATCH(VLOOKUP($A65,main!$A$3:$H$102,7,FALSE),main!$K$18:$O$18,0),0))),0)</f>
        <v>0</v>
      </c>
      <c r="BC65">
        <f>IF((gamma!BC65),IF(VLOOKUP(BC$1,main!$A$3:$H$102,7,FALSE)=VLOOKUP($A65,main!$A$3:$H$102,8,FALSE),VLOOKUP(BC$1,main!$A$3:$H$102,4,FALSE),VLOOKUP(BC$1,main!$A$3:$H$102,4,FALSE)+VLOOKUP($A65,main!$A$3:$H$102,4,FALSE)+(VLOOKUP(VLOOKUP(BC$1,main!$A$3:$H$102,8,FALSE),main!$K$19:$O$22,MATCH(VLOOKUP($A65,main!$A$3:$H$102,7,FALSE),main!$K$18:$O$18,0),0))),0)</f>
        <v>310</v>
      </c>
      <c r="BD65">
        <f>IF((gamma!BD65),IF(VLOOKUP(BD$1,main!$A$3:$H$102,7,FALSE)=VLOOKUP($A65,main!$A$3:$H$102,8,FALSE),VLOOKUP(BD$1,main!$A$3:$H$102,4,FALSE),VLOOKUP(BD$1,main!$A$3:$H$102,4,FALSE)+VLOOKUP($A65,main!$A$3:$H$102,4,FALSE)+(VLOOKUP(VLOOKUP(BD$1,main!$A$3:$H$102,8,FALSE),main!$K$19:$O$22,MATCH(VLOOKUP($A65,main!$A$3:$H$102,7,FALSE),main!$K$18:$O$18,0),0))),0)</f>
        <v>310</v>
      </c>
      <c r="BE65">
        <f>IF((gamma!BE65),IF(VLOOKUP(BE$1,main!$A$3:$H$102,7,FALSE)=VLOOKUP($A65,main!$A$3:$H$102,8,FALSE),VLOOKUP(BE$1,main!$A$3:$H$102,4,FALSE),VLOOKUP(BE$1,main!$A$3:$H$102,4,FALSE)+VLOOKUP($A65,main!$A$3:$H$102,4,FALSE)+(VLOOKUP(VLOOKUP(BE$1,main!$A$3:$H$102,8,FALSE),main!$K$19:$O$22,MATCH(VLOOKUP($A65,main!$A$3:$H$102,7,FALSE),main!$K$18:$O$18,0),0))),0)</f>
        <v>310</v>
      </c>
      <c r="BF65">
        <f>IF((gamma!BF65),IF(VLOOKUP(BF$1,main!$A$3:$H$102,7,FALSE)=VLOOKUP($A65,main!$A$3:$H$102,8,FALSE),VLOOKUP(BF$1,main!$A$3:$H$102,4,FALSE),VLOOKUP(BF$1,main!$A$3:$H$102,4,FALSE)+VLOOKUP($A65,main!$A$3:$H$102,4,FALSE)+(VLOOKUP(VLOOKUP(BF$1,main!$A$3:$H$102,8,FALSE),main!$K$19:$O$22,MATCH(VLOOKUP($A65,main!$A$3:$H$102,7,FALSE),main!$K$18:$O$18,0),0))),0)</f>
        <v>0</v>
      </c>
      <c r="BG65">
        <f>IF((gamma!BG65),IF(VLOOKUP(BG$1,main!$A$3:$H$102,7,FALSE)=VLOOKUP($A65,main!$A$3:$H$102,8,FALSE),VLOOKUP(BG$1,main!$A$3:$H$102,4,FALSE),VLOOKUP(BG$1,main!$A$3:$H$102,4,FALSE)+VLOOKUP($A65,main!$A$3:$H$102,4,FALSE)+(VLOOKUP(VLOOKUP(BG$1,main!$A$3:$H$102,8,FALSE),main!$K$19:$O$22,MATCH(VLOOKUP($A65,main!$A$3:$H$102,7,FALSE),main!$K$18:$O$18,0),0))),0)</f>
        <v>0</v>
      </c>
      <c r="BH65">
        <f>IF((gamma!BH65),IF(VLOOKUP(BH$1,main!$A$3:$H$102,7,FALSE)=VLOOKUP($A65,main!$A$3:$H$102,8,FALSE),VLOOKUP(BH$1,main!$A$3:$H$102,4,FALSE),VLOOKUP(BH$1,main!$A$3:$H$102,4,FALSE)+VLOOKUP($A65,main!$A$3:$H$102,4,FALSE)+(VLOOKUP(VLOOKUP(BH$1,main!$A$3:$H$102,8,FALSE),main!$K$19:$O$22,MATCH(VLOOKUP($A65,main!$A$3:$H$102,7,FALSE),main!$K$18:$O$18,0),0))),0)</f>
        <v>0</v>
      </c>
      <c r="BI65">
        <f>IF((gamma!BI65),IF(VLOOKUP(BI$1,main!$A$3:$H$102,7,FALSE)=VLOOKUP($A65,main!$A$3:$H$102,8,FALSE),VLOOKUP(BI$1,main!$A$3:$H$102,4,FALSE),VLOOKUP(BI$1,main!$A$3:$H$102,4,FALSE)+VLOOKUP($A65,main!$A$3:$H$102,4,FALSE)+(VLOOKUP(VLOOKUP(BI$1,main!$A$3:$H$102,8,FALSE),main!$K$19:$O$22,MATCH(VLOOKUP($A65,main!$A$3:$H$102,7,FALSE),main!$K$18:$O$18,0),0))),0)</f>
        <v>230</v>
      </c>
      <c r="BJ65">
        <f>IF((gamma!BJ65),IF(VLOOKUP(BJ$1,main!$A$3:$H$102,7,FALSE)=VLOOKUP($A65,main!$A$3:$H$102,8,FALSE),VLOOKUP(BJ$1,main!$A$3:$H$102,4,FALSE),VLOOKUP(BJ$1,main!$A$3:$H$102,4,FALSE)+VLOOKUP($A65,main!$A$3:$H$102,4,FALSE)+(VLOOKUP(VLOOKUP(BJ$1,main!$A$3:$H$102,8,FALSE),main!$K$19:$O$22,MATCH(VLOOKUP($A65,main!$A$3:$H$102,7,FALSE),main!$K$18:$O$18,0),0))),0)</f>
        <v>260</v>
      </c>
      <c r="BK65">
        <f>IF((gamma!BK65),IF(VLOOKUP(BK$1,main!$A$3:$H$102,7,FALSE)=VLOOKUP($A65,main!$A$3:$H$102,8,FALSE),VLOOKUP(BK$1,main!$A$3:$H$102,4,FALSE),VLOOKUP(BK$1,main!$A$3:$H$102,4,FALSE)+VLOOKUP($A65,main!$A$3:$H$102,4,FALSE)+(VLOOKUP(VLOOKUP(BK$1,main!$A$3:$H$102,8,FALSE),main!$K$19:$O$22,MATCH(VLOOKUP($A65,main!$A$3:$H$102,7,FALSE),main!$K$18:$O$18,0),0))),0)</f>
        <v>0</v>
      </c>
      <c r="BL65">
        <f>IF((gamma!BL65),IF(VLOOKUP(BL$1,main!$A$3:$H$102,7,FALSE)=VLOOKUP($A65,main!$A$3:$H$102,8,FALSE),VLOOKUP(BL$1,main!$A$3:$H$102,4,FALSE),VLOOKUP(BL$1,main!$A$3:$H$102,4,FALSE)+VLOOKUP($A65,main!$A$3:$H$102,4,FALSE)+(VLOOKUP(VLOOKUP(BL$1,main!$A$3:$H$102,8,FALSE),main!$K$19:$O$22,MATCH(VLOOKUP($A65,main!$A$3:$H$102,7,FALSE),main!$K$18:$O$18,0),0))),0)</f>
        <v>0</v>
      </c>
      <c r="BM65">
        <f>IF((gamma!BM65),IF(VLOOKUP(BM$1,main!$A$3:$H$102,7,FALSE)=VLOOKUP($A65,main!$A$3:$H$102,8,FALSE),VLOOKUP(BM$1,main!$A$3:$H$102,4,FALSE),VLOOKUP(BM$1,main!$A$3:$H$102,4,FALSE)+VLOOKUP($A65,main!$A$3:$H$102,4,FALSE)+(VLOOKUP(VLOOKUP(BM$1,main!$A$3:$H$102,8,FALSE),main!$K$19:$O$22,MATCH(VLOOKUP($A65,main!$A$3:$H$102,7,FALSE),main!$K$18:$O$18,0),0))),0)</f>
        <v>0</v>
      </c>
      <c r="BN65">
        <f>IF((gamma!BN65),IF(VLOOKUP(BN$1,main!$A$3:$H$102,7,FALSE)=VLOOKUP($A65,main!$A$3:$H$102,8,FALSE),VLOOKUP(BN$1,main!$A$3:$H$102,4,FALSE),VLOOKUP(BN$1,main!$A$3:$H$102,4,FALSE)+VLOOKUP($A65,main!$A$3:$H$102,4,FALSE)+(VLOOKUP(VLOOKUP(BN$1,main!$A$3:$H$102,8,FALSE),main!$K$19:$O$22,MATCH(VLOOKUP($A65,main!$A$3:$H$102,7,FALSE),main!$K$18:$O$18,0),0))),0)</f>
        <v>288</v>
      </c>
      <c r="BO65">
        <f>IF((gamma!BO65),IF(VLOOKUP(BO$1,main!$A$3:$H$102,7,FALSE)=VLOOKUP($A65,main!$A$3:$H$102,8,FALSE),VLOOKUP(BO$1,main!$A$3:$H$102,4,FALSE),VLOOKUP(BO$1,main!$A$3:$H$102,4,FALSE)+VLOOKUP($A65,main!$A$3:$H$102,4,FALSE)+(VLOOKUP(VLOOKUP(BO$1,main!$A$3:$H$102,8,FALSE),main!$K$19:$O$22,MATCH(VLOOKUP($A65,main!$A$3:$H$102,7,FALSE),main!$K$18:$O$18,0),0))),0)</f>
        <v>0</v>
      </c>
      <c r="BP65">
        <f>IF((gamma!BP65),IF(VLOOKUP(BP$1,main!$A$3:$H$102,7,FALSE)=VLOOKUP($A65,main!$A$3:$H$102,8,FALSE),VLOOKUP(BP$1,main!$A$3:$H$102,4,FALSE),VLOOKUP(BP$1,main!$A$3:$H$102,4,FALSE)+VLOOKUP($A65,main!$A$3:$H$102,4,FALSE)+(VLOOKUP(VLOOKUP(BP$1,main!$A$3:$H$102,8,FALSE),main!$K$19:$O$22,MATCH(VLOOKUP($A65,main!$A$3:$H$102,7,FALSE),main!$K$18:$O$18,0),0))),0)</f>
        <v>0</v>
      </c>
      <c r="BQ65">
        <f>IF((gamma!BQ65),IF(VLOOKUP(BQ$1,main!$A$3:$H$102,7,FALSE)=VLOOKUP($A65,main!$A$3:$H$102,8,FALSE),VLOOKUP(BQ$1,main!$A$3:$H$102,4,FALSE),VLOOKUP(BQ$1,main!$A$3:$H$102,4,FALSE)+VLOOKUP($A65,main!$A$3:$H$102,4,FALSE)+(VLOOKUP(VLOOKUP(BQ$1,main!$A$3:$H$102,8,FALSE),main!$K$19:$O$22,MATCH(VLOOKUP($A65,main!$A$3:$H$102,7,FALSE),main!$K$18:$O$18,0),0))),0)</f>
        <v>0</v>
      </c>
      <c r="BR65">
        <f>IF((gamma!BR65),IF(VLOOKUP(BR$1,main!$A$3:$H$102,7,FALSE)=VLOOKUP($A65,main!$A$3:$H$102,8,FALSE),VLOOKUP(BR$1,main!$A$3:$H$102,4,FALSE),VLOOKUP(BR$1,main!$A$3:$H$102,4,FALSE)+VLOOKUP($A65,main!$A$3:$H$102,4,FALSE)+(VLOOKUP(VLOOKUP(BR$1,main!$A$3:$H$102,8,FALSE),main!$K$19:$O$22,MATCH(VLOOKUP($A65,main!$A$3:$H$102,7,FALSE),main!$K$18:$O$18,0),0))),0)</f>
        <v>0</v>
      </c>
      <c r="BS65">
        <f>IF((gamma!BS65),IF(VLOOKUP(BS$1,main!$A$3:$H$102,7,FALSE)=VLOOKUP($A65,main!$A$3:$H$102,8,FALSE),VLOOKUP(BS$1,main!$A$3:$H$102,4,FALSE),VLOOKUP(BS$1,main!$A$3:$H$102,4,FALSE)+VLOOKUP($A65,main!$A$3:$H$102,4,FALSE)+(VLOOKUP(VLOOKUP(BS$1,main!$A$3:$H$102,8,FALSE),main!$K$19:$O$22,MATCH(VLOOKUP($A65,main!$A$3:$H$102,7,FALSE),main!$K$18:$O$18,0),0))),0)</f>
        <v>0</v>
      </c>
      <c r="BT65">
        <f>IF((gamma!BT65),IF(VLOOKUP(BT$1,main!$A$3:$H$102,7,FALSE)=VLOOKUP($A65,main!$A$3:$H$102,8,FALSE),VLOOKUP(BT$1,main!$A$3:$H$102,4,FALSE),VLOOKUP(BT$1,main!$A$3:$H$102,4,FALSE)+VLOOKUP($A65,main!$A$3:$H$102,4,FALSE)+(VLOOKUP(VLOOKUP(BT$1,main!$A$3:$H$102,8,FALSE),main!$K$19:$O$22,MATCH(VLOOKUP($A65,main!$A$3:$H$102,7,FALSE),main!$K$18:$O$18,0),0))),0)</f>
        <v>0</v>
      </c>
      <c r="BU65">
        <f>IF((gamma!BU65),IF(VLOOKUP(BU$1,main!$A$3:$H$102,7,FALSE)=VLOOKUP($A65,main!$A$3:$H$102,8,FALSE),VLOOKUP(BU$1,main!$A$3:$H$102,4,FALSE),VLOOKUP(BU$1,main!$A$3:$H$102,4,FALSE)+VLOOKUP($A65,main!$A$3:$H$102,4,FALSE)+(VLOOKUP(VLOOKUP(BU$1,main!$A$3:$H$102,8,FALSE),main!$K$19:$O$22,MATCH(VLOOKUP($A65,main!$A$3:$H$102,7,FALSE),main!$K$18:$O$18,0),0))),0)</f>
        <v>0</v>
      </c>
      <c r="BV65">
        <f>IF((gamma!BV65),IF(VLOOKUP(BV$1,main!$A$3:$H$102,7,FALSE)=VLOOKUP($A65,main!$A$3:$H$102,8,FALSE),VLOOKUP(BV$1,main!$A$3:$H$102,4,FALSE),VLOOKUP(BV$1,main!$A$3:$H$102,4,FALSE)+VLOOKUP($A65,main!$A$3:$H$102,4,FALSE)+(VLOOKUP(VLOOKUP(BV$1,main!$A$3:$H$102,8,FALSE),main!$K$19:$O$22,MATCH(VLOOKUP($A65,main!$A$3:$H$102,7,FALSE),main!$K$18:$O$18,0),0))),0)</f>
        <v>0</v>
      </c>
      <c r="BW65">
        <f>IF((gamma!BW65),IF(VLOOKUP(BW$1,main!$A$3:$H$102,7,FALSE)=VLOOKUP($A65,main!$A$3:$H$102,8,FALSE),VLOOKUP(BW$1,main!$A$3:$H$102,4,FALSE),VLOOKUP(BW$1,main!$A$3:$H$102,4,FALSE)+VLOOKUP($A65,main!$A$3:$H$102,4,FALSE)+(VLOOKUP(VLOOKUP(BW$1,main!$A$3:$H$102,8,FALSE),main!$K$19:$O$22,MATCH(VLOOKUP($A65,main!$A$3:$H$102,7,FALSE),main!$K$18:$O$18,0),0))),0)</f>
        <v>0</v>
      </c>
      <c r="BX65">
        <f>IF((gamma!BX65),IF(VLOOKUP(BX$1,main!$A$3:$H$102,7,FALSE)=VLOOKUP($A65,main!$A$3:$H$102,8,FALSE),VLOOKUP(BX$1,main!$A$3:$H$102,4,FALSE),VLOOKUP(BX$1,main!$A$3:$H$102,4,FALSE)+VLOOKUP($A65,main!$A$3:$H$102,4,FALSE)+(VLOOKUP(VLOOKUP(BX$1,main!$A$3:$H$102,8,FALSE),main!$K$19:$O$22,MATCH(VLOOKUP($A65,main!$A$3:$H$102,7,FALSE),main!$K$18:$O$18,0),0))),0)</f>
        <v>0</v>
      </c>
      <c r="BY65">
        <f>IF((gamma!BY65),IF(VLOOKUP(BY$1,main!$A$3:$H$102,7,FALSE)=VLOOKUP($A65,main!$A$3:$H$102,8,FALSE),VLOOKUP(BY$1,main!$A$3:$H$102,4,FALSE),VLOOKUP(BY$1,main!$A$3:$H$102,4,FALSE)+VLOOKUP($A65,main!$A$3:$H$102,4,FALSE)+(VLOOKUP(VLOOKUP(BY$1,main!$A$3:$H$102,8,FALSE),main!$K$19:$O$22,MATCH(VLOOKUP($A65,main!$A$3:$H$102,7,FALSE),main!$K$18:$O$18,0),0))),0)</f>
        <v>293</v>
      </c>
      <c r="BZ65">
        <f>IF((gamma!BZ65),IF(VLOOKUP(BZ$1,main!$A$3:$H$102,7,FALSE)=VLOOKUP($A65,main!$A$3:$H$102,8,FALSE),VLOOKUP(BZ$1,main!$A$3:$H$102,4,FALSE),VLOOKUP(BZ$1,main!$A$3:$H$102,4,FALSE)+VLOOKUP($A65,main!$A$3:$H$102,4,FALSE)+(VLOOKUP(VLOOKUP(BZ$1,main!$A$3:$H$102,8,FALSE),main!$K$19:$O$22,MATCH(VLOOKUP($A65,main!$A$3:$H$102,7,FALSE),main!$K$18:$O$18,0),0))),0)</f>
        <v>0</v>
      </c>
      <c r="CA65">
        <f>IF((gamma!CA65),IF(VLOOKUP(CA$1,main!$A$3:$H$102,7,FALSE)=VLOOKUP($A65,main!$A$3:$H$102,8,FALSE),VLOOKUP(CA$1,main!$A$3:$H$102,4,FALSE),VLOOKUP(CA$1,main!$A$3:$H$102,4,FALSE)+VLOOKUP($A65,main!$A$3:$H$102,4,FALSE)+(VLOOKUP(VLOOKUP(CA$1,main!$A$3:$H$102,8,FALSE),main!$K$19:$O$22,MATCH(VLOOKUP($A65,main!$A$3:$H$102,7,FALSE),main!$K$18:$O$18,0),0))),0)</f>
        <v>0</v>
      </c>
      <c r="CB65">
        <f>IF((gamma!CB65),IF(VLOOKUP(CB$1,main!$A$3:$H$102,7,FALSE)=VLOOKUP($A65,main!$A$3:$H$102,8,FALSE),VLOOKUP(CB$1,main!$A$3:$H$102,4,FALSE),VLOOKUP(CB$1,main!$A$3:$H$102,4,FALSE)+VLOOKUP($A65,main!$A$3:$H$102,4,FALSE)+(VLOOKUP(VLOOKUP(CB$1,main!$A$3:$H$102,8,FALSE),main!$K$19:$O$22,MATCH(VLOOKUP($A65,main!$A$3:$H$102,7,FALSE),main!$K$18:$O$18,0),0))),0)</f>
        <v>238</v>
      </c>
      <c r="CC65">
        <f>IF((gamma!CC65),IF(VLOOKUP(CC$1,main!$A$3:$H$102,7,FALSE)=VLOOKUP($A65,main!$A$3:$H$102,8,FALSE),VLOOKUP(CC$1,main!$A$3:$H$102,4,FALSE),VLOOKUP(CC$1,main!$A$3:$H$102,4,FALSE)+VLOOKUP($A65,main!$A$3:$H$102,4,FALSE)+(VLOOKUP(VLOOKUP(CC$1,main!$A$3:$H$102,8,FALSE),main!$K$19:$O$22,MATCH(VLOOKUP($A65,main!$A$3:$H$102,7,FALSE),main!$K$18:$O$18,0),0))),0)</f>
        <v>228</v>
      </c>
      <c r="CD65">
        <f>IF((gamma!CD65),IF(VLOOKUP(CD$1,main!$A$3:$H$102,7,FALSE)=VLOOKUP($A65,main!$A$3:$H$102,8,FALSE),VLOOKUP(CD$1,main!$A$3:$H$102,4,FALSE),VLOOKUP(CD$1,main!$A$3:$H$102,4,FALSE)+VLOOKUP($A65,main!$A$3:$H$102,4,FALSE)+(VLOOKUP(VLOOKUP(CD$1,main!$A$3:$H$102,8,FALSE),main!$K$19:$O$22,MATCH(VLOOKUP($A65,main!$A$3:$H$102,7,FALSE),main!$K$18:$O$18,0),0))),0)</f>
        <v>287</v>
      </c>
      <c r="CE65">
        <f>IF((gamma!CE65),IF(VLOOKUP(CE$1,main!$A$3:$H$102,7,FALSE)=VLOOKUP($A65,main!$A$3:$H$102,8,FALSE),VLOOKUP(CE$1,main!$A$3:$H$102,4,FALSE),VLOOKUP(CE$1,main!$A$3:$H$102,4,FALSE)+VLOOKUP($A65,main!$A$3:$H$102,4,FALSE)+(VLOOKUP(VLOOKUP(CE$1,main!$A$3:$H$102,8,FALSE),main!$K$19:$O$22,MATCH(VLOOKUP($A65,main!$A$3:$H$102,7,FALSE),main!$K$18:$O$18,0),0))),0)</f>
        <v>0</v>
      </c>
      <c r="CF65">
        <f>IF((gamma!CF65),IF(VLOOKUP(CF$1,main!$A$3:$H$102,7,FALSE)=VLOOKUP($A65,main!$A$3:$H$102,8,FALSE),VLOOKUP(CF$1,main!$A$3:$H$102,4,FALSE),VLOOKUP(CF$1,main!$A$3:$H$102,4,FALSE)+VLOOKUP($A65,main!$A$3:$H$102,4,FALSE)+(VLOOKUP(VLOOKUP(CF$1,main!$A$3:$H$102,8,FALSE),main!$K$19:$O$22,MATCH(VLOOKUP($A65,main!$A$3:$H$102,7,FALSE),main!$K$18:$O$18,0),0))),0)</f>
        <v>0</v>
      </c>
      <c r="CG65">
        <f>IF((gamma!CG65),IF(VLOOKUP(CG$1,main!$A$3:$H$102,7,FALSE)=VLOOKUP($A65,main!$A$3:$H$102,8,FALSE),VLOOKUP(CG$1,main!$A$3:$H$102,4,FALSE),VLOOKUP(CG$1,main!$A$3:$H$102,4,FALSE)+VLOOKUP($A65,main!$A$3:$H$102,4,FALSE)+(VLOOKUP(VLOOKUP(CG$1,main!$A$3:$H$102,8,FALSE),main!$K$19:$O$22,MATCH(VLOOKUP($A65,main!$A$3:$H$102,7,FALSE),main!$K$18:$O$18,0),0))),0)</f>
        <v>0</v>
      </c>
      <c r="CH65">
        <f>IF((gamma!CH65),IF(VLOOKUP(CH$1,main!$A$3:$H$102,7,FALSE)=VLOOKUP($A65,main!$A$3:$H$102,8,FALSE),VLOOKUP(CH$1,main!$A$3:$H$102,4,FALSE),VLOOKUP(CH$1,main!$A$3:$H$102,4,FALSE)+VLOOKUP($A65,main!$A$3:$H$102,4,FALSE)+(VLOOKUP(VLOOKUP(CH$1,main!$A$3:$H$102,8,FALSE),main!$K$19:$O$22,MATCH(VLOOKUP($A65,main!$A$3:$H$102,7,FALSE),main!$K$18:$O$18,0),0))),0)</f>
        <v>310</v>
      </c>
      <c r="CI65">
        <f>IF((gamma!CI65),IF(VLOOKUP(CI$1,main!$A$3:$H$102,7,FALSE)=VLOOKUP($A65,main!$A$3:$H$102,8,FALSE),VLOOKUP(CI$1,main!$A$3:$H$102,4,FALSE),VLOOKUP(CI$1,main!$A$3:$H$102,4,FALSE)+VLOOKUP($A65,main!$A$3:$H$102,4,FALSE)+(VLOOKUP(VLOOKUP(CI$1,main!$A$3:$H$102,8,FALSE),main!$K$19:$O$22,MATCH(VLOOKUP($A65,main!$A$3:$H$102,7,FALSE),main!$K$18:$O$18,0),0))),0)</f>
        <v>310</v>
      </c>
      <c r="CJ65">
        <f>IF((gamma!CJ65),IF(VLOOKUP(CJ$1,main!$A$3:$H$102,7,FALSE)=VLOOKUP($A65,main!$A$3:$H$102,8,FALSE),VLOOKUP(CJ$1,main!$A$3:$H$102,4,FALSE),VLOOKUP(CJ$1,main!$A$3:$H$102,4,FALSE)+VLOOKUP($A65,main!$A$3:$H$102,4,FALSE)+(VLOOKUP(VLOOKUP(CJ$1,main!$A$3:$H$102,8,FALSE),main!$K$19:$O$22,MATCH(VLOOKUP($A65,main!$A$3:$H$102,7,FALSE),main!$K$18:$O$18,0),0))),0)</f>
        <v>0</v>
      </c>
      <c r="CK65">
        <f>IF((gamma!CK65),IF(VLOOKUP(CK$1,main!$A$3:$H$102,7,FALSE)=VLOOKUP($A65,main!$A$3:$H$102,8,FALSE),VLOOKUP(CK$1,main!$A$3:$H$102,4,FALSE),VLOOKUP(CK$1,main!$A$3:$H$102,4,FALSE)+VLOOKUP($A65,main!$A$3:$H$102,4,FALSE)+(VLOOKUP(VLOOKUP(CK$1,main!$A$3:$H$102,8,FALSE),main!$K$19:$O$22,MATCH(VLOOKUP($A65,main!$A$3:$H$102,7,FALSE),main!$K$18:$O$18,0),0))),0)</f>
        <v>0</v>
      </c>
      <c r="CL65">
        <f>IF((gamma!CL65),IF(VLOOKUP(CL$1,main!$A$3:$H$102,7,FALSE)=VLOOKUP($A65,main!$A$3:$H$102,8,FALSE),VLOOKUP(CL$1,main!$A$3:$H$102,4,FALSE),VLOOKUP(CL$1,main!$A$3:$H$102,4,FALSE)+VLOOKUP($A65,main!$A$3:$H$102,4,FALSE)+(VLOOKUP(VLOOKUP(CL$1,main!$A$3:$H$102,8,FALSE),main!$K$19:$O$22,MATCH(VLOOKUP($A65,main!$A$3:$H$102,7,FALSE),main!$K$18:$O$18,0),0))),0)</f>
        <v>0</v>
      </c>
      <c r="CM65">
        <f>IF((gamma!CM65),IF(VLOOKUP(CM$1,main!$A$3:$H$102,7,FALSE)=VLOOKUP($A65,main!$A$3:$H$102,8,FALSE),VLOOKUP(CM$1,main!$A$3:$H$102,4,FALSE),VLOOKUP(CM$1,main!$A$3:$H$102,4,FALSE)+VLOOKUP($A65,main!$A$3:$H$102,4,FALSE)+(VLOOKUP(VLOOKUP(CM$1,main!$A$3:$H$102,8,FALSE),main!$K$19:$O$22,MATCH(VLOOKUP($A65,main!$A$3:$H$102,7,FALSE),main!$K$18:$O$18,0),0))),0)</f>
        <v>270</v>
      </c>
      <c r="CN65">
        <f>IF((gamma!CN65),IF(VLOOKUP(CN$1,main!$A$3:$H$102,7,FALSE)=VLOOKUP($A65,main!$A$3:$H$102,8,FALSE),VLOOKUP(CN$1,main!$A$3:$H$102,4,FALSE),VLOOKUP(CN$1,main!$A$3:$H$102,4,FALSE)+VLOOKUP($A65,main!$A$3:$H$102,4,FALSE)+(VLOOKUP(VLOOKUP(CN$1,main!$A$3:$H$102,8,FALSE),main!$K$19:$O$22,MATCH(VLOOKUP($A65,main!$A$3:$H$102,7,FALSE),main!$K$18:$O$18,0),0))),0)</f>
        <v>266</v>
      </c>
      <c r="CO65">
        <f>IF((gamma!CO65),IF(VLOOKUP(CO$1,main!$A$3:$H$102,7,FALSE)=VLOOKUP($A65,main!$A$3:$H$102,8,FALSE),VLOOKUP(CO$1,main!$A$3:$H$102,4,FALSE),VLOOKUP(CO$1,main!$A$3:$H$102,4,FALSE)+VLOOKUP($A65,main!$A$3:$H$102,4,FALSE)+(VLOOKUP(VLOOKUP(CO$1,main!$A$3:$H$102,8,FALSE),main!$K$19:$O$22,MATCH(VLOOKUP($A65,main!$A$3:$H$102,7,FALSE),main!$K$18:$O$18,0),0))),0)</f>
        <v>0</v>
      </c>
      <c r="CP65">
        <f>IF((gamma!CP65),IF(VLOOKUP(CP$1,main!$A$3:$H$102,7,FALSE)=VLOOKUP($A65,main!$A$3:$H$102,8,FALSE),VLOOKUP(CP$1,main!$A$3:$H$102,4,FALSE),VLOOKUP(CP$1,main!$A$3:$H$102,4,FALSE)+VLOOKUP($A65,main!$A$3:$H$102,4,FALSE)+(VLOOKUP(VLOOKUP(CP$1,main!$A$3:$H$102,8,FALSE),main!$K$19:$O$22,MATCH(VLOOKUP($A65,main!$A$3:$H$102,7,FALSE),main!$K$18:$O$18,0),0))),0)</f>
        <v>0</v>
      </c>
      <c r="CQ65">
        <f>IF((gamma!CQ65),IF(VLOOKUP(CQ$1,main!$A$3:$H$102,7,FALSE)=VLOOKUP($A65,main!$A$3:$H$102,8,FALSE),VLOOKUP(CQ$1,main!$A$3:$H$102,4,FALSE),VLOOKUP(CQ$1,main!$A$3:$H$102,4,FALSE)+VLOOKUP($A65,main!$A$3:$H$102,4,FALSE)+(VLOOKUP(VLOOKUP(CQ$1,main!$A$3:$H$102,8,FALSE),main!$K$19:$O$22,MATCH(VLOOKUP($A65,main!$A$3:$H$102,7,FALSE),main!$K$18:$O$18,0),0))),0)</f>
        <v>0</v>
      </c>
      <c r="CR65">
        <f>IF((gamma!CR65),IF(VLOOKUP(CR$1,main!$A$3:$H$102,7,FALSE)=VLOOKUP($A65,main!$A$3:$H$102,8,FALSE),VLOOKUP(CR$1,main!$A$3:$H$102,4,FALSE),VLOOKUP(CR$1,main!$A$3:$H$102,4,FALSE)+VLOOKUP($A65,main!$A$3:$H$102,4,FALSE)+(VLOOKUP(VLOOKUP(CR$1,main!$A$3:$H$102,8,FALSE),main!$K$19:$O$22,MATCH(VLOOKUP($A65,main!$A$3:$H$102,7,FALSE),main!$K$18:$O$18,0),0))),0)</f>
        <v>275</v>
      </c>
      <c r="CS65">
        <f>IF((gamma!CS65),IF(VLOOKUP(CS$1,main!$A$3:$H$102,7,FALSE)=VLOOKUP($A65,main!$A$3:$H$102,8,FALSE),VLOOKUP(CS$1,main!$A$3:$H$102,4,FALSE),VLOOKUP(CS$1,main!$A$3:$H$102,4,FALSE)+VLOOKUP($A65,main!$A$3:$H$102,4,FALSE)+(VLOOKUP(VLOOKUP(CS$1,main!$A$3:$H$102,8,FALSE),main!$K$19:$O$22,MATCH(VLOOKUP($A65,main!$A$3:$H$102,7,FALSE),main!$K$18:$O$18,0),0))),0)</f>
        <v>275</v>
      </c>
      <c r="CT65">
        <f>IF((gamma!CT65),IF(VLOOKUP(CT$1,main!$A$3:$H$102,7,FALSE)=VLOOKUP($A65,main!$A$3:$H$102,8,FALSE),VLOOKUP(CT$1,main!$A$3:$H$102,4,FALSE),VLOOKUP(CT$1,main!$A$3:$H$102,4,FALSE)+VLOOKUP($A65,main!$A$3:$H$102,4,FALSE)+(VLOOKUP(VLOOKUP(CT$1,main!$A$3:$H$102,8,FALSE),main!$K$19:$O$22,MATCH(VLOOKUP($A65,main!$A$3:$H$102,7,FALSE),main!$K$18:$O$18,0),0))),0)</f>
        <v>0</v>
      </c>
      <c r="CU65">
        <f>IF((gamma!CU65),IF(VLOOKUP(CU$1,main!$A$3:$H$102,7,FALSE)=VLOOKUP($A65,main!$A$3:$H$102,8,FALSE),VLOOKUP(CU$1,main!$A$3:$H$102,4,FALSE),VLOOKUP(CU$1,main!$A$3:$H$102,4,FALSE)+VLOOKUP($A65,main!$A$3:$H$102,4,FALSE)+(VLOOKUP(VLOOKUP(CU$1,main!$A$3:$H$102,8,FALSE),main!$K$19:$O$22,MATCH(VLOOKUP($A65,main!$A$3:$H$102,7,FALSE),main!$K$18:$O$18,0),0))),0)</f>
        <v>0</v>
      </c>
      <c r="CV65">
        <f>IF((gamma!CV65),IF(VLOOKUP(CV$1,main!$A$3:$H$102,7,FALSE)=VLOOKUP($A65,main!$A$3:$H$102,8,FALSE),VLOOKUP(CV$1,main!$A$3:$H$102,4,FALSE),VLOOKUP(CV$1,main!$A$3:$H$102,4,FALSE)+VLOOKUP($A65,main!$A$3:$H$102,4,FALSE)+(VLOOKUP(VLOOKUP(CV$1,main!$A$3:$H$102,8,FALSE),main!$K$19:$O$22,MATCH(VLOOKUP($A65,main!$A$3:$H$102,7,FALSE),main!$K$18:$O$18,0),0))),0)</f>
        <v>0</v>
      </c>
      <c r="CW65">
        <f>IF((gamma!CW65),IF(VLOOKUP(CW$1,main!$A$3:$H$102,7,FALSE)=VLOOKUP($A65,main!$A$3:$H$102,8,FALSE),VLOOKUP(CW$1,main!$A$3:$H$102,4,FALSE),VLOOKUP(CW$1,main!$A$3:$H$102,4,FALSE)+VLOOKUP($A65,main!$A$3:$H$102,4,FALSE)+(VLOOKUP(VLOOKUP(CW$1,main!$A$3:$H$102,8,FALSE),main!$K$19:$O$22,MATCH(VLOOKUP($A65,main!$A$3:$H$102,7,FALSE),main!$K$18:$O$18,0),0))),0)</f>
        <v>235</v>
      </c>
      <c r="CX65">
        <f>IF((gamma!CX65),IF(VLOOKUP(CX$1,main!$A$3:$H$102,7,FALSE)=VLOOKUP($A65,main!$A$3:$H$102,8,FALSE),VLOOKUP(CX$1,main!$A$3:$H$102,4,FALSE),VLOOKUP(CX$1,main!$A$3:$H$102,4,FALSE)+VLOOKUP($A65,main!$A$3:$H$102,4,FALSE)+(VLOOKUP(VLOOKUP(CX$1,main!$A$3:$H$102,8,FALSE),main!$K$19:$O$22,MATCH(VLOOKUP($A65,main!$A$3:$H$102,7,FALSE),main!$K$18:$O$18,0),0))),0)</f>
        <v>225</v>
      </c>
      <c r="CY65">
        <v>0</v>
      </c>
      <c r="CZ65">
        <v>0</v>
      </c>
      <c r="DA65">
        <v>0</v>
      </c>
    </row>
    <row r="66" spans="1:105" x14ac:dyDescent="0.25">
      <c r="A66" s="1">
        <v>64</v>
      </c>
      <c r="B66">
        <v>0</v>
      </c>
      <c r="C66">
        <f>IF((gamma!C66),IF(VLOOKUP(C$1,main!$A$3:$H$102,7,FALSE)=VLOOKUP($A66,main!$A$3:$H$102,8,FALSE),VLOOKUP(C$1,main!$A$3:$H$102,4,FALSE),VLOOKUP(C$1,main!$A$3:$H$102,4,FALSE)+VLOOKUP($A66,main!$A$3:$H$102,4,FALSE)+(VLOOKUP(VLOOKUP(C$1,main!$A$3:$H$102,8,FALSE),main!$K$19:$O$22,MATCH(VLOOKUP($A66,main!$A$3:$H$102,7,FALSE),main!$K$18:$O$18,0),0))),0)</f>
        <v>0</v>
      </c>
      <c r="D66">
        <f>IF((gamma!D66),IF(VLOOKUP(D$1,main!$A$3:$H$102,7,FALSE)=VLOOKUP($A66,main!$A$3:$H$102,8,FALSE),VLOOKUP(D$1,main!$A$3:$H$102,4,FALSE),VLOOKUP(D$1,main!$A$3:$H$102,4,FALSE)+VLOOKUP($A66,main!$A$3:$H$102,4,FALSE)+(VLOOKUP(VLOOKUP(D$1,main!$A$3:$H$102,8,FALSE),main!$K$19:$O$22,MATCH(VLOOKUP($A66,main!$A$3:$H$102,7,FALSE),main!$K$18:$O$18,0),0))),0)</f>
        <v>0</v>
      </c>
      <c r="E66">
        <f>IF((gamma!E66),IF(VLOOKUP(E$1,main!$A$3:$H$102,7,FALSE)=VLOOKUP($A66,main!$A$3:$H$102,8,FALSE),VLOOKUP(E$1,main!$A$3:$H$102,4,FALSE),VLOOKUP(E$1,main!$A$3:$H$102,4,FALSE)+VLOOKUP($A66,main!$A$3:$H$102,4,FALSE)+(VLOOKUP(VLOOKUP(E$1,main!$A$3:$H$102,8,FALSE),main!$K$19:$O$22,MATCH(VLOOKUP($A66,main!$A$3:$H$102,7,FALSE),main!$K$18:$O$18,0),0))),0)</f>
        <v>0</v>
      </c>
      <c r="F66">
        <f>IF((gamma!F66),IF(VLOOKUP(F$1,main!$A$3:$H$102,7,FALSE)=VLOOKUP($A66,main!$A$3:$H$102,8,FALSE),VLOOKUP(F$1,main!$A$3:$H$102,4,FALSE),VLOOKUP(F$1,main!$A$3:$H$102,4,FALSE)+VLOOKUP($A66,main!$A$3:$H$102,4,FALSE)+(VLOOKUP(VLOOKUP(F$1,main!$A$3:$H$102,8,FALSE),main!$K$19:$O$22,MATCH(VLOOKUP($A66,main!$A$3:$H$102,7,FALSE),main!$K$18:$O$18,0),0))),0)</f>
        <v>0</v>
      </c>
      <c r="G66">
        <f>IF((gamma!G66),IF(VLOOKUP(G$1,main!$A$3:$H$102,7,FALSE)=VLOOKUP($A66,main!$A$3:$H$102,8,FALSE),VLOOKUP(G$1,main!$A$3:$H$102,4,FALSE),VLOOKUP(G$1,main!$A$3:$H$102,4,FALSE)+VLOOKUP($A66,main!$A$3:$H$102,4,FALSE)+(VLOOKUP(VLOOKUP(G$1,main!$A$3:$H$102,8,FALSE),main!$K$19:$O$22,MATCH(VLOOKUP($A66,main!$A$3:$H$102,7,FALSE),main!$K$18:$O$18,0),0))),0)</f>
        <v>0</v>
      </c>
      <c r="H66">
        <f>IF((gamma!H66),IF(VLOOKUP(H$1,main!$A$3:$H$102,7,FALSE)=VLOOKUP($A66,main!$A$3:$H$102,8,FALSE),VLOOKUP(H$1,main!$A$3:$H$102,4,FALSE),VLOOKUP(H$1,main!$A$3:$H$102,4,FALSE)+VLOOKUP($A66,main!$A$3:$H$102,4,FALSE)+(VLOOKUP(VLOOKUP(H$1,main!$A$3:$H$102,8,FALSE),main!$K$19:$O$22,MATCH(VLOOKUP($A66,main!$A$3:$H$102,7,FALSE),main!$K$18:$O$18,0),0))),0)</f>
        <v>0</v>
      </c>
      <c r="I66">
        <f>IF((gamma!I66),IF(VLOOKUP(I$1,main!$A$3:$H$102,7,FALSE)=VLOOKUP($A66,main!$A$3:$H$102,8,FALSE),VLOOKUP(I$1,main!$A$3:$H$102,4,FALSE),VLOOKUP(I$1,main!$A$3:$H$102,4,FALSE)+VLOOKUP($A66,main!$A$3:$H$102,4,FALSE)+(VLOOKUP(VLOOKUP(I$1,main!$A$3:$H$102,8,FALSE),main!$K$19:$O$22,MATCH(VLOOKUP($A66,main!$A$3:$H$102,7,FALSE),main!$K$18:$O$18,0),0))),0)</f>
        <v>0</v>
      </c>
      <c r="J66">
        <f>IF((gamma!J66),IF(VLOOKUP(J$1,main!$A$3:$H$102,7,FALSE)=VLOOKUP($A66,main!$A$3:$H$102,8,FALSE),VLOOKUP(J$1,main!$A$3:$H$102,4,FALSE),VLOOKUP(J$1,main!$A$3:$H$102,4,FALSE)+VLOOKUP($A66,main!$A$3:$H$102,4,FALSE)+(VLOOKUP(VLOOKUP(J$1,main!$A$3:$H$102,8,FALSE),main!$K$19:$O$22,MATCH(VLOOKUP($A66,main!$A$3:$H$102,7,FALSE),main!$K$18:$O$18,0),0))),0)</f>
        <v>0</v>
      </c>
      <c r="K66">
        <f>IF((gamma!K66),IF(VLOOKUP(K$1,main!$A$3:$H$102,7,FALSE)=VLOOKUP($A66,main!$A$3:$H$102,8,FALSE),VLOOKUP(K$1,main!$A$3:$H$102,4,FALSE),VLOOKUP(K$1,main!$A$3:$H$102,4,FALSE)+VLOOKUP($A66,main!$A$3:$H$102,4,FALSE)+(VLOOKUP(VLOOKUP(K$1,main!$A$3:$H$102,8,FALSE),main!$K$19:$O$22,MATCH(VLOOKUP($A66,main!$A$3:$H$102,7,FALSE),main!$K$18:$O$18,0),0))),0)</f>
        <v>283</v>
      </c>
      <c r="L66">
        <f>IF((gamma!L66),IF(VLOOKUP(L$1,main!$A$3:$H$102,7,FALSE)=VLOOKUP($A66,main!$A$3:$H$102,8,FALSE),VLOOKUP(L$1,main!$A$3:$H$102,4,FALSE),VLOOKUP(L$1,main!$A$3:$H$102,4,FALSE)+VLOOKUP($A66,main!$A$3:$H$102,4,FALSE)+(VLOOKUP(VLOOKUP(L$1,main!$A$3:$H$102,8,FALSE),main!$K$19:$O$22,MATCH(VLOOKUP($A66,main!$A$3:$H$102,7,FALSE),main!$K$18:$O$18,0),0))),0)</f>
        <v>283</v>
      </c>
      <c r="M66">
        <f>IF((gamma!M66),IF(VLOOKUP(M$1,main!$A$3:$H$102,7,FALSE)=VLOOKUP($A66,main!$A$3:$H$102,8,FALSE),VLOOKUP(M$1,main!$A$3:$H$102,4,FALSE),VLOOKUP(M$1,main!$A$3:$H$102,4,FALSE)+VLOOKUP($A66,main!$A$3:$H$102,4,FALSE)+(VLOOKUP(VLOOKUP(M$1,main!$A$3:$H$102,8,FALSE),main!$K$19:$O$22,MATCH(VLOOKUP($A66,main!$A$3:$H$102,7,FALSE),main!$K$18:$O$18,0),0))),0)</f>
        <v>0</v>
      </c>
      <c r="N66">
        <f>IF((gamma!N66),IF(VLOOKUP(N$1,main!$A$3:$H$102,7,FALSE)=VLOOKUP($A66,main!$A$3:$H$102,8,FALSE),VLOOKUP(N$1,main!$A$3:$H$102,4,FALSE),VLOOKUP(N$1,main!$A$3:$H$102,4,FALSE)+VLOOKUP($A66,main!$A$3:$H$102,4,FALSE)+(VLOOKUP(VLOOKUP(N$1,main!$A$3:$H$102,8,FALSE),main!$K$19:$O$22,MATCH(VLOOKUP($A66,main!$A$3:$H$102,7,FALSE),main!$K$18:$O$18,0),0))),0)</f>
        <v>0</v>
      </c>
      <c r="O66">
        <f>IF((gamma!O66),IF(VLOOKUP(O$1,main!$A$3:$H$102,7,FALSE)=VLOOKUP($A66,main!$A$3:$H$102,8,FALSE),VLOOKUP(O$1,main!$A$3:$H$102,4,FALSE),VLOOKUP(O$1,main!$A$3:$H$102,4,FALSE)+VLOOKUP($A66,main!$A$3:$H$102,4,FALSE)+(VLOOKUP(VLOOKUP(O$1,main!$A$3:$H$102,8,FALSE),main!$K$19:$O$22,MATCH(VLOOKUP($A66,main!$A$3:$H$102,7,FALSE),main!$K$18:$O$18,0),0))),0)</f>
        <v>0</v>
      </c>
      <c r="P66">
        <f>IF((gamma!P66),IF(VLOOKUP(P$1,main!$A$3:$H$102,7,FALSE)=VLOOKUP($A66,main!$A$3:$H$102,8,FALSE),VLOOKUP(P$1,main!$A$3:$H$102,4,FALSE),VLOOKUP(P$1,main!$A$3:$H$102,4,FALSE)+VLOOKUP($A66,main!$A$3:$H$102,4,FALSE)+(VLOOKUP(VLOOKUP(P$1,main!$A$3:$H$102,8,FALSE),main!$K$19:$O$22,MATCH(VLOOKUP($A66,main!$A$3:$H$102,7,FALSE),main!$K$18:$O$18,0),0))),0)</f>
        <v>0</v>
      </c>
      <c r="Q66">
        <f>IF((gamma!Q66),IF(VLOOKUP(Q$1,main!$A$3:$H$102,7,FALSE)=VLOOKUP($A66,main!$A$3:$H$102,8,FALSE),VLOOKUP(Q$1,main!$A$3:$H$102,4,FALSE),VLOOKUP(Q$1,main!$A$3:$H$102,4,FALSE)+VLOOKUP($A66,main!$A$3:$H$102,4,FALSE)+(VLOOKUP(VLOOKUP(Q$1,main!$A$3:$H$102,8,FALSE),main!$K$19:$O$22,MATCH(VLOOKUP($A66,main!$A$3:$H$102,7,FALSE),main!$K$18:$O$18,0),0))),0)</f>
        <v>0</v>
      </c>
      <c r="R66">
        <f>IF((gamma!R66),IF(VLOOKUP(R$1,main!$A$3:$H$102,7,FALSE)=VLOOKUP($A66,main!$A$3:$H$102,8,FALSE),VLOOKUP(R$1,main!$A$3:$H$102,4,FALSE),VLOOKUP(R$1,main!$A$3:$H$102,4,FALSE)+VLOOKUP($A66,main!$A$3:$H$102,4,FALSE)+(VLOOKUP(VLOOKUP(R$1,main!$A$3:$H$102,8,FALSE),main!$K$19:$O$22,MATCH(VLOOKUP($A66,main!$A$3:$H$102,7,FALSE),main!$K$18:$O$18,0),0))),0)</f>
        <v>0</v>
      </c>
      <c r="S66">
        <f>IF((gamma!S66),IF(VLOOKUP(S$1,main!$A$3:$H$102,7,FALSE)=VLOOKUP($A66,main!$A$3:$H$102,8,FALSE),VLOOKUP(S$1,main!$A$3:$H$102,4,FALSE),VLOOKUP(S$1,main!$A$3:$H$102,4,FALSE)+VLOOKUP($A66,main!$A$3:$H$102,4,FALSE)+(VLOOKUP(VLOOKUP(S$1,main!$A$3:$H$102,8,FALSE),main!$K$19:$O$22,MATCH(VLOOKUP($A66,main!$A$3:$H$102,7,FALSE),main!$K$18:$O$18,0),0))),0)</f>
        <v>0</v>
      </c>
      <c r="T66">
        <f>IF((gamma!T66),IF(VLOOKUP(T$1,main!$A$3:$H$102,7,FALSE)=VLOOKUP($A66,main!$A$3:$H$102,8,FALSE),VLOOKUP(T$1,main!$A$3:$H$102,4,FALSE),VLOOKUP(T$1,main!$A$3:$H$102,4,FALSE)+VLOOKUP($A66,main!$A$3:$H$102,4,FALSE)+(VLOOKUP(VLOOKUP(T$1,main!$A$3:$H$102,8,FALSE),main!$K$19:$O$22,MATCH(VLOOKUP($A66,main!$A$3:$H$102,7,FALSE),main!$K$18:$O$18,0),0))),0)</f>
        <v>0</v>
      </c>
      <c r="U66">
        <f>IF((gamma!U66),IF(VLOOKUP(U$1,main!$A$3:$H$102,7,FALSE)=VLOOKUP($A66,main!$A$3:$H$102,8,FALSE),VLOOKUP(U$1,main!$A$3:$H$102,4,FALSE),VLOOKUP(U$1,main!$A$3:$H$102,4,FALSE)+VLOOKUP($A66,main!$A$3:$H$102,4,FALSE)+(VLOOKUP(VLOOKUP(U$1,main!$A$3:$H$102,8,FALSE),main!$K$19:$O$22,MATCH(VLOOKUP($A66,main!$A$3:$H$102,7,FALSE),main!$K$18:$O$18,0),0))),0)</f>
        <v>260</v>
      </c>
      <c r="V66">
        <f>IF((gamma!V66),IF(VLOOKUP(V$1,main!$A$3:$H$102,7,FALSE)=VLOOKUP($A66,main!$A$3:$H$102,8,FALSE),VLOOKUP(V$1,main!$A$3:$H$102,4,FALSE),VLOOKUP(V$1,main!$A$3:$H$102,4,FALSE)+VLOOKUP($A66,main!$A$3:$H$102,4,FALSE)+(VLOOKUP(VLOOKUP(V$1,main!$A$3:$H$102,8,FALSE),main!$K$19:$O$22,MATCH(VLOOKUP($A66,main!$A$3:$H$102,7,FALSE),main!$K$18:$O$18,0),0))),0)</f>
        <v>260</v>
      </c>
      <c r="W66">
        <f>IF((gamma!W66),IF(VLOOKUP(W$1,main!$A$3:$H$102,7,FALSE)=VLOOKUP($A66,main!$A$3:$H$102,8,FALSE),VLOOKUP(W$1,main!$A$3:$H$102,4,FALSE),VLOOKUP(W$1,main!$A$3:$H$102,4,FALSE)+VLOOKUP($A66,main!$A$3:$H$102,4,FALSE)+(VLOOKUP(VLOOKUP(W$1,main!$A$3:$H$102,8,FALSE),main!$K$19:$O$22,MATCH(VLOOKUP($A66,main!$A$3:$H$102,7,FALSE),main!$K$18:$O$18,0),0))),0)</f>
        <v>0</v>
      </c>
      <c r="X66">
        <f>IF((gamma!X66),IF(VLOOKUP(X$1,main!$A$3:$H$102,7,FALSE)=VLOOKUP($A66,main!$A$3:$H$102,8,FALSE),VLOOKUP(X$1,main!$A$3:$H$102,4,FALSE),VLOOKUP(X$1,main!$A$3:$H$102,4,FALSE)+VLOOKUP($A66,main!$A$3:$H$102,4,FALSE)+(VLOOKUP(VLOOKUP(X$1,main!$A$3:$H$102,8,FALSE),main!$K$19:$O$22,MATCH(VLOOKUP($A66,main!$A$3:$H$102,7,FALSE),main!$K$18:$O$18,0),0))),0)</f>
        <v>0</v>
      </c>
      <c r="Y66">
        <f>IF((gamma!Y66),IF(VLOOKUP(Y$1,main!$A$3:$H$102,7,FALSE)=VLOOKUP($A66,main!$A$3:$H$102,8,FALSE),VLOOKUP(Y$1,main!$A$3:$H$102,4,FALSE),VLOOKUP(Y$1,main!$A$3:$H$102,4,FALSE)+VLOOKUP($A66,main!$A$3:$H$102,4,FALSE)+(VLOOKUP(VLOOKUP(Y$1,main!$A$3:$H$102,8,FALSE),main!$K$19:$O$22,MATCH(VLOOKUP($A66,main!$A$3:$H$102,7,FALSE),main!$K$18:$O$18,0),0))),0)</f>
        <v>0</v>
      </c>
      <c r="Z66">
        <f>IF((gamma!Z66),IF(VLOOKUP(Z$1,main!$A$3:$H$102,7,FALSE)=VLOOKUP($A66,main!$A$3:$H$102,8,FALSE),VLOOKUP(Z$1,main!$A$3:$H$102,4,FALSE),VLOOKUP(Z$1,main!$A$3:$H$102,4,FALSE)+VLOOKUP($A66,main!$A$3:$H$102,4,FALSE)+(VLOOKUP(VLOOKUP(Z$1,main!$A$3:$H$102,8,FALSE),main!$K$19:$O$22,MATCH(VLOOKUP($A66,main!$A$3:$H$102,7,FALSE),main!$K$18:$O$18,0),0))),0)</f>
        <v>0</v>
      </c>
      <c r="AA66">
        <f>IF((gamma!AA66),IF(VLOOKUP(AA$1,main!$A$3:$H$102,7,FALSE)=VLOOKUP($A66,main!$A$3:$H$102,8,FALSE),VLOOKUP(AA$1,main!$A$3:$H$102,4,FALSE),VLOOKUP(AA$1,main!$A$3:$H$102,4,FALSE)+VLOOKUP($A66,main!$A$3:$H$102,4,FALSE)+(VLOOKUP(VLOOKUP(AA$1,main!$A$3:$H$102,8,FALSE),main!$K$19:$O$22,MATCH(VLOOKUP($A66,main!$A$3:$H$102,7,FALSE),main!$K$18:$O$18,0),0))),0)</f>
        <v>293</v>
      </c>
      <c r="AB66">
        <f>IF((gamma!AB66),IF(VLOOKUP(AB$1,main!$A$3:$H$102,7,FALSE)=VLOOKUP($A66,main!$A$3:$H$102,8,FALSE),VLOOKUP(AB$1,main!$A$3:$H$102,4,FALSE),VLOOKUP(AB$1,main!$A$3:$H$102,4,FALSE)+VLOOKUP($A66,main!$A$3:$H$102,4,FALSE)+(VLOOKUP(VLOOKUP(AB$1,main!$A$3:$H$102,8,FALSE),main!$K$19:$O$22,MATCH(VLOOKUP($A66,main!$A$3:$H$102,7,FALSE),main!$K$18:$O$18,0),0))),0)</f>
        <v>0</v>
      </c>
      <c r="AC66">
        <f>IF((gamma!AC66),IF(VLOOKUP(AC$1,main!$A$3:$H$102,7,FALSE)=VLOOKUP($A66,main!$A$3:$H$102,8,FALSE),VLOOKUP(AC$1,main!$A$3:$H$102,4,FALSE),VLOOKUP(AC$1,main!$A$3:$H$102,4,FALSE)+VLOOKUP($A66,main!$A$3:$H$102,4,FALSE)+(VLOOKUP(VLOOKUP(AC$1,main!$A$3:$H$102,8,FALSE),main!$K$19:$O$22,MATCH(VLOOKUP($A66,main!$A$3:$H$102,7,FALSE),main!$K$18:$O$18,0),0))),0)</f>
        <v>0</v>
      </c>
      <c r="AD66">
        <f>IF((gamma!AD66),IF(VLOOKUP(AD$1,main!$A$3:$H$102,7,FALSE)=VLOOKUP($A66,main!$A$3:$H$102,8,FALSE),VLOOKUP(AD$1,main!$A$3:$H$102,4,FALSE),VLOOKUP(AD$1,main!$A$3:$H$102,4,FALSE)+VLOOKUP($A66,main!$A$3:$H$102,4,FALSE)+(VLOOKUP(VLOOKUP(AD$1,main!$A$3:$H$102,8,FALSE),main!$K$19:$O$22,MATCH(VLOOKUP($A66,main!$A$3:$H$102,7,FALSE),main!$K$18:$O$18,0),0))),0)</f>
        <v>0</v>
      </c>
      <c r="AE66">
        <f>IF((gamma!AE66),IF(VLOOKUP(AE$1,main!$A$3:$H$102,7,FALSE)=VLOOKUP($A66,main!$A$3:$H$102,8,FALSE),VLOOKUP(AE$1,main!$A$3:$H$102,4,FALSE),VLOOKUP(AE$1,main!$A$3:$H$102,4,FALSE)+VLOOKUP($A66,main!$A$3:$H$102,4,FALSE)+(VLOOKUP(VLOOKUP(AE$1,main!$A$3:$H$102,8,FALSE),main!$K$19:$O$22,MATCH(VLOOKUP($A66,main!$A$3:$H$102,7,FALSE),main!$K$18:$O$18,0),0))),0)</f>
        <v>0</v>
      </c>
      <c r="AF66">
        <f>IF((gamma!AF66),IF(VLOOKUP(AF$1,main!$A$3:$H$102,7,FALSE)=VLOOKUP($A66,main!$A$3:$H$102,8,FALSE),VLOOKUP(AF$1,main!$A$3:$H$102,4,FALSE),VLOOKUP(AF$1,main!$A$3:$H$102,4,FALSE)+VLOOKUP($A66,main!$A$3:$H$102,4,FALSE)+(VLOOKUP(VLOOKUP(AF$1,main!$A$3:$H$102,8,FALSE),main!$K$19:$O$22,MATCH(VLOOKUP($A66,main!$A$3:$H$102,7,FALSE),main!$K$18:$O$18,0),0))),0)</f>
        <v>253</v>
      </c>
      <c r="AG66">
        <f>IF((gamma!AG66),IF(VLOOKUP(AG$1,main!$A$3:$H$102,7,FALSE)=VLOOKUP($A66,main!$A$3:$H$102,8,FALSE),VLOOKUP(AG$1,main!$A$3:$H$102,4,FALSE),VLOOKUP(AG$1,main!$A$3:$H$102,4,FALSE)+VLOOKUP($A66,main!$A$3:$H$102,4,FALSE)+(VLOOKUP(VLOOKUP(AG$1,main!$A$3:$H$102,8,FALSE),main!$K$19:$O$22,MATCH(VLOOKUP($A66,main!$A$3:$H$102,7,FALSE),main!$K$18:$O$18,0),0))),0)</f>
        <v>0</v>
      </c>
      <c r="AH66">
        <f>IF((gamma!AH66),IF(VLOOKUP(AH$1,main!$A$3:$H$102,7,FALSE)=VLOOKUP($A66,main!$A$3:$H$102,8,FALSE),VLOOKUP(AH$1,main!$A$3:$H$102,4,FALSE),VLOOKUP(AH$1,main!$A$3:$H$102,4,FALSE)+VLOOKUP($A66,main!$A$3:$H$102,4,FALSE)+(VLOOKUP(VLOOKUP(AH$1,main!$A$3:$H$102,8,FALSE),main!$K$19:$O$22,MATCH(VLOOKUP($A66,main!$A$3:$H$102,7,FALSE),main!$K$18:$O$18,0),0))),0)</f>
        <v>0</v>
      </c>
      <c r="AI66">
        <f>IF((gamma!AI66),IF(VLOOKUP(AI$1,main!$A$3:$H$102,7,FALSE)=VLOOKUP($A66,main!$A$3:$H$102,8,FALSE),VLOOKUP(AI$1,main!$A$3:$H$102,4,FALSE),VLOOKUP(AI$1,main!$A$3:$H$102,4,FALSE)+VLOOKUP($A66,main!$A$3:$H$102,4,FALSE)+(VLOOKUP(VLOOKUP(AI$1,main!$A$3:$H$102,8,FALSE),main!$K$19:$O$22,MATCH(VLOOKUP($A66,main!$A$3:$H$102,7,FALSE),main!$K$18:$O$18,0),0))),0)</f>
        <v>0</v>
      </c>
      <c r="AJ66">
        <f>IF((gamma!AJ66),IF(VLOOKUP(AJ$1,main!$A$3:$H$102,7,FALSE)=VLOOKUP($A66,main!$A$3:$H$102,8,FALSE),VLOOKUP(AJ$1,main!$A$3:$H$102,4,FALSE),VLOOKUP(AJ$1,main!$A$3:$H$102,4,FALSE)+VLOOKUP($A66,main!$A$3:$H$102,4,FALSE)+(VLOOKUP(VLOOKUP(AJ$1,main!$A$3:$H$102,8,FALSE),main!$K$19:$O$22,MATCH(VLOOKUP($A66,main!$A$3:$H$102,7,FALSE),main!$K$18:$O$18,0),0))),0)</f>
        <v>0</v>
      </c>
      <c r="AK66">
        <f>IF((gamma!AK66),IF(VLOOKUP(AK$1,main!$A$3:$H$102,7,FALSE)=VLOOKUP($A66,main!$A$3:$H$102,8,FALSE),VLOOKUP(AK$1,main!$A$3:$H$102,4,FALSE),VLOOKUP(AK$1,main!$A$3:$H$102,4,FALSE)+VLOOKUP($A66,main!$A$3:$H$102,4,FALSE)+(VLOOKUP(VLOOKUP(AK$1,main!$A$3:$H$102,8,FALSE),main!$K$19:$O$22,MATCH(VLOOKUP($A66,main!$A$3:$H$102,7,FALSE),main!$K$18:$O$18,0),0))),0)</f>
        <v>0</v>
      </c>
      <c r="AL66">
        <f>IF((gamma!AL66),IF(VLOOKUP(AL$1,main!$A$3:$H$102,7,FALSE)=VLOOKUP($A66,main!$A$3:$H$102,8,FALSE),VLOOKUP(AL$1,main!$A$3:$H$102,4,FALSE),VLOOKUP(AL$1,main!$A$3:$H$102,4,FALSE)+VLOOKUP($A66,main!$A$3:$H$102,4,FALSE)+(VLOOKUP(VLOOKUP(AL$1,main!$A$3:$H$102,8,FALSE),main!$K$19:$O$22,MATCH(VLOOKUP($A66,main!$A$3:$H$102,7,FALSE),main!$K$18:$O$18,0),0))),0)</f>
        <v>0</v>
      </c>
      <c r="AM66">
        <f>IF((gamma!AM66),IF(VLOOKUP(AM$1,main!$A$3:$H$102,7,FALSE)=VLOOKUP($A66,main!$A$3:$H$102,8,FALSE),VLOOKUP(AM$1,main!$A$3:$H$102,4,FALSE),VLOOKUP(AM$1,main!$A$3:$H$102,4,FALSE)+VLOOKUP($A66,main!$A$3:$H$102,4,FALSE)+(VLOOKUP(VLOOKUP(AM$1,main!$A$3:$H$102,8,FALSE),main!$K$19:$O$22,MATCH(VLOOKUP($A66,main!$A$3:$H$102,7,FALSE),main!$K$18:$O$18,0),0))),0)</f>
        <v>135</v>
      </c>
      <c r="AN66">
        <f>IF((gamma!AN66),IF(VLOOKUP(AN$1,main!$A$3:$H$102,7,FALSE)=VLOOKUP($A66,main!$A$3:$H$102,8,FALSE),VLOOKUP(AN$1,main!$A$3:$H$102,4,FALSE),VLOOKUP(AN$1,main!$A$3:$H$102,4,FALSE)+VLOOKUP($A66,main!$A$3:$H$102,4,FALSE)+(VLOOKUP(VLOOKUP(AN$1,main!$A$3:$H$102,8,FALSE),main!$K$19:$O$22,MATCH(VLOOKUP($A66,main!$A$3:$H$102,7,FALSE),main!$K$18:$O$18,0),0))),0)</f>
        <v>135</v>
      </c>
      <c r="AO66">
        <f>IF((gamma!AO66),IF(VLOOKUP(AO$1,main!$A$3:$H$102,7,FALSE)=VLOOKUP($A66,main!$A$3:$H$102,8,FALSE),VLOOKUP(AO$1,main!$A$3:$H$102,4,FALSE),VLOOKUP(AO$1,main!$A$3:$H$102,4,FALSE)+VLOOKUP($A66,main!$A$3:$H$102,4,FALSE)+(VLOOKUP(VLOOKUP(AO$1,main!$A$3:$H$102,8,FALSE),main!$K$19:$O$22,MATCH(VLOOKUP($A66,main!$A$3:$H$102,7,FALSE),main!$K$18:$O$18,0),0))),0)</f>
        <v>0</v>
      </c>
      <c r="AP66">
        <f>IF((gamma!AP66),IF(VLOOKUP(AP$1,main!$A$3:$H$102,7,FALSE)=VLOOKUP($A66,main!$A$3:$H$102,8,FALSE),VLOOKUP(AP$1,main!$A$3:$H$102,4,FALSE),VLOOKUP(AP$1,main!$A$3:$H$102,4,FALSE)+VLOOKUP($A66,main!$A$3:$H$102,4,FALSE)+(VLOOKUP(VLOOKUP(AP$1,main!$A$3:$H$102,8,FALSE),main!$K$19:$O$22,MATCH(VLOOKUP($A66,main!$A$3:$H$102,7,FALSE),main!$K$18:$O$18,0),0))),0)</f>
        <v>75</v>
      </c>
      <c r="AQ66">
        <f>IF((gamma!AQ66),IF(VLOOKUP(AQ$1,main!$A$3:$H$102,7,FALSE)=VLOOKUP($A66,main!$A$3:$H$102,8,FALSE),VLOOKUP(AQ$1,main!$A$3:$H$102,4,FALSE),VLOOKUP(AQ$1,main!$A$3:$H$102,4,FALSE)+VLOOKUP($A66,main!$A$3:$H$102,4,FALSE)+(VLOOKUP(VLOOKUP(AQ$1,main!$A$3:$H$102,8,FALSE),main!$K$19:$O$22,MATCH(VLOOKUP($A66,main!$A$3:$H$102,7,FALSE),main!$K$18:$O$18,0),0))),0)</f>
        <v>0</v>
      </c>
      <c r="AR66">
        <f>IF((gamma!AR66),IF(VLOOKUP(AR$1,main!$A$3:$H$102,7,FALSE)=VLOOKUP($A66,main!$A$3:$H$102,8,FALSE),VLOOKUP(AR$1,main!$A$3:$H$102,4,FALSE),VLOOKUP(AR$1,main!$A$3:$H$102,4,FALSE)+VLOOKUP($A66,main!$A$3:$H$102,4,FALSE)+(VLOOKUP(VLOOKUP(AR$1,main!$A$3:$H$102,8,FALSE),main!$K$19:$O$22,MATCH(VLOOKUP($A66,main!$A$3:$H$102,7,FALSE),main!$K$18:$O$18,0),0))),0)</f>
        <v>0</v>
      </c>
      <c r="AS66">
        <f>IF((gamma!AS66),IF(VLOOKUP(AS$1,main!$A$3:$H$102,7,FALSE)=VLOOKUP($A66,main!$A$3:$H$102,8,FALSE),VLOOKUP(AS$1,main!$A$3:$H$102,4,FALSE),VLOOKUP(AS$1,main!$A$3:$H$102,4,FALSE)+VLOOKUP($A66,main!$A$3:$H$102,4,FALSE)+(VLOOKUP(VLOOKUP(AS$1,main!$A$3:$H$102,8,FALSE),main!$K$19:$O$22,MATCH(VLOOKUP($A66,main!$A$3:$H$102,7,FALSE),main!$K$18:$O$18,0),0))),0)</f>
        <v>0</v>
      </c>
      <c r="AT66">
        <f>IF((gamma!AT66),IF(VLOOKUP(AT$1,main!$A$3:$H$102,7,FALSE)=VLOOKUP($A66,main!$A$3:$H$102,8,FALSE),VLOOKUP(AT$1,main!$A$3:$H$102,4,FALSE),VLOOKUP(AT$1,main!$A$3:$H$102,4,FALSE)+VLOOKUP($A66,main!$A$3:$H$102,4,FALSE)+(VLOOKUP(VLOOKUP(AT$1,main!$A$3:$H$102,8,FALSE),main!$K$19:$O$22,MATCH(VLOOKUP($A66,main!$A$3:$H$102,7,FALSE),main!$K$18:$O$18,0),0))),0)</f>
        <v>0</v>
      </c>
      <c r="AU66">
        <f>IF((gamma!AU66),IF(VLOOKUP(AU$1,main!$A$3:$H$102,7,FALSE)=VLOOKUP($A66,main!$A$3:$H$102,8,FALSE),VLOOKUP(AU$1,main!$A$3:$H$102,4,FALSE),VLOOKUP(AU$1,main!$A$3:$H$102,4,FALSE)+VLOOKUP($A66,main!$A$3:$H$102,4,FALSE)+(VLOOKUP(VLOOKUP(AU$1,main!$A$3:$H$102,8,FALSE),main!$K$19:$O$22,MATCH(VLOOKUP($A66,main!$A$3:$H$102,7,FALSE),main!$K$18:$O$18,0),0))),0)</f>
        <v>0</v>
      </c>
      <c r="AV66">
        <f>IF((gamma!AV66),IF(VLOOKUP(AV$1,main!$A$3:$H$102,7,FALSE)=VLOOKUP($A66,main!$A$3:$H$102,8,FALSE),VLOOKUP(AV$1,main!$A$3:$H$102,4,FALSE),VLOOKUP(AV$1,main!$A$3:$H$102,4,FALSE)+VLOOKUP($A66,main!$A$3:$H$102,4,FALSE)+(VLOOKUP(VLOOKUP(AV$1,main!$A$3:$H$102,8,FALSE),main!$K$19:$O$22,MATCH(VLOOKUP($A66,main!$A$3:$H$102,7,FALSE),main!$K$18:$O$18,0),0))),0)</f>
        <v>0</v>
      </c>
      <c r="AW66">
        <f>IF((gamma!AW66),IF(VLOOKUP(AW$1,main!$A$3:$H$102,7,FALSE)=VLOOKUP($A66,main!$A$3:$H$102,8,FALSE),VLOOKUP(AW$1,main!$A$3:$H$102,4,FALSE),VLOOKUP(AW$1,main!$A$3:$H$102,4,FALSE)+VLOOKUP($A66,main!$A$3:$H$102,4,FALSE)+(VLOOKUP(VLOOKUP(AW$1,main!$A$3:$H$102,8,FALSE),main!$K$19:$O$22,MATCH(VLOOKUP($A66,main!$A$3:$H$102,7,FALSE),main!$K$18:$O$18,0),0))),0)</f>
        <v>0</v>
      </c>
      <c r="AX66">
        <f>IF((gamma!AX66),IF(VLOOKUP(AX$1,main!$A$3:$H$102,7,FALSE)=VLOOKUP($A66,main!$A$3:$H$102,8,FALSE),VLOOKUP(AX$1,main!$A$3:$H$102,4,FALSE),VLOOKUP(AX$1,main!$A$3:$H$102,4,FALSE)+VLOOKUP($A66,main!$A$3:$H$102,4,FALSE)+(VLOOKUP(VLOOKUP(AX$1,main!$A$3:$H$102,8,FALSE),main!$K$19:$O$22,MATCH(VLOOKUP($A66,main!$A$3:$H$102,7,FALSE),main!$K$18:$O$18,0),0))),0)</f>
        <v>0</v>
      </c>
      <c r="AY66">
        <f>IF((gamma!AY66),IF(VLOOKUP(AY$1,main!$A$3:$H$102,7,FALSE)=VLOOKUP($A66,main!$A$3:$H$102,8,FALSE),VLOOKUP(AY$1,main!$A$3:$H$102,4,FALSE),VLOOKUP(AY$1,main!$A$3:$H$102,4,FALSE)+VLOOKUP($A66,main!$A$3:$H$102,4,FALSE)+(VLOOKUP(VLOOKUP(AY$1,main!$A$3:$H$102,8,FALSE),main!$K$19:$O$22,MATCH(VLOOKUP($A66,main!$A$3:$H$102,7,FALSE),main!$K$18:$O$18,0),0))),0)</f>
        <v>0</v>
      </c>
      <c r="AZ66">
        <f>IF((gamma!AZ66),IF(VLOOKUP(AZ$1,main!$A$3:$H$102,7,FALSE)=VLOOKUP($A66,main!$A$3:$H$102,8,FALSE),VLOOKUP(AZ$1,main!$A$3:$H$102,4,FALSE),VLOOKUP(AZ$1,main!$A$3:$H$102,4,FALSE)+VLOOKUP($A66,main!$A$3:$H$102,4,FALSE)+(VLOOKUP(VLOOKUP(AZ$1,main!$A$3:$H$102,8,FALSE),main!$K$19:$O$22,MATCH(VLOOKUP($A66,main!$A$3:$H$102,7,FALSE),main!$K$18:$O$18,0),0))),0)</f>
        <v>0</v>
      </c>
      <c r="BA66">
        <f>IF((gamma!BA66),IF(VLOOKUP(BA$1,main!$A$3:$H$102,7,FALSE)=VLOOKUP($A66,main!$A$3:$H$102,8,FALSE),VLOOKUP(BA$1,main!$A$3:$H$102,4,FALSE),VLOOKUP(BA$1,main!$A$3:$H$102,4,FALSE)+VLOOKUP($A66,main!$A$3:$H$102,4,FALSE)+(VLOOKUP(VLOOKUP(BA$1,main!$A$3:$H$102,8,FALSE),main!$K$19:$O$22,MATCH(VLOOKUP($A66,main!$A$3:$H$102,7,FALSE),main!$K$18:$O$18,0),0))),0)</f>
        <v>0</v>
      </c>
      <c r="BB66">
        <f>IF((gamma!BB66),IF(VLOOKUP(BB$1,main!$A$3:$H$102,7,FALSE)=VLOOKUP($A66,main!$A$3:$H$102,8,FALSE),VLOOKUP(BB$1,main!$A$3:$H$102,4,FALSE),VLOOKUP(BB$1,main!$A$3:$H$102,4,FALSE)+VLOOKUP($A66,main!$A$3:$H$102,4,FALSE)+(VLOOKUP(VLOOKUP(BB$1,main!$A$3:$H$102,8,FALSE),main!$K$19:$O$22,MATCH(VLOOKUP($A66,main!$A$3:$H$102,7,FALSE),main!$K$18:$O$18,0),0))),0)</f>
        <v>0</v>
      </c>
      <c r="BC66">
        <f>IF((gamma!BC66),IF(VLOOKUP(BC$1,main!$A$3:$H$102,7,FALSE)=VLOOKUP($A66,main!$A$3:$H$102,8,FALSE),VLOOKUP(BC$1,main!$A$3:$H$102,4,FALSE),VLOOKUP(BC$1,main!$A$3:$H$102,4,FALSE)+VLOOKUP($A66,main!$A$3:$H$102,4,FALSE)+(VLOOKUP(VLOOKUP(BC$1,main!$A$3:$H$102,8,FALSE),main!$K$19:$O$22,MATCH(VLOOKUP($A66,main!$A$3:$H$102,7,FALSE),main!$K$18:$O$18,0),0))),0)</f>
        <v>0</v>
      </c>
      <c r="BD66">
        <f>IF((gamma!BD66),IF(VLOOKUP(BD$1,main!$A$3:$H$102,7,FALSE)=VLOOKUP($A66,main!$A$3:$H$102,8,FALSE),VLOOKUP(BD$1,main!$A$3:$H$102,4,FALSE),VLOOKUP(BD$1,main!$A$3:$H$102,4,FALSE)+VLOOKUP($A66,main!$A$3:$H$102,4,FALSE)+(VLOOKUP(VLOOKUP(BD$1,main!$A$3:$H$102,8,FALSE),main!$K$19:$O$22,MATCH(VLOOKUP($A66,main!$A$3:$H$102,7,FALSE),main!$K$18:$O$18,0),0))),0)</f>
        <v>0</v>
      </c>
      <c r="BE66">
        <f>IF((gamma!BE66),IF(VLOOKUP(BE$1,main!$A$3:$H$102,7,FALSE)=VLOOKUP($A66,main!$A$3:$H$102,8,FALSE),VLOOKUP(BE$1,main!$A$3:$H$102,4,FALSE),VLOOKUP(BE$1,main!$A$3:$H$102,4,FALSE)+VLOOKUP($A66,main!$A$3:$H$102,4,FALSE)+(VLOOKUP(VLOOKUP(BE$1,main!$A$3:$H$102,8,FALSE),main!$K$19:$O$22,MATCH(VLOOKUP($A66,main!$A$3:$H$102,7,FALSE),main!$K$18:$O$18,0),0))),0)</f>
        <v>0</v>
      </c>
      <c r="BF66">
        <f>IF((gamma!BF66),IF(VLOOKUP(BF$1,main!$A$3:$H$102,7,FALSE)=VLOOKUP($A66,main!$A$3:$H$102,8,FALSE),VLOOKUP(BF$1,main!$A$3:$H$102,4,FALSE),VLOOKUP(BF$1,main!$A$3:$H$102,4,FALSE)+VLOOKUP($A66,main!$A$3:$H$102,4,FALSE)+(VLOOKUP(VLOOKUP(BF$1,main!$A$3:$H$102,8,FALSE),main!$K$19:$O$22,MATCH(VLOOKUP($A66,main!$A$3:$H$102,7,FALSE),main!$K$18:$O$18,0),0))),0)</f>
        <v>0</v>
      </c>
      <c r="BG66">
        <f>IF((gamma!BG66),IF(VLOOKUP(BG$1,main!$A$3:$H$102,7,FALSE)=VLOOKUP($A66,main!$A$3:$H$102,8,FALSE),VLOOKUP(BG$1,main!$A$3:$H$102,4,FALSE),VLOOKUP(BG$1,main!$A$3:$H$102,4,FALSE)+VLOOKUP($A66,main!$A$3:$H$102,4,FALSE)+(VLOOKUP(VLOOKUP(BG$1,main!$A$3:$H$102,8,FALSE),main!$K$19:$O$22,MATCH(VLOOKUP($A66,main!$A$3:$H$102,7,FALSE),main!$K$18:$O$18,0),0))),0)</f>
        <v>0</v>
      </c>
      <c r="BH66">
        <f>IF((gamma!BH66),IF(VLOOKUP(BH$1,main!$A$3:$H$102,7,FALSE)=VLOOKUP($A66,main!$A$3:$H$102,8,FALSE),VLOOKUP(BH$1,main!$A$3:$H$102,4,FALSE),VLOOKUP(BH$1,main!$A$3:$H$102,4,FALSE)+VLOOKUP($A66,main!$A$3:$H$102,4,FALSE)+(VLOOKUP(VLOOKUP(BH$1,main!$A$3:$H$102,8,FALSE),main!$K$19:$O$22,MATCH(VLOOKUP($A66,main!$A$3:$H$102,7,FALSE),main!$K$18:$O$18,0),0))),0)</f>
        <v>0</v>
      </c>
      <c r="BI66">
        <f>IF((gamma!BI66),IF(VLOOKUP(BI$1,main!$A$3:$H$102,7,FALSE)=VLOOKUP($A66,main!$A$3:$H$102,8,FALSE),VLOOKUP(BI$1,main!$A$3:$H$102,4,FALSE),VLOOKUP(BI$1,main!$A$3:$H$102,4,FALSE)+VLOOKUP($A66,main!$A$3:$H$102,4,FALSE)+(VLOOKUP(VLOOKUP(BI$1,main!$A$3:$H$102,8,FALSE),main!$K$19:$O$22,MATCH(VLOOKUP($A66,main!$A$3:$H$102,7,FALSE),main!$K$18:$O$18,0),0))),0)</f>
        <v>210</v>
      </c>
      <c r="BJ66">
        <f>IF((gamma!BJ66),IF(VLOOKUP(BJ$1,main!$A$3:$H$102,7,FALSE)=VLOOKUP($A66,main!$A$3:$H$102,8,FALSE),VLOOKUP(BJ$1,main!$A$3:$H$102,4,FALSE),VLOOKUP(BJ$1,main!$A$3:$H$102,4,FALSE)+VLOOKUP($A66,main!$A$3:$H$102,4,FALSE)+(VLOOKUP(VLOOKUP(BJ$1,main!$A$3:$H$102,8,FALSE),main!$K$19:$O$22,MATCH(VLOOKUP($A66,main!$A$3:$H$102,7,FALSE),main!$K$18:$O$18,0),0))),0)</f>
        <v>0</v>
      </c>
      <c r="BK66">
        <f>IF((gamma!BK66),IF(VLOOKUP(BK$1,main!$A$3:$H$102,7,FALSE)=VLOOKUP($A66,main!$A$3:$H$102,8,FALSE),VLOOKUP(BK$1,main!$A$3:$H$102,4,FALSE),VLOOKUP(BK$1,main!$A$3:$H$102,4,FALSE)+VLOOKUP($A66,main!$A$3:$H$102,4,FALSE)+(VLOOKUP(VLOOKUP(BK$1,main!$A$3:$H$102,8,FALSE),main!$K$19:$O$22,MATCH(VLOOKUP($A66,main!$A$3:$H$102,7,FALSE),main!$K$18:$O$18,0),0))),0)</f>
        <v>0</v>
      </c>
      <c r="BL66">
        <f>IF((gamma!BL66),IF(VLOOKUP(BL$1,main!$A$3:$H$102,7,FALSE)=VLOOKUP($A66,main!$A$3:$H$102,8,FALSE),VLOOKUP(BL$1,main!$A$3:$H$102,4,FALSE),VLOOKUP(BL$1,main!$A$3:$H$102,4,FALSE)+VLOOKUP($A66,main!$A$3:$H$102,4,FALSE)+(VLOOKUP(VLOOKUP(BL$1,main!$A$3:$H$102,8,FALSE),main!$K$19:$O$22,MATCH(VLOOKUP($A66,main!$A$3:$H$102,7,FALSE),main!$K$18:$O$18,0),0))),0)</f>
        <v>0</v>
      </c>
      <c r="BM66">
        <f>IF((gamma!BM66),IF(VLOOKUP(BM$1,main!$A$3:$H$102,7,FALSE)=VLOOKUP($A66,main!$A$3:$H$102,8,FALSE),VLOOKUP(BM$1,main!$A$3:$H$102,4,FALSE),VLOOKUP(BM$1,main!$A$3:$H$102,4,FALSE)+VLOOKUP($A66,main!$A$3:$H$102,4,FALSE)+(VLOOKUP(VLOOKUP(BM$1,main!$A$3:$H$102,8,FALSE),main!$K$19:$O$22,MATCH(VLOOKUP($A66,main!$A$3:$H$102,7,FALSE),main!$K$18:$O$18,0),0))),0)</f>
        <v>0</v>
      </c>
      <c r="BN66">
        <f>IF((gamma!BN66),IF(VLOOKUP(BN$1,main!$A$3:$H$102,7,FALSE)=VLOOKUP($A66,main!$A$3:$H$102,8,FALSE),VLOOKUP(BN$1,main!$A$3:$H$102,4,FALSE),VLOOKUP(BN$1,main!$A$3:$H$102,4,FALSE)+VLOOKUP($A66,main!$A$3:$H$102,4,FALSE)+(VLOOKUP(VLOOKUP(BN$1,main!$A$3:$H$102,8,FALSE),main!$K$19:$O$22,MATCH(VLOOKUP($A66,main!$A$3:$H$102,7,FALSE),main!$K$18:$O$18,0),0))),0)</f>
        <v>0</v>
      </c>
      <c r="BO66">
        <f>IF((gamma!BO66),IF(VLOOKUP(BO$1,main!$A$3:$H$102,7,FALSE)=VLOOKUP($A66,main!$A$3:$H$102,8,FALSE),VLOOKUP(BO$1,main!$A$3:$H$102,4,FALSE),VLOOKUP(BO$1,main!$A$3:$H$102,4,FALSE)+VLOOKUP($A66,main!$A$3:$H$102,4,FALSE)+(VLOOKUP(VLOOKUP(BO$1,main!$A$3:$H$102,8,FALSE),main!$K$19:$O$22,MATCH(VLOOKUP($A66,main!$A$3:$H$102,7,FALSE),main!$K$18:$O$18,0),0))),0)</f>
        <v>0</v>
      </c>
      <c r="BP66">
        <f>IF((gamma!BP66),IF(VLOOKUP(BP$1,main!$A$3:$H$102,7,FALSE)=VLOOKUP($A66,main!$A$3:$H$102,8,FALSE),VLOOKUP(BP$1,main!$A$3:$H$102,4,FALSE),VLOOKUP(BP$1,main!$A$3:$H$102,4,FALSE)+VLOOKUP($A66,main!$A$3:$H$102,4,FALSE)+(VLOOKUP(VLOOKUP(BP$1,main!$A$3:$H$102,8,FALSE),main!$K$19:$O$22,MATCH(VLOOKUP($A66,main!$A$3:$H$102,7,FALSE),main!$K$18:$O$18,0),0))),0)</f>
        <v>0</v>
      </c>
      <c r="BQ66">
        <f>IF((gamma!BQ66),IF(VLOOKUP(BQ$1,main!$A$3:$H$102,7,FALSE)=VLOOKUP($A66,main!$A$3:$H$102,8,FALSE),VLOOKUP(BQ$1,main!$A$3:$H$102,4,FALSE),VLOOKUP(BQ$1,main!$A$3:$H$102,4,FALSE)+VLOOKUP($A66,main!$A$3:$H$102,4,FALSE)+(VLOOKUP(VLOOKUP(BQ$1,main!$A$3:$H$102,8,FALSE),main!$K$19:$O$22,MATCH(VLOOKUP($A66,main!$A$3:$H$102,7,FALSE),main!$K$18:$O$18,0),0))),0)</f>
        <v>0</v>
      </c>
      <c r="BR66">
        <f>IF((gamma!BR66),IF(VLOOKUP(BR$1,main!$A$3:$H$102,7,FALSE)=VLOOKUP($A66,main!$A$3:$H$102,8,FALSE),VLOOKUP(BR$1,main!$A$3:$H$102,4,FALSE),VLOOKUP(BR$1,main!$A$3:$H$102,4,FALSE)+VLOOKUP($A66,main!$A$3:$H$102,4,FALSE)+(VLOOKUP(VLOOKUP(BR$1,main!$A$3:$H$102,8,FALSE),main!$K$19:$O$22,MATCH(VLOOKUP($A66,main!$A$3:$H$102,7,FALSE),main!$K$18:$O$18,0),0))),0)</f>
        <v>0</v>
      </c>
      <c r="BS66">
        <f>IF((gamma!BS66),IF(VLOOKUP(BS$1,main!$A$3:$H$102,7,FALSE)=VLOOKUP($A66,main!$A$3:$H$102,8,FALSE),VLOOKUP(BS$1,main!$A$3:$H$102,4,FALSE),VLOOKUP(BS$1,main!$A$3:$H$102,4,FALSE)+VLOOKUP($A66,main!$A$3:$H$102,4,FALSE)+(VLOOKUP(VLOOKUP(BS$1,main!$A$3:$H$102,8,FALSE),main!$K$19:$O$22,MATCH(VLOOKUP($A66,main!$A$3:$H$102,7,FALSE),main!$K$18:$O$18,0),0))),0)</f>
        <v>0</v>
      </c>
      <c r="BT66">
        <f>IF((gamma!BT66),IF(VLOOKUP(BT$1,main!$A$3:$H$102,7,FALSE)=VLOOKUP($A66,main!$A$3:$H$102,8,FALSE),VLOOKUP(BT$1,main!$A$3:$H$102,4,FALSE),VLOOKUP(BT$1,main!$A$3:$H$102,4,FALSE)+VLOOKUP($A66,main!$A$3:$H$102,4,FALSE)+(VLOOKUP(VLOOKUP(BT$1,main!$A$3:$H$102,8,FALSE),main!$K$19:$O$22,MATCH(VLOOKUP($A66,main!$A$3:$H$102,7,FALSE),main!$K$18:$O$18,0),0))),0)</f>
        <v>0</v>
      </c>
      <c r="BU66">
        <f>IF((gamma!BU66),IF(VLOOKUP(BU$1,main!$A$3:$H$102,7,FALSE)=VLOOKUP($A66,main!$A$3:$H$102,8,FALSE),VLOOKUP(BU$1,main!$A$3:$H$102,4,FALSE),VLOOKUP(BU$1,main!$A$3:$H$102,4,FALSE)+VLOOKUP($A66,main!$A$3:$H$102,4,FALSE)+(VLOOKUP(VLOOKUP(BU$1,main!$A$3:$H$102,8,FALSE),main!$K$19:$O$22,MATCH(VLOOKUP($A66,main!$A$3:$H$102,7,FALSE),main!$K$18:$O$18,0),0))),0)</f>
        <v>0</v>
      </c>
      <c r="BV66">
        <f>IF((gamma!BV66),IF(VLOOKUP(BV$1,main!$A$3:$H$102,7,FALSE)=VLOOKUP($A66,main!$A$3:$H$102,8,FALSE),VLOOKUP(BV$1,main!$A$3:$H$102,4,FALSE),VLOOKUP(BV$1,main!$A$3:$H$102,4,FALSE)+VLOOKUP($A66,main!$A$3:$H$102,4,FALSE)+(VLOOKUP(VLOOKUP(BV$1,main!$A$3:$H$102,8,FALSE),main!$K$19:$O$22,MATCH(VLOOKUP($A66,main!$A$3:$H$102,7,FALSE),main!$K$18:$O$18,0),0))),0)</f>
        <v>0</v>
      </c>
      <c r="BW66">
        <f>IF((gamma!BW66),IF(VLOOKUP(BW$1,main!$A$3:$H$102,7,FALSE)=VLOOKUP($A66,main!$A$3:$H$102,8,FALSE),VLOOKUP(BW$1,main!$A$3:$H$102,4,FALSE),VLOOKUP(BW$1,main!$A$3:$H$102,4,FALSE)+VLOOKUP($A66,main!$A$3:$H$102,4,FALSE)+(VLOOKUP(VLOOKUP(BW$1,main!$A$3:$H$102,8,FALSE),main!$K$19:$O$22,MATCH(VLOOKUP($A66,main!$A$3:$H$102,7,FALSE),main!$K$18:$O$18,0),0))),0)</f>
        <v>0</v>
      </c>
      <c r="BX66">
        <f>IF((gamma!BX66),IF(VLOOKUP(BX$1,main!$A$3:$H$102,7,FALSE)=VLOOKUP($A66,main!$A$3:$H$102,8,FALSE),VLOOKUP(BX$1,main!$A$3:$H$102,4,FALSE),VLOOKUP(BX$1,main!$A$3:$H$102,4,FALSE)+VLOOKUP($A66,main!$A$3:$H$102,4,FALSE)+(VLOOKUP(VLOOKUP(BX$1,main!$A$3:$H$102,8,FALSE),main!$K$19:$O$22,MATCH(VLOOKUP($A66,main!$A$3:$H$102,7,FALSE),main!$K$18:$O$18,0),0))),0)</f>
        <v>0</v>
      </c>
      <c r="BY66">
        <f>IF((gamma!BY66),IF(VLOOKUP(BY$1,main!$A$3:$H$102,7,FALSE)=VLOOKUP($A66,main!$A$3:$H$102,8,FALSE),VLOOKUP(BY$1,main!$A$3:$H$102,4,FALSE),VLOOKUP(BY$1,main!$A$3:$H$102,4,FALSE)+VLOOKUP($A66,main!$A$3:$H$102,4,FALSE)+(VLOOKUP(VLOOKUP(BY$1,main!$A$3:$H$102,8,FALSE),main!$K$19:$O$22,MATCH(VLOOKUP($A66,main!$A$3:$H$102,7,FALSE),main!$K$18:$O$18,0),0))),0)</f>
        <v>0</v>
      </c>
      <c r="BZ66">
        <f>IF((gamma!BZ66),IF(VLOOKUP(BZ$1,main!$A$3:$H$102,7,FALSE)=VLOOKUP($A66,main!$A$3:$H$102,8,FALSE),VLOOKUP(BZ$1,main!$A$3:$H$102,4,FALSE),VLOOKUP(BZ$1,main!$A$3:$H$102,4,FALSE)+VLOOKUP($A66,main!$A$3:$H$102,4,FALSE)+(VLOOKUP(VLOOKUP(BZ$1,main!$A$3:$H$102,8,FALSE),main!$K$19:$O$22,MATCH(VLOOKUP($A66,main!$A$3:$H$102,7,FALSE),main!$K$18:$O$18,0),0))),0)</f>
        <v>0</v>
      </c>
      <c r="CA66">
        <f>IF((gamma!CA66),IF(VLOOKUP(CA$1,main!$A$3:$H$102,7,FALSE)=VLOOKUP($A66,main!$A$3:$H$102,8,FALSE),VLOOKUP(CA$1,main!$A$3:$H$102,4,FALSE),VLOOKUP(CA$1,main!$A$3:$H$102,4,FALSE)+VLOOKUP($A66,main!$A$3:$H$102,4,FALSE)+(VLOOKUP(VLOOKUP(CA$1,main!$A$3:$H$102,8,FALSE),main!$K$19:$O$22,MATCH(VLOOKUP($A66,main!$A$3:$H$102,7,FALSE),main!$K$18:$O$18,0),0))),0)</f>
        <v>0</v>
      </c>
      <c r="CB66">
        <f>IF((gamma!CB66),IF(VLOOKUP(CB$1,main!$A$3:$H$102,7,FALSE)=VLOOKUP($A66,main!$A$3:$H$102,8,FALSE),VLOOKUP(CB$1,main!$A$3:$H$102,4,FALSE),VLOOKUP(CB$1,main!$A$3:$H$102,4,FALSE)+VLOOKUP($A66,main!$A$3:$H$102,4,FALSE)+(VLOOKUP(VLOOKUP(CB$1,main!$A$3:$H$102,8,FALSE),main!$K$19:$O$22,MATCH(VLOOKUP($A66,main!$A$3:$H$102,7,FALSE),main!$K$18:$O$18,0),0))),0)</f>
        <v>0</v>
      </c>
      <c r="CC66">
        <f>IF((gamma!CC66),IF(VLOOKUP(CC$1,main!$A$3:$H$102,7,FALSE)=VLOOKUP($A66,main!$A$3:$H$102,8,FALSE),VLOOKUP(CC$1,main!$A$3:$H$102,4,FALSE),VLOOKUP(CC$1,main!$A$3:$H$102,4,FALSE)+VLOOKUP($A66,main!$A$3:$H$102,4,FALSE)+(VLOOKUP(VLOOKUP(CC$1,main!$A$3:$H$102,8,FALSE),main!$K$19:$O$22,MATCH(VLOOKUP($A66,main!$A$3:$H$102,7,FALSE),main!$K$18:$O$18,0),0))),0)</f>
        <v>208</v>
      </c>
      <c r="CD66">
        <f>IF((gamma!CD66),IF(VLOOKUP(CD$1,main!$A$3:$H$102,7,FALSE)=VLOOKUP($A66,main!$A$3:$H$102,8,FALSE),VLOOKUP(CD$1,main!$A$3:$H$102,4,FALSE),VLOOKUP(CD$1,main!$A$3:$H$102,4,FALSE)+VLOOKUP($A66,main!$A$3:$H$102,4,FALSE)+(VLOOKUP(VLOOKUP(CD$1,main!$A$3:$H$102,8,FALSE),main!$K$19:$O$22,MATCH(VLOOKUP($A66,main!$A$3:$H$102,7,FALSE),main!$K$18:$O$18,0),0))),0)</f>
        <v>0</v>
      </c>
      <c r="CE66">
        <f>IF((gamma!CE66),IF(VLOOKUP(CE$1,main!$A$3:$H$102,7,FALSE)=VLOOKUP($A66,main!$A$3:$H$102,8,FALSE),VLOOKUP(CE$1,main!$A$3:$H$102,4,FALSE),VLOOKUP(CE$1,main!$A$3:$H$102,4,FALSE)+VLOOKUP($A66,main!$A$3:$H$102,4,FALSE)+(VLOOKUP(VLOOKUP(CE$1,main!$A$3:$H$102,8,FALSE),main!$K$19:$O$22,MATCH(VLOOKUP($A66,main!$A$3:$H$102,7,FALSE),main!$K$18:$O$18,0),0))),0)</f>
        <v>0</v>
      </c>
      <c r="CF66">
        <f>IF((gamma!CF66),IF(VLOOKUP(CF$1,main!$A$3:$H$102,7,FALSE)=VLOOKUP($A66,main!$A$3:$H$102,8,FALSE),VLOOKUP(CF$1,main!$A$3:$H$102,4,FALSE),VLOOKUP(CF$1,main!$A$3:$H$102,4,FALSE)+VLOOKUP($A66,main!$A$3:$H$102,4,FALSE)+(VLOOKUP(VLOOKUP(CF$1,main!$A$3:$H$102,8,FALSE),main!$K$19:$O$22,MATCH(VLOOKUP($A66,main!$A$3:$H$102,7,FALSE),main!$K$18:$O$18,0),0))),0)</f>
        <v>0</v>
      </c>
      <c r="CG66">
        <f>IF((gamma!CG66),IF(VLOOKUP(CG$1,main!$A$3:$H$102,7,FALSE)=VLOOKUP($A66,main!$A$3:$H$102,8,FALSE),VLOOKUP(CG$1,main!$A$3:$H$102,4,FALSE),VLOOKUP(CG$1,main!$A$3:$H$102,4,FALSE)+VLOOKUP($A66,main!$A$3:$H$102,4,FALSE)+(VLOOKUP(VLOOKUP(CG$1,main!$A$3:$H$102,8,FALSE),main!$K$19:$O$22,MATCH(VLOOKUP($A66,main!$A$3:$H$102,7,FALSE),main!$K$18:$O$18,0),0))),0)</f>
        <v>0</v>
      </c>
      <c r="CH66">
        <f>IF((gamma!CH66),IF(VLOOKUP(CH$1,main!$A$3:$H$102,7,FALSE)=VLOOKUP($A66,main!$A$3:$H$102,8,FALSE),VLOOKUP(CH$1,main!$A$3:$H$102,4,FALSE),VLOOKUP(CH$1,main!$A$3:$H$102,4,FALSE)+VLOOKUP($A66,main!$A$3:$H$102,4,FALSE)+(VLOOKUP(VLOOKUP(CH$1,main!$A$3:$H$102,8,FALSE),main!$K$19:$O$22,MATCH(VLOOKUP($A66,main!$A$3:$H$102,7,FALSE),main!$K$18:$O$18,0),0))),0)</f>
        <v>0</v>
      </c>
      <c r="CI66">
        <f>IF((gamma!CI66),IF(VLOOKUP(CI$1,main!$A$3:$H$102,7,FALSE)=VLOOKUP($A66,main!$A$3:$H$102,8,FALSE),VLOOKUP(CI$1,main!$A$3:$H$102,4,FALSE),VLOOKUP(CI$1,main!$A$3:$H$102,4,FALSE)+VLOOKUP($A66,main!$A$3:$H$102,4,FALSE)+(VLOOKUP(VLOOKUP(CI$1,main!$A$3:$H$102,8,FALSE),main!$K$19:$O$22,MATCH(VLOOKUP($A66,main!$A$3:$H$102,7,FALSE),main!$K$18:$O$18,0),0))),0)</f>
        <v>290</v>
      </c>
      <c r="CJ66">
        <f>IF((gamma!CJ66),IF(VLOOKUP(CJ$1,main!$A$3:$H$102,7,FALSE)=VLOOKUP($A66,main!$A$3:$H$102,8,FALSE),VLOOKUP(CJ$1,main!$A$3:$H$102,4,FALSE),VLOOKUP(CJ$1,main!$A$3:$H$102,4,FALSE)+VLOOKUP($A66,main!$A$3:$H$102,4,FALSE)+(VLOOKUP(VLOOKUP(CJ$1,main!$A$3:$H$102,8,FALSE),main!$K$19:$O$22,MATCH(VLOOKUP($A66,main!$A$3:$H$102,7,FALSE),main!$K$18:$O$18,0),0))),0)</f>
        <v>0</v>
      </c>
      <c r="CK66">
        <f>IF((gamma!CK66),IF(VLOOKUP(CK$1,main!$A$3:$H$102,7,FALSE)=VLOOKUP($A66,main!$A$3:$H$102,8,FALSE),VLOOKUP(CK$1,main!$A$3:$H$102,4,FALSE),VLOOKUP(CK$1,main!$A$3:$H$102,4,FALSE)+VLOOKUP($A66,main!$A$3:$H$102,4,FALSE)+(VLOOKUP(VLOOKUP(CK$1,main!$A$3:$H$102,8,FALSE),main!$K$19:$O$22,MATCH(VLOOKUP($A66,main!$A$3:$H$102,7,FALSE),main!$K$18:$O$18,0),0))),0)</f>
        <v>0</v>
      </c>
      <c r="CL66">
        <f>IF((gamma!CL66),IF(VLOOKUP(CL$1,main!$A$3:$H$102,7,FALSE)=VLOOKUP($A66,main!$A$3:$H$102,8,FALSE),VLOOKUP(CL$1,main!$A$3:$H$102,4,FALSE),VLOOKUP(CL$1,main!$A$3:$H$102,4,FALSE)+VLOOKUP($A66,main!$A$3:$H$102,4,FALSE)+(VLOOKUP(VLOOKUP(CL$1,main!$A$3:$H$102,8,FALSE),main!$K$19:$O$22,MATCH(VLOOKUP($A66,main!$A$3:$H$102,7,FALSE),main!$K$18:$O$18,0),0))),0)</f>
        <v>0</v>
      </c>
      <c r="CM66">
        <f>IF((gamma!CM66),IF(VLOOKUP(CM$1,main!$A$3:$H$102,7,FALSE)=VLOOKUP($A66,main!$A$3:$H$102,8,FALSE),VLOOKUP(CM$1,main!$A$3:$H$102,4,FALSE),VLOOKUP(CM$1,main!$A$3:$H$102,4,FALSE)+VLOOKUP($A66,main!$A$3:$H$102,4,FALSE)+(VLOOKUP(VLOOKUP(CM$1,main!$A$3:$H$102,8,FALSE),main!$K$19:$O$22,MATCH(VLOOKUP($A66,main!$A$3:$H$102,7,FALSE),main!$K$18:$O$18,0),0))),0)</f>
        <v>0</v>
      </c>
      <c r="CN66">
        <f>IF((gamma!CN66),IF(VLOOKUP(CN$1,main!$A$3:$H$102,7,FALSE)=VLOOKUP($A66,main!$A$3:$H$102,8,FALSE),VLOOKUP(CN$1,main!$A$3:$H$102,4,FALSE),VLOOKUP(CN$1,main!$A$3:$H$102,4,FALSE)+VLOOKUP($A66,main!$A$3:$H$102,4,FALSE)+(VLOOKUP(VLOOKUP(CN$1,main!$A$3:$H$102,8,FALSE),main!$K$19:$O$22,MATCH(VLOOKUP($A66,main!$A$3:$H$102,7,FALSE),main!$K$18:$O$18,0),0))),0)</f>
        <v>246</v>
      </c>
      <c r="CO66">
        <f>IF((gamma!CO66),IF(VLOOKUP(CO$1,main!$A$3:$H$102,7,FALSE)=VLOOKUP($A66,main!$A$3:$H$102,8,FALSE),VLOOKUP(CO$1,main!$A$3:$H$102,4,FALSE),VLOOKUP(CO$1,main!$A$3:$H$102,4,FALSE)+VLOOKUP($A66,main!$A$3:$H$102,4,FALSE)+(VLOOKUP(VLOOKUP(CO$1,main!$A$3:$H$102,8,FALSE),main!$K$19:$O$22,MATCH(VLOOKUP($A66,main!$A$3:$H$102,7,FALSE),main!$K$18:$O$18,0),0))),0)</f>
        <v>0</v>
      </c>
      <c r="CP66">
        <f>IF((gamma!CP66),IF(VLOOKUP(CP$1,main!$A$3:$H$102,7,FALSE)=VLOOKUP($A66,main!$A$3:$H$102,8,FALSE),VLOOKUP(CP$1,main!$A$3:$H$102,4,FALSE),VLOOKUP(CP$1,main!$A$3:$H$102,4,FALSE)+VLOOKUP($A66,main!$A$3:$H$102,4,FALSE)+(VLOOKUP(VLOOKUP(CP$1,main!$A$3:$H$102,8,FALSE),main!$K$19:$O$22,MATCH(VLOOKUP($A66,main!$A$3:$H$102,7,FALSE),main!$K$18:$O$18,0),0))),0)</f>
        <v>0</v>
      </c>
      <c r="CQ66">
        <f>IF((gamma!CQ66),IF(VLOOKUP(CQ$1,main!$A$3:$H$102,7,FALSE)=VLOOKUP($A66,main!$A$3:$H$102,8,FALSE),VLOOKUP(CQ$1,main!$A$3:$H$102,4,FALSE),VLOOKUP(CQ$1,main!$A$3:$H$102,4,FALSE)+VLOOKUP($A66,main!$A$3:$H$102,4,FALSE)+(VLOOKUP(VLOOKUP(CQ$1,main!$A$3:$H$102,8,FALSE),main!$K$19:$O$22,MATCH(VLOOKUP($A66,main!$A$3:$H$102,7,FALSE),main!$K$18:$O$18,0),0))),0)</f>
        <v>0</v>
      </c>
      <c r="CR66">
        <f>IF((gamma!CR66),IF(VLOOKUP(CR$1,main!$A$3:$H$102,7,FALSE)=VLOOKUP($A66,main!$A$3:$H$102,8,FALSE),VLOOKUP(CR$1,main!$A$3:$H$102,4,FALSE),VLOOKUP(CR$1,main!$A$3:$H$102,4,FALSE)+VLOOKUP($A66,main!$A$3:$H$102,4,FALSE)+(VLOOKUP(VLOOKUP(CR$1,main!$A$3:$H$102,8,FALSE),main!$K$19:$O$22,MATCH(VLOOKUP($A66,main!$A$3:$H$102,7,FALSE),main!$K$18:$O$18,0),0))),0)</f>
        <v>0</v>
      </c>
      <c r="CS66">
        <f>IF((gamma!CS66),IF(VLOOKUP(CS$1,main!$A$3:$H$102,7,FALSE)=VLOOKUP($A66,main!$A$3:$H$102,8,FALSE),VLOOKUP(CS$1,main!$A$3:$H$102,4,FALSE),VLOOKUP(CS$1,main!$A$3:$H$102,4,FALSE)+VLOOKUP($A66,main!$A$3:$H$102,4,FALSE)+(VLOOKUP(VLOOKUP(CS$1,main!$A$3:$H$102,8,FALSE),main!$K$19:$O$22,MATCH(VLOOKUP($A66,main!$A$3:$H$102,7,FALSE),main!$K$18:$O$18,0),0))),0)</f>
        <v>0</v>
      </c>
      <c r="CT66">
        <f>IF((gamma!CT66),IF(VLOOKUP(CT$1,main!$A$3:$H$102,7,FALSE)=VLOOKUP($A66,main!$A$3:$H$102,8,FALSE),VLOOKUP(CT$1,main!$A$3:$H$102,4,FALSE),VLOOKUP(CT$1,main!$A$3:$H$102,4,FALSE)+VLOOKUP($A66,main!$A$3:$H$102,4,FALSE)+(VLOOKUP(VLOOKUP(CT$1,main!$A$3:$H$102,8,FALSE),main!$K$19:$O$22,MATCH(VLOOKUP($A66,main!$A$3:$H$102,7,FALSE),main!$K$18:$O$18,0),0))),0)</f>
        <v>0</v>
      </c>
      <c r="CU66">
        <f>IF((gamma!CU66),IF(VLOOKUP(CU$1,main!$A$3:$H$102,7,FALSE)=VLOOKUP($A66,main!$A$3:$H$102,8,FALSE),VLOOKUP(CU$1,main!$A$3:$H$102,4,FALSE),VLOOKUP(CU$1,main!$A$3:$H$102,4,FALSE)+VLOOKUP($A66,main!$A$3:$H$102,4,FALSE)+(VLOOKUP(VLOOKUP(CU$1,main!$A$3:$H$102,8,FALSE),main!$K$19:$O$22,MATCH(VLOOKUP($A66,main!$A$3:$H$102,7,FALSE),main!$K$18:$O$18,0),0))),0)</f>
        <v>0</v>
      </c>
      <c r="CV66">
        <f>IF((gamma!CV66),IF(VLOOKUP(CV$1,main!$A$3:$H$102,7,FALSE)=VLOOKUP($A66,main!$A$3:$H$102,8,FALSE),VLOOKUP(CV$1,main!$A$3:$H$102,4,FALSE),VLOOKUP(CV$1,main!$A$3:$H$102,4,FALSE)+VLOOKUP($A66,main!$A$3:$H$102,4,FALSE)+(VLOOKUP(VLOOKUP(CV$1,main!$A$3:$H$102,8,FALSE),main!$K$19:$O$22,MATCH(VLOOKUP($A66,main!$A$3:$H$102,7,FALSE),main!$K$18:$O$18,0),0))),0)</f>
        <v>0</v>
      </c>
      <c r="CW66">
        <f>IF((gamma!CW66),IF(VLOOKUP(CW$1,main!$A$3:$H$102,7,FALSE)=VLOOKUP($A66,main!$A$3:$H$102,8,FALSE),VLOOKUP(CW$1,main!$A$3:$H$102,4,FALSE),VLOOKUP(CW$1,main!$A$3:$H$102,4,FALSE)+VLOOKUP($A66,main!$A$3:$H$102,4,FALSE)+(VLOOKUP(VLOOKUP(CW$1,main!$A$3:$H$102,8,FALSE),main!$K$19:$O$22,MATCH(VLOOKUP($A66,main!$A$3:$H$102,7,FALSE),main!$K$18:$O$18,0),0))),0)</f>
        <v>0</v>
      </c>
      <c r="CX66">
        <f>IF((gamma!CX66),IF(VLOOKUP(CX$1,main!$A$3:$H$102,7,FALSE)=VLOOKUP($A66,main!$A$3:$H$102,8,FALSE),VLOOKUP(CX$1,main!$A$3:$H$102,4,FALSE),VLOOKUP(CX$1,main!$A$3:$H$102,4,FALSE)+VLOOKUP($A66,main!$A$3:$H$102,4,FALSE)+(VLOOKUP(VLOOKUP(CX$1,main!$A$3:$H$102,8,FALSE),main!$K$19:$O$22,MATCH(VLOOKUP($A66,main!$A$3:$H$102,7,FALSE),main!$K$18:$O$18,0),0))),0)</f>
        <v>0</v>
      </c>
      <c r="CY66">
        <v>0</v>
      </c>
      <c r="CZ66">
        <v>0</v>
      </c>
      <c r="DA66">
        <v>0</v>
      </c>
    </row>
    <row r="67" spans="1:105" x14ac:dyDescent="0.25">
      <c r="A67" s="1">
        <v>65</v>
      </c>
      <c r="B67">
        <v>0</v>
      </c>
      <c r="C67">
        <f>IF((gamma!C67),IF(VLOOKUP(C$1,main!$A$3:$H$102,7,FALSE)=VLOOKUP($A67,main!$A$3:$H$102,8,FALSE),VLOOKUP(C$1,main!$A$3:$H$102,4,FALSE),VLOOKUP(C$1,main!$A$3:$H$102,4,FALSE)+VLOOKUP($A67,main!$A$3:$H$102,4,FALSE)+(VLOOKUP(VLOOKUP(C$1,main!$A$3:$H$102,8,FALSE),main!$K$19:$O$22,MATCH(VLOOKUP($A67,main!$A$3:$H$102,7,FALSE),main!$K$18:$O$18,0),0))),0)</f>
        <v>0</v>
      </c>
      <c r="D67">
        <f>IF((gamma!D67),IF(VLOOKUP(D$1,main!$A$3:$H$102,7,FALSE)=VLOOKUP($A67,main!$A$3:$H$102,8,FALSE),VLOOKUP(D$1,main!$A$3:$H$102,4,FALSE),VLOOKUP(D$1,main!$A$3:$H$102,4,FALSE)+VLOOKUP($A67,main!$A$3:$H$102,4,FALSE)+(VLOOKUP(VLOOKUP(D$1,main!$A$3:$H$102,8,FALSE),main!$K$19:$O$22,MATCH(VLOOKUP($A67,main!$A$3:$H$102,7,FALSE),main!$K$18:$O$18,0),0))),0)</f>
        <v>283</v>
      </c>
      <c r="E67">
        <f>IF((gamma!E67),IF(VLOOKUP(E$1,main!$A$3:$H$102,7,FALSE)=VLOOKUP($A67,main!$A$3:$H$102,8,FALSE),VLOOKUP(E$1,main!$A$3:$H$102,4,FALSE),VLOOKUP(E$1,main!$A$3:$H$102,4,FALSE)+VLOOKUP($A67,main!$A$3:$H$102,4,FALSE)+(VLOOKUP(VLOOKUP(E$1,main!$A$3:$H$102,8,FALSE),main!$K$19:$O$22,MATCH(VLOOKUP($A67,main!$A$3:$H$102,7,FALSE),main!$K$18:$O$18,0),0))),0)</f>
        <v>283</v>
      </c>
      <c r="F67">
        <f>IF((gamma!F67),IF(VLOOKUP(F$1,main!$A$3:$H$102,7,FALSE)=VLOOKUP($A67,main!$A$3:$H$102,8,FALSE),VLOOKUP(F$1,main!$A$3:$H$102,4,FALSE),VLOOKUP(F$1,main!$A$3:$H$102,4,FALSE)+VLOOKUP($A67,main!$A$3:$H$102,4,FALSE)+(VLOOKUP(VLOOKUP(F$1,main!$A$3:$H$102,8,FALSE),main!$K$19:$O$22,MATCH(VLOOKUP($A67,main!$A$3:$H$102,7,FALSE),main!$K$18:$O$18,0),0))),0)</f>
        <v>283</v>
      </c>
      <c r="G67">
        <f>IF((gamma!G67),IF(VLOOKUP(G$1,main!$A$3:$H$102,7,FALSE)=VLOOKUP($A67,main!$A$3:$H$102,8,FALSE),VLOOKUP(G$1,main!$A$3:$H$102,4,FALSE),VLOOKUP(G$1,main!$A$3:$H$102,4,FALSE)+VLOOKUP($A67,main!$A$3:$H$102,4,FALSE)+(VLOOKUP(VLOOKUP(G$1,main!$A$3:$H$102,8,FALSE),main!$K$19:$O$22,MATCH(VLOOKUP($A67,main!$A$3:$H$102,7,FALSE),main!$K$18:$O$18,0),0))),0)</f>
        <v>283</v>
      </c>
      <c r="H67">
        <f>IF((gamma!H67),IF(VLOOKUP(H$1,main!$A$3:$H$102,7,FALSE)=VLOOKUP($A67,main!$A$3:$H$102,8,FALSE),VLOOKUP(H$1,main!$A$3:$H$102,4,FALSE),VLOOKUP(H$1,main!$A$3:$H$102,4,FALSE)+VLOOKUP($A67,main!$A$3:$H$102,4,FALSE)+(VLOOKUP(VLOOKUP(H$1,main!$A$3:$H$102,8,FALSE),main!$K$19:$O$22,MATCH(VLOOKUP($A67,main!$A$3:$H$102,7,FALSE),main!$K$18:$O$18,0),0))),0)</f>
        <v>283</v>
      </c>
      <c r="I67">
        <f>IF((gamma!I67),IF(VLOOKUP(I$1,main!$A$3:$H$102,7,FALSE)=VLOOKUP($A67,main!$A$3:$H$102,8,FALSE),VLOOKUP(I$1,main!$A$3:$H$102,4,FALSE),VLOOKUP(I$1,main!$A$3:$H$102,4,FALSE)+VLOOKUP($A67,main!$A$3:$H$102,4,FALSE)+(VLOOKUP(VLOOKUP(I$1,main!$A$3:$H$102,8,FALSE),main!$K$19:$O$22,MATCH(VLOOKUP($A67,main!$A$3:$H$102,7,FALSE),main!$K$18:$O$18,0),0))),0)</f>
        <v>283</v>
      </c>
      <c r="J67">
        <f>IF((gamma!J67),IF(VLOOKUP(J$1,main!$A$3:$H$102,7,FALSE)=VLOOKUP($A67,main!$A$3:$H$102,8,FALSE),VLOOKUP(J$1,main!$A$3:$H$102,4,FALSE),VLOOKUP(J$1,main!$A$3:$H$102,4,FALSE)+VLOOKUP($A67,main!$A$3:$H$102,4,FALSE)+(VLOOKUP(VLOOKUP(J$1,main!$A$3:$H$102,8,FALSE),main!$K$19:$O$22,MATCH(VLOOKUP($A67,main!$A$3:$H$102,7,FALSE),main!$K$18:$O$18,0),0))),0)</f>
        <v>283</v>
      </c>
      <c r="K67">
        <f>IF((gamma!K67),IF(VLOOKUP(K$1,main!$A$3:$H$102,7,FALSE)=VLOOKUP($A67,main!$A$3:$H$102,8,FALSE),VLOOKUP(K$1,main!$A$3:$H$102,4,FALSE),VLOOKUP(K$1,main!$A$3:$H$102,4,FALSE)+VLOOKUP($A67,main!$A$3:$H$102,4,FALSE)+(VLOOKUP(VLOOKUP(K$1,main!$A$3:$H$102,8,FALSE),main!$K$19:$O$22,MATCH(VLOOKUP($A67,main!$A$3:$H$102,7,FALSE),main!$K$18:$O$18,0),0))),0)</f>
        <v>283</v>
      </c>
      <c r="L67">
        <f>IF((gamma!L67),IF(VLOOKUP(L$1,main!$A$3:$H$102,7,FALSE)=VLOOKUP($A67,main!$A$3:$H$102,8,FALSE),VLOOKUP(L$1,main!$A$3:$H$102,4,FALSE),VLOOKUP(L$1,main!$A$3:$H$102,4,FALSE)+VLOOKUP($A67,main!$A$3:$H$102,4,FALSE)+(VLOOKUP(VLOOKUP(L$1,main!$A$3:$H$102,8,FALSE),main!$K$19:$O$22,MATCH(VLOOKUP($A67,main!$A$3:$H$102,7,FALSE),main!$K$18:$O$18,0),0))),0)</f>
        <v>283</v>
      </c>
      <c r="M67">
        <f>IF((gamma!M67),IF(VLOOKUP(M$1,main!$A$3:$H$102,7,FALSE)=VLOOKUP($A67,main!$A$3:$H$102,8,FALSE),VLOOKUP(M$1,main!$A$3:$H$102,4,FALSE),VLOOKUP(M$1,main!$A$3:$H$102,4,FALSE)+VLOOKUP($A67,main!$A$3:$H$102,4,FALSE)+(VLOOKUP(VLOOKUP(M$1,main!$A$3:$H$102,8,FALSE),main!$K$19:$O$22,MATCH(VLOOKUP($A67,main!$A$3:$H$102,7,FALSE),main!$K$18:$O$18,0),0))),0)</f>
        <v>0</v>
      </c>
      <c r="N67">
        <f>IF((gamma!N67),IF(VLOOKUP(N$1,main!$A$3:$H$102,7,FALSE)=VLOOKUP($A67,main!$A$3:$H$102,8,FALSE),VLOOKUP(N$1,main!$A$3:$H$102,4,FALSE),VLOOKUP(N$1,main!$A$3:$H$102,4,FALSE)+VLOOKUP($A67,main!$A$3:$H$102,4,FALSE)+(VLOOKUP(VLOOKUP(N$1,main!$A$3:$H$102,8,FALSE),main!$K$19:$O$22,MATCH(VLOOKUP($A67,main!$A$3:$H$102,7,FALSE),main!$K$18:$O$18,0),0))),0)</f>
        <v>260</v>
      </c>
      <c r="O67">
        <f>IF((gamma!O67),IF(VLOOKUP(O$1,main!$A$3:$H$102,7,FALSE)=VLOOKUP($A67,main!$A$3:$H$102,8,FALSE),VLOOKUP(O$1,main!$A$3:$H$102,4,FALSE),VLOOKUP(O$1,main!$A$3:$H$102,4,FALSE)+VLOOKUP($A67,main!$A$3:$H$102,4,FALSE)+(VLOOKUP(VLOOKUP(O$1,main!$A$3:$H$102,8,FALSE),main!$K$19:$O$22,MATCH(VLOOKUP($A67,main!$A$3:$H$102,7,FALSE),main!$K$18:$O$18,0),0))),0)</f>
        <v>260</v>
      </c>
      <c r="P67">
        <f>IF((gamma!P67),IF(VLOOKUP(P$1,main!$A$3:$H$102,7,FALSE)=VLOOKUP($A67,main!$A$3:$H$102,8,FALSE),VLOOKUP(P$1,main!$A$3:$H$102,4,FALSE),VLOOKUP(P$1,main!$A$3:$H$102,4,FALSE)+VLOOKUP($A67,main!$A$3:$H$102,4,FALSE)+(VLOOKUP(VLOOKUP(P$1,main!$A$3:$H$102,8,FALSE),main!$K$19:$O$22,MATCH(VLOOKUP($A67,main!$A$3:$H$102,7,FALSE),main!$K$18:$O$18,0),0))),0)</f>
        <v>260</v>
      </c>
      <c r="Q67">
        <f>IF((gamma!Q67),IF(VLOOKUP(Q$1,main!$A$3:$H$102,7,FALSE)=VLOOKUP($A67,main!$A$3:$H$102,8,FALSE),VLOOKUP(Q$1,main!$A$3:$H$102,4,FALSE),VLOOKUP(Q$1,main!$A$3:$H$102,4,FALSE)+VLOOKUP($A67,main!$A$3:$H$102,4,FALSE)+(VLOOKUP(VLOOKUP(Q$1,main!$A$3:$H$102,8,FALSE),main!$K$19:$O$22,MATCH(VLOOKUP($A67,main!$A$3:$H$102,7,FALSE),main!$K$18:$O$18,0),0))),0)</f>
        <v>260</v>
      </c>
      <c r="R67">
        <f>IF((gamma!R67),IF(VLOOKUP(R$1,main!$A$3:$H$102,7,FALSE)=VLOOKUP($A67,main!$A$3:$H$102,8,FALSE),VLOOKUP(R$1,main!$A$3:$H$102,4,FALSE),VLOOKUP(R$1,main!$A$3:$H$102,4,FALSE)+VLOOKUP($A67,main!$A$3:$H$102,4,FALSE)+(VLOOKUP(VLOOKUP(R$1,main!$A$3:$H$102,8,FALSE),main!$K$19:$O$22,MATCH(VLOOKUP($A67,main!$A$3:$H$102,7,FALSE),main!$K$18:$O$18,0),0))),0)</f>
        <v>260</v>
      </c>
      <c r="S67">
        <f>IF((gamma!S67),IF(VLOOKUP(S$1,main!$A$3:$H$102,7,FALSE)=VLOOKUP($A67,main!$A$3:$H$102,8,FALSE),VLOOKUP(S$1,main!$A$3:$H$102,4,FALSE),VLOOKUP(S$1,main!$A$3:$H$102,4,FALSE)+VLOOKUP($A67,main!$A$3:$H$102,4,FALSE)+(VLOOKUP(VLOOKUP(S$1,main!$A$3:$H$102,8,FALSE),main!$K$19:$O$22,MATCH(VLOOKUP($A67,main!$A$3:$H$102,7,FALSE),main!$K$18:$O$18,0),0))),0)</f>
        <v>260</v>
      </c>
      <c r="T67">
        <f>IF((gamma!T67),IF(VLOOKUP(T$1,main!$A$3:$H$102,7,FALSE)=VLOOKUP($A67,main!$A$3:$H$102,8,FALSE),VLOOKUP(T$1,main!$A$3:$H$102,4,FALSE),VLOOKUP(T$1,main!$A$3:$H$102,4,FALSE)+VLOOKUP($A67,main!$A$3:$H$102,4,FALSE)+(VLOOKUP(VLOOKUP(T$1,main!$A$3:$H$102,8,FALSE),main!$K$19:$O$22,MATCH(VLOOKUP($A67,main!$A$3:$H$102,7,FALSE),main!$K$18:$O$18,0),0))),0)</f>
        <v>260</v>
      </c>
      <c r="U67">
        <f>IF((gamma!U67),IF(VLOOKUP(U$1,main!$A$3:$H$102,7,FALSE)=VLOOKUP($A67,main!$A$3:$H$102,8,FALSE),VLOOKUP(U$1,main!$A$3:$H$102,4,FALSE),VLOOKUP(U$1,main!$A$3:$H$102,4,FALSE)+VLOOKUP($A67,main!$A$3:$H$102,4,FALSE)+(VLOOKUP(VLOOKUP(U$1,main!$A$3:$H$102,8,FALSE),main!$K$19:$O$22,MATCH(VLOOKUP($A67,main!$A$3:$H$102,7,FALSE),main!$K$18:$O$18,0),0))),0)</f>
        <v>260</v>
      </c>
      <c r="V67">
        <f>IF((gamma!V67),IF(VLOOKUP(V$1,main!$A$3:$H$102,7,FALSE)=VLOOKUP($A67,main!$A$3:$H$102,8,FALSE),VLOOKUP(V$1,main!$A$3:$H$102,4,FALSE),VLOOKUP(V$1,main!$A$3:$H$102,4,FALSE)+VLOOKUP($A67,main!$A$3:$H$102,4,FALSE)+(VLOOKUP(VLOOKUP(V$1,main!$A$3:$H$102,8,FALSE),main!$K$19:$O$22,MATCH(VLOOKUP($A67,main!$A$3:$H$102,7,FALSE),main!$K$18:$O$18,0),0))),0)</f>
        <v>260</v>
      </c>
      <c r="W67">
        <f>IF((gamma!W67),IF(VLOOKUP(W$1,main!$A$3:$H$102,7,FALSE)=VLOOKUP($A67,main!$A$3:$H$102,8,FALSE),VLOOKUP(W$1,main!$A$3:$H$102,4,FALSE),VLOOKUP(W$1,main!$A$3:$H$102,4,FALSE)+VLOOKUP($A67,main!$A$3:$H$102,4,FALSE)+(VLOOKUP(VLOOKUP(W$1,main!$A$3:$H$102,8,FALSE),main!$K$19:$O$22,MATCH(VLOOKUP($A67,main!$A$3:$H$102,7,FALSE),main!$K$18:$O$18,0),0))),0)</f>
        <v>293</v>
      </c>
      <c r="X67">
        <f>IF((gamma!X67),IF(VLOOKUP(X$1,main!$A$3:$H$102,7,FALSE)=VLOOKUP($A67,main!$A$3:$H$102,8,FALSE),VLOOKUP(X$1,main!$A$3:$H$102,4,FALSE),VLOOKUP(X$1,main!$A$3:$H$102,4,FALSE)+VLOOKUP($A67,main!$A$3:$H$102,4,FALSE)+(VLOOKUP(VLOOKUP(X$1,main!$A$3:$H$102,8,FALSE),main!$K$19:$O$22,MATCH(VLOOKUP($A67,main!$A$3:$H$102,7,FALSE),main!$K$18:$O$18,0),0))),0)</f>
        <v>293</v>
      </c>
      <c r="Y67">
        <f>IF((gamma!Y67),IF(VLOOKUP(Y$1,main!$A$3:$H$102,7,FALSE)=VLOOKUP($A67,main!$A$3:$H$102,8,FALSE),VLOOKUP(Y$1,main!$A$3:$H$102,4,FALSE),VLOOKUP(Y$1,main!$A$3:$H$102,4,FALSE)+VLOOKUP($A67,main!$A$3:$H$102,4,FALSE)+(VLOOKUP(VLOOKUP(Y$1,main!$A$3:$H$102,8,FALSE),main!$K$19:$O$22,MATCH(VLOOKUP($A67,main!$A$3:$H$102,7,FALSE),main!$K$18:$O$18,0),0))),0)</f>
        <v>288</v>
      </c>
      <c r="Z67">
        <f>IF((gamma!Z67),IF(VLOOKUP(Z$1,main!$A$3:$H$102,7,FALSE)=VLOOKUP($A67,main!$A$3:$H$102,8,FALSE),VLOOKUP(Z$1,main!$A$3:$H$102,4,FALSE),VLOOKUP(Z$1,main!$A$3:$H$102,4,FALSE)+VLOOKUP($A67,main!$A$3:$H$102,4,FALSE)+(VLOOKUP(VLOOKUP(Z$1,main!$A$3:$H$102,8,FALSE),main!$K$19:$O$22,MATCH(VLOOKUP($A67,main!$A$3:$H$102,7,FALSE),main!$K$18:$O$18,0),0))),0)</f>
        <v>293</v>
      </c>
      <c r="AA67">
        <f>IF((gamma!AA67),IF(VLOOKUP(AA$1,main!$A$3:$H$102,7,FALSE)=VLOOKUP($A67,main!$A$3:$H$102,8,FALSE),VLOOKUP(AA$1,main!$A$3:$H$102,4,FALSE),VLOOKUP(AA$1,main!$A$3:$H$102,4,FALSE)+VLOOKUP($A67,main!$A$3:$H$102,4,FALSE)+(VLOOKUP(VLOOKUP(AA$1,main!$A$3:$H$102,8,FALSE),main!$K$19:$O$22,MATCH(VLOOKUP($A67,main!$A$3:$H$102,7,FALSE),main!$K$18:$O$18,0),0))),0)</f>
        <v>293</v>
      </c>
      <c r="AB67">
        <f>IF((gamma!AB67),IF(VLOOKUP(AB$1,main!$A$3:$H$102,7,FALSE)=VLOOKUP($A67,main!$A$3:$H$102,8,FALSE),VLOOKUP(AB$1,main!$A$3:$H$102,4,FALSE),VLOOKUP(AB$1,main!$A$3:$H$102,4,FALSE)+VLOOKUP($A67,main!$A$3:$H$102,4,FALSE)+(VLOOKUP(VLOOKUP(AB$1,main!$A$3:$H$102,8,FALSE),main!$K$19:$O$22,MATCH(VLOOKUP($A67,main!$A$3:$H$102,7,FALSE),main!$K$18:$O$18,0),0))),0)</f>
        <v>0</v>
      </c>
      <c r="AC67">
        <f>IF((gamma!AC67),IF(VLOOKUP(AC$1,main!$A$3:$H$102,7,FALSE)=VLOOKUP($A67,main!$A$3:$H$102,8,FALSE),VLOOKUP(AC$1,main!$A$3:$H$102,4,FALSE),VLOOKUP(AC$1,main!$A$3:$H$102,4,FALSE)+VLOOKUP($A67,main!$A$3:$H$102,4,FALSE)+(VLOOKUP(VLOOKUP(AC$1,main!$A$3:$H$102,8,FALSE),main!$K$19:$O$22,MATCH(VLOOKUP($A67,main!$A$3:$H$102,7,FALSE),main!$K$18:$O$18,0),0))),0)</f>
        <v>0</v>
      </c>
      <c r="AD67">
        <f>IF((gamma!AD67),IF(VLOOKUP(AD$1,main!$A$3:$H$102,7,FALSE)=VLOOKUP($A67,main!$A$3:$H$102,8,FALSE),VLOOKUP(AD$1,main!$A$3:$H$102,4,FALSE),VLOOKUP(AD$1,main!$A$3:$H$102,4,FALSE)+VLOOKUP($A67,main!$A$3:$H$102,4,FALSE)+(VLOOKUP(VLOOKUP(AD$1,main!$A$3:$H$102,8,FALSE),main!$K$19:$O$22,MATCH(VLOOKUP($A67,main!$A$3:$H$102,7,FALSE),main!$K$18:$O$18,0),0))),0)</f>
        <v>288</v>
      </c>
      <c r="AE67">
        <f>IF((gamma!AE67),IF(VLOOKUP(AE$1,main!$A$3:$H$102,7,FALSE)=VLOOKUP($A67,main!$A$3:$H$102,8,FALSE),VLOOKUP(AE$1,main!$A$3:$H$102,4,FALSE),VLOOKUP(AE$1,main!$A$3:$H$102,4,FALSE)+VLOOKUP($A67,main!$A$3:$H$102,4,FALSE)+(VLOOKUP(VLOOKUP(AE$1,main!$A$3:$H$102,8,FALSE),main!$K$19:$O$22,MATCH(VLOOKUP($A67,main!$A$3:$H$102,7,FALSE),main!$K$18:$O$18,0),0))),0)</f>
        <v>293</v>
      </c>
      <c r="AF67">
        <f>IF((gamma!AF67),IF(VLOOKUP(AF$1,main!$A$3:$H$102,7,FALSE)=VLOOKUP($A67,main!$A$3:$H$102,8,FALSE),VLOOKUP(AF$1,main!$A$3:$H$102,4,FALSE),VLOOKUP(AF$1,main!$A$3:$H$102,4,FALSE)+VLOOKUP($A67,main!$A$3:$H$102,4,FALSE)+(VLOOKUP(VLOOKUP(AF$1,main!$A$3:$H$102,8,FALSE),main!$K$19:$O$22,MATCH(VLOOKUP($A67,main!$A$3:$H$102,7,FALSE),main!$K$18:$O$18,0),0))),0)</f>
        <v>253</v>
      </c>
      <c r="AG67">
        <f>IF((gamma!AG67),IF(VLOOKUP(AG$1,main!$A$3:$H$102,7,FALSE)=VLOOKUP($A67,main!$A$3:$H$102,8,FALSE),VLOOKUP(AG$1,main!$A$3:$H$102,4,FALSE),VLOOKUP(AG$1,main!$A$3:$H$102,4,FALSE)+VLOOKUP($A67,main!$A$3:$H$102,4,FALSE)+(VLOOKUP(VLOOKUP(AG$1,main!$A$3:$H$102,8,FALSE),main!$K$19:$O$22,MATCH(VLOOKUP($A67,main!$A$3:$H$102,7,FALSE),main!$K$18:$O$18,0),0))),0)</f>
        <v>135</v>
      </c>
      <c r="AH67">
        <f>IF((gamma!AH67),IF(VLOOKUP(AH$1,main!$A$3:$H$102,7,FALSE)=VLOOKUP($A67,main!$A$3:$H$102,8,FALSE),VLOOKUP(AH$1,main!$A$3:$H$102,4,FALSE),VLOOKUP(AH$1,main!$A$3:$H$102,4,FALSE)+VLOOKUP($A67,main!$A$3:$H$102,4,FALSE)+(VLOOKUP(VLOOKUP(AH$1,main!$A$3:$H$102,8,FALSE),main!$K$19:$O$22,MATCH(VLOOKUP($A67,main!$A$3:$H$102,7,FALSE),main!$K$18:$O$18,0),0))),0)</f>
        <v>135</v>
      </c>
      <c r="AI67">
        <f>IF((gamma!AI67),IF(VLOOKUP(AI$1,main!$A$3:$H$102,7,FALSE)=VLOOKUP($A67,main!$A$3:$H$102,8,FALSE),VLOOKUP(AI$1,main!$A$3:$H$102,4,FALSE),VLOOKUP(AI$1,main!$A$3:$H$102,4,FALSE)+VLOOKUP($A67,main!$A$3:$H$102,4,FALSE)+(VLOOKUP(VLOOKUP(AI$1,main!$A$3:$H$102,8,FALSE),main!$K$19:$O$22,MATCH(VLOOKUP($A67,main!$A$3:$H$102,7,FALSE),main!$K$18:$O$18,0),0))),0)</f>
        <v>135</v>
      </c>
      <c r="AJ67">
        <f>IF((gamma!AJ67),IF(VLOOKUP(AJ$1,main!$A$3:$H$102,7,FALSE)=VLOOKUP($A67,main!$A$3:$H$102,8,FALSE),VLOOKUP(AJ$1,main!$A$3:$H$102,4,FALSE),VLOOKUP(AJ$1,main!$A$3:$H$102,4,FALSE)+VLOOKUP($A67,main!$A$3:$H$102,4,FALSE)+(VLOOKUP(VLOOKUP(AJ$1,main!$A$3:$H$102,8,FALSE),main!$K$19:$O$22,MATCH(VLOOKUP($A67,main!$A$3:$H$102,7,FALSE),main!$K$18:$O$18,0),0))),0)</f>
        <v>135</v>
      </c>
      <c r="AK67">
        <f>IF((gamma!AK67),IF(VLOOKUP(AK$1,main!$A$3:$H$102,7,FALSE)=VLOOKUP($A67,main!$A$3:$H$102,8,FALSE),VLOOKUP(AK$1,main!$A$3:$H$102,4,FALSE),VLOOKUP(AK$1,main!$A$3:$H$102,4,FALSE)+VLOOKUP($A67,main!$A$3:$H$102,4,FALSE)+(VLOOKUP(VLOOKUP(AK$1,main!$A$3:$H$102,8,FALSE),main!$K$19:$O$22,MATCH(VLOOKUP($A67,main!$A$3:$H$102,7,FALSE),main!$K$18:$O$18,0),0))),0)</f>
        <v>135</v>
      </c>
      <c r="AL67">
        <f>IF((gamma!AL67),IF(VLOOKUP(AL$1,main!$A$3:$H$102,7,FALSE)=VLOOKUP($A67,main!$A$3:$H$102,8,FALSE),VLOOKUP(AL$1,main!$A$3:$H$102,4,FALSE),VLOOKUP(AL$1,main!$A$3:$H$102,4,FALSE)+VLOOKUP($A67,main!$A$3:$H$102,4,FALSE)+(VLOOKUP(VLOOKUP(AL$1,main!$A$3:$H$102,8,FALSE),main!$K$19:$O$22,MATCH(VLOOKUP($A67,main!$A$3:$H$102,7,FALSE),main!$K$18:$O$18,0),0))),0)</f>
        <v>135</v>
      </c>
      <c r="AM67">
        <f>IF((gamma!AM67),IF(VLOOKUP(AM$1,main!$A$3:$H$102,7,FALSE)=VLOOKUP($A67,main!$A$3:$H$102,8,FALSE),VLOOKUP(AM$1,main!$A$3:$H$102,4,FALSE),VLOOKUP(AM$1,main!$A$3:$H$102,4,FALSE)+VLOOKUP($A67,main!$A$3:$H$102,4,FALSE)+(VLOOKUP(VLOOKUP(AM$1,main!$A$3:$H$102,8,FALSE),main!$K$19:$O$22,MATCH(VLOOKUP($A67,main!$A$3:$H$102,7,FALSE),main!$K$18:$O$18,0),0))),0)</f>
        <v>135</v>
      </c>
      <c r="AN67">
        <f>IF((gamma!AN67),IF(VLOOKUP(AN$1,main!$A$3:$H$102,7,FALSE)=VLOOKUP($A67,main!$A$3:$H$102,8,FALSE),VLOOKUP(AN$1,main!$A$3:$H$102,4,FALSE),VLOOKUP(AN$1,main!$A$3:$H$102,4,FALSE)+VLOOKUP($A67,main!$A$3:$H$102,4,FALSE)+(VLOOKUP(VLOOKUP(AN$1,main!$A$3:$H$102,8,FALSE),main!$K$19:$O$22,MATCH(VLOOKUP($A67,main!$A$3:$H$102,7,FALSE),main!$K$18:$O$18,0),0))),0)</f>
        <v>135</v>
      </c>
      <c r="AO67">
        <f>IF((gamma!AO67),IF(VLOOKUP(AO$1,main!$A$3:$H$102,7,FALSE)=VLOOKUP($A67,main!$A$3:$H$102,8,FALSE),VLOOKUP(AO$1,main!$A$3:$H$102,4,FALSE),VLOOKUP(AO$1,main!$A$3:$H$102,4,FALSE)+VLOOKUP($A67,main!$A$3:$H$102,4,FALSE)+(VLOOKUP(VLOOKUP(AO$1,main!$A$3:$H$102,8,FALSE),main!$K$19:$O$22,MATCH(VLOOKUP($A67,main!$A$3:$H$102,7,FALSE),main!$K$18:$O$18,0),0))),0)</f>
        <v>0</v>
      </c>
      <c r="AP67">
        <f>IF((gamma!AP67),IF(VLOOKUP(AP$1,main!$A$3:$H$102,7,FALSE)=VLOOKUP($A67,main!$A$3:$H$102,8,FALSE),VLOOKUP(AP$1,main!$A$3:$H$102,4,FALSE),VLOOKUP(AP$1,main!$A$3:$H$102,4,FALSE)+VLOOKUP($A67,main!$A$3:$H$102,4,FALSE)+(VLOOKUP(VLOOKUP(AP$1,main!$A$3:$H$102,8,FALSE),main!$K$19:$O$22,MATCH(VLOOKUP($A67,main!$A$3:$H$102,7,FALSE),main!$K$18:$O$18,0),0))),0)</f>
        <v>75</v>
      </c>
      <c r="AQ67">
        <f>IF((gamma!AQ67),IF(VLOOKUP(AQ$1,main!$A$3:$H$102,7,FALSE)=VLOOKUP($A67,main!$A$3:$H$102,8,FALSE),VLOOKUP(AQ$1,main!$A$3:$H$102,4,FALSE),VLOOKUP(AQ$1,main!$A$3:$H$102,4,FALSE)+VLOOKUP($A67,main!$A$3:$H$102,4,FALSE)+(VLOOKUP(VLOOKUP(AQ$1,main!$A$3:$H$102,8,FALSE),main!$K$19:$O$22,MATCH(VLOOKUP($A67,main!$A$3:$H$102,7,FALSE),main!$K$18:$O$18,0),0))),0)</f>
        <v>0</v>
      </c>
      <c r="AR67">
        <f>IF((gamma!AR67),IF(VLOOKUP(AR$1,main!$A$3:$H$102,7,FALSE)=VLOOKUP($A67,main!$A$3:$H$102,8,FALSE),VLOOKUP(AR$1,main!$A$3:$H$102,4,FALSE),VLOOKUP(AR$1,main!$A$3:$H$102,4,FALSE)+VLOOKUP($A67,main!$A$3:$H$102,4,FALSE)+(VLOOKUP(VLOOKUP(AR$1,main!$A$3:$H$102,8,FALSE),main!$K$19:$O$22,MATCH(VLOOKUP($A67,main!$A$3:$H$102,7,FALSE),main!$K$18:$O$18,0),0))),0)</f>
        <v>140</v>
      </c>
      <c r="AS67">
        <f>IF((gamma!AS67),IF(VLOOKUP(AS$1,main!$A$3:$H$102,7,FALSE)=VLOOKUP($A67,main!$A$3:$H$102,8,FALSE),VLOOKUP(AS$1,main!$A$3:$H$102,4,FALSE),VLOOKUP(AS$1,main!$A$3:$H$102,4,FALSE)+VLOOKUP($A67,main!$A$3:$H$102,4,FALSE)+(VLOOKUP(VLOOKUP(AS$1,main!$A$3:$H$102,8,FALSE),main!$K$19:$O$22,MATCH(VLOOKUP($A67,main!$A$3:$H$102,7,FALSE),main!$K$18:$O$18,0),0))),0)</f>
        <v>120</v>
      </c>
      <c r="AT67">
        <f>IF((gamma!AT67),IF(VLOOKUP(AT$1,main!$A$3:$H$102,7,FALSE)=VLOOKUP($A67,main!$A$3:$H$102,8,FALSE),VLOOKUP(AT$1,main!$A$3:$H$102,4,FALSE),VLOOKUP(AT$1,main!$A$3:$H$102,4,FALSE)+VLOOKUP($A67,main!$A$3:$H$102,4,FALSE)+(VLOOKUP(VLOOKUP(AT$1,main!$A$3:$H$102,8,FALSE),main!$K$19:$O$22,MATCH(VLOOKUP($A67,main!$A$3:$H$102,7,FALSE),main!$K$18:$O$18,0),0))),0)</f>
        <v>130</v>
      </c>
      <c r="AU67">
        <f>IF((gamma!AU67),IF(VLOOKUP(AU$1,main!$A$3:$H$102,7,FALSE)=VLOOKUP($A67,main!$A$3:$H$102,8,FALSE),VLOOKUP(AU$1,main!$A$3:$H$102,4,FALSE),VLOOKUP(AU$1,main!$A$3:$H$102,4,FALSE)+VLOOKUP($A67,main!$A$3:$H$102,4,FALSE)+(VLOOKUP(VLOOKUP(AU$1,main!$A$3:$H$102,8,FALSE),main!$K$19:$O$22,MATCH(VLOOKUP($A67,main!$A$3:$H$102,7,FALSE),main!$K$18:$O$18,0),0))),0)</f>
        <v>0</v>
      </c>
      <c r="AV67">
        <f>IF((gamma!AV67),IF(VLOOKUP(AV$1,main!$A$3:$H$102,7,FALSE)=VLOOKUP($A67,main!$A$3:$H$102,8,FALSE),VLOOKUP(AV$1,main!$A$3:$H$102,4,FALSE),VLOOKUP(AV$1,main!$A$3:$H$102,4,FALSE)+VLOOKUP($A67,main!$A$3:$H$102,4,FALSE)+(VLOOKUP(VLOOKUP(AV$1,main!$A$3:$H$102,8,FALSE),main!$K$19:$O$22,MATCH(VLOOKUP($A67,main!$A$3:$H$102,7,FALSE),main!$K$18:$O$18,0),0))),0)</f>
        <v>0</v>
      </c>
      <c r="AW67">
        <f>IF((gamma!AW67),IF(VLOOKUP(AW$1,main!$A$3:$H$102,7,FALSE)=VLOOKUP($A67,main!$A$3:$H$102,8,FALSE),VLOOKUP(AW$1,main!$A$3:$H$102,4,FALSE),VLOOKUP(AW$1,main!$A$3:$H$102,4,FALSE)+VLOOKUP($A67,main!$A$3:$H$102,4,FALSE)+(VLOOKUP(VLOOKUP(AW$1,main!$A$3:$H$102,8,FALSE),main!$K$19:$O$22,MATCH(VLOOKUP($A67,main!$A$3:$H$102,7,FALSE),main!$K$18:$O$18,0),0))),0)</f>
        <v>120</v>
      </c>
      <c r="AX67">
        <f>IF((gamma!AX67),IF(VLOOKUP(AX$1,main!$A$3:$H$102,7,FALSE)=VLOOKUP($A67,main!$A$3:$H$102,8,FALSE),VLOOKUP(AX$1,main!$A$3:$H$102,4,FALSE),VLOOKUP(AX$1,main!$A$3:$H$102,4,FALSE)+VLOOKUP($A67,main!$A$3:$H$102,4,FALSE)+(VLOOKUP(VLOOKUP(AX$1,main!$A$3:$H$102,8,FALSE),main!$K$19:$O$22,MATCH(VLOOKUP($A67,main!$A$3:$H$102,7,FALSE),main!$K$18:$O$18,0),0))),0)</f>
        <v>105</v>
      </c>
      <c r="AY67">
        <f>IF((gamma!AY67),IF(VLOOKUP(AY$1,main!$A$3:$H$102,7,FALSE)=VLOOKUP($A67,main!$A$3:$H$102,8,FALSE),VLOOKUP(AY$1,main!$A$3:$H$102,4,FALSE),VLOOKUP(AY$1,main!$A$3:$H$102,4,FALSE)+VLOOKUP($A67,main!$A$3:$H$102,4,FALSE)+(VLOOKUP(VLOOKUP(AY$1,main!$A$3:$H$102,8,FALSE),main!$K$19:$O$22,MATCH(VLOOKUP($A67,main!$A$3:$H$102,7,FALSE),main!$K$18:$O$18,0),0))),0)</f>
        <v>90</v>
      </c>
      <c r="AZ67">
        <f>IF((gamma!AZ67),IF(VLOOKUP(AZ$1,main!$A$3:$H$102,7,FALSE)=VLOOKUP($A67,main!$A$3:$H$102,8,FALSE),VLOOKUP(AZ$1,main!$A$3:$H$102,4,FALSE),VLOOKUP(AZ$1,main!$A$3:$H$102,4,FALSE)+VLOOKUP($A67,main!$A$3:$H$102,4,FALSE)+(VLOOKUP(VLOOKUP(AZ$1,main!$A$3:$H$102,8,FALSE),main!$K$19:$O$22,MATCH(VLOOKUP($A67,main!$A$3:$H$102,7,FALSE),main!$K$18:$O$18,0),0))),0)</f>
        <v>135</v>
      </c>
      <c r="BA67">
        <f>IF((gamma!BA67),IF(VLOOKUP(BA$1,main!$A$3:$H$102,7,FALSE)=VLOOKUP($A67,main!$A$3:$H$102,8,FALSE),VLOOKUP(BA$1,main!$A$3:$H$102,4,FALSE),VLOOKUP(BA$1,main!$A$3:$H$102,4,FALSE)+VLOOKUP($A67,main!$A$3:$H$102,4,FALSE)+(VLOOKUP(VLOOKUP(BA$1,main!$A$3:$H$102,8,FALSE),main!$K$19:$O$22,MATCH(VLOOKUP($A67,main!$A$3:$H$102,7,FALSE),main!$K$18:$O$18,0),0))),0)</f>
        <v>290</v>
      </c>
      <c r="BB67">
        <f>IF((gamma!BB67),IF(VLOOKUP(BB$1,main!$A$3:$H$102,7,FALSE)=VLOOKUP($A67,main!$A$3:$H$102,8,FALSE),VLOOKUP(BB$1,main!$A$3:$H$102,4,FALSE),VLOOKUP(BB$1,main!$A$3:$H$102,4,FALSE)+VLOOKUP($A67,main!$A$3:$H$102,4,FALSE)+(VLOOKUP(VLOOKUP(BB$1,main!$A$3:$H$102,8,FALSE),main!$K$19:$O$22,MATCH(VLOOKUP($A67,main!$A$3:$H$102,7,FALSE),main!$K$18:$O$18,0),0))),0)</f>
        <v>290</v>
      </c>
      <c r="BC67">
        <f>IF((gamma!BC67),IF(VLOOKUP(BC$1,main!$A$3:$H$102,7,FALSE)=VLOOKUP($A67,main!$A$3:$H$102,8,FALSE),VLOOKUP(BC$1,main!$A$3:$H$102,4,FALSE),VLOOKUP(BC$1,main!$A$3:$H$102,4,FALSE)+VLOOKUP($A67,main!$A$3:$H$102,4,FALSE)+(VLOOKUP(VLOOKUP(BC$1,main!$A$3:$H$102,8,FALSE),main!$K$19:$O$22,MATCH(VLOOKUP($A67,main!$A$3:$H$102,7,FALSE),main!$K$18:$O$18,0),0))),0)</f>
        <v>290</v>
      </c>
      <c r="BD67">
        <f>IF((gamma!BD67),IF(VLOOKUP(BD$1,main!$A$3:$H$102,7,FALSE)=VLOOKUP($A67,main!$A$3:$H$102,8,FALSE),VLOOKUP(BD$1,main!$A$3:$H$102,4,FALSE),VLOOKUP(BD$1,main!$A$3:$H$102,4,FALSE)+VLOOKUP($A67,main!$A$3:$H$102,4,FALSE)+(VLOOKUP(VLOOKUP(BD$1,main!$A$3:$H$102,8,FALSE),main!$K$19:$O$22,MATCH(VLOOKUP($A67,main!$A$3:$H$102,7,FALSE),main!$K$18:$O$18,0),0))),0)</f>
        <v>290</v>
      </c>
      <c r="BE67">
        <f>IF((gamma!BE67),IF(VLOOKUP(BE$1,main!$A$3:$H$102,7,FALSE)=VLOOKUP($A67,main!$A$3:$H$102,8,FALSE),VLOOKUP(BE$1,main!$A$3:$H$102,4,FALSE),VLOOKUP(BE$1,main!$A$3:$H$102,4,FALSE)+VLOOKUP($A67,main!$A$3:$H$102,4,FALSE)+(VLOOKUP(VLOOKUP(BE$1,main!$A$3:$H$102,8,FALSE),main!$K$19:$O$22,MATCH(VLOOKUP($A67,main!$A$3:$H$102,7,FALSE),main!$K$18:$O$18,0),0))),0)</f>
        <v>290</v>
      </c>
      <c r="BF67">
        <f>IF((gamma!BF67),IF(VLOOKUP(BF$1,main!$A$3:$H$102,7,FALSE)=VLOOKUP($A67,main!$A$3:$H$102,8,FALSE),VLOOKUP(BF$1,main!$A$3:$H$102,4,FALSE),VLOOKUP(BF$1,main!$A$3:$H$102,4,FALSE)+VLOOKUP($A67,main!$A$3:$H$102,4,FALSE)+(VLOOKUP(VLOOKUP(BF$1,main!$A$3:$H$102,8,FALSE),main!$K$19:$O$22,MATCH(VLOOKUP($A67,main!$A$3:$H$102,7,FALSE),main!$K$18:$O$18,0),0))),0)</f>
        <v>270</v>
      </c>
      <c r="BG67">
        <f>IF((gamma!BG67),IF(VLOOKUP(BG$1,main!$A$3:$H$102,7,FALSE)=VLOOKUP($A67,main!$A$3:$H$102,8,FALSE),VLOOKUP(BG$1,main!$A$3:$H$102,4,FALSE),VLOOKUP(BG$1,main!$A$3:$H$102,4,FALSE)+VLOOKUP($A67,main!$A$3:$H$102,4,FALSE)+(VLOOKUP(VLOOKUP(BG$1,main!$A$3:$H$102,8,FALSE),main!$K$19:$O$22,MATCH(VLOOKUP($A67,main!$A$3:$H$102,7,FALSE),main!$K$18:$O$18,0),0))),0)</f>
        <v>265</v>
      </c>
      <c r="BH67">
        <f>IF((gamma!BH67),IF(VLOOKUP(BH$1,main!$A$3:$H$102,7,FALSE)=VLOOKUP($A67,main!$A$3:$H$102,8,FALSE),VLOOKUP(BH$1,main!$A$3:$H$102,4,FALSE),VLOOKUP(BH$1,main!$A$3:$H$102,4,FALSE)+VLOOKUP($A67,main!$A$3:$H$102,4,FALSE)+(VLOOKUP(VLOOKUP(BH$1,main!$A$3:$H$102,8,FALSE),main!$K$19:$O$22,MATCH(VLOOKUP($A67,main!$A$3:$H$102,7,FALSE),main!$K$18:$O$18,0),0))),0)</f>
        <v>275</v>
      </c>
      <c r="BI67">
        <f>IF((gamma!BI67),IF(VLOOKUP(BI$1,main!$A$3:$H$102,7,FALSE)=VLOOKUP($A67,main!$A$3:$H$102,8,FALSE),VLOOKUP(BI$1,main!$A$3:$H$102,4,FALSE),VLOOKUP(BI$1,main!$A$3:$H$102,4,FALSE)+VLOOKUP($A67,main!$A$3:$H$102,4,FALSE)+(VLOOKUP(VLOOKUP(BI$1,main!$A$3:$H$102,8,FALSE),main!$K$19:$O$22,MATCH(VLOOKUP($A67,main!$A$3:$H$102,7,FALSE),main!$K$18:$O$18,0),0))),0)</f>
        <v>210</v>
      </c>
      <c r="BJ67">
        <f>IF((gamma!BJ67),IF(VLOOKUP(BJ$1,main!$A$3:$H$102,7,FALSE)=VLOOKUP($A67,main!$A$3:$H$102,8,FALSE),VLOOKUP(BJ$1,main!$A$3:$H$102,4,FALSE),VLOOKUP(BJ$1,main!$A$3:$H$102,4,FALSE)+VLOOKUP($A67,main!$A$3:$H$102,4,FALSE)+(VLOOKUP(VLOOKUP(BJ$1,main!$A$3:$H$102,8,FALSE),main!$K$19:$O$22,MATCH(VLOOKUP($A67,main!$A$3:$H$102,7,FALSE),main!$K$18:$O$18,0),0))),0)</f>
        <v>240</v>
      </c>
      <c r="BK67">
        <f>IF((gamma!BK67),IF(VLOOKUP(BK$1,main!$A$3:$H$102,7,FALSE)=VLOOKUP($A67,main!$A$3:$H$102,8,FALSE),VLOOKUP(BK$1,main!$A$3:$H$102,4,FALSE),VLOOKUP(BK$1,main!$A$3:$H$102,4,FALSE)+VLOOKUP($A67,main!$A$3:$H$102,4,FALSE)+(VLOOKUP(VLOOKUP(BK$1,main!$A$3:$H$102,8,FALSE),main!$K$19:$O$22,MATCH(VLOOKUP($A67,main!$A$3:$H$102,7,FALSE),main!$K$18:$O$18,0),0))),0)</f>
        <v>0</v>
      </c>
      <c r="BL67">
        <f>IF((gamma!BL67),IF(VLOOKUP(BL$1,main!$A$3:$H$102,7,FALSE)=VLOOKUP($A67,main!$A$3:$H$102,8,FALSE),VLOOKUP(BL$1,main!$A$3:$H$102,4,FALSE),VLOOKUP(BL$1,main!$A$3:$H$102,4,FALSE)+VLOOKUP($A67,main!$A$3:$H$102,4,FALSE)+(VLOOKUP(VLOOKUP(BL$1,main!$A$3:$H$102,8,FALSE),main!$K$19:$O$22,MATCH(VLOOKUP($A67,main!$A$3:$H$102,7,FALSE),main!$K$18:$O$18,0),0))),0)</f>
        <v>0</v>
      </c>
      <c r="BM67">
        <f>IF((gamma!BM67),IF(VLOOKUP(BM$1,main!$A$3:$H$102,7,FALSE)=VLOOKUP($A67,main!$A$3:$H$102,8,FALSE),VLOOKUP(BM$1,main!$A$3:$H$102,4,FALSE),VLOOKUP(BM$1,main!$A$3:$H$102,4,FALSE)+VLOOKUP($A67,main!$A$3:$H$102,4,FALSE)+(VLOOKUP(VLOOKUP(BM$1,main!$A$3:$H$102,8,FALSE),main!$K$19:$O$22,MATCH(VLOOKUP($A67,main!$A$3:$H$102,7,FALSE),main!$K$18:$O$18,0),0))),0)</f>
        <v>288</v>
      </c>
      <c r="BN67">
        <f>IF((gamma!BN67),IF(VLOOKUP(BN$1,main!$A$3:$H$102,7,FALSE)=VLOOKUP($A67,main!$A$3:$H$102,8,FALSE),VLOOKUP(BN$1,main!$A$3:$H$102,4,FALSE),VLOOKUP(BN$1,main!$A$3:$H$102,4,FALSE)+VLOOKUP($A67,main!$A$3:$H$102,4,FALSE)+(VLOOKUP(VLOOKUP(BN$1,main!$A$3:$H$102,8,FALSE),main!$K$19:$O$22,MATCH(VLOOKUP($A67,main!$A$3:$H$102,7,FALSE),main!$K$18:$O$18,0),0))),0)</f>
        <v>268</v>
      </c>
      <c r="BO67">
        <f>IF((gamma!BO67),IF(VLOOKUP(BO$1,main!$A$3:$H$102,7,FALSE)=VLOOKUP($A67,main!$A$3:$H$102,8,FALSE),VLOOKUP(BO$1,main!$A$3:$H$102,4,FALSE),VLOOKUP(BO$1,main!$A$3:$H$102,4,FALSE)+VLOOKUP($A67,main!$A$3:$H$102,4,FALSE)+(VLOOKUP(VLOOKUP(BO$1,main!$A$3:$H$102,8,FALSE),main!$K$19:$O$22,MATCH(VLOOKUP($A67,main!$A$3:$H$102,7,FALSE),main!$K$18:$O$18,0),0))),0)</f>
        <v>0</v>
      </c>
      <c r="BP67">
        <f>IF((gamma!BP67),IF(VLOOKUP(BP$1,main!$A$3:$H$102,7,FALSE)=VLOOKUP($A67,main!$A$3:$H$102,8,FALSE),VLOOKUP(BP$1,main!$A$3:$H$102,4,FALSE),VLOOKUP(BP$1,main!$A$3:$H$102,4,FALSE)+VLOOKUP($A67,main!$A$3:$H$102,4,FALSE)+(VLOOKUP(VLOOKUP(BP$1,main!$A$3:$H$102,8,FALSE),main!$K$19:$O$22,MATCH(VLOOKUP($A67,main!$A$3:$H$102,7,FALSE),main!$K$18:$O$18,0),0))),0)</f>
        <v>0</v>
      </c>
      <c r="BQ67">
        <f>IF((gamma!BQ67),IF(VLOOKUP(BQ$1,main!$A$3:$H$102,7,FALSE)=VLOOKUP($A67,main!$A$3:$H$102,8,FALSE),VLOOKUP(BQ$1,main!$A$3:$H$102,4,FALSE),VLOOKUP(BQ$1,main!$A$3:$H$102,4,FALSE)+VLOOKUP($A67,main!$A$3:$H$102,4,FALSE)+(VLOOKUP(VLOOKUP(BQ$1,main!$A$3:$H$102,8,FALSE),main!$K$19:$O$22,MATCH(VLOOKUP($A67,main!$A$3:$H$102,7,FALSE),main!$K$18:$O$18,0),0))),0)</f>
        <v>288</v>
      </c>
      <c r="BR67">
        <f>IF((gamma!BR67),IF(VLOOKUP(BR$1,main!$A$3:$H$102,7,FALSE)=VLOOKUP($A67,main!$A$3:$H$102,8,FALSE),VLOOKUP(BR$1,main!$A$3:$H$102,4,FALSE),VLOOKUP(BR$1,main!$A$3:$H$102,4,FALSE)+VLOOKUP($A67,main!$A$3:$H$102,4,FALSE)+(VLOOKUP(VLOOKUP(BR$1,main!$A$3:$H$102,8,FALSE),main!$K$19:$O$22,MATCH(VLOOKUP($A67,main!$A$3:$H$102,7,FALSE),main!$K$18:$O$18,0),0))),0)</f>
        <v>248</v>
      </c>
      <c r="BS67">
        <f>IF((gamma!BS67),IF(VLOOKUP(BS$1,main!$A$3:$H$102,7,FALSE)=VLOOKUP($A67,main!$A$3:$H$102,8,FALSE),VLOOKUP(BS$1,main!$A$3:$H$102,4,FALSE),VLOOKUP(BS$1,main!$A$3:$H$102,4,FALSE)+VLOOKUP($A67,main!$A$3:$H$102,4,FALSE)+(VLOOKUP(VLOOKUP(BS$1,main!$A$3:$H$102,8,FALSE),main!$K$19:$O$22,MATCH(VLOOKUP($A67,main!$A$3:$H$102,7,FALSE),main!$K$18:$O$18,0),0))),0)</f>
        <v>249</v>
      </c>
      <c r="BT67">
        <f>IF((gamma!BT67),IF(VLOOKUP(BT$1,main!$A$3:$H$102,7,FALSE)=VLOOKUP($A67,main!$A$3:$H$102,8,FALSE),VLOOKUP(BT$1,main!$A$3:$H$102,4,FALSE),VLOOKUP(BT$1,main!$A$3:$H$102,4,FALSE)+VLOOKUP($A67,main!$A$3:$H$102,4,FALSE)+(VLOOKUP(VLOOKUP(BT$1,main!$A$3:$H$102,8,FALSE),main!$K$19:$O$22,MATCH(VLOOKUP($A67,main!$A$3:$H$102,7,FALSE),main!$K$18:$O$18,0),0))),0)</f>
        <v>268</v>
      </c>
      <c r="BU67">
        <f>IF((gamma!BU67),IF(VLOOKUP(BU$1,main!$A$3:$H$102,7,FALSE)=VLOOKUP($A67,main!$A$3:$H$102,8,FALSE),VLOOKUP(BU$1,main!$A$3:$H$102,4,FALSE),VLOOKUP(BU$1,main!$A$3:$H$102,4,FALSE)+VLOOKUP($A67,main!$A$3:$H$102,4,FALSE)+(VLOOKUP(VLOOKUP(BU$1,main!$A$3:$H$102,8,FALSE),main!$K$19:$O$22,MATCH(VLOOKUP($A67,main!$A$3:$H$102,7,FALSE),main!$K$18:$O$18,0),0))),0)</f>
        <v>0</v>
      </c>
      <c r="BV67">
        <f>IF((gamma!BV67),IF(VLOOKUP(BV$1,main!$A$3:$H$102,7,FALSE)=VLOOKUP($A67,main!$A$3:$H$102,8,FALSE),VLOOKUP(BV$1,main!$A$3:$H$102,4,FALSE),VLOOKUP(BV$1,main!$A$3:$H$102,4,FALSE)+VLOOKUP($A67,main!$A$3:$H$102,4,FALSE)+(VLOOKUP(VLOOKUP(BV$1,main!$A$3:$H$102,8,FALSE),main!$K$19:$O$22,MATCH(VLOOKUP($A67,main!$A$3:$H$102,7,FALSE),main!$K$18:$O$18,0),0))),0)</f>
        <v>0</v>
      </c>
      <c r="BW67">
        <f>IF((gamma!BW67),IF(VLOOKUP(BW$1,main!$A$3:$H$102,7,FALSE)=VLOOKUP($A67,main!$A$3:$H$102,8,FALSE),VLOOKUP(BW$1,main!$A$3:$H$102,4,FALSE),VLOOKUP(BW$1,main!$A$3:$H$102,4,FALSE)+VLOOKUP($A67,main!$A$3:$H$102,4,FALSE)+(VLOOKUP(VLOOKUP(BW$1,main!$A$3:$H$102,8,FALSE),main!$K$19:$O$22,MATCH(VLOOKUP($A67,main!$A$3:$H$102,7,FALSE),main!$K$18:$O$18,0),0))),0)</f>
        <v>288</v>
      </c>
      <c r="BX67">
        <f>IF((gamma!BX67),IF(VLOOKUP(BX$1,main!$A$3:$H$102,7,FALSE)=VLOOKUP($A67,main!$A$3:$H$102,8,FALSE),VLOOKUP(BX$1,main!$A$3:$H$102,4,FALSE),VLOOKUP(BX$1,main!$A$3:$H$102,4,FALSE)+VLOOKUP($A67,main!$A$3:$H$102,4,FALSE)+(VLOOKUP(VLOOKUP(BX$1,main!$A$3:$H$102,8,FALSE),main!$K$19:$O$22,MATCH(VLOOKUP($A67,main!$A$3:$H$102,7,FALSE),main!$K$18:$O$18,0),0))),0)</f>
        <v>288</v>
      </c>
      <c r="BY67">
        <f>IF((gamma!BY67),IF(VLOOKUP(BY$1,main!$A$3:$H$102,7,FALSE)=VLOOKUP($A67,main!$A$3:$H$102,8,FALSE),VLOOKUP(BY$1,main!$A$3:$H$102,4,FALSE),VLOOKUP(BY$1,main!$A$3:$H$102,4,FALSE)+VLOOKUP($A67,main!$A$3:$H$102,4,FALSE)+(VLOOKUP(VLOOKUP(BY$1,main!$A$3:$H$102,8,FALSE),main!$K$19:$O$22,MATCH(VLOOKUP($A67,main!$A$3:$H$102,7,FALSE),main!$K$18:$O$18,0),0))),0)</f>
        <v>273</v>
      </c>
      <c r="BZ67">
        <f>IF((gamma!BZ67),IF(VLOOKUP(BZ$1,main!$A$3:$H$102,7,FALSE)=VLOOKUP($A67,main!$A$3:$H$102,8,FALSE),VLOOKUP(BZ$1,main!$A$3:$H$102,4,FALSE),VLOOKUP(BZ$1,main!$A$3:$H$102,4,FALSE)+VLOOKUP($A67,main!$A$3:$H$102,4,FALSE)+(VLOOKUP(VLOOKUP(BZ$1,main!$A$3:$H$102,8,FALSE),main!$K$19:$O$22,MATCH(VLOOKUP($A67,main!$A$3:$H$102,7,FALSE),main!$K$18:$O$18,0),0))),0)</f>
        <v>0</v>
      </c>
      <c r="CA67">
        <f>IF((gamma!CA67),IF(VLOOKUP(CA$1,main!$A$3:$H$102,7,FALSE)=VLOOKUP($A67,main!$A$3:$H$102,8,FALSE),VLOOKUP(CA$1,main!$A$3:$H$102,4,FALSE),VLOOKUP(CA$1,main!$A$3:$H$102,4,FALSE)+VLOOKUP($A67,main!$A$3:$H$102,4,FALSE)+(VLOOKUP(VLOOKUP(CA$1,main!$A$3:$H$102,8,FALSE),main!$K$19:$O$22,MATCH(VLOOKUP($A67,main!$A$3:$H$102,7,FALSE),main!$K$18:$O$18,0),0))),0)</f>
        <v>228</v>
      </c>
      <c r="CB67">
        <f>IF((gamma!CB67),IF(VLOOKUP(CB$1,main!$A$3:$H$102,7,FALSE)=VLOOKUP($A67,main!$A$3:$H$102,8,FALSE),VLOOKUP(CB$1,main!$A$3:$H$102,4,FALSE),VLOOKUP(CB$1,main!$A$3:$H$102,4,FALSE)+VLOOKUP($A67,main!$A$3:$H$102,4,FALSE)+(VLOOKUP(VLOOKUP(CB$1,main!$A$3:$H$102,8,FALSE),main!$K$19:$O$22,MATCH(VLOOKUP($A67,main!$A$3:$H$102,7,FALSE),main!$K$18:$O$18,0),0))),0)</f>
        <v>218</v>
      </c>
      <c r="CC67">
        <f>IF((gamma!CC67),IF(VLOOKUP(CC$1,main!$A$3:$H$102,7,FALSE)=VLOOKUP($A67,main!$A$3:$H$102,8,FALSE),VLOOKUP(CC$1,main!$A$3:$H$102,4,FALSE),VLOOKUP(CC$1,main!$A$3:$H$102,4,FALSE)+VLOOKUP($A67,main!$A$3:$H$102,4,FALSE)+(VLOOKUP(VLOOKUP(CC$1,main!$A$3:$H$102,8,FALSE),main!$K$19:$O$22,MATCH(VLOOKUP($A67,main!$A$3:$H$102,7,FALSE),main!$K$18:$O$18,0),0))),0)</f>
        <v>208</v>
      </c>
      <c r="CD67">
        <f>IF((gamma!CD67),IF(VLOOKUP(CD$1,main!$A$3:$H$102,7,FALSE)=VLOOKUP($A67,main!$A$3:$H$102,8,FALSE),VLOOKUP(CD$1,main!$A$3:$H$102,4,FALSE),VLOOKUP(CD$1,main!$A$3:$H$102,4,FALSE)+VLOOKUP($A67,main!$A$3:$H$102,4,FALSE)+(VLOOKUP(VLOOKUP(CD$1,main!$A$3:$H$102,8,FALSE),main!$K$19:$O$22,MATCH(VLOOKUP($A67,main!$A$3:$H$102,7,FALSE),main!$K$18:$O$18,0),0))),0)</f>
        <v>267</v>
      </c>
      <c r="CE67">
        <f>IF((gamma!CE67),IF(VLOOKUP(CE$1,main!$A$3:$H$102,7,FALSE)=VLOOKUP($A67,main!$A$3:$H$102,8,FALSE),VLOOKUP(CE$1,main!$A$3:$H$102,4,FALSE),VLOOKUP(CE$1,main!$A$3:$H$102,4,FALSE)+VLOOKUP($A67,main!$A$3:$H$102,4,FALSE)+(VLOOKUP(VLOOKUP(CE$1,main!$A$3:$H$102,8,FALSE),main!$K$19:$O$22,MATCH(VLOOKUP($A67,main!$A$3:$H$102,7,FALSE),main!$K$18:$O$18,0),0))),0)</f>
        <v>290</v>
      </c>
      <c r="CF67">
        <f>IF((gamma!CF67),IF(VLOOKUP(CF$1,main!$A$3:$H$102,7,FALSE)=VLOOKUP($A67,main!$A$3:$H$102,8,FALSE),VLOOKUP(CF$1,main!$A$3:$H$102,4,FALSE),VLOOKUP(CF$1,main!$A$3:$H$102,4,FALSE)+VLOOKUP($A67,main!$A$3:$H$102,4,FALSE)+(VLOOKUP(VLOOKUP(CF$1,main!$A$3:$H$102,8,FALSE),main!$K$19:$O$22,MATCH(VLOOKUP($A67,main!$A$3:$H$102,7,FALSE),main!$K$18:$O$18,0),0))),0)</f>
        <v>285</v>
      </c>
      <c r="CG67">
        <f>IF((gamma!CG67),IF(VLOOKUP(CG$1,main!$A$3:$H$102,7,FALSE)=VLOOKUP($A67,main!$A$3:$H$102,8,FALSE),VLOOKUP(CG$1,main!$A$3:$H$102,4,FALSE),VLOOKUP(CG$1,main!$A$3:$H$102,4,FALSE)+VLOOKUP($A67,main!$A$3:$H$102,4,FALSE)+(VLOOKUP(VLOOKUP(CG$1,main!$A$3:$H$102,8,FALSE),main!$K$19:$O$22,MATCH(VLOOKUP($A67,main!$A$3:$H$102,7,FALSE),main!$K$18:$O$18,0),0))),0)</f>
        <v>290</v>
      </c>
      <c r="CH67">
        <f>IF((gamma!CH67),IF(VLOOKUP(CH$1,main!$A$3:$H$102,7,FALSE)=VLOOKUP($A67,main!$A$3:$H$102,8,FALSE),VLOOKUP(CH$1,main!$A$3:$H$102,4,FALSE),VLOOKUP(CH$1,main!$A$3:$H$102,4,FALSE)+VLOOKUP($A67,main!$A$3:$H$102,4,FALSE)+(VLOOKUP(VLOOKUP(CH$1,main!$A$3:$H$102,8,FALSE),main!$K$19:$O$22,MATCH(VLOOKUP($A67,main!$A$3:$H$102,7,FALSE),main!$K$18:$O$18,0),0))),0)</f>
        <v>290</v>
      </c>
      <c r="CI67">
        <f>IF((gamma!CI67),IF(VLOOKUP(CI$1,main!$A$3:$H$102,7,FALSE)=VLOOKUP($A67,main!$A$3:$H$102,8,FALSE),VLOOKUP(CI$1,main!$A$3:$H$102,4,FALSE),VLOOKUP(CI$1,main!$A$3:$H$102,4,FALSE)+VLOOKUP($A67,main!$A$3:$H$102,4,FALSE)+(VLOOKUP(VLOOKUP(CI$1,main!$A$3:$H$102,8,FALSE),main!$K$19:$O$22,MATCH(VLOOKUP($A67,main!$A$3:$H$102,7,FALSE),main!$K$18:$O$18,0),0))),0)</f>
        <v>290</v>
      </c>
      <c r="CJ67">
        <f>IF((gamma!CJ67),IF(VLOOKUP(CJ$1,main!$A$3:$H$102,7,FALSE)=VLOOKUP($A67,main!$A$3:$H$102,8,FALSE),VLOOKUP(CJ$1,main!$A$3:$H$102,4,FALSE),VLOOKUP(CJ$1,main!$A$3:$H$102,4,FALSE)+VLOOKUP($A67,main!$A$3:$H$102,4,FALSE)+(VLOOKUP(VLOOKUP(CJ$1,main!$A$3:$H$102,8,FALSE),main!$K$19:$O$22,MATCH(VLOOKUP($A67,main!$A$3:$H$102,7,FALSE),main!$K$18:$O$18,0),0))),0)</f>
        <v>218</v>
      </c>
      <c r="CK67">
        <f>IF((gamma!CK67),IF(VLOOKUP(CK$1,main!$A$3:$H$102,7,FALSE)=VLOOKUP($A67,main!$A$3:$H$102,8,FALSE),VLOOKUP(CK$1,main!$A$3:$H$102,4,FALSE),VLOOKUP(CK$1,main!$A$3:$H$102,4,FALSE)+VLOOKUP($A67,main!$A$3:$H$102,4,FALSE)+(VLOOKUP(VLOOKUP(CK$1,main!$A$3:$H$102,8,FALSE),main!$K$19:$O$22,MATCH(VLOOKUP($A67,main!$A$3:$H$102,7,FALSE),main!$K$18:$O$18,0),0))),0)</f>
        <v>225</v>
      </c>
      <c r="CL67">
        <f>IF((gamma!CL67),IF(VLOOKUP(CL$1,main!$A$3:$H$102,7,FALSE)=VLOOKUP($A67,main!$A$3:$H$102,8,FALSE),VLOOKUP(CL$1,main!$A$3:$H$102,4,FALSE),VLOOKUP(CL$1,main!$A$3:$H$102,4,FALSE)+VLOOKUP($A67,main!$A$3:$H$102,4,FALSE)+(VLOOKUP(VLOOKUP(CL$1,main!$A$3:$H$102,8,FALSE),main!$K$19:$O$22,MATCH(VLOOKUP($A67,main!$A$3:$H$102,7,FALSE),main!$K$18:$O$18,0),0))),0)</f>
        <v>230</v>
      </c>
      <c r="CM67">
        <f>IF((gamma!CM67),IF(VLOOKUP(CM$1,main!$A$3:$H$102,7,FALSE)=VLOOKUP($A67,main!$A$3:$H$102,8,FALSE),VLOOKUP(CM$1,main!$A$3:$H$102,4,FALSE),VLOOKUP(CM$1,main!$A$3:$H$102,4,FALSE)+VLOOKUP($A67,main!$A$3:$H$102,4,FALSE)+(VLOOKUP(VLOOKUP(CM$1,main!$A$3:$H$102,8,FALSE),main!$K$19:$O$22,MATCH(VLOOKUP($A67,main!$A$3:$H$102,7,FALSE),main!$K$18:$O$18,0),0))),0)</f>
        <v>250</v>
      </c>
      <c r="CN67">
        <f>IF((gamma!CN67),IF(VLOOKUP(CN$1,main!$A$3:$H$102,7,FALSE)=VLOOKUP($A67,main!$A$3:$H$102,8,FALSE),VLOOKUP(CN$1,main!$A$3:$H$102,4,FALSE),VLOOKUP(CN$1,main!$A$3:$H$102,4,FALSE)+VLOOKUP($A67,main!$A$3:$H$102,4,FALSE)+(VLOOKUP(VLOOKUP(CN$1,main!$A$3:$H$102,8,FALSE),main!$K$19:$O$22,MATCH(VLOOKUP($A67,main!$A$3:$H$102,7,FALSE),main!$K$18:$O$18,0),0))),0)</f>
        <v>246</v>
      </c>
      <c r="CO67">
        <f>IF((gamma!CO67),IF(VLOOKUP(CO$1,main!$A$3:$H$102,7,FALSE)=VLOOKUP($A67,main!$A$3:$H$102,8,FALSE),VLOOKUP(CO$1,main!$A$3:$H$102,4,FALSE),VLOOKUP(CO$1,main!$A$3:$H$102,4,FALSE)+VLOOKUP($A67,main!$A$3:$H$102,4,FALSE)+(VLOOKUP(VLOOKUP(CO$1,main!$A$3:$H$102,8,FALSE),main!$K$19:$O$22,MATCH(VLOOKUP($A67,main!$A$3:$H$102,7,FALSE),main!$K$18:$O$18,0),0))),0)</f>
        <v>260</v>
      </c>
      <c r="CP67">
        <f>IF((gamma!CP67),IF(VLOOKUP(CP$1,main!$A$3:$H$102,7,FALSE)=VLOOKUP($A67,main!$A$3:$H$102,8,FALSE),VLOOKUP(CP$1,main!$A$3:$H$102,4,FALSE),VLOOKUP(CP$1,main!$A$3:$H$102,4,FALSE)+VLOOKUP($A67,main!$A$3:$H$102,4,FALSE)+(VLOOKUP(VLOOKUP(CP$1,main!$A$3:$H$102,8,FALSE),main!$K$19:$O$22,MATCH(VLOOKUP($A67,main!$A$3:$H$102,7,FALSE),main!$K$18:$O$18,0),0))),0)</f>
        <v>240</v>
      </c>
      <c r="CQ67">
        <f>IF((gamma!CQ67),IF(VLOOKUP(CQ$1,main!$A$3:$H$102,7,FALSE)=VLOOKUP($A67,main!$A$3:$H$102,8,FALSE),VLOOKUP(CQ$1,main!$A$3:$H$102,4,FALSE),VLOOKUP(CQ$1,main!$A$3:$H$102,4,FALSE)+VLOOKUP($A67,main!$A$3:$H$102,4,FALSE)+(VLOOKUP(VLOOKUP(CQ$1,main!$A$3:$H$102,8,FALSE),main!$K$19:$O$22,MATCH(VLOOKUP($A67,main!$A$3:$H$102,7,FALSE),main!$K$18:$O$18,0),0))),0)</f>
        <v>240</v>
      </c>
      <c r="CR67">
        <f>IF((gamma!CR67),IF(VLOOKUP(CR$1,main!$A$3:$H$102,7,FALSE)=VLOOKUP($A67,main!$A$3:$H$102,8,FALSE),VLOOKUP(CR$1,main!$A$3:$H$102,4,FALSE),VLOOKUP(CR$1,main!$A$3:$H$102,4,FALSE)+VLOOKUP($A67,main!$A$3:$H$102,4,FALSE)+(VLOOKUP(VLOOKUP(CR$1,main!$A$3:$H$102,8,FALSE),main!$K$19:$O$22,MATCH(VLOOKUP($A67,main!$A$3:$H$102,7,FALSE),main!$K$18:$O$18,0),0))),0)</f>
        <v>255</v>
      </c>
      <c r="CS67">
        <f>IF((gamma!CS67),IF(VLOOKUP(CS$1,main!$A$3:$H$102,7,FALSE)=VLOOKUP($A67,main!$A$3:$H$102,8,FALSE),VLOOKUP(CS$1,main!$A$3:$H$102,4,FALSE),VLOOKUP(CS$1,main!$A$3:$H$102,4,FALSE)+VLOOKUP($A67,main!$A$3:$H$102,4,FALSE)+(VLOOKUP(VLOOKUP(CS$1,main!$A$3:$H$102,8,FALSE),main!$K$19:$O$22,MATCH(VLOOKUP($A67,main!$A$3:$H$102,7,FALSE),main!$K$18:$O$18,0),0))),0)</f>
        <v>255</v>
      </c>
      <c r="CT67">
        <f>IF((gamma!CT67),IF(VLOOKUP(CT$1,main!$A$3:$H$102,7,FALSE)=VLOOKUP($A67,main!$A$3:$H$102,8,FALSE),VLOOKUP(CT$1,main!$A$3:$H$102,4,FALSE),VLOOKUP(CT$1,main!$A$3:$H$102,4,FALSE)+VLOOKUP($A67,main!$A$3:$H$102,4,FALSE)+(VLOOKUP(VLOOKUP(CT$1,main!$A$3:$H$102,8,FALSE),main!$K$19:$O$22,MATCH(VLOOKUP($A67,main!$A$3:$H$102,7,FALSE),main!$K$18:$O$18,0),0))),0)</f>
        <v>0</v>
      </c>
      <c r="CU67">
        <f>IF((gamma!CU67),IF(VLOOKUP(CU$1,main!$A$3:$H$102,7,FALSE)=VLOOKUP($A67,main!$A$3:$H$102,8,FALSE),VLOOKUP(CU$1,main!$A$3:$H$102,4,FALSE),VLOOKUP(CU$1,main!$A$3:$H$102,4,FALSE)+VLOOKUP($A67,main!$A$3:$H$102,4,FALSE)+(VLOOKUP(VLOOKUP(CU$1,main!$A$3:$H$102,8,FALSE),main!$K$19:$O$22,MATCH(VLOOKUP($A67,main!$A$3:$H$102,7,FALSE),main!$K$18:$O$18,0),0))),0)</f>
        <v>190</v>
      </c>
      <c r="CV67">
        <f>IF((gamma!CV67),IF(VLOOKUP(CV$1,main!$A$3:$H$102,7,FALSE)=VLOOKUP($A67,main!$A$3:$H$102,8,FALSE),VLOOKUP(CV$1,main!$A$3:$H$102,4,FALSE),VLOOKUP(CV$1,main!$A$3:$H$102,4,FALSE)+VLOOKUP($A67,main!$A$3:$H$102,4,FALSE)+(VLOOKUP(VLOOKUP(CV$1,main!$A$3:$H$102,8,FALSE),main!$K$19:$O$22,MATCH(VLOOKUP($A67,main!$A$3:$H$102,7,FALSE),main!$K$18:$O$18,0),0))),0)</f>
        <v>200</v>
      </c>
      <c r="CW67">
        <f>IF((gamma!CW67),IF(VLOOKUP(CW$1,main!$A$3:$H$102,7,FALSE)=VLOOKUP($A67,main!$A$3:$H$102,8,FALSE),VLOOKUP(CW$1,main!$A$3:$H$102,4,FALSE),VLOOKUP(CW$1,main!$A$3:$H$102,4,FALSE)+VLOOKUP($A67,main!$A$3:$H$102,4,FALSE)+(VLOOKUP(VLOOKUP(CW$1,main!$A$3:$H$102,8,FALSE),main!$K$19:$O$22,MATCH(VLOOKUP($A67,main!$A$3:$H$102,7,FALSE),main!$K$18:$O$18,0),0))),0)</f>
        <v>215</v>
      </c>
      <c r="CX67">
        <f>IF((gamma!CX67),IF(VLOOKUP(CX$1,main!$A$3:$H$102,7,FALSE)=VLOOKUP($A67,main!$A$3:$H$102,8,FALSE),VLOOKUP(CX$1,main!$A$3:$H$102,4,FALSE),VLOOKUP(CX$1,main!$A$3:$H$102,4,FALSE)+VLOOKUP($A67,main!$A$3:$H$102,4,FALSE)+(VLOOKUP(VLOOKUP(CX$1,main!$A$3:$H$102,8,FALSE),main!$K$19:$O$22,MATCH(VLOOKUP($A67,main!$A$3:$H$102,7,FALSE),main!$K$18:$O$18,0),0))),0)</f>
        <v>205</v>
      </c>
      <c r="CY67">
        <v>0</v>
      </c>
      <c r="CZ67">
        <v>0</v>
      </c>
      <c r="DA67">
        <v>0</v>
      </c>
    </row>
    <row r="68" spans="1:105" x14ac:dyDescent="0.25">
      <c r="A68" s="1">
        <v>66</v>
      </c>
      <c r="B68">
        <v>0</v>
      </c>
      <c r="C68">
        <f>IF((gamma!C68),IF(VLOOKUP(C$1,main!$A$3:$H$102,7,FALSE)=VLOOKUP($A68,main!$A$3:$H$102,8,FALSE),VLOOKUP(C$1,main!$A$3:$H$102,4,FALSE),VLOOKUP(C$1,main!$A$3:$H$102,4,FALSE)+VLOOKUP($A68,main!$A$3:$H$102,4,FALSE)+(VLOOKUP(VLOOKUP(C$1,main!$A$3:$H$102,8,FALSE),main!$K$19:$O$22,MATCH(VLOOKUP($A68,main!$A$3:$H$102,7,FALSE),main!$K$18:$O$18,0),0))),0)</f>
        <v>0</v>
      </c>
      <c r="D68">
        <f>IF((gamma!D68),IF(VLOOKUP(D$1,main!$A$3:$H$102,7,FALSE)=VLOOKUP($A68,main!$A$3:$H$102,8,FALSE),VLOOKUP(D$1,main!$A$3:$H$102,4,FALSE),VLOOKUP(D$1,main!$A$3:$H$102,4,FALSE)+VLOOKUP($A68,main!$A$3:$H$102,4,FALSE)+(VLOOKUP(VLOOKUP(D$1,main!$A$3:$H$102,8,FALSE),main!$K$19:$O$22,MATCH(VLOOKUP($A68,main!$A$3:$H$102,7,FALSE),main!$K$18:$O$18,0),0))),0)</f>
        <v>0</v>
      </c>
      <c r="E68">
        <f>IF((gamma!E68),IF(VLOOKUP(E$1,main!$A$3:$H$102,7,FALSE)=VLOOKUP($A68,main!$A$3:$H$102,8,FALSE),VLOOKUP(E$1,main!$A$3:$H$102,4,FALSE),VLOOKUP(E$1,main!$A$3:$H$102,4,FALSE)+VLOOKUP($A68,main!$A$3:$H$102,4,FALSE)+(VLOOKUP(VLOOKUP(E$1,main!$A$3:$H$102,8,FALSE),main!$K$19:$O$22,MATCH(VLOOKUP($A68,main!$A$3:$H$102,7,FALSE),main!$K$18:$O$18,0),0))),0)</f>
        <v>303</v>
      </c>
      <c r="F68">
        <f>IF((gamma!F68),IF(VLOOKUP(F$1,main!$A$3:$H$102,7,FALSE)=VLOOKUP($A68,main!$A$3:$H$102,8,FALSE),VLOOKUP(F$1,main!$A$3:$H$102,4,FALSE),VLOOKUP(F$1,main!$A$3:$H$102,4,FALSE)+VLOOKUP($A68,main!$A$3:$H$102,4,FALSE)+(VLOOKUP(VLOOKUP(F$1,main!$A$3:$H$102,8,FALSE),main!$K$19:$O$22,MATCH(VLOOKUP($A68,main!$A$3:$H$102,7,FALSE),main!$K$18:$O$18,0),0))),0)</f>
        <v>303</v>
      </c>
      <c r="G68">
        <f>IF((gamma!G68),IF(VLOOKUP(G$1,main!$A$3:$H$102,7,FALSE)=VLOOKUP($A68,main!$A$3:$H$102,8,FALSE),VLOOKUP(G$1,main!$A$3:$H$102,4,FALSE),VLOOKUP(G$1,main!$A$3:$H$102,4,FALSE)+VLOOKUP($A68,main!$A$3:$H$102,4,FALSE)+(VLOOKUP(VLOOKUP(G$1,main!$A$3:$H$102,8,FALSE),main!$K$19:$O$22,MATCH(VLOOKUP($A68,main!$A$3:$H$102,7,FALSE),main!$K$18:$O$18,0),0))),0)</f>
        <v>303</v>
      </c>
      <c r="H68">
        <f>IF((gamma!H68),IF(VLOOKUP(H$1,main!$A$3:$H$102,7,FALSE)=VLOOKUP($A68,main!$A$3:$H$102,8,FALSE),VLOOKUP(H$1,main!$A$3:$H$102,4,FALSE),VLOOKUP(H$1,main!$A$3:$H$102,4,FALSE)+VLOOKUP($A68,main!$A$3:$H$102,4,FALSE)+(VLOOKUP(VLOOKUP(H$1,main!$A$3:$H$102,8,FALSE),main!$K$19:$O$22,MATCH(VLOOKUP($A68,main!$A$3:$H$102,7,FALSE),main!$K$18:$O$18,0),0))),0)</f>
        <v>303</v>
      </c>
      <c r="I68">
        <f>IF((gamma!I68),IF(VLOOKUP(I$1,main!$A$3:$H$102,7,FALSE)=VLOOKUP($A68,main!$A$3:$H$102,8,FALSE),VLOOKUP(I$1,main!$A$3:$H$102,4,FALSE),VLOOKUP(I$1,main!$A$3:$H$102,4,FALSE)+VLOOKUP($A68,main!$A$3:$H$102,4,FALSE)+(VLOOKUP(VLOOKUP(I$1,main!$A$3:$H$102,8,FALSE),main!$K$19:$O$22,MATCH(VLOOKUP($A68,main!$A$3:$H$102,7,FALSE),main!$K$18:$O$18,0),0))),0)</f>
        <v>303</v>
      </c>
      <c r="J68">
        <f>IF((gamma!J68),IF(VLOOKUP(J$1,main!$A$3:$H$102,7,FALSE)=VLOOKUP($A68,main!$A$3:$H$102,8,FALSE),VLOOKUP(J$1,main!$A$3:$H$102,4,FALSE),VLOOKUP(J$1,main!$A$3:$H$102,4,FALSE)+VLOOKUP($A68,main!$A$3:$H$102,4,FALSE)+(VLOOKUP(VLOOKUP(J$1,main!$A$3:$H$102,8,FALSE),main!$K$19:$O$22,MATCH(VLOOKUP($A68,main!$A$3:$H$102,7,FALSE),main!$K$18:$O$18,0),0))),0)</f>
        <v>303</v>
      </c>
      <c r="K68">
        <f>IF((gamma!K68),IF(VLOOKUP(K$1,main!$A$3:$H$102,7,FALSE)=VLOOKUP($A68,main!$A$3:$H$102,8,FALSE),VLOOKUP(K$1,main!$A$3:$H$102,4,FALSE),VLOOKUP(K$1,main!$A$3:$H$102,4,FALSE)+VLOOKUP($A68,main!$A$3:$H$102,4,FALSE)+(VLOOKUP(VLOOKUP(K$1,main!$A$3:$H$102,8,FALSE),main!$K$19:$O$22,MATCH(VLOOKUP($A68,main!$A$3:$H$102,7,FALSE),main!$K$18:$O$18,0),0))),0)</f>
        <v>303</v>
      </c>
      <c r="L68">
        <f>IF((gamma!L68),IF(VLOOKUP(L$1,main!$A$3:$H$102,7,FALSE)=VLOOKUP($A68,main!$A$3:$H$102,8,FALSE),VLOOKUP(L$1,main!$A$3:$H$102,4,FALSE),VLOOKUP(L$1,main!$A$3:$H$102,4,FALSE)+VLOOKUP($A68,main!$A$3:$H$102,4,FALSE)+(VLOOKUP(VLOOKUP(L$1,main!$A$3:$H$102,8,FALSE),main!$K$19:$O$22,MATCH(VLOOKUP($A68,main!$A$3:$H$102,7,FALSE),main!$K$18:$O$18,0),0))),0)</f>
        <v>303</v>
      </c>
      <c r="M68">
        <f>IF((gamma!M68),IF(VLOOKUP(M$1,main!$A$3:$H$102,7,FALSE)=VLOOKUP($A68,main!$A$3:$H$102,8,FALSE),VLOOKUP(M$1,main!$A$3:$H$102,4,FALSE),VLOOKUP(M$1,main!$A$3:$H$102,4,FALSE)+VLOOKUP($A68,main!$A$3:$H$102,4,FALSE)+(VLOOKUP(VLOOKUP(M$1,main!$A$3:$H$102,8,FALSE),main!$K$19:$O$22,MATCH(VLOOKUP($A68,main!$A$3:$H$102,7,FALSE),main!$K$18:$O$18,0),0))),0)</f>
        <v>0</v>
      </c>
      <c r="N68">
        <f>IF((gamma!N68),IF(VLOOKUP(N$1,main!$A$3:$H$102,7,FALSE)=VLOOKUP($A68,main!$A$3:$H$102,8,FALSE),VLOOKUP(N$1,main!$A$3:$H$102,4,FALSE),VLOOKUP(N$1,main!$A$3:$H$102,4,FALSE)+VLOOKUP($A68,main!$A$3:$H$102,4,FALSE)+(VLOOKUP(VLOOKUP(N$1,main!$A$3:$H$102,8,FALSE),main!$K$19:$O$22,MATCH(VLOOKUP($A68,main!$A$3:$H$102,7,FALSE),main!$K$18:$O$18,0),0))),0)</f>
        <v>0</v>
      </c>
      <c r="O68">
        <f>IF((gamma!O68),IF(VLOOKUP(O$1,main!$A$3:$H$102,7,FALSE)=VLOOKUP($A68,main!$A$3:$H$102,8,FALSE),VLOOKUP(O$1,main!$A$3:$H$102,4,FALSE),VLOOKUP(O$1,main!$A$3:$H$102,4,FALSE)+VLOOKUP($A68,main!$A$3:$H$102,4,FALSE)+(VLOOKUP(VLOOKUP(O$1,main!$A$3:$H$102,8,FALSE),main!$K$19:$O$22,MATCH(VLOOKUP($A68,main!$A$3:$H$102,7,FALSE),main!$K$18:$O$18,0),0))),0)</f>
        <v>0</v>
      </c>
      <c r="P68">
        <f>IF((gamma!P68),IF(VLOOKUP(P$1,main!$A$3:$H$102,7,FALSE)=VLOOKUP($A68,main!$A$3:$H$102,8,FALSE),VLOOKUP(P$1,main!$A$3:$H$102,4,FALSE),VLOOKUP(P$1,main!$A$3:$H$102,4,FALSE)+VLOOKUP($A68,main!$A$3:$H$102,4,FALSE)+(VLOOKUP(VLOOKUP(P$1,main!$A$3:$H$102,8,FALSE),main!$K$19:$O$22,MATCH(VLOOKUP($A68,main!$A$3:$H$102,7,FALSE),main!$K$18:$O$18,0),0))),0)</f>
        <v>0</v>
      </c>
      <c r="Q68">
        <f>IF((gamma!Q68),IF(VLOOKUP(Q$1,main!$A$3:$H$102,7,FALSE)=VLOOKUP($A68,main!$A$3:$H$102,8,FALSE),VLOOKUP(Q$1,main!$A$3:$H$102,4,FALSE),VLOOKUP(Q$1,main!$A$3:$H$102,4,FALSE)+VLOOKUP($A68,main!$A$3:$H$102,4,FALSE)+(VLOOKUP(VLOOKUP(Q$1,main!$A$3:$H$102,8,FALSE),main!$K$19:$O$22,MATCH(VLOOKUP($A68,main!$A$3:$H$102,7,FALSE),main!$K$18:$O$18,0),0))),0)</f>
        <v>280</v>
      </c>
      <c r="R68">
        <f>IF((gamma!R68),IF(VLOOKUP(R$1,main!$A$3:$H$102,7,FALSE)=VLOOKUP($A68,main!$A$3:$H$102,8,FALSE),VLOOKUP(R$1,main!$A$3:$H$102,4,FALSE),VLOOKUP(R$1,main!$A$3:$H$102,4,FALSE)+VLOOKUP($A68,main!$A$3:$H$102,4,FALSE)+(VLOOKUP(VLOOKUP(R$1,main!$A$3:$H$102,8,FALSE),main!$K$19:$O$22,MATCH(VLOOKUP($A68,main!$A$3:$H$102,7,FALSE),main!$K$18:$O$18,0),0))),0)</f>
        <v>280</v>
      </c>
      <c r="S68">
        <f>IF((gamma!S68),IF(VLOOKUP(S$1,main!$A$3:$H$102,7,FALSE)=VLOOKUP($A68,main!$A$3:$H$102,8,FALSE),VLOOKUP(S$1,main!$A$3:$H$102,4,FALSE),VLOOKUP(S$1,main!$A$3:$H$102,4,FALSE)+VLOOKUP($A68,main!$A$3:$H$102,4,FALSE)+(VLOOKUP(VLOOKUP(S$1,main!$A$3:$H$102,8,FALSE),main!$K$19:$O$22,MATCH(VLOOKUP($A68,main!$A$3:$H$102,7,FALSE),main!$K$18:$O$18,0),0))),0)</f>
        <v>280</v>
      </c>
      <c r="T68">
        <f>IF((gamma!T68),IF(VLOOKUP(T$1,main!$A$3:$H$102,7,FALSE)=VLOOKUP($A68,main!$A$3:$H$102,8,FALSE),VLOOKUP(T$1,main!$A$3:$H$102,4,FALSE),VLOOKUP(T$1,main!$A$3:$H$102,4,FALSE)+VLOOKUP($A68,main!$A$3:$H$102,4,FALSE)+(VLOOKUP(VLOOKUP(T$1,main!$A$3:$H$102,8,FALSE),main!$K$19:$O$22,MATCH(VLOOKUP($A68,main!$A$3:$H$102,7,FALSE),main!$K$18:$O$18,0),0))),0)</f>
        <v>280</v>
      </c>
      <c r="U68">
        <f>IF((gamma!U68),IF(VLOOKUP(U$1,main!$A$3:$H$102,7,FALSE)=VLOOKUP($A68,main!$A$3:$H$102,8,FALSE),VLOOKUP(U$1,main!$A$3:$H$102,4,FALSE),VLOOKUP(U$1,main!$A$3:$H$102,4,FALSE)+VLOOKUP($A68,main!$A$3:$H$102,4,FALSE)+(VLOOKUP(VLOOKUP(U$1,main!$A$3:$H$102,8,FALSE),main!$K$19:$O$22,MATCH(VLOOKUP($A68,main!$A$3:$H$102,7,FALSE),main!$K$18:$O$18,0),0))),0)</f>
        <v>280</v>
      </c>
      <c r="V68">
        <f>IF((gamma!V68),IF(VLOOKUP(V$1,main!$A$3:$H$102,7,FALSE)=VLOOKUP($A68,main!$A$3:$H$102,8,FALSE),VLOOKUP(V$1,main!$A$3:$H$102,4,FALSE),VLOOKUP(V$1,main!$A$3:$H$102,4,FALSE)+VLOOKUP($A68,main!$A$3:$H$102,4,FALSE)+(VLOOKUP(VLOOKUP(V$1,main!$A$3:$H$102,8,FALSE),main!$K$19:$O$22,MATCH(VLOOKUP($A68,main!$A$3:$H$102,7,FALSE),main!$K$18:$O$18,0),0))),0)</f>
        <v>280</v>
      </c>
      <c r="W68">
        <f>IF((gamma!W68),IF(VLOOKUP(W$1,main!$A$3:$H$102,7,FALSE)=VLOOKUP($A68,main!$A$3:$H$102,8,FALSE),VLOOKUP(W$1,main!$A$3:$H$102,4,FALSE),VLOOKUP(W$1,main!$A$3:$H$102,4,FALSE)+VLOOKUP($A68,main!$A$3:$H$102,4,FALSE)+(VLOOKUP(VLOOKUP(W$1,main!$A$3:$H$102,8,FALSE),main!$K$19:$O$22,MATCH(VLOOKUP($A68,main!$A$3:$H$102,7,FALSE),main!$K$18:$O$18,0),0))),0)</f>
        <v>0</v>
      </c>
      <c r="X68">
        <f>IF((gamma!X68),IF(VLOOKUP(X$1,main!$A$3:$H$102,7,FALSE)=VLOOKUP($A68,main!$A$3:$H$102,8,FALSE),VLOOKUP(X$1,main!$A$3:$H$102,4,FALSE),VLOOKUP(X$1,main!$A$3:$H$102,4,FALSE)+VLOOKUP($A68,main!$A$3:$H$102,4,FALSE)+(VLOOKUP(VLOOKUP(X$1,main!$A$3:$H$102,8,FALSE),main!$K$19:$O$22,MATCH(VLOOKUP($A68,main!$A$3:$H$102,7,FALSE),main!$K$18:$O$18,0),0))),0)</f>
        <v>0</v>
      </c>
      <c r="Y68">
        <f>IF((gamma!Y68),IF(VLOOKUP(Y$1,main!$A$3:$H$102,7,FALSE)=VLOOKUP($A68,main!$A$3:$H$102,8,FALSE),VLOOKUP(Y$1,main!$A$3:$H$102,4,FALSE),VLOOKUP(Y$1,main!$A$3:$H$102,4,FALSE)+VLOOKUP($A68,main!$A$3:$H$102,4,FALSE)+(VLOOKUP(VLOOKUP(Y$1,main!$A$3:$H$102,8,FALSE),main!$K$19:$O$22,MATCH(VLOOKUP($A68,main!$A$3:$H$102,7,FALSE),main!$K$18:$O$18,0),0))),0)</f>
        <v>308</v>
      </c>
      <c r="Z68">
        <f>IF((gamma!Z68),IF(VLOOKUP(Z$1,main!$A$3:$H$102,7,FALSE)=VLOOKUP($A68,main!$A$3:$H$102,8,FALSE),VLOOKUP(Z$1,main!$A$3:$H$102,4,FALSE),VLOOKUP(Z$1,main!$A$3:$H$102,4,FALSE)+VLOOKUP($A68,main!$A$3:$H$102,4,FALSE)+(VLOOKUP(VLOOKUP(Z$1,main!$A$3:$H$102,8,FALSE),main!$K$19:$O$22,MATCH(VLOOKUP($A68,main!$A$3:$H$102,7,FALSE),main!$K$18:$O$18,0),0))),0)</f>
        <v>313</v>
      </c>
      <c r="AA68">
        <f>IF((gamma!AA68),IF(VLOOKUP(AA$1,main!$A$3:$H$102,7,FALSE)=VLOOKUP($A68,main!$A$3:$H$102,8,FALSE),VLOOKUP(AA$1,main!$A$3:$H$102,4,FALSE),VLOOKUP(AA$1,main!$A$3:$H$102,4,FALSE)+VLOOKUP($A68,main!$A$3:$H$102,4,FALSE)+(VLOOKUP(VLOOKUP(AA$1,main!$A$3:$H$102,8,FALSE),main!$K$19:$O$22,MATCH(VLOOKUP($A68,main!$A$3:$H$102,7,FALSE),main!$K$18:$O$18,0),0))),0)</f>
        <v>313</v>
      </c>
      <c r="AB68">
        <f>IF((gamma!AB68),IF(VLOOKUP(AB$1,main!$A$3:$H$102,7,FALSE)=VLOOKUP($A68,main!$A$3:$H$102,8,FALSE),VLOOKUP(AB$1,main!$A$3:$H$102,4,FALSE),VLOOKUP(AB$1,main!$A$3:$H$102,4,FALSE)+VLOOKUP($A68,main!$A$3:$H$102,4,FALSE)+(VLOOKUP(VLOOKUP(AB$1,main!$A$3:$H$102,8,FALSE),main!$K$19:$O$22,MATCH(VLOOKUP($A68,main!$A$3:$H$102,7,FALSE),main!$K$18:$O$18,0),0))),0)</f>
        <v>0</v>
      </c>
      <c r="AC68">
        <f>IF((gamma!AC68),IF(VLOOKUP(AC$1,main!$A$3:$H$102,7,FALSE)=VLOOKUP($A68,main!$A$3:$H$102,8,FALSE),VLOOKUP(AC$1,main!$A$3:$H$102,4,FALSE),VLOOKUP(AC$1,main!$A$3:$H$102,4,FALSE)+VLOOKUP($A68,main!$A$3:$H$102,4,FALSE)+(VLOOKUP(VLOOKUP(AC$1,main!$A$3:$H$102,8,FALSE),main!$K$19:$O$22,MATCH(VLOOKUP($A68,main!$A$3:$H$102,7,FALSE),main!$K$18:$O$18,0),0))),0)</f>
        <v>0</v>
      </c>
      <c r="AD68">
        <f>IF((gamma!AD68),IF(VLOOKUP(AD$1,main!$A$3:$H$102,7,FALSE)=VLOOKUP($A68,main!$A$3:$H$102,8,FALSE),VLOOKUP(AD$1,main!$A$3:$H$102,4,FALSE),VLOOKUP(AD$1,main!$A$3:$H$102,4,FALSE)+VLOOKUP($A68,main!$A$3:$H$102,4,FALSE)+(VLOOKUP(VLOOKUP(AD$1,main!$A$3:$H$102,8,FALSE),main!$K$19:$O$22,MATCH(VLOOKUP($A68,main!$A$3:$H$102,7,FALSE),main!$K$18:$O$18,0),0))),0)</f>
        <v>308</v>
      </c>
      <c r="AE68">
        <f>IF((gamma!AE68),IF(VLOOKUP(AE$1,main!$A$3:$H$102,7,FALSE)=VLOOKUP($A68,main!$A$3:$H$102,8,FALSE),VLOOKUP(AE$1,main!$A$3:$H$102,4,FALSE),VLOOKUP(AE$1,main!$A$3:$H$102,4,FALSE)+VLOOKUP($A68,main!$A$3:$H$102,4,FALSE)+(VLOOKUP(VLOOKUP(AE$1,main!$A$3:$H$102,8,FALSE),main!$K$19:$O$22,MATCH(VLOOKUP($A68,main!$A$3:$H$102,7,FALSE),main!$K$18:$O$18,0),0))),0)</f>
        <v>313</v>
      </c>
      <c r="AF68">
        <f>IF((gamma!AF68),IF(VLOOKUP(AF$1,main!$A$3:$H$102,7,FALSE)=VLOOKUP($A68,main!$A$3:$H$102,8,FALSE),VLOOKUP(AF$1,main!$A$3:$H$102,4,FALSE),VLOOKUP(AF$1,main!$A$3:$H$102,4,FALSE)+VLOOKUP($A68,main!$A$3:$H$102,4,FALSE)+(VLOOKUP(VLOOKUP(AF$1,main!$A$3:$H$102,8,FALSE),main!$K$19:$O$22,MATCH(VLOOKUP($A68,main!$A$3:$H$102,7,FALSE),main!$K$18:$O$18,0),0))),0)</f>
        <v>273</v>
      </c>
      <c r="AG68">
        <f>IF((gamma!AG68),IF(VLOOKUP(AG$1,main!$A$3:$H$102,7,FALSE)=VLOOKUP($A68,main!$A$3:$H$102,8,FALSE),VLOOKUP(AG$1,main!$A$3:$H$102,4,FALSE),VLOOKUP(AG$1,main!$A$3:$H$102,4,FALSE)+VLOOKUP($A68,main!$A$3:$H$102,4,FALSE)+(VLOOKUP(VLOOKUP(AG$1,main!$A$3:$H$102,8,FALSE),main!$K$19:$O$22,MATCH(VLOOKUP($A68,main!$A$3:$H$102,7,FALSE),main!$K$18:$O$18,0),0))),0)</f>
        <v>0</v>
      </c>
      <c r="AH68">
        <f>IF((gamma!AH68),IF(VLOOKUP(AH$1,main!$A$3:$H$102,7,FALSE)=VLOOKUP($A68,main!$A$3:$H$102,8,FALSE),VLOOKUP(AH$1,main!$A$3:$H$102,4,FALSE),VLOOKUP(AH$1,main!$A$3:$H$102,4,FALSE)+VLOOKUP($A68,main!$A$3:$H$102,4,FALSE)+(VLOOKUP(VLOOKUP(AH$1,main!$A$3:$H$102,8,FALSE),main!$K$19:$O$22,MATCH(VLOOKUP($A68,main!$A$3:$H$102,7,FALSE),main!$K$18:$O$18,0),0))),0)</f>
        <v>0</v>
      </c>
      <c r="AI68">
        <f>IF((gamma!AI68),IF(VLOOKUP(AI$1,main!$A$3:$H$102,7,FALSE)=VLOOKUP($A68,main!$A$3:$H$102,8,FALSE),VLOOKUP(AI$1,main!$A$3:$H$102,4,FALSE),VLOOKUP(AI$1,main!$A$3:$H$102,4,FALSE)+VLOOKUP($A68,main!$A$3:$H$102,4,FALSE)+(VLOOKUP(VLOOKUP(AI$1,main!$A$3:$H$102,8,FALSE),main!$K$19:$O$22,MATCH(VLOOKUP($A68,main!$A$3:$H$102,7,FALSE),main!$K$18:$O$18,0),0))),0)</f>
        <v>135</v>
      </c>
      <c r="AJ68">
        <f>IF((gamma!AJ68),IF(VLOOKUP(AJ$1,main!$A$3:$H$102,7,FALSE)=VLOOKUP($A68,main!$A$3:$H$102,8,FALSE),VLOOKUP(AJ$1,main!$A$3:$H$102,4,FALSE),VLOOKUP(AJ$1,main!$A$3:$H$102,4,FALSE)+VLOOKUP($A68,main!$A$3:$H$102,4,FALSE)+(VLOOKUP(VLOOKUP(AJ$1,main!$A$3:$H$102,8,FALSE),main!$K$19:$O$22,MATCH(VLOOKUP($A68,main!$A$3:$H$102,7,FALSE),main!$K$18:$O$18,0),0))),0)</f>
        <v>135</v>
      </c>
      <c r="AK68">
        <f>IF((gamma!AK68),IF(VLOOKUP(AK$1,main!$A$3:$H$102,7,FALSE)=VLOOKUP($A68,main!$A$3:$H$102,8,FALSE),VLOOKUP(AK$1,main!$A$3:$H$102,4,FALSE),VLOOKUP(AK$1,main!$A$3:$H$102,4,FALSE)+VLOOKUP($A68,main!$A$3:$H$102,4,FALSE)+(VLOOKUP(VLOOKUP(AK$1,main!$A$3:$H$102,8,FALSE),main!$K$19:$O$22,MATCH(VLOOKUP($A68,main!$A$3:$H$102,7,FALSE),main!$K$18:$O$18,0),0))),0)</f>
        <v>135</v>
      </c>
      <c r="AL68">
        <f>IF((gamma!AL68),IF(VLOOKUP(AL$1,main!$A$3:$H$102,7,FALSE)=VLOOKUP($A68,main!$A$3:$H$102,8,FALSE),VLOOKUP(AL$1,main!$A$3:$H$102,4,FALSE),VLOOKUP(AL$1,main!$A$3:$H$102,4,FALSE)+VLOOKUP($A68,main!$A$3:$H$102,4,FALSE)+(VLOOKUP(VLOOKUP(AL$1,main!$A$3:$H$102,8,FALSE),main!$K$19:$O$22,MATCH(VLOOKUP($A68,main!$A$3:$H$102,7,FALSE),main!$K$18:$O$18,0),0))),0)</f>
        <v>135</v>
      </c>
      <c r="AM68">
        <f>IF((gamma!AM68),IF(VLOOKUP(AM$1,main!$A$3:$H$102,7,FALSE)=VLOOKUP($A68,main!$A$3:$H$102,8,FALSE),VLOOKUP(AM$1,main!$A$3:$H$102,4,FALSE),VLOOKUP(AM$1,main!$A$3:$H$102,4,FALSE)+VLOOKUP($A68,main!$A$3:$H$102,4,FALSE)+(VLOOKUP(VLOOKUP(AM$1,main!$A$3:$H$102,8,FALSE),main!$K$19:$O$22,MATCH(VLOOKUP($A68,main!$A$3:$H$102,7,FALSE),main!$K$18:$O$18,0),0))),0)</f>
        <v>135</v>
      </c>
      <c r="AN68">
        <f>IF((gamma!AN68),IF(VLOOKUP(AN$1,main!$A$3:$H$102,7,FALSE)=VLOOKUP($A68,main!$A$3:$H$102,8,FALSE),VLOOKUP(AN$1,main!$A$3:$H$102,4,FALSE),VLOOKUP(AN$1,main!$A$3:$H$102,4,FALSE)+VLOOKUP($A68,main!$A$3:$H$102,4,FALSE)+(VLOOKUP(VLOOKUP(AN$1,main!$A$3:$H$102,8,FALSE),main!$K$19:$O$22,MATCH(VLOOKUP($A68,main!$A$3:$H$102,7,FALSE),main!$K$18:$O$18,0),0))),0)</f>
        <v>135</v>
      </c>
      <c r="AO68">
        <f>IF((gamma!AO68),IF(VLOOKUP(AO$1,main!$A$3:$H$102,7,FALSE)=VLOOKUP($A68,main!$A$3:$H$102,8,FALSE),VLOOKUP(AO$1,main!$A$3:$H$102,4,FALSE),VLOOKUP(AO$1,main!$A$3:$H$102,4,FALSE)+VLOOKUP($A68,main!$A$3:$H$102,4,FALSE)+(VLOOKUP(VLOOKUP(AO$1,main!$A$3:$H$102,8,FALSE),main!$K$19:$O$22,MATCH(VLOOKUP($A68,main!$A$3:$H$102,7,FALSE),main!$K$18:$O$18,0),0))),0)</f>
        <v>0</v>
      </c>
      <c r="AP68">
        <f>IF((gamma!AP68),IF(VLOOKUP(AP$1,main!$A$3:$H$102,7,FALSE)=VLOOKUP($A68,main!$A$3:$H$102,8,FALSE),VLOOKUP(AP$1,main!$A$3:$H$102,4,FALSE),VLOOKUP(AP$1,main!$A$3:$H$102,4,FALSE)+VLOOKUP($A68,main!$A$3:$H$102,4,FALSE)+(VLOOKUP(VLOOKUP(AP$1,main!$A$3:$H$102,8,FALSE),main!$K$19:$O$22,MATCH(VLOOKUP($A68,main!$A$3:$H$102,7,FALSE),main!$K$18:$O$18,0),0))),0)</f>
        <v>75</v>
      </c>
      <c r="AQ68">
        <f>IF((gamma!AQ68),IF(VLOOKUP(AQ$1,main!$A$3:$H$102,7,FALSE)=VLOOKUP($A68,main!$A$3:$H$102,8,FALSE),VLOOKUP(AQ$1,main!$A$3:$H$102,4,FALSE),VLOOKUP(AQ$1,main!$A$3:$H$102,4,FALSE)+VLOOKUP($A68,main!$A$3:$H$102,4,FALSE)+(VLOOKUP(VLOOKUP(AQ$1,main!$A$3:$H$102,8,FALSE),main!$K$19:$O$22,MATCH(VLOOKUP($A68,main!$A$3:$H$102,7,FALSE),main!$K$18:$O$18,0),0))),0)</f>
        <v>0</v>
      </c>
      <c r="AR68">
        <f>IF((gamma!AR68),IF(VLOOKUP(AR$1,main!$A$3:$H$102,7,FALSE)=VLOOKUP($A68,main!$A$3:$H$102,8,FALSE),VLOOKUP(AR$1,main!$A$3:$H$102,4,FALSE),VLOOKUP(AR$1,main!$A$3:$H$102,4,FALSE)+VLOOKUP($A68,main!$A$3:$H$102,4,FALSE)+(VLOOKUP(VLOOKUP(AR$1,main!$A$3:$H$102,8,FALSE),main!$K$19:$O$22,MATCH(VLOOKUP($A68,main!$A$3:$H$102,7,FALSE),main!$K$18:$O$18,0),0))),0)</f>
        <v>0</v>
      </c>
      <c r="AS68">
        <f>IF((gamma!AS68),IF(VLOOKUP(AS$1,main!$A$3:$H$102,7,FALSE)=VLOOKUP($A68,main!$A$3:$H$102,8,FALSE),VLOOKUP(AS$1,main!$A$3:$H$102,4,FALSE),VLOOKUP(AS$1,main!$A$3:$H$102,4,FALSE)+VLOOKUP($A68,main!$A$3:$H$102,4,FALSE)+(VLOOKUP(VLOOKUP(AS$1,main!$A$3:$H$102,8,FALSE),main!$K$19:$O$22,MATCH(VLOOKUP($A68,main!$A$3:$H$102,7,FALSE),main!$K$18:$O$18,0),0))),0)</f>
        <v>120</v>
      </c>
      <c r="AT68">
        <f>IF((gamma!AT68),IF(VLOOKUP(AT$1,main!$A$3:$H$102,7,FALSE)=VLOOKUP($A68,main!$A$3:$H$102,8,FALSE),VLOOKUP(AT$1,main!$A$3:$H$102,4,FALSE),VLOOKUP(AT$1,main!$A$3:$H$102,4,FALSE)+VLOOKUP($A68,main!$A$3:$H$102,4,FALSE)+(VLOOKUP(VLOOKUP(AT$1,main!$A$3:$H$102,8,FALSE),main!$K$19:$O$22,MATCH(VLOOKUP($A68,main!$A$3:$H$102,7,FALSE),main!$K$18:$O$18,0),0))),0)</f>
        <v>130</v>
      </c>
      <c r="AU68">
        <f>IF((gamma!AU68),IF(VLOOKUP(AU$1,main!$A$3:$H$102,7,FALSE)=VLOOKUP($A68,main!$A$3:$H$102,8,FALSE),VLOOKUP(AU$1,main!$A$3:$H$102,4,FALSE),VLOOKUP(AU$1,main!$A$3:$H$102,4,FALSE)+VLOOKUP($A68,main!$A$3:$H$102,4,FALSE)+(VLOOKUP(VLOOKUP(AU$1,main!$A$3:$H$102,8,FALSE),main!$K$19:$O$22,MATCH(VLOOKUP($A68,main!$A$3:$H$102,7,FALSE),main!$K$18:$O$18,0),0))),0)</f>
        <v>0</v>
      </c>
      <c r="AV68">
        <f>IF((gamma!AV68),IF(VLOOKUP(AV$1,main!$A$3:$H$102,7,FALSE)=VLOOKUP($A68,main!$A$3:$H$102,8,FALSE),VLOOKUP(AV$1,main!$A$3:$H$102,4,FALSE),VLOOKUP(AV$1,main!$A$3:$H$102,4,FALSE)+VLOOKUP($A68,main!$A$3:$H$102,4,FALSE)+(VLOOKUP(VLOOKUP(AV$1,main!$A$3:$H$102,8,FALSE),main!$K$19:$O$22,MATCH(VLOOKUP($A68,main!$A$3:$H$102,7,FALSE),main!$K$18:$O$18,0),0))),0)</f>
        <v>0</v>
      </c>
      <c r="AW68">
        <f>IF((gamma!AW68),IF(VLOOKUP(AW$1,main!$A$3:$H$102,7,FALSE)=VLOOKUP($A68,main!$A$3:$H$102,8,FALSE),VLOOKUP(AW$1,main!$A$3:$H$102,4,FALSE),VLOOKUP(AW$1,main!$A$3:$H$102,4,FALSE)+VLOOKUP($A68,main!$A$3:$H$102,4,FALSE)+(VLOOKUP(VLOOKUP(AW$1,main!$A$3:$H$102,8,FALSE),main!$K$19:$O$22,MATCH(VLOOKUP($A68,main!$A$3:$H$102,7,FALSE),main!$K$18:$O$18,0),0))),0)</f>
        <v>120</v>
      </c>
      <c r="AX68">
        <f>IF((gamma!AX68),IF(VLOOKUP(AX$1,main!$A$3:$H$102,7,FALSE)=VLOOKUP($A68,main!$A$3:$H$102,8,FALSE),VLOOKUP(AX$1,main!$A$3:$H$102,4,FALSE),VLOOKUP(AX$1,main!$A$3:$H$102,4,FALSE)+VLOOKUP($A68,main!$A$3:$H$102,4,FALSE)+(VLOOKUP(VLOOKUP(AX$1,main!$A$3:$H$102,8,FALSE),main!$K$19:$O$22,MATCH(VLOOKUP($A68,main!$A$3:$H$102,7,FALSE),main!$K$18:$O$18,0),0))),0)</f>
        <v>105</v>
      </c>
      <c r="AY68">
        <f>IF((gamma!AY68),IF(VLOOKUP(AY$1,main!$A$3:$H$102,7,FALSE)=VLOOKUP($A68,main!$A$3:$H$102,8,FALSE),VLOOKUP(AY$1,main!$A$3:$H$102,4,FALSE),VLOOKUP(AY$1,main!$A$3:$H$102,4,FALSE)+VLOOKUP($A68,main!$A$3:$H$102,4,FALSE)+(VLOOKUP(VLOOKUP(AY$1,main!$A$3:$H$102,8,FALSE),main!$K$19:$O$22,MATCH(VLOOKUP($A68,main!$A$3:$H$102,7,FALSE),main!$K$18:$O$18,0),0))),0)</f>
        <v>0</v>
      </c>
      <c r="AZ68">
        <f>IF((gamma!AZ68),IF(VLOOKUP(AZ$1,main!$A$3:$H$102,7,FALSE)=VLOOKUP($A68,main!$A$3:$H$102,8,FALSE),VLOOKUP(AZ$1,main!$A$3:$H$102,4,FALSE),VLOOKUP(AZ$1,main!$A$3:$H$102,4,FALSE)+VLOOKUP($A68,main!$A$3:$H$102,4,FALSE)+(VLOOKUP(VLOOKUP(AZ$1,main!$A$3:$H$102,8,FALSE),main!$K$19:$O$22,MATCH(VLOOKUP($A68,main!$A$3:$H$102,7,FALSE),main!$K$18:$O$18,0),0))),0)</f>
        <v>135</v>
      </c>
      <c r="BA68">
        <f>IF((gamma!BA68),IF(VLOOKUP(BA$1,main!$A$3:$H$102,7,FALSE)=VLOOKUP($A68,main!$A$3:$H$102,8,FALSE),VLOOKUP(BA$1,main!$A$3:$H$102,4,FALSE),VLOOKUP(BA$1,main!$A$3:$H$102,4,FALSE)+VLOOKUP($A68,main!$A$3:$H$102,4,FALSE)+(VLOOKUP(VLOOKUP(BA$1,main!$A$3:$H$102,8,FALSE),main!$K$19:$O$22,MATCH(VLOOKUP($A68,main!$A$3:$H$102,7,FALSE),main!$K$18:$O$18,0),0))),0)</f>
        <v>0</v>
      </c>
      <c r="BB68">
        <f>IF((gamma!BB68),IF(VLOOKUP(BB$1,main!$A$3:$H$102,7,FALSE)=VLOOKUP($A68,main!$A$3:$H$102,8,FALSE),VLOOKUP(BB$1,main!$A$3:$H$102,4,FALSE),VLOOKUP(BB$1,main!$A$3:$H$102,4,FALSE)+VLOOKUP($A68,main!$A$3:$H$102,4,FALSE)+(VLOOKUP(VLOOKUP(BB$1,main!$A$3:$H$102,8,FALSE),main!$K$19:$O$22,MATCH(VLOOKUP($A68,main!$A$3:$H$102,7,FALSE),main!$K$18:$O$18,0),0))),0)</f>
        <v>310</v>
      </c>
      <c r="BC68">
        <f>IF((gamma!BC68),IF(VLOOKUP(BC$1,main!$A$3:$H$102,7,FALSE)=VLOOKUP($A68,main!$A$3:$H$102,8,FALSE),VLOOKUP(BC$1,main!$A$3:$H$102,4,FALSE),VLOOKUP(BC$1,main!$A$3:$H$102,4,FALSE)+VLOOKUP($A68,main!$A$3:$H$102,4,FALSE)+(VLOOKUP(VLOOKUP(BC$1,main!$A$3:$H$102,8,FALSE),main!$K$19:$O$22,MATCH(VLOOKUP($A68,main!$A$3:$H$102,7,FALSE),main!$K$18:$O$18,0),0))),0)</f>
        <v>310</v>
      </c>
      <c r="BD68">
        <f>IF((gamma!BD68),IF(VLOOKUP(BD$1,main!$A$3:$H$102,7,FALSE)=VLOOKUP($A68,main!$A$3:$H$102,8,FALSE),VLOOKUP(BD$1,main!$A$3:$H$102,4,FALSE),VLOOKUP(BD$1,main!$A$3:$H$102,4,FALSE)+VLOOKUP($A68,main!$A$3:$H$102,4,FALSE)+(VLOOKUP(VLOOKUP(BD$1,main!$A$3:$H$102,8,FALSE),main!$K$19:$O$22,MATCH(VLOOKUP($A68,main!$A$3:$H$102,7,FALSE),main!$K$18:$O$18,0),0))),0)</f>
        <v>310</v>
      </c>
      <c r="BE68">
        <f>IF((gamma!BE68),IF(VLOOKUP(BE$1,main!$A$3:$H$102,7,FALSE)=VLOOKUP($A68,main!$A$3:$H$102,8,FALSE),VLOOKUP(BE$1,main!$A$3:$H$102,4,FALSE),VLOOKUP(BE$1,main!$A$3:$H$102,4,FALSE)+VLOOKUP($A68,main!$A$3:$H$102,4,FALSE)+(VLOOKUP(VLOOKUP(BE$1,main!$A$3:$H$102,8,FALSE),main!$K$19:$O$22,MATCH(VLOOKUP($A68,main!$A$3:$H$102,7,FALSE),main!$K$18:$O$18,0),0))),0)</f>
        <v>310</v>
      </c>
      <c r="BF68">
        <f>IF((gamma!BF68),IF(VLOOKUP(BF$1,main!$A$3:$H$102,7,FALSE)=VLOOKUP($A68,main!$A$3:$H$102,8,FALSE),VLOOKUP(BF$1,main!$A$3:$H$102,4,FALSE),VLOOKUP(BF$1,main!$A$3:$H$102,4,FALSE)+VLOOKUP($A68,main!$A$3:$H$102,4,FALSE)+(VLOOKUP(VLOOKUP(BF$1,main!$A$3:$H$102,8,FALSE),main!$K$19:$O$22,MATCH(VLOOKUP($A68,main!$A$3:$H$102,7,FALSE),main!$K$18:$O$18,0),0))),0)</f>
        <v>0</v>
      </c>
      <c r="BG68">
        <f>IF((gamma!BG68),IF(VLOOKUP(BG$1,main!$A$3:$H$102,7,FALSE)=VLOOKUP($A68,main!$A$3:$H$102,8,FALSE),VLOOKUP(BG$1,main!$A$3:$H$102,4,FALSE),VLOOKUP(BG$1,main!$A$3:$H$102,4,FALSE)+VLOOKUP($A68,main!$A$3:$H$102,4,FALSE)+(VLOOKUP(VLOOKUP(BG$1,main!$A$3:$H$102,8,FALSE),main!$K$19:$O$22,MATCH(VLOOKUP($A68,main!$A$3:$H$102,7,FALSE),main!$K$18:$O$18,0),0))),0)</f>
        <v>0</v>
      </c>
      <c r="BH68">
        <f>IF((gamma!BH68),IF(VLOOKUP(BH$1,main!$A$3:$H$102,7,FALSE)=VLOOKUP($A68,main!$A$3:$H$102,8,FALSE),VLOOKUP(BH$1,main!$A$3:$H$102,4,FALSE),VLOOKUP(BH$1,main!$A$3:$H$102,4,FALSE)+VLOOKUP($A68,main!$A$3:$H$102,4,FALSE)+(VLOOKUP(VLOOKUP(BH$1,main!$A$3:$H$102,8,FALSE),main!$K$19:$O$22,MATCH(VLOOKUP($A68,main!$A$3:$H$102,7,FALSE),main!$K$18:$O$18,0),0))),0)</f>
        <v>295</v>
      </c>
      <c r="BI68">
        <f>IF((gamma!BI68),IF(VLOOKUP(BI$1,main!$A$3:$H$102,7,FALSE)=VLOOKUP($A68,main!$A$3:$H$102,8,FALSE),VLOOKUP(BI$1,main!$A$3:$H$102,4,FALSE),VLOOKUP(BI$1,main!$A$3:$H$102,4,FALSE)+VLOOKUP($A68,main!$A$3:$H$102,4,FALSE)+(VLOOKUP(VLOOKUP(BI$1,main!$A$3:$H$102,8,FALSE),main!$K$19:$O$22,MATCH(VLOOKUP($A68,main!$A$3:$H$102,7,FALSE),main!$K$18:$O$18,0),0))),0)</f>
        <v>230</v>
      </c>
      <c r="BJ68">
        <f>IF((gamma!BJ68),IF(VLOOKUP(BJ$1,main!$A$3:$H$102,7,FALSE)=VLOOKUP($A68,main!$A$3:$H$102,8,FALSE),VLOOKUP(BJ$1,main!$A$3:$H$102,4,FALSE),VLOOKUP(BJ$1,main!$A$3:$H$102,4,FALSE)+VLOOKUP($A68,main!$A$3:$H$102,4,FALSE)+(VLOOKUP(VLOOKUP(BJ$1,main!$A$3:$H$102,8,FALSE),main!$K$19:$O$22,MATCH(VLOOKUP($A68,main!$A$3:$H$102,7,FALSE),main!$K$18:$O$18,0),0))),0)</f>
        <v>260</v>
      </c>
      <c r="BK68">
        <f>IF((gamma!BK68),IF(VLOOKUP(BK$1,main!$A$3:$H$102,7,FALSE)=VLOOKUP($A68,main!$A$3:$H$102,8,FALSE),VLOOKUP(BK$1,main!$A$3:$H$102,4,FALSE),VLOOKUP(BK$1,main!$A$3:$H$102,4,FALSE)+VLOOKUP($A68,main!$A$3:$H$102,4,FALSE)+(VLOOKUP(VLOOKUP(BK$1,main!$A$3:$H$102,8,FALSE),main!$K$19:$O$22,MATCH(VLOOKUP($A68,main!$A$3:$H$102,7,FALSE),main!$K$18:$O$18,0),0))),0)</f>
        <v>0</v>
      </c>
      <c r="BL68">
        <f>IF((gamma!BL68),IF(VLOOKUP(BL$1,main!$A$3:$H$102,7,FALSE)=VLOOKUP($A68,main!$A$3:$H$102,8,FALSE),VLOOKUP(BL$1,main!$A$3:$H$102,4,FALSE),VLOOKUP(BL$1,main!$A$3:$H$102,4,FALSE)+VLOOKUP($A68,main!$A$3:$H$102,4,FALSE)+(VLOOKUP(VLOOKUP(BL$1,main!$A$3:$H$102,8,FALSE),main!$K$19:$O$22,MATCH(VLOOKUP($A68,main!$A$3:$H$102,7,FALSE),main!$K$18:$O$18,0),0))),0)</f>
        <v>0</v>
      </c>
      <c r="BM68">
        <f>IF((gamma!BM68),IF(VLOOKUP(BM$1,main!$A$3:$H$102,7,FALSE)=VLOOKUP($A68,main!$A$3:$H$102,8,FALSE),VLOOKUP(BM$1,main!$A$3:$H$102,4,FALSE),VLOOKUP(BM$1,main!$A$3:$H$102,4,FALSE)+VLOOKUP($A68,main!$A$3:$H$102,4,FALSE)+(VLOOKUP(VLOOKUP(BM$1,main!$A$3:$H$102,8,FALSE),main!$K$19:$O$22,MATCH(VLOOKUP($A68,main!$A$3:$H$102,7,FALSE),main!$K$18:$O$18,0),0))),0)</f>
        <v>0</v>
      </c>
      <c r="BN68">
        <f>IF((gamma!BN68),IF(VLOOKUP(BN$1,main!$A$3:$H$102,7,FALSE)=VLOOKUP($A68,main!$A$3:$H$102,8,FALSE),VLOOKUP(BN$1,main!$A$3:$H$102,4,FALSE),VLOOKUP(BN$1,main!$A$3:$H$102,4,FALSE)+VLOOKUP($A68,main!$A$3:$H$102,4,FALSE)+(VLOOKUP(VLOOKUP(BN$1,main!$A$3:$H$102,8,FALSE),main!$K$19:$O$22,MATCH(VLOOKUP($A68,main!$A$3:$H$102,7,FALSE),main!$K$18:$O$18,0),0))),0)</f>
        <v>288</v>
      </c>
      <c r="BO68">
        <f>IF((gamma!BO68),IF(VLOOKUP(BO$1,main!$A$3:$H$102,7,FALSE)=VLOOKUP($A68,main!$A$3:$H$102,8,FALSE),VLOOKUP(BO$1,main!$A$3:$H$102,4,FALSE),VLOOKUP(BO$1,main!$A$3:$H$102,4,FALSE)+VLOOKUP($A68,main!$A$3:$H$102,4,FALSE)+(VLOOKUP(VLOOKUP(BO$1,main!$A$3:$H$102,8,FALSE),main!$K$19:$O$22,MATCH(VLOOKUP($A68,main!$A$3:$H$102,7,FALSE),main!$K$18:$O$18,0),0))),0)</f>
        <v>0</v>
      </c>
      <c r="BP68">
        <f>IF((gamma!BP68),IF(VLOOKUP(BP$1,main!$A$3:$H$102,7,FALSE)=VLOOKUP($A68,main!$A$3:$H$102,8,FALSE),VLOOKUP(BP$1,main!$A$3:$H$102,4,FALSE),VLOOKUP(BP$1,main!$A$3:$H$102,4,FALSE)+VLOOKUP($A68,main!$A$3:$H$102,4,FALSE)+(VLOOKUP(VLOOKUP(BP$1,main!$A$3:$H$102,8,FALSE),main!$K$19:$O$22,MATCH(VLOOKUP($A68,main!$A$3:$H$102,7,FALSE),main!$K$18:$O$18,0),0))),0)</f>
        <v>0</v>
      </c>
      <c r="BQ68">
        <f>IF((gamma!BQ68),IF(VLOOKUP(BQ$1,main!$A$3:$H$102,7,FALSE)=VLOOKUP($A68,main!$A$3:$H$102,8,FALSE),VLOOKUP(BQ$1,main!$A$3:$H$102,4,FALSE),VLOOKUP(BQ$1,main!$A$3:$H$102,4,FALSE)+VLOOKUP($A68,main!$A$3:$H$102,4,FALSE)+(VLOOKUP(VLOOKUP(BQ$1,main!$A$3:$H$102,8,FALSE),main!$K$19:$O$22,MATCH(VLOOKUP($A68,main!$A$3:$H$102,7,FALSE),main!$K$18:$O$18,0),0))),0)</f>
        <v>308</v>
      </c>
      <c r="BR68">
        <f>IF((gamma!BR68),IF(VLOOKUP(BR$1,main!$A$3:$H$102,7,FALSE)=VLOOKUP($A68,main!$A$3:$H$102,8,FALSE),VLOOKUP(BR$1,main!$A$3:$H$102,4,FALSE),VLOOKUP(BR$1,main!$A$3:$H$102,4,FALSE)+VLOOKUP($A68,main!$A$3:$H$102,4,FALSE)+(VLOOKUP(VLOOKUP(BR$1,main!$A$3:$H$102,8,FALSE),main!$K$19:$O$22,MATCH(VLOOKUP($A68,main!$A$3:$H$102,7,FALSE),main!$K$18:$O$18,0),0))),0)</f>
        <v>268</v>
      </c>
      <c r="BS68">
        <f>IF((gamma!BS68),IF(VLOOKUP(BS$1,main!$A$3:$H$102,7,FALSE)=VLOOKUP($A68,main!$A$3:$H$102,8,FALSE),VLOOKUP(BS$1,main!$A$3:$H$102,4,FALSE),VLOOKUP(BS$1,main!$A$3:$H$102,4,FALSE)+VLOOKUP($A68,main!$A$3:$H$102,4,FALSE)+(VLOOKUP(VLOOKUP(BS$1,main!$A$3:$H$102,8,FALSE),main!$K$19:$O$22,MATCH(VLOOKUP($A68,main!$A$3:$H$102,7,FALSE),main!$K$18:$O$18,0),0))),0)</f>
        <v>269</v>
      </c>
      <c r="BT68">
        <f>IF((gamma!BT68),IF(VLOOKUP(BT$1,main!$A$3:$H$102,7,FALSE)=VLOOKUP($A68,main!$A$3:$H$102,8,FALSE),VLOOKUP(BT$1,main!$A$3:$H$102,4,FALSE),VLOOKUP(BT$1,main!$A$3:$H$102,4,FALSE)+VLOOKUP($A68,main!$A$3:$H$102,4,FALSE)+(VLOOKUP(VLOOKUP(BT$1,main!$A$3:$H$102,8,FALSE),main!$K$19:$O$22,MATCH(VLOOKUP($A68,main!$A$3:$H$102,7,FALSE),main!$K$18:$O$18,0),0))),0)</f>
        <v>288</v>
      </c>
      <c r="BU68">
        <f>IF((gamma!BU68),IF(VLOOKUP(BU$1,main!$A$3:$H$102,7,FALSE)=VLOOKUP($A68,main!$A$3:$H$102,8,FALSE),VLOOKUP(BU$1,main!$A$3:$H$102,4,FALSE),VLOOKUP(BU$1,main!$A$3:$H$102,4,FALSE)+VLOOKUP($A68,main!$A$3:$H$102,4,FALSE)+(VLOOKUP(VLOOKUP(BU$1,main!$A$3:$H$102,8,FALSE),main!$K$19:$O$22,MATCH(VLOOKUP($A68,main!$A$3:$H$102,7,FALSE),main!$K$18:$O$18,0),0))),0)</f>
        <v>0</v>
      </c>
      <c r="BV68">
        <f>IF((gamma!BV68),IF(VLOOKUP(BV$1,main!$A$3:$H$102,7,FALSE)=VLOOKUP($A68,main!$A$3:$H$102,8,FALSE),VLOOKUP(BV$1,main!$A$3:$H$102,4,FALSE),VLOOKUP(BV$1,main!$A$3:$H$102,4,FALSE)+VLOOKUP($A68,main!$A$3:$H$102,4,FALSE)+(VLOOKUP(VLOOKUP(BV$1,main!$A$3:$H$102,8,FALSE),main!$K$19:$O$22,MATCH(VLOOKUP($A68,main!$A$3:$H$102,7,FALSE),main!$K$18:$O$18,0),0))),0)</f>
        <v>0</v>
      </c>
      <c r="BW68">
        <f>IF((gamma!BW68),IF(VLOOKUP(BW$1,main!$A$3:$H$102,7,FALSE)=VLOOKUP($A68,main!$A$3:$H$102,8,FALSE),VLOOKUP(BW$1,main!$A$3:$H$102,4,FALSE),VLOOKUP(BW$1,main!$A$3:$H$102,4,FALSE)+VLOOKUP($A68,main!$A$3:$H$102,4,FALSE)+(VLOOKUP(VLOOKUP(BW$1,main!$A$3:$H$102,8,FALSE),main!$K$19:$O$22,MATCH(VLOOKUP($A68,main!$A$3:$H$102,7,FALSE),main!$K$18:$O$18,0),0))),0)</f>
        <v>0</v>
      </c>
      <c r="BX68">
        <f>IF((gamma!BX68),IF(VLOOKUP(BX$1,main!$A$3:$H$102,7,FALSE)=VLOOKUP($A68,main!$A$3:$H$102,8,FALSE),VLOOKUP(BX$1,main!$A$3:$H$102,4,FALSE),VLOOKUP(BX$1,main!$A$3:$H$102,4,FALSE)+VLOOKUP($A68,main!$A$3:$H$102,4,FALSE)+(VLOOKUP(VLOOKUP(BX$1,main!$A$3:$H$102,8,FALSE),main!$K$19:$O$22,MATCH(VLOOKUP($A68,main!$A$3:$H$102,7,FALSE),main!$K$18:$O$18,0),0))),0)</f>
        <v>308</v>
      </c>
      <c r="BY68">
        <f>IF((gamma!BY68),IF(VLOOKUP(BY$1,main!$A$3:$H$102,7,FALSE)=VLOOKUP($A68,main!$A$3:$H$102,8,FALSE),VLOOKUP(BY$1,main!$A$3:$H$102,4,FALSE),VLOOKUP(BY$1,main!$A$3:$H$102,4,FALSE)+VLOOKUP($A68,main!$A$3:$H$102,4,FALSE)+(VLOOKUP(VLOOKUP(BY$1,main!$A$3:$H$102,8,FALSE),main!$K$19:$O$22,MATCH(VLOOKUP($A68,main!$A$3:$H$102,7,FALSE),main!$K$18:$O$18,0),0))),0)</f>
        <v>293</v>
      </c>
      <c r="BZ68">
        <f>IF((gamma!BZ68),IF(VLOOKUP(BZ$1,main!$A$3:$H$102,7,FALSE)=VLOOKUP($A68,main!$A$3:$H$102,8,FALSE),VLOOKUP(BZ$1,main!$A$3:$H$102,4,FALSE),VLOOKUP(BZ$1,main!$A$3:$H$102,4,FALSE)+VLOOKUP($A68,main!$A$3:$H$102,4,FALSE)+(VLOOKUP(VLOOKUP(BZ$1,main!$A$3:$H$102,8,FALSE),main!$K$19:$O$22,MATCH(VLOOKUP($A68,main!$A$3:$H$102,7,FALSE),main!$K$18:$O$18,0),0))),0)</f>
        <v>0</v>
      </c>
      <c r="CA68">
        <f>IF((gamma!CA68),IF(VLOOKUP(CA$1,main!$A$3:$H$102,7,FALSE)=VLOOKUP($A68,main!$A$3:$H$102,8,FALSE),VLOOKUP(CA$1,main!$A$3:$H$102,4,FALSE),VLOOKUP(CA$1,main!$A$3:$H$102,4,FALSE)+VLOOKUP($A68,main!$A$3:$H$102,4,FALSE)+(VLOOKUP(VLOOKUP(CA$1,main!$A$3:$H$102,8,FALSE),main!$K$19:$O$22,MATCH(VLOOKUP($A68,main!$A$3:$H$102,7,FALSE),main!$K$18:$O$18,0),0))),0)</f>
        <v>0</v>
      </c>
      <c r="CB68">
        <f>IF((gamma!CB68),IF(VLOOKUP(CB$1,main!$A$3:$H$102,7,FALSE)=VLOOKUP($A68,main!$A$3:$H$102,8,FALSE),VLOOKUP(CB$1,main!$A$3:$H$102,4,FALSE),VLOOKUP(CB$1,main!$A$3:$H$102,4,FALSE)+VLOOKUP($A68,main!$A$3:$H$102,4,FALSE)+(VLOOKUP(VLOOKUP(CB$1,main!$A$3:$H$102,8,FALSE),main!$K$19:$O$22,MATCH(VLOOKUP($A68,main!$A$3:$H$102,7,FALSE),main!$K$18:$O$18,0),0))),0)</f>
        <v>238</v>
      </c>
      <c r="CC68">
        <f>IF((gamma!CC68),IF(VLOOKUP(CC$1,main!$A$3:$H$102,7,FALSE)=VLOOKUP($A68,main!$A$3:$H$102,8,FALSE),VLOOKUP(CC$1,main!$A$3:$H$102,4,FALSE),VLOOKUP(CC$1,main!$A$3:$H$102,4,FALSE)+VLOOKUP($A68,main!$A$3:$H$102,4,FALSE)+(VLOOKUP(VLOOKUP(CC$1,main!$A$3:$H$102,8,FALSE),main!$K$19:$O$22,MATCH(VLOOKUP($A68,main!$A$3:$H$102,7,FALSE),main!$K$18:$O$18,0),0))),0)</f>
        <v>228</v>
      </c>
      <c r="CD68">
        <f>IF((gamma!CD68),IF(VLOOKUP(CD$1,main!$A$3:$H$102,7,FALSE)=VLOOKUP($A68,main!$A$3:$H$102,8,FALSE),VLOOKUP(CD$1,main!$A$3:$H$102,4,FALSE),VLOOKUP(CD$1,main!$A$3:$H$102,4,FALSE)+VLOOKUP($A68,main!$A$3:$H$102,4,FALSE)+(VLOOKUP(VLOOKUP(CD$1,main!$A$3:$H$102,8,FALSE),main!$K$19:$O$22,MATCH(VLOOKUP($A68,main!$A$3:$H$102,7,FALSE),main!$K$18:$O$18,0),0))),0)</f>
        <v>287</v>
      </c>
      <c r="CE68">
        <f>IF((gamma!CE68),IF(VLOOKUP(CE$1,main!$A$3:$H$102,7,FALSE)=VLOOKUP($A68,main!$A$3:$H$102,8,FALSE),VLOOKUP(CE$1,main!$A$3:$H$102,4,FALSE),VLOOKUP(CE$1,main!$A$3:$H$102,4,FALSE)+VLOOKUP($A68,main!$A$3:$H$102,4,FALSE)+(VLOOKUP(VLOOKUP(CE$1,main!$A$3:$H$102,8,FALSE),main!$K$19:$O$22,MATCH(VLOOKUP($A68,main!$A$3:$H$102,7,FALSE),main!$K$18:$O$18,0),0))),0)</f>
        <v>0</v>
      </c>
      <c r="CF68">
        <f>IF((gamma!CF68),IF(VLOOKUP(CF$1,main!$A$3:$H$102,7,FALSE)=VLOOKUP($A68,main!$A$3:$H$102,8,FALSE),VLOOKUP(CF$1,main!$A$3:$H$102,4,FALSE),VLOOKUP(CF$1,main!$A$3:$H$102,4,FALSE)+VLOOKUP($A68,main!$A$3:$H$102,4,FALSE)+(VLOOKUP(VLOOKUP(CF$1,main!$A$3:$H$102,8,FALSE),main!$K$19:$O$22,MATCH(VLOOKUP($A68,main!$A$3:$H$102,7,FALSE),main!$K$18:$O$18,0),0))),0)</f>
        <v>305</v>
      </c>
      <c r="CG68">
        <f>IF((gamma!CG68),IF(VLOOKUP(CG$1,main!$A$3:$H$102,7,FALSE)=VLOOKUP($A68,main!$A$3:$H$102,8,FALSE),VLOOKUP(CG$1,main!$A$3:$H$102,4,FALSE),VLOOKUP(CG$1,main!$A$3:$H$102,4,FALSE)+VLOOKUP($A68,main!$A$3:$H$102,4,FALSE)+(VLOOKUP(VLOOKUP(CG$1,main!$A$3:$H$102,8,FALSE),main!$K$19:$O$22,MATCH(VLOOKUP($A68,main!$A$3:$H$102,7,FALSE),main!$K$18:$O$18,0),0))),0)</f>
        <v>310</v>
      </c>
      <c r="CH68">
        <f>IF((gamma!CH68),IF(VLOOKUP(CH$1,main!$A$3:$H$102,7,FALSE)=VLOOKUP($A68,main!$A$3:$H$102,8,FALSE),VLOOKUP(CH$1,main!$A$3:$H$102,4,FALSE),VLOOKUP(CH$1,main!$A$3:$H$102,4,FALSE)+VLOOKUP($A68,main!$A$3:$H$102,4,FALSE)+(VLOOKUP(VLOOKUP(CH$1,main!$A$3:$H$102,8,FALSE),main!$K$19:$O$22,MATCH(VLOOKUP($A68,main!$A$3:$H$102,7,FALSE),main!$K$18:$O$18,0),0))),0)</f>
        <v>310</v>
      </c>
      <c r="CI68">
        <f>IF((gamma!CI68),IF(VLOOKUP(CI$1,main!$A$3:$H$102,7,FALSE)=VLOOKUP($A68,main!$A$3:$H$102,8,FALSE),VLOOKUP(CI$1,main!$A$3:$H$102,4,FALSE),VLOOKUP(CI$1,main!$A$3:$H$102,4,FALSE)+VLOOKUP($A68,main!$A$3:$H$102,4,FALSE)+(VLOOKUP(VLOOKUP(CI$1,main!$A$3:$H$102,8,FALSE),main!$K$19:$O$22,MATCH(VLOOKUP($A68,main!$A$3:$H$102,7,FALSE),main!$K$18:$O$18,0),0))),0)</f>
        <v>310</v>
      </c>
      <c r="CJ68">
        <f>IF((gamma!CJ68),IF(VLOOKUP(CJ$1,main!$A$3:$H$102,7,FALSE)=VLOOKUP($A68,main!$A$3:$H$102,8,FALSE),VLOOKUP(CJ$1,main!$A$3:$H$102,4,FALSE),VLOOKUP(CJ$1,main!$A$3:$H$102,4,FALSE)+VLOOKUP($A68,main!$A$3:$H$102,4,FALSE)+(VLOOKUP(VLOOKUP(CJ$1,main!$A$3:$H$102,8,FALSE),main!$K$19:$O$22,MATCH(VLOOKUP($A68,main!$A$3:$H$102,7,FALSE),main!$K$18:$O$18,0),0))),0)</f>
        <v>238</v>
      </c>
      <c r="CK68">
        <f>IF((gamma!CK68),IF(VLOOKUP(CK$1,main!$A$3:$H$102,7,FALSE)=VLOOKUP($A68,main!$A$3:$H$102,8,FALSE),VLOOKUP(CK$1,main!$A$3:$H$102,4,FALSE),VLOOKUP(CK$1,main!$A$3:$H$102,4,FALSE)+VLOOKUP($A68,main!$A$3:$H$102,4,FALSE)+(VLOOKUP(VLOOKUP(CK$1,main!$A$3:$H$102,8,FALSE),main!$K$19:$O$22,MATCH(VLOOKUP($A68,main!$A$3:$H$102,7,FALSE),main!$K$18:$O$18,0),0))),0)</f>
        <v>0</v>
      </c>
      <c r="CL68">
        <f>IF((gamma!CL68),IF(VLOOKUP(CL$1,main!$A$3:$H$102,7,FALSE)=VLOOKUP($A68,main!$A$3:$H$102,8,FALSE),VLOOKUP(CL$1,main!$A$3:$H$102,4,FALSE),VLOOKUP(CL$1,main!$A$3:$H$102,4,FALSE)+VLOOKUP($A68,main!$A$3:$H$102,4,FALSE)+(VLOOKUP(VLOOKUP(CL$1,main!$A$3:$H$102,8,FALSE),main!$K$19:$O$22,MATCH(VLOOKUP($A68,main!$A$3:$H$102,7,FALSE),main!$K$18:$O$18,0),0))),0)</f>
        <v>250</v>
      </c>
      <c r="CM68">
        <f>IF((gamma!CM68),IF(VLOOKUP(CM$1,main!$A$3:$H$102,7,FALSE)=VLOOKUP($A68,main!$A$3:$H$102,8,FALSE),VLOOKUP(CM$1,main!$A$3:$H$102,4,FALSE),VLOOKUP(CM$1,main!$A$3:$H$102,4,FALSE)+VLOOKUP($A68,main!$A$3:$H$102,4,FALSE)+(VLOOKUP(VLOOKUP(CM$1,main!$A$3:$H$102,8,FALSE),main!$K$19:$O$22,MATCH(VLOOKUP($A68,main!$A$3:$H$102,7,FALSE),main!$K$18:$O$18,0),0))),0)</f>
        <v>270</v>
      </c>
      <c r="CN68">
        <f>IF((gamma!CN68),IF(VLOOKUP(CN$1,main!$A$3:$H$102,7,FALSE)=VLOOKUP($A68,main!$A$3:$H$102,8,FALSE),VLOOKUP(CN$1,main!$A$3:$H$102,4,FALSE),VLOOKUP(CN$1,main!$A$3:$H$102,4,FALSE)+VLOOKUP($A68,main!$A$3:$H$102,4,FALSE)+(VLOOKUP(VLOOKUP(CN$1,main!$A$3:$H$102,8,FALSE),main!$K$19:$O$22,MATCH(VLOOKUP($A68,main!$A$3:$H$102,7,FALSE),main!$K$18:$O$18,0),0))),0)</f>
        <v>266</v>
      </c>
      <c r="CO68">
        <f>IF((gamma!CO68),IF(VLOOKUP(CO$1,main!$A$3:$H$102,7,FALSE)=VLOOKUP($A68,main!$A$3:$H$102,8,FALSE),VLOOKUP(CO$1,main!$A$3:$H$102,4,FALSE),VLOOKUP(CO$1,main!$A$3:$H$102,4,FALSE)+VLOOKUP($A68,main!$A$3:$H$102,4,FALSE)+(VLOOKUP(VLOOKUP(CO$1,main!$A$3:$H$102,8,FALSE),main!$K$19:$O$22,MATCH(VLOOKUP($A68,main!$A$3:$H$102,7,FALSE),main!$K$18:$O$18,0),0))),0)</f>
        <v>0</v>
      </c>
      <c r="CP68">
        <f>IF((gamma!CP68),IF(VLOOKUP(CP$1,main!$A$3:$H$102,7,FALSE)=VLOOKUP($A68,main!$A$3:$H$102,8,FALSE),VLOOKUP(CP$1,main!$A$3:$H$102,4,FALSE),VLOOKUP(CP$1,main!$A$3:$H$102,4,FALSE)+VLOOKUP($A68,main!$A$3:$H$102,4,FALSE)+(VLOOKUP(VLOOKUP(CP$1,main!$A$3:$H$102,8,FALSE),main!$K$19:$O$22,MATCH(VLOOKUP($A68,main!$A$3:$H$102,7,FALSE),main!$K$18:$O$18,0),0))),0)</f>
        <v>260</v>
      </c>
      <c r="CQ68">
        <f>IF((gamma!CQ68),IF(VLOOKUP(CQ$1,main!$A$3:$H$102,7,FALSE)=VLOOKUP($A68,main!$A$3:$H$102,8,FALSE),VLOOKUP(CQ$1,main!$A$3:$H$102,4,FALSE),VLOOKUP(CQ$1,main!$A$3:$H$102,4,FALSE)+VLOOKUP($A68,main!$A$3:$H$102,4,FALSE)+(VLOOKUP(VLOOKUP(CQ$1,main!$A$3:$H$102,8,FALSE),main!$K$19:$O$22,MATCH(VLOOKUP($A68,main!$A$3:$H$102,7,FALSE),main!$K$18:$O$18,0),0))),0)</f>
        <v>260</v>
      </c>
      <c r="CR68">
        <f>IF((gamma!CR68),IF(VLOOKUP(CR$1,main!$A$3:$H$102,7,FALSE)=VLOOKUP($A68,main!$A$3:$H$102,8,FALSE),VLOOKUP(CR$1,main!$A$3:$H$102,4,FALSE),VLOOKUP(CR$1,main!$A$3:$H$102,4,FALSE)+VLOOKUP($A68,main!$A$3:$H$102,4,FALSE)+(VLOOKUP(VLOOKUP(CR$1,main!$A$3:$H$102,8,FALSE),main!$K$19:$O$22,MATCH(VLOOKUP($A68,main!$A$3:$H$102,7,FALSE),main!$K$18:$O$18,0),0))),0)</f>
        <v>275</v>
      </c>
      <c r="CS68">
        <f>IF((gamma!CS68),IF(VLOOKUP(CS$1,main!$A$3:$H$102,7,FALSE)=VLOOKUP($A68,main!$A$3:$H$102,8,FALSE),VLOOKUP(CS$1,main!$A$3:$H$102,4,FALSE),VLOOKUP(CS$1,main!$A$3:$H$102,4,FALSE)+VLOOKUP($A68,main!$A$3:$H$102,4,FALSE)+(VLOOKUP(VLOOKUP(CS$1,main!$A$3:$H$102,8,FALSE),main!$K$19:$O$22,MATCH(VLOOKUP($A68,main!$A$3:$H$102,7,FALSE),main!$K$18:$O$18,0),0))),0)</f>
        <v>275</v>
      </c>
      <c r="CT68">
        <f>IF((gamma!CT68),IF(VLOOKUP(CT$1,main!$A$3:$H$102,7,FALSE)=VLOOKUP($A68,main!$A$3:$H$102,8,FALSE),VLOOKUP(CT$1,main!$A$3:$H$102,4,FALSE),VLOOKUP(CT$1,main!$A$3:$H$102,4,FALSE)+VLOOKUP($A68,main!$A$3:$H$102,4,FALSE)+(VLOOKUP(VLOOKUP(CT$1,main!$A$3:$H$102,8,FALSE),main!$K$19:$O$22,MATCH(VLOOKUP($A68,main!$A$3:$H$102,7,FALSE),main!$K$18:$O$18,0),0))),0)</f>
        <v>0</v>
      </c>
      <c r="CU68">
        <f>IF((gamma!CU68),IF(VLOOKUP(CU$1,main!$A$3:$H$102,7,FALSE)=VLOOKUP($A68,main!$A$3:$H$102,8,FALSE),VLOOKUP(CU$1,main!$A$3:$H$102,4,FALSE),VLOOKUP(CU$1,main!$A$3:$H$102,4,FALSE)+VLOOKUP($A68,main!$A$3:$H$102,4,FALSE)+(VLOOKUP(VLOOKUP(CU$1,main!$A$3:$H$102,8,FALSE),main!$K$19:$O$22,MATCH(VLOOKUP($A68,main!$A$3:$H$102,7,FALSE),main!$K$18:$O$18,0),0))),0)</f>
        <v>0</v>
      </c>
      <c r="CV68">
        <f>IF((gamma!CV68),IF(VLOOKUP(CV$1,main!$A$3:$H$102,7,FALSE)=VLOOKUP($A68,main!$A$3:$H$102,8,FALSE),VLOOKUP(CV$1,main!$A$3:$H$102,4,FALSE),VLOOKUP(CV$1,main!$A$3:$H$102,4,FALSE)+VLOOKUP($A68,main!$A$3:$H$102,4,FALSE)+(VLOOKUP(VLOOKUP(CV$1,main!$A$3:$H$102,8,FALSE),main!$K$19:$O$22,MATCH(VLOOKUP($A68,main!$A$3:$H$102,7,FALSE),main!$K$18:$O$18,0),0))),0)</f>
        <v>220</v>
      </c>
      <c r="CW68">
        <f>IF((gamma!CW68),IF(VLOOKUP(CW$1,main!$A$3:$H$102,7,FALSE)=VLOOKUP($A68,main!$A$3:$H$102,8,FALSE),VLOOKUP(CW$1,main!$A$3:$H$102,4,FALSE),VLOOKUP(CW$1,main!$A$3:$H$102,4,FALSE)+VLOOKUP($A68,main!$A$3:$H$102,4,FALSE)+(VLOOKUP(VLOOKUP(CW$1,main!$A$3:$H$102,8,FALSE),main!$K$19:$O$22,MATCH(VLOOKUP($A68,main!$A$3:$H$102,7,FALSE),main!$K$18:$O$18,0),0))),0)</f>
        <v>235</v>
      </c>
      <c r="CX68">
        <f>IF((gamma!CX68),IF(VLOOKUP(CX$1,main!$A$3:$H$102,7,FALSE)=VLOOKUP($A68,main!$A$3:$H$102,8,FALSE),VLOOKUP(CX$1,main!$A$3:$H$102,4,FALSE),VLOOKUP(CX$1,main!$A$3:$H$102,4,FALSE)+VLOOKUP($A68,main!$A$3:$H$102,4,FALSE)+(VLOOKUP(VLOOKUP(CX$1,main!$A$3:$H$102,8,FALSE),main!$K$19:$O$22,MATCH(VLOOKUP($A68,main!$A$3:$H$102,7,FALSE),main!$K$18:$O$18,0),0))),0)</f>
        <v>225</v>
      </c>
      <c r="CY68">
        <v>0</v>
      </c>
      <c r="CZ68">
        <v>0</v>
      </c>
      <c r="DA68">
        <v>0</v>
      </c>
    </row>
    <row r="69" spans="1:105" x14ac:dyDescent="0.25">
      <c r="A69" s="1">
        <v>67</v>
      </c>
      <c r="B69">
        <v>0</v>
      </c>
      <c r="C69">
        <f>IF((gamma!C69),IF(VLOOKUP(C$1,main!$A$3:$H$102,7,FALSE)=VLOOKUP($A69,main!$A$3:$H$102,8,FALSE),VLOOKUP(C$1,main!$A$3:$H$102,4,FALSE),VLOOKUP(C$1,main!$A$3:$H$102,4,FALSE)+VLOOKUP($A69,main!$A$3:$H$102,4,FALSE)+(VLOOKUP(VLOOKUP(C$1,main!$A$3:$H$102,8,FALSE),main!$K$19:$O$22,MATCH(VLOOKUP($A69,main!$A$3:$H$102,7,FALSE),main!$K$18:$O$18,0),0))),0)</f>
        <v>0</v>
      </c>
      <c r="D69">
        <f>IF((gamma!D69),IF(VLOOKUP(D$1,main!$A$3:$H$102,7,FALSE)=VLOOKUP($A69,main!$A$3:$H$102,8,FALSE),VLOOKUP(D$1,main!$A$3:$H$102,4,FALSE),VLOOKUP(D$1,main!$A$3:$H$102,4,FALSE)+VLOOKUP($A69,main!$A$3:$H$102,4,FALSE)+(VLOOKUP(VLOOKUP(D$1,main!$A$3:$H$102,8,FALSE),main!$K$19:$O$22,MATCH(VLOOKUP($A69,main!$A$3:$H$102,7,FALSE),main!$K$18:$O$18,0),0))),0)</f>
        <v>0</v>
      </c>
      <c r="E69">
        <f>IF((gamma!E69),IF(VLOOKUP(E$1,main!$A$3:$H$102,7,FALSE)=VLOOKUP($A69,main!$A$3:$H$102,8,FALSE),VLOOKUP(E$1,main!$A$3:$H$102,4,FALSE),VLOOKUP(E$1,main!$A$3:$H$102,4,FALSE)+VLOOKUP($A69,main!$A$3:$H$102,4,FALSE)+(VLOOKUP(VLOOKUP(E$1,main!$A$3:$H$102,8,FALSE),main!$K$19:$O$22,MATCH(VLOOKUP($A69,main!$A$3:$H$102,7,FALSE),main!$K$18:$O$18,0),0))),0)</f>
        <v>0</v>
      </c>
      <c r="F69">
        <f>IF((gamma!F69),IF(VLOOKUP(F$1,main!$A$3:$H$102,7,FALSE)=VLOOKUP($A69,main!$A$3:$H$102,8,FALSE),VLOOKUP(F$1,main!$A$3:$H$102,4,FALSE),VLOOKUP(F$1,main!$A$3:$H$102,4,FALSE)+VLOOKUP($A69,main!$A$3:$H$102,4,FALSE)+(VLOOKUP(VLOOKUP(F$1,main!$A$3:$H$102,8,FALSE),main!$K$19:$O$22,MATCH(VLOOKUP($A69,main!$A$3:$H$102,7,FALSE),main!$K$18:$O$18,0),0))),0)</f>
        <v>0</v>
      </c>
      <c r="G69">
        <f>IF((gamma!G69),IF(VLOOKUP(G$1,main!$A$3:$H$102,7,FALSE)=VLOOKUP($A69,main!$A$3:$H$102,8,FALSE),VLOOKUP(G$1,main!$A$3:$H$102,4,FALSE),VLOOKUP(G$1,main!$A$3:$H$102,4,FALSE)+VLOOKUP($A69,main!$A$3:$H$102,4,FALSE)+(VLOOKUP(VLOOKUP(G$1,main!$A$3:$H$102,8,FALSE),main!$K$19:$O$22,MATCH(VLOOKUP($A69,main!$A$3:$H$102,7,FALSE),main!$K$18:$O$18,0),0))),0)</f>
        <v>0</v>
      </c>
      <c r="H69">
        <f>IF((gamma!H69),IF(VLOOKUP(H$1,main!$A$3:$H$102,7,FALSE)=VLOOKUP($A69,main!$A$3:$H$102,8,FALSE),VLOOKUP(H$1,main!$A$3:$H$102,4,FALSE),VLOOKUP(H$1,main!$A$3:$H$102,4,FALSE)+VLOOKUP($A69,main!$A$3:$H$102,4,FALSE)+(VLOOKUP(VLOOKUP(H$1,main!$A$3:$H$102,8,FALSE),main!$K$19:$O$22,MATCH(VLOOKUP($A69,main!$A$3:$H$102,7,FALSE),main!$K$18:$O$18,0),0))),0)</f>
        <v>0</v>
      </c>
      <c r="I69">
        <f>IF((gamma!I69),IF(VLOOKUP(I$1,main!$A$3:$H$102,7,FALSE)=VLOOKUP($A69,main!$A$3:$H$102,8,FALSE),VLOOKUP(I$1,main!$A$3:$H$102,4,FALSE),VLOOKUP(I$1,main!$A$3:$H$102,4,FALSE)+VLOOKUP($A69,main!$A$3:$H$102,4,FALSE)+(VLOOKUP(VLOOKUP(I$1,main!$A$3:$H$102,8,FALSE),main!$K$19:$O$22,MATCH(VLOOKUP($A69,main!$A$3:$H$102,7,FALSE),main!$K$18:$O$18,0),0))),0)</f>
        <v>303</v>
      </c>
      <c r="J69">
        <f>IF((gamma!J69),IF(VLOOKUP(J$1,main!$A$3:$H$102,7,FALSE)=VLOOKUP($A69,main!$A$3:$H$102,8,FALSE),VLOOKUP(J$1,main!$A$3:$H$102,4,FALSE),VLOOKUP(J$1,main!$A$3:$H$102,4,FALSE)+VLOOKUP($A69,main!$A$3:$H$102,4,FALSE)+(VLOOKUP(VLOOKUP(J$1,main!$A$3:$H$102,8,FALSE),main!$K$19:$O$22,MATCH(VLOOKUP($A69,main!$A$3:$H$102,7,FALSE),main!$K$18:$O$18,0),0))),0)</f>
        <v>303</v>
      </c>
      <c r="K69">
        <f>IF((gamma!K69),IF(VLOOKUP(K$1,main!$A$3:$H$102,7,FALSE)=VLOOKUP($A69,main!$A$3:$H$102,8,FALSE),VLOOKUP(K$1,main!$A$3:$H$102,4,FALSE),VLOOKUP(K$1,main!$A$3:$H$102,4,FALSE)+VLOOKUP($A69,main!$A$3:$H$102,4,FALSE)+(VLOOKUP(VLOOKUP(K$1,main!$A$3:$H$102,8,FALSE),main!$K$19:$O$22,MATCH(VLOOKUP($A69,main!$A$3:$H$102,7,FALSE),main!$K$18:$O$18,0),0))),0)</f>
        <v>303</v>
      </c>
      <c r="L69">
        <f>IF((gamma!L69),IF(VLOOKUP(L$1,main!$A$3:$H$102,7,FALSE)=VLOOKUP($A69,main!$A$3:$H$102,8,FALSE),VLOOKUP(L$1,main!$A$3:$H$102,4,FALSE),VLOOKUP(L$1,main!$A$3:$H$102,4,FALSE)+VLOOKUP($A69,main!$A$3:$H$102,4,FALSE)+(VLOOKUP(VLOOKUP(L$1,main!$A$3:$H$102,8,FALSE),main!$K$19:$O$22,MATCH(VLOOKUP($A69,main!$A$3:$H$102,7,FALSE),main!$K$18:$O$18,0),0))),0)</f>
        <v>303</v>
      </c>
      <c r="M69">
        <f>IF((gamma!M69),IF(VLOOKUP(M$1,main!$A$3:$H$102,7,FALSE)=VLOOKUP($A69,main!$A$3:$H$102,8,FALSE),VLOOKUP(M$1,main!$A$3:$H$102,4,FALSE),VLOOKUP(M$1,main!$A$3:$H$102,4,FALSE)+VLOOKUP($A69,main!$A$3:$H$102,4,FALSE)+(VLOOKUP(VLOOKUP(M$1,main!$A$3:$H$102,8,FALSE),main!$K$19:$O$22,MATCH(VLOOKUP($A69,main!$A$3:$H$102,7,FALSE),main!$K$18:$O$18,0),0))),0)</f>
        <v>0</v>
      </c>
      <c r="N69">
        <f>IF((gamma!N69),IF(VLOOKUP(N$1,main!$A$3:$H$102,7,FALSE)=VLOOKUP($A69,main!$A$3:$H$102,8,FALSE),VLOOKUP(N$1,main!$A$3:$H$102,4,FALSE),VLOOKUP(N$1,main!$A$3:$H$102,4,FALSE)+VLOOKUP($A69,main!$A$3:$H$102,4,FALSE)+(VLOOKUP(VLOOKUP(N$1,main!$A$3:$H$102,8,FALSE),main!$K$19:$O$22,MATCH(VLOOKUP($A69,main!$A$3:$H$102,7,FALSE),main!$K$18:$O$18,0),0))),0)</f>
        <v>0</v>
      </c>
      <c r="O69">
        <f>IF((gamma!O69),IF(VLOOKUP(O$1,main!$A$3:$H$102,7,FALSE)=VLOOKUP($A69,main!$A$3:$H$102,8,FALSE),VLOOKUP(O$1,main!$A$3:$H$102,4,FALSE),VLOOKUP(O$1,main!$A$3:$H$102,4,FALSE)+VLOOKUP($A69,main!$A$3:$H$102,4,FALSE)+(VLOOKUP(VLOOKUP(O$1,main!$A$3:$H$102,8,FALSE),main!$K$19:$O$22,MATCH(VLOOKUP($A69,main!$A$3:$H$102,7,FALSE),main!$K$18:$O$18,0),0))),0)</f>
        <v>0</v>
      </c>
      <c r="P69">
        <f>IF((gamma!P69),IF(VLOOKUP(P$1,main!$A$3:$H$102,7,FALSE)=VLOOKUP($A69,main!$A$3:$H$102,8,FALSE),VLOOKUP(P$1,main!$A$3:$H$102,4,FALSE),VLOOKUP(P$1,main!$A$3:$H$102,4,FALSE)+VLOOKUP($A69,main!$A$3:$H$102,4,FALSE)+(VLOOKUP(VLOOKUP(P$1,main!$A$3:$H$102,8,FALSE),main!$K$19:$O$22,MATCH(VLOOKUP($A69,main!$A$3:$H$102,7,FALSE),main!$K$18:$O$18,0),0))),0)</f>
        <v>0</v>
      </c>
      <c r="Q69">
        <f>IF((gamma!Q69),IF(VLOOKUP(Q$1,main!$A$3:$H$102,7,FALSE)=VLOOKUP($A69,main!$A$3:$H$102,8,FALSE),VLOOKUP(Q$1,main!$A$3:$H$102,4,FALSE),VLOOKUP(Q$1,main!$A$3:$H$102,4,FALSE)+VLOOKUP($A69,main!$A$3:$H$102,4,FALSE)+(VLOOKUP(VLOOKUP(Q$1,main!$A$3:$H$102,8,FALSE),main!$K$19:$O$22,MATCH(VLOOKUP($A69,main!$A$3:$H$102,7,FALSE),main!$K$18:$O$18,0),0))),0)</f>
        <v>0</v>
      </c>
      <c r="R69">
        <f>IF((gamma!R69),IF(VLOOKUP(R$1,main!$A$3:$H$102,7,FALSE)=VLOOKUP($A69,main!$A$3:$H$102,8,FALSE),VLOOKUP(R$1,main!$A$3:$H$102,4,FALSE),VLOOKUP(R$1,main!$A$3:$H$102,4,FALSE)+VLOOKUP($A69,main!$A$3:$H$102,4,FALSE)+(VLOOKUP(VLOOKUP(R$1,main!$A$3:$H$102,8,FALSE),main!$K$19:$O$22,MATCH(VLOOKUP($A69,main!$A$3:$H$102,7,FALSE),main!$K$18:$O$18,0),0))),0)</f>
        <v>0</v>
      </c>
      <c r="S69">
        <f>IF((gamma!S69),IF(VLOOKUP(S$1,main!$A$3:$H$102,7,FALSE)=VLOOKUP($A69,main!$A$3:$H$102,8,FALSE),VLOOKUP(S$1,main!$A$3:$H$102,4,FALSE),VLOOKUP(S$1,main!$A$3:$H$102,4,FALSE)+VLOOKUP($A69,main!$A$3:$H$102,4,FALSE)+(VLOOKUP(VLOOKUP(S$1,main!$A$3:$H$102,8,FALSE),main!$K$19:$O$22,MATCH(VLOOKUP($A69,main!$A$3:$H$102,7,FALSE),main!$K$18:$O$18,0),0))),0)</f>
        <v>0</v>
      </c>
      <c r="T69">
        <f>IF((gamma!T69),IF(VLOOKUP(T$1,main!$A$3:$H$102,7,FALSE)=VLOOKUP($A69,main!$A$3:$H$102,8,FALSE),VLOOKUP(T$1,main!$A$3:$H$102,4,FALSE),VLOOKUP(T$1,main!$A$3:$H$102,4,FALSE)+VLOOKUP($A69,main!$A$3:$H$102,4,FALSE)+(VLOOKUP(VLOOKUP(T$1,main!$A$3:$H$102,8,FALSE),main!$K$19:$O$22,MATCH(VLOOKUP($A69,main!$A$3:$H$102,7,FALSE),main!$K$18:$O$18,0),0))),0)</f>
        <v>280</v>
      </c>
      <c r="U69">
        <f>IF((gamma!U69),IF(VLOOKUP(U$1,main!$A$3:$H$102,7,FALSE)=VLOOKUP($A69,main!$A$3:$H$102,8,FALSE),VLOOKUP(U$1,main!$A$3:$H$102,4,FALSE),VLOOKUP(U$1,main!$A$3:$H$102,4,FALSE)+VLOOKUP($A69,main!$A$3:$H$102,4,FALSE)+(VLOOKUP(VLOOKUP(U$1,main!$A$3:$H$102,8,FALSE),main!$K$19:$O$22,MATCH(VLOOKUP($A69,main!$A$3:$H$102,7,FALSE),main!$K$18:$O$18,0),0))),0)</f>
        <v>280</v>
      </c>
      <c r="V69">
        <f>IF((gamma!V69),IF(VLOOKUP(V$1,main!$A$3:$H$102,7,FALSE)=VLOOKUP($A69,main!$A$3:$H$102,8,FALSE),VLOOKUP(V$1,main!$A$3:$H$102,4,FALSE),VLOOKUP(V$1,main!$A$3:$H$102,4,FALSE)+VLOOKUP($A69,main!$A$3:$H$102,4,FALSE)+(VLOOKUP(VLOOKUP(V$1,main!$A$3:$H$102,8,FALSE),main!$K$19:$O$22,MATCH(VLOOKUP($A69,main!$A$3:$H$102,7,FALSE),main!$K$18:$O$18,0),0))),0)</f>
        <v>280</v>
      </c>
      <c r="W69">
        <f>IF((gamma!W69),IF(VLOOKUP(W$1,main!$A$3:$H$102,7,FALSE)=VLOOKUP($A69,main!$A$3:$H$102,8,FALSE),VLOOKUP(W$1,main!$A$3:$H$102,4,FALSE),VLOOKUP(W$1,main!$A$3:$H$102,4,FALSE)+VLOOKUP($A69,main!$A$3:$H$102,4,FALSE)+(VLOOKUP(VLOOKUP(W$1,main!$A$3:$H$102,8,FALSE),main!$K$19:$O$22,MATCH(VLOOKUP($A69,main!$A$3:$H$102,7,FALSE),main!$K$18:$O$18,0),0))),0)</f>
        <v>0</v>
      </c>
      <c r="X69">
        <f>IF((gamma!X69),IF(VLOOKUP(X$1,main!$A$3:$H$102,7,FALSE)=VLOOKUP($A69,main!$A$3:$H$102,8,FALSE),VLOOKUP(X$1,main!$A$3:$H$102,4,FALSE),VLOOKUP(X$1,main!$A$3:$H$102,4,FALSE)+VLOOKUP($A69,main!$A$3:$H$102,4,FALSE)+(VLOOKUP(VLOOKUP(X$1,main!$A$3:$H$102,8,FALSE),main!$K$19:$O$22,MATCH(VLOOKUP($A69,main!$A$3:$H$102,7,FALSE),main!$K$18:$O$18,0),0))),0)</f>
        <v>0</v>
      </c>
      <c r="Y69">
        <f>IF((gamma!Y69),IF(VLOOKUP(Y$1,main!$A$3:$H$102,7,FALSE)=VLOOKUP($A69,main!$A$3:$H$102,8,FALSE),VLOOKUP(Y$1,main!$A$3:$H$102,4,FALSE),VLOOKUP(Y$1,main!$A$3:$H$102,4,FALSE)+VLOOKUP($A69,main!$A$3:$H$102,4,FALSE)+(VLOOKUP(VLOOKUP(Y$1,main!$A$3:$H$102,8,FALSE),main!$K$19:$O$22,MATCH(VLOOKUP($A69,main!$A$3:$H$102,7,FALSE),main!$K$18:$O$18,0),0))),0)</f>
        <v>0</v>
      </c>
      <c r="Z69">
        <f>IF((gamma!Z69),IF(VLOOKUP(Z$1,main!$A$3:$H$102,7,FALSE)=VLOOKUP($A69,main!$A$3:$H$102,8,FALSE),VLOOKUP(Z$1,main!$A$3:$H$102,4,FALSE),VLOOKUP(Z$1,main!$A$3:$H$102,4,FALSE)+VLOOKUP($A69,main!$A$3:$H$102,4,FALSE)+(VLOOKUP(VLOOKUP(Z$1,main!$A$3:$H$102,8,FALSE),main!$K$19:$O$22,MATCH(VLOOKUP($A69,main!$A$3:$H$102,7,FALSE),main!$K$18:$O$18,0),0))),0)</f>
        <v>313</v>
      </c>
      <c r="AA69">
        <f>IF((gamma!AA69),IF(VLOOKUP(AA$1,main!$A$3:$H$102,7,FALSE)=VLOOKUP($A69,main!$A$3:$H$102,8,FALSE),VLOOKUP(AA$1,main!$A$3:$H$102,4,FALSE),VLOOKUP(AA$1,main!$A$3:$H$102,4,FALSE)+VLOOKUP($A69,main!$A$3:$H$102,4,FALSE)+(VLOOKUP(VLOOKUP(AA$1,main!$A$3:$H$102,8,FALSE),main!$K$19:$O$22,MATCH(VLOOKUP($A69,main!$A$3:$H$102,7,FALSE),main!$K$18:$O$18,0),0))),0)</f>
        <v>313</v>
      </c>
      <c r="AB69">
        <f>IF((gamma!AB69),IF(VLOOKUP(AB$1,main!$A$3:$H$102,7,FALSE)=VLOOKUP($A69,main!$A$3:$H$102,8,FALSE),VLOOKUP(AB$1,main!$A$3:$H$102,4,FALSE),VLOOKUP(AB$1,main!$A$3:$H$102,4,FALSE)+VLOOKUP($A69,main!$A$3:$H$102,4,FALSE)+(VLOOKUP(VLOOKUP(AB$1,main!$A$3:$H$102,8,FALSE),main!$K$19:$O$22,MATCH(VLOOKUP($A69,main!$A$3:$H$102,7,FALSE),main!$K$18:$O$18,0),0))),0)</f>
        <v>0</v>
      </c>
      <c r="AC69">
        <f>IF((gamma!AC69),IF(VLOOKUP(AC$1,main!$A$3:$H$102,7,FALSE)=VLOOKUP($A69,main!$A$3:$H$102,8,FALSE),VLOOKUP(AC$1,main!$A$3:$H$102,4,FALSE),VLOOKUP(AC$1,main!$A$3:$H$102,4,FALSE)+VLOOKUP($A69,main!$A$3:$H$102,4,FALSE)+(VLOOKUP(VLOOKUP(AC$1,main!$A$3:$H$102,8,FALSE),main!$K$19:$O$22,MATCH(VLOOKUP($A69,main!$A$3:$H$102,7,FALSE),main!$K$18:$O$18,0),0))),0)</f>
        <v>0</v>
      </c>
      <c r="AD69">
        <f>IF((gamma!AD69),IF(VLOOKUP(AD$1,main!$A$3:$H$102,7,FALSE)=VLOOKUP($A69,main!$A$3:$H$102,8,FALSE),VLOOKUP(AD$1,main!$A$3:$H$102,4,FALSE),VLOOKUP(AD$1,main!$A$3:$H$102,4,FALSE)+VLOOKUP($A69,main!$A$3:$H$102,4,FALSE)+(VLOOKUP(VLOOKUP(AD$1,main!$A$3:$H$102,8,FALSE),main!$K$19:$O$22,MATCH(VLOOKUP($A69,main!$A$3:$H$102,7,FALSE),main!$K$18:$O$18,0),0))),0)</f>
        <v>0</v>
      </c>
      <c r="AE69">
        <f>IF((gamma!AE69),IF(VLOOKUP(AE$1,main!$A$3:$H$102,7,FALSE)=VLOOKUP($A69,main!$A$3:$H$102,8,FALSE),VLOOKUP(AE$1,main!$A$3:$H$102,4,FALSE),VLOOKUP(AE$1,main!$A$3:$H$102,4,FALSE)+VLOOKUP($A69,main!$A$3:$H$102,4,FALSE)+(VLOOKUP(VLOOKUP(AE$1,main!$A$3:$H$102,8,FALSE),main!$K$19:$O$22,MATCH(VLOOKUP($A69,main!$A$3:$H$102,7,FALSE),main!$K$18:$O$18,0),0))),0)</f>
        <v>0</v>
      </c>
      <c r="AF69">
        <f>IF((gamma!AF69),IF(VLOOKUP(AF$1,main!$A$3:$H$102,7,FALSE)=VLOOKUP($A69,main!$A$3:$H$102,8,FALSE),VLOOKUP(AF$1,main!$A$3:$H$102,4,FALSE),VLOOKUP(AF$1,main!$A$3:$H$102,4,FALSE)+VLOOKUP($A69,main!$A$3:$H$102,4,FALSE)+(VLOOKUP(VLOOKUP(AF$1,main!$A$3:$H$102,8,FALSE),main!$K$19:$O$22,MATCH(VLOOKUP($A69,main!$A$3:$H$102,7,FALSE),main!$K$18:$O$18,0),0))),0)</f>
        <v>273</v>
      </c>
      <c r="AG69">
        <f>IF((gamma!AG69),IF(VLOOKUP(AG$1,main!$A$3:$H$102,7,FALSE)=VLOOKUP($A69,main!$A$3:$H$102,8,FALSE),VLOOKUP(AG$1,main!$A$3:$H$102,4,FALSE),VLOOKUP(AG$1,main!$A$3:$H$102,4,FALSE)+VLOOKUP($A69,main!$A$3:$H$102,4,FALSE)+(VLOOKUP(VLOOKUP(AG$1,main!$A$3:$H$102,8,FALSE),main!$K$19:$O$22,MATCH(VLOOKUP($A69,main!$A$3:$H$102,7,FALSE),main!$K$18:$O$18,0),0))),0)</f>
        <v>0</v>
      </c>
      <c r="AH69">
        <f>IF((gamma!AH69),IF(VLOOKUP(AH$1,main!$A$3:$H$102,7,FALSE)=VLOOKUP($A69,main!$A$3:$H$102,8,FALSE),VLOOKUP(AH$1,main!$A$3:$H$102,4,FALSE),VLOOKUP(AH$1,main!$A$3:$H$102,4,FALSE)+VLOOKUP($A69,main!$A$3:$H$102,4,FALSE)+(VLOOKUP(VLOOKUP(AH$1,main!$A$3:$H$102,8,FALSE),main!$K$19:$O$22,MATCH(VLOOKUP($A69,main!$A$3:$H$102,7,FALSE),main!$K$18:$O$18,0),0))),0)</f>
        <v>0</v>
      </c>
      <c r="AI69">
        <f>IF((gamma!AI69),IF(VLOOKUP(AI$1,main!$A$3:$H$102,7,FALSE)=VLOOKUP($A69,main!$A$3:$H$102,8,FALSE),VLOOKUP(AI$1,main!$A$3:$H$102,4,FALSE),VLOOKUP(AI$1,main!$A$3:$H$102,4,FALSE)+VLOOKUP($A69,main!$A$3:$H$102,4,FALSE)+(VLOOKUP(VLOOKUP(AI$1,main!$A$3:$H$102,8,FALSE),main!$K$19:$O$22,MATCH(VLOOKUP($A69,main!$A$3:$H$102,7,FALSE),main!$K$18:$O$18,0),0))),0)</f>
        <v>0</v>
      </c>
      <c r="AJ69">
        <f>IF((gamma!AJ69),IF(VLOOKUP(AJ$1,main!$A$3:$H$102,7,FALSE)=VLOOKUP($A69,main!$A$3:$H$102,8,FALSE),VLOOKUP(AJ$1,main!$A$3:$H$102,4,FALSE),VLOOKUP(AJ$1,main!$A$3:$H$102,4,FALSE)+VLOOKUP($A69,main!$A$3:$H$102,4,FALSE)+(VLOOKUP(VLOOKUP(AJ$1,main!$A$3:$H$102,8,FALSE),main!$K$19:$O$22,MATCH(VLOOKUP($A69,main!$A$3:$H$102,7,FALSE),main!$K$18:$O$18,0),0))),0)</f>
        <v>0</v>
      </c>
      <c r="AK69">
        <f>IF((gamma!AK69),IF(VLOOKUP(AK$1,main!$A$3:$H$102,7,FALSE)=VLOOKUP($A69,main!$A$3:$H$102,8,FALSE),VLOOKUP(AK$1,main!$A$3:$H$102,4,FALSE),VLOOKUP(AK$1,main!$A$3:$H$102,4,FALSE)+VLOOKUP($A69,main!$A$3:$H$102,4,FALSE)+(VLOOKUP(VLOOKUP(AK$1,main!$A$3:$H$102,8,FALSE),main!$K$19:$O$22,MATCH(VLOOKUP($A69,main!$A$3:$H$102,7,FALSE),main!$K$18:$O$18,0),0))),0)</f>
        <v>0</v>
      </c>
      <c r="AL69">
        <f>IF((gamma!AL69),IF(VLOOKUP(AL$1,main!$A$3:$H$102,7,FALSE)=VLOOKUP($A69,main!$A$3:$H$102,8,FALSE),VLOOKUP(AL$1,main!$A$3:$H$102,4,FALSE),VLOOKUP(AL$1,main!$A$3:$H$102,4,FALSE)+VLOOKUP($A69,main!$A$3:$H$102,4,FALSE)+(VLOOKUP(VLOOKUP(AL$1,main!$A$3:$H$102,8,FALSE),main!$K$19:$O$22,MATCH(VLOOKUP($A69,main!$A$3:$H$102,7,FALSE),main!$K$18:$O$18,0),0))),0)</f>
        <v>135</v>
      </c>
      <c r="AM69">
        <f>IF((gamma!AM69),IF(VLOOKUP(AM$1,main!$A$3:$H$102,7,FALSE)=VLOOKUP($A69,main!$A$3:$H$102,8,FALSE),VLOOKUP(AM$1,main!$A$3:$H$102,4,FALSE),VLOOKUP(AM$1,main!$A$3:$H$102,4,FALSE)+VLOOKUP($A69,main!$A$3:$H$102,4,FALSE)+(VLOOKUP(VLOOKUP(AM$1,main!$A$3:$H$102,8,FALSE),main!$K$19:$O$22,MATCH(VLOOKUP($A69,main!$A$3:$H$102,7,FALSE),main!$K$18:$O$18,0),0))),0)</f>
        <v>135</v>
      </c>
      <c r="AN69">
        <f>IF((gamma!AN69),IF(VLOOKUP(AN$1,main!$A$3:$H$102,7,FALSE)=VLOOKUP($A69,main!$A$3:$H$102,8,FALSE),VLOOKUP(AN$1,main!$A$3:$H$102,4,FALSE),VLOOKUP(AN$1,main!$A$3:$H$102,4,FALSE)+VLOOKUP($A69,main!$A$3:$H$102,4,FALSE)+(VLOOKUP(VLOOKUP(AN$1,main!$A$3:$H$102,8,FALSE),main!$K$19:$O$22,MATCH(VLOOKUP($A69,main!$A$3:$H$102,7,FALSE),main!$K$18:$O$18,0),0))),0)</f>
        <v>135</v>
      </c>
      <c r="AO69">
        <f>IF((gamma!AO69),IF(VLOOKUP(AO$1,main!$A$3:$H$102,7,FALSE)=VLOOKUP($A69,main!$A$3:$H$102,8,FALSE),VLOOKUP(AO$1,main!$A$3:$H$102,4,FALSE),VLOOKUP(AO$1,main!$A$3:$H$102,4,FALSE)+VLOOKUP($A69,main!$A$3:$H$102,4,FALSE)+(VLOOKUP(VLOOKUP(AO$1,main!$A$3:$H$102,8,FALSE),main!$K$19:$O$22,MATCH(VLOOKUP($A69,main!$A$3:$H$102,7,FALSE),main!$K$18:$O$18,0),0))),0)</f>
        <v>0</v>
      </c>
      <c r="AP69">
        <f>IF((gamma!AP69),IF(VLOOKUP(AP$1,main!$A$3:$H$102,7,FALSE)=VLOOKUP($A69,main!$A$3:$H$102,8,FALSE),VLOOKUP(AP$1,main!$A$3:$H$102,4,FALSE),VLOOKUP(AP$1,main!$A$3:$H$102,4,FALSE)+VLOOKUP($A69,main!$A$3:$H$102,4,FALSE)+(VLOOKUP(VLOOKUP(AP$1,main!$A$3:$H$102,8,FALSE),main!$K$19:$O$22,MATCH(VLOOKUP($A69,main!$A$3:$H$102,7,FALSE),main!$K$18:$O$18,0),0))),0)</f>
        <v>75</v>
      </c>
      <c r="AQ69">
        <f>IF((gamma!AQ69),IF(VLOOKUP(AQ$1,main!$A$3:$H$102,7,FALSE)=VLOOKUP($A69,main!$A$3:$H$102,8,FALSE),VLOOKUP(AQ$1,main!$A$3:$H$102,4,FALSE),VLOOKUP(AQ$1,main!$A$3:$H$102,4,FALSE)+VLOOKUP($A69,main!$A$3:$H$102,4,FALSE)+(VLOOKUP(VLOOKUP(AQ$1,main!$A$3:$H$102,8,FALSE),main!$K$19:$O$22,MATCH(VLOOKUP($A69,main!$A$3:$H$102,7,FALSE),main!$K$18:$O$18,0),0))),0)</f>
        <v>0</v>
      </c>
      <c r="AR69">
        <f>IF((gamma!AR69),IF(VLOOKUP(AR$1,main!$A$3:$H$102,7,FALSE)=VLOOKUP($A69,main!$A$3:$H$102,8,FALSE),VLOOKUP(AR$1,main!$A$3:$H$102,4,FALSE),VLOOKUP(AR$1,main!$A$3:$H$102,4,FALSE)+VLOOKUP($A69,main!$A$3:$H$102,4,FALSE)+(VLOOKUP(VLOOKUP(AR$1,main!$A$3:$H$102,8,FALSE),main!$K$19:$O$22,MATCH(VLOOKUP($A69,main!$A$3:$H$102,7,FALSE),main!$K$18:$O$18,0),0))),0)</f>
        <v>0</v>
      </c>
      <c r="AS69">
        <f>IF((gamma!AS69),IF(VLOOKUP(AS$1,main!$A$3:$H$102,7,FALSE)=VLOOKUP($A69,main!$A$3:$H$102,8,FALSE),VLOOKUP(AS$1,main!$A$3:$H$102,4,FALSE),VLOOKUP(AS$1,main!$A$3:$H$102,4,FALSE)+VLOOKUP($A69,main!$A$3:$H$102,4,FALSE)+(VLOOKUP(VLOOKUP(AS$1,main!$A$3:$H$102,8,FALSE),main!$K$19:$O$22,MATCH(VLOOKUP($A69,main!$A$3:$H$102,7,FALSE),main!$K$18:$O$18,0),0))),0)</f>
        <v>0</v>
      </c>
      <c r="AT69">
        <f>IF((gamma!AT69),IF(VLOOKUP(AT$1,main!$A$3:$H$102,7,FALSE)=VLOOKUP($A69,main!$A$3:$H$102,8,FALSE),VLOOKUP(AT$1,main!$A$3:$H$102,4,FALSE),VLOOKUP(AT$1,main!$A$3:$H$102,4,FALSE)+VLOOKUP($A69,main!$A$3:$H$102,4,FALSE)+(VLOOKUP(VLOOKUP(AT$1,main!$A$3:$H$102,8,FALSE),main!$K$19:$O$22,MATCH(VLOOKUP($A69,main!$A$3:$H$102,7,FALSE),main!$K$18:$O$18,0),0))),0)</f>
        <v>130</v>
      </c>
      <c r="AU69">
        <f>IF((gamma!AU69),IF(VLOOKUP(AU$1,main!$A$3:$H$102,7,FALSE)=VLOOKUP($A69,main!$A$3:$H$102,8,FALSE),VLOOKUP(AU$1,main!$A$3:$H$102,4,FALSE),VLOOKUP(AU$1,main!$A$3:$H$102,4,FALSE)+VLOOKUP($A69,main!$A$3:$H$102,4,FALSE)+(VLOOKUP(VLOOKUP(AU$1,main!$A$3:$H$102,8,FALSE),main!$K$19:$O$22,MATCH(VLOOKUP($A69,main!$A$3:$H$102,7,FALSE),main!$K$18:$O$18,0),0))),0)</f>
        <v>0</v>
      </c>
      <c r="AV69">
        <f>IF((gamma!AV69),IF(VLOOKUP(AV$1,main!$A$3:$H$102,7,FALSE)=VLOOKUP($A69,main!$A$3:$H$102,8,FALSE),VLOOKUP(AV$1,main!$A$3:$H$102,4,FALSE),VLOOKUP(AV$1,main!$A$3:$H$102,4,FALSE)+VLOOKUP($A69,main!$A$3:$H$102,4,FALSE)+(VLOOKUP(VLOOKUP(AV$1,main!$A$3:$H$102,8,FALSE),main!$K$19:$O$22,MATCH(VLOOKUP($A69,main!$A$3:$H$102,7,FALSE),main!$K$18:$O$18,0),0))),0)</f>
        <v>0</v>
      </c>
      <c r="AW69">
        <f>IF((gamma!AW69),IF(VLOOKUP(AW$1,main!$A$3:$H$102,7,FALSE)=VLOOKUP($A69,main!$A$3:$H$102,8,FALSE),VLOOKUP(AW$1,main!$A$3:$H$102,4,FALSE),VLOOKUP(AW$1,main!$A$3:$H$102,4,FALSE)+VLOOKUP($A69,main!$A$3:$H$102,4,FALSE)+(VLOOKUP(VLOOKUP(AW$1,main!$A$3:$H$102,8,FALSE),main!$K$19:$O$22,MATCH(VLOOKUP($A69,main!$A$3:$H$102,7,FALSE),main!$K$18:$O$18,0),0))),0)</f>
        <v>0</v>
      </c>
      <c r="AX69">
        <f>IF((gamma!AX69),IF(VLOOKUP(AX$1,main!$A$3:$H$102,7,FALSE)=VLOOKUP($A69,main!$A$3:$H$102,8,FALSE),VLOOKUP(AX$1,main!$A$3:$H$102,4,FALSE),VLOOKUP(AX$1,main!$A$3:$H$102,4,FALSE)+VLOOKUP($A69,main!$A$3:$H$102,4,FALSE)+(VLOOKUP(VLOOKUP(AX$1,main!$A$3:$H$102,8,FALSE),main!$K$19:$O$22,MATCH(VLOOKUP($A69,main!$A$3:$H$102,7,FALSE),main!$K$18:$O$18,0),0))),0)</f>
        <v>0</v>
      </c>
      <c r="AY69">
        <f>IF((gamma!AY69),IF(VLOOKUP(AY$1,main!$A$3:$H$102,7,FALSE)=VLOOKUP($A69,main!$A$3:$H$102,8,FALSE),VLOOKUP(AY$1,main!$A$3:$H$102,4,FALSE),VLOOKUP(AY$1,main!$A$3:$H$102,4,FALSE)+VLOOKUP($A69,main!$A$3:$H$102,4,FALSE)+(VLOOKUP(VLOOKUP(AY$1,main!$A$3:$H$102,8,FALSE),main!$K$19:$O$22,MATCH(VLOOKUP($A69,main!$A$3:$H$102,7,FALSE),main!$K$18:$O$18,0),0))),0)</f>
        <v>0</v>
      </c>
      <c r="AZ69">
        <f>IF((gamma!AZ69),IF(VLOOKUP(AZ$1,main!$A$3:$H$102,7,FALSE)=VLOOKUP($A69,main!$A$3:$H$102,8,FALSE),VLOOKUP(AZ$1,main!$A$3:$H$102,4,FALSE),VLOOKUP(AZ$1,main!$A$3:$H$102,4,FALSE)+VLOOKUP($A69,main!$A$3:$H$102,4,FALSE)+(VLOOKUP(VLOOKUP(AZ$1,main!$A$3:$H$102,8,FALSE),main!$K$19:$O$22,MATCH(VLOOKUP($A69,main!$A$3:$H$102,7,FALSE),main!$K$18:$O$18,0),0))),0)</f>
        <v>0</v>
      </c>
      <c r="BA69">
        <f>IF((gamma!BA69),IF(VLOOKUP(BA$1,main!$A$3:$H$102,7,FALSE)=VLOOKUP($A69,main!$A$3:$H$102,8,FALSE),VLOOKUP(BA$1,main!$A$3:$H$102,4,FALSE),VLOOKUP(BA$1,main!$A$3:$H$102,4,FALSE)+VLOOKUP($A69,main!$A$3:$H$102,4,FALSE)+(VLOOKUP(VLOOKUP(BA$1,main!$A$3:$H$102,8,FALSE),main!$K$19:$O$22,MATCH(VLOOKUP($A69,main!$A$3:$H$102,7,FALSE),main!$K$18:$O$18,0),0))),0)</f>
        <v>0</v>
      </c>
      <c r="BB69">
        <f>IF((gamma!BB69),IF(VLOOKUP(BB$1,main!$A$3:$H$102,7,FALSE)=VLOOKUP($A69,main!$A$3:$H$102,8,FALSE),VLOOKUP(BB$1,main!$A$3:$H$102,4,FALSE),VLOOKUP(BB$1,main!$A$3:$H$102,4,FALSE)+VLOOKUP($A69,main!$A$3:$H$102,4,FALSE)+(VLOOKUP(VLOOKUP(BB$1,main!$A$3:$H$102,8,FALSE),main!$K$19:$O$22,MATCH(VLOOKUP($A69,main!$A$3:$H$102,7,FALSE),main!$K$18:$O$18,0),0))),0)</f>
        <v>0</v>
      </c>
      <c r="BC69">
        <f>IF((gamma!BC69),IF(VLOOKUP(BC$1,main!$A$3:$H$102,7,FALSE)=VLOOKUP($A69,main!$A$3:$H$102,8,FALSE),VLOOKUP(BC$1,main!$A$3:$H$102,4,FALSE),VLOOKUP(BC$1,main!$A$3:$H$102,4,FALSE)+VLOOKUP($A69,main!$A$3:$H$102,4,FALSE)+(VLOOKUP(VLOOKUP(BC$1,main!$A$3:$H$102,8,FALSE),main!$K$19:$O$22,MATCH(VLOOKUP($A69,main!$A$3:$H$102,7,FALSE),main!$K$18:$O$18,0),0))),0)</f>
        <v>0</v>
      </c>
      <c r="BD69">
        <f>IF((gamma!BD69),IF(VLOOKUP(BD$1,main!$A$3:$H$102,7,FALSE)=VLOOKUP($A69,main!$A$3:$H$102,8,FALSE),VLOOKUP(BD$1,main!$A$3:$H$102,4,FALSE),VLOOKUP(BD$1,main!$A$3:$H$102,4,FALSE)+VLOOKUP($A69,main!$A$3:$H$102,4,FALSE)+(VLOOKUP(VLOOKUP(BD$1,main!$A$3:$H$102,8,FALSE),main!$K$19:$O$22,MATCH(VLOOKUP($A69,main!$A$3:$H$102,7,FALSE),main!$K$18:$O$18,0),0))),0)</f>
        <v>0</v>
      </c>
      <c r="BE69">
        <f>IF((gamma!BE69),IF(VLOOKUP(BE$1,main!$A$3:$H$102,7,FALSE)=VLOOKUP($A69,main!$A$3:$H$102,8,FALSE),VLOOKUP(BE$1,main!$A$3:$H$102,4,FALSE),VLOOKUP(BE$1,main!$A$3:$H$102,4,FALSE)+VLOOKUP($A69,main!$A$3:$H$102,4,FALSE)+(VLOOKUP(VLOOKUP(BE$1,main!$A$3:$H$102,8,FALSE),main!$K$19:$O$22,MATCH(VLOOKUP($A69,main!$A$3:$H$102,7,FALSE),main!$K$18:$O$18,0),0))),0)</f>
        <v>310</v>
      </c>
      <c r="BF69">
        <f>IF((gamma!BF69),IF(VLOOKUP(BF$1,main!$A$3:$H$102,7,FALSE)=VLOOKUP($A69,main!$A$3:$H$102,8,FALSE),VLOOKUP(BF$1,main!$A$3:$H$102,4,FALSE),VLOOKUP(BF$1,main!$A$3:$H$102,4,FALSE)+VLOOKUP($A69,main!$A$3:$H$102,4,FALSE)+(VLOOKUP(VLOOKUP(BF$1,main!$A$3:$H$102,8,FALSE),main!$K$19:$O$22,MATCH(VLOOKUP($A69,main!$A$3:$H$102,7,FALSE),main!$K$18:$O$18,0),0))),0)</f>
        <v>0</v>
      </c>
      <c r="BG69">
        <f>IF((gamma!BG69),IF(VLOOKUP(BG$1,main!$A$3:$H$102,7,FALSE)=VLOOKUP($A69,main!$A$3:$H$102,8,FALSE),VLOOKUP(BG$1,main!$A$3:$H$102,4,FALSE),VLOOKUP(BG$1,main!$A$3:$H$102,4,FALSE)+VLOOKUP($A69,main!$A$3:$H$102,4,FALSE)+(VLOOKUP(VLOOKUP(BG$1,main!$A$3:$H$102,8,FALSE),main!$K$19:$O$22,MATCH(VLOOKUP($A69,main!$A$3:$H$102,7,FALSE),main!$K$18:$O$18,0),0))),0)</f>
        <v>0</v>
      </c>
      <c r="BH69">
        <f>IF((gamma!BH69),IF(VLOOKUP(BH$1,main!$A$3:$H$102,7,FALSE)=VLOOKUP($A69,main!$A$3:$H$102,8,FALSE),VLOOKUP(BH$1,main!$A$3:$H$102,4,FALSE),VLOOKUP(BH$1,main!$A$3:$H$102,4,FALSE)+VLOOKUP($A69,main!$A$3:$H$102,4,FALSE)+(VLOOKUP(VLOOKUP(BH$1,main!$A$3:$H$102,8,FALSE),main!$K$19:$O$22,MATCH(VLOOKUP($A69,main!$A$3:$H$102,7,FALSE),main!$K$18:$O$18,0),0))),0)</f>
        <v>0</v>
      </c>
      <c r="BI69">
        <f>IF((gamma!BI69),IF(VLOOKUP(BI$1,main!$A$3:$H$102,7,FALSE)=VLOOKUP($A69,main!$A$3:$H$102,8,FALSE),VLOOKUP(BI$1,main!$A$3:$H$102,4,FALSE),VLOOKUP(BI$1,main!$A$3:$H$102,4,FALSE)+VLOOKUP($A69,main!$A$3:$H$102,4,FALSE)+(VLOOKUP(VLOOKUP(BI$1,main!$A$3:$H$102,8,FALSE),main!$K$19:$O$22,MATCH(VLOOKUP($A69,main!$A$3:$H$102,7,FALSE),main!$K$18:$O$18,0),0))),0)</f>
        <v>230</v>
      </c>
      <c r="BJ69">
        <f>IF((gamma!BJ69),IF(VLOOKUP(BJ$1,main!$A$3:$H$102,7,FALSE)=VLOOKUP($A69,main!$A$3:$H$102,8,FALSE),VLOOKUP(BJ$1,main!$A$3:$H$102,4,FALSE),VLOOKUP(BJ$1,main!$A$3:$H$102,4,FALSE)+VLOOKUP($A69,main!$A$3:$H$102,4,FALSE)+(VLOOKUP(VLOOKUP(BJ$1,main!$A$3:$H$102,8,FALSE),main!$K$19:$O$22,MATCH(VLOOKUP($A69,main!$A$3:$H$102,7,FALSE),main!$K$18:$O$18,0),0))),0)</f>
        <v>260</v>
      </c>
      <c r="BK69">
        <f>IF((gamma!BK69),IF(VLOOKUP(BK$1,main!$A$3:$H$102,7,FALSE)=VLOOKUP($A69,main!$A$3:$H$102,8,FALSE),VLOOKUP(BK$1,main!$A$3:$H$102,4,FALSE),VLOOKUP(BK$1,main!$A$3:$H$102,4,FALSE)+VLOOKUP($A69,main!$A$3:$H$102,4,FALSE)+(VLOOKUP(VLOOKUP(BK$1,main!$A$3:$H$102,8,FALSE),main!$K$19:$O$22,MATCH(VLOOKUP($A69,main!$A$3:$H$102,7,FALSE),main!$K$18:$O$18,0),0))),0)</f>
        <v>0</v>
      </c>
      <c r="BL69">
        <f>IF((gamma!BL69),IF(VLOOKUP(BL$1,main!$A$3:$H$102,7,FALSE)=VLOOKUP($A69,main!$A$3:$H$102,8,FALSE),VLOOKUP(BL$1,main!$A$3:$H$102,4,FALSE),VLOOKUP(BL$1,main!$A$3:$H$102,4,FALSE)+VLOOKUP($A69,main!$A$3:$H$102,4,FALSE)+(VLOOKUP(VLOOKUP(BL$1,main!$A$3:$H$102,8,FALSE),main!$K$19:$O$22,MATCH(VLOOKUP($A69,main!$A$3:$H$102,7,FALSE),main!$K$18:$O$18,0),0))),0)</f>
        <v>0</v>
      </c>
      <c r="BM69">
        <f>IF((gamma!BM69),IF(VLOOKUP(BM$1,main!$A$3:$H$102,7,FALSE)=VLOOKUP($A69,main!$A$3:$H$102,8,FALSE),VLOOKUP(BM$1,main!$A$3:$H$102,4,FALSE),VLOOKUP(BM$1,main!$A$3:$H$102,4,FALSE)+VLOOKUP($A69,main!$A$3:$H$102,4,FALSE)+(VLOOKUP(VLOOKUP(BM$1,main!$A$3:$H$102,8,FALSE),main!$K$19:$O$22,MATCH(VLOOKUP($A69,main!$A$3:$H$102,7,FALSE),main!$K$18:$O$18,0),0))),0)</f>
        <v>0</v>
      </c>
      <c r="BN69">
        <f>IF((gamma!BN69),IF(VLOOKUP(BN$1,main!$A$3:$H$102,7,FALSE)=VLOOKUP($A69,main!$A$3:$H$102,8,FALSE),VLOOKUP(BN$1,main!$A$3:$H$102,4,FALSE),VLOOKUP(BN$1,main!$A$3:$H$102,4,FALSE)+VLOOKUP($A69,main!$A$3:$H$102,4,FALSE)+(VLOOKUP(VLOOKUP(BN$1,main!$A$3:$H$102,8,FALSE),main!$K$19:$O$22,MATCH(VLOOKUP($A69,main!$A$3:$H$102,7,FALSE),main!$K$18:$O$18,0),0))),0)</f>
        <v>0</v>
      </c>
      <c r="BO69">
        <f>IF((gamma!BO69),IF(VLOOKUP(BO$1,main!$A$3:$H$102,7,FALSE)=VLOOKUP($A69,main!$A$3:$H$102,8,FALSE),VLOOKUP(BO$1,main!$A$3:$H$102,4,FALSE),VLOOKUP(BO$1,main!$A$3:$H$102,4,FALSE)+VLOOKUP($A69,main!$A$3:$H$102,4,FALSE)+(VLOOKUP(VLOOKUP(BO$1,main!$A$3:$H$102,8,FALSE),main!$K$19:$O$22,MATCH(VLOOKUP($A69,main!$A$3:$H$102,7,FALSE),main!$K$18:$O$18,0),0))),0)</f>
        <v>0</v>
      </c>
      <c r="BP69">
        <f>IF((gamma!BP69),IF(VLOOKUP(BP$1,main!$A$3:$H$102,7,FALSE)=VLOOKUP($A69,main!$A$3:$H$102,8,FALSE),VLOOKUP(BP$1,main!$A$3:$H$102,4,FALSE),VLOOKUP(BP$1,main!$A$3:$H$102,4,FALSE)+VLOOKUP($A69,main!$A$3:$H$102,4,FALSE)+(VLOOKUP(VLOOKUP(BP$1,main!$A$3:$H$102,8,FALSE),main!$K$19:$O$22,MATCH(VLOOKUP($A69,main!$A$3:$H$102,7,FALSE),main!$K$18:$O$18,0),0))),0)</f>
        <v>0</v>
      </c>
      <c r="BQ69">
        <f>IF((gamma!BQ69),IF(VLOOKUP(BQ$1,main!$A$3:$H$102,7,FALSE)=VLOOKUP($A69,main!$A$3:$H$102,8,FALSE),VLOOKUP(BQ$1,main!$A$3:$H$102,4,FALSE),VLOOKUP(BQ$1,main!$A$3:$H$102,4,FALSE)+VLOOKUP($A69,main!$A$3:$H$102,4,FALSE)+(VLOOKUP(VLOOKUP(BQ$1,main!$A$3:$H$102,8,FALSE),main!$K$19:$O$22,MATCH(VLOOKUP($A69,main!$A$3:$H$102,7,FALSE),main!$K$18:$O$18,0),0))),0)</f>
        <v>0</v>
      </c>
      <c r="BR69">
        <f>IF((gamma!BR69),IF(VLOOKUP(BR$1,main!$A$3:$H$102,7,FALSE)=VLOOKUP($A69,main!$A$3:$H$102,8,FALSE),VLOOKUP(BR$1,main!$A$3:$H$102,4,FALSE),VLOOKUP(BR$1,main!$A$3:$H$102,4,FALSE)+VLOOKUP($A69,main!$A$3:$H$102,4,FALSE)+(VLOOKUP(VLOOKUP(BR$1,main!$A$3:$H$102,8,FALSE),main!$K$19:$O$22,MATCH(VLOOKUP($A69,main!$A$3:$H$102,7,FALSE),main!$K$18:$O$18,0),0))),0)</f>
        <v>0</v>
      </c>
      <c r="BS69">
        <f>IF((gamma!BS69),IF(VLOOKUP(BS$1,main!$A$3:$H$102,7,FALSE)=VLOOKUP($A69,main!$A$3:$H$102,8,FALSE),VLOOKUP(BS$1,main!$A$3:$H$102,4,FALSE),VLOOKUP(BS$1,main!$A$3:$H$102,4,FALSE)+VLOOKUP($A69,main!$A$3:$H$102,4,FALSE)+(VLOOKUP(VLOOKUP(BS$1,main!$A$3:$H$102,8,FALSE),main!$K$19:$O$22,MATCH(VLOOKUP($A69,main!$A$3:$H$102,7,FALSE),main!$K$18:$O$18,0),0))),0)</f>
        <v>0</v>
      </c>
      <c r="BT69">
        <f>IF((gamma!BT69),IF(VLOOKUP(BT$1,main!$A$3:$H$102,7,FALSE)=VLOOKUP($A69,main!$A$3:$H$102,8,FALSE),VLOOKUP(BT$1,main!$A$3:$H$102,4,FALSE),VLOOKUP(BT$1,main!$A$3:$H$102,4,FALSE)+VLOOKUP($A69,main!$A$3:$H$102,4,FALSE)+(VLOOKUP(VLOOKUP(BT$1,main!$A$3:$H$102,8,FALSE),main!$K$19:$O$22,MATCH(VLOOKUP($A69,main!$A$3:$H$102,7,FALSE),main!$K$18:$O$18,0),0))),0)</f>
        <v>0</v>
      </c>
      <c r="BU69">
        <f>IF((gamma!BU69),IF(VLOOKUP(BU$1,main!$A$3:$H$102,7,FALSE)=VLOOKUP($A69,main!$A$3:$H$102,8,FALSE),VLOOKUP(BU$1,main!$A$3:$H$102,4,FALSE),VLOOKUP(BU$1,main!$A$3:$H$102,4,FALSE)+VLOOKUP($A69,main!$A$3:$H$102,4,FALSE)+(VLOOKUP(VLOOKUP(BU$1,main!$A$3:$H$102,8,FALSE),main!$K$19:$O$22,MATCH(VLOOKUP($A69,main!$A$3:$H$102,7,FALSE),main!$K$18:$O$18,0),0))),0)</f>
        <v>0</v>
      </c>
      <c r="BV69">
        <f>IF((gamma!BV69),IF(VLOOKUP(BV$1,main!$A$3:$H$102,7,FALSE)=VLOOKUP($A69,main!$A$3:$H$102,8,FALSE),VLOOKUP(BV$1,main!$A$3:$H$102,4,FALSE),VLOOKUP(BV$1,main!$A$3:$H$102,4,FALSE)+VLOOKUP($A69,main!$A$3:$H$102,4,FALSE)+(VLOOKUP(VLOOKUP(BV$1,main!$A$3:$H$102,8,FALSE),main!$K$19:$O$22,MATCH(VLOOKUP($A69,main!$A$3:$H$102,7,FALSE),main!$K$18:$O$18,0),0))),0)</f>
        <v>0</v>
      </c>
      <c r="BW69">
        <f>IF((gamma!BW69),IF(VLOOKUP(BW$1,main!$A$3:$H$102,7,FALSE)=VLOOKUP($A69,main!$A$3:$H$102,8,FALSE),VLOOKUP(BW$1,main!$A$3:$H$102,4,FALSE),VLOOKUP(BW$1,main!$A$3:$H$102,4,FALSE)+VLOOKUP($A69,main!$A$3:$H$102,4,FALSE)+(VLOOKUP(VLOOKUP(BW$1,main!$A$3:$H$102,8,FALSE),main!$K$19:$O$22,MATCH(VLOOKUP($A69,main!$A$3:$H$102,7,FALSE),main!$K$18:$O$18,0),0))),0)</f>
        <v>0</v>
      </c>
      <c r="BX69">
        <f>IF((gamma!BX69),IF(VLOOKUP(BX$1,main!$A$3:$H$102,7,FALSE)=VLOOKUP($A69,main!$A$3:$H$102,8,FALSE),VLOOKUP(BX$1,main!$A$3:$H$102,4,FALSE),VLOOKUP(BX$1,main!$A$3:$H$102,4,FALSE)+VLOOKUP($A69,main!$A$3:$H$102,4,FALSE)+(VLOOKUP(VLOOKUP(BX$1,main!$A$3:$H$102,8,FALSE),main!$K$19:$O$22,MATCH(VLOOKUP($A69,main!$A$3:$H$102,7,FALSE),main!$K$18:$O$18,0),0))),0)</f>
        <v>0</v>
      </c>
      <c r="BY69">
        <f>IF((gamma!BY69),IF(VLOOKUP(BY$1,main!$A$3:$H$102,7,FALSE)=VLOOKUP($A69,main!$A$3:$H$102,8,FALSE),VLOOKUP(BY$1,main!$A$3:$H$102,4,FALSE),VLOOKUP(BY$1,main!$A$3:$H$102,4,FALSE)+VLOOKUP($A69,main!$A$3:$H$102,4,FALSE)+(VLOOKUP(VLOOKUP(BY$1,main!$A$3:$H$102,8,FALSE),main!$K$19:$O$22,MATCH(VLOOKUP($A69,main!$A$3:$H$102,7,FALSE),main!$K$18:$O$18,0),0))),0)</f>
        <v>0</v>
      </c>
      <c r="BZ69">
        <f>IF((gamma!BZ69),IF(VLOOKUP(BZ$1,main!$A$3:$H$102,7,FALSE)=VLOOKUP($A69,main!$A$3:$H$102,8,FALSE),VLOOKUP(BZ$1,main!$A$3:$H$102,4,FALSE),VLOOKUP(BZ$1,main!$A$3:$H$102,4,FALSE)+VLOOKUP($A69,main!$A$3:$H$102,4,FALSE)+(VLOOKUP(VLOOKUP(BZ$1,main!$A$3:$H$102,8,FALSE),main!$K$19:$O$22,MATCH(VLOOKUP($A69,main!$A$3:$H$102,7,FALSE),main!$K$18:$O$18,0),0))),0)</f>
        <v>0</v>
      </c>
      <c r="CA69">
        <f>IF((gamma!CA69),IF(VLOOKUP(CA$1,main!$A$3:$H$102,7,FALSE)=VLOOKUP($A69,main!$A$3:$H$102,8,FALSE),VLOOKUP(CA$1,main!$A$3:$H$102,4,FALSE),VLOOKUP(CA$1,main!$A$3:$H$102,4,FALSE)+VLOOKUP($A69,main!$A$3:$H$102,4,FALSE)+(VLOOKUP(VLOOKUP(CA$1,main!$A$3:$H$102,8,FALSE),main!$K$19:$O$22,MATCH(VLOOKUP($A69,main!$A$3:$H$102,7,FALSE),main!$K$18:$O$18,0),0))),0)</f>
        <v>0</v>
      </c>
      <c r="CB69">
        <f>IF((gamma!CB69),IF(VLOOKUP(CB$1,main!$A$3:$H$102,7,FALSE)=VLOOKUP($A69,main!$A$3:$H$102,8,FALSE),VLOOKUP(CB$1,main!$A$3:$H$102,4,FALSE),VLOOKUP(CB$1,main!$A$3:$H$102,4,FALSE)+VLOOKUP($A69,main!$A$3:$H$102,4,FALSE)+(VLOOKUP(VLOOKUP(CB$1,main!$A$3:$H$102,8,FALSE),main!$K$19:$O$22,MATCH(VLOOKUP($A69,main!$A$3:$H$102,7,FALSE),main!$K$18:$O$18,0),0))),0)</f>
        <v>0</v>
      </c>
      <c r="CC69">
        <f>IF((gamma!CC69),IF(VLOOKUP(CC$1,main!$A$3:$H$102,7,FALSE)=VLOOKUP($A69,main!$A$3:$H$102,8,FALSE),VLOOKUP(CC$1,main!$A$3:$H$102,4,FALSE),VLOOKUP(CC$1,main!$A$3:$H$102,4,FALSE)+VLOOKUP($A69,main!$A$3:$H$102,4,FALSE)+(VLOOKUP(VLOOKUP(CC$1,main!$A$3:$H$102,8,FALSE),main!$K$19:$O$22,MATCH(VLOOKUP($A69,main!$A$3:$H$102,7,FALSE),main!$K$18:$O$18,0),0))),0)</f>
        <v>228</v>
      </c>
      <c r="CD69">
        <f>IF((gamma!CD69),IF(VLOOKUP(CD$1,main!$A$3:$H$102,7,FALSE)=VLOOKUP($A69,main!$A$3:$H$102,8,FALSE),VLOOKUP(CD$1,main!$A$3:$H$102,4,FALSE),VLOOKUP(CD$1,main!$A$3:$H$102,4,FALSE)+VLOOKUP($A69,main!$A$3:$H$102,4,FALSE)+(VLOOKUP(VLOOKUP(CD$1,main!$A$3:$H$102,8,FALSE),main!$K$19:$O$22,MATCH(VLOOKUP($A69,main!$A$3:$H$102,7,FALSE),main!$K$18:$O$18,0),0))),0)</f>
        <v>0</v>
      </c>
      <c r="CE69">
        <f>IF((gamma!CE69),IF(VLOOKUP(CE$1,main!$A$3:$H$102,7,FALSE)=VLOOKUP($A69,main!$A$3:$H$102,8,FALSE),VLOOKUP(CE$1,main!$A$3:$H$102,4,FALSE),VLOOKUP(CE$1,main!$A$3:$H$102,4,FALSE)+VLOOKUP($A69,main!$A$3:$H$102,4,FALSE)+(VLOOKUP(VLOOKUP(CE$1,main!$A$3:$H$102,8,FALSE),main!$K$19:$O$22,MATCH(VLOOKUP($A69,main!$A$3:$H$102,7,FALSE),main!$K$18:$O$18,0),0))),0)</f>
        <v>0</v>
      </c>
      <c r="CF69">
        <f>IF((gamma!CF69),IF(VLOOKUP(CF$1,main!$A$3:$H$102,7,FALSE)=VLOOKUP($A69,main!$A$3:$H$102,8,FALSE),VLOOKUP(CF$1,main!$A$3:$H$102,4,FALSE),VLOOKUP(CF$1,main!$A$3:$H$102,4,FALSE)+VLOOKUP($A69,main!$A$3:$H$102,4,FALSE)+(VLOOKUP(VLOOKUP(CF$1,main!$A$3:$H$102,8,FALSE),main!$K$19:$O$22,MATCH(VLOOKUP($A69,main!$A$3:$H$102,7,FALSE),main!$K$18:$O$18,0),0))),0)</f>
        <v>0</v>
      </c>
      <c r="CG69">
        <f>IF((gamma!CG69),IF(VLOOKUP(CG$1,main!$A$3:$H$102,7,FALSE)=VLOOKUP($A69,main!$A$3:$H$102,8,FALSE),VLOOKUP(CG$1,main!$A$3:$H$102,4,FALSE),VLOOKUP(CG$1,main!$A$3:$H$102,4,FALSE)+VLOOKUP($A69,main!$A$3:$H$102,4,FALSE)+(VLOOKUP(VLOOKUP(CG$1,main!$A$3:$H$102,8,FALSE),main!$K$19:$O$22,MATCH(VLOOKUP($A69,main!$A$3:$H$102,7,FALSE),main!$K$18:$O$18,0),0))),0)</f>
        <v>0</v>
      </c>
      <c r="CH69">
        <f>IF((gamma!CH69),IF(VLOOKUP(CH$1,main!$A$3:$H$102,7,FALSE)=VLOOKUP($A69,main!$A$3:$H$102,8,FALSE),VLOOKUP(CH$1,main!$A$3:$H$102,4,FALSE),VLOOKUP(CH$1,main!$A$3:$H$102,4,FALSE)+VLOOKUP($A69,main!$A$3:$H$102,4,FALSE)+(VLOOKUP(VLOOKUP(CH$1,main!$A$3:$H$102,8,FALSE),main!$K$19:$O$22,MATCH(VLOOKUP($A69,main!$A$3:$H$102,7,FALSE),main!$K$18:$O$18,0),0))),0)</f>
        <v>310</v>
      </c>
      <c r="CI69">
        <f>IF((gamma!CI69),IF(VLOOKUP(CI$1,main!$A$3:$H$102,7,FALSE)=VLOOKUP($A69,main!$A$3:$H$102,8,FALSE),VLOOKUP(CI$1,main!$A$3:$H$102,4,FALSE),VLOOKUP(CI$1,main!$A$3:$H$102,4,FALSE)+VLOOKUP($A69,main!$A$3:$H$102,4,FALSE)+(VLOOKUP(VLOOKUP(CI$1,main!$A$3:$H$102,8,FALSE),main!$K$19:$O$22,MATCH(VLOOKUP($A69,main!$A$3:$H$102,7,FALSE),main!$K$18:$O$18,0),0))),0)</f>
        <v>310</v>
      </c>
      <c r="CJ69">
        <f>IF((gamma!CJ69),IF(VLOOKUP(CJ$1,main!$A$3:$H$102,7,FALSE)=VLOOKUP($A69,main!$A$3:$H$102,8,FALSE),VLOOKUP(CJ$1,main!$A$3:$H$102,4,FALSE),VLOOKUP(CJ$1,main!$A$3:$H$102,4,FALSE)+VLOOKUP($A69,main!$A$3:$H$102,4,FALSE)+(VLOOKUP(VLOOKUP(CJ$1,main!$A$3:$H$102,8,FALSE),main!$K$19:$O$22,MATCH(VLOOKUP($A69,main!$A$3:$H$102,7,FALSE),main!$K$18:$O$18,0),0))),0)</f>
        <v>0</v>
      </c>
      <c r="CK69">
        <f>IF((gamma!CK69),IF(VLOOKUP(CK$1,main!$A$3:$H$102,7,FALSE)=VLOOKUP($A69,main!$A$3:$H$102,8,FALSE),VLOOKUP(CK$1,main!$A$3:$H$102,4,FALSE),VLOOKUP(CK$1,main!$A$3:$H$102,4,FALSE)+VLOOKUP($A69,main!$A$3:$H$102,4,FALSE)+(VLOOKUP(VLOOKUP(CK$1,main!$A$3:$H$102,8,FALSE),main!$K$19:$O$22,MATCH(VLOOKUP($A69,main!$A$3:$H$102,7,FALSE),main!$K$18:$O$18,0),0))),0)</f>
        <v>0</v>
      </c>
      <c r="CL69">
        <f>IF((gamma!CL69),IF(VLOOKUP(CL$1,main!$A$3:$H$102,7,FALSE)=VLOOKUP($A69,main!$A$3:$H$102,8,FALSE),VLOOKUP(CL$1,main!$A$3:$H$102,4,FALSE),VLOOKUP(CL$1,main!$A$3:$H$102,4,FALSE)+VLOOKUP($A69,main!$A$3:$H$102,4,FALSE)+(VLOOKUP(VLOOKUP(CL$1,main!$A$3:$H$102,8,FALSE),main!$K$19:$O$22,MATCH(VLOOKUP($A69,main!$A$3:$H$102,7,FALSE),main!$K$18:$O$18,0),0))),0)</f>
        <v>0</v>
      </c>
      <c r="CM69">
        <f>IF((gamma!CM69),IF(VLOOKUP(CM$1,main!$A$3:$H$102,7,FALSE)=VLOOKUP($A69,main!$A$3:$H$102,8,FALSE),VLOOKUP(CM$1,main!$A$3:$H$102,4,FALSE),VLOOKUP(CM$1,main!$A$3:$H$102,4,FALSE)+VLOOKUP($A69,main!$A$3:$H$102,4,FALSE)+(VLOOKUP(VLOOKUP(CM$1,main!$A$3:$H$102,8,FALSE),main!$K$19:$O$22,MATCH(VLOOKUP($A69,main!$A$3:$H$102,7,FALSE),main!$K$18:$O$18,0),0))),0)</f>
        <v>270</v>
      </c>
      <c r="CN69">
        <f>IF((gamma!CN69),IF(VLOOKUP(CN$1,main!$A$3:$H$102,7,FALSE)=VLOOKUP($A69,main!$A$3:$H$102,8,FALSE),VLOOKUP(CN$1,main!$A$3:$H$102,4,FALSE),VLOOKUP(CN$1,main!$A$3:$H$102,4,FALSE)+VLOOKUP($A69,main!$A$3:$H$102,4,FALSE)+(VLOOKUP(VLOOKUP(CN$1,main!$A$3:$H$102,8,FALSE),main!$K$19:$O$22,MATCH(VLOOKUP($A69,main!$A$3:$H$102,7,FALSE),main!$K$18:$O$18,0),0))),0)</f>
        <v>266</v>
      </c>
      <c r="CO69">
        <f>IF((gamma!CO69),IF(VLOOKUP(CO$1,main!$A$3:$H$102,7,FALSE)=VLOOKUP($A69,main!$A$3:$H$102,8,FALSE),VLOOKUP(CO$1,main!$A$3:$H$102,4,FALSE),VLOOKUP(CO$1,main!$A$3:$H$102,4,FALSE)+VLOOKUP($A69,main!$A$3:$H$102,4,FALSE)+(VLOOKUP(VLOOKUP(CO$1,main!$A$3:$H$102,8,FALSE),main!$K$19:$O$22,MATCH(VLOOKUP($A69,main!$A$3:$H$102,7,FALSE),main!$K$18:$O$18,0),0))),0)</f>
        <v>0</v>
      </c>
      <c r="CP69">
        <f>IF((gamma!CP69),IF(VLOOKUP(CP$1,main!$A$3:$H$102,7,FALSE)=VLOOKUP($A69,main!$A$3:$H$102,8,FALSE),VLOOKUP(CP$1,main!$A$3:$H$102,4,FALSE),VLOOKUP(CP$1,main!$A$3:$H$102,4,FALSE)+VLOOKUP($A69,main!$A$3:$H$102,4,FALSE)+(VLOOKUP(VLOOKUP(CP$1,main!$A$3:$H$102,8,FALSE),main!$K$19:$O$22,MATCH(VLOOKUP($A69,main!$A$3:$H$102,7,FALSE),main!$K$18:$O$18,0),0))),0)</f>
        <v>0</v>
      </c>
      <c r="CQ69">
        <f>IF((gamma!CQ69),IF(VLOOKUP(CQ$1,main!$A$3:$H$102,7,FALSE)=VLOOKUP($A69,main!$A$3:$H$102,8,FALSE),VLOOKUP(CQ$1,main!$A$3:$H$102,4,FALSE),VLOOKUP(CQ$1,main!$A$3:$H$102,4,FALSE)+VLOOKUP($A69,main!$A$3:$H$102,4,FALSE)+(VLOOKUP(VLOOKUP(CQ$1,main!$A$3:$H$102,8,FALSE),main!$K$19:$O$22,MATCH(VLOOKUP($A69,main!$A$3:$H$102,7,FALSE),main!$K$18:$O$18,0),0))),0)</f>
        <v>0</v>
      </c>
      <c r="CR69">
        <f>IF((gamma!CR69),IF(VLOOKUP(CR$1,main!$A$3:$H$102,7,FALSE)=VLOOKUP($A69,main!$A$3:$H$102,8,FALSE),VLOOKUP(CR$1,main!$A$3:$H$102,4,FALSE),VLOOKUP(CR$1,main!$A$3:$H$102,4,FALSE)+VLOOKUP($A69,main!$A$3:$H$102,4,FALSE)+(VLOOKUP(VLOOKUP(CR$1,main!$A$3:$H$102,8,FALSE),main!$K$19:$O$22,MATCH(VLOOKUP($A69,main!$A$3:$H$102,7,FALSE),main!$K$18:$O$18,0),0))),0)</f>
        <v>275</v>
      </c>
      <c r="CS69">
        <f>IF((gamma!CS69),IF(VLOOKUP(CS$1,main!$A$3:$H$102,7,FALSE)=VLOOKUP($A69,main!$A$3:$H$102,8,FALSE),VLOOKUP(CS$1,main!$A$3:$H$102,4,FALSE),VLOOKUP(CS$1,main!$A$3:$H$102,4,FALSE)+VLOOKUP($A69,main!$A$3:$H$102,4,FALSE)+(VLOOKUP(VLOOKUP(CS$1,main!$A$3:$H$102,8,FALSE),main!$K$19:$O$22,MATCH(VLOOKUP($A69,main!$A$3:$H$102,7,FALSE),main!$K$18:$O$18,0),0))),0)</f>
        <v>275</v>
      </c>
      <c r="CT69">
        <f>IF((gamma!CT69),IF(VLOOKUP(CT$1,main!$A$3:$H$102,7,FALSE)=VLOOKUP($A69,main!$A$3:$H$102,8,FALSE),VLOOKUP(CT$1,main!$A$3:$H$102,4,FALSE),VLOOKUP(CT$1,main!$A$3:$H$102,4,FALSE)+VLOOKUP($A69,main!$A$3:$H$102,4,FALSE)+(VLOOKUP(VLOOKUP(CT$1,main!$A$3:$H$102,8,FALSE),main!$K$19:$O$22,MATCH(VLOOKUP($A69,main!$A$3:$H$102,7,FALSE),main!$K$18:$O$18,0),0))),0)</f>
        <v>0</v>
      </c>
      <c r="CU69">
        <f>IF((gamma!CU69),IF(VLOOKUP(CU$1,main!$A$3:$H$102,7,FALSE)=VLOOKUP($A69,main!$A$3:$H$102,8,FALSE),VLOOKUP(CU$1,main!$A$3:$H$102,4,FALSE),VLOOKUP(CU$1,main!$A$3:$H$102,4,FALSE)+VLOOKUP($A69,main!$A$3:$H$102,4,FALSE)+(VLOOKUP(VLOOKUP(CU$1,main!$A$3:$H$102,8,FALSE),main!$K$19:$O$22,MATCH(VLOOKUP($A69,main!$A$3:$H$102,7,FALSE),main!$K$18:$O$18,0),0))),0)</f>
        <v>0</v>
      </c>
      <c r="CV69">
        <f>IF((gamma!CV69),IF(VLOOKUP(CV$1,main!$A$3:$H$102,7,FALSE)=VLOOKUP($A69,main!$A$3:$H$102,8,FALSE),VLOOKUP(CV$1,main!$A$3:$H$102,4,FALSE),VLOOKUP(CV$1,main!$A$3:$H$102,4,FALSE)+VLOOKUP($A69,main!$A$3:$H$102,4,FALSE)+(VLOOKUP(VLOOKUP(CV$1,main!$A$3:$H$102,8,FALSE),main!$K$19:$O$22,MATCH(VLOOKUP($A69,main!$A$3:$H$102,7,FALSE),main!$K$18:$O$18,0),0))),0)</f>
        <v>0</v>
      </c>
      <c r="CW69">
        <f>IF((gamma!CW69),IF(VLOOKUP(CW$1,main!$A$3:$H$102,7,FALSE)=VLOOKUP($A69,main!$A$3:$H$102,8,FALSE),VLOOKUP(CW$1,main!$A$3:$H$102,4,FALSE),VLOOKUP(CW$1,main!$A$3:$H$102,4,FALSE)+VLOOKUP($A69,main!$A$3:$H$102,4,FALSE)+(VLOOKUP(VLOOKUP(CW$1,main!$A$3:$H$102,8,FALSE),main!$K$19:$O$22,MATCH(VLOOKUP($A69,main!$A$3:$H$102,7,FALSE),main!$K$18:$O$18,0),0))),0)</f>
        <v>235</v>
      </c>
      <c r="CX69">
        <f>IF((gamma!CX69),IF(VLOOKUP(CX$1,main!$A$3:$H$102,7,FALSE)=VLOOKUP($A69,main!$A$3:$H$102,8,FALSE),VLOOKUP(CX$1,main!$A$3:$H$102,4,FALSE),VLOOKUP(CX$1,main!$A$3:$H$102,4,FALSE)+VLOOKUP($A69,main!$A$3:$H$102,4,FALSE)+(VLOOKUP(VLOOKUP(CX$1,main!$A$3:$H$102,8,FALSE),main!$K$19:$O$22,MATCH(VLOOKUP($A69,main!$A$3:$H$102,7,FALSE),main!$K$18:$O$18,0),0))),0)</f>
        <v>225</v>
      </c>
      <c r="CY69">
        <v>0</v>
      </c>
      <c r="CZ69">
        <v>0</v>
      </c>
      <c r="DA69">
        <v>0</v>
      </c>
    </row>
    <row r="70" spans="1:105" x14ac:dyDescent="0.25">
      <c r="A70" s="1">
        <v>68</v>
      </c>
      <c r="B70">
        <v>0</v>
      </c>
      <c r="C70">
        <f>IF((gamma!C70),IF(VLOOKUP(C$1,main!$A$3:$H$102,7,FALSE)=VLOOKUP($A70,main!$A$3:$H$102,8,FALSE),VLOOKUP(C$1,main!$A$3:$H$102,4,FALSE),VLOOKUP(C$1,main!$A$3:$H$102,4,FALSE)+VLOOKUP($A70,main!$A$3:$H$102,4,FALSE)+(VLOOKUP(VLOOKUP(C$1,main!$A$3:$H$102,8,FALSE),main!$K$19:$O$22,MATCH(VLOOKUP($A70,main!$A$3:$H$102,7,FALSE),main!$K$18:$O$18,0),0))),0)</f>
        <v>0</v>
      </c>
      <c r="D70">
        <f>IF((gamma!D70),IF(VLOOKUP(D$1,main!$A$3:$H$102,7,FALSE)=VLOOKUP($A70,main!$A$3:$H$102,8,FALSE),VLOOKUP(D$1,main!$A$3:$H$102,4,FALSE),VLOOKUP(D$1,main!$A$3:$H$102,4,FALSE)+VLOOKUP($A70,main!$A$3:$H$102,4,FALSE)+(VLOOKUP(VLOOKUP(D$1,main!$A$3:$H$102,8,FALSE),main!$K$19:$O$22,MATCH(VLOOKUP($A70,main!$A$3:$H$102,7,FALSE),main!$K$18:$O$18,0),0))),0)</f>
        <v>0</v>
      </c>
      <c r="E70">
        <f>IF((gamma!E70),IF(VLOOKUP(E$1,main!$A$3:$H$102,7,FALSE)=VLOOKUP($A70,main!$A$3:$H$102,8,FALSE),VLOOKUP(E$1,main!$A$3:$H$102,4,FALSE),VLOOKUP(E$1,main!$A$3:$H$102,4,FALSE)+VLOOKUP($A70,main!$A$3:$H$102,4,FALSE)+(VLOOKUP(VLOOKUP(E$1,main!$A$3:$H$102,8,FALSE),main!$K$19:$O$22,MATCH(VLOOKUP($A70,main!$A$3:$H$102,7,FALSE),main!$K$18:$O$18,0),0))),0)</f>
        <v>0</v>
      </c>
      <c r="F70">
        <f>IF((gamma!F70),IF(VLOOKUP(F$1,main!$A$3:$H$102,7,FALSE)=VLOOKUP($A70,main!$A$3:$H$102,8,FALSE),VLOOKUP(F$1,main!$A$3:$H$102,4,FALSE),VLOOKUP(F$1,main!$A$3:$H$102,4,FALSE)+VLOOKUP($A70,main!$A$3:$H$102,4,FALSE)+(VLOOKUP(VLOOKUP(F$1,main!$A$3:$H$102,8,FALSE),main!$K$19:$O$22,MATCH(VLOOKUP($A70,main!$A$3:$H$102,7,FALSE),main!$K$18:$O$18,0),0))),0)</f>
        <v>0</v>
      </c>
      <c r="G70">
        <f>IF((gamma!G70),IF(VLOOKUP(G$1,main!$A$3:$H$102,7,FALSE)=VLOOKUP($A70,main!$A$3:$H$102,8,FALSE),VLOOKUP(G$1,main!$A$3:$H$102,4,FALSE),VLOOKUP(G$1,main!$A$3:$H$102,4,FALSE)+VLOOKUP($A70,main!$A$3:$H$102,4,FALSE)+(VLOOKUP(VLOOKUP(G$1,main!$A$3:$H$102,8,FALSE),main!$K$19:$O$22,MATCH(VLOOKUP($A70,main!$A$3:$H$102,7,FALSE),main!$K$18:$O$18,0),0))),0)</f>
        <v>0</v>
      </c>
      <c r="H70">
        <f>IF((gamma!H70),IF(VLOOKUP(H$1,main!$A$3:$H$102,7,FALSE)=VLOOKUP($A70,main!$A$3:$H$102,8,FALSE),VLOOKUP(H$1,main!$A$3:$H$102,4,FALSE),VLOOKUP(H$1,main!$A$3:$H$102,4,FALSE)+VLOOKUP($A70,main!$A$3:$H$102,4,FALSE)+(VLOOKUP(VLOOKUP(H$1,main!$A$3:$H$102,8,FALSE),main!$K$19:$O$22,MATCH(VLOOKUP($A70,main!$A$3:$H$102,7,FALSE),main!$K$18:$O$18,0),0))),0)</f>
        <v>0</v>
      </c>
      <c r="I70">
        <f>IF((gamma!I70),IF(VLOOKUP(I$1,main!$A$3:$H$102,7,FALSE)=VLOOKUP($A70,main!$A$3:$H$102,8,FALSE),VLOOKUP(I$1,main!$A$3:$H$102,4,FALSE),VLOOKUP(I$1,main!$A$3:$H$102,4,FALSE)+VLOOKUP($A70,main!$A$3:$H$102,4,FALSE)+(VLOOKUP(VLOOKUP(I$1,main!$A$3:$H$102,8,FALSE),main!$K$19:$O$22,MATCH(VLOOKUP($A70,main!$A$3:$H$102,7,FALSE),main!$K$18:$O$18,0),0))),0)</f>
        <v>263</v>
      </c>
      <c r="J70">
        <f>IF((gamma!J70),IF(VLOOKUP(J$1,main!$A$3:$H$102,7,FALSE)=VLOOKUP($A70,main!$A$3:$H$102,8,FALSE),VLOOKUP(J$1,main!$A$3:$H$102,4,FALSE),VLOOKUP(J$1,main!$A$3:$H$102,4,FALSE)+VLOOKUP($A70,main!$A$3:$H$102,4,FALSE)+(VLOOKUP(VLOOKUP(J$1,main!$A$3:$H$102,8,FALSE),main!$K$19:$O$22,MATCH(VLOOKUP($A70,main!$A$3:$H$102,7,FALSE),main!$K$18:$O$18,0),0))),0)</f>
        <v>263</v>
      </c>
      <c r="K70">
        <f>IF((gamma!K70),IF(VLOOKUP(K$1,main!$A$3:$H$102,7,FALSE)=VLOOKUP($A70,main!$A$3:$H$102,8,FALSE),VLOOKUP(K$1,main!$A$3:$H$102,4,FALSE),VLOOKUP(K$1,main!$A$3:$H$102,4,FALSE)+VLOOKUP($A70,main!$A$3:$H$102,4,FALSE)+(VLOOKUP(VLOOKUP(K$1,main!$A$3:$H$102,8,FALSE),main!$K$19:$O$22,MATCH(VLOOKUP($A70,main!$A$3:$H$102,7,FALSE),main!$K$18:$O$18,0),0))),0)</f>
        <v>263</v>
      </c>
      <c r="L70">
        <f>IF((gamma!L70),IF(VLOOKUP(L$1,main!$A$3:$H$102,7,FALSE)=VLOOKUP($A70,main!$A$3:$H$102,8,FALSE),VLOOKUP(L$1,main!$A$3:$H$102,4,FALSE),VLOOKUP(L$1,main!$A$3:$H$102,4,FALSE)+VLOOKUP($A70,main!$A$3:$H$102,4,FALSE)+(VLOOKUP(VLOOKUP(L$1,main!$A$3:$H$102,8,FALSE),main!$K$19:$O$22,MATCH(VLOOKUP($A70,main!$A$3:$H$102,7,FALSE),main!$K$18:$O$18,0),0))),0)</f>
        <v>263</v>
      </c>
      <c r="M70">
        <f>IF((gamma!M70),IF(VLOOKUP(M$1,main!$A$3:$H$102,7,FALSE)=VLOOKUP($A70,main!$A$3:$H$102,8,FALSE),VLOOKUP(M$1,main!$A$3:$H$102,4,FALSE),VLOOKUP(M$1,main!$A$3:$H$102,4,FALSE)+VLOOKUP($A70,main!$A$3:$H$102,4,FALSE)+(VLOOKUP(VLOOKUP(M$1,main!$A$3:$H$102,8,FALSE),main!$K$19:$O$22,MATCH(VLOOKUP($A70,main!$A$3:$H$102,7,FALSE),main!$K$18:$O$18,0),0))),0)</f>
        <v>0</v>
      </c>
      <c r="N70">
        <f>IF((gamma!N70),IF(VLOOKUP(N$1,main!$A$3:$H$102,7,FALSE)=VLOOKUP($A70,main!$A$3:$H$102,8,FALSE),VLOOKUP(N$1,main!$A$3:$H$102,4,FALSE),VLOOKUP(N$1,main!$A$3:$H$102,4,FALSE)+VLOOKUP($A70,main!$A$3:$H$102,4,FALSE)+(VLOOKUP(VLOOKUP(N$1,main!$A$3:$H$102,8,FALSE),main!$K$19:$O$22,MATCH(VLOOKUP($A70,main!$A$3:$H$102,7,FALSE),main!$K$18:$O$18,0),0))),0)</f>
        <v>0</v>
      </c>
      <c r="O70">
        <f>IF((gamma!O70),IF(VLOOKUP(O$1,main!$A$3:$H$102,7,FALSE)=VLOOKUP($A70,main!$A$3:$H$102,8,FALSE),VLOOKUP(O$1,main!$A$3:$H$102,4,FALSE),VLOOKUP(O$1,main!$A$3:$H$102,4,FALSE)+VLOOKUP($A70,main!$A$3:$H$102,4,FALSE)+(VLOOKUP(VLOOKUP(O$1,main!$A$3:$H$102,8,FALSE),main!$K$19:$O$22,MATCH(VLOOKUP($A70,main!$A$3:$H$102,7,FALSE),main!$K$18:$O$18,0),0))),0)</f>
        <v>0</v>
      </c>
      <c r="P70">
        <f>IF((gamma!P70),IF(VLOOKUP(P$1,main!$A$3:$H$102,7,FALSE)=VLOOKUP($A70,main!$A$3:$H$102,8,FALSE),VLOOKUP(P$1,main!$A$3:$H$102,4,FALSE),VLOOKUP(P$1,main!$A$3:$H$102,4,FALSE)+VLOOKUP($A70,main!$A$3:$H$102,4,FALSE)+(VLOOKUP(VLOOKUP(P$1,main!$A$3:$H$102,8,FALSE),main!$K$19:$O$22,MATCH(VLOOKUP($A70,main!$A$3:$H$102,7,FALSE),main!$K$18:$O$18,0),0))),0)</f>
        <v>0</v>
      </c>
      <c r="Q70">
        <f>IF((gamma!Q70),IF(VLOOKUP(Q$1,main!$A$3:$H$102,7,FALSE)=VLOOKUP($A70,main!$A$3:$H$102,8,FALSE),VLOOKUP(Q$1,main!$A$3:$H$102,4,FALSE),VLOOKUP(Q$1,main!$A$3:$H$102,4,FALSE)+VLOOKUP($A70,main!$A$3:$H$102,4,FALSE)+(VLOOKUP(VLOOKUP(Q$1,main!$A$3:$H$102,8,FALSE),main!$K$19:$O$22,MATCH(VLOOKUP($A70,main!$A$3:$H$102,7,FALSE),main!$K$18:$O$18,0),0))),0)</f>
        <v>0</v>
      </c>
      <c r="R70">
        <f>IF((gamma!R70),IF(VLOOKUP(R$1,main!$A$3:$H$102,7,FALSE)=VLOOKUP($A70,main!$A$3:$H$102,8,FALSE),VLOOKUP(R$1,main!$A$3:$H$102,4,FALSE),VLOOKUP(R$1,main!$A$3:$H$102,4,FALSE)+VLOOKUP($A70,main!$A$3:$H$102,4,FALSE)+(VLOOKUP(VLOOKUP(R$1,main!$A$3:$H$102,8,FALSE),main!$K$19:$O$22,MATCH(VLOOKUP($A70,main!$A$3:$H$102,7,FALSE),main!$K$18:$O$18,0),0))),0)</f>
        <v>0</v>
      </c>
      <c r="S70">
        <f>IF((gamma!S70),IF(VLOOKUP(S$1,main!$A$3:$H$102,7,FALSE)=VLOOKUP($A70,main!$A$3:$H$102,8,FALSE),VLOOKUP(S$1,main!$A$3:$H$102,4,FALSE),VLOOKUP(S$1,main!$A$3:$H$102,4,FALSE)+VLOOKUP($A70,main!$A$3:$H$102,4,FALSE)+(VLOOKUP(VLOOKUP(S$1,main!$A$3:$H$102,8,FALSE),main!$K$19:$O$22,MATCH(VLOOKUP($A70,main!$A$3:$H$102,7,FALSE),main!$K$18:$O$18,0),0))),0)</f>
        <v>0</v>
      </c>
      <c r="T70">
        <f>IF((gamma!T70),IF(VLOOKUP(T$1,main!$A$3:$H$102,7,FALSE)=VLOOKUP($A70,main!$A$3:$H$102,8,FALSE),VLOOKUP(T$1,main!$A$3:$H$102,4,FALSE),VLOOKUP(T$1,main!$A$3:$H$102,4,FALSE)+VLOOKUP($A70,main!$A$3:$H$102,4,FALSE)+(VLOOKUP(VLOOKUP(T$1,main!$A$3:$H$102,8,FALSE),main!$K$19:$O$22,MATCH(VLOOKUP($A70,main!$A$3:$H$102,7,FALSE),main!$K$18:$O$18,0),0))),0)</f>
        <v>240</v>
      </c>
      <c r="U70">
        <f>IF((gamma!U70),IF(VLOOKUP(U$1,main!$A$3:$H$102,7,FALSE)=VLOOKUP($A70,main!$A$3:$H$102,8,FALSE),VLOOKUP(U$1,main!$A$3:$H$102,4,FALSE),VLOOKUP(U$1,main!$A$3:$H$102,4,FALSE)+VLOOKUP($A70,main!$A$3:$H$102,4,FALSE)+(VLOOKUP(VLOOKUP(U$1,main!$A$3:$H$102,8,FALSE),main!$K$19:$O$22,MATCH(VLOOKUP($A70,main!$A$3:$H$102,7,FALSE),main!$K$18:$O$18,0),0))),0)</f>
        <v>240</v>
      </c>
      <c r="V70">
        <f>IF((gamma!V70),IF(VLOOKUP(V$1,main!$A$3:$H$102,7,FALSE)=VLOOKUP($A70,main!$A$3:$H$102,8,FALSE),VLOOKUP(V$1,main!$A$3:$H$102,4,FALSE),VLOOKUP(V$1,main!$A$3:$H$102,4,FALSE)+VLOOKUP($A70,main!$A$3:$H$102,4,FALSE)+(VLOOKUP(VLOOKUP(V$1,main!$A$3:$H$102,8,FALSE),main!$K$19:$O$22,MATCH(VLOOKUP($A70,main!$A$3:$H$102,7,FALSE),main!$K$18:$O$18,0),0))),0)</f>
        <v>240</v>
      </c>
      <c r="W70">
        <f>IF((gamma!W70),IF(VLOOKUP(W$1,main!$A$3:$H$102,7,FALSE)=VLOOKUP($A70,main!$A$3:$H$102,8,FALSE),VLOOKUP(W$1,main!$A$3:$H$102,4,FALSE),VLOOKUP(W$1,main!$A$3:$H$102,4,FALSE)+VLOOKUP($A70,main!$A$3:$H$102,4,FALSE)+(VLOOKUP(VLOOKUP(W$1,main!$A$3:$H$102,8,FALSE),main!$K$19:$O$22,MATCH(VLOOKUP($A70,main!$A$3:$H$102,7,FALSE),main!$K$18:$O$18,0),0))),0)</f>
        <v>0</v>
      </c>
      <c r="X70">
        <f>IF((gamma!X70),IF(VLOOKUP(X$1,main!$A$3:$H$102,7,FALSE)=VLOOKUP($A70,main!$A$3:$H$102,8,FALSE),VLOOKUP(X$1,main!$A$3:$H$102,4,FALSE),VLOOKUP(X$1,main!$A$3:$H$102,4,FALSE)+VLOOKUP($A70,main!$A$3:$H$102,4,FALSE)+(VLOOKUP(VLOOKUP(X$1,main!$A$3:$H$102,8,FALSE),main!$K$19:$O$22,MATCH(VLOOKUP($A70,main!$A$3:$H$102,7,FALSE),main!$K$18:$O$18,0),0))),0)</f>
        <v>0</v>
      </c>
      <c r="Y70">
        <f>IF((gamma!Y70),IF(VLOOKUP(Y$1,main!$A$3:$H$102,7,FALSE)=VLOOKUP($A70,main!$A$3:$H$102,8,FALSE),VLOOKUP(Y$1,main!$A$3:$H$102,4,FALSE),VLOOKUP(Y$1,main!$A$3:$H$102,4,FALSE)+VLOOKUP($A70,main!$A$3:$H$102,4,FALSE)+(VLOOKUP(VLOOKUP(Y$1,main!$A$3:$H$102,8,FALSE),main!$K$19:$O$22,MATCH(VLOOKUP($A70,main!$A$3:$H$102,7,FALSE),main!$K$18:$O$18,0),0))),0)</f>
        <v>0</v>
      </c>
      <c r="Z70">
        <f>IF((gamma!Z70),IF(VLOOKUP(Z$1,main!$A$3:$H$102,7,FALSE)=VLOOKUP($A70,main!$A$3:$H$102,8,FALSE),VLOOKUP(Z$1,main!$A$3:$H$102,4,FALSE),VLOOKUP(Z$1,main!$A$3:$H$102,4,FALSE)+VLOOKUP($A70,main!$A$3:$H$102,4,FALSE)+(VLOOKUP(VLOOKUP(Z$1,main!$A$3:$H$102,8,FALSE),main!$K$19:$O$22,MATCH(VLOOKUP($A70,main!$A$3:$H$102,7,FALSE),main!$K$18:$O$18,0),0))),0)</f>
        <v>273</v>
      </c>
      <c r="AA70">
        <f>IF((gamma!AA70),IF(VLOOKUP(AA$1,main!$A$3:$H$102,7,FALSE)=VLOOKUP($A70,main!$A$3:$H$102,8,FALSE),VLOOKUP(AA$1,main!$A$3:$H$102,4,FALSE),VLOOKUP(AA$1,main!$A$3:$H$102,4,FALSE)+VLOOKUP($A70,main!$A$3:$H$102,4,FALSE)+(VLOOKUP(VLOOKUP(AA$1,main!$A$3:$H$102,8,FALSE),main!$K$19:$O$22,MATCH(VLOOKUP($A70,main!$A$3:$H$102,7,FALSE),main!$K$18:$O$18,0),0))),0)</f>
        <v>273</v>
      </c>
      <c r="AB70">
        <f>IF((gamma!AB70),IF(VLOOKUP(AB$1,main!$A$3:$H$102,7,FALSE)=VLOOKUP($A70,main!$A$3:$H$102,8,FALSE),VLOOKUP(AB$1,main!$A$3:$H$102,4,FALSE),VLOOKUP(AB$1,main!$A$3:$H$102,4,FALSE)+VLOOKUP($A70,main!$A$3:$H$102,4,FALSE)+(VLOOKUP(VLOOKUP(AB$1,main!$A$3:$H$102,8,FALSE),main!$K$19:$O$22,MATCH(VLOOKUP($A70,main!$A$3:$H$102,7,FALSE),main!$K$18:$O$18,0),0))),0)</f>
        <v>0</v>
      </c>
      <c r="AC70">
        <f>IF((gamma!AC70),IF(VLOOKUP(AC$1,main!$A$3:$H$102,7,FALSE)=VLOOKUP($A70,main!$A$3:$H$102,8,FALSE),VLOOKUP(AC$1,main!$A$3:$H$102,4,FALSE),VLOOKUP(AC$1,main!$A$3:$H$102,4,FALSE)+VLOOKUP($A70,main!$A$3:$H$102,4,FALSE)+(VLOOKUP(VLOOKUP(AC$1,main!$A$3:$H$102,8,FALSE),main!$K$19:$O$22,MATCH(VLOOKUP($A70,main!$A$3:$H$102,7,FALSE),main!$K$18:$O$18,0),0))),0)</f>
        <v>0</v>
      </c>
      <c r="AD70">
        <f>IF((gamma!AD70),IF(VLOOKUP(AD$1,main!$A$3:$H$102,7,FALSE)=VLOOKUP($A70,main!$A$3:$H$102,8,FALSE),VLOOKUP(AD$1,main!$A$3:$H$102,4,FALSE),VLOOKUP(AD$1,main!$A$3:$H$102,4,FALSE)+VLOOKUP($A70,main!$A$3:$H$102,4,FALSE)+(VLOOKUP(VLOOKUP(AD$1,main!$A$3:$H$102,8,FALSE),main!$K$19:$O$22,MATCH(VLOOKUP($A70,main!$A$3:$H$102,7,FALSE),main!$K$18:$O$18,0),0))),0)</f>
        <v>0</v>
      </c>
      <c r="AE70">
        <f>IF((gamma!AE70),IF(VLOOKUP(AE$1,main!$A$3:$H$102,7,FALSE)=VLOOKUP($A70,main!$A$3:$H$102,8,FALSE),VLOOKUP(AE$1,main!$A$3:$H$102,4,FALSE),VLOOKUP(AE$1,main!$A$3:$H$102,4,FALSE)+VLOOKUP($A70,main!$A$3:$H$102,4,FALSE)+(VLOOKUP(VLOOKUP(AE$1,main!$A$3:$H$102,8,FALSE),main!$K$19:$O$22,MATCH(VLOOKUP($A70,main!$A$3:$H$102,7,FALSE),main!$K$18:$O$18,0),0))),0)</f>
        <v>273</v>
      </c>
      <c r="AF70">
        <f>IF((gamma!AF70),IF(VLOOKUP(AF$1,main!$A$3:$H$102,7,FALSE)=VLOOKUP($A70,main!$A$3:$H$102,8,FALSE),VLOOKUP(AF$1,main!$A$3:$H$102,4,FALSE),VLOOKUP(AF$1,main!$A$3:$H$102,4,FALSE)+VLOOKUP($A70,main!$A$3:$H$102,4,FALSE)+(VLOOKUP(VLOOKUP(AF$1,main!$A$3:$H$102,8,FALSE),main!$K$19:$O$22,MATCH(VLOOKUP($A70,main!$A$3:$H$102,7,FALSE),main!$K$18:$O$18,0),0))),0)</f>
        <v>233</v>
      </c>
      <c r="AG70">
        <f>IF((gamma!AG70),IF(VLOOKUP(AG$1,main!$A$3:$H$102,7,FALSE)=VLOOKUP($A70,main!$A$3:$H$102,8,FALSE),VLOOKUP(AG$1,main!$A$3:$H$102,4,FALSE),VLOOKUP(AG$1,main!$A$3:$H$102,4,FALSE)+VLOOKUP($A70,main!$A$3:$H$102,4,FALSE)+(VLOOKUP(VLOOKUP(AG$1,main!$A$3:$H$102,8,FALSE),main!$K$19:$O$22,MATCH(VLOOKUP($A70,main!$A$3:$H$102,7,FALSE),main!$K$18:$O$18,0),0))),0)</f>
        <v>0</v>
      </c>
      <c r="AH70">
        <f>IF((gamma!AH70),IF(VLOOKUP(AH$1,main!$A$3:$H$102,7,FALSE)=VLOOKUP($A70,main!$A$3:$H$102,8,FALSE),VLOOKUP(AH$1,main!$A$3:$H$102,4,FALSE),VLOOKUP(AH$1,main!$A$3:$H$102,4,FALSE)+VLOOKUP($A70,main!$A$3:$H$102,4,FALSE)+(VLOOKUP(VLOOKUP(AH$1,main!$A$3:$H$102,8,FALSE),main!$K$19:$O$22,MATCH(VLOOKUP($A70,main!$A$3:$H$102,7,FALSE),main!$K$18:$O$18,0),0))),0)</f>
        <v>0</v>
      </c>
      <c r="AI70">
        <f>IF((gamma!AI70),IF(VLOOKUP(AI$1,main!$A$3:$H$102,7,FALSE)=VLOOKUP($A70,main!$A$3:$H$102,8,FALSE),VLOOKUP(AI$1,main!$A$3:$H$102,4,FALSE),VLOOKUP(AI$1,main!$A$3:$H$102,4,FALSE)+VLOOKUP($A70,main!$A$3:$H$102,4,FALSE)+(VLOOKUP(VLOOKUP(AI$1,main!$A$3:$H$102,8,FALSE),main!$K$19:$O$22,MATCH(VLOOKUP($A70,main!$A$3:$H$102,7,FALSE),main!$K$18:$O$18,0),0))),0)</f>
        <v>0</v>
      </c>
      <c r="AJ70">
        <f>IF((gamma!AJ70),IF(VLOOKUP(AJ$1,main!$A$3:$H$102,7,FALSE)=VLOOKUP($A70,main!$A$3:$H$102,8,FALSE),VLOOKUP(AJ$1,main!$A$3:$H$102,4,FALSE),VLOOKUP(AJ$1,main!$A$3:$H$102,4,FALSE)+VLOOKUP($A70,main!$A$3:$H$102,4,FALSE)+(VLOOKUP(VLOOKUP(AJ$1,main!$A$3:$H$102,8,FALSE),main!$K$19:$O$22,MATCH(VLOOKUP($A70,main!$A$3:$H$102,7,FALSE),main!$K$18:$O$18,0),0))),0)</f>
        <v>0</v>
      </c>
      <c r="AK70">
        <f>IF((gamma!AK70),IF(VLOOKUP(AK$1,main!$A$3:$H$102,7,FALSE)=VLOOKUP($A70,main!$A$3:$H$102,8,FALSE),VLOOKUP(AK$1,main!$A$3:$H$102,4,FALSE),VLOOKUP(AK$1,main!$A$3:$H$102,4,FALSE)+VLOOKUP($A70,main!$A$3:$H$102,4,FALSE)+(VLOOKUP(VLOOKUP(AK$1,main!$A$3:$H$102,8,FALSE),main!$K$19:$O$22,MATCH(VLOOKUP($A70,main!$A$3:$H$102,7,FALSE),main!$K$18:$O$18,0),0))),0)</f>
        <v>0</v>
      </c>
      <c r="AL70">
        <f>IF((gamma!AL70),IF(VLOOKUP(AL$1,main!$A$3:$H$102,7,FALSE)=VLOOKUP($A70,main!$A$3:$H$102,8,FALSE),VLOOKUP(AL$1,main!$A$3:$H$102,4,FALSE),VLOOKUP(AL$1,main!$A$3:$H$102,4,FALSE)+VLOOKUP($A70,main!$A$3:$H$102,4,FALSE)+(VLOOKUP(VLOOKUP(AL$1,main!$A$3:$H$102,8,FALSE),main!$K$19:$O$22,MATCH(VLOOKUP($A70,main!$A$3:$H$102,7,FALSE),main!$K$18:$O$18,0),0))),0)</f>
        <v>135</v>
      </c>
      <c r="AM70">
        <f>IF((gamma!AM70),IF(VLOOKUP(AM$1,main!$A$3:$H$102,7,FALSE)=VLOOKUP($A70,main!$A$3:$H$102,8,FALSE),VLOOKUP(AM$1,main!$A$3:$H$102,4,FALSE),VLOOKUP(AM$1,main!$A$3:$H$102,4,FALSE)+VLOOKUP($A70,main!$A$3:$H$102,4,FALSE)+(VLOOKUP(VLOOKUP(AM$1,main!$A$3:$H$102,8,FALSE),main!$K$19:$O$22,MATCH(VLOOKUP($A70,main!$A$3:$H$102,7,FALSE),main!$K$18:$O$18,0),0))),0)</f>
        <v>135</v>
      </c>
      <c r="AN70">
        <f>IF((gamma!AN70),IF(VLOOKUP(AN$1,main!$A$3:$H$102,7,FALSE)=VLOOKUP($A70,main!$A$3:$H$102,8,FALSE),VLOOKUP(AN$1,main!$A$3:$H$102,4,FALSE),VLOOKUP(AN$1,main!$A$3:$H$102,4,FALSE)+VLOOKUP($A70,main!$A$3:$H$102,4,FALSE)+(VLOOKUP(VLOOKUP(AN$1,main!$A$3:$H$102,8,FALSE),main!$K$19:$O$22,MATCH(VLOOKUP($A70,main!$A$3:$H$102,7,FALSE),main!$K$18:$O$18,0),0))),0)</f>
        <v>135</v>
      </c>
      <c r="AO70">
        <f>IF((gamma!AO70),IF(VLOOKUP(AO$1,main!$A$3:$H$102,7,FALSE)=VLOOKUP($A70,main!$A$3:$H$102,8,FALSE),VLOOKUP(AO$1,main!$A$3:$H$102,4,FALSE),VLOOKUP(AO$1,main!$A$3:$H$102,4,FALSE)+VLOOKUP($A70,main!$A$3:$H$102,4,FALSE)+(VLOOKUP(VLOOKUP(AO$1,main!$A$3:$H$102,8,FALSE),main!$K$19:$O$22,MATCH(VLOOKUP($A70,main!$A$3:$H$102,7,FALSE),main!$K$18:$O$18,0),0))),0)</f>
        <v>0</v>
      </c>
      <c r="AP70">
        <f>IF((gamma!AP70),IF(VLOOKUP(AP$1,main!$A$3:$H$102,7,FALSE)=VLOOKUP($A70,main!$A$3:$H$102,8,FALSE),VLOOKUP(AP$1,main!$A$3:$H$102,4,FALSE),VLOOKUP(AP$1,main!$A$3:$H$102,4,FALSE)+VLOOKUP($A70,main!$A$3:$H$102,4,FALSE)+(VLOOKUP(VLOOKUP(AP$1,main!$A$3:$H$102,8,FALSE),main!$K$19:$O$22,MATCH(VLOOKUP($A70,main!$A$3:$H$102,7,FALSE),main!$K$18:$O$18,0),0))),0)</f>
        <v>75</v>
      </c>
      <c r="AQ70">
        <f>IF((gamma!AQ70),IF(VLOOKUP(AQ$1,main!$A$3:$H$102,7,FALSE)=VLOOKUP($A70,main!$A$3:$H$102,8,FALSE),VLOOKUP(AQ$1,main!$A$3:$H$102,4,FALSE),VLOOKUP(AQ$1,main!$A$3:$H$102,4,FALSE)+VLOOKUP($A70,main!$A$3:$H$102,4,FALSE)+(VLOOKUP(VLOOKUP(AQ$1,main!$A$3:$H$102,8,FALSE),main!$K$19:$O$22,MATCH(VLOOKUP($A70,main!$A$3:$H$102,7,FALSE),main!$K$18:$O$18,0),0))),0)</f>
        <v>0</v>
      </c>
      <c r="AR70">
        <f>IF((gamma!AR70),IF(VLOOKUP(AR$1,main!$A$3:$H$102,7,FALSE)=VLOOKUP($A70,main!$A$3:$H$102,8,FALSE),VLOOKUP(AR$1,main!$A$3:$H$102,4,FALSE),VLOOKUP(AR$1,main!$A$3:$H$102,4,FALSE)+VLOOKUP($A70,main!$A$3:$H$102,4,FALSE)+(VLOOKUP(VLOOKUP(AR$1,main!$A$3:$H$102,8,FALSE),main!$K$19:$O$22,MATCH(VLOOKUP($A70,main!$A$3:$H$102,7,FALSE),main!$K$18:$O$18,0),0))),0)</f>
        <v>0</v>
      </c>
      <c r="AS70">
        <f>IF((gamma!AS70),IF(VLOOKUP(AS$1,main!$A$3:$H$102,7,FALSE)=VLOOKUP($A70,main!$A$3:$H$102,8,FALSE),VLOOKUP(AS$1,main!$A$3:$H$102,4,FALSE),VLOOKUP(AS$1,main!$A$3:$H$102,4,FALSE)+VLOOKUP($A70,main!$A$3:$H$102,4,FALSE)+(VLOOKUP(VLOOKUP(AS$1,main!$A$3:$H$102,8,FALSE),main!$K$19:$O$22,MATCH(VLOOKUP($A70,main!$A$3:$H$102,7,FALSE),main!$K$18:$O$18,0),0))),0)</f>
        <v>0</v>
      </c>
      <c r="AT70">
        <f>IF((gamma!AT70),IF(VLOOKUP(AT$1,main!$A$3:$H$102,7,FALSE)=VLOOKUP($A70,main!$A$3:$H$102,8,FALSE),VLOOKUP(AT$1,main!$A$3:$H$102,4,FALSE),VLOOKUP(AT$1,main!$A$3:$H$102,4,FALSE)+VLOOKUP($A70,main!$A$3:$H$102,4,FALSE)+(VLOOKUP(VLOOKUP(AT$1,main!$A$3:$H$102,8,FALSE),main!$K$19:$O$22,MATCH(VLOOKUP($A70,main!$A$3:$H$102,7,FALSE),main!$K$18:$O$18,0),0))),0)</f>
        <v>130</v>
      </c>
      <c r="AU70">
        <f>IF((gamma!AU70),IF(VLOOKUP(AU$1,main!$A$3:$H$102,7,FALSE)=VLOOKUP($A70,main!$A$3:$H$102,8,FALSE),VLOOKUP(AU$1,main!$A$3:$H$102,4,FALSE),VLOOKUP(AU$1,main!$A$3:$H$102,4,FALSE)+VLOOKUP($A70,main!$A$3:$H$102,4,FALSE)+(VLOOKUP(VLOOKUP(AU$1,main!$A$3:$H$102,8,FALSE),main!$K$19:$O$22,MATCH(VLOOKUP($A70,main!$A$3:$H$102,7,FALSE),main!$K$18:$O$18,0),0))),0)</f>
        <v>0</v>
      </c>
      <c r="AV70">
        <f>IF((gamma!AV70),IF(VLOOKUP(AV$1,main!$A$3:$H$102,7,FALSE)=VLOOKUP($A70,main!$A$3:$H$102,8,FALSE),VLOOKUP(AV$1,main!$A$3:$H$102,4,FALSE),VLOOKUP(AV$1,main!$A$3:$H$102,4,FALSE)+VLOOKUP($A70,main!$A$3:$H$102,4,FALSE)+(VLOOKUP(VLOOKUP(AV$1,main!$A$3:$H$102,8,FALSE),main!$K$19:$O$22,MATCH(VLOOKUP($A70,main!$A$3:$H$102,7,FALSE),main!$K$18:$O$18,0),0))),0)</f>
        <v>0</v>
      </c>
      <c r="AW70">
        <f>IF((gamma!AW70),IF(VLOOKUP(AW$1,main!$A$3:$H$102,7,FALSE)=VLOOKUP($A70,main!$A$3:$H$102,8,FALSE),VLOOKUP(AW$1,main!$A$3:$H$102,4,FALSE),VLOOKUP(AW$1,main!$A$3:$H$102,4,FALSE)+VLOOKUP($A70,main!$A$3:$H$102,4,FALSE)+(VLOOKUP(VLOOKUP(AW$1,main!$A$3:$H$102,8,FALSE),main!$K$19:$O$22,MATCH(VLOOKUP($A70,main!$A$3:$H$102,7,FALSE),main!$K$18:$O$18,0),0))),0)</f>
        <v>0</v>
      </c>
      <c r="AX70">
        <f>IF((gamma!AX70),IF(VLOOKUP(AX$1,main!$A$3:$H$102,7,FALSE)=VLOOKUP($A70,main!$A$3:$H$102,8,FALSE),VLOOKUP(AX$1,main!$A$3:$H$102,4,FALSE),VLOOKUP(AX$1,main!$A$3:$H$102,4,FALSE)+VLOOKUP($A70,main!$A$3:$H$102,4,FALSE)+(VLOOKUP(VLOOKUP(AX$1,main!$A$3:$H$102,8,FALSE),main!$K$19:$O$22,MATCH(VLOOKUP($A70,main!$A$3:$H$102,7,FALSE),main!$K$18:$O$18,0),0))),0)</f>
        <v>0</v>
      </c>
      <c r="AY70">
        <f>IF((gamma!AY70),IF(VLOOKUP(AY$1,main!$A$3:$H$102,7,FALSE)=VLOOKUP($A70,main!$A$3:$H$102,8,FALSE),VLOOKUP(AY$1,main!$A$3:$H$102,4,FALSE),VLOOKUP(AY$1,main!$A$3:$H$102,4,FALSE)+VLOOKUP($A70,main!$A$3:$H$102,4,FALSE)+(VLOOKUP(VLOOKUP(AY$1,main!$A$3:$H$102,8,FALSE),main!$K$19:$O$22,MATCH(VLOOKUP($A70,main!$A$3:$H$102,7,FALSE),main!$K$18:$O$18,0),0))),0)</f>
        <v>0</v>
      </c>
      <c r="AZ70">
        <f>IF((gamma!AZ70),IF(VLOOKUP(AZ$1,main!$A$3:$H$102,7,FALSE)=VLOOKUP($A70,main!$A$3:$H$102,8,FALSE),VLOOKUP(AZ$1,main!$A$3:$H$102,4,FALSE),VLOOKUP(AZ$1,main!$A$3:$H$102,4,FALSE)+VLOOKUP($A70,main!$A$3:$H$102,4,FALSE)+(VLOOKUP(VLOOKUP(AZ$1,main!$A$3:$H$102,8,FALSE),main!$K$19:$O$22,MATCH(VLOOKUP($A70,main!$A$3:$H$102,7,FALSE),main!$K$18:$O$18,0),0))),0)</f>
        <v>0</v>
      </c>
      <c r="BA70">
        <f>IF((gamma!BA70),IF(VLOOKUP(BA$1,main!$A$3:$H$102,7,FALSE)=VLOOKUP($A70,main!$A$3:$H$102,8,FALSE),VLOOKUP(BA$1,main!$A$3:$H$102,4,FALSE),VLOOKUP(BA$1,main!$A$3:$H$102,4,FALSE)+VLOOKUP($A70,main!$A$3:$H$102,4,FALSE)+(VLOOKUP(VLOOKUP(BA$1,main!$A$3:$H$102,8,FALSE),main!$K$19:$O$22,MATCH(VLOOKUP($A70,main!$A$3:$H$102,7,FALSE),main!$K$18:$O$18,0),0))),0)</f>
        <v>0</v>
      </c>
      <c r="BB70">
        <f>IF((gamma!BB70),IF(VLOOKUP(BB$1,main!$A$3:$H$102,7,FALSE)=VLOOKUP($A70,main!$A$3:$H$102,8,FALSE),VLOOKUP(BB$1,main!$A$3:$H$102,4,FALSE),VLOOKUP(BB$1,main!$A$3:$H$102,4,FALSE)+VLOOKUP($A70,main!$A$3:$H$102,4,FALSE)+(VLOOKUP(VLOOKUP(BB$1,main!$A$3:$H$102,8,FALSE),main!$K$19:$O$22,MATCH(VLOOKUP($A70,main!$A$3:$H$102,7,FALSE),main!$K$18:$O$18,0),0))),0)</f>
        <v>0</v>
      </c>
      <c r="BC70">
        <f>IF((gamma!BC70),IF(VLOOKUP(BC$1,main!$A$3:$H$102,7,FALSE)=VLOOKUP($A70,main!$A$3:$H$102,8,FALSE),VLOOKUP(BC$1,main!$A$3:$H$102,4,FALSE),VLOOKUP(BC$1,main!$A$3:$H$102,4,FALSE)+VLOOKUP($A70,main!$A$3:$H$102,4,FALSE)+(VLOOKUP(VLOOKUP(BC$1,main!$A$3:$H$102,8,FALSE),main!$K$19:$O$22,MATCH(VLOOKUP($A70,main!$A$3:$H$102,7,FALSE),main!$K$18:$O$18,0),0))),0)</f>
        <v>0</v>
      </c>
      <c r="BD70">
        <f>IF((gamma!BD70),IF(VLOOKUP(BD$1,main!$A$3:$H$102,7,FALSE)=VLOOKUP($A70,main!$A$3:$H$102,8,FALSE),VLOOKUP(BD$1,main!$A$3:$H$102,4,FALSE),VLOOKUP(BD$1,main!$A$3:$H$102,4,FALSE)+VLOOKUP($A70,main!$A$3:$H$102,4,FALSE)+(VLOOKUP(VLOOKUP(BD$1,main!$A$3:$H$102,8,FALSE),main!$K$19:$O$22,MATCH(VLOOKUP($A70,main!$A$3:$H$102,7,FALSE),main!$K$18:$O$18,0),0))),0)</f>
        <v>0</v>
      </c>
      <c r="BE70">
        <f>IF((gamma!BE70),IF(VLOOKUP(BE$1,main!$A$3:$H$102,7,FALSE)=VLOOKUP($A70,main!$A$3:$H$102,8,FALSE),VLOOKUP(BE$1,main!$A$3:$H$102,4,FALSE),VLOOKUP(BE$1,main!$A$3:$H$102,4,FALSE)+VLOOKUP($A70,main!$A$3:$H$102,4,FALSE)+(VLOOKUP(VLOOKUP(BE$1,main!$A$3:$H$102,8,FALSE),main!$K$19:$O$22,MATCH(VLOOKUP($A70,main!$A$3:$H$102,7,FALSE),main!$K$18:$O$18,0),0))),0)</f>
        <v>270</v>
      </c>
      <c r="BF70">
        <f>IF((gamma!BF70),IF(VLOOKUP(BF$1,main!$A$3:$H$102,7,FALSE)=VLOOKUP($A70,main!$A$3:$H$102,8,FALSE),VLOOKUP(BF$1,main!$A$3:$H$102,4,FALSE),VLOOKUP(BF$1,main!$A$3:$H$102,4,FALSE)+VLOOKUP($A70,main!$A$3:$H$102,4,FALSE)+(VLOOKUP(VLOOKUP(BF$1,main!$A$3:$H$102,8,FALSE),main!$K$19:$O$22,MATCH(VLOOKUP($A70,main!$A$3:$H$102,7,FALSE),main!$K$18:$O$18,0),0))),0)</f>
        <v>0</v>
      </c>
      <c r="BG70">
        <f>IF((gamma!BG70),IF(VLOOKUP(BG$1,main!$A$3:$H$102,7,FALSE)=VLOOKUP($A70,main!$A$3:$H$102,8,FALSE),VLOOKUP(BG$1,main!$A$3:$H$102,4,FALSE),VLOOKUP(BG$1,main!$A$3:$H$102,4,FALSE)+VLOOKUP($A70,main!$A$3:$H$102,4,FALSE)+(VLOOKUP(VLOOKUP(BG$1,main!$A$3:$H$102,8,FALSE),main!$K$19:$O$22,MATCH(VLOOKUP($A70,main!$A$3:$H$102,7,FALSE),main!$K$18:$O$18,0),0))),0)</f>
        <v>0</v>
      </c>
      <c r="BH70">
        <f>IF((gamma!BH70),IF(VLOOKUP(BH$1,main!$A$3:$H$102,7,FALSE)=VLOOKUP($A70,main!$A$3:$H$102,8,FALSE),VLOOKUP(BH$1,main!$A$3:$H$102,4,FALSE),VLOOKUP(BH$1,main!$A$3:$H$102,4,FALSE)+VLOOKUP($A70,main!$A$3:$H$102,4,FALSE)+(VLOOKUP(VLOOKUP(BH$1,main!$A$3:$H$102,8,FALSE),main!$K$19:$O$22,MATCH(VLOOKUP($A70,main!$A$3:$H$102,7,FALSE),main!$K$18:$O$18,0),0))),0)</f>
        <v>0</v>
      </c>
      <c r="BI70">
        <f>IF((gamma!BI70),IF(VLOOKUP(BI$1,main!$A$3:$H$102,7,FALSE)=VLOOKUP($A70,main!$A$3:$H$102,8,FALSE),VLOOKUP(BI$1,main!$A$3:$H$102,4,FALSE),VLOOKUP(BI$1,main!$A$3:$H$102,4,FALSE)+VLOOKUP($A70,main!$A$3:$H$102,4,FALSE)+(VLOOKUP(VLOOKUP(BI$1,main!$A$3:$H$102,8,FALSE),main!$K$19:$O$22,MATCH(VLOOKUP($A70,main!$A$3:$H$102,7,FALSE),main!$K$18:$O$18,0),0))),0)</f>
        <v>190</v>
      </c>
      <c r="BJ70">
        <f>IF((gamma!BJ70),IF(VLOOKUP(BJ$1,main!$A$3:$H$102,7,FALSE)=VLOOKUP($A70,main!$A$3:$H$102,8,FALSE),VLOOKUP(BJ$1,main!$A$3:$H$102,4,FALSE),VLOOKUP(BJ$1,main!$A$3:$H$102,4,FALSE)+VLOOKUP($A70,main!$A$3:$H$102,4,FALSE)+(VLOOKUP(VLOOKUP(BJ$1,main!$A$3:$H$102,8,FALSE),main!$K$19:$O$22,MATCH(VLOOKUP($A70,main!$A$3:$H$102,7,FALSE),main!$K$18:$O$18,0),0))),0)</f>
        <v>220</v>
      </c>
      <c r="BK70">
        <f>IF((gamma!BK70),IF(VLOOKUP(BK$1,main!$A$3:$H$102,7,FALSE)=VLOOKUP($A70,main!$A$3:$H$102,8,FALSE),VLOOKUP(BK$1,main!$A$3:$H$102,4,FALSE),VLOOKUP(BK$1,main!$A$3:$H$102,4,FALSE)+VLOOKUP($A70,main!$A$3:$H$102,4,FALSE)+(VLOOKUP(VLOOKUP(BK$1,main!$A$3:$H$102,8,FALSE),main!$K$19:$O$22,MATCH(VLOOKUP($A70,main!$A$3:$H$102,7,FALSE),main!$K$18:$O$18,0),0))),0)</f>
        <v>0</v>
      </c>
      <c r="BL70">
        <f>IF((gamma!BL70),IF(VLOOKUP(BL$1,main!$A$3:$H$102,7,FALSE)=VLOOKUP($A70,main!$A$3:$H$102,8,FALSE),VLOOKUP(BL$1,main!$A$3:$H$102,4,FALSE),VLOOKUP(BL$1,main!$A$3:$H$102,4,FALSE)+VLOOKUP($A70,main!$A$3:$H$102,4,FALSE)+(VLOOKUP(VLOOKUP(BL$1,main!$A$3:$H$102,8,FALSE),main!$K$19:$O$22,MATCH(VLOOKUP($A70,main!$A$3:$H$102,7,FALSE),main!$K$18:$O$18,0),0))),0)</f>
        <v>0</v>
      </c>
      <c r="BM70">
        <f>IF((gamma!BM70),IF(VLOOKUP(BM$1,main!$A$3:$H$102,7,FALSE)=VLOOKUP($A70,main!$A$3:$H$102,8,FALSE),VLOOKUP(BM$1,main!$A$3:$H$102,4,FALSE),VLOOKUP(BM$1,main!$A$3:$H$102,4,FALSE)+VLOOKUP($A70,main!$A$3:$H$102,4,FALSE)+(VLOOKUP(VLOOKUP(BM$1,main!$A$3:$H$102,8,FALSE),main!$K$19:$O$22,MATCH(VLOOKUP($A70,main!$A$3:$H$102,7,FALSE),main!$K$18:$O$18,0),0))),0)</f>
        <v>0</v>
      </c>
      <c r="BN70">
        <f>IF((gamma!BN70),IF(VLOOKUP(BN$1,main!$A$3:$H$102,7,FALSE)=VLOOKUP($A70,main!$A$3:$H$102,8,FALSE),VLOOKUP(BN$1,main!$A$3:$H$102,4,FALSE),VLOOKUP(BN$1,main!$A$3:$H$102,4,FALSE)+VLOOKUP($A70,main!$A$3:$H$102,4,FALSE)+(VLOOKUP(VLOOKUP(BN$1,main!$A$3:$H$102,8,FALSE),main!$K$19:$O$22,MATCH(VLOOKUP($A70,main!$A$3:$H$102,7,FALSE),main!$K$18:$O$18,0),0))),0)</f>
        <v>0</v>
      </c>
      <c r="BO70">
        <f>IF((gamma!BO70),IF(VLOOKUP(BO$1,main!$A$3:$H$102,7,FALSE)=VLOOKUP($A70,main!$A$3:$H$102,8,FALSE),VLOOKUP(BO$1,main!$A$3:$H$102,4,FALSE),VLOOKUP(BO$1,main!$A$3:$H$102,4,FALSE)+VLOOKUP($A70,main!$A$3:$H$102,4,FALSE)+(VLOOKUP(VLOOKUP(BO$1,main!$A$3:$H$102,8,FALSE),main!$K$19:$O$22,MATCH(VLOOKUP($A70,main!$A$3:$H$102,7,FALSE),main!$K$18:$O$18,0),0))),0)</f>
        <v>0</v>
      </c>
      <c r="BP70">
        <f>IF((gamma!BP70),IF(VLOOKUP(BP$1,main!$A$3:$H$102,7,FALSE)=VLOOKUP($A70,main!$A$3:$H$102,8,FALSE),VLOOKUP(BP$1,main!$A$3:$H$102,4,FALSE),VLOOKUP(BP$1,main!$A$3:$H$102,4,FALSE)+VLOOKUP($A70,main!$A$3:$H$102,4,FALSE)+(VLOOKUP(VLOOKUP(BP$1,main!$A$3:$H$102,8,FALSE),main!$K$19:$O$22,MATCH(VLOOKUP($A70,main!$A$3:$H$102,7,FALSE),main!$K$18:$O$18,0),0))),0)</f>
        <v>0</v>
      </c>
      <c r="BQ70">
        <f>IF((gamma!BQ70),IF(VLOOKUP(BQ$1,main!$A$3:$H$102,7,FALSE)=VLOOKUP($A70,main!$A$3:$H$102,8,FALSE),VLOOKUP(BQ$1,main!$A$3:$H$102,4,FALSE),VLOOKUP(BQ$1,main!$A$3:$H$102,4,FALSE)+VLOOKUP($A70,main!$A$3:$H$102,4,FALSE)+(VLOOKUP(VLOOKUP(BQ$1,main!$A$3:$H$102,8,FALSE),main!$K$19:$O$22,MATCH(VLOOKUP($A70,main!$A$3:$H$102,7,FALSE),main!$K$18:$O$18,0),0))),0)</f>
        <v>0</v>
      </c>
      <c r="BR70">
        <f>IF((gamma!BR70),IF(VLOOKUP(BR$1,main!$A$3:$H$102,7,FALSE)=VLOOKUP($A70,main!$A$3:$H$102,8,FALSE),VLOOKUP(BR$1,main!$A$3:$H$102,4,FALSE),VLOOKUP(BR$1,main!$A$3:$H$102,4,FALSE)+VLOOKUP($A70,main!$A$3:$H$102,4,FALSE)+(VLOOKUP(VLOOKUP(BR$1,main!$A$3:$H$102,8,FALSE),main!$K$19:$O$22,MATCH(VLOOKUP($A70,main!$A$3:$H$102,7,FALSE),main!$K$18:$O$18,0),0))),0)</f>
        <v>0</v>
      </c>
      <c r="BS70">
        <f>IF((gamma!BS70),IF(VLOOKUP(BS$1,main!$A$3:$H$102,7,FALSE)=VLOOKUP($A70,main!$A$3:$H$102,8,FALSE),VLOOKUP(BS$1,main!$A$3:$H$102,4,FALSE),VLOOKUP(BS$1,main!$A$3:$H$102,4,FALSE)+VLOOKUP($A70,main!$A$3:$H$102,4,FALSE)+(VLOOKUP(VLOOKUP(BS$1,main!$A$3:$H$102,8,FALSE),main!$K$19:$O$22,MATCH(VLOOKUP($A70,main!$A$3:$H$102,7,FALSE),main!$K$18:$O$18,0),0))),0)</f>
        <v>0</v>
      </c>
      <c r="BT70">
        <f>IF((gamma!BT70),IF(VLOOKUP(BT$1,main!$A$3:$H$102,7,FALSE)=VLOOKUP($A70,main!$A$3:$H$102,8,FALSE),VLOOKUP(BT$1,main!$A$3:$H$102,4,FALSE),VLOOKUP(BT$1,main!$A$3:$H$102,4,FALSE)+VLOOKUP($A70,main!$A$3:$H$102,4,FALSE)+(VLOOKUP(VLOOKUP(BT$1,main!$A$3:$H$102,8,FALSE),main!$K$19:$O$22,MATCH(VLOOKUP($A70,main!$A$3:$H$102,7,FALSE),main!$K$18:$O$18,0),0))),0)</f>
        <v>0</v>
      </c>
      <c r="BU70">
        <f>IF((gamma!BU70),IF(VLOOKUP(BU$1,main!$A$3:$H$102,7,FALSE)=VLOOKUP($A70,main!$A$3:$H$102,8,FALSE),VLOOKUP(BU$1,main!$A$3:$H$102,4,FALSE),VLOOKUP(BU$1,main!$A$3:$H$102,4,FALSE)+VLOOKUP($A70,main!$A$3:$H$102,4,FALSE)+(VLOOKUP(VLOOKUP(BU$1,main!$A$3:$H$102,8,FALSE),main!$K$19:$O$22,MATCH(VLOOKUP($A70,main!$A$3:$H$102,7,FALSE),main!$K$18:$O$18,0),0))),0)</f>
        <v>0</v>
      </c>
      <c r="BV70">
        <f>IF((gamma!BV70),IF(VLOOKUP(BV$1,main!$A$3:$H$102,7,FALSE)=VLOOKUP($A70,main!$A$3:$H$102,8,FALSE),VLOOKUP(BV$1,main!$A$3:$H$102,4,FALSE),VLOOKUP(BV$1,main!$A$3:$H$102,4,FALSE)+VLOOKUP($A70,main!$A$3:$H$102,4,FALSE)+(VLOOKUP(VLOOKUP(BV$1,main!$A$3:$H$102,8,FALSE),main!$K$19:$O$22,MATCH(VLOOKUP($A70,main!$A$3:$H$102,7,FALSE),main!$K$18:$O$18,0),0))),0)</f>
        <v>0</v>
      </c>
      <c r="BW70">
        <f>IF((gamma!BW70),IF(VLOOKUP(BW$1,main!$A$3:$H$102,7,FALSE)=VLOOKUP($A70,main!$A$3:$H$102,8,FALSE),VLOOKUP(BW$1,main!$A$3:$H$102,4,FALSE),VLOOKUP(BW$1,main!$A$3:$H$102,4,FALSE)+VLOOKUP($A70,main!$A$3:$H$102,4,FALSE)+(VLOOKUP(VLOOKUP(BW$1,main!$A$3:$H$102,8,FALSE),main!$K$19:$O$22,MATCH(VLOOKUP($A70,main!$A$3:$H$102,7,FALSE),main!$K$18:$O$18,0),0))),0)</f>
        <v>0</v>
      </c>
      <c r="BX70">
        <f>IF((gamma!BX70),IF(VLOOKUP(BX$1,main!$A$3:$H$102,7,FALSE)=VLOOKUP($A70,main!$A$3:$H$102,8,FALSE),VLOOKUP(BX$1,main!$A$3:$H$102,4,FALSE),VLOOKUP(BX$1,main!$A$3:$H$102,4,FALSE)+VLOOKUP($A70,main!$A$3:$H$102,4,FALSE)+(VLOOKUP(VLOOKUP(BX$1,main!$A$3:$H$102,8,FALSE),main!$K$19:$O$22,MATCH(VLOOKUP($A70,main!$A$3:$H$102,7,FALSE),main!$K$18:$O$18,0),0))),0)</f>
        <v>0</v>
      </c>
      <c r="BY70">
        <f>IF((gamma!BY70),IF(VLOOKUP(BY$1,main!$A$3:$H$102,7,FALSE)=VLOOKUP($A70,main!$A$3:$H$102,8,FALSE),VLOOKUP(BY$1,main!$A$3:$H$102,4,FALSE),VLOOKUP(BY$1,main!$A$3:$H$102,4,FALSE)+VLOOKUP($A70,main!$A$3:$H$102,4,FALSE)+(VLOOKUP(VLOOKUP(BY$1,main!$A$3:$H$102,8,FALSE),main!$K$19:$O$22,MATCH(VLOOKUP($A70,main!$A$3:$H$102,7,FALSE),main!$K$18:$O$18,0),0))),0)</f>
        <v>0</v>
      </c>
      <c r="BZ70">
        <f>IF((gamma!BZ70),IF(VLOOKUP(BZ$1,main!$A$3:$H$102,7,FALSE)=VLOOKUP($A70,main!$A$3:$H$102,8,FALSE),VLOOKUP(BZ$1,main!$A$3:$H$102,4,FALSE),VLOOKUP(BZ$1,main!$A$3:$H$102,4,FALSE)+VLOOKUP($A70,main!$A$3:$H$102,4,FALSE)+(VLOOKUP(VLOOKUP(BZ$1,main!$A$3:$H$102,8,FALSE),main!$K$19:$O$22,MATCH(VLOOKUP($A70,main!$A$3:$H$102,7,FALSE),main!$K$18:$O$18,0),0))),0)</f>
        <v>0</v>
      </c>
      <c r="CA70">
        <f>IF((gamma!CA70),IF(VLOOKUP(CA$1,main!$A$3:$H$102,7,FALSE)=VLOOKUP($A70,main!$A$3:$H$102,8,FALSE),VLOOKUP(CA$1,main!$A$3:$H$102,4,FALSE),VLOOKUP(CA$1,main!$A$3:$H$102,4,FALSE)+VLOOKUP($A70,main!$A$3:$H$102,4,FALSE)+(VLOOKUP(VLOOKUP(CA$1,main!$A$3:$H$102,8,FALSE),main!$K$19:$O$22,MATCH(VLOOKUP($A70,main!$A$3:$H$102,7,FALSE),main!$K$18:$O$18,0),0))),0)</f>
        <v>0</v>
      </c>
      <c r="CB70">
        <f>IF((gamma!CB70),IF(VLOOKUP(CB$1,main!$A$3:$H$102,7,FALSE)=VLOOKUP($A70,main!$A$3:$H$102,8,FALSE),VLOOKUP(CB$1,main!$A$3:$H$102,4,FALSE),VLOOKUP(CB$1,main!$A$3:$H$102,4,FALSE)+VLOOKUP($A70,main!$A$3:$H$102,4,FALSE)+(VLOOKUP(VLOOKUP(CB$1,main!$A$3:$H$102,8,FALSE),main!$K$19:$O$22,MATCH(VLOOKUP($A70,main!$A$3:$H$102,7,FALSE),main!$K$18:$O$18,0),0))),0)</f>
        <v>0</v>
      </c>
      <c r="CC70">
        <f>IF((gamma!CC70),IF(VLOOKUP(CC$1,main!$A$3:$H$102,7,FALSE)=VLOOKUP($A70,main!$A$3:$H$102,8,FALSE),VLOOKUP(CC$1,main!$A$3:$H$102,4,FALSE),VLOOKUP(CC$1,main!$A$3:$H$102,4,FALSE)+VLOOKUP($A70,main!$A$3:$H$102,4,FALSE)+(VLOOKUP(VLOOKUP(CC$1,main!$A$3:$H$102,8,FALSE),main!$K$19:$O$22,MATCH(VLOOKUP($A70,main!$A$3:$H$102,7,FALSE),main!$K$18:$O$18,0),0))),0)</f>
        <v>188</v>
      </c>
      <c r="CD70">
        <f>IF((gamma!CD70),IF(VLOOKUP(CD$1,main!$A$3:$H$102,7,FALSE)=VLOOKUP($A70,main!$A$3:$H$102,8,FALSE),VLOOKUP(CD$1,main!$A$3:$H$102,4,FALSE),VLOOKUP(CD$1,main!$A$3:$H$102,4,FALSE)+VLOOKUP($A70,main!$A$3:$H$102,4,FALSE)+(VLOOKUP(VLOOKUP(CD$1,main!$A$3:$H$102,8,FALSE),main!$K$19:$O$22,MATCH(VLOOKUP($A70,main!$A$3:$H$102,7,FALSE),main!$K$18:$O$18,0),0))),0)</f>
        <v>0</v>
      </c>
      <c r="CE70">
        <f>IF((gamma!CE70),IF(VLOOKUP(CE$1,main!$A$3:$H$102,7,FALSE)=VLOOKUP($A70,main!$A$3:$H$102,8,FALSE),VLOOKUP(CE$1,main!$A$3:$H$102,4,FALSE),VLOOKUP(CE$1,main!$A$3:$H$102,4,FALSE)+VLOOKUP($A70,main!$A$3:$H$102,4,FALSE)+(VLOOKUP(VLOOKUP(CE$1,main!$A$3:$H$102,8,FALSE),main!$K$19:$O$22,MATCH(VLOOKUP($A70,main!$A$3:$H$102,7,FALSE),main!$K$18:$O$18,0),0))),0)</f>
        <v>0</v>
      </c>
      <c r="CF70">
        <f>IF((gamma!CF70),IF(VLOOKUP(CF$1,main!$A$3:$H$102,7,FALSE)=VLOOKUP($A70,main!$A$3:$H$102,8,FALSE),VLOOKUP(CF$1,main!$A$3:$H$102,4,FALSE),VLOOKUP(CF$1,main!$A$3:$H$102,4,FALSE)+VLOOKUP($A70,main!$A$3:$H$102,4,FALSE)+(VLOOKUP(VLOOKUP(CF$1,main!$A$3:$H$102,8,FALSE),main!$K$19:$O$22,MATCH(VLOOKUP($A70,main!$A$3:$H$102,7,FALSE),main!$K$18:$O$18,0),0))),0)</f>
        <v>0</v>
      </c>
      <c r="CG70">
        <f>IF((gamma!CG70),IF(VLOOKUP(CG$1,main!$A$3:$H$102,7,FALSE)=VLOOKUP($A70,main!$A$3:$H$102,8,FALSE),VLOOKUP(CG$1,main!$A$3:$H$102,4,FALSE),VLOOKUP(CG$1,main!$A$3:$H$102,4,FALSE)+VLOOKUP($A70,main!$A$3:$H$102,4,FALSE)+(VLOOKUP(VLOOKUP(CG$1,main!$A$3:$H$102,8,FALSE),main!$K$19:$O$22,MATCH(VLOOKUP($A70,main!$A$3:$H$102,7,FALSE),main!$K$18:$O$18,0),0))),0)</f>
        <v>0</v>
      </c>
      <c r="CH70">
        <f>IF((gamma!CH70),IF(VLOOKUP(CH$1,main!$A$3:$H$102,7,FALSE)=VLOOKUP($A70,main!$A$3:$H$102,8,FALSE),VLOOKUP(CH$1,main!$A$3:$H$102,4,FALSE),VLOOKUP(CH$1,main!$A$3:$H$102,4,FALSE)+VLOOKUP($A70,main!$A$3:$H$102,4,FALSE)+(VLOOKUP(VLOOKUP(CH$1,main!$A$3:$H$102,8,FALSE),main!$K$19:$O$22,MATCH(VLOOKUP($A70,main!$A$3:$H$102,7,FALSE),main!$K$18:$O$18,0),0))),0)</f>
        <v>270</v>
      </c>
      <c r="CI70">
        <f>IF((gamma!CI70),IF(VLOOKUP(CI$1,main!$A$3:$H$102,7,FALSE)=VLOOKUP($A70,main!$A$3:$H$102,8,FALSE),VLOOKUP(CI$1,main!$A$3:$H$102,4,FALSE),VLOOKUP(CI$1,main!$A$3:$H$102,4,FALSE)+VLOOKUP($A70,main!$A$3:$H$102,4,FALSE)+(VLOOKUP(VLOOKUP(CI$1,main!$A$3:$H$102,8,FALSE),main!$K$19:$O$22,MATCH(VLOOKUP($A70,main!$A$3:$H$102,7,FALSE),main!$K$18:$O$18,0),0))),0)</f>
        <v>270</v>
      </c>
      <c r="CJ70">
        <f>IF((gamma!CJ70),IF(VLOOKUP(CJ$1,main!$A$3:$H$102,7,FALSE)=VLOOKUP($A70,main!$A$3:$H$102,8,FALSE),VLOOKUP(CJ$1,main!$A$3:$H$102,4,FALSE),VLOOKUP(CJ$1,main!$A$3:$H$102,4,FALSE)+VLOOKUP($A70,main!$A$3:$H$102,4,FALSE)+(VLOOKUP(VLOOKUP(CJ$1,main!$A$3:$H$102,8,FALSE),main!$K$19:$O$22,MATCH(VLOOKUP($A70,main!$A$3:$H$102,7,FALSE),main!$K$18:$O$18,0),0))),0)</f>
        <v>0</v>
      </c>
      <c r="CK70">
        <f>IF((gamma!CK70),IF(VLOOKUP(CK$1,main!$A$3:$H$102,7,FALSE)=VLOOKUP($A70,main!$A$3:$H$102,8,FALSE),VLOOKUP(CK$1,main!$A$3:$H$102,4,FALSE),VLOOKUP(CK$1,main!$A$3:$H$102,4,FALSE)+VLOOKUP($A70,main!$A$3:$H$102,4,FALSE)+(VLOOKUP(VLOOKUP(CK$1,main!$A$3:$H$102,8,FALSE),main!$K$19:$O$22,MATCH(VLOOKUP($A70,main!$A$3:$H$102,7,FALSE),main!$K$18:$O$18,0),0))),0)</f>
        <v>0</v>
      </c>
      <c r="CL70">
        <f>IF((gamma!CL70),IF(VLOOKUP(CL$1,main!$A$3:$H$102,7,FALSE)=VLOOKUP($A70,main!$A$3:$H$102,8,FALSE),VLOOKUP(CL$1,main!$A$3:$H$102,4,FALSE),VLOOKUP(CL$1,main!$A$3:$H$102,4,FALSE)+VLOOKUP($A70,main!$A$3:$H$102,4,FALSE)+(VLOOKUP(VLOOKUP(CL$1,main!$A$3:$H$102,8,FALSE),main!$K$19:$O$22,MATCH(VLOOKUP($A70,main!$A$3:$H$102,7,FALSE),main!$K$18:$O$18,0),0))),0)</f>
        <v>0</v>
      </c>
      <c r="CM70">
        <f>IF((gamma!CM70),IF(VLOOKUP(CM$1,main!$A$3:$H$102,7,FALSE)=VLOOKUP($A70,main!$A$3:$H$102,8,FALSE),VLOOKUP(CM$1,main!$A$3:$H$102,4,FALSE),VLOOKUP(CM$1,main!$A$3:$H$102,4,FALSE)+VLOOKUP($A70,main!$A$3:$H$102,4,FALSE)+(VLOOKUP(VLOOKUP(CM$1,main!$A$3:$H$102,8,FALSE),main!$K$19:$O$22,MATCH(VLOOKUP($A70,main!$A$3:$H$102,7,FALSE),main!$K$18:$O$18,0),0))),0)</f>
        <v>230</v>
      </c>
      <c r="CN70">
        <f>IF((gamma!CN70),IF(VLOOKUP(CN$1,main!$A$3:$H$102,7,FALSE)=VLOOKUP($A70,main!$A$3:$H$102,8,FALSE),VLOOKUP(CN$1,main!$A$3:$H$102,4,FALSE),VLOOKUP(CN$1,main!$A$3:$H$102,4,FALSE)+VLOOKUP($A70,main!$A$3:$H$102,4,FALSE)+(VLOOKUP(VLOOKUP(CN$1,main!$A$3:$H$102,8,FALSE),main!$K$19:$O$22,MATCH(VLOOKUP($A70,main!$A$3:$H$102,7,FALSE),main!$K$18:$O$18,0),0))),0)</f>
        <v>226</v>
      </c>
      <c r="CO70">
        <f>IF((gamma!CO70),IF(VLOOKUP(CO$1,main!$A$3:$H$102,7,FALSE)=VLOOKUP($A70,main!$A$3:$H$102,8,FALSE),VLOOKUP(CO$1,main!$A$3:$H$102,4,FALSE),VLOOKUP(CO$1,main!$A$3:$H$102,4,FALSE)+VLOOKUP($A70,main!$A$3:$H$102,4,FALSE)+(VLOOKUP(VLOOKUP(CO$1,main!$A$3:$H$102,8,FALSE),main!$K$19:$O$22,MATCH(VLOOKUP($A70,main!$A$3:$H$102,7,FALSE),main!$K$18:$O$18,0),0))),0)</f>
        <v>0</v>
      </c>
      <c r="CP70">
        <f>IF((gamma!CP70),IF(VLOOKUP(CP$1,main!$A$3:$H$102,7,FALSE)=VLOOKUP($A70,main!$A$3:$H$102,8,FALSE),VLOOKUP(CP$1,main!$A$3:$H$102,4,FALSE),VLOOKUP(CP$1,main!$A$3:$H$102,4,FALSE)+VLOOKUP($A70,main!$A$3:$H$102,4,FALSE)+(VLOOKUP(VLOOKUP(CP$1,main!$A$3:$H$102,8,FALSE),main!$K$19:$O$22,MATCH(VLOOKUP($A70,main!$A$3:$H$102,7,FALSE),main!$K$18:$O$18,0),0))),0)</f>
        <v>0</v>
      </c>
      <c r="CQ70">
        <f>IF((gamma!CQ70),IF(VLOOKUP(CQ$1,main!$A$3:$H$102,7,FALSE)=VLOOKUP($A70,main!$A$3:$H$102,8,FALSE),VLOOKUP(CQ$1,main!$A$3:$H$102,4,FALSE),VLOOKUP(CQ$1,main!$A$3:$H$102,4,FALSE)+VLOOKUP($A70,main!$A$3:$H$102,4,FALSE)+(VLOOKUP(VLOOKUP(CQ$1,main!$A$3:$H$102,8,FALSE),main!$K$19:$O$22,MATCH(VLOOKUP($A70,main!$A$3:$H$102,7,FALSE),main!$K$18:$O$18,0),0))),0)</f>
        <v>0</v>
      </c>
      <c r="CR70">
        <f>IF((gamma!CR70),IF(VLOOKUP(CR$1,main!$A$3:$H$102,7,FALSE)=VLOOKUP($A70,main!$A$3:$H$102,8,FALSE),VLOOKUP(CR$1,main!$A$3:$H$102,4,FALSE),VLOOKUP(CR$1,main!$A$3:$H$102,4,FALSE)+VLOOKUP($A70,main!$A$3:$H$102,4,FALSE)+(VLOOKUP(VLOOKUP(CR$1,main!$A$3:$H$102,8,FALSE),main!$K$19:$O$22,MATCH(VLOOKUP($A70,main!$A$3:$H$102,7,FALSE),main!$K$18:$O$18,0),0))),0)</f>
        <v>235</v>
      </c>
      <c r="CS70">
        <f>IF((gamma!CS70),IF(VLOOKUP(CS$1,main!$A$3:$H$102,7,FALSE)=VLOOKUP($A70,main!$A$3:$H$102,8,FALSE),VLOOKUP(CS$1,main!$A$3:$H$102,4,FALSE),VLOOKUP(CS$1,main!$A$3:$H$102,4,FALSE)+VLOOKUP($A70,main!$A$3:$H$102,4,FALSE)+(VLOOKUP(VLOOKUP(CS$1,main!$A$3:$H$102,8,FALSE),main!$K$19:$O$22,MATCH(VLOOKUP($A70,main!$A$3:$H$102,7,FALSE),main!$K$18:$O$18,0),0))),0)</f>
        <v>235</v>
      </c>
      <c r="CT70">
        <f>IF((gamma!CT70),IF(VLOOKUP(CT$1,main!$A$3:$H$102,7,FALSE)=VLOOKUP($A70,main!$A$3:$H$102,8,FALSE),VLOOKUP(CT$1,main!$A$3:$H$102,4,FALSE),VLOOKUP(CT$1,main!$A$3:$H$102,4,FALSE)+VLOOKUP($A70,main!$A$3:$H$102,4,FALSE)+(VLOOKUP(VLOOKUP(CT$1,main!$A$3:$H$102,8,FALSE),main!$K$19:$O$22,MATCH(VLOOKUP($A70,main!$A$3:$H$102,7,FALSE),main!$K$18:$O$18,0),0))),0)</f>
        <v>0</v>
      </c>
      <c r="CU70">
        <f>IF((gamma!CU70),IF(VLOOKUP(CU$1,main!$A$3:$H$102,7,FALSE)=VLOOKUP($A70,main!$A$3:$H$102,8,FALSE),VLOOKUP(CU$1,main!$A$3:$H$102,4,FALSE),VLOOKUP(CU$1,main!$A$3:$H$102,4,FALSE)+VLOOKUP($A70,main!$A$3:$H$102,4,FALSE)+(VLOOKUP(VLOOKUP(CU$1,main!$A$3:$H$102,8,FALSE),main!$K$19:$O$22,MATCH(VLOOKUP($A70,main!$A$3:$H$102,7,FALSE),main!$K$18:$O$18,0),0))),0)</f>
        <v>0</v>
      </c>
      <c r="CV70">
        <f>IF((gamma!CV70),IF(VLOOKUP(CV$1,main!$A$3:$H$102,7,FALSE)=VLOOKUP($A70,main!$A$3:$H$102,8,FALSE),VLOOKUP(CV$1,main!$A$3:$H$102,4,FALSE),VLOOKUP(CV$1,main!$A$3:$H$102,4,FALSE)+VLOOKUP($A70,main!$A$3:$H$102,4,FALSE)+(VLOOKUP(VLOOKUP(CV$1,main!$A$3:$H$102,8,FALSE),main!$K$19:$O$22,MATCH(VLOOKUP($A70,main!$A$3:$H$102,7,FALSE),main!$K$18:$O$18,0),0))),0)</f>
        <v>0</v>
      </c>
      <c r="CW70">
        <f>IF((gamma!CW70),IF(VLOOKUP(CW$1,main!$A$3:$H$102,7,FALSE)=VLOOKUP($A70,main!$A$3:$H$102,8,FALSE),VLOOKUP(CW$1,main!$A$3:$H$102,4,FALSE),VLOOKUP(CW$1,main!$A$3:$H$102,4,FALSE)+VLOOKUP($A70,main!$A$3:$H$102,4,FALSE)+(VLOOKUP(VLOOKUP(CW$1,main!$A$3:$H$102,8,FALSE),main!$K$19:$O$22,MATCH(VLOOKUP($A70,main!$A$3:$H$102,7,FALSE),main!$K$18:$O$18,0),0))),0)</f>
        <v>195</v>
      </c>
      <c r="CX70">
        <f>IF((gamma!CX70),IF(VLOOKUP(CX$1,main!$A$3:$H$102,7,FALSE)=VLOOKUP($A70,main!$A$3:$H$102,8,FALSE),VLOOKUP(CX$1,main!$A$3:$H$102,4,FALSE),VLOOKUP(CX$1,main!$A$3:$H$102,4,FALSE)+VLOOKUP($A70,main!$A$3:$H$102,4,FALSE)+(VLOOKUP(VLOOKUP(CX$1,main!$A$3:$H$102,8,FALSE),main!$K$19:$O$22,MATCH(VLOOKUP($A70,main!$A$3:$H$102,7,FALSE),main!$K$18:$O$18,0),0))),0)</f>
        <v>185</v>
      </c>
      <c r="CY70">
        <v>0</v>
      </c>
      <c r="CZ70">
        <v>0</v>
      </c>
      <c r="DA70">
        <v>0</v>
      </c>
    </row>
    <row r="71" spans="1:105" x14ac:dyDescent="0.25">
      <c r="A71" s="1">
        <v>69</v>
      </c>
      <c r="B71">
        <v>0</v>
      </c>
      <c r="C71">
        <f>IF((gamma!C71),IF(VLOOKUP(C$1,main!$A$3:$H$102,7,FALSE)=VLOOKUP($A71,main!$A$3:$H$102,8,FALSE),VLOOKUP(C$1,main!$A$3:$H$102,4,FALSE),VLOOKUP(C$1,main!$A$3:$H$102,4,FALSE)+VLOOKUP($A71,main!$A$3:$H$102,4,FALSE)+(VLOOKUP(VLOOKUP(C$1,main!$A$3:$H$102,8,FALSE),main!$K$19:$O$22,MATCH(VLOOKUP($A71,main!$A$3:$H$102,7,FALSE),main!$K$18:$O$18,0),0))),0)</f>
        <v>0</v>
      </c>
      <c r="D71">
        <f>IF((gamma!D71),IF(VLOOKUP(D$1,main!$A$3:$H$102,7,FALSE)=VLOOKUP($A71,main!$A$3:$H$102,8,FALSE),VLOOKUP(D$1,main!$A$3:$H$102,4,FALSE),VLOOKUP(D$1,main!$A$3:$H$102,4,FALSE)+VLOOKUP($A71,main!$A$3:$H$102,4,FALSE)+(VLOOKUP(VLOOKUP(D$1,main!$A$3:$H$102,8,FALSE),main!$K$19:$O$22,MATCH(VLOOKUP($A71,main!$A$3:$H$102,7,FALSE),main!$K$18:$O$18,0),0))),0)</f>
        <v>0</v>
      </c>
      <c r="E71">
        <f>IF((gamma!E71),IF(VLOOKUP(E$1,main!$A$3:$H$102,7,FALSE)=VLOOKUP($A71,main!$A$3:$H$102,8,FALSE),VLOOKUP(E$1,main!$A$3:$H$102,4,FALSE),VLOOKUP(E$1,main!$A$3:$H$102,4,FALSE)+VLOOKUP($A71,main!$A$3:$H$102,4,FALSE)+(VLOOKUP(VLOOKUP(E$1,main!$A$3:$H$102,8,FALSE),main!$K$19:$O$22,MATCH(VLOOKUP($A71,main!$A$3:$H$102,7,FALSE),main!$K$18:$O$18,0),0))),0)</f>
        <v>0</v>
      </c>
      <c r="F71">
        <f>IF((gamma!F71),IF(VLOOKUP(F$1,main!$A$3:$H$102,7,FALSE)=VLOOKUP($A71,main!$A$3:$H$102,8,FALSE),VLOOKUP(F$1,main!$A$3:$H$102,4,FALSE),VLOOKUP(F$1,main!$A$3:$H$102,4,FALSE)+VLOOKUP($A71,main!$A$3:$H$102,4,FALSE)+(VLOOKUP(VLOOKUP(F$1,main!$A$3:$H$102,8,FALSE),main!$K$19:$O$22,MATCH(VLOOKUP($A71,main!$A$3:$H$102,7,FALSE),main!$K$18:$O$18,0),0))),0)</f>
        <v>0</v>
      </c>
      <c r="G71">
        <f>IF((gamma!G71),IF(VLOOKUP(G$1,main!$A$3:$H$102,7,FALSE)=VLOOKUP($A71,main!$A$3:$H$102,8,FALSE),VLOOKUP(G$1,main!$A$3:$H$102,4,FALSE),VLOOKUP(G$1,main!$A$3:$H$102,4,FALSE)+VLOOKUP($A71,main!$A$3:$H$102,4,FALSE)+(VLOOKUP(VLOOKUP(G$1,main!$A$3:$H$102,8,FALSE),main!$K$19:$O$22,MATCH(VLOOKUP($A71,main!$A$3:$H$102,7,FALSE),main!$K$18:$O$18,0),0))),0)</f>
        <v>0</v>
      </c>
      <c r="H71">
        <f>IF((gamma!H71),IF(VLOOKUP(H$1,main!$A$3:$H$102,7,FALSE)=VLOOKUP($A71,main!$A$3:$H$102,8,FALSE),VLOOKUP(H$1,main!$A$3:$H$102,4,FALSE),VLOOKUP(H$1,main!$A$3:$H$102,4,FALSE)+VLOOKUP($A71,main!$A$3:$H$102,4,FALSE)+(VLOOKUP(VLOOKUP(H$1,main!$A$3:$H$102,8,FALSE),main!$K$19:$O$22,MATCH(VLOOKUP($A71,main!$A$3:$H$102,7,FALSE),main!$K$18:$O$18,0),0))),0)</f>
        <v>0</v>
      </c>
      <c r="I71">
        <f>IF((gamma!I71),IF(VLOOKUP(I$1,main!$A$3:$H$102,7,FALSE)=VLOOKUP($A71,main!$A$3:$H$102,8,FALSE),VLOOKUP(I$1,main!$A$3:$H$102,4,FALSE),VLOOKUP(I$1,main!$A$3:$H$102,4,FALSE)+VLOOKUP($A71,main!$A$3:$H$102,4,FALSE)+(VLOOKUP(VLOOKUP(I$1,main!$A$3:$H$102,8,FALSE),main!$K$19:$O$22,MATCH(VLOOKUP($A71,main!$A$3:$H$102,7,FALSE),main!$K$18:$O$18,0),0))),0)</f>
        <v>264</v>
      </c>
      <c r="J71">
        <f>IF((gamma!J71),IF(VLOOKUP(J$1,main!$A$3:$H$102,7,FALSE)=VLOOKUP($A71,main!$A$3:$H$102,8,FALSE),VLOOKUP(J$1,main!$A$3:$H$102,4,FALSE),VLOOKUP(J$1,main!$A$3:$H$102,4,FALSE)+VLOOKUP($A71,main!$A$3:$H$102,4,FALSE)+(VLOOKUP(VLOOKUP(J$1,main!$A$3:$H$102,8,FALSE),main!$K$19:$O$22,MATCH(VLOOKUP($A71,main!$A$3:$H$102,7,FALSE),main!$K$18:$O$18,0),0))),0)</f>
        <v>264</v>
      </c>
      <c r="K71">
        <f>IF((gamma!K71),IF(VLOOKUP(K$1,main!$A$3:$H$102,7,FALSE)=VLOOKUP($A71,main!$A$3:$H$102,8,FALSE),VLOOKUP(K$1,main!$A$3:$H$102,4,FALSE),VLOOKUP(K$1,main!$A$3:$H$102,4,FALSE)+VLOOKUP($A71,main!$A$3:$H$102,4,FALSE)+(VLOOKUP(VLOOKUP(K$1,main!$A$3:$H$102,8,FALSE),main!$K$19:$O$22,MATCH(VLOOKUP($A71,main!$A$3:$H$102,7,FALSE),main!$K$18:$O$18,0),0))),0)</f>
        <v>264</v>
      </c>
      <c r="L71">
        <f>IF((gamma!L71),IF(VLOOKUP(L$1,main!$A$3:$H$102,7,FALSE)=VLOOKUP($A71,main!$A$3:$H$102,8,FALSE),VLOOKUP(L$1,main!$A$3:$H$102,4,FALSE),VLOOKUP(L$1,main!$A$3:$H$102,4,FALSE)+VLOOKUP($A71,main!$A$3:$H$102,4,FALSE)+(VLOOKUP(VLOOKUP(L$1,main!$A$3:$H$102,8,FALSE),main!$K$19:$O$22,MATCH(VLOOKUP($A71,main!$A$3:$H$102,7,FALSE),main!$K$18:$O$18,0),0))),0)</f>
        <v>264</v>
      </c>
      <c r="M71">
        <f>IF((gamma!M71),IF(VLOOKUP(M$1,main!$A$3:$H$102,7,FALSE)=VLOOKUP($A71,main!$A$3:$H$102,8,FALSE),VLOOKUP(M$1,main!$A$3:$H$102,4,FALSE),VLOOKUP(M$1,main!$A$3:$H$102,4,FALSE)+VLOOKUP($A71,main!$A$3:$H$102,4,FALSE)+(VLOOKUP(VLOOKUP(M$1,main!$A$3:$H$102,8,FALSE),main!$K$19:$O$22,MATCH(VLOOKUP($A71,main!$A$3:$H$102,7,FALSE),main!$K$18:$O$18,0),0))),0)</f>
        <v>0</v>
      </c>
      <c r="N71">
        <f>IF((gamma!N71),IF(VLOOKUP(N$1,main!$A$3:$H$102,7,FALSE)=VLOOKUP($A71,main!$A$3:$H$102,8,FALSE),VLOOKUP(N$1,main!$A$3:$H$102,4,FALSE),VLOOKUP(N$1,main!$A$3:$H$102,4,FALSE)+VLOOKUP($A71,main!$A$3:$H$102,4,FALSE)+(VLOOKUP(VLOOKUP(N$1,main!$A$3:$H$102,8,FALSE),main!$K$19:$O$22,MATCH(VLOOKUP($A71,main!$A$3:$H$102,7,FALSE),main!$K$18:$O$18,0),0))),0)</f>
        <v>0</v>
      </c>
      <c r="O71">
        <f>IF((gamma!O71),IF(VLOOKUP(O$1,main!$A$3:$H$102,7,FALSE)=VLOOKUP($A71,main!$A$3:$H$102,8,FALSE),VLOOKUP(O$1,main!$A$3:$H$102,4,FALSE),VLOOKUP(O$1,main!$A$3:$H$102,4,FALSE)+VLOOKUP($A71,main!$A$3:$H$102,4,FALSE)+(VLOOKUP(VLOOKUP(O$1,main!$A$3:$H$102,8,FALSE),main!$K$19:$O$22,MATCH(VLOOKUP($A71,main!$A$3:$H$102,7,FALSE),main!$K$18:$O$18,0),0))),0)</f>
        <v>0</v>
      </c>
      <c r="P71">
        <f>IF((gamma!P71),IF(VLOOKUP(P$1,main!$A$3:$H$102,7,FALSE)=VLOOKUP($A71,main!$A$3:$H$102,8,FALSE),VLOOKUP(P$1,main!$A$3:$H$102,4,FALSE),VLOOKUP(P$1,main!$A$3:$H$102,4,FALSE)+VLOOKUP($A71,main!$A$3:$H$102,4,FALSE)+(VLOOKUP(VLOOKUP(P$1,main!$A$3:$H$102,8,FALSE),main!$K$19:$O$22,MATCH(VLOOKUP($A71,main!$A$3:$H$102,7,FALSE),main!$K$18:$O$18,0),0))),0)</f>
        <v>0</v>
      </c>
      <c r="Q71">
        <f>IF((gamma!Q71),IF(VLOOKUP(Q$1,main!$A$3:$H$102,7,FALSE)=VLOOKUP($A71,main!$A$3:$H$102,8,FALSE),VLOOKUP(Q$1,main!$A$3:$H$102,4,FALSE),VLOOKUP(Q$1,main!$A$3:$H$102,4,FALSE)+VLOOKUP($A71,main!$A$3:$H$102,4,FALSE)+(VLOOKUP(VLOOKUP(Q$1,main!$A$3:$H$102,8,FALSE),main!$K$19:$O$22,MATCH(VLOOKUP($A71,main!$A$3:$H$102,7,FALSE),main!$K$18:$O$18,0),0))),0)</f>
        <v>0</v>
      </c>
      <c r="R71">
        <f>IF((gamma!R71),IF(VLOOKUP(R$1,main!$A$3:$H$102,7,FALSE)=VLOOKUP($A71,main!$A$3:$H$102,8,FALSE),VLOOKUP(R$1,main!$A$3:$H$102,4,FALSE),VLOOKUP(R$1,main!$A$3:$H$102,4,FALSE)+VLOOKUP($A71,main!$A$3:$H$102,4,FALSE)+(VLOOKUP(VLOOKUP(R$1,main!$A$3:$H$102,8,FALSE),main!$K$19:$O$22,MATCH(VLOOKUP($A71,main!$A$3:$H$102,7,FALSE),main!$K$18:$O$18,0),0))),0)</f>
        <v>0</v>
      </c>
      <c r="S71">
        <f>IF((gamma!S71),IF(VLOOKUP(S$1,main!$A$3:$H$102,7,FALSE)=VLOOKUP($A71,main!$A$3:$H$102,8,FALSE),VLOOKUP(S$1,main!$A$3:$H$102,4,FALSE),VLOOKUP(S$1,main!$A$3:$H$102,4,FALSE)+VLOOKUP($A71,main!$A$3:$H$102,4,FALSE)+(VLOOKUP(VLOOKUP(S$1,main!$A$3:$H$102,8,FALSE),main!$K$19:$O$22,MATCH(VLOOKUP($A71,main!$A$3:$H$102,7,FALSE),main!$K$18:$O$18,0),0))),0)</f>
        <v>0</v>
      </c>
      <c r="T71">
        <f>IF((gamma!T71),IF(VLOOKUP(T$1,main!$A$3:$H$102,7,FALSE)=VLOOKUP($A71,main!$A$3:$H$102,8,FALSE),VLOOKUP(T$1,main!$A$3:$H$102,4,FALSE),VLOOKUP(T$1,main!$A$3:$H$102,4,FALSE)+VLOOKUP($A71,main!$A$3:$H$102,4,FALSE)+(VLOOKUP(VLOOKUP(T$1,main!$A$3:$H$102,8,FALSE),main!$K$19:$O$22,MATCH(VLOOKUP($A71,main!$A$3:$H$102,7,FALSE),main!$K$18:$O$18,0),0))),0)</f>
        <v>241</v>
      </c>
      <c r="U71">
        <f>IF((gamma!U71),IF(VLOOKUP(U$1,main!$A$3:$H$102,7,FALSE)=VLOOKUP($A71,main!$A$3:$H$102,8,FALSE),VLOOKUP(U$1,main!$A$3:$H$102,4,FALSE),VLOOKUP(U$1,main!$A$3:$H$102,4,FALSE)+VLOOKUP($A71,main!$A$3:$H$102,4,FALSE)+(VLOOKUP(VLOOKUP(U$1,main!$A$3:$H$102,8,FALSE),main!$K$19:$O$22,MATCH(VLOOKUP($A71,main!$A$3:$H$102,7,FALSE),main!$K$18:$O$18,0),0))),0)</f>
        <v>241</v>
      </c>
      <c r="V71">
        <f>IF((gamma!V71),IF(VLOOKUP(V$1,main!$A$3:$H$102,7,FALSE)=VLOOKUP($A71,main!$A$3:$H$102,8,FALSE),VLOOKUP(V$1,main!$A$3:$H$102,4,FALSE),VLOOKUP(V$1,main!$A$3:$H$102,4,FALSE)+VLOOKUP($A71,main!$A$3:$H$102,4,FALSE)+(VLOOKUP(VLOOKUP(V$1,main!$A$3:$H$102,8,FALSE),main!$K$19:$O$22,MATCH(VLOOKUP($A71,main!$A$3:$H$102,7,FALSE),main!$K$18:$O$18,0),0))),0)</f>
        <v>241</v>
      </c>
      <c r="W71">
        <f>IF((gamma!W71),IF(VLOOKUP(W$1,main!$A$3:$H$102,7,FALSE)=VLOOKUP($A71,main!$A$3:$H$102,8,FALSE),VLOOKUP(W$1,main!$A$3:$H$102,4,FALSE),VLOOKUP(W$1,main!$A$3:$H$102,4,FALSE)+VLOOKUP($A71,main!$A$3:$H$102,4,FALSE)+(VLOOKUP(VLOOKUP(W$1,main!$A$3:$H$102,8,FALSE),main!$K$19:$O$22,MATCH(VLOOKUP($A71,main!$A$3:$H$102,7,FALSE),main!$K$18:$O$18,0),0))),0)</f>
        <v>0</v>
      </c>
      <c r="X71">
        <f>IF((gamma!X71),IF(VLOOKUP(X$1,main!$A$3:$H$102,7,FALSE)=VLOOKUP($A71,main!$A$3:$H$102,8,FALSE),VLOOKUP(X$1,main!$A$3:$H$102,4,FALSE),VLOOKUP(X$1,main!$A$3:$H$102,4,FALSE)+VLOOKUP($A71,main!$A$3:$H$102,4,FALSE)+(VLOOKUP(VLOOKUP(X$1,main!$A$3:$H$102,8,FALSE),main!$K$19:$O$22,MATCH(VLOOKUP($A71,main!$A$3:$H$102,7,FALSE),main!$K$18:$O$18,0),0))),0)</f>
        <v>0</v>
      </c>
      <c r="Y71">
        <f>IF((gamma!Y71),IF(VLOOKUP(Y$1,main!$A$3:$H$102,7,FALSE)=VLOOKUP($A71,main!$A$3:$H$102,8,FALSE),VLOOKUP(Y$1,main!$A$3:$H$102,4,FALSE),VLOOKUP(Y$1,main!$A$3:$H$102,4,FALSE)+VLOOKUP($A71,main!$A$3:$H$102,4,FALSE)+(VLOOKUP(VLOOKUP(Y$1,main!$A$3:$H$102,8,FALSE),main!$K$19:$O$22,MATCH(VLOOKUP($A71,main!$A$3:$H$102,7,FALSE),main!$K$18:$O$18,0),0))),0)</f>
        <v>0</v>
      </c>
      <c r="Z71">
        <f>IF((gamma!Z71),IF(VLOOKUP(Z$1,main!$A$3:$H$102,7,FALSE)=VLOOKUP($A71,main!$A$3:$H$102,8,FALSE),VLOOKUP(Z$1,main!$A$3:$H$102,4,FALSE),VLOOKUP(Z$1,main!$A$3:$H$102,4,FALSE)+VLOOKUP($A71,main!$A$3:$H$102,4,FALSE)+(VLOOKUP(VLOOKUP(Z$1,main!$A$3:$H$102,8,FALSE),main!$K$19:$O$22,MATCH(VLOOKUP($A71,main!$A$3:$H$102,7,FALSE),main!$K$18:$O$18,0),0))),0)</f>
        <v>274</v>
      </c>
      <c r="AA71">
        <f>IF((gamma!AA71),IF(VLOOKUP(AA$1,main!$A$3:$H$102,7,FALSE)=VLOOKUP($A71,main!$A$3:$H$102,8,FALSE),VLOOKUP(AA$1,main!$A$3:$H$102,4,FALSE),VLOOKUP(AA$1,main!$A$3:$H$102,4,FALSE)+VLOOKUP($A71,main!$A$3:$H$102,4,FALSE)+(VLOOKUP(VLOOKUP(AA$1,main!$A$3:$H$102,8,FALSE),main!$K$19:$O$22,MATCH(VLOOKUP($A71,main!$A$3:$H$102,7,FALSE),main!$K$18:$O$18,0),0))),0)</f>
        <v>274</v>
      </c>
      <c r="AB71">
        <f>IF((gamma!AB71),IF(VLOOKUP(AB$1,main!$A$3:$H$102,7,FALSE)=VLOOKUP($A71,main!$A$3:$H$102,8,FALSE),VLOOKUP(AB$1,main!$A$3:$H$102,4,FALSE),VLOOKUP(AB$1,main!$A$3:$H$102,4,FALSE)+VLOOKUP($A71,main!$A$3:$H$102,4,FALSE)+(VLOOKUP(VLOOKUP(AB$1,main!$A$3:$H$102,8,FALSE),main!$K$19:$O$22,MATCH(VLOOKUP($A71,main!$A$3:$H$102,7,FALSE),main!$K$18:$O$18,0),0))),0)</f>
        <v>0</v>
      </c>
      <c r="AC71">
        <f>IF((gamma!AC71),IF(VLOOKUP(AC$1,main!$A$3:$H$102,7,FALSE)=VLOOKUP($A71,main!$A$3:$H$102,8,FALSE),VLOOKUP(AC$1,main!$A$3:$H$102,4,FALSE),VLOOKUP(AC$1,main!$A$3:$H$102,4,FALSE)+VLOOKUP($A71,main!$A$3:$H$102,4,FALSE)+(VLOOKUP(VLOOKUP(AC$1,main!$A$3:$H$102,8,FALSE),main!$K$19:$O$22,MATCH(VLOOKUP($A71,main!$A$3:$H$102,7,FALSE),main!$K$18:$O$18,0),0))),0)</f>
        <v>0</v>
      </c>
      <c r="AD71">
        <f>IF((gamma!AD71),IF(VLOOKUP(AD$1,main!$A$3:$H$102,7,FALSE)=VLOOKUP($A71,main!$A$3:$H$102,8,FALSE),VLOOKUP(AD$1,main!$A$3:$H$102,4,FALSE),VLOOKUP(AD$1,main!$A$3:$H$102,4,FALSE)+VLOOKUP($A71,main!$A$3:$H$102,4,FALSE)+(VLOOKUP(VLOOKUP(AD$1,main!$A$3:$H$102,8,FALSE),main!$K$19:$O$22,MATCH(VLOOKUP($A71,main!$A$3:$H$102,7,FALSE),main!$K$18:$O$18,0),0))),0)</f>
        <v>0</v>
      </c>
      <c r="AE71">
        <f>IF((gamma!AE71),IF(VLOOKUP(AE$1,main!$A$3:$H$102,7,FALSE)=VLOOKUP($A71,main!$A$3:$H$102,8,FALSE),VLOOKUP(AE$1,main!$A$3:$H$102,4,FALSE),VLOOKUP(AE$1,main!$A$3:$H$102,4,FALSE)+VLOOKUP($A71,main!$A$3:$H$102,4,FALSE)+(VLOOKUP(VLOOKUP(AE$1,main!$A$3:$H$102,8,FALSE),main!$K$19:$O$22,MATCH(VLOOKUP($A71,main!$A$3:$H$102,7,FALSE),main!$K$18:$O$18,0),0))),0)</f>
        <v>0</v>
      </c>
      <c r="AF71">
        <f>IF((gamma!AF71),IF(VLOOKUP(AF$1,main!$A$3:$H$102,7,FALSE)=VLOOKUP($A71,main!$A$3:$H$102,8,FALSE),VLOOKUP(AF$1,main!$A$3:$H$102,4,FALSE),VLOOKUP(AF$1,main!$A$3:$H$102,4,FALSE)+VLOOKUP($A71,main!$A$3:$H$102,4,FALSE)+(VLOOKUP(VLOOKUP(AF$1,main!$A$3:$H$102,8,FALSE),main!$K$19:$O$22,MATCH(VLOOKUP($A71,main!$A$3:$H$102,7,FALSE),main!$K$18:$O$18,0),0))),0)</f>
        <v>234</v>
      </c>
      <c r="AG71">
        <f>IF((gamma!AG71),IF(VLOOKUP(AG$1,main!$A$3:$H$102,7,FALSE)=VLOOKUP($A71,main!$A$3:$H$102,8,FALSE),VLOOKUP(AG$1,main!$A$3:$H$102,4,FALSE),VLOOKUP(AG$1,main!$A$3:$H$102,4,FALSE)+VLOOKUP($A71,main!$A$3:$H$102,4,FALSE)+(VLOOKUP(VLOOKUP(AG$1,main!$A$3:$H$102,8,FALSE),main!$K$19:$O$22,MATCH(VLOOKUP($A71,main!$A$3:$H$102,7,FALSE),main!$K$18:$O$18,0),0))),0)</f>
        <v>0</v>
      </c>
      <c r="AH71">
        <f>IF((gamma!AH71),IF(VLOOKUP(AH$1,main!$A$3:$H$102,7,FALSE)=VLOOKUP($A71,main!$A$3:$H$102,8,FALSE),VLOOKUP(AH$1,main!$A$3:$H$102,4,FALSE),VLOOKUP(AH$1,main!$A$3:$H$102,4,FALSE)+VLOOKUP($A71,main!$A$3:$H$102,4,FALSE)+(VLOOKUP(VLOOKUP(AH$1,main!$A$3:$H$102,8,FALSE),main!$K$19:$O$22,MATCH(VLOOKUP($A71,main!$A$3:$H$102,7,FALSE),main!$K$18:$O$18,0),0))),0)</f>
        <v>0</v>
      </c>
      <c r="AI71">
        <f>IF((gamma!AI71),IF(VLOOKUP(AI$1,main!$A$3:$H$102,7,FALSE)=VLOOKUP($A71,main!$A$3:$H$102,8,FALSE),VLOOKUP(AI$1,main!$A$3:$H$102,4,FALSE),VLOOKUP(AI$1,main!$A$3:$H$102,4,FALSE)+VLOOKUP($A71,main!$A$3:$H$102,4,FALSE)+(VLOOKUP(VLOOKUP(AI$1,main!$A$3:$H$102,8,FALSE),main!$K$19:$O$22,MATCH(VLOOKUP($A71,main!$A$3:$H$102,7,FALSE),main!$K$18:$O$18,0),0))),0)</f>
        <v>0</v>
      </c>
      <c r="AJ71">
        <f>IF((gamma!AJ71),IF(VLOOKUP(AJ$1,main!$A$3:$H$102,7,FALSE)=VLOOKUP($A71,main!$A$3:$H$102,8,FALSE),VLOOKUP(AJ$1,main!$A$3:$H$102,4,FALSE),VLOOKUP(AJ$1,main!$A$3:$H$102,4,FALSE)+VLOOKUP($A71,main!$A$3:$H$102,4,FALSE)+(VLOOKUP(VLOOKUP(AJ$1,main!$A$3:$H$102,8,FALSE),main!$K$19:$O$22,MATCH(VLOOKUP($A71,main!$A$3:$H$102,7,FALSE),main!$K$18:$O$18,0),0))),0)</f>
        <v>0</v>
      </c>
      <c r="AK71">
        <f>IF((gamma!AK71),IF(VLOOKUP(AK$1,main!$A$3:$H$102,7,FALSE)=VLOOKUP($A71,main!$A$3:$H$102,8,FALSE),VLOOKUP(AK$1,main!$A$3:$H$102,4,FALSE),VLOOKUP(AK$1,main!$A$3:$H$102,4,FALSE)+VLOOKUP($A71,main!$A$3:$H$102,4,FALSE)+(VLOOKUP(VLOOKUP(AK$1,main!$A$3:$H$102,8,FALSE),main!$K$19:$O$22,MATCH(VLOOKUP($A71,main!$A$3:$H$102,7,FALSE),main!$K$18:$O$18,0),0))),0)</f>
        <v>0</v>
      </c>
      <c r="AL71">
        <f>IF((gamma!AL71),IF(VLOOKUP(AL$1,main!$A$3:$H$102,7,FALSE)=VLOOKUP($A71,main!$A$3:$H$102,8,FALSE),VLOOKUP(AL$1,main!$A$3:$H$102,4,FALSE),VLOOKUP(AL$1,main!$A$3:$H$102,4,FALSE)+VLOOKUP($A71,main!$A$3:$H$102,4,FALSE)+(VLOOKUP(VLOOKUP(AL$1,main!$A$3:$H$102,8,FALSE),main!$K$19:$O$22,MATCH(VLOOKUP($A71,main!$A$3:$H$102,7,FALSE),main!$K$18:$O$18,0),0))),0)</f>
        <v>135</v>
      </c>
      <c r="AM71">
        <f>IF((gamma!AM71),IF(VLOOKUP(AM$1,main!$A$3:$H$102,7,FALSE)=VLOOKUP($A71,main!$A$3:$H$102,8,FALSE),VLOOKUP(AM$1,main!$A$3:$H$102,4,FALSE),VLOOKUP(AM$1,main!$A$3:$H$102,4,FALSE)+VLOOKUP($A71,main!$A$3:$H$102,4,FALSE)+(VLOOKUP(VLOOKUP(AM$1,main!$A$3:$H$102,8,FALSE),main!$K$19:$O$22,MATCH(VLOOKUP($A71,main!$A$3:$H$102,7,FALSE),main!$K$18:$O$18,0),0))),0)</f>
        <v>135</v>
      </c>
      <c r="AN71">
        <f>IF((gamma!AN71),IF(VLOOKUP(AN$1,main!$A$3:$H$102,7,FALSE)=VLOOKUP($A71,main!$A$3:$H$102,8,FALSE),VLOOKUP(AN$1,main!$A$3:$H$102,4,FALSE),VLOOKUP(AN$1,main!$A$3:$H$102,4,FALSE)+VLOOKUP($A71,main!$A$3:$H$102,4,FALSE)+(VLOOKUP(VLOOKUP(AN$1,main!$A$3:$H$102,8,FALSE),main!$K$19:$O$22,MATCH(VLOOKUP($A71,main!$A$3:$H$102,7,FALSE),main!$K$18:$O$18,0),0))),0)</f>
        <v>135</v>
      </c>
      <c r="AO71">
        <f>IF((gamma!AO71),IF(VLOOKUP(AO$1,main!$A$3:$H$102,7,FALSE)=VLOOKUP($A71,main!$A$3:$H$102,8,FALSE),VLOOKUP(AO$1,main!$A$3:$H$102,4,FALSE),VLOOKUP(AO$1,main!$A$3:$H$102,4,FALSE)+VLOOKUP($A71,main!$A$3:$H$102,4,FALSE)+(VLOOKUP(VLOOKUP(AO$1,main!$A$3:$H$102,8,FALSE),main!$K$19:$O$22,MATCH(VLOOKUP($A71,main!$A$3:$H$102,7,FALSE),main!$K$18:$O$18,0),0))),0)</f>
        <v>0</v>
      </c>
      <c r="AP71">
        <f>IF((gamma!AP71),IF(VLOOKUP(AP$1,main!$A$3:$H$102,7,FALSE)=VLOOKUP($A71,main!$A$3:$H$102,8,FALSE),VLOOKUP(AP$1,main!$A$3:$H$102,4,FALSE),VLOOKUP(AP$1,main!$A$3:$H$102,4,FALSE)+VLOOKUP($A71,main!$A$3:$H$102,4,FALSE)+(VLOOKUP(VLOOKUP(AP$1,main!$A$3:$H$102,8,FALSE),main!$K$19:$O$22,MATCH(VLOOKUP($A71,main!$A$3:$H$102,7,FALSE),main!$K$18:$O$18,0),0))),0)</f>
        <v>75</v>
      </c>
      <c r="AQ71">
        <f>IF((gamma!AQ71),IF(VLOOKUP(AQ$1,main!$A$3:$H$102,7,FALSE)=VLOOKUP($A71,main!$A$3:$H$102,8,FALSE),VLOOKUP(AQ$1,main!$A$3:$H$102,4,FALSE),VLOOKUP(AQ$1,main!$A$3:$H$102,4,FALSE)+VLOOKUP($A71,main!$A$3:$H$102,4,FALSE)+(VLOOKUP(VLOOKUP(AQ$1,main!$A$3:$H$102,8,FALSE),main!$K$19:$O$22,MATCH(VLOOKUP($A71,main!$A$3:$H$102,7,FALSE),main!$K$18:$O$18,0),0))),0)</f>
        <v>0</v>
      </c>
      <c r="AR71">
        <f>IF((gamma!AR71),IF(VLOOKUP(AR$1,main!$A$3:$H$102,7,FALSE)=VLOOKUP($A71,main!$A$3:$H$102,8,FALSE),VLOOKUP(AR$1,main!$A$3:$H$102,4,FALSE),VLOOKUP(AR$1,main!$A$3:$H$102,4,FALSE)+VLOOKUP($A71,main!$A$3:$H$102,4,FALSE)+(VLOOKUP(VLOOKUP(AR$1,main!$A$3:$H$102,8,FALSE),main!$K$19:$O$22,MATCH(VLOOKUP($A71,main!$A$3:$H$102,7,FALSE),main!$K$18:$O$18,0),0))),0)</f>
        <v>0</v>
      </c>
      <c r="AS71">
        <f>IF((gamma!AS71),IF(VLOOKUP(AS$1,main!$A$3:$H$102,7,FALSE)=VLOOKUP($A71,main!$A$3:$H$102,8,FALSE),VLOOKUP(AS$1,main!$A$3:$H$102,4,FALSE),VLOOKUP(AS$1,main!$A$3:$H$102,4,FALSE)+VLOOKUP($A71,main!$A$3:$H$102,4,FALSE)+(VLOOKUP(VLOOKUP(AS$1,main!$A$3:$H$102,8,FALSE),main!$K$19:$O$22,MATCH(VLOOKUP($A71,main!$A$3:$H$102,7,FALSE),main!$K$18:$O$18,0),0))),0)</f>
        <v>0</v>
      </c>
      <c r="AT71">
        <f>IF((gamma!AT71),IF(VLOOKUP(AT$1,main!$A$3:$H$102,7,FALSE)=VLOOKUP($A71,main!$A$3:$H$102,8,FALSE),VLOOKUP(AT$1,main!$A$3:$H$102,4,FALSE),VLOOKUP(AT$1,main!$A$3:$H$102,4,FALSE)+VLOOKUP($A71,main!$A$3:$H$102,4,FALSE)+(VLOOKUP(VLOOKUP(AT$1,main!$A$3:$H$102,8,FALSE),main!$K$19:$O$22,MATCH(VLOOKUP($A71,main!$A$3:$H$102,7,FALSE),main!$K$18:$O$18,0),0))),0)</f>
        <v>130</v>
      </c>
      <c r="AU71">
        <f>IF((gamma!AU71),IF(VLOOKUP(AU$1,main!$A$3:$H$102,7,FALSE)=VLOOKUP($A71,main!$A$3:$H$102,8,FALSE),VLOOKUP(AU$1,main!$A$3:$H$102,4,FALSE),VLOOKUP(AU$1,main!$A$3:$H$102,4,FALSE)+VLOOKUP($A71,main!$A$3:$H$102,4,FALSE)+(VLOOKUP(VLOOKUP(AU$1,main!$A$3:$H$102,8,FALSE),main!$K$19:$O$22,MATCH(VLOOKUP($A71,main!$A$3:$H$102,7,FALSE),main!$K$18:$O$18,0),0))),0)</f>
        <v>0</v>
      </c>
      <c r="AV71">
        <f>IF((gamma!AV71),IF(VLOOKUP(AV$1,main!$A$3:$H$102,7,FALSE)=VLOOKUP($A71,main!$A$3:$H$102,8,FALSE),VLOOKUP(AV$1,main!$A$3:$H$102,4,FALSE),VLOOKUP(AV$1,main!$A$3:$H$102,4,FALSE)+VLOOKUP($A71,main!$A$3:$H$102,4,FALSE)+(VLOOKUP(VLOOKUP(AV$1,main!$A$3:$H$102,8,FALSE),main!$K$19:$O$22,MATCH(VLOOKUP($A71,main!$A$3:$H$102,7,FALSE),main!$K$18:$O$18,0),0))),0)</f>
        <v>0</v>
      </c>
      <c r="AW71">
        <f>IF((gamma!AW71),IF(VLOOKUP(AW$1,main!$A$3:$H$102,7,FALSE)=VLOOKUP($A71,main!$A$3:$H$102,8,FALSE),VLOOKUP(AW$1,main!$A$3:$H$102,4,FALSE),VLOOKUP(AW$1,main!$A$3:$H$102,4,FALSE)+VLOOKUP($A71,main!$A$3:$H$102,4,FALSE)+(VLOOKUP(VLOOKUP(AW$1,main!$A$3:$H$102,8,FALSE),main!$K$19:$O$22,MATCH(VLOOKUP($A71,main!$A$3:$H$102,7,FALSE),main!$K$18:$O$18,0),0))),0)</f>
        <v>0</v>
      </c>
      <c r="AX71">
        <f>IF((gamma!AX71),IF(VLOOKUP(AX$1,main!$A$3:$H$102,7,FALSE)=VLOOKUP($A71,main!$A$3:$H$102,8,FALSE),VLOOKUP(AX$1,main!$A$3:$H$102,4,FALSE),VLOOKUP(AX$1,main!$A$3:$H$102,4,FALSE)+VLOOKUP($A71,main!$A$3:$H$102,4,FALSE)+(VLOOKUP(VLOOKUP(AX$1,main!$A$3:$H$102,8,FALSE),main!$K$19:$O$22,MATCH(VLOOKUP($A71,main!$A$3:$H$102,7,FALSE),main!$K$18:$O$18,0),0))),0)</f>
        <v>0</v>
      </c>
      <c r="AY71">
        <f>IF((gamma!AY71),IF(VLOOKUP(AY$1,main!$A$3:$H$102,7,FALSE)=VLOOKUP($A71,main!$A$3:$H$102,8,FALSE),VLOOKUP(AY$1,main!$A$3:$H$102,4,FALSE),VLOOKUP(AY$1,main!$A$3:$H$102,4,FALSE)+VLOOKUP($A71,main!$A$3:$H$102,4,FALSE)+(VLOOKUP(VLOOKUP(AY$1,main!$A$3:$H$102,8,FALSE),main!$K$19:$O$22,MATCH(VLOOKUP($A71,main!$A$3:$H$102,7,FALSE),main!$K$18:$O$18,0),0))),0)</f>
        <v>0</v>
      </c>
      <c r="AZ71">
        <f>IF((gamma!AZ71),IF(VLOOKUP(AZ$1,main!$A$3:$H$102,7,FALSE)=VLOOKUP($A71,main!$A$3:$H$102,8,FALSE),VLOOKUP(AZ$1,main!$A$3:$H$102,4,FALSE),VLOOKUP(AZ$1,main!$A$3:$H$102,4,FALSE)+VLOOKUP($A71,main!$A$3:$H$102,4,FALSE)+(VLOOKUP(VLOOKUP(AZ$1,main!$A$3:$H$102,8,FALSE),main!$K$19:$O$22,MATCH(VLOOKUP($A71,main!$A$3:$H$102,7,FALSE),main!$K$18:$O$18,0),0))),0)</f>
        <v>0</v>
      </c>
      <c r="BA71">
        <f>IF((gamma!BA71),IF(VLOOKUP(BA$1,main!$A$3:$H$102,7,FALSE)=VLOOKUP($A71,main!$A$3:$H$102,8,FALSE),VLOOKUP(BA$1,main!$A$3:$H$102,4,FALSE),VLOOKUP(BA$1,main!$A$3:$H$102,4,FALSE)+VLOOKUP($A71,main!$A$3:$H$102,4,FALSE)+(VLOOKUP(VLOOKUP(BA$1,main!$A$3:$H$102,8,FALSE),main!$K$19:$O$22,MATCH(VLOOKUP($A71,main!$A$3:$H$102,7,FALSE),main!$K$18:$O$18,0),0))),0)</f>
        <v>0</v>
      </c>
      <c r="BB71">
        <f>IF((gamma!BB71),IF(VLOOKUP(BB$1,main!$A$3:$H$102,7,FALSE)=VLOOKUP($A71,main!$A$3:$H$102,8,FALSE),VLOOKUP(BB$1,main!$A$3:$H$102,4,FALSE),VLOOKUP(BB$1,main!$A$3:$H$102,4,FALSE)+VLOOKUP($A71,main!$A$3:$H$102,4,FALSE)+(VLOOKUP(VLOOKUP(BB$1,main!$A$3:$H$102,8,FALSE),main!$K$19:$O$22,MATCH(VLOOKUP($A71,main!$A$3:$H$102,7,FALSE),main!$K$18:$O$18,0),0))),0)</f>
        <v>0</v>
      </c>
      <c r="BC71">
        <f>IF((gamma!BC71),IF(VLOOKUP(BC$1,main!$A$3:$H$102,7,FALSE)=VLOOKUP($A71,main!$A$3:$H$102,8,FALSE),VLOOKUP(BC$1,main!$A$3:$H$102,4,FALSE),VLOOKUP(BC$1,main!$A$3:$H$102,4,FALSE)+VLOOKUP($A71,main!$A$3:$H$102,4,FALSE)+(VLOOKUP(VLOOKUP(BC$1,main!$A$3:$H$102,8,FALSE),main!$K$19:$O$22,MATCH(VLOOKUP($A71,main!$A$3:$H$102,7,FALSE),main!$K$18:$O$18,0),0))),0)</f>
        <v>0</v>
      </c>
      <c r="BD71">
        <f>IF((gamma!BD71),IF(VLOOKUP(BD$1,main!$A$3:$H$102,7,FALSE)=VLOOKUP($A71,main!$A$3:$H$102,8,FALSE),VLOOKUP(BD$1,main!$A$3:$H$102,4,FALSE),VLOOKUP(BD$1,main!$A$3:$H$102,4,FALSE)+VLOOKUP($A71,main!$A$3:$H$102,4,FALSE)+(VLOOKUP(VLOOKUP(BD$1,main!$A$3:$H$102,8,FALSE),main!$K$19:$O$22,MATCH(VLOOKUP($A71,main!$A$3:$H$102,7,FALSE),main!$K$18:$O$18,0),0))),0)</f>
        <v>0</v>
      </c>
      <c r="BE71">
        <f>IF((gamma!BE71),IF(VLOOKUP(BE$1,main!$A$3:$H$102,7,FALSE)=VLOOKUP($A71,main!$A$3:$H$102,8,FALSE),VLOOKUP(BE$1,main!$A$3:$H$102,4,FALSE),VLOOKUP(BE$1,main!$A$3:$H$102,4,FALSE)+VLOOKUP($A71,main!$A$3:$H$102,4,FALSE)+(VLOOKUP(VLOOKUP(BE$1,main!$A$3:$H$102,8,FALSE),main!$K$19:$O$22,MATCH(VLOOKUP($A71,main!$A$3:$H$102,7,FALSE),main!$K$18:$O$18,0),0))),0)</f>
        <v>271</v>
      </c>
      <c r="BF71">
        <f>IF((gamma!BF71),IF(VLOOKUP(BF$1,main!$A$3:$H$102,7,FALSE)=VLOOKUP($A71,main!$A$3:$H$102,8,FALSE),VLOOKUP(BF$1,main!$A$3:$H$102,4,FALSE),VLOOKUP(BF$1,main!$A$3:$H$102,4,FALSE)+VLOOKUP($A71,main!$A$3:$H$102,4,FALSE)+(VLOOKUP(VLOOKUP(BF$1,main!$A$3:$H$102,8,FALSE),main!$K$19:$O$22,MATCH(VLOOKUP($A71,main!$A$3:$H$102,7,FALSE),main!$K$18:$O$18,0),0))),0)</f>
        <v>0</v>
      </c>
      <c r="BG71">
        <f>IF((gamma!BG71),IF(VLOOKUP(BG$1,main!$A$3:$H$102,7,FALSE)=VLOOKUP($A71,main!$A$3:$H$102,8,FALSE),VLOOKUP(BG$1,main!$A$3:$H$102,4,FALSE),VLOOKUP(BG$1,main!$A$3:$H$102,4,FALSE)+VLOOKUP($A71,main!$A$3:$H$102,4,FALSE)+(VLOOKUP(VLOOKUP(BG$1,main!$A$3:$H$102,8,FALSE),main!$K$19:$O$22,MATCH(VLOOKUP($A71,main!$A$3:$H$102,7,FALSE),main!$K$18:$O$18,0),0))),0)</f>
        <v>0</v>
      </c>
      <c r="BH71">
        <f>IF((gamma!BH71),IF(VLOOKUP(BH$1,main!$A$3:$H$102,7,FALSE)=VLOOKUP($A71,main!$A$3:$H$102,8,FALSE),VLOOKUP(BH$1,main!$A$3:$H$102,4,FALSE),VLOOKUP(BH$1,main!$A$3:$H$102,4,FALSE)+VLOOKUP($A71,main!$A$3:$H$102,4,FALSE)+(VLOOKUP(VLOOKUP(BH$1,main!$A$3:$H$102,8,FALSE),main!$K$19:$O$22,MATCH(VLOOKUP($A71,main!$A$3:$H$102,7,FALSE),main!$K$18:$O$18,0),0))),0)</f>
        <v>0</v>
      </c>
      <c r="BI71">
        <f>IF((gamma!BI71),IF(VLOOKUP(BI$1,main!$A$3:$H$102,7,FALSE)=VLOOKUP($A71,main!$A$3:$H$102,8,FALSE),VLOOKUP(BI$1,main!$A$3:$H$102,4,FALSE),VLOOKUP(BI$1,main!$A$3:$H$102,4,FALSE)+VLOOKUP($A71,main!$A$3:$H$102,4,FALSE)+(VLOOKUP(VLOOKUP(BI$1,main!$A$3:$H$102,8,FALSE),main!$K$19:$O$22,MATCH(VLOOKUP($A71,main!$A$3:$H$102,7,FALSE),main!$K$18:$O$18,0),0))),0)</f>
        <v>191</v>
      </c>
      <c r="BJ71">
        <f>IF((gamma!BJ71),IF(VLOOKUP(BJ$1,main!$A$3:$H$102,7,FALSE)=VLOOKUP($A71,main!$A$3:$H$102,8,FALSE),VLOOKUP(BJ$1,main!$A$3:$H$102,4,FALSE),VLOOKUP(BJ$1,main!$A$3:$H$102,4,FALSE)+VLOOKUP($A71,main!$A$3:$H$102,4,FALSE)+(VLOOKUP(VLOOKUP(BJ$1,main!$A$3:$H$102,8,FALSE),main!$K$19:$O$22,MATCH(VLOOKUP($A71,main!$A$3:$H$102,7,FALSE),main!$K$18:$O$18,0),0))),0)</f>
        <v>221</v>
      </c>
      <c r="BK71">
        <f>IF((gamma!BK71),IF(VLOOKUP(BK$1,main!$A$3:$H$102,7,FALSE)=VLOOKUP($A71,main!$A$3:$H$102,8,FALSE),VLOOKUP(BK$1,main!$A$3:$H$102,4,FALSE),VLOOKUP(BK$1,main!$A$3:$H$102,4,FALSE)+VLOOKUP($A71,main!$A$3:$H$102,4,FALSE)+(VLOOKUP(VLOOKUP(BK$1,main!$A$3:$H$102,8,FALSE),main!$K$19:$O$22,MATCH(VLOOKUP($A71,main!$A$3:$H$102,7,FALSE),main!$K$18:$O$18,0),0))),0)</f>
        <v>0</v>
      </c>
      <c r="BL71">
        <f>IF((gamma!BL71),IF(VLOOKUP(BL$1,main!$A$3:$H$102,7,FALSE)=VLOOKUP($A71,main!$A$3:$H$102,8,FALSE),VLOOKUP(BL$1,main!$A$3:$H$102,4,FALSE),VLOOKUP(BL$1,main!$A$3:$H$102,4,FALSE)+VLOOKUP($A71,main!$A$3:$H$102,4,FALSE)+(VLOOKUP(VLOOKUP(BL$1,main!$A$3:$H$102,8,FALSE),main!$K$19:$O$22,MATCH(VLOOKUP($A71,main!$A$3:$H$102,7,FALSE),main!$K$18:$O$18,0),0))),0)</f>
        <v>0</v>
      </c>
      <c r="BM71">
        <f>IF((gamma!BM71),IF(VLOOKUP(BM$1,main!$A$3:$H$102,7,FALSE)=VLOOKUP($A71,main!$A$3:$H$102,8,FALSE),VLOOKUP(BM$1,main!$A$3:$H$102,4,FALSE),VLOOKUP(BM$1,main!$A$3:$H$102,4,FALSE)+VLOOKUP($A71,main!$A$3:$H$102,4,FALSE)+(VLOOKUP(VLOOKUP(BM$1,main!$A$3:$H$102,8,FALSE),main!$K$19:$O$22,MATCH(VLOOKUP($A71,main!$A$3:$H$102,7,FALSE),main!$K$18:$O$18,0),0))),0)</f>
        <v>0</v>
      </c>
      <c r="BN71">
        <f>IF((gamma!BN71),IF(VLOOKUP(BN$1,main!$A$3:$H$102,7,FALSE)=VLOOKUP($A71,main!$A$3:$H$102,8,FALSE),VLOOKUP(BN$1,main!$A$3:$H$102,4,FALSE),VLOOKUP(BN$1,main!$A$3:$H$102,4,FALSE)+VLOOKUP($A71,main!$A$3:$H$102,4,FALSE)+(VLOOKUP(VLOOKUP(BN$1,main!$A$3:$H$102,8,FALSE),main!$K$19:$O$22,MATCH(VLOOKUP($A71,main!$A$3:$H$102,7,FALSE),main!$K$18:$O$18,0),0))),0)</f>
        <v>0</v>
      </c>
      <c r="BO71">
        <f>IF((gamma!BO71),IF(VLOOKUP(BO$1,main!$A$3:$H$102,7,FALSE)=VLOOKUP($A71,main!$A$3:$H$102,8,FALSE),VLOOKUP(BO$1,main!$A$3:$H$102,4,FALSE),VLOOKUP(BO$1,main!$A$3:$H$102,4,FALSE)+VLOOKUP($A71,main!$A$3:$H$102,4,FALSE)+(VLOOKUP(VLOOKUP(BO$1,main!$A$3:$H$102,8,FALSE),main!$K$19:$O$22,MATCH(VLOOKUP($A71,main!$A$3:$H$102,7,FALSE),main!$K$18:$O$18,0),0))),0)</f>
        <v>0</v>
      </c>
      <c r="BP71">
        <f>IF((gamma!BP71),IF(VLOOKUP(BP$1,main!$A$3:$H$102,7,FALSE)=VLOOKUP($A71,main!$A$3:$H$102,8,FALSE),VLOOKUP(BP$1,main!$A$3:$H$102,4,FALSE),VLOOKUP(BP$1,main!$A$3:$H$102,4,FALSE)+VLOOKUP($A71,main!$A$3:$H$102,4,FALSE)+(VLOOKUP(VLOOKUP(BP$1,main!$A$3:$H$102,8,FALSE),main!$K$19:$O$22,MATCH(VLOOKUP($A71,main!$A$3:$H$102,7,FALSE),main!$K$18:$O$18,0),0))),0)</f>
        <v>0</v>
      </c>
      <c r="BQ71">
        <f>IF((gamma!BQ71),IF(VLOOKUP(BQ$1,main!$A$3:$H$102,7,FALSE)=VLOOKUP($A71,main!$A$3:$H$102,8,FALSE),VLOOKUP(BQ$1,main!$A$3:$H$102,4,FALSE),VLOOKUP(BQ$1,main!$A$3:$H$102,4,FALSE)+VLOOKUP($A71,main!$A$3:$H$102,4,FALSE)+(VLOOKUP(VLOOKUP(BQ$1,main!$A$3:$H$102,8,FALSE),main!$K$19:$O$22,MATCH(VLOOKUP($A71,main!$A$3:$H$102,7,FALSE),main!$K$18:$O$18,0),0))),0)</f>
        <v>0</v>
      </c>
      <c r="BR71">
        <f>IF((gamma!BR71),IF(VLOOKUP(BR$1,main!$A$3:$H$102,7,FALSE)=VLOOKUP($A71,main!$A$3:$H$102,8,FALSE),VLOOKUP(BR$1,main!$A$3:$H$102,4,FALSE),VLOOKUP(BR$1,main!$A$3:$H$102,4,FALSE)+VLOOKUP($A71,main!$A$3:$H$102,4,FALSE)+(VLOOKUP(VLOOKUP(BR$1,main!$A$3:$H$102,8,FALSE),main!$K$19:$O$22,MATCH(VLOOKUP($A71,main!$A$3:$H$102,7,FALSE),main!$K$18:$O$18,0),0))),0)</f>
        <v>0</v>
      </c>
      <c r="BS71">
        <f>IF((gamma!BS71),IF(VLOOKUP(BS$1,main!$A$3:$H$102,7,FALSE)=VLOOKUP($A71,main!$A$3:$H$102,8,FALSE),VLOOKUP(BS$1,main!$A$3:$H$102,4,FALSE),VLOOKUP(BS$1,main!$A$3:$H$102,4,FALSE)+VLOOKUP($A71,main!$A$3:$H$102,4,FALSE)+(VLOOKUP(VLOOKUP(BS$1,main!$A$3:$H$102,8,FALSE),main!$K$19:$O$22,MATCH(VLOOKUP($A71,main!$A$3:$H$102,7,FALSE),main!$K$18:$O$18,0),0))),0)</f>
        <v>0</v>
      </c>
      <c r="BT71">
        <f>IF((gamma!BT71),IF(VLOOKUP(BT$1,main!$A$3:$H$102,7,FALSE)=VLOOKUP($A71,main!$A$3:$H$102,8,FALSE),VLOOKUP(BT$1,main!$A$3:$H$102,4,FALSE),VLOOKUP(BT$1,main!$A$3:$H$102,4,FALSE)+VLOOKUP($A71,main!$A$3:$H$102,4,FALSE)+(VLOOKUP(VLOOKUP(BT$1,main!$A$3:$H$102,8,FALSE),main!$K$19:$O$22,MATCH(VLOOKUP($A71,main!$A$3:$H$102,7,FALSE),main!$K$18:$O$18,0),0))),0)</f>
        <v>0</v>
      </c>
      <c r="BU71">
        <f>IF((gamma!BU71),IF(VLOOKUP(BU$1,main!$A$3:$H$102,7,FALSE)=VLOOKUP($A71,main!$A$3:$H$102,8,FALSE),VLOOKUP(BU$1,main!$A$3:$H$102,4,FALSE),VLOOKUP(BU$1,main!$A$3:$H$102,4,FALSE)+VLOOKUP($A71,main!$A$3:$H$102,4,FALSE)+(VLOOKUP(VLOOKUP(BU$1,main!$A$3:$H$102,8,FALSE),main!$K$19:$O$22,MATCH(VLOOKUP($A71,main!$A$3:$H$102,7,FALSE),main!$K$18:$O$18,0),0))),0)</f>
        <v>0</v>
      </c>
      <c r="BV71">
        <f>IF((gamma!BV71),IF(VLOOKUP(BV$1,main!$A$3:$H$102,7,FALSE)=VLOOKUP($A71,main!$A$3:$H$102,8,FALSE),VLOOKUP(BV$1,main!$A$3:$H$102,4,FALSE),VLOOKUP(BV$1,main!$A$3:$H$102,4,FALSE)+VLOOKUP($A71,main!$A$3:$H$102,4,FALSE)+(VLOOKUP(VLOOKUP(BV$1,main!$A$3:$H$102,8,FALSE),main!$K$19:$O$22,MATCH(VLOOKUP($A71,main!$A$3:$H$102,7,FALSE),main!$K$18:$O$18,0),0))),0)</f>
        <v>0</v>
      </c>
      <c r="BW71">
        <f>IF((gamma!BW71),IF(VLOOKUP(BW$1,main!$A$3:$H$102,7,FALSE)=VLOOKUP($A71,main!$A$3:$H$102,8,FALSE),VLOOKUP(BW$1,main!$A$3:$H$102,4,FALSE),VLOOKUP(BW$1,main!$A$3:$H$102,4,FALSE)+VLOOKUP($A71,main!$A$3:$H$102,4,FALSE)+(VLOOKUP(VLOOKUP(BW$1,main!$A$3:$H$102,8,FALSE),main!$K$19:$O$22,MATCH(VLOOKUP($A71,main!$A$3:$H$102,7,FALSE),main!$K$18:$O$18,0),0))),0)</f>
        <v>0</v>
      </c>
      <c r="BX71">
        <f>IF((gamma!BX71),IF(VLOOKUP(BX$1,main!$A$3:$H$102,7,FALSE)=VLOOKUP($A71,main!$A$3:$H$102,8,FALSE),VLOOKUP(BX$1,main!$A$3:$H$102,4,FALSE),VLOOKUP(BX$1,main!$A$3:$H$102,4,FALSE)+VLOOKUP($A71,main!$A$3:$H$102,4,FALSE)+(VLOOKUP(VLOOKUP(BX$1,main!$A$3:$H$102,8,FALSE),main!$K$19:$O$22,MATCH(VLOOKUP($A71,main!$A$3:$H$102,7,FALSE),main!$K$18:$O$18,0),0))),0)</f>
        <v>0</v>
      </c>
      <c r="BY71">
        <f>IF((gamma!BY71),IF(VLOOKUP(BY$1,main!$A$3:$H$102,7,FALSE)=VLOOKUP($A71,main!$A$3:$H$102,8,FALSE),VLOOKUP(BY$1,main!$A$3:$H$102,4,FALSE),VLOOKUP(BY$1,main!$A$3:$H$102,4,FALSE)+VLOOKUP($A71,main!$A$3:$H$102,4,FALSE)+(VLOOKUP(VLOOKUP(BY$1,main!$A$3:$H$102,8,FALSE),main!$K$19:$O$22,MATCH(VLOOKUP($A71,main!$A$3:$H$102,7,FALSE),main!$K$18:$O$18,0),0))),0)</f>
        <v>0</v>
      </c>
      <c r="BZ71">
        <f>IF((gamma!BZ71),IF(VLOOKUP(BZ$1,main!$A$3:$H$102,7,FALSE)=VLOOKUP($A71,main!$A$3:$H$102,8,FALSE),VLOOKUP(BZ$1,main!$A$3:$H$102,4,FALSE),VLOOKUP(BZ$1,main!$A$3:$H$102,4,FALSE)+VLOOKUP($A71,main!$A$3:$H$102,4,FALSE)+(VLOOKUP(VLOOKUP(BZ$1,main!$A$3:$H$102,8,FALSE),main!$K$19:$O$22,MATCH(VLOOKUP($A71,main!$A$3:$H$102,7,FALSE),main!$K$18:$O$18,0),0))),0)</f>
        <v>0</v>
      </c>
      <c r="CA71">
        <f>IF((gamma!CA71),IF(VLOOKUP(CA$1,main!$A$3:$H$102,7,FALSE)=VLOOKUP($A71,main!$A$3:$H$102,8,FALSE),VLOOKUP(CA$1,main!$A$3:$H$102,4,FALSE),VLOOKUP(CA$1,main!$A$3:$H$102,4,FALSE)+VLOOKUP($A71,main!$A$3:$H$102,4,FALSE)+(VLOOKUP(VLOOKUP(CA$1,main!$A$3:$H$102,8,FALSE),main!$K$19:$O$22,MATCH(VLOOKUP($A71,main!$A$3:$H$102,7,FALSE),main!$K$18:$O$18,0),0))),0)</f>
        <v>0</v>
      </c>
      <c r="CB71">
        <f>IF((gamma!CB71),IF(VLOOKUP(CB$1,main!$A$3:$H$102,7,FALSE)=VLOOKUP($A71,main!$A$3:$H$102,8,FALSE),VLOOKUP(CB$1,main!$A$3:$H$102,4,FALSE),VLOOKUP(CB$1,main!$A$3:$H$102,4,FALSE)+VLOOKUP($A71,main!$A$3:$H$102,4,FALSE)+(VLOOKUP(VLOOKUP(CB$1,main!$A$3:$H$102,8,FALSE),main!$K$19:$O$22,MATCH(VLOOKUP($A71,main!$A$3:$H$102,7,FALSE),main!$K$18:$O$18,0),0))),0)</f>
        <v>0</v>
      </c>
      <c r="CC71">
        <f>IF((gamma!CC71),IF(VLOOKUP(CC$1,main!$A$3:$H$102,7,FALSE)=VLOOKUP($A71,main!$A$3:$H$102,8,FALSE),VLOOKUP(CC$1,main!$A$3:$H$102,4,FALSE),VLOOKUP(CC$1,main!$A$3:$H$102,4,FALSE)+VLOOKUP($A71,main!$A$3:$H$102,4,FALSE)+(VLOOKUP(VLOOKUP(CC$1,main!$A$3:$H$102,8,FALSE),main!$K$19:$O$22,MATCH(VLOOKUP($A71,main!$A$3:$H$102,7,FALSE),main!$K$18:$O$18,0),0))),0)</f>
        <v>189</v>
      </c>
      <c r="CD71">
        <f>IF((gamma!CD71),IF(VLOOKUP(CD$1,main!$A$3:$H$102,7,FALSE)=VLOOKUP($A71,main!$A$3:$H$102,8,FALSE),VLOOKUP(CD$1,main!$A$3:$H$102,4,FALSE),VLOOKUP(CD$1,main!$A$3:$H$102,4,FALSE)+VLOOKUP($A71,main!$A$3:$H$102,4,FALSE)+(VLOOKUP(VLOOKUP(CD$1,main!$A$3:$H$102,8,FALSE),main!$K$19:$O$22,MATCH(VLOOKUP($A71,main!$A$3:$H$102,7,FALSE),main!$K$18:$O$18,0),0))),0)</f>
        <v>0</v>
      </c>
      <c r="CE71">
        <f>IF((gamma!CE71),IF(VLOOKUP(CE$1,main!$A$3:$H$102,7,FALSE)=VLOOKUP($A71,main!$A$3:$H$102,8,FALSE),VLOOKUP(CE$1,main!$A$3:$H$102,4,FALSE),VLOOKUP(CE$1,main!$A$3:$H$102,4,FALSE)+VLOOKUP($A71,main!$A$3:$H$102,4,FALSE)+(VLOOKUP(VLOOKUP(CE$1,main!$A$3:$H$102,8,FALSE),main!$K$19:$O$22,MATCH(VLOOKUP($A71,main!$A$3:$H$102,7,FALSE),main!$K$18:$O$18,0),0))),0)</f>
        <v>0</v>
      </c>
      <c r="CF71">
        <f>IF((gamma!CF71),IF(VLOOKUP(CF$1,main!$A$3:$H$102,7,FALSE)=VLOOKUP($A71,main!$A$3:$H$102,8,FALSE),VLOOKUP(CF$1,main!$A$3:$H$102,4,FALSE),VLOOKUP(CF$1,main!$A$3:$H$102,4,FALSE)+VLOOKUP($A71,main!$A$3:$H$102,4,FALSE)+(VLOOKUP(VLOOKUP(CF$1,main!$A$3:$H$102,8,FALSE),main!$K$19:$O$22,MATCH(VLOOKUP($A71,main!$A$3:$H$102,7,FALSE),main!$K$18:$O$18,0),0))),0)</f>
        <v>0</v>
      </c>
      <c r="CG71">
        <f>IF((gamma!CG71),IF(VLOOKUP(CG$1,main!$A$3:$H$102,7,FALSE)=VLOOKUP($A71,main!$A$3:$H$102,8,FALSE),VLOOKUP(CG$1,main!$A$3:$H$102,4,FALSE),VLOOKUP(CG$1,main!$A$3:$H$102,4,FALSE)+VLOOKUP($A71,main!$A$3:$H$102,4,FALSE)+(VLOOKUP(VLOOKUP(CG$1,main!$A$3:$H$102,8,FALSE),main!$K$19:$O$22,MATCH(VLOOKUP($A71,main!$A$3:$H$102,7,FALSE),main!$K$18:$O$18,0),0))),0)</f>
        <v>0</v>
      </c>
      <c r="CH71">
        <f>IF((gamma!CH71),IF(VLOOKUP(CH$1,main!$A$3:$H$102,7,FALSE)=VLOOKUP($A71,main!$A$3:$H$102,8,FALSE),VLOOKUP(CH$1,main!$A$3:$H$102,4,FALSE),VLOOKUP(CH$1,main!$A$3:$H$102,4,FALSE)+VLOOKUP($A71,main!$A$3:$H$102,4,FALSE)+(VLOOKUP(VLOOKUP(CH$1,main!$A$3:$H$102,8,FALSE),main!$K$19:$O$22,MATCH(VLOOKUP($A71,main!$A$3:$H$102,7,FALSE),main!$K$18:$O$18,0),0))),0)</f>
        <v>271</v>
      </c>
      <c r="CI71">
        <f>IF((gamma!CI71),IF(VLOOKUP(CI$1,main!$A$3:$H$102,7,FALSE)=VLOOKUP($A71,main!$A$3:$H$102,8,FALSE),VLOOKUP(CI$1,main!$A$3:$H$102,4,FALSE),VLOOKUP(CI$1,main!$A$3:$H$102,4,FALSE)+VLOOKUP($A71,main!$A$3:$H$102,4,FALSE)+(VLOOKUP(VLOOKUP(CI$1,main!$A$3:$H$102,8,FALSE),main!$K$19:$O$22,MATCH(VLOOKUP($A71,main!$A$3:$H$102,7,FALSE),main!$K$18:$O$18,0),0))),0)</f>
        <v>271</v>
      </c>
      <c r="CJ71">
        <f>IF((gamma!CJ71),IF(VLOOKUP(CJ$1,main!$A$3:$H$102,7,FALSE)=VLOOKUP($A71,main!$A$3:$H$102,8,FALSE),VLOOKUP(CJ$1,main!$A$3:$H$102,4,FALSE),VLOOKUP(CJ$1,main!$A$3:$H$102,4,FALSE)+VLOOKUP($A71,main!$A$3:$H$102,4,FALSE)+(VLOOKUP(VLOOKUP(CJ$1,main!$A$3:$H$102,8,FALSE),main!$K$19:$O$22,MATCH(VLOOKUP($A71,main!$A$3:$H$102,7,FALSE),main!$K$18:$O$18,0),0))),0)</f>
        <v>0</v>
      </c>
      <c r="CK71">
        <f>IF((gamma!CK71),IF(VLOOKUP(CK$1,main!$A$3:$H$102,7,FALSE)=VLOOKUP($A71,main!$A$3:$H$102,8,FALSE),VLOOKUP(CK$1,main!$A$3:$H$102,4,FALSE),VLOOKUP(CK$1,main!$A$3:$H$102,4,FALSE)+VLOOKUP($A71,main!$A$3:$H$102,4,FALSE)+(VLOOKUP(VLOOKUP(CK$1,main!$A$3:$H$102,8,FALSE),main!$K$19:$O$22,MATCH(VLOOKUP($A71,main!$A$3:$H$102,7,FALSE),main!$K$18:$O$18,0),0))),0)</f>
        <v>0</v>
      </c>
      <c r="CL71">
        <f>IF((gamma!CL71),IF(VLOOKUP(CL$1,main!$A$3:$H$102,7,FALSE)=VLOOKUP($A71,main!$A$3:$H$102,8,FALSE),VLOOKUP(CL$1,main!$A$3:$H$102,4,FALSE),VLOOKUP(CL$1,main!$A$3:$H$102,4,FALSE)+VLOOKUP($A71,main!$A$3:$H$102,4,FALSE)+(VLOOKUP(VLOOKUP(CL$1,main!$A$3:$H$102,8,FALSE),main!$K$19:$O$22,MATCH(VLOOKUP($A71,main!$A$3:$H$102,7,FALSE),main!$K$18:$O$18,0),0))),0)</f>
        <v>0</v>
      </c>
      <c r="CM71">
        <f>IF((gamma!CM71),IF(VLOOKUP(CM$1,main!$A$3:$H$102,7,FALSE)=VLOOKUP($A71,main!$A$3:$H$102,8,FALSE),VLOOKUP(CM$1,main!$A$3:$H$102,4,FALSE),VLOOKUP(CM$1,main!$A$3:$H$102,4,FALSE)+VLOOKUP($A71,main!$A$3:$H$102,4,FALSE)+(VLOOKUP(VLOOKUP(CM$1,main!$A$3:$H$102,8,FALSE),main!$K$19:$O$22,MATCH(VLOOKUP($A71,main!$A$3:$H$102,7,FALSE),main!$K$18:$O$18,0),0))),0)</f>
        <v>231</v>
      </c>
      <c r="CN71">
        <f>IF((gamma!CN71),IF(VLOOKUP(CN$1,main!$A$3:$H$102,7,FALSE)=VLOOKUP($A71,main!$A$3:$H$102,8,FALSE),VLOOKUP(CN$1,main!$A$3:$H$102,4,FALSE),VLOOKUP(CN$1,main!$A$3:$H$102,4,FALSE)+VLOOKUP($A71,main!$A$3:$H$102,4,FALSE)+(VLOOKUP(VLOOKUP(CN$1,main!$A$3:$H$102,8,FALSE),main!$K$19:$O$22,MATCH(VLOOKUP($A71,main!$A$3:$H$102,7,FALSE),main!$K$18:$O$18,0),0))),0)</f>
        <v>227</v>
      </c>
      <c r="CO71">
        <f>IF((gamma!CO71),IF(VLOOKUP(CO$1,main!$A$3:$H$102,7,FALSE)=VLOOKUP($A71,main!$A$3:$H$102,8,FALSE),VLOOKUP(CO$1,main!$A$3:$H$102,4,FALSE),VLOOKUP(CO$1,main!$A$3:$H$102,4,FALSE)+VLOOKUP($A71,main!$A$3:$H$102,4,FALSE)+(VLOOKUP(VLOOKUP(CO$1,main!$A$3:$H$102,8,FALSE),main!$K$19:$O$22,MATCH(VLOOKUP($A71,main!$A$3:$H$102,7,FALSE),main!$K$18:$O$18,0),0))),0)</f>
        <v>0</v>
      </c>
      <c r="CP71">
        <f>IF((gamma!CP71),IF(VLOOKUP(CP$1,main!$A$3:$H$102,7,FALSE)=VLOOKUP($A71,main!$A$3:$H$102,8,FALSE),VLOOKUP(CP$1,main!$A$3:$H$102,4,FALSE),VLOOKUP(CP$1,main!$A$3:$H$102,4,FALSE)+VLOOKUP($A71,main!$A$3:$H$102,4,FALSE)+(VLOOKUP(VLOOKUP(CP$1,main!$A$3:$H$102,8,FALSE),main!$K$19:$O$22,MATCH(VLOOKUP($A71,main!$A$3:$H$102,7,FALSE),main!$K$18:$O$18,0),0))),0)</f>
        <v>0</v>
      </c>
      <c r="CQ71">
        <f>IF((gamma!CQ71),IF(VLOOKUP(CQ$1,main!$A$3:$H$102,7,FALSE)=VLOOKUP($A71,main!$A$3:$H$102,8,FALSE),VLOOKUP(CQ$1,main!$A$3:$H$102,4,FALSE),VLOOKUP(CQ$1,main!$A$3:$H$102,4,FALSE)+VLOOKUP($A71,main!$A$3:$H$102,4,FALSE)+(VLOOKUP(VLOOKUP(CQ$1,main!$A$3:$H$102,8,FALSE),main!$K$19:$O$22,MATCH(VLOOKUP($A71,main!$A$3:$H$102,7,FALSE),main!$K$18:$O$18,0),0))),0)</f>
        <v>0</v>
      </c>
      <c r="CR71">
        <f>IF((gamma!CR71),IF(VLOOKUP(CR$1,main!$A$3:$H$102,7,FALSE)=VLOOKUP($A71,main!$A$3:$H$102,8,FALSE),VLOOKUP(CR$1,main!$A$3:$H$102,4,FALSE),VLOOKUP(CR$1,main!$A$3:$H$102,4,FALSE)+VLOOKUP($A71,main!$A$3:$H$102,4,FALSE)+(VLOOKUP(VLOOKUP(CR$1,main!$A$3:$H$102,8,FALSE),main!$K$19:$O$22,MATCH(VLOOKUP($A71,main!$A$3:$H$102,7,FALSE),main!$K$18:$O$18,0),0))),0)</f>
        <v>236</v>
      </c>
      <c r="CS71">
        <f>IF((gamma!CS71),IF(VLOOKUP(CS$1,main!$A$3:$H$102,7,FALSE)=VLOOKUP($A71,main!$A$3:$H$102,8,FALSE),VLOOKUP(CS$1,main!$A$3:$H$102,4,FALSE),VLOOKUP(CS$1,main!$A$3:$H$102,4,FALSE)+VLOOKUP($A71,main!$A$3:$H$102,4,FALSE)+(VLOOKUP(VLOOKUP(CS$1,main!$A$3:$H$102,8,FALSE),main!$K$19:$O$22,MATCH(VLOOKUP($A71,main!$A$3:$H$102,7,FALSE),main!$K$18:$O$18,0),0))),0)</f>
        <v>236</v>
      </c>
      <c r="CT71">
        <f>IF((gamma!CT71),IF(VLOOKUP(CT$1,main!$A$3:$H$102,7,FALSE)=VLOOKUP($A71,main!$A$3:$H$102,8,FALSE),VLOOKUP(CT$1,main!$A$3:$H$102,4,FALSE),VLOOKUP(CT$1,main!$A$3:$H$102,4,FALSE)+VLOOKUP($A71,main!$A$3:$H$102,4,FALSE)+(VLOOKUP(VLOOKUP(CT$1,main!$A$3:$H$102,8,FALSE),main!$K$19:$O$22,MATCH(VLOOKUP($A71,main!$A$3:$H$102,7,FALSE),main!$K$18:$O$18,0),0))),0)</f>
        <v>0</v>
      </c>
      <c r="CU71">
        <f>IF((gamma!CU71),IF(VLOOKUP(CU$1,main!$A$3:$H$102,7,FALSE)=VLOOKUP($A71,main!$A$3:$H$102,8,FALSE),VLOOKUP(CU$1,main!$A$3:$H$102,4,FALSE),VLOOKUP(CU$1,main!$A$3:$H$102,4,FALSE)+VLOOKUP($A71,main!$A$3:$H$102,4,FALSE)+(VLOOKUP(VLOOKUP(CU$1,main!$A$3:$H$102,8,FALSE),main!$K$19:$O$22,MATCH(VLOOKUP($A71,main!$A$3:$H$102,7,FALSE),main!$K$18:$O$18,0),0))),0)</f>
        <v>0</v>
      </c>
      <c r="CV71">
        <f>IF((gamma!CV71),IF(VLOOKUP(CV$1,main!$A$3:$H$102,7,FALSE)=VLOOKUP($A71,main!$A$3:$H$102,8,FALSE),VLOOKUP(CV$1,main!$A$3:$H$102,4,FALSE),VLOOKUP(CV$1,main!$A$3:$H$102,4,FALSE)+VLOOKUP($A71,main!$A$3:$H$102,4,FALSE)+(VLOOKUP(VLOOKUP(CV$1,main!$A$3:$H$102,8,FALSE),main!$K$19:$O$22,MATCH(VLOOKUP($A71,main!$A$3:$H$102,7,FALSE),main!$K$18:$O$18,0),0))),0)</f>
        <v>0</v>
      </c>
      <c r="CW71">
        <f>IF((gamma!CW71),IF(VLOOKUP(CW$1,main!$A$3:$H$102,7,FALSE)=VLOOKUP($A71,main!$A$3:$H$102,8,FALSE),VLOOKUP(CW$1,main!$A$3:$H$102,4,FALSE),VLOOKUP(CW$1,main!$A$3:$H$102,4,FALSE)+VLOOKUP($A71,main!$A$3:$H$102,4,FALSE)+(VLOOKUP(VLOOKUP(CW$1,main!$A$3:$H$102,8,FALSE),main!$K$19:$O$22,MATCH(VLOOKUP($A71,main!$A$3:$H$102,7,FALSE),main!$K$18:$O$18,0),0))),0)</f>
        <v>196</v>
      </c>
      <c r="CX71">
        <f>IF((gamma!CX71),IF(VLOOKUP(CX$1,main!$A$3:$H$102,7,FALSE)=VLOOKUP($A71,main!$A$3:$H$102,8,FALSE),VLOOKUP(CX$1,main!$A$3:$H$102,4,FALSE),VLOOKUP(CX$1,main!$A$3:$H$102,4,FALSE)+VLOOKUP($A71,main!$A$3:$H$102,4,FALSE)+(VLOOKUP(VLOOKUP(CX$1,main!$A$3:$H$102,8,FALSE),main!$K$19:$O$22,MATCH(VLOOKUP($A71,main!$A$3:$H$102,7,FALSE),main!$K$18:$O$18,0),0))),0)</f>
        <v>186</v>
      </c>
      <c r="CY71">
        <v>0</v>
      </c>
      <c r="CZ71">
        <v>0</v>
      </c>
      <c r="DA71">
        <v>0</v>
      </c>
    </row>
    <row r="72" spans="1:105" x14ac:dyDescent="0.25">
      <c r="A72" s="1">
        <v>70</v>
      </c>
      <c r="B72">
        <v>0</v>
      </c>
      <c r="C72">
        <f>IF((gamma!C72),IF(VLOOKUP(C$1,main!$A$3:$H$102,7,FALSE)=VLOOKUP($A72,main!$A$3:$H$102,8,FALSE),VLOOKUP(C$1,main!$A$3:$H$102,4,FALSE),VLOOKUP(C$1,main!$A$3:$H$102,4,FALSE)+VLOOKUP($A72,main!$A$3:$H$102,4,FALSE)+(VLOOKUP(VLOOKUP(C$1,main!$A$3:$H$102,8,FALSE),main!$K$19:$O$22,MATCH(VLOOKUP($A72,main!$A$3:$H$102,7,FALSE),main!$K$18:$O$18,0),0))),0)</f>
        <v>0</v>
      </c>
      <c r="D72">
        <f>IF((gamma!D72),IF(VLOOKUP(D$1,main!$A$3:$H$102,7,FALSE)=VLOOKUP($A72,main!$A$3:$H$102,8,FALSE),VLOOKUP(D$1,main!$A$3:$H$102,4,FALSE),VLOOKUP(D$1,main!$A$3:$H$102,4,FALSE)+VLOOKUP($A72,main!$A$3:$H$102,4,FALSE)+(VLOOKUP(VLOOKUP(D$1,main!$A$3:$H$102,8,FALSE),main!$K$19:$O$22,MATCH(VLOOKUP($A72,main!$A$3:$H$102,7,FALSE),main!$K$18:$O$18,0),0))),0)</f>
        <v>0</v>
      </c>
      <c r="E72">
        <f>IF((gamma!E72),IF(VLOOKUP(E$1,main!$A$3:$H$102,7,FALSE)=VLOOKUP($A72,main!$A$3:$H$102,8,FALSE),VLOOKUP(E$1,main!$A$3:$H$102,4,FALSE),VLOOKUP(E$1,main!$A$3:$H$102,4,FALSE)+VLOOKUP($A72,main!$A$3:$H$102,4,FALSE)+(VLOOKUP(VLOOKUP(E$1,main!$A$3:$H$102,8,FALSE),main!$K$19:$O$22,MATCH(VLOOKUP($A72,main!$A$3:$H$102,7,FALSE),main!$K$18:$O$18,0),0))),0)</f>
        <v>0</v>
      </c>
      <c r="F72">
        <f>IF((gamma!F72),IF(VLOOKUP(F$1,main!$A$3:$H$102,7,FALSE)=VLOOKUP($A72,main!$A$3:$H$102,8,FALSE),VLOOKUP(F$1,main!$A$3:$H$102,4,FALSE),VLOOKUP(F$1,main!$A$3:$H$102,4,FALSE)+VLOOKUP($A72,main!$A$3:$H$102,4,FALSE)+(VLOOKUP(VLOOKUP(F$1,main!$A$3:$H$102,8,FALSE),main!$K$19:$O$22,MATCH(VLOOKUP($A72,main!$A$3:$H$102,7,FALSE),main!$K$18:$O$18,0),0))),0)</f>
        <v>0</v>
      </c>
      <c r="G72">
        <f>IF((gamma!G72),IF(VLOOKUP(G$1,main!$A$3:$H$102,7,FALSE)=VLOOKUP($A72,main!$A$3:$H$102,8,FALSE),VLOOKUP(G$1,main!$A$3:$H$102,4,FALSE),VLOOKUP(G$1,main!$A$3:$H$102,4,FALSE)+VLOOKUP($A72,main!$A$3:$H$102,4,FALSE)+(VLOOKUP(VLOOKUP(G$1,main!$A$3:$H$102,8,FALSE),main!$K$19:$O$22,MATCH(VLOOKUP($A72,main!$A$3:$H$102,7,FALSE),main!$K$18:$O$18,0),0))),0)</f>
        <v>0</v>
      </c>
      <c r="H72">
        <f>IF((gamma!H72),IF(VLOOKUP(H$1,main!$A$3:$H$102,7,FALSE)=VLOOKUP($A72,main!$A$3:$H$102,8,FALSE),VLOOKUP(H$1,main!$A$3:$H$102,4,FALSE),VLOOKUP(H$1,main!$A$3:$H$102,4,FALSE)+VLOOKUP($A72,main!$A$3:$H$102,4,FALSE)+(VLOOKUP(VLOOKUP(H$1,main!$A$3:$H$102,8,FALSE),main!$K$19:$O$22,MATCH(VLOOKUP($A72,main!$A$3:$H$102,7,FALSE),main!$K$18:$O$18,0),0))),0)</f>
        <v>0</v>
      </c>
      <c r="I72">
        <f>IF((gamma!I72),IF(VLOOKUP(I$1,main!$A$3:$H$102,7,FALSE)=VLOOKUP($A72,main!$A$3:$H$102,8,FALSE),VLOOKUP(I$1,main!$A$3:$H$102,4,FALSE),VLOOKUP(I$1,main!$A$3:$H$102,4,FALSE)+VLOOKUP($A72,main!$A$3:$H$102,4,FALSE)+(VLOOKUP(VLOOKUP(I$1,main!$A$3:$H$102,8,FALSE),main!$K$19:$O$22,MATCH(VLOOKUP($A72,main!$A$3:$H$102,7,FALSE),main!$K$18:$O$18,0),0))),0)</f>
        <v>0</v>
      </c>
      <c r="J72">
        <f>IF((gamma!J72),IF(VLOOKUP(J$1,main!$A$3:$H$102,7,FALSE)=VLOOKUP($A72,main!$A$3:$H$102,8,FALSE),VLOOKUP(J$1,main!$A$3:$H$102,4,FALSE),VLOOKUP(J$1,main!$A$3:$H$102,4,FALSE)+VLOOKUP($A72,main!$A$3:$H$102,4,FALSE)+(VLOOKUP(VLOOKUP(J$1,main!$A$3:$H$102,8,FALSE),main!$K$19:$O$22,MATCH(VLOOKUP($A72,main!$A$3:$H$102,7,FALSE),main!$K$18:$O$18,0),0))),0)</f>
        <v>0</v>
      </c>
      <c r="K72">
        <f>IF((gamma!K72),IF(VLOOKUP(K$1,main!$A$3:$H$102,7,FALSE)=VLOOKUP($A72,main!$A$3:$H$102,8,FALSE),VLOOKUP(K$1,main!$A$3:$H$102,4,FALSE),VLOOKUP(K$1,main!$A$3:$H$102,4,FALSE)+VLOOKUP($A72,main!$A$3:$H$102,4,FALSE)+(VLOOKUP(VLOOKUP(K$1,main!$A$3:$H$102,8,FALSE),main!$K$19:$O$22,MATCH(VLOOKUP($A72,main!$A$3:$H$102,7,FALSE),main!$K$18:$O$18,0),0))),0)</f>
        <v>283</v>
      </c>
      <c r="L72">
        <f>IF((gamma!L72),IF(VLOOKUP(L$1,main!$A$3:$H$102,7,FALSE)=VLOOKUP($A72,main!$A$3:$H$102,8,FALSE),VLOOKUP(L$1,main!$A$3:$H$102,4,FALSE),VLOOKUP(L$1,main!$A$3:$H$102,4,FALSE)+VLOOKUP($A72,main!$A$3:$H$102,4,FALSE)+(VLOOKUP(VLOOKUP(L$1,main!$A$3:$H$102,8,FALSE),main!$K$19:$O$22,MATCH(VLOOKUP($A72,main!$A$3:$H$102,7,FALSE),main!$K$18:$O$18,0),0))),0)</f>
        <v>283</v>
      </c>
      <c r="M72">
        <f>IF((gamma!M72),IF(VLOOKUP(M$1,main!$A$3:$H$102,7,FALSE)=VLOOKUP($A72,main!$A$3:$H$102,8,FALSE),VLOOKUP(M$1,main!$A$3:$H$102,4,FALSE),VLOOKUP(M$1,main!$A$3:$H$102,4,FALSE)+VLOOKUP($A72,main!$A$3:$H$102,4,FALSE)+(VLOOKUP(VLOOKUP(M$1,main!$A$3:$H$102,8,FALSE),main!$K$19:$O$22,MATCH(VLOOKUP($A72,main!$A$3:$H$102,7,FALSE),main!$K$18:$O$18,0),0))),0)</f>
        <v>0</v>
      </c>
      <c r="N72">
        <f>IF((gamma!N72),IF(VLOOKUP(N$1,main!$A$3:$H$102,7,FALSE)=VLOOKUP($A72,main!$A$3:$H$102,8,FALSE),VLOOKUP(N$1,main!$A$3:$H$102,4,FALSE),VLOOKUP(N$1,main!$A$3:$H$102,4,FALSE)+VLOOKUP($A72,main!$A$3:$H$102,4,FALSE)+(VLOOKUP(VLOOKUP(N$1,main!$A$3:$H$102,8,FALSE),main!$K$19:$O$22,MATCH(VLOOKUP($A72,main!$A$3:$H$102,7,FALSE),main!$K$18:$O$18,0),0))),0)</f>
        <v>0</v>
      </c>
      <c r="O72">
        <f>IF((gamma!O72),IF(VLOOKUP(O$1,main!$A$3:$H$102,7,FALSE)=VLOOKUP($A72,main!$A$3:$H$102,8,FALSE),VLOOKUP(O$1,main!$A$3:$H$102,4,FALSE),VLOOKUP(O$1,main!$A$3:$H$102,4,FALSE)+VLOOKUP($A72,main!$A$3:$H$102,4,FALSE)+(VLOOKUP(VLOOKUP(O$1,main!$A$3:$H$102,8,FALSE),main!$K$19:$O$22,MATCH(VLOOKUP($A72,main!$A$3:$H$102,7,FALSE),main!$K$18:$O$18,0),0))),0)</f>
        <v>0</v>
      </c>
      <c r="P72">
        <f>IF((gamma!P72),IF(VLOOKUP(P$1,main!$A$3:$H$102,7,FALSE)=VLOOKUP($A72,main!$A$3:$H$102,8,FALSE),VLOOKUP(P$1,main!$A$3:$H$102,4,FALSE),VLOOKUP(P$1,main!$A$3:$H$102,4,FALSE)+VLOOKUP($A72,main!$A$3:$H$102,4,FALSE)+(VLOOKUP(VLOOKUP(P$1,main!$A$3:$H$102,8,FALSE),main!$K$19:$O$22,MATCH(VLOOKUP($A72,main!$A$3:$H$102,7,FALSE),main!$K$18:$O$18,0),0))),0)</f>
        <v>0</v>
      </c>
      <c r="Q72">
        <f>IF((gamma!Q72),IF(VLOOKUP(Q$1,main!$A$3:$H$102,7,FALSE)=VLOOKUP($A72,main!$A$3:$H$102,8,FALSE),VLOOKUP(Q$1,main!$A$3:$H$102,4,FALSE),VLOOKUP(Q$1,main!$A$3:$H$102,4,FALSE)+VLOOKUP($A72,main!$A$3:$H$102,4,FALSE)+(VLOOKUP(VLOOKUP(Q$1,main!$A$3:$H$102,8,FALSE),main!$K$19:$O$22,MATCH(VLOOKUP($A72,main!$A$3:$H$102,7,FALSE),main!$K$18:$O$18,0),0))),0)</f>
        <v>0</v>
      </c>
      <c r="R72">
        <f>IF((gamma!R72),IF(VLOOKUP(R$1,main!$A$3:$H$102,7,FALSE)=VLOOKUP($A72,main!$A$3:$H$102,8,FALSE),VLOOKUP(R$1,main!$A$3:$H$102,4,FALSE),VLOOKUP(R$1,main!$A$3:$H$102,4,FALSE)+VLOOKUP($A72,main!$A$3:$H$102,4,FALSE)+(VLOOKUP(VLOOKUP(R$1,main!$A$3:$H$102,8,FALSE),main!$K$19:$O$22,MATCH(VLOOKUP($A72,main!$A$3:$H$102,7,FALSE),main!$K$18:$O$18,0),0))),0)</f>
        <v>0</v>
      </c>
      <c r="S72">
        <f>IF((gamma!S72),IF(VLOOKUP(S$1,main!$A$3:$H$102,7,FALSE)=VLOOKUP($A72,main!$A$3:$H$102,8,FALSE),VLOOKUP(S$1,main!$A$3:$H$102,4,FALSE),VLOOKUP(S$1,main!$A$3:$H$102,4,FALSE)+VLOOKUP($A72,main!$A$3:$H$102,4,FALSE)+(VLOOKUP(VLOOKUP(S$1,main!$A$3:$H$102,8,FALSE),main!$K$19:$O$22,MATCH(VLOOKUP($A72,main!$A$3:$H$102,7,FALSE),main!$K$18:$O$18,0),0))),0)</f>
        <v>0</v>
      </c>
      <c r="T72">
        <f>IF((gamma!T72),IF(VLOOKUP(T$1,main!$A$3:$H$102,7,FALSE)=VLOOKUP($A72,main!$A$3:$H$102,8,FALSE),VLOOKUP(T$1,main!$A$3:$H$102,4,FALSE),VLOOKUP(T$1,main!$A$3:$H$102,4,FALSE)+VLOOKUP($A72,main!$A$3:$H$102,4,FALSE)+(VLOOKUP(VLOOKUP(T$1,main!$A$3:$H$102,8,FALSE),main!$K$19:$O$22,MATCH(VLOOKUP($A72,main!$A$3:$H$102,7,FALSE),main!$K$18:$O$18,0),0))),0)</f>
        <v>0</v>
      </c>
      <c r="U72">
        <f>IF((gamma!U72),IF(VLOOKUP(U$1,main!$A$3:$H$102,7,FALSE)=VLOOKUP($A72,main!$A$3:$H$102,8,FALSE),VLOOKUP(U$1,main!$A$3:$H$102,4,FALSE),VLOOKUP(U$1,main!$A$3:$H$102,4,FALSE)+VLOOKUP($A72,main!$A$3:$H$102,4,FALSE)+(VLOOKUP(VLOOKUP(U$1,main!$A$3:$H$102,8,FALSE),main!$K$19:$O$22,MATCH(VLOOKUP($A72,main!$A$3:$H$102,7,FALSE),main!$K$18:$O$18,0),0))),0)</f>
        <v>260</v>
      </c>
      <c r="V72">
        <f>IF((gamma!V72),IF(VLOOKUP(V$1,main!$A$3:$H$102,7,FALSE)=VLOOKUP($A72,main!$A$3:$H$102,8,FALSE),VLOOKUP(V$1,main!$A$3:$H$102,4,FALSE),VLOOKUP(V$1,main!$A$3:$H$102,4,FALSE)+VLOOKUP($A72,main!$A$3:$H$102,4,FALSE)+(VLOOKUP(VLOOKUP(V$1,main!$A$3:$H$102,8,FALSE),main!$K$19:$O$22,MATCH(VLOOKUP($A72,main!$A$3:$H$102,7,FALSE),main!$K$18:$O$18,0),0))),0)</f>
        <v>260</v>
      </c>
      <c r="W72">
        <f>IF((gamma!W72),IF(VLOOKUP(W$1,main!$A$3:$H$102,7,FALSE)=VLOOKUP($A72,main!$A$3:$H$102,8,FALSE),VLOOKUP(W$1,main!$A$3:$H$102,4,FALSE),VLOOKUP(W$1,main!$A$3:$H$102,4,FALSE)+VLOOKUP($A72,main!$A$3:$H$102,4,FALSE)+(VLOOKUP(VLOOKUP(W$1,main!$A$3:$H$102,8,FALSE),main!$K$19:$O$22,MATCH(VLOOKUP($A72,main!$A$3:$H$102,7,FALSE),main!$K$18:$O$18,0),0))),0)</f>
        <v>0</v>
      </c>
      <c r="X72">
        <f>IF((gamma!X72),IF(VLOOKUP(X$1,main!$A$3:$H$102,7,FALSE)=VLOOKUP($A72,main!$A$3:$H$102,8,FALSE),VLOOKUP(X$1,main!$A$3:$H$102,4,FALSE),VLOOKUP(X$1,main!$A$3:$H$102,4,FALSE)+VLOOKUP($A72,main!$A$3:$H$102,4,FALSE)+(VLOOKUP(VLOOKUP(X$1,main!$A$3:$H$102,8,FALSE),main!$K$19:$O$22,MATCH(VLOOKUP($A72,main!$A$3:$H$102,7,FALSE),main!$K$18:$O$18,0),0))),0)</f>
        <v>0</v>
      </c>
      <c r="Y72">
        <f>IF((gamma!Y72),IF(VLOOKUP(Y$1,main!$A$3:$H$102,7,FALSE)=VLOOKUP($A72,main!$A$3:$H$102,8,FALSE),VLOOKUP(Y$1,main!$A$3:$H$102,4,FALSE),VLOOKUP(Y$1,main!$A$3:$H$102,4,FALSE)+VLOOKUP($A72,main!$A$3:$H$102,4,FALSE)+(VLOOKUP(VLOOKUP(Y$1,main!$A$3:$H$102,8,FALSE),main!$K$19:$O$22,MATCH(VLOOKUP($A72,main!$A$3:$H$102,7,FALSE),main!$K$18:$O$18,0),0))),0)</f>
        <v>0</v>
      </c>
      <c r="Z72">
        <f>IF((gamma!Z72),IF(VLOOKUP(Z$1,main!$A$3:$H$102,7,FALSE)=VLOOKUP($A72,main!$A$3:$H$102,8,FALSE),VLOOKUP(Z$1,main!$A$3:$H$102,4,FALSE),VLOOKUP(Z$1,main!$A$3:$H$102,4,FALSE)+VLOOKUP($A72,main!$A$3:$H$102,4,FALSE)+(VLOOKUP(VLOOKUP(Z$1,main!$A$3:$H$102,8,FALSE),main!$K$19:$O$22,MATCH(VLOOKUP($A72,main!$A$3:$H$102,7,FALSE),main!$K$18:$O$18,0),0))),0)</f>
        <v>0</v>
      </c>
      <c r="AA72">
        <f>IF((gamma!AA72),IF(VLOOKUP(AA$1,main!$A$3:$H$102,7,FALSE)=VLOOKUP($A72,main!$A$3:$H$102,8,FALSE),VLOOKUP(AA$1,main!$A$3:$H$102,4,FALSE),VLOOKUP(AA$1,main!$A$3:$H$102,4,FALSE)+VLOOKUP($A72,main!$A$3:$H$102,4,FALSE)+(VLOOKUP(VLOOKUP(AA$1,main!$A$3:$H$102,8,FALSE),main!$K$19:$O$22,MATCH(VLOOKUP($A72,main!$A$3:$H$102,7,FALSE),main!$K$18:$O$18,0),0))),0)</f>
        <v>293</v>
      </c>
      <c r="AB72">
        <f>IF((gamma!AB72),IF(VLOOKUP(AB$1,main!$A$3:$H$102,7,FALSE)=VLOOKUP($A72,main!$A$3:$H$102,8,FALSE),VLOOKUP(AB$1,main!$A$3:$H$102,4,FALSE),VLOOKUP(AB$1,main!$A$3:$H$102,4,FALSE)+VLOOKUP($A72,main!$A$3:$H$102,4,FALSE)+(VLOOKUP(VLOOKUP(AB$1,main!$A$3:$H$102,8,FALSE),main!$K$19:$O$22,MATCH(VLOOKUP($A72,main!$A$3:$H$102,7,FALSE),main!$K$18:$O$18,0),0))),0)</f>
        <v>0</v>
      </c>
      <c r="AC72">
        <f>IF((gamma!AC72),IF(VLOOKUP(AC$1,main!$A$3:$H$102,7,FALSE)=VLOOKUP($A72,main!$A$3:$H$102,8,FALSE),VLOOKUP(AC$1,main!$A$3:$H$102,4,FALSE),VLOOKUP(AC$1,main!$A$3:$H$102,4,FALSE)+VLOOKUP($A72,main!$A$3:$H$102,4,FALSE)+(VLOOKUP(VLOOKUP(AC$1,main!$A$3:$H$102,8,FALSE),main!$K$19:$O$22,MATCH(VLOOKUP($A72,main!$A$3:$H$102,7,FALSE),main!$K$18:$O$18,0),0))),0)</f>
        <v>0</v>
      </c>
      <c r="AD72">
        <f>IF((gamma!AD72),IF(VLOOKUP(AD$1,main!$A$3:$H$102,7,FALSE)=VLOOKUP($A72,main!$A$3:$H$102,8,FALSE),VLOOKUP(AD$1,main!$A$3:$H$102,4,FALSE),VLOOKUP(AD$1,main!$A$3:$H$102,4,FALSE)+VLOOKUP($A72,main!$A$3:$H$102,4,FALSE)+(VLOOKUP(VLOOKUP(AD$1,main!$A$3:$H$102,8,FALSE),main!$K$19:$O$22,MATCH(VLOOKUP($A72,main!$A$3:$H$102,7,FALSE),main!$K$18:$O$18,0),0))),0)</f>
        <v>0</v>
      </c>
      <c r="AE72">
        <f>IF((gamma!AE72),IF(VLOOKUP(AE$1,main!$A$3:$H$102,7,FALSE)=VLOOKUP($A72,main!$A$3:$H$102,8,FALSE),VLOOKUP(AE$1,main!$A$3:$H$102,4,FALSE),VLOOKUP(AE$1,main!$A$3:$H$102,4,FALSE)+VLOOKUP($A72,main!$A$3:$H$102,4,FALSE)+(VLOOKUP(VLOOKUP(AE$1,main!$A$3:$H$102,8,FALSE),main!$K$19:$O$22,MATCH(VLOOKUP($A72,main!$A$3:$H$102,7,FALSE),main!$K$18:$O$18,0),0))),0)</f>
        <v>0</v>
      </c>
      <c r="AF72">
        <f>IF((gamma!AF72),IF(VLOOKUP(AF$1,main!$A$3:$H$102,7,FALSE)=VLOOKUP($A72,main!$A$3:$H$102,8,FALSE),VLOOKUP(AF$1,main!$A$3:$H$102,4,FALSE),VLOOKUP(AF$1,main!$A$3:$H$102,4,FALSE)+VLOOKUP($A72,main!$A$3:$H$102,4,FALSE)+(VLOOKUP(VLOOKUP(AF$1,main!$A$3:$H$102,8,FALSE),main!$K$19:$O$22,MATCH(VLOOKUP($A72,main!$A$3:$H$102,7,FALSE),main!$K$18:$O$18,0),0))),0)</f>
        <v>253</v>
      </c>
      <c r="AG72">
        <f>IF((gamma!AG72),IF(VLOOKUP(AG$1,main!$A$3:$H$102,7,FALSE)=VLOOKUP($A72,main!$A$3:$H$102,8,FALSE),VLOOKUP(AG$1,main!$A$3:$H$102,4,FALSE),VLOOKUP(AG$1,main!$A$3:$H$102,4,FALSE)+VLOOKUP($A72,main!$A$3:$H$102,4,FALSE)+(VLOOKUP(VLOOKUP(AG$1,main!$A$3:$H$102,8,FALSE),main!$K$19:$O$22,MATCH(VLOOKUP($A72,main!$A$3:$H$102,7,FALSE),main!$K$18:$O$18,0),0))),0)</f>
        <v>0</v>
      </c>
      <c r="AH72">
        <f>IF((gamma!AH72),IF(VLOOKUP(AH$1,main!$A$3:$H$102,7,FALSE)=VLOOKUP($A72,main!$A$3:$H$102,8,FALSE),VLOOKUP(AH$1,main!$A$3:$H$102,4,FALSE),VLOOKUP(AH$1,main!$A$3:$H$102,4,FALSE)+VLOOKUP($A72,main!$A$3:$H$102,4,FALSE)+(VLOOKUP(VLOOKUP(AH$1,main!$A$3:$H$102,8,FALSE),main!$K$19:$O$22,MATCH(VLOOKUP($A72,main!$A$3:$H$102,7,FALSE),main!$K$18:$O$18,0),0))),0)</f>
        <v>0</v>
      </c>
      <c r="AI72">
        <f>IF((gamma!AI72),IF(VLOOKUP(AI$1,main!$A$3:$H$102,7,FALSE)=VLOOKUP($A72,main!$A$3:$H$102,8,FALSE),VLOOKUP(AI$1,main!$A$3:$H$102,4,FALSE),VLOOKUP(AI$1,main!$A$3:$H$102,4,FALSE)+VLOOKUP($A72,main!$A$3:$H$102,4,FALSE)+(VLOOKUP(VLOOKUP(AI$1,main!$A$3:$H$102,8,FALSE),main!$K$19:$O$22,MATCH(VLOOKUP($A72,main!$A$3:$H$102,7,FALSE),main!$K$18:$O$18,0),0))),0)</f>
        <v>0</v>
      </c>
      <c r="AJ72">
        <f>IF((gamma!AJ72),IF(VLOOKUP(AJ$1,main!$A$3:$H$102,7,FALSE)=VLOOKUP($A72,main!$A$3:$H$102,8,FALSE),VLOOKUP(AJ$1,main!$A$3:$H$102,4,FALSE),VLOOKUP(AJ$1,main!$A$3:$H$102,4,FALSE)+VLOOKUP($A72,main!$A$3:$H$102,4,FALSE)+(VLOOKUP(VLOOKUP(AJ$1,main!$A$3:$H$102,8,FALSE),main!$K$19:$O$22,MATCH(VLOOKUP($A72,main!$A$3:$H$102,7,FALSE),main!$K$18:$O$18,0),0))),0)</f>
        <v>0</v>
      </c>
      <c r="AK72">
        <f>IF((gamma!AK72),IF(VLOOKUP(AK$1,main!$A$3:$H$102,7,FALSE)=VLOOKUP($A72,main!$A$3:$H$102,8,FALSE),VLOOKUP(AK$1,main!$A$3:$H$102,4,FALSE),VLOOKUP(AK$1,main!$A$3:$H$102,4,FALSE)+VLOOKUP($A72,main!$A$3:$H$102,4,FALSE)+(VLOOKUP(VLOOKUP(AK$1,main!$A$3:$H$102,8,FALSE),main!$K$19:$O$22,MATCH(VLOOKUP($A72,main!$A$3:$H$102,7,FALSE),main!$K$18:$O$18,0),0))),0)</f>
        <v>0</v>
      </c>
      <c r="AL72">
        <f>IF((gamma!AL72),IF(VLOOKUP(AL$1,main!$A$3:$H$102,7,FALSE)=VLOOKUP($A72,main!$A$3:$H$102,8,FALSE),VLOOKUP(AL$1,main!$A$3:$H$102,4,FALSE),VLOOKUP(AL$1,main!$A$3:$H$102,4,FALSE)+VLOOKUP($A72,main!$A$3:$H$102,4,FALSE)+(VLOOKUP(VLOOKUP(AL$1,main!$A$3:$H$102,8,FALSE),main!$K$19:$O$22,MATCH(VLOOKUP($A72,main!$A$3:$H$102,7,FALSE),main!$K$18:$O$18,0),0))),0)</f>
        <v>0</v>
      </c>
      <c r="AM72">
        <f>IF((gamma!AM72),IF(VLOOKUP(AM$1,main!$A$3:$H$102,7,FALSE)=VLOOKUP($A72,main!$A$3:$H$102,8,FALSE),VLOOKUP(AM$1,main!$A$3:$H$102,4,FALSE),VLOOKUP(AM$1,main!$A$3:$H$102,4,FALSE)+VLOOKUP($A72,main!$A$3:$H$102,4,FALSE)+(VLOOKUP(VLOOKUP(AM$1,main!$A$3:$H$102,8,FALSE),main!$K$19:$O$22,MATCH(VLOOKUP($A72,main!$A$3:$H$102,7,FALSE),main!$K$18:$O$18,0),0))),0)</f>
        <v>135</v>
      </c>
      <c r="AN72">
        <f>IF((gamma!AN72),IF(VLOOKUP(AN$1,main!$A$3:$H$102,7,FALSE)=VLOOKUP($A72,main!$A$3:$H$102,8,FALSE),VLOOKUP(AN$1,main!$A$3:$H$102,4,FALSE),VLOOKUP(AN$1,main!$A$3:$H$102,4,FALSE)+VLOOKUP($A72,main!$A$3:$H$102,4,FALSE)+(VLOOKUP(VLOOKUP(AN$1,main!$A$3:$H$102,8,FALSE),main!$K$19:$O$22,MATCH(VLOOKUP($A72,main!$A$3:$H$102,7,FALSE),main!$K$18:$O$18,0),0))),0)</f>
        <v>135</v>
      </c>
      <c r="AO72">
        <f>IF((gamma!AO72),IF(VLOOKUP(AO$1,main!$A$3:$H$102,7,FALSE)=VLOOKUP($A72,main!$A$3:$H$102,8,FALSE),VLOOKUP(AO$1,main!$A$3:$H$102,4,FALSE),VLOOKUP(AO$1,main!$A$3:$H$102,4,FALSE)+VLOOKUP($A72,main!$A$3:$H$102,4,FALSE)+(VLOOKUP(VLOOKUP(AO$1,main!$A$3:$H$102,8,FALSE),main!$K$19:$O$22,MATCH(VLOOKUP($A72,main!$A$3:$H$102,7,FALSE),main!$K$18:$O$18,0),0))),0)</f>
        <v>0</v>
      </c>
      <c r="AP72">
        <f>IF((gamma!AP72),IF(VLOOKUP(AP$1,main!$A$3:$H$102,7,FALSE)=VLOOKUP($A72,main!$A$3:$H$102,8,FALSE),VLOOKUP(AP$1,main!$A$3:$H$102,4,FALSE),VLOOKUP(AP$1,main!$A$3:$H$102,4,FALSE)+VLOOKUP($A72,main!$A$3:$H$102,4,FALSE)+(VLOOKUP(VLOOKUP(AP$1,main!$A$3:$H$102,8,FALSE),main!$K$19:$O$22,MATCH(VLOOKUP($A72,main!$A$3:$H$102,7,FALSE),main!$K$18:$O$18,0),0))),0)</f>
        <v>75</v>
      </c>
      <c r="AQ72">
        <f>IF((gamma!AQ72),IF(VLOOKUP(AQ$1,main!$A$3:$H$102,7,FALSE)=VLOOKUP($A72,main!$A$3:$H$102,8,FALSE),VLOOKUP(AQ$1,main!$A$3:$H$102,4,FALSE),VLOOKUP(AQ$1,main!$A$3:$H$102,4,FALSE)+VLOOKUP($A72,main!$A$3:$H$102,4,FALSE)+(VLOOKUP(VLOOKUP(AQ$1,main!$A$3:$H$102,8,FALSE),main!$K$19:$O$22,MATCH(VLOOKUP($A72,main!$A$3:$H$102,7,FALSE),main!$K$18:$O$18,0),0))),0)</f>
        <v>0</v>
      </c>
      <c r="AR72">
        <f>IF((gamma!AR72),IF(VLOOKUP(AR$1,main!$A$3:$H$102,7,FALSE)=VLOOKUP($A72,main!$A$3:$H$102,8,FALSE),VLOOKUP(AR$1,main!$A$3:$H$102,4,FALSE),VLOOKUP(AR$1,main!$A$3:$H$102,4,FALSE)+VLOOKUP($A72,main!$A$3:$H$102,4,FALSE)+(VLOOKUP(VLOOKUP(AR$1,main!$A$3:$H$102,8,FALSE),main!$K$19:$O$22,MATCH(VLOOKUP($A72,main!$A$3:$H$102,7,FALSE),main!$K$18:$O$18,0),0))),0)</f>
        <v>0</v>
      </c>
      <c r="AS72">
        <f>IF((gamma!AS72),IF(VLOOKUP(AS$1,main!$A$3:$H$102,7,FALSE)=VLOOKUP($A72,main!$A$3:$H$102,8,FALSE),VLOOKUP(AS$1,main!$A$3:$H$102,4,FALSE),VLOOKUP(AS$1,main!$A$3:$H$102,4,FALSE)+VLOOKUP($A72,main!$A$3:$H$102,4,FALSE)+(VLOOKUP(VLOOKUP(AS$1,main!$A$3:$H$102,8,FALSE),main!$K$19:$O$22,MATCH(VLOOKUP($A72,main!$A$3:$H$102,7,FALSE),main!$K$18:$O$18,0),0))),0)</f>
        <v>0</v>
      </c>
      <c r="AT72">
        <f>IF((gamma!AT72),IF(VLOOKUP(AT$1,main!$A$3:$H$102,7,FALSE)=VLOOKUP($A72,main!$A$3:$H$102,8,FALSE),VLOOKUP(AT$1,main!$A$3:$H$102,4,FALSE),VLOOKUP(AT$1,main!$A$3:$H$102,4,FALSE)+VLOOKUP($A72,main!$A$3:$H$102,4,FALSE)+(VLOOKUP(VLOOKUP(AT$1,main!$A$3:$H$102,8,FALSE),main!$K$19:$O$22,MATCH(VLOOKUP($A72,main!$A$3:$H$102,7,FALSE),main!$K$18:$O$18,0),0))),0)</f>
        <v>0</v>
      </c>
      <c r="AU72">
        <f>IF((gamma!AU72),IF(VLOOKUP(AU$1,main!$A$3:$H$102,7,FALSE)=VLOOKUP($A72,main!$A$3:$H$102,8,FALSE),VLOOKUP(AU$1,main!$A$3:$H$102,4,FALSE),VLOOKUP(AU$1,main!$A$3:$H$102,4,FALSE)+VLOOKUP($A72,main!$A$3:$H$102,4,FALSE)+(VLOOKUP(VLOOKUP(AU$1,main!$A$3:$H$102,8,FALSE),main!$K$19:$O$22,MATCH(VLOOKUP($A72,main!$A$3:$H$102,7,FALSE),main!$K$18:$O$18,0),0))),0)</f>
        <v>0</v>
      </c>
      <c r="AV72">
        <f>IF((gamma!AV72),IF(VLOOKUP(AV$1,main!$A$3:$H$102,7,FALSE)=VLOOKUP($A72,main!$A$3:$H$102,8,FALSE),VLOOKUP(AV$1,main!$A$3:$H$102,4,FALSE),VLOOKUP(AV$1,main!$A$3:$H$102,4,FALSE)+VLOOKUP($A72,main!$A$3:$H$102,4,FALSE)+(VLOOKUP(VLOOKUP(AV$1,main!$A$3:$H$102,8,FALSE),main!$K$19:$O$22,MATCH(VLOOKUP($A72,main!$A$3:$H$102,7,FALSE),main!$K$18:$O$18,0),0))),0)</f>
        <v>0</v>
      </c>
      <c r="AW72">
        <f>IF((gamma!AW72),IF(VLOOKUP(AW$1,main!$A$3:$H$102,7,FALSE)=VLOOKUP($A72,main!$A$3:$H$102,8,FALSE),VLOOKUP(AW$1,main!$A$3:$H$102,4,FALSE),VLOOKUP(AW$1,main!$A$3:$H$102,4,FALSE)+VLOOKUP($A72,main!$A$3:$H$102,4,FALSE)+(VLOOKUP(VLOOKUP(AW$1,main!$A$3:$H$102,8,FALSE),main!$K$19:$O$22,MATCH(VLOOKUP($A72,main!$A$3:$H$102,7,FALSE),main!$K$18:$O$18,0),0))),0)</f>
        <v>0</v>
      </c>
      <c r="AX72">
        <f>IF((gamma!AX72),IF(VLOOKUP(AX$1,main!$A$3:$H$102,7,FALSE)=VLOOKUP($A72,main!$A$3:$H$102,8,FALSE),VLOOKUP(AX$1,main!$A$3:$H$102,4,FALSE),VLOOKUP(AX$1,main!$A$3:$H$102,4,FALSE)+VLOOKUP($A72,main!$A$3:$H$102,4,FALSE)+(VLOOKUP(VLOOKUP(AX$1,main!$A$3:$H$102,8,FALSE),main!$K$19:$O$22,MATCH(VLOOKUP($A72,main!$A$3:$H$102,7,FALSE),main!$K$18:$O$18,0),0))),0)</f>
        <v>0</v>
      </c>
      <c r="AY72">
        <f>IF((gamma!AY72),IF(VLOOKUP(AY$1,main!$A$3:$H$102,7,FALSE)=VLOOKUP($A72,main!$A$3:$H$102,8,FALSE),VLOOKUP(AY$1,main!$A$3:$H$102,4,FALSE),VLOOKUP(AY$1,main!$A$3:$H$102,4,FALSE)+VLOOKUP($A72,main!$A$3:$H$102,4,FALSE)+(VLOOKUP(VLOOKUP(AY$1,main!$A$3:$H$102,8,FALSE),main!$K$19:$O$22,MATCH(VLOOKUP($A72,main!$A$3:$H$102,7,FALSE),main!$K$18:$O$18,0),0))),0)</f>
        <v>0</v>
      </c>
      <c r="AZ72">
        <f>IF((gamma!AZ72),IF(VLOOKUP(AZ$1,main!$A$3:$H$102,7,FALSE)=VLOOKUP($A72,main!$A$3:$H$102,8,FALSE),VLOOKUP(AZ$1,main!$A$3:$H$102,4,FALSE),VLOOKUP(AZ$1,main!$A$3:$H$102,4,FALSE)+VLOOKUP($A72,main!$A$3:$H$102,4,FALSE)+(VLOOKUP(VLOOKUP(AZ$1,main!$A$3:$H$102,8,FALSE),main!$K$19:$O$22,MATCH(VLOOKUP($A72,main!$A$3:$H$102,7,FALSE),main!$K$18:$O$18,0),0))),0)</f>
        <v>0</v>
      </c>
      <c r="BA72">
        <f>IF((gamma!BA72),IF(VLOOKUP(BA$1,main!$A$3:$H$102,7,FALSE)=VLOOKUP($A72,main!$A$3:$H$102,8,FALSE),VLOOKUP(BA$1,main!$A$3:$H$102,4,FALSE),VLOOKUP(BA$1,main!$A$3:$H$102,4,FALSE)+VLOOKUP($A72,main!$A$3:$H$102,4,FALSE)+(VLOOKUP(VLOOKUP(BA$1,main!$A$3:$H$102,8,FALSE),main!$K$19:$O$22,MATCH(VLOOKUP($A72,main!$A$3:$H$102,7,FALSE),main!$K$18:$O$18,0),0))),0)</f>
        <v>0</v>
      </c>
      <c r="BB72">
        <f>IF((gamma!BB72),IF(VLOOKUP(BB$1,main!$A$3:$H$102,7,FALSE)=VLOOKUP($A72,main!$A$3:$H$102,8,FALSE),VLOOKUP(BB$1,main!$A$3:$H$102,4,FALSE),VLOOKUP(BB$1,main!$A$3:$H$102,4,FALSE)+VLOOKUP($A72,main!$A$3:$H$102,4,FALSE)+(VLOOKUP(VLOOKUP(BB$1,main!$A$3:$H$102,8,FALSE),main!$K$19:$O$22,MATCH(VLOOKUP($A72,main!$A$3:$H$102,7,FALSE),main!$K$18:$O$18,0),0))),0)</f>
        <v>0</v>
      </c>
      <c r="BC72">
        <f>IF((gamma!BC72),IF(VLOOKUP(BC$1,main!$A$3:$H$102,7,FALSE)=VLOOKUP($A72,main!$A$3:$H$102,8,FALSE),VLOOKUP(BC$1,main!$A$3:$H$102,4,FALSE),VLOOKUP(BC$1,main!$A$3:$H$102,4,FALSE)+VLOOKUP($A72,main!$A$3:$H$102,4,FALSE)+(VLOOKUP(VLOOKUP(BC$1,main!$A$3:$H$102,8,FALSE),main!$K$19:$O$22,MATCH(VLOOKUP($A72,main!$A$3:$H$102,7,FALSE),main!$K$18:$O$18,0),0))),0)</f>
        <v>0</v>
      </c>
      <c r="BD72">
        <f>IF((gamma!BD72),IF(VLOOKUP(BD$1,main!$A$3:$H$102,7,FALSE)=VLOOKUP($A72,main!$A$3:$H$102,8,FALSE),VLOOKUP(BD$1,main!$A$3:$H$102,4,FALSE),VLOOKUP(BD$1,main!$A$3:$H$102,4,FALSE)+VLOOKUP($A72,main!$A$3:$H$102,4,FALSE)+(VLOOKUP(VLOOKUP(BD$1,main!$A$3:$H$102,8,FALSE),main!$K$19:$O$22,MATCH(VLOOKUP($A72,main!$A$3:$H$102,7,FALSE),main!$K$18:$O$18,0),0))),0)</f>
        <v>0</v>
      </c>
      <c r="BE72">
        <f>IF((gamma!BE72),IF(VLOOKUP(BE$1,main!$A$3:$H$102,7,FALSE)=VLOOKUP($A72,main!$A$3:$H$102,8,FALSE),VLOOKUP(BE$1,main!$A$3:$H$102,4,FALSE),VLOOKUP(BE$1,main!$A$3:$H$102,4,FALSE)+VLOOKUP($A72,main!$A$3:$H$102,4,FALSE)+(VLOOKUP(VLOOKUP(BE$1,main!$A$3:$H$102,8,FALSE),main!$K$19:$O$22,MATCH(VLOOKUP($A72,main!$A$3:$H$102,7,FALSE),main!$K$18:$O$18,0),0))),0)</f>
        <v>0</v>
      </c>
      <c r="BF72">
        <f>IF((gamma!BF72),IF(VLOOKUP(BF$1,main!$A$3:$H$102,7,FALSE)=VLOOKUP($A72,main!$A$3:$H$102,8,FALSE),VLOOKUP(BF$1,main!$A$3:$H$102,4,FALSE),VLOOKUP(BF$1,main!$A$3:$H$102,4,FALSE)+VLOOKUP($A72,main!$A$3:$H$102,4,FALSE)+(VLOOKUP(VLOOKUP(BF$1,main!$A$3:$H$102,8,FALSE),main!$K$19:$O$22,MATCH(VLOOKUP($A72,main!$A$3:$H$102,7,FALSE),main!$K$18:$O$18,0),0))),0)</f>
        <v>0</v>
      </c>
      <c r="BG72">
        <f>IF((gamma!BG72),IF(VLOOKUP(BG$1,main!$A$3:$H$102,7,FALSE)=VLOOKUP($A72,main!$A$3:$H$102,8,FALSE),VLOOKUP(BG$1,main!$A$3:$H$102,4,FALSE),VLOOKUP(BG$1,main!$A$3:$H$102,4,FALSE)+VLOOKUP($A72,main!$A$3:$H$102,4,FALSE)+(VLOOKUP(VLOOKUP(BG$1,main!$A$3:$H$102,8,FALSE),main!$K$19:$O$22,MATCH(VLOOKUP($A72,main!$A$3:$H$102,7,FALSE),main!$K$18:$O$18,0),0))),0)</f>
        <v>0</v>
      </c>
      <c r="BH72">
        <f>IF((gamma!BH72),IF(VLOOKUP(BH$1,main!$A$3:$H$102,7,FALSE)=VLOOKUP($A72,main!$A$3:$H$102,8,FALSE),VLOOKUP(BH$1,main!$A$3:$H$102,4,FALSE),VLOOKUP(BH$1,main!$A$3:$H$102,4,FALSE)+VLOOKUP($A72,main!$A$3:$H$102,4,FALSE)+(VLOOKUP(VLOOKUP(BH$1,main!$A$3:$H$102,8,FALSE),main!$K$19:$O$22,MATCH(VLOOKUP($A72,main!$A$3:$H$102,7,FALSE),main!$K$18:$O$18,0),0))),0)</f>
        <v>0</v>
      </c>
      <c r="BI72">
        <f>IF((gamma!BI72),IF(VLOOKUP(BI$1,main!$A$3:$H$102,7,FALSE)=VLOOKUP($A72,main!$A$3:$H$102,8,FALSE),VLOOKUP(BI$1,main!$A$3:$H$102,4,FALSE),VLOOKUP(BI$1,main!$A$3:$H$102,4,FALSE)+VLOOKUP($A72,main!$A$3:$H$102,4,FALSE)+(VLOOKUP(VLOOKUP(BI$1,main!$A$3:$H$102,8,FALSE),main!$K$19:$O$22,MATCH(VLOOKUP($A72,main!$A$3:$H$102,7,FALSE),main!$K$18:$O$18,0),0))),0)</f>
        <v>210</v>
      </c>
      <c r="BJ72">
        <f>IF((gamma!BJ72),IF(VLOOKUP(BJ$1,main!$A$3:$H$102,7,FALSE)=VLOOKUP($A72,main!$A$3:$H$102,8,FALSE),VLOOKUP(BJ$1,main!$A$3:$H$102,4,FALSE),VLOOKUP(BJ$1,main!$A$3:$H$102,4,FALSE)+VLOOKUP($A72,main!$A$3:$H$102,4,FALSE)+(VLOOKUP(VLOOKUP(BJ$1,main!$A$3:$H$102,8,FALSE),main!$K$19:$O$22,MATCH(VLOOKUP($A72,main!$A$3:$H$102,7,FALSE),main!$K$18:$O$18,0),0))),0)</f>
        <v>0</v>
      </c>
      <c r="BK72">
        <f>IF((gamma!BK72),IF(VLOOKUP(BK$1,main!$A$3:$H$102,7,FALSE)=VLOOKUP($A72,main!$A$3:$H$102,8,FALSE),VLOOKUP(BK$1,main!$A$3:$H$102,4,FALSE),VLOOKUP(BK$1,main!$A$3:$H$102,4,FALSE)+VLOOKUP($A72,main!$A$3:$H$102,4,FALSE)+(VLOOKUP(VLOOKUP(BK$1,main!$A$3:$H$102,8,FALSE),main!$K$19:$O$22,MATCH(VLOOKUP($A72,main!$A$3:$H$102,7,FALSE),main!$K$18:$O$18,0),0))),0)</f>
        <v>0</v>
      </c>
      <c r="BL72">
        <f>IF((gamma!BL72),IF(VLOOKUP(BL$1,main!$A$3:$H$102,7,FALSE)=VLOOKUP($A72,main!$A$3:$H$102,8,FALSE),VLOOKUP(BL$1,main!$A$3:$H$102,4,FALSE),VLOOKUP(BL$1,main!$A$3:$H$102,4,FALSE)+VLOOKUP($A72,main!$A$3:$H$102,4,FALSE)+(VLOOKUP(VLOOKUP(BL$1,main!$A$3:$H$102,8,FALSE),main!$K$19:$O$22,MATCH(VLOOKUP($A72,main!$A$3:$H$102,7,FALSE),main!$K$18:$O$18,0),0))),0)</f>
        <v>0</v>
      </c>
      <c r="BM72">
        <f>IF((gamma!BM72),IF(VLOOKUP(BM$1,main!$A$3:$H$102,7,FALSE)=VLOOKUP($A72,main!$A$3:$H$102,8,FALSE),VLOOKUP(BM$1,main!$A$3:$H$102,4,FALSE),VLOOKUP(BM$1,main!$A$3:$H$102,4,FALSE)+VLOOKUP($A72,main!$A$3:$H$102,4,FALSE)+(VLOOKUP(VLOOKUP(BM$1,main!$A$3:$H$102,8,FALSE),main!$K$19:$O$22,MATCH(VLOOKUP($A72,main!$A$3:$H$102,7,FALSE),main!$K$18:$O$18,0),0))),0)</f>
        <v>0</v>
      </c>
      <c r="BN72">
        <f>IF((gamma!BN72),IF(VLOOKUP(BN$1,main!$A$3:$H$102,7,FALSE)=VLOOKUP($A72,main!$A$3:$H$102,8,FALSE),VLOOKUP(BN$1,main!$A$3:$H$102,4,FALSE),VLOOKUP(BN$1,main!$A$3:$H$102,4,FALSE)+VLOOKUP($A72,main!$A$3:$H$102,4,FALSE)+(VLOOKUP(VLOOKUP(BN$1,main!$A$3:$H$102,8,FALSE),main!$K$19:$O$22,MATCH(VLOOKUP($A72,main!$A$3:$H$102,7,FALSE),main!$K$18:$O$18,0),0))),0)</f>
        <v>0</v>
      </c>
      <c r="BO72">
        <f>IF((gamma!BO72),IF(VLOOKUP(BO$1,main!$A$3:$H$102,7,FALSE)=VLOOKUP($A72,main!$A$3:$H$102,8,FALSE),VLOOKUP(BO$1,main!$A$3:$H$102,4,FALSE),VLOOKUP(BO$1,main!$A$3:$H$102,4,FALSE)+VLOOKUP($A72,main!$A$3:$H$102,4,FALSE)+(VLOOKUP(VLOOKUP(BO$1,main!$A$3:$H$102,8,FALSE),main!$K$19:$O$22,MATCH(VLOOKUP($A72,main!$A$3:$H$102,7,FALSE),main!$K$18:$O$18,0),0))),0)</f>
        <v>0</v>
      </c>
      <c r="BP72">
        <f>IF((gamma!BP72),IF(VLOOKUP(BP$1,main!$A$3:$H$102,7,FALSE)=VLOOKUP($A72,main!$A$3:$H$102,8,FALSE),VLOOKUP(BP$1,main!$A$3:$H$102,4,FALSE),VLOOKUP(BP$1,main!$A$3:$H$102,4,FALSE)+VLOOKUP($A72,main!$A$3:$H$102,4,FALSE)+(VLOOKUP(VLOOKUP(BP$1,main!$A$3:$H$102,8,FALSE),main!$K$19:$O$22,MATCH(VLOOKUP($A72,main!$A$3:$H$102,7,FALSE),main!$K$18:$O$18,0),0))),0)</f>
        <v>0</v>
      </c>
      <c r="BQ72">
        <f>IF((gamma!BQ72),IF(VLOOKUP(BQ$1,main!$A$3:$H$102,7,FALSE)=VLOOKUP($A72,main!$A$3:$H$102,8,FALSE),VLOOKUP(BQ$1,main!$A$3:$H$102,4,FALSE),VLOOKUP(BQ$1,main!$A$3:$H$102,4,FALSE)+VLOOKUP($A72,main!$A$3:$H$102,4,FALSE)+(VLOOKUP(VLOOKUP(BQ$1,main!$A$3:$H$102,8,FALSE),main!$K$19:$O$22,MATCH(VLOOKUP($A72,main!$A$3:$H$102,7,FALSE),main!$K$18:$O$18,0),0))),0)</f>
        <v>0</v>
      </c>
      <c r="BR72">
        <f>IF((gamma!BR72),IF(VLOOKUP(BR$1,main!$A$3:$H$102,7,FALSE)=VLOOKUP($A72,main!$A$3:$H$102,8,FALSE),VLOOKUP(BR$1,main!$A$3:$H$102,4,FALSE),VLOOKUP(BR$1,main!$A$3:$H$102,4,FALSE)+VLOOKUP($A72,main!$A$3:$H$102,4,FALSE)+(VLOOKUP(VLOOKUP(BR$1,main!$A$3:$H$102,8,FALSE),main!$K$19:$O$22,MATCH(VLOOKUP($A72,main!$A$3:$H$102,7,FALSE),main!$K$18:$O$18,0),0))),0)</f>
        <v>0</v>
      </c>
      <c r="BS72">
        <f>IF((gamma!BS72),IF(VLOOKUP(BS$1,main!$A$3:$H$102,7,FALSE)=VLOOKUP($A72,main!$A$3:$H$102,8,FALSE),VLOOKUP(BS$1,main!$A$3:$H$102,4,FALSE),VLOOKUP(BS$1,main!$A$3:$H$102,4,FALSE)+VLOOKUP($A72,main!$A$3:$H$102,4,FALSE)+(VLOOKUP(VLOOKUP(BS$1,main!$A$3:$H$102,8,FALSE),main!$K$19:$O$22,MATCH(VLOOKUP($A72,main!$A$3:$H$102,7,FALSE),main!$K$18:$O$18,0),0))),0)</f>
        <v>0</v>
      </c>
      <c r="BT72">
        <f>IF((gamma!BT72),IF(VLOOKUP(BT$1,main!$A$3:$H$102,7,FALSE)=VLOOKUP($A72,main!$A$3:$H$102,8,FALSE),VLOOKUP(BT$1,main!$A$3:$H$102,4,FALSE),VLOOKUP(BT$1,main!$A$3:$H$102,4,FALSE)+VLOOKUP($A72,main!$A$3:$H$102,4,FALSE)+(VLOOKUP(VLOOKUP(BT$1,main!$A$3:$H$102,8,FALSE),main!$K$19:$O$22,MATCH(VLOOKUP($A72,main!$A$3:$H$102,7,FALSE),main!$K$18:$O$18,0),0))),0)</f>
        <v>0</v>
      </c>
      <c r="BU72">
        <f>IF((gamma!BU72),IF(VLOOKUP(BU$1,main!$A$3:$H$102,7,FALSE)=VLOOKUP($A72,main!$A$3:$H$102,8,FALSE),VLOOKUP(BU$1,main!$A$3:$H$102,4,FALSE),VLOOKUP(BU$1,main!$A$3:$H$102,4,FALSE)+VLOOKUP($A72,main!$A$3:$H$102,4,FALSE)+(VLOOKUP(VLOOKUP(BU$1,main!$A$3:$H$102,8,FALSE),main!$K$19:$O$22,MATCH(VLOOKUP($A72,main!$A$3:$H$102,7,FALSE),main!$K$18:$O$18,0),0))),0)</f>
        <v>0</v>
      </c>
      <c r="BV72">
        <f>IF((gamma!BV72),IF(VLOOKUP(BV$1,main!$A$3:$H$102,7,FALSE)=VLOOKUP($A72,main!$A$3:$H$102,8,FALSE),VLOOKUP(BV$1,main!$A$3:$H$102,4,FALSE),VLOOKUP(BV$1,main!$A$3:$H$102,4,FALSE)+VLOOKUP($A72,main!$A$3:$H$102,4,FALSE)+(VLOOKUP(VLOOKUP(BV$1,main!$A$3:$H$102,8,FALSE),main!$K$19:$O$22,MATCH(VLOOKUP($A72,main!$A$3:$H$102,7,FALSE),main!$K$18:$O$18,0),0))),0)</f>
        <v>0</v>
      </c>
      <c r="BW72">
        <f>IF((gamma!BW72),IF(VLOOKUP(BW$1,main!$A$3:$H$102,7,FALSE)=VLOOKUP($A72,main!$A$3:$H$102,8,FALSE),VLOOKUP(BW$1,main!$A$3:$H$102,4,FALSE),VLOOKUP(BW$1,main!$A$3:$H$102,4,FALSE)+VLOOKUP($A72,main!$A$3:$H$102,4,FALSE)+(VLOOKUP(VLOOKUP(BW$1,main!$A$3:$H$102,8,FALSE),main!$K$19:$O$22,MATCH(VLOOKUP($A72,main!$A$3:$H$102,7,FALSE),main!$K$18:$O$18,0),0))),0)</f>
        <v>0</v>
      </c>
      <c r="BX72">
        <f>IF((gamma!BX72),IF(VLOOKUP(BX$1,main!$A$3:$H$102,7,FALSE)=VLOOKUP($A72,main!$A$3:$H$102,8,FALSE),VLOOKUP(BX$1,main!$A$3:$H$102,4,FALSE),VLOOKUP(BX$1,main!$A$3:$H$102,4,FALSE)+VLOOKUP($A72,main!$A$3:$H$102,4,FALSE)+(VLOOKUP(VLOOKUP(BX$1,main!$A$3:$H$102,8,FALSE),main!$K$19:$O$22,MATCH(VLOOKUP($A72,main!$A$3:$H$102,7,FALSE),main!$K$18:$O$18,0),0))),0)</f>
        <v>0</v>
      </c>
      <c r="BY72">
        <f>IF((gamma!BY72),IF(VLOOKUP(BY$1,main!$A$3:$H$102,7,FALSE)=VLOOKUP($A72,main!$A$3:$H$102,8,FALSE),VLOOKUP(BY$1,main!$A$3:$H$102,4,FALSE),VLOOKUP(BY$1,main!$A$3:$H$102,4,FALSE)+VLOOKUP($A72,main!$A$3:$H$102,4,FALSE)+(VLOOKUP(VLOOKUP(BY$1,main!$A$3:$H$102,8,FALSE),main!$K$19:$O$22,MATCH(VLOOKUP($A72,main!$A$3:$H$102,7,FALSE),main!$K$18:$O$18,0),0))),0)</f>
        <v>0</v>
      </c>
      <c r="BZ72">
        <f>IF((gamma!BZ72),IF(VLOOKUP(BZ$1,main!$A$3:$H$102,7,FALSE)=VLOOKUP($A72,main!$A$3:$H$102,8,FALSE),VLOOKUP(BZ$1,main!$A$3:$H$102,4,FALSE),VLOOKUP(BZ$1,main!$A$3:$H$102,4,FALSE)+VLOOKUP($A72,main!$A$3:$H$102,4,FALSE)+(VLOOKUP(VLOOKUP(BZ$1,main!$A$3:$H$102,8,FALSE),main!$K$19:$O$22,MATCH(VLOOKUP($A72,main!$A$3:$H$102,7,FALSE),main!$K$18:$O$18,0),0))),0)</f>
        <v>0</v>
      </c>
      <c r="CA72">
        <f>IF((gamma!CA72),IF(VLOOKUP(CA$1,main!$A$3:$H$102,7,FALSE)=VLOOKUP($A72,main!$A$3:$H$102,8,FALSE),VLOOKUP(CA$1,main!$A$3:$H$102,4,FALSE),VLOOKUP(CA$1,main!$A$3:$H$102,4,FALSE)+VLOOKUP($A72,main!$A$3:$H$102,4,FALSE)+(VLOOKUP(VLOOKUP(CA$1,main!$A$3:$H$102,8,FALSE),main!$K$19:$O$22,MATCH(VLOOKUP($A72,main!$A$3:$H$102,7,FALSE),main!$K$18:$O$18,0),0))),0)</f>
        <v>0</v>
      </c>
      <c r="CB72">
        <f>IF((gamma!CB72),IF(VLOOKUP(CB$1,main!$A$3:$H$102,7,FALSE)=VLOOKUP($A72,main!$A$3:$H$102,8,FALSE),VLOOKUP(CB$1,main!$A$3:$H$102,4,FALSE),VLOOKUP(CB$1,main!$A$3:$H$102,4,FALSE)+VLOOKUP($A72,main!$A$3:$H$102,4,FALSE)+(VLOOKUP(VLOOKUP(CB$1,main!$A$3:$H$102,8,FALSE),main!$K$19:$O$22,MATCH(VLOOKUP($A72,main!$A$3:$H$102,7,FALSE),main!$K$18:$O$18,0),0))),0)</f>
        <v>0</v>
      </c>
      <c r="CC72">
        <f>IF((gamma!CC72),IF(VLOOKUP(CC$1,main!$A$3:$H$102,7,FALSE)=VLOOKUP($A72,main!$A$3:$H$102,8,FALSE),VLOOKUP(CC$1,main!$A$3:$H$102,4,FALSE),VLOOKUP(CC$1,main!$A$3:$H$102,4,FALSE)+VLOOKUP($A72,main!$A$3:$H$102,4,FALSE)+(VLOOKUP(VLOOKUP(CC$1,main!$A$3:$H$102,8,FALSE),main!$K$19:$O$22,MATCH(VLOOKUP($A72,main!$A$3:$H$102,7,FALSE),main!$K$18:$O$18,0),0))),0)</f>
        <v>208</v>
      </c>
      <c r="CD72">
        <f>IF((gamma!CD72),IF(VLOOKUP(CD$1,main!$A$3:$H$102,7,FALSE)=VLOOKUP($A72,main!$A$3:$H$102,8,FALSE),VLOOKUP(CD$1,main!$A$3:$H$102,4,FALSE),VLOOKUP(CD$1,main!$A$3:$H$102,4,FALSE)+VLOOKUP($A72,main!$A$3:$H$102,4,FALSE)+(VLOOKUP(VLOOKUP(CD$1,main!$A$3:$H$102,8,FALSE),main!$K$19:$O$22,MATCH(VLOOKUP($A72,main!$A$3:$H$102,7,FALSE),main!$K$18:$O$18,0),0))),0)</f>
        <v>0</v>
      </c>
      <c r="CE72">
        <f>IF((gamma!CE72),IF(VLOOKUP(CE$1,main!$A$3:$H$102,7,FALSE)=VLOOKUP($A72,main!$A$3:$H$102,8,FALSE),VLOOKUP(CE$1,main!$A$3:$H$102,4,FALSE),VLOOKUP(CE$1,main!$A$3:$H$102,4,FALSE)+VLOOKUP($A72,main!$A$3:$H$102,4,FALSE)+(VLOOKUP(VLOOKUP(CE$1,main!$A$3:$H$102,8,FALSE),main!$K$19:$O$22,MATCH(VLOOKUP($A72,main!$A$3:$H$102,7,FALSE),main!$K$18:$O$18,0),0))),0)</f>
        <v>0</v>
      </c>
      <c r="CF72">
        <f>IF((gamma!CF72),IF(VLOOKUP(CF$1,main!$A$3:$H$102,7,FALSE)=VLOOKUP($A72,main!$A$3:$H$102,8,FALSE),VLOOKUP(CF$1,main!$A$3:$H$102,4,FALSE),VLOOKUP(CF$1,main!$A$3:$H$102,4,FALSE)+VLOOKUP($A72,main!$A$3:$H$102,4,FALSE)+(VLOOKUP(VLOOKUP(CF$1,main!$A$3:$H$102,8,FALSE),main!$K$19:$O$22,MATCH(VLOOKUP($A72,main!$A$3:$H$102,7,FALSE),main!$K$18:$O$18,0),0))),0)</f>
        <v>0</v>
      </c>
      <c r="CG72">
        <f>IF((gamma!CG72),IF(VLOOKUP(CG$1,main!$A$3:$H$102,7,FALSE)=VLOOKUP($A72,main!$A$3:$H$102,8,FALSE),VLOOKUP(CG$1,main!$A$3:$H$102,4,FALSE),VLOOKUP(CG$1,main!$A$3:$H$102,4,FALSE)+VLOOKUP($A72,main!$A$3:$H$102,4,FALSE)+(VLOOKUP(VLOOKUP(CG$1,main!$A$3:$H$102,8,FALSE),main!$K$19:$O$22,MATCH(VLOOKUP($A72,main!$A$3:$H$102,7,FALSE),main!$K$18:$O$18,0),0))),0)</f>
        <v>0</v>
      </c>
      <c r="CH72">
        <f>IF((gamma!CH72),IF(VLOOKUP(CH$1,main!$A$3:$H$102,7,FALSE)=VLOOKUP($A72,main!$A$3:$H$102,8,FALSE),VLOOKUP(CH$1,main!$A$3:$H$102,4,FALSE),VLOOKUP(CH$1,main!$A$3:$H$102,4,FALSE)+VLOOKUP($A72,main!$A$3:$H$102,4,FALSE)+(VLOOKUP(VLOOKUP(CH$1,main!$A$3:$H$102,8,FALSE),main!$K$19:$O$22,MATCH(VLOOKUP($A72,main!$A$3:$H$102,7,FALSE),main!$K$18:$O$18,0),0))),0)</f>
        <v>0</v>
      </c>
      <c r="CI72">
        <f>IF((gamma!CI72),IF(VLOOKUP(CI$1,main!$A$3:$H$102,7,FALSE)=VLOOKUP($A72,main!$A$3:$H$102,8,FALSE),VLOOKUP(CI$1,main!$A$3:$H$102,4,FALSE),VLOOKUP(CI$1,main!$A$3:$H$102,4,FALSE)+VLOOKUP($A72,main!$A$3:$H$102,4,FALSE)+(VLOOKUP(VLOOKUP(CI$1,main!$A$3:$H$102,8,FALSE),main!$K$19:$O$22,MATCH(VLOOKUP($A72,main!$A$3:$H$102,7,FALSE),main!$K$18:$O$18,0),0))),0)</f>
        <v>290</v>
      </c>
      <c r="CJ72">
        <f>IF((gamma!CJ72),IF(VLOOKUP(CJ$1,main!$A$3:$H$102,7,FALSE)=VLOOKUP($A72,main!$A$3:$H$102,8,FALSE),VLOOKUP(CJ$1,main!$A$3:$H$102,4,FALSE),VLOOKUP(CJ$1,main!$A$3:$H$102,4,FALSE)+VLOOKUP($A72,main!$A$3:$H$102,4,FALSE)+(VLOOKUP(VLOOKUP(CJ$1,main!$A$3:$H$102,8,FALSE),main!$K$19:$O$22,MATCH(VLOOKUP($A72,main!$A$3:$H$102,7,FALSE),main!$K$18:$O$18,0),0))),0)</f>
        <v>0</v>
      </c>
      <c r="CK72">
        <f>IF((gamma!CK72),IF(VLOOKUP(CK$1,main!$A$3:$H$102,7,FALSE)=VLOOKUP($A72,main!$A$3:$H$102,8,FALSE),VLOOKUP(CK$1,main!$A$3:$H$102,4,FALSE),VLOOKUP(CK$1,main!$A$3:$H$102,4,FALSE)+VLOOKUP($A72,main!$A$3:$H$102,4,FALSE)+(VLOOKUP(VLOOKUP(CK$1,main!$A$3:$H$102,8,FALSE),main!$K$19:$O$22,MATCH(VLOOKUP($A72,main!$A$3:$H$102,7,FALSE),main!$K$18:$O$18,0),0))),0)</f>
        <v>0</v>
      </c>
      <c r="CL72">
        <f>IF((gamma!CL72),IF(VLOOKUP(CL$1,main!$A$3:$H$102,7,FALSE)=VLOOKUP($A72,main!$A$3:$H$102,8,FALSE),VLOOKUP(CL$1,main!$A$3:$H$102,4,FALSE),VLOOKUP(CL$1,main!$A$3:$H$102,4,FALSE)+VLOOKUP($A72,main!$A$3:$H$102,4,FALSE)+(VLOOKUP(VLOOKUP(CL$1,main!$A$3:$H$102,8,FALSE),main!$K$19:$O$22,MATCH(VLOOKUP($A72,main!$A$3:$H$102,7,FALSE),main!$K$18:$O$18,0),0))),0)</f>
        <v>0</v>
      </c>
      <c r="CM72">
        <f>IF((gamma!CM72),IF(VLOOKUP(CM$1,main!$A$3:$H$102,7,FALSE)=VLOOKUP($A72,main!$A$3:$H$102,8,FALSE),VLOOKUP(CM$1,main!$A$3:$H$102,4,FALSE),VLOOKUP(CM$1,main!$A$3:$H$102,4,FALSE)+VLOOKUP($A72,main!$A$3:$H$102,4,FALSE)+(VLOOKUP(VLOOKUP(CM$1,main!$A$3:$H$102,8,FALSE),main!$K$19:$O$22,MATCH(VLOOKUP($A72,main!$A$3:$H$102,7,FALSE),main!$K$18:$O$18,0),0))),0)</f>
        <v>0</v>
      </c>
      <c r="CN72">
        <f>IF((gamma!CN72),IF(VLOOKUP(CN$1,main!$A$3:$H$102,7,FALSE)=VLOOKUP($A72,main!$A$3:$H$102,8,FALSE),VLOOKUP(CN$1,main!$A$3:$H$102,4,FALSE),VLOOKUP(CN$1,main!$A$3:$H$102,4,FALSE)+VLOOKUP($A72,main!$A$3:$H$102,4,FALSE)+(VLOOKUP(VLOOKUP(CN$1,main!$A$3:$H$102,8,FALSE),main!$K$19:$O$22,MATCH(VLOOKUP($A72,main!$A$3:$H$102,7,FALSE),main!$K$18:$O$18,0),0))),0)</f>
        <v>246</v>
      </c>
      <c r="CO72">
        <f>IF((gamma!CO72),IF(VLOOKUP(CO$1,main!$A$3:$H$102,7,FALSE)=VLOOKUP($A72,main!$A$3:$H$102,8,FALSE),VLOOKUP(CO$1,main!$A$3:$H$102,4,FALSE),VLOOKUP(CO$1,main!$A$3:$H$102,4,FALSE)+VLOOKUP($A72,main!$A$3:$H$102,4,FALSE)+(VLOOKUP(VLOOKUP(CO$1,main!$A$3:$H$102,8,FALSE),main!$K$19:$O$22,MATCH(VLOOKUP($A72,main!$A$3:$H$102,7,FALSE),main!$K$18:$O$18,0),0))),0)</f>
        <v>0</v>
      </c>
      <c r="CP72">
        <f>IF((gamma!CP72),IF(VLOOKUP(CP$1,main!$A$3:$H$102,7,FALSE)=VLOOKUP($A72,main!$A$3:$H$102,8,FALSE),VLOOKUP(CP$1,main!$A$3:$H$102,4,FALSE),VLOOKUP(CP$1,main!$A$3:$H$102,4,FALSE)+VLOOKUP($A72,main!$A$3:$H$102,4,FALSE)+(VLOOKUP(VLOOKUP(CP$1,main!$A$3:$H$102,8,FALSE),main!$K$19:$O$22,MATCH(VLOOKUP($A72,main!$A$3:$H$102,7,FALSE),main!$K$18:$O$18,0),0))),0)</f>
        <v>0</v>
      </c>
      <c r="CQ72">
        <f>IF((gamma!CQ72),IF(VLOOKUP(CQ$1,main!$A$3:$H$102,7,FALSE)=VLOOKUP($A72,main!$A$3:$H$102,8,FALSE),VLOOKUP(CQ$1,main!$A$3:$H$102,4,FALSE),VLOOKUP(CQ$1,main!$A$3:$H$102,4,FALSE)+VLOOKUP($A72,main!$A$3:$H$102,4,FALSE)+(VLOOKUP(VLOOKUP(CQ$1,main!$A$3:$H$102,8,FALSE),main!$K$19:$O$22,MATCH(VLOOKUP($A72,main!$A$3:$H$102,7,FALSE),main!$K$18:$O$18,0),0))),0)</f>
        <v>0</v>
      </c>
      <c r="CR72">
        <f>IF((gamma!CR72),IF(VLOOKUP(CR$1,main!$A$3:$H$102,7,FALSE)=VLOOKUP($A72,main!$A$3:$H$102,8,FALSE),VLOOKUP(CR$1,main!$A$3:$H$102,4,FALSE),VLOOKUP(CR$1,main!$A$3:$H$102,4,FALSE)+VLOOKUP($A72,main!$A$3:$H$102,4,FALSE)+(VLOOKUP(VLOOKUP(CR$1,main!$A$3:$H$102,8,FALSE),main!$K$19:$O$22,MATCH(VLOOKUP($A72,main!$A$3:$H$102,7,FALSE),main!$K$18:$O$18,0),0))),0)</f>
        <v>0</v>
      </c>
      <c r="CS72">
        <f>IF((gamma!CS72),IF(VLOOKUP(CS$1,main!$A$3:$H$102,7,FALSE)=VLOOKUP($A72,main!$A$3:$H$102,8,FALSE),VLOOKUP(CS$1,main!$A$3:$H$102,4,FALSE),VLOOKUP(CS$1,main!$A$3:$H$102,4,FALSE)+VLOOKUP($A72,main!$A$3:$H$102,4,FALSE)+(VLOOKUP(VLOOKUP(CS$1,main!$A$3:$H$102,8,FALSE),main!$K$19:$O$22,MATCH(VLOOKUP($A72,main!$A$3:$H$102,7,FALSE),main!$K$18:$O$18,0),0))),0)</f>
        <v>0</v>
      </c>
      <c r="CT72">
        <f>IF((gamma!CT72),IF(VLOOKUP(CT$1,main!$A$3:$H$102,7,FALSE)=VLOOKUP($A72,main!$A$3:$H$102,8,FALSE),VLOOKUP(CT$1,main!$A$3:$H$102,4,FALSE),VLOOKUP(CT$1,main!$A$3:$H$102,4,FALSE)+VLOOKUP($A72,main!$A$3:$H$102,4,FALSE)+(VLOOKUP(VLOOKUP(CT$1,main!$A$3:$H$102,8,FALSE),main!$K$19:$O$22,MATCH(VLOOKUP($A72,main!$A$3:$H$102,7,FALSE),main!$K$18:$O$18,0),0))),0)</f>
        <v>0</v>
      </c>
      <c r="CU72">
        <f>IF((gamma!CU72),IF(VLOOKUP(CU$1,main!$A$3:$H$102,7,FALSE)=VLOOKUP($A72,main!$A$3:$H$102,8,FALSE),VLOOKUP(CU$1,main!$A$3:$H$102,4,FALSE),VLOOKUP(CU$1,main!$A$3:$H$102,4,FALSE)+VLOOKUP($A72,main!$A$3:$H$102,4,FALSE)+(VLOOKUP(VLOOKUP(CU$1,main!$A$3:$H$102,8,FALSE),main!$K$19:$O$22,MATCH(VLOOKUP($A72,main!$A$3:$H$102,7,FALSE),main!$K$18:$O$18,0),0))),0)</f>
        <v>0</v>
      </c>
      <c r="CV72">
        <f>IF((gamma!CV72),IF(VLOOKUP(CV$1,main!$A$3:$H$102,7,FALSE)=VLOOKUP($A72,main!$A$3:$H$102,8,FALSE),VLOOKUP(CV$1,main!$A$3:$H$102,4,FALSE),VLOOKUP(CV$1,main!$A$3:$H$102,4,FALSE)+VLOOKUP($A72,main!$A$3:$H$102,4,FALSE)+(VLOOKUP(VLOOKUP(CV$1,main!$A$3:$H$102,8,FALSE),main!$K$19:$O$22,MATCH(VLOOKUP($A72,main!$A$3:$H$102,7,FALSE),main!$K$18:$O$18,0),0))),0)</f>
        <v>0</v>
      </c>
      <c r="CW72">
        <f>IF((gamma!CW72),IF(VLOOKUP(CW$1,main!$A$3:$H$102,7,FALSE)=VLOOKUP($A72,main!$A$3:$H$102,8,FALSE),VLOOKUP(CW$1,main!$A$3:$H$102,4,FALSE),VLOOKUP(CW$1,main!$A$3:$H$102,4,FALSE)+VLOOKUP($A72,main!$A$3:$H$102,4,FALSE)+(VLOOKUP(VLOOKUP(CW$1,main!$A$3:$H$102,8,FALSE),main!$K$19:$O$22,MATCH(VLOOKUP($A72,main!$A$3:$H$102,7,FALSE),main!$K$18:$O$18,0),0))),0)</f>
        <v>0</v>
      </c>
      <c r="CX72">
        <f>IF((gamma!CX72),IF(VLOOKUP(CX$1,main!$A$3:$H$102,7,FALSE)=VLOOKUP($A72,main!$A$3:$H$102,8,FALSE),VLOOKUP(CX$1,main!$A$3:$H$102,4,FALSE),VLOOKUP(CX$1,main!$A$3:$H$102,4,FALSE)+VLOOKUP($A72,main!$A$3:$H$102,4,FALSE)+(VLOOKUP(VLOOKUP(CX$1,main!$A$3:$H$102,8,FALSE),main!$K$19:$O$22,MATCH(VLOOKUP($A72,main!$A$3:$H$102,7,FALSE),main!$K$18:$O$18,0),0))),0)</f>
        <v>0</v>
      </c>
      <c r="CY72">
        <v>0</v>
      </c>
      <c r="CZ72">
        <v>0</v>
      </c>
      <c r="DA72">
        <v>0</v>
      </c>
    </row>
    <row r="73" spans="1:105" x14ac:dyDescent="0.25">
      <c r="A73" s="1">
        <v>71</v>
      </c>
      <c r="B73">
        <v>0</v>
      </c>
      <c r="C73">
        <f>IF((gamma!C73),IF(VLOOKUP(C$1,main!$A$3:$H$102,7,FALSE)=VLOOKUP($A73,main!$A$3:$H$102,8,FALSE),VLOOKUP(C$1,main!$A$3:$H$102,4,FALSE),VLOOKUP(C$1,main!$A$3:$H$102,4,FALSE)+VLOOKUP($A73,main!$A$3:$H$102,4,FALSE)+(VLOOKUP(VLOOKUP(C$1,main!$A$3:$H$102,8,FALSE),main!$K$19:$O$22,MATCH(VLOOKUP($A73,main!$A$3:$H$102,7,FALSE),main!$K$18:$O$18,0),0))),0)</f>
        <v>0</v>
      </c>
      <c r="D73">
        <f>IF((gamma!D73),IF(VLOOKUP(D$1,main!$A$3:$H$102,7,FALSE)=VLOOKUP($A73,main!$A$3:$H$102,8,FALSE),VLOOKUP(D$1,main!$A$3:$H$102,4,FALSE),VLOOKUP(D$1,main!$A$3:$H$102,4,FALSE)+VLOOKUP($A73,main!$A$3:$H$102,4,FALSE)+(VLOOKUP(VLOOKUP(D$1,main!$A$3:$H$102,8,FALSE),main!$K$19:$O$22,MATCH(VLOOKUP($A73,main!$A$3:$H$102,7,FALSE),main!$K$18:$O$18,0),0))),0)</f>
        <v>0</v>
      </c>
      <c r="E73">
        <f>IF((gamma!E73),IF(VLOOKUP(E$1,main!$A$3:$H$102,7,FALSE)=VLOOKUP($A73,main!$A$3:$H$102,8,FALSE),VLOOKUP(E$1,main!$A$3:$H$102,4,FALSE),VLOOKUP(E$1,main!$A$3:$H$102,4,FALSE)+VLOOKUP($A73,main!$A$3:$H$102,4,FALSE)+(VLOOKUP(VLOOKUP(E$1,main!$A$3:$H$102,8,FALSE),main!$K$19:$O$22,MATCH(VLOOKUP($A73,main!$A$3:$H$102,7,FALSE),main!$K$18:$O$18,0),0))),0)</f>
        <v>303</v>
      </c>
      <c r="F73">
        <f>IF((gamma!F73),IF(VLOOKUP(F$1,main!$A$3:$H$102,7,FALSE)=VLOOKUP($A73,main!$A$3:$H$102,8,FALSE),VLOOKUP(F$1,main!$A$3:$H$102,4,FALSE),VLOOKUP(F$1,main!$A$3:$H$102,4,FALSE)+VLOOKUP($A73,main!$A$3:$H$102,4,FALSE)+(VLOOKUP(VLOOKUP(F$1,main!$A$3:$H$102,8,FALSE),main!$K$19:$O$22,MATCH(VLOOKUP($A73,main!$A$3:$H$102,7,FALSE),main!$K$18:$O$18,0),0))),0)</f>
        <v>303</v>
      </c>
      <c r="G73">
        <f>IF((gamma!G73),IF(VLOOKUP(G$1,main!$A$3:$H$102,7,FALSE)=VLOOKUP($A73,main!$A$3:$H$102,8,FALSE),VLOOKUP(G$1,main!$A$3:$H$102,4,FALSE),VLOOKUP(G$1,main!$A$3:$H$102,4,FALSE)+VLOOKUP($A73,main!$A$3:$H$102,4,FALSE)+(VLOOKUP(VLOOKUP(G$1,main!$A$3:$H$102,8,FALSE),main!$K$19:$O$22,MATCH(VLOOKUP($A73,main!$A$3:$H$102,7,FALSE),main!$K$18:$O$18,0),0))),0)</f>
        <v>303</v>
      </c>
      <c r="H73">
        <f>IF((gamma!H73),IF(VLOOKUP(H$1,main!$A$3:$H$102,7,FALSE)=VLOOKUP($A73,main!$A$3:$H$102,8,FALSE),VLOOKUP(H$1,main!$A$3:$H$102,4,FALSE),VLOOKUP(H$1,main!$A$3:$H$102,4,FALSE)+VLOOKUP($A73,main!$A$3:$H$102,4,FALSE)+(VLOOKUP(VLOOKUP(H$1,main!$A$3:$H$102,8,FALSE),main!$K$19:$O$22,MATCH(VLOOKUP($A73,main!$A$3:$H$102,7,FALSE),main!$K$18:$O$18,0),0))),0)</f>
        <v>303</v>
      </c>
      <c r="I73">
        <f>IF((gamma!I73),IF(VLOOKUP(I$1,main!$A$3:$H$102,7,FALSE)=VLOOKUP($A73,main!$A$3:$H$102,8,FALSE),VLOOKUP(I$1,main!$A$3:$H$102,4,FALSE),VLOOKUP(I$1,main!$A$3:$H$102,4,FALSE)+VLOOKUP($A73,main!$A$3:$H$102,4,FALSE)+(VLOOKUP(VLOOKUP(I$1,main!$A$3:$H$102,8,FALSE),main!$K$19:$O$22,MATCH(VLOOKUP($A73,main!$A$3:$H$102,7,FALSE),main!$K$18:$O$18,0),0))),0)</f>
        <v>303</v>
      </c>
      <c r="J73">
        <f>IF((gamma!J73),IF(VLOOKUP(J$1,main!$A$3:$H$102,7,FALSE)=VLOOKUP($A73,main!$A$3:$H$102,8,FALSE),VLOOKUP(J$1,main!$A$3:$H$102,4,FALSE),VLOOKUP(J$1,main!$A$3:$H$102,4,FALSE)+VLOOKUP($A73,main!$A$3:$H$102,4,FALSE)+(VLOOKUP(VLOOKUP(J$1,main!$A$3:$H$102,8,FALSE),main!$K$19:$O$22,MATCH(VLOOKUP($A73,main!$A$3:$H$102,7,FALSE),main!$K$18:$O$18,0),0))),0)</f>
        <v>303</v>
      </c>
      <c r="K73">
        <f>IF((gamma!K73),IF(VLOOKUP(K$1,main!$A$3:$H$102,7,FALSE)=VLOOKUP($A73,main!$A$3:$H$102,8,FALSE),VLOOKUP(K$1,main!$A$3:$H$102,4,FALSE),VLOOKUP(K$1,main!$A$3:$H$102,4,FALSE)+VLOOKUP($A73,main!$A$3:$H$102,4,FALSE)+(VLOOKUP(VLOOKUP(K$1,main!$A$3:$H$102,8,FALSE),main!$K$19:$O$22,MATCH(VLOOKUP($A73,main!$A$3:$H$102,7,FALSE),main!$K$18:$O$18,0),0))),0)</f>
        <v>303</v>
      </c>
      <c r="L73">
        <f>IF((gamma!L73),IF(VLOOKUP(L$1,main!$A$3:$H$102,7,FALSE)=VLOOKUP($A73,main!$A$3:$H$102,8,FALSE),VLOOKUP(L$1,main!$A$3:$H$102,4,FALSE),VLOOKUP(L$1,main!$A$3:$H$102,4,FALSE)+VLOOKUP($A73,main!$A$3:$H$102,4,FALSE)+(VLOOKUP(VLOOKUP(L$1,main!$A$3:$H$102,8,FALSE),main!$K$19:$O$22,MATCH(VLOOKUP($A73,main!$A$3:$H$102,7,FALSE),main!$K$18:$O$18,0),0))),0)</f>
        <v>303</v>
      </c>
      <c r="M73">
        <f>IF((gamma!M73),IF(VLOOKUP(M$1,main!$A$3:$H$102,7,FALSE)=VLOOKUP($A73,main!$A$3:$H$102,8,FALSE),VLOOKUP(M$1,main!$A$3:$H$102,4,FALSE),VLOOKUP(M$1,main!$A$3:$H$102,4,FALSE)+VLOOKUP($A73,main!$A$3:$H$102,4,FALSE)+(VLOOKUP(VLOOKUP(M$1,main!$A$3:$H$102,8,FALSE),main!$K$19:$O$22,MATCH(VLOOKUP($A73,main!$A$3:$H$102,7,FALSE),main!$K$18:$O$18,0),0))),0)</f>
        <v>0</v>
      </c>
      <c r="N73">
        <f>IF((gamma!N73),IF(VLOOKUP(N$1,main!$A$3:$H$102,7,FALSE)=VLOOKUP($A73,main!$A$3:$H$102,8,FALSE),VLOOKUP(N$1,main!$A$3:$H$102,4,FALSE),VLOOKUP(N$1,main!$A$3:$H$102,4,FALSE)+VLOOKUP($A73,main!$A$3:$H$102,4,FALSE)+(VLOOKUP(VLOOKUP(N$1,main!$A$3:$H$102,8,FALSE),main!$K$19:$O$22,MATCH(VLOOKUP($A73,main!$A$3:$H$102,7,FALSE),main!$K$18:$O$18,0),0))),0)</f>
        <v>0</v>
      </c>
      <c r="O73">
        <f>IF((gamma!O73),IF(VLOOKUP(O$1,main!$A$3:$H$102,7,FALSE)=VLOOKUP($A73,main!$A$3:$H$102,8,FALSE),VLOOKUP(O$1,main!$A$3:$H$102,4,FALSE),VLOOKUP(O$1,main!$A$3:$H$102,4,FALSE)+VLOOKUP($A73,main!$A$3:$H$102,4,FALSE)+(VLOOKUP(VLOOKUP(O$1,main!$A$3:$H$102,8,FALSE),main!$K$19:$O$22,MATCH(VLOOKUP($A73,main!$A$3:$H$102,7,FALSE),main!$K$18:$O$18,0),0))),0)</f>
        <v>0</v>
      </c>
      <c r="P73">
        <f>IF((gamma!P73),IF(VLOOKUP(P$1,main!$A$3:$H$102,7,FALSE)=VLOOKUP($A73,main!$A$3:$H$102,8,FALSE),VLOOKUP(P$1,main!$A$3:$H$102,4,FALSE),VLOOKUP(P$1,main!$A$3:$H$102,4,FALSE)+VLOOKUP($A73,main!$A$3:$H$102,4,FALSE)+(VLOOKUP(VLOOKUP(P$1,main!$A$3:$H$102,8,FALSE),main!$K$19:$O$22,MATCH(VLOOKUP($A73,main!$A$3:$H$102,7,FALSE),main!$K$18:$O$18,0),0))),0)</f>
        <v>280</v>
      </c>
      <c r="Q73">
        <f>IF((gamma!Q73),IF(VLOOKUP(Q$1,main!$A$3:$H$102,7,FALSE)=VLOOKUP($A73,main!$A$3:$H$102,8,FALSE),VLOOKUP(Q$1,main!$A$3:$H$102,4,FALSE),VLOOKUP(Q$1,main!$A$3:$H$102,4,FALSE)+VLOOKUP($A73,main!$A$3:$H$102,4,FALSE)+(VLOOKUP(VLOOKUP(Q$1,main!$A$3:$H$102,8,FALSE),main!$K$19:$O$22,MATCH(VLOOKUP($A73,main!$A$3:$H$102,7,FALSE),main!$K$18:$O$18,0),0))),0)</f>
        <v>280</v>
      </c>
      <c r="R73">
        <f>IF((gamma!R73),IF(VLOOKUP(R$1,main!$A$3:$H$102,7,FALSE)=VLOOKUP($A73,main!$A$3:$H$102,8,FALSE),VLOOKUP(R$1,main!$A$3:$H$102,4,FALSE),VLOOKUP(R$1,main!$A$3:$H$102,4,FALSE)+VLOOKUP($A73,main!$A$3:$H$102,4,FALSE)+(VLOOKUP(VLOOKUP(R$1,main!$A$3:$H$102,8,FALSE),main!$K$19:$O$22,MATCH(VLOOKUP($A73,main!$A$3:$H$102,7,FALSE),main!$K$18:$O$18,0),0))),0)</f>
        <v>280</v>
      </c>
      <c r="S73">
        <f>IF((gamma!S73),IF(VLOOKUP(S$1,main!$A$3:$H$102,7,FALSE)=VLOOKUP($A73,main!$A$3:$H$102,8,FALSE),VLOOKUP(S$1,main!$A$3:$H$102,4,FALSE),VLOOKUP(S$1,main!$A$3:$H$102,4,FALSE)+VLOOKUP($A73,main!$A$3:$H$102,4,FALSE)+(VLOOKUP(VLOOKUP(S$1,main!$A$3:$H$102,8,FALSE),main!$K$19:$O$22,MATCH(VLOOKUP($A73,main!$A$3:$H$102,7,FALSE),main!$K$18:$O$18,0),0))),0)</f>
        <v>280</v>
      </c>
      <c r="T73">
        <f>IF((gamma!T73),IF(VLOOKUP(T$1,main!$A$3:$H$102,7,FALSE)=VLOOKUP($A73,main!$A$3:$H$102,8,FALSE),VLOOKUP(T$1,main!$A$3:$H$102,4,FALSE),VLOOKUP(T$1,main!$A$3:$H$102,4,FALSE)+VLOOKUP($A73,main!$A$3:$H$102,4,FALSE)+(VLOOKUP(VLOOKUP(T$1,main!$A$3:$H$102,8,FALSE),main!$K$19:$O$22,MATCH(VLOOKUP($A73,main!$A$3:$H$102,7,FALSE),main!$K$18:$O$18,0),0))),0)</f>
        <v>280</v>
      </c>
      <c r="U73">
        <f>IF((gamma!U73),IF(VLOOKUP(U$1,main!$A$3:$H$102,7,FALSE)=VLOOKUP($A73,main!$A$3:$H$102,8,FALSE),VLOOKUP(U$1,main!$A$3:$H$102,4,FALSE),VLOOKUP(U$1,main!$A$3:$H$102,4,FALSE)+VLOOKUP($A73,main!$A$3:$H$102,4,FALSE)+(VLOOKUP(VLOOKUP(U$1,main!$A$3:$H$102,8,FALSE),main!$K$19:$O$22,MATCH(VLOOKUP($A73,main!$A$3:$H$102,7,FALSE),main!$K$18:$O$18,0),0))),0)</f>
        <v>280</v>
      </c>
      <c r="V73">
        <f>IF((gamma!V73),IF(VLOOKUP(V$1,main!$A$3:$H$102,7,FALSE)=VLOOKUP($A73,main!$A$3:$H$102,8,FALSE),VLOOKUP(V$1,main!$A$3:$H$102,4,FALSE),VLOOKUP(V$1,main!$A$3:$H$102,4,FALSE)+VLOOKUP($A73,main!$A$3:$H$102,4,FALSE)+(VLOOKUP(VLOOKUP(V$1,main!$A$3:$H$102,8,FALSE),main!$K$19:$O$22,MATCH(VLOOKUP($A73,main!$A$3:$H$102,7,FALSE),main!$K$18:$O$18,0),0))),0)</f>
        <v>280</v>
      </c>
      <c r="W73">
        <f>IF((gamma!W73),IF(VLOOKUP(W$1,main!$A$3:$H$102,7,FALSE)=VLOOKUP($A73,main!$A$3:$H$102,8,FALSE),VLOOKUP(W$1,main!$A$3:$H$102,4,FALSE),VLOOKUP(W$1,main!$A$3:$H$102,4,FALSE)+VLOOKUP($A73,main!$A$3:$H$102,4,FALSE)+(VLOOKUP(VLOOKUP(W$1,main!$A$3:$H$102,8,FALSE),main!$K$19:$O$22,MATCH(VLOOKUP($A73,main!$A$3:$H$102,7,FALSE),main!$K$18:$O$18,0),0))),0)</f>
        <v>0</v>
      </c>
      <c r="X73">
        <f>IF((gamma!X73),IF(VLOOKUP(X$1,main!$A$3:$H$102,7,FALSE)=VLOOKUP($A73,main!$A$3:$H$102,8,FALSE),VLOOKUP(X$1,main!$A$3:$H$102,4,FALSE),VLOOKUP(X$1,main!$A$3:$H$102,4,FALSE)+VLOOKUP($A73,main!$A$3:$H$102,4,FALSE)+(VLOOKUP(VLOOKUP(X$1,main!$A$3:$H$102,8,FALSE),main!$K$19:$O$22,MATCH(VLOOKUP($A73,main!$A$3:$H$102,7,FALSE),main!$K$18:$O$18,0),0))),0)</f>
        <v>0</v>
      </c>
      <c r="Y73">
        <f>IF((gamma!Y73),IF(VLOOKUP(Y$1,main!$A$3:$H$102,7,FALSE)=VLOOKUP($A73,main!$A$3:$H$102,8,FALSE),VLOOKUP(Y$1,main!$A$3:$H$102,4,FALSE),VLOOKUP(Y$1,main!$A$3:$H$102,4,FALSE)+VLOOKUP($A73,main!$A$3:$H$102,4,FALSE)+(VLOOKUP(VLOOKUP(Y$1,main!$A$3:$H$102,8,FALSE),main!$K$19:$O$22,MATCH(VLOOKUP($A73,main!$A$3:$H$102,7,FALSE),main!$K$18:$O$18,0),0))),0)</f>
        <v>308</v>
      </c>
      <c r="Z73">
        <f>IF((gamma!Z73),IF(VLOOKUP(Z$1,main!$A$3:$H$102,7,FALSE)=VLOOKUP($A73,main!$A$3:$H$102,8,FALSE),VLOOKUP(Z$1,main!$A$3:$H$102,4,FALSE),VLOOKUP(Z$1,main!$A$3:$H$102,4,FALSE)+VLOOKUP($A73,main!$A$3:$H$102,4,FALSE)+(VLOOKUP(VLOOKUP(Z$1,main!$A$3:$H$102,8,FALSE),main!$K$19:$O$22,MATCH(VLOOKUP($A73,main!$A$3:$H$102,7,FALSE),main!$K$18:$O$18,0),0))),0)</f>
        <v>313</v>
      </c>
      <c r="AA73">
        <f>IF((gamma!AA73),IF(VLOOKUP(AA$1,main!$A$3:$H$102,7,FALSE)=VLOOKUP($A73,main!$A$3:$H$102,8,FALSE),VLOOKUP(AA$1,main!$A$3:$H$102,4,FALSE),VLOOKUP(AA$1,main!$A$3:$H$102,4,FALSE)+VLOOKUP($A73,main!$A$3:$H$102,4,FALSE)+(VLOOKUP(VLOOKUP(AA$1,main!$A$3:$H$102,8,FALSE),main!$K$19:$O$22,MATCH(VLOOKUP($A73,main!$A$3:$H$102,7,FALSE),main!$K$18:$O$18,0),0))),0)</f>
        <v>313</v>
      </c>
      <c r="AB73">
        <f>IF((gamma!AB73),IF(VLOOKUP(AB$1,main!$A$3:$H$102,7,FALSE)=VLOOKUP($A73,main!$A$3:$H$102,8,FALSE),VLOOKUP(AB$1,main!$A$3:$H$102,4,FALSE),VLOOKUP(AB$1,main!$A$3:$H$102,4,FALSE)+VLOOKUP($A73,main!$A$3:$H$102,4,FALSE)+(VLOOKUP(VLOOKUP(AB$1,main!$A$3:$H$102,8,FALSE),main!$K$19:$O$22,MATCH(VLOOKUP($A73,main!$A$3:$H$102,7,FALSE),main!$K$18:$O$18,0),0))),0)</f>
        <v>0</v>
      </c>
      <c r="AC73">
        <f>IF((gamma!AC73),IF(VLOOKUP(AC$1,main!$A$3:$H$102,7,FALSE)=VLOOKUP($A73,main!$A$3:$H$102,8,FALSE),VLOOKUP(AC$1,main!$A$3:$H$102,4,FALSE),VLOOKUP(AC$1,main!$A$3:$H$102,4,FALSE)+VLOOKUP($A73,main!$A$3:$H$102,4,FALSE)+(VLOOKUP(VLOOKUP(AC$1,main!$A$3:$H$102,8,FALSE),main!$K$19:$O$22,MATCH(VLOOKUP($A73,main!$A$3:$H$102,7,FALSE),main!$K$18:$O$18,0),0))),0)</f>
        <v>0</v>
      </c>
      <c r="AD73">
        <f>IF((gamma!AD73),IF(VLOOKUP(AD$1,main!$A$3:$H$102,7,FALSE)=VLOOKUP($A73,main!$A$3:$H$102,8,FALSE),VLOOKUP(AD$1,main!$A$3:$H$102,4,FALSE),VLOOKUP(AD$1,main!$A$3:$H$102,4,FALSE)+VLOOKUP($A73,main!$A$3:$H$102,4,FALSE)+(VLOOKUP(VLOOKUP(AD$1,main!$A$3:$H$102,8,FALSE),main!$K$19:$O$22,MATCH(VLOOKUP($A73,main!$A$3:$H$102,7,FALSE),main!$K$18:$O$18,0),0))),0)</f>
        <v>308</v>
      </c>
      <c r="AE73">
        <f>IF((gamma!AE73),IF(VLOOKUP(AE$1,main!$A$3:$H$102,7,FALSE)=VLOOKUP($A73,main!$A$3:$H$102,8,FALSE),VLOOKUP(AE$1,main!$A$3:$H$102,4,FALSE),VLOOKUP(AE$1,main!$A$3:$H$102,4,FALSE)+VLOOKUP($A73,main!$A$3:$H$102,4,FALSE)+(VLOOKUP(VLOOKUP(AE$1,main!$A$3:$H$102,8,FALSE),main!$K$19:$O$22,MATCH(VLOOKUP($A73,main!$A$3:$H$102,7,FALSE),main!$K$18:$O$18,0),0))),0)</f>
        <v>313</v>
      </c>
      <c r="AF73">
        <f>IF((gamma!AF73),IF(VLOOKUP(AF$1,main!$A$3:$H$102,7,FALSE)=VLOOKUP($A73,main!$A$3:$H$102,8,FALSE),VLOOKUP(AF$1,main!$A$3:$H$102,4,FALSE),VLOOKUP(AF$1,main!$A$3:$H$102,4,FALSE)+VLOOKUP($A73,main!$A$3:$H$102,4,FALSE)+(VLOOKUP(VLOOKUP(AF$1,main!$A$3:$H$102,8,FALSE),main!$K$19:$O$22,MATCH(VLOOKUP($A73,main!$A$3:$H$102,7,FALSE),main!$K$18:$O$18,0),0))),0)</f>
        <v>273</v>
      </c>
      <c r="AG73">
        <f>IF((gamma!AG73),IF(VLOOKUP(AG$1,main!$A$3:$H$102,7,FALSE)=VLOOKUP($A73,main!$A$3:$H$102,8,FALSE),VLOOKUP(AG$1,main!$A$3:$H$102,4,FALSE),VLOOKUP(AG$1,main!$A$3:$H$102,4,FALSE)+VLOOKUP($A73,main!$A$3:$H$102,4,FALSE)+(VLOOKUP(VLOOKUP(AG$1,main!$A$3:$H$102,8,FALSE),main!$K$19:$O$22,MATCH(VLOOKUP($A73,main!$A$3:$H$102,7,FALSE),main!$K$18:$O$18,0),0))),0)</f>
        <v>0</v>
      </c>
      <c r="AH73">
        <f>IF((gamma!AH73),IF(VLOOKUP(AH$1,main!$A$3:$H$102,7,FALSE)=VLOOKUP($A73,main!$A$3:$H$102,8,FALSE),VLOOKUP(AH$1,main!$A$3:$H$102,4,FALSE),VLOOKUP(AH$1,main!$A$3:$H$102,4,FALSE)+VLOOKUP($A73,main!$A$3:$H$102,4,FALSE)+(VLOOKUP(VLOOKUP(AH$1,main!$A$3:$H$102,8,FALSE),main!$K$19:$O$22,MATCH(VLOOKUP($A73,main!$A$3:$H$102,7,FALSE),main!$K$18:$O$18,0),0))),0)</f>
        <v>0</v>
      </c>
      <c r="AI73">
        <f>IF((gamma!AI73),IF(VLOOKUP(AI$1,main!$A$3:$H$102,7,FALSE)=VLOOKUP($A73,main!$A$3:$H$102,8,FALSE),VLOOKUP(AI$1,main!$A$3:$H$102,4,FALSE),VLOOKUP(AI$1,main!$A$3:$H$102,4,FALSE)+VLOOKUP($A73,main!$A$3:$H$102,4,FALSE)+(VLOOKUP(VLOOKUP(AI$1,main!$A$3:$H$102,8,FALSE),main!$K$19:$O$22,MATCH(VLOOKUP($A73,main!$A$3:$H$102,7,FALSE),main!$K$18:$O$18,0),0))),0)</f>
        <v>305</v>
      </c>
      <c r="AJ73">
        <f>IF((gamma!AJ73),IF(VLOOKUP(AJ$1,main!$A$3:$H$102,7,FALSE)=VLOOKUP($A73,main!$A$3:$H$102,8,FALSE),VLOOKUP(AJ$1,main!$A$3:$H$102,4,FALSE),VLOOKUP(AJ$1,main!$A$3:$H$102,4,FALSE)+VLOOKUP($A73,main!$A$3:$H$102,4,FALSE)+(VLOOKUP(VLOOKUP(AJ$1,main!$A$3:$H$102,8,FALSE),main!$K$19:$O$22,MATCH(VLOOKUP($A73,main!$A$3:$H$102,7,FALSE),main!$K$18:$O$18,0),0))),0)</f>
        <v>305</v>
      </c>
      <c r="AK73">
        <f>IF((gamma!AK73),IF(VLOOKUP(AK$1,main!$A$3:$H$102,7,FALSE)=VLOOKUP($A73,main!$A$3:$H$102,8,FALSE),VLOOKUP(AK$1,main!$A$3:$H$102,4,FALSE),VLOOKUP(AK$1,main!$A$3:$H$102,4,FALSE)+VLOOKUP($A73,main!$A$3:$H$102,4,FALSE)+(VLOOKUP(VLOOKUP(AK$1,main!$A$3:$H$102,8,FALSE),main!$K$19:$O$22,MATCH(VLOOKUP($A73,main!$A$3:$H$102,7,FALSE),main!$K$18:$O$18,0),0))),0)</f>
        <v>305</v>
      </c>
      <c r="AL73">
        <f>IF((gamma!AL73),IF(VLOOKUP(AL$1,main!$A$3:$H$102,7,FALSE)=VLOOKUP($A73,main!$A$3:$H$102,8,FALSE),VLOOKUP(AL$1,main!$A$3:$H$102,4,FALSE),VLOOKUP(AL$1,main!$A$3:$H$102,4,FALSE)+VLOOKUP($A73,main!$A$3:$H$102,4,FALSE)+(VLOOKUP(VLOOKUP(AL$1,main!$A$3:$H$102,8,FALSE),main!$K$19:$O$22,MATCH(VLOOKUP($A73,main!$A$3:$H$102,7,FALSE),main!$K$18:$O$18,0),0))),0)</f>
        <v>305</v>
      </c>
      <c r="AM73">
        <f>IF((gamma!AM73),IF(VLOOKUP(AM$1,main!$A$3:$H$102,7,FALSE)=VLOOKUP($A73,main!$A$3:$H$102,8,FALSE),VLOOKUP(AM$1,main!$A$3:$H$102,4,FALSE),VLOOKUP(AM$1,main!$A$3:$H$102,4,FALSE)+VLOOKUP($A73,main!$A$3:$H$102,4,FALSE)+(VLOOKUP(VLOOKUP(AM$1,main!$A$3:$H$102,8,FALSE),main!$K$19:$O$22,MATCH(VLOOKUP($A73,main!$A$3:$H$102,7,FALSE),main!$K$18:$O$18,0),0))),0)</f>
        <v>305</v>
      </c>
      <c r="AN73">
        <f>IF((gamma!AN73),IF(VLOOKUP(AN$1,main!$A$3:$H$102,7,FALSE)=VLOOKUP($A73,main!$A$3:$H$102,8,FALSE),VLOOKUP(AN$1,main!$A$3:$H$102,4,FALSE),VLOOKUP(AN$1,main!$A$3:$H$102,4,FALSE)+VLOOKUP($A73,main!$A$3:$H$102,4,FALSE)+(VLOOKUP(VLOOKUP(AN$1,main!$A$3:$H$102,8,FALSE),main!$K$19:$O$22,MATCH(VLOOKUP($A73,main!$A$3:$H$102,7,FALSE),main!$K$18:$O$18,0),0))),0)</f>
        <v>305</v>
      </c>
      <c r="AO73">
        <f>IF((gamma!AO73),IF(VLOOKUP(AO$1,main!$A$3:$H$102,7,FALSE)=VLOOKUP($A73,main!$A$3:$H$102,8,FALSE),VLOOKUP(AO$1,main!$A$3:$H$102,4,FALSE),VLOOKUP(AO$1,main!$A$3:$H$102,4,FALSE)+VLOOKUP($A73,main!$A$3:$H$102,4,FALSE)+(VLOOKUP(VLOOKUP(AO$1,main!$A$3:$H$102,8,FALSE),main!$K$19:$O$22,MATCH(VLOOKUP($A73,main!$A$3:$H$102,7,FALSE),main!$K$18:$O$18,0),0))),0)</f>
        <v>0</v>
      </c>
      <c r="AP73">
        <f>IF((gamma!AP73),IF(VLOOKUP(AP$1,main!$A$3:$H$102,7,FALSE)=VLOOKUP($A73,main!$A$3:$H$102,8,FALSE),VLOOKUP(AP$1,main!$A$3:$H$102,4,FALSE),VLOOKUP(AP$1,main!$A$3:$H$102,4,FALSE)+VLOOKUP($A73,main!$A$3:$H$102,4,FALSE)+(VLOOKUP(VLOOKUP(AP$1,main!$A$3:$H$102,8,FALSE),main!$K$19:$O$22,MATCH(VLOOKUP($A73,main!$A$3:$H$102,7,FALSE),main!$K$18:$O$18,0),0))),0)</f>
        <v>245</v>
      </c>
      <c r="AQ73">
        <f>IF((gamma!AQ73),IF(VLOOKUP(AQ$1,main!$A$3:$H$102,7,FALSE)=VLOOKUP($A73,main!$A$3:$H$102,8,FALSE),VLOOKUP(AQ$1,main!$A$3:$H$102,4,FALSE),VLOOKUP(AQ$1,main!$A$3:$H$102,4,FALSE)+VLOOKUP($A73,main!$A$3:$H$102,4,FALSE)+(VLOOKUP(VLOOKUP(AQ$1,main!$A$3:$H$102,8,FALSE),main!$K$19:$O$22,MATCH(VLOOKUP($A73,main!$A$3:$H$102,7,FALSE),main!$K$18:$O$18,0),0))),0)</f>
        <v>0</v>
      </c>
      <c r="AR73">
        <f>IF((gamma!AR73),IF(VLOOKUP(AR$1,main!$A$3:$H$102,7,FALSE)=VLOOKUP($A73,main!$A$3:$H$102,8,FALSE),VLOOKUP(AR$1,main!$A$3:$H$102,4,FALSE),VLOOKUP(AR$1,main!$A$3:$H$102,4,FALSE)+VLOOKUP($A73,main!$A$3:$H$102,4,FALSE)+(VLOOKUP(VLOOKUP(AR$1,main!$A$3:$H$102,8,FALSE),main!$K$19:$O$22,MATCH(VLOOKUP($A73,main!$A$3:$H$102,7,FALSE),main!$K$18:$O$18,0),0))),0)</f>
        <v>0</v>
      </c>
      <c r="AS73">
        <f>IF((gamma!AS73),IF(VLOOKUP(AS$1,main!$A$3:$H$102,7,FALSE)=VLOOKUP($A73,main!$A$3:$H$102,8,FALSE),VLOOKUP(AS$1,main!$A$3:$H$102,4,FALSE),VLOOKUP(AS$1,main!$A$3:$H$102,4,FALSE)+VLOOKUP($A73,main!$A$3:$H$102,4,FALSE)+(VLOOKUP(VLOOKUP(AS$1,main!$A$3:$H$102,8,FALSE),main!$K$19:$O$22,MATCH(VLOOKUP($A73,main!$A$3:$H$102,7,FALSE),main!$K$18:$O$18,0),0))),0)</f>
        <v>260</v>
      </c>
      <c r="AT73">
        <f>IF((gamma!AT73),IF(VLOOKUP(AT$1,main!$A$3:$H$102,7,FALSE)=VLOOKUP($A73,main!$A$3:$H$102,8,FALSE),VLOOKUP(AT$1,main!$A$3:$H$102,4,FALSE),VLOOKUP(AT$1,main!$A$3:$H$102,4,FALSE)+VLOOKUP($A73,main!$A$3:$H$102,4,FALSE)+(VLOOKUP(VLOOKUP(AT$1,main!$A$3:$H$102,8,FALSE),main!$K$19:$O$22,MATCH(VLOOKUP($A73,main!$A$3:$H$102,7,FALSE),main!$K$18:$O$18,0),0))),0)</f>
        <v>270</v>
      </c>
      <c r="AU73">
        <f>IF((gamma!AU73),IF(VLOOKUP(AU$1,main!$A$3:$H$102,7,FALSE)=VLOOKUP($A73,main!$A$3:$H$102,8,FALSE),VLOOKUP(AU$1,main!$A$3:$H$102,4,FALSE),VLOOKUP(AU$1,main!$A$3:$H$102,4,FALSE)+VLOOKUP($A73,main!$A$3:$H$102,4,FALSE)+(VLOOKUP(VLOOKUP(AU$1,main!$A$3:$H$102,8,FALSE),main!$K$19:$O$22,MATCH(VLOOKUP($A73,main!$A$3:$H$102,7,FALSE),main!$K$18:$O$18,0),0))),0)</f>
        <v>0</v>
      </c>
      <c r="AV73">
        <f>IF((gamma!AV73),IF(VLOOKUP(AV$1,main!$A$3:$H$102,7,FALSE)=VLOOKUP($A73,main!$A$3:$H$102,8,FALSE),VLOOKUP(AV$1,main!$A$3:$H$102,4,FALSE),VLOOKUP(AV$1,main!$A$3:$H$102,4,FALSE)+VLOOKUP($A73,main!$A$3:$H$102,4,FALSE)+(VLOOKUP(VLOOKUP(AV$1,main!$A$3:$H$102,8,FALSE),main!$K$19:$O$22,MATCH(VLOOKUP($A73,main!$A$3:$H$102,7,FALSE),main!$K$18:$O$18,0),0))),0)</f>
        <v>0</v>
      </c>
      <c r="AW73">
        <f>IF((gamma!AW73),IF(VLOOKUP(AW$1,main!$A$3:$H$102,7,FALSE)=VLOOKUP($A73,main!$A$3:$H$102,8,FALSE),VLOOKUP(AW$1,main!$A$3:$H$102,4,FALSE),VLOOKUP(AW$1,main!$A$3:$H$102,4,FALSE)+VLOOKUP($A73,main!$A$3:$H$102,4,FALSE)+(VLOOKUP(VLOOKUP(AW$1,main!$A$3:$H$102,8,FALSE),main!$K$19:$O$22,MATCH(VLOOKUP($A73,main!$A$3:$H$102,7,FALSE),main!$K$18:$O$18,0),0))),0)</f>
        <v>260</v>
      </c>
      <c r="AX73">
        <f>IF((gamma!AX73),IF(VLOOKUP(AX$1,main!$A$3:$H$102,7,FALSE)=VLOOKUP($A73,main!$A$3:$H$102,8,FALSE),VLOOKUP(AX$1,main!$A$3:$H$102,4,FALSE),VLOOKUP(AX$1,main!$A$3:$H$102,4,FALSE)+VLOOKUP($A73,main!$A$3:$H$102,4,FALSE)+(VLOOKUP(VLOOKUP(AX$1,main!$A$3:$H$102,8,FALSE),main!$K$19:$O$22,MATCH(VLOOKUP($A73,main!$A$3:$H$102,7,FALSE),main!$K$18:$O$18,0),0))),0)</f>
        <v>245</v>
      </c>
      <c r="AY73">
        <f>IF((gamma!AY73),IF(VLOOKUP(AY$1,main!$A$3:$H$102,7,FALSE)=VLOOKUP($A73,main!$A$3:$H$102,8,FALSE),VLOOKUP(AY$1,main!$A$3:$H$102,4,FALSE),VLOOKUP(AY$1,main!$A$3:$H$102,4,FALSE)+VLOOKUP($A73,main!$A$3:$H$102,4,FALSE)+(VLOOKUP(VLOOKUP(AY$1,main!$A$3:$H$102,8,FALSE),main!$K$19:$O$22,MATCH(VLOOKUP($A73,main!$A$3:$H$102,7,FALSE),main!$K$18:$O$18,0),0))),0)</f>
        <v>0</v>
      </c>
      <c r="AZ73">
        <f>IF((gamma!AZ73),IF(VLOOKUP(AZ$1,main!$A$3:$H$102,7,FALSE)=VLOOKUP($A73,main!$A$3:$H$102,8,FALSE),VLOOKUP(AZ$1,main!$A$3:$H$102,4,FALSE),VLOOKUP(AZ$1,main!$A$3:$H$102,4,FALSE)+VLOOKUP($A73,main!$A$3:$H$102,4,FALSE)+(VLOOKUP(VLOOKUP(AZ$1,main!$A$3:$H$102,8,FALSE),main!$K$19:$O$22,MATCH(VLOOKUP($A73,main!$A$3:$H$102,7,FALSE),main!$K$18:$O$18,0),0))),0)</f>
        <v>275</v>
      </c>
      <c r="BA73">
        <f>IF((gamma!BA73),IF(VLOOKUP(BA$1,main!$A$3:$H$102,7,FALSE)=VLOOKUP($A73,main!$A$3:$H$102,8,FALSE),VLOOKUP(BA$1,main!$A$3:$H$102,4,FALSE),VLOOKUP(BA$1,main!$A$3:$H$102,4,FALSE)+VLOOKUP($A73,main!$A$3:$H$102,4,FALSE)+(VLOOKUP(VLOOKUP(BA$1,main!$A$3:$H$102,8,FALSE),main!$K$19:$O$22,MATCH(VLOOKUP($A73,main!$A$3:$H$102,7,FALSE),main!$K$18:$O$18,0),0))),0)</f>
        <v>0</v>
      </c>
      <c r="BB73">
        <f>IF((gamma!BB73),IF(VLOOKUP(BB$1,main!$A$3:$H$102,7,FALSE)=VLOOKUP($A73,main!$A$3:$H$102,8,FALSE),VLOOKUP(BB$1,main!$A$3:$H$102,4,FALSE),VLOOKUP(BB$1,main!$A$3:$H$102,4,FALSE)+VLOOKUP($A73,main!$A$3:$H$102,4,FALSE)+(VLOOKUP(VLOOKUP(BB$1,main!$A$3:$H$102,8,FALSE),main!$K$19:$O$22,MATCH(VLOOKUP($A73,main!$A$3:$H$102,7,FALSE),main!$K$18:$O$18,0),0))),0)</f>
        <v>310</v>
      </c>
      <c r="BC73">
        <f>IF((gamma!BC73),IF(VLOOKUP(BC$1,main!$A$3:$H$102,7,FALSE)=VLOOKUP($A73,main!$A$3:$H$102,8,FALSE),VLOOKUP(BC$1,main!$A$3:$H$102,4,FALSE),VLOOKUP(BC$1,main!$A$3:$H$102,4,FALSE)+VLOOKUP($A73,main!$A$3:$H$102,4,FALSE)+(VLOOKUP(VLOOKUP(BC$1,main!$A$3:$H$102,8,FALSE),main!$K$19:$O$22,MATCH(VLOOKUP($A73,main!$A$3:$H$102,7,FALSE),main!$K$18:$O$18,0),0))),0)</f>
        <v>310</v>
      </c>
      <c r="BD73">
        <f>IF((gamma!BD73),IF(VLOOKUP(BD$1,main!$A$3:$H$102,7,FALSE)=VLOOKUP($A73,main!$A$3:$H$102,8,FALSE),VLOOKUP(BD$1,main!$A$3:$H$102,4,FALSE),VLOOKUP(BD$1,main!$A$3:$H$102,4,FALSE)+VLOOKUP($A73,main!$A$3:$H$102,4,FALSE)+(VLOOKUP(VLOOKUP(BD$1,main!$A$3:$H$102,8,FALSE),main!$K$19:$O$22,MATCH(VLOOKUP($A73,main!$A$3:$H$102,7,FALSE),main!$K$18:$O$18,0),0))),0)</f>
        <v>310</v>
      </c>
      <c r="BE73">
        <f>IF((gamma!BE73),IF(VLOOKUP(BE$1,main!$A$3:$H$102,7,FALSE)=VLOOKUP($A73,main!$A$3:$H$102,8,FALSE),VLOOKUP(BE$1,main!$A$3:$H$102,4,FALSE),VLOOKUP(BE$1,main!$A$3:$H$102,4,FALSE)+VLOOKUP($A73,main!$A$3:$H$102,4,FALSE)+(VLOOKUP(VLOOKUP(BE$1,main!$A$3:$H$102,8,FALSE),main!$K$19:$O$22,MATCH(VLOOKUP($A73,main!$A$3:$H$102,7,FALSE),main!$K$18:$O$18,0),0))),0)</f>
        <v>310</v>
      </c>
      <c r="BF73">
        <f>IF((gamma!BF73),IF(VLOOKUP(BF$1,main!$A$3:$H$102,7,FALSE)=VLOOKUP($A73,main!$A$3:$H$102,8,FALSE),VLOOKUP(BF$1,main!$A$3:$H$102,4,FALSE),VLOOKUP(BF$1,main!$A$3:$H$102,4,FALSE)+VLOOKUP($A73,main!$A$3:$H$102,4,FALSE)+(VLOOKUP(VLOOKUP(BF$1,main!$A$3:$H$102,8,FALSE),main!$K$19:$O$22,MATCH(VLOOKUP($A73,main!$A$3:$H$102,7,FALSE),main!$K$18:$O$18,0),0))),0)</f>
        <v>0</v>
      </c>
      <c r="BG73">
        <f>IF((gamma!BG73),IF(VLOOKUP(BG$1,main!$A$3:$H$102,7,FALSE)=VLOOKUP($A73,main!$A$3:$H$102,8,FALSE),VLOOKUP(BG$1,main!$A$3:$H$102,4,FALSE),VLOOKUP(BG$1,main!$A$3:$H$102,4,FALSE)+VLOOKUP($A73,main!$A$3:$H$102,4,FALSE)+(VLOOKUP(VLOOKUP(BG$1,main!$A$3:$H$102,8,FALSE),main!$K$19:$O$22,MATCH(VLOOKUP($A73,main!$A$3:$H$102,7,FALSE),main!$K$18:$O$18,0),0))),0)</f>
        <v>0</v>
      </c>
      <c r="BH73">
        <f>IF((gamma!BH73),IF(VLOOKUP(BH$1,main!$A$3:$H$102,7,FALSE)=VLOOKUP($A73,main!$A$3:$H$102,8,FALSE),VLOOKUP(BH$1,main!$A$3:$H$102,4,FALSE),VLOOKUP(BH$1,main!$A$3:$H$102,4,FALSE)+VLOOKUP($A73,main!$A$3:$H$102,4,FALSE)+(VLOOKUP(VLOOKUP(BH$1,main!$A$3:$H$102,8,FALSE),main!$K$19:$O$22,MATCH(VLOOKUP($A73,main!$A$3:$H$102,7,FALSE),main!$K$18:$O$18,0),0))),0)</f>
        <v>295</v>
      </c>
      <c r="BI73">
        <f>IF((gamma!BI73),IF(VLOOKUP(BI$1,main!$A$3:$H$102,7,FALSE)=VLOOKUP($A73,main!$A$3:$H$102,8,FALSE),VLOOKUP(BI$1,main!$A$3:$H$102,4,FALSE),VLOOKUP(BI$1,main!$A$3:$H$102,4,FALSE)+VLOOKUP($A73,main!$A$3:$H$102,4,FALSE)+(VLOOKUP(VLOOKUP(BI$1,main!$A$3:$H$102,8,FALSE),main!$K$19:$O$22,MATCH(VLOOKUP($A73,main!$A$3:$H$102,7,FALSE),main!$K$18:$O$18,0),0))),0)</f>
        <v>230</v>
      </c>
      <c r="BJ73">
        <f>IF((gamma!BJ73),IF(VLOOKUP(BJ$1,main!$A$3:$H$102,7,FALSE)=VLOOKUP($A73,main!$A$3:$H$102,8,FALSE),VLOOKUP(BJ$1,main!$A$3:$H$102,4,FALSE),VLOOKUP(BJ$1,main!$A$3:$H$102,4,FALSE)+VLOOKUP($A73,main!$A$3:$H$102,4,FALSE)+(VLOOKUP(VLOOKUP(BJ$1,main!$A$3:$H$102,8,FALSE),main!$K$19:$O$22,MATCH(VLOOKUP($A73,main!$A$3:$H$102,7,FALSE),main!$K$18:$O$18,0),0))),0)</f>
        <v>260</v>
      </c>
      <c r="BK73">
        <f>IF((gamma!BK73),IF(VLOOKUP(BK$1,main!$A$3:$H$102,7,FALSE)=VLOOKUP($A73,main!$A$3:$H$102,8,FALSE),VLOOKUP(BK$1,main!$A$3:$H$102,4,FALSE),VLOOKUP(BK$1,main!$A$3:$H$102,4,FALSE)+VLOOKUP($A73,main!$A$3:$H$102,4,FALSE)+(VLOOKUP(VLOOKUP(BK$1,main!$A$3:$H$102,8,FALSE),main!$K$19:$O$22,MATCH(VLOOKUP($A73,main!$A$3:$H$102,7,FALSE),main!$K$18:$O$18,0),0))),0)</f>
        <v>0</v>
      </c>
      <c r="BL73">
        <f>IF((gamma!BL73),IF(VLOOKUP(BL$1,main!$A$3:$H$102,7,FALSE)=VLOOKUP($A73,main!$A$3:$H$102,8,FALSE),VLOOKUP(BL$1,main!$A$3:$H$102,4,FALSE),VLOOKUP(BL$1,main!$A$3:$H$102,4,FALSE)+VLOOKUP($A73,main!$A$3:$H$102,4,FALSE)+(VLOOKUP(VLOOKUP(BL$1,main!$A$3:$H$102,8,FALSE),main!$K$19:$O$22,MATCH(VLOOKUP($A73,main!$A$3:$H$102,7,FALSE),main!$K$18:$O$18,0),0))),0)</f>
        <v>0</v>
      </c>
      <c r="BM73">
        <f>IF((gamma!BM73),IF(VLOOKUP(BM$1,main!$A$3:$H$102,7,FALSE)=VLOOKUP($A73,main!$A$3:$H$102,8,FALSE),VLOOKUP(BM$1,main!$A$3:$H$102,4,FALSE),VLOOKUP(BM$1,main!$A$3:$H$102,4,FALSE)+VLOOKUP($A73,main!$A$3:$H$102,4,FALSE)+(VLOOKUP(VLOOKUP(BM$1,main!$A$3:$H$102,8,FALSE),main!$K$19:$O$22,MATCH(VLOOKUP($A73,main!$A$3:$H$102,7,FALSE),main!$K$18:$O$18,0),0))),0)</f>
        <v>308</v>
      </c>
      <c r="BN73">
        <f>IF((gamma!BN73),IF(VLOOKUP(BN$1,main!$A$3:$H$102,7,FALSE)=VLOOKUP($A73,main!$A$3:$H$102,8,FALSE),VLOOKUP(BN$1,main!$A$3:$H$102,4,FALSE),VLOOKUP(BN$1,main!$A$3:$H$102,4,FALSE)+VLOOKUP($A73,main!$A$3:$H$102,4,FALSE)+(VLOOKUP(VLOOKUP(BN$1,main!$A$3:$H$102,8,FALSE),main!$K$19:$O$22,MATCH(VLOOKUP($A73,main!$A$3:$H$102,7,FALSE),main!$K$18:$O$18,0),0))),0)</f>
        <v>288</v>
      </c>
      <c r="BO73">
        <f>IF((gamma!BO73),IF(VLOOKUP(BO$1,main!$A$3:$H$102,7,FALSE)=VLOOKUP($A73,main!$A$3:$H$102,8,FALSE),VLOOKUP(BO$1,main!$A$3:$H$102,4,FALSE),VLOOKUP(BO$1,main!$A$3:$H$102,4,FALSE)+VLOOKUP($A73,main!$A$3:$H$102,4,FALSE)+(VLOOKUP(VLOOKUP(BO$1,main!$A$3:$H$102,8,FALSE),main!$K$19:$O$22,MATCH(VLOOKUP($A73,main!$A$3:$H$102,7,FALSE),main!$K$18:$O$18,0),0))),0)</f>
        <v>0</v>
      </c>
      <c r="BP73">
        <f>IF((gamma!BP73),IF(VLOOKUP(BP$1,main!$A$3:$H$102,7,FALSE)=VLOOKUP($A73,main!$A$3:$H$102,8,FALSE),VLOOKUP(BP$1,main!$A$3:$H$102,4,FALSE),VLOOKUP(BP$1,main!$A$3:$H$102,4,FALSE)+VLOOKUP($A73,main!$A$3:$H$102,4,FALSE)+(VLOOKUP(VLOOKUP(BP$1,main!$A$3:$H$102,8,FALSE),main!$K$19:$O$22,MATCH(VLOOKUP($A73,main!$A$3:$H$102,7,FALSE),main!$K$18:$O$18,0),0))),0)</f>
        <v>0</v>
      </c>
      <c r="BQ73">
        <f>IF((gamma!BQ73),IF(VLOOKUP(BQ$1,main!$A$3:$H$102,7,FALSE)=VLOOKUP($A73,main!$A$3:$H$102,8,FALSE),VLOOKUP(BQ$1,main!$A$3:$H$102,4,FALSE),VLOOKUP(BQ$1,main!$A$3:$H$102,4,FALSE)+VLOOKUP($A73,main!$A$3:$H$102,4,FALSE)+(VLOOKUP(VLOOKUP(BQ$1,main!$A$3:$H$102,8,FALSE),main!$K$19:$O$22,MATCH(VLOOKUP($A73,main!$A$3:$H$102,7,FALSE),main!$K$18:$O$18,0),0))),0)</f>
        <v>308</v>
      </c>
      <c r="BR73">
        <f>IF((gamma!BR73),IF(VLOOKUP(BR$1,main!$A$3:$H$102,7,FALSE)=VLOOKUP($A73,main!$A$3:$H$102,8,FALSE),VLOOKUP(BR$1,main!$A$3:$H$102,4,FALSE),VLOOKUP(BR$1,main!$A$3:$H$102,4,FALSE)+VLOOKUP($A73,main!$A$3:$H$102,4,FALSE)+(VLOOKUP(VLOOKUP(BR$1,main!$A$3:$H$102,8,FALSE),main!$K$19:$O$22,MATCH(VLOOKUP($A73,main!$A$3:$H$102,7,FALSE),main!$K$18:$O$18,0),0))),0)</f>
        <v>268</v>
      </c>
      <c r="BS73">
        <f>IF((gamma!BS73),IF(VLOOKUP(BS$1,main!$A$3:$H$102,7,FALSE)=VLOOKUP($A73,main!$A$3:$H$102,8,FALSE),VLOOKUP(BS$1,main!$A$3:$H$102,4,FALSE),VLOOKUP(BS$1,main!$A$3:$H$102,4,FALSE)+VLOOKUP($A73,main!$A$3:$H$102,4,FALSE)+(VLOOKUP(VLOOKUP(BS$1,main!$A$3:$H$102,8,FALSE),main!$K$19:$O$22,MATCH(VLOOKUP($A73,main!$A$3:$H$102,7,FALSE),main!$K$18:$O$18,0),0))),0)</f>
        <v>269</v>
      </c>
      <c r="BT73">
        <f>IF((gamma!BT73),IF(VLOOKUP(BT$1,main!$A$3:$H$102,7,FALSE)=VLOOKUP($A73,main!$A$3:$H$102,8,FALSE),VLOOKUP(BT$1,main!$A$3:$H$102,4,FALSE),VLOOKUP(BT$1,main!$A$3:$H$102,4,FALSE)+VLOOKUP($A73,main!$A$3:$H$102,4,FALSE)+(VLOOKUP(VLOOKUP(BT$1,main!$A$3:$H$102,8,FALSE),main!$K$19:$O$22,MATCH(VLOOKUP($A73,main!$A$3:$H$102,7,FALSE),main!$K$18:$O$18,0),0))),0)</f>
        <v>288</v>
      </c>
      <c r="BU73">
        <f>IF((gamma!BU73),IF(VLOOKUP(BU$1,main!$A$3:$H$102,7,FALSE)=VLOOKUP($A73,main!$A$3:$H$102,8,FALSE),VLOOKUP(BU$1,main!$A$3:$H$102,4,FALSE),VLOOKUP(BU$1,main!$A$3:$H$102,4,FALSE)+VLOOKUP($A73,main!$A$3:$H$102,4,FALSE)+(VLOOKUP(VLOOKUP(BU$1,main!$A$3:$H$102,8,FALSE),main!$K$19:$O$22,MATCH(VLOOKUP($A73,main!$A$3:$H$102,7,FALSE),main!$K$18:$O$18,0),0))),0)</f>
        <v>0</v>
      </c>
      <c r="BV73">
        <f>IF((gamma!BV73),IF(VLOOKUP(BV$1,main!$A$3:$H$102,7,FALSE)=VLOOKUP($A73,main!$A$3:$H$102,8,FALSE),VLOOKUP(BV$1,main!$A$3:$H$102,4,FALSE),VLOOKUP(BV$1,main!$A$3:$H$102,4,FALSE)+VLOOKUP($A73,main!$A$3:$H$102,4,FALSE)+(VLOOKUP(VLOOKUP(BV$1,main!$A$3:$H$102,8,FALSE),main!$K$19:$O$22,MATCH(VLOOKUP($A73,main!$A$3:$H$102,7,FALSE),main!$K$18:$O$18,0),0))),0)</f>
        <v>0</v>
      </c>
      <c r="BW73">
        <f>IF((gamma!BW73),IF(VLOOKUP(BW$1,main!$A$3:$H$102,7,FALSE)=VLOOKUP($A73,main!$A$3:$H$102,8,FALSE),VLOOKUP(BW$1,main!$A$3:$H$102,4,FALSE),VLOOKUP(BW$1,main!$A$3:$H$102,4,FALSE)+VLOOKUP($A73,main!$A$3:$H$102,4,FALSE)+(VLOOKUP(VLOOKUP(BW$1,main!$A$3:$H$102,8,FALSE),main!$K$19:$O$22,MATCH(VLOOKUP($A73,main!$A$3:$H$102,7,FALSE),main!$K$18:$O$18,0),0))),0)</f>
        <v>0</v>
      </c>
      <c r="BX73">
        <f>IF((gamma!BX73),IF(VLOOKUP(BX$1,main!$A$3:$H$102,7,FALSE)=VLOOKUP($A73,main!$A$3:$H$102,8,FALSE),VLOOKUP(BX$1,main!$A$3:$H$102,4,FALSE),VLOOKUP(BX$1,main!$A$3:$H$102,4,FALSE)+VLOOKUP($A73,main!$A$3:$H$102,4,FALSE)+(VLOOKUP(VLOOKUP(BX$1,main!$A$3:$H$102,8,FALSE),main!$K$19:$O$22,MATCH(VLOOKUP($A73,main!$A$3:$H$102,7,FALSE),main!$K$18:$O$18,0),0))),0)</f>
        <v>308</v>
      </c>
      <c r="BY73">
        <f>IF((gamma!BY73),IF(VLOOKUP(BY$1,main!$A$3:$H$102,7,FALSE)=VLOOKUP($A73,main!$A$3:$H$102,8,FALSE),VLOOKUP(BY$1,main!$A$3:$H$102,4,FALSE),VLOOKUP(BY$1,main!$A$3:$H$102,4,FALSE)+VLOOKUP($A73,main!$A$3:$H$102,4,FALSE)+(VLOOKUP(VLOOKUP(BY$1,main!$A$3:$H$102,8,FALSE),main!$K$19:$O$22,MATCH(VLOOKUP($A73,main!$A$3:$H$102,7,FALSE),main!$K$18:$O$18,0),0))),0)</f>
        <v>293</v>
      </c>
      <c r="BZ73">
        <f>IF((gamma!BZ73),IF(VLOOKUP(BZ$1,main!$A$3:$H$102,7,FALSE)=VLOOKUP($A73,main!$A$3:$H$102,8,FALSE),VLOOKUP(BZ$1,main!$A$3:$H$102,4,FALSE),VLOOKUP(BZ$1,main!$A$3:$H$102,4,FALSE)+VLOOKUP($A73,main!$A$3:$H$102,4,FALSE)+(VLOOKUP(VLOOKUP(BZ$1,main!$A$3:$H$102,8,FALSE),main!$K$19:$O$22,MATCH(VLOOKUP($A73,main!$A$3:$H$102,7,FALSE),main!$K$18:$O$18,0),0))),0)</f>
        <v>0</v>
      </c>
      <c r="CA73">
        <f>IF((gamma!CA73),IF(VLOOKUP(CA$1,main!$A$3:$H$102,7,FALSE)=VLOOKUP($A73,main!$A$3:$H$102,8,FALSE),VLOOKUP(CA$1,main!$A$3:$H$102,4,FALSE),VLOOKUP(CA$1,main!$A$3:$H$102,4,FALSE)+VLOOKUP($A73,main!$A$3:$H$102,4,FALSE)+(VLOOKUP(VLOOKUP(CA$1,main!$A$3:$H$102,8,FALSE),main!$K$19:$O$22,MATCH(VLOOKUP($A73,main!$A$3:$H$102,7,FALSE),main!$K$18:$O$18,0),0))),0)</f>
        <v>0</v>
      </c>
      <c r="CB73">
        <f>IF((gamma!CB73),IF(VLOOKUP(CB$1,main!$A$3:$H$102,7,FALSE)=VLOOKUP($A73,main!$A$3:$H$102,8,FALSE),VLOOKUP(CB$1,main!$A$3:$H$102,4,FALSE),VLOOKUP(CB$1,main!$A$3:$H$102,4,FALSE)+VLOOKUP($A73,main!$A$3:$H$102,4,FALSE)+(VLOOKUP(VLOOKUP(CB$1,main!$A$3:$H$102,8,FALSE),main!$K$19:$O$22,MATCH(VLOOKUP($A73,main!$A$3:$H$102,7,FALSE),main!$K$18:$O$18,0),0))),0)</f>
        <v>238</v>
      </c>
      <c r="CC73">
        <f>IF((gamma!CC73),IF(VLOOKUP(CC$1,main!$A$3:$H$102,7,FALSE)=VLOOKUP($A73,main!$A$3:$H$102,8,FALSE),VLOOKUP(CC$1,main!$A$3:$H$102,4,FALSE),VLOOKUP(CC$1,main!$A$3:$H$102,4,FALSE)+VLOOKUP($A73,main!$A$3:$H$102,4,FALSE)+(VLOOKUP(VLOOKUP(CC$1,main!$A$3:$H$102,8,FALSE),main!$K$19:$O$22,MATCH(VLOOKUP($A73,main!$A$3:$H$102,7,FALSE),main!$K$18:$O$18,0),0))),0)</f>
        <v>228</v>
      </c>
      <c r="CD73">
        <f>IF((gamma!CD73),IF(VLOOKUP(CD$1,main!$A$3:$H$102,7,FALSE)=VLOOKUP($A73,main!$A$3:$H$102,8,FALSE),VLOOKUP(CD$1,main!$A$3:$H$102,4,FALSE),VLOOKUP(CD$1,main!$A$3:$H$102,4,FALSE)+VLOOKUP($A73,main!$A$3:$H$102,4,FALSE)+(VLOOKUP(VLOOKUP(CD$1,main!$A$3:$H$102,8,FALSE),main!$K$19:$O$22,MATCH(VLOOKUP($A73,main!$A$3:$H$102,7,FALSE),main!$K$18:$O$18,0),0))),0)</f>
        <v>287</v>
      </c>
      <c r="CE73">
        <f>IF((gamma!CE73),IF(VLOOKUP(CE$1,main!$A$3:$H$102,7,FALSE)=VLOOKUP($A73,main!$A$3:$H$102,8,FALSE),VLOOKUP(CE$1,main!$A$3:$H$102,4,FALSE),VLOOKUP(CE$1,main!$A$3:$H$102,4,FALSE)+VLOOKUP($A73,main!$A$3:$H$102,4,FALSE)+(VLOOKUP(VLOOKUP(CE$1,main!$A$3:$H$102,8,FALSE),main!$K$19:$O$22,MATCH(VLOOKUP($A73,main!$A$3:$H$102,7,FALSE),main!$K$18:$O$18,0),0))),0)</f>
        <v>140</v>
      </c>
      <c r="CF73">
        <f>IF((gamma!CF73),IF(VLOOKUP(CF$1,main!$A$3:$H$102,7,FALSE)=VLOOKUP($A73,main!$A$3:$H$102,8,FALSE),VLOOKUP(CF$1,main!$A$3:$H$102,4,FALSE),VLOOKUP(CF$1,main!$A$3:$H$102,4,FALSE)+VLOOKUP($A73,main!$A$3:$H$102,4,FALSE)+(VLOOKUP(VLOOKUP(CF$1,main!$A$3:$H$102,8,FALSE),main!$K$19:$O$22,MATCH(VLOOKUP($A73,main!$A$3:$H$102,7,FALSE),main!$K$18:$O$18,0),0))),0)</f>
        <v>135</v>
      </c>
      <c r="CG73">
        <f>IF((gamma!CG73),IF(VLOOKUP(CG$1,main!$A$3:$H$102,7,FALSE)=VLOOKUP($A73,main!$A$3:$H$102,8,FALSE),VLOOKUP(CG$1,main!$A$3:$H$102,4,FALSE),VLOOKUP(CG$1,main!$A$3:$H$102,4,FALSE)+VLOOKUP($A73,main!$A$3:$H$102,4,FALSE)+(VLOOKUP(VLOOKUP(CG$1,main!$A$3:$H$102,8,FALSE),main!$K$19:$O$22,MATCH(VLOOKUP($A73,main!$A$3:$H$102,7,FALSE),main!$K$18:$O$18,0),0))),0)</f>
        <v>140</v>
      </c>
      <c r="CH73">
        <f>IF((gamma!CH73),IF(VLOOKUP(CH$1,main!$A$3:$H$102,7,FALSE)=VLOOKUP($A73,main!$A$3:$H$102,8,FALSE),VLOOKUP(CH$1,main!$A$3:$H$102,4,FALSE),VLOOKUP(CH$1,main!$A$3:$H$102,4,FALSE)+VLOOKUP($A73,main!$A$3:$H$102,4,FALSE)+(VLOOKUP(VLOOKUP(CH$1,main!$A$3:$H$102,8,FALSE),main!$K$19:$O$22,MATCH(VLOOKUP($A73,main!$A$3:$H$102,7,FALSE),main!$K$18:$O$18,0),0))),0)</f>
        <v>140</v>
      </c>
      <c r="CI73">
        <f>IF((gamma!CI73),IF(VLOOKUP(CI$1,main!$A$3:$H$102,7,FALSE)=VLOOKUP($A73,main!$A$3:$H$102,8,FALSE),VLOOKUP(CI$1,main!$A$3:$H$102,4,FALSE),VLOOKUP(CI$1,main!$A$3:$H$102,4,FALSE)+VLOOKUP($A73,main!$A$3:$H$102,4,FALSE)+(VLOOKUP(VLOOKUP(CI$1,main!$A$3:$H$102,8,FALSE),main!$K$19:$O$22,MATCH(VLOOKUP($A73,main!$A$3:$H$102,7,FALSE),main!$K$18:$O$18,0),0))),0)</f>
        <v>140</v>
      </c>
      <c r="CJ73">
        <f>IF((gamma!CJ73),IF(VLOOKUP(CJ$1,main!$A$3:$H$102,7,FALSE)=VLOOKUP($A73,main!$A$3:$H$102,8,FALSE),VLOOKUP(CJ$1,main!$A$3:$H$102,4,FALSE),VLOOKUP(CJ$1,main!$A$3:$H$102,4,FALSE)+VLOOKUP($A73,main!$A$3:$H$102,4,FALSE)+(VLOOKUP(VLOOKUP(CJ$1,main!$A$3:$H$102,8,FALSE),main!$K$19:$O$22,MATCH(VLOOKUP($A73,main!$A$3:$H$102,7,FALSE),main!$K$18:$O$18,0),0))),0)</f>
        <v>68</v>
      </c>
      <c r="CK73">
        <f>IF((gamma!CK73),IF(VLOOKUP(CK$1,main!$A$3:$H$102,7,FALSE)=VLOOKUP($A73,main!$A$3:$H$102,8,FALSE),VLOOKUP(CK$1,main!$A$3:$H$102,4,FALSE),VLOOKUP(CK$1,main!$A$3:$H$102,4,FALSE)+VLOOKUP($A73,main!$A$3:$H$102,4,FALSE)+(VLOOKUP(VLOOKUP(CK$1,main!$A$3:$H$102,8,FALSE),main!$K$19:$O$22,MATCH(VLOOKUP($A73,main!$A$3:$H$102,7,FALSE),main!$K$18:$O$18,0),0))),0)</f>
        <v>75</v>
      </c>
      <c r="CL73">
        <f>IF((gamma!CL73),IF(VLOOKUP(CL$1,main!$A$3:$H$102,7,FALSE)=VLOOKUP($A73,main!$A$3:$H$102,8,FALSE),VLOOKUP(CL$1,main!$A$3:$H$102,4,FALSE),VLOOKUP(CL$1,main!$A$3:$H$102,4,FALSE)+VLOOKUP($A73,main!$A$3:$H$102,4,FALSE)+(VLOOKUP(VLOOKUP(CL$1,main!$A$3:$H$102,8,FALSE),main!$K$19:$O$22,MATCH(VLOOKUP($A73,main!$A$3:$H$102,7,FALSE),main!$K$18:$O$18,0),0))),0)</f>
        <v>80</v>
      </c>
      <c r="CM73">
        <f>IF((gamma!CM73),IF(VLOOKUP(CM$1,main!$A$3:$H$102,7,FALSE)=VLOOKUP($A73,main!$A$3:$H$102,8,FALSE),VLOOKUP(CM$1,main!$A$3:$H$102,4,FALSE),VLOOKUP(CM$1,main!$A$3:$H$102,4,FALSE)+VLOOKUP($A73,main!$A$3:$H$102,4,FALSE)+(VLOOKUP(VLOOKUP(CM$1,main!$A$3:$H$102,8,FALSE),main!$K$19:$O$22,MATCH(VLOOKUP($A73,main!$A$3:$H$102,7,FALSE),main!$K$18:$O$18,0),0))),0)</f>
        <v>100</v>
      </c>
      <c r="CN73">
        <f>IF((gamma!CN73),IF(VLOOKUP(CN$1,main!$A$3:$H$102,7,FALSE)=VLOOKUP($A73,main!$A$3:$H$102,8,FALSE),VLOOKUP(CN$1,main!$A$3:$H$102,4,FALSE),VLOOKUP(CN$1,main!$A$3:$H$102,4,FALSE)+VLOOKUP($A73,main!$A$3:$H$102,4,FALSE)+(VLOOKUP(VLOOKUP(CN$1,main!$A$3:$H$102,8,FALSE),main!$K$19:$O$22,MATCH(VLOOKUP($A73,main!$A$3:$H$102,7,FALSE),main!$K$18:$O$18,0),0))),0)</f>
        <v>96</v>
      </c>
      <c r="CO73">
        <f>IF((gamma!CO73),IF(VLOOKUP(CO$1,main!$A$3:$H$102,7,FALSE)=VLOOKUP($A73,main!$A$3:$H$102,8,FALSE),VLOOKUP(CO$1,main!$A$3:$H$102,4,FALSE),VLOOKUP(CO$1,main!$A$3:$H$102,4,FALSE)+VLOOKUP($A73,main!$A$3:$H$102,4,FALSE)+(VLOOKUP(VLOOKUP(CO$1,main!$A$3:$H$102,8,FALSE),main!$K$19:$O$22,MATCH(VLOOKUP($A73,main!$A$3:$H$102,7,FALSE),main!$K$18:$O$18,0),0))),0)</f>
        <v>140</v>
      </c>
      <c r="CP73">
        <f>IF((gamma!CP73),IF(VLOOKUP(CP$1,main!$A$3:$H$102,7,FALSE)=VLOOKUP($A73,main!$A$3:$H$102,8,FALSE),VLOOKUP(CP$1,main!$A$3:$H$102,4,FALSE),VLOOKUP(CP$1,main!$A$3:$H$102,4,FALSE)+VLOOKUP($A73,main!$A$3:$H$102,4,FALSE)+(VLOOKUP(VLOOKUP(CP$1,main!$A$3:$H$102,8,FALSE),main!$K$19:$O$22,MATCH(VLOOKUP($A73,main!$A$3:$H$102,7,FALSE),main!$K$18:$O$18,0),0))),0)</f>
        <v>120</v>
      </c>
      <c r="CQ73">
        <f>IF((gamma!CQ73),IF(VLOOKUP(CQ$1,main!$A$3:$H$102,7,FALSE)=VLOOKUP($A73,main!$A$3:$H$102,8,FALSE),VLOOKUP(CQ$1,main!$A$3:$H$102,4,FALSE),VLOOKUP(CQ$1,main!$A$3:$H$102,4,FALSE)+VLOOKUP($A73,main!$A$3:$H$102,4,FALSE)+(VLOOKUP(VLOOKUP(CQ$1,main!$A$3:$H$102,8,FALSE),main!$K$19:$O$22,MATCH(VLOOKUP($A73,main!$A$3:$H$102,7,FALSE),main!$K$18:$O$18,0),0))),0)</f>
        <v>120</v>
      </c>
      <c r="CR73">
        <f>IF((gamma!CR73),IF(VLOOKUP(CR$1,main!$A$3:$H$102,7,FALSE)=VLOOKUP($A73,main!$A$3:$H$102,8,FALSE),VLOOKUP(CR$1,main!$A$3:$H$102,4,FALSE),VLOOKUP(CR$1,main!$A$3:$H$102,4,FALSE)+VLOOKUP($A73,main!$A$3:$H$102,4,FALSE)+(VLOOKUP(VLOOKUP(CR$1,main!$A$3:$H$102,8,FALSE),main!$K$19:$O$22,MATCH(VLOOKUP($A73,main!$A$3:$H$102,7,FALSE),main!$K$18:$O$18,0),0))),0)</f>
        <v>135</v>
      </c>
      <c r="CS73">
        <f>IF((gamma!CS73),IF(VLOOKUP(CS$1,main!$A$3:$H$102,7,FALSE)=VLOOKUP($A73,main!$A$3:$H$102,8,FALSE),VLOOKUP(CS$1,main!$A$3:$H$102,4,FALSE),VLOOKUP(CS$1,main!$A$3:$H$102,4,FALSE)+VLOOKUP($A73,main!$A$3:$H$102,4,FALSE)+(VLOOKUP(VLOOKUP(CS$1,main!$A$3:$H$102,8,FALSE),main!$K$19:$O$22,MATCH(VLOOKUP($A73,main!$A$3:$H$102,7,FALSE),main!$K$18:$O$18,0),0))),0)</f>
        <v>135</v>
      </c>
      <c r="CT73">
        <f>IF((gamma!CT73),IF(VLOOKUP(CT$1,main!$A$3:$H$102,7,FALSE)=VLOOKUP($A73,main!$A$3:$H$102,8,FALSE),VLOOKUP(CT$1,main!$A$3:$H$102,4,FALSE),VLOOKUP(CT$1,main!$A$3:$H$102,4,FALSE)+VLOOKUP($A73,main!$A$3:$H$102,4,FALSE)+(VLOOKUP(VLOOKUP(CT$1,main!$A$3:$H$102,8,FALSE),main!$K$19:$O$22,MATCH(VLOOKUP($A73,main!$A$3:$H$102,7,FALSE),main!$K$18:$O$18,0),0))),0)</f>
        <v>0</v>
      </c>
      <c r="CU73">
        <f>IF((gamma!CU73),IF(VLOOKUP(CU$1,main!$A$3:$H$102,7,FALSE)=VLOOKUP($A73,main!$A$3:$H$102,8,FALSE),VLOOKUP(CU$1,main!$A$3:$H$102,4,FALSE),VLOOKUP(CU$1,main!$A$3:$H$102,4,FALSE)+VLOOKUP($A73,main!$A$3:$H$102,4,FALSE)+(VLOOKUP(VLOOKUP(CU$1,main!$A$3:$H$102,8,FALSE),main!$K$19:$O$22,MATCH(VLOOKUP($A73,main!$A$3:$H$102,7,FALSE),main!$K$18:$O$18,0),0))),0)</f>
        <v>0</v>
      </c>
      <c r="CV73">
        <f>IF((gamma!CV73),IF(VLOOKUP(CV$1,main!$A$3:$H$102,7,FALSE)=VLOOKUP($A73,main!$A$3:$H$102,8,FALSE),VLOOKUP(CV$1,main!$A$3:$H$102,4,FALSE),VLOOKUP(CV$1,main!$A$3:$H$102,4,FALSE)+VLOOKUP($A73,main!$A$3:$H$102,4,FALSE)+(VLOOKUP(VLOOKUP(CV$1,main!$A$3:$H$102,8,FALSE),main!$K$19:$O$22,MATCH(VLOOKUP($A73,main!$A$3:$H$102,7,FALSE),main!$K$18:$O$18,0),0))),0)</f>
        <v>80</v>
      </c>
      <c r="CW73">
        <f>IF((gamma!CW73),IF(VLOOKUP(CW$1,main!$A$3:$H$102,7,FALSE)=VLOOKUP($A73,main!$A$3:$H$102,8,FALSE),VLOOKUP(CW$1,main!$A$3:$H$102,4,FALSE),VLOOKUP(CW$1,main!$A$3:$H$102,4,FALSE)+VLOOKUP($A73,main!$A$3:$H$102,4,FALSE)+(VLOOKUP(VLOOKUP(CW$1,main!$A$3:$H$102,8,FALSE),main!$K$19:$O$22,MATCH(VLOOKUP($A73,main!$A$3:$H$102,7,FALSE),main!$K$18:$O$18,0),0))),0)</f>
        <v>95</v>
      </c>
      <c r="CX73">
        <f>IF((gamma!CX73),IF(VLOOKUP(CX$1,main!$A$3:$H$102,7,FALSE)=VLOOKUP($A73,main!$A$3:$H$102,8,FALSE),VLOOKUP(CX$1,main!$A$3:$H$102,4,FALSE),VLOOKUP(CX$1,main!$A$3:$H$102,4,FALSE)+VLOOKUP($A73,main!$A$3:$H$102,4,FALSE)+(VLOOKUP(VLOOKUP(CX$1,main!$A$3:$H$102,8,FALSE),main!$K$19:$O$22,MATCH(VLOOKUP($A73,main!$A$3:$H$102,7,FALSE),main!$K$18:$O$18,0),0))),0)</f>
        <v>85</v>
      </c>
      <c r="CY73">
        <v>0</v>
      </c>
      <c r="CZ73">
        <v>0</v>
      </c>
      <c r="DA73">
        <v>0</v>
      </c>
    </row>
    <row r="74" spans="1:105" x14ac:dyDescent="0.25">
      <c r="A74" s="1">
        <v>72</v>
      </c>
      <c r="B74">
        <v>0</v>
      </c>
      <c r="C74">
        <f>IF((gamma!C74),IF(VLOOKUP(C$1,main!$A$3:$H$102,7,FALSE)=VLOOKUP($A74,main!$A$3:$H$102,8,FALSE),VLOOKUP(C$1,main!$A$3:$H$102,4,FALSE),VLOOKUP(C$1,main!$A$3:$H$102,4,FALSE)+VLOOKUP($A74,main!$A$3:$H$102,4,FALSE)+(VLOOKUP(VLOOKUP(C$1,main!$A$3:$H$102,8,FALSE),main!$K$19:$O$22,MATCH(VLOOKUP($A74,main!$A$3:$H$102,7,FALSE),main!$K$18:$O$18,0),0))),0)</f>
        <v>0</v>
      </c>
      <c r="D74">
        <f>IF((gamma!D74),IF(VLOOKUP(D$1,main!$A$3:$H$102,7,FALSE)=VLOOKUP($A74,main!$A$3:$H$102,8,FALSE),VLOOKUP(D$1,main!$A$3:$H$102,4,FALSE),VLOOKUP(D$1,main!$A$3:$H$102,4,FALSE)+VLOOKUP($A74,main!$A$3:$H$102,4,FALSE)+(VLOOKUP(VLOOKUP(D$1,main!$A$3:$H$102,8,FALSE),main!$K$19:$O$22,MATCH(VLOOKUP($A74,main!$A$3:$H$102,7,FALSE),main!$K$18:$O$18,0),0))),0)</f>
        <v>0</v>
      </c>
      <c r="E74">
        <f>IF((gamma!E74),IF(VLOOKUP(E$1,main!$A$3:$H$102,7,FALSE)=VLOOKUP($A74,main!$A$3:$H$102,8,FALSE),VLOOKUP(E$1,main!$A$3:$H$102,4,FALSE),VLOOKUP(E$1,main!$A$3:$H$102,4,FALSE)+VLOOKUP($A74,main!$A$3:$H$102,4,FALSE)+(VLOOKUP(VLOOKUP(E$1,main!$A$3:$H$102,8,FALSE),main!$K$19:$O$22,MATCH(VLOOKUP($A74,main!$A$3:$H$102,7,FALSE),main!$K$18:$O$18,0),0))),0)</f>
        <v>0</v>
      </c>
      <c r="F74">
        <f>IF((gamma!F74),IF(VLOOKUP(F$1,main!$A$3:$H$102,7,FALSE)=VLOOKUP($A74,main!$A$3:$H$102,8,FALSE),VLOOKUP(F$1,main!$A$3:$H$102,4,FALSE),VLOOKUP(F$1,main!$A$3:$H$102,4,FALSE)+VLOOKUP($A74,main!$A$3:$H$102,4,FALSE)+(VLOOKUP(VLOOKUP(F$1,main!$A$3:$H$102,8,FALSE),main!$K$19:$O$22,MATCH(VLOOKUP($A74,main!$A$3:$H$102,7,FALSE),main!$K$18:$O$18,0),0))),0)</f>
        <v>298</v>
      </c>
      <c r="G74">
        <f>IF((gamma!G74),IF(VLOOKUP(G$1,main!$A$3:$H$102,7,FALSE)=VLOOKUP($A74,main!$A$3:$H$102,8,FALSE),VLOOKUP(G$1,main!$A$3:$H$102,4,FALSE),VLOOKUP(G$1,main!$A$3:$H$102,4,FALSE)+VLOOKUP($A74,main!$A$3:$H$102,4,FALSE)+(VLOOKUP(VLOOKUP(G$1,main!$A$3:$H$102,8,FALSE),main!$K$19:$O$22,MATCH(VLOOKUP($A74,main!$A$3:$H$102,7,FALSE),main!$K$18:$O$18,0),0))),0)</f>
        <v>298</v>
      </c>
      <c r="H74">
        <f>IF((gamma!H74),IF(VLOOKUP(H$1,main!$A$3:$H$102,7,FALSE)=VLOOKUP($A74,main!$A$3:$H$102,8,FALSE),VLOOKUP(H$1,main!$A$3:$H$102,4,FALSE),VLOOKUP(H$1,main!$A$3:$H$102,4,FALSE)+VLOOKUP($A74,main!$A$3:$H$102,4,FALSE)+(VLOOKUP(VLOOKUP(H$1,main!$A$3:$H$102,8,FALSE),main!$K$19:$O$22,MATCH(VLOOKUP($A74,main!$A$3:$H$102,7,FALSE),main!$K$18:$O$18,0),0))),0)</f>
        <v>298</v>
      </c>
      <c r="I74">
        <f>IF((gamma!I74),IF(VLOOKUP(I$1,main!$A$3:$H$102,7,FALSE)=VLOOKUP($A74,main!$A$3:$H$102,8,FALSE),VLOOKUP(I$1,main!$A$3:$H$102,4,FALSE),VLOOKUP(I$1,main!$A$3:$H$102,4,FALSE)+VLOOKUP($A74,main!$A$3:$H$102,4,FALSE)+(VLOOKUP(VLOOKUP(I$1,main!$A$3:$H$102,8,FALSE),main!$K$19:$O$22,MATCH(VLOOKUP($A74,main!$A$3:$H$102,7,FALSE),main!$K$18:$O$18,0),0))),0)</f>
        <v>298</v>
      </c>
      <c r="J74">
        <f>IF((gamma!J74),IF(VLOOKUP(J$1,main!$A$3:$H$102,7,FALSE)=VLOOKUP($A74,main!$A$3:$H$102,8,FALSE),VLOOKUP(J$1,main!$A$3:$H$102,4,FALSE),VLOOKUP(J$1,main!$A$3:$H$102,4,FALSE)+VLOOKUP($A74,main!$A$3:$H$102,4,FALSE)+(VLOOKUP(VLOOKUP(J$1,main!$A$3:$H$102,8,FALSE),main!$K$19:$O$22,MATCH(VLOOKUP($A74,main!$A$3:$H$102,7,FALSE),main!$K$18:$O$18,0),0))),0)</f>
        <v>298</v>
      </c>
      <c r="K74">
        <f>IF((gamma!K74),IF(VLOOKUP(K$1,main!$A$3:$H$102,7,FALSE)=VLOOKUP($A74,main!$A$3:$H$102,8,FALSE),VLOOKUP(K$1,main!$A$3:$H$102,4,FALSE),VLOOKUP(K$1,main!$A$3:$H$102,4,FALSE)+VLOOKUP($A74,main!$A$3:$H$102,4,FALSE)+(VLOOKUP(VLOOKUP(K$1,main!$A$3:$H$102,8,FALSE),main!$K$19:$O$22,MATCH(VLOOKUP($A74,main!$A$3:$H$102,7,FALSE),main!$K$18:$O$18,0),0))),0)</f>
        <v>298</v>
      </c>
      <c r="L74">
        <f>IF((gamma!L74),IF(VLOOKUP(L$1,main!$A$3:$H$102,7,FALSE)=VLOOKUP($A74,main!$A$3:$H$102,8,FALSE),VLOOKUP(L$1,main!$A$3:$H$102,4,FALSE),VLOOKUP(L$1,main!$A$3:$H$102,4,FALSE)+VLOOKUP($A74,main!$A$3:$H$102,4,FALSE)+(VLOOKUP(VLOOKUP(L$1,main!$A$3:$H$102,8,FALSE),main!$K$19:$O$22,MATCH(VLOOKUP($A74,main!$A$3:$H$102,7,FALSE),main!$K$18:$O$18,0),0))),0)</f>
        <v>298</v>
      </c>
      <c r="M74">
        <f>IF((gamma!M74),IF(VLOOKUP(M$1,main!$A$3:$H$102,7,FALSE)=VLOOKUP($A74,main!$A$3:$H$102,8,FALSE),VLOOKUP(M$1,main!$A$3:$H$102,4,FALSE),VLOOKUP(M$1,main!$A$3:$H$102,4,FALSE)+VLOOKUP($A74,main!$A$3:$H$102,4,FALSE)+(VLOOKUP(VLOOKUP(M$1,main!$A$3:$H$102,8,FALSE),main!$K$19:$O$22,MATCH(VLOOKUP($A74,main!$A$3:$H$102,7,FALSE),main!$K$18:$O$18,0),0))),0)</f>
        <v>0</v>
      </c>
      <c r="N74">
        <f>IF((gamma!N74),IF(VLOOKUP(N$1,main!$A$3:$H$102,7,FALSE)=VLOOKUP($A74,main!$A$3:$H$102,8,FALSE),VLOOKUP(N$1,main!$A$3:$H$102,4,FALSE),VLOOKUP(N$1,main!$A$3:$H$102,4,FALSE)+VLOOKUP($A74,main!$A$3:$H$102,4,FALSE)+(VLOOKUP(VLOOKUP(N$1,main!$A$3:$H$102,8,FALSE),main!$K$19:$O$22,MATCH(VLOOKUP($A74,main!$A$3:$H$102,7,FALSE),main!$K$18:$O$18,0),0))),0)</f>
        <v>0</v>
      </c>
      <c r="O74">
        <f>IF((gamma!O74),IF(VLOOKUP(O$1,main!$A$3:$H$102,7,FALSE)=VLOOKUP($A74,main!$A$3:$H$102,8,FALSE),VLOOKUP(O$1,main!$A$3:$H$102,4,FALSE),VLOOKUP(O$1,main!$A$3:$H$102,4,FALSE)+VLOOKUP($A74,main!$A$3:$H$102,4,FALSE)+(VLOOKUP(VLOOKUP(O$1,main!$A$3:$H$102,8,FALSE),main!$K$19:$O$22,MATCH(VLOOKUP($A74,main!$A$3:$H$102,7,FALSE),main!$K$18:$O$18,0),0))),0)</f>
        <v>0</v>
      </c>
      <c r="P74">
        <f>IF((gamma!P74),IF(VLOOKUP(P$1,main!$A$3:$H$102,7,FALSE)=VLOOKUP($A74,main!$A$3:$H$102,8,FALSE),VLOOKUP(P$1,main!$A$3:$H$102,4,FALSE),VLOOKUP(P$1,main!$A$3:$H$102,4,FALSE)+VLOOKUP($A74,main!$A$3:$H$102,4,FALSE)+(VLOOKUP(VLOOKUP(P$1,main!$A$3:$H$102,8,FALSE),main!$K$19:$O$22,MATCH(VLOOKUP($A74,main!$A$3:$H$102,7,FALSE),main!$K$18:$O$18,0),0))),0)</f>
        <v>0</v>
      </c>
      <c r="Q74">
        <f>IF((gamma!Q74),IF(VLOOKUP(Q$1,main!$A$3:$H$102,7,FALSE)=VLOOKUP($A74,main!$A$3:$H$102,8,FALSE),VLOOKUP(Q$1,main!$A$3:$H$102,4,FALSE),VLOOKUP(Q$1,main!$A$3:$H$102,4,FALSE)+VLOOKUP($A74,main!$A$3:$H$102,4,FALSE)+(VLOOKUP(VLOOKUP(Q$1,main!$A$3:$H$102,8,FALSE),main!$K$19:$O$22,MATCH(VLOOKUP($A74,main!$A$3:$H$102,7,FALSE),main!$K$18:$O$18,0),0))),0)</f>
        <v>275</v>
      </c>
      <c r="R74">
        <f>IF((gamma!R74),IF(VLOOKUP(R$1,main!$A$3:$H$102,7,FALSE)=VLOOKUP($A74,main!$A$3:$H$102,8,FALSE),VLOOKUP(R$1,main!$A$3:$H$102,4,FALSE),VLOOKUP(R$1,main!$A$3:$H$102,4,FALSE)+VLOOKUP($A74,main!$A$3:$H$102,4,FALSE)+(VLOOKUP(VLOOKUP(R$1,main!$A$3:$H$102,8,FALSE),main!$K$19:$O$22,MATCH(VLOOKUP($A74,main!$A$3:$H$102,7,FALSE),main!$K$18:$O$18,0),0))),0)</f>
        <v>275</v>
      </c>
      <c r="S74">
        <f>IF((gamma!S74),IF(VLOOKUP(S$1,main!$A$3:$H$102,7,FALSE)=VLOOKUP($A74,main!$A$3:$H$102,8,FALSE),VLOOKUP(S$1,main!$A$3:$H$102,4,FALSE),VLOOKUP(S$1,main!$A$3:$H$102,4,FALSE)+VLOOKUP($A74,main!$A$3:$H$102,4,FALSE)+(VLOOKUP(VLOOKUP(S$1,main!$A$3:$H$102,8,FALSE),main!$K$19:$O$22,MATCH(VLOOKUP($A74,main!$A$3:$H$102,7,FALSE),main!$K$18:$O$18,0),0))),0)</f>
        <v>275</v>
      </c>
      <c r="T74">
        <f>IF((gamma!T74),IF(VLOOKUP(T$1,main!$A$3:$H$102,7,FALSE)=VLOOKUP($A74,main!$A$3:$H$102,8,FALSE),VLOOKUP(T$1,main!$A$3:$H$102,4,FALSE),VLOOKUP(T$1,main!$A$3:$H$102,4,FALSE)+VLOOKUP($A74,main!$A$3:$H$102,4,FALSE)+(VLOOKUP(VLOOKUP(T$1,main!$A$3:$H$102,8,FALSE),main!$K$19:$O$22,MATCH(VLOOKUP($A74,main!$A$3:$H$102,7,FALSE),main!$K$18:$O$18,0),0))),0)</f>
        <v>275</v>
      </c>
      <c r="U74">
        <f>IF((gamma!U74),IF(VLOOKUP(U$1,main!$A$3:$H$102,7,FALSE)=VLOOKUP($A74,main!$A$3:$H$102,8,FALSE),VLOOKUP(U$1,main!$A$3:$H$102,4,FALSE),VLOOKUP(U$1,main!$A$3:$H$102,4,FALSE)+VLOOKUP($A74,main!$A$3:$H$102,4,FALSE)+(VLOOKUP(VLOOKUP(U$1,main!$A$3:$H$102,8,FALSE),main!$K$19:$O$22,MATCH(VLOOKUP($A74,main!$A$3:$H$102,7,FALSE),main!$K$18:$O$18,0),0))),0)</f>
        <v>275</v>
      </c>
      <c r="V74">
        <f>IF((gamma!V74),IF(VLOOKUP(V$1,main!$A$3:$H$102,7,FALSE)=VLOOKUP($A74,main!$A$3:$H$102,8,FALSE),VLOOKUP(V$1,main!$A$3:$H$102,4,FALSE),VLOOKUP(V$1,main!$A$3:$H$102,4,FALSE)+VLOOKUP($A74,main!$A$3:$H$102,4,FALSE)+(VLOOKUP(VLOOKUP(V$1,main!$A$3:$H$102,8,FALSE),main!$K$19:$O$22,MATCH(VLOOKUP($A74,main!$A$3:$H$102,7,FALSE),main!$K$18:$O$18,0),0))),0)</f>
        <v>275</v>
      </c>
      <c r="W74">
        <f>IF((gamma!W74),IF(VLOOKUP(W$1,main!$A$3:$H$102,7,FALSE)=VLOOKUP($A74,main!$A$3:$H$102,8,FALSE),VLOOKUP(W$1,main!$A$3:$H$102,4,FALSE),VLOOKUP(W$1,main!$A$3:$H$102,4,FALSE)+VLOOKUP($A74,main!$A$3:$H$102,4,FALSE)+(VLOOKUP(VLOOKUP(W$1,main!$A$3:$H$102,8,FALSE),main!$K$19:$O$22,MATCH(VLOOKUP($A74,main!$A$3:$H$102,7,FALSE),main!$K$18:$O$18,0),0))),0)</f>
        <v>0</v>
      </c>
      <c r="X74">
        <f>IF((gamma!X74),IF(VLOOKUP(X$1,main!$A$3:$H$102,7,FALSE)=VLOOKUP($A74,main!$A$3:$H$102,8,FALSE),VLOOKUP(X$1,main!$A$3:$H$102,4,FALSE),VLOOKUP(X$1,main!$A$3:$H$102,4,FALSE)+VLOOKUP($A74,main!$A$3:$H$102,4,FALSE)+(VLOOKUP(VLOOKUP(X$1,main!$A$3:$H$102,8,FALSE),main!$K$19:$O$22,MATCH(VLOOKUP($A74,main!$A$3:$H$102,7,FALSE),main!$K$18:$O$18,0),0))),0)</f>
        <v>0</v>
      </c>
      <c r="Y74">
        <f>IF((gamma!Y74),IF(VLOOKUP(Y$1,main!$A$3:$H$102,7,FALSE)=VLOOKUP($A74,main!$A$3:$H$102,8,FALSE),VLOOKUP(Y$1,main!$A$3:$H$102,4,FALSE),VLOOKUP(Y$1,main!$A$3:$H$102,4,FALSE)+VLOOKUP($A74,main!$A$3:$H$102,4,FALSE)+(VLOOKUP(VLOOKUP(Y$1,main!$A$3:$H$102,8,FALSE),main!$K$19:$O$22,MATCH(VLOOKUP($A74,main!$A$3:$H$102,7,FALSE),main!$K$18:$O$18,0),0))),0)</f>
        <v>303</v>
      </c>
      <c r="Z74">
        <f>IF((gamma!Z74),IF(VLOOKUP(Z$1,main!$A$3:$H$102,7,FALSE)=VLOOKUP($A74,main!$A$3:$H$102,8,FALSE),VLOOKUP(Z$1,main!$A$3:$H$102,4,FALSE),VLOOKUP(Z$1,main!$A$3:$H$102,4,FALSE)+VLOOKUP($A74,main!$A$3:$H$102,4,FALSE)+(VLOOKUP(VLOOKUP(Z$1,main!$A$3:$H$102,8,FALSE),main!$K$19:$O$22,MATCH(VLOOKUP($A74,main!$A$3:$H$102,7,FALSE),main!$K$18:$O$18,0),0))),0)</f>
        <v>308</v>
      </c>
      <c r="AA74">
        <f>IF((gamma!AA74),IF(VLOOKUP(AA$1,main!$A$3:$H$102,7,FALSE)=VLOOKUP($A74,main!$A$3:$H$102,8,FALSE),VLOOKUP(AA$1,main!$A$3:$H$102,4,FALSE),VLOOKUP(AA$1,main!$A$3:$H$102,4,FALSE)+VLOOKUP($A74,main!$A$3:$H$102,4,FALSE)+(VLOOKUP(VLOOKUP(AA$1,main!$A$3:$H$102,8,FALSE),main!$K$19:$O$22,MATCH(VLOOKUP($A74,main!$A$3:$H$102,7,FALSE),main!$K$18:$O$18,0),0))),0)</f>
        <v>308</v>
      </c>
      <c r="AB74">
        <f>IF((gamma!AB74),IF(VLOOKUP(AB$1,main!$A$3:$H$102,7,FALSE)=VLOOKUP($A74,main!$A$3:$H$102,8,FALSE),VLOOKUP(AB$1,main!$A$3:$H$102,4,FALSE),VLOOKUP(AB$1,main!$A$3:$H$102,4,FALSE)+VLOOKUP($A74,main!$A$3:$H$102,4,FALSE)+(VLOOKUP(VLOOKUP(AB$1,main!$A$3:$H$102,8,FALSE),main!$K$19:$O$22,MATCH(VLOOKUP($A74,main!$A$3:$H$102,7,FALSE),main!$K$18:$O$18,0),0))),0)</f>
        <v>0</v>
      </c>
      <c r="AC74">
        <f>IF((gamma!AC74),IF(VLOOKUP(AC$1,main!$A$3:$H$102,7,FALSE)=VLOOKUP($A74,main!$A$3:$H$102,8,FALSE),VLOOKUP(AC$1,main!$A$3:$H$102,4,FALSE),VLOOKUP(AC$1,main!$A$3:$H$102,4,FALSE)+VLOOKUP($A74,main!$A$3:$H$102,4,FALSE)+(VLOOKUP(VLOOKUP(AC$1,main!$A$3:$H$102,8,FALSE),main!$K$19:$O$22,MATCH(VLOOKUP($A74,main!$A$3:$H$102,7,FALSE),main!$K$18:$O$18,0),0))),0)</f>
        <v>0</v>
      </c>
      <c r="AD74">
        <f>IF((gamma!AD74),IF(VLOOKUP(AD$1,main!$A$3:$H$102,7,FALSE)=VLOOKUP($A74,main!$A$3:$H$102,8,FALSE),VLOOKUP(AD$1,main!$A$3:$H$102,4,FALSE),VLOOKUP(AD$1,main!$A$3:$H$102,4,FALSE)+VLOOKUP($A74,main!$A$3:$H$102,4,FALSE)+(VLOOKUP(VLOOKUP(AD$1,main!$A$3:$H$102,8,FALSE),main!$K$19:$O$22,MATCH(VLOOKUP($A74,main!$A$3:$H$102,7,FALSE),main!$K$18:$O$18,0),0))),0)</f>
        <v>303</v>
      </c>
      <c r="AE74">
        <f>IF((gamma!AE74),IF(VLOOKUP(AE$1,main!$A$3:$H$102,7,FALSE)=VLOOKUP($A74,main!$A$3:$H$102,8,FALSE),VLOOKUP(AE$1,main!$A$3:$H$102,4,FALSE),VLOOKUP(AE$1,main!$A$3:$H$102,4,FALSE)+VLOOKUP($A74,main!$A$3:$H$102,4,FALSE)+(VLOOKUP(VLOOKUP(AE$1,main!$A$3:$H$102,8,FALSE),main!$K$19:$O$22,MATCH(VLOOKUP($A74,main!$A$3:$H$102,7,FALSE),main!$K$18:$O$18,0),0))),0)</f>
        <v>308</v>
      </c>
      <c r="AF74">
        <f>IF((gamma!AF74),IF(VLOOKUP(AF$1,main!$A$3:$H$102,7,FALSE)=VLOOKUP($A74,main!$A$3:$H$102,8,FALSE),VLOOKUP(AF$1,main!$A$3:$H$102,4,FALSE),VLOOKUP(AF$1,main!$A$3:$H$102,4,FALSE)+VLOOKUP($A74,main!$A$3:$H$102,4,FALSE)+(VLOOKUP(VLOOKUP(AF$1,main!$A$3:$H$102,8,FALSE),main!$K$19:$O$22,MATCH(VLOOKUP($A74,main!$A$3:$H$102,7,FALSE),main!$K$18:$O$18,0),0))),0)</f>
        <v>268</v>
      </c>
      <c r="AG74">
        <f>IF((gamma!AG74),IF(VLOOKUP(AG$1,main!$A$3:$H$102,7,FALSE)=VLOOKUP($A74,main!$A$3:$H$102,8,FALSE),VLOOKUP(AG$1,main!$A$3:$H$102,4,FALSE),VLOOKUP(AG$1,main!$A$3:$H$102,4,FALSE)+VLOOKUP($A74,main!$A$3:$H$102,4,FALSE)+(VLOOKUP(VLOOKUP(AG$1,main!$A$3:$H$102,8,FALSE),main!$K$19:$O$22,MATCH(VLOOKUP($A74,main!$A$3:$H$102,7,FALSE),main!$K$18:$O$18,0),0))),0)</f>
        <v>0</v>
      </c>
      <c r="AH74">
        <f>IF((gamma!AH74),IF(VLOOKUP(AH$1,main!$A$3:$H$102,7,FALSE)=VLOOKUP($A74,main!$A$3:$H$102,8,FALSE),VLOOKUP(AH$1,main!$A$3:$H$102,4,FALSE),VLOOKUP(AH$1,main!$A$3:$H$102,4,FALSE)+VLOOKUP($A74,main!$A$3:$H$102,4,FALSE)+(VLOOKUP(VLOOKUP(AH$1,main!$A$3:$H$102,8,FALSE),main!$K$19:$O$22,MATCH(VLOOKUP($A74,main!$A$3:$H$102,7,FALSE),main!$K$18:$O$18,0),0))),0)</f>
        <v>0</v>
      </c>
      <c r="AI74">
        <f>IF((gamma!AI74),IF(VLOOKUP(AI$1,main!$A$3:$H$102,7,FALSE)=VLOOKUP($A74,main!$A$3:$H$102,8,FALSE),VLOOKUP(AI$1,main!$A$3:$H$102,4,FALSE),VLOOKUP(AI$1,main!$A$3:$H$102,4,FALSE)+VLOOKUP($A74,main!$A$3:$H$102,4,FALSE)+(VLOOKUP(VLOOKUP(AI$1,main!$A$3:$H$102,8,FALSE),main!$K$19:$O$22,MATCH(VLOOKUP($A74,main!$A$3:$H$102,7,FALSE),main!$K$18:$O$18,0),0))),0)</f>
        <v>0</v>
      </c>
      <c r="AJ74">
        <f>IF((gamma!AJ74),IF(VLOOKUP(AJ$1,main!$A$3:$H$102,7,FALSE)=VLOOKUP($A74,main!$A$3:$H$102,8,FALSE),VLOOKUP(AJ$1,main!$A$3:$H$102,4,FALSE),VLOOKUP(AJ$1,main!$A$3:$H$102,4,FALSE)+VLOOKUP($A74,main!$A$3:$H$102,4,FALSE)+(VLOOKUP(VLOOKUP(AJ$1,main!$A$3:$H$102,8,FALSE),main!$K$19:$O$22,MATCH(VLOOKUP($A74,main!$A$3:$H$102,7,FALSE),main!$K$18:$O$18,0),0))),0)</f>
        <v>300</v>
      </c>
      <c r="AK74">
        <f>IF((gamma!AK74),IF(VLOOKUP(AK$1,main!$A$3:$H$102,7,FALSE)=VLOOKUP($A74,main!$A$3:$H$102,8,FALSE),VLOOKUP(AK$1,main!$A$3:$H$102,4,FALSE),VLOOKUP(AK$1,main!$A$3:$H$102,4,FALSE)+VLOOKUP($A74,main!$A$3:$H$102,4,FALSE)+(VLOOKUP(VLOOKUP(AK$1,main!$A$3:$H$102,8,FALSE),main!$K$19:$O$22,MATCH(VLOOKUP($A74,main!$A$3:$H$102,7,FALSE),main!$K$18:$O$18,0),0))),0)</f>
        <v>300</v>
      </c>
      <c r="AL74">
        <f>IF((gamma!AL74),IF(VLOOKUP(AL$1,main!$A$3:$H$102,7,FALSE)=VLOOKUP($A74,main!$A$3:$H$102,8,FALSE),VLOOKUP(AL$1,main!$A$3:$H$102,4,FALSE),VLOOKUP(AL$1,main!$A$3:$H$102,4,FALSE)+VLOOKUP($A74,main!$A$3:$H$102,4,FALSE)+(VLOOKUP(VLOOKUP(AL$1,main!$A$3:$H$102,8,FALSE),main!$K$19:$O$22,MATCH(VLOOKUP($A74,main!$A$3:$H$102,7,FALSE),main!$K$18:$O$18,0),0))),0)</f>
        <v>300</v>
      </c>
      <c r="AM74">
        <f>IF((gamma!AM74),IF(VLOOKUP(AM$1,main!$A$3:$H$102,7,FALSE)=VLOOKUP($A74,main!$A$3:$H$102,8,FALSE),VLOOKUP(AM$1,main!$A$3:$H$102,4,FALSE),VLOOKUP(AM$1,main!$A$3:$H$102,4,FALSE)+VLOOKUP($A74,main!$A$3:$H$102,4,FALSE)+(VLOOKUP(VLOOKUP(AM$1,main!$A$3:$H$102,8,FALSE),main!$K$19:$O$22,MATCH(VLOOKUP($A74,main!$A$3:$H$102,7,FALSE),main!$K$18:$O$18,0),0))),0)</f>
        <v>300</v>
      </c>
      <c r="AN74">
        <f>IF((gamma!AN74),IF(VLOOKUP(AN$1,main!$A$3:$H$102,7,FALSE)=VLOOKUP($A74,main!$A$3:$H$102,8,FALSE),VLOOKUP(AN$1,main!$A$3:$H$102,4,FALSE),VLOOKUP(AN$1,main!$A$3:$H$102,4,FALSE)+VLOOKUP($A74,main!$A$3:$H$102,4,FALSE)+(VLOOKUP(VLOOKUP(AN$1,main!$A$3:$H$102,8,FALSE),main!$K$19:$O$22,MATCH(VLOOKUP($A74,main!$A$3:$H$102,7,FALSE),main!$K$18:$O$18,0),0))),0)</f>
        <v>300</v>
      </c>
      <c r="AO74">
        <f>IF((gamma!AO74),IF(VLOOKUP(AO$1,main!$A$3:$H$102,7,FALSE)=VLOOKUP($A74,main!$A$3:$H$102,8,FALSE),VLOOKUP(AO$1,main!$A$3:$H$102,4,FALSE),VLOOKUP(AO$1,main!$A$3:$H$102,4,FALSE)+VLOOKUP($A74,main!$A$3:$H$102,4,FALSE)+(VLOOKUP(VLOOKUP(AO$1,main!$A$3:$H$102,8,FALSE),main!$K$19:$O$22,MATCH(VLOOKUP($A74,main!$A$3:$H$102,7,FALSE),main!$K$18:$O$18,0),0))),0)</f>
        <v>0</v>
      </c>
      <c r="AP74">
        <f>IF((gamma!AP74),IF(VLOOKUP(AP$1,main!$A$3:$H$102,7,FALSE)=VLOOKUP($A74,main!$A$3:$H$102,8,FALSE),VLOOKUP(AP$1,main!$A$3:$H$102,4,FALSE),VLOOKUP(AP$1,main!$A$3:$H$102,4,FALSE)+VLOOKUP($A74,main!$A$3:$H$102,4,FALSE)+(VLOOKUP(VLOOKUP(AP$1,main!$A$3:$H$102,8,FALSE),main!$K$19:$O$22,MATCH(VLOOKUP($A74,main!$A$3:$H$102,7,FALSE),main!$K$18:$O$18,0),0))),0)</f>
        <v>240</v>
      </c>
      <c r="AQ74">
        <f>IF((gamma!AQ74),IF(VLOOKUP(AQ$1,main!$A$3:$H$102,7,FALSE)=VLOOKUP($A74,main!$A$3:$H$102,8,FALSE),VLOOKUP(AQ$1,main!$A$3:$H$102,4,FALSE),VLOOKUP(AQ$1,main!$A$3:$H$102,4,FALSE)+VLOOKUP($A74,main!$A$3:$H$102,4,FALSE)+(VLOOKUP(VLOOKUP(AQ$1,main!$A$3:$H$102,8,FALSE),main!$K$19:$O$22,MATCH(VLOOKUP($A74,main!$A$3:$H$102,7,FALSE),main!$K$18:$O$18,0),0))),0)</f>
        <v>0</v>
      </c>
      <c r="AR74">
        <f>IF((gamma!AR74),IF(VLOOKUP(AR$1,main!$A$3:$H$102,7,FALSE)=VLOOKUP($A74,main!$A$3:$H$102,8,FALSE),VLOOKUP(AR$1,main!$A$3:$H$102,4,FALSE),VLOOKUP(AR$1,main!$A$3:$H$102,4,FALSE)+VLOOKUP($A74,main!$A$3:$H$102,4,FALSE)+(VLOOKUP(VLOOKUP(AR$1,main!$A$3:$H$102,8,FALSE),main!$K$19:$O$22,MATCH(VLOOKUP($A74,main!$A$3:$H$102,7,FALSE),main!$K$18:$O$18,0),0))),0)</f>
        <v>0</v>
      </c>
      <c r="AS74">
        <f>IF((gamma!AS74),IF(VLOOKUP(AS$1,main!$A$3:$H$102,7,FALSE)=VLOOKUP($A74,main!$A$3:$H$102,8,FALSE),VLOOKUP(AS$1,main!$A$3:$H$102,4,FALSE),VLOOKUP(AS$1,main!$A$3:$H$102,4,FALSE)+VLOOKUP($A74,main!$A$3:$H$102,4,FALSE)+(VLOOKUP(VLOOKUP(AS$1,main!$A$3:$H$102,8,FALSE),main!$K$19:$O$22,MATCH(VLOOKUP($A74,main!$A$3:$H$102,7,FALSE),main!$K$18:$O$18,0),0))),0)</f>
        <v>255</v>
      </c>
      <c r="AT74">
        <f>IF((gamma!AT74),IF(VLOOKUP(AT$1,main!$A$3:$H$102,7,FALSE)=VLOOKUP($A74,main!$A$3:$H$102,8,FALSE),VLOOKUP(AT$1,main!$A$3:$H$102,4,FALSE),VLOOKUP(AT$1,main!$A$3:$H$102,4,FALSE)+VLOOKUP($A74,main!$A$3:$H$102,4,FALSE)+(VLOOKUP(VLOOKUP(AT$1,main!$A$3:$H$102,8,FALSE),main!$K$19:$O$22,MATCH(VLOOKUP($A74,main!$A$3:$H$102,7,FALSE),main!$K$18:$O$18,0),0))),0)</f>
        <v>265</v>
      </c>
      <c r="AU74">
        <f>IF((gamma!AU74),IF(VLOOKUP(AU$1,main!$A$3:$H$102,7,FALSE)=VLOOKUP($A74,main!$A$3:$H$102,8,FALSE),VLOOKUP(AU$1,main!$A$3:$H$102,4,FALSE),VLOOKUP(AU$1,main!$A$3:$H$102,4,FALSE)+VLOOKUP($A74,main!$A$3:$H$102,4,FALSE)+(VLOOKUP(VLOOKUP(AU$1,main!$A$3:$H$102,8,FALSE),main!$K$19:$O$22,MATCH(VLOOKUP($A74,main!$A$3:$H$102,7,FALSE),main!$K$18:$O$18,0),0))),0)</f>
        <v>0</v>
      </c>
      <c r="AV74">
        <f>IF((gamma!AV74),IF(VLOOKUP(AV$1,main!$A$3:$H$102,7,FALSE)=VLOOKUP($A74,main!$A$3:$H$102,8,FALSE),VLOOKUP(AV$1,main!$A$3:$H$102,4,FALSE),VLOOKUP(AV$1,main!$A$3:$H$102,4,FALSE)+VLOOKUP($A74,main!$A$3:$H$102,4,FALSE)+(VLOOKUP(VLOOKUP(AV$1,main!$A$3:$H$102,8,FALSE),main!$K$19:$O$22,MATCH(VLOOKUP($A74,main!$A$3:$H$102,7,FALSE),main!$K$18:$O$18,0),0))),0)</f>
        <v>0</v>
      </c>
      <c r="AW74">
        <f>IF((gamma!AW74),IF(VLOOKUP(AW$1,main!$A$3:$H$102,7,FALSE)=VLOOKUP($A74,main!$A$3:$H$102,8,FALSE),VLOOKUP(AW$1,main!$A$3:$H$102,4,FALSE),VLOOKUP(AW$1,main!$A$3:$H$102,4,FALSE)+VLOOKUP($A74,main!$A$3:$H$102,4,FALSE)+(VLOOKUP(VLOOKUP(AW$1,main!$A$3:$H$102,8,FALSE),main!$K$19:$O$22,MATCH(VLOOKUP($A74,main!$A$3:$H$102,7,FALSE),main!$K$18:$O$18,0),0))),0)</f>
        <v>255</v>
      </c>
      <c r="AX74">
        <f>IF((gamma!AX74),IF(VLOOKUP(AX$1,main!$A$3:$H$102,7,FALSE)=VLOOKUP($A74,main!$A$3:$H$102,8,FALSE),VLOOKUP(AX$1,main!$A$3:$H$102,4,FALSE),VLOOKUP(AX$1,main!$A$3:$H$102,4,FALSE)+VLOOKUP($A74,main!$A$3:$H$102,4,FALSE)+(VLOOKUP(VLOOKUP(AX$1,main!$A$3:$H$102,8,FALSE),main!$K$19:$O$22,MATCH(VLOOKUP($A74,main!$A$3:$H$102,7,FALSE),main!$K$18:$O$18,0),0))),0)</f>
        <v>240</v>
      </c>
      <c r="AY74">
        <f>IF((gamma!AY74),IF(VLOOKUP(AY$1,main!$A$3:$H$102,7,FALSE)=VLOOKUP($A74,main!$A$3:$H$102,8,FALSE),VLOOKUP(AY$1,main!$A$3:$H$102,4,FALSE),VLOOKUP(AY$1,main!$A$3:$H$102,4,FALSE)+VLOOKUP($A74,main!$A$3:$H$102,4,FALSE)+(VLOOKUP(VLOOKUP(AY$1,main!$A$3:$H$102,8,FALSE),main!$K$19:$O$22,MATCH(VLOOKUP($A74,main!$A$3:$H$102,7,FALSE),main!$K$18:$O$18,0),0))),0)</f>
        <v>0</v>
      </c>
      <c r="AZ74">
        <f>IF((gamma!AZ74),IF(VLOOKUP(AZ$1,main!$A$3:$H$102,7,FALSE)=VLOOKUP($A74,main!$A$3:$H$102,8,FALSE),VLOOKUP(AZ$1,main!$A$3:$H$102,4,FALSE),VLOOKUP(AZ$1,main!$A$3:$H$102,4,FALSE)+VLOOKUP($A74,main!$A$3:$H$102,4,FALSE)+(VLOOKUP(VLOOKUP(AZ$1,main!$A$3:$H$102,8,FALSE),main!$K$19:$O$22,MATCH(VLOOKUP($A74,main!$A$3:$H$102,7,FALSE),main!$K$18:$O$18,0),0))),0)</f>
        <v>0</v>
      </c>
      <c r="BA74">
        <f>IF((gamma!BA74),IF(VLOOKUP(BA$1,main!$A$3:$H$102,7,FALSE)=VLOOKUP($A74,main!$A$3:$H$102,8,FALSE),VLOOKUP(BA$1,main!$A$3:$H$102,4,FALSE),VLOOKUP(BA$1,main!$A$3:$H$102,4,FALSE)+VLOOKUP($A74,main!$A$3:$H$102,4,FALSE)+(VLOOKUP(VLOOKUP(BA$1,main!$A$3:$H$102,8,FALSE),main!$K$19:$O$22,MATCH(VLOOKUP($A74,main!$A$3:$H$102,7,FALSE),main!$K$18:$O$18,0),0))),0)</f>
        <v>0</v>
      </c>
      <c r="BB74">
        <f>IF((gamma!BB74),IF(VLOOKUP(BB$1,main!$A$3:$H$102,7,FALSE)=VLOOKUP($A74,main!$A$3:$H$102,8,FALSE),VLOOKUP(BB$1,main!$A$3:$H$102,4,FALSE),VLOOKUP(BB$1,main!$A$3:$H$102,4,FALSE)+VLOOKUP($A74,main!$A$3:$H$102,4,FALSE)+(VLOOKUP(VLOOKUP(BB$1,main!$A$3:$H$102,8,FALSE),main!$K$19:$O$22,MATCH(VLOOKUP($A74,main!$A$3:$H$102,7,FALSE),main!$K$18:$O$18,0),0))),0)</f>
        <v>305</v>
      </c>
      <c r="BC74">
        <f>IF((gamma!BC74),IF(VLOOKUP(BC$1,main!$A$3:$H$102,7,FALSE)=VLOOKUP($A74,main!$A$3:$H$102,8,FALSE),VLOOKUP(BC$1,main!$A$3:$H$102,4,FALSE),VLOOKUP(BC$1,main!$A$3:$H$102,4,FALSE)+VLOOKUP($A74,main!$A$3:$H$102,4,FALSE)+(VLOOKUP(VLOOKUP(BC$1,main!$A$3:$H$102,8,FALSE),main!$K$19:$O$22,MATCH(VLOOKUP($A74,main!$A$3:$H$102,7,FALSE),main!$K$18:$O$18,0),0))),0)</f>
        <v>305</v>
      </c>
      <c r="BD74">
        <f>IF((gamma!BD74),IF(VLOOKUP(BD$1,main!$A$3:$H$102,7,FALSE)=VLOOKUP($A74,main!$A$3:$H$102,8,FALSE),VLOOKUP(BD$1,main!$A$3:$H$102,4,FALSE),VLOOKUP(BD$1,main!$A$3:$H$102,4,FALSE)+VLOOKUP($A74,main!$A$3:$H$102,4,FALSE)+(VLOOKUP(VLOOKUP(BD$1,main!$A$3:$H$102,8,FALSE),main!$K$19:$O$22,MATCH(VLOOKUP($A74,main!$A$3:$H$102,7,FALSE),main!$K$18:$O$18,0),0))),0)</f>
        <v>305</v>
      </c>
      <c r="BE74">
        <f>IF((gamma!BE74),IF(VLOOKUP(BE$1,main!$A$3:$H$102,7,FALSE)=VLOOKUP($A74,main!$A$3:$H$102,8,FALSE),VLOOKUP(BE$1,main!$A$3:$H$102,4,FALSE),VLOOKUP(BE$1,main!$A$3:$H$102,4,FALSE)+VLOOKUP($A74,main!$A$3:$H$102,4,FALSE)+(VLOOKUP(VLOOKUP(BE$1,main!$A$3:$H$102,8,FALSE),main!$K$19:$O$22,MATCH(VLOOKUP($A74,main!$A$3:$H$102,7,FALSE),main!$K$18:$O$18,0),0))),0)</f>
        <v>305</v>
      </c>
      <c r="BF74">
        <f>IF((gamma!BF74),IF(VLOOKUP(BF$1,main!$A$3:$H$102,7,FALSE)=VLOOKUP($A74,main!$A$3:$H$102,8,FALSE),VLOOKUP(BF$1,main!$A$3:$H$102,4,FALSE),VLOOKUP(BF$1,main!$A$3:$H$102,4,FALSE)+VLOOKUP($A74,main!$A$3:$H$102,4,FALSE)+(VLOOKUP(VLOOKUP(BF$1,main!$A$3:$H$102,8,FALSE),main!$K$19:$O$22,MATCH(VLOOKUP($A74,main!$A$3:$H$102,7,FALSE),main!$K$18:$O$18,0),0))),0)</f>
        <v>0</v>
      </c>
      <c r="BG74">
        <f>IF((gamma!BG74),IF(VLOOKUP(BG$1,main!$A$3:$H$102,7,FALSE)=VLOOKUP($A74,main!$A$3:$H$102,8,FALSE),VLOOKUP(BG$1,main!$A$3:$H$102,4,FALSE),VLOOKUP(BG$1,main!$A$3:$H$102,4,FALSE)+VLOOKUP($A74,main!$A$3:$H$102,4,FALSE)+(VLOOKUP(VLOOKUP(BG$1,main!$A$3:$H$102,8,FALSE),main!$K$19:$O$22,MATCH(VLOOKUP($A74,main!$A$3:$H$102,7,FALSE),main!$K$18:$O$18,0),0))),0)</f>
        <v>0</v>
      </c>
      <c r="BH74">
        <f>IF((gamma!BH74),IF(VLOOKUP(BH$1,main!$A$3:$H$102,7,FALSE)=VLOOKUP($A74,main!$A$3:$H$102,8,FALSE),VLOOKUP(BH$1,main!$A$3:$H$102,4,FALSE),VLOOKUP(BH$1,main!$A$3:$H$102,4,FALSE)+VLOOKUP($A74,main!$A$3:$H$102,4,FALSE)+(VLOOKUP(VLOOKUP(BH$1,main!$A$3:$H$102,8,FALSE),main!$K$19:$O$22,MATCH(VLOOKUP($A74,main!$A$3:$H$102,7,FALSE),main!$K$18:$O$18,0),0))),0)</f>
        <v>290</v>
      </c>
      <c r="BI74">
        <f>IF((gamma!BI74),IF(VLOOKUP(BI$1,main!$A$3:$H$102,7,FALSE)=VLOOKUP($A74,main!$A$3:$H$102,8,FALSE),VLOOKUP(BI$1,main!$A$3:$H$102,4,FALSE),VLOOKUP(BI$1,main!$A$3:$H$102,4,FALSE)+VLOOKUP($A74,main!$A$3:$H$102,4,FALSE)+(VLOOKUP(VLOOKUP(BI$1,main!$A$3:$H$102,8,FALSE),main!$K$19:$O$22,MATCH(VLOOKUP($A74,main!$A$3:$H$102,7,FALSE),main!$K$18:$O$18,0),0))),0)</f>
        <v>225</v>
      </c>
      <c r="BJ74">
        <f>IF((gamma!BJ74),IF(VLOOKUP(BJ$1,main!$A$3:$H$102,7,FALSE)=VLOOKUP($A74,main!$A$3:$H$102,8,FALSE),VLOOKUP(BJ$1,main!$A$3:$H$102,4,FALSE),VLOOKUP(BJ$1,main!$A$3:$H$102,4,FALSE)+VLOOKUP($A74,main!$A$3:$H$102,4,FALSE)+(VLOOKUP(VLOOKUP(BJ$1,main!$A$3:$H$102,8,FALSE),main!$K$19:$O$22,MATCH(VLOOKUP($A74,main!$A$3:$H$102,7,FALSE),main!$K$18:$O$18,0),0))),0)</f>
        <v>255</v>
      </c>
      <c r="BK74">
        <f>IF((gamma!BK74),IF(VLOOKUP(BK$1,main!$A$3:$H$102,7,FALSE)=VLOOKUP($A74,main!$A$3:$H$102,8,FALSE),VLOOKUP(BK$1,main!$A$3:$H$102,4,FALSE),VLOOKUP(BK$1,main!$A$3:$H$102,4,FALSE)+VLOOKUP($A74,main!$A$3:$H$102,4,FALSE)+(VLOOKUP(VLOOKUP(BK$1,main!$A$3:$H$102,8,FALSE),main!$K$19:$O$22,MATCH(VLOOKUP($A74,main!$A$3:$H$102,7,FALSE),main!$K$18:$O$18,0),0))),0)</f>
        <v>0</v>
      </c>
      <c r="BL74">
        <f>IF((gamma!BL74),IF(VLOOKUP(BL$1,main!$A$3:$H$102,7,FALSE)=VLOOKUP($A74,main!$A$3:$H$102,8,FALSE),VLOOKUP(BL$1,main!$A$3:$H$102,4,FALSE),VLOOKUP(BL$1,main!$A$3:$H$102,4,FALSE)+VLOOKUP($A74,main!$A$3:$H$102,4,FALSE)+(VLOOKUP(VLOOKUP(BL$1,main!$A$3:$H$102,8,FALSE),main!$K$19:$O$22,MATCH(VLOOKUP($A74,main!$A$3:$H$102,7,FALSE),main!$K$18:$O$18,0),0))),0)</f>
        <v>0</v>
      </c>
      <c r="BM74">
        <f>IF((gamma!BM74),IF(VLOOKUP(BM$1,main!$A$3:$H$102,7,FALSE)=VLOOKUP($A74,main!$A$3:$H$102,8,FALSE),VLOOKUP(BM$1,main!$A$3:$H$102,4,FALSE),VLOOKUP(BM$1,main!$A$3:$H$102,4,FALSE)+VLOOKUP($A74,main!$A$3:$H$102,4,FALSE)+(VLOOKUP(VLOOKUP(BM$1,main!$A$3:$H$102,8,FALSE),main!$K$19:$O$22,MATCH(VLOOKUP($A74,main!$A$3:$H$102,7,FALSE),main!$K$18:$O$18,0),0))),0)</f>
        <v>0</v>
      </c>
      <c r="BN74">
        <f>IF((gamma!BN74),IF(VLOOKUP(BN$1,main!$A$3:$H$102,7,FALSE)=VLOOKUP($A74,main!$A$3:$H$102,8,FALSE),VLOOKUP(BN$1,main!$A$3:$H$102,4,FALSE),VLOOKUP(BN$1,main!$A$3:$H$102,4,FALSE)+VLOOKUP($A74,main!$A$3:$H$102,4,FALSE)+(VLOOKUP(VLOOKUP(BN$1,main!$A$3:$H$102,8,FALSE),main!$K$19:$O$22,MATCH(VLOOKUP($A74,main!$A$3:$H$102,7,FALSE),main!$K$18:$O$18,0),0))),0)</f>
        <v>283</v>
      </c>
      <c r="BO74">
        <f>IF((gamma!BO74),IF(VLOOKUP(BO$1,main!$A$3:$H$102,7,FALSE)=VLOOKUP($A74,main!$A$3:$H$102,8,FALSE),VLOOKUP(BO$1,main!$A$3:$H$102,4,FALSE),VLOOKUP(BO$1,main!$A$3:$H$102,4,FALSE)+VLOOKUP($A74,main!$A$3:$H$102,4,FALSE)+(VLOOKUP(VLOOKUP(BO$1,main!$A$3:$H$102,8,FALSE),main!$K$19:$O$22,MATCH(VLOOKUP($A74,main!$A$3:$H$102,7,FALSE),main!$K$18:$O$18,0),0))),0)</f>
        <v>0</v>
      </c>
      <c r="BP74">
        <f>IF((gamma!BP74),IF(VLOOKUP(BP$1,main!$A$3:$H$102,7,FALSE)=VLOOKUP($A74,main!$A$3:$H$102,8,FALSE),VLOOKUP(BP$1,main!$A$3:$H$102,4,FALSE),VLOOKUP(BP$1,main!$A$3:$H$102,4,FALSE)+VLOOKUP($A74,main!$A$3:$H$102,4,FALSE)+(VLOOKUP(VLOOKUP(BP$1,main!$A$3:$H$102,8,FALSE),main!$K$19:$O$22,MATCH(VLOOKUP($A74,main!$A$3:$H$102,7,FALSE),main!$K$18:$O$18,0),0))),0)</f>
        <v>0</v>
      </c>
      <c r="BQ74">
        <f>IF((gamma!BQ74),IF(VLOOKUP(BQ$1,main!$A$3:$H$102,7,FALSE)=VLOOKUP($A74,main!$A$3:$H$102,8,FALSE),VLOOKUP(BQ$1,main!$A$3:$H$102,4,FALSE),VLOOKUP(BQ$1,main!$A$3:$H$102,4,FALSE)+VLOOKUP($A74,main!$A$3:$H$102,4,FALSE)+(VLOOKUP(VLOOKUP(BQ$1,main!$A$3:$H$102,8,FALSE),main!$K$19:$O$22,MATCH(VLOOKUP($A74,main!$A$3:$H$102,7,FALSE),main!$K$18:$O$18,0),0))),0)</f>
        <v>303</v>
      </c>
      <c r="BR74">
        <f>IF((gamma!BR74),IF(VLOOKUP(BR$1,main!$A$3:$H$102,7,FALSE)=VLOOKUP($A74,main!$A$3:$H$102,8,FALSE),VLOOKUP(BR$1,main!$A$3:$H$102,4,FALSE),VLOOKUP(BR$1,main!$A$3:$H$102,4,FALSE)+VLOOKUP($A74,main!$A$3:$H$102,4,FALSE)+(VLOOKUP(VLOOKUP(BR$1,main!$A$3:$H$102,8,FALSE),main!$K$19:$O$22,MATCH(VLOOKUP($A74,main!$A$3:$H$102,7,FALSE),main!$K$18:$O$18,0),0))),0)</f>
        <v>263</v>
      </c>
      <c r="BS74">
        <f>IF((gamma!BS74),IF(VLOOKUP(BS$1,main!$A$3:$H$102,7,FALSE)=VLOOKUP($A74,main!$A$3:$H$102,8,FALSE),VLOOKUP(BS$1,main!$A$3:$H$102,4,FALSE),VLOOKUP(BS$1,main!$A$3:$H$102,4,FALSE)+VLOOKUP($A74,main!$A$3:$H$102,4,FALSE)+(VLOOKUP(VLOOKUP(BS$1,main!$A$3:$H$102,8,FALSE),main!$K$19:$O$22,MATCH(VLOOKUP($A74,main!$A$3:$H$102,7,FALSE),main!$K$18:$O$18,0),0))),0)</f>
        <v>264</v>
      </c>
      <c r="BT74">
        <f>IF((gamma!BT74),IF(VLOOKUP(BT$1,main!$A$3:$H$102,7,FALSE)=VLOOKUP($A74,main!$A$3:$H$102,8,FALSE),VLOOKUP(BT$1,main!$A$3:$H$102,4,FALSE),VLOOKUP(BT$1,main!$A$3:$H$102,4,FALSE)+VLOOKUP($A74,main!$A$3:$H$102,4,FALSE)+(VLOOKUP(VLOOKUP(BT$1,main!$A$3:$H$102,8,FALSE),main!$K$19:$O$22,MATCH(VLOOKUP($A74,main!$A$3:$H$102,7,FALSE),main!$K$18:$O$18,0),0))),0)</f>
        <v>283</v>
      </c>
      <c r="BU74">
        <f>IF((gamma!BU74),IF(VLOOKUP(BU$1,main!$A$3:$H$102,7,FALSE)=VLOOKUP($A74,main!$A$3:$H$102,8,FALSE),VLOOKUP(BU$1,main!$A$3:$H$102,4,FALSE),VLOOKUP(BU$1,main!$A$3:$H$102,4,FALSE)+VLOOKUP($A74,main!$A$3:$H$102,4,FALSE)+(VLOOKUP(VLOOKUP(BU$1,main!$A$3:$H$102,8,FALSE),main!$K$19:$O$22,MATCH(VLOOKUP($A74,main!$A$3:$H$102,7,FALSE),main!$K$18:$O$18,0),0))),0)</f>
        <v>0</v>
      </c>
      <c r="BV74">
        <f>IF((gamma!BV74),IF(VLOOKUP(BV$1,main!$A$3:$H$102,7,FALSE)=VLOOKUP($A74,main!$A$3:$H$102,8,FALSE),VLOOKUP(BV$1,main!$A$3:$H$102,4,FALSE),VLOOKUP(BV$1,main!$A$3:$H$102,4,FALSE)+VLOOKUP($A74,main!$A$3:$H$102,4,FALSE)+(VLOOKUP(VLOOKUP(BV$1,main!$A$3:$H$102,8,FALSE),main!$K$19:$O$22,MATCH(VLOOKUP($A74,main!$A$3:$H$102,7,FALSE),main!$K$18:$O$18,0),0))),0)</f>
        <v>0</v>
      </c>
      <c r="BW74">
        <f>IF((gamma!BW74),IF(VLOOKUP(BW$1,main!$A$3:$H$102,7,FALSE)=VLOOKUP($A74,main!$A$3:$H$102,8,FALSE),VLOOKUP(BW$1,main!$A$3:$H$102,4,FALSE),VLOOKUP(BW$1,main!$A$3:$H$102,4,FALSE)+VLOOKUP($A74,main!$A$3:$H$102,4,FALSE)+(VLOOKUP(VLOOKUP(BW$1,main!$A$3:$H$102,8,FALSE),main!$K$19:$O$22,MATCH(VLOOKUP($A74,main!$A$3:$H$102,7,FALSE),main!$K$18:$O$18,0),0))),0)</f>
        <v>0</v>
      </c>
      <c r="BX74">
        <f>IF((gamma!BX74),IF(VLOOKUP(BX$1,main!$A$3:$H$102,7,FALSE)=VLOOKUP($A74,main!$A$3:$H$102,8,FALSE),VLOOKUP(BX$1,main!$A$3:$H$102,4,FALSE),VLOOKUP(BX$1,main!$A$3:$H$102,4,FALSE)+VLOOKUP($A74,main!$A$3:$H$102,4,FALSE)+(VLOOKUP(VLOOKUP(BX$1,main!$A$3:$H$102,8,FALSE),main!$K$19:$O$22,MATCH(VLOOKUP($A74,main!$A$3:$H$102,7,FALSE),main!$K$18:$O$18,0),0))),0)</f>
        <v>303</v>
      </c>
      <c r="BY74">
        <f>IF((gamma!BY74),IF(VLOOKUP(BY$1,main!$A$3:$H$102,7,FALSE)=VLOOKUP($A74,main!$A$3:$H$102,8,FALSE),VLOOKUP(BY$1,main!$A$3:$H$102,4,FALSE),VLOOKUP(BY$1,main!$A$3:$H$102,4,FALSE)+VLOOKUP($A74,main!$A$3:$H$102,4,FALSE)+(VLOOKUP(VLOOKUP(BY$1,main!$A$3:$H$102,8,FALSE),main!$K$19:$O$22,MATCH(VLOOKUP($A74,main!$A$3:$H$102,7,FALSE),main!$K$18:$O$18,0),0))),0)</f>
        <v>288</v>
      </c>
      <c r="BZ74">
        <f>IF((gamma!BZ74),IF(VLOOKUP(BZ$1,main!$A$3:$H$102,7,FALSE)=VLOOKUP($A74,main!$A$3:$H$102,8,FALSE),VLOOKUP(BZ$1,main!$A$3:$H$102,4,FALSE),VLOOKUP(BZ$1,main!$A$3:$H$102,4,FALSE)+VLOOKUP($A74,main!$A$3:$H$102,4,FALSE)+(VLOOKUP(VLOOKUP(BZ$1,main!$A$3:$H$102,8,FALSE),main!$K$19:$O$22,MATCH(VLOOKUP($A74,main!$A$3:$H$102,7,FALSE),main!$K$18:$O$18,0),0))),0)</f>
        <v>0</v>
      </c>
      <c r="CA74">
        <f>IF((gamma!CA74),IF(VLOOKUP(CA$1,main!$A$3:$H$102,7,FALSE)=VLOOKUP($A74,main!$A$3:$H$102,8,FALSE),VLOOKUP(CA$1,main!$A$3:$H$102,4,FALSE),VLOOKUP(CA$1,main!$A$3:$H$102,4,FALSE)+VLOOKUP($A74,main!$A$3:$H$102,4,FALSE)+(VLOOKUP(VLOOKUP(CA$1,main!$A$3:$H$102,8,FALSE),main!$K$19:$O$22,MATCH(VLOOKUP($A74,main!$A$3:$H$102,7,FALSE),main!$K$18:$O$18,0),0))),0)</f>
        <v>0</v>
      </c>
      <c r="CB74">
        <f>IF((gamma!CB74),IF(VLOOKUP(CB$1,main!$A$3:$H$102,7,FALSE)=VLOOKUP($A74,main!$A$3:$H$102,8,FALSE),VLOOKUP(CB$1,main!$A$3:$H$102,4,FALSE),VLOOKUP(CB$1,main!$A$3:$H$102,4,FALSE)+VLOOKUP($A74,main!$A$3:$H$102,4,FALSE)+(VLOOKUP(VLOOKUP(CB$1,main!$A$3:$H$102,8,FALSE),main!$K$19:$O$22,MATCH(VLOOKUP($A74,main!$A$3:$H$102,7,FALSE),main!$K$18:$O$18,0),0))),0)</f>
        <v>233</v>
      </c>
      <c r="CC74">
        <f>IF((gamma!CC74),IF(VLOOKUP(CC$1,main!$A$3:$H$102,7,FALSE)=VLOOKUP($A74,main!$A$3:$H$102,8,FALSE),VLOOKUP(CC$1,main!$A$3:$H$102,4,FALSE),VLOOKUP(CC$1,main!$A$3:$H$102,4,FALSE)+VLOOKUP($A74,main!$A$3:$H$102,4,FALSE)+(VLOOKUP(VLOOKUP(CC$1,main!$A$3:$H$102,8,FALSE),main!$K$19:$O$22,MATCH(VLOOKUP($A74,main!$A$3:$H$102,7,FALSE),main!$K$18:$O$18,0),0))),0)</f>
        <v>223</v>
      </c>
      <c r="CD74">
        <f>IF((gamma!CD74),IF(VLOOKUP(CD$1,main!$A$3:$H$102,7,FALSE)=VLOOKUP($A74,main!$A$3:$H$102,8,FALSE),VLOOKUP(CD$1,main!$A$3:$H$102,4,FALSE),VLOOKUP(CD$1,main!$A$3:$H$102,4,FALSE)+VLOOKUP($A74,main!$A$3:$H$102,4,FALSE)+(VLOOKUP(VLOOKUP(CD$1,main!$A$3:$H$102,8,FALSE),main!$K$19:$O$22,MATCH(VLOOKUP($A74,main!$A$3:$H$102,7,FALSE),main!$K$18:$O$18,0),0))),0)</f>
        <v>282</v>
      </c>
      <c r="CE74">
        <f>IF((gamma!CE74),IF(VLOOKUP(CE$1,main!$A$3:$H$102,7,FALSE)=VLOOKUP($A74,main!$A$3:$H$102,8,FALSE),VLOOKUP(CE$1,main!$A$3:$H$102,4,FALSE),VLOOKUP(CE$1,main!$A$3:$H$102,4,FALSE)+VLOOKUP($A74,main!$A$3:$H$102,4,FALSE)+(VLOOKUP(VLOOKUP(CE$1,main!$A$3:$H$102,8,FALSE),main!$K$19:$O$22,MATCH(VLOOKUP($A74,main!$A$3:$H$102,7,FALSE),main!$K$18:$O$18,0),0))),0)</f>
        <v>140</v>
      </c>
      <c r="CF74">
        <f>IF((gamma!CF74),IF(VLOOKUP(CF$1,main!$A$3:$H$102,7,FALSE)=VLOOKUP($A74,main!$A$3:$H$102,8,FALSE),VLOOKUP(CF$1,main!$A$3:$H$102,4,FALSE),VLOOKUP(CF$1,main!$A$3:$H$102,4,FALSE)+VLOOKUP($A74,main!$A$3:$H$102,4,FALSE)+(VLOOKUP(VLOOKUP(CF$1,main!$A$3:$H$102,8,FALSE),main!$K$19:$O$22,MATCH(VLOOKUP($A74,main!$A$3:$H$102,7,FALSE),main!$K$18:$O$18,0),0))),0)</f>
        <v>135</v>
      </c>
      <c r="CG74">
        <f>IF((gamma!CG74),IF(VLOOKUP(CG$1,main!$A$3:$H$102,7,FALSE)=VLOOKUP($A74,main!$A$3:$H$102,8,FALSE),VLOOKUP(CG$1,main!$A$3:$H$102,4,FALSE),VLOOKUP(CG$1,main!$A$3:$H$102,4,FALSE)+VLOOKUP($A74,main!$A$3:$H$102,4,FALSE)+(VLOOKUP(VLOOKUP(CG$1,main!$A$3:$H$102,8,FALSE),main!$K$19:$O$22,MATCH(VLOOKUP($A74,main!$A$3:$H$102,7,FALSE),main!$K$18:$O$18,0),0))),0)</f>
        <v>140</v>
      </c>
      <c r="CH74">
        <f>IF((gamma!CH74),IF(VLOOKUP(CH$1,main!$A$3:$H$102,7,FALSE)=VLOOKUP($A74,main!$A$3:$H$102,8,FALSE),VLOOKUP(CH$1,main!$A$3:$H$102,4,FALSE),VLOOKUP(CH$1,main!$A$3:$H$102,4,FALSE)+VLOOKUP($A74,main!$A$3:$H$102,4,FALSE)+(VLOOKUP(VLOOKUP(CH$1,main!$A$3:$H$102,8,FALSE),main!$K$19:$O$22,MATCH(VLOOKUP($A74,main!$A$3:$H$102,7,FALSE),main!$K$18:$O$18,0),0))),0)</f>
        <v>140</v>
      </c>
      <c r="CI74">
        <f>IF((gamma!CI74),IF(VLOOKUP(CI$1,main!$A$3:$H$102,7,FALSE)=VLOOKUP($A74,main!$A$3:$H$102,8,FALSE),VLOOKUP(CI$1,main!$A$3:$H$102,4,FALSE),VLOOKUP(CI$1,main!$A$3:$H$102,4,FALSE)+VLOOKUP($A74,main!$A$3:$H$102,4,FALSE)+(VLOOKUP(VLOOKUP(CI$1,main!$A$3:$H$102,8,FALSE),main!$K$19:$O$22,MATCH(VLOOKUP($A74,main!$A$3:$H$102,7,FALSE),main!$K$18:$O$18,0),0))),0)</f>
        <v>140</v>
      </c>
      <c r="CJ74">
        <f>IF((gamma!CJ74),IF(VLOOKUP(CJ$1,main!$A$3:$H$102,7,FALSE)=VLOOKUP($A74,main!$A$3:$H$102,8,FALSE),VLOOKUP(CJ$1,main!$A$3:$H$102,4,FALSE),VLOOKUP(CJ$1,main!$A$3:$H$102,4,FALSE)+VLOOKUP($A74,main!$A$3:$H$102,4,FALSE)+(VLOOKUP(VLOOKUP(CJ$1,main!$A$3:$H$102,8,FALSE),main!$K$19:$O$22,MATCH(VLOOKUP($A74,main!$A$3:$H$102,7,FALSE),main!$K$18:$O$18,0),0))),0)</f>
        <v>68</v>
      </c>
      <c r="CK74">
        <f>IF((gamma!CK74),IF(VLOOKUP(CK$1,main!$A$3:$H$102,7,FALSE)=VLOOKUP($A74,main!$A$3:$H$102,8,FALSE),VLOOKUP(CK$1,main!$A$3:$H$102,4,FALSE),VLOOKUP(CK$1,main!$A$3:$H$102,4,FALSE)+VLOOKUP($A74,main!$A$3:$H$102,4,FALSE)+(VLOOKUP(VLOOKUP(CK$1,main!$A$3:$H$102,8,FALSE),main!$K$19:$O$22,MATCH(VLOOKUP($A74,main!$A$3:$H$102,7,FALSE),main!$K$18:$O$18,0),0))),0)</f>
        <v>0</v>
      </c>
      <c r="CL74">
        <f>IF((gamma!CL74),IF(VLOOKUP(CL$1,main!$A$3:$H$102,7,FALSE)=VLOOKUP($A74,main!$A$3:$H$102,8,FALSE),VLOOKUP(CL$1,main!$A$3:$H$102,4,FALSE),VLOOKUP(CL$1,main!$A$3:$H$102,4,FALSE)+VLOOKUP($A74,main!$A$3:$H$102,4,FALSE)+(VLOOKUP(VLOOKUP(CL$1,main!$A$3:$H$102,8,FALSE),main!$K$19:$O$22,MATCH(VLOOKUP($A74,main!$A$3:$H$102,7,FALSE),main!$K$18:$O$18,0),0))),0)</f>
        <v>80</v>
      </c>
      <c r="CM74">
        <f>IF((gamma!CM74),IF(VLOOKUP(CM$1,main!$A$3:$H$102,7,FALSE)=VLOOKUP($A74,main!$A$3:$H$102,8,FALSE),VLOOKUP(CM$1,main!$A$3:$H$102,4,FALSE),VLOOKUP(CM$1,main!$A$3:$H$102,4,FALSE)+VLOOKUP($A74,main!$A$3:$H$102,4,FALSE)+(VLOOKUP(VLOOKUP(CM$1,main!$A$3:$H$102,8,FALSE),main!$K$19:$O$22,MATCH(VLOOKUP($A74,main!$A$3:$H$102,7,FALSE),main!$K$18:$O$18,0),0))),0)</f>
        <v>100</v>
      </c>
      <c r="CN74">
        <f>IF((gamma!CN74),IF(VLOOKUP(CN$1,main!$A$3:$H$102,7,FALSE)=VLOOKUP($A74,main!$A$3:$H$102,8,FALSE),VLOOKUP(CN$1,main!$A$3:$H$102,4,FALSE),VLOOKUP(CN$1,main!$A$3:$H$102,4,FALSE)+VLOOKUP($A74,main!$A$3:$H$102,4,FALSE)+(VLOOKUP(VLOOKUP(CN$1,main!$A$3:$H$102,8,FALSE),main!$K$19:$O$22,MATCH(VLOOKUP($A74,main!$A$3:$H$102,7,FALSE),main!$K$18:$O$18,0),0))),0)</f>
        <v>96</v>
      </c>
      <c r="CO74">
        <f>IF((gamma!CO74),IF(VLOOKUP(CO$1,main!$A$3:$H$102,7,FALSE)=VLOOKUP($A74,main!$A$3:$H$102,8,FALSE),VLOOKUP(CO$1,main!$A$3:$H$102,4,FALSE),VLOOKUP(CO$1,main!$A$3:$H$102,4,FALSE)+VLOOKUP($A74,main!$A$3:$H$102,4,FALSE)+(VLOOKUP(VLOOKUP(CO$1,main!$A$3:$H$102,8,FALSE),main!$K$19:$O$22,MATCH(VLOOKUP($A74,main!$A$3:$H$102,7,FALSE),main!$K$18:$O$18,0),0))),0)</f>
        <v>0</v>
      </c>
      <c r="CP74">
        <f>IF((gamma!CP74),IF(VLOOKUP(CP$1,main!$A$3:$H$102,7,FALSE)=VLOOKUP($A74,main!$A$3:$H$102,8,FALSE),VLOOKUP(CP$1,main!$A$3:$H$102,4,FALSE),VLOOKUP(CP$1,main!$A$3:$H$102,4,FALSE)+VLOOKUP($A74,main!$A$3:$H$102,4,FALSE)+(VLOOKUP(VLOOKUP(CP$1,main!$A$3:$H$102,8,FALSE),main!$K$19:$O$22,MATCH(VLOOKUP($A74,main!$A$3:$H$102,7,FALSE),main!$K$18:$O$18,0),0))),0)</f>
        <v>120</v>
      </c>
      <c r="CQ74">
        <f>IF((gamma!CQ74),IF(VLOOKUP(CQ$1,main!$A$3:$H$102,7,FALSE)=VLOOKUP($A74,main!$A$3:$H$102,8,FALSE),VLOOKUP(CQ$1,main!$A$3:$H$102,4,FALSE),VLOOKUP(CQ$1,main!$A$3:$H$102,4,FALSE)+VLOOKUP($A74,main!$A$3:$H$102,4,FALSE)+(VLOOKUP(VLOOKUP(CQ$1,main!$A$3:$H$102,8,FALSE),main!$K$19:$O$22,MATCH(VLOOKUP($A74,main!$A$3:$H$102,7,FALSE),main!$K$18:$O$18,0),0))),0)</f>
        <v>120</v>
      </c>
      <c r="CR74">
        <f>IF((gamma!CR74),IF(VLOOKUP(CR$1,main!$A$3:$H$102,7,FALSE)=VLOOKUP($A74,main!$A$3:$H$102,8,FALSE),VLOOKUP(CR$1,main!$A$3:$H$102,4,FALSE),VLOOKUP(CR$1,main!$A$3:$H$102,4,FALSE)+VLOOKUP($A74,main!$A$3:$H$102,4,FALSE)+(VLOOKUP(VLOOKUP(CR$1,main!$A$3:$H$102,8,FALSE),main!$K$19:$O$22,MATCH(VLOOKUP($A74,main!$A$3:$H$102,7,FALSE),main!$K$18:$O$18,0),0))),0)</f>
        <v>135</v>
      </c>
      <c r="CS74">
        <f>IF((gamma!CS74),IF(VLOOKUP(CS$1,main!$A$3:$H$102,7,FALSE)=VLOOKUP($A74,main!$A$3:$H$102,8,FALSE),VLOOKUP(CS$1,main!$A$3:$H$102,4,FALSE),VLOOKUP(CS$1,main!$A$3:$H$102,4,FALSE)+VLOOKUP($A74,main!$A$3:$H$102,4,FALSE)+(VLOOKUP(VLOOKUP(CS$1,main!$A$3:$H$102,8,FALSE),main!$K$19:$O$22,MATCH(VLOOKUP($A74,main!$A$3:$H$102,7,FALSE),main!$K$18:$O$18,0),0))),0)</f>
        <v>135</v>
      </c>
      <c r="CT74">
        <f>IF((gamma!CT74),IF(VLOOKUP(CT$1,main!$A$3:$H$102,7,FALSE)=VLOOKUP($A74,main!$A$3:$H$102,8,FALSE),VLOOKUP(CT$1,main!$A$3:$H$102,4,FALSE),VLOOKUP(CT$1,main!$A$3:$H$102,4,FALSE)+VLOOKUP($A74,main!$A$3:$H$102,4,FALSE)+(VLOOKUP(VLOOKUP(CT$1,main!$A$3:$H$102,8,FALSE),main!$K$19:$O$22,MATCH(VLOOKUP($A74,main!$A$3:$H$102,7,FALSE),main!$K$18:$O$18,0),0))),0)</f>
        <v>0</v>
      </c>
      <c r="CU74">
        <f>IF((gamma!CU74),IF(VLOOKUP(CU$1,main!$A$3:$H$102,7,FALSE)=VLOOKUP($A74,main!$A$3:$H$102,8,FALSE),VLOOKUP(CU$1,main!$A$3:$H$102,4,FALSE),VLOOKUP(CU$1,main!$A$3:$H$102,4,FALSE)+VLOOKUP($A74,main!$A$3:$H$102,4,FALSE)+(VLOOKUP(VLOOKUP(CU$1,main!$A$3:$H$102,8,FALSE),main!$K$19:$O$22,MATCH(VLOOKUP($A74,main!$A$3:$H$102,7,FALSE),main!$K$18:$O$18,0),0))),0)</f>
        <v>0</v>
      </c>
      <c r="CV74">
        <f>IF((gamma!CV74),IF(VLOOKUP(CV$1,main!$A$3:$H$102,7,FALSE)=VLOOKUP($A74,main!$A$3:$H$102,8,FALSE),VLOOKUP(CV$1,main!$A$3:$H$102,4,FALSE),VLOOKUP(CV$1,main!$A$3:$H$102,4,FALSE)+VLOOKUP($A74,main!$A$3:$H$102,4,FALSE)+(VLOOKUP(VLOOKUP(CV$1,main!$A$3:$H$102,8,FALSE),main!$K$19:$O$22,MATCH(VLOOKUP($A74,main!$A$3:$H$102,7,FALSE),main!$K$18:$O$18,0),0))),0)</f>
        <v>80</v>
      </c>
      <c r="CW74">
        <f>IF((gamma!CW74),IF(VLOOKUP(CW$1,main!$A$3:$H$102,7,FALSE)=VLOOKUP($A74,main!$A$3:$H$102,8,FALSE),VLOOKUP(CW$1,main!$A$3:$H$102,4,FALSE),VLOOKUP(CW$1,main!$A$3:$H$102,4,FALSE)+VLOOKUP($A74,main!$A$3:$H$102,4,FALSE)+(VLOOKUP(VLOOKUP(CW$1,main!$A$3:$H$102,8,FALSE),main!$K$19:$O$22,MATCH(VLOOKUP($A74,main!$A$3:$H$102,7,FALSE),main!$K$18:$O$18,0),0))),0)</f>
        <v>95</v>
      </c>
      <c r="CX74">
        <f>IF((gamma!CX74),IF(VLOOKUP(CX$1,main!$A$3:$H$102,7,FALSE)=VLOOKUP($A74,main!$A$3:$H$102,8,FALSE),VLOOKUP(CX$1,main!$A$3:$H$102,4,FALSE),VLOOKUP(CX$1,main!$A$3:$H$102,4,FALSE)+VLOOKUP($A74,main!$A$3:$H$102,4,FALSE)+(VLOOKUP(VLOOKUP(CX$1,main!$A$3:$H$102,8,FALSE),main!$K$19:$O$22,MATCH(VLOOKUP($A74,main!$A$3:$H$102,7,FALSE),main!$K$18:$O$18,0),0))),0)</f>
        <v>85</v>
      </c>
      <c r="CY74">
        <v>0</v>
      </c>
      <c r="CZ74">
        <v>0</v>
      </c>
      <c r="DA74">
        <v>0</v>
      </c>
    </row>
    <row r="75" spans="1:105" x14ac:dyDescent="0.25">
      <c r="A75" s="1">
        <v>73</v>
      </c>
      <c r="B75">
        <v>0</v>
      </c>
      <c r="C75">
        <f>IF((gamma!C75),IF(VLOOKUP(C$1,main!$A$3:$H$102,7,FALSE)=VLOOKUP($A75,main!$A$3:$H$102,8,FALSE),VLOOKUP(C$1,main!$A$3:$H$102,4,FALSE),VLOOKUP(C$1,main!$A$3:$H$102,4,FALSE)+VLOOKUP($A75,main!$A$3:$H$102,4,FALSE)+(VLOOKUP(VLOOKUP(C$1,main!$A$3:$H$102,8,FALSE),main!$K$19:$O$22,MATCH(VLOOKUP($A75,main!$A$3:$H$102,7,FALSE),main!$K$18:$O$18,0),0))),0)</f>
        <v>0</v>
      </c>
      <c r="D75">
        <f>IF((gamma!D75),IF(VLOOKUP(D$1,main!$A$3:$H$102,7,FALSE)=VLOOKUP($A75,main!$A$3:$H$102,8,FALSE),VLOOKUP(D$1,main!$A$3:$H$102,4,FALSE),VLOOKUP(D$1,main!$A$3:$H$102,4,FALSE)+VLOOKUP($A75,main!$A$3:$H$102,4,FALSE)+(VLOOKUP(VLOOKUP(D$1,main!$A$3:$H$102,8,FALSE),main!$K$19:$O$22,MATCH(VLOOKUP($A75,main!$A$3:$H$102,7,FALSE),main!$K$18:$O$18,0),0))),0)</f>
        <v>0</v>
      </c>
      <c r="E75">
        <f>IF((gamma!E75),IF(VLOOKUP(E$1,main!$A$3:$H$102,7,FALSE)=VLOOKUP($A75,main!$A$3:$H$102,8,FALSE),VLOOKUP(E$1,main!$A$3:$H$102,4,FALSE),VLOOKUP(E$1,main!$A$3:$H$102,4,FALSE)+VLOOKUP($A75,main!$A$3:$H$102,4,FALSE)+(VLOOKUP(VLOOKUP(E$1,main!$A$3:$H$102,8,FALSE),main!$K$19:$O$22,MATCH(VLOOKUP($A75,main!$A$3:$H$102,7,FALSE),main!$K$18:$O$18,0),0))),0)</f>
        <v>0</v>
      </c>
      <c r="F75">
        <f>IF((gamma!F75),IF(VLOOKUP(F$1,main!$A$3:$H$102,7,FALSE)=VLOOKUP($A75,main!$A$3:$H$102,8,FALSE),VLOOKUP(F$1,main!$A$3:$H$102,4,FALSE),VLOOKUP(F$1,main!$A$3:$H$102,4,FALSE)+VLOOKUP($A75,main!$A$3:$H$102,4,FALSE)+(VLOOKUP(VLOOKUP(F$1,main!$A$3:$H$102,8,FALSE),main!$K$19:$O$22,MATCH(VLOOKUP($A75,main!$A$3:$H$102,7,FALSE),main!$K$18:$O$18,0),0))),0)</f>
        <v>0</v>
      </c>
      <c r="G75">
        <f>IF((gamma!G75),IF(VLOOKUP(G$1,main!$A$3:$H$102,7,FALSE)=VLOOKUP($A75,main!$A$3:$H$102,8,FALSE),VLOOKUP(G$1,main!$A$3:$H$102,4,FALSE),VLOOKUP(G$1,main!$A$3:$H$102,4,FALSE)+VLOOKUP($A75,main!$A$3:$H$102,4,FALSE)+(VLOOKUP(VLOOKUP(G$1,main!$A$3:$H$102,8,FALSE),main!$K$19:$O$22,MATCH(VLOOKUP($A75,main!$A$3:$H$102,7,FALSE),main!$K$18:$O$18,0),0))),0)</f>
        <v>298</v>
      </c>
      <c r="H75">
        <f>IF((gamma!H75),IF(VLOOKUP(H$1,main!$A$3:$H$102,7,FALSE)=VLOOKUP($A75,main!$A$3:$H$102,8,FALSE),VLOOKUP(H$1,main!$A$3:$H$102,4,FALSE),VLOOKUP(H$1,main!$A$3:$H$102,4,FALSE)+VLOOKUP($A75,main!$A$3:$H$102,4,FALSE)+(VLOOKUP(VLOOKUP(H$1,main!$A$3:$H$102,8,FALSE),main!$K$19:$O$22,MATCH(VLOOKUP($A75,main!$A$3:$H$102,7,FALSE),main!$K$18:$O$18,0),0))),0)</f>
        <v>298</v>
      </c>
      <c r="I75">
        <f>IF((gamma!I75),IF(VLOOKUP(I$1,main!$A$3:$H$102,7,FALSE)=VLOOKUP($A75,main!$A$3:$H$102,8,FALSE),VLOOKUP(I$1,main!$A$3:$H$102,4,FALSE),VLOOKUP(I$1,main!$A$3:$H$102,4,FALSE)+VLOOKUP($A75,main!$A$3:$H$102,4,FALSE)+(VLOOKUP(VLOOKUP(I$1,main!$A$3:$H$102,8,FALSE),main!$K$19:$O$22,MATCH(VLOOKUP($A75,main!$A$3:$H$102,7,FALSE),main!$K$18:$O$18,0),0))),0)</f>
        <v>298</v>
      </c>
      <c r="J75">
        <f>IF((gamma!J75),IF(VLOOKUP(J$1,main!$A$3:$H$102,7,FALSE)=VLOOKUP($A75,main!$A$3:$H$102,8,FALSE),VLOOKUP(J$1,main!$A$3:$H$102,4,FALSE),VLOOKUP(J$1,main!$A$3:$H$102,4,FALSE)+VLOOKUP($A75,main!$A$3:$H$102,4,FALSE)+(VLOOKUP(VLOOKUP(J$1,main!$A$3:$H$102,8,FALSE),main!$K$19:$O$22,MATCH(VLOOKUP($A75,main!$A$3:$H$102,7,FALSE),main!$K$18:$O$18,0),0))),0)</f>
        <v>298</v>
      </c>
      <c r="K75">
        <f>IF((gamma!K75),IF(VLOOKUP(K$1,main!$A$3:$H$102,7,FALSE)=VLOOKUP($A75,main!$A$3:$H$102,8,FALSE),VLOOKUP(K$1,main!$A$3:$H$102,4,FALSE),VLOOKUP(K$1,main!$A$3:$H$102,4,FALSE)+VLOOKUP($A75,main!$A$3:$H$102,4,FALSE)+(VLOOKUP(VLOOKUP(K$1,main!$A$3:$H$102,8,FALSE),main!$K$19:$O$22,MATCH(VLOOKUP($A75,main!$A$3:$H$102,7,FALSE),main!$K$18:$O$18,0),0))),0)</f>
        <v>298</v>
      </c>
      <c r="L75">
        <f>IF((gamma!L75),IF(VLOOKUP(L$1,main!$A$3:$H$102,7,FALSE)=VLOOKUP($A75,main!$A$3:$H$102,8,FALSE),VLOOKUP(L$1,main!$A$3:$H$102,4,FALSE),VLOOKUP(L$1,main!$A$3:$H$102,4,FALSE)+VLOOKUP($A75,main!$A$3:$H$102,4,FALSE)+(VLOOKUP(VLOOKUP(L$1,main!$A$3:$H$102,8,FALSE),main!$K$19:$O$22,MATCH(VLOOKUP($A75,main!$A$3:$H$102,7,FALSE),main!$K$18:$O$18,0),0))),0)</f>
        <v>298</v>
      </c>
      <c r="M75">
        <f>IF((gamma!M75),IF(VLOOKUP(M$1,main!$A$3:$H$102,7,FALSE)=VLOOKUP($A75,main!$A$3:$H$102,8,FALSE),VLOOKUP(M$1,main!$A$3:$H$102,4,FALSE),VLOOKUP(M$1,main!$A$3:$H$102,4,FALSE)+VLOOKUP($A75,main!$A$3:$H$102,4,FALSE)+(VLOOKUP(VLOOKUP(M$1,main!$A$3:$H$102,8,FALSE),main!$K$19:$O$22,MATCH(VLOOKUP($A75,main!$A$3:$H$102,7,FALSE),main!$K$18:$O$18,0),0))),0)</f>
        <v>0</v>
      </c>
      <c r="N75">
        <f>IF((gamma!N75),IF(VLOOKUP(N$1,main!$A$3:$H$102,7,FALSE)=VLOOKUP($A75,main!$A$3:$H$102,8,FALSE),VLOOKUP(N$1,main!$A$3:$H$102,4,FALSE),VLOOKUP(N$1,main!$A$3:$H$102,4,FALSE)+VLOOKUP($A75,main!$A$3:$H$102,4,FALSE)+(VLOOKUP(VLOOKUP(N$1,main!$A$3:$H$102,8,FALSE),main!$K$19:$O$22,MATCH(VLOOKUP($A75,main!$A$3:$H$102,7,FALSE),main!$K$18:$O$18,0),0))),0)</f>
        <v>0</v>
      </c>
      <c r="O75">
        <f>IF((gamma!O75),IF(VLOOKUP(O$1,main!$A$3:$H$102,7,FALSE)=VLOOKUP($A75,main!$A$3:$H$102,8,FALSE),VLOOKUP(O$1,main!$A$3:$H$102,4,FALSE),VLOOKUP(O$1,main!$A$3:$H$102,4,FALSE)+VLOOKUP($A75,main!$A$3:$H$102,4,FALSE)+(VLOOKUP(VLOOKUP(O$1,main!$A$3:$H$102,8,FALSE),main!$K$19:$O$22,MATCH(VLOOKUP($A75,main!$A$3:$H$102,7,FALSE),main!$K$18:$O$18,0),0))),0)</f>
        <v>0</v>
      </c>
      <c r="P75">
        <f>IF((gamma!P75),IF(VLOOKUP(P$1,main!$A$3:$H$102,7,FALSE)=VLOOKUP($A75,main!$A$3:$H$102,8,FALSE),VLOOKUP(P$1,main!$A$3:$H$102,4,FALSE),VLOOKUP(P$1,main!$A$3:$H$102,4,FALSE)+VLOOKUP($A75,main!$A$3:$H$102,4,FALSE)+(VLOOKUP(VLOOKUP(P$1,main!$A$3:$H$102,8,FALSE),main!$K$19:$O$22,MATCH(VLOOKUP($A75,main!$A$3:$H$102,7,FALSE),main!$K$18:$O$18,0),0))),0)</f>
        <v>0</v>
      </c>
      <c r="Q75">
        <f>IF((gamma!Q75),IF(VLOOKUP(Q$1,main!$A$3:$H$102,7,FALSE)=VLOOKUP($A75,main!$A$3:$H$102,8,FALSE),VLOOKUP(Q$1,main!$A$3:$H$102,4,FALSE),VLOOKUP(Q$1,main!$A$3:$H$102,4,FALSE)+VLOOKUP($A75,main!$A$3:$H$102,4,FALSE)+(VLOOKUP(VLOOKUP(Q$1,main!$A$3:$H$102,8,FALSE),main!$K$19:$O$22,MATCH(VLOOKUP($A75,main!$A$3:$H$102,7,FALSE),main!$K$18:$O$18,0),0))),0)</f>
        <v>0</v>
      </c>
      <c r="R75">
        <f>IF((gamma!R75),IF(VLOOKUP(R$1,main!$A$3:$H$102,7,FALSE)=VLOOKUP($A75,main!$A$3:$H$102,8,FALSE),VLOOKUP(R$1,main!$A$3:$H$102,4,FALSE),VLOOKUP(R$1,main!$A$3:$H$102,4,FALSE)+VLOOKUP($A75,main!$A$3:$H$102,4,FALSE)+(VLOOKUP(VLOOKUP(R$1,main!$A$3:$H$102,8,FALSE),main!$K$19:$O$22,MATCH(VLOOKUP($A75,main!$A$3:$H$102,7,FALSE),main!$K$18:$O$18,0),0))),0)</f>
        <v>275</v>
      </c>
      <c r="S75">
        <f>IF((gamma!S75),IF(VLOOKUP(S$1,main!$A$3:$H$102,7,FALSE)=VLOOKUP($A75,main!$A$3:$H$102,8,FALSE),VLOOKUP(S$1,main!$A$3:$H$102,4,FALSE),VLOOKUP(S$1,main!$A$3:$H$102,4,FALSE)+VLOOKUP($A75,main!$A$3:$H$102,4,FALSE)+(VLOOKUP(VLOOKUP(S$1,main!$A$3:$H$102,8,FALSE),main!$K$19:$O$22,MATCH(VLOOKUP($A75,main!$A$3:$H$102,7,FALSE),main!$K$18:$O$18,0),0))),0)</f>
        <v>275</v>
      </c>
      <c r="T75">
        <f>IF((gamma!T75),IF(VLOOKUP(T$1,main!$A$3:$H$102,7,FALSE)=VLOOKUP($A75,main!$A$3:$H$102,8,FALSE),VLOOKUP(T$1,main!$A$3:$H$102,4,FALSE),VLOOKUP(T$1,main!$A$3:$H$102,4,FALSE)+VLOOKUP($A75,main!$A$3:$H$102,4,FALSE)+(VLOOKUP(VLOOKUP(T$1,main!$A$3:$H$102,8,FALSE),main!$K$19:$O$22,MATCH(VLOOKUP($A75,main!$A$3:$H$102,7,FALSE),main!$K$18:$O$18,0),0))),0)</f>
        <v>275</v>
      </c>
      <c r="U75">
        <f>IF((gamma!U75),IF(VLOOKUP(U$1,main!$A$3:$H$102,7,FALSE)=VLOOKUP($A75,main!$A$3:$H$102,8,FALSE),VLOOKUP(U$1,main!$A$3:$H$102,4,FALSE),VLOOKUP(U$1,main!$A$3:$H$102,4,FALSE)+VLOOKUP($A75,main!$A$3:$H$102,4,FALSE)+(VLOOKUP(VLOOKUP(U$1,main!$A$3:$H$102,8,FALSE),main!$K$19:$O$22,MATCH(VLOOKUP($A75,main!$A$3:$H$102,7,FALSE),main!$K$18:$O$18,0),0))),0)</f>
        <v>275</v>
      </c>
      <c r="V75">
        <f>IF((gamma!V75),IF(VLOOKUP(V$1,main!$A$3:$H$102,7,FALSE)=VLOOKUP($A75,main!$A$3:$H$102,8,FALSE),VLOOKUP(V$1,main!$A$3:$H$102,4,FALSE),VLOOKUP(V$1,main!$A$3:$H$102,4,FALSE)+VLOOKUP($A75,main!$A$3:$H$102,4,FALSE)+(VLOOKUP(VLOOKUP(V$1,main!$A$3:$H$102,8,FALSE),main!$K$19:$O$22,MATCH(VLOOKUP($A75,main!$A$3:$H$102,7,FALSE),main!$K$18:$O$18,0),0))),0)</f>
        <v>275</v>
      </c>
      <c r="W75">
        <f>IF((gamma!W75),IF(VLOOKUP(W$1,main!$A$3:$H$102,7,FALSE)=VLOOKUP($A75,main!$A$3:$H$102,8,FALSE),VLOOKUP(W$1,main!$A$3:$H$102,4,FALSE),VLOOKUP(W$1,main!$A$3:$H$102,4,FALSE)+VLOOKUP($A75,main!$A$3:$H$102,4,FALSE)+(VLOOKUP(VLOOKUP(W$1,main!$A$3:$H$102,8,FALSE),main!$K$19:$O$22,MATCH(VLOOKUP($A75,main!$A$3:$H$102,7,FALSE),main!$K$18:$O$18,0),0))),0)</f>
        <v>0</v>
      </c>
      <c r="X75">
        <f>IF((gamma!X75),IF(VLOOKUP(X$1,main!$A$3:$H$102,7,FALSE)=VLOOKUP($A75,main!$A$3:$H$102,8,FALSE),VLOOKUP(X$1,main!$A$3:$H$102,4,FALSE),VLOOKUP(X$1,main!$A$3:$H$102,4,FALSE)+VLOOKUP($A75,main!$A$3:$H$102,4,FALSE)+(VLOOKUP(VLOOKUP(X$1,main!$A$3:$H$102,8,FALSE),main!$K$19:$O$22,MATCH(VLOOKUP($A75,main!$A$3:$H$102,7,FALSE),main!$K$18:$O$18,0),0))),0)</f>
        <v>0</v>
      </c>
      <c r="Y75">
        <f>IF((gamma!Y75),IF(VLOOKUP(Y$1,main!$A$3:$H$102,7,FALSE)=VLOOKUP($A75,main!$A$3:$H$102,8,FALSE),VLOOKUP(Y$1,main!$A$3:$H$102,4,FALSE),VLOOKUP(Y$1,main!$A$3:$H$102,4,FALSE)+VLOOKUP($A75,main!$A$3:$H$102,4,FALSE)+(VLOOKUP(VLOOKUP(Y$1,main!$A$3:$H$102,8,FALSE),main!$K$19:$O$22,MATCH(VLOOKUP($A75,main!$A$3:$H$102,7,FALSE),main!$K$18:$O$18,0),0))),0)</f>
        <v>303</v>
      </c>
      <c r="Z75">
        <f>IF((gamma!Z75),IF(VLOOKUP(Z$1,main!$A$3:$H$102,7,FALSE)=VLOOKUP($A75,main!$A$3:$H$102,8,FALSE),VLOOKUP(Z$1,main!$A$3:$H$102,4,FALSE),VLOOKUP(Z$1,main!$A$3:$H$102,4,FALSE)+VLOOKUP($A75,main!$A$3:$H$102,4,FALSE)+(VLOOKUP(VLOOKUP(Z$1,main!$A$3:$H$102,8,FALSE),main!$K$19:$O$22,MATCH(VLOOKUP($A75,main!$A$3:$H$102,7,FALSE),main!$K$18:$O$18,0),0))),0)</f>
        <v>308</v>
      </c>
      <c r="AA75">
        <f>IF((gamma!AA75),IF(VLOOKUP(AA$1,main!$A$3:$H$102,7,FALSE)=VLOOKUP($A75,main!$A$3:$H$102,8,FALSE),VLOOKUP(AA$1,main!$A$3:$H$102,4,FALSE),VLOOKUP(AA$1,main!$A$3:$H$102,4,FALSE)+VLOOKUP($A75,main!$A$3:$H$102,4,FALSE)+(VLOOKUP(VLOOKUP(AA$1,main!$A$3:$H$102,8,FALSE),main!$K$19:$O$22,MATCH(VLOOKUP($A75,main!$A$3:$H$102,7,FALSE),main!$K$18:$O$18,0),0))),0)</f>
        <v>308</v>
      </c>
      <c r="AB75">
        <f>IF((gamma!AB75),IF(VLOOKUP(AB$1,main!$A$3:$H$102,7,FALSE)=VLOOKUP($A75,main!$A$3:$H$102,8,FALSE),VLOOKUP(AB$1,main!$A$3:$H$102,4,FALSE),VLOOKUP(AB$1,main!$A$3:$H$102,4,FALSE)+VLOOKUP($A75,main!$A$3:$H$102,4,FALSE)+(VLOOKUP(VLOOKUP(AB$1,main!$A$3:$H$102,8,FALSE),main!$K$19:$O$22,MATCH(VLOOKUP($A75,main!$A$3:$H$102,7,FALSE),main!$K$18:$O$18,0),0))),0)</f>
        <v>0</v>
      </c>
      <c r="AC75">
        <f>IF((gamma!AC75),IF(VLOOKUP(AC$1,main!$A$3:$H$102,7,FALSE)=VLOOKUP($A75,main!$A$3:$H$102,8,FALSE),VLOOKUP(AC$1,main!$A$3:$H$102,4,FALSE),VLOOKUP(AC$1,main!$A$3:$H$102,4,FALSE)+VLOOKUP($A75,main!$A$3:$H$102,4,FALSE)+(VLOOKUP(VLOOKUP(AC$1,main!$A$3:$H$102,8,FALSE),main!$K$19:$O$22,MATCH(VLOOKUP($A75,main!$A$3:$H$102,7,FALSE),main!$K$18:$O$18,0),0))),0)</f>
        <v>0</v>
      </c>
      <c r="AD75">
        <f>IF((gamma!AD75),IF(VLOOKUP(AD$1,main!$A$3:$H$102,7,FALSE)=VLOOKUP($A75,main!$A$3:$H$102,8,FALSE),VLOOKUP(AD$1,main!$A$3:$H$102,4,FALSE),VLOOKUP(AD$1,main!$A$3:$H$102,4,FALSE)+VLOOKUP($A75,main!$A$3:$H$102,4,FALSE)+(VLOOKUP(VLOOKUP(AD$1,main!$A$3:$H$102,8,FALSE),main!$K$19:$O$22,MATCH(VLOOKUP($A75,main!$A$3:$H$102,7,FALSE),main!$K$18:$O$18,0),0))),0)</f>
        <v>0</v>
      </c>
      <c r="AE75">
        <f>IF((gamma!AE75),IF(VLOOKUP(AE$1,main!$A$3:$H$102,7,FALSE)=VLOOKUP($A75,main!$A$3:$H$102,8,FALSE),VLOOKUP(AE$1,main!$A$3:$H$102,4,FALSE),VLOOKUP(AE$1,main!$A$3:$H$102,4,FALSE)+VLOOKUP($A75,main!$A$3:$H$102,4,FALSE)+(VLOOKUP(VLOOKUP(AE$1,main!$A$3:$H$102,8,FALSE),main!$K$19:$O$22,MATCH(VLOOKUP($A75,main!$A$3:$H$102,7,FALSE),main!$K$18:$O$18,0),0))),0)</f>
        <v>308</v>
      </c>
      <c r="AF75">
        <f>IF((gamma!AF75),IF(VLOOKUP(AF$1,main!$A$3:$H$102,7,FALSE)=VLOOKUP($A75,main!$A$3:$H$102,8,FALSE),VLOOKUP(AF$1,main!$A$3:$H$102,4,FALSE),VLOOKUP(AF$1,main!$A$3:$H$102,4,FALSE)+VLOOKUP($A75,main!$A$3:$H$102,4,FALSE)+(VLOOKUP(VLOOKUP(AF$1,main!$A$3:$H$102,8,FALSE),main!$K$19:$O$22,MATCH(VLOOKUP($A75,main!$A$3:$H$102,7,FALSE),main!$K$18:$O$18,0),0))),0)</f>
        <v>268</v>
      </c>
      <c r="AG75">
        <f>IF((gamma!AG75),IF(VLOOKUP(AG$1,main!$A$3:$H$102,7,FALSE)=VLOOKUP($A75,main!$A$3:$H$102,8,FALSE),VLOOKUP(AG$1,main!$A$3:$H$102,4,FALSE),VLOOKUP(AG$1,main!$A$3:$H$102,4,FALSE)+VLOOKUP($A75,main!$A$3:$H$102,4,FALSE)+(VLOOKUP(VLOOKUP(AG$1,main!$A$3:$H$102,8,FALSE),main!$K$19:$O$22,MATCH(VLOOKUP($A75,main!$A$3:$H$102,7,FALSE),main!$K$18:$O$18,0),0))),0)</f>
        <v>0</v>
      </c>
      <c r="AH75">
        <f>IF((gamma!AH75),IF(VLOOKUP(AH$1,main!$A$3:$H$102,7,FALSE)=VLOOKUP($A75,main!$A$3:$H$102,8,FALSE),VLOOKUP(AH$1,main!$A$3:$H$102,4,FALSE),VLOOKUP(AH$1,main!$A$3:$H$102,4,FALSE)+VLOOKUP($A75,main!$A$3:$H$102,4,FALSE)+(VLOOKUP(VLOOKUP(AH$1,main!$A$3:$H$102,8,FALSE),main!$K$19:$O$22,MATCH(VLOOKUP($A75,main!$A$3:$H$102,7,FALSE),main!$K$18:$O$18,0),0))),0)</f>
        <v>0</v>
      </c>
      <c r="AI75">
        <f>IF((gamma!AI75),IF(VLOOKUP(AI$1,main!$A$3:$H$102,7,FALSE)=VLOOKUP($A75,main!$A$3:$H$102,8,FALSE),VLOOKUP(AI$1,main!$A$3:$H$102,4,FALSE),VLOOKUP(AI$1,main!$A$3:$H$102,4,FALSE)+VLOOKUP($A75,main!$A$3:$H$102,4,FALSE)+(VLOOKUP(VLOOKUP(AI$1,main!$A$3:$H$102,8,FALSE),main!$K$19:$O$22,MATCH(VLOOKUP($A75,main!$A$3:$H$102,7,FALSE),main!$K$18:$O$18,0),0))),0)</f>
        <v>0</v>
      </c>
      <c r="AJ75">
        <f>IF((gamma!AJ75),IF(VLOOKUP(AJ$1,main!$A$3:$H$102,7,FALSE)=VLOOKUP($A75,main!$A$3:$H$102,8,FALSE),VLOOKUP(AJ$1,main!$A$3:$H$102,4,FALSE),VLOOKUP(AJ$1,main!$A$3:$H$102,4,FALSE)+VLOOKUP($A75,main!$A$3:$H$102,4,FALSE)+(VLOOKUP(VLOOKUP(AJ$1,main!$A$3:$H$102,8,FALSE),main!$K$19:$O$22,MATCH(VLOOKUP($A75,main!$A$3:$H$102,7,FALSE),main!$K$18:$O$18,0),0))),0)</f>
        <v>300</v>
      </c>
      <c r="AK75">
        <f>IF((gamma!AK75),IF(VLOOKUP(AK$1,main!$A$3:$H$102,7,FALSE)=VLOOKUP($A75,main!$A$3:$H$102,8,FALSE),VLOOKUP(AK$1,main!$A$3:$H$102,4,FALSE),VLOOKUP(AK$1,main!$A$3:$H$102,4,FALSE)+VLOOKUP($A75,main!$A$3:$H$102,4,FALSE)+(VLOOKUP(VLOOKUP(AK$1,main!$A$3:$H$102,8,FALSE),main!$K$19:$O$22,MATCH(VLOOKUP($A75,main!$A$3:$H$102,7,FALSE),main!$K$18:$O$18,0),0))),0)</f>
        <v>300</v>
      </c>
      <c r="AL75">
        <f>IF((gamma!AL75),IF(VLOOKUP(AL$1,main!$A$3:$H$102,7,FALSE)=VLOOKUP($A75,main!$A$3:$H$102,8,FALSE),VLOOKUP(AL$1,main!$A$3:$H$102,4,FALSE),VLOOKUP(AL$1,main!$A$3:$H$102,4,FALSE)+VLOOKUP($A75,main!$A$3:$H$102,4,FALSE)+(VLOOKUP(VLOOKUP(AL$1,main!$A$3:$H$102,8,FALSE),main!$K$19:$O$22,MATCH(VLOOKUP($A75,main!$A$3:$H$102,7,FALSE),main!$K$18:$O$18,0),0))),0)</f>
        <v>300</v>
      </c>
      <c r="AM75">
        <f>IF((gamma!AM75),IF(VLOOKUP(AM$1,main!$A$3:$H$102,7,FALSE)=VLOOKUP($A75,main!$A$3:$H$102,8,FALSE),VLOOKUP(AM$1,main!$A$3:$H$102,4,FALSE),VLOOKUP(AM$1,main!$A$3:$H$102,4,FALSE)+VLOOKUP($A75,main!$A$3:$H$102,4,FALSE)+(VLOOKUP(VLOOKUP(AM$1,main!$A$3:$H$102,8,FALSE),main!$K$19:$O$22,MATCH(VLOOKUP($A75,main!$A$3:$H$102,7,FALSE),main!$K$18:$O$18,0),0))),0)</f>
        <v>300</v>
      </c>
      <c r="AN75">
        <f>IF((gamma!AN75),IF(VLOOKUP(AN$1,main!$A$3:$H$102,7,FALSE)=VLOOKUP($A75,main!$A$3:$H$102,8,FALSE),VLOOKUP(AN$1,main!$A$3:$H$102,4,FALSE),VLOOKUP(AN$1,main!$A$3:$H$102,4,FALSE)+VLOOKUP($A75,main!$A$3:$H$102,4,FALSE)+(VLOOKUP(VLOOKUP(AN$1,main!$A$3:$H$102,8,FALSE),main!$K$19:$O$22,MATCH(VLOOKUP($A75,main!$A$3:$H$102,7,FALSE),main!$K$18:$O$18,0),0))),0)</f>
        <v>300</v>
      </c>
      <c r="AO75">
        <f>IF((gamma!AO75),IF(VLOOKUP(AO$1,main!$A$3:$H$102,7,FALSE)=VLOOKUP($A75,main!$A$3:$H$102,8,FALSE),VLOOKUP(AO$1,main!$A$3:$H$102,4,FALSE),VLOOKUP(AO$1,main!$A$3:$H$102,4,FALSE)+VLOOKUP($A75,main!$A$3:$H$102,4,FALSE)+(VLOOKUP(VLOOKUP(AO$1,main!$A$3:$H$102,8,FALSE),main!$K$19:$O$22,MATCH(VLOOKUP($A75,main!$A$3:$H$102,7,FALSE),main!$K$18:$O$18,0),0))),0)</f>
        <v>0</v>
      </c>
      <c r="AP75">
        <f>IF((gamma!AP75),IF(VLOOKUP(AP$1,main!$A$3:$H$102,7,FALSE)=VLOOKUP($A75,main!$A$3:$H$102,8,FALSE),VLOOKUP(AP$1,main!$A$3:$H$102,4,FALSE),VLOOKUP(AP$1,main!$A$3:$H$102,4,FALSE)+VLOOKUP($A75,main!$A$3:$H$102,4,FALSE)+(VLOOKUP(VLOOKUP(AP$1,main!$A$3:$H$102,8,FALSE),main!$K$19:$O$22,MATCH(VLOOKUP($A75,main!$A$3:$H$102,7,FALSE),main!$K$18:$O$18,0),0))),0)</f>
        <v>240</v>
      </c>
      <c r="AQ75">
        <f>IF((gamma!AQ75),IF(VLOOKUP(AQ$1,main!$A$3:$H$102,7,FALSE)=VLOOKUP($A75,main!$A$3:$H$102,8,FALSE),VLOOKUP(AQ$1,main!$A$3:$H$102,4,FALSE),VLOOKUP(AQ$1,main!$A$3:$H$102,4,FALSE)+VLOOKUP($A75,main!$A$3:$H$102,4,FALSE)+(VLOOKUP(VLOOKUP(AQ$1,main!$A$3:$H$102,8,FALSE),main!$K$19:$O$22,MATCH(VLOOKUP($A75,main!$A$3:$H$102,7,FALSE),main!$K$18:$O$18,0),0))),0)</f>
        <v>0</v>
      </c>
      <c r="AR75">
        <f>IF((gamma!AR75),IF(VLOOKUP(AR$1,main!$A$3:$H$102,7,FALSE)=VLOOKUP($A75,main!$A$3:$H$102,8,FALSE),VLOOKUP(AR$1,main!$A$3:$H$102,4,FALSE),VLOOKUP(AR$1,main!$A$3:$H$102,4,FALSE)+VLOOKUP($A75,main!$A$3:$H$102,4,FALSE)+(VLOOKUP(VLOOKUP(AR$1,main!$A$3:$H$102,8,FALSE),main!$K$19:$O$22,MATCH(VLOOKUP($A75,main!$A$3:$H$102,7,FALSE),main!$K$18:$O$18,0),0))),0)</f>
        <v>0</v>
      </c>
      <c r="AS75">
        <f>IF((gamma!AS75),IF(VLOOKUP(AS$1,main!$A$3:$H$102,7,FALSE)=VLOOKUP($A75,main!$A$3:$H$102,8,FALSE),VLOOKUP(AS$1,main!$A$3:$H$102,4,FALSE),VLOOKUP(AS$1,main!$A$3:$H$102,4,FALSE)+VLOOKUP($A75,main!$A$3:$H$102,4,FALSE)+(VLOOKUP(VLOOKUP(AS$1,main!$A$3:$H$102,8,FALSE),main!$K$19:$O$22,MATCH(VLOOKUP($A75,main!$A$3:$H$102,7,FALSE),main!$K$18:$O$18,0),0))),0)</f>
        <v>255</v>
      </c>
      <c r="AT75">
        <f>IF((gamma!AT75),IF(VLOOKUP(AT$1,main!$A$3:$H$102,7,FALSE)=VLOOKUP($A75,main!$A$3:$H$102,8,FALSE),VLOOKUP(AT$1,main!$A$3:$H$102,4,FALSE),VLOOKUP(AT$1,main!$A$3:$H$102,4,FALSE)+VLOOKUP($A75,main!$A$3:$H$102,4,FALSE)+(VLOOKUP(VLOOKUP(AT$1,main!$A$3:$H$102,8,FALSE),main!$K$19:$O$22,MATCH(VLOOKUP($A75,main!$A$3:$H$102,7,FALSE),main!$K$18:$O$18,0),0))),0)</f>
        <v>265</v>
      </c>
      <c r="AU75">
        <f>IF((gamma!AU75),IF(VLOOKUP(AU$1,main!$A$3:$H$102,7,FALSE)=VLOOKUP($A75,main!$A$3:$H$102,8,FALSE),VLOOKUP(AU$1,main!$A$3:$H$102,4,FALSE),VLOOKUP(AU$1,main!$A$3:$H$102,4,FALSE)+VLOOKUP($A75,main!$A$3:$H$102,4,FALSE)+(VLOOKUP(VLOOKUP(AU$1,main!$A$3:$H$102,8,FALSE),main!$K$19:$O$22,MATCH(VLOOKUP($A75,main!$A$3:$H$102,7,FALSE),main!$K$18:$O$18,0),0))),0)</f>
        <v>0</v>
      </c>
      <c r="AV75">
        <f>IF((gamma!AV75),IF(VLOOKUP(AV$1,main!$A$3:$H$102,7,FALSE)=VLOOKUP($A75,main!$A$3:$H$102,8,FALSE),VLOOKUP(AV$1,main!$A$3:$H$102,4,FALSE),VLOOKUP(AV$1,main!$A$3:$H$102,4,FALSE)+VLOOKUP($A75,main!$A$3:$H$102,4,FALSE)+(VLOOKUP(VLOOKUP(AV$1,main!$A$3:$H$102,8,FALSE),main!$K$19:$O$22,MATCH(VLOOKUP($A75,main!$A$3:$H$102,7,FALSE),main!$K$18:$O$18,0),0))),0)</f>
        <v>0</v>
      </c>
      <c r="AW75">
        <f>IF((gamma!AW75),IF(VLOOKUP(AW$1,main!$A$3:$H$102,7,FALSE)=VLOOKUP($A75,main!$A$3:$H$102,8,FALSE),VLOOKUP(AW$1,main!$A$3:$H$102,4,FALSE),VLOOKUP(AW$1,main!$A$3:$H$102,4,FALSE)+VLOOKUP($A75,main!$A$3:$H$102,4,FALSE)+(VLOOKUP(VLOOKUP(AW$1,main!$A$3:$H$102,8,FALSE),main!$K$19:$O$22,MATCH(VLOOKUP($A75,main!$A$3:$H$102,7,FALSE),main!$K$18:$O$18,0),0))),0)</f>
        <v>255</v>
      </c>
      <c r="AX75">
        <f>IF((gamma!AX75),IF(VLOOKUP(AX$1,main!$A$3:$H$102,7,FALSE)=VLOOKUP($A75,main!$A$3:$H$102,8,FALSE),VLOOKUP(AX$1,main!$A$3:$H$102,4,FALSE),VLOOKUP(AX$1,main!$A$3:$H$102,4,FALSE)+VLOOKUP($A75,main!$A$3:$H$102,4,FALSE)+(VLOOKUP(VLOOKUP(AX$1,main!$A$3:$H$102,8,FALSE),main!$K$19:$O$22,MATCH(VLOOKUP($A75,main!$A$3:$H$102,7,FALSE),main!$K$18:$O$18,0),0))),0)</f>
        <v>0</v>
      </c>
      <c r="AY75">
        <f>IF((gamma!AY75),IF(VLOOKUP(AY$1,main!$A$3:$H$102,7,FALSE)=VLOOKUP($A75,main!$A$3:$H$102,8,FALSE),VLOOKUP(AY$1,main!$A$3:$H$102,4,FALSE),VLOOKUP(AY$1,main!$A$3:$H$102,4,FALSE)+VLOOKUP($A75,main!$A$3:$H$102,4,FALSE)+(VLOOKUP(VLOOKUP(AY$1,main!$A$3:$H$102,8,FALSE),main!$K$19:$O$22,MATCH(VLOOKUP($A75,main!$A$3:$H$102,7,FALSE),main!$K$18:$O$18,0),0))),0)</f>
        <v>0</v>
      </c>
      <c r="AZ75">
        <f>IF((gamma!AZ75),IF(VLOOKUP(AZ$1,main!$A$3:$H$102,7,FALSE)=VLOOKUP($A75,main!$A$3:$H$102,8,FALSE),VLOOKUP(AZ$1,main!$A$3:$H$102,4,FALSE),VLOOKUP(AZ$1,main!$A$3:$H$102,4,FALSE)+VLOOKUP($A75,main!$A$3:$H$102,4,FALSE)+(VLOOKUP(VLOOKUP(AZ$1,main!$A$3:$H$102,8,FALSE),main!$K$19:$O$22,MATCH(VLOOKUP($A75,main!$A$3:$H$102,7,FALSE),main!$K$18:$O$18,0),0))),0)</f>
        <v>0</v>
      </c>
      <c r="BA75">
        <f>IF((gamma!BA75),IF(VLOOKUP(BA$1,main!$A$3:$H$102,7,FALSE)=VLOOKUP($A75,main!$A$3:$H$102,8,FALSE),VLOOKUP(BA$1,main!$A$3:$H$102,4,FALSE),VLOOKUP(BA$1,main!$A$3:$H$102,4,FALSE)+VLOOKUP($A75,main!$A$3:$H$102,4,FALSE)+(VLOOKUP(VLOOKUP(BA$1,main!$A$3:$H$102,8,FALSE),main!$K$19:$O$22,MATCH(VLOOKUP($A75,main!$A$3:$H$102,7,FALSE),main!$K$18:$O$18,0),0))),0)</f>
        <v>0</v>
      </c>
      <c r="BB75">
        <f>IF((gamma!BB75),IF(VLOOKUP(BB$1,main!$A$3:$H$102,7,FALSE)=VLOOKUP($A75,main!$A$3:$H$102,8,FALSE),VLOOKUP(BB$1,main!$A$3:$H$102,4,FALSE),VLOOKUP(BB$1,main!$A$3:$H$102,4,FALSE)+VLOOKUP($A75,main!$A$3:$H$102,4,FALSE)+(VLOOKUP(VLOOKUP(BB$1,main!$A$3:$H$102,8,FALSE),main!$K$19:$O$22,MATCH(VLOOKUP($A75,main!$A$3:$H$102,7,FALSE),main!$K$18:$O$18,0),0))),0)</f>
        <v>0</v>
      </c>
      <c r="BC75">
        <f>IF((gamma!BC75),IF(VLOOKUP(BC$1,main!$A$3:$H$102,7,FALSE)=VLOOKUP($A75,main!$A$3:$H$102,8,FALSE),VLOOKUP(BC$1,main!$A$3:$H$102,4,FALSE),VLOOKUP(BC$1,main!$A$3:$H$102,4,FALSE)+VLOOKUP($A75,main!$A$3:$H$102,4,FALSE)+(VLOOKUP(VLOOKUP(BC$1,main!$A$3:$H$102,8,FALSE),main!$K$19:$O$22,MATCH(VLOOKUP($A75,main!$A$3:$H$102,7,FALSE),main!$K$18:$O$18,0),0))),0)</f>
        <v>305</v>
      </c>
      <c r="BD75">
        <f>IF((gamma!BD75),IF(VLOOKUP(BD$1,main!$A$3:$H$102,7,FALSE)=VLOOKUP($A75,main!$A$3:$H$102,8,FALSE),VLOOKUP(BD$1,main!$A$3:$H$102,4,FALSE),VLOOKUP(BD$1,main!$A$3:$H$102,4,FALSE)+VLOOKUP($A75,main!$A$3:$H$102,4,FALSE)+(VLOOKUP(VLOOKUP(BD$1,main!$A$3:$H$102,8,FALSE),main!$K$19:$O$22,MATCH(VLOOKUP($A75,main!$A$3:$H$102,7,FALSE),main!$K$18:$O$18,0),0))),0)</f>
        <v>305</v>
      </c>
      <c r="BE75">
        <f>IF((gamma!BE75),IF(VLOOKUP(BE$1,main!$A$3:$H$102,7,FALSE)=VLOOKUP($A75,main!$A$3:$H$102,8,FALSE),VLOOKUP(BE$1,main!$A$3:$H$102,4,FALSE),VLOOKUP(BE$1,main!$A$3:$H$102,4,FALSE)+VLOOKUP($A75,main!$A$3:$H$102,4,FALSE)+(VLOOKUP(VLOOKUP(BE$1,main!$A$3:$H$102,8,FALSE),main!$K$19:$O$22,MATCH(VLOOKUP($A75,main!$A$3:$H$102,7,FALSE),main!$K$18:$O$18,0),0))),0)</f>
        <v>305</v>
      </c>
      <c r="BF75">
        <f>IF((gamma!BF75),IF(VLOOKUP(BF$1,main!$A$3:$H$102,7,FALSE)=VLOOKUP($A75,main!$A$3:$H$102,8,FALSE),VLOOKUP(BF$1,main!$A$3:$H$102,4,FALSE),VLOOKUP(BF$1,main!$A$3:$H$102,4,FALSE)+VLOOKUP($A75,main!$A$3:$H$102,4,FALSE)+(VLOOKUP(VLOOKUP(BF$1,main!$A$3:$H$102,8,FALSE),main!$K$19:$O$22,MATCH(VLOOKUP($A75,main!$A$3:$H$102,7,FALSE),main!$K$18:$O$18,0),0))),0)</f>
        <v>0</v>
      </c>
      <c r="BG75">
        <f>IF((gamma!BG75),IF(VLOOKUP(BG$1,main!$A$3:$H$102,7,FALSE)=VLOOKUP($A75,main!$A$3:$H$102,8,FALSE),VLOOKUP(BG$1,main!$A$3:$H$102,4,FALSE),VLOOKUP(BG$1,main!$A$3:$H$102,4,FALSE)+VLOOKUP($A75,main!$A$3:$H$102,4,FALSE)+(VLOOKUP(VLOOKUP(BG$1,main!$A$3:$H$102,8,FALSE),main!$K$19:$O$22,MATCH(VLOOKUP($A75,main!$A$3:$H$102,7,FALSE),main!$K$18:$O$18,0),0))),0)</f>
        <v>0</v>
      </c>
      <c r="BH75">
        <f>IF((gamma!BH75),IF(VLOOKUP(BH$1,main!$A$3:$H$102,7,FALSE)=VLOOKUP($A75,main!$A$3:$H$102,8,FALSE),VLOOKUP(BH$1,main!$A$3:$H$102,4,FALSE),VLOOKUP(BH$1,main!$A$3:$H$102,4,FALSE)+VLOOKUP($A75,main!$A$3:$H$102,4,FALSE)+(VLOOKUP(VLOOKUP(BH$1,main!$A$3:$H$102,8,FALSE),main!$K$19:$O$22,MATCH(VLOOKUP($A75,main!$A$3:$H$102,7,FALSE),main!$K$18:$O$18,0),0))),0)</f>
        <v>290</v>
      </c>
      <c r="BI75">
        <f>IF((gamma!BI75),IF(VLOOKUP(BI$1,main!$A$3:$H$102,7,FALSE)=VLOOKUP($A75,main!$A$3:$H$102,8,FALSE),VLOOKUP(BI$1,main!$A$3:$H$102,4,FALSE),VLOOKUP(BI$1,main!$A$3:$H$102,4,FALSE)+VLOOKUP($A75,main!$A$3:$H$102,4,FALSE)+(VLOOKUP(VLOOKUP(BI$1,main!$A$3:$H$102,8,FALSE),main!$K$19:$O$22,MATCH(VLOOKUP($A75,main!$A$3:$H$102,7,FALSE),main!$K$18:$O$18,0),0))),0)</f>
        <v>225</v>
      </c>
      <c r="BJ75">
        <f>IF((gamma!BJ75),IF(VLOOKUP(BJ$1,main!$A$3:$H$102,7,FALSE)=VLOOKUP($A75,main!$A$3:$H$102,8,FALSE),VLOOKUP(BJ$1,main!$A$3:$H$102,4,FALSE),VLOOKUP(BJ$1,main!$A$3:$H$102,4,FALSE)+VLOOKUP($A75,main!$A$3:$H$102,4,FALSE)+(VLOOKUP(VLOOKUP(BJ$1,main!$A$3:$H$102,8,FALSE),main!$K$19:$O$22,MATCH(VLOOKUP($A75,main!$A$3:$H$102,7,FALSE),main!$K$18:$O$18,0),0))),0)</f>
        <v>255</v>
      </c>
      <c r="BK75">
        <f>IF((gamma!BK75),IF(VLOOKUP(BK$1,main!$A$3:$H$102,7,FALSE)=VLOOKUP($A75,main!$A$3:$H$102,8,FALSE),VLOOKUP(BK$1,main!$A$3:$H$102,4,FALSE),VLOOKUP(BK$1,main!$A$3:$H$102,4,FALSE)+VLOOKUP($A75,main!$A$3:$H$102,4,FALSE)+(VLOOKUP(VLOOKUP(BK$1,main!$A$3:$H$102,8,FALSE),main!$K$19:$O$22,MATCH(VLOOKUP($A75,main!$A$3:$H$102,7,FALSE),main!$K$18:$O$18,0),0))),0)</f>
        <v>0</v>
      </c>
      <c r="BL75">
        <f>IF((gamma!BL75),IF(VLOOKUP(BL$1,main!$A$3:$H$102,7,FALSE)=VLOOKUP($A75,main!$A$3:$H$102,8,FALSE),VLOOKUP(BL$1,main!$A$3:$H$102,4,FALSE),VLOOKUP(BL$1,main!$A$3:$H$102,4,FALSE)+VLOOKUP($A75,main!$A$3:$H$102,4,FALSE)+(VLOOKUP(VLOOKUP(BL$1,main!$A$3:$H$102,8,FALSE),main!$K$19:$O$22,MATCH(VLOOKUP($A75,main!$A$3:$H$102,7,FALSE),main!$K$18:$O$18,0),0))),0)</f>
        <v>0</v>
      </c>
      <c r="BM75">
        <f>IF((gamma!BM75),IF(VLOOKUP(BM$1,main!$A$3:$H$102,7,FALSE)=VLOOKUP($A75,main!$A$3:$H$102,8,FALSE),VLOOKUP(BM$1,main!$A$3:$H$102,4,FALSE),VLOOKUP(BM$1,main!$A$3:$H$102,4,FALSE)+VLOOKUP($A75,main!$A$3:$H$102,4,FALSE)+(VLOOKUP(VLOOKUP(BM$1,main!$A$3:$H$102,8,FALSE),main!$K$19:$O$22,MATCH(VLOOKUP($A75,main!$A$3:$H$102,7,FALSE),main!$K$18:$O$18,0),0))),0)</f>
        <v>0</v>
      </c>
      <c r="BN75">
        <f>IF((gamma!BN75),IF(VLOOKUP(BN$1,main!$A$3:$H$102,7,FALSE)=VLOOKUP($A75,main!$A$3:$H$102,8,FALSE),VLOOKUP(BN$1,main!$A$3:$H$102,4,FALSE),VLOOKUP(BN$1,main!$A$3:$H$102,4,FALSE)+VLOOKUP($A75,main!$A$3:$H$102,4,FALSE)+(VLOOKUP(VLOOKUP(BN$1,main!$A$3:$H$102,8,FALSE),main!$K$19:$O$22,MATCH(VLOOKUP($A75,main!$A$3:$H$102,7,FALSE),main!$K$18:$O$18,0),0))),0)</f>
        <v>283</v>
      </c>
      <c r="BO75">
        <f>IF((gamma!BO75),IF(VLOOKUP(BO$1,main!$A$3:$H$102,7,FALSE)=VLOOKUP($A75,main!$A$3:$H$102,8,FALSE),VLOOKUP(BO$1,main!$A$3:$H$102,4,FALSE),VLOOKUP(BO$1,main!$A$3:$H$102,4,FALSE)+VLOOKUP($A75,main!$A$3:$H$102,4,FALSE)+(VLOOKUP(VLOOKUP(BO$1,main!$A$3:$H$102,8,FALSE),main!$K$19:$O$22,MATCH(VLOOKUP($A75,main!$A$3:$H$102,7,FALSE),main!$K$18:$O$18,0),0))),0)</f>
        <v>0</v>
      </c>
      <c r="BP75">
        <f>IF((gamma!BP75),IF(VLOOKUP(BP$1,main!$A$3:$H$102,7,FALSE)=VLOOKUP($A75,main!$A$3:$H$102,8,FALSE),VLOOKUP(BP$1,main!$A$3:$H$102,4,FALSE),VLOOKUP(BP$1,main!$A$3:$H$102,4,FALSE)+VLOOKUP($A75,main!$A$3:$H$102,4,FALSE)+(VLOOKUP(VLOOKUP(BP$1,main!$A$3:$H$102,8,FALSE),main!$K$19:$O$22,MATCH(VLOOKUP($A75,main!$A$3:$H$102,7,FALSE),main!$K$18:$O$18,0),0))),0)</f>
        <v>0</v>
      </c>
      <c r="BQ75">
        <f>IF((gamma!BQ75),IF(VLOOKUP(BQ$1,main!$A$3:$H$102,7,FALSE)=VLOOKUP($A75,main!$A$3:$H$102,8,FALSE),VLOOKUP(BQ$1,main!$A$3:$H$102,4,FALSE),VLOOKUP(BQ$1,main!$A$3:$H$102,4,FALSE)+VLOOKUP($A75,main!$A$3:$H$102,4,FALSE)+(VLOOKUP(VLOOKUP(BQ$1,main!$A$3:$H$102,8,FALSE),main!$K$19:$O$22,MATCH(VLOOKUP($A75,main!$A$3:$H$102,7,FALSE),main!$K$18:$O$18,0),0))),0)</f>
        <v>0</v>
      </c>
      <c r="BR75">
        <f>IF((gamma!BR75),IF(VLOOKUP(BR$1,main!$A$3:$H$102,7,FALSE)=VLOOKUP($A75,main!$A$3:$H$102,8,FALSE),VLOOKUP(BR$1,main!$A$3:$H$102,4,FALSE),VLOOKUP(BR$1,main!$A$3:$H$102,4,FALSE)+VLOOKUP($A75,main!$A$3:$H$102,4,FALSE)+(VLOOKUP(VLOOKUP(BR$1,main!$A$3:$H$102,8,FALSE),main!$K$19:$O$22,MATCH(VLOOKUP($A75,main!$A$3:$H$102,7,FALSE),main!$K$18:$O$18,0),0))),0)</f>
        <v>263</v>
      </c>
      <c r="BS75">
        <f>IF((gamma!BS75),IF(VLOOKUP(BS$1,main!$A$3:$H$102,7,FALSE)=VLOOKUP($A75,main!$A$3:$H$102,8,FALSE),VLOOKUP(BS$1,main!$A$3:$H$102,4,FALSE),VLOOKUP(BS$1,main!$A$3:$H$102,4,FALSE)+VLOOKUP($A75,main!$A$3:$H$102,4,FALSE)+(VLOOKUP(VLOOKUP(BS$1,main!$A$3:$H$102,8,FALSE),main!$K$19:$O$22,MATCH(VLOOKUP($A75,main!$A$3:$H$102,7,FALSE),main!$K$18:$O$18,0),0))),0)</f>
        <v>264</v>
      </c>
      <c r="BT75">
        <f>IF((gamma!BT75),IF(VLOOKUP(BT$1,main!$A$3:$H$102,7,FALSE)=VLOOKUP($A75,main!$A$3:$H$102,8,FALSE),VLOOKUP(BT$1,main!$A$3:$H$102,4,FALSE),VLOOKUP(BT$1,main!$A$3:$H$102,4,FALSE)+VLOOKUP($A75,main!$A$3:$H$102,4,FALSE)+(VLOOKUP(VLOOKUP(BT$1,main!$A$3:$H$102,8,FALSE),main!$K$19:$O$22,MATCH(VLOOKUP($A75,main!$A$3:$H$102,7,FALSE),main!$K$18:$O$18,0),0))),0)</f>
        <v>0</v>
      </c>
      <c r="BU75">
        <f>IF((gamma!BU75),IF(VLOOKUP(BU$1,main!$A$3:$H$102,7,FALSE)=VLOOKUP($A75,main!$A$3:$H$102,8,FALSE),VLOOKUP(BU$1,main!$A$3:$H$102,4,FALSE),VLOOKUP(BU$1,main!$A$3:$H$102,4,FALSE)+VLOOKUP($A75,main!$A$3:$H$102,4,FALSE)+(VLOOKUP(VLOOKUP(BU$1,main!$A$3:$H$102,8,FALSE),main!$K$19:$O$22,MATCH(VLOOKUP($A75,main!$A$3:$H$102,7,FALSE),main!$K$18:$O$18,0),0))),0)</f>
        <v>0</v>
      </c>
      <c r="BV75">
        <f>IF((gamma!BV75),IF(VLOOKUP(BV$1,main!$A$3:$H$102,7,FALSE)=VLOOKUP($A75,main!$A$3:$H$102,8,FALSE),VLOOKUP(BV$1,main!$A$3:$H$102,4,FALSE),VLOOKUP(BV$1,main!$A$3:$H$102,4,FALSE)+VLOOKUP($A75,main!$A$3:$H$102,4,FALSE)+(VLOOKUP(VLOOKUP(BV$1,main!$A$3:$H$102,8,FALSE),main!$K$19:$O$22,MATCH(VLOOKUP($A75,main!$A$3:$H$102,7,FALSE),main!$K$18:$O$18,0),0))),0)</f>
        <v>0</v>
      </c>
      <c r="BW75">
        <f>IF((gamma!BW75),IF(VLOOKUP(BW$1,main!$A$3:$H$102,7,FALSE)=VLOOKUP($A75,main!$A$3:$H$102,8,FALSE),VLOOKUP(BW$1,main!$A$3:$H$102,4,FALSE),VLOOKUP(BW$1,main!$A$3:$H$102,4,FALSE)+VLOOKUP($A75,main!$A$3:$H$102,4,FALSE)+(VLOOKUP(VLOOKUP(BW$1,main!$A$3:$H$102,8,FALSE),main!$K$19:$O$22,MATCH(VLOOKUP($A75,main!$A$3:$H$102,7,FALSE),main!$K$18:$O$18,0),0))),0)</f>
        <v>0</v>
      </c>
      <c r="BX75">
        <f>IF((gamma!BX75),IF(VLOOKUP(BX$1,main!$A$3:$H$102,7,FALSE)=VLOOKUP($A75,main!$A$3:$H$102,8,FALSE),VLOOKUP(BX$1,main!$A$3:$H$102,4,FALSE),VLOOKUP(BX$1,main!$A$3:$H$102,4,FALSE)+VLOOKUP($A75,main!$A$3:$H$102,4,FALSE)+(VLOOKUP(VLOOKUP(BX$1,main!$A$3:$H$102,8,FALSE),main!$K$19:$O$22,MATCH(VLOOKUP($A75,main!$A$3:$H$102,7,FALSE),main!$K$18:$O$18,0),0))),0)</f>
        <v>0</v>
      </c>
      <c r="BY75">
        <f>IF((gamma!BY75),IF(VLOOKUP(BY$1,main!$A$3:$H$102,7,FALSE)=VLOOKUP($A75,main!$A$3:$H$102,8,FALSE),VLOOKUP(BY$1,main!$A$3:$H$102,4,FALSE),VLOOKUP(BY$1,main!$A$3:$H$102,4,FALSE)+VLOOKUP($A75,main!$A$3:$H$102,4,FALSE)+(VLOOKUP(VLOOKUP(BY$1,main!$A$3:$H$102,8,FALSE),main!$K$19:$O$22,MATCH(VLOOKUP($A75,main!$A$3:$H$102,7,FALSE),main!$K$18:$O$18,0),0))),0)</f>
        <v>288</v>
      </c>
      <c r="BZ75">
        <f>IF((gamma!BZ75),IF(VLOOKUP(BZ$1,main!$A$3:$H$102,7,FALSE)=VLOOKUP($A75,main!$A$3:$H$102,8,FALSE),VLOOKUP(BZ$1,main!$A$3:$H$102,4,FALSE),VLOOKUP(BZ$1,main!$A$3:$H$102,4,FALSE)+VLOOKUP($A75,main!$A$3:$H$102,4,FALSE)+(VLOOKUP(VLOOKUP(BZ$1,main!$A$3:$H$102,8,FALSE),main!$K$19:$O$22,MATCH(VLOOKUP($A75,main!$A$3:$H$102,7,FALSE),main!$K$18:$O$18,0),0))),0)</f>
        <v>0</v>
      </c>
      <c r="CA75">
        <f>IF((gamma!CA75),IF(VLOOKUP(CA$1,main!$A$3:$H$102,7,FALSE)=VLOOKUP($A75,main!$A$3:$H$102,8,FALSE),VLOOKUP(CA$1,main!$A$3:$H$102,4,FALSE),VLOOKUP(CA$1,main!$A$3:$H$102,4,FALSE)+VLOOKUP($A75,main!$A$3:$H$102,4,FALSE)+(VLOOKUP(VLOOKUP(CA$1,main!$A$3:$H$102,8,FALSE),main!$K$19:$O$22,MATCH(VLOOKUP($A75,main!$A$3:$H$102,7,FALSE),main!$K$18:$O$18,0),0))),0)</f>
        <v>0</v>
      </c>
      <c r="CB75">
        <f>IF((gamma!CB75),IF(VLOOKUP(CB$1,main!$A$3:$H$102,7,FALSE)=VLOOKUP($A75,main!$A$3:$H$102,8,FALSE),VLOOKUP(CB$1,main!$A$3:$H$102,4,FALSE),VLOOKUP(CB$1,main!$A$3:$H$102,4,FALSE)+VLOOKUP($A75,main!$A$3:$H$102,4,FALSE)+(VLOOKUP(VLOOKUP(CB$1,main!$A$3:$H$102,8,FALSE),main!$K$19:$O$22,MATCH(VLOOKUP($A75,main!$A$3:$H$102,7,FALSE),main!$K$18:$O$18,0),0))),0)</f>
        <v>233</v>
      </c>
      <c r="CC75">
        <f>IF((gamma!CC75),IF(VLOOKUP(CC$1,main!$A$3:$H$102,7,FALSE)=VLOOKUP($A75,main!$A$3:$H$102,8,FALSE),VLOOKUP(CC$1,main!$A$3:$H$102,4,FALSE),VLOOKUP(CC$1,main!$A$3:$H$102,4,FALSE)+VLOOKUP($A75,main!$A$3:$H$102,4,FALSE)+(VLOOKUP(VLOOKUP(CC$1,main!$A$3:$H$102,8,FALSE),main!$K$19:$O$22,MATCH(VLOOKUP($A75,main!$A$3:$H$102,7,FALSE),main!$K$18:$O$18,0),0))),0)</f>
        <v>223</v>
      </c>
      <c r="CD75">
        <f>IF((gamma!CD75),IF(VLOOKUP(CD$1,main!$A$3:$H$102,7,FALSE)=VLOOKUP($A75,main!$A$3:$H$102,8,FALSE),VLOOKUP(CD$1,main!$A$3:$H$102,4,FALSE),VLOOKUP(CD$1,main!$A$3:$H$102,4,FALSE)+VLOOKUP($A75,main!$A$3:$H$102,4,FALSE)+(VLOOKUP(VLOOKUP(CD$1,main!$A$3:$H$102,8,FALSE),main!$K$19:$O$22,MATCH(VLOOKUP($A75,main!$A$3:$H$102,7,FALSE),main!$K$18:$O$18,0),0))),0)</f>
        <v>282</v>
      </c>
      <c r="CE75">
        <f>IF((gamma!CE75),IF(VLOOKUP(CE$1,main!$A$3:$H$102,7,FALSE)=VLOOKUP($A75,main!$A$3:$H$102,8,FALSE),VLOOKUP(CE$1,main!$A$3:$H$102,4,FALSE),VLOOKUP(CE$1,main!$A$3:$H$102,4,FALSE)+VLOOKUP($A75,main!$A$3:$H$102,4,FALSE)+(VLOOKUP(VLOOKUP(CE$1,main!$A$3:$H$102,8,FALSE),main!$K$19:$O$22,MATCH(VLOOKUP($A75,main!$A$3:$H$102,7,FALSE),main!$K$18:$O$18,0),0))),0)</f>
        <v>0</v>
      </c>
      <c r="CF75">
        <f>IF((gamma!CF75),IF(VLOOKUP(CF$1,main!$A$3:$H$102,7,FALSE)=VLOOKUP($A75,main!$A$3:$H$102,8,FALSE),VLOOKUP(CF$1,main!$A$3:$H$102,4,FALSE),VLOOKUP(CF$1,main!$A$3:$H$102,4,FALSE)+VLOOKUP($A75,main!$A$3:$H$102,4,FALSE)+(VLOOKUP(VLOOKUP(CF$1,main!$A$3:$H$102,8,FALSE),main!$K$19:$O$22,MATCH(VLOOKUP($A75,main!$A$3:$H$102,7,FALSE),main!$K$18:$O$18,0),0))),0)</f>
        <v>135</v>
      </c>
      <c r="CG75">
        <f>IF((gamma!CG75),IF(VLOOKUP(CG$1,main!$A$3:$H$102,7,FALSE)=VLOOKUP($A75,main!$A$3:$H$102,8,FALSE),VLOOKUP(CG$1,main!$A$3:$H$102,4,FALSE),VLOOKUP(CG$1,main!$A$3:$H$102,4,FALSE)+VLOOKUP($A75,main!$A$3:$H$102,4,FALSE)+(VLOOKUP(VLOOKUP(CG$1,main!$A$3:$H$102,8,FALSE),main!$K$19:$O$22,MATCH(VLOOKUP($A75,main!$A$3:$H$102,7,FALSE),main!$K$18:$O$18,0),0))),0)</f>
        <v>140</v>
      </c>
      <c r="CH75">
        <f>IF((gamma!CH75),IF(VLOOKUP(CH$1,main!$A$3:$H$102,7,FALSE)=VLOOKUP($A75,main!$A$3:$H$102,8,FALSE),VLOOKUP(CH$1,main!$A$3:$H$102,4,FALSE),VLOOKUP(CH$1,main!$A$3:$H$102,4,FALSE)+VLOOKUP($A75,main!$A$3:$H$102,4,FALSE)+(VLOOKUP(VLOOKUP(CH$1,main!$A$3:$H$102,8,FALSE),main!$K$19:$O$22,MATCH(VLOOKUP($A75,main!$A$3:$H$102,7,FALSE),main!$K$18:$O$18,0),0))),0)</f>
        <v>140</v>
      </c>
      <c r="CI75">
        <f>IF((gamma!CI75),IF(VLOOKUP(CI$1,main!$A$3:$H$102,7,FALSE)=VLOOKUP($A75,main!$A$3:$H$102,8,FALSE),VLOOKUP(CI$1,main!$A$3:$H$102,4,FALSE),VLOOKUP(CI$1,main!$A$3:$H$102,4,FALSE)+VLOOKUP($A75,main!$A$3:$H$102,4,FALSE)+(VLOOKUP(VLOOKUP(CI$1,main!$A$3:$H$102,8,FALSE),main!$K$19:$O$22,MATCH(VLOOKUP($A75,main!$A$3:$H$102,7,FALSE),main!$K$18:$O$18,0),0))),0)</f>
        <v>140</v>
      </c>
      <c r="CJ75">
        <f>IF((gamma!CJ75),IF(VLOOKUP(CJ$1,main!$A$3:$H$102,7,FALSE)=VLOOKUP($A75,main!$A$3:$H$102,8,FALSE),VLOOKUP(CJ$1,main!$A$3:$H$102,4,FALSE),VLOOKUP(CJ$1,main!$A$3:$H$102,4,FALSE)+VLOOKUP($A75,main!$A$3:$H$102,4,FALSE)+(VLOOKUP(VLOOKUP(CJ$1,main!$A$3:$H$102,8,FALSE),main!$K$19:$O$22,MATCH(VLOOKUP($A75,main!$A$3:$H$102,7,FALSE),main!$K$18:$O$18,0),0))),0)</f>
        <v>68</v>
      </c>
      <c r="CK75">
        <f>IF((gamma!CK75),IF(VLOOKUP(CK$1,main!$A$3:$H$102,7,FALSE)=VLOOKUP($A75,main!$A$3:$H$102,8,FALSE),VLOOKUP(CK$1,main!$A$3:$H$102,4,FALSE),VLOOKUP(CK$1,main!$A$3:$H$102,4,FALSE)+VLOOKUP($A75,main!$A$3:$H$102,4,FALSE)+(VLOOKUP(VLOOKUP(CK$1,main!$A$3:$H$102,8,FALSE),main!$K$19:$O$22,MATCH(VLOOKUP($A75,main!$A$3:$H$102,7,FALSE),main!$K$18:$O$18,0),0))),0)</f>
        <v>0</v>
      </c>
      <c r="CL75">
        <f>IF((gamma!CL75),IF(VLOOKUP(CL$1,main!$A$3:$H$102,7,FALSE)=VLOOKUP($A75,main!$A$3:$H$102,8,FALSE),VLOOKUP(CL$1,main!$A$3:$H$102,4,FALSE),VLOOKUP(CL$1,main!$A$3:$H$102,4,FALSE)+VLOOKUP($A75,main!$A$3:$H$102,4,FALSE)+(VLOOKUP(VLOOKUP(CL$1,main!$A$3:$H$102,8,FALSE),main!$K$19:$O$22,MATCH(VLOOKUP($A75,main!$A$3:$H$102,7,FALSE),main!$K$18:$O$18,0),0))),0)</f>
        <v>80</v>
      </c>
      <c r="CM75">
        <f>IF((gamma!CM75),IF(VLOOKUP(CM$1,main!$A$3:$H$102,7,FALSE)=VLOOKUP($A75,main!$A$3:$H$102,8,FALSE),VLOOKUP(CM$1,main!$A$3:$H$102,4,FALSE),VLOOKUP(CM$1,main!$A$3:$H$102,4,FALSE)+VLOOKUP($A75,main!$A$3:$H$102,4,FALSE)+(VLOOKUP(VLOOKUP(CM$1,main!$A$3:$H$102,8,FALSE),main!$K$19:$O$22,MATCH(VLOOKUP($A75,main!$A$3:$H$102,7,FALSE),main!$K$18:$O$18,0),0))),0)</f>
        <v>100</v>
      </c>
      <c r="CN75">
        <f>IF((gamma!CN75),IF(VLOOKUP(CN$1,main!$A$3:$H$102,7,FALSE)=VLOOKUP($A75,main!$A$3:$H$102,8,FALSE),VLOOKUP(CN$1,main!$A$3:$H$102,4,FALSE),VLOOKUP(CN$1,main!$A$3:$H$102,4,FALSE)+VLOOKUP($A75,main!$A$3:$H$102,4,FALSE)+(VLOOKUP(VLOOKUP(CN$1,main!$A$3:$H$102,8,FALSE),main!$K$19:$O$22,MATCH(VLOOKUP($A75,main!$A$3:$H$102,7,FALSE),main!$K$18:$O$18,0),0))),0)</f>
        <v>96</v>
      </c>
      <c r="CO75">
        <f>IF((gamma!CO75),IF(VLOOKUP(CO$1,main!$A$3:$H$102,7,FALSE)=VLOOKUP($A75,main!$A$3:$H$102,8,FALSE),VLOOKUP(CO$1,main!$A$3:$H$102,4,FALSE),VLOOKUP(CO$1,main!$A$3:$H$102,4,FALSE)+VLOOKUP($A75,main!$A$3:$H$102,4,FALSE)+(VLOOKUP(VLOOKUP(CO$1,main!$A$3:$H$102,8,FALSE),main!$K$19:$O$22,MATCH(VLOOKUP($A75,main!$A$3:$H$102,7,FALSE),main!$K$18:$O$18,0),0))),0)</f>
        <v>0</v>
      </c>
      <c r="CP75">
        <f>IF((gamma!CP75),IF(VLOOKUP(CP$1,main!$A$3:$H$102,7,FALSE)=VLOOKUP($A75,main!$A$3:$H$102,8,FALSE),VLOOKUP(CP$1,main!$A$3:$H$102,4,FALSE),VLOOKUP(CP$1,main!$A$3:$H$102,4,FALSE)+VLOOKUP($A75,main!$A$3:$H$102,4,FALSE)+(VLOOKUP(VLOOKUP(CP$1,main!$A$3:$H$102,8,FALSE),main!$K$19:$O$22,MATCH(VLOOKUP($A75,main!$A$3:$H$102,7,FALSE),main!$K$18:$O$18,0),0))),0)</f>
        <v>120</v>
      </c>
      <c r="CQ75">
        <f>IF((gamma!CQ75),IF(VLOOKUP(CQ$1,main!$A$3:$H$102,7,FALSE)=VLOOKUP($A75,main!$A$3:$H$102,8,FALSE),VLOOKUP(CQ$1,main!$A$3:$H$102,4,FALSE),VLOOKUP(CQ$1,main!$A$3:$H$102,4,FALSE)+VLOOKUP($A75,main!$A$3:$H$102,4,FALSE)+(VLOOKUP(VLOOKUP(CQ$1,main!$A$3:$H$102,8,FALSE),main!$K$19:$O$22,MATCH(VLOOKUP($A75,main!$A$3:$H$102,7,FALSE),main!$K$18:$O$18,0),0))),0)</f>
        <v>120</v>
      </c>
      <c r="CR75">
        <f>IF((gamma!CR75),IF(VLOOKUP(CR$1,main!$A$3:$H$102,7,FALSE)=VLOOKUP($A75,main!$A$3:$H$102,8,FALSE),VLOOKUP(CR$1,main!$A$3:$H$102,4,FALSE),VLOOKUP(CR$1,main!$A$3:$H$102,4,FALSE)+VLOOKUP($A75,main!$A$3:$H$102,4,FALSE)+(VLOOKUP(VLOOKUP(CR$1,main!$A$3:$H$102,8,FALSE),main!$K$19:$O$22,MATCH(VLOOKUP($A75,main!$A$3:$H$102,7,FALSE),main!$K$18:$O$18,0),0))),0)</f>
        <v>135</v>
      </c>
      <c r="CS75">
        <f>IF((gamma!CS75),IF(VLOOKUP(CS$1,main!$A$3:$H$102,7,FALSE)=VLOOKUP($A75,main!$A$3:$H$102,8,FALSE),VLOOKUP(CS$1,main!$A$3:$H$102,4,FALSE),VLOOKUP(CS$1,main!$A$3:$H$102,4,FALSE)+VLOOKUP($A75,main!$A$3:$H$102,4,FALSE)+(VLOOKUP(VLOOKUP(CS$1,main!$A$3:$H$102,8,FALSE),main!$K$19:$O$22,MATCH(VLOOKUP($A75,main!$A$3:$H$102,7,FALSE),main!$K$18:$O$18,0),0))),0)</f>
        <v>135</v>
      </c>
      <c r="CT75">
        <f>IF((gamma!CT75),IF(VLOOKUP(CT$1,main!$A$3:$H$102,7,FALSE)=VLOOKUP($A75,main!$A$3:$H$102,8,FALSE),VLOOKUP(CT$1,main!$A$3:$H$102,4,FALSE),VLOOKUP(CT$1,main!$A$3:$H$102,4,FALSE)+VLOOKUP($A75,main!$A$3:$H$102,4,FALSE)+(VLOOKUP(VLOOKUP(CT$1,main!$A$3:$H$102,8,FALSE),main!$K$19:$O$22,MATCH(VLOOKUP($A75,main!$A$3:$H$102,7,FALSE),main!$K$18:$O$18,0),0))),0)</f>
        <v>0</v>
      </c>
      <c r="CU75">
        <f>IF((gamma!CU75),IF(VLOOKUP(CU$1,main!$A$3:$H$102,7,FALSE)=VLOOKUP($A75,main!$A$3:$H$102,8,FALSE),VLOOKUP(CU$1,main!$A$3:$H$102,4,FALSE),VLOOKUP(CU$1,main!$A$3:$H$102,4,FALSE)+VLOOKUP($A75,main!$A$3:$H$102,4,FALSE)+(VLOOKUP(VLOOKUP(CU$1,main!$A$3:$H$102,8,FALSE),main!$K$19:$O$22,MATCH(VLOOKUP($A75,main!$A$3:$H$102,7,FALSE),main!$K$18:$O$18,0),0))),0)</f>
        <v>0</v>
      </c>
      <c r="CV75">
        <f>IF((gamma!CV75),IF(VLOOKUP(CV$1,main!$A$3:$H$102,7,FALSE)=VLOOKUP($A75,main!$A$3:$H$102,8,FALSE),VLOOKUP(CV$1,main!$A$3:$H$102,4,FALSE),VLOOKUP(CV$1,main!$A$3:$H$102,4,FALSE)+VLOOKUP($A75,main!$A$3:$H$102,4,FALSE)+(VLOOKUP(VLOOKUP(CV$1,main!$A$3:$H$102,8,FALSE),main!$K$19:$O$22,MATCH(VLOOKUP($A75,main!$A$3:$H$102,7,FALSE),main!$K$18:$O$18,0),0))),0)</f>
        <v>80</v>
      </c>
      <c r="CW75">
        <f>IF((gamma!CW75),IF(VLOOKUP(CW$1,main!$A$3:$H$102,7,FALSE)=VLOOKUP($A75,main!$A$3:$H$102,8,FALSE),VLOOKUP(CW$1,main!$A$3:$H$102,4,FALSE),VLOOKUP(CW$1,main!$A$3:$H$102,4,FALSE)+VLOOKUP($A75,main!$A$3:$H$102,4,FALSE)+(VLOOKUP(VLOOKUP(CW$1,main!$A$3:$H$102,8,FALSE),main!$K$19:$O$22,MATCH(VLOOKUP($A75,main!$A$3:$H$102,7,FALSE),main!$K$18:$O$18,0),0))),0)</f>
        <v>95</v>
      </c>
      <c r="CX75">
        <f>IF((gamma!CX75),IF(VLOOKUP(CX$1,main!$A$3:$H$102,7,FALSE)=VLOOKUP($A75,main!$A$3:$H$102,8,FALSE),VLOOKUP(CX$1,main!$A$3:$H$102,4,FALSE),VLOOKUP(CX$1,main!$A$3:$H$102,4,FALSE)+VLOOKUP($A75,main!$A$3:$H$102,4,FALSE)+(VLOOKUP(VLOOKUP(CX$1,main!$A$3:$H$102,8,FALSE),main!$K$19:$O$22,MATCH(VLOOKUP($A75,main!$A$3:$H$102,7,FALSE),main!$K$18:$O$18,0),0))),0)</f>
        <v>85</v>
      </c>
      <c r="CY75">
        <v>0</v>
      </c>
      <c r="CZ75">
        <v>0</v>
      </c>
      <c r="DA75">
        <v>0</v>
      </c>
    </row>
    <row r="76" spans="1:105" x14ac:dyDescent="0.25">
      <c r="A76" s="1">
        <v>74</v>
      </c>
      <c r="B76">
        <v>0</v>
      </c>
      <c r="C76">
        <f>IF((gamma!C76),IF(VLOOKUP(C$1,main!$A$3:$H$102,7,FALSE)=VLOOKUP($A76,main!$A$3:$H$102,8,FALSE),VLOOKUP(C$1,main!$A$3:$H$102,4,FALSE),VLOOKUP(C$1,main!$A$3:$H$102,4,FALSE)+VLOOKUP($A76,main!$A$3:$H$102,4,FALSE)+(VLOOKUP(VLOOKUP(C$1,main!$A$3:$H$102,8,FALSE),main!$K$19:$O$22,MATCH(VLOOKUP($A76,main!$A$3:$H$102,7,FALSE),main!$K$18:$O$18,0),0))),0)</f>
        <v>0</v>
      </c>
      <c r="D76">
        <f>IF((gamma!D76),IF(VLOOKUP(D$1,main!$A$3:$H$102,7,FALSE)=VLOOKUP($A76,main!$A$3:$H$102,8,FALSE),VLOOKUP(D$1,main!$A$3:$H$102,4,FALSE),VLOOKUP(D$1,main!$A$3:$H$102,4,FALSE)+VLOOKUP($A76,main!$A$3:$H$102,4,FALSE)+(VLOOKUP(VLOOKUP(D$1,main!$A$3:$H$102,8,FALSE),main!$K$19:$O$22,MATCH(VLOOKUP($A76,main!$A$3:$H$102,7,FALSE),main!$K$18:$O$18,0),0))),0)</f>
        <v>0</v>
      </c>
      <c r="E76">
        <f>IF((gamma!E76),IF(VLOOKUP(E$1,main!$A$3:$H$102,7,FALSE)=VLOOKUP($A76,main!$A$3:$H$102,8,FALSE),VLOOKUP(E$1,main!$A$3:$H$102,4,FALSE),VLOOKUP(E$1,main!$A$3:$H$102,4,FALSE)+VLOOKUP($A76,main!$A$3:$H$102,4,FALSE)+(VLOOKUP(VLOOKUP(E$1,main!$A$3:$H$102,8,FALSE),main!$K$19:$O$22,MATCH(VLOOKUP($A76,main!$A$3:$H$102,7,FALSE),main!$K$18:$O$18,0),0))),0)</f>
        <v>0</v>
      </c>
      <c r="F76">
        <f>IF((gamma!F76),IF(VLOOKUP(F$1,main!$A$3:$H$102,7,FALSE)=VLOOKUP($A76,main!$A$3:$H$102,8,FALSE),VLOOKUP(F$1,main!$A$3:$H$102,4,FALSE),VLOOKUP(F$1,main!$A$3:$H$102,4,FALSE)+VLOOKUP($A76,main!$A$3:$H$102,4,FALSE)+(VLOOKUP(VLOOKUP(F$1,main!$A$3:$H$102,8,FALSE),main!$K$19:$O$22,MATCH(VLOOKUP($A76,main!$A$3:$H$102,7,FALSE),main!$K$18:$O$18,0),0))),0)</f>
        <v>0</v>
      </c>
      <c r="G76">
        <f>IF((gamma!G76),IF(VLOOKUP(G$1,main!$A$3:$H$102,7,FALSE)=VLOOKUP($A76,main!$A$3:$H$102,8,FALSE),VLOOKUP(G$1,main!$A$3:$H$102,4,FALSE),VLOOKUP(G$1,main!$A$3:$H$102,4,FALSE)+VLOOKUP($A76,main!$A$3:$H$102,4,FALSE)+(VLOOKUP(VLOOKUP(G$1,main!$A$3:$H$102,8,FALSE),main!$K$19:$O$22,MATCH(VLOOKUP($A76,main!$A$3:$H$102,7,FALSE),main!$K$18:$O$18,0),0))),0)</f>
        <v>0</v>
      </c>
      <c r="H76">
        <f>IF((gamma!H76),IF(VLOOKUP(H$1,main!$A$3:$H$102,7,FALSE)=VLOOKUP($A76,main!$A$3:$H$102,8,FALSE),VLOOKUP(H$1,main!$A$3:$H$102,4,FALSE),VLOOKUP(H$1,main!$A$3:$H$102,4,FALSE)+VLOOKUP($A76,main!$A$3:$H$102,4,FALSE)+(VLOOKUP(VLOOKUP(H$1,main!$A$3:$H$102,8,FALSE),main!$K$19:$O$22,MATCH(VLOOKUP($A76,main!$A$3:$H$102,7,FALSE),main!$K$18:$O$18,0),0))),0)</f>
        <v>0</v>
      </c>
      <c r="I76">
        <f>IF((gamma!I76),IF(VLOOKUP(I$1,main!$A$3:$H$102,7,FALSE)=VLOOKUP($A76,main!$A$3:$H$102,8,FALSE),VLOOKUP(I$1,main!$A$3:$H$102,4,FALSE),VLOOKUP(I$1,main!$A$3:$H$102,4,FALSE)+VLOOKUP($A76,main!$A$3:$H$102,4,FALSE)+(VLOOKUP(VLOOKUP(I$1,main!$A$3:$H$102,8,FALSE),main!$K$19:$O$22,MATCH(VLOOKUP($A76,main!$A$3:$H$102,7,FALSE),main!$K$18:$O$18,0),0))),0)</f>
        <v>298</v>
      </c>
      <c r="J76">
        <f>IF((gamma!J76),IF(VLOOKUP(J$1,main!$A$3:$H$102,7,FALSE)=VLOOKUP($A76,main!$A$3:$H$102,8,FALSE),VLOOKUP(J$1,main!$A$3:$H$102,4,FALSE),VLOOKUP(J$1,main!$A$3:$H$102,4,FALSE)+VLOOKUP($A76,main!$A$3:$H$102,4,FALSE)+(VLOOKUP(VLOOKUP(J$1,main!$A$3:$H$102,8,FALSE),main!$K$19:$O$22,MATCH(VLOOKUP($A76,main!$A$3:$H$102,7,FALSE),main!$K$18:$O$18,0),0))),0)</f>
        <v>298</v>
      </c>
      <c r="K76">
        <f>IF((gamma!K76),IF(VLOOKUP(K$1,main!$A$3:$H$102,7,FALSE)=VLOOKUP($A76,main!$A$3:$H$102,8,FALSE),VLOOKUP(K$1,main!$A$3:$H$102,4,FALSE),VLOOKUP(K$1,main!$A$3:$H$102,4,FALSE)+VLOOKUP($A76,main!$A$3:$H$102,4,FALSE)+(VLOOKUP(VLOOKUP(K$1,main!$A$3:$H$102,8,FALSE),main!$K$19:$O$22,MATCH(VLOOKUP($A76,main!$A$3:$H$102,7,FALSE),main!$K$18:$O$18,0),0))),0)</f>
        <v>298</v>
      </c>
      <c r="L76">
        <f>IF((gamma!L76),IF(VLOOKUP(L$1,main!$A$3:$H$102,7,FALSE)=VLOOKUP($A76,main!$A$3:$H$102,8,FALSE),VLOOKUP(L$1,main!$A$3:$H$102,4,FALSE),VLOOKUP(L$1,main!$A$3:$H$102,4,FALSE)+VLOOKUP($A76,main!$A$3:$H$102,4,FALSE)+(VLOOKUP(VLOOKUP(L$1,main!$A$3:$H$102,8,FALSE),main!$K$19:$O$22,MATCH(VLOOKUP($A76,main!$A$3:$H$102,7,FALSE),main!$K$18:$O$18,0),0))),0)</f>
        <v>298</v>
      </c>
      <c r="M76">
        <f>IF((gamma!M76),IF(VLOOKUP(M$1,main!$A$3:$H$102,7,FALSE)=VLOOKUP($A76,main!$A$3:$H$102,8,FALSE),VLOOKUP(M$1,main!$A$3:$H$102,4,FALSE),VLOOKUP(M$1,main!$A$3:$H$102,4,FALSE)+VLOOKUP($A76,main!$A$3:$H$102,4,FALSE)+(VLOOKUP(VLOOKUP(M$1,main!$A$3:$H$102,8,FALSE),main!$K$19:$O$22,MATCH(VLOOKUP($A76,main!$A$3:$H$102,7,FALSE),main!$K$18:$O$18,0),0))),0)</f>
        <v>0</v>
      </c>
      <c r="N76">
        <f>IF((gamma!N76),IF(VLOOKUP(N$1,main!$A$3:$H$102,7,FALSE)=VLOOKUP($A76,main!$A$3:$H$102,8,FALSE),VLOOKUP(N$1,main!$A$3:$H$102,4,FALSE),VLOOKUP(N$1,main!$A$3:$H$102,4,FALSE)+VLOOKUP($A76,main!$A$3:$H$102,4,FALSE)+(VLOOKUP(VLOOKUP(N$1,main!$A$3:$H$102,8,FALSE),main!$K$19:$O$22,MATCH(VLOOKUP($A76,main!$A$3:$H$102,7,FALSE),main!$K$18:$O$18,0),0))),0)</f>
        <v>0</v>
      </c>
      <c r="O76">
        <f>IF((gamma!O76),IF(VLOOKUP(O$1,main!$A$3:$H$102,7,FALSE)=VLOOKUP($A76,main!$A$3:$H$102,8,FALSE),VLOOKUP(O$1,main!$A$3:$H$102,4,FALSE),VLOOKUP(O$1,main!$A$3:$H$102,4,FALSE)+VLOOKUP($A76,main!$A$3:$H$102,4,FALSE)+(VLOOKUP(VLOOKUP(O$1,main!$A$3:$H$102,8,FALSE),main!$K$19:$O$22,MATCH(VLOOKUP($A76,main!$A$3:$H$102,7,FALSE),main!$K$18:$O$18,0),0))),0)</f>
        <v>0</v>
      </c>
      <c r="P76">
        <f>IF((gamma!P76),IF(VLOOKUP(P$1,main!$A$3:$H$102,7,FALSE)=VLOOKUP($A76,main!$A$3:$H$102,8,FALSE),VLOOKUP(P$1,main!$A$3:$H$102,4,FALSE),VLOOKUP(P$1,main!$A$3:$H$102,4,FALSE)+VLOOKUP($A76,main!$A$3:$H$102,4,FALSE)+(VLOOKUP(VLOOKUP(P$1,main!$A$3:$H$102,8,FALSE),main!$K$19:$O$22,MATCH(VLOOKUP($A76,main!$A$3:$H$102,7,FALSE),main!$K$18:$O$18,0),0))),0)</f>
        <v>0</v>
      </c>
      <c r="Q76">
        <f>IF((gamma!Q76),IF(VLOOKUP(Q$1,main!$A$3:$H$102,7,FALSE)=VLOOKUP($A76,main!$A$3:$H$102,8,FALSE),VLOOKUP(Q$1,main!$A$3:$H$102,4,FALSE),VLOOKUP(Q$1,main!$A$3:$H$102,4,FALSE)+VLOOKUP($A76,main!$A$3:$H$102,4,FALSE)+(VLOOKUP(VLOOKUP(Q$1,main!$A$3:$H$102,8,FALSE),main!$K$19:$O$22,MATCH(VLOOKUP($A76,main!$A$3:$H$102,7,FALSE),main!$K$18:$O$18,0),0))),0)</f>
        <v>0</v>
      </c>
      <c r="R76">
        <f>IF((gamma!R76),IF(VLOOKUP(R$1,main!$A$3:$H$102,7,FALSE)=VLOOKUP($A76,main!$A$3:$H$102,8,FALSE),VLOOKUP(R$1,main!$A$3:$H$102,4,FALSE),VLOOKUP(R$1,main!$A$3:$H$102,4,FALSE)+VLOOKUP($A76,main!$A$3:$H$102,4,FALSE)+(VLOOKUP(VLOOKUP(R$1,main!$A$3:$H$102,8,FALSE),main!$K$19:$O$22,MATCH(VLOOKUP($A76,main!$A$3:$H$102,7,FALSE),main!$K$18:$O$18,0),0))),0)</f>
        <v>0</v>
      </c>
      <c r="S76">
        <f>IF((gamma!S76),IF(VLOOKUP(S$1,main!$A$3:$H$102,7,FALSE)=VLOOKUP($A76,main!$A$3:$H$102,8,FALSE),VLOOKUP(S$1,main!$A$3:$H$102,4,FALSE),VLOOKUP(S$1,main!$A$3:$H$102,4,FALSE)+VLOOKUP($A76,main!$A$3:$H$102,4,FALSE)+(VLOOKUP(VLOOKUP(S$1,main!$A$3:$H$102,8,FALSE),main!$K$19:$O$22,MATCH(VLOOKUP($A76,main!$A$3:$H$102,7,FALSE),main!$K$18:$O$18,0),0))),0)</f>
        <v>0</v>
      </c>
      <c r="T76">
        <f>IF((gamma!T76),IF(VLOOKUP(T$1,main!$A$3:$H$102,7,FALSE)=VLOOKUP($A76,main!$A$3:$H$102,8,FALSE),VLOOKUP(T$1,main!$A$3:$H$102,4,FALSE),VLOOKUP(T$1,main!$A$3:$H$102,4,FALSE)+VLOOKUP($A76,main!$A$3:$H$102,4,FALSE)+(VLOOKUP(VLOOKUP(T$1,main!$A$3:$H$102,8,FALSE),main!$K$19:$O$22,MATCH(VLOOKUP($A76,main!$A$3:$H$102,7,FALSE),main!$K$18:$O$18,0),0))),0)</f>
        <v>275</v>
      </c>
      <c r="U76">
        <f>IF((gamma!U76),IF(VLOOKUP(U$1,main!$A$3:$H$102,7,FALSE)=VLOOKUP($A76,main!$A$3:$H$102,8,FALSE),VLOOKUP(U$1,main!$A$3:$H$102,4,FALSE),VLOOKUP(U$1,main!$A$3:$H$102,4,FALSE)+VLOOKUP($A76,main!$A$3:$H$102,4,FALSE)+(VLOOKUP(VLOOKUP(U$1,main!$A$3:$H$102,8,FALSE),main!$K$19:$O$22,MATCH(VLOOKUP($A76,main!$A$3:$H$102,7,FALSE),main!$K$18:$O$18,0),0))),0)</f>
        <v>275</v>
      </c>
      <c r="V76">
        <f>IF((gamma!V76),IF(VLOOKUP(V$1,main!$A$3:$H$102,7,FALSE)=VLOOKUP($A76,main!$A$3:$H$102,8,FALSE),VLOOKUP(V$1,main!$A$3:$H$102,4,FALSE),VLOOKUP(V$1,main!$A$3:$H$102,4,FALSE)+VLOOKUP($A76,main!$A$3:$H$102,4,FALSE)+(VLOOKUP(VLOOKUP(V$1,main!$A$3:$H$102,8,FALSE),main!$K$19:$O$22,MATCH(VLOOKUP($A76,main!$A$3:$H$102,7,FALSE),main!$K$18:$O$18,0),0))),0)</f>
        <v>275</v>
      </c>
      <c r="W76">
        <f>IF((gamma!W76),IF(VLOOKUP(W$1,main!$A$3:$H$102,7,FALSE)=VLOOKUP($A76,main!$A$3:$H$102,8,FALSE),VLOOKUP(W$1,main!$A$3:$H$102,4,FALSE),VLOOKUP(W$1,main!$A$3:$H$102,4,FALSE)+VLOOKUP($A76,main!$A$3:$H$102,4,FALSE)+(VLOOKUP(VLOOKUP(W$1,main!$A$3:$H$102,8,FALSE),main!$K$19:$O$22,MATCH(VLOOKUP($A76,main!$A$3:$H$102,7,FALSE),main!$K$18:$O$18,0),0))),0)</f>
        <v>0</v>
      </c>
      <c r="X76">
        <f>IF((gamma!X76),IF(VLOOKUP(X$1,main!$A$3:$H$102,7,FALSE)=VLOOKUP($A76,main!$A$3:$H$102,8,FALSE),VLOOKUP(X$1,main!$A$3:$H$102,4,FALSE),VLOOKUP(X$1,main!$A$3:$H$102,4,FALSE)+VLOOKUP($A76,main!$A$3:$H$102,4,FALSE)+(VLOOKUP(VLOOKUP(X$1,main!$A$3:$H$102,8,FALSE),main!$K$19:$O$22,MATCH(VLOOKUP($A76,main!$A$3:$H$102,7,FALSE),main!$K$18:$O$18,0),0))),0)</f>
        <v>0</v>
      </c>
      <c r="Y76">
        <f>IF((gamma!Y76),IF(VLOOKUP(Y$1,main!$A$3:$H$102,7,FALSE)=VLOOKUP($A76,main!$A$3:$H$102,8,FALSE),VLOOKUP(Y$1,main!$A$3:$H$102,4,FALSE),VLOOKUP(Y$1,main!$A$3:$H$102,4,FALSE)+VLOOKUP($A76,main!$A$3:$H$102,4,FALSE)+(VLOOKUP(VLOOKUP(Y$1,main!$A$3:$H$102,8,FALSE),main!$K$19:$O$22,MATCH(VLOOKUP($A76,main!$A$3:$H$102,7,FALSE),main!$K$18:$O$18,0),0))),0)</f>
        <v>0</v>
      </c>
      <c r="Z76">
        <f>IF((gamma!Z76),IF(VLOOKUP(Z$1,main!$A$3:$H$102,7,FALSE)=VLOOKUP($A76,main!$A$3:$H$102,8,FALSE),VLOOKUP(Z$1,main!$A$3:$H$102,4,FALSE),VLOOKUP(Z$1,main!$A$3:$H$102,4,FALSE)+VLOOKUP($A76,main!$A$3:$H$102,4,FALSE)+(VLOOKUP(VLOOKUP(Z$1,main!$A$3:$H$102,8,FALSE),main!$K$19:$O$22,MATCH(VLOOKUP($A76,main!$A$3:$H$102,7,FALSE),main!$K$18:$O$18,0),0))),0)</f>
        <v>308</v>
      </c>
      <c r="AA76">
        <f>IF((gamma!AA76),IF(VLOOKUP(AA$1,main!$A$3:$H$102,7,FALSE)=VLOOKUP($A76,main!$A$3:$H$102,8,FALSE),VLOOKUP(AA$1,main!$A$3:$H$102,4,FALSE),VLOOKUP(AA$1,main!$A$3:$H$102,4,FALSE)+VLOOKUP($A76,main!$A$3:$H$102,4,FALSE)+(VLOOKUP(VLOOKUP(AA$1,main!$A$3:$H$102,8,FALSE),main!$K$19:$O$22,MATCH(VLOOKUP($A76,main!$A$3:$H$102,7,FALSE),main!$K$18:$O$18,0),0))),0)</f>
        <v>308</v>
      </c>
      <c r="AB76">
        <f>IF((gamma!AB76),IF(VLOOKUP(AB$1,main!$A$3:$H$102,7,FALSE)=VLOOKUP($A76,main!$A$3:$H$102,8,FALSE),VLOOKUP(AB$1,main!$A$3:$H$102,4,FALSE),VLOOKUP(AB$1,main!$A$3:$H$102,4,FALSE)+VLOOKUP($A76,main!$A$3:$H$102,4,FALSE)+(VLOOKUP(VLOOKUP(AB$1,main!$A$3:$H$102,8,FALSE),main!$K$19:$O$22,MATCH(VLOOKUP($A76,main!$A$3:$H$102,7,FALSE),main!$K$18:$O$18,0),0))),0)</f>
        <v>0</v>
      </c>
      <c r="AC76">
        <f>IF((gamma!AC76),IF(VLOOKUP(AC$1,main!$A$3:$H$102,7,FALSE)=VLOOKUP($A76,main!$A$3:$H$102,8,FALSE),VLOOKUP(AC$1,main!$A$3:$H$102,4,FALSE),VLOOKUP(AC$1,main!$A$3:$H$102,4,FALSE)+VLOOKUP($A76,main!$A$3:$H$102,4,FALSE)+(VLOOKUP(VLOOKUP(AC$1,main!$A$3:$H$102,8,FALSE),main!$K$19:$O$22,MATCH(VLOOKUP($A76,main!$A$3:$H$102,7,FALSE),main!$K$18:$O$18,0),0))),0)</f>
        <v>0</v>
      </c>
      <c r="AD76">
        <f>IF((gamma!AD76),IF(VLOOKUP(AD$1,main!$A$3:$H$102,7,FALSE)=VLOOKUP($A76,main!$A$3:$H$102,8,FALSE),VLOOKUP(AD$1,main!$A$3:$H$102,4,FALSE),VLOOKUP(AD$1,main!$A$3:$H$102,4,FALSE)+VLOOKUP($A76,main!$A$3:$H$102,4,FALSE)+(VLOOKUP(VLOOKUP(AD$1,main!$A$3:$H$102,8,FALSE),main!$K$19:$O$22,MATCH(VLOOKUP($A76,main!$A$3:$H$102,7,FALSE),main!$K$18:$O$18,0),0))),0)</f>
        <v>0</v>
      </c>
      <c r="AE76">
        <f>IF((gamma!AE76),IF(VLOOKUP(AE$1,main!$A$3:$H$102,7,FALSE)=VLOOKUP($A76,main!$A$3:$H$102,8,FALSE),VLOOKUP(AE$1,main!$A$3:$H$102,4,FALSE),VLOOKUP(AE$1,main!$A$3:$H$102,4,FALSE)+VLOOKUP($A76,main!$A$3:$H$102,4,FALSE)+(VLOOKUP(VLOOKUP(AE$1,main!$A$3:$H$102,8,FALSE),main!$K$19:$O$22,MATCH(VLOOKUP($A76,main!$A$3:$H$102,7,FALSE),main!$K$18:$O$18,0),0))),0)</f>
        <v>0</v>
      </c>
      <c r="AF76">
        <f>IF((gamma!AF76),IF(VLOOKUP(AF$1,main!$A$3:$H$102,7,FALSE)=VLOOKUP($A76,main!$A$3:$H$102,8,FALSE),VLOOKUP(AF$1,main!$A$3:$H$102,4,FALSE),VLOOKUP(AF$1,main!$A$3:$H$102,4,FALSE)+VLOOKUP($A76,main!$A$3:$H$102,4,FALSE)+(VLOOKUP(VLOOKUP(AF$1,main!$A$3:$H$102,8,FALSE),main!$K$19:$O$22,MATCH(VLOOKUP($A76,main!$A$3:$H$102,7,FALSE),main!$K$18:$O$18,0),0))),0)</f>
        <v>268</v>
      </c>
      <c r="AG76">
        <f>IF((gamma!AG76),IF(VLOOKUP(AG$1,main!$A$3:$H$102,7,FALSE)=VLOOKUP($A76,main!$A$3:$H$102,8,FALSE),VLOOKUP(AG$1,main!$A$3:$H$102,4,FALSE),VLOOKUP(AG$1,main!$A$3:$H$102,4,FALSE)+VLOOKUP($A76,main!$A$3:$H$102,4,FALSE)+(VLOOKUP(VLOOKUP(AG$1,main!$A$3:$H$102,8,FALSE),main!$K$19:$O$22,MATCH(VLOOKUP($A76,main!$A$3:$H$102,7,FALSE),main!$K$18:$O$18,0),0))),0)</f>
        <v>0</v>
      </c>
      <c r="AH76">
        <f>IF((gamma!AH76),IF(VLOOKUP(AH$1,main!$A$3:$H$102,7,FALSE)=VLOOKUP($A76,main!$A$3:$H$102,8,FALSE),VLOOKUP(AH$1,main!$A$3:$H$102,4,FALSE),VLOOKUP(AH$1,main!$A$3:$H$102,4,FALSE)+VLOOKUP($A76,main!$A$3:$H$102,4,FALSE)+(VLOOKUP(VLOOKUP(AH$1,main!$A$3:$H$102,8,FALSE),main!$K$19:$O$22,MATCH(VLOOKUP($A76,main!$A$3:$H$102,7,FALSE),main!$K$18:$O$18,0),0))),0)</f>
        <v>0</v>
      </c>
      <c r="AI76">
        <f>IF((gamma!AI76),IF(VLOOKUP(AI$1,main!$A$3:$H$102,7,FALSE)=VLOOKUP($A76,main!$A$3:$H$102,8,FALSE),VLOOKUP(AI$1,main!$A$3:$H$102,4,FALSE),VLOOKUP(AI$1,main!$A$3:$H$102,4,FALSE)+VLOOKUP($A76,main!$A$3:$H$102,4,FALSE)+(VLOOKUP(VLOOKUP(AI$1,main!$A$3:$H$102,8,FALSE),main!$K$19:$O$22,MATCH(VLOOKUP($A76,main!$A$3:$H$102,7,FALSE),main!$K$18:$O$18,0),0))),0)</f>
        <v>0</v>
      </c>
      <c r="AJ76">
        <f>IF((gamma!AJ76),IF(VLOOKUP(AJ$1,main!$A$3:$H$102,7,FALSE)=VLOOKUP($A76,main!$A$3:$H$102,8,FALSE),VLOOKUP(AJ$1,main!$A$3:$H$102,4,FALSE),VLOOKUP(AJ$1,main!$A$3:$H$102,4,FALSE)+VLOOKUP($A76,main!$A$3:$H$102,4,FALSE)+(VLOOKUP(VLOOKUP(AJ$1,main!$A$3:$H$102,8,FALSE),main!$K$19:$O$22,MATCH(VLOOKUP($A76,main!$A$3:$H$102,7,FALSE),main!$K$18:$O$18,0),0))),0)</f>
        <v>0</v>
      </c>
      <c r="AK76">
        <f>IF((gamma!AK76),IF(VLOOKUP(AK$1,main!$A$3:$H$102,7,FALSE)=VLOOKUP($A76,main!$A$3:$H$102,8,FALSE),VLOOKUP(AK$1,main!$A$3:$H$102,4,FALSE),VLOOKUP(AK$1,main!$A$3:$H$102,4,FALSE)+VLOOKUP($A76,main!$A$3:$H$102,4,FALSE)+(VLOOKUP(VLOOKUP(AK$1,main!$A$3:$H$102,8,FALSE),main!$K$19:$O$22,MATCH(VLOOKUP($A76,main!$A$3:$H$102,7,FALSE),main!$K$18:$O$18,0),0))),0)</f>
        <v>0</v>
      </c>
      <c r="AL76">
        <f>IF((gamma!AL76),IF(VLOOKUP(AL$1,main!$A$3:$H$102,7,FALSE)=VLOOKUP($A76,main!$A$3:$H$102,8,FALSE),VLOOKUP(AL$1,main!$A$3:$H$102,4,FALSE),VLOOKUP(AL$1,main!$A$3:$H$102,4,FALSE)+VLOOKUP($A76,main!$A$3:$H$102,4,FALSE)+(VLOOKUP(VLOOKUP(AL$1,main!$A$3:$H$102,8,FALSE),main!$K$19:$O$22,MATCH(VLOOKUP($A76,main!$A$3:$H$102,7,FALSE),main!$K$18:$O$18,0),0))),0)</f>
        <v>300</v>
      </c>
      <c r="AM76">
        <f>IF((gamma!AM76),IF(VLOOKUP(AM$1,main!$A$3:$H$102,7,FALSE)=VLOOKUP($A76,main!$A$3:$H$102,8,FALSE),VLOOKUP(AM$1,main!$A$3:$H$102,4,FALSE),VLOOKUP(AM$1,main!$A$3:$H$102,4,FALSE)+VLOOKUP($A76,main!$A$3:$H$102,4,FALSE)+(VLOOKUP(VLOOKUP(AM$1,main!$A$3:$H$102,8,FALSE),main!$K$19:$O$22,MATCH(VLOOKUP($A76,main!$A$3:$H$102,7,FALSE),main!$K$18:$O$18,0),0))),0)</f>
        <v>300</v>
      </c>
      <c r="AN76">
        <f>IF((gamma!AN76),IF(VLOOKUP(AN$1,main!$A$3:$H$102,7,FALSE)=VLOOKUP($A76,main!$A$3:$H$102,8,FALSE),VLOOKUP(AN$1,main!$A$3:$H$102,4,FALSE),VLOOKUP(AN$1,main!$A$3:$H$102,4,FALSE)+VLOOKUP($A76,main!$A$3:$H$102,4,FALSE)+(VLOOKUP(VLOOKUP(AN$1,main!$A$3:$H$102,8,FALSE),main!$K$19:$O$22,MATCH(VLOOKUP($A76,main!$A$3:$H$102,7,FALSE),main!$K$18:$O$18,0),0))),0)</f>
        <v>300</v>
      </c>
      <c r="AO76">
        <f>IF((gamma!AO76),IF(VLOOKUP(AO$1,main!$A$3:$H$102,7,FALSE)=VLOOKUP($A76,main!$A$3:$H$102,8,FALSE),VLOOKUP(AO$1,main!$A$3:$H$102,4,FALSE),VLOOKUP(AO$1,main!$A$3:$H$102,4,FALSE)+VLOOKUP($A76,main!$A$3:$H$102,4,FALSE)+(VLOOKUP(VLOOKUP(AO$1,main!$A$3:$H$102,8,FALSE),main!$K$19:$O$22,MATCH(VLOOKUP($A76,main!$A$3:$H$102,7,FALSE),main!$K$18:$O$18,0),0))),0)</f>
        <v>0</v>
      </c>
      <c r="AP76">
        <f>IF((gamma!AP76),IF(VLOOKUP(AP$1,main!$A$3:$H$102,7,FALSE)=VLOOKUP($A76,main!$A$3:$H$102,8,FALSE),VLOOKUP(AP$1,main!$A$3:$H$102,4,FALSE),VLOOKUP(AP$1,main!$A$3:$H$102,4,FALSE)+VLOOKUP($A76,main!$A$3:$H$102,4,FALSE)+(VLOOKUP(VLOOKUP(AP$1,main!$A$3:$H$102,8,FALSE),main!$K$19:$O$22,MATCH(VLOOKUP($A76,main!$A$3:$H$102,7,FALSE),main!$K$18:$O$18,0),0))),0)</f>
        <v>240</v>
      </c>
      <c r="AQ76">
        <f>IF((gamma!AQ76),IF(VLOOKUP(AQ$1,main!$A$3:$H$102,7,FALSE)=VLOOKUP($A76,main!$A$3:$H$102,8,FALSE),VLOOKUP(AQ$1,main!$A$3:$H$102,4,FALSE),VLOOKUP(AQ$1,main!$A$3:$H$102,4,FALSE)+VLOOKUP($A76,main!$A$3:$H$102,4,FALSE)+(VLOOKUP(VLOOKUP(AQ$1,main!$A$3:$H$102,8,FALSE),main!$K$19:$O$22,MATCH(VLOOKUP($A76,main!$A$3:$H$102,7,FALSE),main!$K$18:$O$18,0),0))),0)</f>
        <v>0</v>
      </c>
      <c r="AR76">
        <f>IF((gamma!AR76),IF(VLOOKUP(AR$1,main!$A$3:$H$102,7,FALSE)=VLOOKUP($A76,main!$A$3:$H$102,8,FALSE),VLOOKUP(AR$1,main!$A$3:$H$102,4,FALSE),VLOOKUP(AR$1,main!$A$3:$H$102,4,FALSE)+VLOOKUP($A76,main!$A$3:$H$102,4,FALSE)+(VLOOKUP(VLOOKUP(AR$1,main!$A$3:$H$102,8,FALSE),main!$K$19:$O$22,MATCH(VLOOKUP($A76,main!$A$3:$H$102,7,FALSE),main!$K$18:$O$18,0),0))),0)</f>
        <v>0</v>
      </c>
      <c r="AS76">
        <f>IF((gamma!AS76),IF(VLOOKUP(AS$1,main!$A$3:$H$102,7,FALSE)=VLOOKUP($A76,main!$A$3:$H$102,8,FALSE),VLOOKUP(AS$1,main!$A$3:$H$102,4,FALSE),VLOOKUP(AS$1,main!$A$3:$H$102,4,FALSE)+VLOOKUP($A76,main!$A$3:$H$102,4,FALSE)+(VLOOKUP(VLOOKUP(AS$1,main!$A$3:$H$102,8,FALSE),main!$K$19:$O$22,MATCH(VLOOKUP($A76,main!$A$3:$H$102,7,FALSE),main!$K$18:$O$18,0),0))),0)</f>
        <v>0</v>
      </c>
      <c r="AT76">
        <f>IF((gamma!AT76),IF(VLOOKUP(AT$1,main!$A$3:$H$102,7,FALSE)=VLOOKUP($A76,main!$A$3:$H$102,8,FALSE),VLOOKUP(AT$1,main!$A$3:$H$102,4,FALSE),VLOOKUP(AT$1,main!$A$3:$H$102,4,FALSE)+VLOOKUP($A76,main!$A$3:$H$102,4,FALSE)+(VLOOKUP(VLOOKUP(AT$1,main!$A$3:$H$102,8,FALSE),main!$K$19:$O$22,MATCH(VLOOKUP($A76,main!$A$3:$H$102,7,FALSE),main!$K$18:$O$18,0),0))),0)</f>
        <v>0</v>
      </c>
      <c r="AU76">
        <f>IF((gamma!AU76),IF(VLOOKUP(AU$1,main!$A$3:$H$102,7,FALSE)=VLOOKUP($A76,main!$A$3:$H$102,8,FALSE),VLOOKUP(AU$1,main!$A$3:$H$102,4,FALSE),VLOOKUP(AU$1,main!$A$3:$H$102,4,FALSE)+VLOOKUP($A76,main!$A$3:$H$102,4,FALSE)+(VLOOKUP(VLOOKUP(AU$1,main!$A$3:$H$102,8,FALSE),main!$K$19:$O$22,MATCH(VLOOKUP($A76,main!$A$3:$H$102,7,FALSE),main!$K$18:$O$18,0),0))),0)</f>
        <v>0</v>
      </c>
      <c r="AV76">
        <f>IF((gamma!AV76),IF(VLOOKUP(AV$1,main!$A$3:$H$102,7,FALSE)=VLOOKUP($A76,main!$A$3:$H$102,8,FALSE),VLOOKUP(AV$1,main!$A$3:$H$102,4,FALSE),VLOOKUP(AV$1,main!$A$3:$H$102,4,FALSE)+VLOOKUP($A76,main!$A$3:$H$102,4,FALSE)+(VLOOKUP(VLOOKUP(AV$1,main!$A$3:$H$102,8,FALSE),main!$K$19:$O$22,MATCH(VLOOKUP($A76,main!$A$3:$H$102,7,FALSE),main!$K$18:$O$18,0),0))),0)</f>
        <v>0</v>
      </c>
      <c r="AW76">
        <f>IF((gamma!AW76),IF(VLOOKUP(AW$1,main!$A$3:$H$102,7,FALSE)=VLOOKUP($A76,main!$A$3:$H$102,8,FALSE),VLOOKUP(AW$1,main!$A$3:$H$102,4,FALSE),VLOOKUP(AW$1,main!$A$3:$H$102,4,FALSE)+VLOOKUP($A76,main!$A$3:$H$102,4,FALSE)+(VLOOKUP(VLOOKUP(AW$1,main!$A$3:$H$102,8,FALSE),main!$K$19:$O$22,MATCH(VLOOKUP($A76,main!$A$3:$H$102,7,FALSE),main!$K$18:$O$18,0),0))),0)</f>
        <v>0</v>
      </c>
      <c r="AX76">
        <f>IF((gamma!AX76),IF(VLOOKUP(AX$1,main!$A$3:$H$102,7,FALSE)=VLOOKUP($A76,main!$A$3:$H$102,8,FALSE),VLOOKUP(AX$1,main!$A$3:$H$102,4,FALSE),VLOOKUP(AX$1,main!$A$3:$H$102,4,FALSE)+VLOOKUP($A76,main!$A$3:$H$102,4,FALSE)+(VLOOKUP(VLOOKUP(AX$1,main!$A$3:$H$102,8,FALSE),main!$K$19:$O$22,MATCH(VLOOKUP($A76,main!$A$3:$H$102,7,FALSE),main!$K$18:$O$18,0),0))),0)</f>
        <v>0</v>
      </c>
      <c r="AY76">
        <f>IF((gamma!AY76),IF(VLOOKUP(AY$1,main!$A$3:$H$102,7,FALSE)=VLOOKUP($A76,main!$A$3:$H$102,8,FALSE),VLOOKUP(AY$1,main!$A$3:$H$102,4,FALSE),VLOOKUP(AY$1,main!$A$3:$H$102,4,FALSE)+VLOOKUP($A76,main!$A$3:$H$102,4,FALSE)+(VLOOKUP(VLOOKUP(AY$1,main!$A$3:$H$102,8,FALSE),main!$K$19:$O$22,MATCH(VLOOKUP($A76,main!$A$3:$H$102,7,FALSE),main!$K$18:$O$18,0),0))),0)</f>
        <v>0</v>
      </c>
      <c r="AZ76">
        <f>IF((gamma!AZ76),IF(VLOOKUP(AZ$1,main!$A$3:$H$102,7,FALSE)=VLOOKUP($A76,main!$A$3:$H$102,8,FALSE),VLOOKUP(AZ$1,main!$A$3:$H$102,4,FALSE),VLOOKUP(AZ$1,main!$A$3:$H$102,4,FALSE)+VLOOKUP($A76,main!$A$3:$H$102,4,FALSE)+(VLOOKUP(VLOOKUP(AZ$1,main!$A$3:$H$102,8,FALSE),main!$K$19:$O$22,MATCH(VLOOKUP($A76,main!$A$3:$H$102,7,FALSE),main!$K$18:$O$18,0),0))),0)</f>
        <v>0</v>
      </c>
      <c r="BA76">
        <f>IF((gamma!BA76),IF(VLOOKUP(BA$1,main!$A$3:$H$102,7,FALSE)=VLOOKUP($A76,main!$A$3:$H$102,8,FALSE),VLOOKUP(BA$1,main!$A$3:$H$102,4,FALSE),VLOOKUP(BA$1,main!$A$3:$H$102,4,FALSE)+VLOOKUP($A76,main!$A$3:$H$102,4,FALSE)+(VLOOKUP(VLOOKUP(BA$1,main!$A$3:$H$102,8,FALSE),main!$K$19:$O$22,MATCH(VLOOKUP($A76,main!$A$3:$H$102,7,FALSE),main!$K$18:$O$18,0),0))),0)</f>
        <v>0</v>
      </c>
      <c r="BB76">
        <f>IF((gamma!BB76),IF(VLOOKUP(BB$1,main!$A$3:$H$102,7,FALSE)=VLOOKUP($A76,main!$A$3:$H$102,8,FALSE),VLOOKUP(BB$1,main!$A$3:$H$102,4,FALSE),VLOOKUP(BB$1,main!$A$3:$H$102,4,FALSE)+VLOOKUP($A76,main!$A$3:$H$102,4,FALSE)+(VLOOKUP(VLOOKUP(BB$1,main!$A$3:$H$102,8,FALSE),main!$K$19:$O$22,MATCH(VLOOKUP($A76,main!$A$3:$H$102,7,FALSE),main!$K$18:$O$18,0),0))),0)</f>
        <v>0</v>
      </c>
      <c r="BC76">
        <f>IF((gamma!BC76),IF(VLOOKUP(BC$1,main!$A$3:$H$102,7,FALSE)=VLOOKUP($A76,main!$A$3:$H$102,8,FALSE),VLOOKUP(BC$1,main!$A$3:$H$102,4,FALSE),VLOOKUP(BC$1,main!$A$3:$H$102,4,FALSE)+VLOOKUP($A76,main!$A$3:$H$102,4,FALSE)+(VLOOKUP(VLOOKUP(BC$1,main!$A$3:$H$102,8,FALSE),main!$K$19:$O$22,MATCH(VLOOKUP($A76,main!$A$3:$H$102,7,FALSE),main!$K$18:$O$18,0),0))),0)</f>
        <v>0</v>
      </c>
      <c r="BD76">
        <f>IF((gamma!BD76),IF(VLOOKUP(BD$1,main!$A$3:$H$102,7,FALSE)=VLOOKUP($A76,main!$A$3:$H$102,8,FALSE),VLOOKUP(BD$1,main!$A$3:$H$102,4,FALSE),VLOOKUP(BD$1,main!$A$3:$H$102,4,FALSE)+VLOOKUP($A76,main!$A$3:$H$102,4,FALSE)+(VLOOKUP(VLOOKUP(BD$1,main!$A$3:$H$102,8,FALSE),main!$K$19:$O$22,MATCH(VLOOKUP($A76,main!$A$3:$H$102,7,FALSE),main!$K$18:$O$18,0),0))),0)</f>
        <v>0</v>
      </c>
      <c r="BE76">
        <f>IF((gamma!BE76),IF(VLOOKUP(BE$1,main!$A$3:$H$102,7,FALSE)=VLOOKUP($A76,main!$A$3:$H$102,8,FALSE),VLOOKUP(BE$1,main!$A$3:$H$102,4,FALSE),VLOOKUP(BE$1,main!$A$3:$H$102,4,FALSE)+VLOOKUP($A76,main!$A$3:$H$102,4,FALSE)+(VLOOKUP(VLOOKUP(BE$1,main!$A$3:$H$102,8,FALSE),main!$K$19:$O$22,MATCH(VLOOKUP($A76,main!$A$3:$H$102,7,FALSE),main!$K$18:$O$18,0),0))),0)</f>
        <v>305</v>
      </c>
      <c r="BF76">
        <f>IF((gamma!BF76),IF(VLOOKUP(BF$1,main!$A$3:$H$102,7,FALSE)=VLOOKUP($A76,main!$A$3:$H$102,8,FALSE),VLOOKUP(BF$1,main!$A$3:$H$102,4,FALSE),VLOOKUP(BF$1,main!$A$3:$H$102,4,FALSE)+VLOOKUP($A76,main!$A$3:$H$102,4,FALSE)+(VLOOKUP(VLOOKUP(BF$1,main!$A$3:$H$102,8,FALSE),main!$K$19:$O$22,MATCH(VLOOKUP($A76,main!$A$3:$H$102,7,FALSE),main!$K$18:$O$18,0),0))),0)</f>
        <v>0</v>
      </c>
      <c r="BG76">
        <f>IF((gamma!BG76),IF(VLOOKUP(BG$1,main!$A$3:$H$102,7,FALSE)=VLOOKUP($A76,main!$A$3:$H$102,8,FALSE),VLOOKUP(BG$1,main!$A$3:$H$102,4,FALSE),VLOOKUP(BG$1,main!$A$3:$H$102,4,FALSE)+VLOOKUP($A76,main!$A$3:$H$102,4,FALSE)+(VLOOKUP(VLOOKUP(BG$1,main!$A$3:$H$102,8,FALSE),main!$K$19:$O$22,MATCH(VLOOKUP($A76,main!$A$3:$H$102,7,FALSE),main!$K$18:$O$18,0),0))),0)</f>
        <v>0</v>
      </c>
      <c r="BH76">
        <f>IF((gamma!BH76),IF(VLOOKUP(BH$1,main!$A$3:$H$102,7,FALSE)=VLOOKUP($A76,main!$A$3:$H$102,8,FALSE),VLOOKUP(BH$1,main!$A$3:$H$102,4,FALSE),VLOOKUP(BH$1,main!$A$3:$H$102,4,FALSE)+VLOOKUP($A76,main!$A$3:$H$102,4,FALSE)+(VLOOKUP(VLOOKUP(BH$1,main!$A$3:$H$102,8,FALSE),main!$K$19:$O$22,MATCH(VLOOKUP($A76,main!$A$3:$H$102,7,FALSE),main!$K$18:$O$18,0),0))),0)</f>
        <v>0</v>
      </c>
      <c r="BI76">
        <f>IF((gamma!BI76),IF(VLOOKUP(BI$1,main!$A$3:$H$102,7,FALSE)=VLOOKUP($A76,main!$A$3:$H$102,8,FALSE),VLOOKUP(BI$1,main!$A$3:$H$102,4,FALSE),VLOOKUP(BI$1,main!$A$3:$H$102,4,FALSE)+VLOOKUP($A76,main!$A$3:$H$102,4,FALSE)+(VLOOKUP(VLOOKUP(BI$1,main!$A$3:$H$102,8,FALSE),main!$K$19:$O$22,MATCH(VLOOKUP($A76,main!$A$3:$H$102,7,FALSE),main!$K$18:$O$18,0),0))),0)</f>
        <v>225</v>
      </c>
      <c r="BJ76">
        <f>IF((gamma!BJ76),IF(VLOOKUP(BJ$1,main!$A$3:$H$102,7,FALSE)=VLOOKUP($A76,main!$A$3:$H$102,8,FALSE),VLOOKUP(BJ$1,main!$A$3:$H$102,4,FALSE),VLOOKUP(BJ$1,main!$A$3:$H$102,4,FALSE)+VLOOKUP($A76,main!$A$3:$H$102,4,FALSE)+(VLOOKUP(VLOOKUP(BJ$1,main!$A$3:$H$102,8,FALSE),main!$K$19:$O$22,MATCH(VLOOKUP($A76,main!$A$3:$H$102,7,FALSE),main!$K$18:$O$18,0),0))),0)</f>
        <v>255</v>
      </c>
      <c r="BK76">
        <f>IF((gamma!BK76),IF(VLOOKUP(BK$1,main!$A$3:$H$102,7,FALSE)=VLOOKUP($A76,main!$A$3:$H$102,8,FALSE),VLOOKUP(BK$1,main!$A$3:$H$102,4,FALSE),VLOOKUP(BK$1,main!$A$3:$H$102,4,FALSE)+VLOOKUP($A76,main!$A$3:$H$102,4,FALSE)+(VLOOKUP(VLOOKUP(BK$1,main!$A$3:$H$102,8,FALSE),main!$K$19:$O$22,MATCH(VLOOKUP($A76,main!$A$3:$H$102,7,FALSE),main!$K$18:$O$18,0),0))),0)</f>
        <v>0</v>
      </c>
      <c r="BL76">
        <f>IF((gamma!BL76),IF(VLOOKUP(BL$1,main!$A$3:$H$102,7,FALSE)=VLOOKUP($A76,main!$A$3:$H$102,8,FALSE),VLOOKUP(BL$1,main!$A$3:$H$102,4,FALSE),VLOOKUP(BL$1,main!$A$3:$H$102,4,FALSE)+VLOOKUP($A76,main!$A$3:$H$102,4,FALSE)+(VLOOKUP(VLOOKUP(BL$1,main!$A$3:$H$102,8,FALSE),main!$K$19:$O$22,MATCH(VLOOKUP($A76,main!$A$3:$H$102,7,FALSE),main!$K$18:$O$18,0),0))),0)</f>
        <v>0</v>
      </c>
      <c r="BM76">
        <f>IF((gamma!BM76),IF(VLOOKUP(BM$1,main!$A$3:$H$102,7,FALSE)=VLOOKUP($A76,main!$A$3:$H$102,8,FALSE),VLOOKUP(BM$1,main!$A$3:$H$102,4,FALSE),VLOOKUP(BM$1,main!$A$3:$H$102,4,FALSE)+VLOOKUP($A76,main!$A$3:$H$102,4,FALSE)+(VLOOKUP(VLOOKUP(BM$1,main!$A$3:$H$102,8,FALSE),main!$K$19:$O$22,MATCH(VLOOKUP($A76,main!$A$3:$H$102,7,FALSE),main!$K$18:$O$18,0),0))),0)</f>
        <v>0</v>
      </c>
      <c r="BN76">
        <f>IF((gamma!BN76),IF(VLOOKUP(BN$1,main!$A$3:$H$102,7,FALSE)=VLOOKUP($A76,main!$A$3:$H$102,8,FALSE),VLOOKUP(BN$1,main!$A$3:$H$102,4,FALSE),VLOOKUP(BN$1,main!$A$3:$H$102,4,FALSE)+VLOOKUP($A76,main!$A$3:$H$102,4,FALSE)+(VLOOKUP(VLOOKUP(BN$1,main!$A$3:$H$102,8,FALSE),main!$K$19:$O$22,MATCH(VLOOKUP($A76,main!$A$3:$H$102,7,FALSE),main!$K$18:$O$18,0),0))),0)</f>
        <v>0</v>
      </c>
      <c r="BO76">
        <f>IF((gamma!BO76),IF(VLOOKUP(BO$1,main!$A$3:$H$102,7,FALSE)=VLOOKUP($A76,main!$A$3:$H$102,8,FALSE),VLOOKUP(BO$1,main!$A$3:$H$102,4,FALSE),VLOOKUP(BO$1,main!$A$3:$H$102,4,FALSE)+VLOOKUP($A76,main!$A$3:$H$102,4,FALSE)+(VLOOKUP(VLOOKUP(BO$1,main!$A$3:$H$102,8,FALSE),main!$K$19:$O$22,MATCH(VLOOKUP($A76,main!$A$3:$H$102,7,FALSE),main!$K$18:$O$18,0),0))),0)</f>
        <v>0</v>
      </c>
      <c r="BP76">
        <f>IF((gamma!BP76),IF(VLOOKUP(BP$1,main!$A$3:$H$102,7,FALSE)=VLOOKUP($A76,main!$A$3:$H$102,8,FALSE),VLOOKUP(BP$1,main!$A$3:$H$102,4,FALSE),VLOOKUP(BP$1,main!$A$3:$H$102,4,FALSE)+VLOOKUP($A76,main!$A$3:$H$102,4,FALSE)+(VLOOKUP(VLOOKUP(BP$1,main!$A$3:$H$102,8,FALSE),main!$K$19:$O$22,MATCH(VLOOKUP($A76,main!$A$3:$H$102,7,FALSE),main!$K$18:$O$18,0),0))),0)</f>
        <v>0</v>
      </c>
      <c r="BQ76">
        <f>IF((gamma!BQ76),IF(VLOOKUP(BQ$1,main!$A$3:$H$102,7,FALSE)=VLOOKUP($A76,main!$A$3:$H$102,8,FALSE),VLOOKUP(BQ$1,main!$A$3:$H$102,4,FALSE),VLOOKUP(BQ$1,main!$A$3:$H$102,4,FALSE)+VLOOKUP($A76,main!$A$3:$H$102,4,FALSE)+(VLOOKUP(VLOOKUP(BQ$1,main!$A$3:$H$102,8,FALSE),main!$K$19:$O$22,MATCH(VLOOKUP($A76,main!$A$3:$H$102,7,FALSE),main!$K$18:$O$18,0),0))),0)</f>
        <v>0</v>
      </c>
      <c r="BR76">
        <f>IF((gamma!BR76),IF(VLOOKUP(BR$1,main!$A$3:$H$102,7,FALSE)=VLOOKUP($A76,main!$A$3:$H$102,8,FALSE),VLOOKUP(BR$1,main!$A$3:$H$102,4,FALSE),VLOOKUP(BR$1,main!$A$3:$H$102,4,FALSE)+VLOOKUP($A76,main!$A$3:$H$102,4,FALSE)+(VLOOKUP(VLOOKUP(BR$1,main!$A$3:$H$102,8,FALSE),main!$K$19:$O$22,MATCH(VLOOKUP($A76,main!$A$3:$H$102,7,FALSE),main!$K$18:$O$18,0),0))),0)</f>
        <v>0</v>
      </c>
      <c r="BS76">
        <f>IF((gamma!BS76),IF(VLOOKUP(BS$1,main!$A$3:$H$102,7,FALSE)=VLOOKUP($A76,main!$A$3:$H$102,8,FALSE),VLOOKUP(BS$1,main!$A$3:$H$102,4,FALSE),VLOOKUP(BS$1,main!$A$3:$H$102,4,FALSE)+VLOOKUP($A76,main!$A$3:$H$102,4,FALSE)+(VLOOKUP(VLOOKUP(BS$1,main!$A$3:$H$102,8,FALSE),main!$K$19:$O$22,MATCH(VLOOKUP($A76,main!$A$3:$H$102,7,FALSE),main!$K$18:$O$18,0),0))),0)</f>
        <v>0</v>
      </c>
      <c r="BT76">
        <f>IF((gamma!BT76),IF(VLOOKUP(BT$1,main!$A$3:$H$102,7,FALSE)=VLOOKUP($A76,main!$A$3:$H$102,8,FALSE),VLOOKUP(BT$1,main!$A$3:$H$102,4,FALSE),VLOOKUP(BT$1,main!$A$3:$H$102,4,FALSE)+VLOOKUP($A76,main!$A$3:$H$102,4,FALSE)+(VLOOKUP(VLOOKUP(BT$1,main!$A$3:$H$102,8,FALSE),main!$K$19:$O$22,MATCH(VLOOKUP($A76,main!$A$3:$H$102,7,FALSE),main!$K$18:$O$18,0),0))),0)</f>
        <v>0</v>
      </c>
      <c r="BU76">
        <f>IF((gamma!BU76),IF(VLOOKUP(BU$1,main!$A$3:$H$102,7,FALSE)=VLOOKUP($A76,main!$A$3:$H$102,8,FALSE),VLOOKUP(BU$1,main!$A$3:$H$102,4,FALSE),VLOOKUP(BU$1,main!$A$3:$H$102,4,FALSE)+VLOOKUP($A76,main!$A$3:$H$102,4,FALSE)+(VLOOKUP(VLOOKUP(BU$1,main!$A$3:$H$102,8,FALSE),main!$K$19:$O$22,MATCH(VLOOKUP($A76,main!$A$3:$H$102,7,FALSE),main!$K$18:$O$18,0),0))),0)</f>
        <v>0</v>
      </c>
      <c r="BV76">
        <f>IF((gamma!BV76),IF(VLOOKUP(BV$1,main!$A$3:$H$102,7,FALSE)=VLOOKUP($A76,main!$A$3:$H$102,8,FALSE),VLOOKUP(BV$1,main!$A$3:$H$102,4,FALSE),VLOOKUP(BV$1,main!$A$3:$H$102,4,FALSE)+VLOOKUP($A76,main!$A$3:$H$102,4,FALSE)+(VLOOKUP(VLOOKUP(BV$1,main!$A$3:$H$102,8,FALSE),main!$K$19:$O$22,MATCH(VLOOKUP($A76,main!$A$3:$H$102,7,FALSE),main!$K$18:$O$18,0),0))),0)</f>
        <v>0</v>
      </c>
      <c r="BW76">
        <f>IF((gamma!BW76),IF(VLOOKUP(BW$1,main!$A$3:$H$102,7,FALSE)=VLOOKUP($A76,main!$A$3:$H$102,8,FALSE),VLOOKUP(BW$1,main!$A$3:$H$102,4,FALSE),VLOOKUP(BW$1,main!$A$3:$H$102,4,FALSE)+VLOOKUP($A76,main!$A$3:$H$102,4,FALSE)+(VLOOKUP(VLOOKUP(BW$1,main!$A$3:$H$102,8,FALSE),main!$K$19:$O$22,MATCH(VLOOKUP($A76,main!$A$3:$H$102,7,FALSE),main!$K$18:$O$18,0),0))),0)</f>
        <v>0</v>
      </c>
      <c r="BX76">
        <f>IF((gamma!BX76),IF(VLOOKUP(BX$1,main!$A$3:$H$102,7,FALSE)=VLOOKUP($A76,main!$A$3:$H$102,8,FALSE),VLOOKUP(BX$1,main!$A$3:$H$102,4,FALSE),VLOOKUP(BX$1,main!$A$3:$H$102,4,FALSE)+VLOOKUP($A76,main!$A$3:$H$102,4,FALSE)+(VLOOKUP(VLOOKUP(BX$1,main!$A$3:$H$102,8,FALSE),main!$K$19:$O$22,MATCH(VLOOKUP($A76,main!$A$3:$H$102,7,FALSE),main!$K$18:$O$18,0),0))),0)</f>
        <v>0</v>
      </c>
      <c r="BY76">
        <f>IF((gamma!BY76),IF(VLOOKUP(BY$1,main!$A$3:$H$102,7,FALSE)=VLOOKUP($A76,main!$A$3:$H$102,8,FALSE),VLOOKUP(BY$1,main!$A$3:$H$102,4,FALSE),VLOOKUP(BY$1,main!$A$3:$H$102,4,FALSE)+VLOOKUP($A76,main!$A$3:$H$102,4,FALSE)+(VLOOKUP(VLOOKUP(BY$1,main!$A$3:$H$102,8,FALSE),main!$K$19:$O$22,MATCH(VLOOKUP($A76,main!$A$3:$H$102,7,FALSE),main!$K$18:$O$18,0),0))),0)</f>
        <v>0</v>
      </c>
      <c r="BZ76">
        <f>IF((gamma!BZ76),IF(VLOOKUP(BZ$1,main!$A$3:$H$102,7,FALSE)=VLOOKUP($A76,main!$A$3:$H$102,8,FALSE),VLOOKUP(BZ$1,main!$A$3:$H$102,4,FALSE),VLOOKUP(BZ$1,main!$A$3:$H$102,4,FALSE)+VLOOKUP($A76,main!$A$3:$H$102,4,FALSE)+(VLOOKUP(VLOOKUP(BZ$1,main!$A$3:$H$102,8,FALSE),main!$K$19:$O$22,MATCH(VLOOKUP($A76,main!$A$3:$H$102,7,FALSE),main!$K$18:$O$18,0),0))),0)</f>
        <v>0</v>
      </c>
      <c r="CA76">
        <f>IF((gamma!CA76),IF(VLOOKUP(CA$1,main!$A$3:$H$102,7,FALSE)=VLOOKUP($A76,main!$A$3:$H$102,8,FALSE),VLOOKUP(CA$1,main!$A$3:$H$102,4,FALSE),VLOOKUP(CA$1,main!$A$3:$H$102,4,FALSE)+VLOOKUP($A76,main!$A$3:$H$102,4,FALSE)+(VLOOKUP(VLOOKUP(CA$1,main!$A$3:$H$102,8,FALSE),main!$K$19:$O$22,MATCH(VLOOKUP($A76,main!$A$3:$H$102,7,FALSE),main!$K$18:$O$18,0),0))),0)</f>
        <v>0</v>
      </c>
      <c r="CB76">
        <f>IF((gamma!CB76),IF(VLOOKUP(CB$1,main!$A$3:$H$102,7,FALSE)=VLOOKUP($A76,main!$A$3:$H$102,8,FALSE),VLOOKUP(CB$1,main!$A$3:$H$102,4,FALSE),VLOOKUP(CB$1,main!$A$3:$H$102,4,FALSE)+VLOOKUP($A76,main!$A$3:$H$102,4,FALSE)+(VLOOKUP(VLOOKUP(CB$1,main!$A$3:$H$102,8,FALSE),main!$K$19:$O$22,MATCH(VLOOKUP($A76,main!$A$3:$H$102,7,FALSE),main!$K$18:$O$18,0),0))),0)</f>
        <v>0</v>
      </c>
      <c r="CC76">
        <f>IF((gamma!CC76),IF(VLOOKUP(CC$1,main!$A$3:$H$102,7,FALSE)=VLOOKUP($A76,main!$A$3:$H$102,8,FALSE),VLOOKUP(CC$1,main!$A$3:$H$102,4,FALSE),VLOOKUP(CC$1,main!$A$3:$H$102,4,FALSE)+VLOOKUP($A76,main!$A$3:$H$102,4,FALSE)+(VLOOKUP(VLOOKUP(CC$1,main!$A$3:$H$102,8,FALSE),main!$K$19:$O$22,MATCH(VLOOKUP($A76,main!$A$3:$H$102,7,FALSE),main!$K$18:$O$18,0),0))),0)</f>
        <v>223</v>
      </c>
      <c r="CD76">
        <f>IF((gamma!CD76),IF(VLOOKUP(CD$1,main!$A$3:$H$102,7,FALSE)=VLOOKUP($A76,main!$A$3:$H$102,8,FALSE),VLOOKUP(CD$1,main!$A$3:$H$102,4,FALSE),VLOOKUP(CD$1,main!$A$3:$H$102,4,FALSE)+VLOOKUP($A76,main!$A$3:$H$102,4,FALSE)+(VLOOKUP(VLOOKUP(CD$1,main!$A$3:$H$102,8,FALSE),main!$K$19:$O$22,MATCH(VLOOKUP($A76,main!$A$3:$H$102,7,FALSE),main!$K$18:$O$18,0),0))),0)</f>
        <v>0</v>
      </c>
      <c r="CE76">
        <f>IF((gamma!CE76),IF(VLOOKUP(CE$1,main!$A$3:$H$102,7,FALSE)=VLOOKUP($A76,main!$A$3:$H$102,8,FALSE),VLOOKUP(CE$1,main!$A$3:$H$102,4,FALSE),VLOOKUP(CE$1,main!$A$3:$H$102,4,FALSE)+VLOOKUP($A76,main!$A$3:$H$102,4,FALSE)+(VLOOKUP(VLOOKUP(CE$1,main!$A$3:$H$102,8,FALSE),main!$K$19:$O$22,MATCH(VLOOKUP($A76,main!$A$3:$H$102,7,FALSE),main!$K$18:$O$18,0),0))),0)</f>
        <v>0</v>
      </c>
      <c r="CF76">
        <f>IF((gamma!CF76),IF(VLOOKUP(CF$1,main!$A$3:$H$102,7,FALSE)=VLOOKUP($A76,main!$A$3:$H$102,8,FALSE),VLOOKUP(CF$1,main!$A$3:$H$102,4,FALSE),VLOOKUP(CF$1,main!$A$3:$H$102,4,FALSE)+VLOOKUP($A76,main!$A$3:$H$102,4,FALSE)+(VLOOKUP(VLOOKUP(CF$1,main!$A$3:$H$102,8,FALSE),main!$K$19:$O$22,MATCH(VLOOKUP($A76,main!$A$3:$H$102,7,FALSE),main!$K$18:$O$18,0),0))),0)</f>
        <v>0</v>
      </c>
      <c r="CG76">
        <f>IF((gamma!CG76),IF(VLOOKUP(CG$1,main!$A$3:$H$102,7,FALSE)=VLOOKUP($A76,main!$A$3:$H$102,8,FALSE),VLOOKUP(CG$1,main!$A$3:$H$102,4,FALSE),VLOOKUP(CG$1,main!$A$3:$H$102,4,FALSE)+VLOOKUP($A76,main!$A$3:$H$102,4,FALSE)+(VLOOKUP(VLOOKUP(CG$1,main!$A$3:$H$102,8,FALSE),main!$K$19:$O$22,MATCH(VLOOKUP($A76,main!$A$3:$H$102,7,FALSE),main!$K$18:$O$18,0),0))),0)</f>
        <v>0</v>
      </c>
      <c r="CH76">
        <f>IF((gamma!CH76),IF(VLOOKUP(CH$1,main!$A$3:$H$102,7,FALSE)=VLOOKUP($A76,main!$A$3:$H$102,8,FALSE),VLOOKUP(CH$1,main!$A$3:$H$102,4,FALSE),VLOOKUP(CH$1,main!$A$3:$H$102,4,FALSE)+VLOOKUP($A76,main!$A$3:$H$102,4,FALSE)+(VLOOKUP(VLOOKUP(CH$1,main!$A$3:$H$102,8,FALSE),main!$K$19:$O$22,MATCH(VLOOKUP($A76,main!$A$3:$H$102,7,FALSE),main!$K$18:$O$18,0),0))),0)</f>
        <v>140</v>
      </c>
      <c r="CI76">
        <f>IF((gamma!CI76),IF(VLOOKUP(CI$1,main!$A$3:$H$102,7,FALSE)=VLOOKUP($A76,main!$A$3:$H$102,8,FALSE),VLOOKUP(CI$1,main!$A$3:$H$102,4,FALSE),VLOOKUP(CI$1,main!$A$3:$H$102,4,FALSE)+VLOOKUP($A76,main!$A$3:$H$102,4,FALSE)+(VLOOKUP(VLOOKUP(CI$1,main!$A$3:$H$102,8,FALSE),main!$K$19:$O$22,MATCH(VLOOKUP($A76,main!$A$3:$H$102,7,FALSE),main!$K$18:$O$18,0),0))),0)</f>
        <v>140</v>
      </c>
      <c r="CJ76">
        <f>IF((gamma!CJ76),IF(VLOOKUP(CJ$1,main!$A$3:$H$102,7,FALSE)=VLOOKUP($A76,main!$A$3:$H$102,8,FALSE),VLOOKUP(CJ$1,main!$A$3:$H$102,4,FALSE),VLOOKUP(CJ$1,main!$A$3:$H$102,4,FALSE)+VLOOKUP($A76,main!$A$3:$H$102,4,FALSE)+(VLOOKUP(VLOOKUP(CJ$1,main!$A$3:$H$102,8,FALSE),main!$K$19:$O$22,MATCH(VLOOKUP($A76,main!$A$3:$H$102,7,FALSE),main!$K$18:$O$18,0),0))),0)</f>
        <v>0</v>
      </c>
      <c r="CK76">
        <f>IF((gamma!CK76),IF(VLOOKUP(CK$1,main!$A$3:$H$102,7,FALSE)=VLOOKUP($A76,main!$A$3:$H$102,8,FALSE),VLOOKUP(CK$1,main!$A$3:$H$102,4,FALSE),VLOOKUP(CK$1,main!$A$3:$H$102,4,FALSE)+VLOOKUP($A76,main!$A$3:$H$102,4,FALSE)+(VLOOKUP(VLOOKUP(CK$1,main!$A$3:$H$102,8,FALSE),main!$K$19:$O$22,MATCH(VLOOKUP($A76,main!$A$3:$H$102,7,FALSE),main!$K$18:$O$18,0),0))),0)</f>
        <v>0</v>
      </c>
      <c r="CL76">
        <f>IF((gamma!CL76),IF(VLOOKUP(CL$1,main!$A$3:$H$102,7,FALSE)=VLOOKUP($A76,main!$A$3:$H$102,8,FALSE),VLOOKUP(CL$1,main!$A$3:$H$102,4,FALSE),VLOOKUP(CL$1,main!$A$3:$H$102,4,FALSE)+VLOOKUP($A76,main!$A$3:$H$102,4,FALSE)+(VLOOKUP(VLOOKUP(CL$1,main!$A$3:$H$102,8,FALSE),main!$K$19:$O$22,MATCH(VLOOKUP($A76,main!$A$3:$H$102,7,FALSE),main!$K$18:$O$18,0),0))),0)</f>
        <v>0</v>
      </c>
      <c r="CM76">
        <f>IF((gamma!CM76),IF(VLOOKUP(CM$1,main!$A$3:$H$102,7,FALSE)=VLOOKUP($A76,main!$A$3:$H$102,8,FALSE),VLOOKUP(CM$1,main!$A$3:$H$102,4,FALSE),VLOOKUP(CM$1,main!$A$3:$H$102,4,FALSE)+VLOOKUP($A76,main!$A$3:$H$102,4,FALSE)+(VLOOKUP(VLOOKUP(CM$1,main!$A$3:$H$102,8,FALSE),main!$K$19:$O$22,MATCH(VLOOKUP($A76,main!$A$3:$H$102,7,FALSE),main!$K$18:$O$18,0),0))),0)</f>
        <v>100</v>
      </c>
      <c r="CN76">
        <f>IF((gamma!CN76),IF(VLOOKUP(CN$1,main!$A$3:$H$102,7,FALSE)=VLOOKUP($A76,main!$A$3:$H$102,8,FALSE),VLOOKUP(CN$1,main!$A$3:$H$102,4,FALSE),VLOOKUP(CN$1,main!$A$3:$H$102,4,FALSE)+VLOOKUP($A76,main!$A$3:$H$102,4,FALSE)+(VLOOKUP(VLOOKUP(CN$1,main!$A$3:$H$102,8,FALSE),main!$K$19:$O$22,MATCH(VLOOKUP($A76,main!$A$3:$H$102,7,FALSE),main!$K$18:$O$18,0),0))),0)</f>
        <v>96</v>
      </c>
      <c r="CO76">
        <f>IF((gamma!CO76),IF(VLOOKUP(CO$1,main!$A$3:$H$102,7,FALSE)=VLOOKUP($A76,main!$A$3:$H$102,8,FALSE),VLOOKUP(CO$1,main!$A$3:$H$102,4,FALSE),VLOOKUP(CO$1,main!$A$3:$H$102,4,FALSE)+VLOOKUP($A76,main!$A$3:$H$102,4,FALSE)+(VLOOKUP(VLOOKUP(CO$1,main!$A$3:$H$102,8,FALSE),main!$K$19:$O$22,MATCH(VLOOKUP($A76,main!$A$3:$H$102,7,FALSE),main!$K$18:$O$18,0),0))),0)</f>
        <v>0</v>
      </c>
      <c r="CP76">
        <f>IF((gamma!CP76),IF(VLOOKUP(CP$1,main!$A$3:$H$102,7,FALSE)=VLOOKUP($A76,main!$A$3:$H$102,8,FALSE),VLOOKUP(CP$1,main!$A$3:$H$102,4,FALSE),VLOOKUP(CP$1,main!$A$3:$H$102,4,FALSE)+VLOOKUP($A76,main!$A$3:$H$102,4,FALSE)+(VLOOKUP(VLOOKUP(CP$1,main!$A$3:$H$102,8,FALSE),main!$K$19:$O$22,MATCH(VLOOKUP($A76,main!$A$3:$H$102,7,FALSE),main!$K$18:$O$18,0),0))),0)</f>
        <v>0</v>
      </c>
      <c r="CQ76">
        <f>IF((gamma!CQ76),IF(VLOOKUP(CQ$1,main!$A$3:$H$102,7,FALSE)=VLOOKUP($A76,main!$A$3:$H$102,8,FALSE),VLOOKUP(CQ$1,main!$A$3:$H$102,4,FALSE),VLOOKUP(CQ$1,main!$A$3:$H$102,4,FALSE)+VLOOKUP($A76,main!$A$3:$H$102,4,FALSE)+(VLOOKUP(VLOOKUP(CQ$1,main!$A$3:$H$102,8,FALSE),main!$K$19:$O$22,MATCH(VLOOKUP($A76,main!$A$3:$H$102,7,FALSE),main!$K$18:$O$18,0),0))),0)</f>
        <v>0</v>
      </c>
      <c r="CR76">
        <f>IF((gamma!CR76),IF(VLOOKUP(CR$1,main!$A$3:$H$102,7,FALSE)=VLOOKUP($A76,main!$A$3:$H$102,8,FALSE),VLOOKUP(CR$1,main!$A$3:$H$102,4,FALSE),VLOOKUP(CR$1,main!$A$3:$H$102,4,FALSE)+VLOOKUP($A76,main!$A$3:$H$102,4,FALSE)+(VLOOKUP(VLOOKUP(CR$1,main!$A$3:$H$102,8,FALSE),main!$K$19:$O$22,MATCH(VLOOKUP($A76,main!$A$3:$H$102,7,FALSE),main!$K$18:$O$18,0),0))),0)</f>
        <v>135</v>
      </c>
      <c r="CS76">
        <f>IF((gamma!CS76),IF(VLOOKUP(CS$1,main!$A$3:$H$102,7,FALSE)=VLOOKUP($A76,main!$A$3:$H$102,8,FALSE),VLOOKUP(CS$1,main!$A$3:$H$102,4,FALSE),VLOOKUP(CS$1,main!$A$3:$H$102,4,FALSE)+VLOOKUP($A76,main!$A$3:$H$102,4,FALSE)+(VLOOKUP(VLOOKUP(CS$1,main!$A$3:$H$102,8,FALSE),main!$K$19:$O$22,MATCH(VLOOKUP($A76,main!$A$3:$H$102,7,FALSE),main!$K$18:$O$18,0),0))),0)</f>
        <v>135</v>
      </c>
      <c r="CT76">
        <f>IF((gamma!CT76),IF(VLOOKUP(CT$1,main!$A$3:$H$102,7,FALSE)=VLOOKUP($A76,main!$A$3:$H$102,8,FALSE),VLOOKUP(CT$1,main!$A$3:$H$102,4,FALSE),VLOOKUP(CT$1,main!$A$3:$H$102,4,FALSE)+VLOOKUP($A76,main!$A$3:$H$102,4,FALSE)+(VLOOKUP(VLOOKUP(CT$1,main!$A$3:$H$102,8,FALSE),main!$K$19:$O$22,MATCH(VLOOKUP($A76,main!$A$3:$H$102,7,FALSE),main!$K$18:$O$18,0),0))),0)</f>
        <v>0</v>
      </c>
      <c r="CU76">
        <f>IF((gamma!CU76),IF(VLOOKUP(CU$1,main!$A$3:$H$102,7,FALSE)=VLOOKUP($A76,main!$A$3:$H$102,8,FALSE),VLOOKUP(CU$1,main!$A$3:$H$102,4,FALSE),VLOOKUP(CU$1,main!$A$3:$H$102,4,FALSE)+VLOOKUP($A76,main!$A$3:$H$102,4,FALSE)+(VLOOKUP(VLOOKUP(CU$1,main!$A$3:$H$102,8,FALSE),main!$K$19:$O$22,MATCH(VLOOKUP($A76,main!$A$3:$H$102,7,FALSE),main!$K$18:$O$18,0),0))),0)</f>
        <v>0</v>
      </c>
      <c r="CV76">
        <f>IF((gamma!CV76),IF(VLOOKUP(CV$1,main!$A$3:$H$102,7,FALSE)=VLOOKUP($A76,main!$A$3:$H$102,8,FALSE),VLOOKUP(CV$1,main!$A$3:$H$102,4,FALSE),VLOOKUP(CV$1,main!$A$3:$H$102,4,FALSE)+VLOOKUP($A76,main!$A$3:$H$102,4,FALSE)+(VLOOKUP(VLOOKUP(CV$1,main!$A$3:$H$102,8,FALSE),main!$K$19:$O$22,MATCH(VLOOKUP($A76,main!$A$3:$H$102,7,FALSE),main!$K$18:$O$18,0),0))),0)</f>
        <v>0</v>
      </c>
      <c r="CW76">
        <f>IF((gamma!CW76),IF(VLOOKUP(CW$1,main!$A$3:$H$102,7,FALSE)=VLOOKUP($A76,main!$A$3:$H$102,8,FALSE),VLOOKUP(CW$1,main!$A$3:$H$102,4,FALSE),VLOOKUP(CW$1,main!$A$3:$H$102,4,FALSE)+VLOOKUP($A76,main!$A$3:$H$102,4,FALSE)+(VLOOKUP(VLOOKUP(CW$1,main!$A$3:$H$102,8,FALSE),main!$K$19:$O$22,MATCH(VLOOKUP($A76,main!$A$3:$H$102,7,FALSE),main!$K$18:$O$18,0),0))),0)</f>
        <v>95</v>
      </c>
      <c r="CX76">
        <f>IF((gamma!CX76),IF(VLOOKUP(CX$1,main!$A$3:$H$102,7,FALSE)=VLOOKUP($A76,main!$A$3:$H$102,8,FALSE),VLOOKUP(CX$1,main!$A$3:$H$102,4,FALSE),VLOOKUP(CX$1,main!$A$3:$H$102,4,FALSE)+VLOOKUP($A76,main!$A$3:$H$102,4,FALSE)+(VLOOKUP(VLOOKUP(CX$1,main!$A$3:$H$102,8,FALSE),main!$K$19:$O$22,MATCH(VLOOKUP($A76,main!$A$3:$H$102,7,FALSE),main!$K$18:$O$18,0),0))),0)</f>
        <v>85</v>
      </c>
      <c r="CY76">
        <v>0</v>
      </c>
      <c r="CZ76">
        <v>0</v>
      </c>
      <c r="DA76">
        <v>0</v>
      </c>
    </row>
    <row r="77" spans="1:105" x14ac:dyDescent="0.25">
      <c r="A77" s="1">
        <v>75</v>
      </c>
      <c r="B77">
        <v>0</v>
      </c>
      <c r="C77">
        <f>IF((gamma!C77),IF(VLOOKUP(C$1,main!$A$3:$H$102,7,FALSE)=VLOOKUP($A77,main!$A$3:$H$102,8,FALSE),VLOOKUP(C$1,main!$A$3:$H$102,4,FALSE),VLOOKUP(C$1,main!$A$3:$H$102,4,FALSE)+VLOOKUP($A77,main!$A$3:$H$102,4,FALSE)+(VLOOKUP(VLOOKUP(C$1,main!$A$3:$H$102,8,FALSE),main!$K$19:$O$22,MATCH(VLOOKUP($A77,main!$A$3:$H$102,7,FALSE),main!$K$18:$O$18,0),0))),0)</f>
        <v>0</v>
      </c>
      <c r="D77">
        <f>IF((gamma!D77),IF(VLOOKUP(D$1,main!$A$3:$H$102,7,FALSE)=VLOOKUP($A77,main!$A$3:$H$102,8,FALSE),VLOOKUP(D$1,main!$A$3:$H$102,4,FALSE),VLOOKUP(D$1,main!$A$3:$H$102,4,FALSE)+VLOOKUP($A77,main!$A$3:$H$102,4,FALSE)+(VLOOKUP(VLOOKUP(D$1,main!$A$3:$H$102,8,FALSE),main!$K$19:$O$22,MATCH(VLOOKUP($A77,main!$A$3:$H$102,7,FALSE),main!$K$18:$O$18,0),0))),0)</f>
        <v>0</v>
      </c>
      <c r="E77">
        <f>IF((gamma!E77),IF(VLOOKUP(E$1,main!$A$3:$H$102,7,FALSE)=VLOOKUP($A77,main!$A$3:$H$102,8,FALSE),VLOOKUP(E$1,main!$A$3:$H$102,4,FALSE),VLOOKUP(E$1,main!$A$3:$H$102,4,FALSE)+VLOOKUP($A77,main!$A$3:$H$102,4,FALSE)+(VLOOKUP(VLOOKUP(E$1,main!$A$3:$H$102,8,FALSE),main!$K$19:$O$22,MATCH(VLOOKUP($A77,main!$A$3:$H$102,7,FALSE),main!$K$18:$O$18,0),0))),0)</f>
        <v>0</v>
      </c>
      <c r="F77">
        <f>IF((gamma!F77),IF(VLOOKUP(F$1,main!$A$3:$H$102,7,FALSE)=VLOOKUP($A77,main!$A$3:$H$102,8,FALSE),VLOOKUP(F$1,main!$A$3:$H$102,4,FALSE),VLOOKUP(F$1,main!$A$3:$H$102,4,FALSE)+VLOOKUP($A77,main!$A$3:$H$102,4,FALSE)+(VLOOKUP(VLOOKUP(F$1,main!$A$3:$H$102,8,FALSE),main!$K$19:$O$22,MATCH(VLOOKUP($A77,main!$A$3:$H$102,7,FALSE),main!$K$18:$O$18,0),0))),0)</f>
        <v>0</v>
      </c>
      <c r="G77">
        <f>IF((gamma!G77),IF(VLOOKUP(G$1,main!$A$3:$H$102,7,FALSE)=VLOOKUP($A77,main!$A$3:$H$102,8,FALSE),VLOOKUP(G$1,main!$A$3:$H$102,4,FALSE),VLOOKUP(G$1,main!$A$3:$H$102,4,FALSE)+VLOOKUP($A77,main!$A$3:$H$102,4,FALSE)+(VLOOKUP(VLOOKUP(G$1,main!$A$3:$H$102,8,FALSE),main!$K$19:$O$22,MATCH(VLOOKUP($A77,main!$A$3:$H$102,7,FALSE),main!$K$18:$O$18,0),0))),0)</f>
        <v>0</v>
      </c>
      <c r="H77">
        <f>IF((gamma!H77),IF(VLOOKUP(H$1,main!$A$3:$H$102,7,FALSE)=VLOOKUP($A77,main!$A$3:$H$102,8,FALSE),VLOOKUP(H$1,main!$A$3:$H$102,4,FALSE),VLOOKUP(H$1,main!$A$3:$H$102,4,FALSE)+VLOOKUP($A77,main!$A$3:$H$102,4,FALSE)+(VLOOKUP(VLOOKUP(H$1,main!$A$3:$H$102,8,FALSE),main!$K$19:$O$22,MATCH(VLOOKUP($A77,main!$A$3:$H$102,7,FALSE),main!$K$18:$O$18,0),0))),0)</f>
        <v>0</v>
      </c>
      <c r="I77">
        <f>IF((gamma!I77),IF(VLOOKUP(I$1,main!$A$3:$H$102,7,FALSE)=VLOOKUP($A77,main!$A$3:$H$102,8,FALSE),VLOOKUP(I$1,main!$A$3:$H$102,4,FALSE),VLOOKUP(I$1,main!$A$3:$H$102,4,FALSE)+VLOOKUP($A77,main!$A$3:$H$102,4,FALSE)+(VLOOKUP(VLOOKUP(I$1,main!$A$3:$H$102,8,FALSE),main!$K$19:$O$22,MATCH(VLOOKUP($A77,main!$A$3:$H$102,7,FALSE),main!$K$18:$O$18,0),0))),0)</f>
        <v>0</v>
      </c>
      <c r="J77">
        <f>IF((gamma!J77),IF(VLOOKUP(J$1,main!$A$3:$H$102,7,FALSE)=VLOOKUP($A77,main!$A$3:$H$102,8,FALSE),VLOOKUP(J$1,main!$A$3:$H$102,4,FALSE),VLOOKUP(J$1,main!$A$3:$H$102,4,FALSE)+VLOOKUP($A77,main!$A$3:$H$102,4,FALSE)+(VLOOKUP(VLOOKUP(J$1,main!$A$3:$H$102,8,FALSE),main!$K$19:$O$22,MATCH(VLOOKUP($A77,main!$A$3:$H$102,7,FALSE),main!$K$18:$O$18,0),0))),0)</f>
        <v>283</v>
      </c>
      <c r="K77">
        <f>IF((gamma!K77),IF(VLOOKUP(K$1,main!$A$3:$H$102,7,FALSE)=VLOOKUP($A77,main!$A$3:$H$102,8,FALSE),VLOOKUP(K$1,main!$A$3:$H$102,4,FALSE),VLOOKUP(K$1,main!$A$3:$H$102,4,FALSE)+VLOOKUP($A77,main!$A$3:$H$102,4,FALSE)+(VLOOKUP(VLOOKUP(K$1,main!$A$3:$H$102,8,FALSE),main!$K$19:$O$22,MATCH(VLOOKUP($A77,main!$A$3:$H$102,7,FALSE),main!$K$18:$O$18,0),0))),0)</f>
        <v>283</v>
      </c>
      <c r="L77">
        <f>IF((gamma!L77),IF(VLOOKUP(L$1,main!$A$3:$H$102,7,FALSE)=VLOOKUP($A77,main!$A$3:$H$102,8,FALSE),VLOOKUP(L$1,main!$A$3:$H$102,4,FALSE),VLOOKUP(L$1,main!$A$3:$H$102,4,FALSE)+VLOOKUP($A77,main!$A$3:$H$102,4,FALSE)+(VLOOKUP(VLOOKUP(L$1,main!$A$3:$H$102,8,FALSE),main!$K$19:$O$22,MATCH(VLOOKUP($A77,main!$A$3:$H$102,7,FALSE),main!$K$18:$O$18,0),0))),0)</f>
        <v>283</v>
      </c>
      <c r="M77">
        <f>IF((gamma!M77),IF(VLOOKUP(M$1,main!$A$3:$H$102,7,FALSE)=VLOOKUP($A77,main!$A$3:$H$102,8,FALSE),VLOOKUP(M$1,main!$A$3:$H$102,4,FALSE),VLOOKUP(M$1,main!$A$3:$H$102,4,FALSE)+VLOOKUP($A77,main!$A$3:$H$102,4,FALSE)+(VLOOKUP(VLOOKUP(M$1,main!$A$3:$H$102,8,FALSE),main!$K$19:$O$22,MATCH(VLOOKUP($A77,main!$A$3:$H$102,7,FALSE),main!$K$18:$O$18,0),0))),0)</f>
        <v>0</v>
      </c>
      <c r="N77">
        <f>IF((gamma!N77),IF(VLOOKUP(N$1,main!$A$3:$H$102,7,FALSE)=VLOOKUP($A77,main!$A$3:$H$102,8,FALSE),VLOOKUP(N$1,main!$A$3:$H$102,4,FALSE),VLOOKUP(N$1,main!$A$3:$H$102,4,FALSE)+VLOOKUP($A77,main!$A$3:$H$102,4,FALSE)+(VLOOKUP(VLOOKUP(N$1,main!$A$3:$H$102,8,FALSE),main!$K$19:$O$22,MATCH(VLOOKUP($A77,main!$A$3:$H$102,7,FALSE),main!$K$18:$O$18,0),0))),0)</f>
        <v>0</v>
      </c>
      <c r="O77">
        <f>IF((gamma!O77),IF(VLOOKUP(O$1,main!$A$3:$H$102,7,FALSE)=VLOOKUP($A77,main!$A$3:$H$102,8,FALSE),VLOOKUP(O$1,main!$A$3:$H$102,4,FALSE),VLOOKUP(O$1,main!$A$3:$H$102,4,FALSE)+VLOOKUP($A77,main!$A$3:$H$102,4,FALSE)+(VLOOKUP(VLOOKUP(O$1,main!$A$3:$H$102,8,FALSE),main!$K$19:$O$22,MATCH(VLOOKUP($A77,main!$A$3:$H$102,7,FALSE),main!$K$18:$O$18,0),0))),0)</f>
        <v>0</v>
      </c>
      <c r="P77">
        <f>IF((gamma!P77),IF(VLOOKUP(P$1,main!$A$3:$H$102,7,FALSE)=VLOOKUP($A77,main!$A$3:$H$102,8,FALSE),VLOOKUP(P$1,main!$A$3:$H$102,4,FALSE),VLOOKUP(P$1,main!$A$3:$H$102,4,FALSE)+VLOOKUP($A77,main!$A$3:$H$102,4,FALSE)+(VLOOKUP(VLOOKUP(P$1,main!$A$3:$H$102,8,FALSE),main!$K$19:$O$22,MATCH(VLOOKUP($A77,main!$A$3:$H$102,7,FALSE),main!$K$18:$O$18,0),0))),0)</f>
        <v>0</v>
      </c>
      <c r="Q77">
        <f>IF((gamma!Q77),IF(VLOOKUP(Q$1,main!$A$3:$H$102,7,FALSE)=VLOOKUP($A77,main!$A$3:$H$102,8,FALSE),VLOOKUP(Q$1,main!$A$3:$H$102,4,FALSE),VLOOKUP(Q$1,main!$A$3:$H$102,4,FALSE)+VLOOKUP($A77,main!$A$3:$H$102,4,FALSE)+(VLOOKUP(VLOOKUP(Q$1,main!$A$3:$H$102,8,FALSE),main!$K$19:$O$22,MATCH(VLOOKUP($A77,main!$A$3:$H$102,7,FALSE),main!$K$18:$O$18,0),0))),0)</f>
        <v>0</v>
      </c>
      <c r="R77">
        <f>IF((gamma!R77),IF(VLOOKUP(R$1,main!$A$3:$H$102,7,FALSE)=VLOOKUP($A77,main!$A$3:$H$102,8,FALSE),VLOOKUP(R$1,main!$A$3:$H$102,4,FALSE),VLOOKUP(R$1,main!$A$3:$H$102,4,FALSE)+VLOOKUP($A77,main!$A$3:$H$102,4,FALSE)+(VLOOKUP(VLOOKUP(R$1,main!$A$3:$H$102,8,FALSE),main!$K$19:$O$22,MATCH(VLOOKUP($A77,main!$A$3:$H$102,7,FALSE),main!$K$18:$O$18,0),0))),0)</f>
        <v>0</v>
      </c>
      <c r="S77">
        <f>IF((gamma!S77),IF(VLOOKUP(S$1,main!$A$3:$H$102,7,FALSE)=VLOOKUP($A77,main!$A$3:$H$102,8,FALSE),VLOOKUP(S$1,main!$A$3:$H$102,4,FALSE),VLOOKUP(S$1,main!$A$3:$H$102,4,FALSE)+VLOOKUP($A77,main!$A$3:$H$102,4,FALSE)+(VLOOKUP(VLOOKUP(S$1,main!$A$3:$H$102,8,FALSE),main!$K$19:$O$22,MATCH(VLOOKUP($A77,main!$A$3:$H$102,7,FALSE),main!$K$18:$O$18,0),0))),0)</f>
        <v>0</v>
      </c>
      <c r="T77">
        <f>IF((gamma!T77),IF(VLOOKUP(T$1,main!$A$3:$H$102,7,FALSE)=VLOOKUP($A77,main!$A$3:$H$102,8,FALSE),VLOOKUP(T$1,main!$A$3:$H$102,4,FALSE),VLOOKUP(T$1,main!$A$3:$H$102,4,FALSE)+VLOOKUP($A77,main!$A$3:$H$102,4,FALSE)+(VLOOKUP(VLOOKUP(T$1,main!$A$3:$H$102,8,FALSE),main!$K$19:$O$22,MATCH(VLOOKUP($A77,main!$A$3:$H$102,7,FALSE),main!$K$18:$O$18,0),0))),0)</f>
        <v>0</v>
      </c>
      <c r="U77">
        <f>IF((gamma!U77),IF(VLOOKUP(U$1,main!$A$3:$H$102,7,FALSE)=VLOOKUP($A77,main!$A$3:$H$102,8,FALSE),VLOOKUP(U$1,main!$A$3:$H$102,4,FALSE),VLOOKUP(U$1,main!$A$3:$H$102,4,FALSE)+VLOOKUP($A77,main!$A$3:$H$102,4,FALSE)+(VLOOKUP(VLOOKUP(U$1,main!$A$3:$H$102,8,FALSE),main!$K$19:$O$22,MATCH(VLOOKUP($A77,main!$A$3:$H$102,7,FALSE),main!$K$18:$O$18,0),0))),0)</f>
        <v>260</v>
      </c>
      <c r="V77">
        <f>IF((gamma!V77),IF(VLOOKUP(V$1,main!$A$3:$H$102,7,FALSE)=VLOOKUP($A77,main!$A$3:$H$102,8,FALSE),VLOOKUP(V$1,main!$A$3:$H$102,4,FALSE),VLOOKUP(V$1,main!$A$3:$H$102,4,FALSE)+VLOOKUP($A77,main!$A$3:$H$102,4,FALSE)+(VLOOKUP(VLOOKUP(V$1,main!$A$3:$H$102,8,FALSE),main!$K$19:$O$22,MATCH(VLOOKUP($A77,main!$A$3:$H$102,7,FALSE),main!$K$18:$O$18,0),0))),0)</f>
        <v>260</v>
      </c>
      <c r="W77">
        <f>IF((gamma!W77),IF(VLOOKUP(W$1,main!$A$3:$H$102,7,FALSE)=VLOOKUP($A77,main!$A$3:$H$102,8,FALSE),VLOOKUP(W$1,main!$A$3:$H$102,4,FALSE),VLOOKUP(W$1,main!$A$3:$H$102,4,FALSE)+VLOOKUP($A77,main!$A$3:$H$102,4,FALSE)+(VLOOKUP(VLOOKUP(W$1,main!$A$3:$H$102,8,FALSE),main!$K$19:$O$22,MATCH(VLOOKUP($A77,main!$A$3:$H$102,7,FALSE),main!$K$18:$O$18,0),0))),0)</f>
        <v>0</v>
      </c>
      <c r="X77">
        <f>IF((gamma!X77),IF(VLOOKUP(X$1,main!$A$3:$H$102,7,FALSE)=VLOOKUP($A77,main!$A$3:$H$102,8,FALSE),VLOOKUP(X$1,main!$A$3:$H$102,4,FALSE),VLOOKUP(X$1,main!$A$3:$H$102,4,FALSE)+VLOOKUP($A77,main!$A$3:$H$102,4,FALSE)+(VLOOKUP(VLOOKUP(X$1,main!$A$3:$H$102,8,FALSE),main!$K$19:$O$22,MATCH(VLOOKUP($A77,main!$A$3:$H$102,7,FALSE),main!$K$18:$O$18,0),0))),0)</f>
        <v>0</v>
      </c>
      <c r="Y77">
        <f>IF((gamma!Y77),IF(VLOOKUP(Y$1,main!$A$3:$H$102,7,FALSE)=VLOOKUP($A77,main!$A$3:$H$102,8,FALSE),VLOOKUP(Y$1,main!$A$3:$H$102,4,FALSE),VLOOKUP(Y$1,main!$A$3:$H$102,4,FALSE)+VLOOKUP($A77,main!$A$3:$H$102,4,FALSE)+(VLOOKUP(VLOOKUP(Y$1,main!$A$3:$H$102,8,FALSE),main!$K$19:$O$22,MATCH(VLOOKUP($A77,main!$A$3:$H$102,7,FALSE),main!$K$18:$O$18,0),0))),0)</f>
        <v>0</v>
      </c>
      <c r="Z77">
        <f>IF((gamma!Z77),IF(VLOOKUP(Z$1,main!$A$3:$H$102,7,FALSE)=VLOOKUP($A77,main!$A$3:$H$102,8,FALSE),VLOOKUP(Z$1,main!$A$3:$H$102,4,FALSE),VLOOKUP(Z$1,main!$A$3:$H$102,4,FALSE)+VLOOKUP($A77,main!$A$3:$H$102,4,FALSE)+(VLOOKUP(VLOOKUP(Z$1,main!$A$3:$H$102,8,FALSE),main!$K$19:$O$22,MATCH(VLOOKUP($A77,main!$A$3:$H$102,7,FALSE),main!$K$18:$O$18,0),0))),0)</f>
        <v>0</v>
      </c>
      <c r="AA77">
        <f>IF((gamma!AA77),IF(VLOOKUP(AA$1,main!$A$3:$H$102,7,FALSE)=VLOOKUP($A77,main!$A$3:$H$102,8,FALSE),VLOOKUP(AA$1,main!$A$3:$H$102,4,FALSE),VLOOKUP(AA$1,main!$A$3:$H$102,4,FALSE)+VLOOKUP($A77,main!$A$3:$H$102,4,FALSE)+(VLOOKUP(VLOOKUP(AA$1,main!$A$3:$H$102,8,FALSE),main!$K$19:$O$22,MATCH(VLOOKUP($A77,main!$A$3:$H$102,7,FALSE),main!$K$18:$O$18,0),0))),0)</f>
        <v>293</v>
      </c>
      <c r="AB77">
        <f>IF((gamma!AB77),IF(VLOOKUP(AB$1,main!$A$3:$H$102,7,FALSE)=VLOOKUP($A77,main!$A$3:$H$102,8,FALSE),VLOOKUP(AB$1,main!$A$3:$H$102,4,FALSE),VLOOKUP(AB$1,main!$A$3:$H$102,4,FALSE)+VLOOKUP($A77,main!$A$3:$H$102,4,FALSE)+(VLOOKUP(VLOOKUP(AB$1,main!$A$3:$H$102,8,FALSE),main!$K$19:$O$22,MATCH(VLOOKUP($A77,main!$A$3:$H$102,7,FALSE),main!$K$18:$O$18,0),0))),0)</f>
        <v>0</v>
      </c>
      <c r="AC77">
        <f>IF((gamma!AC77),IF(VLOOKUP(AC$1,main!$A$3:$H$102,7,FALSE)=VLOOKUP($A77,main!$A$3:$H$102,8,FALSE),VLOOKUP(AC$1,main!$A$3:$H$102,4,FALSE),VLOOKUP(AC$1,main!$A$3:$H$102,4,FALSE)+VLOOKUP($A77,main!$A$3:$H$102,4,FALSE)+(VLOOKUP(VLOOKUP(AC$1,main!$A$3:$H$102,8,FALSE),main!$K$19:$O$22,MATCH(VLOOKUP($A77,main!$A$3:$H$102,7,FALSE),main!$K$18:$O$18,0),0))),0)</f>
        <v>0</v>
      </c>
      <c r="AD77">
        <f>IF((gamma!AD77),IF(VLOOKUP(AD$1,main!$A$3:$H$102,7,FALSE)=VLOOKUP($A77,main!$A$3:$H$102,8,FALSE),VLOOKUP(AD$1,main!$A$3:$H$102,4,FALSE),VLOOKUP(AD$1,main!$A$3:$H$102,4,FALSE)+VLOOKUP($A77,main!$A$3:$H$102,4,FALSE)+(VLOOKUP(VLOOKUP(AD$1,main!$A$3:$H$102,8,FALSE),main!$K$19:$O$22,MATCH(VLOOKUP($A77,main!$A$3:$H$102,7,FALSE),main!$K$18:$O$18,0),0))),0)</f>
        <v>0</v>
      </c>
      <c r="AE77">
        <f>IF((gamma!AE77),IF(VLOOKUP(AE$1,main!$A$3:$H$102,7,FALSE)=VLOOKUP($A77,main!$A$3:$H$102,8,FALSE),VLOOKUP(AE$1,main!$A$3:$H$102,4,FALSE),VLOOKUP(AE$1,main!$A$3:$H$102,4,FALSE)+VLOOKUP($A77,main!$A$3:$H$102,4,FALSE)+(VLOOKUP(VLOOKUP(AE$1,main!$A$3:$H$102,8,FALSE),main!$K$19:$O$22,MATCH(VLOOKUP($A77,main!$A$3:$H$102,7,FALSE),main!$K$18:$O$18,0),0))),0)</f>
        <v>0</v>
      </c>
      <c r="AF77">
        <f>IF((gamma!AF77),IF(VLOOKUP(AF$1,main!$A$3:$H$102,7,FALSE)=VLOOKUP($A77,main!$A$3:$H$102,8,FALSE),VLOOKUP(AF$1,main!$A$3:$H$102,4,FALSE),VLOOKUP(AF$1,main!$A$3:$H$102,4,FALSE)+VLOOKUP($A77,main!$A$3:$H$102,4,FALSE)+(VLOOKUP(VLOOKUP(AF$1,main!$A$3:$H$102,8,FALSE),main!$K$19:$O$22,MATCH(VLOOKUP($A77,main!$A$3:$H$102,7,FALSE),main!$K$18:$O$18,0),0))),0)</f>
        <v>253</v>
      </c>
      <c r="AG77">
        <f>IF((gamma!AG77),IF(VLOOKUP(AG$1,main!$A$3:$H$102,7,FALSE)=VLOOKUP($A77,main!$A$3:$H$102,8,FALSE),VLOOKUP(AG$1,main!$A$3:$H$102,4,FALSE),VLOOKUP(AG$1,main!$A$3:$H$102,4,FALSE)+VLOOKUP($A77,main!$A$3:$H$102,4,FALSE)+(VLOOKUP(VLOOKUP(AG$1,main!$A$3:$H$102,8,FALSE),main!$K$19:$O$22,MATCH(VLOOKUP($A77,main!$A$3:$H$102,7,FALSE),main!$K$18:$O$18,0),0))),0)</f>
        <v>0</v>
      </c>
      <c r="AH77">
        <f>IF((gamma!AH77),IF(VLOOKUP(AH$1,main!$A$3:$H$102,7,FALSE)=VLOOKUP($A77,main!$A$3:$H$102,8,FALSE),VLOOKUP(AH$1,main!$A$3:$H$102,4,FALSE),VLOOKUP(AH$1,main!$A$3:$H$102,4,FALSE)+VLOOKUP($A77,main!$A$3:$H$102,4,FALSE)+(VLOOKUP(VLOOKUP(AH$1,main!$A$3:$H$102,8,FALSE),main!$K$19:$O$22,MATCH(VLOOKUP($A77,main!$A$3:$H$102,7,FALSE),main!$K$18:$O$18,0),0))),0)</f>
        <v>0</v>
      </c>
      <c r="AI77">
        <f>IF((gamma!AI77),IF(VLOOKUP(AI$1,main!$A$3:$H$102,7,FALSE)=VLOOKUP($A77,main!$A$3:$H$102,8,FALSE),VLOOKUP(AI$1,main!$A$3:$H$102,4,FALSE),VLOOKUP(AI$1,main!$A$3:$H$102,4,FALSE)+VLOOKUP($A77,main!$A$3:$H$102,4,FALSE)+(VLOOKUP(VLOOKUP(AI$1,main!$A$3:$H$102,8,FALSE),main!$K$19:$O$22,MATCH(VLOOKUP($A77,main!$A$3:$H$102,7,FALSE),main!$K$18:$O$18,0),0))),0)</f>
        <v>0</v>
      </c>
      <c r="AJ77">
        <f>IF((gamma!AJ77),IF(VLOOKUP(AJ$1,main!$A$3:$H$102,7,FALSE)=VLOOKUP($A77,main!$A$3:$H$102,8,FALSE),VLOOKUP(AJ$1,main!$A$3:$H$102,4,FALSE),VLOOKUP(AJ$1,main!$A$3:$H$102,4,FALSE)+VLOOKUP($A77,main!$A$3:$H$102,4,FALSE)+(VLOOKUP(VLOOKUP(AJ$1,main!$A$3:$H$102,8,FALSE),main!$K$19:$O$22,MATCH(VLOOKUP($A77,main!$A$3:$H$102,7,FALSE),main!$K$18:$O$18,0),0))),0)</f>
        <v>0</v>
      </c>
      <c r="AK77">
        <f>IF((gamma!AK77),IF(VLOOKUP(AK$1,main!$A$3:$H$102,7,FALSE)=VLOOKUP($A77,main!$A$3:$H$102,8,FALSE),VLOOKUP(AK$1,main!$A$3:$H$102,4,FALSE),VLOOKUP(AK$1,main!$A$3:$H$102,4,FALSE)+VLOOKUP($A77,main!$A$3:$H$102,4,FALSE)+(VLOOKUP(VLOOKUP(AK$1,main!$A$3:$H$102,8,FALSE),main!$K$19:$O$22,MATCH(VLOOKUP($A77,main!$A$3:$H$102,7,FALSE),main!$K$18:$O$18,0),0))),0)</f>
        <v>0</v>
      </c>
      <c r="AL77">
        <f>IF((gamma!AL77),IF(VLOOKUP(AL$1,main!$A$3:$H$102,7,FALSE)=VLOOKUP($A77,main!$A$3:$H$102,8,FALSE),VLOOKUP(AL$1,main!$A$3:$H$102,4,FALSE),VLOOKUP(AL$1,main!$A$3:$H$102,4,FALSE)+VLOOKUP($A77,main!$A$3:$H$102,4,FALSE)+(VLOOKUP(VLOOKUP(AL$1,main!$A$3:$H$102,8,FALSE),main!$K$19:$O$22,MATCH(VLOOKUP($A77,main!$A$3:$H$102,7,FALSE),main!$K$18:$O$18,0),0))),0)</f>
        <v>0</v>
      </c>
      <c r="AM77">
        <f>IF((gamma!AM77),IF(VLOOKUP(AM$1,main!$A$3:$H$102,7,FALSE)=VLOOKUP($A77,main!$A$3:$H$102,8,FALSE),VLOOKUP(AM$1,main!$A$3:$H$102,4,FALSE),VLOOKUP(AM$1,main!$A$3:$H$102,4,FALSE)+VLOOKUP($A77,main!$A$3:$H$102,4,FALSE)+(VLOOKUP(VLOOKUP(AM$1,main!$A$3:$H$102,8,FALSE),main!$K$19:$O$22,MATCH(VLOOKUP($A77,main!$A$3:$H$102,7,FALSE),main!$K$18:$O$18,0),0))),0)</f>
        <v>285</v>
      </c>
      <c r="AN77">
        <f>IF((gamma!AN77),IF(VLOOKUP(AN$1,main!$A$3:$H$102,7,FALSE)=VLOOKUP($A77,main!$A$3:$H$102,8,FALSE),VLOOKUP(AN$1,main!$A$3:$H$102,4,FALSE),VLOOKUP(AN$1,main!$A$3:$H$102,4,FALSE)+VLOOKUP($A77,main!$A$3:$H$102,4,FALSE)+(VLOOKUP(VLOOKUP(AN$1,main!$A$3:$H$102,8,FALSE),main!$K$19:$O$22,MATCH(VLOOKUP($A77,main!$A$3:$H$102,7,FALSE),main!$K$18:$O$18,0),0))),0)</f>
        <v>285</v>
      </c>
      <c r="AO77">
        <f>IF((gamma!AO77),IF(VLOOKUP(AO$1,main!$A$3:$H$102,7,FALSE)=VLOOKUP($A77,main!$A$3:$H$102,8,FALSE),VLOOKUP(AO$1,main!$A$3:$H$102,4,FALSE),VLOOKUP(AO$1,main!$A$3:$H$102,4,FALSE)+VLOOKUP($A77,main!$A$3:$H$102,4,FALSE)+(VLOOKUP(VLOOKUP(AO$1,main!$A$3:$H$102,8,FALSE),main!$K$19:$O$22,MATCH(VLOOKUP($A77,main!$A$3:$H$102,7,FALSE),main!$K$18:$O$18,0),0))),0)</f>
        <v>0</v>
      </c>
      <c r="AP77">
        <f>IF((gamma!AP77),IF(VLOOKUP(AP$1,main!$A$3:$H$102,7,FALSE)=VLOOKUP($A77,main!$A$3:$H$102,8,FALSE),VLOOKUP(AP$1,main!$A$3:$H$102,4,FALSE),VLOOKUP(AP$1,main!$A$3:$H$102,4,FALSE)+VLOOKUP($A77,main!$A$3:$H$102,4,FALSE)+(VLOOKUP(VLOOKUP(AP$1,main!$A$3:$H$102,8,FALSE),main!$K$19:$O$22,MATCH(VLOOKUP($A77,main!$A$3:$H$102,7,FALSE),main!$K$18:$O$18,0),0))),0)</f>
        <v>225</v>
      </c>
      <c r="AQ77">
        <f>IF((gamma!AQ77),IF(VLOOKUP(AQ$1,main!$A$3:$H$102,7,FALSE)=VLOOKUP($A77,main!$A$3:$H$102,8,FALSE),VLOOKUP(AQ$1,main!$A$3:$H$102,4,FALSE),VLOOKUP(AQ$1,main!$A$3:$H$102,4,FALSE)+VLOOKUP($A77,main!$A$3:$H$102,4,FALSE)+(VLOOKUP(VLOOKUP(AQ$1,main!$A$3:$H$102,8,FALSE),main!$K$19:$O$22,MATCH(VLOOKUP($A77,main!$A$3:$H$102,7,FALSE),main!$K$18:$O$18,0),0))),0)</f>
        <v>0</v>
      </c>
      <c r="AR77">
        <f>IF((gamma!AR77),IF(VLOOKUP(AR$1,main!$A$3:$H$102,7,FALSE)=VLOOKUP($A77,main!$A$3:$H$102,8,FALSE),VLOOKUP(AR$1,main!$A$3:$H$102,4,FALSE),VLOOKUP(AR$1,main!$A$3:$H$102,4,FALSE)+VLOOKUP($A77,main!$A$3:$H$102,4,FALSE)+(VLOOKUP(VLOOKUP(AR$1,main!$A$3:$H$102,8,FALSE),main!$K$19:$O$22,MATCH(VLOOKUP($A77,main!$A$3:$H$102,7,FALSE),main!$K$18:$O$18,0),0))),0)</f>
        <v>0</v>
      </c>
      <c r="AS77">
        <f>IF((gamma!AS77),IF(VLOOKUP(AS$1,main!$A$3:$H$102,7,FALSE)=VLOOKUP($A77,main!$A$3:$H$102,8,FALSE),VLOOKUP(AS$1,main!$A$3:$H$102,4,FALSE),VLOOKUP(AS$1,main!$A$3:$H$102,4,FALSE)+VLOOKUP($A77,main!$A$3:$H$102,4,FALSE)+(VLOOKUP(VLOOKUP(AS$1,main!$A$3:$H$102,8,FALSE),main!$K$19:$O$22,MATCH(VLOOKUP($A77,main!$A$3:$H$102,7,FALSE),main!$K$18:$O$18,0),0))),0)</f>
        <v>0</v>
      </c>
      <c r="AT77">
        <f>IF((gamma!AT77),IF(VLOOKUP(AT$1,main!$A$3:$H$102,7,FALSE)=VLOOKUP($A77,main!$A$3:$H$102,8,FALSE),VLOOKUP(AT$1,main!$A$3:$H$102,4,FALSE),VLOOKUP(AT$1,main!$A$3:$H$102,4,FALSE)+VLOOKUP($A77,main!$A$3:$H$102,4,FALSE)+(VLOOKUP(VLOOKUP(AT$1,main!$A$3:$H$102,8,FALSE),main!$K$19:$O$22,MATCH(VLOOKUP($A77,main!$A$3:$H$102,7,FALSE),main!$K$18:$O$18,0),0))),0)</f>
        <v>0</v>
      </c>
      <c r="AU77">
        <f>IF((gamma!AU77),IF(VLOOKUP(AU$1,main!$A$3:$H$102,7,FALSE)=VLOOKUP($A77,main!$A$3:$H$102,8,FALSE),VLOOKUP(AU$1,main!$A$3:$H$102,4,FALSE),VLOOKUP(AU$1,main!$A$3:$H$102,4,FALSE)+VLOOKUP($A77,main!$A$3:$H$102,4,FALSE)+(VLOOKUP(VLOOKUP(AU$1,main!$A$3:$H$102,8,FALSE),main!$K$19:$O$22,MATCH(VLOOKUP($A77,main!$A$3:$H$102,7,FALSE),main!$K$18:$O$18,0),0))),0)</f>
        <v>0</v>
      </c>
      <c r="AV77">
        <f>IF((gamma!AV77),IF(VLOOKUP(AV$1,main!$A$3:$H$102,7,FALSE)=VLOOKUP($A77,main!$A$3:$H$102,8,FALSE),VLOOKUP(AV$1,main!$A$3:$H$102,4,FALSE),VLOOKUP(AV$1,main!$A$3:$H$102,4,FALSE)+VLOOKUP($A77,main!$A$3:$H$102,4,FALSE)+(VLOOKUP(VLOOKUP(AV$1,main!$A$3:$H$102,8,FALSE),main!$K$19:$O$22,MATCH(VLOOKUP($A77,main!$A$3:$H$102,7,FALSE),main!$K$18:$O$18,0),0))),0)</f>
        <v>0</v>
      </c>
      <c r="AW77">
        <f>IF((gamma!AW77),IF(VLOOKUP(AW$1,main!$A$3:$H$102,7,FALSE)=VLOOKUP($A77,main!$A$3:$H$102,8,FALSE),VLOOKUP(AW$1,main!$A$3:$H$102,4,FALSE),VLOOKUP(AW$1,main!$A$3:$H$102,4,FALSE)+VLOOKUP($A77,main!$A$3:$H$102,4,FALSE)+(VLOOKUP(VLOOKUP(AW$1,main!$A$3:$H$102,8,FALSE),main!$K$19:$O$22,MATCH(VLOOKUP($A77,main!$A$3:$H$102,7,FALSE),main!$K$18:$O$18,0),0))),0)</f>
        <v>0</v>
      </c>
      <c r="AX77">
        <f>IF((gamma!AX77),IF(VLOOKUP(AX$1,main!$A$3:$H$102,7,FALSE)=VLOOKUP($A77,main!$A$3:$H$102,8,FALSE),VLOOKUP(AX$1,main!$A$3:$H$102,4,FALSE),VLOOKUP(AX$1,main!$A$3:$H$102,4,FALSE)+VLOOKUP($A77,main!$A$3:$H$102,4,FALSE)+(VLOOKUP(VLOOKUP(AX$1,main!$A$3:$H$102,8,FALSE),main!$K$19:$O$22,MATCH(VLOOKUP($A77,main!$A$3:$H$102,7,FALSE),main!$K$18:$O$18,0),0))),0)</f>
        <v>0</v>
      </c>
      <c r="AY77">
        <f>IF((gamma!AY77),IF(VLOOKUP(AY$1,main!$A$3:$H$102,7,FALSE)=VLOOKUP($A77,main!$A$3:$H$102,8,FALSE),VLOOKUP(AY$1,main!$A$3:$H$102,4,FALSE),VLOOKUP(AY$1,main!$A$3:$H$102,4,FALSE)+VLOOKUP($A77,main!$A$3:$H$102,4,FALSE)+(VLOOKUP(VLOOKUP(AY$1,main!$A$3:$H$102,8,FALSE),main!$K$19:$O$22,MATCH(VLOOKUP($A77,main!$A$3:$H$102,7,FALSE),main!$K$18:$O$18,0),0))),0)</f>
        <v>0</v>
      </c>
      <c r="AZ77">
        <f>IF((gamma!AZ77),IF(VLOOKUP(AZ$1,main!$A$3:$H$102,7,FALSE)=VLOOKUP($A77,main!$A$3:$H$102,8,FALSE),VLOOKUP(AZ$1,main!$A$3:$H$102,4,FALSE),VLOOKUP(AZ$1,main!$A$3:$H$102,4,FALSE)+VLOOKUP($A77,main!$A$3:$H$102,4,FALSE)+(VLOOKUP(VLOOKUP(AZ$1,main!$A$3:$H$102,8,FALSE),main!$K$19:$O$22,MATCH(VLOOKUP($A77,main!$A$3:$H$102,7,FALSE),main!$K$18:$O$18,0),0))),0)</f>
        <v>0</v>
      </c>
      <c r="BA77">
        <f>IF((gamma!BA77),IF(VLOOKUP(BA$1,main!$A$3:$H$102,7,FALSE)=VLOOKUP($A77,main!$A$3:$H$102,8,FALSE),VLOOKUP(BA$1,main!$A$3:$H$102,4,FALSE),VLOOKUP(BA$1,main!$A$3:$H$102,4,FALSE)+VLOOKUP($A77,main!$A$3:$H$102,4,FALSE)+(VLOOKUP(VLOOKUP(BA$1,main!$A$3:$H$102,8,FALSE),main!$K$19:$O$22,MATCH(VLOOKUP($A77,main!$A$3:$H$102,7,FALSE),main!$K$18:$O$18,0),0))),0)</f>
        <v>0</v>
      </c>
      <c r="BB77">
        <f>IF((gamma!BB77),IF(VLOOKUP(BB$1,main!$A$3:$H$102,7,FALSE)=VLOOKUP($A77,main!$A$3:$H$102,8,FALSE),VLOOKUP(BB$1,main!$A$3:$H$102,4,FALSE),VLOOKUP(BB$1,main!$A$3:$H$102,4,FALSE)+VLOOKUP($A77,main!$A$3:$H$102,4,FALSE)+(VLOOKUP(VLOOKUP(BB$1,main!$A$3:$H$102,8,FALSE),main!$K$19:$O$22,MATCH(VLOOKUP($A77,main!$A$3:$H$102,7,FALSE),main!$K$18:$O$18,0),0))),0)</f>
        <v>0</v>
      </c>
      <c r="BC77">
        <f>IF((gamma!BC77),IF(VLOOKUP(BC$1,main!$A$3:$H$102,7,FALSE)=VLOOKUP($A77,main!$A$3:$H$102,8,FALSE),VLOOKUP(BC$1,main!$A$3:$H$102,4,FALSE),VLOOKUP(BC$1,main!$A$3:$H$102,4,FALSE)+VLOOKUP($A77,main!$A$3:$H$102,4,FALSE)+(VLOOKUP(VLOOKUP(BC$1,main!$A$3:$H$102,8,FALSE),main!$K$19:$O$22,MATCH(VLOOKUP($A77,main!$A$3:$H$102,7,FALSE),main!$K$18:$O$18,0),0))),0)</f>
        <v>0</v>
      </c>
      <c r="BD77">
        <f>IF((gamma!BD77),IF(VLOOKUP(BD$1,main!$A$3:$H$102,7,FALSE)=VLOOKUP($A77,main!$A$3:$H$102,8,FALSE),VLOOKUP(BD$1,main!$A$3:$H$102,4,FALSE),VLOOKUP(BD$1,main!$A$3:$H$102,4,FALSE)+VLOOKUP($A77,main!$A$3:$H$102,4,FALSE)+(VLOOKUP(VLOOKUP(BD$1,main!$A$3:$H$102,8,FALSE),main!$K$19:$O$22,MATCH(VLOOKUP($A77,main!$A$3:$H$102,7,FALSE),main!$K$18:$O$18,0),0))),0)</f>
        <v>0</v>
      </c>
      <c r="BE77">
        <f>IF((gamma!BE77),IF(VLOOKUP(BE$1,main!$A$3:$H$102,7,FALSE)=VLOOKUP($A77,main!$A$3:$H$102,8,FALSE),VLOOKUP(BE$1,main!$A$3:$H$102,4,FALSE),VLOOKUP(BE$1,main!$A$3:$H$102,4,FALSE)+VLOOKUP($A77,main!$A$3:$H$102,4,FALSE)+(VLOOKUP(VLOOKUP(BE$1,main!$A$3:$H$102,8,FALSE),main!$K$19:$O$22,MATCH(VLOOKUP($A77,main!$A$3:$H$102,7,FALSE),main!$K$18:$O$18,0),0))),0)</f>
        <v>290</v>
      </c>
      <c r="BF77">
        <f>IF((gamma!BF77),IF(VLOOKUP(BF$1,main!$A$3:$H$102,7,FALSE)=VLOOKUP($A77,main!$A$3:$H$102,8,FALSE),VLOOKUP(BF$1,main!$A$3:$H$102,4,FALSE),VLOOKUP(BF$1,main!$A$3:$H$102,4,FALSE)+VLOOKUP($A77,main!$A$3:$H$102,4,FALSE)+(VLOOKUP(VLOOKUP(BF$1,main!$A$3:$H$102,8,FALSE),main!$K$19:$O$22,MATCH(VLOOKUP($A77,main!$A$3:$H$102,7,FALSE),main!$K$18:$O$18,0),0))),0)</f>
        <v>0</v>
      </c>
      <c r="BG77">
        <f>IF((gamma!BG77),IF(VLOOKUP(BG$1,main!$A$3:$H$102,7,FALSE)=VLOOKUP($A77,main!$A$3:$H$102,8,FALSE),VLOOKUP(BG$1,main!$A$3:$H$102,4,FALSE),VLOOKUP(BG$1,main!$A$3:$H$102,4,FALSE)+VLOOKUP($A77,main!$A$3:$H$102,4,FALSE)+(VLOOKUP(VLOOKUP(BG$1,main!$A$3:$H$102,8,FALSE),main!$K$19:$O$22,MATCH(VLOOKUP($A77,main!$A$3:$H$102,7,FALSE),main!$K$18:$O$18,0),0))),0)</f>
        <v>0</v>
      </c>
      <c r="BH77">
        <f>IF((gamma!BH77),IF(VLOOKUP(BH$1,main!$A$3:$H$102,7,FALSE)=VLOOKUP($A77,main!$A$3:$H$102,8,FALSE),VLOOKUP(BH$1,main!$A$3:$H$102,4,FALSE),VLOOKUP(BH$1,main!$A$3:$H$102,4,FALSE)+VLOOKUP($A77,main!$A$3:$H$102,4,FALSE)+(VLOOKUP(VLOOKUP(BH$1,main!$A$3:$H$102,8,FALSE),main!$K$19:$O$22,MATCH(VLOOKUP($A77,main!$A$3:$H$102,7,FALSE),main!$K$18:$O$18,0),0))),0)</f>
        <v>0</v>
      </c>
      <c r="BI77">
        <f>IF((gamma!BI77),IF(VLOOKUP(BI$1,main!$A$3:$H$102,7,FALSE)=VLOOKUP($A77,main!$A$3:$H$102,8,FALSE),VLOOKUP(BI$1,main!$A$3:$H$102,4,FALSE),VLOOKUP(BI$1,main!$A$3:$H$102,4,FALSE)+VLOOKUP($A77,main!$A$3:$H$102,4,FALSE)+(VLOOKUP(VLOOKUP(BI$1,main!$A$3:$H$102,8,FALSE),main!$K$19:$O$22,MATCH(VLOOKUP($A77,main!$A$3:$H$102,7,FALSE),main!$K$18:$O$18,0),0))),0)</f>
        <v>210</v>
      </c>
      <c r="BJ77">
        <f>IF((gamma!BJ77),IF(VLOOKUP(BJ$1,main!$A$3:$H$102,7,FALSE)=VLOOKUP($A77,main!$A$3:$H$102,8,FALSE),VLOOKUP(BJ$1,main!$A$3:$H$102,4,FALSE),VLOOKUP(BJ$1,main!$A$3:$H$102,4,FALSE)+VLOOKUP($A77,main!$A$3:$H$102,4,FALSE)+(VLOOKUP(VLOOKUP(BJ$1,main!$A$3:$H$102,8,FALSE),main!$K$19:$O$22,MATCH(VLOOKUP($A77,main!$A$3:$H$102,7,FALSE),main!$K$18:$O$18,0),0))),0)</f>
        <v>0</v>
      </c>
      <c r="BK77">
        <f>IF((gamma!BK77),IF(VLOOKUP(BK$1,main!$A$3:$H$102,7,FALSE)=VLOOKUP($A77,main!$A$3:$H$102,8,FALSE),VLOOKUP(BK$1,main!$A$3:$H$102,4,FALSE),VLOOKUP(BK$1,main!$A$3:$H$102,4,FALSE)+VLOOKUP($A77,main!$A$3:$H$102,4,FALSE)+(VLOOKUP(VLOOKUP(BK$1,main!$A$3:$H$102,8,FALSE),main!$K$19:$O$22,MATCH(VLOOKUP($A77,main!$A$3:$H$102,7,FALSE),main!$K$18:$O$18,0),0))),0)</f>
        <v>0</v>
      </c>
      <c r="BL77">
        <f>IF((gamma!BL77),IF(VLOOKUP(BL$1,main!$A$3:$H$102,7,FALSE)=VLOOKUP($A77,main!$A$3:$H$102,8,FALSE),VLOOKUP(BL$1,main!$A$3:$H$102,4,FALSE),VLOOKUP(BL$1,main!$A$3:$H$102,4,FALSE)+VLOOKUP($A77,main!$A$3:$H$102,4,FALSE)+(VLOOKUP(VLOOKUP(BL$1,main!$A$3:$H$102,8,FALSE),main!$K$19:$O$22,MATCH(VLOOKUP($A77,main!$A$3:$H$102,7,FALSE),main!$K$18:$O$18,0),0))),0)</f>
        <v>0</v>
      </c>
      <c r="BM77">
        <f>IF((gamma!BM77),IF(VLOOKUP(BM$1,main!$A$3:$H$102,7,FALSE)=VLOOKUP($A77,main!$A$3:$H$102,8,FALSE),VLOOKUP(BM$1,main!$A$3:$H$102,4,FALSE),VLOOKUP(BM$1,main!$A$3:$H$102,4,FALSE)+VLOOKUP($A77,main!$A$3:$H$102,4,FALSE)+(VLOOKUP(VLOOKUP(BM$1,main!$A$3:$H$102,8,FALSE),main!$K$19:$O$22,MATCH(VLOOKUP($A77,main!$A$3:$H$102,7,FALSE),main!$K$18:$O$18,0),0))),0)</f>
        <v>0</v>
      </c>
      <c r="BN77">
        <f>IF((gamma!BN77),IF(VLOOKUP(BN$1,main!$A$3:$H$102,7,FALSE)=VLOOKUP($A77,main!$A$3:$H$102,8,FALSE),VLOOKUP(BN$1,main!$A$3:$H$102,4,FALSE),VLOOKUP(BN$1,main!$A$3:$H$102,4,FALSE)+VLOOKUP($A77,main!$A$3:$H$102,4,FALSE)+(VLOOKUP(VLOOKUP(BN$1,main!$A$3:$H$102,8,FALSE),main!$K$19:$O$22,MATCH(VLOOKUP($A77,main!$A$3:$H$102,7,FALSE),main!$K$18:$O$18,0),0))),0)</f>
        <v>0</v>
      </c>
      <c r="BO77">
        <f>IF((gamma!BO77),IF(VLOOKUP(BO$1,main!$A$3:$H$102,7,FALSE)=VLOOKUP($A77,main!$A$3:$H$102,8,FALSE),VLOOKUP(BO$1,main!$A$3:$H$102,4,FALSE),VLOOKUP(BO$1,main!$A$3:$H$102,4,FALSE)+VLOOKUP($A77,main!$A$3:$H$102,4,FALSE)+(VLOOKUP(VLOOKUP(BO$1,main!$A$3:$H$102,8,FALSE),main!$K$19:$O$22,MATCH(VLOOKUP($A77,main!$A$3:$H$102,7,FALSE),main!$K$18:$O$18,0),0))),0)</f>
        <v>0</v>
      </c>
      <c r="BP77">
        <f>IF((gamma!BP77),IF(VLOOKUP(BP$1,main!$A$3:$H$102,7,FALSE)=VLOOKUP($A77,main!$A$3:$H$102,8,FALSE),VLOOKUP(BP$1,main!$A$3:$H$102,4,FALSE),VLOOKUP(BP$1,main!$A$3:$H$102,4,FALSE)+VLOOKUP($A77,main!$A$3:$H$102,4,FALSE)+(VLOOKUP(VLOOKUP(BP$1,main!$A$3:$H$102,8,FALSE),main!$K$19:$O$22,MATCH(VLOOKUP($A77,main!$A$3:$H$102,7,FALSE),main!$K$18:$O$18,0),0))),0)</f>
        <v>0</v>
      </c>
      <c r="BQ77">
        <f>IF((gamma!BQ77),IF(VLOOKUP(BQ$1,main!$A$3:$H$102,7,FALSE)=VLOOKUP($A77,main!$A$3:$H$102,8,FALSE),VLOOKUP(BQ$1,main!$A$3:$H$102,4,FALSE),VLOOKUP(BQ$1,main!$A$3:$H$102,4,FALSE)+VLOOKUP($A77,main!$A$3:$H$102,4,FALSE)+(VLOOKUP(VLOOKUP(BQ$1,main!$A$3:$H$102,8,FALSE),main!$K$19:$O$22,MATCH(VLOOKUP($A77,main!$A$3:$H$102,7,FALSE),main!$K$18:$O$18,0),0))),0)</f>
        <v>0</v>
      </c>
      <c r="BR77">
        <f>IF((gamma!BR77),IF(VLOOKUP(BR$1,main!$A$3:$H$102,7,FALSE)=VLOOKUP($A77,main!$A$3:$H$102,8,FALSE),VLOOKUP(BR$1,main!$A$3:$H$102,4,FALSE),VLOOKUP(BR$1,main!$A$3:$H$102,4,FALSE)+VLOOKUP($A77,main!$A$3:$H$102,4,FALSE)+(VLOOKUP(VLOOKUP(BR$1,main!$A$3:$H$102,8,FALSE),main!$K$19:$O$22,MATCH(VLOOKUP($A77,main!$A$3:$H$102,7,FALSE),main!$K$18:$O$18,0),0))),0)</f>
        <v>0</v>
      </c>
      <c r="BS77">
        <f>IF((gamma!BS77),IF(VLOOKUP(BS$1,main!$A$3:$H$102,7,FALSE)=VLOOKUP($A77,main!$A$3:$H$102,8,FALSE),VLOOKUP(BS$1,main!$A$3:$H$102,4,FALSE),VLOOKUP(BS$1,main!$A$3:$H$102,4,FALSE)+VLOOKUP($A77,main!$A$3:$H$102,4,FALSE)+(VLOOKUP(VLOOKUP(BS$1,main!$A$3:$H$102,8,FALSE),main!$K$19:$O$22,MATCH(VLOOKUP($A77,main!$A$3:$H$102,7,FALSE),main!$K$18:$O$18,0),0))),0)</f>
        <v>0</v>
      </c>
      <c r="BT77">
        <f>IF((gamma!BT77),IF(VLOOKUP(BT$1,main!$A$3:$H$102,7,FALSE)=VLOOKUP($A77,main!$A$3:$H$102,8,FALSE),VLOOKUP(BT$1,main!$A$3:$H$102,4,FALSE),VLOOKUP(BT$1,main!$A$3:$H$102,4,FALSE)+VLOOKUP($A77,main!$A$3:$H$102,4,FALSE)+(VLOOKUP(VLOOKUP(BT$1,main!$A$3:$H$102,8,FALSE),main!$K$19:$O$22,MATCH(VLOOKUP($A77,main!$A$3:$H$102,7,FALSE),main!$K$18:$O$18,0),0))),0)</f>
        <v>0</v>
      </c>
      <c r="BU77">
        <f>IF((gamma!BU77),IF(VLOOKUP(BU$1,main!$A$3:$H$102,7,FALSE)=VLOOKUP($A77,main!$A$3:$H$102,8,FALSE),VLOOKUP(BU$1,main!$A$3:$H$102,4,FALSE),VLOOKUP(BU$1,main!$A$3:$H$102,4,FALSE)+VLOOKUP($A77,main!$A$3:$H$102,4,FALSE)+(VLOOKUP(VLOOKUP(BU$1,main!$A$3:$H$102,8,FALSE),main!$K$19:$O$22,MATCH(VLOOKUP($A77,main!$A$3:$H$102,7,FALSE),main!$K$18:$O$18,0),0))),0)</f>
        <v>0</v>
      </c>
      <c r="BV77">
        <f>IF((gamma!BV77),IF(VLOOKUP(BV$1,main!$A$3:$H$102,7,FALSE)=VLOOKUP($A77,main!$A$3:$H$102,8,FALSE),VLOOKUP(BV$1,main!$A$3:$H$102,4,FALSE),VLOOKUP(BV$1,main!$A$3:$H$102,4,FALSE)+VLOOKUP($A77,main!$A$3:$H$102,4,FALSE)+(VLOOKUP(VLOOKUP(BV$1,main!$A$3:$H$102,8,FALSE),main!$K$19:$O$22,MATCH(VLOOKUP($A77,main!$A$3:$H$102,7,FALSE),main!$K$18:$O$18,0),0))),0)</f>
        <v>0</v>
      </c>
      <c r="BW77">
        <f>IF((gamma!BW77),IF(VLOOKUP(BW$1,main!$A$3:$H$102,7,FALSE)=VLOOKUP($A77,main!$A$3:$H$102,8,FALSE),VLOOKUP(BW$1,main!$A$3:$H$102,4,FALSE),VLOOKUP(BW$1,main!$A$3:$H$102,4,FALSE)+VLOOKUP($A77,main!$A$3:$H$102,4,FALSE)+(VLOOKUP(VLOOKUP(BW$1,main!$A$3:$H$102,8,FALSE),main!$K$19:$O$22,MATCH(VLOOKUP($A77,main!$A$3:$H$102,7,FALSE),main!$K$18:$O$18,0),0))),0)</f>
        <v>0</v>
      </c>
      <c r="BX77">
        <f>IF((gamma!BX77),IF(VLOOKUP(BX$1,main!$A$3:$H$102,7,FALSE)=VLOOKUP($A77,main!$A$3:$H$102,8,FALSE),VLOOKUP(BX$1,main!$A$3:$H$102,4,FALSE),VLOOKUP(BX$1,main!$A$3:$H$102,4,FALSE)+VLOOKUP($A77,main!$A$3:$H$102,4,FALSE)+(VLOOKUP(VLOOKUP(BX$1,main!$A$3:$H$102,8,FALSE),main!$K$19:$O$22,MATCH(VLOOKUP($A77,main!$A$3:$H$102,7,FALSE),main!$K$18:$O$18,0),0))),0)</f>
        <v>0</v>
      </c>
      <c r="BY77">
        <f>IF((gamma!BY77),IF(VLOOKUP(BY$1,main!$A$3:$H$102,7,FALSE)=VLOOKUP($A77,main!$A$3:$H$102,8,FALSE),VLOOKUP(BY$1,main!$A$3:$H$102,4,FALSE),VLOOKUP(BY$1,main!$A$3:$H$102,4,FALSE)+VLOOKUP($A77,main!$A$3:$H$102,4,FALSE)+(VLOOKUP(VLOOKUP(BY$1,main!$A$3:$H$102,8,FALSE),main!$K$19:$O$22,MATCH(VLOOKUP($A77,main!$A$3:$H$102,7,FALSE),main!$K$18:$O$18,0),0))),0)</f>
        <v>0</v>
      </c>
      <c r="BZ77">
        <f>IF((gamma!BZ77),IF(VLOOKUP(BZ$1,main!$A$3:$H$102,7,FALSE)=VLOOKUP($A77,main!$A$3:$H$102,8,FALSE),VLOOKUP(BZ$1,main!$A$3:$H$102,4,FALSE),VLOOKUP(BZ$1,main!$A$3:$H$102,4,FALSE)+VLOOKUP($A77,main!$A$3:$H$102,4,FALSE)+(VLOOKUP(VLOOKUP(BZ$1,main!$A$3:$H$102,8,FALSE),main!$K$19:$O$22,MATCH(VLOOKUP($A77,main!$A$3:$H$102,7,FALSE),main!$K$18:$O$18,0),0))),0)</f>
        <v>0</v>
      </c>
      <c r="CA77">
        <f>IF((gamma!CA77),IF(VLOOKUP(CA$1,main!$A$3:$H$102,7,FALSE)=VLOOKUP($A77,main!$A$3:$H$102,8,FALSE),VLOOKUP(CA$1,main!$A$3:$H$102,4,FALSE),VLOOKUP(CA$1,main!$A$3:$H$102,4,FALSE)+VLOOKUP($A77,main!$A$3:$H$102,4,FALSE)+(VLOOKUP(VLOOKUP(CA$1,main!$A$3:$H$102,8,FALSE),main!$K$19:$O$22,MATCH(VLOOKUP($A77,main!$A$3:$H$102,7,FALSE),main!$K$18:$O$18,0),0))),0)</f>
        <v>0</v>
      </c>
      <c r="CB77">
        <f>IF((gamma!CB77),IF(VLOOKUP(CB$1,main!$A$3:$H$102,7,FALSE)=VLOOKUP($A77,main!$A$3:$H$102,8,FALSE),VLOOKUP(CB$1,main!$A$3:$H$102,4,FALSE),VLOOKUP(CB$1,main!$A$3:$H$102,4,FALSE)+VLOOKUP($A77,main!$A$3:$H$102,4,FALSE)+(VLOOKUP(VLOOKUP(CB$1,main!$A$3:$H$102,8,FALSE),main!$K$19:$O$22,MATCH(VLOOKUP($A77,main!$A$3:$H$102,7,FALSE),main!$K$18:$O$18,0),0))),0)</f>
        <v>0</v>
      </c>
      <c r="CC77">
        <f>IF((gamma!CC77),IF(VLOOKUP(CC$1,main!$A$3:$H$102,7,FALSE)=VLOOKUP($A77,main!$A$3:$H$102,8,FALSE),VLOOKUP(CC$1,main!$A$3:$H$102,4,FALSE),VLOOKUP(CC$1,main!$A$3:$H$102,4,FALSE)+VLOOKUP($A77,main!$A$3:$H$102,4,FALSE)+(VLOOKUP(VLOOKUP(CC$1,main!$A$3:$H$102,8,FALSE),main!$K$19:$O$22,MATCH(VLOOKUP($A77,main!$A$3:$H$102,7,FALSE),main!$K$18:$O$18,0),0))),0)</f>
        <v>208</v>
      </c>
      <c r="CD77">
        <f>IF((gamma!CD77),IF(VLOOKUP(CD$1,main!$A$3:$H$102,7,FALSE)=VLOOKUP($A77,main!$A$3:$H$102,8,FALSE),VLOOKUP(CD$1,main!$A$3:$H$102,4,FALSE),VLOOKUP(CD$1,main!$A$3:$H$102,4,FALSE)+VLOOKUP($A77,main!$A$3:$H$102,4,FALSE)+(VLOOKUP(VLOOKUP(CD$1,main!$A$3:$H$102,8,FALSE),main!$K$19:$O$22,MATCH(VLOOKUP($A77,main!$A$3:$H$102,7,FALSE),main!$K$18:$O$18,0),0))),0)</f>
        <v>0</v>
      </c>
      <c r="CE77">
        <f>IF((gamma!CE77),IF(VLOOKUP(CE$1,main!$A$3:$H$102,7,FALSE)=VLOOKUP($A77,main!$A$3:$H$102,8,FALSE),VLOOKUP(CE$1,main!$A$3:$H$102,4,FALSE),VLOOKUP(CE$1,main!$A$3:$H$102,4,FALSE)+VLOOKUP($A77,main!$A$3:$H$102,4,FALSE)+(VLOOKUP(VLOOKUP(CE$1,main!$A$3:$H$102,8,FALSE),main!$K$19:$O$22,MATCH(VLOOKUP($A77,main!$A$3:$H$102,7,FALSE),main!$K$18:$O$18,0),0))),0)</f>
        <v>0</v>
      </c>
      <c r="CF77">
        <f>IF((gamma!CF77),IF(VLOOKUP(CF$1,main!$A$3:$H$102,7,FALSE)=VLOOKUP($A77,main!$A$3:$H$102,8,FALSE),VLOOKUP(CF$1,main!$A$3:$H$102,4,FALSE),VLOOKUP(CF$1,main!$A$3:$H$102,4,FALSE)+VLOOKUP($A77,main!$A$3:$H$102,4,FALSE)+(VLOOKUP(VLOOKUP(CF$1,main!$A$3:$H$102,8,FALSE),main!$K$19:$O$22,MATCH(VLOOKUP($A77,main!$A$3:$H$102,7,FALSE),main!$K$18:$O$18,0),0))),0)</f>
        <v>0</v>
      </c>
      <c r="CG77">
        <f>IF((gamma!CG77),IF(VLOOKUP(CG$1,main!$A$3:$H$102,7,FALSE)=VLOOKUP($A77,main!$A$3:$H$102,8,FALSE),VLOOKUP(CG$1,main!$A$3:$H$102,4,FALSE),VLOOKUP(CG$1,main!$A$3:$H$102,4,FALSE)+VLOOKUP($A77,main!$A$3:$H$102,4,FALSE)+(VLOOKUP(VLOOKUP(CG$1,main!$A$3:$H$102,8,FALSE),main!$K$19:$O$22,MATCH(VLOOKUP($A77,main!$A$3:$H$102,7,FALSE),main!$K$18:$O$18,0),0))),0)</f>
        <v>0</v>
      </c>
      <c r="CH77">
        <f>IF((gamma!CH77),IF(VLOOKUP(CH$1,main!$A$3:$H$102,7,FALSE)=VLOOKUP($A77,main!$A$3:$H$102,8,FALSE),VLOOKUP(CH$1,main!$A$3:$H$102,4,FALSE),VLOOKUP(CH$1,main!$A$3:$H$102,4,FALSE)+VLOOKUP($A77,main!$A$3:$H$102,4,FALSE)+(VLOOKUP(VLOOKUP(CH$1,main!$A$3:$H$102,8,FALSE),main!$K$19:$O$22,MATCH(VLOOKUP($A77,main!$A$3:$H$102,7,FALSE),main!$K$18:$O$18,0),0))),0)</f>
        <v>140</v>
      </c>
      <c r="CI77">
        <f>IF((gamma!CI77),IF(VLOOKUP(CI$1,main!$A$3:$H$102,7,FALSE)=VLOOKUP($A77,main!$A$3:$H$102,8,FALSE),VLOOKUP(CI$1,main!$A$3:$H$102,4,FALSE),VLOOKUP(CI$1,main!$A$3:$H$102,4,FALSE)+VLOOKUP($A77,main!$A$3:$H$102,4,FALSE)+(VLOOKUP(VLOOKUP(CI$1,main!$A$3:$H$102,8,FALSE),main!$K$19:$O$22,MATCH(VLOOKUP($A77,main!$A$3:$H$102,7,FALSE),main!$K$18:$O$18,0),0))),0)</f>
        <v>140</v>
      </c>
      <c r="CJ77">
        <f>IF((gamma!CJ77),IF(VLOOKUP(CJ$1,main!$A$3:$H$102,7,FALSE)=VLOOKUP($A77,main!$A$3:$H$102,8,FALSE),VLOOKUP(CJ$1,main!$A$3:$H$102,4,FALSE),VLOOKUP(CJ$1,main!$A$3:$H$102,4,FALSE)+VLOOKUP($A77,main!$A$3:$H$102,4,FALSE)+(VLOOKUP(VLOOKUP(CJ$1,main!$A$3:$H$102,8,FALSE),main!$K$19:$O$22,MATCH(VLOOKUP($A77,main!$A$3:$H$102,7,FALSE),main!$K$18:$O$18,0),0))),0)</f>
        <v>0</v>
      </c>
      <c r="CK77">
        <f>IF((gamma!CK77),IF(VLOOKUP(CK$1,main!$A$3:$H$102,7,FALSE)=VLOOKUP($A77,main!$A$3:$H$102,8,FALSE),VLOOKUP(CK$1,main!$A$3:$H$102,4,FALSE),VLOOKUP(CK$1,main!$A$3:$H$102,4,FALSE)+VLOOKUP($A77,main!$A$3:$H$102,4,FALSE)+(VLOOKUP(VLOOKUP(CK$1,main!$A$3:$H$102,8,FALSE),main!$K$19:$O$22,MATCH(VLOOKUP($A77,main!$A$3:$H$102,7,FALSE),main!$K$18:$O$18,0),0))),0)</f>
        <v>0</v>
      </c>
      <c r="CL77">
        <f>IF((gamma!CL77),IF(VLOOKUP(CL$1,main!$A$3:$H$102,7,FALSE)=VLOOKUP($A77,main!$A$3:$H$102,8,FALSE),VLOOKUP(CL$1,main!$A$3:$H$102,4,FALSE),VLOOKUP(CL$1,main!$A$3:$H$102,4,FALSE)+VLOOKUP($A77,main!$A$3:$H$102,4,FALSE)+(VLOOKUP(VLOOKUP(CL$1,main!$A$3:$H$102,8,FALSE),main!$K$19:$O$22,MATCH(VLOOKUP($A77,main!$A$3:$H$102,7,FALSE),main!$K$18:$O$18,0),0))),0)</f>
        <v>0</v>
      </c>
      <c r="CM77">
        <f>IF((gamma!CM77),IF(VLOOKUP(CM$1,main!$A$3:$H$102,7,FALSE)=VLOOKUP($A77,main!$A$3:$H$102,8,FALSE),VLOOKUP(CM$1,main!$A$3:$H$102,4,FALSE),VLOOKUP(CM$1,main!$A$3:$H$102,4,FALSE)+VLOOKUP($A77,main!$A$3:$H$102,4,FALSE)+(VLOOKUP(VLOOKUP(CM$1,main!$A$3:$H$102,8,FALSE),main!$K$19:$O$22,MATCH(VLOOKUP($A77,main!$A$3:$H$102,7,FALSE),main!$K$18:$O$18,0),0))),0)</f>
        <v>0</v>
      </c>
      <c r="CN77">
        <f>IF((gamma!CN77),IF(VLOOKUP(CN$1,main!$A$3:$H$102,7,FALSE)=VLOOKUP($A77,main!$A$3:$H$102,8,FALSE),VLOOKUP(CN$1,main!$A$3:$H$102,4,FALSE),VLOOKUP(CN$1,main!$A$3:$H$102,4,FALSE)+VLOOKUP($A77,main!$A$3:$H$102,4,FALSE)+(VLOOKUP(VLOOKUP(CN$1,main!$A$3:$H$102,8,FALSE),main!$K$19:$O$22,MATCH(VLOOKUP($A77,main!$A$3:$H$102,7,FALSE),main!$K$18:$O$18,0),0))),0)</f>
        <v>96</v>
      </c>
      <c r="CO77">
        <f>IF((gamma!CO77),IF(VLOOKUP(CO$1,main!$A$3:$H$102,7,FALSE)=VLOOKUP($A77,main!$A$3:$H$102,8,FALSE),VLOOKUP(CO$1,main!$A$3:$H$102,4,FALSE),VLOOKUP(CO$1,main!$A$3:$H$102,4,FALSE)+VLOOKUP($A77,main!$A$3:$H$102,4,FALSE)+(VLOOKUP(VLOOKUP(CO$1,main!$A$3:$H$102,8,FALSE),main!$K$19:$O$22,MATCH(VLOOKUP($A77,main!$A$3:$H$102,7,FALSE),main!$K$18:$O$18,0),0))),0)</f>
        <v>0</v>
      </c>
      <c r="CP77">
        <f>IF((gamma!CP77),IF(VLOOKUP(CP$1,main!$A$3:$H$102,7,FALSE)=VLOOKUP($A77,main!$A$3:$H$102,8,FALSE),VLOOKUP(CP$1,main!$A$3:$H$102,4,FALSE),VLOOKUP(CP$1,main!$A$3:$H$102,4,FALSE)+VLOOKUP($A77,main!$A$3:$H$102,4,FALSE)+(VLOOKUP(VLOOKUP(CP$1,main!$A$3:$H$102,8,FALSE),main!$K$19:$O$22,MATCH(VLOOKUP($A77,main!$A$3:$H$102,7,FALSE),main!$K$18:$O$18,0),0))),0)</f>
        <v>0</v>
      </c>
      <c r="CQ77">
        <f>IF((gamma!CQ77),IF(VLOOKUP(CQ$1,main!$A$3:$H$102,7,FALSE)=VLOOKUP($A77,main!$A$3:$H$102,8,FALSE),VLOOKUP(CQ$1,main!$A$3:$H$102,4,FALSE),VLOOKUP(CQ$1,main!$A$3:$H$102,4,FALSE)+VLOOKUP($A77,main!$A$3:$H$102,4,FALSE)+(VLOOKUP(VLOOKUP(CQ$1,main!$A$3:$H$102,8,FALSE),main!$K$19:$O$22,MATCH(VLOOKUP($A77,main!$A$3:$H$102,7,FALSE),main!$K$18:$O$18,0),0))),0)</f>
        <v>0</v>
      </c>
      <c r="CR77">
        <f>IF((gamma!CR77),IF(VLOOKUP(CR$1,main!$A$3:$H$102,7,FALSE)=VLOOKUP($A77,main!$A$3:$H$102,8,FALSE),VLOOKUP(CR$1,main!$A$3:$H$102,4,FALSE),VLOOKUP(CR$1,main!$A$3:$H$102,4,FALSE)+VLOOKUP($A77,main!$A$3:$H$102,4,FALSE)+(VLOOKUP(VLOOKUP(CR$1,main!$A$3:$H$102,8,FALSE),main!$K$19:$O$22,MATCH(VLOOKUP($A77,main!$A$3:$H$102,7,FALSE),main!$K$18:$O$18,0),0))),0)</f>
        <v>0</v>
      </c>
      <c r="CS77">
        <f>IF((gamma!CS77),IF(VLOOKUP(CS$1,main!$A$3:$H$102,7,FALSE)=VLOOKUP($A77,main!$A$3:$H$102,8,FALSE),VLOOKUP(CS$1,main!$A$3:$H$102,4,FALSE),VLOOKUP(CS$1,main!$A$3:$H$102,4,FALSE)+VLOOKUP($A77,main!$A$3:$H$102,4,FALSE)+(VLOOKUP(VLOOKUP(CS$1,main!$A$3:$H$102,8,FALSE),main!$K$19:$O$22,MATCH(VLOOKUP($A77,main!$A$3:$H$102,7,FALSE),main!$K$18:$O$18,0),0))),0)</f>
        <v>0</v>
      </c>
      <c r="CT77">
        <f>IF((gamma!CT77),IF(VLOOKUP(CT$1,main!$A$3:$H$102,7,FALSE)=VLOOKUP($A77,main!$A$3:$H$102,8,FALSE),VLOOKUP(CT$1,main!$A$3:$H$102,4,FALSE),VLOOKUP(CT$1,main!$A$3:$H$102,4,FALSE)+VLOOKUP($A77,main!$A$3:$H$102,4,FALSE)+(VLOOKUP(VLOOKUP(CT$1,main!$A$3:$H$102,8,FALSE),main!$K$19:$O$22,MATCH(VLOOKUP($A77,main!$A$3:$H$102,7,FALSE),main!$K$18:$O$18,0),0))),0)</f>
        <v>0</v>
      </c>
      <c r="CU77">
        <f>IF((gamma!CU77),IF(VLOOKUP(CU$1,main!$A$3:$H$102,7,FALSE)=VLOOKUP($A77,main!$A$3:$H$102,8,FALSE),VLOOKUP(CU$1,main!$A$3:$H$102,4,FALSE),VLOOKUP(CU$1,main!$A$3:$H$102,4,FALSE)+VLOOKUP($A77,main!$A$3:$H$102,4,FALSE)+(VLOOKUP(VLOOKUP(CU$1,main!$A$3:$H$102,8,FALSE),main!$K$19:$O$22,MATCH(VLOOKUP($A77,main!$A$3:$H$102,7,FALSE),main!$K$18:$O$18,0),0))),0)</f>
        <v>0</v>
      </c>
      <c r="CV77">
        <f>IF((gamma!CV77),IF(VLOOKUP(CV$1,main!$A$3:$H$102,7,FALSE)=VLOOKUP($A77,main!$A$3:$H$102,8,FALSE),VLOOKUP(CV$1,main!$A$3:$H$102,4,FALSE),VLOOKUP(CV$1,main!$A$3:$H$102,4,FALSE)+VLOOKUP($A77,main!$A$3:$H$102,4,FALSE)+(VLOOKUP(VLOOKUP(CV$1,main!$A$3:$H$102,8,FALSE),main!$K$19:$O$22,MATCH(VLOOKUP($A77,main!$A$3:$H$102,7,FALSE),main!$K$18:$O$18,0),0))),0)</f>
        <v>0</v>
      </c>
      <c r="CW77">
        <f>IF((gamma!CW77),IF(VLOOKUP(CW$1,main!$A$3:$H$102,7,FALSE)=VLOOKUP($A77,main!$A$3:$H$102,8,FALSE),VLOOKUP(CW$1,main!$A$3:$H$102,4,FALSE),VLOOKUP(CW$1,main!$A$3:$H$102,4,FALSE)+VLOOKUP($A77,main!$A$3:$H$102,4,FALSE)+(VLOOKUP(VLOOKUP(CW$1,main!$A$3:$H$102,8,FALSE),main!$K$19:$O$22,MATCH(VLOOKUP($A77,main!$A$3:$H$102,7,FALSE),main!$K$18:$O$18,0),0))),0)</f>
        <v>0</v>
      </c>
      <c r="CX77">
        <f>IF((gamma!CX77),IF(VLOOKUP(CX$1,main!$A$3:$H$102,7,FALSE)=VLOOKUP($A77,main!$A$3:$H$102,8,FALSE),VLOOKUP(CX$1,main!$A$3:$H$102,4,FALSE),VLOOKUP(CX$1,main!$A$3:$H$102,4,FALSE)+VLOOKUP($A77,main!$A$3:$H$102,4,FALSE)+(VLOOKUP(VLOOKUP(CX$1,main!$A$3:$H$102,8,FALSE),main!$K$19:$O$22,MATCH(VLOOKUP($A77,main!$A$3:$H$102,7,FALSE),main!$K$18:$O$18,0),0))),0)</f>
        <v>85</v>
      </c>
      <c r="CY77">
        <v>0</v>
      </c>
      <c r="CZ77">
        <v>0</v>
      </c>
      <c r="DA77">
        <v>0</v>
      </c>
    </row>
    <row r="78" spans="1:105" x14ac:dyDescent="0.25">
      <c r="A78" s="1">
        <v>76</v>
      </c>
      <c r="B78">
        <v>0</v>
      </c>
      <c r="C78">
        <f>IF((gamma!C78),IF(VLOOKUP(C$1,main!$A$3:$H$102,7,FALSE)=VLOOKUP($A78,main!$A$3:$H$102,8,FALSE),VLOOKUP(C$1,main!$A$3:$H$102,4,FALSE),VLOOKUP(C$1,main!$A$3:$H$102,4,FALSE)+VLOOKUP($A78,main!$A$3:$H$102,4,FALSE)+(VLOOKUP(VLOOKUP(C$1,main!$A$3:$H$102,8,FALSE),main!$K$19:$O$22,MATCH(VLOOKUP($A78,main!$A$3:$H$102,7,FALSE),main!$K$18:$O$18,0),0))),0)</f>
        <v>0</v>
      </c>
      <c r="D78">
        <f>IF((gamma!D78),IF(VLOOKUP(D$1,main!$A$3:$H$102,7,FALSE)=VLOOKUP($A78,main!$A$3:$H$102,8,FALSE),VLOOKUP(D$1,main!$A$3:$H$102,4,FALSE),VLOOKUP(D$1,main!$A$3:$H$102,4,FALSE)+VLOOKUP($A78,main!$A$3:$H$102,4,FALSE)+(VLOOKUP(VLOOKUP(D$1,main!$A$3:$H$102,8,FALSE),main!$K$19:$O$22,MATCH(VLOOKUP($A78,main!$A$3:$H$102,7,FALSE),main!$K$18:$O$18,0),0))),0)</f>
        <v>0</v>
      </c>
      <c r="E78">
        <f>IF((gamma!E78),IF(VLOOKUP(E$1,main!$A$3:$H$102,7,FALSE)=VLOOKUP($A78,main!$A$3:$H$102,8,FALSE),VLOOKUP(E$1,main!$A$3:$H$102,4,FALSE),VLOOKUP(E$1,main!$A$3:$H$102,4,FALSE)+VLOOKUP($A78,main!$A$3:$H$102,4,FALSE)+(VLOOKUP(VLOOKUP(E$1,main!$A$3:$H$102,8,FALSE),main!$K$19:$O$22,MATCH(VLOOKUP($A78,main!$A$3:$H$102,7,FALSE),main!$K$18:$O$18,0),0))),0)</f>
        <v>303</v>
      </c>
      <c r="F78">
        <f>IF((gamma!F78),IF(VLOOKUP(F$1,main!$A$3:$H$102,7,FALSE)=VLOOKUP($A78,main!$A$3:$H$102,8,FALSE),VLOOKUP(F$1,main!$A$3:$H$102,4,FALSE),VLOOKUP(F$1,main!$A$3:$H$102,4,FALSE)+VLOOKUP($A78,main!$A$3:$H$102,4,FALSE)+(VLOOKUP(VLOOKUP(F$1,main!$A$3:$H$102,8,FALSE),main!$K$19:$O$22,MATCH(VLOOKUP($A78,main!$A$3:$H$102,7,FALSE),main!$K$18:$O$18,0),0))),0)</f>
        <v>303</v>
      </c>
      <c r="G78">
        <f>IF((gamma!G78),IF(VLOOKUP(G$1,main!$A$3:$H$102,7,FALSE)=VLOOKUP($A78,main!$A$3:$H$102,8,FALSE),VLOOKUP(G$1,main!$A$3:$H$102,4,FALSE),VLOOKUP(G$1,main!$A$3:$H$102,4,FALSE)+VLOOKUP($A78,main!$A$3:$H$102,4,FALSE)+(VLOOKUP(VLOOKUP(G$1,main!$A$3:$H$102,8,FALSE),main!$K$19:$O$22,MATCH(VLOOKUP($A78,main!$A$3:$H$102,7,FALSE),main!$K$18:$O$18,0),0))),0)</f>
        <v>303</v>
      </c>
      <c r="H78">
        <f>IF((gamma!H78),IF(VLOOKUP(H$1,main!$A$3:$H$102,7,FALSE)=VLOOKUP($A78,main!$A$3:$H$102,8,FALSE),VLOOKUP(H$1,main!$A$3:$H$102,4,FALSE),VLOOKUP(H$1,main!$A$3:$H$102,4,FALSE)+VLOOKUP($A78,main!$A$3:$H$102,4,FALSE)+(VLOOKUP(VLOOKUP(H$1,main!$A$3:$H$102,8,FALSE),main!$K$19:$O$22,MATCH(VLOOKUP($A78,main!$A$3:$H$102,7,FALSE),main!$K$18:$O$18,0),0))),0)</f>
        <v>303</v>
      </c>
      <c r="I78">
        <f>IF((gamma!I78),IF(VLOOKUP(I$1,main!$A$3:$H$102,7,FALSE)=VLOOKUP($A78,main!$A$3:$H$102,8,FALSE),VLOOKUP(I$1,main!$A$3:$H$102,4,FALSE),VLOOKUP(I$1,main!$A$3:$H$102,4,FALSE)+VLOOKUP($A78,main!$A$3:$H$102,4,FALSE)+(VLOOKUP(VLOOKUP(I$1,main!$A$3:$H$102,8,FALSE),main!$K$19:$O$22,MATCH(VLOOKUP($A78,main!$A$3:$H$102,7,FALSE),main!$K$18:$O$18,0),0))),0)</f>
        <v>303</v>
      </c>
      <c r="J78">
        <f>IF((gamma!J78),IF(VLOOKUP(J$1,main!$A$3:$H$102,7,FALSE)=VLOOKUP($A78,main!$A$3:$H$102,8,FALSE),VLOOKUP(J$1,main!$A$3:$H$102,4,FALSE),VLOOKUP(J$1,main!$A$3:$H$102,4,FALSE)+VLOOKUP($A78,main!$A$3:$H$102,4,FALSE)+(VLOOKUP(VLOOKUP(J$1,main!$A$3:$H$102,8,FALSE),main!$K$19:$O$22,MATCH(VLOOKUP($A78,main!$A$3:$H$102,7,FALSE),main!$K$18:$O$18,0),0))),0)</f>
        <v>303</v>
      </c>
      <c r="K78">
        <f>IF((gamma!K78),IF(VLOOKUP(K$1,main!$A$3:$H$102,7,FALSE)=VLOOKUP($A78,main!$A$3:$H$102,8,FALSE),VLOOKUP(K$1,main!$A$3:$H$102,4,FALSE),VLOOKUP(K$1,main!$A$3:$H$102,4,FALSE)+VLOOKUP($A78,main!$A$3:$H$102,4,FALSE)+(VLOOKUP(VLOOKUP(K$1,main!$A$3:$H$102,8,FALSE),main!$K$19:$O$22,MATCH(VLOOKUP($A78,main!$A$3:$H$102,7,FALSE),main!$K$18:$O$18,0),0))),0)</f>
        <v>303</v>
      </c>
      <c r="L78">
        <f>IF((gamma!L78),IF(VLOOKUP(L$1,main!$A$3:$H$102,7,FALSE)=VLOOKUP($A78,main!$A$3:$H$102,8,FALSE),VLOOKUP(L$1,main!$A$3:$H$102,4,FALSE),VLOOKUP(L$1,main!$A$3:$H$102,4,FALSE)+VLOOKUP($A78,main!$A$3:$H$102,4,FALSE)+(VLOOKUP(VLOOKUP(L$1,main!$A$3:$H$102,8,FALSE),main!$K$19:$O$22,MATCH(VLOOKUP($A78,main!$A$3:$H$102,7,FALSE),main!$K$18:$O$18,0),0))),0)</f>
        <v>303</v>
      </c>
      <c r="M78">
        <f>IF((gamma!M78),IF(VLOOKUP(M$1,main!$A$3:$H$102,7,FALSE)=VLOOKUP($A78,main!$A$3:$H$102,8,FALSE),VLOOKUP(M$1,main!$A$3:$H$102,4,FALSE),VLOOKUP(M$1,main!$A$3:$H$102,4,FALSE)+VLOOKUP($A78,main!$A$3:$H$102,4,FALSE)+(VLOOKUP(VLOOKUP(M$1,main!$A$3:$H$102,8,FALSE),main!$K$19:$O$22,MATCH(VLOOKUP($A78,main!$A$3:$H$102,7,FALSE),main!$K$18:$O$18,0),0))),0)</f>
        <v>0</v>
      </c>
      <c r="N78">
        <f>IF((gamma!N78),IF(VLOOKUP(N$1,main!$A$3:$H$102,7,FALSE)=VLOOKUP($A78,main!$A$3:$H$102,8,FALSE),VLOOKUP(N$1,main!$A$3:$H$102,4,FALSE),VLOOKUP(N$1,main!$A$3:$H$102,4,FALSE)+VLOOKUP($A78,main!$A$3:$H$102,4,FALSE)+(VLOOKUP(VLOOKUP(N$1,main!$A$3:$H$102,8,FALSE),main!$K$19:$O$22,MATCH(VLOOKUP($A78,main!$A$3:$H$102,7,FALSE),main!$K$18:$O$18,0),0))),0)</f>
        <v>0</v>
      </c>
      <c r="O78">
        <f>IF((gamma!O78),IF(VLOOKUP(O$1,main!$A$3:$H$102,7,FALSE)=VLOOKUP($A78,main!$A$3:$H$102,8,FALSE),VLOOKUP(O$1,main!$A$3:$H$102,4,FALSE),VLOOKUP(O$1,main!$A$3:$H$102,4,FALSE)+VLOOKUP($A78,main!$A$3:$H$102,4,FALSE)+(VLOOKUP(VLOOKUP(O$1,main!$A$3:$H$102,8,FALSE),main!$K$19:$O$22,MATCH(VLOOKUP($A78,main!$A$3:$H$102,7,FALSE),main!$K$18:$O$18,0),0))),0)</f>
        <v>0</v>
      </c>
      <c r="P78">
        <f>IF((gamma!P78),IF(VLOOKUP(P$1,main!$A$3:$H$102,7,FALSE)=VLOOKUP($A78,main!$A$3:$H$102,8,FALSE),VLOOKUP(P$1,main!$A$3:$H$102,4,FALSE),VLOOKUP(P$1,main!$A$3:$H$102,4,FALSE)+VLOOKUP($A78,main!$A$3:$H$102,4,FALSE)+(VLOOKUP(VLOOKUP(P$1,main!$A$3:$H$102,8,FALSE),main!$K$19:$O$22,MATCH(VLOOKUP($A78,main!$A$3:$H$102,7,FALSE),main!$K$18:$O$18,0),0))),0)</f>
        <v>280</v>
      </c>
      <c r="Q78">
        <f>IF((gamma!Q78),IF(VLOOKUP(Q$1,main!$A$3:$H$102,7,FALSE)=VLOOKUP($A78,main!$A$3:$H$102,8,FALSE),VLOOKUP(Q$1,main!$A$3:$H$102,4,FALSE),VLOOKUP(Q$1,main!$A$3:$H$102,4,FALSE)+VLOOKUP($A78,main!$A$3:$H$102,4,FALSE)+(VLOOKUP(VLOOKUP(Q$1,main!$A$3:$H$102,8,FALSE),main!$K$19:$O$22,MATCH(VLOOKUP($A78,main!$A$3:$H$102,7,FALSE),main!$K$18:$O$18,0),0))),0)</f>
        <v>280</v>
      </c>
      <c r="R78">
        <f>IF((gamma!R78),IF(VLOOKUP(R$1,main!$A$3:$H$102,7,FALSE)=VLOOKUP($A78,main!$A$3:$H$102,8,FALSE),VLOOKUP(R$1,main!$A$3:$H$102,4,FALSE),VLOOKUP(R$1,main!$A$3:$H$102,4,FALSE)+VLOOKUP($A78,main!$A$3:$H$102,4,FALSE)+(VLOOKUP(VLOOKUP(R$1,main!$A$3:$H$102,8,FALSE),main!$K$19:$O$22,MATCH(VLOOKUP($A78,main!$A$3:$H$102,7,FALSE),main!$K$18:$O$18,0),0))),0)</f>
        <v>280</v>
      </c>
      <c r="S78">
        <f>IF((gamma!S78),IF(VLOOKUP(S$1,main!$A$3:$H$102,7,FALSE)=VLOOKUP($A78,main!$A$3:$H$102,8,FALSE),VLOOKUP(S$1,main!$A$3:$H$102,4,FALSE),VLOOKUP(S$1,main!$A$3:$H$102,4,FALSE)+VLOOKUP($A78,main!$A$3:$H$102,4,FALSE)+(VLOOKUP(VLOOKUP(S$1,main!$A$3:$H$102,8,FALSE),main!$K$19:$O$22,MATCH(VLOOKUP($A78,main!$A$3:$H$102,7,FALSE),main!$K$18:$O$18,0),0))),0)</f>
        <v>280</v>
      </c>
      <c r="T78">
        <f>IF((gamma!T78),IF(VLOOKUP(T$1,main!$A$3:$H$102,7,FALSE)=VLOOKUP($A78,main!$A$3:$H$102,8,FALSE),VLOOKUP(T$1,main!$A$3:$H$102,4,FALSE),VLOOKUP(T$1,main!$A$3:$H$102,4,FALSE)+VLOOKUP($A78,main!$A$3:$H$102,4,FALSE)+(VLOOKUP(VLOOKUP(T$1,main!$A$3:$H$102,8,FALSE),main!$K$19:$O$22,MATCH(VLOOKUP($A78,main!$A$3:$H$102,7,FALSE),main!$K$18:$O$18,0),0))),0)</f>
        <v>280</v>
      </c>
      <c r="U78">
        <f>IF((gamma!U78),IF(VLOOKUP(U$1,main!$A$3:$H$102,7,FALSE)=VLOOKUP($A78,main!$A$3:$H$102,8,FALSE),VLOOKUP(U$1,main!$A$3:$H$102,4,FALSE),VLOOKUP(U$1,main!$A$3:$H$102,4,FALSE)+VLOOKUP($A78,main!$A$3:$H$102,4,FALSE)+(VLOOKUP(VLOOKUP(U$1,main!$A$3:$H$102,8,FALSE),main!$K$19:$O$22,MATCH(VLOOKUP($A78,main!$A$3:$H$102,7,FALSE),main!$K$18:$O$18,0),0))),0)</f>
        <v>280</v>
      </c>
      <c r="V78">
        <f>IF((gamma!V78),IF(VLOOKUP(V$1,main!$A$3:$H$102,7,FALSE)=VLOOKUP($A78,main!$A$3:$H$102,8,FALSE),VLOOKUP(V$1,main!$A$3:$H$102,4,FALSE),VLOOKUP(V$1,main!$A$3:$H$102,4,FALSE)+VLOOKUP($A78,main!$A$3:$H$102,4,FALSE)+(VLOOKUP(VLOOKUP(V$1,main!$A$3:$H$102,8,FALSE),main!$K$19:$O$22,MATCH(VLOOKUP($A78,main!$A$3:$H$102,7,FALSE),main!$K$18:$O$18,0),0))),0)</f>
        <v>280</v>
      </c>
      <c r="W78">
        <f>IF((gamma!W78),IF(VLOOKUP(W$1,main!$A$3:$H$102,7,FALSE)=VLOOKUP($A78,main!$A$3:$H$102,8,FALSE),VLOOKUP(W$1,main!$A$3:$H$102,4,FALSE),VLOOKUP(W$1,main!$A$3:$H$102,4,FALSE)+VLOOKUP($A78,main!$A$3:$H$102,4,FALSE)+(VLOOKUP(VLOOKUP(W$1,main!$A$3:$H$102,8,FALSE),main!$K$19:$O$22,MATCH(VLOOKUP($A78,main!$A$3:$H$102,7,FALSE),main!$K$18:$O$18,0),0))),0)</f>
        <v>0</v>
      </c>
      <c r="X78">
        <f>IF((gamma!X78),IF(VLOOKUP(X$1,main!$A$3:$H$102,7,FALSE)=VLOOKUP($A78,main!$A$3:$H$102,8,FALSE),VLOOKUP(X$1,main!$A$3:$H$102,4,FALSE),VLOOKUP(X$1,main!$A$3:$H$102,4,FALSE)+VLOOKUP($A78,main!$A$3:$H$102,4,FALSE)+(VLOOKUP(VLOOKUP(X$1,main!$A$3:$H$102,8,FALSE),main!$K$19:$O$22,MATCH(VLOOKUP($A78,main!$A$3:$H$102,7,FALSE),main!$K$18:$O$18,0),0))),0)</f>
        <v>0</v>
      </c>
      <c r="Y78">
        <f>IF((gamma!Y78),IF(VLOOKUP(Y$1,main!$A$3:$H$102,7,FALSE)=VLOOKUP($A78,main!$A$3:$H$102,8,FALSE),VLOOKUP(Y$1,main!$A$3:$H$102,4,FALSE),VLOOKUP(Y$1,main!$A$3:$H$102,4,FALSE)+VLOOKUP($A78,main!$A$3:$H$102,4,FALSE)+(VLOOKUP(VLOOKUP(Y$1,main!$A$3:$H$102,8,FALSE),main!$K$19:$O$22,MATCH(VLOOKUP($A78,main!$A$3:$H$102,7,FALSE),main!$K$18:$O$18,0),0))),0)</f>
        <v>308</v>
      </c>
      <c r="Z78">
        <f>IF((gamma!Z78),IF(VLOOKUP(Z$1,main!$A$3:$H$102,7,FALSE)=VLOOKUP($A78,main!$A$3:$H$102,8,FALSE),VLOOKUP(Z$1,main!$A$3:$H$102,4,FALSE),VLOOKUP(Z$1,main!$A$3:$H$102,4,FALSE)+VLOOKUP($A78,main!$A$3:$H$102,4,FALSE)+(VLOOKUP(VLOOKUP(Z$1,main!$A$3:$H$102,8,FALSE),main!$K$19:$O$22,MATCH(VLOOKUP($A78,main!$A$3:$H$102,7,FALSE),main!$K$18:$O$18,0),0))),0)</f>
        <v>313</v>
      </c>
      <c r="AA78">
        <f>IF((gamma!AA78),IF(VLOOKUP(AA$1,main!$A$3:$H$102,7,FALSE)=VLOOKUP($A78,main!$A$3:$H$102,8,FALSE),VLOOKUP(AA$1,main!$A$3:$H$102,4,FALSE),VLOOKUP(AA$1,main!$A$3:$H$102,4,FALSE)+VLOOKUP($A78,main!$A$3:$H$102,4,FALSE)+(VLOOKUP(VLOOKUP(AA$1,main!$A$3:$H$102,8,FALSE),main!$K$19:$O$22,MATCH(VLOOKUP($A78,main!$A$3:$H$102,7,FALSE),main!$K$18:$O$18,0),0))),0)</f>
        <v>313</v>
      </c>
      <c r="AB78">
        <f>IF((gamma!AB78),IF(VLOOKUP(AB$1,main!$A$3:$H$102,7,FALSE)=VLOOKUP($A78,main!$A$3:$H$102,8,FALSE),VLOOKUP(AB$1,main!$A$3:$H$102,4,FALSE),VLOOKUP(AB$1,main!$A$3:$H$102,4,FALSE)+VLOOKUP($A78,main!$A$3:$H$102,4,FALSE)+(VLOOKUP(VLOOKUP(AB$1,main!$A$3:$H$102,8,FALSE),main!$K$19:$O$22,MATCH(VLOOKUP($A78,main!$A$3:$H$102,7,FALSE),main!$K$18:$O$18,0),0))),0)</f>
        <v>0</v>
      </c>
      <c r="AC78">
        <f>IF((gamma!AC78),IF(VLOOKUP(AC$1,main!$A$3:$H$102,7,FALSE)=VLOOKUP($A78,main!$A$3:$H$102,8,FALSE),VLOOKUP(AC$1,main!$A$3:$H$102,4,FALSE),VLOOKUP(AC$1,main!$A$3:$H$102,4,FALSE)+VLOOKUP($A78,main!$A$3:$H$102,4,FALSE)+(VLOOKUP(VLOOKUP(AC$1,main!$A$3:$H$102,8,FALSE),main!$K$19:$O$22,MATCH(VLOOKUP($A78,main!$A$3:$H$102,7,FALSE),main!$K$18:$O$18,0),0))),0)</f>
        <v>0</v>
      </c>
      <c r="AD78">
        <f>IF((gamma!AD78),IF(VLOOKUP(AD$1,main!$A$3:$H$102,7,FALSE)=VLOOKUP($A78,main!$A$3:$H$102,8,FALSE),VLOOKUP(AD$1,main!$A$3:$H$102,4,FALSE),VLOOKUP(AD$1,main!$A$3:$H$102,4,FALSE)+VLOOKUP($A78,main!$A$3:$H$102,4,FALSE)+(VLOOKUP(VLOOKUP(AD$1,main!$A$3:$H$102,8,FALSE),main!$K$19:$O$22,MATCH(VLOOKUP($A78,main!$A$3:$H$102,7,FALSE),main!$K$18:$O$18,0),0))),0)</f>
        <v>308</v>
      </c>
      <c r="AE78">
        <f>IF((gamma!AE78),IF(VLOOKUP(AE$1,main!$A$3:$H$102,7,FALSE)=VLOOKUP($A78,main!$A$3:$H$102,8,FALSE),VLOOKUP(AE$1,main!$A$3:$H$102,4,FALSE),VLOOKUP(AE$1,main!$A$3:$H$102,4,FALSE)+VLOOKUP($A78,main!$A$3:$H$102,4,FALSE)+(VLOOKUP(VLOOKUP(AE$1,main!$A$3:$H$102,8,FALSE),main!$K$19:$O$22,MATCH(VLOOKUP($A78,main!$A$3:$H$102,7,FALSE),main!$K$18:$O$18,0),0))),0)</f>
        <v>313</v>
      </c>
      <c r="AF78">
        <f>IF((gamma!AF78),IF(VLOOKUP(AF$1,main!$A$3:$H$102,7,FALSE)=VLOOKUP($A78,main!$A$3:$H$102,8,FALSE),VLOOKUP(AF$1,main!$A$3:$H$102,4,FALSE),VLOOKUP(AF$1,main!$A$3:$H$102,4,FALSE)+VLOOKUP($A78,main!$A$3:$H$102,4,FALSE)+(VLOOKUP(VLOOKUP(AF$1,main!$A$3:$H$102,8,FALSE),main!$K$19:$O$22,MATCH(VLOOKUP($A78,main!$A$3:$H$102,7,FALSE),main!$K$18:$O$18,0),0))),0)</f>
        <v>273</v>
      </c>
      <c r="AG78">
        <f>IF((gamma!AG78),IF(VLOOKUP(AG$1,main!$A$3:$H$102,7,FALSE)=VLOOKUP($A78,main!$A$3:$H$102,8,FALSE),VLOOKUP(AG$1,main!$A$3:$H$102,4,FALSE),VLOOKUP(AG$1,main!$A$3:$H$102,4,FALSE)+VLOOKUP($A78,main!$A$3:$H$102,4,FALSE)+(VLOOKUP(VLOOKUP(AG$1,main!$A$3:$H$102,8,FALSE),main!$K$19:$O$22,MATCH(VLOOKUP($A78,main!$A$3:$H$102,7,FALSE),main!$K$18:$O$18,0),0))),0)</f>
        <v>0</v>
      </c>
      <c r="AH78">
        <f>IF((gamma!AH78),IF(VLOOKUP(AH$1,main!$A$3:$H$102,7,FALSE)=VLOOKUP($A78,main!$A$3:$H$102,8,FALSE),VLOOKUP(AH$1,main!$A$3:$H$102,4,FALSE),VLOOKUP(AH$1,main!$A$3:$H$102,4,FALSE)+VLOOKUP($A78,main!$A$3:$H$102,4,FALSE)+(VLOOKUP(VLOOKUP(AH$1,main!$A$3:$H$102,8,FALSE),main!$K$19:$O$22,MATCH(VLOOKUP($A78,main!$A$3:$H$102,7,FALSE),main!$K$18:$O$18,0),0))),0)</f>
        <v>0</v>
      </c>
      <c r="AI78">
        <f>IF((gamma!AI78),IF(VLOOKUP(AI$1,main!$A$3:$H$102,7,FALSE)=VLOOKUP($A78,main!$A$3:$H$102,8,FALSE),VLOOKUP(AI$1,main!$A$3:$H$102,4,FALSE),VLOOKUP(AI$1,main!$A$3:$H$102,4,FALSE)+VLOOKUP($A78,main!$A$3:$H$102,4,FALSE)+(VLOOKUP(VLOOKUP(AI$1,main!$A$3:$H$102,8,FALSE),main!$K$19:$O$22,MATCH(VLOOKUP($A78,main!$A$3:$H$102,7,FALSE),main!$K$18:$O$18,0),0))),0)</f>
        <v>305</v>
      </c>
      <c r="AJ78">
        <f>IF((gamma!AJ78),IF(VLOOKUP(AJ$1,main!$A$3:$H$102,7,FALSE)=VLOOKUP($A78,main!$A$3:$H$102,8,FALSE),VLOOKUP(AJ$1,main!$A$3:$H$102,4,FALSE),VLOOKUP(AJ$1,main!$A$3:$H$102,4,FALSE)+VLOOKUP($A78,main!$A$3:$H$102,4,FALSE)+(VLOOKUP(VLOOKUP(AJ$1,main!$A$3:$H$102,8,FALSE),main!$K$19:$O$22,MATCH(VLOOKUP($A78,main!$A$3:$H$102,7,FALSE),main!$K$18:$O$18,0),0))),0)</f>
        <v>305</v>
      </c>
      <c r="AK78">
        <f>IF((gamma!AK78),IF(VLOOKUP(AK$1,main!$A$3:$H$102,7,FALSE)=VLOOKUP($A78,main!$A$3:$H$102,8,FALSE),VLOOKUP(AK$1,main!$A$3:$H$102,4,FALSE),VLOOKUP(AK$1,main!$A$3:$H$102,4,FALSE)+VLOOKUP($A78,main!$A$3:$H$102,4,FALSE)+(VLOOKUP(VLOOKUP(AK$1,main!$A$3:$H$102,8,FALSE),main!$K$19:$O$22,MATCH(VLOOKUP($A78,main!$A$3:$H$102,7,FALSE),main!$K$18:$O$18,0),0))),0)</f>
        <v>305</v>
      </c>
      <c r="AL78">
        <f>IF((gamma!AL78),IF(VLOOKUP(AL$1,main!$A$3:$H$102,7,FALSE)=VLOOKUP($A78,main!$A$3:$H$102,8,FALSE),VLOOKUP(AL$1,main!$A$3:$H$102,4,FALSE),VLOOKUP(AL$1,main!$A$3:$H$102,4,FALSE)+VLOOKUP($A78,main!$A$3:$H$102,4,FALSE)+(VLOOKUP(VLOOKUP(AL$1,main!$A$3:$H$102,8,FALSE),main!$K$19:$O$22,MATCH(VLOOKUP($A78,main!$A$3:$H$102,7,FALSE),main!$K$18:$O$18,0),0))),0)</f>
        <v>305</v>
      </c>
      <c r="AM78">
        <f>IF((gamma!AM78),IF(VLOOKUP(AM$1,main!$A$3:$H$102,7,FALSE)=VLOOKUP($A78,main!$A$3:$H$102,8,FALSE),VLOOKUP(AM$1,main!$A$3:$H$102,4,FALSE),VLOOKUP(AM$1,main!$A$3:$H$102,4,FALSE)+VLOOKUP($A78,main!$A$3:$H$102,4,FALSE)+(VLOOKUP(VLOOKUP(AM$1,main!$A$3:$H$102,8,FALSE),main!$K$19:$O$22,MATCH(VLOOKUP($A78,main!$A$3:$H$102,7,FALSE),main!$K$18:$O$18,0),0))),0)</f>
        <v>305</v>
      </c>
      <c r="AN78">
        <f>IF((gamma!AN78),IF(VLOOKUP(AN$1,main!$A$3:$H$102,7,FALSE)=VLOOKUP($A78,main!$A$3:$H$102,8,FALSE),VLOOKUP(AN$1,main!$A$3:$H$102,4,FALSE),VLOOKUP(AN$1,main!$A$3:$H$102,4,FALSE)+VLOOKUP($A78,main!$A$3:$H$102,4,FALSE)+(VLOOKUP(VLOOKUP(AN$1,main!$A$3:$H$102,8,FALSE),main!$K$19:$O$22,MATCH(VLOOKUP($A78,main!$A$3:$H$102,7,FALSE),main!$K$18:$O$18,0),0))),0)</f>
        <v>305</v>
      </c>
      <c r="AO78">
        <f>IF((gamma!AO78),IF(VLOOKUP(AO$1,main!$A$3:$H$102,7,FALSE)=VLOOKUP($A78,main!$A$3:$H$102,8,FALSE),VLOOKUP(AO$1,main!$A$3:$H$102,4,FALSE),VLOOKUP(AO$1,main!$A$3:$H$102,4,FALSE)+VLOOKUP($A78,main!$A$3:$H$102,4,FALSE)+(VLOOKUP(VLOOKUP(AO$1,main!$A$3:$H$102,8,FALSE),main!$K$19:$O$22,MATCH(VLOOKUP($A78,main!$A$3:$H$102,7,FALSE),main!$K$18:$O$18,0),0))),0)</f>
        <v>0</v>
      </c>
      <c r="AP78">
        <f>IF((gamma!AP78),IF(VLOOKUP(AP$1,main!$A$3:$H$102,7,FALSE)=VLOOKUP($A78,main!$A$3:$H$102,8,FALSE),VLOOKUP(AP$1,main!$A$3:$H$102,4,FALSE),VLOOKUP(AP$1,main!$A$3:$H$102,4,FALSE)+VLOOKUP($A78,main!$A$3:$H$102,4,FALSE)+(VLOOKUP(VLOOKUP(AP$1,main!$A$3:$H$102,8,FALSE),main!$K$19:$O$22,MATCH(VLOOKUP($A78,main!$A$3:$H$102,7,FALSE),main!$K$18:$O$18,0),0))),0)</f>
        <v>245</v>
      </c>
      <c r="AQ78">
        <f>IF((gamma!AQ78),IF(VLOOKUP(AQ$1,main!$A$3:$H$102,7,FALSE)=VLOOKUP($A78,main!$A$3:$H$102,8,FALSE),VLOOKUP(AQ$1,main!$A$3:$H$102,4,FALSE),VLOOKUP(AQ$1,main!$A$3:$H$102,4,FALSE)+VLOOKUP($A78,main!$A$3:$H$102,4,FALSE)+(VLOOKUP(VLOOKUP(AQ$1,main!$A$3:$H$102,8,FALSE),main!$K$19:$O$22,MATCH(VLOOKUP($A78,main!$A$3:$H$102,7,FALSE),main!$K$18:$O$18,0),0))),0)</f>
        <v>0</v>
      </c>
      <c r="AR78">
        <f>IF((gamma!AR78),IF(VLOOKUP(AR$1,main!$A$3:$H$102,7,FALSE)=VLOOKUP($A78,main!$A$3:$H$102,8,FALSE),VLOOKUP(AR$1,main!$A$3:$H$102,4,FALSE),VLOOKUP(AR$1,main!$A$3:$H$102,4,FALSE)+VLOOKUP($A78,main!$A$3:$H$102,4,FALSE)+(VLOOKUP(VLOOKUP(AR$1,main!$A$3:$H$102,8,FALSE),main!$K$19:$O$22,MATCH(VLOOKUP($A78,main!$A$3:$H$102,7,FALSE),main!$K$18:$O$18,0),0))),0)</f>
        <v>0</v>
      </c>
      <c r="AS78">
        <f>IF((gamma!AS78),IF(VLOOKUP(AS$1,main!$A$3:$H$102,7,FALSE)=VLOOKUP($A78,main!$A$3:$H$102,8,FALSE),VLOOKUP(AS$1,main!$A$3:$H$102,4,FALSE),VLOOKUP(AS$1,main!$A$3:$H$102,4,FALSE)+VLOOKUP($A78,main!$A$3:$H$102,4,FALSE)+(VLOOKUP(VLOOKUP(AS$1,main!$A$3:$H$102,8,FALSE),main!$K$19:$O$22,MATCH(VLOOKUP($A78,main!$A$3:$H$102,7,FALSE),main!$K$18:$O$18,0),0))),0)</f>
        <v>260</v>
      </c>
      <c r="AT78">
        <f>IF((gamma!AT78),IF(VLOOKUP(AT$1,main!$A$3:$H$102,7,FALSE)=VLOOKUP($A78,main!$A$3:$H$102,8,FALSE),VLOOKUP(AT$1,main!$A$3:$H$102,4,FALSE),VLOOKUP(AT$1,main!$A$3:$H$102,4,FALSE)+VLOOKUP($A78,main!$A$3:$H$102,4,FALSE)+(VLOOKUP(VLOOKUP(AT$1,main!$A$3:$H$102,8,FALSE),main!$K$19:$O$22,MATCH(VLOOKUP($A78,main!$A$3:$H$102,7,FALSE),main!$K$18:$O$18,0),0))),0)</f>
        <v>270</v>
      </c>
      <c r="AU78">
        <f>IF((gamma!AU78),IF(VLOOKUP(AU$1,main!$A$3:$H$102,7,FALSE)=VLOOKUP($A78,main!$A$3:$H$102,8,FALSE),VLOOKUP(AU$1,main!$A$3:$H$102,4,FALSE),VLOOKUP(AU$1,main!$A$3:$H$102,4,FALSE)+VLOOKUP($A78,main!$A$3:$H$102,4,FALSE)+(VLOOKUP(VLOOKUP(AU$1,main!$A$3:$H$102,8,FALSE),main!$K$19:$O$22,MATCH(VLOOKUP($A78,main!$A$3:$H$102,7,FALSE),main!$K$18:$O$18,0),0))),0)</f>
        <v>0</v>
      </c>
      <c r="AV78">
        <f>IF((gamma!AV78),IF(VLOOKUP(AV$1,main!$A$3:$H$102,7,FALSE)=VLOOKUP($A78,main!$A$3:$H$102,8,FALSE),VLOOKUP(AV$1,main!$A$3:$H$102,4,FALSE),VLOOKUP(AV$1,main!$A$3:$H$102,4,FALSE)+VLOOKUP($A78,main!$A$3:$H$102,4,FALSE)+(VLOOKUP(VLOOKUP(AV$1,main!$A$3:$H$102,8,FALSE),main!$K$19:$O$22,MATCH(VLOOKUP($A78,main!$A$3:$H$102,7,FALSE),main!$K$18:$O$18,0),0))),0)</f>
        <v>0</v>
      </c>
      <c r="AW78">
        <f>IF((gamma!AW78),IF(VLOOKUP(AW$1,main!$A$3:$H$102,7,FALSE)=VLOOKUP($A78,main!$A$3:$H$102,8,FALSE),VLOOKUP(AW$1,main!$A$3:$H$102,4,FALSE),VLOOKUP(AW$1,main!$A$3:$H$102,4,FALSE)+VLOOKUP($A78,main!$A$3:$H$102,4,FALSE)+(VLOOKUP(VLOOKUP(AW$1,main!$A$3:$H$102,8,FALSE),main!$K$19:$O$22,MATCH(VLOOKUP($A78,main!$A$3:$H$102,7,FALSE),main!$K$18:$O$18,0),0))),0)</f>
        <v>260</v>
      </c>
      <c r="AX78">
        <f>IF((gamma!AX78),IF(VLOOKUP(AX$1,main!$A$3:$H$102,7,FALSE)=VLOOKUP($A78,main!$A$3:$H$102,8,FALSE),VLOOKUP(AX$1,main!$A$3:$H$102,4,FALSE),VLOOKUP(AX$1,main!$A$3:$H$102,4,FALSE)+VLOOKUP($A78,main!$A$3:$H$102,4,FALSE)+(VLOOKUP(VLOOKUP(AX$1,main!$A$3:$H$102,8,FALSE),main!$K$19:$O$22,MATCH(VLOOKUP($A78,main!$A$3:$H$102,7,FALSE),main!$K$18:$O$18,0),0))),0)</f>
        <v>245</v>
      </c>
      <c r="AY78">
        <f>IF((gamma!AY78),IF(VLOOKUP(AY$1,main!$A$3:$H$102,7,FALSE)=VLOOKUP($A78,main!$A$3:$H$102,8,FALSE),VLOOKUP(AY$1,main!$A$3:$H$102,4,FALSE),VLOOKUP(AY$1,main!$A$3:$H$102,4,FALSE)+VLOOKUP($A78,main!$A$3:$H$102,4,FALSE)+(VLOOKUP(VLOOKUP(AY$1,main!$A$3:$H$102,8,FALSE),main!$K$19:$O$22,MATCH(VLOOKUP($A78,main!$A$3:$H$102,7,FALSE),main!$K$18:$O$18,0),0))),0)</f>
        <v>0</v>
      </c>
      <c r="AZ78">
        <f>IF((gamma!AZ78),IF(VLOOKUP(AZ$1,main!$A$3:$H$102,7,FALSE)=VLOOKUP($A78,main!$A$3:$H$102,8,FALSE),VLOOKUP(AZ$1,main!$A$3:$H$102,4,FALSE),VLOOKUP(AZ$1,main!$A$3:$H$102,4,FALSE)+VLOOKUP($A78,main!$A$3:$H$102,4,FALSE)+(VLOOKUP(VLOOKUP(AZ$1,main!$A$3:$H$102,8,FALSE),main!$K$19:$O$22,MATCH(VLOOKUP($A78,main!$A$3:$H$102,7,FALSE),main!$K$18:$O$18,0),0))),0)</f>
        <v>275</v>
      </c>
      <c r="BA78">
        <f>IF((gamma!BA78),IF(VLOOKUP(BA$1,main!$A$3:$H$102,7,FALSE)=VLOOKUP($A78,main!$A$3:$H$102,8,FALSE),VLOOKUP(BA$1,main!$A$3:$H$102,4,FALSE),VLOOKUP(BA$1,main!$A$3:$H$102,4,FALSE)+VLOOKUP($A78,main!$A$3:$H$102,4,FALSE)+(VLOOKUP(VLOOKUP(BA$1,main!$A$3:$H$102,8,FALSE),main!$K$19:$O$22,MATCH(VLOOKUP($A78,main!$A$3:$H$102,7,FALSE),main!$K$18:$O$18,0),0))),0)</f>
        <v>0</v>
      </c>
      <c r="BB78">
        <f>IF((gamma!BB78),IF(VLOOKUP(BB$1,main!$A$3:$H$102,7,FALSE)=VLOOKUP($A78,main!$A$3:$H$102,8,FALSE),VLOOKUP(BB$1,main!$A$3:$H$102,4,FALSE),VLOOKUP(BB$1,main!$A$3:$H$102,4,FALSE)+VLOOKUP($A78,main!$A$3:$H$102,4,FALSE)+(VLOOKUP(VLOOKUP(BB$1,main!$A$3:$H$102,8,FALSE),main!$K$19:$O$22,MATCH(VLOOKUP($A78,main!$A$3:$H$102,7,FALSE),main!$K$18:$O$18,0),0))),0)</f>
        <v>310</v>
      </c>
      <c r="BC78">
        <f>IF((gamma!BC78),IF(VLOOKUP(BC$1,main!$A$3:$H$102,7,FALSE)=VLOOKUP($A78,main!$A$3:$H$102,8,FALSE),VLOOKUP(BC$1,main!$A$3:$H$102,4,FALSE),VLOOKUP(BC$1,main!$A$3:$H$102,4,FALSE)+VLOOKUP($A78,main!$A$3:$H$102,4,FALSE)+(VLOOKUP(VLOOKUP(BC$1,main!$A$3:$H$102,8,FALSE),main!$K$19:$O$22,MATCH(VLOOKUP($A78,main!$A$3:$H$102,7,FALSE),main!$K$18:$O$18,0),0))),0)</f>
        <v>310</v>
      </c>
      <c r="BD78">
        <f>IF((gamma!BD78),IF(VLOOKUP(BD$1,main!$A$3:$H$102,7,FALSE)=VLOOKUP($A78,main!$A$3:$H$102,8,FALSE),VLOOKUP(BD$1,main!$A$3:$H$102,4,FALSE),VLOOKUP(BD$1,main!$A$3:$H$102,4,FALSE)+VLOOKUP($A78,main!$A$3:$H$102,4,FALSE)+(VLOOKUP(VLOOKUP(BD$1,main!$A$3:$H$102,8,FALSE),main!$K$19:$O$22,MATCH(VLOOKUP($A78,main!$A$3:$H$102,7,FALSE),main!$K$18:$O$18,0),0))),0)</f>
        <v>310</v>
      </c>
      <c r="BE78">
        <f>IF((gamma!BE78),IF(VLOOKUP(BE$1,main!$A$3:$H$102,7,FALSE)=VLOOKUP($A78,main!$A$3:$H$102,8,FALSE),VLOOKUP(BE$1,main!$A$3:$H$102,4,FALSE),VLOOKUP(BE$1,main!$A$3:$H$102,4,FALSE)+VLOOKUP($A78,main!$A$3:$H$102,4,FALSE)+(VLOOKUP(VLOOKUP(BE$1,main!$A$3:$H$102,8,FALSE),main!$K$19:$O$22,MATCH(VLOOKUP($A78,main!$A$3:$H$102,7,FALSE),main!$K$18:$O$18,0),0))),0)</f>
        <v>310</v>
      </c>
      <c r="BF78">
        <f>IF((gamma!BF78),IF(VLOOKUP(BF$1,main!$A$3:$H$102,7,FALSE)=VLOOKUP($A78,main!$A$3:$H$102,8,FALSE),VLOOKUP(BF$1,main!$A$3:$H$102,4,FALSE),VLOOKUP(BF$1,main!$A$3:$H$102,4,FALSE)+VLOOKUP($A78,main!$A$3:$H$102,4,FALSE)+(VLOOKUP(VLOOKUP(BF$1,main!$A$3:$H$102,8,FALSE),main!$K$19:$O$22,MATCH(VLOOKUP($A78,main!$A$3:$H$102,7,FALSE),main!$K$18:$O$18,0),0))),0)</f>
        <v>0</v>
      </c>
      <c r="BG78">
        <f>IF((gamma!BG78),IF(VLOOKUP(BG$1,main!$A$3:$H$102,7,FALSE)=VLOOKUP($A78,main!$A$3:$H$102,8,FALSE),VLOOKUP(BG$1,main!$A$3:$H$102,4,FALSE),VLOOKUP(BG$1,main!$A$3:$H$102,4,FALSE)+VLOOKUP($A78,main!$A$3:$H$102,4,FALSE)+(VLOOKUP(VLOOKUP(BG$1,main!$A$3:$H$102,8,FALSE),main!$K$19:$O$22,MATCH(VLOOKUP($A78,main!$A$3:$H$102,7,FALSE),main!$K$18:$O$18,0),0))),0)</f>
        <v>0</v>
      </c>
      <c r="BH78">
        <f>IF((gamma!BH78),IF(VLOOKUP(BH$1,main!$A$3:$H$102,7,FALSE)=VLOOKUP($A78,main!$A$3:$H$102,8,FALSE),VLOOKUP(BH$1,main!$A$3:$H$102,4,FALSE),VLOOKUP(BH$1,main!$A$3:$H$102,4,FALSE)+VLOOKUP($A78,main!$A$3:$H$102,4,FALSE)+(VLOOKUP(VLOOKUP(BH$1,main!$A$3:$H$102,8,FALSE),main!$K$19:$O$22,MATCH(VLOOKUP($A78,main!$A$3:$H$102,7,FALSE),main!$K$18:$O$18,0),0))),0)</f>
        <v>295</v>
      </c>
      <c r="BI78">
        <f>IF((gamma!BI78),IF(VLOOKUP(BI$1,main!$A$3:$H$102,7,FALSE)=VLOOKUP($A78,main!$A$3:$H$102,8,FALSE),VLOOKUP(BI$1,main!$A$3:$H$102,4,FALSE),VLOOKUP(BI$1,main!$A$3:$H$102,4,FALSE)+VLOOKUP($A78,main!$A$3:$H$102,4,FALSE)+(VLOOKUP(VLOOKUP(BI$1,main!$A$3:$H$102,8,FALSE),main!$K$19:$O$22,MATCH(VLOOKUP($A78,main!$A$3:$H$102,7,FALSE),main!$K$18:$O$18,0),0))),0)</f>
        <v>230</v>
      </c>
      <c r="BJ78">
        <f>IF((gamma!BJ78),IF(VLOOKUP(BJ$1,main!$A$3:$H$102,7,FALSE)=VLOOKUP($A78,main!$A$3:$H$102,8,FALSE),VLOOKUP(BJ$1,main!$A$3:$H$102,4,FALSE),VLOOKUP(BJ$1,main!$A$3:$H$102,4,FALSE)+VLOOKUP($A78,main!$A$3:$H$102,4,FALSE)+(VLOOKUP(VLOOKUP(BJ$1,main!$A$3:$H$102,8,FALSE),main!$K$19:$O$22,MATCH(VLOOKUP($A78,main!$A$3:$H$102,7,FALSE),main!$K$18:$O$18,0),0))),0)</f>
        <v>260</v>
      </c>
      <c r="BK78">
        <f>IF((gamma!BK78),IF(VLOOKUP(BK$1,main!$A$3:$H$102,7,FALSE)=VLOOKUP($A78,main!$A$3:$H$102,8,FALSE),VLOOKUP(BK$1,main!$A$3:$H$102,4,FALSE),VLOOKUP(BK$1,main!$A$3:$H$102,4,FALSE)+VLOOKUP($A78,main!$A$3:$H$102,4,FALSE)+(VLOOKUP(VLOOKUP(BK$1,main!$A$3:$H$102,8,FALSE),main!$K$19:$O$22,MATCH(VLOOKUP($A78,main!$A$3:$H$102,7,FALSE),main!$K$18:$O$18,0),0))),0)</f>
        <v>0</v>
      </c>
      <c r="BL78">
        <f>IF((gamma!BL78),IF(VLOOKUP(BL$1,main!$A$3:$H$102,7,FALSE)=VLOOKUP($A78,main!$A$3:$H$102,8,FALSE),VLOOKUP(BL$1,main!$A$3:$H$102,4,FALSE),VLOOKUP(BL$1,main!$A$3:$H$102,4,FALSE)+VLOOKUP($A78,main!$A$3:$H$102,4,FALSE)+(VLOOKUP(VLOOKUP(BL$1,main!$A$3:$H$102,8,FALSE),main!$K$19:$O$22,MATCH(VLOOKUP($A78,main!$A$3:$H$102,7,FALSE),main!$K$18:$O$18,0),0))),0)</f>
        <v>0</v>
      </c>
      <c r="BM78">
        <f>IF((gamma!BM78),IF(VLOOKUP(BM$1,main!$A$3:$H$102,7,FALSE)=VLOOKUP($A78,main!$A$3:$H$102,8,FALSE),VLOOKUP(BM$1,main!$A$3:$H$102,4,FALSE),VLOOKUP(BM$1,main!$A$3:$H$102,4,FALSE)+VLOOKUP($A78,main!$A$3:$H$102,4,FALSE)+(VLOOKUP(VLOOKUP(BM$1,main!$A$3:$H$102,8,FALSE),main!$K$19:$O$22,MATCH(VLOOKUP($A78,main!$A$3:$H$102,7,FALSE),main!$K$18:$O$18,0),0))),0)</f>
        <v>0</v>
      </c>
      <c r="BN78">
        <f>IF((gamma!BN78),IF(VLOOKUP(BN$1,main!$A$3:$H$102,7,FALSE)=VLOOKUP($A78,main!$A$3:$H$102,8,FALSE),VLOOKUP(BN$1,main!$A$3:$H$102,4,FALSE),VLOOKUP(BN$1,main!$A$3:$H$102,4,FALSE)+VLOOKUP($A78,main!$A$3:$H$102,4,FALSE)+(VLOOKUP(VLOOKUP(BN$1,main!$A$3:$H$102,8,FALSE),main!$K$19:$O$22,MATCH(VLOOKUP($A78,main!$A$3:$H$102,7,FALSE),main!$K$18:$O$18,0),0))),0)</f>
        <v>288</v>
      </c>
      <c r="BO78">
        <f>IF((gamma!BO78),IF(VLOOKUP(BO$1,main!$A$3:$H$102,7,FALSE)=VLOOKUP($A78,main!$A$3:$H$102,8,FALSE),VLOOKUP(BO$1,main!$A$3:$H$102,4,FALSE),VLOOKUP(BO$1,main!$A$3:$H$102,4,FALSE)+VLOOKUP($A78,main!$A$3:$H$102,4,FALSE)+(VLOOKUP(VLOOKUP(BO$1,main!$A$3:$H$102,8,FALSE),main!$K$19:$O$22,MATCH(VLOOKUP($A78,main!$A$3:$H$102,7,FALSE),main!$K$18:$O$18,0),0))),0)</f>
        <v>0</v>
      </c>
      <c r="BP78">
        <f>IF((gamma!BP78),IF(VLOOKUP(BP$1,main!$A$3:$H$102,7,FALSE)=VLOOKUP($A78,main!$A$3:$H$102,8,FALSE),VLOOKUP(BP$1,main!$A$3:$H$102,4,FALSE),VLOOKUP(BP$1,main!$A$3:$H$102,4,FALSE)+VLOOKUP($A78,main!$A$3:$H$102,4,FALSE)+(VLOOKUP(VLOOKUP(BP$1,main!$A$3:$H$102,8,FALSE),main!$K$19:$O$22,MATCH(VLOOKUP($A78,main!$A$3:$H$102,7,FALSE),main!$K$18:$O$18,0),0))),0)</f>
        <v>0</v>
      </c>
      <c r="BQ78">
        <f>IF((gamma!BQ78),IF(VLOOKUP(BQ$1,main!$A$3:$H$102,7,FALSE)=VLOOKUP($A78,main!$A$3:$H$102,8,FALSE),VLOOKUP(BQ$1,main!$A$3:$H$102,4,FALSE),VLOOKUP(BQ$1,main!$A$3:$H$102,4,FALSE)+VLOOKUP($A78,main!$A$3:$H$102,4,FALSE)+(VLOOKUP(VLOOKUP(BQ$1,main!$A$3:$H$102,8,FALSE),main!$K$19:$O$22,MATCH(VLOOKUP($A78,main!$A$3:$H$102,7,FALSE),main!$K$18:$O$18,0),0))),0)</f>
        <v>308</v>
      </c>
      <c r="BR78">
        <f>IF((gamma!BR78),IF(VLOOKUP(BR$1,main!$A$3:$H$102,7,FALSE)=VLOOKUP($A78,main!$A$3:$H$102,8,FALSE),VLOOKUP(BR$1,main!$A$3:$H$102,4,FALSE),VLOOKUP(BR$1,main!$A$3:$H$102,4,FALSE)+VLOOKUP($A78,main!$A$3:$H$102,4,FALSE)+(VLOOKUP(VLOOKUP(BR$1,main!$A$3:$H$102,8,FALSE),main!$K$19:$O$22,MATCH(VLOOKUP($A78,main!$A$3:$H$102,7,FALSE),main!$K$18:$O$18,0),0))),0)</f>
        <v>268</v>
      </c>
      <c r="BS78">
        <f>IF((gamma!BS78),IF(VLOOKUP(BS$1,main!$A$3:$H$102,7,FALSE)=VLOOKUP($A78,main!$A$3:$H$102,8,FALSE),VLOOKUP(BS$1,main!$A$3:$H$102,4,FALSE),VLOOKUP(BS$1,main!$A$3:$H$102,4,FALSE)+VLOOKUP($A78,main!$A$3:$H$102,4,FALSE)+(VLOOKUP(VLOOKUP(BS$1,main!$A$3:$H$102,8,FALSE),main!$K$19:$O$22,MATCH(VLOOKUP($A78,main!$A$3:$H$102,7,FALSE),main!$K$18:$O$18,0),0))),0)</f>
        <v>269</v>
      </c>
      <c r="BT78">
        <f>IF((gamma!BT78),IF(VLOOKUP(BT$1,main!$A$3:$H$102,7,FALSE)=VLOOKUP($A78,main!$A$3:$H$102,8,FALSE),VLOOKUP(BT$1,main!$A$3:$H$102,4,FALSE),VLOOKUP(BT$1,main!$A$3:$H$102,4,FALSE)+VLOOKUP($A78,main!$A$3:$H$102,4,FALSE)+(VLOOKUP(VLOOKUP(BT$1,main!$A$3:$H$102,8,FALSE),main!$K$19:$O$22,MATCH(VLOOKUP($A78,main!$A$3:$H$102,7,FALSE),main!$K$18:$O$18,0),0))),0)</f>
        <v>288</v>
      </c>
      <c r="BU78">
        <f>IF((gamma!BU78),IF(VLOOKUP(BU$1,main!$A$3:$H$102,7,FALSE)=VLOOKUP($A78,main!$A$3:$H$102,8,FALSE),VLOOKUP(BU$1,main!$A$3:$H$102,4,FALSE),VLOOKUP(BU$1,main!$A$3:$H$102,4,FALSE)+VLOOKUP($A78,main!$A$3:$H$102,4,FALSE)+(VLOOKUP(VLOOKUP(BU$1,main!$A$3:$H$102,8,FALSE),main!$K$19:$O$22,MATCH(VLOOKUP($A78,main!$A$3:$H$102,7,FALSE),main!$K$18:$O$18,0),0))),0)</f>
        <v>0</v>
      </c>
      <c r="BV78">
        <f>IF((gamma!BV78),IF(VLOOKUP(BV$1,main!$A$3:$H$102,7,FALSE)=VLOOKUP($A78,main!$A$3:$H$102,8,FALSE),VLOOKUP(BV$1,main!$A$3:$H$102,4,FALSE),VLOOKUP(BV$1,main!$A$3:$H$102,4,FALSE)+VLOOKUP($A78,main!$A$3:$H$102,4,FALSE)+(VLOOKUP(VLOOKUP(BV$1,main!$A$3:$H$102,8,FALSE),main!$K$19:$O$22,MATCH(VLOOKUP($A78,main!$A$3:$H$102,7,FALSE),main!$K$18:$O$18,0),0))),0)</f>
        <v>0</v>
      </c>
      <c r="BW78">
        <f>IF((gamma!BW78),IF(VLOOKUP(BW$1,main!$A$3:$H$102,7,FALSE)=VLOOKUP($A78,main!$A$3:$H$102,8,FALSE),VLOOKUP(BW$1,main!$A$3:$H$102,4,FALSE),VLOOKUP(BW$1,main!$A$3:$H$102,4,FALSE)+VLOOKUP($A78,main!$A$3:$H$102,4,FALSE)+(VLOOKUP(VLOOKUP(BW$1,main!$A$3:$H$102,8,FALSE),main!$K$19:$O$22,MATCH(VLOOKUP($A78,main!$A$3:$H$102,7,FALSE),main!$K$18:$O$18,0),0))),0)</f>
        <v>0</v>
      </c>
      <c r="BX78">
        <f>IF((gamma!BX78),IF(VLOOKUP(BX$1,main!$A$3:$H$102,7,FALSE)=VLOOKUP($A78,main!$A$3:$H$102,8,FALSE),VLOOKUP(BX$1,main!$A$3:$H$102,4,FALSE),VLOOKUP(BX$1,main!$A$3:$H$102,4,FALSE)+VLOOKUP($A78,main!$A$3:$H$102,4,FALSE)+(VLOOKUP(VLOOKUP(BX$1,main!$A$3:$H$102,8,FALSE),main!$K$19:$O$22,MATCH(VLOOKUP($A78,main!$A$3:$H$102,7,FALSE),main!$K$18:$O$18,0),0))),0)</f>
        <v>308</v>
      </c>
      <c r="BY78">
        <f>IF((gamma!BY78),IF(VLOOKUP(BY$1,main!$A$3:$H$102,7,FALSE)=VLOOKUP($A78,main!$A$3:$H$102,8,FALSE),VLOOKUP(BY$1,main!$A$3:$H$102,4,FALSE),VLOOKUP(BY$1,main!$A$3:$H$102,4,FALSE)+VLOOKUP($A78,main!$A$3:$H$102,4,FALSE)+(VLOOKUP(VLOOKUP(BY$1,main!$A$3:$H$102,8,FALSE),main!$K$19:$O$22,MATCH(VLOOKUP($A78,main!$A$3:$H$102,7,FALSE),main!$K$18:$O$18,0),0))),0)</f>
        <v>293</v>
      </c>
      <c r="BZ78">
        <f>IF((gamma!BZ78),IF(VLOOKUP(BZ$1,main!$A$3:$H$102,7,FALSE)=VLOOKUP($A78,main!$A$3:$H$102,8,FALSE),VLOOKUP(BZ$1,main!$A$3:$H$102,4,FALSE),VLOOKUP(BZ$1,main!$A$3:$H$102,4,FALSE)+VLOOKUP($A78,main!$A$3:$H$102,4,FALSE)+(VLOOKUP(VLOOKUP(BZ$1,main!$A$3:$H$102,8,FALSE),main!$K$19:$O$22,MATCH(VLOOKUP($A78,main!$A$3:$H$102,7,FALSE),main!$K$18:$O$18,0),0))),0)</f>
        <v>0</v>
      </c>
      <c r="CA78">
        <f>IF((gamma!CA78),IF(VLOOKUP(CA$1,main!$A$3:$H$102,7,FALSE)=VLOOKUP($A78,main!$A$3:$H$102,8,FALSE),VLOOKUP(CA$1,main!$A$3:$H$102,4,FALSE),VLOOKUP(CA$1,main!$A$3:$H$102,4,FALSE)+VLOOKUP($A78,main!$A$3:$H$102,4,FALSE)+(VLOOKUP(VLOOKUP(CA$1,main!$A$3:$H$102,8,FALSE),main!$K$19:$O$22,MATCH(VLOOKUP($A78,main!$A$3:$H$102,7,FALSE),main!$K$18:$O$18,0),0))),0)</f>
        <v>0</v>
      </c>
      <c r="CB78">
        <f>IF((gamma!CB78),IF(VLOOKUP(CB$1,main!$A$3:$H$102,7,FALSE)=VLOOKUP($A78,main!$A$3:$H$102,8,FALSE),VLOOKUP(CB$1,main!$A$3:$H$102,4,FALSE),VLOOKUP(CB$1,main!$A$3:$H$102,4,FALSE)+VLOOKUP($A78,main!$A$3:$H$102,4,FALSE)+(VLOOKUP(VLOOKUP(CB$1,main!$A$3:$H$102,8,FALSE),main!$K$19:$O$22,MATCH(VLOOKUP($A78,main!$A$3:$H$102,7,FALSE),main!$K$18:$O$18,0),0))),0)</f>
        <v>238</v>
      </c>
      <c r="CC78">
        <f>IF((gamma!CC78),IF(VLOOKUP(CC$1,main!$A$3:$H$102,7,FALSE)=VLOOKUP($A78,main!$A$3:$H$102,8,FALSE),VLOOKUP(CC$1,main!$A$3:$H$102,4,FALSE),VLOOKUP(CC$1,main!$A$3:$H$102,4,FALSE)+VLOOKUP($A78,main!$A$3:$H$102,4,FALSE)+(VLOOKUP(VLOOKUP(CC$1,main!$A$3:$H$102,8,FALSE),main!$K$19:$O$22,MATCH(VLOOKUP($A78,main!$A$3:$H$102,7,FALSE),main!$K$18:$O$18,0),0))),0)</f>
        <v>228</v>
      </c>
      <c r="CD78">
        <f>IF((gamma!CD78),IF(VLOOKUP(CD$1,main!$A$3:$H$102,7,FALSE)=VLOOKUP($A78,main!$A$3:$H$102,8,FALSE),VLOOKUP(CD$1,main!$A$3:$H$102,4,FALSE),VLOOKUP(CD$1,main!$A$3:$H$102,4,FALSE)+VLOOKUP($A78,main!$A$3:$H$102,4,FALSE)+(VLOOKUP(VLOOKUP(CD$1,main!$A$3:$H$102,8,FALSE),main!$K$19:$O$22,MATCH(VLOOKUP($A78,main!$A$3:$H$102,7,FALSE),main!$K$18:$O$18,0),0))),0)</f>
        <v>287</v>
      </c>
      <c r="CE78">
        <f>IF((gamma!CE78),IF(VLOOKUP(CE$1,main!$A$3:$H$102,7,FALSE)=VLOOKUP($A78,main!$A$3:$H$102,8,FALSE),VLOOKUP(CE$1,main!$A$3:$H$102,4,FALSE),VLOOKUP(CE$1,main!$A$3:$H$102,4,FALSE)+VLOOKUP($A78,main!$A$3:$H$102,4,FALSE)+(VLOOKUP(VLOOKUP(CE$1,main!$A$3:$H$102,8,FALSE),main!$K$19:$O$22,MATCH(VLOOKUP($A78,main!$A$3:$H$102,7,FALSE),main!$K$18:$O$18,0),0))),0)</f>
        <v>140</v>
      </c>
      <c r="CF78">
        <f>IF((gamma!CF78),IF(VLOOKUP(CF$1,main!$A$3:$H$102,7,FALSE)=VLOOKUP($A78,main!$A$3:$H$102,8,FALSE),VLOOKUP(CF$1,main!$A$3:$H$102,4,FALSE),VLOOKUP(CF$1,main!$A$3:$H$102,4,FALSE)+VLOOKUP($A78,main!$A$3:$H$102,4,FALSE)+(VLOOKUP(VLOOKUP(CF$1,main!$A$3:$H$102,8,FALSE),main!$K$19:$O$22,MATCH(VLOOKUP($A78,main!$A$3:$H$102,7,FALSE),main!$K$18:$O$18,0),0))),0)</f>
        <v>135</v>
      </c>
      <c r="CG78">
        <f>IF((gamma!CG78),IF(VLOOKUP(CG$1,main!$A$3:$H$102,7,FALSE)=VLOOKUP($A78,main!$A$3:$H$102,8,FALSE),VLOOKUP(CG$1,main!$A$3:$H$102,4,FALSE),VLOOKUP(CG$1,main!$A$3:$H$102,4,FALSE)+VLOOKUP($A78,main!$A$3:$H$102,4,FALSE)+(VLOOKUP(VLOOKUP(CG$1,main!$A$3:$H$102,8,FALSE),main!$K$19:$O$22,MATCH(VLOOKUP($A78,main!$A$3:$H$102,7,FALSE),main!$K$18:$O$18,0),0))),0)</f>
        <v>140</v>
      </c>
      <c r="CH78">
        <f>IF((gamma!CH78),IF(VLOOKUP(CH$1,main!$A$3:$H$102,7,FALSE)=VLOOKUP($A78,main!$A$3:$H$102,8,FALSE),VLOOKUP(CH$1,main!$A$3:$H$102,4,FALSE),VLOOKUP(CH$1,main!$A$3:$H$102,4,FALSE)+VLOOKUP($A78,main!$A$3:$H$102,4,FALSE)+(VLOOKUP(VLOOKUP(CH$1,main!$A$3:$H$102,8,FALSE),main!$K$19:$O$22,MATCH(VLOOKUP($A78,main!$A$3:$H$102,7,FALSE),main!$K$18:$O$18,0),0))),0)</f>
        <v>140</v>
      </c>
      <c r="CI78">
        <f>IF((gamma!CI78),IF(VLOOKUP(CI$1,main!$A$3:$H$102,7,FALSE)=VLOOKUP($A78,main!$A$3:$H$102,8,FALSE),VLOOKUP(CI$1,main!$A$3:$H$102,4,FALSE),VLOOKUP(CI$1,main!$A$3:$H$102,4,FALSE)+VLOOKUP($A78,main!$A$3:$H$102,4,FALSE)+(VLOOKUP(VLOOKUP(CI$1,main!$A$3:$H$102,8,FALSE),main!$K$19:$O$22,MATCH(VLOOKUP($A78,main!$A$3:$H$102,7,FALSE),main!$K$18:$O$18,0),0))),0)</f>
        <v>140</v>
      </c>
      <c r="CJ78">
        <f>IF((gamma!CJ78),IF(VLOOKUP(CJ$1,main!$A$3:$H$102,7,FALSE)=VLOOKUP($A78,main!$A$3:$H$102,8,FALSE),VLOOKUP(CJ$1,main!$A$3:$H$102,4,FALSE),VLOOKUP(CJ$1,main!$A$3:$H$102,4,FALSE)+VLOOKUP($A78,main!$A$3:$H$102,4,FALSE)+(VLOOKUP(VLOOKUP(CJ$1,main!$A$3:$H$102,8,FALSE),main!$K$19:$O$22,MATCH(VLOOKUP($A78,main!$A$3:$H$102,7,FALSE),main!$K$18:$O$18,0),0))),0)</f>
        <v>68</v>
      </c>
      <c r="CK78">
        <f>IF((gamma!CK78),IF(VLOOKUP(CK$1,main!$A$3:$H$102,7,FALSE)=VLOOKUP($A78,main!$A$3:$H$102,8,FALSE),VLOOKUP(CK$1,main!$A$3:$H$102,4,FALSE),VLOOKUP(CK$1,main!$A$3:$H$102,4,FALSE)+VLOOKUP($A78,main!$A$3:$H$102,4,FALSE)+(VLOOKUP(VLOOKUP(CK$1,main!$A$3:$H$102,8,FALSE),main!$K$19:$O$22,MATCH(VLOOKUP($A78,main!$A$3:$H$102,7,FALSE),main!$K$18:$O$18,0),0))),0)</f>
        <v>75</v>
      </c>
      <c r="CL78">
        <f>IF((gamma!CL78),IF(VLOOKUP(CL$1,main!$A$3:$H$102,7,FALSE)=VLOOKUP($A78,main!$A$3:$H$102,8,FALSE),VLOOKUP(CL$1,main!$A$3:$H$102,4,FALSE),VLOOKUP(CL$1,main!$A$3:$H$102,4,FALSE)+VLOOKUP($A78,main!$A$3:$H$102,4,FALSE)+(VLOOKUP(VLOOKUP(CL$1,main!$A$3:$H$102,8,FALSE),main!$K$19:$O$22,MATCH(VLOOKUP($A78,main!$A$3:$H$102,7,FALSE),main!$K$18:$O$18,0),0))),0)</f>
        <v>80</v>
      </c>
      <c r="CM78">
        <f>IF((gamma!CM78),IF(VLOOKUP(CM$1,main!$A$3:$H$102,7,FALSE)=VLOOKUP($A78,main!$A$3:$H$102,8,FALSE),VLOOKUP(CM$1,main!$A$3:$H$102,4,FALSE),VLOOKUP(CM$1,main!$A$3:$H$102,4,FALSE)+VLOOKUP($A78,main!$A$3:$H$102,4,FALSE)+(VLOOKUP(VLOOKUP(CM$1,main!$A$3:$H$102,8,FALSE),main!$K$19:$O$22,MATCH(VLOOKUP($A78,main!$A$3:$H$102,7,FALSE),main!$K$18:$O$18,0),0))),0)</f>
        <v>100</v>
      </c>
      <c r="CN78">
        <f>IF((gamma!CN78),IF(VLOOKUP(CN$1,main!$A$3:$H$102,7,FALSE)=VLOOKUP($A78,main!$A$3:$H$102,8,FALSE),VLOOKUP(CN$1,main!$A$3:$H$102,4,FALSE),VLOOKUP(CN$1,main!$A$3:$H$102,4,FALSE)+VLOOKUP($A78,main!$A$3:$H$102,4,FALSE)+(VLOOKUP(VLOOKUP(CN$1,main!$A$3:$H$102,8,FALSE),main!$K$19:$O$22,MATCH(VLOOKUP($A78,main!$A$3:$H$102,7,FALSE),main!$K$18:$O$18,0),0))),0)</f>
        <v>96</v>
      </c>
      <c r="CO78">
        <f>IF((gamma!CO78),IF(VLOOKUP(CO$1,main!$A$3:$H$102,7,FALSE)=VLOOKUP($A78,main!$A$3:$H$102,8,FALSE),VLOOKUP(CO$1,main!$A$3:$H$102,4,FALSE),VLOOKUP(CO$1,main!$A$3:$H$102,4,FALSE)+VLOOKUP($A78,main!$A$3:$H$102,4,FALSE)+(VLOOKUP(VLOOKUP(CO$1,main!$A$3:$H$102,8,FALSE),main!$K$19:$O$22,MATCH(VLOOKUP($A78,main!$A$3:$H$102,7,FALSE),main!$K$18:$O$18,0),0))),0)</f>
        <v>0</v>
      </c>
      <c r="CP78">
        <f>IF((gamma!CP78),IF(VLOOKUP(CP$1,main!$A$3:$H$102,7,FALSE)=VLOOKUP($A78,main!$A$3:$H$102,8,FALSE),VLOOKUP(CP$1,main!$A$3:$H$102,4,FALSE),VLOOKUP(CP$1,main!$A$3:$H$102,4,FALSE)+VLOOKUP($A78,main!$A$3:$H$102,4,FALSE)+(VLOOKUP(VLOOKUP(CP$1,main!$A$3:$H$102,8,FALSE),main!$K$19:$O$22,MATCH(VLOOKUP($A78,main!$A$3:$H$102,7,FALSE),main!$K$18:$O$18,0),0))),0)</f>
        <v>120</v>
      </c>
      <c r="CQ78">
        <f>IF((gamma!CQ78),IF(VLOOKUP(CQ$1,main!$A$3:$H$102,7,FALSE)=VLOOKUP($A78,main!$A$3:$H$102,8,FALSE),VLOOKUP(CQ$1,main!$A$3:$H$102,4,FALSE),VLOOKUP(CQ$1,main!$A$3:$H$102,4,FALSE)+VLOOKUP($A78,main!$A$3:$H$102,4,FALSE)+(VLOOKUP(VLOOKUP(CQ$1,main!$A$3:$H$102,8,FALSE),main!$K$19:$O$22,MATCH(VLOOKUP($A78,main!$A$3:$H$102,7,FALSE),main!$K$18:$O$18,0),0))),0)</f>
        <v>120</v>
      </c>
      <c r="CR78">
        <f>IF((gamma!CR78),IF(VLOOKUP(CR$1,main!$A$3:$H$102,7,FALSE)=VLOOKUP($A78,main!$A$3:$H$102,8,FALSE),VLOOKUP(CR$1,main!$A$3:$H$102,4,FALSE),VLOOKUP(CR$1,main!$A$3:$H$102,4,FALSE)+VLOOKUP($A78,main!$A$3:$H$102,4,FALSE)+(VLOOKUP(VLOOKUP(CR$1,main!$A$3:$H$102,8,FALSE),main!$K$19:$O$22,MATCH(VLOOKUP($A78,main!$A$3:$H$102,7,FALSE),main!$K$18:$O$18,0),0))),0)</f>
        <v>135</v>
      </c>
      <c r="CS78">
        <f>IF((gamma!CS78),IF(VLOOKUP(CS$1,main!$A$3:$H$102,7,FALSE)=VLOOKUP($A78,main!$A$3:$H$102,8,FALSE),VLOOKUP(CS$1,main!$A$3:$H$102,4,FALSE),VLOOKUP(CS$1,main!$A$3:$H$102,4,FALSE)+VLOOKUP($A78,main!$A$3:$H$102,4,FALSE)+(VLOOKUP(VLOOKUP(CS$1,main!$A$3:$H$102,8,FALSE),main!$K$19:$O$22,MATCH(VLOOKUP($A78,main!$A$3:$H$102,7,FALSE),main!$K$18:$O$18,0),0))),0)</f>
        <v>135</v>
      </c>
      <c r="CT78">
        <f>IF((gamma!CT78),IF(VLOOKUP(CT$1,main!$A$3:$H$102,7,FALSE)=VLOOKUP($A78,main!$A$3:$H$102,8,FALSE),VLOOKUP(CT$1,main!$A$3:$H$102,4,FALSE),VLOOKUP(CT$1,main!$A$3:$H$102,4,FALSE)+VLOOKUP($A78,main!$A$3:$H$102,4,FALSE)+(VLOOKUP(VLOOKUP(CT$1,main!$A$3:$H$102,8,FALSE),main!$K$19:$O$22,MATCH(VLOOKUP($A78,main!$A$3:$H$102,7,FALSE),main!$K$18:$O$18,0),0))),0)</f>
        <v>0</v>
      </c>
      <c r="CU78">
        <f>IF((gamma!CU78),IF(VLOOKUP(CU$1,main!$A$3:$H$102,7,FALSE)=VLOOKUP($A78,main!$A$3:$H$102,8,FALSE),VLOOKUP(CU$1,main!$A$3:$H$102,4,FALSE),VLOOKUP(CU$1,main!$A$3:$H$102,4,FALSE)+VLOOKUP($A78,main!$A$3:$H$102,4,FALSE)+(VLOOKUP(VLOOKUP(CU$1,main!$A$3:$H$102,8,FALSE),main!$K$19:$O$22,MATCH(VLOOKUP($A78,main!$A$3:$H$102,7,FALSE),main!$K$18:$O$18,0),0))),0)</f>
        <v>0</v>
      </c>
      <c r="CV78">
        <f>IF((gamma!CV78),IF(VLOOKUP(CV$1,main!$A$3:$H$102,7,FALSE)=VLOOKUP($A78,main!$A$3:$H$102,8,FALSE),VLOOKUP(CV$1,main!$A$3:$H$102,4,FALSE),VLOOKUP(CV$1,main!$A$3:$H$102,4,FALSE)+VLOOKUP($A78,main!$A$3:$H$102,4,FALSE)+(VLOOKUP(VLOOKUP(CV$1,main!$A$3:$H$102,8,FALSE),main!$K$19:$O$22,MATCH(VLOOKUP($A78,main!$A$3:$H$102,7,FALSE),main!$K$18:$O$18,0),0))),0)</f>
        <v>80</v>
      </c>
      <c r="CW78">
        <f>IF((gamma!CW78),IF(VLOOKUP(CW$1,main!$A$3:$H$102,7,FALSE)=VLOOKUP($A78,main!$A$3:$H$102,8,FALSE),VLOOKUP(CW$1,main!$A$3:$H$102,4,FALSE),VLOOKUP(CW$1,main!$A$3:$H$102,4,FALSE)+VLOOKUP($A78,main!$A$3:$H$102,4,FALSE)+(VLOOKUP(VLOOKUP(CW$1,main!$A$3:$H$102,8,FALSE),main!$K$19:$O$22,MATCH(VLOOKUP($A78,main!$A$3:$H$102,7,FALSE),main!$K$18:$O$18,0),0))),0)</f>
        <v>95</v>
      </c>
      <c r="CX78">
        <f>IF((gamma!CX78),IF(VLOOKUP(CX$1,main!$A$3:$H$102,7,FALSE)=VLOOKUP($A78,main!$A$3:$H$102,8,FALSE),VLOOKUP(CX$1,main!$A$3:$H$102,4,FALSE),VLOOKUP(CX$1,main!$A$3:$H$102,4,FALSE)+VLOOKUP($A78,main!$A$3:$H$102,4,FALSE)+(VLOOKUP(VLOOKUP(CX$1,main!$A$3:$H$102,8,FALSE),main!$K$19:$O$22,MATCH(VLOOKUP($A78,main!$A$3:$H$102,7,FALSE),main!$K$18:$O$18,0),0))),0)</f>
        <v>85</v>
      </c>
      <c r="CY78">
        <v>0</v>
      </c>
      <c r="CZ78">
        <v>0</v>
      </c>
      <c r="DA78">
        <v>0</v>
      </c>
    </row>
    <row r="79" spans="1:105" x14ac:dyDescent="0.25">
      <c r="A79" s="1">
        <v>77</v>
      </c>
      <c r="B79">
        <v>0</v>
      </c>
      <c r="C79">
        <f>IF((gamma!C79),IF(VLOOKUP(C$1,main!$A$3:$H$102,7,FALSE)=VLOOKUP($A79,main!$A$3:$H$102,8,FALSE),VLOOKUP(C$1,main!$A$3:$H$102,4,FALSE),VLOOKUP(C$1,main!$A$3:$H$102,4,FALSE)+VLOOKUP($A79,main!$A$3:$H$102,4,FALSE)+(VLOOKUP(VLOOKUP(C$1,main!$A$3:$H$102,8,FALSE),main!$K$19:$O$22,MATCH(VLOOKUP($A79,main!$A$3:$H$102,7,FALSE),main!$K$18:$O$18,0),0))),0)</f>
        <v>0</v>
      </c>
      <c r="D79">
        <f>IF((gamma!D79),IF(VLOOKUP(D$1,main!$A$3:$H$102,7,FALSE)=VLOOKUP($A79,main!$A$3:$H$102,8,FALSE),VLOOKUP(D$1,main!$A$3:$H$102,4,FALSE),VLOOKUP(D$1,main!$A$3:$H$102,4,FALSE)+VLOOKUP($A79,main!$A$3:$H$102,4,FALSE)+(VLOOKUP(VLOOKUP(D$1,main!$A$3:$H$102,8,FALSE),main!$K$19:$O$22,MATCH(VLOOKUP($A79,main!$A$3:$H$102,7,FALSE),main!$K$18:$O$18,0),0))),0)</f>
        <v>0</v>
      </c>
      <c r="E79">
        <f>IF((gamma!E79),IF(VLOOKUP(E$1,main!$A$3:$H$102,7,FALSE)=VLOOKUP($A79,main!$A$3:$H$102,8,FALSE),VLOOKUP(E$1,main!$A$3:$H$102,4,FALSE),VLOOKUP(E$1,main!$A$3:$H$102,4,FALSE)+VLOOKUP($A79,main!$A$3:$H$102,4,FALSE)+(VLOOKUP(VLOOKUP(E$1,main!$A$3:$H$102,8,FALSE),main!$K$19:$O$22,MATCH(VLOOKUP($A79,main!$A$3:$H$102,7,FALSE),main!$K$18:$O$18,0),0))),0)</f>
        <v>238</v>
      </c>
      <c r="F79">
        <f>IF((gamma!F79),IF(VLOOKUP(F$1,main!$A$3:$H$102,7,FALSE)=VLOOKUP($A79,main!$A$3:$H$102,8,FALSE),VLOOKUP(F$1,main!$A$3:$H$102,4,FALSE),VLOOKUP(F$1,main!$A$3:$H$102,4,FALSE)+VLOOKUP($A79,main!$A$3:$H$102,4,FALSE)+(VLOOKUP(VLOOKUP(F$1,main!$A$3:$H$102,8,FALSE),main!$K$19:$O$22,MATCH(VLOOKUP($A79,main!$A$3:$H$102,7,FALSE),main!$K$18:$O$18,0),0))),0)</f>
        <v>238</v>
      </c>
      <c r="G79">
        <f>IF((gamma!G79),IF(VLOOKUP(G$1,main!$A$3:$H$102,7,FALSE)=VLOOKUP($A79,main!$A$3:$H$102,8,FALSE),VLOOKUP(G$1,main!$A$3:$H$102,4,FALSE),VLOOKUP(G$1,main!$A$3:$H$102,4,FALSE)+VLOOKUP($A79,main!$A$3:$H$102,4,FALSE)+(VLOOKUP(VLOOKUP(G$1,main!$A$3:$H$102,8,FALSE),main!$K$19:$O$22,MATCH(VLOOKUP($A79,main!$A$3:$H$102,7,FALSE),main!$K$18:$O$18,0),0))),0)</f>
        <v>238</v>
      </c>
      <c r="H79">
        <f>IF((gamma!H79),IF(VLOOKUP(H$1,main!$A$3:$H$102,7,FALSE)=VLOOKUP($A79,main!$A$3:$H$102,8,FALSE),VLOOKUP(H$1,main!$A$3:$H$102,4,FALSE),VLOOKUP(H$1,main!$A$3:$H$102,4,FALSE)+VLOOKUP($A79,main!$A$3:$H$102,4,FALSE)+(VLOOKUP(VLOOKUP(H$1,main!$A$3:$H$102,8,FALSE),main!$K$19:$O$22,MATCH(VLOOKUP($A79,main!$A$3:$H$102,7,FALSE),main!$K$18:$O$18,0),0))),0)</f>
        <v>238</v>
      </c>
      <c r="I79">
        <f>IF((gamma!I79),IF(VLOOKUP(I$1,main!$A$3:$H$102,7,FALSE)=VLOOKUP($A79,main!$A$3:$H$102,8,FALSE),VLOOKUP(I$1,main!$A$3:$H$102,4,FALSE),VLOOKUP(I$1,main!$A$3:$H$102,4,FALSE)+VLOOKUP($A79,main!$A$3:$H$102,4,FALSE)+(VLOOKUP(VLOOKUP(I$1,main!$A$3:$H$102,8,FALSE),main!$K$19:$O$22,MATCH(VLOOKUP($A79,main!$A$3:$H$102,7,FALSE),main!$K$18:$O$18,0),0))),0)</f>
        <v>238</v>
      </c>
      <c r="J79">
        <f>IF((gamma!J79),IF(VLOOKUP(J$1,main!$A$3:$H$102,7,FALSE)=VLOOKUP($A79,main!$A$3:$H$102,8,FALSE),VLOOKUP(J$1,main!$A$3:$H$102,4,FALSE),VLOOKUP(J$1,main!$A$3:$H$102,4,FALSE)+VLOOKUP($A79,main!$A$3:$H$102,4,FALSE)+(VLOOKUP(VLOOKUP(J$1,main!$A$3:$H$102,8,FALSE),main!$K$19:$O$22,MATCH(VLOOKUP($A79,main!$A$3:$H$102,7,FALSE),main!$K$18:$O$18,0),0))),0)</f>
        <v>238</v>
      </c>
      <c r="K79">
        <f>IF((gamma!K79),IF(VLOOKUP(K$1,main!$A$3:$H$102,7,FALSE)=VLOOKUP($A79,main!$A$3:$H$102,8,FALSE),VLOOKUP(K$1,main!$A$3:$H$102,4,FALSE),VLOOKUP(K$1,main!$A$3:$H$102,4,FALSE)+VLOOKUP($A79,main!$A$3:$H$102,4,FALSE)+(VLOOKUP(VLOOKUP(K$1,main!$A$3:$H$102,8,FALSE),main!$K$19:$O$22,MATCH(VLOOKUP($A79,main!$A$3:$H$102,7,FALSE),main!$K$18:$O$18,0),0))),0)</f>
        <v>238</v>
      </c>
      <c r="L79">
        <f>IF((gamma!L79),IF(VLOOKUP(L$1,main!$A$3:$H$102,7,FALSE)=VLOOKUP($A79,main!$A$3:$H$102,8,FALSE),VLOOKUP(L$1,main!$A$3:$H$102,4,FALSE),VLOOKUP(L$1,main!$A$3:$H$102,4,FALSE)+VLOOKUP($A79,main!$A$3:$H$102,4,FALSE)+(VLOOKUP(VLOOKUP(L$1,main!$A$3:$H$102,8,FALSE),main!$K$19:$O$22,MATCH(VLOOKUP($A79,main!$A$3:$H$102,7,FALSE),main!$K$18:$O$18,0),0))),0)</f>
        <v>238</v>
      </c>
      <c r="M79">
        <f>IF((gamma!M79),IF(VLOOKUP(M$1,main!$A$3:$H$102,7,FALSE)=VLOOKUP($A79,main!$A$3:$H$102,8,FALSE),VLOOKUP(M$1,main!$A$3:$H$102,4,FALSE),VLOOKUP(M$1,main!$A$3:$H$102,4,FALSE)+VLOOKUP($A79,main!$A$3:$H$102,4,FALSE)+(VLOOKUP(VLOOKUP(M$1,main!$A$3:$H$102,8,FALSE),main!$K$19:$O$22,MATCH(VLOOKUP($A79,main!$A$3:$H$102,7,FALSE),main!$K$18:$O$18,0),0))),0)</f>
        <v>0</v>
      </c>
      <c r="N79">
        <f>IF((gamma!N79),IF(VLOOKUP(N$1,main!$A$3:$H$102,7,FALSE)=VLOOKUP($A79,main!$A$3:$H$102,8,FALSE),VLOOKUP(N$1,main!$A$3:$H$102,4,FALSE),VLOOKUP(N$1,main!$A$3:$H$102,4,FALSE)+VLOOKUP($A79,main!$A$3:$H$102,4,FALSE)+(VLOOKUP(VLOOKUP(N$1,main!$A$3:$H$102,8,FALSE),main!$K$19:$O$22,MATCH(VLOOKUP($A79,main!$A$3:$H$102,7,FALSE),main!$K$18:$O$18,0),0))),0)</f>
        <v>0</v>
      </c>
      <c r="O79">
        <f>IF((gamma!O79),IF(VLOOKUP(O$1,main!$A$3:$H$102,7,FALSE)=VLOOKUP($A79,main!$A$3:$H$102,8,FALSE),VLOOKUP(O$1,main!$A$3:$H$102,4,FALSE),VLOOKUP(O$1,main!$A$3:$H$102,4,FALSE)+VLOOKUP($A79,main!$A$3:$H$102,4,FALSE)+(VLOOKUP(VLOOKUP(O$1,main!$A$3:$H$102,8,FALSE),main!$K$19:$O$22,MATCH(VLOOKUP($A79,main!$A$3:$H$102,7,FALSE),main!$K$18:$O$18,0),0))),0)</f>
        <v>0</v>
      </c>
      <c r="P79">
        <f>IF((gamma!P79),IF(VLOOKUP(P$1,main!$A$3:$H$102,7,FALSE)=VLOOKUP($A79,main!$A$3:$H$102,8,FALSE),VLOOKUP(P$1,main!$A$3:$H$102,4,FALSE),VLOOKUP(P$1,main!$A$3:$H$102,4,FALSE)+VLOOKUP($A79,main!$A$3:$H$102,4,FALSE)+(VLOOKUP(VLOOKUP(P$1,main!$A$3:$H$102,8,FALSE),main!$K$19:$O$22,MATCH(VLOOKUP($A79,main!$A$3:$H$102,7,FALSE),main!$K$18:$O$18,0),0))),0)</f>
        <v>0</v>
      </c>
      <c r="Q79">
        <f>IF((gamma!Q79),IF(VLOOKUP(Q$1,main!$A$3:$H$102,7,FALSE)=VLOOKUP($A79,main!$A$3:$H$102,8,FALSE),VLOOKUP(Q$1,main!$A$3:$H$102,4,FALSE),VLOOKUP(Q$1,main!$A$3:$H$102,4,FALSE)+VLOOKUP($A79,main!$A$3:$H$102,4,FALSE)+(VLOOKUP(VLOOKUP(Q$1,main!$A$3:$H$102,8,FALSE),main!$K$19:$O$22,MATCH(VLOOKUP($A79,main!$A$3:$H$102,7,FALSE),main!$K$18:$O$18,0),0))),0)</f>
        <v>215</v>
      </c>
      <c r="R79">
        <f>IF((gamma!R79),IF(VLOOKUP(R$1,main!$A$3:$H$102,7,FALSE)=VLOOKUP($A79,main!$A$3:$H$102,8,FALSE),VLOOKUP(R$1,main!$A$3:$H$102,4,FALSE),VLOOKUP(R$1,main!$A$3:$H$102,4,FALSE)+VLOOKUP($A79,main!$A$3:$H$102,4,FALSE)+(VLOOKUP(VLOOKUP(R$1,main!$A$3:$H$102,8,FALSE),main!$K$19:$O$22,MATCH(VLOOKUP($A79,main!$A$3:$H$102,7,FALSE),main!$K$18:$O$18,0),0))),0)</f>
        <v>215</v>
      </c>
      <c r="S79">
        <f>IF((gamma!S79),IF(VLOOKUP(S$1,main!$A$3:$H$102,7,FALSE)=VLOOKUP($A79,main!$A$3:$H$102,8,FALSE),VLOOKUP(S$1,main!$A$3:$H$102,4,FALSE),VLOOKUP(S$1,main!$A$3:$H$102,4,FALSE)+VLOOKUP($A79,main!$A$3:$H$102,4,FALSE)+(VLOOKUP(VLOOKUP(S$1,main!$A$3:$H$102,8,FALSE),main!$K$19:$O$22,MATCH(VLOOKUP($A79,main!$A$3:$H$102,7,FALSE),main!$K$18:$O$18,0),0))),0)</f>
        <v>215</v>
      </c>
      <c r="T79">
        <f>IF((gamma!T79),IF(VLOOKUP(T$1,main!$A$3:$H$102,7,FALSE)=VLOOKUP($A79,main!$A$3:$H$102,8,FALSE),VLOOKUP(T$1,main!$A$3:$H$102,4,FALSE),VLOOKUP(T$1,main!$A$3:$H$102,4,FALSE)+VLOOKUP($A79,main!$A$3:$H$102,4,FALSE)+(VLOOKUP(VLOOKUP(T$1,main!$A$3:$H$102,8,FALSE),main!$K$19:$O$22,MATCH(VLOOKUP($A79,main!$A$3:$H$102,7,FALSE),main!$K$18:$O$18,0),0))),0)</f>
        <v>215</v>
      </c>
      <c r="U79">
        <f>IF((gamma!U79),IF(VLOOKUP(U$1,main!$A$3:$H$102,7,FALSE)=VLOOKUP($A79,main!$A$3:$H$102,8,FALSE),VLOOKUP(U$1,main!$A$3:$H$102,4,FALSE),VLOOKUP(U$1,main!$A$3:$H$102,4,FALSE)+VLOOKUP($A79,main!$A$3:$H$102,4,FALSE)+(VLOOKUP(VLOOKUP(U$1,main!$A$3:$H$102,8,FALSE),main!$K$19:$O$22,MATCH(VLOOKUP($A79,main!$A$3:$H$102,7,FALSE),main!$K$18:$O$18,0),0))),0)</f>
        <v>215</v>
      </c>
      <c r="V79">
        <f>IF((gamma!V79),IF(VLOOKUP(V$1,main!$A$3:$H$102,7,FALSE)=VLOOKUP($A79,main!$A$3:$H$102,8,FALSE),VLOOKUP(V$1,main!$A$3:$H$102,4,FALSE),VLOOKUP(V$1,main!$A$3:$H$102,4,FALSE)+VLOOKUP($A79,main!$A$3:$H$102,4,FALSE)+(VLOOKUP(VLOOKUP(V$1,main!$A$3:$H$102,8,FALSE),main!$K$19:$O$22,MATCH(VLOOKUP($A79,main!$A$3:$H$102,7,FALSE),main!$K$18:$O$18,0),0))),0)</f>
        <v>215</v>
      </c>
      <c r="W79">
        <f>IF((gamma!W79),IF(VLOOKUP(W$1,main!$A$3:$H$102,7,FALSE)=VLOOKUP($A79,main!$A$3:$H$102,8,FALSE),VLOOKUP(W$1,main!$A$3:$H$102,4,FALSE),VLOOKUP(W$1,main!$A$3:$H$102,4,FALSE)+VLOOKUP($A79,main!$A$3:$H$102,4,FALSE)+(VLOOKUP(VLOOKUP(W$1,main!$A$3:$H$102,8,FALSE),main!$K$19:$O$22,MATCH(VLOOKUP($A79,main!$A$3:$H$102,7,FALSE),main!$K$18:$O$18,0),0))),0)</f>
        <v>0</v>
      </c>
      <c r="X79">
        <f>IF((gamma!X79),IF(VLOOKUP(X$1,main!$A$3:$H$102,7,FALSE)=VLOOKUP($A79,main!$A$3:$H$102,8,FALSE),VLOOKUP(X$1,main!$A$3:$H$102,4,FALSE),VLOOKUP(X$1,main!$A$3:$H$102,4,FALSE)+VLOOKUP($A79,main!$A$3:$H$102,4,FALSE)+(VLOOKUP(VLOOKUP(X$1,main!$A$3:$H$102,8,FALSE),main!$K$19:$O$22,MATCH(VLOOKUP($A79,main!$A$3:$H$102,7,FALSE),main!$K$18:$O$18,0),0))),0)</f>
        <v>0</v>
      </c>
      <c r="Y79">
        <f>IF((gamma!Y79),IF(VLOOKUP(Y$1,main!$A$3:$H$102,7,FALSE)=VLOOKUP($A79,main!$A$3:$H$102,8,FALSE),VLOOKUP(Y$1,main!$A$3:$H$102,4,FALSE),VLOOKUP(Y$1,main!$A$3:$H$102,4,FALSE)+VLOOKUP($A79,main!$A$3:$H$102,4,FALSE)+(VLOOKUP(VLOOKUP(Y$1,main!$A$3:$H$102,8,FALSE),main!$K$19:$O$22,MATCH(VLOOKUP($A79,main!$A$3:$H$102,7,FALSE),main!$K$18:$O$18,0),0))),0)</f>
        <v>243</v>
      </c>
      <c r="Z79">
        <f>IF((gamma!Z79),IF(VLOOKUP(Z$1,main!$A$3:$H$102,7,FALSE)=VLOOKUP($A79,main!$A$3:$H$102,8,FALSE),VLOOKUP(Z$1,main!$A$3:$H$102,4,FALSE),VLOOKUP(Z$1,main!$A$3:$H$102,4,FALSE)+VLOOKUP($A79,main!$A$3:$H$102,4,FALSE)+(VLOOKUP(VLOOKUP(Z$1,main!$A$3:$H$102,8,FALSE),main!$K$19:$O$22,MATCH(VLOOKUP($A79,main!$A$3:$H$102,7,FALSE),main!$K$18:$O$18,0),0))),0)</f>
        <v>248</v>
      </c>
      <c r="AA79">
        <f>IF((gamma!AA79),IF(VLOOKUP(AA$1,main!$A$3:$H$102,7,FALSE)=VLOOKUP($A79,main!$A$3:$H$102,8,FALSE),VLOOKUP(AA$1,main!$A$3:$H$102,4,FALSE),VLOOKUP(AA$1,main!$A$3:$H$102,4,FALSE)+VLOOKUP($A79,main!$A$3:$H$102,4,FALSE)+(VLOOKUP(VLOOKUP(AA$1,main!$A$3:$H$102,8,FALSE),main!$K$19:$O$22,MATCH(VLOOKUP($A79,main!$A$3:$H$102,7,FALSE),main!$K$18:$O$18,0),0))),0)</f>
        <v>248</v>
      </c>
      <c r="AB79">
        <f>IF((gamma!AB79),IF(VLOOKUP(AB$1,main!$A$3:$H$102,7,FALSE)=VLOOKUP($A79,main!$A$3:$H$102,8,FALSE),VLOOKUP(AB$1,main!$A$3:$H$102,4,FALSE),VLOOKUP(AB$1,main!$A$3:$H$102,4,FALSE)+VLOOKUP($A79,main!$A$3:$H$102,4,FALSE)+(VLOOKUP(VLOOKUP(AB$1,main!$A$3:$H$102,8,FALSE),main!$K$19:$O$22,MATCH(VLOOKUP($A79,main!$A$3:$H$102,7,FALSE),main!$K$18:$O$18,0),0))),0)</f>
        <v>0</v>
      </c>
      <c r="AC79">
        <f>IF((gamma!AC79),IF(VLOOKUP(AC$1,main!$A$3:$H$102,7,FALSE)=VLOOKUP($A79,main!$A$3:$H$102,8,FALSE),VLOOKUP(AC$1,main!$A$3:$H$102,4,FALSE),VLOOKUP(AC$1,main!$A$3:$H$102,4,FALSE)+VLOOKUP($A79,main!$A$3:$H$102,4,FALSE)+(VLOOKUP(VLOOKUP(AC$1,main!$A$3:$H$102,8,FALSE),main!$K$19:$O$22,MATCH(VLOOKUP($A79,main!$A$3:$H$102,7,FALSE),main!$K$18:$O$18,0),0))),0)</f>
        <v>0</v>
      </c>
      <c r="AD79">
        <f>IF((gamma!AD79),IF(VLOOKUP(AD$1,main!$A$3:$H$102,7,FALSE)=VLOOKUP($A79,main!$A$3:$H$102,8,FALSE),VLOOKUP(AD$1,main!$A$3:$H$102,4,FALSE),VLOOKUP(AD$1,main!$A$3:$H$102,4,FALSE)+VLOOKUP($A79,main!$A$3:$H$102,4,FALSE)+(VLOOKUP(VLOOKUP(AD$1,main!$A$3:$H$102,8,FALSE),main!$K$19:$O$22,MATCH(VLOOKUP($A79,main!$A$3:$H$102,7,FALSE),main!$K$18:$O$18,0),0))),0)</f>
        <v>243</v>
      </c>
      <c r="AE79">
        <f>IF((gamma!AE79),IF(VLOOKUP(AE$1,main!$A$3:$H$102,7,FALSE)=VLOOKUP($A79,main!$A$3:$H$102,8,FALSE),VLOOKUP(AE$1,main!$A$3:$H$102,4,FALSE),VLOOKUP(AE$1,main!$A$3:$H$102,4,FALSE)+VLOOKUP($A79,main!$A$3:$H$102,4,FALSE)+(VLOOKUP(VLOOKUP(AE$1,main!$A$3:$H$102,8,FALSE),main!$K$19:$O$22,MATCH(VLOOKUP($A79,main!$A$3:$H$102,7,FALSE),main!$K$18:$O$18,0),0))),0)</f>
        <v>248</v>
      </c>
      <c r="AF79">
        <f>IF((gamma!AF79),IF(VLOOKUP(AF$1,main!$A$3:$H$102,7,FALSE)=VLOOKUP($A79,main!$A$3:$H$102,8,FALSE),VLOOKUP(AF$1,main!$A$3:$H$102,4,FALSE),VLOOKUP(AF$1,main!$A$3:$H$102,4,FALSE)+VLOOKUP($A79,main!$A$3:$H$102,4,FALSE)+(VLOOKUP(VLOOKUP(AF$1,main!$A$3:$H$102,8,FALSE),main!$K$19:$O$22,MATCH(VLOOKUP($A79,main!$A$3:$H$102,7,FALSE),main!$K$18:$O$18,0),0))),0)</f>
        <v>208</v>
      </c>
      <c r="AG79">
        <f>IF((gamma!AG79),IF(VLOOKUP(AG$1,main!$A$3:$H$102,7,FALSE)=VLOOKUP($A79,main!$A$3:$H$102,8,FALSE),VLOOKUP(AG$1,main!$A$3:$H$102,4,FALSE),VLOOKUP(AG$1,main!$A$3:$H$102,4,FALSE)+VLOOKUP($A79,main!$A$3:$H$102,4,FALSE)+(VLOOKUP(VLOOKUP(AG$1,main!$A$3:$H$102,8,FALSE),main!$K$19:$O$22,MATCH(VLOOKUP($A79,main!$A$3:$H$102,7,FALSE),main!$K$18:$O$18,0),0))),0)</f>
        <v>0</v>
      </c>
      <c r="AH79">
        <f>IF((gamma!AH79),IF(VLOOKUP(AH$1,main!$A$3:$H$102,7,FALSE)=VLOOKUP($A79,main!$A$3:$H$102,8,FALSE),VLOOKUP(AH$1,main!$A$3:$H$102,4,FALSE),VLOOKUP(AH$1,main!$A$3:$H$102,4,FALSE)+VLOOKUP($A79,main!$A$3:$H$102,4,FALSE)+(VLOOKUP(VLOOKUP(AH$1,main!$A$3:$H$102,8,FALSE),main!$K$19:$O$22,MATCH(VLOOKUP($A79,main!$A$3:$H$102,7,FALSE),main!$K$18:$O$18,0),0))),0)</f>
        <v>0</v>
      </c>
      <c r="AI79">
        <f>IF((gamma!AI79),IF(VLOOKUP(AI$1,main!$A$3:$H$102,7,FALSE)=VLOOKUP($A79,main!$A$3:$H$102,8,FALSE),VLOOKUP(AI$1,main!$A$3:$H$102,4,FALSE),VLOOKUP(AI$1,main!$A$3:$H$102,4,FALSE)+VLOOKUP($A79,main!$A$3:$H$102,4,FALSE)+(VLOOKUP(VLOOKUP(AI$1,main!$A$3:$H$102,8,FALSE),main!$K$19:$O$22,MATCH(VLOOKUP($A79,main!$A$3:$H$102,7,FALSE),main!$K$18:$O$18,0),0))),0)</f>
        <v>240</v>
      </c>
      <c r="AJ79">
        <f>IF((gamma!AJ79),IF(VLOOKUP(AJ$1,main!$A$3:$H$102,7,FALSE)=VLOOKUP($A79,main!$A$3:$H$102,8,FALSE),VLOOKUP(AJ$1,main!$A$3:$H$102,4,FALSE),VLOOKUP(AJ$1,main!$A$3:$H$102,4,FALSE)+VLOOKUP($A79,main!$A$3:$H$102,4,FALSE)+(VLOOKUP(VLOOKUP(AJ$1,main!$A$3:$H$102,8,FALSE),main!$K$19:$O$22,MATCH(VLOOKUP($A79,main!$A$3:$H$102,7,FALSE),main!$K$18:$O$18,0),0))),0)</f>
        <v>240</v>
      </c>
      <c r="AK79">
        <f>IF((gamma!AK79),IF(VLOOKUP(AK$1,main!$A$3:$H$102,7,FALSE)=VLOOKUP($A79,main!$A$3:$H$102,8,FALSE),VLOOKUP(AK$1,main!$A$3:$H$102,4,FALSE),VLOOKUP(AK$1,main!$A$3:$H$102,4,FALSE)+VLOOKUP($A79,main!$A$3:$H$102,4,FALSE)+(VLOOKUP(VLOOKUP(AK$1,main!$A$3:$H$102,8,FALSE),main!$K$19:$O$22,MATCH(VLOOKUP($A79,main!$A$3:$H$102,7,FALSE),main!$K$18:$O$18,0),0))),0)</f>
        <v>240</v>
      </c>
      <c r="AL79">
        <f>IF((gamma!AL79),IF(VLOOKUP(AL$1,main!$A$3:$H$102,7,FALSE)=VLOOKUP($A79,main!$A$3:$H$102,8,FALSE),VLOOKUP(AL$1,main!$A$3:$H$102,4,FALSE),VLOOKUP(AL$1,main!$A$3:$H$102,4,FALSE)+VLOOKUP($A79,main!$A$3:$H$102,4,FALSE)+(VLOOKUP(VLOOKUP(AL$1,main!$A$3:$H$102,8,FALSE),main!$K$19:$O$22,MATCH(VLOOKUP($A79,main!$A$3:$H$102,7,FALSE),main!$K$18:$O$18,0),0))),0)</f>
        <v>240</v>
      </c>
      <c r="AM79">
        <f>IF((gamma!AM79),IF(VLOOKUP(AM$1,main!$A$3:$H$102,7,FALSE)=VLOOKUP($A79,main!$A$3:$H$102,8,FALSE),VLOOKUP(AM$1,main!$A$3:$H$102,4,FALSE),VLOOKUP(AM$1,main!$A$3:$H$102,4,FALSE)+VLOOKUP($A79,main!$A$3:$H$102,4,FALSE)+(VLOOKUP(VLOOKUP(AM$1,main!$A$3:$H$102,8,FALSE),main!$K$19:$O$22,MATCH(VLOOKUP($A79,main!$A$3:$H$102,7,FALSE),main!$K$18:$O$18,0),0))),0)</f>
        <v>240</v>
      </c>
      <c r="AN79">
        <f>IF((gamma!AN79),IF(VLOOKUP(AN$1,main!$A$3:$H$102,7,FALSE)=VLOOKUP($A79,main!$A$3:$H$102,8,FALSE),VLOOKUP(AN$1,main!$A$3:$H$102,4,FALSE),VLOOKUP(AN$1,main!$A$3:$H$102,4,FALSE)+VLOOKUP($A79,main!$A$3:$H$102,4,FALSE)+(VLOOKUP(VLOOKUP(AN$1,main!$A$3:$H$102,8,FALSE),main!$K$19:$O$22,MATCH(VLOOKUP($A79,main!$A$3:$H$102,7,FALSE),main!$K$18:$O$18,0),0))),0)</f>
        <v>240</v>
      </c>
      <c r="AO79">
        <f>IF((gamma!AO79),IF(VLOOKUP(AO$1,main!$A$3:$H$102,7,FALSE)=VLOOKUP($A79,main!$A$3:$H$102,8,FALSE),VLOOKUP(AO$1,main!$A$3:$H$102,4,FALSE),VLOOKUP(AO$1,main!$A$3:$H$102,4,FALSE)+VLOOKUP($A79,main!$A$3:$H$102,4,FALSE)+(VLOOKUP(VLOOKUP(AO$1,main!$A$3:$H$102,8,FALSE),main!$K$19:$O$22,MATCH(VLOOKUP($A79,main!$A$3:$H$102,7,FALSE),main!$K$18:$O$18,0),0))),0)</f>
        <v>0</v>
      </c>
      <c r="AP79">
        <f>IF((gamma!AP79),IF(VLOOKUP(AP$1,main!$A$3:$H$102,7,FALSE)=VLOOKUP($A79,main!$A$3:$H$102,8,FALSE),VLOOKUP(AP$1,main!$A$3:$H$102,4,FALSE),VLOOKUP(AP$1,main!$A$3:$H$102,4,FALSE)+VLOOKUP($A79,main!$A$3:$H$102,4,FALSE)+(VLOOKUP(VLOOKUP(AP$1,main!$A$3:$H$102,8,FALSE),main!$K$19:$O$22,MATCH(VLOOKUP($A79,main!$A$3:$H$102,7,FALSE),main!$K$18:$O$18,0),0))),0)</f>
        <v>180</v>
      </c>
      <c r="AQ79">
        <f>IF((gamma!AQ79),IF(VLOOKUP(AQ$1,main!$A$3:$H$102,7,FALSE)=VLOOKUP($A79,main!$A$3:$H$102,8,FALSE),VLOOKUP(AQ$1,main!$A$3:$H$102,4,FALSE),VLOOKUP(AQ$1,main!$A$3:$H$102,4,FALSE)+VLOOKUP($A79,main!$A$3:$H$102,4,FALSE)+(VLOOKUP(VLOOKUP(AQ$1,main!$A$3:$H$102,8,FALSE),main!$K$19:$O$22,MATCH(VLOOKUP($A79,main!$A$3:$H$102,7,FALSE),main!$K$18:$O$18,0),0))),0)</f>
        <v>0</v>
      </c>
      <c r="AR79">
        <f>IF((gamma!AR79),IF(VLOOKUP(AR$1,main!$A$3:$H$102,7,FALSE)=VLOOKUP($A79,main!$A$3:$H$102,8,FALSE),VLOOKUP(AR$1,main!$A$3:$H$102,4,FALSE),VLOOKUP(AR$1,main!$A$3:$H$102,4,FALSE)+VLOOKUP($A79,main!$A$3:$H$102,4,FALSE)+(VLOOKUP(VLOOKUP(AR$1,main!$A$3:$H$102,8,FALSE),main!$K$19:$O$22,MATCH(VLOOKUP($A79,main!$A$3:$H$102,7,FALSE),main!$K$18:$O$18,0),0))),0)</f>
        <v>0</v>
      </c>
      <c r="AS79">
        <f>IF((gamma!AS79),IF(VLOOKUP(AS$1,main!$A$3:$H$102,7,FALSE)=VLOOKUP($A79,main!$A$3:$H$102,8,FALSE),VLOOKUP(AS$1,main!$A$3:$H$102,4,FALSE),VLOOKUP(AS$1,main!$A$3:$H$102,4,FALSE)+VLOOKUP($A79,main!$A$3:$H$102,4,FALSE)+(VLOOKUP(VLOOKUP(AS$1,main!$A$3:$H$102,8,FALSE),main!$K$19:$O$22,MATCH(VLOOKUP($A79,main!$A$3:$H$102,7,FALSE),main!$K$18:$O$18,0),0))),0)</f>
        <v>195</v>
      </c>
      <c r="AT79">
        <f>IF((gamma!AT79),IF(VLOOKUP(AT$1,main!$A$3:$H$102,7,FALSE)=VLOOKUP($A79,main!$A$3:$H$102,8,FALSE),VLOOKUP(AT$1,main!$A$3:$H$102,4,FALSE),VLOOKUP(AT$1,main!$A$3:$H$102,4,FALSE)+VLOOKUP($A79,main!$A$3:$H$102,4,FALSE)+(VLOOKUP(VLOOKUP(AT$1,main!$A$3:$H$102,8,FALSE),main!$K$19:$O$22,MATCH(VLOOKUP($A79,main!$A$3:$H$102,7,FALSE),main!$K$18:$O$18,0),0))),0)</f>
        <v>205</v>
      </c>
      <c r="AU79">
        <f>IF((gamma!AU79),IF(VLOOKUP(AU$1,main!$A$3:$H$102,7,FALSE)=VLOOKUP($A79,main!$A$3:$H$102,8,FALSE),VLOOKUP(AU$1,main!$A$3:$H$102,4,FALSE),VLOOKUP(AU$1,main!$A$3:$H$102,4,FALSE)+VLOOKUP($A79,main!$A$3:$H$102,4,FALSE)+(VLOOKUP(VLOOKUP(AU$1,main!$A$3:$H$102,8,FALSE),main!$K$19:$O$22,MATCH(VLOOKUP($A79,main!$A$3:$H$102,7,FALSE),main!$K$18:$O$18,0),0))),0)</f>
        <v>0</v>
      </c>
      <c r="AV79">
        <f>IF((gamma!AV79),IF(VLOOKUP(AV$1,main!$A$3:$H$102,7,FALSE)=VLOOKUP($A79,main!$A$3:$H$102,8,FALSE),VLOOKUP(AV$1,main!$A$3:$H$102,4,FALSE),VLOOKUP(AV$1,main!$A$3:$H$102,4,FALSE)+VLOOKUP($A79,main!$A$3:$H$102,4,FALSE)+(VLOOKUP(VLOOKUP(AV$1,main!$A$3:$H$102,8,FALSE),main!$K$19:$O$22,MATCH(VLOOKUP($A79,main!$A$3:$H$102,7,FALSE),main!$K$18:$O$18,0),0))),0)</f>
        <v>0</v>
      </c>
      <c r="AW79">
        <f>IF((gamma!AW79),IF(VLOOKUP(AW$1,main!$A$3:$H$102,7,FALSE)=VLOOKUP($A79,main!$A$3:$H$102,8,FALSE),VLOOKUP(AW$1,main!$A$3:$H$102,4,FALSE),VLOOKUP(AW$1,main!$A$3:$H$102,4,FALSE)+VLOOKUP($A79,main!$A$3:$H$102,4,FALSE)+(VLOOKUP(VLOOKUP(AW$1,main!$A$3:$H$102,8,FALSE),main!$K$19:$O$22,MATCH(VLOOKUP($A79,main!$A$3:$H$102,7,FALSE),main!$K$18:$O$18,0),0))),0)</f>
        <v>195</v>
      </c>
      <c r="AX79">
        <f>IF((gamma!AX79),IF(VLOOKUP(AX$1,main!$A$3:$H$102,7,FALSE)=VLOOKUP($A79,main!$A$3:$H$102,8,FALSE),VLOOKUP(AX$1,main!$A$3:$H$102,4,FALSE),VLOOKUP(AX$1,main!$A$3:$H$102,4,FALSE)+VLOOKUP($A79,main!$A$3:$H$102,4,FALSE)+(VLOOKUP(VLOOKUP(AX$1,main!$A$3:$H$102,8,FALSE),main!$K$19:$O$22,MATCH(VLOOKUP($A79,main!$A$3:$H$102,7,FALSE),main!$K$18:$O$18,0),0))),0)</f>
        <v>180</v>
      </c>
      <c r="AY79">
        <f>IF((gamma!AY79),IF(VLOOKUP(AY$1,main!$A$3:$H$102,7,FALSE)=VLOOKUP($A79,main!$A$3:$H$102,8,FALSE),VLOOKUP(AY$1,main!$A$3:$H$102,4,FALSE),VLOOKUP(AY$1,main!$A$3:$H$102,4,FALSE)+VLOOKUP($A79,main!$A$3:$H$102,4,FALSE)+(VLOOKUP(VLOOKUP(AY$1,main!$A$3:$H$102,8,FALSE),main!$K$19:$O$22,MATCH(VLOOKUP($A79,main!$A$3:$H$102,7,FALSE),main!$K$18:$O$18,0),0))),0)</f>
        <v>0</v>
      </c>
      <c r="AZ79">
        <f>IF((gamma!AZ79),IF(VLOOKUP(AZ$1,main!$A$3:$H$102,7,FALSE)=VLOOKUP($A79,main!$A$3:$H$102,8,FALSE),VLOOKUP(AZ$1,main!$A$3:$H$102,4,FALSE),VLOOKUP(AZ$1,main!$A$3:$H$102,4,FALSE)+VLOOKUP($A79,main!$A$3:$H$102,4,FALSE)+(VLOOKUP(VLOOKUP(AZ$1,main!$A$3:$H$102,8,FALSE),main!$K$19:$O$22,MATCH(VLOOKUP($A79,main!$A$3:$H$102,7,FALSE),main!$K$18:$O$18,0),0))),0)</f>
        <v>210</v>
      </c>
      <c r="BA79">
        <f>IF((gamma!BA79),IF(VLOOKUP(BA$1,main!$A$3:$H$102,7,FALSE)=VLOOKUP($A79,main!$A$3:$H$102,8,FALSE),VLOOKUP(BA$1,main!$A$3:$H$102,4,FALSE),VLOOKUP(BA$1,main!$A$3:$H$102,4,FALSE)+VLOOKUP($A79,main!$A$3:$H$102,4,FALSE)+(VLOOKUP(VLOOKUP(BA$1,main!$A$3:$H$102,8,FALSE),main!$K$19:$O$22,MATCH(VLOOKUP($A79,main!$A$3:$H$102,7,FALSE),main!$K$18:$O$18,0),0))),0)</f>
        <v>0</v>
      </c>
      <c r="BB79">
        <f>IF((gamma!BB79),IF(VLOOKUP(BB$1,main!$A$3:$H$102,7,FALSE)=VLOOKUP($A79,main!$A$3:$H$102,8,FALSE),VLOOKUP(BB$1,main!$A$3:$H$102,4,FALSE),VLOOKUP(BB$1,main!$A$3:$H$102,4,FALSE)+VLOOKUP($A79,main!$A$3:$H$102,4,FALSE)+(VLOOKUP(VLOOKUP(BB$1,main!$A$3:$H$102,8,FALSE),main!$K$19:$O$22,MATCH(VLOOKUP($A79,main!$A$3:$H$102,7,FALSE),main!$K$18:$O$18,0),0))),0)</f>
        <v>245</v>
      </c>
      <c r="BC79">
        <f>IF((gamma!BC79),IF(VLOOKUP(BC$1,main!$A$3:$H$102,7,FALSE)=VLOOKUP($A79,main!$A$3:$H$102,8,FALSE),VLOOKUP(BC$1,main!$A$3:$H$102,4,FALSE),VLOOKUP(BC$1,main!$A$3:$H$102,4,FALSE)+VLOOKUP($A79,main!$A$3:$H$102,4,FALSE)+(VLOOKUP(VLOOKUP(BC$1,main!$A$3:$H$102,8,FALSE),main!$K$19:$O$22,MATCH(VLOOKUP($A79,main!$A$3:$H$102,7,FALSE),main!$K$18:$O$18,0),0))),0)</f>
        <v>245</v>
      </c>
      <c r="BD79">
        <f>IF((gamma!BD79),IF(VLOOKUP(BD$1,main!$A$3:$H$102,7,FALSE)=VLOOKUP($A79,main!$A$3:$H$102,8,FALSE),VLOOKUP(BD$1,main!$A$3:$H$102,4,FALSE),VLOOKUP(BD$1,main!$A$3:$H$102,4,FALSE)+VLOOKUP($A79,main!$A$3:$H$102,4,FALSE)+(VLOOKUP(VLOOKUP(BD$1,main!$A$3:$H$102,8,FALSE),main!$K$19:$O$22,MATCH(VLOOKUP($A79,main!$A$3:$H$102,7,FALSE),main!$K$18:$O$18,0),0))),0)</f>
        <v>245</v>
      </c>
      <c r="BE79">
        <f>IF((gamma!BE79),IF(VLOOKUP(BE$1,main!$A$3:$H$102,7,FALSE)=VLOOKUP($A79,main!$A$3:$H$102,8,FALSE),VLOOKUP(BE$1,main!$A$3:$H$102,4,FALSE),VLOOKUP(BE$1,main!$A$3:$H$102,4,FALSE)+VLOOKUP($A79,main!$A$3:$H$102,4,FALSE)+(VLOOKUP(VLOOKUP(BE$1,main!$A$3:$H$102,8,FALSE),main!$K$19:$O$22,MATCH(VLOOKUP($A79,main!$A$3:$H$102,7,FALSE),main!$K$18:$O$18,0),0))),0)</f>
        <v>245</v>
      </c>
      <c r="BF79">
        <f>IF((gamma!BF79),IF(VLOOKUP(BF$1,main!$A$3:$H$102,7,FALSE)=VLOOKUP($A79,main!$A$3:$H$102,8,FALSE),VLOOKUP(BF$1,main!$A$3:$H$102,4,FALSE),VLOOKUP(BF$1,main!$A$3:$H$102,4,FALSE)+VLOOKUP($A79,main!$A$3:$H$102,4,FALSE)+(VLOOKUP(VLOOKUP(BF$1,main!$A$3:$H$102,8,FALSE),main!$K$19:$O$22,MATCH(VLOOKUP($A79,main!$A$3:$H$102,7,FALSE),main!$K$18:$O$18,0),0))),0)</f>
        <v>0</v>
      </c>
      <c r="BG79">
        <f>IF((gamma!BG79),IF(VLOOKUP(BG$1,main!$A$3:$H$102,7,FALSE)=VLOOKUP($A79,main!$A$3:$H$102,8,FALSE),VLOOKUP(BG$1,main!$A$3:$H$102,4,FALSE),VLOOKUP(BG$1,main!$A$3:$H$102,4,FALSE)+VLOOKUP($A79,main!$A$3:$H$102,4,FALSE)+(VLOOKUP(VLOOKUP(BG$1,main!$A$3:$H$102,8,FALSE),main!$K$19:$O$22,MATCH(VLOOKUP($A79,main!$A$3:$H$102,7,FALSE),main!$K$18:$O$18,0),0))),0)</f>
        <v>0</v>
      </c>
      <c r="BH79">
        <f>IF((gamma!BH79),IF(VLOOKUP(BH$1,main!$A$3:$H$102,7,FALSE)=VLOOKUP($A79,main!$A$3:$H$102,8,FALSE),VLOOKUP(BH$1,main!$A$3:$H$102,4,FALSE),VLOOKUP(BH$1,main!$A$3:$H$102,4,FALSE)+VLOOKUP($A79,main!$A$3:$H$102,4,FALSE)+(VLOOKUP(VLOOKUP(BH$1,main!$A$3:$H$102,8,FALSE),main!$K$19:$O$22,MATCH(VLOOKUP($A79,main!$A$3:$H$102,7,FALSE),main!$K$18:$O$18,0),0))),0)</f>
        <v>230</v>
      </c>
      <c r="BI79">
        <f>IF((gamma!BI79),IF(VLOOKUP(BI$1,main!$A$3:$H$102,7,FALSE)=VLOOKUP($A79,main!$A$3:$H$102,8,FALSE),VLOOKUP(BI$1,main!$A$3:$H$102,4,FALSE),VLOOKUP(BI$1,main!$A$3:$H$102,4,FALSE)+VLOOKUP($A79,main!$A$3:$H$102,4,FALSE)+(VLOOKUP(VLOOKUP(BI$1,main!$A$3:$H$102,8,FALSE),main!$K$19:$O$22,MATCH(VLOOKUP($A79,main!$A$3:$H$102,7,FALSE),main!$K$18:$O$18,0),0))),0)</f>
        <v>165</v>
      </c>
      <c r="BJ79">
        <f>IF((gamma!BJ79),IF(VLOOKUP(BJ$1,main!$A$3:$H$102,7,FALSE)=VLOOKUP($A79,main!$A$3:$H$102,8,FALSE),VLOOKUP(BJ$1,main!$A$3:$H$102,4,FALSE),VLOOKUP(BJ$1,main!$A$3:$H$102,4,FALSE)+VLOOKUP($A79,main!$A$3:$H$102,4,FALSE)+(VLOOKUP(VLOOKUP(BJ$1,main!$A$3:$H$102,8,FALSE),main!$K$19:$O$22,MATCH(VLOOKUP($A79,main!$A$3:$H$102,7,FALSE),main!$K$18:$O$18,0),0))),0)</f>
        <v>195</v>
      </c>
      <c r="BK79">
        <f>IF((gamma!BK79),IF(VLOOKUP(BK$1,main!$A$3:$H$102,7,FALSE)=VLOOKUP($A79,main!$A$3:$H$102,8,FALSE),VLOOKUP(BK$1,main!$A$3:$H$102,4,FALSE),VLOOKUP(BK$1,main!$A$3:$H$102,4,FALSE)+VLOOKUP($A79,main!$A$3:$H$102,4,FALSE)+(VLOOKUP(VLOOKUP(BK$1,main!$A$3:$H$102,8,FALSE),main!$K$19:$O$22,MATCH(VLOOKUP($A79,main!$A$3:$H$102,7,FALSE),main!$K$18:$O$18,0),0))),0)</f>
        <v>0</v>
      </c>
      <c r="BL79">
        <f>IF((gamma!BL79),IF(VLOOKUP(BL$1,main!$A$3:$H$102,7,FALSE)=VLOOKUP($A79,main!$A$3:$H$102,8,FALSE),VLOOKUP(BL$1,main!$A$3:$H$102,4,FALSE),VLOOKUP(BL$1,main!$A$3:$H$102,4,FALSE)+VLOOKUP($A79,main!$A$3:$H$102,4,FALSE)+(VLOOKUP(VLOOKUP(BL$1,main!$A$3:$H$102,8,FALSE),main!$K$19:$O$22,MATCH(VLOOKUP($A79,main!$A$3:$H$102,7,FALSE),main!$K$18:$O$18,0),0))),0)</f>
        <v>0</v>
      </c>
      <c r="BM79">
        <f>IF((gamma!BM79),IF(VLOOKUP(BM$1,main!$A$3:$H$102,7,FALSE)=VLOOKUP($A79,main!$A$3:$H$102,8,FALSE),VLOOKUP(BM$1,main!$A$3:$H$102,4,FALSE),VLOOKUP(BM$1,main!$A$3:$H$102,4,FALSE)+VLOOKUP($A79,main!$A$3:$H$102,4,FALSE)+(VLOOKUP(VLOOKUP(BM$1,main!$A$3:$H$102,8,FALSE),main!$K$19:$O$22,MATCH(VLOOKUP($A79,main!$A$3:$H$102,7,FALSE),main!$K$18:$O$18,0),0))),0)</f>
        <v>0</v>
      </c>
      <c r="BN79">
        <f>IF((gamma!BN79),IF(VLOOKUP(BN$1,main!$A$3:$H$102,7,FALSE)=VLOOKUP($A79,main!$A$3:$H$102,8,FALSE),VLOOKUP(BN$1,main!$A$3:$H$102,4,FALSE),VLOOKUP(BN$1,main!$A$3:$H$102,4,FALSE)+VLOOKUP($A79,main!$A$3:$H$102,4,FALSE)+(VLOOKUP(VLOOKUP(BN$1,main!$A$3:$H$102,8,FALSE),main!$K$19:$O$22,MATCH(VLOOKUP($A79,main!$A$3:$H$102,7,FALSE),main!$K$18:$O$18,0),0))),0)</f>
        <v>223</v>
      </c>
      <c r="BO79">
        <f>IF((gamma!BO79),IF(VLOOKUP(BO$1,main!$A$3:$H$102,7,FALSE)=VLOOKUP($A79,main!$A$3:$H$102,8,FALSE),VLOOKUP(BO$1,main!$A$3:$H$102,4,FALSE),VLOOKUP(BO$1,main!$A$3:$H$102,4,FALSE)+VLOOKUP($A79,main!$A$3:$H$102,4,FALSE)+(VLOOKUP(VLOOKUP(BO$1,main!$A$3:$H$102,8,FALSE),main!$K$19:$O$22,MATCH(VLOOKUP($A79,main!$A$3:$H$102,7,FALSE),main!$K$18:$O$18,0),0))),0)</f>
        <v>0</v>
      </c>
      <c r="BP79">
        <f>IF((gamma!BP79),IF(VLOOKUP(BP$1,main!$A$3:$H$102,7,FALSE)=VLOOKUP($A79,main!$A$3:$H$102,8,FALSE),VLOOKUP(BP$1,main!$A$3:$H$102,4,FALSE),VLOOKUP(BP$1,main!$A$3:$H$102,4,FALSE)+VLOOKUP($A79,main!$A$3:$H$102,4,FALSE)+(VLOOKUP(VLOOKUP(BP$1,main!$A$3:$H$102,8,FALSE),main!$K$19:$O$22,MATCH(VLOOKUP($A79,main!$A$3:$H$102,7,FALSE),main!$K$18:$O$18,0),0))),0)</f>
        <v>0</v>
      </c>
      <c r="BQ79">
        <f>IF((gamma!BQ79),IF(VLOOKUP(BQ$1,main!$A$3:$H$102,7,FALSE)=VLOOKUP($A79,main!$A$3:$H$102,8,FALSE),VLOOKUP(BQ$1,main!$A$3:$H$102,4,FALSE),VLOOKUP(BQ$1,main!$A$3:$H$102,4,FALSE)+VLOOKUP($A79,main!$A$3:$H$102,4,FALSE)+(VLOOKUP(VLOOKUP(BQ$1,main!$A$3:$H$102,8,FALSE),main!$K$19:$O$22,MATCH(VLOOKUP($A79,main!$A$3:$H$102,7,FALSE),main!$K$18:$O$18,0),0))),0)</f>
        <v>243</v>
      </c>
      <c r="BR79">
        <f>IF((gamma!BR79),IF(VLOOKUP(BR$1,main!$A$3:$H$102,7,FALSE)=VLOOKUP($A79,main!$A$3:$H$102,8,FALSE),VLOOKUP(BR$1,main!$A$3:$H$102,4,FALSE),VLOOKUP(BR$1,main!$A$3:$H$102,4,FALSE)+VLOOKUP($A79,main!$A$3:$H$102,4,FALSE)+(VLOOKUP(VLOOKUP(BR$1,main!$A$3:$H$102,8,FALSE),main!$K$19:$O$22,MATCH(VLOOKUP($A79,main!$A$3:$H$102,7,FALSE),main!$K$18:$O$18,0),0))),0)</f>
        <v>203</v>
      </c>
      <c r="BS79">
        <f>IF((gamma!BS79),IF(VLOOKUP(BS$1,main!$A$3:$H$102,7,FALSE)=VLOOKUP($A79,main!$A$3:$H$102,8,FALSE),VLOOKUP(BS$1,main!$A$3:$H$102,4,FALSE),VLOOKUP(BS$1,main!$A$3:$H$102,4,FALSE)+VLOOKUP($A79,main!$A$3:$H$102,4,FALSE)+(VLOOKUP(VLOOKUP(BS$1,main!$A$3:$H$102,8,FALSE),main!$K$19:$O$22,MATCH(VLOOKUP($A79,main!$A$3:$H$102,7,FALSE),main!$K$18:$O$18,0),0))),0)</f>
        <v>204</v>
      </c>
      <c r="BT79">
        <f>IF((gamma!BT79),IF(VLOOKUP(BT$1,main!$A$3:$H$102,7,FALSE)=VLOOKUP($A79,main!$A$3:$H$102,8,FALSE),VLOOKUP(BT$1,main!$A$3:$H$102,4,FALSE),VLOOKUP(BT$1,main!$A$3:$H$102,4,FALSE)+VLOOKUP($A79,main!$A$3:$H$102,4,FALSE)+(VLOOKUP(VLOOKUP(BT$1,main!$A$3:$H$102,8,FALSE),main!$K$19:$O$22,MATCH(VLOOKUP($A79,main!$A$3:$H$102,7,FALSE),main!$K$18:$O$18,0),0))),0)</f>
        <v>223</v>
      </c>
      <c r="BU79">
        <f>IF((gamma!BU79),IF(VLOOKUP(BU$1,main!$A$3:$H$102,7,FALSE)=VLOOKUP($A79,main!$A$3:$H$102,8,FALSE),VLOOKUP(BU$1,main!$A$3:$H$102,4,FALSE),VLOOKUP(BU$1,main!$A$3:$H$102,4,FALSE)+VLOOKUP($A79,main!$A$3:$H$102,4,FALSE)+(VLOOKUP(VLOOKUP(BU$1,main!$A$3:$H$102,8,FALSE),main!$K$19:$O$22,MATCH(VLOOKUP($A79,main!$A$3:$H$102,7,FALSE),main!$K$18:$O$18,0),0))),0)</f>
        <v>0</v>
      </c>
      <c r="BV79">
        <f>IF((gamma!BV79),IF(VLOOKUP(BV$1,main!$A$3:$H$102,7,FALSE)=VLOOKUP($A79,main!$A$3:$H$102,8,FALSE),VLOOKUP(BV$1,main!$A$3:$H$102,4,FALSE),VLOOKUP(BV$1,main!$A$3:$H$102,4,FALSE)+VLOOKUP($A79,main!$A$3:$H$102,4,FALSE)+(VLOOKUP(VLOOKUP(BV$1,main!$A$3:$H$102,8,FALSE),main!$K$19:$O$22,MATCH(VLOOKUP($A79,main!$A$3:$H$102,7,FALSE),main!$K$18:$O$18,0),0))),0)</f>
        <v>0</v>
      </c>
      <c r="BW79">
        <f>IF((gamma!BW79),IF(VLOOKUP(BW$1,main!$A$3:$H$102,7,FALSE)=VLOOKUP($A79,main!$A$3:$H$102,8,FALSE),VLOOKUP(BW$1,main!$A$3:$H$102,4,FALSE),VLOOKUP(BW$1,main!$A$3:$H$102,4,FALSE)+VLOOKUP($A79,main!$A$3:$H$102,4,FALSE)+(VLOOKUP(VLOOKUP(BW$1,main!$A$3:$H$102,8,FALSE),main!$K$19:$O$22,MATCH(VLOOKUP($A79,main!$A$3:$H$102,7,FALSE),main!$K$18:$O$18,0),0))),0)</f>
        <v>0</v>
      </c>
      <c r="BX79">
        <f>IF((gamma!BX79),IF(VLOOKUP(BX$1,main!$A$3:$H$102,7,FALSE)=VLOOKUP($A79,main!$A$3:$H$102,8,FALSE),VLOOKUP(BX$1,main!$A$3:$H$102,4,FALSE),VLOOKUP(BX$1,main!$A$3:$H$102,4,FALSE)+VLOOKUP($A79,main!$A$3:$H$102,4,FALSE)+(VLOOKUP(VLOOKUP(BX$1,main!$A$3:$H$102,8,FALSE),main!$K$19:$O$22,MATCH(VLOOKUP($A79,main!$A$3:$H$102,7,FALSE),main!$K$18:$O$18,0),0))),0)</f>
        <v>243</v>
      </c>
      <c r="BY79">
        <f>IF((gamma!BY79),IF(VLOOKUP(BY$1,main!$A$3:$H$102,7,FALSE)=VLOOKUP($A79,main!$A$3:$H$102,8,FALSE),VLOOKUP(BY$1,main!$A$3:$H$102,4,FALSE),VLOOKUP(BY$1,main!$A$3:$H$102,4,FALSE)+VLOOKUP($A79,main!$A$3:$H$102,4,FALSE)+(VLOOKUP(VLOOKUP(BY$1,main!$A$3:$H$102,8,FALSE),main!$K$19:$O$22,MATCH(VLOOKUP($A79,main!$A$3:$H$102,7,FALSE),main!$K$18:$O$18,0),0))),0)</f>
        <v>228</v>
      </c>
      <c r="BZ79">
        <f>IF((gamma!BZ79),IF(VLOOKUP(BZ$1,main!$A$3:$H$102,7,FALSE)=VLOOKUP($A79,main!$A$3:$H$102,8,FALSE),VLOOKUP(BZ$1,main!$A$3:$H$102,4,FALSE),VLOOKUP(BZ$1,main!$A$3:$H$102,4,FALSE)+VLOOKUP($A79,main!$A$3:$H$102,4,FALSE)+(VLOOKUP(VLOOKUP(BZ$1,main!$A$3:$H$102,8,FALSE),main!$K$19:$O$22,MATCH(VLOOKUP($A79,main!$A$3:$H$102,7,FALSE),main!$K$18:$O$18,0),0))),0)</f>
        <v>0</v>
      </c>
      <c r="CA79">
        <f>IF((gamma!CA79),IF(VLOOKUP(CA$1,main!$A$3:$H$102,7,FALSE)=VLOOKUP($A79,main!$A$3:$H$102,8,FALSE),VLOOKUP(CA$1,main!$A$3:$H$102,4,FALSE),VLOOKUP(CA$1,main!$A$3:$H$102,4,FALSE)+VLOOKUP($A79,main!$A$3:$H$102,4,FALSE)+(VLOOKUP(VLOOKUP(CA$1,main!$A$3:$H$102,8,FALSE),main!$K$19:$O$22,MATCH(VLOOKUP($A79,main!$A$3:$H$102,7,FALSE),main!$K$18:$O$18,0),0))),0)</f>
        <v>0</v>
      </c>
      <c r="CB79">
        <f>IF((gamma!CB79),IF(VLOOKUP(CB$1,main!$A$3:$H$102,7,FALSE)=VLOOKUP($A79,main!$A$3:$H$102,8,FALSE),VLOOKUP(CB$1,main!$A$3:$H$102,4,FALSE),VLOOKUP(CB$1,main!$A$3:$H$102,4,FALSE)+VLOOKUP($A79,main!$A$3:$H$102,4,FALSE)+(VLOOKUP(VLOOKUP(CB$1,main!$A$3:$H$102,8,FALSE),main!$K$19:$O$22,MATCH(VLOOKUP($A79,main!$A$3:$H$102,7,FALSE),main!$K$18:$O$18,0),0))),0)</f>
        <v>173</v>
      </c>
      <c r="CC79">
        <f>IF((gamma!CC79),IF(VLOOKUP(CC$1,main!$A$3:$H$102,7,FALSE)=VLOOKUP($A79,main!$A$3:$H$102,8,FALSE),VLOOKUP(CC$1,main!$A$3:$H$102,4,FALSE),VLOOKUP(CC$1,main!$A$3:$H$102,4,FALSE)+VLOOKUP($A79,main!$A$3:$H$102,4,FALSE)+(VLOOKUP(VLOOKUP(CC$1,main!$A$3:$H$102,8,FALSE),main!$K$19:$O$22,MATCH(VLOOKUP($A79,main!$A$3:$H$102,7,FALSE),main!$K$18:$O$18,0),0))),0)</f>
        <v>163</v>
      </c>
      <c r="CD79">
        <f>IF((gamma!CD79),IF(VLOOKUP(CD$1,main!$A$3:$H$102,7,FALSE)=VLOOKUP($A79,main!$A$3:$H$102,8,FALSE),VLOOKUP(CD$1,main!$A$3:$H$102,4,FALSE),VLOOKUP(CD$1,main!$A$3:$H$102,4,FALSE)+VLOOKUP($A79,main!$A$3:$H$102,4,FALSE)+(VLOOKUP(VLOOKUP(CD$1,main!$A$3:$H$102,8,FALSE),main!$K$19:$O$22,MATCH(VLOOKUP($A79,main!$A$3:$H$102,7,FALSE),main!$K$18:$O$18,0),0))),0)</f>
        <v>222</v>
      </c>
      <c r="CE79">
        <f>IF((gamma!CE79),IF(VLOOKUP(CE$1,main!$A$3:$H$102,7,FALSE)=VLOOKUP($A79,main!$A$3:$H$102,8,FALSE),VLOOKUP(CE$1,main!$A$3:$H$102,4,FALSE),VLOOKUP(CE$1,main!$A$3:$H$102,4,FALSE)+VLOOKUP($A79,main!$A$3:$H$102,4,FALSE)+(VLOOKUP(VLOOKUP(CE$1,main!$A$3:$H$102,8,FALSE),main!$K$19:$O$22,MATCH(VLOOKUP($A79,main!$A$3:$H$102,7,FALSE),main!$K$18:$O$18,0),0))),0)</f>
        <v>140</v>
      </c>
      <c r="CF79">
        <f>IF((gamma!CF79),IF(VLOOKUP(CF$1,main!$A$3:$H$102,7,FALSE)=VLOOKUP($A79,main!$A$3:$H$102,8,FALSE),VLOOKUP(CF$1,main!$A$3:$H$102,4,FALSE),VLOOKUP(CF$1,main!$A$3:$H$102,4,FALSE)+VLOOKUP($A79,main!$A$3:$H$102,4,FALSE)+(VLOOKUP(VLOOKUP(CF$1,main!$A$3:$H$102,8,FALSE),main!$K$19:$O$22,MATCH(VLOOKUP($A79,main!$A$3:$H$102,7,FALSE),main!$K$18:$O$18,0),0))),0)</f>
        <v>135</v>
      </c>
      <c r="CG79">
        <f>IF((gamma!CG79),IF(VLOOKUP(CG$1,main!$A$3:$H$102,7,FALSE)=VLOOKUP($A79,main!$A$3:$H$102,8,FALSE),VLOOKUP(CG$1,main!$A$3:$H$102,4,FALSE),VLOOKUP(CG$1,main!$A$3:$H$102,4,FALSE)+VLOOKUP($A79,main!$A$3:$H$102,4,FALSE)+(VLOOKUP(VLOOKUP(CG$1,main!$A$3:$H$102,8,FALSE),main!$K$19:$O$22,MATCH(VLOOKUP($A79,main!$A$3:$H$102,7,FALSE),main!$K$18:$O$18,0),0))),0)</f>
        <v>140</v>
      </c>
      <c r="CH79">
        <f>IF((gamma!CH79),IF(VLOOKUP(CH$1,main!$A$3:$H$102,7,FALSE)=VLOOKUP($A79,main!$A$3:$H$102,8,FALSE),VLOOKUP(CH$1,main!$A$3:$H$102,4,FALSE),VLOOKUP(CH$1,main!$A$3:$H$102,4,FALSE)+VLOOKUP($A79,main!$A$3:$H$102,4,FALSE)+(VLOOKUP(VLOOKUP(CH$1,main!$A$3:$H$102,8,FALSE),main!$K$19:$O$22,MATCH(VLOOKUP($A79,main!$A$3:$H$102,7,FALSE),main!$K$18:$O$18,0),0))),0)</f>
        <v>140</v>
      </c>
      <c r="CI79">
        <f>IF((gamma!CI79),IF(VLOOKUP(CI$1,main!$A$3:$H$102,7,FALSE)=VLOOKUP($A79,main!$A$3:$H$102,8,FALSE),VLOOKUP(CI$1,main!$A$3:$H$102,4,FALSE),VLOOKUP(CI$1,main!$A$3:$H$102,4,FALSE)+VLOOKUP($A79,main!$A$3:$H$102,4,FALSE)+(VLOOKUP(VLOOKUP(CI$1,main!$A$3:$H$102,8,FALSE),main!$K$19:$O$22,MATCH(VLOOKUP($A79,main!$A$3:$H$102,7,FALSE),main!$K$18:$O$18,0),0))),0)</f>
        <v>140</v>
      </c>
      <c r="CJ79">
        <f>IF((gamma!CJ79),IF(VLOOKUP(CJ$1,main!$A$3:$H$102,7,FALSE)=VLOOKUP($A79,main!$A$3:$H$102,8,FALSE),VLOOKUP(CJ$1,main!$A$3:$H$102,4,FALSE),VLOOKUP(CJ$1,main!$A$3:$H$102,4,FALSE)+VLOOKUP($A79,main!$A$3:$H$102,4,FALSE)+(VLOOKUP(VLOOKUP(CJ$1,main!$A$3:$H$102,8,FALSE),main!$K$19:$O$22,MATCH(VLOOKUP($A79,main!$A$3:$H$102,7,FALSE),main!$K$18:$O$18,0),0))),0)</f>
        <v>68</v>
      </c>
      <c r="CK79">
        <f>IF((gamma!CK79),IF(VLOOKUP(CK$1,main!$A$3:$H$102,7,FALSE)=VLOOKUP($A79,main!$A$3:$H$102,8,FALSE),VLOOKUP(CK$1,main!$A$3:$H$102,4,FALSE),VLOOKUP(CK$1,main!$A$3:$H$102,4,FALSE)+VLOOKUP($A79,main!$A$3:$H$102,4,FALSE)+(VLOOKUP(VLOOKUP(CK$1,main!$A$3:$H$102,8,FALSE),main!$K$19:$O$22,MATCH(VLOOKUP($A79,main!$A$3:$H$102,7,FALSE),main!$K$18:$O$18,0),0))),0)</f>
        <v>75</v>
      </c>
      <c r="CL79">
        <f>IF((gamma!CL79),IF(VLOOKUP(CL$1,main!$A$3:$H$102,7,FALSE)=VLOOKUP($A79,main!$A$3:$H$102,8,FALSE),VLOOKUP(CL$1,main!$A$3:$H$102,4,FALSE),VLOOKUP(CL$1,main!$A$3:$H$102,4,FALSE)+VLOOKUP($A79,main!$A$3:$H$102,4,FALSE)+(VLOOKUP(VLOOKUP(CL$1,main!$A$3:$H$102,8,FALSE),main!$K$19:$O$22,MATCH(VLOOKUP($A79,main!$A$3:$H$102,7,FALSE),main!$K$18:$O$18,0),0))),0)</f>
        <v>80</v>
      </c>
      <c r="CM79">
        <f>IF((gamma!CM79),IF(VLOOKUP(CM$1,main!$A$3:$H$102,7,FALSE)=VLOOKUP($A79,main!$A$3:$H$102,8,FALSE),VLOOKUP(CM$1,main!$A$3:$H$102,4,FALSE),VLOOKUP(CM$1,main!$A$3:$H$102,4,FALSE)+VLOOKUP($A79,main!$A$3:$H$102,4,FALSE)+(VLOOKUP(VLOOKUP(CM$1,main!$A$3:$H$102,8,FALSE),main!$K$19:$O$22,MATCH(VLOOKUP($A79,main!$A$3:$H$102,7,FALSE),main!$K$18:$O$18,0),0))),0)</f>
        <v>100</v>
      </c>
      <c r="CN79">
        <f>IF((gamma!CN79),IF(VLOOKUP(CN$1,main!$A$3:$H$102,7,FALSE)=VLOOKUP($A79,main!$A$3:$H$102,8,FALSE),VLOOKUP(CN$1,main!$A$3:$H$102,4,FALSE),VLOOKUP(CN$1,main!$A$3:$H$102,4,FALSE)+VLOOKUP($A79,main!$A$3:$H$102,4,FALSE)+(VLOOKUP(VLOOKUP(CN$1,main!$A$3:$H$102,8,FALSE),main!$K$19:$O$22,MATCH(VLOOKUP($A79,main!$A$3:$H$102,7,FALSE),main!$K$18:$O$18,0),0))),0)</f>
        <v>96</v>
      </c>
      <c r="CO79">
        <f>IF((gamma!CO79),IF(VLOOKUP(CO$1,main!$A$3:$H$102,7,FALSE)=VLOOKUP($A79,main!$A$3:$H$102,8,FALSE),VLOOKUP(CO$1,main!$A$3:$H$102,4,FALSE),VLOOKUP(CO$1,main!$A$3:$H$102,4,FALSE)+VLOOKUP($A79,main!$A$3:$H$102,4,FALSE)+(VLOOKUP(VLOOKUP(CO$1,main!$A$3:$H$102,8,FALSE),main!$K$19:$O$22,MATCH(VLOOKUP($A79,main!$A$3:$H$102,7,FALSE),main!$K$18:$O$18,0),0))),0)</f>
        <v>0</v>
      </c>
      <c r="CP79">
        <f>IF((gamma!CP79),IF(VLOOKUP(CP$1,main!$A$3:$H$102,7,FALSE)=VLOOKUP($A79,main!$A$3:$H$102,8,FALSE),VLOOKUP(CP$1,main!$A$3:$H$102,4,FALSE),VLOOKUP(CP$1,main!$A$3:$H$102,4,FALSE)+VLOOKUP($A79,main!$A$3:$H$102,4,FALSE)+(VLOOKUP(VLOOKUP(CP$1,main!$A$3:$H$102,8,FALSE),main!$K$19:$O$22,MATCH(VLOOKUP($A79,main!$A$3:$H$102,7,FALSE),main!$K$18:$O$18,0),0))),0)</f>
        <v>120</v>
      </c>
      <c r="CQ79">
        <f>IF((gamma!CQ79),IF(VLOOKUP(CQ$1,main!$A$3:$H$102,7,FALSE)=VLOOKUP($A79,main!$A$3:$H$102,8,FALSE),VLOOKUP(CQ$1,main!$A$3:$H$102,4,FALSE),VLOOKUP(CQ$1,main!$A$3:$H$102,4,FALSE)+VLOOKUP($A79,main!$A$3:$H$102,4,FALSE)+(VLOOKUP(VLOOKUP(CQ$1,main!$A$3:$H$102,8,FALSE),main!$K$19:$O$22,MATCH(VLOOKUP($A79,main!$A$3:$H$102,7,FALSE),main!$K$18:$O$18,0),0))),0)</f>
        <v>120</v>
      </c>
      <c r="CR79">
        <f>IF((gamma!CR79),IF(VLOOKUP(CR$1,main!$A$3:$H$102,7,FALSE)=VLOOKUP($A79,main!$A$3:$H$102,8,FALSE),VLOOKUP(CR$1,main!$A$3:$H$102,4,FALSE),VLOOKUP(CR$1,main!$A$3:$H$102,4,FALSE)+VLOOKUP($A79,main!$A$3:$H$102,4,FALSE)+(VLOOKUP(VLOOKUP(CR$1,main!$A$3:$H$102,8,FALSE),main!$K$19:$O$22,MATCH(VLOOKUP($A79,main!$A$3:$H$102,7,FALSE),main!$K$18:$O$18,0),0))),0)</f>
        <v>135</v>
      </c>
      <c r="CS79">
        <f>IF((gamma!CS79),IF(VLOOKUP(CS$1,main!$A$3:$H$102,7,FALSE)=VLOOKUP($A79,main!$A$3:$H$102,8,FALSE),VLOOKUP(CS$1,main!$A$3:$H$102,4,FALSE),VLOOKUP(CS$1,main!$A$3:$H$102,4,FALSE)+VLOOKUP($A79,main!$A$3:$H$102,4,FALSE)+(VLOOKUP(VLOOKUP(CS$1,main!$A$3:$H$102,8,FALSE),main!$K$19:$O$22,MATCH(VLOOKUP($A79,main!$A$3:$H$102,7,FALSE),main!$K$18:$O$18,0),0))),0)</f>
        <v>135</v>
      </c>
      <c r="CT79">
        <f>IF((gamma!CT79),IF(VLOOKUP(CT$1,main!$A$3:$H$102,7,FALSE)=VLOOKUP($A79,main!$A$3:$H$102,8,FALSE),VLOOKUP(CT$1,main!$A$3:$H$102,4,FALSE),VLOOKUP(CT$1,main!$A$3:$H$102,4,FALSE)+VLOOKUP($A79,main!$A$3:$H$102,4,FALSE)+(VLOOKUP(VLOOKUP(CT$1,main!$A$3:$H$102,8,FALSE),main!$K$19:$O$22,MATCH(VLOOKUP($A79,main!$A$3:$H$102,7,FALSE),main!$K$18:$O$18,0),0))),0)</f>
        <v>0</v>
      </c>
      <c r="CU79">
        <f>IF((gamma!CU79),IF(VLOOKUP(CU$1,main!$A$3:$H$102,7,FALSE)=VLOOKUP($A79,main!$A$3:$H$102,8,FALSE),VLOOKUP(CU$1,main!$A$3:$H$102,4,FALSE),VLOOKUP(CU$1,main!$A$3:$H$102,4,FALSE)+VLOOKUP($A79,main!$A$3:$H$102,4,FALSE)+(VLOOKUP(VLOOKUP(CU$1,main!$A$3:$H$102,8,FALSE),main!$K$19:$O$22,MATCH(VLOOKUP($A79,main!$A$3:$H$102,7,FALSE),main!$K$18:$O$18,0),0))),0)</f>
        <v>0</v>
      </c>
      <c r="CV79">
        <f>IF((gamma!CV79),IF(VLOOKUP(CV$1,main!$A$3:$H$102,7,FALSE)=VLOOKUP($A79,main!$A$3:$H$102,8,FALSE),VLOOKUP(CV$1,main!$A$3:$H$102,4,FALSE),VLOOKUP(CV$1,main!$A$3:$H$102,4,FALSE)+VLOOKUP($A79,main!$A$3:$H$102,4,FALSE)+(VLOOKUP(VLOOKUP(CV$1,main!$A$3:$H$102,8,FALSE),main!$K$19:$O$22,MATCH(VLOOKUP($A79,main!$A$3:$H$102,7,FALSE),main!$K$18:$O$18,0),0))),0)</f>
        <v>80</v>
      </c>
      <c r="CW79">
        <f>IF((gamma!CW79),IF(VLOOKUP(CW$1,main!$A$3:$H$102,7,FALSE)=VLOOKUP($A79,main!$A$3:$H$102,8,FALSE),VLOOKUP(CW$1,main!$A$3:$H$102,4,FALSE),VLOOKUP(CW$1,main!$A$3:$H$102,4,FALSE)+VLOOKUP($A79,main!$A$3:$H$102,4,FALSE)+(VLOOKUP(VLOOKUP(CW$1,main!$A$3:$H$102,8,FALSE),main!$K$19:$O$22,MATCH(VLOOKUP($A79,main!$A$3:$H$102,7,FALSE),main!$K$18:$O$18,0),0))),0)</f>
        <v>95</v>
      </c>
      <c r="CX79">
        <f>IF((gamma!CX79),IF(VLOOKUP(CX$1,main!$A$3:$H$102,7,FALSE)=VLOOKUP($A79,main!$A$3:$H$102,8,FALSE),VLOOKUP(CX$1,main!$A$3:$H$102,4,FALSE),VLOOKUP(CX$1,main!$A$3:$H$102,4,FALSE)+VLOOKUP($A79,main!$A$3:$H$102,4,FALSE)+(VLOOKUP(VLOOKUP(CX$1,main!$A$3:$H$102,8,FALSE),main!$K$19:$O$22,MATCH(VLOOKUP($A79,main!$A$3:$H$102,7,FALSE),main!$K$18:$O$18,0),0))),0)</f>
        <v>85</v>
      </c>
      <c r="CY79">
        <v>0</v>
      </c>
      <c r="CZ79">
        <v>0</v>
      </c>
      <c r="DA79">
        <v>0</v>
      </c>
    </row>
    <row r="80" spans="1:105" x14ac:dyDescent="0.25">
      <c r="A80" s="1">
        <v>78</v>
      </c>
      <c r="B80">
        <v>0</v>
      </c>
      <c r="C80">
        <f>IF((gamma!C80),IF(VLOOKUP(C$1,main!$A$3:$H$102,7,FALSE)=VLOOKUP($A80,main!$A$3:$H$102,8,FALSE),VLOOKUP(C$1,main!$A$3:$H$102,4,FALSE),VLOOKUP(C$1,main!$A$3:$H$102,4,FALSE)+VLOOKUP($A80,main!$A$3:$H$102,4,FALSE)+(VLOOKUP(VLOOKUP(C$1,main!$A$3:$H$102,8,FALSE),main!$K$19:$O$22,MATCH(VLOOKUP($A80,main!$A$3:$H$102,7,FALSE),main!$K$18:$O$18,0),0))),0)</f>
        <v>0</v>
      </c>
      <c r="D80">
        <f>IF((gamma!D80),IF(VLOOKUP(D$1,main!$A$3:$H$102,7,FALSE)=VLOOKUP($A80,main!$A$3:$H$102,8,FALSE),VLOOKUP(D$1,main!$A$3:$H$102,4,FALSE),VLOOKUP(D$1,main!$A$3:$H$102,4,FALSE)+VLOOKUP($A80,main!$A$3:$H$102,4,FALSE)+(VLOOKUP(VLOOKUP(D$1,main!$A$3:$H$102,8,FALSE),main!$K$19:$O$22,MATCH(VLOOKUP($A80,main!$A$3:$H$102,7,FALSE),main!$K$18:$O$18,0),0))),0)</f>
        <v>0</v>
      </c>
      <c r="E80">
        <f>IF((gamma!E80),IF(VLOOKUP(E$1,main!$A$3:$H$102,7,FALSE)=VLOOKUP($A80,main!$A$3:$H$102,8,FALSE),VLOOKUP(E$1,main!$A$3:$H$102,4,FALSE),VLOOKUP(E$1,main!$A$3:$H$102,4,FALSE)+VLOOKUP($A80,main!$A$3:$H$102,4,FALSE)+(VLOOKUP(VLOOKUP(E$1,main!$A$3:$H$102,8,FALSE),main!$K$19:$O$22,MATCH(VLOOKUP($A80,main!$A$3:$H$102,7,FALSE),main!$K$18:$O$18,0),0))),0)</f>
        <v>0</v>
      </c>
      <c r="F80">
        <f>IF((gamma!F80),IF(VLOOKUP(F$1,main!$A$3:$H$102,7,FALSE)=VLOOKUP($A80,main!$A$3:$H$102,8,FALSE),VLOOKUP(F$1,main!$A$3:$H$102,4,FALSE),VLOOKUP(F$1,main!$A$3:$H$102,4,FALSE)+VLOOKUP($A80,main!$A$3:$H$102,4,FALSE)+(VLOOKUP(VLOOKUP(F$1,main!$A$3:$H$102,8,FALSE),main!$K$19:$O$22,MATCH(VLOOKUP($A80,main!$A$3:$H$102,7,FALSE),main!$K$18:$O$18,0),0))),0)</f>
        <v>0</v>
      </c>
      <c r="G80">
        <f>IF((gamma!G80),IF(VLOOKUP(G$1,main!$A$3:$H$102,7,FALSE)=VLOOKUP($A80,main!$A$3:$H$102,8,FALSE),VLOOKUP(G$1,main!$A$3:$H$102,4,FALSE),VLOOKUP(G$1,main!$A$3:$H$102,4,FALSE)+VLOOKUP($A80,main!$A$3:$H$102,4,FALSE)+(VLOOKUP(VLOOKUP(G$1,main!$A$3:$H$102,8,FALSE),main!$K$19:$O$22,MATCH(VLOOKUP($A80,main!$A$3:$H$102,7,FALSE),main!$K$18:$O$18,0),0))),0)</f>
        <v>0</v>
      </c>
      <c r="H80">
        <f>IF((gamma!H80),IF(VLOOKUP(H$1,main!$A$3:$H$102,7,FALSE)=VLOOKUP($A80,main!$A$3:$H$102,8,FALSE),VLOOKUP(H$1,main!$A$3:$H$102,4,FALSE),VLOOKUP(H$1,main!$A$3:$H$102,4,FALSE)+VLOOKUP($A80,main!$A$3:$H$102,4,FALSE)+(VLOOKUP(VLOOKUP(H$1,main!$A$3:$H$102,8,FALSE),main!$K$19:$O$22,MATCH(VLOOKUP($A80,main!$A$3:$H$102,7,FALSE),main!$K$18:$O$18,0),0))),0)</f>
        <v>0</v>
      </c>
      <c r="I80">
        <f>IF((gamma!I80),IF(VLOOKUP(I$1,main!$A$3:$H$102,7,FALSE)=VLOOKUP($A80,main!$A$3:$H$102,8,FALSE),VLOOKUP(I$1,main!$A$3:$H$102,4,FALSE),VLOOKUP(I$1,main!$A$3:$H$102,4,FALSE)+VLOOKUP($A80,main!$A$3:$H$102,4,FALSE)+(VLOOKUP(VLOOKUP(I$1,main!$A$3:$H$102,8,FALSE),main!$K$19:$O$22,MATCH(VLOOKUP($A80,main!$A$3:$H$102,7,FALSE),main!$K$18:$O$18,0),0))),0)</f>
        <v>0</v>
      </c>
      <c r="J80">
        <f>IF((gamma!J80),IF(VLOOKUP(J$1,main!$A$3:$H$102,7,FALSE)=VLOOKUP($A80,main!$A$3:$H$102,8,FALSE),VLOOKUP(J$1,main!$A$3:$H$102,4,FALSE),VLOOKUP(J$1,main!$A$3:$H$102,4,FALSE)+VLOOKUP($A80,main!$A$3:$H$102,4,FALSE)+(VLOOKUP(VLOOKUP(J$1,main!$A$3:$H$102,8,FALSE),main!$K$19:$O$22,MATCH(VLOOKUP($A80,main!$A$3:$H$102,7,FALSE),main!$K$18:$O$18,0),0))),0)</f>
        <v>228</v>
      </c>
      <c r="K80">
        <f>IF((gamma!K80),IF(VLOOKUP(K$1,main!$A$3:$H$102,7,FALSE)=VLOOKUP($A80,main!$A$3:$H$102,8,FALSE),VLOOKUP(K$1,main!$A$3:$H$102,4,FALSE),VLOOKUP(K$1,main!$A$3:$H$102,4,FALSE)+VLOOKUP($A80,main!$A$3:$H$102,4,FALSE)+(VLOOKUP(VLOOKUP(K$1,main!$A$3:$H$102,8,FALSE),main!$K$19:$O$22,MATCH(VLOOKUP($A80,main!$A$3:$H$102,7,FALSE),main!$K$18:$O$18,0),0))),0)</f>
        <v>228</v>
      </c>
      <c r="L80">
        <f>IF((gamma!L80),IF(VLOOKUP(L$1,main!$A$3:$H$102,7,FALSE)=VLOOKUP($A80,main!$A$3:$H$102,8,FALSE),VLOOKUP(L$1,main!$A$3:$H$102,4,FALSE),VLOOKUP(L$1,main!$A$3:$H$102,4,FALSE)+VLOOKUP($A80,main!$A$3:$H$102,4,FALSE)+(VLOOKUP(VLOOKUP(L$1,main!$A$3:$H$102,8,FALSE),main!$K$19:$O$22,MATCH(VLOOKUP($A80,main!$A$3:$H$102,7,FALSE),main!$K$18:$O$18,0),0))),0)</f>
        <v>228</v>
      </c>
      <c r="M80">
        <f>IF((gamma!M80),IF(VLOOKUP(M$1,main!$A$3:$H$102,7,FALSE)=VLOOKUP($A80,main!$A$3:$H$102,8,FALSE),VLOOKUP(M$1,main!$A$3:$H$102,4,FALSE),VLOOKUP(M$1,main!$A$3:$H$102,4,FALSE)+VLOOKUP($A80,main!$A$3:$H$102,4,FALSE)+(VLOOKUP(VLOOKUP(M$1,main!$A$3:$H$102,8,FALSE),main!$K$19:$O$22,MATCH(VLOOKUP($A80,main!$A$3:$H$102,7,FALSE),main!$K$18:$O$18,0),0))),0)</f>
        <v>0</v>
      </c>
      <c r="N80">
        <f>IF((gamma!N80),IF(VLOOKUP(N$1,main!$A$3:$H$102,7,FALSE)=VLOOKUP($A80,main!$A$3:$H$102,8,FALSE),VLOOKUP(N$1,main!$A$3:$H$102,4,FALSE),VLOOKUP(N$1,main!$A$3:$H$102,4,FALSE)+VLOOKUP($A80,main!$A$3:$H$102,4,FALSE)+(VLOOKUP(VLOOKUP(N$1,main!$A$3:$H$102,8,FALSE),main!$K$19:$O$22,MATCH(VLOOKUP($A80,main!$A$3:$H$102,7,FALSE),main!$K$18:$O$18,0),0))),0)</f>
        <v>0</v>
      </c>
      <c r="O80">
        <f>IF((gamma!O80),IF(VLOOKUP(O$1,main!$A$3:$H$102,7,FALSE)=VLOOKUP($A80,main!$A$3:$H$102,8,FALSE),VLOOKUP(O$1,main!$A$3:$H$102,4,FALSE),VLOOKUP(O$1,main!$A$3:$H$102,4,FALSE)+VLOOKUP($A80,main!$A$3:$H$102,4,FALSE)+(VLOOKUP(VLOOKUP(O$1,main!$A$3:$H$102,8,FALSE),main!$K$19:$O$22,MATCH(VLOOKUP($A80,main!$A$3:$H$102,7,FALSE),main!$K$18:$O$18,0),0))),0)</f>
        <v>0</v>
      </c>
      <c r="P80">
        <f>IF((gamma!P80),IF(VLOOKUP(P$1,main!$A$3:$H$102,7,FALSE)=VLOOKUP($A80,main!$A$3:$H$102,8,FALSE),VLOOKUP(P$1,main!$A$3:$H$102,4,FALSE),VLOOKUP(P$1,main!$A$3:$H$102,4,FALSE)+VLOOKUP($A80,main!$A$3:$H$102,4,FALSE)+(VLOOKUP(VLOOKUP(P$1,main!$A$3:$H$102,8,FALSE),main!$K$19:$O$22,MATCH(VLOOKUP($A80,main!$A$3:$H$102,7,FALSE),main!$K$18:$O$18,0),0))),0)</f>
        <v>0</v>
      </c>
      <c r="Q80">
        <f>IF((gamma!Q80),IF(VLOOKUP(Q$1,main!$A$3:$H$102,7,FALSE)=VLOOKUP($A80,main!$A$3:$H$102,8,FALSE),VLOOKUP(Q$1,main!$A$3:$H$102,4,FALSE),VLOOKUP(Q$1,main!$A$3:$H$102,4,FALSE)+VLOOKUP($A80,main!$A$3:$H$102,4,FALSE)+(VLOOKUP(VLOOKUP(Q$1,main!$A$3:$H$102,8,FALSE),main!$K$19:$O$22,MATCH(VLOOKUP($A80,main!$A$3:$H$102,7,FALSE),main!$K$18:$O$18,0),0))),0)</f>
        <v>0</v>
      </c>
      <c r="R80">
        <f>IF((gamma!R80),IF(VLOOKUP(R$1,main!$A$3:$H$102,7,FALSE)=VLOOKUP($A80,main!$A$3:$H$102,8,FALSE),VLOOKUP(R$1,main!$A$3:$H$102,4,FALSE),VLOOKUP(R$1,main!$A$3:$H$102,4,FALSE)+VLOOKUP($A80,main!$A$3:$H$102,4,FALSE)+(VLOOKUP(VLOOKUP(R$1,main!$A$3:$H$102,8,FALSE),main!$K$19:$O$22,MATCH(VLOOKUP($A80,main!$A$3:$H$102,7,FALSE),main!$K$18:$O$18,0),0))),0)</f>
        <v>0</v>
      </c>
      <c r="S80">
        <f>IF((gamma!S80),IF(VLOOKUP(S$1,main!$A$3:$H$102,7,FALSE)=VLOOKUP($A80,main!$A$3:$H$102,8,FALSE),VLOOKUP(S$1,main!$A$3:$H$102,4,FALSE),VLOOKUP(S$1,main!$A$3:$H$102,4,FALSE)+VLOOKUP($A80,main!$A$3:$H$102,4,FALSE)+(VLOOKUP(VLOOKUP(S$1,main!$A$3:$H$102,8,FALSE),main!$K$19:$O$22,MATCH(VLOOKUP($A80,main!$A$3:$H$102,7,FALSE),main!$K$18:$O$18,0),0))),0)</f>
        <v>0</v>
      </c>
      <c r="T80">
        <f>IF((gamma!T80),IF(VLOOKUP(T$1,main!$A$3:$H$102,7,FALSE)=VLOOKUP($A80,main!$A$3:$H$102,8,FALSE),VLOOKUP(T$1,main!$A$3:$H$102,4,FALSE),VLOOKUP(T$1,main!$A$3:$H$102,4,FALSE)+VLOOKUP($A80,main!$A$3:$H$102,4,FALSE)+(VLOOKUP(VLOOKUP(T$1,main!$A$3:$H$102,8,FALSE),main!$K$19:$O$22,MATCH(VLOOKUP($A80,main!$A$3:$H$102,7,FALSE),main!$K$18:$O$18,0),0))),0)</f>
        <v>0</v>
      </c>
      <c r="U80">
        <f>IF((gamma!U80),IF(VLOOKUP(U$1,main!$A$3:$H$102,7,FALSE)=VLOOKUP($A80,main!$A$3:$H$102,8,FALSE),VLOOKUP(U$1,main!$A$3:$H$102,4,FALSE),VLOOKUP(U$1,main!$A$3:$H$102,4,FALSE)+VLOOKUP($A80,main!$A$3:$H$102,4,FALSE)+(VLOOKUP(VLOOKUP(U$1,main!$A$3:$H$102,8,FALSE),main!$K$19:$O$22,MATCH(VLOOKUP($A80,main!$A$3:$H$102,7,FALSE),main!$K$18:$O$18,0),0))),0)</f>
        <v>205</v>
      </c>
      <c r="V80">
        <f>IF((gamma!V80),IF(VLOOKUP(V$1,main!$A$3:$H$102,7,FALSE)=VLOOKUP($A80,main!$A$3:$H$102,8,FALSE),VLOOKUP(V$1,main!$A$3:$H$102,4,FALSE),VLOOKUP(V$1,main!$A$3:$H$102,4,FALSE)+VLOOKUP($A80,main!$A$3:$H$102,4,FALSE)+(VLOOKUP(VLOOKUP(V$1,main!$A$3:$H$102,8,FALSE),main!$K$19:$O$22,MATCH(VLOOKUP($A80,main!$A$3:$H$102,7,FALSE),main!$K$18:$O$18,0),0))),0)</f>
        <v>205</v>
      </c>
      <c r="W80">
        <f>IF((gamma!W80),IF(VLOOKUP(W$1,main!$A$3:$H$102,7,FALSE)=VLOOKUP($A80,main!$A$3:$H$102,8,FALSE),VLOOKUP(W$1,main!$A$3:$H$102,4,FALSE),VLOOKUP(W$1,main!$A$3:$H$102,4,FALSE)+VLOOKUP($A80,main!$A$3:$H$102,4,FALSE)+(VLOOKUP(VLOOKUP(W$1,main!$A$3:$H$102,8,FALSE),main!$K$19:$O$22,MATCH(VLOOKUP($A80,main!$A$3:$H$102,7,FALSE),main!$K$18:$O$18,0),0))),0)</f>
        <v>0</v>
      </c>
      <c r="X80">
        <f>IF((gamma!X80),IF(VLOOKUP(X$1,main!$A$3:$H$102,7,FALSE)=VLOOKUP($A80,main!$A$3:$H$102,8,FALSE),VLOOKUP(X$1,main!$A$3:$H$102,4,FALSE),VLOOKUP(X$1,main!$A$3:$H$102,4,FALSE)+VLOOKUP($A80,main!$A$3:$H$102,4,FALSE)+(VLOOKUP(VLOOKUP(X$1,main!$A$3:$H$102,8,FALSE),main!$K$19:$O$22,MATCH(VLOOKUP($A80,main!$A$3:$H$102,7,FALSE),main!$K$18:$O$18,0),0))),0)</f>
        <v>0</v>
      </c>
      <c r="Y80">
        <f>IF((gamma!Y80),IF(VLOOKUP(Y$1,main!$A$3:$H$102,7,FALSE)=VLOOKUP($A80,main!$A$3:$H$102,8,FALSE),VLOOKUP(Y$1,main!$A$3:$H$102,4,FALSE),VLOOKUP(Y$1,main!$A$3:$H$102,4,FALSE)+VLOOKUP($A80,main!$A$3:$H$102,4,FALSE)+(VLOOKUP(VLOOKUP(Y$1,main!$A$3:$H$102,8,FALSE),main!$K$19:$O$22,MATCH(VLOOKUP($A80,main!$A$3:$H$102,7,FALSE),main!$K$18:$O$18,0),0))),0)</f>
        <v>0</v>
      </c>
      <c r="Z80">
        <f>IF((gamma!Z80),IF(VLOOKUP(Z$1,main!$A$3:$H$102,7,FALSE)=VLOOKUP($A80,main!$A$3:$H$102,8,FALSE),VLOOKUP(Z$1,main!$A$3:$H$102,4,FALSE),VLOOKUP(Z$1,main!$A$3:$H$102,4,FALSE)+VLOOKUP($A80,main!$A$3:$H$102,4,FALSE)+(VLOOKUP(VLOOKUP(Z$1,main!$A$3:$H$102,8,FALSE),main!$K$19:$O$22,MATCH(VLOOKUP($A80,main!$A$3:$H$102,7,FALSE),main!$K$18:$O$18,0),0))),0)</f>
        <v>0</v>
      </c>
      <c r="AA80">
        <f>IF((gamma!AA80),IF(VLOOKUP(AA$1,main!$A$3:$H$102,7,FALSE)=VLOOKUP($A80,main!$A$3:$H$102,8,FALSE),VLOOKUP(AA$1,main!$A$3:$H$102,4,FALSE),VLOOKUP(AA$1,main!$A$3:$H$102,4,FALSE)+VLOOKUP($A80,main!$A$3:$H$102,4,FALSE)+(VLOOKUP(VLOOKUP(AA$1,main!$A$3:$H$102,8,FALSE),main!$K$19:$O$22,MATCH(VLOOKUP($A80,main!$A$3:$H$102,7,FALSE),main!$K$18:$O$18,0),0))),0)</f>
        <v>238</v>
      </c>
      <c r="AB80">
        <f>IF((gamma!AB80),IF(VLOOKUP(AB$1,main!$A$3:$H$102,7,FALSE)=VLOOKUP($A80,main!$A$3:$H$102,8,FALSE),VLOOKUP(AB$1,main!$A$3:$H$102,4,FALSE),VLOOKUP(AB$1,main!$A$3:$H$102,4,FALSE)+VLOOKUP($A80,main!$A$3:$H$102,4,FALSE)+(VLOOKUP(VLOOKUP(AB$1,main!$A$3:$H$102,8,FALSE),main!$K$19:$O$22,MATCH(VLOOKUP($A80,main!$A$3:$H$102,7,FALSE),main!$K$18:$O$18,0),0))),0)</f>
        <v>0</v>
      </c>
      <c r="AC80">
        <f>IF((gamma!AC80),IF(VLOOKUP(AC$1,main!$A$3:$H$102,7,FALSE)=VLOOKUP($A80,main!$A$3:$H$102,8,FALSE),VLOOKUP(AC$1,main!$A$3:$H$102,4,FALSE),VLOOKUP(AC$1,main!$A$3:$H$102,4,FALSE)+VLOOKUP($A80,main!$A$3:$H$102,4,FALSE)+(VLOOKUP(VLOOKUP(AC$1,main!$A$3:$H$102,8,FALSE),main!$K$19:$O$22,MATCH(VLOOKUP($A80,main!$A$3:$H$102,7,FALSE),main!$K$18:$O$18,0),0))),0)</f>
        <v>0</v>
      </c>
      <c r="AD80">
        <f>IF((gamma!AD80),IF(VLOOKUP(AD$1,main!$A$3:$H$102,7,FALSE)=VLOOKUP($A80,main!$A$3:$H$102,8,FALSE),VLOOKUP(AD$1,main!$A$3:$H$102,4,FALSE),VLOOKUP(AD$1,main!$A$3:$H$102,4,FALSE)+VLOOKUP($A80,main!$A$3:$H$102,4,FALSE)+(VLOOKUP(VLOOKUP(AD$1,main!$A$3:$H$102,8,FALSE),main!$K$19:$O$22,MATCH(VLOOKUP($A80,main!$A$3:$H$102,7,FALSE),main!$K$18:$O$18,0),0))),0)</f>
        <v>0</v>
      </c>
      <c r="AE80">
        <f>IF((gamma!AE80),IF(VLOOKUP(AE$1,main!$A$3:$H$102,7,FALSE)=VLOOKUP($A80,main!$A$3:$H$102,8,FALSE),VLOOKUP(AE$1,main!$A$3:$H$102,4,FALSE),VLOOKUP(AE$1,main!$A$3:$H$102,4,FALSE)+VLOOKUP($A80,main!$A$3:$H$102,4,FALSE)+(VLOOKUP(VLOOKUP(AE$1,main!$A$3:$H$102,8,FALSE),main!$K$19:$O$22,MATCH(VLOOKUP($A80,main!$A$3:$H$102,7,FALSE),main!$K$18:$O$18,0),0))),0)</f>
        <v>0</v>
      </c>
      <c r="AF80">
        <f>IF((gamma!AF80),IF(VLOOKUP(AF$1,main!$A$3:$H$102,7,FALSE)=VLOOKUP($A80,main!$A$3:$H$102,8,FALSE),VLOOKUP(AF$1,main!$A$3:$H$102,4,FALSE),VLOOKUP(AF$1,main!$A$3:$H$102,4,FALSE)+VLOOKUP($A80,main!$A$3:$H$102,4,FALSE)+(VLOOKUP(VLOOKUP(AF$1,main!$A$3:$H$102,8,FALSE),main!$K$19:$O$22,MATCH(VLOOKUP($A80,main!$A$3:$H$102,7,FALSE),main!$K$18:$O$18,0),0))),0)</f>
        <v>198</v>
      </c>
      <c r="AG80">
        <f>IF((gamma!AG80),IF(VLOOKUP(AG$1,main!$A$3:$H$102,7,FALSE)=VLOOKUP($A80,main!$A$3:$H$102,8,FALSE),VLOOKUP(AG$1,main!$A$3:$H$102,4,FALSE),VLOOKUP(AG$1,main!$A$3:$H$102,4,FALSE)+VLOOKUP($A80,main!$A$3:$H$102,4,FALSE)+(VLOOKUP(VLOOKUP(AG$1,main!$A$3:$H$102,8,FALSE),main!$K$19:$O$22,MATCH(VLOOKUP($A80,main!$A$3:$H$102,7,FALSE),main!$K$18:$O$18,0),0))),0)</f>
        <v>0</v>
      </c>
      <c r="AH80">
        <f>IF((gamma!AH80),IF(VLOOKUP(AH$1,main!$A$3:$H$102,7,FALSE)=VLOOKUP($A80,main!$A$3:$H$102,8,FALSE),VLOOKUP(AH$1,main!$A$3:$H$102,4,FALSE),VLOOKUP(AH$1,main!$A$3:$H$102,4,FALSE)+VLOOKUP($A80,main!$A$3:$H$102,4,FALSE)+(VLOOKUP(VLOOKUP(AH$1,main!$A$3:$H$102,8,FALSE),main!$K$19:$O$22,MATCH(VLOOKUP($A80,main!$A$3:$H$102,7,FALSE),main!$K$18:$O$18,0),0))),0)</f>
        <v>0</v>
      </c>
      <c r="AI80">
        <f>IF((gamma!AI80),IF(VLOOKUP(AI$1,main!$A$3:$H$102,7,FALSE)=VLOOKUP($A80,main!$A$3:$H$102,8,FALSE),VLOOKUP(AI$1,main!$A$3:$H$102,4,FALSE),VLOOKUP(AI$1,main!$A$3:$H$102,4,FALSE)+VLOOKUP($A80,main!$A$3:$H$102,4,FALSE)+(VLOOKUP(VLOOKUP(AI$1,main!$A$3:$H$102,8,FALSE),main!$K$19:$O$22,MATCH(VLOOKUP($A80,main!$A$3:$H$102,7,FALSE),main!$K$18:$O$18,0),0))),0)</f>
        <v>0</v>
      </c>
      <c r="AJ80">
        <f>IF((gamma!AJ80),IF(VLOOKUP(AJ$1,main!$A$3:$H$102,7,FALSE)=VLOOKUP($A80,main!$A$3:$H$102,8,FALSE),VLOOKUP(AJ$1,main!$A$3:$H$102,4,FALSE),VLOOKUP(AJ$1,main!$A$3:$H$102,4,FALSE)+VLOOKUP($A80,main!$A$3:$H$102,4,FALSE)+(VLOOKUP(VLOOKUP(AJ$1,main!$A$3:$H$102,8,FALSE),main!$K$19:$O$22,MATCH(VLOOKUP($A80,main!$A$3:$H$102,7,FALSE),main!$K$18:$O$18,0),0))),0)</f>
        <v>0</v>
      </c>
      <c r="AK80">
        <f>IF((gamma!AK80),IF(VLOOKUP(AK$1,main!$A$3:$H$102,7,FALSE)=VLOOKUP($A80,main!$A$3:$H$102,8,FALSE),VLOOKUP(AK$1,main!$A$3:$H$102,4,FALSE),VLOOKUP(AK$1,main!$A$3:$H$102,4,FALSE)+VLOOKUP($A80,main!$A$3:$H$102,4,FALSE)+(VLOOKUP(VLOOKUP(AK$1,main!$A$3:$H$102,8,FALSE),main!$K$19:$O$22,MATCH(VLOOKUP($A80,main!$A$3:$H$102,7,FALSE),main!$K$18:$O$18,0),0))),0)</f>
        <v>0</v>
      </c>
      <c r="AL80">
        <f>IF((gamma!AL80),IF(VLOOKUP(AL$1,main!$A$3:$H$102,7,FALSE)=VLOOKUP($A80,main!$A$3:$H$102,8,FALSE),VLOOKUP(AL$1,main!$A$3:$H$102,4,FALSE),VLOOKUP(AL$1,main!$A$3:$H$102,4,FALSE)+VLOOKUP($A80,main!$A$3:$H$102,4,FALSE)+(VLOOKUP(VLOOKUP(AL$1,main!$A$3:$H$102,8,FALSE),main!$K$19:$O$22,MATCH(VLOOKUP($A80,main!$A$3:$H$102,7,FALSE),main!$K$18:$O$18,0),0))),0)</f>
        <v>0</v>
      </c>
      <c r="AM80">
        <f>IF((gamma!AM80),IF(VLOOKUP(AM$1,main!$A$3:$H$102,7,FALSE)=VLOOKUP($A80,main!$A$3:$H$102,8,FALSE),VLOOKUP(AM$1,main!$A$3:$H$102,4,FALSE),VLOOKUP(AM$1,main!$A$3:$H$102,4,FALSE)+VLOOKUP($A80,main!$A$3:$H$102,4,FALSE)+(VLOOKUP(VLOOKUP(AM$1,main!$A$3:$H$102,8,FALSE),main!$K$19:$O$22,MATCH(VLOOKUP($A80,main!$A$3:$H$102,7,FALSE),main!$K$18:$O$18,0),0))),0)</f>
        <v>230</v>
      </c>
      <c r="AN80">
        <f>IF((gamma!AN80),IF(VLOOKUP(AN$1,main!$A$3:$H$102,7,FALSE)=VLOOKUP($A80,main!$A$3:$H$102,8,FALSE),VLOOKUP(AN$1,main!$A$3:$H$102,4,FALSE),VLOOKUP(AN$1,main!$A$3:$H$102,4,FALSE)+VLOOKUP($A80,main!$A$3:$H$102,4,FALSE)+(VLOOKUP(VLOOKUP(AN$1,main!$A$3:$H$102,8,FALSE),main!$K$19:$O$22,MATCH(VLOOKUP($A80,main!$A$3:$H$102,7,FALSE),main!$K$18:$O$18,0),0))),0)</f>
        <v>230</v>
      </c>
      <c r="AO80">
        <f>IF((gamma!AO80),IF(VLOOKUP(AO$1,main!$A$3:$H$102,7,FALSE)=VLOOKUP($A80,main!$A$3:$H$102,8,FALSE),VLOOKUP(AO$1,main!$A$3:$H$102,4,FALSE),VLOOKUP(AO$1,main!$A$3:$H$102,4,FALSE)+VLOOKUP($A80,main!$A$3:$H$102,4,FALSE)+(VLOOKUP(VLOOKUP(AO$1,main!$A$3:$H$102,8,FALSE),main!$K$19:$O$22,MATCH(VLOOKUP($A80,main!$A$3:$H$102,7,FALSE),main!$K$18:$O$18,0),0))),0)</f>
        <v>0</v>
      </c>
      <c r="AP80">
        <f>IF((gamma!AP80),IF(VLOOKUP(AP$1,main!$A$3:$H$102,7,FALSE)=VLOOKUP($A80,main!$A$3:$H$102,8,FALSE),VLOOKUP(AP$1,main!$A$3:$H$102,4,FALSE),VLOOKUP(AP$1,main!$A$3:$H$102,4,FALSE)+VLOOKUP($A80,main!$A$3:$H$102,4,FALSE)+(VLOOKUP(VLOOKUP(AP$1,main!$A$3:$H$102,8,FALSE),main!$K$19:$O$22,MATCH(VLOOKUP($A80,main!$A$3:$H$102,7,FALSE),main!$K$18:$O$18,0),0))),0)</f>
        <v>170</v>
      </c>
      <c r="AQ80">
        <f>IF((gamma!AQ80),IF(VLOOKUP(AQ$1,main!$A$3:$H$102,7,FALSE)=VLOOKUP($A80,main!$A$3:$H$102,8,FALSE),VLOOKUP(AQ$1,main!$A$3:$H$102,4,FALSE),VLOOKUP(AQ$1,main!$A$3:$H$102,4,FALSE)+VLOOKUP($A80,main!$A$3:$H$102,4,FALSE)+(VLOOKUP(VLOOKUP(AQ$1,main!$A$3:$H$102,8,FALSE),main!$K$19:$O$22,MATCH(VLOOKUP($A80,main!$A$3:$H$102,7,FALSE),main!$K$18:$O$18,0),0))),0)</f>
        <v>0</v>
      </c>
      <c r="AR80">
        <f>IF((gamma!AR80),IF(VLOOKUP(AR$1,main!$A$3:$H$102,7,FALSE)=VLOOKUP($A80,main!$A$3:$H$102,8,FALSE),VLOOKUP(AR$1,main!$A$3:$H$102,4,FALSE),VLOOKUP(AR$1,main!$A$3:$H$102,4,FALSE)+VLOOKUP($A80,main!$A$3:$H$102,4,FALSE)+(VLOOKUP(VLOOKUP(AR$1,main!$A$3:$H$102,8,FALSE),main!$K$19:$O$22,MATCH(VLOOKUP($A80,main!$A$3:$H$102,7,FALSE),main!$K$18:$O$18,0),0))),0)</f>
        <v>0</v>
      </c>
      <c r="AS80">
        <f>IF((gamma!AS80),IF(VLOOKUP(AS$1,main!$A$3:$H$102,7,FALSE)=VLOOKUP($A80,main!$A$3:$H$102,8,FALSE),VLOOKUP(AS$1,main!$A$3:$H$102,4,FALSE),VLOOKUP(AS$1,main!$A$3:$H$102,4,FALSE)+VLOOKUP($A80,main!$A$3:$H$102,4,FALSE)+(VLOOKUP(VLOOKUP(AS$1,main!$A$3:$H$102,8,FALSE),main!$K$19:$O$22,MATCH(VLOOKUP($A80,main!$A$3:$H$102,7,FALSE),main!$K$18:$O$18,0),0))),0)</f>
        <v>0</v>
      </c>
      <c r="AT80">
        <f>IF((gamma!AT80),IF(VLOOKUP(AT$1,main!$A$3:$H$102,7,FALSE)=VLOOKUP($A80,main!$A$3:$H$102,8,FALSE),VLOOKUP(AT$1,main!$A$3:$H$102,4,FALSE),VLOOKUP(AT$1,main!$A$3:$H$102,4,FALSE)+VLOOKUP($A80,main!$A$3:$H$102,4,FALSE)+(VLOOKUP(VLOOKUP(AT$1,main!$A$3:$H$102,8,FALSE),main!$K$19:$O$22,MATCH(VLOOKUP($A80,main!$A$3:$H$102,7,FALSE),main!$K$18:$O$18,0),0))),0)</f>
        <v>0</v>
      </c>
      <c r="AU80">
        <f>IF((gamma!AU80),IF(VLOOKUP(AU$1,main!$A$3:$H$102,7,FALSE)=VLOOKUP($A80,main!$A$3:$H$102,8,FALSE),VLOOKUP(AU$1,main!$A$3:$H$102,4,FALSE),VLOOKUP(AU$1,main!$A$3:$H$102,4,FALSE)+VLOOKUP($A80,main!$A$3:$H$102,4,FALSE)+(VLOOKUP(VLOOKUP(AU$1,main!$A$3:$H$102,8,FALSE),main!$K$19:$O$22,MATCH(VLOOKUP($A80,main!$A$3:$H$102,7,FALSE),main!$K$18:$O$18,0),0))),0)</f>
        <v>0</v>
      </c>
      <c r="AV80">
        <f>IF((gamma!AV80),IF(VLOOKUP(AV$1,main!$A$3:$H$102,7,FALSE)=VLOOKUP($A80,main!$A$3:$H$102,8,FALSE),VLOOKUP(AV$1,main!$A$3:$H$102,4,FALSE),VLOOKUP(AV$1,main!$A$3:$H$102,4,FALSE)+VLOOKUP($A80,main!$A$3:$H$102,4,FALSE)+(VLOOKUP(VLOOKUP(AV$1,main!$A$3:$H$102,8,FALSE),main!$K$19:$O$22,MATCH(VLOOKUP($A80,main!$A$3:$H$102,7,FALSE),main!$K$18:$O$18,0),0))),0)</f>
        <v>0</v>
      </c>
      <c r="AW80">
        <f>IF((gamma!AW80),IF(VLOOKUP(AW$1,main!$A$3:$H$102,7,FALSE)=VLOOKUP($A80,main!$A$3:$H$102,8,FALSE),VLOOKUP(AW$1,main!$A$3:$H$102,4,FALSE),VLOOKUP(AW$1,main!$A$3:$H$102,4,FALSE)+VLOOKUP($A80,main!$A$3:$H$102,4,FALSE)+(VLOOKUP(VLOOKUP(AW$1,main!$A$3:$H$102,8,FALSE),main!$K$19:$O$22,MATCH(VLOOKUP($A80,main!$A$3:$H$102,7,FALSE),main!$K$18:$O$18,0),0))),0)</f>
        <v>0</v>
      </c>
      <c r="AX80">
        <f>IF((gamma!AX80),IF(VLOOKUP(AX$1,main!$A$3:$H$102,7,FALSE)=VLOOKUP($A80,main!$A$3:$H$102,8,FALSE),VLOOKUP(AX$1,main!$A$3:$H$102,4,FALSE),VLOOKUP(AX$1,main!$A$3:$H$102,4,FALSE)+VLOOKUP($A80,main!$A$3:$H$102,4,FALSE)+(VLOOKUP(VLOOKUP(AX$1,main!$A$3:$H$102,8,FALSE),main!$K$19:$O$22,MATCH(VLOOKUP($A80,main!$A$3:$H$102,7,FALSE),main!$K$18:$O$18,0),0))),0)</f>
        <v>0</v>
      </c>
      <c r="AY80">
        <f>IF((gamma!AY80),IF(VLOOKUP(AY$1,main!$A$3:$H$102,7,FALSE)=VLOOKUP($A80,main!$A$3:$H$102,8,FALSE),VLOOKUP(AY$1,main!$A$3:$H$102,4,FALSE),VLOOKUP(AY$1,main!$A$3:$H$102,4,FALSE)+VLOOKUP($A80,main!$A$3:$H$102,4,FALSE)+(VLOOKUP(VLOOKUP(AY$1,main!$A$3:$H$102,8,FALSE),main!$K$19:$O$22,MATCH(VLOOKUP($A80,main!$A$3:$H$102,7,FALSE),main!$K$18:$O$18,0),0))),0)</f>
        <v>0</v>
      </c>
      <c r="AZ80">
        <f>IF((gamma!AZ80),IF(VLOOKUP(AZ$1,main!$A$3:$H$102,7,FALSE)=VLOOKUP($A80,main!$A$3:$H$102,8,FALSE),VLOOKUP(AZ$1,main!$A$3:$H$102,4,FALSE),VLOOKUP(AZ$1,main!$A$3:$H$102,4,FALSE)+VLOOKUP($A80,main!$A$3:$H$102,4,FALSE)+(VLOOKUP(VLOOKUP(AZ$1,main!$A$3:$H$102,8,FALSE),main!$K$19:$O$22,MATCH(VLOOKUP($A80,main!$A$3:$H$102,7,FALSE),main!$K$18:$O$18,0),0))),0)</f>
        <v>0</v>
      </c>
      <c r="BA80">
        <f>IF((gamma!BA80),IF(VLOOKUP(BA$1,main!$A$3:$H$102,7,FALSE)=VLOOKUP($A80,main!$A$3:$H$102,8,FALSE),VLOOKUP(BA$1,main!$A$3:$H$102,4,FALSE),VLOOKUP(BA$1,main!$A$3:$H$102,4,FALSE)+VLOOKUP($A80,main!$A$3:$H$102,4,FALSE)+(VLOOKUP(VLOOKUP(BA$1,main!$A$3:$H$102,8,FALSE),main!$K$19:$O$22,MATCH(VLOOKUP($A80,main!$A$3:$H$102,7,FALSE),main!$K$18:$O$18,0),0))),0)</f>
        <v>0</v>
      </c>
      <c r="BB80">
        <f>IF((gamma!BB80),IF(VLOOKUP(BB$1,main!$A$3:$H$102,7,FALSE)=VLOOKUP($A80,main!$A$3:$H$102,8,FALSE),VLOOKUP(BB$1,main!$A$3:$H$102,4,FALSE),VLOOKUP(BB$1,main!$A$3:$H$102,4,FALSE)+VLOOKUP($A80,main!$A$3:$H$102,4,FALSE)+(VLOOKUP(VLOOKUP(BB$1,main!$A$3:$H$102,8,FALSE),main!$K$19:$O$22,MATCH(VLOOKUP($A80,main!$A$3:$H$102,7,FALSE),main!$K$18:$O$18,0),0))),0)</f>
        <v>0</v>
      </c>
      <c r="BC80">
        <f>IF((gamma!BC80),IF(VLOOKUP(BC$1,main!$A$3:$H$102,7,FALSE)=VLOOKUP($A80,main!$A$3:$H$102,8,FALSE),VLOOKUP(BC$1,main!$A$3:$H$102,4,FALSE),VLOOKUP(BC$1,main!$A$3:$H$102,4,FALSE)+VLOOKUP($A80,main!$A$3:$H$102,4,FALSE)+(VLOOKUP(VLOOKUP(BC$1,main!$A$3:$H$102,8,FALSE),main!$K$19:$O$22,MATCH(VLOOKUP($A80,main!$A$3:$H$102,7,FALSE),main!$K$18:$O$18,0),0))),0)</f>
        <v>0</v>
      </c>
      <c r="BD80">
        <f>IF((gamma!BD80),IF(VLOOKUP(BD$1,main!$A$3:$H$102,7,FALSE)=VLOOKUP($A80,main!$A$3:$H$102,8,FALSE),VLOOKUP(BD$1,main!$A$3:$H$102,4,FALSE),VLOOKUP(BD$1,main!$A$3:$H$102,4,FALSE)+VLOOKUP($A80,main!$A$3:$H$102,4,FALSE)+(VLOOKUP(VLOOKUP(BD$1,main!$A$3:$H$102,8,FALSE),main!$K$19:$O$22,MATCH(VLOOKUP($A80,main!$A$3:$H$102,7,FALSE),main!$K$18:$O$18,0),0))),0)</f>
        <v>0</v>
      </c>
      <c r="BE80">
        <f>IF((gamma!BE80),IF(VLOOKUP(BE$1,main!$A$3:$H$102,7,FALSE)=VLOOKUP($A80,main!$A$3:$H$102,8,FALSE),VLOOKUP(BE$1,main!$A$3:$H$102,4,FALSE),VLOOKUP(BE$1,main!$A$3:$H$102,4,FALSE)+VLOOKUP($A80,main!$A$3:$H$102,4,FALSE)+(VLOOKUP(VLOOKUP(BE$1,main!$A$3:$H$102,8,FALSE),main!$K$19:$O$22,MATCH(VLOOKUP($A80,main!$A$3:$H$102,7,FALSE),main!$K$18:$O$18,0),0))),0)</f>
        <v>235</v>
      </c>
      <c r="BF80">
        <f>IF((gamma!BF80),IF(VLOOKUP(BF$1,main!$A$3:$H$102,7,FALSE)=VLOOKUP($A80,main!$A$3:$H$102,8,FALSE),VLOOKUP(BF$1,main!$A$3:$H$102,4,FALSE),VLOOKUP(BF$1,main!$A$3:$H$102,4,FALSE)+VLOOKUP($A80,main!$A$3:$H$102,4,FALSE)+(VLOOKUP(VLOOKUP(BF$1,main!$A$3:$H$102,8,FALSE),main!$K$19:$O$22,MATCH(VLOOKUP($A80,main!$A$3:$H$102,7,FALSE),main!$K$18:$O$18,0),0))),0)</f>
        <v>0</v>
      </c>
      <c r="BG80">
        <f>IF((gamma!BG80),IF(VLOOKUP(BG$1,main!$A$3:$H$102,7,FALSE)=VLOOKUP($A80,main!$A$3:$H$102,8,FALSE),VLOOKUP(BG$1,main!$A$3:$H$102,4,FALSE),VLOOKUP(BG$1,main!$A$3:$H$102,4,FALSE)+VLOOKUP($A80,main!$A$3:$H$102,4,FALSE)+(VLOOKUP(VLOOKUP(BG$1,main!$A$3:$H$102,8,FALSE),main!$K$19:$O$22,MATCH(VLOOKUP($A80,main!$A$3:$H$102,7,FALSE),main!$K$18:$O$18,0),0))),0)</f>
        <v>0</v>
      </c>
      <c r="BH80">
        <f>IF((gamma!BH80),IF(VLOOKUP(BH$1,main!$A$3:$H$102,7,FALSE)=VLOOKUP($A80,main!$A$3:$H$102,8,FALSE),VLOOKUP(BH$1,main!$A$3:$H$102,4,FALSE),VLOOKUP(BH$1,main!$A$3:$H$102,4,FALSE)+VLOOKUP($A80,main!$A$3:$H$102,4,FALSE)+(VLOOKUP(VLOOKUP(BH$1,main!$A$3:$H$102,8,FALSE),main!$K$19:$O$22,MATCH(VLOOKUP($A80,main!$A$3:$H$102,7,FALSE),main!$K$18:$O$18,0),0))),0)</f>
        <v>0</v>
      </c>
      <c r="BI80">
        <f>IF((gamma!BI80),IF(VLOOKUP(BI$1,main!$A$3:$H$102,7,FALSE)=VLOOKUP($A80,main!$A$3:$H$102,8,FALSE),VLOOKUP(BI$1,main!$A$3:$H$102,4,FALSE),VLOOKUP(BI$1,main!$A$3:$H$102,4,FALSE)+VLOOKUP($A80,main!$A$3:$H$102,4,FALSE)+(VLOOKUP(VLOOKUP(BI$1,main!$A$3:$H$102,8,FALSE),main!$K$19:$O$22,MATCH(VLOOKUP($A80,main!$A$3:$H$102,7,FALSE),main!$K$18:$O$18,0),0))),0)</f>
        <v>155</v>
      </c>
      <c r="BJ80">
        <f>IF((gamma!BJ80),IF(VLOOKUP(BJ$1,main!$A$3:$H$102,7,FALSE)=VLOOKUP($A80,main!$A$3:$H$102,8,FALSE),VLOOKUP(BJ$1,main!$A$3:$H$102,4,FALSE),VLOOKUP(BJ$1,main!$A$3:$H$102,4,FALSE)+VLOOKUP($A80,main!$A$3:$H$102,4,FALSE)+(VLOOKUP(VLOOKUP(BJ$1,main!$A$3:$H$102,8,FALSE),main!$K$19:$O$22,MATCH(VLOOKUP($A80,main!$A$3:$H$102,7,FALSE),main!$K$18:$O$18,0),0))),0)</f>
        <v>0</v>
      </c>
      <c r="BK80">
        <f>IF((gamma!BK80),IF(VLOOKUP(BK$1,main!$A$3:$H$102,7,FALSE)=VLOOKUP($A80,main!$A$3:$H$102,8,FALSE),VLOOKUP(BK$1,main!$A$3:$H$102,4,FALSE),VLOOKUP(BK$1,main!$A$3:$H$102,4,FALSE)+VLOOKUP($A80,main!$A$3:$H$102,4,FALSE)+(VLOOKUP(VLOOKUP(BK$1,main!$A$3:$H$102,8,FALSE),main!$K$19:$O$22,MATCH(VLOOKUP($A80,main!$A$3:$H$102,7,FALSE),main!$K$18:$O$18,0),0))),0)</f>
        <v>0</v>
      </c>
      <c r="BL80">
        <f>IF((gamma!BL80),IF(VLOOKUP(BL$1,main!$A$3:$H$102,7,FALSE)=VLOOKUP($A80,main!$A$3:$H$102,8,FALSE),VLOOKUP(BL$1,main!$A$3:$H$102,4,FALSE),VLOOKUP(BL$1,main!$A$3:$H$102,4,FALSE)+VLOOKUP($A80,main!$A$3:$H$102,4,FALSE)+(VLOOKUP(VLOOKUP(BL$1,main!$A$3:$H$102,8,FALSE),main!$K$19:$O$22,MATCH(VLOOKUP($A80,main!$A$3:$H$102,7,FALSE),main!$K$18:$O$18,0),0))),0)</f>
        <v>0</v>
      </c>
      <c r="BM80">
        <f>IF((gamma!BM80),IF(VLOOKUP(BM$1,main!$A$3:$H$102,7,FALSE)=VLOOKUP($A80,main!$A$3:$H$102,8,FALSE),VLOOKUP(BM$1,main!$A$3:$H$102,4,FALSE),VLOOKUP(BM$1,main!$A$3:$H$102,4,FALSE)+VLOOKUP($A80,main!$A$3:$H$102,4,FALSE)+(VLOOKUP(VLOOKUP(BM$1,main!$A$3:$H$102,8,FALSE),main!$K$19:$O$22,MATCH(VLOOKUP($A80,main!$A$3:$H$102,7,FALSE),main!$K$18:$O$18,0),0))),0)</f>
        <v>0</v>
      </c>
      <c r="BN80">
        <f>IF((gamma!BN80),IF(VLOOKUP(BN$1,main!$A$3:$H$102,7,FALSE)=VLOOKUP($A80,main!$A$3:$H$102,8,FALSE),VLOOKUP(BN$1,main!$A$3:$H$102,4,FALSE),VLOOKUP(BN$1,main!$A$3:$H$102,4,FALSE)+VLOOKUP($A80,main!$A$3:$H$102,4,FALSE)+(VLOOKUP(VLOOKUP(BN$1,main!$A$3:$H$102,8,FALSE),main!$K$19:$O$22,MATCH(VLOOKUP($A80,main!$A$3:$H$102,7,FALSE),main!$K$18:$O$18,0),0))),0)</f>
        <v>0</v>
      </c>
      <c r="BO80">
        <f>IF((gamma!BO80),IF(VLOOKUP(BO$1,main!$A$3:$H$102,7,FALSE)=VLOOKUP($A80,main!$A$3:$H$102,8,FALSE),VLOOKUP(BO$1,main!$A$3:$H$102,4,FALSE),VLOOKUP(BO$1,main!$A$3:$H$102,4,FALSE)+VLOOKUP($A80,main!$A$3:$H$102,4,FALSE)+(VLOOKUP(VLOOKUP(BO$1,main!$A$3:$H$102,8,FALSE),main!$K$19:$O$22,MATCH(VLOOKUP($A80,main!$A$3:$H$102,7,FALSE),main!$K$18:$O$18,0),0))),0)</f>
        <v>0</v>
      </c>
      <c r="BP80">
        <f>IF((gamma!BP80),IF(VLOOKUP(BP$1,main!$A$3:$H$102,7,FALSE)=VLOOKUP($A80,main!$A$3:$H$102,8,FALSE),VLOOKUP(BP$1,main!$A$3:$H$102,4,FALSE),VLOOKUP(BP$1,main!$A$3:$H$102,4,FALSE)+VLOOKUP($A80,main!$A$3:$H$102,4,FALSE)+(VLOOKUP(VLOOKUP(BP$1,main!$A$3:$H$102,8,FALSE),main!$K$19:$O$22,MATCH(VLOOKUP($A80,main!$A$3:$H$102,7,FALSE),main!$K$18:$O$18,0),0))),0)</f>
        <v>0</v>
      </c>
      <c r="BQ80">
        <f>IF((gamma!BQ80),IF(VLOOKUP(BQ$1,main!$A$3:$H$102,7,FALSE)=VLOOKUP($A80,main!$A$3:$H$102,8,FALSE),VLOOKUP(BQ$1,main!$A$3:$H$102,4,FALSE),VLOOKUP(BQ$1,main!$A$3:$H$102,4,FALSE)+VLOOKUP($A80,main!$A$3:$H$102,4,FALSE)+(VLOOKUP(VLOOKUP(BQ$1,main!$A$3:$H$102,8,FALSE),main!$K$19:$O$22,MATCH(VLOOKUP($A80,main!$A$3:$H$102,7,FALSE),main!$K$18:$O$18,0),0))),0)</f>
        <v>0</v>
      </c>
      <c r="BR80">
        <f>IF((gamma!BR80),IF(VLOOKUP(BR$1,main!$A$3:$H$102,7,FALSE)=VLOOKUP($A80,main!$A$3:$H$102,8,FALSE),VLOOKUP(BR$1,main!$A$3:$H$102,4,FALSE),VLOOKUP(BR$1,main!$A$3:$H$102,4,FALSE)+VLOOKUP($A80,main!$A$3:$H$102,4,FALSE)+(VLOOKUP(VLOOKUP(BR$1,main!$A$3:$H$102,8,FALSE),main!$K$19:$O$22,MATCH(VLOOKUP($A80,main!$A$3:$H$102,7,FALSE),main!$K$18:$O$18,0),0))),0)</f>
        <v>0</v>
      </c>
      <c r="BS80">
        <f>IF((gamma!BS80),IF(VLOOKUP(BS$1,main!$A$3:$H$102,7,FALSE)=VLOOKUP($A80,main!$A$3:$H$102,8,FALSE),VLOOKUP(BS$1,main!$A$3:$H$102,4,FALSE),VLOOKUP(BS$1,main!$A$3:$H$102,4,FALSE)+VLOOKUP($A80,main!$A$3:$H$102,4,FALSE)+(VLOOKUP(VLOOKUP(BS$1,main!$A$3:$H$102,8,FALSE),main!$K$19:$O$22,MATCH(VLOOKUP($A80,main!$A$3:$H$102,7,FALSE),main!$K$18:$O$18,0),0))),0)</f>
        <v>0</v>
      </c>
      <c r="BT80">
        <f>IF((gamma!BT80),IF(VLOOKUP(BT$1,main!$A$3:$H$102,7,FALSE)=VLOOKUP($A80,main!$A$3:$H$102,8,FALSE),VLOOKUP(BT$1,main!$A$3:$H$102,4,FALSE),VLOOKUP(BT$1,main!$A$3:$H$102,4,FALSE)+VLOOKUP($A80,main!$A$3:$H$102,4,FALSE)+(VLOOKUP(VLOOKUP(BT$1,main!$A$3:$H$102,8,FALSE),main!$K$19:$O$22,MATCH(VLOOKUP($A80,main!$A$3:$H$102,7,FALSE),main!$K$18:$O$18,0),0))),0)</f>
        <v>0</v>
      </c>
      <c r="BU80">
        <f>IF((gamma!BU80),IF(VLOOKUP(BU$1,main!$A$3:$H$102,7,FALSE)=VLOOKUP($A80,main!$A$3:$H$102,8,FALSE),VLOOKUP(BU$1,main!$A$3:$H$102,4,FALSE),VLOOKUP(BU$1,main!$A$3:$H$102,4,FALSE)+VLOOKUP($A80,main!$A$3:$H$102,4,FALSE)+(VLOOKUP(VLOOKUP(BU$1,main!$A$3:$H$102,8,FALSE),main!$K$19:$O$22,MATCH(VLOOKUP($A80,main!$A$3:$H$102,7,FALSE),main!$K$18:$O$18,0),0))),0)</f>
        <v>0</v>
      </c>
      <c r="BV80">
        <f>IF((gamma!BV80),IF(VLOOKUP(BV$1,main!$A$3:$H$102,7,FALSE)=VLOOKUP($A80,main!$A$3:$H$102,8,FALSE),VLOOKUP(BV$1,main!$A$3:$H$102,4,FALSE),VLOOKUP(BV$1,main!$A$3:$H$102,4,FALSE)+VLOOKUP($A80,main!$A$3:$H$102,4,FALSE)+(VLOOKUP(VLOOKUP(BV$1,main!$A$3:$H$102,8,FALSE),main!$K$19:$O$22,MATCH(VLOOKUP($A80,main!$A$3:$H$102,7,FALSE),main!$K$18:$O$18,0),0))),0)</f>
        <v>0</v>
      </c>
      <c r="BW80">
        <f>IF((gamma!BW80),IF(VLOOKUP(BW$1,main!$A$3:$H$102,7,FALSE)=VLOOKUP($A80,main!$A$3:$H$102,8,FALSE),VLOOKUP(BW$1,main!$A$3:$H$102,4,FALSE),VLOOKUP(BW$1,main!$A$3:$H$102,4,FALSE)+VLOOKUP($A80,main!$A$3:$H$102,4,FALSE)+(VLOOKUP(VLOOKUP(BW$1,main!$A$3:$H$102,8,FALSE),main!$K$19:$O$22,MATCH(VLOOKUP($A80,main!$A$3:$H$102,7,FALSE),main!$K$18:$O$18,0),0))),0)</f>
        <v>0</v>
      </c>
      <c r="BX80">
        <f>IF((gamma!BX80),IF(VLOOKUP(BX$1,main!$A$3:$H$102,7,FALSE)=VLOOKUP($A80,main!$A$3:$H$102,8,FALSE),VLOOKUP(BX$1,main!$A$3:$H$102,4,FALSE),VLOOKUP(BX$1,main!$A$3:$H$102,4,FALSE)+VLOOKUP($A80,main!$A$3:$H$102,4,FALSE)+(VLOOKUP(VLOOKUP(BX$1,main!$A$3:$H$102,8,FALSE),main!$K$19:$O$22,MATCH(VLOOKUP($A80,main!$A$3:$H$102,7,FALSE),main!$K$18:$O$18,0),0))),0)</f>
        <v>0</v>
      </c>
      <c r="BY80">
        <f>IF((gamma!BY80),IF(VLOOKUP(BY$1,main!$A$3:$H$102,7,FALSE)=VLOOKUP($A80,main!$A$3:$H$102,8,FALSE),VLOOKUP(BY$1,main!$A$3:$H$102,4,FALSE),VLOOKUP(BY$1,main!$A$3:$H$102,4,FALSE)+VLOOKUP($A80,main!$A$3:$H$102,4,FALSE)+(VLOOKUP(VLOOKUP(BY$1,main!$A$3:$H$102,8,FALSE),main!$K$19:$O$22,MATCH(VLOOKUP($A80,main!$A$3:$H$102,7,FALSE),main!$K$18:$O$18,0),0))),0)</f>
        <v>0</v>
      </c>
      <c r="BZ80">
        <f>IF((gamma!BZ80),IF(VLOOKUP(BZ$1,main!$A$3:$H$102,7,FALSE)=VLOOKUP($A80,main!$A$3:$H$102,8,FALSE),VLOOKUP(BZ$1,main!$A$3:$H$102,4,FALSE),VLOOKUP(BZ$1,main!$A$3:$H$102,4,FALSE)+VLOOKUP($A80,main!$A$3:$H$102,4,FALSE)+(VLOOKUP(VLOOKUP(BZ$1,main!$A$3:$H$102,8,FALSE),main!$K$19:$O$22,MATCH(VLOOKUP($A80,main!$A$3:$H$102,7,FALSE),main!$K$18:$O$18,0),0))),0)</f>
        <v>0</v>
      </c>
      <c r="CA80">
        <f>IF((gamma!CA80),IF(VLOOKUP(CA$1,main!$A$3:$H$102,7,FALSE)=VLOOKUP($A80,main!$A$3:$H$102,8,FALSE),VLOOKUP(CA$1,main!$A$3:$H$102,4,FALSE),VLOOKUP(CA$1,main!$A$3:$H$102,4,FALSE)+VLOOKUP($A80,main!$A$3:$H$102,4,FALSE)+(VLOOKUP(VLOOKUP(CA$1,main!$A$3:$H$102,8,FALSE),main!$K$19:$O$22,MATCH(VLOOKUP($A80,main!$A$3:$H$102,7,FALSE),main!$K$18:$O$18,0),0))),0)</f>
        <v>0</v>
      </c>
      <c r="CB80">
        <f>IF((gamma!CB80),IF(VLOOKUP(CB$1,main!$A$3:$H$102,7,FALSE)=VLOOKUP($A80,main!$A$3:$H$102,8,FALSE),VLOOKUP(CB$1,main!$A$3:$H$102,4,FALSE),VLOOKUP(CB$1,main!$A$3:$H$102,4,FALSE)+VLOOKUP($A80,main!$A$3:$H$102,4,FALSE)+(VLOOKUP(VLOOKUP(CB$1,main!$A$3:$H$102,8,FALSE),main!$K$19:$O$22,MATCH(VLOOKUP($A80,main!$A$3:$H$102,7,FALSE),main!$K$18:$O$18,0),0))),0)</f>
        <v>0</v>
      </c>
      <c r="CC80">
        <f>IF((gamma!CC80),IF(VLOOKUP(CC$1,main!$A$3:$H$102,7,FALSE)=VLOOKUP($A80,main!$A$3:$H$102,8,FALSE),VLOOKUP(CC$1,main!$A$3:$H$102,4,FALSE),VLOOKUP(CC$1,main!$A$3:$H$102,4,FALSE)+VLOOKUP($A80,main!$A$3:$H$102,4,FALSE)+(VLOOKUP(VLOOKUP(CC$1,main!$A$3:$H$102,8,FALSE),main!$K$19:$O$22,MATCH(VLOOKUP($A80,main!$A$3:$H$102,7,FALSE),main!$K$18:$O$18,0),0))),0)</f>
        <v>153</v>
      </c>
      <c r="CD80">
        <f>IF((gamma!CD80),IF(VLOOKUP(CD$1,main!$A$3:$H$102,7,FALSE)=VLOOKUP($A80,main!$A$3:$H$102,8,FALSE),VLOOKUP(CD$1,main!$A$3:$H$102,4,FALSE),VLOOKUP(CD$1,main!$A$3:$H$102,4,FALSE)+VLOOKUP($A80,main!$A$3:$H$102,4,FALSE)+(VLOOKUP(VLOOKUP(CD$1,main!$A$3:$H$102,8,FALSE),main!$K$19:$O$22,MATCH(VLOOKUP($A80,main!$A$3:$H$102,7,FALSE),main!$K$18:$O$18,0),0))),0)</f>
        <v>0</v>
      </c>
      <c r="CE80">
        <f>IF((gamma!CE80),IF(VLOOKUP(CE$1,main!$A$3:$H$102,7,FALSE)=VLOOKUP($A80,main!$A$3:$H$102,8,FALSE),VLOOKUP(CE$1,main!$A$3:$H$102,4,FALSE),VLOOKUP(CE$1,main!$A$3:$H$102,4,FALSE)+VLOOKUP($A80,main!$A$3:$H$102,4,FALSE)+(VLOOKUP(VLOOKUP(CE$1,main!$A$3:$H$102,8,FALSE),main!$K$19:$O$22,MATCH(VLOOKUP($A80,main!$A$3:$H$102,7,FALSE),main!$K$18:$O$18,0),0))),0)</f>
        <v>0</v>
      </c>
      <c r="CF80">
        <f>IF((gamma!CF80),IF(VLOOKUP(CF$1,main!$A$3:$H$102,7,FALSE)=VLOOKUP($A80,main!$A$3:$H$102,8,FALSE),VLOOKUP(CF$1,main!$A$3:$H$102,4,FALSE),VLOOKUP(CF$1,main!$A$3:$H$102,4,FALSE)+VLOOKUP($A80,main!$A$3:$H$102,4,FALSE)+(VLOOKUP(VLOOKUP(CF$1,main!$A$3:$H$102,8,FALSE),main!$K$19:$O$22,MATCH(VLOOKUP($A80,main!$A$3:$H$102,7,FALSE),main!$K$18:$O$18,0),0))),0)</f>
        <v>0</v>
      </c>
      <c r="CG80">
        <f>IF((gamma!CG80),IF(VLOOKUP(CG$1,main!$A$3:$H$102,7,FALSE)=VLOOKUP($A80,main!$A$3:$H$102,8,FALSE),VLOOKUP(CG$1,main!$A$3:$H$102,4,FALSE),VLOOKUP(CG$1,main!$A$3:$H$102,4,FALSE)+VLOOKUP($A80,main!$A$3:$H$102,4,FALSE)+(VLOOKUP(VLOOKUP(CG$1,main!$A$3:$H$102,8,FALSE),main!$K$19:$O$22,MATCH(VLOOKUP($A80,main!$A$3:$H$102,7,FALSE),main!$K$18:$O$18,0),0))),0)</f>
        <v>0</v>
      </c>
      <c r="CH80">
        <f>IF((gamma!CH80),IF(VLOOKUP(CH$1,main!$A$3:$H$102,7,FALSE)=VLOOKUP($A80,main!$A$3:$H$102,8,FALSE),VLOOKUP(CH$1,main!$A$3:$H$102,4,FALSE),VLOOKUP(CH$1,main!$A$3:$H$102,4,FALSE)+VLOOKUP($A80,main!$A$3:$H$102,4,FALSE)+(VLOOKUP(VLOOKUP(CH$1,main!$A$3:$H$102,8,FALSE),main!$K$19:$O$22,MATCH(VLOOKUP($A80,main!$A$3:$H$102,7,FALSE),main!$K$18:$O$18,0),0))),0)</f>
        <v>140</v>
      </c>
      <c r="CI80">
        <f>IF((gamma!CI80),IF(VLOOKUP(CI$1,main!$A$3:$H$102,7,FALSE)=VLOOKUP($A80,main!$A$3:$H$102,8,FALSE),VLOOKUP(CI$1,main!$A$3:$H$102,4,FALSE),VLOOKUP(CI$1,main!$A$3:$H$102,4,FALSE)+VLOOKUP($A80,main!$A$3:$H$102,4,FALSE)+(VLOOKUP(VLOOKUP(CI$1,main!$A$3:$H$102,8,FALSE),main!$K$19:$O$22,MATCH(VLOOKUP($A80,main!$A$3:$H$102,7,FALSE),main!$K$18:$O$18,0),0))),0)</f>
        <v>140</v>
      </c>
      <c r="CJ80">
        <f>IF((gamma!CJ80),IF(VLOOKUP(CJ$1,main!$A$3:$H$102,7,FALSE)=VLOOKUP($A80,main!$A$3:$H$102,8,FALSE),VLOOKUP(CJ$1,main!$A$3:$H$102,4,FALSE),VLOOKUP(CJ$1,main!$A$3:$H$102,4,FALSE)+VLOOKUP($A80,main!$A$3:$H$102,4,FALSE)+(VLOOKUP(VLOOKUP(CJ$1,main!$A$3:$H$102,8,FALSE),main!$K$19:$O$22,MATCH(VLOOKUP($A80,main!$A$3:$H$102,7,FALSE),main!$K$18:$O$18,0),0))),0)</f>
        <v>0</v>
      </c>
      <c r="CK80">
        <f>IF((gamma!CK80),IF(VLOOKUP(CK$1,main!$A$3:$H$102,7,FALSE)=VLOOKUP($A80,main!$A$3:$H$102,8,FALSE),VLOOKUP(CK$1,main!$A$3:$H$102,4,FALSE),VLOOKUP(CK$1,main!$A$3:$H$102,4,FALSE)+VLOOKUP($A80,main!$A$3:$H$102,4,FALSE)+(VLOOKUP(VLOOKUP(CK$1,main!$A$3:$H$102,8,FALSE),main!$K$19:$O$22,MATCH(VLOOKUP($A80,main!$A$3:$H$102,7,FALSE),main!$K$18:$O$18,0),0))),0)</f>
        <v>0</v>
      </c>
      <c r="CL80">
        <f>IF((gamma!CL80),IF(VLOOKUP(CL$1,main!$A$3:$H$102,7,FALSE)=VLOOKUP($A80,main!$A$3:$H$102,8,FALSE),VLOOKUP(CL$1,main!$A$3:$H$102,4,FALSE),VLOOKUP(CL$1,main!$A$3:$H$102,4,FALSE)+VLOOKUP($A80,main!$A$3:$H$102,4,FALSE)+(VLOOKUP(VLOOKUP(CL$1,main!$A$3:$H$102,8,FALSE),main!$K$19:$O$22,MATCH(VLOOKUP($A80,main!$A$3:$H$102,7,FALSE),main!$K$18:$O$18,0),0))),0)</f>
        <v>0</v>
      </c>
      <c r="CM80">
        <f>IF((gamma!CM80),IF(VLOOKUP(CM$1,main!$A$3:$H$102,7,FALSE)=VLOOKUP($A80,main!$A$3:$H$102,8,FALSE),VLOOKUP(CM$1,main!$A$3:$H$102,4,FALSE),VLOOKUP(CM$1,main!$A$3:$H$102,4,FALSE)+VLOOKUP($A80,main!$A$3:$H$102,4,FALSE)+(VLOOKUP(VLOOKUP(CM$1,main!$A$3:$H$102,8,FALSE),main!$K$19:$O$22,MATCH(VLOOKUP($A80,main!$A$3:$H$102,7,FALSE),main!$K$18:$O$18,0),0))),0)</f>
        <v>0</v>
      </c>
      <c r="CN80">
        <f>IF((gamma!CN80),IF(VLOOKUP(CN$1,main!$A$3:$H$102,7,FALSE)=VLOOKUP($A80,main!$A$3:$H$102,8,FALSE),VLOOKUP(CN$1,main!$A$3:$H$102,4,FALSE),VLOOKUP(CN$1,main!$A$3:$H$102,4,FALSE)+VLOOKUP($A80,main!$A$3:$H$102,4,FALSE)+(VLOOKUP(VLOOKUP(CN$1,main!$A$3:$H$102,8,FALSE),main!$K$19:$O$22,MATCH(VLOOKUP($A80,main!$A$3:$H$102,7,FALSE),main!$K$18:$O$18,0),0))),0)</f>
        <v>96</v>
      </c>
      <c r="CO80">
        <f>IF((gamma!CO80),IF(VLOOKUP(CO$1,main!$A$3:$H$102,7,FALSE)=VLOOKUP($A80,main!$A$3:$H$102,8,FALSE),VLOOKUP(CO$1,main!$A$3:$H$102,4,FALSE),VLOOKUP(CO$1,main!$A$3:$H$102,4,FALSE)+VLOOKUP($A80,main!$A$3:$H$102,4,FALSE)+(VLOOKUP(VLOOKUP(CO$1,main!$A$3:$H$102,8,FALSE),main!$K$19:$O$22,MATCH(VLOOKUP($A80,main!$A$3:$H$102,7,FALSE),main!$K$18:$O$18,0),0))),0)</f>
        <v>0</v>
      </c>
      <c r="CP80">
        <f>IF((gamma!CP80),IF(VLOOKUP(CP$1,main!$A$3:$H$102,7,FALSE)=VLOOKUP($A80,main!$A$3:$H$102,8,FALSE),VLOOKUP(CP$1,main!$A$3:$H$102,4,FALSE),VLOOKUP(CP$1,main!$A$3:$H$102,4,FALSE)+VLOOKUP($A80,main!$A$3:$H$102,4,FALSE)+(VLOOKUP(VLOOKUP(CP$1,main!$A$3:$H$102,8,FALSE),main!$K$19:$O$22,MATCH(VLOOKUP($A80,main!$A$3:$H$102,7,FALSE),main!$K$18:$O$18,0),0))),0)</f>
        <v>0</v>
      </c>
      <c r="CQ80">
        <f>IF((gamma!CQ80),IF(VLOOKUP(CQ$1,main!$A$3:$H$102,7,FALSE)=VLOOKUP($A80,main!$A$3:$H$102,8,FALSE),VLOOKUP(CQ$1,main!$A$3:$H$102,4,FALSE),VLOOKUP(CQ$1,main!$A$3:$H$102,4,FALSE)+VLOOKUP($A80,main!$A$3:$H$102,4,FALSE)+(VLOOKUP(VLOOKUP(CQ$1,main!$A$3:$H$102,8,FALSE),main!$K$19:$O$22,MATCH(VLOOKUP($A80,main!$A$3:$H$102,7,FALSE),main!$K$18:$O$18,0),0))),0)</f>
        <v>0</v>
      </c>
      <c r="CR80">
        <f>IF((gamma!CR80),IF(VLOOKUP(CR$1,main!$A$3:$H$102,7,FALSE)=VLOOKUP($A80,main!$A$3:$H$102,8,FALSE),VLOOKUP(CR$1,main!$A$3:$H$102,4,FALSE),VLOOKUP(CR$1,main!$A$3:$H$102,4,FALSE)+VLOOKUP($A80,main!$A$3:$H$102,4,FALSE)+(VLOOKUP(VLOOKUP(CR$1,main!$A$3:$H$102,8,FALSE),main!$K$19:$O$22,MATCH(VLOOKUP($A80,main!$A$3:$H$102,7,FALSE),main!$K$18:$O$18,0),0))),0)</f>
        <v>0</v>
      </c>
      <c r="CS80">
        <f>IF((gamma!CS80),IF(VLOOKUP(CS$1,main!$A$3:$H$102,7,FALSE)=VLOOKUP($A80,main!$A$3:$H$102,8,FALSE),VLOOKUP(CS$1,main!$A$3:$H$102,4,FALSE),VLOOKUP(CS$1,main!$A$3:$H$102,4,FALSE)+VLOOKUP($A80,main!$A$3:$H$102,4,FALSE)+(VLOOKUP(VLOOKUP(CS$1,main!$A$3:$H$102,8,FALSE),main!$K$19:$O$22,MATCH(VLOOKUP($A80,main!$A$3:$H$102,7,FALSE),main!$K$18:$O$18,0),0))),0)</f>
        <v>0</v>
      </c>
      <c r="CT80">
        <f>IF((gamma!CT80),IF(VLOOKUP(CT$1,main!$A$3:$H$102,7,FALSE)=VLOOKUP($A80,main!$A$3:$H$102,8,FALSE),VLOOKUP(CT$1,main!$A$3:$H$102,4,FALSE),VLOOKUP(CT$1,main!$A$3:$H$102,4,FALSE)+VLOOKUP($A80,main!$A$3:$H$102,4,FALSE)+(VLOOKUP(VLOOKUP(CT$1,main!$A$3:$H$102,8,FALSE),main!$K$19:$O$22,MATCH(VLOOKUP($A80,main!$A$3:$H$102,7,FALSE),main!$K$18:$O$18,0),0))),0)</f>
        <v>0</v>
      </c>
      <c r="CU80">
        <f>IF((gamma!CU80),IF(VLOOKUP(CU$1,main!$A$3:$H$102,7,FALSE)=VLOOKUP($A80,main!$A$3:$H$102,8,FALSE),VLOOKUP(CU$1,main!$A$3:$H$102,4,FALSE),VLOOKUP(CU$1,main!$A$3:$H$102,4,FALSE)+VLOOKUP($A80,main!$A$3:$H$102,4,FALSE)+(VLOOKUP(VLOOKUP(CU$1,main!$A$3:$H$102,8,FALSE),main!$K$19:$O$22,MATCH(VLOOKUP($A80,main!$A$3:$H$102,7,FALSE),main!$K$18:$O$18,0),0))),0)</f>
        <v>0</v>
      </c>
      <c r="CV80">
        <f>IF((gamma!CV80),IF(VLOOKUP(CV$1,main!$A$3:$H$102,7,FALSE)=VLOOKUP($A80,main!$A$3:$H$102,8,FALSE),VLOOKUP(CV$1,main!$A$3:$H$102,4,FALSE),VLOOKUP(CV$1,main!$A$3:$H$102,4,FALSE)+VLOOKUP($A80,main!$A$3:$H$102,4,FALSE)+(VLOOKUP(VLOOKUP(CV$1,main!$A$3:$H$102,8,FALSE),main!$K$19:$O$22,MATCH(VLOOKUP($A80,main!$A$3:$H$102,7,FALSE),main!$K$18:$O$18,0),0))),0)</f>
        <v>0</v>
      </c>
      <c r="CW80">
        <f>IF((gamma!CW80),IF(VLOOKUP(CW$1,main!$A$3:$H$102,7,FALSE)=VLOOKUP($A80,main!$A$3:$H$102,8,FALSE),VLOOKUP(CW$1,main!$A$3:$H$102,4,FALSE),VLOOKUP(CW$1,main!$A$3:$H$102,4,FALSE)+VLOOKUP($A80,main!$A$3:$H$102,4,FALSE)+(VLOOKUP(VLOOKUP(CW$1,main!$A$3:$H$102,8,FALSE),main!$K$19:$O$22,MATCH(VLOOKUP($A80,main!$A$3:$H$102,7,FALSE),main!$K$18:$O$18,0),0))),0)</f>
        <v>0</v>
      </c>
      <c r="CX80">
        <f>IF((gamma!CX80),IF(VLOOKUP(CX$1,main!$A$3:$H$102,7,FALSE)=VLOOKUP($A80,main!$A$3:$H$102,8,FALSE),VLOOKUP(CX$1,main!$A$3:$H$102,4,FALSE),VLOOKUP(CX$1,main!$A$3:$H$102,4,FALSE)+VLOOKUP($A80,main!$A$3:$H$102,4,FALSE)+(VLOOKUP(VLOOKUP(CX$1,main!$A$3:$H$102,8,FALSE),main!$K$19:$O$22,MATCH(VLOOKUP($A80,main!$A$3:$H$102,7,FALSE),main!$K$18:$O$18,0),0))),0)</f>
        <v>85</v>
      </c>
      <c r="CY80">
        <v>0</v>
      </c>
      <c r="CZ80">
        <v>0</v>
      </c>
      <c r="DA80">
        <v>0</v>
      </c>
    </row>
    <row r="81" spans="1:105" x14ac:dyDescent="0.25">
      <c r="A81" s="1">
        <v>79</v>
      </c>
      <c r="B81">
        <v>0</v>
      </c>
      <c r="C81">
        <f>IF((gamma!C81),IF(VLOOKUP(C$1,main!$A$3:$H$102,7,FALSE)=VLOOKUP($A81,main!$A$3:$H$102,8,FALSE),VLOOKUP(C$1,main!$A$3:$H$102,4,FALSE),VLOOKUP(C$1,main!$A$3:$H$102,4,FALSE)+VLOOKUP($A81,main!$A$3:$H$102,4,FALSE)+(VLOOKUP(VLOOKUP(C$1,main!$A$3:$H$102,8,FALSE),main!$K$19:$O$22,MATCH(VLOOKUP($A81,main!$A$3:$H$102,7,FALSE),main!$K$18:$O$18,0),0))),0)</f>
        <v>0</v>
      </c>
      <c r="D81">
        <f>IF((gamma!D81),IF(VLOOKUP(D$1,main!$A$3:$H$102,7,FALSE)=VLOOKUP($A81,main!$A$3:$H$102,8,FALSE),VLOOKUP(D$1,main!$A$3:$H$102,4,FALSE),VLOOKUP(D$1,main!$A$3:$H$102,4,FALSE)+VLOOKUP($A81,main!$A$3:$H$102,4,FALSE)+(VLOOKUP(VLOOKUP(D$1,main!$A$3:$H$102,8,FALSE),main!$K$19:$O$22,MATCH(VLOOKUP($A81,main!$A$3:$H$102,7,FALSE),main!$K$18:$O$18,0),0))),0)</f>
        <v>0</v>
      </c>
      <c r="E81">
        <f>IF((gamma!E81),IF(VLOOKUP(E$1,main!$A$3:$H$102,7,FALSE)=VLOOKUP($A81,main!$A$3:$H$102,8,FALSE),VLOOKUP(E$1,main!$A$3:$H$102,4,FALSE),VLOOKUP(E$1,main!$A$3:$H$102,4,FALSE)+VLOOKUP($A81,main!$A$3:$H$102,4,FALSE)+(VLOOKUP(VLOOKUP(E$1,main!$A$3:$H$102,8,FALSE),main!$K$19:$O$22,MATCH(VLOOKUP($A81,main!$A$3:$H$102,7,FALSE),main!$K$18:$O$18,0),0))),0)</f>
        <v>0</v>
      </c>
      <c r="F81">
        <f>IF((gamma!F81),IF(VLOOKUP(F$1,main!$A$3:$H$102,7,FALSE)=VLOOKUP($A81,main!$A$3:$H$102,8,FALSE),VLOOKUP(F$1,main!$A$3:$H$102,4,FALSE),VLOOKUP(F$1,main!$A$3:$H$102,4,FALSE)+VLOOKUP($A81,main!$A$3:$H$102,4,FALSE)+(VLOOKUP(VLOOKUP(F$1,main!$A$3:$H$102,8,FALSE),main!$K$19:$O$22,MATCH(VLOOKUP($A81,main!$A$3:$H$102,7,FALSE),main!$K$18:$O$18,0),0))),0)</f>
        <v>0</v>
      </c>
      <c r="G81">
        <f>IF((gamma!G81),IF(VLOOKUP(G$1,main!$A$3:$H$102,7,FALSE)=VLOOKUP($A81,main!$A$3:$H$102,8,FALSE),VLOOKUP(G$1,main!$A$3:$H$102,4,FALSE),VLOOKUP(G$1,main!$A$3:$H$102,4,FALSE)+VLOOKUP($A81,main!$A$3:$H$102,4,FALSE)+(VLOOKUP(VLOOKUP(G$1,main!$A$3:$H$102,8,FALSE),main!$K$19:$O$22,MATCH(VLOOKUP($A81,main!$A$3:$H$102,7,FALSE),main!$K$18:$O$18,0),0))),0)</f>
        <v>0</v>
      </c>
      <c r="H81">
        <f>IF((gamma!H81),IF(VLOOKUP(H$1,main!$A$3:$H$102,7,FALSE)=VLOOKUP($A81,main!$A$3:$H$102,8,FALSE),VLOOKUP(H$1,main!$A$3:$H$102,4,FALSE),VLOOKUP(H$1,main!$A$3:$H$102,4,FALSE)+VLOOKUP($A81,main!$A$3:$H$102,4,FALSE)+(VLOOKUP(VLOOKUP(H$1,main!$A$3:$H$102,8,FALSE),main!$K$19:$O$22,MATCH(VLOOKUP($A81,main!$A$3:$H$102,7,FALSE),main!$K$18:$O$18,0),0))),0)</f>
        <v>0</v>
      </c>
      <c r="I81">
        <f>IF((gamma!I81),IF(VLOOKUP(I$1,main!$A$3:$H$102,7,FALSE)=VLOOKUP($A81,main!$A$3:$H$102,8,FALSE),VLOOKUP(I$1,main!$A$3:$H$102,4,FALSE),VLOOKUP(I$1,main!$A$3:$H$102,4,FALSE)+VLOOKUP($A81,main!$A$3:$H$102,4,FALSE)+(VLOOKUP(VLOOKUP(I$1,main!$A$3:$H$102,8,FALSE),main!$K$19:$O$22,MATCH(VLOOKUP($A81,main!$A$3:$H$102,7,FALSE),main!$K$18:$O$18,0),0))),0)</f>
        <v>0</v>
      </c>
      <c r="J81">
        <f>IF((gamma!J81),IF(VLOOKUP(J$1,main!$A$3:$H$102,7,FALSE)=VLOOKUP($A81,main!$A$3:$H$102,8,FALSE),VLOOKUP(J$1,main!$A$3:$H$102,4,FALSE),VLOOKUP(J$1,main!$A$3:$H$102,4,FALSE)+VLOOKUP($A81,main!$A$3:$H$102,4,FALSE)+(VLOOKUP(VLOOKUP(J$1,main!$A$3:$H$102,8,FALSE),main!$K$19:$O$22,MATCH(VLOOKUP($A81,main!$A$3:$H$102,7,FALSE),main!$K$18:$O$18,0),0))),0)</f>
        <v>0</v>
      </c>
      <c r="K81">
        <f>IF((gamma!K81),IF(VLOOKUP(K$1,main!$A$3:$H$102,7,FALSE)=VLOOKUP($A81,main!$A$3:$H$102,8,FALSE),VLOOKUP(K$1,main!$A$3:$H$102,4,FALSE),VLOOKUP(K$1,main!$A$3:$H$102,4,FALSE)+VLOOKUP($A81,main!$A$3:$H$102,4,FALSE)+(VLOOKUP(VLOOKUP(K$1,main!$A$3:$H$102,8,FALSE),main!$K$19:$O$22,MATCH(VLOOKUP($A81,main!$A$3:$H$102,7,FALSE),main!$K$18:$O$18,0),0))),0)</f>
        <v>0</v>
      </c>
      <c r="L81">
        <f>IF((gamma!L81),IF(VLOOKUP(L$1,main!$A$3:$H$102,7,FALSE)=VLOOKUP($A81,main!$A$3:$H$102,8,FALSE),VLOOKUP(L$1,main!$A$3:$H$102,4,FALSE),VLOOKUP(L$1,main!$A$3:$H$102,4,FALSE)+VLOOKUP($A81,main!$A$3:$H$102,4,FALSE)+(VLOOKUP(VLOOKUP(L$1,main!$A$3:$H$102,8,FALSE),main!$K$19:$O$22,MATCH(VLOOKUP($A81,main!$A$3:$H$102,7,FALSE),main!$K$18:$O$18,0),0))),0)</f>
        <v>0</v>
      </c>
      <c r="M81">
        <f>IF((gamma!M81),IF(VLOOKUP(M$1,main!$A$3:$H$102,7,FALSE)=VLOOKUP($A81,main!$A$3:$H$102,8,FALSE),VLOOKUP(M$1,main!$A$3:$H$102,4,FALSE),VLOOKUP(M$1,main!$A$3:$H$102,4,FALSE)+VLOOKUP($A81,main!$A$3:$H$102,4,FALSE)+(VLOOKUP(VLOOKUP(M$1,main!$A$3:$H$102,8,FALSE),main!$K$19:$O$22,MATCH(VLOOKUP($A81,main!$A$3:$H$102,7,FALSE),main!$K$18:$O$18,0),0))),0)</f>
        <v>0</v>
      </c>
      <c r="N81">
        <f>IF((gamma!N81),IF(VLOOKUP(N$1,main!$A$3:$H$102,7,FALSE)=VLOOKUP($A81,main!$A$3:$H$102,8,FALSE),VLOOKUP(N$1,main!$A$3:$H$102,4,FALSE),VLOOKUP(N$1,main!$A$3:$H$102,4,FALSE)+VLOOKUP($A81,main!$A$3:$H$102,4,FALSE)+(VLOOKUP(VLOOKUP(N$1,main!$A$3:$H$102,8,FALSE),main!$K$19:$O$22,MATCH(VLOOKUP($A81,main!$A$3:$H$102,7,FALSE),main!$K$18:$O$18,0),0))),0)</f>
        <v>0</v>
      </c>
      <c r="O81">
        <f>IF((gamma!O81),IF(VLOOKUP(O$1,main!$A$3:$H$102,7,FALSE)=VLOOKUP($A81,main!$A$3:$H$102,8,FALSE),VLOOKUP(O$1,main!$A$3:$H$102,4,FALSE),VLOOKUP(O$1,main!$A$3:$H$102,4,FALSE)+VLOOKUP($A81,main!$A$3:$H$102,4,FALSE)+(VLOOKUP(VLOOKUP(O$1,main!$A$3:$H$102,8,FALSE),main!$K$19:$O$22,MATCH(VLOOKUP($A81,main!$A$3:$H$102,7,FALSE),main!$K$18:$O$18,0),0))),0)</f>
        <v>0</v>
      </c>
      <c r="P81">
        <f>IF((gamma!P81),IF(VLOOKUP(P$1,main!$A$3:$H$102,7,FALSE)=VLOOKUP($A81,main!$A$3:$H$102,8,FALSE),VLOOKUP(P$1,main!$A$3:$H$102,4,FALSE),VLOOKUP(P$1,main!$A$3:$H$102,4,FALSE)+VLOOKUP($A81,main!$A$3:$H$102,4,FALSE)+(VLOOKUP(VLOOKUP(P$1,main!$A$3:$H$102,8,FALSE),main!$K$19:$O$22,MATCH(VLOOKUP($A81,main!$A$3:$H$102,7,FALSE),main!$K$18:$O$18,0),0))),0)</f>
        <v>0</v>
      </c>
      <c r="Q81">
        <f>IF((gamma!Q81),IF(VLOOKUP(Q$1,main!$A$3:$H$102,7,FALSE)=VLOOKUP($A81,main!$A$3:$H$102,8,FALSE),VLOOKUP(Q$1,main!$A$3:$H$102,4,FALSE),VLOOKUP(Q$1,main!$A$3:$H$102,4,FALSE)+VLOOKUP($A81,main!$A$3:$H$102,4,FALSE)+(VLOOKUP(VLOOKUP(Q$1,main!$A$3:$H$102,8,FALSE),main!$K$19:$O$22,MATCH(VLOOKUP($A81,main!$A$3:$H$102,7,FALSE),main!$K$18:$O$18,0),0))),0)</f>
        <v>0</v>
      </c>
      <c r="R81">
        <f>IF((gamma!R81),IF(VLOOKUP(R$1,main!$A$3:$H$102,7,FALSE)=VLOOKUP($A81,main!$A$3:$H$102,8,FALSE),VLOOKUP(R$1,main!$A$3:$H$102,4,FALSE),VLOOKUP(R$1,main!$A$3:$H$102,4,FALSE)+VLOOKUP($A81,main!$A$3:$H$102,4,FALSE)+(VLOOKUP(VLOOKUP(R$1,main!$A$3:$H$102,8,FALSE),main!$K$19:$O$22,MATCH(VLOOKUP($A81,main!$A$3:$H$102,7,FALSE),main!$K$18:$O$18,0),0))),0)</f>
        <v>0</v>
      </c>
      <c r="S81">
        <f>IF((gamma!S81),IF(VLOOKUP(S$1,main!$A$3:$H$102,7,FALSE)=VLOOKUP($A81,main!$A$3:$H$102,8,FALSE),VLOOKUP(S$1,main!$A$3:$H$102,4,FALSE),VLOOKUP(S$1,main!$A$3:$H$102,4,FALSE)+VLOOKUP($A81,main!$A$3:$H$102,4,FALSE)+(VLOOKUP(VLOOKUP(S$1,main!$A$3:$H$102,8,FALSE),main!$K$19:$O$22,MATCH(VLOOKUP($A81,main!$A$3:$H$102,7,FALSE),main!$K$18:$O$18,0),0))),0)</f>
        <v>0</v>
      </c>
      <c r="T81">
        <f>IF((gamma!T81),IF(VLOOKUP(T$1,main!$A$3:$H$102,7,FALSE)=VLOOKUP($A81,main!$A$3:$H$102,8,FALSE),VLOOKUP(T$1,main!$A$3:$H$102,4,FALSE),VLOOKUP(T$1,main!$A$3:$H$102,4,FALSE)+VLOOKUP($A81,main!$A$3:$H$102,4,FALSE)+(VLOOKUP(VLOOKUP(T$1,main!$A$3:$H$102,8,FALSE),main!$K$19:$O$22,MATCH(VLOOKUP($A81,main!$A$3:$H$102,7,FALSE),main!$K$18:$O$18,0),0))),0)</f>
        <v>0</v>
      </c>
      <c r="U81">
        <f>IF((gamma!U81),IF(VLOOKUP(U$1,main!$A$3:$H$102,7,FALSE)=VLOOKUP($A81,main!$A$3:$H$102,8,FALSE),VLOOKUP(U$1,main!$A$3:$H$102,4,FALSE),VLOOKUP(U$1,main!$A$3:$H$102,4,FALSE)+VLOOKUP($A81,main!$A$3:$H$102,4,FALSE)+(VLOOKUP(VLOOKUP(U$1,main!$A$3:$H$102,8,FALSE),main!$K$19:$O$22,MATCH(VLOOKUP($A81,main!$A$3:$H$102,7,FALSE),main!$K$18:$O$18,0),0))),0)</f>
        <v>0</v>
      </c>
      <c r="V81">
        <f>IF((gamma!V81),IF(VLOOKUP(V$1,main!$A$3:$H$102,7,FALSE)=VLOOKUP($A81,main!$A$3:$H$102,8,FALSE),VLOOKUP(V$1,main!$A$3:$H$102,4,FALSE),VLOOKUP(V$1,main!$A$3:$H$102,4,FALSE)+VLOOKUP($A81,main!$A$3:$H$102,4,FALSE)+(VLOOKUP(VLOOKUP(V$1,main!$A$3:$H$102,8,FALSE),main!$K$19:$O$22,MATCH(VLOOKUP($A81,main!$A$3:$H$102,7,FALSE),main!$K$18:$O$18,0),0))),0)</f>
        <v>0</v>
      </c>
      <c r="W81">
        <f>IF((gamma!W81),IF(VLOOKUP(W$1,main!$A$3:$H$102,7,FALSE)=VLOOKUP($A81,main!$A$3:$H$102,8,FALSE),VLOOKUP(W$1,main!$A$3:$H$102,4,FALSE),VLOOKUP(W$1,main!$A$3:$H$102,4,FALSE)+VLOOKUP($A81,main!$A$3:$H$102,4,FALSE)+(VLOOKUP(VLOOKUP(W$1,main!$A$3:$H$102,8,FALSE),main!$K$19:$O$22,MATCH(VLOOKUP($A81,main!$A$3:$H$102,7,FALSE),main!$K$18:$O$18,0),0))),0)</f>
        <v>0</v>
      </c>
      <c r="X81">
        <f>IF((gamma!X81),IF(VLOOKUP(X$1,main!$A$3:$H$102,7,FALSE)=VLOOKUP($A81,main!$A$3:$H$102,8,FALSE),VLOOKUP(X$1,main!$A$3:$H$102,4,FALSE),VLOOKUP(X$1,main!$A$3:$H$102,4,FALSE)+VLOOKUP($A81,main!$A$3:$H$102,4,FALSE)+(VLOOKUP(VLOOKUP(X$1,main!$A$3:$H$102,8,FALSE),main!$K$19:$O$22,MATCH(VLOOKUP($A81,main!$A$3:$H$102,7,FALSE),main!$K$18:$O$18,0),0))),0)</f>
        <v>0</v>
      </c>
      <c r="Y81">
        <f>IF((gamma!Y81),IF(VLOOKUP(Y$1,main!$A$3:$H$102,7,FALSE)=VLOOKUP($A81,main!$A$3:$H$102,8,FALSE),VLOOKUP(Y$1,main!$A$3:$H$102,4,FALSE),VLOOKUP(Y$1,main!$A$3:$H$102,4,FALSE)+VLOOKUP($A81,main!$A$3:$H$102,4,FALSE)+(VLOOKUP(VLOOKUP(Y$1,main!$A$3:$H$102,8,FALSE),main!$K$19:$O$22,MATCH(VLOOKUP($A81,main!$A$3:$H$102,7,FALSE),main!$K$18:$O$18,0),0))),0)</f>
        <v>0</v>
      </c>
      <c r="Z81">
        <f>IF((gamma!Z81),IF(VLOOKUP(Z$1,main!$A$3:$H$102,7,FALSE)=VLOOKUP($A81,main!$A$3:$H$102,8,FALSE),VLOOKUP(Z$1,main!$A$3:$H$102,4,FALSE),VLOOKUP(Z$1,main!$A$3:$H$102,4,FALSE)+VLOOKUP($A81,main!$A$3:$H$102,4,FALSE)+(VLOOKUP(VLOOKUP(Z$1,main!$A$3:$H$102,8,FALSE),main!$K$19:$O$22,MATCH(VLOOKUP($A81,main!$A$3:$H$102,7,FALSE),main!$K$18:$O$18,0),0))),0)</f>
        <v>0</v>
      </c>
      <c r="AA81">
        <f>IF((gamma!AA81),IF(VLOOKUP(AA$1,main!$A$3:$H$102,7,FALSE)=VLOOKUP($A81,main!$A$3:$H$102,8,FALSE),VLOOKUP(AA$1,main!$A$3:$H$102,4,FALSE),VLOOKUP(AA$1,main!$A$3:$H$102,4,FALSE)+VLOOKUP($A81,main!$A$3:$H$102,4,FALSE)+(VLOOKUP(VLOOKUP(AA$1,main!$A$3:$H$102,8,FALSE),main!$K$19:$O$22,MATCH(VLOOKUP($A81,main!$A$3:$H$102,7,FALSE),main!$K$18:$O$18,0),0))),0)</f>
        <v>0</v>
      </c>
      <c r="AB81">
        <f>IF((gamma!AB81),IF(VLOOKUP(AB$1,main!$A$3:$H$102,7,FALSE)=VLOOKUP($A81,main!$A$3:$H$102,8,FALSE),VLOOKUP(AB$1,main!$A$3:$H$102,4,FALSE),VLOOKUP(AB$1,main!$A$3:$H$102,4,FALSE)+VLOOKUP($A81,main!$A$3:$H$102,4,FALSE)+(VLOOKUP(VLOOKUP(AB$1,main!$A$3:$H$102,8,FALSE),main!$K$19:$O$22,MATCH(VLOOKUP($A81,main!$A$3:$H$102,7,FALSE),main!$K$18:$O$18,0),0))),0)</f>
        <v>0</v>
      </c>
      <c r="AC81">
        <f>IF((gamma!AC81),IF(VLOOKUP(AC$1,main!$A$3:$H$102,7,FALSE)=VLOOKUP($A81,main!$A$3:$H$102,8,FALSE),VLOOKUP(AC$1,main!$A$3:$H$102,4,FALSE),VLOOKUP(AC$1,main!$A$3:$H$102,4,FALSE)+VLOOKUP($A81,main!$A$3:$H$102,4,FALSE)+(VLOOKUP(VLOOKUP(AC$1,main!$A$3:$H$102,8,FALSE),main!$K$19:$O$22,MATCH(VLOOKUP($A81,main!$A$3:$H$102,7,FALSE),main!$K$18:$O$18,0),0))),0)</f>
        <v>0</v>
      </c>
      <c r="AD81">
        <f>IF((gamma!AD81),IF(VLOOKUP(AD$1,main!$A$3:$H$102,7,FALSE)=VLOOKUP($A81,main!$A$3:$H$102,8,FALSE),VLOOKUP(AD$1,main!$A$3:$H$102,4,FALSE),VLOOKUP(AD$1,main!$A$3:$H$102,4,FALSE)+VLOOKUP($A81,main!$A$3:$H$102,4,FALSE)+(VLOOKUP(VLOOKUP(AD$1,main!$A$3:$H$102,8,FALSE),main!$K$19:$O$22,MATCH(VLOOKUP($A81,main!$A$3:$H$102,7,FALSE),main!$K$18:$O$18,0),0))),0)</f>
        <v>0</v>
      </c>
      <c r="AE81">
        <f>IF((gamma!AE81),IF(VLOOKUP(AE$1,main!$A$3:$H$102,7,FALSE)=VLOOKUP($A81,main!$A$3:$H$102,8,FALSE),VLOOKUP(AE$1,main!$A$3:$H$102,4,FALSE),VLOOKUP(AE$1,main!$A$3:$H$102,4,FALSE)+VLOOKUP($A81,main!$A$3:$H$102,4,FALSE)+(VLOOKUP(VLOOKUP(AE$1,main!$A$3:$H$102,8,FALSE),main!$K$19:$O$22,MATCH(VLOOKUP($A81,main!$A$3:$H$102,7,FALSE),main!$K$18:$O$18,0),0))),0)</f>
        <v>0</v>
      </c>
      <c r="AF81">
        <f>IF((gamma!AF81),IF(VLOOKUP(AF$1,main!$A$3:$H$102,7,FALSE)=VLOOKUP($A81,main!$A$3:$H$102,8,FALSE),VLOOKUP(AF$1,main!$A$3:$H$102,4,FALSE),VLOOKUP(AF$1,main!$A$3:$H$102,4,FALSE)+VLOOKUP($A81,main!$A$3:$H$102,4,FALSE)+(VLOOKUP(VLOOKUP(AF$1,main!$A$3:$H$102,8,FALSE),main!$K$19:$O$22,MATCH(VLOOKUP($A81,main!$A$3:$H$102,7,FALSE),main!$K$18:$O$18,0),0))),0)</f>
        <v>0</v>
      </c>
      <c r="AG81">
        <f>IF((gamma!AG81),IF(VLOOKUP(AG$1,main!$A$3:$H$102,7,FALSE)=VLOOKUP($A81,main!$A$3:$H$102,8,FALSE),VLOOKUP(AG$1,main!$A$3:$H$102,4,FALSE),VLOOKUP(AG$1,main!$A$3:$H$102,4,FALSE)+VLOOKUP($A81,main!$A$3:$H$102,4,FALSE)+(VLOOKUP(VLOOKUP(AG$1,main!$A$3:$H$102,8,FALSE),main!$K$19:$O$22,MATCH(VLOOKUP($A81,main!$A$3:$H$102,7,FALSE),main!$K$18:$O$18,0),0))),0)</f>
        <v>0</v>
      </c>
      <c r="AH81">
        <f>IF((gamma!AH81),IF(VLOOKUP(AH$1,main!$A$3:$H$102,7,FALSE)=VLOOKUP($A81,main!$A$3:$H$102,8,FALSE),VLOOKUP(AH$1,main!$A$3:$H$102,4,FALSE),VLOOKUP(AH$1,main!$A$3:$H$102,4,FALSE)+VLOOKUP($A81,main!$A$3:$H$102,4,FALSE)+(VLOOKUP(VLOOKUP(AH$1,main!$A$3:$H$102,8,FALSE),main!$K$19:$O$22,MATCH(VLOOKUP($A81,main!$A$3:$H$102,7,FALSE),main!$K$18:$O$18,0),0))),0)</f>
        <v>0</v>
      </c>
      <c r="AI81">
        <f>IF((gamma!AI81),IF(VLOOKUP(AI$1,main!$A$3:$H$102,7,FALSE)=VLOOKUP($A81,main!$A$3:$H$102,8,FALSE),VLOOKUP(AI$1,main!$A$3:$H$102,4,FALSE),VLOOKUP(AI$1,main!$A$3:$H$102,4,FALSE)+VLOOKUP($A81,main!$A$3:$H$102,4,FALSE)+(VLOOKUP(VLOOKUP(AI$1,main!$A$3:$H$102,8,FALSE),main!$K$19:$O$22,MATCH(VLOOKUP($A81,main!$A$3:$H$102,7,FALSE),main!$K$18:$O$18,0),0))),0)</f>
        <v>0</v>
      </c>
      <c r="AJ81">
        <f>IF((gamma!AJ81),IF(VLOOKUP(AJ$1,main!$A$3:$H$102,7,FALSE)=VLOOKUP($A81,main!$A$3:$H$102,8,FALSE),VLOOKUP(AJ$1,main!$A$3:$H$102,4,FALSE),VLOOKUP(AJ$1,main!$A$3:$H$102,4,FALSE)+VLOOKUP($A81,main!$A$3:$H$102,4,FALSE)+(VLOOKUP(VLOOKUP(AJ$1,main!$A$3:$H$102,8,FALSE),main!$K$19:$O$22,MATCH(VLOOKUP($A81,main!$A$3:$H$102,7,FALSE),main!$K$18:$O$18,0),0))),0)</f>
        <v>0</v>
      </c>
      <c r="AK81">
        <f>IF((gamma!AK81),IF(VLOOKUP(AK$1,main!$A$3:$H$102,7,FALSE)=VLOOKUP($A81,main!$A$3:$H$102,8,FALSE),VLOOKUP(AK$1,main!$A$3:$H$102,4,FALSE),VLOOKUP(AK$1,main!$A$3:$H$102,4,FALSE)+VLOOKUP($A81,main!$A$3:$H$102,4,FALSE)+(VLOOKUP(VLOOKUP(AK$1,main!$A$3:$H$102,8,FALSE),main!$K$19:$O$22,MATCH(VLOOKUP($A81,main!$A$3:$H$102,7,FALSE),main!$K$18:$O$18,0),0))),0)</f>
        <v>0</v>
      </c>
      <c r="AL81">
        <f>IF((gamma!AL81),IF(VLOOKUP(AL$1,main!$A$3:$H$102,7,FALSE)=VLOOKUP($A81,main!$A$3:$H$102,8,FALSE),VLOOKUP(AL$1,main!$A$3:$H$102,4,FALSE),VLOOKUP(AL$1,main!$A$3:$H$102,4,FALSE)+VLOOKUP($A81,main!$A$3:$H$102,4,FALSE)+(VLOOKUP(VLOOKUP(AL$1,main!$A$3:$H$102,8,FALSE),main!$K$19:$O$22,MATCH(VLOOKUP($A81,main!$A$3:$H$102,7,FALSE),main!$K$18:$O$18,0),0))),0)</f>
        <v>0</v>
      </c>
      <c r="AM81">
        <f>IF((gamma!AM81),IF(VLOOKUP(AM$1,main!$A$3:$H$102,7,FALSE)=VLOOKUP($A81,main!$A$3:$H$102,8,FALSE),VLOOKUP(AM$1,main!$A$3:$H$102,4,FALSE),VLOOKUP(AM$1,main!$A$3:$H$102,4,FALSE)+VLOOKUP($A81,main!$A$3:$H$102,4,FALSE)+(VLOOKUP(VLOOKUP(AM$1,main!$A$3:$H$102,8,FALSE),main!$K$19:$O$22,MATCH(VLOOKUP($A81,main!$A$3:$H$102,7,FALSE),main!$K$18:$O$18,0),0))),0)</f>
        <v>0</v>
      </c>
      <c r="AN81">
        <f>IF((gamma!AN81),IF(VLOOKUP(AN$1,main!$A$3:$H$102,7,FALSE)=VLOOKUP($A81,main!$A$3:$H$102,8,FALSE),VLOOKUP(AN$1,main!$A$3:$H$102,4,FALSE),VLOOKUP(AN$1,main!$A$3:$H$102,4,FALSE)+VLOOKUP($A81,main!$A$3:$H$102,4,FALSE)+(VLOOKUP(VLOOKUP(AN$1,main!$A$3:$H$102,8,FALSE),main!$K$19:$O$22,MATCH(VLOOKUP($A81,main!$A$3:$H$102,7,FALSE),main!$K$18:$O$18,0),0))),0)</f>
        <v>0</v>
      </c>
      <c r="AO81">
        <f>IF((gamma!AO81),IF(VLOOKUP(AO$1,main!$A$3:$H$102,7,FALSE)=VLOOKUP($A81,main!$A$3:$H$102,8,FALSE),VLOOKUP(AO$1,main!$A$3:$H$102,4,FALSE),VLOOKUP(AO$1,main!$A$3:$H$102,4,FALSE)+VLOOKUP($A81,main!$A$3:$H$102,4,FALSE)+(VLOOKUP(VLOOKUP(AO$1,main!$A$3:$H$102,8,FALSE),main!$K$19:$O$22,MATCH(VLOOKUP($A81,main!$A$3:$H$102,7,FALSE),main!$K$18:$O$18,0),0))),0)</f>
        <v>0</v>
      </c>
      <c r="AP81">
        <f>IF((gamma!AP81),IF(VLOOKUP(AP$1,main!$A$3:$H$102,7,FALSE)=VLOOKUP($A81,main!$A$3:$H$102,8,FALSE),VLOOKUP(AP$1,main!$A$3:$H$102,4,FALSE),VLOOKUP(AP$1,main!$A$3:$H$102,4,FALSE)+VLOOKUP($A81,main!$A$3:$H$102,4,FALSE)+(VLOOKUP(VLOOKUP(AP$1,main!$A$3:$H$102,8,FALSE),main!$K$19:$O$22,MATCH(VLOOKUP($A81,main!$A$3:$H$102,7,FALSE),main!$K$18:$O$18,0),0))),0)</f>
        <v>0</v>
      </c>
      <c r="AQ81">
        <f>IF((gamma!AQ81),IF(VLOOKUP(AQ$1,main!$A$3:$H$102,7,FALSE)=VLOOKUP($A81,main!$A$3:$H$102,8,FALSE),VLOOKUP(AQ$1,main!$A$3:$H$102,4,FALSE),VLOOKUP(AQ$1,main!$A$3:$H$102,4,FALSE)+VLOOKUP($A81,main!$A$3:$H$102,4,FALSE)+(VLOOKUP(VLOOKUP(AQ$1,main!$A$3:$H$102,8,FALSE),main!$K$19:$O$22,MATCH(VLOOKUP($A81,main!$A$3:$H$102,7,FALSE),main!$K$18:$O$18,0),0))),0)</f>
        <v>0</v>
      </c>
      <c r="AR81">
        <f>IF((gamma!AR81),IF(VLOOKUP(AR$1,main!$A$3:$H$102,7,FALSE)=VLOOKUP($A81,main!$A$3:$H$102,8,FALSE),VLOOKUP(AR$1,main!$A$3:$H$102,4,FALSE),VLOOKUP(AR$1,main!$A$3:$H$102,4,FALSE)+VLOOKUP($A81,main!$A$3:$H$102,4,FALSE)+(VLOOKUP(VLOOKUP(AR$1,main!$A$3:$H$102,8,FALSE),main!$K$19:$O$22,MATCH(VLOOKUP($A81,main!$A$3:$H$102,7,FALSE),main!$K$18:$O$18,0),0))),0)</f>
        <v>0</v>
      </c>
      <c r="AS81">
        <f>IF((gamma!AS81),IF(VLOOKUP(AS$1,main!$A$3:$H$102,7,FALSE)=VLOOKUP($A81,main!$A$3:$H$102,8,FALSE),VLOOKUP(AS$1,main!$A$3:$H$102,4,FALSE),VLOOKUP(AS$1,main!$A$3:$H$102,4,FALSE)+VLOOKUP($A81,main!$A$3:$H$102,4,FALSE)+(VLOOKUP(VLOOKUP(AS$1,main!$A$3:$H$102,8,FALSE),main!$K$19:$O$22,MATCH(VLOOKUP($A81,main!$A$3:$H$102,7,FALSE),main!$K$18:$O$18,0),0))),0)</f>
        <v>0</v>
      </c>
      <c r="AT81">
        <f>IF((gamma!AT81),IF(VLOOKUP(AT$1,main!$A$3:$H$102,7,FALSE)=VLOOKUP($A81,main!$A$3:$H$102,8,FALSE),VLOOKUP(AT$1,main!$A$3:$H$102,4,FALSE),VLOOKUP(AT$1,main!$A$3:$H$102,4,FALSE)+VLOOKUP($A81,main!$A$3:$H$102,4,FALSE)+(VLOOKUP(VLOOKUP(AT$1,main!$A$3:$H$102,8,FALSE),main!$K$19:$O$22,MATCH(VLOOKUP($A81,main!$A$3:$H$102,7,FALSE),main!$K$18:$O$18,0),0))),0)</f>
        <v>0</v>
      </c>
      <c r="AU81">
        <f>IF((gamma!AU81),IF(VLOOKUP(AU$1,main!$A$3:$H$102,7,FALSE)=VLOOKUP($A81,main!$A$3:$H$102,8,FALSE),VLOOKUP(AU$1,main!$A$3:$H$102,4,FALSE),VLOOKUP(AU$1,main!$A$3:$H$102,4,FALSE)+VLOOKUP($A81,main!$A$3:$H$102,4,FALSE)+(VLOOKUP(VLOOKUP(AU$1,main!$A$3:$H$102,8,FALSE),main!$K$19:$O$22,MATCH(VLOOKUP($A81,main!$A$3:$H$102,7,FALSE),main!$K$18:$O$18,0),0))),0)</f>
        <v>0</v>
      </c>
      <c r="AV81">
        <f>IF((gamma!AV81),IF(VLOOKUP(AV$1,main!$A$3:$H$102,7,FALSE)=VLOOKUP($A81,main!$A$3:$H$102,8,FALSE),VLOOKUP(AV$1,main!$A$3:$H$102,4,FALSE),VLOOKUP(AV$1,main!$A$3:$H$102,4,FALSE)+VLOOKUP($A81,main!$A$3:$H$102,4,FALSE)+(VLOOKUP(VLOOKUP(AV$1,main!$A$3:$H$102,8,FALSE),main!$K$19:$O$22,MATCH(VLOOKUP($A81,main!$A$3:$H$102,7,FALSE),main!$K$18:$O$18,0),0))),0)</f>
        <v>0</v>
      </c>
      <c r="AW81">
        <f>IF((gamma!AW81),IF(VLOOKUP(AW$1,main!$A$3:$H$102,7,FALSE)=VLOOKUP($A81,main!$A$3:$H$102,8,FALSE),VLOOKUP(AW$1,main!$A$3:$H$102,4,FALSE),VLOOKUP(AW$1,main!$A$3:$H$102,4,FALSE)+VLOOKUP($A81,main!$A$3:$H$102,4,FALSE)+(VLOOKUP(VLOOKUP(AW$1,main!$A$3:$H$102,8,FALSE),main!$K$19:$O$22,MATCH(VLOOKUP($A81,main!$A$3:$H$102,7,FALSE),main!$K$18:$O$18,0),0))),0)</f>
        <v>0</v>
      </c>
      <c r="AX81">
        <f>IF((gamma!AX81),IF(VLOOKUP(AX$1,main!$A$3:$H$102,7,FALSE)=VLOOKUP($A81,main!$A$3:$H$102,8,FALSE),VLOOKUP(AX$1,main!$A$3:$H$102,4,FALSE),VLOOKUP(AX$1,main!$A$3:$H$102,4,FALSE)+VLOOKUP($A81,main!$A$3:$H$102,4,FALSE)+(VLOOKUP(VLOOKUP(AX$1,main!$A$3:$H$102,8,FALSE),main!$K$19:$O$22,MATCH(VLOOKUP($A81,main!$A$3:$H$102,7,FALSE),main!$K$18:$O$18,0),0))),0)</f>
        <v>0</v>
      </c>
      <c r="AY81">
        <f>IF((gamma!AY81),IF(VLOOKUP(AY$1,main!$A$3:$H$102,7,FALSE)=VLOOKUP($A81,main!$A$3:$H$102,8,FALSE),VLOOKUP(AY$1,main!$A$3:$H$102,4,FALSE),VLOOKUP(AY$1,main!$A$3:$H$102,4,FALSE)+VLOOKUP($A81,main!$A$3:$H$102,4,FALSE)+(VLOOKUP(VLOOKUP(AY$1,main!$A$3:$H$102,8,FALSE),main!$K$19:$O$22,MATCH(VLOOKUP($A81,main!$A$3:$H$102,7,FALSE),main!$K$18:$O$18,0),0))),0)</f>
        <v>0</v>
      </c>
      <c r="AZ81">
        <f>IF((gamma!AZ81),IF(VLOOKUP(AZ$1,main!$A$3:$H$102,7,FALSE)=VLOOKUP($A81,main!$A$3:$H$102,8,FALSE),VLOOKUP(AZ$1,main!$A$3:$H$102,4,FALSE),VLOOKUP(AZ$1,main!$A$3:$H$102,4,FALSE)+VLOOKUP($A81,main!$A$3:$H$102,4,FALSE)+(VLOOKUP(VLOOKUP(AZ$1,main!$A$3:$H$102,8,FALSE),main!$K$19:$O$22,MATCH(VLOOKUP($A81,main!$A$3:$H$102,7,FALSE),main!$K$18:$O$18,0),0))),0)</f>
        <v>0</v>
      </c>
      <c r="BA81">
        <f>IF((gamma!BA81),IF(VLOOKUP(BA$1,main!$A$3:$H$102,7,FALSE)=VLOOKUP($A81,main!$A$3:$H$102,8,FALSE),VLOOKUP(BA$1,main!$A$3:$H$102,4,FALSE),VLOOKUP(BA$1,main!$A$3:$H$102,4,FALSE)+VLOOKUP($A81,main!$A$3:$H$102,4,FALSE)+(VLOOKUP(VLOOKUP(BA$1,main!$A$3:$H$102,8,FALSE),main!$K$19:$O$22,MATCH(VLOOKUP($A81,main!$A$3:$H$102,7,FALSE),main!$K$18:$O$18,0),0))),0)</f>
        <v>0</v>
      </c>
      <c r="BB81">
        <f>IF((gamma!BB81),IF(VLOOKUP(BB$1,main!$A$3:$H$102,7,FALSE)=VLOOKUP($A81,main!$A$3:$H$102,8,FALSE),VLOOKUP(BB$1,main!$A$3:$H$102,4,FALSE),VLOOKUP(BB$1,main!$A$3:$H$102,4,FALSE)+VLOOKUP($A81,main!$A$3:$H$102,4,FALSE)+(VLOOKUP(VLOOKUP(BB$1,main!$A$3:$H$102,8,FALSE),main!$K$19:$O$22,MATCH(VLOOKUP($A81,main!$A$3:$H$102,7,FALSE),main!$K$18:$O$18,0),0))),0)</f>
        <v>0</v>
      </c>
      <c r="BC81">
        <f>IF((gamma!BC81),IF(VLOOKUP(BC$1,main!$A$3:$H$102,7,FALSE)=VLOOKUP($A81,main!$A$3:$H$102,8,FALSE),VLOOKUP(BC$1,main!$A$3:$H$102,4,FALSE),VLOOKUP(BC$1,main!$A$3:$H$102,4,FALSE)+VLOOKUP($A81,main!$A$3:$H$102,4,FALSE)+(VLOOKUP(VLOOKUP(BC$1,main!$A$3:$H$102,8,FALSE),main!$K$19:$O$22,MATCH(VLOOKUP($A81,main!$A$3:$H$102,7,FALSE),main!$K$18:$O$18,0),0))),0)</f>
        <v>0</v>
      </c>
      <c r="BD81">
        <f>IF((gamma!BD81),IF(VLOOKUP(BD$1,main!$A$3:$H$102,7,FALSE)=VLOOKUP($A81,main!$A$3:$H$102,8,FALSE),VLOOKUP(BD$1,main!$A$3:$H$102,4,FALSE),VLOOKUP(BD$1,main!$A$3:$H$102,4,FALSE)+VLOOKUP($A81,main!$A$3:$H$102,4,FALSE)+(VLOOKUP(VLOOKUP(BD$1,main!$A$3:$H$102,8,FALSE),main!$K$19:$O$22,MATCH(VLOOKUP($A81,main!$A$3:$H$102,7,FALSE),main!$K$18:$O$18,0),0))),0)</f>
        <v>0</v>
      </c>
      <c r="BE81">
        <f>IF((gamma!BE81),IF(VLOOKUP(BE$1,main!$A$3:$H$102,7,FALSE)=VLOOKUP($A81,main!$A$3:$H$102,8,FALSE),VLOOKUP(BE$1,main!$A$3:$H$102,4,FALSE),VLOOKUP(BE$1,main!$A$3:$H$102,4,FALSE)+VLOOKUP($A81,main!$A$3:$H$102,4,FALSE)+(VLOOKUP(VLOOKUP(BE$1,main!$A$3:$H$102,8,FALSE),main!$K$19:$O$22,MATCH(VLOOKUP($A81,main!$A$3:$H$102,7,FALSE),main!$K$18:$O$18,0),0))),0)</f>
        <v>0</v>
      </c>
      <c r="BF81">
        <f>IF((gamma!BF81),IF(VLOOKUP(BF$1,main!$A$3:$H$102,7,FALSE)=VLOOKUP($A81,main!$A$3:$H$102,8,FALSE),VLOOKUP(BF$1,main!$A$3:$H$102,4,FALSE),VLOOKUP(BF$1,main!$A$3:$H$102,4,FALSE)+VLOOKUP($A81,main!$A$3:$H$102,4,FALSE)+(VLOOKUP(VLOOKUP(BF$1,main!$A$3:$H$102,8,FALSE),main!$K$19:$O$22,MATCH(VLOOKUP($A81,main!$A$3:$H$102,7,FALSE),main!$K$18:$O$18,0),0))),0)</f>
        <v>0</v>
      </c>
      <c r="BG81">
        <f>IF((gamma!BG81),IF(VLOOKUP(BG$1,main!$A$3:$H$102,7,FALSE)=VLOOKUP($A81,main!$A$3:$H$102,8,FALSE),VLOOKUP(BG$1,main!$A$3:$H$102,4,FALSE),VLOOKUP(BG$1,main!$A$3:$H$102,4,FALSE)+VLOOKUP($A81,main!$A$3:$H$102,4,FALSE)+(VLOOKUP(VLOOKUP(BG$1,main!$A$3:$H$102,8,FALSE),main!$K$19:$O$22,MATCH(VLOOKUP($A81,main!$A$3:$H$102,7,FALSE),main!$K$18:$O$18,0),0))),0)</f>
        <v>0</v>
      </c>
      <c r="BH81">
        <f>IF((gamma!BH81),IF(VLOOKUP(BH$1,main!$A$3:$H$102,7,FALSE)=VLOOKUP($A81,main!$A$3:$H$102,8,FALSE),VLOOKUP(BH$1,main!$A$3:$H$102,4,FALSE),VLOOKUP(BH$1,main!$A$3:$H$102,4,FALSE)+VLOOKUP($A81,main!$A$3:$H$102,4,FALSE)+(VLOOKUP(VLOOKUP(BH$1,main!$A$3:$H$102,8,FALSE),main!$K$19:$O$22,MATCH(VLOOKUP($A81,main!$A$3:$H$102,7,FALSE),main!$K$18:$O$18,0),0))),0)</f>
        <v>0</v>
      </c>
      <c r="BI81">
        <f>IF((gamma!BI81),IF(VLOOKUP(BI$1,main!$A$3:$H$102,7,FALSE)=VLOOKUP($A81,main!$A$3:$H$102,8,FALSE),VLOOKUP(BI$1,main!$A$3:$H$102,4,FALSE),VLOOKUP(BI$1,main!$A$3:$H$102,4,FALSE)+VLOOKUP($A81,main!$A$3:$H$102,4,FALSE)+(VLOOKUP(VLOOKUP(BI$1,main!$A$3:$H$102,8,FALSE),main!$K$19:$O$22,MATCH(VLOOKUP($A81,main!$A$3:$H$102,7,FALSE),main!$K$18:$O$18,0),0))),0)</f>
        <v>0</v>
      </c>
      <c r="BJ81">
        <f>IF((gamma!BJ81),IF(VLOOKUP(BJ$1,main!$A$3:$H$102,7,FALSE)=VLOOKUP($A81,main!$A$3:$H$102,8,FALSE),VLOOKUP(BJ$1,main!$A$3:$H$102,4,FALSE),VLOOKUP(BJ$1,main!$A$3:$H$102,4,FALSE)+VLOOKUP($A81,main!$A$3:$H$102,4,FALSE)+(VLOOKUP(VLOOKUP(BJ$1,main!$A$3:$H$102,8,FALSE),main!$K$19:$O$22,MATCH(VLOOKUP($A81,main!$A$3:$H$102,7,FALSE),main!$K$18:$O$18,0),0))),0)</f>
        <v>0</v>
      </c>
      <c r="BK81">
        <f>IF((gamma!BK81),IF(VLOOKUP(BK$1,main!$A$3:$H$102,7,FALSE)=VLOOKUP($A81,main!$A$3:$H$102,8,FALSE),VLOOKUP(BK$1,main!$A$3:$H$102,4,FALSE),VLOOKUP(BK$1,main!$A$3:$H$102,4,FALSE)+VLOOKUP($A81,main!$A$3:$H$102,4,FALSE)+(VLOOKUP(VLOOKUP(BK$1,main!$A$3:$H$102,8,FALSE),main!$K$19:$O$22,MATCH(VLOOKUP($A81,main!$A$3:$H$102,7,FALSE),main!$K$18:$O$18,0),0))),0)</f>
        <v>0</v>
      </c>
      <c r="BL81">
        <f>IF((gamma!BL81),IF(VLOOKUP(BL$1,main!$A$3:$H$102,7,FALSE)=VLOOKUP($A81,main!$A$3:$H$102,8,FALSE),VLOOKUP(BL$1,main!$A$3:$H$102,4,FALSE),VLOOKUP(BL$1,main!$A$3:$H$102,4,FALSE)+VLOOKUP($A81,main!$A$3:$H$102,4,FALSE)+(VLOOKUP(VLOOKUP(BL$1,main!$A$3:$H$102,8,FALSE),main!$K$19:$O$22,MATCH(VLOOKUP($A81,main!$A$3:$H$102,7,FALSE),main!$K$18:$O$18,0),0))),0)</f>
        <v>0</v>
      </c>
      <c r="BM81">
        <f>IF((gamma!BM81),IF(VLOOKUP(BM$1,main!$A$3:$H$102,7,FALSE)=VLOOKUP($A81,main!$A$3:$H$102,8,FALSE),VLOOKUP(BM$1,main!$A$3:$H$102,4,FALSE),VLOOKUP(BM$1,main!$A$3:$H$102,4,FALSE)+VLOOKUP($A81,main!$A$3:$H$102,4,FALSE)+(VLOOKUP(VLOOKUP(BM$1,main!$A$3:$H$102,8,FALSE),main!$K$19:$O$22,MATCH(VLOOKUP($A81,main!$A$3:$H$102,7,FALSE),main!$K$18:$O$18,0),0))),0)</f>
        <v>0</v>
      </c>
      <c r="BN81">
        <f>IF((gamma!BN81),IF(VLOOKUP(BN$1,main!$A$3:$H$102,7,FALSE)=VLOOKUP($A81,main!$A$3:$H$102,8,FALSE),VLOOKUP(BN$1,main!$A$3:$H$102,4,FALSE),VLOOKUP(BN$1,main!$A$3:$H$102,4,FALSE)+VLOOKUP($A81,main!$A$3:$H$102,4,FALSE)+(VLOOKUP(VLOOKUP(BN$1,main!$A$3:$H$102,8,FALSE),main!$K$19:$O$22,MATCH(VLOOKUP($A81,main!$A$3:$H$102,7,FALSE),main!$K$18:$O$18,0),0))),0)</f>
        <v>0</v>
      </c>
      <c r="BO81">
        <f>IF((gamma!BO81),IF(VLOOKUP(BO$1,main!$A$3:$H$102,7,FALSE)=VLOOKUP($A81,main!$A$3:$H$102,8,FALSE),VLOOKUP(BO$1,main!$A$3:$H$102,4,FALSE),VLOOKUP(BO$1,main!$A$3:$H$102,4,FALSE)+VLOOKUP($A81,main!$A$3:$H$102,4,FALSE)+(VLOOKUP(VLOOKUP(BO$1,main!$A$3:$H$102,8,FALSE),main!$K$19:$O$22,MATCH(VLOOKUP($A81,main!$A$3:$H$102,7,FALSE),main!$K$18:$O$18,0),0))),0)</f>
        <v>0</v>
      </c>
      <c r="BP81">
        <f>IF((gamma!BP81),IF(VLOOKUP(BP$1,main!$A$3:$H$102,7,FALSE)=VLOOKUP($A81,main!$A$3:$H$102,8,FALSE),VLOOKUP(BP$1,main!$A$3:$H$102,4,FALSE),VLOOKUP(BP$1,main!$A$3:$H$102,4,FALSE)+VLOOKUP($A81,main!$A$3:$H$102,4,FALSE)+(VLOOKUP(VLOOKUP(BP$1,main!$A$3:$H$102,8,FALSE),main!$K$19:$O$22,MATCH(VLOOKUP($A81,main!$A$3:$H$102,7,FALSE),main!$K$18:$O$18,0),0))),0)</f>
        <v>0</v>
      </c>
      <c r="BQ81">
        <f>IF((gamma!BQ81),IF(VLOOKUP(BQ$1,main!$A$3:$H$102,7,FALSE)=VLOOKUP($A81,main!$A$3:$H$102,8,FALSE),VLOOKUP(BQ$1,main!$A$3:$H$102,4,FALSE),VLOOKUP(BQ$1,main!$A$3:$H$102,4,FALSE)+VLOOKUP($A81,main!$A$3:$H$102,4,FALSE)+(VLOOKUP(VLOOKUP(BQ$1,main!$A$3:$H$102,8,FALSE),main!$K$19:$O$22,MATCH(VLOOKUP($A81,main!$A$3:$H$102,7,FALSE),main!$K$18:$O$18,0),0))),0)</f>
        <v>0</v>
      </c>
      <c r="BR81">
        <f>IF((gamma!BR81),IF(VLOOKUP(BR$1,main!$A$3:$H$102,7,FALSE)=VLOOKUP($A81,main!$A$3:$H$102,8,FALSE),VLOOKUP(BR$1,main!$A$3:$H$102,4,FALSE),VLOOKUP(BR$1,main!$A$3:$H$102,4,FALSE)+VLOOKUP($A81,main!$A$3:$H$102,4,FALSE)+(VLOOKUP(VLOOKUP(BR$1,main!$A$3:$H$102,8,FALSE),main!$K$19:$O$22,MATCH(VLOOKUP($A81,main!$A$3:$H$102,7,FALSE),main!$K$18:$O$18,0),0))),0)</f>
        <v>0</v>
      </c>
      <c r="BS81">
        <f>IF((gamma!BS81),IF(VLOOKUP(BS$1,main!$A$3:$H$102,7,FALSE)=VLOOKUP($A81,main!$A$3:$H$102,8,FALSE),VLOOKUP(BS$1,main!$A$3:$H$102,4,FALSE),VLOOKUP(BS$1,main!$A$3:$H$102,4,FALSE)+VLOOKUP($A81,main!$A$3:$H$102,4,FALSE)+(VLOOKUP(VLOOKUP(BS$1,main!$A$3:$H$102,8,FALSE),main!$K$19:$O$22,MATCH(VLOOKUP($A81,main!$A$3:$H$102,7,FALSE),main!$K$18:$O$18,0),0))),0)</f>
        <v>0</v>
      </c>
      <c r="BT81">
        <f>IF((gamma!BT81),IF(VLOOKUP(BT$1,main!$A$3:$H$102,7,FALSE)=VLOOKUP($A81,main!$A$3:$H$102,8,FALSE),VLOOKUP(BT$1,main!$A$3:$H$102,4,FALSE),VLOOKUP(BT$1,main!$A$3:$H$102,4,FALSE)+VLOOKUP($A81,main!$A$3:$H$102,4,FALSE)+(VLOOKUP(VLOOKUP(BT$1,main!$A$3:$H$102,8,FALSE),main!$K$19:$O$22,MATCH(VLOOKUP($A81,main!$A$3:$H$102,7,FALSE),main!$K$18:$O$18,0),0))),0)</f>
        <v>0</v>
      </c>
      <c r="BU81">
        <f>IF((gamma!BU81),IF(VLOOKUP(BU$1,main!$A$3:$H$102,7,FALSE)=VLOOKUP($A81,main!$A$3:$H$102,8,FALSE),VLOOKUP(BU$1,main!$A$3:$H$102,4,FALSE),VLOOKUP(BU$1,main!$A$3:$H$102,4,FALSE)+VLOOKUP($A81,main!$A$3:$H$102,4,FALSE)+(VLOOKUP(VLOOKUP(BU$1,main!$A$3:$H$102,8,FALSE),main!$K$19:$O$22,MATCH(VLOOKUP($A81,main!$A$3:$H$102,7,FALSE),main!$K$18:$O$18,0),0))),0)</f>
        <v>0</v>
      </c>
      <c r="BV81">
        <f>IF((gamma!BV81),IF(VLOOKUP(BV$1,main!$A$3:$H$102,7,FALSE)=VLOOKUP($A81,main!$A$3:$H$102,8,FALSE),VLOOKUP(BV$1,main!$A$3:$H$102,4,FALSE),VLOOKUP(BV$1,main!$A$3:$H$102,4,FALSE)+VLOOKUP($A81,main!$A$3:$H$102,4,FALSE)+(VLOOKUP(VLOOKUP(BV$1,main!$A$3:$H$102,8,FALSE),main!$K$19:$O$22,MATCH(VLOOKUP($A81,main!$A$3:$H$102,7,FALSE),main!$K$18:$O$18,0),0))),0)</f>
        <v>0</v>
      </c>
      <c r="BW81">
        <f>IF((gamma!BW81),IF(VLOOKUP(BW$1,main!$A$3:$H$102,7,FALSE)=VLOOKUP($A81,main!$A$3:$H$102,8,FALSE),VLOOKUP(BW$1,main!$A$3:$H$102,4,FALSE),VLOOKUP(BW$1,main!$A$3:$H$102,4,FALSE)+VLOOKUP($A81,main!$A$3:$H$102,4,FALSE)+(VLOOKUP(VLOOKUP(BW$1,main!$A$3:$H$102,8,FALSE),main!$K$19:$O$22,MATCH(VLOOKUP($A81,main!$A$3:$H$102,7,FALSE),main!$K$18:$O$18,0),0))),0)</f>
        <v>0</v>
      </c>
      <c r="BX81">
        <f>IF((gamma!BX81),IF(VLOOKUP(BX$1,main!$A$3:$H$102,7,FALSE)=VLOOKUP($A81,main!$A$3:$H$102,8,FALSE),VLOOKUP(BX$1,main!$A$3:$H$102,4,FALSE),VLOOKUP(BX$1,main!$A$3:$H$102,4,FALSE)+VLOOKUP($A81,main!$A$3:$H$102,4,FALSE)+(VLOOKUP(VLOOKUP(BX$1,main!$A$3:$H$102,8,FALSE),main!$K$19:$O$22,MATCH(VLOOKUP($A81,main!$A$3:$H$102,7,FALSE),main!$K$18:$O$18,0),0))),0)</f>
        <v>0</v>
      </c>
      <c r="BY81">
        <f>IF((gamma!BY81),IF(VLOOKUP(BY$1,main!$A$3:$H$102,7,FALSE)=VLOOKUP($A81,main!$A$3:$H$102,8,FALSE),VLOOKUP(BY$1,main!$A$3:$H$102,4,FALSE),VLOOKUP(BY$1,main!$A$3:$H$102,4,FALSE)+VLOOKUP($A81,main!$A$3:$H$102,4,FALSE)+(VLOOKUP(VLOOKUP(BY$1,main!$A$3:$H$102,8,FALSE),main!$K$19:$O$22,MATCH(VLOOKUP($A81,main!$A$3:$H$102,7,FALSE),main!$K$18:$O$18,0),0))),0)</f>
        <v>0</v>
      </c>
      <c r="BZ81">
        <f>IF((gamma!BZ81),IF(VLOOKUP(BZ$1,main!$A$3:$H$102,7,FALSE)=VLOOKUP($A81,main!$A$3:$H$102,8,FALSE),VLOOKUP(BZ$1,main!$A$3:$H$102,4,FALSE),VLOOKUP(BZ$1,main!$A$3:$H$102,4,FALSE)+VLOOKUP($A81,main!$A$3:$H$102,4,FALSE)+(VLOOKUP(VLOOKUP(BZ$1,main!$A$3:$H$102,8,FALSE),main!$K$19:$O$22,MATCH(VLOOKUP($A81,main!$A$3:$H$102,7,FALSE),main!$K$18:$O$18,0),0))),0)</f>
        <v>0</v>
      </c>
      <c r="CA81">
        <f>IF((gamma!CA81),IF(VLOOKUP(CA$1,main!$A$3:$H$102,7,FALSE)=VLOOKUP($A81,main!$A$3:$H$102,8,FALSE),VLOOKUP(CA$1,main!$A$3:$H$102,4,FALSE),VLOOKUP(CA$1,main!$A$3:$H$102,4,FALSE)+VLOOKUP($A81,main!$A$3:$H$102,4,FALSE)+(VLOOKUP(VLOOKUP(CA$1,main!$A$3:$H$102,8,FALSE),main!$K$19:$O$22,MATCH(VLOOKUP($A81,main!$A$3:$H$102,7,FALSE),main!$K$18:$O$18,0),0))),0)</f>
        <v>0</v>
      </c>
      <c r="CB81">
        <f>IF((gamma!CB81),IF(VLOOKUP(CB$1,main!$A$3:$H$102,7,FALSE)=VLOOKUP($A81,main!$A$3:$H$102,8,FALSE),VLOOKUP(CB$1,main!$A$3:$H$102,4,FALSE),VLOOKUP(CB$1,main!$A$3:$H$102,4,FALSE)+VLOOKUP($A81,main!$A$3:$H$102,4,FALSE)+(VLOOKUP(VLOOKUP(CB$1,main!$A$3:$H$102,8,FALSE),main!$K$19:$O$22,MATCH(VLOOKUP($A81,main!$A$3:$H$102,7,FALSE),main!$K$18:$O$18,0),0))),0)</f>
        <v>0</v>
      </c>
      <c r="CC81">
        <f>IF((gamma!CC81),IF(VLOOKUP(CC$1,main!$A$3:$H$102,7,FALSE)=VLOOKUP($A81,main!$A$3:$H$102,8,FALSE),VLOOKUP(CC$1,main!$A$3:$H$102,4,FALSE),VLOOKUP(CC$1,main!$A$3:$H$102,4,FALSE)+VLOOKUP($A81,main!$A$3:$H$102,4,FALSE)+(VLOOKUP(VLOOKUP(CC$1,main!$A$3:$H$102,8,FALSE),main!$K$19:$O$22,MATCH(VLOOKUP($A81,main!$A$3:$H$102,7,FALSE),main!$K$18:$O$18,0),0))),0)</f>
        <v>0</v>
      </c>
      <c r="CD81">
        <f>IF((gamma!CD81),IF(VLOOKUP(CD$1,main!$A$3:$H$102,7,FALSE)=VLOOKUP($A81,main!$A$3:$H$102,8,FALSE),VLOOKUP(CD$1,main!$A$3:$H$102,4,FALSE),VLOOKUP(CD$1,main!$A$3:$H$102,4,FALSE)+VLOOKUP($A81,main!$A$3:$H$102,4,FALSE)+(VLOOKUP(VLOOKUP(CD$1,main!$A$3:$H$102,8,FALSE),main!$K$19:$O$22,MATCH(VLOOKUP($A81,main!$A$3:$H$102,7,FALSE),main!$K$18:$O$18,0),0))),0)</f>
        <v>0</v>
      </c>
      <c r="CE81">
        <f>IF((gamma!CE81),IF(VLOOKUP(CE$1,main!$A$3:$H$102,7,FALSE)=VLOOKUP($A81,main!$A$3:$H$102,8,FALSE),VLOOKUP(CE$1,main!$A$3:$H$102,4,FALSE),VLOOKUP(CE$1,main!$A$3:$H$102,4,FALSE)+VLOOKUP($A81,main!$A$3:$H$102,4,FALSE)+(VLOOKUP(VLOOKUP(CE$1,main!$A$3:$H$102,8,FALSE),main!$K$19:$O$22,MATCH(VLOOKUP($A81,main!$A$3:$H$102,7,FALSE),main!$K$18:$O$18,0),0))),0)</f>
        <v>0</v>
      </c>
      <c r="CF81">
        <f>IF((gamma!CF81),IF(VLOOKUP(CF$1,main!$A$3:$H$102,7,FALSE)=VLOOKUP($A81,main!$A$3:$H$102,8,FALSE),VLOOKUP(CF$1,main!$A$3:$H$102,4,FALSE),VLOOKUP(CF$1,main!$A$3:$H$102,4,FALSE)+VLOOKUP($A81,main!$A$3:$H$102,4,FALSE)+(VLOOKUP(VLOOKUP(CF$1,main!$A$3:$H$102,8,FALSE),main!$K$19:$O$22,MATCH(VLOOKUP($A81,main!$A$3:$H$102,7,FALSE),main!$K$18:$O$18,0),0))),0)</f>
        <v>0</v>
      </c>
      <c r="CG81">
        <f>IF((gamma!CG81),IF(VLOOKUP(CG$1,main!$A$3:$H$102,7,FALSE)=VLOOKUP($A81,main!$A$3:$H$102,8,FALSE),VLOOKUP(CG$1,main!$A$3:$H$102,4,FALSE),VLOOKUP(CG$1,main!$A$3:$H$102,4,FALSE)+VLOOKUP($A81,main!$A$3:$H$102,4,FALSE)+(VLOOKUP(VLOOKUP(CG$1,main!$A$3:$H$102,8,FALSE),main!$K$19:$O$22,MATCH(VLOOKUP($A81,main!$A$3:$H$102,7,FALSE),main!$K$18:$O$18,0),0))),0)</f>
        <v>0</v>
      </c>
      <c r="CH81">
        <f>IF((gamma!CH81),IF(VLOOKUP(CH$1,main!$A$3:$H$102,7,FALSE)=VLOOKUP($A81,main!$A$3:$H$102,8,FALSE),VLOOKUP(CH$1,main!$A$3:$H$102,4,FALSE),VLOOKUP(CH$1,main!$A$3:$H$102,4,FALSE)+VLOOKUP($A81,main!$A$3:$H$102,4,FALSE)+(VLOOKUP(VLOOKUP(CH$1,main!$A$3:$H$102,8,FALSE),main!$K$19:$O$22,MATCH(VLOOKUP($A81,main!$A$3:$H$102,7,FALSE),main!$K$18:$O$18,0),0))),0)</f>
        <v>0</v>
      </c>
      <c r="CI81">
        <f>IF((gamma!CI81),IF(VLOOKUP(CI$1,main!$A$3:$H$102,7,FALSE)=VLOOKUP($A81,main!$A$3:$H$102,8,FALSE),VLOOKUP(CI$1,main!$A$3:$H$102,4,FALSE),VLOOKUP(CI$1,main!$A$3:$H$102,4,FALSE)+VLOOKUP($A81,main!$A$3:$H$102,4,FALSE)+(VLOOKUP(VLOOKUP(CI$1,main!$A$3:$H$102,8,FALSE),main!$K$19:$O$22,MATCH(VLOOKUP($A81,main!$A$3:$H$102,7,FALSE),main!$K$18:$O$18,0),0))),0)</f>
        <v>140</v>
      </c>
      <c r="CJ81">
        <f>IF((gamma!CJ81),IF(VLOOKUP(CJ$1,main!$A$3:$H$102,7,FALSE)=VLOOKUP($A81,main!$A$3:$H$102,8,FALSE),VLOOKUP(CJ$1,main!$A$3:$H$102,4,FALSE),VLOOKUP(CJ$1,main!$A$3:$H$102,4,FALSE)+VLOOKUP($A81,main!$A$3:$H$102,4,FALSE)+(VLOOKUP(VLOOKUP(CJ$1,main!$A$3:$H$102,8,FALSE),main!$K$19:$O$22,MATCH(VLOOKUP($A81,main!$A$3:$H$102,7,FALSE),main!$K$18:$O$18,0),0))),0)</f>
        <v>0</v>
      </c>
      <c r="CK81">
        <f>IF((gamma!CK81),IF(VLOOKUP(CK$1,main!$A$3:$H$102,7,FALSE)=VLOOKUP($A81,main!$A$3:$H$102,8,FALSE),VLOOKUP(CK$1,main!$A$3:$H$102,4,FALSE),VLOOKUP(CK$1,main!$A$3:$H$102,4,FALSE)+VLOOKUP($A81,main!$A$3:$H$102,4,FALSE)+(VLOOKUP(VLOOKUP(CK$1,main!$A$3:$H$102,8,FALSE),main!$K$19:$O$22,MATCH(VLOOKUP($A81,main!$A$3:$H$102,7,FALSE),main!$K$18:$O$18,0),0))),0)</f>
        <v>0</v>
      </c>
      <c r="CL81">
        <f>IF((gamma!CL81),IF(VLOOKUP(CL$1,main!$A$3:$H$102,7,FALSE)=VLOOKUP($A81,main!$A$3:$H$102,8,FALSE),VLOOKUP(CL$1,main!$A$3:$H$102,4,FALSE),VLOOKUP(CL$1,main!$A$3:$H$102,4,FALSE)+VLOOKUP($A81,main!$A$3:$H$102,4,FALSE)+(VLOOKUP(VLOOKUP(CL$1,main!$A$3:$H$102,8,FALSE),main!$K$19:$O$22,MATCH(VLOOKUP($A81,main!$A$3:$H$102,7,FALSE),main!$K$18:$O$18,0),0))),0)</f>
        <v>0</v>
      </c>
      <c r="CM81">
        <f>IF((gamma!CM81),IF(VLOOKUP(CM$1,main!$A$3:$H$102,7,FALSE)=VLOOKUP($A81,main!$A$3:$H$102,8,FALSE),VLOOKUP(CM$1,main!$A$3:$H$102,4,FALSE),VLOOKUP(CM$1,main!$A$3:$H$102,4,FALSE)+VLOOKUP($A81,main!$A$3:$H$102,4,FALSE)+(VLOOKUP(VLOOKUP(CM$1,main!$A$3:$H$102,8,FALSE),main!$K$19:$O$22,MATCH(VLOOKUP($A81,main!$A$3:$H$102,7,FALSE),main!$K$18:$O$18,0),0))),0)</f>
        <v>0</v>
      </c>
      <c r="CN81">
        <f>IF((gamma!CN81),IF(VLOOKUP(CN$1,main!$A$3:$H$102,7,FALSE)=VLOOKUP($A81,main!$A$3:$H$102,8,FALSE),VLOOKUP(CN$1,main!$A$3:$H$102,4,FALSE),VLOOKUP(CN$1,main!$A$3:$H$102,4,FALSE)+VLOOKUP($A81,main!$A$3:$H$102,4,FALSE)+(VLOOKUP(VLOOKUP(CN$1,main!$A$3:$H$102,8,FALSE),main!$K$19:$O$22,MATCH(VLOOKUP($A81,main!$A$3:$H$102,7,FALSE),main!$K$18:$O$18,0),0))),0)</f>
        <v>96</v>
      </c>
      <c r="CO81">
        <f>IF((gamma!CO81),IF(VLOOKUP(CO$1,main!$A$3:$H$102,7,FALSE)=VLOOKUP($A81,main!$A$3:$H$102,8,FALSE),VLOOKUP(CO$1,main!$A$3:$H$102,4,FALSE),VLOOKUP(CO$1,main!$A$3:$H$102,4,FALSE)+VLOOKUP($A81,main!$A$3:$H$102,4,FALSE)+(VLOOKUP(VLOOKUP(CO$1,main!$A$3:$H$102,8,FALSE),main!$K$19:$O$22,MATCH(VLOOKUP($A81,main!$A$3:$H$102,7,FALSE),main!$K$18:$O$18,0),0))),0)</f>
        <v>0</v>
      </c>
      <c r="CP81">
        <f>IF((gamma!CP81),IF(VLOOKUP(CP$1,main!$A$3:$H$102,7,FALSE)=VLOOKUP($A81,main!$A$3:$H$102,8,FALSE),VLOOKUP(CP$1,main!$A$3:$H$102,4,FALSE),VLOOKUP(CP$1,main!$A$3:$H$102,4,FALSE)+VLOOKUP($A81,main!$A$3:$H$102,4,FALSE)+(VLOOKUP(VLOOKUP(CP$1,main!$A$3:$H$102,8,FALSE),main!$K$19:$O$22,MATCH(VLOOKUP($A81,main!$A$3:$H$102,7,FALSE),main!$K$18:$O$18,0),0))),0)</f>
        <v>0</v>
      </c>
      <c r="CQ81">
        <f>IF((gamma!CQ81),IF(VLOOKUP(CQ$1,main!$A$3:$H$102,7,FALSE)=VLOOKUP($A81,main!$A$3:$H$102,8,FALSE),VLOOKUP(CQ$1,main!$A$3:$H$102,4,FALSE),VLOOKUP(CQ$1,main!$A$3:$H$102,4,FALSE)+VLOOKUP($A81,main!$A$3:$H$102,4,FALSE)+(VLOOKUP(VLOOKUP(CQ$1,main!$A$3:$H$102,8,FALSE),main!$K$19:$O$22,MATCH(VLOOKUP($A81,main!$A$3:$H$102,7,FALSE),main!$K$18:$O$18,0),0))),0)</f>
        <v>0</v>
      </c>
      <c r="CR81">
        <f>IF((gamma!CR81),IF(VLOOKUP(CR$1,main!$A$3:$H$102,7,FALSE)=VLOOKUP($A81,main!$A$3:$H$102,8,FALSE),VLOOKUP(CR$1,main!$A$3:$H$102,4,FALSE),VLOOKUP(CR$1,main!$A$3:$H$102,4,FALSE)+VLOOKUP($A81,main!$A$3:$H$102,4,FALSE)+(VLOOKUP(VLOOKUP(CR$1,main!$A$3:$H$102,8,FALSE),main!$K$19:$O$22,MATCH(VLOOKUP($A81,main!$A$3:$H$102,7,FALSE),main!$K$18:$O$18,0),0))),0)</f>
        <v>0</v>
      </c>
      <c r="CS81">
        <f>IF((gamma!CS81),IF(VLOOKUP(CS$1,main!$A$3:$H$102,7,FALSE)=VLOOKUP($A81,main!$A$3:$H$102,8,FALSE),VLOOKUP(CS$1,main!$A$3:$H$102,4,FALSE),VLOOKUP(CS$1,main!$A$3:$H$102,4,FALSE)+VLOOKUP($A81,main!$A$3:$H$102,4,FALSE)+(VLOOKUP(VLOOKUP(CS$1,main!$A$3:$H$102,8,FALSE),main!$K$19:$O$22,MATCH(VLOOKUP($A81,main!$A$3:$H$102,7,FALSE),main!$K$18:$O$18,0),0))),0)</f>
        <v>0</v>
      </c>
      <c r="CT81">
        <f>IF((gamma!CT81),IF(VLOOKUP(CT$1,main!$A$3:$H$102,7,FALSE)=VLOOKUP($A81,main!$A$3:$H$102,8,FALSE),VLOOKUP(CT$1,main!$A$3:$H$102,4,FALSE),VLOOKUP(CT$1,main!$A$3:$H$102,4,FALSE)+VLOOKUP($A81,main!$A$3:$H$102,4,FALSE)+(VLOOKUP(VLOOKUP(CT$1,main!$A$3:$H$102,8,FALSE),main!$K$19:$O$22,MATCH(VLOOKUP($A81,main!$A$3:$H$102,7,FALSE),main!$K$18:$O$18,0),0))),0)</f>
        <v>0</v>
      </c>
      <c r="CU81">
        <f>IF((gamma!CU81),IF(VLOOKUP(CU$1,main!$A$3:$H$102,7,FALSE)=VLOOKUP($A81,main!$A$3:$H$102,8,FALSE),VLOOKUP(CU$1,main!$A$3:$H$102,4,FALSE),VLOOKUP(CU$1,main!$A$3:$H$102,4,FALSE)+VLOOKUP($A81,main!$A$3:$H$102,4,FALSE)+(VLOOKUP(VLOOKUP(CU$1,main!$A$3:$H$102,8,FALSE),main!$K$19:$O$22,MATCH(VLOOKUP($A81,main!$A$3:$H$102,7,FALSE),main!$K$18:$O$18,0),0))),0)</f>
        <v>0</v>
      </c>
      <c r="CV81">
        <f>IF((gamma!CV81),IF(VLOOKUP(CV$1,main!$A$3:$H$102,7,FALSE)=VLOOKUP($A81,main!$A$3:$H$102,8,FALSE),VLOOKUP(CV$1,main!$A$3:$H$102,4,FALSE),VLOOKUP(CV$1,main!$A$3:$H$102,4,FALSE)+VLOOKUP($A81,main!$A$3:$H$102,4,FALSE)+(VLOOKUP(VLOOKUP(CV$1,main!$A$3:$H$102,8,FALSE),main!$K$19:$O$22,MATCH(VLOOKUP($A81,main!$A$3:$H$102,7,FALSE),main!$K$18:$O$18,0),0))),0)</f>
        <v>0</v>
      </c>
      <c r="CW81">
        <f>IF((gamma!CW81),IF(VLOOKUP(CW$1,main!$A$3:$H$102,7,FALSE)=VLOOKUP($A81,main!$A$3:$H$102,8,FALSE),VLOOKUP(CW$1,main!$A$3:$H$102,4,FALSE),VLOOKUP(CW$1,main!$A$3:$H$102,4,FALSE)+VLOOKUP($A81,main!$A$3:$H$102,4,FALSE)+(VLOOKUP(VLOOKUP(CW$1,main!$A$3:$H$102,8,FALSE),main!$K$19:$O$22,MATCH(VLOOKUP($A81,main!$A$3:$H$102,7,FALSE),main!$K$18:$O$18,0),0))),0)</f>
        <v>0</v>
      </c>
      <c r="CX81">
        <f>IF((gamma!CX81),IF(VLOOKUP(CX$1,main!$A$3:$H$102,7,FALSE)=VLOOKUP($A81,main!$A$3:$H$102,8,FALSE),VLOOKUP(CX$1,main!$A$3:$H$102,4,FALSE),VLOOKUP(CX$1,main!$A$3:$H$102,4,FALSE)+VLOOKUP($A81,main!$A$3:$H$102,4,FALSE)+(VLOOKUP(VLOOKUP(CX$1,main!$A$3:$H$102,8,FALSE),main!$K$19:$O$22,MATCH(VLOOKUP($A81,main!$A$3:$H$102,7,FALSE),main!$K$18:$O$18,0),0))),0)</f>
        <v>0</v>
      </c>
      <c r="CY81">
        <v>0</v>
      </c>
      <c r="CZ81">
        <v>0</v>
      </c>
      <c r="DA81">
        <v>0</v>
      </c>
    </row>
    <row r="82" spans="1:105" x14ac:dyDescent="0.25">
      <c r="A82" s="1">
        <v>80</v>
      </c>
      <c r="B82">
        <v>0</v>
      </c>
      <c r="C82">
        <f>IF((gamma!C82),IF(VLOOKUP(C$1,main!$A$3:$H$102,7,FALSE)=VLOOKUP($A82,main!$A$3:$H$102,8,FALSE),VLOOKUP(C$1,main!$A$3:$H$102,4,FALSE),VLOOKUP(C$1,main!$A$3:$H$102,4,FALSE)+VLOOKUP($A82,main!$A$3:$H$102,4,FALSE)+(VLOOKUP(VLOOKUP(C$1,main!$A$3:$H$102,8,FALSE),main!$K$19:$O$22,MATCH(VLOOKUP($A82,main!$A$3:$H$102,7,FALSE),main!$K$18:$O$18,0),0))),0)</f>
        <v>0</v>
      </c>
      <c r="D82">
        <f>IF((gamma!D82),IF(VLOOKUP(D$1,main!$A$3:$H$102,7,FALSE)=VLOOKUP($A82,main!$A$3:$H$102,8,FALSE),VLOOKUP(D$1,main!$A$3:$H$102,4,FALSE),VLOOKUP(D$1,main!$A$3:$H$102,4,FALSE)+VLOOKUP($A82,main!$A$3:$H$102,4,FALSE)+(VLOOKUP(VLOOKUP(D$1,main!$A$3:$H$102,8,FALSE),main!$K$19:$O$22,MATCH(VLOOKUP($A82,main!$A$3:$H$102,7,FALSE),main!$K$18:$O$18,0),0))),0)</f>
        <v>0</v>
      </c>
      <c r="E82">
        <f>IF((gamma!E82),IF(VLOOKUP(E$1,main!$A$3:$H$102,7,FALSE)=VLOOKUP($A82,main!$A$3:$H$102,8,FALSE),VLOOKUP(E$1,main!$A$3:$H$102,4,FALSE),VLOOKUP(E$1,main!$A$3:$H$102,4,FALSE)+VLOOKUP($A82,main!$A$3:$H$102,4,FALSE)+(VLOOKUP(VLOOKUP(E$1,main!$A$3:$H$102,8,FALSE),main!$K$19:$O$22,MATCH(VLOOKUP($A82,main!$A$3:$H$102,7,FALSE),main!$K$18:$O$18,0),0))),0)</f>
        <v>0</v>
      </c>
      <c r="F82">
        <f>IF((gamma!F82),IF(VLOOKUP(F$1,main!$A$3:$H$102,7,FALSE)=VLOOKUP($A82,main!$A$3:$H$102,8,FALSE),VLOOKUP(F$1,main!$A$3:$H$102,4,FALSE),VLOOKUP(F$1,main!$A$3:$H$102,4,FALSE)+VLOOKUP($A82,main!$A$3:$H$102,4,FALSE)+(VLOOKUP(VLOOKUP(F$1,main!$A$3:$H$102,8,FALSE),main!$K$19:$O$22,MATCH(VLOOKUP($A82,main!$A$3:$H$102,7,FALSE),main!$K$18:$O$18,0),0))),0)</f>
        <v>0</v>
      </c>
      <c r="G82">
        <f>IF((gamma!G82),IF(VLOOKUP(G$1,main!$A$3:$H$102,7,FALSE)=VLOOKUP($A82,main!$A$3:$H$102,8,FALSE),VLOOKUP(G$1,main!$A$3:$H$102,4,FALSE),VLOOKUP(G$1,main!$A$3:$H$102,4,FALSE)+VLOOKUP($A82,main!$A$3:$H$102,4,FALSE)+(VLOOKUP(VLOOKUP(G$1,main!$A$3:$H$102,8,FALSE),main!$K$19:$O$22,MATCH(VLOOKUP($A82,main!$A$3:$H$102,7,FALSE),main!$K$18:$O$18,0),0))),0)</f>
        <v>0</v>
      </c>
      <c r="H82">
        <f>IF((gamma!H82),IF(VLOOKUP(H$1,main!$A$3:$H$102,7,FALSE)=VLOOKUP($A82,main!$A$3:$H$102,8,FALSE),VLOOKUP(H$1,main!$A$3:$H$102,4,FALSE),VLOOKUP(H$1,main!$A$3:$H$102,4,FALSE)+VLOOKUP($A82,main!$A$3:$H$102,4,FALSE)+(VLOOKUP(VLOOKUP(H$1,main!$A$3:$H$102,8,FALSE),main!$K$19:$O$22,MATCH(VLOOKUP($A82,main!$A$3:$H$102,7,FALSE),main!$K$18:$O$18,0),0))),0)</f>
        <v>0</v>
      </c>
      <c r="I82">
        <f>IF((gamma!I82),IF(VLOOKUP(I$1,main!$A$3:$H$102,7,FALSE)=VLOOKUP($A82,main!$A$3:$H$102,8,FALSE),VLOOKUP(I$1,main!$A$3:$H$102,4,FALSE),VLOOKUP(I$1,main!$A$3:$H$102,4,FALSE)+VLOOKUP($A82,main!$A$3:$H$102,4,FALSE)+(VLOOKUP(VLOOKUP(I$1,main!$A$3:$H$102,8,FALSE),main!$K$19:$O$22,MATCH(VLOOKUP($A82,main!$A$3:$H$102,7,FALSE),main!$K$18:$O$18,0),0))),0)</f>
        <v>0</v>
      </c>
      <c r="J82">
        <f>IF((gamma!J82),IF(VLOOKUP(J$1,main!$A$3:$H$102,7,FALSE)=VLOOKUP($A82,main!$A$3:$H$102,8,FALSE),VLOOKUP(J$1,main!$A$3:$H$102,4,FALSE),VLOOKUP(J$1,main!$A$3:$H$102,4,FALSE)+VLOOKUP($A82,main!$A$3:$H$102,4,FALSE)+(VLOOKUP(VLOOKUP(J$1,main!$A$3:$H$102,8,FALSE),main!$K$19:$O$22,MATCH(VLOOKUP($A82,main!$A$3:$H$102,7,FALSE),main!$K$18:$O$18,0),0))),0)</f>
        <v>277</v>
      </c>
      <c r="K82">
        <f>IF((gamma!K82),IF(VLOOKUP(K$1,main!$A$3:$H$102,7,FALSE)=VLOOKUP($A82,main!$A$3:$H$102,8,FALSE),VLOOKUP(K$1,main!$A$3:$H$102,4,FALSE),VLOOKUP(K$1,main!$A$3:$H$102,4,FALSE)+VLOOKUP($A82,main!$A$3:$H$102,4,FALSE)+(VLOOKUP(VLOOKUP(K$1,main!$A$3:$H$102,8,FALSE),main!$K$19:$O$22,MATCH(VLOOKUP($A82,main!$A$3:$H$102,7,FALSE),main!$K$18:$O$18,0),0))),0)</f>
        <v>277</v>
      </c>
      <c r="L82">
        <f>IF((gamma!L82),IF(VLOOKUP(L$1,main!$A$3:$H$102,7,FALSE)=VLOOKUP($A82,main!$A$3:$H$102,8,FALSE),VLOOKUP(L$1,main!$A$3:$H$102,4,FALSE),VLOOKUP(L$1,main!$A$3:$H$102,4,FALSE)+VLOOKUP($A82,main!$A$3:$H$102,4,FALSE)+(VLOOKUP(VLOOKUP(L$1,main!$A$3:$H$102,8,FALSE),main!$K$19:$O$22,MATCH(VLOOKUP($A82,main!$A$3:$H$102,7,FALSE),main!$K$18:$O$18,0),0))),0)</f>
        <v>277</v>
      </c>
      <c r="M82">
        <f>IF((gamma!M82),IF(VLOOKUP(M$1,main!$A$3:$H$102,7,FALSE)=VLOOKUP($A82,main!$A$3:$H$102,8,FALSE),VLOOKUP(M$1,main!$A$3:$H$102,4,FALSE),VLOOKUP(M$1,main!$A$3:$H$102,4,FALSE)+VLOOKUP($A82,main!$A$3:$H$102,4,FALSE)+(VLOOKUP(VLOOKUP(M$1,main!$A$3:$H$102,8,FALSE),main!$K$19:$O$22,MATCH(VLOOKUP($A82,main!$A$3:$H$102,7,FALSE),main!$K$18:$O$18,0),0))),0)</f>
        <v>0</v>
      </c>
      <c r="N82">
        <f>IF((gamma!N82),IF(VLOOKUP(N$1,main!$A$3:$H$102,7,FALSE)=VLOOKUP($A82,main!$A$3:$H$102,8,FALSE),VLOOKUP(N$1,main!$A$3:$H$102,4,FALSE),VLOOKUP(N$1,main!$A$3:$H$102,4,FALSE)+VLOOKUP($A82,main!$A$3:$H$102,4,FALSE)+(VLOOKUP(VLOOKUP(N$1,main!$A$3:$H$102,8,FALSE),main!$K$19:$O$22,MATCH(VLOOKUP($A82,main!$A$3:$H$102,7,FALSE),main!$K$18:$O$18,0),0))),0)</f>
        <v>0</v>
      </c>
      <c r="O82">
        <f>IF((gamma!O82),IF(VLOOKUP(O$1,main!$A$3:$H$102,7,FALSE)=VLOOKUP($A82,main!$A$3:$H$102,8,FALSE),VLOOKUP(O$1,main!$A$3:$H$102,4,FALSE),VLOOKUP(O$1,main!$A$3:$H$102,4,FALSE)+VLOOKUP($A82,main!$A$3:$H$102,4,FALSE)+(VLOOKUP(VLOOKUP(O$1,main!$A$3:$H$102,8,FALSE),main!$K$19:$O$22,MATCH(VLOOKUP($A82,main!$A$3:$H$102,7,FALSE),main!$K$18:$O$18,0),0))),0)</f>
        <v>0</v>
      </c>
      <c r="P82">
        <f>IF((gamma!P82),IF(VLOOKUP(P$1,main!$A$3:$H$102,7,FALSE)=VLOOKUP($A82,main!$A$3:$H$102,8,FALSE),VLOOKUP(P$1,main!$A$3:$H$102,4,FALSE),VLOOKUP(P$1,main!$A$3:$H$102,4,FALSE)+VLOOKUP($A82,main!$A$3:$H$102,4,FALSE)+(VLOOKUP(VLOOKUP(P$1,main!$A$3:$H$102,8,FALSE),main!$K$19:$O$22,MATCH(VLOOKUP($A82,main!$A$3:$H$102,7,FALSE),main!$K$18:$O$18,0),0))),0)</f>
        <v>0</v>
      </c>
      <c r="Q82">
        <f>IF((gamma!Q82),IF(VLOOKUP(Q$1,main!$A$3:$H$102,7,FALSE)=VLOOKUP($A82,main!$A$3:$H$102,8,FALSE),VLOOKUP(Q$1,main!$A$3:$H$102,4,FALSE),VLOOKUP(Q$1,main!$A$3:$H$102,4,FALSE)+VLOOKUP($A82,main!$A$3:$H$102,4,FALSE)+(VLOOKUP(VLOOKUP(Q$1,main!$A$3:$H$102,8,FALSE),main!$K$19:$O$22,MATCH(VLOOKUP($A82,main!$A$3:$H$102,7,FALSE),main!$K$18:$O$18,0),0))),0)</f>
        <v>0</v>
      </c>
      <c r="R82">
        <f>IF((gamma!R82),IF(VLOOKUP(R$1,main!$A$3:$H$102,7,FALSE)=VLOOKUP($A82,main!$A$3:$H$102,8,FALSE),VLOOKUP(R$1,main!$A$3:$H$102,4,FALSE),VLOOKUP(R$1,main!$A$3:$H$102,4,FALSE)+VLOOKUP($A82,main!$A$3:$H$102,4,FALSE)+(VLOOKUP(VLOOKUP(R$1,main!$A$3:$H$102,8,FALSE),main!$K$19:$O$22,MATCH(VLOOKUP($A82,main!$A$3:$H$102,7,FALSE),main!$K$18:$O$18,0),0))),0)</f>
        <v>0</v>
      </c>
      <c r="S82">
        <f>IF((gamma!S82),IF(VLOOKUP(S$1,main!$A$3:$H$102,7,FALSE)=VLOOKUP($A82,main!$A$3:$H$102,8,FALSE),VLOOKUP(S$1,main!$A$3:$H$102,4,FALSE),VLOOKUP(S$1,main!$A$3:$H$102,4,FALSE)+VLOOKUP($A82,main!$A$3:$H$102,4,FALSE)+(VLOOKUP(VLOOKUP(S$1,main!$A$3:$H$102,8,FALSE),main!$K$19:$O$22,MATCH(VLOOKUP($A82,main!$A$3:$H$102,7,FALSE),main!$K$18:$O$18,0),0))),0)</f>
        <v>0</v>
      </c>
      <c r="T82">
        <f>IF((gamma!T82),IF(VLOOKUP(T$1,main!$A$3:$H$102,7,FALSE)=VLOOKUP($A82,main!$A$3:$H$102,8,FALSE),VLOOKUP(T$1,main!$A$3:$H$102,4,FALSE),VLOOKUP(T$1,main!$A$3:$H$102,4,FALSE)+VLOOKUP($A82,main!$A$3:$H$102,4,FALSE)+(VLOOKUP(VLOOKUP(T$1,main!$A$3:$H$102,8,FALSE),main!$K$19:$O$22,MATCH(VLOOKUP($A82,main!$A$3:$H$102,7,FALSE),main!$K$18:$O$18,0),0))),0)</f>
        <v>0</v>
      </c>
      <c r="U82">
        <f>IF((gamma!U82),IF(VLOOKUP(U$1,main!$A$3:$H$102,7,FALSE)=VLOOKUP($A82,main!$A$3:$H$102,8,FALSE),VLOOKUP(U$1,main!$A$3:$H$102,4,FALSE),VLOOKUP(U$1,main!$A$3:$H$102,4,FALSE)+VLOOKUP($A82,main!$A$3:$H$102,4,FALSE)+(VLOOKUP(VLOOKUP(U$1,main!$A$3:$H$102,8,FALSE),main!$K$19:$O$22,MATCH(VLOOKUP($A82,main!$A$3:$H$102,7,FALSE),main!$K$18:$O$18,0),0))),0)</f>
        <v>254</v>
      </c>
      <c r="V82">
        <f>IF((gamma!V82),IF(VLOOKUP(V$1,main!$A$3:$H$102,7,FALSE)=VLOOKUP($A82,main!$A$3:$H$102,8,FALSE),VLOOKUP(V$1,main!$A$3:$H$102,4,FALSE),VLOOKUP(V$1,main!$A$3:$H$102,4,FALSE)+VLOOKUP($A82,main!$A$3:$H$102,4,FALSE)+(VLOOKUP(VLOOKUP(V$1,main!$A$3:$H$102,8,FALSE),main!$K$19:$O$22,MATCH(VLOOKUP($A82,main!$A$3:$H$102,7,FALSE),main!$K$18:$O$18,0),0))),0)</f>
        <v>254</v>
      </c>
      <c r="W82">
        <f>IF((gamma!W82),IF(VLOOKUP(W$1,main!$A$3:$H$102,7,FALSE)=VLOOKUP($A82,main!$A$3:$H$102,8,FALSE),VLOOKUP(W$1,main!$A$3:$H$102,4,FALSE),VLOOKUP(W$1,main!$A$3:$H$102,4,FALSE)+VLOOKUP($A82,main!$A$3:$H$102,4,FALSE)+(VLOOKUP(VLOOKUP(W$1,main!$A$3:$H$102,8,FALSE),main!$K$19:$O$22,MATCH(VLOOKUP($A82,main!$A$3:$H$102,7,FALSE),main!$K$18:$O$18,0),0))),0)</f>
        <v>0</v>
      </c>
      <c r="X82">
        <f>IF((gamma!X82),IF(VLOOKUP(X$1,main!$A$3:$H$102,7,FALSE)=VLOOKUP($A82,main!$A$3:$H$102,8,FALSE),VLOOKUP(X$1,main!$A$3:$H$102,4,FALSE),VLOOKUP(X$1,main!$A$3:$H$102,4,FALSE)+VLOOKUP($A82,main!$A$3:$H$102,4,FALSE)+(VLOOKUP(VLOOKUP(X$1,main!$A$3:$H$102,8,FALSE),main!$K$19:$O$22,MATCH(VLOOKUP($A82,main!$A$3:$H$102,7,FALSE),main!$K$18:$O$18,0),0))),0)</f>
        <v>0</v>
      </c>
      <c r="Y82">
        <f>IF((gamma!Y82),IF(VLOOKUP(Y$1,main!$A$3:$H$102,7,FALSE)=VLOOKUP($A82,main!$A$3:$H$102,8,FALSE),VLOOKUP(Y$1,main!$A$3:$H$102,4,FALSE),VLOOKUP(Y$1,main!$A$3:$H$102,4,FALSE)+VLOOKUP($A82,main!$A$3:$H$102,4,FALSE)+(VLOOKUP(VLOOKUP(Y$1,main!$A$3:$H$102,8,FALSE),main!$K$19:$O$22,MATCH(VLOOKUP($A82,main!$A$3:$H$102,7,FALSE),main!$K$18:$O$18,0),0))),0)</f>
        <v>0</v>
      </c>
      <c r="Z82">
        <f>IF((gamma!Z82),IF(VLOOKUP(Z$1,main!$A$3:$H$102,7,FALSE)=VLOOKUP($A82,main!$A$3:$H$102,8,FALSE),VLOOKUP(Z$1,main!$A$3:$H$102,4,FALSE),VLOOKUP(Z$1,main!$A$3:$H$102,4,FALSE)+VLOOKUP($A82,main!$A$3:$H$102,4,FALSE)+(VLOOKUP(VLOOKUP(Z$1,main!$A$3:$H$102,8,FALSE),main!$K$19:$O$22,MATCH(VLOOKUP($A82,main!$A$3:$H$102,7,FALSE),main!$K$18:$O$18,0),0))),0)</f>
        <v>0</v>
      </c>
      <c r="AA82">
        <f>IF((gamma!AA82),IF(VLOOKUP(AA$1,main!$A$3:$H$102,7,FALSE)=VLOOKUP($A82,main!$A$3:$H$102,8,FALSE),VLOOKUP(AA$1,main!$A$3:$H$102,4,FALSE),VLOOKUP(AA$1,main!$A$3:$H$102,4,FALSE)+VLOOKUP($A82,main!$A$3:$H$102,4,FALSE)+(VLOOKUP(VLOOKUP(AA$1,main!$A$3:$H$102,8,FALSE),main!$K$19:$O$22,MATCH(VLOOKUP($A82,main!$A$3:$H$102,7,FALSE),main!$K$18:$O$18,0),0))),0)</f>
        <v>287</v>
      </c>
      <c r="AB82">
        <f>IF((gamma!AB82),IF(VLOOKUP(AB$1,main!$A$3:$H$102,7,FALSE)=VLOOKUP($A82,main!$A$3:$H$102,8,FALSE),VLOOKUP(AB$1,main!$A$3:$H$102,4,FALSE),VLOOKUP(AB$1,main!$A$3:$H$102,4,FALSE)+VLOOKUP($A82,main!$A$3:$H$102,4,FALSE)+(VLOOKUP(VLOOKUP(AB$1,main!$A$3:$H$102,8,FALSE),main!$K$19:$O$22,MATCH(VLOOKUP($A82,main!$A$3:$H$102,7,FALSE),main!$K$18:$O$18,0),0))),0)</f>
        <v>0</v>
      </c>
      <c r="AC82">
        <f>IF((gamma!AC82),IF(VLOOKUP(AC$1,main!$A$3:$H$102,7,FALSE)=VLOOKUP($A82,main!$A$3:$H$102,8,FALSE),VLOOKUP(AC$1,main!$A$3:$H$102,4,FALSE),VLOOKUP(AC$1,main!$A$3:$H$102,4,FALSE)+VLOOKUP($A82,main!$A$3:$H$102,4,FALSE)+(VLOOKUP(VLOOKUP(AC$1,main!$A$3:$H$102,8,FALSE),main!$K$19:$O$22,MATCH(VLOOKUP($A82,main!$A$3:$H$102,7,FALSE),main!$K$18:$O$18,0),0))),0)</f>
        <v>0</v>
      </c>
      <c r="AD82">
        <f>IF((gamma!AD82),IF(VLOOKUP(AD$1,main!$A$3:$H$102,7,FALSE)=VLOOKUP($A82,main!$A$3:$H$102,8,FALSE),VLOOKUP(AD$1,main!$A$3:$H$102,4,FALSE),VLOOKUP(AD$1,main!$A$3:$H$102,4,FALSE)+VLOOKUP($A82,main!$A$3:$H$102,4,FALSE)+(VLOOKUP(VLOOKUP(AD$1,main!$A$3:$H$102,8,FALSE),main!$K$19:$O$22,MATCH(VLOOKUP($A82,main!$A$3:$H$102,7,FALSE),main!$K$18:$O$18,0),0))),0)</f>
        <v>0</v>
      </c>
      <c r="AE82">
        <f>IF((gamma!AE82),IF(VLOOKUP(AE$1,main!$A$3:$H$102,7,FALSE)=VLOOKUP($A82,main!$A$3:$H$102,8,FALSE),VLOOKUP(AE$1,main!$A$3:$H$102,4,FALSE),VLOOKUP(AE$1,main!$A$3:$H$102,4,FALSE)+VLOOKUP($A82,main!$A$3:$H$102,4,FALSE)+(VLOOKUP(VLOOKUP(AE$1,main!$A$3:$H$102,8,FALSE),main!$K$19:$O$22,MATCH(VLOOKUP($A82,main!$A$3:$H$102,7,FALSE),main!$K$18:$O$18,0),0))),0)</f>
        <v>0</v>
      </c>
      <c r="AF82">
        <f>IF((gamma!AF82),IF(VLOOKUP(AF$1,main!$A$3:$H$102,7,FALSE)=VLOOKUP($A82,main!$A$3:$H$102,8,FALSE),VLOOKUP(AF$1,main!$A$3:$H$102,4,FALSE),VLOOKUP(AF$1,main!$A$3:$H$102,4,FALSE)+VLOOKUP($A82,main!$A$3:$H$102,4,FALSE)+(VLOOKUP(VLOOKUP(AF$1,main!$A$3:$H$102,8,FALSE),main!$K$19:$O$22,MATCH(VLOOKUP($A82,main!$A$3:$H$102,7,FALSE),main!$K$18:$O$18,0),0))),0)</f>
        <v>247</v>
      </c>
      <c r="AG82">
        <f>IF((gamma!AG82),IF(VLOOKUP(AG$1,main!$A$3:$H$102,7,FALSE)=VLOOKUP($A82,main!$A$3:$H$102,8,FALSE),VLOOKUP(AG$1,main!$A$3:$H$102,4,FALSE),VLOOKUP(AG$1,main!$A$3:$H$102,4,FALSE)+VLOOKUP($A82,main!$A$3:$H$102,4,FALSE)+(VLOOKUP(VLOOKUP(AG$1,main!$A$3:$H$102,8,FALSE),main!$K$19:$O$22,MATCH(VLOOKUP($A82,main!$A$3:$H$102,7,FALSE),main!$K$18:$O$18,0),0))),0)</f>
        <v>0</v>
      </c>
      <c r="AH82">
        <f>IF((gamma!AH82),IF(VLOOKUP(AH$1,main!$A$3:$H$102,7,FALSE)=VLOOKUP($A82,main!$A$3:$H$102,8,FALSE),VLOOKUP(AH$1,main!$A$3:$H$102,4,FALSE),VLOOKUP(AH$1,main!$A$3:$H$102,4,FALSE)+VLOOKUP($A82,main!$A$3:$H$102,4,FALSE)+(VLOOKUP(VLOOKUP(AH$1,main!$A$3:$H$102,8,FALSE),main!$K$19:$O$22,MATCH(VLOOKUP($A82,main!$A$3:$H$102,7,FALSE),main!$K$18:$O$18,0),0))),0)</f>
        <v>0</v>
      </c>
      <c r="AI82">
        <f>IF((gamma!AI82),IF(VLOOKUP(AI$1,main!$A$3:$H$102,7,FALSE)=VLOOKUP($A82,main!$A$3:$H$102,8,FALSE),VLOOKUP(AI$1,main!$A$3:$H$102,4,FALSE),VLOOKUP(AI$1,main!$A$3:$H$102,4,FALSE)+VLOOKUP($A82,main!$A$3:$H$102,4,FALSE)+(VLOOKUP(VLOOKUP(AI$1,main!$A$3:$H$102,8,FALSE),main!$K$19:$O$22,MATCH(VLOOKUP($A82,main!$A$3:$H$102,7,FALSE),main!$K$18:$O$18,0),0))),0)</f>
        <v>0</v>
      </c>
      <c r="AJ82">
        <f>IF((gamma!AJ82),IF(VLOOKUP(AJ$1,main!$A$3:$H$102,7,FALSE)=VLOOKUP($A82,main!$A$3:$H$102,8,FALSE),VLOOKUP(AJ$1,main!$A$3:$H$102,4,FALSE),VLOOKUP(AJ$1,main!$A$3:$H$102,4,FALSE)+VLOOKUP($A82,main!$A$3:$H$102,4,FALSE)+(VLOOKUP(VLOOKUP(AJ$1,main!$A$3:$H$102,8,FALSE),main!$K$19:$O$22,MATCH(VLOOKUP($A82,main!$A$3:$H$102,7,FALSE),main!$K$18:$O$18,0),0))),0)</f>
        <v>0</v>
      </c>
      <c r="AK82">
        <f>IF((gamma!AK82),IF(VLOOKUP(AK$1,main!$A$3:$H$102,7,FALSE)=VLOOKUP($A82,main!$A$3:$H$102,8,FALSE),VLOOKUP(AK$1,main!$A$3:$H$102,4,FALSE),VLOOKUP(AK$1,main!$A$3:$H$102,4,FALSE)+VLOOKUP($A82,main!$A$3:$H$102,4,FALSE)+(VLOOKUP(VLOOKUP(AK$1,main!$A$3:$H$102,8,FALSE),main!$K$19:$O$22,MATCH(VLOOKUP($A82,main!$A$3:$H$102,7,FALSE),main!$K$18:$O$18,0),0))),0)</f>
        <v>0</v>
      </c>
      <c r="AL82">
        <f>IF((gamma!AL82),IF(VLOOKUP(AL$1,main!$A$3:$H$102,7,FALSE)=VLOOKUP($A82,main!$A$3:$H$102,8,FALSE),VLOOKUP(AL$1,main!$A$3:$H$102,4,FALSE),VLOOKUP(AL$1,main!$A$3:$H$102,4,FALSE)+VLOOKUP($A82,main!$A$3:$H$102,4,FALSE)+(VLOOKUP(VLOOKUP(AL$1,main!$A$3:$H$102,8,FALSE),main!$K$19:$O$22,MATCH(VLOOKUP($A82,main!$A$3:$H$102,7,FALSE),main!$K$18:$O$18,0),0))),0)</f>
        <v>0</v>
      </c>
      <c r="AM82">
        <f>IF((gamma!AM82),IF(VLOOKUP(AM$1,main!$A$3:$H$102,7,FALSE)=VLOOKUP($A82,main!$A$3:$H$102,8,FALSE),VLOOKUP(AM$1,main!$A$3:$H$102,4,FALSE),VLOOKUP(AM$1,main!$A$3:$H$102,4,FALSE)+VLOOKUP($A82,main!$A$3:$H$102,4,FALSE)+(VLOOKUP(VLOOKUP(AM$1,main!$A$3:$H$102,8,FALSE),main!$K$19:$O$22,MATCH(VLOOKUP($A82,main!$A$3:$H$102,7,FALSE),main!$K$18:$O$18,0),0))),0)</f>
        <v>279</v>
      </c>
      <c r="AN82">
        <f>IF((gamma!AN82),IF(VLOOKUP(AN$1,main!$A$3:$H$102,7,FALSE)=VLOOKUP($A82,main!$A$3:$H$102,8,FALSE),VLOOKUP(AN$1,main!$A$3:$H$102,4,FALSE),VLOOKUP(AN$1,main!$A$3:$H$102,4,FALSE)+VLOOKUP($A82,main!$A$3:$H$102,4,FALSE)+(VLOOKUP(VLOOKUP(AN$1,main!$A$3:$H$102,8,FALSE),main!$K$19:$O$22,MATCH(VLOOKUP($A82,main!$A$3:$H$102,7,FALSE),main!$K$18:$O$18,0),0))),0)</f>
        <v>279</v>
      </c>
      <c r="AO82">
        <f>IF((gamma!AO82),IF(VLOOKUP(AO$1,main!$A$3:$H$102,7,FALSE)=VLOOKUP($A82,main!$A$3:$H$102,8,FALSE),VLOOKUP(AO$1,main!$A$3:$H$102,4,FALSE),VLOOKUP(AO$1,main!$A$3:$H$102,4,FALSE)+VLOOKUP($A82,main!$A$3:$H$102,4,FALSE)+(VLOOKUP(VLOOKUP(AO$1,main!$A$3:$H$102,8,FALSE),main!$K$19:$O$22,MATCH(VLOOKUP($A82,main!$A$3:$H$102,7,FALSE),main!$K$18:$O$18,0),0))),0)</f>
        <v>0</v>
      </c>
      <c r="AP82">
        <f>IF((gamma!AP82),IF(VLOOKUP(AP$1,main!$A$3:$H$102,7,FALSE)=VLOOKUP($A82,main!$A$3:$H$102,8,FALSE),VLOOKUP(AP$1,main!$A$3:$H$102,4,FALSE),VLOOKUP(AP$1,main!$A$3:$H$102,4,FALSE)+VLOOKUP($A82,main!$A$3:$H$102,4,FALSE)+(VLOOKUP(VLOOKUP(AP$1,main!$A$3:$H$102,8,FALSE),main!$K$19:$O$22,MATCH(VLOOKUP($A82,main!$A$3:$H$102,7,FALSE),main!$K$18:$O$18,0),0))),0)</f>
        <v>219</v>
      </c>
      <c r="AQ82">
        <f>IF((gamma!AQ82),IF(VLOOKUP(AQ$1,main!$A$3:$H$102,7,FALSE)=VLOOKUP($A82,main!$A$3:$H$102,8,FALSE),VLOOKUP(AQ$1,main!$A$3:$H$102,4,FALSE),VLOOKUP(AQ$1,main!$A$3:$H$102,4,FALSE)+VLOOKUP($A82,main!$A$3:$H$102,4,FALSE)+(VLOOKUP(VLOOKUP(AQ$1,main!$A$3:$H$102,8,FALSE),main!$K$19:$O$22,MATCH(VLOOKUP($A82,main!$A$3:$H$102,7,FALSE),main!$K$18:$O$18,0),0))),0)</f>
        <v>0</v>
      </c>
      <c r="AR82">
        <f>IF((gamma!AR82),IF(VLOOKUP(AR$1,main!$A$3:$H$102,7,FALSE)=VLOOKUP($A82,main!$A$3:$H$102,8,FALSE),VLOOKUP(AR$1,main!$A$3:$H$102,4,FALSE),VLOOKUP(AR$1,main!$A$3:$H$102,4,FALSE)+VLOOKUP($A82,main!$A$3:$H$102,4,FALSE)+(VLOOKUP(VLOOKUP(AR$1,main!$A$3:$H$102,8,FALSE),main!$K$19:$O$22,MATCH(VLOOKUP($A82,main!$A$3:$H$102,7,FALSE),main!$K$18:$O$18,0),0))),0)</f>
        <v>0</v>
      </c>
      <c r="AS82">
        <f>IF((gamma!AS82),IF(VLOOKUP(AS$1,main!$A$3:$H$102,7,FALSE)=VLOOKUP($A82,main!$A$3:$H$102,8,FALSE),VLOOKUP(AS$1,main!$A$3:$H$102,4,FALSE),VLOOKUP(AS$1,main!$A$3:$H$102,4,FALSE)+VLOOKUP($A82,main!$A$3:$H$102,4,FALSE)+(VLOOKUP(VLOOKUP(AS$1,main!$A$3:$H$102,8,FALSE),main!$K$19:$O$22,MATCH(VLOOKUP($A82,main!$A$3:$H$102,7,FALSE),main!$K$18:$O$18,0),0))),0)</f>
        <v>0</v>
      </c>
      <c r="AT82">
        <f>IF((gamma!AT82),IF(VLOOKUP(AT$1,main!$A$3:$H$102,7,FALSE)=VLOOKUP($A82,main!$A$3:$H$102,8,FALSE),VLOOKUP(AT$1,main!$A$3:$H$102,4,FALSE),VLOOKUP(AT$1,main!$A$3:$H$102,4,FALSE)+VLOOKUP($A82,main!$A$3:$H$102,4,FALSE)+(VLOOKUP(VLOOKUP(AT$1,main!$A$3:$H$102,8,FALSE),main!$K$19:$O$22,MATCH(VLOOKUP($A82,main!$A$3:$H$102,7,FALSE),main!$K$18:$O$18,0),0))),0)</f>
        <v>0</v>
      </c>
      <c r="AU82">
        <f>IF((gamma!AU82),IF(VLOOKUP(AU$1,main!$A$3:$H$102,7,FALSE)=VLOOKUP($A82,main!$A$3:$H$102,8,FALSE),VLOOKUP(AU$1,main!$A$3:$H$102,4,FALSE),VLOOKUP(AU$1,main!$A$3:$H$102,4,FALSE)+VLOOKUP($A82,main!$A$3:$H$102,4,FALSE)+(VLOOKUP(VLOOKUP(AU$1,main!$A$3:$H$102,8,FALSE),main!$K$19:$O$22,MATCH(VLOOKUP($A82,main!$A$3:$H$102,7,FALSE),main!$K$18:$O$18,0),0))),0)</f>
        <v>0</v>
      </c>
      <c r="AV82">
        <f>IF((gamma!AV82),IF(VLOOKUP(AV$1,main!$A$3:$H$102,7,FALSE)=VLOOKUP($A82,main!$A$3:$H$102,8,FALSE),VLOOKUP(AV$1,main!$A$3:$H$102,4,FALSE),VLOOKUP(AV$1,main!$A$3:$H$102,4,FALSE)+VLOOKUP($A82,main!$A$3:$H$102,4,FALSE)+(VLOOKUP(VLOOKUP(AV$1,main!$A$3:$H$102,8,FALSE),main!$K$19:$O$22,MATCH(VLOOKUP($A82,main!$A$3:$H$102,7,FALSE),main!$K$18:$O$18,0),0))),0)</f>
        <v>0</v>
      </c>
      <c r="AW82">
        <f>IF((gamma!AW82),IF(VLOOKUP(AW$1,main!$A$3:$H$102,7,FALSE)=VLOOKUP($A82,main!$A$3:$H$102,8,FALSE),VLOOKUP(AW$1,main!$A$3:$H$102,4,FALSE),VLOOKUP(AW$1,main!$A$3:$H$102,4,FALSE)+VLOOKUP($A82,main!$A$3:$H$102,4,FALSE)+(VLOOKUP(VLOOKUP(AW$1,main!$A$3:$H$102,8,FALSE),main!$K$19:$O$22,MATCH(VLOOKUP($A82,main!$A$3:$H$102,7,FALSE),main!$K$18:$O$18,0),0))),0)</f>
        <v>0</v>
      </c>
      <c r="AX82">
        <f>IF((gamma!AX82),IF(VLOOKUP(AX$1,main!$A$3:$H$102,7,FALSE)=VLOOKUP($A82,main!$A$3:$H$102,8,FALSE),VLOOKUP(AX$1,main!$A$3:$H$102,4,FALSE),VLOOKUP(AX$1,main!$A$3:$H$102,4,FALSE)+VLOOKUP($A82,main!$A$3:$H$102,4,FALSE)+(VLOOKUP(VLOOKUP(AX$1,main!$A$3:$H$102,8,FALSE),main!$K$19:$O$22,MATCH(VLOOKUP($A82,main!$A$3:$H$102,7,FALSE),main!$K$18:$O$18,0),0))),0)</f>
        <v>0</v>
      </c>
      <c r="AY82">
        <f>IF((gamma!AY82),IF(VLOOKUP(AY$1,main!$A$3:$H$102,7,FALSE)=VLOOKUP($A82,main!$A$3:$H$102,8,FALSE),VLOOKUP(AY$1,main!$A$3:$H$102,4,FALSE),VLOOKUP(AY$1,main!$A$3:$H$102,4,FALSE)+VLOOKUP($A82,main!$A$3:$H$102,4,FALSE)+(VLOOKUP(VLOOKUP(AY$1,main!$A$3:$H$102,8,FALSE),main!$K$19:$O$22,MATCH(VLOOKUP($A82,main!$A$3:$H$102,7,FALSE),main!$K$18:$O$18,0),0))),0)</f>
        <v>0</v>
      </c>
      <c r="AZ82">
        <f>IF((gamma!AZ82),IF(VLOOKUP(AZ$1,main!$A$3:$H$102,7,FALSE)=VLOOKUP($A82,main!$A$3:$H$102,8,FALSE),VLOOKUP(AZ$1,main!$A$3:$H$102,4,FALSE),VLOOKUP(AZ$1,main!$A$3:$H$102,4,FALSE)+VLOOKUP($A82,main!$A$3:$H$102,4,FALSE)+(VLOOKUP(VLOOKUP(AZ$1,main!$A$3:$H$102,8,FALSE),main!$K$19:$O$22,MATCH(VLOOKUP($A82,main!$A$3:$H$102,7,FALSE),main!$K$18:$O$18,0),0))),0)</f>
        <v>0</v>
      </c>
      <c r="BA82">
        <f>IF((gamma!BA82),IF(VLOOKUP(BA$1,main!$A$3:$H$102,7,FALSE)=VLOOKUP($A82,main!$A$3:$H$102,8,FALSE),VLOOKUP(BA$1,main!$A$3:$H$102,4,FALSE),VLOOKUP(BA$1,main!$A$3:$H$102,4,FALSE)+VLOOKUP($A82,main!$A$3:$H$102,4,FALSE)+(VLOOKUP(VLOOKUP(BA$1,main!$A$3:$H$102,8,FALSE),main!$K$19:$O$22,MATCH(VLOOKUP($A82,main!$A$3:$H$102,7,FALSE),main!$K$18:$O$18,0),0))),0)</f>
        <v>0</v>
      </c>
      <c r="BB82">
        <f>IF((gamma!BB82),IF(VLOOKUP(BB$1,main!$A$3:$H$102,7,FALSE)=VLOOKUP($A82,main!$A$3:$H$102,8,FALSE),VLOOKUP(BB$1,main!$A$3:$H$102,4,FALSE),VLOOKUP(BB$1,main!$A$3:$H$102,4,FALSE)+VLOOKUP($A82,main!$A$3:$H$102,4,FALSE)+(VLOOKUP(VLOOKUP(BB$1,main!$A$3:$H$102,8,FALSE),main!$K$19:$O$22,MATCH(VLOOKUP($A82,main!$A$3:$H$102,7,FALSE),main!$K$18:$O$18,0),0))),0)</f>
        <v>0</v>
      </c>
      <c r="BC82">
        <f>IF((gamma!BC82),IF(VLOOKUP(BC$1,main!$A$3:$H$102,7,FALSE)=VLOOKUP($A82,main!$A$3:$H$102,8,FALSE),VLOOKUP(BC$1,main!$A$3:$H$102,4,FALSE),VLOOKUP(BC$1,main!$A$3:$H$102,4,FALSE)+VLOOKUP($A82,main!$A$3:$H$102,4,FALSE)+(VLOOKUP(VLOOKUP(BC$1,main!$A$3:$H$102,8,FALSE),main!$K$19:$O$22,MATCH(VLOOKUP($A82,main!$A$3:$H$102,7,FALSE),main!$K$18:$O$18,0),0))),0)</f>
        <v>0</v>
      </c>
      <c r="BD82">
        <f>IF((gamma!BD82),IF(VLOOKUP(BD$1,main!$A$3:$H$102,7,FALSE)=VLOOKUP($A82,main!$A$3:$H$102,8,FALSE),VLOOKUP(BD$1,main!$A$3:$H$102,4,FALSE),VLOOKUP(BD$1,main!$A$3:$H$102,4,FALSE)+VLOOKUP($A82,main!$A$3:$H$102,4,FALSE)+(VLOOKUP(VLOOKUP(BD$1,main!$A$3:$H$102,8,FALSE),main!$K$19:$O$22,MATCH(VLOOKUP($A82,main!$A$3:$H$102,7,FALSE),main!$K$18:$O$18,0),0))),0)</f>
        <v>0</v>
      </c>
      <c r="BE82">
        <f>IF((gamma!BE82),IF(VLOOKUP(BE$1,main!$A$3:$H$102,7,FALSE)=VLOOKUP($A82,main!$A$3:$H$102,8,FALSE),VLOOKUP(BE$1,main!$A$3:$H$102,4,FALSE),VLOOKUP(BE$1,main!$A$3:$H$102,4,FALSE)+VLOOKUP($A82,main!$A$3:$H$102,4,FALSE)+(VLOOKUP(VLOOKUP(BE$1,main!$A$3:$H$102,8,FALSE),main!$K$19:$O$22,MATCH(VLOOKUP($A82,main!$A$3:$H$102,7,FALSE),main!$K$18:$O$18,0),0))),0)</f>
        <v>284</v>
      </c>
      <c r="BF82">
        <f>IF((gamma!BF82),IF(VLOOKUP(BF$1,main!$A$3:$H$102,7,FALSE)=VLOOKUP($A82,main!$A$3:$H$102,8,FALSE),VLOOKUP(BF$1,main!$A$3:$H$102,4,FALSE),VLOOKUP(BF$1,main!$A$3:$H$102,4,FALSE)+VLOOKUP($A82,main!$A$3:$H$102,4,FALSE)+(VLOOKUP(VLOOKUP(BF$1,main!$A$3:$H$102,8,FALSE),main!$K$19:$O$22,MATCH(VLOOKUP($A82,main!$A$3:$H$102,7,FALSE),main!$K$18:$O$18,0),0))),0)</f>
        <v>0</v>
      </c>
      <c r="BG82">
        <f>IF((gamma!BG82),IF(VLOOKUP(BG$1,main!$A$3:$H$102,7,FALSE)=VLOOKUP($A82,main!$A$3:$H$102,8,FALSE),VLOOKUP(BG$1,main!$A$3:$H$102,4,FALSE),VLOOKUP(BG$1,main!$A$3:$H$102,4,FALSE)+VLOOKUP($A82,main!$A$3:$H$102,4,FALSE)+(VLOOKUP(VLOOKUP(BG$1,main!$A$3:$H$102,8,FALSE),main!$K$19:$O$22,MATCH(VLOOKUP($A82,main!$A$3:$H$102,7,FALSE),main!$K$18:$O$18,0),0))),0)</f>
        <v>0</v>
      </c>
      <c r="BH82">
        <f>IF((gamma!BH82),IF(VLOOKUP(BH$1,main!$A$3:$H$102,7,FALSE)=VLOOKUP($A82,main!$A$3:$H$102,8,FALSE),VLOOKUP(BH$1,main!$A$3:$H$102,4,FALSE),VLOOKUP(BH$1,main!$A$3:$H$102,4,FALSE)+VLOOKUP($A82,main!$A$3:$H$102,4,FALSE)+(VLOOKUP(VLOOKUP(BH$1,main!$A$3:$H$102,8,FALSE),main!$K$19:$O$22,MATCH(VLOOKUP($A82,main!$A$3:$H$102,7,FALSE),main!$K$18:$O$18,0),0))),0)</f>
        <v>0</v>
      </c>
      <c r="BI82">
        <f>IF((gamma!BI82),IF(VLOOKUP(BI$1,main!$A$3:$H$102,7,FALSE)=VLOOKUP($A82,main!$A$3:$H$102,8,FALSE),VLOOKUP(BI$1,main!$A$3:$H$102,4,FALSE),VLOOKUP(BI$1,main!$A$3:$H$102,4,FALSE)+VLOOKUP($A82,main!$A$3:$H$102,4,FALSE)+(VLOOKUP(VLOOKUP(BI$1,main!$A$3:$H$102,8,FALSE),main!$K$19:$O$22,MATCH(VLOOKUP($A82,main!$A$3:$H$102,7,FALSE),main!$K$18:$O$18,0),0))),0)</f>
        <v>204</v>
      </c>
      <c r="BJ82">
        <f>IF((gamma!BJ82),IF(VLOOKUP(BJ$1,main!$A$3:$H$102,7,FALSE)=VLOOKUP($A82,main!$A$3:$H$102,8,FALSE),VLOOKUP(BJ$1,main!$A$3:$H$102,4,FALSE),VLOOKUP(BJ$1,main!$A$3:$H$102,4,FALSE)+VLOOKUP($A82,main!$A$3:$H$102,4,FALSE)+(VLOOKUP(VLOOKUP(BJ$1,main!$A$3:$H$102,8,FALSE),main!$K$19:$O$22,MATCH(VLOOKUP($A82,main!$A$3:$H$102,7,FALSE),main!$K$18:$O$18,0),0))),0)</f>
        <v>0</v>
      </c>
      <c r="BK82">
        <f>IF((gamma!BK82),IF(VLOOKUP(BK$1,main!$A$3:$H$102,7,FALSE)=VLOOKUP($A82,main!$A$3:$H$102,8,FALSE),VLOOKUP(BK$1,main!$A$3:$H$102,4,FALSE),VLOOKUP(BK$1,main!$A$3:$H$102,4,FALSE)+VLOOKUP($A82,main!$A$3:$H$102,4,FALSE)+(VLOOKUP(VLOOKUP(BK$1,main!$A$3:$H$102,8,FALSE),main!$K$19:$O$22,MATCH(VLOOKUP($A82,main!$A$3:$H$102,7,FALSE),main!$K$18:$O$18,0),0))),0)</f>
        <v>0</v>
      </c>
      <c r="BL82">
        <f>IF((gamma!BL82),IF(VLOOKUP(BL$1,main!$A$3:$H$102,7,FALSE)=VLOOKUP($A82,main!$A$3:$H$102,8,FALSE),VLOOKUP(BL$1,main!$A$3:$H$102,4,FALSE),VLOOKUP(BL$1,main!$A$3:$H$102,4,FALSE)+VLOOKUP($A82,main!$A$3:$H$102,4,FALSE)+(VLOOKUP(VLOOKUP(BL$1,main!$A$3:$H$102,8,FALSE),main!$K$19:$O$22,MATCH(VLOOKUP($A82,main!$A$3:$H$102,7,FALSE),main!$K$18:$O$18,0),0))),0)</f>
        <v>0</v>
      </c>
      <c r="BM82">
        <f>IF((gamma!BM82),IF(VLOOKUP(BM$1,main!$A$3:$H$102,7,FALSE)=VLOOKUP($A82,main!$A$3:$H$102,8,FALSE),VLOOKUP(BM$1,main!$A$3:$H$102,4,FALSE),VLOOKUP(BM$1,main!$A$3:$H$102,4,FALSE)+VLOOKUP($A82,main!$A$3:$H$102,4,FALSE)+(VLOOKUP(VLOOKUP(BM$1,main!$A$3:$H$102,8,FALSE),main!$K$19:$O$22,MATCH(VLOOKUP($A82,main!$A$3:$H$102,7,FALSE),main!$K$18:$O$18,0),0))),0)</f>
        <v>0</v>
      </c>
      <c r="BN82">
        <f>IF((gamma!BN82),IF(VLOOKUP(BN$1,main!$A$3:$H$102,7,FALSE)=VLOOKUP($A82,main!$A$3:$H$102,8,FALSE),VLOOKUP(BN$1,main!$A$3:$H$102,4,FALSE),VLOOKUP(BN$1,main!$A$3:$H$102,4,FALSE)+VLOOKUP($A82,main!$A$3:$H$102,4,FALSE)+(VLOOKUP(VLOOKUP(BN$1,main!$A$3:$H$102,8,FALSE),main!$K$19:$O$22,MATCH(VLOOKUP($A82,main!$A$3:$H$102,7,FALSE),main!$K$18:$O$18,0),0))),0)</f>
        <v>0</v>
      </c>
      <c r="BO82">
        <f>IF((gamma!BO82),IF(VLOOKUP(BO$1,main!$A$3:$H$102,7,FALSE)=VLOOKUP($A82,main!$A$3:$H$102,8,FALSE),VLOOKUP(BO$1,main!$A$3:$H$102,4,FALSE),VLOOKUP(BO$1,main!$A$3:$H$102,4,FALSE)+VLOOKUP($A82,main!$A$3:$H$102,4,FALSE)+(VLOOKUP(VLOOKUP(BO$1,main!$A$3:$H$102,8,FALSE),main!$K$19:$O$22,MATCH(VLOOKUP($A82,main!$A$3:$H$102,7,FALSE),main!$K$18:$O$18,0),0))),0)</f>
        <v>0</v>
      </c>
      <c r="BP82">
        <f>IF((gamma!BP82),IF(VLOOKUP(BP$1,main!$A$3:$H$102,7,FALSE)=VLOOKUP($A82,main!$A$3:$H$102,8,FALSE),VLOOKUP(BP$1,main!$A$3:$H$102,4,FALSE),VLOOKUP(BP$1,main!$A$3:$H$102,4,FALSE)+VLOOKUP($A82,main!$A$3:$H$102,4,FALSE)+(VLOOKUP(VLOOKUP(BP$1,main!$A$3:$H$102,8,FALSE),main!$K$19:$O$22,MATCH(VLOOKUP($A82,main!$A$3:$H$102,7,FALSE),main!$K$18:$O$18,0),0))),0)</f>
        <v>0</v>
      </c>
      <c r="BQ82">
        <f>IF((gamma!BQ82),IF(VLOOKUP(BQ$1,main!$A$3:$H$102,7,FALSE)=VLOOKUP($A82,main!$A$3:$H$102,8,FALSE),VLOOKUP(BQ$1,main!$A$3:$H$102,4,FALSE),VLOOKUP(BQ$1,main!$A$3:$H$102,4,FALSE)+VLOOKUP($A82,main!$A$3:$H$102,4,FALSE)+(VLOOKUP(VLOOKUP(BQ$1,main!$A$3:$H$102,8,FALSE),main!$K$19:$O$22,MATCH(VLOOKUP($A82,main!$A$3:$H$102,7,FALSE),main!$K$18:$O$18,0),0))),0)</f>
        <v>0</v>
      </c>
      <c r="BR82">
        <f>IF((gamma!BR82),IF(VLOOKUP(BR$1,main!$A$3:$H$102,7,FALSE)=VLOOKUP($A82,main!$A$3:$H$102,8,FALSE),VLOOKUP(BR$1,main!$A$3:$H$102,4,FALSE),VLOOKUP(BR$1,main!$A$3:$H$102,4,FALSE)+VLOOKUP($A82,main!$A$3:$H$102,4,FALSE)+(VLOOKUP(VLOOKUP(BR$1,main!$A$3:$H$102,8,FALSE),main!$K$19:$O$22,MATCH(VLOOKUP($A82,main!$A$3:$H$102,7,FALSE),main!$K$18:$O$18,0),0))),0)</f>
        <v>0</v>
      </c>
      <c r="BS82">
        <f>IF((gamma!BS82),IF(VLOOKUP(BS$1,main!$A$3:$H$102,7,FALSE)=VLOOKUP($A82,main!$A$3:$H$102,8,FALSE),VLOOKUP(BS$1,main!$A$3:$H$102,4,FALSE),VLOOKUP(BS$1,main!$A$3:$H$102,4,FALSE)+VLOOKUP($A82,main!$A$3:$H$102,4,FALSE)+(VLOOKUP(VLOOKUP(BS$1,main!$A$3:$H$102,8,FALSE),main!$K$19:$O$22,MATCH(VLOOKUP($A82,main!$A$3:$H$102,7,FALSE),main!$K$18:$O$18,0),0))),0)</f>
        <v>0</v>
      </c>
      <c r="BT82">
        <f>IF((gamma!BT82),IF(VLOOKUP(BT$1,main!$A$3:$H$102,7,FALSE)=VLOOKUP($A82,main!$A$3:$H$102,8,FALSE),VLOOKUP(BT$1,main!$A$3:$H$102,4,FALSE),VLOOKUP(BT$1,main!$A$3:$H$102,4,FALSE)+VLOOKUP($A82,main!$A$3:$H$102,4,FALSE)+(VLOOKUP(VLOOKUP(BT$1,main!$A$3:$H$102,8,FALSE),main!$K$19:$O$22,MATCH(VLOOKUP($A82,main!$A$3:$H$102,7,FALSE),main!$K$18:$O$18,0),0))),0)</f>
        <v>0</v>
      </c>
      <c r="BU82">
        <f>IF((gamma!BU82),IF(VLOOKUP(BU$1,main!$A$3:$H$102,7,FALSE)=VLOOKUP($A82,main!$A$3:$H$102,8,FALSE),VLOOKUP(BU$1,main!$A$3:$H$102,4,FALSE),VLOOKUP(BU$1,main!$A$3:$H$102,4,FALSE)+VLOOKUP($A82,main!$A$3:$H$102,4,FALSE)+(VLOOKUP(VLOOKUP(BU$1,main!$A$3:$H$102,8,FALSE),main!$K$19:$O$22,MATCH(VLOOKUP($A82,main!$A$3:$H$102,7,FALSE),main!$K$18:$O$18,0),0))),0)</f>
        <v>0</v>
      </c>
      <c r="BV82">
        <f>IF((gamma!BV82),IF(VLOOKUP(BV$1,main!$A$3:$H$102,7,FALSE)=VLOOKUP($A82,main!$A$3:$H$102,8,FALSE),VLOOKUP(BV$1,main!$A$3:$H$102,4,FALSE),VLOOKUP(BV$1,main!$A$3:$H$102,4,FALSE)+VLOOKUP($A82,main!$A$3:$H$102,4,FALSE)+(VLOOKUP(VLOOKUP(BV$1,main!$A$3:$H$102,8,FALSE),main!$K$19:$O$22,MATCH(VLOOKUP($A82,main!$A$3:$H$102,7,FALSE),main!$K$18:$O$18,0),0))),0)</f>
        <v>0</v>
      </c>
      <c r="BW82">
        <f>IF((gamma!BW82),IF(VLOOKUP(BW$1,main!$A$3:$H$102,7,FALSE)=VLOOKUP($A82,main!$A$3:$H$102,8,FALSE),VLOOKUP(BW$1,main!$A$3:$H$102,4,FALSE),VLOOKUP(BW$1,main!$A$3:$H$102,4,FALSE)+VLOOKUP($A82,main!$A$3:$H$102,4,FALSE)+(VLOOKUP(VLOOKUP(BW$1,main!$A$3:$H$102,8,FALSE),main!$K$19:$O$22,MATCH(VLOOKUP($A82,main!$A$3:$H$102,7,FALSE),main!$K$18:$O$18,0),0))),0)</f>
        <v>0</v>
      </c>
      <c r="BX82">
        <f>IF((gamma!BX82),IF(VLOOKUP(BX$1,main!$A$3:$H$102,7,FALSE)=VLOOKUP($A82,main!$A$3:$H$102,8,FALSE),VLOOKUP(BX$1,main!$A$3:$H$102,4,FALSE),VLOOKUP(BX$1,main!$A$3:$H$102,4,FALSE)+VLOOKUP($A82,main!$A$3:$H$102,4,FALSE)+(VLOOKUP(VLOOKUP(BX$1,main!$A$3:$H$102,8,FALSE),main!$K$19:$O$22,MATCH(VLOOKUP($A82,main!$A$3:$H$102,7,FALSE),main!$K$18:$O$18,0),0))),0)</f>
        <v>0</v>
      </c>
      <c r="BY82">
        <f>IF((gamma!BY82),IF(VLOOKUP(BY$1,main!$A$3:$H$102,7,FALSE)=VLOOKUP($A82,main!$A$3:$H$102,8,FALSE),VLOOKUP(BY$1,main!$A$3:$H$102,4,FALSE),VLOOKUP(BY$1,main!$A$3:$H$102,4,FALSE)+VLOOKUP($A82,main!$A$3:$H$102,4,FALSE)+(VLOOKUP(VLOOKUP(BY$1,main!$A$3:$H$102,8,FALSE),main!$K$19:$O$22,MATCH(VLOOKUP($A82,main!$A$3:$H$102,7,FALSE),main!$K$18:$O$18,0),0))),0)</f>
        <v>0</v>
      </c>
      <c r="BZ82">
        <f>IF((gamma!BZ82),IF(VLOOKUP(BZ$1,main!$A$3:$H$102,7,FALSE)=VLOOKUP($A82,main!$A$3:$H$102,8,FALSE),VLOOKUP(BZ$1,main!$A$3:$H$102,4,FALSE),VLOOKUP(BZ$1,main!$A$3:$H$102,4,FALSE)+VLOOKUP($A82,main!$A$3:$H$102,4,FALSE)+(VLOOKUP(VLOOKUP(BZ$1,main!$A$3:$H$102,8,FALSE),main!$K$19:$O$22,MATCH(VLOOKUP($A82,main!$A$3:$H$102,7,FALSE),main!$K$18:$O$18,0),0))),0)</f>
        <v>0</v>
      </c>
      <c r="CA82">
        <f>IF((gamma!CA82),IF(VLOOKUP(CA$1,main!$A$3:$H$102,7,FALSE)=VLOOKUP($A82,main!$A$3:$H$102,8,FALSE),VLOOKUP(CA$1,main!$A$3:$H$102,4,FALSE),VLOOKUP(CA$1,main!$A$3:$H$102,4,FALSE)+VLOOKUP($A82,main!$A$3:$H$102,4,FALSE)+(VLOOKUP(VLOOKUP(CA$1,main!$A$3:$H$102,8,FALSE),main!$K$19:$O$22,MATCH(VLOOKUP($A82,main!$A$3:$H$102,7,FALSE),main!$K$18:$O$18,0),0))),0)</f>
        <v>0</v>
      </c>
      <c r="CB82">
        <f>IF((gamma!CB82),IF(VLOOKUP(CB$1,main!$A$3:$H$102,7,FALSE)=VLOOKUP($A82,main!$A$3:$H$102,8,FALSE),VLOOKUP(CB$1,main!$A$3:$H$102,4,FALSE),VLOOKUP(CB$1,main!$A$3:$H$102,4,FALSE)+VLOOKUP($A82,main!$A$3:$H$102,4,FALSE)+(VLOOKUP(VLOOKUP(CB$1,main!$A$3:$H$102,8,FALSE),main!$K$19:$O$22,MATCH(VLOOKUP($A82,main!$A$3:$H$102,7,FALSE),main!$K$18:$O$18,0),0))),0)</f>
        <v>0</v>
      </c>
      <c r="CC82">
        <f>IF((gamma!CC82),IF(VLOOKUP(CC$1,main!$A$3:$H$102,7,FALSE)=VLOOKUP($A82,main!$A$3:$H$102,8,FALSE),VLOOKUP(CC$1,main!$A$3:$H$102,4,FALSE),VLOOKUP(CC$1,main!$A$3:$H$102,4,FALSE)+VLOOKUP($A82,main!$A$3:$H$102,4,FALSE)+(VLOOKUP(VLOOKUP(CC$1,main!$A$3:$H$102,8,FALSE),main!$K$19:$O$22,MATCH(VLOOKUP($A82,main!$A$3:$H$102,7,FALSE),main!$K$18:$O$18,0),0))),0)</f>
        <v>202</v>
      </c>
      <c r="CD82">
        <f>IF((gamma!CD82),IF(VLOOKUP(CD$1,main!$A$3:$H$102,7,FALSE)=VLOOKUP($A82,main!$A$3:$H$102,8,FALSE),VLOOKUP(CD$1,main!$A$3:$H$102,4,FALSE),VLOOKUP(CD$1,main!$A$3:$H$102,4,FALSE)+VLOOKUP($A82,main!$A$3:$H$102,4,FALSE)+(VLOOKUP(VLOOKUP(CD$1,main!$A$3:$H$102,8,FALSE),main!$K$19:$O$22,MATCH(VLOOKUP($A82,main!$A$3:$H$102,7,FALSE),main!$K$18:$O$18,0),0))),0)</f>
        <v>0</v>
      </c>
      <c r="CE82">
        <f>IF((gamma!CE82),IF(VLOOKUP(CE$1,main!$A$3:$H$102,7,FALSE)=VLOOKUP($A82,main!$A$3:$H$102,8,FALSE),VLOOKUP(CE$1,main!$A$3:$H$102,4,FALSE),VLOOKUP(CE$1,main!$A$3:$H$102,4,FALSE)+VLOOKUP($A82,main!$A$3:$H$102,4,FALSE)+(VLOOKUP(VLOOKUP(CE$1,main!$A$3:$H$102,8,FALSE),main!$K$19:$O$22,MATCH(VLOOKUP($A82,main!$A$3:$H$102,7,FALSE),main!$K$18:$O$18,0),0))),0)</f>
        <v>0</v>
      </c>
      <c r="CF82">
        <f>IF((gamma!CF82),IF(VLOOKUP(CF$1,main!$A$3:$H$102,7,FALSE)=VLOOKUP($A82,main!$A$3:$H$102,8,FALSE),VLOOKUP(CF$1,main!$A$3:$H$102,4,FALSE),VLOOKUP(CF$1,main!$A$3:$H$102,4,FALSE)+VLOOKUP($A82,main!$A$3:$H$102,4,FALSE)+(VLOOKUP(VLOOKUP(CF$1,main!$A$3:$H$102,8,FALSE),main!$K$19:$O$22,MATCH(VLOOKUP($A82,main!$A$3:$H$102,7,FALSE),main!$K$18:$O$18,0),0))),0)</f>
        <v>0</v>
      </c>
      <c r="CG82">
        <f>IF((gamma!CG82),IF(VLOOKUP(CG$1,main!$A$3:$H$102,7,FALSE)=VLOOKUP($A82,main!$A$3:$H$102,8,FALSE),VLOOKUP(CG$1,main!$A$3:$H$102,4,FALSE),VLOOKUP(CG$1,main!$A$3:$H$102,4,FALSE)+VLOOKUP($A82,main!$A$3:$H$102,4,FALSE)+(VLOOKUP(VLOOKUP(CG$1,main!$A$3:$H$102,8,FALSE),main!$K$19:$O$22,MATCH(VLOOKUP($A82,main!$A$3:$H$102,7,FALSE),main!$K$18:$O$18,0),0))),0)</f>
        <v>0</v>
      </c>
      <c r="CH82">
        <f>IF((gamma!CH82),IF(VLOOKUP(CH$1,main!$A$3:$H$102,7,FALSE)=VLOOKUP($A82,main!$A$3:$H$102,8,FALSE),VLOOKUP(CH$1,main!$A$3:$H$102,4,FALSE),VLOOKUP(CH$1,main!$A$3:$H$102,4,FALSE)+VLOOKUP($A82,main!$A$3:$H$102,4,FALSE)+(VLOOKUP(VLOOKUP(CH$1,main!$A$3:$H$102,8,FALSE),main!$K$19:$O$22,MATCH(VLOOKUP($A82,main!$A$3:$H$102,7,FALSE),main!$K$18:$O$18,0),0))),0)</f>
        <v>140</v>
      </c>
      <c r="CI82">
        <f>IF((gamma!CI82),IF(VLOOKUP(CI$1,main!$A$3:$H$102,7,FALSE)=VLOOKUP($A82,main!$A$3:$H$102,8,FALSE),VLOOKUP(CI$1,main!$A$3:$H$102,4,FALSE),VLOOKUP(CI$1,main!$A$3:$H$102,4,FALSE)+VLOOKUP($A82,main!$A$3:$H$102,4,FALSE)+(VLOOKUP(VLOOKUP(CI$1,main!$A$3:$H$102,8,FALSE),main!$K$19:$O$22,MATCH(VLOOKUP($A82,main!$A$3:$H$102,7,FALSE),main!$K$18:$O$18,0),0))),0)</f>
        <v>140</v>
      </c>
      <c r="CJ82">
        <f>IF((gamma!CJ82),IF(VLOOKUP(CJ$1,main!$A$3:$H$102,7,FALSE)=VLOOKUP($A82,main!$A$3:$H$102,8,FALSE),VLOOKUP(CJ$1,main!$A$3:$H$102,4,FALSE),VLOOKUP(CJ$1,main!$A$3:$H$102,4,FALSE)+VLOOKUP($A82,main!$A$3:$H$102,4,FALSE)+(VLOOKUP(VLOOKUP(CJ$1,main!$A$3:$H$102,8,FALSE),main!$K$19:$O$22,MATCH(VLOOKUP($A82,main!$A$3:$H$102,7,FALSE),main!$K$18:$O$18,0),0))),0)</f>
        <v>0</v>
      </c>
      <c r="CK82">
        <f>IF((gamma!CK82),IF(VLOOKUP(CK$1,main!$A$3:$H$102,7,FALSE)=VLOOKUP($A82,main!$A$3:$H$102,8,FALSE),VLOOKUP(CK$1,main!$A$3:$H$102,4,FALSE),VLOOKUP(CK$1,main!$A$3:$H$102,4,FALSE)+VLOOKUP($A82,main!$A$3:$H$102,4,FALSE)+(VLOOKUP(VLOOKUP(CK$1,main!$A$3:$H$102,8,FALSE),main!$K$19:$O$22,MATCH(VLOOKUP($A82,main!$A$3:$H$102,7,FALSE),main!$K$18:$O$18,0),0))),0)</f>
        <v>0</v>
      </c>
      <c r="CL82">
        <f>IF((gamma!CL82),IF(VLOOKUP(CL$1,main!$A$3:$H$102,7,FALSE)=VLOOKUP($A82,main!$A$3:$H$102,8,FALSE),VLOOKUP(CL$1,main!$A$3:$H$102,4,FALSE),VLOOKUP(CL$1,main!$A$3:$H$102,4,FALSE)+VLOOKUP($A82,main!$A$3:$H$102,4,FALSE)+(VLOOKUP(VLOOKUP(CL$1,main!$A$3:$H$102,8,FALSE),main!$K$19:$O$22,MATCH(VLOOKUP($A82,main!$A$3:$H$102,7,FALSE),main!$K$18:$O$18,0),0))),0)</f>
        <v>0</v>
      </c>
      <c r="CM82">
        <f>IF((gamma!CM82),IF(VLOOKUP(CM$1,main!$A$3:$H$102,7,FALSE)=VLOOKUP($A82,main!$A$3:$H$102,8,FALSE),VLOOKUP(CM$1,main!$A$3:$H$102,4,FALSE),VLOOKUP(CM$1,main!$A$3:$H$102,4,FALSE)+VLOOKUP($A82,main!$A$3:$H$102,4,FALSE)+(VLOOKUP(VLOOKUP(CM$1,main!$A$3:$H$102,8,FALSE),main!$K$19:$O$22,MATCH(VLOOKUP($A82,main!$A$3:$H$102,7,FALSE),main!$K$18:$O$18,0),0))),0)</f>
        <v>0</v>
      </c>
      <c r="CN82">
        <f>IF((gamma!CN82),IF(VLOOKUP(CN$1,main!$A$3:$H$102,7,FALSE)=VLOOKUP($A82,main!$A$3:$H$102,8,FALSE),VLOOKUP(CN$1,main!$A$3:$H$102,4,FALSE),VLOOKUP(CN$1,main!$A$3:$H$102,4,FALSE)+VLOOKUP($A82,main!$A$3:$H$102,4,FALSE)+(VLOOKUP(VLOOKUP(CN$1,main!$A$3:$H$102,8,FALSE),main!$K$19:$O$22,MATCH(VLOOKUP($A82,main!$A$3:$H$102,7,FALSE),main!$K$18:$O$18,0),0))),0)</f>
        <v>96</v>
      </c>
      <c r="CO82">
        <f>IF((gamma!CO82),IF(VLOOKUP(CO$1,main!$A$3:$H$102,7,FALSE)=VLOOKUP($A82,main!$A$3:$H$102,8,FALSE),VLOOKUP(CO$1,main!$A$3:$H$102,4,FALSE),VLOOKUP(CO$1,main!$A$3:$H$102,4,FALSE)+VLOOKUP($A82,main!$A$3:$H$102,4,FALSE)+(VLOOKUP(VLOOKUP(CO$1,main!$A$3:$H$102,8,FALSE),main!$K$19:$O$22,MATCH(VLOOKUP($A82,main!$A$3:$H$102,7,FALSE),main!$K$18:$O$18,0),0))),0)</f>
        <v>0</v>
      </c>
      <c r="CP82">
        <f>IF((gamma!CP82),IF(VLOOKUP(CP$1,main!$A$3:$H$102,7,FALSE)=VLOOKUP($A82,main!$A$3:$H$102,8,FALSE),VLOOKUP(CP$1,main!$A$3:$H$102,4,FALSE),VLOOKUP(CP$1,main!$A$3:$H$102,4,FALSE)+VLOOKUP($A82,main!$A$3:$H$102,4,FALSE)+(VLOOKUP(VLOOKUP(CP$1,main!$A$3:$H$102,8,FALSE),main!$K$19:$O$22,MATCH(VLOOKUP($A82,main!$A$3:$H$102,7,FALSE),main!$K$18:$O$18,0),0))),0)</f>
        <v>0</v>
      </c>
      <c r="CQ82">
        <f>IF((gamma!CQ82),IF(VLOOKUP(CQ$1,main!$A$3:$H$102,7,FALSE)=VLOOKUP($A82,main!$A$3:$H$102,8,FALSE),VLOOKUP(CQ$1,main!$A$3:$H$102,4,FALSE),VLOOKUP(CQ$1,main!$A$3:$H$102,4,FALSE)+VLOOKUP($A82,main!$A$3:$H$102,4,FALSE)+(VLOOKUP(VLOOKUP(CQ$1,main!$A$3:$H$102,8,FALSE),main!$K$19:$O$22,MATCH(VLOOKUP($A82,main!$A$3:$H$102,7,FALSE),main!$K$18:$O$18,0),0))),0)</f>
        <v>0</v>
      </c>
      <c r="CR82">
        <f>IF((gamma!CR82),IF(VLOOKUP(CR$1,main!$A$3:$H$102,7,FALSE)=VLOOKUP($A82,main!$A$3:$H$102,8,FALSE),VLOOKUP(CR$1,main!$A$3:$H$102,4,FALSE),VLOOKUP(CR$1,main!$A$3:$H$102,4,FALSE)+VLOOKUP($A82,main!$A$3:$H$102,4,FALSE)+(VLOOKUP(VLOOKUP(CR$1,main!$A$3:$H$102,8,FALSE),main!$K$19:$O$22,MATCH(VLOOKUP($A82,main!$A$3:$H$102,7,FALSE),main!$K$18:$O$18,0),0))),0)</f>
        <v>0</v>
      </c>
      <c r="CS82">
        <f>IF((gamma!CS82),IF(VLOOKUP(CS$1,main!$A$3:$H$102,7,FALSE)=VLOOKUP($A82,main!$A$3:$H$102,8,FALSE),VLOOKUP(CS$1,main!$A$3:$H$102,4,FALSE),VLOOKUP(CS$1,main!$A$3:$H$102,4,FALSE)+VLOOKUP($A82,main!$A$3:$H$102,4,FALSE)+(VLOOKUP(VLOOKUP(CS$1,main!$A$3:$H$102,8,FALSE),main!$K$19:$O$22,MATCH(VLOOKUP($A82,main!$A$3:$H$102,7,FALSE),main!$K$18:$O$18,0),0))),0)</f>
        <v>0</v>
      </c>
      <c r="CT82">
        <f>IF((gamma!CT82),IF(VLOOKUP(CT$1,main!$A$3:$H$102,7,FALSE)=VLOOKUP($A82,main!$A$3:$H$102,8,FALSE),VLOOKUP(CT$1,main!$A$3:$H$102,4,FALSE),VLOOKUP(CT$1,main!$A$3:$H$102,4,FALSE)+VLOOKUP($A82,main!$A$3:$H$102,4,FALSE)+(VLOOKUP(VLOOKUP(CT$1,main!$A$3:$H$102,8,FALSE),main!$K$19:$O$22,MATCH(VLOOKUP($A82,main!$A$3:$H$102,7,FALSE),main!$K$18:$O$18,0),0))),0)</f>
        <v>0</v>
      </c>
      <c r="CU82">
        <f>IF((gamma!CU82),IF(VLOOKUP(CU$1,main!$A$3:$H$102,7,FALSE)=VLOOKUP($A82,main!$A$3:$H$102,8,FALSE),VLOOKUP(CU$1,main!$A$3:$H$102,4,FALSE),VLOOKUP(CU$1,main!$A$3:$H$102,4,FALSE)+VLOOKUP($A82,main!$A$3:$H$102,4,FALSE)+(VLOOKUP(VLOOKUP(CU$1,main!$A$3:$H$102,8,FALSE),main!$K$19:$O$22,MATCH(VLOOKUP($A82,main!$A$3:$H$102,7,FALSE),main!$K$18:$O$18,0),0))),0)</f>
        <v>0</v>
      </c>
      <c r="CV82">
        <f>IF((gamma!CV82),IF(VLOOKUP(CV$1,main!$A$3:$H$102,7,FALSE)=VLOOKUP($A82,main!$A$3:$H$102,8,FALSE),VLOOKUP(CV$1,main!$A$3:$H$102,4,FALSE),VLOOKUP(CV$1,main!$A$3:$H$102,4,FALSE)+VLOOKUP($A82,main!$A$3:$H$102,4,FALSE)+(VLOOKUP(VLOOKUP(CV$1,main!$A$3:$H$102,8,FALSE),main!$K$19:$O$22,MATCH(VLOOKUP($A82,main!$A$3:$H$102,7,FALSE),main!$K$18:$O$18,0),0))),0)</f>
        <v>0</v>
      </c>
      <c r="CW82">
        <f>IF((gamma!CW82),IF(VLOOKUP(CW$1,main!$A$3:$H$102,7,FALSE)=VLOOKUP($A82,main!$A$3:$H$102,8,FALSE),VLOOKUP(CW$1,main!$A$3:$H$102,4,FALSE),VLOOKUP(CW$1,main!$A$3:$H$102,4,FALSE)+VLOOKUP($A82,main!$A$3:$H$102,4,FALSE)+(VLOOKUP(VLOOKUP(CW$1,main!$A$3:$H$102,8,FALSE),main!$K$19:$O$22,MATCH(VLOOKUP($A82,main!$A$3:$H$102,7,FALSE),main!$K$18:$O$18,0),0))),0)</f>
        <v>0</v>
      </c>
      <c r="CX82">
        <f>IF((gamma!CX82),IF(VLOOKUP(CX$1,main!$A$3:$H$102,7,FALSE)=VLOOKUP($A82,main!$A$3:$H$102,8,FALSE),VLOOKUP(CX$1,main!$A$3:$H$102,4,FALSE),VLOOKUP(CX$1,main!$A$3:$H$102,4,FALSE)+VLOOKUP($A82,main!$A$3:$H$102,4,FALSE)+(VLOOKUP(VLOOKUP(CX$1,main!$A$3:$H$102,8,FALSE),main!$K$19:$O$22,MATCH(VLOOKUP($A82,main!$A$3:$H$102,7,FALSE),main!$K$18:$O$18,0),0))),0)</f>
        <v>85</v>
      </c>
      <c r="CY82">
        <v>0</v>
      </c>
      <c r="CZ82">
        <v>0</v>
      </c>
      <c r="DA82">
        <v>0</v>
      </c>
    </row>
    <row r="83" spans="1:105" x14ac:dyDescent="0.25">
      <c r="A83" s="1">
        <v>81</v>
      </c>
      <c r="B83">
        <v>0</v>
      </c>
      <c r="C83">
        <f>IF((gamma!C83),IF(VLOOKUP(C$1,main!$A$3:$H$102,7,FALSE)=VLOOKUP($A83,main!$A$3:$H$102,8,FALSE),VLOOKUP(C$1,main!$A$3:$H$102,4,FALSE),VLOOKUP(C$1,main!$A$3:$H$102,4,FALSE)+VLOOKUP($A83,main!$A$3:$H$102,4,FALSE)+(VLOOKUP(VLOOKUP(C$1,main!$A$3:$H$102,8,FALSE),main!$K$19:$O$22,MATCH(VLOOKUP($A83,main!$A$3:$H$102,7,FALSE),main!$K$18:$O$18,0),0))),0)</f>
        <v>0</v>
      </c>
      <c r="D83">
        <f>IF((gamma!D83),IF(VLOOKUP(D$1,main!$A$3:$H$102,7,FALSE)=VLOOKUP($A83,main!$A$3:$H$102,8,FALSE),VLOOKUP(D$1,main!$A$3:$H$102,4,FALSE),VLOOKUP(D$1,main!$A$3:$H$102,4,FALSE)+VLOOKUP($A83,main!$A$3:$H$102,4,FALSE)+(VLOOKUP(VLOOKUP(D$1,main!$A$3:$H$102,8,FALSE),main!$K$19:$O$22,MATCH(VLOOKUP($A83,main!$A$3:$H$102,7,FALSE),main!$K$18:$O$18,0),0))),0)</f>
        <v>0</v>
      </c>
      <c r="E83">
        <f>IF((gamma!E83),IF(VLOOKUP(E$1,main!$A$3:$H$102,7,FALSE)=VLOOKUP($A83,main!$A$3:$H$102,8,FALSE),VLOOKUP(E$1,main!$A$3:$H$102,4,FALSE),VLOOKUP(E$1,main!$A$3:$H$102,4,FALSE)+VLOOKUP($A83,main!$A$3:$H$102,4,FALSE)+(VLOOKUP(VLOOKUP(E$1,main!$A$3:$H$102,8,FALSE),main!$K$19:$O$22,MATCH(VLOOKUP($A83,main!$A$3:$H$102,7,FALSE),main!$K$18:$O$18,0),0))),0)</f>
        <v>0</v>
      </c>
      <c r="F83">
        <f>IF((gamma!F83),IF(VLOOKUP(F$1,main!$A$3:$H$102,7,FALSE)=VLOOKUP($A83,main!$A$3:$H$102,8,FALSE),VLOOKUP(F$1,main!$A$3:$H$102,4,FALSE),VLOOKUP(F$1,main!$A$3:$H$102,4,FALSE)+VLOOKUP($A83,main!$A$3:$H$102,4,FALSE)+(VLOOKUP(VLOOKUP(F$1,main!$A$3:$H$102,8,FALSE),main!$K$19:$O$22,MATCH(VLOOKUP($A83,main!$A$3:$H$102,7,FALSE),main!$K$18:$O$18,0),0))),0)</f>
        <v>0</v>
      </c>
      <c r="G83">
        <f>IF((gamma!G83),IF(VLOOKUP(G$1,main!$A$3:$H$102,7,FALSE)=VLOOKUP($A83,main!$A$3:$H$102,8,FALSE),VLOOKUP(G$1,main!$A$3:$H$102,4,FALSE),VLOOKUP(G$1,main!$A$3:$H$102,4,FALSE)+VLOOKUP($A83,main!$A$3:$H$102,4,FALSE)+(VLOOKUP(VLOOKUP(G$1,main!$A$3:$H$102,8,FALSE),main!$K$19:$O$22,MATCH(VLOOKUP($A83,main!$A$3:$H$102,7,FALSE),main!$K$18:$O$18,0),0))),0)</f>
        <v>0</v>
      </c>
      <c r="H83">
        <f>IF((gamma!H83),IF(VLOOKUP(H$1,main!$A$3:$H$102,7,FALSE)=VLOOKUP($A83,main!$A$3:$H$102,8,FALSE),VLOOKUP(H$1,main!$A$3:$H$102,4,FALSE),VLOOKUP(H$1,main!$A$3:$H$102,4,FALSE)+VLOOKUP($A83,main!$A$3:$H$102,4,FALSE)+(VLOOKUP(VLOOKUP(H$1,main!$A$3:$H$102,8,FALSE),main!$K$19:$O$22,MATCH(VLOOKUP($A83,main!$A$3:$H$102,7,FALSE),main!$K$18:$O$18,0),0))),0)</f>
        <v>135</v>
      </c>
      <c r="I83">
        <f>IF((gamma!I83),IF(VLOOKUP(I$1,main!$A$3:$H$102,7,FALSE)=VLOOKUP($A83,main!$A$3:$H$102,8,FALSE),VLOOKUP(I$1,main!$A$3:$H$102,4,FALSE),VLOOKUP(I$1,main!$A$3:$H$102,4,FALSE)+VLOOKUP($A83,main!$A$3:$H$102,4,FALSE)+(VLOOKUP(VLOOKUP(I$1,main!$A$3:$H$102,8,FALSE),main!$K$19:$O$22,MATCH(VLOOKUP($A83,main!$A$3:$H$102,7,FALSE),main!$K$18:$O$18,0),0))),0)</f>
        <v>135</v>
      </c>
      <c r="J83">
        <f>IF((gamma!J83),IF(VLOOKUP(J$1,main!$A$3:$H$102,7,FALSE)=VLOOKUP($A83,main!$A$3:$H$102,8,FALSE),VLOOKUP(J$1,main!$A$3:$H$102,4,FALSE),VLOOKUP(J$1,main!$A$3:$H$102,4,FALSE)+VLOOKUP($A83,main!$A$3:$H$102,4,FALSE)+(VLOOKUP(VLOOKUP(J$1,main!$A$3:$H$102,8,FALSE),main!$K$19:$O$22,MATCH(VLOOKUP($A83,main!$A$3:$H$102,7,FALSE),main!$K$18:$O$18,0),0))),0)</f>
        <v>135</v>
      </c>
      <c r="K83">
        <f>IF((gamma!K83),IF(VLOOKUP(K$1,main!$A$3:$H$102,7,FALSE)=VLOOKUP($A83,main!$A$3:$H$102,8,FALSE),VLOOKUP(K$1,main!$A$3:$H$102,4,FALSE),VLOOKUP(K$1,main!$A$3:$H$102,4,FALSE)+VLOOKUP($A83,main!$A$3:$H$102,4,FALSE)+(VLOOKUP(VLOOKUP(K$1,main!$A$3:$H$102,8,FALSE),main!$K$19:$O$22,MATCH(VLOOKUP($A83,main!$A$3:$H$102,7,FALSE),main!$K$18:$O$18,0),0))),0)</f>
        <v>135</v>
      </c>
      <c r="L83">
        <f>IF((gamma!L83),IF(VLOOKUP(L$1,main!$A$3:$H$102,7,FALSE)=VLOOKUP($A83,main!$A$3:$H$102,8,FALSE),VLOOKUP(L$1,main!$A$3:$H$102,4,FALSE),VLOOKUP(L$1,main!$A$3:$H$102,4,FALSE)+VLOOKUP($A83,main!$A$3:$H$102,4,FALSE)+(VLOOKUP(VLOOKUP(L$1,main!$A$3:$H$102,8,FALSE),main!$K$19:$O$22,MATCH(VLOOKUP($A83,main!$A$3:$H$102,7,FALSE),main!$K$18:$O$18,0),0))),0)</f>
        <v>135</v>
      </c>
      <c r="M83">
        <f>IF((gamma!M83),IF(VLOOKUP(M$1,main!$A$3:$H$102,7,FALSE)=VLOOKUP($A83,main!$A$3:$H$102,8,FALSE),VLOOKUP(M$1,main!$A$3:$H$102,4,FALSE),VLOOKUP(M$1,main!$A$3:$H$102,4,FALSE)+VLOOKUP($A83,main!$A$3:$H$102,4,FALSE)+(VLOOKUP(VLOOKUP(M$1,main!$A$3:$H$102,8,FALSE),main!$K$19:$O$22,MATCH(VLOOKUP($A83,main!$A$3:$H$102,7,FALSE),main!$K$18:$O$18,0),0))),0)</f>
        <v>0</v>
      </c>
      <c r="N83">
        <f>IF((gamma!N83),IF(VLOOKUP(N$1,main!$A$3:$H$102,7,FALSE)=VLOOKUP($A83,main!$A$3:$H$102,8,FALSE),VLOOKUP(N$1,main!$A$3:$H$102,4,FALSE),VLOOKUP(N$1,main!$A$3:$H$102,4,FALSE)+VLOOKUP($A83,main!$A$3:$H$102,4,FALSE)+(VLOOKUP(VLOOKUP(N$1,main!$A$3:$H$102,8,FALSE),main!$K$19:$O$22,MATCH(VLOOKUP($A83,main!$A$3:$H$102,7,FALSE),main!$K$18:$O$18,0),0))),0)</f>
        <v>0</v>
      </c>
      <c r="O83">
        <f>IF((gamma!O83),IF(VLOOKUP(O$1,main!$A$3:$H$102,7,FALSE)=VLOOKUP($A83,main!$A$3:$H$102,8,FALSE),VLOOKUP(O$1,main!$A$3:$H$102,4,FALSE),VLOOKUP(O$1,main!$A$3:$H$102,4,FALSE)+VLOOKUP($A83,main!$A$3:$H$102,4,FALSE)+(VLOOKUP(VLOOKUP(O$1,main!$A$3:$H$102,8,FALSE),main!$K$19:$O$22,MATCH(VLOOKUP($A83,main!$A$3:$H$102,7,FALSE),main!$K$18:$O$18,0),0))),0)</f>
        <v>0</v>
      </c>
      <c r="P83">
        <f>IF((gamma!P83),IF(VLOOKUP(P$1,main!$A$3:$H$102,7,FALSE)=VLOOKUP($A83,main!$A$3:$H$102,8,FALSE),VLOOKUP(P$1,main!$A$3:$H$102,4,FALSE),VLOOKUP(P$1,main!$A$3:$H$102,4,FALSE)+VLOOKUP($A83,main!$A$3:$H$102,4,FALSE)+(VLOOKUP(VLOOKUP(P$1,main!$A$3:$H$102,8,FALSE),main!$K$19:$O$22,MATCH(VLOOKUP($A83,main!$A$3:$H$102,7,FALSE),main!$K$18:$O$18,0),0))),0)</f>
        <v>0</v>
      </c>
      <c r="Q83">
        <f>IF((gamma!Q83),IF(VLOOKUP(Q$1,main!$A$3:$H$102,7,FALSE)=VLOOKUP($A83,main!$A$3:$H$102,8,FALSE),VLOOKUP(Q$1,main!$A$3:$H$102,4,FALSE),VLOOKUP(Q$1,main!$A$3:$H$102,4,FALSE)+VLOOKUP($A83,main!$A$3:$H$102,4,FALSE)+(VLOOKUP(VLOOKUP(Q$1,main!$A$3:$H$102,8,FALSE),main!$K$19:$O$22,MATCH(VLOOKUP($A83,main!$A$3:$H$102,7,FALSE),main!$K$18:$O$18,0),0))),0)</f>
        <v>0</v>
      </c>
      <c r="R83">
        <f>IF((gamma!R83),IF(VLOOKUP(R$1,main!$A$3:$H$102,7,FALSE)=VLOOKUP($A83,main!$A$3:$H$102,8,FALSE),VLOOKUP(R$1,main!$A$3:$H$102,4,FALSE),VLOOKUP(R$1,main!$A$3:$H$102,4,FALSE)+VLOOKUP($A83,main!$A$3:$H$102,4,FALSE)+(VLOOKUP(VLOOKUP(R$1,main!$A$3:$H$102,8,FALSE),main!$K$19:$O$22,MATCH(VLOOKUP($A83,main!$A$3:$H$102,7,FALSE),main!$K$18:$O$18,0),0))),0)</f>
        <v>0</v>
      </c>
      <c r="S83">
        <f>IF((gamma!S83),IF(VLOOKUP(S$1,main!$A$3:$H$102,7,FALSE)=VLOOKUP($A83,main!$A$3:$H$102,8,FALSE),VLOOKUP(S$1,main!$A$3:$H$102,4,FALSE),VLOOKUP(S$1,main!$A$3:$H$102,4,FALSE)+VLOOKUP($A83,main!$A$3:$H$102,4,FALSE)+(VLOOKUP(VLOOKUP(S$1,main!$A$3:$H$102,8,FALSE),main!$K$19:$O$22,MATCH(VLOOKUP($A83,main!$A$3:$H$102,7,FALSE),main!$K$18:$O$18,0),0))),0)</f>
        <v>140</v>
      </c>
      <c r="T83">
        <f>IF((gamma!T83),IF(VLOOKUP(T$1,main!$A$3:$H$102,7,FALSE)=VLOOKUP($A83,main!$A$3:$H$102,8,FALSE),VLOOKUP(T$1,main!$A$3:$H$102,4,FALSE),VLOOKUP(T$1,main!$A$3:$H$102,4,FALSE)+VLOOKUP($A83,main!$A$3:$H$102,4,FALSE)+(VLOOKUP(VLOOKUP(T$1,main!$A$3:$H$102,8,FALSE),main!$K$19:$O$22,MATCH(VLOOKUP($A83,main!$A$3:$H$102,7,FALSE),main!$K$18:$O$18,0),0))),0)</f>
        <v>140</v>
      </c>
      <c r="U83">
        <f>IF((gamma!U83),IF(VLOOKUP(U$1,main!$A$3:$H$102,7,FALSE)=VLOOKUP($A83,main!$A$3:$H$102,8,FALSE),VLOOKUP(U$1,main!$A$3:$H$102,4,FALSE),VLOOKUP(U$1,main!$A$3:$H$102,4,FALSE)+VLOOKUP($A83,main!$A$3:$H$102,4,FALSE)+(VLOOKUP(VLOOKUP(U$1,main!$A$3:$H$102,8,FALSE),main!$K$19:$O$22,MATCH(VLOOKUP($A83,main!$A$3:$H$102,7,FALSE),main!$K$18:$O$18,0),0))),0)</f>
        <v>140</v>
      </c>
      <c r="V83">
        <f>IF((gamma!V83),IF(VLOOKUP(V$1,main!$A$3:$H$102,7,FALSE)=VLOOKUP($A83,main!$A$3:$H$102,8,FALSE),VLOOKUP(V$1,main!$A$3:$H$102,4,FALSE),VLOOKUP(V$1,main!$A$3:$H$102,4,FALSE)+VLOOKUP($A83,main!$A$3:$H$102,4,FALSE)+(VLOOKUP(VLOOKUP(V$1,main!$A$3:$H$102,8,FALSE),main!$K$19:$O$22,MATCH(VLOOKUP($A83,main!$A$3:$H$102,7,FALSE),main!$K$18:$O$18,0),0))),0)</f>
        <v>140</v>
      </c>
      <c r="W83">
        <f>IF((gamma!W83),IF(VLOOKUP(W$1,main!$A$3:$H$102,7,FALSE)=VLOOKUP($A83,main!$A$3:$H$102,8,FALSE),VLOOKUP(W$1,main!$A$3:$H$102,4,FALSE),VLOOKUP(W$1,main!$A$3:$H$102,4,FALSE)+VLOOKUP($A83,main!$A$3:$H$102,4,FALSE)+(VLOOKUP(VLOOKUP(W$1,main!$A$3:$H$102,8,FALSE),main!$K$19:$O$22,MATCH(VLOOKUP($A83,main!$A$3:$H$102,7,FALSE),main!$K$18:$O$18,0),0))),0)</f>
        <v>0</v>
      </c>
      <c r="X83">
        <f>IF((gamma!X83),IF(VLOOKUP(X$1,main!$A$3:$H$102,7,FALSE)=VLOOKUP($A83,main!$A$3:$H$102,8,FALSE),VLOOKUP(X$1,main!$A$3:$H$102,4,FALSE),VLOOKUP(X$1,main!$A$3:$H$102,4,FALSE)+VLOOKUP($A83,main!$A$3:$H$102,4,FALSE)+(VLOOKUP(VLOOKUP(X$1,main!$A$3:$H$102,8,FALSE),main!$K$19:$O$22,MATCH(VLOOKUP($A83,main!$A$3:$H$102,7,FALSE),main!$K$18:$O$18,0),0))),0)</f>
        <v>0</v>
      </c>
      <c r="Y83">
        <f>IF((gamma!Y83),IF(VLOOKUP(Y$1,main!$A$3:$H$102,7,FALSE)=VLOOKUP($A83,main!$A$3:$H$102,8,FALSE),VLOOKUP(Y$1,main!$A$3:$H$102,4,FALSE),VLOOKUP(Y$1,main!$A$3:$H$102,4,FALSE)+VLOOKUP($A83,main!$A$3:$H$102,4,FALSE)+(VLOOKUP(VLOOKUP(Y$1,main!$A$3:$H$102,8,FALSE),main!$K$19:$O$22,MATCH(VLOOKUP($A83,main!$A$3:$H$102,7,FALSE),main!$K$18:$O$18,0),0))),0)</f>
        <v>0</v>
      </c>
      <c r="Z83">
        <f>IF((gamma!Z83),IF(VLOOKUP(Z$1,main!$A$3:$H$102,7,FALSE)=VLOOKUP($A83,main!$A$3:$H$102,8,FALSE),VLOOKUP(Z$1,main!$A$3:$H$102,4,FALSE),VLOOKUP(Z$1,main!$A$3:$H$102,4,FALSE)+VLOOKUP($A83,main!$A$3:$H$102,4,FALSE)+(VLOOKUP(VLOOKUP(Z$1,main!$A$3:$H$102,8,FALSE),main!$K$19:$O$22,MATCH(VLOOKUP($A83,main!$A$3:$H$102,7,FALSE),main!$K$18:$O$18,0),0))),0)</f>
        <v>140</v>
      </c>
      <c r="AA83">
        <f>IF((gamma!AA83),IF(VLOOKUP(AA$1,main!$A$3:$H$102,7,FALSE)=VLOOKUP($A83,main!$A$3:$H$102,8,FALSE),VLOOKUP(AA$1,main!$A$3:$H$102,4,FALSE),VLOOKUP(AA$1,main!$A$3:$H$102,4,FALSE)+VLOOKUP($A83,main!$A$3:$H$102,4,FALSE)+(VLOOKUP(VLOOKUP(AA$1,main!$A$3:$H$102,8,FALSE),main!$K$19:$O$22,MATCH(VLOOKUP($A83,main!$A$3:$H$102,7,FALSE),main!$K$18:$O$18,0),0))),0)</f>
        <v>140</v>
      </c>
      <c r="AB83">
        <f>IF((gamma!AB83),IF(VLOOKUP(AB$1,main!$A$3:$H$102,7,FALSE)=VLOOKUP($A83,main!$A$3:$H$102,8,FALSE),VLOOKUP(AB$1,main!$A$3:$H$102,4,FALSE),VLOOKUP(AB$1,main!$A$3:$H$102,4,FALSE)+VLOOKUP($A83,main!$A$3:$H$102,4,FALSE)+(VLOOKUP(VLOOKUP(AB$1,main!$A$3:$H$102,8,FALSE),main!$K$19:$O$22,MATCH(VLOOKUP($A83,main!$A$3:$H$102,7,FALSE),main!$K$18:$O$18,0),0))),0)</f>
        <v>0</v>
      </c>
      <c r="AC83">
        <f>IF((gamma!AC83),IF(VLOOKUP(AC$1,main!$A$3:$H$102,7,FALSE)=VLOOKUP($A83,main!$A$3:$H$102,8,FALSE),VLOOKUP(AC$1,main!$A$3:$H$102,4,FALSE),VLOOKUP(AC$1,main!$A$3:$H$102,4,FALSE)+VLOOKUP($A83,main!$A$3:$H$102,4,FALSE)+(VLOOKUP(VLOOKUP(AC$1,main!$A$3:$H$102,8,FALSE),main!$K$19:$O$22,MATCH(VLOOKUP($A83,main!$A$3:$H$102,7,FALSE),main!$K$18:$O$18,0),0))),0)</f>
        <v>0</v>
      </c>
      <c r="AD83">
        <f>IF((gamma!AD83),IF(VLOOKUP(AD$1,main!$A$3:$H$102,7,FALSE)=VLOOKUP($A83,main!$A$3:$H$102,8,FALSE),VLOOKUP(AD$1,main!$A$3:$H$102,4,FALSE),VLOOKUP(AD$1,main!$A$3:$H$102,4,FALSE)+VLOOKUP($A83,main!$A$3:$H$102,4,FALSE)+(VLOOKUP(VLOOKUP(AD$1,main!$A$3:$H$102,8,FALSE),main!$K$19:$O$22,MATCH(VLOOKUP($A83,main!$A$3:$H$102,7,FALSE),main!$K$18:$O$18,0),0))),0)</f>
        <v>0</v>
      </c>
      <c r="AE83">
        <f>IF((gamma!AE83),IF(VLOOKUP(AE$1,main!$A$3:$H$102,7,FALSE)=VLOOKUP($A83,main!$A$3:$H$102,8,FALSE),VLOOKUP(AE$1,main!$A$3:$H$102,4,FALSE),VLOOKUP(AE$1,main!$A$3:$H$102,4,FALSE)+VLOOKUP($A83,main!$A$3:$H$102,4,FALSE)+(VLOOKUP(VLOOKUP(AE$1,main!$A$3:$H$102,8,FALSE),main!$K$19:$O$22,MATCH(VLOOKUP($A83,main!$A$3:$H$102,7,FALSE),main!$K$18:$O$18,0),0))),0)</f>
        <v>140</v>
      </c>
      <c r="AF83">
        <f>IF((gamma!AF83),IF(VLOOKUP(AF$1,main!$A$3:$H$102,7,FALSE)=VLOOKUP($A83,main!$A$3:$H$102,8,FALSE),VLOOKUP(AF$1,main!$A$3:$H$102,4,FALSE),VLOOKUP(AF$1,main!$A$3:$H$102,4,FALSE)+VLOOKUP($A83,main!$A$3:$H$102,4,FALSE)+(VLOOKUP(VLOOKUP(AF$1,main!$A$3:$H$102,8,FALSE),main!$K$19:$O$22,MATCH(VLOOKUP($A83,main!$A$3:$H$102,7,FALSE),main!$K$18:$O$18,0),0))),0)</f>
        <v>100</v>
      </c>
      <c r="AG83">
        <f>IF((gamma!AG83),IF(VLOOKUP(AG$1,main!$A$3:$H$102,7,FALSE)=VLOOKUP($A83,main!$A$3:$H$102,8,FALSE),VLOOKUP(AG$1,main!$A$3:$H$102,4,FALSE),VLOOKUP(AG$1,main!$A$3:$H$102,4,FALSE)+VLOOKUP($A83,main!$A$3:$H$102,4,FALSE)+(VLOOKUP(VLOOKUP(AG$1,main!$A$3:$H$102,8,FALSE),main!$K$19:$O$22,MATCH(VLOOKUP($A83,main!$A$3:$H$102,7,FALSE),main!$K$18:$O$18,0),0))),0)</f>
        <v>0</v>
      </c>
      <c r="AH83">
        <f>IF((gamma!AH83),IF(VLOOKUP(AH$1,main!$A$3:$H$102,7,FALSE)=VLOOKUP($A83,main!$A$3:$H$102,8,FALSE),VLOOKUP(AH$1,main!$A$3:$H$102,4,FALSE),VLOOKUP(AH$1,main!$A$3:$H$102,4,FALSE)+VLOOKUP($A83,main!$A$3:$H$102,4,FALSE)+(VLOOKUP(VLOOKUP(AH$1,main!$A$3:$H$102,8,FALSE),main!$K$19:$O$22,MATCH(VLOOKUP($A83,main!$A$3:$H$102,7,FALSE),main!$K$18:$O$18,0),0))),0)</f>
        <v>0</v>
      </c>
      <c r="AI83">
        <f>IF((gamma!AI83),IF(VLOOKUP(AI$1,main!$A$3:$H$102,7,FALSE)=VLOOKUP($A83,main!$A$3:$H$102,8,FALSE),VLOOKUP(AI$1,main!$A$3:$H$102,4,FALSE),VLOOKUP(AI$1,main!$A$3:$H$102,4,FALSE)+VLOOKUP($A83,main!$A$3:$H$102,4,FALSE)+(VLOOKUP(VLOOKUP(AI$1,main!$A$3:$H$102,8,FALSE),main!$K$19:$O$22,MATCH(VLOOKUP($A83,main!$A$3:$H$102,7,FALSE),main!$K$18:$O$18,0),0))),0)</f>
        <v>0</v>
      </c>
      <c r="AJ83">
        <f>IF((gamma!AJ83),IF(VLOOKUP(AJ$1,main!$A$3:$H$102,7,FALSE)=VLOOKUP($A83,main!$A$3:$H$102,8,FALSE),VLOOKUP(AJ$1,main!$A$3:$H$102,4,FALSE),VLOOKUP(AJ$1,main!$A$3:$H$102,4,FALSE)+VLOOKUP($A83,main!$A$3:$H$102,4,FALSE)+(VLOOKUP(VLOOKUP(AJ$1,main!$A$3:$H$102,8,FALSE),main!$K$19:$O$22,MATCH(VLOOKUP($A83,main!$A$3:$H$102,7,FALSE),main!$K$18:$O$18,0),0))),0)</f>
        <v>0</v>
      </c>
      <c r="AK83">
        <f>IF((gamma!AK83),IF(VLOOKUP(AK$1,main!$A$3:$H$102,7,FALSE)=VLOOKUP($A83,main!$A$3:$H$102,8,FALSE),VLOOKUP(AK$1,main!$A$3:$H$102,4,FALSE),VLOOKUP(AK$1,main!$A$3:$H$102,4,FALSE)+VLOOKUP($A83,main!$A$3:$H$102,4,FALSE)+(VLOOKUP(VLOOKUP(AK$1,main!$A$3:$H$102,8,FALSE),main!$K$19:$O$22,MATCH(VLOOKUP($A83,main!$A$3:$H$102,7,FALSE),main!$K$18:$O$18,0),0))),0)</f>
        <v>310</v>
      </c>
      <c r="AL83">
        <f>IF((gamma!AL83),IF(VLOOKUP(AL$1,main!$A$3:$H$102,7,FALSE)=VLOOKUP($A83,main!$A$3:$H$102,8,FALSE),VLOOKUP(AL$1,main!$A$3:$H$102,4,FALSE),VLOOKUP(AL$1,main!$A$3:$H$102,4,FALSE)+VLOOKUP($A83,main!$A$3:$H$102,4,FALSE)+(VLOOKUP(VLOOKUP(AL$1,main!$A$3:$H$102,8,FALSE),main!$K$19:$O$22,MATCH(VLOOKUP($A83,main!$A$3:$H$102,7,FALSE),main!$K$18:$O$18,0),0))),0)</f>
        <v>310</v>
      </c>
      <c r="AM83">
        <f>IF((gamma!AM83),IF(VLOOKUP(AM$1,main!$A$3:$H$102,7,FALSE)=VLOOKUP($A83,main!$A$3:$H$102,8,FALSE),VLOOKUP(AM$1,main!$A$3:$H$102,4,FALSE),VLOOKUP(AM$1,main!$A$3:$H$102,4,FALSE)+VLOOKUP($A83,main!$A$3:$H$102,4,FALSE)+(VLOOKUP(VLOOKUP(AM$1,main!$A$3:$H$102,8,FALSE),main!$K$19:$O$22,MATCH(VLOOKUP($A83,main!$A$3:$H$102,7,FALSE),main!$K$18:$O$18,0),0))),0)</f>
        <v>310</v>
      </c>
      <c r="AN83">
        <f>IF((gamma!AN83),IF(VLOOKUP(AN$1,main!$A$3:$H$102,7,FALSE)=VLOOKUP($A83,main!$A$3:$H$102,8,FALSE),VLOOKUP(AN$1,main!$A$3:$H$102,4,FALSE),VLOOKUP(AN$1,main!$A$3:$H$102,4,FALSE)+VLOOKUP($A83,main!$A$3:$H$102,4,FALSE)+(VLOOKUP(VLOOKUP(AN$1,main!$A$3:$H$102,8,FALSE),main!$K$19:$O$22,MATCH(VLOOKUP($A83,main!$A$3:$H$102,7,FALSE),main!$K$18:$O$18,0),0))),0)</f>
        <v>310</v>
      </c>
      <c r="AO83">
        <f>IF((gamma!AO83),IF(VLOOKUP(AO$1,main!$A$3:$H$102,7,FALSE)=VLOOKUP($A83,main!$A$3:$H$102,8,FALSE),VLOOKUP(AO$1,main!$A$3:$H$102,4,FALSE),VLOOKUP(AO$1,main!$A$3:$H$102,4,FALSE)+VLOOKUP($A83,main!$A$3:$H$102,4,FALSE)+(VLOOKUP(VLOOKUP(AO$1,main!$A$3:$H$102,8,FALSE),main!$K$19:$O$22,MATCH(VLOOKUP($A83,main!$A$3:$H$102,7,FALSE),main!$K$18:$O$18,0),0))),0)</f>
        <v>0</v>
      </c>
      <c r="AP83">
        <f>IF((gamma!AP83),IF(VLOOKUP(AP$1,main!$A$3:$H$102,7,FALSE)=VLOOKUP($A83,main!$A$3:$H$102,8,FALSE),VLOOKUP(AP$1,main!$A$3:$H$102,4,FALSE),VLOOKUP(AP$1,main!$A$3:$H$102,4,FALSE)+VLOOKUP($A83,main!$A$3:$H$102,4,FALSE)+(VLOOKUP(VLOOKUP(AP$1,main!$A$3:$H$102,8,FALSE),main!$K$19:$O$22,MATCH(VLOOKUP($A83,main!$A$3:$H$102,7,FALSE),main!$K$18:$O$18,0),0))),0)</f>
        <v>250</v>
      </c>
      <c r="AQ83">
        <f>IF((gamma!AQ83),IF(VLOOKUP(AQ$1,main!$A$3:$H$102,7,FALSE)=VLOOKUP($A83,main!$A$3:$H$102,8,FALSE),VLOOKUP(AQ$1,main!$A$3:$H$102,4,FALSE),VLOOKUP(AQ$1,main!$A$3:$H$102,4,FALSE)+VLOOKUP($A83,main!$A$3:$H$102,4,FALSE)+(VLOOKUP(VLOOKUP(AQ$1,main!$A$3:$H$102,8,FALSE),main!$K$19:$O$22,MATCH(VLOOKUP($A83,main!$A$3:$H$102,7,FALSE),main!$K$18:$O$18,0),0))),0)</f>
        <v>0</v>
      </c>
      <c r="AR83">
        <f>IF((gamma!AR83),IF(VLOOKUP(AR$1,main!$A$3:$H$102,7,FALSE)=VLOOKUP($A83,main!$A$3:$H$102,8,FALSE),VLOOKUP(AR$1,main!$A$3:$H$102,4,FALSE),VLOOKUP(AR$1,main!$A$3:$H$102,4,FALSE)+VLOOKUP($A83,main!$A$3:$H$102,4,FALSE)+(VLOOKUP(VLOOKUP(AR$1,main!$A$3:$H$102,8,FALSE),main!$K$19:$O$22,MATCH(VLOOKUP($A83,main!$A$3:$H$102,7,FALSE),main!$K$18:$O$18,0),0))),0)</f>
        <v>0</v>
      </c>
      <c r="AS83">
        <f>IF((gamma!AS83),IF(VLOOKUP(AS$1,main!$A$3:$H$102,7,FALSE)=VLOOKUP($A83,main!$A$3:$H$102,8,FALSE),VLOOKUP(AS$1,main!$A$3:$H$102,4,FALSE),VLOOKUP(AS$1,main!$A$3:$H$102,4,FALSE)+VLOOKUP($A83,main!$A$3:$H$102,4,FALSE)+(VLOOKUP(VLOOKUP(AS$1,main!$A$3:$H$102,8,FALSE),main!$K$19:$O$22,MATCH(VLOOKUP($A83,main!$A$3:$H$102,7,FALSE),main!$K$18:$O$18,0),0))),0)</f>
        <v>0</v>
      </c>
      <c r="AT83">
        <f>IF((gamma!AT83),IF(VLOOKUP(AT$1,main!$A$3:$H$102,7,FALSE)=VLOOKUP($A83,main!$A$3:$H$102,8,FALSE),VLOOKUP(AT$1,main!$A$3:$H$102,4,FALSE),VLOOKUP(AT$1,main!$A$3:$H$102,4,FALSE)+VLOOKUP($A83,main!$A$3:$H$102,4,FALSE)+(VLOOKUP(VLOOKUP(AT$1,main!$A$3:$H$102,8,FALSE),main!$K$19:$O$22,MATCH(VLOOKUP($A83,main!$A$3:$H$102,7,FALSE),main!$K$18:$O$18,0),0))),0)</f>
        <v>303</v>
      </c>
      <c r="AU83">
        <f>IF((gamma!AU83),IF(VLOOKUP(AU$1,main!$A$3:$H$102,7,FALSE)=VLOOKUP($A83,main!$A$3:$H$102,8,FALSE),VLOOKUP(AU$1,main!$A$3:$H$102,4,FALSE),VLOOKUP(AU$1,main!$A$3:$H$102,4,FALSE)+VLOOKUP($A83,main!$A$3:$H$102,4,FALSE)+(VLOOKUP(VLOOKUP(AU$1,main!$A$3:$H$102,8,FALSE),main!$K$19:$O$22,MATCH(VLOOKUP($A83,main!$A$3:$H$102,7,FALSE),main!$K$18:$O$18,0),0))),0)</f>
        <v>0</v>
      </c>
      <c r="AV83">
        <f>IF((gamma!AV83),IF(VLOOKUP(AV$1,main!$A$3:$H$102,7,FALSE)=VLOOKUP($A83,main!$A$3:$H$102,8,FALSE),VLOOKUP(AV$1,main!$A$3:$H$102,4,FALSE),VLOOKUP(AV$1,main!$A$3:$H$102,4,FALSE)+VLOOKUP($A83,main!$A$3:$H$102,4,FALSE)+(VLOOKUP(VLOOKUP(AV$1,main!$A$3:$H$102,8,FALSE),main!$K$19:$O$22,MATCH(VLOOKUP($A83,main!$A$3:$H$102,7,FALSE),main!$K$18:$O$18,0),0))),0)</f>
        <v>0</v>
      </c>
      <c r="AW83">
        <f>IF((gamma!AW83),IF(VLOOKUP(AW$1,main!$A$3:$H$102,7,FALSE)=VLOOKUP($A83,main!$A$3:$H$102,8,FALSE),VLOOKUP(AW$1,main!$A$3:$H$102,4,FALSE),VLOOKUP(AW$1,main!$A$3:$H$102,4,FALSE)+VLOOKUP($A83,main!$A$3:$H$102,4,FALSE)+(VLOOKUP(VLOOKUP(AW$1,main!$A$3:$H$102,8,FALSE),main!$K$19:$O$22,MATCH(VLOOKUP($A83,main!$A$3:$H$102,7,FALSE),main!$K$18:$O$18,0),0))),0)</f>
        <v>293</v>
      </c>
      <c r="AX83">
        <f>IF((gamma!AX83),IF(VLOOKUP(AX$1,main!$A$3:$H$102,7,FALSE)=VLOOKUP($A83,main!$A$3:$H$102,8,FALSE),VLOOKUP(AX$1,main!$A$3:$H$102,4,FALSE),VLOOKUP(AX$1,main!$A$3:$H$102,4,FALSE)+VLOOKUP($A83,main!$A$3:$H$102,4,FALSE)+(VLOOKUP(VLOOKUP(AX$1,main!$A$3:$H$102,8,FALSE),main!$K$19:$O$22,MATCH(VLOOKUP($A83,main!$A$3:$H$102,7,FALSE),main!$K$18:$O$18,0),0))),0)</f>
        <v>0</v>
      </c>
      <c r="AY83">
        <f>IF((gamma!AY83),IF(VLOOKUP(AY$1,main!$A$3:$H$102,7,FALSE)=VLOOKUP($A83,main!$A$3:$H$102,8,FALSE),VLOOKUP(AY$1,main!$A$3:$H$102,4,FALSE),VLOOKUP(AY$1,main!$A$3:$H$102,4,FALSE)+VLOOKUP($A83,main!$A$3:$H$102,4,FALSE)+(VLOOKUP(VLOOKUP(AY$1,main!$A$3:$H$102,8,FALSE),main!$K$19:$O$22,MATCH(VLOOKUP($A83,main!$A$3:$H$102,7,FALSE),main!$K$18:$O$18,0),0))),0)</f>
        <v>0</v>
      </c>
      <c r="AZ83">
        <f>IF((gamma!AZ83),IF(VLOOKUP(AZ$1,main!$A$3:$H$102,7,FALSE)=VLOOKUP($A83,main!$A$3:$H$102,8,FALSE),VLOOKUP(AZ$1,main!$A$3:$H$102,4,FALSE),VLOOKUP(AZ$1,main!$A$3:$H$102,4,FALSE)+VLOOKUP($A83,main!$A$3:$H$102,4,FALSE)+(VLOOKUP(VLOOKUP(AZ$1,main!$A$3:$H$102,8,FALSE),main!$K$19:$O$22,MATCH(VLOOKUP($A83,main!$A$3:$H$102,7,FALSE),main!$K$18:$O$18,0),0))),0)</f>
        <v>0</v>
      </c>
      <c r="BA83">
        <f>IF((gamma!BA83),IF(VLOOKUP(BA$1,main!$A$3:$H$102,7,FALSE)=VLOOKUP($A83,main!$A$3:$H$102,8,FALSE),VLOOKUP(BA$1,main!$A$3:$H$102,4,FALSE),VLOOKUP(BA$1,main!$A$3:$H$102,4,FALSE)+VLOOKUP($A83,main!$A$3:$H$102,4,FALSE)+(VLOOKUP(VLOOKUP(BA$1,main!$A$3:$H$102,8,FALSE),main!$K$19:$O$22,MATCH(VLOOKUP($A83,main!$A$3:$H$102,7,FALSE),main!$K$18:$O$18,0),0))),0)</f>
        <v>0</v>
      </c>
      <c r="BB83">
        <f>IF((gamma!BB83),IF(VLOOKUP(BB$1,main!$A$3:$H$102,7,FALSE)=VLOOKUP($A83,main!$A$3:$H$102,8,FALSE),VLOOKUP(BB$1,main!$A$3:$H$102,4,FALSE),VLOOKUP(BB$1,main!$A$3:$H$102,4,FALSE)+VLOOKUP($A83,main!$A$3:$H$102,4,FALSE)+(VLOOKUP(VLOOKUP(BB$1,main!$A$3:$H$102,8,FALSE),main!$K$19:$O$22,MATCH(VLOOKUP($A83,main!$A$3:$H$102,7,FALSE),main!$K$18:$O$18,0),0))),0)</f>
        <v>0</v>
      </c>
      <c r="BC83">
        <f>IF((gamma!BC83),IF(VLOOKUP(BC$1,main!$A$3:$H$102,7,FALSE)=VLOOKUP($A83,main!$A$3:$H$102,8,FALSE),VLOOKUP(BC$1,main!$A$3:$H$102,4,FALSE),VLOOKUP(BC$1,main!$A$3:$H$102,4,FALSE)+VLOOKUP($A83,main!$A$3:$H$102,4,FALSE)+(VLOOKUP(VLOOKUP(BC$1,main!$A$3:$H$102,8,FALSE),main!$K$19:$O$22,MATCH(VLOOKUP($A83,main!$A$3:$H$102,7,FALSE),main!$K$18:$O$18,0),0))),0)</f>
        <v>0</v>
      </c>
      <c r="BD83">
        <f>IF((gamma!BD83),IF(VLOOKUP(BD$1,main!$A$3:$H$102,7,FALSE)=VLOOKUP($A83,main!$A$3:$H$102,8,FALSE),VLOOKUP(BD$1,main!$A$3:$H$102,4,FALSE),VLOOKUP(BD$1,main!$A$3:$H$102,4,FALSE)+VLOOKUP($A83,main!$A$3:$H$102,4,FALSE)+(VLOOKUP(VLOOKUP(BD$1,main!$A$3:$H$102,8,FALSE),main!$K$19:$O$22,MATCH(VLOOKUP($A83,main!$A$3:$H$102,7,FALSE),main!$K$18:$O$18,0),0))),0)</f>
        <v>315</v>
      </c>
      <c r="BE83">
        <f>IF((gamma!BE83),IF(VLOOKUP(BE$1,main!$A$3:$H$102,7,FALSE)=VLOOKUP($A83,main!$A$3:$H$102,8,FALSE),VLOOKUP(BE$1,main!$A$3:$H$102,4,FALSE),VLOOKUP(BE$1,main!$A$3:$H$102,4,FALSE)+VLOOKUP($A83,main!$A$3:$H$102,4,FALSE)+(VLOOKUP(VLOOKUP(BE$1,main!$A$3:$H$102,8,FALSE),main!$K$19:$O$22,MATCH(VLOOKUP($A83,main!$A$3:$H$102,7,FALSE),main!$K$18:$O$18,0),0))),0)</f>
        <v>315</v>
      </c>
      <c r="BF83">
        <f>IF((gamma!BF83),IF(VLOOKUP(BF$1,main!$A$3:$H$102,7,FALSE)=VLOOKUP($A83,main!$A$3:$H$102,8,FALSE),VLOOKUP(BF$1,main!$A$3:$H$102,4,FALSE),VLOOKUP(BF$1,main!$A$3:$H$102,4,FALSE)+VLOOKUP($A83,main!$A$3:$H$102,4,FALSE)+(VLOOKUP(VLOOKUP(BF$1,main!$A$3:$H$102,8,FALSE),main!$K$19:$O$22,MATCH(VLOOKUP($A83,main!$A$3:$H$102,7,FALSE),main!$K$18:$O$18,0),0))),0)</f>
        <v>0</v>
      </c>
      <c r="BG83">
        <f>IF((gamma!BG83),IF(VLOOKUP(BG$1,main!$A$3:$H$102,7,FALSE)=VLOOKUP($A83,main!$A$3:$H$102,8,FALSE),VLOOKUP(BG$1,main!$A$3:$H$102,4,FALSE),VLOOKUP(BG$1,main!$A$3:$H$102,4,FALSE)+VLOOKUP($A83,main!$A$3:$H$102,4,FALSE)+(VLOOKUP(VLOOKUP(BG$1,main!$A$3:$H$102,8,FALSE),main!$K$19:$O$22,MATCH(VLOOKUP($A83,main!$A$3:$H$102,7,FALSE),main!$K$18:$O$18,0),0))),0)</f>
        <v>0</v>
      </c>
      <c r="BH83">
        <f>IF((gamma!BH83),IF(VLOOKUP(BH$1,main!$A$3:$H$102,7,FALSE)=VLOOKUP($A83,main!$A$3:$H$102,8,FALSE),VLOOKUP(BH$1,main!$A$3:$H$102,4,FALSE),VLOOKUP(BH$1,main!$A$3:$H$102,4,FALSE)+VLOOKUP($A83,main!$A$3:$H$102,4,FALSE)+(VLOOKUP(VLOOKUP(BH$1,main!$A$3:$H$102,8,FALSE),main!$K$19:$O$22,MATCH(VLOOKUP($A83,main!$A$3:$H$102,7,FALSE),main!$K$18:$O$18,0),0))),0)</f>
        <v>0</v>
      </c>
      <c r="BI83">
        <f>IF((gamma!BI83),IF(VLOOKUP(BI$1,main!$A$3:$H$102,7,FALSE)=VLOOKUP($A83,main!$A$3:$H$102,8,FALSE),VLOOKUP(BI$1,main!$A$3:$H$102,4,FALSE),VLOOKUP(BI$1,main!$A$3:$H$102,4,FALSE)+VLOOKUP($A83,main!$A$3:$H$102,4,FALSE)+(VLOOKUP(VLOOKUP(BI$1,main!$A$3:$H$102,8,FALSE),main!$K$19:$O$22,MATCH(VLOOKUP($A83,main!$A$3:$H$102,7,FALSE),main!$K$18:$O$18,0),0))),0)</f>
        <v>235</v>
      </c>
      <c r="BJ83">
        <f>IF((gamma!BJ83),IF(VLOOKUP(BJ$1,main!$A$3:$H$102,7,FALSE)=VLOOKUP($A83,main!$A$3:$H$102,8,FALSE),VLOOKUP(BJ$1,main!$A$3:$H$102,4,FALSE),VLOOKUP(BJ$1,main!$A$3:$H$102,4,FALSE)+VLOOKUP($A83,main!$A$3:$H$102,4,FALSE)+(VLOOKUP(VLOOKUP(BJ$1,main!$A$3:$H$102,8,FALSE),main!$K$19:$O$22,MATCH(VLOOKUP($A83,main!$A$3:$H$102,7,FALSE),main!$K$18:$O$18,0),0))),0)</f>
        <v>265</v>
      </c>
      <c r="BK83">
        <f>IF((gamma!BK83),IF(VLOOKUP(BK$1,main!$A$3:$H$102,7,FALSE)=VLOOKUP($A83,main!$A$3:$H$102,8,FALSE),VLOOKUP(BK$1,main!$A$3:$H$102,4,FALSE),VLOOKUP(BK$1,main!$A$3:$H$102,4,FALSE)+VLOOKUP($A83,main!$A$3:$H$102,4,FALSE)+(VLOOKUP(VLOOKUP(BK$1,main!$A$3:$H$102,8,FALSE),main!$K$19:$O$22,MATCH(VLOOKUP($A83,main!$A$3:$H$102,7,FALSE),main!$K$18:$O$18,0),0))),0)</f>
        <v>0</v>
      </c>
      <c r="BL83">
        <f>IF((gamma!BL83),IF(VLOOKUP(BL$1,main!$A$3:$H$102,7,FALSE)=VLOOKUP($A83,main!$A$3:$H$102,8,FALSE),VLOOKUP(BL$1,main!$A$3:$H$102,4,FALSE),VLOOKUP(BL$1,main!$A$3:$H$102,4,FALSE)+VLOOKUP($A83,main!$A$3:$H$102,4,FALSE)+(VLOOKUP(VLOOKUP(BL$1,main!$A$3:$H$102,8,FALSE),main!$K$19:$O$22,MATCH(VLOOKUP($A83,main!$A$3:$H$102,7,FALSE),main!$K$18:$O$18,0),0))),0)</f>
        <v>0</v>
      </c>
      <c r="BM83">
        <f>IF((gamma!BM83),IF(VLOOKUP(BM$1,main!$A$3:$H$102,7,FALSE)=VLOOKUP($A83,main!$A$3:$H$102,8,FALSE),VLOOKUP(BM$1,main!$A$3:$H$102,4,FALSE),VLOOKUP(BM$1,main!$A$3:$H$102,4,FALSE)+VLOOKUP($A83,main!$A$3:$H$102,4,FALSE)+(VLOOKUP(VLOOKUP(BM$1,main!$A$3:$H$102,8,FALSE),main!$K$19:$O$22,MATCH(VLOOKUP($A83,main!$A$3:$H$102,7,FALSE),main!$K$18:$O$18,0),0))),0)</f>
        <v>0</v>
      </c>
      <c r="BN83">
        <f>IF((gamma!BN83),IF(VLOOKUP(BN$1,main!$A$3:$H$102,7,FALSE)=VLOOKUP($A83,main!$A$3:$H$102,8,FALSE),VLOOKUP(BN$1,main!$A$3:$H$102,4,FALSE),VLOOKUP(BN$1,main!$A$3:$H$102,4,FALSE)+VLOOKUP($A83,main!$A$3:$H$102,4,FALSE)+(VLOOKUP(VLOOKUP(BN$1,main!$A$3:$H$102,8,FALSE),main!$K$19:$O$22,MATCH(VLOOKUP($A83,main!$A$3:$H$102,7,FALSE),main!$K$18:$O$18,0),0))),0)</f>
        <v>0</v>
      </c>
      <c r="BO83">
        <f>IF((gamma!BO83),IF(VLOOKUP(BO$1,main!$A$3:$H$102,7,FALSE)=VLOOKUP($A83,main!$A$3:$H$102,8,FALSE),VLOOKUP(BO$1,main!$A$3:$H$102,4,FALSE),VLOOKUP(BO$1,main!$A$3:$H$102,4,FALSE)+VLOOKUP($A83,main!$A$3:$H$102,4,FALSE)+(VLOOKUP(VLOOKUP(BO$1,main!$A$3:$H$102,8,FALSE),main!$K$19:$O$22,MATCH(VLOOKUP($A83,main!$A$3:$H$102,7,FALSE),main!$K$18:$O$18,0),0))),0)</f>
        <v>0</v>
      </c>
      <c r="BP83">
        <f>IF((gamma!BP83),IF(VLOOKUP(BP$1,main!$A$3:$H$102,7,FALSE)=VLOOKUP($A83,main!$A$3:$H$102,8,FALSE),VLOOKUP(BP$1,main!$A$3:$H$102,4,FALSE),VLOOKUP(BP$1,main!$A$3:$H$102,4,FALSE)+VLOOKUP($A83,main!$A$3:$H$102,4,FALSE)+(VLOOKUP(VLOOKUP(BP$1,main!$A$3:$H$102,8,FALSE),main!$K$19:$O$22,MATCH(VLOOKUP($A83,main!$A$3:$H$102,7,FALSE),main!$K$18:$O$18,0),0))),0)</f>
        <v>0</v>
      </c>
      <c r="BQ83">
        <f>IF((gamma!BQ83),IF(VLOOKUP(BQ$1,main!$A$3:$H$102,7,FALSE)=VLOOKUP($A83,main!$A$3:$H$102,8,FALSE),VLOOKUP(BQ$1,main!$A$3:$H$102,4,FALSE),VLOOKUP(BQ$1,main!$A$3:$H$102,4,FALSE)+VLOOKUP($A83,main!$A$3:$H$102,4,FALSE)+(VLOOKUP(VLOOKUP(BQ$1,main!$A$3:$H$102,8,FALSE),main!$K$19:$O$22,MATCH(VLOOKUP($A83,main!$A$3:$H$102,7,FALSE),main!$K$18:$O$18,0),0))),0)</f>
        <v>0</v>
      </c>
      <c r="BR83">
        <f>IF((gamma!BR83),IF(VLOOKUP(BR$1,main!$A$3:$H$102,7,FALSE)=VLOOKUP($A83,main!$A$3:$H$102,8,FALSE),VLOOKUP(BR$1,main!$A$3:$H$102,4,FALSE),VLOOKUP(BR$1,main!$A$3:$H$102,4,FALSE)+VLOOKUP($A83,main!$A$3:$H$102,4,FALSE)+(VLOOKUP(VLOOKUP(BR$1,main!$A$3:$H$102,8,FALSE),main!$K$19:$O$22,MATCH(VLOOKUP($A83,main!$A$3:$H$102,7,FALSE),main!$K$18:$O$18,0),0))),0)</f>
        <v>0</v>
      </c>
      <c r="BS83">
        <f>IF((gamma!BS83),IF(VLOOKUP(BS$1,main!$A$3:$H$102,7,FALSE)=VLOOKUP($A83,main!$A$3:$H$102,8,FALSE),VLOOKUP(BS$1,main!$A$3:$H$102,4,FALSE),VLOOKUP(BS$1,main!$A$3:$H$102,4,FALSE)+VLOOKUP($A83,main!$A$3:$H$102,4,FALSE)+(VLOOKUP(VLOOKUP(BS$1,main!$A$3:$H$102,8,FALSE),main!$K$19:$O$22,MATCH(VLOOKUP($A83,main!$A$3:$H$102,7,FALSE),main!$K$18:$O$18,0),0))),0)</f>
        <v>0</v>
      </c>
      <c r="BT83">
        <f>IF((gamma!BT83),IF(VLOOKUP(BT$1,main!$A$3:$H$102,7,FALSE)=VLOOKUP($A83,main!$A$3:$H$102,8,FALSE),VLOOKUP(BT$1,main!$A$3:$H$102,4,FALSE),VLOOKUP(BT$1,main!$A$3:$H$102,4,FALSE)+VLOOKUP($A83,main!$A$3:$H$102,4,FALSE)+(VLOOKUP(VLOOKUP(BT$1,main!$A$3:$H$102,8,FALSE),main!$K$19:$O$22,MATCH(VLOOKUP($A83,main!$A$3:$H$102,7,FALSE),main!$K$18:$O$18,0),0))),0)</f>
        <v>0</v>
      </c>
      <c r="BU83">
        <f>IF((gamma!BU83),IF(VLOOKUP(BU$1,main!$A$3:$H$102,7,FALSE)=VLOOKUP($A83,main!$A$3:$H$102,8,FALSE),VLOOKUP(BU$1,main!$A$3:$H$102,4,FALSE),VLOOKUP(BU$1,main!$A$3:$H$102,4,FALSE)+VLOOKUP($A83,main!$A$3:$H$102,4,FALSE)+(VLOOKUP(VLOOKUP(BU$1,main!$A$3:$H$102,8,FALSE),main!$K$19:$O$22,MATCH(VLOOKUP($A83,main!$A$3:$H$102,7,FALSE),main!$K$18:$O$18,0),0))),0)</f>
        <v>0</v>
      </c>
      <c r="BV83">
        <f>IF((gamma!BV83),IF(VLOOKUP(BV$1,main!$A$3:$H$102,7,FALSE)=VLOOKUP($A83,main!$A$3:$H$102,8,FALSE),VLOOKUP(BV$1,main!$A$3:$H$102,4,FALSE),VLOOKUP(BV$1,main!$A$3:$H$102,4,FALSE)+VLOOKUP($A83,main!$A$3:$H$102,4,FALSE)+(VLOOKUP(VLOOKUP(BV$1,main!$A$3:$H$102,8,FALSE),main!$K$19:$O$22,MATCH(VLOOKUP($A83,main!$A$3:$H$102,7,FALSE),main!$K$18:$O$18,0),0))),0)</f>
        <v>0</v>
      </c>
      <c r="BW83">
        <f>IF((gamma!BW83),IF(VLOOKUP(BW$1,main!$A$3:$H$102,7,FALSE)=VLOOKUP($A83,main!$A$3:$H$102,8,FALSE),VLOOKUP(BW$1,main!$A$3:$H$102,4,FALSE),VLOOKUP(BW$1,main!$A$3:$H$102,4,FALSE)+VLOOKUP($A83,main!$A$3:$H$102,4,FALSE)+(VLOOKUP(VLOOKUP(BW$1,main!$A$3:$H$102,8,FALSE),main!$K$19:$O$22,MATCH(VLOOKUP($A83,main!$A$3:$H$102,7,FALSE),main!$K$18:$O$18,0),0))),0)</f>
        <v>0</v>
      </c>
      <c r="BX83">
        <f>IF((gamma!BX83),IF(VLOOKUP(BX$1,main!$A$3:$H$102,7,FALSE)=VLOOKUP($A83,main!$A$3:$H$102,8,FALSE),VLOOKUP(BX$1,main!$A$3:$H$102,4,FALSE),VLOOKUP(BX$1,main!$A$3:$H$102,4,FALSE)+VLOOKUP($A83,main!$A$3:$H$102,4,FALSE)+(VLOOKUP(VLOOKUP(BX$1,main!$A$3:$H$102,8,FALSE),main!$K$19:$O$22,MATCH(VLOOKUP($A83,main!$A$3:$H$102,7,FALSE),main!$K$18:$O$18,0),0))),0)</f>
        <v>0</v>
      </c>
      <c r="BY83">
        <f>IF((gamma!BY83),IF(VLOOKUP(BY$1,main!$A$3:$H$102,7,FALSE)=VLOOKUP($A83,main!$A$3:$H$102,8,FALSE),VLOOKUP(BY$1,main!$A$3:$H$102,4,FALSE),VLOOKUP(BY$1,main!$A$3:$H$102,4,FALSE)+VLOOKUP($A83,main!$A$3:$H$102,4,FALSE)+(VLOOKUP(VLOOKUP(BY$1,main!$A$3:$H$102,8,FALSE),main!$K$19:$O$22,MATCH(VLOOKUP($A83,main!$A$3:$H$102,7,FALSE),main!$K$18:$O$18,0),0))),0)</f>
        <v>0</v>
      </c>
      <c r="BZ83">
        <f>IF((gamma!BZ83),IF(VLOOKUP(BZ$1,main!$A$3:$H$102,7,FALSE)=VLOOKUP($A83,main!$A$3:$H$102,8,FALSE),VLOOKUP(BZ$1,main!$A$3:$H$102,4,FALSE),VLOOKUP(BZ$1,main!$A$3:$H$102,4,FALSE)+VLOOKUP($A83,main!$A$3:$H$102,4,FALSE)+(VLOOKUP(VLOOKUP(BZ$1,main!$A$3:$H$102,8,FALSE),main!$K$19:$O$22,MATCH(VLOOKUP($A83,main!$A$3:$H$102,7,FALSE),main!$K$18:$O$18,0),0))),0)</f>
        <v>0</v>
      </c>
      <c r="CA83">
        <f>IF((gamma!CA83),IF(VLOOKUP(CA$1,main!$A$3:$H$102,7,FALSE)=VLOOKUP($A83,main!$A$3:$H$102,8,FALSE),VLOOKUP(CA$1,main!$A$3:$H$102,4,FALSE),VLOOKUP(CA$1,main!$A$3:$H$102,4,FALSE)+VLOOKUP($A83,main!$A$3:$H$102,4,FALSE)+(VLOOKUP(VLOOKUP(CA$1,main!$A$3:$H$102,8,FALSE),main!$K$19:$O$22,MATCH(VLOOKUP($A83,main!$A$3:$H$102,7,FALSE),main!$K$18:$O$18,0),0))),0)</f>
        <v>0</v>
      </c>
      <c r="CB83">
        <f>IF((gamma!CB83),IF(VLOOKUP(CB$1,main!$A$3:$H$102,7,FALSE)=VLOOKUP($A83,main!$A$3:$H$102,8,FALSE),VLOOKUP(CB$1,main!$A$3:$H$102,4,FALSE),VLOOKUP(CB$1,main!$A$3:$H$102,4,FALSE)+VLOOKUP($A83,main!$A$3:$H$102,4,FALSE)+(VLOOKUP(VLOOKUP(CB$1,main!$A$3:$H$102,8,FALSE),main!$K$19:$O$22,MATCH(VLOOKUP($A83,main!$A$3:$H$102,7,FALSE),main!$K$18:$O$18,0),0))),0)</f>
        <v>205</v>
      </c>
      <c r="CC83">
        <f>IF((gamma!CC83),IF(VLOOKUP(CC$1,main!$A$3:$H$102,7,FALSE)=VLOOKUP($A83,main!$A$3:$H$102,8,FALSE),VLOOKUP(CC$1,main!$A$3:$H$102,4,FALSE),VLOOKUP(CC$1,main!$A$3:$H$102,4,FALSE)+VLOOKUP($A83,main!$A$3:$H$102,4,FALSE)+(VLOOKUP(VLOOKUP(CC$1,main!$A$3:$H$102,8,FALSE),main!$K$19:$O$22,MATCH(VLOOKUP($A83,main!$A$3:$H$102,7,FALSE),main!$K$18:$O$18,0),0))),0)</f>
        <v>195</v>
      </c>
      <c r="CD83">
        <f>IF((gamma!CD83),IF(VLOOKUP(CD$1,main!$A$3:$H$102,7,FALSE)=VLOOKUP($A83,main!$A$3:$H$102,8,FALSE),VLOOKUP(CD$1,main!$A$3:$H$102,4,FALSE),VLOOKUP(CD$1,main!$A$3:$H$102,4,FALSE)+VLOOKUP($A83,main!$A$3:$H$102,4,FALSE)+(VLOOKUP(VLOOKUP(CD$1,main!$A$3:$H$102,8,FALSE),main!$K$19:$O$22,MATCH(VLOOKUP($A83,main!$A$3:$H$102,7,FALSE),main!$K$18:$O$18,0),0))),0)</f>
        <v>0</v>
      </c>
      <c r="CE83">
        <f>IF((gamma!CE83),IF(VLOOKUP(CE$1,main!$A$3:$H$102,7,FALSE)=VLOOKUP($A83,main!$A$3:$H$102,8,FALSE),VLOOKUP(CE$1,main!$A$3:$H$102,4,FALSE),VLOOKUP(CE$1,main!$A$3:$H$102,4,FALSE)+VLOOKUP($A83,main!$A$3:$H$102,4,FALSE)+(VLOOKUP(VLOOKUP(CE$1,main!$A$3:$H$102,8,FALSE),main!$K$19:$O$22,MATCH(VLOOKUP($A83,main!$A$3:$H$102,7,FALSE),main!$K$18:$O$18,0),0))),0)</f>
        <v>0</v>
      </c>
      <c r="CF83">
        <f>IF((gamma!CF83),IF(VLOOKUP(CF$1,main!$A$3:$H$102,7,FALSE)=VLOOKUP($A83,main!$A$3:$H$102,8,FALSE),VLOOKUP(CF$1,main!$A$3:$H$102,4,FALSE),VLOOKUP(CF$1,main!$A$3:$H$102,4,FALSE)+VLOOKUP($A83,main!$A$3:$H$102,4,FALSE)+(VLOOKUP(VLOOKUP(CF$1,main!$A$3:$H$102,8,FALSE),main!$K$19:$O$22,MATCH(VLOOKUP($A83,main!$A$3:$H$102,7,FALSE),main!$K$18:$O$18,0),0))),0)</f>
        <v>0</v>
      </c>
      <c r="CG83">
        <f>IF((gamma!CG83),IF(VLOOKUP(CG$1,main!$A$3:$H$102,7,FALSE)=VLOOKUP($A83,main!$A$3:$H$102,8,FALSE),VLOOKUP(CG$1,main!$A$3:$H$102,4,FALSE),VLOOKUP(CG$1,main!$A$3:$H$102,4,FALSE)+VLOOKUP($A83,main!$A$3:$H$102,4,FALSE)+(VLOOKUP(VLOOKUP(CG$1,main!$A$3:$H$102,8,FALSE),main!$K$19:$O$22,MATCH(VLOOKUP($A83,main!$A$3:$H$102,7,FALSE),main!$K$18:$O$18,0),0))),0)</f>
        <v>0</v>
      </c>
      <c r="CH83">
        <f>IF((gamma!CH83),IF(VLOOKUP(CH$1,main!$A$3:$H$102,7,FALSE)=VLOOKUP($A83,main!$A$3:$H$102,8,FALSE),VLOOKUP(CH$1,main!$A$3:$H$102,4,FALSE),VLOOKUP(CH$1,main!$A$3:$H$102,4,FALSE)+VLOOKUP($A83,main!$A$3:$H$102,4,FALSE)+(VLOOKUP(VLOOKUP(CH$1,main!$A$3:$H$102,8,FALSE),main!$K$19:$O$22,MATCH(VLOOKUP($A83,main!$A$3:$H$102,7,FALSE),main!$K$18:$O$18,0),0))),0)</f>
        <v>315</v>
      </c>
      <c r="CI83">
        <f>IF((gamma!CI83),IF(VLOOKUP(CI$1,main!$A$3:$H$102,7,FALSE)=VLOOKUP($A83,main!$A$3:$H$102,8,FALSE),VLOOKUP(CI$1,main!$A$3:$H$102,4,FALSE),VLOOKUP(CI$1,main!$A$3:$H$102,4,FALSE)+VLOOKUP($A83,main!$A$3:$H$102,4,FALSE)+(VLOOKUP(VLOOKUP(CI$1,main!$A$3:$H$102,8,FALSE),main!$K$19:$O$22,MATCH(VLOOKUP($A83,main!$A$3:$H$102,7,FALSE),main!$K$18:$O$18,0),0))),0)</f>
        <v>315</v>
      </c>
      <c r="CJ83">
        <f>IF((gamma!CJ83),IF(VLOOKUP(CJ$1,main!$A$3:$H$102,7,FALSE)=VLOOKUP($A83,main!$A$3:$H$102,8,FALSE),VLOOKUP(CJ$1,main!$A$3:$H$102,4,FALSE),VLOOKUP(CJ$1,main!$A$3:$H$102,4,FALSE)+VLOOKUP($A83,main!$A$3:$H$102,4,FALSE)+(VLOOKUP(VLOOKUP(CJ$1,main!$A$3:$H$102,8,FALSE),main!$K$19:$O$22,MATCH(VLOOKUP($A83,main!$A$3:$H$102,7,FALSE),main!$K$18:$O$18,0),0))),0)</f>
        <v>0</v>
      </c>
      <c r="CK83">
        <f>IF((gamma!CK83),IF(VLOOKUP(CK$1,main!$A$3:$H$102,7,FALSE)=VLOOKUP($A83,main!$A$3:$H$102,8,FALSE),VLOOKUP(CK$1,main!$A$3:$H$102,4,FALSE),VLOOKUP(CK$1,main!$A$3:$H$102,4,FALSE)+VLOOKUP($A83,main!$A$3:$H$102,4,FALSE)+(VLOOKUP(VLOOKUP(CK$1,main!$A$3:$H$102,8,FALSE),main!$K$19:$O$22,MATCH(VLOOKUP($A83,main!$A$3:$H$102,7,FALSE),main!$K$18:$O$18,0),0))),0)</f>
        <v>0</v>
      </c>
      <c r="CL83">
        <f>IF((gamma!CL83),IF(VLOOKUP(CL$1,main!$A$3:$H$102,7,FALSE)=VLOOKUP($A83,main!$A$3:$H$102,8,FALSE),VLOOKUP(CL$1,main!$A$3:$H$102,4,FALSE),VLOOKUP(CL$1,main!$A$3:$H$102,4,FALSE)+VLOOKUP($A83,main!$A$3:$H$102,4,FALSE)+(VLOOKUP(VLOOKUP(CL$1,main!$A$3:$H$102,8,FALSE),main!$K$19:$O$22,MATCH(VLOOKUP($A83,main!$A$3:$H$102,7,FALSE),main!$K$18:$O$18,0),0))),0)</f>
        <v>0</v>
      </c>
      <c r="CM83">
        <f>IF((gamma!CM83),IF(VLOOKUP(CM$1,main!$A$3:$H$102,7,FALSE)=VLOOKUP($A83,main!$A$3:$H$102,8,FALSE),VLOOKUP(CM$1,main!$A$3:$H$102,4,FALSE),VLOOKUP(CM$1,main!$A$3:$H$102,4,FALSE)+VLOOKUP($A83,main!$A$3:$H$102,4,FALSE)+(VLOOKUP(VLOOKUP(CM$1,main!$A$3:$H$102,8,FALSE),main!$K$19:$O$22,MATCH(VLOOKUP($A83,main!$A$3:$H$102,7,FALSE),main!$K$18:$O$18,0),0))),0)</f>
        <v>275</v>
      </c>
      <c r="CN83">
        <f>IF((gamma!CN83),IF(VLOOKUP(CN$1,main!$A$3:$H$102,7,FALSE)=VLOOKUP($A83,main!$A$3:$H$102,8,FALSE),VLOOKUP(CN$1,main!$A$3:$H$102,4,FALSE),VLOOKUP(CN$1,main!$A$3:$H$102,4,FALSE)+VLOOKUP($A83,main!$A$3:$H$102,4,FALSE)+(VLOOKUP(VLOOKUP(CN$1,main!$A$3:$H$102,8,FALSE),main!$K$19:$O$22,MATCH(VLOOKUP($A83,main!$A$3:$H$102,7,FALSE),main!$K$18:$O$18,0),0))),0)</f>
        <v>271</v>
      </c>
      <c r="CO83">
        <f>IF((gamma!CO83),IF(VLOOKUP(CO$1,main!$A$3:$H$102,7,FALSE)=VLOOKUP($A83,main!$A$3:$H$102,8,FALSE),VLOOKUP(CO$1,main!$A$3:$H$102,4,FALSE),VLOOKUP(CO$1,main!$A$3:$H$102,4,FALSE)+VLOOKUP($A83,main!$A$3:$H$102,4,FALSE)+(VLOOKUP(VLOOKUP(CO$1,main!$A$3:$H$102,8,FALSE),main!$K$19:$O$22,MATCH(VLOOKUP($A83,main!$A$3:$H$102,7,FALSE),main!$K$18:$O$18,0),0))),0)</f>
        <v>0</v>
      </c>
      <c r="CP83">
        <f>IF((gamma!CP83),IF(VLOOKUP(CP$1,main!$A$3:$H$102,7,FALSE)=VLOOKUP($A83,main!$A$3:$H$102,8,FALSE),VLOOKUP(CP$1,main!$A$3:$H$102,4,FALSE),VLOOKUP(CP$1,main!$A$3:$H$102,4,FALSE)+VLOOKUP($A83,main!$A$3:$H$102,4,FALSE)+(VLOOKUP(VLOOKUP(CP$1,main!$A$3:$H$102,8,FALSE),main!$K$19:$O$22,MATCH(VLOOKUP($A83,main!$A$3:$H$102,7,FALSE),main!$K$18:$O$18,0),0))),0)</f>
        <v>0</v>
      </c>
      <c r="CQ83">
        <f>IF((gamma!CQ83),IF(VLOOKUP(CQ$1,main!$A$3:$H$102,7,FALSE)=VLOOKUP($A83,main!$A$3:$H$102,8,FALSE),VLOOKUP(CQ$1,main!$A$3:$H$102,4,FALSE),VLOOKUP(CQ$1,main!$A$3:$H$102,4,FALSE)+VLOOKUP($A83,main!$A$3:$H$102,4,FALSE)+(VLOOKUP(VLOOKUP(CQ$1,main!$A$3:$H$102,8,FALSE),main!$K$19:$O$22,MATCH(VLOOKUP($A83,main!$A$3:$H$102,7,FALSE),main!$K$18:$O$18,0),0))),0)</f>
        <v>0</v>
      </c>
      <c r="CR83">
        <f>IF((gamma!CR83),IF(VLOOKUP(CR$1,main!$A$3:$H$102,7,FALSE)=VLOOKUP($A83,main!$A$3:$H$102,8,FALSE),VLOOKUP(CR$1,main!$A$3:$H$102,4,FALSE),VLOOKUP(CR$1,main!$A$3:$H$102,4,FALSE)+VLOOKUP($A83,main!$A$3:$H$102,4,FALSE)+(VLOOKUP(VLOOKUP(CR$1,main!$A$3:$H$102,8,FALSE),main!$K$19:$O$22,MATCH(VLOOKUP($A83,main!$A$3:$H$102,7,FALSE),main!$K$18:$O$18,0),0))),0)</f>
        <v>308</v>
      </c>
      <c r="CS83">
        <f>IF((gamma!CS83),IF(VLOOKUP(CS$1,main!$A$3:$H$102,7,FALSE)=VLOOKUP($A83,main!$A$3:$H$102,8,FALSE),VLOOKUP(CS$1,main!$A$3:$H$102,4,FALSE),VLOOKUP(CS$1,main!$A$3:$H$102,4,FALSE)+VLOOKUP($A83,main!$A$3:$H$102,4,FALSE)+(VLOOKUP(VLOOKUP(CS$1,main!$A$3:$H$102,8,FALSE),main!$K$19:$O$22,MATCH(VLOOKUP($A83,main!$A$3:$H$102,7,FALSE),main!$K$18:$O$18,0),0))),0)</f>
        <v>308</v>
      </c>
      <c r="CT83">
        <f>IF((gamma!CT83),IF(VLOOKUP(CT$1,main!$A$3:$H$102,7,FALSE)=VLOOKUP($A83,main!$A$3:$H$102,8,FALSE),VLOOKUP(CT$1,main!$A$3:$H$102,4,FALSE),VLOOKUP(CT$1,main!$A$3:$H$102,4,FALSE)+VLOOKUP($A83,main!$A$3:$H$102,4,FALSE)+(VLOOKUP(VLOOKUP(CT$1,main!$A$3:$H$102,8,FALSE),main!$K$19:$O$22,MATCH(VLOOKUP($A83,main!$A$3:$H$102,7,FALSE),main!$K$18:$O$18,0),0))),0)</f>
        <v>0</v>
      </c>
      <c r="CU83">
        <f>IF((gamma!CU83),IF(VLOOKUP(CU$1,main!$A$3:$H$102,7,FALSE)=VLOOKUP($A83,main!$A$3:$H$102,8,FALSE),VLOOKUP(CU$1,main!$A$3:$H$102,4,FALSE),VLOOKUP(CU$1,main!$A$3:$H$102,4,FALSE)+VLOOKUP($A83,main!$A$3:$H$102,4,FALSE)+(VLOOKUP(VLOOKUP(CU$1,main!$A$3:$H$102,8,FALSE),main!$K$19:$O$22,MATCH(VLOOKUP($A83,main!$A$3:$H$102,7,FALSE),main!$K$18:$O$18,0),0))),0)</f>
        <v>0</v>
      </c>
      <c r="CV83">
        <f>IF((gamma!CV83),IF(VLOOKUP(CV$1,main!$A$3:$H$102,7,FALSE)=VLOOKUP($A83,main!$A$3:$H$102,8,FALSE),VLOOKUP(CV$1,main!$A$3:$H$102,4,FALSE),VLOOKUP(CV$1,main!$A$3:$H$102,4,FALSE)+VLOOKUP($A83,main!$A$3:$H$102,4,FALSE)+(VLOOKUP(VLOOKUP(CV$1,main!$A$3:$H$102,8,FALSE),main!$K$19:$O$22,MATCH(VLOOKUP($A83,main!$A$3:$H$102,7,FALSE),main!$K$18:$O$18,0),0))),0)</f>
        <v>0</v>
      </c>
      <c r="CW83">
        <f>IF((gamma!CW83),IF(VLOOKUP(CW$1,main!$A$3:$H$102,7,FALSE)=VLOOKUP($A83,main!$A$3:$H$102,8,FALSE),VLOOKUP(CW$1,main!$A$3:$H$102,4,FALSE),VLOOKUP(CW$1,main!$A$3:$H$102,4,FALSE)+VLOOKUP($A83,main!$A$3:$H$102,4,FALSE)+(VLOOKUP(VLOOKUP(CW$1,main!$A$3:$H$102,8,FALSE),main!$K$19:$O$22,MATCH(VLOOKUP($A83,main!$A$3:$H$102,7,FALSE),main!$K$18:$O$18,0),0))),0)</f>
        <v>268</v>
      </c>
      <c r="CX83">
        <f>IF((gamma!CX83),IF(VLOOKUP(CX$1,main!$A$3:$H$102,7,FALSE)=VLOOKUP($A83,main!$A$3:$H$102,8,FALSE),VLOOKUP(CX$1,main!$A$3:$H$102,4,FALSE),VLOOKUP(CX$1,main!$A$3:$H$102,4,FALSE)+VLOOKUP($A83,main!$A$3:$H$102,4,FALSE)+(VLOOKUP(VLOOKUP(CX$1,main!$A$3:$H$102,8,FALSE),main!$K$19:$O$22,MATCH(VLOOKUP($A83,main!$A$3:$H$102,7,FALSE),main!$K$18:$O$18,0),0))),0)</f>
        <v>258</v>
      </c>
      <c r="CY83">
        <v>0</v>
      </c>
      <c r="CZ83">
        <v>0</v>
      </c>
      <c r="DA83">
        <v>0</v>
      </c>
    </row>
    <row r="84" spans="1:105" x14ac:dyDescent="0.25">
      <c r="A84" s="1">
        <v>82</v>
      </c>
      <c r="B84">
        <v>0</v>
      </c>
      <c r="C84">
        <f>IF((gamma!C84),IF(VLOOKUP(C$1,main!$A$3:$H$102,7,FALSE)=VLOOKUP($A84,main!$A$3:$H$102,8,FALSE),VLOOKUP(C$1,main!$A$3:$H$102,4,FALSE),VLOOKUP(C$1,main!$A$3:$H$102,4,FALSE)+VLOOKUP($A84,main!$A$3:$H$102,4,FALSE)+(VLOOKUP(VLOOKUP(C$1,main!$A$3:$H$102,8,FALSE),main!$K$19:$O$22,MATCH(VLOOKUP($A84,main!$A$3:$H$102,7,FALSE),main!$K$18:$O$18,0),0))),0)</f>
        <v>0</v>
      </c>
      <c r="D84">
        <f>IF((gamma!D84),IF(VLOOKUP(D$1,main!$A$3:$H$102,7,FALSE)=VLOOKUP($A84,main!$A$3:$H$102,8,FALSE),VLOOKUP(D$1,main!$A$3:$H$102,4,FALSE),VLOOKUP(D$1,main!$A$3:$H$102,4,FALSE)+VLOOKUP($A84,main!$A$3:$H$102,4,FALSE)+(VLOOKUP(VLOOKUP(D$1,main!$A$3:$H$102,8,FALSE),main!$K$19:$O$22,MATCH(VLOOKUP($A84,main!$A$3:$H$102,7,FALSE),main!$K$18:$O$18,0),0))),0)</f>
        <v>0</v>
      </c>
      <c r="E84">
        <f>IF((gamma!E84),IF(VLOOKUP(E$1,main!$A$3:$H$102,7,FALSE)=VLOOKUP($A84,main!$A$3:$H$102,8,FALSE),VLOOKUP(E$1,main!$A$3:$H$102,4,FALSE),VLOOKUP(E$1,main!$A$3:$H$102,4,FALSE)+VLOOKUP($A84,main!$A$3:$H$102,4,FALSE)+(VLOOKUP(VLOOKUP(E$1,main!$A$3:$H$102,8,FALSE),main!$K$19:$O$22,MATCH(VLOOKUP($A84,main!$A$3:$H$102,7,FALSE),main!$K$18:$O$18,0),0))),0)</f>
        <v>0</v>
      </c>
      <c r="F84">
        <f>IF((gamma!F84),IF(VLOOKUP(F$1,main!$A$3:$H$102,7,FALSE)=VLOOKUP($A84,main!$A$3:$H$102,8,FALSE),VLOOKUP(F$1,main!$A$3:$H$102,4,FALSE),VLOOKUP(F$1,main!$A$3:$H$102,4,FALSE)+VLOOKUP($A84,main!$A$3:$H$102,4,FALSE)+(VLOOKUP(VLOOKUP(F$1,main!$A$3:$H$102,8,FALSE),main!$K$19:$O$22,MATCH(VLOOKUP($A84,main!$A$3:$H$102,7,FALSE),main!$K$18:$O$18,0),0))),0)</f>
        <v>0</v>
      </c>
      <c r="G84">
        <f>IF((gamma!G84),IF(VLOOKUP(G$1,main!$A$3:$H$102,7,FALSE)=VLOOKUP($A84,main!$A$3:$H$102,8,FALSE),VLOOKUP(G$1,main!$A$3:$H$102,4,FALSE),VLOOKUP(G$1,main!$A$3:$H$102,4,FALSE)+VLOOKUP($A84,main!$A$3:$H$102,4,FALSE)+(VLOOKUP(VLOOKUP(G$1,main!$A$3:$H$102,8,FALSE),main!$K$19:$O$22,MATCH(VLOOKUP($A84,main!$A$3:$H$102,7,FALSE),main!$K$18:$O$18,0),0))),0)</f>
        <v>0</v>
      </c>
      <c r="H84">
        <f>IF((gamma!H84),IF(VLOOKUP(H$1,main!$A$3:$H$102,7,FALSE)=VLOOKUP($A84,main!$A$3:$H$102,8,FALSE),VLOOKUP(H$1,main!$A$3:$H$102,4,FALSE),VLOOKUP(H$1,main!$A$3:$H$102,4,FALSE)+VLOOKUP($A84,main!$A$3:$H$102,4,FALSE)+(VLOOKUP(VLOOKUP(H$1,main!$A$3:$H$102,8,FALSE),main!$K$19:$O$22,MATCH(VLOOKUP($A84,main!$A$3:$H$102,7,FALSE),main!$K$18:$O$18,0),0))),0)</f>
        <v>135</v>
      </c>
      <c r="I84">
        <f>IF((gamma!I84),IF(VLOOKUP(I$1,main!$A$3:$H$102,7,FALSE)=VLOOKUP($A84,main!$A$3:$H$102,8,FALSE),VLOOKUP(I$1,main!$A$3:$H$102,4,FALSE),VLOOKUP(I$1,main!$A$3:$H$102,4,FALSE)+VLOOKUP($A84,main!$A$3:$H$102,4,FALSE)+(VLOOKUP(VLOOKUP(I$1,main!$A$3:$H$102,8,FALSE),main!$K$19:$O$22,MATCH(VLOOKUP($A84,main!$A$3:$H$102,7,FALSE),main!$K$18:$O$18,0),0))),0)</f>
        <v>135</v>
      </c>
      <c r="J84">
        <f>IF((gamma!J84),IF(VLOOKUP(J$1,main!$A$3:$H$102,7,FALSE)=VLOOKUP($A84,main!$A$3:$H$102,8,FALSE),VLOOKUP(J$1,main!$A$3:$H$102,4,FALSE),VLOOKUP(J$1,main!$A$3:$H$102,4,FALSE)+VLOOKUP($A84,main!$A$3:$H$102,4,FALSE)+(VLOOKUP(VLOOKUP(J$1,main!$A$3:$H$102,8,FALSE),main!$K$19:$O$22,MATCH(VLOOKUP($A84,main!$A$3:$H$102,7,FALSE),main!$K$18:$O$18,0),0))),0)</f>
        <v>135</v>
      </c>
      <c r="K84">
        <f>IF((gamma!K84),IF(VLOOKUP(K$1,main!$A$3:$H$102,7,FALSE)=VLOOKUP($A84,main!$A$3:$H$102,8,FALSE),VLOOKUP(K$1,main!$A$3:$H$102,4,FALSE),VLOOKUP(K$1,main!$A$3:$H$102,4,FALSE)+VLOOKUP($A84,main!$A$3:$H$102,4,FALSE)+(VLOOKUP(VLOOKUP(K$1,main!$A$3:$H$102,8,FALSE),main!$K$19:$O$22,MATCH(VLOOKUP($A84,main!$A$3:$H$102,7,FALSE),main!$K$18:$O$18,0),0))),0)</f>
        <v>135</v>
      </c>
      <c r="L84">
        <f>IF((gamma!L84),IF(VLOOKUP(L$1,main!$A$3:$H$102,7,FALSE)=VLOOKUP($A84,main!$A$3:$H$102,8,FALSE),VLOOKUP(L$1,main!$A$3:$H$102,4,FALSE),VLOOKUP(L$1,main!$A$3:$H$102,4,FALSE)+VLOOKUP($A84,main!$A$3:$H$102,4,FALSE)+(VLOOKUP(VLOOKUP(L$1,main!$A$3:$H$102,8,FALSE),main!$K$19:$O$22,MATCH(VLOOKUP($A84,main!$A$3:$H$102,7,FALSE),main!$K$18:$O$18,0),0))),0)</f>
        <v>135</v>
      </c>
      <c r="M84">
        <f>IF((gamma!M84),IF(VLOOKUP(M$1,main!$A$3:$H$102,7,FALSE)=VLOOKUP($A84,main!$A$3:$H$102,8,FALSE),VLOOKUP(M$1,main!$A$3:$H$102,4,FALSE),VLOOKUP(M$1,main!$A$3:$H$102,4,FALSE)+VLOOKUP($A84,main!$A$3:$H$102,4,FALSE)+(VLOOKUP(VLOOKUP(M$1,main!$A$3:$H$102,8,FALSE),main!$K$19:$O$22,MATCH(VLOOKUP($A84,main!$A$3:$H$102,7,FALSE),main!$K$18:$O$18,0),0))),0)</f>
        <v>0</v>
      </c>
      <c r="N84">
        <f>IF((gamma!N84),IF(VLOOKUP(N$1,main!$A$3:$H$102,7,FALSE)=VLOOKUP($A84,main!$A$3:$H$102,8,FALSE),VLOOKUP(N$1,main!$A$3:$H$102,4,FALSE),VLOOKUP(N$1,main!$A$3:$H$102,4,FALSE)+VLOOKUP($A84,main!$A$3:$H$102,4,FALSE)+(VLOOKUP(VLOOKUP(N$1,main!$A$3:$H$102,8,FALSE),main!$K$19:$O$22,MATCH(VLOOKUP($A84,main!$A$3:$H$102,7,FALSE),main!$K$18:$O$18,0),0))),0)</f>
        <v>0</v>
      </c>
      <c r="O84">
        <f>IF((gamma!O84),IF(VLOOKUP(O$1,main!$A$3:$H$102,7,FALSE)=VLOOKUP($A84,main!$A$3:$H$102,8,FALSE),VLOOKUP(O$1,main!$A$3:$H$102,4,FALSE),VLOOKUP(O$1,main!$A$3:$H$102,4,FALSE)+VLOOKUP($A84,main!$A$3:$H$102,4,FALSE)+(VLOOKUP(VLOOKUP(O$1,main!$A$3:$H$102,8,FALSE),main!$K$19:$O$22,MATCH(VLOOKUP($A84,main!$A$3:$H$102,7,FALSE),main!$K$18:$O$18,0),0))),0)</f>
        <v>0</v>
      </c>
      <c r="P84">
        <f>IF((gamma!P84),IF(VLOOKUP(P$1,main!$A$3:$H$102,7,FALSE)=VLOOKUP($A84,main!$A$3:$H$102,8,FALSE),VLOOKUP(P$1,main!$A$3:$H$102,4,FALSE),VLOOKUP(P$1,main!$A$3:$H$102,4,FALSE)+VLOOKUP($A84,main!$A$3:$H$102,4,FALSE)+(VLOOKUP(VLOOKUP(P$1,main!$A$3:$H$102,8,FALSE),main!$K$19:$O$22,MATCH(VLOOKUP($A84,main!$A$3:$H$102,7,FALSE),main!$K$18:$O$18,0),0))),0)</f>
        <v>0</v>
      </c>
      <c r="Q84">
        <f>IF((gamma!Q84),IF(VLOOKUP(Q$1,main!$A$3:$H$102,7,FALSE)=VLOOKUP($A84,main!$A$3:$H$102,8,FALSE),VLOOKUP(Q$1,main!$A$3:$H$102,4,FALSE),VLOOKUP(Q$1,main!$A$3:$H$102,4,FALSE)+VLOOKUP($A84,main!$A$3:$H$102,4,FALSE)+(VLOOKUP(VLOOKUP(Q$1,main!$A$3:$H$102,8,FALSE),main!$K$19:$O$22,MATCH(VLOOKUP($A84,main!$A$3:$H$102,7,FALSE),main!$K$18:$O$18,0),0))),0)</f>
        <v>0</v>
      </c>
      <c r="R84">
        <f>IF((gamma!R84),IF(VLOOKUP(R$1,main!$A$3:$H$102,7,FALSE)=VLOOKUP($A84,main!$A$3:$H$102,8,FALSE),VLOOKUP(R$1,main!$A$3:$H$102,4,FALSE),VLOOKUP(R$1,main!$A$3:$H$102,4,FALSE)+VLOOKUP($A84,main!$A$3:$H$102,4,FALSE)+(VLOOKUP(VLOOKUP(R$1,main!$A$3:$H$102,8,FALSE),main!$K$19:$O$22,MATCH(VLOOKUP($A84,main!$A$3:$H$102,7,FALSE),main!$K$18:$O$18,0),0))),0)</f>
        <v>0</v>
      </c>
      <c r="S84">
        <f>IF((gamma!S84),IF(VLOOKUP(S$1,main!$A$3:$H$102,7,FALSE)=VLOOKUP($A84,main!$A$3:$H$102,8,FALSE),VLOOKUP(S$1,main!$A$3:$H$102,4,FALSE),VLOOKUP(S$1,main!$A$3:$H$102,4,FALSE)+VLOOKUP($A84,main!$A$3:$H$102,4,FALSE)+(VLOOKUP(VLOOKUP(S$1,main!$A$3:$H$102,8,FALSE),main!$K$19:$O$22,MATCH(VLOOKUP($A84,main!$A$3:$H$102,7,FALSE),main!$K$18:$O$18,0),0))),0)</f>
        <v>140</v>
      </c>
      <c r="T84">
        <f>IF((gamma!T84),IF(VLOOKUP(T$1,main!$A$3:$H$102,7,FALSE)=VLOOKUP($A84,main!$A$3:$H$102,8,FALSE),VLOOKUP(T$1,main!$A$3:$H$102,4,FALSE),VLOOKUP(T$1,main!$A$3:$H$102,4,FALSE)+VLOOKUP($A84,main!$A$3:$H$102,4,FALSE)+(VLOOKUP(VLOOKUP(T$1,main!$A$3:$H$102,8,FALSE),main!$K$19:$O$22,MATCH(VLOOKUP($A84,main!$A$3:$H$102,7,FALSE),main!$K$18:$O$18,0),0))),0)</f>
        <v>140</v>
      </c>
      <c r="U84">
        <f>IF((gamma!U84),IF(VLOOKUP(U$1,main!$A$3:$H$102,7,FALSE)=VLOOKUP($A84,main!$A$3:$H$102,8,FALSE),VLOOKUP(U$1,main!$A$3:$H$102,4,FALSE),VLOOKUP(U$1,main!$A$3:$H$102,4,FALSE)+VLOOKUP($A84,main!$A$3:$H$102,4,FALSE)+(VLOOKUP(VLOOKUP(U$1,main!$A$3:$H$102,8,FALSE),main!$K$19:$O$22,MATCH(VLOOKUP($A84,main!$A$3:$H$102,7,FALSE),main!$K$18:$O$18,0),0))),0)</f>
        <v>140</v>
      </c>
      <c r="V84">
        <f>IF((gamma!V84),IF(VLOOKUP(V$1,main!$A$3:$H$102,7,FALSE)=VLOOKUP($A84,main!$A$3:$H$102,8,FALSE),VLOOKUP(V$1,main!$A$3:$H$102,4,FALSE),VLOOKUP(V$1,main!$A$3:$H$102,4,FALSE)+VLOOKUP($A84,main!$A$3:$H$102,4,FALSE)+(VLOOKUP(VLOOKUP(V$1,main!$A$3:$H$102,8,FALSE),main!$K$19:$O$22,MATCH(VLOOKUP($A84,main!$A$3:$H$102,7,FALSE),main!$K$18:$O$18,0),0))),0)</f>
        <v>140</v>
      </c>
      <c r="W84">
        <f>IF((gamma!W84),IF(VLOOKUP(W$1,main!$A$3:$H$102,7,FALSE)=VLOOKUP($A84,main!$A$3:$H$102,8,FALSE),VLOOKUP(W$1,main!$A$3:$H$102,4,FALSE),VLOOKUP(W$1,main!$A$3:$H$102,4,FALSE)+VLOOKUP($A84,main!$A$3:$H$102,4,FALSE)+(VLOOKUP(VLOOKUP(W$1,main!$A$3:$H$102,8,FALSE),main!$K$19:$O$22,MATCH(VLOOKUP($A84,main!$A$3:$H$102,7,FALSE),main!$K$18:$O$18,0),0))),0)</f>
        <v>0</v>
      </c>
      <c r="X84">
        <f>IF((gamma!X84),IF(VLOOKUP(X$1,main!$A$3:$H$102,7,FALSE)=VLOOKUP($A84,main!$A$3:$H$102,8,FALSE),VLOOKUP(X$1,main!$A$3:$H$102,4,FALSE),VLOOKUP(X$1,main!$A$3:$H$102,4,FALSE)+VLOOKUP($A84,main!$A$3:$H$102,4,FALSE)+(VLOOKUP(VLOOKUP(X$1,main!$A$3:$H$102,8,FALSE),main!$K$19:$O$22,MATCH(VLOOKUP($A84,main!$A$3:$H$102,7,FALSE),main!$K$18:$O$18,0),0))),0)</f>
        <v>0</v>
      </c>
      <c r="Y84">
        <f>IF((gamma!Y84),IF(VLOOKUP(Y$1,main!$A$3:$H$102,7,FALSE)=VLOOKUP($A84,main!$A$3:$H$102,8,FALSE),VLOOKUP(Y$1,main!$A$3:$H$102,4,FALSE),VLOOKUP(Y$1,main!$A$3:$H$102,4,FALSE)+VLOOKUP($A84,main!$A$3:$H$102,4,FALSE)+(VLOOKUP(VLOOKUP(Y$1,main!$A$3:$H$102,8,FALSE),main!$K$19:$O$22,MATCH(VLOOKUP($A84,main!$A$3:$H$102,7,FALSE),main!$K$18:$O$18,0),0))),0)</f>
        <v>0</v>
      </c>
      <c r="Z84">
        <f>IF((gamma!Z84),IF(VLOOKUP(Z$1,main!$A$3:$H$102,7,FALSE)=VLOOKUP($A84,main!$A$3:$H$102,8,FALSE),VLOOKUP(Z$1,main!$A$3:$H$102,4,FALSE),VLOOKUP(Z$1,main!$A$3:$H$102,4,FALSE)+VLOOKUP($A84,main!$A$3:$H$102,4,FALSE)+(VLOOKUP(VLOOKUP(Z$1,main!$A$3:$H$102,8,FALSE),main!$K$19:$O$22,MATCH(VLOOKUP($A84,main!$A$3:$H$102,7,FALSE),main!$K$18:$O$18,0),0))),0)</f>
        <v>140</v>
      </c>
      <c r="AA84">
        <f>IF((gamma!AA84),IF(VLOOKUP(AA$1,main!$A$3:$H$102,7,FALSE)=VLOOKUP($A84,main!$A$3:$H$102,8,FALSE),VLOOKUP(AA$1,main!$A$3:$H$102,4,FALSE),VLOOKUP(AA$1,main!$A$3:$H$102,4,FALSE)+VLOOKUP($A84,main!$A$3:$H$102,4,FALSE)+(VLOOKUP(VLOOKUP(AA$1,main!$A$3:$H$102,8,FALSE),main!$K$19:$O$22,MATCH(VLOOKUP($A84,main!$A$3:$H$102,7,FALSE),main!$K$18:$O$18,0),0))),0)</f>
        <v>140</v>
      </c>
      <c r="AB84">
        <f>IF((gamma!AB84),IF(VLOOKUP(AB$1,main!$A$3:$H$102,7,FALSE)=VLOOKUP($A84,main!$A$3:$H$102,8,FALSE),VLOOKUP(AB$1,main!$A$3:$H$102,4,FALSE),VLOOKUP(AB$1,main!$A$3:$H$102,4,FALSE)+VLOOKUP($A84,main!$A$3:$H$102,4,FALSE)+(VLOOKUP(VLOOKUP(AB$1,main!$A$3:$H$102,8,FALSE),main!$K$19:$O$22,MATCH(VLOOKUP($A84,main!$A$3:$H$102,7,FALSE),main!$K$18:$O$18,0),0))),0)</f>
        <v>0</v>
      </c>
      <c r="AC84">
        <f>IF((gamma!AC84),IF(VLOOKUP(AC$1,main!$A$3:$H$102,7,FALSE)=VLOOKUP($A84,main!$A$3:$H$102,8,FALSE),VLOOKUP(AC$1,main!$A$3:$H$102,4,FALSE),VLOOKUP(AC$1,main!$A$3:$H$102,4,FALSE)+VLOOKUP($A84,main!$A$3:$H$102,4,FALSE)+(VLOOKUP(VLOOKUP(AC$1,main!$A$3:$H$102,8,FALSE),main!$K$19:$O$22,MATCH(VLOOKUP($A84,main!$A$3:$H$102,7,FALSE),main!$K$18:$O$18,0),0))),0)</f>
        <v>0</v>
      </c>
      <c r="AD84">
        <f>IF((gamma!AD84),IF(VLOOKUP(AD$1,main!$A$3:$H$102,7,FALSE)=VLOOKUP($A84,main!$A$3:$H$102,8,FALSE),VLOOKUP(AD$1,main!$A$3:$H$102,4,FALSE),VLOOKUP(AD$1,main!$A$3:$H$102,4,FALSE)+VLOOKUP($A84,main!$A$3:$H$102,4,FALSE)+(VLOOKUP(VLOOKUP(AD$1,main!$A$3:$H$102,8,FALSE),main!$K$19:$O$22,MATCH(VLOOKUP($A84,main!$A$3:$H$102,7,FALSE),main!$K$18:$O$18,0),0))),0)</f>
        <v>0</v>
      </c>
      <c r="AE84">
        <f>IF((gamma!AE84),IF(VLOOKUP(AE$1,main!$A$3:$H$102,7,FALSE)=VLOOKUP($A84,main!$A$3:$H$102,8,FALSE),VLOOKUP(AE$1,main!$A$3:$H$102,4,FALSE),VLOOKUP(AE$1,main!$A$3:$H$102,4,FALSE)+VLOOKUP($A84,main!$A$3:$H$102,4,FALSE)+(VLOOKUP(VLOOKUP(AE$1,main!$A$3:$H$102,8,FALSE),main!$K$19:$O$22,MATCH(VLOOKUP($A84,main!$A$3:$H$102,7,FALSE),main!$K$18:$O$18,0),0))),0)</f>
        <v>140</v>
      </c>
      <c r="AF84">
        <f>IF((gamma!AF84),IF(VLOOKUP(AF$1,main!$A$3:$H$102,7,FALSE)=VLOOKUP($A84,main!$A$3:$H$102,8,FALSE),VLOOKUP(AF$1,main!$A$3:$H$102,4,FALSE),VLOOKUP(AF$1,main!$A$3:$H$102,4,FALSE)+VLOOKUP($A84,main!$A$3:$H$102,4,FALSE)+(VLOOKUP(VLOOKUP(AF$1,main!$A$3:$H$102,8,FALSE),main!$K$19:$O$22,MATCH(VLOOKUP($A84,main!$A$3:$H$102,7,FALSE),main!$K$18:$O$18,0),0))),0)</f>
        <v>100</v>
      </c>
      <c r="AG84">
        <f>IF((gamma!AG84),IF(VLOOKUP(AG$1,main!$A$3:$H$102,7,FALSE)=VLOOKUP($A84,main!$A$3:$H$102,8,FALSE),VLOOKUP(AG$1,main!$A$3:$H$102,4,FALSE),VLOOKUP(AG$1,main!$A$3:$H$102,4,FALSE)+VLOOKUP($A84,main!$A$3:$H$102,4,FALSE)+(VLOOKUP(VLOOKUP(AG$1,main!$A$3:$H$102,8,FALSE),main!$K$19:$O$22,MATCH(VLOOKUP($A84,main!$A$3:$H$102,7,FALSE),main!$K$18:$O$18,0),0))),0)</f>
        <v>0</v>
      </c>
      <c r="AH84">
        <f>IF((gamma!AH84),IF(VLOOKUP(AH$1,main!$A$3:$H$102,7,FALSE)=VLOOKUP($A84,main!$A$3:$H$102,8,FALSE),VLOOKUP(AH$1,main!$A$3:$H$102,4,FALSE),VLOOKUP(AH$1,main!$A$3:$H$102,4,FALSE)+VLOOKUP($A84,main!$A$3:$H$102,4,FALSE)+(VLOOKUP(VLOOKUP(AH$1,main!$A$3:$H$102,8,FALSE),main!$K$19:$O$22,MATCH(VLOOKUP($A84,main!$A$3:$H$102,7,FALSE),main!$K$18:$O$18,0),0))),0)</f>
        <v>0</v>
      </c>
      <c r="AI84">
        <f>IF((gamma!AI84),IF(VLOOKUP(AI$1,main!$A$3:$H$102,7,FALSE)=VLOOKUP($A84,main!$A$3:$H$102,8,FALSE),VLOOKUP(AI$1,main!$A$3:$H$102,4,FALSE),VLOOKUP(AI$1,main!$A$3:$H$102,4,FALSE)+VLOOKUP($A84,main!$A$3:$H$102,4,FALSE)+(VLOOKUP(VLOOKUP(AI$1,main!$A$3:$H$102,8,FALSE),main!$K$19:$O$22,MATCH(VLOOKUP($A84,main!$A$3:$H$102,7,FALSE),main!$K$18:$O$18,0),0))),0)</f>
        <v>0</v>
      </c>
      <c r="AJ84">
        <f>IF((gamma!AJ84),IF(VLOOKUP(AJ$1,main!$A$3:$H$102,7,FALSE)=VLOOKUP($A84,main!$A$3:$H$102,8,FALSE),VLOOKUP(AJ$1,main!$A$3:$H$102,4,FALSE),VLOOKUP(AJ$1,main!$A$3:$H$102,4,FALSE)+VLOOKUP($A84,main!$A$3:$H$102,4,FALSE)+(VLOOKUP(VLOOKUP(AJ$1,main!$A$3:$H$102,8,FALSE),main!$K$19:$O$22,MATCH(VLOOKUP($A84,main!$A$3:$H$102,7,FALSE),main!$K$18:$O$18,0),0))),0)</f>
        <v>0</v>
      </c>
      <c r="AK84">
        <f>IF((gamma!AK84),IF(VLOOKUP(AK$1,main!$A$3:$H$102,7,FALSE)=VLOOKUP($A84,main!$A$3:$H$102,8,FALSE),VLOOKUP(AK$1,main!$A$3:$H$102,4,FALSE),VLOOKUP(AK$1,main!$A$3:$H$102,4,FALSE)+VLOOKUP($A84,main!$A$3:$H$102,4,FALSE)+(VLOOKUP(VLOOKUP(AK$1,main!$A$3:$H$102,8,FALSE),main!$K$19:$O$22,MATCH(VLOOKUP($A84,main!$A$3:$H$102,7,FALSE),main!$K$18:$O$18,0),0))),0)</f>
        <v>0</v>
      </c>
      <c r="AL84">
        <f>IF((gamma!AL84),IF(VLOOKUP(AL$1,main!$A$3:$H$102,7,FALSE)=VLOOKUP($A84,main!$A$3:$H$102,8,FALSE),VLOOKUP(AL$1,main!$A$3:$H$102,4,FALSE),VLOOKUP(AL$1,main!$A$3:$H$102,4,FALSE)+VLOOKUP($A84,main!$A$3:$H$102,4,FALSE)+(VLOOKUP(VLOOKUP(AL$1,main!$A$3:$H$102,8,FALSE),main!$K$19:$O$22,MATCH(VLOOKUP($A84,main!$A$3:$H$102,7,FALSE),main!$K$18:$O$18,0),0))),0)</f>
        <v>305</v>
      </c>
      <c r="AM84">
        <f>IF((gamma!AM84),IF(VLOOKUP(AM$1,main!$A$3:$H$102,7,FALSE)=VLOOKUP($A84,main!$A$3:$H$102,8,FALSE),VLOOKUP(AM$1,main!$A$3:$H$102,4,FALSE),VLOOKUP(AM$1,main!$A$3:$H$102,4,FALSE)+VLOOKUP($A84,main!$A$3:$H$102,4,FALSE)+(VLOOKUP(VLOOKUP(AM$1,main!$A$3:$H$102,8,FALSE),main!$K$19:$O$22,MATCH(VLOOKUP($A84,main!$A$3:$H$102,7,FALSE),main!$K$18:$O$18,0),0))),0)</f>
        <v>305</v>
      </c>
      <c r="AN84">
        <f>IF((gamma!AN84),IF(VLOOKUP(AN$1,main!$A$3:$H$102,7,FALSE)=VLOOKUP($A84,main!$A$3:$H$102,8,FALSE),VLOOKUP(AN$1,main!$A$3:$H$102,4,FALSE),VLOOKUP(AN$1,main!$A$3:$H$102,4,FALSE)+VLOOKUP($A84,main!$A$3:$H$102,4,FALSE)+(VLOOKUP(VLOOKUP(AN$1,main!$A$3:$H$102,8,FALSE),main!$K$19:$O$22,MATCH(VLOOKUP($A84,main!$A$3:$H$102,7,FALSE),main!$K$18:$O$18,0),0))),0)</f>
        <v>305</v>
      </c>
      <c r="AO84">
        <f>IF((gamma!AO84),IF(VLOOKUP(AO$1,main!$A$3:$H$102,7,FALSE)=VLOOKUP($A84,main!$A$3:$H$102,8,FALSE),VLOOKUP(AO$1,main!$A$3:$H$102,4,FALSE),VLOOKUP(AO$1,main!$A$3:$H$102,4,FALSE)+VLOOKUP($A84,main!$A$3:$H$102,4,FALSE)+(VLOOKUP(VLOOKUP(AO$1,main!$A$3:$H$102,8,FALSE),main!$K$19:$O$22,MATCH(VLOOKUP($A84,main!$A$3:$H$102,7,FALSE),main!$K$18:$O$18,0),0))),0)</f>
        <v>0</v>
      </c>
      <c r="AP84">
        <f>IF((gamma!AP84),IF(VLOOKUP(AP$1,main!$A$3:$H$102,7,FALSE)=VLOOKUP($A84,main!$A$3:$H$102,8,FALSE),VLOOKUP(AP$1,main!$A$3:$H$102,4,FALSE),VLOOKUP(AP$1,main!$A$3:$H$102,4,FALSE)+VLOOKUP($A84,main!$A$3:$H$102,4,FALSE)+(VLOOKUP(VLOOKUP(AP$1,main!$A$3:$H$102,8,FALSE),main!$K$19:$O$22,MATCH(VLOOKUP($A84,main!$A$3:$H$102,7,FALSE),main!$K$18:$O$18,0),0))),0)</f>
        <v>245</v>
      </c>
      <c r="AQ84">
        <f>IF((gamma!AQ84),IF(VLOOKUP(AQ$1,main!$A$3:$H$102,7,FALSE)=VLOOKUP($A84,main!$A$3:$H$102,8,FALSE),VLOOKUP(AQ$1,main!$A$3:$H$102,4,FALSE),VLOOKUP(AQ$1,main!$A$3:$H$102,4,FALSE)+VLOOKUP($A84,main!$A$3:$H$102,4,FALSE)+(VLOOKUP(VLOOKUP(AQ$1,main!$A$3:$H$102,8,FALSE),main!$K$19:$O$22,MATCH(VLOOKUP($A84,main!$A$3:$H$102,7,FALSE),main!$K$18:$O$18,0),0))),0)</f>
        <v>0</v>
      </c>
      <c r="AR84">
        <f>IF((gamma!AR84),IF(VLOOKUP(AR$1,main!$A$3:$H$102,7,FALSE)=VLOOKUP($A84,main!$A$3:$H$102,8,FALSE),VLOOKUP(AR$1,main!$A$3:$H$102,4,FALSE),VLOOKUP(AR$1,main!$A$3:$H$102,4,FALSE)+VLOOKUP($A84,main!$A$3:$H$102,4,FALSE)+(VLOOKUP(VLOOKUP(AR$1,main!$A$3:$H$102,8,FALSE),main!$K$19:$O$22,MATCH(VLOOKUP($A84,main!$A$3:$H$102,7,FALSE),main!$K$18:$O$18,0),0))),0)</f>
        <v>0</v>
      </c>
      <c r="AS84">
        <f>IF((gamma!AS84),IF(VLOOKUP(AS$1,main!$A$3:$H$102,7,FALSE)=VLOOKUP($A84,main!$A$3:$H$102,8,FALSE),VLOOKUP(AS$1,main!$A$3:$H$102,4,FALSE),VLOOKUP(AS$1,main!$A$3:$H$102,4,FALSE)+VLOOKUP($A84,main!$A$3:$H$102,4,FALSE)+(VLOOKUP(VLOOKUP(AS$1,main!$A$3:$H$102,8,FALSE),main!$K$19:$O$22,MATCH(VLOOKUP($A84,main!$A$3:$H$102,7,FALSE),main!$K$18:$O$18,0),0))),0)</f>
        <v>0</v>
      </c>
      <c r="AT84">
        <f>IF((gamma!AT84),IF(VLOOKUP(AT$1,main!$A$3:$H$102,7,FALSE)=VLOOKUP($A84,main!$A$3:$H$102,8,FALSE),VLOOKUP(AT$1,main!$A$3:$H$102,4,FALSE),VLOOKUP(AT$1,main!$A$3:$H$102,4,FALSE)+VLOOKUP($A84,main!$A$3:$H$102,4,FALSE)+(VLOOKUP(VLOOKUP(AT$1,main!$A$3:$H$102,8,FALSE),main!$K$19:$O$22,MATCH(VLOOKUP($A84,main!$A$3:$H$102,7,FALSE),main!$K$18:$O$18,0),0))),0)</f>
        <v>298</v>
      </c>
      <c r="AU84">
        <f>IF((gamma!AU84),IF(VLOOKUP(AU$1,main!$A$3:$H$102,7,FALSE)=VLOOKUP($A84,main!$A$3:$H$102,8,FALSE),VLOOKUP(AU$1,main!$A$3:$H$102,4,FALSE),VLOOKUP(AU$1,main!$A$3:$H$102,4,FALSE)+VLOOKUP($A84,main!$A$3:$H$102,4,FALSE)+(VLOOKUP(VLOOKUP(AU$1,main!$A$3:$H$102,8,FALSE),main!$K$19:$O$22,MATCH(VLOOKUP($A84,main!$A$3:$H$102,7,FALSE),main!$K$18:$O$18,0),0))),0)</f>
        <v>0</v>
      </c>
      <c r="AV84">
        <f>IF((gamma!AV84),IF(VLOOKUP(AV$1,main!$A$3:$H$102,7,FALSE)=VLOOKUP($A84,main!$A$3:$H$102,8,FALSE),VLOOKUP(AV$1,main!$A$3:$H$102,4,FALSE),VLOOKUP(AV$1,main!$A$3:$H$102,4,FALSE)+VLOOKUP($A84,main!$A$3:$H$102,4,FALSE)+(VLOOKUP(VLOOKUP(AV$1,main!$A$3:$H$102,8,FALSE),main!$K$19:$O$22,MATCH(VLOOKUP($A84,main!$A$3:$H$102,7,FALSE),main!$K$18:$O$18,0),0))),0)</f>
        <v>0</v>
      </c>
      <c r="AW84">
        <f>IF((gamma!AW84),IF(VLOOKUP(AW$1,main!$A$3:$H$102,7,FALSE)=VLOOKUP($A84,main!$A$3:$H$102,8,FALSE),VLOOKUP(AW$1,main!$A$3:$H$102,4,FALSE),VLOOKUP(AW$1,main!$A$3:$H$102,4,FALSE)+VLOOKUP($A84,main!$A$3:$H$102,4,FALSE)+(VLOOKUP(VLOOKUP(AW$1,main!$A$3:$H$102,8,FALSE),main!$K$19:$O$22,MATCH(VLOOKUP($A84,main!$A$3:$H$102,7,FALSE),main!$K$18:$O$18,0),0))),0)</f>
        <v>0</v>
      </c>
      <c r="AX84">
        <f>IF((gamma!AX84),IF(VLOOKUP(AX$1,main!$A$3:$H$102,7,FALSE)=VLOOKUP($A84,main!$A$3:$H$102,8,FALSE),VLOOKUP(AX$1,main!$A$3:$H$102,4,FALSE),VLOOKUP(AX$1,main!$A$3:$H$102,4,FALSE)+VLOOKUP($A84,main!$A$3:$H$102,4,FALSE)+(VLOOKUP(VLOOKUP(AX$1,main!$A$3:$H$102,8,FALSE),main!$K$19:$O$22,MATCH(VLOOKUP($A84,main!$A$3:$H$102,7,FALSE),main!$K$18:$O$18,0),0))),0)</f>
        <v>0</v>
      </c>
      <c r="AY84">
        <f>IF((gamma!AY84),IF(VLOOKUP(AY$1,main!$A$3:$H$102,7,FALSE)=VLOOKUP($A84,main!$A$3:$H$102,8,FALSE),VLOOKUP(AY$1,main!$A$3:$H$102,4,FALSE),VLOOKUP(AY$1,main!$A$3:$H$102,4,FALSE)+VLOOKUP($A84,main!$A$3:$H$102,4,FALSE)+(VLOOKUP(VLOOKUP(AY$1,main!$A$3:$H$102,8,FALSE),main!$K$19:$O$22,MATCH(VLOOKUP($A84,main!$A$3:$H$102,7,FALSE),main!$K$18:$O$18,0),0))),0)</f>
        <v>0</v>
      </c>
      <c r="AZ84">
        <f>IF((gamma!AZ84),IF(VLOOKUP(AZ$1,main!$A$3:$H$102,7,FALSE)=VLOOKUP($A84,main!$A$3:$H$102,8,FALSE),VLOOKUP(AZ$1,main!$A$3:$H$102,4,FALSE),VLOOKUP(AZ$1,main!$A$3:$H$102,4,FALSE)+VLOOKUP($A84,main!$A$3:$H$102,4,FALSE)+(VLOOKUP(VLOOKUP(AZ$1,main!$A$3:$H$102,8,FALSE),main!$K$19:$O$22,MATCH(VLOOKUP($A84,main!$A$3:$H$102,7,FALSE),main!$K$18:$O$18,0),0))),0)</f>
        <v>0</v>
      </c>
      <c r="BA84">
        <f>IF((gamma!BA84),IF(VLOOKUP(BA$1,main!$A$3:$H$102,7,FALSE)=VLOOKUP($A84,main!$A$3:$H$102,8,FALSE),VLOOKUP(BA$1,main!$A$3:$H$102,4,FALSE),VLOOKUP(BA$1,main!$A$3:$H$102,4,FALSE)+VLOOKUP($A84,main!$A$3:$H$102,4,FALSE)+(VLOOKUP(VLOOKUP(BA$1,main!$A$3:$H$102,8,FALSE),main!$K$19:$O$22,MATCH(VLOOKUP($A84,main!$A$3:$H$102,7,FALSE),main!$K$18:$O$18,0),0))),0)</f>
        <v>0</v>
      </c>
      <c r="BB84">
        <f>IF((gamma!BB84),IF(VLOOKUP(BB$1,main!$A$3:$H$102,7,FALSE)=VLOOKUP($A84,main!$A$3:$H$102,8,FALSE),VLOOKUP(BB$1,main!$A$3:$H$102,4,FALSE),VLOOKUP(BB$1,main!$A$3:$H$102,4,FALSE)+VLOOKUP($A84,main!$A$3:$H$102,4,FALSE)+(VLOOKUP(VLOOKUP(BB$1,main!$A$3:$H$102,8,FALSE),main!$K$19:$O$22,MATCH(VLOOKUP($A84,main!$A$3:$H$102,7,FALSE),main!$K$18:$O$18,0),0))),0)</f>
        <v>0</v>
      </c>
      <c r="BC84">
        <f>IF((gamma!BC84),IF(VLOOKUP(BC$1,main!$A$3:$H$102,7,FALSE)=VLOOKUP($A84,main!$A$3:$H$102,8,FALSE),VLOOKUP(BC$1,main!$A$3:$H$102,4,FALSE),VLOOKUP(BC$1,main!$A$3:$H$102,4,FALSE)+VLOOKUP($A84,main!$A$3:$H$102,4,FALSE)+(VLOOKUP(VLOOKUP(BC$1,main!$A$3:$H$102,8,FALSE),main!$K$19:$O$22,MATCH(VLOOKUP($A84,main!$A$3:$H$102,7,FALSE),main!$K$18:$O$18,0),0))),0)</f>
        <v>0</v>
      </c>
      <c r="BD84">
        <f>IF((gamma!BD84),IF(VLOOKUP(BD$1,main!$A$3:$H$102,7,FALSE)=VLOOKUP($A84,main!$A$3:$H$102,8,FALSE),VLOOKUP(BD$1,main!$A$3:$H$102,4,FALSE),VLOOKUP(BD$1,main!$A$3:$H$102,4,FALSE)+VLOOKUP($A84,main!$A$3:$H$102,4,FALSE)+(VLOOKUP(VLOOKUP(BD$1,main!$A$3:$H$102,8,FALSE),main!$K$19:$O$22,MATCH(VLOOKUP($A84,main!$A$3:$H$102,7,FALSE),main!$K$18:$O$18,0),0))),0)</f>
        <v>0</v>
      </c>
      <c r="BE84">
        <f>IF((gamma!BE84),IF(VLOOKUP(BE$1,main!$A$3:$H$102,7,FALSE)=VLOOKUP($A84,main!$A$3:$H$102,8,FALSE),VLOOKUP(BE$1,main!$A$3:$H$102,4,FALSE),VLOOKUP(BE$1,main!$A$3:$H$102,4,FALSE)+VLOOKUP($A84,main!$A$3:$H$102,4,FALSE)+(VLOOKUP(VLOOKUP(BE$1,main!$A$3:$H$102,8,FALSE),main!$K$19:$O$22,MATCH(VLOOKUP($A84,main!$A$3:$H$102,7,FALSE),main!$K$18:$O$18,0),0))),0)</f>
        <v>310</v>
      </c>
      <c r="BF84">
        <f>IF((gamma!BF84),IF(VLOOKUP(BF$1,main!$A$3:$H$102,7,FALSE)=VLOOKUP($A84,main!$A$3:$H$102,8,FALSE),VLOOKUP(BF$1,main!$A$3:$H$102,4,FALSE),VLOOKUP(BF$1,main!$A$3:$H$102,4,FALSE)+VLOOKUP($A84,main!$A$3:$H$102,4,FALSE)+(VLOOKUP(VLOOKUP(BF$1,main!$A$3:$H$102,8,FALSE),main!$K$19:$O$22,MATCH(VLOOKUP($A84,main!$A$3:$H$102,7,FALSE),main!$K$18:$O$18,0),0))),0)</f>
        <v>0</v>
      </c>
      <c r="BG84">
        <f>IF((gamma!BG84),IF(VLOOKUP(BG$1,main!$A$3:$H$102,7,FALSE)=VLOOKUP($A84,main!$A$3:$H$102,8,FALSE),VLOOKUP(BG$1,main!$A$3:$H$102,4,FALSE),VLOOKUP(BG$1,main!$A$3:$H$102,4,FALSE)+VLOOKUP($A84,main!$A$3:$H$102,4,FALSE)+(VLOOKUP(VLOOKUP(BG$1,main!$A$3:$H$102,8,FALSE),main!$K$19:$O$22,MATCH(VLOOKUP($A84,main!$A$3:$H$102,7,FALSE),main!$K$18:$O$18,0),0))),0)</f>
        <v>0</v>
      </c>
      <c r="BH84">
        <f>IF((gamma!BH84),IF(VLOOKUP(BH$1,main!$A$3:$H$102,7,FALSE)=VLOOKUP($A84,main!$A$3:$H$102,8,FALSE),VLOOKUP(BH$1,main!$A$3:$H$102,4,FALSE),VLOOKUP(BH$1,main!$A$3:$H$102,4,FALSE)+VLOOKUP($A84,main!$A$3:$H$102,4,FALSE)+(VLOOKUP(VLOOKUP(BH$1,main!$A$3:$H$102,8,FALSE),main!$K$19:$O$22,MATCH(VLOOKUP($A84,main!$A$3:$H$102,7,FALSE),main!$K$18:$O$18,0),0))),0)</f>
        <v>0</v>
      </c>
      <c r="BI84">
        <f>IF((gamma!BI84),IF(VLOOKUP(BI$1,main!$A$3:$H$102,7,FALSE)=VLOOKUP($A84,main!$A$3:$H$102,8,FALSE),VLOOKUP(BI$1,main!$A$3:$H$102,4,FALSE),VLOOKUP(BI$1,main!$A$3:$H$102,4,FALSE)+VLOOKUP($A84,main!$A$3:$H$102,4,FALSE)+(VLOOKUP(VLOOKUP(BI$1,main!$A$3:$H$102,8,FALSE),main!$K$19:$O$22,MATCH(VLOOKUP($A84,main!$A$3:$H$102,7,FALSE),main!$K$18:$O$18,0),0))),0)</f>
        <v>230</v>
      </c>
      <c r="BJ84">
        <f>IF((gamma!BJ84),IF(VLOOKUP(BJ$1,main!$A$3:$H$102,7,FALSE)=VLOOKUP($A84,main!$A$3:$H$102,8,FALSE),VLOOKUP(BJ$1,main!$A$3:$H$102,4,FALSE),VLOOKUP(BJ$1,main!$A$3:$H$102,4,FALSE)+VLOOKUP($A84,main!$A$3:$H$102,4,FALSE)+(VLOOKUP(VLOOKUP(BJ$1,main!$A$3:$H$102,8,FALSE),main!$K$19:$O$22,MATCH(VLOOKUP($A84,main!$A$3:$H$102,7,FALSE),main!$K$18:$O$18,0),0))),0)</f>
        <v>260</v>
      </c>
      <c r="BK84">
        <f>IF((gamma!BK84),IF(VLOOKUP(BK$1,main!$A$3:$H$102,7,FALSE)=VLOOKUP($A84,main!$A$3:$H$102,8,FALSE),VLOOKUP(BK$1,main!$A$3:$H$102,4,FALSE),VLOOKUP(BK$1,main!$A$3:$H$102,4,FALSE)+VLOOKUP($A84,main!$A$3:$H$102,4,FALSE)+(VLOOKUP(VLOOKUP(BK$1,main!$A$3:$H$102,8,FALSE),main!$K$19:$O$22,MATCH(VLOOKUP($A84,main!$A$3:$H$102,7,FALSE),main!$K$18:$O$18,0),0))),0)</f>
        <v>0</v>
      </c>
      <c r="BL84">
        <f>IF((gamma!BL84),IF(VLOOKUP(BL$1,main!$A$3:$H$102,7,FALSE)=VLOOKUP($A84,main!$A$3:$H$102,8,FALSE),VLOOKUP(BL$1,main!$A$3:$H$102,4,FALSE),VLOOKUP(BL$1,main!$A$3:$H$102,4,FALSE)+VLOOKUP($A84,main!$A$3:$H$102,4,FALSE)+(VLOOKUP(VLOOKUP(BL$1,main!$A$3:$H$102,8,FALSE),main!$K$19:$O$22,MATCH(VLOOKUP($A84,main!$A$3:$H$102,7,FALSE),main!$K$18:$O$18,0),0))),0)</f>
        <v>0</v>
      </c>
      <c r="BM84">
        <f>IF((gamma!BM84),IF(VLOOKUP(BM$1,main!$A$3:$H$102,7,FALSE)=VLOOKUP($A84,main!$A$3:$H$102,8,FALSE),VLOOKUP(BM$1,main!$A$3:$H$102,4,FALSE),VLOOKUP(BM$1,main!$A$3:$H$102,4,FALSE)+VLOOKUP($A84,main!$A$3:$H$102,4,FALSE)+(VLOOKUP(VLOOKUP(BM$1,main!$A$3:$H$102,8,FALSE),main!$K$19:$O$22,MATCH(VLOOKUP($A84,main!$A$3:$H$102,7,FALSE),main!$K$18:$O$18,0),0))),0)</f>
        <v>0</v>
      </c>
      <c r="BN84">
        <f>IF((gamma!BN84),IF(VLOOKUP(BN$1,main!$A$3:$H$102,7,FALSE)=VLOOKUP($A84,main!$A$3:$H$102,8,FALSE),VLOOKUP(BN$1,main!$A$3:$H$102,4,FALSE),VLOOKUP(BN$1,main!$A$3:$H$102,4,FALSE)+VLOOKUP($A84,main!$A$3:$H$102,4,FALSE)+(VLOOKUP(VLOOKUP(BN$1,main!$A$3:$H$102,8,FALSE),main!$K$19:$O$22,MATCH(VLOOKUP($A84,main!$A$3:$H$102,7,FALSE),main!$K$18:$O$18,0),0))),0)</f>
        <v>0</v>
      </c>
      <c r="BO84">
        <f>IF((gamma!BO84),IF(VLOOKUP(BO$1,main!$A$3:$H$102,7,FALSE)=VLOOKUP($A84,main!$A$3:$H$102,8,FALSE),VLOOKUP(BO$1,main!$A$3:$H$102,4,FALSE),VLOOKUP(BO$1,main!$A$3:$H$102,4,FALSE)+VLOOKUP($A84,main!$A$3:$H$102,4,FALSE)+(VLOOKUP(VLOOKUP(BO$1,main!$A$3:$H$102,8,FALSE),main!$K$19:$O$22,MATCH(VLOOKUP($A84,main!$A$3:$H$102,7,FALSE),main!$K$18:$O$18,0),0))),0)</f>
        <v>0</v>
      </c>
      <c r="BP84">
        <f>IF((gamma!BP84),IF(VLOOKUP(BP$1,main!$A$3:$H$102,7,FALSE)=VLOOKUP($A84,main!$A$3:$H$102,8,FALSE),VLOOKUP(BP$1,main!$A$3:$H$102,4,FALSE),VLOOKUP(BP$1,main!$A$3:$H$102,4,FALSE)+VLOOKUP($A84,main!$A$3:$H$102,4,FALSE)+(VLOOKUP(VLOOKUP(BP$1,main!$A$3:$H$102,8,FALSE),main!$K$19:$O$22,MATCH(VLOOKUP($A84,main!$A$3:$H$102,7,FALSE),main!$K$18:$O$18,0),0))),0)</f>
        <v>0</v>
      </c>
      <c r="BQ84">
        <f>IF((gamma!BQ84),IF(VLOOKUP(BQ$1,main!$A$3:$H$102,7,FALSE)=VLOOKUP($A84,main!$A$3:$H$102,8,FALSE),VLOOKUP(BQ$1,main!$A$3:$H$102,4,FALSE),VLOOKUP(BQ$1,main!$A$3:$H$102,4,FALSE)+VLOOKUP($A84,main!$A$3:$H$102,4,FALSE)+(VLOOKUP(VLOOKUP(BQ$1,main!$A$3:$H$102,8,FALSE),main!$K$19:$O$22,MATCH(VLOOKUP($A84,main!$A$3:$H$102,7,FALSE),main!$K$18:$O$18,0),0))),0)</f>
        <v>0</v>
      </c>
      <c r="BR84">
        <f>IF((gamma!BR84),IF(VLOOKUP(BR$1,main!$A$3:$H$102,7,FALSE)=VLOOKUP($A84,main!$A$3:$H$102,8,FALSE),VLOOKUP(BR$1,main!$A$3:$H$102,4,FALSE),VLOOKUP(BR$1,main!$A$3:$H$102,4,FALSE)+VLOOKUP($A84,main!$A$3:$H$102,4,FALSE)+(VLOOKUP(VLOOKUP(BR$1,main!$A$3:$H$102,8,FALSE),main!$K$19:$O$22,MATCH(VLOOKUP($A84,main!$A$3:$H$102,7,FALSE),main!$K$18:$O$18,0),0))),0)</f>
        <v>0</v>
      </c>
      <c r="BS84">
        <f>IF((gamma!BS84),IF(VLOOKUP(BS$1,main!$A$3:$H$102,7,FALSE)=VLOOKUP($A84,main!$A$3:$H$102,8,FALSE),VLOOKUP(BS$1,main!$A$3:$H$102,4,FALSE),VLOOKUP(BS$1,main!$A$3:$H$102,4,FALSE)+VLOOKUP($A84,main!$A$3:$H$102,4,FALSE)+(VLOOKUP(VLOOKUP(BS$1,main!$A$3:$H$102,8,FALSE),main!$K$19:$O$22,MATCH(VLOOKUP($A84,main!$A$3:$H$102,7,FALSE),main!$K$18:$O$18,0),0))),0)</f>
        <v>0</v>
      </c>
      <c r="BT84">
        <f>IF((gamma!BT84),IF(VLOOKUP(BT$1,main!$A$3:$H$102,7,FALSE)=VLOOKUP($A84,main!$A$3:$H$102,8,FALSE),VLOOKUP(BT$1,main!$A$3:$H$102,4,FALSE),VLOOKUP(BT$1,main!$A$3:$H$102,4,FALSE)+VLOOKUP($A84,main!$A$3:$H$102,4,FALSE)+(VLOOKUP(VLOOKUP(BT$1,main!$A$3:$H$102,8,FALSE),main!$K$19:$O$22,MATCH(VLOOKUP($A84,main!$A$3:$H$102,7,FALSE),main!$K$18:$O$18,0),0))),0)</f>
        <v>0</v>
      </c>
      <c r="BU84">
        <f>IF((gamma!BU84),IF(VLOOKUP(BU$1,main!$A$3:$H$102,7,FALSE)=VLOOKUP($A84,main!$A$3:$H$102,8,FALSE),VLOOKUP(BU$1,main!$A$3:$H$102,4,FALSE),VLOOKUP(BU$1,main!$A$3:$H$102,4,FALSE)+VLOOKUP($A84,main!$A$3:$H$102,4,FALSE)+(VLOOKUP(VLOOKUP(BU$1,main!$A$3:$H$102,8,FALSE),main!$K$19:$O$22,MATCH(VLOOKUP($A84,main!$A$3:$H$102,7,FALSE),main!$K$18:$O$18,0),0))),0)</f>
        <v>0</v>
      </c>
      <c r="BV84">
        <f>IF((gamma!BV84),IF(VLOOKUP(BV$1,main!$A$3:$H$102,7,FALSE)=VLOOKUP($A84,main!$A$3:$H$102,8,FALSE),VLOOKUP(BV$1,main!$A$3:$H$102,4,FALSE),VLOOKUP(BV$1,main!$A$3:$H$102,4,FALSE)+VLOOKUP($A84,main!$A$3:$H$102,4,FALSE)+(VLOOKUP(VLOOKUP(BV$1,main!$A$3:$H$102,8,FALSE),main!$K$19:$O$22,MATCH(VLOOKUP($A84,main!$A$3:$H$102,7,FALSE),main!$K$18:$O$18,0),0))),0)</f>
        <v>0</v>
      </c>
      <c r="BW84">
        <f>IF((gamma!BW84),IF(VLOOKUP(BW$1,main!$A$3:$H$102,7,FALSE)=VLOOKUP($A84,main!$A$3:$H$102,8,FALSE),VLOOKUP(BW$1,main!$A$3:$H$102,4,FALSE),VLOOKUP(BW$1,main!$A$3:$H$102,4,FALSE)+VLOOKUP($A84,main!$A$3:$H$102,4,FALSE)+(VLOOKUP(VLOOKUP(BW$1,main!$A$3:$H$102,8,FALSE),main!$K$19:$O$22,MATCH(VLOOKUP($A84,main!$A$3:$H$102,7,FALSE),main!$K$18:$O$18,0),0))),0)</f>
        <v>0</v>
      </c>
      <c r="BX84">
        <f>IF((gamma!BX84),IF(VLOOKUP(BX$1,main!$A$3:$H$102,7,FALSE)=VLOOKUP($A84,main!$A$3:$H$102,8,FALSE),VLOOKUP(BX$1,main!$A$3:$H$102,4,FALSE),VLOOKUP(BX$1,main!$A$3:$H$102,4,FALSE)+VLOOKUP($A84,main!$A$3:$H$102,4,FALSE)+(VLOOKUP(VLOOKUP(BX$1,main!$A$3:$H$102,8,FALSE),main!$K$19:$O$22,MATCH(VLOOKUP($A84,main!$A$3:$H$102,7,FALSE),main!$K$18:$O$18,0),0))),0)</f>
        <v>0</v>
      </c>
      <c r="BY84">
        <f>IF((gamma!BY84),IF(VLOOKUP(BY$1,main!$A$3:$H$102,7,FALSE)=VLOOKUP($A84,main!$A$3:$H$102,8,FALSE),VLOOKUP(BY$1,main!$A$3:$H$102,4,FALSE),VLOOKUP(BY$1,main!$A$3:$H$102,4,FALSE)+VLOOKUP($A84,main!$A$3:$H$102,4,FALSE)+(VLOOKUP(VLOOKUP(BY$1,main!$A$3:$H$102,8,FALSE),main!$K$19:$O$22,MATCH(VLOOKUP($A84,main!$A$3:$H$102,7,FALSE),main!$K$18:$O$18,0),0))),0)</f>
        <v>0</v>
      </c>
      <c r="BZ84">
        <f>IF((gamma!BZ84),IF(VLOOKUP(BZ$1,main!$A$3:$H$102,7,FALSE)=VLOOKUP($A84,main!$A$3:$H$102,8,FALSE),VLOOKUP(BZ$1,main!$A$3:$H$102,4,FALSE),VLOOKUP(BZ$1,main!$A$3:$H$102,4,FALSE)+VLOOKUP($A84,main!$A$3:$H$102,4,FALSE)+(VLOOKUP(VLOOKUP(BZ$1,main!$A$3:$H$102,8,FALSE),main!$K$19:$O$22,MATCH(VLOOKUP($A84,main!$A$3:$H$102,7,FALSE),main!$K$18:$O$18,0),0))),0)</f>
        <v>0</v>
      </c>
      <c r="CA84">
        <f>IF((gamma!CA84),IF(VLOOKUP(CA$1,main!$A$3:$H$102,7,FALSE)=VLOOKUP($A84,main!$A$3:$H$102,8,FALSE),VLOOKUP(CA$1,main!$A$3:$H$102,4,FALSE),VLOOKUP(CA$1,main!$A$3:$H$102,4,FALSE)+VLOOKUP($A84,main!$A$3:$H$102,4,FALSE)+(VLOOKUP(VLOOKUP(CA$1,main!$A$3:$H$102,8,FALSE),main!$K$19:$O$22,MATCH(VLOOKUP($A84,main!$A$3:$H$102,7,FALSE),main!$K$18:$O$18,0),0))),0)</f>
        <v>0</v>
      </c>
      <c r="CB84">
        <f>IF((gamma!CB84),IF(VLOOKUP(CB$1,main!$A$3:$H$102,7,FALSE)=VLOOKUP($A84,main!$A$3:$H$102,8,FALSE),VLOOKUP(CB$1,main!$A$3:$H$102,4,FALSE),VLOOKUP(CB$1,main!$A$3:$H$102,4,FALSE)+VLOOKUP($A84,main!$A$3:$H$102,4,FALSE)+(VLOOKUP(VLOOKUP(CB$1,main!$A$3:$H$102,8,FALSE),main!$K$19:$O$22,MATCH(VLOOKUP($A84,main!$A$3:$H$102,7,FALSE),main!$K$18:$O$18,0),0))),0)</f>
        <v>0</v>
      </c>
      <c r="CC84">
        <f>IF((gamma!CC84),IF(VLOOKUP(CC$1,main!$A$3:$H$102,7,FALSE)=VLOOKUP($A84,main!$A$3:$H$102,8,FALSE),VLOOKUP(CC$1,main!$A$3:$H$102,4,FALSE),VLOOKUP(CC$1,main!$A$3:$H$102,4,FALSE)+VLOOKUP($A84,main!$A$3:$H$102,4,FALSE)+(VLOOKUP(VLOOKUP(CC$1,main!$A$3:$H$102,8,FALSE),main!$K$19:$O$22,MATCH(VLOOKUP($A84,main!$A$3:$H$102,7,FALSE),main!$K$18:$O$18,0),0))),0)</f>
        <v>190</v>
      </c>
      <c r="CD84">
        <f>IF((gamma!CD84),IF(VLOOKUP(CD$1,main!$A$3:$H$102,7,FALSE)=VLOOKUP($A84,main!$A$3:$H$102,8,FALSE),VLOOKUP(CD$1,main!$A$3:$H$102,4,FALSE),VLOOKUP(CD$1,main!$A$3:$H$102,4,FALSE)+VLOOKUP($A84,main!$A$3:$H$102,4,FALSE)+(VLOOKUP(VLOOKUP(CD$1,main!$A$3:$H$102,8,FALSE),main!$K$19:$O$22,MATCH(VLOOKUP($A84,main!$A$3:$H$102,7,FALSE),main!$K$18:$O$18,0),0))),0)</f>
        <v>0</v>
      </c>
      <c r="CE84">
        <f>IF((gamma!CE84),IF(VLOOKUP(CE$1,main!$A$3:$H$102,7,FALSE)=VLOOKUP($A84,main!$A$3:$H$102,8,FALSE),VLOOKUP(CE$1,main!$A$3:$H$102,4,FALSE),VLOOKUP(CE$1,main!$A$3:$H$102,4,FALSE)+VLOOKUP($A84,main!$A$3:$H$102,4,FALSE)+(VLOOKUP(VLOOKUP(CE$1,main!$A$3:$H$102,8,FALSE),main!$K$19:$O$22,MATCH(VLOOKUP($A84,main!$A$3:$H$102,7,FALSE),main!$K$18:$O$18,0),0))),0)</f>
        <v>0</v>
      </c>
      <c r="CF84">
        <f>IF((gamma!CF84),IF(VLOOKUP(CF$1,main!$A$3:$H$102,7,FALSE)=VLOOKUP($A84,main!$A$3:$H$102,8,FALSE),VLOOKUP(CF$1,main!$A$3:$H$102,4,FALSE),VLOOKUP(CF$1,main!$A$3:$H$102,4,FALSE)+VLOOKUP($A84,main!$A$3:$H$102,4,FALSE)+(VLOOKUP(VLOOKUP(CF$1,main!$A$3:$H$102,8,FALSE),main!$K$19:$O$22,MATCH(VLOOKUP($A84,main!$A$3:$H$102,7,FALSE),main!$K$18:$O$18,0),0))),0)</f>
        <v>0</v>
      </c>
      <c r="CG84">
        <f>IF((gamma!CG84),IF(VLOOKUP(CG$1,main!$A$3:$H$102,7,FALSE)=VLOOKUP($A84,main!$A$3:$H$102,8,FALSE),VLOOKUP(CG$1,main!$A$3:$H$102,4,FALSE),VLOOKUP(CG$1,main!$A$3:$H$102,4,FALSE)+VLOOKUP($A84,main!$A$3:$H$102,4,FALSE)+(VLOOKUP(VLOOKUP(CG$1,main!$A$3:$H$102,8,FALSE),main!$K$19:$O$22,MATCH(VLOOKUP($A84,main!$A$3:$H$102,7,FALSE),main!$K$18:$O$18,0),0))),0)</f>
        <v>0</v>
      </c>
      <c r="CH84">
        <f>IF((gamma!CH84),IF(VLOOKUP(CH$1,main!$A$3:$H$102,7,FALSE)=VLOOKUP($A84,main!$A$3:$H$102,8,FALSE),VLOOKUP(CH$1,main!$A$3:$H$102,4,FALSE),VLOOKUP(CH$1,main!$A$3:$H$102,4,FALSE)+VLOOKUP($A84,main!$A$3:$H$102,4,FALSE)+(VLOOKUP(VLOOKUP(CH$1,main!$A$3:$H$102,8,FALSE),main!$K$19:$O$22,MATCH(VLOOKUP($A84,main!$A$3:$H$102,7,FALSE),main!$K$18:$O$18,0),0))),0)</f>
        <v>310</v>
      </c>
      <c r="CI84">
        <f>IF((gamma!CI84),IF(VLOOKUP(CI$1,main!$A$3:$H$102,7,FALSE)=VLOOKUP($A84,main!$A$3:$H$102,8,FALSE),VLOOKUP(CI$1,main!$A$3:$H$102,4,FALSE),VLOOKUP(CI$1,main!$A$3:$H$102,4,FALSE)+VLOOKUP($A84,main!$A$3:$H$102,4,FALSE)+(VLOOKUP(VLOOKUP(CI$1,main!$A$3:$H$102,8,FALSE),main!$K$19:$O$22,MATCH(VLOOKUP($A84,main!$A$3:$H$102,7,FALSE),main!$K$18:$O$18,0),0))),0)</f>
        <v>310</v>
      </c>
      <c r="CJ84">
        <f>IF((gamma!CJ84),IF(VLOOKUP(CJ$1,main!$A$3:$H$102,7,FALSE)=VLOOKUP($A84,main!$A$3:$H$102,8,FALSE),VLOOKUP(CJ$1,main!$A$3:$H$102,4,FALSE),VLOOKUP(CJ$1,main!$A$3:$H$102,4,FALSE)+VLOOKUP($A84,main!$A$3:$H$102,4,FALSE)+(VLOOKUP(VLOOKUP(CJ$1,main!$A$3:$H$102,8,FALSE),main!$K$19:$O$22,MATCH(VLOOKUP($A84,main!$A$3:$H$102,7,FALSE),main!$K$18:$O$18,0),0))),0)</f>
        <v>0</v>
      </c>
      <c r="CK84">
        <f>IF((gamma!CK84),IF(VLOOKUP(CK$1,main!$A$3:$H$102,7,FALSE)=VLOOKUP($A84,main!$A$3:$H$102,8,FALSE),VLOOKUP(CK$1,main!$A$3:$H$102,4,FALSE),VLOOKUP(CK$1,main!$A$3:$H$102,4,FALSE)+VLOOKUP($A84,main!$A$3:$H$102,4,FALSE)+(VLOOKUP(VLOOKUP(CK$1,main!$A$3:$H$102,8,FALSE),main!$K$19:$O$22,MATCH(VLOOKUP($A84,main!$A$3:$H$102,7,FALSE),main!$K$18:$O$18,0),0))),0)</f>
        <v>0</v>
      </c>
      <c r="CL84">
        <f>IF((gamma!CL84),IF(VLOOKUP(CL$1,main!$A$3:$H$102,7,FALSE)=VLOOKUP($A84,main!$A$3:$H$102,8,FALSE),VLOOKUP(CL$1,main!$A$3:$H$102,4,FALSE),VLOOKUP(CL$1,main!$A$3:$H$102,4,FALSE)+VLOOKUP($A84,main!$A$3:$H$102,4,FALSE)+(VLOOKUP(VLOOKUP(CL$1,main!$A$3:$H$102,8,FALSE),main!$K$19:$O$22,MATCH(VLOOKUP($A84,main!$A$3:$H$102,7,FALSE),main!$K$18:$O$18,0),0))),0)</f>
        <v>0</v>
      </c>
      <c r="CM84">
        <f>IF((gamma!CM84),IF(VLOOKUP(CM$1,main!$A$3:$H$102,7,FALSE)=VLOOKUP($A84,main!$A$3:$H$102,8,FALSE),VLOOKUP(CM$1,main!$A$3:$H$102,4,FALSE),VLOOKUP(CM$1,main!$A$3:$H$102,4,FALSE)+VLOOKUP($A84,main!$A$3:$H$102,4,FALSE)+(VLOOKUP(VLOOKUP(CM$1,main!$A$3:$H$102,8,FALSE),main!$K$19:$O$22,MATCH(VLOOKUP($A84,main!$A$3:$H$102,7,FALSE),main!$K$18:$O$18,0),0))),0)</f>
        <v>270</v>
      </c>
      <c r="CN84">
        <f>IF((gamma!CN84),IF(VLOOKUP(CN$1,main!$A$3:$H$102,7,FALSE)=VLOOKUP($A84,main!$A$3:$H$102,8,FALSE),VLOOKUP(CN$1,main!$A$3:$H$102,4,FALSE),VLOOKUP(CN$1,main!$A$3:$H$102,4,FALSE)+VLOOKUP($A84,main!$A$3:$H$102,4,FALSE)+(VLOOKUP(VLOOKUP(CN$1,main!$A$3:$H$102,8,FALSE),main!$K$19:$O$22,MATCH(VLOOKUP($A84,main!$A$3:$H$102,7,FALSE),main!$K$18:$O$18,0),0))),0)</f>
        <v>266</v>
      </c>
      <c r="CO84">
        <f>IF((gamma!CO84),IF(VLOOKUP(CO$1,main!$A$3:$H$102,7,FALSE)=VLOOKUP($A84,main!$A$3:$H$102,8,FALSE),VLOOKUP(CO$1,main!$A$3:$H$102,4,FALSE),VLOOKUP(CO$1,main!$A$3:$H$102,4,FALSE)+VLOOKUP($A84,main!$A$3:$H$102,4,FALSE)+(VLOOKUP(VLOOKUP(CO$1,main!$A$3:$H$102,8,FALSE),main!$K$19:$O$22,MATCH(VLOOKUP($A84,main!$A$3:$H$102,7,FALSE),main!$K$18:$O$18,0),0))),0)</f>
        <v>0</v>
      </c>
      <c r="CP84">
        <f>IF((gamma!CP84),IF(VLOOKUP(CP$1,main!$A$3:$H$102,7,FALSE)=VLOOKUP($A84,main!$A$3:$H$102,8,FALSE),VLOOKUP(CP$1,main!$A$3:$H$102,4,FALSE),VLOOKUP(CP$1,main!$A$3:$H$102,4,FALSE)+VLOOKUP($A84,main!$A$3:$H$102,4,FALSE)+(VLOOKUP(VLOOKUP(CP$1,main!$A$3:$H$102,8,FALSE),main!$K$19:$O$22,MATCH(VLOOKUP($A84,main!$A$3:$H$102,7,FALSE),main!$K$18:$O$18,0),0))),0)</f>
        <v>0</v>
      </c>
      <c r="CQ84">
        <f>IF((gamma!CQ84),IF(VLOOKUP(CQ$1,main!$A$3:$H$102,7,FALSE)=VLOOKUP($A84,main!$A$3:$H$102,8,FALSE),VLOOKUP(CQ$1,main!$A$3:$H$102,4,FALSE),VLOOKUP(CQ$1,main!$A$3:$H$102,4,FALSE)+VLOOKUP($A84,main!$A$3:$H$102,4,FALSE)+(VLOOKUP(VLOOKUP(CQ$1,main!$A$3:$H$102,8,FALSE),main!$K$19:$O$22,MATCH(VLOOKUP($A84,main!$A$3:$H$102,7,FALSE),main!$K$18:$O$18,0),0))),0)</f>
        <v>0</v>
      </c>
      <c r="CR84">
        <f>IF((gamma!CR84),IF(VLOOKUP(CR$1,main!$A$3:$H$102,7,FALSE)=VLOOKUP($A84,main!$A$3:$H$102,8,FALSE),VLOOKUP(CR$1,main!$A$3:$H$102,4,FALSE),VLOOKUP(CR$1,main!$A$3:$H$102,4,FALSE)+VLOOKUP($A84,main!$A$3:$H$102,4,FALSE)+(VLOOKUP(VLOOKUP(CR$1,main!$A$3:$H$102,8,FALSE),main!$K$19:$O$22,MATCH(VLOOKUP($A84,main!$A$3:$H$102,7,FALSE),main!$K$18:$O$18,0),0))),0)</f>
        <v>303</v>
      </c>
      <c r="CS84">
        <f>IF((gamma!CS84),IF(VLOOKUP(CS$1,main!$A$3:$H$102,7,FALSE)=VLOOKUP($A84,main!$A$3:$H$102,8,FALSE),VLOOKUP(CS$1,main!$A$3:$H$102,4,FALSE),VLOOKUP(CS$1,main!$A$3:$H$102,4,FALSE)+VLOOKUP($A84,main!$A$3:$H$102,4,FALSE)+(VLOOKUP(VLOOKUP(CS$1,main!$A$3:$H$102,8,FALSE),main!$K$19:$O$22,MATCH(VLOOKUP($A84,main!$A$3:$H$102,7,FALSE),main!$K$18:$O$18,0),0))),0)</f>
        <v>303</v>
      </c>
      <c r="CT84">
        <f>IF((gamma!CT84),IF(VLOOKUP(CT$1,main!$A$3:$H$102,7,FALSE)=VLOOKUP($A84,main!$A$3:$H$102,8,FALSE),VLOOKUP(CT$1,main!$A$3:$H$102,4,FALSE),VLOOKUP(CT$1,main!$A$3:$H$102,4,FALSE)+VLOOKUP($A84,main!$A$3:$H$102,4,FALSE)+(VLOOKUP(VLOOKUP(CT$1,main!$A$3:$H$102,8,FALSE),main!$K$19:$O$22,MATCH(VLOOKUP($A84,main!$A$3:$H$102,7,FALSE),main!$K$18:$O$18,0),0))),0)</f>
        <v>0</v>
      </c>
      <c r="CU84">
        <f>IF((gamma!CU84),IF(VLOOKUP(CU$1,main!$A$3:$H$102,7,FALSE)=VLOOKUP($A84,main!$A$3:$H$102,8,FALSE),VLOOKUP(CU$1,main!$A$3:$H$102,4,FALSE),VLOOKUP(CU$1,main!$A$3:$H$102,4,FALSE)+VLOOKUP($A84,main!$A$3:$H$102,4,FALSE)+(VLOOKUP(VLOOKUP(CU$1,main!$A$3:$H$102,8,FALSE),main!$K$19:$O$22,MATCH(VLOOKUP($A84,main!$A$3:$H$102,7,FALSE),main!$K$18:$O$18,0),0))),0)</f>
        <v>0</v>
      </c>
      <c r="CV84">
        <f>IF((gamma!CV84),IF(VLOOKUP(CV$1,main!$A$3:$H$102,7,FALSE)=VLOOKUP($A84,main!$A$3:$H$102,8,FALSE),VLOOKUP(CV$1,main!$A$3:$H$102,4,FALSE),VLOOKUP(CV$1,main!$A$3:$H$102,4,FALSE)+VLOOKUP($A84,main!$A$3:$H$102,4,FALSE)+(VLOOKUP(VLOOKUP(CV$1,main!$A$3:$H$102,8,FALSE),main!$K$19:$O$22,MATCH(VLOOKUP($A84,main!$A$3:$H$102,7,FALSE),main!$K$18:$O$18,0),0))),0)</f>
        <v>0</v>
      </c>
      <c r="CW84">
        <f>IF((gamma!CW84),IF(VLOOKUP(CW$1,main!$A$3:$H$102,7,FALSE)=VLOOKUP($A84,main!$A$3:$H$102,8,FALSE),VLOOKUP(CW$1,main!$A$3:$H$102,4,FALSE),VLOOKUP(CW$1,main!$A$3:$H$102,4,FALSE)+VLOOKUP($A84,main!$A$3:$H$102,4,FALSE)+(VLOOKUP(VLOOKUP(CW$1,main!$A$3:$H$102,8,FALSE),main!$K$19:$O$22,MATCH(VLOOKUP($A84,main!$A$3:$H$102,7,FALSE),main!$K$18:$O$18,0),0))),0)</f>
        <v>263</v>
      </c>
      <c r="CX84">
        <f>IF((gamma!CX84),IF(VLOOKUP(CX$1,main!$A$3:$H$102,7,FALSE)=VLOOKUP($A84,main!$A$3:$H$102,8,FALSE),VLOOKUP(CX$1,main!$A$3:$H$102,4,FALSE),VLOOKUP(CX$1,main!$A$3:$H$102,4,FALSE)+VLOOKUP($A84,main!$A$3:$H$102,4,FALSE)+(VLOOKUP(VLOOKUP(CX$1,main!$A$3:$H$102,8,FALSE),main!$K$19:$O$22,MATCH(VLOOKUP($A84,main!$A$3:$H$102,7,FALSE),main!$K$18:$O$18,0),0))),0)</f>
        <v>253</v>
      </c>
      <c r="CY84">
        <v>0</v>
      </c>
      <c r="CZ84">
        <v>0</v>
      </c>
      <c r="DA84">
        <v>0</v>
      </c>
    </row>
    <row r="85" spans="1:105" x14ac:dyDescent="0.25">
      <c r="A85" s="1">
        <v>83</v>
      </c>
      <c r="B85">
        <v>0</v>
      </c>
      <c r="C85">
        <f>IF((gamma!C85),IF(VLOOKUP(C$1,main!$A$3:$H$102,7,FALSE)=VLOOKUP($A85,main!$A$3:$H$102,8,FALSE),VLOOKUP(C$1,main!$A$3:$H$102,4,FALSE),VLOOKUP(C$1,main!$A$3:$H$102,4,FALSE)+VLOOKUP($A85,main!$A$3:$H$102,4,FALSE)+(VLOOKUP(VLOOKUP(C$1,main!$A$3:$H$102,8,FALSE),main!$K$19:$O$22,MATCH(VLOOKUP($A85,main!$A$3:$H$102,7,FALSE),main!$K$18:$O$18,0),0))),0)</f>
        <v>0</v>
      </c>
      <c r="D85">
        <f>IF((gamma!D85),IF(VLOOKUP(D$1,main!$A$3:$H$102,7,FALSE)=VLOOKUP($A85,main!$A$3:$H$102,8,FALSE),VLOOKUP(D$1,main!$A$3:$H$102,4,FALSE),VLOOKUP(D$1,main!$A$3:$H$102,4,FALSE)+VLOOKUP($A85,main!$A$3:$H$102,4,FALSE)+(VLOOKUP(VLOOKUP(D$1,main!$A$3:$H$102,8,FALSE),main!$K$19:$O$22,MATCH(VLOOKUP($A85,main!$A$3:$H$102,7,FALSE),main!$K$18:$O$18,0),0))),0)</f>
        <v>0</v>
      </c>
      <c r="E85">
        <f>IF((gamma!E85),IF(VLOOKUP(E$1,main!$A$3:$H$102,7,FALSE)=VLOOKUP($A85,main!$A$3:$H$102,8,FALSE),VLOOKUP(E$1,main!$A$3:$H$102,4,FALSE),VLOOKUP(E$1,main!$A$3:$H$102,4,FALSE)+VLOOKUP($A85,main!$A$3:$H$102,4,FALSE)+(VLOOKUP(VLOOKUP(E$1,main!$A$3:$H$102,8,FALSE),main!$K$19:$O$22,MATCH(VLOOKUP($A85,main!$A$3:$H$102,7,FALSE),main!$K$18:$O$18,0),0))),0)</f>
        <v>0</v>
      </c>
      <c r="F85">
        <f>IF((gamma!F85),IF(VLOOKUP(F$1,main!$A$3:$H$102,7,FALSE)=VLOOKUP($A85,main!$A$3:$H$102,8,FALSE),VLOOKUP(F$1,main!$A$3:$H$102,4,FALSE),VLOOKUP(F$1,main!$A$3:$H$102,4,FALSE)+VLOOKUP($A85,main!$A$3:$H$102,4,FALSE)+(VLOOKUP(VLOOKUP(F$1,main!$A$3:$H$102,8,FALSE),main!$K$19:$O$22,MATCH(VLOOKUP($A85,main!$A$3:$H$102,7,FALSE),main!$K$18:$O$18,0),0))),0)</f>
        <v>0</v>
      </c>
      <c r="G85">
        <f>IF((gamma!G85),IF(VLOOKUP(G$1,main!$A$3:$H$102,7,FALSE)=VLOOKUP($A85,main!$A$3:$H$102,8,FALSE),VLOOKUP(G$1,main!$A$3:$H$102,4,FALSE),VLOOKUP(G$1,main!$A$3:$H$102,4,FALSE)+VLOOKUP($A85,main!$A$3:$H$102,4,FALSE)+(VLOOKUP(VLOOKUP(G$1,main!$A$3:$H$102,8,FALSE),main!$K$19:$O$22,MATCH(VLOOKUP($A85,main!$A$3:$H$102,7,FALSE),main!$K$18:$O$18,0),0))),0)</f>
        <v>0</v>
      </c>
      <c r="H85">
        <f>IF((gamma!H85),IF(VLOOKUP(H$1,main!$A$3:$H$102,7,FALSE)=VLOOKUP($A85,main!$A$3:$H$102,8,FALSE),VLOOKUP(H$1,main!$A$3:$H$102,4,FALSE),VLOOKUP(H$1,main!$A$3:$H$102,4,FALSE)+VLOOKUP($A85,main!$A$3:$H$102,4,FALSE)+(VLOOKUP(VLOOKUP(H$1,main!$A$3:$H$102,8,FALSE),main!$K$19:$O$22,MATCH(VLOOKUP($A85,main!$A$3:$H$102,7,FALSE),main!$K$18:$O$18,0),0))),0)</f>
        <v>0</v>
      </c>
      <c r="I85">
        <f>IF((gamma!I85),IF(VLOOKUP(I$1,main!$A$3:$H$102,7,FALSE)=VLOOKUP($A85,main!$A$3:$H$102,8,FALSE),VLOOKUP(I$1,main!$A$3:$H$102,4,FALSE),VLOOKUP(I$1,main!$A$3:$H$102,4,FALSE)+VLOOKUP($A85,main!$A$3:$H$102,4,FALSE)+(VLOOKUP(VLOOKUP(I$1,main!$A$3:$H$102,8,FALSE),main!$K$19:$O$22,MATCH(VLOOKUP($A85,main!$A$3:$H$102,7,FALSE),main!$K$18:$O$18,0),0))),0)</f>
        <v>135</v>
      </c>
      <c r="J85">
        <f>IF((gamma!J85),IF(VLOOKUP(J$1,main!$A$3:$H$102,7,FALSE)=VLOOKUP($A85,main!$A$3:$H$102,8,FALSE),VLOOKUP(J$1,main!$A$3:$H$102,4,FALSE),VLOOKUP(J$1,main!$A$3:$H$102,4,FALSE)+VLOOKUP($A85,main!$A$3:$H$102,4,FALSE)+(VLOOKUP(VLOOKUP(J$1,main!$A$3:$H$102,8,FALSE),main!$K$19:$O$22,MATCH(VLOOKUP($A85,main!$A$3:$H$102,7,FALSE),main!$K$18:$O$18,0),0))),0)</f>
        <v>135</v>
      </c>
      <c r="K85">
        <f>IF((gamma!K85),IF(VLOOKUP(K$1,main!$A$3:$H$102,7,FALSE)=VLOOKUP($A85,main!$A$3:$H$102,8,FALSE),VLOOKUP(K$1,main!$A$3:$H$102,4,FALSE),VLOOKUP(K$1,main!$A$3:$H$102,4,FALSE)+VLOOKUP($A85,main!$A$3:$H$102,4,FALSE)+(VLOOKUP(VLOOKUP(K$1,main!$A$3:$H$102,8,FALSE),main!$K$19:$O$22,MATCH(VLOOKUP($A85,main!$A$3:$H$102,7,FALSE),main!$K$18:$O$18,0),0))),0)</f>
        <v>135</v>
      </c>
      <c r="L85">
        <f>IF((gamma!L85),IF(VLOOKUP(L$1,main!$A$3:$H$102,7,FALSE)=VLOOKUP($A85,main!$A$3:$H$102,8,FALSE),VLOOKUP(L$1,main!$A$3:$H$102,4,FALSE),VLOOKUP(L$1,main!$A$3:$H$102,4,FALSE)+VLOOKUP($A85,main!$A$3:$H$102,4,FALSE)+(VLOOKUP(VLOOKUP(L$1,main!$A$3:$H$102,8,FALSE),main!$K$19:$O$22,MATCH(VLOOKUP($A85,main!$A$3:$H$102,7,FALSE),main!$K$18:$O$18,0),0))),0)</f>
        <v>135</v>
      </c>
      <c r="M85">
        <f>IF((gamma!M85),IF(VLOOKUP(M$1,main!$A$3:$H$102,7,FALSE)=VLOOKUP($A85,main!$A$3:$H$102,8,FALSE),VLOOKUP(M$1,main!$A$3:$H$102,4,FALSE),VLOOKUP(M$1,main!$A$3:$H$102,4,FALSE)+VLOOKUP($A85,main!$A$3:$H$102,4,FALSE)+(VLOOKUP(VLOOKUP(M$1,main!$A$3:$H$102,8,FALSE),main!$K$19:$O$22,MATCH(VLOOKUP($A85,main!$A$3:$H$102,7,FALSE),main!$K$18:$O$18,0),0))),0)</f>
        <v>0</v>
      </c>
      <c r="N85">
        <f>IF((gamma!N85),IF(VLOOKUP(N$1,main!$A$3:$H$102,7,FALSE)=VLOOKUP($A85,main!$A$3:$H$102,8,FALSE),VLOOKUP(N$1,main!$A$3:$H$102,4,FALSE),VLOOKUP(N$1,main!$A$3:$H$102,4,FALSE)+VLOOKUP($A85,main!$A$3:$H$102,4,FALSE)+(VLOOKUP(VLOOKUP(N$1,main!$A$3:$H$102,8,FALSE),main!$K$19:$O$22,MATCH(VLOOKUP($A85,main!$A$3:$H$102,7,FALSE),main!$K$18:$O$18,0),0))),0)</f>
        <v>0</v>
      </c>
      <c r="O85">
        <f>IF((gamma!O85),IF(VLOOKUP(O$1,main!$A$3:$H$102,7,FALSE)=VLOOKUP($A85,main!$A$3:$H$102,8,FALSE),VLOOKUP(O$1,main!$A$3:$H$102,4,FALSE),VLOOKUP(O$1,main!$A$3:$H$102,4,FALSE)+VLOOKUP($A85,main!$A$3:$H$102,4,FALSE)+(VLOOKUP(VLOOKUP(O$1,main!$A$3:$H$102,8,FALSE),main!$K$19:$O$22,MATCH(VLOOKUP($A85,main!$A$3:$H$102,7,FALSE),main!$K$18:$O$18,0),0))),0)</f>
        <v>0</v>
      </c>
      <c r="P85">
        <f>IF((gamma!P85),IF(VLOOKUP(P$1,main!$A$3:$H$102,7,FALSE)=VLOOKUP($A85,main!$A$3:$H$102,8,FALSE),VLOOKUP(P$1,main!$A$3:$H$102,4,FALSE),VLOOKUP(P$1,main!$A$3:$H$102,4,FALSE)+VLOOKUP($A85,main!$A$3:$H$102,4,FALSE)+(VLOOKUP(VLOOKUP(P$1,main!$A$3:$H$102,8,FALSE),main!$K$19:$O$22,MATCH(VLOOKUP($A85,main!$A$3:$H$102,7,FALSE),main!$K$18:$O$18,0),0))),0)</f>
        <v>0</v>
      </c>
      <c r="Q85">
        <f>IF((gamma!Q85),IF(VLOOKUP(Q$1,main!$A$3:$H$102,7,FALSE)=VLOOKUP($A85,main!$A$3:$H$102,8,FALSE),VLOOKUP(Q$1,main!$A$3:$H$102,4,FALSE),VLOOKUP(Q$1,main!$A$3:$H$102,4,FALSE)+VLOOKUP($A85,main!$A$3:$H$102,4,FALSE)+(VLOOKUP(VLOOKUP(Q$1,main!$A$3:$H$102,8,FALSE),main!$K$19:$O$22,MATCH(VLOOKUP($A85,main!$A$3:$H$102,7,FALSE),main!$K$18:$O$18,0),0))),0)</f>
        <v>0</v>
      </c>
      <c r="R85">
        <f>IF((gamma!R85),IF(VLOOKUP(R$1,main!$A$3:$H$102,7,FALSE)=VLOOKUP($A85,main!$A$3:$H$102,8,FALSE),VLOOKUP(R$1,main!$A$3:$H$102,4,FALSE),VLOOKUP(R$1,main!$A$3:$H$102,4,FALSE)+VLOOKUP($A85,main!$A$3:$H$102,4,FALSE)+(VLOOKUP(VLOOKUP(R$1,main!$A$3:$H$102,8,FALSE),main!$K$19:$O$22,MATCH(VLOOKUP($A85,main!$A$3:$H$102,7,FALSE),main!$K$18:$O$18,0),0))),0)</f>
        <v>0</v>
      </c>
      <c r="S85">
        <f>IF((gamma!S85),IF(VLOOKUP(S$1,main!$A$3:$H$102,7,FALSE)=VLOOKUP($A85,main!$A$3:$H$102,8,FALSE),VLOOKUP(S$1,main!$A$3:$H$102,4,FALSE),VLOOKUP(S$1,main!$A$3:$H$102,4,FALSE)+VLOOKUP($A85,main!$A$3:$H$102,4,FALSE)+(VLOOKUP(VLOOKUP(S$1,main!$A$3:$H$102,8,FALSE),main!$K$19:$O$22,MATCH(VLOOKUP($A85,main!$A$3:$H$102,7,FALSE),main!$K$18:$O$18,0),0))),0)</f>
        <v>0</v>
      </c>
      <c r="T85">
        <f>IF((gamma!T85),IF(VLOOKUP(T$1,main!$A$3:$H$102,7,FALSE)=VLOOKUP($A85,main!$A$3:$H$102,8,FALSE),VLOOKUP(T$1,main!$A$3:$H$102,4,FALSE),VLOOKUP(T$1,main!$A$3:$H$102,4,FALSE)+VLOOKUP($A85,main!$A$3:$H$102,4,FALSE)+(VLOOKUP(VLOOKUP(T$1,main!$A$3:$H$102,8,FALSE),main!$K$19:$O$22,MATCH(VLOOKUP($A85,main!$A$3:$H$102,7,FALSE),main!$K$18:$O$18,0),0))),0)</f>
        <v>140</v>
      </c>
      <c r="U85">
        <f>IF((gamma!U85),IF(VLOOKUP(U$1,main!$A$3:$H$102,7,FALSE)=VLOOKUP($A85,main!$A$3:$H$102,8,FALSE),VLOOKUP(U$1,main!$A$3:$H$102,4,FALSE),VLOOKUP(U$1,main!$A$3:$H$102,4,FALSE)+VLOOKUP($A85,main!$A$3:$H$102,4,FALSE)+(VLOOKUP(VLOOKUP(U$1,main!$A$3:$H$102,8,FALSE),main!$K$19:$O$22,MATCH(VLOOKUP($A85,main!$A$3:$H$102,7,FALSE),main!$K$18:$O$18,0),0))),0)</f>
        <v>140</v>
      </c>
      <c r="V85">
        <f>IF((gamma!V85),IF(VLOOKUP(V$1,main!$A$3:$H$102,7,FALSE)=VLOOKUP($A85,main!$A$3:$H$102,8,FALSE),VLOOKUP(V$1,main!$A$3:$H$102,4,FALSE),VLOOKUP(V$1,main!$A$3:$H$102,4,FALSE)+VLOOKUP($A85,main!$A$3:$H$102,4,FALSE)+(VLOOKUP(VLOOKUP(V$1,main!$A$3:$H$102,8,FALSE),main!$K$19:$O$22,MATCH(VLOOKUP($A85,main!$A$3:$H$102,7,FALSE),main!$K$18:$O$18,0),0))),0)</f>
        <v>140</v>
      </c>
      <c r="W85">
        <f>IF((gamma!W85),IF(VLOOKUP(W$1,main!$A$3:$H$102,7,FALSE)=VLOOKUP($A85,main!$A$3:$H$102,8,FALSE),VLOOKUP(W$1,main!$A$3:$H$102,4,FALSE),VLOOKUP(W$1,main!$A$3:$H$102,4,FALSE)+VLOOKUP($A85,main!$A$3:$H$102,4,FALSE)+(VLOOKUP(VLOOKUP(W$1,main!$A$3:$H$102,8,FALSE),main!$K$19:$O$22,MATCH(VLOOKUP($A85,main!$A$3:$H$102,7,FALSE),main!$K$18:$O$18,0),0))),0)</f>
        <v>0</v>
      </c>
      <c r="X85">
        <f>IF((gamma!X85),IF(VLOOKUP(X$1,main!$A$3:$H$102,7,FALSE)=VLOOKUP($A85,main!$A$3:$H$102,8,FALSE),VLOOKUP(X$1,main!$A$3:$H$102,4,FALSE),VLOOKUP(X$1,main!$A$3:$H$102,4,FALSE)+VLOOKUP($A85,main!$A$3:$H$102,4,FALSE)+(VLOOKUP(VLOOKUP(X$1,main!$A$3:$H$102,8,FALSE),main!$K$19:$O$22,MATCH(VLOOKUP($A85,main!$A$3:$H$102,7,FALSE),main!$K$18:$O$18,0),0))),0)</f>
        <v>0</v>
      </c>
      <c r="Y85">
        <f>IF((gamma!Y85),IF(VLOOKUP(Y$1,main!$A$3:$H$102,7,FALSE)=VLOOKUP($A85,main!$A$3:$H$102,8,FALSE),VLOOKUP(Y$1,main!$A$3:$H$102,4,FALSE),VLOOKUP(Y$1,main!$A$3:$H$102,4,FALSE)+VLOOKUP($A85,main!$A$3:$H$102,4,FALSE)+(VLOOKUP(VLOOKUP(Y$1,main!$A$3:$H$102,8,FALSE),main!$K$19:$O$22,MATCH(VLOOKUP($A85,main!$A$3:$H$102,7,FALSE),main!$K$18:$O$18,0),0))),0)</f>
        <v>0</v>
      </c>
      <c r="Z85">
        <f>IF((gamma!Z85),IF(VLOOKUP(Z$1,main!$A$3:$H$102,7,FALSE)=VLOOKUP($A85,main!$A$3:$H$102,8,FALSE),VLOOKUP(Z$1,main!$A$3:$H$102,4,FALSE),VLOOKUP(Z$1,main!$A$3:$H$102,4,FALSE)+VLOOKUP($A85,main!$A$3:$H$102,4,FALSE)+(VLOOKUP(VLOOKUP(Z$1,main!$A$3:$H$102,8,FALSE),main!$K$19:$O$22,MATCH(VLOOKUP($A85,main!$A$3:$H$102,7,FALSE),main!$K$18:$O$18,0),0))),0)</f>
        <v>140</v>
      </c>
      <c r="AA85">
        <f>IF((gamma!AA85),IF(VLOOKUP(AA$1,main!$A$3:$H$102,7,FALSE)=VLOOKUP($A85,main!$A$3:$H$102,8,FALSE),VLOOKUP(AA$1,main!$A$3:$H$102,4,FALSE),VLOOKUP(AA$1,main!$A$3:$H$102,4,FALSE)+VLOOKUP($A85,main!$A$3:$H$102,4,FALSE)+(VLOOKUP(VLOOKUP(AA$1,main!$A$3:$H$102,8,FALSE),main!$K$19:$O$22,MATCH(VLOOKUP($A85,main!$A$3:$H$102,7,FALSE),main!$K$18:$O$18,0),0))),0)</f>
        <v>140</v>
      </c>
      <c r="AB85">
        <f>IF((gamma!AB85),IF(VLOOKUP(AB$1,main!$A$3:$H$102,7,FALSE)=VLOOKUP($A85,main!$A$3:$H$102,8,FALSE),VLOOKUP(AB$1,main!$A$3:$H$102,4,FALSE),VLOOKUP(AB$1,main!$A$3:$H$102,4,FALSE)+VLOOKUP($A85,main!$A$3:$H$102,4,FALSE)+(VLOOKUP(VLOOKUP(AB$1,main!$A$3:$H$102,8,FALSE),main!$K$19:$O$22,MATCH(VLOOKUP($A85,main!$A$3:$H$102,7,FALSE),main!$K$18:$O$18,0),0))),0)</f>
        <v>0</v>
      </c>
      <c r="AC85">
        <f>IF((gamma!AC85),IF(VLOOKUP(AC$1,main!$A$3:$H$102,7,FALSE)=VLOOKUP($A85,main!$A$3:$H$102,8,FALSE),VLOOKUP(AC$1,main!$A$3:$H$102,4,FALSE),VLOOKUP(AC$1,main!$A$3:$H$102,4,FALSE)+VLOOKUP($A85,main!$A$3:$H$102,4,FALSE)+(VLOOKUP(VLOOKUP(AC$1,main!$A$3:$H$102,8,FALSE),main!$K$19:$O$22,MATCH(VLOOKUP($A85,main!$A$3:$H$102,7,FALSE),main!$K$18:$O$18,0),0))),0)</f>
        <v>0</v>
      </c>
      <c r="AD85">
        <f>IF((gamma!AD85),IF(VLOOKUP(AD$1,main!$A$3:$H$102,7,FALSE)=VLOOKUP($A85,main!$A$3:$H$102,8,FALSE),VLOOKUP(AD$1,main!$A$3:$H$102,4,FALSE),VLOOKUP(AD$1,main!$A$3:$H$102,4,FALSE)+VLOOKUP($A85,main!$A$3:$H$102,4,FALSE)+(VLOOKUP(VLOOKUP(AD$1,main!$A$3:$H$102,8,FALSE),main!$K$19:$O$22,MATCH(VLOOKUP($A85,main!$A$3:$H$102,7,FALSE),main!$K$18:$O$18,0),0))),0)</f>
        <v>0</v>
      </c>
      <c r="AE85">
        <f>IF((gamma!AE85),IF(VLOOKUP(AE$1,main!$A$3:$H$102,7,FALSE)=VLOOKUP($A85,main!$A$3:$H$102,8,FALSE),VLOOKUP(AE$1,main!$A$3:$H$102,4,FALSE),VLOOKUP(AE$1,main!$A$3:$H$102,4,FALSE)+VLOOKUP($A85,main!$A$3:$H$102,4,FALSE)+(VLOOKUP(VLOOKUP(AE$1,main!$A$3:$H$102,8,FALSE),main!$K$19:$O$22,MATCH(VLOOKUP($A85,main!$A$3:$H$102,7,FALSE),main!$K$18:$O$18,0),0))),0)</f>
        <v>0</v>
      </c>
      <c r="AF85">
        <f>IF((gamma!AF85),IF(VLOOKUP(AF$1,main!$A$3:$H$102,7,FALSE)=VLOOKUP($A85,main!$A$3:$H$102,8,FALSE),VLOOKUP(AF$1,main!$A$3:$H$102,4,FALSE),VLOOKUP(AF$1,main!$A$3:$H$102,4,FALSE)+VLOOKUP($A85,main!$A$3:$H$102,4,FALSE)+(VLOOKUP(VLOOKUP(AF$1,main!$A$3:$H$102,8,FALSE),main!$K$19:$O$22,MATCH(VLOOKUP($A85,main!$A$3:$H$102,7,FALSE),main!$K$18:$O$18,0),0))),0)</f>
        <v>100</v>
      </c>
      <c r="AG85">
        <f>IF((gamma!AG85),IF(VLOOKUP(AG$1,main!$A$3:$H$102,7,FALSE)=VLOOKUP($A85,main!$A$3:$H$102,8,FALSE),VLOOKUP(AG$1,main!$A$3:$H$102,4,FALSE),VLOOKUP(AG$1,main!$A$3:$H$102,4,FALSE)+VLOOKUP($A85,main!$A$3:$H$102,4,FALSE)+(VLOOKUP(VLOOKUP(AG$1,main!$A$3:$H$102,8,FALSE),main!$K$19:$O$22,MATCH(VLOOKUP($A85,main!$A$3:$H$102,7,FALSE),main!$K$18:$O$18,0),0))),0)</f>
        <v>0</v>
      </c>
      <c r="AH85">
        <f>IF((gamma!AH85),IF(VLOOKUP(AH$1,main!$A$3:$H$102,7,FALSE)=VLOOKUP($A85,main!$A$3:$H$102,8,FALSE),VLOOKUP(AH$1,main!$A$3:$H$102,4,FALSE),VLOOKUP(AH$1,main!$A$3:$H$102,4,FALSE)+VLOOKUP($A85,main!$A$3:$H$102,4,FALSE)+(VLOOKUP(VLOOKUP(AH$1,main!$A$3:$H$102,8,FALSE),main!$K$19:$O$22,MATCH(VLOOKUP($A85,main!$A$3:$H$102,7,FALSE),main!$K$18:$O$18,0),0))),0)</f>
        <v>0</v>
      </c>
      <c r="AI85">
        <f>IF((gamma!AI85),IF(VLOOKUP(AI$1,main!$A$3:$H$102,7,FALSE)=VLOOKUP($A85,main!$A$3:$H$102,8,FALSE),VLOOKUP(AI$1,main!$A$3:$H$102,4,FALSE),VLOOKUP(AI$1,main!$A$3:$H$102,4,FALSE)+VLOOKUP($A85,main!$A$3:$H$102,4,FALSE)+(VLOOKUP(VLOOKUP(AI$1,main!$A$3:$H$102,8,FALSE),main!$K$19:$O$22,MATCH(VLOOKUP($A85,main!$A$3:$H$102,7,FALSE),main!$K$18:$O$18,0),0))),0)</f>
        <v>0</v>
      </c>
      <c r="AJ85">
        <f>IF((gamma!AJ85),IF(VLOOKUP(AJ$1,main!$A$3:$H$102,7,FALSE)=VLOOKUP($A85,main!$A$3:$H$102,8,FALSE),VLOOKUP(AJ$1,main!$A$3:$H$102,4,FALSE),VLOOKUP(AJ$1,main!$A$3:$H$102,4,FALSE)+VLOOKUP($A85,main!$A$3:$H$102,4,FALSE)+(VLOOKUP(VLOOKUP(AJ$1,main!$A$3:$H$102,8,FALSE),main!$K$19:$O$22,MATCH(VLOOKUP($A85,main!$A$3:$H$102,7,FALSE),main!$K$18:$O$18,0),0))),0)</f>
        <v>0</v>
      </c>
      <c r="AK85">
        <f>IF((gamma!AK85),IF(VLOOKUP(AK$1,main!$A$3:$H$102,7,FALSE)=VLOOKUP($A85,main!$A$3:$H$102,8,FALSE),VLOOKUP(AK$1,main!$A$3:$H$102,4,FALSE),VLOOKUP(AK$1,main!$A$3:$H$102,4,FALSE)+VLOOKUP($A85,main!$A$3:$H$102,4,FALSE)+(VLOOKUP(VLOOKUP(AK$1,main!$A$3:$H$102,8,FALSE),main!$K$19:$O$22,MATCH(VLOOKUP($A85,main!$A$3:$H$102,7,FALSE),main!$K$18:$O$18,0),0))),0)</f>
        <v>0</v>
      </c>
      <c r="AL85">
        <f>IF((gamma!AL85),IF(VLOOKUP(AL$1,main!$A$3:$H$102,7,FALSE)=VLOOKUP($A85,main!$A$3:$H$102,8,FALSE),VLOOKUP(AL$1,main!$A$3:$H$102,4,FALSE),VLOOKUP(AL$1,main!$A$3:$H$102,4,FALSE)+VLOOKUP($A85,main!$A$3:$H$102,4,FALSE)+(VLOOKUP(VLOOKUP(AL$1,main!$A$3:$H$102,8,FALSE),main!$K$19:$O$22,MATCH(VLOOKUP($A85,main!$A$3:$H$102,7,FALSE),main!$K$18:$O$18,0),0))),0)</f>
        <v>310</v>
      </c>
      <c r="AM85">
        <f>IF((gamma!AM85),IF(VLOOKUP(AM$1,main!$A$3:$H$102,7,FALSE)=VLOOKUP($A85,main!$A$3:$H$102,8,FALSE),VLOOKUP(AM$1,main!$A$3:$H$102,4,FALSE),VLOOKUP(AM$1,main!$A$3:$H$102,4,FALSE)+VLOOKUP($A85,main!$A$3:$H$102,4,FALSE)+(VLOOKUP(VLOOKUP(AM$1,main!$A$3:$H$102,8,FALSE),main!$K$19:$O$22,MATCH(VLOOKUP($A85,main!$A$3:$H$102,7,FALSE),main!$K$18:$O$18,0),0))),0)</f>
        <v>310</v>
      </c>
      <c r="AN85">
        <f>IF((gamma!AN85),IF(VLOOKUP(AN$1,main!$A$3:$H$102,7,FALSE)=VLOOKUP($A85,main!$A$3:$H$102,8,FALSE),VLOOKUP(AN$1,main!$A$3:$H$102,4,FALSE),VLOOKUP(AN$1,main!$A$3:$H$102,4,FALSE)+VLOOKUP($A85,main!$A$3:$H$102,4,FALSE)+(VLOOKUP(VLOOKUP(AN$1,main!$A$3:$H$102,8,FALSE),main!$K$19:$O$22,MATCH(VLOOKUP($A85,main!$A$3:$H$102,7,FALSE),main!$K$18:$O$18,0),0))),0)</f>
        <v>310</v>
      </c>
      <c r="AO85">
        <f>IF((gamma!AO85),IF(VLOOKUP(AO$1,main!$A$3:$H$102,7,FALSE)=VLOOKUP($A85,main!$A$3:$H$102,8,FALSE),VLOOKUP(AO$1,main!$A$3:$H$102,4,FALSE),VLOOKUP(AO$1,main!$A$3:$H$102,4,FALSE)+VLOOKUP($A85,main!$A$3:$H$102,4,FALSE)+(VLOOKUP(VLOOKUP(AO$1,main!$A$3:$H$102,8,FALSE),main!$K$19:$O$22,MATCH(VLOOKUP($A85,main!$A$3:$H$102,7,FALSE),main!$K$18:$O$18,0),0))),0)</f>
        <v>0</v>
      </c>
      <c r="AP85">
        <f>IF((gamma!AP85),IF(VLOOKUP(AP$1,main!$A$3:$H$102,7,FALSE)=VLOOKUP($A85,main!$A$3:$H$102,8,FALSE),VLOOKUP(AP$1,main!$A$3:$H$102,4,FALSE),VLOOKUP(AP$1,main!$A$3:$H$102,4,FALSE)+VLOOKUP($A85,main!$A$3:$H$102,4,FALSE)+(VLOOKUP(VLOOKUP(AP$1,main!$A$3:$H$102,8,FALSE),main!$K$19:$O$22,MATCH(VLOOKUP($A85,main!$A$3:$H$102,7,FALSE),main!$K$18:$O$18,0),0))),0)</f>
        <v>250</v>
      </c>
      <c r="AQ85">
        <f>IF((gamma!AQ85),IF(VLOOKUP(AQ$1,main!$A$3:$H$102,7,FALSE)=VLOOKUP($A85,main!$A$3:$H$102,8,FALSE),VLOOKUP(AQ$1,main!$A$3:$H$102,4,FALSE),VLOOKUP(AQ$1,main!$A$3:$H$102,4,FALSE)+VLOOKUP($A85,main!$A$3:$H$102,4,FALSE)+(VLOOKUP(VLOOKUP(AQ$1,main!$A$3:$H$102,8,FALSE),main!$K$19:$O$22,MATCH(VLOOKUP($A85,main!$A$3:$H$102,7,FALSE),main!$K$18:$O$18,0),0))),0)</f>
        <v>0</v>
      </c>
      <c r="AR85">
        <f>IF((gamma!AR85),IF(VLOOKUP(AR$1,main!$A$3:$H$102,7,FALSE)=VLOOKUP($A85,main!$A$3:$H$102,8,FALSE),VLOOKUP(AR$1,main!$A$3:$H$102,4,FALSE),VLOOKUP(AR$1,main!$A$3:$H$102,4,FALSE)+VLOOKUP($A85,main!$A$3:$H$102,4,FALSE)+(VLOOKUP(VLOOKUP(AR$1,main!$A$3:$H$102,8,FALSE),main!$K$19:$O$22,MATCH(VLOOKUP($A85,main!$A$3:$H$102,7,FALSE),main!$K$18:$O$18,0),0))),0)</f>
        <v>0</v>
      </c>
      <c r="AS85">
        <f>IF((gamma!AS85),IF(VLOOKUP(AS$1,main!$A$3:$H$102,7,FALSE)=VLOOKUP($A85,main!$A$3:$H$102,8,FALSE),VLOOKUP(AS$1,main!$A$3:$H$102,4,FALSE),VLOOKUP(AS$1,main!$A$3:$H$102,4,FALSE)+VLOOKUP($A85,main!$A$3:$H$102,4,FALSE)+(VLOOKUP(VLOOKUP(AS$1,main!$A$3:$H$102,8,FALSE),main!$K$19:$O$22,MATCH(VLOOKUP($A85,main!$A$3:$H$102,7,FALSE),main!$K$18:$O$18,0),0))),0)</f>
        <v>0</v>
      </c>
      <c r="AT85">
        <f>IF((gamma!AT85),IF(VLOOKUP(AT$1,main!$A$3:$H$102,7,FALSE)=VLOOKUP($A85,main!$A$3:$H$102,8,FALSE),VLOOKUP(AT$1,main!$A$3:$H$102,4,FALSE),VLOOKUP(AT$1,main!$A$3:$H$102,4,FALSE)+VLOOKUP($A85,main!$A$3:$H$102,4,FALSE)+(VLOOKUP(VLOOKUP(AT$1,main!$A$3:$H$102,8,FALSE),main!$K$19:$O$22,MATCH(VLOOKUP($A85,main!$A$3:$H$102,7,FALSE),main!$K$18:$O$18,0),0))),0)</f>
        <v>0</v>
      </c>
      <c r="AU85">
        <f>IF((gamma!AU85),IF(VLOOKUP(AU$1,main!$A$3:$H$102,7,FALSE)=VLOOKUP($A85,main!$A$3:$H$102,8,FALSE),VLOOKUP(AU$1,main!$A$3:$H$102,4,FALSE),VLOOKUP(AU$1,main!$A$3:$H$102,4,FALSE)+VLOOKUP($A85,main!$A$3:$H$102,4,FALSE)+(VLOOKUP(VLOOKUP(AU$1,main!$A$3:$H$102,8,FALSE),main!$K$19:$O$22,MATCH(VLOOKUP($A85,main!$A$3:$H$102,7,FALSE),main!$K$18:$O$18,0),0))),0)</f>
        <v>0</v>
      </c>
      <c r="AV85">
        <f>IF((gamma!AV85),IF(VLOOKUP(AV$1,main!$A$3:$H$102,7,FALSE)=VLOOKUP($A85,main!$A$3:$H$102,8,FALSE),VLOOKUP(AV$1,main!$A$3:$H$102,4,FALSE),VLOOKUP(AV$1,main!$A$3:$H$102,4,FALSE)+VLOOKUP($A85,main!$A$3:$H$102,4,FALSE)+(VLOOKUP(VLOOKUP(AV$1,main!$A$3:$H$102,8,FALSE),main!$K$19:$O$22,MATCH(VLOOKUP($A85,main!$A$3:$H$102,7,FALSE),main!$K$18:$O$18,0),0))),0)</f>
        <v>0</v>
      </c>
      <c r="AW85">
        <f>IF((gamma!AW85),IF(VLOOKUP(AW$1,main!$A$3:$H$102,7,FALSE)=VLOOKUP($A85,main!$A$3:$H$102,8,FALSE),VLOOKUP(AW$1,main!$A$3:$H$102,4,FALSE),VLOOKUP(AW$1,main!$A$3:$H$102,4,FALSE)+VLOOKUP($A85,main!$A$3:$H$102,4,FALSE)+(VLOOKUP(VLOOKUP(AW$1,main!$A$3:$H$102,8,FALSE),main!$K$19:$O$22,MATCH(VLOOKUP($A85,main!$A$3:$H$102,7,FALSE),main!$K$18:$O$18,0),0))),0)</f>
        <v>0</v>
      </c>
      <c r="AX85">
        <f>IF((gamma!AX85),IF(VLOOKUP(AX$1,main!$A$3:$H$102,7,FALSE)=VLOOKUP($A85,main!$A$3:$H$102,8,FALSE),VLOOKUP(AX$1,main!$A$3:$H$102,4,FALSE),VLOOKUP(AX$1,main!$A$3:$H$102,4,FALSE)+VLOOKUP($A85,main!$A$3:$H$102,4,FALSE)+(VLOOKUP(VLOOKUP(AX$1,main!$A$3:$H$102,8,FALSE),main!$K$19:$O$22,MATCH(VLOOKUP($A85,main!$A$3:$H$102,7,FALSE),main!$K$18:$O$18,0),0))),0)</f>
        <v>0</v>
      </c>
      <c r="AY85">
        <f>IF((gamma!AY85),IF(VLOOKUP(AY$1,main!$A$3:$H$102,7,FALSE)=VLOOKUP($A85,main!$A$3:$H$102,8,FALSE),VLOOKUP(AY$1,main!$A$3:$H$102,4,FALSE),VLOOKUP(AY$1,main!$A$3:$H$102,4,FALSE)+VLOOKUP($A85,main!$A$3:$H$102,4,FALSE)+(VLOOKUP(VLOOKUP(AY$1,main!$A$3:$H$102,8,FALSE),main!$K$19:$O$22,MATCH(VLOOKUP($A85,main!$A$3:$H$102,7,FALSE),main!$K$18:$O$18,0),0))),0)</f>
        <v>0</v>
      </c>
      <c r="AZ85">
        <f>IF((gamma!AZ85),IF(VLOOKUP(AZ$1,main!$A$3:$H$102,7,FALSE)=VLOOKUP($A85,main!$A$3:$H$102,8,FALSE),VLOOKUP(AZ$1,main!$A$3:$H$102,4,FALSE),VLOOKUP(AZ$1,main!$A$3:$H$102,4,FALSE)+VLOOKUP($A85,main!$A$3:$H$102,4,FALSE)+(VLOOKUP(VLOOKUP(AZ$1,main!$A$3:$H$102,8,FALSE),main!$K$19:$O$22,MATCH(VLOOKUP($A85,main!$A$3:$H$102,7,FALSE),main!$K$18:$O$18,0),0))),0)</f>
        <v>0</v>
      </c>
      <c r="BA85">
        <f>IF((gamma!BA85),IF(VLOOKUP(BA$1,main!$A$3:$H$102,7,FALSE)=VLOOKUP($A85,main!$A$3:$H$102,8,FALSE),VLOOKUP(BA$1,main!$A$3:$H$102,4,FALSE),VLOOKUP(BA$1,main!$A$3:$H$102,4,FALSE)+VLOOKUP($A85,main!$A$3:$H$102,4,FALSE)+(VLOOKUP(VLOOKUP(BA$1,main!$A$3:$H$102,8,FALSE),main!$K$19:$O$22,MATCH(VLOOKUP($A85,main!$A$3:$H$102,7,FALSE),main!$K$18:$O$18,0),0))),0)</f>
        <v>0</v>
      </c>
      <c r="BB85">
        <f>IF((gamma!BB85),IF(VLOOKUP(BB$1,main!$A$3:$H$102,7,FALSE)=VLOOKUP($A85,main!$A$3:$H$102,8,FALSE),VLOOKUP(BB$1,main!$A$3:$H$102,4,FALSE),VLOOKUP(BB$1,main!$A$3:$H$102,4,FALSE)+VLOOKUP($A85,main!$A$3:$H$102,4,FALSE)+(VLOOKUP(VLOOKUP(BB$1,main!$A$3:$H$102,8,FALSE),main!$K$19:$O$22,MATCH(VLOOKUP($A85,main!$A$3:$H$102,7,FALSE),main!$K$18:$O$18,0),0))),0)</f>
        <v>0</v>
      </c>
      <c r="BC85">
        <f>IF((gamma!BC85),IF(VLOOKUP(BC$1,main!$A$3:$H$102,7,FALSE)=VLOOKUP($A85,main!$A$3:$H$102,8,FALSE),VLOOKUP(BC$1,main!$A$3:$H$102,4,FALSE),VLOOKUP(BC$1,main!$A$3:$H$102,4,FALSE)+VLOOKUP($A85,main!$A$3:$H$102,4,FALSE)+(VLOOKUP(VLOOKUP(BC$1,main!$A$3:$H$102,8,FALSE),main!$K$19:$O$22,MATCH(VLOOKUP($A85,main!$A$3:$H$102,7,FALSE),main!$K$18:$O$18,0),0))),0)</f>
        <v>0</v>
      </c>
      <c r="BD85">
        <f>IF((gamma!BD85),IF(VLOOKUP(BD$1,main!$A$3:$H$102,7,FALSE)=VLOOKUP($A85,main!$A$3:$H$102,8,FALSE),VLOOKUP(BD$1,main!$A$3:$H$102,4,FALSE),VLOOKUP(BD$1,main!$A$3:$H$102,4,FALSE)+VLOOKUP($A85,main!$A$3:$H$102,4,FALSE)+(VLOOKUP(VLOOKUP(BD$1,main!$A$3:$H$102,8,FALSE),main!$K$19:$O$22,MATCH(VLOOKUP($A85,main!$A$3:$H$102,7,FALSE),main!$K$18:$O$18,0),0))),0)</f>
        <v>0</v>
      </c>
      <c r="BE85">
        <f>IF((gamma!BE85),IF(VLOOKUP(BE$1,main!$A$3:$H$102,7,FALSE)=VLOOKUP($A85,main!$A$3:$H$102,8,FALSE),VLOOKUP(BE$1,main!$A$3:$H$102,4,FALSE),VLOOKUP(BE$1,main!$A$3:$H$102,4,FALSE)+VLOOKUP($A85,main!$A$3:$H$102,4,FALSE)+(VLOOKUP(VLOOKUP(BE$1,main!$A$3:$H$102,8,FALSE),main!$K$19:$O$22,MATCH(VLOOKUP($A85,main!$A$3:$H$102,7,FALSE),main!$K$18:$O$18,0),0))),0)</f>
        <v>315</v>
      </c>
      <c r="BF85">
        <f>IF((gamma!BF85),IF(VLOOKUP(BF$1,main!$A$3:$H$102,7,FALSE)=VLOOKUP($A85,main!$A$3:$H$102,8,FALSE),VLOOKUP(BF$1,main!$A$3:$H$102,4,FALSE),VLOOKUP(BF$1,main!$A$3:$H$102,4,FALSE)+VLOOKUP($A85,main!$A$3:$H$102,4,FALSE)+(VLOOKUP(VLOOKUP(BF$1,main!$A$3:$H$102,8,FALSE),main!$K$19:$O$22,MATCH(VLOOKUP($A85,main!$A$3:$H$102,7,FALSE),main!$K$18:$O$18,0),0))),0)</f>
        <v>0</v>
      </c>
      <c r="BG85">
        <f>IF((gamma!BG85),IF(VLOOKUP(BG$1,main!$A$3:$H$102,7,FALSE)=VLOOKUP($A85,main!$A$3:$H$102,8,FALSE),VLOOKUP(BG$1,main!$A$3:$H$102,4,FALSE),VLOOKUP(BG$1,main!$A$3:$H$102,4,FALSE)+VLOOKUP($A85,main!$A$3:$H$102,4,FALSE)+(VLOOKUP(VLOOKUP(BG$1,main!$A$3:$H$102,8,FALSE),main!$K$19:$O$22,MATCH(VLOOKUP($A85,main!$A$3:$H$102,7,FALSE),main!$K$18:$O$18,0),0))),0)</f>
        <v>0</v>
      </c>
      <c r="BH85">
        <f>IF((gamma!BH85),IF(VLOOKUP(BH$1,main!$A$3:$H$102,7,FALSE)=VLOOKUP($A85,main!$A$3:$H$102,8,FALSE),VLOOKUP(BH$1,main!$A$3:$H$102,4,FALSE),VLOOKUP(BH$1,main!$A$3:$H$102,4,FALSE)+VLOOKUP($A85,main!$A$3:$H$102,4,FALSE)+(VLOOKUP(VLOOKUP(BH$1,main!$A$3:$H$102,8,FALSE),main!$K$19:$O$22,MATCH(VLOOKUP($A85,main!$A$3:$H$102,7,FALSE),main!$K$18:$O$18,0),0))),0)</f>
        <v>0</v>
      </c>
      <c r="BI85">
        <f>IF((gamma!BI85),IF(VLOOKUP(BI$1,main!$A$3:$H$102,7,FALSE)=VLOOKUP($A85,main!$A$3:$H$102,8,FALSE),VLOOKUP(BI$1,main!$A$3:$H$102,4,FALSE),VLOOKUP(BI$1,main!$A$3:$H$102,4,FALSE)+VLOOKUP($A85,main!$A$3:$H$102,4,FALSE)+(VLOOKUP(VLOOKUP(BI$1,main!$A$3:$H$102,8,FALSE),main!$K$19:$O$22,MATCH(VLOOKUP($A85,main!$A$3:$H$102,7,FALSE),main!$K$18:$O$18,0),0))),0)</f>
        <v>235</v>
      </c>
      <c r="BJ85">
        <f>IF((gamma!BJ85),IF(VLOOKUP(BJ$1,main!$A$3:$H$102,7,FALSE)=VLOOKUP($A85,main!$A$3:$H$102,8,FALSE),VLOOKUP(BJ$1,main!$A$3:$H$102,4,FALSE),VLOOKUP(BJ$1,main!$A$3:$H$102,4,FALSE)+VLOOKUP($A85,main!$A$3:$H$102,4,FALSE)+(VLOOKUP(VLOOKUP(BJ$1,main!$A$3:$H$102,8,FALSE),main!$K$19:$O$22,MATCH(VLOOKUP($A85,main!$A$3:$H$102,7,FALSE),main!$K$18:$O$18,0),0))),0)</f>
        <v>265</v>
      </c>
      <c r="BK85">
        <f>IF((gamma!BK85),IF(VLOOKUP(BK$1,main!$A$3:$H$102,7,FALSE)=VLOOKUP($A85,main!$A$3:$H$102,8,FALSE),VLOOKUP(BK$1,main!$A$3:$H$102,4,FALSE),VLOOKUP(BK$1,main!$A$3:$H$102,4,FALSE)+VLOOKUP($A85,main!$A$3:$H$102,4,FALSE)+(VLOOKUP(VLOOKUP(BK$1,main!$A$3:$H$102,8,FALSE),main!$K$19:$O$22,MATCH(VLOOKUP($A85,main!$A$3:$H$102,7,FALSE),main!$K$18:$O$18,0),0))),0)</f>
        <v>0</v>
      </c>
      <c r="BL85">
        <f>IF((gamma!BL85),IF(VLOOKUP(BL$1,main!$A$3:$H$102,7,FALSE)=VLOOKUP($A85,main!$A$3:$H$102,8,FALSE),VLOOKUP(BL$1,main!$A$3:$H$102,4,FALSE),VLOOKUP(BL$1,main!$A$3:$H$102,4,FALSE)+VLOOKUP($A85,main!$A$3:$H$102,4,FALSE)+(VLOOKUP(VLOOKUP(BL$1,main!$A$3:$H$102,8,FALSE),main!$K$19:$O$22,MATCH(VLOOKUP($A85,main!$A$3:$H$102,7,FALSE),main!$K$18:$O$18,0),0))),0)</f>
        <v>0</v>
      </c>
      <c r="BM85">
        <f>IF((gamma!BM85),IF(VLOOKUP(BM$1,main!$A$3:$H$102,7,FALSE)=VLOOKUP($A85,main!$A$3:$H$102,8,FALSE),VLOOKUP(BM$1,main!$A$3:$H$102,4,FALSE),VLOOKUP(BM$1,main!$A$3:$H$102,4,FALSE)+VLOOKUP($A85,main!$A$3:$H$102,4,FALSE)+(VLOOKUP(VLOOKUP(BM$1,main!$A$3:$H$102,8,FALSE),main!$K$19:$O$22,MATCH(VLOOKUP($A85,main!$A$3:$H$102,7,FALSE),main!$K$18:$O$18,0),0))),0)</f>
        <v>0</v>
      </c>
      <c r="BN85">
        <f>IF((gamma!BN85),IF(VLOOKUP(BN$1,main!$A$3:$H$102,7,FALSE)=VLOOKUP($A85,main!$A$3:$H$102,8,FALSE),VLOOKUP(BN$1,main!$A$3:$H$102,4,FALSE),VLOOKUP(BN$1,main!$A$3:$H$102,4,FALSE)+VLOOKUP($A85,main!$A$3:$H$102,4,FALSE)+(VLOOKUP(VLOOKUP(BN$1,main!$A$3:$H$102,8,FALSE),main!$K$19:$O$22,MATCH(VLOOKUP($A85,main!$A$3:$H$102,7,FALSE),main!$K$18:$O$18,0),0))),0)</f>
        <v>0</v>
      </c>
      <c r="BO85">
        <f>IF((gamma!BO85),IF(VLOOKUP(BO$1,main!$A$3:$H$102,7,FALSE)=VLOOKUP($A85,main!$A$3:$H$102,8,FALSE),VLOOKUP(BO$1,main!$A$3:$H$102,4,FALSE),VLOOKUP(BO$1,main!$A$3:$H$102,4,FALSE)+VLOOKUP($A85,main!$A$3:$H$102,4,FALSE)+(VLOOKUP(VLOOKUP(BO$1,main!$A$3:$H$102,8,FALSE),main!$K$19:$O$22,MATCH(VLOOKUP($A85,main!$A$3:$H$102,7,FALSE),main!$K$18:$O$18,0),0))),0)</f>
        <v>0</v>
      </c>
      <c r="BP85">
        <f>IF((gamma!BP85),IF(VLOOKUP(BP$1,main!$A$3:$H$102,7,FALSE)=VLOOKUP($A85,main!$A$3:$H$102,8,FALSE),VLOOKUP(BP$1,main!$A$3:$H$102,4,FALSE),VLOOKUP(BP$1,main!$A$3:$H$102,4,FALSE)+VLOOKUP($A85,main!$A$3:$H$102,4,FALSE)+(VLOOKUP(VLOOKUP(BP$1,main!$A$3:$H$102,8,FALSE),main!$K$19:$O$22,MATCH(VLOOKUP($A85,main!$A$3:$H$102,7,FALSE),main!$K$18:$O$18,0),0))),0)</f>
        <v>0</v>
      </c>
      <c r="BQ85">
        <f>IF((gamma!BQ85),IF(VLOOKUP(BQ$1,main!$A$3:$H$102,7,FALSE)=VLOOKUP($A85,main!$A$3:$H$102,8,FALSE),VLOOKUP(BQ$1,main!$A$3:$H$102,4,FALSE),VLOOKUP(BQ$1,main!$A$3:$H$102,4,FALSE)+VLOOKUP($A85,main!$A$3:$H$102,4,FALSE)+(VLOOKUP(VLOOKUP(BQ$1,main!$A$3:$H$102,8,FALSE),main!$K$19:$O$22,MATCH(VLOOKUP($A85,main!$A$3:$H$102,7,FALSE),main!$K$18:$O$18,0),0))),0)</f>
        <v>0</v>
      </c>
      <c r="BR85">
        <f>IF((gamma!BR85),IF(VLOOKUP(BR$1,main!$A$3:$H$102,7,FALSE)=VLOOKUP($A85,main!$A$3:$H$102,8,FALSE),VLOOKUP(BR$1,main!$A$3:$H$102,4,FALSE),VLOOKUP(BR$1,main!$A$3:$H$102,4,FALSE)+VLOOKUP($A85,main!$A$3:$H$102,4,FALSE)+(VLOOKUP(VLOOKUP(BR$1,main!$A$3:$H$102,8,FALSE),main!$K$19:$O$22,MATCH(VLOOKUP($A85,main!$A$3:$H$102,7,FALSE),main!$K$18:$O$18,0),0))),0)</f>
        <v>0</v>
      </c>
      <c r="BS85">
        <f>IF((gamma!BS85),IF(VLOOKUP(BS$1,main!$A$3:$H$102,7,FALSE)=VLOOKUP($A85,main!$A$3:$H$102,8,FALSE),VLOOKUP(BS$1,main!$A$3:$H$102,4,FALSE),VLOOKUP(BS$1,main!$A$3:$H$102,4,FALSE)+VLOOKUP($A85,main!$A$3:$H$102,4,FALSE)+(VLOOKUP(VLOOKUP(BS$1,main!$A$3:$H$102,8,FALSE),main!$K$19:$O$22,MATCH(VLOOKUP($A85,main!$A$3:$H$102,7,FALSE),main!$K$18:$O$18,0),0))),0)</f>
        <v>0</v>
      </c>
      <c r="BT85">
        <f>IF((gamma!BT85),IF(VLOOKUP(BT$1,main!$A$3:$H$102,7,FALSE)=VLOOKUP($A85,main!$A$3:$H$102,8,FALSE),VLOOKUP(BT$1,main!$A$3:$H$102,4,FALSE),VLOOKUP(BT$1,main!$A$3:$H$102,4,FALSE)+VLOOKUP($A85,main!$A$3:$H$102,4,FALSE)+(VLOOKUP(VLOOKUP(BT$1,main!$A$3:$H$102,8,FALSE),main!$K$19:$O$22,MATCH(VLOOKUP($A85,main!$A$3:$H$102,7,FALSE),main!$K$18:$O$18,0),0))),0)</f>
        <v>0</v>
      </c>
      <c r="BU85">
        <f>IF((gamma!BU85),IF(VLOOKUP(BU$1,main!$A$3:$H$102,7,FALSE)=VLOOKUP($A85,main!$A$3:$H$102,8,FALSE),VLOOKUP(BU$1,main!$A$3:$H$102,4,FALSE),VLOOKUP(BU$1,main!$A$3:$H$102,4,FALSE)+VLOOKUP($A85,main!$A$3:$H$102,4,FALSE)+(VLOOKUP(VLOOKUP(BU$1,main!$A$3:$H$102,8,FALSE),main!$K$19:$O$22,MATCH(VLOOKUP($A85,main!$A$3:$H$102,7,FALSE),main!$K$18:$O$18,0),0))),0)</f>
        <v>0</v>
      </c>
      <c r="BV85">
        <f>IF((gamma!BV85),IF(VLOOKUP(BV$1,main!$A$3:$H$102,7,FALSE)=VLOOKUP($A85,main!$A$3:$H$102,8,FALSE),VLOOKUP(BV$1,main!$A$3:$H$102,4,FALSE),VLOOKUP(BV$1,main!$A$3:$H$102,4,FALSE)+VLOOKUP($A85,main!$A$3:$H$102,4,FALSE)+(VLOOKUP(VLOOKUP(BV$1,main!$A$3:$H$102,8,FALSE),main!$K$19:$O$22,MATCH(VLOOKUP($A85,main!$A$3:$H$102,7,FALSE),main!$K$18:$O$18,0),0))),0)</f>
        <v>0</v>
      </c>
      <c r="BW85">
        <f>IF((gamma!BW85),IF(VLOOKUP(BW$1,main!$A$3:$H$102,7,FALSE)=VLOOKUP($A85,main!$A$3:$H$102,8,FALSE),VLOOKUP(BW$1,main!$A$3:$H$102,4,FALSE),VLOOKUP(BW$1,main!$A$3:$H$102,4,FALSE)+VLOOKUP($A85,main!$A$3:$H$102,4,FALSE)+(VLOOKUP(VLOOKUP(BW$1,main!$A$3:$H$102,8,FALSE),main!$K$19:$O$22,MATCH(VLOOKUP($A85,main!$A$3:$H$102,7,FALSE),main!$K$18:$O$18,0),0))),0)</f>
        <v>0</v>
      </c>
      <c r="BX85">
        <f>IF((gamma!BX85),IF(VLOOKUP(BX$1,main!$A$3:$H$102,7,FALSE)=VLOOKUP($A85,main!$A$3:$H$102,8,FALSE),VLOOKUP(BX$1,main!$A$3:$H$102,4,FALSE),VLOOKUP(BX$1,main!$A$3:$H$102,4,FALSE)+VLOOKUP($A85,main!$A$3:$H$102,4,FALSE)+(VLOOKUP(VLOOKUP(BX$1,main!$A$3:$H$102,8,FALSE),main!$K$19:$O$22,MATCH(VLOOKUP($A85,main!$A$3:$H$102,7,FALSE),main!$K$18:$O$18,0),0))),0)</f>
        <v>0</v>
      </c>
      <c r="BY85">
        <f>IF((gamma!BY85),IF(VLOOKUP(BY$1,main!$A$3:$H$102,7,FALSE)=VLOOKUP($A85,main!$A$3:$H$102,8,FALSE),VLOOKUP(BY$1,main!$A$3:$H$102,4,FALSE),VLOOKUP(BY$1,main!$A$3:$H$102,4,FALSE)+VLOOKUP($A85,main!$A$3:$H$102,4,FALSE)+(VLOOKUP(VLOOKUP(BY$1,main!$A$3:$H$102,8,FALSE),main!$K$19:$O$22,MATCH(VLOOKUP($A85,main!$A$3:$H$102,7,FALSE),main!$K$18:$O$18,0),0))),0)</f>
        <v>0</v>
      </c>
      <c r="BZ85">
        <f>IF((gamma!BZ85),IF(VLOOKUP(BZ$1,main!$A$3:$H$102,7,FALSE)=VLOOKUP($A85,main!$A$3:$H$102,8,FALSE),VLOOKUP(BZ$1,main!$A$3:$H$102,4,FALSE),VLOOKUP(BZ$1,main!$A$3:$H$102,4,FALSE)+VLOOKUP($A85,main!$A$3:$H$102,4,FALSE)+(VLOOKUP(VLOOKUP(BZ$1,main!$A$3:$H$102,8,FALSE),main!$K$19:$O$22,MATCH(VLOOKUP($A85,main!$A$3:$H$102,7,FALSE),main!$K$18:$O$18,0),0))),0)</f>
        <v>0</v>
      </c>
      <c r="CA85">
        <f>IF((gamma!CA85),IF(VLOOKUP(CA$1,main!$A$3:$H$102,7,FALSE)=VLOOKUP($A85,main!$A$3:$H$102,8,FALSE),VLOOKUP(CA$1,main!$A$3:$H$102,4,FALSE),VLOOKUP(CA$1,main!$A$3:$H$102,4,FALSE)+VLOOKUP($A85,main!$A$3:$H$102,4,FALSE)+(VLOOKUP(VLOOKUP(CA$1,main!$A$3:$H$102,8,FALSE),main!$K$19:$O$22,MATCH(VLOOKUP($A85,main!$A$3:$H$102,7,FALSE),main!$K$18:$O$18,0),0))),0)</f>
        <v>0</v>
      </c>
      <c r="CB85">
        <f>IF((gamma!CB85),IF(VLOOKUP(CB$1,main!$A$3:$H$102,7,FALSE)=VLOOKUP($A85,main!$A$3:$H$102,8,FALSE),VLOOKUP(CB$1,main!$A$3:$H$102,4,FALSE),VLOOKUP(CB$1,main!$A$3:$H$102,4,FALSE)+VLOOKUP($A85,main!$A$3:$H$102,4,FALSE)+(VLOOKUP(VLOOKUP(CB$1,main!$A$3:$H$102,8,FALSE),main!$K$19:$O$22,MATCH(VLOOKUP($A85,main!$A$3:$H$102,7,FALSE),main!$K$18:$O$18,0),0))),0)</f>
        <v>0</v>
      </c>
      <c r="CC85">
        <f>IF((gamma!CC85),IF(VLOOKUP(CC$1,main!$A$3:$H$102,7,FALSE)=VLOOKUP($A85,main!$A$3:$H$102,8,FALSE),VLOOKUP(CC$1,main!$A$3:$H$102,4,FALSE),VLOOKUP(CC$1,main!$A$3:$H$102,4,FALSE)+VLOOKUP($A85,main!$A$3:$H$102,4,FALSE)+(VLOOKUP(VLOOKUP(CC$1,main!$A$3:$H$102,8,FALSE),main!$K$19:$O$22,MATCH(VLOOKUP($A85,main!$A$3:$H$102,7,FALSE),main!$K$18:$O$18,0),0))),0)</f>
        <v>195</v>
      </c>
      <c r="CD85">
        <f>IF((gamma!CD85),IF(VLOOKUP(CD$1,main!$A$3:$H$102,7,FALSE)=VLOOKUP($A85,main!$A$3:$H$102,8,FALSE),VLOOKUP(CD$1,main!$A$3:$H$102,4,FALSE),VLOOKUP(CD$1,main!$A$3:$H$102,4,FALSE)+VLOOKUP($A85,main!$A$3:$H$102,4,FALSE)+(VLOOKUP(VLOOKUP(CD$1,main!$A$3:$H$102,8,FALSE),main!$K$19:$O$22,MATCH(VLOOKUP($A85,main!$A$3:$H$102,7,FALSE),main!$K$18:$O$18,0),0))),0)</f>
        <v>0</v>
      </c>
      <c r="CE85">
        <f>IF((gamma!CE85),IF(VLOOKUP(CE$1,main!$A$3:$H$102,7,FALSE)=VLOOKUP($A85,main!$A$3:$H$102,8,FALSE),VLOOKUP(CE$1,main!$A$3:$H$102,4,FALSE),VLOOKUP(CE$1,main!$A$3:$H$102,4,FALSE)+VLOOKUP($A85,main!$A$3:$H$102,4,FALSE)+(VLOOKUP(VLOOKUP(CE$1,main!$A$3:$H$102,8,FALSE),main!$K$19:$O$22,MATCH(VLOOKUP($A85,main!$A$3:$H$102,7,FALSE),main!$K$18:$O$18,0),0))),0)</f>
        <v>0</v>
      </c>
      <c r="CF85">
        <f>IF((gamma!CF85),IF(VLOOKUP(CF$1,main!$A$3:$H$102,7,FALSE)=VLOOKUP($A85,main!$A$3:$H$102,8,FALSE),VLOOKUP(CF$1,main!$A$3:$H$102,4,FALSE),VLOOKUP(CF$1,main!$A$3:$H$102,4,FALSE)+VLOOKUP($A85,main!$A$3:$H$102,4,FALSE)+(VLOOKUP(VLOOKUP(CF$1,main!$A$3:$H$102,8,FALSE),main!$K$19:$O$22,MATCH(VLOOKUP($A85,main!$A$3:$H$102,7,FALSE),main!$K$18:$O$18,0),0))),0)</f>
        <v>0</v>
      </c>
      <c r="CG85">
        <f>IF((gamma!CG85),IF(VLOOKUP(CG$1,main!$A$3:$H$102,7,FALSE)=VLOOKUP($A85,main!$A$3:$H$102,8,FALSE),VLOOKUP(CG$1,main!$A$3:$H$102,4,FALSE),VLOOKUP(CG$1,main!$A$3:$H$102,4,FALSE)+VLOOKUP($A85,main!$A$3:$H$102,4,FALSE)+(VLOOKUP(VLOOKUP(CG$1,main!$A$3:$H$102,8,FALSE),main!$K$19:$O$22,MATCH(VLOOKUP($A85,main!$A$3:$H$102,7,FALSE),main!$K$18:$O$18,0),0))),0)</f>
        <v>0</v>
      </c>
      <c r="CH85">
        <f>IF((gamma!CH85),IF(VLOOKUP(CH$1,main!$A$3:$H$102,7,FALSE)=VLOOKUP($A85,main!$A$3:$H$102,8,FALSE),VLOOKUP(CH$1,main!$A$3:$H$102,4,FALSE),VLOOKUP(CH$1,main!$A$3:$H$102,4,FALSE)+VLOOKUP($A85,main!$A$3:$H$102,4,FALSE)+(VLOOKUP(VLOOKUP(CH$1,main!$A$3:$H$102,8,FALSE),main!$K$19:$O$22,MATCH(VLOOKUP($A85,main!$A$3:$H$102,7,FALSE),main!$K$18:$O$18,0),0))),0)</f>
        <v>315</v>
      </c>
      <c r="CI85">
        <f>IF((gamma!CI85),IF(VLOOKUP(CI$1,main!$A$3:$H$102,7,FALSE)=VLOOKUP($A85,main!$A$3:$H$102,8,FALSE),VLOOKUP(CI$1,main!$A$3:$H$102,4,FALSE),VLOOKUP(CI$1,main!$A$3:$H$102,4,FALSE)+VLOOKUP($A85,main!$A$3:$H$102,4,FALSE)+(VLOOKUP(VLOOKUP(CI$1,main!$A$3:$H$102,8,FALSE),main!$K$19:$O$22,MATCH(VLOOKUP($A85,main!$A$3:$H$102,7,FALSE),main!$K$18:$O$18,0),0))),0)</f>
        <v>315</v>
      </c>
      <c r="CJ85">
        <f>IF((gamma!CJ85),IF(VLOOKUP(CJ$1,main!$A$3:$H$102,7,FALSE)=VLOOKUP($A85,main!$A$3:$H$102,8,FALSE),VLOOKUP(CJ$1,main!$A$3:$H$102,4,FALSE),VLOOKUP(CJ$1,main!$A$3:$H$102,4,FALSE)+VLOOKUP($A85,main!$A$3:$H$102,4,FALSE)+(VLOOKUP(VLOOKUP(CJ$1,main!$A$3:$H$102,8,FALSE),main!$K$19:$O$22,MATCH(VLOOKUP($A85,main!$A$3:$H$102,7,FALSE),main!$K$18:$O$18,0),0))),0)</f>
        <v>0</v>
      </c>
      <c r="CK85">
        <f>IF((gamma!CK85),IF(VLOOKUP(CK$1,main!$A$3:$H$102,7,FALSE)=VLOOKUP($A85,main!$A$3:$H$102,8,FALSE),VLOOKUP(CK$1,main!$A$3:$H$102,4,FALSE),VLOOKUP(CK$1,main!$A$3:$H$102,4,FALSE)+VLOOKUP($A85,main!$A$3:$H$102,4,FALSE)+(VLOOKUP(VLOOKUP(CK$1,main!$A$3:$H$102,8,FALSE),main!$K$19:$O$22,MATCH(VLOOKUP($A85,main!$A$3:$H$102,7,FALSE),main!$K$18:$O$18,0),0))),0)</f>
        <v>0</v>
      </c>
      <c r="CL85">
        <f>IF((gamma!CL85),IF(VLOOKUP(CL$1,main!$A$3:$H$102,7,FALSE)=VLOOKUP($A85,main!$A$3:$H$102,8,FALSE),VLOOKUP(CL$1,main!$A$3:$H$102,4,FALSE),VLOOKUP(CL$1,main!$A$3:$H$102,4,FALSE)+VLOOKUP($A85,main!$A$3:$H$102,4,FALSE)+(VLOOKUP(VLOOKUP(CL$1,main!$A$3:$H$102,8,FALSE),main!$K$19:$O$22,MATCH(VLOOKUP($A85,main!$A$3:$H$102,7,FALSE),main!$K$18:$O$18,0),0))),0)</f>
        <v>0</v>
      </c>
      <c r="CM85">
        <f>IF((gamma!CM85),IF(VLOOKUP(CM$1,main!$A$3:$H$102,7,FALSE)=VLOOKUP($A85,main!$A$3:$H$102,8,FALSE),VLOOKUP(CM$1,main!$A$3:$H$102,4,FALSE),VLOOKUP(CM$1,main!$A$3:$H$102,4,FALSE)+VLOOKUP($A85,main!$A$3:$H$102,4,FALSE)+(VLOOKUP(VLOOKUP(CM$1,main!$A$3:$H$102,8,FALSE),main!$K$19:$O$22,MATCH(VLOOKUP($A85,main!$A$3:$H$102,7,FALSE),main!$K$18:$O$18,0),0))),0)</f>
        <v>0</v>
      </c>
      <c r="CN85">
        <f>IF((gamma!CN85),IF(VLOOKUP(CN$1,main!$A$3:$H$102,7,FALSE)=VLOOKUP($A85,main!$A$3:$H$102,8,FALSE),VLOOKUP(CN$1,main!$A$3:$H$102,4,FALSE),VLOOKUP(CN$1,main!$A$3:$H$102,4,FALSE)+VLOOKUP($A85,main!$A$3:$H$102,4,FALSE)+(VLOOKUP(VLOOKUP(CN$1,main!$A$3:$H$102,8,FALSE),main!$K$19:$O$22,MATCH(VLOOKUP($A85,main!$A$3:$H$102,7,FALSE),main!$K$18:$O$18,0),0))),0)</f>
        <v>271</v>
      </c>
      <c r="CO85">
        <f>IF((gamma!CO85),IF(VLOOKUP(CO$1,main!$A$3:$H$102,7,FALSE)=VLOOKUP($A85,main!$A$3:$H$102,8,FALSE),VLOOKUP(CO$1,main!$A$3:$H$102,4,FALSE),VLOOKUP(CO$1,main!$A$3:$H$102,4,FALSE)+VLOOKUP($A85,main!$A$3:$H$102,4,FALSE)+(VLOOKUP(VLOOKUP(CO$1,main!$A$3:$H$102,8,FALSE),main!$K$19:$O$22,MATCH(VLOOKUP($A85,main!$A$3:$H$102,7,FALSE),main!$K$18:$O$18,0),0))),0)</f>
        <v>0</v>
      </c>
      <c r="CP85">
        <f>IF((gamma!CP85),IF(VLOOKUP(CP$1,main!$A$3:$H$102,7,FALSE)=VLOOKUP($A85,main!$A$3:$H$102,8,FALSE),VLOOKUP(CP$1,main!$A$3:$H$102,4,FALSE),VLOOKUP(CP$1,main!$A$3:$H$102,4,FALSE)+VLOOKUP($A85,main!$A$3:$H$102,4,FALSE)+(VLOOKUP(VLOOKUP(CP$1,main!$A$3:$H$102,8,FALSE),main!$K$19:$O$22,MATCH(VLOOKUP($A85,main!$A$3:$H$102,7,FALSE),main!$K$18:$O$18,0),0))),0)</f>
        <v>0</v>
      </c>
      <c r="CQ85">
        <f>IF((gamma!CQ85),IF(VLOOKUP(CQ$1,main!$A$3:$H$102,7,FALSE)=VLOOKUP($A85,main!$A$3:$H$102,8,FALSE),VLOOKUP(CQ$1,main!$A$3:$H$102,4,FALSE),VLOOKUP(CQ$1,main!$A$3:$H$102,4,FALSE)+VLOOKUP($A85,main!$A$3:$H$102,4,FALSE)+(VLOOKUP(VLOOKUP(CQ$1,main!$A$3:$H$102,8,FALSE),main!$K$19:$O$22,MATCH(VLOOKUP($A85,main!$A$3:$H$102,7,FALSE),main!$K$18:$O$18,0),0))),0)</f>
        <v>0</v>
      </c>
      <c r="CR85">
        <f>IF((gamma!CR85),IF(VLOOKUP(CR$1,main!$A$3:$H$102,7,FALSE)=VLOOKUP($A85,main!$A$3:$H$102,8,FALSE),VLOOKUP(CR$1,main!$A$3:$H$102,4,FALSE),VLOOKUP(CR$1,main!$A$3:$H$102,4,FALSE)+VLOOKUP($A85,main!$A$3:$H$102,4,FALSE)+(VLOOKUP(VLOOKUP(CR$1,main!$A$3:$H$102,8,FALSE),main!$K$19:$O$22,MATCH(VLOOKUP($A85,main!$A$3:$H$102,7,FALSE),main!$K$18:$O$18,0),0))),0)</f>
        <v>0</v>
      </c>
      <c r="CS85">
        <f>IF((gamma!CS85),IF(VLOOKUP(CS$1,main!$A$3:$H$102,7,FALSE)=VLOOKUP($A85,main!$A$3:$H$102,8,FALSE),VLOOKUP(CS$1,main!$A$3:$H$102,4,FALSE),VLOOKUP(CS$1,main!$A$3:$H$102,4,FALSE)+VLOOKUP($A85,main!$A$3:$H$102,4,FALSE)+(VLOOKUP(VLOOKUP(CS$1,main!$A$3:$H$102,8,FALSE),main!$K$19:$O$22,MATCH(VLOOKUP($A85,main!$A$3:$H$102,7,FALSE),main!$K$18:$O$18,0),0))),0)</f>
        <v>0</v>
      </c>
      <c r="CT85">
        <f>IF((gamma!CT85),IF(VLOOKUP(CT$1,main!$A$3:$H$102,7,FALSE)=VLOOKUP($A85,main!$A$3:$H$102,8,FALSE),VLOOKUP(CT$1,main!$A$3:$H$102,4,FALSE),VLOOKUP(CT$1,main!$A$3:$H$102,4,FALSE)+VLOOKUP($A85,main!$A$3:$H$102,4,FALSE)+(VLOOKUP(VLOOKUP(CT$1,main!$A$3:$H$102,8,FALSE),main!$K$19:$O$22,MATCH(VLOOKUP($A85,main!$A$3:$H$102,7,FALSE),main!$K$18:$O$18,0),0))),0)</f>
        <v>0</v>
      </c>
      <c r="CU85">
        <f>IF((gamma!CU85),IF(VLOOKUP(CU$1,main!$A$3:$H$102,7,FALSE)=VLOOKUP($A85,main!$A$3:$H$102,8,FALSE),VLOOKUP(CU$1,main!$A$3:$H$102,4,FALSE),VLOOKUP(CU$1,main!$A$3:$H$102,4,FALSE)+VLOOKUP($A85,main!$A$3:$H$102,4,FALSE)+(VLOOKUP(VLOOKUP(CU$1,main!$A$3:$H$102,8,FALSE),main!$K$19:$O$22,MATCH(VLOOKUP($A85,main!$A$3:$H$102,7,FALSE),main!$K$18:$O$18,0),0))),0)</f>
        <v>0</v>
      </c>
      <c r="CV85">
        <f>IF((gamma!CV85),IF(VLOOKUP(CV$1,main!$A$3:$H$102,7,FALSE)=VLOOKUP($A85,main!$A$3:$H$102,8,FALSE),VLOOKUP(CV$1,main!$A$3:$H$102,4,FALSE),VLOOKUP(CV$1,main!$A$3:$H$102,4,FALSE)+VLOOKUP($A85,main!$A$3:$H$102,4,FALSE)+(VLOOKUP(VLOOKUP(CV$1,main!$A$3:$H$102,8,FALSE),main!$K$19:$O$22,MATCH(VLOOKUP($A85,main!$A$3:$H$102,7,FALSE),main!$K$18:$O$18,0),0))),0)</f>
        <v>0</v>
      </c>
      <c r="CW85">
        <f>IF((gamma!CW85),IF(VLOOKUP(CW$1,main!$A$3:$H$102,7,FALSE)=VLOOKUP($A85,main!$A$3:$H$102,8,FALSE),VLOOKUP(CW$1,main!$A$3:$H$102,4,FALSE),VLOOKUP(CW$1,main!$A$3:$H$102,4,FALSE)+VLOOKUP($A85,main!$A$3:$H$102,4,FALSE)+(VLOOKUP(VLOOKUP(CW$1,main!$A$3:$H$102,8,FALSE),main!$K$19:$O$22,MATCH(VLOOKUP($A85,main!$A$3:$H$102,7,FALSE),main!$K$18:$O$18,0),0))),0)</f>
        <v>0</v>
      </c>
      <c r="CX85">
        <f>IF((gamma!CX85),IF(VLOOKUP(CX$1,main!$A$3:$H$102,7,FALSE)=VLOOKUP($A85,main!$A$3:$H$102,8,FALSE),VLOOKUP(CX$1,main!$A$3:$H$102,4,FALSE),VLOOKUP(CX$1,main!$A$3:$H$102,4,FALSE)+VLOOKUP($A85,main!$A$3:$H$102,4,FALSE)+(VLOOKUP(VLOOKUP(CX$1,main!$A$3:$H$102,8,FALSE),main!$K$19:$O$22,MATCH(VLOOKUP($A85,main!$A$3:$H$102,7,FALSE),main!$K$18:$O$18,0),0))),0)</f>
        <v>258</v>
      </c>
      <c r="CY85">
        <v>0</v>
      </c>
      <c r="CZ85">
        <v>0</v>
      </c>
      <c r="DA85">
        <v>0</v>
      </c>
    </row>
    <row r="86" spans="1:105" x14ac:dyDescent="0.25">
      <c r="A86" s="1">
        <v>84</v>
      </c>
      <c r="B86">
        <v>0</v>
      </c>
      <c r="C86">
        <f>IF((gamma!C86),IF(VLOOKUP(C$1,main!$A$3:$H$102,7,FALSE)=VLOOKUP($A86,main!$A$3:$H$102,8,FALSE),VLOOKUP(C$1,main!$A$3:$H$102,4,FALSE),VLOOKUP(C$1,main!$A$3:$H$102,4,FALSE)+VLOOKUP($A86,main!$A$3:$H$102,4,FALSE)+(VLOOKUP(VLOOKUP(C$1,main!$A$3:$H$102,8,FALSE),main!$K$19:$O$22,MATCH(VLOOKUP($A86,main!$A$3:$H$102,7,FALSE),main!$K$18:$O$18,0),0))),0)</f>
        <v>0</v>
      </c>
      <c r="D86">
        <f>IF((gamma!D86),IF(VLOOKUP(D$1,main!$A$3:$H$102,7,FALSE)=VLOOKUP($A86,main!$A$3:$H$102,8,FALSE),VLOOKUP(D$1,main!$A$3:$H$102,4,FALSE),VLOOKUP(D$1,main!$A$3:$H$102,4,FALSE)+VLOOKUP($A86,main!$A$3:$H$102,4,FALSE)+(VLOOKUP(VLOOKUP(D$1,main!$A$3:$H$102,8,FALSE),main!$K$19:$O$22,MATCH(VLOOKUP($A86,main!$A$3:$H$102,7,FALSE),main!$K$18:$O$18,0),0))),0)</f>
        <v>0</v>
      </c>
      <c r="E86">
        <f>IF((gamma!E86),IF(VLOOKUP(E$1,main!$A$3:$H$102,7,FALSE)=VLOOKUP($A86,main!$A$3:$H$102,8,FALSE),VLOOKUP(E$1,main!$A$3:$H$102,4,FALSE),VLOOKUP(E$1,main!$A$3:$H$102,4,FALSE)+VLOOKUP($A86,main!$A$3:$H$102,4,FALSE)+(VLOOKUP(VLOOKUP(E$1,main!$A$3:$H$102,8,FALSE),main!$K$19:$O$22,MATCH(VLOOKUP($A86,main!$A$3:$H$102,7,FALSE),main!$K$18:$O$18,0),0))),0)</f>
        <v>0</v>
      </c>
      <c r="F86">
        <f>IF((gamma!F86),IF(VLOOKUP(F$1,main!$A$3:$H$102,7,FALSE)=VLOOKUP($A86,main!$A$3:$H$102,8,FALSE),VLOOKUP(F$1,main!$A$3:$H$102,4,FALSE),VLOOKUP(F$1,main!$A$3:$H$102,4,FALSE)+VLOOKUP($A86,main!$A$3:$H$102,4,FALSE)+(VLOOKUP(VLOOKUP(F$1,main!$A$3:$H$102,8,FALSE),main!$K$19:$O$22,MATCH(VLOOKUP($A86,main!$A$3:$H$102,7,FALSE),main!$K$18:$O$18,0),0))),0)</f>
        <v>0</v>
      </c>
      <c r="G86">
        <f>IF((gamma!G86),IF(VLOOKUP(G$1,main!$A$3:$H$102,7,FALSE)=VLOOKUP($A86,main!$A$3:$H$102,8,FALSE),VLOOKUP(G$1,main!$A$3:$H$102,4,FALSE),VLOOKUP(G$1,main!$A$3:$H$102,4,FALSE)+VLOOKUP($A86,main!$A$3:$H$102,4,FALSE)+(VLOOKUP(VLOOKUP(G$1,main!$A$3:$H$102,8,FALSE),main!$K$19:$O$22,MATCH(VLOOKUP($A86,main!$A$3:$H$102,7,FALSE),main!$K$18:$O$18,0),0))),0)</f>
        <v>0</v>
      </c>
      <c r="H86">
        <f>IF((gamma!H86),IF(VLOOKUP(H$1,main!$A$3:$H$102,7,FALSE)=VLOOKUP($A86,main!$A$3:$H$102,8,FALSE),VLOOKUP(H$1,main!$A$3:$H$102,4,FALSE),VLOOKUP(H$1,main!$A$3:$H$102,4,FALSE)+VLOOKUP($A86,main!$A$3:$H$102,4,FALSE)+(VLOOKUP(VLOOKUP(H$1,main!$A$3:$H$102,8,FALSE),main!$K$19:$O$22,MATCH(VLOOKUP($A86,main!$A$3:$H$102,7,FALSE),main!$K$18:$O$18,0),0))),0)</f>
        <v>0</v>
      </c>
      <c r="I86">
        <f>IF((gamma!I86),IF(VLOOKUP(I$1,main!$A$3:$H$102,7,FALSE)=VLOOKUP($A86,main!$A$3:$H$102,8,FALSE),VLOOKUP(I$1,main!$A$3:$H$102,4,FALSE),VLOOKUP(I$1,main!$A$3:$H$102,4,FALSE)+VLOOKUP($A86,main!$A$3:$H$102,4,FALSE)+(VLOOKUP(VLOOKUP(I$1,main!$A$3:$H$102,8,FALSE),main!$K$19:$O$22,MATCH(VLOOKUP($A86,main!$A$3:$H$102,7,FALSE),main!$K$18:$O$18,0),0))),0)</f>
        <v>0</v>
      </c>
      <c r="J86">
        <f>IF((gamma!J86),IF(VLOOKUP(J$1,main!$A$3:$H$102,7,FALSE)=VLOOKUP($A86,main!$A$3:$H$102,8,FALSE),VLOOKUP(J$1,main!$A$3:$H$102,4,FALSE),VLOOKUP(J$1,main!$A$3:$H$102,4,FALSE)+VLOOKUP($A86,main!$A$3:$H$102,4,FALSE)+(VLOOKUP(VLOOKUP(J$1,main!$A$3:$H$102,8,FALSE),main!$K$19:$O$22,MATCH(VLOOKUP($A86,main!$A$3:$H$102,7,FALSE),main!$K$18:$O$18,0),0))),0)</f>
        <v>0</v>
      </c>
      <c r="K86">
        <f>IF((gamma!K86),IF(VLOOKUP(K$1,main!$A$3:$H$102,7,FALSE)=VLOOKUP($A86,main!$A$3:$H$102,8,FALSE),VLOOKUP(K$1,main!$A$3:$H$102,4,FALSE),VLOOKUP(K$1,main!$A$3:$H$102,4,FALSE)+VLOOKUP($A86,main!$A$3:$H$102,4,FALSE)+(VLOOKUP(VLOOKUP(K$1,main!$A$3:$H$102,8,FALSE),main!$K$19:$O$22,MATCH(VLOOKUP($A86,main!$A$3:$H$102,7,FALSE),main!$K$18:$O$18,0),0))),0)</f>
        <v>0</v>
      </c>
      <c r="L86">
        <f>IF((gamma!L86),IF(VLOOKUP(L$1,main!$A$3:$H$102,7,FALSE)=VLOOKUP($A86,main!$A$3:$H$102,8,FALSE),VLOOKUP(L$1,main!$A$3:$H$102,4,FALSE),VLOOKUP(L$1,main!$A$3:$H$102,4,FALSE)+VLOOKUP($A86,main!$A$3:$H$102,4,FALSE)+(VLOOKUP(VLOOKUP(L$1,main!$A$3:$H$102,8,FALSE),main!$K$19:$O$22,MATCH(VLOOKUP($A86,main!$A$3:$H$102,7,FALSE),main!$K$18:$O$18,0),0))),0)</f>
        <v>135</v>
      </c>
      <c r="M86">
        <f>IF((gamma!M86),IF(VLOOKUP(M$1,main!$A$3:$H$102,7,FALSE)=VLOOKUP($A86,main!$A$3:$H$102,8,FALSE),VLOOKUP(M$1,main!$A$3:$H$102,4,FALSE),VLOOKUP(M$1,main!$A$3:$H$102,4,FALSE)+VLOOKUP($A86,main!$A$3:$H$102,4,FALSE)+(VLOOKUP(VLOOKUP(M$1,main!$A$3:$H$102,8,FALSE),main!$K$19:$O$22,MATCH(VLOOKUP($A86,main!$A$3:$H$102,7,FALSE),main!$K$18:$O$18,0),0))),0)</f>
        <v>0</v>
      </c>
      <c r="N86">
        <f>IF((gamma!N86),IF(VLOOKUP(N$1,main!$A$3:$H$102,7,FALSE)=VLOOKUP($A86,main!$A$3:$H$102,8,FALSE),VLOOKUP(N$1,main!$A$3:$H$102,4,FALSE),VLOOKUP(N$1,main!$A$3:$H$102,4,FALSE)+VLOOKUP($A86,main!$A$3:$H$102,4,FALSE)+(VLOOKUP(VLOOKUP(N$1,main!$A$3:$H$102,8,FALSE),main!$K$19:$O$22,MATCH(VLOOKUP($A86,main!$A$3:$H$102,7,FALSE),main!$K$18:$O$18,0),0))),0)</f>
        <v>0</v>
      </c>
      <c r="O86">
        <f>IF((gamma!O86),IF(VLOOKUP(O$1,main!$A$3:$H$102,7,FALSE)=VLOOKUP($A86,main!$A$3:$H$102,8,FALSE),VLOOKUP(O$1,main!$A$3:$H$102,4,FALSE),VLOOKUP(O$1,main!$A$3:$H$102,4,FALSE)+VLOOKUP($A86,main!$A$3:$H$102,4,FALSE)+(VLOOKUP(VLOOKUP(O$1,main!$A$3:$H$102,8,FALSE),main!$K$19:$O$22,MATCH(VLOOKUP($A86,main!$A$3:$H$102,7,FALSE),main!$K$18:$O$18,0),0))),0)</f>
        <v>0</v>
      </c>
      <c r="P86">
        <f>IF((gamma!P86),IF(VLOOKUP(P$1,main!$A$3:$H$102,7,FALSE)=VLOOKUP($A86,main!$A$3:$H$102,8,FALSE),VLOOKUP(P$1,main!$A$3:$H$102,4,FALSE),VLOOKUP(P$1,main!$A$3:$H$102,4,FALSE)+VLOOKUP($A86,main!$A$3:$H$102,4,FALSE)+(VLOOKUP(VLOOKUP(P$1,main!$A$3:$H$102,8,FALSE),main!$K$19:$O$22,MATCH(VLOOKUP($A86,main!$A$3:$H$102,7,FALSE),main!$K$18:$O$18,0),0))),0)</f>
        <v>0</v>
      </c>
      <c r="Q86">
        <f>IF((gamma!Q86),IF(VLOOKUP(Q$1,main!$A$3:$H$102,7,FALSE)=VLOOKUP($A86,main!$A$3:$H$102,8,FALSE),VLOOKUP(Q$1,main!$A$3:$H$102,4,FALSE),VLOOKUP(Q$1,main!$A$3:$H$102,4,FALSE)+VLOOKUP($A86,main!$A$3:$H$102,4,FALSE)+(VLOOKUP(VLOOKUP(Q$1,main!$A$3:$H$102,8,FALSE),main!$K$19:$O$22,MATCH(VLOOKUP($A86,main!$A$3:$H$102,7,FALSE),main!$K$18:$O$18,0),0))),0)</f>
        <v>0</v>
      </c>
      <c r="R86">
        <f>IF((gamma!R86),IF(VLOOKUP(R$1,main!$A$3:$H$102,7,FALSE)=VLOOKUP($A86,main!$A$3:$H$102,8,FALSE),VLOOKUP(R$1,main!$A$3:$H$102,4,FALSE),VLOOKUP(R$1,main!$A$3:$H$102,4,FALSE)+VLOOKUP($A86,main!$A$3:$H$102,4,FALSE)+(VLOOKUP(VLOOKUP(R$1,main!$A$3:$H$102,8,FALSE),main!$K$19:$O$22,MATCH(VLOOKUP($A86,main!$A$3:$H$102,7,FALSE),main!$K$18:$O$18,0),0))),0)</f>
        <v>0</v>
      </c>
      <c r="S86">
        <f>IF((gamma!S86),IF(VLOOKUP(S$1,main!$A$3:$H$102,7,FALSE)=VLOOKUP($A86,main!$A$3:$H$102,8,FALSE),VLOOKUP(S$1,main!$A$3:$H$102,4,FALSE),VLOOKUP(S$1,main!$A$3:$H$102,4,FALSE)+VLOOKUP($A86,main!$A$3:$H$102,4,FALSE)+(VLOOKUP(VLOOKUP(S$1,main!$A$3:$H$102,8,FALSE),main!$K$19:$O$22,MATCH(VLOOKUP($A86,main!$A$3:$H$102,7,FALSE),main!$K$18:$O$18,0),0))),0)</f>
        <v>0</v>
      </c>
      <c r="T86">
        <f>IF((gamma!T86),IF(VLOOKUP(T$1,main!$A$3:$H$102,7,FALSE)=VLOOKUP($A86,main!$A$3:$H$102,8,FALSE),VLOOKUP(T$1,main!$A$3:$H$102,4,FALSE),VLOOKUP(T$1,main!$A$3:$H$102,4,FALSE)+VLOOKUP($A86,main!$A$3:$H$102,4,FALSE)+(VLOOKUP(VLOOKUP(T$1,main!$A$3:$H$102,8,FALSE),main!$K$19:$O$22,MATCH(VLOOKUP($A86,main!$A$3:$H$102,7,FALSE),main!$K$18:$O$18,0),0))),0)</f>
        <v>0</v>
      </c>
      <c r="U86">
        <f>IF((gamma!U86),IF(VLOOKUP(U$1,main!$A$3:$H$102,7,FALSE)=VLOOKUP($A86,main!$A$3:$H$102,8,FALSE),VLOOKUP(U$1,main!$A$3:$H$102,4,FALSE),VLOOKUP(U$1,main!$A$3:$H$102,4,FALSE)+VLOOKUP($A86,main!$A$3:$H$102,4,FALSE)+(VLOOKUP(VLOOKUP(U$1,main!$A$3:$H$102,8,FALSE),main!$K$19:$O$22,MATCH(VLOOKUP($A86,main!$A$3:$H$102,7,FALSE),main!$K$18:$O$18,0),0))),0)</f>
        <v>140</v>
      </c>
      <c r="V86">
        <f>IF((gamma!V86),IF(VLOOKUP(V$1,main!$A$3:$H$102,7,FALSE)=VLOOKUP($A86,main!$A$3:$H$102,8,FALSE),VLOOKUP(V$1,main!$A$3:$H$102,4,FALSE),VLOOKUP(V$1,main!$A$3:$H$102,4,FALSE)+VLOOKUP($A86,main!$A$3:$H$102,4,FALSE)+(VLOOKUP(VLOOKUP(V$1,main!$A$3:$H$102,8,FALSE),main!$K$19:$O$22,MATCH(VLOOKUP($A86,main!$A$3:$H$102,7,FALSE),main!$K$18:$O$18,0),0))),0)</f>
        <v>140</v>
      </c>
      <c r="W86">
        <f>IF((gamma!W86),IF(VLOOKUP(W$1,main!$A$3:$H$102,7,FALSE)=VLOOKUP($A86,main!$A$3:$H$102,8,FALSE),VLOOKUP(W$1,main!$A$3:$H$102,4,FALSE),VLOOKUP(W$1,main!$A$3:$H$102,4,FALSE)+VLOOKUP($A86,main!$A$3:$H$102,4,FALSE)+(VLOOKUP(VLOOKUP(W$1,main!$A$3:$H$102,8,FALSE),main!$K$19:$O$22,MATCH(VLOOKUP($A86,main!$A$3:$H$102,7,FALSE),main!$K$18:$O$18,0),0))),0)</f>
        <v>0</v>
      </c>
      <c r="X86">
        <f>IF((gamma!X86),IF(VLOOKUP(X$1,main!$A$3:$H$102,7,FALSE)=VLOOKUP($A86,main!$A$3:$H$102,8,FALSE),VLOOKUP(X$1,main!$A$3:$H$102,4,FALSE),VLOOKUP(X$1,main!$A$3:$H$102,4,FALSE)+VLOOKUP($A86,main!$A$3:$H$102,4,FALSE)+(VLOOKUP(VLOOKUP(X$1,main!$A$3:$H$102,8,FALSE),main!$K$19:$O$22,MATCH(VLOOKUP($A86,main!$A$3:$H$102,7,FALSE),main!$K$18:$O$18,0),0))),0)</f>
        <v>0</v>
      </c>
      <c r="Y86">
        <f>IF((gamma!Y86),IF(VLOOKUP(Y$1,main!$A$3:$H$102,7,FALSE)=VLOOKUP($A86,main!$A$3:$H$102,8,FALSE),VLOOKUP(Y$1,main!$A$3:$H$102,4,FALSE),VLOOKUP(Y$1,main!$A$3:$H$102,4,FALSE)+VLOOKUP($A86,main!$A$3:$H$102,4,FALSE)+(VLOOKUP(VLOOKUP(Y$1,main!$A$3:$H$102,8,FALSE),main!$K$19:$O$22,MATCH(VLOOKUP($A86,main!$A$3:$H$102,7,FALSE),main!$K$18:$O$18,0),0))),0)</f>
        <v>0</v>
      </c>
      <c r="Z86">
        <f>IF((gamma!Z86),IF(VLOOKUP(Z$1,main!$A$3:$H$102,7,FALSE)=VLOOKUP($A86,main!$A$3:$H$102,8,FALSE),VLOOKUP(Z$1,main!$A$3:$H$102,4,FALSE),VLOOKUP(Z$1,main!$A$3:$H$102,4,FALSE)+VLOOKUP($A86,main!$A$3:$H$102,4,FALSE)+(VLOOKUP(VLOOKUP(Z$1,main!$A$3:$H$102,8,FALSE),main!$K$19:$O$22,MATCH(VLOOKUP($A86,main!$A$3:$H$102,7,FALSE),main!$K$18:$O$18,0),0))),0)</f>
        <v>0</v>
      </c>
      <c r="AA86">
        <f>IF((gamma!AA86),IF(VLOOKUP(AA$1,main!$A$3:$H$102,7,FALSE)=VLOOKUP($A86,main!$A$3:$H$102,8,FALSE),VLOOKUP(AA$1,main!$A$3:$H$102,4,FALSE),VLOOKUP(AA$1,main!$A$3:$H$102,4,FALSE)+VLOOKUP($A86,main!$A$3:$H$102,4,FALSE)+(VLOOKUP(VLOOKUP(AA$1,main!$A$3:$H$102,8,FALSE),main!$K$19:$O$22,MATCH(VLOOKUP($A86,main!$A$3:$H$102,7,FALSE),main!$K$18:$O$18,0),0))),0)</f>
        <v>0</v>
      </c>
      <c r="AB86">
        <f>IF((gamma!AB86),IF(VLOOKUP(AB$1,main!$A$3:$H$102,7,FALSE)=VLOOKUP($A86,main!$A$3:$H$102,8,FALSE),VLOOKUP(AB$1,main!$A$3:$H$102,4,FALSE),VLOOKUP(AB$1,main!$A$3:$H$102,4,FALSE)+VLOOKUP($A86,main!$A$3:$H$102,4,FALSE)+(VLOOKUP(VLOOKUP(AB$1,main!$A$3:$H$102,8,FALSE),main!$K$19:$O$22,MATCH(VLOOKUP($A86,main!$A$3:$H$102,7,FALSE),main!$K$18:$O$18,0),0))),0)</f>
        <v>0</v>
      </c>
      <c r="AC86">
        <f>IF((gamma!AC86),IF(VLOOKUP(AC$1,main!$A$3:$H$102,7,FALSE)=VLOOKUP($A86,main!$A$3:$H$102,8,FALSE),VLOOKUP(AC$1,main!$A$3:$H$102,4,FALSE),VLOOKUP(AC$1,main!$A$3:$H$102,4,FALSE)+VLOOKUP($A86,main!$A$3:$H$102,4,FALSE)+(VLOOKUP(VLOOKUP(AC$1,main!$A$3:$H$102,8,FALSE),main!$K$19:$O$22,MATCH(VLOOKUP($A86,main!$A$3:$H$102,7,FALSE),main!$K$18:$O$18,0),0))),0)</f>
        <v>0</v>
      </c>
      <c r="AD86">
        <f>IF((gamma!AD86),IF(VLOOKUP(AD$1,main!$A$3:$H$102,7,FALSE)=VLOOKUP($A86,main!$A$3:$H$102,8,FALSE),VLOOKUP(AD$1,main!$A$3:$H$102,4,FALSE),VLOOKUP(AD$1,main!$A$3:$H$102,4,FALSE)+VLOOKUP($A86,main!$A$3:$H$102,4,FALSE)+(VLOOKUP(VLOOKUP(AD$1,main!$A$3:$H$102,8,FALSE),main!$K$19:$O$22,MATCH(VLOOKUP($A86,main!$A$3:$H$102,7,FALSE),main!$K$18:$O$18,0),0))),0)</f>
        <v>0</v>
      </c>
      <c r="AE86">
        <f>IF((gamma!AE86),IF(VLOOKUP(AE$1,main!$A$3:$H$102,7,FALSE)=VLOOKUP($A86,main!$A$3:$H$102,8,FALSE),VLOOKUP(AE$1,main!$A$3:$H$102,4,FALSE),VLOOKUP(AE$1,main!$A$3:$H$102,4,FALSE)+VLOOKUP($A86,main!$A$3:$H$102,4,FALSE)+(VLOOKUP(VLOOKUP(AE$1,main!$A$3:$H$102,8,FALSE),main!$K$19:$O$22,MATCH(VLOOKUP($A86,main!$A$3:$H$102,7,FALSE),main!$K$18:$O$18,0),0))),0)</f>
        <v>0</v>
      </c>
      <c r="AF86">
        <f>IF((gamma!AF86),IF(VLOOKUP(AF$1,main!$A$3:$H$102,7,FALSE)=VLOOKUP($A86,main!$A$3:$H$102,8,FALSE),VLOOKUP(AF$1,main!$A$3:$H$102,4,FALSE),VLOOKUP(AF$1,main!$A$3:$H$102,4,FALSE)+VLOOKUP($A86,main!$A$3:$H$102,4,FALSE)+(VLOOKUP(VLOOKUP(AF$1,main!$A$3:$H$102,8,FALSE),main!$K$19:$O$22,MATCH(VLOOKUP($A86,main!$A$3:$H$102,7,FALSE),main!$K$18:$O$18,0),0))),0)</f>
        <v>0</v>
      </c>
      <c r="AG86">
        <f>IF((gamma!AG86),IF(VLOOKUP(AG$1,main!$A$3:$H$102,7,FALSE)=VLOOKUP($A86,main!$A$3:$H$102,8,FALSE),VLOOKUP(AG$1,main!$A$3:$H$102,4,FALSE),VLOOKUP(AG$1,main!$A$3:$H$102,4,FALSE)+VLOOKUP($A86,main!$A$3:$H$102,4,FALSE)+(VLOOKUP(VLOOKUP(AG$1,main!$A$3:$H$102,8,FALSE),main!$K$19:$O$22,MATCH(VLOOKUP($A86,main!$A$3:$H$102,7,FALSE),main!$K$18:$O$18,0),0))),0)</f>
        <v>0</v>
      </c>
      <c r="AH86">
        <f>IF((gamma!AH86),IF(VLOOKUP(AH$1,main!$A$3:$H$102,7,FALSE)=VLOOKUP($A86,main!$A$3:$H$102,8,FALSE),VLOOKUP(AH$1,main!$A$3:$H$102,4,FALSE),VLOOKUP(AH$1,main!$A$3:$H$102,4,FALSE)+VLOOKUP($A86,main!$A$3:$H$102,4,FALSE)+(VLOOKUP(VLOOKUP(AH$1,main!$A$3:$H$102,8,FALSE),main!$K$19:$O$22,MATCH(VLOOKUP($A86,main!$A$3:$H$102,7,FALSE),main!$K$18:$O$18,0),0))),0)</f>
        <v>0</v>
      </c>
      <c r="AI86">
        <f>IF((gamma!AI86),IF(VLOOKUP(AI$1,main!$A$3:$H$102,7,FALSE)=VLOOKUP($A86,main!$A$3:$H$102,8,FALSE),VLOOKUP(AI$1,main!$A$3:$H$102,4,FALSE),VLOOKUP(AI$1,main!$A$3:$H$102,4,FALSE)+VLOOKUP($A86,main!$A$3:$H$102,4,FALSE)+(VLOOKUP(VLOOKUP(AI$1,main!$A$3:$H$102,8,FALSE),main!$K$19:$O$22,MATCH(VLOOKUP($A86,main!$A$3:$H$102,7,FALSE),main!$K$18:$O$18,0),0))),0)</f>
        <v>0</v>
      </c>
      <c r="AJ86">
        <f>IF((gamma!AJ86),IF(VLOOKUP(AJ$1,main!$A$3:$H$102,7,FALSE)=VLOOKUP($A86,main!$A$3:$H$102,8,FALSE),VLOOKUP(AJ$1,main!$A$3:$H$102,4,FALSE),VLOOKUP(AJ$1,main!$A$3:$H$102,4,FALSE)+VLOOKUP($A86,main!$A$3:$H$102,4,FALSE)+(VLOOKUP(VLOOKUP(AJ$1,main!$A$3:$H$102,8,FALSE),main!$K$19:$O$22,MATCH(VLOOKUP($A86,main!$A$3:$H$102,7,FALSE),main!$K$18:$O$18,0),0))),0)</f>
        <v>0</v>
      </c>
      <c r="AK86">
        <f>IF((gamma!AK86),IF(VLOOKUP(AK$1,main!$A$3:$H$102,7,FALSE)=VLOOKUP($A86,main!$A$3:$H$102,8,FALSE),VLOOKUP(AK$1,main!$A$3:$H$102,4,FALSE),VLOOKUP(AK$1,main!$A$3:$H$102,4,FALSE)+VLOOKUP($A86,main!$A$3:$H$102,4,FALSE)+(VLOOKUP(VLOOKUP(AK$1,main!$A$3:$H$102,8,FALSE),main!$K$19:$O$22,MATCH(VLOOKUP($A86,main!$A$3:$H$102,7,FALSE),main!$K$18:$O$18,0),0))),0)</f>
        <v>0</v>
      </c>
      <c r="AL86">
        <f>IF((gamma!AL86),IF(VLOOKUP(AL$1,main!$A$3:$H$102,7,FALSE)=VLOOKUP($A86,main!$A$3:$H$102,8,FALSE),VLOOKUP(AL$1,main!$A$3:$H$102,4,FALSE),VLOOKUP(AL$1,main!$A$3:$H$102,4,FALSE)+VLOOKUP($A86,main!$A$3:$H$102,4,FALSE)+(VLOOKUP(VLOOKUP(AL$1,main!$A$3:$H$102,8,FALSE),main!$K$19:$O$22,MATCH(VLOOKUP($A86,main!$A$3:$H$102,7,FALSE),main!$K$18:$O$18,0),0))),0)</f>
        <v>0</v>
      </c>
      <c r="AM86">
        <f>IF((gamma!AM86),IF(VLOOKUP(AM$1,main!$A$3:$H$102,7,FALSE)=VLOOKUP($A86,main!$A$3:$H$102,8,FALSE),VLOOKUP(AM$1,main!$A$3:$H$102,4,FALSE),VLOOKUP(AM$1,main!$A$3:$H$102,4,FALSE)+VLOOKUP($A86,main!$A$3:$H$102,4,FALSE)+(VLOOKUP(VLOOKUP(AM$1,main!$A$3:$H$102,8,FALSE),main!$K$19:$O$22,MATCH(VLOOKUP($A86,main!$A$3:$H$102,7,FALSE),main!$K$18:$O$18,0),0))),0)</f>
        <v>0</v>
      </c>
      <c r="AN86">
        <f>IF((gamma!AN86),IF(VLOOKUP(AN$1,main!$A$3:$H$102,7,FALSE)=VLOOKUP($A86,main!$A$3:$H$102,8,FALSE),VLOOKUP(AN$1,main!$A$3:$H$102,4,FALSE),VLOOKUP(AN$1,main!$A$3:$H$102,4,FALSE)+VLOOKUP($A86,main!$A$3:$H$102,4,FALSE)+(VLOOKUP(VLOOKUP(AN$1,main!$A$3:$H$102,8,FALSE),main!$K$19:$O$22,MATCH(VLOOKUP($A86,main!$A$3:$H$102,7,FALSE),main!$K$18:$O$18,0),0))),0)</f>
        <v>0</v>
      </c>
      <c r="AO86">
        <f>IF((gamma!AO86),IF(VLOOKUP(AO$1,main!$A$3:$H$102,7,FALSE)=VLOOKUP($A86,main!$A$3:$H$102,8,FALSE),VLOOKUP(AO$1,main!$A$3:$H$102,4,FALSE),VLOOKUP(AO$1,main!$A$3:$H$102,4,FALSE)+VLOOKUP($A86,main!$A$3:$H$102,4,FALSE)+(VLOOKUP(VLOOKUP(AO$1,main!$A$3:$H$102,8,FALSE),main!$K$19:$O$22,MATCH(VLOOKUP($A86,main!$A$3:$H$102,7,FALSE),main!$K$18:$O$18,0),0))),0)</f>
        <v>0</v>
      </c>
      <c r="AP86">
        <f>IF((gamma!AP86),IF(VLOOKUP(AP$1,main!$A$3:$H$102,7,FALSE)=VLOOKUP($A86,main!$A$3:$H$102,8,FALSE),VLOOKUP(AP$1,main!$A$3:$H$102,4,FALSE),VLOOKUP(AP$1,main!$A$3:$H$102,4,FALSE)+VLOOKUP($A86,main!$A$3:$H$102,4,FALSE)+(VLOOKUP(VLOOKUP(AP$1,main!$A$3:$H$102,8,FALSE),main!$K$19:$O$22,MATCH(VLOOKUP($A86,main!$A$3:$H$102,7,FALSE),main!$K$18:$O$18,0),0))),0)</f>
        <v>250</v>
      </c>
      <c r="AQ86">
        <f>IF((gamma!AQ86),IF(VLOOKUP(AQ$1,main!$A$3:$H$102,7,FALSE)=VLOOKUP($A86,main!$A$3:$H$102,8,FALSE),VLOOKUP(AQ$1,main!$A$3:$H$102,4,FALSE),VLOOKUP(AQ$1,main!$A$3:$H$102,4,FALSE)+VLOOKUP($A86,main!$A$3:$H$102,4,FALSE)+(VLOOKUP(VLOOKUP(AQ$1,main!$A$3:$H$102,8,FALSE),main!$K$19:$O$22,MATCH(VLOOKUP($A86,main!$A$3:$H$102,7,FALSE),main!$K$18:$O$18,0),0))),0)</f>
        <v>0</v>
      </c>
      <c r="AR86">
        <f>IF((gamma!AR86),IF(VLOOKUP(AR$1,main!$A$3:$H$102,7,FALSE)=VLOOKUP($A86,main!$A$3:$H$102,8,FALSE),VLOOKUP(AR$1,main!$A$3:$H$102,4,FALSE),VLOOKUP(AR$1,main!$A$3:$H$102,4,FALSE)+VLOOKUP($A86,main!$A$3:$H$102,4,FALSE)+(VLOOKUP(VLOOKUP(AR$1,main!$A$3:$H$102,8,FALSE),main!$K$19:$O$22,MATCH(VLOOKUP($A86,main!$A$3:$H$102,7,FALSE),main!$K$18:$O$18,0),0))),0)</f>
        <v>0</v>
      </c>
      <c r="AS86">
        <f>IF((gamma!AS86),IF(VLOOKUP(AS$1,main!$A$3:$H$102,7,FALSE)=VLOOKUP($A86,main!$A$3:$H$102,8,FALSE),VLOOKUP(AS$1,main!$A$3:$H$102,4,FALSE),VLOOKUP(AS$1,main!$A$3:$H$102,4,FALSE)+VLOOKUP($A86,main!$A$3:$H$102,4,FALSE)+(VLOOKUP(VLOOKUP(AS$1,main!$A$3:$H$102,8,FALSE),main!$K$19:$O$22,MATCH(VLOOKUP($A86,main!$A$3:$H$102,7,FALSE),main!$K$18:$O$18,0),0))),0)</f>
        <v>0</v>
      </c>
      <c r="AT86">
        <f>IF((gamma!AT86),IF(VLOOKUP(AT$1,main!$A$3:$H$102,7,FALSE)=VLOOKUP($A86,main!$A$3:$H$102,8,FALSE),VLOOKUP(AT$1,main!$A$3:$H$102,4,FALSE),VLOOKUP(AT$1,main!$A$3:$H$102,4,FALSE)+VLOOKUP($A86,main!$A$3:$H$102,4,FALSE)+(VLOOKUP(VLOOKUP(AT$1,main!$A$3:$H$102,8,FALSE),main!$K$19:$O$22,MATCH(VLOOKUP($A86,main!$A$3:$H$102,7,FALSE),main!$K$18:$O$18,0),0))),0)</f>
        <v>0</v>
      </c>
      <c r="AU86">
        <f>IF((gamma!AU86),IF(VLOOKUP(AU$1,main!$A$3:$H$102,7,FALSE)=VLOOKUP($A86,main!$A$3:$H$102,8,FALSE),VLOOKUP(AU$1,main!$A$3:$H$102,4,FALSE),VLOOKUP(AU$1,main!$A$3:$H$102,4,FALSE)+VLOOKUP($A86,main!$A$3:$H$102,4,FALSE)+(VLOOKUP(VLOOKUP(AU$1,main!$A$3:$H$102,8,FALSE),main!$K$19:$O$22,MATCH(VLOOKUP($A86,main!$A$3:$H$102,7,FALSE),main!$K$18:$O$18,0),0))),0)</f>
        <v>0</v>
      </c>
      <c r="AV86">
        <f>IF((gamma!AV86),IF(VLOOKUP(AV$1,main!$A$3:$H$102,7,FALSE)=VLOOKUP($A86,main!$A$3:$H$102,8,FALSE),VLOOKUP(AV$1,main!$A$3:$H$102,4,FALSE),VLOOKUP(AV$1,main!$A$3:$H$102,4,FALSE)+VLOOKUP($A86,main!$A$3:$H$102,4,FALSE)+(VLOOKUP(VLOOKUP(AV$1,main!$A$3:$H$102,8,FALSE),main!$K$19:$O$22,MATCH(VLOOKUP($A86,main!$A$3:$H$102,7,FALSE),main!$K$18:$O$18,0),0))),0)</f>
        <v>0</v>
      </c>
      <c r="AW86">
        <f>IF((gamma!AW86),IF(VLOOKUP(AW$1,main!$A$3:$H$102,7,FALSE)=VLOOKUP($A86,main!$A$3:$H$102,8,FALSE),VLOOKUP(AW$1,main!$A$3:$H$102,4,FALSE),VLOOKUP(AW$1,main!$A$3:$H$102,4,FALSE)+VLOOKUP($A86,main!$A$3:$H$102,4,FALSE)+(VLOOKUP(VLOOKUP(AW$1,main!$A$3:$H$102,8,FALSE),main!$K$19:$O$22,MATCH(VLOOKUP($A86,main!$A$3:$H$102,7,FALSE),main!$K$18:$O$18,0),0))),0)</f>
        <v>0</v>
      </c>
      <c r="AX86">
        <f>IF((gamma!AX86),IF(VLOOKUP(AX$1,main!$A$3:$H$102,7,FALSE)=VLOOKUP($A86,main!$A$3:$H$102,8,FALSE),VLOOKUP(AX$1,main!$A$3:$H$102,4,FALSE),VLOOKUP(AX$1,main!$A$3:$H$102,4,FALSE)+VLOOKUP($A86,main!$A$3:$H$102,4,FALSE)+(VLOOKUP(VLOOKUP(AX$1,main!$A$3:$H$102,8,FALSE),main!$K$19:$O$22,MATCH(VLOOKUP($A86,main!$A$3:$H$102,7,FALSE),main!$K$18:$O$18,0),0))),0)</f>
        <v>0</v>
      </c>
      <c r="AY86">
        <f>IF((gamma!AY86),IF(VLOOKUP(AY$1,main!$A$3:$H$102,7,FALSE)=VLOOKUP($A86,main!$A$3:$H$102,8,FALSE),VLOOKUP(AY$1,main!$A$3:$H$102,4,FALSE),VLOOKUP(AY$1,main!$A$3:$H$102,4,FALSE)+VLOOKUP($A86,main!$A$3:$H$102,4,FALSE)+(VLOOKUP(VLOOKUP(AY$1,main!$A$3:$H$102,8,FALSE),main!$K$19:$O$22,MATCH(VLOOKUP($A86,main!$A$3:$H$102,7,FALSE),main!$K$18:$O$18,0),0))),0)</f>
        <v>0</v>
      </c>
      <c r="AZ86">
        <f>IF((gamma!AZ86),IF(VLOOKUP(AZ$1,main!$A$3:$H$102,7,FALSE)=VLOOKUP($A86,main!$A$3:$H$102,8,FALSE),VLOOKUP(AZ$1,main!$A$3:$H$102,4,FALSE),VLOOKUP(AZ$1,main!$A$3:$H$102,4,FALSE)+VLOOKUP($A86,main!$A$3:$H$102,4,FALSE)+(VLOOKUP(VLOOKUP(AZ$1,main!$A$3:$H$102,8,FALSE),main!$K$19:$O$22,MATCH(VLOOKUP($A86,main!$A$3:$H$102,7,FALSE),main!$K$18:$O$18,0),0))),0)</f>
        <v>0</v>
      </c>
      <c r="BA86">
        <f>IF((gamma!BA86),IF(VLOOKUP(BA$1,main!$A$3:$H$102,7,FALSE)=VLOOKUP($A86,main!$A$3:$H$102,8,FALSE),VLOOKUP(BA$1,main!$A$3:$H$102,4,FALSE),VLOOKUP(BA$1,main!$A$3:$H$102,4,FALSE)+VLOOKUP($A86,main!$A$3:$H$102,4,FALSE)+(VLOOKUP(VLOOKUP(BA$1,main!$A$3:$H$102,8,FALSE),main!$K$19:$O$22,MATCH(VLOOKUP($A86,main!$A$3:$H$102,7,FALSE),main!$K$18:$O$18,0),0))),0)</f>
        <v>0</v>
      </c>
      <c r="BB86">
        <f>IF((gamma!BB86),IF(VLOOKUP(BB$1,main!$A$3:$H$102,7,FALSE)=VLOOKUP($A86,main!$A$3:$H$102,8,FALSE),VLOOKUP(BB$1,main!$A$3:$H$102,4,FALSE),VLOOKUP(BB$1,main!$A$3:$H$102,4,FALSE)+VLOOKUP($A86,main!$A$3:$H$102,4,FALSE)+(VLOOKUP(VLOOKUP(BB$1,main!$A$3:$H$102,8,FALSE),main!$K$19:$O$22,MATCH(VLOOKUP($A86,main!$A$3:$H$102,7,FALSE),main!$K$18:$O$18,0),0))),0)</f>
        <v>0</v>
      </c>
      <c r="BC86">
        <f>IF((gamma!BC86),IF(VLOOKUP(BC$1,main!$A$3:$H$102,7,FALSE)=VLOOKUP($A86,main!$A$3:$H$102,8,FALSE),VLOOKUP(BC$1,main!$A$3:$H$102,4,FALSE),VLOOKUP(BC$1,main!$A$3:$H$102,4,FALSE)+VLOOKUP($A86,main!$A$3:$H$102,4,FALSE)+(VLOOKUP(VLOOKUP(BC$1,main!$A$3:$H$102,8,FALSE),main!$K$19:$O$22,MATCH(VLOOKUP($A86,main!$A$3:$H$102,7,FALSE),main!$K$18:$O$18,0),0))),0)</f>
        <v>0</v>
      </c>
      <c r="BD86">
        <f>IF((gamma!BD86),IF(VLOOKUP(BD$1,main!$A$3:$H$102,7,FALSE)=VLOOKUP($A86,main!$A$3:$H$102,8,FALSE),VLOOKUP(BD$1,main!$A$3:$H$102,4,FALSE),VLOOKUP(BD$1,main!$A$3:$H$102,4,FALSE)+VLOOKUP($A86,main!$A$3:$H$102,4,FALSE)+(VLOOKUP(VLOOKUP(BD$1,main!$A$3:$H$102,8,FALSE),main!$K$19:$O$22,MATCH(VLOOKUP($A86,main!$A$3:$H$102,7,FALSE),main!$K$18:$O$18,0),0))),0)</f>
        <v>0</v>
      </c>
      <c r="BE86">
        <f>IF((gamma!BE86),IF(VLOOKUP(BE$1,main!$A$3:$H$102,7,FALSE)=VLOOKUP($A86,main!$A$3:$H$102,8,FALSE),VLOOKUP(BE$1,main!$A$3:$H$102,4,FALSE),VLOOKUP(BE$1,main!$A$3:$H$102,4,FALSE)+VLOOKUP($A86,main!$A$3:$H$102,4,FALSE)+(VLOOKUP(VLOOKUP(BE$1,main!$A$3:$H$102,8,FALSE),main!$K$19:$O$22,MATCH(VLOOKUP($A86,main!$A$3:$H$102,7,FALSE),main!$K$18:$O$18,0),0))),0)</f>
        <v>0</v>
      </c>
      <c r="BF86">
        <f>IF((gamma!BF86),IF(VLOOKUP(BF$1,main!$A$3:$H$102,7,FALSE)=VLOOKUP($A86,main!$A$3:$H$102,8,FALSE),VLOOKUP(BF$1,main!$A$3:$H$102,4,FALSE),VLOOKUP(BF$1,main!$A$3:$H$102,4,FALSE)+VLOOKUP($A86,main!$A$3:$H$102,4,FALSE)+(VLOOKUP(VLOOKUP(BF$1,main!$A$3:$H$102,8,FALSE),main!$K$19:$O$22,MATCH(VLOOKUP($A86,main!$A$3:$H$102,7,FALSE),main!$K$18:$O$18,0),0))),0)</f>
        <v>0</v>
      </c>
      <c r="BG86">
        <f>IF((gamma!BG86),IF(VLOOKUP(BG$1,main!$A$3:$H$102,7,FALSE)=VLOOKUP($A86,main!$A$3:$H$102,8,FALSE),VLOOKUP(BG$1,main!$A$3:$H$102,4,FALSE),VLOOKUP(BG$1,main!$A$3:$H$102,4,FALSE)+VLOOKUP($A86,main!$A$3:$H$102,4,FALSE)+(VLOOKUP(VLOOKUP(BG$1,main!$A$3:$H$102,8,FALSE),main!$K$19:$O$22,MATCH(VLOOKUP($A86,main!$A$3:$H$102,7,FALSE),main!$K$18:$O$18,0),0))),0)</f>
        <v>0</v>
      </c>
      <c r="BH86">
        <f>IF((gamma!BH86),IF(VLOOKUP(BH$1,main!$A$3:$H$102,7,FALSE)=VLOOKUP($A86,main!$A$3:$H$102,8,FALSE),VLOOKUP(BH$1,main!$A$3:$H$102,4,FALSE),VLOOKUP(BH$1,main!$A$3:$H$102,4,FALSE)+VLOOKUP($A86,main!$A$3:$H$102,4,FALSE)+(VLOOKUP(VLOOKUP(BH$1,main!$A$3:$H$102,8,FALSE),main!$K$19:$O$22,MATCH(VLOOKUP($A86,main!$A$3:$H$102,7,FALSE),main!$K$18:$O$18,0),0))),0)</f>
        <v>0</v>
      </c>
      <c r="BI86">
        <f>IF((gamma!BI86),IF(VLOOKUP(BI$1,main!$A$3:$H$102,7,FALSE)=VLOOKUP($A86,main!$A$3:$H$102,8,FALSE),VLOOKUP(BI$1,main!$A$3:$H$102,4,FALSE),VLOOKUP(BI$1,main!$A$3:$H$102,4,FALSE)+VLOOKUP($A86,main!$A$3:$H$102,4,FALSE)+(VLOOKUP(VLOOKUP(BI$1,main!$A$3:$H$102,8,FALSE),main!$K$19:$O$22,MATCH(VLOOKUP($A86,main!$A$3:$H$102,7,FALSE),main!$K$18:$O$18,0),0))),0)</f>
        <v>235</v>
      </c>
      <c r="BJ86">
        <f>IF((gamma!BJ86),IF(VLOOKUP(BJ$1,main!$A$3:$H$102,7,FALSE)=VLOOKUP($A86,main!$A$3:$H$102,8,FALSE),VLOOKUP(BJ$1,main!$A$3:$H$102,4,FALSE),VLOOKUP(BJ$1,main!$A$3:$H$102,4,FALSE)+VLOOKUP($A86,main!$A$3:$H$102,4,FALSE)+(VLOOKUP(VLOOKUP(BJ$1,main!$A$3:$H$102,8,FALSE),main!$K$19:$O$22,MATCH(VLOOKUP($A86,main!$A$3:$H$102,7,FALSE),main!$K$18:$O$18,0),0))),0)</f>
        <v>0</v>
      </c>
      <c r="BK86">
        <f>IF((gamma!BK86),IF(VLOOKUP(BK$1,main!$A$3:$H$102,7,FALSE)=VLOOKUP($A86,main!$A$3:$H$102,8,FALSE),VLOOKUP(BK$1,main!$A$3:$H$102,4,FALSE),VLOOKUP(BK$1,main!$A$3:$H$102,4,FALSE)+VLOOKUP($A86,main!$A$3:$H$102,4,FALSE)+(VLOOKUP(VLOOKUP(BK$1,main!$A$3:$H$102,8,FALSE),main!$K$19:$O$22,MATCH(VLOOKUP($A86,main!$A$3:$H$102,7,FALSE),main!$K$18:$O$18,0),0))),0)</f>
        <v>0</v>
      </c>
      <c r="BL86">
        <f>IF((gamma!BL86),IF(VLOOKUP(BL$1,main!$A$3:$H$102,7,FALSE)=VLOOKUP($A86,main!$A$3:$H$102,8,FALSE),VLOOKUP(BL$1,main!$A$3:$H$102,4,FALSE),VLOOKUP(BL$1,main!$A$3:$H$102,4,FALSE)+VLOOKUP($A86,main!$A$3:$H$102,4,FALSE)+(VLOOKUP(VLOOKUP(BL$1,main!$A$3:$H$102,8,FALSE),main!$K$19:$O$22,MATCH(VLOOKUP($A86,main!$A$3:$H$102,7,FALSE),main!$K$18:$O$18,0),0))),0)</f>
        <v>0</v>
      </c>
      <c r="BM86">
        <f>IF((gamma!BM86),IF(VLOOKUP(BM$1,main!$A$3:$H$102,7,FALSE)=VLOOKUP($A86,main!$A$3:$H$102,8,FALSE),VLOOKUP(BM$1,main!$A$3:$H$102,4,FALSE),VLOOKUP(BM$1,main!$A$3:$H$102,4,FALSE)+VLOOKUP($A86,main!$A$3:$H$102,4,FALSE)+(VLOOKUP(VLOOKUP(BM$1,main!$A$3:$H$102,8,FALSE),main!$K$19:$O$22,MATCH(VLOOKUP($A86,main!$A$3:$H$102,7,FALSE),main!$K$18:$O$18,0),0))),0)</f>
        <v>0</v>
      </c>
      <c r="BN86">
        <f>IF((gamma!BN86),IF(VLOOKUP(BN$1,main!$A$3:$H$102,7,FALSE)=VLOOKUP($A86,main!$A$3:$H$102,8,FALSE),VLOOKUP(BN$1,main!$A$3:$H$102,4,FALSE),VLOOKUP(BN$1,main!$A$3:$H$102,4,FALSE)+VLOOKUP($A86,main!$A$3:$H$102,4,FALSE)+(VLOOKUP(VLOOKUP(BN$1,main!$A$3:$H$102,8,FALSE),main!$K$19:$O$22,MATCH(VLOOKUP($A86,main!$A$3:$H$102,7,FALSE),main!$K$18:$O$18,0),0))),0)</f>
        <v>0</v>
      </c>
      <c r="BO86">
        <f>IF((gamma!BO86),IF(VLOOKUP(BO$1,main!$A$3:$H$102,7,FALSE)=VLOOKUP($A86,main!$A$3:$H$102,8,FALSE),VLOOKUP(BO$1,main!$A$3:$H$102,4,FALSE),VLOOKUP(BO$1,main!$A$3:$H$102,4,FALSE)+VLOOKUP($A86,main!$A$3:$H$102,4,FALSE)+(VLOOKUP(VLOOKUP(BO$1,main!$A$3:$H$102,8,FALSE),main!$K$19:$O$22,MATCH(VLOOKUP($A86,main!$A$3:$H$102,7,FALSE),main!$K$18:$O$18,0),0))),0)</f>
        <v>0</v>
      </c>
      <c r="BP86">
        <f>IF((gamma!BP86),IF(VLOOKUP(BP$1,main!$A$3:$H$102,7,FALSE)=VLOOKUP($A86,main!$A$3:$H$102,8,FALSE),VLOOKUP(BP$1,main!$A$3:$H$102,4,FALSE),VLOOKUP(BP$1,main!$A$3:$H$102,4,FALSE)+VLOOKUP($A86,main!$A$3:$H$102,4,FALSE)+(VLOOKUP(VLOOKUP(BP$1,main!$A$3:$H$102,8,FALSE),main!$K$19:$O$22,MATCH(VLOOKUP($A86,main!$A$3:$H$102,7,FALSE),main!$K$18:$O$18,0),0))),0)</f>
        <v>0</v>
      </c>
      <c r="BQ86">
        <f>IF((gamma!BQ86),IF(VLOOKUP(BQ$1,main!$A$3:$H$102,7,FALSE)=VLOOKUP($A86,main!$A$3:$H$102,8,FALSE),VLOOKUP(BQ$1,main!$A$3:$H$102,4,FALSE),VLOOKUP(BQ$1,main!$A$3:$H$102,4,FALSE)+VLOOKUP($A86,main!$A$3:$H$102,4,FALSE)+(VLOOKUP(VLOOKUP(BQ$1,main!$A$3:$H$102,8,FALSE),main!$K$19:$O$22,MATCH(VLOOKUP($A86,main!$A$3:$H$102,7,FALSE),main!$K$18:$O$18,0),0))),0)</f>
        <v>0</v>
      </c>
      <c r="BR86">
        <f>IF((gamma!BR86),IF(VLOOKUP(BR$1,main!$A$3:$H$102,7,FALSE)=VLOOKUP($A86,main!$A$3:$H$102,8,FALSE),VLOOKUP(BR$1,main!$A$3:$H$102,4,FALSE),VLOOKUP(BR$1,main!$A$3:$H$102,4,FALSE)+VLOOKUP($A86,main!$A$3:$H$102,4,FALSE)+(VLOOKUP(VLOOKUP(BR$1,main!$A$3:$H$102,8,FALSE),main!$K$19:$O$22,MATCH(VLOOKUP($A86,main!$A$3:$H$102,7,FALSE),main!$K$18:$O$18,0),0))),0)</f>
        <v>0</v>
      </c>
      <c r="BS86">
        <f>IF((gamma!BS86),IF(VLOOKUP(BS$1,main!$A$3:$H$102,7,FALSE)=VLOOKUP($A86,main!$A$3:$H$102,8,FALSE),VLOOKUP(BS$1,main!$A$3:$H$102,4,FALSE),VLOOKUP(BS$1,main!$A$3:$H$102,4,FALSE)+VLOOKUP($A86,main!$A$3:$H$102,4,FALSE)+(VLOOKUP(VLOOKUP(BS$1,main!$A$3:$H$102,8,FALSE),main!$K$19:$O$22,MATCH(VLOOKUP($A86,main!$A$3:$H$102,7,FALSE),main!$K$18:$O$18,0),0))),0)</f>
        <v>0</v>
      </c>
      <c r="BT86">
        <f>IF((gamma!BT86),IF(VLOOKUP(BT$1,main!$A$3:$H$102,7,FALSE)=VLOOKUP($A86,main!$A$3:$H$102,8,FALSE),VLOOKUP(BT$1,main!$A$3:$H$102,4,FALSE),VLOOKUP(BT$1,main!$A$3:$H$102,4,FALSE)+VLOOKUP($A86,main!$A$3:$H$102,4,FALSE)+(VLOOKUP(VLOOKUP(BT$1,main!$A$3:$H$102,8,FALSE),main!$K$19:$O$22,MATCH(VLOOKUP($A86,main!$A$3:$H$102,7,FALSE),main!$K$18:$O$18,0),0))),0)</f>
        <v>0</v>
      </c>
      <c r="BU86">
        <f>IF((gamma!BU86),IF(VLOOKUP(BU$1,main!$A$3:$H$102,7,FALSE)=VLOOKUP($A86,main!$A$3:$H$102,8,FALSE),VLOOKUP(BU$1,main!$A$3:$H$102,4,FALSE),VLOOKUP(BU$1,main!$A$3:$H$102,4,FALSE)+VLOOKUP($A86,main!$A$3:$H$102,4,FALSE)+(VLOOKUP(VLOOKUP(BU$1,main!$A$3:$H$102,8,FALSE),main!$K$19:$O$22,MATCH(VLOOKUP($A86,main!$A$3:$H$102,7,FALSE),main!$K$18:$O$18,0),0))),0)</f>
        <v>0</v>
      </c>
      <c r="BV86">
        <f>IF((gamma!BV86),IF(VLOOKUP(BV$1,main!$A$3:$H$102,7,FALSE)=VLOOKUP($A86,main!$A$3:$H$102,8,FALSE),VLOOKUP(BV$1,main!$A$3:$H$102,4,FALSE),VLOOKUP(BV$1,main!$A$3:$H$102,4,FALSE)+VLOOKUP($A86,main!$A$3:$H$102,4,FALSE)+(VLOOKUP(VLOOKUP(BV$1,main!$A$3:$H$102,8,FALSE),main!$K$19:$O$22,MATCH(VLOOKUP($A86,main!$A$3:$H$102,7,FALSE),main!$K$18:$O$18,0),0))),0)</f>
        <v>0</v>
      </c>
      <c r="BW86">
        <f>IF((gamma!BW86),IF(VLOOKUP(BW$1,main!$A$3:$H$102,7,FALSE)=VLOOKUP($A86,main!$A$3:$H$102,8,FALSE),VLOOKUP(BW$1,main!$A$3:$H$102,4,FALSE),VLOOKUP(BW$1,main!$A$3:$H$102,4,FALSE)+VLOOKUP($A86,main!$A$3:$H$102,4,FALSE)+(VLOOKUP(VLOOKUP(BW$1,main!$A$3:$H$102,8,FALSE),main!$K$19:$O$22,MATCH(VLOOKUP($A86,main!$A$3:$H$102,7,FALSE),main!$K$18:$O$18,0),0))),0)</f>
        <v>0</v>
      </c>
      <c r="BX86">
        <f>IF((gamma!BX86),IF(VLOOKUP(BX$1,main!$A$3:$H$102,7,FALSE)=VLOOKUP($A86,main!$A$3:$H$102,8,FALSE),VLOOKUP(BX$1,main!$A$3:$H$102,4,FALSE),VLOOKUP(BX$1,main!$A$3:$H$102,4,FALSE)+VLOOKUP($A86,main!$A$3:$H$102,4,FALSE)+(VLOOKUP(VLOOKUP(BX$1,main!$A$3:$H$102,8,FALSE),main!$K$19:$O$22,MATCH(VLOOKUP($A86,main!$A$3:$H$102,7,FALSE),main!$K$18:$O$18,0),0))),0)</f>
        <v>0</v>
      </c>
      <c r="BY86">
        <f>IF((gamma!BY86),IF(VLOOKUP(BY$1,main!$A$3:$H$102,7,FALSE)=VLOOKUP($A86,main!$A$3:$H$102,8,FALSE),VLOOKUP(BY$1,main!$A$3:$H$102,4,FALSE),VLOOKUP(BY$1,main!$A$3:$H$102,4,FALSE)+VLOOKUP($A86,main!$A$3:$H$102,4,FALSE)+(VLOOKUP(VLOOKUP(BY$1,main!$A$3:$H$102,8,FALSE),main!$K$19:$O$22,MATCH(VLOOKUP($A86,main!$A$3:$H$102,7,FALSE),main!$K$18:$O$18,0),0))),0)</f>
        <v>0</v>
      </c>
      <c r="BZ86">
        <f>IF((gamma!BZ86),IF(VLOOKUP(BZ$1,main!$A$3:$H$102,7,FALSE)=VLOOKUP($A86,main!$A$3:$H$102,8,FALSE),VLOOKUP(BZ$1,main!$A$3:$H$102,4,FALSE),VLOOKUP(BZ$1,main!$A$3:$H$102,4,FALSE)+VLOOKUP($A86,main!$A$3:$H$102,4,FALSE)+(VLOOKUP(VLOOKUP(BZ$1,main!$A$3:$H$102,8,FALSE),main!$K$19:$O$22,MATCH(VLOOKUP($A86,main!$A$3:$H$102,7,FALSE),main!$K$18:$O$18,0),0))),0)</f>
        <v>0</v>
      </c>
      <c r="CA86">
        <f>IF((gamma!CA86),IF(VLOOKUP(CA$1,main!$A$3:$H$102,7,FALSE)=VLOOKUP($A86,main!$A$3:$H$102,8,FALSE),VLOOKUP(CA$1,main!$A$3:$H$102,4,FALSE),VLOOKUP(CA$1,main!$A$3:$H$102,4,FALSE)+VLOOKUP($A86,main!$A$3:$H$102,4,FALSE)+(VLOOKUP(VLOOKUP(CA$1,main!$A$3:$H$102,8,FALSE),main!$K$19:$O$22,MATCH(VLOOKUP($A86,main!$A$3:$H$102,7,FALSE),main!$K$18:$O$18,0),0))),0)</f>
        <v>0</v>
      </c>
      <c r="CB86">
        <f>IF((gamma!CB86),IF(VLOOKUP(CB$1,main!$A$3:$H$102,7,FALSE)=VLOOKUP($A86,main!$A$3:$H$102,8,FALSE),VLOOKUP(CB$1,main!$A$3:$H$102,4,FALSE),VLOOKUP(CB$1,main!$A$3:$H$102,4,FALSE)+VLOOKUP($A86,main!$A$3:$H$102,4,FALSE)+(VLOOKUP(VLOOKUP(CB$1,main!$A$3:$H$102,8,FALSE),main!$K$19:$O$22,MATCH(VLOOKUP($A86,main!$A$3:$H$102,7,FALSE),main!$K$18:$O$18,0),0))),0)</f>
        <v>0</v>
      </c>
      <c r="CC86">
        <f>IF((gamma!CC86),IF(VLOOKUP(CC$1,main!$A$3:$H$102,7,FALSE)=VLOOKUP($A86,main!$A$3:$H$102,8,FALSE),VLOOKUP(CC$1,main!$A$3:$H$102,4,FALSE),VLOOKUP(CC$1,main!$A$3:$H$102,4,FALSE)+VLOOKUP($A86,main!$A$3:$H$102,4,FALSE)+(VLOOKUP(VLOOKUP(CC$1,main!$A$3:$H$102,8,FALSE),main!$K$19:$O$22,MATCH(VLOOKUP($A86,main!$A$3:$H$102,7,FALSE),main!$K$18:$O$18,0),0))),0)</f>
        <v>0</v>
      </c>
      <c r="CD86">
        <f>IF((gamma!CD86),IF(VLOOKUP(CD$1,main!$A$3:$H$102,7,FALSE)=VLOOKUP($A86,main!$A$3:$H$102,8,FALSE),VLOOKUP(CD$1,main!$A$3:$H$102,4,FALSE),VLOOKUP(CD$1,main!$A$3:$H$102,4,FALSE)+VLOOKUP($A86,main!$A$3:$H$102,4,FALSE)+(VLOOKUP(VLOOKUP(CD$1,main!$A$3:$H$102,8,FALSE),main!$K$19:$O$22,MATCH(VLOOKUP($A86,main!$A$3:$H$102,7,FALSE),main!$K$18:$O$18,0),0))),0)</f>
        <v>0</v>
      </c>
      <c r="CE86">
        <f>IF((gamma!CE86),IF(VLOOKUP(CE$1,main!$A$3:$H$102,7,FALSE)=VLOOKUP($A86,main!$A$3:$H$102,8,FALSE),VLOOKUP(CE$1,main!$A$3:$H$102,4,FALSE),VLOOKUP(CE$1,main!$A$3:$H$102,4,FALSE)+VLOOKUP($A86,main!$A$3:$H$102,4,FALSE)+(VLOOKUP(VLOOKUP(CE$1,main!$A$3:$H$102,8,FALSE),main!$K$19:$O$22,MATCH(VLOOKUP($A86,main!$A$3:$H$102,7,FALSE),main!$K$18:$O$18,0),0))),0)</f>
        <v>0</v>
      </c>
      <c r="CF86">
        <f>IF((gamma!CF86),IF(VLOOKUP(CF$1,main!$A$3:$H$102,7,FALSE)=VLOOKUP($A86,main!$A$3:$H$102,8,FALSE),VLOOKUP(CF$1,main!$A$3:$H$102,4,FALSE),VLOOKUP(CF$1,main!$A$3:$H$102,4,FALSE)+VLOOKUP($A86,main!$A$3:$H$102,4,FALSE)+(VLOOKUP(VLOOKUP(CF$1,main!$A$3:$H$102,8,FALSE),main!$K$19:$O$22,MATCH(VLOOKUP($A86,main!$A$3:$H$102,7,FALSE),main!$K$18:$O$18,0),0))),0)</f>
        <v>0</v>
      </c>
      <c r="CG86">
        <f>IF((gamma!CG86),IF(VLOOKUP(CG$1,main!$A$3:$H$102,7,FALSE)=VLOOKUP($A86,main!$A$3:$H$102,8,FALSE),VLOOKUP(CG$1,main!$A$3:$H$102,4,FALSE),VLOOKUP(CG$1,main!$A$3:$H$102,4,FALSE)+VLOOKUP($A86,main!$A$3:$H$102,4,FALSE)+(VLOOKUP(VLOOKUP(CG$1,main!$A$3:$H$102,8,FALSE),main!$K$19:$O$22,MATCH(VLOOKUP($A86,main!$A$3:$H$102,7,FALSE),main!$K$18:$O$18,0),0))),0)</f>
        <v>0</v>
      </c>
      <c r="CH86">
        <f>IF((gamma!CH86),IF(VLOOKUP(CH$1,main!$A$3:$H$102,7,FALSE)=VLOOKUP($A86,main!$A$3:$H$102,8,FALSE),VLOOKUP(CH$1,main!$A$3:$H$102,4,FALSE),VLOOKUP(CH$1,main!$A$3:$H$102,4,FALSE)+VLOOKUP($A86,main!$A$3:$H$102,4,FALSE)+(VLOOKUP(VLOOKUP(CH$1,main!$A$3:$H$102,8,FALSE),main!$K$19:$O$22,MATCH(VLOOKUP($A86,main!$A$3:$H$102,7,FALSE),main!$K$18:$O$18,0),0))),0)</f>
        <v>0</v>
      </c>
      <c r="CI86">
        <f>IF((gamma!CI86),IF(VLOOKUP(CI$1,main!$A$3:$H$102,7,FALSE)=VLOOKUP($A86,main!$A$3:$H$102,8,FALSE),VLOOKUP(CI$1,main!$A$3:$H$102,4,FALSE),VLOOKUP(CI$1,main!$A$3:$H$102,4,FALSE)+VLOOKUP($A86,main!$A$3:$H$102,4,FALSE)+(VLOOKUP(VLOOKUP(CI$1,main!$A$3:$H$102,8,FALSE),main!$K$19:$O$22,MATCH(VLOOKUP($A86,main!$A$3:$H$102,7,FALSE),main!$K$18:$O$18,0),0))),0)</f>
        <v>315</v>
      </c>
      <c r="CJ86">
        <f>IF((gamma!CJ86),IF(VLOOKUP(CJ$1,main!$A$3:$H$102,7,FALSE)=VLOOKUP($A86,main!$A$3:$H$102,8,FALSE),VLOOKUP(CJ$1,main!$A$3:$H$102,4,FALSE),VLOOKUP(CJ$1,main!$A$3:$H$102,4,FALSE)+VLOOKUP($A86,main!$A$3:$H$102,4,FALSE)+(VLOOKUP(VLOOKUP(CJ$1,main!$A$3:$H$102,8,FALSE),main!$K$19:$O$22,MATCH(VLOOKUP($A86,main!$A$3:$H$102,7,FALSE),main!$K$18:$O$18,0),0))),0)</f>
        <v>0</v>
      </c>
      <c r="CK86">
        <f>IF((gamma!CK86),IF(VLOOKUP(CK$1,main!$A$3:$H$102,7,FALSE)=VLOOKUP($A86,main!$A$3:$H$102,8,FALSE),VLOOKUP(CK$1,main!$A$3:$H$102,4,FALSE),VLOOKUP(CK$1,main!$A$3:$H$102,4,FALSE)+VLOOKUP($A86,main!$A$3:$H$102,4,FALSE)+(VLOOKUP(VLOOKUP(CK$1,main!$A$3:$H$102,8,FALSE),main!$K$19:$O$22,MATCH(VLOOKUP($A86,main!$A$3:$H$102,7,FALSE),main!$K$18:$O$18,0),0))),0)</f>
        <v>0</v>
      </c>
      <c r="CL86">
        <f>IF((gamma!CL86),IF(VLOOKUP(CL$1,main!$A$3:$H$102,7,FALSE)=VLOOKUP($A86,main!$A$3:$H$102,8,FALSE),VLOOKUP(CL$1,main!$A$3:$H$102,4,FALSE),VLOOKUP(CL$1,main!$A$3:$H$102,4,FALSE)+VLOOKUP($A86,main!$A$3:$H$102,4,FALSE)+(VLOOKUP(VLOOKUP(CL$1,main!$A$3:$H$102,8,FALSE),main!$K$19:$O$22,MATCH(VLOOKUP($A86,main!$A$3:$H$102,7,FALSE),main!$K$18:$O$18,0),0))),0)</f>
        <v>0</v>
      </c>
      <c r="CM86">
        <f>IF((gamma!CM86),IF(VLOOKUP(CM$1,main!$A$3:$H$102,7,FALSE)=VLOOKUP($A86,main!$A$3:$H$102,8,FALSE),VLOOKUP(CM$1,main!$A$3:$H$102,4,FALSE),VLOOKUP(CM$1,main!$A$3:$H$102,4,FALSE)+VLOOKUP($A86,main!$A$3:$H$102,4,FALSE)+(VLOOKUP(VLOOKUP(CM$1,main!$A$3:$H$102,8,FALSE),main!$K$19:$O$22,MATCH(VLOOKUP($A86,main!$A$3:$H$102,7,FALSE),main!$K$18:$O$18,0),0))),0)</f>
        <v>0</v>
      </c>
      <c r="CN86">
        <f>IF((gamma!CN86),IF(VLOOKUP(CN$1,main!$A$3:$H$102,7,FALSE)=VLOOKUP($A86,main!$A$3:$H$102,8,FALSE),VLOOKUP(CN$1,main!$A$3:$H$102,4,FALSE),VLOOKUP(CN$1,main!$A$3:$H$102,4,FALSE)+VLOOKUP($A86,main!$A$3:$H$102,4,FALSE)+(VLOOKUP(VLOOKUP(CN$1,main!$A$3:$H$102,8,FALSE),main!$K$19:$O$22,MATCH(VLOOKUP($A86,main!$A$3:$H$102,7,FALSE),main!$K$18:$O$18,0),0))),0)</f>
        <v>271</v>
      </c>
      <c r="CO86">
        <f>IF((gamma!CO86),IF(VLOOKUP(CO$1,main!$A$3:$H$102,7,FALSE)=VLOOKUP($A86,main!$A$3:$H$102,8,FALSE),VLOOKUP(CO$1,main!$A$3:$H$102,4,FALSE),VLOOKUP(CO$1,main!$A$3:$H$102,4,FALSE)+VLOOKUP($A86,main!$A$3:$H$102,4,FALSE)+(VLOOKUP(VLOOKUP(CO$1,main!$A$3:$H$102,8,FALSE),main!$K$19:$O$22,MATCH(VLOOKUP($A86,main!$A$3:$H$102,7,FALSE),main!$K$18:$O$18,0),0))),0)</f>
        <v>0</v>
      </c>
      <c r="CP86">
        <f>IF((gamma!CP86),IF(VLOOKUP(CP$1,main!$A$3:$H$102,7,FALSE)=VLOOKUP($A86,main!$A$3:$H$102,8,FALSE),VLOOKUP(CP$1,main!$A$3:$H$102,4,FALSE),VLOOKUP(CP$1,main!$A$3:$H$102,4,FALSE)+VLOOKUP($A86,main!$A$3:$H$102,4,FALSE)+(VLOOKUP(VLOOKUP(CP$1,main!$A$3:$H$102,8,FALSE),main!$K$19:$O$22,MATCH(VLOOKUP($A86,main!$A$3:$H$102,7,FALSE),main!$K$18:$O$18,0),0))),0)</f>
        <v>0</v>
      </c>
      <c r="CQ86">
        <f>IF((gamma!CQ86),IF(VLOOKUP(CQ$1,main!$A$3:$H$102,7,FALSE)=VLOOKUP($A86,main!$A$3:$H$102,8,FALSE),VLOOKUP(CQ$1,main!$A$3:$H$102,4,FALSE),VLOOKUP(CQ$1,main!$A$3:$H$102,4,FALSE)+VLOOKUP($A86,main!$A$3:$H$102,4,FALSE)+(VLOOKUP(VLOOKUP(CQ$1,main!$A$3:$H$102,8,FALSE),main!$K$19:$O$22,MATCH(VLOOKUP($A86,main!$A$3:$H$102,7,FALSE),main!$K$18:$O$18,0),0))),0)</f>
        <v>0</v>
      </c>
      <c r="CR86">
        <f>IF((gamma!CR86),IF(VLOOKUP(CR$1,main!$A$3:$H$102,7,FALSE)=VLOOKUP($A86,main!$A$3:$H$102,8,FALSE),VLOOKUP(CR$1,main!$A$3:$H$102,4,FALSE),VLOOKUP(CR$1,main!$A$3:$H$102,4,FALSE)+VLOOKUP($A86,main!$A$3:$H$102,4,FALSE)+(VLOOKUP(VLOOKUP(CR$1,main!$A$3:$H$102,8,FALSE),main!$K$19:$O$22,MATCH(VLOOKUP($A86,main!$A$3:$H$102,7,FALSE),main!$K$18:$O$18,0),0))),0)</f>
        <v>0</v>
      </c>
      <c r="CS86">
        <f>IF((gamma!CS86),IF(VLOOKUP(CS$1,main!$A$3:$H$102,7,FALSE)=VLOOKUP($A86,main!$A$3:$H$102,8,FALSE),VLOOKUP(CS$1,main!$A$3:$H$102,4,FALSE),VLOOKUP(CS$1,main!$A$3:$H$102,4,FALSE)+VLOOKUP($A86,main!$A$3:$H$102,4,FALSE)+(VLOOKUP(VLOOKUP(CS$1,main!$A$3:$H$102,8,FALSE),main!$K$19:$O$22,MATCH(VLOOKUP($A86,main!$A$3:$H$102,7,FALSE),main!$K$18:$O$18,0),0))),0)</f>
        <v>0</v>
      </c>
      <c r="CT86">
        <f>IF((gamma!CT86),IF(VLOOKUP(CT$1,main!$A$3:$H$102,7,FALSE)=VLOOKUP($A86,main!$A$3:$H$102,8,FALSE),VLOOKUP(CT$1,main!$A$3:$H$102,4,FALSE),VLOOKUP(CT$1,main!$A$3:$H$102,4,FALSE)+VLOOKUP($A86,main!$A$3:$H$102,4,FALSE)+(VLOOKUP(VLOOKUP(CT$1,main!$A$3:$H$102,8,FALSE),main!$K$19:$O$22,MATCH(VLOOKUP($A86,main!$A$3:$H$102,7,FALSE),main!$K$18:$O$18,0),0))),0)</f>
        <v>0</v>
      </c>
      <c r="CU86">
        <f>IF((gamma!CU86),IF(VLOOKUP(CU$1,main!$A$3:$H$102,7,FALSE)=VLOOKUP($A86,main!$A$3:$H$102,8,FALSE),VLOOKUP(CU$1,main!$A$3:$H$102,4,FALSE),VLOOKUP(CU$1,main!$A$3:$H$102,4,FALSE)+VLOOKUP($A86,main!$A$3:$H$102,4,FALSE)+(VLOOKUP(VLOOKUP(CU$1,main!$A$3:$H$102,8,FALSE),main!$K$19:$O$22,MATCH(VLOOKUP($A86,main!$A$3:$H$102,7,FALSE),main!$K$18:$O$18,0),0))),0)</f>
        <v>0</v>
      </c>
      <c r="CV86">
        <f>IF((gamma!CV86),IF(VLOOKUP(CV$1,main!$A$3:$H$102,7,FALSE)=VLOOKUP($A86,main!$A$3:$H$102,8,FALSE),VLOOKUP(CV$1,main!$A$3:$H$102,4,FALSE),VLOOKUP(CV$1,main!$A$3:$H$102,4,FALSE)+VLOOKUP($A86,main!$A$3:$H$102,4,FALSE)+(VLOOKUP(VLOOKUP(CV$1,main!$A$3:$H$102,8,FALSE),main!$K$19:$O$22,MATCH(VLOOKUP($A86,main!$A$3:$H$102,7,FALSE),main!$K$18:$O$18,0),0))),0)</f>
        <v>0</v>
      </c>
      <c r="CW86">
        <f>IF((gamma!CW86),IF(VLOOKUP(CW$1,main!$A$3:$H$102,7,FALSE)=VLOOKUP($A86,main!$A$3:$H$102,8,FALSE),VLOOKUP(CW$1,main!$A$3:$H$102,4,FALSE),VLOOKUP(CW$1,main!$A$3:$H$102,4,FALSE)+VLOOKUP($A86,main!$A$3:$H$102,4,FALSE)+(VLOOKUP(VLOOKUP(CW$1,main!$A$3:$H$102,8,FALSE),main!$K$19:$O$22,MATCH(VLOOKUP($A86,main!$A$3:$H$102,7,FALSE),main!$K$18:$O$18,0),0))),0)</f>
        <v>0</v>
      </c>
      <c r="CX86">
        <f>IF((gamma!CX86),IF(VLOOKUP(CX$1,main!$A$3:$H$102,7,FALSE)=VLOOKUP($A86,main!$A$3:$H$102,8,FALSE),VLOOKUP(CX$1,main!$A$3:$H$102,4,FALSE),VLOOKUP(CX$1,main!$A$3:$H$102,4,FALSE)+VLOOKUP($A86,main!$A$3:$H$102,4,FALSE)+(VLOOKUP(VLOOKUP(CX$1,main!$A$3:$H$102,8,FALSE),main!$K$19:$O$22,MATCH(VLOOKUP($A86,main!$A$3:$H$102,7,FALSE),main!$K$18:$O$18,0),0))),0)</f>
        <v>0</v>
      </c>
      <c r="CY86">
        <v>0</v>
      </c>
      <c r="CZ86">
        <v>0</v>
      </c>
      <c r="DA86">
        <v>0</v>
      </c>
    </row>
    <row r="87" spans="1:105" x14ac:dyDescent="0.25">
      <c r="A87" s="1">
        <v>85</v>
      </c>
      <c r="B87">
        <v>0</v>
      </c>
      <c r="C87">
        <f>IF((gamma!C87),IF(VLOOKUP(C$1,main!$A$3:$H$102,7,FALSE)=VLOOKUP($A87,main!$A$3:$H$102,8,FALSE),VLOOKUP(C$1,main!$A$3:$H$102,4,FALSE),VLOOKUP(C$1,main!$A$3:$H$102,4,FALSE)+VLOOKUP($A87,main!$A$3:$H$102,4,FALSE)+(VLOOKUP(VLOOKUP(C$1,main!$A$3:$H$102,8,FALSE),main!$K$19:$O$22,MATCH(VLOOKUP($A87,main!$A$3:$H$102,7,FALSE),main!$K$18:$O$18,0),0))),0)</f>
        <v>0</v>
      </c>
      <c r="D87">
        <f>IF((gamma!D87),IF(VLOOKUP(D$1,main!$A$3:$H$102,7,FALSE)=VLOOKUP($A87,main!$A$3:$H$102,8,FALSE),VLOOKUP(D$1,main!$A$3:$H$102,4,FALSE),VLOOKUP(D$1,main!$A$3:$H$102,4,FALSE)+VLOOKUP($A87,main!$A$3:$H$102,4,FALSE)+(VLOOKUP(VLOOKUP(D$1,main!$A$3:$H$102,8,FALSE),main!$K$19:$O$22,MATCH(VLOOKUP($A87,main!$A$3:$H$102,7,FALSE),main!$K$18:$O$18,0),0))),0)</f>
        <v>0</v>
      </c>
      <c r="E87">
        <f>IF((gamma!E87),IF(VLOOKUP(E$1,main!$A$3:$H$102,7,FALSE)=VLOOKUP($A87,main!$A$3:$H$102,8,FALSE),VLOOKUP(E$1,main!$A$3:$H$102,4,FALSE),VLOOKUP(E$1,main!$A$3:$H$102,4,FALSE)+VLOOKUP($A87,main!$A$3:$H$102,4,FALSE)+(VLOOKUP(VLOOKUP(E$1,main!$A$3:$H$102,8,FALSE),main!$K$19:$O$22,MATCH(VLOOKUP($A87,main!$A$3:$H$102,7,FALSE),main!$K$18:$O$18,0),0))),0)</f>
        <v>0</v>
      </c>
      <c r="F87">
        <f>IF((gamma!F87),IF(VLOOKUP(F$1,main!$A$3:$H$102,7,FALSE)=VLOOKUP($A87,main!$A$3:$H$102,8,FALSE),VLOOKUP(F$1,main!$A$3:$H$102,4,FALSE),VLOOKUP(F$1,main!$A$3:$H$102,4,FALSE)+VLOOKUP($A87,main!$A$3:$H$102,4,FALSE)+(VLOOKUP(VLOOKUP(F$1,main!$A$3:$H$102,8,FALSE),main!$K$19:$O$22,MATCH(VLOOKUP($A87,main!$A$3:$H$102,7,FALSE),main!$K$18:$O$18,0),0))),0)</f>
        <v>0</v>
      </c>
      <c r="G87">
        <f>IF((gamma!G87),IF(VLOOKUP(G$1,main!$A$3:$H$102,7,FALSE)=VLOOKUP($A87,main!$A$3:$H$102,8,FALSE),VLOOKUP(G$1,main!$A$3:$H$102,4,FALSE),VLOOKUP(G$1,main!$A$3:$H$102,4,FALSE)+VLOOKUP($A87,main!$A$3:$H$102,4,FALSE)+(VLOOKUP(VLOOKUP(G$1,main!$A$3:$H$102,8,FALSE),main!$K$19:$O$22,MATCH(VLOOKUP($A87,main!$A$3:$H$102,7,FALSE),main!$K$18:$O$18,0),0))),0)</f>
        <v>0</v>
      </c>
      <c r="H87">
        <f>IF((gamma!H87),IF(VLOOKUP(H$1,main!$A$3:$H$102,7,FALSE)=VLOOKUP($A87,main!$A$3:$H$102,8,FALSE),VLOOKUP(H$1,main!$A$3:$H$102,4,FALSE),VLOOKUP(H$1,main!$A$3:$H$102,4,FALSE)+VLOOKUP($A87,main!$A$3:$H$102,4,FALSE)+(VLOOKUP(VLOOKUP(H$1,main!$A$3:$H$102,8,FALSE),main!$K$19:$O$22,MATCH(VLOOKUP($A87,main!$A$3:$H$102,7,FALSE),main!$K$18:$O$18,0),0))),0)</f>
        <v>0</v>
      </c>
      <c r="I87">
        <f>IF((gamma!I87),IF(VLOOKUP(I$1,main!$A$3:$H$102,7,FALSE)=VLOOKUP($A87,main!$A$3:$H$102,8,FALSE),VLOOKUP(I$1,main!$A$3:$H$102,4,FALSE),VLOOKUP(I$1,main!$A$3:$H$102,4,FALSE)+VLOOKUP($A87,main!$A$3:$H$102,4,FALSE)+(VLOOKUP(VLOOKUP(I$1,main!$A$3:$H$102,8,FALSE),main!$K$19:$O$22,MATCH(VLOOKUP($A87,main!$A$3:$H$102,7,FALSE),main!$K$18:$O$18,0),0))),0)</f>
        <v>0</v>
      </c>
      <c r="J87">
        <f>IF((gamma!J87),IF(VLOOKUP(J$1,main!$A$3:$H$102,7,FALSE)=VLOOKUP($A87,main!$A$3:$H$102,8,FALSE),VLOOKUP(J$1,main!$A$3:$H$102,4,FALSE),VLOOKUP(J$1,main!$A$3:$H$102,4,FALSE)+VLOOKUP($A87,main!$A$3:$H$102,4,FALSE)+(VLOOKUP(VLOOKUP(J$1,main!$A$3:$H$102,8,FALSE),main!$K$19:$O$22,MATCH(VLOOKUP($A87,main!$A$3:$H$102,7,FALSE),main!$K$18:$O$18,0),0))),0)</f>
        <v>0</v>
      </c>
      <c r="K87">
        <f>IF((gamma!K87),IF(VLOOKUP(K$1,main!$A$3:$H$102,7,FALSE)=VLOOKUP($A87,main!$A$3:$H$102,8,FALSE),VLOOKUP(K$1,main!$A$3:$H$102,4,FALSE),VLOOKUP(K$1,main!$A$3:$H$102,4,FALSE)+VLOOKUP($A87,main!$A$3:$H$102,4,FALSE)+(VLOOKUP(VLOOKUP(K$1,main!$A$3:$H$102,8,FALSE),main!$K$19:$O$22,MATCH(VLOOKUP($A87,main!$A$3:$H$102,7,FALSE),main!$K$18:$O$18,0),0))),0)</f>
        <v>0</v>
      </c>
      <c r="L87">
        <f>IF((gamma!L87),IF(VLOOKUP(L$1,main!$A$3:$H$102,7,FALSE)=VLOOKUP($A87,main!$A$3:$H$102,8,FALSE),VLOOKUP(L$1,main!$A$3:$H$102,4,FALSE),VLOOKUP(L$1,main!$A$3:$H$102,4,FALSE)+VLOOKUP($A87,main!$A$3:$H$102,4,FALSE)+(VLOOKUP(VLOOKUP(L$1,main!$A$3:$H$102,8,FALSE),main!$K$19:$O$22,MATCH(VLOOKUP($A87,main!$A$3:$H$102,7,FALSE),main!$K$18:$O$18,0),0))),0)</f>
        <v>0</v>
      </c>
      <c r="M87">
        <f>IF((gamma!M87),IF(VLOOKUP(M$1,main!$A$3:$H$102,7,FALSE)=VLOOKUP($A87,main!$A$3:$H$102,8,FALSE),VLOOKUP(M$1,main!$A$3:$H$102,4,FALSE),VLOOKUP(M$1,main!$A$3:$H$102,4,FALSE)+VLOOKUP($A87,main!$A$3:$H$102,4,FALSE)+(VLOOKUP(VLOOKUP(M$1,main!$A$3:$H$102,8,FALSE),main!$K$19:$O$22,MATCH(VLOOKUP($A87,main!$A$3:$H$102,7,FALSE),main!$K$18:$O$18,0),0))),0)</f>
        <v>0</v>
      </c>
      <c r="N87">
        <f>IF((gamma!N87),IF(VLOOKUP(N$1,main!$A$3:$H$102,7,FALSE)=VLOOKUP($A87,main!$A$3:$H$102,8,FALSE),VLOOKUP(N$1,main!$A$3:$H$102,4,FALSE),VLOOKUP(N$1,main!$A$3:$H$102,4,FALSE)+VLOOKUP($A87,main!$A$3:$H$102,4,FALSE)+(VLOOKUP(VLOOKUP(N$1,main!$A$3:$H$102,8,FALSE),main!$K$19:$O$22,MATCH(VLOOKUP($A87,main!$A$3:$H$102,7,FALSE),main!$K$18:$O$18,0),0))),0)</f>
        <v>0</v>
      </c>
      <c r="O87">
        <f>IF((gamma!O87),IF(VLOOKUP(O$1,main!$A$3:$H$102,7,FALSE)=VLOOKUP($A87,main!$A$3:$H$102,8,FALSE),VLOOKUP(O$1,main!$A$3:$H$102,4,FALSE),VLOOKUP(O$1,main!$A$3:$H$102,4,FALSE)+VLOOKUP($A87,main!$A$3:$H$102,4,FALSE)+(VLOOKUP(VLOOKUP(O$1,main!$A$3:$H$102,8,FALSE),main!$K$19:$O$22,MATCH(VLOOKUP($A87,main!$A$3:$H$102,7,FALSE),main!$K$18:$O$18,0),0))),0)</f>
        <v>0</v>
      </c>
      <c r="P87">
        <f>IF((gamma!P87),IF(VLOOKUP(P$1,main!$A$3:$H$102,7,FALSE)=VLOOKUP($A87,main!$A$3:$H$102,8,FALSE),VLOOKUP(P$1,main!$A$3:$H$102,4,FALSE),VLOOKUP(P$1,main!$A$3:$H$102,4,FALSE)+VLOOKUP($A87,main!$A$3:$H$102,4,FALSE)+(VLOOKUP(VLOOKUP(P$1,main!$A$3:$H$102,8,FALSE),main!$K$19:$O$22,MATCH(VLOOKUP($A87,main!$A$3:$H$102,7,FALSE),main!$K$18:$O$18,0),0))),0)</f>
        <v>0</v>
      </c>
      <c r="Q87">
        <f>IF((gamma!Q87),IF(VLOOKUP(Q$1,main!$A$3:$H$102,7,FALSE)=VLOOKUP($A87,main!$A$3:$H$102,8,FALSE),VLOOKUP(Q$1,main!$A$3:$H$102,4,FALSE),VLOOKUP(Q$1,main!$A$3:$H$102,4,FALSE)+VLOOKUP($A87,main!$A$3:$H$102,4,FALSE)+(VLOOKUP(VLOOKUP(Q$1,main!$A$3:$H$102,8,FALSE),main!$K$19:$O$22,MATCH(VLOOKUP($A87,main!$A$3:$H$102,7,FALSE),main!$K$18:$O$18,0),0))),0)</f>
        <v>0</v>
      </c>
      <c r="R87">
        <f>IF((gamma!R87),IF(VLOOKUP(R$1,main!$A$3:$H$102,7,FALSE)=VLOOKUP($A87,main!$A$3:$H$102,8,FALSE),VLOOKUP(R$1,main!$A$3:$H$102,4,FALSE),VLOOKUP(R$1,main!$A$3:$H$102,4,FALSE)+VLOOKUP($A87,main!$A$3:$H$102,4,FALSE)+(VLOOKUP(VLOOKUP(R$1,main!$A$3:$H$102,8,FALSE),main!$K$19:$O$22,MATCH(VLOOKUP($A87,main!$A$3:$H$102,7,FALSE),main!$K$18:$O$18,0),0))),0)</f>
        <v>0</v>
      </c>
      <c r="S87">
        <f>IF((gamma!S87),IF(VLOOKUP(S$1,main!$A$3:$H$102,7,FALSE)=VLOOKUP($A87,main!$A$3:$H$102,8,FALSE),VLOOKUP(S$1,main!$A$3:$H$102,4,FALSE),VLOOKUP(S$1,main!$A$3:$H$102,4,FALSE)+VLOOKUP($A87,main!$A$3:$H$102,4,FALSE)+(VLOOKUP(VLOOKUP(S$1,main!$A$3:$H$102,8,FALSE),main!$K$19:$O$22,MATCH(VLOOKUP($A87,main!$A$3:$H$102,7,FALSE),main!$K$18:$O$18,0),0))),0)</f>
        <v>0</v>
      </c>
      <c r="T87">
        <f>IF((gamma!T87),IF(VLOOKUP(T$1,main!$A$3:$H$102,7,FALSE)=VLOOKUP($A87,main!$A$3:$H$102,8,FALSE),VLOOKUP(T$1,main!$A$3:$H$102,4,FALSE),VLOOKUP(T$1,main!$A$3:$H$102,4,FALSE)+VLOOKUP($A87,main!$A$3:$H$102,4,FALSE)+(VLOOKUP(VLOOKUP(T$1,main!$A$3:$H$102,8,FALSE),main!$K$19:$O$22,MATCH(VLOOKUP($A87,main!$A$3:$H$102,7,FALSE),main!$K$18:$O$18,0),0))),0)</f>
        <v>0</v>
      </c>
      <c r="U87">
        <f>IF((gamma!U87),IF(VLOOKUP(U$1,main!$A$3:$H$102,7,FALSE)=VLOOKUP($A87,main!$A$3:$H$102,8,FALSE),VLOOKUP(U$1,main!$A$3:$H$102,4,FALSE),VLOOKUP(U$1,main!$A$3:$H$102,4,FALSE)+VLOOKUP($A87,main!$A$3:$H$102,4,FALSE)+(VLOOKUP(VLOOKUP(U$1,main!$A$3:$H$102,8,FALSE),main!$K$19:$O$22,MATCH(VLOOKUP($A87,main!$A$3:$H$102,7,FALSE),main!$K$18:$O$18,0),0))),0)</f>
        <v>0</v>
      </c>
      <c r="V87">
        <f>IF((gamma!V87),IF(VLOOKUP(V$1,main!$A$3:$H$102,7,FALSE)=VLOOKUP($A87,main!$A$3:$H$102,8,FALSE),VLOOKUP(V$1,main!$A$3:$H$102,4,FALSE),VLOOKUP(V$1,main!$A$3:$H$102,4,FALSE)+VLOOKUP($A87,main!$A$3:$H$102,4,FALSE)+(VLOOKUP(VLOOKUP(V$1,main!$A$3:$H$102,8,FALSE),main!$K$19:$O$22,MATCH(VLOOKUP($A87,main!$A$3:$H$102,7,FALSE),main!$K$18:$O$18,0),0))),0)</f>
        <v>0</v>
      </c>
      <c r="W87">
        <f>IF((gamma!W87),IF(VLOOKUP(W$1,main!$A$3:$H$102,7,FALSE)=VLOOKUP($A87,main!$A$3:$H$102,8,FALSE),VLOOKUP(W$1,main!$A$3:$H$102,4,FALSE),VLOOKUP(W$1,main!$A$3:$H$102,4,FALSE)+VLOOKUP($A87,main!$A$3:$H$102,4,FALSE)+(VLOOKUP(VLOOKUP(W$1,main!$A$3:$H$102,8,FALSE),main!$K$19:$O$22,MATCH(VLOOKUP($A87,main!$A$3:$H$102,7,FALSE),main!$K$18:$O$18,0),0))),0)</f>
        <v>0</v>
      </c>
      <c r="X87">
        <f>IF((gamma!X87),IF(VLOOKUP(X$1,main!$A$3:$H$102,7,FALSE)=VLOOKUP($A87,main!$A$3:$H$102,8,FALSE),VLOOKUP(X$1,main!$A$3:$H$102,4,FALSE),VLOOKUP(X$1,main!$A$3:$H$102,4,FALSE)+VLOOKUP($A87,main!$A$3:$H$102,4,FALSE)+(VLOOKUP(VLOOKUP(X$1,main!$A$3:$H$102,8,FALSE),main!$K$19:$O$22,MATCH(VLOOKUP($A87,main!$A$3:$H$102,7,FALSE),main!$K$18:$O$18,0),0))),0)</f>
        <v>0</v>
      </c>
      <c r="Y87">
        <f>IF((gamma!Y87),IF(VLOOKUP(Y$1,main!$A$3:$H$102,7,FALSE)=VLOOKUP($A87,main!$A$3:$H$102,8,FALSE),VLOOKUP(Y$1,main!$A$3:$H$102,4,FALSE),VLOOKUP(Y$1,main!$A$3:$H$102,4,FALSE)+VLOOKUP($A87,main!$A$3:$H$102,4,FALSE)+(VLOOKUP(VLOOKUP(Y$1,main!$A$3:$H$102,8,FALSE),main!$K$19:$O$22,MATCH(VLOOKUP($A87,main!$A$3:$H$102,7,FALSE),main!$K$18:$O$18,0),0))),0)</f>
        <v>0</v>
      </c>
      <c r="Z87">
        <f>IF((gamma!Z87),IF(VLOOKUP(Z$1,main!$A$3:$H$102,7,FALSE)=VLOOKUP($A87,main!$A$3:$H$102,8,FALSE),VLOOKUP(Z$1,main!$A$3:$H$102,4,FALSE),VLOOKUP(Z$1,main!$A$3:$H$102,4,FALSE)+VLOOKUP($A87,main!$A$3:$H$102,4,FALSE)+(VLOOKUP(VLOOKUP(Z$1,main!$A$3:$H$102,8,FALSE),main!$K$19:$O$22,MATCH(VLOOKUP($A87,main!$A$3:$H$102,7,FALSE),main!$K$18:$O$18,0),0))),0)</f>
        <v>0</v>
      </c>
      <c r="AA87">
        <f>IF((gamma!AA87),IF(VLOOKUP(AA$1,main!$A$3:$H$102,7,FALSE)=VLOOKUP($A87,main!$A$3:$H$102,8,FALSE),VLOOKUP(AA$1,main!$A$3:$H$102,4,FALSE),VLOOKUP(AA$1,main!$A$3:$H$102,4,FALSE)+VLOOKUP($A87,main!$A$3:$H$102,4,FALSE)+(VLOOKUP(VLOOKUP(AA$1,main!$A$3:$H$102,8,FALSE),main!$K$19:$O$22,MATCH(VLOOKUP($A87,main!$A$3:$H$102,7,FALSE),main!$K$18:$O$18,0),0))),0)</f>
        <v>0</v>
      </c>
      <c r="AB87">
        <f>IF((gamma!AB87),IF(VLOOKUP(AB$1,main!$A$3:$H$102,7,FALSE)=VLOOKUP($A87,main!$A$3:$H$102,8,FALSE),VLOOKUP(AB$1,main!$A$3:$H$102,4,FALSE),VLOOKUP(AB$1,main!$A$3:$H$102,4,FALSE)+VLOOKUP($A87,main!$A$3:$H$102,4,FALSE)+(VLOOKUP(VLOOKUP(AB$1,main!$A$3:$H$102,8,FALSE),main!$K$19:$O$22,MATCH(VLOOKUP($A87,main!$A$3:$H$102,7,FALSE),main!$K$18:$O$18,0),0))),0)</f>
        <v>0</v>
      </c>
      <c r="AC87">
        <f>IF((gamma!AC87),IF(VLOOKUP(AC$1,main!$A$3:$H$102,7,FALSE)=VLOOKUP($A87,main!$A$3:$H$102,8,FALSE),VLOOKUP(AC$1,main!$A$3:$H$102,4,FALSE),VLOOKUP(AC$1,main!$A$3:$H$102,4,FALSE)+VLOOKUP($A87,main!$A$3:$H$102,4,FALSE)+(VLOOKUP(VLOOKUP(AC$1,main!$A$3:$H$102,8,FALSE),main!$K$19:$O$22,MATCH(VLOOKUP($A87,main!$A$3:$H$102,7,FALSE),main!$K$18:$O$18,0),0))),0)</f>
        <v>0</v>
      </c>
      <c r="AD87">
        <f>IF((gamma!AD87),IF(VLOOKUP(AD$1,main!$A$3:$H$102,7,FALSE)=VLOOKUP($A87,main!$A$3:$H$102,8,FALSE),VLOOKUP(AD$1,main!$A$3:$H$102,4,FALSE),VLOOKUP(AD$1,main!$A$3:$H$102,4,FALSE)+VLOOKUP($A87,main!$A$3:$H$102,4,FALSE)+(VLOOKUP(VLOOKUP(AD$1,main!$A$3:$H$102,8,FALSE),main!$K$19:$O$22,MATCH(VLOOKUP($A87,main!$A$3:$H$102,7,FALSE),main!$K$18:$O$18,0),0))),0)</f>
        <v>0</v>
      </c>
      <c r="AE87">
        <f>IF((gamma!AE87),IF(VLOOKUP(AE$1,main!$A$3:$H$102,7,FALSE)=VLOOKUP($A87,main!$A$3:$H$102,8,FALSE),VLOOKUP(AE$1,main!$A$3:$H$102,4,FALSE),VLOOKUP(AE$1,main!$A$3:$H$102,4,FALSE)+VLOOKUP($A87,main!$A$3:$H$102,4,FALSE)+(VLOOKUP(VLOOKUP(AE$1,main!$A$3:$H$102,8,FALSE),main!$K$19:$O$22,MATCH(VLOOKUP($A87,main!$A$3:$H$102,7,FALSE),main!$K$18:$O$18,0),0))),0)</f>
        <v>0</v>
      </c>
      <c r="AF87">
        <f>IF((gamma!AF87),IF(VLOOKUP(AF$1,main!$A$3:$H$102,7,FALSE)=VLOOKUP($A87,main!$A$3:$H$102,8,FALSE),VLOOKUP(AF$1,main!$A$3:$H$102,4,FALSE),VLOOKUP(AF$1,main!$A$3:$H$102,4,FALSE)+VLOOKUP($A87,main!$A$3:$H$102,4,FALSE)+(VLOOKUP(VLOOKUP(AF$1,main!$A$3:$H$102,8,FALSE),main!$K$19:$O$22,MATCH(VLOOKUP($A87,main!$A$3:$H$102,7,FALSE),main!$K$18:$O$18,0),0))),0)</f>
        <v>0</v>
      </c>
      <c r="AG87">
        <f>IF((gamma!AG87),IF(VLOOKUP(AG$1,main!$A$3:$H$102,7,FALSE)=VLOOKUP($A87,main!$A$3:$H$102,8,FALSE),VLOOKUP(AG$1,main!$A$3:$H$102,4,FALSE),VLOOKUP(AG$1,main!$A$3:$H$102,4,FALSE)+VLOOKUP($A87,main!$A$3:$H$102,4,FALSE)+(VLOOKUP(VLOOKUP(AG$1,main!$A$3:$H$102,8,FALSE),main!$K$19:$O$22,MATCH(VLOOKUP($A87,main!$A$3:$H$102,7,FALSE),main!$K$18:$O$18,0),0))),0)</f>
        <v>0</v>
      </c>
      <c r="AH87">
        <f>IF((gamma!AH87),IF(VLOOKUP(AH$1,main!$A$3:$H$102,7,FALSE)=VLOOKUP($A87,main!$A$3:$H$102,8,FALSE),VLOOKUP(AH$1,main!$A$3:$H$102,4,FALSE),VLOOKUP(AH$1,main!$A$3:$H$102,4,FALSE)+VLOOKUP($A87,main!$A$3:$H$102,4,FALSE)+(VLOOKUP(VLOOKUP(AH$1,main!$A$3:$H$102,8,FALSE),main!$K$19:$O$22,MATCH(VLOOKUP($A87,main!$A$3:$H$102,7,FALSE),main!$K$18:$O$18,0),0))),0)</f>
        <v>0</v>
      </c>
      <c r="AI87">
        <f>IF((gamma!AI87),IF(VLOOKUP(AI$1,main!$A$3:$H$102,7,FALSE)=VLOOKUP($A87,main!$A$3:$H$102,8,FALSE),VLOOKUP(AI$1,main!$A$3:$H$102,4,FALSE),VLOOKUP(AI$1,main!$A$3:$H$102,4,FALSE)+VLOOKUP($A87,main!$A$3:$H$102,4,FALSE)+(VLOOKUP(VLOOKUP(AI$1,main!$A$3:$H$102,8,FALSE),main!$K$19:$O$22,MATCH(VLOOKUP($A87,main!$A$3:$H$102,7,FALSE),main!$K$18:$O$18,0),0))),0)</f>
        <v>0</v>
      </c>
      <c r="AJ87">
        <f>IF((gamma!AJ87),IF(VLOOKUP(AJ$1,main!$A$3:$H$102,7,FALSE)=VLOOKUP($A87,main!$A$3:$H$102,8,FALSE),VLOOKUP(AJ$1,main!$A$3:$H$102,4,FALSE),VLOOKUP(AJ$1,main!$A$3:$H$102,4,FALSE)+VLOOKUP($A87,main!$A$3:$H$102,4,FALSE)+(VLOOKUP(VLOOKUP(AJ$1,main!$A$3:$H$102,8,FALSE),main!$K$19:$O$22,MATCH(VLOOKUP($A87,main!$A$3:$H$102,7,FALSE),main!$K$18:$O$18,0),0))),0)</f>
        <v>0</v>
      </c>
      <c r="AK87">
        <f>IF((gamma!AK87),IF(VLOOKUP(AK$1,main!$A$3:$H$102,7,FALSE)=VLOOKUP($A87,main!$A$3:$H$102,8,FALSE),VLOOKUP(AK$1,main!$A$3:$H$102,4,FALSE),VLOOKUP(AK$1,main!$A$3:$H$102,4,FALSE)+VLOOKUP($A87,main!$A$3:$H$102,4,FALSE)+(VLOOKUP(VLOOKUP(AK$1,main!$A$3:$H$102,8,FALSE),main!$K$19:$O$22,MATCH(VLOOKUP($A87,main!$A$3:$H$102,7,FALSE),main!$K$18:$O$18,0),0))),0)</f>
        <v>0</v>
      </c>
      <c r="AL87">
        <f>IF((gamma!AL87),IF(VLOOKUP(AL$1,main!$A$3:$H$102,7,FALSE)=VLOOKUP($A87,main!$A$3:$H$102,8,FALSE),VLOOKUP(AL$1,main!$A$3:$H$102,4,FALSE),VLOOKUP(AL$1,main!$A$3:$H$102,4,FALSE)+VLOOKUP($A87,main!$A$3:$H$102,4,FALSE)+(VLOOKUP(VLOOKUP(AL$1,main!$A$3:$H$102,8,FALSE),main!$K$19:$O$22,MATCH(VLOOKUP($A87,main!$A$3:$H$102,7,FALSE),main!$K$18:$O$18,0),0))),0)</f>
        <v>0</v>
      </c>
      <c r="AM87">
        <f>IF((gamma!AM87),IF(VLOOKUP(AM$1,main!$A$3:$H$102,7,FALSE)=VLOOKUP($A87,main!$A$3:$H$102,8,FALSE),VLOOKUP(AM$1,main!$A$3:$H$102,4,FALSE),VLOOKUP(AM$1,main!$A$3:$H$102,4,FALSE)+VLOOKUP($A87,main!$A$3:$H$102,4,FALSE)+(VLOOKUP(VLOOKUP(AM$1,main!$A$3:$H$102,8,FALSE),main!$K$19:$O$22,MATCH(VLOOKUP($A87,main!$A$3:$H$102,7,FALSE),main!$K$18:$O$18,0),0))),0)</f>
        <v>0</v>
      </c>
      <c r="AN87">
        <f>IF((gamma!AN87),IF(VLOOKUP(AN$1,main!$A$3:$H$102,7,FALSE)=VLOOKUP($A87,main!$A$3:$H$102,8,FALSE),VLOOKUP(AN$1,main!$A$3:$H$102,4,FALSE),VLOOKUP(AN$1,main!$A$3:$H$102,4,FALSE)+VLOOKUP($A87,main!$A$3:$H$102,4,FALSE)+(VLOOKUP(VLOOKUP(AN$1,main!$A$3:$H$102,8,FALSE),main!$K$19:$O$22,MATCH(VLOOKUP($A87,main!$A$3:$H$102,7,FALSE),main!$K$18:$O$18,0),0))),0)</f>
        <v>0</v>
      </c>
      <c r="AO87">
        <f>IF((gamma!AO87),IF(VLOOKUP(AO$1,main!$A$3:$H$102,7,FALSE)=VLOOKUP($A87,main!$A$3:$H$102,8,FALSE),VLOOKUP(AO$1,main!$A$3:$H$102,4,FALSE),VLOOKUP(AO$1,main!$A$3:$H$102,4,FALSE)+VLOOKUP($A87,main!$A$3:$H$102,4,FALSE)+(VLOOKUP(VLOOKUP(AO$1,main!$A$3:$H$102,8,FALSE),main!$K$19:$O$22,MATCH(VLOOKUP($A87,main!$A$3:$H$102,7,FALSE),main!$K$18:$O$18,0),0))),0)</f>
        <v>0</v>
      </c>
      <c r="AP87">
        <f>IF((gamma!AP87),IF(VLOOKUP(AP$1,main!$A$3:$H$102,7,FALSE)=VLOOKUP($A87,main!$A$3:$H$102,8,FALSE),VLOOKUP(AP$1,main!$A$3:$H$102,4,FALSE),VLOOKUP(AP$1,main!$A$3:$H$102,4,FALSE)+VLOOKUP($A87,main!$A$3:$H$102,4,FALSE)+(VLOOKUP(VLOOKUP(AP$1,main!$A$3:$H$102,8,FALSE),main!$K$19:$O$22,MATCH(VLOOKUP($A87,main!$A$3:$H$102,7,FALSE),main!$K$18:$O$18,0),0))),0)</f>
        <v>0</v>
      </c>
      <c r="AQ87">
        <f>IF((gamma!AQ87),IF(VLOOKUP(AQ$1,main!$A$3:$H$102,7,FALSE)=VLOOKUP($A87,main!$A$3:$H$102,8,FALSE),VLOOKUP(AQ$1,main!$A$3:$H$102,4,FALSE),VLOOKUP(AQ$1,main!$A$3:$H$102,4,FALSE)+VLOOKUP($A87,main!$A$3:$H$102,4,FALSE)+(VLOOKUP(VLOOKUP(AQ$1,main!$A$3:$H$102,8,FALSE),main!$K$19:$O$22,MATCH(VLOOKUP($A87,main!$A$3:$H$102,7,FALSE),main!$K$18:$O$18,0),0))),0)</f>
        <v>0</v>
      </c>
      <c r="AR87">
        <f>IF((gamma!AR87),IF(VLOOKUP(AR$1,main!$A$3:$H$102,7,FALSE)=VLOOKUP($A87,main!$A$3:$H$102,8,FALSE),VLOOKUP(AR$1,main!$A$3:$H$102,4,FALSE),VLOOKUP(AR$1,main!$A$3:$H$102,4,FALSE)+VLOOKUP($A87,main!$A$3:$H$102,4,FALSE)+(VLOOKUP(VLOOKUP(AR$1,main!$A$3:$H$102,8,FALSE),main!$K$19:$O$22,MATCH(VLOOKUP($A87,main!$A$3:$H$102,7,FALSE),main!$K$18:$O$18,0),0))),0)</f>
        <v>0</v>
      </c>
      <c r="AS87">
        <f>IF((gamma!AS87),IF(VLOOKUP(AS$1,main!$A$3:$H$102,7,FALSE)=VLOOKUP($A87,main!$A$3:$H$102,8,FALSE),VLOOKUP(AS$1,main!$A$3:$H$102,4,FALSE),VLOOKUP(AS$1,main!$A$3:$H$102,4,FALSE)+VLOOKUP($A87,main!$A$3:$H$102,4,FALSE)+(VLOOKUP(VLOOKUP(AS$1,main!$A$3:$H$102,8,FALSE),main!$K$19:$O$22,MATCH(VLOOKUP($A87,main!$A$3:$H$102,7,FALSE),main!$K$18:$O$18,0),0))),0)</f>
        <v>0</v>
      </c>
      <c r="AT87">
        <f>IF((gamma!AT87),IF(VLOOKUP(AT$1,main!$A$3:$H$102,7,FALSE)=VLOOKUP($A87,main!$A$3:$H$102,8,FALSE),VLOOKUP(AT$1,main!$A$3:$H$102,4,FALSE),VLOOKUP(AT$1,main!$A$3:$H$102,4,FALSE)+VLOOKUP($A87,main!$A$3:$H$102,4,FALSE)+(VLOOKUP(VLOOKUP(AT$1,main!$A$3:$H$102,8,FALSE),main!$K$19:$O$22,MATCH(VLOOKUP($A87,main!$A$3:$H$102,7,FALSE),main!$K$18:$O$18,0),0))),0)</f>
        <v>0</v>
      </c>
      <c r="AU87">
        <f>IF((gamma!AU87),IF(VLOOKUP(AU$1,main!$A$3:$H$102,7,FALSE)=VLOOKUP($A87,main!$A$3:$H$102,8,FALSE),VLOOKUP(AU$1,main!$A$3:$H$102,4,FALSE),VLOOKUP(AU$1,main!$A$3:$H$102,4,FALSE)+VLOOKUP($A87,main!$A$3:$H$102,4,FALSE)+(VLOOKUP(VLOOKUP(AU$1,main!$A$3:$H$102,8,FALSE),main!$K$19:$O$22,MATCH(VLOOKUP($A87,main!$A$3:$H$102,7,FALSE),main!$K$18:$O$18,0),0))),0)</f>
        <v>0</v>
      </c>
      <c r="AV87">
        <f>IF((gamma!AV87),IF(VLOOKUP(AV$1,main!$A$3:$H$102,7,FALSE)=VLOOKUP($A87,main!$A$3:$H$102,8,FALSE),VLOOKUP(AV$1,main!$A$3:$H$102,4,FALSE),VLOOKUP(AV$1,main!$A$3:$H$102,4,FALSE)+VLOOKUP($A87,main!$A$3:$H$102,4,FALSE)+(VLOOKUP(VLOOKUP(AV$1,main!$A$3:$H$102,8,FALSE),main!$K$19:$O$22,MATCH(VLOOKUP($A87,main!$A$3:$H$102,7,FALSE),main!$K$18:$O$18,0),0))),0)</f>
        <v>0</v>
      </c>
      <c r="AW87">
        <f>IF((gamma!AW87),IF(VLOOKUP(AW$1,main!$A$3:$H$102,7,FALSE)=VLOOKUP($A87,main!$A$3:$H$102,8,FALSE),VLOOKUP(AW$1,main!$A$3:$H$102,4,FALSE),VLOOKUP(AW$1,main!$A$3:$H$102,4,FALSE)+VLOOKUP($A87,main!$A$3:$H$102,4,FALSE)+(VLOOKUP(VLOOKUP(AW$1,main!$A$3:$H$102,8,FALSE),main!$K$19:$O$22,MATCH(VLOOKUP($A87,main!$A$3:$H$102,7,FALSE),main!$K$18:$O$18,0),0))),0)</f>
        <v>0</v>
      </c>
      <c r="AX87">
        <f>IF((gamma!AX87),IF(VLOOKUP(AX$1,main!$A$3:$H$102,7,FALSE)=VLOOKUP($A87,main!$A$3:$H$102,8,FALSE),VLOOKUP(AX$1,main!$A$3:$H$102,4,FALSE),VLOOKUP(AX$1,main!$A$3:$H$102,4,FALSE)+VLOOKUP($A87,main!$A$3:$H$102,4,FALSE)+(VLOOKUP(VLOOKUP(AX$1,main!$A$3:$H$102,8,FALSE),main!$K$19:$O$22,MATCH(VLOOKUP($A87,main!$A$3:$H$102,7,FALSE),main!$K$18:$O$18,0),0))),0)</f>
        <v>0</v>
      </c>
      <c r="AY87">
        <f>IF((gamma!AY87),IF(VLOOKUP(AY$1,main!$A$3:$H$102,7,FALSE)=VLOOKUP($A87,main!$A$3:$H$102,8,FALSE),VLOOKUP(AY$1,main!$A$3:$H$102,4,FALSE),VLOOKUP(AY$1,main!$A$3:$H$102,4,FALSE)+VLOOKUP($A87,main!$A$3:$H$102,4,FALSE)+(VLOOKUP(VLOOKUP(AY$1,main!$A$3:$H$102,8,FALSE),main!$K$19:$O$22,MATCH(VLOOKUP($A87,main!$A$3:$H$102,7,FALSE),main!$K$18:$O$18,0),0))),0)</f>
        <v>0</v>
      </c>
      <c r="AZ87">
        <f>IF((gamma!AZ87),IF(VLOOKUP(AZ$1,main!$A$3:$H$102,7,FALSE)=VLOOKUP($A87,main!$A$3:$H$102,8,FALSE),VLOOKUP(AZ$1,main!$A$3:$H$102,4,FALSE),VLOOKUP(AZ$1,main!$A$3:$H$102,4,FALSE)+VLOOKUP($A87,main!$A$3:$H$102,4,FALSE)+(VLOOKUP(VLOOKUP(AZ$1,main!$A$3:$H$102,8,FALSE),main!$K$19:$O$22,MATCH(VLOOKUP($A87,main!$A$3:$H$102,7,FALSE),main!$K$18:$O$18,0),0))),0)</f>
        <v>0</v>
      </c>
      <c r="BA87">
        <f>IF((gamma!BA87),IF(VLOOKUP(BA$1,main!$A$3:$H$102,7,FALSE)=VLOOKUP($A87,main!$A$3:$H$102,8,FALSE),VLOOKUP(BA$1,main!$A$3:$H$102,4,FALSE),VLOOKUP(BA$1,main!$A$3:$H$102,4,FALSE)+VLOOKUP($A87,main!$A$3:$H$102,4,FALSE)+(VLOOKUP(VLOOKUP(BA$1,main!$A$3:$H$102,8,FALSE),main!$K$19:$O$22,MATCH(VLOOKUP($A87,main!$A$3:$H$102,7,FALSE),main!$K$18:$O$18,0),0))),0)</f>
        <v>0</v>
      </c>
      <c r="BB87">
        <f>IF((gamma!BB87),IF(VLOOKUP(BB$1,main!$A$3:$H$102,7,FALSE)=VLOOKUP($A87,main!$A$3:$H$102,8,FALSE),VLOOKUP(BB$1,main!$A$3:$H$102,4,FALSE),VLOOKUP(BB$1,main!$A$3:$H$102,4,FALSE)+VLOOKUP($A87,main!$A$3:$H$102,4,FALSE)+(VLOOKUP(VLOOKUP(BB$1,main!$A$3:$H$102,8,FALSE),main!$K$19:$O$22,MATCH(VLOOKUP($A87,main!$A$3:$H$102,7,FALSE),main!$K$18:$O$18,0),0))),0)</f>
        <v>0</v>
      </c>
      <c r="BC87">
        <f>IF((gamma!BC87),IF(VLOOKUP(BC$1,main!$A$3:$H$102,7,FALSE)=VLOOKUP($A87,main!$A$3:$H$102,8,FALSE),VLOOKUP(BC$1,main!$A$3:$H$102,4,FALSE),VLOOKUP(BC$1,main!$A$3:$H$102,4,FALSE)+VLOOKUP($A87,main!$A$3:$H$102,4,FALSE)+(VLOOKUP(VLOOKUP(BC$1,main!$A$3:$H$102,8,FALSE),main!$K$19:$O$22,MATCH(VLOOKUP($A87,main!$A$3:$H$102,7,FALSE),main!$K$18:$O$18,0),0))),0)</f>
        <v>0</v>
      </c>
      <c r="BD87">
        <f>IF((gamma!BD87),IF(VLOOKUP(BD$1,main!$A$3:$H$102,7,FALSE)=VLOOKUP($A87,main!$A$3:$H$102,8,FALSE),VLOOKUP(BD$1,main!$A$3:$H$102,4,FALSE),VLOOKUP(BD$1,main!$A$3:$H$102,4,FALSE)+VLOOKUP($A87,main!$A$3:$H$102,4,FALSE)+(VLOOKUP(VLOOKUP(BD$1,main!$A$3:$H$102,8,FALSE),main!$K$19:$O$22,MATCH(VLOOKUP($A87,main!$A$3:$H$102,7,FALSE),main!$K$18:$O$18,0),0))),0)</f>
        <v>0</v>
      </c>
      <c r="BE87">
        <f>IF((gamma!BE87),IF(VLOOKUP(BE$1,main!$A$3:$H$102,7,FALSE)=VLOOKUP($A87,main!$A$3:$H$102,8,FALSE),VLOOKUP(BE$1,main!$A$3:$H$102,4,FALSE),VLOOKUP(BE$1,main!$A$3:$H$102,4,FALSE)+VLOOKUP($A87,main!$A$3:$H$102,4,FALSE)+(VLOOKUP(VLOOKUP(BE$1,main!$A$3:$H$102,8,FALSE),main!$K$19:$O$22,MATCH(VLOOKUP($A87,main!$A$3:$H$102,7,FALSE),main!$K$18:$O$18,0),0))),0)</f>
        <v>0</v>
      </c>
      <c r="BF87">
        <f>IF((gamma!BF87),IF(VLOOKUP(BF$1,main!$A$3:$H$102,7,FALSE)=VLOOKUP($A87,main!$A$3:$H$102,8,FALSE),VLOOKUP(BF$1,main!$A$3:$H$102,4,FALSE),VLOOKUP(BF$1,main!$A$3:$H$102,4,FALSE)+VLOOKUP($A87,main!$A$3:$H$102,4,FALSE)+(VLOOKUP(VLOOKUP(BF$1,main!$A$3:$H$102,8,FALSE),main!$K$19:$O$22,MATCH(VLOOKUP($A87,main!$A$3:$H$102,7,FALSE),main!$K$18:$O$18,0),0))),0)</f>
        <v>0</v>
      </c>
      <c r="BG87">
        <f>IF((gamma!BG87),IF(VLOOKUP(BG$1,main!$A$3:$H$102,7,FALSE)=VLOOKUP($A87,main!$A$3:$H$102,8,FALSE),VLOOKUP(BG$1,main!$A$3:$H$102,4,FALSE),VLOOKUP(BG$1,main!$A$3:$H$102,4,FALSE)+VLOOKUP($A87,main!$A$3:$H$102,4,FALSE)+(VLOOKUP(VLOOKUP(BG$1,main!$A$3:$H$102,8,FALSE),main!$K$19:$O$22,MATCH(VLOOKUP($A87,main!$A$3:$H$102,7,FALSE),main!$K$18:$O$18,0),0))),0)</f>
        <v>0</v>
      </c>
      <c r="BH87">
        <f>IF((gamma!BH87),IF(VLOOKUP(BH$1,main!$A$3:$H$102,7,FALSE)=VLOOKUP($A87,main!$A$3:$H$102,8,FALSE),VLOOKUP(BH$1,main!$A$3:$H$102,4,FALSE),VLOOKUP(BH$1,main!$A$3:$H$102,4,FALSE)+VLOOKUP($A87,main!$A$3:$H$102,4,FALSE)+(VLOOKUP(VLOOKUP(BH$1,main!$A$3:$H$102,8,FALSE),main!$K$19:$O$22,MATCH(VLOOKUP($A87,main!$A$3:$H$102,7,FALSE),main!$K$18:$O$18,0),0))),0)</f>
        <v>0</v>
      </c>
      <c r="BI87">
        <f>IF((gamma!BI87),IF(VLOOKUP(BI$1,main!$A$3:$H$102,7,FALSE)=VLOOKUP($A87,main!$A$3:$H$102,8,FALSE),VLOOKUP(BI$1,main!$A$3:$H$102,4,FALSE),VLOOKUP(BI$1,main!$A$3:$H$102,4,FALSE)+VLOOKUP($A87,main!$A$3:$H$102,4,FALSE)+(VLOOKUP(VLOOKUP(BI$1,main!$A$3:$H$102,8,FALSE),main!$K$19:$O$22,MATCH(VLOOKUP($A87,main!$A$3:$H$102,7,FALSE),main!$K$18:$O$18,0),0))),0)</f>
        <v>0</v>
      </c>
      <c r="BJ87">
        <f>IF((gamma!BJ87),IF(VLOOKUP(BJ$1,main!$A$3:$H$102,7,FALSE)=VLOOKUP($A87,main!$A$3:$H$102,8,FALSE),VLOOKUP(BJ$1,main!$A$3:$H$102,4,FALSE),VLOOKUP(BJ$1,main!$A$3:$H$102,4,FALSE)+VLOOKUP($A87,main!$A$3:$H$102,4,FALSE)+(VLOOKUP(VLOOKUP(BJ$1,main!$A$3:$H$102,8,FALSE),main!$K$19:$O$22,MATCH(VLOOKUP($A87,main!$A$3:$H$102,7,FALSE),main!$K$18:$O$18,0),0))),0)</f>
        <v>0</v>
      </c>
      <c r="BK87">
        <f>IF((gamma!BK87),IF(VLOOKUP(BK$1,main!$A$3:$H$102,7,FALSE)=VLOOKUP($A87,main!$A$3:$H$102,8,FALSE),VLOOKUP(BK$1,main!$A$3:$H$102,4,FALSE),VLOOKUP(BK$1,main!$A$3:$H$102,4,FALSE)+VLOOKUP($A87,main!$A$3:$H$102,4,FALSE)+(VLOOKUP(VLOOKUP(BK$1,main!$A$3:$H$102,8,FALSE),main!$K$19:$O$22,MATCH(VLOOKUP($A87,main!$A$3:$H$102,7,FALSE),main!$K$18:$O$18,0),0))),0)</f>
        <v>0</v>
      </c>
      <c r="BL87">
        <f>IF((gamma!BL87),IF(VLOOKUP(BL$1,main!$A$3:$H$102,7,FALSE)=VLOOKUP($A87,main!$A$3:$H$102,8,FALSE),VLOOKUP(BL$1,main!$A$3:$H$102,4,FALSE),VLOOKUP(BL$1,main!$A$3:$H$102,4,FALSE)+VLOOKUP($A87,main!$A$3:$H$102,4,FALSE)+(VLOOKUP(VLOOKUP(BL$1,main!$A$3:$H$102,8,FALSE),main!$K$19:$O$22,MATCH(VLOOKUP($A87,main!$A$3:$H$102,7,FALSE),main!$K$18:$O$18,0),0))),0)</f>
        <v>0</v>
      </c>
      <c r="BM87">
        <f>IF((gamma!BM87),IF(VLOOKUP(BM$1,main!$A$3:$H$102,7,FALSE)=VLOOKUP($A87,main!$A$3:$H$102,8,FALSE),VLOOKUP(BM$1,main!$A$3:$H$102,4,FALSE),VLOOKUP(BM$1,main!$A$3:$H$102,4,FALSE)+VLOOKUP($A87,main!$A$3:$H$102,4,FALSE)+(VLOOKUP(VLOOKUP(BM$1,main!$A$3:$H$102,8,FALSE),main!$K$19:$O$22,MATCH(VLOOKUP($A87,main!$A$3:$H$102,7,FALSE),main!$K$18:$O$18,0),0))),0)</f>
        <v>0</v>
      </c>
      <c r="BN87">
        <f>IF((gamma!BN87),IF(VLOOKUP(BN$1,main!$A$3:$H$102,7,FALSE)=VLOOKUP($A87,main!$A$3:$H$102,8,FALSE),VLOOKUP(BN$1,main!$A$3:$H$102,4,FALSE),VLOOKUP(BN$1,main!$A$3:$H$102,4,FALSE)+VLOOKUP($A87,main!$A$3:$H$102,4,FALSE)+(VLOOKUP(VLOOKUP(BN$1,main!$A$3:$H$102,8,FALSE),main!$K$19:$O$22,MATCH(VLOOKUP($A87,main!$A$3:$H$102,7,FALSE),main!$K$18:$O$18,0),0))),0)</f>
        <v>0</v>
      </c>
      <c r="BO87">
        <f>IF((gamma!BO87),IF(VLOOKUP(BO$1,main!$A$3:$H$102,7,FALSE)=VLOOKUP($A87,main!$A$3:$H$102,8,FALSE),VLOOKUP(BO$1,main!$A$3:$H$102,4,FALSE),VLOOKUP(BO$1,main!$A$3:$H$102,4,FALSE)+VLOOKUP($A87,main!$A$3:$H$102,4,FALSE)+(VLOOKUP(VLOOKUP(BO$1,main!$A$3:$H$102,8,FALSE),main!$K$19:$O$22,MATCH(VLOOKUP($A87,main!$A$3:$H$102,7,FALSE),main!$K$18:$O$18,0),0))),0)</f>
        <v>0</v>
      </c>
      <c r="BP87">
        <f>IF((gamma!BP87),IF(VLOOKUP(BP$1,main!$A$3:$H$102,7,FALSE)=VLOOKUP($A87,main!$A$3:$H$102,8,FALSE),VLOOKUP(BP$1,main!$A$3:$H$102,4,FALSE),VLOOKUP(BP$1,main!$A$3:$H$102,4,FALSE)+VLOOKUP($A87,main!$A$3:$H$102,4,FALSE)+(VLOOKUP(VLOOKUP(BP$1,main!$A$3:$H$102,8,FALSE),main!$K$19:$O$22,MATCH(VLOOKUP($A87,main!$A$3:$H$102,7,FALSE),main!$K$18:$O$18,0),0))),0)</f>
        <v>0</v>
      </c>
      <c r="BQ87">
        <f>IF((gamma!BQ87),IF(VLOOKUP(BQ$1,main!$A$3:$H$102,7,FALSE)=VLOOKUP($A87,main!$A$3:$H$102,8,FALSE),VLOOKUP(BQ$1,main!$A$3:$H$102,4,FALSE),VLOOKUP(BQ$1,main!$A$3:$H$102,4,FALSE)+VLOOKUP($A87,main!$A$3:$H$102,4,FALSE)+(VLOOKUP(VLOOKUP(BQ$1,main!$A$3:$H$102,8,FALSE),main!$K$19:$O$22,MATCH(VLOOKUP($A87,main!$A$3:$H$102,7,FALSE),main!$K$18:$O$18,0),0))),0)</f>
        <v>0</v>
      </c>
      <c r="BR87">
        <f>IF((gamma!BR87),IF(VLOOKUP(BR$1,main!$A$3:$H$102,7,FALSE)=VLOOKUP($A87,main!$A$3:$H$102,8,FALSE),VLOOKUP(BR$1,main!$A$3:$H$102,4,FALSE),VLOOKUP(BR$1,main!$A$3:$H$102,4,FALSE)+VLOOKUP($A87,main!$A$3:$H$102,4,FALSE)+(VLOOKUP(VLOOKUP(BR$1,main!$A$3:$H$102,8,FALSE),main!$K$19:$O$22,MATCH(VLOOKUP($A87,main!$A$3:$H$102,7,FALSE),main!$K$18:$O$18,0),0))),0)</f>
        <v>0</v>
      </c>
      <c r="BS87">
        <f>IF((gamma!BS87),IF(VLOOKUP(BS$1,main!$A$3:$H$102,7,FALSE)=VLOOKUP($A87,main!$A$3:$H$102,8,FALSE),VLOOKUP(BS$1,main!$A$3:$H$102,4,FALSE),VLOOKUP(BS$1,main!$A$3:$H$102,4,FALSE)+VLOOKUP($A87,main!$A$3:$H$102,4,FALSE)+(VLOOKUP(VLOOKUP(BS$1,main!$A$3:$H$102,8,FALSE),main!$K$19:$O$22,MATCH(VLOOKUP($A87,main!$A$3:$H$102,7,FALSE),main!$K$18:$O$18,0),0))),0)</f>
        <v>0</v>
      </c>
      <c r="BT87">
        <f>IF((gamma!BT87),IF(VLOOKUP(BT$1,main!$A$3:$H$102,7,FALSE)=VLOOKUP($A87,main!$A$3:$H$102,8,FALSE),VLOOKUP(BT$1,main!$A$3:$H$102,4,FALSE),VLOOKUP(BT$1,main!$A$3:$H$102,4,FALSE)+VLOOKUP($A87,main!$A$3:$H$102,4,FALSE)+(VLOOKUP(VLOOKUP(BT$1,main!$A$3:$H$102,8,FALSE),main!$K$19:$O$22,MATCH(VLOOKUP($A87,main!$A$3:$H$102,7,FALSE),main!$K$18:$O$18,0),0))),0)</f>
        <v>0</v>
      </c>
      <c r="BU87">
        <f>IF((gamma!BU87),IF(VLOOKUP(BU$1,main!$A$3:$H$102,7,FALSE)=VLOOKUP($A87,main!$A$3:$H$102,8,FALSE),VLOOKUP(BU$1,main!$A$3:$H$102,4,FALSE),VLOOKUP(BU$1,main!$A$3:$H$102,4,FALSE)+VLOOKUP($A87,main!$A$3:$H$102,4,FALSE)+(VLOOKUP(VLOOKUP(BU$1,main!$A$3:$H$102,8,FALSE),main!$K$19:$O$22,MATCH(VLOOKUP($A87,main!$A$3:$H$102,7,FALSE),main!$K$18:$O$18,0),0))),0)</f>
        <v>0</v>
      </c>
      <c r="BV87">
        <f>IF((gamma!BV87),IF(VLOOKUP(BV$1,main!$A$3:$H$102,7,FALSE)=VLOOKUP($A87,main!$A$3:$H$102,8,FALSE),VLOOKUP(BV$1,main!$A$3:$H$102,4,FALSE),VLOOKUP(BV$1,main!$A$3:$H$102,4,FALSE)+VLOOKUP($A87,main!$A$3:$H$102,4,FALSE)+(VLOOKUP(VLOOKUP(BV$1,main!$A$3:$H$102,8,FALSE),main!$K$19:$O$22,MATCH(VLOOKUP($A87,main!$A$3:$H$102,7,FALSE),main!$K$18:$O$18,0),0))),0)</f>
        <v>0</v>
      </c>
      <c r="BW87">
        <f>IF((gamma!BW87),IF(VLOOKUP(BW$1,main!$A$3:$H$102,7,FALSE)=VLOOKUP($A87,main!$A$3:$H$102,8,FALSE),VLOOKUP(BW$1,main!$A$3:$H$102,4,FALSE),VLOOKUP(BW$1,main!$A$3:$H$102,4,FALSE)+VLOOKUP($A87,main!$A$3:$H$102,4,FALSE)+(VLOOKUP(VLOOKUP(BW$1,main!$A$3:$H$102,8,FALSE),main!$K$19:$O$22,MATCH(VLOOKUP($A87,main!$A$3:$H$102,7,FALSE),main!$K$18:$O$18,0),0))),0)</f>
        <v>0</v>
      </c>
      <c r="BX87">
        <f>IF((gamma!BX87),IF(VLOOKUP(BX$1,main!$A$3:$H$102,7,FALSE)=VLOOKUP($A87,main!$A$3:$H$102,8,FALSE),VLOOKUP(BX$1,main!$A$3:$H$102,4,FALSE),VLOOKUP(BX$1,main!$A$3:$H$102,4,FALSE)+VLOOKUP($A87,main!$A$3:$H$102,4,FALSE)+(VLOOKUP(VLOOKUP(BX$1,main!$A$3:$H$102,8,FALSE),main!$K$19:$O$22,MATCH(VLOOKUP($A87,main!$A$3:$H$102,7,FALSE),main!$K$18:$O$18,0),0))),0)</f>
        <v>0</v>
      </c>
      <c r="BY87">
        <f>IF((gamma!BY87),IF(VLOOKUP(BY$1,main!$A$3:$H$102,7,FALSE)=VLOOKUP($A87,main!$A$3:$H$102,8,FALSE),VLOOKUP(BY$1,main!$A$3:$H$102,4,FALSE),VLOOKUP(BY$1,main!$A$3:$H$102,4,FALSE)+VLOOKUP($A87,main!$A$3:$H$102,4,FALSE)+(VLOOKUP(VLOOKUP(BY$1,main!$A$3:$H$102,8,FALSE),main!$K$19:$O$22,MATCH(VLOOKUP($A87,main!$A$3:$H$102,7,FALSE),main!$K$18:$O$18,0),0))),0)</f>
        <v>0</v>
      </c>
      <c r="BZ87">
        <f>IF((gamma!BZ87),IF(VLOOKUP(BZ$1,main!$A$3:$H$102,7,FALSE)=VLOOKUP($A87,main!$A$3:$H$102,8,FALSE),VLOOKUP(BZ$1,main!$A$3:$H$102,4,FALSE),VLOOKUP(BZ$1,main!$A$3:$H$102,4,FALSE)+VLOOKUP($A87,main!$A$3:$H$102,4,FALSE)+(VLOOKUP(VLOOKUP(BZ$1,main!$A$3:$H$102,8,FALSE),main!$K$19:$O$22,MATCH(VLOOKUP($A87,main!$A$3:$H$102,7,FALSE),main!$K$18:$O$18,0),0))),0)</f>
        <v>0</v>
      </c>
      <c r="CA87">
        <f>IF((gamma!CA87),IF(VLOOKUP(CA$1,main!$A$3:$H$102,7,FALSE)=VLOOKUP($A87,main!$A$3:$H$102,8,FALSE),VLOOKUP(CA$1,main!$A$3:$H$102,4,FALSE),VLOOKUP(CA$1,main!$A$3:$H$102,4,FALSE)+VLOOKUP($A87,main!$A$3:$H$102,4,FALSE)+(VLOOKUP(VLOOKUP(CA$1,main!$A$3:$H$102,8,FALSE),main!$K$19:$O$22,MATCH(VLOOKUP($A87,main!$A$3:$H$102,7,FALSE),main!$K$18:$O$18,0),0))),0)</f>
        <v>0</v>
      </c>
      <c r="CB87">
        <f>IF((gamma!CB87),IF(VLOOKUP(CB$1,main!$A$3:$H$102,7,FALSE)=VLOOKUP($A87,main!$A$3:$H$102,8,FALSE),VLOOKUP(CB$1,main!$A$3:$H$102,4,FALSE),VLOOKUP(CB$1,main!$A$3:$H$102,4,FALSE)+VLOOKUP($A87,main!$A$3:$H$102,4,FALSE)+(VLOOKUP(VLOOKUP(CB$1,main!$A$3:$H$102,8,FALSE),main!$K$19:$O$22,MATCH(VLOOKUP($A87,main!$A$3:$H$102,7,FALSE),main!$K$18:$O$18,0),0))),0)</f>
        <v>0</v>
      </c>
      <c r="CC87">
        <f>IF((gamma!CC87),IF(VLOOKUP(CC$1,main!$A$3:$H$102,7,FALSE)=VLOOKUP($A87,main!$A$3:$H$102,8,FALSE),VLOOKUP(CC$1,main!$A$3:$H$102,4,FALSE),VLOOKUP(CC$1,main!$A$3:$H$102,4,FALSE)+VLOOKUP($A87,main!$A$3:$H$102,4,FALSE)+(VLOOKUP(VLOOKUP(CC$1,main!$A$3:$H$102,8,FALSE),main!$K$19:$O$22,MATCH(VLOOKUP($A87,main!$A$3:$H$102,7,FALSE),main!$K$18:$O$18,0),0))),0)</f>
        <v>0</v>
      </c>
      <c r="CD87">
        <f>IF((gamma!CD87),IF(VLOOKUP(CD$1,main!$A$3:$H$102,7,FALSE)=VLOOKUP($A87,main!$A$3:$H$102,8,FALSE),VLOOKUP(CD$1,main!$A$3:$H$102,4,FALSE),VLOOKUP(CD$1,main!$A$3:$H$102,4,FALSE)+VLOOKUP($A87,main!$A$3:$H$102,4,FALSE)+(VLOOKUP(VLOOKUP(CD$1,main!$A$3:$H$102,8,FALSE),main!$K$19:$O$22,MATCH(VLOOKUP($A87,main!$A$3:$H$102,7,FALSE),main!$K$18:$O$18,0),0))),0)</f>
        <v>0</v>
      </c>
      <c r="CE87">
        <f>IF((gamma!CE87),IF(VLOOKUP(CE$1,main!$A$3:$H$102,7,FALSE)=VLOOKUP($A87,main!$A$3:$H$102,8,FALSE),VLOOKUP(CE$1,main!$A$3:$H$102,4,FALSE),VLOOKUP(CE$1,main!$A$3:$H$102,4,FALSE)+VLOOKUP($A87,main!$A$3:$H$102,4,FALSE)+(VLOOKUP(VLOOKUP(CE$1,main!$A$3:$H$102,8,FALSE),main!$K$19:$O$22,MATCH(VLOOKUP($A87,main!$A$3:$H$102,7,FALSE),main!$K$18:$O$18,0),0))),0)</f>
        <v>0</v>
      </c>
      <c r="CF87">
        <f>IF((gamma!CF87),IF(VLOOKUP(CF$1,main!$A$3:$H$102,7,FALSE)=VLOOKUP($A87,main!$A$3:$H$102,8,FALSE),VLOOKUP(CF$1,main!$A$3:$H$102,4,FALSE),VLOOKUP(CF$1,main!$A$3:$H$102,4,FALSE)+VLOOKUP($A87,main!$A$3:$H$102,4,FALSE)+(VLOOKUP(VLOOKUP(CF$1,main!$A$3:$H$102,8,FALSE),main!$K$19:$O$22,MATCH(VLOOKUP($A87,main!$A$3:$H$102,7,FALSE),main!$K$18:$O$18,0),0))),0)</f>
        <v>0</v>
      </c>
      <c r="CG87">
        <f>IF((gamma!CG87),IF(VLOOKUP(CG$1,main!$A$3:$H$102,7,FALSE)=VLOOKUP($A87,main!$A$3:$H$102,8,FALSE),VLOOKUP(CG$1,main!$A$3:$H$102,4,FALSE),VLOOKUP(CG$1,main!$A$3:$H$102,4,FALSE)+VLOOKUP($A87,main!$A$3:$H$102,4,FALSE)+(VLOOKUP(VLOOKUP(CG$1,main!$A$3:$H$102,8,FALSE),main!$K$19:$O$22,MATCH(VLOOKUP($A87,main!$A$3:$H$102,7,FALSE),main!$K$18:$O$18,0),0))),0)</f>
        <v>0</v>
      </c>
      <c r="CH87">
        <f>IF((gamma!CH87),IF(VLOOKUP(CH$1,main!$A$3:$H$102,7,FALSE)=VLOOKUP($A87,main!$A$3:$H$102,8,FALSE),VLOOKUP(CH$1,main!$A$3:$H$102,4,FALSE),VLOOKUP(CH$1,main!$A$3:$H$102,4,FALSE)+VLOOKUP($A87,main!$A$3:$H$102,4,FALSE)+(VLOOKUP(VLOOKUP(CH$1,main!$A$3:$H$102,8,FALSE),main!$K$19:$O$22,MATCH(VLOOKUP($A87,main!$A$3:$H$102,7,FALSE),main!$K$18:$O$18,0),0))),0)</f>
        <v>0</v>
      </c>
      <c r="CI87">
        <f>IF((gamma!CI87),IF(VLOOKUP(CI$1,main!$A$3:$H$102,7,FALSE)=VLOOKUP($A87,main!$A$3:$H$102,8,FALSE),VLOOKUP(CI$1,main!$A$3:$H$102,4,FALSE),VLOOKUP(CI$1,main!$A$3:$H$102,4,FALSE)+VLOOKUP($A87,main!$A$3:$H$102,4,FALSE)+(VLOOKUP(VLOOKUP(CI$1,main!$A$3:$H$102,8,FALSE),main!$K$19:$O$22,MATCH(VLOOKUP($A87,main!$A$3:$H$102,7,FALSE),main!$K$18:$O$18,0),0))),0)</f>
        <v>0</v>
      </c>
      <c r="CJ87">
        <f>IF((gamma!CJ87),IF(VLOOKUP(CJ$1,main!$A$3:$H$102,7,FALSE)=VLOOKUP($A87,main!$A$3:$H$102,8,FALSE),VLOOKUP(CJ$1,main!$A$3:$H$102,4,FALSE),VLOOKUP(CJ$1,main!$A$3:$H$102,4,FALSE)+VLOOKUP($A87,main!$A$3:$H$102,4,FALSE)+(VLOOKUP(VLOOKUP(CJ$1,main!$A$3:$H$102,8,FALSE),main!$K$19:$O$22,MATCH(VLOOKUP($A87,main!$A$3:$H$102,7,FALSE),main!$K$18:$O$18,0),0))),0)</f>
        <v>0</v>
      </c>
      <c r="CK87">
        <f>IF((gamma!CK87),IF(VLOOKUP(CK$1,main!$A$3:$H$102,7,FALSE)=VLOOKUP($A87,main!$A$3:$H$102,8,FALSE),VLOOKUP(CK$1,main!$A$3:$H$102,4,FALSE),VLOOKUP(CK$1,main!$A$3:$H$102,4,FALSE)+VLOOKUP($A87,main!$A$3:$H$102,4,FALSE)+(VLOOKUP(VLOOKUP(CK$1,main!$A$3:$H$102,8,FALSE),main!$K$19:$O$22,MATCH(VLOOKUP($A87,main!$A$3:$H$102,7,FALSE),main!$K$18:$O$18,0),0))),0)</f>
        <v>0</v>
      </c>
      <c r="CL87">
        <f>IF((gamma!CL87),IF(VLOOKUP(CL$1,main!$A$3:$H$102,7,FALSE)=VLOOKUP($A87,main!$A$3:$H$102,8,FALSE),VLOOKUP(CL$1,main!$A$3:$H$102,4,FALSE),VLOOKUP(CL$1,main!$A$3:$H$102,4,FALSE)+VLOOKUP($A87,main!$A$3:$H$102,4,FALSE)+(VLOOKUP(VLOOKUP(CL$1,main!$A$3:$H$102,8,FALSE),main!$K$19:$O$22,MATCH(VLOOKUP($A87,main!$A$3:$H$102,7,FALSE),main!$K$18:$O$18,0),0))),0)</f>
        <v>0</v>
      </c>
      <c r="CM87">
        <f>IF((gamma!CM87),IF(VLOOKUP(CM$1,main!$A$3:$H$102,7,FALSE)=VLOOKUP($A87,main!$A$3:$H$102,8,FALSE),VLOOKUP(CM$1,main!$A$3:$H$102,4,FALSE),VLOOKUP(CM$1,main!$A$3:$H$102,4,FALSE)+VLOOKUP($A87,main!$A$3:$H$102,4,FALSE)+(VLOOKUP(VLOOKUP(CM$1,main!$A$3:$H$102,8,FALSE),main!$K$19:$O$22,MATCH(VLOOKUP($A87,main!$A$3:$H$102,7,FALSE),main!$K$18:$O$18,0),0))),0)</f>
        <v>0</v>
      </c>
      <c r="CN87">
        <f>IF((gamma!CN87),IF(VLOOKUP(CN$1,main!$A$3:$H$102,7,FALSE)=VLOOKUP($A87,main!$A$3:$H$102,8,FALSE),VLOOKUP(CN$1,main!$A$3:$H$102,4,FALSE),VLOOKUP(CN$1,main!$A$3:$H$102,4,FALSE)+VLOOKUP($A87,main!$A$3:$H$102,4,FALSE)+(VLOOKUP(VLOOKUP(CN$1,main!$A$3:$H$102,8,FALSE),main!$K$19:$O$22,MATCH(VLOOKUP($A87,main!$A$3:$H$102,7,FALSE),main!$K$18:$O$18,0),0))),0)</f>
        <v>0</v>
      </c>
      <c r="CO87">
        <f>IF((gamma!CO87),IF(VLOOKUP(CO$1,main!$A$3:$H$102,7,FALSE)=VLOOKUP($A87,main!$A$3:$H$102,8,FALSE),VLOOKUP(CO$1,main!$A$3:$H$102,4,FALSE),VLOOKUP(CO$1,main!$A$3:$H$102,4,FALSE)+VLOOKUP($A87,main!$A$3:$H$102,4,FALSE)+(VLOOKUP(VLOOKUP(CO$1,main!$A$3:$H$102,8,FALSE),main!$K$19:$O$22,MATCH(VLOOKUP($A87,main!$A$3:$H$102,7,FALSE),main!$K$18:$O$18,0),0))),0)</f>
        <v>0</v>
      </c>
      <c r="CP87">
        <f>IF((gamma!CP87),IF(VLOOKUP(CP$1,main!$A$3:$H$102,7,FALSE)=VLOOKUP($A87,main!$A$3:$H$102,8,FALSE),VLOOKUP(CP$1,main!$A$3:$H$102,4,FALSE),VLOOKUP(CP$1,main!$A$3:$H$102,4,FALSE)+VLOOKUP($A87,main!$A$3:$H$102,4,FALSE)+(VLOOKUP(VLOOKUP(CP$1,main!$A$3:$H$102,8,FALSE),main!$K$19:$O$22,MATCH(VLOOKUP($A87,main!$A$3:$H$102,7,FALSE),main!$K$18:$O$18,0),0))),0)</f>
        <v>0</v>
      </c>
      <c r="CQ87">
        <f>IF((gamma!CQ87),IF(VLOOKUP(CQ$1,main!$A$3:$H$102,7,FALSE)=VLOOKUP($A87,main!$A$3:$H$102,8,FALSE),VLOOKUP(CQ$1,main!$A$3:$H$102,4,FALSE),VLOOKUP(CQ$1,main!$A$3:$H$102,4,FALSE)+VLOOKUP($A87,main!$A$3:$H$102,4,FALSE)+(VLOOKUP(VLOOKUP(CQ$1,main!$A$3:$H$102,8,FALSE),main!$K$19:$O$22,MATCH(VLOOKUP($A87,main!$A$3:$H$102,7,FALSE),main!$K$18:$O$18,0),0))),0)</f>
        <v>0</v>
      </c>
      <c r="CR87">
        <f>IF((gamma!CR87),IF(VLOOKUP(CR$1,main!$A$3:$H$102,7,FALSE)=VLOOKUP($A87,main!$A$3:$H$102,8,FALSE),VLOOKUP(CR$1,main!$A$3:$H$102,4,FALSE),VLOOKUP(CR$1,main!$A$3:$H$102,4,FALSE)+VLOOKUP($A87,main!$A$3:$H$102,4,FALSE)+(VLOOKUP(VLOOKUP(CR$1,main!$A$3:$H$102,8,FALSE),main!$K$19:$O$22,MATCH(VLOOKUP($A87,main!$A$3:$H$102,7,FALSE),main!$K$18:$O$18,0),0))),0)</f>
        <v>0</v>
      </c>
      <c r="CS87">
        <f>IF((gamma!CS87),IF(VLOOKUP(CS$1,main!$A$3:$H$102,7,FALSE)=VLOOKUP($A87,main!$A$3:$H$102,8,FALSE),VLOOKUP(CS$1,main!$A$3:$H$102,4,FALSE),VLOOKUP(CS$1,main!$A$3:$H$102,4,FALSE)+VLOOKUP($A87,main!$A$3:$H$102,4,FALSE)+(VLOOKUP(VLOOKUP(CS$1,main!$A$3:$H$102,8,FALSE),main!$K$19:$O$22,MATCH(VLOOKUP($A87,main!$A$3:$H$102,7,FALSE),main!$K$18:$O$18,0),0))),0)</f>
        <v>0</v>
      </c>
      <c r="CT87">
        <f>IF((gamma!CT87),IF(VLOOKUP(CT$1,main!$A$3:$H$102,7,FALSE)=VLOOKUP($A87,main!$A$3:$H$102,8,FALSE),VLOOKUP(CT$1,main!$A$3:$H$102,4,FALSE),VLOOKUP(CT$1,main!$A$3:$H$102,4,FALSE)+VLOOKUP($A87,main!$A$3:$H$102,4,FALSE)+(VLOOKUP(VLOOKUP(CT$1,main!$A$3:$H$102,8,FALSE),main!$K$19:$O$22,MATCH(VLOOKUP($A87,main!$A$3:$H$102,7,FALSE),main!$K$18:$O$18,0),0))),0)</f>
        <v>0</v>
      </c>
      <c r="CU87">
        <f>IF((gamma!CU87),IF(VLOOKUP(CU$1,main!$A$3:$H$102,7,FALSE)=VLOOKUP($A87,main!$A$3:$H$102,8,FALSE),VLOOKUP(CU$1,main!$A$3:$H$102,4,FALSE),VLOOKUP(CU$1,main!$A$3:$H$102,4,FALSE)+VLOOKUP($A87,main!$A$3:$H$102,4,FALSE)+(VLOOKUP(VLOOKUP(CU$1,main!$A$3:$H$102,8,FALSE),main!$K$19:$O$22,MATCH(VLOOKUP($A87,main!$A$3:$H$102,7,FALSE),main!$K$18:$O$18,0),0))),0)</f>
        <v>0</v>
      </c>
      <c r="CV87">
        <f>IF((gamma!CV87),IF(VLOOKUP(CV$1,main!$A$3:$H$102,7,FALSE)=VLOOKUP($A87,main!$A$3:$H$102,8,FALSE),VLOOKUP(CV$1,main!$A$3:$H$102,4,FALSE),VLOOKUP(CV$1,main!$A$3:$H$102,4,FALSE)+VLOOKUP($A87,main!$A$3:$H$102,4,FALSE)+(VLOOKUP(VLOOKUP(CV$1,main!$A$3:$H$102,8,FALSE),main!$K$19:$O$22,MATCH(VLOOKUP($A87,main!$A$3:$H$102,7,FALSE),main!$K$18:$O$18,0),0))),0)</f>
        <v>0</v>
      </c>
      <c r="CW87">
        <f>IF((gamma!CW87),IF(VLOOKUP(CW$1,main!$A$3:$H$102,7,FALSE)=VLOOKUP($A87,main!$A$3:$H$102,8,FALSE),VLOOKUP(CW$1,main!$A$3:$H$102,4,FALSE),VLOOKUP(CW$1,main!$A$3:$H$102,4,FALSE)+VLOOKUP($A87,main!$A$3:$H$102,4,FALSE)+(VLOOKUP(VLOOKUP(CW$1,main!$A$3:$H$102,8,FALSE),main!$K$19:$O$22,MATCH(VLOOKUP($A87,main!$A$3:$H$102,7,FALSE),main!$K$18:$O$18,0),0))),0)</f>
        <v>0</v>
      </c>
      <c r="CX87">
        <f>IF((gamma!CX87),IF(VLOOKUP(CX$1,main!$A$3:$H$102,7,FALSE)=VLOOKUP($A87,main!$A$3:$H$102,8,FALSE),VLOOKUP(CX$1,main!$A$3:$H$102,4,FALSE),VLOOKUP(CX$1,main!$A$3:$H$102,4,FALSE)+VLOOKUP($A87,main!$A$3:$H$102,4,FALSE)+(VLOOKUP(VLOOKUP(CX$1,main!$A$3:$H$102,8,FALSE),main!$K$19:$O$22,MATCH(VLOOKUP($A87,main!$A$3:$H$102,7,FALSE),main!$K$18:$O$18,0),0))),0)</f>
        <v>0</v>
      </c>
      <c r="CY87">
        <v>0</v>
      </c>
      <c r="CZ87">
        <v>0</v>
      </c>
      <c r="DA87">
        <v>0</v>
      </c>
    </row>
    <row r="88" spans="1:105" x14ac:dyDescent="0.25">
      <c r="A88" s="1">
        <v>86</v>
      </c>
      <c r="B88">
        <v>0</v>
      </c>
      <c r="C88">
        <f>IF((gamma!C88),IF(VLOOKUP(C$1,main!$A$3:$H$102,7,FALSE)=VLOOKUP($A88,main!$A$3:$H$102,8,FALSE),VLOOKUP(C$1,main!$A$3:$H$102,4,FALSE),VLOOKUP(C$1,main!$A$3:$H$102,4,FALSE)+VLOOKUP($A88,main!$A$3:$H$102,4,FALSE)+(VLOOKUP(VLOOKUP(C$1,main!$A$3:$H$102,8,FALSE),main!$K$19:$O$22,MATCH(VLOOKUP($A88,main!$A$3:$H$102,7,FALSE),main!$K$18:$O$18,0),0))),0)</f>
        <v>0</v>
      </c>
      <c r="D88">
        <f>IF((gamma!D88),IF(VLOOKUP(D$1,main!$A$3:$H$102,7,FALSE)=VLOOKUP($A88,main!$A$3:$H$102,8,FALSE),VLOOKUP(D$1,main!$A$3:$H$102,4,FALSE),VLOOKUP(D$1,main!$A$3:$H$102,4,FALSE)+VLOOKUP($A88,main!$A$3:$H$102,4,FALSE)+(VLOOKUP(VLOOKUP(D$1,main!$A$3:$H$102,8,FALSE),main!$K$19:$O$22,MATCH(VLOOKUP($A88,main!$A$3:$H$102,7,FALSE),main!$K$18:$O$18,0),0))),0)</f>
        <v>0</v>
      </c>
      <c r="E88">
        <f>IF((gamma!E88),IF(VLOOKUP(E$1,main!$A$3:$H$102,7,FALSE)=VLOOKUP($A88,main!$A$3:$H$102,8,FALSE),VLOOKUP(E$1,main!$A$3:$H$102,4,FALSE),VLOOKUP(E$1,main!$A$3:$H$102,4,FALSE)+VLOOKUP($A88,main!$A$3:$H$102,4,FALSE)+(VLOOKUP(VLOOKUP(E$1,main!$A$3:$H$102,8,FALSE),main!$K$19:$O$22,MATCH(VLOOKUP($A88,main!$A$3:$H$102,7,FALSE),main!$K$18:$O$18,0),0))),0)</f>
        <v>0</v>
      </c>
      <c r="F88">
        <f>IF((gamma!F88),IF(VLOOKUP(F$1,main!$A$3:$H$102,7,FALSE)=VLOOKUP($A88,main!$A$3:$H$102,8,FALSE),VLOOKUP(F$1,main!$A$3:$H$102,4,FALSE),VLOOKUP(F$1,main!$A$3:$H$102,4,FALSE)+VLOOKUP($A88,main!$A$3:$H$102,4,FALSE)+(VLOOKUP(VLOOKUP(F$1,main!$A$3:$H$102,8,FALSE),main!$K$19:$O$22,MATCH(VLOOKUP($A88,main!$A$3:$H$102,7,FALSE),main!$K$18:$O$18,0),0))),0)</f>
        <v>0</v>
      </c>
      <c r="G88">
        <f>IF((gamma!G88),IF(VLOOKUP(G$1,main!$A$3:$H$102,7,FALSE)=VLOOKUP($A88,main!$A$3:$H$102,8,FALSE),VLOOKUP(G$1,main!$A$3:$H$102,4,FALSE),VLOOKUP(G$1,main!$A$3:$H$102,4,FALSE)+VLOOKUP($A88,main!$A$3:$H$102,4,FALSE)+(VLOOKUP(VLOOKUP(G$1,main!$A$3:$H$102,8,FALSE),main!$K$19:$O$22,MATCH(VLOOKUP($A88,main!$A$3:$H$102,7,FALSE),main!$K$18:$O$18,0),0))),0)</f>
        <v>0</v>
      </c>
      <c r="H88">
        <f>IF((gamma!H88),IF(VLOOKUP(H$1,main!$A$3:$H$102,7,FALSE)=VLOOKUP($A88,main!$A$3:$H$102,8,FALSE),VLOOKUP(H$1,main!$A$3:$H$102,4,FALSE),VLOOKUP(H$1,main!$A$3:$H$102,4,FALSE)+VLOOKUP($A88,main!$A$3:$H$102,4,FALSE)+(VLOOKUP(VLOOKUP(H$1,main!$A$3:$H$102,8,FALSE),main!$K$19:$O$22,MATCH(VLOOKUP($A88,main!$A$3:$H$102,7,FALSE),main!$K$18:$O$18,0),0))),0)</f>
        <v>135</v>
      </c>
      <c r="I88">
        <f>IF((gamma!I88),IF(VLOOKUP(I$1,main!$A$3:$H$102,7,FALSE)=VLOOKUP($A88,main!$A$3:$H$102,8,FALSE),VLOOKUP(I$1,main!$A$3:$H$102,4,FALSE),VLOOKUP(I$1,main!$A$3:$H$102,4,FALSE)+VLOOKUP($A88,main!$A$3:$H$102,4,FALSE)+(VLOOKUP(VLOOKUP(I$1,main!$A$3:$H$102,8,FALSE),main!$K$19:$O$22,MATCH(VLOOKUP($A88,main!$A$3:$H$102,7,FALSE),main!$K$18:$O$18,0),0))),0)</f>
        <v>135</v>
      </c>
      <c r="J88">
        <f>IF((gamma!J88),IF(VLOOKUP(J$1,main!$A$3:$H$102,7,FALSE)=VLOOKUP($A88,main!$A$3:$H$102,8,FALSE),VLOOKUP(J$1,main!$A$3:$H$102,4,FALSE),VLOOKUP(J$1,main!$A$3:$H$102,4,FALSE)+VLOOKUP($A88,main!$A$3:$H$102,4,FALSE)+(VLOOKUP(VLOOKUP(J$1,main!$A$3:$H$102,8,FALSE),main!$K$19:$O$22,MATCH(VLOOKUP($A88,main!$A$3:$H$102,7,FALSE),main!$K$18:$O$18,0),0))),0)</f>
        <v>135</v>
      </c>
      <c r="K88">
        <f>IF((gamma!K88),IF(VLOOKUP(K$1,main!$A$3:$H$102,7,FALSE)=VLOOKUP($A88,main!$A$3:$H$102,8,FALSE),VLOOKUP(K$1,main!$A$3:$H$102,4,FALSE),VLOOKUP(K$1,main!$A$3:$H$102,4,FALSE)+VLOOKUP($A88,main!$A$3:$H$102,4,FALSE)+(VLOOKUP(VLOOKUP(K$1,main!$A$3:$H$102,8,FALSE),main!$K$19:$O$22,MATCH(VLOOKUP($A88,main!$A$3:$H$102,7,FALSE),main!$K$18:$O$18,0),0))),0)</f>
        <v>135</v>
      </c>
      <c r="L88">
        <f>IF((gamma!L88),IF(VLOOKUP(L$1,main!$A$3:$H$102,7,FALSE)=VLOOKUP($A88,main!$A$3:$H$102,8,FALSE),VLOOKUP(L$1,main!$A$3:$H$102,4,FALSE),VLOOKUP(L$1,main!$A$3:$H$102,4,FALSE)+VLOOKUP($A88,main!$A$3:$H$102,4,FALSE)+(VLOOKUP(VLOOKUP(L$1,main!$A$3:$H$102,8,FALSE),main!$K$19:$O$22,MATCH(VLOOKUP($A88,main!$A$3:$H$102,7,FALSE),main!$K$18:$O$18,0),0))),0)</f>
        <v>135</v>
      </c>
      <c r="M88">
        <f>IF((gamma!M88),IF(VLOOKUP(M$1,main!$A$3:$H$102,7,FALSE)=VLOOKUP($A88,main!$A$3:$H$102,8,FALSE),VLOOKUP(M$1,main!$A$3:$H$102,4,FALSE),VLOOKUP(M$1,main!$A$3:$H$102,4,FALSE)+VLOOKUP($A88,main!$A$3:$H$102,4,FALSE)+(VLOOKUP(VLOOKUP(M$1,main!$A$3:$H$102,8,FALSE),main!$K$19:$O$22,MATCH(VLOOKUP($A88,main!$A$3:$H$102,7,FALSE),main!$K$18:$O$18,0),0))),0)</f>
        <v>0</v>
      </c>
      <c r="N88">
        <f>IF((gamma!N88),IF(VLOOKUP(N$1,main!$A$3:$H$102,7,FALSE)=VLOOKUP($A88,main!$A$3:$H$102,8,FALSE),VLOOKUP(N$1,main!$A$3:$H$102,4,FALSE),VLOOKUP(N$1,main!$A$3:$H$102,4,FALSE)+VLOOKUP($A88,main!$A$3:$H$102,4,FALSE)+(VLOOKUP(VLOOKUP(N$1,main!$A$3:$H$102,8,FALSE),main!$K$19:$O$22,MATCH(VLOOKUP($A88,main!$A$3:$H$102,7,FALSE),main!$K$18:$O$18,0),0))),0)</f>
        <v>0</v>
      </c>
      <c r="O88">
        <f>IF((gamma!O88),IF(VLOOKUP(O$1,main!$A$3:$H$102,7,FALSE)=VLOOKUP($A88,main!$A$3:$H$102,8,FALSE),VLOOKUP(O$1,main!$A$3:$H$102,4,FALSE),VLOOKUP(O$1,main!$A$3:$H$102,4,FALSE)+VLOOKUP($A88,main!$A$3:$H$102,4,FALSE)+(VLOOKUP(VLOOKUP(O$1,main!$A$3:$H$102,8,FALSE),main!$K$19:$O$22,MATCH(VLOOKUP($A88,main!$A$3:$H$102,7,FALSE),main!$K$18:$O$18,0),0))),0)</f>
        <v>0</v>
      </c>
      <c r="P88">
        <f>IF((gamma!P88),IF(VLOOKUP(P$1,main!$A$3:$H$102,7,FALSE)=VLOOKUP($A88,main!$A$3:$H$102,8,FALSE),VLOOKUP(P$1,main!$A$3:$H$102,4,FALSE),VLOOKUP(P$1,main!$A$3:$H$102,4,FALSE)+VLOOKUP($A88,main!$A$3:$H$102,4,FALSE)+(VLOOKUP(VLOOKUP(P$1,main!$A$3:$H$102,8,FALSE),main!$K$19:$O$22,MATCH(VLOOKUP($A88,main!$A$3:$H$102,7,FALSE),main!$K$18:$O$18,0),0))),0)</f>
        <v>0</v>
      </c>
      <c r="Q88">
        <f>IF((gamma!Q88),IF(VLOOKUP(Q$1,main!$A$3:$H$102,7,FALSE)=VLOOKUP($A88,main!$A$3:$H$102,8,FALSE),VLOOKUP(Q$1,main!$A$3:$H$102,4,FALSE),VLOOKUP(Q$1,main!$A$3:$H$102,4,FALSE)+VLOOKUP($A88,main!$A$3:$H$102,4,FALSE)+(VLOOKUP(VLOOKUP(Q$1,main!$A$3:$H$102,8,FALSE),main!$K$19:$O$22,MATCH(VLOOKUP($A88,main!$A$3:$H$102,7,FALSE),main!$K$18:$O$18,0),0))),0)</f>
        <v>0</v>
      </c>
      <c r="R88">
        <f>IF((gamma!R88),IF(VLOOKUP(R$1,main!$A$3:$H$102,7,FALSE)=VLOOKUP($A88,main!$A$3:$H$102,8,FALSE),VLOOKUP(R$1,main!$A$3:$H$102,4,FALSE),VLOOKUP(R$1,main!$A$3:$H$102,4,FALSE)+VLOOKUP($A88,main!$A$3:$H$102,4,FALSE)+(VLOOKUP(VLOOKUP(R$1,main!$A$3:$H$102,8,FALSE),main!$K$19:$O$22,MATCH(VLOOKUP($A88,main!$A$3:$H$102,7,FALSE),main!$K$18:$O$18,0),0))),0)</f>
        <v>0</v>
      </c>
      <c r="S88">
        <f>IF((gamma!S88),IF(VLOOKUP(S$1,main!$A$3:$H$102,7,FALSE)=VLOOKUP($A88,main!$A$3:$H$102,8,FALSE),VLOOKUP(S$1,main!$A$3:$H$102,4,FALSE),VLOOKUP(S$1,main!$A$3:$H$102,4,FALSE)+VLOOKUP($A88,main!$A$3:$H$102,4,FALSE)+(VLOOKUP(VLOOKUP(S$1,main!$A$3:$H$102,8,FALSE),main!$K$19:$O$22,MATCH(VLOOKUP($A88,main!$A$3:$H$102,7,FALSE),main!$K$18:$O$18,0),0))),0)</f>
        <v>140</v>
      </c>
      <c r="T88">
        <f>IF((gamma!T88),IF(VLOOKUP(T$1,main!$A$3:$H$102,7,FALSE)=VLOOKUP($A88,main!$A$3:$H$102,8,FALSE),VLOOKUP(T$1,main!$A$3:$H$102,4,FALSE),VLOOKUP(T$1,main!$A$3:$H$102,4,FALSE)+VLOOKUP($A88,main!$A$3:$H$102,4,FALSE)+(VLOOKUP(VLOOKUP(T$1,main!$A$3:$H$102,8,FALSE),main!$K$19:$O$22,MATCH(VLOOKUP($A88,main!$A$3:$H$102,7,FALSE),main!$K$18:$O$18,0),0))),0)</f>
        <v>140</v>
      </c>
      <c r="U88">
        <f>IF((gamma!U88),IF(VLOOKUP(U$1,main!$A$3:$H$102,7,FALSE)=VLOOKUP($A88,main!$A$3:$H$102,8,FALSE),VLOOKUP(U$1,main!$A$3:$H$102,4,FALSE),VLOOKUP(U$1,main!$A$3:$H$102,4,FALSE)+VLOOKUP($A88,main!$A$3:$H$102,4,FALSE)+(VLOOKUP(VLOOKUP(U$1,main!$A$3:$H$102,8,FALSE),main!$K$19:$O$22,MATCH(VLOOKUP($A88,main!$A$3:$H$102,7,FALSE),main!$K$18:$O$18,0),0))),0)</f>
        <v>140</v>
      </c>
      <c r="V88">
        <f>IF((gamma!V88),IF(VLOOKUP(V$1,main!$A$3:$H$102,7,FALSE)=VLOOKUP($A88,main!$A$3:$H$102,8,FALSE),VLOOKUP(V$1,main!$A$3:$H$102,4,FALSE),VLOOKUP(V$1,main!$A$3:$H$102,4,FALSE)+VLOOKUP($A88,main!$A$3:$H$102,4,FALSE)+(VLOOKUP(VLOOKUP(V$1,main!$A$3:$H$102,8,FALSE),main!$K$19:$O$22,MATCH(VLOOKUP($A88,main!$A$3:$H$102,7,FALSE),main!$K$18:$O$18,0),0))),0)</f>
        <v>140</v>
      </c>
      <c r="W88">
        <f>IF((gamma!W88),IF(VLOOKUP(W$1,main!$A$3:$H$102,7,FALSE)=VLOOKUP($A88,main!$A$3:$H$102,8,FALSE),VLOOKUP(W$1,main!$A$3:$H$102,4,FALSE),VLOOKUP(W$1,main!$A$3:$H$102,4,FALSE)+VLOOKUP($A88,main!$A$3:$H$102,4,FALSE)+(VLOOKUP(VLOOKUP(W$1,main!$A$3:$H$102,8,FALSE),main!$K$19:$O$22,MATCH(VLOOKUP($A88,main!$A$3:$H$102,7,FALSE),main!$K$18:$O$18,0),0))),0)</f>
        <v>0</v>
      </c>
      <c r="X88">
        <f>IF((gamma!X88),IF(VLOOKUP(X$1,main!$A$3:$H$102,7,FALSE)=VLOOKUP($A88,main!$A$3:$H$102,8,FALSE),VLOOKUP(X$1,main!$A$3:$H$102,4,FALSE),VLOOKUP(X$1,main!$A$3:$H$102,4,FALSE)+VLOOKUP($A88,main!$A$3:$H$102,4,FALSE)+(VLOOKUP(VLOOKUP(X$1,main!$A$3:$H$102,8,FALSE),main!$K$19:$O$22,MATCH(VLOOKUP($A88,main!$A$3:$H$102,7,FALSE),main!$K$18:$O$18,0),0))),0)</f>
        <v>0</v>
      </c>
      <c r="Y88">
        <f>IF((gamma!Y88),IF(VLOOKUP(Y$1,main!$A$3:$H$102,7,FALSE)=VLOOKUP($A88,main!$A$3:$H$102,8,FALSE),VLOOKUP(Y$1,main!$A$3:$H$102,4,FALSE),VLOOKUP(Y$1,main!$A$3:$H$102,4,FALSE)+VLOOKUP($A88,main!$A$3:$H$102,4,FALSE)+(VLOOKUP(VLOOKUP(Y$1,main!$A$3:$H$102,8,FALSE),main!$K$19:$O$22,MATCH(VLOOKUP($A88,main!$A$3:$H$102,7,FALSE),main!$K$18:$O$18,0),0))),0)</f>
        <v>0</v>
      </c>
      <c r="Z88">
        <f>IF((gamma!Z88),IF(VLOOKUP(Z$1,main!$A$3:$H$102,7,FALSE)=VLOOKUP($A88,main!$A$3:$H$102,8,FALSE),VLOOKUP(Z$1,main!$A$3:$H$102,4,FALSE),VLOOKUP(Z$1,main!$A$3:$H$102,4,FALSE)+VLOOKUP($A88,main!$A$3:$H$102,4,FALSE)+(VLOOKUP(VLOOKUP(Z$1,main!$A$3:$H$102,8,FALSE),main!$K$19:$O$22,MATCH(VLOOKUP($A88,main!$A$3:$H$102,7,FALSE),main!$K$18:$O$18,0),0))),0)</f>
        <v>140</v>
      </c>
      <c r="AA88">
        <f>IF((gamma!AA88),IF(VLOOKUP(AA$1,main!$A$3:$H$102,7,FALSE)=VLOOKUP($A88,main!$A$3:$H$102,8,FALSE),VLOOKUP(AA$1,main!$A$3:$H$102,4,FALSE),VLOOKUP(AA$1,main!$A$3:$H$102,4,FALSE)+VLOOKUP($A88,main!$A$3:$H$102,4,FALSE)+(VLOOKUP(VLOOKUP(AA$1,main!$A$3:$H$102,8,FALSE),main!$K$19:$O$22,MATCH(VLOOKUP($A88,main!$A$3:$H$102,7,FALSE),main!$K$18:$O$18,0),0))),0)</f>
        <v>140</v>
      </c>
      <c r="AB88">
        <f>IF((gamma!AB88),IF(VLOOKUP(AB$1,main!$A$3:$H$102,7,FALSE)=VLOOKUP($A88,main!$A$3:$H$102,8,FALSE),VLOOKUP(AB$1,main!$A$3:$H$102,4,FALSE),VLOOKUP(AB$1,main!$A$3:$H$102,4,FALSE)+VLOOKUP($A88,main!$A$3:$H$102,4,FALSE)+(VLOOKUP(VLOOKUP(AB$1,main!$A$3:$H$102,8,FALSE),main!$K$19:$O$22,MATCH(VLOOKUP($A88,main!$A$3:$H$102,7,FALSE),main!$K$18:$O$18,0),0))),0)</f>
        <v>0</v>
      </c>
      <c r="AC88">
        <f>IF((gamma!AC88),IF(VLOOKUP(AC$1,main!$A$3:$H$102,7,FALSE)=VLOOKUP($A88,main!$A$3:$H$102,8,FALSE),VLOOKUP(AC$1,main!$A$3:$H$102,4,FALSE),VLOOKUP(AC$1,main!$A$3:$H$102,4,FALSE)+VLOOKUP($A88,main!$A$3:$H$102,4,FALSE)+(VLOOKUP(VLOOKUP(AC$1,main!$A$3:$H$102,8,FALSE),main!$K$19:$O$22,MATCH(VLOOKUP($A88,main!$A$3:$H$102,7,FALSE),main!$K$18:$O$18,0),0))),0)</f>
        <v>0</v>
      </c>
      <c r="AD88">
        <f>IF((gamma!AD88),IF(VLOOKUP(AD$1,main!$A$3:$H$102,7,FALSE)=VLOOKUP($A88,main!$A$3:$H$102,8,FALSE),VLOOKUP(AD$1,main!$A$3:$H$102,4,FALSE),VLOOKUP(AD$1,main!$A$3:$H$102,4,FALSE)+VLOOKUP($A88,main!$A$3:$H$102,4,FALSE)+(VLOOKUP(VLOOKUP(AD$1,main!$A$3:$H$102,8,FALSE),main!$K$19:$O$22,MATCH(VLOOKUP($A88,main!$A$3:$H$102,7,FALSE),main!$K$18:$O$18,0),0))),0)</f>
        <v>0</v>
      </c>
      <c r="AE88">
        <f>IF((gamma!AE88),IF(VLOOKUP(AE$1,main!$A$3:$H$102,7,FALSE)=VLOOKUP($A88,main!$A$3:$H$102,8,FALSE),VLOOKUP(AE$1,main!$A$3:$H$102,4,FALSE),VLOOKUP(AE$1,main!$A$3:$H$102,4,FALSE)+VLOOKUP($A88,main!$A$3:$H$102,4,FALSE)+(VLOOKUP(VLOOKUP(AE$1,main!$A$3:$H$102,8,FALSE),main!$K$19:$O$22,MATCH(VLOOKUP($A88,main!$A$3:$H$102,7,FALSE),main!$K$18:$O$18,0),0))),0)</f>
        <v>140</v>
      </c>
      <c r="AF88">
        <f>IF((gamma!AF88),IF(VLOOKUP(AF$1,main!$A$3:$H$102,7,FALSE)=VLOOKUP($A88,main!$A$3:$H$102,8,FALSE),VLOOKUP(AF$1,main!$A$3:$H$102,4,FALSE),VLOOKUP(AF$1,main!$A$3:$H$102,4,FALSE)+VLOOKUP($A88,main!$A$3:$H$102,4,FALSE)+(VLOOKUP(VLOOKUP(AF$1,main!$A$3:$H$102,8,FALSE),main!$K$19:$O$22,MATCH(VLOOKUP($A88,main!$A$3:$H$102,7,FALSE),main!$K$18:$O$18,0),0))),0)</f>
        <v>100</v>
      </c>
      <c r="AG88">
        <f>IF((gamma!AG88),IF(VLOOKUP(AG$1,main!$A$3:$H$102,7,FALSE)=VLOOKUP($A88,main!$A$3:$H$102,8,FALSE),VLOOKUP(AG$1,main!$A$3:$H$102,4,FALSE),VLOOKUP(AG$1,main!$A$3:$H$102,4,FALSE)+VLOOKUP($A88,main!$A$3:$H$102,4,FALSE)+(VLOOKUP(VLOOKUP(AG$1,main!$A$3:$H$102,8,FALSE),main!$K$19:$O$22,MATCH(VLOOKUP($A88,main!$A$3:$H$102,7,FALSE),main!$K$18:$O$18,0),0))),0)</f>
        <v>0</v>
      </c>
      <c r="AH88">
        <f>IF((gamma!AH88),IF(VLOOKUP(AH$1,main!$A$3:$H$102,7,FALSE)=VLOOKUP($A88,main!$A$3:$H$102,8,FALSE),VLOOKUP(AH$1,main!$A$3:$H$102,4,FALSE),VLOOKUP(AH$1,main!$A$3:$H$102,4,FALSE)+VLOOKUP($A88,main!$A$3:$H$102,4,FALSE)+(VLOOKUP(VLOOKUP(AH$1,main!$A$3:$H$102,8,FALSE),main!$K$19:$O$22,MATCH(VLOOKUP($A88,main!$A$3:$H$102,7,FALSE),main!$K$18:$O$18,0),0))),0)</f>
        <v>0</v>
      </c>
      <c r="AI88">
        <f>IF((gamma!AI88),IF(VLOOKUP(AI$1,main!$A$3:$H$102,7,FALSE)=VLOOKUP($A88,main!$A$3:$H$102,8,FALSE),VLOOKUP(AI$1,main!$A$3:$H$102,4,FALSE),VLOOKUP(AI$1,main!$A$3:$H$102,4,FALSE)+VLOOKUP($A88,main!$A$3:$H$102,4,FALSE)+(VLOOKUP(VLOOKUP(AI$1,main!$A$3:$H$102,8,FALSE),main!$K$19:$O$22,MATCH(VLOOKUP($A88,main!$A$3:$H$102,7,FALSE),main!$K$18:$O$18,0),0))),0)</f>
        <v>0</v>
      </c>
      <c r="AJ88">
        <f>IF((gamma!AJ88),IF(VLOOKUP(AJ$1,main!$A$3:$H$102,7,FALSE)=VLOOKUP($A88,main!$A$3:$H$102,8,FALSE),VLOOKUP(AJ$1,main!$A$3:$H$102,4,FALSE),VLOOKUP(AJ$1,main!$A$3:$H$102,4,FALSE)+VLOOKUP($A88,main!$A$3:$H$102,4,FALSE)+(VLOOKUP(VLOOKUP(AJ$1,main!$A$3:$H$102,8,FALSE),main!$K$19:$O$22,MATCH(VLOOKUP($A88,main!$A$3:$H$102,7,FALSE),main!$K$18:$O$18,0),0))),0)</f>
        <v>0</v>
      </c>
      <c r="AK88">
        <f>IF((gamma!AK88),IF(VLOOKUP(AK$1,main!$A$3:$H$102,7,FALSE)=VLOOKUP($A88,main!$A$3:$H$102,8,FALSE),VLOOKUP(AK$1,main!$A$3:$H$102,4,FALSE),VLOOKUP(AK$1,main!$A$3:$H$102,4,FALSE)+VLOOKUP($A88,main!$A$3:$H$102,4,FALSE)+(VLOOKUP(VLOOKUP(AK$1,main!$A$3:$H$102,8,FALSE),main!$K$19:$O$22,MATCH(VLOOKUP($A88,main!$A$3:$H$102,7,FALSE),main!$K$18:$O$18,0),0))),0)</f>
        <v>238</v>
      </c>
      <c r="AL88">
        <f>IF((gamma!AL88),IF(VLOOKUP(AL$1,main!$A$3:$H$102,7,FALSE)=VLOOKUP($A88,main!$A$3:$H$102,8,FALSE),VLOOKUP(AL$1,main!$A$3:$H$102,4,FALSE),VLOOKUP(AL$1,main!$A$3:$H$102,4,FALSE)+VLOOKUP($A88,main!$A$3:$H$102,4,FALSE)+(VLOOKUP(VLOOKUP(AL$1,main!$A$3:$H$102,8,FALSE),main!$K$19:$O$22,MATCH(VLOOKUP($A88,main!$A$3:$H$102,7,FALSE),main!$K$18:$O$18,0),0))),0)</f>
        <v>238</v>
      </c>
      <c r="AM88">
        <f>IF((gamma!AM88),IF(VLOOKUP(AM$1,main!$A$3:$H$102,7,FALSE)=VLOOKUP($A88,main!$A$3:$H$102,8,FALSE),VLOOKUP(AM$1,main!$A$3:$H$102,4,FALSE),VLOOKUP(AM$1,main!$A$3:$H$102,4,FALSE)+VLOOKUP($A88,main!$A$3:$H$102,4,FALSE)+(VLOOKUP(VLOOKUP(AM$1,main!$A$3:$H$102,8,FALSE),main!$K$19:$O$22,MATCH(VLOOKUP($A88,main!$A$3:$H$102,7,FALSE),main!$K$18:$O$18,0),0))),0)</f>
        <v>238</v>
      </c>
      <c r="AN88">
        <f>IF((gamma!AN88),IF(VLOOKUP(AN$1,main!$A$3:$H$102,7,FALSE)=VLOOKUP($A88,main!$A$3:$H$102,8,FALSE),VLOOKUP(AN$1,main!$A$3:$H$102,4,FALSE),VLOOKUP(AN$1,main!$A$3:$H$102,4,FALSE)+VLOOKUP($A88,main!$A$3:$H$102,4,FALSE)+(VLOOKUP(VLOOKUP(AN$1,main!$A$3:$H$102,8,FALSE),main!$K$19:$O$22,MATCH(VLOOKUP($A88,main!$A$3:$H$102,7,FALSE),main!$K$18:$O$18,0),0))),0)</f>
        <v>238</v>
      </c>
      <c r="AO88">
        <f>IF((gamma!AO88),IF(VLOOKUP(AO$1,main!$A$3:$H$102,7,FALSE)=VLOOKUP($A88,main!$A$3:$H$102,8,FALSE),VLOOKUP(AO$1,main!$A$3:$H$102,4,FALSE),VLOOKUP(AO$1,main!$A$3:$H$102,4,FALSE)+VLOOKUP($A88,main!$A$3:$H$102,4,FALSE)+(VLOOKUP(VLOOKUP(AO$1,main!$A$3:$H$102,8,FALSE),main!$K$19:$O$22,MATCH(VLOOKUP($A88,main!$A$3:$H$102,7,FALSE),main!$K$18:$O$18,0),0))),0)</f>
        <v>0</v>
      </c>
      <c r="AP88">
        <f>IF((gamma!AP88),IF(VLOOKUP(AP$1,main!$A$3:$H$102,7,FALSE)=VLOOKUP($A88,main!$A$3:$H$102,8,FALSE),VLOOKUP(AP$1,main!$A$3:$H$102,4,FALSE),VLOOKUP(AP$1,main!$A$3:$H$102,4,FALSE)+VLOOKUP($A88,main!$A$3:$H$102,4,FALSE)+(VLOOKUP(VLOOKUP(AP$1,main!$A$3:$H$102,8,FALSE),main!$K$19:$O$22,MATCH(VLOOKUP($A88,main!$A$3:$H$102,7,FALSE),main!$K$18:$O$18,0),0))),0)</f>
        <v>178</v>
      </c>
      <c r="AQ88">
        <f>IF((gamma!AQ88),IF(VLOOKUP(AQ$1,main!$A$3:$H$102,7,FALSE)=VLOOKUP($A88,main!$A$3:$H$102,8,FALSE),VLOOKUP(AQ$1,main!$A$3:$H$102,4,FALSE),VLOOKUP(AQ$1,main!$A$3:$H$102,4,FALSE)+VLOOKUP($A88,main!$A$3:$H$102,4,FALSE)+(VLOOKUP(VLOOKUP(AQ$1,main!$A$3:$H$102,8,FALSE),main!$K$19:$O$22,MATCH(VLOOKUP($A88,main!$A$3:$H$102,7,FALSE),main!$K$18:$O$18,0),0))),0)</f>
        <v>0</v>
      </c>
      <c r="AR88">
        <f>IF((gamma!AR88),IF(VLOOKUP(AR$1,main!$A$3:$H$102,7,FALSE)=VLOOKUP($A88,main!$A$3:$H$102,8,FALSE),VLOOKUP(AR$1,main!$A$3:$H$102,4,FALSE),VLOOKUP(AR$1,main!$A$3:$H$102,4,FALSE)+VLOOKUP($A88,main!$A$3:$H$102,4,FALSE)+(VLOOKUP(VLOOKUP(AR$1,main!$A$3:$H$102,8,FALSE),main!$K$19:$O$22,MATCH(VLOOKUP($A88,main!$A$3:$H$102,7,FALSE),main!$K$18:$O$18,0),0))),0)</f>
        <v>0</v>
      </c>
      <c r="AS88">
        <f>IF((gamma!AS88),IF(VLOOKUP(AS$1,main!$A$3:$H$102,7,FALSE)=VLOOKUP($A88,main!$A$3:$H$102,8,FALSE),VLOOKUP(AS$1,main!$A$3:$H$102,4,FALSE),VLOOKUP(AS$1,main!$A$3:$H$102,4,FALSE)+VLOOKUP($A88,main!$A$3:$H$102,4,FALSE)+(VLOOKUP(VLOOKUP(AS$1,main!$A$3:$H$102,8,FALSE),main!$K$19:$O$22,MATCH(VLOOKUP($A88,main!$A$3:$H$102,7,FALSE),main!$K$18:$O$18,0),0))),0)</f>
        <v>0</v>
      </c>
      <c r="AT88">
        <f>IF((gamma!AT88),IF(VLOOKUP(AT$1,main!$A$3:$H$102,7,FALSE)=VLOOKUP($A88,main!$A$3:$H$102,8,FALSE),VLOOKUP(AT$1,main!$A$3:$H$102,4,FALSE),VLOOKUP(AT$1,main!$A$3:$H$102,4,FALSE)+VLOOKUP($A88,main!$A$3:$H$102,4,FALSE)+(VLOOKUP(VLOOKUP(AT$1,main!$A$3:$H$102,8,FALSE),main!$K$19:$O$22,MATCH(VLOOKUP($A88,main!$A$3:$H$102,7,FALSE),main!$K$18:$O$18,0),0))),0)</f>
        <v>231</v>
      </c>
      <c r="AU88">
        <f>IF((gamma!AU88),IF(VLOOKUP(AU$1,main!$A$3:$H$102,7,FALSE)=VLOOKUP($A88,main!$A$3:$H$102,8,FALSE),VLOOKUP(AU$1,main!$A$3:$H$102,4,FALSE),VLOOKUP(AU$1,main!$A$3:$H$102,4,FALSE)+VLOOKUP($A88,main!$A$3:$H$102,4,FALSE)+(VLOOKUP(VLOOKUP(AU$1,main!$A$3:$H$102,8,FALSE),main!$K$19:$O$22,MATCH(VLOOKUP($A88,main!$A$3:$H$102,7,FALSE),main!$K$18:$O$18,0),0))),0)</f>
        <v>0</v>
      </c>
      <c r="AV88">
        <f>IF((gamma!AV88),IF(VLOOKUP(AV$1,main!$A$3:$H$102,7,FALSE)=VLOOKUP($A88,main!$A$3:$H$102,8,FALSE),VLOOKUP(AV$1,main!$A$3:$H$102,4,FALSE),VLOOKUP(AV$1,main!$A$3:$H$102,4,FALSE)+VLOOKUP($A88,main!$A$3:$H$102,4,FALSE)+(VLOOKUP(VLOOKUP(AV$1,main!$A$3:$H$102,8,FALSE),main!$K$19:$O$22,MATCH(VLOOKUP($A88,main!$A$3:$H$102,7,FALSE),main!$K$18:$O$18,0),0))),0)</f>
        <v>0</v>
      </c>
      <c r="AW88">
        <f>IF((gamma!AW88),IF(VLOOKUP(AW$1,main!$A$3:$H$102,7,FALSE)=VLOOKUP($A88,main!$A$3:$H$102,8,FALSE),VLOOKUP(AW$1,main!$A$3:$H$102,4,FALSE),VLOOKUP(AW$1,main!$A$3:$H$102,4,FALSE)+VLOOKUP($A88,main!$A$3:$H$102,4,FALSE)+(VLOOKUP(VLOOKUP(AW$1,main!$A$3:$H$102,8,FALSE),main!$K$19:$O$22,MATCH(VLOOKUP($A88,main!$A$3:$H$102,7,FALSE),main!$K$18:$O$18,0),0))),0)</f>
        <v>221</v>
      </c>
      <c r="AX88">
        <f>IF((gamma!AX88),IF(VLOOKUP(AX$1,main!$A$3:$H$102,7,FALSE)=VLOOKUP($A88,main!$A$3:$H$102,8,FALSE),VLOOKUP(AX$1,main!$A$3:$H$102,4,FALSE),VLOOKUP(AX$1,main!$A$3:$H$102,4,FALSE)+VLOOKUP($A88,main!$A$3:$H$102,4,FALSE)+(VLOOKUP(VLOOKUP(AX$1,main!$A$3:$H$102,8,FALSE),main!$K$19:$O$22,MATCH(VLOOKUP($A88,main!$A$3:$H$102,7,FALSE),main!$K$18:$O$18,0),0))),0)</f>
        <v>0</v>
      </c>
      <c r="AY88">
        <f>IF((gamma!AY88),IF(VLOOKUP(AY$1,main!$A$3:$H$102,7,FALSE)=VLOOKUP($A88,main!$A$3:$H$102,8,FALSE),VLOOKUP(AY$1,main!$A$3:$H$102,4,FALSE),VLOOKUP(AY$1,main!$A$3:$H$102,4,FALSE)+VLOOKUP($A88,main!$A$3:$H$102,4,FALSE)+(VLOOKUP(VLOOKUP(AY$1,main!$A$3:$H$102,8,FALSE),main!$K$19:$O$22,MATCH(VLOOKUP($A88,main!$A$3:$H$102,7,FALSE),main!$K$18:$O$18,0),0))),0)</f>
        <v>0</v>
      </c>
      <c r="AZ88">
        <f>IF((gamma!AZ88),IF(VLOOKUP(AZ$1,main!$A$3:$H$102,7,FALSE)=VLOOKUP($A88,main!$A$3:$H$102,8,FALSE),VLOOKUP(AZ$1,main!$A$3:$H$102,4,FALSE),VLOOKUP(AZ$1,main!$A$3:$H$102,4,FALSE)+VLOOKUP($A88,main!$A$3:$H$102,4,FALSE)+(VLOOKUP(VLOOKUP(AZ$1,main!$A$3:$H$102,8,FALSE),main!$K$19:$O$22,MATCH(VLOOKUP($A88,main!$A$3:$H$102,7,FALSE),main!$K$18:$O$18,0),0))),0)</f>
        <v>0</v>
      </c>
      <c r="BA88">
        <f>IF((gamma!BA88),IF(VLOOKUP(BA$1,main!$A$3:$H$102,7,FALSE)=VLOOKUP($A88,main!$A$3:$H$102,8,FALSE),VLOOKUP(BA$1,main!$A$3:$H$102,4,FALSE),VLOOKUP(BA$1,main!$A$3:$H$102,4,FALSE)+VLOOKUP($A88,main!$A$3:$H$102,4,FALSE)+(VLOOKUP(VLOOKUP(BA$1,main!$A$3:$H$102,8,FALSE),main!$K$19:$O$22,MATCH(VLOOKUP($A88,main!$A$3:$H$102,7,FALSE),main!$K$18:$O$18,0),0))),0)</f>
        <v>0</v>
      </c>
      <c r="BB88">
        <f>IF((gamma!BB88),IF(VLOOKUP(BB$1,main!$A$3:$H$102,7,FALSE)=VLOOKUP($A88,main!$A$3:$H$102,8,FALSE),VLOOKUP(BB$1,main!$A$3:$H$102,4,FALSE),VLOOKUP(BB$1,main!$A$3:$H$102,4,FALSE)+VLOOKUP($A88,main!$A$3:$H$102,4,FALSE)+(VLOOKUP(VLOOKUP(BB$1,main!$A$3:$H$102,8,FALSE),main!$K$19:$O$22,MATCH(VLOOKUP($A88,main!$A$3:$H$102,7,FALSE),main!$K$18:$O$18,0),0))),0)</f>
        <v>0</v>
      </c>
      <c r="BC88">
        <f>IF((gamma!BC88),IF(VLOOKUP(BC$1,main!$A$3:$H$102,7,FALSE)=VLOOKUP($A88,main!$A$3:$H$102,8,FALSE),VLOOKUP(BC$1,main!$A$3:$H$102,4,FALSE),VLOOKUP(BC$1,main!$A$3:$H$102,4,FALSE)+VLOOKUP($A88,main!$A$3:$H$102,4,FALSE)+(VLOOKUP(VLOOKUP(BC$1,main!$A$3:$H$102,8,FALSE),main!$K$19:$O$22,MATCH(VLOOKUP($A88,main!$A$3:$H$102,7,FALSE),main!$K$18:$O$18,0),0))),0)</f>
        <v>0</v>
      </c>
      <c r="BD88">
        <f>IF((gamma!BD88),IF(VLOOKUP(BD$1,main!$A$3:$H$102,7,FALSE)=VLOOKUP($A88,main!$A$3:$H$102,8,FALSE),VLOOKUP(BD$1,main!$A$3:$H$102,4,FALSE),VLOOKUP(BD$1,main!$A$3:$H$102,4,FALSE)+VLOOKUP($A88,main!$A$3:$H$102,4,FALSE)+(VLOOKUP(VLOOKUP(BD$1,main!$A$3:$H$102,8,FALSE),main!$K$19:$O$22,MATCH(VLOOKUP($A88,main!$A$3:$H$102,7,FALSE),main!$K$18:$O$18,0),0))),0)</f>
        <v>243</v>
      </c>
      <c r="BE88">
        <f>IF((gamma!BE88),IF(VLOOKUP(BE$1,main!$A$3:$H$102,7,FALSE)=VLOOKUP($A88,main!$A$3:$H$102,8,FALSE),VLOOKUP(BE$1,main!$A$3:$H$102,4,FALSE),VLOOKUP(BE$1,main!$A$3:$H$102,4,FALSE)+VLOOKUP($A88,main!$A$3:$H$102,4,FALSE)+(VLOOKUP(VLOOKUP(BE$1,main!$A$3:$H$102,8,FALSE),main!$K$19:$O$22,MATCH(VLOOKUP($A88,main!$A$3:$H$102,7,FALSE),main!$K$18:$O$18,0),0))),0)</f>
        <v>243</v>
      </c>
      <c r="BF88">
        <f>IF((gamma!BF88),IF(VLOOKUP(BF$1,main!$A$3:$H$102,7,FALSE)=VLOOKUP($A88,main!$A$3:$H$102,8,FALSE),VLOOKUP(BF$1,main!$A$3:$H$102,4,FALSE),VLOOKUP(BF$1,main!$A$3:$H$102,4,FALSE)+VLOOKUP($A88,main!$A$3:$H$102,4,FALSE)+(VLOOKUP(VLOOKUP(BF$1,main!$A$3:$H$102,8,FALSE),main!$K$19:$O$22,MATCH(VLOOKUP($A88,main!$A$3:$H$102,7,FALSE),main!$K$18:$O$18,0),0))),0)</f>
        <v>0</v>
      </c>
      <c r="BG88">
        <f>IF((gamma!BG88),IF(VLOOKUP(BG$1,main!$A$3:$H$102,7,FALSE)=VLOOKUP($A88,main!$A$3:$H$102,8,FALSE),VLOOKUP(BG$1,main!$A$3:$H$102,4,FALSE),VLOOKUP(BG$1,main!$A$3:$H$102,4,FALSE)+VLOOKUP($A88,main!$A$3:$H$102,4,FALSE)+(VLOOKUP(VLOOKUP(BG$1,main!$A$3:$H$102,8,FALSE),main!$K$19:$O$22,MATCH(VLOOKUP($A88,main!$A$3:$H$102,7,FALSE),main!$K$18:$O$18,0),0))),0)</f>
        <v>0</v>
      </c>
      <c r="BH88">
        <f>IF((gamma!BH88),IF(VLOOKUP(BH$1,main!$A$3:$H$102,7,FALSE)=VLOOKUP($A88,main!$A$3:$H$102,8,FALSE),VLOOKUP(BH$1,main!$A$3:$H$102,4,FALSE),VLOOKUP(BH$1,main!$A$3:$H$102,4,FALSE)+VLOOKUP($A88,main!$A$3:$H$102,4,FALSE)+(VLOOKUP(VLOOKUP(BH$1,main!$A$3:$H$102,8,FALSE),main!$K$19:$O$22,MATCH(VLOOKUP($A88,main!$A$3:$H$102,7,FALSE),main!$K$18:$O$18,0),0))),0)</f>
        <v>0</v>
      </c>
      <c r="BI88">
        <f>IF((gamma!BI88),IF(VLOOKUP(BI$1,main!$A$3:$H$102,7,FALSE)=VLOOKUP($A88,main!$A$3:$H$102,8,FALSE),VLOOKUP(BI$1,main!$A$3:$H$102,4,FALSE),VLOOKUP(BI$1,main!$A$3:$H$102,4,FALSE)+VLOOKUP($A88,main!$A$3:$H$102,4,FALSE)+(VLOOKUP(VLOOKUP(BI$1,main!$A$3:$H$102,8,FALSE),main!$K$19:$O$22,MATCH(VLOOKUP($A88,main!$A$3:$H$102,7,FALSE),main!$K$18:$O$18,0),0))),0)</f>
        <v>163</v>
      </c>
      <c r="BJ88">
        <f>IF((gamma!BJ88),IF(VLOOKUP(BJ$1,main!$A$3:$H$102,7,FALSE)=VLOOKUP($A88,main!$A$3:$H$102,8,FALSE),VLOOKUP(BJ$1,main!$A$3:$H$102,4,FALSE),VLOOKUP(BJ$1,main!$A$3:$H$102,4,FALSE)+VLOOKUP($A88,main!$A$3:$H$102,4,FALSE)+(VLOOKUP(VLOOKUP(BJ$1,main!$A$3:$H$102,8,FALSE),main!$K$19:$O$22,MATCH(VLOOKUP($A88,main!$A$3:$H$102,7,FALSE),main!$K$18:$O$18,0),0))),0)</f>
        <v>193</v>
      </c>
      <c r="BK88">
        <f>IF((gamma!BK88),IF(VLOOKUP(BK$1,main!$A$3:$H$102,7,FALSE)=VLOOKUP($A88,main!$A$3:$H$102,8,FALSE),VLOOKUP(BK$1,main!$A$3:$H$102,4,FALSE),VLOOKUP(BK$1,main!$A$3:$H$102,4,FALSE)+VLOOKUP($A88,main!$A$3:$H$102,4,FALSE)+(VLOOKUP(VLOOKUP(BK$1,main!$A$3:$H$102,8,FALSE),main!$K$19:$O$22,MATCH(VLOOKUP($A88,main!$A$3:$H$102,7,FALSE),main!$K$18:$O$18,0),0))),0)</f>
        <v>0</v>
      </c>
      <c r="BL88">
        <f>IF((gamma!BL88),IF(VLOOKUP(BL$1,main!$A$3:$H$102,7,FALSE)=VLOOKUP($A88,main!$A$3:$H$102,8,FALSE),VLOOKUP(BL$1,main!$A$3:$H$102,4,FALSE),VLOOKUP(BL$1,main!$A$3:$H$102,4,FALSE)+VLOOKUP($A88,main!$A$3:$H$102,4,FALSE)+(VLOOKUP(VLOOKUP(BL$1,main!$A$3:$H$102,8,FALSE),main!$K$19:$O$22,MATCH(VLOOKUP($A88,main!$A$3:$H$102,7,FALSE),main!$K$18:$O$18,0),0))),0)</f>
        <v>0</v>
      </c>
      <c r="BM88">
        <f>IF((gamma!BM88),IF(VLOOKUP(BM$1,main!$A$3:$H$102,7,FALSE)=VLOOKUP($A88,main!$A$3:$H$102,8,FALSE),VLOOKUP(BM$1,main!$A$3:$H$102,4,FALSE),VLOOKUP(BM$1,main!$A$3:$H$102,4,FALSE)+VLOOKUP($A88,main!$A$3:$H$102,4,FALSE)+(VLOOKUP(VLOOKUP(BM$1,main!$A$3:$H$102,8,FALSE),main!$K$19:$O$22,MATCH(VLOOKUP($A88,main!$A$3:$H$102,7,FALSE),main!$K$18:$O$18,0),0))),0)</f>
        <v>0</v>
      </c>
      <c r="BN88">
        <f>IF((gamma!BN88),IF(VLOOKUP(BN$1,main!$A$3:$H$102,7,FALSE)=VLOOKUP($A88,main!$A$3:$H$102,8,FALSE),VLOOKUP(BN$1,main!$A$3:$H$102,4,FALSE),VLOOKUP(BN$1,main!$A$3:$H$102,4,FALSE)+VLOOKUP($A88,main!$A$3:$H$102,4,FALSE)+(VLOOKUP(VLOOKUP(BN$1,main!$A$3:$H$102,8,FALSE),main!$K$19:$O$22,MATCH(VLOOKUP($A88,main!$A$3:$H$102,7,FALSE),main!$K$18:$O$18,0),0))),0)</f>
        <v>0</v>
      </c>
      <c r="BO88">
        <f>IF((gamma!BO88),IF(VLOOKUP(BO$1,main!$A$3:$H$102,7,FALSE)=VLOOKUP($A88,main!$A$3:$H$102,8,FALSE),VLOOKUP(BO$1,main!$A$3:$H$102,4,FALSE),VLOOKUP(BO$1,main!$A$3:$H$102,4,FALSE)+VLOOKUP($A88,main!$A$3:$H$102,4,FALSE)+(VLOOKUP(VLOOKUP(BO$1,main!$A$3:$H$102,8,FALSE),main!$K$19:$O$22,MATCH(VLOOKUP($A88,main!$A$3:$H$102,7,FALSE),main!$K$18:$O$18,0),0))),0)</f>
        <v>0</v>
      </c>
      <c r="BP88">
        <f>IF((gamma!BP88),IF(VLOOKUP(BP$1,main!$A$3:$H$102,7,FALSE)=VLOOKUP($A88,main!$A$3:$H$102,8,FALSE),VLOOKUP(BP$1,main!$A$3:$H$102,4,FALSE),VLOOKUP(BP$1,main!$A$3:$H$102,4,FALSE)+VLOOKUP($A88,main!$A$3:$H$102,4,FALSE)+(VLOOKUP(VLOOKUP(BP$1,main!$A$3:$H$102,8,FALSE),main!$K$19:$O$22,MATCH(VLOOKUP($A88,main!$A$3:$H$102,7,FALSE),main!$K$18:$O$18,0),0))),0)</f>
        <v>0</v>
      </c>
      <c r="BQ88">
        <f>IF((gamma!BQ88),IF(VLOOKUP(BQ$1,main!$A$3:$H$102,7,FALSE)=VLOOKUP($A88,main!$A$3:$H$102,8,FALSE),VLOOKUP(BQ$1,main!$A$3:$H$102,4,FALSE),VLOOKUP(BQ$1,main!$A$3:$H$102,4,FALSE)+VLOOKUP($A88,main!$A$3:$H$102,4,FALSE)+(VLOOKUP(VLOOKUP(BQ$1,main!$A$3:$H$102,8,FALSE),main!$K$19:$O$22,MATCH(VLOOKUP($A88,main!$A$3:$H$102,7,FALSE),main!$K$18:$O$18,0),0))),0)</f>
        <v>0</v>
      </c>
      <c r="BR88">
        <f>IF((gamma!BR88),IF(VLOOKUP(BR$1,main!$A$3:$H$102,7,FALSE)=VLOOKUP($A88,main!$A$3:$H$102,8,FALSE),VLOOKUP(BR$1,main!$A$3:$H$102,4,FALSE),VLOOKUP(BR$1,main!$A$3:$H$102,4,FALSE)+VLOOKUP($A88,main!$A$3:$H$102,4,FALSE)+(VLOOKUP(VLOOKUP(BR$1,main!$A$3:$H$102,8,FALSE),main!$K$19:$O$22,MATCH(VLOOKUP($A88,main!$A$3:$H$102,7,FALSE),main!$K$18:$O$18,0),0))),0)</f>
        <v>0</v>
      </c>
      <c r="BS88">
        <f>IF((gamma!BS88),IF(VLOOKUP(BS$1,main!$A$3:$H$102,7,FALSE)=VLOOKUP($A88,main!$A$3:$H$102,8,FALSE),VLOOKUP(BS$1,main!$A$3:$H$102,4,FALSE),VLOOKUP(BS$1,main!$A$3:$H$102,4,FALSE)+VLOOKUP($A88,main!$A$3:$H$102,4,FALSE)+(VLOOKUP(VLOOKUP(BS$1,main!$A$3:$H$102,8,FALSE),main!$K$19:$O$22,MATCH(VLOOKUP($A88,main!$A$3:$H$102,7,FALSE),main!$K$18:$O$18,0),0))),0)</f>
        <v>0</v>
      </c>
      <c r="BT88">
        <f>IF((gamma!BT88),IF(VLOOKUP(BT$1,main!$A$3:$H$102,7,FALSE)=VLOOKUP($A88,main!$A$3:$H$102,8,FALSE),VLOOKUP(BT$1,main!$A$3:$H$102,4,FALSE),VLOOKUP(BT$1,main!$A$3:$H$102,4,FALSE)+VLOOKUP($A88,main!$A$3:$H$102,4,FALSE)+(VLOOKUP(VLOOKUP(BT$1,main!$A$3:$H$102,8,FALSE),main!$K$19:$O$22,MATCH(VLOOKUP($A88,main!$A$3:$H$102,7,FALSE),main!$K$18:$O$18,0),0))),0)</f>
        <v>0</v>
      </c>
      <c r="BU88">
        <f>IF((gamma!BU88),IF(VLOOKUP(BU$1,main!$A$3:$H$102,7,FALSE)=VLOOKUP($A88,main!$A$3:$H$102,8,FALSE),VLOOKUP(BU$1,main!$A$3:$H$102,4,FALSE),VLOOKUP(BU$1,main!$A$3:$H$102,4,FALSE)+VLOOKUP($A88,main!$A$3:$H$102,4,FALSE)+(VLOOKUP(VLOOKUP(BU$1,main!$A$3:$H$102,8,FALSE),main!$K$19:$O$22,MATCH(VLOOKUP($A88,main!$A$3:$H$102,7,FALSE),main!$K$18:$O$18,0),0))),0)</f>
        <v>0</v>
      </c>
      <c r="BV88">
        <f>IF((gamma!BV88),IF(VLOOKUP(BV$1,main!$A$3:$H$102,7,FALSE)=VLOOKUP($A88,main!$A$3:$H$102,8,FALSE),VLOOKUP(BV$1,main!$A$3:$H$102,4,FALSE),VLOOKUP(BV$1,main!$A$3:$H$102,4,FALSE)+VLOOKUP($A88,main!$A$3:$H$102,4,FALSE)+(VLOOKUP(VLOOKUP(BV$1,main!$A$3:$H$102,8,FALSE),main!$K$19:$O$22,MATCH(VLOOKUP($A88,main!$A$3:$H$102,7,FALSE),main!$K$18:$O$18,0),0))),0)</f>
        <v>0</v>
      </c>
      <c r="BW88">
        <f>IF((gamma!BW88),IF(VLOOKUP(BW$1,main!$A$3:$H$102,7,FALSE)=VLOOKUP($A88,main!$A$3:$H$102,8,FALSE),VLOOKUP(BW$1,main!$A$3:$H$102,4,FALSE),VLOOKUP(BW$1,main!$A$3:$H$102,4,FALSE)+VLOOKUP($A88,main!$A$3:$H$102,4,FALSE)+(VLOOKUP(VLOOKUP(BW$1,main!$A$3:$H$102,8,FALSE),main!$K$19:$O$22,MATCH(VLOOKUP($A88,main!$A$3:$H$102,7,FALSE),main!$K$18:$O$18,0),0))),0)</f>
        <v>0</v>
      </c>
      <c r="BX88">
        <f>IF((gamma!BX88),IF(VLOOKUP(BX$1,main!$A$3:$H$102,7,FALSE)=VLOOKUP($A88,main!$A$3:$H$102,8,FALSE),VLOOKUP(BX$1,main!$A$3:$H$102,4,FALSE),VLOOKUP(BX$1,main!$A$3:$H$102,4,FALSE)+VLOOKUP($A88,main!$A$3:$H$102,4,FALSE)+(VLOOKUP(VLOOKUP(BX$1,main!$A$3:$H$102,8,FALSE),main!$K$19:$O$22,MATCH(VLOOKUP($A88,main!$A$3:$H$102,7,FALSE),main!$K$18:$O$18,0),0))),0)</f>
        <v>0</v>
      </c>
      <c r="BY88">
        <f>IF((gamma!BY88),IF(VLOOKUP(BY$1,main!$A$3:$H$102,7,FALSE)=VLOOKUP($A88,main!$A$3:$H$102,8,FALSE),VLOOKUP(BY$1,main!$A$3:$H$102,4,FALSE),VLOOKUP(BY$1,main!$A$3:$H$102,4,FALSE)+VLOOKUP($A88,main!$A$3:$H$102,4,FALSE)+(VLOOKUP(VLOOKUP(BY$1,main!$A$3:$H$102,8,FALSE),main!$K$19:$O$22,MATCH(VLOOKUP($A88,main!$A$3:$H$102,7,FALSE),main!$K$18:$O$18,0),0))),0)</f>
        <v>0</v>
      </c>
      <c r="BZ88">
        <f>IF((gamma!BZ88),IF(VLOOKUP(BZ$1,main!$A$3:$H$102,7,FALSE)=VLOOKUP($A88,main!$A$3:$H$102,8,FALSE),VLOOKUP(BZ$1,main!$A$3:$H$102,4,FALSE),VLOOKUP(BZ$1,main!$A$3:$H$102,4,FALSE)+VLOOKUP($A88,main!$A$3:$H$102,4,FALSE)+(VLOOKUP(VLOOKUP(BZ$1,main!$A$3:$H$102,8,FALSE),main!$K$19:$O$22,MATCH(VLOOKUP($A88,main!$A$3:$H$102,7,FALSE),main!$K$18:$O$18,0),0))),0)</f>
        <v>0</v>
      </c>
      <c r="CA88">
        <f>IF((gamma!CA88),IF(VLOOKUP(CA$1,main!$A$3:$H$102,7,FALSE)=VLOOKUP($A88,main!$A$3:$H$102,8,FALSE),VLOOKUP(CA$1,main!$A$3:$H$102,4,FALSE),VLOOKUP(CA$1,main!$A$3:$H$102,4,FALSE)+VLOOKUP($A88,main!$A$3:$H$102,4,FALSE)+(VLOOKUP(VLOOKUP(CA$1,main!$A$3:$H$102,8,FALSE),main!$K$19:$O$22,MATCH(VLOOKUP($A88,main!$A$3:$H$102,7,FALSE),main!$K$18:$O$18,0),0))),0)</f>
        <v>0</v>
      </c>
      <c r="CB88">
        <f>IF((gamma!CB88),IF(VLOOKUP(CB$1,main!$A$3:$H$102,7,FALSE)=VLOOKUP($A88,main!$A$3:$H$102,8,FALSE),VLOOKUP(CB$1,main!$A$3:$H$102,4,FALSE),VLOOKUP(CB$1,main!$A$3:$H$102,4,FALSE)+VLOOKUP($A88,main!$A$3:$H$102,4,FALSE)+(VLOOKUP(VLOOKUP(CB$1,main!$A$3:$H$102,8,FALSE),main!$K$19:$O$22,MATCH(VLOOKUP($A88,main!$A$3:$H$102,7,FALSE),main!$K$18:$O$18,0),0))),0)</f>
        <v>133</v>
      </c>
      <c r="CC88">
        <f>IF((gamma!CC88),IF(VLOOKUP(CC$1,main!$A$3:$H$102,7,FALSE)=VLOOKUP($A88,main!$A$3:$H$102,8,FALSE),VLOOKUP(CC$1,main!$A$3:$H$102,4,FALSE),VLOOKUP(CC$1,main!$A$3:$H$102,4,FALSE)+VLOOKUP($A88,main!$A$3:$H$102,4,FALSE)+(VLOOKUP(VLOOKUP(CC$1,main!$A$3:$H$102,8,FALSE),main!$K$19:$O$22,MATCH(VLOOKUP($A88,main!$A$3:$H$102,7,FALSE),main!$K$18:$O$18,0),0))),0)</f>
        <v>123</v>
      </c>
      <c r="CD88">
        <f>IF((gamma!CD88),IF(VLOOKUP(CD$1,main!$A$3:$H$102,7,FALSE)=VLOOKUP($A88,main!$A$3:$H$102,8,FALSE),VLOOKUP(CD$1,main!$A$3:$H$102,4,FALSE),VLOOKUP(CD$1,main!$A$3:$H$102,4,FALSE)+VLOOKUP($A88,main!$A$3:$H$102,4,FALSE)+(VLOOKUP(VLOOKUP(CD$1,main!$A$3:$H$102,8,FALSE),main!$K$19:$O$22,MATCH(VLOOKUP($A88,main!$A$3:$H$102,7,FALSE),main!$K$18:$O$18,0),0))),0)</f>
        <v>0</v>
      </c>
      <c r="CE88">
        <f>IF((gamma!CE88),IF(VLOOKUP(CE$1,main!$A$3:$H$102,7,FALSE)=VLOOKUP($A88,main!$A$3:$H$102,8,FALSE),VLOOKUP(CE$1,main!$A$3:$H$102,4,FALSE),VLOOKUP(CE$1,main!$A$3:$H$102,4,FALSE)+VLOOKUP($A88,main!$A$3:$H$102,4,FALSE)+(VLOOKUP(VLOOKUP(CE$1,main!$A$3:$H$102,8,FALSE),main!$K$19:$O$22,MATCH(VLOOKUP($A88,main!$A$3:$H$102,7,FALSE),main!$K$18:$O$18,0),0))),0)</f>
        <v>0</v>
      </c>
      <c r="CF88">
        <f>IF((gamma!CF88),IF(VLOOKUP(CF$1,main!$A$3:$H$102,7,FALSE)=VLOOKUP($A88,main!$A$3:$H$102,8,FALSE),VLOOKUP(CF$1,main!$A$3:$H$102,4,FALSE),VLOOKUP(CF$1,main!$A$3:$H$102,4,FALSE)+VLOOKUP($A88,main!$A$3:$H$102,4,FALSE)+(VLOOKUP(VLOOKUP(CF$1,main!$A$3:$H$102,8,FALSE),main!$K$19:$O$22,MATCH(VLOOKUP($A88,main!$A$3:$H$102,7,FALSE),main!$K$18:$O$18,0),0))),0)</f>
        <v>0</v>
      </c>
      <c r="CG88">
        <f>IF((gamma!CG88),IF(VLOOKUP(CG$1,main!$A$3:$H$102,7,FALSE)=VLOOKUP($A88,main!$A$3:$H$102,8,FALSE),VLOOKUP(CG$1,main!$A$3:$H$102,4,FALSE),VLOOKUP(CG$1,main!$A$3:$H$102,4,FALSE)+VLOOKUP($A88,main!$A$3:$H$102,4,FALSE)+(VLOOKUP(VLOOKUP(CG$1,main!$A$3:$H$102,8,FALSE),main!$K$19:$O$22,MATCH(VLOOKUP($A88,main!$A$3:$H$102,7,FALSE),main!$K$18:$O$18,0),0))),0)</f>
        <v>0</v>
      </c>
      <c r="CH88">
        <f>IF((gamma!CH88),IF(VLOOKUP(CH$1,main!$A$3:$H$102,7,FALSE)=VLOOKUP($A88,main!$A$3:$H$102,8,FALSE),VLOOKUP(CH$1,main!$A$3:$H$102,4,FALSE),VLOOKUP(CH$1,main!$A$3:$H$102,4,FALSE)+VLOOKUP($A88,main!$A$3:$H$102,4,FALSE)+(VLOOKUP(VLOOKUP(CH$1,main!$A$3:$H$102,8,FALSE),main!$K$19:$O$22,MATCH(VLOOKUP($A88,main!$A$3:$H$102,7,FALSE),main!$K$18:$O$18,0),0))),0)</f>
        <v>243</v>
      </c>
      <c r="CI88">
        <f>IF((gamma!CI88),IF(VLOOKUP(CI$1,main!$A$3:$H$102,7,FALSE)=VLOOKUP($A88,main!$A$3:$H$102,8,FALSE),VLOOKUP(CI$1,main!$A$3:$H$102,4,FALSE),VLOOKUP(CI$1,main!$A$3:$H$102,4,FALSE)+VLOOKUP($A88,main!$A$3:$H$102,4,FALSE)+(VLOOKUP(VLOOKUP(CI$1,main!$A$3:$H$102,8,FALSE),main!$K$19:$O$22,MATCH(VLOOKUP($A88,main!$A$3:$H$102,7,FALSE),main!$K$18:$O$18,0),0))),0)</f>
        <v>243</v>
      </c>
      <c r="CJ88">
        <f>IF((gamma!CJ88),IF(VLOOKUP(CJ$1,main!$A$3:$H$102,7,FALSE)=VLOOKUP($A88,main!$A$3:$H$102,8,FALSE),VLOOKUP(CJ$1,main!$A$3:$H$102,4,FALSE),VLOOKUP(CJ$1,main!$A$3:$H$102,4,FALSE)+VLOOKUP($A88,main!$A$3:$H$102,4,FALSE)+(VLOOKUP(VLOOKUP(CJ$1,main!$A$3:$H$102,8,FALSE),main!$K$19:$O$22,MATCH(VLOOKUP($A88,main!$A$3:$H$102,7,FALSE),main!$K$18:$O$18,0),0))),0)</f>
        <v>0</v>
      </c>
      <c r="CK88">
        <f>IF((gamma!CK88),IF(VLOOKUP(CK$1,main!$A$3:$H$102,7,FALSE)=VLOOKUP($A88,main!$A$3:$H$102,8,FALSE),VLOOKUP(CK$1,main!$A$3:$H$102,4,FALSE),VLOOKUP(CK$1,main!$A$3:$H$102,4,FALSE)+VLOOKUP($A88,main!$A$3:$H$102,4,FALSE)+(VLOOKUP(VLOOKUP(CK$1,main!$A$3:$H$102,8,FALSE),main!$K$19:$O$22,MATCH(VLOOKUP($A88,main!$A$3:$H$102,7,FALSE),main!$K$18:$O$18,0),0))),0)</f>
        <v>0</v>
      </c>
      <c r="CL88">
        <f>IF((gamma!CL88),IF(VLOOKUP(CL$1,main!$A$3:$H$102,7,FALSE)=VLOOKUP($A88,main!$A$3:$H$102,8,FALSE),VLOOKUP(CL$1,main!$A$3:$H$102,4,FALSE),VLOOKUP(CL$1,main!$A$3:$H$102,4,FALSE)+VLOOKUP($A88,main!$A$3:$H$102,4,FALSE)+(VLOOKUP(VLOOKUP(CL$1,main!$A$3:$H$102,8,FALSE),main!$K$19:$O$22,MATCH(VLOOKUP($A88,main!$A$3:$H$102,7,FALSE),main!$K$18:$O$18,0),0))),0)</f>
        <v>0</v>
      </c>
      <c r="CM88">
        <f>IF((gamma!CM88),IF(VLOOKUP(CM$1,main!$A$3:$H$102,7,FALSE)=VLOOKUP($A88,main!$A$3:$H$102,8,FALSE),VLOOKUP(CM$1,main!$A$3:$H$102,4,FALSE),VLOOKUP(CM$1,main!$A$3:$H$102,4,FALSE)+VLOOKUP($A88,main!$A$3:$H$102,4,FALSE)+(VLOOKUP(VLOOKUP(CM$1,main!$A$3:$H$102,8,FALSE),main!$K$19:$O$22,MATCH(VLOOKUP($A88,main!$A$3:$H$102,7,FALSE),main!$K$18:$O$18,0),0))),0)</f>
        <v>203</v>
      </c>
      <c r="CN88">
        <f>IF((gamma!CN88),IF(VLOOKUP(CN$1,main!$A$3:$H$102,7,FALSE)=VLOOKUP($A88,main!$A$3:$H$102,8,FALSE),VLOOKUP(CN$1,main!$A$3:$H$102,4,FALSE),VLOOKUP(CN$1,main!$A$3:$H$102,4,FALSE)+VLOOKUP($A88,main!$A$3:$H$102,4,FALSE)+(VLOOKUP(VLOOKUP(CN$1,main!$A$3:$H$102,8,FALSE),main!$K$19:$O$22,MATCH(VLOOKUP($A88,main!$A$3:$H$102,7,FALSE),main!$K$18:$O$18,0),0))),0)</f>
        <v>199</v>
      </c>
      <c r="CO88">
        <f>IF((gamma!CO88),IF(VLOOKUP(CO$1,main!$A$3:$H$102,7,FALSE)=VLOOKUP($A88,main!$A$3:$H$102,8,FALSE),VLOOKUP(CO$1,main!$A$3:$H$102,4,FALSE),VLOOKUP(CO$1,main!$A$3:$H$102,4,FALSE)+VLOOKUP($A88,main!$A$3:$H$102,4,FALSE)+(VLOOKUP(VLOOKUP(CO$1,main!$A$3:$H$102,8,FALSE),main!$K$19:$O$22,MATCH(VLOOKUP($A88,main!$A$3:$H$102,7,FALSE),main!$K$18:$O$18,0),0))),0)</f>
        <v>0</v>
      </c>
      <c r="CP88">
        <f>IF((gamma!CP88),IF(VLOOKUP(CP$1,main!$A$3:$H$102,7,FALSE)=VLOOKUP($A88,main!$A$3:$H$102,8,FALSE),VLOOKUP(CP$1,main!$A$3:$H$102,4,FALSE),VLOOKUP(CP$1,main!$A$3:$H$102,4,FALSE)+VLOOKUP($A88,main!$A$3:$H$102,4,FALSE)+(VLOOKUP(VLOOKUP(CP$1,main!$A$3:$H$102,8,FALSE),main!$K$19:$O$22,MATCH(VLOOKUP($A88,main!$A$3:$H$102,7,FALSE),main!$K$18:$O$18,0),0))),0)</f>
        <v>0</v>
      </c>
      <c r="CQ88">
        <f>IF((gamma!CQ88),IF(VLOOKUP(CQ$1,main!$A$3:$H$102,7,FALSE)=VLOOKUP($A88,main!$A$3:$H$102,8,FALSE),VLOOKUP(CQ$1,main!$A$3:$H$102,4,FALSE),VLOOKUP(CQ$1,main!$A$3:$H$102,4,FALSE)+VLOOKUP($A88,main!$A$3:$H$102,4,FALSE)+(VLOOKUP(VLOOKUP(CQ$1,main!$A$3:$H$102,8,FALSE),main!$K$19:$O$22,MATCH(VLOOKUP($A88,main!$A$3:$H$102,7,FALSE),main!$K$18:$O$18,0),0))),0)</f>
        <v>0</v>
      </c>
      <c r="CR88">
        <f>IF((gamma!CR88),IF(VLOOKUP(CR$1,main!$A$3:$H$102,7,FALSE)=VLOOKUP($A88,main!$A$3:$H$102,8,FALSE),VLOOKUP(CR$1,main!$A$3:$H$102,4,FALSE),VLOOKUP(CR$1,main!$A$3:$H$102,4,FALSE)+VLOOKUP($A88,main!$A$3:$H$102,4,FALSE)+(VLOOKUP(VLOOKUP(CR$1,main!$A$3:$H$102,8,FALSE),main!$K$19:$O$22,MATCH(VLOOKUP($A88,main!$A$3:$H$102,7,FALSE),main!$K$18:$O$18,0),0))),0)</f>
        <v>236</v>
      </c>
      <c r="CS88">
        <f>IF((gamma!CS88),IF(VLOOKUP(CS$1,main!$A$3:$H$102,7,FALSE)=VLOOKUP($A88,main!$A$3:$H$102,8,FALSE),VLOOKUP(CS$1,main!$A$3:$H$102,4,FALSE),VLOOKUP(CS$1,main!$A$3:$H$102,4,FALSE)+VLOOKUP($A88,main!$A$3:$H$102,4,FALSE)+(VLOOKUP(VLOOKUP(CS$1,main!$A$3:$H$102,8,FALSE),main!$K$19:$O$22,MATCH(VLOOKUP($A88,main!$A$3:$H$102,7,FALSE),main!$K$18:$O$18,0),0))),0)</f>
        <v>236</v>
      </c>
      <c r="CT88">
        <f>IF((gamma!CT88),IF(VLOOKUP(CT$1,main!$A$3:$H$102,7,FALSE)=VLOOKUP($A88,main!$A$3:$H$102,8,FALSE),VLOOKUP(CT$1,main!$A$3:$H$102,4,FALSE),VLOOKUP(CT$1,main!$A$3:$H$102,4,FALSE)+VLOOKUP($A88,main!$A$3:$H$102,4,FALSE)+(VLOOKUP(VLOOKUP(CT$1,main!$A$3:$H$102,8,FALSE),main!$K$19:$O$22,MATCH(VLOOKUP($A88,main!$A$3:$H$102,7,FALSE),main!$K$18:$O$18,0),0))),0)</f>
        <v>0</v>
      </c>
      <c r="CU88">
        <f>IF((gamma!CU88),IF(VLOOKUP(CU$1,main!$A$3:$H$102,7,FALSE)=VLOOKUP($A88,main!$A$3:$H$102,8,FALSE),VLOOKUP(CU$1,main!$A$3:$H$102,4,FALSE),VLOOKUP(CU$1,main!$A$3:$H$102,4,FALSE)+VLOOKUP($A88,main!$A$3:$H$102,4,FALSE)+(VLOOKUP(VLOOKUP(CU$1,main!$A$3:$H$102,8,FALSE),main!$K$19:$O$22,MATCH(VLOOKUP($A88,main!$A$3:$H$102,7,FALSE),main!$K$18:$O$18,0),0))),0)</f>
        <v>0</v>
      </c>
      <c r="CV88">
        <f>IF((gamma!CV88),IF(VLOOKUP(CV$1,main!$A$3:$H$102,7,FALSE)=VLOOKUP($A88,main!$A$3:$H$102,8,FALSE),VLOOKUP(CV$1,main!$A$3:$H$102,4,FALSE),VLOOKUP(CV$1,main!$A$3:$H$102,4,FALSE)+VLOOKUP($A88,main!$A$3:$H$102,4,FALSE)+(VLOOKUP(VLOOKUP(CV$1,main!$A$3:$H$102,8,FALSE),main!$K$19:$O$22,MATCH(VLOOKUP($A88,main!$A$3:$H$102,7,FALSE),main!$K$18:$O$18,0),0))),0)</f>
        <v>0</v>
      </c>
      <c r="CW88">
        <f>IF((gamma!CW88),IF(VLOOKUP(CW$1,main!$A$3:$H$102,7,FALSE)=VLOOKUP($A88,main!$A$3:$H$102,8,FALSE),VLOOKUP(CW$1,main!$A$3:$H$102,4,FALSE),VLOOKUP(CW$1,main!$A$3:$H$102,4,FALSE)+VLOOKUP($A88,main!$A$3:$H$102,4,FALSE)+(VLOOKUP(VLOOKUP(CW$1,main!$A$3:$H$102,8,FALSE),main!$K$19:$O$22,MATCH(VLOOKUP($A88,main!$A$3:$H$102,7,FALSE),main!$K$18:$O$18,0),0))),0)</f>
        <v>196</v>
      </c>
      <c r="CX88">
        <f>IF((gamma!CX88),IF(VLOOKUP(CX$1,main!$A$3:$H$102,7,FALSE)=VLOOKUP($A88,main!$A$3:$H$102,8,FALSE),VLOOKUP(CX$1,main!$A$3:$H$102,4,FALSE),VLOOKUP(CX$1,main!$A$3:$H$102,4,FALSE)+VLOOKUP($A88,main!$A$3:$H$102,4,FALSE)+(VLOOKUP(VLOOKUP(CX$1,main!$A$3:$H$102,8,FALSE),main!$K$19:$O$22,MATCH(VLOOKUP($A88,main!$A$3:$H$102,7,FALSE),main!$K$18:$O$18,0),0))),0)</f>
        <v>186</v>
      </c>
      <c r="CY88">
        <v>0</v>
      </c>
      <c r="CZ88">
        <v>0</v>
      </c>
      <c r="DA88">
        <v>0</v>
      </c>
    </row>
    <row r="89" spans="1:105" x14ac:dyDescent="0.25">
      <c r="A89" s="1">
        <v>87</v>
      </c>
      <c r="B89">
        <v>0</v>
      </c>
      <c r="C89">
        <f>IF((gamma!C89),IF(VLOOKUP(C$1,main!$A$3:$H$102,7,FALSE)=VLOOKUP($A89,main!$A$3:$H$102,8,FALSE),VLOOKUP(C$1,main!$A$3:$H$102,4,FALSE),VLOOKUP(C$1,main!$A$3:$H$102,4,FALSE)+VLOOKUP($A89,main!$A$3:$H$102,4,FALSE)+(VLOOKUP(VLOOKUP(C$1,main!$A$3:$H$102,8,FALSE),main!$K$19:$O$22,MATCH(VLOOKUP($A89,main!$A$3:$H$102,7,FALSE),main!$K$18:$O$18,0),0))),0)</f>
        <v>0</v>
      </c>
      <c r="D89">
        <f>IF((gamma!D89),IF(VLOOKUP(D$1,main!$A$3:$H$102,7,FALSE)=VLOOKUP($A89,main!$A$3:$H$102,8,FALSE),VLOOKUP(D$1,main!$A$3:$H$102,4,FALSE),VLOOKUP(D$1,main!$A$3:$H$102,4,FALSE)+VLOOKUP($A89,main!$A$3:$H$102,4,FALSE)+(VLOOKUP(VLOOKUP(D$1,main!$A$3:$H$102,8,FALSE),main!$K$19:$O$22,MATCH(VLOOKUP($A89,main!$A$3:$H$102,7,FALSE),main!$K$18:$O$18,0),0))),0)</f>
        <v>0</v>
      </c>
      <c r="E89">
        <f>IF((gamma!E89),IF(VLOOKUP(E$1,main!$A$3:$H$102,7,FALSE)=VLOOKUP($A89,main!$A$3:$H$102,8,FALSE),VLOOKUP(E$1,main!$A$3:$H$102,4,FALSE),VLOOKUP(E$1,main!$A$3:$H$102,4,FALSE)+VLOOKUP($A89,main!$A$3:$H$102,4,FALSE)+(VLOOKUP(VLOOKUP(E$1,main!$A$3:$H$102,8,FALSE),main!$K$19:$O$22,MATCH(VLOOKUP($A89,main!$A$3:$H$102,7,FALSE),main!$K$18:$O$18,0),0))),0)</f>
        <v>0</v>
      </c>
      <c r="F89">
        <f>IF((gamma!F89),IF(VLOOKUP(F$1,main!$A$3:$H$102,7,FALSE)=VLOOKUP($A89,main!$A$3:$H$102,8,FALSE),VLOOKUP(F$1,main!$A$3:$H$102,4,FALSE),VLOOKUP(F$1,main!$A$3:$H$102,4,FALSE)+VLOOKUP($A89,main!$A$3:$H$102,4,FALSE)+(VLOOKUP(VLOOKUP(F$1,main!$A$3:$H$102,8,FALSE),main!$K$19:$O$22,MATCH(VLOOKUP($A89,main!$A$3:$H$102,7,FALSE),main!$K$18:$O$18,0),0))),0)</f>
        <v>0</v>
      </c>
      <c r="G89">
        <f>IF((gamma!G89),IF(VLOOKUP(G$1,main!$A$3:$H$102,7,FALSE)=VLOOKUP($A89,main!$A$3:$H$102,8,FALSE),VLOOKUP(G$1,main!$A$3:$H$102,4,FALSE),VLOOKUP(G$1,main!$A$3:$H$102,4,FALSE)+VLOOKUP($A89,main!$A$3:$H$102,4,FALSE)+(VLOOKUP(VLOOKUP(G$1,main!$A$3:$H$102,8,FALSE),main!$K$19:$O$22,MATCH(VLOOKUP($A89,main!$A$3:$H$102,7,FALSE),main!$K$18:$O$18,0),0))),0)</f>
        <v>135</v>
      </c>
      <c r="H89">
        <f>IF((gamma!H89),IF(VLOOKUP(H$1,main!$A$3:$H$102,7,FALSE)=VLOOKUP($A89,main!$A$3:$H$102,8,FALSE),VLOOKUP(H$1,main!$A$3:$H$102,4,FALSE),VLOOKUP(H$1,main!$A$3:$H$102,4,FALSE)+VLOOKUP($A89,main!$A$3:$H$102,4,FALSE)+(VLOOKUP(VLOOKUP(H$1,main!$A$3:$H$102,8,FALSE),main!$K$19:$O$22,MATCH(VLOOKUP($A89,main!$A$3:$H$102,7,FALSE),main!$K$18:$O$18,0),0))),0)</f>
        <v>135</v>
      </c>
      <c r="I89">
        <f>IF((gamma!I89),IF(VLOOKUP(I$1,main!$A$3:$H$102,7,FALSE)=VLOOKUP($A89,main!$A$3:$H$102,8,FALSE),VLOOKUP(I$1,main!$A$3:$H$102,4,FALSE),VLOOKUP(I$1,main!$A$3:$H$102,4,FALSE)+VLOOKUP($A89,main!$A$3:$H$102,4,FALSE)+(VLOOKUP(VLOOKUP(I$1,main!$A$3:$H$102,8,FALSE),main!$K$19:$O$22,MATCH(VLOOKUP($A89,main!$A$3:$H$102,7,FALSE),main!$K$18:$O$18,0),0))),0)</f>
        <v>135</v>
      </c>
      <c r="J89">
        <f>IF((gamma!J89),IF(VLOOKUP(J$1,main!$A$3:$H$102,7,FALSE)=VLOOKUP($A89,main!$A$3:$H$102,8,FALSE),VLOOKUP(J$1,main!$A$3:$H$102,4,FALSE),VLOOKUP(J$1,main!$A$3:$H$102,4,FALSE)+VLOOKUP($A89,main!$A$3:$H$102,4,FALSE)+(VLOOKUP(VLOOKUP(J$1,main!$A$3:$H$102,8,FALSE),main!$K$19:$O$22,MATCH(VLOOKUP($A89,main!$A$3:$H$102,7,FALSE),main!$K$18:$O$18,0),0))),0)</f>
        <v>135</v>
      </c>
      <c r="K89">
        <f>IF((gamma!K89),IF(VLOOKUP(K$1,main!$A$3:$H$102,7,FALSE)=VLOOKUP($A89,main!$A$3:$H$102,8,FALSE),VLOOKUP(K$1,main!$A$3:$H$102,4,FALSE),VLOOKUP(K$1,main!$A$3:$H$102,4,FALSE)+VLOOKUP($A89,main!$A$3:$H$102,4,FALSE)+(VLOOKUP(VLOOKUP(K$1,main!$A$3:$H$102,8,FALSE),main!$K$19:$O$22,MATCH(VLOOKUP($A89,main!$A$3:$H$102,7,FALSE),main!$K$18:$O$18,0),0))),0)</f>
        <v>135</v>
      </c>
      <c r="L89">
        <f>IF((gamma!L89),IF(VLOOKUP(L$1,main!$A$3:$H$102,7,FALSE)=VLOOKUP($A89,main!$A$3:$H$102,8,FALSE),VLOOKUP(L$1,main!$A$3:$H$102,4,FALSE),VLOOKUP(L$1,main!$A$3:$H$102,4,FALSE)+VLOOKUP($A89,main!$A$3:$H$102,4,FALSE)+(VLOOKUP(VLOOKUP(L$1,main!$A$3:$H$102,8,FALSE),main!$K$19:$O$22,MATCH(VLOOKUP($A89,main!$A$3:$H$102,7,FALSE),main!$K$18:$O$18,0),0))),0)</f>
        <v>135</v>
      </c>
      <c r="M89">
        <f>IF((gamma!M89),IF(VLOOKUP(M$1,main!$A$3:$H$102,7,FALSE)=VLOOKUP($A89,main!$A$3:$H$102,8,FALSE),VLOOKUP(M$1,main!$A$3:$H$102,4,FALSE),VLOOKUP(M$1,main!$A$3:$H$102,4,FALSE)+VLOOKUP($A89,main!$A$3:$H$102,4,FALSE)+(VLOOKUP(VLOOKUP(M$1,main!$A$3:$H$102,8,FALSE),main!$K$19:$O$22,MATCH(VLOOKUP($A89,main!$A$3:$H$102,7,FALSE),main!$K$18:$O$18,0),0))),0)</f>
        <v>0</v>
      </c>
      <c r="N89">
        <f>IF((gamma!N89),IF(VLOOKUP(N$1,main!$A$3:$H$102,7,FALSE)=VLOOKUP($A89,main!$A$3:$H$102,8,FALSE),VLOOKUP(N$1,main!$A$3:$H$102,4,FALSE),VLOOKUP(N$1,main!$A$3:$H$102,4,FALSE)+VLOOKUP($A89,main!$A$3:$H$102,4,FALSE)+(VLOOKUP(VLOOKUP(N$1,main!$A$3:$H$102,8,FALSE),main!$K$19:$O$22,MATCH(VLOOKUP($A89,main!$A$3:$H$102,7,FALSE),main!$K$18:$O$18,0),0))),0)</f>
        <v>0</v>
      </c>
      <c r="O89">
        <f>IF((gamma!O89),IF(VLOOKUP(O$1,main!$A$3:$H$102,7,FALSE)=VLOOKUP($A89,main!$A$3:$H$102,8,FALSE),VLOOKUP(O$1,main!$A$3:$H$102,4,FALSE),VLOOKUP(O$1,main!$A$3:$H$102,4,FALSE)+VLOOKUP($A89,main!$A$3:$H$102,4,FALSE)+(VLOOKUP(VLOOKUP(O$1,main!$A$3:$H$102,8,FALSE),main!$K$19:$O$22,MATCH(VLOOKUP($A89,main!$A$3:$H$102,7,FALSE),main!$K$18:$O$18,0),0))),0)</f>
        <v>0</v>
      </c>
      <c r="P89">
        <f>IF((gamma!P89),IF(VLOOKUP(P$1,main!$A$3:$H$102,7,FALSE)=VLOOKUP($A89,main!$A$3:$H$102,8,FALSE),VLOOKUP(P$1,main!$A$3:$H$102,4,FALSE),VLOOKUP(P$1,main!$A$3:$H$102,4,FALSE)+VLOOKUP($A89,main!$A$3:$H$102,4,FALSE)+(VLOOKUP(VLOOKUP(P$1,main!$A$3:$H$102,8,FALSE),main!$K$19:$O$22,MATCH(VLOOKUP($A89,main!$A$3:$H$102,7,FALSE),main!$K$18:$O$18,0),0))),0)</f>
        <v>0</v>
      </c>
      <c r="Q89">
        <f>IF((gamma!Q89),IF(VLOOKUP(Q$1,main!$A$3:$H$102,7,FALSE)=VLOOKUP($A89,main!$A$3:$H$102,8,FALSE),VLOOKUP(Q$1,main!$A$3:$H$102,4,FALSE),VLOOKUP(Q$1,main!$A$3:$H$102,4,FALSE)+VLOOKUP($A89,main!$A$3:$H$102,4,FALSE)+(VLOOKUP(VLOOKUP(Q$1,main!$A$3:$H$102,8,FALSE),main!$K$19:$O$22,MATCH(VLOOKUP($A89,main!$A$3:$H$102,7,FALSE),main!$K$18:$O$18,0),0))),0)</f>
        <v>0</v>
      </c>
      <c r="R89">
        <f>IF((gamma!R89),IF(VLOOKUP(R$1,main!$A$3:$H$102,7,FALSE)=VLOOKUP($A89,main!$A$3:$H$102,8,FALSE),VLOOKUP(R$1,main!$A$3:$H$102,4,FALSE),VLOOKUP(R$1,main!$A$3:$H$102,4,FALSE)+VLOOKUP($A89,main!$A$3:$H$102,4,FALSE)+(VLOOKUP(VLOOKUP(R$1,main!$A$3:$H$102,8,FALSE),main!$K$19:$O$22,MATCH(VLOOKUP($A89,main!$A$3:$H$102,7,FALSE),main!$K$18:$O$18,0),0))),0)</f>
        <v>140</v>
      </c>
      <c r="S89">
        <f>IF((gamma!S89),IF(VLOOKUP(S$1,main!$A$3:$H$102,7,FALSE)=VLOOKUP($A89,main!$A$3:$H$102,8,FALSE),VLOOKUP(S$1,main!$A$3:$H$102,4,FALSE),VLOOKUP(S$1,main!$A$3:$H$102,4,FALSE)+VLOOKUP($A89,main!$A$3:$H$102,4,FALSE)+(VLOOKUP(VLOOKUP(S$1,main!$A$3:$H$102,8,FALSE),main!$K$19:$O$22,MATCH(VLOOKUP($A89,main!$A$3:$H$102,7,FALSE),main!$K$18:$O$18,0),0))),0)</f>
        <v>140</v>
      </c>
      <c r="T89">
        <f>IF((gamma!T89),IF(VLOOKUP(T$1,main!$A$3:$H$102,7,FALSE)=VLOOKUP($A89,main!$A$3:$H$102,8,FALSE),VLOOKUP(T$1,main!$A$3:$H$102,4,FALSE),VLOOKUP(T$1,main!$A$3:$H$102,4,FALSE)+VLOOKUP($A89,main!$A$3:$H$102,4,FALSE)+(VLOOKUP(VLOOKUP(T$1,main!$A$3:$H$102,8,FALSE),main!$K$19:$O$22,MATCH(VLOOKUP($A89,main!$A$3:$H$102,7,FALSE),main!$K$18:$O$18,0),0))),0)</f>
        <v>140</v>
      </c>
      <c r="U89">
        <f>IF((gamma!U89),IF(VLOOKUP(U$1,main!$A$3:$H$102,7,FALSE)=VLOOKUP($A89,main!$A$3:$H$102,8,FALSE),VLOOKUP(U$1,main!$A$3:$H$102,4,FALSE),VLOOKUP(U$1,main!$A$3:$H$102,4,FALSE)+VLOOKUP($A89,main!$A$3:$H$102,4,FALSE)+(VLOOKUP(VLOOKUP(U$1,main!$A$3:$H$102,8,FALSE),main!$K$19:$O$22,MATCH(VLOOKUP($A89,main!$A$3:$H$102,7,FALSE),main!$K$18:$O$18,0),0))),0)</f>
        <v>140</v>
      </c>
      <c r="V89">
        <f>IF((gamma!V89),IF(VLOOKUP(V$1,main!$A$3:$H$102,7,FALSE)=VLOOKUP($A89,main!$A$3:$H$102,8,FALSE),VLOOKUP(V$1,main!$A$3:$H$102,4,FALSE),VLOOKUP(V$1,main!$A$3:$H$102,4,FALSE)+VLOOKUP($A89,main!$A$3:$H$102,4,FALSE)+(VLOOKUP(VLOOKUP(V$1,main!$A$3:$H$102,8,FALSE),main!$K$19:$O$22,MATCH(VLOOKUP($A89,main!$A$3:$H$102,7,FALSE),main!$K$18:$O$18,0),0))),0)</f>
        <v>140</v>
      </c>
      <c r="W89">
        <f>IF((gamma!W89),IF(VLOOKUP(W$1,main!$A$3:$H$102,7,FALSE)=VLOOKUP($A89,main!$A$3:$H$102,8,FALSE),VLOOKUP(W$1,main!$A$3:$H$102,4,FALSE),VLOOKUP(W$1,main!$A$3:$H$102,4,FALSE)+VLOOKUP($A89,main!$A$3:$H$102,4,FALSE)+(VLOOKUP(VLOOKUP(W$1,main!$A$3:$H$102,8,FALSE),main!$K$19:$O$22,MATCH(VLOOKUP($A89,main!$A$3:$H$102,7,FALSE),main!$K$18:$O$18,0),0))),0)</f>
        <v>0</v>
      </c>
      <c r="X89">
        <f>IF((gamma!X89),IF(VLOOKUP(X$1,main!$A$3:$H$102,7,FALSE)=VLOOKUP($A89,main!$A$3:$H$102,8,FALSE),VLOOKUP(X$1,main!$A$3:$H$102,4,FALSE),VLOOKUP(X$1,main!$A$3:$H$102,4,FALSE)+VLOOKUP($A89,main!$A$3:$H$102,4,FALSE)+(VLOOKUP(VLOOKUP(X$1,main!$A$3:$H$102,8,FALSE),main!$K$19:$O$22,MATCH(VLOOKUP($A89,main!$A$3:$H$102,7,FALSE),main!$K$18:$O$18,0),0))),0)</f>
        <v>0</v>
      </c>
      <c r="Y89">
        <f>IF((gamma!Y89),IF(VLOOKUP(Y$1,main!$A$3:$H$102,7,FALSE)=VLOOKUP($A89,main!$A$3:$H$102,8,FALSE),VLOOKUP(Y$1,main!$A$3:$H$102,4,FALSE),VLOOKUP(Y$1,main!$A$3:$H$102,4,FALSE)+VLOOKUP($A89,main!$A$3:$H$102,4,FALSE)+(VLOOKUP(VLOOKUP(Y$1,main!$A$3:$H$102,8,FALSE),main!$K$19:$O$22,MATCH(VLOOKUP($A89,main!$A$3:$H$102,7,FALSE),main!$K$18:$O$18,0),0))),0)</f>
        <v>135</v>
      </c>
      <c r="Z89">
        <f>IF((gamma!Z89),IF(VLOOKUP(Z$1,main!$A$3:$H$102,7,FALSE)=VLOOKUP($A89,main!$A$3:$H$102,8,FALSE),VLOOKUP(Z$1,main!$A$3:$H$102,4,FALSE),VLOOKUP(Z$1,main!$A$3:$H$102,4,FALSE)+VLOOKUP($A89,main!$A$3:$H$102,4,FALSE)+(VLOOKUP(VLOOKUP(Z$1,main!$A$3:$H$102,8,FALSE),main!$K$19:$O$22,MATCH(VLOOKUP($A89,main!$A$3:$H$102,7,FALSE),main!$K$18:$O$18,0),0))),0)</f>
        <v>140</v>
      </c>
      <c r="AA89">
        <f>IF((gamma!AA89),IF(VLOOKUP(AA$1,main!$A$3:$H$102,7,FALSE)=VLOOKUP($A89,main!$A$3:$H$102,8,FALSE),VLOOKUP(AA$1,main!$A$3:$H$102,4,FALSE),VLOOKUP(AA$1,main!$A$3:$H$102,4,FALSE)+VLOOKUP($A89,main!$A$3:$H$102,4,FALSE)+(VLOOKUP(VLOOKUP(AA$1,main!$A$3:$H$102,8,FALSE),main!$K$19:$O$22,MATCH(VLOOKUP($A89,main!$A$3:$H$102,7,FALSE),main!$K$18:$O$18,0),0))),0)</f>
        <v>140</v>
      </c>
      <c r="AB89">
        <f>IF((gamma!AB89),IF(VLOOKUP(AB$1,main!$A$3:$H$102,7,FALSE)=VLOOKUP($A89,main!$A$3:$H$102,8,FALSE),VLOOKUP(AB$1,main!$A$3:$H$102,4,FALSE),VLOOKUP(AB$1,main!$A$3:$H$102,4,FALSE)+VLOOKUP($A89,main!$A$3:$H$102,4,FALSE)+(VLOOKUP(VLOOKUP(AB$1,main!$A$3:$H$102,8,FALSE),main!$K$19:$O$22,MATCH(VLOOKUP($A89,main!$A$3:$H$102,7,FALSE),main!$K$18:$O$18,0),0))),0)</f>
        <v>0</v>
      </c>
      <c r="AC89">
        <f>IF((gamma!AC89),IF(VLOOKUP(AC$1,main!$A$3:$H$102,7,FALSE)=VLOOKUP($A89,main!$A$3:$H$102,8,FALSE),VLOOKUP(AC$1,main!$A$3:$H$102,4,FALSE),VLOOKUP(AC$1,main!$A$3:$H$102,4,FALSE)+VLOOKUP($A89,main!$A$3:$H$102,4,FALSE)+(VLOOKUP(VLOOKUP(AC$1,main!$A$3:$H$102,8,FALSE),main!$K$19:$O$22,MATCH(VLOOKUP($A89,main!$A$3:$H$102,7,FALSE),main!$K$18:$O$18,0),0))),0)</f>
        <v>0</v>
      </c>
      <c r="AD89">
        <f>IF((gamma!AD89),IF(VLOOKUP(AD$1,main!$A$3:$H$102,7,FALSE)=VLOOKUP($A89,main!$A$3:$H$102,8,FALSE),VLOOKUP(AD$1,main!$A$3:$H$102,4,FALSE),VLOOKUP(AD$1,main!$A$3:$H$102,4,FALSE)+VLOOKUP($A89,main!$A$3:$H$102,4,FALSE)+(VLOOKUP(VLOOKUP(AD$1,main!$A$3:$H$102,8,FALSE),main!$K$19:$O$22,MATCH(VLOOKUP($A89,main!$A$3:$H$102,7,FALSE),main!$K$18:$O$18,0),0))),0)</f>
        <v>0</v>
      </c>
      <c r="AE89">
        <f>IF((gamma!AE89),IF(VLOOKUP(AE$1,main!$A$3:$H$102,7,FALSE)=VLOOKUP($A89,main!$A$3:$H$102,8,FALSE),VLOOKUP(AE$1,main!$A$3:$H$102,4,FALSE),VLOOKUP(AE$1,main!$A$3:$H$102,4,FALSE)+VLOOKUP($A89,main!$A$3:$H$102,4,FALSE)+(VLOOKUP(VLOOKUP(AE$1,main!$A$3:$H$102,8,FALSE),main!$K$19:$O$22,MATCH(VLOOKUP($A89,main!$A$3:$H$102,7,FALSE),main!$K$18:$O$18,0),0))),0)</f>
        <v>140</v>
      </c>
      <c r="AF89">
        <f>IF((gamma!AF89),IF(VLOOKUP(AF$1,main!$A$3:$H$102,7,FALSE)=VLOOKUP($A89,main!$A$3:$H$102,8,FALSE),VLOOKUP(AF$1,main!$A$3:$H$102,4,FALSE),VLOOKUP(AF$1,main!$A$3:$H$102,4,FALSE)+VLOOKUP($A89,main!$A$3:$H$102,4,FALSE)+(VLOOKUP(VLOOKUP(AF$1,main!$A$3:$H$102,8,FALSE),main!$K$19:$O$22,MATCH(VLOOKUP($A89,main!$A$3:$H$102,7,FALSE),main!$K$18:$O$18,0),0))),0)</f>
        <v>100</v>
      </c>
      <c r="AG89">
        <f>IF((gamma!AG89),IF(VLOOKUP(AG$1,main!$A$3:$H$102,7,FALSE)=VLOOKUP($A89,main!$A$3:$H$102,8,FALSE),VLOOKUP(AG$1,main!$A$3:$H$102,4,FALSE),VLOOKUP(AG$1,main!$A$3:$H$102,4,FALSE)+VLOOKUP($A89,main!$A$3:$H$102,4,FALSE)+(VLOOKUP(VLOOKUP(AG$1,main!$A$3:$H$102,8,FALSE),main!$K$19:$O$22,MATCH(VLOOKUP($A89,main!$A$3:$H$102,7,FALSE),main!$K$18:$O$18,0),0))),0)</f>
        <v>0</v>
      </c>
      <c r="AH89">
        <f>IF((gamma!AH89),IF(VLOOKUP(AH$1,main!$A$3:$H$102,7,FALSE)=VLOOKUP($A89,main!$A$3:$H$102,8,FALSE),VLOOKUP(AH$1,main!$A$3:$H$102,4,FALSE),VLOOKUP(AH$1,main!$A$3:$H$102,4,FALSE)+VLOOKUP($A89,main!$A$3:$H$102,4,FALSE)+(VLOOKUP(VLOOKUP(AH$1,main!$A$3:$H$102,8,FALSE),main!$K$19:$O$22,MATCH(VLOOKUP($A89,main!$A$3:$H$102,7,FALSE),main!$K$18:$O$18,0),0))),0)</f>
        <v>0</v>
      </c>
      <c r="AI89">
        <f>IF((gamma!AI89),IF(VLOOKUP(AI$1,main!$A$3:$H$102,7,FALSE)=VLOOKUP($A89,main!$A$3:$H$102,8,FALSE),VLOOKUP(AI$1,main!$A$3:$H$102,4,FALSE),VLOOKUP(AI$1,main!$A$3:$H$102,4,FALSE)+VLOOKUP($A89,main!$A$3:$H$102,4,FALSE)+(VLOOKUP(VLOOKUP(AI$1,main!$A$3:$H$102,8,FALSE),main!$K$19:$O$22,MATCH(VLOOKUP($A89,main!$A$3:$H$102,7,FALSE),main!$K$18:$O$18,0),0))),0)</f>
        <v>0</v>
      </c>
      <c r="AJ89">
        <f>IF((gamma!AJ89),IF(VLOOKUP(AJ$1,main!$A$3:$H$102,7,FALSE)=VLOOKUP($A89,main!$A$3:$H$102,8,FALSE),VLOOKUP(AJ$1,main!$A$3:$H$102,4,FALSE),VLOOKUP(AJ$1,main!$A$3:$H$102,4,FALSE)+VLOOKUP($A89,main!$A$3:$H$102,4,FALSE)+(VLOOKUP(VLOOKUP(AJ$1,main!$A$3:$H$102,8,FALSE),main!$K$19:$O$22,MATCH(VLOOKUP($A89,main!$A$3:$H$102,7,FALSE),main!$K$18:$O$18,0),0))),0)</f>
        <v>245</v>
      </c>
      <c r="AK89">
        <f>IF((gamma!AK89),IF(VLOOKUP(AK$1,main!$A$3:$H$102,7,FALSE)=VLOOKUP($A89,main!$A$3:$H$102,8,FALSE),VLOOKUP(AK$1,main!$A$3:$H$102,4,FALSE),VLOOKUP(AK$1,main!$A$3:$H$102,4,FALSE)+VLOOKUP($A89,main!$A$3:$H$102,4,FALSE)+(VLOOKUP(VLOOKUP(AK$1,main!$A$3:$H$102,8,FALSE),main!$K$19:$O$22,MATCH(VLOOKUP($A89,main!$A$3:$H$102,7,FALSE),main!$K$18:$O$18,0),0))),0)</f>
        <v>245</v>
      </c>
      <c r="AL89">
        <f>IF((gamma!AL89),IF(VLOOKUP(AL$1,main!$A$3:$H$102,7,FALSE)=VLOOKUP($A89,main!$A$3:$H$102,8,FALSE),VLOOKUP(AL$1,main!$A$3:$H$102,4,FALSE),VLOOKUP(AL$1,main!$A$3:$H$102,4,FALSE)+VLOOKUP($A89,main!$A$3:$H$102,4,FALSE)+(VLOOKUP(VLOOKUP(AL$1,main!$A$3:$H$102,8,FALSE),main!$K$19:$O$22,MATCH(VLOOKUP($A89,main!$A$3:$H$102,7,FALSE),main!$K$18:$O$18,0),0))),0)</f>
        <v>245</v>
      </c>
      <c r="AM89">
        <f>IF((gamma!AM89),IF(VLOOKUP(AM$1,main!$A$3:$H$102,7,FALSE)=VLOOKUP($A89,main!$A$3:$H$102,8,FALSE),VLOOKUP(AM$1,main!$A$3:$H$102,4,FALSE),VLOOKUP(AM$1,main!$A$3:$H$102,4,FALSE)+VLOOKUP($A89,main!$A$3:$H$102,4,FALSE)+(VLOOKUP(VLOOKUP(AM$1,main!$A$3:$H$102,8,FALSE),main!$K$19:$O$22,MATCH(VLOOKUP($A89,main!$A$3:$H$102,7,FALSE),main!$K$18:$O$18,0),0))),0)</f>
        <v>245</v>
      </c>
      <c r="AN89">
        <f>IF((gamma!AN89),IF(VLOOKUP(AN$1,main!$A$3:$H$102,7,FALSE)=VLOOKUP($A89,main!$A$3:$H$102,8,FALSE),VLOOKUP(AN$1,main!$A$3:$H$102,4,FALSE),VLOOKUP(AN$1,main!$A$3:$H$102,4,FALSE)+VLOOKUP($A89,main!$A$3:$H$102,4,FALSE)+(VLOOKUP(VLOOKUP(AN$1,main!$A$3:$H$102,8,FALSE),main!$K$19:$O$22,MATCH(VLOOKUP($A89,main!$A$3:$H$102,7,FALSE),main!$K$18:$O$18,0),0))),0)</f>
        <v>245</v>
      </c>
      <c r="AO89">
        <f>IF((gamma!AO89),IF(VLOOKUP(AO$1,main!$A$3:$H$102,7,FALSE)=VLOOKUP($A89,main!$A$3:$H$102,8,FALSE),VLOOKUP(AO$1,main!$A$3:$H$102,4,FALSE),VLOOKUP(AO$1,main!$A$3:$H$102,4,FALSE)+VLOOKUP($A89,main!$A$3:$H$102,4,FALSE)+(VLOOKUP(VLOOKUP(AO$1,main!$A$3:$H$102,8,FALSE),main!$K$19:$O$22,MATCH(VLOOKUP($A89,main!$A$3:$H$102,7,FALSE),main!$K$18:$O$18,0),0))),0)</f>
        <v>0</v>
      </c>
      <c r="AP89">
        <f>IF((gamma!AP89),IF(VLOOKUP(AP$1,main!$A$3:$H$102,7,FALSE)=VLOOKUP($A89,main!$A$3:$H$102,8,FALSE),VLOOKUP(AP$1,main!$A$3:$H$102,4,FALSE),VLOOKUP(AP$1,main!$A$3:$H$102,4,FALSE)+VLOOKUP($A89,main!$A$3:$H$102,4,FALSE)+(VLOOKUP(VLOOKUP(AP$1,main!$A$3:$H$102,8,FALSE),main!$K$19:$O$22,MATCH(VLOOKUP($A89,main!$A$3:$H$102,7,FALSE),main!$K$18:$O$18,0),0))),0)</f>
        <v>185</v>
      </c>
      <c r="AQ89">
        <f>IF((gamma!AQ89),IF(VLOOKUP(AQ$1,main!$A$3:$H$102,7,FALSE)=VLOOKUP($A89,main!$A$3:$H$102,8,FALSE),VLOOKUP(AQ$1,main!$A$3:$H$102,4,FALSE),VLOOKUP(AQ$1,main!$A$3:$H$102,4,FALSE)+VLOOKUP($A89,main!$A$3:$H$102,4,FALSE)+(VLOOKUP(VLOOKUP(AQ$1,main!$A$3:$H$102,8,FALSE),main!$K$19:$O$22,MATCH(VLOOKUP($A89,main!$A$3:$H$102,7,FALSE),main!$K$18:$O$18,0),0))),0)</f>
        <v>0</v>
      </c>
      <c r="AR89">
        <f>IF((gamma!AR89),IF(VLOOKUP(AR$1,main!$A$3:$H$102,7,FALSE)=VLOOKUP($A89,main!$A$3:$H$102,8,FALSE),VLOOKUP(AR$1,main!$A$3:$H$102,4,FALSE),VLOOKUP(AR$1,main!$A$3:$H$102,4,FALSE)+VLOOKUP($A89,main!$A$3:$H$102,4,FALSE)+(VLOOKUP(VLOOKUP(AR$1,main!$A$3:$H$102,8,FALSE),main!$K$19:$O$22,MATCH(VLOOKUP($A89,main!$A$3:$H$102,7,FALSE),main!$K$18:$O$18,0),0))),0)</f>
        <v>0</v>
      </c>
      <c r="AS89">
        <f>IF((gamma!AS89),IF(VLOOKUP(AS$1,main!$A$3:$H$102,7,FALSE)=VLOOKUP($A89,main!$A$3:$H$102,8,FALSE),VLOOKUP(AS$1,main!$A$3:$H$102,4,FALSE),VLOOKUP(AS$1,main!$A$3:$H$102,4,FALSE)+VLOOKUP($A89,main!$A$3:$H$102,4,FALSE)+(VLOOKUP(VLOOKUP(AS$1,main!$A$3:$H$102,8,FALSE),main!$K$19:$O$22,MATCH(VLOOKUP($A89,main!$A$3:$H$102,7,FALSE),main!$K$18:$O$18,0),0))),0)</f>
        <v>228</v>
      </c>
      <c r="AT89">
        <f>IF((gamma!AT89),IF(VLOOKUP(AT$1,main!$A$3:$H$102,7,FALSE)=VLOOKUP($A89,main!$A$3:$H$102,8,FALSE),VLOOKUP(AT$1,main!$A$3:$H$102,4,FALSE),VLOOKUP(AT$1,main!$A$3:$H$102,4,FALSE)+VLOOKUP($A89,main!$A$3:$H$102,4,FALSE)+(VLOOKUP(VLOOKUP(AT$1,main!$A$3:$H$102,8,FALSE),main!$K$19:$O$22,MATCH(VLOOKUP($A89,main!$A$3:$H$102,7,FALSE),main!$K$18:$O$18,0),0))),0)</f>
        <v>238</v>
      </c>
      <c r="AU89">
        <f>IF((gamma!AU89),IF(VLOOKUP(AU$1,main!$A$3:$H$102,7,FALSE)=VLOOKUP($A89,main!$A$3:$H$102,8,FALSE),VLOOKUP(AU$1,main!$A$3:$H$102,4,FALSE),VLOOKUP(AU$1,main!$A$3:$H$102,4,FALSE)+VLOOKUP($A89,main!$A$3:$H$102,4,FALSE)+(VLOOKUP(VLOOKUP(AU$1,main!$A$3:$H$102,8,FALSE),main!$K$19:$O$22,MATCH(VLOOKUP($A89,main!$A$3:$H$102,7,FALSE),main!$K$18:$O$18,0),0))),0)</f>
        <v>0</v>
      </c>
      <c r="AV89">
        <f>IF((gamma!AV89),IF(VLOOKUP(AV$1,main!$A$3:$H$102,7,FALSE)=VLOOKUP($A89,main!$A$3:$H$102,8,FALSE),VLOOKUP(AV$1,main!$A$3:$H$102,4,FALSE),VLOOKUP(AV$1,main!$A$3:$H$102,4,FALSE)+VLOOKUP($A89,main!$A$3:$H$102,4,FALSE)+(VLOOKUP(VLOOKUP(AV$1,main!$A$3:$H$102,8,FALSE),main!$K$19:$O$22,MATCH(VLOOKUP($A89,main!$A$3:$H$102,7,FALSE),main!$K$18:$O$18,0),0))),0)</f>
        <v>0</v>
      </c>
      <c r="AW89">
        <f>IF((gamma!AW89),IF(VLOOKUP(AW$1,main!$A$3:$H$102,7,FALSE)=VLOOKUP($A89,main!$A$3:$H$102,8,FALSE),VLOOKUP(AW$1,main!$A$3:$H$102,4,FALSE),VLOOKUP(AW$1,main!$A$3:$H$102,4,FALSE)+VLOOKUP($A89,main!$A$3:$H$102,4,FALSE)+(VLOOKUP(VLOOKUP(AW$1,main!$A$3:$H$102,8,FALSE),main!$K$19:$O$22,MATCH(VLOOKUP($A89,main!$A$3:$H$102,7,FALSE),main!$K$18:$O$18,0),0))),0)</f>
        <v>228</v>
      </c>
      <c r="AX89">
        <f>IF((gamma!AX89),IF(VLOOKUP(AX$1,main!$A$3:$H$102,7,FALSE)=VLOOKUP($A89,main!$A$3:$H$102,8,FALSE),VLOOKUP(AX$1,main!$A$3:$H$102,4,FALSE),VLOOKUP(AX$1,main!$A$3:$H$102,4,FALSE)+VLOOKUP($A89,main!$A$3:$H$102,4,FALSE)+(VLOOKUP(VLOOKUP(AX$1,main!$A$3:$H$102,8,FALSE),main!$K$19:$O$22,MATCH(VLOOKUP($A89,main!$A$3:$H$102,7,FALSE),main!$K$18:$O$18,0),0))),0)</f>
        <v>0</v>
      </c>
      <c r="AY89">
        <f>IF((gamma!AY89),IF(VLOOKUP(AY$1,main!$A$3:$H$102,7,FALSE)=VLOOKUP($A89,main!$A$3:$H$102,8,FALSE),VLOOKUP(AY$1,main!$A$3:$H$102,4,FALSE),VLOOKUP(AY$1,main!$A$3:$H$102,4,FALSE)+VLOOKUP($A89,main!$A$3:$H$102,4,FALSE)+(VLOOKUP(VLOOKUP(AY$1,main!$A$3:$H$102,8,FALSE),main!$K$19:$O$22,MATCH(VLOOKUP($A89,main!$A$3:$H$102,7,FALSE),main!$K$18:$O$18,0),0))),0)</f>
        <v>0</v>
      </c>
      <c r="AZ89">
        <f>IF((gamma!AZ89),IF(VLOOKUP(AZ$1,main!$A$3:$H$102,7,FALSE)=VLOOKUP($A89,main!$A$3:$H$102,8,FALSE),VLOOKUP(AZ$1,main!$A$3:$H$102,4,FALSE),VLOOKUP(AZ$1,main!$A$3:$H$102,4,FALSE)+VLOOKUP($A89,main!$A$3:$H$102,4,FALSE)+(VLOOKUP(VLOOKUP(AZ$1,main!$A$3:$H$102,8,FALSE),main!$K$19:$O$22,MATCH(VLOOKUP($A89,main!$A$3:$H$102,7,FALSE),main!$K$18:$O$18,0),0))),0)</f>
        <v>0</v>
      </c>
      <c r="BA89">
        <f>IF((gamma!BA89),IF(VLOOKUP(BA$1,main!$A$3:$H$102,7,FALSE)=VLOOKUP($A89,main!$A$3:$H$102,8,FALSE),VLOOKUP(BA$1,main!$A$3:$H$102,4,FALSE),VLOOKUP(BA$1,main!$A$3:$H$102,4,FALSE)+VLOOKUP($A89,main!$A$3:$H$102,4,FALSE)+(VLOOKUP(VLOOKUP(BA$1,main!$A$3:$H$102,8,FALSE),main!$K$19:$O$22,MATCH(VLOOKUP($A89,main!$A$3:$H$102,7,FALSE),main!$K$18:$O$18,0),0))),0)</f>
        <v>0</v>
      </c>
      <c r="BB89">
        <f>IF((gamma!BB89),IF(VLOOKUP(BB$1,main!$A$3:$H$102,7,FALSE)=VLOOKUP($A89,main!$A$3:$H$102,8,FALSE),VLOOKUP(BB$1,main!$A$3:$H$102,4,FALSE),VLOOKUP(BB$1,main!$A$3:$H$102,4,FALSE)+VLOOKUP($A89,main!$A$3:$H$102,4,FALSE)+(VLOOKUP(VLOOKUP(BB$1,main!$A$3:$H$102,8,FALSE),main!$K$19:$O$22,MATCH(VLOOKUP($A89,main!$A$3:$H$102,7,FALSE),main!$K$18:$O$18,0),0))),0)</f>
        <v>0</v>
      </c>
      <c r="BC89">
        <f>IF((gamma!BC89),IF(VLOOKUP(BC$1,main!$A$3:$H$102,7,FALSE)=VLOOKUP($A89,main!$A$3:$H$102,8,FALSE),VLOOKUP(BC$1,main!$A$3:$H$102,4,FALSE),VLOOKUP(BC$1,main!$A$3:$H$102,4,FALSE)+VLOOKUP($A89,main!$A$3:$H$102,4,FALSE)+(VLOOKUP(VLOOKUP(BC$1,main!$A$3:$H$102,8,FALSE),main!$K$19:$O$22,MATCH(VLOOKUP($A89,main!$A$3:$H$102,7,FALSE),main!$K$18:$O$18,0),0))),0)</f>
        <v>250</v>
      </c>
      <c r="BD89">
        <f>IF((gamma!BD89),IF(VLOOKUP(BD$1,main!$A$3:$H$102,7,FALSE)=VLOOKUP($A89,main!$A$3:$H$102,8,FALSE),VLOOKUP(BD$1,main!$A$3:$H$102,4,FALSE),VLOOKUP(BD$1,main!$A$3:$H$102,4,FALSE)+VLOOKUP($A89,main!$A$3:$H$102,4,FALSE)+(VLOOKUP(VLOOKUP(BD$1,main!$A$3:$H$102,8,FALSE),main!$K$19:$O$22,MATCH(VLOOKUP($A89,main!$A$3:$H$102,7,FALSE),main!$K$18:$O$18,0),0))),0)</f>
        <v>250</v>
      </c>
      <c r="BE89">
        <f>IF((gamma!BE89),IF(VLOOKUP(BE$1,main!$A$3:$H$102,7,FALSE)=VLOOKUP($A89,main!$A$3:$H$102,8,FALSE),VLOOKUP(BE$1,main!$A$3:$H$102,4,FALSE),VLOOKUP(BE$1,main!$A$3:$H$102,4,FALSE)+VLOOKUP($A89,main!$A$3:$H$102,4,FALSE)+(VLOOKUP(VLOOKUP(BE$1,main!$A$3:$H$102,8,FALSE),main!$K$19:$O$22,MATCH(VLOOKUP($A89,main!$A$3:$H$102,7,FALSE),main!$K$18:$O$18,0),0))),0)</f>
        <v>250</v>
      </c>
      <c r="BF89">
        <f>IF((gamma!BF89),IF(VLOOKUP(BF$1,main!$A$3:$H$102,7,FALSE)=VLOOKUP($A89,main!$A$3:$H$102,8,FALSE),VLOOKUP(BF$1,main!$A$3:$H$102,4,FALSE),VLOOKUP(BF$1,main!$A$3:$H$102,4,FALSE)+VLOOKUP($A89,main!$A$3:$H$102,4,FALSE)+(VLOOKUP(VLOOKUP(BF$1,main!$A$3:$H$102,8,FALSE),main!$K$19:$O$22,MATCH(VLOOKUP($A89,main!$A$3:$H$102,7,FALSE),main!$K$18:$O$18,0),0))),0)</f>
        <v>0</v>
      </c>
      <c r="BG89">
        <f>IF((gamma!BG89),IF(VLOOKUP(BG$1,main!$A$3:$H$102,7,FALSE)=VLOOKUP($A89,main!$A$3:$H$102,8,FALSE),VLOOKUP(BG$1,main!$A$3:$H$102,4,FALSE),VLOOKUP(BG$1,main!$A$3:$H$102,4,FALSE)+VLOOKUP($A89,main!$A$3:$H$102,4,FALSE)+(VLOOKUP(VLOOKUP(BG$1,main!$A$3:$H$102,8,FALSE),main!$K$19:$O$22,MATCH(VLOOKUP($A89,main!$A$3:$H$102,7,FALSE),main!$K$18:$O$18,0),0))),0)</f>
        <v>0</v>
      </c>
      <c r="BH89">
        <f>IF((gamma!BH89),IF(VLOOKUP(BH$1,main!$A$3:$H$102,7,FALSE)=VLOOKUP($A89,main!$A$3:$H$102,8,FALSE),VLOOKUP(BH$1,main!$A$3:$H$102,4,FALSE),VLOOKUP(BH$1,main!$A$3:$H$102,4,FALSE)+VLOOKUP($A89,main!$A$3:$H$102,4,FALSE)+(VLOOKUP(VLOOKUP(BH$1,main!$A$3:$H$102,8,FALSE),main!$K$19:$O$22,MATCH(VLOOKUP($A89,main!$A$3:$H$102,7,FALSE),main!$K$18:$O$18,0),0))),0)</f>
        <v>235</v>
      </c>
      <c r="BI89">
        <f>IF((gamma!BI89),IF(VLOOKUP(BI$1,main!$A$3:$H$102,7,FALSE)=VLOOKUP($A89,main!$A$3:$H$102,8,FALSE),VLOOKUP(BI$1,main!$A$3:$H$102,4,FALSE),VLOOKUP(BI$1,main!$A$3:$H$102,4,FALSE)+VLOOKUP($A89,main!$A$3:$H$102,4,FALSE)+(VLOOKUP(VLOOKUP(BI$1,main!$A$3:$H$102,8,FALSE),main!$K$19:$O$22,MATCH(VLOOKUP($A89,main!$A$3:$H$102,7,FALSE),main!$K$18:$O$18,0),0))),0)</f>
        <v>170</v>
      </c>
      <c r="BJ89">
        <f>IF((gamma!BJ89),IF(VLOOKUP(BJ$1,main!$A$3:$H$102,7,FALSE)=VLOOKUP($A89,main!$A$3:$H$102,8,FALSE),VLOOKUP(BJ$1,main!$A$3:$H$102,4,FALSE),VLOOKUP(BJ$1,main!$A$3:$H$102,4,FALSE)+VLOOKUP($A89,main!$A$3:$H$102,4,FALSE)+(VLOOKUP(VLOOKUP(BJ$1,main!$A$3:$H$102,8,FALSE),main!$K$19:$O$22,MATCH(VLOOKUP($A89,main!$A$3:$H$102,7,FALSE),main!$K$18:$O$18,0),0))),0)</f>
        <v>200</v>
      </c>
      <c r="BK89">
        <f>IF((gamma!BK89),IF(VLOOKUP(BK$1,main!$A$3:$H$102,7,FALSE)=VLOOKUP($A89,main!$A$3:$H$102,8,FALSE),VLOOKUP(BK$1,main!$A$3:$H$102,4,FALSE),VLOOKUP(BK$1,main!$A$3:$H$102,4,FALSE)+VLOOKUP($A89,main!$A$3:$H$102,4,FALSE)+(VLOOKUP(VLOOKUP(BK$1,main!$A$3:$H$102,8,FALSE),main!$K$19:$O$22,MATCH(VLOOKUP($A89,main!$A$3:$H$102,7,FALSE),main!$K$18:$O$18,0),0))),0)</f>
        <v>0</v>
      </c>
      <c r="BL89">
        <f>IF((gamma!BL89),IF(VLOOKUP(BL$1,main!$A$3:$H$102,7,FALSE)=VLOOKUP($A89,main!$A$3:$H$102,8,FALSE),VLOOKUP(BL$1,main!$A$3:$H$102,4,FALSE),VLOOKUP(BL$1,main!$A$3:$H$102,4,FALSE)+VLOOKUP($A89,main!$A$3:$H$102,4,FALSE)+(VLOOKUP(VLOOKUP(BL$1,main!$A$3:$H$102,8,FALSE),main!$K$19:$O$22,MATCH(VLOOKUP($A89,main!$A$3:$H$102,7,FALSE),main!$K$18:$O$18,0),0))),0)</f>
        <v>0</v>
      </c>
      <c r="BM89">
        <f>IF((gamma!BM89),IF(VLOOKUP(BM$1,main!$A$3:$H$102,7,FALSE)=VLOOKUP($A89,main!$A$3:$H$102,8,FALSE),VLOOKUP(BM$1,main!$A$3:$H$102,4,FALSE),VLOOKUP(BM$1,main!$A$3:$H$102,4,FALSE)+VLOOKUP($A89,main!$A$3:$H$102,4,FALSE)+(VLOOKUP(VLOOKUP(BM$1,main!$A$3:$H$102,8,FALSE),main!$K$19:$O$22,MATCH(VLOOKUP($A89,main!$A$3:$H$102,7,FALSE),main!$K$18:$O$18,0),0))),0)</f>
        <v>0</v>
      </c>
      <c r="BN89">
        <f>IF((gamma!BN89),IF(VLOOKUP(BN$1,main!$A$3:$H$102,7,FALSE)=VLOOKUP($A89,main!$A$3:$H$102,8,FALSE),VLOOKUP(BN$1,main!$A$3:$H$102,4,FALSE),VLOOKUP(BN$1,main!$A$3:$H$102,4,FALSE)+VLOOKUP($A89,main!$A$3:$H$102,4,FALSE)+(VLOOKUP(VLOOKUP(BN$1,main!$A$3:$H$102,8,FALSE),main!$K$19:$O$22,MATCH(VLOOKUP($A89,main!$A$3:$H$102,7,FALSE),main!$K$18:$O$18,0),0))),0)</f>
        <v>235</v>
      </c>
      <c r="BO89">
        <f>IF((gamma!BO89),IF(VLOOKUP(BO$1,main!$A$3:$H$102,7,FALSE)=VLOOKUP($A89,main!$A$3:$H$102,8,FALSE),VLOOKUP(BO$1,main!$A$3:$H$102,4,FALSE),VLOOKUP(BO$1,main!$A$3:$H$102,4,FALSE)+VLOOKUP($A89,main!$A$3:$H$102,4,FALSE)+(VLOOKUP(VLOOKUP(BO$1,main!$A$3:$H$102,8,FALSE),main!$K$19:$O$22,MATCH(VLOOKUP($A89,main!$A$3:$H$102,7,FALSE),main!$K$18:$O$18,0),0))),0)</f>
        <v>0</v>
      </c>
      <c r="BP89">
        <f>IF((gamma!BP89),IF(VLOOKUP(BP$1,main!$A$3:$H$102,7,FALSE)=VLOOKUP($A89,main!$A$3:$H$102,8,FALSE),VLOOKUP(BP$1,main!$A$3:$H$102,4,FALSE),VLOOKUP(BP$1,main!$A$3:$H$102,4,FALSE)+VLOOKUP($A89,main!$A$3:$H$102,4,FALSE)+(VLOOKUP(VLOOKUP(BP$1,main!$A$3:$H$102,8,FALSE),main!$K$19:$O$22,MATCH(VLOOKUP($A89,main!$A$3:$H$102,7,FALSE),main!$K$18:$O$18,0),0))),0)</f>
        <v>0</v>
      </c>
      <c r="BQ89">
        <f>IF((gamma!BQ89),IF(VLOOKUP(BQ$1,main!$A$3:$H$102,7,FALSE)=VLOOKUP($A89,main!$A$3:$H$102,8,FALSE),VLOOKUP(BQ$1,main!$A$3:$H$102,4,FALSE),VLOOKUP(BQ$1,main!$A$3:$H$102,4,FALSE)+VLOOKUP($A89,main!$A$3:$H$102,4,FALSE)+(VLOOKUP(VLOOKUP(BQ$1,main!$A$3:$H$102,8,FALSE),main!$K$19:$O$22,MATCH(VLOOKUP($A89,main!$A$3:$H$102,7,FALSE),main!$K$18:$O$18,0),0))),0)</f>
        <v>0</v>
      </c>
      <c r="BR89">
        <f>IF((gamma!BR89),IF(VLOOKUP(BR$1,main!$A$3:$H$102,7,FALSE)=VLOOKUP($A89,main!$A$3:$H$102,8,FALSE),VLOOKUP(BR$1,main!$A$3:$H$102,4,FALSE),VLOOKUP(BR$1,main!$A$3:$H$102,4,FALSE)+VLOOKUP($A89,main!$A$3:$H$102,4,FALSE)+(VLOOKUP(VLOOKUP(BR$1,main!$A$3:$H$102,8,FALSE),main!$K$19:$O$22,MATCH(VLOOKUP($A89,main!$A$3:$H$102,7,FALSE),main!$K$18:$O$18,0),0))),0)</f>
        <v>0</v>
      </c>
      <c r="BS89">
        <f>IF((gamma!BS89),IF(VLOOKUP(BS$1,main!$A$3:$H$102,7,FALSE)=VLOOKUP($A89,main!$A$3:$H$102,8,FALSE),VLOOKUP(BS$1,main!$A$3:$H$102,4,FALSE),VLOOKUP(BS$1,main!$A$3:$H$102,4,FALSE)+VLOOKUP($A89,main!$A$3:$H$102,4,FALSE)+(VLOOKUP(VLOOKUP(BS$1,main!$A$3:$H$102,8,FALSE),main!$K$19:$O$22,MATCH(VLOOKUP($A89,main!$A$3:$H$102,7,FALSE),main!$K$18:$O$18,0),0))),0)</f>
        <v>0</v>
      </c>
      <c r="BT89">
        <f>IF((gamma!BT89),IF(VLOOKUP(BT$1,main!$A$3:$H$102,7,FALSE)=VLOOKUP($A89,main!$A$3:$H$102,8,FALSE),VLOOKUP(BT$1,main!$A$3:$H$102,4,FALSE),VLOOKUP(BT$1,main!$A$3:$H$102,4,FALSE)+VLOOKUP($A89,main!$A$3:$H$102,4,FALSE)+(VLOOKUP(VLOOKUP(BT$1,main!$A$3:$H$102,8,FALSE),main!$K$19:$O$22,MATCH(VLOOKUP($A89,main!$A$3:$H$102,7,FALSE),main!$K$18:$O$18,0),0))),0)</f>
        <v>0</v>
      </c>
      <c r="BU89">
        <f>IF((gamma!BU89),IF(VLOOKUP(BU$1,main!$A$3:$H$102,7,FALSE)=VLOOKUP($A89,main!$A$3:$H$102,8,FALSE),VLOOKUP(BU$1,main!$A$3:$H$102,4,FALSE),VLOOKUP(BU$1,main!$A$3:$H$102,4,FALSE)+VLOOKUP($A89,main!$A$3:$H$102,4,FALSE)+(VLOOKUP(VLOOKUP(BU$1,main!$A$3:$H$102,8,FALSE),main!$K$19:$O$22,MATCH(VLOOKUP($A89,main!$A$3:$H$102,7,FALSE),main!$K$18:$O$18,0),0))),0)</f>
        <v>0</v>
      </c>
      <c r="BV89">
        <f>IF((gamma!BV89),IF(VLOOKUP(BV$1,main!$A$3:$H$102,7,FALSE)=VLOOKUP($A89,main!$A$3:$H$102,8,FALSE),VLOOKUP(BV$1,main!$A$3:$H$102,4,FALSE),VLOOKUP(BV$1,main!$A$3:$H$102,4,FALSE)+VLOOKUP($A89,main!$A$3:$H$102,4,FALSE)+(VLOOKUP(VLOOKUP(BV$1,main!$A$3:$H$102,8,FALSE),main!$K$19:$O$22,MATCH(VLOOKUP($A89,main!$A$3:$H$102,7,FALSE),main!$K$18:$O$18,0),0))),0)</f>
        <v>0</v>
      </c>
      <c r="BW89">
        <f>IF((gamma!BW89),IF(VLOOKUP(BW$1,main!$A$3:$H$102,7,FALSE)=VLOOKUP($A89,main!$A$3:$H$102,8,FALSE),VLOOKUP(BW$1,main!$A$3:$H$102,4,FALSE),VLOOKUP(BW$1,main!$A$3:$H$102,4,FALSE)+VLOOKUP($A89,main!$A$3:$H$102,4,FALSE)+(VLOOKUP(VLOOKUP(BW$1,main!$A$3:$H$102,8,FALSE),main!$K$19:$O$22,MATCH(VLOOKUP($A89,main!$A$3:$H$102,7,FALSE),main!$K$18:$O$18,0),0))),0)</f>
        <v>0</v>
      </c>
      <c r="BX89">
        <f>IF((gamma!BX89),IF(VLOOKUP(BX$1,main!$A$3:$H$102,7,FALSE)=VLOOKUP($A89,main!$A$3:$H$102,8,FALSE),VLOOKUP(BX$1,main!$A$3:$H$102,4,FALSE),VLOOKUP(BX$1,main!$A$3:$H$102,4,FALSE)+VLOOKUP($A89,main!$A$3:$H$102,4,FALSE)+(VLOOKUP(VLOOKUP(BX$1,main!$A$3:$H$102,8,FALSE),main!$K$19:$O$22,MATCH(VLOOKUP($A89,main!$A$3:$H$102,7,FALSE),main!$K$18:$O$18,0),0))),0)</f>
        <v>0</v>
      </c>
      <c r="BY89">
        <f>IF((gamma!BY89),IF(VLOOKUP(BY$1,main!$A$3:$H$102,7,FALSE)=VLOOKUP($A89,main!$A$3:$H$102,8,FALSE),VLOOKUP(BY$1,main!$A$3:$H$102,4,FALSE),VLOOKUP(BY$1,main!$A$3:$H$102,4,FALSE)+VLOOKUP($A89,main!$A$3:$H$102,4,FALSE)+(VLOOKUP(VLOOKUP(BY$1,main!$A$3:$H$102,8,FALSE),main!$K$19:$O$22,MATCH(VLOOKUP($A89,main!$A$3:$H$102,7,FALSE),main!$K$18:$O$18,0),0))),0)</f>
        <v>195</v>
      </c>
      <c r="BZ89">
        <f>IF((gamma!BZ89),IF(VLOOKUP(BZ$1,main!$A$3:$H$102,7,FALSE)=VLOOKUP($A89,main!$A$3:$H$102,8,FALSE),VLOOKUP(BZ$1,main!$A$3:$H$102,4,FALSE),VLOOKUP(BZ$1,main!$A$3:$H$102,4,FALSE)+VLOOKUP($A89,main!$A$3:$H$102,4,FALSE)+(VLOOKUP(VLOOKUP(BZ$1,main!$A$3:$H$102,8,FALSE),main!$K$19:$O$22,MATCH(VLOOKUP($A89,main!$A$3:$H$102,7,FALSE),main!$K$18:$O$18,0),0))),0)</f>
        <v>0</v>
      </c>
      <c r="CA89">
        <f>IF((gamma!CA89),IF(VLOOKUP(CA$1,main!$A$3:$H$102,7,FALSE)=VLOOKUP($A89,main!$A$3:$H$102,8,FALSE),VLOOKUP(CA$1,main!$A$3:$H$102,4,FALSE),VLOOKUP(CA$1,main!$A$3:$H$102,4,FALSE)+VLOOKUP($A89,main!$A$3:$H$102,4,FALSE)+(VLOOKUP(VLOOKUP(CA$1,main!$A$3:$H$102,8,FALSE),main!$K$19:$O$22,MATCH(VLOOKUP($A89,main!$A$3:$H$102,7,FALSE),main!$K$18:$O$18,0),0))),0)</f>
        <v>0</v>
      </c>
      <c r="CB89">
        <f>IF((gamma!CB89),IF(VLOOKUP(CB$1,main!$A$3:$H$102,7,FALSE)=VLOOKUP($A89,main!$A$3:$H$102,8,FALSE),VLOOKUP(CB$1,main!$A$3:$H$102,4,FALSE),VLOOKUP(CB$1,main!$A$3:$H$102,4,FALSE)+VLOOKUP($A89,main!$A$3:$H$102,4,FALSE)+(VLOOKUP(VLOOKUP(CB$1,main!$A$3:$H$102,8,FALSE),main!$K$19:$O$22,MATCH(VLOOKUP($A89,main!$A$3:$H$102,7,FALSE),main!$K$18:$O$18,0),0))),0)</f>
        <v>140</v>
      </c>
      <c r="CC89">
        <f>IF((gamma!CC89),IF(VLOOKUP(CC$1,main!$A$3:$H$102,7,FALSE)=VLOOKUP($A89,main!$A$3:$H$102,8,FALSE),VLOOKUP(CC$1,main!$A$3:$H$102,4,FALSE),VLOOKUP(CC$1,main!$A$3:$H$102,4,FALSE)+VLOOKUP($A89,main!$A$3:$H$102,4,FALSE)+(VLOOKUP(VLOOKUP(CC$1,main!$A$3:$H$102,8,FALSE),main!$K$19:$O$22,MATCH(VLOOKUP($A89,main!$A$3:$H$102,7,FALSE),main!$K$18:$O$18,0),0))),0)</f>
        <v>130</v>
      </c>
      <c r="CD89">
        <f>IF((gamma!CD89),IF(VLOOKUP(CD$1,main!$A$3:$H$102,7,FALSE)=VLOOKUP($A89,main!$A$3:$H$102,8,FALSE),VLOOKUP(CD$1,main!$A$3:$H$102,4,FALSE),VLOOKUP(CD$1,main!$A$3:$H$102,4,FALSE)+VLOOKUP($A89,main!$A$3:$H$102,4,FALSE)+(VLOOKUP(VLOOKUP(CD$1,main!$A$3:$H$102,8,FALSE),main!$K$19:$O$22,MATCH(VLOOKUP($A89,main!$A$3:$H$102,7,FALSE),main!$K$18:$O$18,0),0))),0)</f>
        <v>189</v>
      </c>
      <c r="CE89">
        <f>IF((gamma!CE89),IF(VLOOKUP(CE$1,main!$A$3:$H$102,7,FALSE)=VLOOKUP($A89,main!$A$3:$H$102,8,FALSE),VLOOKUP(CE$1,main!$A$3:$H$102,4,FALSE),VLOOKUP(CE$1,main!$A$3:$H$102,4,FALSE)+VLOOKUP($A89,main!$A$3:$H$102,4,FALSE)+(VLOOKUP(VLOOKUP(CE$1,main!$A$3:$H$102,8,FALSE),main!$K$19:$O$22,MATCH(VLOOKUP($A89,main!$A$3:$H$102,7,FALSE),main!$K$18:$O$18,0),0))),0)</f>
        <v>0</v>
      </c>
      <c r="CF89">
        <f>IF((gamma!CF89),IF(VLOOKUP(CF$1,main!$A$3:$H$102,7,FALSE)=VLOOKUP($A89,main!$A$3:$H$102,8,FALSE),VLOOKUP(CF$1,main!$A$3:$H$102,4,FALSE),VLOOKUP(CF$1,main!$A$3:$H$102,4,FALSE)+VLOOKUP($A89,main!$A$3:$H$102,4,FALSE)+(VLOOKUP(VLOOKUP(CF$1,main!$A$3:$H$102,8,FALSE),main!$K$19:$O$22,MATCH(VLOOKUP($A89,main!$A$3:$H$102,7,FALSE),main!$K$18:$O$18,0),0))),0)</f>
        <v>0</v>
      </c>
      <c r="CG89">
        <f>IF((gamma!CG89),IF(VLOOKUP(CG$1,main!$A$3:$H$102,7,FALSE)=VLOOKUP($A89,main!$A$3:$H$102,8,FALSE),VLOOKUP(CG$1,main!$A$3:$H$102,4,FALSE),VLOOKUP(CG$1,main!$A$3:$H$102,4,FALSE)+VLOOKUP($A89,main!$A$3:$H$102,4,FALSE)+(VLOOKUP(VLOOKUP(CG$1,main!$A$3:$H$102,8,FALSE),main!$K$19:$O$22,MATCH(VLOOKUP($A89,main!$A$3:$H$102,7,FALSE),main!$K$18:$O$18,0),0))),0)</f>
        <v>0</v>
      </c>
      <c r="CH89">
        <f>IF((gamma!CH89),IF(VLOOKUP(CH$1,main!$A$3:$H$102,7,FALSE)=VLOOKUP($A89,main!$A$3:$H$102,8,FALSE),VLOOKUP(CH$1,main!$A$3:$H$102,4,FALSE),VLOOKUP(CH$1,main!$A$3:$H$102,4,FALSE)+VLOOKUP($A89,main!$A$3:$H$102,4,FALSE)+(VLOOKUP(VLOOKUP(CH$1,main!$A$3:$H$102,8,FALSE),main!$K$19:$O$22,MATCH(VLOOKUP($A89,main!$A$3:$H$102,7,FALSE),main!$K$18:$O$18,0),0))),0)</f>
        <v>250</v>
      </c>
      <c r="CI89">
        <f>IF((gamma!CI89),IF(VLOOKUP(CI$1,main!$A$3:$H$102,7,FALSE)=VLOOKUP($A89,main!$A$3:$H$102,8,FALSE),VLOOKUP(CI$1,main!$A$3:$H$102,4,FALSE),VLOOKUP(CI$1,main!$A$3:$H$102,4,FALSE)+VLOOKUP($A89,main!$A$3:$H$102,4,FALSE)+(VLOOKUP(VLOOKUP(CI$1,main!$A$3:$H$102,8,FALSE),main!$K$19:$O$22,MATCH(VLOOKUP($A89,main!$A$3:$H$102,7,FALSE),main!$K$18:$O$18,0),0))),0)</f>
        <v>250</v>
      </c>
      <c r="CJ89">
        <f>IF((gamma!CJ89),IF(VLOOKUP(CJ$1,main!$A$3:$H$102,7,FALSE)=VLOOKUP($A89,main!$A$3:$H$102,8,FALSE),VLOOKUP(CJ$1,main!$A$3:$H$102,4,FALSE),VLOOKUP(CJ$1,main!$A$3:$H$102,4,FALSE)+VLOOKUP($A89,main!$A$3:$H$102,4,FALSE)+(VLOOKUP(VLOOKUP(CJ$1,main!$A$3:$H$102,8,FALSE),main!$K$19:$O$22,MATCH(VLOOKUP($A89,main!$A$3:$H$102,7,FALSE),main!$K$18:$O$18,0),0))),0)</f>
        <v>0</v>
      </c>
      <c r="CK89">
        <f>IF((gamma!CK89),IF(VLOOKUP(CK$1,main!$A$3:$H$102,7,FALSE)=VLOOKUP($A89,main!$A$3:$H$102,8,FALSE),VLOOKUP(CK$1,main!$A$3:$H$102,4,FALSE),VLOOKUP(CK$1,main!$A$3:$H$102,4,FALSE)+VLOOKUP($A89,main!$A$3:$H$102,4,FALSE)+(VLOOKUP(VLOOKUP(CK$1,main!$A$3:$H$102,8,FALSE),main!$K$19:$O$22,MATCH(VLOOKUP($A89,main!$A$3:$H$102,7,FALSE),main!$K$18:$O$18,0),0))),0)</f>
        <v>0</v>
      </c>
      <c r="CL89">
        <f>IF((gamma!CL89),IF(VLOOKUP(CL$1,main!$A$3:$H$102,7,FALSE)=VLOOKUP($A89,main!$A$3:$H$102,8,FALSE),VLOOKUP(CL$1,main!$A$3:$H$102,4,FALSE),VLOOKUP(CL$1,main!$A$3:$H$102,4,FALSE)+VLOOKUP($A89,main!$A$3:$H$102,4,FALSE)+(VLOOKUP(VLOOKUP(CL$1,main!$A$3:$H$102,8,FALSE),main!$K$19:$O$22,MATCH(VLOOKUP($A89,main!$A$3:$H$102,7,FALSE),main!$K$18:$O$18,0),0))),0)</f>
        <v>0</v>
      </c>
      <c r="CM89">
        <f>IF((gamma!CM89),IF(VLOOKUP(CM$1,main!$A$3:$H$102,7,FALSE)=VLOOKUP($A89,main!$A$3:$H$102,8,FALSE),VLOOKUP(CM$1,main!$A$3:$H$102,4,FALSE),VLOOKUP(CM$1,main!$A$3:$H$102,4,FALSE)+VLOOKUP($A89,main!$A$3:$H$102,4,FALSE)+(VLOOKUP(VLOOKUP(CM$1,main!$A$3:$H$102,8,FALSE),main!$K$19:$O$22,MATCH(VLOOKUP($A89,main!$A$3:$H$102,7,FALSE),main!$K$18:$O$18,0),0))),0)</f>
        <v>210</v>
      </c>
      <c r="CN89">
        <f>IF((gamma!CN89),IF(VLOOKUP(CN$1,main!$A$3:$H$102,7,FALSE)=VLOOKUP($A89,main!$A$3:$H$102,8,FALSE),VLOOKUP(CN$1,main!$A$3:$H$102,4,FALSE),VLOOKUP(CN$1,main!$A$3:$H$102,4,FALSE)+VLOOKUP($A89,main!$A$3:$H$102,4,FALSE)+(VLOOKUP(VLOOKUP(CN$1,main!$A$3:$H$102,8,FALSE),main!$K$19:$O$22,MATCH(VLOOKUP($A89,main!$A$3:$H$102,7,FALSE),main!$K$18:$O$18,0),0))),0)</f>
        <v>206</v>
      </c>
      <c r="CO89">
        <f>IF((gamma!CO89),IF(VLOOKUP(CO$1,main!$A$3:$H$102,7,FALSE)=VLOOKUP($A89,main!$A$3:$H$102,8,FALSE),VLOOKUP(CO$1,main!$A$3:$H$102,4,FALSE),VLOOKUP(CO$1,main!$A$3:$H$102,4,FALSE)+VLOOKUP($A89,main!$A$3:$H$102,4,FALSE)+(VLOOKUP(VLOOKUP(CO$1,main!$A$3:$H$102,8,FALSE),main!$K$19:$O$22,MATCH(VLOOKUP($A89,main!$A$3:$H$102,7,FALSE),main!$K$18:$O$18,0),0))),0)</f>
        <v>0</v>
      </c>
      <c r="CP89">
        <f>IF((gamma!CP89),IF(VLOOKUP(CP$1,main!$A$3:$H$102,7,FALSE)=VLOOKUP($A89,main!$A$3:$H$102,8,FALSE),VLOOKUP(CP$1,main!$A$3:$H$102,4,FALSE),VLOOKUP(CP$1,main!$A$3:$H$102,4,FALSE)+VLOOKUP($A89,main!$A$3:$H$102,4,FALSE)+(VLOOKUP(VLOOKUP(CP$1,main!$A$3:$H$102,8,FALSE),main!$K$19:$O$22,MATCH(VLOOKUP($A89,main!$A$3:$H$102,7,FALSE),main!$K$18:$O$18,0),0))),0)</f>
        <v>0</v>
      </c>
      <c r="CQ89">
        <f>IF((gamma!CQ89),IF(VLOOKUP(CQ$1,main!$A$3:$H$102,7,FALSE)=VLOOKUP($A89,main!$A$3:$H$102,8,FALSE),VLOOKUP(CQ$1,main!$A$3:$H$102,4,FALSE),VLOOKUP(CQ$1,main!$A$3:$H$102,4,FALSE)+VLOOKUP($A89,main!$A$3:$H$102,4,FALSE)+(VLOOKUP(VLOOKUP(CQ$1,main!$A$3:$H$102,8,FALSE),main!$K$19:$O$22,MATCH(VLOOKUP($A89,main!$A$3:$H$102,7,FALSE),main!$K$18:$O$18,0),0))),0)</f>
        <v>0</v>
      </c>
      <c r="CR89">
        <f>IF((gamma!CR89),IF(VLOOKUP(CR$1,main!$A$3:$H$102,7,FALSE)=VLOOKUP($A89,main!$A$3:$H$102,8,FALSE),VLOOKUP(CR$1,main!$A$3:$H$102,4,FALSE),VLOOKUP(CR$1,main!$A$3:$H$102,4,FALSE)+VLOOKUP($A89,main!$A$3:$H$102,4,FALSE)+(VLOOKUP(VLOOKUP(CR$1,main!$A$3:$H$102,8,FALSE),main!$K$19:$O$22,MATCH(VLOOKUP($A89,main!$A$3:$H$102,7,FALSE),main!$K$18:$O$18,0),0))),0)</f>
        <v>243</v>
      </c>
      <c r="CS89">
        <f>IF((gamma!CS89),IF(VLOOKUP(CS$1,main!$A$3:$H$102,7,FALSE)=VLOOKUP($A89,main!$A$3:$H$102,8,FALSE),VLOOKUP(CS$1,main!$A$3:$H$102,4,FALSE),VLOOKUP(CS$1,main!$A$3:$H$102,4,FALSE)+VLOOKUP($A89,main!$A$3:$H$102,4,FALSE)+(VLOOKUP(VLOOKUP(CS$1,main!$A$3:$H$102,8,FALSE),main!$K$19:$O$22,MATCH(VLOOKUP($A89,main!$A$3:$H$102,7,FALSE),main!$K$18:$O$18,0),0))),0)</f>
        <v>243</v>
      </c>
      <c r="CT89">
        <f>IF((gamma!CT89),IF(VLOOKUP(CT$1,main!$A$3:$H$102,7,FALSE)=VLOOKUP($A89,main!$A$3:$H$102,8,FALSE),VLOOKUP(CT$1,main!$A$3:$H$102,4,FALSE),VLOOKUP(CT$1,main!$A$3:$H$102,4,FALSE)+VLOOKUP($A89,main!$A$3:$H$102,4,FALSE)+(VLOOKUP(VLOOKUP(CT$1,main!$A$3:$H$102,8,FALSE),main!$K$19:$O$22,MATCH(VLOOKUP($A89,main!$A$3:$H$102,7,FALSE),main!$K$18:$O$18,0),0))),0)</f>
        <v>0</v>
      </c>
      <c r="CU89">
        <f>IF((gamma!CU89),IF(VLOOKUP(CU$1,main!$A$3:$H$102,7,FALSE)=VLOOKUP($A89,main!$A$3:$H$102,8,FALSE),VLOOKUP(CU$1,main!$A$3:$H$102,4,FALSE),VLOOKUP(CU$1,main!$A$3:$H$102,4,FALSE)+VLOOKUP($A89,main!$A$3:$H$102,4,FALSE)+(VLOOKUP(VLOOKUP(CU$1,main!$A$3:$H$102,8,FALSE),main!$K$19:$O$22,MATCH(VLOOKUP($A89,main!$A$3:$H$102,7,FALSE),main!$K$18:$O$18,0),0))),0)</f>
        <v>0</v>
      </c>
      <c r="CV89">
        <f>IF((gamma!CV89),IF(VLOOKUP(CV$1,main!$A$3:$H$102,7,FALSE)=VLOOKUP($A89,main!$A$3:$H$102,8,FALSE),VLOOKUP(CV$1,main!$A$3:$H$102,4,FALSE),VLOOKUP(CV$1,main!$A$3:$H$102,4,FALSE)+VLOOKUP($A89,main!$A$3:$H$102,4,FALSE)+(VLOOKUP(VLOOKUP(CV$1,main!$A$3:$H$102,8,FALSE),main!$K$19:$O$22,MATCH(VLOOKUP($A89,main!$A$3:$H$102,7,FALSE),main!$K$18:$O$18,0),0))),0)</f>
        <v>0</v>
      </c>
      <c r="CW89">
        <f>IF((gamma!CW89),IF(VLOOKUP(CW$1,main!$A$3:$H$102,7,FALSE)=VLOOKUP($A89,main!$A$3:$H$102,8,FALSE),VLOOKUP(CW$1,main!$A$3:$H$102,4,FALSE),VLOOKUP(CW$1,main!$A$3:$H$102,4,FALSE)+VLOOKUP($A89,main!$A$3:$H$102,4,FALSE)+(VLOOKUP(VLOOKUP(CW$1,main!$A$3:$H$102,8,FALSE),main!$K$19:$O$22,MATCH(VLOOKUP($A89,main!$A$3:$H$102,7,FALSE),main!$K$18:$O$18,0),0))),0)</f>
        <v>203</v>
      </c>
      <c r="CX89">
        <f>IF((gamma!CX89),IF(VLOOKUP(CX$1,main!$A$3:$H$102,7,FALSE)=VLOOKUP($A89,main!$A$3:$H$102,8,FALSE),VLOOKUP(CX$1,main!$A$3:$H$102,4,FALSE),VLOOKUP(CX$1,main!$A$3:$H$102,4,FALSE)+VLOOKUP($A89,main!$A$3:$H$102,4,FALSE)+(VLOOKUP(VLOOKUP(CX$1,main!$A$3:$H$102,8,FALSE),main!$K$19:$O$22,MATCH(VLOOKUP($A89,main!$A$3:$H$102,7,FALSE),main!$K$18:$O$18,0),0))),0)</f>
        <v>193</v>
      </c>
      <c r="CY89">
        <v>0</v>
      </c>
      <c r="CZ89">
        <v>0</v>
      </c>
      <c r="DA89">
        <v>0</v>
      </c>
    </row>
    <row r="90" spans="1:105" x14ac:dyDescent="0.25">
      <c r="A90" s="1">
        <v>88</v>
      </c>
      <c r="B90">
        <v>0</v>
      </c>
      <c r="C90">
        <f>IF((gamma!C90),IF(VLOOKUP(C$1,main!$A$3:$H$102,7,FALSE)=VLOOKUP($A90,main!$A$3:$H$102,8,FALSE),VLOOKUP(C$1,main!$A$3:$H$102,4,FALSE),VLOOKUP(C$1,main!$A$3:$H$102,4,FALSE)+VLOOKUP($A90,main!$A$3:$H$102,4,FALSE)+(VLOOKUP(VLOOKUP(C$1,main!$A$3:$H$102,8,FALSE),main!$K$19:$O$22,MATCH(VLOOKUP($A90,main!$A$3:$H$102,7,FALSE),main!$K$18:$O$18,0),0))),0)</f>
        <v>0</v>
      </c>
      <c r="D90">
        <f>IF((gamma!D90),IF(VLOOKUP(D$1,main!$A$3:$H$102,7,FALSE)=VLOOKUP($A90,main!$A$3:$H$102,8,FALSE),VLOOKUP(D$1,main!$A$3:$H$102,4,FALSE),VLOOKUP(D$1,main!$A$3:$H$102,4,FALSE)+VLOOKUP($A90,main!$A$3:$H$102,4,FALSE)+(VLOOKUP(VLOOKUP(D$1,main!$A$3:$H$102,8,FALSE),main!$K$19:$O$22,MATCH(VLOOKUP($A90,main!$A$3:$H$102,7,FALSE),main!$K$18:$O$18,0),0))),0)</f>
        <v>0</v>
      </c>
      <c r="E90">
        <f>IF((gamma!E90),IF(VLOOKUP(E$1,main!$A$3:$H$102,7,FALSE)=VLOOKUP($A90,main!$A$3:$H$102,8,FALSE),VLOOKUP(E$1,main!$A$3:$H$102,4,FALSE),VLOOKUP(E$1,main!$A$3:$H$102,4,FALSE)+VLOOKUP($A90,main!$A$3:$H$102,4,FALSE)+(VLOOKUP(VLOOKUP(E$1,main!$A$3:$H$102,8,FALSE),main!$K$19:$O$22,MATCH(VLOOKUP($A90,main!$A$3:$H$102,7,FALSE),main!$K$18:$O$18,0),0))),0)</f>
        <v>0</v>
      </c>
      <c r="F90">
        <f>IF((gamma!F90),IF(VLOOKUP(F$1,main!$A$3:$H$102,7,FALSE)=VLOOKUP($A90,main!$A$3:$H$102,8,FALSE),VLOOKUP(F$1,main!$A$3:$H$102,4,FALSE),VLOOKUP(F$1,main!$A$3:$H$102,4,FALSE)+VLOOKUP($A90,main!$A$3:$H$102,4,FALSE)+(VLOOKUP(VLOOKUP(F$1,main!$A$3:$H$102,8,FALSE),main!$K$19:$O$22,MATCH(VLOOKUP($A90,main!$A$3:$H$102,7,FALSE),main!$K$18:$O$18,0),0))),0)</f>
        <v>0</v>
      </c>
      <c r="G90">
        <f>IF((gamma!G90),IF(VLOOKUP(G$1,main!$A$3:$H$102,7,FALSE)=VLOOKUP($A90,main!$A$3:$H$102,8,FALSE),VLOOKUP(G$1,main!$A$3:$H$102,4,FALSE),VLOOKUP(G$1,main!$A$3:$H$102,4,FALSE)+VLOOKUP($A90,main!$A$3:$H$102,4,FALSE)+(VLOOKUP(VLOOKUP(G$1,main!$A$3:$H$102,8,FALSE),main!$K$19:$O$22,MATCH(VLOOKUP($A90,main!$A$3:$H$102,7,FALSE),main!$K$18:$O$18,0),0))),0)</f>
        <v>0</v>
      </c>
      <c r="H90">
        <f>IF((gamma!H90),IF(VLOOKUP(H$1,main!$A$3:$H$102,7,FALSE)=VLOOKUP($A90,main!$A$3:$H$102,8,FALSE),VLOOKUP(H$1,main!$A$3:$H$102,4,FALSE),VLOOKUP(H$1,main!$A$3:$H$102,4,FALSE)+VLOOKUP($A90,main!$A$3:$H$102,4,FALSE)+(VLOOKUP(VLOOKUP(H$1,main!$A$3:$H$102,8,FALSE),main!$K$19:$O$22,MATCH(VLOOKUP($A90,main!$A$3:$H$102,7,FALSE),main!$K$18:$O$18,0),0))),0)</f>
        <v>135</v>
      </c>
      <c r="I90">
        <f>IF((gamma!I90),IF(VLOOKUP(I$1,main!$A$3:$H$102,7,FALSE)=VLOOKUP($A90,main!$A$3:$H$102,8,FALSE),VLOOKUP(I$1,main!$A$3:$H$102,4,FALSE),VLOOKUP(I$1,main!$A$3:$H$102,4,FALSE)+VLOOKUP($A90,main!$A$3:$H$102,4,FALSE)+(VLOOKUP(VLOOKUP(I$1,main!$A$3:$H$102,8,FALSE),main!$K$19:$O$22,MATCH(VLOOKUP($A90,main!$A$3:$H$102,7,FALSE),main!$K$18:$O$18,0),0))),0)</f>
        <v>135</v>
      </c>
      <c r="J90">
        <f>IF((gamma!J90),IF(VLOOKUP(J$1,main!$A$3:$H$102,7,FALSE)=VLOOKUP($A90,main!$A$3:$H$102,8,FALSE),VLOOKUP(J$1,main!$A$3:$H$102,4,FALSE),VLOOKUP(J$1,main!$A$3:$H$102,4,FALSE)+VLOOKUP($A90,main!$A$3:$H$102,4,FALSE)+(VLOOKUP(VLOOKUP(J$1,main!$A$3:$H$102,8,FALSE),main!$K$19:$O$22,MATCH(VLOOKUP($A90,main!$A$3:$H$102,7,FALSE),main!$K$18:$O$18,0),0))),0)</f>
        <v>135</v>
      </c>
      <c r="K90">
        <f>IF((gamma!K90),IF(VLOOKUP(K$1,main!$A$3:$H$102,7,FALSE)=VLOOKUP($A90,main!$A$3:$H$102,8,FALSE),VLOOKUP(K$1,main!$A$3:$H$102,4,FALSE),VLOOKUP(K$1,main!$A$3:$H$102,4,FALSE)+VLOOKUP($A90,main!$A$3:$H$102,4,FALSE)+(VLOOKUP(VLOOKUP(K$1,main!$A$3:$H$102,8,FALSE),main!$K$19:$O$22,MATCH(VLOOKUP($A90,main!$A$3:$H$102,7,FALSE),main!$K$18:$O$18,0),0))),0)</f>
        <v>135</v>
      </c>
      <c r="L90">
        <f>IF((gamma!L90),IF(VLOOKUP(L$1,main!$A$3:$H$102,7,FALSE)=VLOOKUP($A90,main!$A$3:$H$102,8,FALSE),VLOOKUP(L$1,main!$A$3:$H$102,4,FALSE),VLOOKUP(L$1,main!$A$3:$H$102,4,FALSE)+VLOOKUP($A90,main!$A$3:$H$102,4,FALSE)+(VLOOKUP(VLOOKUP(L$1,main!$A$3:$H$102,8,FALSE),main!$K$19:$O$22,MATCH(VLOOKUP($A90,main!$A$3:$H$102,7,FALSE),main!$K$18:$O$18,0),0))),0)</f>
        <v>135</v>
      </c>
      <c r="M90">
        <f>IF((gamma!M90),IF(VLOOKUP(M$1,main!$A$3:$H$102,7,FALSE)=VLOOKUP($A90,main!$A$3:$H$102,8,FALSE),VLOOKUP(M$1,main!$A$3:$H$102,4,FALSE),VLOOKUP(M$1,main!$A$3:$H$102,4,FALSE)+VLOOKUP($A90,main!$A$3:$H$102,4,FALSE)+(VLOOKUP(VLOOKUP(M$1,main!$A$3:$H$102,8,FALSE),main!$K$19:$O$22,MATCH(VLOOKUP($A90,main!$A$3:$H$102,7,FALSE),main!$K$18:$O$18,0),0))),0)</f>
        <v>0</v>
      </c>
      <c r="N90">
        <f>IF((gamma!N90),IF(VLOOKUP(N$1,main!$A$3:$H$102,7,FALSE)=VLOOKUP($A90,main!$A$3:$H$102,8,FALSE),VLOOKUP(N$1,main!$A$3:$H$102,4,FALSE),VLOOKUP(N$1,main!$A$3:$H$102,4,FALSE)+VLOOKUP($A90,main!$A$3:$H$102,4,FALSE)+(VLOOKUP(VLOOKUP(N$1,main!$A$3:$H$102,8,FALSE),main!$K$19:$O$22,MATCH(VLOOKUP($A90,main!$A$3:$H$102,7,FALSE),main!$K$18:$O$18,0),0))),0)</f>
        <v>0</v>
      </c>
      <c r="O90">
        <f>IF((gamma!O90),IF(VLOOKUP(O$1,main!$A$3:$H$102,7,FALSE)=VLOOKUP($A90,main!$A$3:$H$102,8,FALSE),VLOOKUP(O$1,main!$A$3:$H$102,4,FALSE),VLOOKUP(O$1,main!$A$3:$H$102,4,FALSE)+VLOOKUP($A90,main!$A$3:$H$102,4,FALSE)+(VLOOKUP(VLOOKUP(O$1,main!$A$3:$H$102,8,FALSE),main!$K$19:$O$22,MATCH(VLOOKUP($A90,main!$A$3:$H$102,7,FALSE),main!$K$18:$O$18,0),0))),0)</f>
        <v>0</v>
      </c>
      <c r="P90">
        <f>IF((gamma!P90),IF(VLOOKUP(P$1,main!$A$3:$H$102,7,FALSE)=VLOOKUP($A90,main!$A$3:$H$102,8,FALSE),VLOOKUP(P$1,main!$A$3:$H$102,4,FALSE),VLOOKUP(P$1,main!$A$3:$H$102,4,FALSE)+VLOOKUP($A90,main!$A$3:$H$102,4,FALSE)+(VLOOKUP(VLOOKUP(P$1,main!$A$3:$H$102,8,FALSE),main!$K$19:$O$22,MATCH(VLOOKUP($A90,main!$A$3:$H$102,7,FALSE),main!$K$18:$O$18,0),0))),0)</f>
        <v>0</v>
      </c>
      <c r="Q90">
        <f>IF((gamma!Q90),IF(VLOOKUP(Q$1,main!$A$3:$H$102,7,FALSE)=VLOOKUP($A90,main!$A$3:$H$102,8,FALSE),VLOOKUP(Q$1,main!$A$3:$H$102,4,FALSE),VLOOKUP(Q$1,main!$A$3:$H$102,4,FALSE)+VLOOKUP($A90,main!$A$3:$H$102,4,FALSE)+(VLOOKUP(VLOOKUP(Q$1,main!$A$3:$H$102,8,FALSE),main!$K$19:$O$22,MATCH(VLOOKUP($A90,main!$A$3:$H$102,7,FALSE),main!$K$18:$O$18,0),0))),0)</f>
        <v>0</v>
      </c>
      <c r="R90">
        <f>IF((gamma!R90),IF(VLOOKUP(R$1,main!$A$3:$H$102,7,FALSE)=VLOOKUP($A90,main!$A$3:$H$102,8,FALSE),VLOOKUP(R$1,main!$A$3:$H$102,4,FALSE),VLOOKUP(R$1,main!$A$3:$H$102,4,FALSE)+VLOOKUP($A90,main!$A$3:$H$102,4,FALSE)+(VLOOKUP(VLOOKUP(R$1,main!$A$3:$H$102,8,FALSE),main!$K$19:$O$22,MATCH(VLOOKUP($A90,main!$A$3:$H$102,7,FALSE),main!$K$18:$O$18,0),0))),0)</f>
        <v>0</v>
      </c>
      <c r="S90">
        <f>IF((gamma!S90),IF(VLOOKUP(S$1,main!$A$3:$H$102,7,FALSE)=VLOOKUP($A90,main!$A$3:$H$102,8,FALSE),VLOOKUP(S$1,main!$A$3:$H$102,4,FALSE),VLOOKUP(S$1,main!$A$3:$H$102,4,FALSE)+VLOOKUP($A90,main!$A$3:$H$102,4,FALSE)+(VLOOKUP(VLOOKUP(S$1,main!$A$3:$H$102,8,FALSE),main!$K$19:$O$22,MATCH(VLOOKUP($A90,main!$A$3:$H$102,7,FALSE),main!$K$18:$O$18,0),0))),0)</f>
        <v>140</v>
      </c>
      <c r="T90">
        <f>IF((gamma!T90),IF(VLOOKUP(T$1,main!$A$3:$H$102,7,FALSE)=VLOOKUP($A90,main!$A$3:$H$102,8,FALSE),VLOOKUP(T$1,main!$A$3:$H$102,4,FALSE),VLOOKUP(T$1,main!$A$3:$H$102,4,FALSE)+VLOOKUP($A90,main!$A$3:$H$102,4,FALSE)+(VLOOKUP(VLOOKUP(T$1,main!$A$3:$H$102,8,FALSE),main!$K$19:$O$22,MATCH(VLOOKUP($A90,main!$A$3:$H$102,7,FALSE),main!$K$18:$O$18,0),0))),0)</f>
        <v>140</v>
      </c>
      <c r="U90">
        <f>IF((gamma!U90),IF(VLOOKUP(U$1,main!$A$3:$H$102,7,FALSE)=VLOOKUP($A90,main!$A$3:$H$102,8,FALSE),VLOOKUP(U$1,main!$A$3:$H$102,4,FALSE),VLOOKUP(U$1,main!$A$3:$H$102,4,FALSE)+VLOOKUP($A90,main!$A$3:$H$102,4,FALSE)+(VLOOKUP(VLOOKUP(U$1,main!$A$3:$H$102,8,FALSE),main!$K$19:$O$22,MATCH(VLOOKUP($A90,main!$A$3:$H$102,7,FALSE),main!$K$18:$O$18,0),0))),0)</f>
        <v>140</v>
      </c>
      <c r="V90">
        <f>IF((gamma!V90),IF(VLOOKUP(V$1,main!$A$3:$H$102,7,FALSE)=VLOOKUP($A90,main!$A$3:$H$102,8,FALSE),VLOOKUP(V$1,main!$A$3:$H$102,4,FALSE),VLOOKUP(V$1,main!$A$3:$H$102,4,FALSE)+VLOOKUP($A90,main!$A$3:$H$102,4,FALSE)+(VLOOKUP(VLOOKUP(V$1,main!$A$3:$H$102,8,FALSE),main!$K$19:$O$22,MATCH(VLOOKUP($A90,main!$A$3:$H$102,7,FALSE),main!$K$18:$O$18,0),0))),0)</f>
        <v>140</v>
      </c>
      <c r="W90">
        <f>IF((gamma!W90),IF(VLOOKUP(W$1,main!$A$3:$H$102,7,FALSE)=VLOOKUP($A90,main!$A$3:$H$102,8,FALSE),VLOOKUP(W$1,main!$A$3:$H$102,4,FALSE),VLOOKUP(W$1,main!$A$3:$H$102,4,FALSE)+VLOOKUP($A90,main!$A$3:$H$102,4,FALSE)+(VLOOKUP(VLOOKUP(W$1,main!$A$3:$H$102,8,FALSE),main!$K$19:$O$22,MATCH(VLOOKUP($A90,main!$A$3:$H$102,7,FALSE),main!$K$18:$O$18,0),0))),0)</f>
        <v>0</v>
      </c>
      <c r="X90">
        <f>IF((gamma!X90),IF(VLOOKUP(X$1,main!$A$3:$H$102,7,FALSE)=VLOOKUP($A90,main!$A$3:$H$102,8,FALSE),VLOOKUP(X$1,main!$A$3:$H$102,4,FALSE),VLOOKUP(X$1,main!$A$3:$H$102,4,FALSE)+VLOOKUP($A90,main!$A$3:$H$102,4,FALSE)+(VLOOKUP(VLOOKUP(X$1,main!$A$3:$H$102,8,FALSE),main!$K$19:$O$22,MATCH(VLOOKUP($A90,main!$A$3:$H$102,7,FALSE),main!$K$18:$O$18,0),0))),0)</f>
        <v>0</v>
      </c>
      <c r="Y90">
        <f>IF((gamma!Y90),IF(VLOOKUP(Y$1,main!$A$3:$H$102,7,FALSE)=VLOOKUP($A90,main!$A$3:$H$102,8,FALSE),VLOOKUP(Y$1,main!$A$3:$H$102,4,FALSE),VLOOKUP(Y$1,main!$A$3:$H$102,4,FALSE)+VLOOKUP($A90,main!$A$3:$H$102,4,FALSE)+(VLOOKUP(VLOOKUP(Y$1,main!$A$3:$H$102,8,FALSE),main!$K$19:$O$22,MATCH(VLOOKUP($A90,main!$A$3:$H$102,7,FALSE),main!$K$18:$O$18,0),0))),0)</f>
        <v>0</v>
      </c>
      <c r="Z90">
        <f>IF((gamma!Z90),IF(VLOOKUP(Z$1,main!$A$3:$H$102,7,FALSE)=VLOOKUP($A90,main!$A$3:$H$102,8,FALSE),VLOOKUP(Z$1,main!$A$3:$H$102,4,FALSE),VLOOKUP(Z$1,main!$A$3:$H$102,4,FALSE)+VLOOKUP($A90,main!$A$3:$H$102,4,FALSE)+(VLOOKUP(VLOOKUP(Z$1,main!$A$3:$H$102,8,FALSE),main!$K$19:$O$22,MATCH(VLOOKUP($A90,main!$A$3:$H$102,7,FALSE),main!$K$18:$O$18,0),0))),0)</f>
        <v>140</v>
      </c>
      <c r="AA90">
        <f>IF((gamma!AA90),IF(VLOOKUP(AA$1,main!$A$3:$H$102,7,FALSE)=VLOOKUP($A90,main!$A$3:$H$102,8,FALSE),VLOOKUP(AA$1,main!$A$3:$H$102,4,FALSE),VLOOKUP(AA$1,main!$A$3:$H$102,4,FALSE)+VLOOKUP($A90,main!$A$3:$H$102,4,FALSE)+(VLOOKUP(VLOOKUP(AA$1,main!$A$3:$H$102,8,FALSE),main!$K$19:$O$22,MATCH(VLOOKUP($A90,main!$A$3:$H$102,7,FALSE),main!$K$18:$O$18,0),0))),0)</f>
        <v>140</v>
      </c>
      <c r="AB90">
        <f>IF((gamma!AB90),IF(VLOOKUP(AB$1,main!$A$3:$H$102,7,FALSE)=VLOOKUP($A90,main!$A$3:$H$102,8,FALSE),VLOOKUP(AB$1,main!$A$3:$H$102,4,FALSE),VLOOKUP(AB$1,main!$A$3:$H$102,4,FALSE)+VLOOKUP($A90,main!$A$3:$H$102,4,FALSE)+(VLOOKUP(VLOOKUP(AB$1,main!$A$3:$H$102,8,FALSE),main!$K$19:$O$22,MATCH(VLOOKUP($A90,main!$A$3:$H$102,7,FALSE),main!$K$18:$O$18,0),0))),0)</f>
        <v>0</v>
      </c>
      <c r="AC90">
        <f>IF((gamma!AC90),IF(VLOOKUP(AC$1,main!$A$3:$H$102,7,FALSE)=VLOOKUP($A90,main!$A$3:$H$102,8,FALSE),VLOOKUP(AC$1,main!$A$3:$H$102,4,FALSE),VLOOKUP(AC$1,main!$A$3:$H$102,4,FALSE)+VLOOKUP($A90,main!$A$3:$H$102,4,FALSE)+(VLOOKUP(VLOOKUP(AC$1,main!$A$3:$H$102,8,FALSE),main!$K$19:$O$22,MATCH(VLOOKUP($A90,main!$A$3:$H$102,7,FALSE),main!$K$18:$O$18,0),0))),0)</f>
        <v>0</v>
      </c>
      <c r="AD90">
        <f>IF((gamma!AD90),IF(VLOOKUP(AD$1,main!$A$3:$H$102,7,FALSE)=VLOOKUP($A90,main!$A$3:$H$102,8,FALSE),VLOOKUP(AD$1,main!$A$3:$H$102,4,FALSE),VLOOKUP(AD$1,main!$A$3:$H$102,4,FALSE)+VLOOKUP($A90,main!$A$3:$H$102,4,FALSE)+(VLOOKUP(VLOOKUP(AD$1,main!$A$3:$H$102,8,FALSE),main!$K$19:$O$22,MATCH(VLOOKUP($A90,main!$A$3:$H$102,7,FALSE),main!$K$18:$O$18,0),0))),0)</f>
        <v>0</v>
      </c>
      <c r="AE90">
        <f>IF((gamma!AE90),IF(VLOOKUP(AE$1,main!$A$3:$H$102,7,FALSE)=VLOOKUP($A90,main!$A$3:$H$102,8,FALSE),VLOOKUP(AE$1,main!$A$3:$H$102,4,FALSE),VLOOKUP(AE$1,main!$A$3:$H$102,4,FALSE)+VLOOKUP($A90,main!$A$3:$H$102,4,FALSE)+(VLOOKUP(VLOOKUP(AE$1,main!$A$3:$H$102,8,FALSE),main!$K$19:$O$22,MATCH(VLOOKUP($A90,main!$A$3:$H$102,7,FALSE),main!$K$18:$O$18,0),0))),0)</f>
        <v>140</v>
      </c>
      <c r="AF90">
        <f>IF((gamma!AF90),IF(VLOOKUP(AF$1,main!$A$3:$H$102,7,FALSE)=VLOOKUP($A90,main!$A$3:$H$102,8,FALSE),VLOOKUP(AF$1,main!$A$3:$H$102,4,FALSE),VLOOKUP(AF$1,main!$A$3:$H$102,4,FALSE)+VLOOKUP($A90,main!$A$3:$H$102,4,FALSE)+(VLOOKUP(VLOOKUP(AF$1,main!$A$3:$H$102,8,FALSE),main!$K$19:$O$22,MATCH(VLOOKUP($A90,main!$A$3:$H$102,7,FALSE),main!$K$18:$O$18,0),0))),0)</f>
        <v>100</v>
      </c>
      <c r="AG90">
        <f>IF((gamma!AG90),IF(VLOOKUP(AG$1,main!$A$3:$H$102,7,FALSE)=VLOOKUP($A90,main!$A$3:$H$102,8,FALSE),VLOOKUP(AG$1,main!$A$3:$H$102,4,FALSE),VLOOKUP(AG$1,main!$A$3:$H$102,4,FALSE)+VLOOKUP($A90,main!$A$3:$H$102,4,FALSE)+(VLOOKUP(VLOOKUP(AG$1,main!$A$3:$H$102,8,FALSE),main!$K$19:$O$22,MATCH(VLOOKUP($A90,main!$A$3:$H$102,7,FALSE),main!$K$18:$O$18,0),0))),0)</f>
        <v>0</v>
      </c>
      <c r="AH90">
        <f>IF((gamma!AH90),IF(VLOOKUP(AH$1,main!$A$3:$H$102,7,FALSE)=VLOOKUP($A90,main!$A$3:$H$102,8,FALSE),VLOOKUP(AH$1,main!$A$3:$H$102,4,FALSE),VLOOKUP(AH$1,main!$A$3:$H$102,4,FALSE)+VLOOKUP($A90,main!$A$3:$H$102,4,FALSE)+(VLOOKUP(VLOOKUP(AH$1,main!$A$3:$H$102,8,FALSE),main!$K$19:$O$22,MATCH(VLOOKUP($A90,main!$A$3:$H$102,7,FALSE),main!$K$18:$O$18,0),0))),0)</f>
        <v>0</v>
      </c>
      <c r="AI90">
        <f>IF((gamma!AI90),IF(VLOOKUP(AI$1,main!$A$3:$H$102,7,FALSE)=VLOOKUP($A90,main!$A$3:$H$102,8,FALSE),VLOOKUP(AI$1,main!$A$3:$H$102,4,FALSE),VLOOKUP(AI$1,main!$A$3:$H$102,4,FALSE)+VLOOKUP($A90,main!$A$3:$H$102,4,FALSE)+(VLOOKUP(VLOOKUP(AI$1,main!$A$3:$H$102,8,FALSE),main!$K$19:$O$22,MATCH(VLOOKUP($A90,main!$A$3:$H$102,7,FALSE),main!$K$18:$O$18,0),0))),0)</f>
        <v>0</v>
      </c>
      <c r="AJ90">
        <f>IF((gamma!AJ90),IF(VLOOKUP(AJ$1,main!$A$3:$H$102,7,FALSE)=VLOOKUP($A90,main!$A$3:$H$102,8,FALSE),VLOOKUP(AJ$1,main!$A$3:$H$102,4,FALSE),VLOOKUP(AJ$1,main!$A$3:$H$102,4,FALSE)+VLOOKUP($A90,main!$A$3:$H$102,4,FALSE)+(VLOOKUP(VLOOKUP(AJ$1,main!$A$3:$H$102,8,FALSE),main!$K$19:$O$22,MATCH(VLOOKUP($A90,main!$A$3:$H$102,7,FALSE),main!$K$18:$O$18,0),0))),0)</f>
        <v>0</v>
      </c>
      <c r="AK90">
        <f>IF((gamma!AK90),IF(VLOOKUP(AK$1,main!$A$3:$H$102,7,FALSE)=VLOOKUP($A90,main!$A$3:$H$102,8,FALSE),VLOOKUP(AK$1,main!$A$3:$H$102,4,FALSE),VLOOKUP(AK$1,main!$A$3:$H$102,4,FALSE)+VLOOKUP($A90,main!$A$3:$H$102,4,FALSE)+(VLOOKUP(VLOOKUP(AK$1,main!$A$3:$H$102,8,FALSE),main!$K$19:$O$22,MATCH(VLOOKUP($A90,main!$A$3:$H$102,7,FALSE),main!$K$18:$O$18,0),0))),0)</f>
        <v>0</v>
      </c>
      <c r="AL90">
        <f>IF((gamma!AL90),IF(VLOOKUP(AL$1,main!$A$3:$H$102,7,FALSE)=VLOOKUP($A90,main!$A$3:$H$102,8,FALSE),VLOOKUP(AL$1,main!$A$3:$H$102,4,FALSE),VLOOKUP(AL$1,main!$A$3:$H$102,4,FALSE)+VLOOKUP($A90,main!$A$3:$H$102,4,FALSE)+(VLOOKUP(VLOOKUP(AL$1,main!$A$3:$H$102,8,FALSE),main!$K$19:$O$22,MATCH(VLOOKUP($A90,main!$A$3:$H$102,7,FALSE),main!$K$18:$O$18,0),0))),0)</f>
        <v>250</v>
      </c>
      <c r="AM90">
        <f>IF((gamma!AM90),IF(VLOOKUP(AM$1,main!$A$3:$H$102,7,FALSE)=VLOOKUP($A90,main!$A$3:$H$102,8,FALSE),VLOOKUP(AM$1,main!$A$3:$H$102,4,FALSE),VLOOKUP(AM$1,main!$A$3:$H$102,4,FALSE)+VLOOKUP($A90,main!$A$3:$H$102,4,FALSE)+(VLOOKUP(VLOOKUP(AM$1,main!$A$3:$H$102,8,FALSE),main!$K$19:$O$22,MATCH(VLOOKUP($A90,main!$A$3:$H$102,7,FALSE),main!$K$18:$O$18,0),0))),0)</f>
        <v>250</v>
      </c>
      <c r="AN90">
        <f>IF((gamma!AN90),IF(VLOOKUP(AN$1,main!$A$3:$H$102,7,FALSE)=VLOOKUP($A90,main!$A$3:$H$102,8,FALSE),VLOOKUP(AN$1,main!$A$3:$H$102,4,FALSE),VLOOKUP(AN$1,main!$A$3:$H$102,4,FALSE)+VLOOKUP($A90,main!$A$3:$H$102,4,FALSE)+(VLOOKUP(VLOOKUP(AN$1,main!$A$3:$H$102,8,FALSE),main!$K$19:$O$22,MATCH(VLOOKUP($A90,main!$A$3:$H$102,7,FALSE),main!$K$18:$O$18,0),0))),0)</f>
        <v>250</v>
      </c>
      <c r="AO90">
        <f>IF((gamma!AO90),IF(VLOOKUP(AO$1,main!$A$3:$H$102,7,FALSE)=VLOOKUP($A90,main!$A$3:$H$102,8,FALSE),VLOOKUP(AO$1,main!$A$3:$H$102,4,FALSE),VLOOKUP(AO$1,main!$A$3:$H$102,4,FALSE)+VLOOKUP($A90,main!$A$3:$H$102,4,FALSE)+(VLOOKUP(VLOOKUP(AO$1,main!$A$3:$H$102,8,FALSE),main!$K$19:$O$22,MATCH(VLOOKUP($A90,main!$A$3:$H$102,7,FALSE),main!$K$18:$O$18,0),0))),0)</f>
        <v>0</v>
      </c>
      <c r="AP90">
        <f>IF((gamma!AP90),IF(VLOOKUP(AP$1,main!$A$3:$H$102,7,FALSE)=VLOOKUP($A90,main!$A$3:$H$102,8,FALSE),VLOOKUP(AP$1,main!$A$3:$H$102,4,FALSE),VLOOKUP(AP$1,main!$A$3:$H$102,4,FALSE)+VLOOKUP($A90,main!$A$3:$H$102,4,FALSE)+(VLOOKUP(VLOOKUP(AP$1,main!$A$3:$H$102,8,FALSE),main!$K$19:$O$22,MATCH(VLOOKUP($A90,main!$A$3:$H$102,7,FALSE),main!$K$18:$O$18,0),0))),0)</f>
        <v>190</v>
      </c>
      <c r="AQ90">
        <f>IF((gamma!AQ90),IF(VLOOKUP(AQ$1,main!$A$3:$H$102,7,FALSE)=VLOOKUP($A90,main!$A$3:$H$102,8,FALSE),VLOOKUP(AQ$1,main!$A$3:$H$102,4,FALSE),VLOOKUP(AQ$1,main!$A$3:$H$102,4,FALSE)+VLOOKUP($A90,main!$A$3:$H$102,4,FALSE)+(VLOOKUP(VLOOKUP(AQ$1,main!$A$3:$H$102,8,FALSE),main!$K$19:$O$22,MATCH(VLOOKUP($A90,main!$A$3:$H$102,7,FALSE),main!$K$18:$O$18,0),0))),0)</f>
        <v>0</v>
      </c>
      <c r="AR90">
        <f>IF((gamma!AR90),IF(VLOOKUP(AR$1,main!$A$3:$H$102,7,FALSE)=VLOOKUP($A90,main!$A$3:$H$102,8,FALSE),VLOOKUP(AR$1,main!$A$3:$H$102,4,FALSE),VLOOKUP(AR$1,main!$A$3:$H$102,4,FALSE)+VLOOKUP($A90,main!$A$3:$H$102,4,FALSE)+(VLOOKUP(VLOOKUP(AR$1,main!$A$3:$H$102,8,FALSE),main!$K$19:$O$22,MATCH(VLOOKUP($A90,main!$A$3:$H$102,7,FALSE),main!$K$18:$O$18,0),0))),0)</f>
        <v>0</v>
      </c>
      <c r="AS90">
        <f>IF((gamma!AS90),IF(VLOOKUP(AS$1,main!$A$3:$H$102,7,FALSE)=VLOOKUP($A90,main!$A$3:$H$102,8,FALSE),VLOOKUP(AS$1,main!$A$3:$H$102,4,FALSE),VLOOKUP(AS$1,main!$A$3:$H$102,4,FALSE)+VLOOKUP($A90,main!$A$3:$H$102,4,FALSE)+(VLOOKUP(VLOOKUP(AS$1,main!$A$3:$H$102,8,FALSE),main!$K$19:$O$22,MATCH(VLOOKUP($A90,main!$A$3:$H$102,7,FALSE),main!$K$18:$O$18,0),0))),0)</f>
        <v>0</v>
      </c>
      <c r="AT90">
        <f>IF((gamma!AT90),IF(VLOOKUP(AT$1,main!$A$3:$H$102,7,FALSE)=VLOOKUP($A90,main!$A$3:$H$102,8,FALSE),VLOOKUP(AT$1,main!$A$3:$H$102,4,FALSE),VLOOKUP(AT$1,main!$A$3:$H$102,4,FALSE)+VLOOKUP($A90,main!$A$3:$H$102,4,FALSE)+(VLOOKUP(VLOOKUP(AT$1,main!$A$3:$H$102,8,FALSE),main!$K$19:$O$22,MATCH(VLOOKUP($A90,main!$A$3:$H$102,7,FALSE),main!$K$18:$O$18,0),0))),0)</f>
        <v>243</v>
      </c>
      <c r="AU90">
        <f>IF((gamma!AU90),IF(VLOOKUP(AU$1,main!$A$3:$H$102,7,FALSE)=VLOOKUP($A90,main!$A$3:$H$102,8,FALSE),VLOOKUP(AU$1,main!$A$3:$H$102,4,FALSE),VLOOKUP(AU$1,main!$A$3:$H$102,4,FALSE)+VLOOKUP($A90,main!$A$3:$H$102,4,FALSE)+(VLOOKUP(VLOOKUP(AU$1,main!$A$3:$H$102,8,FALSE),main!$K$19:$O$22,MATCH(VLOOKUP($A90,main!$A$3:$H$102,7,FALSE),main!$K$18:$O$18,0),0))),0)</f>
        <v>0</v>
      </c>
      <c r="AV90">
        <f>IF((gamma!AV90),IF(VLOOKUP(AV$1,main!$A$3:$H$102,7,FALSE)=VLOOKUP($A90,main!$A$3:$H$102,8,FALSE),VLOOKUP(AV$1,main!$A$3:$H$102,4,FALSE),VLOOKUP(AV$1,main!$A$3:$H$102,4,FALSE)+VLOOKUP($A90,main!$A$3:$H$102,4,FALSE)+(VLOOKUP(VLOOKUP(AV$1,main!$A$3:$H$102,8,FALSE),main!$K$19:$O$22,MATCH(VLOOKUP($A90,main!$A$3:$H$102,7,FALSE),main!$K$18:$O$18,0),0))),0)</f>
        <v>0</v>
      </c>
      <c r="AW90">
        <f>IF((gamma!AW90),IF(VLOOKUP(AW$1,main!$A$3:$H$102,7,FALSE)=VLOOKUP($A90,main!$A$3:$H$102,8,FALSE),VLOOKUP(AW$1,main!$A$3:$H$102,4,FALSE),VLOOKUP(AW$1,main!$A$3:$H$102,4,FALSE)+VLOOKUP($A90,main!$A$3:$H$102,4,FALSE)+(VLOOKUP(VLOOKUP(AW$1,main!$A$3:$H$102,8,FALSE),main!$K$19:$O$22,MATCH(VLOOKUP($A90,main!$A$3:$H$102,7,FALSE),main!$K$18:$O$18,0),0))),0)</f>
        <v>0</v>
      </c>
      <c r="AX90">
        <f>IF((gamma!AX90),IF(VLOOKUP(AX$1,main!$A$3:$H$102,7,FALSE)=VLOOKUP($A90,main!$A$3:$H$102,8,FALSE),VLOOKUP(AX$1,main!$A$3:$H$102,4,FALSE),VLOOKUP(AX$1,main!$A$3:$H$102,4,FALSE)+VLOOKUP($A90,main!$A$3:$H$102,4,FALSE)+(VLOOKUP(VLOOKUP(AX$1,main!$A$3:$H$102,8,FALSE),main!$K$19:$O$22,MATCH(VLOOKUP($A90,main!$A$3:$H$102,7,FALSE),main!$K$18:$O$18,0),0))),0)</f>
        <v>0</v>
      </c>
      <c r="AY90">
        <f>IF((gamma!AY90),IF(VLOOKUP(AY$1,main!$A$3:$H$102,7,FALSE)=VLOOKUP($A90,main!$A$3:$H$102,8,FALSE),VLOOKUP(AY$1,main!$A$3:$H$102,4,FALSE),VLOOKUP(AY$1,main!$A$3:$H$102,4,FALSE)+VLOOKUP($A90,main!$A$3:$H$102,4,FALSE)+(VLOOKUP(VLOOKUP(AY$1,main!$A$3:$H$102,8,FALSE),main!$K$19:$O$22,MATCH(VLOOKUP($A90,main!$A$3:$H$102,7,FALSE),main!$K$18:$O$18,0),0))),0)</f>
        <v>0</v>
      </c>
      <c r="AZ90">
        <f>IF((gamma!AZ90),IF(VLOOKUP(AZ$1,main!$A$3:$H$102,7,FALSE)=VLOOKUP($A90,main!$A$3:$H$102,8,FALSE),VLOOKUP(AZ$1,main!$A$3:$H$102,4,FALSE),VLOOKUP(AZ$1,main!$A$3:$H$102,4,FALSE)+VLOOKUP($A90,main!$A$3:$H$102,4,FALSE)+(VLOOKUP(VLOOKUP(AZ$1,main!$A$3:$H$102,8,FALSE),main!$K$19:$O$22,MATCH(VLOOKUP($A90,main!$A$3:$H$102,7,FALSE),main!$K$18:$O$18,0),0))),0)</f>
        <v>0</v>
      </c>
      <c r="BA90">
        <f>IF((gamma!BA90),IF(VLOOKUP(BA$1,main!$A$3:$H$102,7,FALSE)=VLOOKUP($A90,main!$A$3:$H$102,8,FALSE),VLOOKUP(BA$1,main!$A$3:$H$102,4,FALSE),VLOOKUP(BA$1,main!$A$3:$H$102,4,FALSE)+VLOOKUP($A90,main!$A$3:$H$102,4,FALSE)+(VLOOKUP(VLOOKUP(BA$1,main!$A$3:$H$102,8,FALSE),main!$K$19:$O$22,MATCH(VLOOKUP($A90,main!$A$3:$H$102,7,FALSE),main!$K$18:$O$18,0),0))),0)</f>
        <v>0</v>
      </c>
      <c r="BB90">
        <f>IF((gamma!BB90),IF(VLOOKUP(BB$1,main!$A$3:$H$102,7,FALSE)=VLOOKUP($A90,main!$A$3:$H$102,8,FALSE),VLOOKUP(BB$1,main!$A$3:$H$102,4,FALSE),VLOOKUP(BB$1,main!$A$3:$H$102,4,FALSE)+VLOOKUP($A90,main!$A$3:$H$102,4,FALSE)+(VLOOKUP(VLOOKUP(BB$1,main!$A$3:$H$102,8,FALSE),main!$K$19:$O$22,MATCH(VLOOKUP($A90,main!$A$3:$H$102,7,FALSE),main!$K$18:$O$18,0),0))),0)</f>
        <v>0</v>
      </c>
      <c r="BC90">
        <f>IF((gamma!BC90),IF(VLOOKUP(BC$1,main!$A$3:$H$102,7,FALSE)=VLOOKUP($A90,main!$A$3:$H$102,8,FALSE),VLOOKUP(BC$1,main!$A$3:$H$102,4,FALSE),VLOOKUP(BC$1,main!$A$3:$H$102,4,FALSE)+VLOOKUP($A90,main!$A$3:$H$102,4,FALSE)+(VLOOKUP(VLOOKUP(BC$1,main!$A$3:$H$102,8,FALSE),main!$K$19:$O$22,MATCH(VLOOKUP($A90,main!$A$3:$H$102,7,FALSE),main!$K$18:$O$18,0),0))),0)</f>
        <v>0</v>
      </c>
      <c r="BD90">
        <f>IF((gamma!BD90),IF(VLOOKUP(BD$1,main!$A$3:$H$102,7,FALSE)=VLOOKUP($A90,main!$A$3:$H$102,8,FALSE),VLOOKUP(BD$1,main!$A$3:$H$102,4,FALSE),VLOOKUP(BD$1,main!$A$3:$H$102,4,FALSE)+VLOOKUP($A90,main!$A$3:$H$102,4,FALSE)+(VLOOKUP(VLOOKUP(BD$1,main!$A$3:$H$102,8,FALSE),main!$K$19:$O$22,MATCH(VLOOKUP($A90,main!$A$3:$H$102,7,FALSE),main!$K$18:$O$18,0),0))),0)</f>
        <v>0</v>
      </c>
      <c r="BE90">
        <f>IF((gamma!BE90),IF(VLOOKUP(BE$1,main!$A$3:$H$102,7,FALSE)=VLOOKUP($A90,main!$A$3:$H$102,8,FALSE),VLOOKUP(BE$1,main!$A$3:$H$102,4,FALSE),VLOOKUP(BE$1,main!$A$3:$H$102,4,FALSE)+VLOOKUP($A90,main!$A$3:$H$102,4,FALSE)+(VLOOKUP(VLOOKUP(BE$1,main!$A$3:$H$102,8,FALSE),main!$K$19:$O$22,MATCH(VLOOKUP($A90,main!$A$3:$H$102,7,FALSE),main!$K$18:$O$18,0),0))),0)</f>
        <v>255</v>
      </c>
      <c r="BF90">
        <f>IF((gamma!BF90),IF(VLOOKUP(BF$1,main!$A$3:$H$102,7,FALSE)=VLOOKUP($A90,main!$A$3:$H$102,8,FALSE),VLOOKUP(BF$1,main!$A$3:$H$102,4,FALSE),VLOOKUP(BF$1,main!$A$3:$H$102,4,FALSE)+VLOOKUP($A90,main!$A$3:$H$102,4,FALSE)+(VLOOKUP(VLOOKUP(BF$1,main!$A$3:$H$102,8,FALSE),main!$K$19:$O$22,MATCH(VLOOKUP($A90,main!$A$3:$H$102,7,FALSE),main!$K$18:$O$18,0),0))),0)</f>
        <v>0</v>
      </c>
      <c r="BG90">
        <f>IF((gamma!BG90),IF(VLOOKUP(BG$1,main!$A$3:$H$102,7,FALSE)=VLOOKUP($A90,main!$A$3:$H$102,8,FALSE),VLOOKUP(BG$1,main!$A$3:$H$102,4,FALSE),VLOOKUP(BG$1,main!$A$3:$H$102,4,FALSE)+VLOOKUP($A90,main!$A$3:$H$102,4,FALSE)+(VLOOKUP(VLOOKUP(BG$1,main!$A$3:$H$102,8,FALSE),main!$K$19:$O$22,MATCH(VLOOKUP($A90,main!$A$3:$H$102,7,FALSE),main!$K$18:$O$18,0),0))),0)</f>
        <v>0</v>
      </c>
      <c r="BH90">
        <f>IF((gamma!BH90),IF(VLOOKUP(BH$1,main!$A$3:$H$102,7,FALSE)=VLOOKUP($A90,main!$A$3:$H$102,8,FALSE),VLOOKUP(BH$1,main!$A$3:$H$102,4,FALSE),VLOOKUP(BH$1,main!$A$3:$H$102,4,FALSE)+VLOOKUP($A90,main!$A$3:$H$102,4,FALSE)+(VLOOKUP(VLOOKUP(BH$1,main!$A$3:$H$102,8,FALSE),main!$K$19:$O$22,MATCH(VLOOKUP($A90,main!$A$3:$H$102,7,FALSE),main!$K$18:$O$18,0),0))),0)</f>
        <v>0</v>
      </c>
      <c r="BI90">
        <f>IF((gamma!BI90),IF(VLOOKUP(BI$1,main!$A$3:$H$102,7,FALSE)=VLOOKUP($A90,main!$A$3:$H$102,8,FALSE),VLOOKUP(BI$1,main!$A$3:$H$102,4,FALSE),VLOOKUP(BI$1,main!$A$3:$H$102,4,FALSE)+VLOOKUP($A90,main!$A$3:$H$102,4,FALSE)+(VLOOKUP(VLOOKUP(BI$1,main!$A$3:$H$102,8,FALSE),main!$K$19:$O$22,MATCH(VLOOKUP($A90,main!$A$3:$H$102,7,FALSE),main!$K$18:$O$18,0),0))),0)</f>
        <v>175</v>
      </c>
      <c r="BJ90">
        <f>IF((gamma!BJ90),IF(VLOOKUP(BJ$1,main!$A$3:$H$102,7,FALSE)=VLOOKUP($A90,main!$A$3:$H$102,8,FALSE),VLOOKUP(BJ$1,main!$A$3:$H$102,4,FALSE),VLOOKUP(BJ$1,main!$A$3:$H$102,4,FALSE)+VLOOKUP($A90,main!$A$3:$H$102,4,FALSE)+(VLOOKUP(VLOOKUP(BJ$1,main!$A$3:$H$102,8,FALSE),main!$K$19:$O$22,MATCH(VLOOKUP($A90,main!$A$3:$H$102,7,FALSE),main!$K$18:$O$18,0),0))),0)</f>
        <v>205</v>
      </c>
      <c r="BK90">
        <f>IF((gamma!BK90),IF(VLOOKUP(BK$1,main!$A$3:$H$102,7,FALSE)=VLOOKUP($A90,main!$A$3:$H$102,8,FALSE),VLOOKUP(BK$1,main!$A$3:$H$102,4,FALSE),VLOOKUP(BK$1,main!$A$3:$H$102,4,FALSE)+VLOOKUP($A90,main!$A$3:$H$102,4,FALSE)+(VLOOKUP(VLOOKUP(BK$1,main!$A$3:$H$102,8,FALSE),main!$K$19:$O$22,MATCH(VLOOKUP($A90,main!$A$3:$H$102,7,FALSE),main!$K$18:$O$18,0),0))),0)</f>
        <v>0</v>
      </c>
      <c r="BL90">
        <f>IF((gamma!BL90),IF(VLOOKUP(BL$1,main!$A$3:$H$102,7,FALSE)=VLOOKUP($A90,main!$A$3:$H$102,8,FALSE),VLOOKUP(BL$1,main!$A$3:$H$102,4,FALSE),VLOOKUP(BL$1,main!$A$3:$H$102,4,FALSE)+VLOOKUP($A90,main!$A$3:$H$102,4,FALSE)+(VLOOKUP(VLOOKUP(BL$1,main!$A$3:$H$102,8,FALSE),main!$K$19:$O$22,MATCH(VLOOKUP($A90,main!$A$3:$H$102,7,FALSE),main!$K$18:$O$18,0),0))),0)</f>
        <v>0</v>
      </c>
      <c r="BM90">
        <f>IF((gamma!BM90),IF(VLOOKUP(BM$1,main!$A$3:$H$102,7,FALSE)=VLOOKUP($A90,main!$A$3:$H$102,8,FALSE),VLOOKUP(BM$1,main!$A$3:$H$102,4,FALSE),VLOOKUP(BM$1,main!$A$3:$H$102,4,FALSE)+VLOOKUP($A90,main!$A$3:$H$102,4,FALSE)+(VLOOKUP(VLOOKUP(BM$1,main!$A$3:$H$102,8,FALSE),main!$K$19:$O$22,MATCH(VLOOKUP($A90,main!$A$3:$H$102,7,FALSE),main!$K$18:$O$18,0),0))),0)</f>
        <v>0</v>
      </c>
      <c r="BN90">
        <f>IF((gamma!BN90),IF(VLOOKUP(BN$1,main!$A$3:$H$102,7,FALSE)=VLOOKUP($A90,main!$A$3:$H$102,8,FALSE),VLOOKUP(BN$1,main!$A$3:$H$102,4,FALSE),VLOOKUP(BN$1,main!$A$3:$H$102,4,FALSE)+VLOOKUP($A90,main!$A$3:$H$102,4,FALSE)+(VLOOKUP(VLOOKUP(BN$1,main!$A$3:$H$102,8,FALSE),main!$K$19:$O$22,MATCH(VLOOKUP($A90,main!$A$3:$H$102,7,FALSE),main!$K$18:$O$18,0),0))),0)</f>
        <v>0</v>
      </c>
      <c r="BO90">
        <f>IF((gamma!BO90),IF(VLOOKUP(BO$1,main!$A$3:$H$102,7,FALSE)=VLOOKUP($A90,main!$A$3:$H$102,8,FALSE),VLOOKUP(BO$1,main!$A$3:$H$102,4,FALSE),VLOOKUP(BO$1,main!$A$3:$H$102,4,FALSE)+VLOOKUP($A90,main!$A$3:$H$102,4,FALSE)+(VLOOKUP(VLOOKUP(BO$1,main!$A$3:$H$102,8,FALSE),main!$K$19:$O$22,MATCH(VLOOKUP($A90,main!$A$3:$H$102,7,FALSE),main!$K$18:$O$18,0),0))),0)</f>
        <v>0</v>
      </c>
      <c r="BP90">
        <f>IF((gamma!BP90),IF(VLOOKUP(BP$1,main!$A$3:$H$102,7,FALSE)=VLOOKUP($A90,main!$A$3:$H$102,8,FALSE),VLOOKUP(BP$1,main!$A$3:$H$102,4,FALSE),VLOOKUP(BP$1,main!$A$3:$H$102,4,FALSE)+VLOOKUP($A90,main!$A$3:$H$102,4,FALSE)+(VLOOKUP(VLOOKUP(BP$1,main!$A$3:$H$102,8,FALSE),main!$K$19:$O$22,MATCH(VLOOKUP($A90,main!$A$3:$H$102,7,FALSE),main!$K$18:$O$18,0),0))),0)</f>
        <v>0</v>
      </c>
      <c r="BQ90">
        <f>IF((gamma!BQ90),IF(VLOOKUP(BQ$1,main!$A$3:$H$102,7,FALSE)=VLOOKUP($A90,main!$A$3:$H$102,8,FALSE),VLOOKUP(BQ$1,main!$A$3:$H$102,4,FALSE),VLOOKUP(BQ$1,main!$A$3:$H$102,4,FALSE)+VLOOKUP($A90,main!$A$3:$H$102,4,FALSE)+(VLOOKUP(VLOOKUP(BQ$1,main!$A$3:$H$102,8,FALSE),main!$K$19:$O$22,MATCH(VLOOKUP($A90,main!$A$3:$H$102,7,FALSE),main!$K$18:$O$18,0),0))),0)</f>
        <v>0</v>
      </c>
      <c r="BR90">
        <f>IF((gamma!BR90),IF(VLOOKUP(BR$1,main!$A$3:$H$102,7,FALSE)=VLOOKUP($A90,main!$A$3:$H$102,8,FALSE),VLOOKUP(BR$1,main!$A$3:$H$102,4,FALSE),VLOOKUP(BR$1,main!$A$3:$H$102,4,FALSE)+VLOOKUP($A90,main!$A$3:$H$102,4,FALSE)+(VLOOKUP(VLOOKUP(BR$1,main!$A$3:$H$102,8,FALSE),main!$K$19:$O$22,MATCH(VLOOKUP($A90,main!$A$3:$H$102,7,FALSE),main!$K$18:$O$18,0),0))),0)</f>
        <v>0</v>
      </c>
      <c r="BS90">
        <f>IF((gamma!BS90),IF(VLOOKUP(BS$1,main!$A$3:$H$102,7,FALSE)=VLOOKUP($A90,main!$A$3:$H$102,8,FALSE),VLOOKUP(BS$1,main!$A$3:$H$102,4,FALSE),VLOOKUP(BS$1,main!$A$3:$H$102,4,FALSE)+VLOOKUP($A90,main!$A$3:$H$102,4,FALSE)+(VLOOKUP(VLOOKUP(BS$1,main!$A$3:$H$102,8,FALSE),main!$K$19:$O$22,MATCH(VLOOKUP($A90,main!$A$3:$H$102,7,FALSE),main!$K$18:$O$18,0),0))),0)</f>
        <v>0</v>
      </c>
      <c r="BT90">
        <f>IF((gamma!BT90),IF(VLOOKUP(BT$1,main!$A$3:$H$102,7,FALSE)=VLOOKUP($A90,main!$A$3:$H$102,8,FALSE),VLOOKUP(BT$1,main!$A$3:$H$102,4,FALSE),VLOOKUP(BT$1,main!$A$3:$H$102,4,FALSE)+VLOOKUP($A90,main!$A$3:$H$102,4,FALSE)+(VLOOKUP(VLOOKUP(BT$1,main!$A$3:$H$102,8,FALSE),main!$K$19:$O$22,MATCH(VLOOKUP($A90,main!$A$3:$H$102,7,FALSE),main!$K$18:$O$18,0),0))),0)</f>
        <v>0</v>
      </c>
      <c r="BU90">
        <f>IF((gamma!BU90),IF(VLOOKUP(BU$1,main!$A$3:$H$102,7,FALSE)=VLOOKUP($A90,main!$A$3:$H$102,8,FALSE),VLOOKUP(BU$1,main!$A$3:$H$102,4,FALSE),VLOOKUP(BU$1,main!$A$3:$H$102,4,FALSE)+VLOOKUP($A90,main!$A$3:$H$102,4,FALSE)+(VLOOKUP(VLOOKUP(BU$1,main!$A$3:$H$102,8,FALSE),main!$K$19:$O$22,MATCH(VLOOKUP($A90,main!$A$3:$H$102,7,FALSE),main!$K$18:$O$18,0),0))),0)</f>
        <v>0</v>
      </c>
      <c r="BV90">
        <f>IF((gamma!BV90),IF(VLOOKUP(BV$1,main!$A$3:$H$102,7,FALSE)=VLOOKUP($A90,main!$A$3:$H$102,8,FALSE),VLOOKUP(BV$1,main!$A$3:$H$102,4,FALSE),VLOOKUP(BV$1,main!$A$3:$H$102,4,FALSE)+VLOOKUP($A90,main!$A$3:$H$102,4,FALSE)+(VLOOKUP(VLOOKUP(BV$1,main!$A$3:$H$102,8,FALSE),main!$K$19:$O$22,MATCH(VLOOKUP($A90,main!$A$3:$H$102,7,FALSE),main!$K$18:$O$18,0),0))),0)</f>
        <v>0</v>
      </c>
      <c r="BW90">
        <f>IF((gamma!BW90),IF(VLOOKUP(BW$1,main!$A$3:$H$102,7,FALSE)=VLOOKUP($A90,main!$A$3:$H$102,8,FALSE),VLOOKUP(BW$1,main!$A$3:$H$102,4,FALSE),VLOOKUP(BW$1,main!$A$3:$H$102,4,FALSE)+VLOOKUP($A90,main!$A$3:$H$102,4,FALSE)+(VLOOKUP(VLOOKUP(BW$1,main!$A$3:$H$102,8,FALSE),main!$K$19:$O$22,MATCH(VLOOKUP($A90,main!$A$3:$H$102,7,FALSE),main!$K$18:$O$18,0),0))),0)</f>
        <v>0</v>
      </c>
      <c r="BX90">
        <f>IF((gamma!BX90),IF(VLOOKUP(BX$1,main!$A$3:$H$102,7,FALSE)=VLOOKUP($A90,main!$A$3:$H$102,8,FALSE),VLOOKUP(BX$1,main!$A$3:$H$102,4,FALSE),VLOOKUP(BX$1,main!$A$3:$H$102,4,FALSE)+VLOOKUP($A90,main!$A$3:$H$102,4,FALSE)+(VLOOKUP(VLOOKUP(BX$1,main!$A$3:$H$102,8,FALSE),main!$K$19:$O$22,MATCH(VLOOKUP($A90,main!$A$3:$H$102,7,FALSE),main!$K$18:$O$18,0),0))),0)</f>
        <v>0</v>
      </c>
      <c r="BY90">
        <f>IF((gamma!BY90),IF(VLOOKUP(BY$1,main!$A$3:$H$102,7,FALSE)=VLOOKUP($A90,main!$A$3:$H$102,8,FALSE),VLOOKUP(BY$1,main!$A$3:$H$102,4,FALSE),VLOOKUP(BY$1,main!$A$3:$H$102,4,FALSE)+VLOOKUP($A90,main!$A$3:$H$102,4,FALSE)+(VLOOKUP(VLOOKUP(BY$1,main!$A$3:$H$102,8,FALSE),main!$K$19:$O$22,MATCH(VLOOKUP($A90,main!$A$3:$H$102,7,FALSE),main!$K$18:$O$18,0),0))),0)</f>
        <v>0</v>
      </c>
      <c r="BZ90">
        <f>IF((gamma!BZ90),IF(VLOOKUP(BZ$1,main!$A$3:$H$102,7,FALSE)=VLOOKUP($A90,main!$A$3:$H$102,8,FALSE),VLOOKUP(BZ$1,main!$A$3:$H$102,4,FALSE),VLOOKUP(BZ$1,main!$A$3:$H$102,4,FALSE)+VLOOKUP($A90,main!$A$3:$H$102,4,FALSE)+(VLOOKUP(VLOOKUP(BZ$1,main!$A$3:$H$102,8,FALSE),main!$K$19:$O$22,MATCH(VLOOKUP($A90,main!$A$3:$H$102,7,FALSE),main!$K$18:$O$18,0),0))),0)</f>
        <v>0</v>
      </c>
      <c r="CA90">
        <f>IF((gamma!CA90),IF(VLOOKUP(CA$1,main!$A$3:$H$102,7,FALSE)=VLOOKUP($A90,main!$A$3:$H$102,8,FALSE),VLOOKUP(CA$1,main!$A$3:$H$102,4,FALSE),VLOOKUP(CA$1,main!$A$3:$H$102,4,FALSE)+VLOOKUP($A90,main!$A$3:$H$102,4,FALSE)+(VLOOKUP(VLOOKUP(CA$1,main!$A$3:$H$102,8,FALSE),main!$K$19:$O$22,MATCH(VLOOKUP($A90,main!$A$3:$H$102,7,FALSE),main!$K$18:$O$18,0),0))),0)</f>
        <v>0</v>
      </c>
      <c r="CB90">
        <f>IF((gamma!CB90),IF(VLOOKUP(CB$1,main!$A$3:$H$102,7,FALSE)=VLOOKUP($A90,main!$A$3:$H$102,8,FALSE),VLOOKUP(CB$1,main!$A$3:$H$102,4,FALSE),VLOOKUP(CB$1,main!$A$3:$H$102,4,FALSE)+VLOOKUP($A90,main!$A$3:$H$102,4,FALSE)+(VLOOKUP(VLOOKUP(CB$1,main!$A$3:$H$102,8,FALSE),main!$K$19:$O$22,MATCH(VLOOKUP($A90,main!$A$3:$H$102,7,FALSE),main!$K$18:$O$18,0),0))),0)</f>
        <v>0</v>
      </c>
      <c r="CC90">
        <f>IF((gamma!CC90),IF(VLOOKUP(CC$1,main!$A$3:$H$102,7,FALSE)=VLOOKUP($A90,main!$A$3:$H$102,8,FALSE),VLOOKUP(CC$1,main!$A$3:$H$102,4,FALSE),VLOOKUP(CC$1,main!$A$3:$H$102,4,FALSE)+VLOOKUP($A90,main!$A$3:$H$102,4,FALSE)+(VLOOKUP(VLOOKUP(CC$1,main!$A$3:$H$102,8,FALSE),main!$K$19:$O$22,MATCH(VLOOKUP($A90,main!$A$3:$H$102,7,FALSE),main!$K$18:$O$18,0),0))),0)</f>
        <v>135</v>
      </c>
      <c r="CD90">
        <f>IF((gamma!CD90),IF(VLOOKUP(CD$1,main!$A$3:$H$102,7,FALSE)=VLOOKUP($A90,main!$A$3:$H$102,8,FALSE),VLOOKUP(CD$1,main!$A$3:$H$102,4,FALSE),VLOOKUP(CD$1,main!$A$3:$H$102,4,FALSE)+VLOOKUP($A90,main!$A$3:$H$102,4,FALSE)+(VLOOKUP(VLOOKUP(CD$1,main!$A$3:$H$102,8,FALSE),main!$K$19:$O$22,MATCH(VLOOKUP($A90,main!$A$3:$H$102,7,FALSE),main!$K$18:$O$18,0),0))),0)</f>
        <v>0</v>
      </c>
      <c r="CE90">
        <f>IF((gamma!CE90),IF(VLOOKUP(CE$1,main!$A$3:$H$102,7,FALSE)=VLOOKUP($A90,main!$A$3:$H$102,8,FALSE),VLOOKUP(CE$1,main!$A$3:$H$102,4,FALSE),VLOOKUP(CE$1,main!$A$3:$H$102,4,FALSE)+VLOOKUP($A90,main!$A$3:$H$102,4,FALSE)+(VLOOKUP(VLOOKUP(CE$1,main!$A$3:$H$102,8,FALSE),main!$K$19:$O$22,MATCH(VLOOKUP($A90,main!$A$3:$H$102,7,FALSE),main!$K$18:$O$18,0),0))),0)</f>
        <v>0</v>
      </c>
      <c r="CF90">
        <f>IF((gamma!CF90),IF(VLOOKUP(CF$1,main!$A$3:$H$102,7,FALSE)=VLOOKUP($A90,main!$A$3:$H$102,8,FALSE),VLOOKUP(CF$1,main!$A$3:$H$102,4,FALSE),VLOOKUP(CF$1,main!$A$3:$H$102,4,FALSE)+VLOOKUP($A90,main!$A$3:$H$102,4,FALSE)+(VLOOKUP(VLOOKUP(CF$1,main!$A$3:$H$102,8,FALSE),main!$K$19:$O$22,MATCH(VLOOKUP($A90,main!$A$3:$H$102,7,FALSE),main!$K$18:$O$18,0),0))),0)</f>
        <v>0</v>
      </c>
      <c r="CG90">
        <f>IF((gamma!CG90),IF(VLOOKUP(CG$1,main!$A$3:$H$102,7,FALSE)=VLOOKUP($A90,main!$A$3:$H$102,8,FALSE),VLOOKUP(CG$1,main!$A$3:$H$102,4,FALSE),VLOOKUP(CG$1,main!$A$3:$H$102,4,FALSE)+VLOOKUP($A90,main!$A$3:$H$102,4,FALSE)+(VLOOKUP(VLOOKUP(CG$1,main!$A$3:$H$102,8,FALSE),main!$K$19:$O$22,MATCH(VLOOKUP($A90,main!$A$3:$H$102,7,FALSE),main!$K$18:$O$18,0),0))),0)</f>
        <v>0</v>
      </c>
      <c r="CH90">
        <f>IF((gamma!CH90),IF(VLOOKUP(CH$1,main!$A$3:$H$102,7,FALSE)=VLOOKUP($A90,main!$A$3:$H$102,8,FALSE),VLOOKUP(CH$1,main!$A$3:$H$102,4,FALSE),VLOOKUP(CH$1,main!$A$3:$H$102,4,FALSE)+VLOOKUP($A90,main!$A$3:$H$102,4,FALSE)+(VLOOKUP(VLOOKUP(CH$1,main!$A$3:$H$102,8,FALSE),main!$K$19:$O$22,MATCH(VLOOKUP($A90,main!$A$3:$H$102,7,FALSE),main!$K$18:$O$18,0),0))),0)</f>
        <v>255</v>
      </c>
      <c r="CI90">
        <f>IF((gamma!CI90),IF(VLOOKUP(CI$1,main!$A$3:$H$102,7,FALSE)=VLOOKUP($A90,main!$A$3:$H$102,8,FALSE),VLOOKUP(CI$1,main!$A$3:$H$102,4,FALSE),VLOOKUP(CI$1,main!$A$3:$H$102,4,FALSE)+VLOOKUP($A90,main!$A$3:$H$102,4,FALSE)+(VLOOKUP(VLOOKUP(CI$1,main!$A$3:$H$102,8,FALSE),main!$K$19:$O$22,MATCH(VLOOKUP($A90,main!$A$3:$H$102,7,FALSE),main!$K$18:$O$18,0),0))),0)</f>
        <v>255</v>
      </c>
      <c r="CJ90">
        <f>IF((gamma!CJ90),IF(VLOOKUP(CJ$1,main!$A$3:$H$102,7,FALSE)=VLOOKUP($A90,main!$A$3:$H$102,8,FALSE),VLOOKUP(CJ$1,main!$A$3:$H$102,4,FALSE),VLOOKUP(CJ$1,main!$A$3:$H$102,4,FALSE)+VLOOKUP($A90,main!$A$3:$H$102,4,FALSE)+(VLOOKUP(VLOOKUP(CJ$1,main!$A$3:$H$102,8,FALSE),main!$K$19:$O$22,MATCH(VLOOKUP($A90,main!$A$3:$H$102,7,FALSE),main!$K$18:$O$18,0),0))),0)</f>
        <v>0</v>
      </c>
      <c r="CK90">
        <f>IF((gamma!CK90),IF(VLOOKUP(CK$1,main!$A$3:$H$102,7,FALSE)=VLOOKUP($A90,main!$A$3:$H$102,8,FALSE),VLOOKUP(CK$1,main!$A$3:$H$102,4,FALSE),VLOOKUP(CK$1,main!$A$3:$H$102,4,FALSE)+VLOOKUP($A90,main!$A$3:$H$102,4,FALSE)+(VLOOKUP(VLOOKUP(CK$1,main!$A$3:$H$102,8,FALSE),main!$K$19:$O$22,MATCH(VLOOKUP($A90,main!$A$3:$H$102,7,FALSE),main!$K$18:$O$18,0),0))),0)</f>
        <v>0</v>
      </c>
      <c r="CL90">
        <f>IF((gamma!CL90),IF(VLOOKUP(CL$1,main!$A$3:$H$102,7,FALSE)=VLOOKUP($A90,main!$A$3:$H$102,8,FALSE),VLOOKUP(CL$1,main!$A$3:$H$102,4,FALSE),VLOOKUP(CL$1,main!$A$3:$H$102,4,FALSE)+VLOOKUP($A90,main!$A$3:$H$102,4,FALSE)+(VLOOKUP(VLOOKUP(CL$1,main!$A$3:$H$102,8,FALSE),main!$K$19:$O$22,MATCH(VLOOKUP($A90,main!$A$3:$H$102,7,FALSE),main!$K$18:$O$18,0),0))),0)</f>
        <v>0</v>
      </c>
      <c r="CM90">
        <f>IF((gamma!CM90),IF(VLOOKUP(CM$1,main!$A$3:$H$102,7,FALSE)=VLOOKUP($A90,main!$A$3:$H$102,8,FALSE),VLOOKUP(CM$1,main!$A$3:$H$102,4,FALSE),VLOOKUP(CM$1,main!$A$3:$H$102,4,FALSE)+VLOOKUP($A90,main!$A$3:$H$102,4,FALSE)+(VLOOKUP(VLOOKUP(CM$1,main!$A$3:$H$102,8,FALSE),main!$K$19:$O$22,MATCH(VLOOKUP($A90,main!$A$3:$H$102,7,FALSE),main!$K$18:$O$18,0),0))),0)</f>
        <v>215</v>
      </c>
      <c r="CN90">
        <f>IF((gamma!CN90),IF(VLOOKUP(CN$1,main!$A$3:$H$102,7,FALSE)=VLOOKUP($A90,main!$A$3:$H$102,8,FALSE),VLOOKUP(CN$1,main!$A$3:$H$102,4,FALSE),VLOOKUP(CN$1,main!$A$3:$H$102,4,FALSE)+VLOOKUP($A90,main!$A$3:$H$102,4,FALSE)+(VLOOKUP(VLOOKUP(CN$1,main!$A$3:$H$102,8,FALSE),main!$K$19:$O$22,MATCH(VLOOKUP($A90,main!$A$3:$H$102,7,FALSE),main!$K$18:$O$18,0),0))),0)</f>
        <v>211</v>
      </c>
      <c r="CO90">
        <f>IF((gamma!CO90),IF(VLOOKUP(CO$1,main!$A$3:$H$102,7,FALSE)=VLOOKUP($A90,main!$A$3:$H$102,8,FALSE),VLOOKUP(CO$1,main!$A$3:$H$102,4,FALSE),VLOOKUP(CO$1,main!$A$3:$H$102,4,FALSE)+VLOOKUP($A90,main!$A$3:$H$102,4,FALSE)+(VLOOKUP(VLOOKUP(CO$1,main!$A$3:$H$102,8,FALSE),main!$K$19:$O$22,MATCH(VLOOKUP($A90,main!$A$3:$H$102,7,FALSE),main!$K$18:$O$18,0),0))),0)</f>
        <v>0</v>
      </c>
      <c r="CP90">
        <f>IF((gamma!CP90),IF(VLOOKUP(CP$1,main!$A$3:$H$102,7,FALSE)=VLOOKUP($A90,main!$A$3:$H$102,8,FALSE),VLOOKUP(CP$1,main!$A$3:$H$102,4,FALSE),VLOOKUP(CP$1,main!$A$3:$H$102,4,FALSE)+VLOOKUP($A90,main!$A$3:$H$102,4,FALSE)+(VLOOKUP(VLOOKUP(CP$1,main!$A$3:$H$102,8,FALSE),main!$K$19:$O$22,MATCH(VLOOKUP($A90,main!$A$3:$H$102,7,FALSE),main!$K$18:$O$18,0),0))),0)</f>
        <v>0</v>
      </c>
      <c r="CQ90">
        <f>IF((gamma!CQ90),IF(VLOOKUP(CQ$1,main!$A$3:$H$102,7,FALSE)=VLOOKUP($A90,main!$A$3:$H$102,8,FALSE),VLOOKUP(CQ$1,main!$A$3:$H$102,4,FALSE),VLOOKUP(CQ$1,main!$A$3:$H$102,4,FALSE)+VLOOKUP($A90,main!$A$3:$H$102,4,FALSE)+(VLOOKUP(VLOOKUP(CQ$1,main!$A$3:$H$102,8,FALSE),main!$K$19:$O$22,MATCH(VLOOKUP($A90,main!$A$3:$H$102,7,FALSE),main!$K$18:$O$18,0),0))),0)</f>
        <v>0</v>
      </c>
      <c r="CR90">
        <f>IF((gamma!CR90),IF(VLOOKUP(CR$1,main!$A$3:$H$102,7,FALSE)=VLOOKUP($A90,main!$A$3:$H$102,8,FALSE),VLOOKUP(CR$1,main!$A$3:$H$102,4,FALSE),VLOOKUP(CR$1,main!$A$3:$H$102,4,FALSE)+VLOOKUP($A90,main!$A$3:$H$102,4,FALSE)+(VLOOKUP(VLOOKUP(CR$1,main!$A$3:$H$102,8,FALSE),main!$K$19:$O$22,MATCH(VLOOKUP($A90,main!$A$3:$H$102,7,FALSE),main!$K$18:$O$18,0),0))),0)</f>
        <v>248</v>
      </c>
      <c r="CS90">
        <f>IF((gamma!CS90),IF(VLOOKUP(CS$1,main!$A$3:$H$102,7,FALSE)=VLOOKUP($A90,main!$A$3:$H$102,8,FALSE),VLOOKUP(CS$1,main!$A$3:$H$102,4,FALSE),VLOOKUP(CS$1,main!$A$3:$H$102,4,FALSE)+VLOOKUP($A90,main!$A$3:$H$102,4,FALSE)+(VLOOKUP(VLOOKUP(CS$1,main!$A$3:$H$102,8,FALSE),main!$K$19:$O$22,MATCH(VLOOKUP($A90,main!$A$3:$H$102,7,FALSE),main!$K$18:$O$18,0),0))),0)</f>
        <v>248</v>
      </c>
      <c r="CT90">
        <f>IF((gamma!CT90),IF(VLOOKUP(CT$1,main!$A$3:$H$102,7,FALSE)=VLOOKUP($A90,main!$A$3:$H$102,8,FALSE),VLOOKUP(CT$1,main!$A$3:$H$102,4,FALSE),VLOOKUP(CT$1,main!$A$3:$H$102,4,FALSE)+VLOOKUP($A90,main!$A$3:$H$102,4,FALSE)+(VLOOKUP(VLOOKUP(CT$1,main!$A$3:$H$102,8,FALSE),main!$K$19:$O$22,MATCH(VLOOKUP($A90,main!$A$3:$H$102,7,FALSE),main!$K$18:$O$18,0),0))),0)</f>
        <v>0</v>
      </c>
      <c r="CU90">
        <f>IF((gamma!CU90),IF(VLOOKUP(CU$1,main!$A$3:$H$102,7,FALSE)=VLOOKUP($A90,main!$A$3:$H$102,8,FALSE),VLOOKUP(CU$1,main!$A$3:$H$102,4,FALSE),VLOOKUP(CU$1,main!$A$3:$H$102,4,FALSE)+VLOOKUP($A90,main!$A$3:$H$102,4,FALSE)+(VLOOKUP(VLOOKUP(CU$1,main!$A$3:$H$102,8,FALSE),main!$K$19:$O$22,MATCH(VLOOKUP($A90,main!$A$3:$H$102,7,FALSE),main!$K$18:$O$18,0),0))),0)</f>
        <v>0</v>
      </c>
      <c r="CV90">
        <f>IF((gamma!CV90),IF(VLOOKUP(CV$1,main!$A$3:$H$102,7,FALSE)=VLOOKUP($A90,main!$A$3:$H$102,8,FALSE),VLOOKUP(CV$1,main!$A$3:$H$102,4,FALSE),VLOOKUP(CV$1,main!$A$3:$H$102,4,FALSE)+VLOOKUP($A90,main!$A$3:$H$102,4,FALSE)+(VLOOKUP(VLOOKUP(CV$1,main!$A$3:$H$102,8,FALSE),main!$K$19:$O$22,MATCH(VLOOKUP($A90,main!$A$3:$H$102,7,FALSE),main!$K$18:$O$18,0),0))),0)</f>
        <v>0</v>
      </c>
      <c r="CW90">
        <f>IF((gamma!CW90),IF(VLOOKUP(CW$1,main!$A$3:$H$102,7,FALSE)=VLOOKUP($A90,main!$A$3:$H$102,8,FALSE),VLOOKUP(CW$1,main!$A$3:$H$102,4,FALSE),VLOOKUP(CW$1,main!$A$3:$H$102,4,FALSE)+VLOOKUP($A90,main!$A$3:$H$102,4,FALSE)+(VLOOKUP(VLOOKUP(CW$1,main!$A$3:$H$102,8,FALSE),main!$K$19:$O$22,MATCH(VLOOKUP($A90,main!$A$3:$H$102,7,FALSE),main!$K$18:$O$18,0),0))),0)</f>
        <v>208</v>
      </c>
      <c r="CX90">
        <f>IF((gamma!CX90),IF(VLOOKUP(CX$1,main!$A$3:$H$102,7,FALSE)=VLOOKUP($A90,main!$A$3:$H$102,8,FALSE),VLOOKUP(CX$1,main!$A$3:$H$102,4,FALSE),VLOOKUP(CX$1,main!$A$3:$H$102,4,FALSE)+VLOOKUP($A90,main!$A$3:$H$102,4,FALSE)+(VLOOKUP(VLOOKUP(CX$1,main!$A$3:$H$102,8,FALSE),main!$K$19:$O$22,MATCH(VLOOKUP($A90,main!$A$3:$H$102,7,FALSE),main!$K$18:$O$18,0),0))),0)</f>
        <v>198</v>
      </c>
      <c r="CY90">
        <v>0</v>
      </c>
      <c r="CZ90">
        <v>0</v>
      </c>
      <c r="DA90">
        <v>0</v>
      </c>
    </row>
    <row r="91" spans="1:105" x14ac:dyDescent="0.25">
      <c r="A91" s="1">
        <v>89</v>
      </c>
      <c r="B91">
        <v>0</v>
      </c>
      <c r="C91">
        <f>IF((gamma!C91),IF(VLOOKUP(C$1,main!$A$3:$H$102,7,FALSE)=VLOOKUP($A91,main!$A$3:$H$102,8,FALSE),VLOOKUP(C$1,main!$A$3:$H$102,4,FALSE),VLOOKUP(C$1,main!$A$3:$H$102,4,FALSE)+VLOOKUP($A91,main!$A$3:$H$102,4,FALSE)+(VLOOKUP(VLOOKUP(C$1,main!$A$3:$H$102,8,FALSE),main!$K$19:$O$22,MATCH(VLOOKUP($A91,main!$A$3:$H$102,7,FALSE),main!$K$18:$O$18,0),0))),0)</f>
        <v>0</v>
      </c>
      <c r="D91">
        <f>IF((gamma!D91),IF(VLOOKUP(D$1,main!$A$3:$H$102,7,FALSE)=VLOOKUP($A91,main!$A$3:$H$102,8,FALSE),VLOOKUP(D$1,main!$A$3:$H$102,4,FALSE),VLOOKUP(D$1,main!$A$3:$H$102,4,FALSE)+VLOOKUP($A91,main!$A$3:$H$102,4,FALSE)+(VLOOKUP(VLOOKUP(D$1,main!$A$3:$H$102,8,FALSE),main!$K$19:$O$22,MATCH(VLOOKUP($A91,main!$A$3:$H$102,7,FALSE),main!$K$18:$O$18,0),0))),0)</f>
        <v>0</v>
      </c>
      <c r="E91">
        <f>IF((gamma!E91),IF(VLOOKUP(E$1,main!$A$3:$H$102,7,FALSE)=VLOOKUP($A91,main!$A$3:$H$102,8,FALSE),VLOOKUP(E$1,main!$A$3:$H$102,4,FALSE),VLOOKUP(E$1,main!$A$3:$H$102,4,FALSE)+VLOOKUP($A91,main!$A$3:$H$102,4,FALSE)+(VLOOKUP(VLOOKUP(E$1,main!$A$3:$H$102,8,FALSE),main!$K$19:$O$22,MATCH(VLOOKUP($A91,main!$A$3:$H$102,7,FALSE),main!$K$18:$O$18,0),0))),0)</f>
        <v>0</v>
      </c>
      <c r="F91">
        <f>IF((gamma!F91),IF(VLOOKUP(F$1,main!$A$3:$H$102,7,FALSE)=VLOOKUP($A91,main!$A$3:$H$102,8,FALSE),VLOOKUP(F$1,main!$A$3:$H$102,4,FALSE),VLOOKUP(F$1,main!$A$3:$H$102,4,FALSE)+VLOOKUP($A91,main!$A$3:$H$102,4,FALSE)+(VLOOKUP(VLOOKUP(F$1,main!$A$3:$H$102,8,FALSE),main!$K$19:$O$22,MATCH(VLOOKUP($A91,main!$A$3:$H$102,7,FALSE),main!$K$18:$O$18,0),0))),0)</f>
        <v>0</v>
      </c>
      <c r="G91">
        <f>IF((gamma!G91),IF(VLOOKUP(G$1,main!$A$3:$H$102,7,FALSE)=VLOOKUP($A91,main!$A$3:$H$102,8,FALSE),VLOOKUP(G$1,main!$A$3:$H$102,4,FALSE),VLOOKUP(G$1,main!$A$3:$H$102,4,FALSE)+VLOOKUP($A91,main!$A$3:$H$102,4,FALSE)+(VLOOKUP(VLOOKUP(G$1,main!$A$3:$H$102,8,FALSE),main!$K$19:$O$22,MATCH(VLOOKUP($A91,main!$A$3:$H$102,7,FALSE),main!$K$18:$O$18,0),0))),0)</f>
        <v>0</v>
      </c>
      <c r="H91">
        <f>IF((gamma!H91),IF(VLOOKUP(H$1,main!$A$3:$H$102,7,FALSE)=VLOOKUP($A91,main!$A$3:$H$102,8,FALSE),VLOOKUP(H$1,main!$A$3:$H$102,4,FALSE),VLOOKUP(H$1,main!$A$3:$H$102,4,FALSE)+VLOOKUP($A91,main!$A$3:$H$102,4,FALSE)+(VLOOKUP(VLOOKUP(H$1,main!$A$3:$H$102,8,FALSE),main!$K$19:$O$22,MATCH(VLOOKUP($A91,main!$A$3:$H$102,7,FALSE),main!$K$18:$O$18,0),0))),0)</f>
        <v>0</v>
      </c>
      <c r="I91">
        <f>IF((gamma!I91),IF(VLOOKUP(I$1,main!$A$3:$H$102,7,FALSE)=VLOOKUP($A91,main!$A$3:$H$102,8,FALSE),VLOOKUP(I$1,main!$A$3:$H$102,4,FALSE),VLOOKUP(I$1,main!$A$3:$H$102,4,FALSE)+VLOOKUP($A91,main!$A$3:$H$102,4,FALSE)+(VLOOKUP(VLOOKUP(I$1,main!$A$3:$H$102,8,FALSE),main!$K$19:$O$22,MATCH(VLOOKUP($A91,main!$A$3:$H$102,7,FALSE),main!$K$18:$O$18,0),0))),0)</f>
        <v>0</v>
      </c>
      <c r="J91">
        <f>IF((gamma!J91),IF(VLOOKUP(J$1,main!$A$3:$H$102,7,FALSE)=VLOOKUP($A91,main!$A$3:$H$102,8,FALSE),VLOOKUP(J$1,main!$A$3:$H$102,4,FALSE),VLOOKUP(J$1,main!$A$3:$H$102,4,FALSE)+VLOOKUP($A91,main!$A$3:$H$102,4,FALSE)+(VLOOKUP(VLOOKUP(J$1,main!$A$3:$H$102,8,FALSE),main!$K$19:$O$22,MATCH(VLOOKUP($A91,main!$A$3:$H$102,7,FALSE),main!$K$18:$O$18,0),0))),0)</f>
        <v>0</v>
      </c>
      <c r="K91">
        <f>IF((gamma!K91),IF(VLOOKUP(K$1,main!$A$3:$H$102,7,FALSE)=VLOOKUP($A91,main!$A$3:$H$102,8,FALSE),VLOOKUP(K$1,main!$A$3:$H$102,4,FALSE),VLOOKUP(K$1,main!$A$3:$H$102,4,FALSE)+VLOOKUP($A91,main!$A$3:$H$102,4,FALSE)+(VLOOKUP(VLOOKUP(K$1,main!$A$3:$H$102,8,FALSE),main!$K$19:$O$22,MATCH(VLOOKUP($A91,main!$A$3:$H$102,7,FALSE),main!$K$18:$O$18,0),0))),0)</f>
        <v>135</v>
      </c>
      <c r="L91">
        <f>IF((gamma!L91),IF(VLOOKUP(L$1,main!$A$3:$H$102,7,FALSE)=VLOOKUP($A91,main!$A$3:$H$102,8,FALSE),VLOOKUP(L$1,main!$A$3:$H$102,4,FALSE),VLOOKUP(L$1,main!$A$3:$H$102,4,FALSE)+VLOOKUP($A91,main!$A$3:$H$102,4,FALSE)+(VLOOKUP(VLOOKUP(L$1,main!$A$3:$H$102,8,FALSE),main!$K$19:$O$22,MATCH(VLOOKUP($A91,main!$A$3:$H$102,7,FALSE),main!$K$18:$O$18,0),0))),0)</f>
        <v>135</v>
      </c>
      <c r="M91">
        <f>IF((gamma!M91),IF(VLOOKUP(M$1,main!$A$3:$H$102,7,FALSE)=VLOOKUP($A91,main!$A$3:$H$102,8,FALSE),VLOOKUP(M$1,main!$A$3:$H$102,4,FALSE),VLOOKUP(M$1,main!$A$3:$H$102,4,FALSE)+VLOOKUP($A91,main!$A$3:$H$102,4,FALSE)+(VLOOKUP(VLOOKUP(M$1,main!$A$3:$H$102,8,FALSE),main!$K$19:$O$22,MATCH(VLOOKUP($A91,main!$A$3:$H$102,7,FALSE),main!$K$18:$O$18,0),0))),0)</f>
        <v>0</v>
      </c>
      <c r="N91">
        <f>IF((gamma!N91),IF(VLOOKUP(N$1,main!$A$3:$H$102,7,FALSE)=VLOOKUP($A91,main!$A$3:$H$102,8,FALSE),VLOOKUP(N$1,main!$A$3:$H$102,4,FALSE),VLOOKUP(N$1,main!$A$3:$H$102,4,FALSE)+VLOOKUP($A91,main!$A$3:$H$102,4,FALSE)+(VLOOKUP(VLOOKUP(N$1,main!$A$3:$H$102,8,FALSE),main!$K$19:$O$22,MATCH(VLOOKUP($A91,main!$A$3:$H$102,7,FALSE),main!$K$18:$O$18,0),0))),0)</f>
        <v>0</v>
      </c>
      <c r="O91">
        <f>IF((gamma!O91),IF(VLOOKUP(O$1,main!$A$3:$H$102,7,FALSE)=VLOOKUP($A91,main!$A$3:$H$102,8,FALSE),VLOOKUP(O$1,main!$A$3:$H$102,4,FALSE),VLOOKUP(O$1,main!$A$3:$H$102,4,FALSE)+VLOOKUP($A91,main!$A$3:$H$102,4,FALSE)+(VLOOKUP(VLOOKUP(O$1,main!$A$3:$H$102,8,FALSE),main!$K$19:$O$22,MATCH(VLOOKUP($A91,main!$A$3:$H$102,7,FALSE),main!$K$18:$O$18,0),0))),0)</f>
        <v>0</v>
      </c>
      <c r="P91">
        <f>IF((gamma!P91),IF(VLOOKUP(P$1,main!$A$3:$H$102,7,FALSE)=VLOOKUP($A91,main!$A$3:$H$102,8,FALSE),VLOOKUP(P$1,main!$A$3:$H$102,4,FALSE),VLOOKUP(P$1,main!$A$3:$H$102,4,FALSE)+VLOOKUP($A91,main!$A$3:$H$102,4,FALSE)+(VLOOKUP(VLOOKUP(P$1,main!$A$3:$H$102,8,FALSE),main!$K$19:$O$22,MATCH(VLOOKUP($A91,main!$A$3:$H$102,7,FALSE),main!$K$18:$O$18,0),0))),0)</f>
        <v>0</v>
      </c>
      <c r="Q91">
        <f>IF((gamma!Q91),IF(VLOOKUP(Q$1,main!$A$3:$H$102,7,FALSE)=VLOOKUP($A91,main!$A$3:$H$102,8,FALSE),VLOOKUP(Q$1,main!$A$3:$H$102,4,FALSE),VLOOKUP(Q$1,main!$A$3:$H$102,4,FALSE)+VLOOKUP($A91,main!$A$3:$H$102,4,FALSE)+(VLOOKUP(VLOOKUP(Q$1,main!$A$3:$H$102,8,FALSE),main!$K$19:$O$22,MATCH(VLOOKUP($A91,main!$A$3:$H$102,7,FALSE),main!$K$18:$O$18,0),0))),0)</f>
        <v>0</v>
      </c>
      <c r="R91">
        <f>IF((gamma!R91),IF(VLOOKUP(R$1,main!$A$3:$H$102,7,FALSE)=VLOOKUP($A91,main!$A$3:$H$102,8,FALSE),VLOOKUP(R$1,main!$A$3:$H$102,4,FALSE),VLOOKUP(R$1,main!$A$3:$H$102,4,FALSE)+VLOOKUP($A91,main!$A$3:$H$102,4,FALSE)+(VLOOKUP(VLOOKUP(R$1,main!$A$3:$H$102,8,FALSE),main!$K$19:$O$22,MATCH(VLOOKUP($A91,main!$A$3:$H$102,7,FALSE),main!$K$18:$O$18,0),0))),0)</f>
        <v>0</v>
      </c>
      <c r="S91">
        <f>IF((gamma!S91),IF(VLOOKUP(S$1,main!$A$3:$H$102,7,FALSE)=VLOOKUP($A91,main!$A$3:$H$102,8,FALSE),VLOOKUP(S$1,main!$A$3:$H$102,4,FALSE),VLOOKUP(S$1,main!$A$3:$H$102,4,FALSE)+VLOOKUP($A91,main!$A$3:$H$102,4,FALSE)+(VLOOKUP(VLOOKUP(S$1,main!$A$3:$H$102,8,FALSE),main!$K$19:$O$22,MATCH(VLOOKUP($A91,main!$A$3:$H$102,7,FALSE),main!$K$18:$O$18,0),0))),0)</f>
        <v>0</v>
      </c>
      <c r="T91">
        <f>IF((gamma!T91),IF(VLOOKUP(T$1,main!$A$3:$H$102,7,FALSE)=VLOOKUP($A91,main!$A$3:$H$102,8,FALSE),VLOOKUP(T$1,main!$A$3:$H$102,4,FALSE),VLOOKUP(T$1,main!$A$3:$H$102,4,FALSE)+VLOOKUP($A91,main!$A$3:$H$102,4,FALSE)+(VLOOKUP(VLOOKUP(T$1,main!$A$3:$H$102,8,FALSE),main!$K$19:$O$22,MATCH(VLOOKUP($A91,main!$A$3:$H$102,7,FALSE),main!$K$18:$O$18,0),0))),0)</f>
        <v>0</v>
      </c>
      <c r="U91">
        <f>IF((gamma!U91),IF(VLOOKUP(U$1,main!$A$3:$H$102,7,FALSE)=VLOOKUP($A91,main!$A$3:$H$102,8,FALSE),VLOOKUP(U$1,main!$A$3:$H$102,4,FALSE),VLOOKUP(U$1,main!$A$3:$H$102,4,FALSE)+VLOOKUP($A91,main!$A$3:$H$102,4,FALSE)+(VLOOKUP(VLOOKUP(U$1,main!$A$3:$H$102,8,FALSE),main!$K$19:$O$22,MATCH(VLOOKUP($A91,main!$A$3:$H$102,7,FALSE),main!$K$18:$O$18,0),0))),0)</f>
        <v>140</v>
      </c>
      <c r="V91">
        <f>IF((gamma!V91),IF(VLOOKUP(V$1,main!$A$3:$H$102,7,FALSE)=VLOOKUP($A91,main!$A$3:$H$102,8,FALSE),VLOOKUP(V$1,main!$A$3:$H$102,4,FALSE),VLOOKUP(V$1,main!$A$3:$H$102,4,FALSE)+VLOOKUP($A91,main!$A$3:$H$102,4,FALSE)+(VLOOKUP(VLOOKUP(V$1,main!$A$3:$H$102,8,FALSE),main!$K$19:$O$22,MATCH(VLOOKUP($A91,main!$A$3:$H$102,7,FALSE),main!$K$18:$O$18,0),0))),0)</f>
        <v>140</v>
      </c>
      <c r="W91">
        <f>IF((gamma!W91),IF(VLOOKUP(W$1,main!$A$3:$H$102,7,FALSE)=VLOOKUP($A91,main!$A$3:$H$102,8,FALSE),VLOOKUP(W$1,main!$A$3:$H$102,4,FALSE),VLOOKUP(W$1,main!$A$3:$H$102,4,FALSE)+VLOOKUP($A91,main!$A$3:$H$102,4,FALSE)+(VLOOKUP(VLOOKUP(W$1,main!$A$3:$H$102,8,FALSE),main!$K$19:$O$22,MATCH(VLOOKUP($A91,main!$A$3:$H$102,7,FALSE),main!$K$18:$O$18,0),0))),0)</f>
        <v>0</v>
      </c>
      <c r="X91">
        <f>IF((gamma!X91),IF(VLOOKUP(X$1,main!$A$3:$H$102,7,FALSE)=VLOOKUP($A91,main!$A$3:$H$102,8,FALSE),VLOOKUP(X$1,main!$A$3:$H$102,4,FALSE),VLOOKUP(X$1,main!$A$3:$H$102,4,FALSE)+VLOOKUP($A91,main!$A$3:$H$102,4,FALSE)+(VLOOKUP(VLOOKUP(X$1,main!$A$3:$H$102,8,FALSE),main!$K$19:$O$22,MATCH(VLOOKUP($A91,main!$A$3:$H$102,7,FALSE),main!$K$18:$O$18,0),0))),0)</f>
        <v>0</v>
      </c>
      <c r="Y91">
        <f>IF((gamma!Y91),IF(VLOOKUP(Y$1,main!$A$3:$H$102,7,FALSE)=VLOOKUP($A91,main!$A$3:$H$102,8,FALSE),VLOOKUP(Y$1,main!$A$3:$H$102,4,FALSE),VLOOKUP(Y$1,main!$A$3:$H$102,4,FALSE)+VLOOKUP($A91,main!$A$3:$H$102,4,FALSE)+(VLOOKUP(VLOOKUP(Y$1,main!$A$3:$H$102,8,FALSE),main!$K$19:$O$22,MATCH(VLOOKUP($A91,main!$A$3:$H$102,7,FALSE),main!$K$18:$O$18,0),0))),0)</f>
        <v>0</v>
      </c>
      <c r="Z91">
        <f>IF((gamma!Z91),IF(VLOOKUP(Z$1,main!$A$3:$H$102,7,FALSE)=VLOOKUP($A91,main!$A$3:$H$102,8,FALSE),VLOOKUP(Z$1,main!$A$3:$H$102,4,FALSE),VLOOKUP(Z$1,main!$A$3:$H$102,4,FALSE)+VLOOKUP($A91,main!$A$3:$H$102,4,FALSE)+(VLOOKUP(VLOOKUP(Z$1,main!$A$3:$H$102,8,FALSE),main!$K$19:$O$22,MATCH(VLOOKUP($A91,main!$A$3:$H$102,7,FALSE),main!$K$18:$O$18,0),0))),0)</f>
        <v>0</v>
      </c>
      <c r="AA91">
        <f>IF((gamma!AA91),IF(VLOOKUP(AA$1,main!$A$3:$H$102,7,FALSE)=VLOOKUP($A91,main!$A$3:$H$102,8,FALSE),VLOOKUP(AA$1,main!$A$3:$H$102,4,FALSE),VLOOKUP(AA$1,main!$A$3:$H$102,4,FALSE)+VLOOKUP($A91,main!$A$3:$H$102,4,FALSE)+(VLOOKUP(VLOOKUP(AA$1,main!$A$3:$H$102,8,FALSE),main!$K$19:$O$22,MATCH(VLOOKUP($A91,main!$A$3:$H$102,7,FALSE),main!$K$18:$O$18,0),0))),0)</f>
        <v>140</v>
      </c>
      <c r="AB91">
        <f>IF((gamma!AB91),IF(VLOOKUP(AB$1,main!$A$3:$H$102,7,FALSE)=VLOOKUP($A91,main!$A$3:$H$102,8,FALSE),VLOOKUP(AB$1,main!$A$3:$H$102,4,FALSE),VLOOKUP(AB$1,main!$A$3:$H$102,4,FALSE)+VLOOKUP($A91,main!$A$3:$H$102,4,FALSE)+(VLOOKUP(VLOOKUP(AB$1,main!$A$3:$H$102,8,FALSE),main!$K$19:$O$22,MATCH(VLOOKUP($A91,main!$A$3:$H$102,7,FALSE),main!$K$18:$O$18,0),0))),0)</f>
        <v>0</v>
      </c>
      <c r="AC91">
        <f>IF((gamma!AC91),IF(VLOOKUP(AC$1,main!$A$3:$H$102,7,FALSE)=VLOOKUP($A91,main!$A$3:$H$102,8,FALSE),VLOOKUP(AC$1,main!$A$3:$H$102,4,FALSE),VLOOKUP(AC$1,main!$A$3:$H$102,4,FALSE)+VLOOKUP($A91,main!$A$3:$H$102,4,FALSE)+(VLOOKUP(VLOOKUP(AC$1,main!$A$3:$H$102,8,FALSE),main!$K$19:$O$22,MATCH(VLOOKUP($A91,main!$A$3:$H$102,7,FALSE),main!$K$18:$O$18,0),0))),0)</f>
        <v>0</v>
      </c>
      <c r="AD91">
        <f>IF((gamma!AD91),IF(VLOOKUP(AD$1,main!$A$3:$H$102,7,FALSE)=VLOOKUP($A91,main!$A$3:$H$102,8,FALSE),VLOOKUP(AD$1,main!$A$3:$H$102,4,FALSE),VLOOKUP(AD$1,main!$A$3:$H$102,4,FALSE)+VLOOKUP($A91,main!$A$3:$H$102,4,FALSE)+(VLOOKUP(VLOOKUP(AD$1,main!$A$3:$H$102,8,FALSE),main!$K$19:$O$22,MATCH(VLOOKUP($A91,main!$A$3:$H$102,7,FALSE),main!$K$18:$O$18,0),0))),0)</f>
        <v>0</v>
      </c>
      <c r="AE91">
        <f>IF((gamma!AE91),IF(VLOOKUP(AE$1,main!$A$3:$H$102,7,FALSE)=VLOOKUP($A91,main!$A$3:$H$102,8,FALSE),VLOOKUP(AE$1,main!$A$3:$H$102,4,FALSE),VLOOKUP(AE$1,main!$A$3:$H$102,4,FALSE)+VLOOKUP($A91,main!$A$3:$H$102,4,FALSE)+(VLOOKUP(VLOOKUP(AE$1,main!$A$3:$H$102,8,FALSE),main!$K$19:$O$22,MATCH(VLOOKUP($A91,main!$A$3:$H$102,7,FALSE),main!$K$18:$O$18,0),0))),0)</f>
        <v>0</v>
      </c>
      <c r="AF91">
        <f>IF((gamma!AF91),IF(VLOOKUP(AF$1,main!$A$3:$H$102,7,FALSE)=VLOOKUP($A91,main!$A$3:$H$102,8,FALSE),VLOOKUP(AF$1,main!$A$3:$H$102,4,FALSE),VLOOKUP(AF$1,main!$A$3:$H$102,4,FALSE)+VLOOKUP($A91,main!$A$3:$H$102,4,FALSE)+(VLOOKUP(VLOOKUP(AF$1,main!$A$3:$H$102,8,FALSE),main!$K$19:$O$22,MATCH(VLOOKUP($A91,main!$A$3:$H$102,7,FALSE),main!$K$18:$O$18,0),0))),0)</f>
        <v>100</v>
      </c>
      <c r="AG91">
        <f>IF((gamma!AG91),IF(VLOOKUP(AG$1,main!$A$3:$H$102,7,FALSE)=VLOOKUP($A91,main!$A$3:$H$102,8,FALSE),VLOOKUP(AG$1,main!$A$3:$H$102,4,FALSE),VLOOKUP(AG$1,main!$A$3:$H$102,4,FALSE)+VLOOKUP($A91,main!$A$3:$H$102,4,FALSE)+(VLOOKUP(VLOOKUP(AG$1,main!$A$3:$H$102,8,FALSE),main!$K$19:$O$22,MATCH(VLOOKUP($A91,main!$A$3:$H$102,7,FALSE),main!$K$18:$O$18,0),0))),0)</f>
        <v>0</v>
      </c>
      <c r="AH91">
        <f>IF((gamma!AH91),IF(VLOOKUP(AH$1,main!$A$3:$H$102,7,FALSE)=VLOOKUP($A91,main!$A$3:$H$102,8,FALSE),VLOOKUP(AH$1,main!$A$3:$H$102,4,FALSE),VLOOKUP(AH$1,main!$A$3:$H$102,4,FALSE)+VLOOKUP($A91,main!$A$3:$H$102,4,FALSE)+(VLOOKUP(VLOOKUP(AH$1,main!$A$3:$H$102,8,FALSE),main!$K$19:$O$22,MATCH(VLOOKUP($A91,main!$A$3:$H$102,7,FALSE),main!$K$18:$O$18,0),0))),0)</f>
        <v>0</v>
      </c>
      <c r="AI91">
        <f>IF((gamma!AI91),IF(VLOOKUP(AI$1,main!$A$3:$H$102,7,FALSE)=VLOOKUP($A91,main!$A$3:$H$102,8,FALSE),VLOOKUP(AI$1,main!$A$3:$H$102,4,FALSE),VLOOKUP(AI$1,main!$A$3:$H$102,4,FALSE)+VLOOKUP($A91,main!$A$3:$H$102,4,FALSE)+(VLOOKUP(VLOOKUP(AI$1,main!$A$3:$H$102,8,FALSE),main!$K$19:$O$22,MATCH(VLOOKUP($A91,main!$A$3:$H$102,7,FALSE),main!$K$18:$O$18,0),0))),0)</f>
        <v>0</v>
      </c>
      <c r="AJ91">
        <f>IF((gamma!AJ91),IF(VLOOKUP(AJ$1,main!$A$3:$H$102,7,FALSE)=VLOOKUP($A91,main!$A$3:$H$102,8,FALSE),VLOOKUP(AJ$1,main!$A$3:$H$102,4,FALSE),VLOOKUP(AJ$1,main!$A$3:$H$102,4,FALSE)+VLOOKUP($A91,main!$A$3:$H$102,4,FALSE)+(VLOOKUP(VLOOKUP(AJ$1,main!$A$3:$H$102,8,FALSE),main!$K$19:$O$22,MATCH(VLOOKUP($A91,main!$A$3:$H$102,7,FALSE),main!$K$18:$O$18,0),0))),0)</f>
        <v>0</v>
      </c>
      <c r="AK91">
        <f>IF((gamma!AK91),IF(VLOOKUP(AK$1,main!$A$3:$H$102,7,FALSE)=VLOOKUP($A91,main!$A$3:$H$102,8,FALSE),VLOOKUP(AK$1,main!$A$3:$H$102,4,FALSE),VLOOKUP(AK$1,main!$A$3:$H$102,4,FALSE)+VLOOKUP($A91,main!$A$3:$H$102,4,FALSE)+(VLOOKUP(VLOOKUP(AK$1,main!$A$3:$H$102,8,FALSE),main!$K$19:$O$22,MATCH(VLOOKUP($A91,main!$A$3:$H$102,7,FALSE),main!$K$18:$O$18,0),0))),0)</f>
        <v>0</v>
      </c>
      <c r="AL91">
        <f>IF((gamma!AL91),IF(VLOOKUP(AL$1,main!$A$3:$H$102,7,FALSE)=VLOOKUP($A91,main!$A$3:$H$102,8,FALSE),VLOOKUP(AL$1,main!$A$3:$H$102,4,FALSE),VLOOKUP(AL$1,main!$A$3:$H$102,4,FALSE)+VLOOKUP($A91,main!$A$3:$H$102,4,FALSE)+(VLOOKUP(VLOOKUP(AL$1,main!$A$3:$H$102,8,FALSE),main!$K$19:$O$22,MATCH(VLOOKUP($A91,main!$A$3:$H$102,7,FALSE),main!$K$18:$O$18,0),0))),0)</f>
        <v>0</v>
      </c>
      <c r="AM91">
        <f>IF((gamma!AM91),IF(VLOOKUP(AM$1,main!$A$3:$H$102,7,FALSE)=VLOOKUP($A91,main!$A$3:$H$102,8,FALSE),VLOOKUP(AM$1,main!$A$3:$H$102,4,FALSE),VLOOKUP(AM$1,main!$A$3:$H$102,4,FALSE)+VLOOKUP($A91,main!$A$3:$H$102,4,FALSE)+(VLOOKUP(VLOOKUP(AM$1,main!$A$3:$H$102,8,FALSE),main!$K$19:$O$22,MATCH(VLOOKUP($A91,main!$A$3:$H$102,7,FALSE),main!$K$18:$O$18,0),0))),0)</f>
        <v>0</v>
      </c>
      <c r="AN91">
        <f>IF((gamma!AN91),IF(VLOOKUP(AN$1,main!$A$3:$H$102,7,FALSE)=VLOOKUP($A91,main!$A$3:$H$102,8,FALSE),VLOOKUP(AN$1,main!$A$3:$H$102,4,FALSE),VLOOKUP(AN$1,main!$A$3:$H$102,4,FALSE)+VLOOKUP($A91,main!$A$3:$H$102,4,FALSE)+(VLOOKUP(VLOOKUP(AN$1,main!$A$3:$H$102,8,FALSE),main!$K$19:$O$22,MATCH(VLOOKUP($A91,main!$A$3:$H$102,7,FALSE),main!$K$18:$O$18,0),0))),0)</f>
        <v>270</v>
      </c>
      <c r="AO91">
        <f>IF((gamma!AO91),IF(VLOOKUP(AO$1,main!$A$3:$H$102,7,FALSE)=VLOOKUP($A91,main!$A$3:$H$102,8,FALSE),VLOOKUP(AO$1,main!$A$3:$H$102,4,FALSE),VLOOKUP(AO$1,main!$A$3:$H$102,4,FALSE)+VLOOKUP($A91,main!$A$3:$H$102,4,FALSE)+(VLOOKUP(VLOOKUP(AO$1,main!$A$3:$H$102,8,FALSE),main!$K$19:$O$22,MATCH(VLOOKUP($A91,main!$A$3:$H$102,7,FALSE),main!$K$18:$O$18,0),0))),0)</f>
        <v>0</v>
      </c>
      <c r="AP91">
        <f>IF((gamma!AP91),IF(VLOOKUP(AP$1,main!$A$3:$H$102,7,FALSE)=VLOOKUP($A91,main!$A$3:$H$102,8,FALSE),VLOOKUP(AP$1,main!$A$3:$H$102,4,FALSE),VLOOKUP(AP$1,main!$A$3:$H$102,4,FALSE)+VLOOKUP($A91,main!$A$3:$H$102,4,FALSE)+(VLOOKUP(VLOOKUP(AP$1,main!$A$3:$H$102,8,FALSE),main!$K$19:$O$22,MATCH(VLOOKUP($A91,main!$A$3:$H$102,7,FALSE),main!$K$18:$O$18,0),0))),0)</f>
        <v>210</v>
      </c>
      <c r="AQ91">
        <f>IF((gamma!AQ91),IF(VLOOKUP(AQ$1,main!$A$3:$H$102,7,FALSE)=VLOOKUP($A91,main!$A$3:$H$102,8,FALSE),VLOOKUP(AQ$1,main!$A$3:$H$102,4,FALSE),VLOOKUP(AQ$1,main!$A$3:$H$102,4,FALSE)+VLOOKUP($A91,main!$A$3:$H$102,4,FALSE)+(VLOOKUP(VLOOKUP(AQ$1,main!$A$3:$H$102,8,FALSE),main!$K$19:$O$22,MATCH(VLOOKUP($A91,main!$A$3:$H$102,7,FALSE),main!$K$18:$O$18,0),0))),0)</f>
        <v>0</v>
      </c>
      <c r="AR91">
        <f>IF((gamma!AR91),IF(VLOOKUP(AR$1,main!$A$3:$H$102,7,FALSE)=VLOOKUP($A91,main!$A$3:$H$102,8,FALSE),VLOOKUP(AR$1,main!$A$3:$H$102,4,FALSE),VLOOKUP(AR$1,main!$A$3:$H$102,4,FALSE)+VLOOKUP($A91,main!$A$3:$H$102,4,FALSE)+(VLOOKUP(VLOOKUP(AR$1,main!$A$3:$H$102,8,FALSE),main!$K$19:$O$22,MATCH(VLOOKUP($A91,main!$A$3:$H$102,7,FALSE),main!$K$18:$O$18,0),0))),0)</f>
        <v>0</v>
      </c>
      <c r="AS91">
        <f>IF((gamma!AS91),IF(VLOOKUP(AS$1,main!$A$3:$H$102,7,FALSE)=VLOOKUP($A91,main!$A$3:$H$102,8,FALSE),VLOOKUP(AS$1,main!$A$3:$H$102,4,FALSE),VLOOKUP(AS$1,main!$A$3:$H$102,4,FALSE)+VLOOKUP($A91,main!$A$3:$H$102,4,FALSE)+(VLOOKUP(VLOOKUP(AS$1,main!$A$3:$H$102,8,FALSE),main!$K$19:$O$22,MATCH(VLOOKUP($A91,main!$A$3:$H$102,7,FALSE),main!$K$18:$O$18,0),0))),0)</f>
        <v>0</v>
      </c>
      <c r="AT91">
        <f>IF((gamma!AT91),IF(VLOOKUP(AT$1,main!$A$3:$H$102,7,FALSE)=VLOOKUP($A91,main!$A$3:$H$102,8,FALSE),VLOOKUP(AT$1,main!$A$3:$H$102,4,FALSE),VLOOKUP(AT$1,main!$A$3:$H$102,4,FALSE)+VLOOKUP($A91,main!$A$3:$H$102,4,FALSE)+(VLOOKUP(VLOOKUP(AT$1,main!$A$3:$H$102,8,FALSE),main!$K$19:$O$22,MATCH(VLOOKUP($A91,main!$A$3:$H$102,7,FALSE),main!$K$18:$O$18,0),0))),0)</f>
        <v>0</v>
      </c>
      <c r="AU91">
        <f>IF((gamma!AU91),IF(VLOOKUP(AU$1,main!$A$3:$H$102,7,FALSE)=VLOOKUP($A91,main!$A$3:$H$102,8,FALSE),VLOOKUP(AU$1,main!$A$3:$H$102,4,FALSE),VLOOKUP(AU$1,main!$A$3:$H$102,4,FALSE)+VLOOKUP($A91,main!$A$3:$H$102,4,FALSE)+(VLOOKUP(VLOOKUP(AU$1,main!$A$3:$H$102,8,FALSE),main!$K$19:$O$22,MATCH(VLOOKUP($A91,main!$A$3:$H$102,7,FALSE),main!$K$18:$O$18,0),0))),0)</f>
        <v>0</v>
      </c>
      <c r="AV91">
        <f>IF((gamma!AV91),IF(VLOOKUP(AV$1,main!$A$3:$H$102,7,FALSE)=VLOOKUP($A91,main!$A$3:$H$102,8,FALSE),VLOOKUP(AV$1,main!$A$3:$H$102,4,FALSE),VLOOKUP(AV$1,main!$A$3:$H$102,4,FALSE)+VLOOKUP($A91,main!$A$3:$H$102,4,FALSE)+(VLOOKUP(VLOOKUP(AV$1,main!$A$3:$H$102,8,FALSE),main!$K$19:$O$22,MATCH(VLOOKUP($A91,main!$A$3:$H$102,7,FALSE),main!$K$18:$O$18,0),0))),0)</f>
        <v>0</v>
      </c>
      <c r="AW91">
        <f>IF((gamma!AW91),IF(VLOOKUP(AW$1,main!$A$3:$H$102,7,FALSE)=VLOOKUP($A91,main!$A$3:$H$102,8,FALSE),VLOOKUP(AW$1,main!$A$3:$H$102,4,FALSE),VLOOKUP(AW$1,main!$A$3:$H$102,4,FALSE)+VLOOKUP($A91,main!$A$3:$H$102,4,FALSE)+(VLOOKUP(VLOOKUP(AW$1,main!$A$3:$H$102,8,FALSE),main!$K$19:$O$22,MATCH(VLOOKUP($A91,main!$A$3:$H$102,7,FALSE),main!$K$18:$O$18,0),0))),0)</f>
        <v>0</v>
      </c>
      <c r="AX91">
        <f>IF((gamma!AX91),IF(VLOOKUP(AX$1,main!$A$3:$H$102,7,FALSE)=VLOOKUP($A91,main!$A$3:$H$102,8,FALSE),VLOOKUP(AX$1,main!$A$3:$H$102,4,FALSE),VLOOKUP(AX$1,main!$A$3:$H$102,4,FALSE)+VLOOKUP($A91,main!$A$3:$H$102,4,FALSE)+(VLOOKUP(VLOOKUP(AX$1,main!$A$3:$H$102,8,FALSE),main!$K$19:$O$22,MATCH(VLOOKUP($A91,main!$A$3:$H$102,7,FALSE),main!$K$18:$O$18,0),0))),0)</f>
        <v>0</v>
      </c>
      <c r="AY91">
        <f>IF((gamma!AY91),IF(VLOOKUP(AY$1,main!$A$3:$H$102,7,FALSE)=VLOOKUP($A91,main!$A$3:$H$102,8,FALSE),VLOOKUP(AY$1,main!$A$3:$H$102,4,FALSE),VLOOKUP(AY$1,main!$A$3:$H$102,4,FALSE)+VLOOKUP($A91,main!$A$3:$H$102,4,FALSE)+(VLOOKUP(VLOOKUP(AY$1,main!$A$3:$H$102,8,FALSE),main!$K$19:$O$22,MATCH(VLOOKUP($A91,main!$A$3:$H$102,7,FALSE),main!$K$18:$O$18,0),0))),0)</f>
        <v>0</v>
      </c>
      <c r="AZ91">
        <f>IF((gamma!AZ91),IF(VLOOKUP(AZ$1,main!$A$3:$H$102,7,FALSE)=VLOOKUP($A91,main!$A$3:$H$102,8,FALSE),VLOOKUP(AZ$1,main!$A$3:$H$102,4,FALSE),VLOOKUP(AZ$1,main!$A$3:$H$102,4,FALSE)+VLOOKUP($A91,main!$A$3:$H$102,4,FALSE)+(VLOOKUP(VLOOKUP(AZ$1,main!$A$3:$H$102,8,FALSE),main!$K$19:$O$22,MATCH(VLOOKUP($A91,main!$A$3:$H$102,7,FALSE),main!$K$18:$O$18,0),0))),0)</f>
        <v>0</v>
      </c>
      <c r="BA91">
        <f>IF((gamma!BA91),IF(VLOOKUP(BA$1,main!$A$3:$H$102,7,FALSE)=VLOOKUP($A91,main!$A$3:$H$102,8,FALSE),VLOOKUP(BA$1,main!$A$3:$H$102,4,FALSE),VLOOKUP(BA$1,main!$A$3:$H$102,4,FALSE)+VLOOKUP($A91,main!$A$3:$H$102,4,FALSE)+(VLOOKUP(VLOOKUP(BA$1,main!$A$3:$H$102,8,FALSE),main!$K$19:$O$22,MATCH(VLOOKUP($A91,main!$A$3:$H$102,7,FALSE),main!$K$18:$O$18,0),0))),0)</f>
        <v>0</v>
      </c>
      <c r="BB91">
        <f>IF((gamma!BB91),IF(VLOOKUP(BB$1,main!$A$3:$H$102,7,FALSE)=VLOOKUP($A91,main!$A$3:$H$102,8,FALSE),VLOOKUP(BB$1,main!$A$3:$H$102,4,FALSE),VLOOKUP(BB$1,main!$A$3:$H$102,4,FALSE)+VLOOKUP($A91,main!$A$3:$H$102,4,FALSE)+(VLOOKUP(VLOOKUP(BB$1,main!$A$3:$H$102,8,FALSE),main!$K$19:$O$22,MATCH(VLOOKUP($A91,main!$A$3:$H$102,7,FALSE),main!$K$18:$O$18,0),0))),0)</f>
        <v>0</v>
      </c>
      <c r="BC91">
        <f>IF((gamma!BC91),IF(VLOOKUP(BC$1,main!$A$3:$H$102,7,FALSE)=VLOOKUP($A91,main!$A$3:$H$102,8,FALSE),VLOOKUP(BC$1,main!$A$3:$H$102,4,FALSE),VLOOKUP(BC$1,main!$A$3:$H$102,4,FALSE)+VLOOKUP($A91,main!$A$3:$H$102,4,FALSE)+(VLOOKUP(VLOOKUP(BC$1,main!$A$3:$H$102,8,FALSE),main!$K$19:$O$22,MATCH(VLOOKUP($A91,main!$A$3:$H$102,7,FALSE),main!$K$18:$O$18,0),0))),0)</f>
        <v>0</v>
      </c>
      <c r="BD91">
        <f>IF((gamma!BD91),IF(VLOOKUP(BD$1,main!$A$3:$H$102,7,FALSE)=VLOOKUP($A91,main!$A$3:$H$102,8,FALSE),VLOOKUP(BD$1,main!$A$3:$H$102,4,FALSE),VLOOKUP(BD$1,main!$A$3:$H$102,4,FALSE)+VLOOKUP($A91,main!$A$3:$H$102,4,FALSE)+(VLOOKUP(VLOOKUP(BD$1,main!$A$3:$H$102,8,FALSE),main!$K$19:$O$22,MATCH(VLOOKUP($A91,main!$A$3:$H$102,7,FALSE),main!$K$18:$O$18,0),0))),0)</f>
        <v>0</v>
      </c>
      <c r="BE91">
        <f>IF((gamma!BE91),IF(VLOOKUP(BE$1,main!$A$3:$H$102,7,FALSE)=VLOOKUP($A91,main!$A$3:$H$102,8,FALSE),VLOOKUP(BE$1,main!$A$3:$H$102,4,FALSE),VLOOKUP(BE$1,main!$A$3:$H$102,4,FALSE)+VLOOKUP($A91,main!$A$3:$H$102,4,FALSE)+(VLOOKUP(VLOOKUP(BE$1,main!$A$3:$H$102,8,FALSE),main!$K$19:$O$22,MATCH(VLOOKUP($A91,main!$A$3:$H$102,7,FALSE),main!$K$18:$O$18,0),0))),0)</f>
        <v>0</v>
      </c>
      <c r="BF91">
        <f>IF((gamma!BF91),IF(VLOOKUP(BF$1,main!$A$3:$H$102,7,FALSE)=VLOOKUP($A91,main!$A$3:$H$102,8,FALSE),VLOOKUP(BF$1,main!$A$3:$H$102,4,FALSE),VLOOKUP(BF$1,main!$A$3:$H$102,4,FALSE)+VLOOKUP($A91,main!$A$3:$H$102,4,FALSE)+(VLOOKUP(VLOOKUP(BF$1,main!$A$3:$H$102,8,FALSE),main!$K$19:$O$22,MATCH(VLOOKUP($A91,main!$A$3:$H$102,7,FALSE),main!$K$18:$O$18,0),0))),0)</f>
        <v>0</v>
      </c>
      <c r="BG91">
        <f>IF((gamma!BG91),IF(VLOOKUP(BG$1,main!$A$3:$H$102,7,FALSE)=VLOOKUP($A91,main!$A$3:$H$102,8,FALSE),VLOOKUP(BG$1,main!$A$3:$H$102,4,FALSE),VLOOKUP(BG$1,main!$A$3:$H$102,4,FALSE)+VLOOKUP($A91,main!$A$3:$H$102,4,FALSE)+(VLOOKUP(VLOOKUP(BG$1,main!$A$3:$H$102,8,FALSE),main!$K$19:$O$22,MATCH(VLOOKUP($A91,main!$A$3:$H$102,7,FALSE),main!$K$18:$O$18,0),0))),0)</f>
        <v>0</v>
      </c>
      <c r="BH91">
        <f>IF((gamma!BH91),IF(VLOOKUP(BH$1,main!$A$3:$H$102,7,FALSE)=VLOOKUP($A91,main!$A$3:$H$102,8,FALSE),VLOOKUP(BH$1,main!$A$3:$H$102,4,FALSE),VLOOKUP(BH$1,main!$A$3:$H$102,4,FALSE)+VLOOKUP($A91,main!$A$3:$H$102,4,FALSE)+(VLOOKUP(VLOOKUP(BH$1,main!$A$3:$H$102,8,FALSE),main!$K$19:$O$22,MATCH(VLOOKUP($A91,main!$A$3:$H$102,7,FALSE),main!$K$18:$O$18,0),0))),0)</f>
        <v>0</v>
      </c>
      <c r="BI91">
        <f>IF((gamma!BI91),IF(VLOOKUP(BI$1,main!$A$3:$H$102,7,FALSE)=VLOOKUP($A91,main!$A$3:$H$102,8,FALSE),VLOOKUP(BI$1,main!$A$3:$H$102,4,FALSE),VLOOKUP(BI$1,main!$A$3:$H$102,4,FALSE)+VLOOKUP($A91,main!$A$3:$H$102,4,FALSE)+(VLOOKUP(VLOOKUP(BI$1,main!$A$3:$H$102,8,FALSE),main!$K$19:$O$22,MATCH(VLOOKUP($A91,main!$A$3:$H$102,7,FALSE),main!$K$18:$O$18,0),0))),0)</f>
        <v>195</v>
      </c>
      <c r="BJ91">
        <f>IF((gamma!BJ91),IF(VLOOKUP(BJ$1,main!$A$3:$H$102,7,FALSE)=VLOOKUP($A91,main!$A$3:$H$102,8,FALSE),VLOOKUP(BJ$1,main!$A$3:$H$102,4,FALSE),VLOOKUP(BJ$1,main!$A$3:$H$102,4,FALSE)+VLOOKUP($A91,main!$A$3:$H$102,4,FALSE)+(VLOOKUP(VLOOKUP(BJ$1,main!$A$3:$H$102,8,FALSE),main!$K$19:$O$22,MATCH(VLOOKUP($A91,main!$A$3:$H$102,7,FALSE),main!$K$18:$O$18,0),0))),0)</f>
        <v>0</v>
      </c>
      <c r="BK91">
        <f>IF((gamma!BK91),IF(VLOOKUP(BK$1,main!$A$3:$H$102,7,FALSE)=VLOOKUP($A91,main!$A$3:$H$102,8,FALSE),VLOOKUP(BK$1,main!$A$3:$H$102,4,FALSE),VLOOKUP(BK$1,main!$A$3:$H$102,4,FALSE)+VLOOKUP($A91,main!$A$3:$H$102,4,FALSE)+(VLOOKUP(VLOOKUP(BK$1,main!$A$3:$H$102,8,FALSE),main!$K$19:$O$22,MATCH(VLOOKUP($A91,main!$A$3:$H$102,7,FALSE),main!$K$18:$O$18,0),0))),0)</f>
        <v>0</v>
      </c>
      <c r="BL91">
        <f>IF((gamma!BL91),IF(VLOOKUP(BL$1,main!$A$3:$H$102,7,FALSE)=VLOOKUP($A91,main!$A$3:$H$102,8,FALSE),VLOOKUP(BL$1,main!$A$3:$H$102,4,FALSE),VLOOKUP(BL$1,main!$A$3:$H$102,4,FALSE)+VLOOKUP($A91,main!$A$3:$H$102,4,FALSE)+(VLOOKUP(VLOOKUP(BL$1,main!$A$3:$H$102,8,FALSE),main!$K$19:$O$22,MATCH(VLOOKUP($A91,main!$A$3:$H$102,7,FALSE),main!$K$18:$O$18,0),0))),0)</f>
        <v>0</v>
      </c>
      <c r="BM91">
        <f>IF((gamma!BM91),IF(VLOOKUP(BM$1,main!$A$3:$H$102,7,FALSE)=VLOOKUP($A91,main!$A$3:$H$102,8,FALSE),VLOOKUP(BM$1,main!$A$3:$H$102,4,FALSE),VLOOKUP(BM$1,main!$A$3:$H$102,4,FALSE)+VLOOKUP($A91,main!$A$3:$H$102,4,FALSE)+(VLOOKUP(VLOOKUP(BM$1,main!$A$3:$H$102,8,FALSE),main!$K$19:$O$22,MATCH(VLOOKUP($A91,main!$A$3:$H$102,7,FALSE),main!$K$18:$O$18,0),0))),0)</f>
        <v>0</v>
      </c>
      <c r="BN91">
        <f>IF((gamma!BN91),IF(VLOOKUP(BN$1,main!$A$3:$H$102,7,FALSE)=VLOOKUP($A91,main!$A$3:$H$102,8,FALSE),VLOOKUP(BN$1,main!$A$3:$H$102,4,FALSE),VLOOKUP(BN$1,main!$A$3:$H$102,4,FALSE)+VLOOKUP($A91,main!$A$3:$H$102,4,FALSE)+(VLOOKUP(VLOOKUP(BN$1,main!$A$3:$H$102,8,FALSE),main!$K$19:$O$22,MATCH(VLOOKUP($A91,main!$A$3:$H$102,7,FALSE),main!$K$18:$O$18,0),0))),0)</f>
        <v>0</v>
      </c>
      <c r="BO91">
        <f>IF((gamma!BO91),IF(VLOOKUP(BO$1,main!$A$3:$H$102,7,FALSE)=VLOOKUP($A91,main!$A$3:$H$102,8,FALSE),VLOOKUP(BO$1,main!$A$3:$H$102,4,FALSE),VLOOKUP(BO$1,main!$A$3:$H$102,4,FALSE)+VLOOKUP($A91,main!$A$3:$H$102,4,FALSE)+(VLOOKUP(VLOOKUP(BO$1,main!$A$3:$H$102,8,FALSE),main!$K$19:$O$22,MATCH(VLOOKUP($A91,main!$A$3:$H$102,7,FALSE),main!$K$18:$O$18,0),0))),0)</f>
        <v>0</v>
      </c>
      <c r="BP91">
        <f>IF((gamma!BP91),IF(VLOOKUP(BP$1,main!$A$3:$H$102,7,FALSE)=VLOOKUP($A91,main!$A$3:$H$102,8,FALSE),VLOOKUP(BP$1,main!$A$3:$H$102,4,FALSE),VLOOKUP(BP$1,main!$A$3:$H$102,4,FALSE)+VLOOKUP($A91,main!$A$3:$H$102,4,FALSE)+(VLOOKUP(VLOOKUP(BP$1,main!$A$3:$H$102,8,FALSE),main!$K$19:$O$22,MATCH(VLOOKUP($A91,main!$A$3:$H$102,7,FALSE),main!$K$18:$O$18,0),0))),0)</f>
        <v>0</v>
      </c>
      <c r="BQ91">
        <f>IF((gamma!BQ91),IF(VLOOKUP(BQ$1,main!$A$3:$H$102,7,FALSE)=VLOOKUP($A91,main!$A$3:$H$102,8,FALSE),VLOOKUP(BQ$1,main!$A$3:$H$102,4,FALSE),VLOOKUP(BQ$1,main!$A$3:$H$102,4,FALSE)+VLOOKUP($A91,main!$A$3:$H$102,4,FALSE)+(VLOOKUP(VLOOKUP(BQ$1,main!$A$3:$H$102,8,FALSE),main!$K$19:$O$22,MATCH(VLOOKUP($A91,main!$A$3:$H$102,7,FALSE),main!$K$18:$O$18,0),0))),0)</f>
        <v>0</v>
      </c>
      <c r="BR91">
        <f>IF((gamma!BR91),IF(VLOOKUP(BR$1,main!$A$3:$H$102,7,FALSE)=VLOOKUP($A91,main!$A$3:$H$102,8,FALSE),VLOOKUP(BR$1,main!$A$3:$H$102,4,FALSE),VLOOKUP(BR$1,main!$A$3:$H$102,4,FALSE)+VLOOKUP($A91,main!$A$3:$H$102,4,FALSE)+(VLOOKUP(VLOOKUP(BR$1,main!$A$3:$H$102,8,FALSE),main!$K$19:$O$22,MATCH(VLOOKUP($A91,main!$A$3:$H$102,7,FALSE),main!$K$18:$O$18,0),0))),0)</f>
        <v>0</v>
      </c>
      <c r="BS91">
        <f>IF((gamma!BS91),IF(VLOOKUP(BS$1,main!$A$3:$H$102,7,FALSE)=VLOOKUP($A91,main!$A$3:$H$102,8,FALSE),VLOOKUP(BS$1,main!$A$3:$H$102,4,FALSE),VLOOKUP(BS$1,main!$A$3:$H$102,4,FALSE)+VLOOKUP($A91,main!$A$3:$H$102,4,FALSE)+(VLOOKUP(VLOOKUP(BS$1,main!$A$3:$H$102,8,FALSE),main!$K$19:$O$22,MATCH(VLOOKUP($A91,main!$A$3:$H$102,7,FALSE),main!$K$18:$O$18,0),0))),0)</f>
        <v>0</v>
      </c>
      <c r="BT91">
        <f>IF((gamma!BT91),IF(VLOOKUP(BT$1,main!$A$3:$H$102,7,FALSE)=VLOOKUP($A91,main!$A$3:$H$102,8,FALSE),VLOOKUP(BT$1,main!$A$3:$H$102,4,FALSE),VLOOKUP(BT$1,main!$A$3:$H$102,4,FALSE)+VLOOKUP($A91,main!$A$3:$H$102,4,FALSE)+(VLOOKUP(VLOOKUP(BT$1,main!$A$3:$H$102,8,FALSE),main!$K$19:$O$22,MATCH(VLOOKUP($A91,main!$A$3:$H$102,7,FALSE),main!$K$18:$O$18,0),0))),0)</f>
        <v>0</v>
      </c>
      <c r="BU91">
        <f>IF((gamma!BU91),IF(VLOOKUP(BU$1,main!$A$3:$H$102,7,FALSE)=VLOOKUP($A91,main!$A$3:$H$102,8,FALSE),VLOOKUP(BU$1,main!$A$3:$H$102,4,FALSE),VLOOKUP(BU$1,main!$A$3:$H$102,4,FALSE)+VLOOKUP($A91,main!$A$3:$H$102,4,FALSE)+(VLOOKUP(VLOOKUP(BU$1,main!$A$3:$H$102,8,FALSE),main!$K$19:$O$22,MATCH(VLOOKUP($A91,main!$A$3:$H$102,7,FALSE),main!$K$18:$O$18,0),0))),0)</f>
        <v>0</v>
      </c>
      <c r="BV91">
        <f>IF((gamma!BV91),IF(VLOOKUP(BV$1,main!$A$3:$H$102,7,FALSE)=VLOOKUP($A91,main!$A$3:$H$102,8,FALSE),VLOOKUP(BV$1,main!$A$3:$H$102,4,FALSE),VLOOKUP(BV$1,main!$A$3:$H$102,4,FALSE)+VLOOKUP($A91,main!$A$3:$H$102,4,FALSE)+(VLOOKUP(VLOOKUP(BV$1,main!$A$3:$H$102,8,FALSE),main!$K$19:$O$22,MATCH(VLOOKUP($A91,main!$A$3:$H$102,7,FALSE),main!$K$18:$O$18,0),0))),0)</f>
        <v>0</v>
      </c>
      <c r="BW91">
        <f>IF((gamma!BW91),IF(VLOOKUP(BW$1,main!$A$3:$H$102,7,FALSE)=VLOOKUP($A91,main!$A$3:$H$102,8,FALSE),VLOOKUP(BW$1,main!$A$3:$H$102,4,FALSE),VLOOKUP(BW$1,main!$A$3:$H$102,4,FALSE)+VLOOKUP($A91,main!$A$3:$H$102,4,FALSE)+(VLOOKUP(VLOOKUP(BW$1,main!$A$3:$H$102,8,FALSE),main!$K$19:$O$22,MATCH(VLOOKUP($A91,main!$A$3:$H$102,7,FALSE),main!$K$18:$O$18,0),0))),0)</f>
        <v>0</v>
      </c>
      <c r="BX91">
        <f>IF((gamma!BX91),IF(VLOOKUP(BX$1,main!$A$3:$H$102,7,FALSE)=VLOOKUP($A91,main!$A$3:$H$102,8,FALSE),VLOOKUP(BX$1,main!$A$3:$H$102,4,FALSE),VLOOKUP(BX$1,main!$A$3:$H$102,4,FALSE)+VLOOKUP($A91,main!$A$3:$H$102,4,FALSE)+(VLOOKUP(VLOOKUP(BX$1,main!$A$3:$H$102,8,FALSE),main!$K$19:$O$22,MATCH(VLOOKUP($A91,main!$A$3:$H$102,7,FALSE),main!$K$18:$O$18,0),0))),0)</f>
        <v>0</v>
      </c>
      <c r="BY91">
        <f>IF((gamma!BY91),IF(VLOOKUP(BY$1,main!$A$3:$H$102,7,FALSE)=VLOOKUP($A91,main!$A$3:$H$102,8,FALSE),VLOOKUP(BY$1,main!$A$3:$H$102,4,FALSE),VLOOKUP(BY$1,main!$A$3:$H$102,4,FALSE)+VLOOKUP($A91,main!$A$3:$H$102,4,FALSE)+(VLOOKUP(VLOOKUP(BY$1,main!$A$3:$H$102,8,FALSE),main!$K$19:$O$22,MATCH(VLOOKUP($A91,main!$A$3:$H$102,7,FALSE),main!$K$18:$O$18,0),0))),0)</f>
        <v>0</v>
      </c>
      <c r="BZ91">
        <f>IF((gamma!BZ91),IF(VLOOKUP(BZ$1,main!$A$3:$H$102,7,FALSE)=VLOOKUP($A91,main!$A$3:$H$102,8,FALSE),VLOOKUP(BZ$1,main!$A$3:$H$102,4,FALSE),VLOOKUP(BZ$1,main!$A$3:$H$102,4,FALSE)+VLOOKUP($A91,main!$A$3:$H$102,4,FALSE)+(VLOOKUP(VLOOKUP(BZ$1,main!$A$3:$H$102,8,FALSE),main!$K$19:$O$22,MATCH(VLOOKUP($A91,main!$A$3:$H$102,7,FALSE),main!$K$18:$O$18,0),0))),0)</f>
        <v>0</v>
      </c>
      <c r="CA91">
        <f>IF((gamma!CA91),IF(VLOOKUP(CA$1,main!$A$3:$H$102,7,FALSE)=VLOOKUP($A91,main!$A$3:$H$102,8,FALSE),VLOOKUP(CA$1,main!$A$3:$H$102,4,FALSE),VLOOKUP(CA$1,main!$A$3:$H$102,4,FALSE)+VLOOKUP($A91,main!$A$3:$H$102,4,FALSE)+(VLOOKUP(VLOOKUP(CA$1,main!$A$3:$H$102,8,FALSE),main!$K$19:$O$22,MATCH(VLOOKUP($A91,main!$A$3:$H$102,7,FALSE),main!$K$18:$O$18,0),0))),0)</f>
        <v>0</v>
      </c>
      <c r="CB91">
        <f>IF((gamma!CB91),IF(VLOOKUP(CB$1,main!$A$3:$H$102,7,FALSE)=VLOOKUP($A91,main!$A$3:$H$102,8,FALSE),VLOOKUP(CB$1,main!$A$3:$H$102,4,FALSE),VLOOKUP(CB$1,main!$A$3:$H$102,4,FALSE)+VLOOKUP($A91,main!$A$3:$H$102,4,FALSE)+(VLOOKUP(VLOOKUP(CB$1,main!$A$3:$H$102,8,FALSE),main!$K$19:$O$22,MATCH(VLOOKUP($A91,main!$A$3:$H$102,7,FALSE),main!$K$18:$O$18,0),0))),0)</f>
        <v>0</v>
      </c>
      <c r="CC91">
        <f>IF((gamma!CC91),IF(VLOOKUP(CC$1,main!$A$3:$H$102,7,FALSE)=VLOOKUP($A91,main!$A$3:$H$102,8,FALSE),VLOOKUP(CC$1,main!$A$3:$H$102,4,FALSE),VLOOKUP(CC$1,main!$A$3:$H$102,4,FALSE)+VLOOKUP($A91,main!$A$3:$H$102,4,FALSE)+(VLOOKUP(VLOOKUP(CC$1,main!$A$3:$H$102,8,FALSE),main!$K$19:$O$22,MATCH(VLOOKUP($A91,main!$A$3:$H$102,7,FALSE),main!$K$18:$O$18,0),0))),0)</f>
        <v>0</v>
      </c>
      <c r="CD91">
        <f>IF((gamma!CD91),IF(VLOOKUP(CD$1,main!$A$3:$H$102,7,FALSE)=VLOOKUP($A91,main!$A$3:$H$102,8,FALSE),VLOOKUP(CD$1,main!$A$3:$H$102,4,FALSE),VLOOKUP(CD$1,main!$A$3:$H$102,4,FALSE)+VLOOKUP($A91,main!$A$3:$H$102,4,FALSE)+(VLOOKUP(VLOOKUP(CD$1,main!$A$3:$H$102,8,FALSE),main!$K$19:$O$22,MATCH(VLOOKUP($A91,main!$A$3:$H$102,7,FALSE),main!$K$18:$O$18,0),0))),0)</f>
        <v>0</v>
      </c>
      <c r="CE91">
        <f>IF((gamma!CE91),IF(VLOOKUP(CE$1,main!$A$3:$H$102,7,FALSE)=VLOOKUP($A91,main!$A$3:$H$102,8,FALSE),VLOOKUP(CE$1,main!$A$3:$H$102,4,FALSE),VLOOKUP(CE$1,main!$A$3:$H$102,4,FALSE)+VLOOKUP($A91,main!$A$3:$H$102,4,FALSE)+(VLOOKUP(VLOOKUP(CE$1,main!$A$3:$H$102,8,FALSE),main!$K$19:$O$22,MATCH(VLOOKUP($A91,main!$A$3:$H$102,7,FALSE),main!$K$18:$O$18,0),0))),0)</f>
        <v>0</v>
      </c>
      <c r="CF91">
        <f>IF((gamma!CF91),IF(VLOOKUP(CF$1,main!$A$3:$H$102,7,FALSE)=VLOOKUP($A91,main!$A$3:$H$102,8,FALSE),VLOOKUP(CF$1,main!$A$3:$H$102,4,FALSE),VLOOKUP(CF$1,main!$A$3:$H$102,4,FALSE)+VLOOKUP($A91,main!$A$3:$H$102,4,FALSE)+(VLOOKUP(VLOOKUP(CF$1,main!$A$3:$H$102,8,FALSE),main!$K$19:$O$22,MATCH(VLOOKUP($A91,main!$A$3:$H$102,7,FALSE),main!$K$18:$O$18,0),0))),0)</f>
        <v>0</v>
      </c>
      <c r="CG91">
        <f>IF((gamma!CG91),IF(VLOOKUP(CG$1,main!$A$3:$H$102,7,FALSE)=VLOOKUP($A91,main!$A$3:$H$102,8,FALSE),VLOOKUP(CG$1,main!$A$3:$H$102,4,FALSE),VLOOKUP(CG$1,main!$A$3:$H$102,4,FALSE)+VLOOKUP($A91,main!$A$3:$H$102,4,FALSE)+(VLOOKUP(VLOOKUP(CG$1,main!$A$3:$H$102,8,FALSE),main!$K$19:$O$22,MATCH(VLOOKUP($A91,main!$A$3:$H$102,7,FALSE),main!$K$18:$O$18,0),0))),0)</f>
        <v>0</v>
      </c>
      <c r="CH91">
        <f>IF((gamma!CH91),IF(VLOOKUP(CH$1,main!$A$3:$H$102,7,FALSE)=VLOOKUP($A91,main!$A$3:$H$102,8,FALSE),VLOOKUP(CH$1,main!$A$3:$H$102,4,FALSE),VLOOKUP(CH$1,main!$A$3:$H$102,4,FALSE)+VLOOKUP($A91,main!$A$3:$H$102,4,FALSE)+(VLOOKUP(VLOOKUP(CH$1,main!$A$3:$H$102,8,FALSE),main!$K$19:$O$22,MATCH(VLOOKUP($A91,main!$A$3:$H$102,7,FALSE),main!$K$18:$O$18,0),0))),0)</f>
        <v>0</v>
      </c>
      <c r="CI91">
        <f>IF((gamma!CI91),IF(VLOOKUP(CI$1,main!$A$3:$H$102,7,FALSE)=VLOOKUP($A91,main!$A$3:$H$102,8,FALSE),VLOOKUP(CI$1,main!$A$3:$H$102,4,FALSE),VLOOKUP(CI$1,main!$A$3:$H$102,4,FALSE)+VLOOKUP($A91,main!$A$3:$H$102,4,FALSE)+(VLOOKUP(VLOOKUP(CI$1,main!$A$3:$H$102,8,FALSE),main!$K$19:$O$22,MATCH(VLOOKUP($A91,main!$A$3:$H$102,7,FALSE),main!$K$18:$O$18,0),0))),0)</f>
        <v>275</v>
      </c>
      <c r="CJ91">
        <f>IF((gamma!CJ91),IF(VLOOKUP(CJ$1,main!$A$3:$H$102,7,FALSE)=VLOOKUP($A91,main!$A$3:$H$102,8,FALSE),VLOOKUP(CJ$1,main!$A$3:$H$102,4,FALSE),VLOOKUP(CJ$1,main!$A$3:$H$102,4,FALSE)+VLOOKUP($A91,main!$A$3:$H$102,4,FALSE)+(VLOOKUP(VLOOKUP(CJ$1,main!$A$3:$H$102,8,FALSE),main!$K$19:$O$22,MATCH(VLOOKUP($A91,main!$A$3:$H$102,7,FALSE),main!$K$18:$O$18,0),0))),0)</f>
        <v>0</v>
      </c>
      <c r="CK91">
        <f>IF((gamma!CK91),IF(VLOOKUP(CK$1,main!$A$3:$H$102,7,FALSE)=VLOOKUP($A91,main!$A$3:$H$102,8,FALSE),VLOOKUP(CK$1,main!$A$3:$H$102,4,FALSE),VLOOKUP(CK$1,main!$A$3:$H$102,4,FALSE)+VLOOKUP($A91,main!$A$3:$H$102,4,FALSE)+(VLOOKUP(VLOOKUP(CK$1,main!$A$3:$H$102,8,FALSE),main!$K$19:$O$22,MATCH(VLOOKUP($A91,main!$A$3:$H$102,7,FALSE),main!$K$18:$O$18,0),0))),0)</f>
        <v>0</v>
      </c>
      <c r="CL91">
        <f>IF((gamma!CL91),IF(VLOOKUP(CL$1,main!$A$3:$H$102,7,FALSE)=VLOOKUP($A91,main!$A$3:$H$102,8,FALSE),VLOOKUP(CL$1,main!$A$3:$H$102,4,FALSE),VLOOKUP(CL$1,main!$A$3:$H$102,4,FALSE)+VLOOKUP($A91,main!$A$3:$H$102,4,FALSE)+(VLOOKUP(VLOOKUP(CL$1,main!$A$3:$H$102,8,FALSE),main!$K$19:$O$22,MATCH(VLOOKUP($A91,main!$A$3:$H$102,7,FALSE),main!$K$18:$O$18,0),0))),0)</f>
        <v>0</v>
      </c>
      <c r="CM91">
        <f>IF((gamma!CM91),IF(VLOOKUP(CM$1,main!$A$3:$H$102,7,FALSE)=VLOOKUP($A91,main!$A$3:$H$102,8,FALSE),VLOOKUP(CM$1,main!$A$3:$H$102,4,FALSE),VLOOKUP(CM$1,main!$A$3:$H$102,4,FALSE)+VLOOKUP($A91,main!$A$3:$H$102,4,FALSE)+(VLOOKUP(VLOOKUP(CM$1,main!$A$3:$H$102,8,FALSE),main!$K$19:$O$22,MATCH(VLOOKUP($A91,main!$A$3:$H$102,7,FALSE),main!$K$18:$O$18,0),0))),0)</f>
        <v>0</v>
      </c>
      <c r="CN91">
        <f>IF((gamma!CN91),IF(VLOOKUP(CN$1,main!$A$3:$H$102,7,FALSE)=VLOOKUP($A91,main!$A$3:$H$102,8,FALSE),VLOOKUP(CN$1,main!$A$3:$H$102,4,FALSE),VLOOKUP(CN$1,main!$A$3:$H$102,4,FALSE)+VLOOKUP($A91,main!$A$3:$H$102,4,FALSE)+(VLOOKUP(VLOOKUP(CN$1,main!$A$3:$H$102,8,FALSE),main!$K$19:$O$22,MATCH(VLOOKUP($A91,main!$A$3:$H$102,7,FALSE),main!$K$18:$O$18,0),0))),0)</f>
        <v>231</v>
      </c>
      <c r="CO91">
        <f>IF((gamma!CO91),IF(VLOOKUP(CO$1,main!$A$3:$H$102,7,FALSE)=VLOOKUP($A91,main!$A$3:$H$102,8,FALSE),VLOOKUP(CO$1,main!$A$3:$H$102,4,FALSE),VLOOKUP(CO$1,main!$A$3:$H$102,4,FALSE)+VLOOKUP($A91,main!$A$3:$H$102,4,FALSE)+(VLOOKUP(VLOOKUP(CO$1,main!$A$3:$H$102,8,FALSE),main!$K$19:$O$22,MATCH(VLOOKUP($A91,main!$A$3:$H$102,7,FALSE),main!$K$18:$O$18,0),0))),0)</f>
        <v>0</v>
      </c>
      <c r="CP91">
        <f>IF((gamma!CP91),IF(VLOOKUP(CP$1,main!$A$3:$H$102,7,FALSE)=VLOOKUP($A91,main!$A$3:$H$102,8,FALSE),VLOOKUP(CP$1,main!$A$3:$H$102,4,FALSE),VLOOKUP(CP$1,main!$A$3:$H$102,4,FALSE)+VLOOKUP($A91,main!$A$3:$H$102,4,FALSE)+(VLOOKUP(VLOOKUP(CP$1,main!$A$3:$H$102,8,FALSE),main!$K$19:$O$22,MATCH(VLOOKUP($A91,main!$A$3:$H$102,7,FALSE),main!$K$18:$O$18,0),0))),0)</f>
        <v>0</v>
      </c>
      <c r="CQ91">
        <f>IF((gamma!CQ91),IF(VLOOKUP(CQ$1,main!$A$3:$H$102,7,FALSE)=VLOOKUP($A91,main!$A$3:$H$102,8,FALSE),VLOOKUP(CQ$1,main!$A$3:$H$102,4,FALSE),VLOOKUP(CQ$1,main!$A$3:$H$102,4,FALSE)+VLOOKUP($A91,main!$A$3:$H$102,4,FALSE)+(VLOOKUP(VLOOKUP(CQ$1,main!$A$3:$H$102,8,FALSE),main!$K$19:$O$22,MATCH(VLOOKUP($A91,main!$A$3:$H$102,7,FALSE),main!$K$18:$O$18,0),0))),0)</f>
        <v>0</v>
      </c>
      <c r="CR91">
        <f>IF((gamma!CR91),IF(VLOOKUP(CR$1,main!$A$3:$H$102,7,FALSE)=VLOOKUP($A91,main!$A$3:$H$102,8,FALSE),VLOOKUP(CR$1,main!$A$3:$H$102,4,FALSE),VLOOKUP(CR$1,main!$A$3:$H$102,4,FALSE)+VLOOKUP($A91,main!$A$3:$H$102,4,FALSE)+(VLOOKUP(VLOOKUP(CR$1,main!$A$3:$H$102,8,FALSE),main!$K$19:$O$22,MATCH(VLOOKUP($A91,main!$A$3:$H$102,7,FALSE),main!$K$18:$O$18,0),0))),0)</f>
        <v>0</v>
      </c>
      <c r="CS91">
        <f>IF((gamma!CS91),IF(VLOOKUP(CS$1,main!$A$3:$H$102,7,FALSE)=VLOOKUP($A91,main!$A$3:$H$102,8,FALSE),VLOOKUP(CS$1,main!$A$3:$H$102,4,FALSE),VLOOKUP(CS$1,main!$A$3:$H$102,4,FALSE)+VLOOKUP($A91,main!$A$3:$H$102,4,FALSE)+(VLOOKUP(VLOOKUP(CS$1,main!$A$3:$H$102,8,FALSE),main!$K$19:$O$22,MATCH(VLOOKUP($A91,main!$A$3:$H$102,7,FALSE),main!$K$18:$O$18,0),0))),0)</f>
        <v>0</v>
      </c>
      <c r="CT91">
        <f>IF((gamma!CT91),IF(VLOOKUP(CT$1,main!$A$3:$H$102,7,FALSE)=VLOOKUP($A91,main!$A$3:$H$102,8,FALSE),VLOOKUP(CT$1,main!$A$3:$H$102,4,FALSE),VLOOKUP(CT$1,main!$A$3:$H$102,4,FALSE)+VLOOKUP($A91,main!$A$3:$H$102,4,FALSE)+(VLOOKUP(VLOOKUP(CT$1,main!$A$3:$H$102,8,FALSE),main!$K$19:$O$22,MATCH(VLOOKUP($A91,main!$A$3:$H$102,7,FALSE),main!$K$18:$O$18,0),0))),0)</f>
        <v>0</v>
      </c>
      <c r="CU91">
        <f>IF((gamma!CU91),IF(VLOOKUP(CU$1,main!$A$3:$H$102,7,FALSE)=VLOOKUP($A91,main!$A$3:$H$102,8,FALSE),VLOOKUP(CU$1,main!$A$3:$H$102,4,FALSE),VLOOKUP(CU$1,main!$A$3:$H$102,4,FALSE)+VLOOKUP($A91,main!$A$3:$H$102,4,FALSE)+(VLOOKUP(VLOOKUP(CU$1,main!$A$3:$H$102,8,FALSE),main!$K$19:$O$22,MATCH(VLOOKUP($A91,main!$A$3:$H$102,7,FALSE),main!$K$18:$O$18,0),0))),0)</f>
        <v>0</v>
      </c>
      <c r="CV91">
        <f>IF((gamma!CV91),IF(VLOOKUP(CV$1,main!$A$3:$H$102,7,FALSE)=VLOOKUP($A91,main!$A$3:$H$102,8,FALSE),VLOOKUP(CV$1,main!$A$3:$H$102,4,FALSE),VLOOKUP(CV$1,main!$A$3:$H$102,4,FALSE)+VLOOKUP($A91,main!$A$3:$H$102,4,FALSE)+(VLOOKUP(VLOOKUP(CV$1,main!$A$3:$H$102,8,FALSE),main!$K$19:$O$22,MATCH(VLOOKUP($A91,main!$A$3:$H$102,7,FALSE),main!$K$18:$O$18,0),0))),0)</f>
        <v>0</v>
      </c>
      <c r="CW91">
        <f>IF((gamma!CW91),IF(VLOOKUP(CW$1,main!$A$3:$H$102,7,FALSE)=VLOOKUP($A91,main!$A$3:$H$102,8,FALSE),VLOOKUP(CW$1,main!$A$3:$H$102,4,FALSE),VLOOKUP(CW$1,main!$A$3:$H$102,4,FALSE)+VLOOKUP($A91,main!$A$3:$H$102,4,FALSE)+(VLOOKUP(VLOOKUP(CW$1,main!$A$3:$H$102,8,FALSE),main!$K$19:$O$22,MATCH(VLOOKUP($A91,main!$A$3:$H$102,7,FALSE),main!$K$18:$O$18,0),0))),0)</f>
        <v>0</v>
      </c>
      <c r="CX91">
        <f>IF((gamma!CX91),IF(VLOOKUP(CX$1,main!$A$3:$H$102,7,FALSE)=VLOOKUP($A91,main!$A$3:$H$102,8,FALSE),VLOOKUP(CX$1,main!$A$3:$H$102,4,FALSE),VLOOKUP(CX$1,main!$A$3:$H$102,4,FALSE)+VLOOKUP($A91,main!$A$3:$H$102,4,FALSE)+(VLOOKUP(VLOOKUP(CX$1,main!$A$3:$H$102,8,FALSE),main!$K$19:$O$22,MATCH(VLOOKUP($A91,main!$A$3:$H$102,7,FALSE),main!$K$18:$O$18,0),0))),0)</f>
        <v>0</v>
      </c>
      <c r="CY91">
        <v>0</v>
      </c>
      <c r="CZ91">
        <v>0</v>
      </c>
      <c r="DA91">
        <v>0</v>
      </c>
    </row>
    <row r="92" spans="1:105" x14ac:dyDescent="0.25">
      <c r="A92" s="1">
        <v>90</v>
      </c>
      <c r="B92">
        <v>0</v>
      </c>
      <c r="C92">
        <f>IF((gamma!C92),IF(VLOOKUP(C$1,main!$A$3:$H$102,7,FALSE)=VLOOKUP($A92,main!$A$3:$H$102,8,FALSE),VLOOKUP(C$1,main!$A$3:$H$102,4,FALSE),VLOOKUP(C$1,main!$A$3:$H$102,4,FALSE)+VLOOKUP($A92,main!$A$3:$H$102,4,FALSE)+(VLOOKUP(VLOOKUP(C$1,main!$A$3:$H$102,8,FALSE),main!$K$19:$O$22,MATCH(VLOOKUP($A92,main!$A$3:$H$102,7,FALSE),main!$K$18:$O$18,0),0))),0)</f>
        <v>0</v>
      </c>
      <c r="D92">
        <f>IF((gamma!D92),IF(VLOOKUP(D$1,main!$A$3:$H$102,7,FALSE)=VLOOKUP($A92,main!$A$3:$H$102,8,FALSE),VLOOKUP(D$1,main!$A$3:$H$102,4,FALSE),VLOOKUP(D$1,main!$A$3:$H$102,4,FALSE)+VLOOKUP($A92,main!$A$3:$H$102,4,FALSE)+(VLOOKUP(VLOOKUP(D$1,main!$A$3:$H$102,8,FALSE),main!$K$19:$O$22,MATCH(VLOOKUP($A92,main!$A$3:$H$102,7,FALSE),main!$K$18:$O$18,0),0))),0)</f>
        <v>0</v>
      </c>
      <c r="E92">
        <f>IF((gamma!E92),IF(VLOOKUP(E$1,main!$A$3:$H$102,7,FALSE)=VLOOKUP($A92,main!$A$3:$H$102,8,FALSE),VLOOKUP(E$1,main!$A$3:$H$102,4,FALSE),VLOOKUP(E$1,main!$A$3:$H$102,4,FALSE)+VLOOKUP($A92,main!$A$3:$H$102,4,FALSE)+(VLOOKUP(VLOOKUP(E$1,main!$A$3:$H$102,8,FALSE),main!$K$19:$O$22,MATCH(VLOOKUP($A92,main!$A$3:$H$102,7,FALSE),main!$K$18:$O$18,0),0))),0)</f>
        <v>0</v>
      </c>
      <c r="F92">
        <f>IF((gamma!F92),IF(VLOOKUP(F$1,main!$A$3:$H$102,7,FALSE)=VLOOKUP($A92,main!$A$3:$H$102,8,FALSE),VLOOKUP(F$1,main!$A$3:$H$102,4,FALSE),VLOOKUP(F$1,main!$A$3:$H$102,4,FALSE)+VLOOKUP($A92,main!$A$3:$H$102,4,FALSE)+(VLOOKUP(VLOOKUP(F$1,main!$A$3:$H$102,8,FALSE),main!$K$19:$O$22,MATCH(VLOOKUP($A92,main!$A$3:$H$102,7,FALSE),main!$K$18:$O$18,0),0))),0)</f>
        <v>0</v>
      </c>
      <c r="G92">
        <f>IF((gamma!G92),IF(VLOOKUP(G$1,main!$A$3:$H$102,7,FALSE)=VLOOKUP($A92,main!$A$3:$H$102,8,FALSE),VLOOKUP(G$1,main!$A$3:$H$102,4,FALSE),VLOOKUP(G$1,main!$A$3:$H$102,4,FALSE)+VLOOKUP($A92,main!$A$3:$H$102,4,FALSE)+(VLOOKUP(VLOOKUP(G$1,main!$A$3:$H$102,8,FALSE),main!$K$19:$O$22,MATCH(VLOOKUP($A92,main!$A$3:$H$102,7,FALSE),main!$K$18:$O$18,0),0))),0)</f>
        <v>0</v>
      </c>
      <c r="H92">
        <f>IF((gamma!H92),IF(VLOOKUP(H$1,main!$A$3:$H$102,7,FALSE)=VLOOKUP($A92,main!$A$3:$H$102,8,FALSE),VLOOKUP(H$1,main!$A$3:$H$102,4,FALSE),VLOOKUP(H$1,main!$A$3:$H$102,4,FALSE)+VLOOKUP($A92,main!$A$3:$H$102,4,FALSE)+(VLOOKUP(VLOOKUP(H$1,main!$A$3:$H$102,8,FALSE),main!$K$19:$O$22,MATCH(VLOOKUP($A92,main!$A$3:$H$102,7,FALSE),main!$K$18:$O$18,0),0))),0)</f>
        <v>0</v>
      </c>
      <c r="I92">
        <f>IF((gamma!I92),IF(VLOOKUP(I$1,main!$A$3:$H$102,7,FALSE)=VLOOKUP($A92,main!$A$3:$H$102,8,FALSE),VLOOKUP(I$1,main!$A$3:$H$102,4,FALSE),VLOOKUP(I$1,main!$A$3:$H$102,4,FALSE)+VLOOKUP($A92,main!$A$3:$H$102,4,FALSE)+(VLOOKUP(VLOOKUP(I$1,main!$A$3:$H$102,8,FALSE),main!$K$19:$O$22,MATCH(VLOOKUP($A92,main!$A$3:$H$102,7,FALSE),main!$K$18:$O$18,0),0))),0)</f>
        <v>0</v>
      </c>
      <c r="J92">
        <f>IF((gamma!J92),IF(VLOOKUP(J$1,main!$A$3:$H$102,7,FALSE)=VLOOKUP($A92,main!$A$3:$H$102,8,FALSE),VLOOKUP(J$1,main!$A$3:$H$102,4,FALSE),VLOOKUP(J$1,main!$A$3:$H$102,4,FALSE)+VLOOKUP($A92,main!$A$3:$H$102,4,FALSE)+(VLOOKUP(VLOOKUP(J$1,main!$A$3:$H$102,8,FALSE),main!$K$19:$O$22,MATCH(VLOOKUP($A92,main!$A$3:$H$102,7,FALSE),main!$K$18:$O$18,0),0))),0)</f>
        <v>0</v>
      </c>
      <c r="K92">
        <f>IF((gamma!K92),IF(VLOOKUP(K$1,main!$A$3:$H$102,7,FALSE)=VLOOKUP($A92,main!$A$3:$H$102,8,FALSE),VLOOKUP(K$1,main!$A$3:$H$102,4,FALSE),VLOOKUP(K$1,main!$A$3:$H$102,4,FALSE)+VLOOKUP($A92,main!$A$3:$H$102,4,FALSE)+(VLOOKUP(VLOOKUP(K$1,main!$A$3:$H$102,8,FALSE),main!$K$19:$O$22,MATCH(VLOOKUP($A92,main!$A$3:$H$102,7,FALSE),main!$K$18:$O$18,0),0))),0)</f>
        <v>0</v>
      </c>
      <c r="L92">
        <f>IF((gamma!L92),IF(VLOOKUP(L$1,main!$A$3:$H$102,7,FALSE)=VLOOKUP($A92,main!$A$3:$H$102,8,FALSE),VLOOKUP(L$1,main!$A$3:$H$102,4,FALSE),VLOOKUP(L$1,main!$A$3:$H$102,4,FALSE)+VLOOKUP($A92,main!$A$3:$H$102,4,FALSE)+(VLOOKUP(VLOOKUP(L$1,main!$A$3:$H$102,8,FALSE),main!$K$19:$O$22,MATCH(VLOOKUP($A92,main!$A$3:$H$102,7,FALSE),main!$K$18:$O$18,0),0))),0)</f>
        <v>0</v>
      </c>
      <c r="M92">
        <f>IF((gamma!M92),IF(VLOOKUP(M$1,main!$A$3:$H$102,7,FALSE)=VLOOKUP($A92,main!$A$3:$H$102,8,FALSE),VLOOKUP(M$1,main!$A$3:$H$102,4,FALSE),VLOOKUP(M$1,main!$A$3:$H$102,4,FALSE)+VLOOKUP($A92,main!$A$3:$H$102,4,FALSE)+(VLOOKUP(VLOOKUP(M$1,main!$A$3:$H$102,8,FALSE),main!$K$19:$O$22,MATCH(VLOOKUP($A92,main!$A$3:$H$102,7,FALSE),main!$K$18:$O$18,0),0))),0)</f>
        <v>0</v>
      </c>
      <c r="N92">
        <f>IF((gamma!N92),IF(VLOOKUP(N$1,main!$A$3:$H$102,7,FALSE)=VLOOKUP($A92,main!$A$3:$H$102,8,FALSE),VLOOKUP(N$1,main!$A$3:$H$102,4,FALSE),VLOOKUP(N$1,main!$A$3:$H$102,4,FALSE)+VLOOKUP($A92,main!$A$3:$H$102,4,FALSE)+(VLOOKUP(VLOOKUP(N$1,main!$A$3:$H$102,8,FALSE),main!$K$19:$O$22,MATCH(VLOOKUP($A92,main!$A$3:$H$102,7,FALSE),main!$K$18:$O$18,0),0))),0)</f>
        <v>0</v>
      </c>
      <c r="O92">
        <f>IF((gamma!O92),IF(VLOOKUP(O$1,main!$A$3:$H$102,7,FALSE)=VLOOKUP($A92,main!$A$3:$H$102,8,FALSE),VLOOKUP(O$1,main!$A$3:$H$102,4,FALSE),VLOOKUP(O$1,main!$A$3:$H$102,4,FALSE)+VLOOKUP($A92,main!$A$3:$H$102,4,FALSE)+(VLOOKUP(VLOOKUP(O$1,main!$A$3:$H$102,8,FALSE),main!$K$19:$O$22,MATCH(VLOOKUP($A92,main!$A$3:$H$102,7,FALSE),main!$K$18:$O$18,0),0))),0)</f>
        <v>0</v>
      </c>
      <c r="P92">
        <f>IF((gamma!P92),IF(VLOOKUP(P$1,main!$A$3:$H$102,7,FALSE)=VLOOKUP($A92,main!$A$3:$H$102,8,FALSE),VLOOKUP(P$1,main!$A$3:$H$102,4,FALSE),VLOOKUP(P$1,main!$A$3:$H$102,4,FALSE)+VLOOKUP($A92,main!$A$3:$H$102,4,FALSE)+(VLOOKUP(VLOOKUP(P$1,main!$A$3:$H$102,8,FALSE),main!$K$19:$O$22,MATCH(VLOOKUP($A92,main!$A$3:$H$102,7,FALSE),main!$K$18:$O$18,0),0))),0)</f>
        <v>0</v>
      </c>
      <c r="Q92">
        <f>IF((gamma!Q92),IF(VLOOKUP(Q$1,main!$A$3:$H$102,7,FALSE)=VLOOKUP($A92,main!$A$3:$H$102,8,FALSE),VLOOKUP(Q$1,main!$A$3:$H$102,4,FALSE),VLOOKUP(Q$1,main!$A$3:$H$102,4,FALSE)+VLOOKUP($A92,main!$A$3:$H$102,4,FALSE)+(VLOOKUP(VLOOKUP(Q$1,main!$A$3:$H$102,8,FALSE),main!$K$19:$O$22,MATCH(VLOOKUP($A92,main!$A$3:$H$102,7,FALSE),main!$K$18:$O$18,0),0))),0)</f>
        <v>0</v>
      </c>
      <c r="R92">
        <f>IF((gamma!R92),IF(VLOOKUP(R$1,main!$A$3:$H$102,7,FALSE)=VLOOKUP($A92,main!$A$3:$H$102,8,FALSE),VLOOKUP(R$1,main!$A$3:$H$102,4,FALSE),VLOOKUP(R$1,main!$A$3:$H$102,4,FALSE)+VLOOKUP($A92,main!$A$3:$H$102,4,FALSE)+(VLOOKUP(VLOOKUP(R$1,main!$A$3:$H$102,8,FALSE),main!$K$19:$O$22,MATCH(VLOOKUP($A92,main!$A$3:$H$102,7,FALSE),main!$K$18:$O$18,0),0))),0)</f>
        <v>0</v>
      </c>
      <c r="S92">
        <f>IF((gamma!S92),IF(VLOOKUP(S$1,main!$A$3:$H$102,7,FALSE)=VLOOKUP($A92,main!$A$3:$H$102,8,FALSE),VLOOKUP(S$1,main!$A$3:$H$102,4,FALSE),VLOOKUP(S$1,main!$A$3:$H$102,4,FALSE)+VLOOKUP($A92,main!$A$3:$H$102,4,FALSE)+(VLOOKUP(VLOOKUP(S$1,main!$A$3:$H$102,8,FALSE),main!$K$19:$O$22,MATCH(VLOOKUP($A92,main!$A$3:$H$102,7,FALSE),main!$K$18:$O$18,0),0))),0)</f>
        <v>0</v>
      </c>
      <c r="T92">
        <f>IF((gamma!T92),IF(VLOOKUP(T$1,main!$A$3:$H$102,7,FALSE)=VLOOKUP($A92,main!$A$3:$H$102,8,FALSE),VLOOKUP(T$1,main!$A$3:$H$102,4,FALSE),VLOOKUP(T$1,main!$A$3:$H$102,4,FALSE)+VLOOKUP($A92,main!$A$3:$H$102,4,FALSE)+(VLOOKUP(VLOOKUP(T$1,main!$A$3:$H$102,8,FALSE),main!$K$19:$O$22,MATCH(VLOOKUP($A92,main!$A$3:$H$102,7,FALSE),main!$K$18:$O$18,0),0))),0)</f>
        <v>0</v>
      </c>
      <c r="U92">
        <f>IF((gamma!U92),IF(VLOOKUP(U$1,main!$A$3:$H$102,7,FALSE)=VLOOKUP($A92,main!$A$3:$H$102,8,FALSE),VLOOKUP(U$1,main!$A$3:$H$102,4,FALSE),VLOOKUP(U$1,main!$A$3:$H$102,4,FALSE)+VLOOKUP($A92,main!$A$3:$H$102,4,FALSE)+(VLOOKUP(VLOOKUP(U$1,main!$A$3:$H$102,8,FALSE),main!$K$19:$O$22,MATCH(VLOOKUP($A92,main!$A$3:$H$102,7,FALSE),main!$K$18:$O$18,0),0))),0)</f>
        <v>0</v>
      </c>
      <c r="V92">
        <f>IF((gamma!V92),IF(VLOOKUP(V$1,main!$A$3:$H$102,7,FALSE)=VLOOKUP($A92,main!$A$3:$H$102,8,FALSE),VLOOKUP(V$1,main!$A$3:$H$102,4,FALSE),VLOOKUP(V$1,main!$A$3:$H$102,4,FALSE)+VLOOKUP($A92,main!$A$3:$H$102,4,FALSE)+(VLOOKUP(VLOOKUP(V$1,main!$A$3:$H$102,8,FALSE),main!$K$19:$O$22,MATCH(VLOOKUP($A92,main!$A$3:$H$102,7,FALSE),main!$K$18:$O$18,0),0))),0)</f>
        <v>0</v>
      </c>
      <c r="W92">
        <f>IF((gamma!W92),IF(VLOOKUP(W$1,main!$A$3:$H$102,7,FALSE)=VLOOKUP($A92,main!$A$3:$H$102,8,FALSE),VLOOKUP(W$1,main!$A$3:$H$102,4,FALSE),VLOOKUP(W$1,main!$A$3:$H$102,4,FALSE)+VLOOKUP($A92,main!$A$3:$H$102,4,FALSE)+(VLOOKUP(VLOOKUP(W$1,main!$A$3:$H$102,8,FALSE),main!$K$19:$O$22,MATCH(VLOOKUP($A92,main!$A$3:$H$102,7,FALSE),main!$K$18:$O$18,0),0))),0)</f>
        <v>0</v>
      </c>
      <c r="X92">
        <f>IF((gamma!X92),IF(VLOOKUP(X$1,main!$A$3:$H$102,7,FALSE)=VLOOKUP($A92,main!$A$3:$H$102,8,FALSE),VLOOKUP(X$1,main!$A$3:$H$102,4,FALSE),VLOOKUP(X$1,main!$A$3:$H$102,4,FALSE)+VLOOKUP($A92,main!$A$3:$H$102,4,FALSE)+(VLOOKUP(VLOOKUP(X$1,main!$A$3:$H$102,8,FALSE),main!$K$19:$O$22,MATCH(VLOOKUP($A92,main!$A$3:$H$102,7,FALSE),main!$K$18:$O$18,0),0))),0)</f>
        <v>0</v>
      </c>
      <c r="Y92">
        <f>IF((gamma!Y92),IF(VLOOKUP(Y$1,main!$A$3:$H$102,7,FALSE)=VLOOKUP($A92,main!$A$3:$H$102,8,FALSE),VLOOKUP(Y$1,main!$A$3:$H$102,4,FALSE),VLOOKUP(Y$1,main!$A$3:$H$102,4,FALSE)+VLOOKUP($A92,main!$A$3:$H$102,4,FALSE)+(VLOOKUP(VLOOKUP(Y$1,main!$A$3:$H$102,8,FALSE),main!$K$19:$O$22,MATCH(VLOOKUP($A92,main!$A$3:$H$102,7,FALSE),main!$K$18:$O$18,0),0))),0)</f>
        <v>0</v>
      </c>
      <c r="Z92">
        <f>IF((gamma!Z92),IF(VLOOKUP(Z$1,main!$A$3:$H$102,7,FALSE)=VLOOKUP($A92,main!$A$3:$H$102,8,FALSE),VLOOKUP(Z$1,main!$A$3:$H$102,4,FALSE),VLOOKUP(Z$1,main!$A$3:$H$102,4,FALSE)+VLOOKUP($A92,main!$A$3:$H$102,4,FALSE)+(VLOOKUP(VLOOKUP(Z$1,main!$A$3:$H$102,8,FALSE),main!$K$19:$O$22,MATCH(VLOOKUP($A92,main!$A$3:$H$102,7,FALSE),main!$K$18:$O$18,0),0))),0)</f>
        <v>0</v>
      </c>
      <c r="AA92">
        <f>IF((gamma!AA92),IF(VLOOKUP(AA$1,main!$A$3:$H$102,7,FALSE)=VLOOKUP($A92,main!$A$3:$H$102,8,FALSE),VLOOKUP(AA$1,main!$A$3:$H$102,4,FALSE),VLOOKUP(AA$1,main!$A$3:$H$102,4,FALSE)+VLOOKUP($A92,main!$A$3:$H$102,4,FALSE)+(VLOOKUP(VLOOKUP(AA$1,main!$A$3:$H$102,8,FALSE),main!$K$19:$O$22,MATCH(VLOOKUP($A92,main!$A$3:$H$102,7,FALSE),main!$K$18:$O$18,0),0))),0)</f>
        <v>0</v>
      </c>
      <c r="AB92">
        <f>IF((gamma!AB92),IF(VLOOKUP(AB$1,main!$A$3:$H$102,7,FALSE)=VLOOKUP($A92,main!$A$3:$H$102,8,FALSE),VLOOKUP(AB$1,main!$A$3:$H$102,4,FALSE),VLOOKUP(AB$1,main!$A$3:$H$102,4,FALSE)+VLOOKUP($A92,main!$A$3:$H$102,4,FALSE)+(VLOOKUP(VLOOKUP(AB$1,main!$A$3:$H$102,8,FALSE),main!$K$19:$O$22,MATCH(VLOOKUP($A92,main!$A$3:$H$102,7,FALSE),main!$K$18:$O$18,0),0))),0)</f>
        <v>0</v>
      </c>
      <c r="AC92">
        <f>IF((gamma!AC92),IF(VLOOKUP(AC$1,main!$A$3:$H$102,7,FALSE)=VLOOKUP($A92,main!$A$3:$H$102,8,FALSE),VLOOKUP(AC$1,main!$A$3:$H$102,4,FALSE),VLOOKUP(AC$1,main!$A$3:$H$102,4,FALSE)+VLOOKUP($A92,main!$A$3:$H$102,4,FALSE)+(VLOOKUP(VLOOKUP(AC$1,main!$A$3:$H$102,8,FALSE),main!$K$19:$O$22,MATCH(VLOOKUP($A92,main!$A$3:$H$102,7,FALSE),main!$K$18:$O$18,0),0))),0)</f>
        <v>0</v>
      </c>
      <c r="AD92">
        <f>IF((gamma!AD92),IF(VLOOKUP(AD$1,main!$A$3:$H$102,7,FALSE)=VLOOKUP($A92,main!$A$3:$H$102,8,FALSE),VLOOKUP(AD$1,main!$A$3:$H$102,4,FALSE),VLOOKUP(AD$1,main!$A$3:$H$102,4,FALSE)+VLOOKUP($A92,main!$A$3:$H$102,4,FALSE)+(VLOOKUP(VLOOKUP(AD$1,main!$A$3:$H$102,8,FALSE),main!$K$19:$O$22,MATCH(VLOOKUP($A92,main!$A$3:$H$102,7,FALSE),main!$K$18:$O$18,0),0))),0)</f>
        <v>0</v>
      </c>
      <c r="AE92">
        <f>IF((gamma!AE92),IF(VLOOKUP(AE$1,main!$A$3:$H$102,7,FALSE)=VLOOKUP($A92,main!$A$3:$H$102,8,FALSE),VLOOKUP(AE$1,main!$A$3:$H$102,4,FALSE),VLOOKUP(AE$1,main!$A$3:$H$102,4,FALSE)+VLOOKUP($A92,main!$A$3:$H$102,4,FALSE)+(VLOOKUP(VLOOKUP(AE$1,main!$A$3:$H$102,8,FALSE),main!$K$19:$O$22,MATCH(VLOOKUP($A92,main!$A$3:$H$102,7,FALSE),main!$K$18:$O$18,0),0))),0)</f>
        <v>0</v>
      </c>
      <c r="AF92">
        <f>IF((gamma!AF92),IF(VLOOKUP(AF$1,main!$A$3:$H$102,7,FALSE)=VLOOKUP($A92,main!$A$3:$H$102,8,FALSE),VLOOKUP(AF$1,main!$A$3:$H$102,4,FALSE),VLOOKUP(AF$1,main!$A$3:$H$102,4,FALSE)+VLOOKUP($A92,main!$A$3:$H$102,4,FALSE)+(VLOOKUP(VLOOKUP(AF$1,main!$A$3:$H$102,8,FALSE),main!$K$19:$O$22,MATCH(VLOOKUP($A92,main!$A$3:$H$102,7,FALSE),main!$K$18:$O$18,0),0))),0)</f>
        <v>0</v>
      </c>
      <c r="AG92">
        <f>IF((gamma!AG92),IF(VLOOKUP(AG$1,main!$A$3:$H$102,7,FALSE)=VLOOKUP($A92,main!$A$3:$H$102,8,FALSE),VLOOKUP(AG$1,main!$A$3:$H$102,4,FALSE),VLOOKUP(AG$1,main!$A$3:$H$102,4,FALSE)+VLOOKUP($A92,main!$A$3:$H$102,4,FALSE)+(VLOOKUP(VLOOKUP(AG$1,main!$A$3:$H$102,8,FALSE),main!$K$19:$O$22,MATCH(VLOOKUP($A92,main!$A$3:$H$102,7,FALSE),main!$K$18:$O$18,0),0))),0)</f>
        <v>0</v>
      </c>
      <c r="AH92">
        <f>IF((gamma!AH92),IF(VLOOKUP(AH$1,main!$A$3:$H$102,7,FALSE)=VLOOKUP($A92,main!$A$3:$H$102,8,FALSE),VLOOKUP(AH$1,main!$A$3:$H$102,4,FALSE),VLOOKUP(AH$1,main!$A$3:$H$102,4,FALSE)+VLOOKUP($A92,main!$A$3:$H$102,4,FALSE)+(VLOOKUP(VLOOKUP(AH$1,main!$A$3:$H$102,8,FALSE),main!$K$19:$O$22,MATCH(VLOOKUP($A92,main!$A$3:$H$102,7,FALSE),main!$K$18:$O$18,0),0))),0)</f>
        <v>0</v>
      </c>
      <c r="AI92">
        <f>IF((gamma!AI92),IF(VLOOKUP(AI$1,main!$A$3:$H$102,7,FALSE)=VLOOKUP($A92,main!$A$3:$H$102,8,FALSE),VLOOKUP(AI$1,main!$A$3:$H$102,4,FALSE),VLOOKUP(AI$1,main!$A$3:$H$102,4,FALSE)+VLOOKUP($A92,main!$A$3:$H$102,4,FALSE)+(VLOOKUP(VLOOKUP(AI$1,main!$A$3:$H$102,8,FALSE),main!$K$19:$O$22,MATCH(VLOOKUP($A92,main!$A$3:$H$102,7,FALSE),main!$K$18:$O$18,0),0))),0)</f>
        <v>0</v>
      </c>
      <c r="AJ92">
        <f>IF((gamma!AJ92),IF(VLOOKUP(AJ$1,main!$A$3:$H$102,7,FALSE)=VLOOKUP($A92,main!$A$3:$H$102,8,FALSE),VLOOKUP(AJ$1,main!$A$3:$H$102,4,FALSE),VLOOKUP(AJ$1,main!$A$3:$H$102,4,FALSE)+VLOOKUP($A92,main!$A$3:$H$102,4,FALSE)+(VLOOKUP(VLOOKUP(AJ$1,main!$A$3:$H$102,8,FALSE),main!$K$19:$O$22,MATCH(VLOOKUP($A92,main!$A$3:$H$102,7,FALSE),main!$K$18:$O$18,0),0))),0)</f>
        <v>0</v>
      </c>
      <c r="AK92">
        <f>IF((gamma!AK92),IF(VLOOKUP(AK$1,main!$A$3:$H$102,7,FALSE)=VLOOKUP($A92,main!$A$3:$H$102,8,FALSE),VLOOKUP(AK$1,main!$A$3:$H$102,4,FALSE),VLOOKUP(AK$1,main!$A$3:$H$102,4,FALSE)+VLOOKUP($A92,main!$A$3:$H$102,4,FALSE)+(VLOOKUP(VLOOKUP(AK$1,main!$A$3:$H$102,8,FALSE),main!$K$19:$O$22,MATCH(VLOOKUP($A92,main!$A$3:$H$102,7,FALSE),main!$K$18:$O$18,0),0))),0)</f>
        <v>0</v>
      </c>
      <c r="AL92">
        <f>IF((gamma!AL92),IF(VLOOKUP(AL$1,main!$A$3:$H$102,7,FALSE)=VLOOKUP($A92,main!$A$3:$H$102,8,FALSE),VLOOKUP(AL$1,main!$A$3:$H$102,4,FALSE),VLOOKUP(AL$1,main!$A$3:$H$102,4,FALSE)+VLOOKUP($A92,main!$A$3:$H$102,4,FALSE)+(VLOOKUP(VLOOKUP(AL$1,main!$A$3:$H$102,8,FALSE),main!$K$19:$O$22,MATCH(VLOOKUP($A92,main!$A$3:$H$102,7,FALSE),main!$K$18:$O$18,0),0))),0)</f>
        <v>0</v>
      </c>
      <c r="AM92">
        <f>IF((gamma!AM92),IF(VLOOKUP(AM$1,main!$A$3:$H$102,7,FALSE)=VLOOKUP($A92,main!$A$3:$H$102,8,FALSE),VLOOKUP(AM$1,main!$A$3:$H$102,4,FALSE),VLOOKUP(AM$1,main!$A$3:$H$102,4,FALSE)+VLOOKUP($A92,main!$A$3:$H$102,4,FALSE)+(VLOOKUP(VLOOKUP(AM$1,main!$A$3:$H$102,8,FALSE),main!$K$19:$O$22,MATCH(VLOOKUP($A92,main!$A$3:$H$102,7,FALSE),main!$K$18:$O$18,0),0))),0)</f>
        <v>0</v>
      </c>
      <c r="AN92">
        <f>IF((gamma!AN92),IF(VLOOKUP(AN$1,main!$A$3:$H$102,7,FALSE)=VLOOKUP($A92,main!$A$3:$H$102,8,FALSE),VLOOKUP(AN$1,main!$A$3:$H$102,4,FALSE),VLOOKUP(AN$1,main!$A$3:$H$102,4,FALSE)+VLOOKUP($A92,main!$A$3:$H$102,4,FALSE)+(VLOOKUP(VLOOKUP(AN$1,main!$A$3:$H$102,8,FALSE),main!$K$19:$O$22,MATCH(VLOOKUP($A92,main!$A$3:$H$102,7,FALSE),main!$K$18:$O$18,0),0))),0)</f>
        <v>0</v>
      </c>
      <c r="AO92">
        <f>IF((gamma!AO92),IF(VLOOKUP(AO$1,main!$A$3:$H$102,7,FALSE)=VLOOKUP($A92,main!$A$3:$H$102,8,FALSE),VLOOKUP(AO$1,main!$A$3:$H$102,4,FALSE),VLOOKUP(AO$1,main!$A$3:$H$102,4,FALSE)+VLOOKUP($A92,main!$A$3:$H$102,4,FALSE)+(VLOOKUP(VLOOKUP(AO$1,main!$A$3:$H$102,8,FALSE),main!$K$19:$O$22,MATCH(VLOOKUP($A92,main!$A$3:$H$102,7,FALSE),main!$K$18:$O$18,0),0))),0)</f>
        <v>0</v>
      </c>
      <c r="AP92">
        <f>IF((gamma!AP92),IF(VLOOKUP(AP$1,main!$A$3:$H$102,7,FALSE)=VLOOKUP($A92,main!$A$3:$H$102,8,FALSE),VLOOKUP(AP$1,main!$A$3:$H$102,4,FALSE),VLOOKUP(AP$1,main!$A$3:$H$102,4,FALSE)+VLOOKUP($A92,main!$A$3:$H$102,4,FALSE)+(VLOOKUP(VLOOKUP(AP$1,main!$A$3:$H$102,8,FALSE),main!$K$19:$O$22,MATCH(VLOOKUP($A92,main!$A$3:$H$102,7,FALSE),main!$K$18:$O$18,0),0))),0)</f>
        <v>0</v>
      </c>
      <c r="AQ92">
        <f>IF((gamma!AQ92),IF(VLOOKUP(AQ$1,main!$A$3:$H$102,7,FALSE)=VLOOKUP($A92,main!$A$3:$H$102,8,FALSE),VLOOKUP(AQ$1,main!$A$3:$H$102,4,FALSE),VLOOKUP(AQ$1,main!$A$3:$H$102,4,FALSE)+VLOOKUP($A92,main!$A$3:$H$102,4,FALSE)+(VLOOKUP(VLOOKUP(AQ$1,main!$A$3:$H$102,8,FALSE),main!$K$19:$O$22,MATCH(VLOOKUP($A92,main!$A$3:$H$102,7,FALSE),main!$K$18:$O$18,0),0))),0)</f>
        <v>0</v>
      </c>
      <c r="AR92">
        <f>IF((gamma!AR92),IF(VLOOKUP(AR$1,main!$A$3:$H$102,7,FALSE)=VLOOKUP($A92,main!$A$3:$H$102,8,FALSE),VLOOKUP(AR$1,main!$A$3:$H$102,4,FALSE),VLOOKUP(AR$1,main!$A$3:$H$102,4,FALSE)+VLOOKUP($A92,main!$A$3:$H$102,4,FALSE)+(VLOOKUP(VLOOKUP(AR$1,main!$A$3:$H$102,8,FALSE),main!$K$19:$O$22,MATCH(VLOOKUP($A92,main!$A$3:$H$102,7,FALSE),main!$K$18:$O$18,0),0))),0)</f>
        <v>0</v>
      </c>
      <c r="AS92">
        <f>IF((gamma!AS92),IF(VLOOKUP(AS$1,main!$A$3:$H$102,7,FALSE)=VLOOKUP($A92,main!$A$3:$H$102,8,FALSE),VLOOKUP(AS$1,main!$A$3:$H$102,4,FALSE),VLOOKUP(AS$1,main!$A$3:$H$102,4,FALSE)+VLOOKUP($A92,main!$A$3:$H$102,4,FALSE)+(VLOOKUP(VLOOKUP(AS$1,main!$A$3:$H$102,8,FALSE),main!$K$19:$O$22,MATCH(VLOOKUP($A92,main!$A$3:$H$102,7,FALSE),main!$K$18:$O$18,0),0))),0)</f>
        <v>0</v>
      </c>
      <c r="AT92">
        <f>IF((gamma!AT92),IF(VLOOKUP(AT$1,main!$A$3:$H$102,7,FALSE)=VLOOKUP($A92,main!$A$3:$H$102,8,FALSE),VLOOKUP(AT$1,main!$A$3:$H$102,4,FALSE),VLOOKUP(AT$1,main!$A$3:$H$102,4,FALSE)+VLOOKUP($A92,main!$A$3:$H$102,4,FALSE)+(VLOOKUP(VLOOKUP(AT$1,main!$A$3:$H$102,8,FALSE),main!$K$19:$O$22,MATCH(VLOOKUP($A92,main!$A$3:$H$102,7,FALSE),main!$K$18:$O$18,0),0))),0)</f>
        <v>0</v>
      </c>
      <c r="AU92">
        <f>IF((gamma!AU92),IF(VLOOKUP(AU$1,main!$A$3:$H$102,7,FALSE)=VLOOKUP($A92,main!$A$3:$H$102,8,FALSE),VLOOKUP(AU$1,main!$A$3:$H$102,4,FALSE),VLOOKUP(AU$1,main!$A$3:$H$102,4,FALSE)+VLOOKUP($A92,main!$A$3:$H$102,4,FALSE)+(VLOOKUP(VLOOKUP(AU$1,main!$A$3:$H$102,8,FALSE),main!$K$19:$O$22,MATCH(VLOOKUP($A92,main!$A$3:$H$102,7,FALSE),main!$K$18:$O$18,0),0))),0)</f>
        <v>0</v>
      </c>
      <c r="AV92">
        <f>IF((gamma!AV92),IF(VLOOKUP(AV$1,main!$A$3:$H$102,7,FALSE)=VLOOKUP($A92,main!$A$3:$H$102,8,FALSE),VLOOKUP(AV$1,main!$A$3:$H$102,4,FALSE),VLOOKUP(AV$1,main!$A$3:$H$102,4,FALSE)+VLOOKUP($A92,main!$A$3:$H$102,4,FALSE)+(VLOOKUP(VLOOKUP(AV$1,main!$A$3:$H$102,8,FALSE),main!$K$19:$O$22,MATCH(VLOOKUP($A92,main!$A$3:$H$102,7,FALSE),main!$K$18:$O$18,0),0))),0)</f>
        <v>0</v>
      </c>
      <c r="AW92">
        <f>IF((gamma!AW92),IF(VLOOKUP(AW$1,main!$A$3:$H$102,7,FALSE)=VLOOKUP($A92,main!$A$3:$H$102,8,FALSE),VLOOKUP(AW$1,main!$A$3:$H$102,4,FALSE),VLOOKUP(AW$1,main!$A$3:$H$102,4,FALSE)+VLOOKUP($A92,main!$A$3:$H$102,4,FALSE)+(VLOOKUP(VLOOKUP(AW$1,main!$A$3:$H$102,8,FALSE),main!$K$19:$O$22,MATCH(VLOOKUP($A92,main!$A$3:$H$102,7,FALSE),main!$K$18:$O$18,0),0))),0)</f>
        <v>0</v>
      </c>
      <c r="AX92">
        <f>IF((gamma!AX92),IF(VLOOKUP(AX$1,main!$A$3:$H$102,7,FALSE)=VLOOKUP($A92,main!$A$3:$H$102,8,FALSE),VLOOKUP(AX$1,main!$A$3:$H$102,4,FALSE),VLOOKUP(AX$1,main!$A$3:$H$102,4,FALSE)+VLOOKUP($A92,main!$A$3:$H$102,4,FALSE)+(VLOOKUP(VLOOKUP(AX$1,main!$A$3:$H$102,8,FALSE),main!$K$19:$O$22,MATCH(VLOOKUP($A92,main!$A$3:$H$102,7,FALSE),main!$K$18:$O$18,0),0))),0)</f>
        <v>0</v>
      </c>
      <c r="AY92">
        <f>IF((gamma!AY92),IF(VLOOKUP(AY$1,main!$A$3:$H$102,7,FALSE)=VLOOKUP($A92,main!$A$3:$H$102,8,FALSE),VLOOKUP(AY$1,main!$A$3:$H$102,4,FALSE),VLOOKUP(AY$1,main!$A$3:$H$102,4,FALSE)+VLOOKUP($A92,main!$A$3:$H$102,4,FALSE)+(VLOOKUP(VLOOKUP(AY$1,main!$A$3:$H$102,8,FALSE),main!$K$19:$O$22,MATCH(VLOOKUP($A92,main!$A$3:$H$102,7,FALSE),main!$K$18:$O$18,0),0))),0)</f>
        <v>0</v>
      </c>
      <c r="AZ92">
        <f>IF((gamma!AZ92),IF(VLOOKUP(AZ$1,main!$A$3:$H$102,7,FALSE)=VLOOKUP($A92,main!$A$3:$H$102,8,FALSE),VLOOKUP(AZ$1,main!$A$3:$H$102,4,FALSE),VLOOKUP(AZ$1,main!$A$3:$H$102,4,FALSE)+VLOOKUP($A92,main!$A$3:$H$102,4,FALSE)+(VLOOKUP(VLOOKUP(AZ$1,main!$A$3:$H$102,8,FALSE),main!$K$19:$O$22,MATCH(VLOOKUP($A92,main!$A$3:$H$102,7,FALSE),main!$K$18:$O$18,0),0))),0)</f>
        <v>0</v>
      </c>
      <c r="BA92">
        <f>IF((gamma!BA92),IF(VLOOKUP(BA$1,main!$A$3:$H$102,7,FALSE)=VLOOKUP($A92,main!$A$3:$H$102,8,FALSE),VLOOKUP(BA$1,main!$A$3:$H$102,4,FALSE),VLOOKUP(BA$1,main!$A$3:$H$102,4,FALSE)+VLOOKUP($A92,main!$A$3:$H$102,4,FALSE)+(VLOOKUP(VLOOKUP(BA$1,main!$A$3:$H$102,8,FALSE),main!$K$19:$O$22,MATCH(VLOOKUP($A92,main!$A$3:$H$102,7,FALSE),main!$K$18:$O$18,0),0))),0)</f>
        <v>0</v>
      </c>
      <c r="BB92">
        <f>IF((gamma!BB92),IF(VLOOKUP(BB$1,main!$A$3:$H$102,7,FALSE)=VLOOKUP($A92,main!$A$3:$H$102,8,FALSE),VLOOKUP(BB$1,main!$A$3:$H$102,4,FALSE),VLOOKUP(BB$1,main!$A$3:$H$102,4,FALSE)+VLOOKUP($A92,main!$A$3:$H$102,4,FALSE)+(VLOOKUP(VLOOKUP(BB$1,main!$A$3:$H$102,8,FALSE),main!$K$19:$O$22,MATCH(VLOOKUP($A92,main!$A$3:$H$102,7,FALSE),main!$K$18:$O$18,0),0))),0)</f>
        <v>0</v>
      </c>
      <c r="BC92">
        <f>IF((gamma!BC92),IF(VLOOKUP(BC$1,main!$A$3:$H$102,7,FALSE)=VLOOKUP($A92,main!$A$3:$H$102,8,FALSE),VLOOKUP(BC$1,main!$A$3:$H$102,4,FALSE),VLOOKUP(BC$1,main!$A$3:$H$102,4,FALSE)+VLOOKUP($A92,main!$A$3:$H$102,4,FALSE)+(VLOOKUP(VLOOKUP(BC$1,main!$A$3:$H$102,8,FALSE),main!$K$19:$O$22,MATCH(VLOOKUP($A92,main!$A$3:$H$102,7,FALSE),main!$K$18:$O$18,0),0))),0)</f>
        <v>0</v>
      </c>
      <c r="BD92">
        <f>IF((gamma!BD92),IF(VLOOKUP(BD$1,main!$A$3:$H$102,7,FALSE)=VLOOKUP($A92,main!$A$3:$H$102,8,FALSE),VLOOKUP(BD$1,main!$A$3:$H$102,4,FALSE),VLOOKUP(BD$1,main!$A$3:$H$102,4,FALSE)+VLOOKUP($A92,main!$A$3:$H$102,4,FALSE)+(VLOOKUP(VLOOKUP(BD$1,main!$A$3:$H$102,8,FALSE),main!$K$19:$O$22,MATCH(VLOOKUP($A92,main!$A$3:$H$102,7,FALSE),main!$K$18:$O$18,0),0))),0)</f>
        <v>0</v>
      </c>
      <c r="BE92">
        <f>IF((gamma!BE92),IF(VLOOKUP(BE$1,main!$A$3:$H$102,7,FALSE)=VLOOKUP($A92,main!$A$3:$H$102,8,FALSE),VLOOKUP(BE$1,main!$A$3:$H$102,4,FALSE),VLOOKUP(BE$1,main!$A$3:$H$102,4,FALSE)+VLOOKUP($A92,main!$A$3:$H$102,4,FALSE)+(VLOOKUP(VLOOKUP(BE$1,main!$A$3:$H$102,8,FALSE),main!$K$19:$O$22,MATCH(VLOOKUP($A92,main!$A$3:$H$102,7,FALSE),main!$K$18:$O$18,0),0))),0)</f>
        <v>0</v>
      </c>
      <c r="BF92">
        <f>IF((gamma!BF92),IF(VLOOKUP(BF$1,main!$A$3:$H$102,7,FALSE)=VLOOKUP($A92,main!$A$3:$H$102,8,FALSE),VLOOKUP(BF$1,main!$A$3:$H$102,4,FALSE),VLOOKUP(BF$1,main!$A$3:$H$102,4,FALSE)+VLOOKUP($A92,main!$A$3:$H$102,4,FALSE)+(VLOOKUP(VLOOKUP(BF$1,main!$A$3:$H$102,8,FALSE),main!$K$19:$O$22,MATCH(VLOOKUP($A92,main!$A$3:$H$102,7,FALSE),main!$K$18:$O$18,0),0))),0)</f>
        <v>0</v>
      </c>
      <c r="BG92">
        <f>IF((gamma!BG92),IF(VLOOKUP(BG$1,main!$A$3:$H$102,7,FALSE)=VLOOKUP($A92,main!$A$3:$H$102,8,FALSE),VLOOKUP(BG$1,main!$A$3:$H$102,4,FALSE),VLOOKUP(BG$1,main!$A$3:$H$102,4,FALSE)+VLOOKUP($A92,main!$A$3:$H$102,4,FALSE)+(VLOOKUP(VLOOKUP(BG$1,main!$A$3:$H$102,8,FALSE),main!$K$19:$O$22,MATCH(VLOOKUP($A92,main!$A$3:$H$102,7,FALSE),main!$K$18:$O$18,0),0))),0)</f>
        <v>0</v>
      </c>
      <c r="BH92">
        <f>IF((gamma!BH92),IF(VLOOKUP(BH$1,main!$A$3:$H$102,7,FALSE)=VLOOKUP($A92,main!$A$3:$H$102,8,FALSE),VLOOKUP(BH$1,main!$A$3:$H$102,4,FALSE),VLOOKUP(BH$1,main!$A$3:$H$102,4,FALSE)+VLOOKUP($A92,main!$A$3:$H$102,4,FALSE)+(VLOOKUP(VLOOKUP(BH$1,main!$A$3:$H$102,8,FALSE),main!$K$19:$O$22,MATCH(VLOOKUP($A92,main!$A$3:$H$102,7,FALSE),main!$K$18:$O$18,0),0))),0)</f>
        <v>0</v>
      </c>
      <c r="BI92">
        <f>IF((gamma!BI92),IF(VLOOKUP(BI$1,main!$A$3:$H$102,7,FALSE)=VLOOKUP($A92,main!$A$3:$H$102,8,FALSE),VLOOKUP(BI$1,main!$A$3:$H$102,4,FALSE),VLOOKUP(BI$1,main!$A$3:$H$102,4,FALSE)+VLOOKUP($A92,main!$A$3:$H$102,4,FALSE)+(VLOOKUP(VLOOKUP(BI$1,main!$A$3:$H$102,8,FALSE),main!$K$19:$O$22,MATCH(VLOOKUP($A92,main!$A$3:$H$102,7,FALSE),main!$K$18:$O$18,0),0))),0)</f>
        <v>0</v>
      </c>
      <c r="BJ92">
        <f>IF((gamma!BJ92),IF(VLOOKUP(BJ$1,main!$A$3:$H$102,7,FALSE)=VLOOKUP($A92,main!$A$3:$H$102,8,FALSE),VLOOKUP(BJ$1,main!$A$3:$H$102,4,FALSE),VLOOKUP(BJ$1,main!$A$3:$H$102,4,FALSE)+VLOOKUP($A92,main!$A$3:$H$102,4,FALSE)+(VLOOKUP(VLOOKUP(BJ$1,main!$A$3:$H$102,8,FALSE),main!$K$19:$O$22,MATCH(VLOOKUP($A92,main!$A$3:$H$102,7,FALSE),main!$K$18:$O$18,0),0))),0)</f>
        <v>0</v>
      </c>
      <c r="BK92">
        <f>IF((gamma!BK92),IF(VLOOKUP(BK$1,main!$A$3:$H$102,7,FALSE)=VLOOKUP($A92,main!$A$3:$H$102,8,FALSE),VLOOKUP(BK$1,main!$A$3:$H$102,4,FALSE),VLOOKUP(BK$1,main!$A$3:$H$102,4,FALSE)+VLOOKUP($A92,main!$A$3:$H$102,4,FALSE)+(VLOOKUP(VLOOKUP(BK$1,main!$A$3:$H$102,8,FALSE),main!$K$19:$O$22,MATCH(VLOOKUP($A92,main!$A$3:$H$102,7,FALSE),main!$K$18:$O$18,0),0))),0)</f>
        <v>0</v>
      </c>
      <c r="BL92">
        <f>IF((gamma!BL92),IF(VLOOKUP(BL$1,main!$A$3:$H$102,7,FALSE)=VLOOKUP($A92,main!$A$3:$H$102,8,FALSE),VLOOKUP(BL$1,main!$A$3:$H$102,4,FALSE),VLOOKUP(BL$1,main!$A$3:$H$102,4,FALSE)+VLOOKUP($A92,main!$A$3:$H$102,4,FALSE)+(VLOOKUP(VLOOKUP(BL$1,main!$A$3:$H$102,8,FALSE),main!$K$19:$O$22,MATCH(VLOOKUP($A92,main!$A$3:$H$102,7,FALSE),main!$K$18:$O$18,0),0))),0)</f>
        <v>0</v>
      </c>
      <c r="BM92">
        <f>IF((gamma!BM92),IF(VLOOKUP(BM$1,main!$A$3:$H$102,7,FALSE)=VLOOKUP($A92,main!$A$3:$H$102,8,FALSE),VLOOKUP(BM$1,main!$A$3:$H$102,4,FALSE),VLOOKUP(BM$1,main!$A$3:$H$102,4,FALSE)+VLOOKUP($A92,main!$A$3:$H$102,4,FALSE)+(VLOOKUP(VLOOKUP(BM$1,main!$A$3:$H$102,8,FALSE),main!$K$19:$O$22,MATCH(VLOOKUP($A92,main!$A$3:$H$102,7,FALSE),main!$K$18:$O$18,0),0))),0)</f>
        <v>0</v>
      </c>
      <c r="BN92">
        <f>IF((gamma!BN92),IF(VLOOKUP(BN$1,main!$A$3:$H$102,7,FALSE)=VLOOKUP($A92,main!$A$3:$H$102,8,FALSE),VLOOKUP(BN$1,main!$A$3:$H$102,4,FALSE),VLOOKUP(BN$1,main!$A$3:$H$102,4,FALSE)+VLOOKUP($A92,main!$A$3:$H$102,4,FALSE)+(VLOOKUP(VLOOKUP(BN$1,main!$A$3:$H$102,8,FALSE),main!$K$19:$O$22,MATCH(VLOOKUP($A92,main!$A$3:$H$102,7,FALSE),main!$K$18:$O$18,0),0))),0)</f>
        <v>0</v>
      </c>
      <c r="BO92">
        <f>IF((gamma!BO92),IF(VLOOKUP(BO$1,main!$A$3:$H$102,7,FALSE)=VLOOKUP($A92,main!$A$3:$H$102,8,FALSE),VLOOKUP(BO$1,main!$A$3:$H$102,4,FALSE),VLOOKUP(BO$1,main!$A$3:$H$102,4,FALSE)+VLOOKUP($A92,main!$A$3:$H$102,4,FALSE)+(VLOOKUP(VLOOKUP(BO$1,main!$A$3:$H$102,8,FALSE),main!$K$19:$O$22,MATCH(VLOOKUP($A92,main!$A$3:$H$102,7,FALSE),main!$K$18:$O$18,0),0))),0)</f>
        <v>0</v>
      </c>
      <c r="BP92">
        <f>IF((gamma!BP92),IF(VLOOKUP(BP$1,main!$A$3:$H$102,7,FALSE)=VLOOKUP($A92,main!$A$3:$H$102,8,FALSE),VLOOKUP(BP$1,main!$A$3:$H$102,4,FALSE),VLOOKUP(BP$1,main!$A$3:$H$102,4,FALSE)+VLOOKUP($A92,main!$A$3:$H$102,4,FALSE)+(VLOOKUP(VLOOKUP(BP$1,main!$A$3:$H$102,8,FALSE),main!$K$19:$O$22,MATCH(VLOOKUP($A92,main!$A$3:$H$102,7,FALSE),main!$K$18:$O$18,0),0))),0)</f>
        <v>0</v>
      </c>
      <c r="BQ92">
        <f>IF((gamma!BQ92),IF(VLOOKUP(BQ$1,main!$A$3:$H$102,7,FALSE)=VLOOKUP($A92,main!$A$3:$H$102,8,FALSE),VLOOKUP(BQ$1,main!$A$3:$H$102,4,FALSE),VLOOKUP(BQ$1,main!$A$3:$H$102,4,FALSE)+VLOOKUP($A92,main!$A$3:$H$102,4,FALSE)+(VLOOKUP(VLOOKUP(BQ$1,main!$A$3:$H$102,8,FALSE),main!$K$19:$O$22,MATCH(VLOOKUP($A92,main!$A$3:$H$102,7,FALSE),main!$K$18:$O$18,0),0))),0)</f>
        <v>0</v>
      </c>
      <c r="BR92">
        <f>IF((gamma!BR92),IF(VLOOKUP(BR$1,main!$A$3:$H$102,7,FALSE)=VLOOKUP($A92,main!$A$3:$H$102,8,FALSE),VLOOKUP(BR$1,main!$A$3:$H$102,4,FALSE),VLOOKUP(BR$1,main!$A$3:$H$102,4,FALSE)+VLOOKUP($A92,main!$A$3:$H$102,4,FALSE)+(VLOOKUP(VLOOKUP(BR$1,main!$A$3:$H$102,8,FALSE),main!$K$19:$O$22,MATCH(VLOOKUP($A92,main!$A$3:$H$102,7,FALSE),main!$K$18:$O$18,0),0))),0)</f>
        <v>0</v>
      </c>
      <c r="BS92">
        <f>IF((gamma!BS92),IF(VLOOKUP(BS$1,main!$A$3:$H$102,7,FALSE)=VLOOKUP($A92,main!$A$3:$H$102,8,FALSE),VLOOKUP(BS$1,main!$A$3:$H$102,4,FALSE),VLOOKUP(BS$1,main!$A$3:$H$102,4,FALSE)+VLOOKUP($A92,main!$A$3:$H$102,4,FALSE)+(VLOOKUP(VLOOKUP(BS$1,main!$A$3:$H$102,8,FALSE),main!$K$19:$O$22,MATCH(VLOOKUP($A92,main!$A$3:$H$102,7,FALSE),main!$K$18:$O$18,0),0))),0)</f>
        <v>0</v>
      </c>
      <c r="BT92">
        <f>IF((gamma!BT92),IF(VLOOKUP(BT$1,main!$A$3:$H$102,7,FALSE)=VLOOKUP($A92,main!$A$3:$H$102,8,FALSE),VLOOKUP(BT$1,main!$A$3:$H$102,4,FALSE),VLOOKUP(BT$1,main!$A$3:$H$102,4,FALSE)+VLOOKUP($A92,main!$A$3:$H$102,4,FALSE)+(VLOOKUP(VLOOKUP(BT$1,main!$A$3:$H$102,8,FALSE),main!$K$19:$O$22,MATCH(VLOOKUP($A92,main!$A$3:$H$102,7,FALSE),main!$K$18:$O$18,0),0))),0)</f>
        <v>0</v>
      </c>
      <c r="BU92">
        <f>IF((gamma!BU92),IF(VLOOKUP(BU$1,main!$A$3:$H$102,7,FALSE)=VLOOKUP($A92,main!$A$3:$H$102,8,FALSE),VLOOKUP(BU$1,main!$A$3:$H$102,4,FALSE),VLOOKUP(BU$1,main!$A$3:$H$102,4,FALSE)+VLOOKUP($A92,main!$A$3:$H$102,4,FALSE)+(VLOOKUP(VLOOKUP(BU$1,main!$A$3:$H$102,8,FALSE),main!$K$19:$O$22,MATCH(VLOOKUP($A92,main!$A$3:$H$102,7,FALSE),main!$K$18:$O$18,0),0))),0)</f>
        <v>0</v>
      </c>
      <c r="BV92">
        <f>IF((gamma!BV92),IF(VLOOKUP(BV$1,main!$A$3:$H$102,7,FALSE)=VLOOKUP($A92,main!$A$3:$H$102,8,FALSE),VLOOKUP(BV$1,main!$A$3:$H$102,4,FALSE),VLOOKUP(BV$1,main!$A$3:$H$102,4,FALSE)+VLOOKUP($A92,main!$A$3:$H$102,4,FALSE)+(VLOOKUP(VLOOKUP(BV$1,main!$A$3:$H$102,8,FALSE),main!$K$19:$O$22,MATCH(VLOOKUP($A92,main!$A$3:$H$102,7,FALSE),main!$K$18:$O$18,0),0))),0)</f>
        <v>0</v>
      </c>
      <c r="BW92">
        <f>IF((gamma!BW92),IF(VLOOKUP(BW$1,main!$A$3:$H$102,7,FALSE)=VLOOKUP($A92,main!$A$3:$H$102,8,FALSE),VLOOKUP(BW$1,main!$A$3:$H$102,4,FALSE),VLOOKUP(BW$1,main!$A$3:$H$102,4,FALSE)+VLOOKUP($A92,main!$A$3:$H$102,4,FALSE)+(VLOOKUP(VLOOKUP(BW$1,main!$A$3:$H$102,8,FALSE),main!$K$19:$O$22,MATCH(VLOOKUP($A92,main!$A$3:$H$102,7,FALSE),main!$K$18:$O$18,0),0))),0)</f>
        <v>0</v>
      </c>
      <c r="BX92">
        <f>IF((gamma!BX92),IF(VLOOKUP(BX$1,main!$A$3:$H$102,7,FALSE)=VLOOKUP($A92,main!$A$3:$H$102,8,FALSE),VLOOKUP(BX$1,main!$A$3:$H$102,4,FALSE),VLOOKUP(BX$1,main!$A$3:$H$102,4,FALSE)+VLOOKUP($A92,main!$A$3:$H$102,4,FALSE)+(VLOOKUP(VLOOKUP(BX$1,main!$A$3:$H$102,8,FALSE),main!$K$19:$O$22,MATCH(VLOOKUP($A92,main!$A$3:$H$102,7,FALSE),main!$K$18:$O$18,0),0))),0)</f>
        <v>0</v>
      </c>
      <c r="BY92">
        <f>IF((gamma!BY92),IF(VLOOKUP(BY$1,main!$A$3:$H$102,7,FALSE)=VLOOKUP($A92,main!$A$3:$H$102,8,FALSE),VLOOKUP(BY$1,main!$A$3:$H$102,4,FALSE),VLOOKUP(BY$1,main!$A$3:$H$102,4,FALSE)+VLOOKUP($A92,main!$A$3:$H$102,4,FALSE)+(VLOOKUP(VLOOKUP(BY$1,main!$A$3:$H$102,8,FALSE),main!$K$19:$O$22,MATCH(VLOOKUP($A92,main!$A$3:$H$102,7,FALSE),main!$K$18:$O$18,0),0))),0)</f>
        <v>0</v>
      </c>
      <c r="BZ92">
        <f>IF((gamma!BZ92),IF(VLOOKUP(BZ$1,main!$A$3:$H$102,7,FALSE)=VLOOKUP($A92,main!$A$3:$H$102,8,FALSE),VLOOKUP(BZ$1,main!$A$3:$H$102,4,FALSE),VLOOKUP(BZ$1,main!$A$3:$H$102,4,FALSE)+VLOOKUP($A92,main!$A$3:$H$102,4,FALSE)+(VLOOKUP(VLOOKUP(BZ$1,main!$A$3:$H$102,8,FALSE),main!$K$19:$O$22,MATCH(VLOOKUP($A92,main!$A$3:$H$102,7,FALSE),main!$K$18:$O$18,0),0))),0)</f>
        <v>0</v>
      </c>
      <c r="CA92">
        <f>IF((gamma!CA92),IF(VLOOKUP(CA$1,main!$A$3:$H$102,7,FALSE)=VLOOKUP($A92,main!$A$3:$H$102,8,FALSE),VLOOKUP(CA$1,main!$A$3:$H$102,4,FALSE),VLOOKUP(CA$1,main!$A$3:$H$102,4,FALSE)+VLOOKUP($A92,main!$A$3:$H$102,4,FALSE)+(VLOOKUP(VLOOKUP(CA$1,main!$A$3:$H$102,8,FALSE),main!$K$19:$O$22,MATCH(VLOOKUP($A92,main!$A$3:$H$102,7,FALSE),main!$K$18:$O$18,0),0))),0)</f>
        <v>0</v>
      </c>
      <c r="CB92">
        <f>IF((gamma!CB92),IF(VLOOKUP(CB$1,main!$A$3:$H$102,7,FALSE)=VLOOKUP($A92,main!$A$3:$H$102,8,FALSE),VLOOKUP(CB$1,main!$A$3:$H$102,4,FALSE),VLOOKUP(CB$1,main!$A$3:$H$102,4,FALSE)+VLOOKUP($A92,main!$A$3:$H$102,4,FALSE)+(VLOOKUP(VLOOKUP(CB$1,main!$A$3:$H$102,8,FALSE),main!$K$19:$O$22,MATCH(VLOOKUP($A92,main!$A$3:$H$102,7,FALSE),main!$K$18:$O$18,0),0))),0)</f>
        <v>0</v>
      </c>
      <c r="CC92">
        <f>IF((gamma!CC92),IF(VLOOKUP(CC$1,main!$A$3:$H$102,7,FALSE)=VLOOKUP($A92,main!$A$3:$H$102,8,FALSE),VLOOKUP(CC$1,main!$A$3:$H$102,4,FALSE),VLOOKUP(CC$1,main!$A$3:$H$102,4,FALSE)+VLOOKUP($A92,main!$A$3:$H$102,4,FALSE)+(VLOOKUP(VLOOKUP(CC$1,main!$A$3:$H$102,8,FALSE),main!$K$19:$O$22,MATCH(VLOOKUP($A92,main!$A$3:$H$102,7,FALSE),main!$K$18:$O$18,0),0))),0)</f>
        <v>0</v>
      </c>
      <c r="CD92">
        <f>IF((gamma!CD92),IF(VLOOKUP(CD$1,main!$A$3:$H$102,7,FALSE)=VLOOKUP($A92,main!$A$3:$H$102,8,FALSE),VLOOKUP(CD$1,main!$A$3:$H$102,4,FALSE),VLOOKUP(CD$1,main!$A$3:$H$102,4,FALSE)+VLOOKUP($A92,main!$A$3:$H$102,4,FALSE)+(VLOOKUP(VLOOKUP(CD$1,main!$A$3:$H$102,8,FALSE),main!$K$19:$O$22,MATCH(VLOOKUP($A92,main!$A$3:$H$102,7,FALSE),main!$K$18:$O$18,0),0))),0)</f>
        <v>0</v>
      </c>
      <c r="CE92">
        <f>IF((gamma!CE92),IF(VLOOKUP(CE$1,main!$A$3:$H$102,7,FALSE)=VLOOKUP($A92,main!$A$3:$H$102,8,FALSE),VLOOKUP(CE$1,main!$A$3:$H$102,4,FALSE),VLOOKUP(CE$1,main!$A$3:$H$102,4,FALSE)+VLOOKUP($A92,main!$A$3:$H$102,4,FALSE)+(VLOOKUP(VLOOKUP(CE$1,main!$A$3:$H$102,8,FALSE),main!$K$19:$O$22,MATCH(VLOOKUP($A92,main!$A$3:$H$102,7,FALSE),main!$K$18:$O$18,0),0))),0)</f>
        <v>0</v>
      </c>
      <c r="CF92">
        <f>IF((gamma!CF92),IF(VLOOKUP(CF$1,main!$A$3:$H$102,7,FALSE)=VLOOKUP($A92,main!$A$3:$H$102,8,FALSE),VLOOKUP(CF$1,main!$A$3:$H$102,4,FALSE),VLOOKUP(CF$1,main!$A$3:$H$102,4,FALSE)+VLOOKUP($A92,main!$A$3:$H$102,4,FALSE)+(VLOOKUP(VLOOKUP(CF$1,main!$A$3:$H$102,8,FALSE),main!$K$19:$O$22,MATCH(VLOOKUP($A92,main!$A$3:$H$102,7,FALSE),main!$K$18:$O$18,0),0))),0)</f>
        <v>0</v>
      </c>
      <c r="CG92">
        <f>IF((gamma!CG92),IF(VLOOKUP(CG$1,main!$A$3:$H$102,7,FALSE)=VLOOKUP($A92,main!$A$3:$H$102,8,FALSE),VLOOKUP(CG$1,main!$A$3:$H$102,4,FALSE),VLOOKUP(CG$1,main!$A$3:$H$102,4,FALSE)+VLOOKUP($A92,main!$A$3:$H$102,4,FALSE)+(VLOOKUP(VLOOKUP(CG$1,main!$A$3:$H$102,8,FALSE),main!$K$19:$O$22,MATCH(VLOOKUP($A92,main!$A$3:$H$102,7,FALSE),main!$K$18:$O$18,0),0))),0)</f>
        <v>0</v>
      </c>
      <c r="CH92">
        <f>IF((gamma!CH92),IF(VLOOKUP(CH$1,main!$A$3:$H$102,7,FALSE)=VLOOKUP($A92,main!$A$3:$H$102,8,FALSE),VLOOKUP(CH$1,main!$A$3:$H$102,4,FALSE),VLOOKUP(CH$1,main!$A$3:$H$102,4,FALSE)+VLOOKUP($A92,main!$A$3:$H$102,4,FALSE)+(VLOOKUP(VLOOKUP(CH$1,main!$A$3:$H$102,8,FALSE),main!$K$19:$O$22,MATCH(VLOOKUP($A92,main!$A$3:$H$102,7,FALSE),main!$K$18:$O$18,0),0))),0)</f>
        <v>0</v>
      </c>
      <c r="CI92">
        <f>IF((gamma!CI92),IF(VLOOKUP(CI$1,main!$A$3:$H$102,7,FALSE)=VLOOKUP($A92,main!$A$3:$H$102,8,FALSE),VLOOKUP(CI$1,main!$A$3:$H$102,4,FALSE),VLOOKUP(CI$1,main!$A$3:$H$102,4,FALSE)+VLOOKUP($A92,main!$A$3:$H$102,4,FALSE)+(VLOOKUP(VLOOKUP(CI$1,main!$A$3:$H$102,8,FALSE),main!$K$19:$O$22,MATCH(VLOOKUP($A92,main!$A$3:$H$102,7,FALSE),main!$K$18:$O$18,0),0))),0)</f>
        <v>0</v>
      </c>
      <c r="CJ92">
        <f>IF((gamma!CJ92),IF(VLOOKUP(CJ$1,main!$A$3:$H$102,7,FALSE)=VLOOKUP($A92,main!$A$3:$H$102,8,FALSE),VLOOKUP(CJ$1,main!$A$3:$H$102,4,FALSE),VLOOKUP(CJ$1,main!$A$3:$H$102,4,FALSE)+VLOOKUP($A92,main!$A$3:$H$102,4,FALSE)+(VLOOKUP(VLOOKUP(CJ$1,main!$A$3:$H$102,8,FALSE),main!$K$19:$O$22,MATCH(VLOOKUP($A92,main!$A$3:$H$102,7,FALSE),main!$K$18:$O$18,0),0))),0)</f>
        <v>0</v>
      </c>
      <c r="CK92">
        <f>IF((gamma!CK92),IF(VLOOKUP(CK$1,main!$A$3:$H$102,7,FALSE)=VLOOKUP($A92,main!$A$3:$H$102,8,FALSE),VLOOKUP(CK$1,main!$A$3:$H$102,4,FALSE),VLOOKUP(CK$1,main!$A$3:$H$102,4,FALSE)+VLOOKUP($A92,main!$A$3:$H$102,4,FALSE)+(VLOOKUP(VLOOKUP(CK$1,main!$A$3:$H$102,8,FALSE),main!$K$19:$O$22,MATCH(VLOOKUP($A92,main!$A$3:$H$102,7,FALSE),main!$K$18:$O$18,0),0))),0)</f>
        <v>0</v>
      </c>
      <c r="CL92">
        <f>IF((gamma!CL92),IF(VLOOKUP(CL$1,main!$A$3:$H$102,7,FALSE)=VLOOKUP($A92,main!$A$3:$H$102,8,FALSE),VLOOKUP(CL$1,main!$A$3:$H$102,4,FALSE),VLOOKUP(CL$1,main!$A$3:$H$102,4,FALSE)+VLOOKUP($A92,main!$A$3:$H$102,4,FALSE)+(VLOOKUP(VLOOKUP(CL$1,main!$A$3:$H$102,8,FALSE),main!$K$19:$O$22,MATCH(VLOOKUP($A92,main!$A$3:$H$102,7,FALSE),main!$K$18:$O$18,0),0))),0)</f>
        <v>0</v>
      </c>
      <c r="CM92">
        <f>IF((gamma!CM92),IF(VLOOKUP(CM$1,main!$A$3:$H$102,7,FALSE)=VLOOKUP($A92,main!$A$3:$H$102,8,FALSE),VLOOKUP(CM$1,main!$A$3:$H$102,4,FALSE),VLOOKUP(CM$1,main!$A$3:$H$102,4,FALSE)+VLOOKUP($A92,main!$A$3:$H$102,4,FALSE)+(VLOOKUP(VLOOKUP(CM$1,main!$A$3:$H$102,8,FALSE),main!$K$19:$O$22,MATCH(VLOOKUP($A92,main!$A$3:$H$102,7,FALSE),main!$K$18:$O$18,0),0))),0)</f>
        <v>0</v>
      </c>
      <c r="CN92">
        <f>IF((gamma!CN92),IF(VLOOKUP(CN$1,main!$A$3:$H$102,7,FALSE)=VLOOKUP($A92,main!$A$3:$H$102,8,FALSE),VLOOKUP(CN$1,main!$A$3:$H$102,4,FALSE),VLOOKUP(CN$1,main!$A$3:$H$102,4,FALSE)+VLOOKUP($A92,main!$A$3:$H$102,4,FALSE)+(VLOOKUP(VLOOKUP(CN$1,main!$A$3:$H$102,8,FALSE),main!$K$19:$O$22,MATCH(VLOOKUP($A92,main!$A$3:$H$102,7,FALSE),main!$K$18:$O$18,0),0))),0)</f>
        <v>0</v>
      </c>
      <c r="CO92">
        <f>IF((gamma!CO92),IF(VLOOKUP(CO$1,main!$A$3:$H$102,7,FALSE)=VLOOKUP($A92,main!$A$3:$H$102,8,FALSE),VLOOKUP(CO$1,main!$A$3:$H$102,4,FALSE),VLOOKUP(CO$1,main!$A$3:$H$102,4,FALSE)+VLOOKUP($A92,main!$A$3:$H$102,4,FALSE)+(VLOOKUP(VLOOKUP(CO$1,main!$A$3:$H$102,8,FALSE),main!$K$19:$O$22,MATCH(VLOOKUP($A92,main!$A$3:$H$102,7,FALSE),main!$K$18:$O$18,0),0))),0)</f>
        <v>0</v>
      </c>
      <c r="CP92">
        <f>IF((gamma!CP92),IF(VLOOKUP(CP$1,main!$A$3:$H$102,7,FALSE)=VLOOKUP($A92,main!$A$3:$H$102,8,FALSE),VLOOKUP(CP$1,main!$A$3:$H$102,4,FALSE),VLOOKUP(CP$1,main!$A$3:$H$102,4,FALSE)+VLOOKUP($A92,main!$A$3:$H$102,4,FALSE)+(VLOOKUP(VLOOKUP(CP$1,main!$A$3:$H$102,8,FALSE),main!$K$19:$O$22,MATCH(VLOOKUP($A92,main!$A$3:$H$102,7,FALSE),main!$K$18:$O$18,0),0))),0)</f>
        <v>0</v>
      </c>
      <c r="CQ92">
        <f>IF((gamma!CQ92),IF(VLOOKUP(CQ$1,main!$A$3:$H$102,7,FALSE)=VLOOKUP($A92,main!$A$3:$H$102,8,FALSE),VLOOKUP(CQ$1,main!$A$3:$H$102,4,FALSE),VLOOKUP(CQ$1,main!$A$3:$H$102,4,FALSE)+VLOOKUP($A92,main!$A$3:$H$102,4,FALSE)+(VLOOKUP(VLOOKUP(CQ$1,main!$A$3:$H$102,8,FALSE),main!$K$19:$O$22,MATCH(VLOOKUP($A92,main!$A$3:$H$102,7,FALSE),main!$K$18:$O$18,0),0))),0)</f>
        <v>0</v>
      </c>
      <c r="CR92">
        <f>IF((gamma!CR92),IF(VLOOKUP(CR$1,main!$A$3:$H$102,7,FALSE)=VLOOKUP($A92,main!$A$3:$H$102,8,FALSE),VLOOKUP(CR$1,main!$A$3:$H$102,4,FALSE),VLOOKUP(CR$1,main!$A$3:$H$102,4,FALSE)+VLOOKUP($A92,main!$A$3:$H$102,4,FALSE)+(VLOOKUP(VLOOKUP(CR$1,main!$A$3:$H$102,8,FALSE),main!$K$19:$O$22,MATCH(VLOOKUP($A92,main!$A$3:$H$102,7,FALSE),main!$K$18:$O$18,0),0))),0)</f>
        <v>0</v>
      </c>
      <c r="CS92">
        <f>IF((gamma!CS92),IF(VLOOKUP(CS$1,main!$A$3:$H$102,7,FALSE)=VLOOKUP($A92,main!$A$3:$H$102,8,FALSE),VLOOKUP(CS$1,main!$A$3:$H$102,4,FALSE),VLOOKUP(CS$1,main!$A$3:$H$102,4,FALSE)+VLOOKUP($A92,main!$A$3:$H$102,4,FALSE)+(VLOOKUP(VLOOKUP(CS$1,main!$A$3:$H$102,8,FALSE),main!$K$19:$O$22,MATCH(VLOOKUP($A92,main!$A$3:$H$102,7,FALSE),main!$K$18:$O$18,0),0))),0)</f>
        <v>0</v>
      </c>
      <c r="CT92">
        <f>IF((gamma!CT92),IF(VLOOKUP(CT$1,main!$A$3:$H$102,7,FALSE)=VLOOKUP($A92,main!$A$3:$H$102,8,FALSE),VLOOKUP(CT$1,main!$A$3:$H$102,4,FALSE),VLOOKUP(CT$1,main!$A$3:$H$102,4,FALSE)+VLOOKUP($A92,main!$A$3:$H$102,4,FALSE)+(VLOOKUP(VLOOKUP(CT$1,main!$A$3:$H$102,8,FALSE),main!$K$19:$O$22,MATCH(VLOOKUP($A92,main!$A$3:$H$102,7,FALSE),main!$K$18:$O$18,0),0))),0)</f>
        <v>0</v>
      </c>
      <c r="CU92">
        <f>IF((gamma!CU92),IF(VLOOKUP(CU$1,main!$A$3:$H$102,7,FALSE)=VLOOKUP($A92,main!$A$3:$H$102,8,FALSE),VLOOKUP(CU$1,main!$A$3:$H$102,4,FALSE),VLOOKUP(CU$1,main!$A$3:$H$102,4,FALSE)+VLOOKUP($A92,main!$A$3:$H$102,4,FALSE)+(VLOOKUP(VLOOKUP(CU$1,main!$A$3:$H$102,8,FALSE),main!$K$19:$O$22,MATCH(VLOOKUP($A92,main!$A$3:$H$102,7,FALSE),main!$K$18:$O$18,0),0))),0)</f>
        <v>0</v>
      </c>
      <c r="CV92">
        <f>IF((gamma!CV92),IF(VLOOKUP(CV$1,main!$A$3:$H$102,7,FALSE)=VLOOKUP($A92,main!$A$3:$H$102,8,FALSE),VLOOKUP(CV$1,main!$A$3:$H$102,4,FALSE),VLOOKUP(CV$1,main!$A$3:$H$102,4,FALSE)+VLOOKUP($A92,main!$A$3:$H$102,4,FALSE)+(VLOOKUP(VLOOKUP(CV$1,main!$A$3:$H$102,8,FALSE),main!$K$19:$O$22,MATCH(VLOOKUP($A92,main!$A$3:$H$102,7,FALSE),main!$K$18:$O$18,0),0))),0)</f>
        <v>0</v>
      </c>
      <c r="CW92">
        <f>IF((gamma!CW92),IF(VLOOKUP(CW$1,main!$A$3:$H$102,7,FALSE)=VLOOKUP($A92,main!$A$3:$H$102,8,FALSE),VLOOKUP(CW$1,main!$A$3:$H$102,4,FALSE),VLOOKUP(CW$1,main!$A$3:$H$102,4,FALSE)+VLOOKUP($A92,main!$A$3:$H$102,4,FALSE)+(VLOOKUP(VLOOKUP(CW$1,main!$A$3:$H$102,8,FALSE),main!$K$19:$O$22,MATCH(VLOOKUP($A92,main!$A$3:$H$102,7,FALSE),main!$K$18:$O$18,0),0))),0)</f>
        <v>0</v>
      </c>
      <c r="CX92">
        <f>IF((gamma!CX92),IF(VLOOKUP(CX$1,main!$A$3:$H$102,7,FALSE)=VLOOKUP($A92,main!$A$3:$H$102,8,FALSE),VLOOKUP(CX$1,main!$A$3:$H$102,4,FALSE),VLOOKUP(CX$1,main!$A$3:$H$102,4,FALSE)+VLOOKUP($A92,main!$A$3:$H$102,4,FALSE)+(VLOOKUP(VLOOKUP(CX$1,main!$A$3:$H$102,8,FALSE),main!$K$19:$O$22,MATCH(VLOOKUP($A92,main!$A$3:$H$102,7,FALSE),main!$K$18:$O$18,0),0))),0)</f>
        <v>0</v>
      </c>
      <c r="CY92">
        <v>0</v>
      </c>
      <c r="CZ92">
        <v>0</v>
      </c>
      <c r="DA92">
        <v>0</v>
      </c>
    </row>
    <row r="93" spans="1:105" x14ac:dyDescent="0.25">
      <c r="A93" s="1">
        <v>91</v>
      </c>
      <c r="B93">
        <v>0</v>
      </c>
      <c r="C93">
        <f>IF((gamma!C93),IF(VLOOKUP(C$1,main!$A$3:$H$102,7,FALSE)=VLOOKUP($A93,main!$A$3:$H$102,8,FALSE),VLOOKUP(C$1,main!$A$3:$H$102,4,FALSE),VLOOKUP(C$1,main!$A$3:$H$102,4,FALSE)+VLOOKUP($A93,main!$A$3:$H$102,4,FALSE)+(VLOOKUP(VLOOKUP(C$1,main!$A$3:$H$102,8,FALSE),main!$K$19:$O$22,MATCH(VLOOKUP($A93,main!$A$3:$H$102,7,FALSE),main!$K$18:$O$18,0),0))),0)</f>
        <v>0</v>
      </c>
      <c r="D93">
        <f>IF((gamma!D93),IF(VLOOKUP(D$1,main!$A$3:$H$102,7,FALSE)=VLOOKUP($A93,main!$A$3:$H$102,8,FALSE),VLOOKUP(D$1,main!$A$3:$H$102,4,FALSE),VLOOKUP(D$1,main!$A$3:$H$102,4,FALSE)+VLOOKUP($A93,main!$A$3:$H$102,4,FALSE)+(VLOOKUP(VLOOKUP(D$1,main!$A$3:$H$102,8,FALSE),main!$K$19:$O$22,MATCH(VLOOKUP($A93,main!$A$3:$H$102,7,FALSE),main!$K$18:$O$18,0),0))),0)</f>
        <v>0</v>
      </c>
      <c r="E93">
        <f>IF((gamma!E93),IF(VLOOKUP(E$1,main!$A$3:$H$102,7,FALSE)=VLOOKUP($A93,main!$A$3:$H$102,8,FALSE),VLOOKUP(E$1,main!$A$3:$H$102,4,FALSE),VLOOKUP(E$1,main!$A$3:$H$102,4,FALSE)+VLOOKUP($A93,main!$A$3:$H$102,4,FALSE)+(VLOOKUP(VLOOKUP(E$1,main!$A$3:$H$102,8,FALSE),main!$K$19:$O$22,MATCH(VLOOKUP($A93,main!$A$3:$H$102,7,FALSE),main!$K$18:$O$18,0),0))),0)</f>
        <v>0</v>
      </c>
      <c r="F93">
        <f>IF((gamma!F93),IF(VLOOKUP(F$1,main!$A$3:$H$102,7,FALSE)=VLOOKUP($A93,main!$A$3:$H$102,8,FALSE),VLOOKUP(F$1,main!$A$3:$H$102,4,FALSE),VLOOKUP(F$1,main!$A$3:$H$102,4,FALSE)+VLOOKUP($A93,main!$A$3:$H$102,4,FALSE)+(VLOOKUP(VLOOKUP(F$1,main!$A$3:$H$102,8,FALSE),main!$K$19:$O$22,MATCH(VLOOKUP($A93,main!$A$3:$H$102,7,FALSE),main!$K$18:$O$18,0),0))),0)</f>
        <v>0</v>
      </c>
      <c r="G93">
        <f>IF((gamma!G93),IF(VLOOKUP(G$1,main!$A$3:$H$102,7,FALSE)=VLOOKUP($A93,main!$A$3:$H$102,8,FALSE),VLOOKUP(G$1,main!$A$3:$H$102,4,FALSE),VLOOKUP(G$1,main!$A$3:$H$102,4,FALSE)+VLOOKUP($A93,main!$A$3:$H$102,4,FALSE)+(VLOOKUP(VLOOKUP(G$1,main!$A$3:$H$102,8,FALSE),main!$K$19:$O$22,MATCH(VLOOKUP($A93,main!$A$3:$H$102,7,FALSE),main!$K$18:$O$18,0),0))),0)</f>
        <v>315</v>
      </c>
      <c r="H93">
        <f>IF((gamma!H93),IF(VLOOKUP(H$1,main!$A$3:$H$102,7,FALSE)=VLOOKUP($A93,main!$A$3:$H$102,8,FALSE),VLOOKUP(H$1,main!$A$3:$H$102,4,FALSE),VLOOKUP(H$1,main!$A$3:$H$102,4,FALSE)+VLOOKUP($A93,main!$A$3:$H$102,4,FALSE)+(VLOOKUP(VLOOKUP(H$1,main!$A$3:$H$102,8,FALSE),main!$K$19:$O$22,MATCH(VLOOKUP($A93,main!$A$3:$H$102,7,FALSE),main!$K$18:$O$18,0),0))),0)</f>
        <v>315</v>
      </c>
      <c r="I93">
        <f>IF((gamma!I93),IF(VLOOKUP(I$1,main!$A$3:$H$102,7,FALSE)=VLOOKUP($A93,main!$A$3:$H$102,8,FALSE),VLOOKUP(I$1,main!$A$3:$H$102,4,FALSE),VLOOKUP(I$1,main!$A$3:$H$102,4,FALSE)+VLOOKUP($A93,main!$A$3:$H$102,4,FALSE)+(VLOOKUP(VLOOKUP(I$1,main!$A$3:$H$102,8,FALSE),main!$K$19:$O$22,MATCH(VLOOKUP($A93,main!$A$3:$H$102,7,FALSE),main!$K$18:$O$18,0),0))),0)</f>
        <v>315</v>
      </c>
      <c r="J93">
        <f>IF((gamma!J93),IF(VLOOKUP(J$1,main!$A$3:$H$102,7,FALSE)=VLOOKUP($A93,main!$A$3:$H$102,8,FALSE),VLOOKUP(J$1,main!$A$3:$H$102,4,FALSE),VLOOKUP(J$1,main!$A$3:$H$102,4,FALSE)+VLOOKUP($A93,main!$A$3:$H$102,4,FALSE)+(VLOOKUP(VLOOKUP(J$1,main!$A$3:$H$102,8,FALSE),main!$K$19:$O$22,MATCH(VLOOKUP($A93,main!$A$3:$H$102,7,FALSE),main!$K$18:$O$18,0),0))),0)</f>
        <v>315</v>
      </c>
      <c r="K93">
        <f>IF((gamma!K93),IF(VLOOKUP(K$1,main!$A$3:$H$102,7,FALSE)=VLOOKUP($A93,main!$A$3:$H$102,8,FALSE),VLOOKUP(K$1,main!$A$3:$H$102,4,FALSE),VLOOKUP(K$1,main!$A$3:$H$102,4,FALSE)+VLOOKUP($A93,main!$A$3:$H$102,4,FALSE)+(VLOOKUP(VLOOKUP(K$1,main!$A$3:$H$102,8,FALSE),main!$K$19:$O$22,MATCH(VLOOKUP($A93,main!$A$3:$H$102,7,FALSE),main!$K$18:$O$18,0),0))),0)</f>
        <v>315</v>
      </c>
      <c r="L93">
        <f>IF((gamma!L93),IF(VLOOKUP(L$1,main!$A$3:$H$102,7,FALSE)=VLOOKUP($A93,main!$A$3:$H$102,8,FALSE),VLOOKUP(L$1,main!$A$3:$H$102,4,FALSE),VLOOKUP(L$1,main!$A$3:$H$102,4,FALSE)+VLOOKUP($A93,main!$A$3:$H$102,4,FALSE)+(VLOOKUP(VLOOKUP(L$1,main!$A$3:$H$102,8,FALSE),main!$K$19:$O$22,MATCH(VLOOKUP($A93,main!$A$3:$H$102,7,FALSE),main!$K$18:$O$18,0),0))),0)</f>
        <v>315</v>
      </c>
      <c r="M93">
        <f>IF((gamma!M93),IF(VLOOKUP(M$1,main!$A$3:$H$102,7,FALSE)=VLOOKUP($A93,main!$A$3:$H$102,8,FALSE),VLOOKUP(M$1,main!$A$3:$H$102,4,FALSE),VLOOKUP(M$1,main!$A$3:$H$102,4,FALSE)+VLOOKUP($A93,main!$A$3:$H$102,4,FALSE)+(VLOOKUP(VLOOKUP(M$1,main!$A$3:$H$102,8,FALSE),main!$K$19:$O$22,MATCH(VLOOKUP($A93,main!$A$3:$H$102,7,FALSE),main!$K$18:$O$18,0),0))),0)</f>
        <v>0</v>
      </c>
      <c r="N93">
        <f>IF((gamma!N93),IF(VLOOKUP(N$1,main!$A$3:$H$102,7,FALSE)=VLOOKUP($A93,main!$A$3:$H$102,8,FALSE),VLOOKUP(N$1,main!$A$3:$H$102,4,FALSE),VLOOKUP(N$1,main!$A$3:$H$102,4,FALSE)+VLOOKUP($A93,main!$A$3:$H$102,4,FALSE)+(VLOOKUP(VLOOKUP(N$1,main!$A$3:$H$102,8,FALSE),main!$K$19:$O$22,MATCH(VLOOKUP($A93,main!$A$3:$H$102,7,FALSE),main!$K$18:$O$18,0),0))),0)</f>
        <v>0</v>
      </c>
      <c r="O93">
        <f>IF((gamma!O93),IF(VLOOKUP(O$1,main!$A$3:$H$102,7,FALSE)=VLOOKUP($A93,main!$A$3:$H$102,8,FALSE),VLOOKUP(O$1,main!$A$3:$H$102,4,FALSE),VLOOKUP(O$1,main!$A$3:$H$102,4,FALSE)+VLOOKUP($A93,main!$A$3:$H$102,4,FALSE)+(VLOOKUP(VLOOKUP(O$1,main!$A$3:$H$102,8,FALSE),main!$K$19:$O$22,MATCH(VLOOKUP($A93,main!$A$3:$H$102,7,FALSE),main!$K$18:$O$18,0),0))),0)</f>
        <v>0</v>
      </c>
      <c r="P93">
        <f>IF((gamma!P93),IF(VLOOKUP(P$1,main!$A$3:$H$102,7,FALSE)=VLOOKUP($A93,main!$A$3:$H$102,8,FALSE),VLOOKUP(P$1,main!$A$3:$H$102,4,FALSE),VLOOKUP(P$1,main!$A$3:$H$102,4,FALSE)+VLOOKUP($A93,main!$A$3:$H$102,4,FALSE)+(VLOOKUP(VLOOKUP(P$1,main!$A$3:$H$102,8,FALSE),main!$K$19:$O$22,MATCH(VLOOKUP($A93,main!$A$3:$H$102,7,FALSE),main!$K$18:$O$18,0),0))),0)</f>
        <v>0</v>
      </c>
      <c r="Q93">
        <f>IF((gamma!Q93),IF(VLOOKUP(Q$1,main!$A$3:$H$102,7,FALSE)=VLOOKUP($A93,main!$A$3:$H$102,8,FALSE),VLOOKUP(Q$1,main!$A$3:$H$102,4,FALSE),VLOOKUP(Q$1,main!$A$3:$H$102,4,FALSE)+VLOOKUP($A93,main!$A$3:$H$102,4,FALSE)+(VLOOKUP(VLOOKUP(Q$1,main!$A$3:$H$102,8,FALSE),main!$K$19:$O$22,MATCH(VLOOKUP($A93,main!$A$3:$H$102,7,FALSE),main!$K$18:$O$18,0),0))),0)</f>
        <v>0</v>
      </c>
      <c r="R93">
        <f>IF((gamma!R93),IF(VLOOKUP(R$1,main!$A$3:$H$102,7,FALSE)=VLOOKUP($A93,main!$A$3:$H$102,8,FALSE),VLOOKUP(R$1,main!$A$3:$H$102,4,FALSE),VLOOKUP(R$1,main!$A$3:$H$102,4,FALSE)+VLOOKUP($A93,main!$A$3:$H$102,4,FALSE)+(VLOOKUP(VLOOKUP(R$1,main!$A$3:$H$102,8,FALSE),main!$K$19:$O$22,MATCH(VLOOKUP($A93,main!$A$3:$H$102,7,FALSE),main!$K$18:$O$18,0),0))),0)</f>
        <v>313</v>
      </c>
      <c r="S93">
        <f>IF((gamma!S93),IF(VLOOKUP(S$1,main!$A$3:$H$102,7,FALSE)=VLOOKUP($A93,main!$A$3:$H$102,8,FALSE),VLOOKUP(S$1,main!$A$3:$H$102,4,FALSE),VLOOKUP(S$1,main!$A$3:$H$102,4,FALSE)+VLOOKUP($A93,main!$A$3:$H$102,4,FALSE)+(VLOOKUP(VLOOKUP(S$1,main!$A$3:$H$102,8,FALSE),main!$K$19:$O$22,MATCH(VLOOKUP($A93,main!$A$3:$H$102,7,FALSE),main!$K$18:$O$18,0),0))),0)</f>
        <v>313</v>
      </c>
      <c r="T93">
        <f>IF((gamma!T93),IF(VLOOKUP(T$1,main!$A$3:$H$102,7,FALSE)=VLOOKUP($A93,main!$A$3:$H$102,8,FALSE),VLOOKUP(T$1,main!$A$3:$H$102,4,FALSE),VLOOKUP(T$1,main!$A$3:$H$102,4,FALSE)+VLOOKUP($A93,main!$A$3:$H$102,4,FALSE)+(VLOOKUP(VLOOKUP(T$1,main!$A$3:$H$102,8,FALSE),main!$K$19:$O$22,MATCH(VLOOKUP($A93,main!$A$3:$H$102,7,FALSE),main!$K$18:$O$18,0),0))),0)</f>
        <v>313</v>
      </c>
      <c r="U93">
        <f>IF((gamma!U93),IF(VLOOKUP(U$1,main!$A$3:$H$102,7,FALSE)=VLOOKUP($A93,main!$A$3:$H$102,8,FALSE),VLOOKUP(U$1,main!$A$3:$H$102,4,FALSE),VLOOKUP(U$1,main!$A$3:$H$102,4,FALSE)+VLOOKUP($A93,main!$A$3:$H$102,4,FALSE)+(VLOOKUP(VLOOKUP(U$1,main!$A$3:$H$102,8,FALSE),main!$K$19:$O$22,MATCH(VLOOKUP($A93,main!$A$3:$H$102,7,FALSE),main!$K$18:$O$18,0),0))),0)</f>
        <v>313</v>
      </c>
      <c r="V93">
        <f>IF((gamma!V93),IF(VLOOKUP(V$1,main!$A$3:$H$102,7,FALSE)=VLOOKUP($A93,main!$A$3:$H$102,8,FALSE),VLOOKUP(V$1,main!$A$3:$H$102,4,FALSE),VLOOKUP(V$1,main!$A$3:$H$102,4,FALSE)+VLOOKUP($A93,main!$A$3:$H$102,4,FALSE)+(VLOOKUP(VLOOKUP(V$1,main!$A$3:$H$102,8,FALSE),main!$K$19:$O$22,MATCH(VLOOKUP($A93,main!$A$3:$H$102,7,FALSE),main!$K$18:$O$18,0),0))),0)</f>
        <v>313</v>
      </c>
      <c r="W93">
        <f>IF((gamma!W93),IF(VLOOKUP(W$1,main!$A$3:$H$102,7,FALSE)=VLOOKUP($A93,main!$A$3:$H$102,8,FALSE),VLOOKUP(W$1,main!$A$3:$H$102,4,FALSE),VLOOKUP(W$1,main!$A$3:$H$102,4,FALSE)+VLOOKUP($A93,main!$A$3:$H$102,4,FALSE)+(VLOOKUP(VLOOKUP(W$1,main!$A$3:$H$102,8,FALSE),main!$K$19:$O$22,MATCH(VLOOKUP($A93,main!$A$3:$H$102,7,FALSE),main!$K$18:$O$18,0),0))),0)</f>
        <v>0</v>
      </c>
      <c r="X93">
        <f>IF((gamma!X93),IF(VLOOKUP(X$1,main!$A$3:$H$102,7,FALSE)=VLOOKUP($A93,main!$A$3:$H$102,8,FALSE),VLOOKUP(X$1,main!$A$3:$H$102,4,FALSE),VLOOKUP(X$1,main!$A$3:$H$102,4,FALSE)+VLOOKUP($A93,main!$A$3:$H$102,4,FALSE)+(VLOOKUP(VLOOKUP(X$1,main!$A$3:$H$102,8,FALSE),main!$K$19:$O$22,MATCH(VLOOKUP($A93,main!$A$3:$H$102,7,FALSE),main!$K$18:$O$18,0),0))),0)</f>
        <v>0</v>
      </c>
      <c r="Y93">
        <f>IF((gamma!Y93),IF(VLOOKUP(Y$1,main!$A$3:$H$102,7,FALSE)=VLOOKUP($A93,main!$A$3:$H$102,8,FALSE),VLOOKUP(Y$1,main!$A$3:$H$102,4,FALSE),VLOOKUP(Y$1,main!$A$3:$H$102,4,FALSE)+VLOOKUP($A93,main!$A$3:$H$102,4,FALSE)+(VLOOKUP(VLOOKUP(Y$1,main!$A$3:$H$102,8,FALSE),main!$K$19:$O$22,MATCH(VLOOKUP($A93,main!$A$3:$H$102,7,FALSE),main!$K$18:$O$18,0),0))),0)</f>
        <v>275</v>
      </c>
      <c r="Z93">
        <f>IF((gamma!Z93),IF(VLOOKUP(Z$1,main!$A$3:$H$102,7,FALSE)=VLOOKUP($A93,main!$A$3:$H$102,8,FALSE),VLOOKUP(Z$1,main!$A$3:$H$102,4,FALSE),VLOOKUP(Z$1,main!$A$3:$H$102,4,FALSE)+VLOOKUP($A93,main!$A$3:$H$102,4,FALSE)+(VLOOKUP(VLOOKUP(Z$1,main!$A$3:$H$102,8,FALSE),main!$K$19:$O$22,MATCH(VLOOKUP($A93,main!$A$3:$H$102,7,FALSE),main!$K$18:$O$18,0),0))),0)</f>
        <v>280</v>
      </c>
      <c r="AA93">
        <f>IF((gamma!AA93),IF(VLOOKUP(AA$1,main!$A$3:$H$102,7,FALSE)=VLOOKUP($A93,main!$A$3:$H$102,8,FALSE),VLOOKUP(AA$1,main!$A$3:$H$102,4,FALSE),VLOOKUP(AA$1,main!$A$3:$H$102,4,FALSE)+VLOOKUP($A93,main!$A$3:$H$102,4,FALSE)+(VLOOKUP(VLOOKUP(AA$1,main!$A$3:$H$102,8,FALSE),main!$K$19:$O$22,MATCH(VLOOKUP($A93,main!$A$3:$H$102,7,FALSE),main!$K$18:$O$18,0),0))),0)</f>
        <v>280</v>
      </c>
      <c r="AB93">
        <f>IF((gamma!AB93),IF(VLOOKUP(AB$1,main!$A$3:$H$102,7,FALSE)=VLOOKUP($A93,main!$A$3:$H$102,8,FALSE),VLOOKUP(AB$1,main!$A$3:$H$102,4,FALSE),VLOOKUP(AB$1,main!$A$3:$H$102,4,FALSE)+VLOOKUP($A93,main!$A$3:$H$102,4,FALSE)+(VLOOKUP(VLOOKUP(AB$1,main!$A$3:$H$102,8,FALSE),main!$K$19:$O$22,MATCH(VLOOKUP($A93,main!$A$3:$H$102,7,FALSE),main!$K$18:$O$18,0),0))),0)</f>
        <v>0</v>
      </c>
      <c r="AC93">
        <f>IF((gamma!AC93),IF(VLOOKUP(AC$1,main!$A$3:$H$102,7,FALSE)=VLOOKUP($A93,main!$A$3:$H$102,8,FALSE),VLOOKUP(AC$1,main!$A$3:$H$102,4,FALSE),VLOOKUP(AC$1,main!$A$3:$H$102,4,FALSE)+VLOOKUP($A93,main!$A$3:$H$102,4,FALSE)+(VLOOKUP(VLOOKUP(AC$1,main!$A$3:$H$102,8,FALSE),main!$K$19:$O$22,MATCH(VLOOKUP($A93,main!$A$3:$H$102,7,FALSE),main!$K$18:$O$18,0),0))),0)</f>
        <v>0</v>
      </c>
      <c r="AD93">
        <f>IF((gamma!AD93),IF(VLOOKUP(AD$1,main!$A$3:$H$102,7,FALSE)=VLOOKUP($A93,main!$A$3:$H$102,8,FALSE),VLOOKUP(AD$1,main!$A$3:$H$102,4,FALSE),VLOOKUP(AD$1,main!$A$3:$H$102,4,FALSE)+VLOOKUP($A93,main!$A$3:$H$102,4,FALSE)+(VLOOKUP(VLOOKUP(AD$1,main!$A$3:$H$102,8,FALSE),main!$K$19:$O$22,MATCH(VLOOKUP($A93,main!$A$3:$H$102,7,FALSE),main!$K$18:$O$18,0),0))),0)</f>
        <v>0</v>
      </c>
      <c r="AE93">
        <f>IF((gamma!AE93),IF(VLOOKUP(AE$1,main!$A$3:$H$102,7,FALSE)=VLOOKUP($A93,main!$A$3:$H$102,8,FALSE),VLOOKUP(AE$1,main!$A$3:$H$102,4,FALSE),VLOOKUP(AE$1,main!$A$3:$H$102,4,FALSE)+VLOOKUP($A93,main!$A$3:$H$102,4,FALSE)+(VLOOKUP(VLOOKUP(AE$1,main!$A$3:$H$102,8,FALSE),main!$K$19:$O$22,MATCH(VLOOKUP($A93,main!$A$3:$H$102,7,FALSE),main!$K$18:$O$18,0),0))),0)</f>
        <v>280</v>
      </c>
      <c r="AF93">
        <f>IF((gamma!AF93),IF(VLOOKUP(AF$1,main!$A$3:$H$102,7,FALSE)=VLOOKUP($A93,main!$A$3:$H$102,8,FALSE),VLOOKUP(AF$1,main!$A$3:$H$102,4,FALSE),VLOOKUP(AF$1,main!$A$3:$H$102,4,FALSE)+VLOOKUP($A93,main!$A$3:$H$102,4,FALSE)+(VLOOKUP(VLOOKUP(AF$1,main!$A$3:$H$102,8,FALSE),main!$K$19:$O$22,MATCH(VLOOKUP($A93,main!$A$3:$H$102,7,FALSE),main!$K$18:$O$18,0),0))),0)</f>
        <v>240</v>
      </c>
      <c r="AG93">
        <f>IF((gamma!AG93),IF(VLOOKUP(AG$1,main!$A$3:$H$102,7,FALSE)=VLOOKUP($A93,main!$A$3:$H$102,8,FALSE),VLOOKUP(AG$1,main!$A$3:$H$102,4,FALSE),VLOOKUP(AG$1,main!$A$3:$H$102,4,FALSE)+VLOOKUP($A93,main!$A$3:$H$102,4,FALSE)+(VLOOKUP(VLOOKUP(AG$1,main!$A$3:$H$102,8,FALSE),main!$K$19:$O$22,MATCH(VLOOKUP($A93,main!$A$3:$H$102,7,FALSE),main!$K$18:$O$18,0),0))),0)</f>
        <v>0</v>
      </c>
      <c r="AH93">
        <f>IF((gamma!AH93),IF(VLOOKUP(AH$1,main!$A$3:$H$102,7,FALSE)=VLOOKUP($A93,main!$A$3:$H$102,8,FALSE),VLOOKUP(AH$1,main!$A$3:$H$102,4,FALSE),VLOOKUP(AH$1,main!$A$3:$H$102,4,FALSE)+VLOOKUP($A93,main!$A$3:$H$102,4,FALSE)+(VLOOKUP(VLOOKUP(AH$1,main!$A$3:$H$102,8,FALSE),main!$K$19:$O$22,MATCH(VLOOKUP($A93,main!$A$3:$H$102,7,FALSE),main!$K$18:$O$18,0),0))),0)</f>
        <v>0</v>
      </c>
      <c r="AI93">
        <f>IF((gamma!AI93),IF(VLOOKUP(AI$1,main!$A$3:$H$102,7,FALSE)=VLOOKUP($A93,main!$A$3:$H$102,8,FALSE),VLOOKUP(AI$1,main!$A$3:$H$102,4,FALSE),VLOOKUP(AI$1,main!$A$3:$H$102,4,FALSE)+VLOOKUP($A93,main!$A$3:$H$102,4,FALSE)+(VLOOKUP(VLOOKUP(AI$1,main!$A$3:$H$102,8,FALSE),main!$K$19:$O$22,MATCH(VLOOKUP($A93,main!$A$3:$H$102,7,FALSE),main!$K$18:$O$18,0),0))),0)</f>
        <v>0</v>
      </c>
      <c r="AJ93">
        <f>IF((gamma!AJ93),IF(VLOOKUP(AJ$1,main!$A$3:$H$102,7,FALSE)=VLOOKUP($A93,main!$A$3:$H$102,8,FALSE),VLOOKUP(AJ$1,main!$A$3:$H$102,4,FALSE),VLOOKUP(AJ$1,main!$A$3:$H$102,4,FALSE)+VLOOKUP($A93,main!$A$3:$H$102,4,FALSE)+(VLOOKUP(VLOOKUP(AJ$1,main!$A$3:$H$102,8,FALSE),main!$K$19:$O$22,MATCH(VLOOKUP($A93,main!$A$3:$H$102,7,FALSE),main!$K$18:$O$18,0),0))),0)</f>
        <v>310</v>
      </c>
      <c r="AK93">
        <f>IF((gamma!AK93),IF(VLOOKUP(AK$1,main!$A$3:$H$102,7,FALSE)=VLOOKUP($A93,main!$A$3:$H$102,8,FALSE),VLOOKUP(AK$1,main!$A$3:$H$102,4,FALSE),VLOOKUP(AK$1,main!$A$3:$H$102,4,FALSE)+VLOOKUP($A93,main!$A$3:$H$102,4,FALSE)+(VLOOKUP(VLOOKUP(AK$1,main!$A$3:$H$102,8,FALSE),main!$K$19:$O$22,MATCH(VLOOKUP($A93,main!$A$3:$H$102,7,FALSE),main!$K$18:$O$18,0),0))),0)</f>
        <v>310</v>
      </c>
      <c r="AL93">
        <f>IF((gamma!AL93),IF(VLOOKUP(AL$1,main!$A$3:$H$102,7,FALSE)=VLOOKUP($A93,main!$A$3:$H$102,8,FALSE),VLOOKUP(AL$1,main!$A$3:$H$102,4,FALSE),VLOOKUP(AL$1,main!$A$3:$H$102,4,FALSE)+VLOOKUP($A93,main!$A$3:$H$102,4,FALSE)+(VLOOKUP(VLOOKUP(AL$1,main!$A$3:$H$102,8,FALSE),main!$K$19:$O$22,MATCH(VLOOKUP($A93,main!$A$3:$H$102,7,FALSE),main!$K$18:$O$18,0),0))),0)</f>
        <v>310</v>
      </c>
      <c r="AM93">
        <f>IF((gamma!AM93),IF(VLOOKUP(AM$1,main!$A$3:$H$102,7,FALSE)=VLOOKUP($A93,main!$A$3:$H$102,8,FALSE),VLOOKUP(AM$1,main!$A$3:$H$102,4,FALSE),VLOOKUP(AM$1,main!$A$3:$H$102,4,FALSE)+VLOOKUP($A93,main!$A$3:$H$102,4,FALSE)+(VLOOKUP(VLOOKUP(AM$1,main!$A$3:$H$102,8,FALSE),main!$K$19:$O$22,MATCH(VLOOKUP($A93,main!$A$3:$H$102,7,FALSE),main!$K$18:$O$18,0),0))),0)</f>
        <v>310</v>
      </c>
      <c r="AN93">
        <f>IF((gamma!AN93),IF(VLOOKUP(AN$1,main!$A$3:$H$102,7,FALSE)=VLOOKUP($A93,main!$A$3:$H$102,8,FALSE),VLOOKUP(AN$1,main!$A$3:$H$102,4,FALSE),VLOOKUP(AN$1,main!$A$3:$H$102,4,FALSE)+VLOOKUP($A93,main!$A$3:$H$102,4,FALSE)+(VLOOKUP(VLOOKUP(AN$1,main!$A$3:$H$102,8,FALSE),main!$K$19:$O$22,MATCH(VLOOKUP($A93,main!$A$3:$H$102,7,FALSE),main!$K$18:$O$18,0),0))),0)</f>
        <v>310</v>
      </c>
      <c r="AO93">
        <f>IF((gamma!AO93),IF(VLOOKUP(AO$1,main!$A$3:$H$102,7,FALSE)=VLOOKUP($A93,main!$A$3:$H$102,8,FALSE),VLOOKUP(AO$1,main!$A$3:$H$102,4,FALSE),VLOOKUP(AO$1,main!$A$3:$H$102,4,FALSE)+VLOOKUP($A93,main!$A$3:$H$102,4,FALSE)+(VLOOKUP(VLOOKUP(AO$1,main!$A$3:$H$102,8,FALSE),main!$K$19:$O$22,MATCH(VLOOKUP($A93,main!$A$3:$H$102,7,FALSE),main!$K$18:$O$18,0),0))),0)</f>
        <v>0</v>
      </c>
      <c r="AP93">
        <f>IF((gamma!AP93),IF(VLOOKUP(AP$1,main!$A$3:$H$102,7,FALSE)=VLOOKUP($A93,main!$A$3:$H$102,8,FALSE),VLOOKUP(AP$1,main!$A$3:$H$102,4,FALSE),VLOOKUP(AP$1,main!$A$3:$H$102,4,FALSE)+VLOOKUP($A93,main!$A$3:$H$102,4,FALSE)+(VLOOKUP(VLOOKUP(AP$1,main!$A$3:$H$102,8,FALSE),main!$K$19:$O$22,MATCH(VLOOKUP($A93,main!$A$3:$H$102,7,FALSE),main!$K$18:$O$18,0),0))),0)</f>
        <v>250</v>
      </c>
      <c r="AQ93">
        <f>IF((gamma!AQ93),IF(VLOOKUP(AQ$1,main!$A$3:$H$102,7,FALSE)=VLOOKUP($A93,main!$A$3:$H$102,8,FALSE),VLOOKUP(AQ$1,main!$A$3:$H$102,4,FALSE),VLOOKUP(AQ$1,main!$A$3:$H$102,4,FALSE)+VLOOKUP($A93,main!$A$3:$H$102,4,FALSE)+(VLOOKUP(VLOOKUP(AQ$1,main!$A$3:$H$102,8,FALSE),main!$K$19:$O$22,MATCH(VLOOKUP($A93,main!$A$3:$H$102,7,FALSE),main!$K$18:$O$18,0),0))),0)</f>
        <v>0</v>
      </c>
      <c r="AR93">
        <f>IF((gamma!AR93),IF(VLOOKUP(AR$1,main!$A$3:$H$102,7,FALSE)=VLOOKUP($A93,main!$A$3:$H$102,8,FALSE),VLOOKUP(AR$1,main!$A$3:$H$102,4,FALSE),VLOOKUP(AR$1,main!$A$3:$H$102,4,FALSE)+VLOOKUP($A93,main!$A$3:$H$102,4,FALSE)+(VLOOKUP(VLOOKUP(AR$1,main!$A$3:$H$102,8,FALSE),main!$K$19:$O$22,MATCH(VLOOKUP($A93,main!$A$3:$H$102,7,FALSE),main!$K$18:$O$18,0),0))),0)</f>
        <v>0</v>
      </c>
      <c r="AS93">
        <f>IF((gamma!AS93),IF(VLOOKUP(AS$1,main!$A$3:$H$102,7,FALSE)=VLOOKUP($A93,main!$A$3:$H$102,8,FALSE),VLOOKUP(AS$1,main!$A$3:$H$102,4,FALSE),VLOOKUP(AS$1,main!$A$3:$H$102,4,FALSE)+VLOOKUP($A93,main!$A$3:$H$102,4,FALSE)+(VLOOKUP(VLOOKUP(AS$1,main!$A$3:$H$102,8,FALSE),main!$K$19:$O$22,MATCH(VLOOKUP($A93,main!$A$3:$H$102,7,FALSE),main!$K$18:$O$18,0),0))),0)</f>
        <v>293</v>
      </c>
      <c r="AT93">
        <f>IF((gamma!AT93),IF(VLOOKUP(AT$1,main!$A$3:$H$102,7,FALSE)=VLOOKUP($A93,main!$A$3:$H$102,8,FALSE),VLOOKUP(AT$1,main!$A$3:$H$102,4,FALSE),VLOOKUP(AT$1,main!$A$3:$H$102,4,FALSE)+VLOOKUP($A93,main!$A$3:$H$102,4,FALSE)+(VLOOKUP(VLOOKUP(AT$1,main!$A$3:$H$102,8,FALSE),main!$K$19:$O$22,MATCH(VLOOKUP($A93,main!$A$3:$H$102,7,FALSE),main!$K$18:$O$18,0),0))),0)</f>
        <v>303</v>
      </c>
      <c r="AU93">
        <f>IF((gamma!AU93),IF(VLOOKUP(AU$1,main!$A$3:$H$102,7,FALSE)=VLOOKUP($A93,main!$A$3:$H$102,8,FALSE),VLOOKUP(AU$1,main!$A$3:$H$102,4,FALSE),VLOOKUP(AU$1,main!$A$3:$H$102,4,FALSE)+VLOOKUP($A93,main!$A$3:$H$102,4,FALSE)+(VLOOKUP(VLOOKUP(AU$1,main!$A$3:$H$102,8,FALSE),main!$K$19:$O$22,MATCH(VLOOKUP($A93,main!$A$3:$H$102,7,FALSE),main!$K$18:$O$18,0),0))),0)</f>
        <v>0</v>
      </c>
      <c r="AV93">
        <f>IF((gamma!AV93),IF(VLOOKUP(AV$1,main!$A$3:$H$102,7,FALSE)=VLOOKUP($A93,main!$A$3:$H$102,8,FALSE),VLOOKUP(AV$1,main!$A$3:$H$102,4,FALSE),VLOOKUP(AV$1,main!$A$3:$H$102,4,FALSE)+VLOOKUP($A93,main!$A$3:$H$102,4,FALSE)+(VLOOKUP(VLOOKUP(AV$1,main!$A$3:$H$102,8,FALSE),main!$K$19:$O$22,MATCH(VLOOKUP($A93,main!$A$3:$H$102,7,FALSE),main!$K$18:$O$18,0),0))),0)</f>
        <v>0</v>
      </c>
      <c r="AW93">
        <f>IF((gamma!AW93),IF(VLOOKUP(AW$1,main!$A$3:$H$102,7,FALSE)=VLOOKUP($A93,main!$A$3:$H$102,8,FALSE),VLOOKUP(AW$1,main!$A$3:$H$102,4,FALSE),VLOOKUP(AW$1,main!$A$3:$H$102,4,FALSE)+VLOOKUP($A93,main!$A$3:$H$102,4,FALSE)+(VLOOKUP(VLOOKUP(AW$1,main!$A$3:$H$102,8,FALSE),main!$K$19:$O$22,MATCH(VLOOKUP($A93,main!$A$3:$H$102,7,FALSE),main!$K$18:$O$18,0),0))),0)</f>
        <v>293</v>
      </c>
      <c r="AX93">
        <f>IF((gamma!AX93),IF(VLOOKUP(AX$1,main!$A$3:$H$102,7,FALSE)=VLOOKUP($A93,main!$A$3:$H$102,8,FALSE),VLOOKUP(AX$1,main!$A$3:$H$102,4,FALSE),VLOOKUP(AX$1,main!$A$3:$H$102,4,FALSE)+VLOOKUP($A93,main!$A$3:$H$102,4,FALSE)+(VLOOKUP(VLOOKUP(AX$1,main!$A$3:$H$102,8,FALSE),main!$K$19:$O$22,MATCH(VLOOKUP($A93,main!$A$3:$H$102,7,FALSE),main!$K$18:$O$18,0),0))),0)</f>
        <v>0</v>
      </c>
      <c r="AY93">
        <f>IF((gamma!AY93),IF(VLOOKUP(AY$1,main!$A$3:$H$102,7,FALSE)=VLOOKUP($A93,main!$A$3:$H$102,8,FALSE),VLOOKUP(AY$1,main!$A$3:$H$102,4,FALSE),VLOOKUP(AY$1,main!$A$3:$H$102,4,FALSE)+VLOOKUP($A93,main!$A$3:$H$102,4,FALSE)+(VLOOKUP(VLOOKUP(AY$1,main!$A$3:$H$102,8,FALSE),main!$K$19:$O$22,MATCH(VLOOKUP($A93,main!$A$3:$H$102,7,FALSE),main!$K$18:$O$18,0),0))),0)</f>
        <v>0</v>
      </c>
      <c r="AZ93">
        <f>IF((gamma!AZ93),IF(VLOOKUP(AZ$1,main!$A$3:$H$102,7,FALSE)=VLOOKUP($A93,main!$A$3:$H$102,8,FALSE),VLOOKUP(AZ$1,main!$A$3:$H$102,4,FALSE),VLOOKUP(AZ$1,main!$A$3:$H$102,4,FALSE)+VLOOKUP($A93,main!$A$3:$H$102,4,FALSE)+(VLOOKUP(VLOOKUP(AZ$1,main!$A$3:$H$102,8,FALSE),main!$K$19:$O$22,MATCH(VLOOKUP($A93,main!$A$3:$H$102,7,FALSE),main!$K$18:$O$18,0),0))),0)</f>
        <v>0</v>
      </c>
      <c r="BA93">
        <f>IF((gamma!BA93),IF(VLOOKUP(BA$1,main!$A$3:$H$102,7,FALSE)=VLOOKUP($A93,main!$A$3:$H$102,8,FALSE),VLOOKUP(BA$1,main!$A$3:$H$102,4,FALSE),VLOOKUP(BA$1,main!$A$3:$H$102,4,FALSE)+VLOOKUP($A93,main!$A$3:$H$102,4,FALSE)+(VLOOKUP(VLOOKUP(BA$1,main!$A$3:$H$102,8,FALSE),main!$K$19:$O$22,MATCH(VLOOKUP($A93,main!$A$3:$H$102,7,FALSE),main!$K$18:$O$18,0),0))),0)</f>
        <v>0</v>
      </c>
      <c r="BB93">
        <f>IF((gamma!BB93),IF(VLOOKUP(BB$1,main!$A$3:$H$102,7,FALSE)=VLOOKUP($A93,main!$A$3:$H$102,8,FALSE),VLOOKUP(BB$1,main!$A$3:$H$102,4,FALSE),VLOOKUP(BB$1,main!$A$3:$H$102,4,FALSE)+VLOOKUP($A93,main!$A$3:$H$102,4,FALSE)+(VLOOKUP(VLOOKUP(BB$1,main!$A$3:$H$102,8,FALSE),main!$K$19:$O$22,MATCH(VLOOKUP($A93,main!$A$3:$H$102,7,FALSE),main!$K$18:$O$18,0),0))),0)</f>
        <v>0</v>
      </c>
      <c r="BC93">
        <f>IF((gamma!BC93),IF(VLOOKUP(BC$1,main!$A$3:$H$102,7,FALSE)=VLOOKUP($A93,main!$A$3:$H$102,8,FALSE),VLOOKUP(BC$1,main!$A$3:$H$102,4,FALSE),VLOOKUP(BC$1,main!$A$3:$H$102,4,FALSE)+VLOOKUP($A93,main!$A$3:$H$102,4,FALSE)+(VLOOKUP(VLOOKUP(BC$1,main!$A$3:$H$102,8,FALSE),main!$K$19:$O$22,MATCH(VLOOKUP($A93,main!$A$3:$H$102,7,FALSE),main!$K$18:$O$18,0),0))),0)</f>
        <v>140</v>
      </c>
      <c r="BD93">
        <f>IF((gamma!BD93),IF(VLOOKUP(BD$1,main!$A$3:$H$102,7,FALSE)=VLOOKUP($A93,main!$A$3:$H$102,8,FALSE),VLOOKUP(BD$1,main!$A$3:$H$102,4,FALSE),VLOOKUP(BD$1,main!$A$3:$H$102,4,FALSE)+VLOOKUP($A93,main!$A$3:$H$102,4,FALSE)+(VLOOKUP(VLOOKUP(BD$1,main!$A$3:$H$102,8,FALSE),main!$K$19:$O$22,MATCH(VLOOKUP($A93,main!$A$3:$H$102,7,FALSE),main!$K$18:$O$18,0),0))),0)</f>
        <v>140</v>
      </c>
      <c r="BE93">
        <f>IF((gamma!BE93),IF(VLOOKUP(BE$1,main!$A$3:$H$102,7,FALSE)=VLOOKUP($A93,main!$A$3:$H$102,8,FALSE),VLOOKUP(BE$1,main!$A$3:$H$102,4,FALSE),VLOOKUP(BE$1,main!$A$3:$H$102,4,FALSE)+VLOOKUP($A93,main!$A$3:$H$102,4,FALSE)+(VLOOKUP(VLOOKUP(BE$1,main!$A$3:$H$102,8,FALSE),main!$K$19:$O$22,MATCH(VLOOKUP($A93,main!$A$3:$H$102,7,FALSE),main!$K$18:$O$18,0),0))),0)</f>
        <v>140</v>
      </c>
      <c r="BF93">
        <f>IF((gamma!BF93),IF(VLOOKUP(BF$1,main!$A$3:$H$102,7,FALSE)=VLOOKUP($A93,main!$A$3:$H$102,8,FALSE),VLOOKUP(BF$1,main!$A$3:$H$102,4,FALSE),VLOOKUP(BF$1,main!$A$3:$H$102,4,FALSE)+VLOOKUP($A93,main!$A$3:$H$102,4,FALSE)+(VLOOKUP(VLOOKUP(BF$1,main!$A$3:$H$102,8,FALSE),main!$K$19:$O$22,MATCH(VLOOKUP($A93,main!$A$3:$H$102,7,FALSE),main!$K$18:$O$18,0),0))),0)</f>
        <v>0</v>
      </c>
      <c r="BG93">
        <f>IF((gamma!BG93),IF(VLOOKUP(BG$1,main!$A$3:$H$102,7,FALSE)=VLOOKUP($A93,main!$A$3:$H$102,8,FALSE),VLOOKUP(BG$1,main!$A$3:$H$102,4,FALSE),VLOOKUP(BG$1,main!$A$3:$H$102,4,FALSE)+VLOOKUP($A93,main!$A$3:$H$102,4,FALSE)+(VLOOKUP(VLOOKUP(BG$1,main!$A$3:$H$102,8,FALSE),main!$K$19:$O$22,MATCH(VLOOKUP($A93,main!$A$3:$H$102,7,FALSE),main!$K$18:$O$18,0),0))),0)</f>
        <v>0</v>
      </c>
      <c r="BH93">
        <f>IF((gamma!BH93),IF(VLOOKUP(BH$1,main!$A$3:$H$102,7,FALSE)=VLOOKUP($A93,main!$A$3:$H$102,8,FALSE),VLOOKUP(BH$1,main!$A$3:$H$102,4,FALSE),VLOOKUP(BH$1,main!$A$3:$H$102,4,FALSE)+VLOOKUP($A93,main!$A$3:$H$102,4,FALSE)+(VLOOKUP(VLOOKUP(BH$1,main!$A$3:$H$102,8,FALSE),main!$K$19:$O$22,MATCH(VLOOKUP($A93,main!$A$3:$H$102,7,FALSE),main!$K$18:$O$18,0),0))),0)</f>
        <v>125</v>
      </c>
      <c r="BI93">
        <f>IF((gamma!BI93),IF(VLOOKUP(BI$1,main!$A$3:$H$102,7,FALSE)=VLOOKUP($A93,main!$A$3:$H$102,8,FALSE),VLOOKUP(BI$1,main!$A$3:$H$102,4,FALSE),VLOOKUP(BI$1,main!$A$3:$H$102,4,FALSE)+VLOOKUP($A93,main!$A$3:$H$102,4,FALSE)+(VLOOKUP(VLOOKUP(BI$1,main!$A$3:$H$102,8,FALSE),main!$K$19:$O$22,MATCH(VLOOKUP($A93,main!$A$3:$H$102,7,FALSE),main!$K$18:$O$18,0),0))),0)</f>
        <v>60</v>
      </c>
      <c r="BJ93">
        <f>IF((gamma!BJ93),IF(VLOOKUP(BJ$1,main!$A$3:$H$102,7,FALSE)=VLOOKUP($A93,main!$A$3:$H$102,8,FALSE),VLOOKUP(BJ$1,main!$A$3:$H$102,4,FALSE),VLOOKUP(BJ$1,main!$A$3:$H$102,4,FALSE)+VLOOKUP($A93,main!$A$3:$H$102,4,FALSE)+(VLOOKUP(VLOOKUP(BJ$1,main!$A$3:$H$102,8,FALSE),main!$K$19:$O$22,MATCH(VLOOKUP($A93,main!$A$3:$H$102,7,FALSE),main!$K$18:$O$18,0),0))),0)</f>
        <v>90</v>
      </c>
      <c r="BK93">
        <f>IF((gamma!BK93),IF(VLOOKUP(BK$1,main!$A$3:$H$102,7,FALSE)=VLOOKUP($A93,main!$A$3:$H$102,8,FALSE),VLOOKUP(BK$1,main!$A$3:$H$102,4,FALSE),VLOOKUP(BK$1,main!$A$3:$H$102,4,FALSE)+VLOOKUP($A93,main!$A$3:$H$102,4,FALSE)+(VLOOKUP(VLOOKUP(BK$1,main!$A$3:$H$102,8,FALSE),main!$K$19:$O$22,MATCH(VLOOKUP($A93,main!$A$3:$H$102,7,FALSE),main!$K$18:$O$18,0),0))),0)</f>
        <v>0</v>
      </c>
      <c r="BL93">
        <f>IF((gamma!BL93),IF(VLOOKUP(BL$1,main!$A$3:$H$102,7,FALSE)=VLOOKUP($A93,main!$A$3:$H$102,8,FALSE),VLOOKUP(BL$1,main!$A$3:$H$102,4,FALSE),VLOOKUP(BL$1,main!$A$3:$H$102,4,FALSE)+VLOOKUP($A93,main!$A$3:$H$102,4,FALSE)+(VLOOKUP(VLOOKUP(BL$1,main!$A$3:$H$102,8,FALSE),main!$K$19:$O$22,MATCH(VLOOKUP($A93,main!$A$3:$H$102,7,FALSE),main!$K$18:$O$18,0),0))),0)</f>
        <v>0</v>
      </c>
      <c r="BM93">
        <f>IF((gamma!BM93),IF(VLOOKUP(BM$1,main!$A$3:$H$102,7,FALSE)=VLOOKUP($A93,main!$A$3:$H$102,8,FALSE),VLOOKUP(BM$1,main!$A$3:$H$102,4,FALSE),VLOOKUP(BM$1,main!$A$3:$H$102,4,FALSE)+VLOOKUP($A93,main!$A$3:$H$102,4,FALSE)+(VLOOKUP(VLOOKUP(BM$1,main!$A$3:$H$102,8,FALSE),main!$K$19:$O$22,MATCH(VLOOKUP($A93,main!$A$3:$H$102,7,FALSE),main!$K$18:$O$18,0),0))),0)</f>
        <v>0</v>
      </c>
      <c r="BN93">
        <f>IF((gamma!BN93),IF(VLOOKUP(BN$1,main!$A$3:$H$102,7,FALSE)=VLOOKUP($A93,main!$A$3:$H$102,8,FALSE),VLOOKUP(BN$1,main!$A$3:$H$102,4,FALSE),VLOOKUP(BN$1,main!$A$3:$H$102,4,FALSE)+VLOOKUP($A93,main!$A$3:$H$102,4,FALSE)+(VLOOKUP(VLOOKUP(BN$1,main!$A$3:$H$102,8,FALSE),main!$K$19:$O$22,MATCH(VLOOKUP($A93,main!$A$3:$H$102,7,FALSE),main!$K$18:$O$18,0),0))),0)</f>
        <v>120</v>
      </c>
      <c r="BO93">
        <f>IF((gamma!BO93),IF(VLOOKUP(BO$1,main!$A$3:$H$102,7,FALSE)=VLOOKUP($A93,main!$A$3:$H$102,8,FALSE),VLOOKUP(BO$1,main!$A$3:$H$102,4,FALSE),VLOOKUP(BO$1,main!$A$3:$H$102,4,FALSE)+VLOOKUP($A93,main!$A$3:$H$102,4,FALSE)+(VLOOKUP(VLOOKUP(BO$1,main!$A$3:$H$102,8,FALSE),main!$K$19:$O$22,MATCH(VLOOKUP($A93,main!$A$3:$H$102,7,FALSE),main!$K$18:$O$18,0),0))),0)</f>
        <v>0</v>
      </c>
      <c r="BP93">
        <f>IF((gamma!BP93),IF(VLOOKUP(BP$1,main!$A$3:$H$102,7,FALSE)=VLOOKUP($A93,main!$A$3:$H$102,8,FALSE),VLOOKUP(BP$1,main!$A$3:$H$102,4,FALSE),VLOOKUP(BP$1,main!$A$3:$H$102,4,FALSE)+VLOOKUP($A93,main!$A$3:$H$102,4,FALSE)+(VLOOKUP(VLOOKUP(BP$1,main!$A$3:$H$102,8,FALSE),main!$K$19:$O$22,MATCH(VLOOKUP($A93,main!$A$3:$H$102,7,FALSE),main!$K$18:$O$18,0),0))),0)</f>
        <v>0</v>
      </c>
      <c r="BQ93">
        <f>IF((gamma!BQ93),IF(VLOOKUP(BQ$1,main!$A$3:$H$102,7,FALSE)=VLOOKUP($A93,main!$A$3:$H$102,8,FALSE),VLOOKUP(BQ$1,main!$A$3:$H$102,4,FALSE),VLOOKUP(BQ$1,main!$A$3:$H$102,4,FALSE)+VLOOKUP($A93,main!$A$3:$H$102,4,FALSE)+(VLOOKUP(VLOOKUP(BQ$1,main!$A$3:$H$102,8,FALSE),main!$K$19:$O$22,MATCH(VLOOKUP($A93,main!$A$3:$H$102,7,FALSE),main!$K$18:$O$18,0),0))),0)</f>
        <v>140</v>
      </c>
      <c r="BR93">
        <f>IF((gamma!BR93),IF(VLOOKUP(BR$1,main!$A$3:$H$102,7,FALSE)=VLOOKUP($A93,main!$A$3:$H$102,8,FALSE),VLOOKUP(BR$1,main!$A$3:$H$102,4,FALSE),VLOOKUP(BR$1,main!$A$3:$H$102,4,FALSE)+VLOOKUP($A93,main!$A$3:$H$102,4,FALSE)+(VLOOKUP(VLOOKUP(BR$1,main!$A$3:$H$102,8,FALSE),main!$K$19:$O$22,MATCH(VLOOKUP($A93,main!$A$3:$H$102,7,FALSE),main!$K$18:$O$18,0),0))),0)</f>
        <v>100</v>
      </c>
      <c r="BS93">
        <f>IF((gamma!BS93),IF(VLOOKUP(BS$1,main!$A$3:$H$102,7,FALSE)=VLOOKUP($A93,main!$A$3:$H$102,8,FALSE),VLOOKUP(BS$1,main!$A$3:$H$102,4,FALSE),VLOOKUP(BS$1,main!$A$3:$H$102,4,FALSE)+VLOOKUP($A93,main!$A$3:$H$102,4,FALSE)+(VLOOKUP(VLOOKUP(BS$1,main!$A$3:$H$102,8,FALSE),main!$K$19:$O$22,MATCH(VLOOKUP($A93,main!$A$3:$H$102,7,FALSE),main!$K$18:$O$18,0),0))),0)</f>
        <v>101</v>
      </c>
      <c r="BT93">
        <f>IF((gamma!BT93),IF(VLOOKUP(BT$1,main!$A$3:$H$102,7,FALSE)=VLOOKUP($A93,main!$A$3:$H$102,8,FALSE),VLOOKUP(BT$1,main!$A$3:$H$102,4,FALSE),VLOOKUP(BT$1,main!$A$3:$H$102,4,FALSE)+VLOOKUP($A93,main!$A$3:$H$102,4,FALSE)+(VLOOKUP(VLOOKUP(BT$1,main!$A$3:$H$102,8,FALSE),main!$K$19:$O$22,MATCH(VLOOKUP($A93,main!$A$3:$H$102,7,FALSE),main!$K$18:$O$18,0),0))),0)</f>
        <v>0</v>
      </c>
      <c r="BU93">
        <f>IF((gamma!BU93),IF(VLOOKUP(BU$1,main!$A$3:$H$102,7,FALSE)=VLOOKUP($A93,main!$A$3:$H$102,8,FALSE),VLOOKUP(BU$1,main!$A$3:$H$102,4,FALSE),VLOOKUP(BU$1,main!$A$3:$H$102,4,FALSE)+VLOOKUP($A93,main!$A$3:$H$102,4,FALSE)+(VLOOKUP(VLOOKUP(BU$1,main!$A$3:$H$102,8,FALSE),main!$K$19:$O$22,MATCH(VLOOKUP($A93,main!$A$3:$H$102,7,FALSE),main!$K$18:$O$18,0),0))),0)</f>
        <v>0</v>
      </c>
      <c r="BV93">
        <f>IF((gamma!BV93),IF(VLOOKUP(BV$1,main!$A$3:$H$102,7,FALSE)=VLOOKUP($A93,main!$A$3:$H$102,8,FALSE),VLOOKUP(BV$1,main!$A$3:$H$102,4,FALSE),VLOOKUP(BV$1,main!$A$3:$H$102,4,FALSE)+VLOOKUP($A93,main!$A$3:$H$102,4,FALSE)+(VLOOKUP(VLOOKUP(BV$1,main!$A$3:$H$102,8,FALSE),main!$K$19:$O$22,MATCH(VLOOKUP($A93,main!$A$3:$H$102,7,FALSE),main!$K$18:$O$18,0),0))),0)</f>
        <v>0</v>
      </c>
      <c r="BW93">
        <f>IF((gamma!BW93),IF(VLOOKUP(BW$1,main!$A$3:$H$102,7,FALSE)=VLOOKUP($A93,main!$A$3:$H$102,8,FALSE),VLOOKUP(BW$1,main!$A$3:$H$102,4,FALSE),VLOOKUP(BW$1,main!$A$3:$H$102,4,FALSE)+VLOOKUP($A93,main!$A$3:$H$102,4,FALSE)+(VLOOKUP(VLOOKUP(BW$1,main!$A$3:$H$102,8,FALSE),main!$K$19:$O$22,MATCH(VLOOKUP($A93,main!$A$3:$H$102,7,FALSE),main!$K$18:$O$18,0),0))),0)</f>
        <v>0</v>
      </c>
      <c r="BX93">
        <f>IF((gamma!BX93),IF(VLOOKUP(BX$1,main!$A$3:$H$102,7,FALSE)=VLOOKUP($A93,main!$A$3:$H$102,8,FALSE),VLOOKUP(BX$1,main!$A$3:$H$102,4,FALSE),VLOOKUP(BX$1,main!$A$3:$H$102,4,FALSE)+VLOOKUP($A93,main!$A$3:$H$102,4,FALSE)+(VLOOKUP(VLOOKUP(BX$1,main!$A$3:$H$102,8,FALSE),main!$K$19:$O$22,MATCH(VLOOKUP($A93,main!$A$3:$H$102,7,FALSE),main!$K$18:$O$18,0),0))),0)</f>
        <v>135</v>
      </c>
      <c r="BY93">
        <f>IF((gamma!BY93),IF(VLOOKUP(BY$1,main!$A$3:$H$102,7,FALSE)=VLOOKUP($A93,main!$A$3:$H$102,8,FALSE),VLOOKUP(BY$1,main!$A$3:$H$102,4,FALSE),VLOOKUP(BY$1,main!$A$3:$H$102,4,FALSE)+VLOOKUP($A93,main!$A$3:$H$102,4,FALSE)+(VLOOKUP(VLOOKUP(BY$1,main!$A$3:$H$102,8,FALSE),main!$K$19:$O$22,MATCH(VLOOKUP($A93,main!$A$3:$H$102,7,FALSE),main!$K$18:$O$18,0),0))),0)</f>
        <v>120</v>
      </c>
      <c r="BZ93">
        <f>IF((gamma!BZ93),IF(VLOOKUP(BZ$1,main!$A$3:$H$102,7,FALSE)=VLOOKUP($A93,main!$A$3:$H$102,8,FALSE),VLOOKUP(BZ$1,main!$A$3:$H$102,4,FALSE),VLOOKUP(BZ$1,main!$A$3:$H$102,4,FALSE)+VLOOKUP($A93,main!$A$3:$H$102,4,FALSE)+(VLOOKUP(VLOOKUP(BZ$1,main!$A$3:$H$102,8,FALSE),main!$K$19:$O$22,MATCH(VLOOKUP($A93,main!$A$3:$H$102,7,FALSE),main!$K$18:$O$18,0),0))),0)</f>
        <v>0</v>
      </c>
      <c r="CA93">
        <f>IF((gamma!CA93),IF(VLOOKUP(CA$1,main!$A$3:$H$102,7,FALSE)=VLOOKUP($A93,main!$A$3:$H$102,8,FALSE),VLOOKUP(CA$1,main!$A$3:$H$102,4,FALSE),VLOOKUP(CA$1,main!$A$3:$H$102,4,FALSE)+VLOOKUP($A93,main!$A$3:$H$102,4,FALSE)+(VLOOKUP(VLOOKUP(CA$1,main!$A$3:$H$102,8,FALSE),main!$K$19:$O$22,MATCH(VLOOKUP($A93,main!$A$3:$H$102,7,FALSE),main!$K$18:$O$18,0),0))),0)</f>
        <v>0</v>
      </c>
      <c r="CB93">
        <f>IF((gamma!CB93),IF(VLOOKUP(CB$1,main!$A$3:$H$102,7,FALSE)=VLOOKUP($A93,main!$A$3:$H$102,8,FALSE),VLOOKUP(CB$1,main!$A$3:$H$102,4,FALSE),VLOOKUP(CB$1,main!$A$3:$H$102,4,FALSE)+VLOOKUP($A93,main!$A$3:$H$102,4,FALSE)+(VLOOKUP(VLOOKUP(CB$1,main!$A$3:$H$102,8,FALSE),main!$K$19:$O$22,MATCH(VLOOKUP($A93,main!$A$3:$H$102,7,FALSE),main!$K$18:$O$18,0),0))),0)</f>
        <v>65</v>
      </c>
      <c r="CC93">
        <f>IF((gamma!CC93),IF(VLOOKUP(CC$1,main!$A$3:$H$102,7,FALSE)=VLOOKUP($A93,main!$A$3:$H$102,8,FALSE),VLOOKUP(CC$1,main!$A$3:$H$102,4,FALSE),VLOOKUP(CC$1,main!$A$3:$H$102,4,FALSE)+VLOOKUP($A93,main!$A$3:$H$102,4,FALSE)+(VLOOKUP(VLOOKUP(CC$1,main!$A$3:$H$102,8,FALSE),main!$K$19:$O$22,MATCH(VLOOKUP($A93,main!$A$3:$H$102,7,FALSE),main!$K$18:$O$18,0),0))),0)</f>
        <v>55</v>
      </c>
      <c r="CD93">
        <f>IF((gamma!CD93),IF(VLOOKUP(CD$1,main!$A$3:$H$102,7,FALSE)=VLOOKUP($A93,main!$A$3:$H$102,8,FALSE),VLOOKUP(CD$1,main!$A$3:$H$102,4,FALSE),VLOOKUP(CD$1,main!$A$3:$H$102,4,FALSE)+VLOOKUP($A93,main!$A$3:$H$102,4,FALSE)+(VLOOKUP(VLOOKUP(CD$1,main!$A$3:$H$102,8,FALSE),main!$K$19:$O$22,MATCH(VLOOKUP($A93,main!$A$3:$H$102,7,FALSE),main!$K$18:$O$18,0),0))),0)</f>
        <v>114</v>
      </c>
      <c r="CE93">
        <f>IF((gamma!CE93),IF(VLOOKUP(CE$1,main!$A$3:$H$102,7,FALSE)=VLOOKUP($A93,main!$A$3:$H$102,8,FALSE),VLOOKUP(CE$1,main!$A$3:$H$102,4,FALSE),VLOOKUP(CE$1,main!$A$3:$H$102,4,FALSE)+VLOOKUP($A93,main!$A$3:$H$102,4,FALSE)+(VLOOKUP(VLOOKUP(CE$1,main!$A$3:$H$102,8,FALSE),main!$K$19:$O$22,MATCH(VLOOKUP($A93,main!$A$3:$H$102,7,FALSE),main!$K$18:$O$18,0),0))),0)</f>
        <v>0</v>
      </c>
      <c r="CF93">
        <f>IF((gamma!CF93),IF(VLOOKUP(CF$1,main!$A$3:$H$102,7,FALSE)=VLOOKUP($A93,main!$A$3:$H$102,8,FALSE),VLOOKUP(CF$1,main!$A$3:$H$102,4,FALSE),VLOOKUP(CF$1,main!$A$3:$H$102,4,FALSE)+VLOOKUP($A93,main!$A$3:$H$102,4,FALSE)+(VLOOKUP(VLOOKUP(CF$1,main!$A$3:$H$102,8,FALSE),main!$K$19:$O$22,MATCH(VLOOKUP($A93,main!$A$3:$H$102,7,FALSE),main!$K$18:$O$18,0),0))),0)</f>
        <v>0</v>
      </c>
      <c r="CG93">
        <f>IF((gamma!CG93),IF(VLOOKUP(CG$1,main!$A$3:$H$102,7,FALSE)=VLOOKUP($A93,main!$A$3:$H$102,8,FALSE),VLOOKUP(CG$1,main!$A$3:$H$102,4,FALSE),VLOOKUP(CG$1,main!$A$3:$H$102,4,FALSE)+VLOOKUP($A93,main!$A$3:$H$102,4,FALSE)+(VLOOKUP(VLOOKUP(CG$1,main!$A$3:$H$102,8,FALSE),main!$K$19:$O$22,MATCH(VLOOKUP($A93,main!$A$3:$H$102,7,FALSE),main!$K$18:$O$18,0),0))),0)</f>
        <v>315</v>
      </c>
      <c r="CH93">
        <f>IF((gamma!CH93),IF(VLOOKUP(CH$1,main!$A$3:$H$102,7,FALSE)=VLOOKUP($A93,main!$A$3:$H$102,8,FALSE),VLOOKUP(CH$1,main!$A$3:$H$102,4,FALSE),VLOOKUP(CH$1,main!$A$3:$H$102,4,FALSE)+VLOOKUP($A93,main!$A$3:$H$102,4,FALSE)+(VLOOKUP(VLOOKUP(CH$1,main!$A$3:$H$102,8,FALSE),main!$K$19:$O$22,MATCH(VLOOKUP($A93,main!$A$3:$H$102,7,FALSE),main!$K$18:$O$18,0),0))),0)</f>
        <v>315</v>
      </c>
      <c r="CI93">
        <f>IF((gamma!CI93),IF(VLOOKUP(CI$1,main!$A$3:$H$102,7,FALSE)=VLOOKUP($A93,main!$A$3:$H$102,8,FALSE),VLOOKUP(CI$1,main!$A$3:$H$102,4,FALSE),VLOOKUP(CI$1,main!$A$3:$H$102,4,FALSE)+VLOOKUP($A93,main!$A$3:$H$102,4,FALSE)+(VLOOKUP(VLOOKUP(CI$1,main!$A$3:$H$102,8,FALSE),main!$K$19:$O$22,MATCH(VLOOKUP($A93,main!$A$3:$H$102,7,FALSE),main!$K$18:$O$18,0),0))),0)</f>
        <v>315</v>
      </c>
      <c r="CJ93">
        <f>IF((gamma!CJ93),IF(VLOOKUP(CJ$1,main!$A$3:$H$102,7,FALSE)=VLOOKUP($A93,main!$A$3:$H$102,8,FALSE),VLOOKUP(CJ$1,main!$A$3:$H$102,4,FALSE),VLOOKUP(CJ$1,main!$A$3:$H$102,4,FALSE)+VLOOKUP($A93,main!$A$3:$H$102,4,FALSE)+(VLOOKUP(VLOOKUP(CJ$1,main!$A$3:$H$102,8,FALSE),main!$K$19:$O$22,MATCH(VLOOKUP($A93,main!$A$3:$H$102,7,FALSE),main!$K$18:$O$18,0),0))),0)</f>
        <v>243</v>
      </c>
      <c r="CK93">
        <f>IF((gamma!CK93),IF(VLOOKUP(CK$1,main!$A$3:$H$102,7,FALSE)=VLOOKUP($A93,main!$A$3:$H$102,8,FALSE),VLOOKUP(CK$1,main!$A$3:$H$102,4,FALSE),VLOOKUP(CK$1,main!$A$3:$H$102,4,FALSE)+VLOOKUP($A93,main!$A$3:$H$102,4,FALSE)+(VLOOKUP(VLOOKUP(CK$1,main!$A$3:$H$102,8,FALSE),main!$K$19:$O$22,MATCH(VLOOKUP($A93,main!$A$3:$H$102,7,FALSE),main!$K$18:$O$18,0),0))),0)</f>
        <v>0</v>
      </c>
      <c r="CL93">
        <f>IF((gamma!CL93),IF(VLOOKUP(CL$1,main!$A$3:$H$102,7,FALSE)=VLOOKUP($A93,main!$A$3:$H$102,8,FALSE),VLOOKUP(CL$1,main!$A$3:$H$102,4,FALSE),VLOOKUP(CL$1,main!$A$3:$H$102,4,FALSE)+VLOOKUP($A93,main!$A$3:$H$102,4,FALSE)+(VLOOKUP(VLOOKUP(CL$1,main!$A$3:$H$102,8,FALSE),main!$K$19:$O$22,MATCH(VLOOKUP($A93,main!$A$3:$H$102,7,FALSE),main!$K$18:$O$18,0),0))),0)</f>
        <v>255</v>
      </c>
      <c r="CM93">
        <f>IF((gamma!CM93),IF(VLOOKUP(CM$1,main!$A$3:$H$102,7,FALSE)=VLOOKUP($A93,main!$A$3:$H$102,8,FALSE),VLOOKUP(CM$1,main!$A$3:$H$102,4,FALSE),VLOOKUP(CM$1,main!$A$3:$H$102,4,FALSE)+VLOOKUP($A93,main!$A$3:$H$102,4,FALSE)+(VLOOKUP(VLOOKUP(CM$1,main!$A$3:$H$102,8,FALSE),main!$K$19:$O$22,MATCH(VLOOKUP($A93,main!$A$3:$H$102,7,FALSE),main!$K$18:$O$18,0),0))),0)</f>
        <v>275</v>
      </c>
      <c r="CN93">
        <f>IF((gamma!CN93),IF(VLOOKUP(CN$1,main!$A$3:$H$102,7,FALSE)=VLOOKUP($A93,main!$A$3:$H$102,8,FALSE),VLOOKUP(CN$1,main!$A$3:$H$102,4,FALSE),VLOOKUP(CN$1,main!$A$3:$H$102,4,FALSE)+VLOOKUP($A93,main!$A$3:$H$102,4,FALSE)+(VLOOKUP(VLOOKUP(CN$1,main!$A$3:$H$102,8,FALSE),main!$K$19:$O$22,MATCH(VLOOKUP($A93,main!$A$3:$H$102,7,FALSE),main!$K$18:$O$18,0),0))),0)</f>
        <v>271</v>
      </c>
      <c r="CO93">
        <f>IF((gamma!CO93),IF(VLOOKUP(CO$1,main!$A$3:$H$102,7,FALSE)=VLOOKUP($A93,main!$A$3:$H$102,8,FALSE),VLOOKUP(CO$1,main!$A$3:$H$102,4,FALSE),VLOOKUP(CO$1,main!$A$3:$H$102,4,FALSE)+VLOOKUP($A93,main!$A$3:$H$102,4,FALSE)+(VLOOKUP(VLOOKUP(CO$1,main!$A$3:$H$102,8,FALSE),main!$K$19:$O$22,MATCH(VLOOKUP($A93,main!$A$3:$H$102,7,FALSE),main!$K$18:$O$18,0),0))),0)</f>
        <v>0</v>
      </c>
      <c r="CP93">
        <f>IF((gamma!CP93),IF(VLOOKUP(CP$1,main!$A$3:$H$102,7,FALSE)=VLOOKUP($A93,main!$A$3:$H$102,8,FALSE),VLOOKUP(CP$1,main!$A$3:$H$102,4,FALSE),VLOOKUP(CP$1,main!$A$3:$H$102,4,FALSE)+VLOOKUP($A93,main!$A$3:$H$102,4,FALSE)+(VLOOKUP(VLOOKUP(CP$1,main!$A$3:$H$102,8,FALSE),main!$K$19:$O$22,MATCH(VLOOKUP($A93,main!$A$3:$H$102,7,FALSE),main!$K$18:$O$18,0),0))),0)</f>
        <v>0</v>
      </c>
      <c r="CQ93">
        <f>IF((gamma!CQ93),IF(VLOOKUP(CQ$1,main!$A$3:$H$102,7,FALSE)=VLOOKUP($A93,main!$A$3:$H$102,8,FALSE),VLOOKUP(CQ$1,main!$A$3:$H$102,4,FALSE),VLOOKUP(CQ$1,main!$A$3:$H$102,4,FALSE)+VLOOKUP($A93,main!$A$3:$H$102,4,FALSE)+(VLOOKUP(VLOOKUP(CQ$1,main!$A$3:$H$102,8,FALSE),main!$K$19:$O$22,MATCH(VLOOKUP($A93,main!$A$3:$H$102,7,FALSE),main!$K$18:$O$18,0),0))),0)</f>
        <v>0</v>
      </c>
      <c r="CR93">
        <f>IF((gamma!CR93),IF(VLOOKUP(CR$1,main!$A$3:$H$102,7,FALSE)=VLOOKUP($A93,main!$A$3:$H$102,8,FALSE),VLOOKUP(CR$1,main!$A$3:$H$102,4,FALSE),VLOOKUP(CR$1,main!$A$3:$H$102,4,FALSE)+VLOOKUP($A93,main!$A$3:$H$102,4,FALSE)+(VLOOKUP(VLOOKUP(CR$1,main!$A$3:$H$102,8,FALSE),main!$K$19:$O$22,MATCH(VLOOKUP($A93,main!$A$3:$H$102,7,FALSE),main!$K$18:$O$18,0),0))),0)</f>
        <v>308</v>
      </c>
      <c r="CS93">
        <f>IF((gamma!CS93),IF(VLOOKUP(CS$1,main!$A$3:$H$102,7,FALSE)=VLOOKUP($A93,main!$A$3:$H$102,8,FALSE),VLOOKUP(CS$1,main!$A$3:$H$102,4,FALSE),VLOOKUP(CS$1,main!$A$3:$H$102,4,FALSE)+VLOOKUP($A93,main!$A$3:$H$102,4,FALSE)+(VLOOKUP(VLOOKUP(CS$1,main!$A$3:$H$102,8,FALSE),main!$K$19:$O$22,MATCH(VLOOKUP($A93,main!$A$3:$H$102,7,FALSE),main!$K$18:$O$18,0),0))),0)</f>
        <v>308</v>
      </c>
      <c r="CT93">
        <f>IF((gamma!CT93),IF(VLOOKUP(CT$1,main!$A$3:$H$102,7,FALSE)=VLOOKUP($A93,main!$A$3:$H$102,8,FALSE),VLOOKUP(CT$1,main!$A$3:$H$102,4,FALSE),VLOOKUP(CT$1,main!$A$3:$H$102,4,FALSE)+VLOOKUP($A93,main!$A$3:$H$102,4,FALSE)+(VLOOKUP(VLOOKUP(CT$1,main!$A$3:$H$102,8,FALSE),main!$K$19:$O$22,MATCH(VLOOKUP($A93,main!$A$3:$H$102,7,FALSE),main!$K$18:$O$18,0),0))),0)</f>
        <v>0</v>
      </c>
      <c r="CU93">
        <f>IF((gamma!CU93),IF(VLOOKUP(CU$1,main!$A$3:$H$102,7,FALSE)=VLOOKUP($A93,main!$A$3:$H$102,8,FALSE),VLOOKUP(CU$1,main!$A$3:$H$102,4,FALSE),VLOOKUP(CU$1,main!$A$3:$H$102,4,FALSE)+VLOOKUP($A93,main!$A$3:$H$102,4,FALSE)+(VLOOKUP(VLOOKUP(CU$1,main!$A$3:$H$102,8,FALSE),main!$K$19:$O$22,MATCH(VLOOKUP($A93,main!$A$3:$H$102,7,FALSE),main!$K$18:$O$18,0),0))),0)</f>
        <v>0</v>
      </c>
      <c r="CV93">
        <f>IF((gamma!CV93),IF(VLOOKUP(CV$1,main!$A$3:$H$102,7,FALSE)=VLOOKUP($A93,main!$A$3:$H$102,8,FALSE),VLOOKUP(CV$1,main!$A$3:$H$102,4,FALSE),VLOOKUP(CV$1,main!$A$3:$H$102,4,FALSE)+VLOOKUP($A93,main!$A$3:$H$102,4,FALSE)+(VLOOKUP(VLOOKUP(CV$1,main!$A$3:$H$102,8,FALSE),main!$K$19:$O$22,MATCH(VLOOKUP($A93,main!$A$3:$H$102,7,FALSE),main!$K$18:$O$18,0),0))),0)</f>
        <v>0</v>
      </c>
      <c r="CW93">
        <f>IF((gamma!CW93),IF(VLOOKUP(CW$1,main!$A$3:$H$102,7,FALSE)=VLOOKUP($A93,main!$A$3:$H$102,8,FALSE),VLOOKUP(CW$1,main!$A$3:$H$102,4,FALSE),VLOOKUP(CW$1,main!$A$3:$H$102,4,FALSE)+VLOOKUP($A93,main!$A$3:$H$102,4,FALSE)+(VLOOKUP(VLOOKUP(CW$1,main!$A$3:$H$102,8,FALSE),main!$K$19:$O$22,MATCH(VLOOKUP($A93,main!$A$3:$H$102,7,FALSE),main!$K$18:$O$18,0),0))),0)</f>
        <v>268</v>
      </c>
      <c r="CX93">
        <f>IF((gamma!CX93),IF(VLOOKUP(CX$1,main!$A$3:$H$102,7,FALSE)=VLOOKUP($A93,main!$A$3:$H$102,8,FALSE),VLOOKUP(CX$1,main!$A$3:$H$102,4,FALSE),VLOOKUP(CX$1,main!$A$3:$H$102,4,FALSE)+VLOOKUP($A93,main!$A$3:$H$102,4,FALSE)+(VLOOKUP(VLOOKUP(CX$1,main!$A$3:$H$102,8,FALSE),main!$K$19:$O$22,MATCH(VLOOKUP($A93,main!$A$3:$H$102,7,FALSE),main!$K$18:$O$18,0),0))),0)</f>
        <v>258</v>
      </c>
      <c r="CY93">
        <v>0</v>
      </c>
      <c r="CZ93">
        <v>0</v>
      </c>
      <c r="DA93">
        <v>0</v>
      </c>
    </row>
    <row r="94" spans="1:105" x14ac:dyDescent="0.25">
      <c r="A94" s="1">
        <v>92</v>
      </c>
      <c r="B94">
        <v>0</v>
      </c>
      <c r="C94">
        <f>IF((gamma!C94),IF(VLOOKUP(C$1,main!$A$3:$H$102,7,FALSE)=VLOOKUP($A94,main!$A$3:$H$102,8,FALSE),VLOOKUP(C$1,main!$A$3:$H$102,4,FALSE),VLOOKUP(C$1,main!$A$3:$H$102,4,FALSE)+VLOOKUP($A94,main!$A$3:$H$102,4,FALSE)+(VLOOKUP(VLOOKUP(C$1,main!$A$3:$H$102,8,FALSE),main!$K$19:$O$22,MATCH(VLOOKUP($A94,main!$A$3:$H$102,7,FALSE),main!$K$18:$O$18,0),0))),0)</f>
        <v>0</v>
      </c>
      <c r="D94">
        <f>IF((gamma!D94),IF(VLOOKUP(D$1,main!$A$3:$H$102,7,FALSE)=VLOOKUP($A94,main!$A$3:$H$102,8,FALSE),VLOOKUP(D$1,main!$A$3:$H$102,4,FALSE),VLOOKUP(D$1,main!$A$3:$H$102,4,FALSE)+VLOOKUP($A94,main!$A$3:$H$102,4,FALSE)+(VLOOKUP(VLOOKUP(D$1,main!$A$3:$H$102,8,FALSE),main!$K$19:$O$22,MATCH(VLOOKUP($A94,main!$A$3:$H$102,7,FALSE),main!$K$18:$O$18,0),0))),0)</f>
        <v>0</v>
      </c>
      <c r="E94">
        <f>IF((gamma!E94),IF(VLOOKUP(E$1,main!$A$3:$H$102,7,FALSE)=VLOOKUP($A94,main!$A$3:$H$102,8,FALSE),VLOOKUP(E$1,main!$A$3:$H$102,4,FALSE),VLOOKUP(E$1,main!$A$3:$H$102,4,FALSE)+VLOOKUP($A94,main!$A$3:$H$102,4,FALSE)+(VLOOKUP(VLOOKUP(E$1,main!$A$3:$H$102,8,FALSE),main!$K$19:$O$22,MATCH(VLOOKUP($A94,main!$A$3:$H$102,7,FALSE),main!$K$18:$O$18,0),0))),0)</f>
        <v>0</v>
      </c>
      <c r="F94">
        <f>IF((gamma!F94),IF(VLOOKUP(F$1,main!$A$3:$H$102,7,FALSE)=VLOOKUP($A94,main!$A$3:$H$102,8,FALSE),VLOOKUP(F$1,main!$A$3:$H$102,4,FALSE),VLOOKUP(F$1,main!$A$3:$H$102,4,FALSE)+VLOOKUP($A94,main!$A$3:$H$102,4,FALSE)+(VLOOKUP(VLOOKUP(F$1,main!$A$3:$H$102,8,FALSE),main!$K$19:$O$22,MATCH(VLOOKUP($A94,main!$A$3:$H$102,7,FALSE),main!$K$18:$O$18,0),0))),0)</f>
        <v>0</v>
      </c>
      <c r="G94">
        <f>IF((gamma!G94),IF(VLOOKUP(G$1,main!$A$3:$H$102,7,FALSE)=VLOOKUP($A94,main!$A$3:$H$102,8,FALSE),VLOOKUP(G$1,main!$A$3:$H$102,4,FALSE),VLOOKUP(G$1,main!$A$3:$H$102,4,FALSE)+VLOOKUP($A94,main!$A$3:$H$102,4,FALSE)+(VLOOKUP(VLOOKUP(G$1,main!$A$3:$H$102,8,FALSE),main!$K$19:$O$22,MATCH(VLOOKUP($A94,main!$A$3:$H$102,7,FALSE),main!$K$18:$O$18,0),0))),0)</f>
        <v>0</v>
      </c>
      <c r="H94">
        <f>IF((gamma!H94),IF(VLOOKUP(H$1,main!$A$3:$H$102,7,FALSE)=VLOOKUP($A94,main!$A$3:$H$102,8,FALSE),VLOOKUP(H$1,main!$A$3:$H$102,4,FALSE),VLOOKUP(H$1,main!$A$3:$H$102,4,FALSE)+VLOOKUP($A94,main!$A$3:$H$102,4,FALSE)+(VLOOKUP(VLOOKUP(H$1,main!$A$3:$H$102,8,FALSE),main!$K$19:$O$22,MATCH(VLOOKUP($A94,main!$A$3:$H$102,7,FALSE),main!$K$18:$O$18,0),0))),0)</f>
        <v>0</v>
      </c>
      <c r="I94">
        <f>IF((gamma!I94),IF(VLOOKUP(I$1,main!$A$3:$H$102,7,FALSE)=VLOOKUP($A94,main!$A$3:$H$102,8,FALSE),VLOOKUP(I$1,main!$A$3:$H$102,4,FALSE),VLOOKUP(I$1,main!$A$3:$H$102,4,FALSE)+VLOOKUP($A94,main!$A$3:$H$102,4,FALSE)+(VLOOKUP(VLOOKUP(I$1,main!$A$3:$H$102,8,FALSE),main!$K$19:$O$22,MATCH(VLOOKUP($A94,main!$A$3:$H$102,7,FALSE),main!$K$18:$O$18,0),0))),0)</f>
        <v>295</v>
      </c>
      <c r="J94">
        <f>IF((gamma!J94),IF(VLOOKUP(J$1,main!$A$3:$H$102,7,FALSE)=VLOOKUP($A94,main!$A$3:$H$102,8,FALSE),VLOOKUP(J$1,main!$A$3:$H$102,4,FALSE),VLOOKUP(J$1,main!$A$3:$H$102,4,FALSE)+VLOOKUP($A94,main!$A$3:$H$102,4,FALSE)+(VLOOKUP(VLOOKUP(J$1,main!$A$3:$H$102,8,FALSE),main!$K$19:$O$22,MATCH(VLOOKUP($A94,main!$A$3:$H$102,7,FALSE),main!$K$18:$O$18,0),0))),0)</f>
        <v>295</v>
      </c>
      <c r="K94">
        <f>IF((gamma!K94),IF(VLOOKUP(K$1,main!$A$3:$H$102,7,FALSE)=VLOOKUP($A94,main!$A$3:$H$102,8,FALSE),VLOOKUP(K$1,main!$A$3:$H$102,4,FALSE),VLOOKUP(K$1,main!$A$3:$H$102,4,FALSE)+VLOOKUP($A94,main!$A$3:$H$102,4,FALSE)+(VLOOKUP(VLOOKUP(K$1,main!$A$3:$H$102,8,FALSE),main!$K$19:$O$22,MATCH(VLOOKUP($A94,main!$A$3:$H$102,7,FALSE),main!$K$18:$O$18,0),0))),0)</f>
        <v>295</v>
      </c>
      <c r="L94">
        <f>IF((gamma!L94),IF(VLOOKUP(L$1,main!$A$3:$H$102,7,FALSE)=VLOOKUP($A94,main!$A$3:$H$102,8,FALSE),VLOOKUP(L$1,main!$A$3:$H$102,4,FALSE),VLOOKUP(L$1,main!$A$3:$H$102,4,FALSE)+VLOOKUP($A94,main!$A$3:$H$102,4,FALSE)+(VLOOKUP(VLOOKUP(L$1,main!$A$3:$H$102,8,FALSE),main!$K$19:$O$22,MATCH(VLOOKUP($A94,main!$A$3:$H$102,7,FALSE),main!$K$18:$O$18,0),0))),0)</f>
        <v>295</v>
      </c>
      <c r="M94">
        <f>IF((gamma!M94),IF(VLOOKUP(M$1,main!$A$3:$H$102,7,FALSE)=VLOOKUP($A94,main!$A$3:$H$102,8,FALSE),VLOOKUP(M$1,main!$A$3:$H$102,4,FALSE),VLOOKUP(M$1,main!$A$3:$H$102,4,FALSE)+VLOOKUP($A94,main!$A$3:$H$102,4,FALSE)+(VLOOKUP(VLOOKUP(M$1,main!$A$3:$H$102,8,FALSE),main!$K$19:$O$22,MATCH(VLOOKUP($A94,main!$A$3:$H$102,7,FALSE),main!$K$18:$O$18,0),0))),0)</f>
        <v>0</v>
      </c>
      <c r="N94">
        <f>IF((gamma!N94),IF(VLOOKUP(N$1,main!$A$3:$H$102,7,FALSE)=VLOOKUP($A94,main!$A$3:$H$102,8,FALSE),VLOOKUP(N$1,main!$A$3:$H$102,4,FALSE),VLOOKUP(N$1,main!$A$3:$H$102,4,FALSE)+VLOOKUP($A94,main!$A$3:$H$102,4,FALSE)+(VLOOKUP(VLOOKUP(N$1,main!$A$3:$H$102,8,FALSE),main!$K$19:$O$22,MATCH(VLOOKUP($A94,main!$A$3:$H$102,7,FALSE),main!$K$18:$O$18,0),0))),0)</f>
        <v>0</v>
      </c>
      <c r="O94">
        <f>IF((gamma!O94),IF(VLOOKUP(O$1,main!$A$3:$H$102,7,FALSE)=VLOOKUP($A94,main!$A$3:$H$102,8,FALSE),VLOOKUP(O$1,main!$A$3:$H$102,4,FALSE),VLOOKUP(O$1,main!$A$3:$H$102,4,FALSE)+VLOOKUP($A94,main!$A$3:$H$102,4,FALSE)+(VLOOKUP(VLOOKUP(O$1,main!$A$3:$H$102,8,FALSE),main!$K$19:$O$22,MATCH(VLOOKUP($A94,main!$A$3:$H$102,7,FALSE),main!$K$18:$O$18,0),0))),0)</f>
        <v>0</v>
      </c>
      <c r="P94">
        <f>IF((gamma!P94),IF(VLOOKUP(P$1,main!$A$3:$H$102,7,FALSE)=VLOOKUP($A94,main!$A$3:$H$102,8,FALSE),VLOOKUP(P$1,main!$A$3:$H$102,4,FALSE),VLOOKUP(P$1,main!$A$3:$H$102,4,FALSE)+VLOOKUP($A94,main!$A$3:$H$102,4,FALSE)+(VLOOKUP(VLOOKUP(P$1,main!$A$3:$H$102,8,FALSE),main!$K$19:$O$22,MATCH(VLOOKUP($A94,main!$A$3:$H$102,7,FALSE),main!$K$18:$O$18,0),0))),0)</f>
        <v>0</v>
      </c>
      <c r="Q94">
        <f>IF((gamma!Q94),IF(VLOOKUP(Q$1,main!$A$3:$H$102,7,FALSE)=VLOOKUP($A94,main!$A$3:$H$102,8,FALSE),VLOOKUP(Q$1,main!$A$3:$H$102,4,FALSE),VLOOKUP(Q$1,main!$A$3:$H$102,4,FALSE)+VLOOKUP($A94,main!$A$3:$H$102,4,FALSE)+(VLOOKUP(VLOOKUP(Q$1,main!$A$3:$H$102,8,FALSE),main!$K$19:$O$22,MATCH(VLOOKUP($A94,main!$A$3:$H$102,7,FALSE),main!$K$18:$O$18,0),0))),0)</f>
        <v>0</v>
      </c>
      <c r="R94">
        <f>IF((gamma!R94),IF(VLOOKUP(R$1,main!$A$3:$H$102,7,FALSE)=VLOOKUP($A94,main!$A$3:$H$102,8,FALSE),VLOOKUP(R$1,main!$A$3:$H$102,4,FALSE),VLOOKUP(R$1,main!$A$3:$H$102,4,FALSE)+VLOOKUP($A94,main!$A$3:$H$102,4,FALSE)+(VLOOKUP(VLOOKUP(R$1,main!$A$3:$H$102,8,FALSE),main!$K$19:$O$22,MATCH(VLOOKUP($A94,main!$A$3:$H$102,7,FALSE),main!$K$18:$O$18,0),0))),0)</f>
        <v>0</v>
      </c>
      <c r="S94">
        <f>IF((gamma!S94),IF(VLOOKUP(S$1,main!$A$3:$H$102,7,FALSE)=VLOOKUP($A94,main!$A$3:$H$102,8,FALSE),VLOOKUP(S$1,main!$A$3:$H$102,4,FALSE),VLOOKUP(S$1,main!$A$3:$H$102,4,FALSE)+VLOOKUP($A94,main!$A$3:$H$102,4,FALSE)+(VLOOKUP(VLOOKUP(S$1,main!$A$3:$H$102,8,FALSE),main!$K$19:$O$22,MATCH(VLOOKUP($A94,main!$A$3:$H$102,7,FALSE),main!$K$18:$O$18,0),0))),0)</f>
        <v>0</v>
      </c>
      <c r="T94">
        <f>IF((gamma!T94),IF(VLOOKUP(T$1,main!$A$3:$H$102,7,FALSE)=VLOOKUP($A94,main!$A$3:$H$102,8,FALSE),VLOOKUP(T$1,main!$A$3:$H$102,4,FALSE),VLOOKUP(T$1,main!$A$3:$H$102,4,FALSE)+VLOOKUP($A94,main!$A$3:$H$102,4,FALSE)+(VLOOKUP(VLOOKUP(T$1,main!$A$3:$H$102,8,FALSE),main!$K$19:$O$22,MATCH(VLOOKUP($A94,main!$A$3:$H$102,7,FALSE),main!$K$18:$O$18,0),0))),0)</f>
        <v>293</v>
      </c>
      <c r="U94">
        <f>IF((gamma!U94),IF(VLOOKUP(U$1,main!$A$3:$H$102,7,FALSE)=VLOOKUP($A94,main!$A$3:$H$102,8,FALSE),VLOOKUP(U$1,main!$A$3:$H$102,4,FALSE),VLOOKUP(U$1,main!$A$3:$H$102,4,FALSE)+VLOOKUP($A94,main!$A$3:$H$102,4,FALSE)+(VLOOKUP(VLOOKUP(U$1,main!$A$3:$H$102,8,FALSE),main!$K$19:$O$22,MATCH(VLOOKUP($A94,main!$A$3:$H$102,7,FALSE),main!$K$18:$O$18,0),0))),0)</f>
        <v>293</v>
      </c>
      <c r="V94">
        <f>IF((gamma!V94),IF(VLOOKUP(V$1,main!$A$3:$H$102,7,FALSE)=VLOOKUP($A94,main!$A$3:$H$102,8,FALSE),VLOOKUP(V$1,main!$A$3:$H$102,4,FALSE),VLOOKUP(V$1,main!$A$3:$H$102,4,FALSE)+VLOOKUP($A94,main!$A$3:$H$102,4,FALSE)+(VLOOKUP(VLOOKUP(V$1,main!$A$3:$H$102,8,FALSE),main!$K$19:$O$22,MATCH(VLOOKUP($A94,main!$A$3:$H$102,7,FALSE),main!$K$18:$O$18,0),0))),0)</f>
        <v>293</v>
      </c>
      <c r="W94">
        <f>IF((gamma!W94),IF(VLOOKUP(W$1,main!$A$3:$H$102,7,FALSE)=VLOOKUP($A94,main!$A$3:$H$102,8,FALSE),VLOOKUP(W$1,main!$A$3:$H$102,4,FALSE),VLOOKUP(W$1,main!$A$3:$H$102,4,FALSE)+VLOOKUP($A94,main!$A$3:$H$102,4,FALSE)+(VLOOKUP(VLOOKUP(W$1,main!$A$3:$H$102,8,FALSE),main!$K$19:$O$22,MATCH(VLOOKUP($A94,main!$A$3:$H$102,7,FALSE),main!$K$18:$O$18,0),0))),0)</f>
        <v>0</v>
      </c>
      <c r="X94">
        <f>IF((gamma!X94),IF(VLOOKUP(X$1,main!$A$3:$H$102,7,FALSE)=VLOOKUP($A94,main!$A$3:$H$102,8,FALSE),VLOOKUP(X$1,main!$A$3:$H$102,4,FALSE),VLOOKUP(X$1,main!$A$3:$H$102,4,FALSE)+VLOOKUP($A94,main!$A$3:$H$102,4,FALSE)+(VLOOKUP(VLOOKUP(X$1,main!$A$3:$H$102,8,FALSE),main!$K$19:$O$22,MATCH(VLOOKUP($A94,main!$A$3:$H$102,7,FALSE),main!$K$18:$O$18,0),0))),0)</f>
        <v>0</v>
      </c>
      <c r="Y94">
        <f>IF((gamma!Y94),IF(VLOOKUP(Y$1,main!$A$3:$H$102,7,FALSE)=VLOOKUP($A94,main!$A$3:$H$102,8,FALSE),VLOOKUP(Y$1,main!$A$3:$H$102,4,FALSE),VLOOKUP(Y$1,main!$A$3:$H$102,4,FALSE)+VLOOKUP($A94,main!$A$3:$H$102,4,FALSE)+(VLOOKUP(VLOOKUP(Y$1,main!$A$3:$H$102,8,FALSE),main!$K$19:$O$22,MATCH(VLOOKUP($A94,main!$A$3:$H$102,7,FALSE),main!$K$18:$O$18,0),0))),0)</f>
        <v>0</v>
      </c>
      <c r="Z94">
        <f>IF((gamma!Z94),IF(VLOOKUP(Z$1,main!$A$3:$H$102,7,FALSE)=VLOOKUP($A94,main!$A$3:$H$102,8,FALSE),VLOOKUP(Z$1,main!$A$3:$H$102,4,FALSE),VLOOKUP(Z$1,main!$A$3:$H$102,4,FALSE)+VLOOKUP($A94,main!$A$3:$H$102,4,FALSE)+(VLOOKUP(VLOOKUP(Z$1,main!$A$3:$H$102,8,FALSE),main!$K$19:$O$22,MATCH(VLOOKUP($A94,main!$A$3:$H$102,7,FALSE),main!$K$18:$O$18,0),0))),0)</f>
        <v>260</v>
      </c>
      <c r="AA94">
        <f>IF((gamma!AA94),IF(VLOOKUP(AA$1,main!$A$3:$H$102,7,FALSE)=VLOOKUP($A94,main!$A$3:$H$102,8,FALSE),VLOOKUP(AA$1,main!$A$3:$H$102,4,FALSE),VLOOKUP(AA$1,main!$A$3:$H$102,4,FALSE)+VLOOKUP($A94,main!$A$3:$H$102,4,FALSE)+(VLOOKUP(VLOOKUP(AA$1,main!$A$3:$H$102,8,FALSE),main!$K$19:$O$22,MATCH(VLOOKUP($A94,main!$A$3:$H$102,7,FALSE),main!$K$18:$O$18,0),0))),0)</f>
        <v>260</v>
      </c>
      <c r="AB94">
        <f>IF((gamma!AB94),IF(VLOOKUP(AB$1,main!$A$3:$H$102,7,FALSE)=VLOOKUP($A94,main!$A$3:$H$102,8,FALSE),VLOOKUP(AB$1,main!$A$3:$H$102,4,FALSE),VLOOKUP(AB$1,main!$A$3:$H$102,4,FALSE)+VLOOKUP($A94,main!$A$3:$H$102,4,FALSE)+(VLOOKUP(VLOOKUP(AB$1,main!$A$3:$H$102,8,FALSE),main!$K$19:$O$22,MATCH(VLOOKUP($A94,main!$A$3:$H$102,7,FALSE),main!$K$18:$O$18,0),0))),0)</f>
        <v>0</v>
      </c>
      <c r="AC94">
        <f>IF((gamma!AC94),IF(VLOOKUP(AC$1,main!$A$3:$H$102,7,FALSE)=VLOOKUP($A94,main!$A$3:$H$102,8,FALSE),VLOOKUP(AC$1,main!$A$3:$H$102,4,FALSE),VLOOKUP(AC$1,main!$A$3:$H$102,4,FALSE)+VLOOKUP($A94,main!$A$3:$H$102,4,FALSE)+(VLOOKUP(VLOOKUP(AC$1,main!$A$3:$H$102,8,FALSE),main!$K$19:$O$22,MATCH(VLOOKUP($A94,main!$A$3:$H$102,7,FALSE),main!$K$18:$O$18,0),0))),0)</f>
        <v>0</v>
      </c>
      <c r="AD94">
        <f>IF((gamma!AD94),IF(VLOOKUP(AD$1,main!$A$3:$H$102,7,FALSE)=VLOOKUP($A94,main!$A$3:$H$102,8,FALSE),VLOOKUP(AD$1,main!$A$3:$H$102,4,FALSE),VLOOKUP(AD$1,main!$A$3:$H$102,4,FALSE)+VLOOKUP($A94,main!$A$3:$H$102,4,FALSE)+(VLOOKUP(VLOOKUP(AD$1,main!$A$3:$H$102,8,FALSE),main!$K$19:$O$22,MATCH(VLOOKUP($A94,main!$A$3:$H$102,7,FALSE),main!$K$18:$O$18,0),0))),0)</f>
        <v>0</v>
      </c>
      <c r="AE94">
        <f>IF((gamma!AE94),IF(VLOOKUP(AE$1,main!$A$3:$H$102,7,FALSE)=VLOOKUP($A94,main!$A$3:$H$102,8,FALSE),VLOOKUP(AE$1,main!$A$3:$H$102,4,FALSE),VLOOKUP(AE$1,main!$A$3:$H$102,4,FALSE)+VLOOKUP($A94,main!$A$3:$H$102,4,FALSE)+(VLOOKUP(VLOOKUP(AE$1,main!$A$3:$H$102,8,FALSE),main!$K$19:$O$22,MATCH(VLOOKUP($A94,main!$A$3:$H$102,7,FALSE),main!$K$18:$O$18,0),0))),0)</f>
        <v>260</v>
      </c>
      <c r="AF94">
        <f>IF((gamma!AF94),IF(VLOOKUP(AF$1,main!$A$3:$H$102,7,FALSE)=VLOOKUP($A94,main!$A$3:$H$102,8,FALSE),VLOOKUP(AF$1,main!$A$3:$H$102,4,FALSE),VLOOKUP(AF$1,main!$A$3:$H$102,4,FALSE)+VLOOKUP($A94,main!$A$3:$H$102,4,FALSE)+(VLOOKUP(VLOOKUP(AF$1,main!$A$3:$H$102,8,FALSE),main!$K$19:$O$22,MATCH(VLOOKUP($A94,main!$A$3:$H$102,7,FALSE),main!$K$18:$O$18,0),0))),0)</f>
        <v>220</v>
      </c>
      <c r="AG94">
        <f>IF((gamma!AG94),IF(VLOOKUP(AG$1,main!$A$3:$H$102,7,FALSE)=VLOOKUP($A94,main!$A$3:$H$102,8,FALSE),VLOOKUP(AG$1,main!$A$3:$H$102,4,FALSE),VLOOKUP(AG$1,main!$A$3:$H$102,4,FALSE)+VLOOKUP($A94,main!$A$3:$H$102,4,FALSE)+(VLOOKUP(VLOOKUP(AG$1,main!$A$3:$H$102,8,FALSE),main!$K$19:$O$22,MATCH(VLOOKUP($A94,main!$A$3:$H$102,7,FALSE),main!$K$18:$O$18,0),0))),0)</f>
        <v>0</v>
      </c>
      <c r="AH94">
        <f>IF((gamma!AH94),IF(VLOOKUP(AH$1,main!$A$3:$H$102,7,FALSE)=VLOOKUP($A94,main!$A$3:$H$102,8,FALSE),VLOOKUP(AH$1,main!$A$3:$H$102,4,FALSE),VLOOKUP(AH$1,main!$A$3:$H$102,4,FALSE)+VLOOKUP($A94,main!$A$3:$H$102,4,FALSE)+(VLOOKUP(VLOOKUP(AH$1,main!$A$3:$H$102,8,FALSE),main!$K$19:$O$22,MATCH(VLOOKUP($A94,main!$A$3:$H$102,7,FALSE),main!$K$18:$O$18,0),0))),0)</f>
        <v>0</v>
      </c>
      <c r="AI94">
        <f>IF((gamma!AI94),IF(VLOOKUP(AI$1,main!$A$3:$H$102,7,FALSE)=VLOOKUP($A94,main!$A$3:$H$102,8,FALSE),VLOOKUP(AI$1,main!$A$3:$H$102,4,FALSE),VLOOKUP(AI$1,main!$A$3:$H$102,4,FALSE)+VLOOKUP($A94,main!$A$3:$H$102,4,FALSE)+(VLOOKUP(VLOOKUP(AI$1,main!$A$3:$H$102,8,FALSE),main!$K$19:$O$22,MATCH(VLOOKUP($A94,main!$A$3:$H$102,7,FALSE),main!$K$18:$O$18,0),0))),0)</f>
        <v>0</v>
      </c>
      <c r="AJ94">
        <f>IF((gamma!AJ94),IF(VLOOKUP(AJ$1,main!$A$3:$H$102,7,FALSE)=VLOOKUP($A94,main!$A$3:$H$102,8,FALSE),VLOOKUP(AJ$1,main!$A$3:$H$102,4,FALSE),VLOOKUP(AJ$1,main!$A$3:$H$102,4,FALSE)+VLOOKUP($A94,main!$A$3:$H$102,4,FALSE)+(VLOOKUP(VLOOKUP(AJ$1,main!$A$3:$H$102,8,FALSE),main!$K$19:$O$22,MATCH(VLOOKUP($A94,main!$A$3:$H$102,7,FALSE),main!$K$18:$O$18,0),0))),0)</f>
        <v>0</v>
      </c>
      <c r="AK94">
        <f>IF((gamma!AK94),IF(VLOOKUP(AK$1,main!$A$3:$H$102,7,FALSE)=VLOOKUP($A94,main!$A$3:$H$102,8,FALSE),VLOOKUP(AK$1,main!$A$3:$H$102,4,FALSE),VLOOKUP(AK$1,main!$A$3:$H$102,4,FALSE)+VLOOKUP($A94,main!$A$3:$H$102,4,FALSE)+(VLOOKUP(VLOOKUP(AK$1,main!$A$3:$H$102,8,FALSE),main!$K$19:$O$22,MATCH(VLOOKUP($A94,main!$A$3:$H$102,7,FALSE),main!$K$18:$O$18,0),0))),0)</f>
        <v>0</v>
      </c>
      <c r="AL94">
        <f>IF((gamma!AL94),IF(VLOOKUP(AL$1,main!$A$3:$H$102,7,FALSE)=VLOOKUP($A94,main!$A$3:$H$102,8,FALSE),VLOOKUP(AL$1,main!$A$3:$H$102,4,FALSE),VLOOKUP(AL$1,main!$A$3:$H$102,4,FALSE)+VLOOKUP($A94,main!$A$3:$H$102,4,FALSE)+(VLOOKUP(VLOOKUP(AL$1,main!$A$3:$H$102,8,FALSE),main!$K$19:$O$22,MATCH(VLOOKUP($A94,main!$A$3:$H$102,7,FALSE),main!$K$18:$O$18,0),0))),0)</f>
        <v>290</v>
      </c>
      <c r="AM94">
        <f>IF((gamma!AM94),IF(VLOOKUP(AM$1,main!$A$3:$H$102,7,FALSE)=VLOOKUP($A94,main!$A$3:$H$102,8,FALSE),VLOOKUP(AM$1,main!$A$3:$H$102,4,FALSE),VLOOKUP(AM$1,main!$A$3:$H$102,4,FALSE)+VLOOKUP($A94,main!$A$3:$H$102,4,FALSE)+(VLOOKUP(VLOOKUP(AM$1,main!$A$3:$H$102,8,FALSE),main!$K$19:$O$22,MATCH(VLOOKUP($A94,main!$A$3:$H$102,7,FALSE),main!$K$18:$O$18,0),0))),0)</f>
        <v>290</v>
      </c>
      <c r="AN94">
        <f>IF((gamma!AN94),IF(VLOOKUP(AN$1,main!$A$3:$H$102,7,FALSE)=VLOOKUP($A94,main!$A$3:$H$102,8,FALSE),VLOOKUP(AN$1,main!$A$3:$H$102,4,FALSE),VLOOKUP(AN$1,main!$A$3:$H$102,4,FALSE)+VLOOKUP($A94,main!$A$3:$H$102,4,FALSE)+(VLOOKUP(VLOOKUP(AN$1,main!$A$3:$H$102,8,FALSE),main!$K$19:$O$22,MATCH(VLOOKUP($A94,main!$A$3:$H$102,7,FALSE),main!$K$18:$O$18,0),0))),0)</f>
        <v>290</v>
      </c>
      <c r="AO94">
        <f>IF((gamma!AO94),IF(VLOOKUP(AO$1,main!$A$3:$H$102,7,FALSE)=VLOOKUP($A94,main!$A$3:$H$102,8,FALSE),VLOOKUP(AO$1,main!$A$3:$H$102,4,FALSE),VLOOKUP(AO$1,main!$A$3:$H$102,4,FALSE)+VLOOKUP($A94,main!$A$3:$H$102,4,FALSE)+(VLOOKUP(VLOOKUP(AO$1,main!$A$3:$H$102,8,FALSE),main!$K$19:$O$22,MATCH(VLOOKUP($A94,main!$A$3:$H$102,7,FALSE),main!$K$18:$O$18,0),0))),0)</f>
        <v>0</v>
      </c>
      <c r="AP94">
        <f>IF((gamma!AP94),IF(VLOOKUP(AP$1,main!$A$3:$H$102,7,FALSE)=VLOOKUP($A94,main!$A$3:$H$102,8,FALSE),VLOOKUP(AP$1,main!$A$3:$H$102,4,FALSE),VLOOKUP(AP$1,main!$A$3:$H$102,4,FALSE)+VLOOKUP($A94,main!$A$3:$H$102,4,FALSE)+(VLOOKUP(VLOOKUP(AP$1,main!$A$3:$H$102,8,FALSE),main!$K$19:$O$22,MATCH(VLOOKUP($A94,main!$A$3:$H$102,7,FALSE),main!$K$18:$O$18,0),0))),0)</f>
        <v>230</v>
      </c>
      <c r="AQ94">
        <f>IF((gamma!AQ94),IF(VLOOKUP(AQ$1,main!$A$3:$H$102,7,FALSE)=VLOOKUP($A94,main!$A$3:$H$102,8,FALSE),VLOOKUP(AQ$1,main!$A$3:$H$102,4,FALSE),VLOOKUP(AQ$1,main!$A$3:$H$102,4,FALSE)+VLOOKUP($A94,main!$A$3:$H$102,4,FALSE)+(VLOOKUP(VLOOKUP(AQ$1,main!$A$3:$H$102,8,FALSE),main!$K$19:$O$22,MATCH(VLOOKUP($A94,main!$A$3:$H$102,7,FALSE),main!$K$18:$O$18,0),0))),0)</f>
        <v>0</v>
      </c>
      <c r="AR94">
        <f>IF((gamma!AR94),IF(VLOOKUP(AR$1,main!$A$3:$H$102,7,FALSE)=VLOOKUP($A94,main!$A$3:$H$102,8,FALSE),VLOOKUP(AR$1,main!$A$3:$H$102,4,FALSE),VLOOKUP(AR$1,main!$A$3:$H$102,4,FALSE)+VLOOKUP($A94,main!$A$3:$H$102,4,FALSE)+(VLOOKUP(VLOOKUP(AR$1,main!$A$3:$H$102,8,FALSE),main!$K$19:$O$22,MATCH(VLOOKUP($A94,main!$A$3:$H$102,7,FALSE),main!$K$18:$O$18,0),0))),0)</f>
        <v>0</v>
      </c>
      <c r="AS94">
        <f>IF((gamma!AS94),IF(VLOOKUP(AS$1,main!$A$3:$H$102,7,FALSE)=VLOOKUP($A94,main!$A$3:$H$102,8,FALSE),VLOOKUP(AS$1,main!$A$3:$H$102,4,FALSE),VLOOKUP(AS$1,main!$A$3:$H$102,4,FALSE)+VLOOKUP($A94,main!$A$3:$H$102,4,FALSE)+(VLOOKUP(VLOOKUP(AS$1,main!$A$3:$H$102,8,FALSE),main!$K$19:$O$22,MATCH(VLOOKUP($A94,main!$A$3:$H$102,7,FALSE),main!$K$18:$O$18,0),0))),0)</f>
        <v>0</v>
      </c>
      <c r="AT94">
        <f>IF((gamma!AT94),IF(VLOOKUP(AT$1,main!$A$3:$H$102,7,FALSE)=VLOOKUP($A94,main!$A$3:$H$102,8,FALSE),VLOOKUP(AT$1,main!$A$3:$H$102,4,FALSE),VLOOKUP(AT$1,main!$A$3:$H$102,4,FALSE)+VLOOKUP($A94,main!$A$3:$H$102,4,FALSE)+(VLOOKUP(VLOOKUP(AT$1,main!$A$3:$H$102,8,FALSE),main!$K$19:$O$22,MATCH(VLOOKUP($A94,main!$A$3:$H$102,7,FALSE),main!$K$18:$O$18,0),0))),0)</f>
        <v>283</v>
      </c>
      <c r="AU94">
        <f>IF((gamma!AU94),IF(VLOOKUP(AU$1,main!$A$3:$H$102,7,FALSE)=VLOOKUP($A94,main!$A$3:$H$102,8,FALSE),VLOOKUP(AU$1,main!$A$3:$H$102,4,FALSE),VLOOKUP(AU$1,main!$A$3:$H$102,4,FALSE)+VLOOKUP($A94,main!$A$3:$H$102,4,FALSE)+(VLOOKUP(VLOOKUP(AU$1,main!$A$3:$H$102,8,FALSE),main!$K$19:$O$22,MATCH(VLOOKUP($A94,main!$A$3:$H$102,7,FALSE),main!$K$18:$O$18,0),0))),0)</f>
        <v>0</v>
      </c>
      <c r="AV94">
        <f>IF((gamma!AV94),IF(VLOOKUP(AV$1,main!$A$3:$H$102,7,FALSE)=VLOOKUP($A94,main!$A$3:$H$102,8,FALSE),VLOOKUP(AV$1,main!$A$3:$H$102,4,FALSE),VLOOKUP(AV$1,main!$A$3:$H$102,4,FALSE)+VLOOKUP($A94,main!$A$3:$H$102,4,FALSE)+(VLOOKUP(VLOOKUP(AV$1,main!$A$3:$H$102,8,FALSE),main!$K$19:$O$22,MATCH(VLOOKUP($A94,main!$A$3:$H$102,7,FALSE),main!$K$18:$O$18,0),0))),0)</f>
        <v>0</v>
      </c>
      <c r="AW94">
        <f>IF((gamma!AW94),IF(VLOOKUP(AW$1,main!$A$3:$H$102,7,FALSE)=VLOOKUP($A94,main!$A$3:$H$102,8,FALSE),VLOOKUP(AW$1,main!$A$3:$H$102,4,FALSE),VLOOKUP(AW$1,main!$A$3:$H$102,4,FALSE)+VLOOKUP($A94,main!$A$3:$H$102,4,FALSE)+(VLOOKUP(VLOOKUP(AW$1,main!$A$3:$H$102,8,FALSE),main!$K$19:$O$22,MATCH(VLOOKUP($A94,main!$A$3:$H$102,7,FALSE),main!$K$18:$O$18,0),0))),0)</f>
        <v>0</v>
      </c>
      <c r="AX94">
        <f>IF((gamma!AX94),IF(VLOOKUP(AX$1,main!$A$3:$H$102,7,FALSE)=VLOOKUP($A94,main!$A$3:$H$102,8,FALSE),VLOOKUP(AX$1,main!$A$3:$H$102,4,FALSE),VLOOKUP(AX$1,main!$A$3:$H$102,4,FALSE)+VLOOKUP($A94,main!$A$3:$H$102,4,FALSE)+(VLOOKUP(VLOOKUP(AX$1,main!$A$3:$H$102,8,FALSE),main!$K$19:$O$22,MATCH(VLOOKUP($A94,main!$A$3:$H$102,7,FALSE),main!$K$18:$O$18,0),0))),0)</f>
        <v>0</v>
      </c>
      <c r="AY94">
        <f>IF((gamma!AY94),IF(VLOOKUP(AY$1,main!$A$3:$H$102,7,FALSE)=VLOOKUP($A94,main!$A$3:$H$102,8,FALSE),VLOOKUP(AY$1,main!$A$3:$H$102,4,FALSE),VLOOKUP(AY$1,main!$A$3:$H$102,4,FALSE)+VLOOKUP($A94,main!$A$3:$H$102,4,FALSE)+(VLOOKUP(VLOOKUP(AY$1,main!$A$3:$H$102,8,FALSE),main!$K$19:$O$22,MATCH(VLOOKUP($A94,main!$A$3:$H$102,7,FALSE),main!$K$18:$O$18,0),0))),0)</f>
        <v>0</v>
      </c>
      <c r="AZ94">
        <f>IF((gamma!AZ94),IF(VLOOKUP(AZ$1,main!$A$3:$H$102,7,FALSE)=VLOOKUP($A94,main!$A$3:$H$102,8,FALSE),VLOOKUP(AZ$1,main!$A$3:$H$102,4,FALSE),VLOOKUP(AZ$1,main!$A$3:$H$102,4,FALSE)+VLOOKUP($A94,main!$A$3:$H$102,4,FALSE)+(VLOOKUP(VLOOKUP(AZ$1,main!$A$3:$H$102,8,FALSE),main!$K$19:$O$22,MATCH(VLOOKUP($A94,main!$A$3:$H$102,7,FALSE),main!$K$18:$O$18,0),0))),0)</f>
        <v>0</v>
      </c>
      <c r="BA94">
        <f>IF((gamma!BA94),IF(VLOOKUP(BA$1,main!$A$3:$H$102,7,FALSE)=VLOOKUP($A94,main!$A$3:$H$102,8,FALSE),VLOOKUP(BA$1,main!$A$3:$H$102,4,FALSE),VLOOKUP(BA$1,main!$A$3:$H$102,4,FALSE)+VLOOKUP($A94,main!$A$3:$H$102,4,FALSE)+(VLOOKUP(VLOOKUP(BA$1,main!$A$3:$H$102,8,FALSE),main!$K$19:$O$22,MATCH(VLOOKUP($A94,main!$A$3:$H$102,7,FALSE),main!$K$18:$O$18,0),0))),0)</f>
        <v>0</v>
      </c>
      <c r="BB94">
        <f>IF((gamma!BB94),IF(VLOOKUP(BB$1,main!$A$3:$H$102,7,FALSE)=VLOOKUP($A94,main!$A$3:$H$102,8,FALSE),VLOOKUP(BB$1,main!$A$3:$H$102,4,FALSE),VLOOKUP(BB$1,main!$A$3:$H$102,4,FALSE)+VLOOKUP($A94,main!$A$3:$H$102,4,FALSE)+(VLOOKUP(VLOOKUP(BB$1,main!$A$3:$H$102,8,FALSE),main!$K$19:$O$22,MATCH(VLOOKUP($A94,main!$A$3:$H$102,7,FALSE),main!$K$18:$O$18,0),0))),0)</f>
        <v>0</v>
      </c>
      <c r="BC94">
        <f>IF((gamma!BC94),IF(VLOOKUP(BC$1,main!$A$3:$H$102,7,FALSE)=VLOOKUP($A94,main!$A$3:$H$102,8,FALSE),VLOOKUP(BC$1,main!$A$3:$H$102,4,FALSE),VLOOKUP(BC$1,main!$A$3:$H$102,4,FALSE)+VLOOKUP($A94,main!$A$3:$H$102,4,FALSE)+(VLOOKUP(VLOOKUP(BC$1,main!$A$3:$H$102,8,FALSE),main!$K$19:$O$22,MATCH(VLOOKUP($A94,main!$A$3:$H$102,7,FALSE),main!$K$18:$O$18,0),0))),0)</f>
        <v>0</v>
      </c>
      <c r="BD94">
        <f>IF((gamma!BD94),IF(VLOOKUP(BD$1,main!$A$3:$H$102,7,FALSE)=VLOOKUP($A94,main!$A$3:$H$102,8,FALSE),VLOOKUP(BD$1,main!$A$3:$H$102,4,FALSE),VLOOKUP(BD$1,main!$A$3:$H$102,4,FALSE)+VLOOKUP($A94,main!$A$3:$H$102,4,FALSE)+(VLOOKUP(VLOOKUP(BD$1,main!$A$3:$H$102,8,FALSE),main!$K$19:$O$22,MATCH(VLOOKUP($A94,main!$A$3:$H$102,7,FALSE),main!$K$18:$O$18,0),0))),0)</f>
        <v>140</v>
      </c>
      <c r="BE94">
        <f>IF((gamma!BE94),IF(VLOOKUP(BE$1,main!$A$3:$H$102,7,FALSE)=VLOOKUP($A94,main!$A$3:$H$102,8,FALSE),VLOOKUP(BE$1,main!$A$3:$H$102,4,FALSE),VLOOKUP(BE$1,main!$A$3:$H$102,4,FALSE)+VLOOKUP($A94,main!$A$3:$H$102,4,FALSE)+(VLOOKUP(VLOOKUP(BE$1,main!$A$3:$H$102,8,FALSE),main!$K$19:$O$22,MATCH(VLOOKUP($A94,main!$A$3:$H$102,7,FALSE),main!$K$18:$O$18,0),0))),0)</f>
        <v>140</v>
      </c>
      <c r="BF94">
        <f>IF((gamma!BF94),IF(VLOOKUP(BF$1,main!$A$3:$H$102,7,FALSE)=VLOOKUP($A94,main!$A$3:$H$102,8,FALSE),VLOOKUP(BF$1,main!$A$3:$H$102,4,FALSE),VLOOKUP(BF$1,main!$A$3:$H$102,4,FALSE)+VLOOKUP($A94,main!$A$3:$H$102,4,FALSE)+(VLOOKUP(VLOOKUP(BF$1,main!$A$3:$H$102,8,FALSE),main!$K$19:$O$22,MATCH(VLOOKUP($A94,main!$A$3:$H$102,7,FALSE),main!$K$18:$O$18,0),0))),0)</f>
        <v>0</v>
      </c>
      <c r="BG94">
        <f>IF((gamma!BG94),IF(VLOOKUP(BG$1,main!$A$3:$H$102,7,FALSE)=VLOOKUP($A94,main!$A$3:$H$102,8,FALSE),VLOOKUP(BG$1,main!$A$3:$H$102,4,FALSE),VLOOKUP(BG$1,main!$A$3:$H$102,4,FALSE)+VLOOKUP($A94,main!$A$3:$H$102,4,FALSE)+(VLOOKUP(VLOOKUP(BG$1,main!$A$3:$H$102,8,FALSE),main!$K$19:$O$22,MATCH(VLOOKUP($A94,main!$A$3:$H$102,7,FALSE),main!$K$18:$O$18,0),0))),0)</f>
        <v>0</v>
      </c>
      <c r="BH94">
        <f>IF((gamma!BH94),IF(VLOOKUP(BH$1,main!$A$3:$H$102,7,FALSE)=VLOOKUP($A94,main!$A$3:$H$102,8,FALSE),VLOOKUP(BH$1,main!$A$3:$H$102,4,FALSE),VLOOKUP(BH$1,main!$A$3:$H$102,4,FALSE)+VLOOKUP($A94,main!$A$3:$H$102,4,FALSE)+(VLOOKUP(VLOOKUP(BH$1,main!$A$3:$H$102,8,FALSE),main!$K$19:$O$22,MATCH(VLOOKUP($A94,main!$A$3:$H$102,7,FALSE),main!$K$18:$O$18,0),0))),0)</f>
        <v>0</v>
      </c>
      <c r="BI94">
        <f>IF((gamma!BI94),IF(VLOOKUP(BI$1,main!$A$3:$H$102,7,FALSE)=VLOOKUP($A94,main!$A$3:$H$102,8,FALSE),VLOOKUP(BI$1,main!$A$3:$H$102,4,FALSE),VLOOKUP(BI$1,main!$A$3:$H$102,4,FALSE)+VLOOKUP($A94,main!$A$3:$H$102,4,FALSE)+(VLOOKUP(VLOOKUP(BI$1,main!$A$3:$H$102,8,FALSE),main!$K$19:$O$22,MATCH(VLOOKUP($A94,main!$A$3:$H$102,7,FALSE),main!$K$18:$O$18,0),0))),0)</f>
        <v>60</v>
      </c>
      <c r="BJ94">
        <f>IF((gamma!BJ94),IF(VLOOKUP(BJ$1,main!$A$3:$H$102,7,FALSE)=VLOOKUP($A94,main!$A$3:$H$102,8,FALSE),VLOOKUP(BJ$1,main!$A$3:$H$102,4,FALSE),VLOOKUP(BJ$1,main!$A$3:$H$102,4,FALSE)+VLOOKUP($A94,main!$A$3:$H$102,4,FALSE)+(VLOOKUP(VLOOKUP(BJ$1,main!$A$3:$H$102,8,FALSE),main!$K$19:$O$22,MATCH(VLOOKUP($A94,main!$A$3:$H$102,7,FALSE),main!$K$18:$O$18,0),0))),0)</f>
        <v>90</v>
      </c>
      <c r="BK94">
        <f>IF((gamma!BK94),IF(VLOOKUP(BK$1,main!$A$3:$H$102,7,FALSE)=VLOOKUP($A94,main!$A$3:$H$102,8,FALSE),VLOOKUP(BK$1,main!$A$3:$H$102,4,FALSE),VLOOKUP(BK$1,main!$A$3:$H$102,4,FALSE)+VLOOKUP($A94,main!$A$3:$H$102,4,FALSE)+(VLOOKUP(VLOOKUP(BK$1,main!$A$3:$H$102,8,FALSE),main!$K$19:$O$22,MATCH(VLOOKUP($A94,main!$A$3:$H$102,7,FALSE),main!$K$18:$O$18,0),0))),0)</f>
        <v>0</v>
      </c>
      <c r="BL94">
        <f>IF((gamma!BL94),IF(VLOOKUP(BL$1,main!$A$3:$H$102,7,FALSE)=VLOOKUP($A94,main!$A$3:$H$102,8,FALSE),VLOOKUP(BL$1,main!$A$3:$H$102,4,FALSE),VLOOKUP(BL$1,main!$A$3:$H$102,4,FALSE)+VLOOKUP($A94,main!$A$3:$H$102,4,FALSE)+(VLOOKUP(VLOOKUP(BL$1,main!$A$3:$H$102,8,FALSE),main!$K$19:$O$22,MATCH(VLOOKUP($A94,main!$A$3:$H$102,7,FALSE),main!$K$18:$O$18,0),0))),0)</f>
        <v>0</v>
      </c>
      <c r="BM94">
        <f>IF((gamma!BM94),IF(VLOOKUP(BM$1,main!$A$3:$H$102,7,FALSE)=VLOOKUP($A94,main!$A$3:$H$102,8,FALSE),VLOOKUP(BM$1,main!$A$3:$H$102,4,FALSE),VLOOKUP(BM$1,main!$A$3:$H$102,4,FALSE)+VLOOKUP($A94,main!$A$3:$H$102,4,FALSE)+(VLOOKUP(VLOOKUP(BM$1,main!$A$3:$H$102,8,FALSE),main!$K$19:$O$22,MATCH(VLOOKUP($A94,main!$A$3:$H$102,7,FALSE),main!$K$18:$O$18,0),0))),0)</f>
        <v>0</v>
      </c>
      <c r="BN94">
        <f>IF((gamma!BN94),IF(VLOOKUP(BN$1,main!$A$3:$H$102,7,FALSE)=VLOOKUP($A94,main!$A$3:$H$102,8,FALSE),VLOOKUP(BN$1,main!$A$3:$H$102,4,FALSE),VLOOKUP(BN$1,main!$A$3:$H$102,4,FALSE)+VLOOKUP($A94,main!$A$3:$H$102,4,FALSE)+(VLOOKUP(VLOOKUP(BN$1,main!$A$3:$H$102,8,FALSE),main!$K$19:$O$22,MATCH(VLOOKUP($A94,main!$A$3:$H$102,7,FALSE),main!$K$18:$O$18,0),0))),0)</f>
        <v>120</v>
      </c>
      <c r="BO94">
        <f>IF((gamma!BO94),IF(VLOOKUP(BO$1,main!$A$3:$H$102,7,FALSE)=VLOOKUP($A94,main!$A$3:$H$102,8,FALSE),VLOOKUP(BO$1,main!$A$3:$H$102,4,FALSE),VLOOKUP(BO$1,main!$A$3:$H$102,4,FALSE)+VLOOKUP($A94,main!$A$3:$H$102,4,FALSE)+(VLOOKUP(VLOOKUP(BO$1,main!$A$3:$H$102,8,FALSE),main!$K$19:$O$22,MATCH(VLOOKUP($A94,main!$A$3:$H$102,7,FALSE),main!$K$18:$O$18,0),0))),0)</f>
        <v>0</v>
      </c>
      <c r="BP94">
        <f>IF((gamma!BP94),IF(VLOOKUP(BP$1,main!$A$3:$H$102,7,FALSE)=VLOOKUP($A94,main!$A$3:$H$102,8,FALSE),VLOOKUP(BP$1,main!$A$3:$H$102,4,FALSE),VLOOKUP(BP$1,main!$A$3:$H$102,4,FALSE)+VLOOKUP($A94,main!$A$3:$H$102,4,FALSE)+(VLOOKUP(VLOOKUP(BP$1,main!$A$3:$H$102,8,FALSE),main!$K$19:$O$22,MATCH(VLOOKUP($A94,main!$A$3:$H$102,7,FALSE),main!$K$18:$O$18,0),0))),0)</f>
        <v>0</v>
      </c>
      <c r="BQ94">
        <f>IF((gamma!BQ94),IF(VLOOKUP(BQ$1,main!$A$3:$H$102,7,FALSE)=VLOOKUP($A94,main!$A$3:$H$102,8,FALSE),VLOOKUP(BQ$1,main!$A$3:$H$102,4,FALSE),VLOOKUP(BQ$1,main!$A$3:$H$102,4,FALSE)+VLOOKUP($A94,main!$A$3:$H$102,4,FALSE)+(VLOOKUP(VLOOKUP(BQ$1,main!$A$3:$H$102,8,FALSE),main!$K$19:$O$22,MATCH(VLOOKUP($A94,main!$A$3:$H$102,7,FALSE),main!$K$18:$O$18,0),0))),0)</f>
        <v>0</v>
      </c>
      <c r="BR94">
        <f>IF((gamma!BR94),IF(VLOOKUP(BR$1,main!$A$3:$H$102,7,FALSE)=VLOOKUP($A94,main!$A$3:$H$102,8,FALSE),VLOOKUP(BR$1,main!$A$3:$H$102,4,FALSE),VLOOKUP(BR$1,main!$A$3:$H$102,4,FALSE)+VLOOKUP($A94,main!$A$3:$H$102,4,FALSE)+(VLOOKUP(VLOOKUP(BR$1,main!$A$3:$H$102,8,FALSE),main!$K$19:$O$22,MATCH(VLOOKUP($A94,main!$A$3:$H$102,7,FALSE),main!$K$18:$O$18,0),0))),0)</f>
        <v>0</v>
      </c>
      <c r="BS94">
        <f>IF((gamma!BS94),IF(VLOOKUP(BS$1,main!$A$3:$H$102,7,FALSE)=VLOOKUP($A94,main!$A$3:$H$102,8,FALSE),VLOOKUP(BS$1,main!$A$3:$H$102,4,FALSE),VLOOKUP(BS$1,main!$A$3:$H$102,4,FALSE)+VLOOKUP($A94,main!$A$3:$H$102,4,FALSE)+(VLOOKUP(VLOOKUP(BS$1,main!$A$3:$H$102,8,FALSE),main!$K$19:$O$22,MATCH(VLOOKUP($A94,main!$A$3:$H$102,7,FALSE),main!$K$18:$O$18,0),0))),0)</f>
        <v>0</v>
      </c>
      <c r="BT94">
        <f>IF((gamma!BT94),IF(VLOOKUP(BT$1,main!$A$3:$H$102,7,FALSE)=VLOOKUP($A94,main!$A$3:$H$102,8,FALSE),VLOOKUP(BT$1,main!$A$3:$H$102,4,FALSE),VLOOKUP(BT$1,main!$A$3:$H$102,4,FALSE)+VLOOKUP($A94,main!$A$3:$H$102,4,FALSE)+(VLOOKUP(VLOOKUP(BT$1,main!$A$3:$H$102,8,FALSE),main!$K$19:$O$22,MATCH(VLOOKUP($A94,main!$A$3:$H$102,7,FALSE),main!$K$18:$O$18,0),0))),0)</f>
        <v>0</v>
      </c>
      <c r="BU94">
        <f>IF((gamma!BU94),IF(VLOOKUP(BU$1,main!$A$3:$H$102,7,FALSE)=VLOOKUP($A94,main!$A$3:$H$102,8,FALSE),VLOOKUP(BU$1,main!$A$3:$H$102,4,FALSE),VLOOKUP(BU$1,main!$A$3:$H$102,4,FALSE)+VLOOKUP($A94,main!$A$3:$H$102,4,FALSE)+(VLOOKUP(VLOOKUP(BU$1,main!$A$3:$H$102,8,FALSE),main!$K$19:$O$22,MATCH(VLOOKUP($A94,main!$A$3:$H$102,7,FALSE),main!$K$18:$O$18,0),0))),0)</f>
        <v>0</v>
      </c>
      <c r="BV94">
        <f>IF((gamma!BV94),IF(VLOOKUP(BV$1,main!$A$3:$H$102,7,FALSE)=VLOOKUP($A94,main!$A$3:$H$102,8,FALSE),VLOOKUP(BV$1,main!$A$3:$H$102,4,FALSE),VLOOKUP(BV$1,main!$A$3:$H$102,4,FALSE)+VLOOKUP($A94,main!$A$3:$H$102,4,FALSE)+(VLOOKUP(VLOOKUP(BV$1,main!$A$3:$H$102,8,FALSE),main!$K$19:$O$22,MATCH(VLOOKUP($A94,main!$A$3:$H$102,7,FALSE),main!$K$18:$O$18,0),0))),0)</f>
        <v>0</v>
      </c>
      <c r="BW94">
        <f>IF((gamma!BW94),IF(VLOOKUP(BW$1,main!$A$3:$H$102,7,FALSE)=VLOOKUP($A94,main!$A$3:$H$102,8,FALSE),VLOOKUP(BW$1,main!$A$3:$H$102,4,FALSE),VLOOKUP(BW$1,main!$A$3:$H$102,4,FALSE)+VLOOKUP($A94,main!$A$3:$H$102,4,FALSE)+(VLOOKUP(VLOOKUP(BW$1,main!$A$3:$H$102,8,FALSE),main!$K$19:$O$22,MATCH(VLOOKUP($A94,main!$A$3:$H$102,7,FALSE),main!$K$18:$O$18,0),0))),0)</f>
        <v>0</v>
      </c>
      <c r="BX94">
        <f>IF((gamma!BX94),IF(VLOOKUP(BX$1,main!$A$3:$H$102,7,FALSE)=VLOOKUP($A94,main!$A$3:$H$102,8,FALSE),VLOOKUP(BX$1,main!$A$3:$H$102,4,FALSE),VLOOKUP(BX$1,main!$A$3:$H$102,4,FALSE)+VLOOKUP($A94,main!$A$3:$H$102,4,FALSE)+(VLOOKUP(VLOOKUP(BX$1,main!$A$3:$H$102,8,FALSE),main!$K$19:$O$22,MATCH(VLOOKUP($A94,main!$A$3:$H$102,7,FALSE),main!$K$18:$O$18,0),0))),0)</f>
        <v>0</v>
      </c>
      <c r="BY94">
        <f>IF((gamma!BY94),IF(VLOOKUP(BY$1,main!$A$3:$H$102,7,FALSE)=VLOOKUP($A94,main!$A$3:$H$102,8,FALSE),VLOOKUP(BY$1,main!$A$3:$H$102,4,FALSE),VLOOKUP(BY$1,main!$A$3:$H$102,4,FALSE)+VLOOKUP($A94,main!$A$3:$H$102,4,FALSE)+(VLOOKUP(VLOOKUP(BY$1,main!$A$3:$H$102,8,FALSE),main!$K$19:$O$22,MATCH(VLOOKUP($A94,main!$A$3:$H$102,7,FALSE),main!$K$18:$O$18,0),0))),0)</f>
        <v>0</v>
      </c>
      <c r="BZ94">
        <f>IF((gamma!BZ94),IF(VLOOKUP(BZ$1,main!$A$3:$H$102,7,FALSE)=VLOOKUP($A94,main!$A$3:$H$102,8,FALSE),VLOOKUP(BZ$1,main!$A$3:$H$102,4,FALSE),VLOOKUP(BZ$1,main!$A$3:$H$102,4,FALSE)+VLOOKUP($A94,main!$A$3:$H$102,4,FALSE)+(VLOOKUP(VLOOKUP(BZ$1,main!$A$3:$H$102,8,FALSE),main!$K$19:$O$22,MATCH(VLOOKUP($A94,main!$A$3:$H$102,7,FALSE),main!$K$18:$O$18,0),0))),0)</f>
        <v>0</v>
      </c>
      <c r="CA94">
        <f>IF((gamma!CA94),IF(VLOOKUP(CA$1,main!$A$3:$H$102,7,FALSE)=VLOOKUP($A94,main!$A$3:$H$102,8,FALSE),VLOOKUP(CA$1,main!$A$3:$H$102,4,FALSE),VLOOKUP(CA$1,main!$A$3:$H$102,4,FALSE)+VLOOKUP($A94,main!$A$3:$H$102,4,FALSE)+(VLOOKUP(VLOOKUP(CA$1,main!$A$3:$H$102,8,FALSE),main!$K$19:$O$22,MATCH(VLOOKUP($A94,main!$A$3:$H$102,7,FALSE),main!$K$18:$O$18,0),0))),0)</f>
        <v>0</v>
      </c>
      <c r="CB94">
        <f>IF((gamma!CB94),IF(VLOOKUP(CB$1,main!$A$3:$H$102,7,FALSE)=VLOOKUP($A94,main!$A$3:$H$102,8,FALSE),VLOOKUP(CB$1,main!$A$3:$H$102,4,FALSE),VLOOKUP(CB$1,main!$A$3:$H$102,4,FALSE)+VLOOKUP($A94,main!$A$3:$H$102,4,FALSE)+(VLOOKUP(VLOOKUP(CB$1,main!$A$3:$H$102,8,FALSE),main!$K$19:$O$22,MATCH(VLOOKUP($A94,main!$A$3:$H$102,7,FALSE),main!$K$18:$O$18,0),0))),0)</f>
        <v>65</v>
      </c>
      <c r="CC94">
        <f>IF((gamma!CC94),IF(VLOOKUP(CC$1,main!$A$3:$H$102,7,FALSE)=VLOOKUP($A94,main!$A$3:$H$102,8,FALSE),VLOOKUP(CC$1,main!$A$3:$H$102,4,FALSE),VLOOKUP(CC$1,main!$A$3:$H$102,4,FALSE)+VLOOKUP($A94,main!$A$3:$H$102,4,FALSE)+(VLOOKUP(VLOOKUP(CC$1,main!$A$3:$H$102,8,FALSE),main!$K$19:$O$22,MATCH(VLOOKUP($A94,main!$A$3:$H$102,7,FALSE),main!$K$18:$O$18,0),0))),0)</f>
        <v>55</v>
      </c>
      <c r="CD94">
        <f>IF((gamma!CD94),IF(VLOOKUP(CD$1,main!$A$3:$H$102,7,FALSE)=VLOOKUP($A94,main!$A$3:$H$102,8,FALSE),VLOOKUP(CD$1,main!$A$3:$H$102,4,FALSE),VLOOKUP(CD$1,main!$A$3:$H$102,4,FALSE)+VLOOKUP($A94,main!$A$3:$H$102,4,FALSE)+(VLOOKUP(VLOOKUP(CD$1,main!$A$3:$H$102,8,FALSE),main!$K$19:$O$22,MATCH(VLOOKUP($A94,main!$A$3:$H$102,7,FALSE),main!$K$18:$O$18,0),0))),0)</f>
        <v>0</v>
      </c>
      <c r="CE94">
        <f>IF((gamma!CE94),IF(VLOOKUP(CE$1,main!$A$3:$H$102,7,FALSE)=VLOOKUP($A94,main!$A$3:$H$102,8,FALSE),VLOOKUP(CE$1,main!$A$3:$H$102,4,FALSE),VLOOKUP(CE$1,main!$A$3:$H$102,4,FALSE)+VLOOKUP($A94,main!$A$3:$H$102,4,FALSE)+(VLOOKUP(VLOOKUP(CE$1,main!$A$3:$H$102,8,FALSE),main!$K$19:$O$22,MATCH(VLOOKUP($A94,main!$A$3:$H$102,7,FALSE),main!$K$18:$O$18,0),0))),0)</f>
        <v>0</v>
      </c>
      <c r="CF94">
        <f>IF((gamma!CF94),IF(VLOOKUP(CF$1,main!$A$3:$H$102,7,FALSE)=VLOOKUP($A94,main!$A$3:$H$102,8,FALSE),VLOOKUP(CF$1,main!$A$3:$H$102,4,FALSE),VLOOKUP(CF$1,main!$A$3:$H$102,4,FALSE)+VLOOKUP($A94,main!$A$3:$H$102,4,FALSE)+(VLOOKUP(VLOOKUP(CF$1,main!$A$3:$H$102,8,FALSE),main!$K$19:$O$22,MATCH(VLOOKUP($A94,main!$A$3:$H$102,7,FALSE),main!$K$18:$O$18,0),0))),0)</f>
        <v>0</v>
      </c>
      <c r="CG94">
        <f>IF((gamma!CG94),IF(VLOOKUP(CG$1,main!$A$3:$H$102,7,FALSE)=VLOOKUP($A94,main!$A$3:$H$102,8,FALSE),VLOOKUP(CG$1,main!$A$3:$H$102,4,FALSE),VLOOKUP(CG$1,main!$A$3:$H$102,4,FALSE)+VLOOKUP($A94,main!$A$3:$H$102,4,FALSE)+(VLOOKUP(VLOOKUP(CG$1,main!$A$3:$H$102,8,FALSE),main!$K$19:$O$22,MATCH(VLOOKUP($A94,main!$A$3:$H$102,7,FALSE),main!$K$18:$O$18,0),0))),0)</f>
        <v>0</v>
      </c>
      <c r="CH94">
        <f>IF((gamma!CH94),IF(VLOOKUP(CH$1,main!$A$3:$H$102,7,FALSE)=VLOOKUP($A94,main!$A$3:$H$102,8,FALSE),VLOOKUP(CH$1,main!$A$3:$H$102,4,FALSE),VLOOKUP(CH$1,main!$A$3:$H$102,4,FALSE)+VLOOKUP($A94,main!$A$3:$H$102,4,FALSE)+(VLOOKUP(VLOOKUP(CH$1,main!$A$3:$H$102,8,FALSE),main!$K$19:$O$22,MATCH(VLOOKUP($A94,main!$A$3:$H$102,7,FALSE),main!$K$18:$O$18,0),0))),0)</f>
        <v>295</v>
      </c>
      <c r="CI94">
        <f>IF((gamma!CI94),IF(VLOOKUP(CI$1,main!$A$3:$H$102,7,FALSE)=VLOOKUP($A94,main!$A$3:$H$102,8,FALSE),VLOOKUP(CI$1,main!$A$3:$H$102,4,FALSE),VLOOKUP(CI$1,main!$A$3:$H$102,4,FALSE)+VLOOKUP($A94,main!$A$3:$H$102,4,FALSE)+(VLOOKUP(VLOOKUP(CI$1,main!$A$3:$H$102,8,FALSE),main!$K$19:$O$22,MATCH(VLOOKUP($A94,main!$A$3:$H$102,7,FALSE),main!$K$18:$O$18,0),0))),0)</f>
        <v>295</v>
      </c>
      <c r="CJ94">
        <f>IF((gamma!CJ94),IF(VLOOKUP(CJ$1,main!$A$3:$H$102,7,FALSE)=VLOOKUP($A94,main!$A$3:$H$102,8,FALSE),VLOOKUP(CJ$1,main!$A$3:$H$102,4,FALSE),VLOOKUP(CJ$1,main!$A$3:$H$102,4,FALSE)+VLOOKUP($A94,main!$A$3:$H$102,4,FALSE)+(VLOOKUP(VLOOKUP(CJ$1,main!$A$3:$H$102,8,FALSE),main!$K$19:$O$22,MATCH(VLOOKUP($A94,main!$A$3:$H$102,7,FALSE),main!$K$18:$O$18,0),0))),0)</f>
        <v>0</v>
      </c>
      <c r="CK94">
        <f>IF((gamma!CK94),IF(VLOOKUP(CK$1,main!$A$3:$H$102,7,FALSE)=VLOOKUP($A94,main!$A$3:$H$102,8,FALSE),VLOOKUP(CK$1,main!$A$3:$H$102,4,FALSE),VLOOKUP(CK$1,main!$A$3:$H$102,4,FALSE)+VLOOKUP($A94,main!$A$3:$H$102,4,FALSE)+(VLOOKUP(VLOOKUP(CK$1,main!$A$3:$H$102,8,FALSE),main!$K$19:$O$22,MATCH(VLOOKUP($A94,main!$A$3:$H$102,7,FALSE),main!$K$18:$O$18,0),0))),0)</f>
        <v>0</v>
      </c>
      <c r="CL94">
        <f>IF((gamma!CL94),IF(VLOOKUP(CL$1,main!$A$3:$H$102,7,FALSE)=VLOOKUP($A94,main!$A$3:$H$102,8,FALSE),VLOOKUP(CL$1,main!$A$3:$H$102,4,FALSE),VLOOKUP(CL$1,main!$A$3:$H$102,4,FALSE)+VLOOKUP($A94,main!$A$3:$H$102,4,FALSE)+(VLOOKUP(VLOOKUP(CL$1,main!$A$3:$H$102,8,FALSE),main!$K$19:$O$22,MATCH(VLOOKUP($A94,main!$A$3:$H$102,7,FALSE),main!$K$18:$O$18,0),0))),0)</f>
        <v>0</v>
      </c>
      <c r="CM94">
        <f>IF((gamma!CM94),IF(VLOOKUP(CM$1,main!$A$3:$H$102,7,FALSE)=VLOOKUP($A94,main!$A$3:$H$102,8,FALSE),VLOOKUP(CM$1,main!$A$3:$H$102,4,FALSE),VLOOKUP(CM$1,main!$A$3:$H$102,4,FALSE)+VLOOKUP($A94,main!$A$3:$H$102,4,FALSE)+(VLOOKUP(VLOOKUP(CM$1,main!$A$3:$H$102,8,FALSE),main!$K$19:$O$22,MATCH(VLOOKUP($A94,main!$A$3:$H$102,7,FALSE),main!$K$18:$O$18,0),0))),0)</f>
        <v>255</v>
      </c>
      <c r="CN94">
        <f>IF((gamma!CN94),IF(VLOOKUP(CN$1,main!$A$3:$H$102,7,FALSE)=VLOOKUP($A94,main!$A$3:$H$102,8,FALSE),VLOOKUP(CN$1,main!$A$3:$H$102,4,FALSE),VLOOKUP(CN$1,main!$A$3:$H$102,4,FALSE)+VLOOKUP($A94,main!$A$3:$H$102,4,FALSE)+(VLOOKUP(VLOOKUP(CN$1,main!$A$3:$H$102,8,FALSE),main!$K$19:$O$22,MATCH(VLOOKUP($A94,main!$A$3:$H$102,7,FALSE),main!$K$18:$O$18,0),0))),0)</f>
        <v>251</v>
      </c>
      <c r="CO94">
        <f>IF((gamma!CO94),IF(VLOOKUP(CO$1,main!$A$3:$H$102,7,FALSE)=VLOOKUP($A94,main!$A$3:$H$102,8,FALSE),VLOOKUP(CO$1,main!$A$3:$H$102,4,FALSE),VLOOKUP(CO$1,main!$A$3:$H$102,4,FALSE)+VLOOKUP($A94,main!$A$3:$H$102,4,FALSE)+(VLOOKUP(VLOOKUP(CO$1,main!$A$3:$H$102,8,FALSE),main!$K$19:$O$22,MATCH(VLOOKUP($A94,main!$A$3:$H$102,7,FALSE),main!$K$18:$O$18,0),0))),0)</f>
        <v>0</v>
      </c>
      <c r="CP94">
        <f>IF((gamma!CP94),IF(VLOOKUP(CP$1,main!$A$3:$H$102,7,FALSE)=VLOOKUP($A94,main!$A$3:$H$102,8,FALSE),VLOOKUP(CP$1,main!$A$3:$H$102,4,FALSE),VLOOKUP(CP$1,main!$A$3:$H$102,4,FALSE)+VLOOKUP($A94,main!$A$3:$H$102,4,FALSE)+(VLOOKUP(VLOOKUP(CP$1,main!$A$3:$H$102,8,FALSE),main!$K$19:$O$22,MATCH(VLOOKUP($A94,main!$A$3:$H$102,7,FALSE),main!$K$18:$O$18,0),0))),0)</f>
        <v>0</v>
      </c>
      <c r="CQ94">
        <f>IF((gamma!CQ94),IF(VLOOKUP(CQ$1,main!$A$3:$H$102,7,FALSE)=VLOOKUP($A94,main!$A$3:$H$102,8,FALSE),VLOOKUP(CQ$1,main!$A$3:$H$102,4,FALSE),VLOOKUP(CQ$1,main!$A$3:$H$102,4,FALSE)+VLOOKUP($A94,main!$A$3:$H$102,4,FALSE)+(VLOOKUP(VLOOKUP(CQ$1,main!$A$3:$H$102,8,FALSE),main!$K$19:$O$22,MATCH(VLOOKUP($A94,main!$A$3:$H$102,7,FALSE),main!$K$18:$O$18,0),0))),0)</f>
        <v>0</v>
      </c>
      <c r="CR94">
        <f>IF((gamma!CR94),IF(VLOOKUP(CR$1,main!$A$3:$H$102,7,FALSE)=VLOOKUP($A94,main!$A$3:$H$102,8,FALSE),VLOOKUP(CR$1,main!$A$3:$H$102,4,FALSE),VLOOKUP(CR$1,main!$A$3:$H$102,4,FALSE)+VLOOKUP($A94,main!$A$3:$H$102,4,FALSE)+(VLOOKUP(VLOOKUP(CR$1,main!$A$3:$H$102,8,FALSE),main!$K$19:$O$22,MATCH(VLOOKUP($A94,main!$A$3:$H$102,7,FALSE),main!$K$18:$O$18,0),0))),0)</f>
        <v>288</v>
      </c>
      <c r="CS94">
        <f>IF((gamma!CS94),IF(VLOOKUP(CS$1,main!$A$3:$H$102,7,FALSE)=VLOOKUP($A94,main!$A$3:$H$102,8,FALSE),VLOOKUP(CS$1,main!$A$3:$H$102,4,FALSE),VLOOKUP(CS$1,main!$A$3:$H$102,4,FALSE)+VLOOKUP($A94,main!$A$3:$H$102,4,FALSE)+(VLOOKUP(VLOOKUP(CS$1,main!$A$3:$H$102,8,FALSE),main!$K$19:$O$22,MATCH(VLOOKUP($A94,main!$A$3:$H$102,7,FALSE),main!$K$18:$O$18,0),0))),0)</f>
        <v>288</v>
      </c>
      <c r="CT94">
        <f>IF((gamma!CT94),IF(VLOOKUP(CT$1,main!$A$3:$H$102,7,FALSE)=VLOOKUP($A94,main!$A$3:$H$102,8,FALSE),VLOOKUP(CT$1,main!$A$3:$H$102,4,FALSE),VLOOKUP(CT$1,main!$A$3:$H$102,4,FALSE)+VLOOKUP($A94,main!$A$3:$H$102,4,FALSE)+(VLOOKUP(VLOOKUP(CT$1,main!$A$3:$H$102,8,FALSE),main!$K$19:$O$22,MATCH(VLOOKUP($A94,main!$A$3:$H$102,7,FALSE),main!$K$18:$O$18,0),0))),0)</f>
        <v>0</v>
      </c>
      <c r="CU94">
        <f>IF((gamma!CU94),IF(VLOOKUP(CU$1,main!$A$3:$H$102,7,FALSE)=VLOOKUP($A94,main!$A$3:$H$102,8,FALSE),VLOOKUP(CU$1,main!$A$3:$H$102,4,FALSE),VLOOKUP(CU$1,main!$A$3:$H$102,4,FALSE)+VLOOKUP($A94,main!$A$3:$H$102,4,FALSE)+(VLOOKUP(VLOOKUP(CU$1,main!$A$3:$H$102,8,FALSE),main!$K$19:$O$22,MATCH(VLOOKUP($A94,main!$A$3:$H$102,7,FALSE),main!$K$18:$O$18,0),0))),0)</f>
        <v>0</v>
      </c>
      <c r="CV94">
        <f>IF((gamma!CV94),IF(VLOOKUP(CV$1,main!$A$3:$H$102,7,FALSE)=VLOOKUP($A94,main!$A$3:$H$102,8,FALSE),VLOOKUP(CV$1,main!$A$3:$H$102,4,FALSE),VLOOKUP(CV$1,main!$A$3:$H$102,4,FALSE)+VLOOKUP($A94,main!$A$3:$H$102,4,FALSE)+(VLOOKUP(VLOOKUP(CV$1,main!$A$3:$H$102,8,FALSE),main!$K$19:$O$22,MATCH(VLOOKUP($A94,main!$A$3:$H$102,7,FALSE),main!$K$18:$O$18,0),0))),0)</f>
        <v>0</v>
      </c>
      <c r="CW94">
        <f>IF((gamma!CW94),IF(VLOOKUP(CW$1,main!$A$3:$H$102,7,FALSE)=VLOOKUP($A94,main!$A$3:$H$102,8,FALSE),VLOOKUP(CW$1,main!$A$3:$H$102,4,FALSE),VLOOKUP(CW$1,main!$A$3:$H$102,4,FALSE)+VLOOKUP($A94,main!$A$3:$H$102,4,FALSE)+(VLOOKUP(VLOOKUP(CW$1,main!$A$3:$H$102,8,FALSE),main!$K$19:$O$22,MATCH(VLOOKUP($A94,main!$A$3:$H$102,7,FALSE),main!$K$18:$O$18,0),0))),0)</f>
        <v>248</v>
      </c>
      <c r="CX94">
        <f>IF((gamma!CX94),IF(VLOOKUP(CX$1,main!$A$3:$H$102,7,FALSE)=VLOOKUP($A94,main!$A$3:$H$102,8,FALSE),VLOOKUP(CX$1,main!$A$3:$H$102,4,FALSE),VLOOKUP(CX$1,main!$A$3:$H$102,4,FALSE)+VLOOKUP($A94,main!$A$3:$H$102,4,FALSE)+(VLOOKUP(VLOOKUP(CX$1,main!$A$3:$H$102,8,FALSE),main!$K$19:$O$22,MATCH(VLOOKUP($A94,main!$A$3:$H$102,7,FALSE),main!$K$18:$O$18,0),0))),0)</f>
        <v>238</v>
      </c>
      <c r="CY94">
        <v>0</v>
      </c>
      <c r="CZ94">
        <v>0</v>
      </c>
      <c r="DA94">
        <v>0</v>
      </c>
    </row>
    <row r="95" spans="1:105" x14ac:dyDescent="0.25">
      <c r="A95" s="1">
        <v>93</v>
      </c>
      <c r="B95">
        <v>0</v>
      </c>
      <c r="C95">
        <f>IF((gamma!C95),IF(VLOOKUP(C$1,main!$A$3:$H$102,7,FALSE)=VLOOKUP($A95,main!$A$3:$H$102,8,FALSE),VLOOKUP(C$1,main!$A$3:$H$102,4,FALSE),VLOOKUP(C$1,main!$A$3:$H$102,4,FALSE)+VLOOKUP($A95,main!$A$3:$H$102,4,FALSE)+(VLOOKUP(VLOOKUP(C$1,main!$A$3:$H$102,8,FALSE),main!$K$19:$O$22,MATCH(VLOOKUP($A95,main!$A$3:$H$102,7,FALSE),main!$K$18:$O$18,0),0))),0)</f>
        <v>0</v>
      </c>
      <c r="D95">
        <f>IF((gamma!D95),IF(VLOOKUP(D$1,main!$A$3:$H$102,7,FALSE)=VLOOKUP($A95,main!$A$3:$H$102,8,FALSE),VLOOKUP(D$1,main!$A$3:$H$102,4,FALSE),VLOOKUP(D$1,main!$A$3:$H$102,4,FALSE)+VLOOKUP($A95,main!$A$3:$H$102,4,FALSE)+(VLOOKUP(VLOOKUP(D$1,main!$A$3:$H$102,8,FALSE),main!$K$19:$O$22,MATCH(VLOOKUP($A95,main!$A$3:$H$102,7,FALSE),main!$K$18:$O$18,0),0))),0)</f>
        <v>0</v>
      </c>
      <c r="E95">
        <f>IF((gamma!E95),IF(VLOOKUP(E$1,main!$A$3:$H$102,7,FALSE)=VLOOKUP($A95,main!$A$3:$H$102,8,FALSE),VLOOKUP(E$1,main!$A$3:$H$102,4,FALSE),VLOOKUP(E$1,main!$A$3:$H$102,4,FALSE)+VLOOKUP($A95,main!$A$3:$H$102,4,FALSE)+(VLOOKUP(VLOOKUP(E$1,main!$A$3:$H$102,8,FALSE),main!$K$19:$O$22,MATCH(VLOOKUP($A95,main!$A$3:$H$102,7,FALSE),main!$K$18:$O$18,0),0))),0)</f>
        <v>0</v>
      </c>
      <c r="F95">
        <f>IF((gamma!F95),IF(VLOOKUP(F$1,main!$A$3:$H$102,7,FALSE)=VLOOKUP($A95,main!$A$3:$H$102,8,FALSE),VLOOKUP(F$1,main!$A$3:$H$102,4,FALSE),VLOOKUP(F$1,main!$A$3:$H$102,4,FALSE)+VLOOKUP($A95,main!$A$3:$H$102,4,FALSE)+(VLOOKUP(VLOOKUP(F$1,main!$A$3:$H$102,8,FALSE),main!$K$19:$O$22,MATCH(VLOOKUP($A95,main!$A$3:$H$102,7,FALSE),main!$K$18:$O$18,0),0))),0)</f>
        <v>0</v>
      </c>
      <c r="G95">
        <f>IF((gamma!G95),IF(VLOOKUP(G$1,main!$A$3:$H$102,7,FALSE)=VLOOKUP($A95,main!$A$3:$H$102,8,FALSE),VLOOKUP(G$1,main!$A$3:$H$102,4,FALSE),VLOOKUP(G$1,main!$A$3:$H$102,4,FALSE)+VLOOKUP($A95,main!$A$3:$H$102,4,FALSE)+(VLOOKUP(VLOOKUP(G$1,main!$A$3:$H$102,8,FALSE),main!$K$19:$O$22,MATCH(VLOOKUP($A95,main!$A$3:$H$102,7,FALSE),main!$K$18:$O$18,0),0))),0)</f>
        <v>0</v>
      </c>
      <c r="H95">
        <f>IF((gamma!H95),IF(VLOOKUP(H$1,main!$A$3:$H$102,7,FALSE)=VLOOKUP($A95,main!$A$3:$H$102,8,FALSE),VLOOKUP(H$1,main!$A$3:$H$102,4,FALSE),VLOOKUP(H$1,main!$A$3:$H$102,4,FALSE)+VLOOKUP($A95,main!$A$3:$H$102,4,FALSE)+(VLOOKUP(VLOOKUP(H$1,main!$A$3:$H$102,8,FALSE),main!$K$19:$O$22,MATCH(VLOOKUP($A95,main!$A$3:$H$102,7,FALSE),main!$K$18:$O$18,0),0))),0)</f>
        <v>0</v>
      </c>
      <c r="I95">
        <f>IF((gamma!I95),IF(VLOOKUP(I$1,main!$A$3:$H$102,7,FALSE)=VLOOKUP($A95,main!$A$3:$H$102,8,FALSE),VLOOKUP(I$1,main!$A$3:$H$102,4,FALSE),VLOOKUP(I$1,main!$A$3:$H$102,4,FALSE)+VLOOKUP($A95,main!$A$3:$H$102,4,FALSE)+(VLOOKUP(VLOOKUP(I$1,main!$A$3:$H$102,8,FALSE),main!$K$19:$O$22,MATCH(VLOOKUP($A95,main!$A$3:$H$102,7,FALSE),main!$K$18:$O$18,0),0))),0)</f>
        <v>295</v>
      </c>
      <c r="J95">
        <f>IF((gamma!J95),IF(VLOOKUP(J$1,main!$A$3:$H$102,7,FALSE)=VLOOKUP($A95,main!$A$3:$H$102,8,FALSE),VLOOKUP(J$1,main!$A$3:$H$102,4,FALSE),VLOOKUP(J$1,main!$A$3:$H$102,4,FALSE)+VLOOKUP($A95,main!$A$3:$H$102,4,FALSE)+(VLOOKUP(VLOOKUP(J$1,main!$A$3:$H$102,8,FALSE),main!$K$19:$O$22,MATCH(VLOOKUP($A95,main!$A$3:$H$102,7,FALSE),main!$K$18:$O$18,0),0))),0)</f>
        <v>295</v>
      </c>
      <c r="K95">
        <f>IF((gamma!K95),IF(VLOOKUP(K$1,main!$A$3:$H$102,7,FALSE)=VLOOKUP($A95,main!$A$3:$H$102,8,FALSE),VLOOKUP(K$1,main!$A$3:$H$102,4,FALSE),VLOOKUP(K$1,main!$A$3:$H$102,4,FALSE)+VLOOKUP($A95,main!$A$3:$H$102,4,FALSE)+(VLOOKUP(VLOOKUP(K$1,main!$A$3:$H$102,8,FALSE),main!$K$19:$O$22,MATCH(VLOOKUP($A95,main!$A$3:$H$102,7,FALSE),main!$K$18:$O$18,0),0))),0)</f>
        <v>295</v>
      </c>
      <c r="L95">
        <f>IF((gamma!L95),IF(VLOOKUP(L$1,main!$A$3:$H$102,7,FALSE)=VLOOKUP($A95,main!$A$3:$H$102,8,FALSE),VLOOKUP(L$1,main!$A$3:$H$102,4,FALSE),VLOOKUP(L$1,main!$A$3:$H$102,4,FALSE)+VLOOKUP($A95,main!$A$3:$H$102,4,FALSE)+(VLOOKUP(VLOOKUP(L$1,main!$A$3:$H$102,8,FALSE),main!$K$19:$O$22,MATCH(VLOOKUP($A95,main!$A$3:$H$102,7,FALSE),main!$K$18:$O$18,0),0))),0)</f>
        <v>295</v>
      </c>
      <c r="M95">
        <f>IF((gamma!M95),IF(VLOOKUP(M$1,main!$A$3:$H$102,7,FALSE)=VLOOKUP($A95,main!$A$3:$H$102,8,FALSE),VLOOKUP(M$1,main!$A$3:$H$102,4,FALSE),VLOOKUP(M$1,main!$A$3:$H$102,4,FALSE)+VLOOKUP($A95,main!$A$3:$H$102,4,FALSE)+(VLOOKUP(VLOOKUP(M$1,main!$A$3:$H$102,8,FALSE),main!$K$19:$O$22,MATCH(VLOOKUP($A95,main!$A$3:$H$102,7,FALSE),main!$K$18:$O$18,0),0))),0)</f>
        <v>0</v>
      </c>
      <c r="N95">
        <f>IF((gamma!N95),IF(VLOOKUP(N$1,main!$A$3:$H$102,7,FALSE)=VLOOKUP($A95,main!$A$3:$H$102,8,FALSE),VLOOKUP(N$1,main!$A$3:$H$102,4,FALSE),VLOOKUP(N$1,main!$A$3:$H$102,4,FALSE)+VLOOKUP($A95,main!$A$3:$H$102,4,FALSE)+(VLOOKUP(VLOOKUP(N$1,main!$A$3:$H$102,8,FALSE),main!$K$19:$O$22,MATCH(VLOOKUP($A95,main!$A$3:$H$102,7,FALSE),main!$K$18:$O$18,0),0))),0)</f>
        <v>0</v>
      </c>
      <c r="O95">
        <f>IF((gamma!O95),IF(VLOOKUP(O$1,main!$A$3:$H$102,7,FALSE)=VLOOKUP($A95,main!$A$3:$H$102,8,FALSE),VLOOKUP(O$1,main!$A$3:$H$102,4,FALSE),VLOOKUP(O$1,main!$A$3:$H$102,4,FALSE)+VLOOKUP($A95,main!$A$3:$H$102,4,FALSE)+(VLOOKUP(VLOOKUP(O$1,main!$A$3:$H$102,8,FALSE),main!$K$19:$O$22,MATCH(VLOOKUP($A95,main!$A$3:$H$102,7,FALSE),main!$K$18:$O$18,0),0))),0)</f>
        <v>0</v>
      </c>
      <c r="P95">
        <f>IF((gamma!P95),IF(VLOOKUP(P$1,main!$A$3:$H$102,7,FALSE)=VLOOKUP($A95,main!$A$3:$H$102,8,FALSE),VLOOKUP(P$1,main!$A$3:$H$102,4,FALSE),VLOOKUP(P$1,main!$A$3:$H$102,4,FALSE)+VLOOKUP($A95,main!$A$3:$H$102,4,FALSE)+(VLOOKUP(VLOOKUP(P$1,main!$A$3:$H$102,8,FALSE),main!$K$19:$O$22,MATCH(VLOOKUP($A95,main!$A$3:$H$102,7,FALSE),main!$K$18:$O$18,0),0))),0)</f>
        <v>0</v>
      </c>
      <c r="Q95">
        <f>IF((gamma!Q95),IF(VLOOKUP(Q$1,main!$A$3:$H$102,7,FALSE)=VLOOKUP($A95,main!$A$3:$H$102,8,FALSE),VLOOKUP(Q$1,main!$A$3:$H$102,4,FALSE),VLOOKUP(Q$1,main!$A$3:$H$102,4,FALSE)+VLOOKUP($A95,main!$A$3:$H$102,4,FALSE)+(VLOOKUP(VLOOKUP(Q$1,main!$A$3:$H$102,8,FALSE),main!$K$19:$O$22,MATCH(VLOOKUP($A95,main!$A$3:$H$102,7,FALSE),main!$K$18:$O$18,0),0))),0)</f>
        <v>0</v>
      </c>
      <c r="R95">
        <f>IF((gamma!R95),IF(VLOOKUP(R$1,main!$A$3:$H$102,7,FALSE)=VLOOKUP($A95,main!$A$3:$H$102,8,FALSE),VLOOKUP(R$1,main!$A$3:$H$102,4,FALSE),VLOOKUP(R$1,main!$A$3:$H$102,4,FALSE)+VLOOKUP($A95,main!$A$3:$H$102,4,FALSE)+(VLOOKUP(VLOOKUP(R$1,main!$A$3:$H$102,8,FALSE),main!$K$19:$O$22,MATCH(VLOOKUP($A95,main!$A$3:$H$102,7,FALSE),main!$K$18:$O$18,0),0))),0)</f>
        <v>0</v>
      </c>
      <c r="S95">
        <f>IF((gamma!S95),IF(VLOOKUP(S$1,main!$A$3:$H$102,7,FALSE)=VLOOKUP($A95,main!$A$3:$H$102,8,FALSE),VLOOKUP(S$1,main!$A$3:$H$102,4,FALSE),VLOOKUP(S$1,main!$A$3:$H$102,4,FALSE)+VLOOKUP($A95,main!$A$3:$H$102,4,FALSE)+(VLOOKUP(VLOOKUP(S$1,main!$A$3:$H$102,8,FALSE),main!$K$19:$O$22,MATCH(VLOOKUP($A95,main!$A$3:$H$102,7,FALSE),main!$K$18:$O$18,0),0))),0)</f>
        <v>0</v>
      </c>
      <c r="T95">
        <f>IF((gamma!T95),IF(VLOOKUP(T$1,main!$A$3:$H$102,7,FALSE)=VLOOKUP($A95,main!$A$3:$H$102,8,FALSE),VLOOKUP(T$1,main!$A$3:$H$102,4,FALSE),VLOOKUP(T$1,main!$A$3:$H$102,4,FALSE)+VLOOKUP($A95,main!$A$3:$H$102,4,FALSE)+(VLOOKUP(VLOOKUP(T$1,main!$A$3:$H$102,8,FALSE),main!$K$19:$O$22,MATCH(VLOOKUP($A95,main!$A$3:$H$102,7,FALSE),main!$K$18:$O$18,0),0))),0)</f>
        <v>293</v>
      </c>
      <c r="U95">
        <f>IF((gamma!U95),IF(VLOOKUP(U$1,main!$A$3:$H$102,7,FALSE)=VLOOKUP($A95,main!$A$3:$H$102,8,FALSE),VLOOKUP(U$1,main!$A$3:$H$102,4,FALSE),VLOOKUP(U$1,main!$A$3:$H$102,4,FALSE)+VLOOKUP($A95,main!$A$3:$H$102,4,FALSE)+(VLOOKUP(VLOOKUP(U$1,main!$A$3:$H$102,8,FALSE),main!$K$19:$O$22,MATCH(VLOOKUP($A95,main!$A$3:$H$102,7,FALSE),main!$K$18:$O$18,0),0))),0)</f>
        <v>293</v>
      </c>
      <c r="V95">
        <f>IF((gamma!V95),IF(VLOOKUP(V$1,main!$A$3:$H$102,7,FALSE)=VLOOKUP($A95,main!$A$3:$H$102,8,FALSE),VLOOKUP(V$1,main!$A$3:$H$102,4,FALSE),VLOOKUP(V$1,main!$A$3:$H$102,4,FALSE)+VLOOKUP($A95,main!$A$3:$H$102,4,FALSE)+(VLOOKUP(VLOOKUP(V$1,main!$A$3:$H$102,8,FALSE),main!$K$19:$O$22,MATCH(VLOOKUP($A95,main!$A$3:$H$102,7,FALSE),main!$K$18:$O$18,0),0))),0)</f>
        <v>293</v>
      </c>
      <c r="W95">
        <f>IF((gamma!W95),IF(VLOOKUP(W$1,main!$A$3:$H$102,7,FALSE)=VLOOKUP($A95,main!$A$3:$H$102,8,FALSE),VLOOKUP(W$1,main!$A$3:$H$102,4,FALSE),VLOOKUP(W$1,main!$A$3:$H$102,4,FALSE)+VLOOKUP($A95,main!$A$3:$H$102,4,FALSE)+(VLOOKUP(VLOOKUP(W$1,main!$A$3:$H$102,8,FALSE),main!$K$19:$O$22,MATCH(VLOOKUP($A95,main!$A$3:$H$102,7,FALSE),main!$K$18:$O$18,0),0))),0)</f>
        <v>0</v>
      </c>
      <c r="X95">
        <f>IF((gamma!X95),IF(VLOOKUP(X$1,main!$A$3:$H$102,7,FALSE)=VLOOKUP($A95,main!$A$3:$H$102,8,FALSE),VLOOKUP(X$1,main!$A$3:$H$102,4,FALSE),VLOOKUP(X$1,main!$A$3:$H$102,4,FALSE)+VLOOKUP($A95,main!$A$3:$H$102,4,FALSE)+(VLOOKUP(VLOOKUP(X$1,main!$A$3:$H$102,8,FALSE),main!$K$19:$O$22,MATCH(VLOOKUP($A95,main!$A$3:$H$102,7,FALSE),main!$K$18:$O$18,0),0))),0)</f>
        <v>0</v>
      </c>
      <c r="Y95">
        <f>IF((gamma!Y95),IF(VLOOKUP(Y$1,main!$A$3:$H$102,7,FALSE)=VLOOKUP($A95,main!$A$3:$H$102,8,FALSE),VLOOKUP(Y$1,main!$A$3:$H$102,4,FALSE),VLOOKUP(Y$1,main!$A$3:$H$102,4,FALSE)+VLOOKUP($A95,main!$A$3:$H$102,4,FALSE)+(VLOOKUP(VLOOKUP(Y$1,main!$A$3:$H$102,8,FALSE),main!$K$19:$O$22,MATCH(VLOOKUP($A95,main!$A$3:$H$102,7,FALSE),main!$K$18:$O$18,0),0))),0)</f>
        <v>0</v>
      </c>
      <c r="Z95">
        <f>IF((gamma!Z95),IF(VLOOKUP(Z$1,main!$A$3:$H$102,7,FALSE)=VLOOKUP($A95,main!$A$3:$H$102,8,FALSE),VLOOKUP(Z$1,main!$A$3:$H$102,4,FALSE),VLOOKUP(Z$1,main!$A$3:$H$102,4,FALSE)+VLOOKUP($A95,main!$A$3:$H$102,4,FALSE)+(VLOOKUP(VLOOKUP(Z$1,main!$A$3:$H$102,8,FALSE),main!$K$19:$O$22,MATCH(VLOOKUP($A95,main!$A$3:$H$102,7,FALSE),main!$K$18:$O$18,0),0))),0)</f>
        <v>260</v>
      </c>
      <c r="AA95">
        <f>IF((gamma!AA95),IF(VLOOKUP(AA$1,main!$A$3:$H$102,7,FALSE)=VLOOKUP($A95,main!$A$3:$H$102,8,FALSE),VLOOKUP(AA$1,main!$A$3:$H$102,4,FALSE),VLOOKUP(AA$1,main!$A$3:$H$102,4,FALSE)+VLOOKUP($A95,main!$A$3:$H$102,4,FALSE)+(VLOOKUP(VLOOKUP(AA$1,main!$A$3:$H$102,8,FALSE),main!$K$19:$O$22,MATCH(VLOOKUP($A95,main!$A$3:$H$102,7,FALSE),main!$K$18:$O$18,0),0))),0)</f>
        <v>260</v>
      </c>
      <c r="AB95">
        <f>IF((gamma!AB95),IF(VLOOKUP(AB$1,main!$A$3:$H$102,7,FALSE)=VLOOKUP($A95,main!$A$3:$H$102,8,FALSE),VLOOKUP(AB$1,main!$A$3:$H$102,4,FALSE),VLOOKUP(AB$1,main!$A$3:$H$102,4,FALSE)+VLOOKUP($A95,main!$A$3:$H$102,4,FALSE)+(VLOOKUP(VLOOKUP(AB$1,main!$A$3:$H$102,8,FALSE),main!$K$19:$O$22,MATCH(VLOOKUP($A95,main!$A$3:$H$102,7,FALSE),main!$K$18:$O$18,0),0))),0)</f>
        <v>0</v>
      </c>
      <c r="AC95">
        <f>IF((gamma!AC95),IF(VLOOKUP(AC$1,main!$A$3:$H$102,7,FALSE)=VLOOKUP($A95,main!$A$3:$H$102,8,FALSE),VLOOKUP(AC$1,main!$A$3:$H$102,4,FALSE),VLOOKUP(AC$1,main!$A$3:$H$102,4,FALSE)+VLOOKUP($A95,main!$A$3:$H$102,4,FALSE)+(VLOOKUP(VLOOKUP(AC$1,main!$A$3:$H$102,8,FALSE),main!$K$19:$O$22,MATCH(VLOOKUP($A95,main!$A$3:$H$102,7,FALSE),main!$K$18:$O$18,0),0))),0)</f>
        <v>0</v>
      </c>
      <c r="AD95">
        <f>IF((gamma!AD95),IF(VLOOKUP(AD$1,main!$A$3:$H$102,7,FALSE)=VLOOKUP($A95,main!$A$3:$H$102,8,FALSE),VLOOKUP(AD$1,main!$A$3:$H$102,4,FALSE),VLOOKUP(AD$1,main!$A$3:$H$102,4,FALSE)+VLOOKUP($A95,main!$A$3:$H$102,4,FALSE)+(VLOOKUP(VLOOKUP(AD$1,main!$A$3:$H$102,8,FALSE),main!$K$19:$O$22,MATCH(VLOOKUP($A95,main!$A$3:$H$102,7,FALSE),main!$K$18:$O$18,0),0))),0)</f>
        <v>0</v>
      </c>
      <c r="AE95">
        <f>IF((gamma!AE95),IF(VLOOKUP(AE$1,main!$A$3:$H$102,7,FALSE)=VLOOKUP($A95,main!$A$3:$H$102,8,FALSE),VLOOKUP(AE$1,main!$A$3:$H$102,4,FALSE),VLOOKUP(AE$1,main!$A$3:$H$102,4,FALSE)+VLOOKUP($A95,main!$A$3:$H$102,4,FALSE)+(VLOOKUP(VLOOKUP(AE$1,main!$A$3:$H$102,8,FALSE),main!$K$19:$O$22,MATCH(VLOOKUP($A95,main!$A$3:$H$102,7,FALSE),main!$K$18:$O$18,0),0))),0)</f>
        <v>0</v>
      </c>
      <c r="AF95">
        <f>IF((gamma!AF95),IF(VLOOKUP(AF$1,main!$A$3:$H$102,7,FALSE)=VLOOKUP($A95,main!$A$3:$H$102,8,FALSE),VLOOKUP(AF$1,main!$A$3:$H$102,4,FALSE),VLOOKUP(AF$1,main!$A$3:$H$102,4,FALSE)+VLOOKUP($A95,main!$A$3:$H$102,4,FALSE)+(VLOOKUP(VLOOKUP(AF$1,main!$A$3:$H$102,8,FALSE),main!$K$19:$O$22,MATCH(VLOOKUP($A95,main!$A$3:$H$102,7,FALSE),main!$K$18:$O$18,0),0))),0)</f>
        <v>220</v>
      </c>
      <c r="AG95">
        <f>IF((gamma!AG95),IF(VLOOKUP(AG$1,main!$A$3:$H$102,7,FALSE)=VLOOKUP($A95,main!$A$3:$H$102,8,FALSE),VLOOKUP(AG$1,main!$A$3:$H$102,4,FALSE),VLOOKUP(AG$1,main!$A$3:$H$102,4,FALSE)+VLOOKUP($A95,main!$A$3:$H$102,4,FALSE)+(VLOOKUP(VLOOKUP(AG$1,main!$A$3:$H$102,8,FALSE),main!$K$19:$O$22,MATCH(VLOOKUP($A95,main!$A$3:$H$102,7,FALSE),main!$K$18:$O$18,0),0))),0)</f>
        <v>0</v>
      </c>
      <c r="AH95">
        <f>IF((gamma!AH95),IF(VLOOKUP(AH$1,main!$A$3:$H$102,7,FALSE)=VLOOKUP($A95,main!$A$3:$H$102,8,FALSE),VLOOKUP(AH$1,main!$A$3:$H$102,4,FALSE),VLOOKUP(AH$1,main!$A$3:$H$102,4,FALSE)+VLOOKUP($A95,main!$A$3:$H$102,4,FALSE)+(VLOOKUP(VLOOKUP(AH$1,main!$A$3:$H$102,8,FALSE),main!$K$19:$O$22,MATCH(VLOOKUP($A95,main!$A$3:$H$102,7,FALSE),main!$K$18:$O$18,0),0))),0)</f>
        <v>0</v>
      </c>
      <c r="AI95">
        <f>IF((gamma!AI95),IF(VLOOKUP(AI$1,main!$A$3:$H$102,7,FALSE)=VLOOKUP($A95,main!$A$3:$H$102,8,FALSE),VLOOKUP(AI$1,main!$A$3:$H$102,4,FALSE),VLOOKUP(AI$1,main!$A$3:$H$102,4,FALSE)+VLOOKUP($A95,main!$A$3:$H$102,4,FALSE)+(VLOOKUP(VLOOKUP(AI$1,main!$A$3:$H$102,8,FALSE),main!$K$19:$O$22,MATCH(VLOOKUP($A95,main!$A$3:$H$102,7,FALSE),main!$K$18:$O$18,0),0))),0)</f>
        <v>0</v>
      </c>
      <c r="AJ95">
        <f>IF((gamma!AJ95),IF(VLOOKUP(AJ$1,main!$A$3:$H$102,7,FALSE)=VLOOKUP($A95,main!$A$3:$H$102,8,FALSE),VLOOKUP(AJ$1,main!$A$3:$H$102,4,FALSE),VLOOKUP(AJ$1,main!$A$3:$H$102,4,FALSE)+VLOOKUP($A95,main!$A$3:$H$102,4,FALSE)+(VLOOKUP(VLOOKUP(AJ$1,main!$A$3:$H$102,8,FALSE),main!$K$19:$O$22,MATCH(VLOOKUP($A95,main!$A$3:$H$102,7,FALSE),main!$K$18:$O$18,0),0))),0)</f>
        <v>0</v>
      </c>
      <c r="AK95">
        <f>IF((gamma!AK95),IF(VLOOKUP(AK$1,main!$A$3:$H$102,7,FALSE)=VLOOKUP($A95,main!$A$3:$H$102,8,FALSE),VLOOKUP(AK$1,main!$A$3:$H$102,4,FALSE),VLOOKUP(AK$1,main!$A$3:$H$102,4,FALSE)+VLOOKUP($A95,main!$A$3:$H$102,4,FALSE)+(VLOOKUP(VLOOKUP(AK$1,main!$A$3:$H$102,8,FALSE),main!$K$19:$O$22,MATCH(VLOOKUP($A95,main!$A$3:$H$102,7,FALSE),main!$K$18:$O$18,0),0))),0)</f>
        <v>0</v>
      </c>
      <c r="AL95">
        <f>IF((gamma!AL95),IF(VLOOKUP(AL$1,main!$A$3:$H$102,7,FALSE)=VLOOKUP($A95,main!$A$3:$H$102,8,FALSE),VLOOKUP(AL$1,main!$A$3:$H$102,4,FALSE),VLOOKUP(AL$1,main!$A$3:$H$102,4,FALSE)+VLOOKUP($A95,main!$A$3:$H$102,4,FALSE)+(VLOOKUP(VLOOKUP(AL$1,main!$A$3:$H$102,8,FALSE),main!$K$19:$O$22,MATCH(VLOOKUP($A95,main!$A$3:$H$102,7,FALSE),main!$K$18:$O$18,0),0))),0)</f>
        <v>290</v>
      </c>
      <c r="AM95">
        <f>IF((gamma!AM95),IF(VLOOKUP(AM$1,main!$A$3:$H$102,7,FALSE)=VLOOKUP($A95,main!$A$3:$H$102,8,FALSE),VLOOKUP(AM$1,main!$A$3:$H$102,4,FALSE),VLOOKUP(AM$1,main!$A$3:$H$102,4,FALSE)+VLOOKUP($A95,main!$A$3:$H$102,4,FALSE)+(VLOOKUP(VLOOKUP(AM$1,main!$A$3:$H$102,8,FALSE),main!$K$19:$O$22,MATCH(VLOOKUP($A95,main!$A$3:$H$102,7,FALSE),main!$K$18:$O$18,0),0))),0)</f>
        <v>290</v>
      </c>
      <c r="AN95">
        <f>IF((gamma!AN95),IF(VLOOKUP(AN$1,main!$A$3:$H$102,7,FALSE)=VLOOKUP($A95,main!$A$3:$H$102,8,FALSE),VLOOKUP(AN$1,main!$A$3:$H$102,4,FALSE),VLOOKUP(AN$1,main!$A$3:$H$102,4,FALSE)+VLOOKUP($A95,main!$A$3:$H$102,4,FALSE)+(VLOOKUP(VLOOKUP(AN$1,main!$A$3:$H$102,8,FALSE),main!$K$19:$O$22,MATCH(VLOOKUP($A95,main!$A$3:$H$102,7,FALSE),main!$K$18:$O$18,0),0))),0)</f>
        <v>290</v>
      </c>
      <c r="AO95">
        <f>IF((gamma!AO95),IF(VLOOKUP(AO$1,main!$A$3:$H$102,7,FALSE)=VLOOKUP($A95,main!$A$3:$H$102,8,FALSE),VLOOKUP(AO$1,main!$A$3:$H$102,4,FALSE),VLOOKUP(AO$1,main!$A$3:$H$102,4,FALSE)+VLOOKUP($A95,main!$A$3:$H$102,4,FALSE)+(VLOOKUP(VLOOKUP(AO$1,main!$A$3:$H$102,8,FALSE),main!$K$19:$O$22,MATCH(VLOOKUP($A95,main!$A$3:$H$102,7,FALSE),main!$K$18:$O$18,0),0))),0)</f>
        <v>0</v>
      </c>
      <c r="AP95">
        <f>IF((gamma!AP95),IF(VLOOKUP(AP$1,main!$A$3:$H$102,7,FALSE)=VLOOKUP($A95,main!$A$3:$H$102,8,FALSE),VLOOKUP(AP$1,main!$A$3:$H$102,4,FALSE),VLOOKUP(AP$1,main!$A$3:$H$102,4,FALSE)+VLOOKUP($A95,main!$A$3:$H$102,4,FALSE)+(VLOOKUP(VLOOKUP(AP$1,main!$A$3:$H$102,8,FALSE),main!$K$19:$O$22,MATCH(VLOOKUP($A95,main!$A$3:$H$102,7,FALSE),main!$K$18:$O$18,0),0))),0)</f>
        <v>230</v>
      </c>
      <c r="AQ95">
        <f>IF((gamma!AQ95),IF(VLOOKUP(AQ$1,main!$A$3:$H$102,7,FALSE)=VLOOKUP($A95,main!$A$3:$H$102,8,FALSE),VLOOKUP(AQ$1,main!$A$3:$H$102,4,FALSE),VLOOKUP(AQ$1,main!$A$3:$H$102,4,FALSE)+VLOOKUP($A95,main!$A$3:$H$102,4,FALSE)+(VLOOKUP(VLOOKUP(AQ$1,main!$A$3:$H$102,8,FALSE),main!$K$19:$O$22,MATCH(VLOOKUP($A95,main!$A$3:$H$102,7,FALSE),main!$K$18:$O$18,0),0))),0)</f>
        <v>0</v>
      </c>
      <c r="AR95">
        <f>IF((gamma!AR95),IF(VLOOKUP(AR$1,main!$A$3:$H$102,7,FALSE)=VLOOKUP($A95,main!$A$3:$H$102,8,FALSE),VLOOKUP(AR$1,main!$A$3:$H$102,4,FALSE),VLOOKUP(AR$1,main!$A$3:$H$102,4,FALSE)+VLOOKUP($A95,main!$A$3:$H$102,4,FALSE)+(VLOOKUP(VLOOKUP(AR$1,main!$A$3:$H$102,8,FALSE),main!$K$19:$O$22,MATCH(VLOOKUP($A95,main!$A$3:$H$102,7,FALSE),main!$K$18:$O$18,0),0))),0)</f>
        <v>0</v>
      </c>
      <c r="AS95">
        <f>IF((gamma!AS95),IF(VLOOKUP(AS$1,main!$A$3:$H$102,7,FALSE)=VLOOKUP($A95,main!$A$3:$H$102,8,FALSE),VLOOKUP(AS$1,main!$A$3:$H$102,4,FALSE),VLOOKUP(AS$1,main!$A$3:$H$102,4,FALSE)+VLOOKUP($A95,main!$A$3:$H$102,4,FALSE)+(VLOOKUP(VLOOKUP(AS$1,main!$A$3:$H$102,8,FALSE),main!$K$19:$O$22,MATCH(VLOOKUP($A95,main!$A$3:$H$102,7,FALSE),main!$K$18:$O$18,0),0))),0)</f>
        <v>0</v>
      </c>
      <c r="AT95">
        <f>IF((gamma!AT95),IF(VLOOKUP(AT$1,main!$A$3:$H$102,7,FALSE)=VLOOKUP($A95,main!$A$3:$H$102,8,FALSE),VLOOKUP(AT$1,main!$A$3:$H$102,4,FALSE),VLOOKUP(AT$1,main!$A$3:$H$102,4,FALSE)+VLOOKUP($A95,main!$A$3:$H$102,4,FALSE)+(VLOOKUP(VLOOKUP(AT$1,main!$A$3:$H$102,8,FALSE),main!$K$19:$O$22,MATCH(VLOOKUP($A95,main!$A$3:$H$102,7,FALSE),main!$K$18:$O$18,0),0))),0)</f>
        <v>283</v>
      </c>
      <c r="AU95">
        <f>IF((gamma!AU95),IF(VLOOKUP(AU$1,main!$A$3:$H$102,7,FALSE)=VLOOKUP($A95,main!$A$3:$H$102,8,FALSE),VLOOKUP(AU$1,main!$A$3:$H$102,4,FALSE),VLOOKUP(AU$1,main!$A$3:$H$102,4,FALSE)+VLOOKUP($A95,main!$A$3:$H$102,4,FALSE)+(VLOOKUP(VLOOKUP(AU$1,main!$A$3:$H$102,8,FALSE),main!$K$19:$O$22,MATCH(VLOOKUP($A95,main!$A$3:$H$102,7,FALSE),main!$K$18:$O$18,0),0))),0)</f>
        <v>0</v>
      </c>
      <c r="AV95">
        <f>IF((gamma!AV95),IF(VLOOKUP(AV$1,main!$A$3:$H$102,7,FALSE)=VLOOKUP($A95,main!$A$3:$H$102,8,FALSE),VLOOKUP(AV$1,main!$A$3:$H$102,4,FALSE),VLOOKUP(AV$1,main!$A$3:$H$102,4,FALSE)+VLOOKUP($A95,main!$A$3:$H$102,4,FALSE)+(VLOOKUP(VLOOKUP(AV$1,main!$A$3:$H$102,8,FALSE),main!$K$19:$O$22,MATCH(VLOOKUP($A95,main!$A$3:$H$102,7,FALSE),main!$K$18:$O$18,0),0))),0)</f>
        <v>0</v>
      </c>
      <c r="AW95">
        <f>IF((gamma!AW95),IF(VLOOKUP(AW$1,main!$A$3:$H$102,7,FALSE)=VLOOKUP($A95,main!$A$3:$H$102,8,FALSE),VLOOKUP(AW$1,main!$A$3:$H$102,4,FALSE),VLOOKUP(AW$1,main!$A$3:$H$102,4,FALSE)+VLOOKUP($A95,main!$A$3:$H$102,4,FALSE)+(VLOOKUP(VLOOKUP(AW$1,main!$A$3:$H$102,8,FALSE),main!$K$19:$O$22,MATCH(VLOOKUP($A95,main!$A$3:$H$102,7,FALSE),main!$K$18:$O$18,0),0))),0)</f>
        <v>0</v>
      </c>
      <c r="AX95">
        <f>IF((gamma!AX95),IF(VLOOKUP(AX$1,main!$A$3:$H$102,7,FALSE)=VLOOKUP($A95,main!$A$3:$H$102,8,FALSE),VLOOKUP(AX$1,main!$A$3:$H$102,4,FALSE),VLOOKUP(AX$1,main!$A$3:$H$102,4,FALSE)+VLOOKUP($A95,main!$A$3:$H$102,4,FALSE)+(VLOOKUP(VLOOKUP(AX$1,main!$A$3:$H$102,8,FALSE),main!$K$19:$O$22,MATCH(VLOOKUP($A95,main!$A$3:$H$102,7,FALSE),main!$K$18:$O$18,0),0))),0)</f>
        <v>0</v>
      </c>
      <c r="AY95">
        <f>IF((gamma!AY95),IF(VLOOKUP(AY$1,main!$A$3:$H$102,7,FALSE)=VLOOKUP($A95,main!$A$3:$H$102,8,FALSE),VLOOKUP(AY$1,main!$A$3:$H$102,4,FALSE),VLOOKUP(AY$1,main!$A$3:$H$102,4,FALSE)+VLOOKUP($A95,main!$A$3:$H$102,4,FALSE)+(VLOOKUP(VLOOKUP(AY$1,main!$A$3:$H$102,8,FALSE),main!$K$19:$O$22,MATCH(VLOOKUP($A95,main!$A$3:$H$102,7,FALSE),main!$K$18:$O$18,0),0))),0)</f>
        <v>0</v>
      </c>
      <c r="AZ95">
        <f>IF((gamma!AZ95),IF(VLOOKUP(AZ$1,main!$A$3:$H$102,7,FALSE)=VLOOKUP($A95,main!$A$3:$H$102,8,FALSE),VLOOKUP(AZ$1,main!$A$3:$H$102,4,FALSE),VLOOKUP(AZ$1,main!$A$3:$H$102,4,FALSE)+VLOOKUP($A95,main!$A$3:$H$102,4,FALSE)+(VLOOKUP(VLOOKUP(AZ$1,main!$A$3:$H$102,8,FALSE),main!$K$19:$O$22,MATCH(VLOOKUP($A95,main!$A$3:$H$102,7,FALSE),main!$K$18:$O$18,0),0))),0)</f>
        <v>0</v>
      </c>
      <c r="BA95">
        <f>IF((gamma!BA95),IF(VLOOKUP(BA$1,main!$A$3:$H$102,7,FALSE)=VLOOKUP($A95,main!$A$3:$H$102,8,FALSE),VLOOKUP(BA$1,main!$A$3:$H$102,4,FALSE),VLOOKUP(BA$1,main!$A$3:$H$102,4,FALSE)+VLOOKUP($A95,main!$A$3:$H$102,4,FALSE)+(VLOOKUP(VLOOKUP(BA$1,main!$A$3:$H$102,8,FALSE),main!$K$19:$O$22,MATCH(VLOOKUP($A95,main!$A$3:$H$102,7,FALSE),main!$K$18:$O$18,0),0))),0)</f>
        <v>0</v>
      </c>
      <c r="BB95">
        <f>IF((gamma!BB95),IF(VLOOKUP(BB$1,main!$A$3:$H$102,7,FALSE)=VLOOKUP($A95,main!$A$3:$H$102,8,FALSE),VLOOKUP(BB$1,main!$A$3:$H$102,4,FALSE),VLOOKUP(BB$1,main!$A$3:$H$102,4,FALSE)+VLOOKUP($A95,main!$A$3:$H$102,4,FALSE)+(VLOOKUP(VLOOKUP(BB$1,main!$A$3:$H$102,8,FALSE),main!$K$19:$O$22,MATCH(VLOOKUP($A95,main!$A$3:$H$102,7,FALSE),main!$K$18:$O$18,0),0))),0)</f>
        <v>0</v>
      </c>
      <c r="BC95">
        <f>IF((gamma!BC95),IF(VLOOKUP(BC$1,main!$A$3:$H$102,7,FALSE)=VLOOKUP($A95,main!$A$3:$H$102,8,FALSE),VLOOKUP(BC$1,main!$A$3:$H$102,4,FALSE),VLOOKUP(BC$1,main!$A$3:$H$102,4,FALSE)+VLOOKUP($A95,main!$A$3:$H$102,4,FALSE)+(VLOOKUP(VLOOKUP(BC$1,main!$A$3:$H$102,8,FALSE),main!$K$19:$O$22,MATCH(VLOOKUP($A95,main!$A$3:$H$102,7,FALSE),main!$K$18:$O$18,0),0))),0)</f>
        <v>0</v>
      </c>
      <c r="BD95">
        <f>IF((gamma!BD95),IF(VLOOKUP(BD$1,main!$A$3:$H$102,7,FALSE)=VLOOKUP($A95,main!$A$3:$H$102,8,FALSE),VLOOKUP(BD$1,main!$A$3:$H$102,4,FALSE),VLOOKUP(BD$1,main!$A$3:$H$102,4,FALSE)+VLOOKUP($A95,main!$A$3:$H$102,4,FALSE)+(VLOOKUP(VLOOKUP(BD$1,main!$A$3:$H$102,8,FALSE),main!$K$19:$O$22,MATCH(VLOOKUP($A95,main!$A$3:$H$102,7,FALSE),main!$K$18:$O$18,0),0))),0)</f>
        <v>140</v>
      </c>
      <c r="BE95">
        <f>IF((gamma!BE95),IF(VLOOKUP(BE$1,main!$A$3:$H$102,7,FALSE)=VLOOKUP($A95,main!$A$3:$H$102,8,FALSE),VLOOKUP(BE$1,main!$A$3:$H$102,4,FALSE),VLOOKUP(BE$1,main!$A$3:$H$102,4,FALSE)+VLOOKUP($A95,main!$A$3:$H$102,4,FALSE)+(VLOOKUP(VLOOKUP(BE$1,main!$A$3:$H$102,8,FALSE),main!$K$19:$O$22,MATCH(VLOOKUP($A95,main!$A$3:$H$102,7,FALSE),main!$K$18:$O$18,0),0))),0)</f>
        <v>140</v>
      </c>
      <c r="BF95">
        <f>IF((gamma!BF95),IF(VLOOKUP(BF$1,main!$A$3:$H$102,7,FALSE)=VLOOKUP($A95,main!$A$3:$H$102,8,FALSE),VLOOKUP(BF$1,main!$A$3:$H$102,4,FALSE),VLOOKUP(BF$1,main!$A$3:$H$102,4,FALSE)+VLOOKUP($A95,main!$A$3:$H$102,4,FALSE)+(VLOOKUP(VLOOKUP(BF$1,main!$A$3:$H$102,8,FALSE),main!$K$19:$O$22,MATCH(VLOOKUP($A95,main!$A$3:$H$102,7,FALSE),main!$K$18:$O$18,0),0))),0)</f>
        <v>0</v>
      </c>
      <c r="BG95">
        <f>IF((gamma!BG95),IF(VLOOKUP(BG$1,main!$A$3:$H$102,7,FALSE)=VLOOKUP($A95,main!$A$3:$H$102,8,FALSE),VLOOKUP(BG$1,main!$A$3:$H$102,4,FALSE),VLOOKUP(BG$1,main!$A$3:$H$102,4,FALSE)+VLOOKUP($A95,main!$A$3:$H$102,4,FALSE)+(VLOOKUP(VLOOKUP(BG$1,main!$A$3:$H$102,8,FALSE),main!$K$19:$O$22,MATCH(VLOOKUP($A95,main!$A$3:$H$102,7,FALSE),main!$K$18:$O$18,0),0))),0)</f>
        <v>0</v>
      </c>
      <c r="BH95">
        <f>IF((gamma!BH95),IF(VLOOKUP(BH$1,main!$A$3:$H$102,7,FALSE)=VLOOKUP($A95,main!$A$3:$H$102,8,FALSE),VLOOKUP(BH$1,main!$A$3:$H$102,4,FALSE),VLOOKUP(BH$1,main!$A$3:$H$102,4,FALSE)+VLOOKUP($A95,main!$A$3:$H$102,4,FALSE)+(VLOOKUP(VLOOKUP(BH$1,main!$A$3:$H$102,8,FALSE),main!$K$19:$O$22,MATCH(VLOOKUP($A95,main!$A$3:$H$102,7,FALSE),main!$K$18:$O$18,0),0))),0)</f>
        <v>0</v>
      </c>
      <c r="BI95">
        <f>IF((gamma!BI95),IF(VLOOKUP(BI$1,main!$A$3:$H$102,7,FALSE)=VLOOKUP($A95,main!$A$3:$H$102,8,FALSE),VLOOKUP(BI$1,main!$A$3:$H$102,4,FALSE),VLOOKUP(BI$1,main!$A$3:$H$102,4,FALSE)+VLOOKUP($A95,main!$A$3:$H$102,4,FALSE)+(VLOOKUP(VLOOKUP(BI$1,main!$A$3:$H$102,8,FALSE),main!$K$19:$O$22,MATCH(VLOOKUP($A95,main!$A$3:$H$102,7,FALSE),main!$K$18:$O$18,0),0))),0)</f>
        <v>60</v>
      </c>
      <c r="BJ95">
        <f>IF((gamma!BJ95),IF(VLOOKUP(BJ$1,main!$A$3:$H$102,7,FALSE)=VLOOKUP($A95,main!$A$3:$H$102,8,FALSE),VLOOKUP(BJ$1,main!$A$3:$H$102,4,FALSE),VLOOKUP(BJ$1,main!$A$3:$H$102,4,FALSE)+VLOOKUP($A95,main!$A$3:$H$102,4,FALSE)+(VLOOKUP(VLOOKUP(BJ$1,main!$A$3:$H$102,8,FALSE),main!$K$19:$O$22,MATCH(VLOOKUP($A95,main!$A$3:$H$102,7,FALSE),main!$K$18:$O$18,0),0))),0)</f>
        <v>90</v>
      </c>
      <c r="BK95">
        <f>IF((gamma!BK95),IF(VLOOKUP(BK$1,main!$A$3:$H$102,7,FALSE)=VLOOKUP($A95,main!$A$3:$H$102,8,FALSE),VLOOKUP(BK$1,main!$A$3:$H$102,4,FALSE),VLOOKUP(BK$1,main!$A$3:$H$102,4,FALSE)+VLOOKUP($A95,main!$A$3:$H$102,4,FALSE)+(VLOOKUP(VLOOKUP(BK$1,main!$A$3:$H$102,8,FALSE),main!$K$19:$O$22,MATCH(VLOOKUP($A95,main!$A$3:$H$102,7,FALSE),main!$K$18:$O$18,0),0))),0)</f>
        <v>0</v>
      </c>
      <c r="BL95">
        <f>IF((gamma!BL95),IF(VLOOKUP(BL$1,main!$A$3:$H$102,7,FALSE)=VLOOKUP($A95,main!$A$3:$H$102,8,FALSE),VLOOKUP(BL$1,main!$A$3:$H$102,4,FALSE),VLOOKUP(BL$1,main!$A$3:$H$102,4,FALSE)+VLOOKUP($A95,main!$A$3:$H$102,4,FALSE)+(VLOOKUP(VLOOKUP(BL$1,main!$A$3:$H$102,8,FALSE),main!$K$19:$O$22,MATCH(VLOOKUP($A95,main!$A$3:$H$102,7,FALSE),main!$K$18:$O$18,0),0))),0)</f>
        <v>0</v>
      </c>
      <c r="BM95">
        <f>IF((gamma!BM95),IF(VLOOKUP(BM$1,main!$A$3:$H$102,7,FALSE)=VLOOKUP($A95,main!$A$3:$H$102,8,FALSE),VLOOKUP(BM$1,main!$A$3:$H$102,4,FALSE),VLOOKUP(BM$1,main!$A$3:$H$102,4,FALSE)+VLOOKUP($A95,main!$A$3:$H$102,4,FALSE)+(VLOOKUP(VLOOKUP(BM$1,main!$A$3:$H$102,8,FALSE),main!$K$19:$O$22,MATCH(VLOOKUP($A95,main!$A$3:$H$102,7,FALSE),main!$K$18:$O$18,0),0))),0)</f>
        <v>0</v>
      </c>
      <c r="BN95">
        <f>IF((gamma!BN95),IF(VLOOKUP(BN$1,main!$A$3:$H$102,7,FALSE)=VLOOKUP($A95,main!$A$3:$H$102,8,FALSE),VLOOKUP(BN$1,main!$A$3:$H$102,4,FALSE),VLOOKUP(BN$1,main!$A$3:$H$102,4,FALSE)+VLOOKUP($A95,main!$A$3:$H$102,4,FALSE)+(VLOOKUP(VLOOKUP(BN$1,main!$A$3:$H$102,8,FALSE),main!$K$19:$O$22,MATCH(VLOOKUP($A95,main!$A$3:$H$102,7,FALSE),main!$K$18:$O$18,0),0))),0)</f>
        <v>0</v>
      </c>
      <c r="BO95">
        <f>IF((gamma!BO95),IF(VLOOKUP(BO$1,main!$A$3:$H$102,7,FALSE)=VLOOKUP($A95,main!$A$3:$H$102,8,FALSE),VLOOKUP(BO$1,main!$A$3:$H$102,4,FALSE),VLOOKUP(BO$1,main!$A$3:$H$102,4,FALSE)+VLOOKUP($A95,main!$A$3:$H$102,4,FALSE)+(VLOOKUP(VLOOKUP(BO$1,main!$A$3:$H$102,8,FALSE),main!$K$19:$O$22,MATCH(VLOOKUP($A95,main!$A$3:$H$102,7,FALSE),main!$K$18:$O$18,0),0))),0)</f>
        <v>0</v>
      </c>
      <c r="BP95">
        <f>IF((gamma!BP95),IF(VLOOKUP(BP$1,main!$A$3:$H$102,7,FALSE)=VLOOKUP($A95,main!$A$3:$H$102,8,FALSE),VLOOKUP(BP$1,main!$A$3:$H$102,4,FALSE),VLOOKUP(BP$1,main!$A$3:$H$102,4,FALSE)+VLOOKUP($A95,main!$A$3:$H$102,4,FALSE)+(VLOOKUP(VLOOKUP(BP$1,main!$A$3:$H$102,8,FALSE),main!$K$19:$O$22,MATCH(VLOOKUP($A95,main!$A$3:$H$102,7,FALSE),main!$K$18:$O$18,0),0))),0)</f>
        <v>0</v>
      </c>
      <c r="BQ95">
        <f>IF((gamma!BQ95),IF(VLOOKUP(BQ$1,main!$A$3:$H$102,7,FALSE)=VLOOKUP($A95,main!$A$3:$H$102,8,FALSE),VLOOKUP(BQ$1,main!$A$3:$H$102,4,FALSE),VLOOKUP(BQ$1,main!$A$3:$H$102,4,FALSE)+VLOOKUP($A95,main!$A$3:$H$102,4,FALSE)+(VLOOKUP(VLOOKUP(BQ$1,main!$A$3:$H$102,8,FALSE),main!$K$19:$O$22,MATCH(VLOOKUP($A95,main!$A$3:$H$102,7,FALSE),main!$K$18:$O$18,0),0))),0)</f>
        <v>0</v>
      </c>
      <c r="BR95">
        <f>IF((gamma!BR95),IF(VLOOKUP(BR$1,main!$A$3:$H$102,7,FALSE)=VLOOKUP($A95,main!$A$3:$H$102,8,FALSE),VLOOKUP(BR$1,main!$A$3:$H$102,4,FALSE),VLOOKUP(BR$1,main!$A$3:$H$102,4,FALSE)+VLOOKUP($A95,main!$A$3:$H$102,4,FALSE)+(VLOOKUP(VLOOKUP(BR$1,main!$A$3:$H$102,8,FALSE),main!$K$19:$O$22,MATCH(VLOOKUP($A95,main!$A$3:$H$102,7,FALSE),main!$K$18:$O$18,0),0))),0)</f>
        <v>0</v>
      </c>
      <c r="BS95">
        <f>IF((gamma!BS95),IF(VLOOKUP(BS$1,main!$A$3:$H$102,7,FALSE)=VLOOKUP($A95,main!$A$3:$H$102,8,FALSE),VLOOKUP(BS$1,main!$A$3:$H$102,4,FALSE),VLOOKUP(BS$1,main!$A$3:$H$102,4,FALSE)+VLOOKUP($A95,main!$A$3:$H$102,4,FALSE)+(VLOOKUP(VLOOKUP(BS$1,main!$A$3:$H$102,8,FALSE),main!$K$19:$O$22,MATCH(VLOOKUP($A95,main!$A$3:$H$102,7,FALSE),main!$K$18:$O$18,0),0))),0)</f>
        <v>0</v>
      </c>
      <c r="BT95">
        <f>IF((gamma!BT95),IF(VLOOKUP(BT$1,main!$A$3:$H$102,7,FALSE)=VLOOKUP($A95,main!$A$3:$H$102,8,FALSE),VLOOKUP(BT$1,main!$A$3:$H$102,4,FALSE),VLOOKUP(BT$1,main!$A$3:$H$102,4,FALSE)+VLOOKUP($A95,main!$A$3:$H$102,4,FALSE)+(VLOOKUP(VLOOKUP(BT$1,main!$A$3:$H$102,8,FALSE),main!$K$19:$O$22,MATCH(VLOOKUP($A95,main!$A$3:$H$102,7,FALSE),main!$K$18:$O$18,0),0))),0)</f>
        <v>0</v>
      </c>
      <c r="BU95">
        <f>IF((gamma!BU95),IF(VLOOKUP(BU$1,main!$A$3:$H$102,7,FALSE)=VLOOKUP($A95,main!$A$3:$H$102,8,FALSE),VLOOKUP(BU$1,main!$A$3:$H$102,4,FALSE),VLOOKUP(BU$1,main!$A$3:$H$102,4,FALSE)+VLOOKUP($A95,main!$A$3:$H$102,4,FALSE)+(VLOOKUP(VLOOKUP(BU$1,main!$A$3:$H$102,8,FALSE),main!$K$19:$O$22,MATCH(VLOOKUP($A95,main!$A$3:$H$102,7,FALSE),main!$K$18:$O$18,0),0))),0)</f>
        <v>0</v>
      </c>
      <c r="BV95">
        <f>IF((gamma!BV95),IF(VLOOKUP(BV$1,main!$A$3:$H$102,7,FALSE)=VLOOKUP($A95,main!$A$3:$H$102,8,FALSE),VLOOKUP(BV$1,main!$A$3:$H$102,4,FALSE),VLOOKUP(BV$1,main!$A$3:$H$102,4,FALSE)+VLOOKUP($A95,main!$A$3:$H$102,4,FALSE)+(VLOOKUP(VLOOKUP(BV$1,main!$A$3:$H$102,8,FALSE),main!$K$19:$O$22,MATCH(VLOOKUP($A95,main!$A$3:$H$102,7,FALSE),main!$K$18:$O$18,0),0))),0)</f>
        <v>0</v>
      </c>
      <c r="BW95">
        <f>IF((gamma!BW95),IF(VLOOKUP(BW$1,main!$A$3:$H$102,7,FALSE)=VLOOKUP($A95,main!$A$3:$H$102,8,FALSE),VLOOKUP(BW$1,main!$A$3:$H$102,4,FALSE),VLOOKUP(BW$1,main!$A$3:$H$102,4,FALSE)+VLOOKUP($A95,main!$A$3:$H$102,4,FALSE)+(VLOOKUP(VLOOKUP(BW$1,main!$A$3:$H$102,8,FALSE),main!$K$19:$O$22,MATCH(VLOOKUP($A95,main!$A$3:$H$102,7,FALSE),main!$K$18:$O$18,0),0))),0)</f>
        <v>0</v>
      </c>
      <c r="BX95">
        <f>IF((gamma!BX95),IF(VLOOKUP(BX$1,main!$A$3:$H$102,7,FALSE)=VLOOKUP($A95,main!$A$3:$H$102,8,FALSE),VLOOKUP(BX$1,main!$A$3:$H$102,4,FALSE),VLOOKUP(BX$1,main!$A$3:$H$102,4,FALSE)+VLOOKUP($A95,main!$A$3:$H$102,4,FALSE)+(VLOOKUP(VLOOKUP(BX$1,main!$A$3:$H$102,8,FALSE),main!$K$19:$O$22,MATCH(VLOOKUP($A95,main!$A$3:$H$102,7,FALSE),main!$K$18:$O$18,0),0))),0)</f>
        <v>0</v>
      </c>
      <c r="BY95">
        <f>IF((gamma!BY95),IF(VLOOKUP(BY$1,main!$A$3:$H$102,7,FALSE)=VLOOKUP($A95,main!$A$3:$H$102,8,FALSE),VLOOKUP(BY$1,main!$A$3:$H$102,4,FALSE),VLOOKUP(BY$1,main!$A$3:$H$102,4,FALSE)+VLOOKUP($A95,main!$A$3:$H$102,4,FALSE)+(VLOOKUP(VLOOKUP(BY$1,main!$A$3:$H$102,8,FALSE),main!$K$19:$O$22,MATCH(VLOOKUP($A95,main!$A$3:$H$102,7,FALSE),main!$K$18:$O$18,0),0))),0)</f>
        <v>0</v>
      </c>
      <c r="BZ95">
        <f>IF((gamma!BZ95),IF(VLOOKUP(BZ$1,main!$A$3:$H$102,7,FALSE)=VLOOKUP($A95,main!$A$3:$H$102,8,FALSE),VLOOKUP(BZ$1,main!$A$3:$H$102,4,FALSE),VLOOKUP(BZ$1,main!$A$3:$H$102,4,FALSE)+VLOOKUP($A95,main!$A$3:$H$102,4,FALSE)+(VLOOKUP(VLOOKUP(BZ$1,main!$A$3:$H$102,8,FALSE),main!$K$19:$O$22,MATCH(VLOOKUP($A95,main!$A$3:$H$102,7,FALSE),main!$K$18:$O$18,0),0))),0)</f>
        <v>0</v>
      </c>
      <c r="CA95">
        <f>IF((gamma!CA95),IF(VLOOKUP(CA$1,main!$A$3:$H$102,7,FALSE)=VLOOKUP($A95,main!$A$3:$H$102,8,FALSE),VLOOKUP(CA$1,main!$A$3:$H$102,4,FALSE),VLOOKUP(CA$1,main!$A$3:$H$102,4,FALSE)+VLOOKUP($A95,main!$A$3:$H$102,4,FALSE)+(VLOOKUP(VLOOKUP(CA$1,main!$A$3:$H$102,8,FALSE),main!$K$19:$O$22,MATCH(VLOOKUP($A95,main!$A$3:$H$102,7,FALSE),main!$K$18:$O$18,0),0))),0)</f>
        <v>0</v>
      </c>
      <c r="CB95">
        <f>IF((gamma!CB95),IF(VLOOKUP(CB$1,main!$A$3:$H$102,7,FALSE)=VLOOKUP($A95,main!$A$3:$H$102,8,FALSE),VLOOKUP(CB$1,main!$A$3:$H$102,4,FALSE),VLOOKUP(CB$1,main!$A$3:$H$102,4,FALSE)+VLOOKUP($A95,main!$A$3:$H$102,4,FALSE)+(VLOOKUP(VLOOKUP(CB$1,main!$A$3:$H$102,8,FALSE),main!$K$19:$O$22,MATCH(VLOOKUP($A95,main!$A$3:$H$102,7,FALSE),main!$K$18:$O$18,0),0))),0)</f>
        <v>0</v>
      </c>
      <c r="CC95">
        <f>IF((gamma!CC95),IF(VLOOKUP(CC$1,main!$A$3:$H$102,7,FALSE)=VLOOKUP($A95,main!$A$3:$H$102,8,FALSE),VLOOKUP(CC$1,main!$A$3:$H$102,4,FALSE),VLOOKUP(CC$1,main!$A$3:$H$102,4,FALSE)+VLOOKUP($A95,main!$A$3:$H$102,4,FALSE)+(VLOOKUP(VLOOKUP(CC$1,main!$A$3:$H$102,8,FALSE),main!$K$19:$O$22,MATCH(VLOOKUP($A95,main!$A$3:$H$102,7,FALSE),main!$K$18:$O$18,0),0))),0)</f>
        <v>55</v>
      </c>
      <c r="CD95">
        <f>IF((gamma!CD95),IF(VLOOKUP(CD$1,main!$A$3:$H$102,7,FALSE)=VLOOKUP($A95,main!$A$3:$H$102,8,FALSE),VLOOKUP(CD$1,main!$A$3:$H$102,4,FALSE),VLOOKUP(CD$1,main!$A$3:$H$102,4,FALSE)+VLOOKUP($A95,main!$A$3:$H$102,4,FALSE)+(VLOOKUP(VLOOKUP(CD$1,main!$A$3:$H$102,8,FALSE),main!$K$19:$O$22,MATCH(VLOOKUP($A95,main!$A$3:$H$102,7,FALSE),main!$K$18:$O$18,0),0))),0)</f>
        <v>0</v>
      </c>
      <c r="CE95">
        <f>IF((gamma!CE95),IF(VLOOKUP(CE$1,main!$A$3:$H$102,7,FALSE)=VLOOKUP($A95,main!$A$3:$H$102,8,FALSE),VLOOKUP(CE$1,main!$A$3:$H$102,4,FALSE),VLOOKUP(CE$1,main!$A$3:$H$102,4,FALSE)+VLOOKUP($A95,main!$A$3:$H$102,4,FALSE)+(VLOOKUP(VLOOKUP(CE$1,main!$A$3:$H$102,8,FALSE),main!$K$19:$O$22,MATCH(VLOOKUP($A95,main!$A$3:$H$102,7,FALSE),main!$K$18:$O$18,0),0))),0)</f>
        <v>0</v>
      </c>
      <c r="CF95">
        <f>IF((gamma!CF95),IF(VLOOKUP(CF$1,main!$A$3:$H$102,7,FALSE)=VLOOKUP($A95,main!$A$3:$H$102,8,FALSE),VLOOKUP(CF$1,main!$A$3:$H$102,4,FALSE),VLOOKUP(CF$1,main!$A$3:$H$102,4,FALSE)+VLOOKUP($A95,main!$A$3:$H$102,4,FALSE)+(VLOOKUP(VLOOKUP(CF$1,main!$A$3:$H$102,8,FALSE),main!$K$19:$O$22,MATCH(VLOOKUP($A95,main!$A$3:$H$102,7,FALSE),main!$K$18:$O$18,0),0))),0)</f>
        <v>0</v>
      </c>
      <c r="CG95">
        <f>IF((gamma!CG95),IF(VLOOKUP(CG$1,main!$A$3:$H$102,7,FALSE)=VLOOKUP($A95,main!$A$3:$H$102,8,FALSE),VLOOKUP(CG$1,main!$A$3:$H$102,4,FALSE),VLOOKUP(CG$1,main!$A$3:$H$102,4,FALSE)+VLOOKUP($A95,main!$A$3:$H$102,4,FALSE)+(VLOOKUP(VLOOKUP(CG$1,main!$A$3:$H$102,8,FALSE),main!$K$19:$O$22,MATCH(VLOOKUP($A95,main!$A$3:$H$102,7,FALSE),main!$K$18:$O$18,0),0))),0)</f>
        <v>0</v>
      </c>
      <c r="CH95">
        <f>IF((gamma!CH95),IF(VLOOKUP(CH$1,main!$A$3:$H$102,7,FALSE)=VLOOKUP($A95,main!$A$3:$H$102,8,FALSE),VLOOKUP(CH$1,main!$A$3:$H$102,4,FALSE),VLOOKUP(CH$1,main!$A$3:$H$102,4,FALSE)+VLOOKUP($A95,main!$A$3:$H$102,4,FALSE)+(VLOOKUP(VLOOKUP(CH$1,main!$A$3:$H$102,8,FALSE),main!$K$19:$O$22,MATCH(VLOOKUP($A95,main!$A$3:$H$102,7,FALSE),main!$K$18:$O$18,0),0))),0)</f>
        <v>295</v>
      </c>
      <c r="CI95">
        <f>IF((gamma!CI95),IF(VLOOKUP(CI$1,main!$A$3:$H$102,7,FALSE)=VLOOKUP($A95,main!$A$3:$H$102,8,FALSE),VLOOKUP(CI$1,main!$A$3:$H$102,4,FALSE),VLOOKUP(CI$1,main!$A$3:$H$102,4,FALSE)+VLOOKUP($A95,main!$A$3:$H$102,4,FALSE)+(VLOOKUP(VLOOKUP(CI$1,main!$A$3:$H$102,8,FALSE),main!$K$19:$O$22,MATCH(VLOOKUP($A95,main!$A$3:$H$102,7,FALSE),main!$K$18:$O$18,0),0))),0)</f>
        <v>295</v>
      </c>
      <c r="CJ95">
        <f>IF((gamma!CJ95),IF(VLOOKUP(CJ$1,main!$A$3:$H$102,7,FALSE)=VLOOKUP($A95,main!$A$3:$H$102,8,FALSE),VLOOKUP(CJ$1,main!$A$3:$H$102,4,FALSE),VLOOKUP(CJ$1,main!$A$3:$H$102,4,FALSE)+VLOOKUP($A95,main!$A$3:$H$102,4,FALSE)+(VLOOKUP(VLOOKUP(CJ$1,main!$A$3:$H$102,8,FALSE),main!$K$19:$O$22,MATCH(VLOOKUP($A95,main!$A$3:$H$102,7,FALSE),main!$K$18:$O$18,0),0))),0)</f>
        <v>0</v>
      </c>
      <c r="CK95">
        <f>IF((gamma!CK95),IF(VLOOKUP(CK$1,main!$A$3:$H$102,7,FALSE)=VLOOKUP($A95,main!$A$3:$H$102,8,FALSE),VLOOKUP(CK$1,main!$A$3:$H$102,4,FALSE),VLOOKUP(CK$1,main!$A$3:$H$102,4,FALSE)+VLOOKUP($A95,main!$A$3:$H$102,4,FALSE)+(VLOOKUP(VLOOKUP(CK$1,main!$A$3:$H$102,8,FALSE),main!$K$19:$O$22,MATCH(VLOOKUP($A95,main!$A$3:$H$102,7,FALSE),main!$K$18:$O$18,0),0))),0)</f>
        <v>0</v>
      </c>
      <c r="CL95">
        <f>IF((gamma!CL95),IF(VLOOKUP(CL$1,main!$A$3:$H$102,7,FALSE)=VLOOKUP($A95,main!$A$3:$H$102,8,FALSE),VLOOKUP(CL$1,main!$A$3:$H$102,4,FALSE),VLOOKUP(CL$1,main!$A$3:$H$102,4,FALSE)+VLOOKUP($A95,main!$A$3:$H$102,4,FALSE)+(VLOOKUP(VLOOKUP(CL$1,main!$A$3:$H$102,8,FALSE),main!$K$19:$O$22,MATCH(VLOOKUP($A95,main!$A$3:$H$102,7,FALSE),main!$K$18:$O$18,0),0))),0)</f>
        <v>0</v>
      </c>
      <c r="CM95">
        <f>IF((gamma!CM95),IF(VLOOKUP(CM$1,main!$A$3:$H$102,7,FALSE)=VLOOKUP($A95,main!$A$3:$H$102,8,FALSE),VLOOKUP(CM$1,main!$A$3:$H$102,4,FALSE),VLOOKUP(CM$1,main!$A$3:$H$102,4,FALSE)+VLOOKUP($A95,main!$A$3:$H$102,4,FALSE)+(VLOOKUP(VLOOKUP(CM$1,main!$A$3:$H$102,8,FALSE),main!$K$19:$O$22,MATCH(VLOOKUP($A95,main!$A$3:$H$102,7,FALSE),main!$K$18:$O$18,0),0))),0)</f>
        <v>255</v>
      </c>
      <c r="CN95">
        <f>IF((gamma!CN95),IF(VLOOKUP(CN$1,main!$A$3:$H$102,7,FALSE)=VLOOKUP($A95,main!$A$3:$H$102,8,FALSE),VLOOKUP(CN$1,main!$A$3:$H$102,4,FALSE),VLOOKUP(CN$1,main!$A$3:$H$102,4,FALSE)+VLOOKUP($A95,main!$A$3:$H$102,4,FALSE)+(VLOOKUP(VLOOKUP(CN$1,main!$A$3:$H$102,8,FALSE),main!$K$19:$O$22,MATCH(VLOOKUP($A95,main!$A$3:$H$102,7,FALSE),main!$K$18:$O$18,0),0))),0)</f>
        <v>251</v>
      </c>
      <c r="CO95">
        <f>IF((gamma!CO95),IF(VLOOKUP(CO$1,main!$A$3:$H$102,7,FALSE)=VLOOKUP($A95,main!$A$3:$H$102,8,FALSE),VLOOKUP(CO$1,main!$A$3:$H$102,4,FALSE),VLOOKUP(CO$1,main!$A$3:$H$102,4,FALSE)+VLOOKUP($A95,main!$A$3:$H$102,4,FALSE)+(VLOOKUP(VLOOKUP(CO$1,main!$A$3:$H$102,8,FALSE),main!$K$19:$O$22,MATCH(VLOOKUP($A95,main!$A$3:$H$102,7,FALSE),main!$K$18:$O$18,0),0))),0)</f>
        <v>0</v>
      </c>
      <c r="CP95">
        <f>IF((gamma!CP95),IF(VLOOKUP(CP$1,main!$A$3:$H$102,7,FALSE)=VLOOKUP($A95,main!$A$3:$H$102,8,FALSE),VLOOKUP(CP$1,main!$A$3:$H$102,4,FALSE),VLOOKUP(CP$1,main!$A$3:$H$102,4,FALSE)+VLOOKUP($A95,main!$A$3:$H$102,4,FALSE)+(VLOOKUP(VLOOKUP(CP$1,main!$A$3:$H$102,8,FALSE),main!$K$19:$O$22,MATCH(VLOOKUP($A95,main!$A$3:$H$102,7,FALSE),main!$K$18:$O$18,0),0))),0)</f>
        <v>0</v>
      </c>
      <c r="CQ95">
        <f>IF((gamma!CQ95),IF(VLOOKUP(CQ$1,main!$A$3:$H$102,7,FALSE)=VLOOKUP($A95,main!$A$3:$H$102,8,FALSE),VLOOKUP(CQ$1,main!$A$3:$H$102,4,FALSE),VLOOKUP(CQ$1,main!$A$3:$H$102,4,FALSE)+VLOOKUP($A95,main!$A$3:$H$102,4,FALSE)+(VLOOKUP(VLOOKUP(CQ$1,main!$A$3:$H$102,8,FALSE),main!$K$19:$O$22,MATCH(VLOOKUP($A95,main!$A$3:$H$102,7,FALSE),main!$K$18:$O$18,0),0))),0)</f>
        <v>0</v>
      </c>
      <c r="CR95">
        <f>IF((gamma!CR95),IF(VLOOKUP(CR$1,main!$A$3:$H$102,7,FALSE)=VLOOKUP($A95,main!$A$3:$H$102,8,FALSE),VLOOKUP(CR$1,main!$A$3:$H$102,4,FALSE),VLOOKUP(CR$1,main!$A$3:$H$102,4,FALSE)+VLOOKUP($A95,main!$A$3:$H$102,4,FALSE)+(VLOOKUP(VLOOKUP(CR$1,main!$A$3:$H$102,8,FALSE),main!$K$19:$O$22,MATCH(VLOOKUP($A95,main!$A$3:$H$102,7,FALSE),main!$K$18:$O$18,0),0))),0)</f>
        <v>288</v>
      </c>
      <c r="CS95">
        <f>IF((gamma!CS95),IF(VLOOKUP(CS$1,main!$A$3:$H$102,7,FALSE)=VLOOKUP($A95,main!$A$3:$H$102,8,FALSE),VLOOKUP(CS$1,main!$A$3:$H$102,4,FALSE),VLOOKUP(CS$1,main!$A$3:$H$102,4,FALSE)+VLOOKUP($A95,main!$A$3:$H$102,4,FALSE)+(VLOOKUP(VLOOKUP(CS$1,main!$A$3:$H$102,8,FALSE),main!$K$19:$O$22,MATCH(VLOOKUP($A95,main!$A$3:$H$102,7,FALSE),main!$K$18:$O$18,0),0))),0)</f>
        <v>288</v>
      </c>
      <c r="CT95">
        <f>IF((gamma!CT95),IF(VLOOKUP(CT$1,main!$A$3:$H$102,7,FALSE)=VLOOKUP($A95,main!$A$3:$H$102,8,FALSE),VLOOKUP(CT$1,main!$A$3:$H$102,4,FALSE),VLOOKUP(CT$1,main!$A$3:$H$102,4,FALSE)+VLOOKUP($A95,main!$A$3:$H$102,4,FALSE)+(VLOOKUP(VLOOKUP(CT$1,main!$A$3:$H$102,8,FALSE),main!$K$19:$O$22,MATCH(VLOOKUP($A95,main!$A$3:$H$102,7,FALSE),main!$K$18:$O$18,0),0))),0)</f>
        <v>0</v>
      </c>
      <c r="CU95">
        <f>IF((gamma!CU95),IF(VLOOKUP(CU$1,main!$A$3:$H$102,7,FALSE)=VLOOKUP($A95,main!$A$3:$H$102,8,FALSE),VLOOKUP(CU$1,main!$A$3:$H$102,4,FALSE),VLOOKUP(CU$1,main!$A$3:$H$102,4,FALSE)+VLOOKUP($A95,main!$A$3:$H$102,4,FALSE)+(VLOOKUP(VLOOKUP(CU$1,main!$A$3:$H$102,8,FALSE),main!$K$19:$O$22,MATCH(VLOOKUP($A95,main!$A$3:$H$102,7,FALSE),main!$K$18:$O$18,0),0))),0)</f>
        <v>0</v>
      </c>
      <c r="CV95">
        <f>IF((gamma!CV95),IF(VLOOKUP(CV$1,main!$A$3:$H$102,7,FALSE)=VLOOKUP($A95,main!$A$3:$H$102,8,FALSE),VLOOKUP(CV$1,main!$A$3:$H$102,4,FALSE),VLOOKUP(CV$1,main!$A$3:$H$102,4,FALSE)+VLOOKUP($A95,main!$A$3:$H$102,4,FALSE)+(VLOOKUP(VLOOKUP(CV$1,main!$A$3:$H$102,8,FALSE),main!$K$19:$O$22,MATCH(VLOOKUP($A95,main!$A$3:$H$102,7,FALSE),main!$K$18:$O$18,0),0))),0)</f>
        <v>0</v>
      </c>
      <c r="CW95">
        <f>IF((gamma!CW95),IF(VLOOKUP(CW$1,main!$A$3:$H$102,7,FALSE)=VLOOKUP($A95,main!$A$3:$H$102,8,FALSE),VLOOKUP(CW$1,main!$A$3:$H$102,4,FALSE),VLOOKUP(CW$1,main!$A$3:$H$102,4,FALSE)+VLOOKUP($A95,main!$A$3:$H$102,4,FALSE)+(VLOOKUP(VLOOKUP(CW$1,main!$A$3:$H$102,8,FALSE),main!$K$19:$O$22,MATCH(VLOOKUP($A95,main!$A$3:$H$102,7,FALSE),main!$K$18:$O$18,0),0))),0)</f>
        <v>248</v>
      </c>
      <c r="CX95">
        <f>IF((gamma!CX95),IF(VLOOKUP(CX$1,main!$A$3:$H$102,7,FALSE)=VLOOKUP($A95,main!$A$3:$H$102,8,FALSE),VLOOKUP(CX$1,main!$A$3:$H$102,4,FALSE),VLOOKUP(CX$1,main!$A$3:$H$102,4,FALSE)+VLOOKUP($A95,main!$A$3:$H$102,4,FALSE)+(VLOOKUP(VLOOKUP(CX$1,main!$A$3:$H$102,8,FALSE),main!$K$19:$O$22,MATCH(VLOOKUP($A95,main!$A$3:$H$102,7,FALSE),main!$K$18:$O$18,0),0))),0)</f>
        <v>238</v>
      </c>
      <c r="CY95">
        <v>0</v>
      </c>
      <c r="CZ95">
        <v>0</v>
      </c>
      <c r="DA95">
        <v>0</v>
      </c>
    </row>
    <row r="96" spans="1:105" x14ac:dyDescent="0.25">
      <c r="A96" s="1">
        <v>94</v>
      </c>
      <c r="B96">
        <v>0</v>
      </c>
      <c r="C96">
        <f>IF((gamma!C96),IF(VLOOKUP(C$1,main!$A$3:$H$102,7,FALSE)=VLOOKUP($A96,main!$A$3:$H$102,8,FALSE),VLOOKUP(C$1,main!$A$3:$H$102,4,FALSE),VLOOKUP(C$1,main!$A$3:$H$102,4,FALSE)+VLOOKUP($A96,main!$A$3:$H$102,4,FALSE)+(VLOOKUP(VLOOKUP(C$1,main!$A$3:$H$102,8,FALSE),main!$K$19:$O$22,MATCH(VLOOKUP($A96,main!$A$3:$H$102,7,FALSE),main!$K$18:$O$18,0),0))),0)</f>
        <v>0</v>
      </c>
      <c r="D96">
        <f>IF((gamma!D96),IF(VLOOKUP(D$1,main!$A$3:$H$102,7,FALSE)=VLOOKUP($A96,main!$A$3:$H$102,8,FALSE),VLOOKUP(D$1,main!$A$3:$H$102,4,FALSE),VLOOKUP(D$1,main!$A$3:$H$102,4,FALSE)+VLOOKUP($A96,main!$A$3:$H$102,4,FALSE)+(VLOOKUP(VLOOKUP(D$1,main!$A$3:$H$102,8,FALSE),main!$K$19:$O$22,MATCH(VLOOKUP($A96,main!$A$3:$H$102,7,FALSE),main!$K$18:$O$18,0),0))),0)</f>
        <v>0</v>
      </c>
      <c r="E96">
        <f>IF((gamma!E96),IF(VLOOKUP(E$1,main!$A$3:$H$102,7,FALSE)=VLOOKUP($A96,main!$A$3:$H$102,8,FALSE),VLOOKUP(E$1,main!$A$3:$H$102,4,FALSE),VLOOKUP(E$1,main!$A$3:$H$102,4,FALSE)+VLOOKUP($A96,main!$A$3:$H$102,4,FALSE)+(VLOOKUP(VLOOKUP(E$1,main!$A$3:$H$102,8,FALSE),main!$K$19:$O$22,MATCH(VLOOKUP($A96,main!$A$3:$H$102,7,FALSE),main!$K$18:$O$18,0),0))),0)</f>
        <v>0</v>
      </c>
      <c r="F96">
        <f>IF((gamma!F96),IF(VLOOKUP(F$1,main!$A$3:$H$102,7,FALSE)=VLOOKUP($A96,main!$A$3:$H$102,8,FALSE),VLOOKUP(F$1,main!$A$3:$H$102,4,FALSE),VLOOKUP(F$1,main!$A$3:$H$102,4,FALSE)+VLOOKUP($A96,main!$A$3:$H$102,4,FALSE)+(VLOOKUP(VLOOKUP(F$1,main!$A$3:$H$102,8,FALSE),main!$K$19:$O$22,MATCH(VLOOKUP($A96,main!$A$3:$H$102,7,FALSE),main!$K$18:$O$18,0),0))),0)</f>
        <v>0</v>
      </c>
      <c r="G96">
        <f>IF((gamma!G96),IF(VLOOKUP(G$1,main!$A$3:$H$102,7,FALSE)=VLOOKUP($A96,main!$A$3:$H$102,8,FALSE),VLOOKUP(G$1,main!$A$3:$H$102,4,FALSE),VLOOKUP(G$1,main!$A$3:$H$102,4,FALSE)+VLOOKUP($A96,main!$A$3:$H$102,4,FALSE)+(VLOOKUP(VLOOKUP(G$1,main!$A$3:$H$102,8,FALSE),main!$K$19:$O$22,MATCH(VLOOKUP($A96,main!$A$3:$H$102,7,FALSE),main!$K$18:$O$18,0),0))),0)</f>
        <v>0</v>
      </c>
      <c r="H96">
        <f>IF((gamma!H96),IF(VLOOKUP(H$1,main!$A$3:$H$102,7,FALSE)=VLOOKUP($A96,main!$A$3:$H$102,8,FALSE),VLOOKUP(H$1,main!$A$3:$H$102,4,FALSE),VLOOKUP(H$1,main!$A$3:$H$102,4,FALSE)+VLOOKUP($A96,main!$A$3:$H$102,4,FALSE)+(VLOOKUP(VLOOKUP(H$1,main!$A$3:$H$102,8,FALSE),main!$K$19:$O$22,MATCH(VLOOKUP($A96,main!$A$3:$H$102,7,FALSE),main!$K$18:$O$18,0),0))),0)</f>
        <v>0</v>
      </c>
      <c r="I96">
        <f>IF((gamma!I96),IF(VLOOKUP(I$1,main!$A$3:$H$102,7,FALSE)=VLOOKUP($A96,main!$A$3:$H$102,8,FALSE),VLOOKUP(I$1,main!$A$3:$H$102,4,FALSE),VLOOKUP(I$1,main!$A$3:$H$102,4,FALSE)+VLOOKUP($A96,main!$A$3:$H$102,4,FALSE)+(VLOOKUP(VLOOKUP(I$1,main!$A$3:$H$102,8,FALSE),main!$K$19:$O$22,MATCH(VLOOKUP($A96,main!$A$3:$H$102,7,FALSE),main!$K$18:$O$18,0),0))),0)</f>
        <v>0</v>
      </c>
      <c r="J96">
        <f>IF((gamma!J96),IF(VLOOKUP(J$1,main!$A$3:$H$102,7,FALSE)=VLOOKUP($A96,main!$A$3:$H$102,8,FALSE),VLOOKUP(J$1,main!$A$3:$H$102,4,FALSE),VLOOKUP(J$1,main!$A$3:$H$102,4,FALSE)+VLOOKUP($A96,main!$A$3:$H$102,4,FALSE)+(VLOOKUP(VLOOKUP(J$1,main!$A$3:$H$102,8,FALSE),main!$K$19:$O$22,MATCH(VLOOKUP($A96,main!$A$3:$H$102,7,FALSE),main!$K$18:$O$18,0),0))),0)</f>
        <v>0</v>
      </c>
      <c r="K96">
        <f>IF((gamma!K96),IF(VLOOKUP(K$1,main!$A$3:$H$102,7,FALSE)=VLOOKUP($A96,main!$A$3:$H$102,8,FALSE),VLOOKUP(K$1,main!$A$3:$H$102,4,FALSE),VLOOKUP(K$1,main!$A$3:$H$102,4,FALSE)+VLOOKUP($A96,main!$A$3:$H$102,4,FALSE)+(VLOOKUP(VLOOKUP(K$1,main!$A$3:$H$102,8,FALSE),main!$K$19:$O$22,MATCH(VLOOKUP($A96,main!$A$3:$H$102,7,FALSE),main!$K$18:$O$18,0),0))),0)</f>
        <v>0</v>
      </c>
      <c r="L96">
        <f>IF((gamma!L96),IF(VLOOKUP(L$1,main!$A$3:$H$102,7,FALSE)=VLOOKUP($A96,main!$A$3:$H$102,8,FALSE),VLOOKUP(L$1,main!$A$3:$H$102,4,FALSE),VLOOKUP(L$1,main!$A$3:$H$102,4,FALSE)+VLOOKUP($A96,main!$A$3:$H$102,4,FALSE)+(VLOOKUP(VLOOKUP(L$1,main!$A$3:$H$102,8,FALSE),main!$K$19:$O$22,MATCH(VLOOKUP($A96,main!$A$3:$H$102,7,FALSE),main!$K$18:$O$18,0),0))),0)</f>
        <v>310</v>
      </c>
      <c r="M96">
        <f>IF((gamma!M96),IF(VLOOKUP(M$1,main!$A$3:$H$102,7,FALSE)=VLOOKUP($A96,main!$A$3:$H$102,8,FALSE),VLOOKUP(M$1,main!$A$3:$H$102,4,FALSE),VLOOKUP(M$1,main!$A$3:$H$102,4,FALSE)+VLOOKUP($A96,main!$A$3:$H$102,4,FALSE)+(VLOOKUP(VLOOKUP(M$1,main!$A$3:$H$102,8,FALSE),main!$K$19:$O$22,MATCH(VLOOKUP($A96,main!$A$3:$H$102,7,FALSE),main!$K$18:$O$18,0),0))),0)</f>
        <v>0</v>
      </c>
      <c r="N96">
        <f>IF((gamma!N96),IF(VLOOKUP(N$1,main!$A$3:$H$102,7,FALSE)=VLOOKUP($A96,main!$A$3:$H$102,8,FALSE),VLOOKUP(N$1,main!$A$3:$H$102,4,FALSE),VLOOKUP(N$1,main!$A$3:$H$102,4,FALSE)+VLOOKUP($A96,main!$A$3:$H$102,4,FALSE)+(VLOOKUP(VLOOKUP(N$1,main!$A$3:$H$102,8,FALSE),main!$K$19:$O$22,MATCH(VLOOKUP($A96,main!$A$3:$H$102,7,FALSE),main!$K$18:$O$18,0),0))),0)</f>
        <v>0</v>
      </c>
      <c r="O96">
        <f>IF((gamma!O96),IF(VLOOKUP(O$1,main!$A$3:$H$102,7,FALSE)=VLOOKUP($A96,main!$A$3:$H$102,8,FALSE),VLOOKUP(O$1,main!$A$3:$H$102,4,FALSE),VLOOKUP(O$1,main!$A$3:$H$102,4,FALSE)+VLOOKUP($A96,main!$A$3:$H$102,4,FALSE)+(VLOOKUP(VLOOKUP(O$1,main!$A$3:$H$102,8,FALSE),main!$K$19:$O$22,MATCH(VLOOKUP($A96,main!$A$3:$H$102,7,FALSE),main!$K$18:$O$18,0),0))),0)</f>
        <v>0</v>
      </c>
      <c r="P96">
        <f>IF((gamma!P96),IF(VLOOKUP(P$1,main!$A$3:$H$102,7,FALSE)=VLOOKUP($A96,main!$A$3:$H$102,8,FALSE),VLOOKUP(P$1,main!$A$3:$H$102,4,FALSE),VLOOKUP(P$1,main!$A$3:$H$102,4,FALSE)+VLOOKUP($A96,main!$A$3:$H$102,4,FALSE)+(VLOOKUP(VLOOKUP(P$1,main!$A$3:$H$102,8,FALSE),main!$K$19:$O$22,MATCH(VLOOKUP($A96,main!$A$3:$H$102,7,FALSE),main!$K$18:$O$18,0),0))),0)</f>
        <v>0</v>
      </c>
      <c r="Q96">
        <f>IF((gamma!Q96),IF(VLOOKUP(Q$1,main!$A$3:$H$102,7,FALSE)=VLOOKUP($A96,main!$A$3:$H$102,8,FALSE),VLOOKUP(Q$1,main!$A$3:$H$102,4,FALSE),VLOOKUP(Q$1,main!$A$3:$H$102,4,FALSE)+VLOOKUP($A96,main!$A$3:$H$102,4,FALSE)+(VLOOKUP(VLOOKUP(Q$1,main!$A$3:$H$102,8,FALSE),main!$K$19:$O$22,MATCH(VLOOKUP($A96,main!$A$3:$H$102,7,FALSE),main!$K$18:$O$18,0),0))),0)</f>
        <v>0</v>
      </c>
      <c r="R96">
        <f>IF((gamma!R96),IF(VLOOKUP(R$1,main!$A$3:$H$102,7,FALSE)=VLOOKUP($A96,main!$A$3:$H$102,8,FALSE),VLOOKUP(R$1,main!$A$3:$H$102,4,FALSE),VLOOKUP(R$1,main!$A$3:$H$102,4,FALSE)+VLOOKUP($A96,main!$A$3:$H$102,4,FALSE)+(VLOOKUP(VLOOKUP(R$1,main!$A$3:$H$102,8,FALSE),main!$K$19:$O$22,MATCH(VLOOKUP($A96,main!$A$3:$H$102,7,FALSE),main!$K$18:$O$18,0),0))),0)</f>
        <v>0</v>
      </c>
      <c r="S96">
        <f>IF((gamma!S96),IF(VLOOKUP(S$1,main!$A$3:$H$102,7,FALSE)=VLOOKUP($A96,main!$A$3:$H$102,8,FALSE),VLOOKUP(S$1,main!$A$3:$H$102,4,FALSE),VLOOKUP(S$1,main!$A$3:$H$102,4,FALSE)+VLOOKUP($A96,main!$A$3:$H$102,4,FALSE)+(VLOOKUP(VLOOKUP(S$1,main!$A$3:$H$102,8,FALSE),main!$K$19:$O$22,MATCH(VLOOKUP($A96,main!$A$3:$H$102,7,FALSE),main!$K$18:$O$18,0),0))),0)</f>
        <v>0</v>
      </c>
      <c r="T96">
        <f>IF((gamma!T96),IF(VLOOKUP(T$1,main!$A$3:$H$102,7,FALSE)=VLOOKUP($A96,main!$A$3:$H$102,8,FALSE),VLOOKUP(T$1,main!$A$3:$H$102,4,FALSE),VLOOKUP(T$1,main!$A$3:$H$102,4,FALSE)+VLOOKUP($A96,main!$A$3:$H$102,4,FALSE)+(VLOOKUP(VLOOKUP(T$1,main!$A$3:$H$102,8,FALSE),main!$K$19:$O$22,MATCH(VLOOKUP($A96,main!$A$3:$H$102,7,FALSE),main!$K$18:$O$18,0),0))),0)</f>
        <v>0</v>
      </c>
      <c r="U96">
        <f>IF((gamma!U96),IF(VLOOKUP(U$1,main!$A$3:$H$102,7,FALSE)=VLOOKUP($A96,main!$A$3:$H$102,8,FALSE),VLOOKUP(U$1,main!$A$3:$H$102,4,FALSE),VLOOKUP(U$1,main!$A$3:$H$102,4,FALSE)+VLOOKUP($A96,main!$A$3:$H$102,4,FALSE)+(VLOOKUP(VLOOKUP(U$1,main!$A$3:$H$102,8,FALSE),main!$K$19:$O$22,MATCH(VLOOKUP($A96,main!$A$3:$H$102,7,FALSE),main!$K$18:$O$18,0),0))),0)</f>
        <v>308</v>
      </c>
      <c r="V96">
        <f>IF((gamma!V96),IF(VLOOKUP(V$1,main!$A$3:$H$102,7,FALSE)=VLOOKUP($A96,main!$A$3:$H$102,8,FALSE),VLOOKUP(V$1,main!$A$3:$H$102,4,FALSE),VLOOKUP(V$1,main!$A$3:$H$102,4,FALSE)+VLOOKUP($A96,main!$A$3:$H$102,4,FALSE)+(VLOOKUP(VLOOKUP(V$1,main!$A$3:$H$102,8,FALSE),main!$K$19:$O$22,MATCH(VLOOKUP($A96,main!$A$3:$H$102,7,FALSE),main!$K$18:$O$18,0),0))),0)</f>
        <v>308</v>
      </c>
      <c r="W96">
        <f>IF((gamma!W96),IF(VLOOKUP(W$1,main!$A$3:$H$102,7,FALSE)=VLOOKUP($A96,main!$A$3:$H$102,8,FALSE),VLOOKUP(W$1,main!$A$3:$H$102,4,FALSE),VLOOKUP(W$1,main!$A$3:$H$102,4,FALSE)+VLOOKUP($A96,main!$A$3:$H$102,4,FALSE)+(VLOOKUP(VLOOKUP(W$1,main!$A$3:$H$102,8,FALSE),main!$K$19:$O$22,MATCH(VLOOKUP($A96,main!$A$3:$H$102,7,FALSE),main!$K$18:$O$18,0),0))),0)</f>
        <v>0</v>
      </c>
      <c r="X96">
        <f>IF((gamma!X96),IF(VLOOKUP(X$1,main!$A$3:$H$102,7,FALSE)=VLOOKUP($A96,main!$A$3:$H$102,8,FALSE),VLOOKUP(X$1,main!$A$3:$H$102,4,FALSE),VLOOKUP(X$1,main!$A$3:$H$102,4,FALSE)+VLOOKUP($A96,main!$A$3:$H$102,4,FALSE)+(VLOOKUP(VLOOKUP(X$1,main!$A$3:$H$102,8,FALSE),main!$K$19:$O$22,MATCH(VLOOKUP($A96,main!$A$3:$H$102,7,FALSE),main!$K$18:$O$18,0),0))),0)</f>
        <v>0</v>
      </c>
      <c r="Y96">
        <f>IF((gamma!Y96),IF(VLOOKUP(Y$1,main!$A$3:$H$102,7,FALSE)=VLOOKUP($A96,main!$A$3:$H$102,8,FALSE),VLOOKUP(Y$1,main!$A$3:$H$102,4,FALSE),VLOOKUP(Y$1,main!$A$3:$H$102,4,FALSE)+VLOOKUP($A96,main!$A$3:$H$102,4,FALSE)+(VLOOKUP(VLOOKUP(Y$1,main!$A$3:$H$102,8,FALSE),main!$K$19:$O$22,MATCH(VLOOKUP($A96,main!$A$3:$H$102,7,FALSE),main!$K$18:$O$18,0),0))),0)</f>
        <v>0</v>
      </c>
      <c r="Z96">
        <f>IF((gamma!Z96),IF(VLOOKUP(Z$1,main!$A$3:$H$102,7,FALSE)=VLOOKUP($A96,main!$A$3:$H$102,8,FALSE),VLOOKUP(Z$1,main!$A$3:$H$102,4,FALSE),VLOOKUP(Z$1,main!$A$3:$H$102,4,FALSE)+VLOOKUP($A96,main!$A$3:$H$102,4,FALSE)+(VLOOKUP(VLOOKUP(Z$1,main!$A$3:$H$102,8,FALSE),main!$K$19:$O$22,MATCH(VLOOKUP($A96,main!$A$3:$H$102,7,FALSE),main!$K$18:$O$18,0),0))),0)</f>
        <v>0</v>
      </c>
      <c r="AA96">
        <f>IF((gamma!AA96),IF(VLOOKUP(AA$1,main!$A$3:$H$102,7,FALSE)=VLOOKUP($A96,main!$A$3:$H$102,8,FALSE),VLOOKUP(AA$1,main!$A$3:$H$102,4,FALSE),VLOOKUP(AA$1,main!$A$3:$H$102,4,FALSE)+VLOOKUP($A96,main!$A$3:$H$102,4,FALSE)+(VLOOKUP(VLOOKUP(AA$1,main!$A$3:$H$102,8,FALSE),main!$K$19:$O$22,MATCH(VLOOKUP($A96,main!$A$3:$H$102,7,FALSE),main!$K$18:$O$18,0),0))),0)</f>
        <v>0</v>
      </c>
      <c r="AB96">
        <f>IF((gamma!AB96),IF(VLOOKUP(AB$1,main!$A$3:$H$102,7,FALSE)=VLOOKUP($A96,main!$A$3:$H$102,8,FALSE),VLOOKUP(AB$1,main!$A$3:$H$102,4,FALSE),VLOOKUP(AB$1,main!$A$3:$H$102,4,FALSE)+VLOOKUP($A96,main!$A$3:$H$102,4,FALSE)+(VLOOKUP(VLOOKUP(AB$1,main!$A$3:$H$102,8,FALSE),main!$K$19:$O$22,MATCH(VLOOKUP($A96,main!$A$3:$H$102,7,FALSE),main!$K$18:$O$18,0),0))),0)</f>
        <v>0</v>
      </c>
      <c r="AC96">
        <f>IF((gamma!AC96),IF(VLOOKUP(AC$1,main!$A$3:$H$102,7,FALSE)=VLOOKUP($A96,main!$A$3:$H$102,8,FALSE),VLOOKUP(AC$1,main!$A$3:$H$102,4,FALSE),VLOOKUP(AC$1,main!$A$3:$H$102,4,FALSE)+VLOOKUP($A96,main!$A$3:$H$102,4,FALSE)+(VLOOKUP(VLOOKUP(AC$1,main!$A$3:$H$102,8,FALSE),main!$K$19:$O$22,MATCH(VLOOKUP($A96,main!$A$3:$H$102,7,FALSE),main!$K$18:$O$18,0),0))),0)</f>
        <v>0</v>
      </c>
      <c r="AD96">
        <f>IF((gamma!AD96),IF(VLOOKUP(AD$1,main!$A$3:$H$102,7,FALSE)=VLOOKUP($A96,main!$A$3:$H$102,8,FALSE),VLOOKUP(AD$1,main!$A$3:$H$102,4,FALSE),VLOOKUP(AD$1,main!$A$3:$H$102,4,FALSE)+VLOOKUP($A96,main!$A$3:$H$102,4,FALSE)+(VLOOKUP(VLOOKUP(AD$1,main!$A$3:$H$102,8,FALSE),main!$K$19:$O$22,MATCH(VLOOKUP($A96,main!$A$3:$H$102,7,FALSE),main!$K$18:$O$18,0),0))),0)</f>
        <v>0</v>
      </c>
      <c r="AE96">
        <f>IF((gamma!AE96),IF(VLOOKUP(AE$1,main!$A$3:$H$102,7,FALSE)=VLOOKUP($A96,main!$A$3:$H$102,8,FALSE),VLOOKUP(AE$1,main!$A$3:$H$102,4,FALSE),VLOOKUP(AE$1,main!$A$3:$H$102,4,FALSE)+VLOOKUP($A96,main!$A$3:$H$102,4,FALSE)+(VLOOKUP(VLOOKUP(AE$1,main!$A$3:$H$102,8,FALSE),main!$K$19:$O$22,MATCH(VLOOKUP($A96,main!$A$3:$H$102,7,FALSE),main!$K$18:$O$18,0),0))),0)</f>
        <v>0</v>
      </c>
      <c r="AF96">
        <f>IF((gamma!AF96),IF(VLOOKUP(AF$1,main!$A$3:$H$102,7,FALSE)=VLOOKUP($A96,main!$A$3:$H$102,8,FALSE),VLOOKUP(AF$1,main!$A$3:$H$102,4,FALSE),VLOOKUP(AF$1,main!$A$3:$H$102,4,FALSE)+VLOOKUP($A96,main!$A$3:$H$102,4,FALSE)+(VLOOKUP(VLOOKUP(AF$1,main!$A$3:$H$102,8,FALSE),main!$K$19:$O$22,MATCH(VLOOKUP($A96,main!$A$3:$H$102,7,FALSE),main!$K$18:$O$18,0),0))),0)</f>
        <v>0</v>
      </c>
      <c r="AG96">
        <f>IF((gamma!AG96),IF(VLOOKUP(AG$1,main!$A$3:$H$102,7,FALSE)=VLOOKUP($A96,main!$A$3:$H$102,8,FALSE),VLOOKUP(AG$1,main!$A$3:$H$102,4,FALSE),VLOOKUP(AG$1,main!$A$3:$H$102,4,FALSE)+VLOOKUP($A96,main!$A$3:$H$102,4,FALSE)+(VLOOKUP(VLOOKUP(AG$1,main!$A$3:$H$102,8,FALSE),main!$K$19:$O$22,MATCH(VLOOKUP($A96,main!$A$3:$H$102,7,FALSE),main!$K$18:$O$18,0),0))),0)</f>
        <v>0</v>
      </c>
      <c r="AH96">
        <f>IF((gamma!AH96),IF(VLOOKUP(AH$1,main!$A$3:$H$102,7,FALSE)=VLOOKUP($A96,main!$A$3:$H$102,8,FALSE),VLOOKUP(AH$1,main!$A$3:$H$102,4,FALSE),VLOOKUP(AH$1,main!$A$3:$H$102,4,FALSE)+VLOOKUP($A96,main!$A$3:$H$102,4,FALSE)+(VLOOKUP(VLOOKUP(AH$1,main!$A$3:$H$102,8,FALSE),main!$K$19:$O$22,MATCH(VLOOKUP($A96,main!$A$3:$H$102,7,FALSE),main!$K$18:$O$18,0),0))),0)</f>
        <v>0</v>
      </c>
      <c r="AI96">
        <f>IF((gamma!AI96),IF(VLOOKUP(AI$1,main!$A$3:$H$102,7,FALSE)=VLOOKUP($A96,main!$A$3:$H$102,8,FALSE),VLOOKUP(AI$1,main!$A$3:$H$102,4,FALSE),VLOOKUP(AI$1,main!$A$3:$H$102,4,FALSE)+VLOOKUP($A96,main!$A$3:$H$102,4,FALSE)+(VLOOKUP(VLOOKUP(AI$1,main!$A$3:$H$102,8,FALSE),main!$K$19:$O$22,MATCH(VLOOKUP($A96,main!$A$3:$H$102,7,FALSE),main!$K$18:$O$18,0),0))),0)</f>
        <v>0</v>
      </c>
      <c r="AJ96">
        <f>IF((gamma!AJ96),IF(VLOOKUP(AJ$1,main!$A$3:$H$102,7,FALSE)=VLOOKUP($A96,main!$A$3:$H$102,8,FALSE),VLOOKUP(AJ$1,main!$A$3:$H$102,4,FALSE),VLOOKUP(AJ$1,main!$A$3:$H$102,4,FALSE)+VLOOKUP($A96,main!$A$3:$H$102,4,FALSE)+(VLOOKUP(VLOOKUP(AJ$1,main!$A$3:$H$102,8,FALSE),main!$K$19:$O$22,MATCH(VLOOKUP($A96,main!$A$3:$H$102,7,FALSE),main!$K$18:$O$18,0),0))),0)</f>
        <v>0</v>
      </c>
      <c r="AK96">
        <f>IF((gamma!AK96),IF(VLOOKUP(AK$1,main!$A$3:$H$102,7,FALSE)=VLOOKUP($A96,main!$A$3:$H$102,8,FALSE),VLOOKUP(AK$1,main!$A$3:$H$102,4,FALSE),VLOOKUP(AK$1,main!$A$3:$H$102,4,FALSE)+VLOOKUP($A96,main!$A$3:$H$102,4,FALSE)+(VLOOKUP(VLOOKUP(AK$1,main!$A$3:$H$102,8,FALSE),main!$K$19:$O$22,MATCH(VLOOKUP($A96,main!$A$3:$H$102,7,FALSE),main!$K$18:$O$18,0),0))),0)</f>
        <v>0</v>
      </c>
      <c r="AL96">
        <f>IF((gamma!AL96),IF(VLOOKUP(AL$1,main!$A$3:$H$102,7,FALSE)=VLOOKUP($A96,main!$A$3:$H$102,8,FALSE),VLOOKUP(AL$1,main!$A$3:$H$102,4,FALSE),VLOOKUP(AL$1,main!$A$3:$H$102,4,FALSE)+VLOOKUP($A96,main!$A$3:$H$102,4,FALSE)+(VLOOKUP(VLOOKUP(AL$1,main!$A$3:$H$102,8,FALSE),main!$K$19:$O$22,MATCH(VLOOKUP($A96,main!$A$3:$H$102,7,FALSE),main!$K$18:$O$18,0),0))),0)</f>
        <v>0</v>
      </c>
      <c r="AM96">
        <f>IF((gamma!AM96),IF(VLOOKUP(AM$1,main!$A$3:$H$102,7,FALSE)=VLOOKUP($A96,main!$A$3:$H$102,8,FALSE),VLOOKUP(AM$1,main!$A$3:$H$102,4,FALSE),VLOOKUP(AM$1,main!$A$3:$H$102,4,FALSE)+VLOOKUP($A96,main!$A$3:$H$102,4,FALSE)+(VLOOKUP(VLOOKUP(AM$1,main!$A$3:$H$102,8,FALSE),main!$K$19:$O$22,MATCH(VLOOKUP($A96,main!$A$3:$H$102,7,FALSE),main!$K$18:$O$18,0),0))),0)</f>
        <v>0</v>
      </c>
      <c r="AN96">
        <f>IF((gamma!AN96),IF(VLOOKUP(AN$1,main!$A$3:$H$102,7,FALSE)=VLOOKUP($A96,main!$A$3:$H$102,8,FALSE),VLOOKUP(AN$1,main!$A$3:$H$102,4,FALSE),VLOOKUP(AN$1,main!$A$3:$H$102,4,FALSE)+VLOOKUP($A96,main!$A$3:$H$102,4,FALSE)+(VLOOKUP(VLOOKUP(AN$1,main!$A$3:$H$102,8,FALSE),main!$K$19:$O$22,MATCH(VLOOKUP($A96,main!$A$3:$H$102,7,FALSE),main!$K$18:$O$18,0),0))),0)</f>
        <v>0</v>
      </c>
      <c r="AO96">
        <f>IF((gamma!AO96),IF(VLOOKUP(AO$1,main!$A$3:$H$102,7,FALSE)=VLOOKUP($A96,main!$A$3:$H$102,8,FALSE),VLOOKUP(AO$1,main!$A$3:$H$102,4,FALSE),VLOOKUP(AO$1,main!$A$3:$H$102,4,FALSE)+VLOOKUP($A96,main!$A$3:$H$102,4,FALSE)+(VLOOKUP(VLOOKUP(AO$1,main!$A$3:$H$102,8,FALSE),main!$K$19:$O$22,MATCH(VLOOKUP($A96,main!$A$3:$H$102,7,FALSE),main!$K$18:$O$18,0),0))),0)</f>
        <v>0</v>
      </c>
      <c r="AP96">
        <f>IF((gamma!AP96),IF(VLOOKUP(AP$1,main!$A$3:$H$102,7,FALSE)=VLOOKUP($A96,main!$A$3:$H$102,8,FALSE),VLOOKUP(AP$1,main!$A$3:$H$102,4,FALSE),VLOOKUP(AP$1,main!$A$3:$H$102,4,FALSE)+VLOOKUP($A96,main!$A$3:$H$102,4,FALSE)+(VLOOKUP(VLOOKUP(AP$1,main!$A$3:$H$102,8,FALSE),main!$K$19:$O$22,MATCH(VLOOKUP($A96,main!$A$3:$H$102,7,FALSE),main!$K$18:$O$18,0),0))),0)</f>
        <v>245</v>
      </c>
      <c r="AQ96">
        <f>IF((gamma!AQ96),IF(VLOOKUP(AQ$1,main!$A$3:$H$102,7,FALSE)=VLOOKUP($A96,main!$A$3:$H$102,8,FALSE),VLOOKUP(AQ$1,main!$A$3:$H$102,4,FALSE),VLOOKUP(AQ$1,main!$A$3:$H$102,4,FALSE)+VLOOKUP($A96,main!$A$3:$H$102,4,FALSE)+(VLOOKUP(VLOOKUP(AQ$1,main!$A$3:$H$102,8,FALSE),main!$K$19:$O$22,MATCH(VLOOKUP($A96,main!$A$3:$H$102,7,FALSE),main!$K$18:$O$18,0),0))),0)</f>
        <v>0</v>
      </c>
      <c r="AR96">
        <f>IF((gamma!AR96),IF(VLOOKUP(AR$1,main!$A$3:$H$102,7,FALSE)=VLOOKUP($A96,main!$A$3:$H$102,8,FALSE),VLOOKUP(AR$1,main!$A$3:$H$102,4,FALSE),VLOOKUP(AR$1,main!$A$3:$H$102,4,FALSE)+VLOOKUP($A96,main!$A$3:$H$102,4,FALSE)+(VLOOKUP(VLOOKUP(AR$1,main!$A$3:$H$102,8,FALSE),main!$K$19:$O$22,MATCH(VLOOKUP($A96,main!$A$3:$H$102,7,FALSE),main!$K$18:$O$18,0),0))),0)</f>
        <v>0</v>
      </c>
      <c r="AS96">
        <f>IF((gamma!AS96),IF(VLOOKUP(AS$1,main!$A$3:$H$102,7,FALSE)=VLOOKUP($A96,main!$A$3:$H$102,8,FALSE),VLOOKUP(AS$1,main!$A$3:$H$102,4,FALSE),VLOOKUP(AS$1,main!$A$3:$H$102,4,FALSE)+VLOOKUP($A96,main!$A$3:$H$102,4,FALSE)+(VLOOKUP(VLOOKUP(AS$1,main!$A$3:$H$102,8,FALSE),main!$K$19:$O$22,MATCH(VLOOKUP($A96,main!$A$3:$H$102,7,FALSE),main!$K$18:$O$18,0),0))),0)</f>
        <v>0</v>
      </c>
      <c r="AT96">
        <f>IF((gamma!AT96),IF(VLOOKUP(AT$1,main!$A$3:$H$102,7,FALSE)=VLOOKUP($A96,main!$A$3:$H$102,8,FALSE),VLOOKUP(AT$1,main!$A$3:$H$102,4,FALSE),VLOOKUP(AT$1,main!$A$3:$H$102,4,FALSE)+VLOOKUP($A96,main!$A$3:$H$102,4,FALSE)+(VLOOKUP(VLOOKUP(AT$1,main!$A$3:$H$102,8,FALSE),main!$K$19:$O$22,MATCH(VLOOKUP($A96,main!$A$3:$H$102,7,FALSE),main!$K$18:$O$18,0),0))),0)</f>
        <v>0</v>
      </c>
      <c r="AU96">
        <f>IF((gamma!AU96),IF(VLOOKUP(AU$1,main!$A$3:$H$102,7,FALSE)=VLOOKUP($A96,main!$A$3:$H$102,8,FALSE),VLOOKUP(AU$1,main!$A$3:$H$102,4,FALSE),VLOOKUP(AU$1,main!$A$3:$H$102,4,FALSE)+VLOOKUP($A96,main!$A$3:$H$102,4,FALSE)+(VLOOKUP(VLOOKUP(AU$1,main!$A$3:$H$102,8,FALSE),main!$K$19:$O$22,MATCH(VLOOKUP($A96,main!$A$3:$H$102,7,FALSE),main!$K$18:$O$18,0),0))),0)</f>
        <v>0</v>
      </c>
      <c r="AV96">
        <f>IF((gamma!AV96),IF(VLOOKUP(AV$1,main!$A$3:$H$102,7,FALSE)=VLOOKUP($A96,main!$A$3:$H$102,8,FALSE),VLOOKUP(AV$1,main!$A$3:$H$102,4,FALSE),VLOOKUP(AV$1,main!$A$3:$H$102,4,FALSE)+VLOOKUP($A96,main!$A$3:$H$102,4,FALSE)+(VLOOKUP(VLOOKUP(AV$1,main!$A$3:$H$102,8,FALSE),main!$K$19:$O$22,MATCH(VLOOKUP($A96,main!$A$3:$H$102,7,FALSE),main!$K$18:$O$18,0),0))),0)</f>
        <v>0</v>
      </c>
      <c r="AW96">
        <f>IF((gamma!AW96),IF(VLOOKUP(AW$1,main!$A$3:$H$102,7,FALSE)=VLOOKUP($A96,main!$A$3:$H$102,8,FALSE),VLOOKUP(AW$1,main!$A$3:$H$102,4,FALSE),VLOOKUP(AW$1,main!$A$3:$H$102,4,FALSE)+VLOOKUP($A96,main!$A$3:$H$102,4,FALSE)+(VLOOKUP(VLOOKUP(AW$1,main!$A$3:$H$102,8,FALSE),main!$K$19:$O$22,MATCH(VLOOKUP($A96,main!$A$3:$H$102,7,FALSE),main!$K$18:$O$18,0),0))),0)</f>
        <v>0</v>
      </c>
      <c r="AX96">
        <f>IF((gamma!AX96),IF(VLOOKUP(AX$1,main!$A$3:$H$102,7,FALSE)=VLOOKUP($A96,main!$A$3:$H$102,8,FALSE),VLOOKUP(AX$1,main!$A$3:$H$102,4,FALSE),VLOOKUP(AX$1,main!$A$3:$H$102,4,FALSE)+VLOOKUP($A96,main!$A$3:$H$102,4,FALSE)+(VLOOKUP(VLOOKUP(AX$1,main!$A$3:$H$102,8,FALSE),main!$K$19:$O$22,MATCH(VLOOKUP($A96,main!$A$3:$H$102,7,FALSE),main!$K$18:$O$18,0),0))),0)</f>
        <v>0</v>
      </c>
      <c r="AY96">
        <f>IF((gamma!AY96),IF(VLOOKUP(AY$1,main!$A$3:$H$102,7,FALSE)=VLOOKUP($A96,main!$A$3:$H$102,8,FALSE),VLOOKUP(AY$1,main!$A$3:$H$102,4,FALSE),VLOOKUP(AY$1,main!$A$3:$H$102,4,FALSE)+VLOOKUP($A96,main!$A$3:$H$102,4,FALSE)+(VLOOKUP(VLOOKUP(AY$1,main!$A$3:$H$102,8,FALSE),main!$K$19:$O$22,MATCH(VLOOKUP($A96,main!$A$3:$H$102,7,FALSE),main!$K$18:$O$18,0),0))),0)</f>
        <v>0</v>
      </c>
      <c r="AZ96">
        <f>IF((gamma!AZ96),IF(VLOOKUP(AZ$1,main!$A$3:$H$102,7,FALSE)=VLOOKUP($A96,main!$A$3:$H$102,8,FALSE),VLOOKUP(AZ$1,main!$A$3:$H$102,4,FALSE),VLOOKUP(AZ$1,main!$A$3:$H$102,4,FALSE)+VLOOKUP($A96,main!$A$3:$H$102,4,FALSE)+(VLOOKUP(VLOOKUP(AZ$1,main!$A$3:$H$102,8,FALSE),main!$K$19:$O$22,MATCH(VLOOKUP($A96,main!$A$3:$H$102,7,FALSE),main!$K$18:$O$18,0),0))),0)</f>
        <v>0</v>
      </c>
      <c r="BA96">
        <f>IF((gamma!BA96),IF(VLOOKUP(BA$1,main!$A$3:$H$102,7,FALSE)=VLOOKUP($A96,main!$A$3:$H$102,8,FALSE),VLOOKUP(BA$1,main!$A$3:$H$102,4,FALSE),VLOOKUP(BA$1,main!$A$3:$H$102,4,FALSE)+VLOOKUP($A96,main!$A$3:$H$102,4,FALSE)+(VLOOKUP(VLOOKUP(BA$1,main!$A$3:$H$102,8,FALSE),main!$K$19:$O$22,MATCH(VLOOKUP($A96,main!$A$3:$H$102,7,FALSE),main!$K$18:$O$18,0),0))),0)</f>
        <v>0</v>
      </c>
      <c r="BB96">
        <f>IF((gamma!BB96),IF(VLOOKUP(BB$1,main!$A$3:$H$102,7,FALSE)=VLOOKUP($A96,main!$A$3:$H$102,8,FALSE),VLOOKUP(BB$1,main!$A$3:$H$102,4,FALSE),VLOOKUP(BB$1,main!$A$3:$H$102,4,FALSE)+VLOOKUP($A96,main!$A$3:$H$102,4,FALSE)+(VLOOKUP(VLOOKUP(BB$1,main!$A$3:$H$102,8,FALSE),main!$K$19:$O$22,MATCH(VLOOKUP($A96,main!$A$3:$H$102,7,FALSE),main!$K$18:$O$18,0),0))),0)</f>
        <v>0</v>
      </c>
      <c r="BC96">
        <f>IF((gamma!BC96),IF(VLOOKUP(BC$1,main!$A$3:$H$102,7,FALSE)=VLOOKUP($A96,main!$A$3:$H$102,8,FALSE),VLOOKUP(BC$1,main!$A$3:$H$102,4,FALSE),VLOOKUP(BC$1,main!$A$3:$H$102,4,FALSE)+VLOOKUP($A96,main!$A$3:$H$102,4,FALSE)+(VLOOKUP(VLOOKUP(BC$1,main!$A$3:$H$102,8,FALSE),main!$K$19:$O$22,MATCH(VLOOKUP($A96,main!$A$3:$H$102,7,FALSE),main!$K$18:$O$18,0),0))),0)</f>
        <v>0</v>
      </c>
      <c r="BD96">
        <f>IF((gamma!BD96),IF(VLOOKUP(BD$1,main!$A$3:$H$102,7,FALSE)=VLOOKUP($A96,main!$A$3:$H$102,8,FALSE),VLOOKUP(BD$1,main!$A$3:$H$102,4,FALSE),VLOOKUP(BD$1,main!$A$3:$H$102,4,FALSE)+VLOOKUP($A96,main!$A$3:$H$102,4,FALSE)+(VLOOKUP(VLOOKUP(BD$1,main!$A$3:$H$102,8,FALSE),main!$K$19:$O$22,MATCH(VLOOKUP($A96,main!$A$3:$H$102,7,FALSE),main!$K$18:$O$18,0),0))),0)</f>
        <v>0</v>
      </c>
      <c r="BE96">
        <f>IF((gamma!BE96),IF(VLOOKUP(BE$1,main!$A$3:$H$102,7,FALSE)=VLOOKUP($A96,main!$A$3:$H$102,8,FALSE),VLOOKUP(BE$1,main!$A$3:$H$102,4,FALSE),VLOOKUP(BE$1,main!$A$3:$H$102,4,FALSE)+VLOOKUP($A96,main!$A$3:$H$102,4,FALSE)+(VLOOKUP(VLOOKUP(BE$1,main!$A$3:$H$102,8,FALSE),main!$K$19:$O$22,MATCH(VLOOKUP($A96,main!$A$3:$H$102,7,FALSE),main!$K$18:$O$18,0),0))),0)</f>
        <v>0</v>
      </c>
      <c r="BF96">
        <f>IF((gamma!BF96),IF(VLOOKUP(BF$1,main!$A$3:$H$102,7,FALSE)=VLOOKUP($A96,main!$A$3:$H$102,8,FALSE),VLOOKUP(BF$1,main!$A$3:$H$102,4,FALSE),VLOOKUP(BF$1,main!$A$3:$H$102,4,FALSE)+VLOOKUP($A96,main!$A$3:$H$102,4,FALSE)+(VLOOKUP(VLOOKUP(BF$1,main!$A$3:$H$102,8,FALSE),main!$K$19:$O$22,MATCH(VLOOKUP($A96,main!$A$3:$H$102,7,FALSE),main!$K$18:$O$18,0),0))),0)</f>
        <v>0</v>
      </c>
      <c r="BG96">
        <f>IF((gamma!BG96),IF(VLOOKUP(BG$1,main!$A$3:$H$102,7,FALSE)=VLOOKUP($A96,main!$A$3:$H$102,8,FALSE),VLOOKUP(BG$1,main!$A$3:$H$102,4,FALSE),VLOOKUP(BG$1,main!$A$3:$H$102,4,FALSE)+VLOOKUP($A96,main!$A$3:$H$102,4,FALSE)+(VLOOKUP(VLOOKUP(BG$1,main!$A$3:$H$102,8,FALSE),main!$K$19:$O$22,MATCH(VLOOKUP($A96,main!$A$3:$H$102,7,FALSE),main!$K$18:$O$18,0),0))),0)</f>
        <v>0</v>
      </c>
      <c r="BH96">
        <f>IF((gamma!BH96),IF(VLOOKUP(BH$1,main!$A$3:$H$102,7,FALSE)=VLOOKUP($A96,main!$A$3:$H$102,8,FALSE),VLOOKUP(BH$1,main!$A$3:$H$102,4,FALSE),VLOOKUP(BH$1,main!$A$3:$H$102,4,FALSE)+VLOOKUP($A96,main!$A$3:$H$102,4,FALSE)+(VLOOKUP(VLOOKUP(BH$1,main!$A$3:$H$102,8,FALSE),main!$K$19:$O$22,MATCH(VLOOKUP($A96,main!$A$3:$H$102,7,FALSE),main!$K$18:$O$18,0),0))),0)</f>
        <v>0</v>
      </c>
      <c r="BI96">
        <f>IF((gamma!BI96),IF(VLOOKUP(BI$1,main!$A$3:$H$102,7,FALSE)=VLOOKUP($A96,main!$A$3:$H$102,8,FALSE),VLOOKUP(BI$1,main!$A$3:$H$102,4,FALSE),VLOOKUP(BI$1,main!$A$3:$H$102,4,FALSE)+VLOOKUP($A96,main!$A$3:$H$102,4,FALSE)+(VLOOKUP(VLOOKUP(BI$1,main!$A$3:$H$102,8,FALSE),main!$K$19:$O$22,MATCH(VLOOKUP($A96,main!$A$3:$H$102,7,FALSE),main!$K$18:$O$18,0),0))),0)</f>
        <v>60</v>
      </c>
      <c r="BJ96">
        <f>IF((gamma!BJ96),IF(VLOOKUP(BJ$1,main!$A$3:$H$102,7,FALSE)=VLOOKUP($A96,main!$A$3:$H$102,8,FALSE),VLOOKUP(BJ$1,main!$A$3:$H$102,4,FALSE),VLOOKUP(BJ$1,main!$A$3:$H$102,4,FALSE)+VLOOKUP($A96,main!$A$3:$H$102,4,FALSE)+(VLOOKUP(VLOOKUP(BJ$1,main!$A$3:$H$102,8,FALSE),main!$K$19:$O$22,MATCH(VLOOKUP($A96,main!$A$3:$H$102,7,FALSE),main!$K$18:$O$18,0),0))),0)</f>
        <v>0</v>
      </c>
      <c r="BK96">
        <f>IF((gamma!BK96),IF(VLOOKUP(BK$1,main!$A$3:$H$102,7,FALSE)=VLOOKUP($A96,main!$A$3:$H$102,8,FALSE),VLOOKUP(BK$1,main!$A$3:$H$102,4,FALSE),VLOOKUP(BK$1,main!$A$3:$H$102,4,FALSE)+VLOOKUP($A96,main!$A$3:$H$102,4,FALSE)+(VLOOKUP(VLOOKUP(BK$1,main!$A$3:$H$102,8,FALSE),main!$K$19:$O$22,MATCH(VLOOKUP($A96,main!$A$3:$H$102,7,FALSE),main!$K$18:$O$18,0),0))),0)</f>
        <v>0</v>
      </c>
      <c r="BL96">
        <f>IF((gamma!BL96),IF(VLOOKUP(BL$1,main!$A$3:$H$102,7,FALSE)=VLOOKUP($A96,main!$A$3:$H$102,8,FALSE),VLOOKUP(BL$1,main!$A$3:$H$102,4,FALSE),VLOOKUP(BL$1,main!$A$3:$H$102,4,FALSE)+VLOOKUP($A96,main!$A$3:$H$102,4,FALSE)+(VLOOKUP(VLOOKUP(BL$1,main!$A$3:$H$102,8,FALSE),main!$K$19:$O$22,MATCH(VLOOKUP($A96,main!$A$3:$H$102,7,FALSE),main!$K$18:$O$18,0),0))),0)</f>
        <v>0</v>
      </c>
      <c r="BM96">
        <f>IF((gamma!BM96),IF(VLOOKUP(BM$1,main!$A$3:$H$102,7,FALSE)=VLOOKUP($A96,main!$A$3:$H$102,8,FALSE),VLOOKUP(BM$1,main!$A$3:$H$102,4,FALSE),VLOOKUP(BM$1,main!$A$3:$H$102,4,FALSE)+VLOOKUP($A96,main!$A$3:$H$102,4,FALSE)+(VLOOKUP(VLOOKUP(BM$1,main!$A$3:$H$102,8,FALSE),main!$K$19:$O$22,MATCH(VLOOKUP($A96,main!$A$3:$H$102,7,FALSE),main!$K$18:$O$18,0),0))),0)</f>
        <v>0</v>
      </c>
      <c r="BN96">
        <f>IF((gamma!BN96),IF(VLOOKUP(BN$1,main!$A$3:$H$102,7,FALSE)=VLOOKUP($A96,main!$A$3:$H$102,8,FALSE),VLOOKUP(BN$1,main!$A$3:$H$102,4,FALSE),VLOOKUP(BN$1,main!$A$3:$H$102,4,FALSE)+VLOOKUP($A96,main!$A$3:$H$102,4,FALSE)+(VLOOKUP(VLOOKUP(BN$1,main!$A$3:$H$102,8,FALSE),main!$K$19:$O$22,MATCH(VLOOKUP($A96,main!$A$3:$H$102,7,FALSE),main!$K$18:$O$18,0),0))),0)</f>
        <v>0</v>
      </c>
      <c r="BO96">
        <f>IF((gamma!BO96),IF(VLOOKUP(BO$1,main!$A$3:$H$102,7,FALSE)=VLOOKUP($A96,main!$A$3:$H$102,8,FALSE),VLOOKUP(BO$1,main!$A$3:$H$102,4,FALSE),VLOOKUP(BO$1,main!$A$3:$H$102,4,FALSE)+VLOOKUP($A96,main!$A$3:$H$102,4,FALSE)+(VLOOKUP(VLOOKUP(BO$1,main!$A$3:$H$102,8,FALSE),main!$K$19:$O$22,MATCH(VLOOKUP($A96,main!$A$3:$H$102,7,FALSE),main!$K$18:$O$18,0),0))),0)</f>
        <v>0</v>
      </c>
      <c r="BP96">
        <f>IF((gamma!BP96),IF(VLOOKUP(BP$1,main!$A$3:$H$102,7,FALSE)=VLOOKUP($A96,main!$A$3:$H$102,8,FALSE),VLOOKUP(BP$1,main!$A$3:$H$102,4,FALSE),VLOOKUP(BP$1,main!$A$3:$H$102,4,FALSE)+VLOOKUP($A96,main!$A$3:$H$102,4,FALSE)+(VLOOKUP(VLOOKUP(BP$1,main!$A$3:$H$102,8,FALSE),main!$K$19:$O$22,MATCH(VLOOKUP($A96,main!$A$3:$H$102,7,FALSE),main!$K$18:$O$18,0),0))),0)</f>
        <v>0</v>
      </c>
      <c r="BQ96">
        <f>IF((gamma!BQ96),IF(VLOOKUP(BQ$1,main!$A$3:$H$102,7,FALSE)=VLOOKUP($A96,main!$A$3:$H$102,8,FALSE),VLOOKUP(BQ$1,main!$A$3:$H$102,4,FALSE),VLOOKUP(BQ$1,main!$A$3:$H$102,4,FALSE)+VLOOKUP($A96,main!$A$3:$H$102,4,FALSE)+(VLOOKUP(VLOOKUP(BQ$1,main!$A$3:$H$102,8,FALSE),main!$K$19:$O$22,MATCH(VLOOKUP($A96,main!$A$3:$H$102,7,FALSE),main!$K$18:$O$18,0),0))),0)</f>
        <v>0</v>
      </c>
      <c r="BR96">
        <f>IF((gamma!BR96),IF(VLOOKUP(BR$1,main!$A$3:$H$102,7,FALSE)=VLOOKUP($A96,main!$A$3:$H$102,8,FALSE),VLOOKUP(BR$1,main!$A$3:$H$102,4,FALSE),VLOOKUP(BR$1,main!$A$3:$H$102,4,FALSE)+VLOOKUP($A96,main!$A$3:$H$102,4,FALSE)+(VLOOKUP(VLOOKUP(BR$1,main!$A$3:$H$102,8,FALSE),main!$K$19:$O$22,MATCH(VLOOKUP($A96,main!$A$3:$H$102,7,FALSE),main!$K$18:$O$18,0),0))),0)</f>
        <v>0</v>
      </c>
      <c r="BS96">
        <f>IF((gamma!BS96),IF(VLOOKUP(BS$1,main!$A$3:$H$102,7,FALSE)=VLOOKUP($A96,main!$A$3:$H$102,8,FALSE),VLOOKUP(BS$1,main!$A$3:$H$102,4,FALSE),VLOOKUP(BS$1,main!$A$3:$H$102,4,FALSE)+VLOOKUP($A96,main!$A$3:$H$102,4,FALSE)+(VLOOKUP(VLOOKUP(BS$1,main!$A$3:$H$102,8,FALSE),main!$K$19:$O$22,MATCH(VLOOKUP($A96,main!$A$3:$H$102,7,FALSE),main!$K$18:$O$18,0),0))),0)</f>
        <v>0</v>
      </c>
      <c r="BT96">
        <f>IF((gamma!BT96),IF(VLOOKUP(BT$1,main!$A$3:$H$102,7,FALSE)=VLOOKUP($A96,main!$A$3:$H$102,8,FALSE),VLOOKUP(BT$1,main!$A$3:$H$102,4,FALSE),VLOOKUP(BT$1,main!$A$3:$H$102,4,FALSE)+VLOOKUP($A96,main!$A$3:$H$102,4,FALSE)+(VLOOKUP(VLOOKUP(BT$1,main!$A$3:$H$102,8,FALSE),main!$K$19:$O$22,MATCH(VLOOKUP($A96,main!$A$3:$H$102,7,FALSE),main!$K$18:$O$18,0),0))),0)</f>
        <v>0</v>
      </c>
      <c r="BU96">
        <f>IF((gamma!BU96),IF(VLOOKUP(BU$1,main!$A$3:$H$102,7,FALSE)=VLOOKUP($A96,main!$A$3:$H$102,8,FALSE),VLOOKUP(BU$1,main!$A$3:$H$102,4,FALSE),VLOOKUP(BU$1,main!$A$3:$H$102,4,FALSE)+VLOOKUP($A96,main!$A$3:$H$102,4,FALSE)+(VLOOKUP(VLOOKUP(BU$1,main!$A$3:$H$102,8,FALSE),main!$K$19:$O$22,MATCH(VLOOKUP($A96,main!$A$3:$H$102,7,FALSE),main!$K$18:$O$18,0),0))),0)</f>
        <v>0</v>
      </c>
      <c r="BV96">
        <f>IF((gamma!BV96),IF(VLOOKUP(BV$1,main!$A$3:$H$102,7,FALSE)=VLOOKUP($A96,main!$A$3:$H$102,8,FALSE),VLOOKUP(BV$1,main!$A$3:$H$102,4,FALSE),VLOOKUP(BV$1,main!$A$3:$H$102,4,FALSE)+VLOOKUP($A96,main!$A$3:$H$102,4,FALSE)+(VLOOKUP(VLOOKUP(BV$1,main!$A$3:$H$102,8,FALSE),main!$K$19:$O$22,MATCH(VLOOKUP($A96,main!$A$3:$H$102,7,FALSE),main!$K$18:$O$18,0),0))),0)</f>
        <v>0</v>
      </c>
      <c r="BW96">
        <f>IF((gamma!BW96),IF(VLOOKUP(BW$1,main!$A$3:$H$102,7,FALSE)=VLOOKUP($A96,main!$A$3:$H$102,8,FALSE),VLOOKUP(BW$1,main!$A$3:$H$102,4,FALSE),VLOOKUP(BW$1,main!$A$3:$H$102,4,FALSE)+VLOOKUP($A96,main!$A$3:$H$102,4,FALSE)+(VLOOKUP(VLOOKUP(BW$1,main!$A$3:$H$102,8,FALSE),main!$K$19:$O$22,MATCH(VLOOKUP($A96,main!$A$3:$H$102,7,FALSE),main!$K$18:$O$18,0),0))),0)</f>
        <v>0</v>
      </c>
      <c r="BX96">
        <f>IF((gamma!BX96),IF(VLOOKUP(BX$1,main!$A$3:$H$102,7,FALSE)=VLOOKUP($A96,main!$A$3:$H$102,8,FALSE),VLOOKUP(BX$1,main!$A$3:$H$102,4,FALSE),VLOOKUP(BX$1,main!$A$3:$H$102,4,FALSE)+VLOOKUP($A96,main!$A$3:$H$102,4,FALSE)+(VLOOKUP(VLOOKUP(BX$1,main!$A$3:$H$102,8,FALSE),main!$K$19:$O$22,MATCH(VLOOKUP($A96,main!$A$3:$H$102,7,FALSE),main!$K$18:$O$18,0),0))),0)</f>
        <v>0</v>
      </c>
      <c r="BY96">
        <f>IF((gamma!BY96),IF(VLOOKUP(BY$1,main!$A$3:$H$102,7,FALSE)=VLOOKUP($A96,main!$A$3:$H$102,8,FALSE),VLOOKUP(BY$1,main!$A$3:$H$102,4,FALSE),VLOOKUP(BY$1,main!$A$3:$H$102,4,FALSE)+VLOOKUP($A96,main!$A$3:$H$102,4,FALSE)+(VLOOKUP(VLOOKUP(BY$1,main!$A$3:$H$102,8,FALSE),main!$K$19:$O$22,MATCH(VLOOKUP($A96,main!$A$3:$H$102,7,FALSE),main!$K$18:$O$18,0),0))),0)</f>
        <v>0</v>
      </c>
      <c r="BZ96">
        <f>IF((gamma!BZ96),IF(VLOOKUP(BZ$1,main!$A$3:$H$102,7,FALSE)=VLOOKUP($A96,main!$A$3:$H$102,8,FALSE),VLOOKUP(BZ$1,main!$A$3:$H$102,4,FALSE),VLOOKUP(BZ$1,main!$A$3:$H$102,4,FALSE)+VLOOKUP($A96,main!$A$3:$H$102,4,FALSE)+(VLOOKUP(VLOOKUP(BZ$1,main!$A$3:$H$102,8,FALSE),main!$K$19:$O$22,MATCH(VLOOKUP($A96,main!$A$3:$H$102,7,FALSE),main!$K$18:$O$18,0),0))),0)</f>
        <v>0</v>
      </c>
      <c r="CA96">
        <f>IF((gamma!CA96),IF(VLOOKUP(CA$1,main!$A$3:$H$102,7,FALSE)=VLOOKUP($A96,main!$A$3:$H$102,8,FALSE),VLOOKUP(CA$1,main!$A$3:$H$102,4,FALSE),VLOOKUP(CA$1,main!$A$3:$H$102,4,FALSE)+VLOOKUP($A96,main!$A$3:$H$102,4,FALSE)+(VLOOKUP(VLOOKUP(CA$1,main!$A$3:$H$102,8,FALSE),main!$K$19:$O$22,MATCH(VLOOKUP($A96,main!$A$3:$H$102,7,FALSE),main!$K$18:$O$18,0),0))),0)</f>
        <v>0</v>
      </c>
      <c r="CB96">
        <f>IF((gamma!CB96),IF(VLOOKUP(CB$1,main!$A$3:$H$102,7,FALSE)=VLOOKUP($A96,main!$A$3:$H$102,8,FALSE),VLOOKUP(CB$1,main!$A$3:$H$102,4,FALSE),VLOOKUP(CB$1,main!$A$3:$H$102,4,FALSE)+VLOOKUP($A96,main!$A$3:$H$102,4,FALSE)+(VLOOKUP(VLOOKUP(CB$1,main!$A$3:$H$102,8,FALSE),main!$K$19:$O$22,MATCH(VLOOKUP($A96,main!$A$3:$H$102,7,FALSE),main!$K$18:$O$18,0),0))),0)</f>
        <v>0</v>
      </c>
      <c r="CC96">
        <f>IF((gamma!CC96),IF(VLOOKUP(CC$1,main!$A$3:$H$102,7,FALSE)=VLOOKUP($A96,main!$A$3:$H$102,8,FALSE),VLOOKUP(CC$1,main!$A$3:$H$102,4,FALSE),VLOOKUP(CC$1,main!$A$3:$H$102,4,FALSE)+VLOOKUP($A96,main!$A$3:$H$102,4,FALSE)+(VLOOKUP(VLOOKUP(CC$1,main!$A$3:$H$102,8,FALSE),main!$K$19:$O$22,MATCH(VLOOKUP($A96,main!$A$3:$H$102,7,FALSE),main!$K$18:$O$18,0),0))),0)</f>
        <v>55</v>
      </c>
      <c r="CD96">
        <f>IF((gamma!CD96),IF(VLOOKUP(CD$1,main!$A$3:$H$102,7,FALSE)=VLOOKUP($A96,main!$A$3:$H$102,8,FALSE),VLOOKUP(CD$1,main!$A$3:$H$102,4,FALSE),VLOOKUP(CD$1,main!$A$3:$H$102,4,FALSE)+VLOOKUP($A96,main!$A$3:$H$102,4,FALSE)+(VLOOKUP(VLOOKUP(CD$1,main!$A$3:$H$102,8,FALSE),main!$K$19:$O$22,MATCH(VLOOKUP($A96,main!$A$3:$H$102,7,FALSE),main!$K$18:$O$18,0),0))),0)</f>
        <v>0</v>
      </c>
      <c r="CE96">
        <f>IF((gamma!CE96),IF(VLOOKUP(CE$1,main!$A$3:$H$102,7,FALSE)=VLOOKUP($A96,main!$A$3:$H$102,8,FALSE),VLOOKUP(CE$1,main!$A$3:$H$102,4,FALSE),VLOOKUP(CE$1,main!$A$3:$H$102,4,FALSE)+VLOOKUP($A96,main!$A$3:$H$102,4,FALSE)+(VLOOKUP(VLOOKUP(CE$1,main!$A$3:$H$102,8,FALSE),main!$K$19:$O$22,MATCH(VLOOKUP($A96,main!$A$3:$H$102,7,FALSE),main!$K$18:$O$18,0),0))),0)</f>
        <v>0</v>
      </c>
      <c r="CF96">
        <f>IF((gamma!CF96),IF(VLOOKUP(CF$1,main!$A$3:$H$102,7,FALSE)=VLOOKUP($A96,main!$A$3:$H$102,8,FALSE),VLOOKUP(CF$1,main!$A$3:$H$102,4,FALSE),VLOOKUP(CF$1,main!$A$3:$H$102,4,FALSE)+VLOOKUP($A96,main!$A$3:$H$102,4,FALSE)+(VLOOKUP(VLOOKUP(CF$1,main!$A$3:$H$102,8,FALSE),main!$K$19:$O$22,MATCH(VLOOKUP($A96,main!$A$3:$H$102,7,FALSE),main!$K$18:$O$18,0),0))),0)</f>
        <v>0</v>
      </c>
      <c r="CG96">
        <f>IF((gamma!CG96),IF(VLOOKUP(CG$1,main!$A$3:$H$102,7,FALSE)=VLOOKUP($A96,main!$A$3:$H$102,8,FALSE),VLOOKUP(CG$1,main!$A$3:$H$102,4,FALSE),VLOOKUP(CG$1,main!$A$3:$H$102,4,FALSE)+VLOOKUP($A96,main!$A$3:$H$102,4,FALSE)+(VLOOKUP(VLOOKUP(CG$1,main!$A$3:$H$102,8,FALSE),main!$K$19:$O$22,MATCH(VLOOKUP($A96,main!$A$3:$H$102,7,FALSE),main!$K$18:$O$18,0),0))),0)</f>
        <v>0</v>
      </c>
      <c r="CH96">
        <f>IF((gamma!CH96),IF(VLOOKUP(CH$1,main!$A$3:$H$102,7,FALSE)=VLOOKUP($A96,main!$A$3:$H$102,8,FALSE),VLOOKUP(CH$1,main!$A$3:$H$102,4,FALSE),VLOOKUP(CH$1,main!$A$3:$H$102,4,FALSE)+VLOOKUP($A96,main!$A$3:$H$102,4,FALSE)+(VLOOKUP(VLOOKUP(CH$1,main!$A$3:$H$102,8,FALSE),main!$K$19:$O$22,MATCH(VLOOKUP($A96,main!$A$3:$H$102,7,FALSE),main!$K$18:$O$18,0),0))),0)</f>
        <v>0</v>
      </c>
      <c r="CI96">
        <f>IF((gamma!CI96),IF(VLOOKUP(CI$1,main!$A$3:$H$102,7,FALSE)=VLOOKUP($A96,main!$A$3:$H$102,8,FALSE),VLOOKUP(CI$1,main!$A$3:$H$102,4,FALSE),VLOOKUP(CI$1,main!$A$3:$H$102,4,FALSE)+VLOOKUP($A96,main!$A$3:$H$102,4,FALSE)+(VLOOKUP(VLOOKUP(CI$1,main!$A$3:$H$102,8,FALSE),main!$K$19:$O$22,MATCH(VLOOKUP($A96,main!$A$3:$H$102,7,FALSE),main!$K$18:$O$18,0),0))),0)</f>
        <v>310</v>
      </c>
      <c r="CJ96">
        <f>IF((gamma!CJ96),IF(VLOOKUP(CJ$1,main!$A$3:$H$102,7,FALSE)=VLOOKUP($A96,main!$A$3:$H$102,8,FALSE),VLOOKUP(CJ$1,main!$A$3:$H$102,4,FALSE),VLOOKUP(CJ$1,main!$A$3:$H$102,4,FALSE)+VLOOKUP($A96,main!$A$3:$H$102,4,FALSE)+(VLOOKUP(VLOOKUP(CJ$1,main!$A$3:$H$102,8,FALSE),main!$K$19:$O$22,MATCH(VLOOKUP($A96,main!$A$3:$H$102,7,FALSE),main!$K$18:$O$18,0),0))),0)</f>
        <v>0</v>
      </c>
      <c r="CK96">
        <f>IF((gamma!CK96),IF(VLOOKUP(CK$1,main!$A$3:$H$102,7,FALSE)=VLOOKUP($A96,main!$A$3:$H$102,8,FALSE),VLOOKUP(CK$1,main!$A$3:$H$102,4,FALSE),VLOOKUP(CK$1,main!$A$3:$H$102,4,FALSE)+VLOOKUP($A96,main!$A$3:$H$102,4,FALSE)+(VLOOKUP(VLOOKUP(CK$1,main!$A$3:$H$102,8,FALSE),main!$K$19:$O$22,MATCH(VLOOKUP($A96,main!$A$3:$H$102,7,FALSE),main!$K$18:$O$18,0),0))),0)</f>
        <v>0</v>
      </c>
      <c r="CL96">
        <f>IF((gamma!CL96),IF(VLOOKUP(CL$1,main!$A$3:$H$102,7,FALSE)=VLOOKUP($A96,main!$A$3:$H$102,8,FALSE),VLOOKUP(CL$1,main!$A$3:$H$102,4,FALSE),VLOOKUP(CL$1,main!$A$3:$H$102,4,FALSE)+VLOOKUP($A96,main!$A$3:$H$102,4,FALSE)+(VLOOKUP(VLOOKUP(CL$1,main!$A$3:$H$102,8,FALSE),main!$K$19:$O$22,MATCH(VLOOKUP($A96,main!$A$3:$H$102,7,FALSE),main!$K$18:$O$18,0),0))),0)</f>
        <v>0</v>
      </c>
      <c r="CM96">
        <f>IF((gamma!CM96),IF(VLOOKUP(CM$1,main!$A$3:$H$102,7,FALSE)=VLOOKUP($A96,main!$A$3:$H$102,8,FALSE),VLOOKUP(CM$1,main!$A$3:$H$102,4,FALSE),VLOOKUP(CM$1,main!$A$3:$H$102,4,FALSE)+VLOOKUP($A96,main!$A$3:$H$102,4,FALSE)+(VLOOKUP(VLOOKUP(CM$1,main!$A$3:$H$102,8,FALSE),main!$K$19:$O$22,MATCH(VLOOKUP($A96,main!$A$3:$H$102,7,FALSE),main!$K$18:$O$18,0),0))),0)</f>
        <v>0</v>
      </c>
      <c r="CN96">
        <f>IF((gamma!CN96),IF(VLOOKUP(CN$1,main!$A$3:$H$102,7,FALSE)=VLOOKUP($A96,main!$A$3:$H$102,8,FALSE),VLOOKUP(CN$1,main!$A$3:$H$102,4,FALSE),VLOOKUP(CN$1,main!$A$3:$H$102,4,FALSE)+VLOOKUP($A96,main!$A$3:$H$102,4,FALSE)+(VLOOKUP(VLOOKUP(CN$1,main!$A$3:$H$102,8,FALSE),main!$K$19:$O$22,MATCH(VLOOKUP($A96,main!$A$3:$H$102,7,FALSE),main!$K$18:$O$18,0),0))),0)</f>
        <v>266</v>
      </c>
      <c r="CO96">
        <f>IF((gamma!CO96),IF(VLOOKUP(CO$1,main!$A$3:$H$102,7,FALSE)=VLOOKUP($A96,main!$A$3:$H$102,8,FALSE),VLOOKUP(CO$1,main!$A$3:$H$102,4,FALSE),VLOOKUP(CO$1,main!$A$3:$H$102,4,FALSE)+VLOOKUP($A96,main!$A$3:$H$102,4,FALSE)+(VLOOKUP(VLOOKUP(CO$1,main!$A$3:$H$102,8,FALSE),main!$K$19:$O$22,MATCH(VLOOKUP($A96,main!$A$3:$H$102,7,FALSE),main!$K$18:$O$18,0),0))),0)</f>
        <v>0</v>
      </c>
      <c r="CP96">
        <f>IF((gamma!CP96),IF(VLOOKUP(CP$1,main!$A$3:$H$102,7,FALSE)=VLOOKUP($A96,main!$A$3:$H$102,8,FALSE),VLOOKUP(CP$1,main!$A$3:$H$102,4,FALSE),VLOOKUP(CP$1,main!$A$3:$H$102,4,FALSE)+VLOOKUP($A96,main!$A$3:$H$102,4,FALSE)+(VLOOKUP(VLOOKUP(CP$1,main!$A$3:$H$102,8,FALSE),main!$K$19:$O$22,MATCH(VLOOKUP($A96,main!$A$3:$H$102,7,FALSE),main!$K$18:$O$18,0),0))),0)</f>
        <v>0</v>
      </c>
      <c r="CQ96">
        <f>IF((gamma!CQ96),IF(VLOOKUP(CQ$1,main!$A$3:$H$102,7,FALSE)=VLOOKUP($A96,main!$A$3:$H$102,8,FALSE),VLOOKUP(CQ$1,main!$A$3:$H$102,4,FALSE),VLOOKUP(CQ$1,main!$A$3:$H$102,4,FALSE)+VLOOKUP($A96,main!$A$3:$H$102,4,FALSE)+(VLOOKUP(VLOOKUP(CQ$1,main!$A$3:$H$102,8,FALSE),main!$K$19:$O$22,MATCH(VLOOKUP($A96,main!$A$3:$H$102,7,FALSE),main!$K$18:$O$18,0),0))),0)</f>
        <v>0</v>
      </c>
      <c r="CR96">
        <f>IF((gamma!CR96),IF(VLOOKUP(CR$1,main!$A$3:$H$102,7,FALSE)=VLOOKUP($A96,main!$A$3:$H$102,8,FALSE),VLOOKUP(CR$1,main!$A$3:$H$102,4,FALSE),VLOOKUP(CR$1,main!$A$3:$H$102,4,FALSE)+VLOOKUP($A96,main!$A$3:$H$102,4,FALSE)+(VLOOKUP(VLOOKUP(CR$1,main!$A$3:$H$102,8,FALSE),main!$K$19:$O$22,MATCH(VLOOKUP($A96,main!$A$3:$H$102,7,FALSE),main!$K$18:$O$18,0),0))),0)</f>
        <v>0</v>
      </c>
      <c r="CS96">
        <f>IF((gamma!CS96),IF(VLOOKUP(CS$1,main!$A$3:$H$102,7,FALSE)=VLOOKUP($A96,main!$A$3:$H$102,8,FALSE),VLOOKUP(CS$1,main!$A$3:$H$102,4,FALSE),VLOOKUP(CS$1,main!$A$3:$H$102,4,FALSE)+VLOOKUP($A96,main!$A$3:$H$102,4,FALSE)+(VLOOKUP(VLOOKUP(CS$1,main!$A$3:$H$102,8,FALSE),main!$K$19:$O$22,MATCH(VLOOKUP($A96,main!$A$3:$H$102,7,FALSE),main!$K$18:$O$18,0),0))),0)</f>
        <v>0</v>
      </c>
      <c r="CT96">
        <f>IF((gamma!CT96),IF(VLOOKUP(CT$1,main!$A$3:$H$102,7,FALSE)=VLOOKUP($A96,main!$A$3:$H$102,8,FALSE),VLOOKUP(CT$1,main!$A$3:$H$102,4,FALSE),VLOOKUP(CT$1,main!$A$3:$H$102,4,FALSE)+VLOOKUP($A96,main!$A$3:$H$102,4,FALSE)+(VLOOKUP(VLOOKUP(CT$1,main!$A$3:$H$102,8,FALSE),main!$K$19:$O$22,MATCH(VLOOKUP($A96,main!$A$3:$H$102,7,FALSE),main!$K$18:$O$18,0),0))),0)</f>
        <v>0</v>
      </c>
      <c r="CU96">
        <f>IF((gamma!CU96),IF(VLOOKUP(CU$1,main!$A$3:$H$102,7,FALSE)=VLOOKUP($A96,main!$A$3:$H$102,8,FALSE),VLOOKUP(CU$1,main!$A$3:$H$102,4,FALSE),VLOOKUP(CU$1,main!$A$3:$H$102,4,FALSE)+VLOOKUP($A96,main!$A$3:$H$102,4,FALSE)+(VLOOKUP(VLOOKUP(CU$1,main!$A$3:$H$102,8,FALSE),main!$K$19:$O$22,MATCH(VLOOKUP($A96,main!$A$3:$H$102,7,FALSE),main!$K$18:$O$18,0),0))),0)</f>
        <v>0</v>
      </c>
      <c r="CV96">
        <f>IF((gamma!CV96),IF(VLOOKUP(CV$1,main!$A$3:$H$102,7,FALSE)=VLOOKUP($A96,main!$A$3:$H$102,8,FALSE),VLOOKUP(CV$1,main!$A$3:$H$102,4,FALSE),VLOOKUP(CV$1,main!$A$3:$H$102,4,FALSE)+VLOOKUP($A96,main!$A$3:$H$102,4,FALSE)+(VLOOKUP(VLOOKUP(CV$1,main!$A$3:$H$102,8,FALSE),main!$K$19:$O$22,MATCH(VLOOKUP($A96,main!$A$3:$H$102,7,FALSE),main!$K$18:$O$18,0),0))),0)</f>
        <v>0</v>
      </c>
      <c r="CW96">
        <f>IF((gamma!CW96),IF(VLOOKUP(CW$1,main!$A$3:$H$102,7,FALSE)=VLOOKUP($A96,main!$A$3:$H$102,8,FALSE),VLOOKUP(CW$1,main!$A$3:$H$102,4,FALSE),VLOOKUP(CW$1,main!$A$3:$H$102,4,FALSE)+VLOOKUP($A96,main!$A$3:$H$102,4,FALSE)+(VLOOKUP(VLOOKUP(CW$1,main!$A$3:$H$102,8,FALSE),main!$K$19:$O$22,MATCH(VLOOKUP($A96,main!$A$3:$H$102,7,FALSE),main!$K$18:$O$18,0),0))),0)</f>
        <v>0</v>
      </c>
      <c r="CX96">
        <f>IF((gamma!CX96),IF(VLOOKUP(CX$1,main!$A$3:$H$102,7,FALSE)=VLOOKUP($A96,main!$A$3:$H$102,8,FALSE),VLOOKUP(CX$1,main!$A$3:$H$102,4,FALSE),VLOOKUP(CX$1,main!$A$3:$H$102,4,FALSE)+VLOOKUP($A96,main!$A$3:$H$102,4,FALSE)+(VLOOKUP(VLOOKUP(CX$1,main!$A$3:$H$102,8,FALSE),main!$K$19:$O$22,MATCH(VLOOKUP($A96,main!$A$3:$H$102,7,FALSE),main!$K$18:$O$18,0),0))),0)</f>
        <v>0</v>
      </c>
      <c r="CY96">
        <v>0</v>
      </c>
      <c r="CZ96">
        <v>0</v>
      </c>
      <c r="DA96">
        <v>0</v>
      </c>
    </row>
    <row r="97" spans="1:105" x14ac:dyDescent="0.25">
      <c r="A97" s="1">
        <v>95</v>
      </c>
      <c r="B97">
        <v>0</v>
      </c>
      <c r="C97">
        <f>IF((gamma!C97),IF(VLOOKUP(C$1,main!$A$3:$H$102,7,FALSE)=VLOOKUP($A97,main!$A$3:$H$102,8,FALSE),VLOOKUP(C$1,main!$A$3:$H$102,4,FALSE),VLOOKUP(C$1,main!$A$3:$H$102,4,FALSE)+VLOOKUP($A97,main!$A$3:$H$102,4,FALSE)+(VLOOKUP(VLOOKUP(C$1,main!$A$3:$H$102,8,FALSE),main!$K$19:$O$22,MATCH(VLOOKUP($A97,main!$A$3:$H$102,7,FALSE),main!$K$18:$O$18,0),0))),0)</f>
        <v>0</v>
      </c>
      <c r="D97">
        <f>IF((gamma!D97),IF(VLOOKUP(D$1,main!$A$3:$H$102,7,FALSE)=VLOOKUP($A97,main!$A$3:$H$102,8,FALSE),VLOOKUP(D$1,main!$A$3:$H$102,4,FALSE),VLOOKUP(D$1,main!$A$3:$H$102,4,FALSE)+VLOOKUP($A97,main!$A$3:$H$102,4,FALSE)+(VLOOKUP(VLOOKUP(D$1,main!$A$3:$H$102,8,FALSE),main!$K$19:$O$22,MATCH(VLOOKUP($A97,main!$A$3:$H$102,7,FALSE),main!$K$18:$O$18,0),0))),0)</f>
        <v>0</v>
      </c>
      <c r="E97">
        <f>IF((gamma!E97),IF(VLOOKUP(E$1,main!$A$3:$H$102,7,FALSE)=VLOOKUP($A97,main!$A$3:$H$102,8,FALSE),VLOOKUP(E$1,main!$A$3:$H$102,4,FALSE),VLOOKUP(E$1,main!$A$3:$H$102,4,FALSE)+VLOOKUP($A97,main!$A$3:$H$102,4,FALSE)+(VLOOKUP(VLOOKUP(E$1,main!$A$3:$H$102,8,FALSE),main!$K$19:$O$22,MATCH(VLOOKUP($A97,main!$A$3:$H$102,7,FALSE),main!$K$18:$O$18,0),0))),0)</f>
        <v>0</v>
      </c>
      <c r="F97">
        <f>IF((gamma!F97),IF(VLOOKUP(F$1,main!$A$3:$H$102,7,FALSE)=VLOOKUP($A97,main!$A$3:$H$102,8,FALSE),VLOOKUP(F$1,main!$A$3:$H$102,4,FALSE),VLOOKUP(F$1,main!$A$3:$H$102,4,FALSE)+VLOOKUP($A97,main!$A$3:$H$102,4,FALSE)+(VLOOKUP(VLOOKUP(F$1,main!$A$3:$H$102,8,FALSE),main!$K$19:$O$22,MATCH(VLOOKUP($A97,main!$A$3:$H$102,7,FALSE),main!$K$18:$O$18,0),0))),0)</f>
        <v>0</v>
      </c>
      <c r="G97">
        <f>IF((gamma!G97),IF(VLOOKUP(G$1,main!$A$3:$H$102,7,FALSE)=VLOOKUP($A97,main!$A$3:$H$102,8,FALSE),VLOOKUP(G$1,main!$A$3:$H$102,4,FALSE),VLOOKUP(G$1,main!$A$3:$H$102,4,FALSE)+VLOOKUP($A97,main!$A$3:$H$102,4,FALSE)+(VLOOKUP(VLOOKUP(G$1,main!$A$3:$H$102,8,FALSE),main!$K$19:$O$22,MATCH(VLOOKUP($A97,main!$A$3:$H$102,7,FALSE),main!$K$18:$O$18,0),0))),0)</f>
        <v>0</v>
      </c>
      <c r="H97">
        <f>IF((gamma!H97),IF(VLOOKUP(H$1,main!$A$3:$H$102,7,FALSE)=VLOOKUP($A97,main!$A$3:$H$102,8,FALSE),VLOOKUP(H$1,main!$A$3:$H$102,4,FALSE),VLOOKUP(H$1,main!$A$3:$H$102,4,FALSE)+VLOOKUP($A97,main!$A$3:$H$102,4,FALSE)+(VLOOKUP(VLOOKUP(H$1,main!$A$3:$H$102,8,FALSE),main!$K$19:$O$22,MATCH(VLOOKUP($A97,main!$A$3:$H$102,7,FALSE),main!$K$18:$O$18,0),0))),0)</f>
        <v>0</v>
      </c>
      <c r="I97">
        <f>IF((gamma!I97),IF(VLOOKUP(I$1,main!$A$3:$H$102,7,FALSE)=VLOOKUP($A97,main!$A$3:$H$102,8,FALSE),VLOOKUP(I$1,main!$A$3:$H$102,4,FALSE),VLOOKUP(I$1,main!$A$3:$H$102,4,FALSE)+VLOOKUP($A97,main!$A$3:$H$102,4,FALSE)+(VLOOKUP(VLOOKUP(I$1,main!$A$3:$H$102,8,FALSE),main!$K$19:$O$22,MATCH(VLOOKUP($A97,main!$A$3:$H$102,7,FALSE),main!$K$18:$O$18,0),0))),0)</f>
        <v>0</v>
      </c>
      <c r="J97">
        <f>IF((gamma!J97),IF(VLOOKUP(J$1,main!$A$3:$H$102,7,FALSE)=VLOOKUP($A97,main!$A$3:$H$102,8,FALSE),VLOOKUP(J$1,main!$A$3:$H$102,4,FALSE),VLOOKUP(J$1,main!$A$3:$H$102,4,FALSE)+VLOOKUP($A97,main!$A$3:$H$102,4,FALSE)+(VLOOKUP(VLOOKUP(J$1,main!$A$3:$H$102,8,FALSE),main!$K$19:$O$22,MATCH(VLOOKUP($A97,main!$A$3:$H$102,7,FALSE),main!$K$18:$O$18,0),0))),0)</f>
        <v>0</v>
      </c>
      <c r="K97">
        <f>IF((gamma!K97),IF(VLOOKUP(K$1,main!$A$3:$H$102,7,FALSE)=VLOOKUP($A97,main!$A$3:$H$102,8,FALSE),VLOOKUP(K$1,main!$A$3:$H$102,4,FALSE),VLOOKUP(K$1,main!$A$3:$H$102,4,FALSE)+VLOOKUP($A97,main!$A$3:$H$102,4,FALSE)+(VLOOKUP(VLOOKUP(K$1,main!$A$3:$H$102,8,FALSE),main!$K$19:$O$22,MATCH(VLOOKUP($A97,main!$A$3:$H$102,7,FALSE),main!$K$18:$O$18,0),0))),0)</f>
        <v>0</v>
      </c>
      <c r="L97">
        <f>IF((gamma!L97),IF(VLOOKUP(L$1,main!$A$3:$H$102,7,FALSE)=VLOOKUP($A97,main!$A$3:$H$102,8,FALSE),VLOOKUP(L$1,main!$A$3:$H$102,4,FALSE),VLOOKUP(L$1,main!$A$3:$H$102,4,FALSE)+VLOOKUP($A97,main!$A$3:$H$102,4,FALSE)+(VLOOKUP(VLOOKUP(L$1,main!$A$3:$H$102,8,FALSE),main!$K$19:$O$22,MATCH(VLOOKUP($A97,main!$A$3:$H$102,7,FALSE),main!$K$18:$O$18,0),0))),0)</f>
        <v>310</v>
      </c>
      <c r="M97">
        <f>IF((gamma!M97),IF(VLOOKUP(M$1,main!$A$3:$H$102,7,FALSE)=VLOOKUP($A97,main!$A$3:$H$102,8,FALSE),VLOOKUP(M$1,main!$A$3:$H$102,4,FALSE),VLOOKUP(M$1,main!$A$3:$H$102,4,FALSE)+VLOOKUP($A97,main!$A$3:$H$102,4,FALSE)+(VLOOKUP(VLOOKUP(M$1,main!$A$3:$H$102,8,FALSE),main!$K$19:$O$22,MATCH(VLOOKUP($A97,main!$A$3:$H$102,7,FALSE),main!$K$18:$O$18,0),0))),0)</f>
        <v>0</v>
      </c>
      <c r="N97">
        <f>IF((gamma!N97),IF(VLOOKUP(N$1,main!$A$3:$H$102,7,FALSE)=VLOOKUP($A97,main!$A$3:$H$102,8,FALSE),VLOOKUP(N$1,main!$A$3:$H$102,4,FALSE),VLOOKUP(N$1,main!$A$3:$H$102,4,FALSE)+VLOOKUP($A97,main!$A$3:$H$102,4,FALSE)+(VLOOKUP(VLOOKUP(N$1,main!$A$3:$H$102,8,FALSE),main!$K$19:$O$22,MATCH(VLOOKUP($A97,main!$A$3:$H$102,7,FALSE),main!$K$18:$O$18,0),0))),0)</f>
        <v>0</v>
      </c>
      <c r="O97">
        <f>IF((gamma!O97),IF(VLOOKUP(O$1,main!$A$3:$H$102,7,FALSE)=VLOOKUP($A97,main!$A$3:$H$102,8,FALSE),VLOOKUP(O$1,main!$A$3:$H$102,4,FALSE),VLOOKUP(O$1,main!$A$3:$H$102,4,FALSE)+VLOOKUP($A97,main!$A$3:$H$102,4,FALSE)+(VLOOKUP(VLOOKUP(O$1,main!$A$3:$H$102,8,FALSE),main!$K$19:$O$22,MATCH(VLOOKUP($A97,main!$A$3:$H$102,7,FALSE),main!$K$18:$O$18,0),0))),0)</f>
        <v>0</v>
      </c>
      <c r="P97">
        <f>IF((gamma!P97),IF(VLOOKUP(P$1,main!$A$3:$H$102,7,FALSE)=VLOOKUP($A97,main!$A$3:$H$102,8,FALSE),VLOOKUP(P$1,main!$A$3:$H$102,4,FALSE),VLOOKUP(P$1,main!$A$3:$H$102,4,FALSE)+VLOOKUP($A97,main!$A$3:$H$102,4,FALSE)+(VLOOKUP(VLOOKUP(P$1,main!$A$3:$H$102,8,FALSE),main!$K$19:$O$22,MATCH(VLOOKUP($A97,main!$A$3:$H$102,7,FALSE),main!$K$18:$O$18,0),0))),0)</f>
        <v>0</v>
      </c>
      <c r="Q97">
        <f>IF((gamma!Q97),IF(VLOOKUP(Q$1,main!$A$3:$H$102,7,FALSE)=VLOOKUP($A97,main!$A$3:$H$102,8,FALSE),VLOOKUP(Q$1,main!$A$3:$H$102,4,FALSE),VLOOKUP(Q$1,main!$A$3:$H$102,4,FALSE)+VLOOKUP($A97,main!$A$3:$H$102,4,FALSE)+(VLOOKUP(VLOOKUP(Q$1,main!$A$3:$H$102,8,FALSE),main!$K$19:$O$22,MATCH(VLOOKUP($A97,main!$A$3:$H$102,7,FALSE),main!$K$18:$O$18,0),0))),0)</f>
        <v>0</v>
      </c>
      <c r="R97">
        <f>IF((gamma!R97),IF(VLOOKUP(R$1,main!$A$3:$H$102,7,FALSE)=VLOOKUP($A97,main!$A$3:$H$102,8,FALSE),VLOOKUP(R$1,main!$A$3:$H$102,4,FALSE),VLOOKUP(R$1,main!$A$3:$H$102,4,FALSE)+VLOOKUP($A97,main!$A$3:$H$102,4,FALSE)+(VLOOKUP(VLOOKUP(R$1,main!$A$3:$H$102,8,FALSE),main!$K$19:$O$22,MATCH(VLOOKUP($A97,main!$A$3:$H$102,7,FALSE),main!$K$18:$O$18,0),0))),0)</f>
        <v>0</v>
      </c>
      <c r="S97">
        <f>IF((gamma!S97),IF(VLOOKUP(S$1,main!$A$3:$H$102,7,FALSE)=VLOOKUP($A97,main!$A$3:$H$102,8,FALSE),VLOOKUP(S$1,main!$A$3:$H$102,4,FALSE),VLOOKUP(S$1,main!$A$3:$H$102,4,FALSE)+VLOOKUP($A97,main!$A$3:$H$102,4,FALSE)+(VLOOKUP(VLOOKUP(S$1,main!$A$3:$H$102,8,FALSE),main!$K$19:$O$22,MATCH(VLOOKUP($A97,main!$A$3:$H$102,7,FALSE),main!$K$18:$O$18,0),0))),0)</f>
        <v>0</v>
      </c>
      <c r="T97">
        <f>IF((gamma!T97),IF(VLOOKUP(T$1,main!$A$3:$H$102,7,FALSE)=VLOOKUP($A97,main!$A$3:$H$102,8,FALSE),VLOOKUP(T$1,main!$A$3:$H$102,4,FALSE),VLOOKUP(T$1,main!$A$3:$H$102,4,FALSE)+VLOOKUP($A97,main!$A$3:$H$102,4,FALSE)+(VLOOKUP(VLOOKUP(T$1,main!$A$3:$H$102,8,FALSE),main!$K$19:$O$22,MATCH(VLOOKUP($A97,main!$A$3:$H$102,7,FALSE),main!$K$18:$O$18,0),0))),0)</f>
        <v>0</v>
      </c>
      <c r="U97">
        <f>IF((gamma!U97),IF(VLOOKUP(U$1,main!$A$3:$H$102,7,FALSE)=VLOOKUP($A97,main!$A$3:$H$102,8,FALSE),VLOOKUP(U$1,main!$A$3:$H$102,4,FALSE),VLOOKUP(U$1,main!$A$3:$H$102,4,FALSE)+VLOOKUP($A97,main!$A$3:$H$102,4,FALSE)+(VLOOKUP(VLOOKUP(U$1,main!$A$3:$H$102,8,FALSE),main!$K$19:$O$22,MATCH(VLOOKUP($A97,main!$A$3:$H$102,7,FALSE),main!$K$18:$O$18,0),0))),0)</f>
        <v>308</v>
      </c>
      <c r="V97">
        <f>IF((gamma!V97),IF(VLOOKUP(V$1,main!$A$3:$H$102,7,FALSE)=VLOOKUP($A97,main!$A$3:$H$102,8,FALSE),VLOOKUP(V$1,main!$A$3:$H$102,4,FALSE),VLOOKUP(V$1,main!$A$3:$H$102,4,FALSE)+VLOOKUP($A97,main!$A$3:$H$102,4,FALSE)+(VLOOKUP(VLOOKUP(V$1,main!$A$3:$H$102,8,FALSE),main!$K$19:$O$22,MATCH(VLOOKUP($A97,main!$A$3:$H$102,7,FALSE),main!$K$18:$O$18,0),0))),0)</f>
        <v>308</v>
      </c>
      <c r="W97">
        <f>IF((gamma!W97),IF(VLOOKUP(W$1,main!$A$3:$H$102,7,FALSE)=VLOOKUP($A97,main!$A$3:$H$102,8,FALSE),VLOOKUP(W$1,main!$A$3:$H$102,4,FALSE),VLOOKUP(W$1,main!$A$3:$H$102,4,FALSE)+VLOOKUP($A97,main!$A$3:$H$102,4,FALSE)+(VLOOKUP(VLOOKUP(W$1,main!$A$3:$H$102,8,FALSE),main!$K$19:$O$22,MATCH(VLOOKUP($A97,main!$A$3:$H$102,7,FALSE),main!$K$18:$O$18,0),0))),0)</f>
        <v>0</v>
      </c>
      <c r="X97">
        <f>IF((gamma!X97),IF(VLOOKUP(X$1,main!$A$3:$H$102,7,FALSE)=VLOOKUP($A97,main!$A$3:$H$102,8,FALSE),VLOOKUP(X$1,main!$A$3:$H$102,4,FALSE),VLOOKUP(X$1,main!$A$3:$H$102,4,FALSE)+VLOOKUP($A97,main!$A$3:$H$102,4,FALSE)+(VLOOKUP(VLOOKUP(X$1,main!$A$3:$H$102,8,FALSE),main!$K$19:$O$22,MATCH(VLOOKUP($A97,main!$A$3:$H$102,7,FALSE),main!$K$18:$O$18,0),0))),0)</f>
        <v>0</v>
      </c>
      <c r="Y97">
        <f>IF((gamma!Y97),IF(VLOOKUP(Y$1,main!$A$3:$H$102,7,FALSE)=VLOOKUP($A97,main!$A$3:$H$102,8,FALSE),VLOOKUP(Y$1,main!$A$3:$H$102,4,FALSE),VLOOKUP(Y$1,main!$A$3:$H$102,4,FALSE)+VLOOKUP($A97,main!$A$3:$H$102,4,FALSE)+(VLOOKUP(VLOOKUP(Y$1,main!$A$3:$H$102,8,FALSE),main!$K$19:$O$22,MATCH(VLOOKUP($A97,main!$A$3:$H$102,7,FALSE),main!$K$18:$O$18,0),0))),0)</f>
        <v>0</v>
      </c>
      <c r="Z97">
        <f>IF((gamma!Z97),IF(VLOOKUP(Z$1,main!$A$3:$H$102,7,FALSE)=VLOOKUP($A97,main!$A$3:$H$102,8,FALSE),VLOOKUP(Z$1,main!$A$3:$H$102,4,FALSE),VLOOKUP(Z$1,main!$A$3:$H$102,4,FALSE)+VLOOKUP($A97,main!$A$3:$H$102,4,FALSE)+(VLOOKUP(VLOOKUP(Z$1,main!$A$3:$H$102,8,FALSE),main!$K$19:$O$22,MATCH(VLOOKUP($A97,main!$A$3:$H$102,7,FALSE),main!$K$18:$O$18,0),0))),0)</f>
        <v>0</v>
      </c>
      <c r="AA97">
        <f>IF((gamma!AA97),IF(VLOOKUP(AA$1,main!$A$3:$H$102,7,FALSE)=VLOOKUP($A97,main!$A$3:$H$102,8,FALSE),VLOOKUP(AA$1,main!$A$3:$H$102,4,FALSE),VLOOKUP(AA$1,main!$A$3:$H$102,4,FALSE)+VLOOKUP($A97,main!$A$3:$H$102,4,FALSE)+(VLOOKUP(VLOOKUP(AA$1,main!$A$3:$H$102,8,FALSE),main!$K$19:$O$22,MATCH(VLOOKUP($A97,main!$A$3:$H$102,7,FALSE),main!$K$18:$O$18,0),0))),0)</f>
        <v>0</v>
      </c>
      <c r="AB97">
        <f>IF((gamma!AB97),IF(VLOOKUP(AB$1,main!$A$3:$H$102,7,FALSE)=VLOOKUP($A97,main!$A$3:$H$102,8,FALSE),VLOOKUP(AB$1,main!$A$3:$H$102,4,FALSE),VLOOKUP(AB$1,main!$A$3:$H$102,4,FALSE)+VLOOKUP($A97,main!$A$3:$H$102,4,FALSE)+(VLOOKUP(VLOOKUP(AB$1,main!$A$3:$H$102,8,FALSE),main!$K$19:$O$22,MATCH(VLOOKUP($A97,main!$A$3:$H$102,7,FALSE),main!$K$18:$O$18,0),0))),0)</f>
        <v>0</v>
      </c>
      <c r="AC97">
        <f>IF((gamma!AC97),IF(VLOOKUP(AC$1,main!$A$3:$H$102,7,FALSE)=VLOOKUP($A97,main!$A$3:$H$102,8,FALSE),VLOOKUP(AC$1,main!$A$3:$H$102,4,FALSE),VLOOKUP(AC$1,main!$A$3:$H$102,4,FALSE)+VLOOKUP($A97,main!$A$3:$H$102,4,FALSE)+(VLOOKUP(VLOOKUP(AC$1,main!$A$3:$H$102,8,FALSE),main!$K$19:$O$22,MATCH(VLOOKUP($A97,main!$A$3:$H$102,7,FALSE),main!$K$18:$O$18,0),0))),0)</f>
        <v>0</v>
      </c>
      <c r="AD97">
        <f>IF((gamma!AD97),IF(VLOOKUP(AD$1,main!$A$3:$H$102,7,FALSE)=VLOOKUP($A97,main!$A$3:$H$102,8,FALSE),VLOOKUP(AD$1,main!$A$3:$H$102,4,FALSE),VLOOKUP(AD$1,main!$A$3:$H$102,4,FALSE)+VLOOKUP($A97,main!$A$3:$H$102,4,FALSE)+(VLOOKUP(VLOOKUP(AD$1,main!$A$3:$H$102,8,FALSE),main!$K$19:$O$22,MATCH(VLOOKUP($A97,main!$A$3:$H$102,7,FALSE),main!$K$18:$O$18,0),0))),0)</f>
        <v>0</v>
      </c>
      <c r="AE97">
        <f>IF((gamma!AE97),IF(VLOOKUP(AE$1,main!$A$3:$H$102,7,FALSE)=VLOOKUP($A97,main!$A$3:$H$102,8,FALSE),VLOOKUP(AE$1,main!$A$3:$H$102,4,FALSE),VLOOKUP(AE$1,main!$A$3:$H$102,4,FALSE)+VLOOKUP($A97,main!$A$3:$H$102,4,FALSE)+(VLOOKUP(VLOOKUP(AE$1,main!$A$3:$H$102,8,FALSE),main!$K$19:$O$22,MATCH(VLOOKUP($A97,main!$A$3:$H$102,7,FALSE),main!$K$18:$O$18,0),0))),0)</f>
        <v>0</v>
      </c>
      <c r="AF97">
        <f>IF((gamma!AF97),IF(VLOOKUP(AF$1,main!$A$3:$H$102,7,FALSE)=VLOOKUP($A97,main!$A$3:$H$102,8,FALSE),VLOOKUP(AF$1,main!$A$3:$H$102,4,FALSE),VLOOKUP(AF$1,main!$A$3:$H$102,4,FALSE)+VLOOKUP($A97,main!$A$3:$H$102,4,FALSE)+(VLOOKUP(VLOOKUP(AF$1,main!$A$3:$H$102,8,FALSE),main!$K$19:$O$22,MATCH(VLOOKUP($A97,main!$A$3:$H$102,7,FALSE),main!$K$18:$O$18,0),0))),0)</f>
        <v>0</v>
      </c>
      <c r="AG97">
        <f>IF((gamma!AG97),IF(VLOOKUP(AG$1,main!$A$3:$H$102,7,FALSE)=VLOOKUP($A97,main!$A$3:$H$102,8,FALSE),VLOOKUP(AG$1,main!$A$3:$H$102,4,FALSE),VLOOKUP(AG$1,main!$A$3:$H$102,4,FALSE)+VLOOKUP($A97,main!$A$3:$H$102,4,FALSE)+(VLOOKUP(VLOOKUP(AG$1,main!$A$3:$H$102,8,FALSE),main!$K$19:$O$22,MATCH(VLOOKUP($A97,main!$A$3:$H$102,7,FALSE),main!$K$18:$O$18,0),0))),0)</f>
        <v>0</v>
      </c>
      <c r="AH97">
        <f>IF((gamma!AH97),IF(VLOOKUP(AH$1,main!$A$3:$H$102,7,FALSE)=VLOOKUP($A97,main!$A$3:$H$102,8,FALSE),VLOOKUP(AH$1,main!$A$3:$H$102,4,FALSE),VLOOKUP(AH$1,main!$A$3:$H$102,4,FALSE)+VLOOKUP($A97,main!$A$3:$H$102,4,FALSE)+(VLOOKUP(VLOOKUP(AH$1,main!$A$3:$H$102,8,FALSE),main!$K$19:$O$22,MATCH(VLOOKUP($A97,main!$A$3:$H$102,7,FALSE),main!$K$18:$O$18,0),0))),0)</f>
        <v>0</v>
      </c>
      <c r="AI97">
        <f>IF((gamma!AI97),IF(VLOOKUP(AI$1,main!$A$3:$H$102,7,FALSE)=VLOOKUP($A97,main!$A$3:$H$102,8,FALSE),VLOOKUP(AI$1,main!$A$3:$H$102,4,FALSE),VLOOKUP(AI$1,main!$A$3:$H$102,4,FALSE)+VLOOKUP($A97,main!$A$3:$H$102,4,FALSE)+(VLOOKUP(VLOOKUP(AI$1,main!$A$3:$H$102,8,FALSE),main!$K$19:$O$22,MATCH(VLOOKUP($A97,main!$A$3:$H$102,7,FALSE),main!$K$18:$O$18,0),0))),0)</f>
        <v>0</v>
      </c>
      <c r="AJ97">
        <f>IF((gamma!AJ97),IF(VLOOKUP(AJ$1,main!$A$3:$H$102,7,FALSE)=VLOOKUP($A97,main!$A$3:$H$102,8,FALSE),VLOOKUP(AJ$1,main!$A$3:$H$102,4,FALSE),VLOOKUP(AJ$1,main!$A$3:$H$102,4,FALSE)+VLOOKUP($A97,main!$A$3:$H$102,4,FALSE)+(VLOOKUP(VLOOKUP(AJ$1,main!$A$3:$H$102,8,FALSE),main!$K$19:$O$22,MATCH(VLOOKUP($A97,main!$A$3:$H$102,7,FALSE),main!$K$18:$O$18,0),0))),0)</f>
        <v>0</v>
      </c>
      <c r="AK97">
        <f>IF((gamma!AK97),IF(VLOOKUP(AK$1,main!$A$3:$H$102,7,FALSE)=VLOOKUP($A97,main!$A$3:$H$102,8,FALSE),VLOOKUP(AK$1,main!$A$3:$H$102,4,FALSE),VLOOKUP(AK$1,main!$A$3:$H$102,4,FALSE)+VLOOKUP($A97,main!$A$3:$H$102,4,FALSE)+(VLOOKUP(VLOOKUP(AK$1,main!$A$3:$H$102,8,FALSE),main!$K$19:$O$22,MATCH(VLOOKUP($A97,main!$A$3:$H$102,7,FALSE),main!$K$18:$O$18,0),0))),0)</f>
        <v>0</v>
      </c>
      <c r="AL97">
        <f>IF((gamma!AL97),IF(VLOOKUP(AL$1,main!$A$3:$H$102,7,FALSE)=VLOOKUP($A97,main!$A$3:$H$102,8,FALSE),VLOOKUP(AL$1,main!$A$3:$H$102,4,FALSE),VLOOKUP(AL$1,main!$A$3:$H$102,4,FALSE)+VLOOKUP($A97,main!$A$3:$H$102,4,FALSE)+(VLOOKUP(VLOOKUP(AL$1,main!$A$3:$H$102,8,FALSE),main!$K$19:$O$22,MATCH(VLOOKUP($A97,main!$A$3:$H$102,7,FALSE),main!$K$18:$O$18,0),0))),0)</f>
        <v>0</v>
      </c>
      <c r="AM97">
        <f>IF((gamma!AM97),IF(VLOOKUP(AM$1,main!$A$3:$H$102,7,FALSE)=VLOOKUP($A97,main!$A$3:$H$102,8,FALSE),VLOOKUP(AM$1,main!$A$3:$H$102,4,FALSE),VLOOKUP(AM$1,main!$A$3:$H$102,4,FALSE)+VLOOKUP($A97,main!$A$3:$H$102,4,FALSE)+(VLOOKUP(VLOOKUP(AM$1,main!$A$3:$H$102,8,FALSE),main!$K$19:$O$22,MATCH(VLOOKUP($A97,main!$A$3:$H$102,7,FALSE),main!$K$18:$O$18,0),0))),0)</f>
        <v>0</v>
      </c>
      <c r="AN97">
        <f>IF((gamma!AN97),IF(VLOOKUP(AN$1,main!$A$3:$H$102,7,FALSE)=VLOOKUP($A97,main!$A$3:$H$102,8,FALSE),VLOOKUP(AN$1,main!$A$3:$H$102,4,FALSE),VLOOKUP(AN$1,main!$A$3:$H$102,4,FALSE)+VLOOKUP($A97,main!$A$3:$H$102,4,FALSE)+(VLOOKUP(VLOOKUP(AN$1,main!$A$3:$H$102,8,FALSE),main!$K$19:$O$22,MATCH(VLOOKUP($A97,main!$A$3:$H$102,7,FALSE),main!$K$18:$O$18,0),0))),0)</f>
        <v>0</v>
      </c>
      <c r="AO97">
        <f>IF((gamma!AO97),IF(VLOOKUP(AO$1,main!$A$3:$H$102,7,FALSE)=VLOOKUP($A97,main!$A$3:$H$102,8,FALSE),VLOOKUP(AO$1,main!$A$3:$H$102,4,FALSE),VLOOKUP(AO$1,main!$A$3:$H$102,4,FALSE)+VLOOKUP($A97,main!$A$3:$H$102,4,FALSE)+(VLOOKUP(VLOOKUP(AO$1,main!$A$3:$H$102,8,FALSE),main!$K$19:$O$22,MATCH(VLOOKUP($A97,main!$A$3:$H$102,7,FALSE),main!$K$18:$O$18,0),0))),0)</f>
        <v>0</v>
      </c>
      <c r="AP97">
        <f>IF((gamma!AP97),IF(VLOOKUP(AP$1,main!$A$3:$H$102,7,FALSE)=VLOOKUP($A97,main!$A$3:$H$102,8,FALSE),VLOOKUP(AP$1,main!$A$3:$H$102,4,FALSE),VLOOKUP(AP$1,main!$A$3:$H$102,4,FALSE)+VLOOKUP($A97,main!$A$3:$H$102,4,FALSE)+(VLOOKUP(VLOOKUP(AP$1,main!$A$3:$H$102,8,FALSE),main!$K$19:$O$22,MATCH(VLOOKUP($A97,main!$A$3:$H$102,7,FALSE),main!$K$18:$O$18,0),0))),0)</f>
        <v>245</v>
      </c>
      <c r="AQ97">
        <f>IF((gamma!AQ97),IF(VLOOKUP(AQ$1,main!$A$3:$H$102,7,FALSE)=VLOOKUP($A97,main!$A$3:$H$102,8,FALSE),VLOOKUP(AQ$1,main!$A$3:$H$102,4,FALSE),VLOOKUP(AQ$1,main!$A$3:$H$102,4,FALSE)+VLOOKUP($A97,main!$A$3:$H$102,4,FALSE)+(VLOOKUP(VLOOKUP(AQ$1,main!$A$3:$H$102,8,FALSE),main!$K$19:$O$22,MATCH(VLOOKUP($A97,main!$A$3:$H$102,7,FALSE),main!$K$18:$O$18,0),0))),0)</f>
        <v>0</v>
      </c>
      <c r="AR97">
        <f>IF((gamma!AR97),IF(VLOOKUP(AR$1,main!$A$3:$H$102,7,FALSE)=VLOOKUP($A97,main!$A$3:$H$102,8,FALSE),VLOOKUP(AR$1,main!$A$3:$H$102,4,FALSE),VLOOKUP(AR$1,main!$A$3:$H$102,4,FALSE)+VLOOKUP($A97,main!$A$3:$H$102,4,FALSE)+(VLOOKUP(VLOOKUP(AR$1,main!$A$3:$H$102,8,FALSE),main!$K$19:$O$22,MATCH(VLOOKUP($A97,main!$A$3:$H$102,7,FALSE),main!$K$18:$O$18,0),0))),0)</f>
        <v>0</v>
      </c>
      <c r="AS97">
        <f>IF((gamma!AS97),IF(VLOOKUP(AS$1,main!$A$3:$H$102,7,FALSE)=VLOOKUP($A97,main!$A$3:$H$102,8,FALSE),VLOOKUP(AS$1,main!$A$3:$H$102,4,FALSE),VLOOKUP(AS$1,main!$A$3:$H$102,4,FALSE)+VLOOKUP($A97,main!$A$3:$H$102,4,FALSE)+(VLOOKUP(VLOOKUP(AS$1,main!$A$3:$H$102,8,FALSE),main!$K$19:$O$22,MATCH(VLOOKUP($A97,main!$A$3:$H$102,7,FALSE),main!$K$18:$O$18,0),0))),0)</f>
        <v>0</v>
      </c>
      <c r="AT97">
        <f>IF((gamma!AT97),IF(VLOOKUP(AT$1,main!$A$3:$H$102,7,FALSE)=VLOOKUP($A97,main!$A$3:$H$102,8,FALSE),VLOOKUP(AT$1,main!$A$3:$H$102,4,FALSE),VLOOKUP(AT$1,main!$A$3:$H$102,4,FALSE)+VLOOKUP($A97,main!$A$3:$H$102,4,FALSE)+(VLOOKUP(VLOOKUP(AT$1,main!$A$3:$H$102,8,FALSE),main!$K$19:$O$22,MATCH(VLOOKUP($A97,main!$A$3:$H$102,7,FALSE),main!$K$18:$O$18,0),0))),0)</f>
        <v>0</v>
      </c>
      <c r="AU97">
        <f>IF((gamma!AU97),IF(VLOOKUP(AU$1,main!$A$3:$H$102,7,FALSE)=VLOOKUP($A97,main!$A$3:$H$102,8,FALSE),VLOOKUP(AU$1,main!$A$3:$H$102,4,FALSE),VLOOKUP(AU$1,main!$A$3:$H$102,4,FALSE)+VLOOKUP($A97,main!$A$3:$H$102,4,FALSE)+(VLOOKUP(VLOOKUP(AU$1,main!$A$3:$H$102,8,FALSE),main!$K$19:$O$22,MATCH(VLOOKUP($A97,main!$A$3:$H$102,7,FALSE),main!$K$18:$O$18,0),0))),0)</f>
        <v>0</v>
      </c>
      <c r="AV97">
        <f>IF((gamma!AV97),IF(VLOOKUP(AV$1,main!$A$3:$H$102,7,FALSE)=VLOOKUP($A97,main!$A$3:$H$102,8,FALSE),VLOOKUP(AV$1,main!$A$3:$H$102,4,FALSE),VLOOKUP(AV$1,main!$A$3:$H$102,4,FALSE)+VLOOKUP($A97,main!$A$3:$H$102,4,FALSE)+(VLOOKUP(VLOOKUP(AV$1,main!$A$3:$H$102,8,FALSE),main!$K$19:$O$22,MATCH(VLOOKUP($A97,main!$A$3:$H$102,7,FALSE),main!$K$18:$O$18,0),0))),0)</f>
        <v>0</v>
      </c>
      <c r="AW97">
        <f>IF((gamma!AW97),IF(VLOOKUP(AW$1,main!$A$3:$H$102,7,FALSE)=VLOOKUP($A97,main!$A$3:$H$102,8,FALSE),VLOOKUP(AW$1,main!$A$3:$H$102,4,FALSE),VLOOKUP(AW$1,main!$A$3:$H$102,4,FALSE)+VLOOKUP($A97,main!$A$3:$H$102,4,FALSE)+(VLOOKUP(VLOOKUP(AW$1,main!$A$3:$H$102,8,FALSE),main!$K$19:$O$22,MATCH(VLOOKUP($A97,main!$A$3:$H$102,7,FALSE),main!$K$18:$O$18,0),0))),0)</f>
        <v>0</v>
      </c>
      <c r="AX97">
        <f>IF((gamma!AX97),IF(VLOOKUP(AX$1,main!$A$3:$H$102,7,FALSE)=VLOOKUP($A97,main!$A$3:$H$102,8,FALSE),VLOOKUP(AX$1,main!$A$3:$H$102,4,FALSE),VLOOKUP(AX$1,main!$A$3:$H$102,4,FALSE)+VLOOKUP($A97,main!$A$3:$H$102,4,FALSE)+(VLOOKUP(VLOOKUP(AX$1,main!$A$3:$H$102,8,FALSE),main!$K$19:$O$22,MATCH(VLOOKUP($A97,main!$A$3:$H$102,7,FALSE),main!$K$18:$O$18,0),0))),0)</f>
        <v>0</v>
      </c>
      <c r="AY97">
        <f>IF((gamma!AY97),IF(VLOOKUP(AY$1,main!$A$3:$H$102,7,FALSE)=VLOOKUP($A97,main!$A$3:$H$102,8,FALSE),VLOOKUP(AY$1,main!$A$3:$H$102,4,FALSE),VLOOKUP(AY$1,main!$A$3:$H$102,4,FALSE)+VLOOKUP($A97,main!$A$3:$H$102,4,FALSE)+(VLOOKUP(VLOOKUP(AY$1,main!$A$3:$H$102,8,FALSE),main!$K$19:$O$22,MATCH(VLOOKUP($A97,main!$A$3:$H$102,7,FALSE),main!$K$18:$O$18,0),0))),0)</f>
        <v>0</v>
      </c>
      <c r="AZ97">
        <f>IF((gamma!AZ97),IF(VLOOKUP(AZ$1,main!$A$3:$H$102,7,FALSE)=VLOOKUP($A97,main!$A$3:$H$102,8,FALSE),VLOOKUP(AZ$1,main!$A$3:$H$102,4,FALSE),VLOOKUP(AZ$1,main!$A$3:$H$102,4,FALSE)+VLOOKUP($A97,main!$A$3:$H$102,4,FALSE)+(VLOOKUP(VLOOKUP(AZ$1,main!$A$3:$H$102,8,FALSE),main!$K$19:$O$22,MATCH(VLOOKUP($A97,main!$A$3:$H$102,7,FALSE),main!$K$18:$O$18,0),0))),0)</f>
        <v>0</v>
      </c>
      <c r="BA97">
        <f>IF((gamma!BA97),IF(VLOOKUP(BA$1,main!$A$3:$H$102,7,FALSE)=VLOOKUP($A97,main!$A$3:$H$102,8,FALSE),VLOOKUP(BA$1,main!$A$3:$H$102,4,FALSE),VLOOKUP(BA$1,main!$A$3:$H$102,4,FALSE)+VLOOKUP($A97,main!$A$3:$H$102,4,FALSE)+(VLOOKUP(VLOOKUP(BA$1,main!$A$3:$H$102,8,FALSE),main!$K$19:$O$22,MATCH(VLOOKUP($A97,main!$A$3:$H$102,7,FALSE),main!$K$18:$O$18,0),0))),0)</f>
        <v>0</v>
      </c>
      <c r="BB97">
        <f>IF((gamma!BB97),IF(VLOOKUP(BB$1,main!$A$3:$H$102,7,FALSE)=VLOOKUP($A97,main!$A$3:$H$102,8,FALSE),VLOOKUP(BB$1,main!$A$3:$H$102,4,FALSE),VLOOKUP(BB$1,main!$A$3:$H$102,4,FALSE)+VLOOKUP($A97,main!$A$3:$H$102,4,FALSE)+(VLOOKUP(VLOOKUP(BB$1,main!$A$3:$H$102,8,FALSE),main!$K$19:$O$22,MATCH(VLOOKUP($A97,main!$A$3:$H$102,7,FALSE),main!$K$18:$O$18,0),0))),0)</f>
        <v>0</v>
      </c>
      <c r="BC97">
        <f>IF((gamma!BC97),IF(VLOOKUP(BC$1,main!$A$3:$H$102,7,FALSE)=VLOOKUP($A97,main!$A$3:$H$102,8,FALSE),VLOOKUP(BC$1,main!$A$3:$H$102,4,FALSE),VLOOKUP(BC$1,main!$A$3:$H$102,4,FALSE)+VLOOKUP($A97,main!$A$3:$H$102,4,FALSE)+(VLOOKUP(VLOOKUP(BC$1,main!$A$3:$H$102,8,FALSE),main!$K$19:$O$22,MATCH(VLOOKUP($A97,main!$A$3:$H$102,7,FALSE),main!$K$18:$O$18,0),0))),0)</f>
        <v>0</v>
      </c>
      <c r="BD97">
        <f>IF((gamma!BD97),IF(VLOOKUP(BD$1,main!$A$3:$H$102,7,FALSE)=VLOOKUP($A97,main!$A$3:$H$102,8,FALSE),VLOOKUP(BD$1,main!$A$3:$H$102,4,FALSE),VLOOKUP(BD$1,main!$A$3:$H$102,4,FALSE)+VLOOKUP($A97,main!$A$3:$H$102,4,FALSE)+(VLOOKUP(VLOOKUP(BD$1,main!$A$3:$H$102,8,FALSE),main!$K$19:$O$22,MATCH(VLOOKUP($A97,main!$A$3:$H$102,7,FALSE),main!$K$18:$O$18,0),0))),0)</f>
        <v>0</v>
      </c>
      <c r="BE97">
        <f>IF((gamma!BE97),IF(VLOOKUP(BE$1,main!$A$3:$H$102,7,FALSE)=VLOOKUP($A97,main!$A$3:$H$102,8,FALSE),VLOOKUP(BE$1,main!$A$3:$H$102,4,FALSE),VLOOKUP(BE$1,main!$A$3:$H$102,4,FALSE)+VLOOKUP($A97,main!$A$3:$H$102,4,FALSE)+(VLOOKUP(VLOOKUP(BE$1,main!$A$3:$H$102,8,FALSE),main!$K$19:$O$22,MATCH(VLOOKUP($A97,main!$A$3:$H$102,7,FALSE),main!$K$18:$O$18,0),0))),0)</f>
        <v>0</v>
      </c>
      <c r="BF97">
        <f>IF((gamma!BF97),IF(VLOOKUP(BF$1,main!$A$3:$H$102,7,FALSE)=VLOOKUP($A97,main!$A$3:$H$102,8,FALSE),VLOOKUP(BF$1,main!$A$3:$H$102,4,FALSE),VLOOKUP(BF$1,main!$A$3:$H$102,4,FALSE)+VLOOKUP($A97,main!$A$3:$H$102,4,FALSE)+(VLOOKUP(VLOOKUP(BF$1,main!$A$3:$H$102,8,FALSE),main!$K$19:$O$22,MATCH(VLOOKUP($A97,main!$A$3:$H$102,7,FALSE),main!$K$18:$O$18,0),0))),0)</f>
        <v>0</v>
      </c>
      <c r="BG97">
        <f>IF((gamma!BG97),IF(VLOOKUP(BG$1,main!$A$3:$H$102,7,FALSE)=VLOOKUP($A97,main!$A$3:$H$102,8,FALSE),VLOOKUP(BG$1,main!$A$3:$H$102,4,FALSE),VLOOKUP(BG$1,main!$A$3:$H$102,4,FALSE)+VLOOKUP($A97,main!$A$3:$H$102,4,FALSE)+(VLOOKUP(VLOOKUP(BG$1,main!$A$3:$H$102,8,FALSE),main!$K$19:$O$22,MATCH(VLOOKUP($A97,main!$A$3:$H$102,7,FALSE),main!$K$18:$O$18,0),0))),0)</f>
        <v>0</v>
      </c>
      <c r="BH97">
        <f>IF((gamma!BH97),IF(VLOOKUP(BH$1,main!$A$3:$H$102,7,FALSE)=VLOOKUP($A97,main!$A$3:$H$102,8,FALSE),VLOOKUP(BH$1,main!$A$3:$H$102,4,FALSE),VLOOKUP(BH$1,main!$A$3:$H$102,4,FALSE)+VLOOKUP($A97,main!$A$3:$H$102,4,FALSE)+(VLOOKUP(VLOOKUP(BH$1,main!$A$3:$H$102,8,FALSE),main!$K$19:$O$22,MATCH(VLOOKUP($A97,main!$A$3:$H$102,7,FALSE),main!$K$18:$O$18,0),0))),0)</f>
        <v>0</v>
      </c>
      <c r="BI97">
        <f>IF((gamma!BI97),IF(VLOOKUP(BI$1,main!$A$3:$H$102,7,FALSE)=VLOOKUP($A97,main!$A$3:$H$102,8,FALSE),VLOOKUP(BI$1,main!$A$3:$H$102,4,FALSE),VLOOKUP(BI$1,main!$A$3:$H$102,4,FALSE)+VLOOKUP($A97,main!$A$3:$H$102,4,FALSE)+(VLOOKUP(VLOOKUP(BI$1,main!$A$3:$H$102,8,FALSE),main!$K$19:$O$22,MATCH(VLOOKUP($A97,main!$A$3:$H$102,7,FALSE),main!$K$18:$O$18,0),0))),0)</f>
        <v>60</v>
      </c>
      <c r="BJ97">
        <f>IF((gamma!BJ97),IF(VLOOKUP(BJ$1,main!$A$3:$H$102,7,FALSE)=VLOOKUP($A97,main!$A$3:$H$102,8,FALSE),VLOOKUP(BJ$1,main!$A$3:$H$102,4,FALSE),VLOOKUP(BJ$1,main!$A$3:$H$102,4,FALSE)+VLOOKUP($A97,main!$A$3:$H$102,4,FALSE)+(VLOOKUP(VLOOKUP(BJ$1,main!$A$3:$H$102,8,FALSE),main!$K$19:$O$22,MATCH(VLOOKUP($A97,main!$A$3:$H$102,7,FALSE),main!$K$18:$O$18,0),0))),0)</f>
        <v>0</v>
      </c>
      <c r="BK97">
        <f>IF((gamma!BK97),IF(VLOOKUP(BK$1,main!$A$3:$H$102,7,FALSE)=VLOOKUP($A97,main!$A$3:$H$102,8,FALSE),VLOOKUP(BK$1,main!$A$3:$H$102,4,FALSE),VLOOKUP(BK$1,main!$A$3:$H$102,4,FALSE)+VLOOKUP($A97,main!$A$3:$H$102,4,FALSE)+(VLOOKUP(VLOOKUP(BK$1,main!$A$3:$H$102,8,FALSE),main!$K$19:$O$22,MATCH(VLOOKUP($A97,main!$A$3:$H$102,7,FALSE),main!$K$18:$O$18,0),0))),0)</f>
        <v>0</v>
      </c>
      <c r="BL97">
        <f>IF((gamma!BL97),IF(VLOOKUP(BL$1,main!$A$3:$H$102,7,FALSE)=VLOOKUP($A97,main!$A$3:$H$102,8,FALSE),VLOOKUP(BL$1,main!$A$3:$H$102,4,FALSE),VLOOKUP(BL$1,main!$A$3:$H$102,4,FALSE)+VLOOKUP($A97,main!$A$3:$H$102,4,FALSE)+(VLOOKUP(VLOOKUP(BL$1,main!$A$3:$H$102,8,FALSE),main!$K$19:$O$22,MATCH(VLOOKUP($A97,main!$A$3:$H$102,7,FALSE),main!$K$18:$O$18,0),0))),0)</f>
        <v>0</v>
      </c>
      <c r="BM97">
        <f>IF((gamma!BM97),IF(VLOOKUP(BM$1,main!$A$3:$H$102,7,FALSE)=VLOOKUP($A97,main!$A$3:$H$102,8,FALSE),VLOOKUP(BM$1,main!$A$3:$H$102,4,FALSE),VLOOKUP(BM$1,main!$A$3:$H$102,4,FALSE)+VLOOKUP($A97,main!$A$3:$H$102,4,FALSE)+(VLOOKUP(VLOOKUP(BM$1,main!$A$3:$H$102,8,FALSE),main!$K$19:$O$22,MATCH(VLOOKUP($A97,main!$A$3:$H$102,7,FALSE),main!$K$18:$O$18,0),0))),0)</f>
        <v>0</v>
      </c>
      <c r="BN97">
        <f>IF((gamma!BN97),IF(VLOOKUP(BN$1,main!$A$3:$H$102,7,FALSE)=VLOOKUP($A97,main!$A$3:$H$102,8,FALSE),VLOOKUP(BN$1,main!$A$3:$H$102,4,FALSE),VLOOKUP(BN$1,main!$A$3:$H$102,4,FALSE)+VLOOKUP($A97,main!$A$3:$H$102,4,FALSE)+(VLOOKUP(VLOOKUP(BN$1,main!$A$3:$H$102,8,FALSE),main!$K$19:$O$22,MATCH(VLOOKUP($A97,main!$A$3:$H$102,7,FALSE),main!$K$18:$O$18,0),0))),0)</f>
        <v>0</v>
      </c>
      <c r="BO97">
        <f>IF((gamma!BO97),IF(VLOOKUP(BO$1,main!$A$3:$H$102,7,FALSE)=VLOOKUP($A97,main!$A$3:$H$102,8,FALSE),VLOOKUP(BO$1,main!$A$3:$H$102,4,FALSE),VLOOKUP(BO$1,main!$A$3:$H$102,4,FALSE)+VLOOKUP($A97,main!$A$3:$H$102,4,FALSE)+(VLOOKUP(VLOOKUP(BO$1,main!$A$3:$H$102,8,FALSE),main!$K$19:$O$22,MATCH(VLOOKUP($A97,main!$A$3:$H$102,7,FALSE),main!$K$18:$O$18,0),0))),0)</f>
        <v>0</v>
      </c>
      <c r="BP97">
        <f>IF((gamma!BP97),IF(VLOOKUP(BP$1,main!$A$3:$H$102,7,FALSE)=VLOOKUP($A97,main!$A$3:$H$102,8,FALSE),VLOOKUP(BP$1,main!$A$3:$H$102,4,FALSE),VLOOKUP(BP$1,main!$A$3:$H$102,4,FALSE)+VLOOKUP($A97,main!$A$3:$H$102,4,FALSE)+(VLOOKUP(VLOOKUP(BP$1,main!$A$3:$H$102,8,FALSE),main!$K$19:$O$22,MATCH(VLOOKUP($A97,main!$A$3:$H$102,7,FALSE),main!$K$18:$O$18,0),0))),0)</f>
        <v>0</v>
      </c>
      <c r="BQ97">
        <f>IF((gamma!BQ97),IF(VLOOKUP(BQ$1,main!$A$3:$H$102,7,FALSE)=VLOOKUP($A97,main!$A$3:$H$102,8,FALSE),VLOOKUP(BQ$1,main!$A$3:$H$102,4,FALSE),VLOOKUP(BQ$1,main!$A$3:$H$102,4,FALSE)+VLOOKUP($A97,main!$A$3:$H$102,4,FALSE)+(VLOOKUP(VLOOKUP(BQ$1,main!$A$3:$H$102,8,FALSE),main!$K$19:$O$22,MATCH(VLOOKUP($A97,main!$A$3:$H$102,7,FALSE),main!$K$18:$O$18,0),0))),0)</f>
        <v>0</v>
      </c>
      <c r="BR97">
        <f>IF((gamma!BR97),IF(VLOOKUP(BR$1,main!$A$3:$H$102,7,FALSE)=VLOOKUP($A97,main!$A$3:$H$102,8,FALSE),VLOOKUP(BR$1,main!$A$3:$H$102,4,FALSE),VLOOKUP(BR$1,main!$A$3:$H$102,4,FALSE)+VLOOKUP($A97,main!$A$3:$H$102,4,FALSE)+(VLOOKUP(VLOOKUP(BR$1,main!$A$3:$H$102,8,FALSE),main!$K$19:$O$22,MATCH(VLOOKUP($A97,main!$A$3:$H$102,7,FALSE),main!$K$18:$O$18,0),0))),0)</f>
        <v>0</v>
      </c>
      <c r="BS97">
        <f>IF((gamma!BS97),IF(VLOOKUP(BS$1,main!$A$3:$H$102,7,FALSE)=VLOOKUP($A97,main!$A$3:$H$102,8,FALSE),VLOOKUP(BS$1,main!$A$3:$H$102,4,FALSE),VLOOKUP(BS$1,main!$A$3:$H$102,4,FALSE)+VLOOKUP($A97,main!$A$3:$H$102,4,FALSE)+(VLOOKUP(VLOOKUP(BS$1,main!$A$3:$H$102,8,FALSE),main!$K$19:$O$22,MATCH(VLOOKUP($A97,main!$A$3:$H$102,7,FALSE),main!$K$18:$O$18,0),0))),0)</f>
        <v>0</v>
      </c>
      <c r="BT97">
        <f>IF((gamma!BT97),IF(VLOOKUP(BT$1,main!$A$3:$H$102,7,FALSE)=VLOOKUP($A97,main!$A$3:$H$102,8,FALSE),VLOOKUP(BT$1,main!$A$3:$H$102,4,FALSE),VLOOKUP(BT$1,main!$A$3:$H$102,4,FALSE)+VLOOKUP($A97,main!$A$3:$H$102,4,FALSE)+(VLOOKUP(VLOOKUP(BT$1,main!$A$3:$H$102,8,FALSE),main!$K$19:$O$22,MATCH(VLOOKUP($A97,main!$A$3:$H$102,7,FALSE),main!$K$18:$O$18,0),0))),0)</f>
        <v>0</v>
      </c>
      <c r="BU97">
        <f>IF((gamma!BU97),IF(VLOOKUP(BU$1,main!$A$3:$H$102,7,FALSE)=VLOOKUP($A97,main!$A$3:$H$102,8,FALSE),VLOOKUP(BU$1,main!$A$3:$H$102,4,FALSE),VLOOKUP(BU$1,main!$A$3:$H$102,4,FALSE)+VLOOKUP($A97,main!$A$3:$H$102,4,FALSE)+(VLOOKUP(VLOOKUP(BU$1,main!$A$3:$H$102,8,FALSE),main!$K$19:$O$22,MATCH(VLOOKUP($A97,main!$A$3:$H$102,7,FALSE),main!$K$18:$O$18,0),0))),0)</f>
        <v>0</v>
      </c>
      <c r="BV97">
        <f>IF((gamma!BV97),IF(VLOOKUP(BV$1,main!$A$3:$H$102,7,FALSE)=VLOOKUP($A97,main!$A$3:$H$102,8,FALSE),VLOOKUP(BV$1,main!$A$3:$H$102,4,FALSE),VLOOKUP(BV$1,main!$A$3:$H$102,4,FALSE)+VLOOKUP($A97,main!$A$3:$H$102,4,FALSE)+(VLOOKUP(VLOOKUP(BV$1,main!$A$3:$H$102,8,FALSE),main!$K$19:$O$22,MATCH(VLOOKUP($A97,main!$A$3:$H$102,7,FALSE),main!$K$18:$O$18,0),0))),0)</f>
        <v>0</v>
      </c>
      <c r="BW97">
        <f>IF((gamma!BW97),IF(VLOOKUP(BW$1,main!$A$3:$H$102,7,FALSE)=VLOOKUP($A97,main!$A$3:$H$102,8,FALSE),VLOOKUP(BW$1,main!$A$3:$H$102,4,FALSE),VLOOKUP(BW$1,main!$A$3:$H$102,4,FALSE)+VLOOKUP($A97,main!$A$3:$H$102,4,FALSE)+(VLOOKUP(VLOOKUP(BW$1,main!$A$3:$H$102,8,FALSE),main!$K$19:$O$22,MATCH(VLOOKUP($A97,main!$A$3:$H$102,7,FALSE),main!$K$18:$O$18,0),0))),0)</f>
        <v>0</v>
      </c>
      <c r="BX97">
        <f>IF((gamma!BX97),IF(VLOOKUP(BX$1,main!$A$3:$H$102,7,FALSE)=VLOOKUP($A97,main!$A$3:$H$102,8,FALSE),VLOOKUP(BX$1,main!$A$3:$H$102,4,FALSE),VLOOKUP(BX$1,main!$A$3:$H$102,4,FALSE)+VLOOKUP($A97,main!$A$3:$H$102,4,FALSE)+(VLOOKUP(VLOOKUP(BX$1,main!$A$3:$H$102,8,FALSE),main!$K$19:$O$22,MATCH(VLOOKUP($A97,main!$A$3:$H$102,7,FALSE),main!$K$18:$O$18,0),0))),0)</f>
        <v>0</v>
      </c>
      <c r="BY97">
        <f>IF((gamma!BY97),IF(VLOOKUP(BY$1,main!$A$3:$H$102,7,FALSE)=VLOOKUP($A97,main!$A$3:$H$102,8,FALSE),VLOOKUP(BY$1,main!$A$3:$H$102,4,FALSE),VLOOKUP(BY$1,main!$A$3:$H$102,4,FALSE)+VLOOKUP($A97,main!$A$3:$H$102,4,FALSE)+(VLOOKUP(VLOOKUP(BY$1,main!$A$3:$H$102,8,FALSE),main!$K$19:$O$22,MATCH(VLOOKUP($A97,main!$A$3:$H$102,7,FALSE),main!$K$18:$O$18,0),0))),0)</f>
        <v>0</v>
      </c>
      <c r="BZ97">
        <f>IF((gamma!BZ97),IF(VLOOKUP(BZ$1,main!$A$3:$H$102,7,FALSE)=VLOOKUP($A97,main!$A$3:$H$102,8,FALSE),VLOOKUP(BZ$1,main!$A$3:$H$102,4,FALSE),VLOOKUP(BZ$1,main!$A$3:$H$102,4,FALSE)+VLOOKUP($A97,main!$A$3:$H$102,4,FALSE)+(VLOOKUP(VLOOKUP(BZ$1,main!$A$3:$H$102,8,FALSE),main!$K$19:$O$22,MATCH(VLOOKUP($A97,main!$A$3:$H$102,7,FALSE),main!$K$18:$O$18,0),0))),0)</f>
        <v>0</v>
      </c>
      <c r="CA97">
        <f>IF((gamma!CA97),IF(VLOOKUP(CA$1,main!$A$3:$H$102,7,FALSE)=VLOOKUP($A97,main!$A$3:$H$102,8,FALSE),VLOOKUP(CA$1,main!$A$3:$H$102,4,FALSE),VLOOKUP(CA$1,main!$A$3:$H$102,4,FALSE)+VLOOKUP($A97,main!$A$3:$H$102,4,FALSE)+(VLOOKUP(VLOOKUP(CA$1,main!$A$3:$H$102,8,FALSE),main!$K$19:$O$22,MATCH(VLOOKUP($A97,main!$A$3:$H$102,7,FALSE),main!$K$18:$O$18,0),0))),0)</f>
        <v>0</v>
      </c>
      <c r="CB97">
        <f>IF((gamma!CB97),IF(VLOOKUP(CB$1,main!$A$3:$H$102,7,FALSE)=VLOOKUP($A97,main!$A$3:$H$102,8,FALSE),VLOOKUP(CB$1,main!$A$3:$H$102,4,FALSE),VLOOKUP(CB$1,main!$A$3:$H$102,4,FALSE)+VLOOKUP($A97,main!$A$3:$H$102,4,FALSE)+(VLOOKUP(VLOOKUP(CB$1,main!$A$3:$H$102,8,FALSE),main!$K$19:$O$22,MATCH(VLOOKUP($A97,main!$A$3:$H$102,7,FALSE),main!$K$18:$O$18,0),0))),0)</f>
        <v>0</v>
      </c>
      <c r="CC97">
        <f>IF((gamma!CC97),IF(VLOOKUP(CC$1,main!$A$3:$H$102,7,FALSE)=VLOOKUP($A97,main!$A$3:$H$102,8,FALSE),VLOOKUP(CC$1,main!$A$3:$H$102,4,FALSE),VLOOKUP(CC$1,main!$A$3:$H$102,4,FALSE)+VLOOKUP($A97,main!$A$3:$H$102,4,FALSE)+(VLOOKUP(VLOOKUP(CC$1,main!$A$3:$H$102,8,FALSE),main!$K$19:$O$22,MATCH(VLOOKUP($A97,main!$A$3:$H$102,7,FALSE),main!$K$18:$O$18,0),0))),0)</f>
        <v>0</v>
      </c>
      <c r="CD97">
        <f>IF((gamma!CD97),IF(VLOOKUP(CD$1,main!$A$3:$H$102,7,FALSE)=VLOOKUP($A97,main!$A$3:$H$102,8,FALSE),VLOOKUP(CD$1,main!$A$3:$H$102,4,FALSE),VLOOKUP(CD$1,main!$A$3:$H$102,4,FALSE)+VLOOKUP($A97,main!$A$3:$H$102,4,FALSE)+(VLOOKUP(VLOOKUP(CD$1,main!$A$3:$H$102,8,FALSE),main!$K$19:$O$22,MATCH(VLOOKUP($A97,main!$A$3:$H$102,7,FALSE),main!$K$18:$O$18,0),0))),0)</f>
        <v>0</v>
      </c>
      <c r="CE97">
        <f>IF((gamma!CE97),IF(VLOOKUP(CE$1,main!$A$3:$H$102,7,FALSE)=VLOOKUP($A97,main!$A$3:$H$102,8,FALSE),VLOOKUP(CE$1,main!$A$3:$H$102,4,FALSE),VLOOKUP(CE$1,main!$A$3:$H$102,4,FALSE)+VLOOKUP($A97,main!$A$3:$H$102,4,FALSE)+(VLOOKUP(VLOOKUP(CE$1,main!$A$3:$H$102,8,FALSE),main!$K$19:$O$22,MATCH(VLOOKUP($A97,main!$A$3:$H$102,7,FALSE),main!$K$18:$O$18,0),0))),0)</f>
        <v>0</v>
      </c>
      <c r="CF97">
        <f>IF((gamma!CF97),IF(VLOOKUP(CF$1,main!$A$3:$H$102,7,FALSE)=VLOOKUP($A97,main!$A$3:$H$102,8,FALSE),VLOOKUP(CF$1,main!$A$3:$H$102,4,FALSE),VLOOKUP(CF$1,main!$A$3:$H$102,4,FALSE)+VLOOKUP($A97,main!$A$3:$H$102,4,FALSE)+(VLOOKUP(VLOOKUP(CF$1,main!$A$3:$H$102,8,FALSE),main!$K$19:$O$22,MATCH(VLOOKUP($A97,main!$A$3:$H$102,7,FALSE),main!$K$18:$O$18,0),0))),0)</f>
        <v>0</v>
      </c>
      <c r="CG97">
        <f>IF((gamma!CG97),IF(VLOOKUP(CG$1,main!$A$3:$H$102,7,FALSE)=VLOOKUP($A97,main!$A$3:$H$102,8,FALSE),VLOOKUP(CG$1,main!$A$3:$H$102,4,FALSE),VLOOKUP(CG$1,main!$A$3:$H$102,4,FALSE)+VLOOKUP($A97,main!$A$3:$H$102,4,FALSE)+(VLOOKUP(VLOOKUP(CG$1,main!$A$3:$H$102,8,FALSE),main!$K$19:$O$22,MATCH(VLOOKUP($A97,main!$A$3:$H$102,7,FALSE),main!$K$18:$O$18,0),0))),0)</f>
        <v>0</v>
      </c>
      <c r="CH97">
        <f>IF((gamma!CH97),IF(VLOOKUP(CH$1,main!$A$3:$H$102,7,FALSE)=VLOOKUP($A97,main!$A$3:$H$102,8,FALSE),VLOOKUP(CH$1,main!$A$3:$H$102,4,FALSE),VLOOKUP(CH$1,main!$A$3:$H$102,4,FALSE)+VLOOKUP($A97,main!$A$3:$H$102,4,FALSE)+(VLOOKUP(VLOOKUP(CH$1,main!$A$3:$H$102,8,FALSE),main!$K$19:$O$22,MATCH(VLOOKUP($A97,main!$A$3:$H$102,7,FALSE),main!$K$18:$O$18,0),0))),0)</f>
        <v>0</v>
      </c>
      <c r="CI97">
        <f>IF((gamma!CI97),IF(VLOOKUP(CI$1,main!$A$3:$H$102,7,FALSE)=VLOOKUP($A97,main!$A$3:$H$102,8,FALSE),VLOOKUP(CI$1,main!$A$3:$H$102,4,FALSE),VLOOKUP(CI$1,main!$A$3:$H$102,4,FALSE)+VLOOKUP($A97,main!$A$3:$H$102,4,FALSE)+(VLOOKUP(VLOOKUP(CI$1,main!$A$3:$H$102,8,FALSE),main!$K$19:$O$22,MATCH(VLOOKUP($A97,main!$A$3:$H$102,7,FALSE),main!$K$18:$O$18,0),0))),0)</f>
        <v>310</v>
      </c>
      <c r="CJ97">
        <f>IF((gamma!CJ97),IF(VLOOKUP(CJ$1,main!$A$3:$H$102,7,FALSE)=VLOOKUP($A97,main!$A$3:$H$102,8,FALSE),VLOOKUP(CJ$1,main!$A$3:$H$102,4,FALSE),VLOOKUP(CJ$1,main!$A$3:$H$102,4,FALSE)+VLOOKUP($A97,main!$A$3:$H$102,4,FALSE)+(VLOOKUP(VLOOKUP(CJ$1,main!$A$3:$H$102,8,FALSE),main!$K$19:$O$22,MATCH(VLOOKUP($A97,main!$A$3:$H$102,7,FALSE),main!$K$18:$O$18,0),0))),0)</f>
        <v>0</v>
      </c>
      <c r="CK97">
        <f>IF((gamma!CK97),IF(VLOOKUP(CK$1,main!$A$3:$H$102,7,FALSE)=VLOOKUP($A97,main!$A$3:$H$102,8,FALSE),VLOOKUP(CK$1,main!$A$3:$H$102,4,FALSE),VLOOKUP(CK$1,main!$A$3:$H$102,4,FALSE)+VLOOKUP($A97,main!$A$3:$H$102,4,FALSE)+(VLOOKUP(VLOOKUP(CK$1,main!$A$3:$H$102,8,FALSE),main!$K$19:$O$22,MATCH(VLOOKUP($A97,main!$A$3:$H$102,7,FALSE),main!$K$18:$O$18,0),0))),0)</f>
        <v>0</v>
      </c>
      <c r="CL97">
        <f>IF((gamma!CL97),IF(VLOOKUP(CL$1,main!$A$3:$H$102,7,FALSE)=VLOOKUP($A97,main!$A$3:$H$102,8,FALSE),VLOOKUP(CL$1,main!$A$3:$H$102,4,FALSE),VLOOKUP(CL$1,main!$A$3:$H$102,4,FALSE)+VLOOKUP($A97,main!$A$3:$H$102,4,FALSE)+(VLOOKUP(VLOOKUP(CL$1,main!$A$3:$H$102,8,FALSE),main!$K$19:$O$22,MATCH(VLOOKUP($A97,main!$A$3:$H$102,7,FALSE),main!$K$18:$O$18,0),0))),0)</f>
        <v>0</v>
      </c>
      <c r="CM97">
        <f>IF((gamma!CM97),IF(VLOOKUP(CM$1,main!$A$3:$H$102,7,FALSE)=VLOOKUP($A97,main!$A$3:$H$102,8,FALSE),VLOOKUP(CM$1,main!$A$3:$H$102,4,FALSE),VLOOKUP(CM$1,main!$A$3:$H$102,4,FALSE)+VLOOKUP($A97,main!$A$3:$H$102,4,FALSE)+(VLOOKUP(VLOOKUP(CM$1,main!$A$3:$H$102,8,FALSE),main!$K$19:$O$22,MATCH(VLOOKUP($A97,main!$A$3:$H$102,7,FALSE),main!$K$18:$O$18,0),0))),0)</f>
        <v>0</v>
      </c>
      <c r="CN97">
        <f>IF((gamma!CN97),IF(VLOOKUP(CN$1,main!$A$3:$H$102,7,FALSE)=VLOOKUP($A97,main!$A$3:$H$102,8,FALSE),VLOOKUP(CN$1,main!$A$3:$H$102,4,FALSE),VLOOKUP(CN$1,main!$A$3:$H$102,4,FALSE)+VLOOKUP($A97,main!$A$3:$H$102,4,FALSE)+(VLOOKUP(VLOOKUP(CN$1,main!$A$3:$H$102,8,FALSE),main!$K$19:$O$22,MATCH(VLOOKUP($A97,main!$A$3:$H$102,7,FALSE),main!$K$18:$O$18,0),0))),0)</f>
        <v>266</v>
      </c>
      <c r="CO97">
        <f>IF((gamma!CO97),IF(VLOOKUP(CO$1,main!$A$3:$H$102,7,FALSE)=VLOOKUP($A97,main!$A$3:$H$102,8,FALSE),VLOOKUP(CO$1,main!$A$3:$H$102,4,FALSE),VLOOKUP(CO$1,main!$A$3:$H$102,4,FALSE)+VLOOKUP($A97,main!$A$3:$H$102,4,FALSE)+(VLOOKUP(VLOOKUP(CO$1,main!$A$3:$H$102,8,FALSE),main!$K$19:$O$22,MATCH(VLOOKUP($A97,main!$A$3:$H$102,7,FALSE),main!$K$18:$O$18,0),0))),0)</f>
        <v>0</v>
      </c>
      <c r="CP97">
        <f>IF((gamma!CP97),IF(VLOOKUP(CP$1,main!$A$3:$H$102,7,FALSE)=VLOOKUP($A97,main!$A$3:$H$102,8,FALSE),VLOOKUP(CP$1,main!$A$3:$H$102,4,FALSE),VLOOKUP(CP$1,main!$A$3:$H$102,4,FALSE)+VLOOKUP($A97,main!$A$3:$H$102,4,FALSE)+(VLOOKUP(VLOOKUP(CP$1,main!$A$3:$H$102,8,FALSE),main!$K$19:$O$22,MATCH(VLOOKUP($A97,main!$A$3:$H$102,7,FALSE),main!$K$18:$O$18,0),0))),0)</f>
        <v>0</v>
      </c>
      <c r="CQ97">
        <f>IF((gamma!CQ97),IF(VLOOKUP(CQ$1,main!$A$3:$H$102,7,FALSE)=VLOOKUP($A97,main!$A$3:$H$102,8,FALSE),VLOOKUP(CQ$1,main!$A$3:$H$102,4,FALSE),VLOOKUP(CQ$1,main!$A$3:$H$102,4,FALSE)+VLOOKUP($A97,main!$A$3:$H$102,4,FALSE)+(VLOOKUP(VLOOKUP(CQ$1,main!$A$3:$H$102,8,FALSE),main!$K$19:$O$22,MATCH(VLOOKUP($A97,main!$A$3:$H$102,7,FALSE),main!$K$18:$O$18,0),0))),0)</f>
        <v>0</v>
      </c>
      <c r="CR97">
        <f>IF((gamma!CR97),IF(VLOOKUP(CR$1,main!$A$3:$H$102,7,FALSE)=VLOOKUP($A97,main!$A$3:$H$102,8,FALSE),VLOOKUP(CR$1,main!$A$3:$H$102,4,FALSE),VLOOKUP(CR$1,main!$A$3:$H$102,4,FALSE)+VLOOKUP($A97,main!$A$3:$H$102,4,FALSE)+(VLOOKUP(VLOOKUP(CR$1,main!$A$3:$H$102,8,FALSE),main!$K$19:$O$22,MATCH(VLOOKUP($A97,main!$A$3:$H$102,7,FALSE),main!$K$18:$O$18,0),0))),0)</f>
        <v>0</v>
      </c>
      <c r="CS97">
        <f>IF((gamma!CS97),IF(VLOOKUP(CS$1,main!$A$3:$H$102,7,FALSE)=VLOOKUP($A97,main!$A$3:$H$102,8,FALSE),VLOOKUP(CS$1,main!$A$3:$H$102,4,FALSE),VLOOKUP(CS$1,main!$A$3:$H$102,4,FALSE)+VLOOKUP($A97,main!$A$3:$H$102,4,FALSE)+(VLOOKUP(VLOOKUP(CS$1,main!$A$3:$H$102,8,FALSE),main!$K$19:$O$22,MATCH(VLOOKUP($A97,main!$A$3:$H$102,7,FALSE),main!$K$18:$O$18,0),0))),0)</f>
        <v>0</v>
      </c>
      <c r="CT97">
        <f>IF((gamma!CT97),IF(VLOOKUP(CT$1,main!$A$3:$H$102,7,FALSE)=VLOOKUP($A97,main!$A$3:$H$102,8,FALSE),VLOOKUP(CT$1,main!$A$3:$H$102,4,FALSE),VLOOKUP(CT$1,main!$A$3:$H$102,4,FALSE)+VLOOKUP($A97,main!$A$3:$H$102,4,FALSE)+(VLOOKUP(VLOOKUP(CT$1,main!$A$3:$H$102,8,FALSE),main!$K$19:$O$22,MATCH(VLOOKUP($A97,main!$A$3:$H$102,7,FALSE),main!$K$18:$O$18,0),0))),0)</f>
        <v>0</v>
      </c>
      <c r="CU97">
        <f>IF((gamma!CU97),IF(VLOOKUP(CU$1,main!$A$3:$H$102,7,FALSE)=VLOOKUP($A97,main!$A$3:$H$102,8,FALSE),VLOOKUP(CU$1,main!$A$3:$H$102,4,FALSE),VLOOKUP(CU$1,main!$A$3:$H$102,4,FALSE)+VLOOKUP($A97,main!$A$3:$H$102,4,FALSE)+(VLOOKUP(VLOOKUP(CU$1,main!$A$3:$H$102,8,FALSE),main!$K$19:$O$22,MATCH(VLOOKUP($A97,main!$A$3:$H$102,7,FALSE),main!$K$18:$O$18,0),0))),0)</f>
        <v>0</v>
      </c>
      <c r="CV97">
        <f>IF((gamma!CV97),IF(VLOOKUP(CV$1,main!$A$3:$H$102,7,FALSE)=VLOOKUP($A97,main!$A$3:$H$102,8,FALSE),VLOOKUP(CV$1,main!$A$3:$H$102,4,FALSE),VLOOKUP(CV$1,main!$A$3:$H$102,4,FALSE)+VLOOKUP($A97,main!$A$3:$H$102,4,FALSE)+(VLOOKUP(VLOOKUP(CV$1,main!$A$3:$H$102,8,FALSE),main!$K$19:$O$22,MATCH(VLOOKUP($A97,main!$A$3:$H$102,7,FALSE),main!$K$18:$O$18,0),0))),0)</f>
        <v>0</v>
      </c>
      <c r="CW97">
        <f>IF((gamma!CW97),IF(VLOOKUP(CW$1,main!$A$3:$H$102,7,FALSE)=VLOOKUP($A97,main!$A$3:$H$102,8,FALSE),VLOOKUP(CW$1,main!$A$3:$H$102,4,FALSE),VLOOKUP(CW$1,main!$A$3:$H$102,4,FALSE)+VLOOKUP($A97,main!$A$3:$H$102,4,FALSE)+(VLOOKUP(VLOOKUP(CW$1,main!$A$3:$H$102,8,FALSE),main!$K$19:$O$22,MATCH(VLOOKUP($A97,main!$A$3:$H$102,7,FALSE),main!$K$18:$O$18,0),0))),0)</f>
        <v>0</v>
      </c>
      <c r="CX97">
        <f>IF((gamma!CX97),IF(VLOOKUP(CX$1,main!$A$3:$H$102,7,FALSE)=VLOOKUP($A97,main!$A$3:$H$102,8,FALSE),VLOOKUP(CX$1,main!$A$3:$H$102,4,FALSE),VLOOKUP(CX$1,main!$A$3:$H$102,4,FALSE)+VLOOKUP($A97,main!$A$3:$H$102,4,FALSE)+(VLOOKUP(VLOOKUP(CX$1,main!$A$3:$H$102,8,FALSE),main!$K$19:$O$22,MATCH(VLOOKUP($A97,main!$A$3:$H$102,7,FALSE),main!$K$18:$O$18,0),0))),0)</f>
        <v>0</v>
      </c>
      <c r="CY97">
        <v>0</v>
      </c>
      <c r="CZ97">
        <v>0</v>
      </c>
      <c r="DA97">
        <v>0</v>
      </c>
    </row>
    <row r="98" spans="1:105" x14ac:dyDescent="0.25">
      <c r="A98" s="1">
        <v>96</v>
      </c>
      <c r="B98">
        <v>0</v>
      </c>
      <c r="C98">
        <f>IF((gamma!C98),IF(VLOOKUP(C$1,main!$A$3:$H$102,7,FALSE)=VLOOKUP($A98,main!$A$3:$H$102,8,FALSE),VLOOKUP(C$1,main!$A$3:$H$102,4,FALSE),VLOOKUP(C$1,main!$A$3:$H$102,4,FALSE)+VLOOKUP($A98,main!$A$3:$H$102,4,FALSE)+(VLOOKUP(VLOOKUP(C$1,main!$A$3:$H$102,8,FALSE),main!$K$19:$O$22,MATCH(VLOOKUP($A98,main!$A$3:$H$102,7,FALSE),main!$K$18:$O$18,0),0))),0)</f>
        <v>0</v>
      </c>
      <c r="D98">
        <f>IF((gamma!D98),IF(VLOOKUP(D$1,main!$A$3:$H$102,7,FALSE)=VLOOKUP($A98,main!$A$3:$H$102,8,FALSE),VLOOKUP(D$1,main!$A$3:$H$102,4,FALSE),VLOOKUP(D$1,main!$A$3:$H$102,4,FALSE)+VLOOKUP($A98,main!$A$3:$H$102,4,FALSE)+(VLOOKUP(VLOOKUP(D$1,main!$A$3:$H$102,8,FALSE),main!$K$19:$O$22,MATCH(VLOOKUP($A98,main!$A$3:$H$102,7,FALSE),main!$K$18:$O$18,0),0))),0)</f>
        <v>0</v>
      </c>
      <c r="E98">
        <f>IF((gamma!E98),IF(VLOOKUP(E$1,main!$A$3:$H$102,7,FALSE)=VLOOKUP($A98,main!$A$3:$H$102,8,FALSE),VLOOKUP(E$1,main!$A$3:$H$102,4,FALSE),VLOOKUP(E$1,main!$A$3:$H$102,4,FALSE)+VLOOKUP($A98,main!$A$3:$H$102,4,FALSE)+(VLOOKUP(VLOOKUP(E$1,main!$A$3:$H$102,8,FALSE),main!$K$19:$O$22,MATCH(VLOOKUP($A98,main!$A$3:$H$102,7,FALSE),main!$K$18:$O$18,0),0))),0)</f>
        <v>295</v>
      </c>
      <c r="F98">
        <f>IF((gamma!F98),IF(VLOOKUP(F$1,main!$A$3:$H$102,7,FALSE)=VLOOKUP($A98,main!$A$3:$H$102,8,FALSE),VLOOKUP(F$1,main!$A$3:$H$102,4,FALSE),VLOOKUP(F$1,main!$A$3:$H$102,4,FALSE)+VLOOKUP($A98,main!$A$3:$H$102,4,FALSE)+(VLOOKUP(VLOOKUP(F$1,main!$A$3:$H$102,8,FALSE),main!$K$19:$O$22,MATCH(VLOOKUP($A98,main!$A$3:$H$102,7,FALSE),main!$K$18:$O$18,0),0))),0)</f>
        <v>295</v>
      </c>
      <c r="G98">
        <f>IF((gamma!G98),IF(VLOOKUP(G$1,main!$A$3:$H$102,7,FALSE)=VLOOKUP($A98,main!$A$3:$H$102,8,FALSE),VLOOKUP(G$1,main!$A$3:$H$102,4,FALSE),VLOOKUP(G$1,main!$A$3:$H$102,4,FALSE)+VLOOKUP($A98,main!$A$3:$H$102,4,FALSE)+(VLOOKUP(VLOOKUP(G$1,main!$A$3:$H$102,8,FALSE),main!$K$19:$O$22,MATCH(VLOOKUP($A98,main!$A$3:$H$102,7,FALSE),main!$K$18:$O$18,0),0))),0)</f>
        <v>295</v>
      </c>
      <c r="H98">
        <f>IF((gamma!H98),IF(VLOOKUP(H$1,main!$A$3:$H$102,7,FALSE)=VLOOKUP($A98,main!$A$3:$H$102,8,FALSE),VLOOKUP(H$1,main!$A$3:$H$102,4,FALSE),VLOOKUP(H$1,main!$A$3:$H$102,4,FALSE)+VLOOKUP($A98,main!$A$3:$H$102,4,FALSE)+(VLOOKUP(VLOOKUP(H$1,main!$A$3:$H$102,8,FALSE),main!$K$19:$O$22,MATCH(VLOOKUP($A98,main!$A$3:$H$102,7,FALSE),main!$K$18:$O$18,0),0))),0)</f>
        <v>295</v>
      </c>
      <c r="I98">
        <f>IF((gamma!I98),IF(VLOOKUP(I$1,main!$A$3:$H$102,7,FALSE)=VLOOKUP($A98,main!$A$3:$H$102,8,FALSE),VLOOKUP(I$1,main!$A$3:$H$102,4,FALSE),VLOOKUP(I$1,main!$A$3:$H$102,4,FALSE)+VLOOKUP($A98,main!$A$3:$H$102,4,FALSE)+(VLOOKUP(VLOOKUP(I$1,main!$A$3:$H$102,8,FALSE),main!$K$19:$O$22,MATCH(VLOOKUP($A98,main!$A$3:$H$102,7,FALSE),main!$K$18:$O$18,0),0))),0)</f>
        <v>295</v>
      </c>
      <c r="J98">
        <f>IF((gamma!J98),IF(VLOOKUP(J$1,main!$A$3:$H$102,7,FALSE)=VLOOKUP($A98,main!$A$3:$H$102,8,FALSE),VLOOKUP(J$1,main!$A$3:$H$102,4,FALSE),VLOOKUP(J$1,main!$A$3:$H$102,4,FALSE)+VLOOKUP($A98,main!$A$3:$H$102,4,FALSE)+(VLOOKUP(VLOOKUP(J$1,main!$A$3:$H$102,8,FALSE),main!$K$19:$O$22,MATCH(VLOOKUP($A98,main!$A$3:$H$102,7,FALSE),main!$K$18:$O$18,0),0))),0)</f>
        <v>295</v>
      </c>
      <c r="K98">
        <f>IF((gamma!K98),IF(VLOOKUP(K$1,main!$A$3:$H$102,7,FALSE)=VLOOKUP($A98,main!$A$3:$H$102,8,FALSE),VLOOKUP(K$1,main!$A$3:$H$102,4,FALSE),VLOOKUP(K$1,main!$A$3:$H$102,4,FALSE)+VLOOKUP($A98,main!$A$3:$H$102,4,FALSE)+(VLOOKUP(VLOOKUP(K$1,main!$A$3:$H$102,8,FALSE),main!$K$19:$O$22,MATCH(VLOOKUP($A98,main!$A$3:$H$102,7,FALSE),main!$K$18:$O$18,0),0))),0)</f>
        <v>295</v>
      </c>
      <c r="L98">
        <f>IF((gamma!L98),IF(VLOOKUP(L$1,main!$A$3:$H$102,7,FALSE)=VLOOKUP($A98,main!$A$3:$H$102,8,FALSE),VLOOKUP(L$1,main!$A$3:$H$102,4,FALSE),VLOOKUP(L$1,main!$A$3:$H$102,4,FALSE)+VLOOKUP($A98,main!$A$3:$H$102,4,FALSE)+(VLOOKUP(VLOOKUP(L$1,main!$A$3:$H$102,8,FALSE),main!$K$19:$O$22,MATCH(VLOOKUP($A98,main!$A$3:$H$102,7,FALSE),main!$K$18:$O$18,0),0))),0)</f>
        <v>295</v>
      </c>
      <c r="M98">
        <f>IF((gamma!M98),IF(VLOOKUP(M$1,main!$A$3:$H$102,7,FALSE)=VLOOKUP($A98,main!$A$3:$H$102,8,FALSE),VLOOKUP(M$1,main!$A$3:$H$102,4,FALSE),VLOOKUP(M$1,main!$A$3:$H$102,4,FALSE)+VLOOKUP($A98,main!$A$3:$H$102,4,FALSE)+(VLOOKUP(VLOOKUP(M$1,main!$A$3:$H$102,8,FALSE),main!$K$19:$O$22,MATCH(VLOOKUP($A98,main!$A$3:$H$102,7,FALSE),main!$K$18:$O$18,0),0))),0)</f>
        <v>0</v>
      </c>
      <c r="N98">
        <f>IF((gamma!N98),IF(VLOOKUP(N$1,main!$A$3:$H$102,7,FALSE)=VLOOKUP($A98,main!$A$3:$H$102,8,FALSE),VLOOKUP(N$1,main!$A$3:$H$102,4,FALSE),VLOOKUP(N$1,main!$A$3:$H$102,4,FALSE)+VLOOKUP($A98,main!$A$3:$H$102,4,FALSE)+(VLOOKUP(VLOOKUP(N$1,main!$A$3:$H$102,8,FALSE),main!$K$19:$O$22,MATCH(VLOOKUP($A98,main!$A$3:$H$102,7,FALSE),main!$K$18:$O$18,0),0))),0)</f>
        <v>0</v>
      </c>
      <c r="O98">
        <f>IF((gamma!O98),IF(VLOOKUP(O$1,main!$A$3:$H$102,7,FALSE)=VLOOKUP($A98,main!$A$3:$H$102,8,FALSE),VLOOKUP(O$1,main!$A$3:$H$102,4,FALSE),VLOOKUP(O$1,main!$A$3:$H$102,4,FALSE)+VLOOKUP($A98,main!$A$3:$H$102,4,FALSE)+(VLOOKUP(VLOOKUP(O$1,main!$A$3:$H$102,8,FALSE),main!$K$19:$O$22,MATCH(VLOOKUP($A98,main!$A$3:$H$102,7,FALSE),main!$K$18:$O$18,0),0))),0)</f>
        <v>0</v>
      </c>
      <c r="P98">
        <f>IF((gamma!P98),IF(VLOOKUP(P$1,main!$A$3:$H$102,7,FALSE)=VLOOKUP($A98,main!$A$3:$H$102,8,FALSE),VLOOKUP(P$1,main!$A$3:$H$102,4,FALSE),VLOOKUP(P$1,main!$A$3:$H$102,4,FALSE)+VLOOKUP($A98,main!$A$3:$H$102,4,FALSE)+(VLOOKUP(VLOOKUP(P$1,main!$A$3:$H$102,8,FALSE),main!$K$19:$O$22,MATCH(VLOOKUP($A98,main!$A$3:$H$102,7,FALSE),main!$K$18:$O$18,0),0))),0)</f>
        <v>0</v>
      </c>
      <c r="Q98">
        <f>IF((gamma!Q98),IF(VLOOKUP(Q$1,main!$A$3:$H$102,7,FALSE)=VLOOKUP($A98,main!$A$3:$H$102,8,FALSE),VLOOKUP(Q$1,main!$A$3:$H$102,4,FALSE),VLOOKUP(Q$1,main!$A$3:$H$102,4,FALSE)+VLOOKUP($A98,main!$A$3:$H$102,4,FALSE)+(VLOOKUP(VLOOKUP(Q$1,main!$A$3:$H$102,8,FALSE),main!$K$19:$O$22,MATCH(VLOOKUP($A98,main!$A$3:$H$102,7,FALSE),main!$K$18:$O$18,0),0))),0)</f>
        <v>293</v>
      </c>
      <c r="R98">
        <f>IF((gamma!R98),IF(VLOOKUP(R$1,main!$A$3:$H$102,7,FALSE)=VLOOKUP($A98,main!$A$3:$H$102,8,FALSE),VLOOKUP(R$1,main!$A$3:$H$102,4,FALSE),VLOOKUP(R$1,main!$A$3:$H$102,4,FALSE)+VLOOKUP($A98,main!$A$3:$H$102,4,FALSE)+(VLOOKUP(VLOOKUP(R$1,main!$A$3:$H$102,8,FALSE),main!$K$19:$O$22,MATCH(VLOOKUP($A98,main!$A$3:$H$102,7,FALSE),main!$K$18:$O$18,0),0))),0)</f>
        <v>293</v>
      </c>
      <c r="S98">
        <f>IF((gamma!S98),IF(VLOOKUP(S$1,main!$A$3:$H$102,7,FALSE)=VLOOKUP($A98,main!$A$3:$H$102,8,FALSE),VLOOKUP(S$1,main!$A$3:$H$102,4,FALSE),VLOOKUP(S$1,main!$A$3:$H$102,4,FALSE)+VLOOKUP($A98,main!$A$3:$H$102,4,FALSE)+(VLOOKUP(VLOOKUP(S$1,main!$A$3:$H$102,8,FALSE),main!$K$19:$O$22,MATCH(VLOOKUP($A98,main!$A$3:$H$102,7,FALSE),main!$K$18:$O$18,0),0))),0)</f>
        <v>293</v>
      </c>
      <c r="T98">
        <f>IF((gamma!T98),IF(VLOOKUP(T$1,main!$A$3:$H$102,7,FALSE)=VLOOKUP($A98,main!$A$3:$H$102,8,FALSE),VLOOKUP(T$1,main!$A$3:$H$102,4,FALSE),VLOOKUP(T$1,main!$A$3:$H$102,4,FALSE)+VLOOKUP($A98,main!$A$3:$H$102,4,FALSE)+(VLOOKUP(VLOOKUP(T$1,main!$A$3:$H$102,8,FALSE),main!$K$19:$O$22,MATCH(VLOOKUP($A98,main!$A$3:$H$102,7,FALSE),main!$K$18:$O$18,0),0))),0)</f>
        <v>293</v>
      </c>
      <c r="U98">
        <f>IF((gamma!U98),IF(VLOOKUP(U$1,main!$A$3:$H$102,7,FALSE)=VLOOKUP($A98,main!$A$3:$H$102,8,FALSE),VLOOKUP(U$1,main!$A$3:$H$102,4,FALSE),VLOOKUP(U$1,main!$A$3:$H$102,4,FALSE)+VLOOKUP($A98,main!$A$3:$H$102,4,FALSE)+(VLOOKUP(VLOOKUP(U$1,main!$A$3:$H$102,8,FALSE),main!$K$19:$O$22,MATCH(VLOOKUP($A98,main!$A$3:$H$102,7,FALSE),main!$K$18:$O$18,0),0))),0)</f>
        <v>293</v>
      </c>
      <c r="V98">
        <f>IF((gamma!V98),IF(VLOOKUP(V$1,main!$A$3:$H$102,7,FALSE)=VLOOKUP($A98,main!$A$3:$H$102,8,FALSE),VLOOKUP(V$1,main!$A$3:$H$102,4,FALSE),VLOOKUP(V$1,main!$A$3:$H$102,4,FALSE)+VLOOKUP($A98,main!$A$3:$H$102,4,FALSE)+(VLOOKUP(VLOOKUP(V$1,main!$A$3:$H$102,8,FALSE),main!$K$19:$O$22,MATCH(VLOOKUP($A98,main!$A$3:$H$102,7,FALSE),main!$K$18:$O$18,0),0))),0)</f>
        <v>293</v>
      </c>
      <c r="W98">
        <f>IF((gamma!W98),IF(VLOOKUP(W$1,main!$A$3:$H$102,7,FALSE)=VLOOKUP($A98,main!$A$3:$H$102,8,FALSE),VLOOKUP(W$1,main!$A$3:$H$102,4,FALSE),VLOOKUP(W$1,main!$A$3:$H$102,4,FALSE)+VLOOKUP($A98,main!$A$3:$H$102,4,FALSE)+(VLOOKUP(VLOOKUP(W$1,main!$A$3:$H$102,8,FALSE),main!$K$19:$O$22,MATCH(VLOOKUP($A98,main!$A$3:$H$102,7,FALSE),main!$K$18:$O$18,0),0))),0)</f>
        <v>0</v>
      </c>
      <c r="X98">
        <f>IF((gamma!X98),IF(VLOOKUP(X$1,main!$A$3:$H$102,7,FALSE)=VLOOKUP($A98,main!$A$3:$H$102,8,FALSE),VLOOKUP(X$1,main!$A$3:$H$102,4,FALSE),VLOOKUP(X$1,main!$A$3:$H$102,4,FALSE)+VLOOKUP($A98,main!$A$3:$H$102,4,FALSE)+(VLOOKUP(VLOOKUP(X$1,main!$A$3:$H$102,8,FALSE),main!$K$19:$O$22,MATCH(VLOOKUP($A98,main!$A$3:$H$102,7,FALSE),main!$K$18:$O$18,0),0))),0)</f>
        <v>0</v>
      </c>
      <c r="Y98">
        <f>IF((gamma!Y98),IF(VLOOKUP(Y$1,main!$A$3:$H$102,7,FALSE)=VLOOKUP($A98,main!$A$3:$H$102,8,FALSE),VLOOKUP(Y$1,main!$A$3:$H$102,4,FALSE),VLOOKUP(Y$1,main!$A$3:$H$102,4,FALSE)+VLOOKUP($A98,main!$A$3:$H$102,4,FALSE)+(VLOOKUP(VLOOKUP(Y$1,main!$A$3:$H$102,8,FALSE),main!$K$19:$O$22,MATCH(VLOOKUP($A98,main!$A$3:$H$102,7,FALSE),main!$K$18:$O$18,0),0))),0)</f>
        <v>255</v>
      </c>
      <c r="Z98">
        <f>IF((gamma!Z98),IF(VLOOKUP(Z$1,main!$A$3:$H$102,7,FALSE)=VLOOKUP($A98,main!$A$3:$H$102,8,FALSE),VLOOKUP(Z$1,main!$A$3:$H$102,4,FALSE),VLOOKUP(Z$1,main!$A$3:$H$102,4,FALSE)+VLOOKUP($A98,main!$A$3:$H$102,4,FALSE)+(VLOOKUP(VLOOKUP(Z$1,main!$A$3:$H$102,8,FALSE),main!$K$19:$O$22,MATCH(VLOOKUP($A98,main!$A$3:$H$102,7,FALSE),main!$K$18:$O$18,0),0))),0)</f>
        <v>260</v>
      </c>
      <c r="AA98">
        <f>IF((gamma!AA98),IF(VLOOKUP(AA$1,main!$A$3:$H$102,7,FALSE)=VLOOKUP($A98,main!$A$3:$H$102,8,FALSE),VLOOKUP(AA$1,main!$A$3:$H$102,4,FALSE),VLOOKUP(AA$1,main!$A$3:$H$102,4,FALSE)+VLOOKUP($A98,main!$A$3:$H$102,4,FALSE)+(VLOOKUP(VLOOKUP(AA$1,main!$A$3:$H$102,8,FALSE),main!$K$19:$O$22,MATCH(VLOOKUP($A98,main!$A$3:$H$102,7,FALSE),main!$K$18:$O$18,0),0))),0)</f>
        <v>260</v>
      </c>
      <c r="AB98">
        <f>IF((gamma!AB98),IF(VLOOKUP(AB$1,main!$A$3:$H$102,7,FALSE)=VLOOKUP($A98,main!$A$3:$H$102,8,FALSE),VLOOKUP(AB$1,main!$A$3:$H$102,4,FALSE),VLOOKUP(AB$1,main!$A$3:$H$102,4,FALSE)+VLOOKUP($A98,main!$A$3:$H$102,4,FALSE)+(VLOOKUP(VLOOKUP(AB$1,main!$A$3:$H$102,8,FALSE),main!$K$19:$O$22,MATCH(VLOOKUP($A98,main!$A$3:$H$102,7,FALSE),main!$K$18:$O$18,0),0))),0)</f>
        <v>0</v>
      </c>
      <c r="AC98">
        <f>IF((gamma!AC98),IF(VLOOKUP(AC$1,main!$A$3:$H$102,7,FALSE)=VLOOKUP($A98,main!$A$3:$H$102,8,FALSE),VLOOKUP(AC$1,main!$A$3:$H$102,4,FALSE),VLOOKUP(AC$1,main!$A$3:$H$102,4,FALSE)+VLOOKUP($A98,main!$A$3:$H$102,4,FALSE)+(VLOOKUP(VLOOKUP(AC$1,main!$A$3:$H$102,8,FALSE),main!$K$19:$O$22,MATCH(VLOOKUP($A98,main!$A$3:$H$102,7,FALSE),main!$K$18:$O$18,0),0))),0)</f>
        <v>0</v>
      </c>
      <c r="AD98">
        <f>IF((gamma!AD98),IF(VLOOKUP(AD$1,main!$A$3:$H$102,7,FALSE)=VLOOKUP($A98,main!$A$3:$H$102,8,FALSE),VLOOKUP(AD$1,main!$A$3:$H$102,4,FALSE),VLOOKUP(AD$1,main!$A$3:$H$102,4,FALSE)+VLOOKUP($A98,main!$A$3:$H$102,4,FALSE)+(VLOOKUP(VLOOKUP(AD$1,main!$A$3:$H$102,8,FALSE),main!$K$19:$O$22,MATCH(VLOOKUP($A98,main!$A$3:$H$102,7,FALSE),main!$K$18:$O$18,0),0))),0)</f>
        <v>255</v>
      </c>
      <c r="AE98">
        <f>IF((gamma!AE98),IF(VLOOKUP(AE$1,main!$A$3:$H$102,7,FALSE)=VLOOKUP($A98,main!$A$3:$H$102,8,FALSE),VLOOKUP(AE$1,main!$A$3:$H$102,4,FALSE),VLOOKUP(AE$1,main!$A$3:$H$102,4,FALSE)+VLOOKUP($A98,main!$A$3:$H$102,4,FALSE)+(VLOOKUP(VLOOKUP(AE$1,main!$A$3:$H$102,8,FALSE),main!$K$19:$O$22,MATCH(VLOOKUP($A98,main!$A$3:$H$102,7,FALSE),main!$K$18:$O$18,0),0))),0)</f>
        <v>260</v>
      </c>
      <c r="AF98">
        <f>IF((gamma!AF98),IF(VLOOKUP(AF$1,main!$A$3:$H$102,7,FALSE)=VLOOKUP($A98,main!$A$3:$H$102,8,FALSE),VLOOKUP(AF$1,main!$A$3:$H$102,4,FALSE),VLOOKUP(AF$1,main!$A$3:$H$102,4,FALSE)+VLOOKUP($A98,main!$A$3:$H$102,4,FALSE)+(VLOOKUP(VLOOKUP(AF$1,main!$A$3:$H$102,8,FALSE),main!$K$19:$O$22,MATCH(VLOOKUP($A98,main!$A$3:$H$102,7,FALSE),main!$K$18:$O$18,0),0))),0)</f>
        <v>220</v>
      </c>
      <c r="AG98">
        <f>IF((gamma!AG98),IF(VLOOKUP(AG$1,main!$A$3:$H$102,7,FALSE)=VLOOKUP($A98,main!$A$3:$H$102,8,FALSE),VLOOKUP(AG$1,main!$A$3:$H$102,4,FALSE),VLOOKUP(AG$1,main!$A$3:$H$102,4,FALSE)+VLOOKUP($A98,main!$A$3:$H$102,4,FALSE)+(VLOOKUP(VLOOKUP(AG$1,main!$A$3:$H$102,8,FALSE),main!$K$19:$O$22,MATCH(VLOOKUP($A98,main!$A$3:$H$102,7,FALSE),main!$K$18:$O$18,0),0))),0)</f>
        <v>0</v>
      </c>
      <c r="AH98">
        <f>IF((gamma!AH98),IF(VLOOKUP(AH$1,main!$A$3:$H$102,7,FALSE)=VLOOKUP($A98,main!$A$3:$H$102,8,FALSE),VLOOKUP(AH$1,main!$A$3:$H$102,4,FALSE),VLOOKUP(AH$1,main!$A$3:$H$102,4,FALSE)+VLOOKUP($A98,main!$A$3:$H$102,4,FALSE)+(VLOOKUP(VLOOKUP(AH$1,main!$A$3:$H$102,8,FALSE),main!$K$19:$O$22,MATCH(VLOOKUP($A98,main!$A$3:$H$102,7,FALSE),main!$K$18:$O$18,0),0))),0)</f>
        <v>0</v>
      </c>
      <c r="AI98">
        <f>IF((gamma!AI98),IF(VLOOKUP(AI$1,main!$A$3:$H$102,7,FALSE)=VLOOKUP($A98,main!$A$3:$H$102,8,FALSE),VLOOKUP(AI$1,main!$A$3:$H$102,4,FALSE),VLOOKUP(AI$1,main!$A$3:$H$102,4,FALSE)+VLOOKUP($A98,main!$A$3:$H$102,4,FALSE)+(VLOOKUP(VLOOKUP(AI$1,main!$A$3:$H$102,8,FALSE),main!$K$19:$O$22,MATCH(VLOOKUP($A98,main!$A$3:$H$102,7,FALSE),main!$K$18:$O$18,0),0))),0)</f>
        <v>290</v>
      </c>
      <c r="AJ98">
        <f>IF((gamma!AJ98),IF(VLOOKUP(AJ$1,main!$A$3:$H$102,7,FALSE)=VLOOKUP($A98,main!$A$3:$H$102,8,FALSE),VLOOKUP(AJ$1,main!$A$3:$H$102,4,FALSE),VLOOKUP(AJ$1,main!$A$3:$H$102,4,FALSE)+VLOOKUP($A98,main!$A$3:$H$102,4,FALSE)+(VLOOKUP(VLOOKUP(AJ$1,main!$A$3:$H$102,8,FALSE),main!$K$19:$O$22,MATCH(VLOOKUP($A98,main!$A$3:$H$102,7,FALSE),main!$K$18:$O$18,0),0))),0)</f>
        <v>290</v>
      </c>
      <c r="AK98">
        <f>IF((gamma!AK98),IF(VLOOKUP(AK$1,main!$A$3:$H$102,7,FALSE)=VLOOKUP($A98,main!$A$3:$H$102,8,FALSE),VLOOKUP(AK$1,main!$A$3:$H$102,4,FALSE),VLOOKUP(AK$1,main!$A$3:$H$102,4,FALSE)+VLOOKUP($A98,main!$A$3:$H$102,4,FALSE)+(VLOOKUP(VLOOKUP(AK$1,main!$A$3:$H$102,8,FALSE),main!$K$19:$O$22,MATCH(VLOOKUP($A98,main!$A$3:$H$102,7,FALSE),main!$K$18:$O$18,0),0))),0)</f>
        <v>290</v>
      </c>
      <c r="AL98">
        <f>IF((gamma!AL98),IF(VLOOKUP(AL$1,main!$A$3:$H$102,7,FALSE)=VLOOKUP($A98,main!$A$3:$H$102,8,FALSE),VLOOKUP(AL$1,main!$A$3:$H$102,4,FALSE),VLOOKUP(AL$1,main!$A$3:$H$102,4,FALSE)+VLOOKUP($A98,main!$A$3:$H$102,4,FALSE)+(VLOOKUP(VLOOKUP(AL$1,main!$A$3:$H$102,8,FALSE),main!$K$19:$O$22,MATCH(VLOOKUP($A98,main!$A$3:$H$102,7,FALSE),main!$K$18:$O$18,0),0))),0)</f>
        <v>290</v>
      </c>
      <c r="AM98">
        <f>IF((gamma!AM98),IF(VLOOKUP(AM$1,main!$A$3:$H$102,7,FALSE)=VLOOKUP($A98,main!$A$3:$H$102,8,FALSE),VLOOKUP(AM$1,main!$A$3:$H$102,4,FALSE),VLOOKUP(AM$1,main!$A$3:$H$102,4,FALSE)+VLOOKUP($A98,main!$A$3:$H$102,4,FALSE)+(VLOOKUP(VLOOKUP(AM$1,main!$A$3:$H$102,8,FALSE),main!$K$19:$O$22,MATCH(VLOOKUP($A98,main!$A$3:$H$102,7,FALSE),main!$K$18:$O$18,0),0))),0)</f>
        <v>290</v>
      </c>
      <c r="AN98">
        <f>IF((gamma!AN98),IF(VLOOKUP(AN$1,main!$A$3:$H$102,7,FALSE)=VLOOKUP($A98,main!$A$3:$H$102,8,FALSE),VLOOKUP(AN$1,main!$A$3:$H$102,4,FALSE),VLOOKUP(AN$1,main!$A$3:$H$102,4,FALSE)+VLOOKUP($A98,main!$A$3:$H$102,4,FALSE)+(VLOOKUP(VLOOKUP(AN$1,main!$A$3:$H$102,8,FALSE),main!$K$19:$O$22,MATCH(VLOOKUP($A98,main!$A$3:$H$102,7,FALSE),main!$K$18:$O$18,0),0))),0)</f>
        <v>290</v>
      </c>
      <c r="AO98">
        <f>IF((gamma!AO98),IF(VLOOKUP(AO$1,main!$A$3:$H$102,7,FALSE)=VLOOKUP($A98,main!$A$3:$H$102,8,FALSE),VLOOKUP(AO$1,main!$A$3:$H$102,4,FALSE),VLOOKUP(AO$1,main!$A$3:$H$102,4,FALSE)+VLOOKUP($A98,main!$A$3:$H$102,4,FALSE)+(VLOOKUP(VLOOKUP(AO$1,main!$A$3:$H$102,8,FALSE),main!$K$19:$O$22,MATCH(VLOOKUP($A98,main!$A$3:$H$102,7,FALSE),main!$K$18:$O$18,0),0))),0)</f>
        <v>0</v>
      </c>
      <c r="AP98">
        <f>IF((gamma!AP98),IF(VLOOKUP(AP$1,main!$A$3:$H$102,7,FALSE)=VLOOKUP($A98,main!$A$3:$H$102,8,FALSE),VLOOKUP(AP$1,main!$A$3:$H$102,4,FALSE),VLOOKUP(AP$1,main!$A$3:$H$102,4,FALSE)+VLOOKUP($A98,main!$A$3:$H$102,4,FALSE)+(VLOOKUP(VLOOKUP(AP$1,main!$A$3:$H$102,8,FALSE),main!$K$19:$O$22,MATCH(VLOOKUP($A98,main!$A$3:$H$102,7,FALSE),main!$K$18:$O$18,0),0))),0)</f>
        <v>230</v>
      </c>
      <c r="AQ98">
        <f>IF((gamma!AQ98),IF(VLOOKUP(AQ$1,main!$A$3:$H$102,7,FALSE)=VLOOKUP($A98,main!$A$3:$H$102,8,FALSE),VLOOKUP(AQ$1,main!$A$3:$H$102,4,FALSE),VLOOKUP(AQ$1,main!$A$3:$H$102,4,FALSE)+VLOOKUP($A98,main!$A$3:$H$102,4,FALSE)+(VLOOKUP(VLOOKUP(AQ$1,main!$A$3:$H$102,8,FALSE),main!$K$19:$O$22,MATCH(VLOOKUP($A98,main!$A$3:$H$102,7,FALSE),main!$K$18:$O$18,0),0))),0)</f>
        <v>0</v>
      </c>
      <c r="AR98">
        <f>IF((gamma!AR98),IF(VLOOKUP(AR$1,main!$A$3:$H$102,7,FALSE)=VLOOKUP($A98,main!$A$3:$H$102,8,FALSE),VLOOKUP(AR$1,main!$A$3:$H$102,4,FALSE),VLOOKUP(AR$1,main!$A$3:$H$102,4,FALSE)+VLOOKUP($A98,main!$A$3:$H$102,4,FALSE)+(VLOOKUP(VLOOKUP(AR$1,main!$A$3:$H$102,8,FALSE),main!$K$19:$O$22,MATCH(VLOOKUP($A98,main!$A$3:$H$102,7,FALSE),main!$K$18:$O$18,0),0))),0)</f>
        <v>0</v>
      </c>
      <c r="AS98">
        <f>IF((gamma!AS98),IF(VLOOKUP(AS$1,main!$A$3:$H$102,7,FALSE)=VLOOKUP($A98,main!$A$3:$H$102,8,FALSE),VLOOKUP(AS$1,main!$A$3:$H$102,4,FALSE),VLOOKUP(AS$1,main!$A$3:$H$102,4,FALSE)+VLOOKUP($A98,main!$A$3:$H$102,4,FALSE)+(VLOOKUP(VLOOKUP(AS$1,main!$A$3:$H$102,8,FALSE),main!$K$19:$O$22,MATCH(VLOOKUP($A98,main!$A$3:$H$102,7,FALSE),main!$K$18:$O$18,0),0))),0)</f>
        <v>273</v>
      </c>
      <c r="AT98">
        <f>IF((gamma!AT98),IF(VLOOKUP(AT$1,main!$A$3:$H$102,7,FALSE)=VLOOKUP($A98,main!$A$3:$H$102,8,FALSE),VLOOKUP(AT$1,main!$A$3:$H$102,4,FALSE),VLOOKUP(AT$1,main!$A$3:$H$102,4,FALSE)+VLOOKUP($A98,main!$A$3:$H$102,4,FALSE)+(VLOOKUP(VLOOKUP(AT$1,main!$A$3:$H$102,8,FALSE),main!$K$19:$O$22,MATCH(VLOOKUP($A98,main!$A$3:$H$102,7,FALSE),main!$K$18:$O$18,0),0))),0)</f>
        <v>283</v>
      </c>
      <c r="AU98">
        <f>IF((gamma!AU98),IF(VLOOKUP(AU$1,main!$A$3:$H$102,7,FALSE)=VLOOKUP($A98,main!$A$3:$H$102,8,FALSE),VLOOKUP(AU$1,main!$A$3:$H$102,4,FALSE),VLOOKUP(AU$1,main!$A$3:$H$102,4,FALSE)+VLOOKUP($A98,main!$A$3:$H$102,4,FALSE)+(VLOOKUP(VLOOKUP(AU$1,main!$A$3:$H$102,8,FALSE),main!$K$19:$O$22,MATCH(VLOOKUP($A98,main!$A$3:$H$102,7,FALSE),main!$K$18:$O$18,0),0))),0)</f>
        <v>0</v>
      </c>
      <c r="AV98">
        <f>IF((gamma!AV98),IF(VLOOKUP(AV$1,main!$A$3:$H$102,7,FALSE)=VLOOKUP($A98,main!$A$3:$H$102,8,FALSE),VLOOKUP(AV$1,main!$A$3:$H$102,4,FALSE),VLOOKUP(AV$1,main!$A$3:$H$102,4,FALSE)+VLOOKUP($A98,main!$A$3:$H$102,4,FALSE)+(VLOOKUP(VLOOKUP(AV$1,main!$A$3:$H$102,8,FALSE),main!$K$19:$O$22,MATCH(VLOOKUP($A98,main!$A$3:$H$102,7,FALSE),main!$K$18:$O$18,0),0))),0)</f>
        <v>0</v>
      </c>
      <c r="AW98">
        <f>IF((gamma!AW98),IF(VLOOKUP(AW$1,main!$A$3:$H$102,7,FALSE)=VLOOKUP($A98,main!$A$3:$H$102,8,FALSE),VLOOKUP(AW$1,main!$A$3:$H$102,4,FALSE),VLOOKUP(AW$1,main!$A$3:$H$102,4,FALSE)+VLOOKUP($A98,main!$A$3:$H$102,4,FALSE)+(VLOOKUP(VLOOKUP(AW$1,main!$A$3:$H$102,8,FALSE),main!$K$19:$O$22,MATCH(VLOOKUP($A98,main!$A$3:$H$102,7,FALSE),main!$K$18:$O$18,0),0))),0)</f>
        <v>273</v>
      </c>
      <c r="AX98">
        <f>IF((gamma!AX98),IF(VLOOKUP(AX$1,main!$A$3:$H$102,7,FALSE)=VLOOKUP($A98,main!$A$3:$H$102,8,FALSE),VLOOKUP(AX$1,main!$A$3:$H$102,4,FALSE),VLOOKUP(AX$1,main!$A$3:$H$102,4,FALSE)+VLOOKUP($A98,main!$A$3:$H$102,4,FALSE)+(VLOOKUP(VLOOKUP(AX$1,main!$A$3:$H$102,8,FALSE),main!$K$19:$O$22,MATCH(VLOOKUP($A98,main!$A$3:$H$102,7,FALSE),main!$K$18:$O$18,0),0))),0)</f>
        <v>258</v>
      </c>
      <c r="AY98">
        <f>IF((gamma!AY98),IF(VLOOKUP(AY$1,main!$A$3:$H$102,7,FALSE)=VLOOKUP($A98,main!$A$3:$H$102,8,FALSE),VLOOKUP(AY$1,main!$A$3:$H$102,4,FALSE),VLOOKUP(AY$1,main!$A$3:$H$102,4,FALSE)+VLOOKUP($A98,main!$A$3:$H$102,4,FALSE)+(VLOOKUP(VLOOKUP(AY$1,main!$A$3:$H$102,8,FALSE),main!$K$19:$O$22,MATCH(VLOOKUP($A98,main!$A$3:$H$102,7,FALSE),main!$K$18:$O$18,0),0))),0)</f>
        <v>0</v>
      </c>
      <c r="AZ98">
        <f>IF((gamma!AZ98),IF(VLOOKUP(AZ$1,main!$A$3:$H$102,7,FALSE)=VLOOKUP($A98,main!$A$3:$H$102,8,FALSE),VLOOKUP(AZ$1,main!$A$3:$H$102,4,FALSE),VLOOKUP(AZ$1,main!$A$3:$H$102,4,FALSE)+VLOOKUP($A98,main!$A$3:$H$102,4,FALSE)+(VLOOKUP(VLOOKUP(AZ$1,main!$A$3:$H$102,8,FALSE),main!$K$19:$O$22,MATCH(VLOOKUP($A98,main!$A$3:$H$102,7,FALSE),main!$K$18:$O$18,0),0))),0)</f>
        <v>288</v>
      </c>
      <c r="BA98">
        <f>IF((gamma!BA98),IF(VLOOKUP(BA$1,main!$A$3:$H$102,7,FALSE)=VLOOKUP($A98,main!$A$3:$H$102,8,FALSE),VLOOKUP(BA$1,main!$A$3:$H$102,4,FALSE),VLOOKUP(BA$1,main!$A$3:$H$102,4,FALSE)+VLOOKUP($A98,main!$A$3:$H$102,4,FALSE)+(VLOOKUP(VLOOKUP(BA$1,main!$A$3:$H$102,8,FALSE),main!$K$19:$O$22,MATCH(VLOOKUP($A98,main!$A$3:$H$102,7,FALSE),main!$K$18:$O$18,0),0))),0)</f>
        <v>0</v>
      </c>
      <c r="BB98">
        <f>IF((gamma!BB98),IF(VLOOKUP(BB$1,main!$A$3:$H$102,7,FALSE)=VLOOKUP($A98,main!$A$3:$H$102,8,FALSE),VLOOKUP(BB$1,main!$A$3:$H$102,4,FALSE),VLOOKUP(BB$1,main!$A$3:$H$102,4,FALSE)+VLOOKUP($A98,main!$A$3:$H$102,4,FALSE)+(VLOOKUP(VLOOKUP(BB$1,main!$A$3:$H$102,8,FALSE),main!$K$19:$O$22,MATCH(VLOOKUP($A98,main!$A$3:$H$102,7,FALSE),main!$K$18:$O$18,0),0))),0)</f>
        <v>140</v>
      </c>
      <c r="BC98">
        <f>IF((gamma!BC98),IF(VLOOKUP(BC$1,main!$A$3:$H$102,7,FALSE)=VLOOKUP($A98,main!$A$3:$H$102,8,FALSE),VLOOKUP(BC$1,main!$A$3:$H$102,4,FALSE),VLOOKUP(BC$1,main!$A$3:$H$102,4,FALSE)+VLOOKUP($A98,main!$A$3:$H$102,4,FALSE)+(VLOOKUP(VLOOKUP(BC$1,main!$A$3:$H$102,8,FALSE),main!$K$19:$O$22,MATCH(VLOOKUP($A98,main!$A$3:$H$102,7,FALSE),main!$K$18:$O$18,0),0))),0)</f>
        <v>140</v>
      </c>
      <c r="BD98">
        <f>IF((gamma!BD98),IF(VLOOKUP(BD$1,main!$A$3:$H$102,7,FALSE)=VLOOKUP($A98,main!$A$3:$H$102,8,FALSE),VLOOKUP(BD$1,main!$A$3:$H$102,4,FALSE),VLOOKUP(BD$1,main!$A$3:$H$102,4,FALSE)+VLOOKUP($A98,main!$A$3:$H$102,4,FALSE)+(VLOOKUP(VLOOKUP(BD$1,main!$A$3:$H$102,8,FALSE),main!$K$19:$O$22,MATCH(VLOOKUP($A98,main!$A$3:$H$102,7,FALSE),main!$K$18:$O$18,0),0))),0)</f>
        <v>140</v>
      </c>
      <c r="BE98">
        <f>IF((gamma!BE98),IF(VLOOKUP(BE$1,main!$A$3:$H$102,7,FALSE)=VLOOKUP($A98,main!$A$3:$H$102,8,FALSE),VLOOKUP(BE$1,main!$A$3:$H$102,4,FALSE),VLOOKUP(BE$1,main!$A$3:$H$102,4,FALSE)+VLOOKUP($A98,main!$A$3:$H$102,4,FALSE)+(VLOOKUP(VLOOKUP(BE$1,main!$A$3:$H$102,8,FALSE),main!$K$19:$O$22,MATCH(VLOOKUP($A98,main!$A$3:$H$102,7,FALSE),main!$K$18:$O$18,0),0))),0)</f>
        <v>140</v>
      </c>
      <c r="BF98">
        <f>IF((gamma!BF98),IF(VLOOKUP(BF$1,main!$A$3:$H$102,7,FALSE)=VLOOKUP($A98,main!$A$3:$H$102,8,FALSE),VLOOKUP(BF$1,main!$A$3:$H$102,4,FALSE),VLOOKUP(BF$1,main!$A$3:$H$102,4,FALSE)+VLOOKUP($A98,main!$A$3:$H$102,4,FALSE)+(VLOOKUP(VLOOKUP(BF$1,main!$A$3:$H$102,8,FALSE),main!$K$19:$O$22,MATCH(VLOOKUP($A98,main!$A$3:$H$102,7,FALSE),main!$K$18:$O$18,0),0))),0)</f>
        <v>0</v>
      </c>
      <c r="BG98">
        <f>IF((gamma!BG98),IF(VLOOKUP(BG$1,main!$A$3:$H$102,7,FALSE)=VLOOKUP($A98,main!$A$3:$H$102,8,FALSE),VLOOKUP(BG$1,main!$A$3:$H$102,4,FALSE),VLOOKUP(BG$1,main!$A$3:$H$102,4,FALSE)+VLOOKUP($A98,main!$A$3:$H$102,4,FALSE)+(VLOOKUP(VLOOKUP(BG$1,main!$A$3:$H$102,8,FALSE),main!$K$19:$O$22,MATCH(VLOOKUP($A98,main!$A$3:$H$102,7,FALSE),main!$K$18:$O$18,0),0))),0)</f>
        <v>0</v>
      </c>
      <c r="BH98">
        <f>IF((gamma!BH98),IF(VLOOKUP(BH$1,main!$A$3:$H$102,7,FALSE)=VLOOKUP($A98,main!$A$3:$H$102,8,FALSE),VLOOKUP(BH$1,main!$A$3:$H$102,4,FALSE),VLOOKUP(BH$1,main!$A$3:$H$102,4,FALSE)+VLOOKUP($A98,main!$A$3:$H$102,4,FALSE)+(VLOOKUP(VLOOKUP(BH$1,main!$A$3:$H$102,8,FALSE),main!$K$19:$O$22,MATCH(VLOOKUP($A98,main!$A$3:$H$102,7,FALSE),main!$K$18:$O$18,0),0))),0)</f>
        <v>125</v>
      </c>
      <c r="BI98">
        <f>IF((gamma!BI98),IF(VLOOKUP(BI$1,main!$A$3:$H$102,7,FALSE)=VLOOKUP($A98,main!$A$3:$H$102,8,FALSE),VLOOKUP(BI$1,main!$A$3:$H$102,4,FALSE),VLOOKUP(BI$1,main!$A$3:$H$102,4,FALSE)+VLOOKUP($A98,main!$A$3:$H$102,4,FALSE)+(VLOOKUP(VLOOKUP(BI$1,main!$A$3:$H$102,8,FALSE),main!$K$19:$O$22,MATCH(VLOOKUP($A98,main!$A$3:$H$102,7,FALSE),main!$K$18:$O$18,0),0))),0)</f>
        <v>60</v>
      </c>
      <c r="BJ98">
        <f>IF((gamma!BJ98),IF(VLOOKUP(BJ$1,main!$A$3:$H$102,7,FALSE)=VLOOKUP($A98,main!$A$3:$H$102,8,FALSE),VLOOKUP(BJ$1,main!$A$3:$H$102,4,FALSE),VLOOKUP(BJ$1,main!$A$3:$H$102,4,FALSE)+VLOOKUP($A98,main!$A$3:$H$102,4,FALSE)+(VLOOKUP(VLOOKUP(BJ$1,main!$A$3:$H$102,8,FALSE),main!$K$19:$O$22,MATCH(VLOOKUP($A98,main!$A$3:$H$102,7,FALSE),main!$K$18:$O$18,0),0))),0)</f>
        <v>90</v>
      </c>
      <c r="BK98">
        <f>IF((gamma!BK98),IF(VLOOKUP(BK$1,main!$A$3:$H$102,7,FALSE)=VLOOKUP($A98,main!$A$3:$H$102,8,FALSE),VLOOKUP(BK$1,main!$A$3:$H$102,4,FALSE),VLOOKUP(BK$1,main!$A$3:$H$102,4,FALSE)+VLOOKUP($A98,main!$A$3:$H$102,4,FALSE)+(VLOOKUP(VLOOKUP(BK$1,main!$A$3:$H$102,8,FALSE),main!$K$19:$O$22,MATCH(VLOOKUP($A98,main!$A$3:$H$102,7,FALSE),main!$K$18:$O$18,0),0))),0)</f>
        <v>0</v>
      </c>
      <c r="BL98">
        <f>IF((gamma!BL98),IF(VLOOKUP(BL$1,main!$A$3:$H$102,7,FALSE)=VLOOKUP($A98,main!$A$3:$H$102,8,FALSE),VLOOKUP(BL$1,main!$A$3:$H$102,4,FALSE),VLOOKUP(BL$1,main!$A$3:$H$102,4,FALSE)+VLOOKUP($A98,main!$A$3:$H$102,4,FALSE)+(VLOOKUP(VLOOKUP(BL$1,main!$A$3:$H$102,8,FALSE),main!$K$19:$O$22,MATCH(VLOOKUP($A98,main!$A$3:$H$102,7,FALSE),main!$K$18:$O$18,0),0))),0)</f>
        <v>0</v>
      </c>
      <c r="BM98">
        <f>IF((gamma!BM98),IF(VLOOKUP(BM$1,main!$A$3:$H$102,7,FALSE)=VLOOKUP($A98,main!$A$3:$H$102,8,FALSE),VLOOKUP(BM$1,main!$A$3:$H$102,4,FALSE),VLOOKUP(BM$1,main!$A$3:$H$102,4,FALSE)+VLOOKUP($A98,main!$A$3:$H$102,4,FALSE)+(VLOOKUP(VLOOKUP(BM$1,main!$A$3:$H$102,8,FALSE),main!$K$19:$O$22,MATCH(VLOOKUP($A98,main!$A$3:$H$102,7,FALSE),main!$K$18:$O$18,0),0))),0)</f>
        <v>0</v>
      </c>
      <c r="BN98">
        <f>IF((gamma!BN98),IF(VLOOKUP(BN$1,main!$A$3:$H$102,7,FALSE)=VLOOKUP($A98,main!$A$3:$H$102,8,FALSE),VLOOKUP(BN$1,main!$A$3:$H$102,4,FALSE),VLOOKUP(BN$1,main!$A$3:$H$102,4,FALSE)+VLOOKUP($A98,main!$A$3:$H$102,4,FALSE)+(VLOOKUP(VLOOKUP(BN$1,main!$A$3:$H$102,8,FALSE),main!$K$19:$O$22,MATCH(VLOOKUP($A98,main!$A$3:$H$102,7,FALSE),main!$K$18:$O$18,0),0))),0)</f>
        <v>120</v>
      </c>
      <c r="BO98">
        <f>IF((gamma!BO98),IF(VLOOKUP(BO$1,main!$A$3:$H$102,7,FALSE)=VLOOKUP($A98,main!$A$3:$H$102,8,FALSE),VLOOKUP(BO$1,main!$A$3:$H$102,4,FALSE),VLOOKUP(BO$1,main!$A$3:$H$102,4,FALSE)+VLOOKUP($A98,main!$A$3:$H$102,4,FALSE)+(VLOOKUP(VLOOKUP(BO$1,main!$A$3:$H$102,8,FALSE),main!$K$19:$O$22,MATCH(VLOOKUP($A98,main!$A$3:$H$102,7,FALSE),main!$K$18:$O$18,0),0))),0)</f>
        <v>0</v>
      </c>
      <c r="BP98">
        <f>IF((gamma!BP98),IF(VLOOKUP(BP$1,main!$A$3:$H$102,7,FALSE)=VLOOKUP($A98,main!$A$3:$H$102,8,FALSE),VLOOKUP(BP$1,main!$A$3:$H$102,4,FALSE),VLOOKUP(BP$1,main!$A$3:$H$102,4,FALSE)+VLOOKUP($A98,main!$A$3:$H$102,4,FALSE)+(VLOOKUP(VLOOKUP(BP$1,main!$A$3:$H$102,8,FALSE),main!$K$19:$O$22,MATCH(VLOOKUP($A98,main!$A$3:$H$102,7,FALSE),main!$K$18:$O$18,0),0))),0)</f>
        <v>0</v>
      </c>
      <c r="BQ98">
        <f>IF((gamma!BQ98),IF(VLOOKUP(BQ$1,main!$A$3:$H$102,7,FALSE)=VLOOKUP($A98,main!$A$3:$H$102,8,FALSE),VLOOKUP(BQ$1,main!$A$3:$H$102,4,FALSE),VLOOKUP(BQ$1,main!$A$3:$H$102,4,FALSE)+VLOOKUP($A98,main!$A$3:$H$102,4,FALSE)+(VLOOKUP(VLOOKUP(BQ$1,main!$A$3:$H$102,8,FALSE),main!$K$19:$O$22,MATCH(VLOOKUP($A98,main!$A$3:$H$102,7,FALSE),main!$K$18:$O$18,0),0))),0)</f>
        <v>140</v>
      </c>
      <c r="BR98">
        <f>IF((gamma!BR98),IF(VLOOKUP(BR$1,main!$A$3:$H$102,7,FALSE)=VLOOKUP($A98,main!$A$3:$H$102,8,FALSE),VLOOKUP(BR$1,main!$A$3:$H$102,4,FALSE),VLOOKUP(BR$1,main!$A$3:$H$102,4,FALSE)+VLOOKUP($A98,main!$A$3:$H$102,4,FALSE)+(VLOOKUP(VLOOKUP(BR$1,main!$A$3:$H$102,8,FALSE),main!$K$19:$O$22,MATCH(VLOOKUP($A98,main!$A$3:$H$102,7,FALSE),main!$K$18:$O$18,0),0))),0)</f>
        <v>100</v>
      </c>
      <c r="BS98">
        <f>IF((gamma!BS98),IF(VLOOKUP(BS$1,main!$A$3:$H$102,7,FALSE)=VLOOKUP($A98,main!$A$3:$H$102,8,FALSE),VLOOKUP(BS$1,main!$A$3:$H$102,4,FALSE),VLOOKUP(BS$1,main!$A$3:$H$102,4,FALSE)+VLOOKUP($A98,main!$A$3:$H$102,4,FALSE)+(VLOOKUP(VLOOKUP(BS$1,main!$A$3:$H$102,8,FALSE),main!$K$19:$O$22,MATCH(VLOOKUP($A98,main!$A$3:$H$102,7,FALSE),main!$K$18:$O$18,0),0))),0)</f>
        <v>101</v>
      </c>
      <c r="BT98">
        <f>IF((gamma!BT98),IF(VLOOKUP(BT$1,main!$A$3:$H$102,7,FALSE)=VLOOKUP($A98,main!$A$3:$H$102,8,FALSE),VLOOKUP(BT$1,main!$A$3:$H$102,4,FALSE),VLOOKUP(BT$1,main!$A$3:$H$102,4,FALSE)+VLOOKUP($A98,main!$A$3:$H$102,4,FALSE)+(VLOOKUP(VLOOKUP(BT$1,main!$A$3:$H$102,8,FALSE),main!$K$19:$O$22,MATCH(VLOOKUP($A98,main!$A$3:$H$102,7,FALSE),main!$K$18:$O$18,0),0))),0)</f>
        <v>120</v>
      </c>
      <c r="BU98">
        <f>IF((gamma!BU98),IF(VLOOKUP(BU$1,main!$A$3:$H$102,7,FALSE)=VLOOKUP($A98,main!$A$3:$H$102,8,FALSE),VLOOKUP(BU$1,main!$A$3:$H$102,4,FALSE),VLOOKUP(BU$1,main!$A$3:$H$102,4,FALSE)+VLOOKUP($A98,main!$A$3:$H$102,4,FALSE)+(VLOOKUP(VLOOKUP(BU$1,main!$A$3:$H$102,8,FALSE),main!$K$19:$O$22,MATCH(VLOOKUP($A98,main!$A$3:$H$102,7,FALSE),main!$K$18:$O$18,0),0))),0)</f>
        <v>0</v>
      </c>
      <c r="BV98">
        <f>IF((gamma!BV98),IF(VLOOKUP(BV$1,main!$A$3:$H$102,7,FALSE)=VLOOKUP($A98,main!$A$3:$H$102,8,FALSE),VLOOKUP(BV$1,main!$A$3:$H$102,4,FALSE),VLOOKUP(BV$1,main!$A$3:$H$102,4,FALSE)+VLOOKUP($A98,main!$A$3:$H$102,4,FALSE)+(VLOOKUP(VLOOKUP(BV$1,main!$A$3:$H$102,8,FALSE),main!$K$19:$O$22,MATCH(VLOOKUP($A98,main!$A$3:$H$102,7,FALSE),main!$K$18:$O$18,0),0))),0)</f>
        <v>0</v>
      </c>
      <c r="BW98">
        <f>IF((gamma!BW98),IF(VLOOKUP(BW$1,main!$A$3:$H$102,7,FALSE)=VLOOKUP($A98,main!$A$3:$H$102,8,FALSE),VLOOKUP(BW$1,main!$A$3:$H$102,4,FALSE),VLOOKUP(BW$1,main!$A$3:$H$102,4,FALSE)+VLOOKUP($A98,main!$A$3:$H$102,4,FALSE)+(VLOOKUP(VLOOKUP(BW$1,main!$A$3:$H$102,8,FALSE),main!$K$19:$O$22,MATCH(VLOOKUP($A98,main!$A$3:$H$102,7,FALSE),main!$K$18:$O$18,0),0))),0)</f>
        <v>0</v>
      </c>
      <c r="BX98">
        <f>IF((gamma!BX98),IF(VLOOKUP(BX$1,main!$A$3:$H$102,7,FALSE)=VLOOKUP($A98,main!$A$3:$H$102,8,FALSE),VLOOKUP(BX$1,main!$A$3:$H$102,4,FALSE),VLOOKUP(BX$1,main!$A$3:$H$102,4,FALSE)+VLOOKUP($A98,main!$A$3:$H$102,4,FALSE)+(VLOOKUP(VLOOKUP(BX$1,main!$A$3:$H$102,8,FALSE),main!$K$19:$O$22,MATCH(VLOOKUP($A98,main!$A$3:$H$102,7,FALSE),main!$K$18:$O$18,0),0))),0)</f>
        <v>135</v>
      </c>
      <c r="BY98">
        <f>IF((gamma!BY98),IF(VLOOKUP(BY$1,main!$A$3:$H$102,7,FALSE)=VLOOKUP($A98,main!$A$3:$H$102,8,FALSE),VLOOKUP(BY$1,main!$A$3:$H$102,4,FALSE),VLOOKUP(BY$1,main!$A$3:$H$102,4,FALSE)+VLOOKUP($A98,main!$A$3:$H$102,4,FALSE)+(VLOOKUP(VLOOKUP(BY$1,main!$A$3:$H$102,8,FALSE),main!$K$19:$O$22,MATCH(VLOOKUP($A98,main!$A$3:$H$102,7,FALSE),main!$K$18:$O$18,0),0))),0)</f>
        <v>120</v>
      </c>
      <c r="BZ98">
        <f>IF((gamma!BZ98),IF(VLOOKUP(BZ$1,main!$A$3:$H$102,7,FALSE)=VLOOKUP($A98,main!$A$3:$H$102,8,FALSE),VLOOKUP(BZ$1,main!$A$3:$H$102,4,FALSE),VLOOKUP(BZ$1,main!$A$3:$H$102,4,FALSE)+VLOOKUP($A98,main!$A$3:$H$102,4,FALSE)+(VLOOKUP(VLOOKUP(BZ$1,main!$A$3:$H$102,8,FALSE),main!$K$19:$O$22,MATCH(VLOOKUP($A98,main!$A$3:$H$102,7,FALSE),main!$K$18:$O$18,0),0))),0)</f>
        <v>0</v>
      </c>
      <c r="CA98">
        <f>IF((gamma!CA98),IF(VLOOKUP(CA$1,main!$A$3:$H$102,7,FALSE)=VLOOKUP($A98,main!$A$3:$H$102,8,FALSE),VLOOKUP(CA$1,main!$A$3:$H$102,4,FALSE),VLOOKUP(CA$1,main!$A$3:$H$102,4,FALSE)+VLOOKUP($A98,main!$A$3:$H$102,4,FALSE)+(VLOOKUP(VLOOKUP(CA$1,main!$A$3:$H$102,8,FALSE),main!$K$19:$O$22,MATCH(VLOOKUP($A98,main!$A$3:$H$102,7,FALSE),main!$K$18:$O$18,0),0))),0)</f>
        <v>0</v>
      </c>
      <c r="CB98">
        <f>IF((gamma!CB98),IF(VLOOKUP(CB$1,main!$A$3:$H$102,7,FALSE)=VLOOKUP($A98,main!$A$3:$H$102,8,FALSE),VLOOKUP(CB$1,main!$A$3:$H$102,4,FALSE),VLOOKUP(CB$1,main!$A$3:$H$102,4,FALSE)+VLOOKUP($A98,main!$A$3:$H$102,4,FALSE)+(VLOOKUP(VLOOKUP(CB$1,main!$A$3:$H$102,8,FALSE),main!$K$19:$O$22,MATCH(VLOOKUP($A98,main!$A$3:$H$102,7,FALSE),main!$K$18:$O$18,0),0))),0)</f>
        <v>65</v>
      </c>
      <c r="CC98">
        <f>IF((gamma!CC98),IF(VLOOKUP(CC$1,main!$A$3:$H$102,7,FALSE)=VLOOKUP($A98,main!$A$3:$H$102,8,FALSE),VLOOKUP(CC$1,main!$A$3:$H$102,4,FALSE),VLOOKUP(CC$1,main!$A$3:$H$102,4,FALSE)+VLOOKUP($A98,main!$A$3:$H$102,4,FALSE)+(VLOOKUP(VLOOKUP(CC$1,main!$A$3:$H$102,8,FALSE),main!$K$19:$O$22,MATCH(VLOOKUP($A98,main!$A$3:$H$102,7,FALSE),main!$K$18:$O$18,0),0))),0)</f>
        <v>55</v>
      </c>
      <c r="CD98">
        <f>IF((gamma!CD98),IF(VLOOKUP(CD$1,main!$A$3:$H$102,7,FALSE)=VLOOKUP($A98,main!$A$3:$H$102,8,FALSE),VLOOKUP(CD$1,main!$A$3:$H$102,4,FALSE),VLOOKUP(CD$1,main!$A$3:$H$102,4,FALSE)+VLOOKUP($A98,main!$A$3:$H$102,4,FALSE)+(VLOOKUP(VLOOKUP(CD$1,main!$A$3:$H$102,8,FALSE),main!$K$19:$O$22,MATCH(VLOOKUP($A98,main!$A$3:$H$102,7,FALSE),main!$K$18:$O$18,0),0))),0)</f>
        <v>114</v>
      </c>
      <c r="CE98">
        <f>IF((gamma!CE98),IF(VLOOKUP(CE$1,main!$A$3:$H$102,7,FALSE)=VLOOKUP($A98,main!$A$3:$H$102,8,FALSE),VLOOKUP(CE$1,main!$A$3:$H$102,4,FALSE),VLOOKUP(CE$1,main!$A$3:$H$102,4,FALSE)+VLOOKUP($A98,main!$A$3:$H$102,4,FALSE)+(VLOOKUP(VLOOKUP(CE$1,main!$A$3:$H$102,8,FALSE),main!$K$19:$O$22,MATCH(VLOOKUP($A98,main!$A$3:$H$102,7,FALSE),main!$K$18:$O$18,0),0))),0)</f>
        <v>295</v>
      </c>
      <c r="CF98">
        <f>IF((gamma!CF98),IF(VLOOKUP(CF$1,main!$A$3:$H$102,7,FALSE)=VLOOKUP($A98,main!$A$3:$H$102,8,FALSE),VLOOKUP(CF$1,main!$A$3:$H$102,4,FALSE),VLOOKUP(CF$1,main!$A$3:$H$102,4,FALSE)+VLOOKUP($A98,main!$A$3:$H$102,4,FALSE)+(VLOOKUP(VLOOKUP(CF$1,main!$A$3:$H$102,8,FALSE),main!$K$19:$O$22,MATCH(VLOOKUP($A98,main!$A$3:$H$102,7,FALSE),main!$K$18:$O$18,0),0))),0)</f>
        <v>290</v>
      </c>
      <c r="CG98">
        <f>IF((gamma!CG98),IF(VLOOKUP(CG$1,main!$A$3:$H$102,7,FALSE)=VLOOKUP($A98,main!$A$3:$H$102,8,FALSE),VLOOKUP(CG$1,main!$A$3:$H$102,4,FALSE),VLOOKUP(CG$1,main!$A$3:$H$102,4,FALSE)+VLOOKUP($A98,main!$A$3:$H$102,4,FALSE)+(VLOOKUP(VLOOKUP(CG$1,main!$A$3:$H$102,8,FALSE),main!$K$19:$O$22,MATCH(VLOOKUP($A98,main!$A$3:$H$102,7,FALSE),main!$K$18:$O$18,0),0))),0)</f>
        <v>295</v>
      </c>
      <c r="CH98">
        <f>IF((gamma!CH98),IF(VLOOKUP(CH$1,main!$A$3:$H$102,7,FALSE)=VLOOKUP($A98,main!$A$3:$H$102,8,FALSE),VLOOKUP(CH$1,main!$A$3:$H$102,4,FALSE),VLOOKUP(CH$1,main!$A$3:$H$102,4,FALSE)+VLOOKUP($A98,main!$A$3:$H$102,4,FALSE)+(VLOOKUP(VLOOKUP(CH$1,main!$A$3:$H$102,8,FALSE),main!$K$19:$O$22,MATCH(VLOOKUP($A98,main!$A$3:$H$102,7,FALSE),main!$K$18:$O$18,0),0))),0)</f>
        <v>295</v>
      </c>
      <c r="CI98">
        <f>IF((gamma!CI98),IF(VLOOKUP(CI$1,main!$A$3:$H$102,7,FALSE)=VLOOKUP($A98,main!$A$3:$H$102,8,FALSE),VLOOKUP(CI$1,main!$A$3:$H$102,4,FALSE),VLOOKUP(CI$1,main!$A$3:$H$102,4,FALSE)+VLOOKUP($A98,main!$A$3:$H$102,4,FALSE)+(VLOOKUP(VLOOKUP(CI$1,main!$A$3:$H$102,8,FALSE),main!$K$19:$O$22,MATCH(VLOOKUP($A98,main!$A$3:$H$102,7,FALSE),main!$K$18:$O$18,0),0))),0)</f>
        <v>295</v>
      </c>
      <c r="CJ98">
        <f>IF((gamma!CJ98),IF(VLOOKUP(CJ$1,main!$A$3:$H$102,7,FALSE)=VLOOKUP($A98,main!$A$3:$H$102,8,FALSE),VLOOKUP(CJ$1,main!$A$3:$H$102,4,FALSE),VLOOKUP(CJ$1,main!$A$3:$H$102,4,FALSE)+VLOOKUP($A98,main!$A$3:$H$102,4,FALSE)+(VLOOKUP(VLOOKUP(CJ$1,main!$A$3:$H$102,8,FALSE),main!$K$19:$O$22,MATCH(VLOOKUP($A98,main!$A$3:$H$102,7,FALSE),main!$K$18:$O$18,0),0))),0)</f>
        <v>223</v>
      </c>
      <c r="CK98">
        <f>IF((gamma!CK98),IF(VLOOKUP(CK$1,main!$A$3:$H$102,7,FALSE)=VLOOKUP($A98,main!$A$3:$H$102,8,FALSE),VLOOKUP(CK$1,main!$A$3:$H$102,4,FALSE),VLOOKUP(CK$1,main!$A$3:$H$102,4,FALSE)+VLOOKUP($A98,main!$A$3:$H$102,4,FALSE)+(VLOOKUP(VLOOKUP(CK$1,main!$A$3:$H$102,8,FALSE),main!$K$19:$O$22,MATCH(VLOOKUP($A98,main!$A$3:$H$102,7,FALSE),main!$K$18:$O$18,0),0))),0)</f>
        <v>0</v>
      </c>
      <c r="CL98">
        <f>IF((gamma!CL98),IF(VLOOKUP(CL$1,main!$A$3:$H$102,7,FALSE)=VLOOKUP($A98,main!$A$3:$H$102,8,FALSE),VLOOKUP(CL$1,main!$A$3:$H$102,4,FALSE),VLOOKUP(CL$1,main!$A$3:$H$102,4,FALSE)+VLOOKUP($A98,main!$A$3:$H$102,4,FALSE)+(VLOOKUP(VLOOKUP(CL$1,main!$A$3:$H$102,8,FALSE),main!$K$19:$O$22,MATCH(VLOOKUP($A98,main!$A$3:$H$102,7,FALSE),main!$K$18:$O$18,0),0))),0)</f>
        <v>235</v>
      </c>
      <c r="CM98">
        <f>IF((gamma!CM98),IF(VLOOKUP(CM$1,main!$A$3:$H$102,7,FALSE)=VLOOKUP($A98,main!$A$3:$H$102,8,FALSE),VLOOKUP(CM$1,main!$A$3:$H$102,4,FALSE),VLOOKUP(CM$1,main!$A$3:$H$102,4,FALSE)+VLOOKUP($A98,main!$A$3:$H$102,4,FALSE)+(VLOOKUP(VLOOKUP(CM$1,main!$A$3:$H$102,8,FALSE),main!$K$19:$O$22,MATCH(VLOOKUP($A98,main!$A$3:$H$102,7,FALSE),main!$K$18:$O$18,0),0))),0)</f>
        <v>255</v>
      </c>
      <c r="CN98">
        <f>IF((gamma!CN98),IF(VLOOKUP(CN$1,main!$A$3:$H$102,7,FALSE)=VLOOKUP($A98,main!$A$3:$H$102,8,FALSE),VLOOKUP(CN$1,main!$A$3:$H$102,4,FALSE),VLOOKUP(CN$1,main!$A$3:$H$102,4,FALSE)+VLOOKUP($A98,main!$A$3:$H$102,4,FALSE)+(VLOOKUP(VLOOKUP(CN$1,main!$A$3:$H$102,8,FALSE),main!$K$19:$O$22,MATCH(VLOOKUP($A98,main!$A$3:$H$102,7,FALSE),main!$K$18:$O$18,0),0))),0)</f>
        <v>251</v>
      </c>
      <c r="CO98">
        <f>IF((gamma!CO98),IF(VLOOKUP(CO$1,main!$A$3:$H$102,7,FALSE)=VLOOKUP($A98,main!$A$3:$H$102,8,FALSE),VLOOKUP(CO$1,main!$A$3:$H$102,4,FALSE),VLOOKUP(CO$1,main!$A$3:$H$102,4,FALSE)+VLOOKUP($A98,main!$A$3:$H$102,4,FALSE)+(VLOOKUP(VLOOKUP(CO$1,main!$A$3:$H$102,8,FALSE),main!$K$19:$O$22,MATCH(VLOOKUP($A98,main!$A$3:$H$102,7,FALSE),main!$K$18:$O$18,0),0))),0)</f>
        <v>0</v>
      </c>
      <c r="CP98">
        <f>IF((gamma!CP98),IF(VLOOKUP(CP$1,main!$A$3:$H$102,7,FALSE)=VLOOKUP($A98,main!$A$3:$H$102,8,FALSE),VLOOKUP(CP$1,main!$A$3:$H$102,4,FALSE),VLOOKUP(CP$1,main!$A$3:$H$102,4,FALSE)+VLOOKUP($A98,main!$A$3:$H$102,4,FALSE)+(VLOOKUP(VLOOKUP(CP$1,main!$A$3:$H$102,8,FALSE),main!$K$19:$O$22,MATCH(VLOOKUP($A98,main!$A$3:$H$102,7,FALSE),main!$K$18:$O$18,0),0))),0)</f>
        <v>273</v>
      </c>
      <c r="CQ98">
        <f>IF((gamma!CQ98),IF(VLOOKUP(CQ$1,main!$A$3:$H$102,7,FALSE)=VLOOKUP($A98,main!$A$3:$H$102,8,FALSE),VLOOKUP(CQ$1,main!$A$3:$H$102,4,FALSE),VLOOKUP(CQ$1,main!$A$3:$H$102,4,FALSE)+VLOOKUP($A98,main!$A$3:$H$102,4,FALSE)+(VLOOKUP(VLOOKUP(CQ$1,main!$A$3:$H$102,8,FALSE),main!$K$19:$O$22,MATCH(VLOOKUP($A98,main!$A$3:$H$102,7,FALSE),main!$K$18:$O$18,0),0))),0)</f>
        <v>273</v>
      </c>
      <c r="CR98">
        <f>IF((gamma!CR98),IF(VLOOKUP(CR$1,main!$A$3:$H$102,7,FALSE)=VLOOKUP($A98,main!$A$3:$H$102,8,FALSE),VLOOKUP(CR$1,main!$A$3:$H$102,4,FALSE),VLOOKUP(CR$1,main!$A$3:$H$102,4,FALSE)+VLOOKUP($A98,main!$A$3:$H$102,4,FALSE)+(VLOOKUP(VLOOKUP(CR$1,main!$A$3:$H$102,8,FALSE),main!$K$19:$O$22,MATCH(VLOOKUP($A98,main!$A$3:$H$102,7,FALSE),main!$K$18:$O$18,0),0))),0)</f>
        <v>288</v>
      </c>
      <c r="CS98">
        <f>IF((gamma!CS98),IF(VLOOKUP(CS$1,main!$A$3:$H$102,7,FALSE)=VLOOKUP($A98,main!$A$3:$H$102,8,FALSE),VLOOKUP(CS$1,main!$A$3:$H$102,4,FALSE),VLOOKUP(CS$1,main!$A$3:$H$102,4,FALSE)+VLOOKUP($A98,main!$A$3:$H$102,4,FALSE)+(VLOOKUP(VLOOKUP(CS$1,main!$A$3:$H$102,8,FALSE),main!$K$19:$O$22,MATCH(VLOOKUP($A98,main!$A$3:$H$102,7,FALSE),main!$K$18:$O$18,0),0))),0)</f>
        <v>288</v>
      </c>
      <c r="CT98">
        <f>IF((gamma!CT98),IF(VLOOKUP(CT$1,main!$A$3:$H$102,7,FALSE)=VLOOKUP($A98,main!$A$3:$H$102,8,FALSE),VLOOKUP(CT$1,main!$A$3:$H$102,4,FALSE),VLOOKUP(CT$1,main!$A$3:$H$102,4,FALSE)+VLOOKUP($A98,main!$A$3:$H$102,4,FALSE)+(VLOOKUP(VLOOKUP(CT$1,main!$A$3:$H$102,8,FALSE),main!$K$19:$O$22,MATCH(VLOOKUP($A98,main!$A$3:$H$102,7,FALSE),main!$K$18:$O$18,0),0))),0)</f>
        <v>0</v>
      </c>
      <c r="CU98">
        <f>IF((gamma!CU98),IF(VLOOKUP(CU$1,main!$A$3:$H$102,7,FALSE)=VLOOKUP($A98,main!$A$3:$H$102,8,FALSE),VLOOKUP(CU$1,main!$A$3:$H$102,4,FALSE),VLOOKUP(CU$1,main!$A$3:$H$102,4,FALSE)+VLOOKUP($A98,main!$A$3:$H$102,4,FALSE)+(VLOOKUP(VLOOKUP(CU$1,main!$A$3:$H$102,8,FALSE),main!$K$19:$O$22,MATCH(VLOOKUP($A98,main!$A$3:$H$102,7,FALSE),main!$K$18:$O$18,0),0))),0)</f>
        <v>0</v>
      </c>
      <c r="CV98">
        <f>IF((gamma!CV98),IF(VLOOKUP(CV$1,main!$A$3:$H$102,7,FALSE)=VLOOKUP($A98,main!$A$3:$H$102,8,FALSE),VLOOKUP(CV$1,main!$A$3:$H$102,4,FALSE),VLOOKUP(CV$1,main!$A$3:$H$102,4,FALSE)+VLOOKUP($A98,main!$A$3:$H$102,4,FALSE)+(VLOOKUP(VLOOKUP(CV$1,main!$A$3:$H$102,8,FALSE),main!$K$19:$O$22,MATCH(VLOOKUP($A98,main!$A$3:$H$102,7,FALSE),main!$K$18:$O$18,0),0))),0)</f>
        <v>233</v>
      </c>
      <c r="CW98">
        <f>IF((gamma!CW98),IF(VLOOKUP(CW$1,main!$A$3:$H$102,7,FALSE)=VLOOKUP($A98,main!$A$3:$H$102,8,FALSE),VLOOKUP(CW$1,main!$A$3:$H$102,4,FALSE),VLOOKUP(CW$1,main!$A$3:$H$102,4,FALSE)+VLOOKUP($A98,main!$A$3:$H$102,4,FALSE)+(VLOOKUP(VLOOKUP(CW$1,main!$A$3:$H$102,8,FALSE),main!$K$19:$O$22,MATCH(VLOOKUP($A98,main!$A$3:$H$102,7,FALSE),main!$K$18:$O$18,0),0))),0)</f>
        <v>248</v>
      </c>
      <c r="CX98">
        <f>IF((gamma!CX98),IF(VLOOKUP(CX$1,main!$A$3:$H$102,7,FALSE)=VLOOKUP($A98,main!$A$3:$H$102,8,FALSE),VLOOKUP(CX$1,main!$A$3:$H$102,4,FALSE),VLOOKUP(CX$1,main!$A$3:$H$102,4,FALSE)+VLOOKUP($A98,main!$A$3:$H$102,4,FALSE)+(VLOOKUP(VLOOKUP(CX$1,main!$A$3:$H$102,8,FALSE),main!$K$19:$O$22,MATCH(VLOOKUP($A98,main!$A$3:$H$102,7,FALSE),main!$K$18:$O$18,0),0))),0)</f>
        <v>238</v>
      </c>
      <c r="CY98">
        <v>0</v>
      </c>
      <c r="CZ98">
        <v>0</v>
      </c>
      <c r="DA98">
        <v>0</v>
      </c>
    </row>
    <row r="99" spans="1:105" x14ac:dyDescent="0.25">
      <c r="A99" s="1">
        <v>97</v>
      </c>
      <c r="B99">
        <v>0</v>
      </c>
      <c r="C99">
        <f>IF((gamma!C99),IF(VLOOKUP(C$1,main!$A$3:$H$102,7,FALSE)=VLOOKUP($A99,main!$A$3:$H$102,8,FALSE),VLOOKUP(C$1,main!$A$3:$H$102,4,FALSE),VLOOKUP(C$1,main!$A$3:$H$102,4,FALSE)+VLOOKUP($A99,main!$A$3:$H$102,4,FALSE)+(VLOOKUP(VLOOKUP(C$1,main!$A$3:$H$102,8,FALSE),main!$K$19:$O$22,MATCH(VLOOKUP($A99,main!$A$3:$H$102,7,FALSE),main!$K$18:$O$18,0),0))),0)</f>
        <v>0</v>
      </c>
      <c r="D99">
        <f>IF((gamma!D99),IF(VLOOKUP(D$1,main!$A$3:$H$102,7,FALSE)=VLOOKUP($A99,main!$A$3:$H$102,8,FALSE),VLOOKUP(D$1,main!$A$3:$H$102,4,FALSE),VLOOKUP(D$1,main!$A$3:$H$102,4,FALSE)+VLOOKUP($A99,main!$A$3:$H$102,4,FALSE)+(VLOOKUP(VLOOKUP(D$1,main!$A$3:$H$102,8,FALSE),main!$K$19:$O$22,MATCH(VLOOKUP($A99,main!$A$3:$H$102,7,FALSE),main!$K$18:$O$18,0),0))),0)</f>
        <v>0</v>
      </c>
      <c r="E99">
        <f>IF((gamma!E99),IF(VLOOKUP(E$1,main!$A$3:$H$102,7,FALSE)=VLOOKUP($A99,main!$A$3:$H$102,8,FALSE),VLOOKUP(E$1,main!$A$3:$H$102,4,FALSE),VLOOKUP(E$1,main!$A$3:$H$102,4,FALSE)+VLOOKUP($A99,main!$A$3:$H$102,4,FALSE)+(VLOOKUP(VLOOKUP(E$1,main!$A$3:$H$102,8,FALSE),main!$K$19:$O$22,MATCH(VLOOKUP($A99,main!$A$3:$H$102,7,FALSE),main!$K$18:$O$18,0),0))),0)</f>
        <v>245</v>
      </c>
      <c r="F99">
        <f>IF((gamma!F99),IF(VLOOKUP(F$1,main!$A$3:$H$102,7,FALSE)=VLOOKUP($A99,main!$A$3:$H$102,8,FALSE),VLOOKUP(F$1,main!$A$3:$H$102,4,FALSE),VLOOKUP(F$1,main!$A$3:$H$102,4,FALSE)+VLOOKUP($A99,main!$A$3:$H$102,4,FALSE)+(VLOOKUP(VLOOKUP(F$1,main!$A$3:$H$102,8,FALSE),main!$K$19:$O$22,MATCH(VLOOKUP($A99,main!$A$3:$H$102,7,FALSE),main!$K$18:$O$18,0),0))),0)</f>
        <v>245</v>
      </c>
      <c r="G99">
        <f>IF((gamma!G99),IF(VLOOKUP(G$1,main!$A$3:$H$102,7,FALSE)=VLOOKUP($A99,main!$A$3:$H$102,8,FALSE),VLOOKUP(G$1,main!$A$3:$H$102,4,FALSE),VLOOKUP(G$1,main!$A$3:$H$102,4,FALSE)+VLOOKUP($A99,main!$A$3:$H$102,4,FALSE)+(VLOOKUP(VLOOKUP(G$1,main!$A$3:$H$102,8,FALSE),main!$K$19:$O$22,MATCH(VLOOKUP($A99,main!$A$3:$H$102,7,FALSE),main!$K$18:$O$18,0),0))),0)</f>
        <v>245</v>
      </c>
      <c r="H99">
        <f>IF((gamma!H99),IF(VLOOKUP(H$1,main!$A$3:$H$102,7,FALSE)=VLOOKUP($A99,main!$A$3:$H$102,8,FALSE),VLOOKUP(H$1,main!$A$3:$H$102,4,FALSE),VLOOKUP(H$1,main!$A$3:$H$102,4,FALSE)+VLOOKUP($A99,main!$A$3:$H$102,4,FALSE)+(VLOOKUP(VLOOKUP(H$1,main!$A$3:$H$102,8,FALSE),main!$K$19:$O$22,MATCH(VLOOKUP($A99,main!$A$3:$H$102,7,FALSE),main!$K$18:$O$18,0),0))),0)</f>
        <v>245</v>
      </c>
      <c r="I99">
        <f>IF((gamma!I99),IF(VLOOKUP(I$1,main!$A$3:$H$102,7,FALSE)=VLOOKUP($A99,main!$A$3:$H$102,8,FALSE),VLOOKUP(I$1,main!$A$3:$H$102,4,FALSE),VLOOKUP(I$1,main!$A$3:$H$102,4,FALSE)+VLOOKUP($A99,main!$A$3:$H$102,4,FALSE)+(VLOOKUP(VLOOKUP(I$1,main!$A$3:$H$102,8,FALSE),main!$K$19:$O$22,MATCH(VLOOKUP($A99,main!$A$3:$H$102,7,FALSE),main!$K$18:$O$18,0),0))),0)</f>
        <v>245</v>
      </c>
      <c r="J99">
        <f>IF((gamma!J99),IF(VLOOKUP(J$1,main!$A$3:$H$102,7,FALSE)=VLOOKUP($A99,main!$A$3:$H$102,8,FALSE),VLOOKUP(J$1,main!$A$3:$H$102,4,FALSE),VLOOKUP(J$1,main!$A$3:$H$102,4,FALSE)+VLOOKUP($A99,main!$A$3:$H$102,4,FALSE)+(VLOOKUP(VLOOKUP(J$1,main!$A$3:$H$102,8,FALSE),main!$K$19:$O$22,MATCH(VLOOKUP($A99,main!$A$3:$H$102,7,FALSE),main!$K$18:$O$18,0),0))),0)</f>
        <v>245</v>
      </c>
      <c r="K99">
        <f>IF((gamma!K99),IF(VLOOKUP(K$1,main!$A$3:$H$102,7,FALSE)=VLOOKUP($A99,main!$A$3:$H$102,8,FALSE),VLOOKUP(K$1,main!$A$3:$H$102,4,FALSE),VLOOKUP(K$1,main!$A$3:$H$102,4,FALSE)+VLOOKUP($A99,main!$A$3:$H$102,4,FALSE)+(VLOOKUP(VLOOKUP(K$1,main!$A$3:$H$102,8,FALSE),main!$K$19:$O$22,MATCH(VLOOKUP($A99,main!$A$3:$H$102,7,FALSE),main!$K$18:$O$18,0),0))),0)</f>
        <v>245</v>
      </c>
      <c r="L99">
        <f>IF((gamma!L99),IF(VLOOKUP(L$1,main!$A$3:$H$102,7,FALSE)=VLOOKUP($A99,main!$A$3:$H$102,8,FALSE),VLOOKUP(L$1,main!$A$3:$H$102,4,FALSE),VLOOKUP(L$1,main!$A$3:$H$102,4,FALSE)+VLOOKUP($A99,main!$A$3:$H$102,4,FALSE)+(VLOOKUP(VLOOKUP(L$1,main!$A$3:$H$102,8,FALSE),main!$K$19:$O$22,MATCH(VLOOKUP($A99,main!$A$3:$H$102,7,FALSE),main!$K$18:$O$18,0),0))),0)</f>
        <v>245</v>
      </c>
      <c r="M99">
        <f>IF((gamma!M99),IF(VLOOKUP(M$1,main!$A$3:$H$102,7,FALSE)=VLOOKUP($A99,main!$A$3:$H$102,8,FALSE),VLOOKUP(M$1,main!$A$3:$H$102,4,FALSE),VLOOKUP(M$1,main!$A$3:$H$102,4,FALSE)+VLOOKUP($A99,main!$A$3:$H$102,4,FALSE)+(VLOOKUP(VLOOKUP(M$1,main!$A$3:$H$102,8,FALSE),main!$K$19:$O$22,MATCH(VLOOKUP($A99,main!$A$3:$H$102,7,FALSE),main!$K$18:$O$18,0),0))),0)</f>
        <v>0</v>
      </c>
      <c r="N99">
        <f>IF((gamma!N99),IF(VLOOKUP(N$1,main!$A$3:$H$102,7,FALSE)=VLOOKUP($A99,main!$A$3:$H$102,8,FALSE),VLOOKUP(N$1,main!$A$3:$H$102,4,FALSE),VLOOKUP(N$1,main!$A$3:$H$102,4,FALSE)+VLOOKUP($A99,main!$A$3:$H$102,4,FALSE)+(VLOOKUP(VLOOKUP(N$1,main!$A$3:$H$102,8,FALSE),main!$K$19:$O$22,MATCH(VLOOKUP($A99,main!$A$3:$H$102,7,FALSE),main!$K$18:$O$18,0),0))),0)</f>
        <v>0</v>
      </c>
      <c r="O99">
        <f>IF((gamma!O99),IF(VLOOKUP(O$1,main!$A$3:$H$102,7,FALSE)=VLOOKUP($A99,main!$A$3:$H$102,8,FALSE),VLOOKUP(O$1,main!$A$3:$H$102,4,FALSE),VLOOKUP(O$1,main!$A$3:$H$102,4,FALSE)+VLOOKUP($A99,main!$A$3:$H$102,4,FALSE)+(VLOOKUP(VLOOKUP(O$1,main!$A$3:$H$102,8,FALSE),main!$K$19:$O$22,MATCH(VLOOKUP($A99,main!$A$3:$H$102,7,FALSE),main!$K$18:$O$18,0),0))),0)</f>
        <v>0</v>
      </c>
      <c r="P99">
        <f>IF((gamma!P99),IF(VLOOKUP(P$1,main!$A$3:$H$102,7,FALSE)=VLOOKUP($A99,main!$A$3:$H$102,8,FALSE),VLOOKUP(P$1,main!$A$3:$H$102,4,FALSE),VLOOKUP(P$1,main!$A$3:$H$102,4,FALSE)+VLOOKUP($A99,main!$A$3:$H$102,4,FALSE)+(VLOOKUP(VLOOKUP(P$1,main!$A$3:$H$102,8,FALSE),main!$K$19:$O$22,MATCH(VLOOKUP($A99,main!$A$3:$H$102,7,FALSE),main!$K$18:$O$18,0),0))),0)</f>
        <v>0</v>
      </c>
      <c r="Q99">
        <f>IF((gamma!Q99),IF(VLOOKUP(Q$1,main!$A$3:$H$102,7,FALSE)=VLOOKUP($A99,main!$A$3:$H$102,8,FALSE),VLOOKUP(Q$1,main!$A$3:$H$102,4,FALSE),VLOOKUP(Q$1,main!$A$3:$H$102,4,FALSE)+VLOOKUP($A99,main!$A$3:$H$102,4,FALSE)+(VLOOKUP(VLOOKUP(Q$1,main!$A$3:$H$102,8,FALSE),main!$K$19:$O$22,MATCH(VLOOKUP($A99,main!$A$3:$H$102,7,FALSE),main!$K$18:$O$18,0),0))),0)</f>
        <v>243</v>
      </c>
      <c r="R99">
        <f>IF((gamma!R99),IF(VLOOKUP(R$1,main!$A$3:$H$102,7,FALSE)=VLOOKUP($A99,main!$A$3:$H$102,8,FALSE),VLOOKUP(R$1,main!$A$3:$H$102,4,FALSE),VLOOKUP(R$1,main!$A$3:$H$102,4,FALSE)+VLOOKUP($A99,main!$A$3:$H$102,4,FALSE)+(VLOOKUP(VLOOKUP(R$1,main!$A$3:$H$102,8,FALSE),main!$K$19:$O$22,MATCH(VLOOKUP($A99,main!$A$3:$H$102,7,FALSE),main!$K$18:$O$18,0),0))),0)</f>
        <v>243</v>
      </c>
      <c r="S99">
        <f>IF((gamma!S99),IF(VLOOKUP(S$1,main!$A$3:$H$102,7,FALSE)=VLOOKUP($A99,main!$A$3:$H$102,8,FALSE),VLOOKUP(S$1,main!$A$3:$H$102,4,FALSE),VLOOKUP(S$1,main!$A$3:$H$102,4,FALSE)+VLOOKUP($A99,main!$A$3:$H$102,4,FALSE)+(VLOOKUP(VLOOKUP(S$1,main!$A$3:$H$102,8,FALSE),main!$K$19:$O$22,MATCH(VLOOKUP($A99,main!$A$3:$H$102,7,FALSE),main!$K$18:$O$18,0),0))),0)</f>
        <v>243</v>
      </c>
      <c r="T99">
        <f>IF((gamma!T99),IF(VLOOKUP(T$1,main!$A$3:$H$102,7,FALSE)=VLOOKUP($A99,main!$A$3:$H$102,8,FALSE),VLOOKUP(T$1,main!$A$3:$H$102,4,FALSE),VLOOKUP(T$1,main!$A$3:$H$102,4,FALSE)+VLOOKUP($A99,main!$A$3:$H$102,4,FALSE)+(VLOOKUP(VLOOKUP(T$1,main!$A$3:$H$102,8,FALSE),main!$K$19:$O$22,MATCH(VLOOKUP($A99,main!$A$3:$H$102,7,FALSE),main!$K$18:$O$18,0),0))),0)</f>
        <v>243</v>
      </c>
      <c r="U99">
        <f>IF((gamma!U99),IF(VLOOKUP(U$1,main!$A$3:$H$102,7,FALSE)=VLOOKUP($A99,main!$A$3:$H$102,8,FALSE),VLOOKUP(U$1,main!$A$3:$H$102,4,FALSE),VLOOKUP(U$1,main!$A$3:$H$102,4,FALSE)+VLOOKUP($A99,main!$A$3:$H$102,4,FALSE)+(VLOOKUP(VLOOKUP(U$1,main!$A$3:$H$102,8,FALSE),main!$K$19:$O$22,MATCH(VLOOKUP($A99,main!$A$3:$H$102,7,FALSE),main!$K$18:$O$18,0),0))),0)</f>
        <v>243</v>
      </c>
      <c r="V99">
        <f>IF((gamma!V99),IF(VLOOKUP(V$1,main!$A$3:$H$102,7,FALSE)=VLOOKUP($A99,main!$A$3:$H$102,8,FALSE),VLOOKUP(V$1,main!$A$3:$H$102,4,FALSE),VLOOKUP(V$1,main!$A$3:$H$102,4,FALSE)+VLOOKUP($A99,main!$A$3:$H$102,4,FALSE)+(VLOOKUP(VLOOKUP(V$1,main!$A$3:$H$102,8,FALSE),main!$K$19:$O$22,MATCH(VLOOKUP($A99,main!$A$3:$H$102,7,FALSE),main!$K$18:$O$18,0),0))),0)</f>
        <v>243</v>
      </c>
      <c r="W99">
        <f>IF((gamma!W99),IF(VLOOKUP(W$1,main!$A$3:$H$102,7,FALSE)=VLOOKUP($A99,main!$A$3:$H$102,8,FALSE),VLOOKUP(W$1,main!$A$3:$H$102,4,FALSE),VLOOKUP(W$1,main!$A$3:$H$102,4,FALSE)+VLOOKUP($A99,main!$A$3:$H$102,4,FALSE)+(VLOOKUP(VLOOKUP(W$1,main!$A$3:$H$102,8,FALSE),main!$K$19:$O$22,MATCH(VLOOKUP($A99,main!$A$3:$H$102,7,FALSE),main!$K$18:$O$18,0),0))),0)</f>
        <v>0</v>
      </c>
      <c r="X99">
        <f>IF((gamma!X99),IF(VLOOKUP(X$1,main!$A$3:$H$102,7,FALSE)=VLOOKUP($A99,main!$A$3:$H$102,8,FALSE),VLOOKUP(X$1,main!$A$3:$H$102,4,FALSE),VLOOKUP(X$1,main!$A$3:$H$102,4,FALSE)+VLOOKUP($A99,main!$A$3:$H$102,4,FALSE)+(VLOOKUP(VLOOKUP(X$1,main!$A$3:$H$102,8,FALSE),main!$K$19:$O$22,MATCH(VLOOKUP($A99,main!$A$3:$H$102,7,FALSE),main!$K$18:$O$18,0),0))),0)</f>
        <v>0</v>
      </c>
      <c r="Y99">
        <f>IF((gamma!Y99),IF(VLOOKUP(Y$1,main!$A$3:$H$102,7,FALSE)=VLOOKUP($A99,main!$A$3:$H$102,8,FALSE),VLOOKUP(Y$1,main!$A$3:$H$102,4,FALSE),VLOOKUP(Y$1,main!$A$3:$H$102,4,FALSE)+VLOOKUP($A99,main!$A$3:$H$102,4,FALSE)+(VLOOKUP(VLOOKUP(Y$1,main!$A$3:$H$102,8,FALSE),main!$K$19:$O$22,MATCH(VLOOKUP($A99,main!$A$3:$H$102,7,FALSE),main!$K$18:$O$18,0),0))),0)</f>
        <v>205</v>
      </c>
      <c r="Z99">
        <f>IF((gamma!Z99),IF(VLOOKUP(Z$1,main!$A$3:$H$102,7,FALSE)=VLOOKUP($A99,main!$A$3:$H$102,8,FALSE),VLOOKUP(Z$1,main!$A$3:$H$102,4,FALSE),VLOOKUP(Z$1,main!$A$3:$H$102,4,FALSE)+VLOOKUP($A99,main!$A$3:$H$102,4,FALSE)+(VLOOKUP(VLOOKUP(Z$1,main!$A$3:$H$102,8,FALSE),main!$K$19:$O$22,MATCH(VLOOKUP($A99,main!$A$3:$H$102,7,FALSE),main!$K$18:$O$18,0),0))),0)</f>
        <v>210</v>
      </c>
      <c r="AA99">
        <f>IF((gamma!AA99),IF(VLOOKUP(AA$1,main!$A$3:$H$102,7,FALSE)=VLOOKUP($A99,main!$A$3:$H$102,8,FALSE),VLOOKUP(AA$1,main!$A$3:$H$102,4,FALSE),VLOOKUP(AA$1,main!$A$3:$H$102,4,FALSE)+VLOOKUP($A99,main!$A$3:$H$102,4,FALSE)+(VLOOKUP(VLOOKUP(AA$1,main!$A$3:$H$102,8,FALSE),main!$K$19:$O$22,MATCH(VLOOKUP($A99,main!$A$3:$H$102,7,FALSE),main!$K$18:$O$18,0),0))),0)</f>
        <v>210</v>
      </c>
      <c r="AB99">
        <f>IF((gamma!AB99),IF(VLOOKUP(AB$1,main!$A$3:$H$102,7,FALSE)=VLOOKUP($A99,main!$A$3:$H$102,8,FALSE),VLOOKUP(AB$1,main!$A$3:$H$102,4,FALSE),VLOOKUP(AB$1,main!$A$3:$H$102,4,FALSE)+VLOOKUP($A99,main!$A$3:$H$102,4,FALSE)+(VLOOKUP(VLOOKUP(AB$1,main!$A$3:$H$102,8,FALSE),main!$K$19:$O$22,MATCH(VLOOKUP($A99,main!$A$3:$H$102,7,FALSE),main!$K$18:$O$18,0),0))),0)</f>
        <v>0</v>
      </c>
      <c r="AC99">
        <f>IF((gamma!AC99),IF(VLOOKUP(AC$1,main!$A$3:$H$102,7,FALSE)=VLOOKUP($A99,main!$A$3:$H$102,8,FALSE),VLOOKUP(AC$1,main!$A$3:$H$102,4,FALSE),VLOOKUP(AC$1,main!$A$3:$H$102,4,FALSE)+VLOOKUP($A99,main!$A$3:$H$102,4,FALSE)+(VLOOKUP(VLOOKUP(AC$1,main!$A$3:$H$102,8,FALSE),main!$K$19:$O$22,MATCH(VLOOKUP($A99,main!$A$3:$H$102,7,FALSE),main!$K$18:$O$18,0),0))),0)</f>
        <v>0</v>
      </c>
      <c r="AD99">
        <f>IF((gamma!AD99),IF(VLOOKUP(AD$1,main!$A$3:$H$102,7,FALSE)=VLOOKUP($A99,main!$A$3:$H$102,8,FALSE),VLOOKUP(AD$1,main!$A$3:$H$102,4,FALSE),VLOOKUP(AD$1,main!$A$3:$H$102,4,FALSE)+VLOOKUP($A99,main!$A$3:$H$102,4,FALSE)+(VLOOKUP(VLOOKUP(AD$1,main!$A$3:$H$102,8,FALSE),main!$K$19:$O$22,MATCH(VLOOKUP($A99,main!$A$3:$H$102,7,FALSE),main!$K$18:$O$18,0),0))),0)</f>
        <v>205</v>
      </c>
      <c r="AE99">
        <f>IF((gamma!AE99),IF(VLOOKUP(AE$1,main!$A$3:$H$102,7,FALSE)=VLOOKUP($A99,main!$A$3:$H$102,8,FALSE),VLOOKUP(AE$1,main!$A$3:$H$102,4,FALSE),VLOOKUP(AE$1,main!$A$3:$H$102,4,FALSE)+VLOOKUP($A99,main!$A$3:$H$102,4,FALSE)+(VLOOKUP(VLOOKUP(AE$1,main!$A$3:$H$102,8,FALSE),main!$K$19:$O$22,MATCH(VLOOKUP($A99,main!$A$3:$H$102,7,FALSE),main!$K$18:$O$18,0),0))),0)</f>
        <v>210</v>
      </c>
      <c r="AF99">
        <f>IF((gamma!AF99),IF(VLOOKUP(AF$1,main!$A$3:$H$102,7,FALSE)=VLOOKUP($A99,main!$A$3:$H$102,8,FALSE),VLOOKUP(AF$1,main!$A$3:$H$102,4,FALSE),VLOOKUP(AF$1,main!$A$3:$H$102,4,FALSE)+VLOOKUP($A99,main!$A$3:$H$102,4,FALSE)+(VLOOKUP(VLOOKUP(AF$1,main!$A$3:$H$102,8,FALSE),main!$K$19:$O$22,MATCH(VLOOKUP($A99,main!$A$3:$H$102,7,FALSE),main!$K$18:$O$18,0),0))),0)</f>
        <v>170</v>
      </c>
      <c r="AG99">
        <f>IF((gamma!AG99),IF(VLOOKUP(AG$1,main!$A$3:$H$102,7,FALSE)=VLOOKUP($A99,main!$A$3:$H$102,8,FALSE),VLOOKUP(AG$1,main!$A$3:$H$102,4,FALSE),VLOOKUP(AG$1,main!$A$3:$H$102,4,FALSE)+VLOOKUP($A99,main!$A$3:$H$102,4,FALSE)+(VLOOKUP(VLOOKUP(AG$1,main!$A$3:$H$102,8,FALSE),main!$K$19:$O$22,MATCH(VLOOKUP($A99,main!$A$3:$H$102,7,FALSE),main!$K$18:$O$18,0),0))),0)</f>
        <v>0</v>
      </c>
      <c r="AH99">
        <f>IF((gamma!AH99),IF(VLOOKUP(AH$1,main!$A$3:$H$102,7,FALSE)=VLOOKUP($A99,main!$A$3:$H$102,8,FALSE),VLOOKUP(AH$1,main!$A$3:$H$102,4,FALSE),VLOOKUP(AH$1,main!$A$3:$H$102,4,FALSE)+VLOOKUP($A99,main!$A$3:$H$102,4,FALSE)+(VLOOKUP(VLOOKUP(AH$1,main!$A$3:$H$102,8,FALSE),main!$K$19:$O$22,MATCH(VLOOKUP($A99,main!$A$3:$H$102,7,FALSE),main!$K$18:$O$18,0),0))),0)</f>
        <v>0</v>
      </c>
      <c r="AI99">
        <f>IF((gamma!AI99),IF(VLOOKUP(AI$1,main!$A$3:$H$102,7,FALSE)=VLOOKUP($A99,main!$A$3:$H$102,8,FALSE),VLOOKUP(AI$1,main!$A$3:$H$102,4,FALSE),VLOOKUP(AI$1,main!$A$3:$H$102,4,FALSE)+VLOOKUP($A99,main!$A$3:$H$102,4,FALSE)+(VLOOKUP(VLOOKUP(AI$1,main!$A$3:$H$102,8,FALSE),main!$K$19:$O$22,MATCH(VLOOKUP($A99,main!$A$3:$H$102,7,FALSE),main!$K$18:$O$18,0),0))),0)</f>
        <v>240</v>
      </c>
      <c r="AJ99">
        <f>IF((gamma!AJ99),IF(VLOOKUP(AJ$1,main!$A$3:$H$102,7,FALSE)=VLOOKUP($A99,main!$A$3:$H$102,8,FALSE),VLOOKUP(AJ$1,main!$A$3:$H$102,4,FALSE),VLOOKUP(AJ$1,main!$A$3:$H$102,4,FALSE)+VLOOKUP($A99,main!$A$3:$H$102,4,FALSE)+(VLOOKUP(VLOOKUP(AJ$1,main!$A$3:$H$102,8,FALSE),main!$K$19:$O$22,MATCH(VLOOKUP($A99,main!$A$3:$H$102,7,FALSE),main!$K$18:$O$18,0),0))),0)</f>
        <v>240</v>
      </c>
      <c r="AK99">
        <f>IF((gamma!AK99),IF(VLOOKUP(AK$1,main!$A$3:$H$102,7,FALSE)=VLOOKUP($A99,main!$A$3:$H$102,8,FALSE),VLOOKUP(AK$1,main!$A$3:$H$102,4,FALSE),VLOOKUP(AK$1,main!$A$3:$H$102,4,FALSE)+VLOOKUP($A99,main!$A$3:$H$102,4,FALSE)+(VLOOKUP(VLOOKUP(AK$1,main!$A$3:$H$102,8,FALSE),main!$K$19:$O$22,MATCH(VLOOKUP($A99,main!$A$3:$H$102,7,FALSE),main!$K$18:$O$18,0),0))),0)</f>
        <v>240</v>
      </c>
      <c r="AL99">
        <f>IF((gamma!AL99),IF(VLOOKUP(AL$1,main!$A$3:$H$102,7,FALSE)=VLOOKUP($A99,main!$A$3:$H$102,8,FALSE),VLOOKUP(AL$1,main!$A$3:$H$102,4,FALSE),VLOOKUP(AL$1,main!$A$3:$H$102,4,FALSE)+VLOOKUP($A99,main!$A$3:$H$102,4,FALSE)+(VLOOKUP(VLOOKUP(AL$1,main!$A$3:$H$102,8,FALSE),main!$K$19:$O$22,MATCH(VLOOKUP($A99,main!$A$3:$H$102,7,FALSE),main!$K$18:$O$18,0),0))),0)</f>
        <v>240</v>
      </c>
      <c r="AM99">
        <f>IF((gamma!AM99),IF(VLOOKUP(AM$1,main!$A$3:$H$102,7,FALSE)=VLOOKUP($A99,main!$A$3:$H$102,8,FALSE),VLOOKUP(AM$1,main!$A$3:$H$102,4,FALSE),VLOOKUP(AM$1,main!$A$3:$H$102,4,FALSE)+VLOOKUP($A99,main!$A$3:$H$102,4,FALSE)+(VLOOKUP(VLOOKUP(AM$1,main!$A$3:$H$102,8,FALSE),main!$K$19:$O$22,MATCH(VLOOKUP($A99,main!$A$3:$H$102,7,FALSE),main!$K$18:$O$18,0),0))),0)</f>
        <v>240</v>
      </c>
      <c r="AN99">
        <f>IF((gamma!AN99),IF(VLOOKUP(AN$1,main!$A$3:$H$102,7,FALSE)=VLOOKUP($A99,main!$A$3:$H$102,8,FALSE),VLOOKUP(AN$1,main!$A$3:$H$102,4,FALSE),VLOOKUP(AN$1,main!$A$3:$H$102,4,FALSE)+VLOOKUP($A99,main!$A$3:$H$102,4,FALSE)+(VLOOKUP(VLOOKUP(AN$1,main!$A$3:$H$102,8,FALSE),main!$K$19:$O$22,MATCH(VLOOKUP($A99,main!$A$3:$H$102,7,FALSE),main!$K$18:$O$18,0),0))),0)</f>
        <v>240</v>
      </c>
      <c r="AO99">
        <f>IF((gamma!AO99),IF(VLOOKUP(AO$1,main!$A$3:$H$102,7,FALSE)=VLOOKUP($A99,main!$A$3:$H$102,8,FALSE),VLOOKUP(AO$1,main!$A$3:$H$102,4,FALSE),VLOOKUP(AO$1,main!$A$3:$H$102,4,FALSE)+VLOOKUP($A99,main!$A$3:$H$102,4,FALSE)+(VLOOKUP(VLOOKUP(AO$1,main!$A$3:$H$102,8,FALSE),main!$K$19:$O$22,MATCH(VLOOKUP($A99,main!$A$3:$H$102,7,FALSE),main!$K$18:$O$18,0),0))),0)</f>
        <v>0</v>
      </c>
      <c r="AP99">
        <f>IF((gamma!AP99),IF(VLOOKUP(AP$1,main!$A$3:$H$102,7,FALSE)=VLOOKUP($A99,main!$A$3:$H$102,8,FALSE),VLOOKUP(AP$1,main!$A$3:$H$102,4,FALSE),VLOOKUP(AP$1,main!$A$3:$H$102,4,FALSE)+VLOOKUP($A99,main!$A$3:$H$102,4,FALSE)+(VLOOKUP(VLOOKUP(AP$1,main!$A$3:$H$102,8,FALSE),main!$K$19:$O$22,MATCH(VLOOKUP($A99,main!$A$3:$H$102,7,FALSE),main!$K$18:$O$18,0),0))),0)</f>
        <v>180</v>
      </c>
      <c r="AQ99">
        <f>IF((gamma!AQ99),IF(VLOOKUP(AQ$1,main!$A$3:$H$102,7,FALSE)=VLOOKUP($A99,main!$A$3:$H$102,8,FALSE),VLOOKUP(AQ$1,main!$A$3:$H$102,4,FALSE),VLOOKUP(AQ$1,main!$A$3:$H$102,4,FALSE)+VLOOKUP($A99,main!$A$3:$H$102,4,FALSE)+(VLOOKUP(VLOOKUP(AQ$1,main!$A$3:$H$102,8,FALSE),main!$K$19:$O$22,MATCH(VLOOKUP($A99,main!$A$3:$H$102,7,FALSE),main!$K$18:$O$18,0),0))),0)</f>
        <v>0</v>
      </c>
      <c r="AR99">
        <f>IF((gamma!AR99),IF(VLOOKUP(AR$1,main!$A$3:$H$102,7,FALSE)=VLOOKUP($A99,main!$A$3:$H$102,8,FALSE),VLOOKUP(AR$1,main!$A$3:$H$102,4,FALSE),VLOOKUP(AR$1,main!$A$3:$H$102,4,FALSE)+VLOOKUP($A99,main!$A$3:$H$102,4,FALSE)+(VLOOKUP(VLOOKUP(AR$1,main!$A$3:$H$102,8,FALSE),main!$K$19:$O$22,MATCH(VLOOKUP($A99,main!$A$3:$H$102,7,FALSE),main!$K$18:$O$18,0),0))),0)</f>
        <v>0</v>
      </c>
      <c r="AS99">
        <f>IF((gamma!AS99),IF(VLOOKUP(AS$1,main!$A$3:$H$102,7,FALSE)=VLOOKUP($A99,main!$A$3:$H$102,8,FALSE),VLOOKUP(AS$1,main!$A$3:$H$102,4,FALSE),VLOOKUP(AS$1,main!$A$3:$H$102,4,FALSE)+VLOOKUP($A99,main!$A$3:$H$102,4,FALSE)+(VLOOKUP(VLOOKUP(AS$1,main!$A$3:$H$102,8,FALSE),main!$K$19:$O$22,MATCH(VLOOKUP($A99,main!$A$3:$H$102,7,FALSE),main!$K$18:$O$18,0),0))),0)</f>
        <v>223</v>
      </c>
      <c r="AT99">
        <f>IF((gamma!AT99),IF(VLOOKUP(AT$1,main!$A$3:$H$102,7,FALSE)=VLOOKUP($A99,main!$A$3:$H$102,8,FALSE),VLOOKUP(AT$1,main!$A$3:$H$102,4,FALSE),VLOOKUP(AT$1,main!$A$3:$H$102,4,FALSE)+VLOOKUP($A99,main!$A$3:$H$102,4,FALSE)+(VLOOKUP(VLOOKUP(AT$1,main!$A$3:$H$102,8,FALSE),main!$K$19:$O$22,MATCH(VLOOKUP($A99,main!$A$3:$H$102,7,FALSE),main!$K$18:$O$18,0),0))),0)</f>
        <v>233</v>
      </c>
      <c r="AU99">
        <f>IF((gamma!AU99),IF(VLOOKUP(AU$1,main!$A$3:$H$102,7,FALSE)=VLOOKUP($A99,main!$A$3:$H$102,8,FALSE),VLOOKUP(AU$1,main!$A$3:$H$102,4,FALSE),VLOOKUP(AU$1,main!$A$3:$H$102,4,FALSE)+VLOOKUP($A99,main!$A$3:$H$102,4,FALSE)+(VLOOKUP(VLOOKUP(AU$1,main!$A$3:$H$102,8,FALSE),main!$K$19:$O$22,MATCH(VLOOKUP($A99,main!$A$3:$H$102,7,FALSE),main!$K$18:$O$18,0),0))),0)</f>
        <v>0</v>
      </c>
      <c r="AV99">
        <f>IF((gamma!AV99),IF(VLOOKUP(AV$1,main!$A$3:$H$102,7,FALSE)=VLOOKUP($A99,main!$A$3:$H$102,8,FALSE),VLOOKUP(AV$1,main!$A$3:$H$102,4,FALSE),VLOOKUP(AV$1,main!$A$3:$H$102,4,FALSE)+VLOOKUP($A99,main!$A$3:$H$102,4,FALSE)+(VLOOKUP(VLOOKUP(AV$1,main!$A$3:$H$102,8,FALSE),main!$K$19:$O$22,MATCH(VLOOKUP($A99,main!$A$3:$H$102,7,FALSE),main!$K$18:$O$18,0),0))),0)</f>
        <v>0</v>
      </c>
      <c r="AW99">
        <f>IF((gamma!AW99),IF(VLOOKUP(AW$1,main!$A$3:$H$102,7,FALSE)=VLOOKUP($A99,main!$A$3:$H$102,8,FALSE),VLOOKUP(AW$1,main!$A$3:$H$102,4,FALSE),VLOOKUP(AW$1,main!$A$3:$H$102,4,FALSE)+VLOOKUP($A99,main!$A$3:$H$102,4,FALSE)+(VLOOKUP(VLOOKUP(AW$1,main!$A$3:$H$102,8,FALSE),main!$K$19:$O$22,MATCH(VLOOKUP($A99,main!$A$3:$H$102,7,FALSE),main!$K$18:$O$18,0),0))),0)</f>
        <v>223</v>
      </c>
      <c r="AX99">
        <f>IF((gamma!AX99),IF(VLOOKUP(AX$1,main!$A$3:$H$102,7,FALSE)=VLOOKUP($A99,main!$A$3:$H$102,8,FALSE),VLOOKUP(AX$1,main!$A$3:$H$102,4,FALSE),VLOOKUP(AX$1,main!$A$3:$H$102,4,FALSE)+VLOOKUP($A99,main!$A$3:$H$102,4,FALSE)+(VLOOKUP(VLOOKUP(AX$1,main!$A$3:$H$102,8,FALSE),main!$K$19:$O$22,MATCH(VLOOKUP($A99,main!$A$3:$H$102,7,FALSE),main!$K$18:$O$18,0),0))),0)</f>
        <v>208</v>
      </c>
      <c r="AY99">
        <f>IF((gamma!AY99),IF(VLOOKUP(AY$1,main!$A$3:$H$102,7,FALSE)=VLOOKUP($A99,main!$A$3:$H$102,8,FALSE),VLOOKUP(AY$1,main!$A$3:$H$102,4,FALSE),VLOOKUP(AY$1,main!$A$3:$H$102,4,FALSE)+VLOOKUP($A99,main!$A$3:$H$102,4,FALSE)+(VLOOKUP(VLOOKUP(AY$1,main!$A$3:$H$102,8,FALSE),main!$K$19:$O$22,MATCH(VLOOKUP($A99,main!$A$3:$H$102,7,FALSE),main!$K$18:$O$18,0),0))),0)</f>
        <v>0</v>
      </c>
      <c r="AZ99">
        <f>IF((gamma!AZ99),IF(VLOOKUP(AZ$1,main!$A$3:$H$102,7,FALSE)=VLOOKUP($A99,main!$A$3:$H$102,8,FALSE),VLOOKUP(AZ$1,main!$A$3:$H$102,4,FALSE),VLOOKUP(AZ$1,main!$A$3:$H$102,4,FALSE)+VLOOKUP($A99,main!$A$3:$H$102,4,FALSE)+(VLOOKUP(VLOOKUP(AZ$1,main!$A$3:$H$102,8,FALSE),main!$K$19:$O$22,MATCH(VLOOKUP($A99,main!$A$3:$H$102,7,FALSE),main!$K$18:$O$18,0),0))),0)</f>
        <v>238</v>
      </c>
      <c r="BA99">
        <f>IF((gamma!BA99),IF(VLOOKUP(BA$1,main!$A$3:$H$102,7,FALSE)=VLOOKUP($A99,main!$A$3:$H$102,8,FALSE),VLOOKUP(BA$1,main!$A$3:$H$102,4,FALSE),VLOOKUP(BA$1,main!$A$3:$H$102,4,FALSE)+VLOOKUP($A99,main!$A$3:$H$102,4,FALSE)+(VLOOKUP(VLOOKUP(BA$1,main!$A$3:$H$102,8,FALSE),main!$K$19:$O$22,MATCH(VLOOKUP($A99,main!$A$3:$H$102,7,FALSE),main!$K$18:$O$18,0),0))),0)</f>
        <v>0</v>
      </c>
      <c r="BB99">
        <f>IF((gamma!BB99),IF(VLOOKUP(BB$1,main!$A$3:$H$102,7,FALSE)=VLOOKUP($A99,main!$A$3:$H$102,8,FALSE),VLOOKUP(BB$1,main!$A$3:$H$102,4,FALSE),VLOOKUP(BB$1,main!$A$3:$H$102,4,FALSE)+VLOOKUP($A99,main!$A$3:$H$102,4,FALSE)+(VLOOKUP(VLOOKUP(BB$1,main!$A$3:$H$102,8,FALSE),main!$K$19:$O$22,MATCH(VLOOKUP($A99,main!$A$3:$H$102,7,FALSE),main!$K$18:$O$18,0),0))),0)</f>
        <v>140</v>
      </c>
      <c r="BC99">
        <f>IF((gamma!BC99),IF(VLOOKUP(BC$1,main!$A$3:$H$102,7,FALSE)=VLOOKUP($A99,main!$A$3:$H$102,8,FALSE),VLOOKUP(BC$1,main!$A$3:$H$102,4,FALSE),VLOOKUP(BC$1,main!$A$3:$H$102,4,FALSE)+VLOOKUP($A99,main!$A$3:$H$102,4,FALSE)+(VLOOKUP(VLOOKUP(BC$1,main!$A$3:$H$102,8,FALSE),main!$K$19:$O$22,MATCH(VLOOKUP($A99,main!$A$3:$H$102,7,FALSE),main!$K$18:$O$18,0),0))),0)</f>
        <v>140</v>
      </c>
      <c r="BD99">
        <f>IF((gamma!BD99),IF(VLOOKUP(BD$1,main!$A$3:$H$102,7,FALSE)=VLOOKUP($A99,main!$A$3:$H$102,8,FALSE),VLOOKUP(BD$1,main!$A$3:$H$102,4,FALSE),VLOOKUP(BD$1,main!$A$3:$H$102,4,FALSE)+VLOOKUP($A99,main!$A$3:$H$102,4,FALSE)+(VLOOKUP(VLOOKUP(BD$1,main!$A$3:$H$102,8,FALSE),main!$K$19:$O$22,MATCH(VLOOKUP($A99,main!$A$3:$H$102,7,FALSE),main!$K$18:$O$18,0),0))),0)</f>
        <v>140</v>
      </c>
      <c r="BE99">
        <f>IF((gamma!BE99),IF(VLOOKUP(BE$1,main!$A$3:$H$102,7,FALSE)=VLOOKUP($A99,main!$A$3:$H$102,8,FALSE),VLOOKUP(BE$1,main!$A$3:$H$102,4,FALSE),VLOOKUP(BE$1,main!$A$3:$H$102,4,FALSE)+VLOOKUP($A99,main!$A$3:$H$102,4,FALSE)+(VLOOKUP(VLOOKUP(BE$1,main!$A$3:$H$102,8,FALSE),main!$K$19:$O$22,MATCH(VLOOKUP($A99,main!$A$3:$H$102,7,FALSE),main!$K$18:$O$18,0),0))),0)</f>
        <v>140</v>
      </c>
      <c r="BF99">
        <f>IF((gamma!BF99),IF(VLOOKUP(BF$1,main!$A$3:$H$102,7,FALSE)=VLOOKUP($A99,main!$A$3:$H$102,8,FALSE),VLOOKUP(BF$1,main!$A$3:$H$102,4,FALSE),VLOOKUP(BF$1,main!$A$3:$H$102,4,FALSE)+VLOOKUP($A99,main!$A$3:$H$102,4,FALSE)+(VLOOKUP(VLOOKUP(BF$1,main!$A$3:$H$102,8,FALSE),main!$K$19:$O$22,MATCH(VLOOKUP($A99,main!$A$3:$H$102,7,FALSE),main!$K$18:$O$18,0),0))),0)</f>
        <v>0</v>
      </c>
      <c r="BG99">
        <f>IF((gamma!BG99),IF(VLOOKUP(BG$1,main!$A$3:$H$102,7,FALSE)=VLOOKUP($A99,main!$A$3:$H$102,8,FALSE),VLOOKUP(BG$1,main!$A$3:$H$102,4,FALSE),VLOOKUP(BG$1,main!$A$3:$H$102,4,FALSE)+VLOOKUP($A99,main!$A$3:$H$102,4,FALSE)+(VLOOKUP(VLOOKUP(BG$1,main!$A$3:$H$102,8,FALSE),main!$K$19:$O$22,MATCH(VLOOKUP($A99,main!$A$3:$H$102,7,FALSE),main!$K$18:$O$18,0),0))),0)</f>
        <v>0</v>
      </c>
      <c r="BH99">
        <f>IF((gamma!BH99),IF(VLOOKUP(BH$1,main!$A$3:$H$102,7,FALSE)=VLOOKUP($A99,main!$A$3:$H$102,8,FALSE),VLOOKUP(BH$1,main!$A$3:$H$102,4,FALSE),VLOOKUP(BH$1,main!$A$3:$H$102,4,FALSE)+VLOOKUP($A99,main!$A$3:$H$102,4,FALSE)+(VLOOKUP(VLOOKUP(BH$1,main!$A$3:$H$102,8,FALSE),main!$K$19:$O$22,MATCH(VLOOKUP($A99,main!$A$3:$H$102,7,FALSE),main!$K$18:$O$18,0),0))),0)</f>
        <v>125</v>
      </c>
      <c r="BI99">
        <f>IF((gamma!BI99),IF(VLOOKUP(BI$1,main!$A$3:$H$102,7,FALSE)=VLOOKUP($A99,main!$A$3:$H$102,8,FALSE),VLOOKUP(BI$1,main!$A$3:$H$102,4,FALSE),VLOOKUP(BI$1,main!$A$3:$H$102,4,FALSE)+VLOOKUP($A99,main!$A$3:$H$102,4,FALSE)+(VLOOKUP(VLOOKUP(BI$1,main!$A$3:$H$102,8,FALSE),main!$K$19:$O$22,MATCH(VLOOKUP($A99,main!$A$3:$H$102,7,FALSE),main!$K$18:$O$18,0),0))),0)</f>
        <v>60</v>
      </c>
      <c r="BJ99">
        <f>IF((gamma!BJ99),IF(VLOOKUP(BJ$1,main!$A$3:$H$102,7,FALSE)=VLOOKUP($A99,main!$A$3:$H$102,8,FALSE),VLOOKUP(BJ$1,main!$A$3:$H$102,4,FALSE),VLOOKUP(BJ$1,main!$A$3:$H$102,4,FALSE)+VLOOKUP($A99,main!$A$3:$H$102,4,FALSE)+(VLOOKUP(VLOOKUP(BJ$1,main!$A$3:$H$102,8,FALSE),main!$K$19:$O$22,MATCH(VLOOKUP($A99,main!$A$3:$H$102,7,FALSE),main!$K$18:$O$18,0),0))),0)</f>
        <v>90</v>
      </c>
      <c r="BK99">
        <f>IF((gamma!BK99),IF(VLOOKUP(BK$1,main!$A$3:$H$102,7,FALSE)=VLOOKUP($A99,main!$A$3:$H$102,8,FALSE),VLOOKUP(BK$1,main!$A$3:$H$102,4,FALSE),VLOOKUP(BK$1,main!$A$3:$H$102,4,FALSE)+VLOOKUP($A99,main!$A$3:$H$102,4,FALSE)+(VLOOKUP(VLOOKUP(BK$1,main!$A$3:$H$102,8,FALSE),main!$K$19:$O$22,MATCH(VLOOKUP($A99,main!$A$3:$H$102,7,FALSE),main!$K$18:$O$18,0),0))),0)</f>
        <v>0</v>
      </c>
      <c r="BL99">
        <f>IF((gamma!BL99),IF(VLOOKUP(BL$1,main!$A$3:$H$102,7,FALSE)=VLOOKUP($A99,main!$A$3:$H$102,8,FALSE),VLOOKUP(BL$1,main!$A$3:$H$102,4,FALSE),VLOOKUP(BL$1,main!$A$3:$H$102,4,FALSE)+VLOOKUP($A99,main!$A$3:$H$102,4,FALSE)+(VLOOKUP(VLOOKUP(BL$1,main!$A$3:$H$102,8,FALSE),main!$K$19:$O$22,MATCH(VLOOKUP($A99,main!$A$3:$H$102,7,FALSE),main!$K$18:$O$18,0),0))),0)</f>
        <v>0</v>
      </c>
      <c r="BM99">
        <f>IF((gamma!BM99),IF(VLOOKUP(BM$1,main!$A$3:$H$102,7,FALSE)=VLOOKUP($A99,main!$A$3:$H$102,8,FALSE),VLOOKUP(BM$1,main!$A$3:$H$102,4,FALSE),VLOOKUP(BM$1,main!$A$3:$H$102,4,FALSE)+VLOOKUP($A99,main!$A$3:$H$102,4,FALSE)+(VLOOKUP(VLOOKUP(BM$1,main!$A$3:$H$102,8,FALSE),main!$K$19:$O$22,MATCH(VLOOKUP($A99,main!$A$3:$H$102,7,FALSE),main!$K$18:$O$18,0),0))),0)</f>
        <v>0</v>
      </c>
      <c r="BN99">
        <f>IF((gamma!BN99),IF(VLOOKUP(BN$1,main!$A$3:$H$102,7,FALSE)=VLOOKUP($A99,main!$A$3:$H$102,8,FALSE),VLOOKUP(BN$1,main!$A$3:$H$102,4,FALSE),VLOOKUP(BN$1,main!$A$3:$H$102,4,FALSE)+VLOOKUP($A99,main!$A$3:$H$102,4,FALSE)+(VLOOKUP(VLOOKUP(BN$1,main!$A$3:$H$102,8,FALSE),main!$K$19:$O$22,MATCH(VLOOKUP($A99,main!$A$3:$H$102,7,FALSE),main!$K$18:$O$18,0),0))),0)</f>
        <v>120</v>
      </c>
      <c r="BO99">
        <f>IF((gamma!BO99),IF(VLOOKUP(BO$1,main!$A$3:$H$102,7,FALSE)=VLOOKUP($A99,main!$A$3:$H$102,8,FALSE),VLOOKUP(BO$1,main!$A$3:$H$102,4,FALSE),VLOOKUP(BO$1,main!$A$3:$H$102,4,FALSE)+VLOOKUP($A99,main!$A$3:$H$102,4,FALSE)+(VLOOKUP(VLOOKUP(BO$1,main!$A$3:$H$102,8,FALSE),main!$K$19:$O$22,MATCH(VLOOKUP($A99,main!$A$3:$H$102,7,FALSE),main!$K$18:$O$18,0),0))),0)</f>
        <v>0</v>
      </c>
      <c r="BP99">
        <f>IF((gamma!BP99),IF(VLOOKUP(BP$1,main!$A$3:$H$102,7,FALSE)=VLOOKUP($A99,main!$A$3:$H$102,8,FALSE),VLOOKUP(BP$1,main!$A$3:$H$102,4,FALSE),VLOOKUP(BP$1,main!$A$3:$H$102,4,FALSE)+VLOOKUP($A99,main!$A$3:$H$102,4,FALSE)+(VLOOKUP(VLOOKUP(BP$1,main!$A$3:$H$102,8,FALSE),main!$K$19:$O$22,MATCH(VLOOKUP($A99,main!$A$3:$H$102,7,FALSE),main!$K$18:$O$18,0),0))),0)</f>
        <v>0</v>
      </c>
      <c r="BQ99">
        <f>IF((gamma!BQ99),IF(VLOOKUP(BQ$1,main!$A$3:$H$102,7,FALSE)=VLOOKUP($A99,main!$A$3:$H$102,8,FALSE),VLOOKUP(BQ$1,main!$A$3:$H$102,4,FALSE),VLOOKUP(BQ$1,main!$A$3:$H$102,4,FALSE)+VLOOKUP($A99,main!$A$3:$H$102,4,FALSE)+(VLOOKUP(VLOOKUP(BQ$1,main!$A$3:$H$102,8,FALSE),main!$K$19:$O$22,MATCH(VLOOKUP($A99,main!$A$3:$H$102,7,FALSE),main!$K$18:$O$18,0),0))),0)</f>
        <v>140</v>
      </c>
      <c r="BR99">
        <f>IF((gamma!BR99),IF(VLOOKUP(BR$1,main!$A$3:$H$102,7,FALSE)=VLOOKUP($A99,main!$A$3:$H$102,8,FALSE),VLOOKUP(BR$1,main!$A$3:$H$102,4,FALSE),VLOOKUP(BR$1,main!$A$3:$H$102,4,FALSE)+VLOOKUP($A99,main!$A$3:$H$102,4,FALSE)+(VLOOKUP(VLOOKUP(BR$1,main!$A$3:$H$102,8,FALSE),main!$K$19:$O$22,MATCH(VLOOKUP($A99,main!$A$3:$H$102,7,FALSE),main!$K$18:$O$18,0),0))),0)</f>
        <v>100</v>
      </c>
      <c r="BS99">
        <f>IF((gamma!BS99),IF(VLOOKUP(BS$1,main!$A$3:$H$102,7,FALSE)=VLOOKUP($A99,main!$A$3:$H$102,8,FALSE),VLOOKUP(BS$1,main!$A$3:$H$102,4,FALSE),VLOOKUP(BS$1,main!$A$3:$H$102,4,FALSE)+VLOOKUP($A99,main!$A$3:$H$102,4,FALSE)+(VLOOKUP(VLOOKUP(BS$1,main!$A$3:$H$102,8,FALSE),main!$K$19:$O$22,MATCH(VLOOKUP($A99,main!$A$3:$H$102,7,FALSE),main!$K$18:$O$18,0),0))),0)</f>
        <v>101</v>
      </c>
      <c r="BT99">
        <f>IF((gamma!BT99),IF(VLOOKUP(BT$1,main!$A$3:$H$102,7,FALSE)=VLOOKUP($A99,main!$A$3:$H$102,8,FALSE),VLOOKUP(BT$1,main!$A$3:$H$102,4,FALSE),VLOOKUP(BT$1,main!$A$3:$H$102,4,FALSE)+VLOOKUP($A99,main!$A$3:$H$102,4,FALSE)+(VLOOKUP(VLOOKUP(BT$1,main!$A$3:$H$102,8,FALSE),main!$K$19:$O$22,MATCH(VLOOKUP($A99,main!$A$3:$H$102,7,FALSE),main!$K$18:$O$18,0),0))),0)</f>
        <v>120</v>
      </c>
      <c r="BU99">
        <f>IF((gamma!BU99),IF(VLOOKUP(BU$1,main!$A$3:$H$102,7,FALSE)=VLOOKUP($A99,main!$A$3:$H$102,8,FALSE),VLOOKUP(BU$1,main!$A$3:$H$102,4,FALSE),VLOOKUP(BU$1,main!$A$3:$H$102,4,FALSE)+VLOOKUP($A99,main!$A$3:$H$102,4,FALSE)+(VLOOKUP(VLOOKUP(BU$1,main!$A$3:$H$102,8,FALSE),main!$K$19:$O$22,MATCH(VLOOKUP($A99,main!$A$3:$H$102,7,FALSE),main!$K$18:$O$18,0),0))),0)</f>
        <v>0</v>
      </c>
      <c r="BV99">
        <f>IF((gamma!BV99),IF(VLOOKUP(BV$1,main!$A$3:$H$102,7,FALSE)=VLOOKUP($A99,main!$A$3:$H$102,8,FALSE),VLOOKUP(BV$1,main!$A$3:$H$102,4,FALSE),VLOOKUP(BV$1,main!$A$3:$H$102,4,FALSE)+VLOOKUP($A99,main!$A$3:$H$102,4,FALSE)+(VLOOKUP(VLOOKUP(BV$1,main!$A$3:$H$102,8,FALSE),main!$K$19:$O$22,MATCH(VLOOKUP($A99,main!$A$3:$H$102,7,FALSE),main!$K$18:$O$18,0),0))),0)</f>
        <v>0</v>
      </c>
      <c r="BW99">
        <f>IF((gamma!BW99),IF(VLOOKUP(BW$1,main!$A$3:$H$102,7,FALSE)=VLOOKUP($A99,main!$A$3:$H$102,8,FALSE),VLOOKUP(BW$1,main!$A$3:$H$102,4,FALSE),VLOOKUP(BW$1,main!$A$3:$H$102,4,FALSE)+VLOOKUP($A99,main!$A$3:$H$102,4,FALSE)+(VLOOKUP(VLOOKUP(BW$1,main!$A$3:$H$102,8,FALSE),main!$K$19:$O$22,MATCH(VLOOKUP($A99,main!$A$3:$H$102,7,FALSE),main!$K$18:$O$18,0),0))),0)</f>
        <v>0</v>
      </c>
      <c r="BX99">
        <f>IF((gamma!BX99),IF(VLOOKUP(BX$1,main!$A$3:$H$102,7,FALSE)=VLOOKUP($A99,main!$A$3:$H$102,8,FALSE),VLOOKUP(BX$1,main!$A$3:$H$102,4,FALSE),VLOOKUP(BX$1,main!$A$3:$H$102,4,FALSE)+VLOOKUP($A99,main!$A$3:$H$102,4,FALSE)+(VLOOKUP(VLOOKUP(BX$1,main!$A$3:$H$102,8,FALSE),main!$K$19:$O$22,MATCH(VLOOKUP($A99,main!$A$3:$H$102,7,FALSE),main!$K$18:$O$18,0),0))),0)</f>
        <v>135</v>
      </c>
      <c r="BY99">
        <f>IF((gamma!BY99),IF(VLOOKUP(BY$1,main!$A$3:$H$102,7,FALSE)=VLOOKUP($A99,main!$A$3:$H$102,8,FALSE),VLOOKUP(BY$1,main!$A$3:$H$102,4,FALSE),VLOOKUP(BY$1,main!$A$3:$H$102,4,FALSE)+VLOOKUP($A99,main!$A$3:$H$102,4,FALSE)+(VLOOKUP(VLOOKUP(BY$1,main!$A$3:$H$102,8,FALSE),main!$K$19:$O$22,MATCH(VLOOKUP($A99,main!$A$3:$H$102,7,FALSE),main!$K$18:$O$18,0),0))),0)</f>
        <v>120</v>
      </c>
      <c r="BZ99">
        <f>IF((gamma!BZ99),IF(VLOOKUP(BZ$1,main!$A$3:$H$102,7,FALSE)=VLOOKUP($A99,main!$A$3:$H$102,8,FALSE),VLOOKUP(BZ$1,main!$A$3:$H$102,4,FALSE),VLOOKUP(BZ$1,main!$A$3:$H$102,4,FALSE)+VLOOKUP($A99,main!$A$3:$H$102,4,FALSE)+(VLOOKUP(VLOOKUP(BZ$1,main!$A$3:$H$102,8,FALSE),main!$K$19:$O$22,MATCH(VLOOKUP($A99,main!$A$3:$H$102,7,FALSE),main!$K$18:$O$18,0),0))),0)</f>
        <v>0</v>
      </c>
      <c r="CA99">
        <f>IF((gamma!CA99),IF(VLOOKUP(CA$1,main!$A$3:$H$102,7,FALSE)=VLOOKUP($A99,main!$A$3:$H$102,8,FALSE),VLOOKUP(CA$1,main!$A$3:$H$102,4,FALSE),VLOOKUP(CA$1,main!$A$3:$H$102,4,FALSE)+VLOOKUP($A99,main!$A$3:$H$102,4,FALSE)+(VLOOKUP(VLOOKUP(CA$1,main!$A$3:$H$102,8,FALSE),main!$K$19:$O$22,MATCH(VLOOKUP($A99,main!$A$3:$H$102,7,FALSE),main!$K$18:$O$18,0),0))),0)</f>
        <v>0</v>
      </c>
      <c r="CB99">
        <f>IF((gamma!CB99),IF(VLOOKUP(CB$1,main!$A$3:$H$102,7,FALSE)=VLOOKUP($A99,main!$A$3:$H$102,8,FALSE),VLOOKUP(CB$1,main!$A$3:$H$102,4,FALSE),VLOOKUP(CB$1,main!$A$3:$H$102,4,FALSE)+VLOOKUP($A99,main!$A$3:$H$102,4,FALSE)+(VLOOKUP(VLOOKUP(CB$1,main!$A$3:$H$102,8,FALSE),main!$K$19:$O$22,MATCH(VLOOKUP($A99,main!$A$3:$H$102,7,FALSE),main!$K$18:$O$18,0),0))),0)</f>
        <v>65</v>
      </c>
      <c r="CC99">
        <f>IF((gamma!CC99),IF(VLOOKUP(CC$1,main!$A$3:$H$102,7,FALSE)=VLOOKUP($A99,main!$A$3:$H$102,8,FALSE),VLOOKUP(CC$1,main!$A$3:$H$102,4,FALSE),VLOOKUP(CC$1,main!$A$3:$H$102,4,FALSE)+VLOOKUP($A99,main!$A$3:$H$102,4,FALSE)+(VLOOKUP(VLOOKUP(CC$1,main!$A$3:$H$102,8,FALSE),main!$K$19:$O$22,MATCH(VLOOKUP($A99,main!$A$3:$H$102,7,FALSE),main!$K$18:$O$18,0),0))),0)</f>
        <v>55</v>
      </c>
      <c r="CD99">
        <f>IF((gamma!CD99),IF(VLOOKUP(CD$1,main!$A$3:$H$102,7,FALSE)=VLOOKUP($A99,main!$A$3:$H$102,8,FALSE),VLOOKUP(CD$1,main!$A$3:$H$102,4,FALSE),VLOOKUP(CD$1,main!$A$3:$H$102,4,FALSE)+VLOOKUP($A99,main!$A$3:$H$102,4,FALSE)+(VLOOKUP(VLOOKUP(CD$1,main!$A$3:$H$102,8,FALSE),main!$K$19:$O$22,MATCH(VLOOKUP($A99,main!$A$3:$H$102,7,FALSE),main!$K$18:$O$18,0),0))),0)</f>
        <v>114</v>
      </c>
      <c r="CE99">
        <f>IF((gamma!CE99),IF(VLOOKUP(CE$1,main!$A$3:$H$102,7,FALSE)=VLOOKUP($A99,main!$A$3:$H$102,8,FALSE),VLOOKUP(CE$1,main!$A$3:$H$102,4,FALSE),VLOOKUP(CE$1,main!$A$3:$H$102,4,FALSE)+VLOOKUP($A99,main!$A$3:$H$102,4,FALSE)+(VLOOKUP(VLOOKUP(CE$1,main!$A$3:$H$102,8,FALSE),main!$K$19:$O$22,MATCH(VLOOKUP($A99,main!$A$3:$H$102,7,FALSE),main!$K$18:$O$18,0),0))),0)</f>
        <v>245</v>
      </c>
      <c r="CF99">
        <f>IF((gamma!CF99),IF(VLOOKUP(CF$1,main!$A$3:$H$102,7,FALSE)=VLOOKUP($A99,main!$A$3:$H$102,8,FALSE),VLOOKUP(CF$1,main!$A$3:$H$102,4,FALSE),VLOOKUP(CF$1,main!$A$3:$H$102,4,FALSE)+VLOOKUP($A99,main!$A$3:$H$102,4,FALSE)+(VLOOKUP(VLOOKUP(CF$1,main!$A$3:$H$102,8,FALSE),main!$K$19:$O$22,MATCH(VLOOKUP($A99,main!$A$3:$H$102,7,FALSE),main!$K$18:$O$18,0),0))),0)</f>
        <v>240</v>
      </c>
      <c r="CG99">
        <f>IF((gamma!CG99),IF(VLOOKUP(CG$1,main!$A$3:$H$102,7,FALSE)=VLOOKUP($A99,main!$A$3:$H$102,8,FALSE),VLOOKUP(CG$1,main!$A$3:$H$102,4,FALSE),VLOOKUP(CG$1,main!$A$3:$H$102,4,FALSE)+VLOOKUP($A99,main!$A$3:$H$102,4,FALSE)+(VLOOKUP(VLOOKUP(CG$1,main!$A$3:$H$102,8,FALSE),main!$K$19:$O$22,MATCH(VLOOKUP($A99,main!$A$3:$H$102,7,FALSE),main!$K$18:$O$18,0),0))),0)</f>
        <v>245</v>
      </c>
      <c r="CH99">
        <f>IF((gamma!CH99),IF(VLOOKUP(CH$1,main!$A$3:$H$102,7,FALSE)=VLOOKUP($A99,main!$A$3:$H$102,8,FALSE),VLOOKUP(CH$1,main!$A$3:$H$102,4,FALSE),VLOOKUP(CH$1,main!$A$3:$H$102,4,FALSE)+VLOOKUP($A99,main!$A$3:$H$102,4,FALSE)+(VLOOKUP(VLOOKUP(CH$1,main!$A$3:$H$102,8,FALSE),main!$K$19:$O$22,MATCH(VLOOKUP($A99,main!$A$3:$H$102,7,FALSE),main!$K$18:$O$18,0),0))),0)</f>
        <v>245</v>
      </c>
      <c r="CI99">
        <f>IF((gamma!CI99),IF(VLOOKUP(CI$1,main!$A$3:$H$102,7,FALSE)=VLOOKUP($A99,main!$A$3:$H$102,8,FALSE),VLOOKUP(CI$1,main!$A$3:$H$102,4,FALSE),VLOOKUP(CI$1,main!$A$3:$H$102,4,FALSE)+VLOOKUP($A99,main!$A$3:$H$102,4,FALSE)+(VLOOKUP(VLOOKUP(CI$1,main!$A$3:$H$102,8,FALSE),main!$K$19:$O$22,MATCH(VLOOKUP($A99,main!$A$3:$H$102,7,FALSE),main!$K$18:$O$18,0),0))),0)</f>
        <v>245</v>
      </c>
      <c r="CJ99">
        <f>IF((gamma!CJ99),IF(VLOOKUP(CJ$1,main!$A$3:$H$102,7,FALSE)=VLOOKUP($A99,main!$A$3:$H$102,8,FALSE),VLOOKUP(CJ$1,main!$A$3:$H$102,4,FALSE),VLOOKUP(CJ$1,main!$A$3:$H$102,4,FALSE)+VLOOKUP($A99,main!$A$3:$H$102,4,FALSE)+(VLOOKUP(VLOOKUP(CJ$1,main!$A$3:$H$102,8,FALSE),main!$K$19:$O$22,MATCH(VLOOKUP($A99,main!$A$3:$H$102,7,FALSE),main!$K$18:$O$18,0),0))),0)</f>
        <v>173</v>
      </c>
      <c r="CK99">
        <f>IF((gamma!CK99),IF(VLOOKUP(CK$1,main!$A$3:$H$102,7,FALSE)=VLOOKUP($A99,main!$A$3:$H$102,8,FALSE),VLOOKUP(CK$1,main!$A$3:$H$102,4,FALSE),VLOOKUP(CK$1,main!$A$3:$H$102,4,FALSE)+VLOOKUP($A99,main!$A$3:$H$102,4,FALSE)+(VLOOKUP(VLOOKUP(CK$1,main!$A$3:$H$102,8,FALSE),main!$K$19:$O$22,MATCH(VLOOKUP($A99,main!$A$3:$H$102,7,FALSE),main!$K$18:$O$18,0),0))),0)</f>
        <v>0</v>
      </c>
      <c r="CL99">
        <f>IF((gamma!CL99),IF(VLOOKUP(CL$1,main!$A$3:$H$102,7,FALSE)=VLOOKUP($A99,main!$A$3:$H$102,8,FALSE),VLOOKUP(CL$1,main!$A$3:$H$102,4,FALSE),VLOOKUP(CL$1,main!$A$3:$H$102,4,FALSE)+VLOOKUP($A99,main!$A$3:$H$102,4,FALSE)+(VLOOKUP(VLOOKUP(CL$1,main!$A$3:$H$102,8,FALSE),main!$K$19:$O$22,MATCH(VLOOKUP($A99,main!$A$3:$H$102,7,FALSE),main!$K$18:$O$18,0),0))),0)</f>
        <v>185</v>
      </c>
      <c r="CM99">
        <f>IF((gamma!CM99),IF(VLOOKUP(CM$1,main!$A$3:$H$102,7,FALSE)=VLOOKUP($A99,main!$A$3:$H$102,8,FALSE),VLOOKUP(CM$1,main!$A$3:$H$102,4,FALSE),VLOOKUP(CM$1,main!$A$3:$H$102,4,FALSE)+VLOOKUP($A99,main!$A$3:$H$102,4,FALSE)+(VLOOKUP(VLOOKUP(CM$1,main!$A$3:$H$102,8,FALSE),main!$K$19:$O$22,MATCH(VLOOKUP($A99,main!$A$3:$H$102,7,FALSE),main!$K$18:$O$18,0),0))),0)</f>
        <v>205</v>
      </c>
      <c r="CN99">
        <f>IF((gamma!CN99),IF(VLOOKUP(CN$1,main!$A$3:$H$102,7,FALSE)=VLOOKUP($A99,main!$A$3:$H$102,8,FALSE),VLOOKUP(CN$1,main!$A$3:$H$102,4,FALSE),VLOOKUP(CN$1,main!$A$3:$H$102,4,FALSE)+VLOOKUP($A99,main!$A$3:$H$102,4,FALSE)+(VLOOKUP(VLOOKUP(CN$1,main!$A$3:$H$102,8,FALSE),main!$K$19:$O$22,MATCH(VLOOKUP($A99,main!$A$3:$H$102,7,FALSE),main!$K$18:$O$18,0),0))),0)</f>
        <v>201</v>
      </c>
      <c r="CO99">
        <f>IF((gamma!CO99),IF(VLOOKUP(CO$1,main!$A$3:$H$102,7,FALSE)=VLOOKUP($A99,main!$A$3:$H$102,8,FALSE),VLOOKUP(CO$1,main!$A$3:$H$102,4,FALSE),VLOOKUP(CO$1,main!$A$3:$H$102,4,FALSE)+VLOOKUP($A99,main!$A$3:$H$102,4,FALSE)+(VLOOKUP(VLOOKUP(CO$1,main!$A$3:$H$102,8,FALSE),main!$K$19:$O$22,MATCH(VLOOKUP($A99,main!$A$3:$H$102,7,FALSE),main!$K$18:$O$18,0),0))),0)</f>
        <v>0</v>
      </c>
      <c r="CP99">
        <f>IF((gamma!CP99),IF(VLOOKUP(CP$1,main!$A$3:$H$102,7,FALSE)=VLOOKUP($A99,main!$A$3:$H$102,8,FALSE),VLOOKUP(CP$1,main!$A$3:$H$102,4,FALSE),VLOOKUP(CP$1,main!$A$3:$H$102,4,FALSE)+VLOOKUP($A99,main!$A$3:$H$102,4,FALSE)+(VLOOKUP(VLOOKUP(CP$1,main!$A$3:$H$102,8,FALSE),main!$K$19:$O$22,MATCH(VLOOKUP($A99,main!$A$3:$H$102,7,FALSE),main!$K$18:$O$18,0),0))),0)</f>
        <v>223</v>
      </c>
      <c r="CQ99">
        <f>IF((gamma!CQ99),IF(VLOOKUP(CQ$1,main!$A$3:$H$102,7,FALSE)=VLOOKUP($A99,main!$A$3:$H$102,8,FALSE),VLOOKUP(CQ$1,main!$A$3:$H$102,4,FALSE),VLOOKUP(CQ$1,main!$A$3:$H$102,4,FALSE)+VLOOKUP($A99,main!$A$3:$H$102,4,FALSE)+(VLOOKUP(VLOOKUP(CQ$1,main!$A$3:$H$102,8,FALSE),main!$K$19:$O$22,MATCH(VLOOKUP($A99,main!$A$3:$H$102,7,FALSE),main!$K$18:$O$18,0),0))),0)</f>
        <v>223</v>
      </c>
      <c r="CR99">
        <f>IF((gamma!CR99),IF(VLOOKUP(CR$1,main!$A$3:$H$102,7,FALSE)=VLOOKUP($A99,main!$A$3:$H$102,8,FALSE),VLOOKUP(CR$1,main!$A$3:$H$102,4,FALSE),VLOOKUP(CR$1,main!$A$3:$H$102,4,FALSE)+VLOOKUP($A99,main!$A$3:$H$102,4,FALSE)+(VLOOKUP(VLOOKUP(CR$1,main!$A$3:$H$102,8,FALSE),main!$K$19:$O$22,MATCH(VLOOKUP($A99,main!$A$3:$H$102,7,FALSE),main!$K$18:$O$18,0),0))),0)</f>
        <v>238</v>
      </c>
      <c r="CS99">
        <f>IF((gamma!CS99),IF(VLOOKUP(CS$1,main!$A$3:$H$102,7,FALSE)=VLOOKUP($A99,main!$A$3:$H$102,8,FALSE),VLOOKUP(CS$1,main!$A$3:$H$102,4,FALSE),VLOOKUP(CS$1,main!$A$3:$H$102,4,FALSE)+VLOOKUP($A99,main!$A$3:$H$102,4,FALSE)+(VLOOKUP(VLOOKUP(CS$1,main!$A$3:$H$102,8,FALSE),main!$K$19:$O$22,MATCH(VLOOKUP($A99,main!$A$3:$H$102,7,FALSE),main!$K$18:$O$18,0),0))),0)</f>
        <v>238</v>
      </c>
      <c r="CT99">
        <f>IF((gamma!CT99),IF(VLOOKUP(CT$1,main!$A$3:$H$102,7,FALSE)=VLOOKUP($A99,main!$A$3:$H$102,8,FALSE),VLOOKUP(CT$1,main!$A$3:$H$102,4,FALSE),VLOOKUP(CT$1,main!$A$3:$H$102,4,FALSE)+VLOOKUP($A99,main!$A$3:$H$102,4,FALSE)+(VLOOKUP(VLOOKUP(CT$1,main!$A$3:$H$102,8,FALSE),main!$K$19:$O$22,MATCH(VLOOKUP($A99,main!$A$3:$H$102,7,FALSE),main!$K$18:$O$18,0),0))),0)</f>
        <v>0</v>
      </c>
      <c r="CU99">
        <f>IF((gamma!CU99),IF(VLOOKUP(CU$1,main!$A$3:$H$102,7,FALSE)=VLOOKUP($A99,main!$A$3:$H$102,8,FALSE),VLOOKUP(CU$1,main!$A$3:$H$102,4,FALSE),VLOOKUP(CU$1,main!$A$3:$H$102,4,FALSE)+VLOOKUP($A99,main!$A$3:$H$102,4,FALSE)+(VLOOKUP(VLOOKUP(CU$1,main!$A$3:$H$102,8,FALSE),main!$K$19:$O$22,MATCH(VLOOKUP($A99,main!$A$3:$H$102,7,FALSE),main!$K$18:$O$18,0),0))),0)</f>
        <v>0</v>
      </c>
      <c r="CV99">
        <f>IF((gamma!CV99),IF(VLOOKUP(CV$1,main!$A$3:$H$102,7,FALSE)=VLOOKUP($A99,main!$A$3:$H$102,8,FALSE),VLOOKUP(CV$1,main!$A$3:$H$102,4,FALSE),VLOOKUP(CV$1,main!$A$3:$H$102,4,FALSE)+VLOOKUP($A99,main!$A$3:$H$102,4,FALSE)+(VLOOKUP(VLOOKUP(CV$1,main!$A$3:$H$102,8,FALSE),main!$K$19:$O$22,MATCH(VLOOKUP($A99,main!$A$3:$H$102,7,FALSE),main!$K$18:$O$18,0),0))),0)</f>
        <v>183</v>
      </c>
      <c r="CW99">
        <f>IF((gamma!CW99),IF(VLOOKUP(CW$1,main!$A$3:$H$102,7,FALSE)=VLOOKUP($A99,main!$A$3:$H$102,8,FALSE),VLOOKUP(CW$1,main!$A$3:$H$102,4,FALSE),VLOOKUP(CW$1,main!$A$3:$H$102,4,FALSE)+VLOOKUP($A99,main!$A$3:$H$102,4,FALSE)+(VLOOKUP(VLOOKUP(CW$1,main!$A$3:$H$102,8,FALSE),main!$K$19:$O$22,MATCH(VLOOKUP($A99,main!$A$3:$H$102,7,FALSE),main!$K$18:$O$18,0),0))),0)</f>
        <v>198</v>
      </c>
      <c r="CX99">
        <f>IF((gamma!CX99),IF(VLOOKUP(CX$1,main!$A$3:$H$102,7,FALSE)=VLOOKUP($A99,main!$A$3:$H$102,8,FALSE),VLOOKUP(CX$1,main!$A$3:$H$102,4,FALSE),VLOOKUP(CX$1,main!$A$3:$H$102,4,FALSE)+VLOOKUP($A99,main!$A$3:$H$102,4,FALSE)+(VLOOKUP(VLOOKUP(CX$1,main!$A$3:$H$102,8,FALSE),main!$K$19:$O$22,MATCH(VLOOKUP($A99,main!$A$3:$H$102,7,FALSE),main!$K$18:$O$18,0),0))),0)</f>
        <v>188</v>
      </c>
      <c r="CY99">
        <v>0</v>
      </c>
      <c r="CZ99">
        <v>0</v>
      </c>
      <c r="DA99">
        <v>0</v>
      </c>
    </row>
    <row r="100" spans="1:105" x14ac:dyDescent="0.25">
      <c r="A100" s="1">
        <v>98</v>
      </c>
      <c r="B100">
        <v>0</v>
      </c>
      <c r="C100">
        <f>IF((gamma!C100),IF(VLOOKUP(C$1,main!$A$3:$H$102,7,FALSE)=VLOOKUP($A100,main!$A$3:$H$102,8,FALSE),VLOOKUP(C$1,main!$A$3:$H$102,4,FALSE),VLOOKUP(C$1,main!$A$3:$H$102,4,FALSE)+VLOOKUP($A100,main!$A$3:$H$102,4,FALSE)+(VLOOKUP(VLOOKUP(C$1,main!$A$3:$H$102,8,FALSE),main!$K$19:$O$22,MATCH(VLOOKUP($A100,main!$A$3:$H$102,7,FALSE),main!$K$18:$O$18,0),0))),0)</f>
        <v>0</v>
      </c>
      <c r="D100">
        <f>IF((gamma!D100),IF(VLOOKUP(D$1,main!$A$3:$H$102,7,FALSE)=VLOOKUP($A100,main!$A$3:$H$102,8,FALSE),VLOOKUP(D$1,main!$A$3:$H$102,4,FALSE),VLOOKUP(D$1,main!$A$3:$H$102,4,FALSE)+VLOOKUP($A100,main!$A$3:$H$102,4,FALSE)+(VLOOKUP(VLOOKUP(D$1,main!$A$3:$H$102,8,FALSE),main!$K$19:$O$22,MATCH(VLOOKUP($A100,main!$A$3:$H$102,7,FALSE),main!$K$18:$O$18,0),0))),0)</f>
        <v>0</v>
      </c>
      <c r="E100">
        <f>IF((gamma!E100),IF(VLOOKUP(E$1,main!$A$3:$H$102,7,FALSE)=VLOOKUP($A100,main!$A$3:$H$102,8,FALSE),VLOOKUP(E$1,main!$A$3:$H$102,4,FALSE),VLOOKUP(E$1,main!$A$3:$H$102,4,FALSE)+VLOOKUP($A100,main!$A$3:$H$102,4,FALSE)+(VLOOKUP(VLOOKUP(E$1,main!$A$3:$H$102,8,FALSE),main!$K$19:$O$22,MATCH(VLOOKUP($A100,main!$A$3:$H$102,7,FALSE),main!$K$18:$O$18,0),0))),0)</f>
        <v>0</v>
      </c>
      <c r="F100">
        <f>IF((gamma!F100),IF(VLOOKUP(F$1,main!$A$3:$H$102,7,FALSE)=VLOOKUP($A100,main!$A$3:$H$102,8,FALSE),VLOOKUP(F$1,main!$A$3:$H$102,4,FALSE),VLOOKUP(F$1,main!$A$3:$H$102,4,FALSE)+VLOOKUP($A100,main!$A$3:$H$102,4,FALSE)+(VLOOKUP(VLOOKUP(F$1,main!$A$3:$H$102,8,FALSE),main!$K$19:$O$22,MATCH(VLOOKUP($A100,main!$A$3:$H$102,7,FALSE),main!$K$18:$O$18,0),0))),0)</f>
        <v>0</v>
      </c>
      <c r="G100">
        <f>IF((gamma!G100),IF(VLOOKUP(G$1,main!$A$3:$H$102,7,FALSE)=VLOOKUP($A100,main!$A$3:$H$102,8,FALSE),VLOOKUP(G$1,main!$A$3:$H$102,4,FALSE),VLOOKUP(G$1,main!$A$3:$H$102,4,FALSE)+VLOOKUP($A100,main!$A$3:$H$102,4,FALSE)+(VLOOKUP(VLOOKUP(G$1,main!$A$3:$H$102,8,FALSE),main!$K$19:$O$22,MATCH(VLOOKUP($A100,main!$A$3:$H$102,7,FALSE),main!$K$18:$O$18,0),0))),0)</f>
        <v>0</v>
      </c>
      <c r="H100">
        <f>IF((gamma!H100),IF(VLOOKUP(H$1,main!$A$3:$H$102,7,FALSE)=VLOOKUP($A100,main!$A$3:$H$102,8,FALSE),VLOOKUP(H$1,main!$A$3:$H$102,4,FALSE),VLOOKUP(H$1,main!$A$3:$H$102,4,FALSE)+VLOOKUP($A100,main!$A$3:$H$102,4,FALSE)+(VLOOKUP(VLOOKUP(H$1,main!$A$3:$H$102,8,FALSE),main!$K$19:$O$22,MATCH(VLOOKUP($A100,main!$A$3:$H$102,7,FALSE),main!$K$18:$O$18,0),0))),0)</f>
        <v>255</v>
      </c>
      <c r="I100">
        <f>IF((gamma!I100),IF(VLOOKUP(I$1,main!$A$3:$H$102,7,FALSE)=VLOOKUP($A100,main!$A$3:$H$102,8,FALSE),VLOOKUP(I$1,main!$A$3:$H$102,4,FALSE),VLOOKUP(I$1,main!$A$3:$H$102,4,FALSE)+VLOOKUP($A100,main!$A$3:$H$102,4,FALSE)+(VLOOKUP(VLOOKUP(I$1,main!$A$3:$H$102,8,FALSE),main!$K$19:$O$22,MATCH(VLOOKUP($A100,main!$A$3:$H$102,7,FALSE),main!$K$18:$O$18,0),0))),0)</f>
        <v>255</v>
      </c>
      <c r="J100">
        <f>IF((gamma!J100),IF(VLOOKUP(J$1,main!$A$3:$H$102,7,FALSE)=VLOOKUP($A100,main!$A$3:$H$102,8,FALSE),VLOOKUP(J$1,main!$A$3:$H$102,4,FALSE),VLOOKUP(J$1,main!$A$3:$H$102,4,FALSE)+VLOOKUP($A100,main!$A$3:$H$102,4,FALSE)+(VLOOKUP(VLOOKUP(J$1,main!$A$3:$H$102,8,FALSE),main!$K$19:$O$22,MATCH(VLOOKUP($A100,main!$A$3:$H$102,7,FALSE),main!$K$18:$O$18,0),0))),0)</f>
        <v>255</v>
      </c>
      <c r="K100">
        <f>IF((gamma!K100),IF(VLOOKUP(K$1,main!$A$3:$H$102,7,FALSE)=VLOOKUP($A100,main!$A$3:$H$102,8,FALSE),VLOOKUP(K$1,main!$A$3:$H$102,4,FALSE),VLOOKUP(K$1,main!$A$3:$H$102,4,FALSE)+VLOOKUP($A100,main!$A$3:$H$102,4,FALSE)+(VLOOKUP(VLOOKUP(K$1,main!$A$3:$H$102,8,FALSE),main!$K$19:$O$22,MATCH(VLOOKUP($A100,main!$A$3:$H$102,7,FALSE),main!$K$18:$O$18,0),0))),0)</f>
        <v>255</v>
      </c>
      <c r="L100">
        <f>IF((gamma!L100),IF(VLOOKUP(L$1,main!$A$3:$H$102,7,FALSE)=VLOOKUP($A100,main!$A$3:$H$102,8,FALSE),VLOOKUP(L$1,main!$A$3:$H$102,4,FALSE),VLOOKUP(L$1,main!$A$3:$H$102,4,FALSE)+VLOOKUP($A100,main!$A$3:$H$102,4,FALSE)+(VLOOKUP(VLOOKUP(L$1,main!$A$3:$H$102,8,FALSE),main!$K$19:$O$22,MATCH(VLOOKUP($A100,main!$A$3:$H$102,7,FALSE),main!$K$18:$O$18,0),0))),0)</f>
        <v>255</v>
      </c>
      <c r="M100">
        <f>IF((gamma!M100),IF(VLOOKUP(M$1,main!$A$3:$H$102,7,FALSE)=VLOOKUP($A100,main!$A$3:$H$102,8,FALSE),VLOOKUP(M$1,main!$A$3:$H$102,4,FALSE),VLOOKUP(M$1,main!$A$3:$H$102,4,FALSE)+VLOOKUP($A100,main!$A$3:$H$102,4,FALSE)+(VLOOKUP(VLOOKUP(M$1,main!$A$3:$H$102,8,FALSE),main!$K$19:$O$22,MATCH(VLOOKUP($A100,main!$A$3:$H$102,7,FALSE),main!$K$18:$O$18,0),0))),0)</f>
        <v>0</v>
      </c>
      <c r="N100">
        <f>IF((gamma!N100),IF(VLOOKUP(N$1,main!$A$3:$H$102,7,FALSE)=VLOOKUP($A100,main!$A$3:$H$102,8,FALSE),VLOOKUP(N$1,main!$A$3:$H$102,4,FALSE),VLOOKUP(N$1,main!$A$3:$H$102,4,FALSE)+VLOOKUP($A100,main!$A$3:$H$102,4,FALSE)+(VLOOKUP(VLOOKUP(N$1,main!$A$3:$H$102,8,FALSE),main!$K$19:$O$22,MATCH(VLOOKUP($A100,main!$A$3:$H$102,7,FALSE),main!$K$18:$O$18,0),0))),0)</f>
        <v>0</v>
      </c>
      <c r="O100">
        <f>IF((gamma!O100),IF(VLOOKUP(O$1,main!$A$3:$H$102,7,FALSE)=VLOOKUP($A100,main!$A$3:$H$102,8,FALSE),VLOOKUP(O$1,main!$A$3:$H$102,4,FALSE),VLOOKUP(O$1,main!$A$3:$H$102,4,FALSE)+VLOOKUP($A100,main!$A$3:$H$102,4,FALSE)+(VLOOKUP(VLOOKUP(O$1,main!$A$3:$H$102,8,FALSE),main!$K$19:$O$22,MATCH(VLOOKUP($A100,main!$A$3:$H$102,7,FALSE),main!$K$18:$O$18,0),0))),0)</f>
        <v>0</v>
      </c>
      <c r="P100">
        <f>IF((gamma!P100),IF(VLOOKUP(P$1,main!$A$3:$H$102,7,FALSE)=VLOOKUP($A100,main!$A$3:$H$102,8,FALSE),VLOOKUP(P$1,main!$A$3:$H$102,4,FALSE),VLOOKUP(P$1,main!$A$3:$H$102,4,FALSE)+VLOOKUP($A100,main!$A$3:$H$102,4,FALSE)+(VLOOKUP(VLOOKUP(P$1,main!$A$3:$H$102,8,FALSE),main!$K$19:$O$22,MATCH(VLOOKUP($A100,main!$A$3:$H$102,7,FALSE),main!$K$18:$O$18,0),0))),0)</f>
        <v>0</v>
      </c>
      <c r="Q100">
        <f>IF((gamma!Q100),IF(VLOOKUP(Q$1,main!$A$3:$H$102,7,FALSE)=VLOOKUP($A100,main!$A$3:$H$102,8,FALSE),VLOOKUP(Q$1,main!$A$3:$H$102,4,FALSE),VLOOKUP(Q$1,main!$A$3:$H$102,4,FALSE)+VLOOKUP($A100,main!$A$3:$H$102,4,FALSE)+(VLOOKUP(VLOOKUP(Q$1,main!$A$3:$H$102,8,FALSE),main!$K$19:$O$22,MATCH(VLOOKUP($A100,main!$A$3:$H$102,7,FALSE),main!$K$18:$O$18,0),0))),0)</f>
        <v>0</v>
      </c>
      <c r="R100">
        <f>IF((gamma!R100),IF(VLOOKUP(R$1,main!$A$3:$H$102,7,FALSE)=VLOOKUP($A100,main!$A$3:$H$102,8,FALSE),VLOOKUP(R$1,main!$A$3:$H$102,4,FALSE),VLOOKUP(R$1,main!$A$3:$H$102,4,FALSE)+VLOOKUP($A100,main!$A$3:$H$102,4,FALSE)+(VLOOKUP(VLOOKUP(R$1,main!$A$3:$H$102,8,FALSE),main!$K$19:$O$22,MATCH(VLOOKUP($A100,main!$A$3:$H$102,7,FALSE),main!$K$18:$O$18,0),0))),0)</f>
        <v>0</v>
      </c>
      <c r="S100">
        <f>IF((gamma!S100),IF(VLOOKUP(S$1,main!$A$3:$H$102,7,FALSE)=VLOOKUP($A100,main!$A$3:$H$102,8,FALSE),VLOOKUP(S$1,main!$A$3:$H$102,4,FALSE),VLOOKUP(S$1,main!$A$3:$H$102,4,FALSE)+VLOOKUP($A100,main!$A$3:$H$102,4,FALSE)+(VLOOKUP(VLOOKUP(S$1,main!$A$3:$H$102,8,FALSE),main!$K$19:$O$22,MATCH(VLOOKUP($A100,main!$A$3:$H$102,7,FALSE),main!$K$18:$O$18,0),0))),0)</f>
        <v>253</v>
      </c>
      <c r="T100">
        <f>IF((gamma!T100),IF(VLOOKUP(T$1,main!$A$3:$H$102,7,FALSE)=VLOOKUP($A100,main!$A$3:$H$102,8,FALSE),VLOOKUP(T$1,main!$A$3:$H$102,4,FALSE),VLOOKUP(T$1,main!$A$3:$H$102,4,FALSE)+VLOOKUP($A100,main!$A$3:$H$102,4,FALSE)+(VLOOKUP(VLOOKUP(T$1,main!$A$3:$H$102,8,FALSE),main!$K$19:$O$22,MATCH(VLOOKUP($A100,main!$A$3:$H$102,7,FALSE),main!$K$18:$O$18,0),0))),0)</f>
        <v>253</v>
      </c>
      <c r="U100">
        <f>IF((gamma!U100),IF(VLOOKUP(U$1,main!$A$3:$H$102,7,FALSE)=VLOOKUP($A100,main!$A$3:$H$102,8,FALSE),VLOOKUP(U$1,main!$A$3:$H$102,4,FALSE),VLOOKUP(U$1,main!$A$3:$H$102,4,FALSE)+VLOOKUP($A100,main!$A$3:$H$102,4,FALSE)+(VLOOKUP(VLOOKUP(U$1,main!$A$3:$H$102,8,FALSE),main!$K$19:$O$22,MATCH(VLOOKUP($A100,main!$A$3:$H$102,7,FALSE),main!$K$18:$O$18,0),0))),0)</f>
        <v>253</v>
      </c>
      <c r="V100">
        <f>IF((gamma!V100),IF(VLOOKUP(V$1,main!$A$3:$H$102,7,FALSE)=VLOOKUP($A100,main!$A$3:$H$102,8,FALSE),VLOOKUP(V$1,main!$A$3:$H$102,4,FALSE),VLOOKUP(V$1,main!$A$3:$H$102,4,FALSE)+VLOOKUP($A100,main!$A$3:$H$102,4,FALSE)+(VLOOKUP(VLOOKUP(V$1,main!$A$3:$H$102,8,FALSE),main!$K$19:$O$22,MATCH(VLOOKUP($A100,main!$A$3:$H$102,7,FALSE),main!$K$18:$O$18,0),0))),0)</f>
        <v>253</v>
      </c>
      <c r="W100">
        <f>IF((gamma!W100),IF(VLOOKUP(W$1,main!$A$3:$H$102,7,FALSE)=VLOOKUP($A100,main!$A$3:$H$102,8,FALSE),VLOOKUP(W$1,main!$A$3:$H$102,4,FALSE),VLOOKUP(W$1,main!$A$3:$H$102,4,FALSE)+VLOOKUP($A100,main!$A$3:$H$102,4,FALSE)+(VLOOKUP(VLOOKUP(W$1,main!$A$3:$H$102,8,FALSE),main!$K$19:$O$22,MATCH(VLOOKUP($A100,main!$A$3:$H$102,7,FALSE),main!$K$18:$O$18,0),0))),0)</f>
        <v>0</v>
      </c>
      <c r="X100">
        <f>IF((gamma!X100),IF(VLOOKUP(X$1,main!$A$3:$H$102,7,FALSE)=VLOOKUP($A100,main!$A$3:$H$102,8,FALSE),VLOOKUP(X$1,main!$A$3:$H$102,4,FALSE),VLOOKUP(X$1,main!$A$3:$H$102,4,FALSE)+VLOOKUP($A100,main!$A$3:$H$102,4,FALSE)+(VLOOKUP(VLOOKUP(X$1,main!$A$3:$H$102,8,FALSE),main!$K$19:$O$22,MATCH(VLOOKUP($A100,main!$A$3:$H$102,7,FALSE),main!$K$18:$O$18,0),0))),0)</f>
        <v>0</v>
      </c>
      <c r="Y100">
        <f>IF((gamma!Y100),IF(VLOOKUP(Y$1,main!$A$3:$H$102,7,FALSE)=VLOOKUP($A100,main!$A$3:$H$102,8,FALSE),VLOOKUP(Y$1,main!$A$3:$H$102,4,FALSE),VLOOKUP(Y$1,main!$A$3:$H$102,4,FALSE)+VLOOKUP($A100,main!$A$3:$H$102,4,FALSE)+(VLOOKUP(VLOOKUP(Y$1,main!$A$3:$H$102,8,FALSE),main!$K$19:$O$22,MATCH(VLOOKUP($A100,main!$A$3:$H$102,7,FALSE),main!$K$18:$O$18,0),0))),0)</f>
        <v>0</v>
      </c>
      <c r="Z100">
        <f>IF((gamma!Z100),IF(VLOOKUP(Z$1,main!$A$3:$H$102,7,FALSE)=VLOOKUP($A100,main!$A$3:$H$102,8,FALSE),VLOOKUP(Z$1,main!$A$3:$H$102,4,FALSE),VLOOKUP(Z$1,main!$A$3:$H$102,4,FALSE)+VLOOKUP($A100,main!$A$3:$H$102,4,FALSE)+(VLOOKUP(VLOOKUP(Z$1,main!$A$3:$H$102,8,FALSE),main!$K$19:$O$22,MATCH(VLOOKUP($A100,main!$A$3:$H$102,7,FALSE),main!$K$18:$O$18,0),0))),0)</f>
        <v>220</v>
      </c>
      <c r="AA100">
        <f>IF((gamma!AA100),IF(VLOOKUP(AA$1,main!$A$3:$H$102,7,FALSE)=VLOOKUP($A100,main!$A$3:$H$102,8,FALSE),VLOOKUP(AA$1,main!$A$3:$H$102,4,FALSE),VLOOKUP(AA$1,main!$A$3:$H$102,4,FALSE)+VLOOKUP($A100,main!$A$3:$H$102,4,FALSE)+(VLOOKUP(VLOOKUP(AA$1,main!$A$3:$H$102,8,FALSE),main!$K$19:$O$22,MATCH(VLOOKUP($A100,main!$A$3:$H$102,7,FALSE),main!$K$18:$O$18,0),0))),0)</f>
        <v>220</v>
      </c>
      <c r="AB100">
        <f>IF((gamma!AB100),IF(VLOOKUP(AB$1,main!$A$3:$H$102,7,FALSE)=VLOOKUP($A100,main!$A$3:$H$102,8,FALSE),VLOOKUP(AB$1,main!$A$3:$H$102,4,FALSE),VLOOKUP(AB$1,main!$A$3:$H$102,4,FALSE)+VLOOKUP($A100,main!$A$3:$H$102,4,FALSE)+(VLOOKUP(VLOOKUP(AB$1,main!$A$3:$H$102,8,FALSE),main!$K$19:$O$22,MATCH(VLOOKUP($A100,main!$A$3:$H$102,7,FALSE),main!$K$18:$O$18,0),0))),0)</f>
        <v>0</v>
      </c>
      <c r="AC100">
        <f>IF((gamma!AC100),IF(VLOOKUP(AC$1,main!$A$3:$H$102,7,FALSE)=VLOOKUP($A100,main!$A$3:$H$102,8,FALSE),VLOOKUP(AC$1,main!$A$3:$H$102,4,FALSE),VLOOKUP(AC$1,main!$A$3:$H$102,4,FALSE)+VLOOKUP($A100,main!$A$3:$H$102,4,FALSE)+(VLOOKUP(VLOOKUP(AC$1,main!$A$3:$H$102,8,FALSE),main!$K$19:$O$22,MATCH(VLOOKUP($A100,main!$A$3:$H$102,7,FALSE),main!$K$18:$O$18,0),0))),0)</f>
        <v>0</v>
      </c>
      <c r="AD100">
        <f>IF((gamma!AD100),IF(VLOOKUP(AD$1,main!$A$3:$H$102,7,FALSE)=VLOOKUP($A100,main!$A$3:$H$102,8,FALSE),VLOOKUP(AD$1,main!$A$3:$H$102,4,FALSE),VLOOKUP(AD$1,main!$A$3:$H$102,4,FALSE)+VLOOKUP($A100,main!$A$3:$H$102,4,FALSE)+(VLOOKUP(VLOOKUP(AD$1,main!$A$3:$H$102,8,FALSE),main!$K$19:$O$22,MATCH(VLOOKUP($A100,main!$A$3:$H$102,7,FALSE),main!$K$18:$O$18,0),0))),0)</f>
        <v>0</v>
      </c>
      <c r="AE100">
        <f>IF((gamma!AE100),IF(VLOOKUP(AE$1,main!$A$3:$H$102,7,FALSE)=VLOOKUP($A100,main!$A$3:$H$102,8,FALSE),VLOOKUP(AE$1,main!$A$3:$H$102,4,FALSE),VLOOKUP(AE$1,main!$A$3:$H$102,4,FALSE)+VLOOKUP($A100,main!$A$3:$H$102,4,FALSE)+(VLOOKUP(VLOOKUP(AE$1,main!$A$3:$H$102,8,FALSE),main!$K$19:$O$22,MATCH(VLOOKUP($A100,main!$A$3:$H$102,7,FALSE),main!$K$18:$O$18,0),0))),0)</f>
        <v>220</v>
      </c>
      <c r="AF100">
        <f>IF((gamma!AF100),IF(VLOOKUP(AF$1,main!$A$3:$H$102,7,FALSE)=VLOOKUP($A100,main!$A$3:$H$102,8,FALSE),VLOOKUP(AF$1,main!$A$3:$H$102,4,FALSE),VLOOKUP(AF$1,main!$A$3:$H$102,4,FALSE)+VLOOKUP($A100,main!$A$3:$H$102,4,FALSE)+(VLOOKUP(VLOOKUP(AF$1,main!$A$3:$H$102,8,FALSE),main!$K$19:$O$22,MATCH(VLOOKUP($A100,main!$A$3:$H$102,7,FALSE),main!$K$18:$O$18,0),0))),0)</f>
        <v>180</v>
      </c>
      <c r="AG100">
        <f>IF((gamma!AG100),IF(VLOOKUP(AG$1,main!$A$3:$H$102,7,FALSE)=VLOOKUP($A100,main!$A$3:$H$102,8,FALSE),VLOOKUP(AG$1,main!$A$3:$H$102,4,FALSE),VLOOKUP(AG$1,main!$A$3:$H$102,4,FALSE)+VLOOKUP($A100,main!$A$3:$H$102,4,FALSE)+(VLOOKUP(VLOOKUP(AG$1,main!$A$3:$H$102,8,FALSE),main!$K$19:$O$22,MATCH(VLOOKUP($A100,main!$A$3:$H$102,7,FALSE),main!$K$18:$O$18,0),0))),0)</f>
        <v>0</v>
      </c>
      <c r="AH100">
        <f>IF((gamma!AH100),IF(VLOOKUP(AH$1,main!$A$3:$H$102,7,FALSE)=VLOOKUP($A100,main!$A$3:$H$102,8,FALSE),VLOOKUP(AH$1,main!$A$3:$H$102,4,FALSE),VLOOKUP(AH$1,main!$A$3:$H$102,4,FALSE)+VLOOKUP($A100,main!$A$3:$H$102,4,FALSE)+(VLOOKUP(VLOOKUP(AH$1,main!$A$3:$H$102,8,FALSE),main!$K$19:$O$22,MATCH(VLOOKUP($A100,main!$A$3:$H$102,7,FALSE),main!$K$18:$O$18,0),0))),0)</f>
        <v>0</v>
      </c>
      <c r="AI100">
        <f>IF((gamma!AI100),IF(VLOOKUP(AI$1,main!$A$3:$H$102,7,FALSE)=VLOOKUP($A100,main!$A$3:$H$102,8,FALSE),VLOOKUP(AI$1,main!$A$3:$H$102,4,FALSE),VLOOKUP(AI$1,main!$A$3:$H$102,4,FALSE)+VLOOKUP($A100,main!$A$3:$H$102,4,FALSE)+(VLOOKUP(VLOOKUP(AI$1,main!$A$3:$H$102,8,FALSE),main!$K$19:$O$22,MATCH(VLOOKUP($A100,main!$A$3:$H$102,7,FALSE),main!$K$18:$O$18,0),0))),0)</f>
        <v>0</v>
      </c>
      <c r="AJ100">
        <f>IF((gamma!AJ100),IF(VLOOKUP(AJ$1,main!$A$3:$H$102,7,FALSE)=VLOOKUP($A100,main!$A$3:$H$102,8,FALSE),VLOOKUP(AJ$1,main!$A$3:$H$102,4,FALSE),VLOOKUP(AJ$1,main!$A$3:$H$102,4,FALSE)+VLOOKUP($A100,main!$A$3:$H$102,4,FALSE)+(VLOOKUP(VLOOKUP(AJ$1,main!$A$3:$H$102,8,FALSE),main!$K$19:$O$22,MATCH(VLOOKUP($A100,main!$A$3:$H$102,7,FALSE),main!$K$18:$O$18,0),0))),0)</f>
        <v>0</v>
      </c>
      <c r="AK100">
        <f>IF((gamma!AK100),IF(VLOOKUP(AK$1,main!$A$3:$H$102,7,FALSE)=VLOOKUP($A100,main!$A$3:$H$102,8,FALSE),VLOOKUP(AK$1,main!$A$3:$H$102,4,FALSE),VLOOKUP(AK$1,main!$A$3:$H$102,4,FALSE)+VLOOKUP($A100,main!$A$3:$H$102,4,FALSE)+(VLOOKUP(VLOOKUP(AK$1,main!$A$3:$H$102,8,FALSE),main!$K$19:$O$22,MATCH(VLOOKUP($A100,main!$A$3:$H$102,7,FALSE),main!$K$18:$O$18,0),0))),0)</f>
        <v>0</v>
      </c>
      <c r="AL100">
        <f>IF((gamma!AL100),IF(VLOOKUP(AL$1,main!$A$3:$H$102,7,FALSE)=VLOOKUP($A100,main!$A$3:$H$102,8,FALSE),VLOOKUP(AL$1,main!$A$3:$H$102,4,FALSE),VLOOKUP(AL$1,main!$A$3:$H$102,4,FALSE)+VLOOKUP($A100,main!$A$3:$H$102,4,FALSE)+(VLOOKUP(VLOOKUP(AL$1,main!$A$3:$H$102,8,FALSE),main!$K$19:$O$22,MATCH(VLOOKUP($A100,main!$A$3:$H$102,7,FALSE),main!$K$18:$O$18,0),0))),0)</f>
        <v>250</v>
      </c>
      <c r="AM100">
        <f>IF((gamma!AM100),IF(VLOOKUP(AM$1,main!$A$3:$H$102,7,FALSE)=VLOOKUP($A100,main!$A$3:$H$102,8,FALSE),VLOOKUP(AM$1,main!$A$3:$H$102,4,FALSE),VLOOKUP(AM$1,main!$A$3:$H$102,4,FALSE)+VLOOKUP($A100,main!$A$3:$H$102,4,FALSE)+(VLOOKUP(VLOOKUP(AM$1,main!$A$3:$H$102,8,FALSE),main!$K$19:$O$22,MATCH(VLOOKUP($A100,main!$A$3:$H$102,7,FALSE),main!$K$18:$O$18,0),0))),0)</f>
        <v>250</v>
      </c>
      <c r="AN100">
        <f>IF((gamma!AN100),IF(VLOOKUP(AN$1,main!$A$3:$H$102,7,FALSE)=VLOOKUP($A100,main!$A$3:$H$102,8,FALSE),VLOOKUP(AN$1,main!$A$3:$H$102,4,FALSE),VLOOKUP(AN$1,main!$A$3:$H$102,4,FALSE)+VLOOKUP($A100,main!$A$3:$H$102,4,FALSE)+(VLOOKUP(VLOOKUP(AN$1,main!$A$3:$H$102,8,FALSE),main!$K$19:$O$22,MATCH(VLOOKUP($A100,main!$A$3:$H$102,7,FALSE),main!$K$18:$O$18,0),0))),0)</f>
        <v>250</v>
      </c>
      <c r="AO100">
        <f>IF((gamma!AO100),IF(VLOOKUP(AO$1,main!$A$3:$H$102,7,FALSE)=VLOOKUP($A100,main!$A$3:$H$102,8,FALSE),VLOOKUP(AO$1,main!$A$3:$H$102,4,FALSE),VLOOKUP(AO$1,main!$A$3:$H$102,4,FALSE)+VLOOKUP($A100,main!$A$3:$H$102,4,FALSE)+(VLOOKUP(VLOOKUP(AO$1,main!$A$3:$H$102,8,FALSE),main!$K$19:$O$22,MATCH(VLOOKUP($A100,main!$A$3:$H$102,7,FALSE),main!$K$18:$O$18,0),0))),0)</f>
        <v>0</v>
      </c>
      <c r="AP100">
        <f>IF((gamma!AP100),IF(VLOOKUP(AP$1,main!$A$3:$H$102,7,FALSE)=VLOOKUP($A100,main!$A$3:$H$102,8,FALSE),VLOOKUP(AP$1,main!$A$3:$H$102,4,FALSE),VLOOKUP(AP$1,main!$A$3:$H$102,4,FALSE)+VLOOKUP($A100,main!$A$3:$H$102,4,FALSE)+(VLOOKUP(VLOOKUP(AP$1,main!$A$3:$H$102,8,FALSE),main!$K$19:$O$22,MATCH(VLOOKUP($A100,main!$A$3:$H$102,7,FALSE),main!$K$18:$O$18,0),0))),0)</f>
        <v>190</v>
      </c>
      <c r="AQ100">
        <f>IF((gamma!AQ100),IF(VLOOKUP(AQ$1,main!$A$3:$H$102,7,FALSE)=VLOOKUP($A100,main!$A$3:$H$102,8,FALSE),VLOOKUP(AQ$1,main!$A$3:$H$102,4,FALSE),VLOOKUP(AQ$1,main!$A$3:$H$102,4,FALSE)+VLOOKUP($A100,main!$A$3:$H$102,4,FALSE)+(VLOOKUP(VLOOKUP(AQ$1,main!$A$3:$H$102,8,FALSE),main!$K$19:$O$22,MATCH(VLOOKUP($A100,main!$A$3:$H$102,7,FALSE),main!$K$18:$O$18,0),0))),0)</f>
        <v>0</v>
      </c>
      <c r="AR100">
        <f>IF((gamma!AR100),IF(VLOOKUP(AR$1,main!$A$3:$H$102,7,FALSE)=VLOOKUP($A100,main!$A$3:$H$102,8,FALSE),VLOOKUP(AR$1,main!$A$3:$H$102,4,FALSE),VLOOKUP(AR$1,main!$A$3:$H$102,4,FALSE)+VLOOKUP($A100,main!$A$3:$H$102,4,FALSE)+(VLOOKUP(VLOOKUP(AR$1,main!$A$3:$H$102,8,FALSE),main!$K$19:$O$22,MATCH(VLOOKUP($A100,main!$A$3:$H$102,7,FALSE),main!$K$18:$O$18,0),0))),0)</f>
        <v>0</v>
      </c>
      <c r="AS100">
        <f>IF((gamma!AS100),IF(VLOOKUP(AS$1,main!$A$3:$H$102,7,FALSE)=VLOOKUP($A100,main!$A$3:$H$102,8,FALSE),VLOOKUP(AS$1,main!$A$3:$H$102,4,FALSE),VLOOKUP(AS$1,main!$A$3:$H$102,4,FALSE)+VLOOKUP($A100,main!$A$3:$H$102,4,FALSE)+(VLOOKUP(VLOOKUP(AS$1,main!$A$3:$H$102,8,FALSE),main!$K$19:$O$22,MATCH(VLOOKUP($A100,main!$A$3:$H$102,7,FALSE),main!$K$18:$O$18,0),0))),0)</f>
        <v>0</v>
      </c>
      <c r="AT100">
        <f>IF((gamma!AT100),IF(VLOOKUP(AT$1,main!$A$3:$H$102,7,FALSE)=VLOOKUP($A100,main!$A$3:$H$102,8,FALSE),VLOOKUP(AT$1,main!$A$3:$H$102,4,FALSE),VLOOKUP(AT$1,main!$A$3:$H$102,4,FALSE)+VLOOKUP($A100,main!$A$3:$H$102,4,FALSE)+(VLOOKUP(VLOOKUP(AT$1,main!$A$3:$H$102,8,FALSE),main!$K$19:$O$22,MATCH(VLOOKUP($A100,main!$A$3:$H$102,7,FALSE),main!$K$18:$O$18,0),0))),0)</f>
        <v>243</v>
      </c>
      <c r="AU100">
        <f>IF((gamma!AU100),IF(VLOOKUP(AU$1,main!$A$3:$H$102,7,FALSE)=VLOOKUP($A100,main!$A$3:$H$102,8,FALSE),VLOOKUP(AU$1,main!$A$3:$H$102,4,FALSE),VLOOKUP(AU$1,main!$A$3:$H$102,4,FALSE)+VLOOKUP($A100,main!$A$3:$H$102,4,FALSE)+(VLOOKUP(VLOOKUP(AU$1,main!$A$3:$H$102,8,FALSE),main!$K$19:$O$22,MATCH(VLOOKUP($A100,main!$A$3:$H$102,7,FALSE),main!$K$18:$O$18,0),0))),0)</f>
        <v>0</v>
      </c>
      <c r="AV100">
        <f>IF((gamma!AV100),IF(VLOOKUP(AV$1,main!$A$3:$H$102,7,FALSE)=VLOOKUP($A100,main!$A$3:$H$102,8,FALSE),VLOOKUP(AV$1,main!$A$3:$H$102,4,FALSE),VLOOKUP(AV$1,main!$A$3:$H$102,4,FALSE)+VLOOKUP($A100,main!$A$3:$H$102,4,FALSE)+(VLOOKUP(VLOOKUP(AV$1,main!$A$3:$H$102,8,FALSE),main!$K$19:$O$22,MATCH(VLOOKUP($A100,main!$A$3:$H$102,7,FALSE),main!$K$18:$O$18,0),0))),0)</f>
        <v>0</v>
      </c>
      <c r="AW100">
        <f>IF((gamma!AW100),IF(VLOOKUP(AW$1,main!$A$3:$H$102,7,FALSE)=VLOOKUP($A100,main!$A$3:$H$102,8,FALSE),VLOOKUP(AW$1,main!$A$3:$H$102,4,FALSE),VLOOKUP(AW$1,main!$A$3:$H$102,4,FALSE)+VLOOKUP($A100,main!$A$3:$H$102,4,FALSE)+(VLOOKUP(VLOOKUP(AW$1,main!$A$3:$H$102,8,FALSE),main!$K$19:$O$22,MATCH(VLOOKUP($A100,main!$A$3:$H$102,7,FALSE),main!$K$18:$O$18,0),0))),0)</f>
        <v>0</v>
      </c>
      <c r="AX100">
        <f>IF((gamma!AX100),IF(VLOOKUP(AX$1,main!$A$3:$H$102,7,FALSE)=VLOOKUP($A100,main!$A$3:$H$102,8,FALSE),VLOOKUP(AX$1,main!$A$3:$H$102,4,FALSE),VLOOKUP(AX$1,main!$A$3:$H$102,4,FALSE)+VLOOKUP($A100,main!$A$3:$H$102,4,FALSE)+(VLOOKUP(VLOOKUP(AX$1,main!$A$3:$H$102,8,FALSE),main!$K$19:$O$22,MATCH(VLOOKUP($A100,main!$A$3:$H$102,7,FALSE),main!$K$18:$O$18,0),0))),0)</f>
        <v>0</v>
      </c>
      <c r="AY100">
        <f>IF((gamma!AY100),IF(VLOOKUP(AY$1,main!$A$3:$H$102,7,FALSE)=VLOOKUP($A100,main!$A$3:$H$102,8,FALSE),VLOOKUP(AY$1,main!$A$3:$H$102,4,FALSE),VLOOKUP(AY$1,main!$A$3:$H$102,4,FALSE)+VLOOKUP($A100,main!$A$3:$H$102,4,FALSE)+(VLOOKUP(VLOOKUP(AY$1,main!$A$3:$H$102,8,FALSE),main!$K$19:$O$22,MATCH(VLOOKUP($A100,main!$A$3:$H$102,7,FALSE),main!$K$18:$O$18,0),0))),0)</f>
        <v>0</v>
      </c>
      <c r="AZ100">
        <f>IF((gamma!AZ100),IF(VLOOKUP(AZ$1,main!$A$3:$H$102,7,FALSE)=VLOOKUP($A100,main!$A$3:$H$102,8,FALSE),VLOOKUP(AZ$1,main!$A$3:$H$102,4,FALSE),VLOOKUP(AZ$1,main!$A$3:$H$102,4,FALSE)+VLOOKUP($A100,main!$A$3:$H$102,4,FALSE)+(VLOOKUP(VLOOKUP(AZ$1,main!$A$3:$H$102,8,FALSE),main!$K$19:$O$22,MATCH(VLOOKUP($A100,main!$A$3:$H$102,7,FALSE),main!$K$18:$O$18,0),0))),0)</f>
        <v>0</v>
      </c>
      <c r="BA100">
        <f>IF((gamma!BA100),IF(VLOOKUP(BA$1,main!$A$3:$H$102,7,FALSE)=VLOOKUP($A100,main!$A$3:$H$102,8,FALSE),VLOOKUP(BA$1,main!$A$3:$H$102,4,FALSE),VLOOKUP(BA$1,main!$A$3:$H$102,4,FALSE)+VLOOKUP($A100,main!$A$3:$H$102,4,FALSE)+(VLOOKUP(VLOOKUP(BA$1,main!$A$3:$H$102,8,FALSE),main!$K$19:$O$22,MATCH(VLOOKUP($A100,main!$A$3:$H$102,7,FALSE),main!$K$18:$O$18,0),0))),0)</f>
        <v>0</v>
      </c>
      <c r="BB100">
        <f>IF((gamma!BB100),IF(VLOOKUP(BB$1,main!$A$3:$H$102,7,FALSE)=VLOOKUP($A100,main!$A$3:$H$102,8,FALSE),VLOOKUP(BB$1,main!$A$3:$H$102,4,FALSE),VLOOKUP(BB$1,main!$A$3:$H$102,4,FALSE)+VLOOKUP($A100,main!$A$3:$H$102,4,FALSE)+(VLOOKUP(VLOOKUP(BB$1,main!$A$3:$H$102,8,FALSE),main!$K$19:$O$22,MATCH(VLOOKUP($A100,main!$A$3:$H$102,7,FALSE),main!$K$18:$O$18,0),0))),0)</f>
        <v>0</v>
      </c>
      <c r="BC100">
        <f>IF((gamma!BC100),IF(VLOOKUP(BC$1,main!$A$3:$H$102,7,FALSE)=VLOOKUP($A100,main!$A$3:$H$102,8,FALSE),VLOOKUP(BC$1,main!$A$3:$H$102,4,FALSE),VLOOKUP(BC$1,main!$A$3:$H$102,4,FALSE)+VLOOKUP($A100,main!$A$3:$H$102,4,FALSE)+(VLOOKUP(VLOOKUP(BC$1,main!$A$3:$H$102,8,FALSE),main!$K$19:$O$22,MATCH(VLOOKUP($A100,main!$A$3:$H$102,7,FALSE),main!$K$18:$O$18,0),0))),0)</f>
        <v>0</v>
      </c>
      <c r="BD100">
        <f>IF((gamma!BD100),IF(VLOOKUP(BD$1,main!$A$3:$H$102,7,FALSE)=VLOOKUP($A100,main!$A$3:$H$102,8,FALSE),VLOOKUP(BD$1,main!$A$3:$H$102,4,FALSE),VLOOKUP(BD$1,main!$A$3:$H$102,4,FALSE)+VLOOKUP($A100,main!$A$3:$H$102,4,FALSE)+(VLOOKUP(VLOOKUP(BD$1,main!$A$3:$H$102,8,FALSE),main!$K$19:$O$22,MATCH(VLOOKUP($A100,main!$A$3:$H$102,7,FALSE),main!$K$18:$O$18,0),0))),0)</f>
        <v>140</v>
      </c>
      <c r="BE100">
        <f>IF((gamma!BE100),IF(VLOOKUP(BE$1,main!$A$3:$H$102,7,FALSE)=VLOOKUP($A100,main!$A$3:$H$102,8,FALSE),VLOOKUP(BE$1,main!$A$3:$H$102,4,FALSE),VLOOKUP(BE$1,main!$A$3:$H$102,4,FALSE)+VLOOKUP($A100,main!$A$3:$H$102,4,FALSE)+(VLOOKUP(VLOOKUP(BE$1,main!$A$3:$H$102,8,FALSE),main!$K$19:$O$22,MATCH(VLOOKUP($A100,main!$A$3:$H$102,7,FALSE),main!$K$18:$O$18,0),0))),0)</f>
        <v>140</v>
      </c>
      <c r="BF100">
        <f>IF((gamma!BF100),IF(VLOOKUP(BF$1,main!$A$3:$H$102,7,FALSE)=VLOOKUP($A100,main!$A$3:$H$102,8,FALSE),VLOOKUP(BF$1,main!$A$3:$H$102,4,FALSE),VLOOKUP(BF$1,main!$A$3:$H$102,4,FALSE)+VLOOKUP($A100,main!$A$3:$H$102,4,FALSE)+(VLOOKUP(VLOOKUP(BF$1,main!$A$3:$H$102,8,FALSE),main!$K$19:$O$22,MATCH(VLOOKUP($A100,main!$A$3:$H$102,7,FALSE),main!$K$18:$O$18,0),0))),0)</f>
        <v>0</v>
      </c>
      <c r="BG100">
        <f>IF((gamma!BG100),IF(VLOOKUP(BG$1,main!$A$3:$H$102,7,FALSE)=VLOOKUP($A100,main!$A$3:$H$102,8,FALSE),VLOOKUP(BG$1,main!$A$3:$H$102,4,FALSE),VLOOKUP(BG$1,main!$A$3:$H$102,4,FALSE)+VLOOKUP($A100,main!$A$3:$H$102,4,FALSE)+(VLOOKUP(VLOOKUP(BG$1,main!$A$3:$H$102,8,FALSE),main!$K$19:$O$22,MATCH(VLOOKUP($A100,main!$A$3:$H$102,7,FALSE),main!$K$18:$O$18,0),0))),0)</f>
        <v>0</v>
      </c>
      <c r="BH100">
        <f>IF((gamma!BH100),IF(VLOOKUP(BH$1,main!$A$3:$H$102,7,FALSE)=VLOOKUP($A100,main!$A$3:$H$102,8,FALSE),VLOOKUP(BH$1,main!$A$3:$H$102,4,FALSE),VLOOKUP(BH$1,main!$A$3:$H$102,4,FALSE)+VLOOKUP($A100,main!$A$3:$H$102,4,FALSE)+(VLOOKUP(VLOOKUP(BH$1,main!$A$3:$H$102,8,FALSE),main!$K$19:$O$22,MATCH(VLOOKUP($A100,main!$A$3:$H$102,7,FALSE),main!$K$18:$O$18,0),0))),0)</f>
        <v>0</v>
      </c>
      <c r="BI100">
        <f>IF((gamma!BI100),IF(VLOOKUP(BI$1,main!$A$3:$H$102,7,FALSE)=VLOOKUP($A100,main!$A$3:$H$102,8,FALSE),VLOOKUP(BI$1,main!$A$3:$H$102,4,FALSE),VLOOKUP(BI$1,main!$A$3:$H$102,4,FALSE)+VLOOKUP($A100,main!$A$3:$H$102,4,FALSE)+(VLOOKUP(VLOOKUP(BI$1,main!$A$3:$H$102,8,FALSE),main!$K$19:$O$22,MATCH(VLOOKUP($A100,main!$A$3:$H$102,7,FALSE),main!$K$18:$O$18,0),0))),0)</f>
        <v>60</v>
      </c>
      <c r="BJ100">
        <f>IF((gamma!BJ100),IF(VLOOKUP(BJ$1,main!$A$3:$H$102,7,FALSE)=VLOOKUP($A100,main!$A$3:$H$102,8,FALSE),VLOOKUP(BJ$1,main!$A$3:$H$102,4,FALSE),VLOOKUP(BJ$1,main!$A$3:$H$102,4,FALSE)+VLOOKUP($A100,main!$A$3:$H$102,4,FALSE)+(VLOOKUP(VLOOKUP(BJ$1,main!$A$3:$H$102,8,FALSE),main!$K$19:$O$22,MATCH(VLOOKUP($A100,main!$A$3:$H$102,7,FALSE),main!$K$18:$O$18,0),0))),0)</f>
        <v>90</v>
      </c>
      <c r="BK100">
        <f>IF((gamma!BK100),IF(VLOOKUP(BK$1,main!$A$3:$H$102,7,FALSE)=VLOOKUP($A100,main!$A$3:$H$102,8,FALSE),VLOOKUP(BK$1,main!$A$3:$H$102,4,FALSE),VLOOKUP(BK$1,main!$A$3:$H$102,4,FALSE)+VLOOKUP($A100,main!$A$3:$H$102,4,FALSE)+(VLOOKUP(VLOOKUP(BK$1,main!$A$3:$H$102,8,FALSE),main!$K$19:$O$22,MATCH(VLOOKUP($A100,main!$A$3:$H$102,7,FALSE),main!$K$18:$O$18,0),0))),0)</f>
        <v>0</v>
      </c>
      <c r="BL100">
        <f>IF((gamma!BL100),IF(VLOOKUP(BL$1,main!$A$3:$H$102,7,FALSE)=VLOOKUP($A100,main!$A$3:$H$102,8,FALSE),VLOOKUP(BL$1,main!$A$3:$H$102,4,FALSE),VLOOKUP(BL$1,main!$A$3:$H$102,4,FALSE)+VLOOKUP($A100,main!$A$3:$H$102,4,FALSE)+(VLOOKUP(VLOOKUP(BL$1,main!$A$3:$H$102,8,FALSE),main!$K$19:$O$22,MATCH(VLOOKUP($A100,main!$A$3:$H$102,7,FALSE),main!$K$18:$O$18,0),0))),0)</f>
        <v>0</v>
      </c>
      <c r="BM100">
        <f>IF((gamma!BM100),IF(VLOOKUP(BM$1,main!$A$3:$H$102,7,FALSE)=VLOOKUP($A100,main!$A$3:$H$102,8,FALSE),VLOOKUP(BM$1,main!$A$3:$H$102,4,FALSE),VLOOKUP(BM$1,main!$A$3:$H$102,4,FALSE)+VLOOKUP($A100,main!$A$3:$H$102,4,FALSE)+(VLOOKUP(VLOOKUP(BM$1,main!$A$3:$H$102,8,FALSE),main!$K$19:$O$22,MATCH(VLOOKUP($A100,main!$A$3:$H$102,7,FALSE),main!$K$18:$O$18,0),0))),0)</f>
        <v>0</v>
      </c>
      <c r="BN100">
        <f>IF((gamma!BN100),IF(VLOOKUP(BN$1,main!$A$3:$H$102,7,FALSE)=VLOOKUP($A100,main!$A$3:$H$102,8,FALSE),VLOOKUP(BN$1,main!$A$3:$H$102,4,FALSE),VLOOKUP(BN$1,main!$A$3:$H$102,4,FALSE)+VLOOKUP($A100,main!$A$3:$H$102,4,FALSE)+(VLOOKUP(VLOOKUP(BN$1,main!$A$3:$H$102,8,FALSE),main!$K$19:$O$22,MATCH(VLOOKUP($A100,main!$A$3:$H$102,7,FALSE),main!$K$18:$O$18,0),0))),0)</f>
        <v>120</v>
      </c>
      <c r="BO100">
        <f>IF((gamma!BO100),IF(VLOOKUP(BO$1,main!$A$3:$H$102,7,FALSE)=VLOOKUP($A100,main!$A$3:$H$102,8,FALSE),VLOOKUP(BO$1,main!$A$3:$H$102,4,FALSE),VLOOKUP(BO$1,main!$A$3:$H$102,4,FALSE)+VLOOKUP($A100,main!$A$3:$H$102,4,FALSE)+(VLOOKUP(VLOOKUP(BO$1,main!$A$3:$H$102,8,FALSE),main!$K$19:$O$22,MATCH(VLOOKUP($A100,main!$A$3:$H$102,7,FALSE),main!$K$18:$O$18,0),0))),0)</f>
        <v>0</v>
      </c>
      <c r="BP100">
        <f>IF((gamma!BP100),IF(VLOOKUP(BP$1,main!$A$3:$H$102,7,FALSE)=VLOOKUP($A100,main!$A$3:$H$102,8,FALSE),VLOOKUP(BP$1,main!$A$3:$H$102,4,FALSE),VLOOKUP(BP$1,main!$A$3:$H$102,4,FALSE)+VLOOKUP($A100,main!$A$3:$H$102,4,FALSE)+(VLOOKUP(VLOOKUP(BP$1,main!$A$3:$H$102,8,FALSE),main!$K$19:$O$22,MATCH(VLOOKUP($A100,main!$A$3:$H$102,7,FALSE),main!$K$18:$O$18,0),0))),0)</f>
        <v>0</v>
      </c>
      <c r="BQ100">
        <f>IF((gamma!BQ100),IF(VLOOKUP(BQ$1,main!$A$3:$H$102,7,FALSE)=VLOOKUP($A100,main!$A$3:$H$102,8,FALSE),VLOOKUP(BQ$1,main!$A$3:$H$102,4,FALSE),VLOOKUP(BQ$1,main!$A$3:$H$102,4,FALSE)+VLOOKUP($A100,main!$A$3:$H$102,4,FALSE)+(VLOOKUP(VLOOKUP(BQ$1,main!$A$3:$H$102,8,FALSE),main!$K$19:$O$22,MATCH(VLOOKUP($A100,main!$A$3:$H$102,7,FALSE),main!$K$18:$O$18,0),0))),0)</f>
        <v>0</v>
      </c>
      <c r="BR100">
        <f>IF((gamma!BR100),IF(VLOOKUP(BR$1,main!$A$3:$H$102,7,FALSE)=VLOOKUP($A100,main!$A$3:$H$102,8,FALSE),VLOOKUP(BR$1,main!$A$3:$H$102,4,FALSE),VLOOKUP(BR$1,main!$A$3:$H$102,4,FALSE)+VLOOKUP($A100,main!$A$3:$H$102,4,FALSE)+(VLOOKUP(VLOOKUP(BR$1,main!$A$3:$H$102,8,FALSE),main!$K$19:$O$22,MATCH(VLOOKUP($A100,main!$A$3:$H$102,7,FALSE),main!$K$18:$O$18,0),0))),0)</f>
        <v>0</v>
      </c>
      <c r="BS100">
        <f>IF((gamma!BS100),IF(VLOOKUP(BS$1,main!$A$3:$H$102,7,FALSE)=VLOOKUP($A100,main!$A$3:$H$102,8,FALSE),VLOOKUP(BS$1,main!$A$3:$H$102,4,FALSE),VLOOKUP(BS$1,main!$A$3:$H$102,4,FALSE)+VLOOKUP($A100,main!$A$3:$H$102,4,FALSE)+(VLOOKUP(VLOOKUP(BS$1,main!$A$3:$H$102,8,FALSE),main!$K$19:$O$22,MATCH(VLOOKUP($A100,main!$A$3:$H$102,7,FALSE),main!$K$18:$O$18,0),0))),0)</f>
        <v>0</v>
      </c>
      <c r="BT100">
        <f>IF((gamma!BT100),IF(VLOOKUP(BT$1,main!$A$3:$H$102,7,FALSE)=VLOOKUP($A100,main!$A$3:$H$102,8,FALSE),VLOOKUP(BT$1,main!$A$3:$H$102,4,FALSE),VLOOKUP(BT$1,main!$A$3:$H$102,4,FALSE)+VLOOKUP($A100,main!$A$3:$H$102,4,FALSE)+(VLOOKUP(VLOOKUP(BT$1,main!$A$3:$H$102,8,FALSE),main!$K$19:$O$22,MATCH(VLOOKUP($A100,main!$A$3:$H$102,7,FALSE),main!$K$18:$O$18,0),0))),0)</f>
        <v>0</v>
      </c>
      <c r="BU100">
        <f>IF((gamma!BU100),IF(VLOOKUP(BU$1,main!$A$3:$H$102,7,FALSE)=VLOOKUP($A100,main!$A$3:$H$102,8,FALSE),VLOOKUP(BU$1,main!$A$3:$H$102,4,FALSE),VLOOKUP(BU$1,main!$A$3:$H$102,4,FALSE)+VLOOKUP($A100,main!$A$3:$H$102,4,FALSE)+(VLOOKUP(VLOOKUP(BU$1,main!$A$3:$H$102,8,FALSE),main!$K$19:$O$22,MATCH(VLOOKUP($A100,main!$A$3:$H$102,7,FALSE),main!$K$18:$O$18,0),0))),0)</f>
        <v>0</v>
      </c>
      <c r="BV100">
        <f>IF((gamma!BV100),IF(VLOOKUP(BV$1,main!$A$3:$H$102,7,FALSE)=VLOOKUP($A100,main!$A$3:$H$102,8,FALSE),VLOOKUP(BV$1,main!$A$3:$H$102,4,FALSE),VLOOKUP(BV$1,main!$A$3:$H$102,4,FALSE)+VLOOKUP($A100,main!$A$3:$H$102,4,FALSE)+(VLOOKUP(VLOOKUP(BV$1,main!$A$3:$H$102,8,FALSE),main!$K$19:$O$22,MATCH(VLOOKUP($A100,main!$A$3:$H$102,7,FALSE),main!$K$18:$O$18,0),0))),0)</f>
        <v>0</v>
      </c>
      <c r="BW100">
        <f>IF((gamma!BW100),IF(VLOOKUP(BW$1,main!$A$3:$H$102,7,FALSE)=VLOOKUP($A100,main!$A$3:$H$102,8,FALSE),VLOOKUP(BW$1,main!$A$3:$H$102,4,FALSE),VLOOKUP(BW$1,main!$A$3:$H$102,4,FALSE)+VLOOKUP($A100,main!$A$3:$H$102,4,FALSE)+(VLOOKUP(VLOOKUP(BW$1,main!$A$3:$H$102,8,FALSE),main!$K$19:$O$22,MATCH(VLOOKUP($A100,main!$A$3:$H$102,7,FALSE),main!$K$18:$O$18,0),0))),0)</f>
        <v>0</v>
      </c>
      <c r="BX100">
        <f>IF((gamma!BX100),IF(VLOOKUP(BX$1,main!$A$3:$H$102,7,FALSE)=VLOOKUP($A100,main!$A$3:$H$102,8,FALSE),VLOOKUP(BX$1,main!$A$3:$H$102,4,FALSE),VLOOKUP(BX$1,main!$A$3:$H$102,4,FALSE)+VLOOKUP($A100,main!$A$3:$H$102,4,FALSE)+(VLOOKUP(VLOOKUP(BX$1,main!$A$3:$H$102,8,FALSE),main!$K$19:$O$22,MATCH(VLOOKUP($A100,main!$A$3:$H$102,7,FALSE),main!$K$18:$O$18,0),0))),0)</f>
        <v>0</v>
      </c>
      <c r="BY100">
        <f>IF((gamma!BY100),IF(VLOOKUP(BY$1,main!$A$3:$H$102,7,FALSE)=VLOOKUP($A100,main!$A$3:$H$102,8,FALSE),VLOOKUP(BY$1,main!$A$3:$H$102,4,FALSE),VLOOKUP(BY$1,main!$A$3:$H$102,4,FALSE)+VLOOKUP($A100,main!$A$3:$H$102,4,FALSE)+(VLOOKUP(VLOOKUP(BY$1,main!$A$3:$H$102,8,FALSE),main!$K$19:$O$22,MATCH(VLOOKUP($A100,main!$A$3:$H$102,7,FALSE),main!$K$18:$O$18,0),0))),0)</f>
        <v>0</v>
      </c>
      <c r="BZ100">
        <f>IF((gamma!BZ100),IF(VLOOKUP(BZ$1,main!$A$3:$H$102,7,FALSE)=VLOOKUP($A100,main!$A$3:$H$102,8,FALSE),VLOOKUP(BZ$1,main!$A$3:$H$102,4,FALSE),VLOOKUP(BZ$1,main!$A$3:$H$102,4,FALSE)+VLOOKUP($A100,main!$A$3:$H$102,4,FALSE)+(VLOOKUP(VLOOKUP(BZ$1,main!$A$3:$H$102,8,FALSE),main!$K$19:$O$22,MATCH(VLOOKUP($A100,main!$A$3:$H$102,7,FALSE),main!$K$18:$O$18,0),0))),0)</f>
        <v>0</v>
      </c>
      <c r="CA100">
        <f>IF((gamma!CA100),IF(VLOOKUP(CA$1,main!$A$3:$H$102,7,FALSE)=VLOOKUP($A100,main!$A$3:$H$102,8,FALSE),VLOOKUP(CA$1,main!$A$3:$H$102,4,FALSE),VLOOKUP(CA$1,main!$A$3:$H$102,4,FALSE)+VLOOKUP($A100,main!$A$3:$H$102,4,FALSE)+(VLOOKUP(VLOOKUP(CA$1,main!$A$3:$H$102,8,FALSE),main!$K$19:$O$22,MATCH(VLOOKUP($A100,main!$A$3:$H$102,7,FALSE),main!$K$18:$O$18,0),0))),0)</f>
        <v>0</v>
      </c>
      <c r="CB100">
        <f>IF((gamma!CB100),IF(VLOOKUP(CB$1,main!$A$3:$H$102,7,FALSE)=VLOOKUP($A100,main!$A$3:$H$102,8,FALSE),VLOOKUP(CB$1,main!$A$3:$H$102,4,FALSE),VLOOKUP(CB$1,main!$A$3:$H$102,4,FALSE)+VLOOKUP($A100,main!$A$3:$H$102,4,FALSE)+(VLOOKUP(VLOOKUP(CB$1,main!$A$3:$H$102,8,FALSE),main!$K$19:$O$22,MATCH(VLOOKUP($A100,main!$A$3:$H$102,7,FALSE),main!$K$18:$O$18,0),0))),0)</f>
        <v>65</v>
      </c>
      <c r="CC100">
        <f>IF((gamma!CC100),IF(VLOOKUP(CC$1,main!$A$3:$H$102,7,FALSE)=VLOOKUP($A100,main!$A$3:$H$102,8,FALSE),VLOOKUP(CC$1,main!$A$3:$H$102,4,FALSE),VLOOKUP(CC$1,main!$A$3:$H$102,4,FALSE)+VLOOKUP($A100,main!$A$3:$H$102,4,FALSE)+(VLOOKUP(VLOOKUP(CC$1,main!$A$3:$H$102,8,FALSE),main!$K$19:$O$22,MATCH(VLOOKUP($A100,main!$A$3:$H$102,7,FALSE),main!$K$18:$O$18,0),0))),0)</f>
        <v>55</v>
      </c>
      <c r="CD100">
        <f>IF((gamma!CD100),IF(VLOOKUP(CD$1,main!$A$3:$H$102,7,FALSE)=VLOOKUP($A100,main!$A$3:$H$102,8,FALSE),VLOOKUP(CD$1,main!$A$3:$H$102,4,FALSE),VLOOKUP(CD$1,main!$A$3:$H$102,4,FALSE)+VLOOKUP($A100,main!$A$3:$H$102,4,FALSE)+(VLOOKUP(VLOOKUP(CD$1,main!$A$3:$H$102,8,FALSE),main!$K$19:$O$22,MATCH(VLOOKUP($A100,main!$A$3:$H$102,7,FALSE),main!$K$18:$O$18,0),0))),0)</f>
        <v>0</v>
      </c>
      <c r="CE100">
        <f>IF((gamma!CE100),IF(VLOOKUP(CE$1,main!$A$3:$H$102,7,FALSE)=VLOOKUP($A100,main!$A$3:$H$102,8,FALSE),VLOOKUP(CE$1,main!$A$3:$H$102,4,FALSE),VLOOKUP(CE$1,main!$A$3:$H$102,4,FALSE)+VLOOKUP($A100,main!$A$3:$H$102,4,FALSE)+(VLOOKUP(VLOOKUP(CE$1,main!$A$3:$H$102,8,FALSE),main!$K$19:$O$22,MATCH(VLOOKUP($A100,main!$A$3:$H$102,7,FALSE),main!$K$18:$O$18,0),0))),0)</f>
        <v>0</v>
      </c>
      <c r="CF100">
        <f>IF((gamma!CF100),IF(VLOOKUP(CF$1,main!$A$3:$H$102,7,FALSE)=VLOOKUP($A100,main!$A$3:$H$102,8,FALSE),VLOOKUP(CF$1,main!$A$3:$H$102,4,FALSE),VLOOKUP(CF$1,main!$A$3:$H$102,4,FALSE)+VLOOKUP($A100,main!$A$3:$H$102,4,FALSE)+(VLOOKUP(VLOOKUP(CF$1,main!$A$3:$H$102,8,FALSE),main!$K$19:$O$22,MATCH(VLOOKUP($A100,main!$A$3:$H$102,7,FALSE),main!$K$18:$O$18,0),0))),0)</f>
        <v>0</v>
      </c>
      <c r="CG100">
        <f>IF((gamma!CG100),IF(VLOOKUP(CG$1,main!$A$3:$H$102,7,FALSE)=VLOOKUP($A100,main!$A$3:$H$102,8,FALSE),VLOOKUP(CG$1,main!$A$3:$H$102,4,FALSE),VLOOKUP(CG$1,main!$A$3:$H$102,4,FALSE)+VLOOKUP($A100,main!$A$3:$H$102,4,FALSE)+(VLOOKUP(VLOOKUP(CG$1,main!$A$3:$H$102,8,FALSE),main!$K$19:$O$22,MATCH(VLOOKUP($A100,main!$A$3:$H$102,7,FALSE),main!$K$18:$O$18,0),0))),0)</f>
        <v>0</v>
      </c>
      <c r="CH100">
        <f>IF((gamma!CH100),IF(VLOOKUP(CH$1,main!$A$3:$H$102,7,FALSE)=VLOOKUP($A100,main!$A$3:$H$102,8,FALSE),VLOOKUP(CH$1,main!$A$3:$H$102,4,FALSE),VLOOKUP(CH$1,main!$A$3:$H$102,4,FALSE)+VLOOKUP($A100,main!$A$3:$H$102,4,FALSE)+(VLOOKUP(VLOOKUP(CH$1,main!$A$3:$H$102,8,FALSE),main!$K$19:$O$22,MATCH(VLOOKUP($A100,main!$A$3:$H$102,7,FALSE),main!$K$18:$O$18,0),0))),0)</f>
        <v>255</v>
      </c>
      <c r="CI100">
        <f>IF((gamma!CI100),IF(VLOOKUP(CI$1,main!$A$3:$H$102,7,FALSE)=VLOOKUP($A100,main!$A$3:$H$102,8,FALSE),VLOOKUP(CI$1,main!$A$3:$H$102,4,FALSE),VLOOKUP(CI$1,main!$A$3:$H$102,4,FALSE)+VLOOKUP($A100,main!$A$3:$H$102,4,FALSE)+(VLOOKUP(VLOOKUP(CI$1,main!$A$3:$H$102,8,FALSE),main!$K$19:$O$22,MATCH(VLOOKUP($A100,main!$A$3:$H$102,7,FALSE),main!$K$18:$O$18,0),0))),0)</f>
        <v>255</v>
      </c>
      <c r="CJ100">
        <f>IF((gamma!CJ100),IF(VLOOKUP(CJ$1,main!$A$3:$H$102,7,FALSE)=VLOOKUP($A100,main!$A$3:$H$102,8,FALSE),VLOOKUP(CJ$1,main!$A$3:$H$102,4,FALSE),VLOOKUP(CJ$1,main!$A$3:$H$102,4,FALSE)+VLOOKUP($A100,main!$A$3:$H$102,4,FALSE)+(VLOOKUP(VLOOKUP(CJ$1,main!$A$3:$H$102,8,FALSE),main!$K$19:$O$22,MATCH(VLOOKUP($A100,main!$A$3:$H$102,7,FALSE),main!$K$18:$O$18,0),0))),0)</f>
        <v>0</v>
      </c>
      <c r="CK100">
        <f>IF((gamma!CK100),IF(VLOOKUP(CK$1,main!$A$3:$H$102,7,FALSE)=VLOOKUP($A100,main!$A$3:$H$102,8,FALSE),VLOOKUP(CK$1,main!$A$3:$H$102,4,FALSE),VLOOKUP(CK$1,main!$A$3:$H$102,4,FALSE)+VLOOKUP($A100,main!$A$3:$H$102,4,FALSE)+(VLOOKUP(VLOOKUP(CK$1,main!$A$3:$H$102,8,FALSE),main!$K$19:$O$22,MATCH(VLOOKUP($A100,main!$A$3:$H$102,7,FALSE),main!$K$18:$O$18,0),0))),0)</f>
        <v>0</v>
      </c>
      <c r="CL100">
        <f>IF((gamma!CL100),IF(VLOOKUP(CL$1,main!$A$3:$H$102,7,FALSE)=VLOOKUP($A100,main!$A$3:$H$102,8,FALSE),VLOOKUP(CL$1,main!$A$3:$H$102,4,FALSE),VLOOKUP(CL$1,main!$A$3:$H$102,4,FALSE)+VLOOKUP($A100,main!$A$3:$H$102,4,FALSE)+(VLOOKUP(VLOOKUP(CL$1,main!$A$3:$H$102,8,FALSE),main!$K$19:$O$22,MATCH(VLOOKUP($A100,main!$A$3:$H$102,7,FALSE),main!$K$18:$O$18,0),0))),0)</f>
        <v>0</v>
      </c>
      <c r="CM100">
        <f>IF((gamma!CM100),IF(VLOOKUP(CM$1,main!$A$3:$H$102,7,FALSE)=VLOOKUP($A100,main!$A$3:$H$102,8,FALSE),VLOOKUP(CM$1,main!$A$3:$H$102,4,FALSE),VLOOKUP(CM$1,main!$A$3:$H$102,4,FALSE)+VLOOKUP($A100,main!$A$3:$H$102,4,FALSE)+(VLOOKUP(VLOOKUP(CM$1,main!$A$3:$H$102,8,FALSE),main!$K$19:$O$22,MATCH(VLOOKUP($A100,main!$A$3:$H$102,7,FALSE),main!$K$18:$O$18,0),0))),0)</f>
        <v>215</v>
      </c>
      <c r="CN100">
        <f>IF((gamma!CN100),IF(VLOOKUP(CN$1,main!$A$3:$H$102,7,FALSE)=VLOOKUP($A100,main!$A$3:$H$102,8,FALSE),VLOOKUP(CN$1,main!$A$3:$H$102,4,FALSE),VLOOKUP(CN$1,main!$A$3:$H$102,4,FALSE)+VLOOKUP($A100,main!$A$3:$H$102,4,FALSE)+(VLOOKUP(VLOOKUP(CN$1,main!$A$3:$H$102,8,FALSE),main!$K$19:$O$22,MATCH(VLOOKUP($A100,main!$A$3:$H$102,7,FALSE),main!$K$18:$O$18,0),0))),0)</f>
        <v>211</v>
      </c>
      <c r="CO100">
        <f>IF((gamma!CO100),IF(VLOOKUP(CO$1,main!$A$3:$H$102,7,FALSE)=VLOOKUP($A100,main!$A$3:$H$102,8,FALSE),VLOOKUP(CO$1,main!$A$3:$H$102,4,FALSE),VLOOKUP(CO$1,main!$A$3:$H$102,4,FALSE)+VLOOKUP($A100,main!$A$3:$H$102,4,FALSE)+(VLOOKUP(VLOOKUP(CO$1,main!$A$3:$H$102,8,FALSE),main!$K$19:$O$22,MATCH(VLOOKUP($A100,main!$A$3:$H$102,7,FALSE),main!$K$18:$O$18,0),0))),0)</f>
        <v>0</v>
      </c>
      <c r="CP100">
        <f>IF((gamma!CP100),IF(VLOOKUP(CP$1,main!$A$3:$H$102,7,FALSE)=VLOOKUP($A100,main!$A$3:$H$102,8,FALSE),VLOOKUP(CP$1,main!$A$3:$H$102,4,FALSE),VLOOKUP(CP$1,main!$A$3:$H$102,4,FALSE)+VLOOKUP($A100,main!$A$3:$H$102,4,FALSE)+(VLOOKUP(VLOOKUP(CP$1,main!$A$3:$H$102,8,FALSE),main!$K$19:$O$22,MATCH(VLOOKUP($A100,main!$A$3:$H$102,7,FALSE),main!$K$18:$O$18,0),0))),0)</f>
        <v>0</v>
      </c>
      <c r="CQ100">
        <f>IF((gamma!CQ100),IF(VLOOKUP(CQ$1,main!$A$3:$H$102,7,FALSE)=VLOOKUP($A100,main!$A$3:$H$102,8,FALSE),VLOOKUP(CQ$1,main!$A$3:$H$102,4,FALSE),VLOOKUP(CQ$1,main!$A$3:$H$102,4,FALSE)+VLOOKUP($A100,main!$A$3:$H$102,4,FALSE)+(VLOOKUP(VLOOKUP(CQ$1,main!$A$3:$H$102,8,FALSE),main!$K$19:$O$22,MATCH(VLOOKUP($A100,main!$A$3:$H$102,7,FALSE),main!$K$18:$O$18,0),0))),0)</f>
        <v>0</v>
      </c>
      <c r="CR100">
        <f>IF((gamma!CR100),IF(VLOOKUP(CR$1,main!$A$3:$H$102,7,FALSE)=VLOOKUP($A100,main!$A$3:$H$102,8,FALSE),VLOOKUP(CR$1,main!$A$3:$H$102,4,FALSE),VLOOKUP(CR$1,main!$A$3:$H$102,4,FALSE)+VLOOKUP($A100,main!$A$3:$H$102,4,FALSE)+(VLOOKUP(VLOOKUP(CR$1,main!$A$3:$H$102,8,FALSE),main!$K$19:$O$22,MATCH(VLOOKUP($A100,main!$A$3:$H$102,7,FALSE),main!$K$18:$O$18,0),0))),0)</f>
        <v>248</v>
      </c>
      <c r="CS100">
        <f>IF((gamma!CS100),IF(VLOOKUP(CS$1,main!$A$3:$H$102,7,FALSE)=VLOOKUP($A100,main!$A$3:$H$102,8,FALSE),VLOOKUP(CS$1,main!$A$3:$H$102,4,FALSE),VLOOKUP(CS$1,main!$A$3:$H$102,4,FALSE)+VLOOKUP($A100,main!$A$3:$H$102,4,FALSE)+(VLOOKUP(VLOOKUP(CS$1,main!$A$3:$H$102,8,FALSE),main!$K$19:$O$22,MATCH(VLOOKUP($A100,main!$A$3:$H$102,7,FALSE),main!$K$18:$O$18,0),0))),0)</f>
        <v>248</v>
      </c>
      <c r="CT100">
        <f>IF((gamma!CT100),IF(VLOOKUP(CT$1,main!$A$3:$H$102,7,FALSE)=VLOOKUP($A100,main!$A$3:$H$102,8,FALSE),VLOOKUP(CT$1,main!$A$3:$H$102,4,FALSE),VLOOKUP(CT$1,main!$A$3:$H$102,4,FALSE)+VLOOKUP($A100,main!$A$3:$H$102,4,FALSE)+(VLOOKUP(VLOOKUP(CT$1,main!$A$3:$H$102,8,FALSE),main!$K$19:$O$22,MATCH(VLOOKUP($A100,main!$A$3:$H$102,7,FALSE),main!$K$18:$O$18,0),0))),0)</f>
        <v>0</v>
      </c>
      <c r="CU100">
        <f>IF((gamma!CU100),IF(VLOOKUP(CU$1,main!$A$3:$H$102,7,FALSE)=VLOOKUP($A100,main!$A$3:$H$102,8,FALSE),VLOOKUP(CU$1,main!$A$3:$H$102,4,FALSE),VLOOKUP(CU$1,main!$A$3:$H$102,4,FALSE)+VLOOKUP($A100,main!$A$3:$H$102,4,FALSE)+(VLOOKUP(VLOOKUP(CU$1,main!$A$3:$H$102,8,FALSE),main!$K$19:$O$22,MATCH(VLOOKUP($A100,main!$A$3:$H$102,7,FALSE),main!$K$18:$O$18,0),0))),0)</f>
        <v>0</v>
      </c>
      <c r="CV100">
        <f>IF((gamma!CV100),IF(VLOOKUP(CV$1,main!$A$3:$H$102,7,FALSE)=VLOOKUP($A100,main!$A$3:$H$102,8,FALSE),VLOOKUP(CV$1,main!$A$3:$H$102,4,FALSE),VLOOKUP(CV$1,main!$A$3:$H$102,4,FALSE)+VLOOKUP($A100,main!$A$3:$H$102,4,FALSE)+(VLOOKUP(VLOOKUP(CV$1,main!$A$3:$H$102,8,FALSE),main!$K$19:$O$22,MATCH(VLOOKUP($A100,main!$A$3:$H$102,7,FALSE),main!$K$18:$O$18,0),0))),0)</f>
        <v>0</v>
      </c>
      <c r="CW100">
        <f>IF((gamma!CW100),IF(VLOOKUP(CW$1,main!$A$3:$H$102,7,FALSE)=VLOOKUP($A100,main!$A$3:$H$102,8,FALSE),VLOOKUP(CW$1,main!$A$3:$H$102,4,FALSE),VLOOKUP(CW$1,main!$A$3:$H$102,4,FALSE)+VLOOKUP($A100,main!$A$3:$H$102,4,FALSE)+(VLOOKUP(VLOOKUP(CW$1,main!$A$3:$H$102,8,FALSE),main!$K$19:$O$22,MATCH(VLOOKUP($A100,main!$A$3:$H$102,7,FALSE),main!$K$18:$O$18,0),0))),0)</f>
        <v>208</v>
      </c>
      <c r="CX100">
        <f>IF((gamma!CX100),IF(VLOOKUP(CX$1,main!$A$3:$H$102,7,FALSE)=VLOOKUP($A100,main!$A$3:$H$102,8,FALSE),VLOOKUP(CX$1,main!$A$3:$H$102,4,FALSE),VLOOKUP(CX$1,main!$A$3:$H$102,4,FALSE)+VLOOKUP($A100,main!$A$3:$H$102,4,FALSE)+(VLOOKUP(VLOOKUP(CX$1,main!$A$3:$H$102,8,FALSE),main!$K$19:$O$22,MATCH(VLOOKUP($A100,main!$A$3:$H$102,7,FALSE),main!$K$18:$O$18,0),0))),0)</f>
        <v>198</v>
      </c>
      <c r="CY100">
        <v>0</v>
      </c>
      <c r="CZ100">
        <v>0</v>
      </c>
      <c r="DA100">
        <v>0</v>
      </c>
    </row>
    <row r="101" spans="1:105" x14ac:dyDescent="0.25">
      <c r="A101" s="1">
        <v>99</v>
      </c>
      <c r="B101">
        <v>0</v>
      </c>
      <c r="C101">
        <f>IF((gamma!C101),IF(VLOOKUP(C$1,main!$A$3:$H$102,7,FALSE)=VLOOKUP($A101,main!$A$3:$H$102,8,FALSE),VLOOKUP(C$1,main!$A$3:$H$102,4,FALSE),VLOOKUP(C$1,main!$A$3:$H$102,4,FALSE)+VLOOKUP($A101,main!$A$3:$H$102,4,FALSE)+(VLOOKUP(VLOOKUP(C$1,main!$A$3:$H$102,8,FALSE),main!$K$19:$O$22,MATCH(VLOOKUP($A101,main!$A$3:$H$102,7,FALSE),main!$K$18:$O$18,0),0))),0)</f>
        <v>0</v>
      </c>
      <c r="D101">
        <f>IF((gamma!D101),IF(VLOOKUP(D$1,main!$A$3:$H$102,7,FALSE)=VLOOKUP($A101,main!$A$3:$H$102,8,FALSE),VLOOKUP(D$1,main!$A$3:$H$102,4,FALSE),VLOOKUP(D$1,main!$A$3:$H$102,4,FALSE)+VLOOKUP($A101,main!$A$3:$H$102,4,FALSE)+(VLOOKUP(VLOOKUP(D$1,main!$A$3:$H$102,8,FALSE),main!$K$19:$O$22,MATCH(VLOOKUP($A101,main!$A$3:$H$102,7,FALSE),main!$K$18:$O$18,0),0))),0)</f>
        <v>0</v>
      </c>
      <c r="E101">
        <f>IF((gamma!E101),IF(VLOOKUP(E$1,main!$A$3:$H$102,7,FALSE)=VLOOKUP($A101,main!$A$3:$H$102,8,FALSE),VLOOKUP(E$1,main!$A$3:$H$102,4,FALSE),VLOOKUP(E$1,main!$A$3:$H$102,4,FALSE)+VLOOKUP($A101,main!$A$3:$H$102,4,FALSE)+(VLOOKUP(VLOOKUP(E$1,main!$A$3:$H$102,8,FALSE),main!$K$19:$O$22,MATCH(VLOOKUP($A101,main!$A$3:$H$102,7,FALSE),main!$K$18:$O$18,0),0))),0)</f>
        <v>0</v>
      </c>
      <c r="F101">
        <f>IF((gamma!F101),IF(VLOOKUP(F$1,main!$A$3:$H$102,7,FALSE)=VLOOKUP($A101,main!$A$3:$H$102,8,FALSE),VLOOKUP(F$1,main!$A$3:$H$102,4,FALSE),VLOOKUP(F$1,main!$A$3:$H$102,4,FALSE)+VLOOKUP($A101,main!$A$3:$H$102,4,FALSE)+(VLOOKUP(VLOOKUP(F$1,main!$A$3:$H$102,8,FALSE),main!$K$19:$O$22,MATCH(VLOOKUP($A101,main!$A$3:$H$102,7,FALSE),main!$K$18:$O$18,0),0))),0)</f>
        <v>0</v>
      </c>
      <c r="G101">
        <f>IF((gamma!G101),IF(VLOOKUP(G$1,main!$A$3:$H$102,7,FALSE)=VLOOKUP($A101,main!$A$3:$H$102,8,FALSE),VLOOKUP(G$1,main!$A$3:$H$102,4,FALSE),VLOOKUP(G$1,main!$A$3:$H$102,4,FALSE)+VLOOKUP($A101,main!$A$3:$H$102,4,FALSE)+(VLOOKUP(VLOOKUP(G$1,main!$A$3:$H$102,8,FALSE),main!$K$19:$O$22,MATCH(VLOOKUP($A101,main!$A$3:$H$102,7,FALSE),main!$K$18:$O$18,0),0))),0)</f>
        <v>0</v>
      </c>
      <c r="H101">
        <f>IF((gamma!H101),IF(VLOOKUP(H$1,main!$A$3:$H$102,7,FALSE)=VLOOKUP($A101,main!$A$3:$H$102,8,FALSE),VLOOKUP(H$1,main!$A$3:$H$102,4,FALSE),VLOOKUP(H$1,main!$A$3:$H$102,4,FALSE)+VLOOKUP($A101,main!$A$3:$H$102,4,FALSE)+(VLOOKUP(VLOOKUP(H$1,main!$A$3:$H$102,8,FALSE),main!$K$19:$O$22,MATCH(VLOOKUP($A101,main!$A$3:$H$102,7,FALSE),main!$K$18:$O$18,0),0))),0)</f>
        <v>0</v>
      </c>
      <c r="I101">
        <f>IF((gamma!I101),IF(VLOOKUP(I$1,main!$A$3:$H$102,7,FALSE)=VLOOKUP($A101,main!$A$3:$H$102,8,FALSE),VLOOKUP(I$1,main!$A$3:$H$102,4,FALSE),VLOOKUP(I$1,main!$A$3:$H$102,4,FALSE)+VLOOKUP($A101,main!$A$3:$H$102,4,FALSE)+(VLOOKUP(VLOOKUP(I$1,main!$A$3:$H$102,8,FALSE),main!$K$19:$O$22,MATCH(VLOOKUP($A101,main!$A$3:$H$102,7,FALSE),main!$K$18:$O$18,0),0))),0)</f>
        <v>0</v>
      </c>
      <c r="J101">
        <f>IF((gamma!J101),IF(VLOOKUP(J$1,main!$A$3:$H$102,7,FALSE)=VLOOKUP($A101,main!$A$3:$H$102,8,FALSE),VLOOKUP(J$1,main!$A$3:$H$102,4,FALSE),VLOOKUP(J$1,main!$A$3:$H$102,4,FALSE)+VLOOKUP($A101,main!$A$3:$H$102,4,FALSE)+(VLOOKUP(VLOOKUP(J$1,main!$A$3:$H$102,8,FALSE),main!$K$19:$O$22,MATCH(VLOOKUP($A101,main!$A$3:$H$102,7,FALSE),main!$K$18:$O$18,0),0))),0)</f>
        <v>0</v>
      </c>
      <c r="K101">
        <f>IF((gamma!K101),IF(VLOOKUP(K$1,main!$A$3:$H$102,7,FALSE)=VLOOKUP($A101,main!$A$3:$H$102,8,FALSE),VLOOKUP(K$1,main!$A$3:$H$102,4,FALSE),VLOOKUP(K$1,main!$A$3:$H$102,4,FALSE)+VLOOKUP($A101,main!$A$3:$H$102,4,FALSE)+(VLOOKUP(VLOOKUP(K$1,main!$A$3:$H$102,8,FALSE),main!$K$19:$O$22,MATCH(VLOOKUP($A101,main!$A$3:$H$102,7,FALSE),main!$K$18:$O$18,0),0))),0)</f>
        <v>0</v>
      </c>
      <c r="L101">
        <f>IF((gamma!L101),IF(VLOOKUP(L$1,main!$A$3:$H$102,7,FALSE)=VLOOKUP($A101,main!$A$3:$H$102,8,FALSE),VLOOKUP(L$1,main!$A$3:$H$102,4,FALSE),VLOOKUP(L$1,main!$A$3:$H$102,4,FALSE)+VLOOKUP($A101,main!$A$3:$H$102,4,FALSE)+(VLOOKUP(VLOOKUP(L$1,main!$A$3:$H$102,8,FALSE),main!$K$19:$O$22,MATCH(VLOOKUP($A101,main!$A$3:$H$102,7,FALSE),main!$K$18:$O$18,0),0))),0)</f>
        <v>270</v>
      </c>
      <c r="M101">
        <f>IF((gamma!M101),IF(VLOOKUP(M$1,main!$A$3:$H$102,7,FALSE)=VLOOKUP($A101,main!$A$3:$H$102,8,FALSE),VLOOKUP(M$1,main!$A$3:$H$102,4,FALSE),VLOOKUP(M$1,main!$A$3:$H$102,4,FALSE)+VLOOKUP($A101,main!$A$3:$H$102,4,FALSE)+(VLOOKUP(VLOOKUP(M$1,main!$A$3:$H$102,8,FALSE),main!$K$19:$O$22,MATCH(VLOOKUP($A101,main!$A$3:$H$102,7,FALSE),main!$K$18:$O$18,0),0))),0)</f>
        <v>0</v>
      </c>
      <c r="N101">
        <f>IF((gamma!N101),IF(VLOOKUP(N$1,main!$A$3:$H$102,7,FALSE)=VLOOKUP($A101,main!$A$3:$H$102,8,FALSE),VLOOKUP(N$1,main!$A$3:$H$102,4,FALSE),VLOOKUP(N$1,main!$A$3:$H$102,4,FALSE)+VLOOKUP($A101,main!$A$3:$H$102,4,FALSE)+(VLOOKUP(VLOOKUP(N$1,main!$A$3:$H$102,8,FALSE),main!$K$19:$O$22,MATCH(VLOOKUP($A101,main!$A$3:$H$102,7,FALSE),main!$K$18:$O$18,0),0))),0)</f>
        <v>0</v>
      </c>
      <c r="O101">
        <f>IF((gamma!O101),IF(VLOOKUP(O$1,main!$A$3:$H$102,7,FALSE)=VLOOKUP($A101,main!$A$3:$H$102,8,FALSE),VLOOKUP(O$1,main!$A$3:$H$102,4,FALSE),VLOOKUP(O$1,main!$A$3:$H$102,4,FALSE)+VLOOKUP($A101,main!$A$3:$H$102,4,FALSE)+(VLOOKUP(VLOOKUP(O$1,main!$A$3:$H$102,8,FALSE),main!$K$19:$O$22,MATCH(VLOOKUP($A101,main!$A$3:$H$102,7,FALSE),main!$K$18:$O$18,0),0))),0)</f>
        <v>0</v>
      </c>
      <c r="P101">
        <f>IF((gamma!P101),IF(VLOOKUP(P$1,main!$A$3:$H$102,7,FALSE)=VLOOKUP($A101,main!$A$3:$H$102,8,FALSE),VLOOKUP(P$1,main!$A$3:$H$102,4,FALSE),VLOOKUP(P$1,main!$A$3:$H$102,4,FALSE)+VLOOKUP($A101,main!$A$3:$H$102,4,FALSE)+(VLOOKUP(VLOOKUP(P$1,main!$A$3:$H$102,8,FALSE),main!$K$19:$O$22,MATCH(VLOOKUP($A101,main!$A$3:$H$102,7,FALSE),main!$K$18:$O$18,0),0))),0)</f>
        <v>0</v>
      </c>
      <c r="Q101">
        <f>IF((gamma!Q101),IF(VLOOKUP(Q$1,main!$A$3:$H$102,7,FALSE)=VLOOKUP($A101,main!$A$3:$H$102,8,FALSE),VLOOKUP(Q$1,main!$A$3:$H$102,4,FALSE),VLOOKUP(Q$1,main!$A$3:$H$102,4,FALSE)+VLOOKUP($A101,main!$A$3:$H$102,4,FALSE)+(VLOOKUP(VLOOKUP(Q$1,main!$A$3:$H$102,8,FALSE),main!$K$19:$O$22,MATCH(VLOOKUP($A101,main!$A$3:$H$102,7,FALSE),main!$K$18:$O$18,0),0))),0)</f>
        <v>0</v>
      </c>
      <c r="R101">
        <f>IF((gamma!R101),IF(VLOOKUP(R$1,main!$A$3:$H$102,7,FALSE)=VLOOKUP($A101,main!$A$3:$H$102,8,FALSE),VLOOKUP(R$1,main!$A$3:$H$102,4,FALSE),VLOOKUP(R$1,main!$A$3:$H$102,4,FALSE)+VLOOKUP($A101,main!$A$3:$H$102,4,FALSE)+(VLOOKUP(VLOOKUP(R$1,main!$A$3:$H$102,8,FALSE),main!$K$19:$O$22,MATCH(VLOOKUP($A101,main!$A$3:$H$102,7,FALSE),main!$K$18:$O$18,0),0))),0)</f>
        <v>0</v>
      </c>
      <c r="S101">
        <f>IF((gamma!S101),IF(VLOOKUP(S$1,main!$A$3:$H$102,7,FALSE)=VLOOKUP($A101,main!$A$3:$H$102,8,FALSE),VLOOKUP(S$1,main!$A$3:$H$102,4,FALSE),VLOOKUP(S$1,main!$A$3:$H$102,4,FALSE)+VLOOKUP($A101,main!$A$3:$H$102,4,FALSE)+(VLOOKUP(VLOOKUP(S$1,main!$A$3:$H$102,8,FALSE),main!$K$19:$O$22,MATCH(VLOOKUP($A101,main!$A$3:$H$102,7,FALSE),main!$K$18:$O$18,0),0))),0)</f>
        <v>0</v>
      </c>
      <c r="T101">
        <f>IF((gamma!T101),IF(VLOOKUP(T$1,main!$A$3:$H$102,7,FALSE)=VLOOKUP($A101,main!$A$3:$H$102,8,FALSE),VLOOKUP(T$1,main!$A$3:$H$102,4,FALSE),VLOOKUP(T$1,main!$A$3:$H$102,4,FALSE)+VLOOKUP($A101,main!$A$3:$H$102,4,FALSE)+(VLOOKUP(VLOOKUP(T$1,main!$A$3:$H$102,8,FALSE),main!$K$19:$O$22,MATCH(VLOOKUP($A101,main!$A$3:$H$102,7,FALSE),main!$K$18:$O$18,0),0))),0)</f>
        <v>0</v>
      </c>
      <c r="U101">
        <f>IF((gamma!U101),IF(VLOOKUP(U$1,main!$A$3:$H$102,7,FALSE)=VLOOKUP($A101,main!$A$3:$H$102,8,FALSE),VLOOKUP(U$1,main!$A$3:$H$102,4,FALSE),VLOOKUP(U$1,main!$A$3:$H$102,4,FALSE)+VLOOKUP($A101,main!$A$3:$H$102,4,FALSE)+(VLOOKUP(VLOOKUP(U$1,main!$A$3:$H$102,8,FALSE),main!$K$19:$O$22,MATCH(VLOOKUP($A101,main!$A$3:$H$102,7,FALSE),main!$K$18:$O$18,0),0))),0)</f>
        <v>268</v>
      </c>
      <c r="V101">
        <f>IF((gamma!V101),IF(VLOOKUP(V$1,main!$A$3:$H$102,7,FALSE)=VLOOKUP($A101,main!$A$3:$H$102,8,FALSE),VLOOKUP(V$1,main!$A$3:$H$102,4,FALSE),VLOOKUP(V$1,main!$A$3:$H$102,4,FALSE)+VLOOKUP($A101,main!$A$3:$H$102,4,FALSE)+(VLOOKUP(VLOOKUP(V$1,main!$A$3:$H$102,8,FALSE),main!$K$19:$O$22,MATCH(VLOOKUP($A101,main!$A$3:$H$102,7,FALSE),main!$K$18:$O$18,0),0))),0)</f>
        <v>268</v>
      </c>
      <c r="W101">
        <f>IF((gamma!W101),IF(VLOOKUP(W$1,main!$A$3:$H$102,7,FALSE)=VLOOKUP($A101,main!$A$3:$H$102,8,FALSE),VLOOKUP(W$1,main!$A$3:$H$102,4,FALSE),VLOOKUP(W$1,main!$A$3:$H$102,4,FALSE)+VLOOKUP($A101,main!$A$3:$H$102,4,FALSE)+(VLOOKUP(VLOOKUP(W$1,main!$A$3:$H$102,8,FALSE),main!$K$19:$O$22,MATCH(VLOOKUP($A101,main!$A$3:$H$102,7,FALSE),main!$K$18:$O$18,0),0))),0)</f>
        <v>0</v>
      </c>
      <c r="X101">
        <f>IF((gamma!X101),IF(VLOOKUP(X$1,main!$A$3:$H$102,7,FALSE)=VLOOKUP($A101,main!$A$3:$H$102,8,FALSE),VLOOKUP(X$1,main!$A$3:$H$102,4,FALSE),VLOOKUP(X$1,main!$A$3:$H$102,4,FALSE)+VLOOKUP($A101,main!$A$3:$H$102,4,FALSE)+(VLOOKUP(VLOOKUP(X$1,main!$A$3:$H$102,8,FALSE),main!$K$19:$O$22,MATCH(VLOOKUP($A101,main!$A$3:$H$102,7,FALSE),main!$K$18:$O$18,0),0))),0)</f>
        <v>0</v>
      </c>
      <c r="Y101">
        <f>IF((gamma!Y101),IF(VLOOKUP(Y$1,main!$A$3:$H$102,7,FALSE)=VLOOKUP($A101,main!$A$3:$H$102,8,FALSE),VLOOKUP(Y$1,main!$A$3:$H$102,4,FALSE),VLOOKUP(Y$1,main!$A$3:$H$102,4,FALSE)+VLOOKUP($A101,main!$A$3:$H$102,4,FALSE)+(VLOOKUP(VLOOKUP(Y$1,main!$A$3:$H$102,8,FALSE),main!$K$19:$O$22,MATCH(VLOOKUP($A101,main!$A$3:$H$102,7,FALSE),main!$K$18:$O$18,0),0))),0)</f>
        <v>0</v>
      </c>
      <c r="Z101">
        <f>IF((gamma!Z101),IF(VLOOKUP(Z$1,main!$A$3:$H$102,7,FALSE)=VLOOKUP($A101,main!$A$3:$H$102,8,FALSE),VLOOKUP(Z$1,main!$A$3:$H$102,4,FALSE),VLOOKUP(Z$1,main!$A$3:$H$102,4,FALSE)+VLOOKUP($A101,main!$A$3:$H$102,4,FALSE)+(VLOOKUP(VLOOKUP(Z$1,main!$A$3:$H$102,8,FALSE),main!$K$19:$O$22,MATCH(VLOOKUP($A101,main!$A$3:$H$102,7,FALSE),main!$K$18:$O$18,0),0))),0)</f>
        <v>0</v>
      </c>
      <c r="AA101">
        <f>IF((gamma!AA101),IF(VLOOKUP(AA$1,main!$A$3:$H$102,7,FALSE)=VLOOKUP($A101,main!$A$3:$H$102,8,FALSE),VLOOKUP(AA$1,main!$A$3:$H$102,4,FALSE),VLOOKUP(AA$1,main!$A$3:$H$102,4,FALSE)+VLOOKUP($A101,main!$A$3:$H$102,4,FALSE)+(VLOOKUP(VLOOKUP(AA$1,main!$A$3:$H$102,8,FALSE),main!$K$19:$O$22,MATCH(VLOOKUP($A101,main!$A$3:$H$102,7,FALSE),main!$K$18:$O$18,0),0))),0)</f>
        <v>235</v>
      </c>
      <c r="AB101">
        <f>IF((gamma!AB101),IF(VLOOKUP(AB$1,main!$A$3:$H$102,7,FALSE)=VLOOKUP($A101,main!$A$3:$H$102,8,FALSE),VLOOKUP(AB$1,main!$A$3:$H$102,4,FALSE),VLOOKUP(AB$1,main!$A$3:$H$102,4,FALSE)+VLOOKUP($A101,main!$A$3:$H$102,4,FALSE)+(VLOOKUP(VLOOKUP(AB$1,main!$A$3:$H$102,8,FALSE),main!$K$19:$O$22,MATCH(VLOOKUP($A101,main!$A$3:$H$102,7,FALSE),main!$K$18:$O$18,0),0))),0)</f>
        <v>0</v>
      </c>
      <c r="AC101">
        <f>IF((gamma!AC101),IF(VLOOKUP(AC$1,main!$A$3:$H$102,7,FALSE)=VLOOKUP($A101,main!$A$3:$H$102,8,FALSE),VLOOKUP(AC$1,main!$A$3:$H$102,4,FALSE),VLOOKUP(AC$1,main!$A$3:$H$102,4,FALSE)+VLOOKUP($A101,main!$A$3:$H$102,4,FALSE)+(VLOOKUP(VLOOKUP(AC$1,main!$A$3:$H$102,8,FALSE),main!$K$19:$O$22,MATCH(VLOOKUP($A101,main!$A$3:$H$102,7,FALSE),main!$K$18:$O$18,0),0))),0)</f>
        <v>0</v>
      </c>
      <c r="AD101">
        <f>IF((gamma!AD101),IF(VLOOKUP(AD$1,main!$A$3:$H$102,7,FALSE)=VLOOKUP($A101,main!$A$3:$H$102,8,FALSE),VLOOKUP(AD$1,main!$A$3:$H$102,4,FALSE),VLOOKUP(AD$1,main!$A$3:$H$102,4,FALSE)+VLOOKUP($A101,main!$A$3:$H$102,4,FALSE)+(VLOOKUP(VLOOKUP(AD$1,main!$A$3:$H$102,8,FALSE),main!$K$19:$O$22,MATCH(VLOOKUP($A101,main!$A$3:$H$102,7,FALSE),main!$K$18:$O$18,0),0))),0)</f>
        <v>0</v>
      </c>
      <c r="AE101">
        <f>IF((gamma!AE101),IF(VLOOKUP(AE$1,main!$A$3:$H$102,7,FALSE)=VLOOKUP($A101,main!$A$3:$H$102,8,FALSE),VLOOKUP(AE$1,main!$A$3:$H$102,4,FALSE),VLOOKUP(AE$1,main!$A$3:$H$102,4,FALSE)+VLOOKUP($A101,main!$A$3:$H$102,4,FALSE)+(VLOOKUP(VLOOKUP(AE$1,main!$A$3:$H$102,8,FALSE),main!$K$19:$O$22,MATCH(VLOOKUP($A101,main!$A$3:$H$102,7,FALSE),main!$K$18:$O$18,0),0))),0)</f>
        <v>0</v>
      </c>
      <c r="AF101">
        <f>IF((gamma!AF101),IF(VLOOKUP(AF$1,main!$A$3:$H$102,7,FALSE)=VLOOKUP($A101,main!$A$3:$H$102,8,FALSE),VLOOKUP(AF$1,main!$A$3:$H$102,4,FALSE),VLOOKUP(AF$1,main!$A$3:$H$102,4,FALSE)+VLOOKUP($A101,main!$A$3:$H$102,4,FALSE)+(VLOOKUP(VLOOKUP(AF$1,main!$A$3:$H$102,8,FALSE),main!$K$19:$O$22,MATCH(VLOOKUP($A101,main!$A$3:$H$102,7,FALSE),main!$K$18:$O$18,0),0))),0)</f>
        <v>0</v>
      </c>
      <c r="AG101">
        <f>IF((gamma!AG101),IF(VLOOKUP(AG$1,main!$A$3:$H$102,7,FALSE)=VLOOKUP($A101,main!$A$3:$H$102,8,FALSE),VLOOKUP(AG$1,main!$A$3:$H$102,4,FALSE),VLOOKUP(AG$1,main!$A$3:$H$102,4,FALSE)+VLOOKUP($A101,main!$A$3:$H$102,4,FALSE)+(VLOOKUP(VLOOKUP(AG$1,main!$A$3:$H$102,8,FALSE),main!$K$19:$O$22,MATCH(VLOOKUP($A101,main!$A$3:$H$102,7,FALSE),main!$K$18:$O$18,0),0))),0)</f>
        <v>0</v>
      </c>
      <c r="AH101">
        <f>IF((gamma!AH101),IF(VLOOKUP(AH$1,main!$A$3:$H$102,7,FALSE)=VLOOKUP($A101,main!$A$3:$H$102,8,FALSE),VLOOKUP(AH$1,main!$A$3:$H$102,4,FALSE),VLOOKUP(AH$1,main!$A$3:$H$102,4,FALSE)+VLOOKUP($A101,main!$A$3:$H$102,4,FALSE)+(VLOOKUP(VLOOKUP(AH$1,main!$A$3:$H$102,8,FALSE),main!$K$19:$O$22,MATCH(VLOOKUP($A101,main!$A$3:$H$102,7,FALSE),main!$K$18:$O$18,0),0))),0)</f>
        <v>0</v>
      </c>
      <c r="AI101">
        <f>IF((gamma!AI101),IF(VLOOKUP(AI$1,main!$A$3:$H$102,7,FALSE)=VLOOKUP($A101,main!$A$3:$H$102,8,FALSE),VLOOKUP(AI$1,main!$A$3:$H$102,4,FALSE),VLOOKUP(AI$1,main!$A$3:$H$102,4,FALSE)+VLOOKUP($A101,main!$A$3:$H$102,4,FALSE)+(VLOOKUP(VLOOKUP(AI$1,main!$A$3:$H$102,8,FALSE),main!$K$19:$O$22,MATCH(VLOOKUP($A101,main!$A$3:$H$102,7,FALSE),main!$K$18:$O$18,0),0))),0)</f>
        <v>0</v>
      </c>
      <c r="AJ101">
        <f>IF((gamma!AJ101),IF(VLOOKUP(AJ$1,main!$A$3:$H$102,7,FALSE)=VLOOKUP($A101,main!$A$3:$H$102,8,FALSE),VLOOKUP(AJ$1,main!$A$3:$H$102,4,FALSE),VLOOKUP(AJ$1,main!$A$3:$H$102,4,FALSE)+VLOOKUP($A101,main!$A$3:$H$102,4,FALSE)+(VLOOKUP(VLOOKUP(AJ$1,main!$A$3:$H$102,8,FALSE),main!$K$19:$O$22,MATCH(VLOOKUP($A101,main!$A$3:$H$102,7,FALSE),main!$K$18:$O$18,0),0))),0)</f>
        <v>0</v>
      </c>
      <c r="AK101">
        <f>IF((gamma!AK101),IF(VLOOKUP(AK$1,main!$A$3:$H$102,7,FALSE)=VLOOKUP($A101,main!$A$3:$H$102,8,FALSE),VLOOKUP(AK$1,main!$A$3:$H$102,4,FALSE),VLOOKUP(AK$1,main!$A$3:$H$102,4,FALSE)+VLOOKUP($A101,main!$A$3:$H$102,4,FALSE)+(VLOOKUP(VLOOKUP(AK$1,main!$A$3:$H$102,8,FALSE),main!$K$19:$O$22,MATCH(VLOOKUP($A101,main!$A$3:$H$102,7,FALSE),main!$K$18:$O$18,0),0))),0)</f>
        <v>0</v>
      </c>
      <c r="AL101">
        <f>IF((gamma!AL101),IF(VLOOKUP(AL$1,main!$A$3:$H$102,7,FALSE)=VLOOKUP($A101,main!$A$3:$H$102,8,FALSE),VLOOKUP(AL$1,main!$A$3:$H$102,4,FALSE),VLOOKUP(AL$1,main!$A$3:$H$102,4,FALSE)+VLOOKUP($A101,main!$A$3:$H$102,4,FALSE)+(VLOOKUP(VLOOKUP(AL$1,main!$A$3:$H$102,8,FALSE),main!$K$19:$O$22,MATCH(VLOOKUP($A101,main!$A$3:$H$102,7,FALSE),main!$K$18:$O$18,0),0))),0)</f>
        <v>0</v>
      </c>
      <c r="AM101">
        <f>IF((gamma!AM101),IF(VLOOKUP(AM$1,main!$A$3:$H$102,7,FALSE)=VLOOKUP($A101,main!$A$3:$H$102,8,FALSE),VLOOKUP(AM$1,main!$A$3:$H$102,4,FALSE),VLOOKUP(AM$1,main!$A$3:$H$102,4,FALSE)+VLOOKUP($A101,main!$A$3:$H$102,4,FALSE)+(VLOOKUP(VLOOKUP(AM$1,main!$A$3:$H$102,8,FALSE),main!$K$19:$O$22,MATCH(VLOOKUP($A101,main!$A$3:$H$102,7,FALSE),main!$K$18:$O$18,0),0))),0)</f>
        <v>0</v>
      </c>
      <c r="AN101">
        <f>IF((gamma!AN101),IF(VLOOKUP(AN$1,main!$A$3:$H$102,7,FALSE)=VLOOKUP($A101,main!$A$3:$H$102,8,FALSE),VLOOKUP(AN$1,main!$A$3:$H$102,4,FALSE),VLOOKUP(AN$1,main!$A$3:$H$102,4,FALSE)+VLOOKUP($A101,main!$A$3:$H$102,4,FALSE)+(VLOOKUP(VLOOKUP(AN$1,main!$A$3:$H$102,8,FALSE),main!$K$19:$O$22,MATCH(VLOOKUP($A101,main!$A$3:$H$102,7,FALSE),main!$K$18:$O$18,0),0))),0)</f>
        <v>265</v>
      </c>
      <c r="AO101">
        <f>IF((gamma!AO101),IF(VLOOKUP(AO$1,main!$A$3:$H$102,7,FALSE)=VLOOKUP($A101,main!$A$3:$H$102,8,FALSE),VLOOKUP(AO$1,main!$A$3:$H$102,4,FALSE),VLOOKUP(AO$1,main!$A$3:$H$102,4,FALSE)+VLOOKUP($A101,main!$A$3:$H$102,4,FALSE)+(VLOOKUP(VLOOKUP(AO$1,main!$A$3:$H$102,8,FALSE),main!$K$19:$O$22,MATCH(VLOOKUP($A101,main!$A$3:$H$102,7,FALSE),main!$K$18:$O$18,0),0))),0)</f>
        <v>0</v>
      </c>
      <c r="AP101">
        <f>IF((gamma!AP101),IF(VLOOKUP(AP$1,main!$A$3:$H$102,7,FALSE)=VLOOKUP($A101,main!$A$3:$H$102,8,FALSE),VLOOKUP(AP$1,main!$A$3:$H$102,4,FALSE),VLOOKUP(AP$1,main!$A$3:$H$102,4,FALSE)+VLOOKUP($A101,main!$A$3:$H$102,4,FALSE)+(VLOOKUP(VLOOKUP(AP$1,main!$A$3:$H$102,8,FALSE),main!$K$19:$O$22,MATCH(VLOOKUP($A101,main!$A$3:$H$102,7,FALSE),main!$K$18:$O$18,0),0))),0)</f>
        <v>205</v>
      </c>
      <c r="AQ101">
        <f>IF((gamma!AQ101),IF(VLOOKUP(AQ$1,main!$A$3:$H$102,7,FALSE)=VLOOKUP($A101,main!$A$3:$H$102,8,FALSE),VLOOKUP(AQ$1,main!$A$3:$H$102,4,FALSE),VLOOKUP(AQ$1,main!$A$3:$H$102,4,FALSE)+VLOOKUP($A101,main!$A$3:$H$102,4,FALSE)+(VLOOKUP(VLOOKUP(AQ$1,main!$A$3:$H$102,8,FALSE),main!$K$19:$O$22,MATCH(VLOOKUP($A101,main!$A$3:$H$102,7,FALSE),main!$K$18:$O$18,0),0))),0)</f>
        <v>0</v>
      </c>
      <c r="AR101">
        <f>IF((gamma!AR101),IF(VLOOKUP(AR$1,main!$A$3:$H$102,7,FALSE)=VLOOKUP($A101,main!$A$3:$H$102,8,FALSE),VLOOKUP(AR$1,main!$A$3:$H$102,4,FALSE),VLOOKUP(AR$1,main!$A$3:$H$102,4,FALSE)+VLOOKUP($A101,main!$A$3:$H$102,4,FALSE)+(VLOOKUP(VLOOKUP(AR$1,main!$A$3:$H$102,8,FALSE),main!$K$19:$O$22,MATCH(VLOOKUP($A101,main!$A$3:$H$102,7,FALSE),main!$K$18:$O$18,0),0))),0)</f>
        <v>0</v>
      </c>
      <c r="AS101">
        <f>IF((gamma!AS101),IF(VLOOKUP(AS$1,main!$A$3:$H$102,7,FALSE)=VLOOKUP($A101,main!$A$3:$H$102,8,FALSE),VLOOKUP(AS$1,main!$A$3:$H$102,4,FALSE),VLOOKUP(AS$1,main!$A$3:$H$102,4,FALSE)+VLOOKUP($A101,main!$A$3:$H$102,4,FALSE)+(VLOOKUP(VLOOKUP(AS$1,main!$A$3:$H$102,8,FALSE),main!$K$19:$O$22,MATCH(VLOOKUP($A101,main!$A$3:$H$102,7,FALSE),main!$K$18:$O$18,0),0))),0)</f>
        <v>0</v>
      </c>
      <c r="AT101">
        <f>IF((gamma!AT101),IF(VLOOKUP(AT$1,main!$A$3:$H$102,7,FALSE)=VLOOKUP($A101,main!$A$3:$H$102,8,FALSE),VLOOKUP(AT$1,main!$A$3:$H$102,4,FALSE),VLOOKUP(AT$1,main!$A$3:$H$102,4,FALSE)+VLOOKUP($A101,main!$A$3:$H$102,4,FALSE)+(VLOOKUP(VLOOKUP(AT$1,main!$A$3:$H$102,8,FALSE),main!$K$19:$O$22,MATCH(VLOOKUP($A101,main!$A$3:$H$102,7,FALSE),main!$K$18:$O$18,0),0))),0)</f>
        <v>0</v>
      </c>
      <c r="AU101">
        <f>IF((gamma!AU101),IF(VLOOKUP(AU$1,main!$A$3:$H$102,7,FALSE)=VLOOKUP($A101,main!$A$3:$H$102,8,FALSE),VLOOKUP(AU$1,main!$A$3:$H$102,4,FALSE),VLOOKUP(AU$1,main!$A$3:$H$102,4,FALSE)+VLOOKUP($A101,main!$A$3:$H$102,4,FALSE)+(VLOOKUP(VLOOKUP(AU$1,main!$A$3:$H$102,8,FALSE),main!$K$19:$O$22,MATCH(VLOOKUP($A101,main!$A$3:$H$102,7,FALSE),main!$K$18:$O$18,0),0))),0)</f>
        <v>0</v>
      </c>
      <c r="AV101">
        <f>IF((gamma!AV101),IF(VLOOKUP(AV$1,main!$A$3:$H$102,7,FALSE)=VLOOKUP($A101,main!$A$3:$H$102,8,FALSE),VLOOKUP(AV$1,main!$A$3:$H$102,4,FALSE),VLOOKUP(AV$1,main!$A$3:$H$102,4,FALSE)+VLOOKUP($A101,main!$A$3:$H$102,4,FALSE)+(VLOOKUP(VLOOKUP(AV$1,main!$A$3:$H$102,8,FALSE),main!$K$19:$O$22,MATCH(VLOOKUP($A101,main!$A$3:$H$102,7,FALSE),main!$K$18:$O$18,0),0))),0)</f>
        <v>0</v>
      </c>
      <c r="AW101">
        <f>IF((gamma!AW101),IF(VLOOKUP(AW$1,main!$A$3:$H$102,7,FALSE)=VLOOKUP($A101,main!$A$3:$H$102,8,FALSE),VLOOKUP(AW$1,main!$A$3:$H$102,4,FALSE),VLOOKUP(AW$1,main!$A$3:$H$102,4,FALSE)+VLOOKUP($A101,main!$A$3:$H$102,4,FALSE)+(VLOOKUP(VLOOKUP(AW$1,main!$A$3:$H$102,8,FALSE),main!$K$19:$O$22,MATCH(VLOOKUP($A101,main!$A$3:$H$102,7,FALSE),main!$K$18:$O$18,0),0))),0)</f>
        <v>0</v>
      </c>
      <c r="AX101">
        <f>IF((gamma!AX101),IF(VLOOKUP(AX$1,main!$A$3:$H$102,7,FALSE)=VLOOKUP($A101,main!$A$3:$H$102,8,FALSE),VLOOKUP(AX$1,main!$A$3:$H$102,4,FALSE),VLOOKUP(AX$1,main!$A$3:$H$102,4,FALSE)+VLOOKUP($A101,main!$A$3:$H$102,4,FALSE)+(VLOOKUP(VLOOKUP(AX$1,main!$A$3:$H$102,8,FALSE),main!$K$19:$O$22,MATCH(VLOOKUP($A101,main!$A$3:$H$102,7,FALSE),main!$K$18:$O$18,0),0))),0)</f>
        <v>0</v>
      </c>
      <c r="AY101">
        <f>IF((gamma!AY101),IF(VLOOKUP(AY$1,main!$A$3:$H$102,7,FALSE)=VLOOKUP($A101,main!$A$3:$H$102,8,FALSE),VLOOKUP(AY$1,main!$A$3:$H$102,4,FALSE),VLOOKUP(AY$1,main!$A$3:$H$102,4,FALSE)+VLOOKUP($A101,main!$A$3:$H$102,4,FALSE)+(VLOOKUP(VLOOKUP(AY$1,main!$A$3:$H$102,8,FALSE),main!$K$19:$O$22,MATCH(VLOOKUP($A101,main!$A$3:$H$102,7,FALSE),main!$K$18:$O$18,0),0))),0)</f>
        <v>0</v>
      </c>
      <c r="AZ101">
        <f>IF((gamma!AZ101),IF(VLOOKUP(AZ$1,main!$A$3:$H$102,7,FALSE)=VLOOKUP($A101,main!$A$3:$H$102,8,FALSE),VLOOKUP(AZ$1,main!$A$3:$H$102,4,FALSE),VLOOKUP(AZ$1,main!$A$3:$H$102,4,FALSE)+VLOOKUP($A101,main!$A$3:$H$102,4,FALSE)+(VLOOKUP(VLOOKUP(AZ$1,main!$A$3:$H$102,8,FALSE),main!$K$19:$O$22,MATCH(VLOOKUP($A101,main!$A$3:$H$102,7,FALSE),main!$K$18:$O$18,0),0))),0)</f>
        <v>0</v>
      </c>
      <c r="BA101">
        <f>IF((gamma!BA101),IF(VLOOKUP(BA$1,main!$A$3:$H$102,7,FALSE)=VLOOKUP($A101,main!$A$3:$H$102,8,FALSE),VLOOKUP(BA$1,main!$A$3:$H$102,4,FALSE),VLOOKUP(BA$1,main!$A$3:$H$102,4,FALSE)+VLOOKUP($A101,main!$A$3:$H$102,4,FALSE)+(VLOOKUP(VLOOKUP(BA$1,main!$A$3:$H$102,8,FALSE),main!$K$19:$O$22,MATCH(VLOOKUP($A101,main!$A$3:$H$102,7,FALSE),main!$K$18:$O$18,0),0))),0)</f>
        <v>0</v>
      </c>
      <c r="BB101">
        <f>IF((gamma!BB101),IF(VLOOKUP(BB$1,main!$A$3:$H$102,7,FALSE)=VLOOKUP($A101,main!$A$3:$H$102,8,FALSE),VLOOKUP(BB$1,main!$A$3:$H$102,4,FALSE),VLOOKUP(BB$1,main!$A$3:$H$102,4,FALSE)+VLOOKUP($A101,main!$A$3:$H$102,4,FALSE)+(VLOOKUP(VLOOKUP(BB$1,main!$A$3:$H$102,8,FALSE),main!$K$19:$O$22,MATCH(VLOOKUP($A101,main!$A$3:$H$102,7,FALSE),main!$K$18:$O$18,0),0))),0)</f>
        <v>0</v>
      </c>
      <c r="BC101">
        <f>IF((gamma!BC101),IF(VLOOKUP(BC$1,main!$A$3:$H$102,7,FALSE)=VLOOKUP($A101,main!$A$3:$H$102,8,FALSE),VLOOKUP(BC$1,main!$A$3:$H$102,4,FALSE),VLOOKUP(BC$1,main!$A$3:$H$102,4,FALSE)+VLOOKUP($A101,main!$A$3:$H$102,4,FALSE)+(VLOOKUP(VLOOKUP(BC$1,main!$A$3:$H$102,8,FALSE),main!$K$19:$O$22,MATCH(VLOOKUP($A101,main!$A$3:$H$102,7,FALSE),main!$K$18:$O$18,0),0))),0)</f>
        <v>0</v>
      </c>
      <c r="BD101">
        <f>IF((gamma!BD101),IF(VLOOKUP(BD$1,main!$A$3:$H$102,7,FALSE)=VLOOKUP($A101,main!$A$3:$H$102,8,FALSE),VLOOKUP(BD$1,main!$A$3:$H$102,4,FALSE),VLOOKUP(BD$1,main!$A$3:$H$102,4,FALSE)+VLOOKUP($A101,main!$A$3:$H$102,4,FALSE)+(VLOOKUP(VLOOKUP(BD$1,main!$A$3:$H$102,8,FALSE),main!$K$19:$O$22,MATCH(VLOOKUP($A101,main!$A$3:$H$102,7,FALSE),main!$K$18:$O$18,0),0))),0)</f>
        <v>0</v>
      </c>
      <c r="BE101">
        <f>IF((gamma!BE101),IF(VLOOKUP(BE$1,main!$A$3:$H$102,7,FALSE)=VLOOKUP($A101,main!$A$3:$H$102,8,FALSE),VLOOKUP(BE$1,main!$A$3:$H$102,4,FALSE),VLOOKUP(BE$1,main!$A$3:$H$102,4,FALSE)+VLOOKUP($A101,main!$A$3:$H$102,4,FALSE)+(VLOOKUP(VLOOKUP(BE$1,main!$A$3:$H$102,8,FALSE),main!$K$19:$O$22,MATCH(VLOOKUP($A101,main!$A$3:$H$102,7,FALSE),main!$K$18:$O$18,0),0))),0)</f>
        <v>0</v>
      </c>
      <c r="BF101">
        <f>IF((gamma!BF101),IF(VLOOKUP(BF$1,main!$A$3:$H$102,7,FALSE)=VLOOKUP($A101,main!$A$3:$H$102,8,FALSE),VLOOKUP(BF$1,main!$A$3:$H$102,4,FALSE),VLOOKUP(BF$1,main!$A$3:$H$102,4,FALSE)+VLOOKUP($A101,main!$A$3:$H$102,4,FALSE)+(VLOOKUP(VLOOKUP(BF$1,main!$A$3:$H$102,8,FALSE),main!$K$19:$O$22,MATCH(VLOOKUP($A101,main!$A$3:$H$102,7,FALSE),main!$K$18:$O$18,0),0))),0)</f>
        <v>0</v>
      </c>
      <c r="BG101">
        <f>IF((gamma!BG101),IF(VLOOKUP(BG$1,main!$A$3:$H$102,7,FALSE)=VLOOKUP($A101,main!$A$3:$H$102,8,FALSE),VLOOKUP(BG$1,main!$A$3:$H$102,4,FALSE),VLOOKUP(BG$1,main!$A$3:$H$102,4,FALSE)+VLOOKUP($A101,main!$A$3:$H$102,4,FALSE)+(VLOOKUP(VLOOKUP(BG$1,main!$A$3:$H$102,8,FALSE),main!$K$19:$O$22,MATCH(VLOOKUP($A101,main!$A$3:$H$102,7,FALSE),main!$K$18:$O$18,0),0))),0)</f>
        <v>0</v>
      </c>
      <c r="BH101">
        <f>IF((gamma!BH101),IF(VLOOKUP(BH$1,main!$A$3:$H$102,7,FALSE)=VLOOKUP($A101,main!$A$3:$H$102,8,FALSE),VLOOKUP(BH$1,main!$A$3:$H$102,4,FALSE),VLOOKUP(BH$1,main!$A$3:$H$102,4,FALSE)+VLOOKUP($A101,main!$A$3:$H$102,4,FALSE)+(VLOOKUP(VLOOKUP(BH$1,main!$A$3:$H$102,8,FALSE),main!$K$19:$O$22,MATCH(VLOOKUP($A101,main!$A$3:$H$102,7,FALSE),main!$K$18:$O$18,0),0))),0)</f>
        <v>0</v>
      </c>
      <c r="BI101">
        <f>IF((gamma!BI101),IF(VLOOKUP(BI$1,main!$A$3:$H$102,7,FALSE)=VLOOKUP($A101,main!$A$3:$H$102,8,FALSE),VLOOKUP(BI$1,main!$A$3:$H$102,4,FALSE),VLOOKUP(BI$1,main!$A$3:$H$102,4,FALSE)+VLOOKUP($A101,main!$A$3:$H$102,4,FALSE)+(VLOOKUP(VLOOKUP(BI$1,main!$A$3:$H$102,8,FALSE),main!$K$19:$O$22,MATCH(VLOOKUP($A101,main!$A$3:$H$102,7,FALSE),main!$K$18:$O$18,0),0))),0)</f>
        <v>60</v>
      </c>
      <c r="BJ101">
        <f>IF((gamma!BJ101),IF(VLOOKUP(BJ$1,main!$A$3:$H$102,7,FALSE)=VLOOKUP($A101,main!$A$3:$H$102,8,FALSE),VLOOKUP(BJ$1,main!$A$3:$H$102,4,FALSE),VLOOKUP(BJ$1,main!$A$3:$H$102,4,FALSE)+VLOOKUP($A101,main!$A$3:$H$102,4,FALSE)+(VLOOKUP(VLOOKUP(BJ$1,main!$A$3:$H$102,8,FALSE),main!$K$19:$O$22,MATCH(VLOOKUP($A101,main!$A$3:$H$102,7,FALSE),main!$K$18:$O$18,0),0))),0)</f>
        <v>0</v>
      </c>
      <c r="BK101">
        <f>IF((gamma!BK101),IF(VLOOKUP(BK$1,main!$A$3:$H$102,7,FALSE)=VLOOKUP($A101,main!$A$3:$H$102,8,FALSE),VLOOKUP(BK$1,main!$A$3:$H$102,4,FALSE),VLOOKUP(BK$1,main!$A$3:$H$102,4,FALSE)+VLOOKUP($A101,main!$A$3:$H$102,4,FALSE)+(VLOOKUP(VLOOKUP(BK$1,main!$A$3:$H$102,8,FALSE),main!$K$19:$O$22,MATCH(VLOOKUP($A101,main!$A$3:$H$102,7,FALSE),main!$K$18:$O$18,0),0))),0)</f>
        <v>0</v>
      </c>
      <c r="BL101">
        <f>IF((gamma!BL101),IF(VLOOKUP(BL$1,main!$A$3:$H$102,7,FALSE)=VLOOKUP($A101,main!$A$3:$H$102,8,FALSE),VLOOKUP(BL$1,main!$A$3:$H$102,4,FALSE),VLOOKUP(BL$1,main!$A$3:$H$102,4,FALSE)+VLOOKUP($A101,main!$A$3:$H$102,4,FALSE)+(VLOOKUP(VLOOKUP(BL$1,main!$A$3:$H$102,8,FALSE),main!$K$19:$O$22,MATCH(VLOOKUP($A101,main!$A$3:$H$102,7,FALSE),main!$K$18:$O$18,0),0))),0)</f>
        <v>0</v>
      </c>
      <c r="BM101">
        <f>IF((gamma!BM101),IF(VLOOKUP(BM$1,main!$A$3:$H$102,7,FALSE)=VLOOKUP($A101,main!$A$3:$H$102,8,FALSE),VLOOKUP(BM$1,main!$A$3:$H$102,4,FALSE),VLOOKUP(BM$1,main!$A$3:$H$102,4,FALSE)+VLOOKUP($A101,main!$A$3:$H$102,4,FALSE)+(VLOOKUP(VLOOKUP(BM$1,main!$A$3:$H$102,8,FALSE),main!$K$19:$O$22,MATCH(VLOOKUP($A101,main!$A$3:$H$102,7,FALSE),main!$K$18:$O$18,0),0))),0)</f>
        <v>0</v>
      </c>
      <c r="BN101">
        <f>IF((gamma!BN101),IF(VLOOKUP(BN$1,main!$A$3:$H$102,7,FALSE)=VLOOKUP($A101,main!$A$3:$H$102,8,FALSE),VLOOKUP(BN$1,main!$A$3:$H$102,4,FALSE),VLOOKUP(BN$1,main!$A$3:$H$102,4,FALSE)+VLOOKUP($A101,main!$A$3:$H$102,4,FALSE)+(VLOOKUP(VLOOKUP(BN$1,main!$A$3:$H$102,8,FALSE),main!$K$19:$O$22,MATCH(VLOOKUP($A101,main!$A$3:$H$102,7,FALSE),main!$K$18:$O$18,0),0))),0)</f>
        <v>0</v>
      </c>
      <c r="BO101">
        <f>IF((gamma!BO101),IF(VLOOKUP(BO$1,main!$A$3:$H$102,7,FALSE)=VLOOKUP($A101,main!$A$3:$H$102,8,FALSE),VLOOKUP(BO$1,main!$A$3:$H$102,4,FALSE),VLOOKUP(BO$1,main!$A$3:$H$102,4,FALSE)+VLOOKUP($A101,main!$A$3:$H$102,4,FALSE)+(VLOOKUP(VLOOKUP(BO$1,main!$A$3:$H$102,8,FALSE),main!$K$19:$O$22,MATCH(VLOOKUP($A101,main!$A$3:$H$102,7,FALSE),main!$K$18:$O$18,0),0))),0)</f>
        <v>0</v>
      </c>
      <c r="BP101">
        <f>IF((gamma!BP101),IF(VLOOKUP(BP$1,main!$A$3:$H$102,7,FALSE)=VLOOKUP($A101,main!$A$3:$H$102,8,FALSE),VLOOKUP(BP$1,main!$A$3:$H$102,4,FALSE),VLOOKUP(BP$1,main!$A$3:$H$102,4,FALSE)+VLOOKUP($A101,main!$A$3:$H$102,4,FALSE)+(VLOOKUP(VLOOKUP(BP$1,main!$A$3:$H$102,8,FALSE),main!$K$19:$O$22,MATCH(VLOOKUP($A101,main!$A$3:$H$102,7,FALSE),main!$K$18:$O$18,0),0))),0)</f>
        <v>0</v>
      </c>
      <c r="BQ101">
        <f>IF((gamma!BQ101),IF(VLOOKUP(BQ$1,main!$A$3:$H$102,7,FALSE)=VLOOKUP($A101,main!$A$3:$H$102,8,FALSE),VLOOKUP(BQ$1,main!$A$3:$H$102,4,FALSE),VLOOKUP(BQ$1,main!$A$3:$H$102,4,FALSE)+VLOOKUP($A101,main!$A$3:$H$102,4,FALSE)+(VLOOKUP(VLOOKUP(BQ$1,main!$A$3:$H$102,8,FALSE),main!$K$19:$O$22,MATCH(VLOOKUP($A101,main!$A$3:$H$102,7,FALSE),main!$K$18:$O$18,0),0))),0)</f>
        <v>0</v>
      </c>
      <c r="BR101">
        <f>IF((gamma!BR101),IF(VLOOKUP(BR$1,main!$A$3:$H$102,7,FALSE)=VLOOKUP($A101,main!$A$3:$H$102,8,FALSE),VLOOKUP(BR$1,main!$A$3:$H$102,4,FALSE),VLOOKUP(BR$1,main!$A$3:$H$102,4,FALSE)+VLOOKUP($A101,main!$A$3:$H$102,4,FALSE)+(VLOOKUP(VLOOKUP(BR$1,main!$A$3:$H$102,8,FALSE),main!$K$19:$O$22,MATCH(VLOOKUP($A101,main!$A$3:$H$102,7,FALSE),main!$K$18:$O$18,0),0))),0)</f>
        <v>0</v>
      </c>
      <c r="BS101">
        <f>IF((gamma!BS101),IF(VLOOKUP(BS$1,main!$A$3:$H$102,7,FALSE)=VLOOKUP($A101,main!$A$3:$H$102,8,FALSE),VLOOKUP(BS$1,main!$A$3:$H$102,4,FALSE),VLOOKUP(BS$1,main!$A$3:$H$102,4,FALSE)+VLOOKUP($A101,main!$A$3:$H$102,4,FALSE)+(VLOOKUP(VLOOKUP(BS$1,main!$A$3:$H$102,8,FALSE),main!$K$19:$O$22,MATCH(VLOOKUP($A101,main!$A$3:$H$102,7,FALSE),main!$K$18:$O$18,0),0))),0)</f>
        <v>0</v>
      </c>
      <c r="BT101">
        <f>IF((gamma!BT101),IF(VLOOKUP(BT$1,main!$A$3:$H$102,7,FALSE)=VLOOKUP($A101,main!$A$3:$H$102,8,FALSE),VLOOKUP(BT$1,main!$A$3:$H$102,4,FALSE),VLOOKUP(BT$1,main!$A$3:$H$102,4,FALSE)+VLOOKUP($A101,main!$A$3:$H$102,4,FALSE)+(VLOOKUP(VLOOKUP(BT$1,main!$A$3:$H$102,8,FALSE),main!$K$19:$O$22,MATCH(VLOOKUP($A101,main!$A$3:$H$102,7,FALSE),main!$K$18:$O$18,0),0))),0)</f>
        <v>0</v>
      </c>
      <c r="BU101">
        <f>IF((gamma!BU101),IF(VLOOKUP(BU$1,main!$A$3:$H$102,7,FALSE)=VLOOKUP($A101,main!$A$3:$H$102,8,FALSE),VLOOKUP(BU$1,main!$A$3:$H$102,4,FALSE),VLOOKUP(BU$1,main!$A$3:$H$102,4,FALSE)+VLOOKUP($A101,main!$A$3:$H$102,4,FALSE)+(VLOOKUP(VLOOKUP(BU$1,main!$A$3:$H$102,8,FALSE),main!$K$19:$O$22,MATCH(VLOOKUP($A101,main!$A$3:$H$102,7,FALSE),main!$K$18:$O$18,0),0))),0)</f>
        <v>0</v>
      </c>
      <c r="BV101">
        <f>IF((gamma!BV101),IF(VLOOKUP(BV$1,main!$A$3:$H$102,7,FALSE)=VLOOKUP($A101,main!$A$3:$H$102,8,FALSE),VLOOKUP(BV$1,main!$A$3:$H$102,4,FALSE),VLOOKUP(BV$1,main!$A$3:$H$102,4,FALSE)+VLOOKUP($A101,main!$A$3:$H$102,4,FALSE)+(VLOOKUP(VLOOKUP(BV$1,main!$A$3:$H$102,8,FALSE),main!$K$19:$O$22,MATCH(VLOOKUP($A101,main!$A$3:$H$102,7,FALSE),main!$K$18:$O$18,0),0))),0)</f>
        <v>0</v>
      </c>
      <c r="BW101">
        <f>IF((gamma!BW101),IF(VLOOKUP(BW$1,main!$A$3:$H$102,7,FALSE)=VLOOKUP($A101,main!$A$3:$H$102,8,FALSE),VLOOKUP(BW$1,main!$A$3:$H$102,4,FALSE),VLOOKUP(BW$1,main!$A$3:$H$102,4,FALSE)+VLOOKUP($A101,main!$A$3:$H$102,4,FALSE)+(VLOOKUP(VLOOKUP(BW$1,main!$A$3:$H$102,8,FALSE),main!$K$19:$O$22,MATCH(VLOOKUP($A101,main!$A$3:$H$102,7,FALSE),main!$K$18:$O$18,0),0))),0)</f>
        <v>0</v>
      </c>
      <c r="BX101">
        <f>IF((gamma!BX101),IF(VLOOKUP(BX$1,main!$A$3:$H$102,7,FALSE)=VLOOKUP($A101,main!$A$3:$H$102,8,FALSE),VLOOKUP(BX$1,main!$A$3:$H$102,4,FALSE),VLOOKUP(BX$1,main!$A$3:$H$102,4,FALSE)+VLOOKUP($A101,main!$A$3:$H$102,4,FALSE)+(VLOOKUP(VLOOKUP(BX$1,main!$A$3:$H$102,8,FALSE),main!$K$19:$O$22,MATCH(VLOOKUP($A101,main!$A$3:$H$102,7,FALSE),main!$K$18:$O$18,0),0))),0)</f>
        <v>0</v>
      </c>
      <c r="BY101">
        <f>IF((gamma!BY101),IF(VLOOKUP(BY$1,main!$A$3:$H$102,7,FALSE)=VLOOKUP($A101,main!$A$3:$H$102,8,FALSE),VLOOKUP(BY$1,main!$A$3:$H$102,4,FALSE),VLOOKUP(BY$1,main!$A$3:$H$102,4,FALSE)+VLOOKUP($A101,main!$A$3:$H$102,4,FALSE)+(VLOOKUP(VLOOKUP(BY$1,main!$A$3:$H$102,8,FALSE),main!$K$19:$O$22,MATCH(VLOOKUP($A101,main!$A$3:$H$102,7,FALSE),main!$K$18:$O$18,0),0))),0)</f>
        <v>0</v>
      </c>
      <c r="BZ101">
        <f>IF((gamma!BZ101),IF(VLOOKUP(BZ$1,main!$A$3:$H$102,7,FALSE)=VLOOKUP($A101,main!$A$3:$H$102,8,FALSE),VLOOKUP(BZ$1,main!$A$3:$H$102,4,FALSE),VLOOKUP(BZ$1,main!$A$3:$H$102,4,FALSE)+VLOOKUP($A101,main!$A$3:$H$102,4,FALSE)+(VLOOKUP(VLOOKUP(BZ$1,main!$A$3:$H$102,8,FALSE),main!$K$19:$O$22,MATCH(VLOOKUP($A101,main!$A$3:$H$102,7,FALSE),main!$K$18:$O$18,0),0))),0)</f>
        <v>0</v>
      </c>
      <c r="CA101">
        <f>IF((gamma!CA101),IF(VLOOKUP(CA$1,main!$A$3:$H$102,7,FALSE)=VLOOKUP($A101,main!$A$3:$H$102,8,FALSE),VLOOKUP(CA$1,main!$A$3:$H$102,4,FALSE),VLOOKUP(CA$1,main!$A$3:$H$102,4,FALSE)+VLOOKUP($A101,main!$A$3:$H$102,4,FALSE)+(VLOOKUP(VLOOKUP(CA$1,main!$A$3:$H$102,8,FALSE),main!$K$19:$O$22,MATCH(VLOOKUP($A101,main!$A$3:$H$102,7,FALSE),main!$K$18:$O$18,0),0))),0)</f>
        <v>0</v>
      </c>
      <c r="CB101">
        <f>IF((gamma!CB101),IF(VLOOKUP(CB$1,main!$A$3:$H$102,7,FALSE)=VLOOKUP($A101,main!$A$3:$H$102,8,FALSE),VLOOKUP(CB$1,main!$A$3:$H$102,4,FALSE),VLOOKUP(CB$1,main!$A$3:$H$102,4,FALSE)+VLOOKUP($A101,main!$A$3:$H$102,4,FALSE)+(VLOOKUP(VLOOKUP(CB$1,main!$A$3:$H$102,8,FALSE),main!$K$19:$O$22,MATCH(VLOOKUP($A101,main!$A$3:$H$102,7,FALSE),main!$K$18:$O$18,0),0))),0)</f>
        <v>0</v>
      </c>
      <c r="CC101">
        <f>IF((gamma!CC101),IF(VLOOKUP(CC$1,main!$A$3:$H$102,7,FALSE)=VLOOKUP($A101,main!$A$3:$H$102,8,FALSE),VLOOKUP(CC$1,main!$A$3:$H$102,4,FALSE),VLOOKUP(CC$1,main!$A$3:$H$102,4,FALSE)+VLOOKUP($A101,main!$A$3:$H$102,4,FALSE)+(VLOOKUP(VLOOKUP(CC$1,main!$A$3:$H$102,8,FALSE),main!$K$19:$O$22,MATCH(VLOOKUP($A101,main!$A$3:$H$102,7,FALSE),main!$K$18:$O$18,0),0))),0)</f>
        <v>55</v>
      </c>
      <c r="CD101">
        <f>IF((gamma!CD101),IF(VLOOKUP(CD$1,main!$A$3:$H$102,7,FALSE)=VLOOKUP($A101,main!$A$3:$H$102,8,FALSE),VLOOKUP(CD$1,main!$A$3:$H$102,4,FALSE),VLOOKUP(CD$1,main!$A$3:$H$102,4,FALSE)+VLOOKUP($A101,main!$A$3:$H$102,4,FALSE)+(VLOOKUP(VLOOKUP(CD$1,main!$A$3:$H$102,8,FALSE),main!$K$19:$O$22,MATCH(VLOOKUP($A101,main!$A$3:$H$102,7,FALSE),main!$K$18:$O$18,0),0))),0)</f>
        <v>0</v>
      </c>
      <c r="CE101">
        <f>IF((gamma!CE101),IF(VLOOKUP(CE$1,main!$A$3:$H$102,7,FALSE)=VLOOKUP($A101,main!$A$3:$H$102,8,FALSE),VLOOKUP(CE$1,main!$A$3:$H$102,4,FALSE),VLOOKUP(CE$1,main!$A$3:$H$102,4,FALSE)+VLOOKUP($A101,main!$A$3:$H$102,4,FALSE)+(VLOOKUP(VLOOKUP(CE$1,main!$A$3:$H$102,8,FALSE),main!$K$19:$O$22,MATCH(VLOOKUP($A101,main!$A$3:$H$102,7,FALSE),main!$K$18:$O$18,0),0))),0)</f>
        <v>0</v>
      </c>
      <c r="CF101">
        <f>IF((gamma!CF101),IF(VLOOKUP(CF$1,main!$A$3:$H$102,7,FALSE)=VLOOKUP($A101,main!$A$3:$H$102,8,FALSE),VLOOKUP(CF$1,main!$A$3:$H$102,4,FALSE),VLOOKUP(CF$1,main!$A$3:$H$102,4,FALSE)+VLOOKUP($A101,main!$A$3:$H$102,4,FALSE)+(VLOOKUP(VLOOKUP(CF$1,main!$A$3:$H$102,8,FALSE),main!$K$19:$O$22,MATCH(VLOOKUP($A101,main!$A$3:$H$102,7,FALSE),main!$K$18:$O$18,0),0))),0)</f>
        <v>0</v>
      </c>
      <c r="CG101">
        <f>IF((gamma!CG101),IF(VLOOKUP(CG$1,main!$A$3:$H$102,7,FALSE)=VLOOKUP($A101,main!$A$3:$H$102,8,FALSE),VLOOKUP(CG$1,main!$A$3:$H$102,4,FALSE),VLOOKUP(CG$1,main!$A$3:$H$102,4,FALSE)+VLOOKUP($A101,main!$A$3:$H$102,4,FALSE)+(VLOOKUP(VLOOKUP(CG$1,main!$A$3:$H$102,8,FALSE),main!$K$19:$O$22,MATCH(VLOOKUP($A101,main!$A$3:$H$102,7,FALSE),main!$K$18:$O$18,0),0))),0)</f>
        <v>0</v>
      </c>
      <c r="CH101">
        <f>IF((gamma!CH101),IF(VLOOKUP(CH$1,main!$A$3:$H$102,7,FALSE)=VLOOKUP($A101,main!$A$3:$H$102,8,FALSE),VLOOKUP(CH$1,main!$A$3:$H$102,4,FALSE),VLOOKUP(CH$1,main!$A$3:$H$102,4,FALSE)+VLOOKUP($A101,main!$A$3:$H$102,4,FALSE)+(VLOOKUP(VLOOKUP(CH$1,main!$A$3:$H$102,8,FALSE),main!$K$19:$O$22,MATCH(VLOOKUP($A101,main!$A$3:$H$102,7,FALSE),main!$K$18:$O$18,0),0))),0)</f>
        <v>0</v>
      </c>
      <c r="CI101">
        <f>IF((gamma!CI101),IF(VLOOKUP(CI$1,main!$A$3:$H$102,7,FALSE)=VLOOKUP($A101,main!$A$3:$H$102,8,FALSE),VLOOKUP(CI$1,main!$A$3:$H$102,4,FALSE),VLOOKUP(CI$1,main!$A$3:$H$102,4,FALSE)+VLOOKUP($A101,main!$A$3:$H$102,4,FALSE)+(VLOOKUP(VLOOKUP(CI$1,main!$A$3:$H$102,8,FALSE),main!$K$19:$O$22,MATCH(VLOOKUP($A101,main!$A$3:$H$102,7,FALSE),main!$K$18:$O$18,0),0))),0)</f>
        <v>270</v>
      </c>
      <c r="CJ101">
        <f>IF((gamma!CJ101),IF(VLOOKUP(CJ$1,main!$A$3:$H$102,7,FALSE)=VLOOKUP($A101,main!$A$3:$H$102,8,FALSE),VLOOKUP(CJ$1,main!$A$3:$H$102,4,FALSE),VLOOKUP(CJ$1,main!$A$3:$H$102,4,FALSE)+VLOOKUP($A101,main!$A$3:$H$102,4,FALSE)+(VLOOKUP(VLOOKUP(CJ$1,main!$A$3:$H$102,8,FALSE),main!$K$19:$O$22,MATCH(VLOOKUP($A101,main!$A$3:$H$102,7,FALSE),main!$K$18:$O$18,0),0))),0)</f>
        <v>0</v>
      </c>
      <c r="CK101">
        <f>IF((gamma!CK101),IF(VLOOKUP(CK$1,main!$A$3:$H$102,7,FALSE)=VLOOKUP($A101,main!$A$3:$H$102,8,FALSE),VLOOKUP(CK$1,main!$A$3:$H$102,4,FALSE),VLOOKUP(CK$1,main!$A$3:$H$102,4,FALSE)+VLOOKUP($A101,main!$A$3:$H$102,4,FALSE)+(VLOOKUP(VLOOKUP(CK$1,main!$A$3:$H$102,8,FALSE),main!$K$19:$O$22,MATCH(VLOOKUP($A101,main!$A$3:$H$102,7,FALSE),main!$K$18:$O$18,0),0))),0)</f>
        <v>0</v>
      </c>
      <c r="CL101">
        <f>IF((gamma!CL101),IF(VLOOKUP(CL$1,main!$A$3:$H$102,7,FALSE)=VLOOKUP($A101,main!$A$3:$H$102,8,FALSE),VLOOKUP(CL$1,main!$A$3:$H$102,4,FALSE),VLOOKUP(CL$1,main!$A$3:$H$102,4,FALSE)+VLOOKUP($A101,main!$A$3:$H$102,4,FALSE)+(VLOOKUP(VLOOKUP(CL$1,main!$A$3:$H$102,8,FALSE),main!$K$19:$O$22,MATCH(VLOOKUP($A101,main!$A$3:$H$102,7,FALSE),main!$K$18:$O$18,0),0))),0)</f>
        <v>0</v>
      </c>
      <c r="CM101">
        <f>IF((gamma!CM101),IF(VLOOKUP(CM$1,main!$A$3:$H$102,7,FALSE)=VLOOKUP($A101,main!$A$3:$H$102,8,FALSE),VLOOKUP(CM$1,main!$A$3:$H$102,4,FALSE),VLOOKUP(CM$1,main!$A$3:$H$102,4,FALSE)+VLOOKUP($A101,main!$A$3:$H$102,4,FALSE)+(VLOOKUP(VLOOKUP(CM$1,main!$A$3:$H$102,8,FALSE),main!$K$19:$O$22,MATCH(VLOOKUP($A101,main!$A$3:$H$102,7,FALSE),main!$K$18:$O$18,0),0))),0)</f>
        <v>0</v>
      </c>
      <c r="CN101">
        <f>IF((gamma!CN101),IF(VLOOKUP(CN$1,main!$A$3:$H$102,7,FALSE)=VLOOKUP($A101,main!$A$3:$H$102,8,FALSE),VLOOKUP(CN$1,main!$A$3:$H$102,4,FALSE),VLOOKUP(CN$1,main!$A$3:$H$102,4,FALSE)+VLOOKUP($A101,main!$A$3:$H$102,4,FALSE)+(VLOOKUP(VLOOKUP(CN$1,main!$A$3:$H$102,8,FALSE),main!$K$19:$O$22,MATCH(VLOOKUP($A101,main!$A$3:$H$102,7,FALSE),main!$K$18:$O$18,0),0))),0)</f>
        <v>226</v>
      </c>
      <c r="CO101">
        <f>IF((gamma!CO101),IF(VLOOKUP(CO$1,main!$A$3:$H$102,7,FALSE)=VLOOKUP($A101,main!$A$3:$H$102,8,FALSE),VLOOKUP(CO$1,main!$A$3:$H$102,4,FALSE),VLOOKUP(CO$1,main!$A$3:$H$102,4,FALSE)+VLOOKUP($A101,main!$A$3:$H$102,4,FALSE)+(VLOOKUP(VLOOKUP(CO$1,main!$A$3:$H$102,8,FALSE),main!$K$19:$O$22,MATCH(VLOOKUP($A101,main!$A$3:$H$102,7,FALSE),main!$K$18:$O$18,0),0))),0)</f>
        <v>0</v>
      </c>
      <c r="CP101">
        <f>IF((gamma!CP101),IF(VLOOKUP(CP$1,main!$A$3:$H$102,7,FALSE)=VLOOKUP($A101,main!$A$3:$H$102,8,FALSE),VLOOKUP(CP$1,main!$A$3:$H$102,4,FALSE),VLOOKUP(CP$1,main!$A$3:$H$102,4,FALSE)+VLOOKUP($A101,main!$A$3:$H$102,4,FALSE)+(VLOOKUP(VLOOKUP(CP$1,main!$A$3:$H$102,8,FALSE),main!$K$19:$O$22,MATCH(VLOOKUP($A101,main!$A$3:$H$102,7,FALSE),main!$K$18:$O$18,0),0))),0)</f>
        <v>0</v>
      </c>
      <c r="CQ101">
        <f>IF((gamma!CQ101),IF(VLOOKUP(CQ$1,main!$A$3:$H$102,7,FALSE)=VLOOKUP($A101,main!$A$3:$H$102,8,FALSE),VLOOKUP(CQ$1,main!$A$3:$H$102,4,FALSE),VLOOKUP(CQ$1,main!$A$3:$H$102,4,FALSE)+VLOOKUP($A101,main!$A$3:$H$102,4,FALSE)+(VLOOKUP(VLOOKUP(CQ$1,main!$A$3:$H$102,8,FALSE),main!$K$19:$O$22,MATCH(VLOOKUP($A101,main!$A$3:$H$102,7,FALSE),main!$K$18:$O$18,0),0))),0)</f>
        <v>0</v>
      </c>
      <c r="CR101">
        <f>IF((gamma!CR101),IF(VLOOKUP(CR$1,main!$A$3:$H$102,7,FALSE)=VLOOKUP($A101,main!$A$3:$H$102,8,FALSE),VLOOKUP(CR$1,main!$A$3:$H$102,4,FALSE),VLOOKUP(CR$1,main!$A$3:$H$102,4,FALSE)+VLOOKUP($A101,main!$A$3:$H$102,4,FALSE)+(VLOOKUP(VLOOKUP(CR$1,main!$A$3:$H$102,8,FALSE),main!$K$19:$O$22,MATCH(VLOOKUP($A101,main!$A$3:$H$102,7,FALSE),main!$K$18:$O$18,0),0))),0)</f>
        <v>0</v>
      </c>
      <c r="CS101">
        <f>IF((gamma!CS101),IF(VLOOKUP(CS$1,main!$A$3:$H$102,7,FALSE)=VLOOKUP($A101,main!$A$3:$H$102,8,FALSE),VLOOKUP(CS$1,main!$A$3:$H$102,4,FALSE),VLOOKUP(CS$1,main!$A$3:$H$102,4,FALSE)+VLOOKUP($A101,main!$A$3:$H$102,4,FALSE)+(VLOOKUP(VLOOKUP(CS$1,main!$A$3:$H$102,8,FALSE),main!$K$19:$O$22,MATCH(VLOOKUP($A101,main!$A$3:$H$102,7,FALSE),main!$K$18:$O$18,0),0))),0)</f>
        <v>0</v>
      </c>
      <c r="CT101">
        <f>IF((gamma!CT101),IF(VLOOKUP(CT$1,main!$A$3:$H$102,7,FALSE)=VLOOKUP($A101,main!$A$3:$H$102,8,FALSE),VLOOKUP(CT$1,main!$A$3:$H$102,4,FALSE),VLOOKUP(CT$1,main!$A$3:$H$102,4,FALSE)+VLOOKUP($A101,main!$A$3:$H$102,4,FALSE)+(VLOOKUP(VLOOKUP(CT$1,main!$A$3:$H$102,8,FALSE),main!$K$19:$O$22,MATCH(VLOOKUP($A101,main!$A$3:$H$102,7,FALSE),main!$K$18:$O$18,0),0))),0)</f>
        <v>0</v>
      </c>
      <c r="CU101">
        <f>IF((gamma!CU101),IF(VLOOKUP(CU$1,main!$A$3:$H$102,7,FALSE)=VLOOKUP($A101,main!$A$3:$H$102,8,FALSE),VLOOKUP(CU$1,main!$A$3:$H$102,4,FALSE),VLOOKUP(CU$1,main!$A$3:$H$102,4,FALSE)+VLOOKUP($A101,main!$A$3:$H$102,4,FALSE)+(VLOOKUP(VLOOKUP(CU$1,main!$A$3:$H$102,8,FALSE),main!$K$19:$O$22,MATCH(VLOOKUP($A101,main!$A$3:$H$102,7,FALSE),main!$K$18:$O$18,0),0))),0)</f>
        <v>0</v>
      </c>
      <c r="CV101">
        <f>IF((gamma!CV101),IF(VLOOKUP(CV$1,main!$A$3:$H$102,7,FALSE)=VLOOKUP($A101,main!$A$3:$H$102,8,FALSE),VLOOKUP(CV$1,main!$A$3:$H$102,4,FALSE),VLOOKUP(CV$1,main!$A$3:$H$102,4,FALSE)+VLOOKUP($A101,main!$A$3:$H$102,4,FALSE)+(VLOOKUP(VLOOKUP(CV$1,main!$A$3:$H$102,8,FALSE),main!$K$19:$O$22,MATCH(VLOOKUP($A101,main!$A$3:$H$102,7,FALSE),main!$K$18:$O$18,0),0))),0)</f>
        <v>0</v>
      </c>
      <c r="CW101">
        <f>IF((gamma!CW101),IF(VLOOKUP(CW$1,main!$A$3:$H$102,7,FALSE)=VLOOKUP($A101,main!$A$3:$H$102,8,FALSE),VLOOKUP(CW$1,main!$A$3:$H$102,4,FALSE),VLOOKUP(CW$1,main!$A$3:$H$102,4,FALSE)+VLOOKUP($A101,main!$A$3:$H$102,4,FALSE)+(VLOOKUP(VLOOKUP(CW$1,main!$A$3:$H$102,8,FALSE),main!$K$19:$O$22,MATCH(VLOOKUP($A101,main!$A$3:$H$102,7,FALSE),main!$K$18:$O$18,0),0))),0)</f>
        <v>0</v>
      </c>
      <c r="CX101">
        <f>IF((gamma!CX101),IF(VLOOKUP(CX$1,main!$A$3:$H$102,7,FALSE)=VLOOKUP($A101,main!$A$3:$H$102,8,FALSE),VLOOKUP(CX$1,main!$A$3:$H$102,4,FALSE),VLOOKUP(CX$1,main!$A$3:$H$102,4,FALSE)+VLOOKUP($A101,main!$A$3:$H$102,4,FALSE)+(VLOOKUP(VLOOKUP(CX$1,main!$A$3:$H$102,8,FALSE),main!$K$19:$O$22,MATCH(VLOOKUP($A101,main!$A$3:$H$102,7,FALSE),main!$K$18:$O$18,0),0))),0)</f>
        <v>0</v>
      </c>
      <c r="CY101">
        <v>0</v>
      </c>
      <c r="CZ101">
        <v>0</v>
      </c>
      <c r="DA101">
        <v>0</v>
      </c>
    </row>
    <row r="102" spans="1:105" x14ac:dyDescent="0.25">
      <c r="A102" s="1">
        <v>100</v>
      </c>
      <c r="B102">
        <v>0</v>
      </c>
      <c r="C102">
        <f>IF((gamma!C102),IF(VLOOKUP(C$1,main!$A$3:$H$102,7,FALSE)=VLOOKUP($A102,main!$A$3:$H$102,8,FALSE),VLOOKUP(C$1,main!$A$3:$H$102,4,FALSE),VLOOKUP(C$1,main!$A$3:$H$102,4,FALSE)+VLOOKUP($A102,main!$A$3:$H$102,4,FALSE)+(VLOOKUP(VLOOKUP(C$1,main!$A$3:$H$102,8,FALSE),main!$K$19:$O$22,MATCH(VLOOKUP($A102,main!$A$3:$H$102,7,FALSE),main!$K$18:$O$18,0),0))),0)</f>
        <v>0</v>
      </c>
      <c r="D102">
        <f>IF((gamma!D102),IF(VLOOKUP(D$1,main!$A$3:$H$102,7,FALSE)=VLOOKUP($A102,main!$A$3:$H$102,8,FALSE),VLOOKUP(D$1,main!$A$3:$H$102,4,FALSE),VLOOKUP(D$1,main!$A$3:$H$102,4,FALSE)+VLOOKUP($A102,main!$A$3:$H$102,4,FALSE)+(VLOOKUP(VLOOKUP(D$1,main!$A$3:$H$102,8,FALSE),main!$K$19:$O$22,MATCH(VLOOKUP($A102,main!$A$3:$H$102,7,FALSE),main!$K$18:$O$18,0),0))),0)</f>
        <v>0</v>
      </c>
      <c r="E102">
        <f>IF((gamma!E102),IF(VLOOKUP(E$1,main!$A$3:$H$102,7,FALSE)=VLOOKUP($A102,main!$A$3:$H$102,8,FALSE),VLOOKUP(E$1,main!$A$3:$H$102,4,FALSE),VLOOKUP(E$1,main!$A$3:$H$102,4,FALSE)+VLOOKUP($A102,main!$A$3:$H$102,4,FALSE)+(VLOOKUP(VLOOKUP(E$1,main!$A$3:$H$102,8,FALSE),main!$K$19:$O$22,MATCH(VLOOKUP($A102,main!$A$3:$H$102,7,FALSE),main!$K$18:$O$18,0),0))),0)</f>
        <v>0</v>
      </c>
      <c r="F102">
        <f>IF((gamma!F102),IF(VLOOKUP(F$1,main!$A$3:$H$102,7,FALSE)=VLOOKUP($A102,main!$A$3:$H$102,8,FALSE),VLOOKUP(F$1,main!$A$3:$H$102,4,FALSE),VLOOKUP(F$1,main!$A$3:$H$102,4,FALSE)+VLOOKUP($A102,main!$A$3:$H$102,4,FALSE)+(VLOOKUP(VLOOKUP(F$1,main!$A$3:$H$102,8,FALSE),main!$K$19:$O$22,MATCH(VLOOKUP($A102,main!$A$3:$H$102,7,FALSE),main!$K$18:$O$18,0),0))),0)</f>
        <v>0</v>
      </c>
      <c r="G102">
        <f>IF((gamma!G102),IF(VLOOKUP(G$1,main!$A$3:$H$102,7,FALSE)=VLOOKUP($A102,main!$A$3:$H$102,8,FALSE),VLOOKUP(G$1,main!$A$3:$H$102,4,FALSE),VLOOKUP(G$1,main!$A$3:$H$102,4,FALSE)+VLOOKUP($A102,main!$A$3:$H$102,4,FALSE)+(VLOOKUP(VLOOKUP(G$1,main!$A$3:$H$102,8,FALSE),main!$K$19:$O$22,MATCH(VLOOKUP($A102,main!$A$3:$H$102,7,FALSE),main!$K$18:$O$18,0),0))),0)</f>
        <v>0</v>
      </c>
      <c r="H102">
        <f>IF((gamma!H102),IF(VLOOKUP(H$1,main!$A$3:$H$102,7,FALSE)=VLOOKUP($A102,main!$A$3:$H$102,8,FALSE),VLOOKUP(H$1,main!$A$3:$H$102,4,FALSE),VLOOKUP(H$1,main!$A$3:$H$102,4,FALSE)+VLOOKUP($A102,main!$A$3:$H$102,4,FALSE)+(VLOOKUP(VLOOKUP(H$1,main!$A$3:$H$102,8,FALSE),main!$K$19:$O$22,MATCH(VLOOKUP($A102,main!$A$3:$H$102,7,FALSE),main!$K$18:$O$18,0),0))),0)</f>
        <v>0</v>
      </c>
      <c r="I102">
        <f>IF((gamma!I102),IF(VLOOKUP(I$1,main!$A$3:$H$102,7,FALSE)=VLOOKUP($A102,main!$A$3:$H$102,8,FALSE),VLOOKUP(I$1,main!$A$3:$H$102,4,FALSE),VLOOKUP(I$1,main!$A$3:$H$102,4,FALSE)+VLOOKUP($A102,main!$A$3:$H$102,4,FALSE)+(VLOOKUP(VLOOKUP(I$1,main!$A$3:$H$102,8,FALSE),main!$K$19:$O$22,MATCH(VLOOKUP($A102,main!$A$3:$H$102,7,FALSE),main!$K$18:$O$18,0),0))),0)</f>
        <v>0</v>
      </c>
      <c r="J102">
        <f>IF((gamma!J102),IF(VLOOKUP(J$1,main!$A$3:$H$102,7,FALSE)=VLOOKUP($A102,main!$A$3:$H$102,8,FALSE),VLOOKUP(J$1,main!$A$3:$H$102,4,FALSE),VLOOKUP(J$1,main!$A$3:$H$102,4,FALSE)+VLOOKUP($A102,main!$A$3:$H$102,4,FALSE)+(VLOOKUP(VLOOKUP(J$1,main!$A$3:$H$102,8,FALSE),main!$K$19:$O$22,MATCH(VLOOKUP($A102,main!$A$3:$H$102,7,FALSE),main!$K$18:$O$18,0),0))),0)</f>
        <v>0</v>
      </c>
      <c r="K102">
        <f>IF((gamma!K102),IF(VLOOKUP(K$1,main!$A$3:$H$102,7,FALSE)=VLOOKUP($A102,main!$A$3:$H$102,8,FALSE),VLOOKUP(K$1,main!$A$3:$H$102,4,FALSE),VLOOKUP(K$1,main!$A$3:$H$102,4,FALSE)+VLOOKUP($A102,main!$A$3:$H$102,4,FALSE)+(VLOOKUP(VLOOKUP(K$1,main!$A$3:$H$102,8,FALSE),main!$K$19:$O$22,MATCH(VLOOKUP($A102,main!$A$3:$H$102,7,FALSE),main!$K$18:$O$18,0),0))),0)</f>
        <v>0</v>
      </c>
      <c r="L102">
        <f>IF((gamma!L102),IF(VLOOKUP(L$1,main!$A$3:$H$102,7,FALSE)=VLOOKUP($A102,main!$A$3:$H$102,8,FALSE),VLOOKUP(L$1,main!$A$3:$H$102,4,FALSE),VLOOKUP(L$1,main!$A$3:$H$102,4,FALSE)+VLOOKUP($A102,main!$A$3:$H$102,4,FALSE)+(VLOOKUP(VLOOKUP(L$1,main!$A$3:$H$102,8,FALSE),main!$K$19:$O$22,MATCH(VLOOKUP($A102,main!$A$3:$H$102,7,FALSE),main!$K$18:$O$18,0),0))),0)</f>
        <v>260</v>
      </c>
      <c r="M102">
        <f>IF((gamma!M102),IF(VLOOKUP(M$1,main!$A$3:$H$102,7,FALSE)=VLOOKUP($A102,main!$A$3:$H$102,8,FALSE),VLOOKUP(M$1,main!$A$3:$H$102,4,FALSE),VLOOKUP(M$1,main!$A$3:$H$102,4,FALSE)+VLOOKUP($A102,main!$A$3:$H$102,4,FALSE)+(VLOOKUP(VLOOKUP(M$1,main!$A$3:$H$102,8,FALSE),main!$K$19:$O$22,MATCH(VLOOKUP($A102,main!$A$3:$H$102,7,FALSE),main!$K$18:$O$18,0),0))),0)</f>
        <v>0</v>
      </c>
      <c r="N102">
        <f>IF((gamma!N102),IF(VLOOKUP(N$1,main!$A$3:$H$102,7,FALSE)=VLOOKUP($A102,main!$A$3:$H$102,8,FALSE),VLOOKUP(N$1,main!$A$3:$H$102,4,FALSE),VLOOKUP(N$1,main!$A$3:$H$102,4,FALSE)+VLOOKUP($A102,main!$A$3:$H$102,4,FALSE)+(VLOOKUP(VLOOKUP(N$1,main!$A$3:$H$102,8,FALSE),main!$K$19:$O$22,MATCH(VLOOKUP($A102,main!$A$3:$H$102,7,FALSE),main!$K$18:$O$18,0),0))),0)</f>
        <v>0</v>
      </c>
      <c r="O102">
        <f>IF((gamma!O102),IF(VLOOKUP(O$1,main!$A$3:$H$102,7,FALSE)=VLOOKUP($A102,main!$A$3:$H$102,8,FALSE),VLOOKUP(O$1,main!$A$3:$H$102,4,FALSE),VLOOKUP(O$1,main!$A$3:$H$102,4,FALSE)+VLOOKUP($A102,main!$A$3:$H$102,4,FALSE)+(VLOOKUP(VLOOKUP(O$1,main!$A$3:$H$102,8,FALSE),main!$K$19:$O$22,MATCH(VLOOKUP($A102,main!$A$3:$H$102,7,FALSE),main!$K$18:$O$18,0),0))),0)</f>
        <v>0</v>
      </c>
      <c r="P102">
        <f>IF((gamma!P102),IF(VLOOKUP(P$1,main!$A$3:$H$102,7,FALSE)=VLOOKUP($A102,main!$A$3:$H$102,8,FALSE),VLOOKUP(P$1,main!$A$3:$H$102,4,FALSE),VLOOKUP(P$1,main!$A$3:$H$102,4,FALSE)+VLOOKUP($A102,main!$A$3:$H$102,4,FALSE)+(VLOOKUP(VLOOKUP(P$1,main!$A$3:$H$102,8,FALSE),main!$K$19:$O$22,MATCH(VLOOKUP($A102,main!$A$3:$H$102,7,FALSE),main!$K$18:$O$18,0),0))),0)</f>
        <v>0</v>
      </c>
      <c r="Q102">
        <f>IF((gamma!Q102),IF(VLOOKUP(Q$1,main!$A$3:$H$102,7,FALSE)=VLOOKUP($A102,main!$A$3:$H$102,8,FALSE),VLOOKUP(Q$1,main!$A$3:$H$102,4,FALSE),VLOOKUP(Q$1,main!$A$3:$H$102,4,FALSE)+VLOOKUP($A102,main!$A$3:$H$102,4,FALSE)+(VLOOKUP(VLOOKUP(Q$1,main!$A$3:$H$102,8,FALSE),main!$K$19:$O$22,MATCH(VLOOKUP($A102,main!$A$3:$H$102,7,FALSE),main!$K$18:$O$18,0),0))),0)</f>
        <v>0</v>
      </c>
      <c r="R102">
        <f>IF((gamma!R102),IF(VLOOKUP(R$1,main!$A$3:$H$102,7,FALSE)=VLOOKUP($A102,main!$A$3:$H$102,8,FALSE),VLOOKUP(R$1,main!$A$3:$H$102,4,FALSE),VLOOKUP(R$1,main!$A$3:$H$102,4,FALSE)+VLOOKUP($A102,main!$A$3:$H$102,4,FALSE)+(VLOOKUP(VLOOKUP(R$1,main!$A$3:$H$102,8,FALSE),main!$K$19:$O$22,MATCH(VLOOKUP($A102,main!$A$3:$H$102,7,FALSE),main!$K$18:$O$18,0),0))),0)</f>
        <v>0</v>
      </c>
      <c r="S102">
        <f>IF((gamma!S102),IF(VLOOKUP(S$1,main!$A$3:$H$102,7,FALSE)=VLOOKUP($A102,main!$A$3:$H$102,8,FALSE),VLOOKUP(S$1,main!$A$3:$H$102,4,FALSE),VLOOKUP(S$1,main!$A$3:$H$102,4,FALSE)+VLOOKUP($A102,main!$A$3:$H$102,4,FALSE)+(VLOOKUP(VLOOKUP(S$1,main!$A$3:$H$102,8,FALSE),main!$K$19:$O$22,MATCH(VLOOKUP($A102,main!$A$3:$H$102,7,FALSE),main!$K$18:$O$18,0),0))),0)</f>
        <v>0</v>
      </c>
      <c r="T102">
        <f>IF((gamma!T102),IF(VLOOKUP(T$1,main!$A$3:$H$102,7,FALSE)=VLOOKUP($A102,main!$A$3:$H$102,8,FALSE),VLOOKUP(T$1,main!$A$3:$H$102,4,FALSE),VLOOKUP(T$1,main!$A$3:$H$102,4,FALSE)+VLOOKUP($A102,main!$A$3:$H$102,4,FALSE)+(VLOOKUP(VLOOKUP(T$1,main!$A$3:$H$102,8,FALSE),main!$K$19:$O$22,MATCH(VLOOKUP($A102,main!$A$3:$H$102,7,FALSE),main!$K$18:$O$18,0),0))),0)</f>
        <v>0</v>
      </c>
      <c r="U102">
        <f>IF((gamma!U102),IF(VLOOKUP(U$1,main!$A$3:$H$102,7,FALSE)=VLOOKUP($A102,main!$A$3:$H$102,8,FALSE),VLOOKUP(U$1,main!$A$3:$H$102,4,FALSE),VLOOKUP(U$1,main!$A$3:$H$102,4,FALSE)+VLOOKUP($A102,main!$A$3:$H$102,4,FALSE)+(VLOOKUP(VLOOKUP(U$1,main!$A$3:$H$102,8,FALSE),main!$K$19:$O$22,MATCH(VLOOKUP($A102,main!$A$3:$H$102,7,FALSE),main!$K$18:$O$18,0),0))),0)</f>
        <v>258</v>
      </c>
      <c r="V102">
        <f>IF((gamma!V102),IF(VLOOKUP(V$1,main!$A$3:$H$102,7,FALSE)=VLOOKUP($A102,main!$A$3:$H$102,8,FALSE),VLOOKUP(V$1,main!$A$3:$H$102,4,FALSE),VLOOKUP(V$1,main!$A$3:$H$102,4,FALSE)+VLOOKUP($A102,main!$A$3:$H$102,4,FALSE)+(VLOOKUP(VLOOKUP(V$1,main!$A$3:$H$102,8,FALSE),main!$K$19:$O$22,MATCH(VLOOKUP($A102,main!$A$3:$H$102,7,FALSE),main!$K$18:$O$18,0),0))),0)</f>
        <v>258</v>
      </c>
      <c r="W102">
        <f>IF((gamma!W102),IF(VLOOKUP(W$1,main!$A$3:$H$102,7,FALSE)=VLOOKUP($A102,main!$A$3:$H$102,8,FALSE),VLOOKUP(W$1,main!$A$3:$H$102,4,FALSE),VLOOKUP(W$1,main!$A$3:$H$102,4,FALSE)+VLOOKUP($A102,main!$A$3:$H$102,4,FALSE)+(VLOOKUP(VLOOKUP(W$1,main!$A$3:$H$102,8,FALSE),main!$K$19:$O$22,MATCH(VLOOKUP($A102,main!$A$3:$H$102,7,FALSE),main!$K$18:$O$18,0),0))),0)</f>
        <v>0</v>
      </c>
      <c r="X102">
        <f>IF((gamma!X102),IF(VLOOKUP(X$1,main!$A$3:$H$102,7,FALSE)=VLOOKUP($A102,main!$A$3:$H$102,8,FALSE),VLOOKUP(X$1,main!$A$3:$H$102,4,FALSE),VLOOKUP(X$1,main!$A$3:$H$102,4,FALSE)+VLOOKUP($A102,main!$A$3:$H$102,4,FALSE)+(VLOOKUP(VLOOKUP(X$1,main!$A$3:$H$102,8,FALSE),main!$K$19:$O$22,MATCH(VLOOKUP($A102,main!$A$3:$H$102,7,FALSE),main!$K$18:$O$18,0),0))),0)</f>
        <v>0</v>
      </c>
      <c r="Y102">
        <f>IF((gamma!Y102),IF(VLOOKUP(Y$1,main!$A$3:$H$102,7,FALSE)=VLOOKUP($A102,main!$A$3:$H$102,8,FALSE),VLOOKUP(Y$1,main!$A$3:$H$102,4,FALSE),VLOOKUP(Y$1,main!$A$3:$H$102,4,FALSE)+VLOOKUP($A102,main!$A$3:$H$102,4,FALSE)+(VLOOKUP(VLOOKUP(Y$1,main!$A$3:$H$102,8,FALSE),main!$K$19:$O$22,MATCH(VLOOKUP($A102,main!$A$3:$H$102,7,FALSE),main!$K$18:$O$18,0),0))),0)</f>
        <v>0</v>
      </c>
      <c r="Z102">
        <f>IF((gamma!Z102),IF(VLOOKUP(Z$1,main!$A$3:$H$102,7,FALSE)=VLOOKUP($A102,main!$A$3:$H$102,8,FALSE),VLOOKUP(Z$1,main!$A$3:$H$102,4,FALSE),VLOOKUP(Z$1,main!$A$3:$H$102,4,FALSE)+VLOOKUP($A102,main!$A$3:$H$102,4,FALSE)+(VLOOKUP(VLOOKUP(Z$1,main!$A$3:$H$102,8,FALSE),main!$K$19:$O$22,MATCH(VLOOKUP($A102,main!$A$3:$H$102,7,FALSE),main!$K$18:$O$18,0),0))),0)</f>
        <v>0</v>
      </c>
      <c r="AA102">
        <f>IF((gamma!AA102),IF(VLOOKUP(AA$1,main!$A$3:$H$102,7,FALSE)=VLOOKUP($A102,main!$A$3:$H$102,8,FALSE),VLOOKUP(AA$1,main!$A$3:$H$102,4,FALSE),VLOOKUP(AA$1,main!$A$3:$H$102,4,FALSE)+VLOOKUP($A102,main!$A$3:$H$102,4,FALSE)+(VLOOKUP(VLOOKUP(AA$1,main!$A$3:$H$102,8,FALSE),main!$K$19:$O$22,MATCH(VLOOKUP($A102,main!$A$3:$H$102,7,FALSE),main!$K$18:$O$18,0),0))),0)</f>
        <v>0</v>
      </c>
      <c r="AB102">
        <f>IF((gamma!AB102),IF(VLOOKUP(AB$1,main!$A$3:$H$102,7,FALSE)=VLOOKUP($A102,main!$A$3:$H$102,8,FALSE),VLOOKUP(AB$1,main!$A$3:$H$102,4,FALSE),VLOOKUP(AB$1,main!$A$3:$H$102,4,FALSE)+VLOOKUP($A102,main!$A$3:$H$102,4,FALSE)+(VLOOKUP(VLOOKUP(AB$1,main!$A$3:$H$102,8,FALSE),main!$K$19:$O$22,MATCH(VLOOKUP($A102,main!$A$3:$H$102,7,FALSE),main!$K$18:$O$18,0),0))),0)</f>
        <v>0</v>
      </c>
      <c r="AC102">
        <f>IF((gamma!AC102),IF(VLOOKUP(AC$1,main!$A$3:$H$102,7,FALSE)=VLOOKUP($A102,main!$A$3:$H$102,8,FALSE),VLOOKUP(AC$1,main!$A$3:$H$102,4,FALSE),VLOOKUP(AC$1,main!$A$3:$H$102,4,FALSE)+VLOOKUP($A102,main!$A$3:$H$102,4,FALSE)+(VLOOKUP(VLOOKUP(AC$1,main!$A$3:$H$102,8,FALSE),main!$K$19:$O$22,MATCH(VLOOKUP($A102,main!$A$3:$H$102,7,FALSE),main!$K$18:$O$18,0),0))),0)</f>
        <v>0</v>
      </c>
      <c r="AD102">
        <f>IF((gamma!AD102),IF(VLOOKUP(AD$1,main!$A$3:$H$102,7,FALSE)=VLOOKUP($A102,main!$A$3:$H$102,8,FALSE),VLOOKUP(AD$1,main!$A$3:$H$102,4,FALSE),VLOOKUP(AD$1,main!$A$3:$H$102,4,FALSE)+VLOOKUP($A102,main!$A$3:$H$102,4,FALSE)+(VLOOKUP(VLOOKUP(AD$1,main!$A$3:$H$102,8,FALSE),main!$K$19:$O$22,MATCH(VLOOKUP($A102,main!$A$3:$H$102,7,FALSE),main!$K$18:$O$18,0),0))),0)</f>
        <v>0</v>
      </c>
      <c r="AE102">
        <f>IF((gamma!AE102),IF(VLOOKUP(AE$1,main!$A$3:$H$102,7,FALSE)=VLOOKUP($A102,main!$A$3:$H$102,8,FALSE),VLOOKUP(AE$1,main!$A$3:$H$102,4,FALSE),VLOOKUP(AE$1,main!$A$3:$H$102,4,FALSE)+VLOOKUP($A102,main!$A$3:$H$102,4,FALSE)+(VLOOKUP(VLOOKUP(AE$1,main!$A$3:$H$102,8,FALSE),main!$K$19:$O$22,MATCH(VLOOKUP($A102,main!$A$3:$H$102,7,FALSE),main!$K$18:$O$18,0),0))),0)</f>
        <v>0</v>
      </c>
      <c r="AF102">
        <f>IF((gamma!AF102),IF(VLOOKUP(AF$1,main!$A$3:$H$102,7,FALSE)=VLOOKUP($A102,main!$A$3:$H$102,8,FALSE),VLOOKUP(AF$1,main!$A$3:$H$102,4,FALSE),VLOOKUP(AF$1,main!$A$3:$H$102,4,FALSE)+VLOOKUP($A102,main!$A$3:$H$102,4,FALSE)+(VLOOKUP(VLOOKUP(AF$1,main!$A$3:$H$102,8,FALSE),main!$K$19:$O$22,MATCH(VLOOKUP($A102,main!$A$3:$H$102,7,FALSE),main!$K$18:$O$18,0),0))),0)</f>
        <v>0</v>
      </c>
      <c r="AG102">
        <f>IF((gamma!AG102),IF(VLOOKUP(AG$1,main!$A$3:$H$102,7,FALSE)=VLOOKUP($A102,main!$A$3:$H$102,8,FALSE),VLOOKUP(AG$1,main!$A$3:$H$102,4,FALSE),VLOOKUP(AG$1,main!$A$3:$H$102,4,FALSE)+VLOOKUP($A102,main!$A$3:$H$102,4,FALSE)+(VLOOKUP(VLOOKUP(AG$1,main!$A$3:$H$102,8,FALSE),main!$K$19:$O$22,MATCH(VLOOKUP($A102,main!$A$3:$H$102,7,FALSE),main!$K$18:$O$18,0),0))),0)</f>
        <v>0</v>
      </c>
      <c r="AH102">
        <f>IF((gamma!AH102),IF(VLOOKUP(AH$1,main!$A$3:$H$102,7,FALSE)=VLOOKUP($A102,main!$A$3:$H$102,8,FALSE),VLOOKUP(AH$1,main!$A$3:$H$102,4,FALSE),VLOOKUP(AH$1,main!$A$3:$H$102,4,FALSE)+VLOOKUP($A102,main!$A$3:$H$102,4,FALSE)+(VLOOKUP(VLOOKUP(AH$1,main!$A$3:$H$102,8,FALSE),main!$K$19:$O$22,MATCH(VLOOKUP($A102,main!$A$3:$H$102,7,FALSE),main!$K$18:$O$18,0),0))),0)</f>
        <v>0</v>
      </c>
      <c r="AI102">
        <f>IF((gamma!AI102),IF(VLOOKUP(AI$1,main!$A$3:$H$102,7,FALSE)=VLOOKUP($A102,main!$A$3:$H$102,8,FALSE),VLOOKUP(AI$1,main!$A$3:$H$102,4,FALSE),VLOOKUP(AI$1,main!$A$3:$H$102,4,FALSE)+VLOOKUP($A102,main!$A$3:$H$102,4,FALSE)+(VLOOKUP(VLOOKUP(AI$1,main!$A$3:$H$102,8,FALSE),main!$K$19:$O$22,MATCH(VLOOKUP($A102,main!$A$3:$H$102,7,FALSE),main!$K$18:$O$18,0),0))),0)</f>
        <v>0</v>
      </c>
      <c r="AJ102">
        <f>IF((gamma!AJ102),IF(VLOOKUP(AJ$1,main!$A$3:$H$102,7,FALSE)=VLOOKUP($A102,main!$A$3:$H$102,8,FALSE),VLOOKUP(AJ$1,main!$A$3:$H$102,4,FALSE),VLOOKUP(AJ$1,main!$A$3:$H$102,4,FALSE)+VLOOKUP($A102,main!$A$3:$H$102,4,FALSE)+(VLOOKUP(VLOOKUP(AJ$1,main!$A$3:$H$102,8,FALSE),main!$K$19:$O$22,MATCH(VLOOKUP($A102,main!$A$3:$H$102,7,FALSE),main!$K$18:$O$18,0),0))),0)</f>
        <v>0</v>
      </c>
      <c r="AK102">
        <f>IF((gamma!AK102),IF(VLOOKUP(AK$1,main!$A$3:$H$102,7,FALSE)=VLOOKUP($A102,main!$A$3:$H$102,8,FALSE),VLOOKUP(AK$1,main!$A$3:$H$102,4,FALSE),VLOOKUP(AK$1,main!$A$3:$H$102,4,FALSE)+VLOOKUP($A102,main!$A$3:$H$102,4,FALSE)+(VLOOKUP(VLOOKUP(AK$1,main!$A$3:$H$102,8,FALSE),main!$K$19:$O$22,MATCH(VLOOKUP($A102,main!$A$3:$H$102,7,FALSE),main!$K$18:$O$18,0),0))),0)</f>
        <v>0</v>
      </c>
      <c r="AL102">
        <f>IF((gamma!AL102),IF(VLOOKUP(AL$1,main!$A$3:$H$102,7,FALSE)=VLOOKUP($A102,main!$A$3:$H$102,8,FALSE),VLOOKUP(AL$1,main!$A$3:$H$102,4,FALSE),VLOOKUP(AL$1,main!$A$3:$H$102,4,FALSE)+VLOOKUP($A102,main!$A$3:$H$102,4,FALSE)+(VLOOKUP(VLOOKUP(AL$1,main!$A$3:$H$102,8,FALSE),main!$K$19:$O$22,MATCH(VLOOKUP($A102,main!$A$3:$H$102,7,FALSE),main!$K$18:$O$18,0),0))),0)</f>
        <v>0</v>
      </c>
      <c r="AM102">
        <f>IF((gamma!AM102),IF(VLOOKUP(AM$1,main!$A$3:$H$102,7,FALSE)=VLOOKUP($A102,main!$A$3:$H$102,8,FALSE),VLOOKUP(AM$1,main!$A$3:$H$102,4,FALSE),VLOOKUP(AM$1,main!$A$3:$H$102,4,FALSE)+VLOOKUP($A102,main!$A$3:$H$102,4,FALSE)+(VLOOKUP(VLOOKUP(AM$1,main!$A$3:$H$102,8,FALSE),main!$K$19:$O$22,MATCH(VLOOKUP($A102,main!$A$3:$H$102,7,FALSE),main!$K$18:$O$18,0),0))),0)</f>
        <v>0</v>
      </c>
      <c r="AN102">
        <f>IF((gamma!AN102),IF(VLOOKUP(AN$1,main!$A$3:$H$102,7,FALSE)=VLOOKUP($A102,main!$A$3:$H$102,8,FALSE),VLOOKUP(AN$1,main!$A$3:$H$102,4,FALSE),VLOOKUP(AN$1,main!$A$3:$H$102,4,FALSE)+VLOOKUP($A102,main!$A$3:$H$102,4,FALSE)+(VLOOKUP(VLOOKUP(AN$1,main!$A$3:$H$102,8,FALSE),main!$K$19:$O$22,MATCH(VLOOKUP($A102,main!$A$3:$H$102,7,FALSE),main!$K$18:$O$18,0),0))),0)</f>
        <v>255</v>
      </c>
      <c r="AO102">
        <f>IF((gamma!AO102),IF(VLOOKUP(AO$1,main!$A$3:$H$102,7,FALSE)=VLOOKUP($A102,main!$A$3:$H$102,8,FALSE),VLOOKUP(AO$1,main!$A$3:$H$102,4,FALSE),VLOOKUP(AO$1,main!$A$3:$H$102,4,FALSE)+VLOOKUP($A102,main!$A$3:$H$102,4,FALSE)+(VLOOKUP(VLOOKUP(AO$1,main!$A$3:$H$102,8,FALSE),main!$K$19:$O$22,MATCH(VLOOKUP($A102,main!$A$3:$H$102,7,FALSE),main!$K$18:$O$18,0),0))),0)</f>
        <v>0</v>
      </c>
      <c r="AP102">
        <f>IF((gamma!AP102),IF(VLOOKUP(AP$1,main!$A$3:$H$102,7,FALSE)=VLOOKUP($A102,main!$A$3:$H$102,8,FALSE),VLOOKUP(AP$1,main!$A$3:$H$102,4,FALSE),VLOOKUP(AP$1,main!$A$3:$H$102,4,FALSE)+VLOOKUP($A102,main!$A$3:$H$102,4,FALSE)+(VLOOKUP(VLOOKUP(AP$1,main!$A$3:$H$102,8,FALSE),main!$K$19:$O$22,MATCH(VLOOKUP($A102,main!$A$3:$H$102,7,FALSE),main!$K$18:$O$18,0),0))),0)</f>
        <v>195</v>
      </c>
      <c r="AQ102">
        <f>IF((gamma!AQ102),IF(VLOOKUP(AQ$1,main!$A$3:$H$102,7,FALSE)=VLOOKUP($A102,main!$A$3:$H$102,8,FALSE),VLOOKUP(AQ$1,main!$A$3:$H$102,4,FALSE),VLOOKUP(AQ$1,main!$A$3:$H$102,4,FALSE)+VLOOKUP($A102,main!$A$3:$H$102,4,FALSE)+(VLOOKUP(VLOOKUP(AQ$1,main!$A$3:$H$102,8,FALSE),main!$K$19:$O$22,MATCH(VLOOKUP($A102,main!$A$3:$H$102,7,FALSE),main!$K$18:$O$18,0),0))),0)</f>
        <v>0</v>
      </c>
      <c r="AR102">
        <f>IF((gamma!AR102),IF(VLOOKUP(AR$1,main!$A$3:$H$102,7,FALSE)=VLOOKUP($A102,main!$A$3:$H$102,8,FALSE),VLOOKUP(AR$1,main!$A$3:$H$102,4,FALSE),VLOOKUP(AR$1,main!$A$3:$H$102,4,FALSE)+VLOOKUP($A102,main!$A$3:$H$102,4,FALSE)+(VLOOKUP(VLOOKUP(AR$1,main!$A$3:$H$102,8,FALSE),main!$K$19:$O$22,MATCH(VLOOKUP($A102,main!$A$3:$H$102,7,FALSE),main!$K$18:$O$18,0),0))),0)</f>
        <v>0</v>
      </c>
      <c r="AS102">
        <f>IF((gamma!AS102),IF(VLOOKUP(AS$1,main!$A$3:$H$102,7,FALSE)=VLOOKUP($A102,main!$A$3:$H$102,8,FALSE),VLOOKUP(AS$1,main!$A$3:$H$102,4,FALSE),VLOOKUP(AS$1,main!$A$3:$H$102,4,FALSE)+VLOOKUP($A102,main!$A$3:$H$102,4,FALSE)+(VLOOKUP(VLOOKUP(AS$1,main!$A$3:$H$102,8,FALSE),main!$K$19:$O$22,MATCH(VLOOKUP($A102,main!$A$3:$H$102,7,FALSE),main!$K$18:$O$18,0),0))),0)</f>
        <v>0</v>
      </c>
      <c r="AT102">
        <f>IF((gamma!AT102),IF(VLOOKUP(AT$1,main!$A$3:$H$102,7,FALSE)=VLOOKUP($A102,main!$A$3:$H$102,8,FALSE),VLOOKUP(AT$1,main!$A$3:$H$102,4,FALSE),VLOOKUP(AT$1,main!$A$3:$H$102,4,FALSE)+VLOOKUP($A102,main!$A$3:$H$102,4,FALSE)+(VLOOKUP(VLOOKUP(AT$1,main!$A$3:$H$102,8,FALSE),main!$K$19:$O$22,MATCH(VLOOKUP($A102,main!$A$3:$H$102,7,FALSE),main!$K$18:$O$18,0),0))),0)</f>
        <v>0</v>
      </c>
      <c r="AU102">
        <f>IF((gamma!AU102),IF(VLOOKUP(AU$1,main!$A$3:$H$102,7,FALSE)=VLOOKUP($A102,main!$A$3:$H$102,8,FALSE),VLOOKUP(AU$1,main!$A$3:$H$102,4,FALSE),VLOOKUP(AU$1,main!$A$3:$H$102,4,FALSE)+VLOOKUP($A102,main!$A$3:$H$102,4,FALSE)+(VLOOKUP(VLOOKUP(AU$1,main!$A$3:$H$102,8,FALSE),main!$K$19:$O$22,MATCH(VLOOKUP($A102,main!$A$3:$H$102,7,FALSE),main!$K$18:$O$18,0),0))),0)</f>
        <v>0</v>
      </c>
      <c r="AV102">
        <f>IF((gamma!AV102),IF(VLOOKUP(AV$1,main!$A$3:$H$102,7,FALSE)=VLOOKUP($A102,main!$A$3:$H$102,8,FALSE),VLOOKUP(AV$1,main!$A$3:$H$102,4,FALSE),VLOOKUP(AV$1,main!$A$3:$H$102,4,FALSE)+VLOOKUP($A102,main!$A$3:$H$102,4,FALSE)+(VLOOKUP(VLOOKUP(AV$1,main!$A$3:$H$102,8,FALSE),main!$K$19:$O$22,MATCH(VLOOKUP($A102,main!$A$3:$H$102,7,FALSE),main!$K$18:$O$18,0),0))),0)</f>
        <v>0</v>
      </c>
      <c r="AW102">
        <f>IF((gamma!AW102),IF(VLOOKUP(AW$1,main!$A$3:$H$102,7,FALSE)=VLOOKUP($A102,main!$A$3:$H$102,8,FALSE),VLOOKUP(AW$1,main!$A$3:$H$102,4,FALSE),VLOOKUP(AW$1,main!$A$3:$H$102,4,FALSE)+VLOOKUP($A102,main!$A$3:$H$102,4,FALSE)+(VLOOKUP(VLOOKUP(AW$1,main!$A$3:$H$102,8,FALSE),main!$K$19:$O$22,MATCH(VLOOKUP($A102,main!$A$3:$H$102,7,FALSE),main!$K$18:$O$18,0),0))),0)</f>
        <v>0</v>
      </c>
      <c r="AX102">
        <f>IF((gamma!AX102),IF(VLOOKUP(AX$1,main!$A$3:$H$102,7,FALSE)=VLOOKUP($A102,main!$A$3:$H$102,8,FALSE),VLOOKUP(AX$1,main!$A$3:$H$102,4,FALSE),VLOOKUP(AX$1,main!$A$3:$H$102,4,FALSE)+VLOOKUP($A102,main!$A$3:$H$102,4,FALSE)+(VLOOKUP(VLOOKUP(AX$1,main!$A$3:$H$102,8,FALSE),main!$K$19:$O$22,MATCH(VLOOKUP($A102,main!$A$3:$H$102,7,FALSE),main!$K$18:$O$18,0),0))),0)</f>
        <v>0</v>
      </c>
      <c r="AY102">
        <f>IF((gamma!AY102),IF(VLOOKUP(AY$1,main!$A$3:$H$102,7,FALSE)=VLOOKUP($A102,main!$A$3:$H$102,8,FALSE),VLOOKUP(AY$1,main!$A$3:$H$102,4,FALSE),VLOOKUP(AY$1,main!$A$3:$H$102,4,FALSE)+VLOOKUP($A102,main!$A$3:$H$102,4,FALSE)+(VLOOKUP(VLOOKUP(AY$1,main!$A$3:$H$102,8,FALSE),main!$K$19:$O$22,MATCH(VLOOKUP($A102,main!$A$3:$H$102,7,FALSE),main!$K$18:$O$18,0),0))),0)</f>
        <v>0</v>
      </c>
      <c r="AZ102">
        <f>IF((gamma!AZ102),IF(VLOOKUP(AZ$1,main!$A$3:$H$102,7,FALSE)=VLOOKUP($A102,main!$A$3:$H$102,8,FALSE),VLOOKUP(AZ$1,main!$A$3:$H$102,4,FALSE),VLOOKUP(AZ$1,main!$A$3:$H$102,4,FALSE)+VLOOKUP($A102,main!$A$3:$H$102,4,FALSE)+(VLOOKUP(VLOOKUP(AZ$1,main!$A$3:$H$102,8,FALSE),main!$K$19:$O$22,MATCH(VLOOKUP($A102,main!$A$3:$H$102,7,FALSE),main!$K$18:$O$18,0),0))),0)</f>
        <v>0</v>
      </c>
      <c r="BA102">
        <f>IF((gamma!BA102),IF(VLOOKUP(BA$1,main!$A$3:$H$102,7,FALSE)=VLOOKUP($A102,main!$A$3:$H$102,8,FALSE),VLOOKUP(BA$1,main!$A$3:$H$102,4,FALSE),VLOOKUP(BA$1,main!$A$3:$H$102,4,FALSE)+VLOOKUP($A102,main!$A$3:$H$102,4,FALSE)+(VLOOKUP(VLOOKUP(BA$1,main!$A$3:$H$102,8,FALSE),main!$K$19:$O$22,MATCH(VLOOKUP($A102,main!$A$3:$H$102,7,FALSE),main!$K$18:$O$18,0),0))),0)</f>
        <v>0</v>
      </c>
      <c r="BB102">
        <f>IF((gamma!BB102),IF(VLOOKUP(BB$1,main!$A$3:$H$102,7,FALSE)=VLOOKUP($A102,main!$A$3:$H$102,8,FALSE),VLOOKUP(BB$1,main!$A$3:$H$102,4,FALSE),VLOOKUP(BB$1,main!$A$3:$H$102,4,FALSE)+VLOOKUP($A102,main!$A$3:$H$102,4,FALSE)+(VLOOKUP(VLOOKUP(BB$1,main!$A$3:$H$102,8,FALSE),main!$K$19:$O$22,MATCH(VLOOKUP($A102,main!$A$3:$H$102,7,FALSE),main!$K$18:$O$18,0),0))),0)</f>
        <v>0</v>
      </c>
      <c r="BC102">
        <f>IF((gamma!BC102),IF(VLOOKUP(BC$1,main!$A$3:$H$102,7,FALSE)=VLOOKUP($A102,main!$A$3:$H$102,8,FALSE),VLOOKUP(BC$1,main!$A$3:$H$102,4,FALSE),VLOOKUP(BC$1,main!$A$3:$H$102,4,FALSE)+VLOOKUP($A102,main!$A$3:$H$102,4,FALSE)+(VLOOKUP(VLOOKUP(BC$1,main!$A$3:$H$102,8,FALSE),main!$K$19:$O$22,MATCH(VLOOKUP($A102,main!$A$3:$H$102,7,FALSE),main!$K$18:$O$18,0),0))),0)</f>
        <v>0</v>
      </c>
      <c r="BD102">
        <f>IF((gamma!BD102),IF(VLOOKUP(BD$1,main!$A$3:$H$102,7,FALSE)=VLOOKUP($A102,main!$A$3:$H$102,8,FALSE),VLOOKUP(BD$1,main!$A$3:$H$102,4,FALSE),VLOOKUP(BD$1,main!$A$3:$H$102,4,FALSE)+VLOOKUP($A102,main!$A$3:$H$102,4,FALSE)+(VLOOKUP(VLOOKUP(BD$1,main!$A$3:$H$102,8,FALSE),main!$K$19:$O$22,MATCH(VLOOKUP($A102,main!$A$3:$H$102,7,FALSE),main!$K$18:$O$18,0),0))),0)</f>
        <v>0</v>
      </c>
      <c r="BE102">
        <f>IF((gamma!BE102),IF(VLOOKUP(BE$1,main!$A$3:$H$102,7,FALSE)=VLOOKUP($A102,main!$A$3:$H$102,8,FALSE),VLOOKUP(BE$1,main!$A$3:$H$102,4,FALSE),VLOOKUP(BE$1,main!$A$3:$H$102,4,FALSE)+VLOOKUP($A102,main!$A$3:$H$102,4,FALSE)+(VLOOKUP(VLOOKUP(BE$1,main!$A$3:$H$102,8,FALSE),main!$K$19:$O$22,MATCH(VLOOKUP($A102,main!$A$3:$H$102,7,FALSE),main!$K$18:$O$18,0),0))),0)</f>
        <v>0</v>
      </c>
      <c r="BF102">
        <f>IF((gamma!BF102),IF(VLOOKUP(BF$1,main!$A$3:$H$102,7,FALSE)=VLOOKUP($A102,main!$A$3:$H$102,8,FALSE),VLOOKUP(BF$1,main!$A$3:$H$102,4,FALSE),VLOOKUP(BF$1,main!$A$3:$H$102,4,FALSE)+VLOOKUP($A102,main!$A$3:$H$102,4,FALSE)+(VLOOKUP(VLOOKUP(BF$1,main!$A$3:$H$102,8,FALSE),main!$K$19:$O$22,MATCH(VLOOKUP($A102,main!$A$3:$H$102,7,FALSE),main!$K$18:$O$18,0),0))),0)</f>
        <v>0</v>
      </c>
      <c r="BG102">
        <f>IF((gamma!BG102),IF(VLOOKUP(BG$1,main!$A$3:$H$102,7,FALSE)=VLOOKUP($A102,main!$A$3:$H$102,8,FALSE),VLOOKUP(BG$1,main!$A$3:$H$102,4,FALSE),VLOOKUP(BG$1,main!$A$3:$H$102,4,FALSE)+VLOOKUP($A102,main!$A$3:$H$102,4,FALSE)+(VLOOKUP(VLOOKUP(BG$1,main!$A$3:$H$102,8,FALSE),main!$K$19:$O$22,MATCH(VLOOKUP($A102,main!$A$3:$H$102,7,FALSE),main!$K$18:$O$18,0),0))),0)</f>
        <v>0</v>
      </c>
      <c r="BH102">
        <f>IF((gamma!BH102),IF(VLOOKUP(BH$1,main!$A$3:$H$102,7,FALSE)=VLOOKUP($A102,main!$A$3:$H$102,8,FALSE),VLOOKUP(BH$1,main!$A$3:$H$102,4,FALSE),VLOOKUP(BH$1,main!$A$3:$H$102,4,FALSE)+VLOOKUP($A102,main!$A$3:$H$102,4,FALSE)+(VLOOKUP(VLOOKUP(BH$1,main!$A$3:$H$102,8,FALSE),main!$K$19:$O$22,MATCH(VLOOKUP($A102,main!$A$3:$H$102,7,FALSE),main!$K$18:$O$18,0),0))),0)</f>
        <v>0</v>
      </c>
      <c r="BI102">
        <f>IF((gamma!BI102),IF(VLOOKUP(BI$1,main!$A$3:$H$102,7,FALSE)=VLOOKUP($A102,main!$A$3:$H$102,8,FALSE),VLOOKUP(BI$1,main!$A$3:$H$102,4,FALSE),VLOOKUP(BI$1,main!$A$3:$H$102,4,FALSE)+VLOOKUP($A102,main!$A$3:$H$102,4,FALSE)+(VLOOKUP(VLOOKUP(BI$1,main!$A$3:$H$102,8,FALSE),main!$K$19:$O$22,MATCH(VLOOKUP($A102,main!$A$3:$H$102,7,FALSE),main!$K$18:$O$18,0),0))),0)</f>
        <v>60</v>
      </c>
      <c r="BJ102">
        <f>IF((gamma!BJ102),IF(VLOOKUP(BJ$1,main!$A$3:$H$102,7,FALSE)=VLOOKUP($A102,main!$A$3:$H$102,8,FALSE),VLOOKUP(BJ$1,main!$A$3:$H$102,4,FALSE),VLOOKUP(BJ$1,main!$A$3:$H$102,4,FALSE)+VLOOKUP($A102,main!$A$3:$H$102,4,FALSE)+(VLOOKUP(VLOOKUP(BJ$1,main!$A$3:$H$102,8,FALSE),main!$K$19:$O$22,MATCH(VLOOKUP($A102,main!$A$3:$H$102,7,FALSE),main!$K$18:$O$18,0),0))),0)</f>
        <v>0</v>
      </c>
      <c r="BK102">
        <f>IF((gamma!BK102),IF(VLOOKUP(BK$1,main!$A$3:$H$102,7,FALSE)=VLOOKUP($A102,main!$A$3:$H$102,8,FALSE),VLOOKUP(BK$1,main!$A$3:$H$102,4,FALSE),VLOOKUP(BK$1,main!$A$3:$H$102,4,FALSE)+VLOOKUP($A102,main!$A$3:$H$102,4,FALSE)+(VLOOKUP(VLOOKUP(BK$1,main!$A$3:$H$102,8,FALSE),main!$K$19:$O$22,MATCH(VLOOKUP($A102,main!$A$3:$H$102,7,FALSE),main!$K$18:$O$18,0),0))),0)</f>
        <v>0</v>
      </c>
      <c r="BL102">
        <f>IF((gamma!BL102),IF(VLOOKUP(BL$1,main!$A$3:$H$102,7,FALSE)=VLOOKUP($A102,main!$A$3:$H$102,8,FALSE),VLOOKUP(BL$1,main!$A$3:$H$102,4,FALSE),VLOOKUP(BL$1,main!$A$3:$H$102,4,FALSE)+VLOOKUP($A102,main!$A$3:$H$102,4,FALSE)+(VLOOKUP(VLOOKUP(BL$1,main!$A$3:$H$102,8,FALSE),main!$K$19:$O$22,MATCH(VLOOKUP($A102,main!$A$3:$H$102,7,FALSE),main!$K$18:$O$18,0),0))),0)</f>
        <v>0</v>
      </c>
      <c r="BM102">
        <f>IF((gamma!BM102),IF(VLOOKUP(BM$1,main!$A$3:$H$102,7,FALSE)=VLOOKUP($A102,main!$A$3:$H$102,8,FALSE),VLOOKUP(BM$1,main!$A$3:$H$102,4,FALSE),VLOOKUP(BM$1,main!$A$3:$H$102,4,FALSE)+VLOOKUP($A102,main!$A$3:$H$102,4,FALSE)+(VLOOKUP(VLOOKUP(BM$1,main!$A$3:$H$102,8,FALSE),main!$K$19:$O$22,MATCH(VLOOKUP($A102,main!$A$3:$H$102,7,FALSE),main!$K$18:$O$18,0),0))),0)</f>
        <v>0</v>
      </c>
      <c r="BN102">
        <f>IF((gamma!BN102),IF(VLOOKUP(BN$1,main!$A$3:$H$102,7,FALSE)=VLOOKUP($A102,main!$A$3:$H$102,8,FALSE),VLOOKUP(BN$1,main!$A$3:$H$102,4,FALSE),VLOOKUP(BN$1,main!$A$3:$H$102,4,FALSE)+VLOOKUP($A102,main!$A$3:$H$102,4,FALSE)+(VLOOKUP(VLOOKUP(BN$1,main!$A$3:$H$102,8,FALSE),main!$K$19:$O$22,MATCH(VLOOKUP($A102,main!$A$3:$H$102,7,FALSE),main!$K$18:$O$18,0),0))),0)</f>
        <v>0</v>
      </c>
      <c r="BO102">
        <f>IF((gamma!BO102),IF(VLOOKUP(BO$1,main!$A$3:$H$102,7,FALSE)=VLOOKUP($A102,main!$A$3:$H$102,8,FALSE),VLOOKUP(BO$1,main!$A$3:$H$102,4,FALSE),VLOOKUP(BO$1,main!$A$3:$H$102,4,FALSE)+VLOOKUP($A102,main!$A$3:$H$102,4,FALSE)+(VLOOKUP(VLOOKUP(BO$1,main!$A$3:$H$102,8,FALSE),main!$K$19:$O$22,MATCH(VLOOKUP($A102,main!$A$3:$H$102,7,FALSE),main!$K$18:$O$18,0),0))),0)</f>
        <v>0</v>
      </c>
      <c r="BP102">
        <f>IF((gamma!BP102),IF(VLOOKUP(BP$1,main!$A$3:$H$102,7,FALSE)=VLOOKUP($A102,main!$A$3:$H$102,8,FALSE),VLOOKUP(BP$1,main!$A$3:$H$102,4,FALSE),VLOOKUP(BP$1,main!$A$3:$H$102,4,FALSE)+VLOOKUP($A102,main!$A$3:$H$102,4,FALSE)+(VLOOKUP(VLOOKUP(BP$1,main!$A$3:$H$102,8,FALSE),main!$K$19:$O$22,MATCH(VLOOKUP($A102,main!$A$3:$H$102,7,FALSE),main!$K$18:$O$18,0),0))),0)</f>
        <v>0</v>
      </c>
      <c r="BQ102">
        <f>IF((gamma!BQ102),IF(VLOOKUP(BQ$1,main!$A$3:$H$102,7,FALSE)=VLOOKUP($A102,main!$A$3:$H$102,8,FALSE),VLOOKUP(BQ$1,main!$A$3:$H$102,4,FALSE),VLOOKUP(BQ$1,main!$A$3:$H$102,4,FALSE)+VLOOKUP($A102,main!$A$3:$H$102,4,FALSE)+(VLOOKUP(VLOOKUP(BQ$1,main!$A$3:$H$102,8,FALSE),main!$K$19:$O$22,MATCH(VLOOKUP($A102,main!$A$3:$H$102,7,FALSE),main!$K$18:$O$18,0),0))),0)</f>
        <v>0</v>
      </c>
      <c r="BR102">
        <f>IF((gamma!BR102),IF(VLOOKUP(BR$1,main!$A$3:$H$102,7,FALSE)=VLOOKUP($A102,main!$A$3:$H$102,8,FALSE),VLOOKUP(BR$1,main!$A$3:$H$102,4,FALSE),VLOOKUP(BR$1,main!$A$3:$H$102,4,FALSE)+VLOOKUP($A102,main!$A$3:$H$102,4,FALSE)+(VLOOKUP(VLOOKUP(BR$1,main!$A$3:$H$102,8,FALSE),main!$K$19:$O$22,MATCH(VLOOKUP($A102,main!$A$3:$H$102,7,FALSE),main!$K$18:$O$18,0),0))),0)</f>
        <v>0</v>
      </c>
      <c r="BS102">
        <f>IF((gamma!BS102),IF(VLOOKUP(BS$1,main!$A$3:$H$102,7,FALSE)=VLOOKUP($A102,main!$A$3:$H$102,8,FALSE),VLOOKUP(BS$1,main!$A$3:$H$102,4,FALSE),VLOOKUP(BS$1,main!$A$3:$H$102,4,FALSE)+VLOOKUP($A102,main!$A$3:$H$102,4,FALSE)+(VLOOKUP(VLOOKUP(BS$1,main!$A$3:$H$102,8,FALSE),main!$K$19:$O$22,MATCH(VLOOKUP($A102,main!$A$3:$H$102,7,FALSE),main!$K$18:$O$18,0),0))),0)</f>
        <v>0</v>
      </c>
      <c r="BT102">
        <f>IF((gamma!BT102),IF(VLOOKUP(BT$1,main!$A$3:$H$102,7,FALSE)=VLOOKUP($A102,main!$A$3:$H$102,8,FALSE),VLOOKUP(BT$1,main!$A$3:$H$102,4,FALSE),VLOOKUP(BT$1,main!$A$3:$H$102,4,FALSE)+VLOOKUP($A102,main!$A$3:$H$102,4,FALSE)+(VLOOKUP(VLOOKUP(BT$1,main!$A$3:$H$102,8,FALSE),main!$K$19:$O$22,MATCH(VLOOKUP($A102,main!$A$3:$H$102,7,FALSE),main!$K$18:$O$18,0),0))),0)</f>
        <v>0</v>
      </c>
      <c r="BU102">
        <f>IF((gamma!BU102),IF(VLOOKUP(BU$1,main!$A$3:$H$102,7,FALSE)=VLOOKUP($A102,main!$A$3:$H$102,8,FALSE),VLOOKUP(BU$1,main!$A$3:$H$102,4,FALSE),VLOOKUP(BU$1,main!$A$3:$H$102,4,FALSE)+VLOOKUP($A102,main!$A$3:$H$102,4,FALSE)+(VLOOKUP(VLOOKUP(BU$1,main!$A$3:$H$102,8,FALSE),main!$K$19:$O$22,MATCH(VLOOKUP($A102,main!$A$3:$H$102,7,FALSE),main!$K$18:$O$18,0),0))),0)</f>
        <v>0</v>
      </c>
      <c r="BV102">
        <f>IF((gamma!BV102),IF(VLOOKUP(BV$1,main!$A$3:$H$102,7,FALSE)=VLOOKUP($A102,main!$A$3:$H$102,8,FALSE),VLOOKUP(BV$1,main!$A$3:$H$102,4,FALSE),VLOOKUP(BV$1,main!$A$3:$H$102,4,FALSE)+VLOOKUP($A102,main!$A$3:$H$102,4,FALSE)+(VLOOKUP(VLOOKUP(BV$1,main!$A$3:$H$102,8,FALSE),main!$K$19:$O$22,MATCH(VLOOKUP($A102,main!$A$3:$H$102,7,FALSE),main!$K$18:$O$18,0),0))),0)</f>
        <v>0</v>
      </c>
      <c r="BW102">
        <f>IF((gamma!BW102),IF(VLOOKUP(BW$1,main!$A$3:$H$102,7,FALSE)=VLOOKUP($A102,main!$A$3:$H$102,8,FALSE),VLOOKUP(BW$1,main!$A$3:$H$102,4,FALSE),VLOOKUP(BW$1,main!$A$3:$H$102,4,FALSE)+VLOOKUP($A102,main!$A$3:$H$102,4,FALSE)+(VLOOKUP(VLOOKUP(BW$1,main!$A$3:$H$102,8,FALSE),main!$K$19:$O$22,MATCH(VLOOKUP($A102,main!$A$3:$H$102,7,FALSE),main!$K$18:$O$18,0),0))),0)</f>
        <v>0</v>
      </c>
      <c r="BX102">
        <f>IF((gamma!BX102),IF(VLOOKUP(BX$1,main!$A$3:$H$102,7,FALSE)=VLOOKUP($A102,main!$A$3:$H$102,8,FALSE),VLOOKUP(BX$1,main!$A$3:$H$102,4,FALSE),VLOOKUP(BX$1,main!$A$3:$H$102,4,FALSE)+VLOOKUP($A102,main!$A$3:$H$102,4,FALSE)+(VLOOKUP(VLOOKUP(BX$1,main!$A$3:$H$102,8,FALSE),main!$K$19:$O$22,MATCH(VLOOKUP($A102,main!$A$3:$H$102,7,FALSE),main!$K$18:$O$18,0),0))),0)</f>
        <v>0</v>
      </c>
      <c r="BY102">
        <f>IF((gamma!BY102),IF(VLOOKUP(BY$1,main!$A$3:$H$102,7,FALSE)=VLOOKUP($A102,main!$A$3:$H$102,8,FALSE),VLOOKUP(BY$1,main!$A$3:$H$102,4,FALSE),VLOOKUP(BY$1,main!$A$3:$H$102,4,FALSE)+VLOOKUP($A102,main!$A$3:$H$102,4,FALSE)+(VLOOKUP(VLOOKUP(BY$1,main!$A$3:$H$102,8,FALSE),main!$K$19:$O$22,MATCH(VLOOKUP($A102,main!$A$3:$H$102,7,FALSE),main!$K$18:$O$18,0),0))),0)</f>
        <v>0</v>
      </c>
      <c r="BZ102">
        <f>IF((gamma!BZ102),IF(VLOOKUP(BZ$1,main!$A$3:$H$102,7,FALSE)=VLOOKUP($A102,main!$A$3:$H$102,8,FALSE),VLOOKUP(BZ$1,main!$A$3:$H$102,4,FALSE),VLOOKUP(BZ$1,main!$A$3:$H$102,4,FALSE)+VLOOKUP($A102,main!$A$3:$H$102,4,FALSE)+(VLOOKUP(VLOOKUP(BZ$1,main!$A$3:$H$102,8,FALSE),main!$K$19:$O$22,MATCH(VLOOKUP($A102,main!$A$3:$H$102,7,FALSE),main!$K$18:$O$18,0),0))),0)</f>
        <v>0</v>
      </c>
      <c r="CA102">
        <f>IF((gamma!CA102),IF(VLOOKUP(CA$1,main!$A$3:$H$102,7,FALSE)=VLOOKUP($A102,main!$A$3:$H$102,8,FALSE),VLOOKUP(CA$1,main!$A$3:$H$102,4,FALSE),VLOOKUP(CA$1,main!$A$3:$H$102,4,FALSE)+VLOOKUP($A102,main!$A$3:$H$102,4,FALSE)+(VLOOKUP(VLOOKUP(CA$1,main!$A$3:$H$102,8,FALSE),main!$K$19:$O$22,MATCH(VLOOKUP($A102,main!$A$3:$H$102,7,FALSE),main!$K$18:$O$18,0),0))),0)</f>
        <v>0</v>
      </c>
      <c r="CB102">
        <f>IF((gamma!CB102),IF(VLOOKUP(CB$1,main!$A$3:$H$102,7,FALSE)=VLOOKUP($A102,main!$A$3:$H$102,8,FALSE),VLOOKUP(CB$1,main!$A$3:$H$102,4,FALSE),VLOOKUP(CB$1,main!$A$3:$H$102,4,FALSE)+VLOOKUP($A102,main!$A$3:$H$102,4,FALSE)+(VLOOKUP(VLOOKUP(CB$1,main!$A$3:$H$102,8,FALSE),main!$K$19:$O$22,MATCH(VLOOKUP($A102,main!$A$3:$H$102,7,FALSE),main!$K$18:$O$18,0),0))),0)</f>
        <v>0</v>
      </c>
      <c r="CC102">
        <f>IF((gamma!CC102),IF(VLOOKUP(CC$1,main!$A$3:$H$102,7,FALSE)=VLOOKUP($A102,main!$A$3:$H$102,8,FALSE),VLOOKUP(CC$1,main!$A$3:$H$102,4,FALSE),VLOOKUP(CC$1,main!$A$3:$H$102,4,FALSE)+VLOOKUP($A102,main!$A$3:$H$102,4,FALSE)+(VLOOKUP(VLOOKUP(CC$1,main!$A$3:$H$102,8,FALSE),main!$K$19:$O$22,MATCH(VLOOKUP($A102,main!$A$3:$H$102,7,FALSE),main!$K$18:$O$18,0),0))),0)</f>
        <v>55</v>
      </c>
      <c r="CD102">
        <f>IF((gamma!CD102),IF(VLOOKUP(CD$1,main!$A$3:$H$102,7,FALSE)=VLOOKUP($A102,main!$A$3:$H$102,8,FALSE),VLOOKUP(CD$1,main!$A$3:$H$102,4,FALSE),VLOOKUP(CD$1,main!$A$3:$H$102,4,FALSE)+VLOOKUP($A102,main!$A$3:$H$102,4,FALSE)+(VLOOKUP(VLOOKUP(CD$1,main!$A$3:$H$102,8,FALSE),main!$K$19:$O$22,MATCH(VLOOKUP($A102,main!$A$3:$H$102,7,FALSE),main!$K$18:$O$18,0),0))),0)</f>
        <v>0</v>
      </c>
      <c r="CE102">
        <f>IF((gamma!CE102),IF(VLOOKUP(CE$1,main!$A$3:$H$102,7,FALSE)=VLOOKUP($A102,main!$A$3:$H$102,8,FALSE),VLOOKUP(CE$1,main!$A$3:$H$102,4,FALSE),VLOOKUP(CE$1,main!$A$3:$H$102,4,FALSE)+VLOOKUP($A102,main!$A$3:$H$102,4,FALSE)+(VLOOKUP(VLOOKUP(CE$1,main!$A$3:$H$102,8,FALSE),main!$K$19:$O$22,MATCH(VLOOKUP($A102,main!$A$3:$H$102,7,FALSE),main!$K$18:$O$18,0),0))),0)</f>
        <v>0</v>
      </c>
      <c r="CF102">
        <f>IF((gamma!CF102),IF(VLOOKUP(CF$1,main!$A$3:$H$102,7,FALSE)=VLOOKUP($A102,main!$A$3:$H$102,8,FALSE),VLOOKUP(CF$1,main!$A$3:$H$102,4,FALSE),VLOOKUP(CF$1,main!$A$3:$H$102,4,FALSE)+VLOOKUP($A102,main!$A$3:$H$102,4,FALSE)+(VLOOKUP(VLOOKUP(CF$1,main!$A$3:$H$102,8,FALSE),main!$K$19:$O$22,MATCH(VLOOKUP($A102,main!$A$3:$H$102,7,FALSE),main!$K$18:$O$18,0),0))),0)</f>
        <v>0</v>
      </c>
      <c r="CG102">
        <f>IF((gamma!CG102),IF(VLOOKUP(CG$1,main!$A$3:$H$102,7,FALSE)=VLOOKUP($A102,main!$A$3:$H$102,8,FALSE),VLOOKUP(CG$1,main!$A$3:$H$102,4,FALSE),VLOOKUP(CG$1,main!$A$3:$H$102,4,FALSE)+VLOOKUP($A102,main!$A$3:$H$102,4,FALSE)+(VLOOKUP(VLOOKUP(CG$1,main!$A$3:$H$102,8,FALSE),main!$K$19:$O$22,MATCH(VLOOKUP($A102,main!$A$3:$H$102,7,FALSE),main!$K$18:$O$18,0),0))),0)</f>
        <v>0</v>
      </c>
      <c r="CH102">
        <f>IF((gamma!CH102),IF(VLOOKUP(CH$1,main!$A$3:$H$102,7,FALSE)=VLOOKUP($A102,main!$A$3:$H$102,8,FALSE),VLOOKUP(CH$1,main!$A$3:$H$102,4,FALSE),VLOOKUP(CH$1,main!$A$3:$H$102,4,FALSE)+VLOOKUP($A102,main!$A$3:$H$102,4,FALSE)+(VLOOKUP(VLOOKUP(CH$1,main!$A$3:$H$102,8,FALSE),main!$K$19:$O$22,MATCH(VLOOKUP($A102,main!$A$3:$H$102,7,FALSE),main!$K$18:$O$18,0),0))),0)</f>
        <v>0</v>
      </c>
      <c r="CI102">
        <f>IF((gamma!CI102),IF(VLOOKUP(CI$1,main!$A$3:$H$102,7,FALSE)=VLOOKUP($A102,main!$A$3:$H$102,8,FALSE),VLOOKUP(CI$1,main!$A$3:$H$102,4,FALSE),VLOOKUP(CI$1,main!$A$3:$H$102,4,FALSE)+VLOOKUP($A102,main!$A$3:$H$102,4,FALSE)+(VLOOKUP(VLOOKUP(CI$1,main!$A$3:$H$102,8,FALSE),main!$K$19:$O$22,MATCH(VLOOKUP($A102,main!$A$3:$H$102,7,FALSE),main!$K$18:$O$18,0),0))),0)</f>
        <v>260</v>
      </c>
      <c r="CJ102">
        <f>IF((gamma!CJ102),IF(VLOOKUP(CJ$1,main!$A$3:$H$102,7,FALSE)=VLOOKUP($A102,main!$A$3:$H$102,8,FALSE),VLOOKUP(CJ$1,main!$A$3:$H$102,4,FALSE),VLOOKUP(CJ$1,main!$A$3:$H$102,4,FALSE)+VLOOKUP($A102,main!$A$3:$H$102,4,FALSE)+(VLOOKUP(VLOOKUP(CJ$1,main!$A$3:$H$102,8,FALSE),main!$K$19:$O$22,MATCH(VLOOKUP($A102,main!$A$3:$H$102,7,FALSE),main!$K$18:$O$18,0),0))),0)</f>
        <v>0</v>
      </c>
      <c r="CK102">
        <f>IF((gamma!CK102),IF(VLOOKUP(CK$1,main!$A$3:$H$102,7,FALSE)=VLOOKUP($A102,main!$A$3:$H$102,8,FALSE),VLOOKUP(CK$1,main!$A$3:$H$102,4,FALSE),VLOOKUP(CK$1,main!$A$3:$H$102,4,FALSE)+VLOOKUP($A102,main!$A$3:$H$102,4,FALSE)+(VLOOKUP(VLOOKUP(CK$1,main!$A$3:$H$102,8,FALSE),main!$K$19:$O$22,MATCH(VLOOKUP($A102,main!$A$3:$H$102,7,FALSE),main!$K$18:$O$18,0),0))),0)</f>
        <v>0</v>
      </c>
      <c r="CL102">
        <f>IF((gamma!CL102),IF(VLOOKUP(CL$1,main!$A$3:$H$102,7,FALSE)=VLOOKUP($A102,main!$A$3:$H$102,8,FALSE),VLOOKUP(CL$1,main!$A$3:$H$102,4,FALSE),VLOOKUP(CL$1,main!$A$3:$H$102,4,FALSE)+VLOOKUP($A102,main!$A$3:$H$102,4,FALSE)+(VLOOKUP(VLOOKUP(CL$1,main!$A$3:$H$102,8,FALSE),main!$K$19:$O$22,MATCH(VLOOKUP($A102,main!$A$3:$H$102,7,FALSE),main!$K$18:$O$18,0),0))),0)</f>
        <v>0</v>
      </c>
      <c r="CM102">
        <f>IF((gamma!CM102),IF(VLOOKUP(CM$1,main!$A$3:$H$102,7,FALSE)=VLOOKUP($A102,main!$A$3:$H$102,8,FALSE),VLOOKUP(CM$1,main!$A$3:$H$102,4,FALSE),VLOOKUP(CM$1,main!$A$3:$H$102,4,FALSE)+VLOOKUP($A102,main!$A$3:$H$102,4,FALSE)+(VLOOKUP(VLOOKUP(CM$1,main!$A$3:$H$102,8,FALSE),main!$K$19:$O$22,MATCH(VLOOKUP($A102,main!$A$3:$H$102,7,FALSE),main!$K$18:$O$18,0),0))),0)</f>
        <v>0</v>
      </c>
      <c r="CN102">
        <f>IF((gamma!CN102),IF(VLOOKUP(CN$1,main!$A$3:$H$102,7,FALSE)=VLOOKUP($A102,main!$A$3:$H$102,8,FALSE),VLOOKUP(CN$1,main!$A$3:$H$102,4,FALSE),VLOOKUP(CN$1,main!$A$3:$H$102,4,FALSE)+VLOOKUP($A102,main!$A$3:$H$102,4,FALSE)+(VLOOKUP(VLOOKUP(CN$1,main!$A$3:$H$102,8,FALSE),main!$K$19:$O$22,MATCH(VLOOKUP($A102,main!$A$3:$H$102,7,FALSE),main!$K$18:$O$18,0),0))),0)</f>
        <v>216</v>
      </c>
      <c r="CO102">
        <f>IF((gamma!CO102),IF(VLOOKUP(CO$1,main!$A$3:$H$102,7,FALSE)=VLOOKUP($A102,main!$A$3:$H$102,8,FALSE),VLOOKUP(CO$1,main!$A$3:$H$102,4,FALSE),VLOOKUP(CO$1,main!$A$3:$H$102,4,FALSE)+VLOOKUP($A102,main!$A$3:$H$102,4,FALSE)+(VLOOKUP(VLOOKUP(CO$1,main!$A$3:$H$102,8,FALSE),main!$K$19:$O$22,MATCH(VLOOKUP($A102,main!$A$3:$H$102,7,FALSE),main!$K$18:$O$18,0),0))),0)</f>
        <v>0</v>
      </c>
      <c r="CP102">
        <f>IF((gamma!CP102),IF(VLOOKUP(CP$1,main!$A$3:$H$102,7,FALSE)=VLOOKUP($A102,main!$A$3:$H$102,8,FALSE),VLOOKUP(CP$1,main!$A$3:$H$102,4,FALSE),VLOOKUP(CP$1,main!$A$3:$H$102,4,FALSE)+VLOOKUP($A102,main!$A$3:$H$102,4,FALSE)+(VLOOKUP(VLOOKUP(CP$1,main!$A$3:$H$102,8,FALSE),main!$K$19:$O$22,MATCH(VLOOKUP($A102,main!$A$3:$H$102,7,FALSE),main!$K$18:$O$18,0),0))),0)</f>
        <v>0</v>
      </c>
      <c r="CQ102">
        <f>IF((gamma!CQ102),IF(VLOOKUP(CQ$1,main!$A$3:$H$102,7,FALSE)=VLOOKUP($A102,main!$A$3:$H$102,8,FALSE),VLOOKUP(CQ$1,main!$A$3:$H$102,4,FALSE),VLOOKUP(CQ$1,main!$A$3:$H$102,4,FALSE)+VLOOKUP($A102,main!$A$3:$H$102,4,FALSE)+(VLOOKUP(VLOOKUP(CQ$1,main!$A$3:$H$102,8,FALSE),main!$K$19:$O$22,MATCH(VLOOKUP($A102,main!$A$3:$H$102,7,FALSE),main!$K$18:$O$18,0),0))),0)</f>
        <v>0</v>
      </c>
      <c r="CR102">
        <f>IF((gamma!CR102),IF(VLOOKUP(CR$1,main!$A$3:$H$102,7,FALSE)=VLOOKUP($A102,main!$A$3:$H$102,8,FALSE),VLOOKUP(CR$1,main!$A$3:$H$102,4,FALSE),VLOOKUP(CR$1,main!$A$3:$H$102,4,FALSE)+VLOOKUP($A102,main!$A$3:$H$102,4,FALSE)+(VLOOKUP(VLOOKUP(CR$1,main!$A$3:$H$102,8,FALSE),main!$K$19:$O$22,MATCH(VLOOKUP($A102,main!$A$3:$H$102,7,FALSE),main!$K$18:$O$18,0),0))),0)</f>
        <v>0</v>
      </c>
      <c r="CS102">
        <f>IF((gamma!CS102),IF(VLOOKUP(CS$1,main!$A$3:$H$102,7,FALSE)=VLOOKUP($A102,main!$A$3:$H$102,8,FALSE),VLOOKUP(CS$1,main!$A$3:$H$102,4,FALSE),VLOOKUP(CS$1,main!$A$3:$H$102,4,FALSE)+VLOOKUP($A102,main!$A$3:$H$102,4,FALSE)+(VLOOKUP(VLOOKUP(CS$1,main!$A$3:$H$102,8,FALSE),main!$K$19:$O$22,MATCH(VLOOKUP($A102,main!$A$3:$H$102,7,FALSE),main!$K$18:$O$18,0),0))),0)</f>
        <v>0</v>
      </c>
      <c r="CT102">
        <f>IF((gamma!CT102),IF(VLOOKUP(CT$1,main!$A$3:$H$102,7,FALSE)=VLOOKUP($A102,main!$A$3:$H$102,8,FALSE),VLOOKUP(CT$1,main!$A$3:$H$102,4,FALSE),VLOOKUP(CT$1,main!$A$3:$H$102,4,FALSE)+VLOOKUP($A102,main!$A$3:$H$102,4,FALSE)+(VLOOKUP(VLOOKUP(CT$1,main!$A$3:$H$102,8,FALSE),main!$K$19:$O$22,MATCH(VLOOKUP($A102,main!$A$3:$H$102,7,FALSE),main!$K$18:$O$18,0),0))),0)</f>
        <v>0</v>
      </c>
      <c r="CU102">
        <f>IF((gamma!CU102),IF(VLOOKUP(CU$1,main!$A$3:$H$102,7,FALSE)=VLOOKUP($A102,main!$A$3:$H$102,8,FALSE),VLOOKUP(CU$1,main!$A$3:$H$102,4,FALSE),VLOOKUP(CU$1,main!$A$3:$H$102,4,FALSE)+VLOOKUP($A102,main!$A$3:$H$102,4,FALSE)+(VLOOKUP(VLOOKUP(CU$1,main!$A$3:$H$102,8,FALSE),main!$K$19:$O$22,MATCH(VLOOKUP($A102,main!$A$3:$H$102,7,FALSE),main!$K$18:$O$18,0),0))),0)</f>
        <v>0</v>
      </c>
      <c r="CV102">
        <f>IF((gamma!CV102),IF(VLOOKUP(CV$1,main!$A$3:$H$102,7,FALSE)=VLOOKUP($A102,main!$A$3:$H$102,8,FALSE),VLOOKUP(CV$1,main!$A$3:$H$102,4,FALSE),VLOOKUP(CV$1,main!$A$3:$H$102,4,FALSE)+VLOOKUP($A102,main!$A$3:$H$102,4,FALSE)+(VLOOKUP(VLOOKUP(CV$1,main!$A$3:$H$102,8,FALSE),main!$K$19:$O$22,MATCH(VLOOKUP($A102,main!$A$3:$H$102,7,FALSE),main!$K$18:$O$18,0),0))),0)</f>
        <v>0</v>
      </c>
      <c r="CW102">
        <f>IF((gamma!CW102),IF(VLOOKUP(CW$1,main!$A$3:$H$102,7,FALSE)=VLOOKUP($A102,main!$A$3:$H$102,8,FALSE),VLOOKUP(CW$1,main!$A$3:$H$102,4,FALSE),VLOOKUP(CW$1,main!$A$3:$H$102,4,FALSE)+VLOOKUP($A102,main!$A$3:$H$102,4,FALSE)+(VLOOKUP(VLOOKUP(CW$1,main!$A$3:$H$102,8,FALSE),main!$K$19:$O$22,MATCH(VLOOKUP($A102,main!$A$3:$H$102,7,FALSE),main!$K$18:$O$18,0),0))),0)</f>
        <v>0</v>
      </c>
      <c r="CX102">
        <f>IF((gamma!CX102),IF(VLOOKUP(CX$1,main!$A$3:$H$102,7,FALSE)=VLOOKUP($A102,main!$A$3:$H$102,8,FALSE),VLOOKUP(CX$1,main!$A$3:$H$102,4,FALSE),VLOOKUP(CX$1,main!$A$3:$H$102,4,FALSE)+VLOOKUP($A102,main!$A$3:$H$102,4,FALSE)+(VLOOKUP(VLOOKUP(CX$1,main!$A$3:$H$102,8,FALSE),main!$K$19:$O$22,MATCH(VLOOKUP($A102,main!$A$3:$H$102,7,FALSE),main!$K$18:$O$18,0),0))),0)</f>
        <v>0</v>
      </c>
      <c r="CY102">
        <v>0</v>
      </c>
      <c r="CZ102">
        <v>0</v>
      </c>
      <c r="DA102">
        <v>0</v>
      </c>
    </row>
    <row r="103" spans="1:105" x14ac:dyDescent="0.25">
      <c r="A103" s="2">
        <f>A102+1</f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</row>
    <row r="104" spans="1:105" x14ac:dyDescent="0.25">
      <c r="A104" s="2">
        <f t="shared" ref="A104:A105" si="0">A103+1</f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</row>
    <row r="105" spans="1:105" x14ac:dyDescent="0.25">
      <c r="A105" s="2">
        <f t="shared" si="0"/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</row>
    <row r="113" spans="6:8" x14ac:dyDescent="0.25">
      <c r="F113">
        <f>IF((gamma!E33),IF(VLOOKUP(E$1,main!$A$3:$H$102,7,FALSE)=VLOOKUP($A33,main!$A$3:$H$102,8,FALSE),VLOOKUP(E$1,main!$A$3:$H$102,4,FALSE),VLOOKUP(E$1,main!$A$3:$H$102,4,FALSE)+VLOOKUP($A33,main!$A$3:$H$102,4,FALSE)+(VLOOKUP(VLOOKUP(E$1,main!$A$3:$H$102,8,FALSE),main!$K$19:$O$22,MATCH(VLOOKUP($A33,main!$A$3:$H$102,7,FALSE),main!$K$18:$O$18,0),0))),0)</f>
        <v>135</v>
      </c>
    </row>
    <row r="115" spans="6:8" x14ac:dyDescent="0.25">
      <c r="F115">
        <f>(gamma!E33)</f>
        <v>1</v>
      </c>
    </row>
    <row r="116" spans="6:8" x14ac:dyDescent="0.25">
      <c r="F116" t="b">
        <f>VLOOKUP(E$1,main!$A$3:$H$102,7,FALSE)=VLOOKUP($A33,main!$A$3:$H$102,8,FALSE)</f>
        <v>1</v>
      </c>
      <c r="G116" t="str">
        <f>VLOOKUP(E$1,main!$A$3:$H$102,7,FALSE)</f>
        <v>Terminal A</v>
      </c>
    </row>
    <row r="117" spans="6:8" x14ac:dyDescent="0.25">
      <c r="G117" t="str">
        <f>VLOOKUP($A33,main!$A$3:$H$102,8,FALSE)</f>
        <v>Terminal A</v>
      </c>
    </row>
    <row r="118" spans="6:8" x14ac:dyDescent="0.25">
      <c r="F118">
        <f>VLOOKUP(E$1,main!$A$3:$H$102,4,FALSE)</f>
        <v>135</v>
      </c>
    </row>
    <row r="119" spans="6:8" x14ac:dyDescent="0.25">
      <c r="F119">
        <f>VLOOKUP(E$1,main!$A$3:$H$102,4,FALSE)+VLOOKUP($A33,main!$A$3:$H$102,4,FALSE)+(VLOOKUP(VLOOKUP(E$1,main!$A$3:$H$102,8,FALSE),main!$K$19:$O$22,MATCH(VLOOKUP($A33,main!$A$3:$H$102,7,FALSE),main!$K$18:$O$18,0),0))</f>
        <v>270</v>
      </c>
      <c r="G119">
        <f>VLOOKUP(E$1,main!$A$3:$H$102,4,FALSE)</f>
        <v>135</v>
      </c>
    </row>
    <row r="120" spans="6:8" x14ac:dyDescent="0.25">
      <c r="G120">
        <f>VLOOKUP($A33,main!$A$3:$H$102,4,FALSE)</f>
        <v>135</v>
      </c>
    </row>
    <row r="121" spans="6:8" x14ac:dyDescent="0.25">
      <c r="G121">
        <f>(VLOOKUP(VLOOKUP(E$1,main!$A$3:$H$102,8,FALSE),main!$K$19:$O$22,MATCH(VLOOKUP($A33,main!$A$3:$H$102,7,FALSE),main!$K$18:$O$18,0)))</f>
        <v>0</v>
      </c>
      <c r="H121" t="str">
        <f>VLOOKUP(E$1,main!$A$3:$H$102,8,FALSE)</f>
        <v>Terminal B</v>
      </c>
    </row>
    <row r="122" spans="6:8" x14ac:dyDescent="0.25">
      <c r="H122">
        <f>MATCH(VLOOKUP($A33,main!$A$3:$H$102,7,FALSE),main!$K$18:$O$18,0)</f>
        <v>3</v>
      </c>
    </row>
  </sheetData>
  <conditionalFormatting sqref="B2:XFD102 A103:XFD10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E325"/>
  <sheetViews>
    <sheetView topLeftCell="CM1" workbookViewId="0">
      <selection activeCell="B2" sqref="B2"/>
    </sheetView>
  </sheetViews>
  <sheetFormatPr defaultRowHeight="15" x14ac:dyDescent="0.25"/>
  <sheetData>
    <row r="1" spans="1:104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4" x14ac:dyDescent="0.25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</row>
    <row r="3" spans="1:104" x14ac:dyDescent="0.25">
      <c r="A3" s="1">
        <v>1</v>
      </c>
      <c r="B3">
        <v>0</v>
      </c>
      <c r="C3">
        <f>IF(VLOOKUP(C$1,main!$A$3:$H$102,5,FALSE)-VLOOKUP($A3,main!$A$3:$H$102,6,FALSE)&gt;=main!$D$103+VLOOKUP(VLOOKUP(C$1,main!$A$3:$I$102,7,FALSE),main!$K$26:$Q$29,3,FALSE),1,0)</f>
        <v>0</v>
      </c>
      <c r="D3">
        <f>IF(VLOOKUP(D$1,main!$A$3:$H$102,5,FALSE)-VLOOKUP($A3,main!$A$3:$H$102,6,FALSE)&gt;=main!$D$103+VLOOKUP(VLOOKUP(D$1,main!$A$3:$I$102,7,FALSE),main!$K$26:$Q$29,3,FALSE),1,0)</f>
        <v>0</v>
      </c>
      <c r="E3">
        <f>IF(VLOOKUP(E$1,main!$A$3:$H$102,5,FALSE)-VLOOKUP($A3,main!$A$3:$H$102,6,FALSE)&gt;=main!$D$103+VLOOKUP(VLOOKUP(E$1,main!$A$3:$I$102,7,FALSE),main!$K$26:$Q$29,3,FALSE),1,0)</f>
        <v>1</v>
      </c>
      <c r="F3">
        <f>IF(VLOOKUP(F$1,main!$A$3:$H$102,5,FALSE)-VLOOKUP($A3,main!$A$3:$H$102,6,FALSE)&gt;=main!$D$103+VLOOKUP(VLOOKUP(F$1,main!$A$3:$I$102,7,FALSE),main!$K$26:$Q$29,3,FALSE),1,0)</f>
        <v>1</v>
      </c>
      <c r="G3">
        <f>IF(VLOOKUP(G$1,main!$A$3:$H$102,5,FALSE)-VLOOKUP($A3,main!$A$3:$H$102,6,FALSE)&gt;=main!$D$103+VLOOKUP(VLOOKUP(G$1,main!$A$3:$I$102,7,FALSE),main!$K$26:$Q$29,3,FALSE),1,0)</f>
        <v>1</v>
      </c>
      <c r="H3">
        <f>IF(VLOOKUP(H$1,main!$A$3:$H$102,5,FALSE)-VLOOKUP($A3,main!$A$3:$H$102,6,FALSE)&gt;=main!$D$103+VLOOKUP(VLOOKUP(H$1,main!$A$3:$I$102,7,FALSE),main!$K$26:$Q$29,3,FALSE),1,0)</f>
        <v>1</v>
      </c>
      <c r="I3">
        <f>IF(VLOOKUP(I$1,main!$A$3:$H$102,5,FALSE)-VLOOKUP($A3,main!$A$3:$H$102,6,FALSE)&gt;=main!$D$103+VLOOKUP(VLOOKUP(I$1,main!$A$3:$I$102,7,FALSE),main!$K$26:$Q$29,3,FALSE),1,0)</f>
        <v>1</v>
      </c>
      <c r="J3">
        <f>IF(VLOOKUP(J$1,main!$A$3:$H$102,5,FALSE)-VLOOKUP($A3,main!$A$3:$H$102,6,FALSE)&gt;=main!$D$103+VLOOKUP(VLOOKUP(J$1,main!$A$3:$I$102,7,FALSE),main!$K$26:$Q$29,3,FALSE),1,0)</f>
        <v>1</v>
      </c>
      <c r="K3">
        <f>IF(VLOOKUP(K$1,main!$A$3:$H$102,5,FALSE)-VLOOKUP($A3,main!$A$3:$H$102,6,FALSE)&gt;=main!$D$103+VLOOKUP(VLOOKUP(K$1,main!$A$3:$I$102,7,FALSE),main!$K$26:$Q$29,3,FALSE),1,0)</f>
        <v>1</v>
      </c>
      <c r="L3">
        <f>IF(VLOOKUP(L$1,main!$A$3:$H$102,5,FALSE)-VLOOKUP($A3,main!$A$3:$H$102,6,FALSE)&gt;=main!$D$103+VLOOKUP(VLOOKUP(L$1,main!$A$3:$I$102,7,FALSE),main!$K$26:$Q$29,3,FALSE),1,0)</f>
        <v>1</v>
      </c>
      <c r="M3">
        <f>IF(VLOOKUP(M$1,main!$A$3:$H$102,5,FALSE)-VLOOKUP($A3,main!$A$3:$H$102,6,FALSE)&gt;=main!$D$103+VLOOKUP(VLOOKUP(M$1,main!$A$3:$I$102,7,FALSE),main!$K$26:$Q$29,3,FALSE),1,0)</f>
        <v>0</v>
      </c>
      <c r="N3">
        <f>IF(VLOOKUP(N$1,main!$A$3:$H$102,5,FALSE)-VLOOKUP($A3,main!$A$3:$H$102,6,FALSE)&gt;=main!$D$103+VLOOKUP(VLOOKUP(N$1,main!$A$3:$I$102,7,FALSE),main!$K$26:$Q$29,3,FALSE),1,0)</f>
        <v>0</v>
      </c>
      <c r="O3">
        <f>IF(VLOOKUP(O$1,main!$A$3:$H$102,5,FALSE)-VLOOKUP($A3,main!$A$3:$H$102,6,FALSE)&gt;=main!$D$103+VLOOKUP(VLOOKUP(O$1,main!$A$3:$I$102,7,FALSE),main!$K$26:$Q$29,3,FALSE),1,0)</f>
        <v>0</v>
      </c>
      <c r="P3">
        <f>IF(VLOOKUP(P$1,main!$A$3:$H$102,5,FALSE)-VLOOKUP($A3,main!$A$3:$H$102,6,FALSE)&gt;=main!$D$103+VLOOKUP(VLOOKUP(P$1,main!$A$3:$I$102,7,FALSE),main!$K$26:$Q$29,3,FALSE),1,0)</f>
        <v>1</v>
      </c>
      <c r="Q3">
        <f>IF(VLOOKUP(Q$1,main!$A$3:$H$102,5,FALSE)-VLOOKUP($A3,main!$A$3:$H$102,6,FALSE)&gt;=main!$D$103+VLOOKUP(VLOOKUP(Q$1,main!$A$3:$I$102,7,FALSE),main!$K$26:$Q$29,3,FALSE),1,0)</f>
        <v>1</v>
      </c>
      <c r="R3">
        <f>IF(VLOOKUP(R$1,main!$A$3:$H$102,5,FALSE)-VLOOKUP($A3,main!$A$3:$H$102,6,FALSE)&gt;=main!$D$103+VLOOKUP(VLOOKUP(R$1,main!$A$3:$I$102,7,FALSE),main!$K$26:$Q$29,3,FALSE),1,0)</f>
        <v>1</v>
      </c>
      <c r="S3">
        <f>IF(VLOOKUP(S$1,main!$A$3:$H$102,5,FALSE)-VLOOKUP($A3,main!$A$3:$H$102,6,FALSE)&gt;=main!$D$103+VLOOKUP(VLOOKUP(S$1,main!$A$3:$I$102,7,FALSE),main!$K$26:$Q$29,3,FALSE),1,0)</f>
        <v>1</v>
      </c>
      <c r="T3">
        <f>IF(VLOOKUP(T$1,main!$A$3:$H$102,5,FALSE)-VLOOKUP($A3,main!$A$3:$H$102,6,FALSE)&gt;=main!$D$103+VLOOKUP(VLOOKUP(T$1,main!$A$3:$I$102,7,FALSE),main!$K$26:$Q$29,3,FALSE),1,0)</f>
        <v>1</v>
      </c>
      <c r="U3">
        <f>IF(VLOOKUP(U$1,main!$A$3:$H$102,5,FALSE)-VLOOKUP($A3,main!$A$3:$H$102,6,FALSE)&gt;=main!$D$103+VLOOKUP(VLOOKUP(U$1,main!$A$3:$I$102,7,FALSE),main!$K$26:$Q$29,3,FALSE),1,0)</f>
        <v>1</v>
      </c>
      <c r="V3">
        <f>IF(VLOOKUP(V$1,main!$A$3:$H$102,5,FALSE)-VLOOKUP($A3,main!$A$3:$H$102,6,FALSE)&gt;=main!$D$103+VLOOKUP(VLOOKUP(V$1,main!$A$3:$I$102,7,FALSE),main!$K$26:$Q$29,3,FALSE),1,0)</f>
        <v>1</v>
      </c>
      <c r="W3">
        <f>IF(VLOOKUP(W$1,main!$A$3:$H$102,5,FALSE)-VLOOKUP($A3,main!$A$3:$H$102,6,FALSE)&gt;=main!$D$103+VLOOKUP(VLOOKUP(W$1,main!$A$3:$I$102,7,FALSE),main!$K$26:$Q$29,3,FALSE),1,0)</f>
        <v>0</v>
      </c>
      <c r="X3">
        <f>IF(VLOOKUP(X$1,main!$A$3:$H$102,5,FALSE)-VLOOKUP($A3,main!$A$3:$H$102,6,FALSE)&gt;=main!$D$103+VLOOKUP(VLOOKUP(X$1,main!$A$3:$I$102,7,FALSE),main!$K$26:$Q$29,3,FALSE),1,0)</f>
        <v>0</v>
      </c>
      <c r="Y3">
        <f>IF(VLOOKUP(Y$1,main!$A$3:$H$102,5,FALSE)-VLOOKUP($A3,main!$A$3:$H$102,6,FALSE)&gt;=main!$D$103+VLOOKUP(VLOOKUP(Y$1,main!$A$3:$I$102,7,FALSE),main!$K$26:$Q$29,3,FALSE),1,0)</f>
        <v>1</v>
      </c>
      <c r="Z3">
        <f>IF(VLOOKUP(Z$1,main!$A$3:$H$102,5,FALSE)-VLOOKUP($A3,main!$A$3:$H$102,6,FALSE)&gt;=main!$D$103+VLOOKUP(VLOOKUP(Z$1,main!$A$3:$I$102,7,FALSE),main!$K$26:$Q$29,3,FALSE),1,0)</f>
        <v>1</v>
      </c>
      <c r="AA3">
        <f>IF(VLOOKUP(AA$1,main!$A$3:$H$102,5,FALSE)-VLOOKUP($A3,main!$A$3:$H$102,6,FALSE)&gt;=main!$D$103+VLOOKUP(VLOOKUP(AA$1,main!$A$3:$I$102,7,FALSE),main!$K$26:$Q$29,3,FALSE),1,0)</f>
        <v>1</v>
      </c>
      <c r="AB3">
        <f>IF(VLOOKUP(AB$1,main!$A$3:$H$102,5,FALSE)-VLOOKUP($A3,main!$A$3:$H$102,6,FALSE)&gt;=main!$D$103+VLOOKUP(VLOOKUP(AB$1,main!$A$3:$I$102,7,FALSE),main!$K$26:$Q$29,3,FALSE),1,0)</f>
        <v>0</v>
      </c>
      <c r="AC3">
        <f>IF(VLOOKUP(AC$1,main!$A$3:$H$102,5,FALSE)-VLOOKUP($A3,main!$A$3:$H$102,6,FALSE)&gt;=main!$D$103+VLOOKUP(VLOOKUP(AC$1,main!$A$3:$I$102,7,FALSE),main!$K$26:$Q$29,3,FALSE),1,0)</f>
        <v>0</v>
      </c>
      <c r="AD3">
        <f>IF(VLOOKUP(AD$1,main!$A$3:$H$102,5,FALSE)-VLOOKUP($A3,main!$A$3:$H$102,6,FALSE)&gt;=main!$D$103+VLOOKUP(VLOOKUP(AD$1,main!$A$3:$I$102,7,FALSE),main!$K$26:$Q$29,3,FALSE),1,0)</f>
        <v>1</v>
      </c>
      <c r="AE3">
        <f>IF(VLOOKUP(AE$1,main!$A$3:$H$102,5,FALSE)-VLOOKUP($A3,main!$A$3:$H$102,6,FALSE)&gt;=main!$D$103+VLOOKUP(VLOOKUP(AE$1,main!$A$3:$I$102,7,FALSE),main!$K$26:$Q$29,3,FALSE),1,0)</f>
        <v>1</v>
      </c>
      <c r="AF3">
        <f>IF(VLOOKUP(AF$1,main!$A$3:$H$102,5,FALSE)-VLOOKUP($A3,main!$A$3:$H$102,6,FALSE)&gt;=main!$D$103+VLOOKUP(VLOOKUP(AF$1,main!$A$3:$I$102,7,FALSE),main!$K$26:$Q$29,3,FALSE),1,0)</f>
        <v>1</v>
      </c>
      <c r="AG3">
        <f>IF(VLOOKUP(AG$1,main!$A$3:$H$102,5,FALSE)-VLOOKUP($A3,main!$A$3:$H$102,6,FALSE)&gt;=main!$D$103+VLOOKUP(VLOOKUP(AG$1,main!$A$3:$I$102,7,FALSE),main!$K$26:$Q$29,3,FALSE),1,0)</f>
        <v>0</v>
      </c>
      <c r="AH3">
        <f>IF(VLOOKUP(AH$1,main!$A$3:$H$102,5,FALSE)-VLOOKUP($A3,main!$A$3:$H$102,6,FALSE)&gt;=main!$D$103+VLOOKUP(VLOOKUP(AH$1,main!$A$3:$I$102,7,FALSE),main!$K$26:$Q$29,3,FALSE),1,0)</f>
        <v>0</v>
      </c>
      <c r="AI3">
        <f>IF(VLOOKUP(AI$1,main!$A$3:$H$102,5,FALSE)-VLOOKUP($A3,main!$A$3:$H$102,6,FALSE)&gt;=main!$D$103+VLOOKUP(VLOOKUP(AI$1,main!$A$3:$I$102,7,FALSE),main!$K$26:$Q$29,3,FALSE),1,0)</f>
        <v>1</v>
      </c>
      <c r="AJ3">
        <f>IF(VLOOKUP(AJ$1,main!$A$3:$H$102,5,FALSE)-VLOOKUP($A3,main!$A$3:$H$102,6,FALSE)&gt;=main!$D$103+VLOOKUP(VLOOKUP(AJ$1,main!$A$3:$I$102,7,FALSE),main!$K$26:$Q$29,3,FALSE),1,0)</f>
        <v>1</v>
      </c>
      <c r="AK3">
        <f>IF(VLOOKUP(AK$1,main!$A$3:$H$102,5,FALSE)-VLOOKUP($A3,main!$A$3:$H$102,6,FALSE)&gt;=main!$D$103+VLOOKUP(VLOOKUP(AK$1,main!$A$3:$I$102,7,FALSE),main!$K$26:$Q$29,3,FALSE),1,0)</f>
        <v>1</v>
      </c>
      <c r="AL3">
        <f>IF(VLOOKUP(AL$1,main!$A$3:$H$102,5,FALSE)-VLOOKUP($A3,main!$A$3:$H$102,6,FALSE)&gt;=main!$D$103+VLOOKUP(VLOOKUP(AL$1,main!$A$3:$I$102,7,FALSE),main!$K$26:$Q$29,3,FALSE),1,0)</f>
        <v>1</v>
      </c>
      <c r="AM3">
        <f>IF(VLOOKUP(AM$1,main!$A$3:$H$102,5,FALSE)-VLOOKUP($A3,main!$A$3:$H$102,6,FALSE)&gt;=main!$D$103+VLOOKUP(VLOOKUP(AM$1,main!$A$3:$I$102,7,FALSE),main!$K$26:$Q$29,3,FALSE),1,0)</f>
        <v>1</v>
      </c>
      <c r="AN3">
        <f>IF(VLOOKUP(AN$1,main!$A$3:$H$102,5,FALSE)-VLOOKUP($A3,main!$A$3:$H$102,6,FALSE)&gt;=main!$D$103+VLOOKUP(VLOOKUP(AN$1,main!$A$3:$I$102,7,FALSE),main!$K$26:$Q$29,3,FALSE),1,0)</f>
        <v>1</v>
      </c>
      <c r="AO3">
        <f>IF(VLOOKUP(AO$1,main!$A$3:$H$102,5,FALSE)-VLOOKUP($A3,main!$A$3:$H$102,6,FALSE)&gt;=main!$D$103+VLOOKUP(VLOOKUP(AO$1,main!$A$3:$I$102,7,FALSE),main!$K$26:$Q$29,3,FALSE),1,0)</f>
        <v>0</v>
      </c>
      <c r="AP3">
        <f>IF(VLOOKUP(AP$1,main!$A$3:$H$102,5,FALSE)-VLOOKUP($A3,main!$A$3:$H$102,6,FALSE)&gt;=main!$D$103+VLOOKUP(VLOOKUP(AP$1,main!$A$3:$I$102,7,FALSE),main!$K$26:$Q$29,3,FALSE),1,0)</f>
        <v>1</v>
      </c>
      <c r="AQ3">
        <f>IF(VLOOKUP(AQ$1,main!$A$3:$H$102,5,FALSE)-VLOOKUP($A3,main!$A$3:$H$102,6,FALSE)&gt;=main!$D$103+VLOOKUP(VLOOKUP(AQ$1,main!$A$3:$I$102,7,FALSE),main!$K$26:$Q$29,3,FALSE),1,0)</f>
        <v>0</v>
      </c>
      <c r="AR3">
        <f>IF(VLOOKUP(AR$1,main!$A$3:$H$102,5,FALSE)-VLOOKUP($A3,main!$A$3:$H$102,6,FALSE)&gt;=main!$D$103+VLOOKUP(VLOOKUP(AR$1,main!$A$3:$I$102,7,FALSE),main!$K$26:$Q$29,3,FALSE),1,0)</f>
        <v>0</v>
      </c>
      <c r="AS3">
        <f>IF(VLOOKUP(AS$1,main!$A$3:$H$102,5,FALSE)-VLOOKUP($A3,main!$A$3:$H$102,6,FALSE)&gt;=main!$D$103+VLOOKUP(VLOOKUP(AS$1,main!$A$3:$I$102,7,FALSE),main!$K$26:$Q$29,3,FALSE),1,0)</f>
        <v>1</v>
      </c>
      <c r="AT3">
        <f>IF(VLOOKUP(AT$1,main!$A$3:$H$102,5,FALSE)-VLOOKUP($A3,main!$A$3:$H$102,6,FALSE)&gt;=main!$D$103+VLOOKUP(VLOOKUP(AT$1,main!$A$3:$I$102,7,FALSE),main!$K$26:$Q$29,3,FALSE),1,0)</f>
        <v>1</v>
      </c>
      <c r="AU3">
        <f>IF(VLOOKUP(AU$1,main!$A$3:$H$102,5,FALSE)-VLOOKUP($A3,main!$A$3:$H$102,6,FALSE)&gt;=main!$D$103+VLOOKUP(VLOOKUP(AU$1,main!$A$3:$I$102,7,FALSE),main!$K$26:$Q$29,3,FALSE),1,0)</f>
        <v>0</v>
      </c>
      <c r="AV3">
        <f>IF(VLOOKUP(AV$1,main!$A$3:$H$102,5,FALSE)-VLOOKUP($A3,main!$A$3:$H$102,6,FALSE)&gt;=main!$D$103+VLOOKUP(VLOOKUP(AV$1,main!$A$3:$I$102,7,FALSE),main!$K$26:$Q$29,3,FALSE),1,0)</f>
        <v>0</v>
      </c>
      <c r="AW3">
        <f>IF(VLOOKUP(AW$1,main!$A$3:$H$102,5,FALSE)-VLOOKUP($A3,main!$A$3:$H$102,6,FALSE)&gt;=main!$D$103+VLOOKUP(VLOOKUP(AW$1,main!$A$3:$I$102,7,FALSE),main!$K$26:$Q$29,3,FALSE),1,0)</f>
        <v>1</v>
      </c>
      <c r="AX3">
        <f>IF(VLOOKUP(AX$1,main!$A$3:$H$102,5,FALSE)-VLOOKUP($A3,main!$A$3:$H$102,6,FALSE)&gt;=main!$D$103+VLOOKUP(VLOOKUP(AX$1,main!$A$3:$I$102,7,FALSE),main!$K$26:$Q$29,3,FALSE),1,0)</f>
        <v>1</v>
      </c>
      <c r="AY3">
        <f>IF(VLOOKUP(AY$1,main!$A$3:$H$102,5,FALSE)-VLOOKUP($A3,main!$A$3:$H$102,6,FALSE)&gt;=main!$D$103+VLOOKUP(VLOOKUP(AY$1,main!$A$3:$I$102,7,FALSE),main!$K$26:$Q$29,3,FALSE),1,0)</f>
        <v>0</v>
      </c>
      <c r="AZ3">
        <f>IF(VLOOKUP(AZ$1,main!$A$3:$H$102,5,FALSE)-VLOOKUP($A3,main!$A$3:$H$102,6,FALSE)&gt;=main!$D$103+VLOOKUP(VLOOKUP(AZ$1,main!$A$3:$I$102,7,FALSE),main!$K$26:$Q$29,3,FALSE),1,0)</f>
        <v>1</v>
      </c>
      <c r="BA3">
        <f>IF(VLOOKUP(BA$1,main!$A$3:$H$102,5,FALSE)-VLOOKUP($A3,main!$A$3:$H$102,6,FALSE)&gt;=main!$D$103+VLOOKUP(VLOOKUP(BA$1,main!$A$3:$I$102,7,FALSE),main!$K$26:$Q$29,3,FALSE),1,0)</f>
        <v>0</v>
      </c>
      <c r="BB3">
        <f>IF(VLOOKUP(BB$1,main!$A$3:$H$102,5,FALSE)-VLOOKUP($A3,main!$A$3:$H$102,6,FALSE)&gt;=main!$D$103+VLOOKUP(VLOOKUP(BB$1,main!$A$3:$I$102,7,FALSE),main!$K$26:$Q$29,3,FALSE),1,0)</f>
        <v>1</v>
      </c>
      <c r="BC3">
        <f>IF(VLOOKUP(BC$1,main!$A$3:$H$102,5,FALSE)-VLOOKUP($A3,main!$A$3:$H$102,6,FALSE)&gt;=main!$D$103+VLOOKUP(VLOOKUP(BC$1,main!$A$3:$I$102,7,FALSE),main!$K$26:$Q$29,3,FALSE),1,0)</f>
        <v>1</v>
      </c>
      <c r="BD3">
        <f>IF(VLOOKUP(BD$1,main!$A$3:$H$102,5,FALSE)-VLOOKUP($A3,main!$A$3:$H$102,6,FALSE)&gt;=main!$D$103+VLOOKUP(VLOOKUP(BD$1,main!$A$3:$I$102,7,FALSE),main!$K$26:$Q$29,3,FALSE),1,0)</f>
        <v>1</v>
      </c>
      <c r="BE3">
        <f>IF(VLOOKUP(BE$1,main!$A$3:$H$102,5,FALSE)-VLOOKUP($A3,main!$A$3:$H$102,6,FALSE)&gt;=main!$D$103+VLOOKUP(VLOOKUP(BE$1,main!$A$3:$I$102,7,FALSE),main!$K$26:$Q$29,3,FALSE),1,0)</f>
        <v>1</v>
      </c>
      <c r="BF3">
        <f>IF(VLOOKUP(BF$1,main!$A$3:$H$102,5,FALSE)-VLOOKUP($A3,main!$A$3:$H$102,6,FALSE)&gt;=main!$D$103+VLOOKUP(VLOOKUP(BF$1,main!$A$3:$I$102,7,FALSE),main!$K$26:$Q$29,3,FALSE),1,0)</f>
        <v>0</v>
      </c>
      <c r="BG3">
        <f>IF(VLOOKUP(BG$1,main!$A$3:$H$102,5,FALSE)-VLOOKUP($A3,main!$A$3:$H$102,6,FALSE)&gt;=main!$D$103+VLOOKUP(VLOOKUP(BG$1,main!$A$3:$I$102,7,FALSE),main!$K$26:$Q$29,3,FALSE),1,0)</f>
        <v>0</v>
      </c>
      <c r="BH3">
        <f>IF(VLOOKUP(BH$1,main!$A$3:$H$102,5,FALSE)-VLOOKUP($A3,main!$A$3:$H$102,6,FALSE)&gt;=main!$D$103+VLOOKUP(VLOOKUP(BH$1,main!$A$3:$I$102,7,FALSE),main!$K$26:$Q$29,3,FALSE),1,0)</f>
        <v>1</v>
      </c>
      <c r="BI3">
        <f>IF(VLOOKUP(BI$1,main!$A$3:$H$102,5,FALSE)-VLOOKUP($A3,main!$A$3:$H$102,6,FALSE)&gt;=main!$D$103+VLOOKUP(VLOOKUP(BI$1,main!$A$3:$I$102,7,FALSE),main!$K$26:$Q$29,3,FALSE),1,0)</f>
        <v>1</v>
      </c>
      <c r="BJ3">
        <f>IF(VLOOKUP(BJ$1,main!$A$3:$H$102,5,FALSE)-VLOOKUP($A3,main!$A$3:$H$102,6,FALSE)&gt;=main!$D$103+VLOOKUP(VLOOKUP(BJ$1,main!$A$3:$I$102,7,FALSE),main!$K$26:$Q$29,3,FALSE),1,0)</f>
        <v>1</v>
      </c>
      <c r="BK3">
        <f>IF(VLOOKUP(BK$1,main!$A$3:$H$102,5,FALSE)-VLOOKUP($A3,main!$A$3:$H$102,6,FALSE)&gt;=main!$D$103+VLOOKUP(VLOOKUP(BK$1,main!$A$3:$I$102,7,FALSE),main!$K$26:$Q$29,3,FALSE),1,0)</f>
        <v>0</v>
      </c>
      <c r="BL3">
        <f>IF(VLOOKUP(BL$1,main!$A$3:$H$102,5,FALSE)-VLOOKUP($A3,main!$A$3:$H$102,6,FALSE)&gt;=main!$D$103+VLOOKUP(VLOOKUP(BL$1,main!$A$3:$I$102,7,FALSE),main!$K$26:$Q$29,3,FALSE),1,0)</f>
        <v>0</v>
      </c>
      <c r="BM3">
        <f>IF(VLOOKUP(BM$1,main!$A$3:$H$102,5,FALSE)-VLOOKUP($A3,main!$A$3:$H$102,6,FALSE)&gt;=main!$D$103+VLOOKUP(VLOOKUP(BM$1,main!$A$3:$I$102,7,FALSE),main!$K$26:$Q$29,3,FALSE),1,0)</f>
        <v>1</v>
      </c>
      <c r="BN3">
        <f>IF(VLOOKUP(BN$1,main!$A$3:$H$102,5,FALSE)-VLOOKUP($A3,main!$A$3:$H$102,6,FALSE)&gt;=main!$D$103+VLOOKUP(VLOOKUP(BN$1,main!$A$3:$I$102,7,FALSE),main!$K$26:$Q$29,3,FALSE),1,0)</f>
        <v>1</v>
      </c>
      <c r="BO3">
        <f>IF(VLOOKUP(BO$1,main!$A$3:$H$102,5,FALSE)-VLOOKUP($A3,main!$A$3:$H$102,6,FALSE)&gt;=main!$D$103+VLOOKUP(VLOOKUP(BO$1,main!$A$3:$I$102,7,FALSE),main!$K$26:$Q$29,3,FALSE),1,0)</f>
        <v>0</v>
      </c>
      <c r="BP3">
        <f>IF(VLOOKUP(BP$1,main!$A$3:$H$102,5,FALSE)-VLOOKUP($A3,main!$A$3:$H$102,6,FALSE)&gt;=main!$D$103+VLOOKUP(VLOOKUP(BP$1,main!$A$3:$I$102,7,FALSE),main!$K$26:$Q$29,3,FALSE),1,0)</f>
        <v>0</v>
      </c>
      <c r="BQ3">
        <f>IF(VLOOKUP(BQ$1,main!$A$3:$H$102,5,FALSE)-VLOOKUP($A3,main!$A$3:$H$102,6,FALSE)&gt;=main!$D$103+VLOOKUP(VLOOKUP(BQ$1,main!$A$3:$I$102,7,FALSE),main!$K$26:$Q$29,3,FALSE),1,0)</f>
        <v>1</v>
      </c>
      <c r="BR3">
        <f>IF(VLOOKUP(BR$1,main!$A$3:$H$102,5,FALSE)-VLOOKUP($A3,main!$A$3:$H$102,6,FALSE)&gt;=main!$D$103+VLOOKUP(VLOOKUP(BR$1,main!$A$3:$I$102,7,FALSE),main!$K$26:$Q$29,3,FALSE),1,0)</f>
        <v>1</v>
      </c>
      <c r="BS3">
        <f>IF(VLOOKUP(BS$1,main!$A$3:$H$102,5,FALSE)-VLOOKUP($A3,main!$A$3:$H$102,6,FALSE)&gt;=main!$D$103+VLOOKUP(VLOOKUP(BS$1,main!$A$3:$I$102,7,FALSE),main!$K$26:$Q$29,3,FALSE),1,0)</f>
        <v>1</v>
      </c>
      <c r="BT3">
        <f>IF(VLOOKUP(BT$1,main!$A$3:$H$102,5,FALSE)-VLOOKUP($A3,main!$A$3:$H$102,6,FALSE)&gt;=main!$D$103+VLOOKUP(VLOOKUP(BT$1,main!$A$3:$I$102,7,FALSE),main!$K$26:$Q$29,3,FALSE),1,0)</f>
        <v>1</v>
      </c>
      <c r="BU3">
        <f>IF(VLOOKUP(BU$1,main!$A$3:$H$102,5,FALSE)-VLOOKUP($A3,main!$A$3:$H$102,6,FALSE)&gt;=main!$D$103+VLOOKUP(VLOOKUP(BU$1,main!$A$3:$I$102,7,FALSE),main!$K$26:$Q$29,3,FALSE),1,0)</f>
        <v>0</v>
      </c>
      <c r="BV3">
        <f>IF(VLOOKUP(BV$1,main!$A$3:$H$102,5,FALSE)-VLOOKUP($A3,main!$A$3:$H$102,6,FALSE)&gt;=main!$D$103+VLOOKUP(VLOOKUP(BV$1,main!$A$3:$I$102,7,FALSE),main!$K$26:$Q$29,3,FALSE),1,0)</f>
        <v>0</v>
      </c>
      <c r="BW3">
        <f>IF(VLOOKUP(BW$1,main!$A$3:$H$102,5,FALSE)-VLOOKUP($A3,main!$A$3:$H$102,6,FALSE)&gt;=main!$D$103+VLOOKUP(VLOOKUP(BW$1,main!$A$3:$I$102,7,FALSE),main!$K$26:$Q$29,3,FALSE),1,0)</f>
        <v>0</v>
      </c>
      <c r="BX3">
        <f>IF(VLOOKUP(BX$1,main!$A$3:$H$102,5,FALSE)-VLOOKUP($A3,main!$A$3:$H$102,6,FALSE)&gt;=main!$D$103+VLOOKUP(VLOOKUP(BX$1,main!$A$3:$I$102,7,FALSE),main!$K$26:$Q$29,3,FALSE),1,0)</f>
        <v>1</v>
      </c>
      <c r="BY3">
        <f>IF(VLOOKUP(BY$1,main!$A$3:$H$102,5,FALSE)-VLOOKUP($A3,main!$A$3:$H$102,6,FALSE)&gt;=main!$D$103+VLOOKUP(VLOOKUP(BY$1,main!$A$3:$I$102,7,FALSE),main!$K$26:$Q$29,3,FALSE),1,0)</f>
        <v>1</v>
      </c>
      <c r="BZ3">
        <f>IF(VLOOKUP(BZ$1,main!$A$3:$H$102,5,FALSE)-VLOOKUP($A3,main!$A$3:$H$102,6,FALSE)&gt;=main!$D$103+VLOOKUP(VLOOKUP(BZ$1,main!$A$3:$I$102,7,FALSE),main!$K$26:$Q$29,3,FALSE),1,0)</f>
        <v>0</v>
      </c>
      <c r="CA3">
        <f>IF(VLOOKUP(CA$1,main!$A$3:$H$102,5,FALSE)-VLOOKUP($A3,main!$A$3:$H$102,6,FALSE)&gt;=main!$D$103+VLOOKUP(VLOOKUP(CA$1,main!$A$3:$I$102,7,FALSE),main!$K$26:$Q$29,3,FALSE),1,0)</f>
        <v>0</v>
      </c>
      <c r="CB3">
        <f>IF(VLOOKUP(CB$1,main!$A$3:$H$102,5,FALSE)-VLOOKUP($A3,main!$A$3:$H$102,6,FALSE)&gt;=main!$D$103+VLOOKUP(VLOOKUP(CB$1,main!$A$3:$I$102,7,FALSE),main!$K$26:$Q$29,3,FALSE),1,0)</f>
        <v>1</v>
      </c>
      <c r="CC3">
        <f>IF(VLOOKUP(CC$1,main!$A$3:$H$102,5,FALSE)-VLOOKUP($A3,main!$A$3:$H$102,6,FALSE)&gt;=main!$D$103+VLOOKUP(VLOOKUP(CC$1,main!$A$3:$I$102,7,FALSE),main!$K$26:$Q$29,3,FALSE),1,0)</f>
        <v>1</v>
      </c>
      <c r="CD3">
        <f>IF(VLOOKUP(CD$1,main!$A$3:$H$102,5,FALSE)-VLOOKUP($A3,main!$A$3:$H$102,6,FALSE)&gt;=main!$D$103+VLOOKUP(VLOOKUP(CD$1,main!$A$3:$I$102,7,FALSE),main!$K$26:$Q$29,3,FALSE),1,0)</f>
        <v>1</v>
      </c>
      <c r="CE3">
        <f>IF(VLOOKUP(CE$1,main!$A$3:$H$102,5,FALSE)-VLOOKUP($A3,main!$A$3:$H$102,6,FALSE)&gt;=main!$D$103+VLOOKUP(VLOOKUP(CE$1,main!$A$3:$I$102,7,FALSE),main!$K$26:$Q$29,3,FALSE),1,0)</f>
        <v>1</v>
      </c>
      <c r="CF3">
        <f>IF(VLOOKUP(CF$1,main!$A$3:$H$102,5,FALSE)-VLOOKUP($A3,main!$A$3:$H$102,6,FALSE)&gt;=main!$D$103+VLOOKUP(VLOOKUP(CF$1,main!$A$3:$I$102,7,FALSE),main!$K$26:$Q$29,3,FALSE),1,0)</f>
        <v>1</v>
      </c>
      <c r="CG3">
        <f>IF(VLOOKUP(CG$1,main!$A$3:$H$102,5,FALSE)-VLOOKUP($A3,main!$A$3:$H$102,6,FALSE)&gt;=main!$D$103+VLOOKUP(VLOOKUP(CG$1,main!$A$3:$I$102,7,FALSE),main!$K$26:$Q$29,3,FALSE),1,0)</f>
        <v>1</v>
      </c>
      <c r="CH3">
        <f>IF(VLOOKUP(CH$1,main!$A$3:$H$102,5,FALSE)-VLOOKUP($A3,main!$A$3:$H$102,6,FALSE)&gt;=main!$D$103+VLOOKUP(VLOOKUP(CH$1,main!$A$3:$I$102,7,FALSE),main!$K$26:$Q$29,3,FALSE),1,0)</f>
        <v>1</v>
      </c>
      <c r="CI3">
        <f>IF(VLOOKUP(CI$1,main!$A$3:$H$102,5,FALSE)-VLOOKUP($A3,main!$A$3:$H$102,6,FALSE)&gt;=main!$D$103+VLOOKUP(VLOOKUP(CI$1,main!$A$3:$I$102,7,FALSE),main!$K$26:$Q$29,3,FALSE),1,0)</f>
        <v>1</v>
      </c>
      <c r="CJ3">
        <f>IF(VLOOKUP(CJ$1,main!$A$3:$H$102,5,FALSE)-VLOOKUP($A3,main!$A$3:$H$102,6,FALSE)&gt;=main!$D$103+VLOOKUP(VLOOKUP(CJ$1,main!$A$3:$I$102,7,FALSE),main!$K$26:$Q$29,3,FALSE),1,0)</f>
        <v>1</v>
      </c>
      <c r="CK3">
        <f>IF(VLOOKUP(CK$1,main!$A$3:$H$102,5,FALSE)-VLOOKUP($A3,main!$A$3:$H$102,6,FALSE)&gt;=main!$D$103+VLOOKUP(VLOOKUP(CK$1,main!$A$3:$I$102,7,FALSE),main!$K$26:$Q$29,3,FALSE),1,0)</f>
        <v>1</v>
      </c>
      <c r="CL3">
        <f>IF(VLOOKUP(CL$1,main!$A$3:$H$102,5,FALSE)-VLOOKUP($A3,main!$A$3:$H$102,6,FALSE)&gt;=main!$D$103+VLOOKUP(VLOOKUP(CL$1,main!$A$3:$I$102,7,FALSE),main!$K$26:$Q$29,3,FALSE),1,0)</f>
        <v>1</v>
      </c>
      <c r="CM3">
        <f>IF(VLOOKUP(CM$1,main!$A$3:$H$102,5,FALSE)-VLOOKUP($A3,main!$A$3:$H$102,6,FALSE)&gt;=main!$D$103+VLOOKUP(VLOOKUP(CM$1,main!$A$3:$I$102,7,FALSE),main!$K$26:$Q$29,3,FALSE),1,0)</f>
        <v>1</v>
      </c>
      <c r="CN3">
        <f>IF(VLOOKUP(CN$1,main!$A$3:$H$102,5,FALSE)-VLOOKUP($A3,main!$A$3:$H$102,6,FALSE)&gt;=main!$D$103+VLOOKUP(VLOOKUP(CN$1,main!$A$3:$I$102,7,FALSE),main!$K$26:$Q$29,3,FALSE),1,0)</f>
        <v>1</v>
      </c>
      <c r="CO3">
        <f>IF(VLOOKUP(CO$1,main!$A$3:$H$102,5,FALSE)-VLOOKUP($A3,main!$A$3:$H$102,6,FALSE)&gt;=main!$D$103+VLOOKUP(VLOOKUP(CO$1,main!$A$3:$I$102,7,FALSE),main!$K$26:$Q$29,3,FALSE),1,0)</f>
        <v>0</v>
      </c>
      <c r="CP3">
        <f>IF(VLOOKUP(CP$1,main!$A$3:$H$102,5,FALSE)-VLOOKUP($A3,main!$A$3:$H$102,6,FALSE)&gt;=main!$D$103+VLOOKUP(VLOOKUP(CP$1,main!$A$3:$I$102,7,FALSE),main!$K$26:$Q$29,3,FALSE),1,0)</f>
        <v>1</v>
      </c>
      <c r="CQ3">
        <f>IF(VLOOKUP(CQ$1,main!$A$3:$H$102,5,FALSE)-VLOOKUP($A3,main!$A$3:$H$102,6,FALSE)&gt;=main!$D$103+VLOOKUP(VLOOKUP(CQ$1,main!$A$3:$I$102,7,FALSE),main!$K$26:$Q$29,3,FALSE),1,0)</f>
        <v>1</v>
      </c>
      <c r="CR3">
        <f>IF(VLOOKUP(CR$1,main!$A$3:$H$102,5,FALSE)-VLOOKUP($A3,main!$A$3:$H$102,6,FALSE)&gt;=main!$D$103+VLOOKUP(VLOOKUP(CR$1,main!$A$3:$I$102,7,FALSE),main!$K$26:$Q$29,3,FALSE),1,0)</f>
        <v>1</v>
      </c>
      <c r="CS3">
        <f>IF(VLOOKUP(CS$1,main!$A$3:$H$102,5,FALSE)-VLOOKUP($A3,main!$A$3:$H$102,6,FALSE)&gt;=main!$D$103+VLOOKUP(VLOOKUP(CS$1,main!$A$3:$I$102,7,FALSE),main!$K$26:$Q$29,3,FALSE),1,0)</f>
        <v>1</v>
      </c>
      <c r="CT3">
        <f>IF(VLOOKUP(CT$1,main!$A$3:$H$102,5,FALSE)-VLOOKUP($A3,main!$A$3:$H$102,6,FALSE)&gt;=main!$D$103+VLOOKUP(VLOOKUP(CT$1,main!$A$3:$I$102,7,FALSE),main!$K$26:$Q$29,3,FALSE),1,0)</f>
        <v>0</v>
      </c>
      <c r="CU3">
        <f>IF(VLOOKUP(CU$1,main!$A$3:$H$102,5,FALSE)-VLOOKUP($A3,main!$A$3:$H$102,6,FALSE)&gt;=main!$D$103+VLOOKUP(VLOOKUP(CU$1,main!$A$3:$I$102,7,FALSE),main!$K$26:$Q$29,3,FALSE),1,0)</f>
        <v>0</v>
      </c>
      <c r="CV3">
        <f>IF(VLOOKUP(CV$1,main!$A$3:$H$102,5,FALSE)-VLOOKUP($A3,main!$A$3:$H$102,6,FALSE)&gt;=main!$D$103+VLOOKUP(VLOOKUP(CV$1,main!$A$3:$I$102,7,FALSE),main!$K$26:$Q$29,3,FALSE),1,0)</f>
        <v>1</v>
      </c>
      <c r="CW3">
        <f>IF(VLOOKUP(CW$1,main!$A$3:$H$102,5,FALSE)-VLOOKUP($A3,main!$A$3:$H$102,6,FALSE)&gt;=main!$D$103+VLOOKUP(VLOOKUP(CW$1,main!$A$3:$I$102,7,FALSE),main!$K$26:$Q$29,3,FALSE),1,0)</f>
        <v>1</v>
      </c>
      <c r="CX3">
        <f>IF(VLOOKUP(CX$1,main!$A$3:$H$102,5,FALSE)-VLOOKUP($A3,main!$A$3:$H$102,6,FALSE)&gt;=main!$D$103+VLOOKUP(VLOOKUP(CX$1,main!$A$3:$I$102,7,FALSE),main!$K$26:$Q$29,3,FALSE),1,0)</f>
        <v>1</v>
      </c>
      <c r="CZ3">
        <f>IF(VLOOKUP(C$1,main!$A$3:$H$102,5,FALSE)-VLOOKUP($A3,main!$A$3:$H$102,6,FALSE)&gt;=main!$D$103+VLOOKUP(VLOOKUP(C$1,main!$A$3:$I$102,7,FALSE),main!$K$26:$Q$29,3,FALSE),1,0)</f>
        <v>0</v>
      </c>
    </row>
    <row r="4" spans="1:104" x14ac:dyDescent="0.25">
      <c r="A4" s="1">
        <v>2</v>
      </c>
      <c r="B4">
        <v>0</v>
      </c>
      <c r="C4">
        <f>IF(VLOOKUP(C$1,main!$A$3:$H$102,5,FALSE)-VLOOKUP($A4,main!$A$3:$H$102,6,FALSE)&gt;=main!$D$103+VLOOKUP(VLOOKUP(C$1,main!$A$3:$I$102,7,FALSE),main!$K$26:$Q$29,3,FALSE),1,0)</f>
        <v>0</v>
      </c>
      <c r="D4">
        <f>IF(VLOOKUP(D$1,main!$A$3:$H$102,5,FALSE)-VLOOKUP($A4,main!$A$3:$H$102,6,FALSE)&gt;=main!$D$103+VLOOKUP(VLOOKUP(D$1,main!$A$3:$I$102,7,FALSE),main!$K$26:$Q$29,3,FALSE),1,0)</f>
        <v>0</v>
      </c>
      <c r="E4">
        <f>IF(VLOOKUP(E$1,main!$A$3:$H$102,5,FALSE)-VLOOKUP($A4,main!$A$3:$H$102,6,FALSE)&gt;=main!$D$103+VLOOKUP(VLOOKUP(E$1,main!$A$3:$I$102,7,FALSE),main!$K$26:$Q$29,3,FALSE),1,0)</f>
        <v>0</v>
      </c>
      <c r="F4">
        <f>IF(VLOOKUP(F$1,main!$A$3:$H$102,5,FALSE)-VLOOKUP($A4,main!$A$3:$H$102,6,FALSE)&gt;=main!$D$103+VLOOKUP(VLOOKUP(F$1,main!$A$3:$I$102,7,FALSE),main!$K$26:$Q$29,3,FALSE),1,0)</f>
        <v>0</v>
      </c>
      <c r="G4">
        <f>IF(VLOOKUP(G$1,main!$A$3:$H$102,5,FALSE)-VLOOKUP($A4,main!$A$3:$H$102,6,FALSE)&gt;=main!$D$103+VLOOKUP(VLOOKUP(G$1,main!$A$3:$I$102,7,FALSE),main!$K$26:$Q$29,3,FALSE),1,0)</f>
        <v>1</v>
      </c>
      <c r="H4">
        <f>IF(VLOOKUP(H$1,main!$A$3:$H$102,5,FALSE)-VLOOKUP($A4,main!$A$3:$H$102,6,FALSE)&gt;=main!$D$103+VLOOKUP(VLOOKUP(H$1,main!$A$3:$I$102,7,FALSE),main!$K$26:$Q$29,3,FALSE),1,0)</f>
        <v>1</v>
      </c>
      <c r="I4">
        <f>IF(VLOOKUP(I$1,main!$A$3:$H$102,5,FALSE)-VLOOKUP($A4,main!$A$3:$H$102,6,FALSE)&gt;=main!$D$103+VLOOKUP(VLOOKUP(I$1,main!$A$3:$I$102,7,FALSE),main!$K$26:$Q$29,3,FALSE),1,0)</f>
        <v>1</v>
      </c>
      <c r="J4">
        <f>IF(VLOOKUP(J$1,main!$A$3:$H$102,5,FALSE)-VLOOKUP($A4,main!$A$3:$H$102,6,FALSE)&gt;=main!$D$103+VLOOKUP(VLOOKUP(J$1,main!$A$3:$I$102,7,FALSE),main!$K$26:$Q$29,3,FALSE),1,0)</f>
        <v>1</v>
      </c>
      <c r="K4">
        <f>IF(VLOOKUP(K$1,main!$A$3:$H$102,5,FALSE)-VLOOKUP($A4,main!$A$3:$H$102,6,FALSE)&gt;=main!$D$103+VLOOKUP(VLOOKUP(K$1,main!$A$3:$I$102,7,FALSE),main!$K$26:$Q$29,3,FALSE),1,0)</f>
        <v>1</v>
      </c>
      <c r="L4">
        <f>IF(VLOOKUP(L$1,main!$A$3:$H$102,5,FALSE)-VLOOKUP($A4,main!$A$3:$H$102,6,FALSE)&gt;=main!$D$103+VLOOKUP(VLOOKUP(L$1,main!$A$3:$I$102,7,FALSE),main!$K$26:$Q$29,3,FALSE),1,0)</f>
        <v>1</v>
      </c>
      <c r="M4">
        <f>IF(VLOOKUP(M$1,main!$A$3:$H$102,5,FALSE)-VLOOKUP($A4,main!$A$3:$H$102,6,FALSE)&gt;=main!$D$103+VLOOKUP(VLOOKUP(M$1,main!$A$3:$I$102,7,FALSE),main!$K$26:$Q$29,3,FALSE),1,0)</f>
        <v>0</v>
      </c>
      <c r="N4">
        <f>IF(VLOOKUP(N$1,main!$A$3:$H$102,5,FALSE)-VLOOKUP($A4,main!$A$3:$H$102,6,FALSE)&gt;=main!$D$103+VLOOKUP(VLOOKUP(N$1,main!$A$3:$I$102,7,FALSE),main!$K$26:$Q$29,3,FALSE),1,0)</f>
        <v>0</v>
      </c>
      <c r="O4">
        <f>IF(VLOOKUP(O$1,main!$A$3:$H$102,5,FALSE)-VLOOKUP($A4,main!$A$3:$H$102,6,FALSE)&gt;=main!$D$103+VLOOKUP(VLOOKUP(O$1,main!$A$3:$I$102,7,FALSE),main!$K$26:$Q$29,3,FALSE),1,0)</f>
        <v>0</v>
      </c>
      <c r="P4">
        <f>IF(VLOOKUP(P$1,main!$A$3:$H$102,5,FALSE)-VLOOKUP($A4,main!$A$3:$H$102,6,FALSE)&gt;=main!$D$103+VLOOKUP(VLOOKUP(P$1,main!$A$3:$I$102,7,FALSE),main!$K$26:$Q$29,3,FALSE),1,0)</f>
        <v>0</v>
      </c>
      <c r="Q4">
        <f>IF(VLOOKUP(Q$1,main!$A$3:$H$102,5,FALSE)-VLOOKUP($A4,main!$A$3:$H$102,6,FALSE)&gt;=main!$D$103+VLOOKUP(VLOOKUP(Q$1,main!$A$3:$I$102,7,FALSE),main!$K$26:$Q$29,3,FALSE),1,0)</f>
        <v>0</v>
      </c>
      <c r="R4">
        <f>IF(VLOOKUP(R$1,main!$A$3:$H$102,5,FALSE)-VLOOKUP($A4,main!$A$3:$H$102,6,FALSE)&gt;=main!$D$103+VLOOKUP(VLOOKUP(R$1,main!$A$3:$I$102,7,FALSE),main!$K$26:$Q$29,3,FALSE),1,0)</f>
        <v>1</v>
      </c>
      <c r="S4">
        <f>IF(VLOOKUP(S$1,main!$A$3:$H$102,5,FALSE)-VLOOKUP($A4,main!$A$3:$H$102,6,FALSE)&gt;=main!$D$103+VLOOKUP(VLOOKUP(S$1,main!$A$3:$I$102,7,FALSE),main!$K$26:$Q$29,3,FALSE),1,0)</f>
        <v>1</v>
      </c>
      <c r="T4">
        <f>IF(VLOOKUP(T$1,main!$A$3:$H$102,5,FALSE)-VLOOKUP($A4,main!$A$3:$H$102,6,FALSE)&gt;=main!$D$103+VLOOKUP(VLOOKUP(T$1,main!$A$3:$I$102,7,FALSE),main!$K$26:$Q$29,3,FALSE),1,0)</f>
        <v>1</v>
      </c>
      <c r="U4">
        <f>IF(VLOOKUP(U$1,main!$A$3:$H$102,5,FALSE)-VLOOKUP($A4,main!$A$3:$H$102,6,FALSE)&gt;=main!$D$103+VLOOKUP(VLOOKUP(U$1,main!$A$3:$I$102,7,FALSE),main!$K$26:$Q$29,3,FALSE),1,0)</f>
        <v>1</v>
      </c>
      <c r="V4">
        <f>IF(VLOOKUP(V$1,main!$A$3:$H$102,5,FALSE)-VLOOKUP($A4,main!$A$3:$H$102,6,FALSE)&gt;=main!$D$103+VLOOKUP(VLOOKUP(V$1,main!$A$3:$I$102,7,FALSE),main!$K$26:$Q$29,3,FALSE),1,0)</f>
        <v>1</v>
      </c>
      <c r="W4">
        <f>IF(VLOOKUP(W$1,main!$A$3:$H$102,5,FALSE)-VLOOKUP($A4,main!$A$3:$H$102,6,FALSE)&gt;=main!$D$103+VLOOKUP(VLOOKUP(W$1,main!$A$3:$I$102,7,FALSE),main!$K$26:$Q$29,3,FALSE),1,0)</f>
        <v>0</v>
      </c>
      <c r="X4">
        <f>IF(VLOOKUP(X$1,main!$A$3:$H$102,5,FALSE)-VLOOKUP($A4,main!$A$3:$H$102,6,FALSE)&gt;=main!$D$103+VLOOKUP(VLOOKUP(X$1,main!$A$3:$I$102,7,FALSE),main!$K$26:$Q$29,3,FALSE),1,0)</f>
        <v>0</v>
      </c>
      <c r="Y4">
        <f>IF(VLOOKUP(Y$1,main!$A$3:$H$102,5,FALSE)-VLOOKUP($A4,main!$A$3:$H$102,6,FALSE)&gt;=main!$D$103+VLOOKUP(VLOOKUP(Y$1,main!$A$3:$I$102,7,FALSE),main!$K$26:$Q$29,3,FALSE),1,0)</f>
        <v>1</v>
      </c>
      <c r="Z4">
        <f>IF(VLOOKUP(Z$1,main!$A$3:$H$102,5,FALSE)-VLOOKUP($A4,main!$A$3:$H$102,6,FALSE)&gt;=main!$D$103+VLOOKUP(VLOOKUP(Z$1,main!$A$3:$I$102,7,FALSE),main!$K$26:$Q$29,3,FALSE),1,0)</f>
        <v>1</v>
      </c>
      <c r="AA4">
        <f>IF(VLOOKUP(AA$1,main!$A$3:$H$102,5,FALSE)-VLOOKUP($A4,main!$A$3:$H$102,6,FALSE)&gt;=main!$D$103+VLOOKUP(VLOOKUP(AA$1,main!$A$3:$I$102,7,FALSE),main!$K$26:$Q$29,3,FALSE),1,0)</f>
        <v>1</v>
      </c>
      <c r="AB4">
        <f>IF(VLOOKUP(AB$1,main!$A$3:$H$102,5,FALSE)-VLOOKUP($A4,main!$A$3:$H$102,6,FALSE)&gt;=main!$D$103+VLOOKUP(VLOOKUP(AB$1,main!$A$3:$I$102,7,FALSE),main!$K$26:$Q$29,3,FALSE),1,0)</f>
        <v>0</v>
      </c>
      <c r="AC4">
        <f>IF(VLOOKUP(AC$1,main!$A$3:$H$102,5,FALSE)-VLOOKUP($A4,main!$A$3:$H$102,6,FALSE)&gt;=main!$D$103+VLOOKUP(VLOOKUP(AC$1,main!$A$3:$I$102,7,FALSE),main!$K$26:$Q$29,3,FALSE),1,0)</f>
        <v>0</v>
      </c>
      <c r="AD4">
        <f>IF(VLOOKUP(AD$1,main!$A$3:$H$102,5,FALSE)-VLOOKUP($A4,main!$A$3:$H$102,6,FALSE)&gt;=main!$D$103+VLOOKUP(VLOOKUP(AD$1,main!$A$3:$I$102,7,FALSE),main!$K$26:$Q$29,3,FALSE),1,0)</f>
        <v>0</v>
      </c>
      <c r="AE4">
        <f>IF(VLOOKUP(AE$1,main!$A$3:$H$102,5,FALSE)-VLOOKUP($A4,main!$A$3:$H$102,6,FALSE)&gt;=main!$D$103+VLOOKUP(VLOOKUP(AE$1,main!$A$3:$I$102,7,FALSE),main!$K$26:$Q$29,3,FALSE),1,0)</f>
        <v>1</v>
      </c>
      <c r="AF4">
        <f>IF(VLOOKUP(AF$1,main!$A$3:$H$102,5,FALSE)-VLOOKUP($A4,main!$A$3:$H$102,6,FALSE)&gt;=main!$D$103+VLOOKUP(VLOOKUP(AF$1,main!$A$3:$I$102,7,FALSE),main!$K$26:$Q$29,3,FALSE),1,0)</f>
        <v>1</v>
      </c>
      <c r="AG4">
        <f>IF(VLOOKUP(AG$1,main!$A$3:$H$102,5,FALSE)-VLOOKUP($A4,main!$A$3:$H$102,6,FALSE)&gt;=main!$D$103+VLOOKUP(VLOOKUP(AG$1,main!$A$3:$I$102,7,FALSE),main!$K$26:$Q$29,3,FALSE),1,0)</f>
        <v>0</v>
      </c>
      <c r="AH4">
        <f>IF(VLOOKUP(AH$1,main!$A$3:$H$102,5,FALSE)-VLOOKUP($A4,main!$A$3:$H$102,6,FALSE)&gt;=main!$D$103+VLOOKUP(VLOOKUP(AH$1,main!$A$3:$I$102,7,FALSE),main!$K$26:$Q$29,3,FALSE),1,0)</f>
        <v>0</v>
      </c>
      <c r="AI4">
        <f>IF(VLOOKUP(AI$1,main!$A$3:$H$102,5,FALSE)-VLOOKUP($A4,main!$A$3:$H$102,6,FALSE)&gt;=main!$D$103+VLOOKUP(VLOOKUP(AI$1,main!$A$3:$I$102,7,FALSE),main!$K$26:$Q$29,3,FALSE),1,0)</f>
        <v>0</v>
      </c>
      <c r="AJ4">
        <f>IF(VLOOKUP(AJ$1,main!$A$3:$H$102,5,FALSE)-VLOOKUP($A4,main!$A$3:$H$102,6,FALSE)&gt;=main!$D$103+VLOOKUP(VLOOKUP(AJ$1,main!$A$3:$I$102,7,FALSE),main!$K$26:$Q$29,3,FALSE),1,0)</f>
        <v>1</v>
      </c>
      <c r="AK4">
        <f>IF(VLOOKUP(AK$1,main!$A$3:$H$102,5,FALSE)-VLOOKUP($A4,main!$A$3:$H$102,6,FALSE)&gt;=main!$D$103+VLOOKUP(VLOOKUP(AK$1,main!$A$3:$I$102,7,FALSE),main!$K$26:$Q$29,3,FALSE),1,0)</f>
        <v>1</v>
      </c>
      <c r="AL4">
        <f>IF(VLOOKUP(AL$1,main!$A$3:$H$102,5,FALSE)-VLOOKUP($A4,main!$A$3:$H$102,6,FALSE)&gt;=main!$D$103+VLOOKUP(VLOOKUP(AL$1,main!$A$3:$I$102,7,FALSE),main!$K$26:$Q$29,3,FALSE),1,0)</f>
        <v>1</v>
      </c>
      <c r="AM4">
        <f>IF(VLOOKUP(AM$1,main!$A$3:$H$102,5,FALSE)-VLOOKUP($A4,main!$A$3:$H$102,6,FALSE)&gt;=main!$D$103+VLOOKUP(VLOOKUP(AM$1,main!$A$3:$I$102,7,FALSE),main!$K$26:$Q$29,3,FALSE),1,0)</f>
        <v>1</v>
      </c>
      <c r="AN4">
        <f>IF(VLOOKUP(AN$1,main!$A$3:$H$102,5,FALSE)-VLOOKUP($A4,main!$A$3:$H$102,6,FALSE)&gt;=main!$D$103+VLOOKUP(VLOOKUP(AN$1,main!$A$3:$I$102,7,FALSE),main!$K$26:$Q$29,3,FALSE),1,0)</f>
        <v>1</v>
      </c>
      <c r="AO4">
        <f>IF(VLOOKUP(AO$1,main!$A$3:$H$102,5,FALSE)-VLOOKUP($A4,main!$A$3:$H$102,6,FALSE)&gt;=main!$D$103+VLOOKUP(VLOOKUP(AO$1,main!$A$3:$I$102,7,FALSE),main!$K$26:$Q$29,3,FALSE),1,0)</f>
        <v>0</v>
      </c>
      <c r="AP4">
        <f>IF(VLOOKUP(AP$1,main!$A$3:$H$102,5,FALSE)-VLOOKUP($A4,main!$A$3:$H$102,6,FALSE)&gt;=main!$D$103+VLOOKUP(VLOOKUP(AP$1,main!$A$3:$I$102,7,FALSE),main!$K$26:$Q$29,3,FALSE),1,0)</f>
        <v>1</v>
      </c>
      <c r="AQ4">
        <f>IF(VLOOKUP(AQ$1,main!$A$3:$H$102,5,FALSE)-VLOOKUP($A4,main!$A$3:$H$102,6,FALSE)&gt;=main!$D$103+VLOOKUP(VLOOKUP(AQ$1,main!$A$3:$I$102,7,FALSE),main!$K$26:$Q$29,3,FALSE),1,0)</f>
        <v>0</v>
      </c>
      <c r="AR4">
        <f>IF(VLOOKUP(AR$1,main!$A$3:$H$102,5,FALSE)-VLOOKUP($A4,main!$A$3:$H$102,6,FALSE)&gt;=main!$D$103+VLOOKUP(VLOOKUP(AR$1,main!$A$3:$I$102,7,FALSE),main!$K$26:$Q$29,3,FALSE),1,0)</f>
        <v>0</v>
      </c>
      <c r="AS4">
        <f>IF(VLOOKUP(AS$1,main!$A$3:$H$102,5,FALSE)-VLOOKUP($A4,main!$A$3:$H$102,6,FALSE)&gt;=main!$D$103+VLOOKUP(VLOOKUP(AS$1,main!$A$3:$I$102,7,FALSE),main!$K$26:$Q$29,3,FALSE),1,0)</f>
        <v>1</v>
      </c>
      <c r="AT4">
        <f>IF(VLOOKUP(AT$1,main!$A$3:$H$102,5,FALSE)-VLOOKUP($A4,main!$A$3:$H$102,6,FALSE)&gt;=main!$D$103+VLOOKUP(VLOOKUP(AT$1,main!$A$3:$I$102,7,FALSE),main!$K$26:$Q$29,3,FALSE),1,0)</f>
        <v>1</v>
      </c>
      <c r="AU4">
        <f>IF(VLOOKUP(AU$1,main!$A$3:$H$102,5,FALSE)-VLOOKUP($A4,main!$A$3:$H$102,6,FALSE)&gt;=main!$D$103+VLOOKUP(VLOOKUP(AU$1,main!$A$3:$I$102,7,FALSE),main!$K$26:$Q$29,3,FALSE),1,0)</f>
        <v>0</v>
      </c>
      <c r="AV4">
        <f>IF(VLOOKUP(AV$1,main!$A$3:$H$102,5,FALSE)-VLOOKUP($A4,main!$A$3:$H$102,6,FALSE)&gt;=main!$D$103+VLOOKUP(VLOOKUP(AV$1,main!$A$3:$I$102,7,FALSE),main!$K$26:$Q$29,3,FALSE),1,0)</f>
        <v>0</v>
      </c>
      <c r="AW4">
        <f>IF(VLOOKUP(AW$1,main!$A$3:$H$102,5,FALSE)-VLOOKUP($A4,main!$A$3:$H$102,6,FALSE)&gt;=main!$D$103+VLOOKUP(VLOOKUP(AW$1,main!$A$3:$I$102,7,FALSE),main!$K$26:$Q$29,3,FALSE),1,0)</f>
        <v>1</v>
      </c>
      <c r="AX4">
        <f>IF(VLOOKUP(AX$1,main!$A$3:$H$102,5,FALSE)-VLOOKUP($A4,main!$A$3:$H$102,6,FALSE)&gt;=main!$D$103+VLOOKUP(VLOOKUP(AX$1,main!$A$3:$I$102,7,FALSE),main!$K$26:$Q$29,3,FALSE),1,0)</f>
        <v>0</v>
      </c>
      <c r="AY4">
        <f>IF(VLOOKUP(AY$1,main!$A$3:$H$102,5,FALSE)-VLOOKUP($A4,main!$A$3:$H$102,6,FALSE)&gt;=main!$D$103+VLOOKUP(VLOOKUP(AY$1,main!$A$3:$I$102,7,FALSE),main!$K$26:$Q$29,3,FALSE),1,0)</f>
        <v>0</v>
      </c>
      <c r="AZ4">
        <f>IF(VLOOKUP(AZ$1,main!$A$3:$H$102,5,FALSE)-VLOOKUP($A4,main!$A$3:$H$102,6,FALSE)&gt;=main!$D$103+VLOOKUP(VLOOKUP(AZ$1,main!$A$3:$I$102,7,FALSE),main!$K$26:$Q$29,3,FALSE),1,0)</f>
        <v>0</v>
      </c>
      <c r="BA4">
        <f>IF(VLOOKUP(BA$1,main!$A$3:$H$102,5,FALSE)-VLOOKUP($A4,main!$A$3:$H$102,6,FALSE)&gt;=main!$D$103+VLOOKUP(VLOOKUP(BA$1,main!$A$3:$I$102,7,FALSE),main!$K$26:$Q$29,3,FALSE),1,0)</f>
        <v>0</v>
      </c>
      <c r="BB4">
        <f>IF(VLOOKUP(BB$1,main!$A$3:$H$102,5,FALSE)-VLOOKUP($A4,main!$A$3:$H$102,6,FALSE)&gt;=main!$D$103+VLOOKUP(VLOOKUP(BB$1,main!$A$3:$I$102,7,FALSE),main!$K$26:$Q$29,3,FALSE),1,0)</f>
        <v>0</v>
      </c>
      <c r="BC4">
        <f>IF(VLOOKUP(BC$1,main!$A$3:$H$102,5,FALSE)-VLOOKUP($A4,main!$A$3:$H$102,6,FALSE)&gt;=main!$D$103+VLOOKUP(VLOOKUP(BC$1,main!$A$3:$I$102,7,FALSE),main!$K$26:$Q$29,3,FALSE),1,0)</f>
        <v>1</v>
      </c>
      <c r="BD4">
        <f>IF(VLOOKUP(BD$1,main!$A$3:$H$102,5,FALSE)-VLOOKUP($A4,main!$A$3:$H$102,6,FALSE)&gt;=main!$D$103+VLOOKUP(VLOOKUP(BD$1,main!$A$3:$I$102,7,FALSE),main!$K$26:$Q$29,3,FALSE),1,0)</f>
        <v>1</v>
      </c>
      <c r="BE4">
        <f>IF(VLOOKUP(BE$1,main!$A$3:$H$102,5,FALSE)-VLOOKUP($A4,main!$A$3:$H$102,6,FALSE)&gt;=main!$D$103+VLOOKUP(VLOOKUP(BE$1,main!$A$3:$I$102,7,FALSE),main!$K$26:$Q$29,3,FALSE),1,0)</f>
        <v>1</v>
      </c>
      <c r="BF4">
        <f>IF(VLOOKUP(BF$1,main!$A$3:$H$102,5,FALSE)-VLOOKUP($A4,main!$A$3:$H$102,6,FALSE)&gt;=main!$D$103+VLOOKUP(VLOOKUP(BF$1,main!$A$3:$I$102,7,FALSE),main!$K$26:$Q$29,3,FALSE),1,0)</f>
        <v>0</v>
      </c>
      <c r="BG4">
        <f>IF(VLOOKUP(BG$1,main!$A$3:$H$102,5,FALSE)-VLOOKUP($A4,main!$A$3:$H$102,6,FALSE)&gt;=main!$D$103+VLOOKUP(VLOOKUP(BG$1,main!$A$3:$I$102,7,FALSE),main!$K$26:$Q$29,3,FALSE),1,0)</f>
        <v>0</v>
      </c>
      <c r="BH4">
        <f>IF(VLOOKUP(BH$1,main!$A$3:$H$102,5,FALSE)-VLOOKUP($A4,main!$A$3:$H$102,6,FALSE)&gt;=main!$D$103+VLOOKUP(VLOOKUP(BH$1,main!$A$3:$I$102,7,FALSE),main!$K$26:$Q$29,3,FALSE),1,0)</f>
        <v>1</v>
      </c>
      <c r="BI4">
        <f>IF(VLOOKUP(BI$1,main!$A$3:$H$102,5,FALSE)-VLOOKUP($A4,main!$A$3:$H$102,6,FALSE)&gt;=main!$D$103+VLOOKUP(VLOOKUP(BI$1,main!$A$3:$I$102,7,FALSE),main!$K$26:$Q$29,3,FALSE),1,0)</f>
        <v>1</v>
      </c>
      <c r="BJ4">
        <f>IF(VLOOKUP(BJ$1,main!$A$3:$H$102,5,FALSE)-VLOOKUP($A4,main!$A$3:$H$102,6,FALSE)&gt;=main!$D$103+VLOOKUP(VLOOKUP(BJ$1,main!$A$3:$I$102,7,FALSE),main!$K$26:$Q$29,3,FALSE),1,0)</f>
        <v>1</v>
      </c>
      <c r="BK4">
        <f>IF(VLOOKUP(BK$1,main!$A$3:$H$102,5,FALSE)-VLOOKUP($A4,main!$A$3:$H$102,6,FALSE)&gt;=main!$D$103+VLOOKUP(VLOOKUP(BK$1,main!$A$3:$I$102,7,FALSE),main!$K$26:$Q$29,3,FALSE),1,0)</f>
        <v>0</v>
      </c>
      <c r="BL4">
        <f>IF(VLOOKUP(BL$1,main!$A$3:$H$102,5,FALSE)-VLOOKUP($A4,main!$A$3:$H$102,6,FALSE)&gt;=main!$D$103+VLOOKUP(VLOOKUP(BL$1,main!$A$3:$I$102,7,FALSE),main!$K$26:$Q$29,3,FALSE),1,0)</f>
        <v>0</v>
      </c>
      <c r="BM4">
        <f>IF(VLOOKUP(BM$1,main!$A$3:$H$102,5,FALSE)-VLOOKUP($A4,main!$A$3:$H$102,6,FALSE)&gt;=main!$D$103+VLOOKUP(VLOOKUP(BM$1,main!$A$3:$I$102,7,FALSE),main!$K$26:$Q$29,3,FALSE),1,0)</f>
        <v>0</v>
      </c>
      <c r="BN4">
        <f>IF(VLOOKUP(BN$1,main!$A$3:$H$102,5,FALSE)-VLOOKUP($A4,main!$A$3:$H$102,6,FALSE)&gt;=main!$D$103+VLOOKUP(VLOOKUP(BN$1,main!$A$3:$I$102,7,FALSE),main!$K$26:$Q$29,3,FALSE),1,0)</f>
        <v>1</v>
      </c>
      <c r="BO4">
        <f>IF(VLOOKUP(BO$1,main!$A$3:$H$102,5,FALSE)-VLOOKUP($A4,main!$A$3:$H$102,6,FALSE)&gt;=main!$D$103+VLOOKUP(VLOOKUP(BO$1,main!$A$3:$I$102,7,FALSE),main!$K$26:$Q$29,3,FALSE),1,0)</f>
        <v>0</v>
      </c>
      <c r="BP4">
        <f>IF(VLOOKUP(BP$1,main!$A$3:$H$102,5,FALSE)-VLOOKUP($A4,main!$A$3:$H$102,6,FALSE)&gt;=main!$D$103+VLOOKUP(VLOOKUP(BP$1,main!$A$3:$I$102,7,FALSE),main!$K$26:$Q$29,3,FALSE),1,0)</f>
        <v>0</v>
      </c>
      <c r="BQ4">
        <f>IF(VLOOKUP(BQ$1,main!$A$3:$H$102,5,FALSE)-VLOOKUP($A4,main!$A$3:$H$102,6,FALSE)&gt;=main!$D$103+VLOOKUP(VLOOKUP(BQ$1,main!$A$3:$I$102,7,FALSE),main!$K$26:$Q$29,3,FALSE),1,0)</f>
        <v>0</v>
      </c>
      <c r="BR4">
        <f>IF(VLOOKUP(BR$1,main!$A$3:$H$102,5,FALSE)-VLOOKUP($A4,main!$A$3:$H$102,6,FALSE)&gt;=main!$D$103+VLOOKUP(VLOOKUP(BR$1,main!$A$3:$I$102,7,FALSE),main!$K$26:$Q$29,3,FALSE),1,0)</f>
        <v>1</v>
      </c>
      <c r="BS4">
        <f>IF(VLOOKUP(BS$1,main!$A$3:$H$102,5,FALSE)-VLOOKUP($A4,main!$A$3:$H$102,6,FALSE)&gt;=main!$D$103+VLOOKUP(VLOOKUP(BS$1,main!$A$3:$I$102,7,FALSE),main!$K$26:$Q$29,3,FALSE),1,0)</f>
        <v>1</v>
      </c>
      <c r="BT4">
        <f>IF(VLOOKUP(BT$1,main!$A$3:$H$102,5,FALSE)-VLOOKUP($A4,main!$A$3:$H$102,6,FALSE)&gt;=main!$D$103+VLOOKUP(VLOOKUP(BT$1,main!$A$3:$I$102,7,FALSE),main!$K$26:$Q$29,3,FALSE),1,0)</f>
        <v>0</v>
      </c>
      <c r="BU4">
        <f>IF(VLOOKUP(BU$1,main!$A$3:$H$102,5,FALSE)-VLOOKUP($A4,main!$A$3:$H$102,6,FALSE)&gt;=main!$D$103+VLOOKUP(VLOOKUP(BU$1,main!$A$3:$I$102,7,FALSE),main!$K$26:$Q$29,3,FALSE),1,0)</f>
        <v>0</v>
      </c>
      <c r="BV4">
        <f>IF(VLOOKUP(BV$1,main!$A$3:$H$102,5,FALSE)-VLOOKUP($A4,main!$A$3:$H$102,6,FALSE)&gt;=main!$D$103+VLOOKUP(VLOOKUP(BV$1,main!$A$3:$I$102,7,FALSE),main!$K$26:$Q$29,3,FALSE),1,0)</f>
        <v>0</v>
      </c>
      <c r="BW4">
        <f>IF(VLOOKUP(BW$1,main!$A$3:$H$102,5,FALSE)-VLOOKUP($A4,main!$A$3:$H$102,6,FALSE)&gt;=main!$D$103+VLOOKUP(VLOOKUP(BW$1,main!$A$3:$I$102,7,FALSE),main!$K$26:$Q$29,3,FALSE),1,0)</f>
        <v>0</v>
      </c>
      <c r="BX4">
        <f>IF(VLOOKUP(BX$1,main!$A$3:$H$102,5,FALSE)-VLOOKUP($A4,main!$A$3:$H$102,6,FALSE)&gt;=main!$D$103+VLOOKUP(VLOOKUP(BX$1,main!$A$3:$I$102,7,FALSE),main!$K$26:$Q$29,3,FALSE),1,0)</f>
        <v>0</v>
      </c>
      <c r="BY4">
        <f>IF(VLOOKUP(BY$1,main!$A$3:$H$102,5,FALSE)-VLOOKUP($A4,main!$A$3:$H$102,6,FALSE)&gt;=main!$D$103+VLOOKUP(VLOOKUP(BY$1,main!$A$3:$I$102,7,FALSE),main!$K$26:$Q$29,3,FALSE),1,0)</f>
        <v>1</v>
      </c>
      <c r="BZ4">
        <f>IF(VLOOKUP(BZ$1,main!$A$3:$H$102,5,FALSE)-VLOOKUP($A4,main!$A$3:$H$102,6,FALSE)&gt;=main!$D$103+VLOOKUP(VLOOKUP(BZ$1,main!$A$3:$I$102,7,FALSE),main!$K$26:$Q$29,3,FALSE),1,0)</f>
        <v>0</v>
      </c>
      <c r="CA4">
        <f>IF(VLOOKUP(CA$1,main!$A$3:$H$102,5,FALSE)-VLOOKUP($A4,main!$A$3:$H$102,6,FALSE)&gt;=main!$D$103+VLOOKUP(VLOOKUP(CA$1,main!$A$3:$I$102,7,FALSE),main!$K$26:$Q$29,3,FALSE),1,0)</f>
        <v>0</v>
      </c>
      <c r="CB4">
        <f>IF(VLOOKUP(CB$1,main!$A$3:$H$102,5,FALSE)-VLOOKUP($A4,main!$A$3:$H$102,6,FALSE)&gt;=main!$D$103+VLOOKUP(VLOOKUP(CB$1,main!$A$3:$I$102,7,FALSE),main!$K$26:$Q$29,3,FALSE),1,0)</f>
        <v>1</v>
      </c>
      <c r="CC4">
        <f>IF(VLOOKUP(CC$1,main!$A$3:$H$102,5,FALSE)-VLOOKUP($A4,main!$A$3:$H$102,6,FALSE)&gt;=main!$D$103+VLOOKUP(VLOOKUP(CC$1,main!$A$3:$I$102,7,FALSE),main!$K$26:$Q$29,3,FALSE),1,0)</f>
        <v>1</v>
      </c>
      <c r="CD4">
        <f>IF(VLOOKUP(CD$1,main!$A$3:$H$102,5,FALSE)-VLOOKUP($A4,main!$A$3:$H$102,6,FALSE)&gt;=main!$D$103+VLOOKUP(VLOOKUP(CD$1,main!$A$3:$I$102,7,FALSE),main!$K$26:$Q$29,3,FALSE),1,0)</f>
        <v>1</v>
      </c>
      <c r="CE4">
        <f>IF(VLOOKUP(CE$1,main!$A$3:$H$102,5,FALSE)-VLOOKUP($A4,main!$A$3:$H$102,6,FALSE)&gt;=main!$D$103+VLOOKUP(VLOOKUP(CE$1,main!$A$3:$I$102,7,FALSE),main!$K$26:$Q$29,3,FALSE),1,0)</f>
        <v>0</v>
      </c>
      <c r="CF4">
        <f>IF(VLOOKUP(CF$1,main!$A$3:$H$102,5,FALSE)-VLOOKUP($A4,main!$A$3:$H$102,6,FALSE)&gt;=main!$D$103+VLOOKUP(VLOOKUP(CF$1,main!$A$3:$I$102,7,FALSE),main!$K$26:$Q$29,3,FALSE),1,0)</f>
        <v>0</v>
      </c>
      <c r="CG4">
        <f>IF(VLOOKUP(CG$1,main!$A$3:$H$102,5,FALSE)-VLOOKUP($A4,main!$A$3:$H$102,6,FALSE)&gt;=main!$D$103+VLOOKUP(VLOOKUP(CG$1,main!$A$3:$I$102,7,FALSE),main!$K$26:$Q$29,3,FALSE),1,0)</f>
        <v>1</v>
      </c>
      <c r="CH4">
        <f>IF(VLOOKUP(CH$1,main!$A$3:$H$102,5,FALSE)-VLOOKUP($A4,main!$A$3:$H$102,6,FALSE)&gt;=main!$D$103+VLOOKUP(VLOOKUP(CH$1,main!$A$3:$I$102,7,FALSE),main!$K$26:$Q$29,3,FALSE),1,0)</f>
        <v>1</v>
      </c>
      <c r="CI4">
        <f>IF(VLOOKUP(CI$1,main!$A$3:$H$102,5,FALSE)-VLOOKUP($A4,main!$A$3:$H$102,6,FALSE)&gt;=main!$D$103+VLOOKUP(VLOOKUP(CI$1,main!$A$3:$I$102,7,FALSE),main!$K$26:$Q$29,3,FALSE),1,0)</f>
        <v>1</v>
      </c>
      <c r="CJ4">
        <f>IF(VLOOKUP(CJ$1,main!$A$3:$H$102,5,FALSE)-VLOOKUP($A4,main!$A$3:$H$102,6,FALSE)&gt;=main!$D$103+VLOOKUP(VLOOKUP(CJ$1,main!$A$3:$I$102,7,FALSE),main!$K$26:$Q$29,3,FALSE),1,0)</f>
        <v>1</v>
      </c>
      <c r="CK4">
        <f>IF(VLOOKUP(CK$1,main!$A$3:$H$102,5,FALSE)-VLOOKUP($A4,main!$A$3:$H$102,6,FALSE)&gt;=main!$D$103+VLOOKUP(VLOOKUP(CK$1,main!$A$3:$I$102,7,FALSE),main!$K$26:$Q$29,3,FALSE),1,0)</f>
        <v>0</v>
      </c>
      <c r="CL4">
        <f>IF(VLOOKUP(CL$1,main!$A$3:$H$102,5,FALSE)-VLOOKUP($A4,main!$A$3:$H$102,6,FALSE)&gt;=main!$D$103+VLOOKUP(VLOOKUP(CL$1,main!$A$3:$I$102,7,FALSE),main!$K$26:$Q$29,3,FALSE),1,0)</f>
        <v>1</v>
      </c>
      <c r="CM4">
        <f>IF(VLOOKUP(CM$1,main!$A$3:$H$102,5,FALSE)-VLOOKUP($A4,main!$A$3:$H$102,6,FALSE)&gt;=main!$D$103+VLOOKUP(VLOOKUP(CM$1,main!$A$3:$I$102,7,FALSE),main!$K$26:$Q$29,3,FALSE),1,0)</f>
        <v>1</v>
      </c>
      <c r="CN4">
        <f>IF(VLOOKUP(CN$1,main!$A$3:$H$102,5,FALSE)-VLOOKUP($A4,main!$A$3:$H$102,6,FALSE)&gt;=main!$D$103+VLOOKUP(VLOOKUP(CN$1,main!$A$3:$I$102,7,FALSE),main!$K$26:$Q$29,3,FALSE),1,0)</f>
        <v>1</v>
      </c>
      <c r="CO4">
        <f>IF(VLOOKUP(CO$1,main!$A$3:$H$102,5,FALSE)-VLOOKUP($A4,main!$A$3:$H$102,6,FALSE)&gt;=main!$D$103+VLOOKUP(VLOOKUP(CO$1,main!$A$3:$I$102,7,FALSE),main!$K$26:$Q$29,3,FALSE),1,0)</f>
        <v>0</v>
      </c>
      <c r="CP4">
        <f>IF(VLOOKUP(CP$1,main!$A$3:$H$102,5,FALSE)-VLOOKUP($A4,main!$A$3:$H$102,6,FALSE)&gt;=main!$D$103+VLOOKUP(VLOOKUP(CP$1,main!$A$3:$I$102,7,FALSE),main!$K$26:$Q$29,3,FALSE),1,0)</f>
        <v>0</v>
      </c>
      <c r="CQ4">
        <f>IF(VLOOKUP(CQ$1,main!$A$3:$H$102,5,FALSE)-VLOOKUP($A4,main!$A$3:$H$102,6,FALSE)&gt;=main!$D$103+VLOOKUP(VLOOKUP(CQ$1,main!$A$3:$I$102,7,FALSE),main!$K$26:$Q$29,3,FALSE),1,0)</f>
        <v>1</v>
      </c>
      <c r="CR4">
        <f>IF(VLOOKUP(CR$1,main!$A$3:$H$102,5,FALSE)-VLOOKUP($A4,main!$A$3:$H$102,6,FALSE)&gt;=main!$D$103+VLOOKUP(VLOOKUP(CR$1,main!$A$3:$I$102,7,FALSE),main!$K$26:$Q$29,3,FALSE),1,0)</f>
        <v>1</v>
      </c>
      <c r="CS4">
        <f>IF(VLOOKUP(CS$1,main!$A$3:$H$102,5,FALSE)-VLOOKUP($A4,main!$A$3:$H$102,6,FALSE)&gt;=main!$D$103+VLOOKUP(VLOOKUP(CS$1,main!$A$3:$I$102,7,FALSE),main!$K$26:$Q$29,3,FALSE),1,0)</f>
        <v>1</v>
      </c>
      <c r="CT4">
        <f>IF(VLOOKUP(CT$1,main!$A$3:$H$102,5,FALSE)-VLOOKUP($A4,main!$A$3:$H$102,6,FALSE)&gt;=main!$D$103+VLOOKUP(VLOOKUP(CT$1,main!$A$3:$I$102,7,FALSE),main!$K$26:$Q$29,3,FALSE),1,0)</f>
        <v>0</v>
      </c>
      <c r="CU4">
        <f>IF(VLOOKUP(CU$1,main!$A$3:$H$102,5,FALSE)-VLOOKUP($A4,main!$A$3:$H$102,6,FALSE)&gt;=main!$D$103+VLOOKUP(VLOOKUP(CU$1,main!$A$3:$I$102,7,FALSE),main!$K$26:$Q$29,3,FALSE),1,0)</f>
        <v>0</v>
      </c>
      <c r="CV4">
        <f>IF(VLOOKUP(CV$1,main!$A$3:$H$102,5,FALSE)-VLOOKUP($A4,main!$A$3:$H$102,6,FALSE)&gt;=main!$D$103+VLOOKUP(VLOOKUP(CV$1,main!$A$3:$I$102,7,FALSE),main!$K$26:$Q$29,3,FALSE),1,0)</f>
        <v>1</v>
      </c>
      <c r="CW4">
        <f>IF(VLOOKUP(CW$1,main!$A$3:$H$102,5,FALSE)-VLOOKUP($A4,main!$A$3:$H$102,6,FALSE)&gt;=main!$D$103+VLOOKUP(VLOOKUP(CW$1,main!$A$3:$I$102,7,FALSE),main!$K$26:$Q$29,3,FALSE),1,0)</f>
        <v>1</v>
      </c>
      <c r="CX4">
        <f>IF(VLOOKUP(CX$1,main!$A$3:$H$102,5,FALSE)-VLOOKUP($A4,main!$A$3:$H$102,6,FALSE)&gt;=main!$D$103+VLOOKUP(VLOOKUP(CX$1,main!$A$3:$I$102,7,FALSE),main!$K$26:$Q$29,3,FALSE),1,0)</f>
        <v>1</v>
      </c>
      <c r="CZ4">
        <f>VLOOKUP(C$1,main!$A$3:$H$102,5,FALSE)</f>
        <v>430</v>
      </c>
    </row>
    <row r="5" spans="1:104" x14ac:dyDescent="0.25">
      <c r="A5" s="1">
        <v>3</v>
      </c>
      <c r="B5">
        <v>0</v>
      </c>
      <c r="C5">
        <f>IF(VLOOKUP(C$1,main!$A$3:$H$102,5,FALSE)-VLOOKUP($A5,main!$A$3:$H$102,6,FALSE)&gt;=main!$D$103+VLOOKUP(VLOOKUP(C$1,main!$A$3:$I$102,7,FALSE),main!$K$26:$Q$29,3,FALSE),1,0)</f>
        <v>0</v>
      </c>
      <c r="D5">
        <f>IF(VLOOKUP(D$1,main!$A$3:$H$102,5,FALSE)-VLOOKUP($A5,main!$A$3:$H$102,6,FALSE)&gt;=main!$D$103+VLOOKUP(VLOOKUP(D$1,main!$A$3:$I$102,7,FALSE),main!$K$26:$Q$29,3,FALSE),1,0)</f>
        <v>0</v>
      </c>
      <c r="E5">
        <f>IF(VLOOKUP(E$1,main!$A$3:$H$102,5,FALSE)-VLOOKUP($A5,main!$A$3:$H$102,6,FALSE)&gt;=main!$D$103+VLOOKUP(VLOOKUP(E$1,main!$A$3:$I$102,7,FALSE),main!$K$26:$Q$29,3,FALSE),1,0)</f>
        <v>0</v>
      </c>
      <c r="F5">
        <f>IF(VLOOKUP(F$1,main!$A$3:$H$102,5,FALSE)-VLOOKUP($A5,main!$A$3:$H$102,6,FALSE)&gt;=main!$D$103+VLOOKUP(VLOOKUP(F$1,main!$A$3:$I$102,7,FALSE),main!$K$26:$Q$29,3,FALSE),1,0)</f>
        <v>0</v>
      </c>
      <c r="G5">
        <f>IF(VLOOKUP(G$1,main!$A$3:$H$102,5,FALSE)-VLOOKUP($A5,main!$A$3:$H$102,6,FALSE)&gt;=main!$D$103+VLOOKUP(VLOOKUP(G$1,main!$A$3:$I$102,7,FALSE),main!$K$26:$Q$29,3,FALSE),1,0)</f>
        <v>0</v>
      </c>
      <c r="H5">
        <f>IF(VLOOKUP(H$1,main!$A$3:$H$102,5,FALSE)-VLOOKUP($A5,main!$A$3:$H$102,6,FALSE)&gt;=main!$D$103+VLOOKUP(VLOOKUP(H$1,main!$A$3:$I$102,7,FALSE),main!$K$26:$Q$29,3,FALSE),1,0)</f>
        <v>0</v>
      </c>
      <c r="I5">
        <f>IF(VLOOKUP(I$1,main!$A$3:$H$102,5,FALSE)-VLOOKUP($A5,main!$A$3:$H$102,6,FALSE)&gt;=main!$D$103+VLOOKUP(VLOOKUP(I$1,main!$A$3:$I$102,7,FALSE),main!$K$26:$Q$29,3,FALSE),1,0)</f>
        <v>1</v>
      </c>
      <c r="J5">
        <f>IF(VLOOKUP(J$1,main!$A$3:$H$102,5,FALSE)-VLOOKUP($A5,main!$A$3:$H$102,6,FALSE)&gt;=main!$D$103+VLOOKUP(VLOOKUP(J$1,main!$A$3:$I$102,7,FALSE),main!$K$26:$Q$29,3,FALSE),1,0)</f>
        <v>1</v>
      </c>
      <c r="K5">
        <f>IF(VLOOKUP(K$1,main!$A$3:$H$102,5,FALSE)-VLOOKUP($A5,main!$A$3:$H$102,6,FALSE)&gt;=main!$D$103+VLOOKUP(VLOOKUP(K$1,main!$A$3:$I$102,7,FALSE),main!$K$26:$Q$29,3,FALSE),1,0)</f>
        <v>1</v>
      </c>
      <c r="L5">
        <f>IF(VLOOKUP(L$1,main!$A$3:$H$102,5,FALSE)-VLOOKUP($A5,main!$A$3:$H$102,6,FALSE)&gt;=main!$D$103+VLOOKUP(VLOOKUP(L$1,main!$A$3:$I$102,7,FALSE),main!$K$26:$Q$29,3,FALSE),1,0)</f>
        <v>1</v>
      </c>
      <c r="M5">
        <f>IF(VLOOKUP(M$1,main!$A$3:$H$102,5,FALSE)-VLOOKUP($A5,main!$A$3:$H$102,6,FALSE)&gt;=main!$D$103+VLOOKUP(VLOOKUP(M$1,main!$A$3:$I$102,7,FALSE),main!$K$26:$Q$29,3,FALSE),1,0)</f>
        <v>0</v>
      </c>
      <c r="N5">
        <f>IF(VLOOKUP(N$1,main!$A$3:$H$102,5,FALSE)-VLOOKUP($A5,main!$A$3:$H$102,6,FALSE)&gt;=main!$D$103+VLOOKUP(VLOOKUP(N$1,main!$A$3:$I$102,7,FALSE),main!$K$26:$Q$29,3,FALSE),1,0)</f>
        <v>0</v>
      </c>
      <c r="O5">
        <f>IF(VLOOKUP(O$1,main!$A$3:$H$102,5,FALSE)-VLOOKUP($A5,main!$A$3:$H$102,6,FALSE)&gt;=main!$D$103+VLOOKUP(VLOOKUP(O$1,main!$A$3:$I$102,7,FALSE),main!$K$26:$Q$29,3,FALSE),1,0)</f>
        <v>0</v>
      </c>
      <c r="P5">
        <f>IF(VLOOKUP(P$1,main!$A$3:$H$102,5,FALSE)-VLOOKUP($A5,main!$A$3:$H$102,6,FALSE)&gt;=main!$D$103+VLOOKUP(VLOOKUP(P$1,main!$A$3:$I$102,7,FALSE),main!$K$26:$Q$29,3,FALSE),1,0)</f>
        <v>0</v>
      </c>
      <c r="Q5">
        <f>IF(VLOOKUP(Q$1,main!$A$3:$H$102,5,FALSE)-VLOOKUP($A5,main!$A$3:$H$102,6,FALSE)&gt;=main!$D$103+VLOOKUP(VLOOKUP(Q$1,main!$A$3:$I$102,7,FALSE),main!$K$26:$Q$29,3,FALSE),1,0)</f>
        <v>0</v>
      </c>
      <c r="R5">
        <f>IF(VLOOKUP(R$1,main!$A$3:$H$102,5,FALSE)-VLOOKUP($A5,main!$A$3:$H$102,6,FALSE)&gt;=main!$D$103+VLOOKUP(VLOOKUP(R$1,main!$A$3:$I$102,7,FALSE),main!$K$26:$Q$29,3,FALSE),1,0)</f>
        <v>0</v>
      </c>
      <c r="S5">
        <f>IF(VLOOKUP(S$1,main!$A$3:$H$102,5,FALSE)-VLOOKUP($A5,main!$A$3:$H$102,6,FALSE)&gt;=main!$D$103+VLOOKUP(VLOOKUP(S$1,main!$A$3:$I$102,7,FALSE),main!$K$26:$Q$29,3,FALSE),1,0)</f>
        <v>0</v>
      </c>
      <c r="T5">
        <f>IF(VLOOKUP(T$1,main!$A$3:$H$102,5,FALSE)-VLOOKUP($A5,main!$A$3:$H$102,6,FALSE)&gt;=main!$D$103+VLOOKUP(VLOOKUP(T$1,main!$A$3:$I$102,7,FALSE),main!$K$26:$Q$29,3,FALSE),1,0)</f>
        <v>1</v>
      </c>
      <c r="U5">
        <f>IF(VLOOKUP(U$1,main!$A$3:$H$102,5,FALSE)-VLOOKUP($A5,main!$A$3:$H$102,6,FALSE)&gt;=main!$D$103+VLOOKUP(VLOOKUP(U$1,main!$A$3:$I$102,7,FALSE),main!$K$26:$Q$29,3,FALSE),1,0)</f>
        <v>1</v>
      </c>
      <c r="V5">
        <f>IF(VLOOKUP(V$1,main!$A$3:$H$102,5,FALSE)-VLOOKUP($A5,main!$A$3:$H$102,6,FALSE)&gt;=main!$D$103+VLOOKUP(VLOOKUP(V$1,main!$A$3:$I$102,7,FALSE),main!$K$26:$Q$29,3,FALSE),1,0)</f>
        <v>1</v>
      </c>
      <c r="W5">
        <f>IF(VLOOKUP(W$1,main!$A$3:$H$102,5,FALSE)-VLOOKUP($A5,main!$A$3:$H$102,6,FALSE)&gt;=main!$D$103+VLOOKUP(VLOOKUP(W$1,main!$A$3:$I$102,7,FALSE),main!$K$26:$Q$29,3,FALSE),1,0)</f>
        <v>0</v>
      </c>
      <c r="X5">
        <f>IF(VLOOKUP(X$1,main!$A$3:$H$102,5,FALSE)-VLOOKUP($A5,main!$A$3:$H$102,6,FALSE)&gt;=main!$D$103+VLOOKUP(VLOOKUP(X$1,main!$A$3:$I$102,7,FALSE),main!$K$26:$Q$29,3,FALSE),1,0)</f>
        <v>0</v>
      </c>
      <c r="Y5">
        <f>IF(VLOOKUP(Y$1,main!$A$3:$H$102,5,FALSE)-VLOOKUP($A5,main!$A$3:$H$102,6,FALSE)&gt;=main!$D$103+VLOOKUP(VLOOKUP(Y$1,main!$A$3:$I$102,7,FALSE),main!$K$26:$Q$29,3,FALSE),1,0)</f>
        <v>0</v>
      </c>
      <c r="Z5">
        <f>IF(VLOOKUP(Z$1,main!$A$3:$H$102,5,FALSE)-VLOOKUP($A5,main!$A$3:$H$102,6,FALSE)&gt;=main!$D$103+VLOOKUP(VLOOKUP(Z$1,main!$A$3:$I$102,7,FALSE),main!$K$26:$Q$29,3,FALSE),1,0)</f>
        <v>1</v>
      </c>
      <c r="AA5">
        <f>IF(VLOOKUP(AA$1,main!$A$3:$H$102,5,FALSE)-VLOOKUP($A5,main!$A$3:$H$102,6,FALSE)&gt;=main!$D$103+VLOOKUP(VLOOKUP(AA$1,main!$A$3:$I$102,7,FALSE),main!$K$26:$Q$29,3,FALSE),1,0)</f>
        <v>1</v>
      </c>
      <c r="AB5">
        <f>IF(VLOOKUP(AB$1,main!$A$3:$H$102,5,FALSE)-VLOOKUP($A5,main!$A$3:$H$102,6,FALSE)&gt;=main!$D$103+VLOOKUP(VLOOKUP(AB$1,main!$A$3:$I$102,7,FALSE),main!$K$26:$Q$29,3,FALSE),1,0)</f>
        <v>0</v>
      </c>
      <c r="AC5">
        <f>IF(VLOOKUP(AC$1,main!$A$3:$H$102,5,FALSE)-VLOOKUP($A5,main!$A$3:$H$102,6,FALSE)&gt;=main!$D$103+VLOOKUP(VLOOKUP(AC$1,main!$A$3:$I$102,7,FALSE),main!$K$26:$Q$29,3,FALSE),1,0)</f>
        <v>0</v>
      </c>
      <c r="AD5">
        <f>IF(VLOOKUP(AD$1,main!$A$3:$H$102,5,FALSE)-VLOOKUP($A5,main!$A$3:$H$102,6,FALSE)&gt;=main!$D$103+VLOOKUP(VLOOKUP(AD$1,main!$A$3:$I$102,7,FALSE),main!$K$26:$Q$29,3,FALSE),1,0)</f>
        <v>0</v>
      </c>
      <c r="AE5">
        <f>IF(VLOOKUP(AE$1,main!$A$3:$H$102,5,FALSE)-VLOOKUP($A5,main!$A$3:$H$102,6,FALSE)&gt;=main!$D$103+VLOOKUP(VLOOKUP(AE$1,main!$A$3:$I$102,7,FALSE),main!$K$26:$Q$29,3,FALSE),1,0)</f>
        <v>0</v>
      </c>
      <c r="AF5">
        <f>IF(VLOOKUP(AF$1,main!$A$3:$H$102,5,FALSE)-VLOOKUP($A5,main!$A$3:$H$102,6,FALSE)&gt;=main!$D$103+VLOOKUP(VLOOKUP(AF$1,main!$A$3:$I$102,7,FALSE),main!$K$26:$Q$29,3,FALSE),1,0)</f>
        <v>1</v>
      </c>
      <c r="AG5">
        <f>IF(VLOOKUP(AG$1,main!$A$3:$H$102,5,FALSE)-VLOOKUP($A5,main!$A$3:$H$102,6,FALSE)&gt;=main!$D$103+VLOOKUP(VLOOKUP(AG$1,main!$A$3:$I$102,7,FALSE),main!$K$26:$Q$29,3,FALSE),1,0)</f>
        <v>0</v>
      </c>
      <c r="AH5">
        <f>IF(VLOOKUP(AH$1,main!$A$3:$H$102,5,FALSE)-VLOOKUP($A5,main!$A$3:$H$102,6,FALSE)&gt;=main!$D$103+VLOOKUP(VLOOKUP(AH$1,main!$A$3:$I$102,7,FALSE),main!$K$26:$Q$29,3,FALSE),1,0)</f>
        <v>0</v>
      </c>
      <c r="AI5">
        <f>IF(VLOOKUP(AI$1,main!$A$3:$H$102,5,FALSE)-VLOOKUP($A5,main!$A$3:$H$102,6,FALSE)&gt;=main!$D$103+VLOOKUP(VLOOKUP(AI$1,main!$A$3:$I$102,7,FALSE),main!$K$26:$Q$29,3,FALSE),1,0)</f>
        <v>0</v>
      </c>
      <c r="AJ5">
        <f>IF(VLOOKUP(AJ$1,main!$A$3:$H$102,5,FALSE)-VLOOKUP($A5,main!$A$3:$H$102,6,FALSE)&gt;=main!$D$103+VLOOKUP(VLOOKUP(AJ$1,main!$A$3:$I$102,7,FALSE),main!$K$26:$Q$29,3,FALSE),1,0)</f>
        <v>0</v>
      </c>
      <c r="AK5">
        <f>IF(VLOOKUP(AK$1,main!$A$3:$H$102,5,FALSE)-VLOOKUP($A5,main!$A$3:$H$102,6,FALSE)&gt;=main!$D$103+VLOOKUP(VLOOKUP(AK$1,main!$A$3:$I$102,7,FALSE),main!$K$26:$Q$29,3,FALSE),1,0)</f>
        <v>0</v>
      </c>
      <c r="AL5">
        <f>IF(VLOOKUP(AL$1,main!$A$3:$H$102,5,FALSE)-VLOOKUP($A5,main!$A$3:$H$102,6,FALSE)&gt;=main!$D$103+VLOOKUP(VLOOKUP(AL$1,main!$A$3:$I$102,7,FALSE),main!$K$26:$Q$29,3,FALSE),1,0)</f>
        <v>1</v>
      </c>
      <c r="AM5">
        <f>IF(VLOOKUP(AM$1,main!$A$3:$H$102,5,FALSE)-VLOOKUP($A5,main!$A$3:$H$102,6,FALSE)&gt;=main!$D$103+VLOOKUP(VLOOKUP(AM$1,main!$A$3:$I$102,7,FALSE),main!$K$26:$Q$29,3,FALSE),1,0)</f>
        <v>1</v>
      </c>
      <c r="AN5">
        <f>IF(VLOOKUP(AN$1,main!$A$3:$H$102,5,FALSE)-VLOOKUP($A5,main!$A$3:$H$102,6,FALSE)&gt;=main!$D$103+VLOOKUP(VLOOKUP(AN$1,main!$A$3:$I$102,7,FALSE),main!$K$26:$Q$29,3,FALSE),1,0)</f>
        <v>1</v>
      </c>
      <c r="AO5">
        <f>IF(VLOOKUP(AO$1,main!$A$3:$H$102,5,FALSE)-VLOOKUP($A5,main!$A$3:$H$102,6,FALSE)&gt;=main!$D$103+VLOOKUP(VLOOKUP(AO$1,main!$A$3:$I$102,7,FALSE),main!$K$26:$Q$29,3,FALSE),1,0)</f>
        <v>0</v>
      </c>
      <c r="AP5">
        <f>IF(VLOOKUP(AP$1,main!$A$3:$H$102,5,FALSE)-VLOOKUP($A5,main!$A$3:$H$102,6,FALSE)&gt;=main!$D$103+VLOOKUP(VLOOKUP(AP$1,main!$A$3:$I$102,7,FALSE),main!$K$26:$Q$29,3,FALSE),1,0)</f>
        <v>1</v>
      </c>
      <c r="AQ5">
        <f>IF(VLOOKUP(AQ$1,main!$A$3:$H$102,5,FALSE)-VLOOKUP($A5,main!$A$3:$H$102,6,FALSE)&gt;=main!$D$103+VLOOKUP(VLOOKUP(AQ$1,main!$A$3:$I$102,7,FALSE),main!$K$26:$Q$29,3,FALSE),1,0)</f>
        <v>0</v>
      </c>
      <c r="AR5">
        <f>IF(VLOOKUP(AR$1,main!$A$3:$H$102,5,FALSE)-VLOOKUP($A5,main!$A$3:$H$102,6,FALSE)&gt;=main!$D$103+VLOOKUP(VLOOKUP(AR$1,main!$A$3:$I$102,7,FALSE),main!$K$26:$Q$29,3,FALSE),1,0)</f>
        <v>0</v>
      </c>
      <c r="AS5">
        <f>IF(VLOOKUP(AS$1,main!$A$3:$H$102,5,FALSE)-VLOOKUP($A5,main!$A$3:$H$102,6,FALSE)&gt;=main!$D$103+VLOOKUP(VLOOKUP(AS$1,main!$A$3:$I$102,7,FALSE),main!$K$26:$Q$29,3,FALSE),1,0)</f>
        <v>0</v>
      </c>
      <c r="AT5">
        <f>IF(VLOOKUP(AT$1,main!$A$3:$H$102,5,FALSE)-VLOOKUP($A5,main!$A$3:$H$102,6,FALSE)&gt;=main!$D$103+VLOOKUP(VLOOKUP(AT$1,main!$A$3:$I$102,7,FALSE),main!$K$26:$Q$29,3,FALSE),1,0)</f>
        <v>1</v>
      </c>
      <c r="AU5">
        <f>IF(VLOOKUP(AU$1,main!$A$3:$H$102,5,FALSE)-VLOOKUP($A5,main!$A$3:$H$102,6,FALSE)&gt;=main!$D$103+VLOOKUP(VLOOKUP(AU$1,main!$A$3:$I$102,7,FALSE),main!$K$26:$Q$29,3,FALSE),1,0)</f>
        <v>0</v>
      </c>
      <c r="AV5">
        <f>IF(VLOOKUP(AV$1,main!$A$3:$H$102,5,FALSE)-VLOOKUP($A5,main!$A$3:$H$102,6,FALSE)&gt;=main!$D$103+VLOOKUP(VLOOKUP(AV$1,main!$A$3:$I$102,7,FALSE),main!$K$26:$Q$29,3,FALSE),1,0)</f>
        <v>0</v>
      </c>
      <c r="AW5">
        <f>IF(VLOOKUP(AW$1,main!$A$3:$H$102,5,FALSE)-VLOOKUP($A5,main!$A$3:$H$102,6,FALSE)&gt;=main!$D$103+VLOOKUP(VLOOKUP(AW$1,main!$A$3:$I$102,7,FALSE),main!$K$26:$Q$29,3,FALSE),1,0)</f>
        <v>0</v>
      </c>
      <c r="AX5">
        <f>IF(VLOOKUP(AX$1,main!$A$3:$H$102,5,FALSE)-VLOOKUP($A5,main!$A$3:$H$102,6,FALSE)&gt;=main!$D$103+VLOOKUP(VLOOKUP(AX$1,main!$A$3:$I$102,7,FALSE),main!$K$26:$Q$29,3,FALSE),1,0)</f>
        <v>0</v>
      </c>
      <c r="AY5">
        <f>IF(VLOOKUP(AY$1,main!$A$3:$H$102,5,FALSE)-VLOOKUP($A5,main!$A$3:$H$102,6,FALSE)&gt;=main!$D$103+VLOOKUP(VLOOKUP(AY$1,main!$A$3:$I$102,7,FALSE),main!$K$26:$Q$29,3,FALSE),1,0)</f>
        <v>0</v>
      </c>
      <c r="AZ5">
        <f>IF(VLOOKUP(AZ$1,main!$A$3:$H$102,5,FALSE)-VLOOKUP($A5,main!$A$3:$H$102,6,FALSE)&gt;=main!$D$103+VLOOKUP(VLOOKUP(AZ$1,main!$A$3:$I$102,7,FALSE),main!$K$26:$Q$29,3,FALSE),1,0)</f>
        <v>0</v>
      </c>
      <c r="BA5">
        <f>IF(VLOOKUP(BA$1,main!$A$3:$H$102,5,FALSE)-VLOOKUP($A5,main!$A$3:$H$102,6,FALSE)&gt;=main!$D$103+VLOOKUP(VLOOKUP(BA$1,main!$A$3:$I$102,7,FALSE),main!$K$26:$Q$29,3,FALSE),1,0)</f>
        <v>0</v>
      </c>
      <c r="BB5">
        <f>IF(VLOOKUP(BB$1,main!$A$3:$H$102,5,FALSE)-VLOOKUP($A5,main!$A$3:$H$102,6,FALSE)&gt;=main!$D$103+VLOOKUP(VLOOKUP(BB$1,main!$A$3:$I$102,7,FALSE),main!$K$26:$Q$29,3,FALSE),1,0)</f>
        <v>0</v>
      </c>
      <c r="BC5">
        <f>IF(VLOOKUP(BC$1,main!$A$3:$H$102,5,FALSE)-VLOOKUP($A5,main!$A$3:$H$102,6,FALSE)&gt;=main!$D$103+VLOOKUP(VLOOKUP(BC$1,main!$A$3:$I$102,7,FALSE),main!$K$26:$Q$29,3,FALSE),1,0)</f>
        <v>0</v>
      </c>
      <c r="BD5">
        <f>IF(VLOOKUP(BD$1,main!$A$3:$H$102,5,FALSE)-VLOOKUP($A5,main!$A$3:$H$102,6,FALSE)&gt;=main!$D$103+VLOOKUP(VLOOKUP(BD$1,main!$A$3:$I$102,7,FALSE),main!$K$26:$Q$29,3,FALSE),1,0)</f>
        <v>0</v>
      </c>
      <c r="BE5">
        <f>IF(VLOOKUP(BE$1,main!$A$3:$H$102,5,FALSE)-VLOOKUP($A5,main!$A$3:$H$102,6,FALSE)&gt;=main!$D$103+VLOOKUP(VLOOKUP(BE$1,main!$A$3:$I$102,7,FALSE),main!$K$26:$Q$29,3,FALSE),1,0)</f>
        <v>1</v>
      </c>
      <c r="BF5">
        <f>IF(VLOOKUP(BF$1,main!$A$3:$H$102,5,FALSE)-VLOOKUP($A5,main!$A$3:$H$102,6,FALSE)&gt;=main!$D$103+VLOOKUP(VLOOKUP(BF$1,main!$A$3:$I$102,7,FALSE),main!$K$26:$Q$29,3,FALSE),1,0)</f>
        <v>0</v>
      </c>
      <c r="BG5">
        <f>IF(VLOOKUP(BG$1,main!$A$3:$H$102,5,FALSE)-VLOOKUP($A5,main!$A$3:$H$102,6,FALSE)&gt;=main!$D$103+VLOOKUP(VLOOKUP(BG$1,main!$A$3:$I$102,7,FALSE),main!$K$26:$Q$29,3,FALSE),1,0)</f>
        <v>0</v>
      </c>
      <c r="BH5">
        <f>IF(VLOOKUP(BH$1,main!$A$3:$H$102,5,FALSE)-VLOOKUP($A5,main!$A$3:$H$102,6,FALSE)&gt;=main!$D$103+VLOOKUP(VLOOKUP(BH$1,main!$A$3:$I$102,7,FALSE),main!$K$26:$Q$29,3,FALSE),1,0)</f>
        <v>0</v>
      </c>
      <c r="BI5">
        <f>IF(VLOOKUP(BI$1,main!$A$3:$H$102,5,FALSE)-VLOOKUP($A5,main!$A$3:$H$102,6,FALSE)&gt;=main!$D$103+VLOOKUP(VLOOKUP(BI$1,main!$A$3:$I$102,7,FALSE),main!$K$26:$Q$29,3,FALSE),1,0)</f>
        <v>1</v>
      </c>
      <c r="BJ5">
        <f>IF(VLOOKUP(BJ$1,main!$A$3:$H$102,5,FALSE)-VLOOKUP($A5,main!$A$3:$H$102,6,FALSE)&gt;=main!$D$103+VLOOKUP(VLOOKUP(BJ$1,main!$A$3:$I$102,7,FALSE),main!$K$26:$Q$29,3,FALSE),1,0)</f>
        <v>1</v>
      </c>
      <c r="BK5">
        <f>IF(VLOOKUP(BK$1,main!$A$3:$H$102,5,FALSE)-VLOOKUP($A5,main!$A$3:$H$102,6,FALSE)&gt;=main!$D$103+VLOOKUP(VLOOKUP(BK$1,main!$A$3:$I$102,7,FALSE),main!$K$26:$Q$29,3,FALSE),1,0)</f>
        <v>0</v>
      </c>
      <c r="BL5">
        <f>IF(VLOOKUP(BL$1,main!$A$3:$H$102,5,FALSE)-VLOOKUP($A5,main!$A$3:$H$102,6,FALSE)&gt;=main!$D$103+VLOOKUP(VLOOKUP(BL$1,main!$A$3:$I$102,7,FALSE),main!$K$26:$Q$29,3,FALSE),1,0)</f>
        <v>0</v>
      </c>
      <c r="BM5">
        <f>IF(VLOOKUP(BM$1,main!$A$3:$H$102,5,FALSE)-VLOOKUP($A5,main!$A$3:$H$102,6,FALSE)&gt;=main!$D$103+VLOOKUP(VLOOKUP(BM$1,main!$A$3:$I$102,7,FALSE),main!$K$26:$Q$29,3,FALSE),1,0)</f>
        <v>0</v>
      </c>
      <c r="BN5">
        <f>IF(VLOOKUP(BN$1,main!$A$3:$H$102,5,FALSE)-VLOOKUP($A5,main!$A$3:$H$102,6,FALSE)&gt;=main!$D$103+VLOOKUP(VLOOKUP(BN$1,main!$A$3:$I$102,7,FALSE),main!$K$26:$Q$29,3,FALSE),1,0)</f>
        <v>0</v>
      </c>
      <c r="BO5">
        <f>IF(VLOOKUP(BO$1,main!$A$3:$H$102,5,FALSE)-VLOOKUP($A5,main!$A$3:$H$102,6,FALSE)&gt;=main!$D$103+VLOOKUP(VLOOKUP(BO$1,main!$A$3:$I$102,7,FALSE),main!$K$26:$Q$29,3,FALSE),1,0)</f>
        <v>0</v>
      </c>
      <c r="BP5">
        <f>IF(VLOOKUP(BP$1,main!$A$3:$H$102,5,FALSE)-VLOOKUP($A5,main!$A$3:$H$102,6,FALSE)&gt;=main!$D$103+VLOOKUP(VLOOKUP(BP$1,main!$A$3:$I$102,7,FALSE),main!$K$26:$Q$29,3,FALSE),1,0)</f>
        <v>0</v>
      </c>
      <c r="BQ5">
        <f>IF(VLOOKUP(BQ$1,main!$A$3:$H$102,5,FALSE)-VLOOKUP($A5,main!$A$3:$H$102,6,FALSE)&gt;=main!$D$103+VLOOKUP(VLOOKUP(BQ$1,main!$A$3:$I$102,7,FALSE),main!$K$26:$Q$29,3,FALSE),1,0)</f>
        <v>0</v>
      </c>
      <c r="BR5">
        <f>IF(VLOOKUP(BR$1,main!$A$3:$H$102,5,FALSE)-VLOOKUP($A5,main!$A$3:$H$102,6,FALSE)&gt;=main!$D$103+VLOOKUP(VLOOKUP(BR$1,main!$A$3:$I$102,7,FALSE),main!$K$26:$Q$29,3,FALSE),1,0)</f>
        <v>0</v>
      </c>
      <c r="BS5">
        <f>IF(VLOOKUP(BS$1,main!$A$3:$H$102,5,FALSE)-VLOOKUP($A5,main!$A$3:$H$102,6,FALSE)&gt;=main!$D$103+VLOOKUP(VLOOKUP(BS$1,main!$A$3:$I$102,7,FALSE),main!$K$26:$Q$29,3,FALSE),1,0)</f>
        <v>0</v>
      </c>
      <c r="BT5">
        <f>IF(VLOOKUP(BT$1,main!$A$3:$H$102,5,FALSE)-VLOOKUP($A5,main!$A$3:$H$102,6,FALSE)&gt;=main!$D$103+VLOOKUP(VLOOKUP(BT$1,main!$A$3:$I$102,7,FALSE),main!$K$26:$Q$29,3,FALSE),1,0)</f>
        <v>0</v>
      </c>
      <c r="BU5">
        <f>IF(VLOOKUP(BU$1,main!$A$3:$H$102,5,FALSE)-VLOOKUP($A5,main!$A$3:$H$102,6,FALSE)&gt;=main!$D$103+VLOOKUP(VLOOKUP(BU$1,main!$A$3:$I$102,7,FALSE),main!$K$26:$Q$29,3,FALSE),1,0)</f>
        <v>0</v>
      </c>
      <c r="BV5">
        <f>IF(VLOOKUP(BV$1,main!$A$3:$H$102,5,FALSE)-VLOOKUP($A5,main!$A$3:$H$102,6,FALSE)&gt;=main!$D$103+VLOOKUP(VLOOKUP(BV$1,main!$A$3:$I$102,7,FALSE),main!$K$26:$Q$29,3,FALSE),1,0)</f>
        <v>0</v>
      </c>
      <c r="BW5">
        <f>IF(VLOOKUP(BW$1,main!$A$3:$H$102,5,FALSE)-VLOOKUP($A5,main!$A$3:$H$102,6,FALSE)&gt;=main!$D$103+VLOOKUP(VLOOKUP(BW$1,main!$A$3:$I$102,7,FALSE),main!$K$26:$Q$29,3,FALSE),1,0)</f>
        <v>0</v>
      </c>
      <c r="BX5">
        <f>IF(VLOOKUP(BX$1,main!$A$3:$H$102,5,FALSE)-VLOOKUP($A5,main!$A$3:$H$102,6,FALSE)&gt;=main!$D$103+VLOOKUP(VLOOKUP(BX$1,main!$A$3:$I$102,7,FALSE),main!$K$26:$Q$29,3,FALSE),1,0)</f>
        <v>0</v>
      </c>
      <c r="BY5">
        <f>IF(VLOOKUP(BY$1,main!$A$3:$H$102,5,FALSE)-VLOOKUP($A5,main!$A$3:$H$102,6,FALSE)&gt;=main!$D$103+VLOOKUP(VLOOKUP(BY$1,main!$A$3:$I$102,7,FALSE),main!$K$26:$Q$29,3,FALSE),1,0)</f>
        <v>0</v>
      </c>
      <c r="BZ5">
        <f>IF(VLOOKUP(BZ$1,main!$A$3:$H$102,5,FALSE)-VLOOKUP($A5,main!$A$3:$H$102,6,FALSE)&gt;=main!$D$103+VLOOKUP(VLOOKUP(BZ$1,main!$A$3:$I$102,7,FALSE),main!$K$26:$Q$29,3,FALSE),1,0)</f>
        <v>0</v>
      </c>
      <c r="CA5">
        <f>IF(VLOOKUP(CA$1,main!$A$3:$H$102,5,FALSE)-VLOOKUP($A5,main!$A$3:$H$102,6,FALSE)&gt;=main!$D$103+VLOOKUP(VLOOKUP(CA$1,main!$A$3:$I$102,7,FALSE),main!$K$26:$Q$29,3,FALSE),1,0)</f>
        <v>0</v>
      </c>
      <c r="CB5">
        <f>IF(VLOOKUP(CB$1,main!$A$3:$H$102,5,FALSE)-VLOOKUP($A5,main!$A$3:$H$102,6,FALSE)&gt;=main!$D$103+VLOOKUP(VLOOKUP(CB$1,main!$A$3:$I$102,7,FALSE),main!$K$26:$Q$29,3,FALSE),1,0)</f>
        <v>0</v>
      </c>
      <c r="CC5">
        <f>IF(VLOOKUP(CC$1,main!$A$3:$H$102,5,FALSE)-VLOOKUP($A5,main!$A$3:$H$102,6,FALSE)&gt;=main!$D$103+VLOOKUP(VLOOKUP(CC$1,main!$A$3:$I$102,7,FALSE),main!$K$26:$Q$29,3,FALSE),1,0)</f>
        <v>1</v>
      </c>
      <c r="CD5">
        <f>IF(VLOOKUP(CD$1,main!$A$3:$H$102,5,FALSE)-VLOOKUP($A5,main!$A$3:$H$102,6,FALSE)&gt;=main!$D$103+VLOOKUP(VLOOKUP(CD$1,main!$A$3:$I$102,7,FALSE),main!$K$26:$Q$29,3,FALSE),1,0)</f>
        <v>0</v>
      </c>
      <c r="CE5">
        <f>IF(VLOOKUP(CE$1,main!$A$3:$H$102,5,FALSE)-VLOOKUP($A5,main!$A$3:$H$102,6,FALSE)&gt;=main!$D$103+VLOOKUP(VLOOKUP(CE$1,main!$A$3:$I$102,7,FALSE),main!$K$26:$Q$29,3,FALSE),1,0)</f>
        <v>0</v>
      </c>
      <c r="CF5">
        <f>IF(VLOOKUP(CF$1,main!$A$3:$H$102,5,FALSE)-VLOOKUP($A5,main!$A$3:$H$102,6,FALSE)&gt;=main!$D$103+VLOOKUP(VLOOKUP(CF$1,main!$A$3:$I$102,7,FALSE),main!$K$26:$Q$29,3,FALSE),1,0)</f>
        <v>0</v>
      </c>
      <c r="CG5">
        <f>IF(VLOOKUP(CG$1,main!$A$3:$H$102,5,FALSE)-VLOOKUP($A5,main!$A$3:$H$102,6,FALSE)&gt;=main!$D$103+VLOOKUP(VLOOKUP(CG$1,main!$A$3:$I$102,7,FALSE),main!$K$26:$Q$29,3,FALSE),1,0)</f>
        <v>0</v>
      </c>
      <c r="CH5">
        <f>IF(VLOOKUP(CH$1,main!$A$3:$H$102,5,FALSE)-VLOOKUP($A5,main!$A$3:$H$102,6,FALSE)&gt;=main!$D$103+VLOOKUP(VLOOKUP(CH$1,main!$A$3:$I$102,7,FALSE),main!$K$26:$Q$29,3,FALSE),1,0)</f>
        <v>1</v>
      </c>
      <c r="CI5">
        <f>IF(VLOOKUP(CI$1,main!$A$3:$H$102,5,FALSE)-VLOOKUP($A5,main!$A$3:$H$102,6,FALSE)&gt;=main!$D$103+VLOOKUP(VLOOKUP(CI$1,main!$A$3:$I$102,7,FALSE),main!$K$26:$Q$29,3,FALSE),1,0)</f>
        <v>1</v>
      </c>
      <c r="CJ5">
        <f>IF(VLOOKUP(CJ$1,main!$A$3:$H$102,5,FALSE)-VLOOKUP($A5,main!$A$3:$H$102,6,FALSE)&gt;=main!$D$103+VLOOKUP(VLOOKUP(CJ$1,main!$A$3:$I$102,7,FALSE),main!$K$26:$Q$29,3,FALSE),1,0)</f>
        <v>0</v>
      </c>
      <c r="CK5">
        <f>IF(VLOOKUP(CK$1,main!$A$3:$H$102,5,FALSE)-VLOOKUP($A5,main!$A$3:$H$102,6,FALSE)&gt;=main!$D$103+VLOOKUP(VLOOKUP(CK$1,main!$A$3:$I$102,7,FALSE),main!$K$26:$Q$29,3,FALSE),1,0)</f>
        <v>0</v>
      </c>
      <c r="CL5">
        <f>IF(VLOOKUP(CL$1,main!$A$3:$H$102,5,FALSE)-VLOOKUP($A5,main!$A$3:$H$102,6,FALSE)&gt;=main!$D$103+VLOOKUP(VLOOKUP(CL$1,main!$A$3:$I$102,7,FALSE),main!$K$26:$Q$29,3,FALSE),1,0)</f>
        <v>0</v>
      </c>
      <c r="CM5">
        <f>IF(VLOOKUP(CM$1,main!$A$3:$H$102,5,FALSE)-VLOOKUP($A5,main!$A$3:$H$102,6,FALSE)&gt;=main!$D$103+VLOOKUP(VLOOKUP(CM$1,main!$A$3:$I$102,7,FALSE),main!$K$26:$Q$29,3,FALSE),1,0)</f>
        <v>1</v>
      </c>
      <c r="CN5">
        <f>IF(VLOOKUP(CN$1,main!$A$3:$H$102,5,FALSE)-VLOOKUP($A5,main!$A$3:$H$102,6,FALSE)&gt;=main!$D$103+VLOOKUP(VLOOKUP(CN$1,main!$A$3:$I$102,7,FALSE),main!$K$26:$Q$29,3,FALSE),1,0)</f>
        <v>1</v>
      </c>
      <c r="CO5">
        <f>IF(VLOOKUP(CO$1,main!$A$3:$H$102,5,FALSE)-VLOOKUP($A5,main!$A$3:$H$102,6,FALSE)&gt;=main!$D$103+VLOOKUP(VLOOKUP(CO$1,main!$A$3:$I$102,7,FALSE),main!$K$26:$Q$29,3,FALSE),1,0)</f>
        <v>0</v>
      </c>
      <c r="CP5">
        <f>IF(VLOOKUP(CP$1,main!$A$3:$H$102,5,FALSE)-VLOOKUP($A5,main!$A$3:$H$102,6,FALSE)&gt;=main!$D$103+VLOOKUP(VLOOKUP(CP$1,main!$A$3:$I$102,7,FALSE),main!$K$26:$Q$29,3,FALSE),1,0)</f>
        <v>0</v>
      </c>
      <c r="CQ5">
        <f>IF(VLOOKUP(CQ$1,main!$A$3:$H$102,5,FALSE)-VLOOKUP($A5,main!$A$3:$H$102,6,FALSE)&gt;=main!$D$103+VLOOKUP(VLOOKUP(CQ$1,main!$A$3:$I$102,7,FALSE),main!$K$26:$Q$29,3,FALSE),1,0)</f>
        <v>0</v>
      </c>
      <c r="CR5">
        <f>IF(VLOOKUP(CR$1,main!$A$3:$H$102,5,FALSE)-VLOOKUP($A5,main!$A$3:$H$102,6,FALSE)&gt;=main!$D$103+VLOOKUP(VLOOKUP(CR$1,main!$A$3:$I$102,7,FALSE),main!$K$26:$Q$29,3,FALSE),1,0)</f>
        <v>1</v>
      </c>
      <c r="CS5">
        <f>IF(VLOOKUP(CS$1,main!$A$3:$H$102,5,FALSE)-VLOOKUP($A5,main!$A$3:$H$102,6,FALSE)&gt;=main!$D$103+VLOOKUP(VLOOKUP(CS$1,main!$A$3:$I$102,7,FALSE),main!$K$26:$Q$29,3,FALSE),1,0)</f>
        <v>1</v>
      </c>
      <c r="CT5">
        <f>IF(VLOOKUP(CT$1,main!$A$3:$H$102,5,FALSE)-VLOOKUP($A5,main!$A$3:$H$102,6,FALSE)&gt;=main!$D$103+VLOOKUP(VLOOKUP(CT$1,main!$A$3:$I$102,7,FALSE),main!$K$26:$Q$29,3,FALSE),1,0)</f>
        <v>0</v>
      </c>
      <c r="CU5">
        <f>IF(VLOOKUP(CU$1,main!$A$3:$H$102,5,FALSE)-VLOOKUP($A5,main!$A$3:$H$102,6,FALSE)&gt;=main!$D$103+VLOOKUP(VLOOKUP(CU$1,main!$A$3:$I$102,7,FALSE),main!$K$26:$Q$29,3,FALSE),1,0)</f>
        <v>0</v>
      </c>
      <c r="CV5">
        <f>IF(VLOOKUP(CV$1,main!$A$3:$H$102,5,FALSE)-VLOOKUP($A5,main!$A$3:$H$102,6,FALSE)&gt;=main!$D$103+VLOOKUP(VLOOKUP(CV$1,main!$A$3:$I$102,7,FALSE),main!$K$26:$Q$29,3,FALSE),1,0)</f>
        <v>0</v>
      </c>
      <c r="CW5">
        <f>IF(VLOOKUP(CW$1,main!$A$3:$H$102,5,FALSE)-VLOOKUP($A5,main!$A$3:$H$102,6,FALSE)&gt;=main!$D$103+VLOOKUP(VLOOKUP(CW$1,main!$A$3:$I$102,7,FALSE),main!$K$26:$Q$29,3,FALSE),1,0)</f>
        <v>1</v>
      </c>
      <c r="CX5">
        <f>IF(VLOOKUP(CX$1,main!$A$3:$H$102,5,FALSE)-VLOOKUP($A5,main!$A$3:$H$102,6,FALSE)&gt;=main!$D$103+VLOOKUP(VLOOKUP(CX$1,main!$A$3:$I$102,7,FALSE),main!$K$26:$Q$29,3,FALSE),1,0)</f>
        <v>1</v>
      </c>
      <c r="CZ5">
        <f>VLOOKUP($A3,main!$A$3:$H$102,6,FALSE)</f>
        <v>565</v>
      </c>
    </row>
    <row r="6" spans="1:104" x14ac:dyDescent="0.25">
      <c r="A6" s="1">
        <v>4</v>
      </c>
      <c r="B6">
        <v>0</v>
      </c>
      <c r="C6">
        <f>IF(VLOOKUP(C$1,main!$A$3:$H$102,5,FALSE)-VLOOKUP($A6,main!$A$3:$H$102,6,FALSE)&gt;=main!$D$103+VLOOKUP(VLOOKUP(C$1,main!$A$3:$I$102,7,FALSE),main!$K$26:$Q$29,3,FALSE),1,0)</f>
        <v>0</v>
      </c>
      <c r="D6">
        <f>IF(VLOOKUP(D$1,main!$A$3:$H$102,5,FALSE)-VLOOKUP($A6,main!$A$3:$H$102,6,FALSE)&gt;=main!$D$103+VLOOKUP(VLOOKUP(D$1,main!$A$3:$I$102,7,FALSE),main!$K$26:$Q$29,3,FALSE),1,0)</f>
        <v>0</v>
      </c>
      <c r="E6">
        <f>IF(VLOOKUP(E$1,main!$A$3:$H$102,5,FALSE)-VLOOKUP($A6,main!$A$3:$H$102,6,FALSE)&gt;=main!$D$103+VLOOKUP(VLOOKUP(E$1,main!$A$3:$I$102,7,FALSE),main!$K$26:$Q$29,3,FALSE),1,0)</f>
        <v>0</v>
      </c>
      <c r="F6">
        <f>IF(VLOOKUP(F$1,main!$A$3:$H$102,5,FALSE)-VLOOKUP($A6,main!$A$3:$H$102,6,FALSE)&gt;=main!$D$103+VLOOKUP(VLOOKUP(F$1,main!$A$3:$I$102,7,FALSE),main!$K$26:$Q$29,3,FALSE),1,0)</f>
        <v>0</v>
      </c>
      <c r="G6">
        <f>IF(VLOOKUP(G$1,main!$A$3:$H$102,5,FALSE)-VLOOKUP($A6,main!$A$3:$H$102,6,FALSE)&gt;=main!$D$103+VLOOKUP(VLOOKUP(G$1,main!$A$3:$I$102,7,FALSE),main!$K$26:$Q$29,3,FALSE),1,0)</f>
        <v>0</v>
      </c>
      <c r="H6">
        <f>IF(VLOOKUP(H$1,main!$A$3:$H$102,5,FALSE)-VLOOKUP($A6,main!$A$3:$H$102,6,FALSE)&gt;=main!$D$103+VLOOKUP(VLOOKUP(H$1,main!$A$3:$I$102,7,FALSE),main!$K$26:$Q$29,3,FALSE),1,0)</f>
        <v>0</v>
      </c>
      <c r="I6">
        <f>IF(VLOOKUP(I$1,main!$A$3:$H$102,5,FALSE)-VLOOKUP($A6,main!$A$3:$H$102,6,FALSE)&gt;=main!$D$103+VLOOKUP(VLOOKUP(I$1,main!$A$3:$I$102,7,FALSE),main!$K$26:$Q$29,3,FALSE),1,0)</f>
        <v>1</v>
      </c>
      <c r="J6">
        <f>IF(VLOOKUP(J$1,main!$A$3:$H$102,5,FALSE)-VLOOKUP($A6,main!$A$3:$H$102,6,FALSE)&gt;=main!$D$103+VLOOKUP(VLOOKUP(J$1,main!$A$3:$I$102,7,FALSE),main!$K$26:$Q$29,3,FALSE),1,0)</f>
        <v>1</v>
      </c>
      <c r="K6">
        <f>IF(VLOOKUP(K$1,main!$A$3:$H$102,5,FALSE)-VLOOKUP($A6,main!$A$3:$H$102,6,FALSE)&gt;=main!$D$103+VLOOKUP(VLOOKUP(K$1,main!$A$3:$I$102,7,FALSE),main!$K$26:$Q$29,3,FALSE),1,0)</f>
        <v>1</v>
      </c>
      <c r="L6">
        <f>IF(VLOOKUP(L$1,main!$A$3:$H$102,5,FALSE)-VLOOKUP($A6,main!$A$3:$H$102,6,FALSE)&gt;=main!$D$103+VLOOKUP(VLOOKUP(L$1,main!$A$3:$I$102,7,FALSE),main!$K$26:$Q$29,3,FALSE),1,0)</f>
        <v>1</v>
      </c>
      <c r="M6">
        <f>IF(VLOOKUP(M$1,main!$A$3:$H$102,5,FALSE)-VLOOKUP($A6,main!$A$3:$H$102,6,FALSE)&gt;=main!$D$103+VLOOKUP(VLOOKUP(M$1,main!$A$3:$I$102,7,FALSE),main!$K$26:$Q$29,3,FALSE),1,0)</f>
        <v>0</v>
      </c>
      <c r="N6">
        <f>IF(VLOOKUP(N$1,main!$A$3:$H$102,5,FALSE)-VLOOKUP($A6,main!$A$3:$H$102,6,FALSE)&gt;=main!$D$103+VLOOKUP(VLOOKUP(N$1,main!$A$3:$I$102,7,FALSE),main!$K$26:$Q$29,3,FALSE),1,0)</f>
        <v>0</v>
      </c>
      <c r="O6">
        <f>IF(VLOOKUP(O$1,main!$A$3:$H$102,5,FALSE)-VLOOKUP($A6,main!$A$3:$H$102,6,FALSE)&gt;=main!$D$103+VLOOKUP(VLOOKUP(O$1,main!$A$3:$I$102,7,FALSE),main!$K$26:$Q$29,3,FALSE),1,0)</f>
        <v>0</v>
      </c>
      <c r="P6">
        <f>IF(VLOOKUP(P$1,main!$A$3:$H$102,5,FALSE)-VLOOKUP($A6,main!$A$3:$H$102,6,FALSE)&gt;=main!$D$103+VLOOKUP(VLOOKUP(P$1,main!$A$3:$I$102,7,FALSE),main!$K$26:$Q$29,3,FALSE),1,0)</f>
        <v>0</v>
      </c>
      <c r="Q6">
        <f>IF(VLOOKUP(Q$1,main!$A$3:$H$102,5,FALSE)-VLOOKUP($A6,main!$A$3:$H$102,6,FALSE)&gt;=main!$D$103+VLOOKUP(VLOOKUP(Q$1,main!$A$3:$I$102,7,FALSE),main!$K$26:$Q$29,3,FALSE),1,0)</f>
        <v>0</v>
      </c>
      <c r="R6">
        <f>IF(VLOOKUP(R$1,main!$A$3:$H$102,5,FALSE)-VLOOKUP($A6,main!$A$3:$H$102,6,FALSE)&gt;=main!$D$103+VLOOKUP(VLOOKUP(R$1,main!$A$3:$I$102,7,FALSE),main!$K$26:$Q$29,3,FALSE),1,0)</f>
        <v>0</v>
      </c>
      <c r="S6">
        <f>IF(VLOOKUP(S$1,main!$A$3:$H$102,5,FALSE)-VLOOKUP($A6,main!$A$3:$H$102,6,FALSE)&gt;=main!$D$103+VLOOKUP(VLOOKUP(S$1,main!$A$3:$I$102,7,FALSE),main!$K$26:$Q$29,3,FALSE),1,0)</f>
        <v>0</v>
      </c>
      <c r="T6">
        <f>IF(VLOOKUP(T$1,main!$A$3:$H$102,5,FALSE)-VLOOKUP($A6,main!$A$3:$H$102,6,FALSE)&gt;=main!$D$103+VLOOKUP(VLOOKUP(T$1,main!$A$3:$I$102,7,FALSE),main!$K$26:$Q$29,3,FALSE),1,0)</f>
        <v>1</v>
      </c>
      <c r="U6">
        <f>IF(VLOOKUP(U$1,main!$A$3:$H$102,5,FALSE)-VLOOKUP($A6,main!$A$3:$H$102,6,FALSE)&gt;=main!$D$103+VLOOKUP(VLOOKUP(U$1,main!$A$3:$I$102,7,FALSE),main!$K$26:$Q$29,3,FALSE),1,0)</f>
        <v>1</v>
      </c>
      <c r="V6">
        <f>IF(VLOOKUP(V$1,main!$A$3:$H$102,5,FALSE)-VLOOKUP($A6,main!$A$3:$H$102,6,FALSE)&gt;=main!$D$103+VLOOKUP(VLOOKUP(V$1,main!$A$3:$I$102,7,FALSE),main!$K$26:$Q$29,3,FALSE),1,0)</f>
        <v>1</v>
      </c>
      <c r="W6">
        <f>IF(VLOOKUP(W$1,main!$A$3:$H$102,5,FALSE)-VLOOKUP($A6,main!$A$3:$H$102,6,FALSE)&gt;=main!$D$103+VLOOKUP(VLOOKUP(W$1,main!$A$3:$I$102,7,FALSE),main!$K$26:$Q$29,3,FALSE),1,0)</f>
        <v>0</v>
      </c>
      <c r="X6">
        <f>IF(VLOOKUP(X$1,main!$A$3:$H$102,5,FALSE)-VLOOKUP($A6,main!$A$3:$H$102,6,FALSE)&gt;=main!$D$103+VLOOKUP(VLOOKUP(X$1,main!$A$3:$I$102,7,FALSE),main!$K$26:$Q$29,3,FALSE),1,0)</f>
        <v>0</v>
      </c>
      <c r="Y6">
        <f>IF(VLOOKUP(Y$1,main!$A$3:$H$102,5,FALSE)-VLOOKUP($A6,main!$A$3:$H$102,6,FALSE)&gt;=main!$D$103+VLOOKUP(VLOOKUP(Y$1,main!$A$3:$I$102,7,FALSE),main!$K$26:$Q$29,3,FALSE),1,0)</f>
        <v>0</v>
      </c>
      <c r="Z6">
        <f>IF(VLOOKUP(Z$1,main!$A$3:$H$102,5,FALSE)-VLOOKUP($A6,main!$A$3:$H$102,6,FALSE)&gt;=main!$D$103+VLOOKUP(VLOOKUP(Z$1,main!$A$3:$I$102,7,FALSE),main!$K$26:$Q$29,3,FALSE),1,0)</f>
        <v>1</v>
      </c>
      <c r="AA6">
        <f>IF(VLOOKUP(AA$1,main!$A$3:$H$102,5,FALSE)-VLOOKUP($A6,main!$A$3:$H$102,6,FALSE)&gt;=main!$D$103+VLOOKUP(VLOOKUP(AA$1,main!$A$3:$I$102,7,FALSE),main!$K$26:$Q$29,3,FALSE),1,0)</f>
        <v>1</v>
      </c>
      <c r="AB6">
        <f>IF(VLOOKUP(AB$1,main!$A$3:$H$102,5,FALSE)-VLOOKUP($A6,main!$A$3:$H$102,6,FALSE)&gt;=main!$D$103+VLOOKUP(VLOOKUP(AB$1,main!$A$3:$I$102,7,FALSE),main!$K$26:$Q$29,3,FALSE),1,0)</f>
        <v>0</v>
      </c>
      <c r="AC6">
        <f>IF(VLOOKUP(AC$1,main!$A$3:$H$102,5,FALSE)-VLOOKUP($A6,main!$A$3:$H$102,6,FALSE)&gt;=main!$D$103+VLOOKUP(VLOOKUP(AC$1,main!$A$3:$I$102,7,FALSE),main!$K$26:$Q$29,3,FALSE),1,0)</f>
        <v>0</v>
      </c>
      <c r="AD6">
        <f>IF(VLOOKUP(AD$1,main!$A$3:$H$102,5,FALSE)-VLOOKUP($A6,main!$A$3:$H$102,6,FALSE)&gt;=main!$D$103+VLOOKUP(VLOOKUP(AD$1,main!$A$3:$I$102,7,FALSE),main!$K$26:$Q$29,3,FALSE),1,0)</f>
        <v>0</v>
      </c>
      <c r="AE6">
        <f>IF(VLOOKUP(AE$1,main!$A$3:$H$102,5,FALSE)-VLOOKUP($A6,main!$A$3:$H$102,6,FALSE)&gt;=main!$D$103+VLOOKUP(VLOOKUP(AE$1,main!$A$3:$I$102,7,FALSE),main!$K$26:$Q$29,3,FALSE),1,0)</f>
        <v>0</v>
      </c>
      <c r="AF6">
        <f>IF(VLOOKUP(AF$1,main!$A$3:$H$102,5,FALSE)-VLOOKUP($A6,main!$A$3:$H$102,6,FALSE)&gt;=main!$D$103+VLOOKUP(VLOOKUP(AF$1,main!$A$3:$I$102,7,FALSE),main!$K$26:$Q$29,3,FALSE),1,0)</f>
        <v>1</v>
      </c>
      <c r="AG6">
        <f>IF(VLOOKUP(AG$1,main!$A$3:$H$102,5,FALSE)-VLOOKUP($A6,main!$A$3:$H$102,6,FALSE)&gt;=main!$D$103+VLOOKUP(VLOOKUP(AG$1,main!$A$3:$I$102,7,FALSE),main!$K$26:$Q$29,3,FALSE),1,0)</f>
        <v>0</v>
      </c>
      <c r="AH6">
        <f>IF(VLOOKUP(AH$1,main!$A$3:$H$102,5,FALSE)-VLOOKUP($A6,main!$A$3:$H$102,6,FALSE)&gt;=main!$D$103+VLOOKUP(VLOOKUP(AH$1,main!$A$3:$I$102,7,FALSE),main!$K$26:$Q$29,3,FALSE),1,0)</f>
        <v>0</v>
      </c>
      <c r="AI6">
        <f>IF(VLOOKUP(AI$1,main!$A$3:$H$102,5,FALSE)-VLOOKUP($A6,main!$A$3:$H$102,6,FALSE)&gt;=main!$D$103+VLOOKUP(VLOOKUP(AI$1,main!$A$3:$I$102,7,FALSE),main!$K$26:$Q$29,3,FALSE),1,0)</f>
        <v>0</v>
      </c>
      <c r="AJ6">
        <f>IF(VLOOKUP(AJ$1,main!$A$3:$H$102,5,FALSE)-VLOOKUP($A6,main!$A$3:$H$102,6,FALSE)&gt;=main!$D$103+VLOOKUP(VLOOKUP(AJ$1,main!$A$3:$I$102,7,FALSE),main!$K$26:$Q$29,3,FALSE),1,0)</f>
        <v>0</v>
      </c>
      <c r="AK6">
        <f>IF(VLOOKUP(AK$1,main!$A$3:$H$102,5,FALSE)-VLOOKUP($A6,main!$A$3:$H$102,6,FALSE)&gt;=main!$D$103+VLOOKUP(VLOOKUP(AK$1,main!$A$3:$I$102,7,FALSE),main!$K$26:$Q$29,3,FALSE),1,0)</f>
        <v>0</v>
      </c>
      <c r="AL6">
        <f>IF(VLOOKUP(AL$1,main!$A$3:$H$102,5,FALSE)-VLOOKUP($A6,main!$A$3:$H$102,6,FALSE)&gt;=main!$D$103+VLOOKUP(VLOOKUP(AL$1,main!$A$3:$I$102,7,FALSE),main!$K$26:$Q$29,3,FALSE),1,0)</f>
        <v>1</v>
      </c>
      <c r="AM6">
        <f>IF(VLOOKUP(AM$1,main!$A$3:$H$102,5,FALSE)-VLOOKUP($A6,main!$A$3:$H$102,6,FALSE)&gt;=main!$D$103+VLOOKUP(VLOOKUP(AM$1,main!$A$3:$I$102,7,FALSE),main!$K$26:$Q$29,3,FALSE),1,0)</f>
        <v>1</v>
      </c>
      <c r="AN6">
        <f>IF(VLOOKUP(AN$1,main!$A$3:$H$102,5,FALSE)-VLOOKUP($A6,main!$A$3:$H$102,6,FALSE)&gt;=main!$D$103+VLOOKUP(VLOOKUP(AN$1,main!$A$3:$I$102,7,FALSE),main!$K$26:$Q$29,3,FALSE),1,0)</f>
        <v>1</v>
      </c>
      <c r="AO6">
        <f>IF(VLOOKUP(AO$1,main!$A$3:$H$102,5,FALSE)-VLOOKUP($A6,main!$A$3:$H$102,6,FALSE)&gt;=main!$D$103+VLOOKUP(VLOOKUP(AO$1,main!$A$3:$I$102,7,FALSE),main!$K$26:$Q$29,3,FALSE),1,0)</f>
        <v>0</v>
      </c>
      <c r="AP6">
        <f>IF(VLOOKUP(AP$1,main!$A$3:$H$102,5,FALSE)-VLOOKUP($A6,main!$A$3:$H$102,6,FALSE)&gt;=main!$D$103+VLOOKUP(VLOOKUP(AP$1,main!$A$3:$I$102,7,FALSE),main!$K$26:$Q$29,3,FALSE),1,0)</f>
        <v>1</v>
      </c>
      <c r="AQ6">
        <f>IF(VLOOKUP(AQ$1,main!$A$3:$H$102,5,FALSE)-VLOOKUP($A6,main!$A$3:$H$102,6,FALSE)&gt;=main!$D$103+VLOOKUP(VLOOKUP(AQ$1,main!$A$3:$I$102,7,FALSE),main!$K$26:$Q$29,3,FALSE),1,0)</f>
        <v>0</v>
      </c>
      <c r="AR6">
        <f>IF(VLOOKUP(AR$1,main!$A$3:$H$102,5,FALSE)-VLOOKUP($A6,main!$A$3:$H$102,6,FALSE)&gt;=main!$D$103+VLOOKUP(VLOOKUP(AR$1,main!$A$3:$I$102,7,FALSE),main!$K$26:$Q$29,3,FALSE),1,0)</f>
        <v>0</v>
      </c>
      <c r="AS6">
        <f>IF(VLOOKUP(AS$1,main!$A$3:$H$102,5,FALSE)-VLOOKUP($A6,main!$A$3:$H$102,6,FALSE)&gt;=main!$D$103+VLOOKUP(VLOOKUP(AS$1,main!$A$3:$I$102,7,FALSE),main!$K$26:$Q$29,3,FALSE),1,0)</f>
        <v>0</v>
      </c>
      <c r="AT6">
        <f>IF(VLOOKUP(AT$1,main!$A$3:$H$102,5,FALSE)-VLOOKUP($A6,main!$A$3:$H$102,6,FALSE)&gt;=main!$D$103+VLOOKUP(VLOOKUP(AT$1,main!$A$3:$I$102,7,FALSE),main!$K$26:$Q$29,3,FALSE),1,0)</f>
        <v>0</v>
      </c>
      <c r="AU6">
        <f>IF(VLOOKUP(AU$1,main!$A$3:$H$102,5,FALSE)-VLOOKUP($A6,main!$A$3:$H$102,6,FALSE)&gt;=main!$D$103+VLOOKUP(VLOOKUP(AU$1,main!$A$3:$I$102,7,FALSE),main!$K$26:$Q$29,3,FALSE),1,0)</f>
        <v>0</v>
      </c>
      <c r="AV6">
        <f>IF(VLOOKUP(AV$1,main!$A$3:$H$102,5,FALSE)-VLOOKUP($A6,main!$A$3:$H$102,6,FALSE)&gt;=main!$D$103+VLOOKUP(VLOOKUP(AV$1,main!$A$3:$I$102,7,FALSE),main!$K$26:$Q$29,3,FALSE),1,0)</f>
        <v>0</v>
      </c>
      <c r="AW6">
        <f>IF(VLOOKUP(AW$1,main!$A$3:$H$102,5,FALSE)-VLOOKUP($A6,main!$A$3:$H$102,6,FALSE)&gt;=main!$D$103+VLOOKUP(VLOOKUP(AW$1,main!$A$3:$I$102,7,FALSE),main!$K$26:$Q$29,3,FALSE),1,0)</f>
        <v>0</v>
      </c>
      <c r="AX6">
        <f>IF(VLOOKUP(AX$1,main!$A$3:$H$102,5,FALSE)-VLOOKUP($A6,main!$A$3:$H$102,6,FALSE)&gt;=main!$D$103+VLOOKUP(VLOOKUP(AX$1,main!$A$3:$I$102,7,FALSE),main!$K$26:$Q$29,3,FALSE),1,0)</f>
        <v>0</v>
      </c>
      <c r="AY6">
        <f>IF(VLOOKUP(AY$1,main!$A$3:$H$102,5,FALSE)-VLOOKUP($A6,main!$A$3:$H$102,6,FALSE)&gt;=main!$D$103+VLOOKUP(VLOOKUP(AY$1,main!$A$3:$I$102,7,FALSE),main!$K$26:$Q$29,3,FALSE),1,0)</f>
        <v>0</v>
      </c>
      <c r="AZ6">
        <f>IF(VLOOKUP(AZ$1,main!$A$3:$H$102,5,FALSE)-VLOOKUP($A6,main!$A$3:$H$102,6,FALSE)&gt;=main!$D$103+VLOOKUP(VLOOKUP(AZ$1,main!$A$3:$I$102,7,FALSE),main!$K$26:$Q$29,3,FALSE),1,0)</f>
        <v>0</v>
      </c>
      <c r="BA6">
        <f>IF(VLOOKUP(BA$1,main!$A$3:$H$102,5,FALSE)-VLOOKUP($A6,main!$A$3:$H$102,6,FALSE)&gt;=main!$D$103+VLOOKUP(VLOOKUP(BA$1,main!$A$3:$I$102,7,FALSE),main!$K$26:$Q$29,3,FALSE),1,0)</f>
        <v>0</v>
      </c>
      <c r="BB6">
        <f>IF(VLOOKUP(BB$1,main!$A$3:$H$102,5,FALSE)-VLOOKUP($A6,main!$A$3:$H$102,6,FALSE)&gt;=main!$D$103+VLOOKUP(VLOOKUP(BB$1,main!$A$3:$I$102,7,FALSE),main!$K$26:$Q$29,3,FALSE),1,0)</f>
        <v>0</v>
      </c>
      <c r="BC6">
        <f>IF(VLOOKUP(BC$1,main!$A$3:$H$102,5,FALSE)-VLOOKUP($A6,main!$A$3:$H$102,6,FALSE)&gt;=main!$D$103+VLOOKUP(VLOOKUP(BC$1,main!$A$3:$I$102,7,FALSE),main!$K$26:$Q$29,3,FALSE),1,0)</f>
        <v>0</v>
      </c>
      <c r="BD6">
        <f>IF(VLOOKUP(BD$1,main!$A$3:$H$102,5,FALSE)-VLOOKUP($A6,main!$A$3:$H$102,6,FALSE)&gt;=main!$D$103+VLOOKUP(VLOOKUP(BD$1,main!$A$3:$I$102,7,FALSE),main!$K$26:$Q$29,3,FALSE),1,0)</f>
        <v>0</v>
      </c>
      <c r="BE6">
        <f>IF(VLOOKUP(BE$1,main!$A$3:$H$102,5,FALSE)-VLOOKUP($A6,main!$A$3:$H$102,6,FALSE)&gt;=main!$D$103+VLOOKUP(VLOOKUP(BE$1,main!$A$3:$I$102,7,FALSE),main!$K$26:$Q$29,3,FALSE),1,0)</f>
        <v>1</v>
      </c>
      <c r="BF6">
        <f>IF(VLOOKUP(BF$1,main!$A$3:$H$102,5,FALSE)-VLOOKUP($A6,main!$A$3:$H$102,6,FALSE)&gt;=main!$D$103+VLOOKUP(VLOOKUP(BF$1,main!$A$3:$I$102,7,FALSE),main!$K$26:$Q$29,3,FALSE),1,0)</f>
        <v>0</v>
      </c>
      <c r="BG6">
        <f>IF(VLOOKUP(BG$1,main!$A$3:$H$102,5,FALSE)-VLOOKUP($A6,main!$A$3:$H$102,6,FALSE)&gt;=main!$D$103+VLOOKUP(VLOOKUP(BG$1,main!$A$3:$I$102,7,FALSE),main!$K$26:$Q$29,3,FALSE),1,0)</f>
        <v>0</v>
      </c>
      <c r="BH6">
        <f>IF(VLOOKUP(BH$1,main!$A$3:$H$102,5,FALSE)-VLOOKUP($A6,main!$A$3:$H$102,6,FALSE)&gt;=main!$D$103+VLOOKUP(VLOOKUP(BH$1,main!$A$3:$I$102,7,FALSE),main!$K$26:$Q$29,3,FALSE),1,0)</f>
        <v>0</v>
      </c>
      <c r="BI6">
        <f>IF(VLOOKUP(BI$1,main!$A$3:$H$102,5,FALSE)-VLOOKUP($A6,main!$A$3:$H$102,6,FALSE)&gt;=main!$D$103+VLOOKUP(VLOOKUP(BI$1,main!$A$3:$I$102,7,FALSE),main!$K$26:$Q$29,3,FALSE),1,0)</f>
        <v>1</v>
      </c>
      <c r="BJ6">
        <f>IF(VLOOKUP(BJ$1,main!$A$3:$H$102,5,FALSE)-VLOOKUP($A6,main!$A$3:$H$102,6,FALSE)&gt;=main!$D$103+VLOOKUP(VLOOKUP(BJ$1,main!$A$3:$I$102,7,FALSE),main!$K$26:$Q$29,3,FALSE),1,0)</f>
        <v>1</v>
      </c>
      <c r="BK6">
        <f>IF(VLOOKUP(BK$1,main!$A$3:$H$102,5,FALSE)-VLOOKUP($A6,main!$A$3:$H$102,6,FALSE)&gt;=main!$D$103+VLOOKUP(VLOOKUP(BK$1,main!$A$3:$I$102,7,FALSE),main!$K$26:$Q$29,3,FALSE),1,0)</f>
        <v>0</v>
      </c>
      <c r="BL6">
        <f>IF(VLOOKUP(BL$1,main!$A$3:$H$102,5,FALSE)-VLOOKUP($A6,main!$A$3:$H$102,6,FALSE)&gt;=main!$D$103+VLOOKUP(VLOOKUP(BL$1,main!$A$3:$I$102,7,FALSE),main!$K$26:$Q$29,3,FALSE),1,0)</f>
        <v>0</v>
      </c>
      <c r="BM6">
        <f>IF(VLOOKUP(BM$1,main!$A$3:$H$102,5,FALSE)-VLOOKUP($A6,main!$A$3:$H$102,6,FALSE)&gt;=main!$D$103+VLOOKUP(VLOOKUP(BM$1,main!$A$3:$I$102,7,FALSE),main!$K$26:$Q$29,3,FALSE),1,0)</f>
        <v>0</v>
      </c>
      <c r="BN6">
        <f>IF(VLOOKUP(BN$1,main!$A$3:$H$102,5,FALSE)-VLOOKUP($A6,main!$A$3:$H$102,6,FALSE)&gt;=main!$D$103+VLOOKUP(VLOOKUP(BN$1,main!$A$3:$I$102,7,FALSE),main!$K$26:$Q$29,3,FALSE),1,0)</f>
        <v>0</v>
      </c>
      <c r="BO6">
        <f>IF(VLOOKUP(BO$1,main!$A$3:$H$102,5,FALSE)-VLOOKUP($A6,main!$A$3:$H$102,6,FALSE)&gt;=main!$D$103+VLOOKUP(VLOOKUP(BO$1,main!$A$3:$I$102,7,FALSE),main!$K$26:$Q$29,3,FALSE),1,0)</f>
        <v>0</v>
      </c>
      <c r="BP6">
        <f>IF(VLOOKUP(BP$1,main!$A$3:$H$102,5,FALSE)-VLOOKUP($A6,main!$A$3:$H$102,6,FALSE)&gt;=main!$D$103+VLOOKUP(VLOOKUP(BP$1,main!$A$3:$I$102,7,FALSE),main!$K$26:$Q$29,3,FALSE),1,0)</f>
        <v>0</v>
      </c>
      <c r="BQ6">
        <f>IF(VLOOKUP(BQ$1,main!$A$3:$H$102,5,FALSE)-VLOOKUP($A6,main!$A$3:$H$102,6,FALSE)&gt;=main!$D$103+VLOOKUP(VLOOKUP(BQ$1,main!$A$3:$I$102,7,FALSE),main!$K$26:$Q$29,3,FALSE),1,0)</f>
        <v>0</v>
      </c>
      <c r="BR6">
        <f>IF(VLOOKUP(BR$1,main!$A$3:$H$102,5,FALSE)-VLOOKUP($A6,main!$A$3:$H$102,6,FALSE)&gt;=main!$D$103+VLOOKUP(VLOOKUP(BR$1,main!$A$3:$I$102,7,FALSE),main!$K$26:$Q$29,3,FALSE),1,0)</f>
        <v>0</v>
      </c>
      <c r="BS6">
        <f>IF(VLOOKUP(BS$1,main!$A$3:$H$102,5,FALSE)-VLOOKUP($A6,main!$A$3:$H$102,6,FALSE)&gt;=main!$D$103+VLOOKUP(VLOOKUP(BS$1,main!$A$3:$I$102,7,FALSE),main!$K$26:$Q$29,3,FALSE),1,0)</f>
        <v>0</v>
      </c>
      <c r="BT6">
        <f>IF(VLOOKUP(BT$1,main!$A$3:$H$102,5,FALSE)-VLOOKUP($A6,main!$A$3:$H$102,6,FALSE)&gt;=main!$D$103+VLOOKUP(VLOOKUP(BT$1,main!$A$3:$I$102,7,FALSE),main!$K$26:$Q$29,3,FALSE),1,0)</f>
        <v>0</v>
      </c>
      <c r="BU6">
        <f>IF(VLOOKUP(BU$1,main!$A$3:$H$102,5,FALSE)-VLOOKUP($A6,main!$A$3:$H$102,6,FALSE)&gt;=main!$D$103+VLOOKUP(VLOOKUP(BU$1,main!$A$3:$I$102,7,FALSE),main!$K$26:$Q$29,3,FALSE),1,0)</f>
        <v>0</v>
      </c>
      <c r="BV6">
        <f>IF(VLOOKUP(BV$1,main!$A$3:$H$102,5,FALSE)-VLOOKUP($A6,main!$A$3:$H$102,6,FALSE)&gt;=main!$D$103+VLOOKUP(VLOOKUP(BV$1,main!$A$3:$I$102,7,FALSE),main!$K$26:$Q$29,3,FALSE),1,0)</f>
        <v>0</v>
      </c>
      <c r="BW6">
        <f>IF(VLOOKUP(BW$1,main!$A$3:$H$102,5,FALSE)-VLOOKUP($A6,main!$A$3:$H$102,6,FALSE)&gt;=main!$D$103+VLOOKUP(VLOOKUP(BW$1,main!$A$3:$I$102,7,FALSE),main!$K$26:$Q$29,3,FALSE),1,0)</f>
        <v>0</v>
      </c>
      <c r="BX6">
        <f>IF(VLOOKUP(BX$1,main!$A$3:$H$102,5,FALSE)-VLOOKUP($A6,main!$A$3:$H$102,6,FALSE)&gt;=main!$D$103+VLOOKUP(VLOOKUP(BX$1,main!$A$3:$I$102,7,FALSE),main!$K$26:$Q$29,3,FALSE),1,0)</f>
        <v>0</v>
      </c>
      <c r="BY6">
        <f>IF(VLOOKUP(BY$1,main!$A$3:$H$102,5,FALSE)-VLOOKUP($A6,main!$A$3:$H$102,6,FALSE)&gt;=main!$D$103+VLOOKUP(VLOOKUP(BY$1,main!$A$3:$I$102,7,FALSE),main!$K$26:$Q$29,3,FALSE),1,0)</f>
        <v>0</v>
      </c>
      <c r="BZ6">
        <f>IF(VLOOKUP(BZ$1,main!$A$3:$H$102,5,FALSE)-VLOOKUP($A6,main!$A$3:$H$102,6,FALSE)&gt;=main!$D$103+VLOOKUP(VLOOKUP(BZ$1,main!$A$3:$I$102,7,FALSE),main!$K$26:$Q$29,3,FALSE),1,0)</f>
        <v>0</v>
      </c>
      <c r="CA6">
        <f>IF(VLOOKUP(CA$1,main!$A$3:$H$102,5,FALSE)-VLOOKUP($A6,main!$A$3:$H$102,6,FALSE)&gt;=main!$D$103+VLOOKUP(VLOOKUP(CA$1,main!$A$3:$I$102,7,FALSE),main!$K$26:$Q$29,3,FALSE),1,0)</f>
        <v>0</v>
      </c>
      <c r="CB6">
        <f>IF(VLOOKUP(CB$1,main!$A$3:$H$102,5,FALSE)-VLOOKUP($A6,main!$A$3:$H$102,6,FALSE)&gt;=main!$D$103+VLOOKUP(VLOOKUP(CB$1,main!$A$3:$I$102,7,FALSE),main!$K$26:$Q$29,3,FALSE),1,0)</f>
        <v>0</v>
      </c>
      <c r="CC6">
        <f>IF(VLOOKUP(CC$1,main!$A$3:$H$102,5,FALSE)-VLOOKUP($A6,main!$A$3:$H$102,6,FALSE)&gt;=main!$D$103+VLOOKUP(VLOOKUP(CC$1,main!$A$3:$I$102,7,FALSE),main!$K$26:$Q$29,3,FALSE),1,0)</f>
        <v>1</v>
      </c>
      <c r="CD6">
        <f>IF(VLOOKUP(CD$1,main!$A$3:$H$102,5,FALSE)-VLOOKUP($A6,main!$A$3:$H$102,6,FALSE)&gt;=main!$D$103+VLOOKUP(VLOOKUP(CD$1,main!$A$3:$I$102,7,FALSE),main!$K$26:$Q$29,3,FALSE),1,0)</f>
        <v>0</v>
      </c>
      <c r="CE6">
        <f>IF(VLOOKUP(CE$1,main!$A$3:$H$102,5,FALSE)-VLOOKUP($A6,main!$A$3:$H$102,6,FALSE)&gt;=main!$D$103+VLOOKUP(VLOOKUP(CE$1,main!$A$3:$I$102,7,FALSE),main!$K$26:$Q$29,3,FALSE),1,0)</f>
        <v>0</v>
      </c>
      <c r="CF6">
        <f>IF(VLOOKUP(CF$1,main!$A$3:$H$102,5,FALSE)-VLOOKUP($A6,main!$A$3:$H$102,6,FALSE)&gt;=main!$D$103+VLOOKUP(VLOOKUP(CF$1,main!$A$3:$I$102,7,FALSE),main!$K$26:$Q$29,3,FALSE),1,0)</f>
        <v>0</v>
      </c>
      <c r="CG6">
        <f>IF(VLOOKUP(CG$1,main!$A$3:$H$102,5,FALSE)-VLOOKUP($A6,main!$A$3:$H$102,6,FALSE)&gt;=main!$D$103+VLOOKUP(VLOOKUP(CG$1,main!$A$3:$I$102,7,FALSE),main!$K$26:$Q$29,3,FALSE),1,0)</f>
        <v>0</v>
      </c>
      <c r="CH6">
        <f>IF(VLOOKUP(CH$1,main!$A$3:$H$102,5,FALSE)-VLOOKUP($A6,main!$A$3:$H$102,6,FALSE)&gt;=main!$D$103+VLOOKUP(VLOOKUP(CH$1,main!$A$3:$I$102,7,FALSE),main!$K$26:$Q$29,3,FALSE),1,0)</f>
        <v>1</v>
      </c>
      <c r="CI6">
        <f>IF(VLOOKUP(CI$1,main!$A$3:$H$102,5,FALSE)-VLOOKUP($A6,main!$A$3:$H$102,6,FALSE)&gt;=main!$D$103+VLOOKUP(VLOOKUP(CI$1,main!$A$3:$I$102,7,FALSE),main!$K$26:$Q$29,3,FALSE),1,0)</f>
        <v>1</v>
      </c>
      <c r="CJ6">
        <f>IF(VLOOKUP(CJ$1,main!$A$3:$H$102,5,FALSE)-VLOOKUP($A6,main!$A$3:$H$102,6,FALSE)&gt;=main!$D$103+VLOOKUP(VLOOKUP(CJ$1,main!$A$3:$I$102,7,FALSE),main!$K$26:$Q$29,3,FALSE),1,0)</f>
        <v>0</v>
      </c>
      <c r="CK6">
        <f>IF(VLOOKUP(CK$1,main!$A$3:$H$102,5,FALSE)-VLOOKUP($A6,main!$A$3:$H$102,6,FALSE)&gt;=main!$D$103+VLOOKUP(VLOOKUP(CK$1,main!$A$3:$I$102,7,FALSE),main!$K$26:$Q$29,3,FALSE),1,0)</f>
        <v>0</v>
      </c>
      <c r="CL6">
        <f>IF(VLOOKUP(CL$1,main!$A$3:$H$102,5,FALSE)-VLOOKUP($A6,main!$A$3:$H$102,6,FALSE)&gt;=main!$D$103+VLOOKUP(VLOOKUP(CL$1,main!$A$3:$I$102,7,FALSE),main!$K$26:$Q$29,3,FALSE),1,0)</f>
        <v>0</v>
      </c>
      <c r="CM6">
        <f>IF(VLOOKUP(CM$1,main!$A$3:$H$102,5,FALSE)-VLOOKUP($A6,main!$A$3:$H$102,6,FALSE)&gt;=main!$D$103+VLOOKUP(VLOOKUP(CM$1,main!$A$3:$I$102,7,FALSE),main!$K$26:$Q$29,3,FALSE),1,0)</f>
        <v>1</v>
      </c>
      <c r="CN6">
        <f>IF(VLOOKUP(CN$1,main!$A$3:$H$102,5,FALSE)-VLOOKUP($A6,main!$A$3:$H$102,6,FALSE)&gt;=main!$D$103+VLOOKUP(VLOOKUP(CN$1,main!$A$3:$I$102,7,FALSE),main!$K$26:$Q$29,3,FALSE),1,0)</f>
        <v>1</v>
      </c>
      <c r="CO6">
        <f>IF(VLOOKUP(CO$1,main!$A$3:$H$102,5,FALSE)-VLOOKUP($A6,main!$A$3:$H$102,6,FALSE)&gt;=main!$D$103+VLOOKUP(VLOOKUP(CO$1,main!$A$3:$I$102,7,FALSE),main!$K$26:$Q$29,3,FALSE),1,0)</f>
        <v>0</v>
      </c>
      <c r="CP6">
        <f>IF(VLOOKUP(CP$1,main!$A$3:$H$102,5,FALSE)-VLOOKUP($A6,main!$A$3:$H$102,6,FALSE)&gt;=main!$D$103+VLOOKUP(VLOOKUP(CP$1,main!$A$3:$I$102,7,FALSE),main!$K$26:$Q$29,3,FALSE),1,0)</f>
        <v>0</v>
      </c>
      <c r="CQ6">
        <f>IF(VLOOKUP(CQ$1,main!$A$3:$H$102,5,FALSE)-VLOOKUP($A6,main!$A$3:$H$102,6,FALSE)&gt;=main!$D$103+VLOOKUP(VLOOKUP(CQ$1,main!$A$3:$I$102,7,FALSE),main!$K$26:$Q$29,3,FALSE),1,0)</f>
        <v>0</v>
      </c>
      <c r="CR6">
        <f>IF(VLOOKUP(CR$1,main!$A$3:$H$102,5,FALSE)-VLOOKUP($A6,main!$A$3:$H$102,6,FALSE)&gt;=main!$D$103+VLOOKUP(VLOOKUP(CR$1,main!$A$3:$I$102,7,FALSE),main!$K$26:$Q$29,3,FALSE),1,0)</f>
        <v>1</v>
      </c>
      <c r="CS6">
        <f>IF(VLOOKUP(CS$1,main!$A$3:$H$102,5,FALSE)-VLOOKUP($A6,main!$A$3:$H$102,6,FALSE)&gt;=main!$D$103+VLOOKUP(VLOOKUP(CS$1,main!$A$3:$I$102,7,FALSE),main!$K$26:$Q$29,3,FALSE),1,0)</f>
        <v>1</v>
      </c>
      <c r="CT6">
        <f>IF(VLOOKUP(CT$1,main!$A$3:$H$102,5,FALSE)-VLOOKUP($A6,main!$A$3:$H$102,6,FALSE)&gt;=main!$D$103+VLOOKUP(VLOOKUP(CT$1,main!$A$3:$I$102,7,FALSE),main!$K$26:$Q$29,3,FALSE),1,0)</f>
        <v>0</v>
      </c>
      <c r="CU6">
        <f>IF(VLOOKUP(CU$1,main!$A$3:$H$102,5,FALSE)-VLOOKUP($A6,main!$A$3:$H$102,6,FALSE)&gt;=main!$D$103+VLOOKUP(VLOOKUP(CU$1,main!$A$3:$I$102,7,FALSE),main!$K$26:$Q$29,3,FALSE),1,0)</f>
        <v>0</v>
      </c>
      <c r="CV6">
        <f>IF(VLOOKUP(CV$1,main!$A$3:$H$102,5,FALSE)-VLOOKUP($A6,main!$A$3:$H$102,6,FALSE)&gt;=main!$D$103+VLOOKUP(VLOOKUP(CV$1,main!$A$3:$I$102,7,FALSE),main!$K$26:$Q$29,3,FALSE),1,0)</f>
        <v>0</v>
      </c>
      <c r="CW6">
        <f>IF(VLOOKUP(CW$1,main!$A$3:$H$102,5,FALSE)-VLOOKUP($A6,main!$A$3:$H$102,6,FALSE)&gt;=main!$D$103+VLOOKUP(VLOOKUP(CW$1,main!$A$3:$I$102,7,FALSE),main!$K$26:$Q$29,3,FALSE),1,0)</f>
        <v>1</v>
      </c>
      <c r="CX6">
        <f>IF(VLOOKUP(CX$1,main!$A$3:$H$102,5,FALSE)-VLOOKUP($A6,main!$A$3:$H$102,6,FALSE)&gt;=main!$D$103+VLOOKUP(VLOOKUP(CX$1,main!$A$3:$I$102,7,FALSE),main!$K$26:$Q$29,3,FALSE),1,0)</f>
        <v>1</v>
      </c>
      <c r="CZ6">
        <f>main!$D$103</f>
        <v>50</v>
      </c>
    </row>
    <row r="7" spans="1:104" x14ac:dyDescent="0.25">
      <c r="A7" s="1">
        <v>5</v>
      </c>
      <c r="B7">
        <v>0</v>
      </c>
      <c r="C7">
        <f>IF(VLOOKUP(C$1,main!$A$3:$H$102,5,FALSE)-VLOOKUP($A7,main!$A$3:$H$102,6,FALSE)&gt;=main!$D$103+VLOOKUP(VLOOKUP(C$1,main!$A$3:$I$102,7,FALSE),main!$K$26:$Q$29,3,FALSE),1,0)</f>
        <v>0</v>
      </c>
      <c r="D7">
        <f>IF(VLOOKUP(D$1,main!$A$3:$H$102,5,FALSE)-VLOOKUP($A7,main!$A$3:$H$102,6,FALSE)&gt;=main!$D$103+VLOOKUP(VLOOKUP(D$1,main!$A$3:$I$102,7,FALSE),main!$K$26:$Q$29,3,FALSE),1,0)</f>
        <v>0</v>
      </c>
      <c r="E7">
        <f>IF(VLOOKUP(E$1,main!$A$3:$H$102,5,FALSE)-VLOOKUP($A7,main!$A$3:$H$102,6,FALSE)&gt;=main!$D$103+VLOOKUP(VLOOKUP(E$1,main!$A$3:$I$102,7,FALSE),main!$K$26:$Q$29,3,FALSE),1,0)</f>
        <v>0</v>
      </c>
      <c r="F7">
        <f>IF(VLOOKUP(F$1,main!$A$3:$H$102,5,FALSE)-VLOOKUP($A7,main!$A$3:$H$102,6,FALSE)&gt;=main!$D$103+VLOOKUP(VLOOKUP(F$1,main!$A$3:$I$102,7,FALSE),main!$K$26:$Q$29,3,FALSE),1,0)</f>
        <v>0</v>
      </c>
      <c r="G7">
        <f>IF(VLOOKUP(G$1,main!$A$3:$H$102,5,FALSE)-VLOOKUP($A7,main!$A$3:$H$102,6,FALSE)&gt;=main!$D$103+VLOOKUP(VLOOKUP(G$1,main!$A$3:$I$102,7,FALSE),main!$K$26:$Q$29,3,FALSE),1,0)</f>
        <v>0</v>
      </c>
      <c r="H7">
        <f>IF(VLOOKUP(H$1,main!$A$3:$H$102,5,FALSE)-VLOOKUP($A7,main!$A$3:$H$102,6,FALSE)&gt;=main!$D$103+VLOOKUP(VLOOKUP(H$1,main!$A$3:$I$102,7,FALSE),main!$K$26:$Q$29,3,FALSE),1,0)</f>
        <v>0</v>
      </c>
      <c r="I7">
        <f>IF(VLOOKUP(I$1,main!$A$3:$H$102,5,FALSE)-VLOOKUP($A7,main!$A$3:$H$102,6,FALSE)&gt;=main!$D$103+VLOOKUP(VLOOKUP(I$1,main!$A$3:$I$102,7,FALSE),main!$K$26:$Q$29,3,FALSE),1,0)</f>
        <v>0</v>
      </c>
      <c r="J7">
        <f>IF(VLOOKUP(J$1,main!$A$3:$H$102,5,FALSE)-VLOOKUP($A7,main!$A$3:$H$102,6,FALSE)&gt;=main!$D$103+VLOOKUP(VLOOKUP(J$1,main!$A$3:$I$102,7,FALSE),main!$K$26:$Q$29,3,FALSE),1,0)</f>
        <v>0</v>
      </c>
      <c r="K7">
        <f>IF(VLOOKUP(K$1,main!$A$3:$H$102,5,FALSE)-VLOOKUP($A7,main!$A$3:$H$102,6,FALSE)&gt;=main!$D$103+VLOOKUP(VLOOKUP(K$1,main!$A$3:$I$102,7,FALSE),main!$K$26:$Q$29,3,FALSE),1,0)</f>
        <v>1</v>
      </c>
      <c r="L7">
        <f>IF(VLOOKUP(L$1,main!$A$3:$H$102,5,FALSE)-VLOOKUP($A7,main!$A$3:$H$102,6,FALSE)&gt;=main!$D$103+VLOOKUP(VLOOKUP(L$1,main!$A$3:$I$102,7,FALSE),main!$K$26:$Q$29,3,FALSE),1,0)</f>
        <v>1</v>
      </c>
      <c r="M7">
        <f>IF(VLOOKUP(M$1,main!$A$3:$H$102,5,FALSE)-VLOOKUP($A7,main!$A$3:$H$102,6,FALSE)&gt;=main!$D$103+VLOOKUP(VLOOKUP(M$1,main!$A$3:$I$102,7,FALSE),main!$K$26:$Q$29,3,FALSE),1,0)</f>
        <v>0</v>
      </c>
      <c r="N7">
        <f>IF(VLOOKUP(N$1,main!$A$3:$H$102,5,FALSE)-VLOOKUP($A7,main!$A$3:$H$102,6,FALSE)&gt;=main!$D$103+VLOOKUP(VLOOKUP(N$1,main!$A$3:$I$102,7,FALSE),main!$K$26:$Q$29,3,FALSE),1,0)</f>
        <v>0</v>
      </c>
      <c r="O7">
        <f>IF(VLOOKUP(O$1,main!$A$3:$H$102,5,FALSE)-VLOOKUP($A7,main!$A$3:$H$102,6,FALSE)&gt;=main!$D$103+VLOOKUP(VLOOKUP(O$1,main!$A$3:$I$102,7,FALSE),main!$K$26:$Q$29,3,FALSE),1,0)</f>
        <v>0</v>
      </c>
      <c r="P7">
        <f>IF(VLOOKUP(P$1,main!$A$3:$H$102,5,FALSE)-VLOOKUP($A7,main!$A$3:$H$102,6,FALSE)&gt;=main!$D$103+VLOOKUP(VLOOKUP(P$1,main!$A$3:$I$102,7,FALSE),main!$K$26:$Q$29,3,FALSE),1,0)</f>
        <v>0</v>
      </c>
      <c r="Q7">
        <f>IF(VLOOKUP(Q$1,main!$A$3:$H$102,5,FALSE)-VLOOKUP($A7,main!$A$3:$H$102,6,FALSE)&gt;=main!$D$103+VLOOKUP(VLOOKUP(Q$1,main!$A$3:$I$102,7,FALSE),main!$K$26:$Q$29,3,FALSE),1,0)</f>
        <v>0</v>
      </c>
      <c r="R7">
        <f>IF(VLOOKUP(R$1,main!$A$3:$H$102,5,FALSE)-VLOOKUP($A7,main!$A$3:$H$102,6,FALSE)&gt;=main!$D$103+VLOOKUP(VLOOKUP(R$1,main!$A$3:$I$102,7,FALSE),main!$K$26:$Q$29,3,FALSE),1,0)</f>
        <v>0</v>
      </c>
      <c r="S7">
        <f>IF(VLOOKUP(S$1,main!$A$3:$H$102,5,FALSE)-VLOOKUP($A7,main!$A$3:$H$102,6,FALSE)&gt;=main!$D$103+VLOOKUP(VLOOKUP(S$1,main!$A$3:$I$102,7,FALSE),main!$K$26:$Q$29,3,FALSE),1,0)</f>
        <v>0</v>
      </c>
      <c r="T7">
        <f>IF(VLOOKUP(T$1,main!$A$3:$H$102,5,FALSE)-VLOOKUP($A7,main!$A$3:$H$102,6,FALSE)&gt;=main!$D$103+VLOOKUP(VLOOKUP(T$1,main!$A$3:$I$102,7,FALSE),main!$K$26:$Q$29,3,FALSE),1,0)</f>
        <v>0</v>
      </c>
      <c r="U7">
        <f>IF(VLOOKUP(U$1,main!$A$3:$H$102,5,FALSE)-VLOOKUP($A7,main!$A$3:$H$102,6,FALSE)&gt;=main!$D$103+VLOOKUP(VLOOKUP(U$1,main!$A$3:$I$102,7,FALSE),main!$K$26:$Q$29,3,FALSE),1,0)</f>
        <v>1</v>
      </c>
      <c r="V7">
        <f>IF(VLOOKUP(V$1,main!$A$3:$H$102,5,FALSE)-VLOOKUP($A7,main!$A$3:$H$102,6,FALSE)&gt;=main!$D$103+VLOOKUP(VLOOKUP(V$1,main!$A$3:$I$102,7,FALSE),main!$K$26:$Q$29,3,FALSE),1,0)</f>
        <v>1</v>
      </c>
      <c r="W7">
        <f>IF(VLOOKUP(W$1,main!$A$3:$H$102,5,FALSE)-VLOOKUP($A7,main!$A$3:$H$102,6,FALSE)&gt;=main!$D$103+VLOOKUP(VLOOKUP(W$1,main!$A$3:$I$102,7,FALSE),main!$K$26:$Q$29,3,FALSE),1,0)</f>
        <v>0</v>
      </c>
      <c r="X7">
        <f>IF(VLOOKUP(X$1,main!$A$3:$H$102,5,FALSE)-VLOOKUP($A7,main!$A$3:$H$102,6,FALSE)&gt;=main!$D$103+VLOOKUP(VLOOKUP(X$1,main!$A$3:$I$102,7,FALSE),main!$K$26:$Q$29,3,FALSE),1,0)</f>
        <v>0</v>
      </c>
      <c r="Y7">
        <f>IF(VLOOKUP(Y$1,main!$A$3:$H$102,5,FALSE)-VLOOKUP($A7,main!$A$3:$H$102,6,FALSE)&gt;=main!$D$103+VLOOKUP(VLOOKUP(Y$1,main!$A$3:$I$102,7,FALSE),main!$K$26:$Q$29,3,FALSE),1,0)</f>
        <v>0</v>
      </c>
      <c r="Z7">
        <f>IF(VLOOKUP(Z$1,main!$A$3:$H$102,5,FALSE)-VLOOKUP($A7,main!$A$3:$H$102,6,FALSE)&gt;=main!$D$103+VLOOKUP(VLOOKUP(Z$1,main!$A$3:$I$102,7,FALSE),main!$K$26:$Q$29,3,FALSE),1,0)</f>
        <v>0</v>
      </c>
      <c r="AA7">
        <f>IF(VLOOKUP(AA$1,main!$A$3:$H$102,5,FALSE)-VLOOKUP($A7,main!$A$3:$H$102,6,FALSE)&gt;=main!$D$103+VLOOKUP(VLOOKUP(AA$1,main!$A$3:$I$102,7,FALSE),main!$K$26:$Q$29,3,FALSE),1,0)</f>
        <v>1</v>
      </c>
      <c r="AB7">
        <f>IF(VLOOKUP(AB$1,main!$A$3:$H$102,5,FALSE)-VLOOKUP($A7,main!$A$3:$H$102,6,FALSE)&gt;=main!$D$103+VLOOKUP(VLOOKUP(AB$1,main!$A$3:$I$102,7,FALSE),main!$K$26:$Q$29,3,FALSE),1,0)</f>
        <v>0</v>
      </c>
      <c r="AC7">
        <f>IF(VLOOKUP(AC$1,main!$A$3:$H$102,5,FALSE)-VLOOKUP($A7,main!$A$3:$H$102,6,FALSE)&gt;=main!$D$103+VLOOKUP(VLOOKUP(AC$1,main!$A$3:$I$102,7,FALSE),main!$K$26:$Q$29,3,FALSE),1,0)</f>
        <v>0</v>
      </c>
      <c r="AD7">
        <f>IF(VLOOKUP(AD$1,main!$A$3:$H$102,5,FALSE)-VLOOKUP($A7,main!$A$3:$H$102,6,FALSE)&gt;=main!$D$103+VLOOKUP(VLOOKUP(AD$1,main!$A$3:$I$102,7,FALSE),main!$K$26:$Q$29,3,FALSE),1,0)</f>
        <v>0</v>
      </c>
      <c r="AE7">
        <f>IF(VLOOKUP(AE$1,main!$A$3:$H$102,5,FALSE)-VLOOKUP($A7,main!$A$3:$H$102,6,FALSE)&gt;=main!$D$103+VLOOKUP(VLOOKUP(AE$1,main!$A$3:$I$102,7,FALSE),main!$K$26:$Q$29,3,FALSE),1,0)</f>
        <v>0</v>
      </c>
      <c r="AF7">
        <f>IF(VLOOKUP(AF$1,main!$A$3:$H$102,5,FALSE)-VLOOKUP($A7,main!$A$3:$H$102,6,FALSE)&gt;=main!$D$103+VLOOKUP(VLOOKUP(AF$1,main!$A$3:$I$102,7,FALSE),main!$K$26:$Q$29,3,FALSE),1,0)</f>
        <v>1</v>
      </c>
      <c r="AG7">
        <f>IF(VLOOKUP(AG$1,main!$A$3:$H$102,5,FALSE)-VLOOKUP($A7,main!$A$3:$H$102,6,FALSE)&gt;=main!$D$103+VLOOKUP(VLOOKUP(AG$1,main!$A$3:$I$102,7,FALSE),main!$K$26:$Q$29,3,FALSE),1,0)</f>
        <v>0</v>
      </c>
      <c r="AH7">
        <f>IF(VLOOKUP(AH$1,main!$A$3:$H$102,5,FALSE)-VLOOKUP($A7,main!$A$3:$H$102,6,FALSE)&gt;=main!$D$103+VLOOKUP(VLOOKUP(AH$1,main!$A$3:$I$102,7,FALSE),main!$K$26:$Q$29,3,FALSE),1,0)</f>
        <v>0</v>
      </c>
      <c r="AI7">
        <f>IF(VLOOKUP(AI$1,main!$A$3:$H$102,5,FALSE)-VLOOKUP($A7,main!$A$3:$H$102,6,FALSE)&gt;=main!$D$103+VLOOKUP(VLOOKUP(AI$1,main!$A$3:$I$102,7,FALSE),main!$K$26:$Q$29,3,FALSE),1,0)</f>
        <v>0</v>
      </c>
      <c r="AJ7">
        <f>IF(VLOOKUP(AJ$1,main!$A$3:$H$102,5,FALSE)-VLOOKUP($A7,main!$A$3:$H$102,6,FALSE)&gt;=main!$D$103+VLOOKUP(VLOOKUP(AJ$1,main!$A$3:$I$102,7,FALSE),main!$K$26:$Q$29,3,FALSE),1,0)</f>
        <v>0</v>
      </c>
      <c r="AK7">
        <f>IF(VLOOKUP(AK$1,main!$A$3:$H$102,5,FALSE)-VLOOKUP($A7,main!$A$3:$H$102,6,FALSE)&gt;=main!$D$103+VLOOKUP(VLOOKUP(AK$1,main!$A$3:$I$102,7,FALSE),main!$K$26:$Q$29,3,FALSE),1,0)</f>
        <v>0</v>
      </c>
      <c r="AL7">
        <f>IF(VLOOKUP(AL$1,main!$A$3:$H$102,5,FALSE)-VLOOKUP($A7,main!$A$3:$H$102,6,FALSE)&gt;=main!$D$103+VLOOKUP(VLOOKUP(AL$1,main!$A$3:$I$102,7,FALSE),main!$K$26:$Q$29,3,FALSE),1,0)</f>
        <v>0</v>
      </c>
      <c r="AM7">
        <f>IF(VLOOKUP(AM$1,main!$A$3:$H$102,5,FALSE)-VLOOKUP($A7,main!$A$3:$H$102,6,FALSE)&gt;=main!$D$103+VLOOKUP(VLOOKUP(AM$1,main!$A$3:$I$102,7,FALSE),main!$K$26:$Q$29,3,FALSE),1,0)</f>
        <v>1</v>
      </c>
      <c r="AN7">
        <f>IF(VLOOKUP(AN$1,main!$A$3:$H$102,5,FALSE)-VLOOKUP($A7,main!$A$3:$H$102,6,FALSE)&gt;=main!$D$103+VLOOKUP(VLOOKUP(AN$1,main!$A$3:$I$102,7,FALSE),main!$K$26:$Q$29,3,FALSE),1,0)</f>
        <v>1</v>
      </c>
      <c r="AO7">
        <f>IF(VLOOKUP(AO$1,main!$A$3:$H$102,5,FALSE)-VLOOKUP($A7,main!$A$3:$H$102,6,FALSE)&gt;=main!$D$103+VLOOKUP(VLOOKUP(AO$1,main!$A$3:$I$102,7,FALSE),main!$K$26:$Q$29,3,FALSE),1,0)</f>
        <v>0</v>
      </c>
      <c r="AP7">
        <f>IF(VLOOKUP(AP$1,main!$A$3:$H$102,5,FALSE)-VLOOKUP($A7,main!$A$3:$H$102,6,FALSE)&gt;=main!$D$103+VLOOKUP(VLOOKUP(AP$1,main!$A$3:$I$102,7,FALSE),main!$K$26:$Q$29,3,FALSE),1,0)</f>
        <v>1</v>
      </c>
      <c r="AQ7">
        <f>IF(VLOOKUP(AQ$1,main!$A$3:$H$102,5,FALSE)-VLOOKUP($A7,main!$A$3:$H$102,6,FALSE)&gt;=main!$D$103+VLOOKUP(VLOOKUP(AQ$1,main!$A$3:$I$102,7,FALSE),main!$K$26:$Q$29,3,FALSE),1,0)</f>
        <v>0</v>
      </c>
      <c r="AR7">
        <f>IF(VLOOKUP(AR$1,main!$A$3:$H$102,5,FALSE)-VLOOKUP($A7,main!$A$3:$H$102,6,FALSE)&gt;=main!$D$103+VLOOKUP(VLOOKUP(AR$1,main!$A$3:$I$102,7,FALSE),main!$K$26:$Q$29,3,FALSE),1,0)</f>
        <v>0</v>
      </c>
      <c r="AS7">
        <f>IF(VLOOKUP(AS$1,main!$A$3:$H$102,5,FALSE)-VLOOKUP($A7,main!$A$3:$H$102,6,FALSE)&gt;=main!$D$103+VLOOKUP(VLOOKUP(AS$1,main!$A$3:$I$102,7,FALSE),main!$K$26:$Q$29,3,FALSE),1,0)</f>
        <v>0</v>
      </c>
      <c r="AT7">
        <f>IF(VLOOKUP(AT$1,main!$A$3:$H$102,5,FALSE)-VLOOKUP($A7,main!$A$3:$H$102,6,FALSE)&gt;=main!$D$103+VLOOKUP(VLOOKUP(AT$1,main!$A$3:$I$102,7,FALSE),main!$K$26:$Q$29,3,FALSE),1,0)</f>
        <v>0</v>
      </c>
      <c r="AU7">
        <f>IF(VLOOKUP(AU$1,main!$A$3:$H$102,5,FALSE)-VLOOKUP($A7,main!$A$3:$H$102,6,FALSE)&gt;=main!$D$103+VLOOKUP(VLOOKUP(AU$1,main!$A$3:$I$102,7,FALSE),main!$K$26:$Q$29,3,FALSE),1,0)</f>
        <v>0</v>
      </c>
      <c r="AV7">
        <f>IF(VLOOKUP(AV$1,main!$A$3:$H$102,5,FALSE)-VLOOKUP($A7,main!$A$3:$H$102,6,FALSE)&gt;=main!$D$103+VLOOKUP(VLOOKUP(AV$1,main!$A$3:$I$102,7,FALSE),main!$K$26:$Q$29,3,FALSE),1,0)</f>
        <v>0</v>
      </c>
      <c r="AW7">
        <f>IF(VLOOKUP(AW$1,main!$A$3:$H$102,5,FALSE)-VLOOKUP($A7,main!$A$3:$H$102,6,FALSE)&gt;=main!$D$103+VLOOKUP(VLOOKUP(AW$1,main!$A$3:$I$102,7,FALSE),main!$K$26:$Q$29,3,FALSE),1,0)</f>
        <v>0</v>
      </c>
      <c r="AX7">
        <f>IF(VLOOKUP(AX$1,main!$A$3:$H$102,5,FALSE)-VLOOKUP($A7,main!$A$3:$H$102,6,FALSE)&gt;=main!$D$103+VLOOKUP(VLOOKUP(AX$1,main!$A$3:$I$102,7,FALSE),main!$K$26:$Q$29,3,FALSE),1,0)</f>
        <v>0</v>
      </c>
      <c r="AY7">
        <f>IF(VLOOKUP(AY$1,main!$A$3:$H$102,5,FALSE)-VLOOKUP($A7,main!$A$3:$H$102,6,FALSE)&gt;=main!$D$103+VLOOKUP(VLOOKUP(AY$1,main!$A$3:$I$102,7,FALSE),main!$K$26:$Q$29,3,FALSE),1,0)</f>
        <v>0</v>
      </c>
      <c r="AZ7">
        <f>IF(VLOOKUP(AZ$1,main!$A$3:$H$102,5,FALSE)-VLOOKUP($A7,main!$A$3:$H$102,6,FALSE)&gt;=main!$D$103+VLOOKUP(VLOOKUP(AZ$1,main!$A$3:$I$102,7,FALSE),main!$K$26:$Q$29,3,FALSE),1,0)</f>
        <v>0</v>
      </c>
      <c r="BA7">
        <f>IF(VLOOKUP(BA$1,main!$A$3:$H$102,5,FALSE)-VLOOKUP($A7,main!$A$3:$H$102,6,FALSE)&gt;=main!$D$103+VLOOKUP(VLOOKUP(BA$1,main!$A$3:$I$102,7,FALSE),main!$K$26:$Q$29,3,FALSE),1,0)</f>
        <v>0</v>
      </c>
      <c r="BB7">
        <f>IF(VLOOKUP(BB$1,main!$A$3:$H$102,5,FALSE)-VLOOKUP($A7,main!$A$3:$H$102,6,FALSE)&gt;=main!$D$103+VLOOKUP(VLOOKUP(BB$1,main!$A$3:$I$102,7,FALSE),main!$K$26:$Q$29,3,FALSE),1,0)</f>
        <v>0</v>
      </c>
      <c r="BC7">
        <f>IF(VLOOKUP(BC$1,main!$A$3:$H$102,5,FALSE)-VLOOKUP($A7,main!$A$3:$H$102,6,FALSE)&gt;=main!$D$103+VLOOKUP(VLOOKUP(BC$1,main!$A$3:$I$102,7,FALSE),main!$K$26:$Q$29,3,FALSE),1,0)</f>
        <v>0</v>
      </c>
      <c r="BD7">
        <f>IF(VLOOKUP(BD$1,main!$A$3:$H$102,5,FALSE)-VLOOKUP($A7,main!$A$3:$H$102,6,FALSE)&gt;=main!$D$103+VLOOKUP(VLOOKUP(BD$1,main!$A$3:$I$102,7,FALSE),main!$K$26:$Q$29,3,FALSE),1,0)</f>
        <v>0</v>
      </c>
      <c r="BE7">
        <f>IF(VLOOKUP(BE$1,main!$A$3:$H$102,5,FALSE)-VLOOKUP($A7,main!$A$3:$H$102,6,FALSE)&gt;=main!$D$103+VLOOKUP(VLOOKUP(BE$1,main!$A$3:$I$102,7,FALSE),main!$K$26:$Q$29,3,FALSE),1,0)</f>
        <v>0</v>
      </c>
      <c r="BF7">
        <f>IF(VLOOKUP(BF$1,main!$A$3:$H$102,5,FALSE)-VLOOKUP($A7,main!$A$3:$H$102,6,FALSE)&gt;=main!$D$103+VLOOKUP(VLOOKUP(BF$1,main!$A$3:$I$102,7,FALSE),main!$K$26:$Q$29,3,FALSE),1,0)</f>
        <v>0</v>
      </c>
      <c r="BG7">
        <f>IF(VLOOKUP(BG$1,main!$A$3:$H$102,5,FALSE)-VLOOKUP($A7,main!$A$3:$H$102,6,FALSE)&gt;=main!$D$103+VLOOKUP(VLOOKUP(BG$1,main!$A$3:$I$102,7,FALSE),main!$K$26:$Q$29,3,FALSE),1,0)</f>
        <v>0</v>
      </c>
      <c r="BH7">
        <f>IF(VLOOKUP(BH$1,main!$A$3:$H$102,5,FALSE)-VLOOKUP($A7,main!$A$3:$H$102,6,FALSE)&gt;=main!$D$103+VLOOKUP(VLOOKUP(BH$1,main!$A$3:$I$102,7,FALSE),main!$K$26:$Q$29,3,FALSE),1,0)</f>
        <v>0</v>
      </c>
      <c r="BI7">
        <f>IF(VLOOKUP(BI$1,main!$A$3:$H$102,5,FALSE)-VLOOKUP($A7,main!$A$3:$H$102,6,FALSE)&gt;=main!$D$103+VLOOKUP(VLOOKUP(BI$1,main!$A$3:$I$102,7,FALSE),main!$K$26:$Q$29,3,FALSE),1,0)</f>
        <v>1</v>
      </c>
      <c r="BJ7">
        <f>IF(VLOOKUP(BJ$1,main!$A$3:$H$102,5,FALSE)-VLOOKUP($A7,main!$A$3:$H$102,6,FALSE)&gt;=main!$D$103+VLOOKUP(VLOOKUP(BJ$1,main!$A$3:$I$102,7,FALSE),main!$K$26:$Q$29,3,FALSE),1,0)</f>
        <v>0</v>
      </c>
      <c r="BK7">
        <f>IF(VLOOKUP(BK$1,main!$A$3:$H$102,5,FALSE)-VLOOKUP($A7,main!$A$3:$H$102,6,FALSE)&gt;=main!$D$103+VLOOKUP(VLOOKUP(BK$1,main!$A$3:$I$102,7,FALSE),main!$K$26:$Q$29,3,FALSE),1,0)</f>
        <v>0</v>
      </c>
      <c r="BL7">
        <f>IF(VLOOKUP(BL$1,main!$A$3:$H$102,5,FALSE)-VLOOKUP($A7,main!$A$3:$H$102,6,FALSE)&gt;=main!$D$103+VLOOKUP(VLOOKUP(BL$1,main!$A$3:$I$102,7,FALSE),main!$K$26:$Q$29,3,FALSE),1,0)</f>
        <v>0</v>
      </c>
      <c r="BM7">
        <f>IF(VLOOKUP(BM$1,main!$A$3:$H$102,5,FALSE)-VLOOKUP($A7,main!$A$3:$H$102,6,FALSE)&gt;=main!$D$103+VLOOKUP(VLOOKUP(BM$1,main!$A$3:$I$102,7,FALSE),main!$K$26:$Q$29,3,FALSE),1,0)</f>
        <v>0</v>
      </c>
      <c r="BN7">
        <f>IF(VLOOKUP(BN$1,main!$A$3:$H$102,5,FALSE)-VLOOKUP($A7,main!$A$3:$H$102,6,FALSE)&gt;=main!$D$103+VLOOKUP(VLOOKUP(BN$1,main!$A$3:$I$102,7,FALSE),main!$K$26:$Q$29,3,FALSE),1,0)</f>
        <v>0</v>
      </c>
      <c r="BO7">
        <f>IF(VLOOKUP(BO$1,main!$A$3:$H$102,5,FALSE)-VLOOKUP($A7,main!$A$3:$H$102,6,FALSE)&gt;=main!$D$103+VLOOKUP(VLOOKUP(BO$1,main!$A$3:$I$102,7,FALSE),main!$K$26:$Q$29,3,FALSE),1,0)</f>
        <v>0</v>
      </c>
      <c r="BP7">
        <f>IF(VLOOKUP(BP$1,main!$A$3:$H$102,5,FALSE)-VLOOKUP($A7,main!$A$3:$H$102,6,FALSE)&gt;=main!$D$103+VLOOKUP(VLOOKUP(BP$1,main!$A$3:$I$102,7,FALSE),main!$K$26:$Q$29,3,FALSE),1,0)</f>
        <v>0</v>
      </c>
      <c r="BQ7">
        <f>IF(VLOOKUP(BQ$1,main!$A$3:$H$102,5,FALSE)-VLOOKUP($A7,main!$A$3:$H$102,6,FALSE)&gt;=main!$D$103+VLOOKUP(VLOOKUP(BQ$1,main!$A$3:$I$102,7,FALSE),main!$K$26:$Q$29,3,FALSE),1,0)</f>
        <v>0</v>
      </c>
      <c r="BR7">
        <f>IF(VLOOKUP(BR$1,main!$A$3:$H$102,5,FALSE)-VLOOKUP($A7,main!$A$3:$H$102,6,FALSE)&gt;=main!$D$103+VLOOKUP(VLOOKUP(BR$1,main!$A$3:$I$102,7,FALSE),main!$K$26:$Q$29,3,FALSE),1,0)</f>
        <v>0</v>
      </c>
      <c r="BS7">
        <f>IF(VLOOKUP(BS$1,main!$A$3:$H$102,5,FALSE)-VLOOKUP($A7,main!$A$3:$H$102,6,FALSE)&gt;=main!$D$103+VLOOKUP(VLOOKUP(BS$1,main!$A$3:$I$102,7,FALSE),main!$K$26:$Q$29,3,FALSE),1,0)</f>
        <v>0</v>
      </c>
      <c r="BT7">
        <f>IF(VLOOKUP(BT$1,main!$A$3:$H$102,5,FALSE)-VLOOKUP($A7,main!$A$3:$H$102,6,FALSE)&gt;=main!$D$103+VLOOKUP(VLOOKUP(BT$1,main!$A$3:$I$102,7,FALSE),main!$K$26:$Q$29,3,FALSE),1,0)</f>
        <v>0</v>
      </c>
      <c r="BU7">
        <f>IF(VLOOKUP(BU$1,main!$A$3:$H$102,5,FALSE)-VLOOKUP($A7,main!$A$3:$H$102,6,FALSE)&gt;=main!$D$103+VLOOKUP(VLOOKUP(BU$1,main!$A$3:$I$102,7,FALSE),main!$K$26:$Q$29,3,FALSE),1,0)</f>
        <v>0</v>
      </c>
      <c r="BV7">
        <f>IF(VLOOKUP(BV$1,main!$A$3:$H$102,5,FALSE)-VLOOKUP($A7,main!$A$3:$H$102,6,FALSE)&gt;=main!$D$103+VLOOKUP(VLOOKUP(BV$1,main!$A$3:$I$102,7,FALSE),main!$K$26:$Q$29,3,FALSE),1,0)</f>
        <v>0</v>
      </c>
      <c r="BW7">
        <f>IF(VLOOKUP(BW$1,main!$A$3:$H$102,5,FALSE)-VLOOKUP($A7,main!$A$3:$H$102,6,FALSE)&gt;=main!$D$103+VLOOKUP(VLOOKUP(BW$1,main!$A$3:$I$102,7,FALSE),main!$K$26:$Q$29,3,FALSE),1,0)</f>
        <v>0</v>
      </c>
      <c r="BX7">
        <f>IF(VLOOKUP(BX$1,main!$A$3:$H$102,5,FALSE)-VLOOKUP($A7,main!$A$3:$H$102,6,FALSE)&gt;=main!$D$103+VLOOKUP(VLOOKUP(BX$1,main!$A$3:$I$102,7,FALSE),main!$K$26:$Q$29,3,FALSE),1,0)</f>
        <v>0</v>
      </c>
      <c r="BY7">
        <f>IF(VLOOKUP(BY$1,main!$A$3:$H$102,5,FALSE)-VLOOKUP($A7,main!$A$3:$H$102,6,FALSE)&gt;=main!$D$103+VLOOKUP(VLOOKUP(BY$1,main!$A$3:$I$102,7,FALSE),main!$K$26:$Q$29,3,FALSE),1,0)</f>
        <v>0</v>
      </c>
      <c r="BZ7">
        <f>IF(VLOOKUP(BZ$1,main!$A$3:$H$102,5,FALSE)-VLOOKUP($A7,main!$A$3:$H$102,6,FALSE)&gt;=main!$D$103+VLOOKUP(VLOOKUP(BZ$1,main!$A$3:$I$102,7,FALSE),main!$K$26:$Q$29,3,FALSE),1,0)</f>
        <v>0</v>
      </c>
      <c r="CA7">
        <f>IF(VLOOKUP(CA$1,main!$A$3:$H$102,5,FALSE)-VLOOKUP($A7,main!$A$3:$H$102,6,FALSE)&gt;=main!$D$103+VLOOKUP(VLOOKUP(CA$1,main!$A$3:$I$102,7,FALSE),main!$K$26:$Q$29,3,FALSE),1,0)</f>
        <v>0</v>
      </c>
      <c r="CB7">
        <f>IF(VLOOKUP(CB$1,main!$A$3:$H$102,5,FALSE)-VLOOKUP($A7,main!$A$3:$H$102,6,FALSE)&gt;=main!$D$103+VLOOKUP(VLOOKUP(CB$1,main!$A$3:$I$102,7,FALSE),main!$K$26:$Q$29,3,FALSE),1,0)</f>
        <v>0</v>
      </c>
      <c r="CC7">
        <f>IF(VLOOKUP(CC$1,main!$A$3:$H$102,5,FALSE)-VLOOKUP($A7,main!$A$3:$H$102,6,FALSE)&gt;=main!$D$103+VLOOKUP(VLOOKUP(CC$1,main!$A$3:$I$102,7,FALSE),main!$K$26:$Q$29,3,FALSE),1,0)</f>
        <v>1</v>
      </c>
      <c r="CD7">
        <f>IF(VLOOKUP(CD$1,main!$A$3:$H$102,5,FALSE)-VLOOKUP($A7,main!$A$3:$H$102,6,FALSE)&gt;=main!$D$103+VLOOKUP(VLOOKUP(CD$1,main!$A$3:$I$102,7,FALSE),main!$K$26:$Q$29,3,FALSE),1,0)</f>
        <v>0</v>
      </c>
      <c r="CE7">
        <f>IF(VLOOKUP(CE$1,main!$A$3:$H$102,5,FALSE)-VLOOKUP($A7,main!$A$3:$H$102,6,FALSE)&gt;=main!$D$103+VLOOKUP(VLOOKUP(CE$1,main!$A$3:$I$102,7,FALSE),main!$K$26:$Q$29,3,FALSE),1,0)</f>
        <v>0</v>
      </c>
      <c r="CF7">
        <f>IF(VLOOKUP(CF$1,main!$A$3:$H$102,5,FALSE)-VLOOKUP($A7,main!$A$3:$H$102,6,FALSE)&gt;=main!$D$103+VLOOKUP(VLOOKUP(CF$1,main!$A$3:$I$102,7,FALSE),main!$K$26:$Q$29,3,FALSE),1,0)</f>
        <v>0</v>
      </c>
      <c r="CG7">
        <f>IF(VLOOKUP(CG$1,main!$A$3:$H$102,5,FALSE)-VLOOKUP($A7,main!$A$3:$H$102,6,FALSE)&gt;=main!$D$103+VLOOKUP(VLOOKUP(CG$1,main!$A$3:$I$102,7,FALSE),main!$K$26:$Q$29,3,FALSE),1,0)</f>
        <v>0</v>
      </c>
      <c r="CH7">
        <f>IF(VLOOKUP(CH$1,main!$A$3:$H$102,5,FALSE)-VLOOKUP($A7,main!$A$3:$H$102,6,FALSE)&gt;=main!$D$103+VLOOKUP(VLOOKUP(CH$1,main!$A$3:$I$102,7,FALSE),main!$K$26:$Q$29,3,FALSE),1,0)</f>
        <v>0</v>
      </c>
      <c r="CI7">
        <f>IF(VLOOKUP(CI$1,main!$A$3:$H$102,5,FALSE)-VLOOKUP($A7,main!$A$3:$H$102,6,FALSE)&gt;=main!$D$103+VLOOKUP(VLOOKUP(CI$1,main!$A$3:$I$102,7,FALSE),main!$K$26:$Q$29,3,FALSE),1,0)</f>
        <v>1</v>
      </c>
      <c r="CJ7">
        <f>IF(VLOOKUP(CJ$1,main!$A$3:$H$102,5,FALSE)-VLOOKUP($A7,main!$A$3:$H$102,6,FALSE)&gt;=main!$D$103+VLOOKUP(VLOOKUP(CJ$1,main!$A$3:$I$102,7,FALSE),main!$K$26:$Q$29,3,FALSE),1,0)</f>
        <v>0</v>
      </c>
      <c r="CK7">
        <f>IF(VLOOKUP(CK$1,main!$A$3:$H$102,5,FALSE)-VLOOKUP($A7,main!$A$3:$H$102,6,FALSE)&gt;=main!$D$103+VLOOKUP(VLOOKUP(CK$1,main!$A$3:$I$102,7,FALSE),main!$K$26:$Q$29,3,FALSE),1,0)</f>
        <v>0</v>
      </c>
      <c r="CL7">
        <f>IF(VLOOKUP(CL$1,main!$A$3:$H$102,5,FALSE)-VLOOKUP($A7,main!$A$3:$H$102,6,FALSE)&gt;=main!$D$103+VLOOKUP(VLOOKUP(CL$1,main!$A$3:$I$102,7,FALSE),main!$K$26:$Q$29,3,FALSE),1,0)</f>
        <v>0</v>
      </c>
      <c r="CM7">
        <f>IF(VLOOKUP(CM$1,main!$A$3:$H$102,5,FALSE)-VLOOKUP($A7,main!$A$3:$H$102,6,FALSE)&gt;=main!$D$103+VLOOKUP(VLOOKUP(CM$1,main!$A$3:$I$102,7,FALSE),main!$K$26:$Q$29,3,FALSE),1,0)</f>
        <v>0</v>
      </c>
      <c r="CN7">
        <f>IF(VLOOKUP(CN$1,main!$A$3:$H$102,5,FALSE)-VLOOKUP($A7,main!$A$3:$H$102,6,FALSE)&gt;=main!$D$103+VLOOKUP(VLOOKUP(CN$1,main!$A$3:$I$102,7,FALSE),main!$K$26:$Q$29,3,FALSE),1,0)</f>
        <v>1</v>
      </c>
      <c r="CO7">
        <f>IF(VLOOKUP(CO$1,main!$A$3:$H$102,5,FALSE)-VLOOKUP($A7,main!$A$3:$H$102,6,FALSE)&gt;=main!$D$103+VLOOKUP(VLOOKUP(CO$1,main!$A$3:$I$102,7,FALSE),main!$K$26:$Q$29,3,FALSE),1,0)</f>
        <v>0</v>
      </c>
      <c r="CP7">
        <f>IF(VLOOKUP(CP$1,main!$A$3:$H$102,5,FALSE)-VLOOKUP($A7,main!$A$3:$H$102,6,FALSE)&gt;=main!$D$103+VLOOKUP(VLOOKUP(CP$1,main!$A$3:$I$102,7,FALSE),main!$K$26:$Q$29,3,FALSE),1,0)</f>
        <v>0</v>
      </c>
      <c r="CQ7">
        <f>IF(VLOOKUP(CQ$1,main!$A$3:$H$102,5,FALSE)-VLOOKUP($A7,main!$A$3:$H$102,6,FALSE)&gt;=main!$D$103+VLOOKUP(VLOOKUP(CQ$1,main!$A$3:$I$102,7,FALSE),main!$K$26:$Q$29,3,FALSE),1,0)</f>
        <v>0</v>
      </c>
      <c r="CR7">
        <f>IF(VLOOKUP(CR$1,main!$A$3:$H$102,5,FALSE)-VLOOKUP($A7,main!$A$3:$H$102,6,FALSE)&gt;=main!$D$103+VLOOKUP(VLOOKUP(CR$1,main!$A$3:$I$102,7,FALSE),main!$K$26:$Q$29,3,FALSE),1,0)</f>
        <v>0</v>
      </c>
      <c r="CS7">
        <f>IF(VLOOKUP(CS$1,main!$A$3:$H$102,5,FALSE)-VLOOKUP($A7,main!$A$3:$H$102,6,FALSE)&gt;=main!$D$103+VLOOKUP(VLOOKUP(CS$1,main!$A$3:$I$102,7,FALSE),main!$K$26:$Q$29,3,FALSE),1,0)</f>
        <v>0</v>
      </c>
      <c r="CT7">
        <f>IF(VLOOKUP(CT$1,main!$A$3:$H$102,5,FALSE)-VLOOKUP($A7,main!$A$3:$H$102,6,FALSE)&gt;=main!$D$103+VLOOKUP(VLOOKUP(CT$1,main!$A$3:$I$102,7,FALSE),main!$K$26:$Q$29,3,FALSE),1,0)</f>
        <v>0</v>
      </c>
      <c r="CU7">
        <f>IF(VLOOKUP(CU$1,main!$A$3:$H$102,5,FALSE)-VLOOKUP($A7,main!$A$3:$H$102,6,FALSE)&gt;=main!$D$103+VLOOKUP(VLOOKUP(CU$1,main!$A$3:$I$102,7,FALSE),main!$K$26:$Q$29,3,FALSE),1,0)</f>
        <v>0</v>
      </c>
      <c r="CV7">
        <f>IF(VLOOKUP(CV$1,main!$A$3:$H$102,5,FALSE)-VLOOKUP($A7,main!$A$3:$H$102,6,FALSE)&gt;=main!$D$103+VLOOKUP(VLOOKUP(CV$1,main!$A$3:$I$102,7,FALSE),main!$K$26:$Q$29,3,FALSE),1,0)</f>
        <v>0</v>
      </c>
      <c r="CW7">
        <f>IF(VLOOKUP(CW$1,main!$A$3:$H$102,5,FALSE)-VLOOKUP($A7,main!$A$3:$H$102,6,FALSE)&gt;=main!$D$103+VLOOKUP(VLOOKUP(CW$1,main!$A$3:$I$102,7,FALSE),main!$K$26:$Q$29,3,FALSE),1,0)</f>
        <v>0</v>
      </c>
      <c r="CX7">
        <f>IF(VLOOKUP(CX$1,main!$A$3:$H$102,5,FALSE)-VLOOKUP($A7,main!$A$3:$H$102,6,FALSE)&gt;=main!$D$103+VLOOKUP(VLOOKUP(CX$1,main!$A$3:$I$102,7,FALSE),main!$K$26:$Q$29,3,FALSE),1,0)</f>
        <v>0</v>
      </c>
      <c r="CZ7">
        <f>VLOOKUP(VLOOKUP(C$1,main!$A$3:$I$102,7,FALSE),main!$K$26:$Q$29,3,FALSE)</f>
        <v>30</v>
      </c>
    </row>
    <row r="8" spans="1:104" x14ac:dyDescent="0.25">
      <c r="A8" s="1">
        <v>6</v>
      </c>
      <c r="B8">
        <v>0</v>
      </c>
      <c r="C8">
        <f>IF(VLOOKUP(C$1,main!$A$3:$H$102,5,FALSE)-VLOOKUP($A8,main!$A$3:$H$102,6,FALSE)&gt;=main!$D$103+VLOOKUP(VLOOKUP(C$1,main!$A$3:$I$102,7,FALSE),main!$K$26:$Q$29,3,FALSE),1,0)</f>
        <v>0</v>
      </c>
      <c r="D8">
        <f>IF(VLOOKUP(D$1,main!$A$3:$H$102,5,FALSE)-VLOOKUP($A8,main!$A$3:$H$102,6,FALSE)&gt;=main!$D$103+VLOOKUP(VLOOKUP(D$1,main!$A$3:$I$102,7,FALSE),main!$K$26:$Q$29,3,FALSE),1,0)</f>
        <v>0</v>
      </c>
      <c r="E8">
        <f>IF(VLOOKUP(E$1,main!$A$3:$H$102,5,FALSE)-VLOOKUP($A8,main!$A$3:$H$102,6,FALSE)&gt;=main!$D$103+VLOOKUP(VLOOKUP(E$1,main!$A$3:$I$102,7,FALSE),main!$K$26:$Q$29,3,FALSE),1,0)</f>
        <v>0</v>
      </c>
      <c r="F8">
        <f>IF(VLOOKUP(F$1,main!$A$3:$H$102,5,FALSE)-VLOOKUP($A8,main!$A$3:$H$102,6,FALSE)&gt;=main!$D$103+VLOOKUP(VLOOKUP(F$1,main!$A$3:$I$102,7,FALSE),main!$K$26:$Q$29,3,FALSE),1,0)</f>
        <v>0</v>
      </c>
      <c r="G8">
        <f>IF(VLOOKUP(G$1,main!$A$3:$H$102,5,FALSE)-VLOOKUP($A8,main!$A$3:$H$102,6,FALSE)&gt;=main!$D$103+VLOOKUP(VLOOKUP(G$1,main!$A$3:$I$102,7,FALSE),main!$K$26:$Q$29,3,FALSE),1,0)</f>
        <v>0</v>
      </c>
      <c r="H8">
        <f>IF(VLOOKUP(H$1,main!$A$3:$H$102,5,FALSE)-VLOOKUP($A8,main!$A$3:$H$102,6,FALSE)&gt;=main!$D$103+VLOOKUP(VLOOKUP(H$1,main!$A$3:$I$102,7,FALSE),main!$K$26:$Q$29,3,FALSE),1,0)</f>
        <v>0</v>
      </c>
      <c r="I8">
        <f>IF(VLOOKUP(I$1,main!$A$3:$H$102,5,FALSE)-VLOOKUP($A8,main!$A$3:$H$102,6,FALSE)&gt;=main!$D$103+VLOOKUP(VLOOKUP(I$1,main!$A$3:$I$102,7,FALSE),main!$K$26:$Q$29,3,FALSE),1,0)</f>
        <v>0</v>
      </c>
      <c r="J8">
        <f>IF(VLOOKUP(J$1,main!$A$3:$H$102,5,FALSE)-VLOOKUP($A8,main!$A$3:$H$102,6,FALSE)&gt;=main!$D$103+VLOOKUP(VLOOKUP(J$1,main!$A$3:$I$102,7,FALSE),main!$K$26:$Q$29,3,FALSE),1,0)</f>
        <v>0</v>
      </c>
      <c r="K8">
        <f>IF(VLOOKUP(K$1,main!$A$3:$H$102,5,FALSE)-VLOOKUP($A8,main!$A$3:$H$102,6,FALSE)&gt;=main!$D$103+VLOOKUP(VLOOKUP(K$1,main!$A$3:$I$102,7,FALSE),main!$K$26:$Q$29,3,FALSE),1,0)</f>
        <v>0</v>
      </c>
      <c r="L8">
        <f>IF(VLOOKUP(L$1,main!$A$3:$H$102,5,FALSE)-VLOOKUP($A8,main!$A$3:$H$102,6,FALSE)&gt;=main!$D$103+VLOOKUP(VLOOKUP(L$1,main!$A$3:$I$102,7,FALSE),main!$K$26:$Q$29,3,FALSE),1,0)</f>
        <v>1</v>
      </c>
      <c r="M8">
        <f>IF(VLOOKUP(M$1,main!$A$3:$H$102,5,FALSE)-VLOOKUP($A8,main!$A$3:$H$102,6,FALSE)&gt;=main!$D$103+VLOOKUP(VLOOKUP(M$1,main!$A$3:$I$102,7,FALSE),main!$K$26:$Q$29,3,FALSE),1,0)</f>
        <v>0</v>
      </c>
      <c r="N8">
        <f>IF(VLOOKUP(N$1,main!$A$3:$H$102,5,FALSE)-VLOOKUP($A8,main!$A$3:$H$102,6,FALSE)&gt;=main!$D$103+VLOOKUP(VLOOKUP(N$1,main!$A$3:$I$102,7,FALSE),main!$K$26:$Q$29,3,FALSE),1,0)</f>
        <v>0</v>
      </c>
      <c r="O8">
        <f>IF(VLOOKUP(O$1,main!$A$3:$H$102,5,FALSE)-VLOOKUP($A8,main!$A$3:$H$102,6,FALSE)&gt;=main!$D$103+VLOOKUP(VLOOKUP(O$1,main!$A$3:$I$102,7,FALSE),main!$K$26:$Q$29,3,FALSE),1,0)</f>
        <v>0</v>
      </c>
      <c r="P8">
        <f>IF(VLOOKUP(P$1,main!$A$3:$H$102,5,FALSE)-VLOOKUP($A8,main!$A$3:$H$102,6,FALSE)&gt;=main!$D$103+VLOOKUP(VLOOKUP(P$1,main!$A$3:$I$102,7,FALSE),main!$K$26:$Q$29,3,FALSE),1,0)</f>
        <v>0</v>
      </c>
      <c r="Q8">
        <f>IF(VLOOKUP(Q$1,main!$A$3:$H$102,5,FALSE)-VLOOKUP($A8,main!$A$3:$H$102,6,FALSE)&gt;=main!$D$103+VLOOKUP(VLOOKUP(Q$1,main!$A$3:$I$102,7,FALSE),main!$K$26:$Q$29,3,FALSE),1,0)</f>
        <v>0</v>
      </c>
      <c r="R8">
        <f>IF(VLOOKUP(R$1,main!$A$3:$H$102,5,FALSE)-VLOOKUP($A8,main!$A$3:$H$102,6,FALSE)&gt;=main!$D$103+VLOOKUP(VLOOKUP(R$1,main!$A$3:$I$102,7,FALSE),main!$K$26:$Q$29,3,FALSE),1,0)</f>
        <v>0</v>
      </c>
      <c r="S8">
        <f>IF(VLOOKUP(S$1,main!$A$3:$H$102,5,FALSE)-VLOOKUP($A8,main!$A$3:$H$102,6,FALSE)&gt;=main!$D$103+VLOOKUP(VLOOKUP(S$1,main!$A$3:$I$102,7,FALSE),main!$K$26:$Q$29,3,FALSE),1,0)</f>
        <v>0</v>
      </c>
      <c r="T8">
        <f>IF(VLOOKUP(T$1,main!$A$3:$H$102,5,FALSE)-VLOOKUP($A8,main!$A$3:$H$102,6,FALSE)&gt;=main!$D$103+VLOOKUP(VLOOKUP(T$1,main!$A$3:$I$102,7,FALSE),main!$K$26:$Q$29,3,FALSE),1,0)</f>
        <v>0</v>
      </c>
      <c r="U8">
        <f>IF(VLOOKUP(U$1,main!$A$3:$H$102,5,FALSE)-VLOOKUP($A8,main!$A$3:$H$102,6,FALSE)&gt;=main!$D$103+VLOOKUP(VLOOKUP(U$1,main!$A$3:$I$102,7,FALSE),main!$K$26:$Q$29,3,FALSE),1,0)</f>
        <v>1</v>
      </c>
      <c r="V8">
        <f>IF(VLOOKUP(V$1,main!$A$3:$H$102,5,FALSE)-VLOOKUP($A8,main!$A$3:$H$102,6,FALSE)&gt;=main!$D$103+VLOOKUP(VLOOKUP(V$1,main!$A$3:$I$102,7,FALSE),main!$K$26:$Q$29,3,FALSE),1,0)</f>
        <v>1</v>
      </c>
      <c r="W8">
        <f>IF(VLOOKUP(W$1,main!$A$3:$H$102,5,FALSE)-VLOOKUP($A8,main!$A$3:$H$102,6,FALSE)&gt;=main!$D$103+VLOOKUP(VLOOKUP(W$1,main!$A$3:$I$102,7,FALSE),main!$K$26:$Q$29,3,FALSE),1,0)</f>
        <v>0</v>
      </c>
      <c r="X8">
        <f>IF(VLOOKUP(X$1,main!$A$3:$H$102,5,FALSE)-VLOOKUP($A8,main!$A$3:$H$102,6,FALSE)&gt;=main!$D$103+VLOOKUP(VLOOKUP(X$1,main!$A$3:$I$102,7,FALSE),main!$K$26:$Q$29,3,FALSE),1,0)</f>
        <v>0</v>
      </c>
      <c r="Y8">
        <f>IF(VLOOKUP(Y$1,main!$A$3:$H$102,5,FALSE)-VLOOKUP($A8,main!$A$3:$H$102,6,FALSE)&gt;=main!$D$103+VLOOKUP(VLOOKUP(Y$1,main!$A$3:$I$102,7,FALSE),main!$K$26:$Q$29,3,FALSE),1,0)</f>
        <v>0</v>
      </c>
      <c r="Z8">
        <f>IF(VLOOKUP(Z$1,main!$A$3:$H$102,5,FALSE)-VLOOKUP($A8,main!$A$3:$H$102,6,FALSE)&gt;=main!$D$103+VLOOKUP(VLOOKUP(Z$1,main!$A$3:$I$102,7,FALSE),main!$K$26:$Q$29,3,FALSE),1,0)</f>
        <v>0</v>
      </c>
      <c r="AA8">
        <f>IF(VLOOKUP(AA$1,main!$A$3:$H$102,5,FALSE)-VLOOKUP($A8,main!$A$3:$H$102,6,FALSE)&gt;=main!$D$103+VLOOKUP(VLOOKUP(AA$1,main!$A$3:$I$102,7,FALSE),main!$K$26:$Q$29,3,FALSE),1,0)</f>
        <v>0</v>
      </c>
      <c r="AB8">
        <f>IF(VLOOKUP(AB$1,main!$A$3:$H$102,5,FALSE)-VLOOKUP($A8,main!$A$3:$H$102,6,FALSE)&gt;=main!$D$103+VLOOKUP(VLOOKUP(AB$1,main!$A$3:$I$102,7,FALSE),main!$K$26:$Q$29,3,FALSE),1,0)</f>
        <v>0</v>
      </c>
      <c r="AC8">
        <f>IF(VLOOKUP(AC$1,main!$A$3:$H$102,5,FALSE)-VLOOKUP($A8,main!$A$3:$H$102,6,FALSE)&gt;=main!$D$103+VLOOKUP(VLOOKUP(AC$1,main!$A$3:$I$102,7,FALSE),main!$K$26:$Q$29,3,FALSE),1,0)</f>
        <v>0</v>
      </c>
      <c r="AD8">
        <f>IF(VLOOKUP(AD$1,main!$A$3:$H$102,5,FALSE)-VLOOKUP($A8,main!$A$3:$H$102,6,FALSE)&gt;=main!$D$103+VLOOKUP(VLOOKUP(AD$1,main!$A$3:$I$102,7,FALSE),main!$K$26:$Q$29,3,FALSE),1,0)</f>
        <v>0</v>
      </c>
      <c r="AE8">
        <f>IF(VLOOKUP(AE$1,main!$A$3:$H$102,5,FALSE)-VLOOKUP($A8,main!$A$3:$H$102,6,FALSE)&gt;=main!$D$103+VLOOKUP(VLOOKUP(AE$1,main!$A$3:$I$102,7,FALSE),main!$K$26:$Q$29,3,FALSE),1,0)</f>
        <v>0</v>
      </c>
      <c r="AF8">
        <f>IF(VLOOKUP(AF$1,main!$A$3:$H$102,5,FALSE)-VLOOKUP($A8,main!$A$3:$H$102,6,FALSE)&gt;=main!$D$103+VLOOKUP(VLOOKUP(AF$1,main!$A$3:$I$102,7,FALSE),main!$K$26:$Q$29,3,FALSE),1,0)</f>
        <v>0</v>
      </c>
      <c r="AG8">
        <f>IF(VLOOKUP(AG$1,main!$A$3:$H$102,5,FALSE)-VLOOKUP($A8,main!$A$3:$H$102,6,FALSE)&gt;=main!$D$103+VLOOKUP(VLOOKUP(AG$1,main!$A$3:$I$102,7,FALSE),main!$K$26:$Q$29,3,FALSE),1,0)</f>
        <v>0</v>
      </c>
      <c r="AH8">
        <f>IF(VLOOKUP(AH$1,main!$A$3:$H$102,5,FALSE)-VLOOKUP($A8,main!$A$3:$H$102,6,FALSE)&gt;=main!$D$103+VLOOKUP(VLOOKUP(AH$1,main!$A$3:$I$102,7,FALSE),main!$K$26:$Q$29,3,FALSE),1,0)</f>
        <v>0</v>
      </c>
      <c r="AI8">
        <f>IF(VLOOKUP(AI$1,main!$A$3:$H$102,5,FALSE)-VLOOKUP($A8,main!$A$3:$H$102,6,FALSE)&gt;=main!$D$103+VLOOKUP(VLOOKUP(AI$1,main!$A$3:$I$102,7,FALSE),main!$K$26:$Q$29,3,FALSE),1,0)</f>
        <v>0</v>
      </c>
      <c r="AJ8">
        <f>IF(VLOOKUP(AJ$1,main!$A$3:$H$102,5,FALSE)-VLOOKUP($A8,main!$A$3:$H$102,6,FALSE)&gt;=main!$D$103+VLOOKUP(VLOOKUP(AJ$1,main!$A$3:$I$102,7,FALSE),main!$K$26:$Q$29,3,FALSE),1,0)</f>
        <v>0</v>
      </c>
      <c r="AK8">
        <f>IF(VLOOKUP(AK$1,main!$A$3:$H$102,5,FALSE)-VLOOKUP($A8,main!$A$3:$H$102,6,FALSE)&gt;=main!$D$103+VLOOKUP(VLOOKUP(AK$1,main!$A$3:$I$102,7,FALSE),main!$K$26:$Q$29,3,FALSE),1,0)</f>
        <v>0</v>
      </c>
      <c r="AL8">
        <f>IF(VLOOKUP(AL$1,main!$A$3:$H$102,5,FALSE)-VLOOKUP($A8,main!$A$3:$H$102,6,FALSE)&gt;=main!$D$103+VLOOKUP(VLOOKUP(AL$1,main!$A$3:$I$102,7,FALSE),main!$K$26:$Q$29,3,FALSE),1,0)</f>
        <v>0</v>
      </c>
      <c r="AM8">
        <f>IF(VLOOKUP(AM$1,main!$A$3:$H$102,5,FALSE)-VLOOKUP($A8,main!$A$3:$H$102,6,FALSE)&gt;=main!$D$103+VLOOKUP(VLOOKUP(AM$1,main!$A$3:$I$102,7,FALSE),main!$K$26:$Q$29,3,FALSE),1,0)</f>
        <v>0</v>
      </c>
      <c r="AN8">
        <f>IF(VLOOKUP(AN$1,main!$A$3:$H$102,5,FALSE)-VLOOKUP($A8,main!$A$3:$H$102,6,FALSE)&gt;=main!$D$103+VLOOKUP(VLOOKUP(AN$1,main!$A$3:$I$102,7,FALSE),main!$K$26:$Q$29,3,FALSE),1,0)</f>
        <v>1</v>
      </c>
      <c r="AO8">
        <f>IF(VLOOKUP(AO$1,main!$A$3:$H$102,5,FALSE)-VLOOKUP($A8,main!$A$3:$H$102,6,FALSE)&gt;=main!$D$103+VLOOKUP(VLOOKUP(AO$1,main!$A$3:$I$102,7,FALSE),main!$K$26:$Q$29,3,FALSE),1,0)</f>
        <v>0</v>
      </c>
      <c r="AP8">
        <f>IF(VLOOKUP(AP$1,main!$A$3:$H$102,5,FALSE)-VLOOKUP($A8,main!$A$3:$H$102,6,FALSE)&gt;=main!$D$103+VLOOKUP(VLOOKUP(AP$1,main!$A$3:$I$102,7,FALSE),main!$K$26:$Q$29,3,FALSE),1,0)</f>
        <v>1</v>
      </c>
      <c r="AQ8">
        <f>IF(VLOOKUP(AQ$1,main!$A$3:$H$102,5,FALSE)-VLOOKUP($A8,main!$A$3:$H$102,6,FALSE)&gt;=main!$D$103+VLOOKUP(VLOOKUP(AQ$1,main!$A$3:$I$102,7,FALSE),main!$K$26:$Q$29,3,FALSE),1,0)</f>
        <v>0</v>
      </c>
      <c r="AR8">
        <f>IF(VLOOKUP(AR$1,main!$A$3:$H$102,5,FALSE)-VLOOKUP($A8,main!$A$3:$H$102,6,FALSE)&gt;=main!$D$103+VLOOKUP(VLOOKUP(AR$1,main!$A$3:$I$102,7,FALSE),main!$K$26:$Q$29,3,FALSE),1,0)</f>
        <v>0</v>
      </c>
      <c r="AS8">
        <f>IF(VLOOKUP(AS$1,main!$A$3:$H$102,5,FALSE)-VLOOKUP($A8,main!$A$3:$H$102,6,FALSE)&gt;=main!$D$103+VLOOKUP(VLOOKUP(AS$1,main!$A$3:$I$102,7,FALSE),main!$K$26:$Q$29,3,FALSE),1,0)</f>
        <v>0</v>
      </c>
      <c r="AT8">
        <f>IF(VLOOKUP(AT$1,main!$A$3:$H$102,5,FALSE)-VLOOKUP($A8,main!$A$3:$H$102,6,FALSE)&gt;=main!$D$103+VLOOKUP(VLOOKUP(AT$1,main!$A$3:$I$102,7,FALSE),main!$K$26:$Q$29,3,FALSE),1,0)</f>
        <v>0</v>
      </c>
      <c r="AU8">
        <f>IF(VLOOKUP(AU$1,main!$A$3:$H$102,5,FALSE)-VLOOKUP($A8,main!$A$3:$H$102,6,FALSE)&gt;=main!$D$103+VLOOKUP(VLOOKUP(AU$1,main!$A$3:$I$102,7,FALSE),main!$K$26:$Q$29,3,FALSE),1,0)</f>
        <v>0</v>
      </c>
      <c r="AV8">
        <f>IF(VLOOKUP(AV$1,main!$A$3:$H$102,5,FALSE)-VLOOKUP($A8,main!$A$3:$H$102,6,FALSE)&gt;=main!$D$103+VLOOKUP(VLOOKUP(AV$1,main!$A$3:$I$102,7,FALSE),main!$K$26:$Q$29,3,FALSE),1,0)</f>
        <v>0</v>
      </c>
      <c r="AW8">
        <f>IF(VLOOKUP(AW$1,main!$A$3:$H$102,5,FALSE)-VLOOKUP($A8,main!$A$3:$H$102,6,FALSE)&gt;=main!$D$103+VLOOKUP(VLOOKUP(AW$1,main!$A$3:$I$102,7,FALSE),main!$K$26:$Q$29,3,FALSE),1,0)</f>
        <v>0</v>
      </c>
      <c r="AX8">
        <f>IF(VLOOKUP(AX$1,main!$A$3:$H$102,5,FALSE)-VLOOKUP($A8,main!$A$3:$H$102,6,FALSE)&gt;=main!$D$103+VLOOKUP(VLOOKUP(AX$1,main!$A$3:$I$102,7,FALSE),main!$K$26:$Q$29,3,FALSE),1,0)</f>
        <v>0</v>
      </c>
      <c r="AY8">
        <f>IF(VLOOKUP(AY$1,main!$A$3:$H$102,5,FALSE)-VLOOKUP($A8,main!$A$3:$H$102,6,FALSE)&gt;=main!$D$103+VLOOKUP(VLOOKUP(AY$1,main!$A$3:$I$102,7,FALSE),main!$K$26:$Q$29,3,FALSE),1,0)</f>
        <v>0</v>
      </c>
      <c r="AZ8">
        <f>IF(VLOOKUP(AZ$1,main!$A$3:$H$102,5,FALSE)-VLOOKUP($A8,main!$A$3:$H$102,6,FALSE)&gt;=main!$D$103+VLOOKUP(VLOOKUP(AZ$1,main!$A$3:$I$102,7,FALSE),main!$K$26:$Q$29,3,FALSE),1,0)</f>
        <v>0</v>
      </c>
      <c r="BA8">
        <f>IF(VLOOKUP(BA$1,main!$A$3:$H$102,5,FALSE)-VLOOKUP($A8,main!$A$3:$H$102,6,FALSE)&gt;=main!$D$103+VLOOKUP(VLOOKUP(BA$1,main!$A$3:$I$102,7,FALSE),main!$K$26:$Q$29,3,FALSE),1,0)</f>
        <v>0</v>
      </c>
      <c r="BB8">
        <f>IF(VLOOKUP(BB$1,main!$A$3:$H$102,5,FALSE)-VLOOKUP($A8,main!$A$3:$H$102,6,FALSE)&gt;=main!$D$103+VLOOKUP(VLOOKUP(BB$1,main!$A$3:$I$102,7,FALSE),main!$K$26:$Q$29,3,FALSE),1,0)</f>
        <v>0</v>
      </c>
      <c r="BC8">
        <f>IF(VLOOKUP(BC$1,main!$A$3:$H$102,5,FALSE)-VLOOKUP($A8,main!$A$3:$H$102,6,FALSE)&gt;=main!$D$103+VLOOKUP(VLOOKUP(BC$1,main!$A$3:$I$102,7,FALSE),main!$K$26:$Q$29,3,FALSE),1,0)</f>
        <v>0</v>
      </c>
      <c r="BD8">
        <f>IF(VLOOKUP(BD$1,main!$A$3:$H$102,5,FALSE)-VLOOKUP($A8,main!$A$3:$H$102,6,FALSE)&gt;=main!$D$103+VLOOKUP(VLOOKUP(BD$1,main!$A$3:$I$102,7,FALSE),main!$K$26:$Q$29,3,FALSE),1,0)</f>
        <v>0</v>
      </c>
      <c r="BE8">
        <f>IF(VLOOKUP(BE$1,main!$A$3:$H$102,5,FALSE)-VLOOKUP($A8,main!$A$3:$H$102,6,FALSE)&gt;=main!$D$103+VLOOKUP(VLOOKUP(BE$1,main!$A$3:$I$102,7,FALSE),main!$K$26:$Q$29,3,FALSE),1,0)</f>
        <v>0</v>
      </c>
      <c r="BF8">
        <f>IF(VLOOKUP(BF$1,main!$A$3:$H$102,5,FALSE)-VLOOKUP($A8,main!$A$3:$H$102,6,FALSE)&gt;=main!$D$103+VLOOKUP(VLOOKUP(BF$1,main!$A$3:$I$102,7,FALSE),main!$K$26:$Q$29,3,FALSE),1,0)</f>
        <v>0</v>
      </c>
      <c r="BG8">
        <f>IF(VLOOKUP(BG$1,main!$A$3:$H$102,5,FALSE)-VLOOKUP($A8,main!$A$3:$H$102,6,FALSE)&gt;=main!$D$103+VLOOKUP(VLOOKUP(BG$1,main!$A$3:$I$102,7,FALSE),main!$K$26:$Q$29,3,FALSE),1,0)</f>
        <v>0</v>
      </c>
      <c r="BH8">
        <f>IF(VLOOKUP(BH$1,main!$A$3:$H$102,5,FALSE)-VLOOKUP($A8,main!$A$3:$H$102,6,FALSE)&gt;=main!$D$103+VLOOKUP(VLOOKUP(BH$1,main!$A$3:$I$102,7,FALSE),main!$K$26:$Q$29,3,FALSE),1,0)</f>
        <v>0</v>
      </c>
      <c r="BI8">
        <f>IF(VLOOKUP(BI$1,main!$A$3:$H$102,5,FALSE)-VLOOKUP($A8,main!$A$3:$H$102,6,FALSE)&gt;=main!$D$103+VLOOKUP(VLOOKUP(BI$1,main!$A$3:$I$102,7,FALSE),main!$K$26:$Q$29,3,FALSE),1,0)</f>
        <v>1</v>
      </c>
      <c r="BJ8">
        <f>IF(VLOOKUP(BJ$1,main!$A$3:$H$102,5,FALSE)-VLOOKUP($A8,main!$A$3:$H$102,6,FALSE)&gt;=main!$D$103+VLOOKUP(VLOOKUP(BJ$1,main!$A$3:$I$102,7,FALSE),main!$K$26:$Q$29,3,FALSE),1,0)</f>
        <v>0</v>
      </c>
      <c r="BK8">
        <f>IF(VLOOKUP(BK$1,main!$A$3:$H$102,5,FALSE)-VLOOKUP($A8,main!$A$3:$H$102,6,FALSE)&gt;=main!$D$103+VLOOKUP(VLOOKUP(BK$1,main!$A$3:$I$102,7,FALSE),main!$K$26:$Q$29,3,FALSE),1,0)</f>
        <v>0</v>
      </c>
      <c r="BL8">
        <f>IF(VLOOKUP(BL$1,main!$A$3:$H$102,5,FALSE)-VLOOKUP($A8,main!$A$3:$H$102,6,FALSE)&gt;=main!$D$103+VLOOKUP(VLOOKUP(BL$1,main!$A$3:$I$102,7,FALSE),main!$K$26:$Q$29,3,FALSE),1,0)</f>
        <v>0</v>
      </c>
      <c r="BM8">
        <f>IF(VLOOKUP(BM$1,main!$A$3:$H$102,5,FALSE)-VLOOKUP($A8,main!$A$3:$H$102,6,FALSE)&gt;=main!$D$103+VLOOKUP(VLOOKUP(BM$1,main!$A$3:$I$102,7,FALSE),main!$K$26:$Q$29,3,FALSE),1,0)</f>
        <v>0</v>
      </c>
      <c r="BN8">
        <f>IF(VLOOKUP(BN$1,main!$A$3:$H$102,5,FALSE)-VLOOKUP($A8,main!$A$3:$H$102,6,FALSE)&gt;=main!$D$103+VLOOKUP(VLOOKUP(BN$1,main!$A$3:$I$102,7,FALSE),main!$K$26:$Q$29,3,FALSE),1,0)</f>
        <v>0</v>
      </c>
      <c r="BO8">
        <f>IF(VLOOKUP(BO$1,main!$A$3:$H$102,5,FALSE)-VLOOKUP($A8,main!$A$3:$H$102,6,FALSE)&gt;=main!$D$103+VLOOKUP(VLOOKUP(BO$1,main!$A$3:$I$102,7,FALSE),main!$K$26:$Q$29,3,FALSE),1,0)</f>
        <v>0</v>
      </c>
      <c r="BP8">
        <f>IF(VLOOKUP(BP$1,main!$A$3:$H$102,5,FALSE)-VLOOKUP($A8,main!$A$3:$H$102,6,FALSE)&gt;=main!$D$103+VLOOKUP(VLOOKUP(BP$1,main!$A$3:$I$102,7,FALSE),main!$K$26:$Q$29,3,FALSE),1,0)</f>
        <v>0</v>
      </c>
      <c r="BQ8">
        <f>IF(VLOOKUP(BQ$1,main!$A$3:$H$102,5,FALSE)-VLOOKUP($A8,main!$A$3:$H$102,6,FALSE)&gt;=main!$D$103+VLOOKUP(VLOOKUP(BQ$1,main!$A$3:$I$102,7,FALSE),main!$K$26:$Q$29,3,FALSE),1,0)</f>
        <v>0</v>
      </c>
      <c r="BR8">
        <f>IF(VLOOKUP(BR$1,main!$A$3:$H$102,5,FALSE)-VLOOKUP($A8,main!$A$3:$H$102,6,FALSE)&gt;=main!$D$103+VLOOKUP(VLOOKUP(BR$1,main!$A$3:$I$102,7,FALSE),main!$K$26:$Q$29,3,FALSE),1,0)</f>
        <v>0</v>
      </c>
      <c r="BS8">
        <f>IF(VLOOKUP(BS$1,main!$A$3:$H$102,5,FALSE)-VLOOKUP($A8,main!$A$3:$H$102,6,FALSE)&gt;=main!$D$103+VLOOKUP(VLOOKUP(BS$1,main!$A$3:$I$102,7,FALSE),main!$K$26:$Q$29,3,FALSE),1,0)</f>
        <v>0</v>
      </c>
      <c r="BT8">
        <f>IF(VLOOKUP(BT$1,main!$A$3:$H$102,5,FALSE)-VLOOKUP($A8,main!$A$3:$H$102,6,FALSE)&gt;=main!$D$103+VLOOKUP(VLOOKUP(BT$1,main!$A$3:$I$102,7,FALSE),main!$K$26:$Q$29,3,FALSE),1,0)</f>
        <v>0</v>
      </c>
      <c r="BU8">
        <f>IF(VLOOKUP(BU$1,main!$A$3:$H$102,5,FALSE)-VLOOKUP($A8,main!$A$3:$H$102,6,FALSE)&gt;=main!$D$103+VLOOKUP(VLOOKUP(BU$1,main!$A$3:$I$102,7,FALSE),main!$K$26:$Q$29,3,FALSE),1,0)</f>
        <v>0</v>
      </c>
      <c r="BV8">
        <f>IF(VLOOKUP(BV$1,main!$A$3:$H$102,5,FALSE)-VLOOKUP($A8,main!$A$3:$H$102,6,FALSE)&gt;=main!$D$103+VLOOKUP(VLOOKUP(BV$1,main!$A$3:$I$102,7,FALSE),main!$K$26:$Q$29,3,FALSE),1,0)</f>
        <v>0</v>
      </c>
      <c r="BW8">
        <f>IF(VLOOKUP(BW$1,main!$A$3:$H$102,5,FALSE)-VLOOKUP($A8,main!$A$3:$H$102,6,FALSE)&gt;=main!$D$103+VLOOKUP(VLOOKUP(BW$1,main!$A$3:$I$102,7,FALSE),main!$K$26:$Q$29,3,FALSE),1,0)</f>
        <v>0</v>
      </c>
      <c r="BX8">
        <f>IF(VLOOKUP(BX$1,main!$A$3:$H$102,5,FALSE)-VLOOKUP($A8,main!$A$3:$H$102,6,FALSE)&gt;=main!$D$103+VLOOKUP(VLOOKUP(BX$1,main!$A$3:$I$102,7,FALSE),main!$K$26:$Q$29,3,FALSE),1,0)</f>
        <v>0</v>
      </c>
      <c r="BY8">
        <f>IF(VLOOKUP(BY$1,main!$A$3:$H$102,5,FALSE)-VLOOKUP($A8,main!$A$3:$H$102,6,FALSE)&gt;=main!$D$103+VLOOKUP(VLOOKUP(BY$1,main!$A$3:$I$102,7,FALSE),main!$K$26:$Q$29,3,FALSE),1,0)</f>
        <v>0</v>
      </c>
      <c r="BZ8">
        <f>IF(VLOOKUP(BZ$1,main!$A$3:$H$102,5,FALSE)-VLOOKUP($A8,main!$A$3:$H$102,6,FALSE)&gt;=main!$D$103+VLOOKUP(VLOOKUP(BZ$1,main!$A$3:$I$102,7,FALSE),main!$K$26:$Q$29,3,FALSE),1,0)</f>
        <v>0</v>
      </c>
      <c r="CA8">
        <f>IF(VLOOKUP(CA$1,main!$A$3:$H$102,5,FALSE)-VLOOKUP($A8,main!$A$3:$H$102,6,FALSE)&gt;=main!$D$103+VLOOKUP(VLOOKUP(CA$1,main!$A$3:$I$102,7,FALSE),main!$K$26:$Q$29,3,FALSE),1,0)</f>
        <v>0</v>
      </c>
      <c r="CB8">
        <f>IF(VLOOKUP(CB$1,main!$A$3:$H$102,5,FALSE)-VLOOKUP($A8,main!$A$3:$H$102,6,FALSE)&gt;=main!$D$103+VLOOKUP(VLOOKUP(CB$1,main!$A$3:$I$102,7,FALSE),main!$K$26:$Q$29,3,FALSE),1,0)</f>
        <v>0</v>
      </c>
      <c r="CC8">
        <f>IF(VLOOKUP(CC$1,main!$A$3:$H$102,5,FALSE)-VLOOKUP($A8,main!$A$3:$H$102,6,FALSE)&gt;=main!$D$103+VLOOKUP(VLOOKUP(CC$1,main!$A$3:$I$102,7,FALSE),main!$K$26:$Q$29,3,FALSE),1,0)</f>
        <v>0</v>
      </c>
      <c r="CD8">
        <f>IF(VLOOKUP(CD$1,main!$A$3:$H$102,5,FALSE)-VLOOKUP($A8,main!$A$3:$H$102,6,FALSE)&gt;=main!$D$103+VLOOKUP(VLOOKUP(CD$1,main!$A$3:$I$102,7,FALSE),main!$K$26:$Q$29,3,FALSE),1,0)</f>
        <v>0</v>
      </c>
      <c r="CE8">
        <f>IF(VLOOKUP(CE$1,main!$A$3:$H$102,5,FALSE)-VLOOKUP($A8,main!$A$3:$H$102,6,FALSE)&gt;=main!$D$103+VLOOKUP(VLOOKUP(CE$1,main!$A$3:$I$102,7,FALSE),main!$K$26:$Q$29,3,FALSE),1,0)</f>
        <v>0</v>
      </c>
      <c r="CF8">
        <f>IF(VLOOKUP(CF$1,main!$A$3:$H$102,5,FALSE)-VLOOKUP($A8,main!$A$3:$H$102,6,FALSE)&gt;=main!$D$103+VLOOKUP(VLOOKUP(CF$1,main!$A$3:$I$102,7,FALSE),main!$K$26:$Q$29,3,FALSE),1,0)</f>
        <v>0</v>
      </c>
      <c r="CG8">
        <f>IF(VLOOKUP(CG$1,main!$A$3:$H$102,5,FALSE)-VLOOKUP($A8,main!$A$3:$H$102,6,FALSE)&gt;=main!$D$103+VLOOKUP(VLOOKUP(CG$1,main!$A$3:$I$102,7,FALSE),main!$K$26:$Q$29,3,FALSE),1,0)</f>
        <v>0</v>
      </c>
      <c r="CH8">
        <f>IF(VLOOKUP(CH$1,main!$A$3:$H$102,5,FALSE)-VLOOKUP($A8,main!$A$3:$H$102,6,FALSE)&gt;=main!$D$103+VLOOKUP(VLOOKUP(CH$1,main!$A$3:$I$102,7,FALSE),main!$K$26:$Q$29,3,FALSE),1,0)</f>
        <v>0</v>
      </c>
      <c r="CI8">
        <f>IF(VLOOKUP(CI$1,main!$A$3:$H$102,5,FALSE)-VLOOKUP($A8,main!$A$3:$H$102,6,FALSE)&gt;=main!$D$103+VLOOKUP(VLOOKUP(CI$1,main!$A$3:$I$102,7,FALSE),main!$K$26:$Q$29,3,FALSE),1,0)</f>
        <v>1</v>
      </c>
      <c r="CJ8">
        <f>IF(VLOOKUP(CJ$1,main!$A$3:$H$102,5,FALSE)-VLOOKUP($A8,main!$A$3:$H$102,6,FALSE)&gt;=main!$D$103+VLOOKUP(VLOOKUP(CJ$1,main!$A$3:$I$102,7,FALSE),main!$K$26:$Q$29,3,FALSE),1,0)</f>
        <v>0</v>
      </c>
      <c r="CK8">
        <f>IF(VLOOKUP(CK$1,main!$A$3:$H$102,5,FALSE)-VLOOKUP($A8,main!$A$3:$H$102,6,FALSE)&gt;=main!$D$103+VLOOKUP(VLOOKUP(CK$1,main!$A$3:$I$102,7,FALSE),main!$K$26:$Q$29,3,FALSE),1,0)</f>
        <v>0</v>
      </c>
      <c r="CL8">
        <f>IF(VLOOKUP(CL$1,main!$A$3:$H$102,5,FALSE)-VLOOKUP($A8,main!$A$3:$H$102,6,FALSE)&gt;=main!$D$103+VLOOKUP(VLOOKUP(CL$1,main!$A$3:$I$102,7,FALSE),main!$K$26:$Q$29,3,FALSE),1,0)</f>
        <v>0</v>
      </c>
      <c r="CM8">
        <f>IF(VLOOKUP(CM$1,main!$A$3:$H$102,5,FALSE)-VLOOKUP($A8,main!$A$3:$H$102,6,FALSE)&gt;=main!$D$103+VLOOKUP(VLOOKUP(CM$1,main!$A$3:$I$102,7,FALSE),main!$K$26:$Q$29,3,FALSE),1,0)</f>
        <v>0</v>
      </c>
      <c r="CN8">
        <f>IF(VLOOKUP(CN$1,main!$A$3:$H$102,5,FALSE)-VLOOKUP($A8,main!$A$3:$H$102,6,FALSE)&gt;=main!$D$103+VLOOKUP(VLOOKUP(CN$1,main!$A$3:$I$102,7,FALSE),main!$K$26:$Q$29,3,FALSE),1,0)</f>
        <v>1</v>
      </c>
      <c r="CO8">
        <f>IF(VLOOKUP(CO$1,main!$A$3:$H$102,5,FALSE)-VLOOKUP($A8,main!$A$3:$H$102,6,FALSE)&gt;=main!$D$103+VLOOKUP(VLOOKUP(CO$1,main!$A$3:$I$102,7,FALSE),main!$K$26:$Q$29,3,FALSE),1,0)</f>
        <v>0</v>
      </c>
      <c r="CP8">
        <f>IF(VLOOKUP(CP$1,main!$A$3:$H$102,5,FALSE)-VLOOKUP($A8,main!$A$3:$H$102,6,FALSE)&gt;=main!$D$103+VLOOKUP(VLOOKUP(CP$1,main!$A$3:$I$102,7,FALSE),main!$K$26:$Q$29,3,FALSE),1,0)</f>
        <v>0</v>
      </c>
      <c r="CQ8">
        <f>IF(VLOOKUP(CQ$1,main!$A$3:$H$102,5,FALSE)-VLOOKUP($A8,main!$A$3:$H$102,6,FALSE)&gt;=main!$D$103+VLOOKUP(VLOOKUP(CQ$1,main!$A$3:$I$102,7,FALSE),main!$K$26:$Q$29,3,FALSE),1,0)</f>
        <v>0</v>
      </c>
      <c r="CR8">
        <f>IF(VLOOKUP(CR$1,main!$A$3:$H$102,5,FALSE)-VLOOKUP($A8,main!$A$3:$H$102,6,FALSE)&gt;=main!$D$103+VLOOKUP(VLOOKUP(CR$1,main!$A$3:$I$102,7,FALSE),main!$K$26:$Q$29,3,FALSE),1,0)</f>
        <v>0</v>
      </c>
      <c r="CS8">
        <f>IF(VLOOKUP(CS$1,main!$A$3:$H$102,5,FALSE)-VLOOKUP($A8,main!$A$3:$H$102,6,FALSE)&gt;=main!$D$103+VLOOKUP(VLOOKUP(CS$1,main!$A$3:$I$102,7,FALSE),main!$K$26:$Q$29,3,FALSE),1,0)</f>
        <v>0</v>
      </c>
      <c r="CT8">
        <f>IF(VLOOKUP(CT$1,main!$A$3:$H$102,5,FALSE)-VLOOKUP($A8,main!$A$3:$H$102,6,FALSE)&gt;=main!$D$103+VLOOKUP(VLOOKUP(CT$1,main!$A$3:$I$102,7,FALSE),main!$K$26:$Q$29,3,FALSE),1,0)</f>
        <v>0</v>
      </c>
      <c r="CU8">
        <f>IF(VLOOKUP(CU$1,main!$A$3:$H$102,5,FALSE)-VLOOKUP($A8,main!$A$3:$H$102,6,FALSE)&gt;=main!$D$103+VLOOKUP(VLOOKUP(CU$1,main!$A$3:$I$102,7,FALSE),main!$K$26:$Q$29,3,FALSE),1,0)</f>
        <v>0</v>
      </c>
      <c r="CV8">
        <f>IF(VLOOKUP(CV$1,main!$A$3:$H$102,5,FALSE)-VLOOKUP($A8,main!$A$3:$H$102,6,FALSE)&gt;=main!$D$103+VLOOKUP(VLOOKUP(CV$1,main!$A$3:$I$102,7,FALSE),main!$K$26:$Q$29,3,FALSE),1,0)</f>
        <v>0</v>
      </c>
      <c r="CW8">
        <f>IF(VLOOKUP(CW$1,main!$A$3:$H$102,5,FALSE)-VLOOKUP($A8,main!$A$3:$H$102,6,FALSE)&gt;=main!$D$103+VLOOKUP(VLOOKUP(CW$1,main!$A$3:$I$102,7,FALSE),main!$K$26:$Q$29,3,FALSE),1,0)</f>
        <v>0</v>
      </c>
      <c r="CX8">
        <f>IF(VLOOKUP(CX$1,main!$A$3:$H$102,5,FALSE)-VLOOKUP($A8,main!$A$3:$H$102,6,FALSE)&gt;=main!$D$103+VLOOKUP(VLOOKUP(CX$1,main!$A$3:$I$102,7,FALSE),main!$K$26:$Q$29,3,FALSE),1,0)</f>
        <v>0</v>
      </c>
    </row>
    <row r="9" spans="1:104" x14ac:dyDescent="0.25">
      <c r="A9" s="1">
        <v>7</v>
      </c>
      <c r="B9">
        <v>0</v>
      </c>
      <c r="C9">
        <f>IF(VLOOKUP(C$1,main!$A$3:$H$102,5,FALSE)-VLOOKUP($A9,main!$A$3:$H$102,6,FALSE)&gt;=main!$D$103+VLOOKUP(VLOOKUP(C$1,main!$A$3:$I$102,7,FALSE),main!$K$26:$Q$29,3,FALSE),1,0)</f>
        <v>0</v>
      </c>
      <c r="D9">
        <f>IF(VLOOKUP(D$1,main!$A$3:$H$102,5,FALSE)-VLOOKUP($A9,main!$A$3:$H$102,6,FALSE)&gt;=main!$D$103+VLOOKUP(VLOOKUP(D$1,main!$A$3:$I$102,7,FALSE),main!$K$26:$Q$29,3,FALSE),1,0)</f>
        <v>0</v>
      </c>
      <c r="E9">
        <f>IF(VLOOKUP(E$1,main!$A$3:$H$102,5,FALSE)-VLOOKUP($A9,main!$A$3:$H$102,6,FALSE)&gt;=main!$D$103+VLOOKUP(VLOOKUP(E$1,main!$A$3:$I$102,7,FALSE),main!$K$26:$Q$29,3,FALSE),1,0)</f>
        <v>0</v>
      </c>
      <c r="F9">
        <f>IF(VLOOKUP(F$1,main!$A$3:$H$102,5,FALSE)-VLOOKUP($A9,main!$A$3:$H$102,6,FALSE)&gt;=main!$D$103+VLOOKUP(VLOOKUP(F$1,main!$A$3:$I$102,7,FALSE),main!$K$26:$Q$29,3,FALSE),1,0)</f>
        <v>0</v>
      </c>
      <c r="G9">
        <f>IF(VLOOKUP(G$1,main!$A$3:$H$102,5,FALSE)-VLOOKUP($A9,main!$A$3:$H$102,6,FALSE)&gt;=main!$D$103+VLOOKUP(VLOOKUP(G$1,main!$A$3:$I$102,7,FALSE),main!$K$26:$Q$29,3,FALSE),1,0)</f>
        <v>0</v>
      </c>
      <c r="H9">
        <f>IF(VLOOKUP(H$1,main!$A$3:$H$102,5,FALSE)-VLOOKUP($A9,main!$A$3:$H$102,6,FALSE)&gt;=main!$D$103+VLOOKUP(VLOOKUP(H$1,main!$A$3:$I$102,7,FALSE),main!$K$26:$Q$29,3,FALSE),1,0)</f>
        <v>0</v>
      </c>
      <c r="I9">
        <f>IF(VLOOKUP(I$1,main!$A$3:$H$102,5,FALSE)-VLOOKUP($A9,main!$A$3:$H$102,6,FALSE)&gt;=main!$D$103+VLOOKUP(VLOOKUP(I$1,main!$A$3:$I$102,7,FALSE),main!$K$26:$Q$29,3,FALSE),1,0)</f>
        <v>0</v>
      </c>
      <c r="J9">
        <f>IF(VLOOKUP(J$1,main!$A$3:$H$102,5,FALSE)-VLOOKUP($A9,main!$A$3:$H$102,6,FALSE)&gt;=main!$D$103+VLOOKUP(VLOOKUP(J$1,main!$A$3:$I$102,7,FALSE),main!$K$26:$Q$29,3,FALSE),1,0)</f>
        <v>0</v>
      </c>
      <c r="K9">
        <f>IF(VLOOKUP(K$1,main!$A$3:$H$102,5,FALSE)-VLOOKUP($A9,main!$A$3:$H$102,6,FALSE)&gt;=main!$D$103+VLOOKUP(VLOOKUP(K$1,main!$A$3:$I$102,7,FALSE),main!$K$26:$Q$29,3,FALSE),1,0)</f>
        <v>0</v>
      </c>
      <c r="L9">
        <f>IF(VLOOKUP(L$1,main!$A$3:$H$102,5,FALSE)-VLOOKUP($A9,main!$A$3:$H$102,6,FALSE)&gt;=main!$D$103+VLOOKUP(VLOOKUP(L$1,main!$A$3:$I$102,7,FALSE),main!$K$26:$Q$29,3,FALSE),1,0)</f>
        <v>0</v>
      </c>
      <c r="M9">
        <f>IF(VLOOKUP(M$1,main!$A$3:$H$102,5,FALSE)-VLOOKUP($A9,main!$A$3:$H$102,6,FALSE)&gt;=main!$D$103+VLOOKUP(VLOOKUP(M$1,main!$A$3:$I$102,7,FALSE),main!$K$26:$Q$29,3,FALSE),1,0)</f>
        <v>0</v>
      </c>
      <c r="N9">
        <f>IF(VLOOKUP(N$1,main!$A$3:$H$102,5,FALSE)-VLOOKUP($A9,main!$A$3:$H$102,6,FALSE)&gt;=main!$D$103+VLOOKUP(VLOOKUP(N$1,main!$A$3:$I$102,7,FALSE),main!$K$26:$Q$29,3,FALSE),1,0)</f>
        <v>0</v>
      </c>
      <c r="O9">
        <f>IF(VLOOKUP(O$1,main!$A$3:$H$102,5,FALSE)-VLOOKUP($A9,main!$A$3:$H$102,6,FALSE)&gt;=main!$D$103+VLOOKUP(VLOOKUP(O$1,main!$A$3:$I$102,7,FALSE),main!$K$26:$Q$29,3,FALSE),1,0)</f>
        <v>0</v>
      </c>
      <c r="P9">
        <f>IF(VLOOKUP(P$1,main!$A$3:$H$102,5,FALSE)-VLOOKUP($A9,main!$A$3:$H$102,6,FALSE)&gt;=main!$D$103+VLOOKUP(VLOOKUP(P$1,main!$A$3:$I$102,7,FALSE),main!$K$26:$Q$29,3,FALSE),1,0)</f>
        <v>0</v>
      </c>
      <c r="Q9">
        <f>IF(VLOOKUP(Q$1,main!$A$3:$H$102,5,FALSE)-VLOOKUP($A9,main!$A$3:$H$102,6,FALSE)&gt;=main!$D$103+VLOOKUP(VLOOKUP(Q$1,main!$A$3:$I$102,7,FALSE),main!$K$26:$Q$29,3,FALSE),1,0)</f>
        <v>0</v>
      </c>
      <c r="R9">
        <f>IF(VLOOKUP(R$1,main!$A$3:$H$102,5,FALSE)-VLOOKUP($A9,main!$A$3:$H$102,6,FALSE)&gt;=main!$D$103+VLOOKUP(VLOOKUP(R$1,main!$A$3:$I$102,7,FALSE),main!$K$26:$Q$29,3,FALSE),1,0)</f>
        <v>0</v>
      </c>
      <c r="S9">
        <f>IF(VLOOKUP(S$1,main!$A$3:$H$102,5,FALSE)-VLOOKUP($A9,main!$A$3:$H$102,6,FALSE)&gt;=main!$D$103+VLOOKUP(VLOOKUP(S$1,main!$A$3:$I$102,7,FALSE),main!$K$26:$Q$29,3,FALSE),1,0)</f>
        <v>0</v>
      </c>
      <c r="T9">
        <f>IF(VLOOKUP(T$1,main!$A$3:$H$102,5,FALSE)-VLOOKUP($A9,main!$A$3:$H$102,6,FALSE)&gt;=main!$D$103+VLOOKUP(VLOOKUP(T$1,main!$A$3:$I$102,7,FALSE),main!$K$26:$Q$29,3,FALSE),1,0)</f>
        <v>0</v>
      </c>
      <c r="U9">
        <f>IF(VLOOKUP(U$1,main!$A$3:$H$102,5,FALSE)-VLOOKUP($A9,main!$A$3:$H$102,6,FALSE)&gt;=main!$D$103+VLOOKUP(VLOOKUP(U$1,main!$A$3:$I$102,7,FALSE),main!$K$26:$Q$29,3,FALSE),1,0)</f>
        <v>0</v>
      </c>
      <c r="V9">
        <f>IF(VLOOKUP(V$1,main!$A$3:$H$102,5,FALSE)-VLOOKUP($A9,main!$A$3:$H$102,6,FALSE)&gt;=main!$D$103+VLOOKUP(VLOOKUP(V$1,main!$A$3:$I$102,7,FALSE),main!$K$26:$Q$29,3,FALSE),1,0)</f>
        <v>1</v>
      </c>
      <c r="W9">
        <f>IF(VLOOKUP(W$1,main!$A$3:$H$102,5,FALSE)-VLOOKUP($A9,main!$A$3:$H$102,6,FALSE)&gt;=main!$D$103+VLOOKUP(VLOOKUP(W$1,main!$A$3:$I$102,7,FALSE),main!$K$26:$Q$29,3,FALSE),1,0)</f>
        <v>0</v>
      </c>
      <c r="X9">
        <f>IF(VLOOKUP(X$1,main!$A$3:$H$102,5,FALSE)-VLOOKUP($A9,main!$A$3:$H$102,6,FALSE)&gt;=main!$D$103+VLOOKUP(VLOOKUP(X$1,main!$A$3:$I$102,7,FALSE),main!$K$26:$Q$29,3,FALSE),1,0)</f>
        <v>0</v>
      </c>
      <c r="Y9">
        <f>IF(VLOOKUP(Y$1,main!$A$3:$H$102,5,FALSE)-VLOOKUP($A9,main!$A$3:$H$102,6,FALSE)&gt;=main!$D$103+VLOOKUP(VLOOKUP(Y$1,main!$A$3:$I$102,7,FALSE),main!$K$26:$Q$29,3,FALSE),1,0)</f>
        <v>0</v>
      </c>
      <c r="Z9">
        <f>IF(VLOOKUP(Z$1,main!$A$3:$H$102,5,FALSE)-VLOOKUP($A9,main!$A$3:$H$102,6,FALSE)&gt;=main!$D$103+VLOOKUP(VLOOKUP(Z$1,main!$A$3:$I$102,7,FALSE),main!$K$26:$Q$29,3,FALSE),1,0)</f>
        <v>0</v>
      </c>
      <c r="AA9">
        <f>IF(VLOOKUP(AA$1,main!$A$3:$H$102,5,FALSE)-VLOOKUP($A9,main!$A$3:$H$102,6,FALSE)&gt;=main!$D$103+VLOOKUP(VLOOKUP(AA$1,main!$A$3:$I$102,7,FALSE),main!$K$26:$Q$29,3,FALSE),1,0)</f>
        <v>0</v>
      </c>
      <c r="AB9">
        <f>IF(VLOOKUP(AB$1,main!$A$3:$H$102,5,FALSE)-VLOOKUP($A9,main!$A$3:$H$102,6,FALSE)&gt;=main!$D$103+VLOOKUP(VLOOKUP(AB$1,main!$A$3:$I$102,7,FALSE),main!$K$26:$Q$29,3,FALSE),1,0)</f>
        <v>0</v>
      </c>
      <c r="AC9">
        <f>IF(VLOOKUP(AC$1,main!$A$3:$H$102,5,FALSE)-VLOOKUP($A9,main!$A$3:$H$102,6,FALSE)&gt;=main!$D$103+VLOOKUP(VLOOKUP(AC$1,main!$A$3:$I$102,7,FALSE),main!$K$26:$Q$29,3,FALSE),1,0)</f>
        <v>0</v>
      </c>
      <c r="AD9">
        <f>IF(VLOOKUP(AD$1,main!$A$3:$H$102,5,FALSE)-VLOOKUP($A9,main!$A$3:$H$102,6,FALSE)&gt;=main!$D$103+VLOOKUP(VLOOKUP(AD$1,main!$A$3:$I$102,7,FALSE),main!$K$26:$Q$29,3,FALSE),1,0)</f>
        <v>0</v>
      </c>
      <c r="AE9">
        <f>IF(VLOOKUP(AE$1,main!$A$3:$H$102,5,FALSE)-VLOOKUP($A9,main!$A$3:$H$102,6,FALSE)&gt;=main!$D$103+VLOOKUP(VLOOKUP(AE$1,main!$A$3:$I$102,7,FALSE),main!$K$26:$Q$29,3,FALSE),1,0)</f>
        <v>0</v>
      </c>
      <c r="AF9">
        <f>IF(VLOOKUP(AF$1,main!$A$3:$H$102,5,FALSE)-VLOOKUP($A9,main!$A$3:$H$102,6,FALSE)&gt;=main!$D$103+VLOOKUP(VLOOKUP(AF$1,main!$A$3:$I$102,7,FALSE),main!$K$26:$Q$29,3,FALSE),1,0)</f>
        <v>0</v>
      </c>
      <c r="AG9">
        <f>IF(VLOOKUP(AG$1,main!$A$3:$H$102,5,FALSE)-VLOOKUP($A9,main!$A$3:$H$102,6,FALSE)&gt;=main!$D$103+VLOOKUP(VLOOKUP(AG$1,main!$A$3:$I$102,7,FALSE),main!$K$26:$Q$29,3,FALSE),1,0)</f>
        <v>0</v>
      </c>
      <c r="AH9">
        <f>IF(VLOOKUP(AH$1,main!$A$3:$H$102,5,FALSE)-VLOOKUP($A9,main!$A$3:$H$102,6,FALSE)&gt;=main!$D$103+VLOOKUP(VLOOKUP(AH$1,main!$A$3:$I$102,7,FALSE),main!$K$26:$Q$29,3,FALSE),1,0)</f>
        <v>0</v>
      </c>
      <c r="AI9">
        <f>IF(VLOOKUP(AI$1,main!$A$3:$H$102,5,FALSE)-VLOOKUP($A9,main!$A$3:$H$102,6,FALSE)&gt;=main!$D$103+VLOOKUP(VLOOKUP(AI$1,main!$A$3:$I$102,7,FALSE),main!$K$26:$Q$29,3,FALSE),1,0)</f>
        <v>0</v>
      </c>
      <c r="AJ9">
        <f>IF(VLOOKUP(AJ$1,main!$A$3:$H$102,5,FALSE)-VLOOKUP($A9,main!$A$3:$H$102,6,FALSE)&gt;=main!$D$103+VLOOKUP(VLOOKUP(AJ$1,main!$A$3:$I$102,7,FALSE),main!$K$26:$Q$29,3,FALSE),1,0)</f>
        <v>0</v>
      </c>
      <c r="AK9">
        <f>IF(VLOOKUP(AK$1,main!$A$3:$H$102,5,FALSE)-VLOOKUP($A9,main!$A$3:$H$102,6,FALSE)&gt;=main!$D$103+VLOOKUP(VLOOKUP(AK$1,main!$A$3:$I$102,7,FALSE),main!$K$26:$Q$29,3,FALSE),1,0)</f>
        <v>0</v>
      </c>
      <c r="AL9">
        <f>IF(VLOOKUP(AL$1,main!$A$3:$H$102,5,FALSE)-VLOOKUP($A9,main!$A$3:$H$102,6,FALSE)&gt;=main!$D$103+VLOOKUP(VLOOKUP(AL$1,main!$A$3:$I$102,7,FALSE),main!$K$26:$Q$29,3,FALSE),1,0)</f>
        <v>0</v>
      </c>
      <c r="AM9">
        <f>IF(VLOOKUP(AM$1,main!$A$3:$H$102,5,FALSE)-VLOOKUP($A9,main!$A$3:$H$102,6,FALSE)&gt;=main!$D$103+VLOOKUP(VLOOKUP(AM$1,main!$A$3:$I$102,7,FALSE),main!$K$26:$Q$29,3,FALSE),1,0)</f>
        <v>0</v>
      </c>
      <c r="AN9">
        <f>IF(VLOOKUP(AN$1,main!$A$3:$H$102,5,FALSE)-VLOOKUP($A9,main!$A$3:$H$102,6,FALSE)&gt;=main!$D$103+VLOOKUP(VLOOKUP(AN$1,main!$A$3:$I$102,7,FALSE),main!$K$26:$Q$29,3,FALSE),1,0)</f>
        <v>0</v>
      </c>
      <c r="AO9">
        <f>IF(VLOOKUP(AO$1,main!$A$3:$H$102,5,FALSE)-VLOOKUP($A9,main!$A$3:$H$102,6,FALSE)&gt;=main!$D$103+VLOOKUP(VLOOKUP(AO$1,main!$A$3:$I$102,7,FALSE),main!$K$26:$Q$29,3,FALSE),1,0)</f>
        <v>0</v>
      </c>
      <c r="AP9">
        <f>IF(VLOOKUP(AP$1,main!$A$3:$H$102,5,FALSE)-VLOOKUP($A9,main!$A$3:$H$102,6,FALSE)&gt;=main!$D$103+VLOOKUP(VLOOKUP(AP$1,main!$A$3:$I$102,7,FALSE),main!$K$26:$Q$29,3,FALSE),1,0)</f>
        <v>1</v>
      </c>
      <c r="AQ9">
        <f>IF(VLOOKUP(AQ$1,main!$A$3:$H$102,5,FALSE)-VLOOKUP($A9,main!$A$3:$H$102,6,FALSE)&gt;=main!$D$103+VLOOKUP(VLOOKUP(AQ$1,main!$A$3:$I$102,7,FALSE),main!$K$26:$Q$29,3,FALSE),1,0)</f>
        <v>0</v>
      </c>
      <c r="AR9">
        <f>IF(VLOOKUP(AR$1,main!$A$3:$H$102,5,FALSE)-VLOOKUP($A9,main!$A$3:$H$102,6,FALSE)&gt;=main!$D$103+VLOOKUP(VLOOKUP(AR$1,main!$A$3:$I$102,7,FALSE),main!$K$26:$Q$29,3,FALSE),1,0)</f>
        <v>0</v>
      </c>
      <c r="AS9">
        <f>IF(VLOOKUP(AS$1,main!$A$3:$H$102,5,FALSE)-VLOOKUP($A9,main!$A$3:$H$102,6,FALSE)&gt;=main!$D$103+VLOOKUP(VLOOKUP(AS$1,main!$A$3:$I$102,7,FALSE),main!$K$26:$Q$29,3,FALSE),1,0)</f>
        <v>0</v>
      </c>
      <c r="AT9">
        <f>IF(VLOOKUP(AT$1,main!$A$3:$H$102,5,FALSE)-VLOOKUP($A9,main!$A$3:$H$102,6,FALSE)&gt;=main!$D$103+VLOOKUP(VLOOKUP(AT$1,main!$A$3:$I$102,7,FALSE),main!$K$26:$Q$29,3,FALSE),1,0)</f>
        <v>0</v>
      </c>
      <c r="AU9">
        <f>IF(VLOOKUP(AU$1,main!$A$3:$H$102,5,FALSE)-VLOOKUP($A9,main!$A$3:$H$102,6,FALSE)&gt;=main!$D$103+VLOOKUP(VLOOKUP(AU$1,main!$A$3:$I$102,7,FALSE),main!$K$26:$Q$29,3,FALSE),1,0)</f>
        <v>0</v>
      </c>
      <c r="AV9">
        <f>IF(VLOOKUP(AV$1,main!$A$3:$H$102,5,FALSE)-VLOOKUP($A9,main!$A$3:$H$102,6,FALSE)&gt;=main!$D$103+VLOOKUP(VLOOKUP(AV$1,main!$A$3:$I$102,7,FALSE),main!$K$26:$Q$29,3,FALSE),1,0)</f>
        <v>0</v>
      </c>
      <c r="AW9">
        <f>IF(VLOOKUP(AW$1,main!$A$3:$H$102,5,FALSE)-VLOOKUP($A9,main!$A$3:$H$102,6,FALSE)&gt;=main!$D$103+VLOOKUP(VLOOKUP(AW$1,main!$A$3:$I$102,7,FALSE),main!$K$26:$Q$29,3,FALSE),1,0)</f>
        <v>0</v>
      </c>
      <c r="AX9">
        <f>IF(VLOOKUP(AX$1,main!$A$3:$H$102,5,FALSE)-VLOOKUP($A9,main!$A$3:$H$102,6,FALSE)&gt;=main!$D$103+VLOOKUP(VLOOKUP(AX$1,main!$A$3:$I$102,7,FALSE),main!$K$26:$Q$29,3,FALSE),1,0)</f>
        <v>0</v>
      </c>
      <c r="AY9">
        <f>IF(VLOOKUP(AY$1,main!$A$3:$H$102,5,FALSE)-VLOOKUP($A9,main!$A$3:$H$102,6,FALSE)&gt;=main!$D$103+VLOOKUP(VLOOKUP(AY$1,main!$A$3:$I$102,7,FALSE),main!$K$26:$Q$29,3,FALSE),1,0)</f>
        <v>0</v>
      </c>
      <c r="AZ9">
        <f>IF(VLOOKUP(AZ$1,main!$A$3:$H$102,5,FALSE)-VLOOKUP($A9,main!$A$3:$H$102,6,FALSE)&gt;=main!$D$103+VLOOKUP(VLOOKUP(AZ$1,main!$A$3:$I$102,7,FALSE),main!$K$26:$Q$29,3,FALSE),1,0)</f>
        <v>0</v>
      </c>
      <c r="BA9">
        <f>IF(VLOOKUP(BA$1,main!$A$3:$H$102,5,FALSE)-VLOOKUP($A9,main!$A$3:$H$102,6,FALSE)&gt;=main!$D$103+VLOOKUP(VLOOKUP(BA$1,main!$A$3:$I$102,7,FALSE),main!$K$26:$Q$29,3,FALSE),1,0)</f>
        <v>0</v>
      </c>
      <c r="BB9">
        <f>IF(VLOOKUP(BB$1,main!$A$3:$H$102,5,FALSE)-VLOOKUP($A9,main!$A$3:$H$102,6,FALSE)&gt;=main!$D$103+VLOOKUP(VLOOKUP(BB$1,main!$A$3:$I$102,7,FALSE),main!$K$26:$Q$29,3,FALSE),1,0)</f>
        <v>0</v>
      </c>
      <c r="BC9">
        <f>IF(VLOOKUP(BC$1,main!$A$3:$H$102,5,FALSE)-VLOOKUP($A9,main!$A$3:$H$102,6,FALSE)&gt;=main!$D$103+VLOOKUP(VLOOKUP(BC$1,main!$A$3:$I$102,7,FALSE),main!$K$26:$Q$29,3,FALSE),1,0)</f>
        <v>0</v>
      </c>
      <c r="BD9">
        <f>IF(VLOOKUP(BD$1,main!$A$3:$H$102,5,FALSE)-VLOOKUP($A9,main!$A$3:$H$102,6,FALSE)&gt;=main!$D$103+VLOOKUP(VLOOKUP(BD$1,main!$A$3:$I$102,7,FALSE),main!$K$26:$Q$29,3,FALSE),1,0)</f>
        <v>0</v>
      </c>
      <c r="BE9">
        <f>IF(VLOOKUP(BE$1,main!$A$3:$H$102,5,FALSE)-VLOOKUP($A9,main!$A$3:$H$102,6,FALSE)&gt;=main!$D$103+VLOOKUP(VLOOKUP(BE$1,main!$A$3:$I$102,7,FALSE),main!$K$26:$Q$29,3,FALSE),1,0)</f>
        <v>0</v>
      </c>
      <c r="BF9">
        <f>IF(VLOOKUP(BF$1,main!$A$3:$H$102,5,FALSE)-VLOOKUP($A9,main!$A$3:$H$102,6,FALSE)&gt;=main!$D$103+VLOOKUP(VLOOKUP(BF$1,main!$A$3:$I$102,7,FALSE),main!$K$26:$Q$29,3,FALSE),1,0)</f>
        <v>0</v>
      </c>
      <c r="BG9">
        <f>IF(VLOOKUP(BG$1,main!$A$3:$H$102,5,FALSE)-VLOOKUP($A9,main!$A$3:$H$102,6,FALSE)&gt;=main!$D$103+VLOOKUP(VLOOKUP(BG$1,main!$A$3:$I$102,7,FALSE),main!$K$26:$Q$29,3,FALSE),1,0)</f>
        <v>0</v>
      </c>
      <c r="BH9">
        <f>IF(VLOOKUP(BH$1,main!$A$3:$H$102,5,FALSE)-VLOOKUP($A9,main!$A$3:$H$102,6,FALSE)&gt;=main!$D$103+VLOOKUP(VLOOKUP(BH$1,main!$A$3:$I$102,7,FALSE),main!$K$26:$Q$29,3,FALSE),1,0)</f>
        <v>0</v>
      </c>
      <c r="BI9">
        <f>IF(VLOOKUP(BI$1,main!$A$3:$H$102,5,FALSE)-VLOOKUP($A9,main!$A$3:$H$102,6,FALSE)&gt;=main!$D$103+VLOOKUP(VLOOKUP(BI$1,main!$A$3:$I$102,7,FALSE),main!$K$26:$Q$29,3,FALSE),1,0)</f>
        <v>1</v>
      </c>
      <c r="BJ9">
        <f>IF(VLOOKUP(BJ$1,main!$A$3:$H$102,5,FALSE)-VLOOKUP($A9,main!$A$3:$H$102,6,FALSE)&gt;=main!$D$103+VLOOKUP(VLOOKUP(BJ$1,main!$A$3:$I$102,7,FALSE),main!$K$26:$Q$29,3,FALSE),1,0)</f>
        <v>0</v>
      </c>
      <c r="BK9">
        <f>IF(VLOOKUP(BK$1,main!$A$3:$H$102,5,FALSE)-VLOOKUP($A9,main!$A$3:$H$102,6,FALSE)&gt;=main!$D$103+VLOOKUP(VLOOKUP(BK$1,main!$A$3:$I$102,7,FALSE),main!$K$26:$Q$29,3,FALSE),1,0)</f>
        <v>0</v>
      </c>
      <c r="BL9">
        <f>IF(VLOOKUP(BL$1,main!$A$3:$H$102,5,FALSE)-VLOOKUP($A9,main!$A$3:$H$102,6,FALSE)&gt;=main!$D$103+VLOOKUP(VLOOKUP(BL$1,main!$A$3:$I$102,7,FALSE),main!$K$26:$Q$29,3,FALSE),1,0)</f>
        <v>0</v>
      </c>
      <c r="BM9">
        <f>IF(VLOOKUP(BM$1,main!$A$3:$H$102,5,FALSE)-VLOOKUP($A9,main!$A$3:$H$102,6,FALSE)&gt;=main!$D$103+VLOOKUP(VLOOKUP(BM$1,main!$A$3:$I$102,7,FALSE),main!$K$26:$Q$29,3,FALSE),1,0)</f>
        <v>0</v>
      </c>
      <c r="BN9">
        <f>IF(VLOOKUP(BN$1,main!$A$3:$H$102,5,FALSE)-VLOOKUP($A9,main!$A$3:$H$102,6,FALSE)&gt;=main!$D$103+VLOOKUP(VLOOKUP(BN$1,main!$A$3:$I$102,7,FALSE),main!$K$26:$Q$29,3,FALSE),1,0)</f>
        <v>0</v>
      </c>
      <c r="BO9">
        <f>IF(VLOOKUP(BO$1,main!$A$3:$H$102,5,FALSE)-VLOOKUP($A9,main!$A$3:$H$102,6,FALSE)&gt;=main!$D$103+VLOOKUP(VLOOKUP(BO$1,main!$A$3:$I$102,7,FALSE),main!$K$26:$Q$29,3,FALSE),1,0)</f>
        <v>0</v>
      </c>
      <c r="BP9">
        <f>IF(VLOOKUP(BP$1,main!$A$3:$H$102,5,FALSE)-VLOOKUP($A9,main!$A$3:$H$102,6,FALSE)&gt;=main!$D$103+VLOOKUP(VLOOKUP(BP$1,main!$A$3:$I$102,7,FALSE),main!$K$26:$Q$29,3,FALSE),1,0)</f>
        <v>0</v>
      </c>
      <c r="BQ9">
        <f>IF(VLOOKUP(BQ$1,main!$A$3:$H$102,5,FALSE)-VLOOKUP($A9,main!$A$3:$H$102,6,FALSE)&gt;=main!$D$103+VLOOKUP(VLOOKUP(BQ$1,main!$A$3:$I$102,7,FALSE),main!$K$26:$Q$29,3,FALSE),1,0)</f>
        <v>0</v>
      </c>
      <c r="BR9">
        <f>IF(VLOOKUP(BR$1,main!$A$3:$H$102,5,FALSE)-VLOOKUP($A9,main!$A$3:$H$102,6,FALSE)&gt;=main!$D$103+VLOOKUP(VLOOKUP(BR$1,main!$A$3:$I$102,7,FALSE),main!$K$26:$Q$29,3,FALSE),1,0)</f>
        <v>0</v>
      </c>
      <c r="BS9">
        <f>IF(VLOOKUP(BS$1,main!$A$3:$H$102,5,FALSE)-VLOOKUP($A9,main!$A$3:$H$102,6,FALSE)&gt;=main!$D$103+VLOOKUP(VLOOKUP(BS$1,main!$A$3:$I$102,7,FALSE),main!$K$26:$Q$29,3,FALSE),1,0)</f>
        <v>0</v>
      </c>
      <c r="BT9">
        <f>IF(VLOOKUP(BT$1,main!$A$3:$H$102,5,FALSE)-VLOOKUP($A9,main!$A$3:$H$102,6,FALSE)&gt;=main!$D$103+VLOOKUP(VLOOKUP(BT$1,main!$A$3:$I$102,7,FALSE),main!$K$26:$Q$29,3,FALSE),1,0)</f>
        <v>0</v>
      </c>
      <c r="BU9">
        <f>IF(VLOOKUP(BU$1,main!$A$3:$H$102,5,FALSE)-VLOOKUP($A9,main!$A$3:$H$102,6,FALSE)&gt;=main!$D$103+VLOOKUP(VLOOKUP(BU$1,main!$A$3:$I$102,7,FALSE),main!$K$26:$Q$29,3,FALSE),1,0)</f>
        <v>0</v>
      </c>
      <c r="BV9">
        <f>IF(VLOOKUP(BV$1,main!$A$3:$H$102,5,FALSE)-VLOOKUP($A9,main!$A$3:$H$102,6,FALSE)&gt;=main!$D$103+VLOOKUP(VLOOKUP(BV$1,main!$A$3:$I$102,7,FALSE),main!$K$26:$Q$29,3,FALSE),1,0)</f>
        <v>0</v>
      </c>
      <c r="BW9">
        <f>IF(VLOOKUP(BW$1,main!$A$3:$H$102,5,FALSE)-VLOOKUP($A9,main!$A$3:$H$102,6,FALSE)&gt;=main!$D$103+VLOOKUP(VLOOKUP(BW$1,main!$A$3:$I$102,7,FALSE),main!$K$26:$Q$29,3,FALSE),1,0)</f>
        <v>0</v>
      </c>
      <c r="BX9">
        <f>IF(VLOOKUP(BX$1,main!$A$3:$H$102,5,FALSE)-VLOOKUP($A9,main!$A$3:$H$102,6,FALSE)&gt;=main!$D$103+VLOOKUP(VLOOKUP(BX$1,main!$A$3:$I$102,7,FALSE),main!$K$26:$Q$29,3,FALSE),1,0)</f>
        <v>0</v>
      </c>
      <c r="BY9">
        <f>IF(VLOOKUP(BY$1,main!$A$3:$H$102,5,FALSE)-VLOOKUP($A9,main!$A$3:$H$102,6,FALSE)&gt;=main!$D$103+VLOOKUP(VLOOKUP(BY$1,main!$A$3:$I$102,7,FALSE),main!$K$26:$Q$29,3,FALSE),1,0)</f>
        <v>0</v>
      </c>
      <c r="BZ9">
        <f>IF(VLOOKUP(BZ$1,main!$A$3:$H$102,5,FALSE)-VLOOKUP($A9,main!$A$3:$H$102,6,FALSE)&gt;=main!$D$103+VLOOKUP(VLOOKUP(BZ$1,main!$A$3:$I$102,7,FALSE),main!$K$26:$Q$29,3,FALSE),1,0)</f>
        <v>0</v>
      </c>
      <c r="CA9">
        <f>IF(VLOOKUP(CA$1,main!$A$3:$H$102,5,FALSE)-VLOOKUP($A9,main!$A$3:$H$102,6,FALSE)&gt;=main!$D$103+VLOOKUP(VLOOKUP(CA$1,main!$A$3:$I$102,7,FALSE),main!$K$26:$Q$29,3,FALSE),1,0)</f>
        <v>0</v>
      </c>
      <c r="CB9">
        <f>IF(VLOOKUP(CB$1,main!$A$3:$H$102,5,FALSE)-VLOOKUP($A9,main!$A$3:$H$102,6,FALSE)&gt;=main!$D$103+VLOOKUP(VLOOKUP(CB$1,main!$A$3:$I$102,7,FALSE),main!$K$26:$Q$29,3,FALSE),1,0)</f>
        <v>0</v>
      </c>
      <c r="CC9">
        <f>IF(VLOOKUP(CC$1,main!$A$3:$H$102,5,FALSE)-VLOOKUP($A9,main!$A$3:$H$102,6,FALSE)&gt;=main!$D$103+VLOOKUP(VLOOKUP(CC$1,main!$A$3:$I$102,7,FALSE),main!$K$26:$Q$29,3,FALSE),1,0)</f>
        <v>0</v>
      </c>
      <c r="CD9">
        <f>IF(VLOOKUP(CD$1,main!$A$3:$H$102,5,FALSE)-VLOOKUP($A9,main!$A$3:$H$102,6,FALSE)&gt;=main!$D$103+VLOOKUP(VLOOKUP(CD$1,main!$A$3:$I$102,7,FALSE),main!$K$26:$Q$29,3,FALSE),1,0)</f>
        <v>0</v>
      </c>
      <c r="CE9">
        <f>IF(VLOOKUP(CE$1,main!$A$3:$H$102,5,FALSE)-VLOOKUP($A9,main!$A$3:$H$102,6,FALSE)&gt;=main!$D$103+VLOOKUP(VLOOKUP(CE$1,main!$A$3:$I$102,7,FALSE),main!$K$26:$Q$29,3,FALSE),1,0)</f>
        <v>0</v>
      </c>
      <c r="CF9">
        <f>IF(VLOOKUP(CF$1,main!$A$3:$H$102,5,FALSE)-VLOOKUP($A9,main!$A$3:$H$102,6,FALSE)&gt;=main!$D$103+VLOOKUP(VLOOKUP(CF$1,main!$A$3:$I$102,7,FALSE),main!$K$26:$Q$29,3,FALSE),1,0)</f>
        <v>0</v>
      </c>
      <c r="CG9">
        <f>IF(VLOOKUP(CG$1,main!$A$3:$H$102,5,FALSE)-VLOOKUP($A9,main!$A$3:$H$102,6,FALSE)&gt;=main!$D$103+VLOOKUP(VLOOKUP(CG$1,main!$A$3:$I$102,7,FALSE),main!$K$26:$Q$29,3,FALSE),1,0)</f>
        <v>0</v>
      </c>
      <c r="CH9">
        <f>IF(VLOOKUP(CH$1,main!$A$3:$H$102,5,FALSE)-VLOOKUP($A9,main!$A$3:$H$102,6,FALSE)&gt;=main!$D$103+VLOOKUP(VLOOKUP(CH$1,main!$A$3:$I$102,7,FALSE),main!$K$26:$Q$29,3,FALSE),1,0)</f>
        <v>0</v>
      </c>
      <c r="CI9">
        <f>IF(VLOOKUP(CI$1,main!$A$3:$H$102,5,FALSE)-VLOOKUP($A9,main!$A$3:$H$102,6,FALSE)&gt;=main!$D$103+VLOOKUP(VLOOKUP(CI$1,main!$A$3:$I$102,7,FALSE),main!$K$26:$Q$29,3,FALSE),1,0)</f>
        <v>1</v>
      </c>
      <c r="CJ9">
        <f>IF(VLOOKUP(CJ$1,main!$A$3:$H$102,5,FALSE)-VLOOKUP($A9,main!$A$3:$H$102,6,FALSE)&gt;=main!$D$103+VLOOKUP(VLOOKUP(CJ$1,main!$A$3:$I$102,7,FALSE),main!$K$26:$Q$29,3,FALSE),1,0)</f>
        <v>0</v>
      </c>
      <c r="CK9">
        <f>IF(VLOOKUP(CK$1,main!$A$3:$H$102,5,FALSE)-VLOOKUP($A9,main!$A$3:$H$102,6,FALSE)&gt;=main!$D$103+VLOOKUP(VLOOKUP(CK$1,main!$A$3:$I$102,7,FALSE),main!$K$26:$Q$29,3,FALSE),1,0)</f>
        <v>0</v>
      </c>
      <c r="CL9">
        <f>IF(VLOOKUP(CL$1,main!$A$3:$H$102,5,FALSE)-VLOOKUP($A9,main!$A$3:$H$102,6,FALSE)&gt;=main!$D$103+VLOOKUP(VLOOKUP(CL$1,main!$A$3:$I$102,7,FALSE),main!$K$26:$Q$29,3,FALSE),1,0)</f>
        <v>0</v>
      </c>
      <c r="CM9">
        <f>IF(VLOOKUP(CM$1,main!$A$3:$H$102,5,FALSE)-VLOOKUP($A9,main!$A$3:$H$102,6,FALSE)&gt;=main!$D$103+VLOOKUP(VLOOKUP(CM$1,main!$A$3:$I$102,7,FALSE),main!$K$26:$Q$29,3,FALSE),1,0)</f>
        <v>0</v>
      </c>
      <c r="CN9">
        <f>IF(VLOOKUP(CN$1,main!$A$3:$H$102,5,FALSE)-VLOOKUP($A9,main!$A$3:$H$102,6,FALSE)&gt;=main!$D$103+VLOOKUP(VLOOKUP(CN$1,main!$A$3:$I$102,7,FALSE),main!$K$26:$Q$29,3,FALSE),1,0)</f>
        <v>1</v>
      </c>
      <c r="CO9">
        <f>IF(VLOOKUP(CO$1,main!$A$3:$H$102,5,FALSE)-VLOOKUP($A9,main!$A$3:$H$102,6,FALSE)&gt;=main!$D$103+VLOOKUP(VLOOKUP(CO$1,main!$A$3:$I$102,7,FALSE),main!$K$26:$Q$29,3,FALSE),1,0)</f>
        <v>0</v>
      </c>
      <c r="CP9">
        <f>IF(VLOOKUP(CP$1,main!$A$3:$H$102,5,FALSE)-VLOOKUP($A9,main!$A$3:$H$102,6,FALSE)&gt;=main!$D$103+VLOOKUP(VLOOKUP(CP$1,main!$A$3:$I$102,7,FALSE),main!$K$26:$Q$29,3,FALSE),1,0)</f>
        <v>0</v>
      </c>
      <c r="CQ9">
        <f>IF(VLOOKUP(CQ$1,main!$A$3:$H$102,5,FALSE)-VLOOKUP($A9,main!$A$3:$H$102,6,FALSE)&gt;=main!$D$103+VLOOKUP(VLOOKUP(CQ$1,main!$A$3:$I$102,7,FALSE),main!$K$26:$Q$29,3,FALSE),1,0)</f>
        <v>0</v>
      </c>
      <c r="CR9">
        <f>IF(VLOOKUP(CR$1,main!$A$3:$H$102,5,FALSE)-VLOOKUP($A9,main!$A$3:$H$102,6,FALSE)&gt;=main!$D$103+VLOOKUP(VLOOKUP(CR$1,main!$A$3:$I$102,7,FALSE),main!$K$26:$Q$29,3,FALSE),1,0)</f>
        <v>0</v>
      </c>
      <c r="CS9">
        <f>IF(VLOOKUP(CS$1,main!$A$3:$H$102,5,FALSE)-VLOOKUP($A9,main!$A$3:$H$102,6,FALSE)&gt;=main!$D$103+VLOOKUP(VLOOKUP(CS$1,main!$A$3:$I$102,7,FALSE),main!$K$26:$Q$29,3,FALSE),1,0)</f>
        <v>0</v>
      </c>
      <c r="CT9">
        <f>IF(VLOOKUP(CT$1,main!$A$3:$H$102,5,FALSE)-VLOOKUP($A9,main!$A$3:$H$102,6,FALSE)&gt;=main!$D$103+VLOOKUP(VLOOKUP(CT$1,main!$A$3:$I$102,7,FALSE),main!$K$26:$Q$29,3,FALSE),1,0)</f>
        <v>0</v>
      </c>
      <c r="CU9">
        <f>IF(VLOOKUP(CU$1,main!$A$3:$H$102,5,FALSE)-VLOOKUP($A9,main!$A$3:$H$102,6,FALSE)&gt;=main!$D$103+VLOOKUP(VLOOKUP(CU$1,main!$A$3:$I$102,7,FALSE),main!$K$26:$Q$29,3,FALSE),1,0)</f>
        <v>0</v>
      </c>
      <c r="CV9">
        <f>IF(VLOOKUP(CV$1,main!$A$3:$H$102,5,FALSE)-VLOOKUP($A9,main!$A$3:$H$102,6,FALSE)&gt;=main!$D$103+VLOOKUP(VLOOKUP(CV$1,main!$A$3:$I$102,7,FALSE),main!$K$26:$Q$29,3,FALSE),1,0)</f>
        <v>0</v>
      </c>
      <c r="CW9">
        <f>IF(VLOOKUP(CW$1,main!$A$3:$H$102,5,FALSE)-VLOOKUP($A9,main!$A$3:$H$102,6,FALSE)&gt;=main!$D$103+VLOOKUP(VLOOKUP(CW$1,main!$A$3:$I$102,7,FALSE),main!$K$26:$Q$29,3,FALSE),1,0)</f>
        <v>0</v>
      </c>
      <c r="CX9">
        <f>IF(VLOOKUP(CX$1,main!$A$3:$H$102,5,FALSE)-VLOOKUP($A9,main!$A$3:$H$102,6,FALSE)&gt;=main!$D$103+VLOOKUP(VLOOKUP(CX$1,main!$A$3:$I$102,7,FALSE),main!$K$26:$Q$29,3,FALSE),1,0)</f>
        <v>0</v>
      </c>
    </row>
    <row r="10" spans="1:104" x14ac:dyDescent="0.25">
      <c r="A10" s="1">
        <v>8</v>
      </c>
      <c r="B10">
        <v>0</v>
      </c>
      <c r="C10">
        <f>IF(VLOOKUP(C$1,main!$A$3:$H$102,5,FALSE)-VLOOKUP($A10,main!$A$3:$H$102,6,FALSE)&gt;=main!$D$103+VLOOKUP(VLOOKUP(C$1,main!$A$3:$I$102,7,FALSE),main!$K$26:$Q$29,3,FALSE),1,0)</f>
        <v>0</v>
      </c>
      <c r="D10">
        <f>IF(VLOOKUP(D$1,main!$A$3:$H$102,5,FALSE)-VLOOKUP($A10,main!$A$3:$H$102,6,FALSE)&gt;=main!$D$103+VLOOKUP(VLOOKUP(D$1,main!$A$3:$I$102,7,FALSE),main!$K$26:$Q$29,3,FALSE),1,0)</f>
        <v>0</v>
      </c>
      <c r="E10">
        <f>IF(VLOOKUP(E$1,main!$A$3:$H$102,5,FALSE)-VLOOKUP($A10,main!$A$3:$H$102,6,FALSE)&gt;=main!$D$103+VLOOKUP(VLOOKUP(E$1,main!$A$3:$I$102,7,FALSE),main!$K$26:$Q$29,3,FALSE),1,0)</f>
        <v>0</v>
      </c>
      <c r="F10">
        <f>IF(VLOOKUP(F$1,main!$A$3:$H$102,5,FALSE)-VLOOKUP($A10,main!$A$3:$H$102,6,FALSE)&gt;=main!$D$103+VLOOKUP(VLOOKUP(F$1,main!$A$3:$I$102,7,FALSE),main!$K$26:$Q$29,3,FALSE),1,0)</f>
        <v>0</v>
      </c>
      <c r="G10">
        <f>IF(VLOOKUP(G$1,main!$A$3:$H$102,5,FALSE)-VLOOKUP($A10,main!$A$3:$H$102,6,FALSE)&gt;=main!$D$103+VLOOKUP(VLOOKUP(G$1,main!$A$3:$I$102,7,FALSE),main!$K$26:$Q$29,3,FALSE),1,0)</f>
        <v>0</v>
      </c>
      <c r="H10">
        <f>IF(VLOOKUP(H$1,main!$A$3:$H$102,5,FALSE)-VLOOKUP($A10,main!$A$3:$H$102,6,FALSE)&gt;=main!$D$103+VLOOKUP(VLOOKUP(H$1,main!$A$3:$I$102,7,FALSE),main!$K$26:$Q$29,3,FALSE),1,0)</f>
        <v>0</v>
      </c>
      <c r="I10">
        <f>IF(VLOOKUP(I$1,main!$A$3:$H$102,5,FALSE)-VLOOKUP($A10,main!$A$3:$H$102,6,FALSE)&gt;=main!$D$103+VLOOKUP(VLOOKUP(I$1,main!$A$3:$I$102,7,FALSE),main!$K$26:$Q$29,3,FALSE),1,0)</f>
        <v>0</v>
      </c>
      <c r="J10">
        <f>IF(VLOOKUP(J$1,main!$A$3:$H$102,5,FALSE)-VLOOKUP($A10,main!$A$3:$H$102,6,FALSE)&gt;=main!$D$103+VLOOKUP(VLOOKUP(J$1,main!$A$3:$I$102,7,FALSE),main!$K$26:$Q$29,3,FALSE),1,0)</f>
        <v>0</v>
      </c>
      <c r="K10">
        <f>IF(VLOOKUP(K$1,main!$A$3:$H$102,5,FALSE)-VLOOKUP($A10,main!$A$3:$H$102,6,FALSE)&gt;=main!$D$103+VLOOKUP(VLOOKUP(K$1,main!$A$3:$I$102,7,FALSE),main!$K$26:$Q$29,3,FALSE),1,0)</f>
        <v>0</v>
      </c>
      <c r="L10">
        <f>IF(VLOOKUP(L$1,main!$A$3:$H$102,5,FALSE)-VLOOKUP($A10,main!$A$3:$H$102,6,FALSE)&gt;=main!$D$103+VLOOKUP(VLOOKUP(L$1,main!$A$3:$I$102,7,FALSE),main!$K$26:$Q$29,3,FALSE),1,0)</f>
        <v>0</v>
      </c>
      <c r="M10">
        <f>IF(VLOOKUP(M$1,main!$A$3:$H$102,5,FALSE)-VLOOKUP($A10,main!$A$3:$H$102,6,FALSE)&gt;=main!$D$103+VLOOKUP(VLOOKUP(M$1,main!$A$3:$I$102,7,FALSE),main!$K$26:$Q$29,3,FALSE),1,0)</f>
        <v>0</v>
      </c>
      <c r="N10">
        <f>IF(VLOOKUP(N$1,main!$A$3:$H$102,5,FALSE)-VLOOKUP($A10,main!$A$3:$H$102,6,FALSE)&gt;=main!$D$103+VLOOKUP(VLOOKUP(N$1,main!$A$3:$I$102,7,FALSE),main!$K$26:$Q$29,3,FALSE),1,0)</f>
        <v>0</v>
      </c>
      <c r="O10">
        <f>IF(VLOOKUP(O$1,main!$A$3:$H$102,5,FALSE)-VLOOKUP($A10,main!$A$3:$H$102,6,FALSE)&gt;=main!$D$103+VLOOKUP(VLOOKUP(O$1,main!$A$3:$I$102,7,FALSE),main!$K$26:$Q$29,3,FALSE),1,0)</f>
        <v>0</v>
      </c>
      <c r="P10">
        <f>IF(VLOOKUP(P$1,main!$A$3:$H$102,5,FALSE)-VLOOKUP($A10,main!$A$3:$H$102,6,FALSE)&gt;=main!$D$103+VLOOKUP(VLOOKUP(P$1,main!$A$3:$I$102,7,FALSE),main!$K$26:$Q$29,3,FALSE),1,0)</f>
        <v>0</v>
      </c>
      <c r="Q10">
        <f>IF(VLOOKUP(Q$1,main!$A$3:$H$102,5,FALSE)-VLOOKUP($A10,main!$A$3:$H$102,6,FALSE)&gt;=main!$D$103+VLOOKUP(VLOOKUP(Q$1,main!$A$3:$I$102,7,FALSE),main!$K$26:$Q$29,3,FALSE),1,0)</f>
        <v>0</v>
      </c>
      <c r="R10">
        <f>IF(VLOOKUP(R$1,main!$A$3:$H$102,5,FALSE)-VLOOKUP($A10,main!$A$3:$H$102,6,FALSE)&gt;=main!$D$103+VLOOKUP(VLOOKUP(R$1,main!$A$3:$I$102,7,FALSE),main!$K$26:$Q$29,3,FALSE),1,0)</f>
        <v>0</v>
      </c>
      <c r="S10">
        <f>IF(VLOOKUP(S$1,main!$A$3:$H$102,5,FALSE)-VLOOKUP($A10,main!$A$3:$H$102,6,FALSE)&gt;=main!$D$103+VLOOKUP(VLOOKUP(S$1,main!$A$3:$I$102,7,FALSE),main!$K$26:$Q$29,3,FALSE),1,0)</f>
        <v>0</v>
      </c>
      <c r="T10">
        <f>IF(VLOOKUP(T$1,main!$A$3:$H$102,5,FALSE)-VLOOKUP($A10,main!$A$3:$H$102,6,FALSE)&gt;=main!$D$103+VLOOKUP(VLOOKUP(T$1,main!$A$3:$I$102,7,FALSE),main!$K$26:$Q$29,3,FALSE),1,0)</f>
        <v>0</v>
      </c>
      <c r="U10">
        <f>IF(VLOOKUP(U$1,main!$A$3:$H$102,5,FALSE)-VLOOKUP($A10,main!$A$3:$H$102,6,FALSE)&gt;=main!$D$103+VLOOKUP(VLOOKUP(U$1,main!$A$3:$I$102,7,FALSE),main!$K$26:$Q$29,3,FALSE),1,0)</f>
        <v>0</v>
      </c>
      <c r="V10">
        <f>IF(VLOOKUP(V$1,main!$A$3:$H$102,5,FALSE)-VLOOKUP($A10,main!$A$3:$H$102,6,FALSE)&gt;=main!$D$103+VLOOKUP(VLOOKUP(V$1,main!$A$3:$I$102,7,FALSE),main!$K$26:$Q$29,3,FALSE),1,0)</f>
        <v>0</v>
      </c>
      <c r="W10">
        <f>IF(VLOOKUP(W$1,main!$A$3:$H$102,5,FALSE)-VLOOKUP($A10,main!$A$3:$H$102,6,FALSE)&gt;=main!$D$103+VLOOKUP(VLOOKUP(W$1,main!$A$3:$I$102,7,FALSE),main!$K$26:$Q$29,3,FALSE),1,0)</f>
        <v>0</v>
      </c>
      <c r="X10">
        <f>IF(VLOOKUP(X$1,main!$A$3:$H$102,5,FALSE)-VLOOKUP($A10,main!$A$3:$H$102,6,FALSE)&gt;=main!$D$103+VLOOKUP(VLOOKUP(X$1,main!$A$3:$I$102,7,FALSE),main!$K$26:$Q$29,3,FALSE),1,0)</f>
        <v>0</v>
      </c>
      <c r="Y10">
        <f>IF(VLOOKUP(Y$1,main!$A$3:$H$102,5,FALSE)-VLOOKUP($A10,main!$A$3:$H$102,6,FALSE)&gt;=main!$D$103+VLOOKUP(VLOOKUP(Y$1,main!$A$3:$I$102,7,FALSE),main!$K$26:$Q$29,3,FALSE),1,0)</f>
        <v>0</v>
      </c>
      <c r="Z10">
        <f>IF(VLOOKUP(Z$1,main!$A$3:$H$102,5,FALSE)-VLOOKUP($A10,main!$A$3:$H$102,6,FALSE)&gt;=main!$D$103+VLOOKUP(VLOOKUP(Z$1,main!$A$3:$I$102,7,FALSE),main!$K$26:$Q$29,3,FALSE),1,0)</f>
        <v>0</v>
      </c>
      <c r="AA10">
        <f>IF(VLOOKUP(AA$1,main!$A$3:$H$102,5,FALSE)-VLOOKUP($A10,main!$A$3:$H$102,6,FALSE)&gt;=main!$D$103+VLOOKUP(VLOOKUP(AA$1,main!$A$3:$I$102,7,FALSE),main!$K$26:$Q$29,3,FALSE),1,0)</f>
        <v>0</v>
      </c>
      <c r="AB10">
        <f>IF(VLOOKUP(AB$1,main!$A$3:$H$102,5,FALSE)-VLOOKUP($A10,main!$A$3:$H$102,6,FALSE)&gt;=main!$D$103+VLOOKUP(VLOOKUP(AB$1,main!$A$3:$I$102,7,FALSE),main!$K$26:$Q$29,3,FALSE),1,0)</f>
        <v>0</v>
      </c>
      <c r="AC10">
        <f>IF(VLOOKUP(AC$1,main!$A$3:$H$102,5,FALSE)-VLOOKUP($A10,main!$A$3:$H$102,6,FALSE)&gt;=main!$D$103+VLOOKUP(VLOOKUP(AC$1,main!$A$3:$I$102,7,FALSE),main!$K$26:$Q$29,3,FALSE),1,0)</f>
        <v>0</v>
      </c>
      <c r="AD10">
        <f>IF(VLOOKUP(AD$1,main!$A$3:$H$102,5,FALSE)-VLOOKUP($A10,main!$A$3:$H$102,6,FALSE)&gt;=main!$D$103+VLOOKUP(VLOOKUP(AD$1,main!$A$3:$I$102,7,FALSE),main!$K$26:$Q$29,3,FALSE),1,0)</f>
        <v>0</v>
      </c>
      <c r="AE10">
        <f>IF(VLOOKUP(AE$1,main!$A$3:$H$102,5,FALSE)-VLOOKUP($A10,main!$A$3:$H$102,6,FALSE)&gt;=main!$D$103+VLOOKUP(VLOOKUP(AE$1,main!$A$3:$I$102,7,FALSE),main!$K$26:$Q$29,3,FALSE),1,0)</f>
        <v>0</v>
      </c>
      <c r="AF10">
        <f>IF(VLOOKUP(AF$1,main!$A$3:$H$102,5,FALSE)-VLOOKUP($A10,main!$A$3:$H$102,6,FALSE)&gt;=main!$D$103+VLOOKUP(VLOOKUP(AF$1,main!$A$3:$I$102,7,FALSE),main!$K$26:$Q$29,3,FALSE),1,0)</f>
        <v>0</v>
      </c>
      <c r="AG10">
        <f>IF(VLOOKUP(AG$1,main!$A$3:$H$102,5,FALSE)-VLOOKUP($A10,main!$A$3:$H$102,6,FALSE)&gt;=main!$D$103+VLOOKUP(VLOOKUP(AG$1,main!$A$3:$I$102,7,FALSE),main!$K$26:$Q$29,3,FALSE),1,0)</f>
        <v>0</v>
      </c>
      <c r="AH10">
        <f>IF(VLOOKUP(AH$1,main!$A$3:$H$102,5,FALSE)-VLOOKUP($A10,main!$A$3:$H$102,6,FALSE)&gt;=main!$D$103+VLOOKUP(VLOOKUP(AH$1,main!$A$3:$I$102,7,FALSE),main!$K$26:$Q$29,3,FALSE),1,0)</f>
        <v>0</v>
      </c>
      <c r="AI10">
        <f>IF(VLOOKUP(AI$1,main!$A$3:$H$102,5,FALSE)-VLOOKUP($A10,main!$A$3:$H$102,6,FALSE)&gt;=main!$D$103+VLOOKUP(VLOOKUP(AI$1,main!$A$3:$I$102,7,FALSE),main!$K$26:$Q$29,3,FALSE),1,0)</f>
        <v>0</v>
      </c>
      <c r="AJ10">
        <f>IF(VLOOKUP(AJ$1,main!$A$3:$H$102,5,FALSE)-VLOOKUP($A10,main!$A$3:$H$102,6,FALSE)&gt;=main!$D$103+VLOOKUP(VLOOKUP(AJ$1,main!$A$3:$I$102,7,FALSE),main!$K$26:$Q$29,3,FALSE),1,0)</f>
        <v>0</v>
      </c>
      <c r="AK10">
        <f>IF(VLOOKUP(AK$1,main!$A$3:$H$102,5,FALSE)-VLOOKUP($A10,main!$A$3:$H$102,6,FALSE)&gt;=main!$D$103+VLOOKUP(VLOOKUP(AK$1,main!$A$3:$I$102,7,FALSE),main!$K$26:$Q$29,3,FALSE),1,0)</f>
        <v>0</v>
      </c>
      <c r="AL10">
        <f>IF(VLOOKUP(AL$1,main!$A$3:$H$102,5,FALSE)-VLOOKUP($A10,main!$A$3:$H$102,6,FALSE)&gt;=main!$D$103+VLOOKUP(VLOOKUP(AL$1,main!$A$3:$I$102,7,FALSE),main!$K$26:$Q$29,3,FALSE),1,0)</f>
        <v>0</v>
      </c>
      <c r="AM10">
        <f>IF(VLOOKUP(AM$1,main!$A$3:$H$102,5,FALSE)-VLOOKUP($A10,main!$A$3:$H$102,6,FALSE)&gt;=main!$D$103+VLOOKUP(VLOOKUP(AM$1,main!$A$3:$I$102,7,FALSE),main!$K$26:$Q$29,3,FALSE),1,0)</f>
        <v>0</v>
      </c>
      <c r="AN10">
        <f>IF(VLOOKUP(AN$1,main!$A$3:$H$102,5,FALSE)-VLOOKUP($A10,main!$A$3:$H$102,6,FALSE)&gt;=main!$D$103+VLOOKUP(VLOOKUP(AN$1,main!$A$3:$I$102,7,FALSE),main!$K$26:$Q$29,3,FALSE),1,0)</f>
        <v>0</v>
      </c>
      <c r="AO10">
        <f>IF(VLOOKUP(AO$1,main!$A$3:$H$102,5,FALSE)-VLOOKUP($A10,main!$A$3:$H$102,6,FALSE)&gt;=main!$D$103+VLOOKUP(VLOOKUP(AO$1,main!$A$3:$I$102,7,FALSE),main!$K$26:$Q$29,3,FALSE),1,0)</f>
        <v>0</v>
      </c>
      <c r="AP10">
        <f>IF(VLOOKUP(AP$1,main!$A$3:$H$102,5,FALSE)-VLOOKUP($A10,main!$A$3:$H$102,6,FALSE)&gt;=main!$D$103+VLOOKUP(VLOOKUP(AP$1,main!$A$3:$I$102,7,FALSE),main!$K$26:$Q$29,3,FALSE),1,0)</f>
        <v>0</v>
      </c>
      <c r="AQ10">
        <f>IF(VLOOKUP(AQ$1,main!$A$3:$H$102,5,FALSE)-VLOOKUP($A10,main!$A$3:$H$102,6,FALSE)&gt;=main!$D$103+VLOOKUP(VLOOKUP(AQ$1,main!$A$3:$I$102,7,FALSE),main!$K$26:$Q$29,3,FALSE),1,0)</f>
        <v>0</v>
      </c>
      <c r="AR10">
        <f>IF(VLOOKUP(AR$1,main!$A$3:$H$102,5,FALSE)-VLOOKUP($A10,main!$A$3:$H$102,6,FALSE)&gt;=main!$D$103+VLOOKUP(VLOOKUP(AR$1,main!$A$3:$I$102,7,FALSE),main!$K$26:$Q$29,3,FALSE),1,0)</f>
        <v>0</v>
      </c>
      <c r="AS10">
        <f>IF(VLOOKUP(AS$1,main!$A$3:$H$102,5,FALSE)-VLOOKUP($A10,main!$A$3:$H$102,6,FALSE)&gt;=main!$D$103+VLOOKUP(VLOOKUP(AS$1,main!$A$3:$I$102,7,FALSE),main!$K$26:$Q$29,3,FALSE),1,0)</f>
        <v>0</v>
      </c>
      <c r="AT10">
        <f>IF(VLOOKUP(AT$1,main!$A$3:$H$102,5,FALSE)-VLOOKUP($A10,main!$A$3:$H$102,6,FALSE)&gt;=main!$D$103+VLOOKUP(VLOOKUP(AT$1,main!$A$3:$I$102,7,FALSE),main!$K$26:$Q$29,3,FALSE),1,0)</f>
        <v>0</v>
      </c>
      <c r="AU10">
        <f>IF(VLOOKUP(AU$1,main!$A$3:$H$102,5,FALSE)-VLOOKUP($A10,main!$A$3:$H$102,6,FALSE)&gt;=main!$D$103+VLOOKUP(VLOOKUP(AU$1,main!$A$3:$I$102,7,FALSE),main!$K$26:$Q$29,3,FALSE),1,0)</f>
        <v>0</v>
      </c>
      <c r="AV10">
        <f>IF(VLOOKUP(AV$1,main!$A$3:$H$102,5,FALSE)-VLOOKUP($A10,main!$A$3:$H$102,6,FALSE)&gt;=main!$D$103+VLOOKUP(VLOOKUP(AV$1,main!$A$3:$I$102,7,FALSE),main!$K$26:$Q$29,3,FALSE),1,0)</f>
        <v>0</v>
      </c>
      <c r="AW10">
        <f>IF(VLOOKUP(AW$1,main!$A$3:$H$102,5,FALSE)-VLOOKUP($A10,main!$A$3:$H$102,6,FALSE)&gt;=main!$D$103+VLOOKUP(VLOOKUP(AW$1,main!$A$3:$I$102,7,FALSE),main!$K$26:$Q$29,3,FALSE),1,0)</f>
        <v>0</v>
      </c>
      <c r="AX10">
        <f>IF(VLOOKUP(AX$1,main!$A$3:$H$102,5,FALSE)-VLOOKUP($A10,main!$A$3:$H$102,6,FALSE)&gt;=main!$D$103+VLOOKUP(VLOOKUP(AX$1,main!$A$3:$I$102,7,FALSE),main!$K$26:$Q$29,3,FALSE),1,0)</f>
        <v>0</v>
      </c>
      <c r="AY10">
        <f>IF(VLOOKUP(AY$1,main!$A$3:$H$102,5,FALSE)-VLOOKUP($A10,main!$A$3:$H$102,6,FALSE)&gt;=main!$D$103+VLOOKUP(VLOOKUP(AY$1,main!$A$3:$I$102,7,FALSE),main!$K$26:$Q$29,3,FALSE),1,0)</f>
        <v>0</v>
      </c>
      <c r="AZ10">
        <f>IF(VLOOKUP(AZ$1,main!$A$3:$H$102,5,FALSE)-VLOOKUP($A10,main!$A$3:$H$102,6,FALSE)&gt;=main!$D$103+VLOOKUP(VLOOKUP(AZ$1,main!$A$3:$I$102,7,FALSE),main!$K$26:$Q$29,3,FALSE),1,0)</f>
        <v>0</v>
      </c>
      <c r="BA10">
        <f>IF(VLOOKUP(BA$1,main!$A$3:$H$102,5,FALSE)-VLOOKUP($A10,main!$A$3:$H$102,6,FALSE)&gt;=main!$D$103+VLOOKUP(VLOOKUP(BA$1,main!$A$3:$I$102,7,FALSE),main!$K$26:$Q$29,3,FALSE),1,0)</f>
        <v>0</v>
      </c>
      <c r="BB10">
        <f>IF(VLOOKUP(BB$1,main!$A$3:$H$102,5,FALSE)-VLOOKUP($A10,main!$A$3:$H$102,6,FALSE)&gt;=main!$D$103+VLOOKUP(VLOOKUP(BB$1,main!$A$3:$I$102,7,FALSE),main!$K$26:$Q$29,3,FALSE),1,0)</f>
        <v>0</v>
      </c>
      <c r="BC10">
        <f>IF(VLOOKUP(BC$1,main!$A$3:$H$102,5,FALSE)-VLOOKUP($A10,main!$A$3:$H$102,6,FALSE)&gt;=main!$D$103+VLOOKUP(VLOOKUP(BC$1,main!$A$3:$I$102,7,FALSE),main!$K$26:$Q$29,3,FALSE),1,0)</f>
        <v>0</v>
      </c>
      <c r="BD10">
        <f>IF(VLOOKUP(BD$1,main!$A$3:$H$102,5,FALSE)-VLOOKUP($A10,main!$A$3:$H$102,6,FALSE)&gt;=main!$D$103+VLOOKUP(VLOOKUP(BD$1,main!$A$3:$I$102,7,FALSE),main!$K$26:$Q$29,3,FALSE),1,0)</f>
        <v>0</v>
      </c>
      <c r="BE10">
        <f>IF(VLOOKUP(BE$1,main!$A$3:$H$102,5,FALSE)-VLOOKUP($A10,main!$A$3:$H$102,6,FALSE)&gt;=main!$D$103+VLOOKUP(VLOOKUP(BE$1,main!$A$3:$I$102,7,FALSE),main!$K$26:$Q$29,3,FALSE),1,0)</f>
        <v>0</v>
      </c>
      <c r="BF10">
        <f>IF(VLOOKUP(BF$1,main!$A$3:$H$102,5,FALSE)-VLOOKUP($A10,main!$A$3:$H$102,6,FALSE)&gt;=main!$D$103+VLOOKUP(VLOOKUP(BF$1,main!$A$3:$I$102,7,FALSE),main!$K$26:$Q$29,3,FALSE),1,0)</f>
        <v>0</v>
      </c>
      <c r="BG10">
        <f>IF(VLOOKUP(BG$1,main!$A$3:$H$102,5,FALSE)-VLOOKUP($A10,main!$A$3:$H$102,6,FALSE)&gt;=main!$D$103+VLOOKUP(VLOOKUP(BG$1,main!$A$3:$I$102,7,FALSE),main!$K$26:$Q$29,3,FALSE),1,0)</f>
        <v>0</v>
      </c>
      <c r="BH10">
        <f>IF(VLOOKUP(BH$1,main!$A$3:$H$102,5,FALSE)-VLOOKUP($A10,main!$A$3:$H$102,6,FALSE)&gt;=main!$D$103+VLOOKUP(VLOOKUP(BH$1,main!$A$3:$I$102,7,FALSE),main!$K$26:$Q$29,3,FALSE),1,0)</f>
        <v>0</v>
      </c>
      <c r="BI10">
        <f>IF(VLOOKUP(BI$1,main!$A$3:$H$102,5,FALSE)-VLOOKUP($A10,main!$A$3:$H$102,6,FALSE)&gt;=main!$D$103+VLOOKUP(VLOOKUP(BI$1,main!$A$3:$I$102,7,FALSE),main!$K$26:$Q$29,3,FALSE),1,0)</f>
        <v>0</v>
      </c>
      <c r="BJ10">
        <f>IF(VLOOKUP(BJ$1,main!$A$3:$H$102,5,FALSE)-VLOOKUP($A10,main!$A$3:$H$102,6,FALSE)&gt;=main!$D$103+VLOOKUP(VLOOKUP(BJ$1,main!$A$3:$I$102,7,FALSE),main!$K$26:$Q$29,3,FALSE),1,0)</f>
        <v>0</v>
      </c>
      <c r="BK10">
        <f>IF(VLOOKUP(BK$1,main!$A$3:$H$102,5,FALSE)-VLOOKUP($A10,main!$A$3:$H$102,6,FALSE)&gt;=main!$D$103+VLOOKUP(VLOOKUP(BK$1,main!$A$3:$I$102,7,FALSE),main!$K$26:$Q$29,3,FALSE),1,0)</f>
        <v>0</v>
      </c>
      <c r="BL10">
        <f>IF(VLOOKUP(BL$1,main!$A$3:$H$102,5,FALSE)-VLOOKUP($A10,main!$A$3:$H$102,6,FALSE)&gt;=main!$D$103+VLOOKUP(VLOOKUP(BL$1,main!$A$3:$I$102,7,FALSE),main!$K$26:$Q$29,3,FALSE),1,0)</f>
        <v>0</v>
      </c>
      <c r="BM10">
        <f>IF(VLOOKUP(BM$1,main!$A$3:$H$102,5,FALSE)-VLOOKUP($A10,main!$A$3:$H$102,6,FALSE)&gt;=main!$D$103+VLOOKUP(VLOOKUP(BM$1,main!$A$3:$I$102,7,FALSE),main!$K$26:$Q$29,3,FALSE),1,0)</f>
        <v>0</v>
      </c>
      <c r="BN10">
        <f>IF(VLOOKUP(BN$1,main!$A$3:$H$102,5,FALSE)-VLOOKUP($A10,main!$A$3:$H$102,6,FALSE)&gt;=main!$D$103+VLOOKUP(VLOOKUP(BN$1,main!$A$3:$I$102,7,FALSE),main!$K$26:$Q$29,3,FALSE),1,0)</f>
        <v>0</v>
      </c>
      <c r="BO10">
        <f>IF(VLOOKUP(BO$1,main!$A$3:$H$102,5,FALSE)-VLOOKUP($A10,main!$A$3:$H$102,6,FALSE)&gt;=main!$D$103+VLOOKUP(VLOOKUP(BO$1,main!$A$3:$I$102,7,FALSE),main!$K$26:$Q$29,3,FALSE),1,0)</f>
        <v>0</v>
      </c>
      <c r="BP10">
        <f>IF(VLOOKUP(BP$1,main!$A$3:$H$102,5,FALSE)-VLOOKUP($A10,main!$A$3:$H$102,6,FALSE)&gt;=main!$D$103+VLOOKUP(VLOOKUP(BP$1,main!$A$3:$I$102,7,FALSE),main!$K$26:$Q$29,3,FALSE),1,0)</f>
        <v>0</v>
      </c>
      <c r="BQ10">
        <f>IF(VLOOKUP(BQ$1,main!$A$3:$H$102,5,FALSE)-VLOOKUP($A10,main!$A$3:$H$102,6,FALSE)&gt;=main!$D$103+VLOOKUP(VLOOKUP(BQ$1,main!$A$3:$I$102,7,FALSE),main!$K$26:$Q$29,3,FALSE),1,0)</f>
        <v>0</v>
      </c>
      <c r="BR10">
        <f>IF(VLOOKUP(BR$1,main!$A$3:$H$102,5,FALSE)-VLOOKUP($A10,main!$A$3:$H$102,6,FALSE)&gt;=main!$D$103+VLOOKUP(VLOOKUP(BR$1,main!$A$3:$I$102,7,FALSE),main!$K$26:$Q$29,3,FALSE),1,0)</f>
        <v>0</v>
      </c>
      <c r="BS10">
        <f>IF(VLOOKUP(BS$1,main!$A$3:$H$102,5,FALSE)-VLOOKUP($A10,main!$A$3:$H$102,6,FALSE)&gt;=main!$D$103+VLOOKUP(VLOOKUP(BS$1,main!$A$3:$I$102,7,FALSE),main!$K$26:$Q$29,3,FALSE),1,0)</f>
        <v>0</v>
      </c>
      <c r="BT10">
        <f>IF(VLOOKUP(BT$1,main!$A$3:$H$102,5,FALSE)-VLOOKUP($A10,main!$A$3:$H$102,6,FALSE)&gt;=main!$D$103+VLOOKUP(VLOOKUP(BT$1,main!$A$3:$I$102,7,FALSE),main!$K$26:$Q$29,3,FALSE),1,0)</f>
        <v>0</v>
      </c>
      <c r="BU10">
        <f>IF(VLOOKUP(BU$1,main!$A$3:$H$102,5,FALSE)-VLOOKUP($A10,main!$A$3:$H$102,6,FALSE)&gt;=main!$D$103+VLOOKUP(VLOOKUP(BU$1,main!$A$3:$I$102,7,FALSE),main!$K$26:$Q$29,3,FALSE),1,0)</f>
        <v>0</v>
      </c>
      <c r="BV10">
        <f>IF(VLOOKUP(BV$1,main!$A$3:$H$102,5,FALSE)-VLOOKUP($A10,main!$A$3:$H$102,6,FALSE)&gt;=main!$D$103+VLOOKUP(VLOOKUP(BV$1,main!$A$3:$I$102,7,FALSE),main!$K$26:$Q$29,3,FALSE),1,0)</f>
        <v>0</v>
      </c>
      <c r="BW10">
        <f>IF(VLOOKUP(BW$1,main!$A$3:$H$102,5,FALSE)-VLOOKUP($A10,main!$A$3:$H$102,6,FALSE)&gt;=main!$D$103+VLOOKUP(VLOOKUP(BW$1,main!$A$3:$I$102,7,FALSE),main!$K$26:$Q$29,3,FALSE),1,0)</f>
        <v>0</v>
      </c>
      <c r="BX10">
        <f>IF(VLOOKUP(BX$1,main!$A$3:$H$102,5,FALSE)-VLOOKUP($A10,main!$A$3:$H$102,6,FALSE)&gt;=main!$D$103+VLOOKUP(VLOOKUP(BX$1,main!$A$3:$I$102,7,FALSE),main!$K$26:$Q$29,3,FALSE),1,0)</f>
        <v>0</v>
      </c>
      <c r="BY10">
        <f>IF(VLOOKUP(BY$1,main!$A$3:$H$102,5,FALSE)-VLOOKUP($A10,main!$A$3:$H$102,6,FALSE)&gt;=main!$D$103+VLOOKUP(VLOOKUP(BY$1,main!$A$3:$I$102,7,FALSE),main!$K$26:$Q$29,3,FALSE),1,0)</f>
        <v>0</v>
      </c>
      <c r="BZ10">
        <f>IF(VLOOKUP(BZ$1,main!$A$3:$H$102,5,FALSE)-VLOOKUP($A10,main!$A$3:$H$102,6,FALSE)&gt;=main!$D$103+VLOOKUP(VLOOKUP(BZ$1,main!$A$3:$I$102,7,FALSE),main!$K$26:$Q$29,3,FALSE),1,0)</f>
        <v>0</v>
      </c>
      <c r="CA10">
        <f>IF(VLOOKUP(CA$1,main!$A$3:$H$102,5,FALSE)-VLOOKUP($A10,main!$A$3:$H$102,6,FALSE)&gt;=main!$D$103+VLOOKUP(VLOOKUP(CA$1,main!$A$3:$I$102,7,FALSE),main!$K$26:$Q$29,3,FALSE),1,0)</f>
        <v>0</v>
      </c>
      <c r="CB10">
        <f>IF(VLOOKUP(CB$1,main!$A$3:$H$102,5,FALSE)-VLOOKUP($A10,main!$A$3:$H$102,6,FALSE)&gt;=main!$D$103+VLOOKUP(VLOOKUP(CB$1,main!$A$3:$I$102,7,FALSE),main!$K$26:$Q$29,3,FALSE),1,0)</f>
        <v>0</v>
      </c>
      <c r="CC10">
        <f>IF(VLOOKUP(CC$1,main!$A$3:$H$102,5,FALSE)-VLOOKUP($A10,main!$A$3:$H$102,6,FALSE)&gt;=main!$D$103+VLOOKUP(VLOOKUP(CC$1,main!$A$3:$I$102,7,FALSE),main!$K$26:$Q$29,3,FALSE),1,0)</f>
        <v>0</v>
      </c>
      <c r="CD10">
        <f>IF(VLOOKUP(CD$1,main!$A$3:$H$102,5,FALSE)-VLOOKUP($A10,main!$A$3:$H$102,6,FALSE)&gt;=main!$D$103+VLOOKUP(VLOOKUP(CD$1,main!$A$3:$I$102,7,FALSE),main!$K$26:$Q$29,3,FALSE),1,0)</f>
        <v>0</v>
      </c>
      <c r="CE10">
        <f>IF(VLOOKUP(CE$1,main!$A$3:$H$102,5,FALSE)-VLOOKUP($A10,main!$A$3:$H$102,6,FALSE)&gt;=main!$D$103+VLOOKUP(VLOOKUP(CE$1,main!$A$3:$I$102,7,FALSE),main!$K$26:$Q$29,3,FALSE),1,0)</f>
        <v>0</v>
      </c>
      <c r="CF10">
        <f>IF(VLOOKUP(CF$1,main!$A$3:$H$102,5,FALSE)-VLOOKUP($A10,main!$A$3:$H$102,6,FALSE)&gt;=main!$D$103+VLOOKUP(VLOOKUP(CF$1,main!$A$3:$I$102,7,FALSE),main!$K$26:$Q$29,3,FALSE),1,0)</f>
        <v>0</v>
      </c>
      <c r="CG10">
        <f>IF(VLOOKUP(CG$1,main!$A$3:$H$102,5,FALSE)-VLOOKUP($A10,main!$A$3:$H$102,6,FALSE)&gt;=main!$D$103+VLOOKUP(VLOOKUP(CG$1,main!$A$3:$I$102,7,FALSE),main!$K$26:$Q$29,3,FALSE),1,0)</f>
        <v>0</v>
      </c>
      <c r="CH10">
        <f>IF(VLOOKUP(CH$1,main!$A$3:$H$102,5,FALSE)-VLOOKUP($A10,main!$A$3:$H$102,6,FALSE)&gt;=main!$D$103+VLOOKUP(VLOOKUP(CH$1,main!$A$3:$I$102,7,FALSE),main!$K$26:$Q$29,3,FALSE),1,0)</f>
        <v>0</v>
      </c>
      <c r="CI10">
        <f>IF(VLOOKUP(CI$1,main!$A$3:$H$102,5,FALSE)-VLOOKUP($A10,main!$A$3:$H$102,6,FALSE)&gt;=main!$D$103+VLOOKUP(VLOOKUP(CI$1,main!$A$3:$I$102,7,FALSE),main!$K$26:$Q$29,3,FALSE),1,0)</f>
        <v>0</v>
      </c>
      <c r="CJ10">
        <f>IF(VLOOKUP(CJ$1,main!$A$3:$H$102,5,FALSE)-VLOOKUP($A10,main!$A$3:$H$102,6,FALSE)&gt;=main!$D$103+VLOOKUP(VLOOKUP(CJ$1,main!$A$3:$I$102,7,FALSE),main!$K$26:$Q$29,3,FALSE),1,0)</f>
        <v>0</v>
      </c>
      <c r="CK10">
        <f>IF(VLOOKUP(CK$1,main!$A$3:$H$102,5,FALSE)-VLOOKUP($A10,main!$A$3:$H$102,6,FALSE)&gt;=main!$D$103+VLOOKUP(VLOOKUP(CK$1,main!$A$3:$I$102,7,FALSE),main!$K$26:$Q$29,3,FALSE),1,0)</f>
        <v>0</v>
      </c>
      <c r="CL10">
        <f>IF(VLOOKUP(CL$1,main!$A$3:$H$102,5,FALSE)-VLOOKUP($A10,main!$A$3:$H$102,6,FALSE)&gt;=main!$D$103+VLOOKUP(VLOOKUP(CL$1,main!$A$3:$I$102,7,FALSE),main!$K$26:$Q$29,3,FALSE),1,0)</f>
        <v>0</v>
      </c>
      <c r="CM10">
        <f>IF(VLOOKUP(CM$1,main!$A$3:$H$102,5,FALSE)-VLOOKUP($A10,main!$A$3:$H$102,6,FALSE)&gt;=main!$D$103+VLOOKUP(VLOOKUP(CM$1,main!$A$3:$I$102,7,FALSE),main!$K$26:$Q$29,3,FALSE),1,0)</f>
        <v>0</v>
      </c>
      <c r="CN10">
        <f>IF(VLOOKUP(CN$1,main!$A$3:$H$102,5,FALSE)-VLOOKUP($A10,main!$A$3:$H$102,6,FALSE)&gt;=main!$D$103+VLOOKUP(VLOOKUP(CN$1,main!$A$3:$I$102,7,FALSE),main!$K$26:$Q$29,3,FALSE),1,0)</f>
        <v>0</v>
      </c>
      <c r="CO10">
        <f>IF(VLOOKUP(CO$1,main!$A$3:$H$102,5,FALSE)-VLOOKUP($A10,main!$A$3:$H$102,6,FALSE)&gt;=main!$D$103+VLOOKUP(VLOOKUP(CO$1,main!$A$3:$I$102,7,FALSE),main!$K$26:$Q$29,3,FALSE),1,0)</f>
        <v>0</v>
      </c>
      <c r="CP10">
        <f>IF(VLOOKUP(CP$1,main!$A$3:$H$102,5,FALSE)-VLOOKUP($A10,main!$A$3:$H$102,6,FALSE)&gt;=main!$D$103+VLOOKUP(VLOOKUP(CP$1,main!$A$3:$I$102,7,FALSE),main!$K$26:$Q$29,3,FALSE),1,0)</f>
        <v>0</v>
      </c>
      <c r="CQ10">
        <f>IF(VLOOKUP(CQ$1,main!$A$3:$H$102,5,FALSE)-VLOOKUP($A10,main!$A$3:$H$102,6,FALSE)&gt;=main!$D$103+VLOOKUP(VLOOKUP(CQ$1,main!$A$3:$I$102,7,FALSE),main!$K$26:$Q$29,3,FALSE),1,0)</f>
        <v>0</v>
      </c>
      <c r="CR10">
        <f>IF(VLOOKUP(CR$1,main!$A$3:$H$102,5,FALSE)-VLOOKUP($A10,main!$A$3:$H$102,6,FALSE)&gt;=main!$D$103+VLOOKUP(VLOOKUP(CR$1,main!$A$3:$I$102,7,FALSE),main!$K$26:$Q$29,3,FALSE),1,0)</f>
        <v>0</v>
      </c>
      <c r="CS10">
        <f>IF(VLOOKUP(CS$1,main!$A$3:$H$102,5,FALSE)-VLOOKUP($A10,main!$A$3:$H$102,6,FALSE)&gt;=main!$D$103+VLOOKUP(VLOOKUP(CS$1,main!$A$3:$I$102,7,FALSE),main!$K$26:$Q$29,3,FALSE),1,0)</f>
        <v>0</v>
      </c>
      <c r="CT10">
        <f>IF(VLOOKUP(CT$1,main!$A$3:$H$102,5,FALSE)-VLOOKUP($A10,main!$A$3:$H$102,6,FALSE)&gt;=main!$D$103+VLOOKUP(VLOOKUP(CT$1,main!$A$3:$I$102,7,FALSE),main!$K$26:$Q$29,3,FALSE),1,0)</f>
        <v>0</v>
      </c>
      <c r="CU10">
        <f>IF(VLOOKUP(CU$1,main!$A$3:$H$102,5,FALSE)-VLOOKUP($A10,main!$A$3:$H$102,6,FALSE)&gt;=main!$D$103+VLOOKUP(VLOOKUP(CU$1,main!$A$3:$I$102,7,FALSE),main!$K$26:$Q$29,3,FALSE),1,0)</f>
        <v>0</v>
      </c>
      <c r="CV10">
        <f>IF(VLOOKUP(CV$1,main!$A$3:$H$102,5,FALSE)-VLOOKUP($A10,main!$A$3:$H$102,6,FALSE)&gt;=main!$D$103+VLOOKUP(VLOOKUP(CV$1,main!$A$3:$I$102,7,FALSE),main!$K$26:$Q$29,3,FALSE),1,0)</f>
        <v>0</v>
      </c>
      <c r="CW10">
        <f>IF(VLOOKUP(CW$1,main!$A$3:$H$102,5,FALSE)-VLOOKUP($A10,main!$A$3:$H$102,6,FALSE)&gt;=main!$D$103+VLOOKUP(VLOOKUP(CW$1,main!$A$3:$I$102,7,FALSE),main!$K$26:$Q$29,3,FALSE),1,0)</f>
        <v>0</v>
      </c>
      <c r="CX10">
        <f>IF(VLOOKUP(CX$1,main!$A$3:$H$102,5,FALSE)-VLOOKUP($A10,main!$A$3:$H$102,6,FALSE)&gt;=main!$D$103+VLOOKUP(VLOOKUP(CX$1,main!$A$3:$I$102,7,FALSE),main!$K$26:$Q$29,3,FALSE),1,0)</f>
        <v>0</v>
      </c>
    </row>
    <row r="11" spans="1:104" x14ac:dyDescent="0.25">
      <c r="A11" s="1">
        <v>9</v>
      </c>
      <c r="B11">
        <v>0</v>
      </c>
      <c r="C11">
        <f>IF(VLOOKUP(C$1,main!$A$3:$H$102,5,FALSE)-VLOOKUP($A11,main!$A$3:$H$102,6,FALSE)&gt;=main!$D$103+VLOOKUP(VLOOKUP(C$1,main!$A$3:$I$102,7,FALSE),main!$K$26:$Q$29,3,FALSE),1,0)</f>
        <v>0</v>
      </c>
      <c r="D11">
        <f>IF(VLOOKUP(D$1,main!$A$3:$H$102,5,FALSE)-VLOOKUP($A11,main!$A$3:$H$102,6,FALSE)&gt;=main!$D$103+VLOOKUP(VLOOKUP(D$1,main!$A$3:$I$102,7,FALSE),main!$K$26:$Q$29,3,FALSE),1,0)</f>
        <v>0</v>
      </c>
      <c r="E11">
        <f>IF(VLOOKUP(E$1,main!$A$3:$H$102,5,FALSE)-VLOOKUP($A11,main!$A$3:$H$102,6,FALSE)&gt;=main!$D$103+VLOOKUP(VLOOKUP(E$1,main!$A$3:$I$102,7,FALSE),main!$K$26:$Q$29,3,FALSE),1,0)</f>
        <v>0</v>
      </c>
      <c r="F11">
        <f>IF(VLOOKUP(F$1,main!$A$3:$H$102,5,FALSE)-VLOOKUP($A11,main!$A$3:$H$102,6,FALSE)&gt;=main!$D$103+VLOOKUP(VLOOKUP(F$1,main!$A$3:$I$102,7,FALSE),main!$K$26:$Q$29,3,FALSE),1,0)</f>
        <v>0</v>
      </c>
      <c r="G11">
        <f>IF(VLOOKUP(G$1,main!$A$3:$H$102,5,FALSE)-VLOOKUP($A11,main!$A$3:$H$102,6,FALSE)&gt;=main!$D$103+VLOOKUP(VLOOKUP(G$1,main!$A$3:$I$102,7,FALSE),main!$K$26:$Q$29,3,FALSE),1,0)</f>
        <v>0</v>
      </c>
      <c r="H11">
        <f>IF(VLOOKUP(H$1,main!$A$3:$H$102,5,FALSE)-VLOOKUP($A11,main!$A$3:$H$102,6,FALSE)&gt;=main!$D$103+VLOOKUP(VLOOKUP(H$1,main!$A$3:$I$102,7,FALSE),main!$K$26:$Q$29,3,FALSE),1,0)</f>
        <v>0</v>
      </c>
      <c r="I11">
        <f>IF(VLOOKUP(I$1,main!$A$3:$H$102,5,FALSE)-VLOOKUP($A11,main!$A$3:$H$102,6,FALSE)&gt;=main!$D$103+VLOOKUP(VLOOKUP(I$1,main!$A$3:$I$102,7,FALSE),main!$K$26:$Q$29,3,FALSE),1,0)</f>
        <v>0</v>
      </c>
      <c r="J11">
        <f>IF(VLOOKUP(J$1,main!$A$3:$H$102,5,FALSE)-VLOOKUP($A11,main!$A$3:$H$102,6,FALSE)&gt;=main!$D$103+VLOOKUP(VLOOKUP(J$1,main!$A$3:$I$102,7,FALSE),main!$K$26:$Q$29,3,FALSE),1,0)</f>
        <v>0</v>
      </c>
      <c r="K11">
        <f>IF(VLOOKUP(K$1,main!$A$3:$H$102,5,FALSE)-VLOOKUP($A11,main!$A$3:$H$102,6,FALSE)&gt;=main!$D$103+VLOOKUP(VLOOKUP(K$1,main!$A$3:$I$102,7,FALSE),main!$K$26:$Q$29,3,FALSE),1,0)</f>
        <v>0</v>
      </c>
      <c r="L11">
        <f>IF(VLOOKUP(L$1,main!$A$3:$H$102,5,FALSE)-VLOOKUP($A11,main!$A$3:$H$102,6,FALSE)&gt;=main!$D$103+VLOOKUP(VLOOKUP(L$1,main!$A$3:$I$102,7,FALSE),main!$K$26:$Q$29,3,FALSE),1,0)</f>
        <v>0</v>
      </c>
      <c r="M11">
        <f>IF(VLOOKUP(M$1,main!$A$3:$H$102,5,FALSE)-VLOOKUP($A11,main!$A$3:$H$102,6,FALSE)&gt;=main!$D$103+VLOOKUP(VLOOKUP(M$1,main!$A$3:$I$102,7,FALSE),main!$K$26:$Q$29,3,FALSE),1,0)</f>
        <v>0</v>
      </c>
      <c r="N11">
        <f>IF(VLOOKUP(N$1,main!$A$3:$H$102,5,FALSE)-VLOOKUP($A11,main!$A$3:$H$102,6,FALSE)&gt;=main!$D$103+VLOOKUP(VLOOKUP(N$1,main!$A$3:$I$102,7,FALSE),main!$K$26:$Q$29,3,FALSE),1,0)</f>
        <v>0</v>
      </c>
      <c r="O11">
        <f>IF(VLOOKUP(O$1,main!$A$3:$H$102,5,FALSE)-VLOOKUP($A11,main!$A$3:$H$102,6,FALSE)&gt;=main!$D$103+VLOOKUP(VLOOKUP(O$1,main!$A$3:$I$102,7,FALSE),main!$K$26:$Q$29,3,FALSE),1,0)</f>
        <v>0</v>
      </c>
      <c r="P11">
        <f>IF(VLOOKUP(P$1,main!$A$3:$H$102,5,FALSE)-VLOOKUP($A11,main!$A$3:$H$102,6,FALSE)&gt;=main!$D$103+VLOOKUP(VLOOKUP(P$1,main!$A$3:$I$102,7,FALSE),main!$K$26:$Q$29,3,FALSE),1,0)</f>
        <v>0</v>
      </c>
      <c r="Q11">
        <f>IF(VLOOKUP(Q$1,main!$A$3:$H$102,5,FALSE)-VLOOKUP($A11,main!$A$3:$H$102,6,FALSE)&gt;=main!$D$103+VLOOKUP(VLOOKUP(Q$1,main!$A$3:$I$102,7,FALSE),main!$K$26:$Q$29,3,FALSE),1,0)</f>
        <v>0</v>
      </c>
      <c r="R11">
        <f>IF(VLOOKUP(R$1,main!$A$3:$H$102,5,FALSE)-VLOOKUP($A11,main!$A$3:$H$102,6,FALSE)&gt;=main!$D$103+VLOOKUP(VLOOKUP(R$1,main!$A$3:$I$102,7,FALSE),main!$K$26:$Q$29,3,FALSE),1,0)</f>
        <v>0</v>
      </c>
      <c r="S11">
        <f>IF(VLOOKUP(S$1,main!$A$3:$H$102,5,FALSE)-VLOOKUP($A11,main!$A$3:$H$102,6,FALSE)&gt;=main!$D$103+VLOOKUP(VLOOKUP(S$1,main!$A$3:$I$102,7,FALSE),main!$K$26:$Q$29,3,FALSE),1,0)</f>
        <v>0</v>
      </c>
      <c r="T11">
        <f>IF(VLOOKUP(T$1,main!$A$3:$H$102,5,FALSE)-VLOOKUP($A11,main!$A$3:$H$102,6,FALSE)&gt;=main!$D$103+VLOOKUP(VLOOKUP(T$1,main!$A$3:$I$102,7,FALSE),main!$K$26:$Q$29,3,FALSE),1,0)</f>
        <v>0</v>
      </c>
      <c r="U11">
        <f>IF(VLOOKUP(U$1,main!$A$3:$H$102,5,FALSE)-VLOOKUP($A11,main!$A$3:$H$102,6,FALSE)&gt;=main!$D$103+VLOOKUP(VLOOKUP(U$1,main!$A$3:$I$102,7,FALSE),main!$K$26:$Q$29,3,FALSE),1,0)</f>
        <v>0</v>
      </c>
      <c r="V11">
        <f>IF(VLOOKUP(V$1,main!$A$3:$H$102,5,FALSE)-VLOOKUP($A11,main!$A$3:$H$102,6,FALSE)&gt;=main!$D$103+VLOOKUP(VLOOKUP(V$1,main!$A$3:$I$102,7,FALSE),main!$K$26:$Q$29,3,FALSE),1,0)</f>
        <v>0</v>
      </c>
      <c r="W11">
        <f>IF(VLOOKUP(W$1,main!$A$3:$H$102,5,FALSE)-VLOOKUP($A11,main!$A$3:$H$102,6,FALSE)&gt;=main!$D$103+VLOOKUP(VLOOKUP(W$1,main!$A$3:$I$102,7,FALSE),main!$K$26:$Q$29,3,FALSE),1,0)</f>
        <v>0</v>
      </c>
      <c r="X11">
        <f>IF(VLOOKUP(X$1,main!$A$3:$H$102,5,FALSE)-VLOOKUP($A11,main!$A$3:$H$102,6,FALSE)&gt;=main!$D$103+VLOOKUP(VLOOKUP(X$1,main!$A$3:$I$102,7,FALSE),main!$K$26:$Q$29,3,FALSE),1,0)</f>
        <v>0</v>
      </c>
      <c r="Y11">
        <f>IF(VLOOKUP(Y$1,main!$A$3:$H$102,5,FALSE)-VLOOKUP($A11,main!$A$3:$H$102,6,FALSE)&gt;=main!$D$103+VLOOKUP(VLOOKUP(Y$1,main!$A$3:$I$102,7,FALSE),main!$K$26:$Q$29,3,FALSE),1,0)</f>
        <v>0</v>
      </c>
      <c r="Z11">
        <f>IF(VLOOKUP(Z$1,main!$A$3:$H$102,5,FALSE)-VLOOKUP($A11,main!$A$3:$H$102,6,FALSE)&gt;=main!$D$103+VLOOKUP(VLOOKUP(Z$1,main!$A$3:$I$102,7,FALSE),main!$K$26:$Q$29,3,FALSE),1,0)</f>
        <v>0</v>
      </c>
      <c r="AA11">
        <f>IF(VLOOKUP(AA$1,main!$A$3:$H$102,5,FALSE)-VLOOKUP($A11,main!$A$3:$H$102,6,FALSE)&gt;=main!$D$103+VLOOKUP(VLOOKUP(AA$1,main!$A$3:$I$102,7,FALSE),main!$K$26:$Q$29,3,FALSE),1,0)</f>
        <v>0</v>
      </c>
      <c r="AB11">
        <f>IF(VLOOKUP(AB$1,main!$A$3:$H$102,5,FALSE)-VLOOKUP($A11,main!$A$3:$H$102,6,FALSE)&gt;=main!$D$103+VLOOKUP(VLOOKUP(AB$1,main!$A$3:$I$102,7,FALSE),main!$K$26:$Q$29,3,FALSE),1,0)</f>
        <v>0</v>
      </c>
      <c r="AC11">
        <f>IF(VLOOKUP(AC$1,main!$A$3:$H$102,5,FALSE)-VLOOKUP($A11,main!$A$3:$H$102,6,FALSE)&gt;=main!$D$103+VLOOKUP(VLOOKUP(AC$1,main!$A$3:$I$102,7,FALSE),main!$K$26:$Q$29,3,FALSE),1,0)</f>
        <v>0</v>
      </c>
      <c r="AD11">
        <f>IF(VLOOKUP(AD$1,main!$A$3:$H$102,5,FALSE)-VLOOKUP($A11,main!$A$3:$H$102,6,FALSE)&gt;=main!$D$103+VLOOKUP(VLOOKUP(AD$1,main!$A$3:$I$102,7,FALSE),main!$K$26:$Q$29,3,FALSE),1,0)</f>
        <v>0</v>
      </c>
      <c r="AE11">
        <f>IF(VLOOKUP(AE$1,main!$A$3:$H$102,5,FALSE)-VLOOKUP($A11,main!$A$3:$H$102,6,FALSE)&gt;=main!$D$103+VLOOKUP(VLOOKUP(AE$1,main!$A$3:$I$102,7,FALSE),main!$K$26:$Q$29,3,FALSE),1,0)</f>
        <v>0</v>
      </c>
      <c r="AF11">
        <f>IF(VLOOKUP(AF$1,main!$A$3:$H$102,5,FALSE)-VLOOKUP($A11,main!$A$3:$H$102,6,FALSE)&gt;=main!$D$103+VLOOKUP(VLOOKUP(AF$1,main!$A$3:$I$102,7,FALSE),main!$K$26:$Q$29,3,FALSE),1,0)</f>
        <v>0</v>
      </c>
      <c r="AG11">
        <f>IF(VLOOKUP(AG$1,main!$A$3:$H$102,5,FALSE)-VLOOKUP($A11,main!$A$3:$H$102,6,FALSE)&gt;=main!$D$103+VLOOKUP(VLOOKUP(AG$1,main!$A$3:$I$102,7,FALSE),main!$K$26:$Q$29,3,FALSE),1,0)</f>
        <v>0</v>
      </c>
      <c r="AH11">
        <f>IF(VLOOKUP(AH$1,main!$A$3:$H$102,5,FALSE)-VLOOKUP($A11,main!$A$3:$H$102,6,FALSE)&gt;=main!$D$103+VLOOKUP(VLOOKUP(AH$1,main!$A$3:$I$102,7,FALSE),main!$K$26:$Q$29,3,FALSE),1,0)</f>
        <v>0</v>
      </c>
      <c r="AI11">
        <f>IF(VLOOKUP(AI$1,main!$A$3:$H$102,5,FALSE)-VLOOKUP($A11,main!$A$3:$H$102,6,FALSE)&gt;=main!$D$103+VLOOKUP(VLOOKUP(AI$1,main!$A$3:$I$102,7,FALSE),main!$K$26:$Q$29,3,FALSE),1,0)</f>
        <v>0</v>
      </c>
      <c r="AJ11">
        <f>IF(VLOOKUP(AJ$1,main!$A$3:$H$102,5,FALSE)-VLOOKUP($A11,main!$A$3:$H$102,6,FALSE)&gt;=main!$D$103+VLOOKUP(VLOOKUP(AJ$1,main!$A$3:$I$102,7,FALSE),main!$K$26:$Q$29,3,FALSE),1,0)</f>
        <v>0</v>
      </c>
      <c r="AK11">
        <f>IF(VLOOKUP(AK$1,main!$A$3:$H$102,5,FALSE)-VLOOKUP($A11,main!$A$3:$H$102,6,FALSE)&gt;=main!$D$103+VLOOKUP(VLOOKUP(AK$1,main!$A$3:$I$102,7,FALSE),main!$K$26:$Q$29,3,FALSE),1,0)</f>
        <v>0</v>
      </c>
      <c r="AL11">
        <f>IF(VLOOKUP(AL$1,main!$A$3:$H$102,5,FALSE)-VLOOKUP($A11,main!$A$3:$H$102,6,FALSE)&gt;=main!$D$103+VLOOKUP(VLOOKUP(AL$1,main!$A$3:$I$102,7,FALSE),main!$K$26:$Q$29,3,FALSE),1,0)</f>
        <v>0</v>
      </c>
      <c r="AM11">
        <f>IF(VLOOKUP(AM$1,main!$A$3:$H$102,5,FALSE)-VLOOKUP($A11,main!$A$3:$H$102,6,FALSE)&gt;=main!$D$103+VLOOKUP(VLOOKUP(AM$1,main!$A$3:$I$102,7,FALSE),main!$K$26:$Q$29,3,FALSE),1,0)</f>
        <v>0</v>
      </c>
      <c r="AN11">
        <f>IF(VLOOKUP(AN$1,main!$A$3:$H$102,5,FALSE)-VLOOKUP($A11,main!$A$3:$H$102,6,FALSE)&gt;=main!$D$103+VLOOKUP(VLOOKUP(AN$1,main!$A$3:$I$102,7,FALSE),main!$K$26:$Q$29,3,FALSE),1,0)</f>
        <v>0</v>
      </c>
      <c r="AO11">
        <f>IF(VLOOKUP(AO$1,main!$A$3:$H$102,5,FALSE)-VLOOKUP($A11,main!$A$3:$H$102,6,FALSE)&gt;=main!$D$103+VLOOKUP(VLOOKUP(AO$1,main!$A$3:$I$102,7,FALSE),main!$K$26:$Q$29,3,FALSE),1,0)</f>
        <v>0</v>
      </c>
      <c r="AP11">
        <f>IF(VLOOKUP(AP$1,main!$A$3:$H$102,5,FALSE)-VLOOKUP($A11,main!$A$3:$H$102,6,FALSE)&gt;=main!$D$103+VLOOKUP(VLOOKUP(AP$1,main!$A$3:$I$102,7,FALSE),main!$K$26:$Q$29,3,FALSE),1,0)</f>
        <v>0</v>
      </c>
      <c r="AQ11">
        <f>IF(VLOOKUP(AQ$1,main!$A$3:$H$102,5,FALSE)-VLOOKUP($A11,main!$A$3:$H$102,6,FALSE)&gt;=main!$D$103+VLOOKUP(VLOOKUP(AQ$1,main!$A$3:$I$102,7,FALSE),main!$K$26:$Q$29,3,FALSE),1,0)</f>
        <v>0</v>
      </c>
      <c r="AR11">
        <f>IF(VLOOKUP(AR$1,main!$A$3:$H$102,5,FALSE)-VLOOKUP($A11,main!$A$3:$H$102,6,FALSE)&gt;=main!$D$103+VLOOKUP(VLOOKUP(AR$1,main!$A$3:$I$102,7,FALSE),main!$K$26:$Q$29,3,FALSE),1,0)</f>
        <v>0</v>
      </c>
      <c r="AS11">
        <f>IF(VLOOKUP(AS$1,main!$A$3:$H$102,5,FALSE)-VLOOKUP($A11,main!$A$3:$H$102,6,FALSE)&gt;=main!$D$103+VLOOKUP(VLOOKUP(AS$1,main!$A$3:$I$102,7,FALSE),main!$K$26:$Q$29,3,FALSE),1,0)</f>
        <v>0</v>
      </c>
      <c r="AT11">
        <f>IF(VLOOKUP(AT$1,main!$A$3:$H$102,5,FALSE)-VLOOKUP($A11,main!$A$3:$H$102,6,FALSE)&gt;=main!$D$103+VLOOKUP(VLOOKUP(AT$1,main!$A$3:$I$102,7,FALSE),main!$K$26:$Q$29,3,FALSE),1,0)</f>
        <v>0</v>
      </c>
      <c r="AU11">
        <f>IF(VLOOKUP(AU$1,main!$A$3:$H$102,5,FALSE)-VLOOKUP($A11,main!$A$3:$H$102,6,FALSE)&gt;=main!$D$103+VLOOKUP(VLOOKUP(AU$1,main!$A$3:$I$102,7,FALSE),main!$K$26:$Q$29,3,FALSE),1,0)</f>
        <v>0</v>
      </c>
      <c r="AV11">
        <f>IF(VLOOKUP(AV$1,main!$A$3:$H$102,5,FALSE)-VLOOKUP($A11,main!$A$3:$H$102,6,FALSE)&gt;=main!$D$103+VLOOKUP(VLOOKUP(AV$1,main!$A$3:$I$102,7,FALSE),main!$K$26:$Q$29,3,FALSE),1,0)</f>
        <v>0</v>
      </c>
      <c r="AW11">
        <f>IF(VLOOKUP(AW$1,main!$A$3:$H$102,5,FALSE)-VLOOKUP($A11,main!$A$3:$H$102,6,FALSE)&gt;=main!$D$103+VLOOKUP(VLOOKUP(AW$1,main!$A$3:$I$102,7,FALSE),main!$K$26:$Q$29,3,FALSE),1,0)</f>
        <v>0</v>
      </c>
      <c r="AX11">
        <f>IF(VLOOKUP(AX$1,main!$A$3:$H$102,5,FALSE)-VLOOKUP($A11,main!$A$3:$H$102,6,FALSE)&gt;=main!$D$103+VLOOKUP(VLOOKUP(AX$1,main!$A$3:$I$102,7,FALSE),main!$K$26:$Q$29,3,FALSE),1,0)</f>
        <v>0</v>
      </c>
      <c r="AY11">
        <f>IF(VLOOKUP(AY$1,main!$A$3:$H$102,5,FALSE)-VLOOKUP($A11,main!$A$3:$H$102,6,FALSE)&gt;=main!$D$103+VLOOKUP(VLOOKUP(AY$1,main!$A$3:$I$102,7,FALSE),main!$K$26:$Q$29,3,FALSE),1,0)</f>
        <v>0</v>
      </c>
      <c r="AZ11">
        <f>IF(VLOOKUP(AZ$1,main!$A$3:$H$102,5,FALSE)-VLOOKUP($A11,main!$A$3:$H$102,6,FALSE)&gt;=main!$D$103+VLOOKUP(VLOOKUP(AZ$1,main!$A$3:$I$102,7,FALSE),main!$K$26:$Q$29,3,FALSE),1,0)</f>
        <v>0</v>
      </c>
      <c r="BA11">
        <f>IF(VLOOKUP(BA$1,main!$A$3:$H$102,5,FALSE)-VLOOKUP($A11,main!$A$3:$H$102,6,FALSE)&gt;=main!$D$103+VLOOKUP(VLOOKUP(BA$1,main!$A$3:$I$102,7,FALSE),main!$K$26:$Q$29,3,FALSE),1,0)</f>
        <v>0</v>
      </c>
      <c r="BB11">
        <f>IF(VLOOKUP(BB$1,main!$A$3:$H$102,5,FALSE)-VLOOKUP($A11,main!$A$3:$H$102,6,FALSE)&gt;=main!$D$103+VLOOKUP(VLOOKUP(BB$1,main!$A$3:$I$102,7,FALSE),main!$K$26:$Q$29,3,FALSE),1,0)</f>
        <v>0</v>
      </c>
      <c r="BC11">
        <f>IF(VLOOKUP(BC$1,main!$A$3:$H$102,5,FALSE)-VLOOKUP($A11,main!$A$3:$H$102,6,FALSE)&gt;=main!$D$103+VLOOKUP(VLOOKUP(BC$1,main!$A$3:$I$102,7,FALSE),main!$K$26:$Q$29,3,FALSE),1,0)</f>
        <v>0</v>
      </c>
      <c r="BD11">
        <f>IF(VLOOKUP(BD$1,main!$A$3:$H$102,5,FALSE)-VLOOKUP($A11,main!$A$3:$H$102,6,FALSE)&gt;=main!$D$103+VLOOKUP(VLOOKUP(BD$1,main!$A$3:$I$102,7,FALSE),main!$K$26:$Q$29,3,FALSE),1,0)</f>
        <v>0</v>
      </c>
      <c r="BE11">
        <f>IF(VLOOKUP(BE$1,main!$A$3:$H$102,5,FALSE)-VLOOKUP($A11,main!$A$3:$H$102,6,FALSE)&gt;=main!$D$103+VLOOKUP(VLOOKUP(BE$1,main!$A$3:$I$102,7,FALSE),main!$K$26:$Q$29,3,FALSE),1,0)</f>
        <v>0</v>
      </c>
      <c r="BF11">
        <f>IF(VLOOKUP(BF$1,main!$A$3:$H$102,5,FALSE)-VLOOKUP($A11,main!$A$3:$H$102,6,FALSE)&gt;=main!$D$103+VLOOKUP(VLOOKUP(BF$1,main!$A$3:$I$102,7,FALSE),main!$K$26:$Q$29,3,FALSE),1,0)</f>
        <v>0</v>
      </c>
      <c r="BG11">
        <f>IF(VLOOKUP(BG$1,main!$A$3:$H$102,5,FALSE)-VLOOKUP($A11,main!$A$3:$H$102,6,FALSE)&gt;=main!$D$103+VLOOKUP(VLOOKUP(BG$1,main!$A$3:$I$102,7,FALSE),main!$K$26:$Q$29,3,FALSE),1,0)</f>
        <v>0</v>
      </c>
      <c r="BH11">
        <f>IF(VLOOKUP(BH$1,main!$A$3:$H$102,5,FALSE)-VLOOKUP($A11,main!$A$3:$H$102,6,FALSE)&gt;=main!$D$103+VLOOKUP(VLOOKUP(BH$1,main!$A$3:$I$102,7,FALSE),main!$K$26:$Q$29,3,FALSE),1,0)</f>
        <v>0</v>
      </c>
      <c r="BI11">
        <f>IF(VLOOKUP(BI$1,main!$A$3:$H$102,5,FALSE)-VLOOKUP($A11,main!$A$3:$H$102,6,FALSE)&gt;=main!$D$103+VLOOKUP(VLOOKUP(BI$1,main!$A$3:$I$102,7,FALSE),main!$K$26:$Q$29,3,FALSE),1,0)</f>
        <v>0</v>
      </c>
      <c r="BJ11">
        <f>IF(VLOOKUP(BJ$1,main!$A$3:$H$102,5,FALSE)-VLOOKUP($A11,main!$A$3:$H$102,6,FALSE)&gt;=main!$D$103+VLOOKUP(VLOOKUP(BJ$1,main!$A$3:$I$102,7,FALSE),main!$K$26:$Q$29,3,FALSE),1,0)</f>
        <v>0</v>
      </c>
      <c r="BK11">
        <f>IF(VLOOKUP(BK$1,main!$A$3:$H$102,5,FALSE)-VLOOKUP($A11,main!$A$3:$H$102,6,FALSE)&gt;=main!$D$103+VLOOKUP(VLOOKUP(BK$1,main!$A$3:$I$102,7,FALSE),main!$K$26:$Q$29,3,FALSE),1,0)</f>
        <v>0</v>
      </c>
      <c r="BL11">
        <f>IF(VLOOKUP(BL$1,main!$A$3:$H$102,5,FALSE)-VLOOKUP($A11,main!$A$3:$H$102,6,FALSE)&gt;=main!$D$103+VLOOKUP(VLOOKUP(BL$1,main!$A$3:$I$102,7,FALSE),main!$K$26:$Q$29,3,FALSE),1,0)</f>
        <v>0</v>
      </c>
      <c r="BM11">
        <f>IF(VLOOKUP(BM$1,main!$A$3:$H$102,5,FALSE)-VLOOKUP($A11,main!$A$3:$H$102,6,FALSE)&gt;=main!$D$103+VLOOKUP(VLOOKUP(BM$1,main!$A$3:$I$102,7,FALSE),main!$K$26:$Q$29,3,FALSE),1,0)</f>
        <v>0</v>
      </c>
      <c r="BN11">
        <f>IF(VLOOKUP(BN$1,main!$A$3:$H$102,5,FALSE)-VLOOKUP($A11,main!$A$3:$H$102,6,FALSE)&gt;=main!$D$103+VLOOKUP(VLOOKUP(BN$1,main!$A$3:$I$102,7,FALSE),main!$K$26:$Q$29,3,FALSE),1,0)</f>
        <v>0</v>
      </c>
      <c r="BO11">
        <f>IF(VLOOKUP(BO$1,main!$A$3:$H$102,5,FALSE)-VLOOKUP($A11,main!$A$3:$H$102,6,FALSE)&gt;=main!$D$103+VLOOKUP(VLOOKUP(BO$1,main!$A$3:$I$102,7,FALSE),main!$K$26:$Q$29,3,FALSE),1,0)</f>
        <v>0</v>
      </c>
      <c r="BP11">
        <f>IF(VLOOKUP(BP$1,main!$A$3:$H$102,5,FALSE)-VLOOKUP($A11,main!$A$3:$H$102,6,FALSE)&gt;=main!$D$103+VLOOKUP(VLOOKUP(BP$1,main!$A$3:$I$102,7,FALSE),main!$K$26:$Q$29,3,FALSE),1,0)</f>
        <v>0</v>
      </c>
      <c r="BQ11">
        <f>IF(VLOOKUP(BQ$1,main!$A$3:$H$102,5,FALSE)-VLOOKUP($A11,main!$A$3:$H$102,6,FALSE)&gt;=main!$D$103+VLOOKUP(VLOOKUP(BQ$1,main!$A$3:$I$102,7,FALSE),main!$K$26:$Q$29,3,FALSE),1,0)</f>
        <v>0</v>
      </c>
      <c r="BR11">
        <f>IF(VLOOKUP(BR$1,main!$A$3:$H$102,5,FALSE)-VLOOKUP($A11,main!$A$3:$H$102,6,FALSE)&gt;=main!$D$103+VLOOKUP(VLOOKUP(BR$1,main!$A$3:$I$102,7,FALSE),main!$K$26:$Q$29,3,FALSE),1,0)</f>
        <v>0</v>
      </c>
      <c r="BS11">
        <f>IF(VLOOKUP(BS$1,main!$A$3:$H$102,5,FALSE)-VLOOKUP($A11,main!$A$3:$H$102,6,FALSE)&gt;=main!$D$103+VLOOKUP(VLOOKUP(BS$1,main!$A$3:$I$102,7,FALSE),main!$K$26:$Q$29,3,FALSE),1,0)</f>
        <v>0</v>
      </c>
      <c r="BT11">
        <f>IF(VLOOKUP(BT$1,main!$A$3:$H$102,5,FALSE)-VLOOKUP($A11,main!$A$3:$H$102,6,FALSE)&gt;=main!$D$103+VLOOKUP(VLOOKUP(BT$1,main!$A$3:$I$102,7,FALSE),main!$K$26:$Q$29,3,FALSE),1,0)</f>
        <v>0</v>
      </c>
      <c r="BU11">
        <f>IF(VLOOKUP(BU$1,main!$A$3:$H$102,5,FALSE)-VLOOKUP($A11,main!$A$3:$H$102,6,FALSE)&gt;=main!$D$103+VLOOKUP(VLOOKUP(BU$1,main!$A$3:$I$102,7,FALSE),main!$K$26:$Q$29,3,FALSE),1,0)</f>
        <v>0</v>
      </c>
      <c r="BV11">
        <f>IF(VLOOKUP(BV$1,main!$A$3:$H$102,5,FALSE)-VLOOKUP($A11,main!$A$3:$H$102,6,FALSE)&gt;=main!$D$103+VLOOKUP(VLOOKUP(BV$1,main!$A$3:$I$102,7,FALSE),main!$K$26:$Q$29,3,FALSE),1,0)</f>
        <v>0</v>
      </c>
      <c r="BW11">
        <f>IF(VLOOKUP(BW$1,main!$A$3:$H$102,5,FALSE)-VLOOKUP($A11,main!$A$3:$H$102,6,FALSE)&gt;=main!$D$103+VLOOKUP(VLOOKUP(BW$1,main!$A$3:$I$102,7,FALSE),main!$K$26:$Q$29,3,FALSE),1,0)</f>
        <v>0</v>
      </c>
      <c r="BX11">
        <f>IF(VLOOKUP(BX$1,main!$A$3:$H$102,5,FALSE)-VLOOKUP($A11,main!$A$3:$H$102,6,FALSE)&gt;=main!$D$103+VLOOKUP(VLOOKUP(BX$1,main!$A$3:$I$102,7,FALSE),main!$K$26:$Q$29,3,FALSE),1,0)</f>
        <v>0</v>
      </c>
      <c r="BY11">
        <f>IF(VLOOKUP(BY$1,main!$A$3:$H$102,5,FALSE)-VLOOKUP($A11,main!$A$3:$H$102,6,FALSE)&gt;=main!$D$103+VLOOKUP(VLOOKUP(BY$1,main!$A$3:$I$102,7,FALSE),main!$K$26:$Q$29,3,FALSE),1,0)</f>
        <v>0</v>
      </c>
      <c r="BZ11">
        <f>IF(VLOOKUP(BZ$1,main!$A$3:$H$102,5,FALSE)-VLOOKUP($A11,main!$A$3:$H$102,6,FALSE)&gt;=main!$D$103+VLOOKUP(VLOOKUP(BZ$1,main!$A$3:$I$102,7,FALSE),main!$K$26:$Q$29,3,FALSE),1,0)</f>
        <v>0</v>
      </c>
      <c r="CA11">
        <f>IF(VLOOKUP(CA$1,main!$A$3:$H$102,5,FALSE)-VLOOKUP($A11,main!$A$3:$H$102,6,FALSE)&gt;=main!$D$103+VLOOKUP(VLOOKUP(CA$1,main!$A$3:$I$102,7,FALSE),main!$K$26:$Q$29,3,FALSE),1,0)</f>
        <v>0</v>
      </c>
      <c r="CB11">
        <f>IF(VLOOKUP(CB$1,main!$A$3:$H$102,5,FALSE)-VLOOKUP($A11,main!$A$3:$H$102,6,FALSE)&gt;=main!$D$103+VLOOKUP(VLOOKUP(CB$1,main!$A$3:$I$102,7,FALSE),main!$K$26:$Q$29,3,FALSE),1,0)</f>
        <v>0</v>
      </c>
      <c r="CC11">
        <f>IF(VLOOKUP(CC$1,main!$A$3:$H$102,5,FALSE)-VLOOKUP($A11,main!$A$3:$H$102,6,FALSE)&gt;=main!$D$103+VLOOKUP(VLOOKUP(CC$1,main!$A$3:$I$102,7,FALSE),main!$K$26:$Q$29,3,FALSE),1,0)</f>
        <v>0</v>
      </c>
      <c r="CD11">
        <f>IF(VLOOKUP(CD$1,main!$A$3:$H$102,5,FALSE)-VLOOKUP($A11,main!$A$3:$H$102,6,FALSE)&gt;=main!$D$103+VLOOKUP(VLOOKUP(CD$1,main!$A$3:$I$102,7,FALSE),main!$K$26:$Q$29,3,FALSE),1,0)</f>
        <v>0</v>
      </c>
      <c r="CE11">
        <f>IF(VLOOKUP(CE$1,main!$A$3:$H$102,5,FALSE)-VLOOKUP($A11,main!$A$3:$H$102,6,FALSE)&gt;=main!$D$103+VLOOKUP(VLOOKUP(CE$1,main!$A$3:$I$102,7,FALSE),main!$K$26:$Q$29,3,FALSE),1,0)</f>
        <v>0</v>
      </c>
      <c r="CF11">
        <f>IF(VLOOKUP(CF$1,main!$A$3:$H$102,5,FALSE)-VLOOKUP($A11,main!$A$3:$H$102,6,FALSE)&gt;=main!$D$103+VLOOKUP(VLOOKUP(CF$1,main!$A$3:$I$102,7,FALSE),main!$K$26:$Q$29,3,FALSE),1,0)</f>
        <v>0</v>
      </c>
      <c r="CG11">
        <f>IF(VLOOKUP(CG$1,main!$A$3:$H$102,5,FALSE)-VLOOKUP($A11,main!$A$3:$H$102,6,FALSE)&gt;=main!$D$103+VLOOKUP(VLOOKUP(CG$1,main!$A$3:$I$102,7,FALSE),main!$K$26:$Q$29,3,FALSE),1,0)</f>
        <v>0</v>
      </c>
      <c r="CH11">
        <f>IF(VLOOKUP(CH$1,main!$A$3:$H$102,5,FALSE)-VLOOKUP($A11,main!$A$3:$H$102,6,FALSE)&gt;=main!$D$103+VLOOKUP(VLOOKUP(CH$1,main!$A$3:$I$102,7,FALSE),main!$K$26:$Q$29,3,FALSE),1,0)</f>
        <v>0</v>
      </c>
      <c r="CI11">
        <f>IF(VLOOKUP(CI$1,main!$A$3:$H$102,5,FALSE)-VLOOKUP($A11,main!$A$3:$H$102,6,FALSE)&gt;=main!$D$103+VLOOKUP(VLOOKUP(CI$1,main!$A$3:$I$102,7,FALSE),main!$K$26:$Q$29,3,FALSE),1,0)</f>
        <v>0</v>
      </c>
      <c r="CJ11">
        <f>IF(VLOOKUP(CJ$1,main!$A$3:$H$102,5,FALSE)-VLOOKUP($A11,main!$A$3:$H$102,6,FALSE)&gt;=main!$D$103+VLOOKUP(VLOOKUP(CJ$1,main!$A$3:$I$102,7,FALSE),main!$K$26:$Q$29,3,FALSE),1,0)</f>
        <v>0</v>
      </c>
      <c r="CK11">
        <f>IF(VLOOKUP(CK$1,main!$A$3:$H$102,5,FALSE)-VLOOKUP($A11,main!$A$3:$H$102,6,FALSE)&gt;=main!$D$103+VLOOKUP(VLOOKUP(CK$1,main!$A$3:$I$102,7,FALSE),main!$K$26:$Q$29,3,FALSE),1,0)</f>
        <v>0</v>
      </c>
      <c r="CL11">
        <f>IF(VLOOKUP(CL$1,main!$A$3:$H$102,5,FALSE)-VLOOKUP($A11,main!$A$3:$H$102,6,FALSE)&gt;=main!$D$103+VLOOKUP(VLOOKUP(CL$1,main!$A$3:$I$102,7,FALSE),main!$K$26:$Q$29,3,FALSE),1,0)</f>
        <v>0</v>
      </c>
      <c r="CM11">
        <f>IF(VLOOKUP(CM$1,main!$A$3:$H$102,5,FALSE)-VLOOKUP($A11,main!$A$3:$H$102,6,FALSE)&gt;=main!$D$103+VLOOKUP(VLOOKUP(CM$1,main!$A$3:$I$102,7,FALSE),main!$K$26:$Q$29,3,FALSE),1,0)</f>
        <v>0</v>
      </c>
      <c r="CN11">
        <f>IF(VLOOKUP(CN$1,main!$A$3:$H$102,5,FALSE)-VLOOKUP($A11,main!$A$3:$H$102,6,FALSE)&gt;=main!$D$103+VLOOKUP(VLOOKUP(CN$1,main!$A$3:$I$102,7,FALSE),main!$K$26:$Q$29,3,FALSE),1,0)</f>
        <v>0</v>
      </c>
      <c r="CO11">
        <f>IF(VLOOKUP(CO$1,main!$A$3:$H$102,5,FALSE)-VLOOKUP($A11,main!$A$3:$H$102,6,FALSE)&gt;=main!$D$103+VLOOKUP(VLOOKUP(CO$1,main!$A$3:$I$102,7,FALSE),main!$K$26:$Q$29,3,FALSE),1,0)</f>
        <v>0</v>
      </c>
      <c r="CP11">
        <f>IF(VLOOKUP(CP$1,main!$A$3:$H$102,5,FALSE)-VLOOKUP($A11,main!$A$3:$H$102,6,FALSE)&gt;=main!$D$103+VLOOKUP(VLOOKUP(CP$1,main!$A$3:$I$102,7,FALSE),main!$K$26:$Q$29,3,FALSE),1,0)</f>
        <v>0</v>
      </c>
      <c r="CQ11">
        <f>IF(VLOOKUP(CQ$1,main!$A$3:$H$102,5,FALSE)-VLOOKUP($A11,main!$A$3:$H$102,6,FALSE)&gt;=main!$D$103+VLOOKUP(VLOOKUP(CQ$1,main!$A$3:$I$102,7,FALSE),main!$K$26:$Q$29,3,FALSE),1,0)</f>
        <v>0</v>
      </c>
      <c r="CR11">
        <f>IF(VLOOKUP(CR$1,main!$A$3:$H$102,5,FALSE)-VLOOKUP($A11,main!$A$3:$H$102,6,FALSE)&gt;=main!$D$103+VLOOKUP(VLOOKUP(CR$1,main!$A$3:$I$102,7,FALSE),main!$K$26:$Q$29,3,FALSE),1,0)</f>
        <v>0</v>
      </c>
      <c r="CS11">
        <f>IF(VLOOKUP(CS$1,main!$A$3:$H$102,5,FALSE)-VLOOKUP($A11,main!$A$3:$H$102,6,FALSE)&gt;=main!$D$103+VLOOKUP(VLOOKUP(CS$1,main!$A$3:$I$102,7,FALSE),main!$K$26:$Q$29,3,FALSE),1,0)</f>
        <v>0</v>
      </c>
      <c r="CT11">
        <f>IF(VLOOKUP(CT$1,main!$A$3:$H$102,5,FALSE)-VLOOKUP($A11,main!$A$3:$H$102,6,FALSE)&gt;=main!$D$103+VLOOKUP(VLOOKUP(CT$1,main!$A$3:$I$102,7,FALSE),main!$K$26:$Q$29,3,FALSE),1,0)</f>
        <v>0</v>
      </c>
      <c r="CU11">
        <f>IF(VLOOKUP(CU$1,main!$A$3:$H$102,5,FALSE)-VLOOKUP($A11,main!$A$3:$H$102,6,FALSE)&gt;=main!$D$103+VLOOKUP(VLOOKUP(CU$1,main!$A$3:$I$102,7,FALSE),main!$K$26:$Q$29,3,FALSE),1,0)</f>
        <v>0</v>
      </c>
      <c r="CV11">
        <f>IF(VLOOKUP(CV$1,main!$A$3:$H$102,5,FALSE)-VLOOKUP($A11,main!$A$3:$H$102,6,FALSE)&gt;=main!$D$103+VLOOKUP(VLOOKUP(CV$1,main!$A$3:$I$102,7,FALSE),main!$K$26:$Q$29,3,FALSE),1,0)</f>
        <v>0</v>
      </c>
      <c r="CW11">
        <f>IF(VLOOKUP(CW$1,main!$A$3:$H$102,5,FALSE)-VLOOKUP($A11,main!$A$3:$H$102,6,FALSE)&gt;=main!$D$103+VLOOKUP(VLOOKUP(CW$1,main!$A$3:$I$102,7,FALSE),main!$K$26:$Q$29,3,FALSE),1,0)</f>
        <v>0</v>
      </c>
      <c r="CX11">
        <f>IF(VLOOKUP(CX$1,main!$A$3:$H$102,5,FALSE)-VLOOKUP($A11,main!$A$3:$H$102,6,FALSE)&gt;=main!$D$103+VLOOKUP(VLOOKUP(CX$1,main!$A$3:$I$102,7,FALSE),main!$K$26:$Q$29,3,FALSE),1,0)</f>
        <v>0</v>
      </c>
      <c r="CZ11">
        <f>IF(VLOOKUP(CX$1,main!$A$3:$H$102,5,FALSE)-VLOOKUP($A3,main!$A$3:$H$102,6,FALSE)&gt;=main!$D$103+VLOOKUP(VLOOKUP(CX$1,main!$A$3:$I$102,7,FALSE),main!$K$26:$Q$29,3,FALSE),1,0)</f>
        <v>1</v>
      </c>
    </row>
    <row r="12" spans="1:104" x14ac:dyDescent="0.25">
      <c r="A12" s="1">
        <v>10</v>
      </c>
      <c r="B12">
        <v>0</v>
      </c>
      <c r="C12">
        <f>IF(VLOOKUP(C$1,main!$A$3:$H$102,5,FALSE)-VLOOKUP($A12,main!$A$3:$H$102,6,FALSE)&gt;=main!$D$103+VLOOKUP(VLOOKUP(C$1,main!$A$3:$I$102,7,FALSE),main!$K$26:$Q$29,3,FALSE),1,0)</f>
        <v>0</v>
      </c>
      <c r="D12">
        <f>IF(VLOOKUP(D$1,main!$A$3:$H$102,5,FALSE)-VLOOKUP($A12,main!$A$3:$H$102,6,FALSE)&gt;=main!$D$103+VLOOKUP(VLOOKUP(D$1,main!$A$3:$I$102,7,FALSE),main!$K$26:$Q$29,3,FALSE),1,0)</f>
        <v>0</v>
      </c>
      <c r="E12">
        <f>IF(VLOOKUP(E$1,main!$A$3:$H$102,5,FALSE)-VLOOKUP($A12,main!$A$3:$H$102,6,FALSE)&gt;=main!$D$103+VLOOKUP(VLOOKUP(E$1,main!$A$3:$I$102,7,FALSE),main!$K$26:$Q$29,3,FALSE),1,0)</f>
        <v>0</v>
      </c>
      <c r="F12">
        <f>IF(VLOOKUP(F$1,main!$A$3:$H$102,5,FALSE)-VLOOKUP($A12,main!$A$3:$H$102,6,FALSE)&gt;=main!$D$103+VLOOKUP(VLOOKUP(F$1,main!$A$3:$I$102,7,FALSE),main!$K$26:$Q$29,3,FALSE),1,0)</f>
        <v>0</v>
      </c>
      <c r="G12">
        <f>IF(VLOOKUP(G$1,main!$A$3:$H$102,5,FALSE)-VLOOKUP($A12,main!$A$3:$H$102,6,FALSE)&gt;=main!$D$103+VLOOKUP(VLOOKUP(G$1,main!$A$3:$I$102,7,FALSE),main!$K$26:$Q$29,3,FALSE),1,0)</f>
        <v>0</v>
      </c>
      <c r="H12">
        <f>IF(VLOOKUP(H$1,main!$A$3:$H$102,5,FALSE)-VLOOKUP($A12,main!$A$3:$H$102,6,FALSE)&gt;=main!$D$103+VLOOKUP(VLOOKUP(H$1,main!$A$3:$I$102,7,FALSE),main!$K$26:$Q$29,3,FALSE),1,0)</f>
        <v>0</v>
      </c>
      <c r="I12">
        <f>IF(VLOOKUP(I$1,main!$A$3:$H$102,5,FALSE)-VLOOKUP($A12,main!$A$3:$H$102,6,FALSE)&gt;=main!$D$103+VLOOKUP(VLOOKUP(I$1,main!$A$3:$I$102,7,FALSE),main!$K$26:$Q$29,3,FALSE),1,0)</f>
        <v>0</v>
      </c>
      <c r="J12">
        <f>IF(VLOOKUP(J$1,main!$A$3:$H$102,5,FALSE)-VLOOKUP($A12,main!$A$3:$H$102,6,FALSE)&gt;=main!$D$103+VLOOKUP(VLOOKUP(J$1,main!$A$3:$I$102,7,FALSE),main!$K$26:$Q$29,3,FALSE),1,0)</f>
        <v>0</v>
      </c>
      <c r="K12">
        <f>IF(VLOOKUP(K$1,main!$A$3:$H$102,5,FALSE)-VLOOKUP($A12,main!$A$3:$H$102,6,FALSE)&gt;=main!$D$103+VLOOKUP(VLOOKUP(K$1,main!$A$3:$I$102,7,FALSE),main!$K$26:$Q$29,3,FALSE),1,0)</f>
        <v>0</v>
      </c>
      <c r="L12">
        <f>IF(VLOOKUP(L$1,main!$A$3:$H$102,5,FALSE)-VLOOKUP($A12,main!$A$3:$H$102,6,FALSE)&gt;=main!$D$103+VLOOKUP(VLOOKUP(L$1,main!$A$3:$I$102,7,FALSE),main!$K$26:$Q$29,3,FALSE),1,0)</f>
        <v>0</v>
      </c>
      <c r="M12">
        <f>IF(VLOOKUP(M$1,main!$A$3:$H$102,5,FALSE)-VLOOKUP($A12,main!$A$3:$H$102,6,FALSE)&gt;=main!$D$103+VLOOKUP(VLOOKUP(M$1,main!$A$3:$I$102,7,FALSE),main!$K$26:$Q$29,3,FALSE),1,0)</f>
        <v>0</v>
      </c>
      <c r="N12">
        <f>IF(VLOOKUP(N$1,main!$A$3:$H$102,5,FALSE)-VLOOKUP($A12,main!$A$3:$H$102,6,FALSE)&gt;=main!$D$103+VLOOKUP(VLOOKUP(N$1,main!$A$3:$I$102,7,FALSE),main!$K$26:$Q$29,3,FALSE),1,0)</f>
        <v>0</v>
      </c>
      <c r="O12">
        <f>IF(VLOOKUP(O$1,main!$A$3:$H$102,5,FALSE)-VLOOKUP($A12,main!$A$3:$H$102,6,FALSE)&gt;=main!$D$103+VLOOKUP(VLOOKUP(O$1,main!$A$3:$I$102,7,FALSE),main!$K$26:$Q$29,3,FALSE),1,0)</f>
        <v>0</v>
      </c>
      <c r="P12">
        <f>IF(VLOOKUP(P$1,main!$A$3:$H$102,5,FALSE)-VLOOKUP($A12,main!$A$3:$H$102,6,FALSE)&gt;=main!$D$103+VLOOKUP(VLOOKUP(P$1,main!$A$3:$I$102,7,FALSE),main!$K$26:$Q$29,3,FALSE),1,0)</f>
        <v>0</v>
      </c>
      <c r="Q12">
        <f>IF(VLOOKUP(Q$1,main!$A$3:$H$102,5,FALSE)-VLOOKUP($A12,main!$A$3:$H$102,6,FALSE)&gt;=main!$D$103+VLOOKUP(VLOOKUP(Q$1,main!$A$3:$I$102,7,FALSE),main!$K$26:$Q$29,3,FALSE),1,0)</f>
        <v>0</v>
      </c>
      <c r="R12">
        <f>IF(VLOOKUP(R$1,main!$A$3:$H$102,5,FALSE)-VLOOKUP($A12,main!$A$3:$H$102,6,FALSE)&gt;=main!$D$103+VLOOKUP(VLOOKUP(R$1,main!$A$3:$I$102,7,FALSE),main!$K$26:$Q$29,3,FALSE),1,0)</f>
        <v>0</v>
      </c>
      <c r="S12">
        <f>IF(VLOOKUP(S$1,main!$A$3:$H$102,5,FALSE)-VLOOKUP($A12,main!$A$3:$H$102,6,FALSE)&gt;=main!$D$103+VLOOKUP(VLOOKUP(S$1,main!$A$3:$I$102,7,FALSE),main!$K$26:$Q$29,3,FALSE),1,0)</f>
        <v>0</v>
      </c>
      <c r="T12">
        <f>IF(VLOOKUP(T$1,main!$A$3:$H$102,5,FALSE)-VLOOKUP($A12,main!$A$3:$H$102,6,FALSE)&gt;=main!$D$103+VLOOKUP(VLOOKUP(T$1,main!$A$3:$I$102,7,FALSE),main!$K$26:$Q$29,3,FALSE),1,0)</f>
        <v>0</v>
      </c>
      <c r="U12">
        <f>IF(VLOOKUP(U$1,main!$A$3:$H$102,5,FALSE)-VLOOKUP($A12,main!$A$3:$H$102,6,FALSE)&gt;=main!$D$103+VLOOKUP(VLOOKUP(U$1,main!$A$3:$I$102,7,FALSE),main!$K$26:$Q$29,3,FALSE),1,0)</f>
        <v>0</v>
      </c>
      <c r="V12">
        <f>IF(VLOOKUP(V$1,main!$A$3:$H$102,5,FALSE)-VLOOKUP($A12,main!$A$3:$H$102,6,FALSE)&gt;=main!$D$103+VLOOKUP(VLOOKUP(V$1,main!$A$3:$I$102,7,FALSE),main!$K$26:$Q$29,3,FALSE),1,0)</f>
        <v>0</v>
      </c>
      <c r="W12">
        <f>IF(VLOOKUP(W$1,main!$A$3:$H$102,5,FALSE)-VLOOKUP($A12,main!$A$3:$H$102,6,FALSE)&gt;=main!$D$103+VLOOKUP(VLOOKUP(W$1,main!$A$3:$I$102,7,FALSE),main!$K$26:$Q$29,3,FALSE),1,0)</f>
        <v>0</v>
      </c>
      <c r="X12">
        <f>IF(VLOOKUP(X$1,main!$A$3:$H$102,5,FALSE)-VLOOKUP($A12,main!$A$3:$H$102,6,FALSE)&gt;=main!$D$103+VLOOKUP(VLOOKUP(X$1,main!$A$3:$I$102,7,FALSE),main!$K$26:$Q$29,3,FALSE),1,0)</f>
        <v>0</v>
      </c>
      <c r="Y12">
        <f>IF(VLOOKUP(Y$1,main!$A$3:$H$102,5,FALSE)-VLOOKUP($A12,main!$A$3:$H$102,6,FALSE)&gt;=main!$D$103+VLOOKUP(VLOOKUP(Y$1,main!$A$3:$I$102,7,FALSE),main!$K$26:$Q$29,3,FALSE),1,0)</f>
        <v>0</v>
      </c>
      <c r="Z12">
        <f>IF(VLOOKUP(Z$1,main!$A$3:$H$102,5,FALSE)-VLOOKUP($A12,main!$A$3:$H$102,6,FALSE)&gt;=main!$D$103+VLOOKUP(VLOOKUP(Z$1,main!$A$3:$I$102,7,FALSE),main!$K$26:$Q$29,3,FALSE),1,0)</f>
        <v>0</v>
      </c>
      <c r="AA12">
        <f>IF(VLOOKUP(AA$1,main!$A$3:$H$102,5,FALSE)-VLOOKUP($A12,main!$A$3:$H$102,6,FALSE)&gt;=main!$D$103+VLOOKUP(VLOOKUP(AA$1,main!$A$3:$I$102,7,FALSE),main!$K$26:$Q$29,3,FALSE),1,0)</f>
        <v>0</v>
      </c>
      <c r="AB12">
        <f>IF(VLOOKUP(AB$1,main!$A$3:$H$102,5,FALSE)-VLOOKUP($A12,main!$A$3:$H$102,6,FALSE)&gt;=main!$D$103+VLOOKUP(VLOOKUP(AB$1,main!$A$3:$I$102,7,FALSE),main!$K$26:$Q$29,3,FALSE),1,0)</f>
        <v>0</v>
      </c>
      <c r="AC12">
        <f>IF(VLOOKUP(AC$1,main!$A$3:$H$102,5,FALSE)-VLOOKUP($A12,main!$A$3:$H$102,6,FALSE)&gt;=main!$D$103+VLOOKUP(VLOOKUP(AC$1,main!$A$3:$I$102,7,FALSE),main!$K$26:$Q$29,3,FALSE),1,0)</f>
        <v>0</v>
      </c>
      <c r="AD12">
        <f>IF(VLOOKUP(AD$1,main!$A$3:$H$102,5,FALSE)-VLOOKUP($A12,main!$A$3:$H$102,6,FALSE)&gt;=main!$D$103+VLOOKUP(VLOOKUP(AD$1,main!$A$3:$I$102,7,FALSE),main!$K$26:$Q$29,3,FALSE),1,0)</f>
        <v>0</v>
      </c>
      <c r="AE12">
        <f>IF(VLOOKUP(AE$1,main!$A$3:$H$102,5,FALSE)-VLOOKUP($A12,main!$A$3:$H$102,6,FALSE)&gt;=main!$D$103+VLOOKUP(VLOOKUP(AE$1,main!$A$3:$I$102,7,FALSE),main!$K$26:$Q$29,3,FALSE),1,0)</f>
        <v>0</v>
      </c>
      <c r="AF12">
        <f>IF(VLOOKUP(AF$1,main!$A$3:$H$102,5,FALSE)-VLOOKUP($A12,main!$A$3:$H$102,6,FALSE)&gt;=main!$D$103+VLOOKUP(VLOOKUP(AF$1,main!$A$3:$I$102,7,FALSE),main!$K$26:$Q$29,3,FALSE),1,0)</f>
        <v>0</v>
      </c>
      <c r="AG12">
        <f>IF(VLOOKUP(AG$1,main!$A$3:$H$102,5,FALSE)-VLOOKUP($A12,main!$A$3:$H$102,6,FALSE)&gt;=main!$D$103+VLOOKUP(VLOOKUP(AG$1,main!$A$3:$I$102,7,FALSE),main!$K$26:$Q$29,3,FALSE),1,0)</f>
        <v>0</v>
      </c>
      <c r="AH12">
        <f>IF(VLOOKUP(AH$1,main!$A$3:$H$102,5,FALSE)-VLOOKUP($A12,main!$A$3:$H$102,6,FALSE)&gt;=main!$D$103+VLOOKUP(VLOOKUP(AH$1,main!$A$3:$I$102,7,FALSE),main!$K$26:$Q$29,3,FALSE),1,0)</f>
        <v>0</v>
      </c>
      <c r="AI12">
        <f>IF(VLOOKUP(AI$1,main!$A$3:$H$102,5,FALSE)-VLOOKUP($A12,main!$A$3:$H$102,6,FALSE)&gt;=main!$D$103+VLOOKUP(VLOOKUP(AI$1,main!$A$3:$I$102,7,FALSE),main!$K$26:$Q$29,3,FALSE),1,0)</f>
        <v>0</v>
      </c>
      <c r="AJ12">
        <f>IF(VLOOKUP(AJ$1,main!$A$3:$H$102,5,FALSE)-VLOOKUP($A12,main!$A$3:$H$102,6,FALSE)&gt;=main!$D$103+VLOOKUP(VLOOKUP(AJ$1,main!$A$3:$I$102,7,FALSE),main!$K$26:$Q$29,3,FALSE),1,0)</f>
        <v>0</v>
      </c>
      <c r="AK12">
        <f>IF(VLOOKUP(AK$1,main!$A$3:$H$102,5,FALSE)-VLOOKUP($A12,main!$A$3:$H$102,6,FALSE)&gt;=main!$D$103+VLOOKUP(VLOOKUP(AK$1,main!$A$3:$I$102,7,FALSE),main!$K$26:$Q$29,3,FALSE),1,0)</f>
        <v>0</v>
      </c>
      <c r="AL12">
        <f>IF(VLOOKUP(AL$1,main!$A$3:$H$102,5,FALSE)-VLOOKUP($A12,main!$A$3:$H$102,6,FALSE)&gt;=main!$D$103+VLOOKUP(VLOOKUP(AL$1,main!$A$3:$I$102,7,FALSE),main!$K$26:$Q$29,3,FALSE),1,0)</f>
        <v>0</v>
      </c>
      <c r="AM12">
        <f>IF(VLOOKUP(AM$1,main!$A$3:$H$102,5,FALSE)-VLOOKUP($A12,main!$A$3:$H$102,6,FALSE)&gt;=main!$D$103+VLOOKUP(VLOOKUP(AM$1,main!$A$3:$I$102,7,FALSE),main!$K$26:$Q$29,3,FALSE),1,0)</f>
        <v>0</v>
      </c>
      <c r="AN12">
        <f>IF(VLOOKUP(AN$1,main!$A$3:$H$102,5,FALSE)-VLOOKUP($A12,main!$A$3:$H$102,6,FALSE)&gt;=main!$D$103+VLOOKUP(VLOOKUP(AN$1,main!$A$3:$I$102,7,FALSE),main!$K$26:$Q$29,3,FALSE),1,0)</f>
        <v>0</v>
      </c>
      <c r="AO12">
        <f>IF(VLOOKUP(AO$1,main!$A$3:$H$102,5,FALSE)-VLOOKUP($A12,main!$A$3:$H$102,6,FALSE)&gt;=main!$D$103+VLOOKUP(VLOOKUP(AO$1,main!$A$3:$I$102,7,FALSE),main!$K$26:$Q$29,3,FALSE),1,0)</f>
        <v>0</v>
      </c>
      <c r="AP12">
        <f>IF(VLOOKUP(AP$1,main!$A$3:$H$102,5,FALSE)-VLOOKUP($A12,main!$A$3:$H$102,6,FALSE)&gt;=main!$D$103+VLOOKUP(VLOOKUP(AP$1,main!$A$3:$I$102,7,FALSE),main!$K$26:$Q$29,3,FALSE),1,0)</f>
        <v>0</v>
      </c>
      <c r="AQ12">
        <f>IF(VLOOKUP(AQ$1,main!$A$3:$H$102,5,FALSE)-VLOOKUP($A12,main!$A$3:$H$102,6,FALSE)&gt;=main!$D$103+VLOOKUP(VLOOKUP(AQ$1,main!$A$3:$I$102,7,FALSE),main!$K$26:$Q$29,3,FALSE),1,0)</f>
        <v>0</v>
      </c>
      <c r="AR12">
        <f>IF(VLOOKUP(AR$1,main!$A$3:$H$102,5,FALSE)-VLOOKUP($A12,main!$A$3:$H$102,6,FALSE)&gt;=main!$D$103+VLOOKUP(VLOOKUP(AR$1,main!$A$3:$I$102,7,FALSE),main!$K$26:$Q$29,3,FALSE),1,0)</f>
        <v>0</v>
      </c>
      <c r="AS12">
        <f>IF(VLOOKUP(AS$1,main!$A$3:$H$102,5,FALSE)-VLOOKUP($A12,main!$A$3:$H$102,6,FALSE)&gt;=main!$D$103+VLOOKUP(VLOOKUP(AS$1,main!$A$3:$I$102,7,FALSE),main!$K$26:$Q$29,3,FALSE),1,0)</f>
        <v>0</v>
      </c>
      <c r="AT12">
        <f>IF(VLOOKUP(AT$1,main!$A$3:$H$102,5,FALSE)-VLOOKUP($A12,main!$A$3:$H$102,6,FALSE)&gt;=main!$D$103+VLOOKUP(VLOOKUP(AT$1,main!$A$3:$I$102,7,FALSE),main!$K$26:$Q$29,3,FALSE),1,0)</f>
        <v>0</v>
      </c>
      <c r="AU12">
        <f>IF(VLOOKUP(AU$1,main!$A$3:$H$102,5,FALSE)-VLOOKUP($A12,main!$A$3:$H$102,6,FALSE)&gt;=main!$D$103+VLOOKUP(VLOOKUP(AU$1,main!$A$3:$I$102,7,FALSE),main!$K$26:$Q$29,3,FALSE),1,0)</f>
        <v>0</v>
      </c>
      <c r="AV12">
        <f>IF(VLOOKUP(AV$1,main!$A$3:$H$102,5,FALSE)-VLOOKUP($A12,main!$A$3:$H$102,6,FALSE)&gt;=main!$D$103+VLOOKUP(VLOOKUP(AV$1,main!$A$3:$I$102,7,FALSE),main!$K$26:$Q$29,3,FALSE),1,0)</f>
        <v>0</v>
      </c>
      <c r="AW12">
        <f>IF(VLOOKUP(AW$1,main!$A$3:$H$102,5,FALSE)-VLOOKUP($A12,main!$A$3:$H$102,6,FALSE)&gt;=main!$D$103+VLOOKUP(VLOOKUP(AW$1,main!$A$3:$I$102,7,FALSE),main!$K$26:$Q$29,3,FALSE),1,0)</f>
        <v>0</v>
      </c>
      <c r="AX12">
        <f>IF(VLOOKUP(AX$1,main!$A$3:$H$102,5,FALSE)-VLOOKUP($A12,main!$A$3:$H$102,6,FALSE)&gt;=main!$D$103+VLOOKUP(VLOOKUP(AX$1,main!$A$3:$I$102,7,FALSE),main!$K$26:$Q$29,3,FALSE),1,0)</f>
        <v>0</v>
      </c>
      <c r="AY12">
        <f>IF(VLOOKUP(AY$1,main!$A$3:$H$102,5,FALSE)-VLOOKUP($A12,main!$A$3:$H$102,6,FALSE)&gt;=main!$D$103+VLOOKUP(VLOOKUP(AY$1,main!$A$3:$I$102,7,FALSE),main!$K$26:$Q$29,3,FALSE),1,0)</f>
        <v>0</v>
      </c>
      <c r="AZ12">
        <f>IF(VLOOKUP(AZ$1,main!$A$3:$H$102,5,FALSE)-VLOOKUP($A12,main!$A$3:$H$102,6,FALSE)&gt;=main!$D$103+VLOOKUP(VLOOKUP(AZ$1,main!$A$3:$I$102,7,FALSE),main!$K$26:$Q$29,3,FALSE),1,0)</f>
        <v>0</v>
      </c>
      <c r="BA12">
        <f>IF(VLOOKUP(BA$1,main!$A$3:$H$102,5,FALSE)-VLOOKUP($A12,main!$A$3:$H$102,6,FALSE)&gt;=main!$D$103+VLOOKUP(VLOOKUP(BA$1,main!$A$3:$I$102,7,FALSE),main!$K$26:$Q$29,3,FALSE),1,0)</f>
        <v>0</v>
      </c>
      <c r="BB12">
        <f>IF(VLOOKUP(BB$1,main!$A$3:$H$102,5,FALSE)-VLOOKUP($A12,main!$A$3:$H$102,6,FALSE)&gt;=main!$D$103+VLOOKUP(VLOOKUP(BB$1,main!$A$3:$I$102,7,FALSE),main!$K$26:$Q$29,3,FALSE),1,0)</f>
        <v>0</v>
      </c>
      <c r="BC12">
        <f>IF(VLOOKUP(BC$1,main!$A$3:$H$102,5,FALSE)-VLOOKUP($A12,main!$A$3:$H$102,6,FALSE)&gt;=main!$D$103+VLOOKUP(VLOOKUP(BC$1,main!$A$3:$I$102,7,FALSE),main!$K$26:$Q$29,3,FALSE),1,0)</f>
        <v>0</v>
      </c>
      <c r="BD12">
        <f>IF(VLOOKUP(BD$1,main!$A$3:$H$102,5,FALSE)-VLOOKUP($A12,main!$A$3:$H$102,6,FALSE)&gt;=main!$D$103+VLOOKUP(VLOOKUP(BD$1,main!$A$3:$I$102,7,FALSE),main!$K$26:$Q$29,3,FALSE),1,0)</f>
        <v>0</v>
      </c>
      <c r="BE12">
        <f>IF(VLOOKUP(BE$1,main!$A$3:$H$102,5,FALSE)-VLOOKUP($A12,main!$A$3:$H$102,6,FALSE)&gt;=main!$D$103+VLOOKUP(VLOOKUP(BE$1,main!$A$3:$I$102,7,FALSE),main!$K$26:$Q$29,3,FALSE),1,0)</f>
        <v>0</v>
      </c>
      <c r="BF12">
        <f>IF(VLOOKUP(BF$1,main!$A$3:$H$102,5,FALSE)-VLOOKUP($A12,main!$A$3:$H$102,6,FALSE)&gt;=main!$D$103+VLOOKUP(VLOOKUP(BF$1,main!$A$3:$I$102,7,FALSE),main!$K$26:$Q$29,3,FALSE),1,0)</f>
        <v>0</v>
      </c>
      <c r="BG12">
        <f>IF(VLOOKUP(BG$1,main!$A$3:$H$102,5,FALSE)-VLOOKUP($A12,main!$A$3:$H$102,6,FALSE)&gt;=main!$D$103+VLOOKUP(VLOOKUP(BG$1,main!$A$3:$I$102,7,FALSE),main!$K$26:$Q$29,3,FALSE),1,0)</f>
        <v>0</v>
      </c>
      <c r="BH12">
        <f>IF(VLOOKUP(BH$1,main!$A$3:$H$102,5,FALSE)-VLOOKUP($A12,main!$A$3:$H$102,6,FALSE)&gt;=main!$D$103+VLOOKUP(VLOOKUP(BH$1,main!$A$3:$I$102,7,FALSE),main!$K$26:$Q$29,3,FALSE),1,0)</f>
        <v>0</v>
      </c>
      <c r="BI12">
        <f>IF(VLOOKUP(BI$1,main!$A$3:$H$102,5,FALSE)-VLOOKUP($A12,main!$A$3:$H$102,6,FALSE)&gt;=main!$D$103+VLOOKUP(VLOOKUP(BI$1,main!$A$3:$I$102,7,FALSE),main!$K$26:$Q$29,3,FALSE),1,0)</f>
        <v>0</v>
      </c>
      <c r="BJ12">
        <f>IF(VLOOKUP(BJ$1,main!$A$3:$H$102,5,FALSE)-VLOOKUP($A12,main!$A$3:$H$102,6,FALSE)&gt;=main!$D$103+VLOOKUP(VLOOKUP(BJ$1,main!$A$3:$I$102,7,FALSE),main!$K$26:$Q$29,3,FALSE),1,0)</f>
        <v>0</v>
      </c>
      <c r="BK12">
        <f>IF(VLOOKUP(BK$1,main!$A$3:$H$102,5,FALSE)-VLOOKUP($A12,main!$A$3:$H$102,6,FALSE)&gt;=main!$D$103+VLOOKUP(VLOOKUP(BK$1,main!$A$3:$I$102,7,FALSE),main!$K$26:$Q$29,3,FALSE),1,0)</f>
        <v>0</v>
      </c>
      <c r="BL12">
        <f>IF(VLOOKUP(BL$1,main!$A$3:$H$102,5,FALSE)-VLOOKUP($A12,main!$A$3:$H$102,6,FALSE)&gt;=main!$D$103+VLOOKUP(VLOOKUP(BL$1,main!$A$3:$I$102,7,FALSE),main!$K$26:$Q$29,3,FALSE),1,0)</f>
        <v>0</v>
      </c>
      <c r="BM12">
        <f>IF(VLOOKUP(BM$1,main!$A$3:$H$102,5,FALSE)-VLOOKUP($A12,main!$A$3:$H$102,6,FALSE)&gt;=main!$D$103+VLOOKUP(VLOOKUP(BM$1,main!$A$3:$I$102,7,FALSE),main!$K$26:$Q$29,3,FALSE),1,0)</f>
        <v>0</v>
      </c>
      <c r="BN12">
        <f>IF(VLOOKUP(BN$1,main!$A$3:$H$102,5,FALSE)-VLOOKUP($A12,main!$A$3:$H$102,6,FALSE)&gt;=main!$D$103+VLOOKUP(VLOOKUP(BN$1,main!$A$3:$I$102,7,FALSE),main!$K$26:$Q$29,3,FALSE),1,0)</f>
        <v>0</v>
      </c>
      <c r="BO12">
        <f>IF(VLOOKUP(BO$1,main!$A$3:$H$102,5,FALSE)-VLOOKUP($A12,main!$A$3:$H$102,6,FALSE)&gt;=main!$D$103+VLOOKUP(VLOOKUP(BO$1,main!$A$3:$I$102,7,FALSE),main!$K$26:$Q$29,3,FALSE),1,0)</f>
        <v>0</v>
      </c>
      <c r="BP12">
        <f>IF(VLOOKUP(BP$1,main!$A$3:$H$102,5,FALSE)-VLOOKUP($A12,main!$A$3:$H$102,6,FALSE)&gt;=main!$D$103+VLOOKUP(VLOOKUP(BP$1,main!$A$3:$I$102,7,FALSE),main!$K$26:$Q$29,3,FALSE),1,0)</f>
        <v>0</v>
      </c>
      <c r="BQ12">
        <f>IF(VLOOKUP(BQ$1,main!$A$3:$H$102,5,FALSE)-VLOOKUP($A12,main!$A$3:$H$102,6,FALSE)&gt;=main!$D$103+VLOOKUP(VLOOKUP(BQ$1,main!$A$3:$I$102,7,FALSE),main!$K$26:$Q$29,3,FALSE),1,0)</f>
        <v>0</v>
      </c>
      <c r="BR12">
        <f>IF(VLOOKUP(BR$1,main!$A$3:$H$102,5,FALSE)-VLOOKUP($A12,main!$A$3:$H$102,6,FALSE)&gt;=main!$D$103+VLOOKUP(VLOOKUP(BR$1,main!$A$3:$I$102,7,FALSE),main!$K$26:$Q$29,3,FALSE),1,0)</f>
        <v>0</v>
      </c>
      <c r="BS12">
        <f>IF(VLOOKUP(BS$1,main!$A$3:$H$102,5,FALSE)-VLOOKUP($A12,main!$A$3:$H$102,6,FALSE)&gt;=main!$D$103+VLOOKUP(VLOOKUP(BS$1,main!$A$3:$I$102,7,FALSE),main!$K$26:$Q$29,3,FALSE),1,0)</f>
        <v>0</v>
      </c>
      <c r="BT12">
        <f>IF(VLOOKUP(BT$1,main!$A$3:$H$102,5,FALSE)-VLOOKUP($A12,main!$A$3:$H$102,6,FALSE)&gt;=main!$D$103+VLOOKUP(VLOOKUP(BT$1,main!$A$3:$I$102,7,FALSE),main!$K$26:$Q$29,3,FALSE),1,0)</f>
        <v>0</v>
      </c>
      <c r="BU12">
        <f>IF(VLOOKUP(BU$1,main!$A$3:$H$102,5,FALSE)-VLOOKUP($A12,main!$A$3:$H$102,6,FALSE)&gt;=main!$D$103+VLOOKUP(VLOOKUP(BU$1,main!$A$3:$I$102,7,FALSE),main!$K$26:$Q$29,3,FALSE),1,0)</f>
        <v>0</v>
      </c>
      <c r="BV12">
        <f>IF(VLOOKUP(BV$1,main!$A$3:$H$102,5,FALSE)-VLOOKUP($A12,main!$A$3:$H$102,6,FALSE)&gt;=main!$D$103+VLOOKUP(VLOOKUP(BV$1,main!$A$3:$I$102,7,FALSE),main!$K$26:$Q$29,3,FALSE),1,0)</f>
        <v>0</v>
      </c>
      <c r="BW12">
        <f>IF(VLOOKUP(BW$1,main!$A$3:$H$102,5,FALSE)-VLOOKUP($A12,main!$A$3:$H$102,6,FALSE)&gt;=main!$D$103+VLOOKUP(VLOOKUP(BW$1,main!$A$3:$I$102,7,FALSE),main!$K$26:$Q$29,3,FALSE),1,0)</f>
        <v>0</v>
      </c>
      <c r="BX12">
        <f>IF(VLOOKUP(BX$1,main!$A$3:$H$102,5,FALSE)-VLOOKUP($A12,main!$A$3:$H$102,6,FALSE)&gt;=main!$D$103+VLOOKUP(VLOOKUP(BX$1,main!$A$3:$I$102,7,FALSE),main!$K$26:$Q$29,3,FALSE),1,0)</f>
        <v>0</v>
      </c>
      <c r="BY12">
        <f>IF(VLOOKUP(BY$1,main!$A$3:$H$102,5,FALSE)-VLOOKUP($A12,main!$A$3:$H$102,6,FALSE)&gt;=main!$D$103+VLOOKUP(VLOOKUP(BY$1,main!$A$3:$I$102,7,FALSE),main!$K$26:$Q$29,3,FALSE),1,0)</f>
        <v>0</v>
      </c>
      <c r="BZ12">
        <f>IF(VLOOKUP(BZ$1,main!$A$3:$H$102,5,FALSE)-VLOOKUP($A12,main!$A$3:$H$102,6,FALSE)&gt;=main!$D$103+VLOOKUP(VLOOKUP(BZ$1,main!$A$3:$I$102,7,FALSE),main!$K$26:$Q$29,3,FALSE),1,0)</f>
        <v>0</v>
      </c>
      <c r="CA12">
        <f>IF(VLOOKUP(CA$1,main!$A$3:$H$102,5,FALSE)-VLOOKUP($A12,main!$A$3:$H$102,6,FALSE)&gt;=main!$D$103+VLOOKUP(VLOOKUP(CA$1,main!$A$3:$I$102,7,FALSE),main!$K$26:$Q$29,3,FALSE),1,0)</f>
        <v>0</v>
      </c>
      <c r="CB12">
        <f>IF(VLOOKUP(CB$1,main!$A$3:$H$102,5,FALSE)-VLOOKUP($A12,main!$A$3:$H$102,6,FALSE)&gt;=main!$D$103+VLOOKUP(VLOOKUP(CB$1,main!$A$3:$I$102,7,FALSE),main!$K$26:$Q$29,3,FALSE),1,0)</f>
        <v>0</v>
      </c>
      <c r="CC12">
        <f>IF(VLOOKUP(CC$1,main!$A$3:$H$102,5,FALSE)-VLOOKUP($A12,main!$A$3:$H$102,6,FALSE)&gt;=main!$D$103+VLOOKUP(VLOOKUP(CC$1,main!$A$3:$I$102,7,FALSE),main!$K$26:$Q$29,3,FALSE),1,0)</f>
        <v>0</v>
      </c>
      <c r="CD12">
        <f>IF(VLOOKUP(CD$1,main!$A$3:$H$102,5,FALSE)-VLOOKUP($A12,main!$A$3:$H$102,6,FALSE)&gt;=main!$D$103+VLOOKUP(VLOOKUP(CD$1,main!$A$3:$I$102,7,FALSE),main!$K$26:$Q$29,3,FALSE),1,0)</f>
        <v>0</v>
      </c>
      <c r="CE12">
        <f>IF(VLOOKUP(CE$1,main!$A$3:$H$102,5,FALSE)-VLOOKUP($A12,main!$A$3:$H$102,6,FALSE)&gt;=main!$D$103+VLOOKUP(VLOOKUP(CE$1,main!$A$3:$I$102,7,FALSE),main!$K$26:$Q$29,3,FALSE),1,0)</f>
        <v>0</v>
      </c>
      <c r="CF12">
        <f>IF(VLOOKUP(CF$1,main!$A$3:$H$102,5,FALSE)-VLOOKUP($A12,main!$A$3:$H$102,6,FALSE)&gt;=main!$D$103+VLOOKUP(VLOOKUP(CF$1,main!$A$3:$I$102,7,FALSE),main!$K$26:$Q$29,3,FALSE),1,0)</f>
        <v>0</v>
      </c>
      <c r="CG12">
        <f>IF(VLOOKUP(CG$1,main!$A$3:$H$102,5,FALSE)-VLOOKUP($A12,main!$A$3:$H$102,6,FALSE)&gt;=main!$D$103+VLOOKUP(VLOOKUP(CG$1,main!$A$3:$I$102,7,FALSE),main!$K$26:$Q$29,3,FALSE),1,0)</f>
        <v>0</v>
      </c>
      <c r="CH12">
        <f>IF(VLOOKUP(CH$1,main!$A$3:$H$102,5,FALSE)-VLOOKUP($A12,main!$A$3:$H$102,6,FALSE)&gt;=main!$D$103+VLOOKUP(VLOOKUP(CH$1,main!$A$3:$I$102,7,FALSE),main!$K$26:$Q$29,3,FALSE),1,0)</f>
        <v>0</v>
      </c>
      <c r="CI12">
        <f>IF(VLOOKUP(CI$1,main!$A$3:$H$102,5,FALSE)-VLOOKUP($A12,main!$A$3:$H$102,6,FALSE)&gt;=main!$D$103+VLOOKUP(VLOOKUP(CI$1,main!$A$3:$I$102,7,FALSE),main!$K$26:$Q$29,3,FALSE),1,0)</f>
        <v>0</v>
      </c>
      <c r="CJ12">
        <f>IF(VLOOKUP(CJ$1,main!$A$3:$H$102,5,FALSE)-VLOOKUP($A12,main!$A$3:$H$102,6,FALSE)&gt;=main!$D$103+VLOOKUP(VLOOKUP(CJ$1,main!$A$3:$I$102,7,FALSE),main!$K$26:$Q$29,3,FALSE),1,0)</f>
        <v>0</v>
      </c>
      <c r="CK12">
        <f>IF(VLOOKUP(CK$1,main!$A$3:$H$102,5,FALSE)-VLOOKUP($A12,main!$A$3:$H$102,6,FALSE)&gt;=main!$D$103+VLOOKUP(VLOOKUP(CK$1,main!$A$3:$I$102,7,FALSE),main!$K$26:$Q$29,3,FALSE),1,0)</f>
        <v>0</v>
      </c>
      <c r="CL12">
        <f>IF(VLOOKUP(CL$1,main!$A$3:$H$102,5,FALSE)-VLOOKUP($A12,main!$A$3:$H$102,6,FALSE)&gt;=main!$D$103+VLOOKUP(VLOOKUP(CL$1,main!$A$3:$I$102,7,FALSE),main!$K$26:$Q$29,3,FALSE),1,0)</f>
        <v>0</v>
      </c>
      <c r="CM12">
        <f>IF(VLOOKUP(CM$1,main!$A$3:$H$102,5,FALSE)-VLOOKUP($A12,main!$A$3:$H$102,6,FALSE)&gt;=main!$D$103+VLOOKUP(VLOOKUP(CM$1,main!$A$3:$I$102,7,FALSE),main!$K$26:$Q$29,3,FALSE),1,0)</f>
        <v>0</v>
      </c>
      <c r="CN12">
        <f>IF(VLOOKUP(CN$1,main!$A$3:$H$102,5,FALSE)-VLOOKUP($A12,main!$A$3:$H$102,6,FALSE)&gt;=main!$D$103+VLOOKUP(VLOOKUP(CN$1,main!$A$3:$I$102,7,FALSE),main!$K$26:$Q$29,3,FALSE),1,0)</f>
        <v>0</v>
      </c>
      <c r="CO12">
        <f>IF(VLOOKUP(CO$1,main!$A$3:$H$102,5,FALSE)-VLOOKUP($A12,main!$A$3:$H$102,6,FALSE)&gt;=main!$D$103+VLOOKUP(VLOOKUP(CO$1,main!$A$3:$I$102,7,FALSE),main!$K$26:$Q$29,3,FALSE),1,0)</f>
        <v>0</v>
      </c>
      <c r="CP12">
        <f>IF(VLOOKUP(CP$1,main!$A$3:$H$102,5,FALSE)-VLOOKUP($A12,main!$A$3:$H$102,6,FALSE)&gt;=main!$D$103+VLOOKUP(VLOOKUP(CP$1,main!$A$3:$I$102,7,FALSE),main!$K$26:$Q$29,3,FALSE),1,0)</f>
        <v>0</v>
      </c>
      <c r="CQ12">
        <f>IF(VLOOKUP(CQ$1,main!$A$3:$H$102,5,FALSE)-VLOOKUP($A12,main!$A$3:$H$102,6,FALSE)&gt;=main!$D$103+VLOOKUP(VLOOKUP(CQ$1,main!$A$3:$I$102,7,FALSE),main!$K$26:$Q$29,3,FALSE),1,0)</f>
        <v>0</v>
      </c>
      <c r="CR12">
        <f>IF(VLOOKUP(CR$1,main!$A$3:$H$102,5,FALSE)-VLOOKUP($A12,main!$A$3:$H$102,6,FALSE)&gt;=main!$D$103+VLOOKUP(VLOOKUP(CR$1,main!$A$3:$I$102,7,FALSE),main!$K$26:$Q$29,3,FALSE),1,0)</f>
        <v>0</v>
      </c>
      <c r="CS12">
        <f>IF(VLOOKUP(CS$1,main!$A$3:$H$102,5,FALSE)-VLOOKUP($A12,main!$A$3:$H$102,6,FALSE)&gt;=main!$D$103+VLOOKUP(VLOOKUP(CS$1,main!$A$3:$I$102,7,FALSE),main!$K$26:$Q$29,3,FALSE),1,0)</f>
        <v>0</v>
      </c>
      <c r="CT12">
        <f>IF(VLOOKUP(CT$1,main!$A$3:$H$102,5,FALSE)-VLOOKUP($A12,main!$A$3:$H$102,6,FALSE)&gt;=main!$D$103+VLOOKUP(VLOOKUP(CT$1,main!$A$3:$I$102,7,FALSE),main!$K$26:$Q$29,3,FALSE),1,0)</f>
        <v>0</v>
      </c>
      <c r="CU12">
        <f>IF(VLOOKUP(CU$1,main!$A$3:$H$102,5,FALSE)-VLOOKUP($A12,main!$A$3:$H$102,6,FALSE)&gt;=main!$D$103+VLOOKUP(VLOOKUP(CU$1,main!$A$3:$I$102,7,FALSE),main!$K$26:$Q$29,3,FALSE),1,0)</f>
        <v>0</v>
      </c>
      <c r="CV12">
        <f>IF(VLOOKUP(CV$1,main!$A$3:$H$102,5,FALSE)-VLOOKUP($A12,main!$A$3:$H$102,6,FALSE)&gt;=main!$D$103+VLOOKUP(VLOOKUP(CV$1,main!$A$3:$I$102,7,FALSE),main!$K$26:$Q$29,3,FALSE),1,0)</f>
        <v>0</v>
      </c>
      <c r="CW12">
        <f>IF(VLOOKUP(CW$1,main!$A$3:$H$102,5,FALSE)-VLOOKUP($A12,main!$A$3:$H$102,6,FALSE)&gt;=main!$D$103+VLOOKUP(VLOOKUP(CW$1,main!$A$3:$I$102,7,FALSE),main!$K$26:$Q$29,3,FALSE),1,0)</f>
        <v>0</v>
      </c>
      <c r="CX12">
        <f>IF(VLOOKUP(CX$1,main!$A$3:$H$102,5,FALSE)-VLOOKUP($A12,main!$A$3:$H$102,6,FALSE)&gt;=main!$D$103+VLOOKUP(VLOOKUP(CX$1,main!$A$3:$I$102,7,FALSE),main!$K$26:$Q$29,3,FALSE),1,0)</f>
        <v>0</v>
      </c>
      <c r="CZ12">
        <f>VLOOKUP(CX$1,main!$A$3:$H$102,5,FALSE)</f>
        <v>1005</v>
      </c>
    </row>
    <row r="13" spans="1:104" x14ac:dyDescent="0.25">
      <c r="A13" s="1">
        <v>11</v>
      </c>
      <c r="B13">
        <v>0</v>
      </c>
      <c r="C13">
        <f>IF(VLOOKUP(C$1,main!$A$3:$H$102,5,FALSE)-VLOOKUP($A13,main!$A$3:$H$102,6,FALSE)&gt;=main!$D$103+VLOOKUP(VLOOKUP(C$1,main!$A$3:$I$102,7,FALSE),main!$K$26:$Q$29,3,FALSE),1,0)</f>
        <v>0</v>
      </c>
      <c r="D13">
        <f>IF(VLOOKUP(D$1,main!$A$3:$H$102,5,FALSE)-VLOOKUP($A13,main!$A$3:$H$102,6,FALSE)&gt;=main!$D$103+VLOOKUP(VLOOKUP(D$1,main!$A$3:$I$102,7,FALSE),main!$K$26:$Q$29,3,FALSE),1,0)</f>
        <v>0</v>
      </c>
      <c r="E13">
        <f>IF(VLOOKUP(E$1,main!$A$3:$H$102,5,FALSE)-VLOOKUP($A13,main!$A$3:$H$102,6,FALSE)&gt;=main!$D$103+VLOOKUP(VLOOKUP(E$1,main!$A$3:$I$102,7,FALSE),main!$K$26:$Q$29,3,FALSE),1,0)</f>
        <v>0</v>
      </c>
      <c r="F13">
        <f>IF(VLOOKUP(F$1,main!$A$3:$H$102,5,FALSE)-VLOOKUP($A13,main!$A$3:$H$102,6,FALSE)&gt;=main!$D$103+VLOOKUP(VLOOKUP(F$1,main!$A$3:$I$102,7,FALSE),main!$K$26:$Q$29,3,FALSE),1,0)</f>
        <v>0</v>
      </c>
      <c r="G13">
        <f>IF(VLOOKUP(G$1,main!$A$3:$H$102,5,FALSE)-VLOOKUP($A13,main!$A$3:$H$102,6,FALSE)&gt;=main!$D$103+VLOOKUP(VLOOKUP(G$1,main!$A$3:$I$102,7,FALSE),main!$K$26:$Q$29,3,FALSE),1,0)</f>
        <v>1</v>
      </c>
      <c r="H13">
        <f>IF(VLOOKUP(H$1,main!$A$3:$H$102,5,FALSE)-VLOOKUP($A13,main!$A$3:$H$102,6,FALSE)&gt;=main!$D$103+VLOOKUP(VLOOKUP(H$1,main!$A$3:$I$102,7,FALSE),main!$K$26:$Q$29,3,FALSE),1,0)</f>
        <v>1</v>
      </c>
      <c r="I13">
        <f>IF(VLOOKUP(I$1,main!$A$3:$H$102,5,FALSE)-VLOOKUP($A13,main!$A$3:$H$102,6,FALSE)&gt;=main!$D$103+VLOOKUP(VLOOKUP(I$1,main!$A$3:$I$102,7,FALSE),main!$K$26:$Q$29,3,FALSE),1,0)</f>
        <v>1</v>
      </c>
      <c r="J13">
        <f>IF(VLOOKUP(J$1,main!$A$3:$H$102,5,FALSE)-VLOOKUP($A13,main!$A$3:$H$102,6,FALSE)&gt;=main!$D$103+VLOOKUP(VLOOKUP(J$1,main!$A$3:$I$102,7,FALSE),main!$K$26:$Q$29,3,FALSE),1,0)</f>
        <v>1</v>
      </c>
      <c r="K13">
        <f>IF(VLOOKUP(K$1,main!$A$3:$H$102,5,FALSE)-VLOOKUP($A13,main!$A$3:$H$102,6,FALSE)&gt;=main!$D$103+VLOOKUP(VLOOKUP(K$1,main!$A$3:$I$102,7,FALSE),main!$K$26:$Q$29,3,FALSE),1,0)</f>
        <v>1</v>
      </c>
      <c r="L13">
        <f>IF(VLOOKUP(L$1,main!$A$3:$H$102,5,FALSE)-VLOOKUP($A13,main!$A$3:$H$102,6,FALSE)&gt;=main!$D$103+VLOOKUP(VLOOKUP(L$1,main!$A$3:$I$102,7,FALSE),main!$K$26:$Q$29,3,FALSE),1,0)</f>
        <v>1</v>
      </c>
      <c r="M13">
        <f>IF(VLOOKUP(M$1,main!$A$3:$H$102,5,FALSE)-VLOOKUP($A13,main!$A$3:$H$102,6,FALSE)&gt;=main!$D$103+VLOOKUP(VLOOKUP(M$1,main!$A$3:$I$102,7,FALSE),main!$K$26:$Q$29,3,FALSE),1,0)</f>
        <v>0</v>
      </c>
      <c r="N13">
        <f>IF(VLOOKUP(N$1,main!$A$3:$H$102,5,FALSE)-VLOOKUP($A13,main!$A$3:$H$102,6,FALSE)&gt;=main!$D$103+VLOOKUP(VLOOKUP(N$1,main!$A$3:$I$102,7,FALSE),main!$K$26:$Q$29,3,FALSE),1,0)</f>
        <v>0</v>
      </c>
      <c r="O13">
        <f>IF(VLOOKUP(O$1,main!$A$3:$H$102,5,FALSE)-VLOOKUP($A13,main!$A$3:$H$102,6,FALSE)&gt;=main!$D$103+VLOOKUP(VLOOKUP(O$1,main!$A$3:$I$102,7,FALSE),main!$K$26:$Q$29,3,FALSE),1,0)</f>
        <v>0</v>
      </c>
      <c r="P13">
        <f>IF(VLOOKUP(P$1,main!$A$3:$H$102,5,FALSE)-VLOOKUP($A13,main!$A$3:$H$102,6,FALSE)&gt;=main!$D$103+VLOOKUP(VLOOKUP(P$1,main!$A$3:$I$102,7,FALSE),main!$K$26:$Q$29,3,FALSE),1,0)</f>
        <v>0</v>
      </c>
      <c r="Q13">
        <f>IF(VLOOKUP(Q$1,main!$A$3:$H$102,5,FALSE)-VLOOKUP($A13,main!$A$3:$H$102,6,FALSE)&gt;=main!$D$103+VLOOKUP(VLOOKUP(Q$1,main!$A$3:$I$102,7,FALSE),main!$K$26:$Q$29,3,FALSE),1,0)</f>
        <v>0</v>
      </c>
      <c r="R13">
        <f>IF(VLOOKUP(R$1,main!$A$3:$H$102,5,FALSE)-VLOOKUP($A13,main!$A$3:$H$102,6,FALSE)&gt;=main!$D$103+VLOOKUP(VLOOKUP(R$1,main!$A$3:$I$102,7,FALSE),main!$K$26:$Q$29,3,FALSE),1,0)</f>
        <v>1</v>
      </c>
      <c r="S13">
        <f>IF(VLOOKUP(S$1,main!$A$3:$H$102,5,FALSE)-VLOOKUP($A13,main!$A$3:$H$102,6,FALSE)&gt;=main!$D$103+VLOOKUP(VLOOKUP(S$1,main!$A$3:$I$102,7,FALSE),main!$K$26:$Q$29,3,FALSE),1,0)</f>
        <v>1</v>
      </c>
      <c r="T13">
        <f>IF(VLOOKUP(T$1,main!$A$3:$H$102,5,FALSE)-VLOOKUP($A13,main!$A$3:$H$102,6,FALSE)&gt;=main!$D$103+VLOOKUP(VLOOKUP(T$1,main!$A$3:$I$102,7,FALSE),main!$K$26:$Q$29,3,FALSE),1,0)</f>
        <v>1</v>
      </c>
      <c r="U13">
        <f>IF(VLOOKUP(U$1,main!$A$3:$H$102,5,FALSE)-VLOOKUP($A13,main!$A$3:$H$102,6,FALSE)&gt;=main!$D$103+VLOOKUP(VLOOKUP(U$1,main!$A$3:$I$102,7,FALSE),main!$K$26:$Q$29,3,FALSE),1,0)</f>
        <v>1</v>
      </c>
      <c r="V13">
        <f>IF(VLOOKUP(V$1,main!$A$3:$H$102,5,FALSE)-VLOOKUP($A13,main!$A$3:$H$102,6,FALSE)&gt;=main!$D$103+VLOOKUP(VLOOKUP(V$1,main!$A$3:$I$102,7,FALSE),main!$K$26:$Q$29,3,FALSE),1,0)</f>
        <v>1</v>
      </c>
      <c r="W13">
        <f>IF(VLOOKUP(W$1,main!$A$3:$H$102,5,FALSE)-VLOOKUP($A13,main!$A$3:$H$102,6,FALSE)&gt;=main!$D$103+VLOOKUP(VLOOKUP(W$1,main!$A$3:$I$102,7,FALSE),main!$K$26:$Q$29,3,FALSE),1,0)</f>
        <v>0</v>
      </c>
      <c r="X13">
        <f>IF(VLOOKUP(X$1,main!$A$3:$H$102,5,FALSE)-VLOOKUP($A13,main!$A$3:$H$102,6,FALSE)&gt;=main!$D$103+VLOOKUP(VLOOKUP(X$1,main!$A$3:$I$102,7,FALSE),main!$K$26:$Q$29,3,FALSE),1,0)</f>
        <v>0</v>
      </c>
      <c r="Y13">
        <f>IF(VLOOKUP(Y$1,main!$A$3:$H$102,5,FALSE)-VLOOKUP($A13,main!$A$3:$H$102,6,FALSE)&gt;=main!$D$103+VLOOKUP(VLOOKUP(Y$1,main!$A$3:$I$102,7,FALSE),main!$K$26:$Q$29,3,FALSE),1,0)</f>
        <v>1</v>
      </c>
      <c r="Z13">
        <f>IF(VLOOKUP(Z$1,main!$A$3:$H$102,5,FALSE)-VLOOKUP($A13,main!$A$3:$H$102,6,FALSE)&gt;=main!$D$103+VLOOKUP(VLOOKUP(Z$1,main!$A$3:$I$102,7,FALSE),main!$K$26:$Q$29,3,FALSE),1,0)</f>
        <v>1</v>
      </c>
      <c r="AA13">
        <f>IF(VLOOKUP(AA$1,main!$A$3:$H$102,5,FALSE)-VLOOKUP($A13,main!$A$3:$H$102,6,FALSE)&gt;=main!$D$103+VLOOKUP(VLOOKUP(AA$1,main!$A$3:$I$102,7,FALSE),main!$K$26:$Q$29,3,FALSE),1,0)</f>
        <v>1</v>
      </c>
      <c r="AB13">
        <f>IF(VLOOKUP(AB$1,main!$A$3:$H$102,5,FALSE)-VLOOKUP($A13,main!$A$3:$H$102,6,FALSE)&gt;=main!$D$103+VLOOKUP(VLOOKUP(AB$1,main!$A$3:$I$102,7,FALSE),main!$K$26:$Q$29,3,FALSE),1,0)</f>
        <v>0</v>
      </c>
      <c r="AC13">
        <f>IF(VLOOKUP(AC$1,main!$A$3:$H$102,5,FALSE)-VLOOKUP($A13,main!$A$3:$H$102,6,FALSE)&gt;=main!$D$103+VLOOKUP(VLOOKUP(AC$1,main!$A$3:$I$102,7,FALSE),main!$K$26:$Q$29,3,FALSE),1,0)</f>
        <v>0</v>
      </c>
      <c r="AD13">
        <f>IF(VLOOKUP(AD$1,main!$A$3:$H$102,5,FALSE)-VLOOKUP($A13,main!$A$3:$H$102,6,FALSE)&gt;=main!$D$103+VLOOKUP(VLOOKUP(AD$1,main!$A$3:$I$102,7,FALSE),main!$K$26:$Q$29,3,FALSE),1,0)</f>
        <v>0</v>
      </c>
      <c r="AE13">
        <f>IF(VLOOKUP(AE$1,main!$A$3:$H$102,5,FALSE)-VLOOKUP($A13,main!$A$3:$H$102,6,FALSE)&gt;=main!$D$103+VLOOKUP(VLOOKUP(AE$1,main!$A$3:$I$102,7,FALSE),main!$K$26:$Q$29,3,FALSE),1,0)</f>
        <v>1</v>
      </c>
      <c r="AF13">
        <f>IF(VLOOKUP(AF$1,main!$A$3:$H$102,5,FALSE)-VLOOKUP($A13,main!$A$3:$H$102,6,FALSE)&gt;=main!$D$103+VLOOKUP(VLOOKUP(AF$1,main!$A$3:$I$102,7,FALSE),main!$K$26:$Q$29,3,FALSE),1,0)</f>
        <v>1</v>
      </c>
      <c r="AG13">
        <f>IF(VLOOKUP(AG$1,main!$A$3:$H$102,5,FALSE)-VLOOKUP($A13,main!$A$3:$H$102,6,FALSE)&gt;=main!$D$103+VLOOKUP(VLOOKUP(AG$1,main!$A$3:$I$102,7,FALSE),main!$K$26:$Q$29,3,FALSE),1,0)</f>
        <v>0</v>
      </c>
      <c r="AH13">
        <f>IF(VLOOKUP(AH$1,main!$A$3:$H$102,5,FALSE)-VLOOKUP($A13,main!$A$3:$H$102,6,FALSE)&gt;=main!$D$103+VLOOKUP(VLOOKUP(AH$1,main!$A$3:$I$102,7,FALSE),main!$K$26:$Q$29,3,FALSE),1,0)</f>
        <v>0</v>
      </c>
      <c r="AI13">
        <f>IF(VLOOKUP(AI$1,main!$A$3:$H$102,5,FALSE)-VLOOKUP($A13,main!$A$3:$H$102,6,FALSE)&gt;=main!$D$103+VLOOKUP(VLOOKUP(AI$1,main!$A$3:$I$102,7,FALSE),main!$K$26:$Q$29,3,FALSE),1,0)</f>
        <v>0</v>
      </c>
      <c r="AJ13">
        <f>IF(VLOOKUP(AJ$1,main!$A$3:$H$102,5,FALSE)-VLOOKUP($A13,main!$A$3:$H$102,6,FALSE)&gt;=main!$D$103+VLOOKUP(VLOOKUP(AJ$1,main!$A$3:$I$102,7,FALSE),main!$K$26:$Q$29,3,FALSE),1,0)</f>
        <v>1</v>
      </c>
      <c r="AK13">
        <f>IF(VLOOKUP(AK$1,main!$A$3:$H$102,5,FALSE)-VLOOKUP($A13,main!$A$3:$H$102,6,FALSE)&gt;=main!$D$103+VLOOKUP(VLOOKUP(AK$1,main!$A$3:$I$102,7,FALSE),main!$K$26:$Q$29,3,FALSE),1,0)</f>
        <v>1</v>
      </c>
      <c r="AL13">
        <f>IF(VLOOKUP(AL$1,main!$A$3:$H$102,5,FALSE)-VLOOKUP($A13,main!$A$3:$H$102,6,FALSE)&gt;=main!$D$103+VLOOKUP(VLOOKUP(AL$1,main!$A$3:$I$102,7,FALSE),main!$K$26:$Q$29,3,FALSE),1,0)</f>
        <v>1</v>
      </c>
      <c r="AM13">
        <f>IF(VLOOKUP(AM$1,main!$A$3:$H$102,5,FALSE)-VLOOKUP($A13,main!$A$3:$H$102,6,FALSE)&gt;=main!$D$103+VLOOKUP(VLOOKUP(AM$1,main!$A$3:$I$102,7,FALSE),main!$K$26:$Q$29,3,FALSE),1,0)</f>
        <v>1</v>
      </c>
      <c r="AN13">
        <f>IF(VLOOKUP(AN$1,main!$A$3:$H$102,5,FALSE)-VLOOKUP($A13,main!$A$3:$H$102,6,FALSE)&gt;=main!$D$103+VLOOKUP(VLOOKUP(AN$1,main!$A$3:$I$102,7,FALSE),main!$K$26:$Q$29,3,FALSE),1,0)</f>
        <v>1</v>
      </c>
      <c r="AO13">
        <f>IF(VLOOKUP(AO$1,main!$A$3:$H$102,5,FALSE)-VLOOKUP($A13,main!$A$3:$H$102,6,FALSE)&gt;=main!$D$103+VLOOKUP(VLOOKUP(AO$1,main!$A$3:$I$102,7,FALSE),main!$K$26:$Q$29,3,FALSE),1,0)</f>
        <v>0</v>
      </c>
      <c r="AP13">
        <f>IF(VLOOKUP(AP$1,main!$A$3:$H$102,5,FALSE)-VLOOKUP($A13,main!$A$3:$H$102,6,FALSE)&gt;=main!$D$103+VLOOKUP(VLOOKUP(AP$1,main!$A$3:$I$102,7,FALSE),main!$K$26:$Q$29,3,FALSE),1,0)</f>
        <v>1</v>
      </c>
      <c r="AQ13">
        <f>IF(VLOOKUP(AQ$1,main!$A$3:$H$102,5,FALSE)-VLOOKUP($A13,main!$A$3:$H$102,6,FALSE)&gt;=main!$D$103+VLOOKUP(VLOOKUP(AQ$1,main!$A$3:$I$102,7,FALSE),main!$K$26:$Q$29,3,FALSE),1,0)</f>
        <v>0</v>
      </c>
      <c r="AR13">
        <f>IF(VLOOKUP(AR$1,main!$A$3:$H$102,5,FALSE)-VLOOKUP($A13,main!$A$3:$H$102,6,FALSE)&gt;=main!$D$103+VLOOKUP(VLOOKUP(AR$1,main!$A$3:$I$102,7,FALSE),main!$K$26:$Q$29,3,FALSE),1,0)</f>
        <v>0</v>
      </c>
      <c r="AS13">
        <f>IF(VLOOKUP(AS$1,main!$A$3:$H$102,5,FALSE)-VLOOKUP($A13,main!$A$3:$H$102,6,FALSE)&gt;=main!$D$103+VLOOKUP(VLOOKUP(AS$1,main!$A$3:$I$102,7,FALSE),main!$K$26:$Q$29,3,FALSE),1,0)</f>
        <v>1</v>
      </c>
      <c r="AT13">
        <f>IF(VLOOKUP(AT$1,main!$A$3:$H$102,5,FALSE)-VLOOKUP($A13,main!$A$3:$H$102,6,FALSE)&gt;=main!$D$103+VLOOKUP(VLOOKUP(AT$1,main!$A$3:$I$102,7,FALSE),main!$K$26:$Q$29,3,FALSE),1,0)</f>
        <v>1</v>
      </c>
      <c r="AU13">
        <f>IF(VLOOKUP(AU$1,main!$A$3:$H$102,5,FALSE)-VLOOKUP($A13,main!$A$3:$H$102,6,FALSE)&gt;=main!$D$103+VLOOKUP(VLOOKUP(AU$1,main!$A$3:$I$102,7,FALSE),main!$K$26:$Q$29,3,FALSE),1,0)</f>
        <v>0</v>
      </c>
      <c r="AV13">
        <f>IF(VLOOKUP(AV$1,main!$A$3:$H$102,5,FALSE)-VLOOKUP($A13,main!$A$3:$H$102,6,FALSE)&gt;=main!$D$103+VLOOKUP(VLOOKUP(AV$1,main!$A$3:$I$102,7,FALSE),main!$K$26:$Q$29,3,FALSE),1,0)</f>
        <v>0</v>
      </c>
      <c r="AW13">
        <f>IF(VLOOKUP(AW$1,main!$A$3:$H$102,5,FALSE)-VLOOKUP($A13,main!$A$3:$H$102,6,FALSE)&gt;=main!$D$103+VLOOKUP(VLOOKUP(AW$1,main!$A$3:$I$102,7,FALSE),main!$K$26:$Q$29,3,FALSE),1,0)</f>
        <v>1</v>
      </c>
      <c r="AX13">
        <f>IF(VLOOKUP(AX$1,main!$A$3:$H$102,5,FALSE)-VLOOKUP($A13,main!$A$3:$H$102,6,FALSE)&gt;=main!$D$103+VLOOKUP(VLOOKUP(AX$1,main!$A$3:$I$102,7,FALSE),main!$K$26:$Q$29,3,FALSE),1,0)</f>
        <v>0</v>
      </c>
      <c r="AY13">
        <f>IF(VLOOKUP(AY$1,main!$A$3:$H$102,5,FALSE)-VLOOKUP($A13,main!$A$3:$H$102,6,FALSE)&gt;=main!$D$103+VLOOKUP(VLOOKUP(AY$1,main!$A$3:$I$102,7,FALSE),main!$K$26:$Q$29,3,FALSE),1,0)</f>
        <v>0</v>
      </c>
      <c r="AZ13">
        <f>IF(VLOOKUP(AZ$1,main!$A$3:$H$102,5,FALSE)-VLOOKUP($A13,main!$A$3:$H$102,6,FALSE)&gt;=main!$D$103+VLOOKUP(VLOOKUP(AZ$1,main!$A$3:$I$102,7,FALSE),main!$K$26:$Q$29,3,FALSE),1,0)</f>
        <v>0</v>
      </c>
      <c r="BA13">
        <f>IF(VLOOKUP(BA$1,main!$A$3:$H$102,5,FALSE)-VLOOKUP($A13,main!$A$3:$H$102,6,FALSE)&gt;=main!$D$103+VLOOKUP(VLOOKUP(BA$1,main!$A$3:$I$102,7,FALSE),main!$K$26:$Q$29,3,FALSE),1,0)</f>
        <v>0</v>
      </c>
      <c r="BB13">
        <f>IF(VLOOKUP(BB$1,main!$A$3:$H$102,5,FALSE)-VLOOKUP($A13,main!$A$3:$H$102,6,FALSE)&gt;=main!$D$103+VLOOKUP(VLOOKUP(BB$1,main!$A$3:$I$102,7,FALSE),main!$K$26:$Q$29,3,FALSE),1,0)</f>
        <v>0</v>
      </c>
      <c r="BC13">
        <f>IF(VLOOKUP(BC$1,main!$A$3:$H$102,5,FALSE)-VLOOKUP($A13,main!$A$3:$H$102,6,FALSE)&gt;=main!$D$103+VLOOKUP(VLOOKUP(BC$1,main!$A$3:$I$102,7,FALSE),main!$K$26:$Q$29,3,FALSE),1,0)</f>
        <v>1</v>
      </c>
      <c r="BD13">
        <f>IF(VLOOKUP(BD$1,main!$A$3:$H$102,5,FALSE)-VLOOKUP($A13,main!$A$3:$H$102,6,FALSE)&gt;=main!$D$103+VLOOKUP(VLOOKUP(BD$1,main!$A$3:$I$102,7,FALSE),main!$K$26:$Q$29,3,FALSE),1,0)</f>
        <v>1</v>
      </c>
      <c r="BE13">
        <f>IF(VLOOKUP(BE$1,main!$A$3:$H$102,5,FALSE)-VLOOKUP($A13,main!$A$3:$H$102,6,FALSE)&gt;=main!$D$103+VLOOKUP(VLOOKUP(BE$1,main!$A$3:$I$102,7,FALSE),main!$K$26:$Q$29,3,FALSE),1,0)</f>
        <v>1</v>
      </c>
      <c r="BF13">
        <f>IF(VLOOKUP(BF$1,main!$A$3:$H$102,5,FALSE)-VLOOKUP($A13,main!$A$3:$H$102,6,FALSE)&gt;=main!$D$103+VLOOKUP(VLOOKUP(BF$1,main!$A$3:$I$102,7,FALSE),main!$K$26:$Q$29,3,FALSE),1,0)</f>
        <v>0</v>
      </c>
      <c r="BG13">
        <f>IF(VLOOKUP(BG$1,main!$A$3:$H$102,5,FALSE)-VLOOKUP($A13,main!$A$3:$H$102,6,FALSE)&gt;=main!$D$103+VLOOKUP(VLOOKUP(BG$1,main!$A$3:$I$102,7,FALSE),main!$K$26:$Q$29,3,FALSE),1,0)</f>
        <v>0</v>
      </c>
      <c r="BH13">
        <f>IF(VLOOKUP(BH$1,main!$A$3:$H$102,5,FALSE)-VLOOKUP($A13,main!$A$3:$H$102,6,FALSE)&gt;=main!$D$103+VLOOKUP(VLOOKUP(BH$1,main!$A$3:$I$102,7,FALSE),main!$K$26:$Q$29,3,FALSE),1,0)</f>
        <v>1</v>
      </c>
      <c r="BI13">
        <f>IF(VLOOKUP(BI$1,main!$A$3:$H$102,5,FALSE)-VLOOKUP($A13,main!$A$3:$H$102,6,FALSE)&gt;=main!$D$103+VLOOKUP(VLOOKUP(BI$1,main!$A$3:$I$102,7,FALSE),main!$K$26:$Q$29,3,FALSE),1,0)</f>
        <v>1</v>
      </c>
      <c r="BJ13">
        <f>IF(VLOOKUP(BJ$1,main!$A$3:$H$102,5,FALSE)-VLOOKUP($A13,main!$A$3:$H$102,6,FALSE)&gt;=main!$D$103+VLOOKUP(VLOOKUP(BJ$1,main!$A$3:$I$102,7,FALSE),main!$K$26:$Q$29,3,FALSE),1,0)</f>
        <v>1</v>
      </c>
      <c r="BK13">
        <f>IF(VLOOKUP(BK$1,main!$A$3:$H$102,5,FALSE)-VLOOKUP($A13,main!$A$3:$H$102,6,FALSE)&gt;=main!$D$103+VLOOKUP(VLOOKUP(BK$1,main!$A$3:$I$102,7,FALSE),main!$K$26:$Q$29,3,FALSE),1,0)</f>
        <v>0</v>
      </c>
      <c r="BL13">
        <f>IF(VLOOKUP(BL$1,main!$A$3:$H$102,5,FALSE)-VLOOKUP($A13,main!$A$3:$H$102,6,FALSE)&gt;=main!$D$103+VLOOKUP(VLOOKUP(BL$1,main!$A$3:$I$102,7,FALSE),main!$K$26:$Q$29,3,FALSE),1,0)</f>
        <v>0</v>
      </c>
      <c r="BM13">
        <f>IF(VLOOKUP(BM$1,main!$A$3:$H$102,5,FALSE)-VLOOKUP($A13,main!$A$3:$H$102,6,FALSE)&gt;=main!$D$103+VLOOKUP(VLOOKUP(BM$1,main!$A$3:$I$102,7,FALSE),main!$K$26:$Q$29,3,FALSE),1,0)</f>
        <v>0</v>
      </c>
      <c r="BN13">
        <f>IF(VLOOKUP(BN$1,main!$A$3:$H$102,5,FALSE)-VLOOKUP($A13,main!$A$3:$H$102,6,FALSE)&gt;=main!$D$103+VLOOKUP(VLOOKUP(BN$1,main!$A$3:$I$102,7,FALSE),main!$K$26:$Q$29,3,FALSE),1,0)</f>
        <v>1</v>
      </c>
      <c r="BO13">
        <f>IF(VLOOKUP(BO$1,main!$A$3:$H$102,5,FALSE)-VLOOKUP($A13,main!$A$3:$H$102,6,FALSE)&gt;=main!$D$103+VLOOKUP(VLOOKUP(BO$1,main!$A$3:$I$102,7,FALSE),main!$K$26:$Q$29,3,FALSE),1,0)</f>
        <v>0</v>
      </c>
      <c r="BP13">
        <f>IF(VLOOKUP(BP$1,main!$A$3:$H$102,5,FALSE)-VLOOKUP($A13,main!$A$3:$H$102,6,FALSE)&gt;=main!$D$103+VLOOKUP(VLOOKUP(BP$1,main!$A$3:$I$102,7,FALSE),main!$K$26:$Q$29,3,FALSE),1,0)</f>
        <v>0</v>
      </c>
      <c r="BQ13">
        <f>IF(VLOOKUP(BQ$1,main!$A$3:$H$102,5,FALSE)-VLOOKUP($A13,main!$A$3:$H$102,6,FALSE)&gt;=main!$D$103+VLOOKUP(VLOOKUP(BQ$1,main!$A$3:$I$102,7,FALSE),main!$K$26:$Q$29,3,FALSE),1,0)</f>
        <v>0</v>
      </c>
      <c r="BR13">
        <f>IF(VLOOKUP(BR$1,main!$A$3:$H$102,5,FALSE)-VLOOKUP($A13,main!$A$3:$H$102,6,FALSE)&gt;=main!$D$103+VLOOKUP(VLOOKUP(BR$1,main!$A$3:$I$102,7,FALSE),main!$K$26:$Q$29,3,FALSE),1,0)</f>
        <v>1</v>
      </c>
      <c r="BS13">
        <f>IF(VLOOKUP(BS$1,main!$A$3:$H$102,5,FALSE)-VLOOKUP($A13,main!$A$3:$H$102,6,FALSE)&gt;=main!$D$103+VLOOKUP(VLOOKUP(BS$1,main!$A$3:$I$102,7,FALSE),main!$K$26:$Q$29,3,FALSE),1,0)</f>
        <v>1</v>
      </c>
      <c r="BT13">
        <f>IF(VLOOKUP(BT$1,main!$A$3:$H$102,5,FALSE)-VLOOKUP($A13,main!$A$3:$H$102,6,FALSE)&gt;=main!$D$103+VLOOKUP(VLOOKUP(BT$1,main!$A$3:$I$102,7,FALSE),main!$K$26:$Q$29,3,FALSE),1,0)</f>
        <v>0</v>
      </c>
      <c r="BU13">
        <f>IF(VLOOKUP(BU$1,main!$A$3:$H$102,5,FALSE)-VLOOKUP($A13,main!$A$3:$H$102,6,FALSE)&gt;=main!$D$103+VLOOKUP(VLOOKUP(BU$1,main!$A$3:$I$102,7,FALSE),main!$K$26:$Q$29,3,FALSE),1,0)</f>
        <v>0</v>
      </c>
      <c r="BV13">
        <f>IF(VLOOKUP(BV$1,main!$A$3:$H$102,5,FALSE)-VLOOKUP($A13,main!$A$3:$H$102,6,FALSE)&gt;=main!$D$103+VLOOKUP(VLOOKUP(BV$1,main!$A$3:$I$102,7,FALSE),main!$K$26:$Q$29,3,FALSE),1,0)</f>
        <v>0</v>
      </c>
      <c r="BW13">
        <f>IF(VLOOKUP(BW$1,main!$A$3:$H$102,5,FALSE)-VLOOKUP($A13,main!$A$3:$H$102,6,FALSE)&gt;=main!$D$103+VLOOKUP(VLOOKUP(BW$1,main!$A$3:$I$102,7,FALSE),main!$K$26:$Q$29,3,FALSE),1,0)</f>
        <v>0</v>
      </c>
      <c r="BX13">
        <f>IF(VLOOKUP(BX$1,main!$A$3:$H$102,5,FALSE)-VLOOKUP($A13,main!$A$3:$H$102,6,FALSE)&gt;=main!$D$103+VLOOKUP(VLOOKUP(BX$1,main!$A$3:$I$102,7,FALSE),main!$K$26:$Q$29,3,FALSE),1,0)</f>
        <v>0</v>
      </c>
      <c r="BY13">
        <f>IF(VLOOKUP(BY$1,main!$A$3:$H$102,5,FALSE)-VLOOKUP($A13,main!$A$3:$H$102,6,FALSE)&gt;=main!$D$103+VLOOKUP(VLOOKUP(BY$1,main!$A$3:$I$102,7,FALSE),main!$K$26:$Q$29,3,FALSE),1,0)</f>
        <v>1</v>
      </c>
      <c r="BZ13">
        <f>IF(VLOOKUP(BZ$1,main!$A$3:$H$102,5,FALSE)-VLOOKUP($A13,main!$A$3:$H$102,6,FALSE)&gt;=main!$D$103+VLOOKUP(VLOOKUP(BZ$1,main!$A$3:$I$102,7,FALSE),main!$K$26:$Q$29,3,FALSE),1,0)</f>
        <v>0</v>
      </c>
      <c r="CA13">
        <f>IF(VLOOKUP(CA$1,main!$A$3:$H$102,5,FALSE)-VLOOKUP($A13,main!$A$3:$H$102,6,FALSE)&gt;=main!$D$103+VLOOKUP(VLOOKUP(CA$1,main!$A$3:$I$102,7,FALSE),main!$K$26:$Q$29,3,FALSE),1,0)</f>
        <v>0</v>
      </c>
      <c r="CB13">
        <f>IF(VLOOKUP(CB$1,main!$A$3:$H$102,5,FALSE)-VLOOKUP($A13,main!$A$3:$H$102,6,FALSE)&gt;=main!$D$103+VLOOKUP(VLOOKUP(CB$1,main!$A$3:$I$102,7,FALSE),main!$K$26:$Q$29,3,FALSE),1,0)</f>
        <v>1</v>
      </c>
      <c r="CC13">
        <f>IF(VLOOKUP(CC$1,main!$A$3:$H$102,5,FALSE)-VLOOKUP($A13,main!$A$3:$H$102,6,FALSE)&gt;=main!$D$103+VLOOKUP(VLOOKUP(CC$1,main!$A$3:$I$102,7,FALSE),main!$K$26:$Q$29,3,FALSE),1,0)</f>
        <v>1</v>
      </c>
      <c r="CD13">
        <f>IF(VLOOKUP(CD$1,main!$A$3:$H$102,5,FALSE)-VLOOKUP($A13,main!$A$3:$H$102,6,FALSE)&gt;=main!$D$103+VLOOKUP(VLOOKUP(CD$1,main!$A$3:$I$102,7,FALSE),main!$K$26:$Q$29,3,FALSE),1,0)</f>
        <v>1</v>
      </c>
      <c r="CE13">
        <f>IF(VLOOKUP(CE$1,main!$A$3:$H$102,5,FALSE)-VLOOKUP($A13,main!$A$3:$H$102,6,FALSE)&gt;=main!$D$103+VLOOKUP(VLOOKUP(CE$1,main!$A$3:$I$102,7,FALSE),main!$K$26:$Q$29,3,FALSE),1,0)</f>
        <v>0</v>
      </c>
      <c r="CF13">
        <f>IF(VLOOKUP(CF$1,main!$A$3:$H$102,5,FALSE)-VLOOKUP($A13,main!$A$3:$H$102,6,FALSE)&gt;=main!$D$103+VLOOKUP(VLOOKUP(CF$1,main!$A$3:$I$102,7,FALSE),main!$K$26:$Q$29,3,FALSE),1,0)</f>
        <v>0</v>
      </c>
      <c r="CG13">
        <f>IF(VLOOKUP(CG$1,main!$A$3:$H$102,5,FALSE)-VLOOKUP($A13,main!$A$3:$H$102,6,FALSE)&gt;=main!$D$103+VLOOKUP(VLOOKUP(CG$1,main!$A$3:$I$102,7,FALSE),main!$K$26:$Q$29,3,FALSE),1,0)</f>
        <v>1</v>
      </c>
      <c r="CH13">
        <f>IF(VLOOKUP(CH$1,main!$A$3:$H$102,5,FALSE)-VLOOKUP($A13,main!$A$3:$H$102,6,FALSE)&gt;=main!$D$103+VLOOKUP(VLOOKUP(CH$1,main!$A$3:$I$102,7,FALSE),main!$K$26:$Q$29,3,FALSE),1,0)</f>
        <v>1</v>
      </c>
      <c r="CI13">
        <f>IF(VLOOKUP(CI$1,main!$A$3:$H$102,5,FALSE)-VLOOKUP($A13,main!$A$3:$H$102,6,FALSE)&gt;=main!$D$103+VLOOKUP(VLOOKUP(CI$1,main!$A$3:$I$102,7,FALSE),main!$K$26:$Q$29,3,FALSE),1,0)</f>
        <v>1</v>
      </c>
      <c r="CJ13">
        <f>IF(VLOOKUP(CJ$1,main!$A$3:$H$102,5,FALSE)-VLOOKUP($A13,main!$A$3:$H$102,6,FALSE)&gt;=main!$D$103+VLOOKUP(VLOOKUP(CJ$1,main!$A$3:$I$102,7,FALSE),main!$K$26:$Q$29,3,FALSE),1,0)</f>
        <v>1</v>
      </c>
      <c r="CK13">
        <f>IF(VLOOKUP(CK$1,main!$A$3:$H$102,5,FALSE)-VLOOKUP($A13,main!$A$3:$H$102,6,FALSE)&gt;=main!$D$103+VLOOKUP(VLOOKUP(CK$1,main!$A$3:$I$102,7,FALSE),main!$K$26:$Q$29,3,FALSE),1,0)</f>
        <v>0</v>
      </c>
      <c r="CL13">
        <f>IF(VLOOKUP(CL$1,main!$A$3:$H$102,5,FALSE)-VLOOKUP($A13,main!$A$3:$H$102,6,FALSE)&gt;=main!$D$103+VLOOKUP(VLOOKUP(CL$1,main!$A$3:$I$102,7,FALSE),main!$K$26:$Q$29,3,FALSE),1,0)</f>
        <v>1</v>
      </c>
      <c r="CM13">
        <f>IF(VLOOKUP(CM$1,main!$A$3:$H$102,5,FALSE)-VLOOKUP($A13,main!$A$3:$H$102,6,FALSE)&gt;=main!$D$103+VLOOKUP(VLOOKUP(CM$1,main!$A$3:$I$102,7,FALSE),main!$K$26:$Q$29,3,FALSE),1,0)</f>
        <v>1</v>
      </c>
      <c r="CN13">
        <f>IF(VLOOKUP(CN$1,main!$A$3:$H$102,5,FALSE)-VLOOKUP($A13,main!$A$3:$H$102,6,FALSE)&gt;=main!$D$103+VLOOKUP(VLOOKUP(CN$1,main!$A$3:$I$102,7,FALSE),main!$K$26:$Q$29,3,FALSE),1,0)</f>
        <v>1</v>
      </c>
      <c r="CO13">
        <f>IF(VLOOKUP(CO$1,main!$A$3:$H$102,5,FALSE)-VLOOKUP($A13,main!$A$3:$H$102,6,FALSE)&gt;=main!$D$103+VLOOKUP(VLOOKUP(CO$1,main!$A$3:$I$102,7,FALSE),main!$K$26:$Q$29,3,FALSE),1,0)</f>
        <v>0</v>
      </c>
      <c r="CP13">
        <f>IF(VLOOKUP(CP$1,main!$A$3:$H$102,5,FALSE)-VLOOKUP($A13,main!$A$3:$H$102,6,FALSE)&gt;=main!$D$103+VLOOKUP(VLOOKUP(CP$1,main!$A$3:$I$102,7,FALSE),main!$K$26:$Q$29,3,FALSE),1,0)</f>
        <v>0</v>
      </c>
      <c r="CQ13">
        <f>IF(VLOOKUP(CQ$1,main!$A$3:$H$102,5,FALSE)-VLOOKUP($A13,main!$A$3:$H$102,6,FALSE)&gt;=main!$D$103+VLOOKUP(VLOOKUP(CQ$1,main!$A$3:$I$102,7,FALSE),main!$K$26:$Q$29,3,FALSE),1,0)</f>
        <v>1</v>
      </c>
      <c r="CR13">
        <f>IF(VLOOKUP(CR$1,main!$A$3:$H$102,5,FALSE)-VLOOKUP($A13,main!$A$3:$H$102,6,FALSE)&gt;=main!$D$103+VLOOKUP(VLOOKUP(CR$1,main!$A$3:$I$102,7,FALSE),main!$K$26:$Q$29,3,FALSE),1,0)</f>
        <v>1</v>
      </c>
      <c r="CS13">
        <f>IF(VLOOKUP(CS$1,main!$A$3:$H$102,5,FALSE)-VLOOKUP($A13,main!$A$3:$H$102,6,FALSE)&gt;=main!$D$103+VLOOKUP(VLOOKUP(CS$1,main!$A$3:$I$102,7,FALSE),main!$K$26:$Q$29,3,FALSE),1,0)</f>
        <v>1</v>
      </c>
      <c r="CT13">
        <f>IF(VLOOKUP(CT$1,main!$A$3:$H$102,5,FALSE)-VLOOKUP($A13,main!$A$3:$H$102,6,FALSE)&gt;=main!$D$103+VLOOKUP(VLOOKUP(CT$1,main!$A$3:$I$102,7,FALSE),main!$K$26:$Q$29,3,FALSE),1,0)</f>
        <v>0</v>
      </c>
      <c r="CU13">
        <f>IF(VLOOKUP(CU$1,main!$A$3:$H$102,5,FALSE)-VLOOKUP($A13,main!$A$3:$H$102,6,FALSE)&gt;=main!$D$103+VLOOKUP(VLOOKUP(CU$1,main!$A$3:$I$102,7,FALSE),main!$K$26:$Q$29,3,FALSE),1,0)</f>
        <v>0</v>
      </c>
      <c r="CV13">
        <f>IF(VLOOKUP(CV$1,main!$A$3:$H$102,5,FALSE)-VLOOKUP($A13,main!$A$3:$H$102,6,FALSE)&gt;=main!$D$103+VLOOKUP(VLOOKUP(CV$1,main!$A$3:$I$102,7,FALSE),main!$K$26:$Q$29,3,FALSE),1,0)</f>
        <v>1</v>
      </c>
      <c r="CW13">
        <f>IF(VLOOKUP(CW$1,main!$A$3:$H$102,5,FALSE)-VLOOKUP($A13,main!$A$3:$H$102,6,FALSE)&gt;=main!$D$103+VLOOKUP(VLOOKUP(CW$1,main!$A$3:$I$102,7,FALSE),main!$K$26:$Q$29,3,FALSE),1,0)</f>
        <v>1</v>
      </c>
      <c r="CX13">
        <f>IF(VLOOKUP(CX$1,main!$A$3:$H$102,5,FALSE)-VLOOKUP($A13,main!$A$3:$H$102,6,FALSE)&gt;=main!$D$103+VLOOKUP(VLOOKUP(CX$1,main!$A$3:$I$102,7,FALSE),main!$K$26:$Q$29,3,FALSE),1,0)</f>
        <v>1</v>
      </c>
      <c r="CZ13">
        <f>VLOOKUP($A3,main!$A$3:$H$102,6,FALSE)</f>
        <v>565</v>
      </c>
    </row>
    <row r="14" spans="1:104" x14ac:dyDescent="0.25">
      <c r="A14" s="1">
        <v>12</v>
      </c>
      <c r="B14">
        <v>0</v>
      </c>
      <c r="C14">
        <f>IF(VLOOKUP(C$1,main!$A$3:$H$102,5,FALSE)-VLOOKUP($A14,main!$A$3:$H$102,6,FALSE)&gt;=main!$D$103+VLOOKUP(VLOOKUP(C$1,main!$A$3:$I$102,7,FALSE),main!$K$26:$Q$29,3,FALSE),1,0)</f>
        <v>0</v>
      </c>
      <c r="D14">
        <f>IF(VLOOKUP(D$1,main!$A$3:$H$102,5,FALSE)-VLOOKUP($A14,main!$A$3:$H$102,6,FALSE)&gt;=main!$D$103+VLOOKUP(VLOOKUP(D$1,main!$A$3:$I$102,7,FALSE),main!$K$26:$Q$29,3,FALSE),1,0)</f>
        <v>0</v>
      </c>
      <c r="E14">
        <f>IF(VLOOKUP(E$1,main!$A$3:$H$102,5,FALSE)-VLOOKUP($A14,main!$A$3:$H$102,6,FALSE)&gt;=main!$D$103+VLOOKUP(VLOOKUP(E$1,main!$A$3:$I$102,7,FALSE),main!$K$26:$Q$29,3,FALSE),1,0)</f>
        <v>0</v>
      </c>
      <c r="F14">
        <f>IF(VLOOKUP(F$1,main!$A$3:$H$102,5,FALSE)-VLOOKUP($A14,main!$A$3:$H$102,6,FALSE)&gt;=main!$D$103+VLOOKUP(VLOOKUP(F$1,main!$A$3:$I$102,7,FALSE),main!$K$26:$Q$29,3,FALSE),1,0)</f>
        <v>0</v>
      </c>
      <c r="G14">
        <f>IF(VLOOKUP(G$1,main!$A$3:$H$102,5,FALSE)-VLOOKUP($A14,main!$A$3:$H$102,6,FALSE)&gt;=main!$D$103+VLOOKUP(VLOOKUP(G$1,main!$A$3:$I$102,7,FALSE),main!$K$26:$Q$29,3,FALSE),1,0)</f>
        <v>1</v>
      </c>
      <c r="H14">
        <f>IF(VLOOKUP(H$1,main!$A$3:$H$102,5,FALSE)-VLOOKUP($A14,main!$A$3:$H$102,6,FALSE)&gt;=main!$D$103+VLOOKUP(VLOOKUP(H$1,main!$A$3:$I$102,7,FALSE),main!$K$26:$Q$29,3,FALSE),1,0)</f>
        <v>1</v>
      </c>
      <c r="I14">
        <f>IF(VLOOKUP(I$1,main!$A$3:$H$102,5,FALSE)-VLOOKUP($A14,main!$A$3:$H$102,6,FALSE)&gt;=main!$D$103+VLOOKUP(VLOOKUP(I$1,main!$A$3:$I$102,7,FALSE),main!$K$26:$Q$29,3,FALSE),1,0)</f>
        <v>1</v>
      </c>
      <c r="J14">
        <f>IF(VLOOKUP(J$1,main!$A$3:$H$102,5,FALSE)-VLOOKUP($A14,main!$A$3:$H$102,6,FALSE)&gt;=main!$D$103+VLOOKUP(VLOOKUP(J$1,main!$A$3:$I$102,7,FALSE),main!$K$26:$Q$29,3,FALSE),1,0)</f>
        <v>1</v>
      </c>
      <c r="K14">
        <f>IF(VLOOKUP(K$1,main!$A$3:$H$102,5,FALSE)-VLOOKUP($A14,main!$A$3:$H$102,6,FALSE)&gt;=main!$D$103+VLOOKUP(VLOOKUP(K$1,main!$A$3:$I$102,7,FALSE),main!$K$26:$Q$29,3,FALSE),1,0)</f>
        <v>1</v>
      </c>
      <c r="L14">
        <f>IF(VLOOKUP(L$1,main!$A$3:$H$102,5,FALSE)-VLOOKUP($A14,main!$A$3:$H$102,6,FALSE)&gt;=main!$D$103+VLOOKUP(VLOOKUP(L$1,main!$A$3:$I$102,7,FALSE),main!$K$26:$Q$29,3,FALSE),1,0)</f>
        <v>1</v>
      </c>
      <c r="M14">
        <f>IF(VLOOKUP(M$1,main!$A$3:$H$102,5,FALSE)-VLOOKUP($A14,main!$A$3:$H$102,6,FALSE)&gt;=main!$D$103+VLOOKUP(VLOOKUP(M$1,main!$A$3:$I$102,7,FALSE),main!$K$26:$Q$29,3,FALSE),1,0)</f>
        <v>0</v>
      </c>
      <c r="N14">
        <f>IF(VLOOKUP(N$1,main!$A$3:$H$102,5,FALSE)-VLOOKUP($A14,main!$A$3:$H$102,6,FALSE)&gt;=main!$D$103+VLOOKUP(VLOOKUP(N$1,main!$A$3:$I$102,7,FALSE),main!$K$26:$Q$29,3,FALSE),1,0)</f>
        <v>0</v>
      </c>
      <c r="O14">
        <f>IF(VLOOKUP(O$1,main!$A$3:$H$102,5,FALSE)-VLOOKUP($A14,main!$A$3:$H$102,6,FALSE)&gt;=main!$D$103+VLOOKUP(VLOOKUP(O$1,main!$A$3:$I$102,7,FALSE),main!$K$26:$Q$29,3,FALSE),1,0)</f>
        <v>0</v>
      </c>
      <c r="P14">
        <f>IF(VLOOKUP(P$1,main!$A$3:$H$102,5,FALSE)-VLOOKUP($A14,main!$A$3:$H$102,6,FALSE)&gt;=main!$D$103+VLOOKUP(VLOOKUP(P$1,main!$A$3:$I$102,7,FALSE),main!$K$26:$Q$29,3,FALSE),1,0)</f>
        <v>0</v>
      </c>
      <c r="Q14">
        <f>IF(VLOOKUP(Q$1,main!$A$3:$H$102,5,FALSE)-VLOOKUP($A14,main!$A$3:$H$102,6,FALSE)&gt;=main!$D$103+VLOOKUP(VLOOKUP(Q$1,main!$A$3:$I$102,7,FALSE),main!$K$26:$Q$29,3,FALSE),1,0)</f>
        <v>0</v>
      </c>
      <c r="R14">
        <f>IF(VLOOKUP(R$1,main!$A$3:$H$102,5,FALSE)-VLOOKUP($A14,main!$A$3:$H$102,6,FALSE)&gt;=main!$D$103+VLOOKUP(VLOOKUP(R$1,main!$A$3:$I$102,7,FALSE),main!$K$26:$Q$29,3,FALSE),1,0)</f>
        <v>1</v>
      </c>
      <c r="S14">
        <f>IF(VLOOKUP(S$1,main!$A$3:$H$102,5,FALSE)-VLOOKUP($A14,main!$A$3:$H$102,6,FALSE)&gt;=main!$D$103+VLOOKUP(VLOOKUP(S$1,main!$A$3:$I$102,7,FALSE),main!$K$26:$Q$29,3,FALSE),1,0)</f>
        <v>1</v>
      </c>
      <c r="T14">
        <f>IF(VLOOKUP(T$1,main!$A$3:$H$102,5,FALSE)-VLOOKUP($A14,main!$A$3:$H$102,6,FALSE)&gt;=main!$D$103+VLOOKUP(VLOOKUP(T$1,main!$A$3:$I$102,7,FALSE),main!$K$26:$Q$29,3,FALSE),1,0)</f>
        <v>1</v>
      </c>
      <c r="U14">
        <f>IF(VLOOKUP(U$1,main!$A$3:$H$102,5,FALSE)-VLOOKUP($A14,main!$A$3:$H$102,6,FALSE)&gt;=main!$D$103+VLOOKUP(VLOOKUP(U$1,main!$A$3:$I$102,7,FALSE),main!$K$26:$Q$29,3,FALSE),1,0)</f>
        <v>1</v>
      </c>
      <c r="V14">
        <f>IF(VLOOKUP(V$1,main!$A$3:$H$102,5,FALSE)-VLOOKUP($A14,main!$A$3:$H$102,6,FALSE)&gt;=main!$D$103+VLOOKUP(VLOOKUP(V$1,main!$A$3:$I$102,7,FALSE),main!$K$26:$Q$29,3,FALSE),1,0)</f>
        <v>1</v>
      </c>
      <c r="W14">
        <f>IF(VLOOKUP(W$1,main!$A$3:$H$102,5,FALSE)-VLOOKUP($A14,main!$A$3:$H$102,6,FALSE)&gt;=main!$D$103+VLOOKUP(VLOOKUP(W$1,main!$A$3:$I$102,7,FALSE),main!$K$26:$Q$29,3,FALSE),1,0)</f>
        <v>0</v>
      </c>
      <c r="X14">
        <f>IF(VLOOKUP(X$1,main!$A$3:$H$102,5,FALSE)-VLOOKUP($A14,main!$A$3:$H$102,6,FALSE)&gt;=main!$D$103+VLOOKUP(VLOOKUP(X$1,main!$A$3:$I$102,7,FALSE),main!$K$26:$Q$29,3,FALSE),1,0)</f>
        <v>0</v>
      </c>
      <c r="Y14">
        <f>IF(VLOOKUP(Y$1,main!$A$3:$H$102,5,FALSE)-VLOOKUP($A14,main!$A$3:$H$102,6,FALSE)&gt;=main!$D$103+VLOOKUP(VLOOKUP(Y$1,main!$A$3:$I$102,7,FALSE),main!$K$26:$Q$29,3,FALSE),1,0)</f>
        <v>1</v>
      </c>
      <c r="Z14">
        <f>IF(VLOOKUP(Z$1,main!$A$3:$H$102,5,FALSE)-VLOOKUP($A14,main!$A$3:$H$102,6,FALSE)&gt;=main!$D$103+VLOOKUP(VLOOKUP(Z$1,main!$A$3:$I$102,7,FALSE),main!$K$26:$Q$29,3,FALSE),1,0)</f>
        <v>1</v>
      </c>
      <c r="AA14">
        <f>IF(VLOOKUP(AA$1,main!$A$3:$H$102,5,FALSE)-VLOOKUP($A14,main!$A$3:$H$102,6,FALSE)&gt;=main!$D$103+VLOOKUP(VLOOKUP(AA$1,main!$A$3:$I$102,7,FALSE),main!$K$26:$Q$29,3,FALSE),1,0)</f>
        <v>1</v>
      </c>
      <c r="AB14">
        <f>IF(VLOOKUP(AB$1,main!$A$3:$H$102,5,FALSE)-VLOOKUP($A14,main!$A$3:$H$102,6,FALSE)&gt;=main!$D$103+VLOOKUP(VLOOKUP(AB$1,main!$A$3:$I$102,7,FALSE),main!$K$26:$Q$29,3,FALSE),1,0)</f>
        <v>0</v>
      </c>
      <c r="AC14">
        <f>IF(VLOOKUP(AC$1,main!$A$3:$H$102,5,FALSE)-VLOOKUP($A14,main!$A$3:$H$102,6,FALSE)&gt;=main!$D$103+VLOOKUP(VLOOKUP(AC$1,main!$A$3:$I$102,7,FALSE),main!$K$26:$Q$29,3,FALSE),1,0)</f>
        <v>0</v>
      </c>
      <c r="AD14">
        <f>IF(VLOOKUP(AD$1,main!$A$3:$H$102,5,FALSE)-VLOOKUP($A14,main!$A$3:$H$102,6,FALSE)&gt;=main!$D$103+VLOOKUP(VLOOKUP(AD$1,main!$A$3:$I$102,7,FALSE),main!$K$26:$Q$29,3,FALSE),1,0)</f>
        <v>0</v>
      </c>
      <c r="AE14">
        <f>IF(VLOOKUP(AE$1,main!$A$3:$H$102,5,FALSE)-VLOOKUP($A14,main!$A$3:$H$102,6,FALSE)&gt;=main!$D$103+VLOOKUP(VLOOKUP(AE$1,main!$A$3:$I$102,7,FALSE),main!$K$26:$Q$29,3,FALSE),1,0)</f>
        <v>1</v>
      </c>
      <c r="AF14">
        <f>IF(VLOOKUP(AF$1,main!$A$3:$H$102,5,FALSE)-VLOOKUP($A14,main!$A$3:$H$102,6,FALSE)&gt;=main!$D$103+VLOOKUP(VLOOKUP(AF$1,main!$A$3:$I$102,7,FALSE),main!$K$26:$Q$29,3,FALSE),1,0)</f>
        <v>1</v>
      </c>
      <c r="AG14">
        <f>IF(VLOOKUP(AG$1,main!$A$3:$H$102,5,FALSE)-VLOOKUP($A14,main!$A$3:$H$102,6,FALSE)&gt;=main!$D$103+VLOOKUP(VLOOKUP(AG$1,main!$A$3:$I$102,7,FALSE),main!$K$26:$Q$29,3,FALSE),1,0)</f>
        <v>0</v>
      </c>
      <c r="AH14">
        <f>IF(VLOOKUP(AH$1,main!$A$3:$H$102,5,FALSE)-VLOOKUP($A14,main!$A$3:$H$102,6,FALSE)&gt;=main!$D$103+VLOOKUP(VLOOKUP(AH$1,main!$A$3:$I$102,7,FALSE),main!$K$26:$Q$29,3,FALSE),1,0)</f>
        <v>0</v>
      </c>
      <c r="AI14">
        <f>IF(VLOOKUP(AI$1,main!$A$3:$H$102,5,FALSE)-VLOOKUP($A14,main!$A$3:$H$102,6,FALSE)&gt;=main!$D$103+VLOOKUP(VLOOKUP(AI$1,main!$A$3:$I$102,7,FALSE),main!$K$26:$Q$29,3,FALSE),1,0)</f>
        <v>0</v>
      </c>
      <c r="AJ14">
        <f>IF(VLOOKUP(AJ$1,main!$A$3:$H$102,5,FALSE)-VLOOKUP($A14,main!$A$3:$H$102,6,FALSE)&gt;=main!$D$103+VLOOKUP(VLOOKUP(AJ$1,main!$A$3:$I$102,7,FALSE),main!$K$26:$Q$29,3,FALSE),1,0)</f>
        <v>1</v>
      </c>
      <c r="AK14">
        <f>IF(VLOOKUP(AK$1,main!$A$3:$H$102,5,FALSE)-VLOOKUP($A14,main!$A$3:$H$102,6,FALSE)&gt;=main!$D$103+VLOOKUP(VLOOKUP(AK$1,main!$A$3:$I$102,7,FALSE),main!$K$26:$Q$29,3,FALSE),1,0)</f>
        <v>1</v>
      </c>
      <c r="AL14">
        <f>IF(VLOOKUP(AL$1,main!$A$3:$H$102,5,FALSE)-VLOOKUP($A14,main!$A$3:$H$102,6,FALSE)&gt;=main!$D$103+VLOOKUP(VLOOKUP(AL$1,main!$A$3:$I$102,7,FALSE),main!$K$26:$Q$29,3,FALSE),1,0)</f>
        <v>1</v>
      </c>
      <c r="AM14">
        <f>IF(VLOOKUP(AM$1,main!$A$3:$H$102,5,FALSE)-VLOOKUP($A14,main!$A$3:$H$102,6,FALSE)&gt;=main!$D$103+VLOOKUP(VLOOKUP(AM$1,main!$A$3:$I$102,7,FALSE),main!$K$26:$Q$29,3,FALSE),1,0)</f>
        <v>1</v>
      </c>
      <c r="AN14">
        <f>IF(VLOOKUP(AN$1,main!$A$3:$H$102,5,FALSE)-VLOOKUP($A14,main!$A$3:$H$102,6,FALSE)&gt;=main!$D$103+VLOOKUP(VLOOKUP(AN$1,main!$A$3:$I$102,7,FALSE),main!$K$26:$Q$29,3,FALSE),1,0)</f>
        <v>1</v>
      </c>
      <c r="AO14">
        <f>IF(VLOOKUP(AO$1,main!$A$3:$H$102,5,FALSE)-VLOOKUP($A14,main!$A$3:$H$102,6,FALSE)&gt;=main!$D$103+VLOOKUP(VLOOKUP(AO$1,main!$A$3:$I$102,7,FALSE),main!$K$26:$Q$29,3,FALSE),1,0)</f>
        <v>0</v>
      </c>
      <c r="AP14">
        <f>IF(VLOOKUP(AP$1,main!$A$3:$H$102,5,FALSE)-VLOOKUP($A14,main!$A$3:$H$102,6,FALSE)&gt;=main!$D$103+VLOOKUP(VLOOKUP(AP$1,main!$A$3:$I$102,7,FALSE),main!$K$26:$Q$29,3,FALSE),1,0)</f>
        <v>1</v>
      </c>
      <c r="AQ14">
        <f>IF(VLOOKUP(AQ$1,main!$A$3:$H$102,5,FALSE)-VLOOKUP($A14,main!$A$3:$H$102,6,FALSE)&gt;=main!$D$103+VLOOKUP(VLOOKUP(AQ$1,main!$A$3:$I$102,7,FALSE),main!$K$26:$Q$29,3,FALSE),1,0)</f>
        <v>0</v>
      </c>
      <c r="AR14">
        <f>IF(VLOOKUP(AR$1,main!$A$3:$H$102,5,FALSE)-VLOOKUP($A14,main!$A$3:$H$102,6,FALSE)&gt;=main!$D$103+VLOOKUP(VLOOKUP(AR$1,main!$A$3:$I$102,7,FALSE),main!$K$26:$Q$29,3,FALSE),1,0)</f>
        <v>0</v>
      </c>
      <c r="AS14">
        <f>IF(VLOOKUP(AS$1,main!$A$3:$H$102,5,FALSE)-VLOOKUP($A14,main!$A$3:$H$102,6,FALSE)&gt;=main!$D$103+VLOOKUP(VLOOKUP(AS$1,main!$A$3:$I$102,7,FALSE),main!$K$26:$Q$29,3,FALSE),1,0)</f>
        <v>1</v>
      </c>
      <c r="AT14">
        <f>IF(VLOOKUP(AT$1,main!$A$3:$H$102,5,FALSE)-VLOOKUP($A14,main!$A$3:$H$102,6,FALSE)&gt;=main!$D$103+VLOOKUP(VLOOKUP(AT$1,main!$A$3:$I$102,7,FALSE),main!$K$26:$Q$29,3,FALSE),1,0)</f>
        <v>1</v>
      </c>
      <c r="AU14">
        <f>IF(VLOOKUP(AU$1,main!$A$3:$H$102,5,FALSE)-VLOOKUP($A14,main!$A$3:$H$102,6,FALSE)&gt;=main!$D$103+VLOOKUP(VLOOKUP(AU$1,main!$A$3:$I$102,7,FALSE),main!$K$26:$Q$29,3,FALSE),1,0)</f>
        <v>0</v>
      </c>
      <c r="AV14">
        <f>IF(VLOOKUP(AV$1,main!$A$3:$H$102,5,FALSE)-VLOOKUP($A14,main!$A$3:$H$102,6,FALSE)&gt;=main!$D$103+VLOOKUP(VLOOKUP(AV$1,main!$A$3:$I$102,7,FALSE),main!$K$26:$Q$29,3,FALSE),1,0)</f>
        <v>0</v>
      </c>
      <c r="AW14">
        <f>IF(VLOOKUP(AW$1,main!$A$3:$H$102,5,FALSE)-VLOOKUP($A14,main!$A$3:$H$102,6,FALSE)&gt;=main!$D$103+VLOOKUP(VLOOKUP(AW$1,main!$A$3:$I$102,7,FALSE),main!$K$26:$Q$29,3,FALSE),1,0)</f>
        <v>1</v>
      </c>
      <c r="AX14">
        <f>IF(VLOOKUP(AX$1,main!$A$3:$H$102,5,FALSE)-VLOOKUP($A14,main!$A$3:$H$102,6,FALSE)&gt;=main!$D$103+VLOOKUP(VLOOKUP(AX$1,main!$A$3:$I$102,7,FALSE),main!$K$26:$Q$29,3,FALSE),1,0)</f>
        <v>0</v>
      </c>
      <c r="AY14">
        <f>IF(VLOOKUP(AY$1,main!$A$3:$H$102,5,FALSE)-VLOOKUP($A14,main!$A$3:$H$102,6,FALSE)&gt;=main!$D$103+VLOOKUP(VLOOKUP(AY$1,main!$A$3:$I$102,7,FALSE),main!$K$26:$Q$29,3,FALSE),1,0)</f>
        <v>0</v>
      </c>
      <c r="AZ14">
        <f>IF(VLOOKUP(AZ$1,main!$A$3:$H$102,5,FALSE)-VLOOKUP($A14,main!$A$3:$H$102,6,FALSE)&gt;=main!$D$103+VLOOKUP(VLOOKUP(AZ$1,main!$A$3:$I$102,7,FALSE),main!$K$26:$Q$29,3,FALSE),1,0)</f>
        <v>0</v>
      </c>
      <c r="BA14">
        <f>IF(VLOOKUP(BA$1,main!$A$3:$H$102,5,FALSE)-VLOOKUP($A14,main!$A$3:$H$102,6,FALSE)&gt;=main!$D$103+VLOOKUP(VLOOKUP(BA$1,main!$A$3:$I$102,7,FALSE),main!$K$26:$Q$29,3,FALSE),1,0)</f>
        <v>0</v>
      </c>
      <c r="BB14">
        <f>IF(VLOOKUP(BB$1,main!$A$3:$H$102,5,FALSE)-VLOOKUP($A14,main!$A$3:$H$102,6,FALSE)&gt;=main!$D$103+VLOOKUP(VLOOKUP(BB$1,main!$A$3:$I$102,7,FALSE),main!$K$26:$Q$29,3,FALSE),1,0)</f>
        <v>0</v>
      </c>
      <c r="BC14">
        <f>IF(VLOOKUP(BC$1,main!$A$3:$H$102,5,FALSE)-VLOOKUP($A14,main!$A$3:$H$102,6,FALSE)&gt;=main!$D$103+VLOOKUP(VLOOKUP(BC$1,main!$A$3:$I$102,7,FALSE),main!$K$26:$Q$29,3,FALSE),1,0)</f>
        <v>1</v>
      </c>
      <c r="BD14">
        <f>IF(VLOOKUP(BD$1,main!$A$3:$H$102,5,FALSE)-VLOOKUP($A14,main!$A$3:$H$102,6,FALSE)&gt;=main!$D$103+VLOOKUP(VLOOKUP(BD$1,main!$A$3:$I$102,7,FALSE),main!$K$26:$Q$29,3,FALSE),1,0)</f>
        <v>1</v>
      </c>
      <c r="BE14">
        <f>IF(VLOOKUP(BE$1,main!$A$3:$H$102,5,FALSE)-VLOOKUP($A14,main!$A$3:$H$102,6,FALSE)&gt;=main!$D$103+VLOOKUP(VLOOKUP(BE$1,main!$A$3:$I$102,7,FALSE),main!$K$26:$Q$29,3,FALSE),1,0)</f>
        <v>1</v>
      </c>
      <c r="BF14">
        <f>IF(VLOOKUP(BF$1,main!$A$3:$H$102,5,FALSE)-VLOOKUP($A14,main!$A$3:$H$102,6,FALSE)&gt;=main!$D$103+VLOOKUP(VLOOKUP(BF$1,main!$A$3:$I$102,7,FALSE),main!$K$26:$Q$29,3,FALSE),1,0)</f>
        <v>0</v>
      </c>
      <c r="BG14">
        <f>IF(VLOOKUP(BG$1,main!$A$3:$H$102,5,FALSE)-VLOOKUP($A14,main!$A$3:$H$102,6,FALSE)&gt;=main!$D$103+VLOOKUP(VLOOKUP(BG$1,main!$A$3:$I$102,7,FALSE),main!$K$26:$Q$29,3,FALSE),1,0)</f>
        <v>0</v>
      </c>
      <c r="BH14">
        <f>IF(VLOOKUP(BH$1,main!$A$3:$H$102,5,FALSE)-VLOOKUP($A14,main!$A$3:$H$102,6,FALSE)&gt;=main!$D$103+VLOOKUP(VLOOKUP(BH$1,main!$A$3:$I$102,7,FALSE),main!$K$26:$Q$29,3,FALSE),1,0)</f>
        <v>1</v>
      </c>
      <c r="BI14">
        <f>IF(VLOOKUP(BI$1,main!$A$3:$H$102,5,FALSE)-VLOOKUP($A14,main!$A$3:$H$102,6,FALSE)&gt;=main!$D$103+VLOOKUP(VLOOKUP(BI$1,main!$A$3:$I$102,7,FALSE),main!$K$26:$Q$29,3,FALSE),1,0)</f>
        <v>1</v>
      </c>
      <c r="BJ14">
        <f>IF(VLOOKUP(BJ$1,main!$A$3:$H$102,5,FALSE)-VLOOKUP($A14,main!$A$3:$H$102,6,FALSE)&gt;=main!$D$103+VLOOKUP(VLOOKUP(BJ$1,main!$A$3:$I$102,7,FALSE),main!$K$26:$Q$29,3,FALSE),1,0)</f>
        <v>1</v>
      </c>
      <c r="BK14">
        <f>IF(VLOOKUP(BK$1,main!$A$3:$H$102,5,FALSE)-VLOOKUP($A14,main!$A$3:$H$102,6,FALSE)&gt;=main!$D$103+VLOOKUP(VLOOKUP(BK$1,main!$A$3:$I$102,7,FALSE),main!$K$26:$Q$29,3,FALSE),1,0)</f>
        <v>0</v>
      </c>
      <c r="BL14">
        <f>IF(VLOOKUP(BL$1,main!$A$3:$H$102,5,FALSE)-VLOOKUP($A14,main!$A$3:$H$102,6,FALSE)&gt;=main!$D$103+VLOOKUP(VLOOKUP(BL$1,main!$A$3:$I$102,7,FALSE),main!$K$26:$Q$29,3,FALSE),1,0)</f>
        <v>0</v>
      </c>
      <c r="BM14">
        <f>IF(VLOOKUP(BM$1,main!$A$3:$H$102,5,FALSE)-VLOOKUP($A14,main!$A$3:$H$102,6,FALSE)&gt;=main!$D$103+VLOOKUP(VLOOKUP(BM$1,main!$A$3:$I$102,7,FALSE),main!$K$26:$Q$29,3,FALSE),1,0)</f>
        <v>0</v>
      </c>
      <c r="BN14">
        <f>IF(VLOOKUP(BN$1,main!$A$3:$H$102,5,FALSE)-VLOOKUP($A14,main!$A$3:$H$102,6,FALSE)&gt;=main!$D$103+VLOOKUP(VLOOKUP(BN$1,main!$A$3:$I$102,7,FALSE),main!$K$26:$Q$29,3,FALSE),1,0)</f>
        <v>1</v>
      </c>
      <c r="BO14">
        <f>IF(VLOOKUP(BO$1,main!$A$3:$H$102,5,FALSE)-VLOOKUP($A14,main!$A$3:$H$102,6,FALSE)&gt;=main!$D$103+VLOOKUP(VLOOKUP(BO$1,main!$A$3:$I$102,7,FALSE),main!$K$26:$Q$29,3,FALSE),1,0)</f>
        <v>0</v>
      </c>
      <c r="BP14">
        <f>IF(VLOOKUP(BP$1,main!$A$3:$H$102,5,FALSE)-VLOOKUP($A14,main!$A$3:$H$102,6,FALSE)&gt;=main!$D$103+VLOOKUP(VLOOKUP(BP$1,main!$A$3:$I$102,7,FALSE),main!$K$26:$Q$29,3,FALSE),1,0)</f>
        <v>0</v>
      </c>
      <c r="BQ14">
        <f>IF(VLOOKUP(BQ$1,main!$A$3:$H$102,5,FALSE)-VLOOKUP($A14,main!$A$3:$H$102,6,FALSE)&gt;=main!$D$103+VLOOKUP(VLOOKUP(BQ$1,main!$A$3:$I$102,7,FALSE),main!$K$26:$Q$29,3,FALSE),1,0)</f>
        <v>0</v>
      </c>
      <c r="BR14">
        <f>IF(VLOOKUP(BR$1,main!$A$3:$H$102,5,FALSE)-VLOOKUP($A14,main!$A$3:$H$102,6,FALSE)&gt;=main!$D$103+VLOOKUP(VLOOKUP(BR$1,main!$A$3:$I$102,7,FALSE),main!$K$26:$Q$29,3,FALSE),1,0)</f>
        <v>1</v>
      </c>
      <c r="BS14">
        <f>IF(VLOOKUP(BS$1,main!$A$3:$H$102,5,FALSE)-VLOOKUP($A14,main!$A$3:$H$102,6,FALSE)&gt;=main!$D$103+VLOOKUP(VLOOKUP(BS$1,main!$A$3:$I$102,7,FALSE),main!$K$26:$Q$29,3,FALSE),1,0)</f>
        <v>1</v>
      </c>
      <c r="BT14">
        <f>IF(VLOOKUP(BT$1,main!$A$3:$H$102,5,FALSE)-VLOOKUP($A14,main!$A$3:$H$102,6,FALSE)&gt;=main!$D$103+VLOOKUP(VLOOKUP(BT$1,main!$A$3:$I$102,7,FALSE),main!$K$26:$Q$29,3,FALSE),1,0)</f>
        <v>0</v>
      </c>
      <c r="BU14">
        <f>IF(VLOOKUP(BU$1,main!$A$3:$H$102,5,FALSE)-VLOOKUP($A14,main!$A$3:$H$102,6,FALSE)&gt;=main!$D$103+VLOOKUP(VLOOKUP(BU$1,main!$A$3:$I$102,7,FALSE),main!$K$26:$Q$29,3,FALSE),1,0)</f>
        <v>0</v>
      </c>
      <c r="BV14">
        <f>IF(VLOOKUP(BV$1,main!$A$3:$H$102,5,FALSE)-VLOOKUP($A14,main!$A$3:$H$102,6,FALSE)&gt;=main!$D$103+VLOOKUP(VLOOKUP(BV$1,main!$A$3:$I$102,7,FALSE),main!$K$26:$Q$29,3,FALSE),1,0)</f>
        <v>0</v>
      </c>
      <c r="BW14">
        <f>IF(VLOOKUP(BW$1,main!$A$3:$H$102,5,FALSE)-VLOOKUP($A14,main!$A$3:$H$102,6,FALSE)&gt;=main!$D$103+VLOOKUP(VLOOKUP(BW$1,main!$A$3:$I$102,7,FALSE),main!$K$26:$Q$29,3,FALSE),1,0)</f>
        <v>0</v>
      </c>
      <c r="BX14">
        <f>IF(VLOOKUP(BX$1,main!$A$3:$H$102,5,FALSE)-VLOOKUP($A14,main!$A$3:$H$102,6,FALSE)&gt;=main!$D$103+VLOOKUP(VLOOKUP(BX$1,main!$A$3:$I$102,7,FALSE),main!$K$26:$Q$29,3,FALSE),1,0)</f>
        <v>0</v>
      </c>
      <c r="BY14">
        <f>IF(VLOOKUP(BY$1,main!$A$3:$H$102,5,FALSE)-VLOOKUP($A14,main!$A$3:$H$102,6,FALSE)&gt;=main!$D$103+VLOOKUP(VLOOKUP(BY$1,main!$A$3:$I$102,7,FALSE),main!$K$26:$Q$29,3,FALSE),1,0)</f>
        <v>1</v>
      </c>
      <c r="BZ14">
        <f>IF(VLOOKUP(BZ$1,main!$A$3:$H$102,5,FALSE)-VLOOKUP($A14,main!$A$3:$H$102,6,FALSE)&gt;=main!$D$103+VLOOKUP(VLOOKUP(BZ$1,main!$A$3:$I$102,7,FALSE),main!$K$26:$Q$29,3,FALSE),1,0)</f>
        <v>0</v>
      </c>
      <c r="CA14">
        <f>IF(VLOOKUP(CA$1,main!$A$3:$H$102,5,FALSE)-VLOOKUP($A14,main!$A$3:$H$102,6,FALSE)&gt;=main!$D$103+VLOOKUP(VLOOKUP(CA$1,main!$A$3:$I$102,7,FALSE),main!$K$26:$Q$29,3,FALSE),1,0)</f>
        <v>0</v>
      </c>
      <c r="CB14">
        <f>IF(VLOOKUP(CB$1,main!$A$3:$H$102,5,FALSE)-VLOOKUP($A14,main!$A$3:$H$102,6,FALSE)&gt;=main!$D$103+VLOOKUP(VLOOKUP(CB$1,main!$A$3:$I$102,7,FALSE),main!$K$26:$Q$29,3,FALSE),1,0)</f>
        <v>1</v>
      </c>
      <c r="CC14">
        <f>IF(VLOOKUP(CC$1,main!$A$3:$H$102,5,FALSE)-VLOOKUP($A14,main!$A$3:$H$102,6,FALSE)&gt;=main!$D$103+VLOOKUP(VLOOKUP(CC$1,main!$A$3:$I$102,7,FALSE),main!$K$26:$Q$29,3,FALSE),1,0)</f>
        <v>1</v>
      </c>
      <c r="CD14">
        <f>IF(VLOOKUP(CD$1,main!$A$3:$H$102,5,FALSE)-VLOOKUP($A14,main!$A$3:$H$102,6,FALSE)&gt;=main!$D$103+VLOOKUP(VLOOKUP(CD$1,main!$A$3:$I$102,7,FALSE),main!$K$26:$Q$29,3,FALSE),1,0)</f>
        <v>1</v>
      </c>
      <c r="CE14">
        <f>IF(VLOOKUP(CE$1,main!$A$3:$H$102,5,FALSE)-VLOOKUP($A14,main!$A$3:$H$102,6,FALSE)&gt;=main!$D$103+VLOOKUP(VLOOKUP(CE$1,main!$A$3:$I$102,7,FALSE),main!$K$26:$Q$29,3,FALSE),1,0)</f>
        <v>0</v>
      </c>
      <c r="CF14">
        <f>IF(VLOOKUP(CF$1,main!$A$3:$H$102,5,FALSE)-VLOOKUP($A14,main!$A$3:$H$102,6,FALSE)&gt;=main!$D$103+VLOOKUP(VLOOKUP(CF$1,main!$A$3:$I$102,7,FALSE),main!$K$26:$Q$29,3,FALSE),1,0)</f>
        <v>0</v>
      </c>
      <c r="CG14">
        <f>IF(VLOOKUP(CG$1,main!$A$3:$H$102,5,FALSE)-VLOOKUP($A14,main!$A$3:$H$102,6,FALSE)&gt;=main!$D$103+VLOOKUP(VLOOKUP(CG$1,main!$A$3:$I$102,7,FALSE),main!$K$26:$Q$29,3,FALSE),1,0)</f>
        <v>1</v>
      </c>
      <c r="CH14">
        <f>IF(VLOOKUP(CH$1,main!$A$3:$H$102,5,FALSE)-VLOOKUP($A14,main!$A$3:$H$102,6,FALSE)&gt;=main!$D$103+VLOOKUP(VLOOKUP(CH$1,main!$A$3:$I$102,7,FALSE),main!$K$26:$Q$29,3,FALSE),1,0)</f>
        <v>1</v>
      </c>
      <c r="CI14">
        <f>IF(VLOOKUP(CI$1,main!$A$3:$H$102,5,FALSE)-VLOOKUP($A14,main!$A$3:$H$102,6,FALSE)&gt;=main!$D$103+VLOOKUP(VLOOKUP(CI$1,main!$A$3:$I$102,7,FALSE),main!$K$26:$Q$29,3,FALSE),1,0)</f>
        <v>1</v>
      </c>
      <c r="CJ14">
        <f>IF(VLOOKUP(CJ$1,main!$A$3:$H$102,5,FALSE)-VLOOKUP($A14,main!$A$3:$H$102,6,FALSE)&gt;=main!$D$103+VLOOKUP(VLOOKUP(CJ$1,main!$A$3:$I$102,7,FALSE),main!$K$26:$Q$29,3,FALSE),1,0)</f>
        <v>1</v>
      </c>
      <c r="CK14">
        <f>IF(VLOOKUP(CK$1,main!$A$3:$H$102,5,FALSE)-VLOOKUP($A14,main!$A$3:$H$102,6,FALSE)&gt;=main!$D$103+VLOOKUP(VLOOKUP(CK$1,main!$A$3:$I$102,7,FALSE),main!$K$26:$Q$29,3,FALSE),1,0)</f>
        <v>0</v>
      </c>
      <c r="CL14">
        <f>IF(VLOOKUP(CL$1,main!$A$3:$H$102,5,FALSE)-VLOOKUP($A14,main!$A$3:$H$102,6,FALSE)&gt;=main!$D$103+VLOOKUP(VLOOKUP(CL$1,main!$A$3:$I$102,7,FALSE),main!$K$26:$Q$29,3,FALSE),1,0)</f>
        <v>1</v>
      </c>
      <c r="CM14">
        <f>IF(VLOOKUP(CM$1,main!$A$3:$H$102,5,FALSE)-VLOOKUP($A14,main!$A$3:$H$102,6,FALSE)&gt;=main!$D$103+VLOOKUP(VLOOKUP(CM$1,main!$A$3:$I$102,7,FALSE),main!$K$26:$Q$29,3,FALSE),1,0)</f>
        <v>1</v>
      </c>
      <c r="CN14">
        <f>IF(VLOOKUP(CN$1,main!$A$3:$H$102,5,FALSE)-VLOOKUP($A14,main!$A$3:$H$102,6,FALSE)&gt;=main!$D$103+VLOOKUP(VLOOKUP(CN$1,main!$A$3:$I$102,7,FALSE),main!$K$26:$Q$29,3,FALSE),1,0)</f>
        <v>1</v>
      </c>
      <c r="CO14">
        <f>IF(VLOOKUP(CO$1,main!$A$3:$H$102,5,FALSE)-VLOOKUP($A14,main!$A$3:$H$102,6,FALSE)&gt;=main!$D$103+VLOOKUP(VLOOKUP(CO$1,main!$A$3:$I$102,7,FALSE),main!$K$26:$Q$29,3,FALSE),1,0)</f>
        <v>0</v>
      </c>
      <c r="CP14">
        <f>IF(VLOOKUP(CP$1,main!$A$3:$H$102,5,FALSE)-VLOOKUP($A14,main!$A$3:$H$102,6,FALSE)&gt;=main!$D$103+VLOOKUP(VLOOKUP(CP$1,main!$A$3:$I$102,7,FALSE),main!$K$26:$Q$29,3,FALSE),1,0)</f>
        <v>0</v>
      </c>
      <c r="CQ14">
        <f>IF(VLOOKUP(CQ$1,main!$A$3:$H$102,5,FALSE)-VLOOKUP($A14,main!$A$3:$H$102,6,FALSE)&gt;=main!$D$103+VLOOKUP(VLOOKUP(CQ$1,main!$A$3:$I$102,7,FALSE),main!$K$26:$Q$29,3,FALSE),1,0)</f>
        <v>0</v>
      </c>
      <c r="CR14">
        <f>IF(VLOOKUP(CR$1,main!$A$3:$H$102,5,FALSE)-VLOOKUP($A14,main!$A$3:$H$102,6,FALSE)&gt;=main!$D$103+VLOOKUP(VLOOKUP(CR$1,main!$A$3:$I$102,7,FALSE),main!$K$26:$Q$29,3,FALSE),1,0)</f>
        <v>1</v>
      </c>
      <c r="CS14">
        <f>IF(VLOOKUP(CS$1,main!$A$3:$H$102,5,FALSE)-VLOOKUP($A14,main!$A$3:$H$102,6,FALSE)&gt;=main!$D$103+VLOOKUP(VLOOKUP(CS$1,main!$A$3:$I$102,7,FALSE),main!$K$26:$Q$29,3,FALSE),1,0)</f>
        <v>1</v>
      </c>
      <c r="CT14">
        <f>IF(VLOOKUP(CT$1,main!$A$3:$H$102,5,FALSE)-VLOOKUP($A14,main!$A$3:$H$102,6,FALSE)&gt;=main!$D$103+VLOOKUP(VLOOKUP(CT$1,main!$A$3:$I$102,7,FALSE),main!$K$26:$Q$29,3,FALSE),1,0)</f>
        <v>0</v>
      </c>
      <c r="CU14">
        <f>IF(VLOOKUP(CU$1,main!$A$3:$H$102,5,FALSE)-VLOOKUP($A14,main!$A$3:$H$102,6,FALSE)&gt;=main!$D$103+VLOOKUP(VLOOKUP(CU$1,main!$A$3:$I$102,7,FALSE),main!$K$26:$Q$29,3,FALSE),1,0)</f>
        <v>0</v>
      </c>
      <c r="CV14">
        <f>IF(VLOOKUP(CV$1,main!$A$3:$H$102,5,FALSE)-VLOOKUP($A14,main!$A$3:$H$102,6,FALSE)&gt;=main!$D$103+VLOOKUP(VLOOKUP(CV$1,main!$A$3:$I$102,7,FALSE),main!$K$26:$Q$29,3,FALSE),1,0)</f>
        <v>0</v>
      </c>
      <c r="CW14">
        <f>IF(VLOOKUP(CW$1,main!$A$3:$H$102,5,FALSE)-VLOOKUP($A14,main!$A$3:$H$102,6,FALSE)&gt;=main!$D$103+VLOOKUP(VLOOKUP(CW$1,main!$A$3:$I$102,7,FALSE),main!$K$26:$Q$29,3,FALSE),1,0)</f>
        <v>1</v>
      </c>
      <c r="CX14">
        <f>IF(VLOOKUP(CX$1,main!$A$3:$H$102,5,FALSE)-VLOOKUP($A14,main!$A$3:$H$102,6,FALSE)&gt;=main!$D$103+VLOOKUP(VLOOKUP(CX$1,main!$A$3:$I$102,7,FALSE),main!$K$26:$Q$29,3,FALSE),1,0)</f>
        <v>1</v>
      </c>
      <c r="CZ14">
        <f>main!$D$103</f>
        <v>50</v>
      </c>
    </row>
    <row r="15" spans="1:104" x14ac:dyDescent="0.25">
      <c r="A15" s="1">
        <v>13</v>
      </c>
      <c r="B15">
        <v>0</v>
      </c>
      <c r="C15">
        <f>IF(VLOOKUP(C$1,main!$A$3:$H$102,5,FALSE)-VLOOKUP($A15,main!$A$3:$H$102,6,FALSE)&gt;=main!$D$103+VLOOKUP(VLOOKUP(C$1,main!$A$3:$I$102,7,FALSE),main!$K$26:$Q$29,3,FALSE),1,0)</f>
        <v>0</v>
      </c>
      <c r="D15">
        <f>IF(VLOOKUP(D$1,main!$A$3:$H$102,5,FALSE)-VLOOKUP($A15,main!$A$3:$H$102,6,FALSE)&gt;=main!$D$103+VLOOKUP(VLOOKUP(D$1,main!$A$3:$I$102,7,FALSE),main!$K$26:$Q$29,3,FALSE),1,0)</f>
        <v>0</v>
      </c>
      <c r="E15">
        <f>IF(VLOOKUP(E$1,main!$A$3:$H$102,5,FALSE)-VLOOKUP($A15,main!$A$3:$H$102,6,FALSE)&gt;=main!$D$103+VLOOKUP(VLOOKUP(E$1,main!$A$3:$I$102,7,FALSE),main!$K$26:$Q$29,3,FALSE),1,0)</f>
        <v>0</v>
      </c>
      <c r="F15">
        <f>IF(VLOOKUP(F$1,main!$A$3:$H$102,5,FALSE)-VLOOKUP($A15,main!$A$3:$H$102,6,FALSE)&gt;=main!$D$103+VLOOKUP(VLOOKUP(F$1,main!$A$3:$I$102,7,FALSE),main!$K$26:$Q$29,3,FALSE),1,0)</f>
        <v>0</v>
      </c>
      <c r="G15">
        <f>IF(VLOOKUP(G$1,main!$A$3:$H$102,5,FALSE)-VLOOKUP($A15,main!$A$3:$H$102,6,FALSE)&gt;=main!$D$103+VLOOKUP(VLOOKUP(G$1,main!$A$3:$I$102,7,FALSE),main!$K$26:$Q$29,3,FALSE),1,0)</f>
        <v>1</v>
      </c>
      <c r="H15">
        <f>IF(VLOOKUP(H$1,main!$A$3:$H$102,5,FALSE)-VLOOKUP($A15,main!$A$3:$H$102,6,FALSE)&gt;=main!$D$103+VLOOKUP(VLOOKUP(H$1,main!$A$3:$I$102,7,FALSE),main!$K$26:$Q$29,3,FALSE),1,0)</f>
        <v>1</v>
      </c>
      <c r="I15">
        <f>IF(VLOOKUP(I$1,main!$A$3:$H$102,5,FALSE)-VLOOKUP($A15,main!$A$3:$H$102,6,FALSE)&gt;=main!$D$103+VLOOKUP(VLOOKUP(I$1,main!$A$3:$I$102,7,FALSE),main!$K$26:$Q$29,3,FALSE),1,0)</f>
        <v>1</v>
      </c>
      <c r="J15">
        <f>IF(VLOOKUP(J$1,main!$A$3:$H$102,5,FALSE)-VLOOKUP($A15,main!$A$3:$H$102,6,FALSE)&gt;=main!$D$103+VLOOKUP(VLOOKUP(J$1,main!$A$3:$I$102,7,FALSE),main!$K$26:$Q$29,3,FALSE),1,0)</f>
        <v>1</v>
      </c>
      <c r="K15">
        <f>IF(VLOOKUP(K$1,main!$A$3:$H$102,5,FALSE)-VLOOKUP($A15,main!$A$3:$H$102,6,FALSE)&gt;=main!$D$103+VLOOKUP(VLOOKUP(K$1,main!$A$3:$I$102,7,FALSE),main!$K$26:$Q$29,3,FALSE),1,0)</f>
        <v>1</v>
      </c>
      <c r="L15">
        <f>IF(VLOOKUP(L$1,main!$A$3:$H$102,5,FALSE)-VLOOKUP($A15,main!$A$3:$H$102,6,FALSE)&gt;=main!$D$103+VLOOKUP(VLOOKUP(L$1,main!$A$3:$I$102,7,FALSE),main!$K$26:$Q$29,3,FALSE),1,0)</f>
        <v>1</v>
      </c>
      <c r="M15">
        <f>IF(VLOOKUP(M$1,main!$A$3:$H$102,5,FALSE)-VLOOKUP($A15,main!$A$3:$H$102,6,FALSE)&gt;=main!$D$103+VLOOKUP(VLOOKUP(M$1,main!$A$3:$I$102,7,FALSE),main!$K$26:$Q$29,3,FALSE),1,0)</f>
        <v>0</v>
      </c>
      <c r="N15">
        <f>IF(VLOOKUP(N$1,main!$A$3:$H$102,5,FALSE)-VLOOKUP($A15,main!$A$3:$H$102,6,FALSE)&gt;=main!$D$103+VLOOKUP(VLOOKUP(N$1,main!$A$3:$I$102,7,FALSE),main!$K$26:$Q$29,3,FALSE),1,0)</f>
        <v>0</v>
      </c>
      <c r="O15">
        <f>IF(VLOOKUP(O$1,main!$A$3:$H$102,5,FALSE)-VLOOKUP($A15,main!$A$3:$H$102,6,FALSE)&gt;=main!$D$103+VLOOKUP(VLOOKUP(O$1,main!$A$3:$I$102,7,FALSE),main!$K$26:$Q$29,3,FALSE),1,0)</f>
        <v>0</v>
      </c>
      <c r="P15">
        <f>IF(VLOOKUP(P$1,main!$A$3:$H$102,5,FALSE)-VLOOKUP($A15,main!$A$3:$H$102,6,FALSE)&gt;=main!$D$103+VLOOKUP(VLOOKUP(P$1,main!$A$3:$I$102,7,FALSE),main!$K$26:$Q$29,3,FALSE),1,0)</f>
        <v>0</v>
      </c>
      <c r="Q15">
        <f>IF(VLOOKUP(Q$1,main!$A$3:$H$102,5,FALSE)-VLOOKUP($A15,main!$A$3:$H$102,6,FALSE)&gt;=main!$D$103+VLOOKUP(VLOOKUP(Q$1,main!$A$3:$I$102,7,FALSE),main!$K$26:$Q$29,3,FALSE),1,0)</f>
        <v>0</v>
      </c>
      <c r="R15">
        <f>IF(VLOOKUP(R$1,main!$A$3:$H$102,5,FALSE)-VLOOKUP($A15,main!$A$3:$H$102,6,FALSE)&gt;=main!$D$103+VLOOKUP(VLOOKUP(R$1,main!$A$3:$I$102,7,FALSE),main!$K$26:$Q$29,3,FALSE),1,0)</f>
        <v>0</v>
      </c>
      <c r="S15">
        <f>IF(VLOOKUP(S$1,main!$A$3:$H$102,5,FALSE)-VLOOKUP($A15,main!$A$3:$H$102,6,FALSE)&gt;=main!$D$103+VLOOKUP(VLOOKUP(S$1,main!$A$3:$I$102,7,FALSE),main!$K$26:$Q$29,3,FALSE),1,0)</f>
        <v>1</v>
      </c>
      <c r="T15">
        <f>IF(VLOOKUP(T$1,main!$A$3:$H$102,5,FALSE)-VLOOKUP($A15,main!$A$3:$H$102,6,FALSE)&gt;=main!$D$103+VLOOKUP(VLOOKUP(T$1,main!$A$3:$I$102,7,FALSE),main!$K$26:$Q$29,3,FALSE),1,0)</f>
        <v>1</v>
      </c>
      <c r="U15">
        <f>IF(VLOOKUP(U$1,main!$A$3:$H$102,5,FALSE)-VLOOKUP($A15,main!$A$3:$H$102,6,FALSE)&gt;=main!$D$103+VLOOKUP(VLOOKUP(U$1,main!$A$3:$I$102,7,FALSE),main!$K$26:$Q$29,3,FALSE),1,0)</f>
        <v>1</v>
      </c>
      <c r="V15">
        <f>IF(VLOOKUP(V$1,main!$A$3:$H$102,5,FALSE)-VLOOKUP($A15,main!$A$3:$H$102,6,FALSE)&gt;=main!$D$103+VLOOKUP(VLOOKUP(V$1,main!$A$3:$I$102,7,FALSE),main!$K$26:$Q$29,3,FALSE),1,0)</f>
        <v>1</v>
      </c>
      <c r="W15">
        <f>IF(VLOOKUP(W$1,main!$A$3:$H$102,5,FALSE)-VLOOKUP($A15,main!$A$3:$H$102,6,FALSE)&gt;=main!$D$103+VLOOKUP(VLOOKUP(W$1,main!$A$3:$I$102,7,FALSE),main!$K$26:$Q$29,3,FALSE),1,0)</f>
        <v>0</v>
      </c>
      <c r="X15">
        <f>IF(VLOOKUP(X$1,main!$A$3:$H$102,5,FALSE)-VLOOKUP($A15,main!$A$3:$H$102,6,FALSE)&gt;=main!$D$103+VLOOKUP(VLOOKUP(X$1,main!$A$3:$I$102,7,FALSE),main!$K$26:$Q$29,3,FALSE),1,0)</f>
        <v>0</v>
      </c>
      <c r="Y15">
        <f>IF(VLOOKUP(Y$1,main!$A$3:$H$102,5,FALSE)-VLOOKUP($A15,main!$A$3:$H$102,6,FALSE)&gt;=main!$D$103+VLOOKUP(VLOOKUP(Y$1,main!$A$3:$I$102,7,FALSE),main!$K$26:$Q$29,3,FALSE),1,0)</f>
        <v>0</v>
      </c>
      <c r="Z15">
        <f>IF(VLOOKUP(Z$1,main!$A$3:$H$102,5,FALSE)-VLOOKUP($A15,main!$A$3:$H$102,6,FALSE)&gt;=main!$D$103+VLOOKUP(VLOOKUP(Z$1,main!$A$3:$I$102,7,FALSE),main!$K$26:$Q$29,3,FALSE),1,0)</f>
        <v>1</v>
      </c>
      <c r="AA15">
        <f>IF(VLOOKUP(AA$1,main!$A$3:$H$102,5,FALSE)-VLOOKUP($A15,main!$A$3:$H$102,6,FALSE)&gt;=main!$D$103+VLOOKUP(VLOOKUP(AA$1,main!$A$3:$I$102,7,FALSE),main!$K$26:$Q$29,3,FALSE),1,0)</f>
        <v>1</v>
      </c>
      <c r="AB15">
        <f>IF(VLOOKUP(AB$1,main!$A$3:$H$102,5,FALSE)-VLOOKUP($A15,main!$A$3:$H$102,6,FALSE)&gt;=main!$D$103+VLOOKUP(VLOOKUP(AB$1,main!$A$3:$I$102,7,FALSE),main!$K$26:$Q$29,3,FALSE),1,0)</f>
        <v>0</v>
      </c>
      <c r="AC15">
        <f>IF(VLOOKUP(AC$1,main!$A$3:$H$102,5,FALSE)-VLOOKUP($A15,main!$A$3:$H$102,6,FALSE)&gt;=main!$D$103+VLOOKUP(VLOOKUP(AC$1,main!$A$3:$I$102,7,FALSE),main!$K$26:$Q$29,3,FALSE),1,0)</f>
        <v>0</v>
      </c>
      <c r="AD15">
        <f>IF(VLOOKUP(AD$1,main!$A$3:$H$102,5,FALSE)-VLOOKUP($A15,main!$A$3:$H$102,6,FALSE)&gt;=main!$D$103+VLOOKUP(VLOOKUP(AD$1,main!$A$3:$I$102,7,FALSE),main!$K$26:$Q$29,3,FALSE),1,0)</f>
        <v>0</v>
      </c>
      <c r="AE15">
        <f>IF(VLOOKUP(AE$1,main!$A$3:$H$102,5,FALSE)-VLOOKUP($A15,main!$A$3:$H$102,6,FALSE)&gt;=main!$D$103+VLOOKUP(VLOOKUP(AE$1,main!$A$3:$I$102,7,FALSE),main!$K$26:$Q$29,3,FALSE),1,0)</f>
        <v>1</v>
      </c>
      <c r="AF15">
        <f>IF(VLOOKUP(AF$1,main!$A$3:$H$102,5,FALSE)-VLOOKUP($A15,main!$A$3:$H$102,6,FALSE)&gt;=main!$D$103+VLOOKUP(VLOOKUP(AF$1,main!$A$3:$I$102,7,FALSE),main!$K$26:$Q$29,3,FALSE),1,0)</f>
        <v>1</v>
      </c>
      <c r="AG15">
        <f>IF(VLOOKUP(AG$1,main!$A$3:$H$102,5,FALSE)-VLOOKUP($A15,main!$A$3:$H$102,6,FALSE)&gt;=main!$D$103+VLOOKUP(VLOOKUP(AG$1,main!$A$3:$I$102,7,FALSE),main!$K$26:$Q$29,3,FALSE),1,0)</f>
        <v>0</v>
      </c>
      <c r="AH15">
        <f>IF(VLOOKUP(AH$1,main!$A$3:$H$102,5,FALSE)-VLOOKUP($A15,main!$A$3:$H$102,6,FALSE)&gt;=main!$D$103+VLOOKUP(VLOOKUP(AH$1,main!$A$3:$I$102,7,FALSE),main!$K$26:$Q$29,3,FALSE),1,0)</f>
        <v>0</v>
      </c>
      <c r="AI15">
        <f>IF(VLOOKUP(AI$1,main!$A$3:$H$102,5,FALSE)-VLOOKUP($A15,main!$A$3:$H$102,6,FALSE)&gt;=main!$D$103+VLOOKUP(VLOOKUP(AI$1,main!$A$3:$I$102,7,FALSE),main!$K$26:$Q$29,3,FALSE),1,0)</f>
        <v>0</v>
      </c>
      <c r="AJ15">
        <f>IF(VLOOKUP(AJ$1,main!$A$3:$H$102,5,FALSE)-VLOOKUP($A15,main!$A$3:$H$102,6,FALSE)&gt;=main!$D$103+VLOOKUP(VLOOKUP(AJ$1,main!$A$3:$I$102,7,FALSE),main!$K$26:$Q$29,3,FALSE),1,0)</f>
        <v>0</v>
      </c>
      <c r="AK15">
        <f>IF(VLOOKUP(AK$1,main!$A$3:$H$102,5,FALSE)-VLOOKUP($A15,main!$A$3:$H$102,6,FALSE)&gt;=main!$D$103+VLOOKUP(VLOOKUP(AK$1,main!$A$3:$I$102,7,FALSE),main!$K$26:$Q$29,3,FALSE),1,0)</f>
        <v>1</v>
      </c>
      <c r="AL15">
        <f>IF(VLOOKUP(AL$1,main!$A$3:$H$102,5,FALSE)-VLOOKUP($A15,main!$A$3:$H$102,6,FALSE)&gt;=main!$D$103+VLOOKUP(VLOOKUP(AL$1,main!$A$3:$I$102,7,FALSE),main!$K$26:$Q$29,3,FALSE),1,0)</f>
        <v>1</v>
      </c>
      <c r="AM15">
        <f>IF(VLOOKUP(AM$1,main!$A$3:$H$102,5,FALSE)-VLOOKUP($A15,main!$A$3:$H$102,6,FALSE)&gt;=main!$D$103+VLOOKUP(VLOOKUP(AM$1,main!$A$3:$I$102,7,FALSE),main!$K$26:$Q$29,3,FALSE),1,0)</f>
        <v>1</v>
      </c>
      <c r="AN15">
        <f>IF(VLOOKUP(AN$1,main!$A$3:$H$102,5,FALSE)-VLOOKUP($A15,main!$A$3:$H$102,6,FALSE)&gt;=main!$D$103+VLOOKUP(VLOOKUP(AN$1,main!$A$3:$I$102,7,FALSE),main!$K$26:$Q$29,3,FALSE),1,0)</f>
        <v>1</v>
      </c>
      <c r="AO15">
        <f>IF(VLOOKUP(AO$1,main!$A$3:$H$102,5,FALSE)-VLOOKUP($A15,main!$A$3:$H$102,6,FALSE)&gt;=main!$D$103+VLOOKUP(VLOOKUP(AO$1,main!$A$3:$I$102,7,FALSE),main!$K$26:$Q$29,3,FALSE),1,0)</f>
        <v>0</v>
      </c>
      <c r="AP15">
        <f>IF(VLOOKUP(AP$1,main!$A$3:$H$102,5,FALSE)-VLOOKUP($A15,main!$A$3:$H$102,6,FALSE)&gt;=main!$D$103+VLOOKUP(VLOOKUP(AP$1,main!$A$3:$I$102,7,FALSE),main!$K$26:$Q$29,3,FALSE),1,0)</f>
        <v>1</v>
      </c>
      <c r="AQ15">
        <f>IF(VLOOKUP(AQ$1,main!$A$3:$H$102,5,FALSE)-VLOOKUP($A15,main!$A$3:$H$102,6,FALSE)&gt;=main!$D$103+VLOOKUP(VLOOKUP(AQ$1,main!$A$3:$I$102,7,FALSE),main!$K$26:$Q$29,3,FALSE),1,0)</f>
        <v>0</v>
      </c>
      <c r="AR15">
        <f>IF(VLOOKUP(AR$1,main!$A$3:$H$102,5,FALSE)-VLOOKUP($A15,main!$A$3:$H$102,6,FALSE)&gt;=main!$D$103+VLOOKUP(VLOOKUP(AR$1,main!$A$3:$I$102,7,FALSE),main!$K$26:$Q$29,3,FALSE),1,0)</f>
        <v>0</v>
      </c>
      <c r="AS15">
        <f>IF(VLOOKUP(AS$1,main!$A$3:$H$102,5,FALSE)-VLOOKUP($A15,main!$A$3:$H$102,6,FALSE)&gt;=main!$D$103+VLOOKUP(VLOOKUP(AS$1,main!$A$3:$I$102,7,FALSE),main!$K$26:$Q$29,3,FALSE),1,0)</f>
        <v>0</v>
      </c>
      <c r="AT15">
        <f>IF(VLOOKUP(AT$1,main!$A$3:$H$102,5,FALSE)-VLOOKUP($A15,main!$A$3:$H$102,6,FALSE)&gt;=main!$D$103+VLOOKUP(VLOOKUP(AT$1,main!$A$3:$I$102,7,FALSE),main!$K$26:$Q$29,3,FALSE),1,0)</f>
        <v>1</v>
      </c>
      <c r="AU15">
        <f>IF(VLOOKUP(AU$1,main!$A$3:$H$102,5,FALSE)-VLOOKUP($A15,main!$A$3:$H$102,6,FALSE)&gt;=main!$D$103+VLOOKUP(VLOOKUP(AU$1,main!$A$3:$I$102,7,FALSE),main!$K$26:$Q$29,3,FALSE),1,0)</f>
        <v>0</v>
      </c>
      <c r="AV15">
        <f>IF(VLOOKUP(AV$1,main!$A$3:$H$102,5,FALSE)-VLOOKUP($A15,main!$A$3:$H$102,6,FALSE)&gt;=main!$D$103+VLOOKUP(VLOOKUP(AV$1,main!$A$3:$I$102,7,FALSE),main!$K$26:$Q$29,3,FALSE),1,0)</f>
        <v>0</v>
      </c>
      <c r="AW15">
        <f>IF(VLOOKUP(AW$1,main!$A$3:$H$102,5,FALSE)-VLOOKUP($A15,main!$A$3:$H$102,6,FALSE)&gt;=main!$D$103+VLOOKUP(VLOOKUP(AW$1,main!$A$3:$I$102,7,FALSE),main!$K$26:$Q$29,3,FALSE),1,0)</f>
        <v>1</v>
      </c>
      <c r="AX15">
        <f>IF(VLOOKUP(AX$1,main!$A$3:$H$102,5,FALSE)-VLOOKUP($A15,main!$A$3:$H$102,6,FALSE)&gt;=main!$D$103+VLOOKUP(VLOOKUP(AX$1,main!$A$3:$I$102,7,FALSE),main!$K$26:$Q$29,3,FALSE),1,0)</f>
        <v>0</v>
      </c>
      <c r="AY15">
        <f>IF(VLOOKUP(AY$1,main!$A$3:$H$102,5,FALSE)-VLOOKUP($A15,main!$A$3:$H$102,6,FALSE)&gt;=main!$D$103+VLOOKUP(VLOOKUP(AY$1,main!$A$3:$I$102,7,FALSE),main!$K$26:$Q$29,3,FALSE),1,0)</f>
        <v>0</v>
      </c>
      <c r="AZ15">
        <f>IF(VLOOKUP(AZ$1,main!$A$3:$H$102,5,FALSE)-VLOOKUP($A15,main!$A$3:$H$102,6,FALSE)&gt;=main!$D$103+VLOOKUP(VLOOKUP(AZ$1,main!$A$3:$I$102,7,FALSE),main!$K$26:$Q$29,3,FALSE),1,0)</f>
        <v>0</v>
      </c>
      <c r="BA15">
        <f>IF(VLOOKUP(BA$1,main!$A$3:$H$102,5,FALSE)-VLOOKUP($A15,main!$A$3:$H$102,6,FALSE)&gt;=main!$D$103+VLOOKUP(VLOOKUP(BA$1,main!$A$3:$I$102,7,FALSE),main!$K$26:$Q$29,3,FALSE),1,0)</f>
        <v>0</v>
      </c>
      <c r="BB15">
        <f>IF(VLOOKUP(BB$1,main!$A$3:$H$102,5,FALSE)-VLOOKUP($A15,main!$A$3:$H$102,6,FALSE)&gt;=main!$D$103+VLOOKUP(VLOOKUP(BB$1,main!$A$3:$I$102,7,FALSE),main!$K$26:$Q$29,3,FALSE),1,0)</f>
        <v>0</v>
      </c>
      <c r="BC15">
        <f>IF(VLOOKUP(BC$1,main!$A$3:$H$102,5,FALSE)-VLOOKUP($A15,main!$A$3:$H$102,6,FALSE)&gt;=main!$D$103+VLOOKUP(VLOOKUP(BC$1,main!$A$3:$I$102,7,FALSE),main!$K$26:$Q$29,3,FALSE),1,0)</f>
        <v>1</v>
      </c>
      <c r="BD15">
        <f>IF(VLOOKUP(BD$1,main!$A$3:$H$102,5,FALSE)-VLOOKUP($A15,main!$A$3:$H$102,6,FALSE)&gt;=main!$D$103+VLOOKUP(VLOOKUP(BD$1,main!$A$3:$I$102,7,FALSE),main!$K$26:$Q$29,3,FALSE),1,0)</f>
        <v>1</v>
      </c>
      <c r="BE15">
        <f>IF(VLOOKUP(BE$1,main!$A$3:$H$102,5,FALSE)-VLOOKUP($A15,main!$A$3:$H$102,6,FALSE)&gt;=main!$D$103+VLOOKUP(VLOOKUP(BE$1,main!$A$3:$I$102,7,FALSE),main!$K$26:$Q$29,3,FALSE),1,0)</f>
        <v>1</v>
      </c>
      <c r="BF15">
        <f>IF(VLOOKUP(BF$1,main!$A$3:$H$102,5,FALSE)-VLOOKUP($A15,main!$A$3:$H$102,6,FALSE)&gt;=main!$D$103+VLOOKUP(VLOOKUP(BF$1,main!$A$3:$I$102,7,FALSE),main!$K$26:$Q$29,3,FALSE),1,0)</f>
        <v>0</v>
      </c>
      <c r="BG15">
        <f>IF(VLOOKUP(BG$1,main!$A$3:$H$102,5,FALSE)-VLOOKUP($A15,main!$A$3:$H$102,6,FALSE)&gt;=main!$D$103+VLOOKUP(VLOOKUP(BG$1,main!$A$3:$I$102,7,FALSE),main!$K$26:$Q$29,3,FALSE),1,0)</f>
        <v>0</v>
      </c>
      <c r="BH15">
        <f>IF(VLOOKUP(BH$1,main!$A$3:$H$102,5,FALSE)-VLOOKUP($A15,main!$A$3:$H$102,6,FALSE)&gt;=main!$D$103+VLOOKUP(VLOOKUP(BH$1,main!$A$3:$I$102,7,FALSE),main!$K$26:$Q$29,3,FALSE),1,0)</f>
        <v>1</v>
      </c>
      <c r="BI15">
        <f>IF(VLOOKUP(BI$1,main!$A$3:$H$102,5,FALSE)-VLOOKUP($A15,main!$A$3:$H$102,6,FALSE)&gt;=main!$D$103+VLOOKUP(VLOOKUP(BI$1,main!$A$3:$I$102,7,FALSE),main!$K$26:$Q$29,3,FALSE),1,0)</f>
        <v>1</v>
      </c>
      <c r="BJ15">
        <f>IF(VLOOKUP(BJ$1,main!$A$3:$H$102,5,FALSE)-VLOOKUP($A15,main!$A$3:$H$102,6,FALSE)&gt;=main!$D$103+VLOOKUP(VLOOKUP(BJ$1,main!$A$3:$I$102,7,FALSE),main!$K$26:$Q$29,3,FALSE),1,0)</f>
        <v>1</v>
      </c>
      <c r="BK15">
        <f>IF(VLOOKUP(BK$1,main!$A$3:$H$102,5,FALSE)-VLOOKUP($A15,main!$A$3:$H$102,6,FALSE)&gt;=main!$D$103+VLOOKUP(VLOOKUP(BK$1,main!$A$3:$I$102,7,FALSE),main!$K$26:$Q$29,3,FALSE),1,0)</f>
        <v>0</v>
      </c>
      <c r="BL15">
        <f>IF(VLOOKUP(BL$1,main!$A$3:$H$102,5,FALSE)-VLOOKUP($A15,main!$A$3:$H$102,6,FALSE)&gt;=main!$D$103+VLOOKUP(VLOOKUP(BL$1,main!$A$3:$I$102,7,FALSE),main!$K$26:$Q$29,3,FALSE),1,0)</f>
        <v>0</v>
      </c>
      <c r="BM15">
        <f>IF(VLOOKUP(BM$1,main!$A$3:$H$102,5,FALSE)-VLOOKUP($A15,main!$A$3:$H$102,6,FALSE)&gt;=main!$D$103+VLOOKUP(VLOOKUP(BM$1,main!$A$3:$I$102,7,FALSE),main!$K$26:$Q$29,3,FALSE),1,0)</f>
        <v>0</v>
      </c>
      <c r="BN15">
        <f>IF(VLOOKUP(BN$1,main!$A$3:$H$102,5,FALSE)-VLOOKUP($A15,main!$A$3:$H$102,6,FALSE)&gt;=main!$D$103+VLOOKUP(VLOOKUP(BN$1,main!$A$3:$I$102,7,FALSE),main!$K$26:$Q$29,3,FALSE),1,0)</f>
        <v>1</v>
      </c>
      <c r="BO15">
        <f>IF(VLOOKUP(BO$1,main!$A$3:$H$102,5,FALSE)-VLOOKUP($A15,main!$A$3:$H$102,6,FALSE)&gt;=main!$D$103+VLOOKUP(VLOOKUP(BO$1,main!$A$3:$I$102,7,FALSE),main!$K$26:$Q$29,3,FALSE),1,0)</f>
        <v>0</v>
      </c>
      <c r="BP15">
        <f>IF(VLOOKUP(BP$1,main!$A$3:$H$102,5,FALSE)-VLOOKUP($A15,main!$A$3:$H$102,6,FALSE)&gt;=main!$D$103+VLOOKUP(VLOOKUP(BP$1,main!$A$3:$I$102,7,FALSE),main!$K$26:$Q$29,3,FALSE),1,0)</f>
        <v>0</v>
      </c>
      <c r="BQ15">
        <f>IF(VLOOKUP(BQ$1,main!$A$3:$H$102,5,FALSE)-VLOOKUP($A15,main!$A$3:$H$102,6,FALSE)&gt;=main!$D$103+VLOOKUP(VLOOKUP(BQ$1,main!$A$3:$I$102,7,FALSE),main!$K$26:$Q$29,3,FALSE),1,0)</f>
        <v>0</v>
      </c>
      <c r="BR15">
        <f>IF(VLOOKUP(BR$1,main!$A$3:$H$102,5,FALSE)-VLOOKUP($A15,main!$A$3:$H$102,6,FALSE)&gt;=main!$D$103+VLOOKUP(VLOOKUP(BR$1,main!$A$3:$I$102,7,FALSE),main!$K$26:$Q$29,3,FALSE),1,0)</f>
        <v>0</v>
      </c>
      <c r="BS15">
        <f>IF(VLOOKUP(BS$1,main!$A$3:$H$102,5,FALSE)-VLOOKUP($A15,main!$A$3:$H$102,6,FALSE)&gt;=main!$D$103+VLOOKUP(VLOOKUP(BS$1,main!$A$3:$I$102,7,FALSE),main!$K$26:$Q$29,3,FALSE),1,0)</f>
        <v>0</v>
      </c>
      <c r="BT15">
        <f>IF(VLOOKUP(BT$1,main!$A$3:$H$102,5,FALSE)-VLOOKUP($A15,main!$A$3:$H$102,6,FALSE)&gt;=main!$D$103+VLOOKUP(VLOOKUP(BT$1,main!$A$3:$I$102,7,FALSE),main!$K$26:$Q$29,3,FALSE),1,0)</f>
        <v>0</v>
      </c>
      <c r="BU15">
        <f>IF(VLOOKUP(BU$1,main!$A$3:$H$102,5,FALSE)-VLOOKUP($A15,main!$A$3:$H$102,6,FALSE)&gt;=main!$D$103+VLOOKUP(VLOOKUP(BU$1,main!$A$3:$I$102,7,FALSE),main!$K$26:$Q$29,3,FALSE),1,0)</f>
        <v>0</v>
      </c>
      <c r="BV15">
        <f>IF(VLOOKUP(BV$1,main!$A$3:$H$102,5,FALSE)-VLOOKUP($A15,main!$A$3:$H$102,6,FALSE)&gt;=main!$D$103+VLOOKUP(VLOOKUP(BV$1,main!$A$3:$I$102,7,FALSE),main!$K$26:$Q$29,3,FALSE),1,0)</f>
        <v>0</v>
      </c>
      <c r="BW15">
        <f>IF(VLOOKUP(BW$1,main!$A$3:$H$102,5,FALSE)-VLOOKUP($A15,main!$A$3:$H$102,6,FALSE)&gt;=main!$D$103+VLOOKUP(VLOOKUP(BW$1,main!$A$3:$I$102,7,FALSE),main!$K$26:$Q$29,3,FALSE),1,0)</f>
        <v>0</v>
      </c>
      <c r="BX15">
        <f>IF(VLOOKUP(BX$1,main!$A$3:$H$102,5,FALSE)-VLOOKUP($A15,main!$A$3:$H$102,6,FALSE)&gt;=main!$D$103+VLOOKUP(VLOOKUP(BX$1,main!$A$3:$I$102,7,FALSE),main!$K$26:$Q$29,3,FALSE),1,0)</f>
        <v>0</v>
      </c>
      <c r="BY15">
        <f>IF(VLOOKUP(BY$1,main!$A$3:$H$102,5,FALSE)-VLOOKUP($A15,main!$A$3:$H$102,6,FALSE)&gt;=main!$D$103+VLOOKUP(VLOOKUP(BY$1,main!$A$3:$I$102,7,FALSE),main!$K$26:$Q$29,3,FALSE),1,0)</f>
        <v>1</v>
      </c>
      <c r="BZ15">
        <f>IF(VLOOKUP(BZ$1,main!$A$3:$H$102,5,FALSE)-VLOOKUP($A15,main!$A$3:$H$102,6,FALSE)&gt;=main!$D$103+VLOOKUP(VLOOKUP(BZ$1,main!$A$3:$I$102,7,FALSE),main!$K$26:$Q$29,3,FALSE),1,0)</f>
        <v>0</v>
      </c>
      <c r="CA15">
        <f>IF(VLOOKUP(CA$1,main!$A$3:$H$102,5,FALSE)-VLOOKUP($A15,main!$A$3:$H$102,6,FALSE)&gt;=main!$D$103+VLOOKUP(VLOOKUP(CA$1,main!$A$3:$I$102,7,FALSE),main!$K$26:$Q$29,3,FALSE),1,0)</f>
        <v>0</v>
      </c>
      <c r="CB15">
        <f>IF(VLOOKUP(CB$1,main!$A$3:$H$102,5,FALSE)-VLOOKUP($A15,main!$A$3:$H$102,6,FALSE)&gt;=main!$D$103+VLOOKUP(VLOOKUP(CB$1,main!$A$3:$I$102,7,FALSE),main!$K$26:$Q$29,3,FALSE),1,0)</f>
        <v>1</v>
      </c>
      <c r="CC15">
        <f>IF(VLOOKUP(CC$1,main!$A$3:$H$102,5,FALSE)-VLOOKUP($A15,main!$A$3:$H$102,6,FALSE)&gt;=main!$D$103+VLOOKUP(VLOOKUP(CC$1,main!$A$3:$I$102,7,FALSE),main!$K$26:$Q$29,3,FALSE),1,0)</f>
        <v>1</v>
      </c>
      <c r="CD15">
        <f>IF(VLOOKUP(CD$1,main!$A$3:$H$102,5,FALSE)-VLOOKUP($A15,main!$A$3:$H$102,6,FALSE)&gt;=main!$D$103+VLOOKUP(VLOOKUP(CD$1,main!$A$3:$I$102,7,FALSE),main!$K$26:$Q$29,3,FALSE),1,0)</f>
        <v>1</v>
      </c>
      <c r="CE15">
        <f>IF(VLOOKUP(CE$1,main!$A$3:$H$102,5,FALSE)-VLOOKUP($A15,main!$A$3:$H$102,6,FALSE)&gt;=main!$D$103+VLOOKUP(VLOOKUP(CE$1,main!$A$3:$I$102,7,FALSE),main!$K$26:$Q$29,3,FALSE),1,0)</f>
        <v>0</v>
      </c>
      <c r="CF15">
        <f>IF(VLOOKUP(CF$1,main!$A$3:$H$102,5,FALSE)-VLOOKUP($A15,main!$A$3:$H$102,6,FALSE)&gt;=main!$D$103+VLOOKUP(VLOOKUP(CF$1,main!$A$3:$I$102,7,FALSE),main!$K$26:$Q$29,3,FALSE),1,0)</f>
        <v>0</v>
      </c>
      <c r="CG15">
        <f>IF(VLOOKUP(CG$1,main!$A$3:$H$102,5,FALSE)-VLOOKUP($A15,main!$A$3:$H$102,6,FALSE)&gt;=main!$D$103+VLOOKUP(VLOOKUP(CG$1,main!$A$3:$I$102,7,FALSE),main!$K$26:$Q$29,3,FALSE),1,0)</f>
        <v>0</v>
      </c>
      <c r="CH15">
        <f>IF(VLOOKUP(CH$1,main!$A$3:$H$102,5,FALSE)-VLOOKUP($A15,main!$A$3:$H$102,6,FALSE)&gt;=main!$D$103+VLOOKUP(VLOOKUP(CH$1,main!$A$3:$I$102,7,FALSE),main!$K$26:$Q$29,3,FALSE),1,0)</f>
        <v>1</v>
      </c>
      <c r="CI15">
        <f>IF(VLOOKUP(CI$1,main!$A$3:$H$102,5,FALSE)-VLOOKUP($A15,main!$A$3:$H$102,6,FALSE)&gt;=main!$D$103+VLOOKUP(VLOOKUP(CI$1,main!$A$3:$I$102,7,FALSE),main!$K$26:$Q$29,3,FALSE),1,0)</f>
        <v>1</v>
      </c>
      <c r="CJ15">
        <f>IF(VLOOKUP(CJ$1,main!$A$3:$H$102,5,FALSE)-VLOOKUP($A15,main!$A$3:$H$102,6,FALSE)&gt;=main!$D$103+VLOOKUP(VLOOKUP(CJ$1,main!$A$3:$I$102,7,FALSE),main!$K$26:$Q$29,3,FALSE),1,0)</f>
        <v>0</v>
      </c>
      <c r="CK15">
        <f>IF(VLOOKUP(CK$1,main!$A$3:$H$102,5,FALSE)-VLOOKUP($A15,main!$A$3:$H$102,6,FALSE)&gt;=main!$D$103+VLOOKUP(VLOOKUP(CK$1,main!$A$3:$I$102,7,FALSE),main!$K$26:$Q$29,3,FALSE),1,0)</f>
        <v>0</v>
      </c>
      <c r="CL15">
        <f>IF(VLOOKUP(CL$1,main!$A$3:$H$102,5,FALSE)-VLOOKUP($A15,main!$A$3:$H$102,6,FALSE)&gt;=main!$D$103+VLOOKUP(VLOOKUP(CL$1,main!$A$3:$I$102,7,FALSE),main!$K$26:$Q$29,3,FALSE),1,0)</f>
        <v>0</v>
      </c>
      <c r="CM15">
        <f>IF(VLOOKUP(CM$1,main!$A$3:$H$102,5,FALSE)-VLOOKUP($A15,main!$A$3:$H$102,6,FALSE)&gt;=main!$D$103+VLOOKUP(VLOOKUP(CM$1,main!$A$3:$I$102,7,FALSE),main!$K$26:$Q$29,3,FALSE),1,0)</f>
        <v>1</v>
      </c>
      <c r="CN15">
        <f>IF(VLOOKUP(CN$1,main!$A$3:$H$102,5,FALSE)-VLOOKUP($A15,main!$A$3:$H$102,6,FALSE)&gt;=main!$D$103+VLOOKUP(VLOOKUP(CN$1,main!$A$3:$I$102,7,FALSE),main!$K$26:$Q$29,3,FALSE),1,0)</f>
        <v>1</v>
      </c>
      <c r="CO15">
        <f>IF(VLOOKUP(CO$1,main!$A$3:$H$102,5,FALSE)-VLOOKUP($A15,main!$A$3:$H$102,6,FALSE)&gt;=main!$D$103+VLOOKUP(VLOOKUP(CO$1,main!$A$3:$I$102,7,FALSE),main!$K$26:$Q$29,3,FALSE),1,0)</f>
        <v>0</v>
      </c>
      <c r="CP15">
        <f>IF(VLOOKUP(CP$1,main!$A$3:$H$102,5,FALSE)-VLOOKUP($A15,main!$A$3:$H$102,6,FALSE)&gt;=main!$D$103+VLOOKUP(VLOOKUP(CP$1,main!$A$3:$I$102,7,FALSE),main!$K$26:$Q$29,3,FALSE),1,0)</f>
        <v>0</v>
      </c>
      <c r="CQ15">
        <f>IF(VLOOKUP(CQ$1,main!$A$3:$H$102,5,FALSE)-VLOOKUP($A15,main!$A$3:$H$102,6,FALSE)&gt;=main!$D$103+VLOOKUP(VLOOKUP(CQ$1,main!$A$3:$I$102,7,FALSE),main!$K$26:$Q$29,3,FALSE),1,0)</f>
        <v>0</v>
      </c>
      <c r="CR15">
        <f>IF(VLOOKUP(CR$1,main!$A$3:$H$102,5,FALSE)-VLOOKUP($A15,main!$A$3:$H$102,6,FALSE)&gt;=main!$D$103+VLOOKUP(VLOOKUP(CR$1,main!$A$3:$I$102,7,FALSE),main!$K$26:$Q$29,3,FALSE),1,0)</f>
        <v>1</v>
      </c>
      <c r="CS15">
        <f>IF(VLOOKUP(CS$1,main!$A$3:$H$102,5,FALSE)-VLOOKUP($A15,main!$A$3:$H$102,6,FALSE)&gt;=main!$D$103+VLOOKUP(VLOOKUP(CS$1,main!$A$3:$I$102,7,FALSE),main!$K$26:$Q$29,3,FALSE),1,0)</f>
        <v>1</v>
      </c>
      <c r="CT15">
        <f>IF(VLOOKUP(CT$1,main!$A$3:$H$102,5,FALSE)-VLOOKUP($A15,main!$A$3:$H$102,6,FALSE)&gt;=main!$D$103+VLOOKUP(VLOOKUP(CT$1,main!$A$3:$I$102,7,FALSE),main!$K$26:$Q$29,3,FALSE),1,0)</f>
        <v>0</v>
      </c>
      <c r="CU15">
        <f>IF(VLOOKUP(CU$1,main!$A$3:$H$102,5,FALSE)-VLOOKUP($A15,main!$A$3:$H$102,6,FALSE)&gt;=main!$D$103+VLOOKUP(VLOOKUP(CU$1,main!$A$3:$I$102,7,FALSE),main!$K$26:$Q$29,3,FALSE),1,0)</f>
        <v>0</v>
      </c>
      <c r="CV15">
        <f>IF(VLOOKUP(CV$1,main!$A$3:$H$102,5,FALSE)-VLOOKUP($A15,main!$A$3:$H$102,6,FALSE)&gt;=main!$D$103+VLOOKUP(VLOOKUP(CV$1,main!$A$3:$I$102,7,FALSE),main!$K$26:$Q$29,3,FALSE),1,0)</f>
        <v>0</v>
      </c>
      <c r="CW15">
        <f>IF(VLOOKUP(CW$1,main!$A$3:$H$102,5,FALSE)-VLOOKUP($A15,main!$A$3:$H$102,6,FALSE)&gt;=main!$D$103+VLOOKUP(VLOOKUP(CW$1,main!$A$3:$I$102,7,FALSE),main!$K$26:$Q$29,3,FALSE),1,0)</f>
        <v>1</v>
      </c>
      <c r="CX15">
        <f>IF(VLOOKUP(CX$1,main!$A$3:$H$102,5,FALSE)-VLOOKUP($A15,main!$A$3:$H$102,6,FALSE)&gt;=main!$D$103+VLOOKUP(VLOOKUP(CX$1,main!$A$3:$I$102,7,FALSE),main!$K$26:$Q$29,3,FALSE),1,0)</f>
        <v>1</v>
      </c>
      <c r="CZ15">
        <f>VLOOKUP(VLOOKUP(CX$1,main!$A$3:$I$102,7,FALSE),main!$K$26:$Q$29,3,FALSE)</f>
        <v>30</v>
      </c>
    </row>
    <row r="16" spans="1:104" x14ac:dyDescent="0.25">
      <c r="A16" s="1">
        <v>14</v>
      </c>
      <c r="B16">
        <v>0</v>
      </c>
      <c r="C16">
        <f>IF(VLOOKUP(C$1,main!$A$3:$H$102,5,FALSE)-VLOOKUP($A16,main!$A$3:$H$102,6,FALSE)&gt;=main!$D$103+VLOOKUP(VLOOKUP(C$1,main!$A$3:$I$102,7,FALSE),main!$K$26:$Q$29,3,FALSE),1,0)</f>
        <v>0</v>
      </c>
      <c r="D16">
        <f>IF(VLOOKUP(D$1,main!$A$3:$H$102,5,FALSE)-VLOOKUP($A16,main!$A$3:$H$102,6,FALSE)&gt;=main!$D$103+VLOOKUP(VLOOKUP(D$1,main!$A$3:$I$102,7,FALSE),main!$K$26:$Q$29,3,FALSE),1,0)</f>
        <v>0</v>
      </c>
      <c r="E16">
        <f>IF(VLOOKUP(E$1,main!$A$3:$H$102,5,FALSE)-VLOOKUP($A16,main!$A$3:$H$102,6,FALSE)&gt;=main!$D$103+VLOOKUP(VLOOKUP(E$1,main!$A$3:$I$102,7,FALSE),main!$K$26:$Q$29,3,FALSE),1,0)</f>
        <v>0</v>
      </c>
      <c r="F16">
        <f>IF(VLOOKUP(F$1,main!$A$3:$H$102,5,FALSE)-VLOOKUP($A16,main!$A$3:$H$102,6,FALSE)&gt;=main!$D$103+VLOOKUP(VLOOKUP(F$1,main!$A$3:$I$102,7,FALSE),main!$K$26:$Q$29,3,FALSE),1,0)</f>
        <v>0</v>
      </c>
      <c r="G16">
        <f>IF(VLOOKUP(G$1,main!$A$3:$H$102,5,FALSE)-VLOOKUP($A16,main!$A$3:$H$102,6,FALSE)&gt;=main!$D$103+VLOOKUP(VLOOKUP(G$1,main!$A$3:$I$102,7,FALSE),main!$K$26:$Q$29,3,FALSE),1,0)</f>
        <v>0</v>
      </c>
      <c r="H16">
        <f>IF(VLOOKUP(H$1,main!$A$3:$H$102,5,FALSE)-VLOOKUP($A16,main!$A$3:$H$102,6,FALSE)&gt;=main!$D$103+VLOOKUP(VLOOKUP(H$1,main!$A$3:$I$102,7,FALSE),main!$K$26:$Q$29,3,FALSE),1,0)</f>
        <v>1</v>
      </c>
      <c r="I16">
        <f>IF(VLOOKUP(I$1,main!$A$3:$H$102,5,FALSE)-VLOOKUP($A16,main!$A$3:$H$102,6,FALSE)&gt;=main!$D$103+VLOOKUP(VLOOKUP(I$1,main!$A$3:$I$102,7,FALSE),main!$K$26:$Q$29,3,FALSE),1,0)</f>
        <v>1</v>
      </c>
      <c r="J16">
        <f>IF(VLOOKUP(J$1,main!$A$3:$H$102,5,FALSE)-VLOOKUP($A16,main!$A$3:$H$102,6,FALSE)&gt;=main!$D$103+VLOOKUP(VLOOKUP(J$1,main!$A$3:$I$102,7,FALSE),main!$K$26:$Q$29,3,FALSE),1,0)</f>
        <v>1</v>
      </c>
      <c r="K16">
        <f>IF(VLOOKUP(K$1,main!$A$3:$H$102,5,FALSE)-VLOOKUP($A16,main!$A$3:$H$102,6,FALSE)&gt;=main!$D$103+VLOOKUP(VLOOKUP(K$1,main!$A$3:$I$102,7,FALSE),main!$K$26:$Q$29,3,FALSE),1,0)</f>
        <v>1</v>
      </c>
      <c r="L16">
        <f>IF(VLOOKUP(L$1,main!$A$3:$H$102,5,FALSE)-VLOOKUP($A16,main!$A$3:$H$102,6,FALSE)&gt;=main!$D$103+VLOOKUP(VLOOKUP(L$1,main!$A$3:$I$102,7,FALSE),main!$K$26:$Q$29,3,FALSE),1,0)</f>
        <v>1</v>
      </c>
      <c r="M16">
        <f>IF(VLOOKUP(M$1,main!$A$3:$H$102,5,FALSE)-VLOOKUP($A16,main!$A$3:$H$102,6,FALSE)&gt;=main!$D$103+VLOOKUP(VLOOKUP(M$1,main!$A$3:$I$102,7,FALSE),main!$K$26:$Q$29,3,FALSE),1,0)</f>
        <v>0</v>
      </c>
      <c r="N16">
        <f>IF(VLOOKUP(N$1,main!$A$3:$H$102,5,FALSE)-VLOOKUP($A16,main!$A$3:$H$102,6,FALSE)&gt;=main!$D$103+VLOOKUP(VLOOKUP(N$1,main!$A$3:$I$102,7,FALSE),main!$K$26:$Q$29,3,FALSE),1,0)</f>
        <v>0</v>
      </c>
      <c r="O16">
        <f>IF(VLOOKUP(O$1,main!$A$3:$H$102,5,FALSE)-VLOOKUP($A16,main!$A$3:$H$102,6,FALSE)&gt;=main!$D$103+VLOOKUP(VLOOKUP(O$1,main!$A$3:$I$102,7,FALSE),main!$K$26:$Q$29,3,FALSE),1,0)</f>
        <v>0</v>
      </c>
      <c r="P16">
        <f>IF(VLOOKUP(P$1,main!$A$3:$H$102,5,FALSE)-VLOOKUP($A16,main!$A$3:$H$102,6,FALSE)&gt;=main!$D$103+VLOOKUP(VLOOKUP(P$1,main!$A$3:$I$102,7,FALSE),main!$K$26:$Q$29,3,FALSE),1,0)</f>
        <v>0</v>
      </c>
      <c r="Q16">
        <f>IF(VLOOKUP(Q$1,main!$A$3:$H$102,5,FALSE)-VLOOKUP($A16,main!$A$3:$H$102,6,FALSE)&gt;=main!$D$103+VLOOKUP(VLOOKUP(Q$1,main!$A$3:$I$102,7,FALSE),main!$K$26:$Q$29,3,FALSE),1,0)</f>
        <v>0</v>
      </c>
      <c r="R16">
        <f>IF(VLOOKUP(R$1,main!$A$3:$H$102,5,FALSE)-VLOOKUP($A16,main!$A$3:$H$102,6,FALSE)&gt;=main!$D$103+VLOOKUP(VLOOKUP(R$1,main!$A$3:$I$102,7,FALSE),main!$K$26:$Q$29,3,FALSE),1,0)</f>
        <v>0</v>
      </c>
      <c r="S16">
        <f>IF(VLOOKUP(S$1,main!$A$3:$H$102,5,FALSE)-VLOOKUP($A16,main!$A$3:$H$102,6,FALSE)&gt;=main!$D$103+VLOOKUP(VLOOKUP(S$1,main!$A$3:$I$102,7,FALSE),main!$K$26:$Q$29,3,FALSE),1,0)</f>
        <v>1</v>
      </c>
      <c r="T16">
        <f>IF(VLOOKUP(T$1,main!$A$3:$H$102,5,FALSE)-VLOOKUP($A16,main!$A$3:$H$102,6,FALSE)&gt;=main!$D$103+VLOOKUP(VLOOKUP(T$1,main!$A$3:$I$102,7,FALSE),main!$K$26:$Q$29,3,FALSE),1,0)</f>
        <v>1</v>
      </c>
      <c r="U16">
        <f>IF(VLOOKUP(U$1,main!$A$3:$H$102,5,FALSE)-VLOOKUP($A16,main!$A$3:$H$102,6,FALSE)&gt;=main!$D$103+VLOOKUP(VLOOKUP(U$1,main!$A$3:$I$102,7,FALSE),main!$K$26:$Q$29,3,FALSE),1,0)</f>
        <v>1</v>
      </c>
      <c r="V16">
        <f>IF(VLOOKUP(V$1,main!$A$3:$H$102,5,FALSE)-VLOOKUP($A16,main!$A$3:$H$102,6,FALSE)&gt;=main!$D$103+VLOOKUP(VLOOKUP(V$1,main!$A$3:$I$102,7,FALSE),main!$K$26:$Q$29,3,FALSE),1,0)</f>
        <v>1</v>
      </c>
      <c r="W16">
        <f>IF(VLOOKUP(W$1,main!$A$3:$H$102,5,FALSE)-VLOOKUP($A16,main!$A$3:$H$102,6,FALSE)&gt;=main!$D$103+VLOOKUP(VLOOKUP(W$1,main!$A$3:$I$102,7,FALSE),main!$K$26:$Q$29,3,FALSE),1,0)</f>
        <v>0</v>
      </c>
      <c r="X16">
        <f>IF(VLOOKUP(X$1,main!$A$3:$H$102,5,FALSE)-VLOOKUP($A16,main!$A$3:$H$102,6,FALSE)&gt;=main!$D$103+VLOOKUP(VLOOKUP(X$1,main!$A$3:$I$102,7,FALSE),main!$K$26:$Q$29,3,FALSE),1,0)</f>
        <v>0</v>
      </c>
      <c r="Y16">
        <f>IF(VLOOKUP(Y$1,main!$A$3:$H$102,5,FALSE)-VLOOKUP($A16,main!$A$3:$H$102,6,FALSE)&gt;=main!$D$103+VLOOKUP(VLOOKUP(Y$1,main!$A$3:$I$102,7,FALSE),main!$K$26:$Q$29,3,FALSE),1,0)</f>
        <v>0</v>
      </c>
      <c r="Z16">
        <f>IF(VLOOKUP(Z$1,main!$A$3:$H$102,5,FALSE)-VLOOKUP($A16,main!$A$3:$H$102,6,FALSE)&gt;=main!$D$103+VLOOKUP(VLOOKUP(Z$1,main!$A$3:$I$102,7,FALSE),main!$K$26:$Q$29,3,FALSE),1,0)</f>
        <v>1</v>
      </c>
      <c r="AA16">
        <f>IF(VLOOKUP(AA$1,main!$A$3:$H$102,5,FALSE)-VLOOKUP($A16,main!$A$3:$H$102,6,FALSE)&gt;=main!$D$103+VLOOKUP(VLOOKUP(AA$1,main!$A$3:$I$102,7,FALSE),main!$K$26:$Q$29,3,FALSE),1,0)</f>
        <v>1</v>
      </c>
      <c r="AB16">
        <f>IF(VLOOKUP(AB$1,main!$A$3:$H$102,5,FALSE)-VLOOKUP($A16,main!$A$3:$H$102,6,FALSE)&gt;=main!$D$103+VLOOKUP(VLOOKUP(AB$1,main!$A$3:$I$102,7,FALSE),main!$K$26:$Q$29,3,FALSE),1,0)</f>
        <v>0</v>
      </c>
      <c r="AC16">
        <f>IF(VLOOKUP(AC$1,main!$A$3:$H$102,5,FALSE)-VLOOKUP($A16,main!$A$3:$H$102,6,FALSE)&gt;=main!$D$103+VLOOKUP(VLOOKUP(AC$1,main!$A$3:$I$102,7,FALSE),main!$K$26:$Q$29,3,FALSE),1,0)</f>
        <v>0</v>
      </c>
      <c r="AD16">
        <f>IF(VLOOKUP(AD$1,main!$A$3:$H$102,5,FALSE)-VLOOKUP($A16,main!$A$3:$H$102,6,FALSE)&gt;=main!$D$103+VLOOKUP(VLOOKUP(AD$1,main!$A$3:$I$102,7,FALSE),main!$K$26:$Q$29,3,FALSE),1,0)</f>
        <v>0</v>
      </c>
      <c r="AE16">
        <f>IF(VLOOKUP(AE$1,main!$A$3:$H$102,5,FALSE)-VLOOKUP($A16,main!$A$3:$H$102,6,FALSE)&gt;=main!$D$103+VLOOKUP(VLOOKUP(AE$1,main!$A$3:$I$102,7,FALSE),main!$K$26:$Q$29,3,FALSE),1,0)</f>
        <v>1</v>
      </c>
      <c r="AF16">
        <f>IF(VLOOKUP(AF$1,main!$A$3:$H$102,5,FALSE)-VLOOKUP($A16,main!$A$3:$H$102,6,FALSE)&gt;=main!$D$103+VLOOKUP(VLOOKUP(AF$1,main!$A$3:$I$102,7,FALSE),main!$K$26:$Q$29,3,FALSE),1,0)</f>
        <v>1</v>
      </c>
      <c r="AG16">
        <f>IF(VLOOKUP(AG$1,main!$A$3:$H$102,5,FALSE)-VLOOKUP($A16,main!$A$3:$H$102,6,FALSE)&gt;=main!$D$103+VLOOKUP(VLOOKUP(AG$1,main!$A$3:$I$102,7,FALSE),main!$K$26:$Q$29,3,FALSE),1,0)</f>
        <v>0</v>
      </c>
      <c r="AH16">
        <f>IF(VLOOKUP(AH$1,main!$A$3:$H$102,5,FALSE)-VLOOKUP($A16,main!$A$3:$H$102,6,FALSE)&gt;=main!$D$103+VLOOKUP(VLOOKUP(AH$1,main!$A$3:$I$102,7,FALSE),main!$K$26:$Q$29,3,FALSE),1,0)</f>
        <v>0</v>
      </c>
      <c r="AI16">
        <f>IF(VLOOKUP(AI$1,main!$A$3:$H$102,5,FALSE)-VLOOKUP($A16,main!$A$3:$H$102,6,FALSE)&gt;=main!$D$103+VLOOKUP(VLOOKUP(AI$1,main!$A$3:$I$102,7,FALSE),main!$K$26:$Q$29,3,FALSE),1,0)</f>
        <v>0</v>
      </c>
      <c r="AJ16">
        <f>IF(VLOOKUP(AJ$1,main!$A$3:$H$102,5,FALSE)-VLOOKUP($A16,main!$A$3:$H$102,6,FALSE)&gt;=main!$D$103+VLOOKUP(VLOOKUP(AJ$1,main!$A$3:$I$102,7,FALSE),main!$K$26:$Q$29,3,FALSE),1,0)</f>
        <v>0</v>
      </c>
      <c r="AK16">
        <f>IF(VLOOKUP(AK$1,main!$A$3:$H$102,5,FALSE)-VLOOKUP($A16,main!$A$3:$H$102,6,FALSE)&gt;=main!$D$103+VLOOKUP(VLOOKUP(AK$1,main!$A$3:$I$102,7,FALSE),main!$K$26:$Q$29,3,FALSE),1,0)</f>
        <v>1</v>
      </c>
      <c r="AL16">
        <f>IF(VLOOKUP(AL$1,main!$A$3:$H$102,5,FALSE)-VLOOKUP($A16,main!$A$3:$H$102,6,FALSE)&gt;=main!$D$103+VLOOKUP(VLOOKUP(AL$1,main!$A$3:$I$102,7,FALSE),main!$K$26:$Q$29,3,FALSE),1,0)</f>
        <v>1</v>
      </c>
      <c r="AM16">
        <f>IF(VLOOKUP(AM$1,main!$A$3:$H$102,5,FALSE)-VLOOKUP($A16,main!$A$3:$H$102,6,FALSE)&gt;=main!$D$103+VLOOKUP(VLOOKUP(AM$1,main!$A$3:$I$102,7,FALSE),main!$K$26:$Q$29,3,FALSE),1,0)</f>
        <v>1</v>
      </c>
      <c r="AN16">
        <f>IF(VLOOKUP(AN$1,main!$A$3:$H$102,5,FALSE)-VLOOKUP($A16,main!$A$3:$H$102,6,FALSE)&gt;=main!$D$103+VLOOKUP(VLOOKUP(AN$1,main!$A$3:$I$102,7,FALSE),main!$K$26:$Q$29,3,FALSE),1,0)</f>
        <v>1</v>
      </c>
      <c r="AO16">
        <f>IF(VLOOKUP(AO$1,main!$A$3:$H$102,5,FALSE)-VLOOKUP($A16,main!$A$3:$H$102,6,FALSE)&gt;=main!$D$103+VLOOKUP(VLOOKUP(AO$1,main!$A$3:$I$102,7,FALSE),main!$K$26:$Q$29,3,FALSE),1,0)</f>
        <v>0</v>
      </c>
      <c r="AP16">
        <f>IF(VLOOKUP(AP$1,main!$A$3:$H$102,5,FALSE)-VLOOKUP($A16,main!$A$3:$H$102,6,FALSE)&gt;=main!$D$103+VLOOKUP(VLOOKUP(AP$1,main!$A$3:$I$102,7,FALSE),main!$K$26:$Q$29,3,FALSE),1,0)</f>
        <v>1</v>
      </c>
      <c r="AQ16">
        <f>IF(VLOOKUP(AQ$1,main!$A$3:$H$102,5,FALSE)-VLOOKUP($A16,main!$A$3:$H$102,6,FALSE)&gt;=main!$D$103+VLOOKUP(VLOOKUP(AQ$1,main!$A$3:$I$102,7,FALSE),main!$K$26:$Q$29,3,FALSE),1,0)</f>
        <v>0</v>
      </c>
      <c r="AR16">
        <f>IF(VLOOKUP(AR$1,main!$A$3:$H$102,5,FALSE)-VLOOKUP($A16,main!$A$3:$H$102,6,FALSE)&gt;=main!$D$103+VLOOKUP(VLOOKUP(AR$1,main!$A$3:$I$102,7,FALSE),main!$K$26:$Q$29,3,FALSE),1,0)</f>
        <v>0</v>
      </c>
      <c r="AS16">
        <f>IF(VLOOKUP(AS$1,main!$A$3:$H$102,5,FALSE)-VLOOKUP($A16,main!$A$3:$H$102,6,FALSE)&gt;=main!$D$103+VLOOKUP(VLOOKUP(AS$1,main!$A$3:$I$102,7,FALSE),main!$K$26:$Q$29,3,FALSE),1,0)</f>
        <v>0</v>
      </c>
      <c r="AT16">
        <f>IF(VLOOKUP(AT$1,main!$A$3:$H$102,5,FALSE)-VLOOKUP($A16,main!$A$3:$H$102,6,FALSE)&gt;=main!$D$103+VLOOKUP(VLOOKUP(AT$1,main!$A$3:$I$102,7,FALSE),main!$K$26:$Q$29,3,FALSE),1,0)</f>
        <v>1</v>
      </c>
      <c r="AU16">
        <f>IF(VLOOKUP(AU$1,main!$A$3:$H$102,5,FALSE)-VLOOKUP($A16,main!$A$3:$H$102,6,FALSE)&gt;=main!$D$103+VLOOKUP(VLOOKUP(AU$1,main!$A$3:$I$102,7,FALSE),main!$K$26:$Q$29,3,FALSE),1,0)</f>
        <v>0</v>
      </c>
      <c r="AV16">
        <f>IF(VLOOKUP(AV$1,main!$A$3:$H$102,5,FALSE)-VLOOKUP($A16,main!$A$3:$H$102,6,FALSE)&gt;=main!$D$103+VLOOKUP(VLOOKUP(AV$1,main!$A$3:$I$102,7,FALSE),main!$K$26:$Q$29,3,FALSE),1,0)</f>
        <v>0</v>
      </c>
      <c r="AW16">
        <f>IF(VLOOKUP(AW$1,main!$A$3:$H$102,5,FALSE)-VLOOKUP($A16,main!$A$3:$H$102,6,FALSE)&gt;=main!$D$103+VLOOKUP(VLOOKUP(AW$1,main!$A$3:$I$102,7,FALSE),main!$K$26:$Q$29,3,FALSE),1,0)</f>
        <v>1</v>
      </c>
      <c r="AX16">
        <f>IF(VLOOKUP(AX$1,main!$A$3:$H$102,5,FALSE)-VLOOKUP($A16,main!$A$3:$H$102,6,FALSE)&gt;=main!$D$103+VLOOKUP(VLOOKUP(AX$1,main!$A$3:$I$102,7,FALSE),main!$K$26:$Q$29,3,FALSE),1,0)</f>
        <v>0</v>
      </c>
      <c r="AY16">
        <f>IF(VLOOKUP(AY$1,main!$A$3:$H$102,5,FALSE)-VLOOKUP($A16,main!$A$3:$H$102,6,FALSE)&gt;=main!$D$103+VLOOKUP(VLOOKUP(AY$1,main!$A$3:$I$102,7,FALSE),main!$K$26:$Q$29,3,FALSE),1,0)</f>
        <v>0</v>
      </c>
      <c r="AZ16">
        <f>IF(VLOOKUP(AZ$1,main!$A$3:$H$102,5,FALSE)-VLOOKUP($A16,main!$A$3:$H$102,6,FALSE)&gt;=main!$D$103+VLOOKUP(VLOOKUP(AZ$1,main!$A$3:$I$102,7,FALSE),main!$K$26:$Q$29,3,FALSE),1,0)</f>
        <v>0</v>
      </c>
      <c r="BA16">
        <f>IF(VLOOKUP(BA$1,main!$A$3:$H$102,5,FALSE)-VLOOKUP($A16,main!$A$3:$H$102,6,FALSE)&gt;=main!$D$103+VLOOKUP(VLOOKUP(BA$1,main!$A$3:$I$102,7,FALSE),main!$K$26:$Q$29,3,FALSE),1,0)</f>
        <v>0</v>
      </c>
      <c r="BB16">
        <f>IF(VLOOKUP(BB$1,main!$A$3:$H$102,5,FALSE)-VLOOKUP($A16,main!$A$3:$H$102,6,FALSE)&gt;=main!$D$103+VLOOKUP(VLOOKUP(BB$1,main!$A$3:$I$102,7,FALSE),main!$K$26:$Q$29,3,FALSE),1,0)</f>
        <v>0</v>
      </c>
      <c r="BC16">
        <f>IF(VLOOKUP(BC$1,main!$A$3:$H$102,5,FALSE)-VLOOKUP($A16,main!$A$3:$H$102,6,FALSE)&gt;=main!$D$103+VLOOKUP(VLOOKUP(BC$1,main!$A$3:$I$102,7,FALSE),main!$K$26:$Q$29,3,FALSE),1,0)</f>
        <v>0</v>
      </c>
      <c r="BD16">
        <f>IF(VLOOKUP(BD$1,main!$A$3:$H$102,5,FALSE)-VLOOKUP($A16,main!$A$3:$H$102,6,FALSE)&gt;=main!$D$103+VLOOKUP(VLOOKUP(BD$1,main!$A$3:$I$102,7,FALSE),main!$K$26:$Q$29,3,FALSE),1,0)</f>
        <v>1</v>
      </c>
      <c r="BE16">
        <f>IF(VLOOKUP(BE$1,main!$A$3:$H$102,5,FALSE)-VLOOKUP($A16,main!$A$3:$H$102,6,FALSE)&gt;=main!$D$103+VLOOKUP(VLOOKUP(BE$1,main!$A$3:$I$102,7,FALSE),main!$K$26:$Q$29,3,FALSE),1,0)</f>
        <v>1</v>
      </c>
      <c r="BF16">
        <f>IF(VLOOKUP(BF$1,main!$A$3:$H$102,5,FALSE)-VLOOKUP($A16,main!$A$3:$H$102,6,FALSE)&gt;=main!$D$103+VLOOKUP(VLOOKUP(BF$1,main!$A$3:$I$102,7,FALSE),main!$K$26:$Q$29,3,FALSE),1,0)</f>
        <v>0</v>
      </c>
      <c r="BG16">
        <f>IF(VLOOKUP(BG$1,main!$A$3:$H$102,5,FALSE)-VLOOKUP($A16,main!$A$3:$H$102,6,FALSE)&gt;=main!$D$103+VLOOKUP(VLOOKUP(BG$1,main!$A$3:$I$102,7,FALSE),main!$K$26:$Q$29,3,FALSE),1,0)</f>
        <v>0</v>
      </c>
      <c r="BH16">
        <f>IF(VLOOKUP(BH$1,main!$A$3:$H$102,5,FALSE)-VLOOKUP($A16,main!$A$3:$H$102,6,FALSE)&gt;=main!$D$103+VLOOKUP(VLOOKUP(BH$1,main!$A$3:$I$102,7,FALSE),main!$K$26:$Q$29,3,FALSE),1,0)</f>
        <v>0</v>
      </c>
      <c r="BI16">
        <f>IF(VLOOKUP(BI$1,main!$A$3:$H$102,5,FALSE)-VLOOKUP($A16,main!$A$3:$H$102,6,FALSE)&gt;=main!$D$103+VLOOKUP(VLOOKUP(BI$1,main!$A$3:$I$102,7,FALSE),main!$K$26:$Q$29,3,FALSE),1,0)</f>
        <v>1</v>
      </c>
      <c r="BJ16">
        <f>IF(VLOOKUP(BJ$1,main!$A$3:$H$102,5,FALSE)-VLOOKUP($A16,main!$A$3:$H$102,6,FALSE)&gt;=main!$D$103+VLOOKUP(VLOOKUP(BJ$1,main!$A$3:$I$102,7,FALSE),main!$K$26:$Q$29,3,FALSE),1,0)</f>
        <v>1</v>
      </c>
      <c r="BK16">
        <f>IF(VLOOKUP(BK$1,main!$A$3:$H$102,5,FALSE)-VLOOKUP($A16,main!$A$3:$H$102,6,FALSE)&gt;=main!$D$103+VLOOKUP(VLOOKUP(BK$1,main!$A$3:$I$102,7,FALSE),main!$K$26:$Q$29,3,FALSE),1,0)</f>
        <v>0</v>
      </c>
      <c r="BL16">
        <f>IF(VLOOKUP(BL$1,main!$A$3:$H$102,5,FALSE)-VLOOKUP($A16,main!$A$3:$H$102,6,FALSE)&gt;=main!$D$103+VLOOKUP(VLOOKUP(BL$1,main!$A$3:$I$102,7,FALSE),main!$K$26:$Q$29,3,FALSE),1,0)</f>
        <v>0</v>
      </c>
      <c r="BM16">
        <f>IF(VLOOKUP(BM$1,main!$A$3:$H$102,5,FALSE)-VLOOKUP($A16,main!$A$3:$H$102,6,FALSE)&gt;=main!$D$103+VLOOKUP(VLOOKUP(BM$1,main!$A$3:$I$102,7,FALSE),main!$K$26:$Q$29,3,FALSE),1,0)</f>
        <v>0</v>
      </c>
      <c r="BN16">
        <f>IF(VLOOKUP(BN$1,main!$A$3:$H$102,5,FALSE)-VLOOKUP($A16,main!$A$3:$H$102,6,FALSE)&gt;=main!$D$103+VLOOKUP(VLOOKUP(BN$1,main!$A$3:$I$102,7,FALSE),main!$K$26:$Q$29,3,FALSE),1,0)</f>
        <v>1</v>
      </c>
      <c r="BO16">
        <f>IF(VLOOKUP(BO$1,main!$A$3:$H$102,5,FALSE)-VLOOKUP($A16,main!$A$3:$H$102,6,FALSE)&gt;=main!$D$103+VLOOKUP(VLOOKUP(BO$1,main!$A$3:$I$102,7,FALSE),main!$K$26:$Q$29,3,FALSE),1,0)</f>
        <v>0</v>
      </c>
      <c r="BP16">
        <f>IF(VLOOKUP(BP$1,main!$A$3:$H$102,5,FALSE)-VLOOKUP($A16,main!$A$3:$H$102,6,FALSE)&gt;=main!$D$103+VLOOKUP(VLOOKUP(BP$1,main!$A$3:$I$102,7,FALSE),main!$K$26:$Q$29,3,FALSE),1,0)</f>
        <v>0</v>
      </c>
      <c r="BQ16">
        <f>IF(VLOOKUP(BQ$1,main!$A$3:$H$102,5,FALSE)-VLOOKUP($A16,main!$A$3:$H$102,6,FALSE)&gt;=main!$D$103+VLOOKUP(VLOOKUP(BQ$1,main!$A$3:$I$102,7,FALSE),main!$K$26:$Q$29,3,FALSE),1,0)</f>
        <v>0</v>
      </c>
      <c r="BR16">
        <f>IF(VLOOKUP(BR$1,main!$A$3:$H$102,5,FALSE)-VLOOKUP($A16,main!$A$3:$H$102,6,FALSE)&gt;=main!$D$103+VLOOKUP(VLOOKUP(BR$1,main!$A$3:$I$102,7,FALSE),main!$K$26:$Q$29,3,FALSE),1,0)</f>
        <v>0</v>
      </c>
      <c r="BS16">
        <f>IF(VLOOKUP(BS$1,main!$A$3:$H$102,5,FALSE)-VLOOKUP($A16,main!$A$3:$H$102,6,FALSE)&gt;=main!$D$103+VLOOKUP(VLOOKUP(BS$1,main!$A$3:$I$102,7,FALSE),main!$K$26:$Q$29,3,FALSE),1,0)</f>
        <v>0</v>
      </c>
      <c r="BT16">
        <f>IF(VLOOKUP(BT$1,main!$A$3:$H$102,5,FALSE)-VLOOKUP($A16,main!$A$3:$H$102,6,FALSE)&gt;=main!$D$103+VLOOKUP(VLOOKUP(BT$1,main!$A$3:$I$102,7,FALSE),main!$K$26:$Q$29,3,FALSE),1,0)</f>
        <v>0</v>
      </c>
      <c r="BU16">
        <f>IF(VLOOKUP(BU$1,main!$A$3:$H$102,5,FALSE)-VLOOKUP($A16,main!$A$3:$H$102,6,FALSE)&gt;=main!$D$103+VLOOKUP(VLOOKUP(BU$1,main!$A$3:$I$102,7,FALSE),main!$K$26:$Q$29,3,FALSE),1,0)</f>
        <v>0</v>
      </c>
      <c r="BV16">
        <f>IF(VLOOKUP(BV$1,main!$A$3:$H$102,5,FALSE)-VLOOKUP($A16,main!$A$3:$H$102,6,FALSE)&gt;=main!$D$103+VLOOKUP(VLOOKUP(BV$1,main!$A$3:$I$102,7,FALSE),main!$K$26:$Q$29,3,FALSE),1,0)</f>
        <v>0</v>
      </c>
      <c r="BW16">
        <f>IF(VLOOKUP(BW$1,main!$A$3:$H$102,5,FALSE)-VLOOKUP($A16,main!$A$3:$H$102,6,FALSE)&gt;=main!$D$103+VLOOKUP(VLOOKUP(BW$1,main!$A$3:$I$102,7,FALSE),main!$K$26:$Q$29,3,FALSE),1,0)</f>
        <v>0</v>
      </c>
      <c r="BX16">
        <f>IF(VLOOKUP(BX$1,main!$A$3:$H$102,5,FALSE)-VLOOKUP($A16,main!$A$3:$H$102,6,FALSE)&gt;=main!$D$103+VLOOKUP(VLOOKUP(BX$1,main!$A$3:$I$102,7,FALSE),main!$K$26:$Q$29,3,FALSE),1,0)</f>
        <v>0</v>
      </c>
      <c r="BY16">
        <f>IF(VLOOKUP(BY$1,main!$A$3:$H$102,5,FALSE)-VLOOKUP($A16,main!$A$3:$H$102,6,FALSE)&gt;=main!$D$103+VLOOKUP(VLOOKUP(BY$1,main!$A$3:$I$102,7,FALSE),main!$K$26:$Q$29,3,FALSE),1,0)</f>
        <v>0</v>
      </c>
      <c r="BZ16">
        <f>IF(VLOOKUP(BZ$1,main!$A$3:$H$102,5,FALSE)-VLOOKUP($A16,main!$A$3:$H$102,6,FALSE)&gt;=main!$D$103+VLOOKUP(VLOOKUP(BZ$1,main!$A$3:$I$102,7,FALSE),main!$K$26:$Q$29,3,FALSE),1,0)</f>
        <v>0</v>
      </c>
      <c r="CA16">
        <f>IF(VLOOKUP(CA$1,main!$A$3:$H$102,5,FALSE)-VLOOKUP($A16,main!$A$3:$H$102,6,FALSE)&gt;=main!$D$103+VLOOKUP(VLOOKUP(CA$1,main!$A$3:$I$102,7,FALSE),main!$K$26:$Q$29,3,FALSE),1,0)</f>
        <v>0</v>
      </c>
      <c r="CB16">
        <f>IF(VLOOKUP(CB$1,main!$A$3:$H$102,5,FALSE)-VLOOKUP($A16,main!$A$3:$H$102,6,FALSE)&gt;=main!$D$103+VLOOKUP(VLOOKUP(CB$1,main!$A$3:$I$102,7,FALSE),main!$K$26:$Q$29,3,FALSE),1,0)</f>
        <v>1</v>
      </c>
      <c r="CC16">
        <f>IF(VLOOKUP(CC$1,main!$A$3:$H$102,5,FALSE)-VLOOKUP($A16,main!$A$3:$H$102,6,FALSE)&gt;=main!$D$103+VLOOKUP(VLOOKUP(CC$1,main!$A$3:$I$102,7,FALSE),main!$K$26:$Q$29,3,FALSE),1,0)</f>
        <v>1</v>
      </c>
      <c r="CD16">
        <f>IF(VLOOKUP(CD$1,main!$A$3:$H$102,5,FALSE)-VLOOKUP($A16,main!$A$3:$H$102,6,FALSE)&gt;=main!$D$103+VLOOKUP(VLOOKUP(CD$1,main!$A$3:$I$102,7,FALSE),main!$K$26:$Q$29,3,FALSE),1,0)</f>
        <v>0</v>
      </c>
      <c r="CE16">
        <f>IF(VLOOKUP(CE$1,main!$A$3:$H$102,5,FALSE)-VLOOKUP($A16,main!$A$3:$H$102,6,FALSE)&gt;=main!$D$103+VLOOKUP(VLOOKUP(CE$1,main!$A$3:$I$102,7,FALSE),main!$K$26:$Q$29,3,FALSE),1,0)</f>
        <v>0</v>
      </c>
      <c r="CF16">
        <f>IF(VLOOKUP(CF$1,main!$A$3:$H$102,5,FALSE)-VLOOKUP($A16,main!$A$3:$H$102,6,FALSE)&gt;=main!$D$103+VLOOKUP(VLOOKUP(CF$1,main!$A$3:$I$102,7,FALSE),main!$K$26:$Q$29,3,FALSE),1,0)</f>
        <v>0</v>
      </c>
      <c r="CG16">
        <f>IF(VLOOKUP(CG$1,main!$A$3:$H$102,5,FALSE)-VLOOKUP($A16,main!$A$3:$H$102,6,FALSE)&gt;=main!$D$103+VLOOKUP(VLOOKUP(CG$1,main!$A$3:$I$102,7,FALSE),main!$K$26:$Q$29,3,FALSE),1,0)</f>
        <v>0</v>
      </c>
      <c r="CH16">
        <f>IF(VLOOKUP(CH$1,main!$A$3:$H$102,5,FALSE)-VLOOKUP($A16,main!$A$3:$H$102,6,FALSE)&gt;=main!$D$103+VLOOKUP(VLOOKUP(CH$1,main!$A$3:$I$102,7,FALSE),main!$K$26:$Q$29,3,FALSE),1,0)</f>
        <v>1</v>
      </c>
      <c r="CI16">
        <f>IF(VLOOKUP(CI$1,main!$A$3:$H$102,5,FALSE)-VLOOKUP($A16,main!$A$3:$H$102,6,FALSE)&gt;=main!$D$103+VLOOKUP(VLOOKUP(CI$1,main!$A$3:$I$102,7,FALSE),main!$K$26:$Q$29,3,FALSE),1,0)</f>
        <v>1</v>
      </c>
      <c r="CJ16">
        <f>IF(VLOOKUP(CJ$1,main!$A$3:$H$102,5,FALSE)-VLOOKUP($A16,main!$A$3:$H$102,6,FALSE)&gt;=main!$D$103+VLOOKUP(VLOOKUP(CJ$1,main!$A$3:$I$102,7,FALSE),main!$K$26:$Q$29,3,FALSE),1,0)</f>
        <v>0</v>
      </c>
      <c r="CK16">
        <f>IF(VLOOKUP(CK$1,main!$A$3:$H$102,5,FALSE)-VLOOKUP($A16,main!$A$3:$H$102,6,FALSE)&gt;=main!$D$103+VLOOKUP(VLOOKUP(CK$1,main!$A$3:$I$102,7,FALSE),main!$K$26:$Q$29,3,FALSE),1,0)</f>
        <v>0</v>
      </c>
      <c r="CL16">
        <f>IF(VLOOKUP(CL$1,main!$A$3:$H$102,5,FALSE)-VLOOKUP($A16,main!$A$3:$H$102,6,FALSE)&gt;=main!$D$103+VLOOKUP(VLOOKUP(CL$1,main!$A$3:$I$102,7,FALSE),main!$K$26:$Q$29,3,FALSE),1,0)</f>
        <v>0</v>
      </c>
      <c r="CM16">
        <f>IF(VLOOKUP(CM$1,main!$A$3:$H$102,5,FALSE)-VLOOKUP($A16,main!$A$3:$H$102,6,FALSE)&gt;=main!$D$103+VLOOKUP(VLOOKUP(CM$1,main!$A$3:$I$102,7,FALSE),main!$K$26:$Q$29,3,FALSE),1,0)</f>
        <v>1</v>
      </c>
      <c r="CN16">
        <f>IF(VLOOKUP(CN$1,main!$A$3:$H$102,5,FALSE)-VLOOKUP($A16,main!$A$3:$H$102,6,FALSE)&gt;=main!$D$103+VLOOKUP(VLOOKUP(CN$1,main!$A$3:$I$102,7,FALSE),main!$K$26:$Q$29,3,FALSE),1,0)</f>
        <v>1</v>
      </c>
      <c r="CO16">
        <f>IF(VLOOKUP(CO$1,main!$A$3:$H$102,5,FALSE)-VLOOKUP($A16,main!$A$3:$H$102,6,FALSE)&gt;=main!$D$103+VLOOKUP(VLOOKUP(CO$1,main!$A$3:$I$102,7,FALSE),main!$K$26:$Q$29,3,FALSE),1,0)</f>
        <v>0</v>
      </c>
      <c r="CP16">
        <f>IF(VLOOKUP(CP$1,main!$A$3:$H$102,5,FALSE)-VLOOKUP($A16,main!$A$3:$H$102,6,FALSE)&gt;=main!$D$103+VLOOKUP(VLOOKUP(CP$1,main!$A$3:$I$102,7,FALSE),main!$K$26:$Q$29,3,FALSE),1,0)</f>
        <v>0</v>
      </c>
      <c r="CQ16">
        <f>IF(VLOOKUP(CQ$1,main!$A$3:$H$102,5,FALSE)-VLOOKUP($A16,main!$A$3:$H$102,6,FALSE)&gt;=main!$D$103+VLOOKUP(VLOOKUP(CQ$1,main!$A$3:$I$102,7,FALSE),main!$K$26:$Q$29,3,FALSE),1,0)</f>
        <v>0</v>
      </c>
      <c r="CR16">
        <f>IF(VLOOKUP(CR$1,main!$A$3:$H$102,5,FALSE)-VLOOKUP($A16,main!$A$3:$H$102,6,FALSE)&gt;=main!$D$103+VLOOKUP(VLOOKUP(CR$1,main!$A$3:$I$102,7,FALSE),main!$K$26:$Q$29,3,FALSE),1,0)</f>
        <v>1</v>
      </c>
      <c r="CS16">
        <f>IF(VLOOKUP(CS$1,main!$A$3:$H$102,5,FALSE)-VLOOKUP($A16,main!$A$3:$H$102,6,FALSE)&gt;=main!$D$103+VLOOKUP(VLOOKUP(CS$1,main!$A$3:$I$102,7,FALSE),main!$K$26:$Q$29,3,FALSE),1,0)</f>
        <v>1</v>
      </c>
      <c r="CT16">
        <f>IF(VLOOKUP(CT$1,main!$A$3:$H$102,5,FALSE)-VLOOKUP($A16,main!$A$3:$H$102,6,FALSE)&gt;=main!$D$103+VLOOKUP(VLOOKUP(CT$1,main!$A$3:$I$102,7,FALSE),main!$K$26:$Q$29,3,FALSE),1,0)</f>
        <v>0</v>
      </c>
      <c r="CU16">
        <f>IF(VLOOKUP(CU$1,main!$A$3:$H$102,5,FALSE)-VLOOKUP($A16,main!$A$3:$H$102,6,FALSE)&gt;=main!$D$103+VLOOKUP(VLOOKUP(CU$1,main!$A$3:$I$102,7,FALSE),main!$K$26:$Q$29,3,FALSE),1,0)</f>
        <v>0</v>
      </c>
      <c r="CV16">
        <f>IF(VLOOKUP(CV$1,main!$A$3:$H$102,5,FALSE)-VLOOKUP($A16,main!$A$3:$H$102,6,FALSE)&gt;=main!$D$103+VLOOKUP(VLOOKUP(CV$1,main!$A$3:$I$102,7,FALSE),main!$K$26:$Q$29,3,FALSE),1,0)</f>
        <v>0</v>
      </c>
      <c r="CW16">
        <f>IF(VLOOKUP(CW$1,main!$A$3:$H$102,5,FALSE)-VLOOKUP($A16,main!$A$3:$H$102,6,FALSE)&gt;=main!$D$103+VLOOKUP(VLOOKUP(CW$1,main!$A$3:$I$102,7,FALSE),main!$K$26:$Q$29,3,FALSE),1,0)</f>
        <v>1</v>
      </c>
      <c r="CX16">
        <f>IF(VLOOKUP(CX$1,main!$A$3:$H$102,5,FALSE)-VLOOKUP($A16,main!$A$3:$H$102,6,FALSE)&gt;=main!$D$103+VLOOKUP(VLOOKUP(CX$1,main!$A$3:$I$102,7,FALSE),main!$K$26:$Q$29,3,FALSE),1,0)</f>
        <v>1</v>
      </c>
    </row>
    <row r="17" spans="1:104" x14ac:dyDescent="0.25">
      <c r="A17" s="1">
        <v>15</v>
      </c>
      <c r="B17">
        <v>0</v>
      </c>
      <c r="C17">
        <f>IF(VLOOKUP(C$1,main!$A$3:$H$102,5,FALSE)-VLOOKUP($A17,main!$A$3:$H$102,6,FALSE)&gt;=main!$D$103+VLOOKUP(VLOOKUP(C$1,main!$A$3:$I$102,7,FALSE),main!$K$26:$Q$29,3,FALSE),1,0)</f>
        <v>0</v>
      </c>
      <c r="D17">
        <f>IF(VLOOKUP(D$1,main!$A$3:$H$102,5,FALSE)-VLOOKUP($A17,main!$A$3:$H$102,6,FALSE)&gt;=main!$D$103+VLOOKUP(VLOOKUP(D$1,main!$A$3:$I$102,7,FALSE),main!$K$26:$Q$29,3,FALSE),1,0)</f>
        <v>0</v>
      </c>
      <c r="E17">
        <f>IF(VLOOKUP(E$1,main!$A$3:$H$102,5,FALSE)-VLOOKUP($A17,main!$A$3:$H$102,6,FALSE)&gt;=main!$D$103+VLOOKUP(VLOOKUP(E$1,main!$A$3:$I$102,7,FALSE),main!$K$26:$Q$29,3,FALSE),1,0)</f>
        <v>0</v>
      </c>
      <c r="F17">
        <f>IF(VLOOKUP(F$1,main!$A$3:$H$102,5,FALSE)-VLOOKUP($A17,main!$A$3:$H$102,6,FALSE)&gt;=main!$D$103+VLOOKUP(VLOOKUP(F$1,main!$A$3:$I$102,7,FALSE),main!$K$26:$Q$29,3,FALSE),1,0)</f>
        <v>0</v>
      </c>
      <c r="G17">
        <f>IF(VLOOKUP(G$1,main!$A$3:$H$102,5,FALSE)-VLOOKUP($A17,main!$A$3:$H$102,6,FALSE)&gt;=main!$D$103+VLOOKUP(VLOOKUP(G$1,main!$A$3:$I$102,7,FALSE),main!$K$26:$Q$29,3,FALSE),1,0)</f>
        <v>0</v>
      </c>
      <c r="H17">
        <f>IF(VLOOKUP(H$1,main!$A$3:$H$102,5,FALSE)-VLOOKUP($A17,main!$A$3:$H$102,6,FALSE)&gt;=main!$D$103+VLOOKUP(VLOOKUP(H$1,main!$A$3:$I$102,7,FALSE),main!$K$26:$Q$29,3,FALSE),1,0)</f>
        <v>0</v>
      </c>
      <c r="I17">
        <f>IF(VLOOKUP(I$1,main!$A$3:$H$102,5,FALSE)-VLOOKUP($A17,main!$A$3:$H$102,6,FALSE)&gt;=main!$D$103+VLOOKUP(VLOOKUP(I$1,main!$A$3:$I$102,7,FALSE),main!$K$26:$Q$29,3,FALSE),1,0)</f>
        <v>1</v>
      </c>
      <c r="J17">
        <f>IF(VLOOKUP(J$1,main!$A$3:$H$102,5,FALSE)-VLOOKUP($A17,main!$A$3:$H$102,6,FALSE)&gt;=main!$D$103+VLOOKUP(VLOOKUP(J$1,main!$A$3:$I$102,7,FALSE),main!$K$26:$Q$29,3,FALSE),1,0)</f>
        <v>1</v>
      </c>
      <c r="K17">
        <f>IF(VLOOKUP(K$1,main!$A$3:$H$102,5,FALSE)-VLOOKUP($A17,main!$A$3:$H$102,6,FALSE)&gt;=main!$D$103+VLOOKUP(VLOOKUP(K$1,main!$A$3:$I$102,7,FALSE),main!$K$26:$Q$29,3,FALSE),1,0)</f>
        <v>1</v>
      </c>
      <c r="L17">
        <f>IF(VLOOKUP(L$1,main!$A$3:$H$102,5,FALSE)-VLOOKUP($A17,main!$A$3:$H$102,6,FALSE)&gt;=main!$D$103+VLOOKUP(VLOOKUP(L$1,main!$A$3:$I$102,7,FALSE),main!$K$26:$Q$29,3,FALSE),1,0)</f>
        <v>1</v>
      </c>
      <c r="M17">
        <f>IF(VLOOKUP(M$1,main!$A$3:$H$102,5,FALSE)-VLOOKUP($A17,main!$A$3:$H$102,6,FALSE)&gt;=main!$D$103+VLOOKUP(VLOOKUP(M$1,main!$A$3:$I$102,7,FALSE),main!$K$26:$Q$29,3,FALSE),1,0)</f>
        <v>0</v>
      </c>
      <c r="N17">
        <f>IF(VLOOKUP(N$1,main!$A$3:$H$102,5,FALSE)-VLOOKUP($A17,main!$A$3:$H$102,6,FALSE)&gt;=main!$D$103+VLOOKUP(VLOOKUP(N$1,main!$A$3:$I$102,7,FALSE),main!$K$26:$Q$29,3,FALSE),1,0)</f>
        <v>0</v>
      </c>
      <c r="O17">
        <f>IF(VLOOKUP(O$1,main!$A$3:$H$102,5,FALSE)-VLOOKUP($A17,main!$A$3:$H$102,6,FALSE)&gt;=main!$D$103+VLOOKUP(VLOOKUP(O$1,main!$A$3:$I$102,7,FALSE),main!$K$26:$Q$29,3,FALSE),1,0)</f>
        <v>0</v>
      </c>
      <c r="P17">
        <f>IF(VLOOKUP(P$1,main!$A$3:$H$102,5,FALSE)-VLOOKUP($A17,main!$A$3:$H$102,6,FALSE)&gt;=main!$D$103+VLOOKUP(VLOOKUP(P$1,main!$A$3:$I$102,7,FALSE),main!$K$26:$Q$29,3,FALSE),1,0)</f>
        <v>0</v>
      </c>
      <c r="Q17">
        <f>IF(VLOOKUP(Q$1,main!$A$3:$H$102,5,FALSE)-VLOOKUP($A17,main!$A$3:$H$102,6,FALSE)&gt;=main!$D$103+VLOOKUP(VLOOKUP(Q$1,main!$A$3:$I$102,7,FALSE),main!$K$26:$Q$29,3,FALSE),1,0)</f>
        <v>0</v>
      </c>
      <c r="R17">
        <f>IF(VLOOKUP(R$1,main!$A$3:$H$102,5,FALSE)-VLOOKUP($A17,main!$A$3:$H$102,6,FALSE)&gt;=main!$D$103+VLOOKUP(VLOOKUP(R$1,main!$A$3:$I$102,7,FALSE),main!$K$26:$Q$29,3,FALSE),1,0)</f>
        <v>0</v>
      </c>
      <c r="S17">
        <f>IF(VLOOKUP(S$1,main!$A$3:$H$102,5,FALSE)-VLOOKUP($A17,main!$A$3:$H$102,6,FALSE)&gt;=main!$D$103+VLOOKUP(VLOOKUP(S$1,main!$A$3:$I$102,7,FALSE),main!$K$26:$Q$29,3,FALSE),1,0)</f>
        <v>0</v>
      </c>
      <c r="T17">
        <f>IF(VLOOKUP(T$1,main!$A$3:$H$102,5,FALSE)-VLOOKUP($A17,main!$A$3:$H$102,6,FALSE)&gt;=main!$D$103+VLOOKUP(VLOOKUP(T$1,main!$A$3:$I$102,7,FALSE),main!$K$26:$Q$29,3,FALSE),1,0)</f>
        <v>1</v>
      </c>
      <c r="U17">
        <f>IF(VLOOKUP(U$1,main!$A$3:$H$102,5,FALSE)-VLOOKUP($A17,main!$A$3:$H$102,6,FALSE)&gt;=main!$D$103+VLOOKUP(VLOOKUP(U$1,main!$A$3:$I$102,7,FALSE),main!$K$26:$Q$29,3,FALSE),1,0)</f>
        <v>1</v>
      </c>
      <c r="V17">
        <f>IF(VLOOKUP(V$1,main!$A$3:$H$102,5,FALSE)-VLOOKUP($A17,main!$A$3:$H$102,6,FALSE)&gt;=main!$D$103+VLOOKUP(VLOOKUP(V$1,main!$A$3:$I$102,7,FALSE),main!$K$26:$Q$29,3,FALSE),1,0)</f>
        <v>1</v>
      </c>
      <c r="W17">
        <f>IF(VLOOKUP(W$1,main!$A$3:$H$102,5,FALSE)-VLOOKUP($A17,main!$A$3:$H$102,6,FALSE)&gt;=main!$D$103+VLOOKUP(VLOOKUP(W$1,main!$A$3:$I$102,7,FALSE),main!$K$26:$Q$29,3,FALSE),1,0)</f>
        <v>0</v>
      </c>
      <c r="X17">
        <f>IF(VLOOKUP(X$1,main!$A$3:$H$102,5,FALSE)-VLOOKUP($A17,main!$A$3:$H$102,6,FALSE)&gt;=main!$D$103+VLOOKUP(VLOOKUP(X$1,main!$A$3:$I$102,7,FALSE),main!$K$26:$Q$29,3,FALSE),1,0)</f>
        <v>0</v>
      </c>
      <c r="Y17">
        <f>IF(VLOOKUP(Y$1,main!$A$3:$H$102,5,FALSE)-VLOOKUP($A17,main!$A$3:$H$102,6,FALSE)&gt;=main!$D$103+VLOOKUP(VLOOKUP(Y$1,main!$A$3:$I$102,7,FALSE),main!$K$26:$Q$29,3,FALSE),1,0)</f>
        <v>0</v>
      </c>
      <c r="Z17">
        <f>IF(VLOOKUP(Z$1,main!$A$3:$H$102,5,FALSE)-VLOOKUP($A17,main!$A$3:$H$102,6,FALSE)&gt;=main!$D$103+VLOOKUP(VLOOKUP(Z$1,main!$A$3:$I$102,7,FALSE),main!$K$26:$Q$29,3,FALSE),1,0)</f>
        <v>0</v>
      </c>
      <c r="AA17">
        <f>IF(VLOOKUP(AA$1,main!$A$3:$H$102,5,FALSE)-VLOOKUP($A17,main!$A$3:$H$102,6,FALSE)&gt;=main!$D$103+VLOOKUP(VLOOKUP(AA$1,main!$A$3:$I$102,7,FALSE),main!$K$26:$Q$29,3,FALSE),1,0)</f>
        <v>1</v>
      </c>
      <c r="AB17">
        <f>IF(VLOOKUP(AB$1,main!$A$3:$H$102,5,FALSE)-VLOOKUP($A17,main!$A$3:$H$102,6,FALSE)&gt;=main!$D$103+VLOOKUP(VLOOKUP(AB$1,main!$A$3:$I$102,7,FALSE),main!$K$26:$Q$29,3,FALSE),1,0)</f>
        <v>0</v>
      </c>
      <c r="AC17">
        <f>IF(VLOOKUP(AC$1,main!$A$3:$H$102,5,FALSE)-VLOOKUP($A17,main!$A$3:$H$102,6,FALSE)&gt;=main!$D$103+VLOOKUP(VLOOKUP(AC$1,main!$A$3:$I$102,7,FALSE),main!$K$26:$Q$29,3,FALSE),1,0)</f>
        <v>0</v>
      </c>
      <c r="AD17">
        <f>IF(VLOOKUP(AD$1,main!$A$3:$H$102,5,FALSE)-VLOOKUP($A17,main!$A$3:$H$102,6,FALSE)&gt;=main!$D$103+VLOOKUP(VLOOKUP(AD$1,main!$A$3:$I$102,7,FALSE),main!$K$26:$Q$29,3,FALSE),1,0)</f>
        <v>0</v>
      </c>
      <c r="AE17">
        <f>IF(VLOOKUP(AE$1,main!$A$3:$H$102,5,FALSE)-VLOOKUP($A17,main!$A$3:$H$102,6,FALSE)&gt;=main!$D$103+VLOOKUP(VLOOKUP(AE$1,main!$A$3:$I$102,7,FALSE),main!$K$26:$Q$29,3,FALSE),1,0)</f>
        <v>0</v>
      </c>
      <c r="AF17">
        <f>IF(VLOOKUP(AF$1,main!$A$3:$H$102,5,FALSE)-VLOOKUP($A17,main!$A$3:$H$102,6,FALSE)&gt;=main!$D$103+VLOOKUP(VLOOKUP(AF$1,main!$A$3:$I$102,7,FALSE),main!$K$26:$Q$29,3,FALSE),1,0)</f>
        <v>1</v>
      </c>
      <c r="AG17">
        <f>IF(VLOOKUP(AG$1,main!$A$3:$H$102,5,FALSE)-VLOOKUP($A17,main!$A$3:$H$102,6,FALSE)&gt;=main!$D$103+VLOOKUP(VLOOKUP(AG$1,main!$A$3:$I$102,7,FALSE),main!$K$26:$Q$29,3,FALSE),1,0)</f>
        <v>0</v>
      </c>
      <c r="AH17">
        <f>IF(VLOOKUP(AH$1,main!$A$3:$H$102,5,FALSE)-VLOOKUP($A17,main!$A$3:$H$102,6,FALSE)&gt;=main!$D$103+VLOOKUP(VLOOKUP(AH$1,main!$A$3:$I$102,7,FALSE),main!$K$26:$Q$29,3,FALSE),1,0)</f>
        <v>0</v>
      </c>
      <c r="AI17">
        <f>IF(VLOOKUP(AI$1,main!$A$3:$H$102,5,FALSE)-VLOOKUP($A17,main!$A$3:$H$102,6,FALSE)&gt;=main!$D$103+VLOOKUP(VLOOKUP(AI$1,main!$A$3:$I$102,7,FALSE),main!$K$26:$Q$29,3,FALSE),1,0)</f>
        <v>0</v>
      </c>
      <c r="AJ17">
        <f>IF(VLOOKUP(AJ$1,main!$A$3:$H$102,5,FALSE)-VLOOKUP($A17,main!$A$3:$H$102,6,FALSE)&gt;=main!$D$103+VLOOKUP(VLOOKUP(AJ$1,main!$A$3:$I$102,7,FALSE),main!$K$26:$Q$29,3,FALSE),1,0)</f>
        <v>0</v>
      </c>
      <c r="AK17">
        <f>IF(VLOOKUP(AK$1,main!$A$3:$H$102,5,FALSE)-VLOOKUP($A17,main!$A$3:$H$102,6,FALSE)&gt;=main!$D$103+VLOOKUP(VLOOKUP(AK$1,main!$A$3:$I$102,7,FALSE),main!$K$26:$Q$29,3,FALSE),1,0)</f>
        <v>0</v>
      </c>
      <c r="AL17">
        <f>IF(VLOOKUP(AL$1,main!$A$3:$H$102,5,FALSE)-VLOOKUP($A17,main!$A$3:$H$102,6,FALSE)&gt;=main!$D$103+VLOOKUP(VLOOKUP(AL$1,main!$A$3:$I$102,7,FALSE),main!$K$26:$Q$29,3,FALSE),1,0)</f>
        <v>1</v>
      </c>
      <c r="AM17">
        <f>IF(VLOOKUP(AM$1,main!$A$3:$H$102,5,FALSE)-VLOOKUP($A17,main!$A$3:$H$102,6,FALSE)&gt;=main!$D$103+VLOOKUP(VLOOKUP(AM$1,main!$A$3:$I$102,7,FALSE),main!$K$26:$Q$29,3,FALSE),1,0)</f>
        <v>1</v>
      </c>
      <c r="AN17">
        <f>IF(VLOOKUP(AN$1,main!$A$3:$H$102,5,FALSE)-VLOOKUP($A17,main!$A$3:$H$102,6,FALSE)&gt;=main!$D$103+VLOOKUP(VLOOKUP(AN$1,main!$A$3:$I$102,7,FALSE),main!$K$26:$Q$29,3,FALSE),1,0)</f>
        <v>1</v>
      </c>
      <c r="AO17">
        <f>IF(VLOOKUP(AO$1,main!$A$3:$H$102,5,FALSE)-VLOOKUP($A17,main!$A$3:$H$102,6,FALSE)&gt;=main!$D$103+VLOOKUP(VLOOKUP(AO$1,main!$A$3:$I$102,7,FALSE),main!$K$26:$Q$29,3,FALSE),1,0)</f>
        <v>0</v>
      </c>
      <c r="AP17">
        <f>IF(VLOOKUP(AP$1,main!$A$3:$H$102,5,FALSE)-VLOOKUP($A17,main!$A$3:$H$102,6,FALSE)&gt;=main!$D$103+VLOOKUP(VLOOKUP(AP$1,main!$A$3:$I$102,7,FALSE),main!$K$26:$Q$29,3,FALSE),1,0)</f>
        <v>1</v>
      </c>
      <c r="AQ17">
        <f>IF(VLOOKUP(AQ$1,main!$A$3:$H$102,5,FALSE)-VLOOKUP($A17,main!$A$3:$H$102,6,FALSE)&gt;=main!$D$103+VLOOKUP(VLOOKUP(AQ$1,main!$A$3:$I$102,7,FALSE),main!$K$26:$Q$29,3,FALSE),1,0)</f>
        <v>0</v>
      </c>
      <c r="AR17">
        <f>IF(VLOOKUP(AR$1,main!$A$3:$H$102,5,FALSE)-VLOOKUP($A17,main!$A$3:$H$102,6,FALSE)&gt;=main!$D$103+VLOOKUP(VLOOKUP(AR$1,main!$A$3:$I$102,7,FALSE),main!$K$26:$Q$29,3,FALSE),1,0)</f>
        <v>0</v>
      </c>
      <c r="AS17">
        <f>IF(VLOOKUP(AS$1,main!$A$3:$H$102,5,FALSE)-VLOOKUP($A17,main!$A$3:$H$102,6,FALSE)&gt;=main!$D$103+VLOOKUP(VLOOKUP(AS$1,main!$A$3:$I$102,7,FALSE),main!$K$26:$Q$29,3,FALSE),1,0)</f>
        <v>0</v>
      </c>
      <c r="AT17">
        <f>IF(VLOOKUP(AT$1,main!$A$3:$H$102,5,FALSE)-VLOOKUP($A17,main!$A$3:$H$102,6,FALSE)&gt;=main!$D$103+VLOOKUP(VLOOKUP(AT$1,main!$A$3:$I$102,7,FALSE),main!$K$26:$Q$29,3,FALSE),1,0)</f>
        <v>0</v>
      </c>
      <c r="AU17">
        <f>IF(VLOOKUP(AU$1,main!$A$3:$H$102,5,FALSE)-VLOOKUP($A17,main!$A$3:$H$102,6,FALSE)&gt;=main!$D$103+VLOOKUP(VLOOKUP(AU$1,main!$A$3:$I$102,7,FALSE),main!$K$26:$Q$29,3,FALSE),1,0)</f>
        <v>0</v>
      </c>
      <c r="AV17">
        <f>IF(VLOOKUP(AV$1,main!$A$3:$H$102,5,FALSE)-VLOOKUP($A17,main!$A$3:$H$102,6,FALSE)&gt;=main!$D$103+VLOOKUP(VLOOKUP(AV$1,main!$A$3:$I$102,7,FALSE),main!$K$26:$Q$29,3,FALSE),1,0)</f>
        <v>0</v>
      </c>
      <c r="AW17">
        <f>IF(VLOOKUP(AW$1,main!$A$3:$H$102,5,FALSE)-VLOOKUP($A17,main!$A$3:$H$102,6,FALSE)&gt;=main!$D$103+VLOOKUP(VLOOKUP(AW$1,main!$A$3:$I$102,7,FALSE),main!$K$26:$Q$29,3,FALSE),1,0)</f>
        <v>0</v>
      </c>
      <c r="AX17">
        <f>IF(VLOOKUP(AX$1,main!$A$3:$H$102,5,FALSE)-VLOOKUP($A17,main!$A$3:$H$102,6,FALSE)&gt;=main!$D$103+VLOOKUP(VLOOKUP(AX$1,main!$A$3:$I$102,7,FALSE),main!$K$26:$Q$29,3,FALSE),1,0)</f>
        <v>0</v>
      </c>
      <c r="AY17">
        <f>IF(VLOOKUP(AY$1,main!$A$3:$H$102,5,FALSE)-VLOOKUP($A17,main!$A$3:$H$102,6,FALSE)&gt;=main!$D$103+VLOOKUP(VLOOKUP(AY$1,main!$A$3:$I$102,7,FALSE),main!$K$26:$Q$29,3,FALSE),1,0)</f>
        <v>0</v>
      </c>
      <c r="AZ17">
        <f>IF(VLOOKUP(AZ$1,main!$A$3:$H$102,5,FALSE)-VLOOKUP($A17,main!$A$3:$H$102,6,FALSE)&gt;=main!$D$103+VLOOKUP(VLOOKUP(AZ$1,main!$A$3:$I$102,7,FALSE),main!$K$26:$Q$29,3,FALSE),1,0)</f>
        <v>0</v>
      </c>
      <c r="BA17">
        <f>IF(VLOOKUP(BA$1,main!$A$3:$H$102,5,FALSE)-VLOOKUP($A17,main!$A$3:$H$102,6,FALSE)&gt;=main!$D$103+VLOOKUP(VLOOKUP(BA$1,main!$A$3:$I$102,7,FALSE),main!$K$26:$Q$29,3,FALSE),1,0)</f>
        <v>0</v>
      </c>
      <c r="BB17">
        <f>IF(VLOOKUP(BB$1,main!$A$3:$H$102,5,FALSE)-VLOOKUP($A17,main!$A$3:$H$102,6,FALSE)&gt;=main!$D$103+VLOOKUP(VLOOKUP(BB$1,main!$A$3:$I$102,7,FALSE),main!$K$26:$Q$29,3,FALSE),1,0)</f>
        <v>0</v>
      </c>
      <c r="BC17">
        <f>IF(VLOOKUP(BC$1,main!$A$3:$H$102,5,FALSE)-VLOOKUP($A17,main!$A$3:$H$102,6,FALSE)&gt;=main!$D$103+VLOOKUP(VLOOKUP(BC$1,main!$A$3:$I$102,7,FALSE),main!$K$26:$Q$29,3,FALSE),1,0)</f>
        <v>0</v>
      </c>
      <c r="BD17">
        <f>IF(VLOOKUP(BD$1,main!$A$3:$H$102,5,FALSE)-VLOOKUP($A17,main!$A$3:$H$102,6,FALSE)&gt;=main!$D$103+VLOOKUP(VLOOKUP(BD$1,main!$A$3:$I$102,7,FALSE),main!$K$26:$Q$29,3,FALSE),1,0)</f>
        <v>0</v>
      </c>
      <c r="BE17">
        <f>IF(VLOOKUP(BE$1,main!$A$3:$H$102,5,FALSE)-VLOOKUP($A17,main!$A$3:$H$102,6,FALSE)&gt;=main!$D$103+VLOOKUP(VLOOKUP(BE$1,main!$A$3:$I$102,7,FALSE),main!$K$26:$Q$29,3,FALSE),1,0)</f>
        <v>1</v>
      </c>
      <c r="BF17">
        <f>IF(VLOOKUP(BF$1,main!$A$3:$H$102,5,FALSE)-VLOOKUP($A17,main!$A$3:$H$102,6,FALSE)&gt;=main!$D$103+VLOOKUP(VLOOKUP(BF$1,main!$A$3:$I$102,7,FALSE),main!$K$26:$Q$29,3,FALSE),1,0)</f>
        <v>0</v>
      </c>
      <c r="BG17">
        <f>IF(VLOOKUP(BG$1,main!$A$3:$H$102,5,FALSE)-VLOOKUP($A17,main!$A$3:$H$102,6,FALSE)&gt;=main!$D$103+VLOOKUP(VLOOKUP(BG$1,main!$A$3:$I$102,7,FALSE),main!$K$26:$Q$29,3,FALSE),1,0)</f>
        <v>0</v>
      </c>
      <c r="BH17">
        <f>IF(VLOOKUP(BH$1,main!$A$3:$H$102,5,FALSE)-VLOOKUP($A17,main!$A$3:$H$102,6,FALSE)&gt;=main!$D$103+VLOOKUP(VLOOKUP(BH$1,main!$A$3:$I$102,7,FALSE),main!$K$26:$Q$29,3,FALSE),1,0)</f>
        <v>0</v>
      </c>
      <c r="BI17">
        <f>IF(VLOOKUP(BI$1,main!$A$3:$H$102,5,FALSE)-VLOOKUP($A17,main!$A$3:$H$102,6,FALSE)&gt;=main!$D$103+VLOOKUP(VLOOKUP(BI$1,main!$A$3:$I$102,7,FALSE),main!$K$26:$Q$29,3,FALSE),1,0)</f>
        <v>1</v>
      </c>
      <c r="BJ17">
        <f>IF(VLOOKUP(BJ$1,main!$A$3:$H$102,5,FALSE)-VLOOKUP($A17,main!$A$3:$H$102,6,FALSE)&gt;=main!$D$103+VLOOKUP(VLOOKUP(BJ$1,main!$A$3:$I$102,7,FALSE),main!$K$26:$Q$29,3,FALSE),1,0)</f>
        <v>1</v>
      </c>
      <c r="BK17">
        <f>IF(VLOOKUP(BK$1,main!$A$3:$H$102,5,FALSE)-VLOOKUP($A17,main!$A$3:$H$102,6,FALSE)&gt;=main!$D$103+VLOOKUP(VLOOKUP(BK$1,main!$A$3:$I$102,7,FALSE),main!$K$26:$Q$29,3,FALSE),1,0)</f>
        <v>0</v>
      </c>
      <c r="BL17">
        <f>IF(VLOOKUP(BL$1,main!$A$3:$H$102,5,FALSE)-VLOOKUP($A17,main!$A$3:$H$102,6,FALSE)&gt;=main!$D$103+VLOOKUP(VLOOKUP(BL$1,main!$A$3:$I$102,7,FALSE),main!$K$26:$Q$29,3,FALSE),1,0)</f>
        <v>0</v>
      </c>
      <c r="BM17">
        <f>IF(VLOOKUP(BM$1,main!$A$3:$H$102,5,FALSE)-VLOOKUP($A17,main!$A$3:$H$102,6,FALSE)&gt;=main!$D$103+VLOOKUP(VLOOKUP(BM$1,main!$A$3:$I$102,7,FALSE),main!$K$26:$Q$29,3,FALSE),1,0)</f>
        <v>0</v>
      </c>
      <c r="BN17">
        <f>IF(VLOOKUP(BN$1,main!$A$3:$H$102,5,FALSE)-VLOOKUP($A17,main!$A$3:$H$102,6,FALSE)&gt;=main!$D$103+VLOOKUP(VLOOKUP(BN$1,main!$A$3:$I$102,7,FALSE),main!$K$26:$Q$29,3,FALSE),1,0)</f>
        <v>0</v>
      </c>
      <c r="BO17">
        <f>IF(VLOOKUP(BO$1,main!$A$3:$H$102,5,FALSE)-VLOOKUP($A17,main!$A$3:$H$102,6,FALSE)&gt;=main!$D$103+VLOOKUP(VLOOKUP(BO$1,main!$A$3:$I$102,7,FALSE),main!$K$26:$Q$29,3,FALSE),1,0)</f>
        <v>0</v>
      </c>
      <c r="BP17">
        <f>IF(VLOOKUP(BP$1,main!$A$3:$H$102,5,FALSE)-VLOOKUP($A17,main!$A$3:$H$102,6,FALSE)&gt;=main!$D$103+VLOOKUP(VLOOKUP(BP$1,main!$A$3:$I$102,7,FALSE),main!$K$26:$Q$29,3,FALSE),1,0)</f>
        <v>0</v>
      </c>
      <c r="BQ17">
        <f>IF(VLOOKUP(BQ$1,main!$A$3:$H$102,5,FALSE)-VLOOKUP($A17,main!$A$3:$H$102,6,FALSE)&gt;=main!$D$103+VLOOKUP(VLOOKUP(BQ$1,main!$A$3:$I$102,7,FALSE),main!$K$26:$Q$29,3,FALSE),1,0)</f>
        <v>0</v>
      </c>
      <c r="BR17">
        <f>IF(VLOOKUP(BR$1,main!$A$3:$H$102,5,FALSE)-VLOOKUP($A17,main!$A$3:$H$102,6,FALSE)&gt;=main!$D$103+VLOOKUP(VLOOKUP(BR$1,main!$A$3:$I$102,7,FALSE),main!$K$26:$Q$29,3,FALSE),1,0)</f>
        <v>0</v>
      </c>
      <c r="BS17">
        <f>IF(VLOOKUP(BS$1,main!$A$3:$H$102,5,FALSE)-VLOOKUP($A17,main!$A$3:$H$102,6,FALSE)&gt;=main!$D$103+VLOOKUP(VLOOKUP(BS$1,main!$A$3:$I$102,7,FALSE),main!$K$26:$Q$29,3,FALSE),1,0)</f>
        <v>0</v>
      </c>
      <c r="BT17">
        <f>IF(VLOOKUP(BT$1,main!$A$3:$H$102,5,FALSE)-VLOOKUP($A17,main!$A$3:$H$102,6,FALSE)&gt;=main!$D$103+VLOOKUP(VLOOKUP(BT$1,main!$A$3:$I$102,7,FALSE),main!$K$26:$Q$29,3,FALSE),1,0)</f>
        <v>0</v>
      </c>
      <c r="BU17">
        <f>IF(VLOOKUP(BU$1,main!$A$3:$H$102,5,FALSE)-VLOOKUP($A17,main!$A$3:$H$102,6,FALSE)&gt;=main!$D$103+VLOOKUP(VLOOKUP(BU$1,main!$A$3:$I$102,7,FALSE),main!$K$26:$Q$29,3,FALSE),1,0)</f>
        <v>0</v>
      </c>
      <c r="BV17">
        <f>IF(VLOOKUP(BV$1,main!$A$3:$H$102,5,FALSE)-VLOOKUP($A17,main!$A$3:$H$102,6,FALSE)&gt;=main!$D$103+VLOOKUP(VLOOKUP(BV$1,main!$A$3:$I$102,7,FALSE),main!$K$26:$Q$29,3,FALSE),1,0)</f>
        <v>0</v>
      </c>
      <c r="BW17">
        <f>IF(VLOOKUP(BW$1,main!$A$3:$H$102,5,FALSE)-VLOOKUP($A17,main!$A$3:$H$102,6,FALSE)&gt;=main!$D$103+VLOOKUP(VLOOKUP(BW$1,main!$A$3:$I$102,7,FALSE),main!$K$26:$Q$29,3,FALSE),1,0)</f>
        <v>0</v>
      </c>
      <c r="BX17">
        <f>IF(VLOOKUP(BX$1,main!$A$3:$H$102,5,FALSE)-VLOOKUP($A17,main!$A$3:$H$102,6,FALSE)&gt;=main!$D$103+VLOOKUP(VLOOKUP(BX$1,main!$A$3:$I$102,7,FALSE),main!$K$26:$Q$29,3,FALSE),1,0)</f>
        <v>0</v>
      </c>
      <c r="BY17">
        <f>IF(VLOOKUP(BY$1,main!$A$3:$H$102,5,FALSE)-VLOOKUP($A17,main!$A$3:$H$102,6,FALSE)&gt;=main!$D$103+VLOOKUP(VLOOKUP(BY$1,main!$A$3:$I$102,7,FALSE),main!$K$26:$Q$29,3,FALSE),1,0)</f>
        <v>0</v>
      </c>
      <c r="BZ17">
        <f>IF(VLOOKUP(BZ$1,main!$A$3:$H$102,5,FALSE)-VLOOKUP($A17,main!$A$3:$H$102,6,FALSE)&gt;=main!$D$103+VLOOKUP(VLOOKUP(BZ$1,main!$A$3:$I$102,7,FALSE),main!$K$26:$Q$29,3,FALSE),1,0)</f>
        <v>0</v>
      </c>
      <c r="CA17">
        <f>IF(VLOOKUP(CA$1,main!$A$3:$H$102,5,FALSE)-VLOOKUP($A17,main!$A$3:$H$102,6,FALSE)&gt;=main!$D$103+VLOOKUP(VLOOKUP(CA$1,main!$A$3:$I$102,7,FALSE),main!$K$26:$Q$29,3,FALSE),1,0)</f>
        <v>0</v>
      </c>
      <c r="CB17">
        <f>IF(VLOOKUP(CB$1,main!$A$3:$H$102,5,FALSE)-VLOOKUP($A17,main!$A$3:$H$102,6,FALSE)&gt;=main!$D$103+VLOOKUP(VLOOKUP(CB$1,main!$A$3:$I$102,7,FALSE),main!$K$26:$Q$29,3,FALSE),1,0)</f>
        <v>0</v>
      </c>
      <c r="CC17">
        <f>IF(VLOOKUP(CC$1,main!$A$3:$H$102,5,FALSE)-VLOOKUP($A17,main!$A$3:$H$102,6,FALSE)&gt;=main!$D$103+VLOOKUP(VLOOKUP(CC$1,main!$A$3:$I$102,7,FALSE),main!$K$26:$Q$29,3,FALSE),1,0)</f>
        <v>1</v>
      </c>
      <c r="CD17">
        <f>IF(VLOOKUP(CD$1,main!$A$3:$H$102,5,FALSE)-VLOOKUP($A17,main!$A$3:$H$102,6,FALSE)&gt;=main!$D$103+VLOOKUP(VLOOKUP(CD$1,main!$A$3:$I$102,7,FALSE),main!$K$26:$Q$29,3,FALSE),1,0)</f>
        <v>0</v>
      </c>
      <c r="CE17">
        <f>IF(VLOOKUP(CE$1,main!$A$3:$H$102,5,FALSE)-VLOOKUP($A17,main!$A$3:$H$102,6,FALSE)&gt;=main!$D$103+VLOOKUP(VLOOKUP(CE$1,main!$A$3:$I$102,7,FALSE),main!$K$26:$Q$29,3,FALSE),1,0)</f>
        <v>0</v>
      </c>
      <c r="CF17">
        <f>IF(VLOOKUP(CF$1,main!$A$3:$H$102,5,FALSE)-VLOOKUP($A17,main!$A$3:$H$102,6,FALSE)&gt;=main!$D$103+VLOOKUP(VLOOKUP(CF$1,main!$A$3:$I$102,7,FALSE),main!$K$26:$Q$29,3,FALSE),1,0)</f>
        <v>0</v>
      </c>
      <c r="CG17">
        <f>IF(VLOOKUP(CG$1,main!$A$3:$H$102,5,FALSE)-VLOOKUP($A17,main!$A$3:$H$102,6,FALSE)&gt;=main!$D$103+VLOOKUP(VLOOKUP(CG$1,main!$A$3:$I$102,7,FALSE),main!$K$26:$Q$29,3,FALSE),1,0)</f>
        <v>0</v>
      </c>
      <c r="CH17">
        <f>IF(VLOOKUP(CH$1,main!$A$3:$H$102,5,FALSE)-VLOOKUP($A17,main!$A$3:$H$102,6,FALSE)&gt;=main!$D$103+VLOOKUP(VLOOKUP(CH$1,main!$A$3:$I$102,7,FALSE),main!$K$26:$Q$29,3,FALSE),1,0)</f>
        <v>1</v>
      </c>
      <c r="CI17">
        <f>IF(VLOOKUP(CI$1,main!$A$3:$H$102,5,FALSE)-VLOOKUP($A17,main!$A$3:$H$102,6,FALSE)&gt;=main!$D$103+VLOOKUP(VLOOKUP(CI$1,main!$A$3:$I$102,7,FALSE),main!$K$26:$Q$29,3,FALSE),1,0)</f>
        <v>1</v>
      </c>
      <c r="CJ17">
        <f>IF(VLOOKUP(CJ$1,main!$A$3:$H$102,5,FALSE)-VLOOKUP($A17,main!$A$3:$H$102,6,FALSE)&gt;=main!$D$103+VLOOKUP(VLOOKUP(CJ$1,main!$A$3:$I$102,7,FALSE),main!$K$26:$Q$29,3,FALSE),1,0)</f>
        <v>0</v>
      </c>
      <c r="CK17">
        <f>IF(VLOOKUP(CK$1,main!$A$3:$H$102,5,FALSE)-VLOOKUP($A17,main!$A$3:$H$102,6,FALSE)&gt;=main!$D$103+VLOOKUP(VLOOKUP(CK$1,main!$A$3:$I$102,7,FALSE),main!$K$26:$Q$29,3,FALSE),1,0)</f>
        <v>0</v>
      </c>
      <c r="CL17">
        <f>IF(VLOOKUP(CL$1,main!$A$3:$H$102,5,FALSE)-VLOOKUP($A17,main!$A$3:$H$102,6,FALSE)&gt;=main!$D$103+VLOOKUP(VLOOKUP(CL$1,main!$A$3:$I$102,7,FALSE),main!$K$26:$Q$29,3,FALSE),1,0)</f>
        <v>0</v>
      </c>
      <c r="CM17">
        <f>IF(VLOOKUP(CM$1,main!$A$3:$H$102,5,FALSE)-VLOOKUP($A17,main!$A$3:$H$102,6,FALSE)&gt;=main!$D$103+VLOOKUP(VLOOKUP(CM$1,main!$A$3:$I$102,7,FALSE),main!$K$26:$Q$29,3,FALSE),1,0)</f>
        <v>1</v>
      </c>
      <c r="CN17">
        <f>IF(VLOOKUP(CN$1,main!$A$3:$H$102,5,FALSE)-VLOOKUP($A17,main!$A$3:$H$102,6,FALSE)&gt;=main!$D$103+VLOOKUP(VLOOKUP(CN$1,main!$A$3:$I$102,7,FALSE),main!$K$26:$Q$29,3,FALSE),1,0)</f>
        <v>1</v>
      </c>
      <c r="CO17">
        <f>IF(VLOOKUP(CO$1,main!$A$3:$H$102,5,FALSE)-VLOOKUP($A17,main!$A$3:$H$102,6,FALSE)&gt;=main!$D$103+VLOOKUP(VLOOKUP(CO$1,main!$A$3:$I$102,7,FALSE),main!$K$26:$Q$29,3,FALSE),1,0)</f>
        <v>0</v>
      </c>
      <c r="CP17">
        <f>IF(VLOOKUP(CP$1,main!$A$3:$H$102,5,FALSE)-VLOOKUP($A17,main!$A$3:$H$102,6,FALSE)&gt;=main!$D$103+VLOOKUP(VLOOKUP(CP$1,main!$A$3:$I$102,7,FALSE),main!$K$26:$Q$29,3,FALSE),1,0)</f>
        <v>0</v>
      </c>
      <c r="CQ17">
        <f>IF(VLOOKUP(CQ$1,main!$A$3:$H$102,5,FALSE)-VLOOKUP($A17,main!$A$3:$H$102,6,FALSE)&gt;=main!$D$103+VLOOKUP(VLOOKUP(CQ$1,main!$A$3:$I$102,7,FALSE),main!$K$26:$Q$29,3,FALSE),1,0)</f>
        <v>0</v>
      </c>
      <c r="CR17">
        <f>IF(VLOOKUP(CR$1,main!$A$3:$H$102,5,FALSE)-VLOOKUP($A17,main!$A$3:$H$102,6,FALSE)&gt;=main!$D$103+VLOOKUP(VLOOKUP(CR$1,main!$A$3:$I$102,7,FALSE),main!$K$26:$Q$29,3,FALSE),1,0)</f>
        <v>0</v>
      </c>
      <c r="CS17">
        <f>IF(VLOOKUP(CS$1,main!$A$3:$H$102,5,FALSE)-VLOOKUP($A17,main!$A$3:$H$102,6,FALSE)&gt;=main!$D$103+VLOOKUP(VLOOKUP(CS$1,main!$A$3:$I$102,7,FALSE),main!$K$26:$Q$29,3,FALSE),1,0)</f>
        <v>1</v>
      </c>
      <c r="CT17">
        <f>IF(VLOOKUP(CT$1,main!$A$3:$H$102,5,FALSE)-VLOOKUP($A17,main!$A$3:$H$102,6,FALSE)&gt;=main!$D$103+VLOOKUP(VLOOKUP(CT$1,main!$A$3:$I$102,7,FALSE),main!$K$26:$Q$29,3,FALSE),1,0)</f>
        <v>0</v>
      </c>
      <c r="CU17">
        <f>IF(VLOOKUP(CU$1,main!$A$3:$H$102,5,FALSE)-VLOOKUP($A17,main!$A$3:$H$102,6,FALSE)&gt;=main!$D$103+VLOOKUP(VLOOKUP(CU$1,main!$A$3:$I$102,7,FALSE),main!$K$26:$Q$29,3,FALSE),1,0)</f>
        <v>0</v>
      </c>
      <c r="CV17">
        <f>IF(VLOOKUP(CV$1,main!$A$3:$H$102,5,FALSE)-VLOOKUP($A17,main!$A$3:$H$102,6,FALSE)&gt;=main!$D$103+VLOOKUP(VLOOKUP(CV$1,main!$A$3:$I$102,7,FALSE),main!$K$26:$Q$29,3,FALSE),1,0)</f>
        <v>0</v>
      </c>
      <c r="CW17">
        <f>IF(VLOOKUP(CW$1,main!$A$3:$H$102,5,FALSE)-VLOOKUP($A17,main!$A$3:$H$102,6,FALSE)&gt;=main!$D$103+VLOOKUP(VLOOKUP(CW$1,main!$A$3:$I$102,7,FALSE),main!$K$26:$Q$29,3,FALSE),1,0)</f>
        <v>0</v>
      </c>
      <c r="CX17">
        <f>IF(VLOOKUP(CX$1,main!$A$3:$H$102,5,FALSE)-VLOOKUP($A17,main!$A$3:$H$102,6,FALSE)&gt;=main!$D$103+VLOOKUP(VLOOKUP(CX$1,main!$A$3:$I$102,7,FALSE),main!$K$26:$Q$29,3,FALSE),1,0)</f>
        <v>1</v>
      </c>
      <c r="CZ17">
        <f>IF(VLOOKUP(CW$1,main!$A$3:$H$102,5,FALSE)-VLOOKUP($A13,main!$A$3:$H$102,6,FALSE)&gt;=main!$D$103+VLOOKUP(VLOOKUP(CW$1,main!$A$3:$I$102,7,FALSE),main!$K$26:$Q$29,3,FALSE),1,0)</f>
        <v>1</v>
      </c>
    </row>
    <row r="18" spans="1:104" x14ac:dyDescent="0.25">
      <c r="A18" s="1">
        <v>16</v>
      </c>
      <c r="B18">
        <v>0</v>
      </c>
      <c r="C18">
        <f>IF(VLOOKUP(C$1,main!$A$3:$H$102,5,FALSE)-VLOOKUP($A18,main!$A$3:$H$102,6,FALSE)&gt;=main!$D$103+VLOOKUP(VLOOKUP(C$1,main!$A$3:$I$102,7,FALSE),main!$K$26:$Q$29,3,FALSE),1,0)</f>
        <v>0</v>
      </c>
      <c r="D18">
        <f>IF(VLOOKUP(D$1,main!$A$3:$H$102,5,FALSE)-VLOOKUP($A18,main!$A$3:$H$102,6,FALSE)&gt;=main!$D$103+VLOOKUP(VLOOKUP(D$1,main!$A$3:$I$102,7,FALSE),main!$K$26:$Q$29,3,FALSE),1,0)</f>
        <v>0</v>
      </c>
      <c r="E18">
        <f>IF(VLOOKUP(E$1,main!$A$3:$H$102,5,FALSE)-VLOOKUP($A18,main!$A$3:$H$102,6,FALSE)&gt;=main!$D$103+VLOOKUP(VLOOKUP(E$1,main!$A$3:$I$102,7,FALSE),main!$K$26:$Q$29,3,FALSE),1,0)</f>
        <v>0</v>
      </c>
      <c r="F18">
        <f>IF(VLOOKUP(F$1,main!$A$3:$H$102,5,FALSE)-VLOOKUP($A18,main!$A$3:$H$102,6,FALSE)&gt;=main!$D$103+VLOOKUP(VLOOKUP(F$1,main!$A$3:$I$102,7,FALSE),main!$K$26:$Q$29,3,FALSE),1,0)</f>
        <v>0</v>
      </c>
      <c r="G18">
        <f>IF(VLOOKUP(G$1,main!$A$3:$H$102,5,FALSE)-VLOOKUP($A18,main!$A$3:$H$102,6,FALSE)&gt;=main!$D$103+VLOOKUP(VLOOKUP(G$1,main!$A$3:$I$102,7,FALSE),main!$K$26:$Q$29,3,FALSE),1,0)</f>
        <v>0</v>
      </c>
      <c r="H18">
        <f>IF(VLOOKUP(H$1,main!$A$3:$H$102,5,FALSE)-VLOOKUP($A18,main!$A$3:$H$102,6,FALSE)&gt;=main!$D$103+VLOOKUP(VLOOKUP(H$1,main!$A$3:$I$102,7,FALSE),main!$K$26:$Q$29,3,FALSE),1,0)</f>
        <v>0</v>
      </c>
      <c r="I18">
        <f>IF(VLOOKUP(I$1,main!$A$3:$H$102,5,FALSE)-VLOOKUP($A18,main!$A$3:$H$102,6,FALSE)&gt;=main!$D$103+VLOOKUP(VLOOKUP(I$1,main!$A$3:$I$102,7,FALSE),main!$K$26:$Q$29,3,FALSE),1,0)</f>
        <v>0</v>
      </c>
      <c r="J18">
        <f>IF(VLOOKUP(J$1,main!$A$3:$H$102,5,FALSE)-VLOOKUP($A18,main!$A$3:$H$102,6,FALSE)&gt;=main!$D$103+VLOOKUP(VLOOKUP(J$1,main!$A$3:$I$102,7,FALSE),main!$K$26:$Q$29,3,FALSE),1,0)</f>
        <v>1</v>
      </c>
      <c r="K18">
        <f>IF(VLOOKUP(K$1,main!$A$3:$H$102,5,FALSE)-VLOOKUP($A18,main!$A$3:$H$102,6,FALSE)&gt;=main!$D$103+VLOOKUP(VLOOKUP(K$1,main!$A$3:$I$102,7,FALSE),main!$K$26:$Q$29,3,FALSE),1,0)</f>
        <v>1</v>
      </c>
      <c r="L18">
        <f>IF(VLOOKUP(L$1,main!$A$3:$H$102,5,FALSE)-VLOOKUP($A18,main!$A$3:$H$102,6,FALSE)&gt;=main!$D$103+VLOOKUP(VLOOKUP(L$1,main!$A$3:$I$102,7,FALSE),main!$K$26:$Q$29,3,FALSE),1,0)</f>
        <v>1</v>
      </c>
      <c r="M18">
        <f>IF(VLOOKUP(M$1,main!$A$3:$H$102,5,FALSE)-VLOOKUP($A18,main!$A$3:$H$102,6,FALSE)&gt;=main!$D$103+VLOOKUP(VLOOKUP(M$1,main!$A$3:$I$102,7,FALSE),main!$K$26:$Q$29,3,FALSE),1,0)</f>
        <v>0</v>
      </c>
      <c r="N18">
        <f>IF(VLOOKUP(N$1,main!$A$3:$H$102,5,FALSE)-VLOOKUP($A18,main!$A$3:$H$102,6,FALSE)&gt;=main!$D$103+VLOOKUP(VLOOKUP(N$1,main!$A$3:$I$102,7,FALSE),main!$K$26:$Q$29,3,FALSE),1,0)</f>
        <v>0</v>
      </c>
      <c r="O18">
        <f>IF(VLOOKUP(O$1,main!$A$3:$H$102,5,FALSE)-VLOOKUP($A18,main!$A$3:$H$102,6,FALSE)&gt;=main!$D$103+VLOOKUP(VLOOKUP(O$1,main!$A$3:$I$102,7,FALSE),main!$K$26:$Q$29,3,FALSE),1,0)</f>
        <v>0</v>
      </c>
      <c r="P18">
        <f>IF(VLOOKUP(P$1,main!$A$3:$H$102,5,FALSE)-VLOOKUP($A18,main!$A$3:$H$102,6,FALSE)&gt;=main!$D$103+VLOOKUP(VLOOKUP(P$1,main!$A$3:$I$102,7,FALSE),main!$K$26:$Q$29,3,FALSE),1,0)</f>
        <v>0</v>
      </c>
      <c r="Q18">
        <f>IF(VLOOKUP(Q$1,main!$A$3:$H$102,5,FALSE)-VLOOKUP($A18,main!$A$3:$H$102,6,FALSE)&gt;=main!$D$103+VLOOKUP(VLOOKUP(Q$1,main!$A$3:$I$102,7,FALSE),main!$K$26:$Q$29,3,FALSE),1,0)</f>
        <v>0</v>
      </c>
      <c r="R18">
        <f>IF(VLOOKUP(R$1,main!$A$3:$H$102,5,FALSE)-VLOOKUP($A18,main!$A$3:$H$102,6,FALSE)&gt;=main!$D$103+VLOOKUP(VLOOKUP(R$1,main!$A$3:$I$102,7,FALSE),main!$K$26:$Q$29,3,FALSE),1,0)</f>
        <v>0</v>
      </c>
      <c r="S18">
        <f>IF(VLOOKUP(S$1,main!$A$3:$H$102,5,FALSE)-VLOOKUP($A18,main!$A$3:$H$102,6,FALSE)&gt;=main!$D$103+VLOOKUP(VLOOKUP(S$1,main!$A$3:$I$102,7,FALSE),main!$K$26:$Q$29,3,FALSE),1,0)</f>
        <v>0</v>
      </c>
      <c r="T18">
        <f>IF(VLOOKUP(T$1,main!$A$3:$H$102,5,FALSE)-VLOOKUP($A18,main!$A$3:$H$102,6,FALSE)&gt;=main!$D$103+VLOOKUP(VLOOKUP(T$1,main!$A$3:$I$102,7,FALSE),main!$K$26:$Q$29,3,FALSE),1,0)</f>
        <v>0</v>
      </c>
      <c r="U18">
        <f>IF(VLOOKUP(U$1,main!$A$3:$H$102,5,FALSE)-VLOOKUP($A18,main!$A$3:$H$102,6,FALSE)&gt;=main!$D$103+VLOOKUP(VLOOKUP(U$1,main!$A$3:$I$102,7,FALSE),main!$K$26:$Q$29,3,FALSE),1,0)</f>
        <v>1</v>
      </c>
      <c r="V18">
        <f>IF(VLOOKUP(V$1,main!$A$3:$H$102,5,FALSE)-VLOOKUP($A18,main!$A$3:$H$102,6,FALSE)&gt;=main!$D$103+VLOOKUP(VLOOKUP(V$1,main!$A$3:$I$102,7,FALSE),main!$K$26:$Q$29,3,FALSE),1,0)</f>
        <v>1</v>
      </c>
      <c r="W18">
        <f>IF(VLOOKUP(W$1,main!$A$3:$H$102,5,FALSE)-VLOOKUP($A18,main!$A$3:$H$102,6,FALSE)&gt;=main!$D$103+VLOOKUP(VLOOKUP(W$1,main!$A$3:$I$102,7,FALSE),main!$K$26:$Q$29,3,FALSE),1,0)</f>
        <v>0</v>
      </c>
      <c r="X18">
        <f>IF(VLOOKUP(X$1,main!$A$3:$H$102,5,FALSE)-VLOOKUP($A18,main!$A$3:$H$102,6,FALSE)&gt;=main!$D$103+VLOOKUP(VLOOKUP(X$1,main!$A$3:$I$102,7,FALSE),main!$K$26:$Q$29,3,FALSE),1,0)</f>
        <v>0</v>
      </c>
      <c r="Y18">
        <f>IF(VLOOKUP(Y$1,main!$A$3:$H$102,5,FALSE)-VLOOKUP($A18,main!$A$3:$H$102,6,FALSE)&gt;=main!$D$103+VLOOKUP(VLOOKUP(Y$1,main!$A$3:$I$102,7,FALSE),main!$K$26:$Q$29,3,FALSE),1,0)</f>
        <v>0</v>
      </c>
      <c r="Z18">
        <f>IF(VLOOKUP(Z$1,main!$A$3:$H$102,5,FALSE)-VLOOKUP($A18,main!$A$3:$H$102,6,FALSE)&gt;=main!$D$103+VLOOKUP(VLOOKUP(Z$1,main!$A$3:$I$102,7,FALSE),main!$K$26:$Q$29,3,FALSE),1,0)</f>
        <v>0</v>
      </c>
      <c r="AA18">
        <f>IF(VLOOKUP(AA$1,main!$A$3:$H$102,5,FALSE)-VLOOKUP($A18,main!$A$3:$H$102,6,FALSE)&gt;=main!$D$103+VLOOKUP(VLOOKUP(AA$1,main!$A$3:$I$102,7,FALSE),main!$K$26:$Q$29,3,FALSE),1,0)</f>
        <v>1</v>
      </c>
      <c r="AB18">
        <f>IF(VLOOKUP(AB$1,main!$A$3:$H$102,5,FALSE)-VLOOKUP($A18,main!$A$3:$H$102,6,FALSE)&gt;=main!$D$103+VLOOKUP(VLOOKUP(AB$1,main!$A$3:$I$102,7,FALSE),main!$K$26:$Q$29,3,FALSE),1,0)</f>
        <v>0</v>
      </c>
      <c r="AC18">
        <f>IF(VLOOKUP(AC$1,main!$A$3:$H$102,5,FALSE)-VLOOKUP($A18,main!$A$3:$H$102,6,FALSE)&gt;=main!$D$103+VLOOKUP(VLOOKUP(AC$1,main!$A$3:$I$102,7,FALSE),main!$K$26:$Q$29,3,FALSE),1,0)</f>
        <v>0</v>
      </c>
      <c r="AD18">
        <f>IF(VLOOKUP(AD$1,main!$A$3:$H$102,5,FALSE)-VLOOKUP($A18,main!$A$3:$H$102,6,FALSE)&gt;=main!$D$103+VLOOKUP(VLOOKUP(AD$1,main!$A$3:$I$102,7,FALSE),main!$K$26:$Q$29,3,FALSE),1,0)</f>
        <v>0</v>
      </c>
      <c r="AE18">
        <f>IF(VLOOKUP(AE$1,main!$A$3:$H$102,5,FALSE)-VLOOKUP($A18,main!$A$3:$H$102,6,FALSE)&gt;=main!$D$103+VLOOKUP(VLOOKUP(AE$1,main!$A$3:$I$102,7,FALSE),main!$K$26:$Q$29,3,FALSE),1,0)</f>
        <v>0</v>
      </c>
      <c r="AF18">
        <f>IF(VLOOKUP(AF$1,main!$A$3:$H$102,5,FALSE)-VLOOKUP($A18,main!$A$3:$H$102,6,FALSE)&gt;=main!$D$103+VLOOKUP(VLOOKUP(AF$1,main!$A$3:$I$102,7,FALSE),main!$K$26:$Q$29,3,FALSE),1,0)</f>
        <v>1</v>
      </c>
      <c r="AG18">
        <f>IF(VLOOKUP(AG$1,main!$A$3:$H$102,5,FALSE)-VLOOKUP($A18,main!$A$3:$H$102,6,FALSE)&gt;=main!$D$103+VLOOKUP(VLOOKUP(AG$1,main!$A$3:$I$102,7,FALSE),main!$K$26:$Q$29,3,FALSE),1,0)</f>
        <v>0</v>
      </c>
      <c r="AH18">
        <f>IF(VLOOKUP(AH$1,main!$A$3:$H$102,5,FALSE)-VLOOKUP($A18,main!$A$3:$H$102,6,FALSE)&gt;=main!$D$103+VLOOKUP(VLOOKUP(AH$1,main!$A$3:$I$102,7,FALSE),main!$K$26:$Q$29,3,FALSE),1,0)</f>
        <v>0</v>
      </c>
      <c r="AI18">
        <f>IF(VLOOKUP(AI$1,main!$A$3:$H$102,5,FALSE)-VLOOKUP($A18,main!$A$3:$H$102,6,FALSE)&gt;=main!$D$103+VLOOKUP(VLOOKUP(AI$1,main!$A$3:$I$102,7,FALSE),main!$K$26:$Q$29,3,FALSE),1,0)</f>
        <v>0</v>
      </c>
      <c r="AJ18">
        <f>IF(VLOOKUP(AJ$1,main!$A$3:$H$102,5,FALSE)-VLOOKUP($A18,main!$A$3:$H$102,6,FALSE)&gt;=main!$D$103+VLOOKUP(VLOOKUP(AJ$1,main!$A$3:$I$102,7,FALSE),main!$K$26:$Q$29,3,FALSE),1,0)</f>
        <v>0</v>
      </c>
      <c r="AK18">
        <f>IF(VLOOKUP(AK$1,main!$A$3:$H$102,5,FALSE)-VLOOKUP($A18,main!$A$3:$H$102,6,FALSE)&gt;=main!$D$103+VLOOKUP(VLOOKUP(AK$1,main!$A$3:$I$102,7,FALSE),main!$K$26:$Q$29,3,FALSE),1,0)</f>
        <v>0</v>
      </c>
      <c r="AL18">
        <f>IF(VLOOKUP(AL$1,main!$A$3:$H$102,5,FALSE)-VLOOKUP($A18,main!$A$3:$H$102,6,FALSE)&gt;=main!$D$103+VLOOKUP(VLOOKUP(AL$1,main!$A$3:$I$102,7,FALSE),main!$K$26:$Q$29,3,FALSE),1,0)</f>
        <v>0</v>
      </c>
      <c r="AM18">
        <f>IF(VLOOKUP(AM$1,main!$A$3:$H$102,5,FALSE)-VLOOKUP($A18,main!$A$3:$H$102,6,FALSE)&gt;=main!$D$103+VLOOKUP(VLOOKUP(AM$1,main!$A$3:$I$102,7,FALSE),main!$K$26:$Q$29,3,FALSE),1,0)</f>
        <v>1</v>
      </c>
      <c r="AN18">
        <f>IF(VLOOKUP(AN$1,main!$A$3:$H$102,5,FALSE)-VLOOKUP($A18,main!$A$3:$H$102,6,FALSE)&gt;=main!$D$103+VLOOKUP(VLOOKUP(AN$1,main!$A$3:$I$102,7,FALSE),main!$K$26:$Q$29,3,FALSE),1,0)</f>
        <v>1</v>
      </c>
      <c r="AO18">
        <f>IF(VLOOKUP(AO$1,main!$A$3:$H$102,5,FALSE)-VLOOKUP($A18,main!$A$3:$H$102,6,FALSE)&gt;=main!$D$103+VLOOKUP(VLOOKUP(AO$1,main!$A$3:$I$102,7,FALSE),main!$K$26:$Q$29,3,FALSE),1,0)</f>
        <v>0</v>
      </c>
      <c r="AP18">
        <f>IF(VLOOKUP(AP$1,main!$A$3:$H$102,5,FALSE)-VLOOKUP($A18,main!$A$3:$H$102,6,FALSE)&gt;=main!$D$103+VLOOKUP(VLOOKUP(AP$1,main!$A$3:$I$102,7,FALSE),main!$K$26:$Q$29,3,FALSE),1,0)</f>
        <v>1</v>
      </c>
      <c r="AQ18">
        <f>IF(VLOOKUP(AQ$1,main!$A$3:$H$102,5,FALSE)-VLOOKUP($A18,main!$A$3:$H$102,6,FALSE)&gt;=main!$D$103+VLOOKUP(VLOOKUP(AQ$1,main!$A$3:$I$102,7,FALSE),main!$K$26:$Q$29,3,FALSE),1,0)</f>
        <v>0</v>
      </c>
      <c r="AR18">
        <f>IF(VLOOKUP(AR$1,main!$A$3:$H$102,5,FALSE)-VLOOKUP($A18,main!$A$3:$H$102,6,FALSE)&gt;=main!$D$103+VLOOKUP(VLOOKUP(AR$1,main!$A$3:$I$102,7,FALSE),main!$K$26:$Q$29,3,FALSE),1,0)</f>
        <v>0</v>
      </c>
      <c r="AS18">
        <f>IF(VLOOKUP(AS$1,main!$A$3:$H$102,5,FALSE)-VLOOKUP($A18,main!$A$3:$H$102,6,FALSE)&gt;=main!$D$103+VLOOKUP(VLOOKUP(AS$1,main!$A$3:$I$102,7,FALSE),main!$K$26:$Q$29,3,FALSE),1,0)</f>
        <v>0</v>
      </c>
      <c r="AT18">
        <f>IF(VLOOKUP(AT$1,main!$A$3:$H$102,5,FALSE)-VLOOKUP($A18,main!$A$3:$H$102,6,FALSE)&gt;=main!$D$103+VLOOKUP(VLOOKUP(AT$1,main!$A$3:$I$102,7,FALSE),main!$K$26:$Q$29,3,FALSE),1,0)</f>
        <v>0</v>
      </c>
      <c r="AU18">
        <f>IF(VLOOKUP(AU$1,main!$A$3:$H$102,5,FALSE)-VLOOKUP($A18,main!$A$3:$H$102,6,FALSE)&gt;=main!$D$103+VLOOKUP(VLOOKUP(AU$1,main!$A$3:$I$102,7,FALSE),main!$K$26:$Q$29,3,FALSE),1,0)</f>
        <v>0</v>
      </c>
      <c r="AV18">
        <f>IF(VLOOKUP(AV$1,main!$A$3:$H$102,5,FALSE)-VLOOKUP($A18,main!$A$3:$H$102,6,FALSE)&gt;=main!$D$103+VLOOKUP(VLOOKUP(AV$1,main!$A$3:$I$102,7,FALSE),main!$K$26:$Q$29,3,FALSE),1,0)</f>
        <v>0</v>
      </c>
      <c r="AW18">
        <f>IF(VLOOKUP(AW$1,main!$A$3:$H$102,5,FALSE)-VLOOKUP($A18,main!$A$3:$H$102,6,FALSE)&gt;=main!$D$103+VLOOKUP(VLOOKUP(AW$1,main!$A$3:$I$102,7,FALSE),main!$K$26:$Q$29,3,FALSE),1,0)</f>
        <v>0</v>
      </c>
      <c r="AX18">
        <f>IF(VLOOKUP(AX$1,main!$A$3:$H$102,5,FALSE)-VLOOKUP($A18,main!$A$3:$H$102,6,FALSE)&gt;=main!$D$103+VLOOKUP(VLOOKUP(AX$1,main!$A$3:$I$102,7,FALSE),main!$K$26:$Q$29,3,FALSE),1,0)</f>
        <v>0</v>
      </c>
      <c r="AY18">
        <f>IF(VLOOKUP(AY$1,main!$A$3:$H$102,5,FALSE)-VLOOKUP($A18,main!$A$3:$H$102,6,FALSE)&gt;=main!$D$103+VLOOKUP(VLOOKUP(AY$1,main!$A$3:$I$102,7,FALSE),main!$K$26:$Q$29,3,FALSE),1,0)</f>
        <v>0</v>
      </c>
      <c r="AZ18">
        <f>IF(VLOOKUP(AZ$1,main!$A$3:$H$102,5,FALSE)-VLOOKUP($A18,main!$A$3:$H$102,6,FALSE)&gt;=main!$D$103+VLOOKUP(VLOOKUP(AZ$1,main!$A$3:$I$102,7,FALSE),main!$K$26:$Q$29,3,FALSE),1,0)</f>
        <v>0</v>
      </c>
      <c r="BA18">
        <f>IF(VLOOKUP(BA$1,main!$A$3:$H$102,5,FALSE)-VLOOKUP($A18,main!$A$3:$H$102,6,FALSE)&gt;=main!$D$103+VLOOKUP(VLOOKUP(BA$1,main!$A$3:$I$102,7,FALSE),main!$K$26:$Q$29,3,FALSE),1,0)</f>
        <v>0</v>
      </c>
      <c r="BB18">
        <f>IF(VLOOKUP(BB$1,main!$A$3:$H$102,5,FALSE)-VLOOKUP($A18,main!$A$3:$H$102,6,FALSE)&gt;=main!$D$103+VLOOKUP(VLOOKUP(BB$1,main!$A$3:$I$102,7,FALSE),main!$K$26:$Q$29,3,FALSE),1,0)</f>
        <v>0</v>
      </c>
      <c r="BC18">
        <f>IF(VLOOKUP(BC$1,main!$A$3:$H$102,5,FALSE)-VLOOKUP($A18,main!$A$3:$H$102,6,FALSE)&gt;=main!$D$103+VLOOKUP(VLOOKUP(BC$1,main!$A$3:$I$102,7,FALSE),main!$K$26:$Q$29,3,FALSE),1,0)</f>
        <v>0</v>
      </c>
      <c r="BD18">
        <f>IF(VLOOKUP(BD$1,main!$A$3:$H$102,5,FALSE)-VLOOKUP($A18,main!$A$3:$H$102,6,FALSE)&gt;=main!$D$103+VLOOKUP(VLOOKUP(BD$1,main!$A$3:$I$102,7,FALSE),main!$K$26:$Q$29,3,FALSE),1,0)</f>
        <v>0</v>
      </c>
      <c r="BE18">
        <f>IF(VLOOKUP(BE$1,main!$A$3:$H$102,5,FALSE)-VLOOKUP($A18,main!$A$3:$H$102,6,FALSE)&gt;=main!$D$103+VLOOKUP(VLOOKUP(BE$1,main!$A$3:$I$102,7,FALSE),main!$K$26:$Q$29,3,FALSE),1,0)</f>
        <v>1</v>
      </c>
      <c r="BF18">
        <f>IF(VLOOKUP(BF$1,main!$A$3:$H$102,5,FALSE)-VLOOKUP($A18,main!$A$3:$H$102,6,FALSE)&gt;=main!$D$103+VLOOKUP(VLOOKUP(BF$1,main!$A$3:$I$102,7,FALSE),main!$K$26:$Q$29,3,FALSE),1,0)</f>
        <v>0</v>
      </c>
      <c r="BG18">
        <f>IF(VLOOKUP(BG$1,main!$A$3:$H$102,5,FALSE)-VLOOKUP($A18,main!$A$3:$H$102,6,FALSE)&gt;=main!$D$103+VLOOKUP(VLOOKUP(BG$1,main!$A$3:$I$102,7,FALSE),main!$K$26:$Q$29,3,FALSE),1,0)</f>
        <v>0</v>
      </c>
      <c r="BH18">
        <f>IF(VLOOKUP(BH$1,main!$A$3:$H$102,5,FALSE)-VLOOKUP($A18,main!$A$3:$H$102,6,FALSE)&gt;=main!$D$103+VLOOKUP(VLOOKUP(BH$1,main!$A$3:$I$102,7,FALSE),main!$K$26:$Q$29,3,FALSE),1,0)</f>
        <v>0</v>
      </c>
      <c r="BI18">
        <f>IF(VLOOKUP(BI$1,main!$A$3:$H$102,5,FALSE)-VLOOKUP($A18,main!$A$3:$H$102,6,FALSE)&gt;=main!$D$103+VLOOKUP(VLOOKUP(BI$1,main!$A$3:$I$102,7,FALSE),main!$K$26:$Q$29,3,FALSE),1,0)</f>
        <v>1</v>
      </c>
      <c r="BJ18">
        <f>IF(VLOOKUP(BJ$1,main!$A$3:$H$102,5,FALSE)-VLOOKUP($A18,main!$A$3:$H$102,6,FALSE)&gt;=main!$D$103+VLOOKUP(VLOOKUP(BJ$1,main!$A$3:$I$102,7,FALSE),main!$K$26:$Q$29,3,FALSE),1,0)</f>
        <v>0</v>
      </c>
      <c r="BK18">
        <f>IF(VLOOKUP(BK$1,main!$A$3:$H$102,5,FALSE)-VLOOKUP($A18,main!$A$3:$H$102,6,FALSE)&gt;=main!$D$103+VLOOKUP(VLOOKUP(BK$1,main!$A$3:$I$102,7,FALSE),main!$K$26:$Q$29,3,FALSE),1,0)</f>
        <v>0</v>
      </c>
      <c r="BL18">
        <f>IF(VLOOKUP(BL$1,main!$A$3:$H$102,5,FALSE)-VLOOKUP($A18,main!$A$3:$H$102,6,FALSE)&gt;=main!$D$103+VLOOKUP(VLOOKUP(BL$1,main!$A$3:$I$102,7,FALSE),main!$K$26:$Q$29,3,FALSE),1,0)</f>
        <v>0</v>
      </c>
      <c r="BM18">
        <f>IF(VLOOKUP(BM$1,main!$A$3:$H$102,5,FALSE)-VLOOKUP($A18,main!$A$3:$H$102,6,FALSE)&gt;=main!$D$103+VLOOKUP(VLOOKUP(BM$1,main!$A$3:$I$102,7,FALSE),main!$K$26:$Q$29,3,FALSE),1,0)</f>
        <v>0</v>
      </c>
      <c r="BN18">
        <f>IF(VLOOKUP(BN$1,main!$A$3:$H$102,5,FALSE)-VLOOKUP($A18,main!$A$3:$H$102,6,FALSE)&gt;=main!$D$103+VLOOKUP(VLOOKUP(BN$1,main!$A$3:$I$102,7,FALSE),main!$K$26:$Q$29,3,FALSE),1,0)</f>
        <v>0</v>
      </c>
      <c r="BO18">
        <f>IF(VLOOKUP(BO$1,main!$A$3:$H$102,5,FALSE)-VLOOKUP($A18,main!$A$3:$H$102,6,FALSE)&gt;=main!$D$103+VLOOKUP(VLOOKUP(BO$1,main!$A$3:$I$102,7,FALSE),main!$K$26:$Q$29,3,FALSE),1,0)</f>
        <v>0</v>
      </c>
      <c r="BP18">
        <f>IF(VLOOKUP(BP$1,main!$A$3:$H$102,5,FALSE)-VLOOKUP($A18,main!$A$3:$H$102,6,FALSE)&gt;=main!$D$103+VLOOKUP(VLOOKUP(BP$1,main!$A$3:$I$102,7,FALSE),main!$K$26:$Q$29,3,FALSE),1,0)</f>
        <v>0</v>
      </c>
      <c r="BQ18">
        <f>IF(VLOOKUP(BQ$1,main!$A$3:$H$102,5,FALSE)-VLOOKUP($A18,main!$A$3:$H$102,6,FALSE)&gt;=main!$D$103+VLOOKUP(VLOOKUP(BQ$1,main!$A$3:$I$102,7,FALSE),main!$K$26:$Q$29,3,FALSE),1,0)</f>
        <v>0</v>
      </c>
      <c r="BR18">
        <f>IF(VLOOKUP(BR$1,main!$A$3:$H$102,5,FALSE)-VLOOKUP($A18,main!$A$3:$H$102,6,FALSE)&gt;=main!$D$103+VLOOKUP(VLOOKUP(BR$1,main!$A$3:$I$102,7,FALSE),main!$K$26:$Q$29,3,FALSE),1,0)</f>
        <v>0</v>
      </c>
      <c r="BS18">
        <f>IF(VLOOKUP(BS$1,main!$A$3:$H$102,5,FALSE)-VLOOKUP($A18,main!$A$3:$H$102,6,FALSE)&gt;=main!$D$103+VLOOKUP(VLOOKUP(BS$1,main!$A$3:$I$102,7,FALSE),main!$K$26:$Q$29,3,FALSE),1,0)</f>
        <v>0</v>
      </c>
      <c r="BT18">
        <f>IF(VLOOKUP(BT$1,main!$A$3:$H$102,5,FALSE)-VLOOKUP($A18,main!$A$3:$H$102,6,FALSE)&gt;=main!$D$103+VLOOKUP(VLOOKUP(BT$1,main!$A$3:$I$102,7,FALSE),main!$K$26:$Q$29,3,FALSE),1,0)</f>
        <v>0</v>
      </c>
      <c r="BU18">
        <f>IF(VLOOKUP(BU$1,main!$A$3:$H$102,5,FALSE)-VLOOKUP($A18,main!$A$3:$H$102,6,FALSE)&gt;=main!$D$103+VLOOKUP(VLOOKUP(BU$1,main!$A$3:$I$102,7,FALSE),main!$K$26:$Q$29,3,FALSE),1,0)</f>
        <v>0</v>
      </c>
      <c r="BV18">
        <f>IF(VLOOKUP(BV$1,main!$A$3:$H$102,5,FALSE)-VLOOKUP($A18,main!$A$3:$H$102,6,FALSE)&gt;=main!$D$103+VLOOKUP(VLOOKUP(BV$1,main!$A$3:$I$102,7,FALSE),main!$K$26:$Q$29,3,FALSE),1,0)</f>
        <v>0</v>
      </c>
      <c r="BW18">
        <f>IF(VLOOKUP(BW$1,main!$A$3:$H$102,5,FALSE)-VLOOKUP($A18,main!$A$3:$H$102,6,FALSE)&gt;=main!$D$103+VLOOKUP(VLOOKUP(BW$1,main!$A$3:$I$102,7,FALSE),main!$K$26:$Q$29,3,FALSE),1,0)</f>
        <v>0</v>
      </c>
      <c r="BX18">
        <f>IF(VLOOKUP(BX$1,main!$A$3:$H$102,5,FALSE)-VLOOKUP($A18,main!$A$3:$H$102,6,FALSE)&gt;=main!$D$103+VLOOKUP(VLOOKUP(BX$1,main!$A$3:$I$102,7,FALSE),main!$K$26:$Q$29,3,FALSE),1,0)</f>
        <v>0</v>
      </c>
      <c r="BY18">
        <f>IF(VLOOKUP(BY$1,main!$A$3:$H$102,5,FALSE)-VLOOKUP($A18,main!$A$3:$H$102,6,FALSE)&gt;=main!$D$103+VLOOKUP(VLOOKUP(BY$1,main!$A$3:$I$102,7,FALSE),main!$K$26:$Q$29,3,FALSE),1,0)</f>
        <v>0</v>
      </c>
      <c r="BZ18">
        <f>IF(VLOOKUP(BZ$1,main!$A$3:$H$102,5,FALSE)-VLOOKUP($A18,main!$A$3:$H$102,6,FALSE)&gt;=main!$D$103+VLOOKUP(VLOOKUP(BZ$1,main!$A$3:$I$102,7,FALSE),main!$K$26:$Q$29,3,FALSE),1,0)</f>
        <v>0</v>
      </c>
      <c r="CA18">
        <f>IF(VLOOKUP(CA$1,main!$A$3:$H$102,5,FALSE)-VLOOKUP($A18,main!$A$3:$H$102,6,FALSE)&gt;=main!$D$103+VLOOKUP(VLOOKUP(CA$1,main!$A$3:$I$102,7,FALSE),main!$K$26:$Q$29,3,FALSE),1,0)</f>
        <v>0</v>
      </c>
      <c r="CB18">
        <f>IF(VLOOKUP(CB$1,main!$A$3:$H$102,5,FALSE)-VLOOKUP($A18,main!$A$3:$H$102,6,FALSE)&gt;=main!$D$103+VLOOKUP(VLOOKUP(CB$1,main!$A$3:$I$102,7,FALSE),main!$K$26:$Q$29,3,FALSE),1,0)</f>
        <v>0</v>
      </c>
      <c r="CC18">
        <f>IF(VLOOKUP(CC$1,main!$A$3:$H$102,5,FALSE)-VLOOKUP($A18,main!$A$3:$H$102,6,FALSE)&gt;=main!$D$103+VLOOKUP(VLOOKUP(CC$1,main!$A$3:$I$102,7,FALSE),main!$K$26:$Q$29,3,FALSE),1,0)</f>
        <v>1</v>
      </c>
      <c r="CD18">
        <f>IF(VLOOKUP(CD$1,main!$A$3:$H$102,5,FALSE)-VLOOKUP($A18,main!$A$3:$H$102,6,FALSE)&gt;=main!$D$103+VLOOKUP(VLOOKUP(CD$1,main!$A$3:$I$102,7,FALSE),main!$K$26:$Q$29,3,FALSE),1,0)</f>
        <v>0</v>
      </c>
      <c r="CE18">
        <f>IF(VLOOKUP(CE$1,main!$A$3:$H$102,5,FALSE)-VLOOKUP($A18,main!$A$3:$H$102,6,FALSE)&gt;=main!$D$103+VLOOKUP(VLOOKUP(CE$1,main!$A$3:$I$102,7,FALSE),main!$K$26:$Q$29,3,FALSE),1,0)</f>
        <v>0</v>
      </c>
      <c r="CF18">
        <f>IF(VLOOKUP(CF$1,main!$A$3:$H$102,5,FALSE)-VLOOKUP($A18,main!$A$3:$H$102,6,FALSE)&gt;=main!$D$103+VLOOKUP(VLOOKUP(CF$1,main!$A$3:$I$102,7,FALSE),main!$K$26:$Q$29,3,FALSE),1,0)</f>
        <v>0</v>
      </c>
      <c r="CG18">
        <f>IF(VLOOKUP(CG$1,main!$A$3:$H$102,5,FALSE)-VLOOKUP($A18,main!$A$3:$H$102,6,FALSE)&gt;=main!$D$103+VLOOKUP(VLOOKUP(CG$1,main!$A$3:$I$102,7,FALSE),main!$K$26:$Q$29,3,FALSE),1,0)</f>
        <v>0</v>
      </c>
      <c r="CH18">
        <f>IF(VLOOKUP(CH$1,main!$A$3:$H$102,5,FALSE)-VLOOKUP($A18,main!$A$3:$H$102,6,FALSE)&gt;=main!$D$103+VLOOKUP(VLOOKUP(CH$1,main!$A$3:$I$102,7,FALSE),main!$K$26:$Q$29,3,FALSE),1,0)</f>
        <v>0</v>
      </c>
      <c r="CI18">
        <f>IF(VLOOKUP(CI$1,main!$A$3:$H$102,5,FALSE)-VLOOKUP($A18,main!$A$3:$H$102,6,FALSE)&gt;=main!$D$103+VLOOKUP(VLOOKUP(CI$1,main!$A$3:$I$102,7,FALSE),main!$K$26:$Q$29,3,FALSE),1,0)</f>
        <v>1</v>
      </c>
      <c r="CJ18">
        <f>IF(VLOOKUP(CJ$1,main!$A$3:$H$102,5,FALSE)-VLOOKUP($A18,main!$A$3:$H$102,6,FALSE)&gt;=main!$D$103+VLOOKUP(VLOOKUP(CJ$1,main!$A$3:$I$102,7,FALSE),main!$K$26:$Q$29,3,FALSE),1,0)</f>
        <v>0</v>
      </c>
      <c r="CK18">
        <f>IF(VLOOKUP(CK$1,main!$A$3:$H$102,5,FALSE)-VLOOKUP($A18,main!$A$3:$H$102,6,FALSE)&gt;=main!$D$103+VLOOKUP(VLOOKUP(CK$1,main!$A$3:$I$102,7,FALSE),main!$K$26:$Q$29,3,FALSE),1,0)</f>
        <v>0</v>
      </c>
      <c r="CL18">
        <f>IF(VLOOKUP(CL$1,main!$A$3:$H$102,5,FALSE)-VLOOKUP($A18,main!$A$3:$H$102,6,FALSE)&gt;=main!$D$103+VLOOKUP(VLOOKUP(CL$1,main!$A$3:$I$102,7,FALSE),main!$K$26:$Q$29,3,FALSE),1,0)</f>
        <v>0</v>
      </c>
      <c r="CM18">
        <f>IF(VLOOKUP(CM$1,main!$A$3:$H$102,5,FALSE)-VLOOKUP($A18,main!$A$3:$H$102,6,FALSE)&gt;=main!$D$103+VLOOKUP(VLOOKUP(CM$1,main!$A$3:$I$102,7,FALSE),main!$K$26:$Q$29,3,FALSE),1,0)</f>
        <v>0</v>
      </c>
      <c r="CN18">
        <f>IF(VLOOKUP(CN$1,main!$A$3:$H$102,5,FALSE)-VLOOKUP($A18,main!$A$3:$H$102,6,FALSE)&gt;=main!$D$103+VLOOKUP(VLOOKUP(CN$1,main!$A$3:$I$102,7,FALSE),main!$K$26:$Q$29,3,FALSE),1,0)</f>
        <v>1</v>
      </c>
      <c r="CO18">
        <f>IF(VLOOKUP(CO$1,main!$A$3:$H$102,5,FALSE)-VLOOKUP($A18,main!$A$3:$H$102,6,FALSE)&gt;=main!$D$103+VLOOKUP(VLOOKUP(CO$1,main!$A$3:$I$102,7,FALSE),main!$K$26:$Q$29,3,FALSE),1,0)</f>
        <v>0</v>
      </c>
      <c r="CP18">
        <f>IF(VLOOKUP(CP$1,main!$A$3:$H$102,5,FALSE)-VLOOKUP($A18,main!$A$3:$H$102,6,FALSE)&gt;=main!$D$103+VLOOKUP(VLOOKUP(CP$1,main!$A$3:$I$102,7,FALSE),main!$K$26:$Q$29,3,FALSE),1,0)</f>
        <v>0</v>
      </c>
      <c r="CQ18">
        <f>IF(VLOOKUP(CQ$1,main!$A$3:$H$102,5,FALSE)-VLOOKUP($A18,main!$A$3:$H$102,6,FALSE)&gt;=main!$D$103+VLOOKUP(VLOOKUP(CQ$1,main!$A$3:$I$102,7,FALSE),main!$K$26:$Q$29,3,FALSE),1,0)</f>
        <v>0</v>
      </c>
      <c r="CR18">
        <f>IF(VLOOKUP(CR$1,main!$A$3:$H$102,5,FALSE)-VLOOKUP($A18,main!$A$3:$H$102,6,FALSE)&gt;=main!$D$103+VLOOKUP(VLOOKUP(CR$1,main!$A$3:$I$102,7,FALSE),main!$K$26:$Q$29,3,FALSE),1,0)</f>
        <v>0</v>
      </c>
      <c r="CS18">
        <f>IF(VLOOKUP(CS$1,main!$A$3:$H$102,5,FALSE)-VLOOKUP($A18,main!$A$3:$H$102,6,FALSE)&gt;=main!$D$103+VLOOKUP(VLOOKUP(CS$1,main!$A$3:$I$102,7,FALSE),main!$K$26:$Q$29,3,FALSE),1,0)</f>
        <v>0</v>
      </c>
      <c r="CT18">
        <f>IF(VLOOKUP(CT$1,main!$A$3:$H$102,5,FALSE)-VLOOKUP($A18,main!$A$3:$H$102,6,FALSE)&gt;=main!$D$103+VLOOKUP(VLOOKUP(CT$1,main!$A$3:$I$102,7,FALSE),main!$K$26:$Q$29,3,FALSE),1,0)</f>
        <v>0</v>
      </c>
      <c r="CU18">
        <f>IF(VLOOKUP(CU$1,main!$A$3:$H$102,5,FALSE)-VLOOKUP($A18,main!$A$3:$H$102,6,FALSE)&gt;=main!$D$103+VLOOKUP(VLOOKUP(CU$1,main!$A$3:$I$102,7,FALSE),main!$K$26:$Q$29,3,FALSE),1,0)</f>
        <v>0</v>
      </c>
      <c r="CV18">
        <f>IF(VLOOKUP(CV$1,main!$A$3:$H$102,5,FALSE)-VLOOKUP($A18,main!$A$3:$H$102,6,FALSE)&gt;=main!$D$103+VLOOKUP(VLOOKUP(CV$1,main!$A$3:$I$102,7,FALSE),main!$K$26:$Q$29,3,FALSE),1,0)</f>
        <v>0</v>
      </c>
      <c r="CW18">
        <f>IF(VLOOKUP(CW$1,main!$A$3:$H$102,5,FALSE)-VLOOKUP($A18,main!$A$3:$H$102,6,FALSE)&gt;=main!$D$103+VLOOKUP(VLOOKUP(CW$1,main!$A$3:$I$102,7,FALSE),main!$K$26:$Q$29,3,FALSE),1,0)</f>
        <v>0</v>
      </c>
      <c r="CX18">
        <f>IF(VLOOKUP(CX$1,main!$A$3:$H$102,5,FALSE)-VLOOKUP($A18,main!$A$3:$H$102,6,FALSE)&gt;=main!$D$103+VLOOKUP(VLOOKUP(CX$1,main!$A$3:$I$102,7,FALSE),main!$K$26:$Q$29,3,FALSE),1,0)</f>
        <v>0</v>
      </c>
      <c r="CZ18">
        <f>VLOOKUP(CW$1,main!$A$3:$H$102,5,FALSE)</f>
        <v>965</v>
      </c>
    </row>
    <row r="19" spans="1:104" x14ac:dyDescent="0.25">
      <c r="A19" s="1">
        <v>17</v>
      </c>
      <c r="B19">
        <v>0</v>
      </c>
      <c r="C19">
        <f>IF(VLOOKUP(C$1,main!$A$3:$H$102,5,FALSE)-VLOOKUP($A19,main!$A$3:$H$102,6,FALSE)&gt;=main!$D$103+VLOOKUP(VLOOKUP(C$1,main!$A$3:$I$102,7,FALSE),main!$K$26:$Q$29,3,FALSE),1,0)</f>
        <v>0</v>
      </c>
      <c r="D19">
        <f>IF(VLOOKUP(D$1,main!$A$3:$H$102,5,FALSE)-VLOOKUP($A19,main!$A$3:$H$102,6,FALSE)&gt;=main!$D$103+VLOOKUP(VLOOKUP(D$1,main!$A$3:$I$102,7,FALSE),main!$K$26:$Q$29,3,FALSE),1,0)</f>
        <v>0</v>
      </c>
      <c r="E19">
        <f>IF(VLOOKUP(E$1,main!$A$3:$H$102,5,FALSE)-VLOOKUP($A19,main!$A$3:$H$102,6,FALSE)&gt;=main!$D$103+VLOOKUP(VLOOKUP(E$1,main!$A$3:$I$102,7,FALSE),main!$K$26:$Q$29,3,FALSE),1,0)</f>
        <v>0</v>
      </c>
      <c r="F19">
        <f>IF(VLOOKUP(F$1,main!$A$3:$H$102,5,FALSE)-VLOOKUP($A19,main!$A$3:$H$102,6,FALSE)&gt;=main!$D$103+VLOOKUP(VLOOKUP(F$1,main!$A$3:$I$102,7,FALSE),main!$K$26:$Q$29,3,FALSE),1,0)</f>
        <v>0</v>
      </c>
      <c r="G19">
        <f>IF(VLOOKUP(G$1,main!$A$3:$H$102,5,FALSE)-VLOOKUP($A19,main!$A$3:$H$102,6,FALSE)&gt;=main!$D$103+VLOOKUP(VLOOKUP(G$1,main!$A$3:$I$102,7,FALSE),main!$K$26:$Q$29,3,FALSE),1,0)</f>
        <v>0</v>
      </c>
      <c r="H19">
        <f>IF(VLOOKUP(H$1,main!$A$3:$H$102,5,FALSE)-VLOOKUP($A19,main!$A$3:$H$102,6,FALSE)&gt;=main!$D$103+VLOOKUP(VLOOKUP(H$1,main!$A$3:$I$102,7,FALSE),main!$K$26:$Q$29,3,FALSE),1,0)</f>
        <v>0</v>
      </c>
      <c r="I19">
        <f>IF(VLOOKUP(I$1,main!$A$3:$H$102,5,FALSE)-VLOOKUP($A19,main!$A$3:$H$102,6,FALSE)&gt;=main!$D$103+VLOOKUP(VLOOKUP(I$1,main!$A$3:$I$102,7,FALSE),main!$K$26:$Q$29,3,FALSE),1,0)</f>
        <v>0</v>
      </c>
      <c r="J19">
        <f>IF(VLOOKUP(J$1,main!$A$3:$H$102,5,FALSE)-VLOOKUP($A19,main!$A$3:$H$102,6,FALSE)&gt;=main!$D$103+VLOOKUP(VLOOKUP(J$1,main!$A$3:$I$102,7,FALSE),main!$K$26:$Q$29,3,FALSE),1,0)</f>
        <v>0</v>
      </c>
      <c r="K19">
        <f>IF(VLOOKUP(K$1,main!$A$3:$H$102,5,FALSE)-VLOOKUP($A19,main!$A$3:$H$102,6,FALSE)&gt;=main!$D$103+VLOOKUP(VLOOKUP(K$1,main!$A$3:$I$102,7,FALSE),main!$K$26:$Q$29,3,FALSE),1,0)</f>
        <v>0</v>
      </c>
      <c r="L19">
        <f>IF(VLOOKUP(L$1,main!$A$3:$H$102,5,FALSE)-VLOOKUP($A19,main!$A$3:$H$102,6,FALSE)&gt;=main!$D$103+VLOOKUP(VLOOKUP(L$1,main!$A$3:$I$102,7,FALSE),main!$K$26:$Q$29,3,FALSE),1,0)</f>
        <v>1</v>
      </c>
      <c r="M19">
        <f>IF(VLOOKUP(M$1,main!$A$3:$H$102,5,FALSE)-VLOOKUP($A19,main!$A$3:$H$102,6,FALSE)&gt;=main!$D$103+VLOOKUP(VLOOKUP(M$1,main!$A$3:$I$102,7,FALSE),main!$K$26:$Q$29,3,FALSE),1,0)</f>
        <v>0</v>
      </c>
      <c r="N19">
        <f>IF(VLOOKUP(N$1,main!$A$3:$H$102,5,FALSE)-VLOOKUP($A19,main!$A$3:$H$102,6,FALSE)&gt;=main!$D$103+VLOOKUP(VLOOKUP(N$1,main!$A$3:$I$102,7,FALSE),main!$K$26:$Q$29,3,FALSE),1,0)</f>
        <v>0</v>
      </c>
      <c r="O19">
        <f>IF(VLOOKUP(O$1,main!$A$3:$H$102,5,FALSE)-VLOOKUP($A19,main!$A$3:$H$102,6,FALSE)&gt;=main!$D$103+VLOOKUP(VLOOKUP(O$1,main!$A$3:$I$102,7,FALSE),main!$K$26:$Q$29,3,FALSE),1,0)</f>
        <v>0</v>
      </c>
      <c r="P19">
        <f>IF(VLOOKUP(P$1,main!$A$3:$H$102,5,FALSE)-VLOOKUP($A19,main!$A$3:$H$102,6,FALSE)&gt;=main!$D$103+VLOOKUP(VLOOKUP(P$1,main!$A$3:$I$102,7,FALSE),main!$K$26:$Q$29,3,FALSE),1,0)</f>
        <v>0</v>
      </c>
      <c r="Q19">
        <f>IF(VLOOKUP(Q$1,main!$A$3:$H$102,5,FALSE)-VLOOKUP($A19,main!$A$3:$H$102,6,FALSE)&gt;=main!$D$103+VLOOKUP(VLOOKUP(Q$1,main!$A$3:$I$102,7,FALSE),main!$K$26:$Q$29,3,FALSE),1,0)</f>
        <v>0</v>
      </c>
      <c r="R19">
        <f>IF(VLOOKUP(R$1,main!$A$3:$H$102,5,FALSE)-VLOOKUP($A19,main!$A$3:$H$102,6,FALSE)&gt;=main!$D$103+VLOOKUP(VLOOKUP(R$1,main!$A$3:$I$102,7,FALSE),main!$K$26:$Q$29,3,FALSE),1,0)</f>
        <v>0</v>
      </c>
      <c r="S19">
        <f>IF(VLOOKUP(S$1,main!$A$3:$H$102,5,FALSE)-VLOOKUP($A19,main!$A$3:$H$102,6,FALSE)&gt;=main!$D$103+VLOOKUP(VLOOKUP(S$1,main!$A$3:$I$102,7,FALSE),main!$K$26:$Q$29,3,FALSE),1,0)</f>
        <v>0</v>
      </c>
      <c r="T19">
        <f>IF(VLOOKUP(T$1,main!$A$3:$H$102,5,FALSE)-VLOOKUP($A19,main!$A$3:$H$102,6,FALSE)&gt;=main!$D$103+VLOOKUP(VLOOKUP(T$1,main!$A$3:$I$102,7,FALSE),main!$K$26:$Q$29,3,FALSE),1,0)</f>
        <v>0</v>
      </c>
      <c r="U19">
        <f>IF(VLOOKUP(U$1,main!$A$3:$H$102,5,FALSE)-VLOOKUP($A19,main!$A$3:$H$102,6,FALSE)&gt;=main!$D$103+VLOOKUP(VLOOKUP(U$1,main!$A$3:$I$102,7,FALSE),main!$K$26:$Q$29,3,FALSE),1,0)</f>
        <v>1</v>
      </c>
      <c r="V19">
        <f>IF(VLOOKUP(V$1,main!$A$3:$H$102,5,FALSE)-VLOOKUP($A19,main!$A$3:$H$102,6,FALSE)&gt;=main!$D$103+VLOOKUP(VLOOKUP(V$1,main!$A$3:$I$102,7,FALSE),main!$K$26:$Q$29,3,FALSE),1,0)</f>
        <v>1</v>
      </c>
      <c r="W19">
        <f>IF(VLOOKUP(W$1,main!$A$3:$H$102,5,FALSE)-VLOOKUP($A19,main!$A$3:$H$102,6,FALSE)&gt;=main!$D$103+VLOOKUP(VLOOKUP(W$1,main!$A$3:$I$102,7,FALSE),main!$K$26:$Q$29,3,FALSE),1,0)</f>
        <v>0</v>
      </c>
      <c r="X19">
        <f>IF(VLOOKUP(X$1,main!$A$3:$H$102,5,FALSE)-VLOOKUP($A19,main!$A$3:$H$102,6,FALSE)&gt;=main!$D$103+VLOOKUP(VLOOKUP(X$1,main!$A$3:$I$102,7,FALSE),main!$K$26:$Q$29,3,FALSE),1,0)</f>
        <v>0</v>
      </c>
      <c r="Y19">
        <f>IF(VLOOKUP(Y$1,main!$A$3:$H$102,5,FALSE)-VLOOKUP($A19,main!$A$3:$H$102,6,FALSE)&gt;=main!$D$103+VLOOKUP(VLOOKUP(Y$1,main!$A$3:$I$102,7,FALSE),main!$K$26:$Q$29,3,FALSE),1,0)</f>
        <v>0</v>
      </c>
      <c r="Z19">
        <f>IF(VLOOKUP(Z$1,main!$A$3:$H$102,5,FALSE)-VLOOKUP($A19,main!$A$3:$H$102,6,FALSE)&gt;=main!$D$103+VLOOKUP(VLOOKUP(Z$1,main!$A$3:$I$102,7,FALSE),main!$K$26:$Q$29,3,FALSE),1,0)</f>
        <v>0</v>
      </c>
      <c r="AA19">
        <f>IF(VLOOKUP(AA$1,main!$A$3:$H$102,5,FALSE)-VLOOKUP($A19,main!$A$3:$H$102,6,FALSE)&gt;=main!$D$103+VLOOKUP(VLOOKUP(AA$1,main!$A$3:$I$102,7,FALSE),main!$K$26:$Q$29,3,FALSE),1,0)</f>
        <v>0</v>
      </c>
      <c r="AB19">
        <f>IF(VLOOKUP(AB$1,main!$A$3:$H$102,5,FALSE)-VLOOKUP($A19,main!$A$3:$H$102,6,FALSE)&gt;=main!$D$103+VLOOKUP(VLOOKUP(AB$1,main!$A$3:$I$102,7,FALSE),main!$K$26:$Q$29,3,FALSE),1,0)</f>
        <v>0</v>
      </c>
      <c r="AC19">
        <f>IF(VLOOKUP(AC$1,main!$A$3:$H$102,5,FALSE)-VLOOKUP($A19,main!$A$3:$H$102,6,FALSE)&gt;=main!$D$103+VLOOKUP(VLOOKUP(AC$1,main!$A$3:$I$102,7,FALSE),main!$K$26:$Q$29,3,FALSE),1,0)</f>
        <v>0</v>
      </c>
      <c r="AD19">
        <f>IF(VLOOKUP(AD$1,main!$A$3:$H$102,5,FALSE)-VLOOKUP($A19,main!$A$3:$H$102,6,FALSE)&gt;=main!$D$103+VLOOKUP(VLOOKUP(AD$1,main!$A$3:$I$102,7,FALSE),main!$K$26:$Q$29,3,FALSE),1,0)</f>
        <v>0</v>
      </c>
      <c r="AE19">
        <f>IF(VLOOKUP(AE$1,main!$A$3:$H$102,5,FALSE)-VLOOKUP($A19,main!$A$3:$H$102,6,FALSE)&gt;=main!$D$103+VLOOKUP(VLOOKUP(AE$1,main!$A$3:$I$102,7,FALSE),main!$K$26:$Q$29,3,FALSE),1,0)</f>
        <v>0</v>
      </c>
      <c r="AF19">
        <f>IF(VLOOKUP(AF$1,main!$A$3:$H$102,5,FALSE)-VLOOKUP($A19,main!$A$3:$H$102,6,FALSE)&gt;=main!$D$103+VLOOKUP(VLOOKUP(AF$1,main!$A$3:$I$102,7,FALSE),main!$K$26:$Q$29,3,FALSE),1,0)</f>
        <v>0</v>
      </c>
      <c r="AG19">
        <f>IF(VLOOKUP(AG$1,main!$A$3:$H$102,5,FALSE)-VLOOKUP($A19,main!$A$3:$H$102,6,FALSE)&gt;=main!$D$103+VLOOKUP(VLOOKUP(AG$1,main!$A$3:$I$102,7,FALSE),main!$K$26:$Q$29,3,FALSE),1,0)</f>
        <v>0</v>
      </c>
      <c r="AH19">
        <f>IF(VLOOKUP(AH$1,main!$A$3:$H$102,5,FALSE)-VLOOKUP($A19,main!$A$3:$H$102,6,FALSE)&gt;=main!$D$103+VLOOKUP(VLOOKUP(AH$1,main!$A$3:$I$102,7,FALSE),main!$K$26:$Q$29,3,FALSE),1,0)</f>
        <v>0</v>
      </c>
      <c r="AI19">
        <f>IF(VLOOKUP(AI$1,main!$A$3:$H$102,5,FALSE)-VLOOKUP($A19,main!$A$3:$H$102,6,FALSE)&gt;=main!$D$103+VLOOKUP(VLOOKUP(AI$1,main!$A$3:$I$102,7,FALSE),main!$K$26:$Q$29,3,FALSE),1,0)</f>
        <v>0</v>
      </c>
      <c r="AJ19">
        <f>IF(VLOOKUP(AJ$1,main!$A$3:$H$102,5,FALSE)-VLOOKUP($A19,main!$A$3:$H$102,6,FALSE)&gt;=main!$D$103+VLOOKUP(VLOOKUP(AJ$1,main!$A$3:$I$102,7,FALSE),main!$K$26:$Q$29,3,FALSE),1,0)</f>
        <v>0</v>
      </c>
      <c r="AK19">
        <f>IF(VLOOKUP(AK$1,main!$A$3:$H$102,5,FALSE)-VLOOKUP($A19,main!$A$3:$H$102,6,FALSE)&gt;=main!$D$103+VLOOKUP(VLOOKUP(AK$1,main!$A$3:$I$102,7,FALSE),main!$K$26:$Q$29,3,FALSE),1,0)</f>
        <v>0</v>
      </c>
      <c r="AL19">
        <f>IF(VLOOKUP(AL$1,main!$A$3:$H$102,5,FALSE)-VLOOKUP($A19,main!$A$3:$H$102,6,FALSE)&gt;=main!$D$103+VLOOKUP(VLOOKUP(AL$1,main!$A$3:$I$102,7,FALSE),main!$K$26:$Q$29,3,FALSE),1,0)</f>
        <v>0</v>
      </c>
      <c r="AM19">
        <f>IF(VLOOKUP(AM$1,main!$A$3:$H$102,5,FALSE)-VLOOKUP($A19,main!$A$3:$H$102,6,FALSE)&gt;=main!$D$103+VLOOKUP(VLOOKUP(AM$1,main!$A$3:$I$102,7,FALSE),main!$K$26:$Q$29,3,FALSE),1,0)</f>
        <v>0</v>
      </c>
      <c r="AN19">
        <f>IF(VLOOKUP(AN$1,main!$A$3:$H$102,5,FALSE)-VLOOKUP($A19,main!$A$3:$H$102,6,FALSE)&gt;=main!$D$103+VLOOKUP(VLOOKUP(AN$1,main!$A$3:$I$102,7,FALSE),main!$K$26:$Q$29,3,FALSE),1,0)</f>
        <v>1</v>
      </c>
      <c r="AO19">
        <f>IF(VLOOKUP(AO$1,main!$A$3:$H$102,5,FALSE)-VLOOKUP($A19,main!$A$3:$H$102,6,FALSE)&gt;=main!$D$103+VLOOKUP(VLOOKUP(AO$1,main!$A$3:$I$102,7,FALSE),main!$K$26:$Q$29,3,FALSE),1,0)</f>
        <v>0</v>
      </c>
      <c r="AP19">
        <f>IF(VLOOKUP(AP$1,main!$A$3:$H$102,5,FALSE)-VLOOKUP($A19,main!$A$3:$H$102,6,FALSE)&gt;=main!$D$103+VLOOKUP(VLOOKUP(AP$1,main!$A$3:$I$102,7,FALSE),main!$K$26:$Q$29,3,FALSE),1,0)</f>
        <v>1</v>
      </c>
      <c r="AQ19">
        <f>IF(VLOOKUP(AQ$1,main!$A$3:$H$102,5,FALSE)-VLOOKUP($A19,main!$A$3:$H$102,6,FALSE)&gt;=main!$D$103+VLOOKUP(VLOOKUP(AQ$1,main!$A$3:$I$102,7,FALSE),main!$K$26:$Q$29,3,FALSE),1,0)</f>
        <v>0</v>
      </c>
      <c r="AR19">
        <f>IF(VLOOKUP(AR$1,main!$A$3:$H$102,5,FALSE)-VLOOKUP($A19,main!$A$3:$H$102,6,FALSE)&gt;=main!$D$103+VLOOKUP(VLOOKUP(AR$1,main!$A$3:$I$102,7,FALSE),main!$K$26:$Q$29,3,FALSE),1,0)</f>
        <v>0</v>
      </c>
      <c r="AS19">
        <f>IF(VLOOKUP(AS$1,main!$A$3:$H$102,5,FALSE)-VLOOKUP($A19,main!$A$3:$H$102,6,FALSE)&gt;=main!$D$103+VLOOKUP(VLOOKUP(AS$1,main!$A$3:$I$102,7,FALSE),main!$K$26:$Q$29,3,FALSE),1,0)</f>
        <v>0</v>
      </c>
      <c r="AT19">
        <f>IF(VLOOKUP(AT$1,main!$A$3:$H$102,5,FALSE)-VLOOKUP($A19,main!$A$3:$H$102,6,FALSE)&gt;=main!$D$103+VLOOKUP(VLOOKUP(AT$1,main!$A$3:$I$102,7,FALSE),main!$K$26:$Q$29,3,FALSE),1,0)</f>
        <v>0</v>
      </c>
      <c r="AU19">
        <f>IF(VLOOKUP(AU$1,main!$A$3:$H$102,5,FALSE)-VLOOKUP($A19,main!$A$3:$H$102,6,FALSE)&gt;=main!$D$103+VLOOKUP(VLOOKUP(AU$1,main!$A$3:$I$102,7,FALSE),main!$K$26:$Q$29,3,FALSE),1,0)</f>
        <v>0</v>
      </c>
      <c r="AV19">
        <f>IF(VLOOKUP(AV$1,main!$A$3:$H$102,5,FALSE)-VLOOKUP($A19,main!$A$3:$H$102,6,FALSE)&gt;=main!$D$103+VLOOKUP(VLOOKUP(AV$1,main!$A$3:$I$102,7,FALSE),main!$K$26:$Q$29,3,FALSE),1,0)</f>
        <v>0</v>
      </c>
      <c r="AW19">
        <f>IF(VLOOKUP(AW$1,main!$A$3:$H$102,5,FALSE)-VLOOKUP($A19,main!$A$3:$H$102,6,FALSE)&gt;=main!$D$103+VLOOKUP(VLOOKUP(AW$1,main!$A$3:$I$102,7,FALSE),main!$K$26:$Q$29,3,FALSE),1,0)</f>
        <v>0</v>
      </c>
      <c r="AX19">
        <f>IF(VLOOKUP(AX$1,main!$A$3:$H$102,5,FALSE)-VLOOKUP($A19,main!$A$3:$H$102,6,FALSE)&gt;=main!$D$103+VLOOKUP(VLOOKUP(AX$1,main!$A$3:$I$102,7,FALSE),main!$K$26:$Q$29,3,FALSE),1,0)</f>
        <v>0</v>
      </c>
      <c r="AY19">
        <f>IF(VLOOKUP(AY$1,main!$A$3:$H$102,5,FALSE)-VLOOKUP($A19,main!$A$3:$H$102,6,FALSE)&gt;=main!$D$103+VLOOKUP(VLOOKUP(AY$1,main!$A$3:$I$102,7,FALSE),main!$K$26:$Q$29,3,FALSE),1,0)</f>
        <v>0</v>
      </c>
      <c r="AZ19">
        <f>IF(VLOOKUP(AZ$1,main!$A$3:$H$102,5,FALSE)-VLOOKUP($A19,main!$A$3:$H$102,6,FALSE)&gt;=main!$D$103+VLOOKUP(VLOOKUP(AZ$1,main!$A$3:$I$102,7,FALSE),main!$K$26:$Q$29,3,FALSE),1,0)</f>
        <v>0</v>
      </c>
      <c r="BA19">
        <f>IF(VLOOKUP(BA$1,main!$A$3:$H$102,5,FALSE)-VLOOKUP($A19,main!$A$3:$H$102,6,FALSE)&gt;=main!$D$103+VLOOKUP(VLOOKUP(BA$1,main!$A$3:$I$102,7,FALSE),main!$K$26:$Q$29,3,FALSE),1,0)</f>
        <v>0</v>
      </c>
      <c r="BB19">
        <f>IF(VLOOKUP(BB$1,main!$A$3:$H$102,5,FALSE)-VLOOKUP($A19,main!$A$3:$H$102,6,FALSE)&gt;=main!$D$103+VLOOKUP(VLOOKUP(BB$1,main!$A$3:$I$102,7,FALSE),main!$K$26:$Q$29,3,FALSE),1,0)</f>
        <v>0</v>
      </c>
      <c r="BC19">
        <f>IF(VLOOKUP(BC$1,main!$A$3:$H$102,5,FALSE)-VLOOKUP($A19,main!$A$3:$H$102,6,FALSE)&gt;=main!$D$103+VLOOKUP(VLOOKUP(BC$1,main!$A$3:$I$102,7,FALSE),main!$K$26:$Q$29,3,FALSE),1,0)</f>
        <v>0</v>
      </c>
      <c r="BD19">
        <f>IF(VLOOKUP(BD$1,main!$A$3:$H$102,5,FALSE)-VLOOKUP($A19,main!$A$3:$H$102,6,FALSE)&gt;=main!$D$103+VLOOKUP(VLOOKUP(BD$1,main!$A$3:$I$102,7,FALSE),main!$K$26:$Q$29,3,FALSE),1,0)</f>
        <v>0</v>
      </c>
      <c r="BE19">
        <f>IF(VLOOKUP(BE$1,main!$A$3:$H$102,5,FALSE)-VLOOKUP($A19,main!$A$3:$H$102,6,FALSE)&gt;=main!$D$103+VLOOKUP(VLOOKUP(BE$1,main!$A$3:$I$102,7,FALSE),main!$K$26:$Q$29,3,FALSE),1,0)</f>
        <v>0</v>
      </c>
      <c r="BF19">
        <f>IF(VLOOKUP(BF$1,main!$A$3:$H$102,5,FALSE)-VLOOKUP($A19,main!$A$3:$H$102,6,FALSE)&gt;=main!$D$103+VLOOKUP(VLOOKUP(BF$1,main!$A$3:$I$102,7,FALSE),main!$K$26:$Q$29,3,FALSE),1,0)</f>
        <v>0</v>
      </c>
      <c r="BG19">
        <f>IF(VLOOKUP(BG$1,main!$A$3:$H$102,5,FALSE)-VLOOKUP($A19,main!$A$3:$H$102,6,FALSE)&gt;=main!$D$103+VLOOKUP(VLOOKUP(BG$1,main!$A$3:$I$102,7,FALSE),main!$K$26:$Q$29,3,FALSE),1,0)</f>
        <v>0</v>
      </c>
      <c r="BH19">
        <f>IF(VLOOKUP(BH$1,main!$A$3:$H$102,5,FALSE)-VLOOKUP($A19,main!$A$3:$H$102,6,FALSE)&gt;=main!$D$103+VLOOKUP(VLOOKUP(BH$1,main!$A$3:$I$102,7,FALSE),main!$K$26:$Q$29,3,FALSE),1,0)</f>
        <v>0</v>
      </c>
      <c r="BI19">
        <f>IF(VLOOKUP(BI$1,main!$A$3:$H$102,5,FALSE)-VLOOKUP($A19,main!$A$3:$H$102,6,FALSE)&gt;=main!$D$103+VLOOKUP(VLOOKUP(BI$1,main!$A$3:$I$102,7,FALSE),main!$K$26:$Q$29,3,FALSE),1,0)</f>
        <v>1</v>
      </c>
      <c r="BJ19">
        <f>IF(VLOOKUP(BJ$1,main!$A$3:$H$102,5,FALSE)-VLOOKUP($A19,main!$A$3:$H$102,6,FALSE)&gt;=main!$D$103+VLOOKUP(VLOOKUP(BJ$1,main!$A$3:$I$102,7,FALSE),main!$K$26:$Q$29,3,FALSE),1,0)</f>
        <v>0</v>
      </c>
      <c r="BK19">
        <f>IF(VLOOKUP(BK$1,main!$A$3:$H$102,5,FALSE)-VLOOKUP($A19,main!$A$3:$H$102,6,FALSE)&gt;=main!$D$103+VLOOKUP(VLOOKUP(BK$1,main!$A$3:$I$102,7,FALSE),main!$K$26:$Q$29,3,FALSE),1,0)</f>
        <v>0</v>
      </c>
      <c r="BL19">
        <f>IF(VLOOKUP(BL$1,main!$A$3:$H$102,5,FALSE)-VLOOKUP($A19,main!$A$3:$H$102,6,FALSE)&gt;=main!$D$103+VLOOKUP(VLOOKUP(BL$1,main!$A$3:$I$102,7,FALSE),main!$K$26:$Q$29,3,FALSE),1,0)</f>
        <v>0</v>
      </c>
      <c r="BM19">
        <f>IF(VLOOKUP(BM$1,main!$A$3:$H$102,5,FALSE)-VLOOKUP($A19,main!$A$3:$H$102,6,FALSE)&gt;=main!$D$103+VLOOKUP(VLOOKUP(BM$1,main!$A$3:$I$102,7,FALSE),main!$K$26:$Q$29,3,FALSE),1,0)</f>
        <v>0</v>
      </c>
      <c r="BN19">
        <f>IF(VLOOKUP(BN$1,main!$A$3:$H$102,5,FALSE)-VLOOKUP($A19,main!$A$3:$H$102,6,FALSE)&gt;=main!$D$103+VLOOKUP(VLOOKUP(BN$1,main!$A$3:$I$102,7,FALSE),main!$K$26:$Q$29,3,FALSE),1,0)</f>
        <v>0</v>
      </c>
      <c r="BO19">
        <f>IF(VLOOKUP(BO$1,main!$A$3:$H$102,5,FALSE)-VLOOKUP($A19,main!$A$3:$H$102,6,FALSE)&gt;=main!$D$103+VLOOKUP(VLOOKUP(BO$1,main!$A$3:$I$102,7,FALSE),main!$K$26:$Q$29,3,FALSE),1,0)</f>
        <v>0</v>
      </c>
      <c r="BP19">
        <f>IF(VLOOKUP(BP$1,main!$A$3:$H$102,5,FALSE)-VLOOKUP($A19,main!$A$3:$H$102,6,FALSE)&gt;=main!$D$103+VLOOKUP(VLOOKUP(BP$1,main!$A$3:$I$102,7,FALSE),main!$K$26:$Q$29,3,FALSE),1,0)</f>
        <v>0</v>
      </c>
      <c r="BQ19">
        <f>IF(VLOOKUP(BQ$1,main!$A$3:$H$102,5,FALSE)-VLOOKUP($A19,main!$A$3:$H$102,6,FALSE)&gt;=main!$D$103+VLOOKUP(VLOOKUP(BQ$1,main!$A$3:$I$102,7,FALSE),main!$K$26:$Q$29,3,FALSE),1,0)</f>
        <v>0</v>
      </c>
      <c r="BR19">
        <f>IF(VLOOKUP(BR$1,main!$A$3:$H$102,5,FALSE)-VLOOKUP($A19,main!$A$3:$H$102,6,FALSE)&gt;=main!$D$103+VLOOKUP(VLOOKUP(BR$1,main!$A$3:$I$102,7,FALSE),main!$K$26:$Q$29,3,FALSE),1,0)</f>
        <v>0</v>
      </c>
      <c r="BS19">
        <f>IF(VLOOKUP(BS$1,main!$A$3:$H$102,5,FALSE)-VLOOKUP($A19,main!$A$3:$H$102,6,FALSE)&gt;=main!$D$103+VLOOKUP(VLOOKUP(BS$1,main!$A$3:$I$102,7,FALSE),main!$K$26:$Q$29,3,FALSE),1,0)</f>
        <v>0</v>
      </c>
      <c r="BT19">
        <f>IF(VLOOKUP(BT$1,main!$A$3:$H$102,5,FALSE)-VLOOKUP($A19,main!$A$3:$H$102,6,FALSE)&gt;=main!$D$103+VLOOKUP(VLOOKUP(BT$1,main!$A$3:$I$102,7,FALSE),main!$K$26:$Q$29,3,FALSE),1,0)</f>
        <v>0</v>
      </c>
      <c r="BU19">
        <f>IF(VLOOKUP(BU$1,main!$A$3:$H$102,5,FALSE)-VLOOKUP($A19,main!$A$3:$H$102,6,FALSE)&gt;=main!$D$103+VLOOKUP(VLOOKUP(BU$1,main!$A$3:$I$102,7,FALSE),main!$K$26:$Q$29,3,FALSE),1,0)</f>
        <v>0</v>
      </c>
      <c r="BV19">
        <f>IF(VLOOKUP(BV$1,main!$A$3:$H$102,5,FALSE)-VLOOKUP($A19,main!$A$3:$H$102,6,FALSE)&gt;=main!$D$103+VLOOKUP(VLOOKUP(BV$1,main!$A$3:$I$102,7,FALSE),main!$K$26:$Q$29,3,FALSE),1,0)</f>
        <v>0</v>
      </c>
      <c r="BW19">
        <f>IF(VLOOKUP(BW$1,main!$A$3:$H$102,5,FALSE)-VLOOKUP($A19,main!$A$3:$H$102,6,FALSE)&gt;=main!$D$103+VLOOKUP(VLOOKUP(BW$1,main!$A$3:$I$102,7,FALSE),main!$K$26:$Q$29,3,FALSE),1,0)</f>
        <v>0</v>
      </c>
      <c r="BX19">
        <f>IF(VLOOKUP(BX$1,main!$A$3:$H$102,5,FALSE)-VLOOKUP($A19,main!$A$3:$H$102,6,FALSE)&gt;=main!$D$103+VLOOKUP(VLOOKUP(BX$1,main!$A$3:$I$102,7,FALSE),main!$K$26:$Q$29,3,FALSE),1,0)</f>
        <v>0</v>
      </c>
      <c r="BY19">
        <f>IF(VLOOKUP(BY$1,main!$A$3:$H$102,5,FALSE)-VLOOKUP($A19,main!$A$3:$H$102,6,FALSE)&gt;=main!$D$103+VLOOKUP(VLOOKUP(BY$1,main!$A$3:$I$102,7,FALSE),main!$K$26:$Q$29,3,FALSE),1,0)</f>
        <v>0</v>
      </c>
      <c r="BZ19">
        <f>IF(VLOOKUP(BZ$1,main!$A$3:$H$102,5,FALSE)-VLOOKUP($A19,main!$A$3:$H$102,6,FALSE)&gt;=main!$D$103+VLOOKUP(VLOOKUP(BZ$1,main!$A$3:$I$102,7,FALSE),main!$K$26:$Q$29,3,FALSE),1,0)</f>
        <v>0</v>
      </c>
      <c r="CA19">
        <f>IF(VLOOKUP(CA$1,main!$A$3:$H$102,5,FALSE)-VLOOKUP($A19,main!$A$3:$H$102,6,FALSE)&gt;=main!$D$103+VLOOKUP(VLOOKUP(CA$1,main!$A$3:$I$102,7,FALSE),main!$K$26:$Q$29,3,FALSE),1,0)</f>
        <v>0</v>
      </c>
      <c r="CB19">
        <f>IF(VLOOKUP(CB$1,main!$A$3:$H$102,5,FALSE)-VLOOKUP($A19,main!$A$3:$H$102,6,FALSE)&gt;=main!$D$103+VLOOKUP(VLOOKUP(CB$1,main!$A$3:$I$102,7,FALSE),main!$K$26:$Q$29,3,FALSE),1,0)</f>
        <v>0</v>
      </c>
      <c r="CC19">
        <f>IF(VLOOKUP(CC$1,main!$A$3:$H$102,5,FALSE)-VLOOKUP($A19,main!$A$3:$H$102,6,FALSE)&gt;=main!$D$103+VLOOKUP(VLOOKUP(CC$1,main!$A$3:$I$102,7,FALSE),main!$K$26:$Q$29,3,FALSE),1,0)</f>
        <v>0</v>
      </c>
      <c r="CD19">
        <f>IF(VLOOKUP(CD$1,main!$A$3:$H$102,5,FALSE)-VLOOKUP($A19,main!$A$3:$H$102,6,FALSE)&gt;=main!$D$103+VLOOKUP(VLOOKUP(CD$1,main!$A$3:$I$102,7,FALSE),main!$K$26:$Q$29,3,FALSE),1,0)</f>
        <v>0</v>
      </c>
      <c r="CE19">
        <f>IF(VLOOKUP(CE$1,main!$A$3:$H$102,5,FALSE)-VLOOKUP($A19,main!$A$3:$H$102,6,FALSE)&gt;=main!$D$103+VLOOKUP(VLOOKUP(CE$1,main!$A$3:$I$102,7,FALSE),main!$K$26:$Q$29,3,FALSE),1,0)</f>
        <v>0</v>
      </c>
      <c r="CF19">
        <f>IF(VLOOKUP(CF$1,main!$A$3:$H$102,5,FALSE)-VLOOKUP($A19,main!$A$3:$H$102,6,FALSE)&gt;=main!$D$103+VLOOKUP(VLOOKUP(CF$1,main!$A$3:$I$102,7,FALSE),main!$K$26:$Q$29,3,FALSE),1,0)</f>
        <v>0</v>
      </c>
      <c r="CG19">
        <f>IF(VLOOKUP(CG$1,main!$A$3:$H$102,5,FALSE)-VLOOKUP($A19,main!$A$3:$H$102,6,FALSE)&gt;=main!$D$103+VLOOKUP(VLOOKUP(CG$1,main!$A$3:$I$102,7,FALSE),main!$K$26:$Q$29,3,FALSE),1,0)</f>
        <v>0</v>
      </c>
      <c r="CH19">
        <f>IF(VLOOKUP(CH$1,main!$A$3:$H$102,5,FALSE)-VLOOKUP($A19,main!$A$3:$H$102,6,FALSE)&gt;=main!$D$103+VLOOKUP(VLOOKUP(CH$1,main!$A$3:$I$102,7,FALSE),main!$K$26:$Q$29,3,FALSE),1,0)</f>
        <v>0</v>
      </c>
      <c r="CI19">
        <f>IF(VLOOKUP(CI$1,main!$A$3:$H$102,5,FALSE)-VLOOKUP($A19,main!$A$3:$H$102,6,FALSE)&gt;=main!$D$103+VLOOKUP(VLOOKUP(CI$1,main!$A$3:$I$102,7,FALSE),main!$K$26:$Q$29,3,FALSE),1,0)</f>
        <v>1</v>
      </c>
      <c r="CJ19">
        <f>IF(VLOOKUP(CJ$1,main!$A$3:$H$102,5,FALSE)-VLOOKUP($A19,main!$A$3:$H$102,6,FALSE)&gt;=main!$D$103+VLOOKUP(VLOOKUP(CJ$1,main!$A$3:$I$102,7,FALSE),main!$K$26:$Q$29,3,FALSE),1,0)</f>
        <v>0</v>
      </c>
      <c r="CK19">
        <f>IF(VLOOKUP(CK$1,main!$A$3:$H$102,5,FALSE)-VLOOKUP($A19,main!$A$3:$H$102,6,FALSE)&gt;=main!$D$103+VLOOKUP(VLOOKUP(CK$1,main!$A$3:$I$102,7,FALSE),main!$K$26:$Q$29,3,FALSE),1,0)</f>
        <v>0</v>
      </c>
      <c r="CL19">
        <f>IF(VLOOKUP(CL$1,main!$A$3:$H$102,5,FALSE)-VLOOKUP($A19,main!$A$3:$H$102,6,FALSE)&gt;=main!$D$103+VLOOKUP(VLOOKUP(CL$1,main!$A$3:$I$102,7,FALSE),main!$K$26:$Q$29,3,FALSE),1,0)</f>
        <v>0</v>
      </c>
      <c r="CM19">
        <f>IF(VLOOKUP(CM$1,main!$A$3:$H$102,5,FALSE)-VLOOKUP($A19,main!$A$3:$H$102,6,FALSE)&gt;=main!$D$103+VLOOKUP(VLOOKUP(CM$1,main!$A$3:$I$102,7,FALSE),main!$K$26:$Q$29,3,FALSE),1,0)</f>
        <v>0</v>
      </c>
      <c r="CN19">
        <f>IF(VLOOKUP(CN$1,main!$A$3:$H$102,5,FALSE)-VLOOKUP($A19,main!$A$3:$H$102,6,FALSE)&gt;=main!$D$103+VLOOKUP(VLOOKUP(CN$1,main!$A$3:$I$102,7,FALSE),main!$K$26:$Q$29,3,FALSE),1,0)</f>
        <v>1</v>
      </c>
      <c r="CO19">
        <f>IF(VLOOKUP(CO$1,main!$A$3:$H$102,5,FALSE)-VLOOKUP($A19,main!$A$3:$H$102,6,FALSE)&gt;=main!$D$103+VLOOKUP(VLOOKUP(CO$1,main!$A$3:$I$102,7,FALSE),main!$K$26:$Q$29,3,FALSE),1,0)</f>
        <v>0</v>
      </c>
      <c r="CP19">
        <f>IF(VLOOKUP(CP$1,main!$A$3:$H$102,5,FALSE)-VLOOKUP($A19,main!$A$3:$H$102,6,FALSE)&gt;=main!$D$103+VLOOKUP(VLOOKUP(CP$1,main!$A$3:$I$102,7,FALSE),main!$K$26:$Q$29,3,FALSE),1,0)</f>
        <v>0</v>
      </c>
      <c r="CQ19">
        <f>IF(VLOOKUP(CQ$1,main!$A$3:$H$102,5,FALSE)-VLOOKUP($A19,main!$A$3:$H$102,6,FALSE)&gt;=main!$D$103+VLOOKUP(VLOOKUP(CQ$1,main!$A$3:$I$102,7,FALSE),main!$K$26:$Q$29,3,FALSE),1,0)</f>
        <v>0</v>
      </c>
      <c r="CR19">
        <f>IF(VLOOKUP(CR$1,main!$A$3:$H$102,5,FALSE)-VLOOKUP($A19,main!$A$3:$H$102,6,FALSE)&gt;=main!$D$103+VLOOKUP(VLOOKUP(CR$1,main!$A$3:$I$102,7,FALSE),main!$K$26:$Q$29,3,FALSE),1,0)</f>
        <v>0</v>
      </c>
      <c r="CS19">
        <f>IF(VLOOKUP(CS$1,main!$A$3:$H$102,5,FALSE)-VLOOKUP($A19,main!$A$3:$H$102,6,FALSE)&gt;=main!$D$103+VLOOKUP(VLOOKUP(CS$1,main!$A$3:$I$102,7,FALSE),main!$K$26:$Q$29,3,FALSE),1,0)</f>
        <v>0</v>
      </c>
      <c r="CT19">
        <f>IF(VLOOKUP(CT$1,main!$A$3:$H$102,5,FALSE)-VLOOKUP($A19,main!$A$3:$H$102,6,FALSE)&gt;=main!$D$103+VLOOKUP(VLOOKUP(CT$1,main!$A$3:$I$102,7,FALSE),main!$K$26:$Q$29,3,FALSE),1,0)</f>
        <v>0</v>
      </c>
      <c r="CU19">
        <f>IF(VLOOKUP(CU$1,main!$A$3:$H$102,5,FALSE)-VLOOKUP($A19,main!$A$3:$H$102,6,FALSE)&gt;=main!$D$103+VLOOKUP(VLOOKUP(CU$1,main!$A$3:$I$102,7,FALSE),main!$K$26:$Q$29,3,FALSE),1,0)</f>
        <v>0</v>
      </c>
      <c r="CV19">
        <f>IF(VLOOKUP(CV$1,main!$A$3:$H$102,5,FALSE)-VLOOKUP($A19,main!$A$3:$H$102,6,FALSE)&gt;=main!$D$103+VLOOKUP(VLOOKUP(CV$1,main!$A$3:$I$102,7,FALSE),main!$K$26:$Q$29,3,FALSE),1,0)</f>
        <v>0</v>
      </c>
      <c r="CW19">
        <f>IF(VLOOKUP(CW$1,main!$A$3:$H$102,5,FALSE)-VLOOKUP($A19,main!$A$3:$H$102,6,FALSE)&gt;=main!$D$103+VLOOKUP(VLOOKUP(CW$1,main!$A$3:$I$102,7,FALSE),main!$K$26:$Q$29,3,FALSE),1,0)</f>
        <v>0</v>
      </c>
      <c r="CX19">
        <f>IF(VLOOKUP(CX$1,main!$A$3:$H$102,5,FALSE)-VLOOKUP($A19,main!$A$3:$H$102,6,FALSE)&gt;=main!$D$103+VLOOKUP(VLOOKUP(CX$1,main!$A$3:$I$102,7,FALSE),main!$K$26:$Q$29,3,FALSE),1,0)</f>
        <v>0</v>
      </c>
      <c r="CZ19">
        <f>VLOOKUP($A13,main!$A$3:$H$102,6,FALSE)</f>
        <v>695</v>
      </c>
    </row>
    <row r="20" spans="1:104" x14ac:dyDescent="0.25">
      <c r="A20" s="1">
        <v>18</v>
      </c>
      <c r="B20">
        <v>0</v>
      </c>
      <c r="C20">
        <f>IF(VLOOKUP(C$1,main!$A$3:$H$102,5,FALSE)-VLOOKUP($A20,main!$A$3:$H$102,6,FALSE)&gt;=main!$D$103+VLOOKUP(VLOOKUP(C$1,main!$A$3:$I$102,7,FALSE),main!$K$26:$Q$29,3,FALSE),1,0)</f>
        <v>0</v>
      </c>
      <c r="D20">
        <f>IF(VLOOKUP(D$1,main!$A$3:$H$102,5,FALSE)-VLOOKUP($A20,main!$A$3:$H$102,6,FALSE)&gt;=main!$D$103+VLOOKUP(VLOOKUP(D$1,main!$A$3:$I$102,7,FALSE),main!$K$26:$Q$29,3,FALSE),1,0)</f>
        <v>0</v>
      </c>
      <c r="E20">
        <f>IF(VLOOKUP(E$1,main!$A$3:$H$102,5,FALSE)-VLOOKUP($A20,main!$A$3:$H$102,6,FALSE)&gt;=main!$D$103+VLOOKUP(VLOOKUP(E$1,main!$A$3:$I$102,7,FALSE),main!$K$26:$Q$29,3,FALSE),1,0)</f>
        <v>0</v>
      </c>
      <c r="F20">
        <f>IF(VLOOKUP(F$1,main!$A$3:$H$102,5,FALSE)-VLOOKUP($A20,main!$A$3:$H$102,6,FALSE)&gt;=main!$D$103+VLOOKUP(VLOOKUP(F$1,main!$A$3:$I$102,7,FALSE),main!$K$26:$Q$29,3,FALSE),1,0)</f>
        <v>0</v>
      </c>
      <c r="G20">
        <f>IF(VLOOKUP(G$1,main!$A$3:$H$102,5,FALSE)-VLOOKUP($A20,main!$A$3:$H$102,6,FALSE)&gt;=main!$D$103+VLOOKUP(VLOOKUP(G$1,main!$A$3:$I$102,7,FALSE),main!$K$26:$Q$29,3,FALSE),1,0)</f>
        <v>0</v>
      </c>
      <c r="H20">
        <f>IF(VLOOKUP(H$1,main!$A$3:$H$102,5,FALSE)-VLOOKUP($A20,main!$A$3:$H$102,6,FALSE)&gt;=main!$D$103+VLOOKUP(VLOOKUP(H$1,main!$A$3:$I$102,7,FALSE),main!$K$26:$Q$29,3,FALSE),1,0)</f>
        <v>0</v>
      </c>
      <c r="I20">
        <f>IF(VLOOKUP(I$1,main!$A$3:$H$102,5,FALSE)-VLOOKUP($A20,main!$A$3:$H$102,6,FALSE)&gt;=main!$D$103+VLOOKUP(VLOOKUP(I$1,main!$A$3:$I$102,7,FALSE),main!$K$26:$Q$29,3,FALSE),1,0)</f>
        <v>0</v>
      </c>
      <c r="J20">
        <f>IF(VLOOKUP(J$1,main!$A$3:$H$102,5,FALSE)-VLOOKUP($A20,main!$A$3:$H$102,6,FALSE)&gt;=main!$D$103+VLOOKUP(VLOOKUP(J$1,main!$A$3:$I$102,7,FALSE),main!$K$26:$Q$29,3,FALSE),1,0)</f>
        <v>0</v>
      </c>
      <c r="K20">
        <f>IF(VLOOKUP(K$1,main!$A$3:$H$102,5,FALSE)-VLOOKUP($A20,main!$A$3:$H$102,6,FALSE)&gt;=main!$D$103+VLOOKUP(VLOOKUP(K$1,main!$A$3:$I$102,7,FALSE),main!$K$26:$Q$29,3,FALSE),1,0)</f>
        <v>0</v>
      </c>
      <c r="L20">
        <f>IF(VLOOKUP(L$1,main!$A$3:$H$102,5,FALSE)-VLOOKUP($A20,main!$A$3:$H$102,6,FALSE)&gt;=main!$D$103+VLOOKUP(VLOOKUP(L$1,main!$A$3:$I$102,7,FALSE),main!$K$26:$Q$29,3,FALSE),1,0)</f>
        <v>0</v>
      </c>
      <c r="M20">
        <f>IF(VLOOKUP(M$1,main!$A$3:$H$102,5,FALSE)-VLOOKUP($A20,main!$A$3:$H$102,6,FALSE)&gt;=main!$D$103+VLOOKUP(VLOOKUP(M$1,main!$A$3:$I$102,7,FALSE),main!$K$26:$Q$29,3,FALSE),1,0)</f>
        <v>0</v>
      </c>
      <c r="N20">
        <f>IF(VLOOKUP(N$1,main!$A$3:$H$102,5,FALSE)-VLOOKUP($A20,main!$A$3:$H$102,6,FALSE)&gt;=main!$D$103+VLOOKUP(VLOOKUP(N$1,main!$A$3:$I$102,7,FALSE),main!$K$26:$Q$29,3,FALSE),1,0)</f>
        <v>0</v>
      </c>
      <c r="O20">
        <f>IF(VLOOKUP(O$1,main!$A$3:$H$102,5,FALSE)-VLOOKUP($A20,main!$A$3:$H$102,6,FALSE)&gt;=main!$D$103+VLOOKUP(VLOOKUP(O$1,main!$A$3:$I$102,7,FALSE),main!$K$26:$Q$29,3,FALSE),1,0)</f>
        <v>0</v>
      </c>
      <c r="P20">
        <f>IF(VLOOKUP(P$1,main!$A$3:$H$102,5,FALSE)-VLOOKUP($A20,main!$A$3:$H$102,6,FALSE)&gt;=main!$D$103+VLOOKUP(VLOOKUP(P$1,main!$A$3:$I$102,7,FALSE),main!$K$26:$Q$29,3,FALSE),1,0)</f>
        <v>0</v>
      </c>
      <c r="Q20">
        <f>IF(VLOOKUP(Q$1,main!$A$3:$H$102,5,FALSE)-VLOOKUP($A20,main!$A$3:$H$102,6,FALSE)&gt;=main!$D$103+VLOOKUP(VLOOKUP(Q$1,main!$A$3:$I$102,7,FALSE),main!$K$26:$Q$29,3,FALSE),1,0)</f>
        <v>0</v>
      </c>
      <c r="R20">
        <f>IF(VLOOKUP(R$1,main!$A$3:$H$102,5,FALSE)-VLOOKUP($A20,main!$A$3:$H$102,6,FALSE)&gt;=main!$D$103+VLOOKUP(VLOOKUP(R$1,main!$A$3:$I$102,7,FALSE),main!$K$26:$Q$29,3,FALSE),1,0)</f>
        <v>0</v>
      </c>
      <c r="S20">
        <f>IF(VLOOKUP(S$1,main!$A$3:$H$102,5,FALSE)-VLOOKUP($A20,main!$A$3:$H$102,6,FALSE)&gt;=main!$D$103+VLOOKUP(VLOOKUP(S$1,main!$A$3:$I$102,7,FALSE),main!$K$26:$Q$29,3,FALSE),1,0)</f>
        <v>0</v>
      </c>
      <c r="T20">
        <f>IF(VLOOKUP(T$1,main!$A$3:$H$102,5,FALSE)-VLOOKUP($A20,main!$A$3:$H$102,6,FALSE)&gt;=main!$D$103+VLOOKUP(VLOOKUP(T$1,main!$A$3:$I$102,7,FALSE),main!$K$26:$Q$29,3,FALSE),1,0)</f>
        <v>0</v>
      </c>
      <c r="U20">
        <f>IF(VLOOKUP(U$1,main!$A$3:$H$102,5,FALSE)-VLOOKUP($A20,main!$A$3:$H$102,6,FALSE)&gt;=main!$D$103+VLOOKUP(VLOOKUP(U$1,main!$A$3:$I$102,7,FALSE),main!$K$26:$Q$29,3,FALSE),1,0)</f>
        <v>0</v>
      </c>
      <c r="V20">
        <f>IF(VLOOKUP(V$1,main!$A$3:$H$102,5,FALSE)-VLOOKUP($A20,main!$A$3:$H$102,6,FALSE)&gt;=main!$D$103+VLOOKUP(VLOOKUP(V$1,main!$A$3:$I$102,7,FALSE),main!$K$26:$Q$29,3,FALSE),1,0)</f>
        <v>0</v>
      </c>
      <c r="W20">
        <f>IF(VLOOKUP(W$1,main!$A$3:$H$102,5,FALSE)-VLOOKUP($A20,main!$A$3:$H$102,6,FALSE)&gt;=main!$D$103+VLOOKUP(VLOOKUP(W$1,main!$A$3:$I$102,7,FALSE),main!$K$26:$Q$29,3,FALSE),1,0)</f>
        <v>0</v>
      </c>
      <c r="X20">
        <f>IF(VLOOKUP(X$1,main!$A$3:$H$102,5,FALSE)-VLOOKUP($A20,main!$A$3:$H$102,6,FALSE)&gt;=main!$D$103+VLOOKUP(VLOOKUP(X$1,main!$A$3:$I$102,7,FALSE),main!$K$26:$Q$29,3,FALSE),1,0)</f>
        <v>0</v>
      </c>
      <c r="Y20">
        <f>IF(VLOOKUP(Y$1,main!$A$3:$H$102,5,FALSE)-VLOOKUP($A20,main!$A$3:$H$102,6,FALSE)&gt;=main!$D$103+VLOOKUP(VLOOKUP(Y$1,main!$A$3:$I$102,7,FALSE),main!$K$26:$Q$29,3,FALSE),1,0)</f>
        <v>0</v>
      </c>
      <c r="Z20">
        <f>IF(VLOOKUP(Z$1,main!$A$3:$H$102,5,FALSE)-VLOOKUP($A20,main!$A$3:$H$102,6,FALSE)&gt;=main!$D$103+VLOOKUP(VLOOKUP(Z$1,main!$A$3:$I$102,7,FALSE),main!$K$26:$Q$29,3,FALSE),1,0)</f>
        <v>0</v>
      </c>
      <c r="AA20">
        <f>IF(VLOOKUP(AA$1,main!$A$3:$H$102,5,FALSE)-VLOOKUP($A20,main!$A$3:$H$102,6,FALSE)&gt;=main!$D$103+VLOOKUP(VLOOKUP(AA$1,main!$A$3:$I$102,7,FALSE),main!$K$26:$Q$29,3,FALSE),1,0)</f>
        <v>0</v>
      </c>
      <c r="AB20">
        <f>IF(VLOOKUP(AB$1,main!$A$3:$H$102,5,FALSE)-VLOOKUP($A20,main!$A$3:$H$102,6,FALSE)&gt;=main!$D$103+VLOOKUP(VLOOKUP(AB$1,main!$A$3:$I$102,7,FALSE),main!$K$26:$Q$29,3,FALSE),1,0)</f>
        <v>0</v>
      </c>
      <c r="AC20">
        <f>IF(VLOOKUP(AC$1,main!$A$3:$H$102,5,FALSE)-VLOOKUP($A20,main!$A$3:$H$102,6,FALSE)&gt;=main!$D$103+VLOOKUP(VLOOKUP(AC$1,main!$A$3:$I$102,7,FALSE),main!$K$26:$Q$29,3,FALSE),1,0)</f>
        <v>0</v>
      </c>
      <c r="AD20">
        <f>IF(VLOOKUP(AD$1,main!$A$3:$H$102,5,FALSE)-VLOOKUP($A20,main!$A$3:$H$102,6,FALSE)&gt;=main!$D$103+VLOOKUP(VLOOKUP(AD$1,main!$A$3:$I$102,7,FALSE),main!$K$26:$Q$29,3,FALSE),1,0)</f>
        <v>0</v>
      </c>
      <c r="AE20">
        <f>IF(VLOOKUP(AE$1,main!$A$3:$H$102,5,FALSE)-VLOOKUP($A20,main!$A$3:$H$102,6,FALSE)&gt;=main!$D$103+VLOOKUP(VLOOKUP(AE$1,main!$A$3:$I$102,7,FALSE),main!$K$26:$Q$29,3,FALSE),1,0)</f>
        <v>0</v>
      </c>
      <c r="AF20">
        <f>IF(VLOOKUP(AF$1,main!$A$3:$H$102,5,FALSE)-VLOOKUP($A20,main!$A$3:$H$102,6,FALSE)&gt;=main!$D$103+VLOOKUP(VLOOKUP(AF$1,main!$A$3:$I$102,7,FALSE),main!$K$26:$Q$29,3,FALSE),1,0)</f>
        <v>0</v>
      </c>
      <c r="AG20">
        <f>IF(VLOOKUP(AG$1,main!$A$3:$H$102,5,FALSE)-VLOOKUP($A20,main!$A$3:$H$102,6,FALSE)&gt;=main!$D$103+VLOOKUP(VLOOKUP(AG$1,main!$A$3:$I$102,7,FALSE),main!$K$26:$Q$29,3,FALSE),1,0)</f>
        <v>0</v>
      </c>
      <c r="AH20">
        <f>IF(VLOOKUP(AH$1,main!$A$3:$H$102,5,FALSE)-VLOOKUP($A20,main!$A$3:$H$102,6,FALSE)&gt;=main!$D$103+VLOOKUP(VLOOKUP(AH$1,main!$A$3:$I$102,7,FALSE),main!$K$26:$Q$29,3,FALSE),1,0)</f>
        <v>0</v>
      </c>
      <c r="AI20">
        <f>IF(VLOOKUP(AI$1,main!$A$3:$H$102,5,FALSE)-VLOOKUP($A20,main!$A$3:$H$102,6,FALSE)&gt;=main!$D$103+VLOOKUP(VLOOKUP(AI$1,main!$A$3:$I$102,7,FALSE),main!$K$26:$Q$29,3,FALSE),1,0)</f>
        <v>0</v>
      </c>
      <c r="AJ20">
        <f>IF(VLOOKUP(AJ$1,main!$A$3:$H$102,5,FALSE)-VLOOKUP($A20,main!$A$3:$H$102,6,FALSE)&gt;=main!$D$103+VLOOKUP(VLOOKUP(AJ$1,main!$A$3:$I$102,7,FALSE),main!$K$26:$Q$29,3,FALSE),1,0)</f>
        <v>0</v>
      </c>
      <c r="AK20">
        <f>IF(VLOOKUP(AK$1,main!$A$3:$H$102,5,FALSE)-VLOOKUP($A20,main!$A$3:$H$102,6,FALSE)&gt;=main!$D$103+VLOOKUP(VLOOKUP(AK$1,main!$A$3:$I$102,7,FALSE),main!$K$26:$Q$29,3,FALSE),1,0)</f>
        <v>0</v>
      </c>
      <c r="AL20">
        <f>IF(VLOOKUP(AL$1,main!$A$3:$H$102,5,FALSE)-VLOOKUP($A20,main!$A$3:$H$102,6,FALSE)&gt;=main!$D$103+VLOOKUP(VLOOKUP(AL$1,main!$A$3:$I$102,7,FALSE),main!$K$26:$Q$29,3,FALSE),1,0)</f>
        <v>0</v>
      </c>
      <c r="AM20">
        <f>IF(VLOOKUP(AM$1,main!$A$3:$H$102,5,FALSE)-VLOOKUP($A20,main!$A$3:$H$102,6,FALSE)&gt;=main!$D$103+VLOOKUP(VLOOKUP(AM$1,main!$A$3:$I$102,7,FALSE),main!$K$26:$Q$29,3,FALSE),1,0)</f>
        <v>0</v>
      </c>
      <c r="AN20">
        <f>IF(VLOOKUP(AN$1,main!$A$3:$H$102,5,FALSE)-VLOOKUP($A20,main!$A$3:$H$102,6,FALSE)&gt;=main!$D$103+VLOOKUP(VLOOKUP(AN$1,main!$A$3:$I$102,7,FALSE),main!$K$26:$Q$29,3,FALSE),1,0)</f>
        <v>0</v>
      </c>
      <c r="AO20">
        <f>IF(VLOOKUP(AO$1,main!$A$3:$H$102,5,FALSE)-VLOOKUP($A20,main!$A$3:$H$102,6,FALSE)&gt;=main!$D$103+VLOOKUP(VLOOKUP(AO$1,main!$A$3:$I$102,7,FALSE),main!$K$26:$Q$29,3,FALSE),1,0)</f>
        <v>0</v>
      </c>
      <c r="AP20">
        <f>IF(VLOOKUP(AP$1,main!$A$3:$H$102,5,FALSE)-VLOOKUP($A20,main!$A$3:$H$102,6,FALSE)&gt;=main!$D$103+VLOOKUP(VLOOKUP(AP$1,main!$A$3:$I$102,7,FALSE),main!$K$26:$Q$29,3,FALSE),1,0)</f>
        <v>0</v>
      </c>
      <c r="AQ20">
        <f>IF(VLOOKUP(AQ$1,main!$A$3:$H$102,5,FALSE)-VLOOKUP($A20,main!$A$3:$H$102,6,FALSE)&gt;=main!$D$103+VLOOKUP(VLOOKUP(AQ$1,main!$A$3:$I$102,7,FALSE),main!$K$26:$Q$29,3,FALSE),1,0)</f>
        <v>0</v>
      </c>
      <c r="AR20">
        <f>IF(VLOOKUP(AR$1,main!$A$3:$H$102,5,FALSE)-VLOOKUP($A20,main!$A$3:$H$102,6,FALSE)&gt;=main!$D$103+VLOOKUP(VLOOKUP(AR$1,main!$A$3:$I$102,7,FALSE),main!$K$26:$Q$29,3,FALSE),1,0)</f>
        <v>0</v>
      </c>
      <c r="AS20">
        <f>IF(VLOOKUP(AS$1,main!$A$3:$H$102,5,FALSE)-VLOOKUP($A20,main!$A$3:$H$102,6,FALSE)&gt;=main!$D$103+VLOOKUP(VLOOKUP(AS$1,main!$A$3:$I$102,7,FALSE),main!$K$26:$Q$29,3,FALSE),1,0)</f>
        <v>0</v>
      </c>
      <c r="AT20">
        <f>IF(VLOOKUP(AT$1,main!$A$3:$H$102,5,FALSE)-VLOOKUP($A20,main!$A$3:$H$102,6,FALSE)&gt;=main!$D$103+VLOOKUP(VLOOKUP(AT$1,main!$A$3:$I$102,7,FALSE),main!$K$26:$Q$29,3,FALSE),1,0)</f>
        <v>0</v>
      </c>
      <c r="AU20">
        <f>IF(VLOOKUP(AU$1,main!$A$3:$H$102,5,FALSE)-VLOOKUP($A20,main!$A$3:$H$102,6,FALSE)&gt;=main!$D$103+VLOOKUP(VLOOKUP(AU$1,main!$A$3:$I$102,7,FALSE),main!$K$26:$Q$29,3,FALSE),1,0)</f>
        <v>0</v>
      </c>
      <c r="AV20">
        <f>IF(VLOOKUP(AV$1,main!$A$3:$H$102,5,FALSE)-VLOOKUP($A20,main!$A$3:$H$102,6,FALSE)&gt;=main!$D$103+VLOOKUP(VLOOKUP(AV$1,main!$A$3:$I$102,7,FALSE),main!$K$26:$Q$29,3,FALSE),1,0)</f>
        <v>0</v>
      </c>
      <c r="AW20">
        <f>IF(VLOOKUP(AW$1,main!$A$3:$H$102,5,FALSE)-VLOOKUP($A20,main!$A$3:$H$102,6,FALSE)&gt;=main!$D$103+VLOOKUP(VLOOKUP(AW$1,main!$A$3:$I$102,7,FALSE),main!$K$26:$Q$29,3,FALSE),1,0)</f>
        <v>0</v>
      </c>
      <c r="AX20">
        <f>IF(VLOOKUP(AX$1,main!$A$3:$H$102,5,FALSE)-VLOOKUP($A20,main!$A$3:$H$102,6,FALSE)&gt;=main!$D$103+VLOOKUP(VLOOKUP(AX$1,main!$A$3:$I$102,7,FALSE),main!$K$26:$Q$29,3,FALSE),1,0)</f>
        <v>0</v>
      </c>
      <c r="AY20">
        <f>IF(VLOOKUP(AY$1,main!$A$3:$H$102,5,FALSE)-VLOOKUP($A20,main!$A$3:$H$102,6,FALSE)&gt;=main!$D$103+VLOOKUP(VLOOKUP(AY$1,main!$A$3:$I$102,7,FALSE),main!$K$26:$Q$29,3,FALSE),1,0)</f>
        <v>0</v>
      </c>
      <c r="AZ20">
        <f>IF(VLOOKUP(AZ$1,main!$A$3:$H$102,5,FALSE)-VLOOKUP($A20,main!$A$3:$H$102,6,FALSE)&gt;=main!$D$103+VLOOKUP(VLOOKUP(AZ$1,main!$A$3:$I$102,7,FALSE),main!$K$26:$Q$29,3,FALSE),1,0)</f>
        <v>0</v>
      </c>
      <c r="BA20">
        <f>IF(VLOOKUP(BA$1,main!$A$3:$H$102,5,FALSE)-VLOOKUP($A20,main!$A$3:$H$102,6,FALSE)&gt;=main!$D$103+VLOOKUP(VLOOKUP(BA$1,main!$A$3:$I$102,7,FALSE),main!$K$26:$Q$29,3,FALSE),1,0)</f>
        <v>0</v>
      </c>
      <c r="BB20">
        <f>IF(VLOOKUP(BB$1,main!$A$3:$H$102,5,FALSE)-VLOOKUP($A20,main!$A$3:$H$102,6,FALSE)&gt;=main!$D$103+VLOOKUP(VLOOKUP(BB$1,main!$A$3:$I$102,7,FALSE),main!$K$26:$Q$29,3,FALSE),1,0)</f>
        <v>0</v>
      </c>
      <c r="BC20">
        <f>IF(VLOOKUP(BC$1,main!$A$3:$H$102,5,FALSE)-VLOOKUP($A20,main!$A$3:$H$102,6,FALSE)&gt;=main!$D$103+VLOOKUP(VLOOKUP(BC$1,main!$A$3:$I$102,7,FALSE),main!$K$26:$Q$29,3,FALSE),1,0)</f>
        <v>0</v>
      </c>
      <c r="BD20">
        <f>IF(VLOOKUP(BD$1,main!$A$3:$H$102,5,FALSE)-VLOOKUP($A20,main!$A$3:$H$102,6,FALSE)&gt;=main!$D$103+VLOOKUP(VLOOKUP(BD$1,main!$A$3:$I$102,7,FALSE),main!$K$26:$Q$29,3,FALSE),1,0)</f>
        <v>0</v>
      </c>
      <c r="BE20">
        <f>IF(VLOOKUP(BE$1,main!$A$3:$H$102,5,FALSE)-VLOOKUP($A20,main!$A$3:$H$102,6,FALSE)&gt;=main!$D$103+VLOOKUP(VLOOKUP(BE$1,main!$A$3:$I$102,7,FALSE),main!$K$26:$Q$29,3,FALSE),1,0)</f>
        <v>0</v>
      </c>
      <c r="BF20">
        <f>IF(VLOOKUP(BF$1,main!$A$3:$H$102,5,FALSE)-VLOOKUP($A20,main!$A$3:$H$102,6,FALSE)&gt;=main!$D$103+VLOOKUP(VLOOKUP(BF$1,main!$A$3:$I$102,7,FALSE),main!$K$26:$Q$29,3,FALSE),1,0)</f>
        <v>0</v>
      </c>
      <c r="BG20">
        <f>IF(VLOOKUP(BG$1,main!$A$3:$H$102,5,FALSE)-VLOOKUP($A20,main!$A$3:$H$102,6,FALSE)&gt;=main!$D$103+VLOOKUP(VLOOKUP(BG$1,main!$A$3:$I$102,7,FALSE),main!$K$26:$Q$29,3,FALSE),1,0)</f>
        <v>0</v>
      </c>
      <c r="BH20">
        <f>IF(VLOOKUP(BH$1,main!$A$3:$H$102,5,FALSE)-VLOOKUP($A20,main!$A$3:$H$102,6,FALSE)&gt;=main!$D$103+VLOOKUP(VLOOKUP(BH$1,main!$A$3:$I$102,7,FALSE),main!$K$26:$Q$29,3,FALSE),1,0)</f>
        <v>0</v>
      </c>
      <c r="BI20">
        <f>IF(VLOOKUP(BI$1,main!$A$3:$H$102,5,FALSE)-VLOOKUP($A20,main!$A$3:$H$102,6,FALSE)&gt;=main!$D$103+VLOOKUP(VLOOKUP(BI$1,main!$A$3:$I$102,7,FALSE),main!$K$26:$Q$29,3,FALSE),1,0)</f>
        <v>0</v>
      </c>
      <c r="BJ20">
        <f>IF(VLOOKUP(BJ$1,main!$A$3:$H$102,5,FALSE)-VLOOKUP($A20,main!$A$3:$H$102,6,FALSE)&gt;=main!$D$103+VLOOKUP(VLOOKUP(BJ$1,main!$A$3:$I$102,7,FALSE),main!$K$26:$Q$29,3,FALSE),1,0)</f>
        <v>0</v>
      </c>
      <c r="BK20">
        <f>IF(VLOOKUP(BK$1,main!$A$3:$H$102,5,FALSE)-VLOOKUP($A20,main!$A$3:$H$102,6,FALSE)&gt;=main!$D$103+VLOOKUP(VLOOKUP(BK$1,main!$A$3:$I$102,7,FALSE),main!$K$26:$Q$29,3,FALSE),1,0)</f>
        <v>0</v>
      </c>
      <c r="BL20">
        <f>IF(VLOOKUP(BL$1,main!$A$3:$H$102,5,FALSE)-VLOOKUP($A20,main!$A$3:$H$102,6,FALSE)&gt;=main!$D$103+VLOOKUP(VLOOKUP(BL$1,main!$A$3:$I$102,7,FALSE),main!$K$26:$Q$29,3,FALSE),1,0)</f>
        <v>0</v>
      </c>
      <c r="BM20">
        <f>IF(VLOOKUP(BM$1,main!$A$3:$H$102,5,FALSE)-VLOOKUP($A20,main!$A$3:$H$102,6,FALSE)&gt;=main!$D$103+VLOOKUP(VLOOKUP(BM$1,main!$A$3:$I$102,7,FALSE),main!$K$26:$Q$29,3,FALSE),1,0)</f>
        <v>0</v>
      </c>
      <c r="BN20">
        <f>IF(VLOOKUP(BN$1,main!$A$3:$H$102,5,FALSE)-VLOOKUP($A20,main!$A$3:$H$102,6,FALSE)&gt;=main!$D$103+VLOOKUP(VLOOKUP(BN$1,main!$A$3:$I$102,7,FALSE),main!$K$26:$Q$29,3,FALSE),1,0)</f>
        <v>0</v>
      </c>
      <c r="BO20">
        <f>IF(VLOOKUP(BO$1,main!$A$3:$H$102,5,FALSE)-VLOOKUP($A20,main!$A$3:$H$102,6,FALSE)&gt;=main!$D$103+VLOOKUP(VLOOKUP(BO$1,main!$A$3:$I$102,7,FALSE),main!$K$26:$Q$29,3,FALSE),1,0)</f>
        <v>0</v>
      </c>
      <c r="BP20">
        <f>IF(VLOOKUP(BP$1,main!$A$3:$H$102,5,FALSE)-VLOOKUP($A20,main!$A$3:$H$102,6,FALSE)&gt;=main!$D$103+VLOOKUP(VLOOKUP(BP$1,main!$A$3:$I$102,7,FALSE),main!$K$26:$Q$29,3,FALSE),1,0)</f>
        <v>0</v>
      </c>
      <c r="BQ20">
        <f>IF(VLOOKUP(BQ$1,main!$A$3:$H$102,5,FALSE)-VLOOKUP($A20,main!$A$3:$H$102,6,FALSE)&gt;=main!$D$103+VLOOKUP(VLOOKUP(BQ$1,main!$A$3:$I$102,7,FALSE),main!$K$26:$Q$29,3,FALSE),1,0)</f>
        <v>0</v>
      </c>
      <c r="BR20">
        <f>IF(VLOOKUP(BR$1,main!$A$3:$H$102,5,FALSE)-VLOOKUP($A20,main!$A$3:$H$102,6,FALSE)&gt;=main!$D$103+VLOOKUP(VLOOKUP(BR$1,main!$A$3:$I$102,7,FALSE),main!$K$26:$Q$29,3,FALSE),1,0)</f>
        <v>0</v>
      </c>
      <c r="BS20">
        <f>IF(VLOOKUP(BS$1,main!$A$3:$H$102,5,FALSE)-VLOOKUP($A20,main!$A$3:$H$102,6,FALSE)&gt;=main!$D$103+VLOOKUP(VLOOKUP(BS$1,main!$A$3:$I$102,7,FALSE),main!$K$26:$Q$29,3,FALSE),1,0)</f>
        <v>0</v>
      </c>
      <c r="BT20">
        <f>IF(VLOOKUP(BT$1,main!$A$3:$H$102,5,FALSE)-VLOOKUP($A20,main!$A$3:$H$102,6,FALSE)&gt;=main!$D$103+VLOOKUP(VLOOKUP(BT$1,main!$A$3:$I$102,7,FALSE),main!$K$26:$Q$29,3,FALSE),1,0)</f>
        <v>0</v>
      </c>
      <c r="BU20">
        <f>IF(VLOOKUP(BU$1,main!$A$3:$H$102,5,FALSE)-VLOOKUP($A20,main!$A$3:$H$102,6,FALSE)&gt;=main!$D$103+VLOOKUP(VLOOKUP(BU$1,main!$A$3:$I$102,7,FALSE),main!$K$26:$Q$29,3,FALSE),1,0)</f>
        <v>0</v>
      </c>
      <c r="BV20">
        <f>IF(VLOOKUP(BV$1,main!$A$3:$H$102,5,FALSE)-VLOOKUP($A20,main!$A$3:$H$102,6,FALSE)&gt;=main!$D$103+VLOOKUP(VLOOKUP(BV$1,main!$A$3:$I$102,7,FALSE),main!$K$26:$Q$29,3,FALSE),1,0)</f>
        <v>0</v>
      </c>
      <c r="BW20">
        <f>IF(VLOOKUP(BW$1,main!$A$3:$H$102,5,FALSE)-VLOOKUP($A20,main!$A$3:$H$102,6,FALSE)&gt;=main!$D$103+VLOOKUP(VLOOKUP(BW$1,main!$A$3:$I$102,7,FALSE),main!$K$26:$Q$29,3,FALSE),1,0)</f>
        <v>0</v>
      </c>
      <c r="BX20">
        <f>IF(VLOOKUP(BX$1,main!$A$3:$H$102,5,FALSE)-VLOOKUP($A20,main!$A$3:$H$102,6,FALSE)&gt;=main!$D$103+VLOOKUP(VLOOKUP(BX$1,main!$A$3:$I$102,7,FALSE),main!$K$26:$Q$29,3,FALSE),1,0)</f>
        <v>0</v>
      </c>
      <c r="BY20">
        <f>IF(VLOOKUP(BY$1,main!$A$3:$H$102,5,FALSE)-VLOOKUP($A20,main!$A$3:$H$102,6,FALSE)&gt;=main!$D$103+VLOOKUP(VLOOKUP(BY$1,main!$A$3:$I$102,7,FALSE),main!$K$26:$Q$29,3,FALSE),1,0)</f>
        <v>0</v>
      </c>
      <c r="BZ20">
        <f>IF(VLOOKUP(BZ$1,main!$A$3:$H$102,5,FALSE)-VLOOKUP($A20,main!$A$3:$H$102,6,FALSE)&gt;=main!$D$103+VLOOKUP(VLOOKUP(BZ$1,main!$A$3:$I$102,7,FALSE),main!$K$26:$Q$29,3,FALSE),1,0)</f>
        <v>0</v>
      </c>
      <c r="CA20">
        <f>IF(VLOOKUP(CA$1,main!$A$3:$H$102,5,FALSE)-VLOOKUP($A20,main!$A$3:$H$102,6,FALSE)&gt;=main!$D$103+VLOOKUP(VLOOKUP(CA$1,main!$A$3:$I$102,7,FALSE),main!$K$26:$Q$29,3,FALSE),1,0)</f>
        <v>0</v>
      </c>
      <c r="CB20">
        <f>IF(VLOOKUP(CB$1,main!$A$3:$H$102,5,FALSE)-VLOOKUP($A20,main!$A$3:$H$102,6,FALSE)&gt;=main!$D$103+VLOOKUP(VLOOKUP(CB$1,main!$A$3:$I$102,7,FALSE),main!$K$26:$Q$29,3,FALSE),1,0)</f>
        <v>0</v>
      </c>
      <c r="CC20">
        <f>IF(VLOOKUP(CC$1,main!$A$3:$H$102,5,FALSE)-VLOOKUP($A20,main!$A$3:$H$102,6,FALSE)&gt;=main!$D$103+VLOOKUP(VLOOKUP(CC$1,main!$A$3:$I$102,7,FALSE),main!$K$26:$Q$29,3,FALSE),1,0)</f>
        <v>0</v>
      </c>
      <c r="CD20">
        <f>IF(VLOOKUP(CD$1,main!$A$3:$H$102,5,FALSE)-VLOOKUP($A20,main!$A$3:$H$102,6,FALSE)&gt;=main!$D$103+VLOOKUP(VLOOKUP(CD$1,main!$A$3:$I$102,7,FALSE),main!$K$26:$Q$29,3,FALSE),1,0)</f>
        <v>0</v>
      </c>
      <c r="CE20">
        <f>IF(VLOOKUP(CE$1,main!$A$3:$H$102,5,FALSE)-VLOOKUP($A20,main!$A$3:$H$102,6,FALSE)&gt;=main!$D$103+VLOOKUP(VLOOKUP(CE$1,main!$A$3:$I$102,7,FALSE),main!$K$26:$Q$29,3,FALSE),1,0)</f>
        <v>0</v>
      </c>
      <c r="CF20">
        <f>IF(VLOOKUP(CF$1,main!$A$3:$H$102,5,FALSE)-VLOOKUP($A20,main!$A$3:$H$102,6,FALSE)&gt;=main!$D$103+VLOOKUP(VLOOKUP(CF$1,main!$A$3:$I$102,7,FALSE),main!$K$26:$Q$29,3,FALSE),1,0)</f>
        <v>0</v>
      </c>
      <c r="CG20">
        <f>IF(VLOOKUP(CG$1,main!$A$3:$H$102,5,FALSE)-VLOOKUP($A20,main!$A$3:$H$102,6,FALSE)&gt;=main!$D$103+VLOOKUP(VLOOKUP(CG$1,main!$A$3:$I$102,7,FALSE),main!$K$26:$Q$29,3,FALSE),1,0)</f>
        <v>0</v>
      </c>
      <c r="CH20">
        <f>IF(VLOOKUP(CH$1,main!$A$3:$H$102,5,FALSE)-VLOOKUP($A20,main!$A$3:$H$102,6,FALSE)&gt;=main!$D$103+VLOOKUP(VLOOKUP(CH$1,main!$A$3:$I$102,7,FALSE),main!$K$26:$Q$29,3,FALSE),1,0)</f>
        <v>0</v>
      </c>
      <c r="CI20">
        <f>IF(VLOOKUP(CI$1,main!$A$3:$H$102,5,FALSE)-VLOOKUP($A20,main!$A$3:$H$102,6,FALSE)&gt;=main!$D$103+VLOOKUP(VLOOKUP(CI$1,main!$A$3:$I$102,7,FALSE),main!$K$26:$Q$29,3,FALSE),1,0)</f>
        <v>0</v>
      </c>
      <c r="CJ20">
        <f>IF(VLOOKUP(CJ$1,main!$A$3:$H$102,5,FALSE)-VLOOKUP($A20,main!$A$3:$H$102,6,FALSE)&gt;=main!$D$103+VLOOKUP(VLOOKUP(CJ$1,main!$A$3:$I$102,7,FALSE),main!$K$26:$Q$29,3,FALSE),1,0)</f>
        <v>0</v>
      </c>
      <c r="CK20">
        <f>IF(VLOOKUP(CK$1,main!$A$3:$H$102,5,FALSE)-VLOOKUP($A20,main!$A$3:$H$102,6,FALSE)&gt;=main!$D$103+VLOOKUP(VLOOKUP(CK$1,main!$A$3:$I$102,7,FALSE),main!$K$26:$Q$29,3,FALSE),1,0)</f>
        <v>0</v>
      </c>
      <c r="CL20">
        <f>IF(VLOOKUP(CL$1,main!$A$3:$H$102,5,FALSE)-VLOOKUP($A20,main!$A$3:$H$102,6,FALSE)&gt;=main!$D$103+VLOOKUP(VLOOKUP(CL$1,main!$A$3:$I$102,7,FALSE),main!$K$26:$Q$29,3,FALSE),1,0)</f>
        <v>0</v>
      </c>
      <c r="CM20">
        <f>IF(VLOOKUP(CM$1,main!$A$3:$H$102,5,FALSE)-VLOOKUP($A20,main!$A$3:$H$102,6,FALSE)&gt;=main!$D$103+VLOOKUP(VLOOKUP(CM$1,main!$A$3:$I$102,7,FALSE),main!$K$26:$Q$29,3,FALSE),1,0)</f>
        <v>0</v>
      </c>
      <c r="CN20">
        <f>IF(VLOOKUP(CN$1,main!$A$3:$H$102,5,FALSE)-VLOOKUP($A20,main!$A$3:$H$102,6,FALSE)&gt;=main!$D$103+VLOOKUP(VLOOKUP(CN$1,main!$A$3:$I$102,7,FALSE),main!$K$26:$Q$29,3,FALSE),1,0)</f>
        <v>0</v>
      </c>
      <c r="CO20">
        <f>IF(VLOOKUP(CO$1,main!$A$3:$H$102,5,FALSE)-VLOOKUP($A20,main!$A$3:$H$102,6,FALSE)&gt;=main!$D$103+VLOOKUP(VLOOKUP(CO$1,main!$A$3:$I$102,7,FALSE),main!$K$26:$Q$29,3,FALSE),1,0)</f>
        <v>0</v>
      </c>
      <c r="CP20">
        <f>IF(VLOOKUP(CP$1,main!$A$3:$H$102,5,FALSE)-VLOOKUP($A20,main!$A$3:$H$102,6,FALSE)&gt;=main!$D$103+VLOOKUP(VLOOKUP(CP$1,main!$A$3:$I$102,7,FALSE),main!$K$26:$Q$29,3,FALSE),1,0)</f>
        <v>0</v>
      </c>
      <c r="CQ20">
        <f>IF(VLOOKUP(CQ$1,main!$A$3:$H$102,5,FALSE)-VLOOKUP($A20,main!$A$3:$H$102,6,FALSE)&gt;=main!$D$103+VLOOKUP(VLOOKUP(CQ$1,main!$A$3:$I$102,7,FALSE),main!$K$26:$Q$29,3,FALSE),1,0)</f>
        <v>0</v>
      </c>
      <c r="CR20">
        <f>IF(VLOOKUP(CR$1,main!$A$3:$H$102,5,FALSE)-VLOOKUP($A20,main!$A$3:$H$102,6,FALSE)&gt;=main!$D$103+VLOOKUP(VLOOKUP(CR$1,main!$A$3:$I$102,7,FALSE),main!$K$26:$Q$29,3,FALSE),1,0)</f>
        <v>0</v>
      </c>
      <c r="CS20">
        <f>IF(VLOOKUP(CS$1,main!$A$3:$H$102,5,FALSE)-VLOOKUP($A20,main!$A$3:$H$102,6,FALSE)&gt;=main!$D$103+VLOOKUP(VLOOKUP(CS$1,main!$A$3:$I$102,7,FALSE),main!$K$26:$Q$29,3,FALSE),1,0)</f>
        <v>0</v>
      </c>
      <c r="CT20">
        <f>IF(VLOOKUP(CT$1,main!$A$3:$H$102,5,FALSE)-VLOOKUP($A20,main!$A$3:$H$102,6,FALSE)&gt;=main!$D$103+VLOOKUP(VLOOKUP(CT$1,main!$A$3:$I$102,7,FALSE),main!$K$26:$Q$29,3,FALSE),1,0)</f>
        <v>0</v>
      </c>
      <c r="CU20">
        <f>IF(VLOOKUP(CU$1,main!$A$3:$H$102,5,FALSE)-VLOOKUP($A20,main!$A$3:$H$102,6,FALSE)&gt;=main!$D$103+VLOOKUP(VLOOKUP(CU$1,main!$A$3:$I$102,7,FALSE),main!$K$26:$Q$29,3,FALSE),1,0)</f>
        <v>0</v>
      </c>
      <c r="CV20">
        <f>IF(VLOOKUP(CV$1,main!$A$3:$H$102,5,FALSE)-VLOOKUP($A20,main!$A$3:$H$102,6,FALSE)&gt;=main!$D$103+VLOOKUP(VLOOKUP(CV$1,main!$A$3:$I$102,7,FALSE),main!$K$26:$Q$29,3,FALSE),1,0)</f>
        <v>0</v>
      </c>
      <c r="CW20">
        <f>IF(VLOOKUP(CW$1,main!$A$3:$H$102,5,FALSE)-VLOOKUP($A20,main!$A$3:$H$102,6,FALSE)&gt;=main!$D$103+VLOOKUP(VLOOKUP(CW$1,main!$A$3:$I$102,7,FALSE),main!$K$26:$Q$29,3,FALSE),1,0)</f>
        <v>0</v>
      </c>
      <c r="CX20">
        <f>IF(VLOOKUP(CX$1,main!$A$3:$H$102,5,FALSE)-VLOOKUP($A20,main!$A$3:$H$102,6,FALSE)&gt;=main!$D$103+VLOOKUP(VLOOKUP(CX$1,main!$A$3:$I$102,7,FALSE),main!$K$26:$Q$29,3,FALSE),1,0)</f>
        <v>0</v>
      </c>
      <c r="CZ20">
        <f>main!$D$103+VLOOKUP(VLOOKUP(CW$1,main!$A$3:$I$102,7,FALSE),main!$K$26:$Q$29,3,FALSE)</f>
        <v>80</v>
      </c>
    </row>
    <row r="21" spans="1:104" x14ac:dyDescent="0.25">
      <c r="A21" s="1">
        <v>19</v>
      </c>
      <c r="B21">
        <v>0</v>
      </c>
      <c r="C21">
        <f>IF(VLOOKUP(C$1,main!$A$3:$H$102,5,FALSE)-VLOOKUP($A21,main!$A$3:$H$102,6,FALSE)&gt;=main!$D$103+VLOOKUP(VLOOKUP(C$1,main!$A$3:$I$102,7,FALSE),main!$K$26:$Q$29,3,FALSE),1,0)</f>
        <v>0</v>
      </c>
      <c r="D21">
        <f>IF(VLOOKUP(D$1,main!$A$3:$H$102,5,FALSE)-VLOOKUP($A21,main!$A$3:$H$102,6,FALSE)&gt;=main!$D$103+VLOOKUP(VLOOKUP(D$1,main!$A$3:$I$102,7,FALSE),main!$K$26:$Q$29,3,FALSE),1,0)</f>
        <v>0</v>
      </c>
      <c r="E21">
        <f>IF(VLOOKUP(E$1,main!$A$3:$H$102,5,FALSE)-VLOOKUP($A21,main!$A$3:$H$102,6,FALSE)&gt;=main!$D$103+VLOOKUP(VLOOKUP(E$1,main!$A$3:$I$102,7,FALSE),main!$K$26:$Q$29,3,FALSE),1,0)</f>
        <v>0</v>
      </c>
      <c r="F21">
        <f>IF(VLOOKUP(F$1,main!$A$3:$H$102,5,FALSE)-VLOOKUP($A21,main!$A$3:$H$102,6,FALSE)&gt;=main!$D$103+VLOOKUP(VLOOKUP(F$1,main!$A$3:$I$102,7,FALSE),main!$K$26:$Q$29,3,FALSE),1,0)</f>
        <v>0</v>
      </c>
      <c r="G21">
        <f>IF(VLOOKUP(G$1,main!$A$3:$H$102,5,FALSE)-VLOOKUP($A21,main!$A$3:$H$102,6,FALSE)&gt;=main!$D$103+VLOOKUP(VLOOKUP(G$1,main!$A$3:$I$102,7,FALSE),main!$K$26:$Q$29,3,FALSE),1,0)</f>
        <v>0</v>
      </c>
      <c r="H21">
        <f>IF(VLOOKUP(H$1,main!$A$3:$H$102,5,FALSE)-VLOOKUP($A21,main!$A$3:$H$102,6,FALSE)&gt;=main!$D$103+VLOOKUP(VLOOKUP(H$1,main!$A$3:$I$102,7,FALSE),main!$K$26:$Q$29,3,FALSE),1,0)</f>
        <v>0</v>
      </c>
      <c r="I21">
        <f>IF(VLOOKUP(I$1,main!$A$3:$H$102,5,FALSE)-VLOOKUP($A21,main!$A$3:$H$102,6,FALSE)&gt;=main!$D$103+VLOOKUP(VLOOKUP(I$1,main!$A$3:$I$102,7,FALSE),main!$K$26:$Q$29,3,FALSE),1,0)</f>
        <v>0</v>
      </c>
      <c r="J21">
        <f>IF(VLOOKUP(J$1,main!$A$3:$H$102,5,FALSE)-VLOOKUP($A21,main!$A$3:$H$102,6,FALSE)&gt;=main!$D$103+VLOOKUP(VLOOKUP(J$1,main!$A$3:$I$102,7,FALSE),main!$K$26:$Q$29,3,FALSE),1,0)</f>
        <v>0</v>
      </c>
      <c r="K21">
        <f>IF(VLOOKUP(K$1,main!$A$3:$H$102,5,FALSE)-VLOOKUP($A21,main!$A$3:$H$102,6,FALSE)&gt;=main!$D$103+VLOOKUP(VLOOKUP(K$1,main!$A$3:$I$102,7,FALSE),main!$K$26:$Q$29,3,FALSE),1,0)</f>
        <v>0</v>
      </c>
      <c r="L21">
        <f>IF(VLOOKUP(L$1,main!$A$3:$H$102,5,FALSE)-VLOOKUP($A21,main!$A$3:$H$102,6,FALSE)&gt;=main!$D$103+VLOOKUP(VLOOKUP(L$1,main!$A$3:$I$102,7,FALSE),main!$K$26:$Q$29,3,FALSE),1,0)</f>
        <v>0</v>
      </c>
      <c r="M21">
        <f>IF(VLOOKUP(M$1,main!$A$3:$H$102,5,FALSE)-VLOOKUP($A21,main!$A$3:$H$102,6,FALSE)&gt;=main!$D$103+VLOOKUP(VLOOKUP(M$1,main!$A$3:$I$102,7,FALSE),main!$K$26:$Q$29,3,FALSE),1,0)</f>
        <v>0</v>
      </c>
      <c r="N21">
        <f>IF(VLOOKUP(N$1,main!$A$3:$H$102,5,FALSE)-VLOOKUP($A21,main!$A$3:$H$102,6,FALSE)&gt;=main!$D$103+VLOOKUP(VLOOKUP(N$1,main!$A$3:$I$102,7,FALSE),main!$K$26:$Q$29,3,FALSE),1,0)</f>
        <v>0</v>
      </c>
      <c r="O21">
        <f>IF(VLOOKUP(O$1,main!$A$3:$H$102,5,FALSE)-VLOOKUP($A21,main!$A$3:$H$102,6,FALSE)&gt;=main!$D$103+VLOOKUP(VLOOKUP(O$1,main!$A$3:$I$102,7,FALSE),main!$K$26:$Q$29,3,FALSE),1,0)</f>
        <v>0</v>
      </c>
      <c r="P21">
        <f>IF(VLOOKUP(P$1,main!$A$3:$H$102,5,FALSE)-VLOOKUP($A21,main!$A$3:$H$102,6,FALSE)&gt;=main!$D$103+VLOOKUP(VLOOKUP(P$1,main!$A$3:$I$102,7,FALSE),main!$K$26:$Q$29,3,FALSE),1,0)</f>
        <v>0</v>
      </c>
      <c r="Q21">
        <f>IF(VLOOKUP(Q$1,main!$A$3:$H$102,5,FALSE)-VLOOKUP($A21,main!$A$3:$H$102,6,FALSE)&gt;=main!$D$103+VLOOKUP(VLOOKUP(Q$1,main!$A$3:$I$102,7,FALSE),main!$K$26:$Q$29,3,FALSE),1,0)</f>
        <v>0</v>
      </c>
      <c r="R21">
        <f>IF(VLOOKUP(R$1,main!$A$3:$H$102,5,FALSE)-VLOOKUP($A21,main!$A$3:$H$102,6,FALSE)&gt;=main!$D$103+VLOOKUP(VLOOKUP(R$1,main!$A$3:$I$102,7,FALSE),main!$K$26:$Q$29,3,FALSE),1,0)</f>
        <v>0</v>
      </c>
      <c r="S21">
        <f>IF(VLOOKUP(S$1,main!$A$3:$H$102,5,FALSE)-VLOOKUP($A21,main!$A$3:$H$102,6,FALSE)&gt;=main!$D$103+VLOOKUP(VLOOKUP(S$1,main!$A$3:$I$102,7,FALSE),main!$K$26:$Q$29,3,FALSE),1,0)</f>
        <v>0</v>
      </c>
      <c r="T21">
        <f>IF(VLOOKUP(T$1,main!$A$3:$H$102,5,FALSE)-VLOOKUP($A21,main!$A$3:$H$102,6,FALSE)&gt;=main!$D$103+VLOOKUP(VLOOKUP(T$1,main!$A$3:$I$102,7,FALSE),main!$K$26:$Q$29,3,FALSE),1,0)</f>
        <v>0</v>
      </c>
      <c r="U21">
        <f>IF(VLOOKUP(U$1,main!$A$3:$H$102,5,FALSE)-VLOOKUP($A21,main!$A$3:$H$102,6,FALSE)&gt;=main!$D$103+VLOOKUP(VLOOKUP(U$1,main!$A$3:$I$102,7,FALSE),main!$K$26:$Q$29,3,FALSE),1,0)</f>
        <v>0</v>
      </c>
      <c r="V21">
        <f>IF(VLOOKUP(V$1,main!$A$3:$H$102,5,FALSE)-VLOOKUP($A21,main!$A$3:$H$102,6,FALSE)&gt;=main!$D$103+VLOOKUP(VLOOKUP(V$1,main!$A$3:$I$102,7,FALSE),main!$K$26:$Q$29,3,FALSE),1,0)</f>
        <v>0</v>
      </c>
      <c r="W21">
        <f>IF(VLOOKUP(W$1,main!$A$3:$H$102,5,FALSE)-VLOOKUP($A21,main!$A$3:$H$102,6,FALSE)&gt;=main!$D$103+VLOOKUP(VLOOKUP(W$1,main!$A$3:$I$102,7,FALSE),main!$K$26:$Q$29,3,FALSE),1,0)</f>
        <v>0</v>
      </c>
      <c r="X21">
        <f>IF(VLOOKUP(X$1,main!$A$3:$H$102,5,FALSE)-VLOOKUP($A21,main!$A$3:$H$102,6,FALSE)&gt;=main!$D$103+VLOOKUP(VLOOKUP(X$1,main!$A$3:$I$102,7,FALSE),main!$K$26:$Q$29,3,FALSE),1,0)</f>
        <v>0</v>
      </c>
      <c r="Y21">
        <f>IF(VLOOKUP(Y$1,main!$A$3:$H$102,5,FALSE)-VLOOKUP($A21,main!$A$3:$H$102,6,FALSE)&gt;=main!$D$103+VLOOKUP(VLOOKUP(Y$1,main!$A$3:$I$102,7,FALSE),main!$K$26:$Q$29,3,FALSE),1,0)</f>
        <v>0</v>
      </c>
      <c r="Z21">
        <f>IF(VLOOKUP(Z$1,main!$A$3:$H$102,5,FALSE)-VLOOKUP($A21,main!$A$3:$H$102,6,FALSE)&gt;=main!$D$103+VLOOKUP(VLOOKUP(Z$1,main!$A$3:$I$102,7,FALSE),main!$K$26:$Q$29,3,FALSE),1,0)</f>
        <v>0</v>
      </c>
      <c r="AA21">
        <f>IF(VLOOKUP(AA$1,main!$A$3:$H$102,5,FALSE)-VLOOKUP($A21,main!$A$3:$H$102,6,FALSE)&gt;=main!$D$103+VLOOKUP(VLOOKUP(AA$1,main!$A$3:$I$102,7,FALSE),main!$K$26:$Q$29,3,FALSE),1,0)</f>
        <v>0</v>
      </c>
      <c r="AB21">
        <f>IF(VLOOKUP(AB$1,main!$A$3:$H$102,5,FALSE)-VLOOKUP($A21,main!$A$3:$H$102,6,FALSE)&gt;=main!$D$103+VLOOKUP(VLOOKUP(AB$1,main!$A$3:$I$102,7,FALSE),main!$K$26:$Q$29,3,FALSE),1,0)</f>
        <v>0</v>
      </c>
      <c r="AC21">
        <f>IF(VLOOKUP(AC$1,main!$A$3:$H$102,5,FALSE)-VLOOKUP($A21,main!$A$3:$H$102,6,FALSE)&gt;=main!$D$103+VLOOKUP(VLOOKUP(AC$1,main!$A$3:$I$102,7,FALSE),main!$K$26:$Q$29,3,FALSE),1,0)</f>
        <v>0</v>
      </c>
      <c r="AD21">
        <f>IF(VLOOKUP(AD$1,main!$A$3:$H$102,5,FALSE)-VLOOKUP($A21,main!$A$3:$H$102,6,FALSE)&gt;=main!$D$103+VLOOKUP(VLOOKUP(AD$1,main!$A$3:$I$102,7,FALSE),main!$K$26:$Q$29,3,FALSE),1,0)</f>
        <v>0</v>
      </c>
      <c r="AE21">
        <f>IF(VLOOKUP(AE$1,main!$A$3:$H$102,5,FALSE)-VLOOKUP($A21,main!$A$3:$H$102,6,FALSE)&gt;=main!$D$103+VLOOKUP(VLOOKUP(AE$1,main!$A$3:$I$102,7,FALSE),main!$K$26:$Q$29,3,FALSE),1,0)</f>
        <v>0</v>
      </c>
      <c r="AF21">
        <f>IF(VLOOKUP(AF$1,main!$A$3:$H$102,5,FALSE)-VLOOKUP($A21,main!$A$3:$H$102,6,FALSE)&gt;=main!$D$103+VLOOKUP(VLOOKUP(AF$1,main!$A$3:$I$102,7,FALSE),main!$K$26:$Q$29,3,FALSE),1,0)</f>
        <v>0</v>
      </c>
      <c r="AG21">
        <f>IF(VLOOKUP(AG$1,main!$A$3:$H$102,5,FALSE)-VLOOKUP($A21,main!$A$3:$H$102,6,FALSE)&gt;=main!$D$103+VLOOKUP(VLOOKUP(AG$1,main!$A$3:$I$102,7,FALSE),main!$K$26:$Q$29,3,FALSE),1,0)</f>
        <v>0</v>
      </c>
      <c r="AH21">
        <f>IF(VLOOKUP(AH$1,main!$A$3:$H$102,5,FALSE)-VLOOKUP($A21,main!$A$3:$H$102,6,FALSE)&gt;=main!$D$103+VLOOKUP(VLOOKUP(AH$1,main!$A$3:$I$102,7,FALSE),main!$K$26:$Q$29,3,FALSE),1,0)</f>
        <v>0</v>
      </c>
      <c r="AI21">
        <f>IF(VLOOKUP(AI$1,main!$A$3:$H$102,5,FALSE)-VLOOKUP($A21,main!$A$3:$H$102,6,FALSE)&gt;=main!$D$103+VLOOKUP(VLOOKUP(AI$1,main!$A$3:$I$102,7,FALSE),main!$K$26:$Q$29,3,FALSE),1,0)</f>
        <v>0</v>
      </c>
      <c r="AJ21">
        <f>IF(VLOOKUP(AJ$1,main!$A$3:$H$102,5,FALSE)-VLOOKUP($A21,main!$A$3:$H$102,6,FALSE)&gt;=main!$D$103+VLOOKUP(VLOOKUP(AJ$1,main!$A$3:$I$102,7,FALSE),main!$K$26:$Q$29,3,FALSE),1,0)</f>
        <v>0</v>
      </c>
      <c r="AK21">
        <f>IF(VLOOKUP(AK$1,main!$A$3:$H$102,5,FALSE)-VLOOKUP($A21,main!$A$3:$H$102,6,FALSE)&gt;=main!$D$103+VLOOKUP(VLOOKUP(AK$1,main!$A$3:$I$102,7,FALSE),main!$K$26:$Q$29,3,FALSE),1,0)</f>
        <v>0</v>
      </c>
      <c r="AL21">
        <f>IF(VLOOKUP(AL$1,main!$A$3:$H$102,5,FALSE)-VLOOKUP($A21,main!$A$3:$H$102,6,FALSE)&gt;=main!$D$103+VLOOKUP(VLOOKUP(AL$1,main!$A$3:$I$102,7,FALSE),main!$K$26:$Q$29,3,FALSE),1,0)</f>
        <v>0</v>
      </c>
      <c r="AM21">
        <f>IF(VLOOKUP(AM$1,main!$A$3:$H$102,5,FALSE)-VLOOKUP($A21,main!$A$3:$H$102,6,FALSE)&gt;=main!$D$103+VLOOKUP(VLOOKUP(AM$1,main!$A$3:$I$102,7,FALSE),main!$K$26:$Q$29,3,FALSE),1,0)</f>
        <v>0</v>
      </c>
      <c r="AN21">
        <f>IF(VLOOKUP(AN$1,main!$A$3:$H$102,5,FALSE)-VLOOKUP($A21,main!$A$3:$H$102,6,FALSE)&gt;=main!$D$103+VLOOKUP(VLOOKUP(AN$1,main!$A$3:$I$102,7,FALSE),main!$K$26:$Q$29,3,FALSE),1,0)</f>
        <v>0</v>
      </c>
      <c r="AO21">
        <f>IF(VLOOKUP(AO$1,main!$A$3:$H$102,5,FALSE)-VLOOKUP($A21,main!$A$3:$H$102,6,FALSE)&gt;=main!$D$103+VLOOKUP(VLOOKUP(AO$1,main!$A$3:$I$102,7,FALSE),main!$K$26:$Q$29,3,FALSE),1,0)</f>
        <v>0</v>
      </c>
      <c r="AP21">
        <f>IF(VLOOKUP(AP$1,main!$A$3:$H$102,5,FALSE)-VLOOKUP($A21,main!$A$3:$H$102,6,FALSE)&gt;=main!$D$103+VLOOKUP(VLOOKUP(AP$1,main!$A$3:$I$102,7,FALSE),main!$K$26:$Q$29,3,FALSE),1,0)</f>
        <v>0</v>
      </c>
      <c r="AQ21">
        <f>IF(VLOOKUP(AQ$1,main!$A$3:$H$102,5,FALSE)-VLOOKUP($A21,main!$A$3:$H$102,6,FALSE)&gt;=main!$D$103+VLOOKUP(VLOOKUP(AQ$1,main!$A$3:$I$102,7,FALSE),main!$K$26:$Q$29,3,FALSE),1,0)</f>
        <v>0</v>
      </c>
      <c r="AR21">
        <f>IF(VLOOKUP(AR$1,main!$A$3:$H$102,5,FALSE)-VLOOKUP($A21,main!$A$3:$H$102,6,FALSE)&gt;=main!$D$103+VLOOKUP(VLOOKUP(AR$1,main!$A$3:$I$102,7,FALSE),main!$K$26:$Q$29,3,FALSE),1,0)</f>
        <v>0</v>
      </c>
      <c r="AS21">
        <f>IF(VLOOKUP(AS$1,main!$A$3:$H$102,5,FALSE)-VLOOKUP($A21,main!$A$3:$H$102,6,FALSE)&gt;=main!$D$103+VLOOKUP(VLOOKUP(AS$1,main!$A$3:$I$102,7,FALSE),main!$K$26:$Q$29,3,FALSE),1,0)</f>
        <v>0</v>
      </c>
      <c r="AT21">
        <f>IF(VLOOKUP(AT$1,main!$A$3:$H$102,5,FALSE)-VLOOKUP($A21,main!$A$3:$H$102,6,FALSE)&gt;=main!$D$103+VLOOKUP(VLOOKUP(AT$1,main!$A$3:$I$102,7,FALSE),main!$K$26:$Q$29,3,FALSE),1,0)</f>
        <v>0</v>
      </c>
      <c r="AU21">
        <f>IF(VLOOKUP(AU$1,main!$A$3:$H$102,5,FALSE)-VLOOKUP($A21,main!$A$3:$H$102,6,FALSE)&gt;=main!$D$103+VLOOKUP(VLOOKUP(AU$1,main!$A$3:$I$102,7,FALSE),main!$K$26:$Q$29,3,FALSE),1,0)</f>
        <v>0</v>
      </c>
      <c r="AV21">
        <f>IF(VLOOKUP(AV$1,main!$A$3:$H$102,5,FALSE)-VLOOKUP($A21,main!$A$3:$H$102,6,FALSE)&gt;=main!$D$103+VLOOKUP(VLOOKUP(AV$1,main!$A$3:$I$102,7,FALSE),main!$K$26:$Q$29,3,FALSE),1,0)</f>
        <v>0</v>
      </c>
      <c r="AW21">
        <f>IF(VLOOKUP(AW$1,main!$A$3:$H$102,5,FALSE)-VLOOKUP($A21,main!$A$3:$H$102,6,FALSE)&gt;=main!$D$103+VLOOKUP(VLOOKUP(AW$1,main!$A$3:$I$102,7,FALSE),main!$K$26:$Q$29,3,FALSE),1,0)</f>
        <v>0</v>
      </c>
      <c r="AX21">
        <f>IF(VLOOKUP(AX$1,main!$A$3:$H$102,5,FALSE)-VLOOKUP($A21,main!$A$3:$H$102,6,FALSE)&gt;=main!$D$103+VLOOKUP(VLOOKUP(AX$1,main!$A$3:$I$102,7,FALSE),main!$K$26:$Q$29,3,FALSE),1,0)</f>
        <v>0</v>
      </c>
      <c r="AY21">
        <f>IF(VLOOKUP(AY$1,main!$A$3:$H$102,5,FALSE)-VLOOKUP($A21,main!$A$3:$H$102,6,FALSE)&gt;=main!$D$103+VLOOKUP(VLOOKUP(AY$1,main!$A$3:$I$102,7,FALSE),main!$K$26:$Q$29,3,FALSE),1,0)</f>
        <v>0</v>
      </c>
      <c r="AZ21">
        <f>IF(VLOOKUP(AZ$1,main!$A$3:$H$102,5,FALSE)-VLOOKUP($A21,main!$A$3:$H$102,6,FALSE)&gt;=main!$D$103+VLOOKUP(VLOOKUP(AZ$1,main!$A$3:$I$102,7,FALSE),main!$K$26:$Q$29,3,FALSE),1,0)</f>
        <v>0</v>
      </c>
      <c r="BA21">
        <f>IF(VLOOKUP(BA$1,main!$A$3:$H$102,5,FALSE)-VLOOKUP($A21,main!$A$3:$H$102,6,FALSE)&gt;=main!$D$103+VLOOKUP(VLOOKUP(BA$1,main!$A$3:$I$102,7,FALSE),main!$K$26:$Q$29,3,FALSE),1,0)</f>
        <v>0</v>
      </c>
      <c r="BB21">
        <f>IF(VLOOKUP(BB$1,main!$A$3:$H$102,5,FALSE)-VLOOKUP($A21,main!$A$3:$H$102,6,FALSE)&gt;=main!$D$103+VLOOKUP(VLOOKUP(BB$1,main!$A$3:$I$102,7,FALSE),main!$K$26:$Q$29,3,FALSE),1,0)</f>
        <v>0</v>
      </c>
      <c r="BC21">
        <f>IF(VLOOKUP(BC$1,main!$A$3:$H$102,5,FALSE)-VLOOKUP($A21,main!$A$3:$H$102,6,FALSE)&gt;=main!$D$103+VLOOKUP(VLOOKUP(BC$1,main!$A$3:$I$102,7,FALSE),main!$K$26:$Q$29,3,FALSE),1,0)</f>
        <v>0</v>
      </c>
      <c r="BD21">
        <f>IF(VLOOKUP(BD$1,main!$A$3:$H$102,5,FALSE)-VLOOKUP($A21,main!$A$3:$H$102,6,FALSE)&gt;=main!$D$103+VLOOKUP(VLOOKUP(BD$1,main!$A$3:$I$102,7,FALSE),main!$K$26:$Q$29,3,FALSE),1,0)</f>
        <v>0</v>
      </c>
      <c r="BE21">
        <f>IF(VLOOKUP(BE$1,main!$A$3:$H$102,5,FALSE)-VLOOKUP($A21,main!$A$3:$H$102,6,FALSE)&gt;=main!$D$103+VLOOKUP(VLOOKUP(BE$1,main!$A$3:$I$102,7,FALSE),main!$K$26:$Q$29,3,FALSE),1,0)</f>
        <v>0</v>
      </c>
      <c r="BF21">
        <f>IF(VLOOKUP(BF$1,main!$A$3:$H$102,5,FALSE)-VLOOKUP($A21,main!$A$3:$H$102,6,FALSE)&gt;=main!$D$103+VLOOKUP(VLOOKUP(BF$1,main!$A$3:$I$102,7,FALSE),main!$K$26:$Q$29,3,FALSE),1,0)</f>
        <v>0</v>
      </c>
      <c r="BG21">
        <f>IF(VLOOKUP(BG$1,main!$A$3:$H$102,5,FALSE)-VLOOKUP($A21,main!$A$3:$H$102,6,FALSE)&gt;=main!$D$103+VLOOKUP(VLOOKUP(BG$1,main!$A$3:$I$102,7,FALSE),main!$K$26:$Q$29,3,FALSE),1,0)</f>
        <v>0</v>
      </c>
      <c r="BH21">
        <f>IF(VLOOKUP(BH$1,main!$A$3:$H$102,5,FALSE)-VLOOKUP($A21,main!$A$3:$H$102,6,FALSE)&gt;=main!$D$103+VLOOKUP(VLOOKUP(BH$1,main!$A$3:$I$102,7,FALSE),main!$K$26:$Q$29,3,FALSE),1,0)</f>
        <v>0</v>
      </c>
      <c r="BI21">
        <f>IF(VLOOKUP(BI$1,main!$A$3:$H$102,5,FALSE)-VLOOKUP($A21,main!$A$3:$H$102,6,FALSE)&gt;=main!$D$103+VLOOKUP(VLOOKUP(BI$1,main!$A$3:$I$102,7,FALSE),main!$K$26:$Q$29,3,FALSE),1,0)</f>
        <v>0</v>
      </c>
      <c r="BJ21">
        <f>IF(VLOOKUP(BJ$1,main!$A$3:$H$102,5,FALSE)-VLOOKUP($A21,main!$A$3:$H$102,6,FALSE)&gt;=main!$D$103+VLOOKUP(VLOOKUP(BJ$1,main!$A$3:$I$102,7,FALSE),main!$K$26:$Q$29,3,FALSE),1,0)</f>
        <v>0</v>
      </c>
      <c r="BK21">
        <f>IF(VLOOKUP(BK$1,main!$A$3:$H$102,5,FALSE)-VLOOKUP($A21,main!$A$3:$H$102,6,FALSE)&gt;=main!$D$103+VLOOKUP(VLOOKUP(BK$1,main!$A$3:$I$102,7,FALSE),main!$K$26:$Q$29,3,FALSE),1,0)</f>
        <v>0</v>
      </c>
      <c r="BL21">
        <f>IF(VLOOKUP(BL$1,main!$A$3:$H$102,5,FALSE)-VLOOKUP($A21,main!$A$3:$H$102,6,FALSE)&gt;=main!$D$103+VLOOKUP(VLOOKUP(BL$1,main!$A$3:$I$102,7,FALSE),main!$K$26:$Q$29,3,FALSE),1,0)</f>
        <v>0</v>
      </c>
      <c r="BM21">
        <f>IF(VLOOKUP(BM$1,main!$A$3:$H$102,5,FALSE)-VLOOKUP($A21,main!$A$3:$H$102,6,FALSE)&gt;=main!$D$103+VLOOKUP(VLOOKUP(BM$1,main!$A$3:$I$102,7,FALSE),main!$K$26:$Q$29,3,FALSE),1,0)</f>
        <v>0</v>
      </c>
      <c r="BN21">
        <f>IF(VLOOKUP(BN$1,main!$A$3:$H$102,5,FALSE)-VLOOKUP($A21,main!$A$3:$H$102,6,FALSE)&gt;=main!$D$103+VLOOKUP(VLOOKUP(BN$1,main!$A$3:$I$102,7,FALSE),main!$K$26:$Q$29,3,FALSE),1,0)</f>
        <v>0</v>
      </c>
      <c r="BO21">
        <f>IF(VLOOKUP(BO$1,main!$A$3:$H$102,5,FALSE)-VLOOKUP($A21,main!$A$3:$H$102,6,FALSE)&gt;=main!$D$103+VLOOKUP(VLOOKUP(BO$1,main!$A$3:$I$102,7,FALSE),main!$K$26:$Q$29,3,FALSE),1,0)</f>
        <v>0</v>
      </c>
      <c r="BP21">
        <f>IF(VLOOKUP(BP$1,main!$A$3:$H$102,5,FALSE)-VLOOKUP($A21,main!$A$3:$H$102,6,FALSE)&gt;=main!$D$103+VLOOKUP(VLOOKUP(BP$1,main!$A$3:$I$102,7,FALSE),main!$K$26:$Q$29,3,FALSE),1,0)</f>
        <v>0</v>
      </c>
      <c r="BQ21">
        <f>IF(VLOOKUP(BQ$1,main!$A$3:$H$102,5,FALSE)-VLOOKUP($A21,main!$A$3:$H$102,6,FALSE)&gt;=main!$D$103+VLOOKUP(VLOOKUP(BQ$1,main!$A$3:$I$102,7,FALSE),main!$K$26:$Q$29,3,FALSE),1,0)</f>
        <v>0</v>
      </c>
      <c r="BR21">
        <f>IF(VLOOKUP(BR$1,main!$A$3:$H$102,5,FALSE)-VLOOKUP($A21,main!$A$3:$H$102,6,FALSE)&gt;=main!$D$103+VLOOKUP(VLOOKUP(BR$1,main!$A$3:$I$102,7,FALSE),main!$K$26:$Q$29,3,FALSE),1,0)</f>
        <v>0</v>
      </c>
      <c r="BS21">
        <f>IF(VLOOKUP(BS$1,main!$A$3:$H$102,5,FALSE)-VLOOKUP($A21,main!$A$3:$H$102,6,FALSE)&gt;=main!$D$103+VLOOKUP(VLOOKUP(BS$1,main!$A$3:$I$102,7,FALSE),main!$K$26:$Q$29,3,FALSE),1,0)</f>
        <v>0</v>
      </c>
      <c r="BT21">
        <f>IF(VLOOKUP(BT$1,main!$A$3:$H$102,5,FALSE)-VLOOKUP($A21,main!$A$3:$H$102,6,FALSE)&gt;=main!$D$103+VLOOKUP(VLOOKUP(BT$1,main!$A$3:$I$102,7,FALSE),main!$K$26:$Q$29,3,FALSE),1,0)</f>
        <v>0</v>
      </c>
      <c r="BU21">
        <f>IF(VLOOKUP(BU$1,main!$A$3:$H$102,5,FALSE)-VLOOKUP($A21,main!$A$3:$H$102,6,FALSE)&gt;=main!$D$103+VLOOKUP(VLOOKUP(BU$1,main!$A$3:$I$102,7,FALSE),main!$K$26:$Q$29,3,FALSE),1,0)</f>
        <v>0</v>
      </c>
      <c r="BV21">
        <f>IF(VLOOKUP(BV$1,main!$A$3:$H$102,5,FALSE)-VLOOKUP($A21,main!$A$3:$H$102,6,FALSE)&gt;=main!$D$103+VLOOKUP(VLOOKUP(BV$1,main!$A$3:$I$102,7,FALSE),main!$K$26:$Q$29,3,FALSE),1,0)</f>
        <v>0</v>
      </c>
      <c r="BW21">
        <f>IF(VLOOKUP(BW$1,main!$A$3:$H$102,5,FALSE)-VLOOKUP($A21,main!$A$3:$H$102,6,FALSE)&gt;=main!$D$103+VLOOKUP(VLOOKUP(BW$1,main!$A$3:$I$102,7,FALSE),main!$K$26:$Q$29,3,FALSE),1,0)</f>
        <v>0</v>
      </c>
      <c r="BX21">
        <f>IF(VLOOKUP(BX$1,main!$A$3:$H$102,5,FALSE)-VLOOKUP($A21,main!$A$3:$H$102,6,FALSE)&gt;=main!$D$103+VLOOKUP(VLOOKUP(BX$1,main!$A$3:$I$102,7,FALSE),main!$K$26:$Q$29,3,FALSE),1,0)</f>
        <v>0</v>
      </c>
      <c r="BY21">
        <f>IF(VLOOKUP(BY$1,main!$A$3:$H$102,5,FALSE)-VLOOKUP($A21,main!$A$3:$H$102,6,FALSE)&gt;=main!$D$103+VLOOKUP(VLOOKUP(BY$1,main!$A$3:$I$102,7,FALSE),main!$K$26:$Q$29,3,FALSE),1,0)</f>
        <v>0</v>
      </c>
      <c r="BZ21">
        <f>IF(VLOOKUP(BZ$1,main!$A$3:$H$102,5,FALSE)-VLOOKUP($A21,main!$A$3:$H$102,6,FALSE)&gt;=main!$D$103+VLOOKUP(VLOOKUP(BZ$1,main!$A$3:$I$102,7,FALSE),main!$K$26:$Q$29,3,FALSE),1,0)</f>
        <v>0</v>
      </c>
      <c r="CA21">
        <f>IF(VLOOKUP(CA$1,main!$A$3:$H$102,5,FALSE)-VLOOKUP($A21,main!$A$3:$H$102,6,FALSE)&gt;=main!$D$103+VLOOKUP(VLOOKUP(CA$1,main!$A$3:$I$102,7,FALSE),main!$K$26:$Q$29,3,FALSE),1,0)</f>
        <v>0</v>
      </c>
      <c r="CB21">
        <f>IF(VLOOKUP(CB$1,main!$A$3:$H$102,5,FALSE)-VLOOKUP($A21,main!$A$3:$H$102,6,FALSE)&gt;=main!$D$103+VLOOKUP(VLOOKUP(CB$1,main!$A$3:$I$102,7,FALSE),main!$K$26:$Q$29,3,FALSE),1,0)</f>
        <v>0</v>
      </c>
      <c r="CC21">
        <f>IF(VLOOKUP(CC$1,main!$A$3:$H$102,5,FALSE)-VLOOKUP($A21,main!$A$3:$H$102,6,FALSE)&gt;=main!$D$103+VLOOKUP(VLOOKUP(CC$1,main!$A$3:$I$102,7,FALSE),main!$K$26:$Q$29,3,FALSE),1,0)</f>
        <v>0</v>
      </c>
      <c r="CD21">
        <f>IF(VLOOKUP(CD$1,main!$A$3:$H$102,5,FALSE)-VLOOKUP($A21,main!$A$3:$H$102,6,FALSE)&gt;=main!$D$103+VLOOKUP(VLOOKUP(CD$1,main!$A$3:$I$102,7,FALSE),main!$K$26:$Q$29,3,FALSE),1,0)</f>
        <v>0</v>
      </c>
      <c r="CE21">
        <f>IF(VLOOKUP(CE$1,main!$A$3:$H$102,5,FALSE)-VLOOKUP($A21,main!$A$3:$H$102,6,FALSE)&gt;=main!$D$103+VLOOKUP(VLOOKUP(CE$1,main!$A$3:$I$102,7,FALSE),main!$K$26:$Q$29,3,FALSE),1,0)</f>
        <v>0</v>
      </c>
      <c r="CF21">
        <f>IF(VLOOKUP(CF$1,main!$A$3:$H$102,5,FALSE)-VLOOKUP($A21,main!$A$3:$H$102,6,FALSE)&gt;=main!$D$103+VLOOKUP(VLOOKUP(CF$1,main!$A$3:$I$102,7,FALSE),main!$K$26:$Q$29,3,FALSE),1,0)</f>
        <v>0</v>
      </c>
      <c r="CG21">
        <f>IF(VLOOKUP(CG$1,main!$A$3:$H$102,5,FALSE)-VLOOKUP($A21,main!$A$3:$H$102,6,FALSE)&gt;=main!$D$103+VLOOKUP(VLOOKUP(CG$1,main!$A$3:$I$102,7,FALSE),main!$K$26:$Q$29,3,FALSE),1,0)</f>
        <v>0</v>
      </c>
      <c r="CH21">
        <f>IF(VLOOKUP(CH$1,main!$A$3:$H$102,5,FALSE)-VLOOKUP($A21,main!$A$3:$H$102,6,FALSE)&gt;=main!$D$103+VLOOKUP(VLOOKUP(CH$1,main!$A$3:$I$102,7,FALSE),main!$K$26:$Q$29,3,FALSE),1,0)</f>
        <v>0</v>
      </c>
      <c r="CI21">
        <f>IF(VLOOKUP(CI$1,main!$A$3:$H$102,5,FALSE)-VLOOKUP($A21,main!$A$3:$H$102,6,FALSE)&gt;=main!$D$103+VLOOKUP(VLOOKUP(CI$1,main!$A$3:$I$102,7,FALSE),main!$K$26:$Q$29,3,FALSE),1,0)</f>
        <v>0</v>
      </c>
      <c r="CJ21">
        <f>IF(VLOOKUP(CJ$1,main!$A$3:$H$102,5,FALSE)-VLOOKUP($A21,main!$A$3:$H$102,6,FALSE)&gt;=main!$D$103+VLOOKUP(VLOOKUP(CJ$1,main!$A$3:$I$102,7,FALSE),main!$K$26:$Q$29,3,FALSE),1,0)</f>
        <v>0</v>
      </c>
      <c r="CK21">
        <f>IF(VLOOKUP(CK$1,main!$A$3:$H$102,5,FALSE)-VLOOKUP($A21,main!$A$3:$H$102,6,FALSE)&gt;=main!$D$103+VLOOKUP(VLOOKUP(CK$1,main!$A$3:$I$102,7,FALSE),main!$K$26:$Q$29,3,FALSE),1,0)</f>
        <v>0</v>
      </c>
      <c r="CL21">
        <f>IF(VLOOKUP(CL$1,main!$A$3:$H$102,5,FALSE)-VLOOKUP($A21,main!$A$3:$H$102,6,FALSE)&gt;=main!$D$103+VLOOKUP(VLOOKUP(CL$1,main!$A$3:$I$102,7,FALSE),main!$K$26:$Q$29,3,FALSE),1,0)</f>
        <v>0</v>
      </c>
      <c r="CM21">
        <f>IF(VLOOKUP(CM$1,main!$A$3:$H$102,5,FALSE)-VLOOKUP($A21,main!$A$3:$H$102,6,FALSE)&gt;=main!$D$103+VLOOKUP(VLOOKUP(CM$1,main!$A$3:$I$102,7,FALSE),main!$K$26:$Q$29,3,FALSE),1,0)</f>
        <v>0</v>
      </c>
      <c r="CN21">
        <f>IF(VLOOKUP(CN$1,main!$A$3:$H$102,5,FALSE)-VLOOKUP($A21,main!$A$3:$H$102,6,FALSE)&gt;=main!$D$103+VLOOKUP(VLOOKUP(CN$1,main!$A$3:$I$102,7,FALSE),main!$K$26:$Q$29,3,FALSE),1,0)</f>
        <v>0</v>
      </c>
      <c r="CO21">
        <f>IF(VLOOKUP(CO$1,main!$A$3:$H$102,5,FALSE)-VLOOKUP($A21,main!$A$3:$H$102,6,FALSE)&gt;=main!$D$103+VLOOKUP(VLOOKUP(CO$1,main!$A$3:$I$102,7,FALSE),main!$K$26:$Q$29,3,FALSE),1,0)</f>
        <v>0</v>
      </c>
      <c r="CP21">
        <f>IF(VLOOKUP(CP$1,main!$A$3:$H$102,5,FALSE)-VLOOKUP($A21,main!$A$3:$H$102,6,FALSE)&gt;=main!$D$103+VLOOKUP(VLOOKUP(CP$1,main!$A$3:$I$102,7,FALSE),main!$K$26:$Q$29,3,FALSE),1,0)</f>
        <v>0</v>
      </c>
      <c r="CQ21">
        <f>IF(VLOOKUP(CQ$1,main!$A$3:$H$102,5,FALSE)-VLOOKUP($A21,main!$A$3:$H$102,6,FALSE)&gt;=main!$D$103+VLOOKUP(VLOOKUP(CQ$1,main!$A$3:$I$102,7,FALSE),main!$K$26:$Q$29,3,FALSE),1,0)</f>
        <v>0</v>
      </c>
      <c r="CR21">
        <f>IF(VLOOKUP(CR$1,main!$A$3:$H$102,5,FALSE)-VLOOKUP($A21,main!$A$3:$H$102,6,FALSE)&gt;=main!$D$103+VLOOKUP(VLOOKUP(CR$1,main!$A$3:$I$102,7,FALSE),main!$K$26:$Q$29,3,FALSE),1,0)</f>
        <v>0</v>
      </c>
      <c r="CS21">
        <f>IF(VLOOKUP(CS$1,main!$A$3:$H$102,5,FALSE)-VLOOKUP($A21,main!$A$3:$H$102,6,FALSE)&gt;=main!$D$103+VLOOKUP(VLOOKUP(CS$1,main!$A$3:$I$102,7,FALSE),main!$K$26:$Q$29,3,FALSE),1,0)</f>
        <v>0</v>
      </c>
      <c r="CT21">
        <f>IF(VLOOKUP(CT$1,main!$A$3:$H$102,5,FALSE)-VLOOKUP($A21,main!$A$3:$H$102,6,FALSE)&gt;=main!$D$103+VLOOKUP(VLOOKUP(CT$1,main!$A$3:$I$102,7,FALSE),main!$K$26:$Q$29,3,FALSE),1,0)</f>
        <v>0</v>
      </c>
      <c r="CU21">
        <f>IF(VLOOKUP(CU$1,main!$A$3:$H$102,5,FALSE)-VLOOKUP($A21,main!$A$3:$H$102,6,FALSE)&gt;=main!$D$103+VLOOKUP(VLOOKUP(CU$1,main!$A$3:$I$102,7,FALSE),main!$K$26:$Q$29,3,FALSE),1,0)</f>
        <v>0</v>
      </c>
      <c r="CV21">
        <f>IF(VLOOKUP(CV$1,main!$A$3:$H$102,5,FALSE)-VLOOKUP($A21,main!$A$3:$H$102,6,FALSE)&gt;=main!$D$103+VLOOKUP(VLOOKUP(CV$1,main!$A$3:$I$102,7,FALSE),main!$K$26:$Q$29,3,FALSE),1,0)</f>
        <v>0</v>
      </c>
      <c r="CW21">
        <f>IF(VLOOKUP(CW$1,main!$A$3:$H$102,5,FALSE)-VLOOKUP($A21,main!$A$3:$H$102,6,FALSE)&gt;=main!$D$103+VLOOKUP(VLOOKUP(CW$1,main!$A$3:$I$102,7,FALSE),main!$K$26:$Q$29,3,FALSE),1,0)</f>
        <v>0</v>
      </c>
      <c r="CX21">
        <f>IF(VLOOKUP(CX$1,main!$A$3:$H$102,5,FALSE)-VLOOKUP($A21,main!$A$3:$H$102,6,FALSE)&gt;=main!$D$103+VLOOKUP(VLOOKUP(CX$1,main!$A$3:$I$102,7,FALSE),main!$K$26:$Q$29,3,FALSE),1,0)</f>
        <v>0</v>
      </c>
    </row>
    <row r="22" spans="1:104" x14ac:dyDescent="0.25">
      <c r="A22" s="1">
        <v>20</v>
      </c>
      <c r="B22">
        <v>0</v>
      </c>
      <c r="C22">
        <f>IF(VLOOKUP(C$1,main!$A$3:$H$102,5,FALSE)-VLOOKUP($A22,main!$A$3:$H$102,6,FALSE)&gt;=main!$D$103+VLOOKUP(VLOOKUP(C$1,main!$A$3:$I$102,7,FALSE),main!$K$26:$Q$29,3,FALSE),1,0)</f>
        <v>0</v>
      </c>
      <c r="D22">
        <f>IF(VLOOKUP(D$1,main!$A$3:$H$102,5,FALSE)-VLOOKUP($A22,main!$A$3:$H$102,6,FALSE)&gt;=main!$D$103+VLOOKUP(VLOOKUP(D$1,main!$A$3:$I$102,7,FALSE),main!$K$26:$Q$29,3,FALSE),1,0)</f>
        <v>0</v>
      </c>
      <c r="E22">
        <f>IF(VLOOKUP(E$1,main!$A$3:$H$102,5,FALSE)-VLOOKUP($A22,main!$A$3:$H$102,6,FALSE)&gt;=main!$D$103+VLOOKUP(VLOOKUP(E$1,main!$A$3:$I$102,7,FALSE),main!$K$26:$Q$29,3,FALSE),1,0)</f>
        <v>0</v>
      </c>
      <c r="F22">
        <f>IF(VLOOKUP(F$1,main!$A$3:$H$102,5,FALSE)-VLOOKUP($A22,main!$A$3:$H$102,6,FALSE)&gt;=main!$D$103+VLOOKUP(VLOOKUP(F$1,main!$A$3:$I$102,7,FALSE),main!$K$26:$Q$29,3,FALSE),1,0)</f>
        <v>0</v>
      </c>
      <c r="G22">
        <f>IF(VLOOKUP(G$1,main!$A$3:$H$102,5,FALSE)-VLOOKUP($A22,main!$A$3:$H$102,6,FALSE)&gt;=main!$D$103+VLOOKUP(VLOOKUP(G$1,main!$A$3:$I$102,7,FALSE),main!$K$26:$Q$29,3,FALSE),1,0)</f>
        <v>0</v>
      </c>
      <c r="H22">
        <f>IF(VLOOKUP(H$1,main!$A$3:$H$102,5,FALSE)-VLOOKUP($A22,main!$A$3:$H$102,6,FALSE)&gt;=main!$D$103+VLOOKUP(VLOOKUP(H$1,main!$A$3:$I$102,7,FALSE),main!$K$26:$Q$29,3,FALSE),1,0)</f>
        <v>0</v>
      </c>
      <c r="I22">
        <f>IF(VLOOKUP(I$1,main!$A$3:$H$102,5,FALSE)-VLOOKUP($A22,main!$A$3:$H$102,6,FALSE)&gt;=main!$D$103+VLOOKUP(VLOOKUP(I$1,main!$A$3:$I$102,7,FALSE),main!$K$26:$Q$29,3,FALSE),1,0)</f>
        <v>0</v>
      </c>
      <c r="J22">
        <f>IF(VLOOKUP(J$1,main!$A$3:$H$102,5,FALSE)-VLOOKUP($A22,main!$A$3:$H$102,6,FALSE)&gt;=main!$D$103+VLOOKUP(VLOOKUP(J$1,main!$A$3:$I$102,7,FALSE),main!$K$26:$Q$29,3,FALSE),1,0)</f>
        <v>0</v>
      </c>
      <c r="K22">
        <f>IF(VLOOKUP(K$1,main!$A$3:$H$102,5,FALSE)-VLOOKUP($A22,main!$A$3:$H$102,6,FALSE)&gt;=main!$D$103+VLOOKUP(VLOOKUP(K$1,main!$A$3:$I$102,7,FALSE),main!$K$26:$Q$29,3,FALSE),1,0)</f>
        <v>0</v>
      </c>
      <c r="L22">
        <f>IF(VLOOKUP(L$1,main!$A$3:$H$102,5,FALSE)-VLOOKUP($A22,main!$A$3:$H$102,6,FALSE)&gt;=main!$D$103+VLOOKUP(VLOOKUP(L$1,main!$A$3:$I$102,7,FALSE),main!$K$26:$Q$29,3,FALSE),1,0)</f>
        <v>0</v>
      </c>
      <c r="M22">
        <f>IF(VLOOKUP(M$1,main!$A$3:$H$102,5,FALSE)-VLOOKUP($A22,main!$A$3:$H$102,6,FALSE)&gt;=main!$D$103+VLOOKUP(VLOOKUP(M$1,main!$A$3:$I$102,7,FALSE),main!$K$26:$Q$29,3,FALSE),1,0)</f>
        <v>0</v>
      </c>
      <c r="N22">
        <f>IF(VLOOKUP(N$1,main!$A$3:$H$102,5,FALSE)-VLOOKUP($A22,main!$A$3:$H$102,6,FALSE)&gt;=main!$D$103+VLOOKUP(VLOOKUP(N$1,main!$A$3:$I$102,7,FALSE),main!$K$26:$Q$29,3,FALSE),1,0)</f>
        <v>0</v>
      </c>
      <c r="O22">
        <f>IF(VLOOKUP(O$1,main!$A$3:$H$102,5,FALSE)-VLOOKUP($A22,main!$A$3:$H$102,6,FALSE)&gt;=main!$D$103+VLOOKUP(VLOOKUP(O$1,main!$A$3:$I$102,7,FALSE),main!$K$26:$Q$29,3,FALSE),1,0)</f>
        <v>0</v>
      </c>
      <c r="P22">
        <f>IF(VLOOKUP(P$1,main!$A$3:$H$102,5,FALSE)-VLOOKUP($A22,main!$A$3:$H$102,6,FALSE)&gt;=main!$D$103+VLOOKUP(VLOOKUP(P$1,main!$A$3:$I$102,7,FALSE),main!$K$26:$Q$29,3,FALSE),1,0)</f>
        <v>0</v>
      </c>
      <c r="Q22">
        <f>IF(VLOOKUP(Q$1,main!$A$3:$H$102,5,FALSE)-VLOOKUP($A22,main!$A$3:$H$102,6,FALSE)&gt;=main!$D$103+VLOOKUP(VLOOKUP(Q$1,main!$A$3:$I$102,7,FALSE),main!$K$26:$Q$29,3,FALSE),1,0)</f>
        <v>0</v>
      </c>
      <c r="R22">
        <f>IF(VLOOKUP(R$1,main!$A$3:$H$102,5,FALSE)-VLOOKUP($A22,main!$A$3:$H$102,6,FALSE)&gt;=main!$D$103+VLOOKUP(VLOOKUP(R$1,main!$A$3:$I$102,7,FALSE),main!$K$26:$Q$29,3,FALSE),1,0)</f>
        <v>0</v>
      </c>
      <c r="S22">
        <f>IF(VLOOKUP(S$1,main!$A$3:$H$102,5,FALSE)-VLOOKUP($A22,main!$A$3:$H$102,6,FALSE)&gt;=main!$D$103+VLOOKUP(VLOOKUP(S$1,main!$A$3:$I$102,7,FALSE),main!$K$26:$Q$29,3,FALSE),1,0)</f>
        <v>0</v>
      </c>
      <c r="T22">
        <f>IF(VLOOKUP(T$1,main!$A$3:$H$102,5,FALSE)-VLOOKUP($A22,main!$A$3:$H$102,6,FALSE)&gt;=main!$D$103+VLOOKUP(VLOOKUP(T$1,main!$A$3:$I$102,7,FALSE),main!$K$26:$Q$29,3,FALSE),1,0)</f>
        <v>0</v>
      </c>
      <c r="U22">
        <f>IF(VLOOKUP(U$1,main!$A$3:$H$102,5,FALSE)-VLOOKUP($A22,main!$A$3:$H$102,6,FALSE)&gt;=main!$D$103+VLOOKUP(VLOOKUP(U$1,main!$A$3:$I$102,7,FALSE),main!$K$26:$Q$29,3,FALSE),1,0)</f>
        <v>0</v>
      </c>
      <c r="V22">
        <f>IF(VLOOKUP(V$1,main!$A$3:$H$102,5,FALSE)-VLOOKUP($A22,main!$A$3:$H$102,6,FALSE)&gt;=main!$D$103+VLOOKUP(VLOOKUP(V$1,main!$A$3:$I$102,7,FALSE),main!$K$26:$Q$29,3,FALSE),1,0)</f>
        <v>0</v>
      </c>
      <c r="W22">
        <f>IF(VLOOKUP(W$1,main!$A$3:$H$102,5,FALSE)-VLOOKUP($A22,main!$A$3:$H$102,6,FALSE)&gt;=main!$D$103+VLOOKUP(VLOOKUP(W$1,main!$A$3:$I$102,7,FALSE),main!$K$26:$Q$29,3,FALSE),1,0)</f>
        <v>0</v>
      </c>
      <c r="X22">
        <f>IF(VLOOKUP(X$1,main!$A$3:$H$102,5,FALSE)-VLOOKUP($A22,main!$A$3:$H$102,6,FALSE)&gt;=main!$D$103+VLOOKUP(VLOOKUP(X$1,main!$A$3:$I$102,7,FALSE),main!$K$26:$Q$29,3,FALSE),1,0)</f>
        <v>0</v>
      </c>
      <c r="Y22">
        <f>IF(VLOOKUP(Y$1,main!$A$3:$H$102,5,FALSE)-VLOOKUP($A22,main!$A$3:$H$102,6,FALSE)&gt;=main!$D$103+VLOOKUP(VLOOKUP(Y$1,main!$A$3:$I$102,7,FALSE),main!$K$26:$Q$29,3,FALSE),1,0)</f>
        <v>0</v>
      </c>
      <c r="Z22">
        <f>IF(VLOOKUP(Z$1,main!$A$3:$H$102,5,FALSE)-VLOOKUP($A22,main!$A$3:$H$102,6,FALSE)&gt;=main!$D$103+VLOOKUP(VLOOKUP(Z$1,main!$A$3:$I$102,7,FALSE),main!$K$26:$Q$29,3,FALSE),1,0)</f>
        <v>0</v>
      </c>
      <c r="AA22">
        <f>IF(VLOOKUP(AA$1,main!$A$3:$H$102,5,FALSE)-VLOOKUP($A22,main!$A$3:$H$102,6,FALSE)&gt;=main!$D$103+VLOOKUP(VLOOKUP(AA$1,main!$A$3:$I$102,7,FALSE),main!$K$26:$Q$29,3,FALSE),1,0)</f>
        <v>0</v>
      </c>
      <c r="AB22">
        <f>IF(VLOOKUP(AB$1,main!$A$3:$H$102,5,FALSE)-VLOOKUP($A22,main!$A$3:$H$102,6,FALSE)&gt;=main!$D$103+VLOOKUP(VLOOKUP(AB$1,main!$A$3:$I$102,7,FALSE),main!$K$26:$Q$29,3,FALSE),1,0)</f>
        <v>0</v>
      </c>
      <c r="AC22">
        <f>IF(VLOOKUP(AC$1,main!$A$3:$H$102,5,FALSE)-VLOOKUP($A22,main!$A$3:$H$102,6,FALSE)&gt;=main!$D$103+VLOOKUP(VLOOKUP(AC$1,main!$A$3:$I$102,7,FALSE),main!$K$26:$Q$29,3,FALSE),1,0)</f>
        <v>0</v>
      </c>
      <c r="AD22">
        <f>IF(VLOOKUP(AD$1,main!$A$3:$H$102,5,FALSE)-VLOOKUP($A22,main!$A$3:$H$102,6,FALSE)&gt;=main!$D$103+VLOOKUP(VLOOKUP(AD$1,main!$A$3:$I$102,7,FALSE),main!$K$26:$Q$29,3,FALSE),1,0)</f>
        <v>0</v>
      </c>
      <c r="AE22">
        <f>IF(VLOOKUP(AE$1,main!$A$3:$H$102,5,FALSE)-VLOOKUP($A22,main!$A$3:$H$102,6,FALSE)&gt;=main!$D$103+VLOOKUP(VLOOKUP(AE$1,main!$A$3:$I$102,7,FALSE),main!$K$26:$Q$29,3,FALSE),1,0)</f>
        <v>0</v>
      </c>
      <c r="AF22">
        <f>IF(VLOOKUP(AF$1,main!$A$3:$H$102,5,FALSE)-VLOOKUP($A22,main!$A$3:$H$102,6,FALSE)&gt;=main!$D$103+VLOOKUP(VLOOKUP(AF$1,main!$A$3:$I$102,7,FALSE),main!$K$26:$Q$29,3,FALSE),1,0)</f>
        <v>0</v>
      </c>
      <c r="AG22">
        <f>IF(VLOOKUP(AG$1,main!$A$3:$H$102,5,FALSE)-VLOOKUP($A22,main!$A$3:$H$102,6,FALSE)&gt;=main!$D$103+VLOOKUP(VLOOKUP(AG$1,main!$A$3:$I$102,7,FALSE),main!$K$26:$Q$29,3,FALSE),1,0)</f>
        <v>0</v>
      </c>
      <c r="AH22">
        <f>IF(VLOOKUP(AH$1,main!$A$3:$H$102,5,FALSE)-VLOOKUP($A22,main!$A$3:$H$102,6,FALSE)&gt;=main!$D$103+VLOOKUP(VLOOKUP(AH$1,main!$A$3:$I$102,7,FALSE),main!$K$26:$Q$29,3,FALSE),1,0)</f>
        <v>0</v>
      </c>
      <c r="AI22">
        <f>IF(VLOOKUP(AI$1,main!$A$3:$H$102,5,FALSE)-VLOOKUP($A22,main!$A$3:$H$102,6,FALSE)&gt;=main!$D$103+VLOOKUP(VLOOKUP(AI$1,main!$A$3:$I$102,7,FALSE),main!$K$26:$Q$29,3,FALSE),1,0)</f>
        <v>0</v>
      </c>
      <c r="AJ22">
        <f>IF(VLOOKUP(AJ$1,main!$A$3:$H$102,5,FALSE)-VLOOKUP($A22,main!$A$3:$H$102,6,FALSE)&gt;=main!$D$103+VLOOKUP(VLOOKUP(AJ$1,main!$A$3:$I$102,7,FALSE),main!$K$26:$Q$29,3,FALSE),1,0)</f>
        <v>0</v>
      </c>
      <c r="AK22">
        <f>IF(VLOOKUP(AK$1,main!$A$3:$H$102,5,FALSE)-VLOOKUP($A22,main!$A$3:$H$102,6,FALSE)&gt;=main!$D$103+VLOOKUP(VLOOKUP(AK$1,main!$A$3:$I$102,7,FALSE),main!$K$26:$Q$29,3,FALSE),1,0)</f>
        <v>0</v>
      </c>
      <c r="AL22">
        <f>IF(VLOOKUP(AL$1,main!$A$3:$H$102,5,FALSE)-VLOOKUP($A22,main!$A$3:$H$102,6,FALSE)&gt;=main!$D$103+VLOOKUP(VLOOKUP(AL$1,main!$A$3:$I$102,7,FALSE),main!$K$26:$Q$29,3,FALSE),1,0)</f>
        <v>0</v>
      </c>
      <c r="AM22">
        <f>IF(VLOOKUP(AM$1,main!$A$3:$H$102,5,FALSE)-VLOOKUP($A22,main!$A$3:$H$102,6,FALSE)&gt;=main!$D$103+VLOOKUP(VLOOKUP(AM$1,main!$A$3:$I$102,7,FALSE),main!$K$26:$Q$29,3,FALSE),1,0)</f>
        <v>0</v>
      </c>
      <c r="AN22">
        <f>IF(VLOOKUP(AN$1,main!$A$3:$H$102,5,FALSE)-VLOOKUP($A22,main!$A$3:$H$102,6,FALSE)&gt;=main!$D$103+VLOOKUP(VLOOKUP(AN$1,main!$A$3:$I$102,7,FALSE),main!$K$26:$Q$29,3,FALSE),1,0)</f>
        <v>0</v>
      </c>
      <c r="AO22">
        <f>IF(VLOOKUP(AO$1,main!$A$3:$H$102,5,FALSE)-VLOOKUP($A22,main!$A$3:$H$102,6,FALSE)&gt;=main!$D$103+VLOOKUP(VLOOKUP(AO$1,main!$A$3:$I$102,7,FALSE),main!$K$26:$Q$29,3,FALSE),1,0)</f>
        <v>0</v>
      </c>
      <c r="AP22">
        <f>IF(VLOOKUP(AP$1,main!$A$3:$H$102,5,FALSE)-VLOOKUP($A22,main!$A$3:$H$102,6,FALSE)&gt;=main!$D$103+VLOOKUP(VLOOKUP(AP$1,main!$A$3:$I$102,7,FALSE),main!$K$26:$Q$29,3,FALSE),1,0)</f>
        <v>0</v>
      </c>
      <c r="AQ22">
        <f>IF(VLOOKUP(AQ$1,main!$A$3:$H$102,5,FALSE)-VLOOKUP($A22,main!$A$3:$H$102,6,FALSE)&gt;=main!$D$103+VLOOKUP(VLOOKUP(AQ$1,main!$A$3:$I$102,7,FALSE),main!$K$26:$Q$29,3,FALSE),1,0)</f>
        <v>0</v>
      </c>
      <c r="AR22">
        <f>IF(VLOOKUP(AR$1,main!$A$3:$H$102,5,FALSE)-VLOOKUP($A22,main!$A$3:$H$102,6,FALSE)&gt;=main!$D$103+VLOOKUP(VLOOKUP(AR$1,main!$A$3:$I$102,7,FALSE),main!$K$26:$Q$29,3,FALSE),1,0)</f>
        <v>0</v>
      </c>
      <c r="AS22">
        <f>IF(VLOOKUP(AS$1,main!$A$3:$H$102,5,FALSE)-VLOOKUP($A22,main!$A$3:$H$102,6,FALSE)&gt;=main!$D$103+VLOOKUP(VLOOKUP(AS$1,main!$A$3:$I$102,7,FALSE),main!$K$26:$Q$29,3,FALSE),1,0)</f>
        <v>0</v>
      </c>
      <c r="AT22">
        <f>IF(VLOOKUP(AT$1,main!$A$3:$H$102,5,FALSE)-VLOOKUP($A22,main!$A$3:$H$102,6,FALSE)&gt;=main!$D$103+VLOOKUP(VLOOKUP(AT$1,main!$A$3:$I$102,7,FALSE),main!$K$26:$Q$29,3,FALSE),1,0)</f>
        <v>0</v>
      </c>
      <c r="AU22">
        <f>IF(VLOOKUP(AU$1,main!$A$3:$H$102,5,FALSE)-VLOOKUP($A22,main!$A$3:$H$102,6,FALSE)&gt;=main!$D$103+VLOOKUP(VLOOKUP(AU$1,main!$A$3:$I$102,7,FALSE),main!$K$26:$Q$29,3,FALSE),1,0)</f>
        <v>0</v>
      </c>
      <c r="AV22">
        <f>IF(VLOOKUP(AV$1,main!$A$3:$H$102,5,FALSE)-VLOOKUP($A22,main!$A$3:$H$102,6,FALSE)&gt;=main!$D$103+VLOOKUP(VLOOKUP(AV$1,main!$A$3:$I$102,7,FALSE),main!$K$26:$Q$29,3,FALSE),1,0)</f>
        <v>0</v>
      </c>
      <c r="AW22">
        <f>IF(VLOOKUP(AW$1,main!$A$3:$H$102,5,FALSE)-VLOOKUP($A22,main!$A$3:$H$102,6,FALSE)&gt;=main!$D$103+VLOOKUP(VLOOKUP(AW$1,main!$A$3:$I$102,7,FALSE),main!$K$26:$Q$29,3,FALSE),1,0)</f>
        <v>0</v>
      </c>
      <c r="AX22">
        <f>IF(VLOOKUP(AX$1,main!$A$3:$H$102,5,FALSE)-VLOOKUP($A22,main!$A$3:$H$102,6,FALSE)&gt;=main!$D$103+VLOOKUP(VLOOKUP(AX$1,main!$A$3:$I$102,7,FALSE),main!$K$26:$Q$29,3,FALSE),1,0)</f>
        <v>0</v>
      </c>
      <c r="AY22">
        <f>IF(VLOOKUP(AY$1,main!$A$3:$H$102,5,FALSE)-VLOOKUP($A22,main!$A$3:$H$102,6,FALSE)&gt;=main!$D$103+VLOOKUP(VLOOKUP(AY$1,main!$A$3:$I$102,7,FALSE),main!$K$26:$Q$29,3,FALSE),1,0)</f>
        <v>0</v>
      </c>
      <c r="AZ22">
        <f>IF(VLOOKUP(AZ$1,main!$A$3:$H$102,5,FALSE)-VLOOKUP($A22,main!$A$3:$H$102,6,FALSE)&gt;=main!$D$103+VLOOKUP(VLOOKUP(AZ$1,main!$A$3:$I$102,7,FALSE),main!$K$26:$Q$29,3,FALSE),1,0)</f>
        <v>0</v>
      </c>
      <c r="BA22">
        <f>IF(VLOOKUP(BA$1,main!$A$3:$H$102,5,FALSE)-VLOOKUP($A22,main!$A$3:$H$102,6,FALSE)&gt;=main!$D$103+VLOOKUP(VLOOKUP(BA$1,main!$A$3:$I$102,7,FALSE),main!$K$26:$Q$29,3,FALSE),1,0)</f>
        <v>0</v>
      </c>
      <c r="BB22">
        <f>IF(VLOOKUP(BB$1,main!$A$3:$H$102,5,FALSE)-VLOOKUP($A22,main!$A$3:$H$102,6,FALSE)&gt;=main!$D$103+VLOOKUP(VLOOKUP(BB$1,main!$A$3:$I$102,7,FALSE),main!$K$26:$Q$29,3,FALSE),1,0)</f>
        <v>0</v>
      </c>
      <c r="BC22">
        <f>IF(VLOOKUP(BC$1,main!$A$3:$H$102,5,FALSE)-VLOOKUP($A22,main!$A$3:$H$102,6,FALSE)&gt;=main!$D$103+VLOOKUP(VLOOKUP(BC$1,main!$A$3:$I$102,7,FALSE),main!$K$26:$Q$29,3,FALSE),1,0)</f>
        <v>0</v>
      </c>
      <c r="BD22">
        <f>IF(VLOOKUP(BD$1,main!$A$3:$H$102,5,FALSE)-VLOOKUP($A22,main!$A$3:$H$102,6,FALSE)&gt;=main!$D$103+VLOOKUP(VLOOKUP(BD$1,main!$A$3:$I$102,7,FALSE),main!$K$26:$Q$29,3,FALSE),1,0)</f>
        <v>0</v>
      </c>
      <c r="BE22">
        <f>IF(VLOOKUP(BE$1,main!$A$3:$H$102,5,FALSE)-VLOOKUP($A22,main!$A$3:$H$102,6,FALSE)&gt;=main!$D$103+VLOOKUP(VLOOKUP(BE$1,main!$A$3:$I$102,7,FALSE),main!$K$26:$Q$29,3,FALSE),1,0)</f>
        <v>0</v>
      </c>
      <c r="BF22">
        <f>IF(VLOOKUP(BF$1,main!$A$3:$H$102,5,FALSE)-VLOOKUP($A22,main!$A$3:$H$102,6,FALSE)&gt;=main!$D$103+VLOOKUP(VLOOKUP(BF$1,main!$A$3:$I$102,7,FALSE),main!$K$26:$Q$29,3,FALSE),1,0)</f>
        <v>0</v>
      </c>
      <c r="BG22">
        <f>IF(VLOOKUP(BG$1,main!$A$3:$H$102,5,FALSE)-VLOOKUP($A22,main!$A$3:$H$102,6,FALSE)&gt;=main!$D$103+VLOOKUP(VLOOKUP(BG$1,main!$A$3:$I$102,7,FALSE),main!$K$26:$Q$29,3,FALSE),1,0)</f>
        <v>0</v>
      </c>
      <c r="BH22">
        <f>IF(VLOOKUP(BH$1,main!$A$3:$H$102,5,FALSE)-VLOOKUP($A22,main!$A$3:$H$102,6,FALSE)&gt;=main!$D$103+VLOOKUP(VLOOKUP(BH$1,main!$A$3:$I$102,7,FALSE),main!$K$26:$Q$29,3,FALSE),1,0)</f>
        <v>0</v>
      </c>
      <c r="BI22">
        <f>IF(VLOOKUP(BI$1,main!$A$3:$H$102,5,FALSE)-VLOOKUP($A22,main!$A$3:$H$102,6,FALSE)&gt;=main!$D$103+VLOOKUP(VLOOKUP(BI$1,main!$A$3:$I$102,7,FALSE),main!$K$26:$Q$29,3,FALSE),1,0)</f>
        <v>0</v>
      </c>
      <c r="BJ22">
        <f>IF(VLOOKUP(BJ$1,main!$A$3:$H$102,5,FALSE)-VLOOKUP($A22,main!$A$3:$H$102,6,FALSE)&gt;=main!$D$103+VLOOKUP(VLOOKUP(BJ$1,main!$A$3:$I$102,7,FALSE),main!$K$26:$Q$29,3,FALSE),1,0)</f>
        <v>0</v>
      </c>
      <c r="BK22">
        <f>IF(VLOOKUP(BK$1,main!$A$3:$H$102,5,FALSE)-VLOOKUP($A22,main!$A$3:$H$102,6,FALSE)&gt;=main!$D$103+VLOOKUP(VLOOKUP(BK$1,main!$A$3:$I$102,7,FALSE),main!$K$26:$Q$29,3,FALSE),1,0)</f>
        <v>0</v>
      </c>
      <c r="BL22">
        <f>IF(VLOOKUP(BL$1,main!$A$3:$H$102,5,FALSE)-VLOOKUP($A22,main!$A$3:$H$102,6,FALSE)&gt;=main!$D$103+VLOOKUP(VLOOKUP(BL$1,main!$A$3:$I$102,7,FALSE),main!$K$26:$Q$29,3,FALSE),1,0)</f>
        <v>0</v>
      </c>
      <c r="BM22">
        <f>IF(VLOOKUP(BM$1,main!$A$3:$H$102,5,FALSE)-VLOOKUP($A22,main!$A$3:$H$102,6,FALSE)&gt;=main!$D$103+VLOOKUP(VLOOKUP(BM$1,main!$A$3:$I$102,7,FALSE),main!$K$26:$Q$29,3,FALSE),1,0)</f>
        <v>0</v>
      </c>
      <c r="BN22">
        <f>IF(VLOOKUP(BN$1,main!$A$3:$H$102,5,FALSE)-VLOOKUP($A22,main!$A$3:$H$102,6,FALSE)&gt;=main!$D$103+VLOOKUP(VLOOKUP(BN$1,main!$A$3:$I$102,7,FALSE),main!$K$26:$Q$29,3,FALSE),1,0)</f>
        <v>0</v>
      </c>
      <c r="BO22">
        <f>IF(VLOOKUP(BO$1,main!$A$3:$H$102,5,FALSE)-VLOOKUP($A22,main!$A$3:$H$102,6,FALSE)&gt;=main!$D$103+VLOOKUP(VLOOKUP(BO$1,main!$A$3:$I$102,7,FALSE),main!$K$26:$Q$29,3,FALSE),1,0)</f>
        <v>0</v>
      </c>
      <c r="BP22">
        <f>IF(VLOOKUP(BP$1,main!$A$3:$H$102,5,FALSE)-VLOOKUP($A22,main!$A$3:$H$102,6,FALSE)&gt;=main!$D$103+VLOOKUP(VLOOKUP(BP$1,main!$A$3:$I$102,7,FALSE),main!$K$26:$Q$29,3,FALSE),1,0)</f>
        <v>0</v>
      </c>
      <c r="BQ22">
        <f>IF(VLOOKUP(BQ$1,main!$A$3:$H$102,5,FALSE)-VLOOKUP($A22,main!$A$3:$H$102,6,FALSE)&gt;=main!$D$103+VLOOKUP(VLOOKUP(BQ$1,main!$A$3:$I$102,7,FALSE),main!$K$26:$Q$29,3,FALSE),1,0)</f>
        <v>0</v>
      </c>
      <c r="BR22">
        <f>IF(VLOOKUP(BR$1,main!$A$3:$H$102,5,FALSE)-VLOOKUP($A22,main!$A$3:$H$102,6,FALSE)&gt;=main!$D$103+VLOOKUP(VLOOKUP(BR$1,main!$A$3:$I$102,7,FALSE),main!$K$26:$Q$29,3,FALSE),1,0)</f>
        <v>0</v>
      </c>
      <c r="BS22">
        <f>IF(VLOOKUP(BS$1,main!$A$3:$H$102,5,FALSE)-VLOOKUP($A22,main!$A$3:$H$102,6,FALSE)&gt;=main!$D$103+VLOOKUP(VLOOKUP(BS$1,main!$A$3:$I$102,7,FALSE),main!$K$26:$Q$29,3,FALSE),1,0)</f>
        <v>0</v>
      </c>
      <c r="BT22">
        <f>IF(VLOOKUP(BT$1,main!$A$3:$H$102,5,FALSE)-VLOOKUP($A22,main!$A$3:$H$102,6,FALSE)&gt;=main!$D$103+VLOOKUP(VLOOKUP(BT$1,main!$A$3:$I$102,7,FALSE),main!$K$26:$Q$29,3,FALSE),1,0)</f>
        <v>0</v>
      </c>
      <c r="BU22">
        <f>IF(VLOOKUP(BU$1,main!$A$3:$H$102,5,FALSE)-VLOOKUP($A22,main!$A$3:$H$102,6,FALSE)&gt;=main!$D$103+VLOOKUP(VLOOKUP(BU$1,main!$A$3:$I$102,7,FALSE),main!$K$26:$Q$29,3,FALSE),1,0)</f>
        <v>0</v>
      </c>
      <c r="BV22">
        <f>IF(VLOOKUP(BV$1,main!$A$3:$H$102,5,FALSE)-VLOOKUP($A22,main!$A$3:$H$102,6,FALSE)&gt;=main!$D$103+VLOOKUP(VLOOKUP(BV$1,main!$A$3:$I$102,7,FALSE),main!$K$26:$Q$29,3,FALSE),1,0)</f>
        <v>0</v>
      </c>
      <c r="BW22">
        <f>IF(VLOOKUP(BW$1,main!$A$3:$H$102,5,FALSE)-VLOOKUP($A22,main!$A$3:$H$102,6,FALSE)&gt;=main!$D$103+VLOOKUP(VLOOKUP(BW$1,main!$A$3:$I$102,7,FALSE),main!$K$26:$Q$29,3,FALSE),1,0)</f>
        <v>0</v>
      </c>
      <c r="BX22">
        <f>IF(VLOOKUP(BX$1,main!$A$3:$H$102,5,FALSE)-VLOOKUP($A22,main!$A$3:$H$102,6,FALSE)&gt;=main!$D$103+VLOOKUP(VLOOKUP(BX$1,main!$A$3:$I$102,7,FALSE),main!$K$26:$Q$29,3,FALSE),1,0)</f>
        <v>0</v>
      </c>
      <c r="BY22">
        <f>IF(VLOOKUP(BY$1,main!$A$3:$H$102,5,FALSE)-VLOOKUP($A22,main!$A$3:$H$102,6,FALSE)&gt;=main!$D$103+VLOOKUP(VLOOKUP(BY$1,main!$A$3:$I$102,7,FALSE),main!$K$26:$Q$29,3,FALSE),1,0)</f>
        <v>0</v>
      </c>
      <c r="BZ22">
        <f>IF(VLOOKUP(BZ$1,main!$A$3:$H$102,5,FALSE)-VLOOKUP($A22,main!$A$3:$H$102,6,FALSE)&gt;=main!$D$103+VLOOKUP(VLOOKUP(BZ$1,main!$A$3:$I$102,7,FALSE),main!$K$26:$Q$29,3,FALSE),1,0)</f>
        <v>0</v>
      </c>
      <c r="CA22">
        <f>IF(VLOOKUP(CA$1,main!$A$3:$H$102,5,FALSE)-VLOOKUP($A22,main!$A$3:$H$102,6,FALSE)&gt;=main!$D$103+VLOOKUP(VLOOKUP(CA$1,main!$A$3:$I$102,7,FALSE),main!$K$26:$Q$29,3,FALSE),1,0)</f>
        <v>0</v>
      </c>
      <c r="CB22">
        <f>IF(VLOOKUP(CB$1,main!$A$3:$H$102,5,FALSE)-VLOOKUP($A22,main!$A$3:$H$102,6,FALSE)&gt;=main!$D$103+VLOOKUP(VLOOKUP(CB$1,main!$A$3:$I$102,7,FALSE),main!$K$26:$Q$29,3,FALSE),1,0)</f>
        <v>0</v>
      </c>
      <c r="CC22">
        <f>IF(VLOOKUP(CC$1,main!$A$3:$H$102,5,FALSE)-VLOOKUP($A22,main!$A$3:$H$102,6,FALSE)&gt;=main!$D$103+VLOOKUP(VLOOKUP(CC$1,main!$A$3:$I$102,7,FALSE),main!$K$26:$Q$29,3,FALSE),1,0)</f>
        <v>0</v>
      </c>
      <c r="CD22">
        <f>IF(VLOOKUP(CD$1,main!$A$3:$H$102,5,FALSE)-VLOOKUP($A22,main!$A$3:$H$102,6,FALSE)&gt;=main!$D$103+VLOOKUP(VLOOKUP(CD$1,main!$A$3:$I$102,7,FALSE),main!$K$26:$Q$29,3,FALSE),1,0)</f>
        <v>0</v>
      </c>
      <c r="CE22">
        <f>IF(VLOOKUP(CE$1,main!$A$3:$H$102,5,FALSE)-VLOOKUP($A22,main!$A$3:$H$102,6,FALSE)&gt;=main!$D$103+VLOOKUP(VLOOKUP(CE$1,main!$A$3:$I$102,7,FALSE),main!$K$26:$Q$29,3,FALSE),1,0)</f>
        <v>0</v>
      </c>
      <c r="CF22">
        <f>IF(VLOOKUP(CF$1,main!$A$3:$H$102,5,FALSE)-VLOOKUP($A22,main!$A$3:$H$102,6,FALSE)&gt;=main!$D$103+VLOOKUP(VLOOKUP(CF$1,main!$A$3:$I$102,7,FALSE),main!$K$26:$Q$29,3,FALSE),1,0)</f>
        <v>0</v>
      </c>
      <c r="CG22">
        <f>IF(VLOOKUP(CG$1,main!$A$3:$H$102,5,FALSE)-VLOOKUP($A22,main!$A$3:$H$102,6,FALSE)&gt;=main!$D$103+VLOOKUP(VLOOKUP(CG$1,main!$A$3:$I$102,7,FALSE),main!$K$26:$Q$29,3,FALSE),1,0)</f>
        <v>0</v>
      </c>
      <c r="CH22">
        <f>IF(VLOOKUP(CH$1,main!$A$3:$H$102,5,FALSE)-VLOOKUP($A22,main!$A$3:$H$102,6,FALSE)&gt;=main!$D$103+VLOOKUP(VLOOKUP(CH$1,main!$A$3:$I$102,7,FALSE),main!$K$26:$Q$29,3,FALSE),1,0)</f>
        <v>0</v>
      </c>
      <c r="CI22">
        <f>IF(VLOOKUP(CI$1,main!$A$3:$H$102,5,FALSE)-VLOOKUP($A22,main!$A$3:$H$102,6,FALSE)&gt;=main!$D$103+VLOOKUP(VLOOKUP(CI$1,main!$A$3:$I$102,7,FALSE),main!$K$26:$Q$29,3,FALSE),1,0)</f>
        <v>0</v>
      </c>
      <c r="CJ22">
        <f>IF(VLOOKUP(CJ$1,main!$A$3:$H$102,5,FALSE)-VLOOKUP($A22,main!$A$3:$H$102,6,FALSE)&gt;=main!$D$103+VLOOKUP(VLOOKUP(CJ$1,main!$A$3:$I$102,7,FALSE),main!$K$26:$Q$29,3,FALSE),1,0)</f>
        <v>0</v>
      </c>
      <c r="CK22">
        <f>IF(VLOOKUP(CK$1,main!$A$3:$H$102,5,FALSE)-VLOOKUP($A22,main!$A$3:$H$102,6,FALSE)&gt;=main!$D$103+VLOOKUP(VLOOKUP(CK$1,main!$A$3:$I$102,7,FALSE),main!$K$26:$Q$29,3,FALSE),1,0)</f>
        <v>0</v>
      </c>
      <c r="CL22">
        <f>IF(VLOOKUP(CL$1,main!$A$3:$H$102,5,FALSE)-VLOOKUP($A22,main!$A$3:$H$102,6,FALSE)&gt;=main!$D$103+VLOOKUP(VLOOKUP(CL$1,main!$A$3:$I$102,7,FALSE),main!$K$26:$Q$29,3,FALSE),1,0)</f>
        <v>0</v>
      </c>
      <c r="CM22">
        <f>IF(VLOOKUP(CM$1,main!$A$3:$H$102,5,FALSE)-VLOOKUP($A22,main!$A$3:$H$102,6,FALSE)&gt;=main!$D$103+VLOOKUP(VLOOKUP(CM$1,main!$A$3:$I$102,7,FALSE),main!$K$26:$Q$29,3,FALSE),1,0)</f>
        <v>0</v>
      </c>
      <c r="CN22">
        <f>IF(VLOOKUP(CN$1,main!$A$3:$H$102,5,FALSE)-VLOOKUP($A22,main!$A$3:$H$102,6,FALSE)&gt;=main!$D$103+VLOOKUP(VLOOKUP(CN$1,main!$A$3:$I$102,7,FALSE),main!$K$26:$Q$29,3,FALSE),1,0)</f>
        <v>0</v>
      </c>
      <c r="CO22">
        <f>IF(VLOOKUP(CO$1,main!$A$3:$H$102,5,FALSE)-VLOOKUP($A22,main!$A$3:$H$102,6,FALSE)&gt;=main!$D$103+VLOOKUP(VLOOKUP(CO$1,main!$A$3:$I$102,7,FALSE),main!$K$26:$Q$29,3,FALSE),1,0)</f>
        <v>0</v>
      </c>
      <c r="CP22">
        <f>IF(VLOOKUP(CP$1,main!$A$3:$H$102,5,FALSE)-VLOOKUP($A22,main!$A$3:$H$102,6,FALSE)&gt;=main!$D$103+VLOOKUP(VLOOKUP(CP$1,main!$A$3:$I$102,7,FALSE),main!$K$26:$Q$29,3,FALSE),1,0)</f>
        <v>0</v>
      </c>
      <c r="CQ22">
        <f>IF(VLOOKUP(CQ$1,main!$A$3:$H$102,5,FALSE)-VLOOKUP($A22,main!$A$3:$H$102,6,FALSE)&gt;=main!$D$103+VLOOKUP(VLOOKUP(CQ$1,main!$A$3:$I$102,7,FALSE),main!$K$26:$Q$29,3,FALSE),1,0)</f>
        <v>0</v>
      </c>
      <c r="CR22">
        <f>IF(VLOOKUP(CR$1,main!$A$3:$H$102,5,FALSE)-VLOOKUP($A22,main!$A$3:$H$102,6,FALSE)&gt;=main!$D$103+VLOOKUP(VLOOKUP(CR$1,main!$A$3:$I$102,7,FALSE),main!$K$26:$Q$29,3,FALSE),1,0)</f>
        <v>0</v>
      </c>
      <c r="CS22">
        <f>IF(VLOOKUP(CS$1,main!$A$3:$H$102,5,FALSE)-VLOOKUP($A22,main!$A$3:$H$102,6,FALSE)&gt;=main!$D$103+VLOOKUP(VLOOKUP(CS$1,main!$A$3:$I$102,7,FALSE),main!$K$26:$Q$29,3,FALSE),1,0)</f>
        <v>0</v>
      </c>
      <c r="CT22">
        <f>IF(VLOOKUP(CT$1,main!$A$3:$H$102,5,FALSE)-VLOOKUP($A22,main!$A$3:$H$102,6,FALSE)&gt;=main!$D$103+VLOOKUP(VLOOKUP(CT$1,main!$A$3:$I$102,7,FALSE),main!$K$26:$Q$29,3,FALSE),1,0)</f>
        <v>0</v>
      </c>
      <c r="CU22">
        <f>IF(VLOOKUP(CU$1,main!$A$3:$H$102,5,FALSE)-VLOOKUP($A22,main!$A$3:$H$102,6,FALSE)&gt;=main!$D$103+VLOOKUP(VLOOKUP(CU$1,main!$A$3:$I$102,7,FALSE),main!$K$26:$Q$29,3,FALSE),1,0)</f>
        <v>0</v>
      </c>
      <c r="CV22">
        <f>IF(VLOOKUP(CV$1,main!$A$3:$H$102,5,FALSE)-VLOOKUP($A22,main!$A$3:$H$102,6,FALSE)&gt;=main!$D$103+VLOOKUP(VLOOKUP(CV$1,main!$A$3:$I$102,7,FALSE),main!$K$26:$Q$29,3,FALSE),1,0)</f>
        <v>0</v>
      </c>
      <c r="CW22">
        <f>IF(VLOOKUP(CW$1,main!$A$3:$H$102,5,FALSE)-VLOOKUP($A22,main!$A$3:$H$102,6,FALSE)&gt;=main!$D$103+VLOOKUP(VLOOKUP(CW$1,main!$A$3:$I$102,7,FALSE),main!$K$26:$Q$29,3,FALSE),1,0)</f>
        <v>0</v>
      </c>
      <c r="CX22">
        <f>IF(VLOOKUP(CX$1,main!$A$3:$H$102,5,FALSE)-VLOOKUP($A22,main!$A$3:$H$102,6,FALSE)&gt;=main!$D$103+VLOOKUP(VLOOKUP(CX$1,main!$A$3:$I$102,7,FALSE),main!$K$26:$Q$29,3,FALSE),1,0)</f>
        <v>0</v>
      </c>
    </row>
    <row r="23" spans="1:104" x14ac:dyDescent="0.25">
      <c r="A23" s="1">
        <v>21</v>
      </c>
      <c r="B23">
        <v>0</v>
      </c>
      <c r="C23">
        <f>IF(VLOOKUP(C$1,main!$A$3:$H$102,5,FALSE)-VLOOKUP($A23,main!$A$3:$H$102,6,FALSE)&gt;=main!$D$103+VLOOKUP(VLOOKUP(C$1,main!$A$3:$I$102,7,FALSE),main!$K$26:$Q$29,3,FALSE),1,0)</f>
        <v>0</v>
      </c>
      <c r="D23">
        <f>IF(VLOOKUP(D$1,main!$A$3:$H$102,5,FALSE)-VLOOKUP($A23,main!$A$3:$H$102,6,FALSE)&gt;=main!$D$103+VLOOKUP(VLOOKUP(D$1,main!$A$3:$I$102,7,FALSE),main!$K$26:$Q$29,3,FALSE),1,0)</f>
        <v>0</v>
      </c>
      <c r="E23">
        <f>IF(VLOOKUP(E$1,main!$A$3:$H$102,5,FALSE)-VLOOKUP($A23,main!$A$3:$H$102,6,FALSE)&gt;=main!$D$103+VLOOKUP(VLOOKUP(E$1,main!$A$3:$I$102,7,FALSE),main!$K$26:$Q$29,3,FALSE),1,0)</f>
        <v>0</v>
      </c>
      <c r="F23">
        <f>IF(VLOOKUP(F$1,main!$A$3:$H$102,5,FALSE)-VLOOKUP($A23,main!$A$3:$H$102,6,FALSE)&gt;=main!$D$103+VLOOKUP(VLOOKUP(F$1,main!$A$3:$I$102,7,FALSE),main!$K$26:$Q$29,3,FALSE),1,0)</f>
        <v>0</v>
      </c>
      <c r="G23">
        <f>IF(VLOOKUP(G$1,main!$A$3:$H$102,5,FALSE)-VLOOKUP($A23,main!$A$3:$H$102,6,FALSE)&gt;=main!$D$103+VLOOKUP(VLOOKUP(G$1,main!$A$3:$I$102,7,FALSE),main!$K$26:$Q$29,3,FALSE),1,0)</f>
        <v>1</v>
      </c>
      <c r="H23">
        <f>IF(VLOOKUP(H$1,main!$A$3:$H$102,5,FALSE)-VLOOKUP($A23,main!$A$3:$H$102,6,FALSE)&gt;=main!$D$103+VLOOKUP(VLOOKUP(H$1,main!$A$3:$I$102,7,FALSE),main!$K$26:$Q$29,3,FALSE),1,0)</f>
        <v>1</v>
      </c>
      <c r="I23">
        <f>IF(VLOOKUP(I$1,main!$A$3:$H$102,5,FALSE)-VLOOKUP($A23,main!$A$3:$H$102,6,FALSE)&gt;=main!$D$103+VLOOKUP(VLOOKUP(I$1,main!$A$3:$I$102,7,FALSE),main!$K$26:$Q$29,3,FALSE),1,0)</f>
        <v>1</v>
      </c>
      <c r="J23">
        <f>IF(VLOOKUP(J$1,main!$A$3:$H$102,5,FALSE)-VLOOKUP($A23,main!$A$3:$H$102,6,FALSE)&gt;=main!$D$103+VLOOKUP(VLOOKUP(J$1,main!$A$3:$I$102,7,FALSE),main!$K$26:$Q$29,3,FALSE),1,0)</f>
        <v>1</v>
      </c>
      <c r="K23">
        <f>IF(VLOOKUP(K$1,main!$A$3:$H$102,5,FALSE)-VLOOKUP($A23,main!$A$3:$H$102,6,FALSE)&gt;=main!$D$103+VLOOKUP(VLOOKUP(K$1,main!$A$3:$I$102,7,FALSE),main!$K$26:$Q$29,3,FALSE),1,0)</f>
        <v>1</v>
      </c>
      <c r="L23">
        <f>IF(VLOOKUP(L$1,main!$A$3:$H$102,5,FALSE)-VLOOKUP($A23,main!$A$3:$H$102,6,FALSE)&gt;=main!$D$103+VLOOKUP(VLOOKUP(L$1,main!$A$3:$I$102,7,FALSE),main!$K$26:$Q$29,3,FALSE),1,0)</f>
        <v>1</v>
      </c>
      <c r="M23">
        <f>IF(VLOOKUP(M$1,main!$A$3:$H$102,5,FALSE)-VLOOKUP($A23,main!$A$3:$H$102,6,FALSE)&gt;=main!$D$103+VLOOKUP(VLOOKUP(M$1,main!$A$3:$I$102,7,FALSE),main!$K$26:$Q$29,3,FALSE),1,0)</f>
        <v>0</v>
      </c>
      <c r="N23">
        <f>IF(VLOOKUP(N$1,main!$A$3:$H$102,5,FALSE)-VLOOKUP($A23,main!$A$3:$H$102,6,FALSE)&gt;=main!$D$103+VLOOKUP(VLOOKUP(N$1,main!$A$3:$I$102,7,FALSE),main!$K$26:$Q$29,3,FALSE),1,0)</f>
        <v>0</v>
      </c>
      <c r="O23">
        <f>IF(VLOOKUP(O$1,main!$A$3:$H$102,5,FALSE)-VLOOKUP($A23,main!$A$3:$H$102,6,FALSE)&gt;=main!$D$103+VLOOKUP(VLOOKUP(O$1,main!$A$3:$I$102,7,FALSE),main!$K$26:$Q$29,3,FALSE),1,0)</f>
        <v>0</v>
      </c>
      <c r="P23">
        <f>IF(VLOOKUP(P$1,main!$A$3:$H$102,5,FALSE)-VLOOKUP($A23,main!$A$3:$H$102,6,FALSE)&gt;=main!$D$103+VLOOKUP(VLOOKUP(P$1,main!$A$3:$I$102,7,FALSE),main!$K$26:$Q$29,3,FALSE),1,0)</f>
        <v>0</v>
      </c>
      <c r="Q23">
        <f>IF(VLOOKUP(Q$1,main!$A$3:$H$102,5,FALSE)-VLOOKUP($A23,main!$A$3:$H$102,6,FALSE)&gt;=main!$D$103+VLOOKUP(VLOOKUP(Q$1,main!$A$3:$I$102,7,FALSE),main!$K$26:$Q$29,3,FALSE),1,0)</f>
        <v>0</v>
      </c>
      <c r="R23">
        <f>IF(VLOOKUP(R$1,main!$A$3:$H$102,5,FALSE)-VLOOKUP($A23,main!$A$3:$H$102,6,FALSE)&gt;=main!$D$103+VLOOKUP(VLOOKUP(R$1,main!$A$3:$I$102,7,FALSE),main!$K$26:$Q$29,3,FALSE),1,0)</f>
        <v>1</v>
      </c>
      <c r="S23">
        <f>IF(VLOOKUP(S$1,main!$A$3:$H$102,5,FALSE)-VLOOKUP($A23,main!$A$3:$H$102,6,FALSE)&gt;=main!$D$103+VLOOKUP(VLOOKUP(S$1,main!$A$3:$I$102,7,FALSE),main!$K$26:$Q$29,3,FALSE),1,0)</f>
        <v>1</v>
      </c>
      <c r="T23">
        <f>IF(VLOOKUP(T$1,main!$A$3:$H$102,5,FALSE)-VLOOKUP($A23,main!$A$3:$H$102,6,FALSE)&gt;=main!$D$103+VLOOKUP(VLOOKUP(T$1,main!$A$3:$I$102,7,FALSE),main!$K$26:$Q$29,3,FALSE),1,0)</f>
        <v>1</v>
      </c>
      <c r="U23">
        <f>IF(VLOOKUP(U$1,main!$A$3:$H$102,5,FALSE)-VLOOKUP($A23,main!$A$3:$H$102,6,FALSE)&gt;=main!$D$103+VLOOKUP(VLOOKUP(U$1,main!$A$3:$I$102,7,FALSE),main!$K$26:$Q$29,3,FALSE),1,0)</f>
        <v>1</v>
      </c>
      <c r="V23">
        <f>IF(VLOOKUP(V$1,main!$A$3:$H$102,5,FALSE)-VLOOKUP($A23,main!$A$3:$H$102,6,FALSE)&gt;=main!$D$103+VLOOKUP(VLOOKUP(V$1,main!$A$3:$I$102,7,FALSE),main!$K$26:$Q$29,3,FALSE),1,0)</f>
        <v>1</v>
      </c>
      <c r="W23">
        <f>IF(VLOOKUP(W$1,main!$A$3:$H$102,5,FALSE)-VLOOKUP($A23,main!$A$3:$H$102,6,FALSE)&gt;=main!$D$103+VLOOKUP(VLOOKUP(W$1,main!$A$3:$I$102,7,FALSE),main!$K$26:$Q$29,3,FALSE),1,0)</f>
        <v>0</v>
      </c>
      <c r="X23">
        <f>IF(VLOOKUP(X$1,main!$A$3:$H$102,5,FALSE)-VLOOKUP($A23,main!$A$3:$H$102,6,FALSE)&gt;=main!$D$103+VLOOKUP(VLOOKUP(X$1,main!$A$3:$I$102,7,FALSE),main!$K$26:$Q$29,3,FALSE),1,0)</f>
        <v>0</v>
      </c>
      <c r="Y23">
        <f>IF(VLOOKUP(Y$1,main!$A$3:$H$102,5,FALSE)-VLOOKUP($A23,main!$A$3:$H$102,6,FALSE)&gt;=main!$D$103+VLOOKUP(VLOOKUP(Y$1,main!$A$3:$I$102,7,FALSE),main!$K$26:$Q$29,3,FALSE),1,0)</f>
        <v>1</v>
      </c>
      <c r="Z23">
        <f>IF(VLOOKUP(Z$1,main!$A$3:$H$102,5,FALSE)-VLOOKUP($A23,main!$A$3:$H$102,6,FALSE)&gt;=main!$D$103+VLOOKUP(VLOOKUP(Z$1,main!$A$3:$I$102,7,FALSE),main!$K$26:$Q$29,3,FALSE),1,0)</f>
        <v>1</v>
      </c>
      <c r="AA23">
        <f>IF(VLOOKUP(AA$1,main!$A$3:$H$102,5,FALSE)-VLOOKUP($A23,main!$A$3:$H$102,6,FALSE)&gt;=main!$D$103+VLOOKUP(VLOOKUP(AA$1,main!$A$3:$I$102,7,FALSE),main!$K$26:$Q$29,3,FALSE),1,0)</f>
        <v>1</v>
      </c>
      <c r="AB23">
        <f>IF(VLOOKUP(AB$1,main!$A$3:$H$102,5,FALSE)-VLOOKUP($A23,main!$A$3:$H$102,6,FALSE)&gt;=main!$D$103+VLOOKUP(VLOOKUP(AB$1,main!$A$3:$I$102,7,FALSE),main!$K$26:$Q$29,3,FALSE),1,0)</f>
        <v>0</v>
      </c>
      <c r="AC23">
        <f>IF(VLOOKUP(AC$1,main!$A$3:$H$102,5,FALSE)-VLOOKUP($A23,main!$A$3:$H$102,6,FALSE)&gt;=main!$D$103+VLOOKUP(VLOOKUP(AC$1,main!$A$3:$I$102,7,FALSE),main!$K$26:$Q$29,3,FALSE),1,0)</f>
        <v>0</v>
      </c>
      <c r="AD23">
        <f>IF(VLOOKUP(AD$1,main!$A$3:$H$102,5,FALSE)-VLOOKUP($A23,main!$A$3:$H$102,6,FALSE)&gt;=main!$D$103+VLOOKUP(VLOOKUP(AD$1,main!$A$3:$I$102,7,FALSE),main!$K$26:$Q$29,3,FALSE),1,0)</f>
        <v>0</v>
      </c>
      <c r="AE23">
        <f>IF(VLOOKUP(AE$1,main!$A$3:$H$102,5,FALSE)-VLOOKUP($A23,main!$A$3:$H$102,6,FALSE)&gt;=main!$D$103+VLOOKUP(VLOOKUP(AE$1,main!$A$3:$I$102,7,FALSE),main!$K$26:$Q$29,3,FALSE),1,0)</f>
        <v>1</v>
      </c>
      <c r="AF23">
        <f>IF(VLOOKUP(AF$1,main!$A$3:$H$102,5,FALSE)-VLOOKUP($A23,main!$A$3:$H$102,6,FALSE)&gt;=main!$D$103+VLOOKUP(VLOOKUP(AF$1,main!$A$3:$I$102,7,FALSE),main!$K$26:$Q$29,3,FALSE),1,0)</f>
        <v>1</v>
      </c>
      <c r="AG23">
        <f>IF(VLOOKUP(AG$1,main!$A$3:$H$102,5,FALSE)-VLOOKUP($A23,main!$A$3:$H$102,6,FALSE)&gt;=main!$D$103+VLOOKUP(VLOOKUP(AG$1,main!$A$3:$I$102,7,FALSE),main!$K$26:$Q$29,3,FALSE),1,0)</f>
        <v>0</v>
      </c>
      <c r="AH23">
        <f>IF(VLOOKUP(AH$1,main!$A$3:$H$102,5,FALSE)-VLOOKUP($A23,main!$A$3:$H$102,6,FALSE)&gt;=main!$D$103+VLOOKUP(VLOOKUP(AH$1,main!$A$3:$I$102,7,FALSE),main!$K$26:$Q$29,3,FALSE),1,0)</f>
        <v>0</v>
      </c>
      <c r="AI23">
        <f>IF(VLOOKUP(AI$1,main!$A$3:$H$102,5,FALSE)-VLOOKUP($A23,main!$A$3:$H$102,6,FALSE)&gt;=main!$D$103+VLOOKUP(VLOOKUP(AI$1,main!$A$3:$I$102,7,FALSE),main!$K$26:$Q$29,3,FALSE),1,0)</f>
        <v>0</v>
      </c>
      <c r="AJ23">
        <f>IF(VLOOKUP(AJ$1,main!$A$3:$H$102,5,FALSE)-VLOOKUP($A23,main!$A$3:$H$102,6,FALSE)&gt;=main!$D$103+VLOOKUP(VLOOKUP(AJ$1,main!$A$3:$I$102,7,FALSE),main!$K$26:$Q$29,3,FALSE),1,0)</f>
        <v>1</v>
      </c>
      <c r="AK23">
        <f>IF(VLOOKUP(AK$1,main!$A$3:$H$102,5,FALSE)-VLOOKUP($A23,main!$A$3:$H$102,6,FALSE)&gt;=main!$D$103+VLOOKUP(VLOOKUP(AK$1,main!$A$3:$I$102,7,FALSE),main!$K$26:$Q$29,3,FALSE),1,0)</f>
        <v>1</v>
      </c>
      <c r="AL23">
        <f>IF(VLOOKUP(AL$1,main!$A$3:$H$102,5,FALSE)-VLOOKUP($A23,main!$A$3:$H$102,6,FALSE)&gt;=main!$D$103+VLOOKUP(VLOOKUP(AL$1,main!$A$3:$I$102,7,FALSE),main!$K$26:$Q$29,3,FALSE),1,0)</f>
        <v>1</v>
      </c>
      <c r="AM23">
        <f>IF(VLOOKUP(AM$1,main!$A$3:$H$102,5,FALSE)-VLOOKUP($A23,main!$A$3:$H$102,6,FALSE)&gt;=main!$D$103+VLOOKUP(VLOOKUP(AM$1,main!$A$3:$I$102,7,FALSE),main!$K$26:$Q$29,3,FALSE),1,0)</f>
        <v>1</v>
      </c>
      <c r="AN23">
        <f>IF(VLOOKUP(AN$1,main!$A$3:$H$102,5,FALSE)-VLOOKUP($A23,main!$A$3:$H$102,6,FALSE)&gt;=main!$D$103+VLOOKUP(VLOOKUP(AN$1,main!$A$3:$I$102,7,FALSE),main!$K$26:$Q$29,3,FALSE),1,0)</f>
        <v>1</v>
      </c>
      <c r="AO23">
        <f>IF(VLOOKUP(AO$1,main!$A$3:$H$102,5,FALSE)-VLOOKUP($A23,main!$A$3:$H$102,6,FALSE)&gt;=main!$D$103+VLOOKUP(VLOOKUP(AO$1,main!$A$3:$I$102,7,FALSE),main!$K$26:$Q$29,3,FALSE),1,0)</f>
        <v>0</v>
      </c>
      <c r="AP23">
        <f>IF(VLOOKUP(AP$1,main!$A$3:$H$102,5,FALSE)-VLOOKUP($A23,main!$A$3:$H$102,6,FALSE)&gt;=main!$D$103+VLOOKUP(VLOOKUP(AP$1,main!$A$3:$I$102,7,FALSE),main!$K$26:$Q$29,3,FALSE),1,0)</f>
        <v>1</v>
      </c>
      <c r="AQ23">
        <f>IF(VLOOKUP(AQ$1,main!$A$3:$H$102,5,FALSE)-VLOOKUP($A23,main!$A$3:$H$102,6,FALSE)&gt;=main!$D$103+VLOOKUP(VLOOKUP(AQ$1,main!$A$3:$I$102,7,FALSE),main!$K$26:$Q$29,3,FALSE),1,0)</f>
        <v>0</v>
      </c>
      <c r="AR23">
        <f>IF(VLOOKUP(AR$1,main!$A$3:$H$102,5,FALSE)-VLOOKUP($A23,main!$A$3:$H$102,6,FALSE)&gt;=main!$D$103+VLOOKUP(VLOOKUP(AR$1,main!$A$3:$I$102,7,FALSE),main!$K$26:$Q$29,3,FALSE),1,0)</f>
        <v>0</v>
      </c>
      <c r="AS23">
        <f>IF(VLOOKUP(AS$1,main!$A$3:$H$102,5,FALSE)-VLOOKUP($A23,main!$A$3:$H$102,6,FALSE)&gt;=main!$D$103+VLOOKUP(VLOOKUP(AS$1,main!$A$3:$I$102,7,FALSE),main!$K$26:$Q$29,3,FALSE),1,0)</f>
        <v>1</v>
      </c>
      <c r="AT23">
        <f>IF(VLOOKUP(AT$1,main!$A$3:$H$102,5,FALSE)-VLOOKUP($A23,main!$A$3:$H$102,6,FALSE)&gt;=main!$D$103+VLOOKUP(VLOOKUP(AT$1,main!$A$3:$I$102,7,FALSE),main!$K$26:$Q$29,3,FALSE),1,0)</f>
        <v>1</v>
      </c>
      <c r="AU23">
        <f>IF(VLOOKUP(AU$1,main!$A$3:$H$102,5,FALSE)-VLOOKUP($A23,main!$A$3:$H$102,6,FALSE)&gt;=main!$D$103+VLOOKUP(VLOOKUP(AU$1,main!$A$3:$I$102,7,FALSE),main!$K$26:$Q$29,3,FALSE),1,0)</f>
        <v>0</v>
      </c>
      <c r="AV23">
        <f>IF(VLOOKUP(AV$1,main!$A$3:$H$102,5,FALSE)-VLOOKUP($A23,main!$A$3:$H$102,6,FALSE)&gt;=main!$D$103+VLOOKUP(VLOOKUP(AV$1,main!$A$3:$I$102,7,FALSE),main!$K$26:$Q$29,3,FALSE),1,0)</f>
        <v>0</v>
      </c>
      <c r="AW23">
        <f>IF(VLOOKUP(AW$1,main!$A$3:$H$102,5,FALSE)-VLOOKUP($A23,main!$A$3:$H$102,6,FALSE)&gt;=main!$D$103+VLOOKUP(VLOOKUP(AW$1,main!$A$3:$I$102,7,FALSE),main!$K$26:$Q$29,3,FALSE),1,0)</f>
        <v>1</v>
      </c>
      <c r="AX23">
        <f>IF(VLOOKUP(AX$1,main!$A$3:$H$102,5,FALSE)-VLOOKUP($A23,main!$A$3:$H$102,6,FALSE)&gt;=main!$D$103+VLOOKUP(VLOOKUP(AX$1,main!$A$3:$I$102,7,FALSE),main!$K$26:$Q$29,3,FALSE),1,0)</f>
        <v>0</v>
      </c>
      <c r="AY23">
        <f>IF(VLOOKUP(AY$1,main!$A$3:$H$102,5,FALSE)-VLOOKUP($A23,main!$A$3:$H$102,6,FALSE)&gt;=main!$D$103+VLOOKUP(VLOOKUP(AY$1,main!$A$3:$I$102,7,FALSE),main!$K$26:$Q$29,3,FALSE),1,0)</f>
        <v>0</v>
      </c>
      <c r="AZ23">
        <f>IF(VLOOKUP(AZ$1,main!$A$3:$H$102,5,FALSE)-VLOOKUP($A23,main!$A$3:$H$102,6,FALSE)&gt;=main!$D$103+VLOOKUP(VLOOKUP(AZ$1,main!$A$3:$I$102,7,FALSE),main!$K$26:$Q$29,3,FALSE),1,0)</f>
        <v>0</v>
      </c>
      <c r="BA23">
        <f>IF(VLOOKUP(BA$1,main!$A$3:$H$102,5,FALSE)-VLOOKUP($A23,main!$A$3:$H$102,6,FALSE)&gt;=main!$D$103+VLOOKUP(VLOOKUP(BA$1,main!$A$3:$I$102,7,FALSE),main!$K$26:$Q$29,3,FALSE),1,0)</f>
        <v>0</v>
      </c>
      <c r="BB23">
        <f>IF(VLOOKUP(BB$1,main!$A$3:$H$102,5,FALSE)-VLOOKUP($A23,main!$A$3:$H$102,6,FALSE)&gt;=main!$D$103+VLOOKUP(VLOOKUP(BB$1,main!$A$3:$I$102,7,FALSE),main!$K$26:$Q$29,3,FALSE),1,0)</f>
        <v>0</v>
      </c>
      <c r="BC23">
        <f>IF(VLOOKUP(BC$1,main!$A$3:$H$102,5,FALSE)-VLOOKUP($A23,main!$A$3:$H$102,6,FALSE)&gt;=main!$D$103+VLOOKUP(VLOOKUP(BC$1,main!$A$3:$I$102,7,FALSE),main!$K$26:$Q$29,3,FALSE),1,0)</f>
        <v>1</v>
      </c>
      <c r="BD23">
        <f>IF(VLOOKUP(BD$1,main!$A$3:$H$102,5,FALSE)-VLOOKUP($A23,main!$A$3:$H$102,6,FALSE)&gt;=main!$D$103+VLOOKUP(VLOOKUP(BD$1,main!$A$3:$I$102,7,FALSE),main!$K$26:$Q$29,3,FALSE),1,0)</f>
        <v>1</v>
      </c>
      <c r="BE23">
        <f>IF(VLOOKUP(BE$1,main!$A$3:$H$102,5,FALSE)-VLOOKUP($A23,main!$A$3:$H$102,6,FALSE)&gt;=main!$D$103+VLOOKUP(VLOOKUP(BE$1,main!$A$3:$I$102,7,FALSE),main!$K$26:$Q$29,3,FALSE),1,0)</f>
        <v>1</v>
      </c>
      <c r="BF23">
        <f>IF(VLOOKUP(BF$1,main!$A$3:$H$102,5,FALSE)-VLOOKUP($A23,main!$A$3:$H$102,6,FALSE)&gt;=main!$D$103+VLOOKUP(VLOOKUP(BF$1,main!$A$3:$I$102,7,FALSE),main!$K$26:$Q$29,3,FALSE),1,0)</f>
        <v>0</v>
      </c>
      <c r="BG23">
        <f>IF(VLOOKUP(BG$1,main!$A$3:$H$102,5,FALSE)-VLOOKUP($A23,main!$A$3:$H$102,6,FALSE)&gt;=main!$D$103+VLOOKUP(VLOOKUP(BG$1,main!$A$3:$I$102,7,FALSE),main!$K$26:$Q$29,3,FALSE),1,0)</f>
        <v>0</v>
      </c>
      <c r="BH23">
        <f>IF(VLOOKUP(BH$1,main!$A$3:$H$102,5,FALSE)-VLOOKUP($A23,main!$A$3:$H$102,6,FALSE)&gt;=main!$D$103+VLOOKUP(VLOOKUP(BH$1,main!$A$3:$I$102,7,FALSE),main!$K$26:$Q$29,3,FALSE),1,0)</f>
        <v>1</v>
      </c>
      <c r="BI23">
        <f>IF(VLOOKUP(BI$1,main!$A$3:$H$102,5,FALSE)-VLOOKUP($A23,main!$A$3:$H$102,6,FALSE)&gt;=main!$D$103+VLOOKUP(VLOOKUP(BI$1,main!$A$3:$I$102,7,FALSE),main!$K$26:$Q$29,3,FALSE),1,0)</f>
        <v>1</v>
      </c>
      <c r="BJ23">
        <f>IF(VLOOKUP(BJ$1,main!$A$3:$H$102,5,FALSE)-VLOOKUP($A23,main!$A$3:$H$102,6,FALSE)&gt;=main!$D$103+VLOOKUP(VLOOKUP(BJ$1,main!$A$3:$I$102,7,FALSE),main!$K$26:$Q$29,3,FALSE),1,0)</f>
        <v>1</v>
      </c>
      <c r="BK23">
        <f>IF(VLOOKUP(BK$1,main!$A$3:$H$102,5,FALSE)-VLOOKUP($A23,main!$A$3:$H$102,6,FALSE)&gt;=main!$D$103+VLOOKUP(VLOOKUP(BK$1,main!$A$3:$I$102,7,FALSE),main!$K$26:$Q$29,3,FALSE),1,0)</f>
        <v>0</v>
      </c>
      <c r="BL23">
        <f>IF(VLOOKUP(BL$1,main!$A$3:$H$102,5,FALSE)-VLOOKUP($A23,main!$A$3:$H$102,6,FALSE)&gt;=main!$D$103+VLOOKUP(VLOOKUP(BL$1,main!$A$3:$I$102,7,FALSE),main!$K$26:$Q$29,3,FALSE),1,0)</f>
        <v>0</v>
      </c>
      <c r="BM23">
        <f>IF(VLOOKUP(BM$1,main!$A$3:$H$102,5,FALSE)-VLOOKUP($A23,main!$A$3:$H$102,6,FALSE)&gt;=main!$D$103+VLOOKUP(VLOOKUP(BM$1,main!$A$3:$I$102,7,FALSE),main!$K$26:$Q$29,3,FALSE),1,0)</f>
        <v>0</v>
      </c>
      <c r="BN23">
        <f>IF(VLOOKUP(BN$1,main!$A$3:$H$102,5,FALSE)-VLOOKUP($A23,main!$A$3:$H$102,6,FALSE)&gt;=main!$D$103+VLOOKUP(VLOOKUP(BN$1,main!$A$3:$I$102,7,FALSE),main!$K$26:$Q$29,3,FALSE),1,0)</f>
        <v>1</v>
      </c>
      <c r="BO23">
        <f>IF(VLOOKUP(BO$1,main!$A$3:$H$102,5,FALSE)-VLOOKUP($A23,main!$A$3:$H$102,6,FALSE)&gt;=main!$D$103+VLOOKUP(VLOOKUP(BO$1,main!$A$3:$I$102,7,FALSE),main!$K$26:$Q$29,3,FALSE),1,0)</f>
        <v>0</v>
      </c>
      <c r="BP23">
        <f>IF(VLOOKUP(BP$1,main!$A$3:$H$102,5,FALSE)-VLOOKUP($A23,main!$A$3:$H$102,6,FALSE)&gt;=main!$D$103+VLOOKUP(VLOOKUP(BP$1,main!$A$3:$I$102,7,FALSE),main!$K$26:$Q$29,3,FALSE),1,0)</f>
        <v>0</v>
      </c>
      <c r="BQ23">
        <f>IF(VLOOKUP(BQ$1,main!$A$3:$H$102,5,FALSE)-VLOOKUP($A23,main!$A$3:$H$102,6,FALSE)&gt;=main!$D$103+VLOOKUP(VLOOKUP(BQ$1,main!$A$3:$I$102,7,FALSE),main!$K$26:$Q$29,3,FALSE),1,0)</f>
        <v>0</v>
      </c>
      <c r="BR23">
        <f>IF(VLOOKUP(BR$1,main!$A$3:$H$102,5,FALSE)-VLOOKUP($A23,main!$A$3:$H$102,6,FALSE)&gt;=main!$D$103+VLOOKUP(VLOOKUP(BR$1,main!$A$3:$I$102,7,FALSE),main!$K$26:$Q$29,3,FALSE),1,0)</f>
        <v>1</v>
      </c>
      <c r="BS23">
        <f>IF(VLOOKUP(BS$1,main!$A$3:$H$102,5,FALSE)-VLOOKUP($A23,main!$A$3:$H$102,6,FALSE)&gt;=main!$D$103+VLOOKUP(VLOOKUP(BS$1,main!$A$3:$I$102,7,FALSE),main!$K$26:$Q$29,3,FALSE),1,0)</f>
        <v>1</v>
      </c>
      <c r="BT23">
        <f>IF(VLOOKUP(BT$1,main!$A$3:$H$102,5,FALSE)-VLOOKUP($A23,main!$A$3:$H$102,6,FALSE)&gt;=main!$D$103+VLOOKUP(VLOOKUP(BT$1,main!$A$3:$I$102,7,FALSE),main!$K$26:$Q$29,3,FALSE),1,0)</f>
        <v>0</v>
      </c>
      <c r="BU23">
        <f>IF(VLOOKUP(BU$1,main!$A$3:$H$102,5,FALSE)-VLOOKUP($A23,main!$A$3:$H$102,6,FALSE)&gt;=main!$D$103+VLOOKUP(VLOOKUP(BU$1,main!$A$3:$I$102,7,FALSE),main!$K$26:$Q$29,3,FALSE),1,0)</f>
        <v>0</v>
      </c>
      <c r="BV23">
        <f>IF(VLOOKUP(BV$1,main!$A$3:$H$102,5,FALSE)-VLOOKUP($A23,main!$A$3:$H$102,6,FALSE)&gt;=main!$D$103+VLOOKUP(VLOOKUP(BV$1,main!$A$3:$I$102,7,FALSE),main!$K$26:$Q$29,3,FALSE),1,0)</f>
        <v>0</v>
      </c>
      <c r="BW23">
        <f>IF(VLOOKUP(BW$1,main!$A$3:$H$102,5,FALSE)-VLOOKUP($A23,main!$A$3:$H$102,6,FALSE)&gt;=main!$D$103+VLOOKUP(VLOOKUP(BW$1,main!$A$3:$I$102,7,FALSE),main!$K$26:$Q$29,3,FALSE),1,0)</f>
        <v>0</v>
      </c>
      <c r="BX23">
        <f>IF(VLOOKUP(BX$1,main!$A$3:$H$102,5,FALSE)-VLOOKUP($A23,main!$A$3:$H$102,6,FALSE)&gt;=main!$D$103+VLOOKUP(VLOOKUP(BX$1,main!$A$3:$I$102,7,FALSE),main!$K$26:$Q$29,3,FALSE),1,0)</f>
        <v>0</v>
      </c>
      <c r="BY23">
        <f>IF(VLOOKUP(BY$1,main!$A$3:$H$102,5,FALSE)-VLOOKUP($A23,main!$A$3:$H$102,6,FALSE)&gt;=main!$D$103+VLOOKUP(VLOOKUP(BY$1,main!$A$3:$I$102,7,FALSE),main!$K$26:$Q$29,3,FALSE),1,0)</f>
        <v>1</v>
      </c>
      <c r="BZ23">
        <f>IF(VLOOKUP(BZ$1,main!$A$3:$H$102,5,FALSE)-VLOOKUP($A23,main!$A$3:$H$102,6,FALSE)&gt;=main!$D$103+VLOOKUP(VLOOKUP(BZ$1,main!$A$3:$I$102,7,FALSE),main!$K$26:$Q$29,3,FALSE),1,0)</f>
        <v>0</v>
      </c>
      <c r="CA23">
        <f>IF(VLOOKUP(CA$1,main!$A$3:$H$102,5,FALSE)-VLOOKUP($A23,main!$A$3:$H$102,6,FALSE)&gt;=main!$D$103+VLOOKUP(VLOOKUP(CA$1,main!$A$3:$I$102,7,FALSE),main!$K$26:$Q$29,3,FALSE),1,0)</f>
        <v>0</v>
      </c>
      <c r="CB23">
        <f>IF(VLOOKUP(CB$1,main!$A$3:$H$102,5,FALSE)-VLOOKUP($A23,main!$A$3:$H$102,6,FALSE)&gt;=main!$D$103+VLOOKUP(VLOOKUP(CB$1,main!$A$3:$I$102,7,FALSE),main!$K$26:$Q$29,3,FALSE),1,0)</f>
        <v>1</v>
      </c>
      <c r="CC23">
        <f>IF(VLOOKUP(CC$1,main!$A$3:$H$102,5,FALSE)-VLOOKUP($A23,main!$A$3:$H$102,6,FALSE)&gt;=main!$D$103+VLOOKUP(VLOOKUP(CC$1,main!$A$3:$I$102,7,FALSE),main!$K$26:$Q$29,3,FALSE),1,0)</f>
        <v>1</v>
      </c>
      <c r="CD23">
        <f>IF(VLOOKUP(CD$1,main!$A$3:$H$102,5,FALSE)-VLOOKUP($A23,main!$A$3:$H$102,6,FALSE)&gt;=main!$D$103+VLOOKUP(VLOOKUP(CD$1,main!$A$3:$I$102,7,FALSE),main!$K$26:$Q$29,3,FALSE),1,0)</f>
        <v>1</v>
      </c>
      <c r="CE23">
        <f>IF(VLOOKUP(CE$1,main!$A$3:$H$102,5,FALSE)-VLOOKUP($A23,main!$A$3:$H$102,6,FALSE)&gt;=main!$D$103+VLOOKUP(VLOOKUP(CE$1,main!$A$3:$I$102,7,FALSE),main!$K$26:$Q$29,3,FALSE),1,0)</f>
        <v>0</v>
      </c>
      <c r="CF23">
        <f>IF(VLOOKUP(CF$1,main!$A$3:$H$102,5,FALSE)-VLOOKUP($A23,main!$A$3:$H$102,6,FALSE)&gt;=main!$D$103+VLOOKUP(VLOOKUP(CF$1,main!$A$3:$I$102,7,FALSE),main!$K$26:$Q$29,3,FALSE),1,0)</f>
        <v>0</v>
      </c>
      <c r="CG23">
        <f>IF(VLOOKUP(CG$1,main!$A$3:$H$102,5,FALSE)-VLOOKUP($A23,main!$A$3:$H$102,6,FALSE)&gt;=main!$D$103+VLOOKUP(VLOOKUP(CG$1,main!$A$3:$I$102,7,FALSE),main!$K$26:$Q$29,3,FALSE),1,0)</f>
        <v>1</v>
      </c>
      <c r="CH23">
        <f>IF(VLOOKUP(CH$1,main!$A$3:$H$102,5,FALSE)-VLOOKUP($A23,main!$A$3:$H$102,6,FALSE)&gt;=main!$D$103+VLOOKUP(VLOOKUP(CH$1,main!$A$3:$I$102,7,FALSE),main!$K$26:$Q$29,3,FALSE),1,0)</f>
        <v>1</v>
      </c>
      <c r="CI23">
        <f>IF(VLOOKUP(CI$1,main!$A$3:$H$102,5,FALSE)-VLOOKUP($A23,main!$A$3:$H$102,6,FALSE)&gt;=main!$D$103+VLOOKUP(VLOOKUP(CI$1,main!$A$3:$I$102,7,FALSE),main!$K$26:$Q$29,3,FALSE),1,0)</f>
        <v>1</v>
      </c>
      <c r="CJ23">
        <f>IF(VLOOKUP(CJ$1,main!$A$3:$H$102,5,FALSE)-VLOOKUP($A23,main!$A$3:$H$102,6,FALSE)&gt;=main!$D$103+VLOOKUP(VLOOKUP(CJ$1,main!$A$3:$I$102,7,FALSE),main!$K$26:$Q$29,3,FALSE),1,0)</f>
        <v>1</v>
      </c>
      <c r="CK23">
        <f>IF(VLOOKUP(CK$1,main!$A$3:$H$102,5,FALSE)-VLOOKUP($A23,main!$A$3:$H$102,6,FALSE)&gt;=main!$D$103+VLOOKUP(VLOOKUP(CK$1,main!$A$3:$I$102,7,FALSE),main!$K$26:$Q$29,3,FALSE),1,0)</f>
        <v>0</v>
      </c>
      <c r="CL23">
        <f>IF(VLOOKUP(CL$1,main!$A$3:$H$102,5,FALSE)-VLOOKUP($A23,main!$A$3:$H$102,6,FALSE)&gt;=main!$D$103+VLOOKUP(VLOOKUP(CL$1,main!$A$3:$I$102,7,FALSE),main!$K$26:$Q$29,3,FALSE),1,0)</f>
        <v>1</v>
      </c>
      <c r="CM23">
        <f>IF(VLOOKUP(CM$1,main!$A$3:$H$102,5,FALSE)-VLOOKUP($A23,main!$A$3:$H$102,6,FALSE)&gt;=main!$D$103+VLOOKUP(VLOOKUP(CM$1,main!$A$3:$I$102,7,FALSE),main!$K$26:$Q$29,3,FALSE),1,0)</f>
        <v>1</v>
      </c>
      <c r="CN23">
        <f>IF(VLOOKUP(CN$1,main!$A$3:$H$102,5,FALSE)-VLOOKUP($A23,main!$A$3:$H$102,6,FALSE)&gt;=main!$D$103+VLOOKUP(VLOOKUP(CN$1,main!$A$3:$I$102,7,FALSE),main!$K$26:$Q$29,3,FALSE),1,0)</f>
        <v>1</v>
      </c>
      <c r="CO23">
        <f>IF(VLOOKUP(CO$1,main!$A$3:$H$102,5,FALSE)-VLOOKUP($A23,main!$A$3:$H$102,6,FALSE)&gt;=main!$D$103+VLOOKUP(VLOOKUP(CO$1,main!$A$3:$I$102,7,FALSE),main!$K$26:$Q$29,3,FALSE),1,0)</f>
        <v>0</v>
      </c>
      <c r="CP23">
        <f>IF(VLOOKUP(CP$1,main!$A$3:$H$102,5,FALSE)-VLOOKUP($A23,main!$A$3:$H$102,6,FALSE)&gt;=main!$D$103+VLOOKUP(VLOOKUP(CP$1,main!$A$3:$I$102,7,FALSE),main!$K$26:$Q$29,3,FALSE),1,0)</f>
        <v>0</v>
      </c>
      <c r="CQ23">
        <f>IF(VLOOKUP(CQ$1,main!$A$3:$H$102,5,FALSE)-VLOOKUP($A23,main!$A$3:$H$102,6,FALSE)&gt;=main!$D$103+VLOOKUP(VLOOKUP(CQ$1,main!$A$3:$I$102,7,FALSE),main!$K$26:$Q$29,3,FALSE),1,0)</f>
        <v>1</v>
      </c>
      <c r="CR23">
        <f>IF(VLOOKUP(CR$1,main!$A$3:$H$102,5,FALSE)-VLOOKUP($A23,main!$A$3:$H$102,6,FALSE)&gt;=main!$D$103+VLOOKUP(VLOOKUP(CR$1,main!$A$3:$I$102,7,FALSE),main!$K$26:$Q$29,3,FALSE),1,0)</f>
        <v>1</v>
      </c>
      <c r="CS23">
        <f>IF(VLOOKUP(CS$1,main!$A$3:$H$102,5,FALSE)-VLOOKUP($A23,main!$A$3:$H$102,6,FALSE)&gt;=main!$D$103+VLOOKUP(VLOOKUP(CS$1,main!$A$3:$I$102,7,FALSE),main!$K$26:$Q$29,3,FALSE),1,0)</f>
        <v>1</v>
      </c>
      <c r="CT23">
        <f>IF(VLOOKUP(CT$1,main!$A$3:$H$102,5,FALSE)-VLOOKUP($A23,main!$A$3:$H$102,6,FALSE)&gt;=main!$D$103+VLOOKUP(VLOOKUP(CT$1,main!$A$3:$I$102,7,FALSE),main!$K$26:$Q$29,3,FALSE),1,0)</f>
        <v>0</v>
      </c>
      <c r="CU23">
        <f>IF(VLOOKUP(CU$1,main!$A$3:$H$102,5,FALSE)-VLOOKUP($A23,main!$A$3:$H$102,6,FALSE)&gt;=main!$D$103+VLOOKUP(VLOOKUP(CU$1,main!$A$3:$I$102,7,FALSE),main!$K$26:$Q$29,3,FALSE),1,0)</f>
        <v>0</v>
      </c>
      <c r="CV23">
        <f>IF(VLOOKUP(CV$1,main!$A$3:$H$102,5,FALSE)-VLOOKUP($A23,main!$A$3:$H$102,6,FALSE)&gt;=main!$D$103+VLOOKUP(VLOOKUP(CV$1,main!$A$3:$I$102,7,FALSE),main!$K$26:$Q$29,3,FALSE),1,0)</f>
        <v>1</v>
      </c>
      <c r="CW23">
        <f>IF(VLOOKUP(CW$1,main!$A$3:$H$102,5,FALSE)-VLOOKUP($A23,main!$A$3:$H$102,6,FALSE)&gt;=main!$D$103+VLOOKUP(VLOOKUP(CW$1,main!$A$3:$I$102,7,FALSE),main!$K$26:$Q$29,3,FALSE),1,0)</f>
        <v>1</v>
      </c>
      <c r="CX23">
        <f>IF(VLOOKUP(CX$1,main!$A$3:$H$102,5,FALSE)-VLOOKUP($A23,main!$A$3:$H$102,6,FALSE)&gt;=main!$D$103+VLOOKUP(VLOOKUP(CX$1,main!$A$3:$I$102,7,FALSE),main!$K$26:$Q$29,3,FALSE),1,0)</f>
        <v>1</v>
      </c>
      <c r="CZ23">
        <f>IF(VLOOKUP(CX$1,main!$A$3:$H$102,5,FALSE)-VLOOKUP($A25,main!$A$3:$H$102,6,FALSE)&gt;=main!$D$103+VLOOKUP(VLOOKUP(CX$1,main!$A$3:$I$102,7,FALSE),main!$K$26:$Q$29,3,FALSE),1,0)</f>
        <v>1</v>
      </c>
    </row>
    <row r="24" spans="1:104" x14ac:dyDescent="0.25">
      <c r="A24" s="1">
        <v>22</v>
      </c>
      <c r="B24">
        <v>0</v>
      </c>
      <c r="C24">
        <f>IF(VLOOKUP(C$1,main!$A$3:$H$102,5,FALSE)-VLOOKUP($A24,main!$A$3:$H$102,6,FALSE)&gt;=main!$D$103+VLOOKUP(VLOOKUP(C$1,main!$A$3:$I$102,7,FALSE),main!$K$26:$Q$29,3,FALSE),1,0)</f>
        <v>0</v>
      </c>
      <c r="D24">
        <f>IF(VLOOKUP(D$1,main!$A$3:$H$102,5,FALSE)-VLOOKUP($A24,main!$A$3:$H$102,6,FALSE)&gt;=main!$D$103+VLOOKUP(VLOOKUP(D$1,main!$A$3:$I$102,7,FALSE),main!$K$26:$Q$29,3,FALSE),1,0)</f>
        <v>0</v>
      </c>
      <c r="E24">
        <f>IF(VLOOKUP(E$1,main!$A$3:$H$102,5,FALSE)-VLOOKUP($A24,main!$A$3:$H$102,6,FALSE)&gt;=main!$D$103+VLOOKUP(VLOOKUP(E$1,main!$A$3:$I$102,7,FALSE),main!$K$26:$Q$29,3,FALSE),1,0)</f>
        <v>0</v>
      </c>
      <c r="F24">
        <f>IF(VLOOKUP(F$1,main!$A$3:$H$102,5,FALSE)-VLOOKUP($A24,main!$A$3:$H$102,6,FALSE)&gt;=main!$D$103+VLOOKUP(VLOOKUP(F$1,main!$A$3:$I$102,7,FALSE),main!$K$26:$Q$29,3,FALSE),1,0)</f>
        <v>0</v>
      </c>
      <c r="G24">
        <f>IF(VLOOKUP(G$1,main!$A$3:$H$102,5,FALSE)-VLOOKUP($A24,main!$A$3:$H$102,6,FALSE)&gt;=main!$D$103+VLOOKUP(VLOOKUP(G$1,main!$A$3:$I$102,7,FALSE),main!$K$26:$Q$29,3,FALSE),1,0)</f>
        <v>0</v>
      </c>
      <c r="H24">
        <f>IF(VLOOKUP(H$1,main!$A$3:$H$102,5,FALSE)-VLOOKUP($A24,main!$A$3:$H$102,6,FALSE)&gt;=main!$D$103+VLOOKUP(VLOOKUP(H$1,main!$A$3:$I$102,7,FALSE),main!$K$26:$Q$29,3,FALSE),1,0)</f>
        <v>1</v>
      </c>
      <c r="I24">
        <f>IF(VLOOKUP(I$1,main!$A$3:$H$102,5,FALSE)-VLOOKUP($A24,main!$A$3:$H$102,6,FALSE)&gt;=main!$D$103+VLOOKUP(VLOOKUP(I$1,main!$A$3:$I$102,7,FALSE),main!$K$26:$Q$29,3,FALSE),1,0)</f>
        <v>1</v>
      </c>
      <c r="J24">
        <f>IF(VLOOKUP(J$1,main!$A$3:$H$102,5,FALSE)-VLOOKUP($A24,main!$A$3:$H$102,6,FALSE)&gt;=main!$D$103+VLOOKUP(VLOOKUP(J$1,main!$A$3:$I$102,7,FALSE),main!$K$26:$Q$29,3,FALSE),1,0)</f>
        <v>1</v>
      </c>
      <c r="K24">
        <f>IF(VLOOKUP(K$1,main!$A$3:$H$102,5,FALSE)-VLOOKUP($A24,main!$A$3:$H$102,6,FALSE)&gt;=main!$D$103+VLOOKUP(VLOOKUP(K$1,main!$A$3:$I$102,7,FALSE),main!$K$26:$Q$29,3,FALSE),1,0)</f>
        <v>1</v>
      </c>
      <c r="L24">
        <f>IF(VLOOKUP(L$1,main!$A$3:$H$102,5,FALSE)-VLOOKUP($A24,main!$A$3:$H$102,6,FALSE)&gt;=main!$D$103+VLOOKUP(VLOOKUP(L$1,main!$A$3:$I$102,7,FALSE),main!$K$26:$Q$29,3,FALSE),1,0)</f>
        <v>1</v>
      </c>
      <c r="M24">
        <f>IF(VLOOKUP(M$1,main!$A$3:$H$102,5,FALSE)-VLOOKUP($A24,main!$A$3:$H$102,6,FALSE)&gt;=main!$D$103+VLOOKUP(VLOOKUP(M$1,main!$A$3:$I$102,7,FALSE),main!$K$26:$Q$29,3,FALSE),1,0)</f>
        <v>0</v>
      </c>
      <c r="N24">
        <f>IF(VLOOKUP(N$1,main!$A$3:$H$102,5,FALSE)-VLOOKUP($A24,main!$A$3:$H$102,6,FALSE)&gt;=main!$D$103+VLOOKUP(VLOOKUP(N$1,main!$A$3:$I$102,7,FALSE),main!$K$26:$Q$29,3,FALSE),1,0)</f>
        <v>0</v>
      </c>
      <c r="O24">
        <f>IF(VLOOKUP(O$1,main!$A$3:$H$102,5,FALSE)-VLOOKUP($A24,main!$A$3:$H$102,6,FALSE)&gt;=main!$D$103+VLOOKUP(VLOOKUP(O$1,main!$A$3:$I$102,7,FALSE),main!$K$26:$Q$29,3,FALSE),1,0)</f>
        <v>0</v>
      </c>
      <c r="P24">
        <f>IF(VLOOKUP(P$1,main!$A$3:$H$102,5,FALSE)-VLOOKUP($A24,main!$A$3:$H$102,6,FALSE)&gt;=main!$D$103+VLOOKUP(VLOOKUP(P$1,main!$A$3:$I$102,7,FALSE),main!$K$26:$Q$29,3,FALSE),1,0)</f>
        <v>0</v>
      </c>
      <c r="Q24">
        <f>IF(VLOOKUP(Q$1,main!$A$3:$H$102,5,FALSE)-VLOOKUP($A24,main!$A$3:$H$102,6,FALSE)&gt;=main!$D$103+VLOOKUP(VLOOKUP(Q$1,main!$A$3:$I$102,7,FALSE),main!$K$26:$Q$29,3,FALSE),1,0)</f>
        <v>0</v>
      </c>
      <c r="R24">
        <f>IF(VLOOKUP(R$1,main!$A$3:$H$102,5,FALSE)-VLOOKUP($A24,main!$A$3:$H$102,6,FALSE)&gt;=main!$D$103+VLOOKUP(VLOOKUP(R$1,main!$A$3:$I$102,7,FALSE),main!$K$26:$Q$29,3,FALSE),1,0)</f>
        <v>0</v>
      </c>
      <c r="S24">
        <f>IF(VLOOKUP(S$1,main!$A$3:$H$102,5,FALSE)-VLOOKUP($A24,main!$A$3:$H$102,6,FALSE)&gt;=main!$D$103+VLOOKUP(VLOOKUP(S$1,main!$A$3:$I$102,7,FALSE),main!$K$26:$Q$29,3,FALSE),1,0)</f>
        <v>1</v>
      </c>
      <c r="T24">
        <f>IF(VLOOKUP(T$1,main!$A$3:$H$102,5,FALSE)-VLOOKUP($A24,main!$A$3:$H$102,6,FALSE)&gt;=main!$D$103+VLOOKUP(VLOOKUP(T$1,main!$A$3:$I$102,7,FALSE),main!$K$26:$Q$29,3,FALSE),1,0)</f>
        <v>1</v>
      </c>
      <c r="U24">
        <f>IF(VLOOKUP(U$1,main!$A$3:$H$102,5,FALSE)-VLOOKUP($A24,main!$A$3:$H$102,6,FALSE)&gt;=main!$D$103+VLOOKUP(VLOOKUP(U$1,main!$A$3:$I$102,7,FALSE),main!$K$26:$Q$29,3,FALSE),1,0)</f>
        <v>1</v>
      </c>
      <c r="V24">
        <f>IF(VLOOKUP(V$1,main!$A$3:$H$102,5,FALSE)-VLOOKUP($A24,main!$A$3:$H$102,6,FALSE)&gt;=main!$D$103+VLOOKUP(VLOOKUP(V$1,main!$A$3:$I$102,7,FALSE),main!$K$26:$Q$29,3,FALSE),1,0)</f>
        <v>1</v>
      </c>
      <c r="W24">
        <f>IF(VLOOKUP(W$1,main!$A$3:$H$102,5,FALSE)-VLOOKUP($A24,main!$A$3:$H$102,6,FALSE)&gt;=main!$D$103+VLOOKUP(VLOOKUP(W$1,main!$A$3:$I$102,7,FALSE),main!$K$26:$Q$29,3,FALSE),1,0)</f>
        <v>0</v>
      </c>
      <c r="X24">
        <f>IF(VLOOKUP(X$1,main!$A$3:$H$102,5,FALSE)-VLOOKUP($A24,main!$A$3:$H$102,6,FALSE)&gt;=main!$D$103+VLOOKUP(VLOOKUP(X$1,main!$A$3:$I$102,7,FALSE),main!$K$26:$Q$29,3,FALSE),1,0)</f>
        <v>0</v>
      </c>
      <c r="Y24">
        <f>IF(VLOOKUP(Y$1,main!$A$3:$H$102,5,FALSE)-VLOOKUP($A24,main!$A$3:$H$102,6,FALSE)&gt;=main!$D$103+VLOOKUP(VLOOKUP(Y$1,main!$A$3:$I$102,7,FALSE),main!$K$26:$Q$29,3,FALSE),1,0)</f>
        <v>0</v>
      </c>
      <c r="Z24">
        <f>IF(VLOOKUP(Z$1,main!$A$3:$H$102,5,FALSE)-VLOOKUP($A24,main!$A$3:$H$102,6,FALSE)&gt;=main!$D$103+VLOOKUP(VLOOKUP(Z$1,main!$A$3:$I$102,7,FALSE),main!$K$26:$Q$29,3,FALSE),1,0)</f>
        <v>1</v>
      </c>
      <c r="AA24">
        <f>IF(VLOOKUP(AA$1,main!$A$3:$H$102,5,FALSE)-VLOOKUP($A24,main!$A$3:$H$102,6,FALSE)&gt;=main!$D$103+VLOOKUP(VLOOKUP(AA$1,main!$A$3:$I$102,7,FALSE),main!$K$26:$Q$29,3,FALSE),1,0)</f>
        <v>1</v>
      </c>
      <c r="AB24">
        <f>IF(VLOOKUP(AB$1,main!$A$3:$H$102,5,FALSE)-VLOOKUP($A24,main!$A$3:$H$102,6,FALSE)&gt;=main!$D$103+VLOOKUP(VLOOKUP(AB$1,main!$A$3:$I$102,7,FALSE),main!$K$26:$Q$29,3,FALSE),1,0)</f>
        <v>0</v>
      </c>
      <c r="AC24">
        <f>IF(VLOOKUP(AC$1,main!$A$3:$H$102,5,FALSE)-VLOOKUP($A24,main!$A$3:$H$102,6,FALSE)&gt;=main!$D$103+VLOOKUP(VLOOKUP(AC$1,main!$A$3:$I$102,7,FALSE),main!$K$26:$Q$29,3,FALSE),1,0)</f>
        <v>0</v>
      </c>
      <c r="AD24">
        <f>IF(VLOOKUP(AD$1,main!$A$3:$H$102,5,FALSE)-VLOOKUP($A24,main!$A$3:$H$102,6,FALSE)&gt;=main!$D$103+VLOOKUP(VLOOKUP(AD$1,main!$A$3:$I$102,7,FALSE),main!$K$26:$Q$29,3,FALSE),1,0)</f>
        <v>0</v>
      </c>
      <c r="AE24">
        <f>IF(VLOOKUP(AE$1,main!$A$3:$H$102,5,FALSE)-VLOOKUP($A24,main!$A$3:$H$102,6,FALSE)&gt;=main!$D$103+VLOOKUP(VLOOKUP(AE$1,main!$A$3:$I$102,7,FALSE),main!$K$26:$Q$29,3,FALSE),1,0)</f>
        <v>1</v>
      </c>
      <c r="AF24">
        <f>IF(VLOOKUP(AF$1,main!$A$3:$H$102,5,FALSE)-VLOOKUP($A24,main!$A$3:$H$102,6,FALSE)&gt;=main!$D$103+VLOOKUP(VLOOKUP(AF$1,main!$A$3:$I$102,7,FALSE),main!$K$26:$Q$29,3,FALSE),1,0)</f>
        <v>1</v>
      </c>
      <c r="AG24">
        <f>IF(VLOOKUP(AG$1,main!$A$3:$H$102,5,FALSE)-VLOOKUP($A24,main!$A$3:$H$102,6,FALSE)&gt;=main!$D$103+VLOOKUP(VLOOKUP(AG$1,main!$A$3:$I$102,7,FALSE),main!$K$26:$Q$29,3,FALSE),1,0)</f>
        <v>0</v>
      </c>
      <c r="AH24">
        <f>IF(VLOOKUP(AH$1,main!$A$3:$H$102,5,FALSE)-VLOOKUP($A24,main!$A$3:$H$102,6,FALSE)&gt;=main!$D$103+VLOOKUP(VLOOKUP(AH$1,main!$A$3:$I$102,7,FALSE),main!$K$26:$Q$29,3,FALSE),1,0)</f>
        <v>0</v>
      </c>
      <c r="AI24">
        <f>IF(VLOOKUP(AI$1,main!$A$3:$H$102,5,FALSE)-VLOOKUP($A24,main!$A$3:$H$102,6,FALSE)&gt;=main!$D$103+VLOOKUP(VLOOKUP(AI$1,main!$A$3:$I$102,7,FALSE),main!$K$26:$Q$29,3,FALSE),1,0)</f>
        <v>0</v>
      </c>
      <c r="AJ24">
        <f>IF(VLOOKUP(AJ$1,main!$A$3:$H$102,5,FALSE)-VLOOKUP($A24,main!$A$3:$H$102,6,FALSE)&gt;=main!$D$103+VLOOKUP(VLOOKUP(AJ$1,main!$A$3:$I$102,7,FALSE),main!$K$26:$Q$29,3,FALSE),1,0)</f>
        <v>0</v>
      </c>
      <c r="AK24">
        <f>IF(VLOOKUP(AK$1,main!$A$3:$H$102,5,FALSE)-VLOOKUP($A24,main!$A$3:$H$102,6,FALSE)&gt;=main!$D$103+VLOOKUP(VLOOKUP(AK$1,main!$A$3:$I$102,7,FALSE),main!$K$26:$Q$29,3,FALSE),1,0)</f>
        <v>1</v>
      </c>
      <c r="AL24">
        <f>IF(VLOOKUP(AL$1,main!$A$3:$H$102,5,FALSE)-VLOOKUP($A24,main!$A$3:$H$102,6,FALSE)&gt;=main!$D$103+VLOOKUP(VLOOKUP(AL$1,main!$A$3:$I$102,7,FALSE),main!$K$26:$Q$29,3,FALSE),1,0)</f>
        <v>1</v>
      </c>
      <c r="AM24">
        <f>IF(VLOOKUP(AM$1,main!$A$3:$H$102,5,FALSE)-VLOOKUP($A24,main!$A$3:$H$102,6,FALSE)&gt;=main!$D$103+VLOOKUP(VLOOKUP(AM$1,main!$A$3:$I$102,7,FALSE),main!$K$26:$Q$29,3,FALSE),1,0)</f>
        <v>1</v>
      </c>
      <c r="AN24">
        <f>IF(VLOOKUP(AN$1,main!$A$3:$H$102,5,FALSE)-VLOOKUP($A24,main!$A$3:$H$102,6,FALSE)&gt;=main!$D$103+VLOOKUP(VLOOKUP(AN$1,main!$A$3:$I$102,7,FALSE),main!$K$26:$Q$29,3,FALSE),1,0)</f>
        <v>1</v>
      </c>
      <c r="AO24">
        <f>IF(VLOOKUP(AO$1,main!$A$3:$H$102,5,FALSE)-VLOOKUP($A24,main!$A$3:$H$102,6,FALSE)&gt;=main!$D$103+VLOOKUP(VLOOKUP(AO$1,main!$A$3:$I$102,7,FALSE),main!$K$26:$Q$29,3,FALSE),1,0)</f>
        <v>0</v>
      </c>
      <c r="AP24">
        <f>IF(VLOOKUP(AP$1,main!$A$3:$H$102,5,FALSE)-VLOOKUP($A24,main!$A$3:$H$102,6,FALSE)&gt;=main!$D$103+VLOOKUP(VLOOKUP(AP$1,main!$A$3:$I$102,7,FALSE),main!$K$26:$Q$29,3,FALSE),1,0)</f>
        <v>1</v>
      </c>
      <c r="AQ24">
        <f>IF(VLOOKUP(AQ$1,main!$A$3:$H$102,5,FALSE)-VLOOKUP($A24,main!$A$3:$H$102,6,FALSE)&gt;=main!$D$103+VLOOKUP(VLOOKUP(AQ$1,main!$A$3:$I$102,7,FALSE),main!$K$26:$Q$29,3,FALSE),1,0)</f>
        <v>0</v>
      </c>
      <c r="AR24">
        <f>IF(VLOOKUP(AR$1,main!$A$3:$H$102,5,FALSE)-VLOOKUP($A24,main!$A$3:$H$102,6,FALSE)&gt;=main!$D$103+VLOOKUP(VLOOKUP(AR$1,main!$A$3:$I$102,7,FALSE),main!$K$26:$Q$29,3,FALSE),1,0)</f>
        <v>0</v>
      </c>
      <c r="AS24">
        <f>IF(VLOOKUP(AS$1,main!$A$3:$H$102,5,FALSE)-VLOOKUP($A24,main!$A$3:$H$102,6,FALSE)&gt;=main!$D$103+VLOOKUP(VLOOKUP(AS$1,main!$A$3:$I$102,7,FALSE),main!$K$26:$Q$29,3,FALSE),1,0)</f>
        <v>0</v>
      </c>
      <c r="AT24">
        <f>IF(VLOOKUP(AT$1,main!$A$3:$H$102,5,FALSE)-VLOOKUP($A24,main!$A$3:$H$102,6,FALSE)&gt;=main!$D$103+VLOOKUP(VLOOKUP(AT$1,main!$A$3:$I$102,7,FALSE),main!$K$26:$Q$29,3,FALSE),1,0)</f>
        <v>1</v>
      </c>
      <c r="AU24">
        <f>IF(VLOOKUP(AU$1,main!$A$3:$H$102,5,FALSE)-VLOOKUP($A24,main!$A$3:$H$102,6,FALSE)&gt;=main!$D$103+VLOOKUP(VLOOKUP(AU$1,main!$A$3:$I$102,7,FALSE),main!$K$26:$Q$29,3,FALSE),1,0)</f>
        <v>0</v>
      </c>
      <c r="AV24">
        <f>IF(VLOOKUP(AV$1,main!$A$3:$H$102,5,FALSE)-VLOOKUP($A24,main!$A$3:$H$102,6,FALSE)&gt;=main!$D$103+VLOOKUP(VLOOKUP(AV$1,main!$A$3:$I$102,7,FALSE),main!$K$26:$Q$29,3,FALSE),1,0)</f>
        <v>0</v>
      </c>
      <c r="AW24">
        <f>IF(VLOOKUP(AW$1,main!$A$3:$H$102,5,FALSE)-VLOOKUP($A24,main!$A$3:$H$102,6,FALSE)&gt;=main!$D$103+VLOOKUP(VLOOKUP(AW$1,main!$A$3:$I$102,7,FALSE),main!$K$26:$Q$29,3,FALSE),1,0)</f>
        <v>1</v>
      </c>
      <c r="AX24">
        <f>IF(VLOOKUP(AX$1,main!$A$3:$H$102,5,FALSE)-VLOOKUP($A24,main!$A$3:$H$102,6,FALSE)&gt;=main!$D$103+VLOOKUP(VLOOKUP(AX$1,main!$A$3:$I$102,7,FALSE),main!$K$26:$Q$29,3,FALSE),1,0)</f>
        <v>0</v>
      </c>
      <c r="AY24">
        <f>IF(VLOOKUP(AY$1,main!$A$3:$H$102,5,FALSE)-VLOOKUP($A24,main!$A$3:$H$102,6,FALSE)&gt;=main!$D$103+VLOOKUP(VLOOKUP(AY$1,main!$A$3:$I$102,7,FALSE),main!$K$26:$Q$29,3,FALSE),1,0)</f>
        <v>0</v>
      </c>
      <c r="AZ24">
        <f>IF(VLOOKUP(AZ$1,main!$A$3:$H$102,5,FALSE)-VLOOKUP($A24,main!$A$3:$H$102,6,FALSE)&gt;=main!$D$103+VLOOKUP(VLOOKUP(AZ$1,main!$A$3:$I$102,7,FALSE),main!$K$26:$Q$29,3,FALSE),1,0)</f>
        <v>0</v>
      </c>
      <c r="BA24">
        <f>IF(VLOOKUP(BA$1,main!$A$3:$H$102,5,FALSE)-VLOOKUP($A24,main!$A$3:$H$102,6,FALSE)&gt;=main!$D$103+VLOOKUP(VLOOKUP(BA$1,main!$A$3:$I$102,7,FALSE),main!$K$26:$Q$29,3,FALSE),1,0)</f>
        <v>0</v>
      </c>
      <c r="BB24">
        <f>IF(VLOOKUP(BB$1,main!$A$3:$H$102,5,FALSE)-VLOOKUP($A24,main!$A$3:$H$102,6,FALSE)&gt;=main!$D$103+VLOOKUP(VLOOKUP(BB$1,main!$A$3:$I$102,7,FALSE),main!$K$26:$Q$29,3,FALSE),1,0)</f>
        <v>0</v>
      </c>
      <c r="BC24">
        <f>IF(VLOOKUP(BC$1,main!$A$3:$H$102,5,FALSE)-VLOOKUP($A24,main!$A$3:$H$102,6,FALSE)&gt;=main!$D$103+VLOOKUP(VLOOKUP(BC$1,main!$A$3:$I$102,7,FALSE),main!$K$26:$Q$29,3,FALSE),1,0)</f>
        <v>1</v>
      </c>
      <c r="BD24">
        <f>IF(VLOOKUP(BD$1,main!$A$3:$H$102,5,FALSE)-VLOOKUP($A24,main!$A$3:$H$102,6,FALSE)&gt;=main!$D$103+VLOOKUP(VLOOKUP(BD$1,main!$A$3:$I$102,7,FALSE),main!$K$26:$Q$29,3,FALSE),1,0)</f>
        <v>1</v>
      </c>
      <c r="BE24">
        <f>IF(VLOOKUP(BE$1,main!$A$3:$H$102,5,FALSE)-VLOOKUP($A24,main!$A$3:$H$102,6,FALSE)&gt;=main!$D$103+VLOOKUP(VLOOKUP(BE$1,main!$A$3:$I$102,7,FALSE),main!$K$26:$Q$29,3,FALSE),1,0)</f>
        <v>1</v>
      </c>
      <c r="BF24">
        <f>IF(VLOOKUP(BF$1,main!$A$3:$H$102,5,FALSE)-VLOOKUP($A24,main!$A$3:$H$102,6,FALSE)&gt;=main!$D$103+VLOOKUP(VLOOKUP(BF$1,main!$A$3:$I$102,7,FALSE),main!$K$26:$Q$29,3,FALSE),1,0)</f>
        <v>0</v>
      </c>
      <c r="BG24">
        <f>IF(VLOOKUP(BG$1,main!$A$3:$H$102,5,FALSE)-VLOOKUP($A24,main!$A$3:$H$102,6,FALSE)&gt;=main!$D$103+VLOOKUP(VLOOKUP(BG$1,main!$A$3:$I$102,7,FALSE),main!$K$26:$Q$29,3,FALSE),1,0)</f>
        <v>0</v>
      </c>
      <c r="BH24">
        <f>IF(VLOOKUP(BH$1,main!$A$3:$H$102,5,FALSE)-VLOOKUP($A24,main!$A$3:$H$102,6,FALSE)&gt;=main!$D$103+VLOOKUP(VLOOKUP(BH$1,main!$A$3:$I$102,7,FALSE),main!$K$26:$Q$29,3,FALSE),1,0)</f>
        <v>0</v>
      </c>
      <c r="BI24">
        <f>IF(VLOOKUP(BI$1,main!$A$3:$H$102,5,FALSE)-VLOOKUP($A24,main!$A$3:$H$102,6,FALSE)&gt;=main!$D$103+VLOOKUP(VLOOKUP(BI$1,main!$A$3:$I$102,7,FALSE),main!$K$26:$Q$29,3,FALSE),1,0)</f>
        <v>1</v>
      </c>
      <c r="BJ24">
        <f>IF(VLOOKUP(BJ$1,main!$A$3:$H$102,5,FALSE)-VLOOKUP($A24,main!$A$3:$H$102,6,FALSE)&gt;=main!$D$103+VLOOKUP(VLOOKUP(BJ$1,main!$A$3:$I$102,7,FALSE),main!$K$26:$Q$29,3,FALSE),1,0)</f>
        <v>1</v>
      </c>
      <c r="BK24">
        <f>IF(VLOOKUP(BK$1,main!$A$3:$H$102,5,FALSE)-VLOOKUP($A24,main!$A$3:$H$102,6,FALSE)&gt;=main!$D$103+VLOOKUP(VLOOKUP(BK$1,main!$A$3:$I$102,7,FALSE),main!$K$26:$Q$29,3,FALSE),1,0)</f>
        <v>0</v>
      </c>
      <c r="BL24">
        <f>IF(VLOOKUP(BL$1,main!$A$3:$H$102,5,FALSE)-VLOOKUP($A24,main!$A$3:$H$102,6,FALSE)&gt;=main!$D$103+VLOOKUP(VLOOKUP(BL$1,main!$A$3:$I$102,7,FALSE),main!$K$26:$Q$29,3,FALSE),1,0)</f>
        <v>0</v>
      </c>
      <c r="BM24">
        <f>IF(VLOOKUP(BM$1,main!$A$3:$H$102,5,FALSE)-VLOOKUP($A24,main!$A$3:$H$102,6,FALSE)&gt;=main!$D$103+VLOOKUP(VLOOKUP(BM$1,main!$A$3:$I$102,7,FALSE),main!$K$26:$Q$29,3,FALSE),1,0)</f>
        <v>0</v>
      </c>
      <c r="BN24">
        <f>IF(VLOOKUP(BN$1,main!$A$3:$H$102,5,FALSE)-VLOOKUP($A24,main!$A$3:$H$102,6,FALSE)&gt;=main!$D$103+VLOOKUP(VLOOKUP(BN$1,main!$A$3:$I$102,7,FALSE),main!$K$26:$Q$29,3,FALSE),1,0)</f>
        <v>1</v>
      </c>
      <c r="BO24">
        <f>IF(VLOOKUP(BO$1,main!$A$3:$H$102,5,FALSE)-VLOOKUP($A24,main!$A$3:$H$102,6,FALSE)&gt;=main!$D$103+VLOOKUP(VLOOKUP(BO$1,main!$A$3:$I$102,7,FALSE),main!$K$26:$Q$29,3,FALSE),1,0)</f>
        <v>0</v>
      </c>
      <c r="BP24">
        <f>IF(VLOOKUP(BP$1,main!$A$3:$H$102,5,FALSE)-VLOOKUP($A24,main!$A$3:$H$102,6,FALSE)&gt;=main!$D$103+VLOOKUP(VLOOKUP(BP$1,main!$A$3:$I$102,7,FALSE),main!$K$26:$Q$29,3,FALSE),1,0)</f>
        <v>0</v>
      </c>
      <c r="BQ24">
        <f>IF(VLOOKUP(BQ$1,main!$A$3:$H$102,5,FALSE)-VLOOKUP($A24,main!$A$3:$H$102,6,FALSE)&gt;=main!$D$103+VLOOKUP(VLOOKUP(BQ$1,main!$A$3:$I$102,7,FALSE),main!$K$26:$Q$29,3,FALSE),1,0)</f>
        <v>0</v>
      </c>
      <c r="BR24">
        <f>IF(VLOOKUP(BR$1,main!$A$3:$H$102,5,FALSE)-VLOOKUP($A24,main!$A$3:$H$102,6,FALSE)&gt;=main!$D$103+VLOOKUP(VLOOKUP(BR$1,main!$A$3:$I$102,7,FALSE),main!$K$26:$Q$29,3,FALSE),1,0)</f>
        <v>0</v>
      </c>
      <c r="BS24">
        <f>IF(VLOOKUP(BS$1,main!$A$3:$H$102,5,FALSE)-VLOOKUP($A24,main!$A$3:$H$102,6,FALSE)&gt;=main!$D$103+VLOOKUP(VLOOKUP(BS$1,main!$A$3:$I$102,7,FALSE),main!$K$26:$Q$29,3,FALSE),1,0)</f>
        <v>0</v>
      </c>
      <c r="BT24">
        <f>IF(VLOOKUP(BT$1,main!$A$3:$H$102,5,FALSE)-VLOOKUP($A24,main!$A$3:$H$102,6,FALSE)&gt;=main!$D$103+VLOOKUP(VLOOKUP(BT$1,main!$A$3:$I$102,7,FALSE),main!$K$26:$Q$29,3,FALSE),1,0)</f>
        <v>0</v>
      </c>
      <c r="BU24">
        <f>IF(VLOOKUP(BU$1,main!$A$3:$H$102,5,FALSE)-VLOOKUP($A24,main!$A$3:$H$102,6,FALSE)&gt;=main!$D$103+VLOOKUP(VLOOKUP(BU$1,main!$A$3:$I$102,7,FALSE),main!$K$26:$Q$29,3,FALSE),1,0)</f>
        <v>0</v>
      </c>
      <c r="BV24">
        <f>IF(VLOOKUP(BV$1,main!$A$3:$H$102,5,FALSE)-VLOOKUP($A24,main!$A$3:$H$102,6,FALSE)&gt;=main!$D$103+VLOOKUP(VLOOKUP(BV$1,main!$A$3:$I$102,7,FALSE),main!$K$26:$Q$29,3,FALSE),1,0)</f>
        <v>0</v>
      </c>
      <c r="BW24">
        <f>IF(VLOOKUP(BW$1,main!$A$3:$H$102,5,FALSE)-VLOOKUP($A24,main!$A$3:$H$102,6,FALSE)&gt;=main!$D$103+VLOOKUP(VLOOKUP(BW$1,main!$A$3:$I$102,7,FALSE),main!$K$26:$Q$29,3,FALSE),1,0)</f>
        <v>0</v>
      </c>
      <c r="BX24">
        <f>IF(VLOOKUP(BX$1,main!$A$3:$H$102,5,FALSE)-VLOOKUP($A24,main!$A$3:$H$102,6,FALSE)&gt;=main!$D$103+VLOOKUP(VLOOKUP(BX$1,main!$A$3:$I$102,7,FALSE),main!$K$26:$Q$29,3,FALSE),1,0)</f>
        <v>0</v>
      </c>
      <c r="BY24">
        <f>IF(VLOOKUP(BY$1,main!$A$3:$H$102,5,FALSE)-VLOOKUP($A24,main!$A$3:$H$102,6,FALSE)&gt;=main!$D$103+VLOOKUP(VLOOKUP(BY$1,main!$A$3:$I$102,7,FALSE),main!$K$26:$Q$29,3,FALSE),1,0)</f>
        <v>1</v>
      </c>
      <c r="BZ24">
        <f>IF(VLOOKUP(BZ$1,main!$A$3:$H$102,5,FALSE)-VLOOKUP($A24,main!$A$3:$H$102,6,FALSE)&gt;=main!$D$103+VLOOKUP(VLOOKUP(BZ$1,main!$A$3:$I$102,7,FALSE),main!$K$26:$Q$29,3,FALSE),1,0)</f>
        <v>0</v>
      </c>
      <c r="CA24">
        <f>IF(VLOOKUP(CA$1,main!$A$3:$H$102,5,FALSE)-VLOOKUP($A24,main!$A$3:$H$102,6,FALSE)&gt;=main!$D$103+VLOOKUP(VLOOKUP(CA$1,main!$A$3:$I$102,7,FALSE),main!$K$26:$Q$29,3,FALSE),1,0)</f>
        <v>0</v>
      </c>
      <c r="CB24">
        <f>IF(VLOOKUP(CB$1,main!$A$3:$H$102,5,FALSE)-VLOOKUP($A24,main!$A$3:$H$102,6,FALSE)&gt;=main!$D$103+VLOOKUP(VLOOKUP(CB$1,main!$A$3:$I$102,7,FALSE),main!$K$26:$Q$29,3,FALSE),1,0)</f>
        <v>1</v>
      </c>
      <c r="CC24">
        <f>IF(VLOOKUP(CC$1,main!$A$3:$H$102,5,FALSE)-VLOOKUP($A24,main!$A$3:$H$102,6,FALSE)&gt;=main!$D$103+VLOOKUP(VLOOKUP(CC$1,main!$A$3:$I$102,7,FALSE),main!$K$26:$Q$29,3,FALSE),1,0)</f>
        <v>1</v>
      </c>
      <c r="CD24">
        <f>IF(VLOOKUP(CD$1,main!$A$3:$H$102,5,FALSE)-VLOOKUP($A24,main!$A$3:$H$102,6,FALSE)&gt;=main!$D$103+VLOOKUP(VLOOKUP(CD$1,main!$A$3:$I$102,7,FALSE),main!$K$26:$Q$29,3,FALSE),1,0)</f>
        <v>1</v>
      </c>
      <c r="CE24">
        <f>IF(VLOOKUP(CE$1,main!$A$3:$H$102,5,FALSE)-VLOOKUP($A24,main!$A$3:$H$102,6,FALSE)&gt;=main!$D$103+VLOOKUP(VLOOKUP(CE$1,main!$A$3:$I$102,7,FALSE),main!$K$26:$Q$29,3,FALSE),1,0)</f>
        <v>0</v>
      </c>
      <c r="CF24">
        <f>IF(VLOOKUP(CF$1,main!$A$3:$H$102,5,FALSE)-VLOOKUP($A24,main!$A$3:$H$102,6,FALSE)&gt;=main!$D$103+VLOOKUP(VLOOKUP(CF$1,main!$A$3:$I$102,7,FALSE),main!$K$26:$Q$29,3,FALSE),1,0)</f>
        <v>0</v>
      </c>
      <c r="CG24">
        <f>IF(VLOOKUP(CG$1,main!$A$3:$H$102,5,FALSE)-VLOOKUP($A24,main!$A$3:$H$102,6,FALSE)&gt;=main!$D$103+VLOOKUP(VLOOKUP(CG$1,main!$A$3:$I$102,7,FALSE),main!$K$26:$Q$29,3,FALSE),1,0)</f>
        <v>0</v>
      </c>
      <c r="CH24">
        <f>IF(VLOOKUP(CH$1,main!$A$3:$H$102,5,FALSE)-VLOOKUP($A24,main!$A$3:$H$102,6,FALSE)&gt;=main!$D$103+VLOOKUP(VLOOKUP(CH$1,main!$A$3:$I$102,7,FALSE),main!$K$26:$Q$29,3,FALSE),1,0)</f>
        <v>1</v>
      </c>
      <c r="CI24">
        <f>IF(VLOOKUP(CI$1,main!$A$3:$H$102,5,FALSE)-VLOOKUP($A24,main!$A$3:$H$102,6,FALSE)&gt;=main!$D$103+VLOOKUP(VLOOKUP(CI$1,main!$A$3:$I$102,7,FALSE),main!$K$26:$Q$29,3,FALSE),1,0)</f>
        <v>1</v>
      </c>
      <c r="CJ24">
        <f>IF(VLOOKUP(CJ$1,main!$A$3:$H$102,5,FALSE)-VLOOKUP($A24,main!$A$3:$H$102,6,FALSE)&gt;=main!$D$103+VLOOKUP(VLOOKUP(CJ$1,main!$A$3:$I$102,7,FALSE),main!$K$26:$Q$29,3,FALSE),1,0)</f>
        <v>0</v>
      </c>
      <c r="CK24">
        <f>IF(VLOOKUP(CK$1,main!$A$3:$H$102,5,FALSE)-VLOOKUP($A24,main!$A$3:$H$102,6,FALSE)&gt;=main!$D$103+VLOOKUP(VLOOKUP(CK$1,main!$A$3:$I$102,7,FALSE),main!$K$26:$Q$29,3,FALSE),1,0)</f>
        <v>0</v>
      </c>
      <c r="CL24">
        <f>IF(VLOOKUP(CL$1,main!$A$3:$H$102,5,FALSE)-VLOOKUP($A24,main!$A$3:$H$102,6,FALSE)&gt;=main!$D$103+VLOOKUP(VLOOKUP(CL$1,main!$A$3:$I$102,7,FALSE),main!$K$26:$Q$29,3,FALSE),1,0)</f>
        <v>0</v>
      </c>
      <c r="CM24">
        <f>IF(VLOOKUP(CM$1,main!$A$3:$H$102,5,FALSE)-VLOOKUP($A24,main!$A$3:$H$102,6,FALSE)&gt;=main!$D$103+VLOOKUP(VLOOKUP(CM$1,main!$A$3:$I$102,7,FALSE),main!$K$26:$Q$29,3,FALSE),1,0)</f>
        <v>1</v>
      </c>
      <c r="CN24">
        <f>IF(VLOOKUP(CN$1,main!$A$3:$H$102,5,FALSE)-VLOOKUP($A24,main!$A$3:$H$102,6,FALSE)&gt;=main!$D$103+VLOOKUP(VLOOKUP(CN$1,main!$A$3:$I$102,7,FALSE),main!$K$26:$Q$29,3,FALSE),1,0)</f>
        <v>1</v>
      </c>
      <c r="CO24">
        <f>IF(VLOOKUP(CO$1,main!$A$3:$H$102,5,FALSE)-VLOOKUP($A24,main!$A$3:$H$102,6,FALSE)&gt;=main!$D$103+VLOOKUP(VLOOKUP(CO$1,main!$A$3:$I$102,7,FALSE),main!$K$26:$Q$29,3,FALSE),1,0)</f>
        <v>0</v>
      </c>
      <c r="CP24">
        <f>IF(VLOOKUP(CP$1,main!$A$3:$H$102,5,FALSE)-VLOOKUP($A24,main!$A$3:$H$102,6,FALSE)&gt;=main!$D$103+VLOOKUP(VLOOKUP(CP$1,main!$A$3:$I$102,7,FALSE),main!$K$26:$Q$29,3,FALSE),1,0)</f>
        <v>0</v>
      </c>
      <c r="CQ24">
        <f>IF(VLOOKUP(CQ$1,main!$A$3:$H$102,5,FALSE)-VLOOKUP($A24,main!$A$3:$H$102,6,FALSE)&gt;=main!$D$103+VLOOKUP(VLOOKUP(CQ$1,main!$A$3:$I$102,7,FALSE),main!$K$26:$Q$29,3,FALSE),1,0)</f>
        <v>0</v>
      </c>
      <c r="CR24">
        <f>IF(VLOOKUP(CR$1,main!$A$3:$H$102,5,FALSE)-VLOOKUP($A24,main!$A$3:$H$102,6,FALSE)&gt;=main!$D$103+VLOOKUP(VLOOKUP(CR$1,main!$A$3:$I$102,7,FALSE),main!$K$26:$Q$29,3,FALSE),1,0)</f>
        <v>1</v>
      </c>
      <c r="CS24">
        <f>IF(VLOOKUP(CS$1,main!$A$3:$H$102,5,FALSE)-VLOOKUP($A24,main!$A$3:$H$102,6,FALSE)&gt;=main!$D$103+VLOOKUP(VLOOKUP(CS$1,main!$A$3:$I$102,7,FALSE),main!$K$26:$Q$29,3,FALSE),1,0)</f>
        <v>1</v>
      </c>
      <c r="CT24">
        <f>IF(VLOOKUP(CT$1,main!$A$3:$H$102,5,FALSE)-VLOOKUP($A24,main!$A$3:$H$102,6,FALSE)&gt;=main!$D$103+VLOOKUP(VLOOKUP(CT$1,main!$A$3:$I$102,7,FALSE),main!$K$26:$Q$29,3,FALSE),1,0)</f>
        <v>0</v>
      </c>
      <c r="CU24">
        <f>IF(VLOOKUP(CU$1,main!$A$3:$H$102,5,FALSE)-VLOOKUP($A24,main!$A$3:$H$102,6,FALSE)&gt;=main!$D$103+VLOOKUP(VLOOKUP(CU$1,main!$A$3:$I$102,7,FALSE),main!$K$26:$Q$29,3,FALSE),1,0)</f>
        <v>0</v>
      </c>
      <c r="CV24">
        <f>IF(VLOOKUP(CV$1,main!$A$3:$H$102,5,FALSE)-VLOOKUP($A24,main!$A$3:$H$102,6,FALSE)&gt;=main!$D$103+VLOOKUP(VLOOKUP(CV$1,main!$A$3:$I$102,7,FALSE),main!$K$26:$Q$29,3,FALSE),1,0)</f>
        <v>0</v>
      </c>
      <c r="CW24">
        <f>IF(VLOOKUP(CW$1,main!$A$3:$H$102,5,FALSE)-VLOOKUP($A24,main!$A$3:$H$102,6,FALSE)&gt;=main!$D$103+VLOOKUP(VLOOKUP(CW$1,main!$A$3:$I$102,7,FALSE),main!$K$26:$Q$29,3,FALSE),1,0)</f>
        <v>1</v>
      </c>
      <c r="CX24">
        <f>IF(VLOOKUP(CX$1,main!$A$3:$H$102,5,FALSE)-VLOOKUP($A24,main!$A$3:$H$102,6,FALSE)&gt;=main!$D$103+VLOOKUP(VLOOKUP(CX$1,main!$A$3:$I$102,7,FALSE),main!$K$26:$Q$29,3,FALSE),1,0)</f>
        <v>1</v>
      </c>
      <c r="CZ24">
        <f>VLOOKUP(CX$1,main!$A$3:$H$102,5,FALSE)</f>
        <v>1005</v>
      </c>
    </row>
    <row r="25" spans="1:104" x14ac:dyDescent="0.25">
      <c r="A25" s="1">
        <v>23</v>
      </c>
      <c r="B25">
        <v>0</v>
      </c>
      <c r="C25">
        <f>IF(VLOOKUP(C$1,main!$A$3:$H$102,5,FALSE)-VLOOKUP($A25,main!$A$3:$H$102,6,FALSE)&gt;=main!$D$103+VLOOKUP(VLOOKUP(C$1,main!$A$3:$I$102,7,FALSE),main!$K$26:$Q$29,3,FALSE),1,0)</f>
        <v>0</v>
      </c>
      <c r="D25">
        <f>IF(VLOOKUP(D$1,main!$A$3:$H$102,5,FALSE)-VLOOKUP($A25,main!$A$3:$H$102,6,FALSE)&gt;=main!$D$103+VLOOKUP(VLOOKUP(D$1,main!$A$3:$I$102,7,FALSE),main!$K$26:$Q$29,3,FALSE),1,0)</f>
        <v>0</v>
      </c>
      <c r="E25">
        <f>IF(VLOOKUP(E$1,main!$A$3:$H$102,5,FALSE)-VLOOKUP($A25,main!$A$3:$H$102,6,FALSE)&gt;=main!$D$103+VLOOKUP(VLOOKUP(E$1,main!$A$3:$I$102,7,FALSE),main!$K$26:$Q$29,3,FALSE),1,0)</f>
        <v>0</v>
      </c>
      <c r="F25">
        <f>IF(VLOOKUP(F$1,main!$A$3:$H$102,5,FALSE)-VLOOKUP($A25,main!$A$3:$H$102,6,FALSE)&gt;=main!$D$103+VLOOKUP(VLOOKUP(F$1,main!$A$3:$I$102,7,FALSE),main!$K$26:$Q$29,3,FALSE),1,0)</f>
        <v>0</v>
      </c>
      <c r="G25">
        <f>IF(VLOOKUP(G$1,main!$A$3:$H$102,5,FALSE)-VLOOKUP($A25,main!$A$3:$H$102,6,FALSE)&gt;=main!$D$103+VLOOKUP(VLOOKUP(G$1,main!$A$3:$I$102,7,FALSE),main!$K$26:$Q$29,3,FALSE),1,0)</f>
        <v>0</v>
      </c>
      <c r="H25">
        <f>IF(VLOOKUP(H$1,main!$A$3:$H$102,5,FALSE)-VLOOKUP($A25,main!$A$3:$H$102,6,FALSE)&gt;=main!$D$103+VLOOKUP(VLOOKUP(H$1,main!$A$3:$I$102,7,FALSE),main!$K$26:$Q$29,3,FALSE),1,0)</f>
        <v>0</v>
      </c>
      <c r="I25">
        <f>IF(VLOOKUP(I$1,main!$A$3:$H$102,5,FALSE)-VLOOKUP($A25,main!$A$3:$H$102,6,FALSE)&gt;=main!$D$103+VLOOKUP(VLOOKUP(I$1,main!$A$3:$I$102,7,FALSE),main!$K$26:$Q$29,3,FALSE),1,0)</f>
        <v>0</v>
      </c>
      <c r="J25">
        <f>IF(VLOOKUP(J$1,main!$A$3:$H$102,5,FALSE)-VLOOKUP($A25,main!$A$3:$H$102,6,FALSE)&gt;=main!$D$103+VLOOKUP(VLOOKUP(J$1,main!$A$3:$I$102,7,FALSE),main!$K$26:$Q$29,3,FALSE),1,0)</f>
        <v>1</v>
      </c>
      <c r="K25">
        <f>IF(VLOOKUP(K$1,main!$A$3:$H$102,5,FALSE)-VLOOKUP($A25,main!$A$3:$H$102,6,FALSE)&gt;=main!$D$103+VLOOKUP(VLOOKUP(K$1,main!$A$3:$I$102,7,FALSE),main!$K$26:$Q$29,3,FALSE),1,0)</f>
        <v>1</v>
      </c>
      <c r="L25">
        <f>IF(VLOOKUP(L$1,main!$A$3:$H$102,5,FALSE)-VLOOKUP($A25,main!$A$3:$H$102,6,FALSE)&gt;=main!$D$103+VLOOKUP(VLOOKUP(L$1,main!$A$3:$I$102,7,FALSE),main!$K$26:$Q$29,3,FALSE),1,0)</f>
        <v>1</v>
      </c>
      <c r="M25">
        <f>IF(VLOOKUP(M$1,main!$A$3:$H$102,5,FALSE)-VLOOKUP($A25,main!$A$3:$H$102,6,FALSE)&gt;=main!$D$103+VLOOKUP(VLOOKUP(M$1,main!$A$3:$I$102,7,FALSE),main!$K$26:$Q$29,3,FALSE),1,0)</f>
        <v>0</v>
      </c>
      <c r="N25">
        <f>IF(VLOOKUP(N$1,main!$A$3:$H$102,5,FALSE)-VLOOKUP($A25,main!$A$3:$H$102,6,FALSE)&gt;=main!$D$103+VLOOKUP(VLOOKUP(N$1,main!$A$3:$I$102,7,FALSE),main!$K$26:$Q$29,3,FALSE),1,0)</f>
        <v>0</v>
      </c>
      <c r="O25">
        <f>IF(VLOOKUP(O$1,main!$A$3:$H$102,5,FALSE)-VLOOKUP($A25,main!$A$3:$H$102,6,FALSE)&gt;=main!$D$103+VLOOKUP(VLOOKUP(O$1,main!$A$3:$I$102,7,FALSE),main!$K$26:$Q$29,3,FALSE),1,0)</f>
        <v>0</v>
      </c>
      <c r="P25">
        <f>IF(VLOOKUP(P$1,main!$A$3:$H$102,5,FALSE)-VLOOKUP($A25,main!$A$3:$H$102,6,FALSE)&gt;=main!$D$103+VLOOKUP(VLOOKUP(P$1,main!$A$3:$I$102,7,FALSE),main!$K$26:$Q$29,3,FALSE),1,0)</f>
        <v>0</v>
      </c>
      <c r="Q25">
        <f>IF(VLOOKUP(Q$1,main!$A$3:$H$102,5,FALSE)-VLOOKUP($A25,main!$A$3:$H$102,6,FALSE)&gt;=main!$D$103+VLOOKUP(VLOOKUP(Q$1,main!$A$3:$I$102,7,FALSE),main!$K$26:$Q$29,3,FALSE),1,0)</f>
        <v>0</v>
      </c>
      <c r="R25">
        <f>IF(VLOOKUP(R$1,main!$A$3:$H$102,5,FALSE)-VLOOKUP($A25,main!$A$3:$H$102,6,FALSE)&gt;=main!$D$103+VLOOKUP(VLOOKUP(R$1,main!$A$3:$I$102,7,FALSE),main!$K$26:$Q$29,3,FALSE),1,0)</f>
        <v>0</v>
      </c>
      <c r="S25">
        <f>IF(VLOOKUP(S$1,main!$A$3:$H$102,5,FALSE)-VLOOKUP($A25,main!$A$3:$H$102,6,FALSE)&gt;=main!$D$103+VLOOKUP(VLOOKUP(S$1,main!$A$3:$I$102,7,FALSE),main!$K$26:$Q$29,3,FALSE),1,0)</f>
        <v>0</v>
      </c>
      <c r="T25">
        <f>IF(VLOOKUP(T$1,main!$A$3:$H$102,5,FALSE)-VLOOKUP($A25,main!$A$3:$H$102,6,FALSE)&gt;=main!$D$103+VLOOKUP(VLOOKUP(T$1,main!$A$3:$I$102,7,FALSE),main!$K$26:$Q$29,3,FALSE),1,0)</f>
        <v>0</v>
      </c>
      <c r="U25">
        <f>IF(VLOOKUP(U$1,main!$A$3:$H$102,5,FALSE)-VLOOKUP($A25,main!$A$3:$H$102,6,FALSE)&gt;=main!$D$103+VLOOKUP(VLOOKUP(U$1,main!$A$3:$I$102,7,FALSE),main!$K$26:$Q$29,3,FALSE),1,0)</f>
        <v>1</v>
      </c>
      <c r="V25">
        <f>IF(VLOOKUP(V$1,main!$A$3:$H$102,5,FALSE)-VLOOKUP($A25,main!$A$3:$H$102,6,FALSE)&gt;=main!$D$103+VLOOKUP(VLOOKUP(V$1,main!$A$3:$I$102,7,FALSE),main!$K$26:$Q$29,3,FALSE),1,0)</f>
        <v>1</v>
      </c>
      <c r="W25">
        <f>IF(VLOOKUP(W$1,main!$A$3:$H$102,5,FALSE)-VLOOKUP($A25,main!$A$3:$H$102,6,FALSE)&gt;=main!$D$103+VLOOKUP(VLOOKUP(W$1,main!$A$3:$I$102,7,FALSE),main!$K$26:$Q$29,3,FALSE),1,0)</f>
        <v>0</v>
      </c>
      <c r="X25">
        <f>IF(VLOOKUP(X$1,main!$A$3:$H$102,5,FALSE)-VLOOKUP($A25,main!$A$3:$H$102,6,FALSE)&gt;=main!$D$103+VLOOKUP(VLOOKUP(X$1,main!$A$3:$I$102,7,FALSE),main!$K$26:$Q$29,3,FALSE),1,0)</f>
        <v>0</v>
      </c>
      <c r="Y25">
        <f>IF(VLOOKUP(Y$1,main!$A$3:$H$102,5,FALSE)-VLOOKUP($A25,main!$A$3:$H$102,6,FALSE)&gt;=main!$D$103+VLOOKUP(VLOOKUP(Y$1,main!$A$3:$I$102,7,FALSE),main!$K$26:$Q$29,3,FALSE),1,0)</f>
        <v>0</v>
      </c>
      <c r="Z25">
        <f>IF(VLOOKUP(Z$1,main!$A$3:$H$102,5,FALSE)-VLOOKUP($A25,main!$A$3:$H$102,6,FALSE)&gt;=main!$D$103+VLOOKUP(VLOOKUP(Z$1,main!$A$3:$I$102,7,FALSE),main!$K$26:$Q$29,3,FALSE),1,0)</f>
        <v>0</v>
      </c>
      <c r="AA25">
        <f>IF(VLOOKUP(AA$1,main!$A$3:$H$102,5,FALSE)-VLOOKUP($A25,main!$A$3:$H$102,6,FALSE)&gt;=main!$D$103+VLOOKUP(VLOOKUP(AA$1,main!$A$3:$I$102,7,FALSE),main!$K$26:$Q$29,3,FALSE),1,0)</f>
        <v>1</v>
      </c>
      <c r="AB25">
        <f>IF(VLOOKUP(AB$1,main!$A$3:$H$102,5,FALSE)-VLOOKUP($A25,main!$A$3:$H$102,6,FALSE)&gt;=main!$D$103+VLOOKUP(VLOOKUP(AB$1,main!$A$3:$I$102,7,FALSE),main!$K$26:$Q$29,3,FALSE),1,0)</f>
        <v>0</v>
      </c>
      <c r="AC25">
        <f>IF(VLOOKUP(AC$1,main!$A$3:$H$102,5,FALSE)-VLOOKUP($A25,main!$A$3:$H$102,6,FALSE)&gt;=main!$D$103+VLOOKUP(VLOOKUP(AC$1,main!$A$3:$I$102,7,FALSE),main!$K$26:$Q$29,3,FALSE),1,0)</f>
        <v>0</v>
      </c>
      <c r="AD25">
        <f>IF(VLOOKUP(AD$1,main!$A$3:$H$102,5,FALSE)-VLOOKUP($A25,main!$A$3:$H$102,6,FALSE)&gt;=main!$D$103+VLOOKUP(VLOOKUP(AD$1,main!$A$3:$I$102,7,FALSE),main!$K$26:$Q$29,3,FALSE),1,0)</f>
        <v>0</v>
      </c>
      <c r="AE25">
        <f>IF(VLOOKUP(AE$1,main!$A$3:$H$102,5,FALSE)-VLOOKUP($A25,main!$A$3:$H$102,6,FALSE)&gt;=main!$D$103+VLOOKUP(VLOOKUP(AE$1,main!$A$3:$I$102,7,FALSE),main!$K$26:$Q$29,3,FALSE),1,0)</f>
        <v>0</v>
      </c>
      <c r="AF25">
        <f>IF(VLOOKUP(AF$1,main!$A$3:$H$102,5,FALSE)-VLOOKUP($A25,main!$A$3:$H$102,6,FALSE)&gt;=main!$D$103+VLOOKUP(VLOOKUP(AF$1,main!$A$3:$I$102,7,FALSE),main!$K$26:$Q$29,3,FALSE),1,0)</f>
        <v>1</v>
      </c>
      <c r="AG25">
        <f>IF(VLOOKUP(AG$1,main!$A$3:$H$102,5,FALSE)-VLOOKUP($A25,main!$A$3:$H$102,6,FALSE)&gt;=main!$D$103+VLOOKUP(VLOOKUP(AG$1,main!$A$3:$I$102,7,FALSE),main!$K$26:$Q$29,3,FALSE),1,0)</f>
        <v>0</v>
      </c>
      <c r="AH25">
        <f>IF(VLOOKUP(AH$1,main!$A$3:$H$102,5,FALSE)-VLOOKUP($A25,main!$A$3:$H$102,6,FALSE)&gt;=main!$D$103+VLOOKUP(VLOOKUP(AH$1,main!$A$3:$I$102,7,FALSE),main!$K$26:$Q$29,3,FALSE),1,0)</f>
        <v>0</v>
      </c>
      <c r="AI25">
        <f>IF(VLOOKUP(AI$1,main!$A$3:$H$102,5,FALSE)-VLOOKUP($A25,main!$A$3:$H$102,6,FALSE)&gt;=main!$D$103+VLOOKUP(VLOOKUP(AI$1,main!$A$3:$I$102,7,FALSE),main!$K$26:$Q$29,3,FALSE),1,0)</f>
        <v>0</v>
      </c>
      <c r="AJ25">
        <f>IF(VLOOKUP(AJ$1,main!$A$3:$H$102,5,FALSE)-VLOOKUP($A25,main!$A$3:$H$102,6,FALSE)&gt;=main!$D$103+VLOOKUP(VLOOKUP(AJ$1,main!$A$3:$I$102,7,FALSE),main!$K$26:$Q$29,3,FALSE),1,0)</f>
        <v>0</v>
      </c>
      <c r="AK25">
        <f>IF(VLOOKUP(AK$1,main!$A$3:$H$102,5,FALSE)-VLOOKUP($A25,main!$A$3:$H$102,6,FALSE)&gt;=main!$D$103+VLOOKUP(VLOOKUP(AK$1,main!$A$3:$I$102,7,FALSE),main!$K$26:$Q$29,3,FALSE),1,0)</f>
        <v>0</v>
      </c>
      <c r="AL25">
        <f>IF(VLOOKUP(AL$1,main!$A$3:$H$102,5,FALSE)-VLOOKUP($A25,main!$A$3:$H$102,6,FALSE)&gt;=main!$D$103+VLOOKUP(VLOOKUP(AL$1,main!$A$3:$I$102,7,FALSE),main!$K$26:$Q$29,3,FALSE),1,0)</f>
        <v>0</v>
      </c>
      <c r="AM25">
        <f>IF(VLOOKUP(AM$1,main!$A$3:$H$102,5,FALSE)-VLOOKUP($A25,main!$A$3:$H$102,6,FALSE)&gt;=main!$D$103+VLOOKUP(VLOOKUP(AM$1,main!$A$3:$I$102,7,FALSE),main!$K$26:$Q$29,3,FALSE),1,0)</f>
        <v>1</v>
      </c>
      <c r="AN25">
        <f>IF(VLOOKUP(AN$1,main!$A$3:$H$102,5,FALSE)-VLOOKUP($A25,main!$A$3:$H$102,6,FALSE)&gt;=main!$D$103+VLOOKUP(VLOOKUP(AN$1,main!$A$3:$I$102,7,FALSE),main!$K$26:$Q$29,3,FALSE),1,0)</f>
        <v>1</v>
      </c>
      <c r="AO25">
        <f>IF(VLOOKUP(AO$1,main!$A$3:$H$102,5,FALSE)-VLOOKUP($A25,main!$A$3:$H$102,6,FALSE)&gt;=main!$D$103+VLOOKUP(VLOOKUP(AO$1,main!$A$3:$I$102,7,FALSE),main!$K$26:$Q$29,3,FALSE),1,0)</f>
        <v>0</v>
      </c>
      <c r="AP25">
        <f>IF(VLOOKUP(AP$1,main!$A$3:$H$102,5,FALSE)-VLOOKUP($A25,main!$A$3:$H$102,6,FALSE)&gt;=main!$D$103+VLOOKUP(VLOOKUP(AP$1,main!$A$3:$I$102,7,FALSE),main!$K$26:$Q$29,3,FALSE),1,0)</f>
        <v>1</v>
      </c>
      <c r="AQ25">
        <f>IF(VLOOKUP(AQ$1,main!$A$3:$H$102,5,FALSE)-VLOOKUP($A25,main!$A$3:$H$102,6,FALSE)&gt;=main!$D$103+VLOOKUP(VLOOKUP(AQ$1,main!$A$3:$I$102,7,FALSE),main!$K$26:$Q$29,3,FALSE),1,0)</f>
        <v>0</v>
      </c>
      <c r="AR25">
        <f>IF(VLOOKUP(AR$1,main!$A$3:$H$102,5,FALSE)-VLOOKUP($A25,main!$A$3:$H$102,6,FALSE)&gt;=main!$D$103+VLOOKUP(VLOOKUP(AR$1,main!$A$3:$I$102,7,FALSE),main!$K$26:$Q$29,3,FALSE),1,0)</f>
        <v>0</v>
      </c>
      <c r="AS25">
        <f>IF(VLOOKUP(AS$1,main!$A$3:$H$102,5,FALSE)-VLOOKUP($A25,main!$A$3:$H$102,6,FALSE)&gt;=main!$D$103+VLOOKUP(VLOOKUP(AS$1,main!$A$3:$I$102,7,FALSE),main!$K$26:$Q$29,3,FALSE),1,0)</f>
        <v>0</v>
      </c>
      <c r="AT25">
        <f>IF(VLOOKUP(AT$1,main!$A$3:$H$102,5,FALSE)-VLOOKUP($A25,main!$A$3:$H$102,6,FALSE)&gt;=main!$D$103+VLOOKUP(VLOOKUP(AT$1,main!$A$3:$I$102,7,FALSE),main!$K$26:$Q$29,3,FALSE),1,0)</f>
        <v>0</v>
      </c>
      <c r="AU25">
        <f>IF(VLOOKUP(AU$1,main!$A$3:$H$102,5,FALSE)-VLOOKUP($A25,main!$A$3:$H$102,6,FALSE)&gt;=main!$D$103+VLOOKUP(VLOOKUP(AU$1,main!$A$3:$I$102,7,FALSE),main!$K$26:$Q$29,3,FALSE),1,0)</f>
        <v>0</v>
      </c>
      <c r="AV25">
        <f>IF(VLOOKUP(AV$1,main!$A$3:$H$102,5,FALSE)-VLOOKUP($A25,main!$A$3:$H$102,6,FALSE)&gt;=main!$D$103+VLOOKUP(VLOOKUP(AV$1,main!$A$3:$I$102,7,FALSE),main!$K$26:$Q$29,3,FALSE),1,0)</f>
        <v>0</v>
      </c>
      <c r="AW25">
        <f>IF(VLOOKUP(AW$1,main!$A$3:$H$102,5,FALSE)-VLOOKUP($A25,main!$A$3:$H$102,6,FALSE)&gt;=main!$D$103+VLOOKUP(VLOOKUP(AW$1,main!$A$3:$I$102,7,FALSE),main!$K$26:$Q$29,3,FALSE),1,0)</f>
        <v>0</v>
      </c>
      <c r="AX25">
        <f>IF(VLOOKUP(AX$1,main!$A$3:$H$102,5,FALSE)-VLOOKUP($A25,main!$A$3:$H$102,6,FALSE)&gt;=main!$D$103+VLOOKUP(VLOOKUP(AX$1,main!$A$3:$I$102,7,FALSE),main!$K$26:$Q$29,3,FALSE),1,0)</f>
        <v>0</v>
      </c>
      <c r="AY25">
        <f>IF(VLOOKUP(AY$1,main!$A$3:$H$102,5,FALSE)-VLOOKUP($A25,main!$A$3:$H$102,6,FALSE)&gt;=main!$D$103+VLOOKUP(VLOOKUP(AY$1,main!$A$3:$I$102,7,FALSE),main!$K$26:$Q$29,3,FALSE),1,0)</f>
        <v>0</v>
      </c>
      <c r="AZ25">
        <f>IF(VLOOKUP(AZ$1,main!$A$3:$H$102,5,FALSE)-VLOOKUP($A25,main!$A$3:$H$102,6,FALSE)&gt;=main!$D$103+VLOOKUP(VLOOKUP(AZ$1,main!$A$3:$I$102,7,FALSE),main!$K$26:$Q$29,3,FALSE),1,0)</f>
        <v>0</v>
      </c>
      <c r="BA25">
        <f>IF(VLOOKUP(BA$1,main!$A$3:$H$102,5,FALSE)-VLOOKUP($A25,main!$A$3:$H$102,6,FALSE)&gt;=main!$D$103+VLOOKUP(VLOOKUP(BA$1,main!$A$3:$I$102,7,FALSE),main!$K$26:$Q$29,3,FALSE),1,0)</f>
        <v>0</v>
      </c>
      <c r="BB25">
        <f>IF(VLOOKUP(BB$1,main!$A$3:$H$102,5,FALSE)-VLOOKUP($A25,main!$A$3:$H$102,6,FALSE)&gt;=main!$D$103+VLOOKUP(VLOOKUP(BB$1,main!$A$3:$I$102,7,FALSE),main!$K$26:$Q$29,3,FALSE),1,0)</f>
        <v>0</v>
      </c>
      <c r="BC25">
        <f>IF(VLOOKUP(BC$1,main!$A$3:$H$102,5,FALSE)-VLOOKUP($A25,main!$A$3:$H$102,6,FALSE)&gt;=main!$D$103+VLOOKUP(VLOOKUP(BC$1,main!$A$3:$I$102,7,FALSE),main!$K$26:$Q$29,3,FALSE),1,0)</f>
        <v>0</v>
      </c>
      <c r="BD25">
        <f>IF(VLOOKUP(BD$1,main!$A$3:$H$102,5,FALSE)-VLOOKUP($A25,main!$A$3:$H$102,6,FALSE)&gt;=main!$D$103+VLOOKUP(VLOOKUP(BD$1,main!$A$3:$I$102,7,FALSE),main!$K$26:$Q$29,3,FALSE),1,0)</f>
        <v>0</v>
      </c>
      <c r="BE25">
        <f>IF(VLOOKUP(BE$1,main!$A$3:$H$102,5,FALSE)-VLOOKUP($A25,main!$A$3:$H$102,6,FALSE)&gt;=main!$D$103+VLOOKUP(VLOOKUP(BE$1,main!$A$3:$I$102,7,FALSE),main!$K$26:$Q$29,3,FALSE),1,0)</f>
        <v>1</v>
      </c>
      <c r="BF25">
        <f>IF(VLOOKUP(BF$1,main!$A$3:$H$102,5,FALSE)-VLOOKUP($A25,main!$A$3:$H$102,6,FALSE)&gt;=main!$D$103+VLOOKUP(VLOOKUP(BF$1,main!$A$3:$I$102,7,FALSE),main!$K$26:$Q$29,3,FALSE),1,0)</f>
        <v>0</v>
      </c>
      <c r="BG25">
        <f>IF(VLOOKUP(BG$1,main!$A$3:$H$102,5,FALSE)-VLOOKUP($A25,main!$A$3:$H$102,6,FALSE)&gt;=main!$D$103+VLOOKUP(VLOOKUP(BG$1,main!$A$3:$I$102,7,FALSE),main!$K$26:$Q$29,3,FALSE),1,0)</f>
        <v>0</v>
      </c>
      <c r="BH25">
        <f>IF(VLOOKUP(BH$1,main!$A$3:$H$102,5,FALSE)-VLOOKUP($A25,main!$A$3:$H$102,6,FALSE)&gt;=main!$D$103+VLOOKUP(VLOOKUP(BH$1,main!$A$3:$I$102,7,FALSE),main!$K$26:$Q$29,3,FALSE),1,0)</f>
        <v>0</v>
      </c>
      <c r="BI25">
        <f>IF(VLOOKUP(BI$1,main!$A$3:$H$102,5,FALSE)-VLOOKUP($A25,main!$A$3:$H$102,6,FALSE)&gt;=main!$D$103+VLOOKUP(VLOOKUP(BI$1,main!$A$3:$I$102,7,FALSE),main!$K$26:$Q$29,3,FALSE),1,0)</f>
        <v>1</v>
      </c>
      <c r="BJ25">
        <f>IF(VLOOKUP(BJ$1,main!$A$3:$H$102,5,FALSE)-VLOOKUP($A25,main!$A$3:$H$102,6,FALSE)&gt;=main!$D$103+VLOOKUP(VLOOKUP(BJ$1,main!$A$3:$I$102,7,FALSE),main!$K$26:$Q$29,3,FALSE),1,0)</f>
        <v>0</v>
      </c>
      <c r="BK25">
        <f>IF(VLOOKUP(BK$1,main!$A$3:$H$102,5,FALSE)-VLOOKUP($A25,main!$A$3:$H$102,6,FALSE)&gt;=main!$D$103+VLOOKUP(VLOOKUP(BK$1,main!$A$3:$I$102,7,FALSE),main!$K$26:$Q$29,3,FALSE),1,0)</f>
        <v>0</v>
      </c>
      <c r="BL25">
        <f>IF(VLOOKUP(BL$1,main!$A$3:$H$102,5,FALSE)-VLOOKUP($A25,main!$A$3:$H$102,6,FALSE)&gt;=main!$D$103+VLOOKUP(VLOOKUP(BL$1,main!$A$3:$I$102,7,FALSE),main!$K$26:$Q$29,3,FALSE),1,0)</f>
        <v>0</v>
      </c>
      <c r="BM25">
        <f>IF(VLOOKUP(BM$1,main!$A$3:$H$102,5,FALSE)-VLOOKUP($A25,main!$A$3:$H$102,6,FALSE)&gt;=main!$D$103+VLOOKUP(VLOOKUP(BM$1,main!$A$3:$I$102,7,FALSE),main!$K$26:$Q$29,3,FALSE),1,0)</f>
        <v>0</v>
      </c>
      <c r="BN25">
        <f>IF(VLOOKUP(BN$1,main!$A$3:$H$102,5,FALSE)-VLOOKUP($A25,main!$A$3:$H$102,6,FALSE)&gt;=main!$D$103+VLOOKUP(VLOOKUP(BN$1,main!$A$3:$I$102,7,FALSE),main!$K$26:$Q$29,3,FALSE),1,0)</f>
        <v>0</v>
      </c>
      <c r="BO25">
        <f>IF(VLOOKUP(BO$1,main!$A$3:$H$102,5,FALSE)-VLOOKUP($A25,main!$A$3:$H$102,6,FALSE)&gt;=main!$D$103+VLOOKUP(VLOOKUP(BO$1,main!$A$3:$I$102,7,FALSE),main!$K$26:$Q$29,3,FALSE),1,0)</f>
        <v>0</v>
      </c>
      <c r="BP25">
        <f>IF(VLOOKUP(BP$1,main!$A$3:$H$102,5,FALSE)-VLOOKUP($A25,main!$A$3:$H$102,6,FALSE)&gt;=main!$D$103+VLOOKUP(VLOOKUP(BP$1,main!$A$3:$I$102,7,FALSE),main!$K$26:$Q$29,3,FALSE),1,0)</f>
        <v>0</v>
      </c>
      <c r="BQ25">
        <f>IF(VLOOKUP(BQ$1,main!$A$3:$H$102,5,FALSE)-VLOOKUP($A25,main!$A$3:$H$102,6,FALSE)&gt;=main!$D$103+VLOOKUP(VLOOKUP(BQ$1,main!$A$3:$I$102,7,FALSE),main!$K$26:$Q$29,3,FALSE),1,0)</f>
        <v>0</v>
      </c>
      <c r="BR25">
        <f>IF(VLOOKUP(BR$1,main!$A$3:$H$102,5,FALSE)-VLOOKUP($A25,main!$A$3:$H$102,6,FALSE)&gt;=main!$D$103+VLOOKUP(VLOOKUP(BR$1,main!$A$3:$I$102,7,FALSE),main!$K$26:$Q$29,3,FALSE),1,0)</f>
        <v>0</v>
      </c>
      <c r="BS25">
        <f>IF(VLOOKUP(BS$1,main!$A$3:$H$102,5,FALSE)-VLOOKUP($A25,main!$A$3:$H$102,6,FALSE)&gt;=main!$D$103+VLOOKUP(VLOOKUP(BS$1,main!$A$3:$I$102,7,FALSE),main!$K$26:$Q$29,3,FALSE),1,0)</f>
        <v>0</v>
      </c>
      <c r="BT25">
        <f>IF(VLOOKUP(BT$1,main!$A$3:$H$102,5,FALSE)-VLOOKUP($A25,main!$A$3:$H$102,6,FALSE)&gt;=main!$D$103+VLOOKUP(VLOOKUP(BT$1,main!$A$3:$I$102,7,FALSE),main!$K$26:$Q$29,3,FALSE),1,0)</f>
        <v>0</v>
      </c>
      <c r="BU25">
        <f>IF(VLOOKUP(BU$1,main!$A$3:$H$102,5,FALSE)-VLOOKUP($A25,main!$A$3:$H$102,6,FALSE)&gt;=main!$D$103+VLOOKUP(VLOOKUP(BU$1,main!$A$3:$I$102,7,FALSE),main!$K$26:$Q$29,3,FALSE),1,0)</f>
        <v>0</v>
      </c>
      <c r="BV25">
        <f>IF(VLOOKUP(BV$1,main!$A$3:$H$102,5,FALSE)-VLOOKUP($A25,main!$A$3:$H$102,6,FALSE)&gt;=main!$D$103+VLOOKUP(VLOOKUP(BV$1,main!$A$3:$I$102,7,FALSE),main!$K$26:$Q$29,3,FALSE),1,0)</f>
        <v>0</v>
      </c>
      <c r="BW25">
        <f>IF(VLOOKUP(BW$1,main!$A$3:$H$102,5,FALSE)-VLOOKUP($A25,main!$A$3:$H$102,6,FALSE)&gt;=main!$D$103+VLOOKUP(VLOOKUP(BW$1,main!$A$3:$I$102,7,FALSE),main!$K$26:$Q$29,3,FALSE),1,0)</f>
        <v>0</v>
      </c>
      <c r="BX25">
        <f>IF(VLOOKUP(BX$1,main!$A$3:$H$102,5,FALSE)-VLOOKUP($A25,main!$A$3:$H$102,6,FALSE)&gt;=main!$D$103+VLOOKUP(VLOOKUP(BX$1,main!$A$3:$I$102,7,FALSE),main!$K$26:$Q$29,3,FALSE),1,0)</f>
        <v>0</v>
      </c>
      <c r="BY25">
        <f>IF(VLOOKUP(BY$1,main!$A$3:$H$102,5,FALSE)-VLOOKUP($A25,main!$A$3:$H$102,6,FALSE)&gt;=main!$D$103+VLOOKUP(VLOOKUP(BY$1,main!$A$3:$I$102,7,FALSE),main!$K$26:$Q$29,3,FALSE),1,0)</f>
        <v>0</v>
      </c>
      <c r="BZ25">
        <f>IF(VLOOKUP(BZ$1,main!$A$3:$H$102,5,FALSE)-VLOOKUP($A25,main!$A$3:$H$102,6,FALSE)&gt;=main!$D$103+VLOOKUP(VLOOKUP(BZ$1,main!$A$3:$I$102,7,FALSE),main!$K$26:$Q$29,3,FALSE),1,0)</f>
        <v>0</v>
      </c>
      <c r="CA25">
        <f>IF(VLOOKUP(CA$1,main!$A$3:$H$102,5,FALSE)-VLOOKUP($A25,main!$A$3:$H$102,6,FALSE)&gt;=main!$D$103+VLOOKUP(VLOOKUP(CA$1,main!$A$3:$I$102,7,FALSE),main!$K$26:$Q$29,3,FALSE),1,0)</f>
        <v>0</v>
      </c>
      <c r="CB25">
        <f>IF(VLOOKUP(CB$1,main!$A$3:$H$102,5,FALSE)-VLOOKUP($A25,main!$A$3:$H$102,6,FALSE)&gt;=main!$D$103+VLOOKUP(VLOOKUP(CB$1,main!$A$3:$I$102,7,FALSE),main!$K$26:$Q$29,3,FALSE),1,0)</f>
        <v>0</v>
      </c>
      <c r="CC25">
        <f>IF(VLOOKUP(CC$1,main!$A$3:$H$102,5,FALSE)-VLOOKUP($A25,main!$A$3:$H$102,6,FALSE)&gt;=main!$D$103+VLOOKUP(VLOOKUP(CC$1,main!$A$3:$I$102,7,FALSE),main!$K$26:$Q$29,3,FALSE),1,0)</f>
        <v>1</v>
      </c>
      <c r="CD25">
        <f>IF(VLOOKUP(CD$1,main!$A$3:$H$102,5,FALSE)-VLOOKUP($A25,main!$A$3:$H$102,6,FALSE)&gt;=main!$D$103+VLOOKUP(VLOOKUP(CD$1,main!$A$3:$I$102,7,FALSE),main!$K$26:$Q$29,3,FALSE),1,0)</f>
        <v>0</v>
      </c>
      <c r="CE25">
        <f>IF(VLOOKUP(CE$1,main!$A$3:$H$102,5,FALSE)-VLOOKUP($A25,main!$A$3:$H$102,6,FALSE)&gt;=main!$D$103+VLOOKUP(VLOOKUP(CE$1,main!$A$3:$I$102,7,FALSE),main!$K$26:$Q$29,3,FALSE),1,0)</f>
        <v>0</v>
      </c>
      <c r="CF25">
        <f>IF(VLOOKUP(CF$1,main!$A$3:$H$102,5,FALSE)-VLOOKUP($A25,main!$A$3:$H$102,6,FALSE)&gt;=main!$D$103+VLOOKUP(VLOOKUP(CF$1,main!$A$3:$I$102,7,FALSE),main!$K$26:$Q$29,3,FALSE),1,0)</f>
        <v>0</v>
      </c>
      <c r="CG25">
        <f>IF(VLOOKUP(CG$1,main!$A$3:$H$102,5,FALSE)-VLOOKUP($A25,main!$A$3:$H$102,6,FALSE)&gt;=main!$D$103+VLOOKUP(VLOOKUP(CG$1,main!$A$3:$I$102,7,FALSE),main!$K$26:$Q$29,3,FALSE),1,0)</f>
        <v>0</v>
      </c>
      <c r="CH25">
        <f>IF(VLOOKUP(CH$1,main!$A$3:$H$102,5,FALSE)-VLOOKUP($A25,main!$A$3:$H$102,6,FALSE)&gt;=main!$D$103+VLOOKUP(VLOOKUP(CH$1,main!$A$3:$I$102,7,FALSE),main!$K$26:$Q$29,3,FALSE),1,0)</f>
        <v>0</v>
      </c>
      <c r="CI25">
        <f>IF(VLOOKUP(CI$1,main!$A$3:$H$102,5,FALSE)-VLOOKUP($A25,main!$A$3:$H$102,6,FALSE)&gt;=main!$D$103+VLOOKUP(VLOOKUP(CI$1,main!$A$3:$I$102,7,FALSE),main!$K$26:$Q$29,3,FALSE),1,0)</f>
        <v>1</v>
      </c>
      <c r="CJ25">
        <f>IF(VLOOKUP(CJ$1,main!$A$3:$H$102,5,FALSE)-VLOOKUP($A25,main!$A$3:$H$102,6,FALSE)&gt;=main!$D$103+VLOOKUP(VLOOKUP(CJ$1,main!$A$3:$I$102,7,FALSE),main!$K$26:$Q$29,3,FALSE),1,0)</f>
        <v>0</v>
      </c>
      <c r="CK25">
        <f>IF(VLOOKUP(CK$1,main!$A$3:$H$102,5,FALSE)-VLOOKUP($A25,main!$A$3:$H$102,6,FALSE)&gt;=main!$D$103+VLOOKUP(VLOOKUP(CK$1,main!$A$3:$I$102,7,FALSE),main!$K$26:$Q$29,3,FALSE),1,0)</f>
        <v>0</v>
      </c>
      <c r="CL25">
        <f>IF(VLOOKUP(CL$1,main!$A$3:$H$102,5,FALSE)-VLOOKUP($A25,main!$A$3:$H$102,6,FALSE)&gt;=main!$D$103+VLOOKUP(VLOOKUP(CL$1,main!$A$3:$I$102,7,FALSE),main!$K$26:$Q$29,3,FALSE),1,0)</f>
        <v>0</v>
      </c>
      <c r="CM25">
        <f>IF(VLOOKUP(CM$1,main!$A$3:$H$102,5,FALSE)-VLOOKUP($A25,main!$A$3:$H$102,6,FALSE)&gt;=main!$D$103+VLOOKUP(VLOOKUP(CM$1,main!$A$3:$I$102,7,FALSE),main!$K$26:$Q$29,3,FALSE),1,0)</f>
        <v>0</v>
      </c>
      <c r="CN25">
        <f>IF(VLOOKUP(CN$1,main!$A$3:$H$102,5,FALSE)-VLOOKUP($A25,main!$A$3:$H$102,6,FALSE)&gt;=main!$D$103+VLOOKUP(VLOOKUP(CN$1,main!$A$3:$I$102,7,FALSE),main!$K$26:$Q$29,3,FALSE),1,0)</f>
        <v>1</v>
      </c>
      <c r="CO25">
        <f>IF(VLOOKUP(CO$1,main!$A$3:$H$102,5,FALSE)-VLOOKUP($A25,main!$A$3:$H$102,6,FALSE)&gt;=main!$D$103+VLOOKUP(VLOOKUP(CO$1,main!$A$3:$I$102,7,FALSE),main!$K$26:$Q$29,3,FALSE),1,0)</f>
        <v>0</v>
      </c>
      <c r="CP25">
        <f>IF(VLOOKUP(CP$1,main!$A$3:$H$102,5,FALSE)-VLOOKUP($A25,main!$A$3:$H$102,6,FALSE)&gt;=main!$D$103+VLOOKUP(VLOOKUP(CP$1,main!$A$3:$I$102,7,FALSE),main!$K$26:$Q$29,3,FALSE),1,0)</f>
        <v>0</v>
      </c>
      <c r="CQ25">
        <f>IF(VLOOKUP(CQ$1,main!$A$3:$H$102,5,FALSE)-VLOOKUP($A25,main!$A$3:$H$102,6,FALSE)&gt;=main!$D$103+VLOOKUP(VLOOKUP(CQ$1,main!$A$3:$I$102,7,FALSE),main!$K$26:$Q$29,3,FALSE),1,0)</f>
        <v>0</v>
      </c>
      <c r="CR25">
        <f>IF(VLOOKUP(CR$1,main!$A$3:$H$102,5,FALSE)-VLOOKUP($A25,main!$A$3:$H$102,6,FALSE)&gt;=main!$D$103+VLOOKUP(VLOOKUP(CR$1,main!$A$3:$I$102,7,FALSE),main!$K$26:$Q$29,3,FALSE),1,0)</f>
        <v>0</v>
      </c>
      <c r="CS25">
        <f>IF(VLOOKUP(CS$1,main!$A$3:$H$102,5,FALSE)-VLOOKUP($A25,main!$A$3:$H$102,6,FALSE)&gt;=main!$D$103+VLOOKUP(VLOOKUP(CS$1,main!$A$3:$I$102,7,FALSE),main!$K$26:$Q$29,3,FALSE),1,0)</f>
        <v>0</v>
      </c>
      <c r="CT25">
        <f>IF(VLOOKUP(CT$1,main!$A$3:$H$102,5,FALSE)-VLOOKUP($A25,main!$A$3:$H$102,6,FALSE)&gt;=main!$D$103+VLOOKUP(VLOOKUP(CT$1,main!$A$3:$I$102,7,FALSE),main!$K$26:$Q$29,3,FALSE),1,0)</f>
        <v>0</v>
      </c>
      <c r="CU25">
        <f>IF(VLOOKUP(CU$1,main!$A$3:$H$102,5,FALSE)-VLOOKUP($A25,main!$A$3:$H$102,6,FALSE)&gt;=main!$D$103+VLOOKUP(VLOOKUP(CU$1,main!$A$3:$I$102,7,FALSE),main!$K$26:$Q$29,3,FALSE),1,0)</f>
        <v>0</v>
      </c>
      <c r="CV25">
        <f>IF(VLOOKUP(CV$1,main!$A$3:$H$102,5,FALSE)-VLOOKUP($A25,main!$A$3:$H$102,6,FALSE)&gt;=main!$D$103+VLOOKUP(VLOOKUP(CV$1,main!$A$3:$I$102,7,FALSE),main!$K$26:$Q$29,3,FALSE),1,0)</f>
        <v>0</v>
      </c>
      <c r="CW25">
        <f>IF(VLOOKUP(CW$1,main!$A$3:$H$102,5,FALSE)-VLOOKUP($A25,main!$A$3:$H$102,6,FALSE)&gt;=main!$D$103+VLOOKUP(VLOOKUP(CW$1,main!$A$3:$I$102,7,FALSE),main!$K$26:$Q$29,3,FALSE),1,0)</f>
        <v>0</v>
      </c>
      <c r="CX25">
        <f>IF(VLOOKUP(CX$1,main!$A$3:$H$102,5,FALSE)-VLOOKUP($A25,main!$A$3:$H$102,6,FALSE)&gt;=main!$D$103+VLOOKUP(VLOOKUP(CX$1,main!$A$3:$I$102,7,FALSE),main!$K$26:$Q$29,3,FALSE),1,0)</f>
        <v>1</v>
      </c>
      <c r="CZ25">
        <f>VLOOKUP($A25,main!$A$3:$H$102,6,FALSE)</f>
        <v>925</v>
      </c>
    </row>
    <row r="26" spans="1:104" x14ac:dyDescent="0.25">
      <c r="A26" s="1">
        <v>24</v>
      </c>
      <c r="B26">
        <v>0</v>
      </c>
      <c r="C26">
        <f>IF(VLOOKUP(C$1,main!$A$3:$H$102,5,FALSE)-VLOOKUP($A26,main!$A$3:$H$102,6,FALSE)&gt;=main!$D$103+VLOOKUP(VLOOKUP(C$1,main!$A$3:$I$102,7,FALSE),main!$K$26:$Q$29,3,FALSE),1,0)</f>
        <v>0</v>
      </c>
      <c r="D26">
        <f>IF(VLOOKUP(D$1,main!$A$3:$H$102,5,FALSE)-VLOOKUP($A26,main!$A$3:$H$102,6,FALSE)&gt;=main!$D$103+VLOOKUP(VLOOKUP(D$1,main!$A$3:$I$102,7,FALSE),main!$K$26:$Q$29,3,FALSE),1,0)</f>
        <v>0</v>
      </c>
      <c r="E26">
        <f>IF(VLOOKUP(E$1,main!$A$3:$H$102,5,FALSE)-VLOOKUP($A26,main!$A$3:$H$102,6,FALSE)&gt;=main!$D$103+VLOOKUP(VLOOKUP(E$1,main!$A$3:$I$102,7,FALSE),main!$K$26:$Q$29,3,FALSE),1,0)</f>
        <v>0</v>
      </c>
      <c r="F26">
        <f>IF(VLOOKUP(F$1,main!$A$3:$H$102,5,FALSE)-VLOOKUP($A26,main!$A$3:$H$102,6,FALSE)&gt;=main!$D$103+VLOOKUP(VLOOKUP(F$1,main!$A$3:$I$102,7,FALSE),main!$K$26:$Q$29,3,FALSE),1,0)</f>
        <v>0</v>
      </c>
      <c r="G26">
        <f>IF(VLOOKUP(G$1,main!$A$3:$H$102,5,FALSE)-VLOOKUP($A26,main!$A$3:$H$102,6,FALSE)&gt;=main!$D$103+VLOOKUP(VLOOKUP(G$1,main!$A$3:$I$102,7,FALSE),main!$K$26:$Q$29,3,FALSE),1,0)</f>
        <v>0</v>
      </c>
      <c r="H26">
        <f>IF(VLOOKUP(H$1,main!$A$3:$H$102,5,FALSE)-VLOOKUP($A26,main!$A$3:$H$102,6,FALSE)&gt;=main!$D$103+VLOOKUP(VLOOKUP(H$1,main!$A$3:$I$102,7,FALSE),main!$K$26:$Q$29,3,FALSE),1,0)</f>
        <v>0</v>
      </c>
      <c r="I26">
        <f>IF(VLOOKUP(I$1,main!$A$3:$H$102,5,FALSE)-VLOOKUP($A26,main!$A$3:$H$102,6,FALSE)&gt;=main!$D$103+VLOOKUP(VLOOKUP(I$1,main!$A$3:$I$102,7,FALSE),main!$K$26:$Q$29,3,FALSE),1,0)</f>
        <v>0</v>
      </c>
      <c r="J26">
        <f>IF(VLOOKUP(J$1,main!$A$3:$H$102,5,FALSE)-VLOOKUP($A26,main!$A$3:$H$102,6,FALSE)&gt;=main!$D$103+VLOOKUP(VLOOKUP(J$1,main!$A$3:$I$102,7,FALSE),main!$K$26:$Q$29,3,FALSE),1,0)</f>
        <v>0</v>
      </c>
      <c r="K26">
        <f>IF(VLOOKUP(K$1,main!$A$3:$H$102,5,FALSE)-VLOOKUP($A26,main!$A$3:$H$102,6,FALSE)&gt;=main!$D$103+VLOOKUP(VLOOKUP(K$1,main!$A$3:$I$102,7,FALSE),main!$K$26:$Q$29,3,FALSE),1,0)</f>
        <v>0</v>
      </c>
      <c r="L26">
        <f>IF(VLOOKUP(L$1,main!$A$3:$H$102,5,FALSE)-VLOOKUP($A26,main!$A$3:$H$102,6,FALSE)&gt;=main!$D$103+VLOOKUP(VLOOKUP(L$1,main!$A$3:$I$102,7,FALSE),main!$K$26:$Q$29,3,FALSE),1,0)</f>
        <v>1</v>
      </c>
      <c r="M26">
        <f>IF(VLOOKUP(M$1,main!$A$3:$H$102,5,FALSE)-VLOOKUP($A26,main!$A$3:$H$102,6,FALSE)&gt;=main!$D$103+VLOOKUP(VLOOKUP(M$1,main!$A$3:$I$102,7,FALSE),main!$K$26:$Q$29,3,FALSE),1,0)</f>
        <v>0</v>
      </c>
      <c r="N26">
        <f>IF(VLOOKUP(N$1,main!$A$3:$H$102,5,FALSE)-VLOOKUP($A26,main!$A$3:$H$102,6,FALSE)&gt;=main!$D$103+VLOOKUP(VLOOKUP(N$1,main!$A$3:$I$102,7,FALSE),main!$K$26:$Q$29,3,FALSE),1,0)</f>
        <v>0</v>
      </c>
      <c r="O26">
        <f>IF(VLOOKUP(O$1,main!$A$3:$H$102,5,FALSE)-VLOOKUP($A26,main!$A$3:$H$102,6,FALSE)&gt;=main!$D$103+VLOOKUP(VLOOKUP(O$1,main!$A$3:$I$102,7,FALSE),main!$K$26:$Q$29,3,FALSE),1,0)</f>
        <v>0</v>
      </c>
      <c r="P26">
        <f>IF(VLOOKUP(P$1,main!$A$3:$H$102,5,FALSE)-VLOOKUP($A26,main!$A$3:$H$102,6,FALSE)&gt;=main!$D$103+VLOOKUP(VLOOKUP(P$1,main!$A$3:$I$102,7,FALSE),main!$K$26:$Q$29,3,FALSE),1,0)</f>
        <v>0</v>
      </c>
      <c r="Q26">
        <f>IF(VLOOKUP(Q$1,main!$A$3:$H$102,5,FALSE)-VLOOKUP($A26,main!$A$3:$H$102,6,FALSE)&gt;=main!$D$103+VLOOKUP(VLOOKUP(Q$1,main!$A$3:$I$102,7,FALSE),main!$K$26:$Q$29,3,FALSE),1,0)</f>
        <v>0</v>
      </c>
      <c r="R26">
        <f>IF(VLOOKUP(R$1,main!$A$3:$H$102,5,FALSE)-VLOOKUP($A26,main!$A$3:$H$102,6,FALSE)&gt;=main!$D$103+VLOOKUP(VLOOKUP(R$1,main!$A$3:$I$102,7,FALSE),main!$K$26:$Q$29,3,FALSE),1,0)</f>
        <v>0</v>
      </c>
      <c r="S26">
        <f>IF(VLOOKUP(S$1,main!$A$3:$H$102,5,FALSE)-VLOOKUP($A26,main!$A$3:$H$102,6,FALSE)&gt;=main!$D$103+VLOOKUP(VLOOKUP(S$1,main!$A$3:$I$102,7,FALSE),main!$K$26:$Q$29,3,FALSE),1,0)</f>
        <v>0</v>
      </c>
      <c r="T26">
        <f>IF(VLOOKUP(T$1,main!$A$3:$H$102,5,FALSE)-VLOOKUP($A26,main!$A$3:$H$102,6,FALSE)&gt;=main!$D$103+VLOOKUP(VLOOKUP(T$1,main!$A$3:$I$102,7,FALSE),main!$K$26:$Q$29,3,FALSE),1,0)</f>
        <v>0</v>
      </c>
      <c r="U26">
        <f>IF(VLOOKUP(U$1,main!$A$3:$H$102,5,FALSE)-VLOOKUP($A26,main!$A$3:$H$102,6,FALSE)&gt;=main!$D$103+VLOOKUP(VLOOKUP(U$1,main!$A$3:$I$102,7,FALSE),main!$K$26:$Q$29,3,FALSE),1,0)</f>
        <v>0</v>
      </c>
      <c r="V26">
        <f>IF(VLOOKUP(V$1,main!$A$3:$H$102,5,FALSE)-VLOOKUP($A26,main!$A$3:$H$102,6,FALSE)&gt;=main!$D$103+VLOOKUP(VLOOKUP(V$1,main!$A$3:$I$102,7,FALSE),main!$K$26:$Q$29,3,FALSE),1,0)</f>
        <v>1</v>
      </c>
      <c r="W26">
        <f>IF(VLOOKUP(W$1,main!$A$3:$H$102,5,FALSE)-VLOOKUP($A26,main!$A$3:$H$102,6,FALSE)&gt;=main!$D$103+VLOOKUP(VLOOKUP(W$1,main!$A$3:$I$102,7,FALSE),main!$K$26:$Q$29,3,FALSE),1,0)</f>
        <v>0</v>
      </c>
      <c r="X26">
        <f>IF(VLOOKUP(X$1,main!$A$3:$H$102,5,FALSE)-VLOOKUP($A26,main!$A$3:$H$102,6,FALSE)&gt;=main!$D$103+VLOOKUP(VLOOKUP(X$1,main!$A$3:$I$102,7,FALSE),main!$K$26:$Q$29,3,FALSE),1,0)</f>
        <v>0</v>
      </c>
      <c r="Y26">
        <f>IF(VLOOKUP(Y$1,main!$A$3:$H$102,5,FALSE)-VLOOKUP($A26,main!$A$3:$H$102,6,FALSE)&gt;=main!$D$103+VLOOKUP(VLOOKUP(Y$1,main!$A$3:$I$102,7,FALSE),main!$K$26:$Q$29,3,FALSE),1,0)</f>
        <v>0</v>
      </c>
      <c r="Z26">
        <f>IF(VLOOKUP(Z$1,main!$A$3:$H$102,5,FALSE)-VLOOKUP($A26,main!$A$3:$H$102,6,FALSE)&gt;=main!$D$103+VLOOKUP(VLOOKUP(Z$1,main!$A$3:$I$102,7,FALSE),main!$K$26:$Q$29,3,FALSE),1,0)</f>
        <v>0</v>
      </c>
      <c r="AA26">
        <f>IF(VLOOKUP(AA$1,main!$A$3:$H$102,5,FALSE)-VLOOKUP($A26,main!$A$3:$H$102,6,FALSE)&gt;=main!$D$103+VLOOKUP(VLOOKUP(AA$1,main!$A$3:$I$102,7,FALSE),main!$K$26:$Q$29,3,FALSE),1,0)</f>
        <v>0</v>
      </c>
      <c r="AB26">
        <f>IF(VLOOKUP(AB$1,main!$A$3:$H$102,5,FALSE)-VLOOKUP($A26,main!$A$3:$H$102,6,FALSE)&gt;=main!$D$103+VLOOKUP(VLOOKUP(AB$1,main!$A$3:$I$102,7,FALSE),main!$K$26:$Q$29,3,FALSE),1,0)</f>
        <v>0</v>
      </c>
      <c r="AC26">
        <f>IF(VLOOKUP(AC$1,main!$A$3:$H$102,5,FALSE)-VLOOKUP($A26,main!$A$3:$H$102,6,FALSE)&gt;=main!$D$103+VLOOKUP(VLOOKUP(AC$1,main!$A$3:$I$102,7,FALSE),main!$K$26:$Q$29,3,FALSE),1,0)</f>
        <v>0</v>
      </c>
      <c r="AD26">
        <f>IF(VLOOKUP(AD$1,main!$A$3:$H$102,5,FALSE)-VLOOKUP($A26,main!$A$3:$H$102,6,FALSE)&gt;=main!$D$103+VLOOKUP(VLOOKUP(AD$1,main!$A$3:$I$102,7,FALSE),main!$K$26:$Q$29,3,FALSE),1,0)</f>
        <v>0</v>
      </c>
      <c r="AE26">
        <f>IF(VLOOKUP(AE$1,main!$A$3:$H$102,5,FALSE)-VLOOKUP($A26,main!$A$3:$H$102,6,FALSE)&gt;=main!$D$103+VLOOKUP(VLOOKUP(AE$1,main!$A$3:$I$102,7,FALSE),main!$K$26:$Q$29,3,FALSE),1,0)</f>
        <v>0</v>
      </c>
      <c r="AF26">
        <f>IF(VLOOKUP(AF$1,main!$A$3:$H$102,5,FALSE)-VLOOKUP($A26,main!$A$3:$H$102,6,FALSE)&gt;=main!$D$103+VLOOKUP(VLOOKUP(AF$1,main!$A$3:$I$102,7,FALSE),main!$K$26:$Q$29,3,FALSE),1,0)</f>
        <v>0</v>
      </c>
      <c r="AG26">
        <f>IF(VLOOKUP(AG$1,main!$A$3:$H$102,5,FALSE)-VLOOKUP($A26,main!$A$3:$H$102,6,FALSE)&gt;=main!$D$103+VLOOKUP(VLOOKUP(AG$1,main!$A$3:$I$102,7,FALSE),main!$K$26:$Q$29,3,FALSE),1,0)</f>
        <v>0</v>
      </c>
      <c r="AH26">
        <f>IF(VLOOKUP(AH$1,main!$A$3:$H$102,5,FALSE)-VLOOKUP($A26,main!$A$3:$H$102,6,FALSE)&gt;=main!$D$103+VLOOKUP(VLOOKUP(AH$1,main!$A$3:$I$102,7,FALSE),main!$K$26:$Q$29,3,FALSE),1,0)</f>
        <v>0</v>
      </c>
      <c r="AI26">
        <f>IF(VLOOKUP(AI$1,main!$A$3:$H$102,5,FALSE)-VLOOKUP($A26,main!$A$3:$H$102,6,FALSE)&gt;=main!$D$103+VLOOKUP(VLOOKUP(AI$1,main!$A$3:$I$102,7,FALSE),main!$K$26:$Q$29,3,FALSE),1,0)</f>
        <v>0</v>
      </c>
      <c r="AJ26">
        <f>IF(VLOOKUP(AJ$1,main!$A$3:$H$102,5,FALSE)-VLOOKUP($A26,main!$A$3:$H$102,6,FALSE)&gt;=main!$D$103+VLOOKUP(VLOOKUP(AJ$1,main!$A$3:$I$102,7,FALSE),main!$K$26:$Q$29,3,FALSE),1,0)</f>
        <v>0</v>
      </c>
      <c r="AK26">
        <f>IF(VLOOKUP(AK$1,main!$A$3:$H$102,5,FALSE)-VLOOKUP($A26,main!$A$3:$H$102,6,FALSE)&gt;=main!$D$103+VLOOKUP(VLOOKUP(AK$1,main!$A$3:$I$102,7,FALSE),main!$K$26:$Q$29,3,FALSE),1,0)</f>
        <v>0</v>
      </c>
      <c r="AL26">
        <f>IF(VLOOKUP(AL$1,main!$A$3:$H$102,5,FALSE)-VLOOKUP($A26,main!$A$3:$H$102,6,FALSE)&gt;=main!$D$103+VLOOKUP(VLOOKUP(AL$1,main!$A$3:$I$102,7,FALSE),main!$K$26:$Q$29,3,FALSE),1,0)</f>
        <v>0</v>
      </c>
      <c r="AM26">
        <f>IF(VLOOKUP(AM$1,main!$A$3:$H$102,5,FALSE)-VLOOKUP($A26,main!$A$3:$H$102,6,FALSE)&gt;=main!$D$103+VLOOKUP(VLOOKUP(AM$1,main!$A$3:$I$102,7,FALSE),main!$K$26:$Q$29,3,FALSE),1,0)</f>
        <v>0</v>
      </c>
      <c r="AN26">
        <f>IF(VLOOKUP(AN$1,main!$A$3:$H$102,5,FALSE)-VLOOKUP($A26,main!$A$3:$H$102,6,FALSE)&gt;=main!$D$103+VLOOKUP(VLOOKUP(AN$1,main!$A$3:$I$102,7,FALSE),main!$K$26:$Q$29,3,FALSE),1,0)</f>
        <v>0</v>
      </c>
      <c r="AO26">
        <f>IF(VLOOKUP(AO$1,main!$A$3:$H$102,5,FALSE)-VLOOKUP($A26,main!$A$3:$H$102,6,FALSE)&gt;=main!$D$103+VLOOKUP(VLOOKUP(AO$1,main!$A$3:$I$102,7,FALSE),main!$K$26:$Q$29,3,FALSE),1,0)</f>
        <v>0</v>
      </c>
      <c r="AP26">
        <f>IF(VLOOKUP(AP$1,main!$A$3:$H$102,5,FALSE)-VLOOKUP($A26,main!$A$3:$H$102,6,FALSE)&gt;=main!$D$103+VLOOKUP(VLOOKUP(AP$1,main!$A$3:$I$102,7,FALSE),main!$K$26:$Q$29,3,FALSE),1,0)</f>
        <v>1</v>
      </c>
      <c r="AQ26">
        <f>IF(VLOOKUP(AQ$1,main!$A$3:$H$102,5,FALSE)-VLOOKUP($A26,main!$A$3:$H$102,6,FALSE)&gt;=main!$D$103+VLOOKUP(VLOOKUP(AQ$1,main!$A$3:$I$102,7,FALSE),main!$K$26:$Q$29,3,FALSE),1,0)</f>
        <v>0</v>
      </c>
      <c r="AR26">
        <f>IF(VLOOKUP(AR$1,main!$A$3:$H$102,5,FALSE)-VLOOKUP($A26,main!$A$3:$H$102,6,FALSE)&gt;=main!$D$103+VLOOKUP(VLOOKUP(AR$1,main!$A$3:$I$102,7,FALSE),main!$K$26:$Q$29,3,FALSE),1,0)</f>
        <v>0</v>
      </c>
      <c r="AS26">
        <f>IF(VLOOKUP(AS$1,main!$A$3:$H$102,5,FALSE)-VLOOKUP($A26,main!$A$3:$H$102,6,FALSE)&gt;=main!$D$103+VLOOKUP(VLOOKUP(AS$1,main!$A$3:$I$102,7,FALSE),main!$K$26:$Q$29,3,FALSE),1,0)</f>
        <v>0</v>
      </c>
      <c r="AT26">
        <f>IF(VLOOKUP(AT$1,main!$A$3:$H$102,5,FALSE)-VLOOKUP($A26,main!$A$3:$H$102,6,FALSE)&gt;=main!$D$103+VLOOKUP(VLOOKUP(AT$1,main!$A$3:$I$102,7,FALSE),main!$K$26:$Q$29,3,FALSE),1,0)</f>
        <v>0</v>
      </c>
      <c r="AU26">
        <f>IF(VLOOKUP(AU$1,main!$A$3:$H$102,5,FALSE)-VLOOKUP($A26,main!$A$3:$H$102,6,FALSE)&gt;=main!$D$103+VLOOKUP(VLOOKUP(AU$1,main!$A$3:$I$102,7,FALSE),main!$K$26:$Q$29,3,FALSE),1,0)</f>
        <v>0</v>
      </c>
      <c r="AV26">
        <f>IF(VLOOKUP(AV$1,main!$A$3:$H$102,5,FALSE)-VLOOKUP($A26,main!$A$3:$H$102,6,FALSE)&gt;=main!$D$103+VLOOKUP(VLOOKUP(AV$1,main!$A$3:$I$102,7,FALSE),main!$K$26:$Q$29,3,FALSE),1,0)</f>
        <v>0</v>
      </c>
      <c r="AW26">
        <f>IF(VLOOKUP(AW$1,main!$A$3:$H$102,5,FALSE)-VLOOKUP($A26,main!$A$3:$H$102,6,FALSE)&gt;=main!$D$103+VLOOKUP(VLOOKUP(AW$1,main!$A$3:$I$102,7,FALSE),main!$K$26:$Q$29,3,FALSE),1,0)</f>
        <v>0</v>
      </c>
      <c r="AX26">
        <f>IF(VLOOKUP(AX$1,main!$A$3:$H$102,5,FALSE)-VLOOKUP($A26,main!$A$3:$H$102,6,FALSE)&gt;=main!$D$103+VLOOKUP(VLOOKUP(AX$1,main!$A$3:$I$102,7,FALSE),main!$K$26:$Q$29,3,FALSE),1,0)</f>
        <v>0</v>
      </c>
      <c r="AY26">
        <f>IF(VLOOKUP(AY$1,main!$A$3:$H$102,5,FALSE)-VLOOKUP($A26,main!$A$3:$H$102,6,FALSE)&gt;=main!$D$103+VLOOKUP(VLOOKUP(AY$1,main!$A$3:$I$102,7,FALSE),main!$K$26:$Q$29,3,FALSE),1,0)</f>
        <v>0</v>
      </c>
      <c r="AZ26">
        <f>IF(VLOOKUP(AZ$1,main!$A$3:$H$102,5,FALSE)-VLOOKUP($A26,main!$A$3:$H$102,6,FALSE)&gt;=main!$D$103+VLOOKUP(VLOOKUP(AZ$1,main!$A$3:$I$102,7,FALSE),main!$K$26:$Q$29,3,FALSE),1,0)</f>
        <v>0</v>
      </c>
      <c r="BA26">
        <f>IF(VLOOKUP(BA$1,main!$A$3:$H$102,5,FALSE)-VLOOKUP($A26,main!$A$3:$H$102,6,FALSE)&gt;=main!$D$103+VLOOKUP(VLOOKUP(BA$1,main!$A$3:$I$102,7,FALSE),main!$K$26:$Q$29,3,FALSE),1,0)</f>
        <v>0</v>
      </c>
      <c r="BB26">
        <f>IF(VLOOKUP(BB$1,main!$A$3:$H$102,5,FALSE)-VLOOKUP($A26,main!$A$3:$H$102,6,FALSE)&gt;=main!$D$103+VLOOKUP(VLOOKUP(BB$1,main!$A$3:$I$102,7,FALSE),main!$K$26:$Q$29,3,FALSE),1,0)</f>
        <v>0</v>
      </c>
      <c r="BC26">
        <f>IF(VLOOKUP(BC$1,main!$A$3:$H$102,5,FALSE)-VLOOKUP($A26,main!$A$3:$H$102,6,FALSE)&gt;=main!$D$103+VLOOKUP(VLOOKUP(BC$1,main!$A$3:$I$102,7,FALSE),main!$K$26:$Q$29,3,FALSE),1,0)</f>
        <v>0</v>
      </c>
      <c r="BD26">
        <f>IF(VLOOKUP(BD$1,main!$A$3:$H$102,5,FALSE)-VLOOKUP($A26,main!$A$3:$H$102,6,FALSE)&gt;=main!$D$103+VLOOKUP(VLOOKUP(BD$1,main!$A$3:$I$102,7,FALSE),main!$K$26:$Q$29,3,FALSE),1,0)</f>
        <v>0</v>
      </c>
      <c r="BE26">
        <f>IF(VLOOKUP(BE$1,main!$A$3:$H$102,5,FALSE)-VLOOKUP($A26,main!$A$3:$H$102,6,FALSE)&gt;=main!$D$103+VLOOKUP(VLOOKUP(BE$1,main!$A$3:$I$102,7,FALSE),main!$K$26:$Q$29,3,FALSE),1,0)</f>
        <v>0</v>
      </c>
      <c r="BF26">
        <f>IF(VLOOKUP(BF$1,main!$A$3:$H$102,5,FALSE)-VLOOKUP($A26,main!$A$3:$H$102,6,FALSE)&gt;=main!$D$103+VLOOKUP(VLOOKUP(BF$1,main!$A$3:$I$102,7,FALSE),main!$K$26:$Q$29,3,FALSE),1,0)</f>
        <v>0</v>
      </c>
      <c r="BG26">
        <f>IF(VLOOKUP(BG$1,main!$A$3:$H$102,5,FALSE)-VLOOKUP($A26,main!$A$3:$H$102,6,FALSE)&gt;=main!$D$103+VLOOKUP(VLOOKUP(BG$1,main!$A$3:$I$102,7,FALSE),main!$K$26:$Q$29,3,FALSE),1,0)</f>
        <v>0</v>
      </c>
      <c r="BH26">
        <f>IF(VLOOKUP(BH$1,main!$A$3:$H$102,5,FALSE)-VLOOKUP($A26,main!$A$3:$H$102,6,FALSE)&gt;=main!$D$103+VLOOKUP(VLOOKUP(BH$1,main!$A$3:$I$102,7,FALSE),main!$K$26:$Q$29,3,FALSE),1,0)</f>
        <v>0</v>
      </c>
      <c r="BI26">
        <f>IF(VLOOKUP(BI$1,main!$A$3:$H$102,5,FALSE)-VLOOKUP($A26,main!$A$3:$H$102,6,FALSE)&gt;=main!$D$103+VLOOKUP(VLOOKUP(BI$1,main!$A$3:$I$102,7,FALSE),main!$K$26:$Q$29,3,FALSE),1,0)</f>
        <v>1</v>
      </c>
      <c r="BJ26">
        <f>IF(VLOOKUP(BJ$1,main!$A$3:$H$102,5,FALSE)-VLOOKUP($A26,main!$A$3:$H$102,6,FALSE)&gt;=main!$D$103+VLOOKUP(VLOOKUP(BJ$1,main!$A$3:$I$102,7,FALSE),main!$K$26:$Q$29,3,FALSE),1,0)</f>
        <v>0</v>
      </c>
      <c r="BK26">
        <f>IF(VLOOKUP(BK$1,main!$A$3:$H$102,5,FALSE)-VLOOKUP($A26,main!$A$3:$H$102,6,FALSE)&gt;=main!$D$103+VLOOKUP(VLOOKUP(BK$1,main!$A$3:$I$102,7,FALSE),main!$K$26:$Q$29,3,FALSE),1,0)</f>
        <v>0</v>
      </c>
      <c r="BL26">
        <f>IF(VLOOKUP(BL$1,main!$A$3:$H$102,5,FALSE)-VLOOKUP($A26,main!$A$3:$H$102,6,FALSE)&gt;=main!$D$103+VLOOKUP(VLOOKUP(BL$1,main!$A$3:$I$102,7,FALSE),main!$K$26:$Q$29,3,FALSE),1,0)</f>
        <v>0</v>
      </c>
      <c r="BM26">
        <f>IF(VLOOKUP(BM$1,main!$A$3:$H$102,5,FALSE)-VLOOKUP($A26,main!$A$3:$H$102,6,FALSE)&gt;=main!$D$103+VLOOKUP(VLOOKUP(BM$1,main!$A$3:$I$102,7,FALSE),main!$K$26:$Q$29,3,FALSE),1,0)</f>
        <v>0</v>
      </c>
      <c r="BN26">
        <f>IF(VLOOKUP(BN$1,main!$A$3:$H$102,5,FALSE)-VLOOKUP($A26,main!$A$3:$H$102,6,FALSE)&gt;=main!$D$103+VLOOKUP(VLOOKUP(BN$1,main!$A$3:$I$102,7,FALSE),main!$K$26:$Q$29,3,FALSE),1,0)</f>
        <v>0</v>
      </c>
      <c r="BO26">
        <f>IF(VLOOKUP(BO$1,main!$A$3:$H$102,5,FALSE)-VLOOKUP($A26,main!$A$3:$H$102,6,FALSE)&gt;=main!$D$103+VLOOKUP(VLOOKUP(BO$1,main!$A$3:$I$102,7,FALSE),main!$K$26:$Q$29,3,FALSE),1,0)</f>
        <v>0</v>
      </c>
      <c r="BP26">
        <f>IF(VLOOKUP(BP$1,main!$A$3:$H$102,5,FALSE)-VLOOKUP($A26,main!$A$3:$H$102,6,FALSE)&gt;=main!$D$103+VLOOKUP(VLOOKUP(BP$1,main!$A$3:$I$102,7,FALSE),main!$K$26:$Q$29,3,FALSE),1,0)</f>
        <v>0</v>
      </c>
      <c r="BQ26">
        <f>IF(VLOOKUP(BQ$1,main!$A$3:$H$102,5,FALSE)-VLOOKUP($A26,main!$A$3:$H$102,6,FALSE)&gt;=main!$D$103+VLOOKUP(VLOOKUP(BQ$1,main!$A$3:$I$102,7,FALSE),main!$K$26:$Q$29,3,FALSE),1,0)</f>
        <v>0</v>
      </c>
      <c r="BR26">
        <f>IF(VLOOKUP(BR$1,main!$A$3:$H$102,5,FALSE)-VLOOKUP($A26,main!$A$3:$H$102,6,FALSE)&gt;=main!$D$103+VLOOKUP(VLOOKUP(BR$1,main!$A$3:$I$102,7,FALSE),main!$K$26:$Q$29,3,FALSE),1,0)</f>
        <v>0</v>
      </c>
      <c r="BS26">
        <f>IF(VLOOKUP(BS$1,main!$A$3:$H$102,5,FALSE)-VLOOKUP($A26,main!$A$3:$H$102,6,FALSE)&gt;=main!$D$103+VLOOKUP(VLOOKUP(BS$1,main!$A$3:$I$102,7,FALSE),main!$K$26:$Q$29,3,FALSE),1,0)</f>
        <v>0</v>
      </c>
      <c r="BT26">
        <f>IF(VLOOKUP(BT$1,main!$A$3:$H$102,5,FALSE)-VLOOKUP($A26,main!$A$3:$H$102,6,FALSE)&gt;=main!$D$103+VLOOKUP(VLOOKUP(BT$1,main!$A$3:$I$102,7,FALSE),main!$K$26:$Q$29,3,FALSE),1,0)</f>
        <v>0</v>
      </c>
      <c r="BU26">
        <f>IF(VLOOKUP(BU$1,main!$A$3:$H$102,5,FALSE)-VLOOKUP($A26,main!$A$3:$H$102,6,FALSE)&gt;=main!$D$103+VLOOKUP(VLOOKUP(BU$1,main!$A$3:$I$102,7,FALSE),main!$K$26:$Q$29,3,FALSE),1,0)</f>
        <v>0</v>
      </c>
      <c r="BV26">
        <f>IF(VLOOKUP(BV$1,main!$A$3:$H$102,5,FALSE)-VLOOKUP($A26,main!$A$3:$H$102,6,FALSE)&gt;=main!$D$103+VLOOKUP(VLOOKUP(BV$1,main!$A$3:$I$102,7,FALSE),main!$K$26:$Q$29,3,FALSE),1,0)</f>
        <v>0</v>
      </c>
      <c r="BW26">
        <f>IF(VLOOKUP(BW$1,main!$A$3:$H$102,5,FALSE)-VLOOKUP($A26,main!$A$3:$H$102,6,FALSE)&gt;=main!$D$103+VLOOKUP(VLOOKUP(BW$1,main!$A$3:$I$102,7,FALSE),main!$K$26:$Q$29,3,FALSE),1,0)</f>
        <v>0</v>
      </c>
      <c r="BX26">
        <f>IF(VLOOKUP(BX$1,main!$A$3:$H$102,5,FALSE)-VLOOKUP($A26,main!$A$3:$H$102,6,FALSE)&gt;=main!$D$103+VLOOKUP(VLOOKUP(BX$1,main!$A$3:$I$102,7,FALSE),main!$K$26:$Q$29,3,FALSE),1,0)</f>
        <v>0</v>
      </c>
      <c r="BY26">
        <f>IF(VLOOKUP(BY$1,main!$A$3:$H$102,5,FALSE)-VLOOKUP($A26,main!$A$3:$H$102,6,FALSE)&gt;=main!$D$103+VLOOKUP(VLOOKUP(BY$1,main!$A$3:$I$102,7,FALSE),main!$K$26:$Q$29,3,FALSE),1,0)</f>
        <v>0</v>
      </c>
      <c r="BZ26">
        <f>IF(VLOOKUP(BZ$1,main!$A$3:$H$102,5,FALSE)-VLOOKUP($A26,main!$A$3:$H$102,6,FALSE)&gt;=main!$D$103+VLOOKUP(VLOOKUP(BZ$1,main!$A$3:$I$102,7,FALSE),main!$K$26:$Q$29,3,FALSE),1,0)</f>
        <v>0</v>
      </c>
      <c r="CA26">
        <f>IF(VLOOKUP(CA$1,main!$A$3:$H$102,5,FALSE)-VLOOKUP($A26,main!$A$3:$H$102,6,FALSE)&gt;=main!$D$103+VLOOKUP(VLOOKUP(CA$1,main!$A$3:$I$102,7,FALSE),main!$K$26:$Q$29,3,FALSE),1,0)</f>
        <v>0</v>
      </c>
      <c r="CB26">
        <f>IF(VLOOKUP(CB$1,main!$A$3:$H$102,5,FALSE)-VLOOKUP($A26,main!$A$3:$H$102,6,FALSE)&gt;=main!$D$103+VLOOKUP(VLOOKUP(CB$1,main!$A$3:$I$102,7,FALSE),main!$K$26:$Q$29,3,FALSE),1,0)</f>
        <v>0</v>
      </c>
      <c r="CC26">
        <f>IF(VLOOKUP(CC$1,main!$A$3:$H$102,5,FALSE)-VLOOKUP($A26,main!$A$3:$H$102,6,FALSE)&gt;=main!$D$103+VLOOKUP(VLOOKUP(CC$1,main!$A$3:$I$102,7,FALSE),main!$K$26:$Q$29,3,FALSE),1,0)</f>
        <v>0</v>
      </c>
      <c r="CD26">
        <f>IF(VLOOKUP(CD$1,main!$A$3:$H$102,5,FALSE)-VLOOKUP($A26,main!$A$3:$H$102,6,FALSE)&gt;=main!$D$103+VLOOKUP(VLOOKUP(CD$1,main!$A$3:$I$102,7,FALSE),main!$K$26:$Q$29,3,FALSE),1,0)</f>
        <v>0</v>
      </c>
      <c r="CE26">
        <f>IF(VLOOKUP(CE$1,main!$A$3:$H$102,5,FALSE)-VLOOKUP($A26,main!$A$3:$H$102,6,FALSE)&gt;=main!$D$103+VLOOKUP(VLOOKUP(CE$1,main!$A$3:$I$102,7,FALSE),main!$K$26:$Q$29,3,FALSE),1,0)</f>
        <v>0</v>
      </c>
      <c r="CF26">
        <f>IF(VLOOKUP(CF$1,main!$A$3:$H$102,5,FALSE)-VLOOKUP($A26,main!$A$3:$H$102,6,FALSE)&gt;=main!$D$103+VLOOKUP(VLOOKUP(CF$1,main!$A$3:$I$102,7,FALSE),main!$K$26:$Q$29,3,FALSE),1,0)</f>
        <v>0</v>
      </c>
      <c r="CG26">
        <f>IF(VLOOKUP(CG$1,main!$A$3:$H$102,5,FALSE)-VLOOKUP($A26,main!$A$3:$H$102,6,FALSE)&gt;=main!$D$103+VLOOKUP(VLOOKUP(CG$1,main!$A$3:$I$102,7,FALSE),main!$K$26:$Q$29,3,FALSE),1,0)</f>
        <v>0</v>
      </c>
      <c r="CH26">
        <f>IF(VLOOKUP(CH$1,main!$A$3:$H$102,5,FALSE)-VLOOKUP($A26,main!$A$3:$H$102,6,FALSE)&gt;=main!$D$103+VLOOKUP(VLOOKUP(CH$1,main!$A$3:$I$102,7,FALSE),main!$K$26:$Q$29,3,FALSE),1,0)</f>
        <v>0</v>
      </c>
      <c r="CI26">
        <f>IF(VLOOKUP(CI$1,main!$A$3:$H$102,5,FALSE)-VLOOKUP($A26,main!$A$3:$H$102,6,FALSE)&gt;=main!$D$103+VLOOKUP(VLOOKUP(CI$1,main!$A$3:$I$102,7,FALSE),main!$K$26:$Q$29,3,FALSE),1,0)</f>
        <v>1</v>
      </c>
      <c r="CJ26">
        <f>IF(VLOOKUP(CJ$1,main!$A$3:$H$102,5,FALSE)-VLOOKUP($A26,main!$A$3:$H$102,6,FALSE)&gt;=main!$D$103+VLOOKUP(VLOOKUP(CJ$1,main!$A$3:$I$102,7,FALSE),main!$K$26:$Q$29,3,FALSE),1,0)</f>
        <v>0</v>
      </c>
      <c r="CK26">
        <f>IF(VLOOKUP(CK$1,main!$A$3:$H$102,5,FALSE)-VLOOKUP($A26,main!$A$3:$H$102,6,FALSE)&gt;=main!$D$103+VLOOKUP(VLOOKUP(CK$1,main!$A$3:$I$102,7,FALSE),main!$K$26:$Q$29,3,FALSE),1,0)</f>
        <v>0</v>
      </c>
      <c r="CL26">
        <f>IF(VLOOKUP(CL$1,main!$A$3:$H$102,5,FALSE)-VLOOKUP($A26,main!$A$3:$H$102,6,FALSE)&gt;=main!$D$103+VLOOKUP(VLOOKUP(CL$1,main!$A$3:$I$102,7,FALSE),main!$K$26:$Q$29,3,FALSE),1,0)</f>
        <v>0</v>
      </c>
      <c r="CM26">
        <f>IF(VLOOKUP(CM$1,main!$A$3:$H$102,5,FALSE)-VLOOKUP($A26,main!$A$3:$H$102,6,FALSE)&gt;=main!$D$103+VLOOKUP(VLOOKUP(CM$1,main!$A$3:$I$102,7,FALSE),main!$K$26:$Q$29,3,FALSE),1,0)</f>
        <v>0</v>
      </c>
      <c r="CN26">
        <f>IF(VLOOKUP(CN$1,main!$A$3:$H$102,5,FALSE)-VLOOKUP($A26,main!$A$3:$H$102,6,FALSE)&gt;=main!$D$103+VLOOKUP(VLOOKUP(CN$1,main!$A$3:$I$102,7,FALSE),main!$K$26:$Q$29,3,FALSE),1,0)</f>
        <v>1</v>
      </c>
      <c r="CO26">
        <f>IF(VLOOKUP(CO$1,main!$A$3:$H$102,5,FALSE)-VLOOKUP($A26,main!$A$3:$H$102,6,FALSE)&gt;=main!$D$103+VLOOKUP(VLOOKUP(CO$1,main!$A$3:$I$102,7,FALSE),main!$K$26:$Q$29,3,FALSE),1,0)</f>
        <v>0</v>
      </c>
      <c r="CP26">
        <f>IF(VLOOKUP(CP$1,main!$A$3:$H$102,5,FALSE)-VLOOKUP($A26,main!$A$3:$H$102,6,FALSE)&gt;=main!$D$103+VLOOKUP(VLOOKUP(CP$1,main!$A$3:$I$102,7,FALSE),main!$K$26:$Q$29,3,FALSE),1,0)</f>
        <v>0</v>
      </c>
      <c r="CQ26">
        <f>IF(VLOOKUP(CQ$1,main!$A$3:$H$102,5,FALSE)-VLOOKUP($A26,main!$A$3:$H$102,6,FALSE)&gt;=main!$D$103+VLOOKUP(VLOOKUP(CQ$1,main!$A$3:$I$102,7,FALSE),main!$K$26:$Q$29,3,FALSE),1,0)</f>
        <v>0</v>
      </c>
      <c r="CR26">
        <f>IF(VLOOKUP(CR$1,main!$A$3:$H$102,5,FALSE)-VLOOKUP($A26,main!$A$3:$H$102,6,FALSE)&gt;=main!$D$103+VLOOKUP(VLOOKUP(CR$1,main!$A$3:$I$102,7,FALSE),main!$K$26:$Q$29,3,FALSE),1,0)</f>
        <v>0</v>
      </c>
      <c r="CS26">
        <f>IF(VLOOKUP(CS$1,main!$A$3:$H$102,5,FALSE)-VLOOKUP($A26,main!$A$3:$H$102,6,FALSE)&gt;=main!$D$103+VLOOKUP(VLOOKUP(CS$1,main!$A$3:$I$102,7,FALSE),main!$K$26:$Q$29,3,FALSE),1,0)</f>
        <v>0</v>
      </c>
      <c r="CT26">
        <f>IF(VLOOKUP(CT$1,main!$A$3:$H$102,5,FALSE)-VLOOKUP($A26,main!$A$3:$H$102,6,FALSE)&gt;=main!$D$103+VLOOKUP(VLOOKUP(CT$1,main!$A$3:$I$102,7,FALSE),main!$K$26:$Q$29,3,FALSE),1,0)</f>
        <v>0</v>
      </c>
      <c r="CU26">
        <f>IF(VLOOKUP(CU$1,main!$A$3:$H$102,5,FALSE)-VLOOKUP($A26,main!$A$3:$H$102,6,FALSE)&gt;=main!$D$103+VLOOKUP(VLOOKUP(CU$1,main!$A$3:$I$102,7,FALSE),main!$K$26:$Q$29,3,FALSE),1,0)</f>
        <v>0</v>
      </c>
      <c r="CV26">
        <f>IF(VLOOKUP(CV$1,main!$A$3:$H$102,5,FALSE)-VLOOKUP($A26,main!$A$3:$H$102,6,FALSE)&gt;=main!$D$103+VLOOKUP(VLOOKUP(CV$1,main!$A$3:$I$102,7,FALSE),main!$K$26:$Q$29,3,FALSE),1,0)</f>
        <v>0</v>
      </c>
      <c r="CW26">
        <f>IF(VLOOKUP(CW$1,main!$A$3:$H$102,5,FALSE)-VLOOKUP($A26,main!$A$3:$H$102,6,FALSE)&gt;=main!$D$103+VLOOKUP(VLOOKUP(CW$1,main!$A$3:$I$102,7,FALSE),main!$K$26:$Q$29,3,FALSE),1,0)</f>
        <v>0</v>
      </c>
      <c r="CX26">
        <f>IF(VLOOKUP(CX$1,main!$A$3:$H$102,5,FALSE)-VLOOKUP($A26,main!$A$3:$H$102,6,FALSE)&gt;=main!$D$103+VLOOKUP(VLOOKUP(CX$1,main!$A$3:$I$102,7,FALSE),main!$K$26:$Q$29,3,FALSE),1,0)</f>
        <v>0</v>
      </c>
      <c r="CZ26">
        <f>main!$D$103</f>
        <v>50</v>
      </c>
    </row>
    <row r="27" spans="1:104" x14ac:dyDescent="0.25">
      <c r="A27" s="1">
        <v>25</v>
      </c>
      <c r="B27">
        <v>0</v>
      </c>
      <c r="C27">
        <f>IF(VLOOKUP(C$1,main!$A$3:$H$102,5,FALSE)-VLOOKUP($A27,main!$A$3:$H$102,6,FALSE)&gt;=main!$D$103+VLOOKUP(VLOOKUP(C$1,main!$A$3:$I$102,7,FALSE),main!$K$26:$Q$29,3,FALSE),1,0)</f>
        <v>0</v>
      </c>
      <c r="D27">
        <f>IF(VLOOKUP(D$1,main!$A$3:$H$102,5,FALSE)-VLOOKUP($A27,main!$A$3:$H$102,6,FALSE)&gt;=main!$D$103+VLOOKUP(VLOOKUP(D$1,main!$A$3:$I$102,7,FALSE),main!$K$26:$Q$29,3,FALSE),1,0)</f>
        <v>0</v>
      </c>
      <c r="E27">
        <f>IF(VLOOKUP(E$1,main!$A$3:$H$102,5,FALSE)-VLOOKUP($A27,main!$A$3:$H$102,6,FALSE)&gt;=main!$D$103+VLOOKUP(VLOOKUP(E$1,main!$A$3:$I$102,7,FALSE),main!$K$26:$Q$29,3,FALSE),1,0)</f>
        <v>0</v>
      </c>
      <c r="F27">
        <f>IF(VLOOKUP(F$1,main!$A$3:$H$102,5,FALSE)-VLOOKUP($A27,main!$A$3:$H$102,6,FALSE)&gt;=main!$D$103+VLOOKUP(VLOOKUP(F$1,main!$A$3:$I$102,7,FALSE),main!$K$26:$Q$29,3,FALSE),1,0)</f>
        <v>0</v>
      </c>
      <c r="G27">
        <f>IF(VLOOKUP(G$1,main!$A$3:$H$102,5,FALSE)-VLOOKUP($A27,main!$A$3:$H$102,6,FALSE)&gt;=main!$D$103+VLOOKUP(VLOOKUP(G$1,main!$A$3:$I$102,7,FALSE),main!$K$26:$Q$29,3,FALSE),1,0)</f>
        <v>0</v>
      </c>
      <c r="H27">
        <f>IF(VLOOKUP(H$1,main!$A$3:$H$102,5,FALSE)-VLOOKUP($A27,main!$A$3:$H$102,6,FALSE)&gt;=main!$D$103+VLOOKUP(VLOOKUP(H$1,main!$A$3:$I$102,7,FALSE),main!$K$26:$Q$29,3,FALSE),1,0)</f>
        <v>0</v>
      </c>
      <c r="I27">
        <f>IF(VLOOKUP(I$1,main!$A$3:$H$102,5,FALSE)-VLOOKUP($A27,main!$A$3:$H$102,6,FALSE)&gt;=main!$D$103+VLOOKUP(VLOOKUP(I$1,main!$A$3:$I$102,7,FALSE),main!$K$26:$Q$29,3,FALSE),1,0)</f>
        <v>0</v>
      </c>
      <c r="J27">
        <f>IF(VLOOKUP(J$1,main!$A$3:$H$102,5,FALSE)-VLOOKUP($A27,main!$A$3:$H$102,6,FALSE)&gt;=main!$D$103+VLOOKUP(VLOOKUP(J$1,main!$A$3:$I$102,7,FALSE),main!$K$26:$Q$29,3,FALSE),1,0)</f>
        <v>0</v>
      </c>
      <c r="K27">
        <f>IF(VLOOKUP(K$1,main!$A$3:$H$102,5,FALSE)-VLOOKUP($A27,main!$A$3:$H$102,6,FALSE)&gt;=main!$D$103+VLOOKUP(VLOOKUP(K$1,main!$A$3:$I$102,7,FALSE),main!$K$26:$Q$29,3,FALSE),1,0)</f>
        <v>0</v>
      </c>
      <c r="L27">
        <f>IF(VLOOKUP(L$1,main!$A$3:$H$102,5,FALSE)-VLOOKUP($A27,main!$A$3:$H$102,6,FALSE)&gt;=main!$D$103+VLOOKUP(VLOOKUP(L$1,main!$A$3:$I$102,7,FALSE),main!$K$26:$Q$29,3,FALSE),1,0)</f>
        <v>0</v>
      </c>
      <c r="M27">
        <f>IF(VLOOKUP(M$1,main!$A$3:$H$102,5,FALSE)-VLOOKUP($A27,main!$A$3:$H$102,6,FALSE)&gt;=main!$D$103+VLOOKUP(VLOOKUP(M$1,main!$A$3:$I$102,7,FALSE),main!$K$26:$Q$29,3,FALSE),1,0)</f>
        <v>0</v>
      </c>
      <c r="N27">
        <f>IF(VLOOKUP(N$1,main!$A$3:$H$102,5,FALSE)-VLOOKUP($A27,main!$A$3:$H$102,6,FALSE)&gt;=main!$D$103+VLOOKUP(VLOOKUP(N$1,main!$A$3:$I$102,7,FALSE),main!$K$26:$Q$29,3,FALSE),1,0)</f>
        <v>0</v>
      </c>
      <c r="O27">
        <f>IF(VLOOKUP(O$1,main!$A$3:$H$102,5,FALSE)-VLOOKUP($A27,main!$A$3:$H$102,6,FALSE)&gt;=main!$D$103+VLOOKUP(VLOOKUP(O$1,main!$A$3:$I$102,7,FALSE),main!$K$26:$Q$29,3,FALSE),1,0)</f>
        <v>0</v>
      </c>
      <c r="P27">
        <f>IF(VLOOKUP(P$1,main!$A$3:$H$102,5,FALSE)-VLOOKUP($A27,main!$A$3:$H$102,6,FALSE)&gt;=main!$D$103+VLOOKUP(VLOOKUP(P$1,main!$A$3:$I$102,7,FALSE),main!$K$26:$Q$29,3,FALSE),1,0)</f>
        <v>0</v>
      </c>
      <c r="Q27">
        <f>IF(VLOOKUP(Q$1,main!$A$3:$H$102,5,FALSE)-VLOOKUP($A27,main!$A$3:$H$102,6,FALSE)&gt;=main!$D$103+VLOOKUP(VLOOKUP(Q$1,main!$A$3:$I$102,7,FALSE),main!$K$26:$Q$29,3,FALSE),1,0)</f>
        <v>0</v>
      </c>
      <c r="R27">
        <f>IF(VLOOKUP(R$1,main!$A$3:$H$102,5,FALSE)-VLOOKUP($A27,main!$A$3:$H$102,6,FALSE)&gt;=main!$D$103+VLOOKUP(VLOOKUP(R$1,main!$A$3:$I$102,7,FALSE),main!$K$26:$Q$29,3,FALSE),1,0)</f>
        <v>0</v>
      </c>
      <c r="S27">
        <f>IF(VLOOKUP(S$1,main!$A$3:$H$102,5,FALSE)-VLOOKUP($A27,main!$A$3:$H$102,6,FALSE)&gt;=main!$D$103+VLOOKUP(VLOOKUP(S$1,main!$A$3:$I$102,7,FALSE),main!$K$26:$Q$29,3,FALSE),1,0)</f>
        <v>0</v>
      </c>
      <c r="T27">
        <f>IF(VLOOKUP(T$1,main!$A$3:$H$102,5,FALSE)-VLOOKUP($A27,main!$A$3:$H$102,6,FALSE)&gt;=main!$D$103+VLOOKUP(VLOOKUP(T$1,main!$A$3:$I$102,7,FALSE),main!$K$26:$Q$29,3,FALSE),1,0)</f>
        <v>0</v>
      </c>
      <c r="U27">
        <f>IF(VLOOKUP(U$1,main!$A$3:$H$102,5,FALSE)-VLOOKUP($A27,main!$A$3:$H$102,6,FALSE)&gt;=main!$D$103+VLOOKUP(VLOOKUP(U$1,main!$A$3:$I$102,7,FALSE),main!$K$26:$Q$29,3,FALSE),1,0)</f>
        <v>0</v>
      </c>
      <c r="V27">
        <f>IF(VLOOKUP(V$1,main!$A$3:$H$102,5,FALSE)-VLOOKUP($A27,main!$A$3:$H$102,6,FALSE)&gt;=main!$D$103+VLOOKUP(VLOOKUP(V$1,main!$A$3:$I$102,7,FALSE),main!$K$26:$Q$29,3,FALSE),1,0)</f>
        <v>0</v>
      </c>
      <c r="W27">
        <f>IF(VLOOKUP(W$1,main!$A$3:$H$102,5,FALSE)-VLOOKUP($A27,main!$A$3:$H$102,6,FALSE)&gt;=main!$D$103+VLOOKUP(VLOOKUP(W$1,main!$A$3:$I$102,7,FALSE),main!$K$26:$Q$29,3,FALSE),1,0)</f>
        <v>0</v>
      </c>
      <c r="X27">
        <f>IF(VLOOKUP(X$1,main!$A$3:$H$102,5,FALSE)-VLOOKUP($A27,main!$A$3:$H$102,6,FALSE)&gt;=main!$D$103+VLOOKUP(VLOOKUP(X$1,main!$A$3:$I$102,7,FALSE),main!$K$26:$Q$29,3,FALSE),1,0)</f>
        <v>0</v>
      </c>
      <c r="Y27">
        <f>IF(VLOOKUP(Y$1,main!$A$3:$H$102,5,FALSE)-VLOOKUP($A27,main!$A$3:$H$102,6,FALSE)&gt;=main!$D$103+VLOOKUP(VLOOKUP(Y$1,main!$A$3:$I$102,7,FALSE),main!$K$26:$Q$29,3,FALSE),1,0)</f>
        <v>0</v>
      </c>
      <c r="Z27">
        <f>IF(VLOOKUP(Z$1,main!$A$3:$H$102,5,FALSE)-VLOOKUP($A27,main!$A$3:$H$102,6,FALSE)&gt;=main!$D$103+VLOOKUP(VLOOKUP(Z$1,main!$A$3:$I$102,7,FALSE),main!$K$26:$Q$29,3,FALSE),1,0)</f>
        <v>0</v>
      </c>
      <c r="AA27">
        <f>IF(VLOOKUP(AA$1,main!$A$3:$H$102,5,FALSE)-VLOOKUP($A27,main!$A$3:$H$102,6,FALSE)&gt;=main!$D$103+VLOOKUP(VLOOKUP(AA$1,main!$A$3:$I$102,7,FALSE),main!$K$26:$Q$29,3,FALSE),1,0)</f>
        <v>0</v>
      </c>
      <c r="AB27">
        <f>IF(VLOOKUP(AB$1,main!$A$3:$H$102,5,FALSE)-VLOOKUP($A27,main!$A$3:$H$102,6,FALSE)&gt;=main!$D$103+VLOOKUP(VLOOKUP(AB$1,main!$A$3:$I$102,7,FALSE),main!$K$26:$Q$29,3,FALSE),1,0)</f>
        <v>0</v>
      </c>
      <c r="AC27">
        <f>IF(VLOOKUP(AC$1,main!$A$3:$H$102,5,FALSE)-VLOOKUP($A27,main!$A$3:$H$102,6,FALSE)&gt;=main!$D$103+VLOOKUP(VLOOKUP(AC$1,main!$A$3:$I$102,7,FALSE),main!$K$26:$Q$29,3,FALSE),1,0)</f>
        <v>0</v>
      </c>
      <c r="AD27">
        <f>IF(VLOOKUP(AD$1,main!$A$3:$H$102,5,FALSE)-VLOOKUP($A27,main!$A$3:$H$102,6,FALSE)&gt;=main!$D$103+VLOOKUP(VLOOKUP(AD$1,main!$A$3:$I$102,7,FALSE),main!$K$26:$Q$29,3,FALSE),1,0)</f>
        <v>0</v>
      </c>
      <c r="AE27">
        <f>IF(VLOOKUP(AE$1,main!$A$3:$H$102,5,FALSE)-VLOOKUP($A27,main!$A$3:$H$102,6,FALSE)&gt;=main!$D$103+VLOOKUP(VLOOKUP(AE$1,main!$A$3:$I$102,7,FALSE),main!$K$26:$Q$29,3,FALSE),1,0)</f>
        <v>0</v>
      </c>
      <c r="AF27">
        <f>IF(VLOOKUP(AF$1,main!$A$3:$H$102,5,FALSE)-VLOOKUP($A27,main!$A$3:$H$102,6,FALSE)&gt;=main!$D$103+VLOOKUP(VLOOKUP(AF$1,main!$A$3:$I$102,7,FALSE),main!$K$26:$Q$29,3,FALSE),1,0)</f>
        <v>0</v>
      </c>
      <c r="AG27">
        <f>IF(VLOOKUP(AG$1,main!$A$3:$H$102,5,FALSE)-VLOOKUP($A27,main!$A$3:$H$102,6,FALSE)&gt;=main!$D$103+VLOOKUP(VLOOKUP(AG$1,main!$A$3:$I$102,7,FALSE),main!$K$26:$Q$29,3,FALSE),1,0)</f>
        <v>0</v>
      </c>
      <c r="AH27">
        <f>IF(VLOOKUP(AH$1,main!$A$3:$H$102,5,FALSE)-VLOOKUP($A27,main!$A$3:$H$102,6,FALSE)&gt;=main!$D$103+VLOOKUP(VLOOKUP(AH$1,main!$A$3:$I$102,7,FALSE),main!$K$26:$Q$29,3,FALSE),1,0)</f>
        <v>0</v>
      </c>
      <c r="AI27">
        <f>IF(VLOOKUP(AI$1,main!$A$3:$H$102,5,FALSE)-VLOOKUP($A27,main!$A$3:$H$102,6,FALSE)&gt;=main!$D$103+VLOOKUP(VLOOKUP(AI$1,main!$A$3:$I$102,7,FALSE),main!$K$26:$Q$29,3,FALSE),1,0)</f>
        <v>0</v>
      </c>
      <c r="AJ27">
        <f>IF(VLOOKUP(AJ$1,main!$A$3:$H$102,5,FALSE)-VLOOKUP($A27,main!$A$3:$H$102,6,FALSE)&gt;=main!$D$103+VLOOKUP(VLOOKUP(AJ$1,main!$A$3:$I$102,7,FALSE),main!$K$26:$Q$29,3,FALSE),1,0)</f>
        <v>0</v>
      </c>
      <c r="AK27">
        <f>IF(VLOOKUP(AK$1,main!$A$3:$H$102,5,FALSE)-VLOOKUP($A27,main!$A$3:$H$102,6,FALSE)&gt;=main!$D$103+VLOOKUP(VLOOKUP(AK$1,main!$A$3:$I$102,7,FALSE),main!$K$26:$Q$29,3,FALSE),1,0)</f>
        <v>0</v>
      </c>
      <c r="AL27">
        <f>IF(VLOOKUP(AL$1,main!$A$3:$H$102,5,FALSE)-VLOOKUP($A27,main!$A$3:$H$102,6,FALSE)&gt;=main!$D$103+VLOOKUP(VLOOKUP(AL$1,main!$A$3:$I$102,7,FALSE),main!$K$26:$Q$29,3,FALSE),1,0)</f>
        <v>0</v>
      </c>
      <c r="AM27">
        <f>IF(VLOOKUP(AM$1,main!$A$3:$H$102,5,FALSE)-VLOOKUP($A27,main!$A$3:$H$102,6,FALSE)&gt;=main!$D$103+VLOOKUP(VLOOKUP(AM$1,main!$A$3:$I$102,7,FALSE),main!$K$26:$Q$29,3,FALSE),1,0)</f>
        <v>0</v>
      </c>
      <c r="AN27">
        <f>IF(VLOOKUP(AN$1,main!$A$3:$H$102,5,FALSE)-VLOOKUP($A27,main!$A$3:$H$102,6,FALSE)&gt;=main!$D$103+VLOOKUP(VLOOKUP(AN$1,main!$A$3:$I$102,7,FALSE),main!$K$26:$Q$29,3,FALSE),1,0)</f>
        <v>0</v>
      </c>
      <c r="AO27">
        <f>IF(VLOOKUP(AO$1,main!$A$3:$H$102,5,FALSE)-VLOOKUP($A27,main!$A$3:$H$102,6,FALSE)&gt;=main!$D$103+VLOOKUP(VLOOKUP(AO$1,main!$A$3:$I$102,7,FALSE),main!$K$26:$Q$29,3,FALSE),1,0)</f>
        <v>0</v>
      </c>
      <c r="AP27">
        <f>IF(VLOOKUP(AP$1,main!$A$3:$H$102,5,FALSE)-VLOOKUP($A27,main!$A$3:$H$102,6,FALSE)&gt;=main!$D$103+VLOOKUP(VLOOKUP(AP$1,main!$A$3:$I$102,7,FALSE),main!$K$26:$Q$29,3,FALSE),1,0)</f>
        <v>0</v>
      </c>
      <c r="AQ27">
        <f>IF(VLOOKUP(AQ$1,main!$A$3:$H$102,5,FALSE)-VLOOKUP($A27,main!$A$3:$H$102,6,FALSE)&gt;=main!$D$103+VLOOKUP(VLOOKUP(AQ$1,main!$A$3:$I$102,7,FALSE),main!$K$26:$Q$29,3,FALSE),1,0)</f>
        <v>0</v>
      </c>
      <c r="AR27">
        <f>IF(VLOOKUP(AR$1,main!$A$3:$H$102,5,FALSE)-VLOOKUP($A27,main!$A$3:$H$102,6,FALSE)&gt;=main!$D$103+VLOOKUP(VLOOKUP(AR$1,main!$A$3:$I$102,7,FALSE),main!$K$26:$Q$29,3,FALSE),1,0)</f>
        <v>0</v>
      </c>
      <c r="AS27">
        <f>IF(VLOOKUP(AS$1,main!$A$3:$H$102,5,FALSE)-VLOOKUP($A27,main!$A$3:$H$102,6,FALSE)&gt;=main!$D$103+VLOOKUP(VLOOKUP(AS$1,main!$A$3:$I$102,7,FALSE),main!$K$26:$Q$29,3,FALSE),1,0)</f>
        <v>0</v>
      </c>
      <c r="AT27">
        <f>IF(VLOOKUP(AT$1,main!$A$3:$H$102,5,FALSE)-VLOOKUP($A27,main!$A$3:$H$102,6,FALSE)&gt;=main!$D$103+VLOOKUP(VLOOKUP(AT$1,main!$A$3:$I$102,7,FALSE),main!$K$26:$Q$29,3,FALSE),1,0)</f>
        <v>0</v>
      </c>
      <c r="AU27">
        <f>IF(VLOOKUP(AU$1,main!$A$3:$H$102,5,FALSE)-VLOOKUP($A27,main!$A$3:$H$102,6,FALSE)&gt;=main!$D$103+VLOOKUP(VLOOKUP(AU$1,main!$A$3:$I$102,7,FALSE),main!$K$26:$Q$29,3,FALSE),1,0)</f>
        <v>0</v>
      </c>
      <c r="AV27">
        <f>IF(VLOOKUP(AV$1,main!$A$3:$H$102,5,FALSE)-VLOOKUP($A27,main!$A$3:$H$102,6,FALSE)&gt;=main!$D$103+VLOOKUP(VLOOKUP(AV$1,main!$A$3:$I$102,7,FALSE),main!$K$26:$Q$29,3,FALSE),1,0)</f>
        <v>0</v>
      </c>
      <c r="AW27">
        <f>IF(VLOOKUP(AW$1,main!$A$3:$H$102,5,FALSE)-VLOOKUP($A27,main!$A$3:$H$102,6,FALSE)&gt;=main!$D$103+VLOOKUP(VLOOKUP(AW$1,main!$A$3:$I$102,7,FALSE),main!$K$26:$Q$29,3,FALSE),1,0)</f>
        <v>0</v>
      </c>
      <c r="AX27">
        <f>IF(VLOOKUP(AX$1,main!$A$3:$H$102,5,FALSE)-VLOOKUP($A27,main!$A$3:$H$102,6,FALSE)&gt;=main!$D$103+VLOOKUP(VLOOKUP(AX$1,main!$A$3:$I$102,7,FALSE),main!$K$26:$Q$29,3,FALSE),1,0)</f>
        <v>0</v>
      </c>
      <c r="AY27">
        <f>IF(VLOOKUP(AY$1,main!$A$3:$H$102,5,FALSE)-VLOOKUP($A27,main!$A$3:$H$102,6,FALSE)&gt;=main!$D$103+VLOOKUP(VLOOKUP(AY$1,main!$A$3:$I$102,7,FALSE),main!$K$26:$Q$29,3,FALSE),1,0)</f>
        <v>0</v>
      </c>
      <c r="AZ27">
        <f>IF(VLOOKUP(AZ$1,main!$A$3:$H$102,5,FALSE)-VLOOKUP($A27,main!$A$3:$H$102,6,FALSE)&gt;=main!$D$103+VLOOKUP(VLOOKUP(AZ$1,main!$A$3:$I$102,7,FALSE),main!$K$26:$Q$29,3,FALSE),1,0)</f>
        <v>0</v>
      </c>
      <c r="BA27">
        <f>IF(VLOOKUP(BA$1,main!$A$3:$H$102,5,FALSE)-VLOOKUP($A27,main!$A$3:$H$102,6,FALSE)&gt;=main!$D$103+VLOOKUP(VLOOKUP(BA$1,main!$A$3:$I$102,7,FALSE),main!$K$26:$Q$29,3,FALSE),1,0)</f>
        <v>0</v>
      </c>
      <c r="BB27">
        <f>IF(VLOOKUP(BB$1,main!$A$3:$H$102,5,FALSE)-VLOOKUP($A27,main!$A$3:$H$102,6,FALSE)&gt;=main!$D$103+VLOOKUP(VLOOKUP(BB$1,main!$A$3:$I$102,7,FALSE),main!$K$26:$Q$29,3,FALSE),1,0)</f>
        <v>0</v>
      </c>
      <c r="BC27">
        <f>IF(VLOOKUP(BC$1,main!$A$3:$H$102,5,FALSE)-VLOOKUP($A27,main!$A$3:$H$102,6,FALSE)&gt;=main!$D$103+VLOOKUP(VLOOKUP(BC$1,main!$A$3:$I$102,7,FALSE),main!$K$26:$Q$29,3,FALSE),1,0)</f>
        <v>0</v>
      </c>
      <c r="BD27">
        <f>IF(VLOOKUP(BD$1,main!$A$3:$H$102,5,FALSE)-VLOOKUP($A27,main!$A$3:$H$102,6,FALSE)&gt;=main!$D$103+VLOOKUP(VLOOKUP(BD$1,main!$A$3:$I$102,7,FALSE),main!$K$26:$Q$29,3,FALSE),1,0)</f>
        <v>0</v>
      </c>
      <c r="BE27">
        <f>IF(VLOOKUP(BE$1,main!$A$3:$H$102,5,FALSE)-VLOOKUP($A27,main!$A$3:$H$102,6,FALSE)&gt;=main!$D$103+VLOOKUP(VLOOKUP(BE$1,main!$A$3:$I$102,7,FALSE),main!$K$26:$Q$29,3,FALSE),1,0)</f>
        <v>0</v>
      </c>
      <c r="BF27">
        <f>IF(VLOOKUP(BF$1,main!$A$3:$H$102,5,FALSE)-VLOOKUP($A27,main!$A$3:$H$102,6,FALSE)&gt;=main!$D$103+VLOOKUP(VLOOKUP(BF$1,main!$A$3:$I$102,7,FALSE),main!$K$26:$Q$29,3,FALSE),1,0)</f>
        <v>0</v>
      </c>
      <c r="BG27">
        <f>IF(VLOOKUP(BG$1,main!$A$3:$H$102,5,FALSE)-VLOOKUP($A27,main!$A$3:$H$102,6,FALSE)&gt;=main!$D$103+VLOOKUP(VLOOKUP(BG$1,main!$A$3:$I$102,7,FALSE),main!$K$26:$Q$29,3,FALSE),1,0)</f>
        <v>0</v>
      </c>
      <c r="BH27">
        <f>IF(VLOOKUP(BH$1,main!$A$3:$H$102,5,FALSE)-VLOOKUP($A27,main!$A$3:$H$102,6,FALSE)&gt;=main!$D$103+VLOOKUP(VLOOKUP(BH$1,main!$A$3:$I$102,7,FALSE),main!$K$26:$Q$29,3,FALSE),1,0)</f>
        <v>0</v>
      </c>
      <c r="BI27">
        <f>IF(VLOOKUP(BI$1,main!$A$3:$H$102,5,FALSE)-VLOOKUP($A27,main!$A$3:$H$102,6,FALSE)&gt;=main!$D$103+VLOOKUP(VLOOKUP(BI$1,main!$A$3:$I$102,7,FALSE),main!$K$26:$Q$29,3,FALSE),1,0)</f>
        <v>0</v>
      </c>
      <c r="BJ27">
        <f>IF(VLOOKUP(BJ$1,main!$A$3:$H$102,5,FALSE)-VLOOKUP($A27,main!$A$3:$H$102,6,FALSE)&gt;=main!$D$103+VLOOKUP(VLOOKUP(BJ$1,main!$A$3:$I$102,7,FALSE),main!$K$26:$Q$29,3,FALSE),1,0)</f>
        <v>0</v>
      </c>
      <c r="BK27">
        <f>IF(VLOOKUP(BK$1,main!$A$3:$H$102,5,FALSE)-VLOOKUP($A27,main!$A$3:$H$102,6,FALSE)&gt;=main!$D$103+VLOOKUP(VLOOKUP(BK$1,main!$A$3:$I$102,7,FALSE),main!$K$26:$Q$29,3,FALSE),1,0)</f>
        <v>0</v>
      </c>
      <c r="BL27">
        <f>IF(VLOOKUP(BL$1,main!$A$3:$H$102,5,FALSE)-VLOOKUP($A27,main!$A$3:$H$102,6,FALSE)&gt;=main!$D$103+VLOOKUP(VLOOKUP(BL$1,main!$A$3:$I$102,7,FALSE),main!$K$26:$Q$29,3,FALSE),1,0)</f>
        <v>0</v>
      </c>
      <c r="BM27">
        <f>IF(VLOOKUP(BM$1,main!$A$3:$H$102,5,FALSE)-VLOOKUP($A27,main!$A$3:$H$102,6,FALSE)&gt;=main!$D$103+VLOOKUP(VLOOKUP(BM$1,main!$A$3:$I$102,7,FALSE),main!$K$26:$Q$29,3,FALSE),1,0)</f>
        <v>0</v>
      </c>
      <c r="BN27">
        <f>IF(VLOOKUP(BN$1,main!$A$3:$H$102,5,FALSE)-VLOOKUP($A27,main!$A$3:$H$102,6,FALSE)&gt;=main!$D$103+VLOOKUP(VLOOKUP(BN$1,main!$A$3:$I$102,7,FALSE),main!$K$26:$Q$29,3,FALSE),1,0)</f>
        <v>0</v>
      </c>
      <c r="BO27">
        <f>IF(VLOOKUP(BO$1,main!$A$3:$H$102,5,FALSE)-VLOOKUP($A27,main!$A$3:$H$102,6,FALSE)&gt;=main!$D$103+VLOOKUP(VLOOKUP(BO$1,main!$A$3:$I$102,7,FALSE),main!$K$26:$Q$29,3,FALSE),1,0)</f>
        <v>0</v>
      </c>
      <c r="BP27">
        <f>IF(VLOOKUP(BP$1,main!$A$3:$H$102,5,FALSE)-VLOOKUP($A27,main!$A$3:$H$102,6,FALSE)&gt;=main!$D$103+VLOOKUP(VLOOKUP(BP$1,main!$A$3:$I$102,7,FALSE),main!$K$26:$Q$29,3,FALSE),1,0)</f>
        <v>0</v>
      </c>
      <c r="BQ27">
        <f>IF(VLOOKUP(BQ$1,main!$A$3:$H$102,5,FALSE)-VLOOKUP($A27,main!$A$3:$H$102,6,FALSE)&gt;=main!$D$103+VLOOKUP(VLOOKUP(BQ$1,main!$A$3:$I$102,7,FALSE),main!$K$26:$Q$29,3,FALSE),1,0)</f>
        <v>0</v>
      </c>
      <c r="BR27">
        <f>IF(VLOOKUP(BR$1,main!$A$3:$H$102,5,FALSE)-VLOOKUP($A27,main!$A$3:$H$102,6,FALSE)&gt;=main!$D$103+VLOOKUP(VLOOKUP(BR$1,main!$A$3:$I$102,7,FALSE),main!$K$26:$Q$29,3,FALSE),1,0)</f>
        <v>0</v>
      </c>
      <c r="BS27">
        <f>IF(VLOOKUP(BS$1,main!$A$3:$H$102,5,FALSE)-VLOOKUP($A27,main!$A$3:$H$102,6,FALSE)&gt;=main!$D$103+VLOOKUP(VLOOKUP(BS$1,main!$A$3:$I$102,7,FALSE),main!$K$26:$Q$29,3,FALSE),1,0)</f>
        <v>0</v>
      </c>
      <c r="BT27">
        <f>IF(VLOOKUP(BT$1,main!$A$3:$H$102,5,FALSE)-VLOOKUP($A27,main!$A$3:$H$102,6,FALSE)&gt;=main!$D$103+VLOOKUP(VLOOKUP(BT$1,main!$A$3:$I$102,7,FALSE),main!$K$26:$Q$29,3,FALSE),1,0)</f>
        <v>0</v>
      </c>
      <c r="BU27">
        <f>IF(VLOOKUP(BU$1,main!$A$3:$H$102,5,FALSE)-VLOOKUP($A27,main!$A$3:$H$102,6,FALSE)&gt;=main!$D$103+VLOOKUP(VLOOKUP(BU$1,main!$A$3:$I$102,7,FALSE),main!$K$26:$Q$29,3,FALSE),1,0)</f>
        <v>0</v>
      </c>
      <c r="BV27">
        <f>IF(VLOOKUP(BV$1,main!$A$3:$H$102,5,FALSE)-VLOOKUP($A27,main!$A$3:$H$102,6,FALSE)&gt;=main!$D$103+VLOOKUP(VLOOKUP(BV$1,main!$A$3:$I$102,7,FALSE),main!$K$26:$Q$29,3,FALSE),1,0)</f>
        <v>0</v>
      </c>
      <c r="BW27">
        <f>IF(VLOOKUP(BW$1,main!$A$3:$H$102,5,FALSE)-VLOOKUP($A27,main!$A$3:$H$102,6,FALSE)&gt;=main!$D$103+VLOOKUP(VLOOKUP(BW$1,main!$A$3:$I$102,7,FALSE),main!$K$26:$Q$29,3,FALSE),1,0)</f>
        <v>0</v>
      </c>
      <c r="BX27">
        <f>IF(VLOOKUP(BX$1,main!$A$3:$H$102,5,FALSE)-VLOOKUP($A27,main!$A$3:$H$102,6,FALSE)&gt;=main!$D$103+VLOOKUP(VLOOKUP(BX$1,main!$A$3:$I$102,7,FALSE),main!$K$26:$Q$29,3,FALSE),1,0)</f>
        <v>0</v>
      </c>
      <c r="BY27">
        <f>IF(VLOOKUP(BY$1,main!$A$3:$H$102,5,FALSE)-VLOOKUP($A27,main!$A$3:$H$102,6,FALSE)&gt;=main!$D$103+VLOOKUP(VLOOKUP(BY$1,main!$A$3:$I$102,7,FALSE),main!$K$26:$Q$29,3,FALSE),1,0)</f>
        <v>0</v>
      </c>
      <c r="BZ27">
        <f>IF(VLOOKUP(BZ$1,main!$A$3:$H$102,5,FALSE)-VLOOKUP($A27,main!$A$3:$H$102,6,FALSE)&gt;=main!$D$103+VLOOKUP(VLOOKUP(BZ$1,main!$A$3:$I$102,7,FALSE),main!$K$26:$Q$29,3,FALSE),1,0)</f>
        <v>0</v>
      </c>
      <c r="CA27">
        <f>IF(VLOOKUP(CA$1,main!$A$3:$H$102,5,FALSE)-VLOOKUP($A27,main!$A$3:$H$102,6,FALSE)&gt;=main!$D$103+VLOOKUP(VLOOKUP(CA$1,main!$A$3:$I$102,7,FALSE),main!$K$26:$Q$29,3,FALSE),1,0)</f>
        <v>0</v>
      </c>
      <c r="CB27">
        <f>IF(VLOOKUP(CB$1,main!$A$3:$H$102,5,FALSE)-VLOOKUP($A27,main!$A$3:$H$102,6,FALSE)&gt;=main!$D$103+VLOOKUP(VLOOKUP(CB$1,main!$A$3:$I$102,7,FALSE),main!$K$26:$Q$29,3,FALSE),1,0)</f>
        <v>0</v>
      </c>
      <c r="CC27">
        <f>IF(VLOOKUP(CC$1,main!$A$3:$H$102,5,FALSE)-VLOOKUP($A27,main!$A$3:$H$102,6,FALSE)&gt;=main!$D$103+VLOOKUP(VLOOKUP(CC$1,main!$A$3:$I$102,7,FALSE),main!$K$26:$Q$29,3,FALSE),1,0)</f>
        <v>0</v>
      </c>
      <c r="CD27">
        <f>IF(VLOOKUP(CD$1,main!$A$3:$H$102,5,FALSE)-VLOOKUP($A27,main!$A$3:$H$102,6,FALSE)&gt;=main!$D$103+VLOOKUP(VLOOKUP(CD$1,main!$A$3:$I$102,7,FALSE),main!$K$26:$Q$29,3,FALSE),1,0)</f>
        <v>0</v>
      </c>
      <c r="CE27">
        <f>IF(VLOOKUP(CE$1,main!$A$3:$H$102,5,FALSE)-VLOOKUP($A27,main!$A$3:$H$102,6,FALSE)&gt;=main!$D$103+VLOOKUP(VLOOKUP(CE$1,main!$A$3:$I$102,7,FALSE),main!$K$26:$Q$29,3,FALSE),1,0)</f>
        <v>0</v>
      </c>
      <c r="CF27">
        <f>IF(VLOOKUP(CF$1,main!$A$3:$H$102,5,FALSE)-VLOOKUP($A27,main!$A$3:$H$102,6,FALSE)&gt;=main!$D$103+VLOOKUP(VLOOKUP(CF$1,main!$A$3:$I$102,7,FALSE),main!$K$26:$Q$29,3,FALSE),1,0)</f>
        <v>0</v>
      </c>
      <c r="CG27">
        <f>IF(VLOOKUP(CG$1,main!$A$3:$H$102,5,FALSE)-VLOOKUP($A27,main!$A$3:$H$102,6,FALSE)&gt;=main!$D$103+VLOOKUP(VLOOKUP(CG$1,main!$A$3:$I$102,7,FALSE),main!$K$26:$Q$29,3,FALSE),1,0)</f>
        <v>0</v>
      </c>
      <c r="CH27">
        <f>IF(VLOOKUP(CH$1,main!$A$3:$H$102,5,FALSE)-VLOOKUP($A27,main!$A$3:$H$102,6,FALSE)&gt;=main!$D$103+VLOOKUP(VLOOKUP(CH$1,main!$A$3:$I$102,7,FALSE),main!$K$26:$Q$29,3,FALSE),1,0)</f>
        <v>0</v>
      </c>
      <c r="CI27">
        <f>IF(VLOOKUP(CI$1,main!$A$3:$H$102,5,FALSE)-VLOOKUP($A27,main!$A$3:$H$102,6,FALSE)&gt;=main!$D$103+VLOOKUP(VLOOKUP(CI$1,main!$A$3:$I$102,7,FALSE),main!$K$26:$Q$29,3,FALSE),1,0)</f>
        <v>0</v>
      </c>
      <c r="CJ27">
        <f>IF(VLOOKUP(CJ$1,main!$A$3:$H$102,5,FALSE)-VLOOKUP($A27,main!$A$3:$H$102,6,FALSE)&gt;=main!$D$103+VLOOKUP(VLOOKUP(CJ$1,main!$A$3:$I$102,7,FALSE),main!$K$26:$Q$29,3,FALSE),1,0)</f>
        <v>0</v>
      </c>
      <c r="CK27">
        <f>IF(VLOOKUP(CK$1,main!$A$3:$H$102,5,FALSE)-VLOOKUP($A27,main!$A$3:$H$102,6,FALSE)&gt;=main!$D$103+VLOOKUP(VLOOKUP(CK$1,main!$A$3:$I$102,7,FALSE),main!$K$26:$Q$29,3,FALSE),1,0)</f>
        <v>0</v>
      </c>
      <c r="CL27">
        <f>IF(VLOOKUP(CL$1,main!$A$3:$H$102,5,FALSE)-VLOOKUP($A27,main!$A$3:$H$102,6,FALSE)&gt;=main!$D$103+VLOOKUP(VLOOKUP(CL$1,main!$A$3:$I$102,7,FALSE),main!$K$26:$Q$29,3,FALSE),1,0)</f>
        <v>0</v>
      </c>
      <c r="CM27">
        <f>IF(VLOOKUP(CM$1,main!$A$3:$H$102,5,FALSE)-VLOOKUP($A27,main!$A$3:$H$102,6,FALSE)&gt;=main!$D$103+VLOOKUP(VLOOKUP(CM$1,main!$A$3:$I$102,7,FALSE),main!$K$26:$Q$29,3,FALSE),1,0)</f>
        <v>0</v>
      </c>
      <c r="CN27">
        <f>IF(VLOOKUP(CN$1,main!$A$3:$H$102,5,FALSE)-VLOOKUP($A27,main!$A$3:$H$102,6,FALSE)&gt;=main!$D$103+VLOOKUP(VLOOKUP(CN$1,main!$A$3:$I$102,7,FALSE),main!$K$26:$Q$29,3,FALSE),1,0)</f>
        <v>0</v>
      </c>
      <c r="CO27">
        <f>IF(VLOOKUP(CO$1,main!$A$3:$H$102,5,FALSE)-VLOOKUP($A27,main!$A$3:$H$102,6,FALSE)&gt;=main!$D$103+VLOOKUP(VLOOKUP(CO$1,main!$A$3:$I$102,7,FALSE),main!$K$26:$Q$29,3,FALSE),1,0)</f>
        <v>0</v>
      </c>
      <c r="CP27">
        <f>IF(VLOOKUP(CP$1,main!$A$3:$H$102,5,FALSE)-VLOOKUP($A27,main!$A$3:$H$102,6,FALSE)&gt;=main!$D$103+VLOOKUP(VLOOKUP(CP$1,main!$A$3:$I$102,7,FALSE),main!$K$26:$Q$29,3,FALSE),1,0)</f>
        <v>0</v>
      </c>
      <c r="CQ27">
        <f>IF(VLOOKUP(CQ$1,main!$A$3:$H$102,5,FALSE)-VLOOKUP($A27,main!$A$3:$H$102,6,FALSE)&gt;=main!$D$103+VLOOKUP(VLOOKUP(CQ$1,main!$A$3:$I$102,7,FALSE),main!$K$26:$Q$29,3,FALSE),1,0)</f>
        <v>0</v>
      </c>
      <c r="CR27">
        <f>IF(VLOOKUP(CR$1,main!$A$3:$H$102,5,FALSE)-VLOOKUP($A27,main!$A$3:$H$102,6,FALSE)&gt;=main!$D$103+VLOOKUP(VLOOKUP(CR$1,main!$A$3:$I$102,7,FALSE),main!$K$26:$Q$29,3,FALSE),1,0)</f>
        <v>0</v>
      </c>
      <c r="CS27">
        <f>IF(VLOOKUP(CS$1,main!$A$3:$H$102,5,FALSE)-VLOOKUP($A27,main!$A$3:$H$102,6,FALSE)&gt;=main!$D$103+VLOOKUP(VLOOKUP(CS$1,main!$A$3:$I$102,7,FALSE),main!$K$26:$Q$29,3,FALSE),1,0)</f>
        <v>0</v>
      </c>
      <c r="CT27">
        <f>IF(VLOOKUP(CT$1,main!$A$3:$H$102,5,FALSE)-VLOOKUP($A27,main!$A$3:$H$102,6,FALSE)&gt;=main!$D$103+VLOOKUP(VLOOKUP(CT$1,main!$A$3:$I$102,7,FALSE),main!$K$26:$Q$29,3,FALSE),1,0)</f>
        <v>0</v>
      </c>
      <c r="CU27">
        <f>IF(VLOOKUP(CU$1,main!$A$3:$H$102,5,FALSE)-VLOOKUP($A27,main!$A$3:$H$102,6,FALSE)&gt;=main!$D$103+VLOOKUP(VLOOKUP(CU$1,main!$A$3:$I$102,7,FALSE),main!$K$26:$Q$29,3,FALSE),1,0)</f>
        <v>0</v>
      </c>
      <c r="CV27">
        <f>IF(VLOOKUP(CV$1,main!$A$3:$H$102,5,FALSE)-VLOOKUP($A27,main!$A$3:$H$102,6,FALSE)&gt;=main!$D$103+VLOOKUP(VLOOKUP(CV$1,main!$A$3:$I$102,7,FALSE),main!$K$26:$Q$29,3,FALSE),1,0)</f>
        <v>0</v>
      </c>
      <c r="CW27">
        <f>IF(VLOOKUP(CW$1,main!$A$3:$H$102,5,FALSE)-VLOOKUP($A27,main!$A$3:$H$102,6,FALSE)&gt;=main!$D$103+VLOOKUP(VLOOKUP(CW$1,main!$A$3:$I$102,7,FALSE),main!$K$26:$Q$29,3,FALSE),1,0)</f>
        <v>0</v>
      </c>
      <c r="CX27">
        <f>IF(VLOOKUP(CX$1,main!$A$3:$H$102,5,FALSE)-VLOOKUP($A27,main!$A$3:$H$102,6,FALSE)&gt;=main!$D$103+VLOOKUP(VLOOKUP(CX$1,main!$A$3:$I$102,7,FALSE),main!$K$26:$Q$29,3,FALSE),1,0)</f>
        <v>0</v>
      </c>
    </row>
    <row r="28" spans="1:104" x14ac:dyDescent="0.25">
      <c r="A28" s="1">
        <v>26</v>
      </c>
      <c r="B28">
        <v>0</v>
      </c>
      <c r="C28">
        <f>IF(VLOOKUP(C$1,main!$A$3:$H$102,5,FALSE)-VLOOKUP($A28,main!$A$3:$H$102,6,FALSE)&gt;=main!$D$103+VLOOKUP(VLOOKUP(C$1,main!$A$3:$I$102,7,FALSE),main!$K$26:$Q$29,3,FALSE),1,0)</f>
        <v>0</v>
      </c>
      <c r="D28">
        <f>IF(VLOOKUP(D$1,main!$A$3:$H$102,5,FALSE)-VLOOKUP($A28,main!$A$3:$H$102,6,FALSE)&gt;=main!$D$103+VLOOKUP(VLOOKUP(D$1,main!$A$3:$I$102,7,FALSE),main!$K$26:$Q$29,3,FALSE),1,0)</f>
        <v>0</v>
      </c>
      <c r="E28">
        <f>IF(VLOOKUP(E$1,main!$A$3:$H$102,5,FALSE)-VLOOKUP($A28,main!$A$3:$H$102,6,FALSE)&gt;=main!$D$103+VLOOKUP(VLOOKUP(E$1,main!$A$3:$I$102,7,FALSE),main!$K$26:$Q$29,3,FALSE),1,0)</f>
        <v>1</v>
      </c>
      <c r="F28">
        <f>IF(VLOOKUP(F$1,main!$A$3:$H$102,5,FALSE)-VLOOKUP($A28,main!$A$3:$H$102,6,FALSE)&gt;=main!$D$103+VLOOKUP(VLOOKUP(F$1,main!$A$3:$I$102,7,FALSE),main!$K$26:$Q$29,3,FALSE),1,0)</f>
        <v>1</v>
      </c>
      <c r="G28">
        <f>IF(VLOOKUP(G$1,main!$A$3:$H$102,5,FALSE)-VLOOKUP($A28,main!$A$3:$H$102,6,FALSE)&gt;=main!$D$103+VLOOKUP(VLOOKUP(G$1,main!$A$3:$I$102,7,FALSE),main!$K$26:$Q$29,3,FALSE),1,0)</f>
        <v>1</v>
      </c>
      <c r="H28">
        <f>IF(VLOOKUP(H$1,main!$A$3:$H$102,5,FALSE)-VLOOKUP($A28,main!$A$3:$H$102,6,FALSE)&gt;=main!$D$103+VLOOKUP(VLOOKUP(H$1,main!$A$3:$I$102,7,FALSE),main!$K$26:$Q$29,3,FALSE),1,0)</f>
        <v>1</v>
      </c>
      <c r="I28">
        <f>IF(VLOOKUP(I$1,main!$A$3:$H$102,5,FALSE)-VLOOKUP($A28,main!$A$3:$H$102,6,FALSE)&gt;=main!$D$103+VLOOKUP(VLOOKUP(I$1,main!$A$3:$I$102,7,FALSE),main!$K$26:$Q$29,3,FALSE),1,0)</f>
        <v>1</v>
      </c>
      <c r="J28">
        <f>IF(VLOOKUP(J$1,main!$A$3:$H$102,5,FALSE)-VLOOKUP($A28,main!$A$3:$H$102,6,FALSE)&gt;=main!$D$103+VLOOKUP(VLOOKUP(J$1,main!$A$3:$I$102,7,FALSE),main!$K$26:$Q$29,3,FALSE),1,0)</f>
        <v>1</v>
      </c>
      <c r="K28">
        <f>IF(VLOOKUP(K$1,main!$A$3:$H$102,5,FALSE)-VLOOKUP($A28,main!$A$3:$H$102,6,FALSE)&gt;=main!$D$103+VLOOKUP(VLOOKUP(K$1,main!$A$3:$I$102,7,FALSE),main!$K$26:$Q$29,3,FALSE),1,0)</f>
        <v>1</v>
      </c>
      <c r="L28">
        <f>IF(VLOOKUP(L$1,main!$A$3:$H$102,5,FALSE)-VLOOKUP($A28,main!$A$3:$H$102,6,FALSE)&gt;=main!$D$103+VLOOKUP(VLOOKUP(L$1,main!$A$3:$I$102,7,FALSE),main!$K$26:$Q$29,3,FALSE),1,0)</f>
        <v>1</v>
      </c>
      <c r="M28">
        <f>IF(VLOOKUP(M$1,main!$A$3:$H$102,5,FALSE)-VLOOKUP($A28,main!$A$3:$H$102,6,FALSE)&gt;=main!$D$103+VLOOKUP(VLOOKUP(M$1,main!$A$3:$I$102,7,FALSE),main!$K$26:$Q$29,3,FALSE),1,0)</f>
        <v>0</v>
      </c>
      <c r="N28">
        <f>IF(VLOOKUP(N$1,main!$A$3:$H$102,5,FALSE)-VLOOKUP($A28,main!$A$3:$H$102,6,FALSE)&gt;=main!$D$103+VLOOKUP(VLOOKUP(N$1,main!$A$3:$I$102,7,FALSE),main!$K$26:$Q$29,3,FALSE),1,0)</f>
        <v>0</v>
      </c>
      <c r="O28">
        <f>IF(VLOOKUP(O$1,main!$A$3:$H$102,5,FALSE)-VLOOKUP($A28,main!$A$3:$H$102,6,FALSE)&gt;=main!$D$103+VLOOKUP(VLOOKUP(O$1,main!$A$3:$I$102,7,FALSE),main!$K$26:$Q$29,3,FALSE),1,0)</f>
        <v>0</v>
      </c>
      <c r="P28">
        <f>IF(VLOOKUP(P$1,main!$A$3:$H$102,5,FALSE)-VLOOKUP($A28,main!$A$3:$H$102,6,FALSE)&gt;=main!$D$103+VLOOKUP(VLOOKUP(P$1,main!$A$3:$I$102,7,FALSE),main!$K$26:$Q$29,3,FALSE),1,0)</f>
        <v>0</v>
      </c>
      <c r="Q28">
        <f>IF(VLOOKUP(Q$1,main!$A$3:$H$102,5,FALSE)-VLOOKUP($A28,main!$A$3:$H$102,6,FALSE)&gt;=main!$D$103+VLOOKUP(VLOOKUP(Q$1,main!$A$3:$I$102,7,FALSE),main!$K$26:$Q$29,3,FALSE),1,0)</f>
        <v>1</v>
      </c>
      <c r="R28">
        <f>IF(VLOOKUP(R$1,main!$A$3:$H$102,5,FALSE)-VLOOKUP($A28,main!$A$3:$H$102,6,FALSE)&gt;=main!$D$103+VLOOKUP(VLOOKUP(R$1,main!$A$3:$I$102,7,FALSE),main!$K$26:$Q$29,3,FALSE),1,0)</f>
        <v>1</v>
      </c>
      <c r="S28">
        <f>IF(VLOOKUP(S$1,main!$A$3:$H$102,5,FALSE)-VLOOKUP($A28,main!$A$3:$H$102,6,FALSE)&gt;=main!$D$103+VLOOKUP(VLOOKUP(S$1,main!$A$3:$I$102,7,FALSE),main!$K$26:$Q$29,3,FALSE),1,0)</f>
        <v>1</v>
      </c>
      <c r="T28">
        <f>IF(VLOOKUP(T$1,main!$A$3:$H$102,5,FALSE)-VLOOKUP($A28,main!$A$3:$H$102,6,FALSE)&gt;=main!$D$103+VLOOKUP(VLOOKUP(T$1,main!$A$3:$I$102,7,FALSE),main!$K$26:$Q$29,3,FALSE),1,0)</f>
        <v>1</v>
      </c>
      <c r="U28">
        <f>IF(VLOOKUP(U$1,main!$A$3:$H$102,5,FALSE)-VLOOKUP($A28,main!$A$3:$H$102,6,FALSE)&gt;=main!$D$103+VLOOKUP(VLOOKUP(U$1,main!$A$3:$I$102,7,FALSE),main!$K$26:$Q$29,3,FALSE),1,0)</f>
        <v>1</v>
      </c>
      <c r="V28">
        <f>IF(VLOOKUP(V$1,main!$A$3:$H$102,5,FALSE)-VLOOKUP($A28,main!$A$3:$H$102,6,FALSE)&gt;=main!$D$103+VLOOKUP(VLOOKUP(V$1,main!$A$3:$I$102,7,FALSE),main!$K$26:$Q$29,3,FALSE),1,0)</f>
        <v>1</v>
      </c>
      <c r="W28">
        <f>IF(VLOOKUP(W$1,main!$A$3:$H$102,5,FALSE)-VLOOKUP($A28,main!$A$3:$H$102,6,FALSE)&gt;=main!$D$103+VLOOKUP(VLOOKUP(W$1,main!$A$3:$I$102,7,FALSE),main!$K$26:$Q$29,3,FALSE),1,0)</f>
        <v>0</v>
      </c>
      <c r="X28">
        <f>IF(VLOOKUP(X$1,main!$A$3:$H$102,5,FALSE)-VLOOKUP($A28,main!$A$3:$H$102,6,FALSE)&gt;=main!$D$103+VLOOKUP(VLOOKUP(X$1,main!$A$3:$I$102,7,FALSE),main!$K$26:$Q$29,3,FALSE),1,0)</f>
        <v>0</v>
      </c>
      <c r="Y28">
        <f>IF(VLOOKUP(Y$1,main!$A$3:$H$102,5,FALSE)-VLOOKUP($A28,main!$A$3:$H$102,6,FALSE)&gt;=main!$D$103+VLOOKUP(VLOOKUP(Y$1,main!$A$3:$I$102,7,FALSE),main!$K$26:$Q$29,3,FALSE),1,0)</f>
        <v>1</v>
      </c>
      <c r="Z28">
        <f>IF(VLOOKUP(Z$1,main!$A$3:$H$102,5,FALSE)-VLOOKUP($A28,main!$A$3:$H$102,6,FALSE)&gt;=main!$D$103+VLOOKUP(VLOOKUP(Z$1,main!$A$3:$I$102,7,FALSE),main!$K$26:$Q$29,3,FALSE),1,0)</f>
        <v>1</v>
      </c>
      <c r="AA28">
        <f>IF(VLOOKUP(AA$1,main!$A$3:$H$102,5,FALSE)-VLOOKUP($A28,main!$A$3:$H$102,6,FALSE)&gt;=main!$D$103+VLOOKUP(VLOOKUP(AA$1,main!$A$3:$I$102,7,FALSE),main!$K$26:$Q$29,3,FALSE),1,0)</f>
        <v>1</v>
      </c>
      <c r="AB28">
        <f>IF(VLOOKUP(AB$1,main!$A$3:$H$102,5,FALSE)-VLOOKUP($A28,main!$A$3:$H$102,6,FALSE)&gt;=main!$D$103+VLOOKUP(VLOOKUP(AB$1,main!$A$3:$I$102,7,FALSE),main!$K$26:$Q$29,3,FALSE),1,0)</f>
        <v>0</v>
      </c>
      <c r="AC28">
        <f>IF(VLOOKUP(AC$1,main!$A$3:$H$102,5,FALSE)-VLOOKUP($A28,main!$A$3:$H$102,6,FALSE)&gt;=main!$D$103+VLOOKUP(VLOOKUP(AC$1,main!$A$3:$I$102,7,FALSE),main!$K$26:$Q$29,3,FALSE),1,0)</f>
        <v>0</v>
      </c>
      <c r="AD28">
        <f>IF(VLOOKUP(AD$1,main!$A$3:$H$102,5,FALSE)-VLOOKUP($A28,main!$A$3:$H$102,6,FALSE)&gt;=main!$D$103+VLOOKUP(VLOOKUP(AD$1,main!$A$3:$I$102,7,FALSE),main!$K$26:$Q$29,3,FALSE),1,0)</f>
        <v>1</v>
      </c>
      <c r="AE28">
        <f>IF(VLOOKUP(AE$1,main!$A$3:$H$102,5,FALSE)-VLOOKUP($A28,main!$A$3:$H$102,6,FALSE)&gt;=main!$D$103+VLOOKUP(VLOOKUP(AE$1,main!$A$3:$I$102,7,FALSE),main!$K$26:$Q$29,3,FALSE),1,0)</f>
        <v>1</v>
      </c>
      <c r="AF28">
        <f>IF(VLOOKUP(AF$1,main!$A$3:$H$102,5,FALSE)-VLOOKUP($A28,main!$A$3:$H$102,6,FALSE)&gt;=main!$D$103+VLOOKUP(VLOOKUP(AF$1,main!$A$3:$I$102,7,FALSE),main!$K$26:$Q$29,3,FALSE),1,0)</f>
        <v>1</v>
      </c>
      <c r="AG28">
        <f>IF(VLOOKUP(AG$1,main!$A$3:$H$102,5,FALSE)-VLOOKUP($A28,main!$A$3:$H$102,6,FALSE)&gt;=main!$D$103+VLOOKUP(VLOOKUP(AG$1,main!$A$3:$I$102,7,FALSE),main!$K$26:$Q$29,3,FALSE),1,0)</f>
        <v>0</v>
      </c>
      <c r="AH28">
        <f>IF(VLOOKUP(AH$1,main!$A$3:$H$102,5,FALSE)-VLOOKUP($A28,main!$A$3:$H$102,6,FALSE)&gt;=main!$D$103+VLOOKUP(VLOOKUP(AH$1,main!$A$3:$I$102,7,FALSE),main!$K$26:$Q$29,3,FALSE),1,0)</f>
        <v>0</v>
      </c>
      <c r="AI28">
        <f>IF(VLOOKUP(AI$1,main!$A$3:$H$102,5,FALSE)-VLOOKUP($A28,main!$A$3:$H$102,6,FALSE)&gt;=main!$D$103+VLOOKUP(VLOOKUP(AI$1,main!$A$3:$I$102,7,FALSE),main!$K$26:$Q$29,3,FALSE),1,0)</f>
        <v>1</v>
      </c>
      <c r="AJ28">
        <f>IF(VLOOKUP(AJ$1,main!$A$3:$H$102,5,FALSE)-VLOOKUP($A28,main!$A$3:$H$102,6,FALSE)&gt;=main!$D$103+VLOOKUP(VLOOKUP(AJ$1,main!$A$3:$I$102,7,FALSE),main!$K$26:$Q$29,3,FALSE),1,0)</f>
        <v>1</v>
      </c>
      <c r="AK28">
        <f>IF(VLOOKUP(AK$1,main!$A$3:$H$102,5,FALSE)-VLOOKUP($A28,main!$A$3:$H$102,6,FALSE)&gt;=main!$D$103+VLOOKUP(VLOOKUP(AK$1,main!$A$3:$I$102,7,FALSE),main!$K$26:$Q$29,3,FALSE),1,0)</f>
        <v>1</v>
      </c>
      <c r="AL28">
        <f>IF(VLOOKUP(AL$1,main!$A$3:$H$102,5,FALSE)-VLOOKUP($A28,main!$A$3:$H$102,6,FALSE)&gt;=main!$D$103+VLOOKUP(VLOOKUP(AL$1,main!$A$3:$I$102,7,FALSE),main!$K$26:$Q$29,3,FALSE),1,0)</f>
        <v>1</v>
      </c>
      <c r="AM28">
        <f>IF(VLOOKUP(AM$1,main!$A$3:$H$102,5,FALSE)-VLOOKUP($A28,main!$A$3:$H$102,6,FALSE)&gt;=main!$D$103+VLOOKUP(VLOOKUP(AM$1,main!$A$3:$I$102,7,FALSE),main!$K$26:$Q$29,3,FALSE),1,0)</f>
        <v>1</v>
      </c>
      <c r="AN28">
        <f>IF(VLOOKUP(AN$1,main!$A$3:$H$102,5,FALSE)-VLOOKUP($A28,main!$A$3:$H$102,6,FALSE)&gt;=main!$D$103+VLOOKUP(VLOOKUP(AN$1,main!$A$3:$I$102,7,FALSE),main!$K$26:$Q$29,3,FALSE),1,0)</f>
        <v>1</v>
      </c>
      <c r="AO28">
        <f>IF(VLOOKUP(AO$1,main!$A$3:$H$102,5,FALSE)-VLOOKUP($A28,main!$A$3:$H$102,6,FALSE)&gt;=main!$D$103+VLOOKUP(VLOOKUP(AO$1,main!$A$3:$I$102,7,FALSE),main!$K$26:$Q$29,3,FALSE),1,0)</f>
        <v>0</v>
      </c>
      <c r="AP28">
        <f>IF(VLOOKUP(AP$1,main!$A$3:$H$102,5,FALSE)-VLOOKUP($A28,main!$A$3:$H$102,6,FALSE)&gt;=main!$D$103+VLOOKUP(VLOOKUP(AP$1,main!$A$3:$I$102,7,FALSE),main!$K$26:$Q$29,3,FALSE),1,0)</f>
        <v>1</v>
      </c>
      <c r="AQ28">
        <f>IF(VLOOKUP(AQ$1,main!$A$3:$H$102,5,FALSE)-VLOOKUP($A28,main!$A$3:$H$102,6,FALSE)&gt;=main!$D$103+VLOOKUP(VLOOKUP(AQ$1,main!$A$3:$I$102,7,FALSE),main!$K$26:$Q$29,3,FALSE),1,0)</f>
        <v>0</v>
      </c>
      <c r="AR28">
        <f>IF(VLOOKUP(AR$1,main!$A$3:$H$102,5,FALSE)-VLOOKUP($A28,main!$A$3:$H$102,6,FALSE)&gt;=main!$D$103+VLOOKUP(VLOOKUP(AR$1,main!$A$3:$I$102,7,FALSE),main!$K$26:$Q$29,3,FALSE),1,0)</f>
        <v>0</v>
      </c>
      <c r="AS28">
        <f>IF(VLOOKUP(AS$1,main!$A$3:$H$102,5,FALSE)-VLOOKUP($A28,main!$A$3:$H$102,6,FALSE)&gt;=main!$D$103+VLOOKUP(VLOOKUP(AS$1,main!$A$3:$I$102,7,FALSE),main!$K$26:$Q$29,3,FALSE),1,0)</f>
        <v>1</v>
      </c>
      <c r="AT28">
        <f>IF(VLOOKUP(AT$1,main!$A$3:$H$102,5,FALSE)-VLOOKUP($A28,main!$A$3:$H$102,6,FALSE)&gt;=main!$D$103+VLOOKUP(VLOOKUP(AT$1,main!$A$3:$I$102,7,FALSE),main!$K$26:$Q$29,3,FALSE),1,0)</f>
        <v>1</v>
      </c>
      <c r="AU28">
        <f>IF(VLOOKUP(AU$1,main!$A$3:$H$102,5,FALSE)-VLOOKUP($A28,main!$A$3:$H$102,6,FALSE)&gt;=main!$D$103+VLOOKUP(VLOOKUP(AU$1,main!$A$3:$I$102,7,FALSE),main!$K$26:$Q$29,3,FALSE),1,0)</f>
        <v>0</v>
      </c>
      <c r="AV28">
        <f>IF(VLOOKUP(AV$1,main!$A$3:$H$102,5,FALSE)-VLOOKUP($A28,main!$A$3:$H$102,6,FALSE)&gt;=main!$D$103+VLOOKUP(VLOOKUP(AV$1,main!$A$3:$I$102,7,FALSE),main!$K$26:$Q$29,3,FALSE),1,0)</f>
        <v>0</v>
      </c>
      <c r="AW28">
        <f>IF(VLOOKUP(AW$1,main!$A$3:$H$102,5,FALSE)-VLOOKUP($A28,main!$A$3:$H$102,6,FALSE)&gt;=main!$D$103+VLOOKUP(VLOOKUP(AW$1,main!$A$3:$I$102,7,FALSE),main!$K$26:$Q$29,3,FALSE),1,0)</f>
        <v>1</v>
      </c>
      <c r="AX28">
        <f>IF(VLOOKUP(AX$1,main!$A$3:$H$102,5,FALSE)-VLOOKUP($A28,main!$A$3:$H$102,6,FALSE)&gt;=main!$D$103+VLOOKUP(VLOOKUP(AX$1,main!$A$3:$I$102,7,FALSE),main!$K$26:$Q$29,3,FALSE),1,0)</f>
        <v>1</v>
      </c>
      <c r="AY28">
        <f>IF(VLOOKUP(AY$1,main!$A$3:$H$102,5,FALSE)-VLOOKUP($A28,main!$A$3:$H$102,6,FALSE)&gt;=main!$D$103+VLOOKUP(VLOOKUP(AY$1,main!$A$3:$I$102,7,FALSE),main!$K$26:$Q$29,3,FALSE),1,0)</f>
        <v>0</v>
      </c>
      <c r="AZ28">
        <f>IF(VLOOKUP(AZ$1,main!$A$3:$H$102,5,FALSE)-VLOOKUP($A28,main!$A$3:$H$102,6,FALSE)&gt;=main!$D$103+VLOOKUP(VLOOKUP(AZ$1,main!$A$3:$I$102,7,FALSE),main!$K$26:$Q$29,3,FALSE),1,0)</f>
        <v>1</v>
      </c>
      <c r="BA28">
        <f>IF(VLOOKUP(BA$1,main!$A$3:$H$102,5,FALSE)-VLOOKUP($A28,main!$A$3:$H$102,6,FALSE)&gt;=main!$D$103+VLOOKUP(VLOOKUP(BA$1,main!$A$3:$I$102,7,FALSE),main!$K$26:$Q$29,3,FALSE),1,0)</f>
        <v>0</v>
      </c>
      <c r="BB28">
        <f>IF(VLOOKUP(BB$1,main!$A$3:$H$102,5,FALSE)-VLOOKUP($A28,main!$A$3:$H$102,6,FALSE)&gt;=main!$D$103+VLOOKUP(VLOOKUP(BB$1,main!$A$3:$I$102,7,FALSE),main!$K$26:$Q$29,3,FALSE),1,0)</f>
        <v>1</v>
      </c>
      <c r="BC28">
        <f>IF(VLOOKUP(BC$1,main!$A$3:$H$102,5,FALSE)-VLOOKUP($A28,main!$A$3:$H$102,6,FALSE)&gt;=main!$D$103+VLOOKUP(VLOOKUP(BC$1,main!$A$3:$I$102,7,FALSE),main!$K$26:$Q$29,3,FALSE),1,0)</f>
        <v>1</v>
      </c>
      <c r="BD28">
        <f>IF(VLOOKUP(BD$1,main!$A$3:$H$102,5,FALSE)-VLOOKUP($A28,main!$A$3:$H$102,6,FALSE)&gt;=main!$D$103+VLOOKUP(VLOOKUP(BD$1,main!$A$3:$I$102,7,FALSE),main!$K$26:$Q$29,3,FALSE),1,0)</f>
        <v>1</v>
      </c>
      <c r="BE28">
        <f>IF(VLOOKUP(BE$1,main!$A$3:$H$102,5,FALSE)-VLOOKUP($A28,main!$A$3:$H$102,6,FALSE)&gt;=main!$D$103+VLOOKUP(VLOOKUP(BE$1,main!$A$3:$I$102,7,FALSE),main!$K$26:$Q$29,3,FALSE),1,0)</f>
        <v>1</v>
      </c>
      <c r="BF28">
        <f>IF(VLOOKUP(BF$1,main!$A$3:$H$102,5,FALSE)-VLOOKUP($A28,main!$A$3:$H$102,6,FALSE)&gt;=main!$D$103+VLOOKUP(VLOOKUP(BF$1,main!$A$3:$I$102,7,FALSE),main!$K$26:$Q$29,3,FALSE),1,0)</f>
        <v>0</v>
      </c>
      <c r="BG28">
        <f>IF(VLOOKUP(BG$1,main!$A$3:$H$102,5,FALSE)-VLOOKUP($A28,main!$A$3:$H$102,6,FALSE)&gt;=main!$D$103+VLOOKUP(VLOOKUP(BG$1,main!$A$3:$I$102,7,FALSE),main!$K$26:$Q$29,3,FALSE),1,0)</f>
        <v>0</v>
      </c>
      <c r="BH28">
        <f>IF(VLOOKUP(BH$1,main!$A$3:$H$102,5,FALSE)-VLOOKUP($A28,main!$A$3:$H$102,6,FALSE)&gt;=main!$D$103+VLOOKUP(VLOOKUP(BH$1,main!$A$3:$I$102,7,FALSE),main!$K$26:$Q$29,3,FALSE),1,0)</f>
        <v>1</v>
      </c>
      <c r="BI28">
        <f>IF(VLOOKUP(BI$1,main!$A$3:$H$102,5,FALSE)-VLOOKUP($A28,main!$A$3:$H$102,6,FALSE)&gt;=main!$D$103+VLOOKUP(VLOOKUP(BI$1,main!$A$3:$I$102,7,FALSE),main!$K$26:$Q$29,3,FALSE),1,0)</f>
        <v>1</v>
      </c>
      <c r="BJ28">
        <f>IF(VLOOKUP(BJ$1,main!$A$3:$H$102,5,FALSE)-VLOOKUP($A28,main!$A$3:$H$102,6,FALSE)&gt;=main!$D$103+VLOOKUP(VLOOKUP(BJ$1,main!$A$3:$I$102,7,FALSE),main!$K$26:$Q$29,3,FALSE),1,0)</f>
        <v>1</v>
      </c>
      <c r="BK28">
        <f>IF(VLOOKUP(BK$1,main!$A$3:$H$102,5,FALSE)-VLOOKUP($A28,main!$A$3:$H$102,6,FALSE)&gt;=main!$D$103+VLOOKUP(VLOOKUP(BK$1,main!$A$3:$I$102,7,FALSE),main!$K$26:$Q$29,3,FALSE),1,0)</f>
        <v>0</v>
      </c>
      <c r="BL28">
        <f>IF(VLOOKUP(BL$1,main!$A$3:$H$102,5,FALSE)-VLOOKUP($A28,main!$A$3:$H$102,6,FALSE)&gt;=main!$D$103+VLOOKUP(VLOOKUP(BL$1,main!$A$3:$I$102,7,FALSE),main!$K$26:$Q$29,3,FALSE),1,0)</f>
        <v>0</v>
      </c>
      <c r="BM28">
        <f>IF(VLOOKUP(BM$1,main!$A$3:$H$102,5,FALSE)-VLOOKUP($A28,main!$A$3:$H$102,6,FALSE)&gt;=main!$D$103+VLOOKUP(VLOOKUP(BM$1,main!$A$3:$I$102,7,FALSE),main!$K$26:$Q$29,3,FALSE),1,0)</f>
        <v>0</v>
      </c>
      <c r="BN28">
        <f>IF(VLOOKUP(BN$1,main!$A$3:$H$102,5,FALSE)-VLOOKUP($A28,main!$A$3:$H$102,6,FALSE)&gt;=main!$D$103+VLOOKUP(VLOOKUP(BN$1,main!$A$3:$I$102,7,FALSE),main!$K$26:$Q$29,3,FALSE),1,0)</f>
        <v>1</v>
      </c>
      <c r="BO28">
        <f>IF(VLOOKUP(BO$1,main!$A$3:$H$102,5,FALSE)-VLOOKUP($A28,main!$A$3:$H$102,6,FALSE)&gt;=main!$D$103+VLOOKUP(VLOOKUP(BO$1,main!$A$3:$I$102,7,FALSE),main!$K$26:$Q$29,3,FALSE),1,0)</f>
        <v>0</v>
      </c>
      <c r="BP28">
        <f>IF(VLOOKUP(BP$1,main!$A$3:$H$102,5,FALSE)-VLOOKUP($A28,main!$A$3:$H$102,6,FALSE)&gt;=main!$D$103+VLOOKUP(VLOOKUP(BP$1,main!$A$3:$I$102,7,FALSE),main!$K$26:$Q$29,3,FALSE),1,0)</f>
        <v>0</v>
      </c>
      <c r="BQ28">
        <f>IF(VLOOKUP(BQ$1,main!$A$3:$H$102,5,FALSE)-VLOOKUP($A28,main!$A$3:$H$102,6,FALSE)&gt;=main!$D$103+VLOOKUP(VLOOKUP(BQ$1,main!$A$3:$I$102,7,FALSE),main!$K$26:$Q$29,3,FALSE),1,0)</f>
        <v>1</v>
      </c>
      <c r="BR28">
        <f>IF(VLOOKUP(BR$1,main!$A$3:$H$102,5,FALSE)-VLOOKUP($A28,main!$A$3:$H$102,6,FALSE)&gt;=main!$D$103+VLOOKUP(VLOOKUP(BR$1,main!$A$3:$I$102,7,FALSE),main!$K$26:$Q$29,3,FALSE),1,0)</f>
        <v>1</v>
      </c>
      <c r="BS28">
        <f>IF(VLOOKUP(BS$1,main!$A$3:$H$102,5,FALSE)-VLOOKUP($A28,main!$A$3:$H$102,6,FALSE)&gt;=main!$D$103+VLOOKUP(VLOOKUP(BS$1,main!$A$3:$I$102,7,FALSE),main!$K$26:$Q$29,3,FALSE),1,0)</f>
        <v>1</v>
      </c>
      <c r="BT28">
        <f>IF(VLOOKUP(BT$1,main!$A$3:$H$102,5,FALSE)-VLOOKUP($A28,main!$A$3:$H$102,6,FALSE)&gt;=main!$D$103+VLOOKUP(VLOOKUP(BT$1,main!$A$3:$I$102,7,FALSE),main!$K$26:$Q$29,3,FALSE),1,0)</f>
        <v>1</v>
      </c>
      <c r="BU28">
        <f>IF(VLOOKUP(BU$1,main!$A$3:$H$102,5,FALSE)-VLOOKUP($A28,main!$A$3:$H$102,6,FALSE)&gt;=main!$D$103+VLOOKUP(VLOOKUP(BU$1,main!$A$3:$I$102,7,FALSE),main!$K$26:$Q$29,3,FALSE),1,0)</f>
        <v>0</v>
      </c>
      <c r="BV28">
        <f>IF(VLOOKUP(BV$1,main!$A$3:$H$102,5,FALSE)-VLOOKUP($A28,main!$A$3:$H$102,6,FALSE)&gt;=main!$D$103+VLOOKUP(VLOOKUP(BV$1,main!$A$3:$I$102,7,FALSE),main!$K$26:$Q$29,3,FALSE),1,0)</f>
        <v>0</v>
      </c>
      <c r="BW28">
        <f>IF(VLOOKUP(BW$1,main!$A$3:$H$102,5,FALSE)-VLOOKUP($A28,main!$A$3:$H$102,6,FALSE)&gt;=main!$D$103+VLOOKUP(VLOOKUP(BW$1,main!$A$3:$I$102,7,FALSE),main!$K$26:$Q$29,3,FALSE),1,0)</f>
        <v>0</v>
      </c>
      <c r="BX28">
        <f>IF(VLOOKUP(BX$1,main!$A$3:$H$102,5,FALSE)-VLOOKUP($A28,main!$A$3:$H$102,6,FALSE)&gt;=main!$D$103+VLOOKUP(VLOOKUP(BX$1,main!$A$3:$I$102,7,FALSE),main!$K$26:$Q$29,3,FALSE),1,0)</f>
        <v>1</v>
      </c>
      <c r="BY28">
        <f>IF(VLOOKUP(BY$1,main!$A$3:$H$102,5,FALSE)-VLOOKUP($A28,main!$A$3:$H$102,6,FALSE)&gt;=main!$D$103+VLOOKUP(VLOOKUP(BY$1,main!$A$3:$I$102,7,FALSE),main!$K$26:$Q$29,3,FALSE),1,0)</f>
        <v>1</v>
      </c>
      <c r="BZ28">
        <f>IF(VLOOKUP(BZ$1,main!$A$3:$H$102,5,FALSE)-VLOOKUP($A28,main!$A$3:$H$102,6,FALSE)&gt;=main!$D$103+VLOOKUP(VLOOKUP(BZ$1,main!$A$3:$I$102,7,FALSE),main!$K$26:$Q$29,3,FALSE),1,0)</f>
        <v>0</v>
      </c>
      <c r="CA28">
        <f>IF(VLOOKUP(CA$1,main!$A$3:$H$102,5,FALSE)-VLOOKUP($A28,main!$A$3:$H$102,6,FALSE)&gt;=main!$D$103+VLOOKUP(VLOOKUP(CA$1,main!$A$3:$I$102,7,FALSE),main!$K$26:$Q$29,3,FALSE),1,0)</f>
        <v>0</v>
      </c>
      <c r="CB28">
        <f>IF(VLOOKUP(CB$1,main!$A$3:$H$102,5,FALSE)-VLOOKUP($A28,main!$A$3:$H$102,6,FALSE)&gt;=main!$D$103+VLOOKUP(VLOOKUP(CB$1,main!$A$3:$I$102,7,FALSE),main!$K$26:$Q$29,3,FALSE),1,0)</f>
        <v>1</v>
      </c>
      <c r="CC28">
        <f>IF(VLOOKUP(CC$1,main!$A$3:$H$102,5,FALSE)-VLOOKUP($A28,main!$A$3:$H$102,6,FALSE)&gt;=main!$D$103+VLOOKUP(VLOOKUP(CC$1,main!$A$3:$I$102,7,FALSE),main!$K$26:$Q$29,3,FALSE),1,0)</f>
        <v>1</v>
      </c>
      <c r="CD28">
        <f>IF(VLOOKUP(CD$1,main!$A$3:$H$102,5,FALSE)-VLOOKUP($A28,main!$A$3:$H$102,6,FALSE)&gt;=main!$D$103+VLOOKUP(VLOOKUP(CD$1,main!$A$3:$I$102,7,FALSE),main!$K$26:$Q$29,3,FALSE),1,0)</f>
        <v>1</v>
      </c>
      <c r="CE28">
        <f>IF(VLOOKUP(CE$1,main!$A$3:$H$102,5,FALSE)-VLOOKUP($A28,main!$A$3:$H$102,6,FALSE)&gt;=main!$D$103+VLOOKUP(VLOOKUP(CE$1,main!$A$3:$I$102,7,FALSE),main!$K$26:$Q$29,3,FALSE),1,0)</f>
        <v>1</v>
      </c>
      <c r="CF28">
        <f>IF(VLOOKUP(CF$1,main!$A$3:$H$102,5,FALSE)-VLOOKUP($A28,main!$A$3:$H$102,6,FALSE)&gt;=main!$D$103+VLOOKUP(VLOOKUP(CF$1,main!$A$3:$I$102,7,FALSE),main!$K$26:$Q$29,3,FALSE),1,0)</f>
        <v>1</v>
      </c>
      <c r="CG28">
        <f>IF(VLOOKUP(CG$1,main!$A$3:$H$102,5,FALSE)-VLOOKUP($A28,main!$A$3:$H$102,6,FALSE)&gt;=main!$D$103+VLOOKUP(VLOOKUP(CG$1,main!$A$3:$I$102,7,FALSE),main!$K$26:$Q$29,3,FALSE),1,0)</f>
        <v>1</v>
      </c>
      <c r="CH28">
        <f>IF(VLOOKUP(CH$1,main!$A$3:$H$102,5,FALSE)-VLOOKUP($A28,main!$A$3:$H$102,6,FALSE)&gt;=main!$D$103+VLOOKUP(VLOOKUP(CH$1,main!$A$3:$I$102,7,FALSE),main!$K$26:$Q$29,3,FALSE),1,0)</f>
        <v>1</v>
      </c>
      <c r="CI28">
        <f>IF(VLOOKUP(CI$1,main!$A$3:$H$102,5,FALSE)-VLOOKUP($A28,main!$A$3:$H$102,6,FALSE)&gt;=main!$D$103+VLOOKUP(VLOOKUP(CI$1,main!$A$3:$I$102,7,FALSE),main!$K$26:$Q$29,3,FALSE),1,0)</f>
        <v>1</v>
      </c>
      <c r="CJ28">
        <f>IF(VLOOKUP(CJ$1,main!$A$3:$H$102,5,FALSE)-VLOOKUP($A28,main!$A$3:$H$102,6,FALSE)&gt;=main!$D$103+VLOOKUP(VLOOKUP(CJ$1,main!$A$3:$I$102,7,FALSE),main!$K$26:$Q$29,3,FALSE),1,0)</f>
        <v>1</v>
      </c>
      <c r="CK28">
        <f>IF(VLOOKUP(CK$1,main!$A$3:$H$102,5,FALSE)-VLOOKUP($A28,main!$A$3:$H$102,6,FALSE)&gt;=main!$D$103+VLOOKUP(VLOOKUP(CK$1,main!$A$3:$I$102,7,FALSE),main!$K$26:$Q$29,3,FALSE),1,0)</f>
        <v>0</v>
      </c>
      <c r="CL28">
        <f>IF(VLOOKUP(CL$1,main!$A$3:$H$102,5,FALSE)-VLOOKUP($A28,main!$A$3:$H$102,6,FALSE)&gt;=main!$D$103+VLOOKUP(VLOOKUP(CL$1,main!$A$3:$I$102,7,FALSE),main!$K$26:$Q$29,3,FALSE),1,0)</f>
        <v>1</v>
      </c>
      <c r="CM28">
        <f>IF(VLOOKUP(CM$1,main!$A$3:$H$102,5,FALSE)-VLOOKUP($A28,main!$A$3:$H$102,6,FALSE)&gt;=main!$D$103+VLOOKUP(VLOOKUP(CM$1,main!$A$3:$I$102,7,FALSE),main!$K$26:$Q$29,3,FALSE),1,0)</f>
        <v>1</v>
      </c>
      <c r="CN28">
        <f>IF(VLOOKUP(CN$1,main!$A$3:$H$102,5,FALSE)-VLOOKUP($A28,main!$A$3:$H$102,6,FALSE)&gt;=main!$D$103+VLOOKUP(VLOOKUP(CN$1,main!$A$3:$I$102,7,FALSE),main!$K$26:$Q$29,3,FALSE),1,0)</f>
        <v>1</v>
      </c>
      <c r="CO28">
        <f>IF(VLOOKUP(CO$1,main!$A$3:$H$102,5,FALSE)-VLOOKUP($A28,main!$A$3:$H$102,6,FALSE)&gt;=main!$D$103+VLOOKUP(VLOOKUP(CO$1,main!$A$3:$I$102,7,FALSE),main!$K$26:$Q$29,3,FALSE),1,0)</f>
        <v>0</v>
      </c>
      <c r="CP28">
        <f>IF(VLOOKUP(CP$1,main!$A$3:$H$102,5,FALSE)-VLOOKUP($A28,main!$A$3:$H$102,6,FALSE)&gt;=main!$D$103+VLOOKUP(VLOOKUP(CP$1,main!$A$3:$I$102,7,FALSE),main!$K$26:$Q$29,3,FALSE),1,0)</f>
        <v>1</v>
      </c>
      <c r="CQ28">
        <f>IF(VLOOKUP(CQ$1,main!$A$3:$H$102,5,FALSE)-VLOOKUP($A28,main!$A$3:$H$102,6,FALSE)&gt;=main!$D$103+VLOOKUP(VLOOKUP(CQ$1,main!$A$3:$I$102,7,FALSE),main!$K$26:$Q$29,3,FALSE),1,0)</f>
        <v>1</v>
      </c>
      <c r="CR28">
        <f>IF(VLOOKUP(CR$1,main!$A$3:$H$102,5,FALSE)-VLOOKUP($A28,main!$A$3:$H$102,6,FALSE)&gt;=main!$D$103+VLOOKUP(VLOOKUP(CR$1,main!$A$3:$I$102,7,FALSE),main!$K$26:$Q$29,3,FALSE),1,0)</f>
        <v>1</v>
      </c>
      <c r="CS28">
        <f>IF(VLOOKUP(CS$1,main!$A$3:$H$102,5,FALSE)-VLOOKUP($A28,main!$A$3:$H$102,6,FALSE)&gt;=main!$D$103+VLOOKUP(VLOOKUP(CS$1,main!$A$3:$I$102,7,FALSE),main!$K$26:$Q$29,3,FALSE),1,0)</f>
        <v>1</v>
      </c>
      <c r="CT28">
        <f>IF(VLOOKUP(CT$1,main!$A$3:$H$102,5,FALSE)-VLOOKUP($A28,main!$A$3:$H$102,6,FALSE)&gt;=main!$D$103+VLOOKUP(VLOOKUP(CT$1,main!$A$3:$I$102,7,FALSE),main!$K$26:$Q$29,3,FALSE),1,0)</f>
        <v>0</v>
      </c>
      <c r="CU28">
        <f>IF(VLOOKUP(CU$1,main!$A$3:$H$102,5,FALSE)-VLOOKUP($A28,main!$A$3:$H$102,6,FALSE)&gt;=main!$D$103+VLOOKUP(VLOOKUP(CU$1,main!$A$3:$I$102,7,FALSE),main!$K$26:$Q$29,3,FALSE),1,0)</f>
        <v>0</v>
      </c>
      <c r="CV28">
        <f>IF(VLOOKUP(CV$1,main!$A$3:$H$102,5,FALSE)-VLOOKUP($A28,main!$A$3:$H$102,6,FALSE)&gt;=main!$D$103+VLOOKUP(VLOOKUP(CV$1,main!$A$3:$I$102,7,FALSE),main!$K$26:$Q$29,3,FALSE),1,0)</f>
        <v>1</v>
      </c>
      <c r="CW28">
        <f>IF(VLOOKUP(CW$1,main!$A$3:$H$102,5,FALSE)-VLOOKUP($A28,main!$A$3:$H$102,6,FALSE)&gt;=main!$D$103+VLOOKUP(VLOOKUP(CW$1,main!$A$3:$I$102,7,FALSE),main!$K$26:$Q$29,3,FALSE),1,0)</f>
        <v>1</v>
      </c>
      <c r="CX28">
        <f>IF(VLOOKUP(CX$1,main!$A$3:$H$102,5,FALSE)-VLOOKUP($A28,main!$A$3:$H$102,6,FALSE)&gt;=main!$D$103+VLOOKUP(VLOOKUP(CX$1,main!$A$3:$I$102,7,FALSE),main!$K$26:$Q$29,3,FALSE),1,0)</f>
        <v>1</v>
      </c>
    </row>
    <row r="29" spans="1:104" x14ac:dyDescent="0.25">
      <c r="A29" s="1">
        <v>27</v>
      </c>
      <c r="B29">
        <v>0</v>
      </c>
      <c r="C29">
        <f>IF(VLOOKUP(C$1,main!$A$3:$H$102,5,FALSE)-VLOOKUP($A29,main!$A$3:$H$102,6,FALSE)&gt;=main!$D$103+VLOOKUP(VLOOKUP(C$1,main!$A$3:$I$102,7,FALSE),main!$K$26:$Q$29,3,FALSE),1,0)</f>
        <v>0</v>
      </c>
      <c r="D29">
        <f>IF(VLOOKUP(D$1,main!$A$3:$H$102,5,FALSE)-VLOOKUP($A29,main!$A$3:$H$102,6,FALSE)&gt;=main!$D$103+VLOOKUP(VLOOKUP(D$1,main!$A$3:$I$102,7,FALSE),main!$K$26:$Q$29,3,FALSE),1,0)</f>
        <v>0</v>
      </c>
      <c r="E29">
        <f>IF(VLOOKUP(E$1,main!$A$3:$H$102,5,FALSE)-VLOOKUP($A29,main!$A$3:$H$102,6,FALSE)&gt;=main!$D$103+VLOOKUP(VLOOKUP(E$1,main!$A$3:$I$102,7,FALSE),main!$K$26:$Q$29,3,FALSE),1,0)</f>
        <v>1</v>
      </c>
      <c r="F29">
        <f>IF(VLOOKUP(F$1,main!$A$3:$H$102,5,FALSE)-VLOOKUP($A29,main!$A$3:$H$102,6,FALSE)&gt;=main!$D$103+VLOOKUP(VLOOKUP(F$1,main!$A$3:$I$102,7,FALSE),main!$K$26:$Q$29,3,FALSE),1,0)</f>
        <v>1</v>
      </c>
      <c r="G29">
        <f>IF(VLOOKUP(G$1,main!$A$3:$H$102,5,FALSE)-VLOOKUP($A29,main!$A$3:$H$102,6,FALSE)&gt;=main!$D$103+VLOOKUP(VLOOKUP(G$1,main!$A$3:$I$102,7,FALSE),main!$K$26:$Q$29,3,FALSE),1,0)</f>
        <v>1</v>
      </c>
      <c r="H29">
        <f>IF(VLOOKUP(H$1,main!$A$3:$H$102,5,FALSE)-VLOOKUP($A29,main!$A$3:$H$102,6,FALSE)&gt;=main!$D$103+VLOOKUP(VLOOKUP(H$1,main!$A$3:$I$102,7,FALSE),main!$K$26:$Q$29,3,FALSE),1,0)</f>
        <v>1</v>
      </c>
      <c r="I29">
        <f>IF(VLOOKUP(I$1,main!$A$3:$H$102,5,FALSE)-VLOOKUP($A29,main!$A$3:$H$102,6,FALSE)&gt;=main!$D$103+VLOOKUP(VLOOKUP(I$1,main!$A$3:$I$102,7,FALSE),main!$K$26:$Q$29,3,FALSE),1,0)</f>
        <v>1</v>
      </c>
      <c r="J29">
        <f>IF(VLOOKUP(J$1,main!$A$3:$H$102,5,FALSE)-VLOOKUP($A29,main!$A$3:$H$102,6,FALSE)&gt;=main!$D$103+VLOOKUP(VLOOKUP(J$1,main!$A$3:$I$102,7,FALSE),main!$K$26:$Q$29,3,FALSE),1,0)</f>
        <v>1</v>
      </c>
      <c r="K29">
        <f>IF(VLOOKUP(K$1,main!$A$3:$H$102,5,FALSE)-VLOOKUP($A29,main!$A$3:$H$102,6,FALSE)&gt;=main!$D$103+VLOOKUP(VLOOKUP(K$1,main!$A$3:$I$102,7,FALSE),main!$K$26:$Q$29,3,FALSE),1,0)</f>
        <v>1</v>
      </c>
      <c r="L29">
        <f>IF(VLOOKUP(L$1,main!$A$3:$H$102,5,FALSE)-VLOOKUP($A29,main!$A$3:$H$102,6,FALSE)&gt;=main!$D$103+VLOOKUP(VLOOKUP(L$1,main!$A$3:$I$102,7,FALSE),main!$K$26:$Q$29,3,FALSE),1,0)</f>
        <v>1</v>
      </c>
      <c r="M29">
        <f>IF(VLOOKUP(M$1,main!$A$3:$H$102,5,FALSE)-VLOOKUP($A29,main!$A$3:$H$102,6,FALSE)&gt;=main!$D$103+VLOOKUP(VLOOKUP(M$1,main!$A$3:$I$102,7,FALSE),main!$K$26:$Q$29,3,FALSE),1,0)</f>
        <v>0</v>
      </c>
      <c r="N29">
        <f>IF(VLOOKUP(N$1,main!$A$3:$H$102,5,FALSE)-VLOOKUP($A29,main!$A$3:$H$102,6,FALSE)&gt;=main!$D$103+VLOOKUP(VLOOKUP(N$1,main!$A$3:$I$102,7,FALSE),main!$K$26:$Q$29,3,FALSE),1,0)</f>
        <v>0</v>
      </c>
      <c r="O29">
        <f>IF(VLOOKUP(O$1,main!$A$3:$H$102,5,FALSE)-VLOOKUP($A29,main!$A$3:$H$102,6,FALSE)&gt;=main!$D$103+VLOOKUP(VLOOKUP(O$1,main!$A$3:$I$102,7,FALSE),main!$K$26:$Q$29,3,FALSE),1,0)</f>
        <v>0</v>
      </c>
      <c r="P29">
        <f>IF(VLOOKUP(P$1,main!$A$3:$H$102,5,FALSE)-VLOOKUP($A29,main!$A$3:$H$102,6,FALSE)&gt;=main!$D$103+VLOOKUP(VLOOKUP(P$1,main!$A$3:$I$102,7,FALSE),main!$K$26:$Q$29,3,FALSE),1,0)</f>
        <v>0</v>
      </c>
      <c r="Q29">
        <f>IF(VLOOKUP(Q$1,main!$A$3:$H$102,5,FALSE)-VLOOKUP($A29,main!$A$3:$H$102,6,FALSE)&gt;=main!$D$103+VLOOKUP(VLOOKUP(Q$1,main!$A$3:$I$102,7,FALSE),main!$K$26:$Q$29,3,FALSE),1,0)</f>
        <v>1</v>
      </c>
      <c r="R29">
        <f>IF(VLOOKUP(R$1,main!$A$3:$H$102,5,FALSE)-VLOOKUP($A29,main!$A$3:$H$102,6,FALSE)&gt;=main!$D$103+VLOOKUP(VLOOKUP(R$1,main!$A$3:$I$102,7,FALSE),main!$K$26:$Q$29,3,FALSE),1,0)</f>
        <v>1</v>
      </c>
      <c r="S29">
        <f>IF(VLOOKUP(S$1,main!$A$3:$H$102,5,FALSE)-VLOOKUP($A29,main!$A$3:$H$102,6,FALSE)&gt;=main!$D$103+VLOOKUP(VLOOKUP(S$1,main!$A$3:$I$102,7,FALSE),main!$K$26:$Q$29,3,FALSE),1,0)</f>
        <v>1</v>
      </c>
      <c r="T29">
        <f>IF(VLOOKUP(T$1,main!$A$3:$H$102,5,FALSE)-VLOOKUP($A29,main!$A$3:$H$102,6,FALSE)&gt;=main!$D$103+VLOOKUP(VLOOKUP(T$1,main!$A$3:$I$102,7,FALSE),main!$K$26:$Q$29,3,FALSE),1,0)</f>
        <v>1</v>
      </c>
      <c r="U29">
        <f>IF(VLOOKUP(U$1,main!$A$3:$H$102,5,FALSE)-VLOOKUP($A29,main!$A$3:$H$102,6,FALSE)&gt;=main!$D$103+VLOOKUP(VLOOKUP(U$1,main!$A$3:$I$102,7,FALSE),main!$K$26:$Q$29,3,FALSE),1,0)</f>
        <v>1</v>
      </c>
      <c r="V29">
        <f>IF(VLOOKUP(V$1,main!$A$3:$H$102,5,FALSE)-VLOOKUP($A29,main!$A$3:$H$102,6,FALSE)&gt;=main!$D$103+VLOOKUP(VLOOKUP(V$1,main!$A$3:$I$102,7,FALSE),main!$K$26:$Q$29,3,FALSE),1,0)</f>
        <v>1</v>
      </c>
      <c r="W29">
        <f>IF(VLOOKUP(W$1,main!$A$3:$H$102,5,FALSE)-VLOOKUP($A29,main!$A$3:$H$102,6,FALSE)&gt;=main!$D$103+VLOOKUP(VLOOKUP(W$1,main!$A$3:$I$102,7,FALSE),main!$K$26:$Q$29,3,FALSE),1,0)</f>
        <v>0</v>
      </c>
      <c r="X29">
        <f>IF(VLOOKUP(X$1,main!$A$3:$H$102,5,FALSE)-VLOOKUP($A29,main!$A$3:$H$102,6,FALSE)&gt;=main!$D$103+VLOOKUP(VLOOKUP(X$1,main!$A$3:$I$102,7,FALSE),main!$K$26:$Q$29,3,FALSE),1,0)</f>
        <v>0</v>
      </c>
      <c r="Y29">
        <f>IF(VLOOKUP(Y$1,main!$A$3:$H$102,5,FALSE)-VLOOKUP($A29,main!$A$3:$H$102,6,FALSE)&gt;=main!$D$103+VLOOKUP(VLOOKUP(Y$1,main!$A$3:$I$102,7,FALSE),main!$K$26:$Q$29,3,FALSE),1,0)</f>
        <v>1</v>
      </c>
      <c r="Z29">
        <f>IF(VLOOKUP(Z$1,main!$A$3:$H$102,5,FALSE)-VLOOKUP($A29,main!$A$3:$H$102,6,FALSE)&gt;=main!$D$103+VLOOKUP(VLOOKUP(Z$1,main!$A$3:$I$102,7,FALSE),main!$K$26:$Q$29,3,FALSE),1,0)</f>
        <v>1</v>
      </c>
      <c r="AA29">
        <f>IF(VLOOKUP(AA$1,main!$A$3:$H$102,5,FALSE)-VLOOKUP($A29,main!$A$3:$H$102,6,FALSE)&gt;=main!$D$103+VLOOKUP(VLOOKUP(AA$1,main!$A$3:$I$102,7,FALSE),main!$K$26:$Q$29,3,FALSE),1,0)</f>
        <v>1</v>
      </c>
      <c r="AB29">
        <f>IF(VLOOKUP(AB$1,main!$A$3:$H$102,5,FALSE)-VLOOKUP($A29,main!$A$3:$H$102,6,FALSE)&gt;=main!$D$103+VLOOKUP(VLOOKUP(AB$1,main!$A$3:$I$102,7,FALSE),main!$K$26:$Q$29,3,FALSE),1,0)</f>
        <v>0</v>
      </c>
      <c r="AC29">
        <f>IF(VLOOKUP(AC$1,main!$A$3:$H$102,5,FALSE)-VLOOKUP($A29,main!$A$3:$H$102,6,FALSE)&gt;=main!$D$103+VLOOKUP(VLOOKUP(AC$1,main!$A$3:$I$102,7,FALSE),main!$K$26:$Q$29,3,FALSE),1,0)</f>
        <v>0</v>
      </c>
      <c r="AD29">
        <f>IF(VLOOKUP(AD$1,main!$A$3:$H$102,5,FALSE)-VLOOKUP($A29,main!$A$3:$H$102,6,FALSE)&gt;=main!$D$103+VLOOKUP(VLOOKUP(AD$1,main!$A$3:$I$102,7,FALSE),main!$K$26:$Q$29,3,FALSE),1,0)</f>
        <v>1</v>
      </c>
      <c r="AE29">
        <f>IF(VLOOKUP(AE$1,main!$A$3:$H$102,5,FALSE)-VLOOKUP($A29,main!$A$3:$H$102,6,FALSE)&gt;=main!$D$103+VLOOKUP(VLOOKUP(AE$1,main!$A$3:$I$102,7,FALSE),main!$K$26:$Q$29,3,FALSE),1,0)</f>
        <v>1</v>
      </c>
      <c r="AF29">
        <f>IF(VLOOKUP(AF$1,main!$A$3:$H$102,5,FALSE)-VLOOKUP($A29,main!$A$3:$H$102,6,FALSE)&gt;=main!$D$103+VLOOKUP(VLOOKUP(AF$1,main!$A$3:$I$102,7,FALSE),main!$K$26:$Q$29,3,FALSE),1,0)</f>
        <v>1</v>
      </c>
      <c r="AG29">
        <f>IF(VLOOKUP(AG$1,main!$A$3:$H$102,5,FALSE)-VLOOKUP($A29,main!$A$3:$H$102,6,FALSE)&gt;=main!$D$103+VLOOKUP(VLOOKUP(AG$1,main!$A$3:$I$102,7,FALSE),main!$K$26:$Q$29,3,FALSE),1,0)</f>
        <v>0</v>
      </c>
      <c r="AH29">
        <f>IF(VLOOKUP(AH$1,main!$A$3:$H$102,5,FALSE)-VLOOKUP($A29,main!$A$3:$H$102,6,FALSE)&gt;=main!$D$103+VLOOKUP(VLOOKUP(AH$1,main!$A$3:$I$102,7,FALSE),main!$K$26:$Q$29,3,FALSE),1,0)</f>
        <v>0</v>
      </c>
      <c r="AI29">
        <f>IF(VLOOKUP(AI$1,main!$A$3:$H$102,5,FALSE)-VLOOKUP($A29,main!$A$3:$H$102,6,FALSE)&gt;=main!$D$103+VLOOKUP(VLOOKUP(AI$1,main!$A$3:$I$102,7,FALSE),main!$K$26:$Q$29,3,FALSE),1,0)</f>
        <v>1</v>
      </c>
      <c r="AJ29">
        <f>IF(VLOOKUP(AJ$1,main!$A$3:$H$102,5,FALSE)-VLOOKUP($A29,main!$A$3:$H$102,6,FALSE)&gt;=main!$D$103+VLOOKUP(VLOOKUP(AJ$1,main!$A$3:$I$102,7,FALSE),main!$K$26:$Q$29,3,FALSE),1,0)</f>
        <v>1</v>
      </c>
      <c r="AK29">
        <f>IF(VLOOKUP(AK$1,main!$A$3:$H$102,5,FALSE)-VLOOKUP($A29,main!$A$3:$H$102,6,FALSE)&gt;=main!$D$103+VLOOKUP(VLOOKUP(AK$1,main!$A$3:$I$102,7,FALSE),main!$K$26:$Q$29,3,FALSE),1,0)</f>
        <v>1</v>
      </c>
      <c r="AL29">
        <f>IF(VLOOKUP(AL$1,main!$A$3:$H$102,5,FALSE)-VLOOKUP($A29,main!$A$3:$H$102,6,FALSE)&gt;=main!$D$103+VLOOKUP(VLOOKUP(AL$1,main!$A$3:$I$102,7,FALSE),main!$K$26:$Q$29,3,FALSE),1,0)</f>
        <v>1</v>
      </c>
      <c r="AM29">
        <f>IF(VLOOKUP(AM$1,main!$A$3:$H$102,5,FALSE)-VLOOKUP($A29,main!$A$3:$H$102,6,FALSE)&gt;=main!$D$103+VLOOKUP(VLOOKUP(AM$1,main!$A$3:$I$102,7,FALSE),main!$K$26:$Q$29,3,FALSE),1,0)</f>
        <v>1</v>
      </c>
      <c r="AN29">
        <f>IF(VLOOKUP(AN$1,main!$A$3:$H$102,5,FALSE)-VLOOKUP($A29,main!$A$3:$H$102,6,FALSE)&gt;=main!$D$103+VLOOKUP(VLOOKUP(AN$1,main!$A$3:$I$102,7,FALSE),main!$K$26:$Q$29,3,FALSE),1,0)</f>
        <v>1</v>
      </c>
      <c r="AO29">
        <f>IF(VLOOKUP(AO$1,main!$A$3:$H$102,5,FALSE)-VLOOKUP($A29,main!$A$3:$H$102,6,FALSE)&gt;=main!$D$103+VLOOKUP(VLOOKUP(AO$1,main!$A$3:$I$102,7,FALSE),main!$K$26:$Q$29,3,FALSE),1,0)</f>
        <v>0</v>
      </c>
      <c r="AP29">
        <f>IF(VLOOKUP(AP$1,main!$A$3:$H$102,5,FALSE)-VLOOKUP($A29,main!$A$3:$H$102,6,FALSE)&gt;=main!$D$103+VLOOKUP(VLOOKUP(AP$1,main!$A$3:$I$102,7,FALSE),main!$K$26:$Q$29,3,FALSE),1,0)</f>
        <v>1</v>
      </c>
      <c r="AQ29">
        <f>IF(VLOOKUP(AQ$1,main!$A$3:$H$102,5,FALSE)-VLOOKUP($A29,main!$A$3:$H$102,6,FALSE)&gt;=main!$D$103+VLOOKUP(VLOOKUP(AQ$1,main!$A$3:$I$102,7,FALSE),main!$K$26:$Q$29,3,FALSE),1,0)</f>
        <v>0</v>
      </c>
      <c r="AR29">
        <f>IF(VLOOKUP(AR$1,main!$A$3:$H$102,5,FALSE)-VLOOKUP($A29,main!$A$3:$H$102,6,FALSE)&gt;=main!$D$103+VLOOKUP(VLOOKUP(AR$1,main!$A$3:$I$102,7,FALSE),main!$K$26:$Q$29,3,FALSE),1,0)</f>
        <v>0</v>
      </c>
      <c r="AS29">
        <f>IF(VLOOKUP(AS$1,main!$A$3:$H$102,5,FALSE)-VLOOKUP($A29,main!$A$3:$H$102,6,FALSE)&gt;=main!$D$103+VLOOKUP(VLOOKUP(AS$1,main!$A$3:$I$102,7,FALSE),main!$K$26:$Q$29,3,FALSE),1,0)</f>
        <v>1</v>
      </c>
      <c r="AT29">
        <f>IF(VLOOKUP(AT$1,main!$A$3:$H$102,5,FALSE)-VLOOKUP($A29,main!$A$3:$H$102,6,FALSE)&gt;=main!$D$103+VLOOKUP(VLOOKUP(AT$1,main!$A$3:$I$102,7,FALSE),main!$K$26:$Q$29,3,FALSE),1,0)</f>
        <v>1</v>
      </c>
      <c r="AU29">
        <f>IF(VLOOKUP(AU$1,main!$A$3:$H$102,5,FALSE)-VLOOKUP($A29,main!$A$3:$H$102,6,FALSE)&gt;=main!$D$103+VLOOKUP(VLOOKUP(AU$1,main!$A$3:$I$102,7,FALSE),main!$K$26:$Q$29,3,FALSE),1,0)</f>
        <v>0</v>
      </c>
      <c r="AV29">
        <f>IF(VLOOKUP(AV$1,main!$A$3:$H$102,5,FALSE)-VLOOKUP($A29,main!$A$3:$H$102,6,FALSE)&gt;=main!$D$103+VLOOKUP(VLOOKUP(AV$1,main!$A$3:$I$102,7,FALSE),main!$K$26:$Q$29,3,FALSE),1,0)</f>
        <v>0</v>
      </c>
      <c r="AW29">
        <f>IF(VLOOKUP(AW$1,main!$A$3:$H$102,5,FALSE)-VLOOKUP($A29,main!$A$3:$H$102,6,FALSE)&gt;=main!$D$103+VLOOKUP(VLOOKUP(AW$1,main!$A$3:$I$102,7,FALSE),main!$K$26:$Q$29,3,FALSE),1,0)</f>
        <v>1</v>
      </c>
      <c r="AX29">
        <f>IF(VLOOKUP(AX$1,main!$A$3:$H$102,5,FALSE)-VLOOKUP($A29,main!$A$3:$H$102,6,FALSE)&gt;=main!$D$103+VLOOKUP(VLOOKUP(AX$1,main!$A$3:$I$102,7,FALSE),main!$K$26:$Q$29,3,FALSE),1,0)</f>
        <v>1</v>
      </c>
      <c r="AY29">
        <f>IF(VLOOKUP(AY$1,main!$A$3:$H$102,5,FALSE)-VLOOKUP($A29,main!$A$3:$H$102,6,FALSE)&gt;=main!$D$103+VLOOKUP(VLOOKUP(AY$1,main!$A$3:$I$102,7,FALSE),main!$K$26:$Q$29,3,FALSE),1,0)</f>
        <v>0</v>
      </c>
      <c r="AZ29">
        <f>IF(VLOOKUP(AZ$1,main!$A$3:$H$102,5,FALSE)-VLOOKUP($A29,main!$A$3:$H$102,6,FALSE)&gt;=main!$D$103+VLOOKUP(VLOOKUP(AZ$1,main!$A$3:$I$102,7,FALSE),main!$K$26:$Q$29,3,FALSE),1,0)</f>
        <v>1</v>
      </c>
      <c r="BA29">
        <f>IF(VLOOKUP(BA$1,main!$A$3:$H$102,5,FALSE)-VLOOKUP($A29,main!$A$3:$H$102,6,FALSE)&gt;=main!$D$103+VLOOKUP(VLOOKUP(BA$1,main!$A$3:$I$102,7,FALSE),main!$K$26:$Q$29,3,FALSE),1,0)</f>
        <v>0</v>
      </c>
      <c r="BB29">
        <f>IF(VLOOKUP(BB$1,main!$A$3:$H$102,5,FALSE)-VLOOKUP($A29,main!$A$3:$H$102,6,FALSE)&gt;=main!$D$103+VLOOKUP(VLOOKUP(BB$1,main!$A$3:$I$102,7,FALSE),main!$K$26:$Q$29,3,FALSE),1,0)</f>
        <v>1</v>
      </c>
      <c r="BC29">
        <f>IF(VLOOKUP(BC$1,main!$A$3:$H$102,5,FALSE)-VLOOKUP($A29,main!$A$3:$H$102,6,FALSE)&gt;=main!$D$103+VLOOKUP(VLOOKUP(BC$1,main!$A$3:$I$102,7,FALSE),main!$K$26:$Q$29,3,FALSE),1,0)</f>
        <v>1</v>
      </c>
      <c r="BD29">
        <f>IF(VLOOKUP(BD$1,main!$A$3:$H$102,5,FALSE)-VLOOKUP($A29,main!$A$3:$H$102,6,FALSE)&gt;=main!$D$103+VLOOKUP(VLOOKUP(BD$1,main!$A$3:$I$102,7,FALSE),main!$K$26:$Q$29,3,FALSE),1,0)</f>
        <v>1</v>
      </c>
      <c r="BE29">
        <f>IF(VLOOKUP(BE$1,main!$A$3:$H$102,5,FALSE)-VLOOKUP($A29,main!$A$3:$H$102,6,FALSE)&gt;=main!$D$103+VLOOKUP(VLOOKUP(BE$1,main!$A$3:$I$102,7,FALSE),main!$K$26:$Q$29,3,FALSE),1,0)</f>
        <v>1</v>
      </c>
      <c r="BF29">
        <f>IF(VLOOKUP(BF$1,main!$A$3:$H$102,5,FALSE)-VLOOKUP($A29,main!$A$3:$H$102,6,FALSE)&gt;=main!$D$103+VLOOKUP(VLOOKUP(BF$1,main!$A$3:$I$102,7,FALSE),main!$K$26:$Q$29,3,FALSE),1,0)</f>
        <v>0</v>
      </c>
      <c r="BG29">
        <f>IF(VLOOKUP(BG$1,main!$A$3:$H$102,5,FALSE)-VLOOKUP($A29,main!$A$3:$H$102,6,FALSE)&gt;=main!$D$103+VLOOKUP(VLOOKUP(BG$1,main!$A$3:$I$102,7,FALSE),main!$K$26:$Q$29,3,FALSE),1,0)</f>
        <v>0</v>
      </c>
      <c r="BH29">
        <f>IF(VLOOKUP(BH$1,main!$A$3:$H$102,5,FALSE)-VLOOKUP($A29,main!$A$3:$H$102,6,FALSE)&gt;=main!$D$103+VLOOKUP(VLOOKUP(BH$1,main!$A$3:$I$102,7,FALSE),main!$K$26:$Q$29,3,FALSE),1,0)</f>
        <v>1</v>
      </c>
      <c r="BI29">
        <f>IF(VLOOKUP(BI$1,main!$A$3:$H$102,5,FALSE)-VLOOKUP($A29,main!$A$3:$H$102,6,FALSE)&gt;=main!$D$103+VLOOKUP(VLOOKUP(BI$1,main!$A$3:$I$102,7,FALSE),main!$K$26:$Q$29,3,FALSE),1,0)</f>
        <v>1</v>
      </c>
      <c r="BJ29">
        <f>IF(VLOOKUP(BJ$1,main!$A$3:$H$102,5,FALSE)-VLOOKUP($A29,main!$A$3:$H$102,6,FALSE)&gt;=main!$D$103+VLOOKUP(VLOOKUP(BJ$1,main!$A$3:$I$102,7,FALSE),main!$K$26:$Q$29,3,FALSE),1,0)</f>
        <v>1</v>
      </c>
      <c r="BK29">
        <f>IF(VLOOKUP(BK$1,main!$A$3:$H$102,5,FALSE)-VLOOKUP($A29,main!$A$3:$H$102,6,FALSE)&gt;=main!$D$103+VLOOKUP(VLOOKUP(BK$1,main!$A$3:$I$102,7,FALSE),main!$K$26:$Q$29,3,FALSE),1,0)</f>
        <v>0</v>
      </c>
      <c r="BL29">
        <f>IF(VLOOKUP(BL$1,main!$A$3:$H$102,5,FALSE)-VLOOKUP($A29,main!$A$3:$H$102,6,FALSE)&gt;=main!$D$103+VLOOKUP(VLOOKUP(BL$1,main!$A$3:$I$102,7,FALSE),main!$K$26:$Q$29,3,FALSE),1,0)</f>
        <v>0</v>
      </c>
      <c r="BM29">
        <f>IF(VLOOKUP(BM$1,main!$A$3:$H$102,5,FALSE)-VLOOKUP($A29,main!$A$3:$H$102,6,FALSE)&gt;=main!$D$103+VLOOKUP(VLOOKUP(BM$1,main!$A$3:$I$102,7,FALSE),main!$K$26:$Q$29,3,FALSE),1,0)</f>
        <v>0</v>
      </c>
      <c r="BN29">
        <f>IF(VLOOKUP(BN$1,main!$A$3:$H$102,5,FALSE)-VLOOKUP($A29,main!$A$3:$H$102,6,FALSE)&gt;=main!$D$103+VLOOKUP(VLOOKUP(BN$1,main!$A$3:$I$102,7,FALSE),main!$K$26:$Q$29,3,FALSE),1,0)</f>
        <v>1</v>
      </c>
      <c r="BO29">
        <f>IF(VLOOKUP(BO$1,main!$A$3:$H$102,5,FALSE)-VLOOKUP($A29,main!$A$3:$H$102,6,FALSE)&gt;=main!$D$103+VLOOKUP(VLOOKUP(BO$1,main!$A$3:$I$102,7,FALSE),main!$K$26:$Q$29,3,FALSE),1,0)</f>
        <v>0</v>
      </c>
      <c r="BP29">
        <f>IF(VLOOKUP(BP$1,main!$A$3:$H$102,5,FALSE)-VLOOKUP($A29,main!$A$3:$H$102,6,FALSE)&gt;=main!$D$103+VLOOKUP(VLOOKUP(BP$1,main!$A$3:$I$102,7,FALSE),main!$K$26:$Q$29,3,FALSE),1,0)</f>
        <v>0</v>
      </c>
      <c r="BQ29">
        <f>IF(VLOOKUP(BQ$1,main!$A$3:$H$102,5,FALSE)-VLOOKUP($A29,main!$A$3:$H$102,6,FALSE)&gt;=main!$D$103+VLOOKUP(VLOOKUP(BQ$1,main!$A$3:$I$102,7,FALSE),main!$K$26:$Q$29,3,FALSE),1,0)</f>
        <v>1</v>
      </c>
      <c r="BR29">
        <f>IF(VLOOKUP(BR$1,main!$A$3:$H$102,5,FALSE)-VLOOKUP($A29,main!$A$3:$H$102,6,FALSE)&gt;=main!$D$103+VLOOKUP(VLOOKUP(BR$1,main!$A$3:$I$102,7,FALSE),main!$K$26:$Q$29,3,FALSE),1,0)</f>
        <v>1</v>
      </c>
      <c r="BS29">
        <f>IF(VLOOKUP(BS$1,main!$A$3:$H$102,5,FALSE)-VLOOKUP($A29,main!$A$3:$H$102,6,FALSE)&gt;=main!$D$103+VLOOKUP(VLOOKUP(BS$1,main!$A$3:$I$102,7,FALSE),main!$K$26:$Q$29,3,FALSE),1,0)</f>
        <v>1</v>
      </c>
      <c r="BT29">
        <f>IF(VLOOKUP(BT$1,main!$A$3:$H$102,5,FALSE)-VLOOKUP($A29,main!$A$3:$H$102,6,FALSE)&gt;=main!$D$103+VLOOKUP(VLOOKUP(BT$1,main!$A$3:$I$102,7,FALSE),main!$K$26:$Q$29,3,FALSE),1,0)</f>
        <v>1</v>
      </c>
      <c r="BU29">
        <f>IF(VLOOKUP(BU$1,main!$A$3:$H$102,5,FALSE)-VLOOKUP($A29,main!$A$3:$H$102,6,FALSE)&gt;=main!$D$103+VLOOKUP(VLOOKUP(BU$1,main!$A$3:$I$102,7,FALSE),main!$K$26:$Q$29,3,FALSE),1,0)</f>
        <v>0</v>
      </c>
      <c r="BV29">
        <f>IF(VLOOKUP(BV$1,main!$A$3:$H$102,5,FALSE)-VLOOKUP($A29,main!$A$3:$H$102,6,FALSE)&gt;=main!$D$103+VLOOKUP(VLOOKUP(BV$1,main!$A$3:$I$102,7,FALSE),main!$K$26:$Q$29,3,FALSE),1,0)</f>
        <v>0</v>
      </c>
      <c r="BW29">
        <f>IF(VLOOKUP(BW$1,main!$A$3:$H$102,5,FALSE)-VLOOKUP($A29,main!$A$3:$H$102,6,FALSE)&gt;=main!$D$103+VLOOKUP(VLOOKUP(BW$1,main!$A$3:$I$102,7,FALSE),main!$K$26:$Q$29,3,FALSE),1,0)</f>
        <v>0</v>
      </c>
      <c r="BX29">
        <f>IF(VLOOKUP(BX$1,main!$A$3:$H$102,5,FALSE)-VLOOKUP($A29,main!$A$3:$H$102,6,FALSE)&gt;=main!$D$103+VLOOKUP(VLOOKUP(BX$1,main!$A$3:$I$102,7,FALSE),main!$K$26:$Q$29,3,FALSE),1,0)</f>
        <v>1</v>
      </c>
      <c r="BY29">
        <f>IF(VLOOKUP(BY$1,main!$A$3:$H$102,5,FALSE)-VLOOKUP($A29,main!$A$3:$H$102,6,FALSE)&gt;=main!$D$103+VLOOKUP(VLOOKUP(BY$1,main!$A$3:$I$102,7,FALSE),main!$K$26:$Q$29,3,FALSE),1,0)</f>
        <v>1</v>
      </c>
      <c r="BZ29">
        <f>IF(VLOOKUP(BZ$1,main!$A$3:$H$102,5,FALSE)-VLOOKUP($A29,main!$A$3:$H$102,6,FALSE)&gt;=main!$D$103+VLOOKUP(VLOOKUP(BZ$1,main!$A$3:$I$102,7,FALSE),main!$K$26:$Q$29,3,FALSE),1,0)</f>
        <v>0</v>
      </c>
      <c r="CA29">
        <f>IF(VLOOKUP(CA$1,main!$A$3:$H$102,5,FALSE)-VLOOKUP($A29,main!$A$3:$H$102,6,FALSE)&gt;=main!$D$103+VLOOKUP(VLOOKUP(CA$1,main!$A$3:$I$102,7,FALSE),main!$K$26:$Q$29,3,FALSE),1,0)</f>
        <v>0</v>
      </c>
      <c r="CB29">
        <f>IF(VLOOKUP(CB$1,main!$A$3:$H$102,5,FALSE)-VLOOKUP($A29,main!$A$3:$H$102,6,FALSE)&gt;=main!$D$103+VLOOKUP(VLOOKUP(CB$1,main!$A$3:$I$102,7,FALSE),main!$K$26:$Q$29,3,FALSE),1,0)</f>
        <v>1</v>
      </c>
      <c r="CC29">
        <f>IF(VLOOKUP(CC$1,main!$A$3:$H$102,5,FALSE)-VLOOKUP($A29,main!$A$3:$H$102,6,FALSE)&gt;=main!$D$103+VLOOKUP(VLOOKUP(CC$1,main!$A$3:$I$102,7,FALSE),main!$K$26:$Q$29,3,FALSE),1,0)</f>
        <v>1</v>
      </c>
      <c r="CD29">
        <f>IF(VLOOKUP(CD$1,main!$A$3:$H$102,5,FALSE)-VLOOKUP($A29,main!$A$3:$H$102,6,FALSE)&gt;=main!$D$103+VLOOKUP(VLOOKUP(CD$1,main!$A$3:$I$102,7,FALSE),main!$K$26:$Q$29,3,FALSE),1,0)</f>
        <v>1</v>
      </c>
      <c r="CE29">
        <f>IF(VLOOKUP(CE$1,main!$A$3:$H$102,5,FALSE)-VLOOKUP($A29,main!$A$3:$H$102,6,FALSE)&gt;=main!$D$103+VLOOKUP(VLOOKUP(CE$1,main!$A$3:$I$102,7,FALSE),main!$K$26:$Q$29,3,FALSE),1,0)</f>
        <v>1</v>
      </c>
      <c r="CF29">
        <f>IF(VLOOKUP(CF$1,main!$A$3:$H$102,5,FALSE)-VLOOKUP($A29,main!$A$3:$H$102,6,FALSE)&gt;=main!$D$103+VLOOKUP(VLOOKUP(CF$1,main!$A$3:$I$102,7,FALSE),main!$K$26:$Q$29,3,FALSE),1,0)</f>
        <v>1</v>
      </c>
      <c r="CG29">
        <f>IF(VLOOKUP(CG$1,main!$A$3:$H$102,5,FALSE)-VLOOKUP($A29,main!$A$3:$H$102,6,FALSE)&gt;=main!$D$103+VLOOKUP(VLOOKUP(CG$1,main!$A$3:$I$102,7,FALSE),main!$K$26:$Q$29,3,FALSE),1,0)</f>
        <v>1</v>
      </c>
      <c r="CH29">
        <f>IF(VLOOKUP(CH$1,main!$A$3:$H$102,5,FALSE)-VLOOKUP($A29,main!$A$3:$H$102,6,FALSE)&gt;=main!$D$103+VLOOKUP(VLOOKUP(CH$1,main!$A$3:$I$102,7,FALSE),main!$K$26:$Q$29,3,FALSE),1,0)</f>
        <v>1</v>
      </c>
      <c r="CI29">
        <f>IF(VLOOKUP(CI$1,main!$A$3:$H$102,5,FALSE)-VLOOKUP($A29,main!$A$3:$H$102,6,FALSE)&gt;=main!$D$103+VLOOKUP(VLOOKUP(CI$1,main!$A$3:$I$102,7,FALSE),main!$K$26:$Q$29,3,FALSE),1,0)</f>
        <v>1</v>
      </c>
      <c r="CJ29">
        <f>IF(VLOOKUP(CJ$1,main!$A$3:$H$102,5,FALSE)-VLOOKUP($A29,main!$A$3:$H$102,6,FALSE)&gt;=main!$D$103+VLOOKUP(VLOOKUP(CJ$1,main!$A$3:$I$102,7,FALSE),main!$K$26:$Q$29,3,FALSE),1,0)</f>
        <v>1</v>
      </c>
      <c r="CK29">
        <f>IF(VLOOKUP(CK$1,main!$A$3:$H$102,5,FALSE)-VLOOKUP($A29,main!$A$3:$H$102,6,FALSE)&gt;=main!$D$103+VLOOKUP(VLOOKUP(CK$1,main!$A$3:$I$102,7,FALSE),main!$K$26:$Q$29,3,FALSE),1,0)</f>
        <v>0</v>
      </c>
      <c r="CL29">
        <f>IF(VLOOKUP(CL$1,main!$A$3:$H$102,5,FALSE)-VLOOKUP($A29,main!$A$3:$H$102,6,FALSE)&gt;=main!$D$103+VLOOKUP(VLOOKUP(CL$1,main!$A$3:$I$102,7,FALSE),main!$K$26:$Q$29,3,FALSE),1,0)</f>
        <v>1</v>
      </c>
      <c r="CM29">
        <f>IF(VLOOKUP(CM$1,main!$A$3:$H$102,5,FALSE)-VLOOKUP($A29,main!$A$3:$H$102,6,FALSE)&gt;=main!$D$103+VLOOKUP(VLOOKUP(CM$1,main!$A$3:$I$102,7,FALSE),main!$K$26:$Q$29,3,FALSE),1,0)</f>
        <v>1</v>
      </c>
      <c r="CN29">
        <f>IF(VLOOKUP(CN$1,main!$A$3:$H$102,5,FALSE)-VLOOKUP($A29,main!$A$3:$H$102,6,FALSE)&gt;=main!$D$103+VLOOKUP(VLOOKUP(CN$1,main!$A$3:$I$102,7,FALSE),main!$K$26:$Q$29,3,FALSE),1,0)</f>
        <v>1</v>
      </c>
      <c r="CO29">
        <f>IF(VLOOKUP(CO$1,main!$A$3:$H$102,5,FALSE)-VLOOKUP($A29,main!$A$3:$H$102,6,FALSE)&gt;=main!$D$103+VLOOKUP(VLOOKUP(CO$1,main!$A$3:$I$102,7,FALSE),main!$K$26:$Q$29,3,FALSE),1,0)</f>
        <v>0</v>
      </c>
      <c r="CP29">
        <f>IF(VLOOKUP(CP$1,main!$A$3:$H$102,5,FALSE)-VLOOKUP($A29,main!$A$3:$H$102,6,FALSE)&gt;=main!$D$103+VLOOKUP(VLOOKUP(CP$1,main!$A$3:$I$102,7,FALSE),main!$K$26:$Q$29,3,FALSE),1,0)</f>
        <v>1</v>
      </c>
      <c r="CQ29">
        <f>IF(VLOOKUP(CQ$1,main!$A$3:$H$102,5,FALSE)-VLOOKUP($A29,main!$A$3:$H$102,6,FALSE)&gt;=main!$D$103+VLOOKUP(VLOOKUP(CQ$1,main!$A$3:$I$102,7,FALSE),main!$K$26:$Q$29,3,FALSE),1,0)</f>
        <v>1</v>
      </c>
      <c r="CR29">
        <f>IF(VLOOKUP(CR$1,main!$A$3:$H$102,5,FALSE)-VLOOKUP($A29,main!$A$3:$H$102,6,FALSE)&gt;=main!$D$103+VLOOKUP(VLOOKUP(CR$1,main!$A$3:$I$102,7,FALSE),main!$K$26:$Q$29,3,FALSE),1,0)</f>
        <v>1</v>
      </c>
      <c r="CS29">
        <f>IF(VLOOKUP(CS$1,main!$A$3:$H$102,5,FALSE)-VLOOKUP($A29,main!$A$3:$H$102,6,FALSE)&gt;=main!$D$103+VLOOKUP(VLOOKUP(CS$1,main!$A$3:$I$102,7,FALSE),main!$K$26:$Q$29,3,FALSE),1,0)</f>
        <v>1</v>
      </c>
      <c r="CT29">
        <f>IF(VLOOKUP(CT$1,main!$A$3:$H$102,5,FALSE)-VLOOKUP($A29,main!$A$3:$H$102,6,FALSE)&gt;=main!$D$103+VLOOKUP(VLOOKUP(CT$1,main!$A$3:$I$102,7,FALSE),main!$K$26:$Q$29,3,FALSE),1,0)</f>
        <v>0</v>
      </c>
      <c r="CU29">
        <f>IF(VLOOKUP(CU$1,main!$A$3:$H$102,5,FALSE)-VLOOKUP($A29,main!$A$3:$H$102,6,FALSE)&gt;=main!$D$103+VLOOKUP(VLOOKUP(CU$1,main!$A$3:$I$102,7,FALSE),main!$K$26:$Q$29,3,FALSE),1,0)</f>
        <v>0</v>
      </c>
      <c r="CV29">
        <f>IF(VLOOKUP(CV$1,main!$A$3:$H$102,5,FALSE)-VLOOKUP($A29,main!$A$3:$H$102,6,FALSE)&gt;=main!$D$103+VLOOKUP(VLOOKUP(CV$1,main!$A$3:$I$102,7,FALSE),main!$K$26:$Q$29,3,FALSE),1,0)</f>
        <v>1</v>
      </c>
      <c r="CW29">
        <f>IF(VLOOKUP(CW$1,main!$A$3:$H$102,5,FALSE)-VLOOKUP($A29,main!$A$3:$H$102,6,FALSE)&gt;=main!$D$103+VLOOKUP(VLOOKUP(CW$1,main!$A$3:$I$102,7,FALSE),main!$K$26:$Q$29,3,FALSE),1,0)</f>
        <v>1</v>
      </c>
      <c r="CX29">
        <f>IF(VLOOKUP(CX$1,main!$A$3:$H$102,5,FALSE)-VLOOKUP($A29,main!$A$3:$H$102,6,FALSE)&gt;=main!$D$103+VLOOKUP(VLOOKUP(CX$1,main!$A$3:$I$102,7,FALSE),main!$K$26:$Q$29,3,FALSE),1,0)</f>
        <v>1</v>
      </c>
    </row>
    <row r="30" spans="1:104" x14ac:dyDescent="0.25">
      <c r="A30" s="1">
        <v>28</v>
      </c>
      <c r="B30">
        <v>0</v>
      </c>
      <c r="C30">
        <f>IF(VLOOKUP(C$1,main!$A$3:$H$102,5,FALSE)-VLOOKUP($A30,main!$A$3:$H$102,6,FALSE)&gt;=main!$D$103+VLOOKUP(VLOOKUP(C$1,main!$A$3:$I$102,7,FALSE),main!$K$26:$Q$29,3,FALSE),1,0)</f>
        <v>0</v>
      </c>
      <c r="D30">
        <f>IF(VLOOKUP(D$1,main!$A$3:$H$102,5,FALSE)-VLOOKUP($A30,main!$A$3:$H$102,6,FALSE)&gt;=main!$D$103+VLOOKUP(VLOOKUP(D$1,main!$A$3:$I$102,7,FALSE),main!$K$26:$Q$29,3,FALSE),1,0)</f>
        <v>0</v>
      </c>
      <c r="E30">
        <f>IF(VLOOKUP(E$1,main!$A$3:$H$102,5,FALSE)-VLOOKUP($A30,main!$A$3:$H$102,6,FALSE)&gt;=main!$D$103+VLOOKUP(VLOOKUP(E$1,main!$A$3:$I$102,7,FALSE),main!$K$26:$Q$29,3,FALSE),1,0)</f>
        <v>0</v>
      </c>
      <c r="F30">
        <f>IF(VLOOKUP(F$1,main!$A$3:$H$102,5,FALSE)-VLOOKUP($A30,main!$A$3:$H$102,6,FALSE)&gt;=main!$D$103+VLOOKUP(VLOOKUP(F$1,main!$A$3:$I$102,7,FALSE),main!$K$26:$Q$29,3,FALSE),1,0)</f>
        <v>0</v>
      </c>
      <c r="G30">
        <f>IF(VLOOKUP(G$1,main!$A$3:$H$102,5,FALSE)-VLOOKUP($A30,main!$A$3:$H$102,6,FALSE)&gt;=main!$D$103+VLOOKUP(VLOOKUP(G$1,main!$A$3:$I$102,7,FALSE),main!$K$26:$Q$29,3,FALSE),1,0)</f>
        <v>0</v>
      </c>
      <c r="H30">
        <f>IF(VLOOKUP(H$1,main!$A$3:$H$102,5,FALSE)-VLOOKUP($A30,main!$A$3:$H$102,6,FALSE)&gt;=main!$D$103+VLOOKUP(VLOOKUP(H$1,main!$A$3:$I$102,7,FALSE),main!$K$26:$Q$29,3,FALSE),1,0)</f>
        <v>0</v>
      </c>
      <c r="I30">
        <f>IF(VLOOKUP(I$1,main!$A$3:$H$102,5,FALSE)-VLOOKUP($A30,main!$A$3:$H$102,6,FALSE)&gt;=main!$D$103+VLOOKUP(VLOOKUP(I$1,main!$A$3:$I$102,7,FALSE),main!$K$26:$Q$29,3,FALSE),1,0)</f>
        <v>1</v>
      </c>
      <c r="J30">
        <f>IF(VLOOKUP(J$1,main!$A$3:$H$102,5,FALSE)-VLOOKUP($A30,main!$A$3:$H$102,6,FALSE)&gt;=main!$D$103+VLOOKUP(VLOOKUP(J$1,main!$A$3:$I$102,7,FALSE),main!$K$26:$Q$29,3,FALSE),1,0)</f>
        <v>1</v>
      </c>
      <c r="K30">
        <f>IF(VLOOKUP(K$1,main!$A$3:$H$102,5,FALSE)-VLOOKUP($A30,main!$A$3:$H$102,6,FALSE)&gt;=main!$D$103+VLOOKUP(VLOOKUP(K$1,main!$A$3:$I$102,7,FALSE),main!$K$26:$Q$29,3,FALSE),1,0)</f>
        <v>1</v>
      </c>
      <c r="L30">
        <f>IF(VLOOKUP(L$1,main!$A$3:$H$102,5,FALSE)-VLOOKUP($A30,main!$A$3:$H$102,6,FALSE)&gt;=main!$D$103+VLOOKUP(VLOOKUP(L$1,main!$A$3:$I$102,7,FALSE),main!$K$26:$Q$29,3,FALSE),1,0)</f>
        <v>1</v>
      </c>
      <c r="M30">
        <f>IF(VLOOKUP(M$1,main!$A$3:$H$102,5,FALSE)-VLOOKUP($A30,main!$A$3:$H$102,6,FALSE)&gt;=main!$D$103+VLOOKUP(VLOOKUP(M$1,main!$A$3:$I$102,7,FALSE),main!$K$26:$Q$29,3,FALSE),1,0)</f>
        <v>0</v>
      </c>
      <c r="N30">
        <f>IF(VLOOKUP(N$1,main!$A$3:$H$102,5,FALSE)-VLOOKUP($A30,main!$A$3:$H$102,6,FALSE)&gt;=main!$D$103+VLOOKUP(VLOOKUP(N$1,main!$A$3:$I$102,7,FALSE),main!$K$26:$Q$29,3,FALSE),1,0)</f>
        <v>0</v>
      </c>
      <c r="O30">
        <f>IF(VLOOKUP(O$1,main!$A$3:$H$102,5,FALSE)-VLOOKUP($A30,main!$A$3:$H$102,6,FALSE)&gt;=main!$D$103+VLOOKUP(VLOOKUP(O$1,main!$A$3:$I$102,7,FALSE),main!$K$26:$Q$29,3,FALSE),1,0)</f>
        <v>0</v>
      </c>
      <c r="P30">
        <f>IF(VLOOKUP(P$1,main!$A$3:$H$102,5,FALSE)-VLOOKUP($A30,main!$A$3:$H$102,6,FALSE)&gt;=main!$D$103+VLOOKUP(VLOOKUP(P$1,main!$A$3:$I$102,7,FALSE),main!$K$26:$Q$29,3,FALSE),1,0)</f>
        <v>0</v>
      </c>
      <c r="Q30">
        <f>IF(VLOOKUP(Q$1,main!$A$3:$H$102,5,FALSE)-VLOOKUP($A30,main!$A$3:$H$102,6,FALSE)&gt;=main!$D$103+VLOOKUP(VLOOKUP(Q$1,main!$A$3:$I$102,7,FALSE),main!$K$26:$Q$29,3,FALSE),1,0)</f>
        <v>0</v>
      </c>
      <c r="R30">
        <f>IF(VLOOKUP(R$1,main!$A$3:$H$102,5,FALSE)-VLOOKUP($A30,main!$A$3:$H$102,6,FALSE)&gt;=main!$D$103+VLOOKUP(VLOOKUP(R$1,main!$A$3:$I$102,7,FALSE),main!$K$26:$Q$29,3,FALSE),1,0)</f>
        <v>0</v>
      </c>
      <c r="S30">
        <f>IF(VLOOKUP(S$1,main!$A$3:$H$102,5,FALSE)-VLOOKUP($A30,main!$A$3:$H$102,6,FALSE)&gt;=main!$D$103+VLOOKUP(VLOOKUP(S$1,main!$A$3:$I$102,7,FALSE),main!$K$26:$Q$29,3,FALSE),1,0)</f>
        <v>0</v>
      </c>
      <c r="T30">
        <f>IF(VLOOKUP(T$1,main!$A$3:$H$102,5,FALSE)-VLOOKUP($A30,main!$A$3:$H$102,6,FALSE)&gt;=main!$D$103+VLOOKUP(VLOOKUP(T$1,main!$A$3:$I$102,7,FALSE),main!$K$26:$Q$29,3,FALSE),1,0)</f>
        <v>1</v>
      </c>
      <c r="U30">
        <f>IF(VLOOKUP(U$1,main!$A$3:$H$102,5,FALSE)-VLOOKUP($A30,main!$A$3:$H$102,6,FALSE)&gt;=main!$D$103+VLOOKUP(VLOOKUP(U$1,main!$A$3:$I$102,7,FALSE),main!$K$26:$Q$29,3,FALSE),1,0)</f>
        <v>1</v>
      </c>
      <c r="V30">
        <f>IF(VLOOKUP(V$1,main!$A$3:$H$102,5,FALSE)-VLOOKUP($A30,main!$A$3:$H$102,6,FALSE)&gt;=main!$D$103+VLOOKUP(VLOOKUP(V$1,main!$A$3:$I$102,7,FALSE),main!$K$26:$Q$29,3,FALSE),1,0)</f>
        <v>1</v>
      </c>
      <c r="W30">
        <f>IF(VLOOKUP(W$1,main!$A$3:$H$102,5,FALSE)-VLOOKUP($A30,main!$A$3:$H$102,6,FALSE)&gt;=main!$D$103+VLOOKUP(VLOOKUP(W$1,main!$A$3:$I$102,7,FALSE),main!$K$26:$Q$29,3,FALSE),1,0)</f>
        <v>0</v>
      </c>
      <c r="X30">
        <f>IF(VLOOKUP(X$1,main!$A$3:$H$102,5,FALSE)-VLOOKUP($A30,main!$A$3:$H$102,6,FALSE)&gt;=main!$D$103+VLOOKUP(VLOOKUP(X$1,main!$A$3:$I$102,7,FALSE),main!$K$26:$Q$29,3,FALSE),1,0)</f>
        <v>0</v>
      </c>
      <c r="Y30">
        <f>IF(VLOOKUP(Y$1,main!$A$3:$H$102,5,FALSE)-VLOOKUP($A30,main!$A$3:$H$102,6,FALSE)&gt;=main!$D$103+VLOOKUP(VLOOKUP(Y$1,main!$A$3:$I$102,7,FALSE),main!$K$26:$Q$29,3,FALSE),1,0)</f>
        <v>0</v>
      </c>
      <c r="Z30">
        <f>IF(VLOOKUP(Z$1,main!$A$3:$H$102,5,FALSE)-VLOOKUP($A30,main!$A$3:$H$102,6,FALSE)&gt;=main!$D$103+VLOOKUP(VLOOKUP(Z$1,main!$A$3:$I$102,7,FALSE),main!$K$26:$Q$29,3,FALSE),1,0)</f>
        <v>1</v>
      </c>
      <c r="AA30">
        <f>IF(VLOOKUP(AA$1,main!$A$3:$H$102,5,FALSE)-VLOOKUP($A30,main!$A$3:$H$102,6,FALSE)&gt;=main!$D$103+VLOOKUP(VLOOKUP(AA$1,main!$A$3:$I$102,7,FALSE),main!$K$26:$Q$29,3,FALSE),1,0)</f>
        <v>1</v>
      </c>
      <c r="AB30">
        <f>IF(VLOOKUP(AB$1,main!$A$3:$H$102,5,FALSE)-VLOOKUP($A30,main!$A$3:$H$102,6,FALSE)&gt;=main!$D$103+VLOOKUP(VLOOKUP(AB$1,main!$A$3:$I$102,7,FALSE),main!$K$26:$Q$29,3,FALSE),1,0)</f>
        <v>0</v>
      </c>
      <c r="AC30">
        <f>IF(VLOOKUP(AC$1,main!$A$3:$H$102,5,FALSE)-VLOOKUP($A30,main!$A$3:$H$102,6,FALSE)&gt;=main!$D$103+VLOOKUP(VLOOKUP(AC$1,main!$A$3:$I$102,7,FALSE),main!$K$26:$Q$29,3,FALSE),1,0)</f>
        <v>0</v>
      </c>
      <c r="AD30">
        <f>IF(VLOOKUP(AD$1,main!$A$3:$H$102,5,FALSE)-VLOOKUP($A30,main!$A$3:$H$102,6,FALSE)&gt;=main!$D$103+VLOOKUP(VLOOKUP(AD$1,main!$A$3:$I$102,7,FALSE),main!$K$26:$Q$29,3,FALSE),1,0)</f>
        <v>0</v>
      </c>
      <c r="AE30">
        <f>IF(VLOOKUP(AE$1,main!$A$3:$H$102,5,FALSE)-VLOOKUP($A30,main!$A$3:$H$102,6,FALSE)&gt;=main!$D$103+VLOOKUP(VLOOKUP(AE$1,main!$A$3:$I$102,7,FALSE),main!$K$26:$Q$29,3,FALSE),1,0)</f>
        <v>0</v>
      </c>
      <c r="AF30">
        <f>IF(VLOOKUP(AF$1,main!$A$3:$H$102,5,FALSE)-VLOOKUP($A30,main!$A$3:$H$102,6,FALSE)&gt;=main!$D$103+VLOOKUP(VLOOKUP(AF$1,main!$A$3:$I$102,7,FALSE),main!$K$26:$Q$29,3,FALSE),1,0)</f>
        <v>1</v>
      </c>
      <c r="AG30">
        <f>IF(VLOOKUP(AG$1,main!$A$3:$H$102,5,FALSE)-VLOOKUP($A30,main!$A$3:$H$102,6,FALSE)&gt;=main!$D$103+VLOOKUP(VLOOKUP(AG$1,main!$A$3:$I$102,7,FALSE),main!$K$26:$Q$29,3,FALSE),1,0)</f>
        <v>0</v>
      </c>
      <c r="AH30">
        <f>IF(VLOOKUP(AH$1,main!$A$3:$H$102,5,FALSE)-VLOOKUP($A30,main!$A$3:$H$102,6,FALSE)&gt;=main!$D$103+VLOOKUP(VLOOKUP(AH$1,main!$A$3:$I$102,7,FALSE),main!$K$26:$Q$29,3,FALSE),1,0)</f>
        <v>0</v>
      </c>
      <c r="AI30">
        <f>IF(VLOOKUP(AI$1,main!$A$3:$H$102,5,FALSE)-VLOOKUP($A30,main!$A$3:$H$102,6,FALSE)&gt;=main!$D$103+VLOOKUP(VLOOKUP(AI$1,main!$A$3:$I$102,7,FALSE),main!$K$26:$Q$29,3,FALSE),1,0)</f>
        <v>0</v>
      </c>
      <c r="AJ30">
        <f>IF(VLOOKUP(AJ$1,main!$A$3:$H$102,5,FALSE)-VLOOKUP($A30,main!$A$3:$H$102,6,FALSE)&gt;=main!$D$103+VLOOKUP(VLOOKUP(AJ$1,main!$A$3:$I$102,7,FALSE),main!$K$26:$Q$29,3,FALSE),1,0)</f>
        <v>0</v>
      </c>
      <c r="AK30">
        <f>IF(VLOOKUP(AK$1,main!$A$3:$H$102,5,FALSE)-VLOOKUP($A30,main!$A$3:$H$102,6,FALSE)&gt;=main!$D$103+VLOOKUP(VLOOKUP(AK$1,main!$A$3:$I$102,7,FALSE),main!$K$26:$Q$29,3,FALSE),1,0)</f>
        <v>0</v>
      </c>
      <c r="AL30">
        <f>IF(VLOOKUP(AL$1,main!$A$3:$H$102,5,FALSE)-VLOOKUP($A30,main!$A$3:$H$102,6,FALSE)&gt;=main!$D$103+VLOOKUP(VLOOKUP(AL$1,main!$A$3:$I$102,7,FALSE),main!$K$26:$Q$29,3,FALSE),1,0)</f>
        <v>1</v>
      </c>
      <c r="AM30">
        <f>IF(VLOOKUP(AM$1,main!$A$3:$H$102,5,FALSE)-VLOOKUP($A30,main!$A$3:$H$102,6,FALSE)&gt;=main!$D$103+VLOOKUP(VLOOKUP(AM$1,main!$A$3:$I$102,7,FALSE),main!$K$26:$Q$29,3,FALSE),1,0)</f>
        <v>1</v>
      </c>
      <c r="AN30">
        <f>IF(VLOOKUP(AN$1,main!$A$3:$H$102,5,FALSE)-VLOOKUP($A30,main!$A$3:$H$102,6,FALSE)&gt;=main!$D$103+VLOOKUP(VLOOKUP(AN$1,main!$A$3:$I$102,7,FALSE),main!$K$26:$Q$29,3,FALSE),1,0)</f>
        <v>1</v>
      </c>
      <c r="AO30">
        <f>IF(VLOOKUP(AO$1,main!$A$3:$H$102,5,FALSE)-VLOOKUP($A30,main!$A$3:$H$102,6,FALSE)&gt;=main!$D$103+VLOOKUP(VLOOKUP(AO$1,main!$A$3:$I$102,7,FALSE),main!$K$26:$Q$29,3,FALSE),1,0)</f>
        <v>0</v>
      </c>
      <c r="AP30">
        <f>IF(VLOOKUP(AP$1,main!$A$3:$H$102,5,FALSE)-VLOOKUP($A30,main!$A$3:$H$102,6,FALSE)&gt;=main!$D$103+VLOOKUP(VLOOKUP(AP$1,main!$A$3:$I$102,7,FALSE),main!$K$26:$Q$29,3,FALSE),1,0)</f>
        <v>1</v>
      </c>
      <c r="AQ30">
        <f>IF(VLOOKUP(AQ$1,main!$A$3:$H$102,5,FALSE)-VLOOKUP($A30,main!$A$3:$H$102,6,FALSE)&gt;=main!$D$103+VLOOKUP(VLOOKUP(AQ$1,main!$A$3:$I$102,7,FALSE),main!$K$26:$Q$29,3,FALSE),1,0)</f>
        <v>0</v>
      </c>
      <c r="AR30">
        <f>IF(VLOOKUP(AR$1,main!$A$3:$H$102,5,FALSE)-VLOOKUP($A30,main!$A$3:$H$102,6,FALSE)&gt;=main!$D$103+VLOOKUP(VLOOKUP(AR$1,main!$A$3:$I$102,7,FALSE),main!$K$26:$Q$29,3,FALSE),1,0)</f>
        <v>0</v>
      </c>
      <c r="AS30">
        <f>IF(VLOOKUP(AS$1,main!$A$3:$H$102,5,FALSE)-VLOOKUP($A30,main!$A$3:$H$102,6,FALSE)&gt;=main!$D$103+VLOOKUP(VLOOKUP(AS$1,main!$A$3:$I$102,7,FALSE),main!$K$26:$Q$29,3,FALSE),1,0)</f>
        <v>0</v>
      </c>
      <c r="AT30">
        <f>IF(VLOOKUP(AT$1,main!$A$3:$H$102,5,FALSE)-VLOOKUP($A30,main!$A$3:$H$102,6,FALSE)&gt;=main!$D$103+VLOOKUP(VLOOKUP(AT$1,main!$A$3:$I$102,7,FALSE),main!$K$26:$Q$29,3,FALSE),1,0)</f>
        <v>0</v>
      </c>
      <c r="AU30">
        <f>IF(VLOOKUP(AU$1,main!$A$3:$H$102,5,FALSE)-VLOOKUP($A30,main!$A$3:$H$102,6,FALSE)&gt;=main!$D$103+VLOOKUP(VLOOKUP(AU$1,main!$A$3:$I$102,7,FALSE),main!$K$26:$Q$29,3,FALSE),1,0)</f>
        <v>0</v>
      </c>
      <c r="AV30">
        <f>IF(VLOOKUP(AV$1,main!$A$3:$H$102,5,FALSE)-VLOOKUP($A30,main!$A$3:$H$102,6,FALSE)&gt;=main!$D$103+VLOOKUP(VLOOKUP(AV$1,main!$A$3:$I$102,7,FALSE),main!$K$26:$Q$29,3,FALSE),1,0)</f>
        <v>0</v>
      </c>
      <c r="AW30">
        <f>IF(VLOOKUP(AW$1,main!$A$3:$H$102,5,FALSE)-VLOOKUP($A30,main!$A$3:$H$102,6,FALSE)&gt;=main!$D$103+VLOOKUP(VLOOKUP(AW$1,main!$A$3:$I$102,7,FALSE),main!$K$26:$Q$29,3,FALSE),1,0)</f>
        <v>0</v>
      </c>
      <c r="AX30">
        <f>IF(VLOOKUP(AX$1,main!$A$3:$H$102,5,FALSE)-VLOOKUP($A30,main!$A$3:$H$102,6,FALSE)&gt;=main!$D$103+VLOOKUP(VLOOKUP(AX$1,main!$A$3:$I$102,7,FALSE),main!$K$26:$Q$29,3,FALSE),1,0)</f>
        <v>0</v>
      </c>
      <c r="AY30">
        <f>IF(VLOOKUP(AY$1,main!$A$3:$H$102,5,FALSE)-VLOOKUP($A30,main!$A$3:$H$102,6,FALSE)&gt;=main!$D$103+VLOOKUP(VLOOKUP(AY$1,main!$A$3:$I$102,7,FALSE),main!$K$26:$Q$29,3,FALSE),1,0)</f>
        <v>0</v>
      </c>
      <c r="AZ30">
        <f>IF(VLOOKUP(AZ$1,main!$A$3:$H$102,5,FALSE)-VLOOKUP($A30,main!$A$3:$H$102,6,FALSE)&gt;=main!$D$103+VLOOKUP(VLOOKUP(AZ$1,main!$A$3:$I$102,7,FALSE),main!$K$26:$Q$29,3,FALSE),1,0)</f>
        <v>0</v>
      </c>
      <c r="BA30">
        <f>IF(VLOOKUP(BA$1,main!$A$3:$H$102,5,FALSE)-VLOOKUP($A30,main!$A$3:$H$102,6,FALSE)&gt;=main!$D$103+VLOOKUP(VLOOKUP(BA$1,main!$A$3:$I$102,7,FALSE),main!$K$26:$Q$29,3,FALSE),1,0)</f>
        <v>0</v>
      </c>
      <c r="BB30">
        <f>IF(VLOOKUP(BB$1,main!$A$3:$H$102,5,FALSE)-VLOOKUP($A30,main!$A$3:$H$102,6,FALSE)&gt;=main!$D$103+VLOOKUP(VLOOKUP(BB$1,main!$A$3:$I$102,7,FALSE),main!$K$26:$Q$29,3,FALSE),1,0)</f>
        <v>0</v>
      </c>
      <c r="BC30">
        <f>IF(VLOOKUP(BC$1,main!$A$3:$H$102,5,FALSE)-VLOOKUP($A30,main!$A$3:$H$102,6,FALSE)&gt;=main!$D$103+VLOOKUP(VLOOKUP(BC$1,main!$A$3:$I$102,7,FALSE),main!$K$26:$Q$29,3,FALSE),1,0)</f>
        <v>0</v>
      </c>
      <c r="BD30">
        <f>IF(VLOOKUP(BD$1,main!$A$3:$H$102,5,FALSE)-VLOOKUP($A30,main!$A$3:$H$102,6,FALSE)&gt;=main!$D$103+VLOOKUP(VLOOKUP(BD$1,main!$A$3:$I$102,7,FALSE),main!$K$26:$Q$29,3,FALSE),1,0)</f>
        <v>0</v>
      </c>
      <c r="BE30">
        <f>IF(VLOOKUP(BE$1,main!$A$3:$H$102,5,FALSE)-VLOOKUP($A30,main!$A$3:$H$102,6,FALSE)&gt;=main!$D$103+VLOOKUP(VLOOKUP(BE$1,main!$A$3:$I$102,7,FALSE),main!$K$26:$Q$29,3,FALSE),1,0)</f>
        <v>1</v>
      </c>
      <c r="BF30">
        <f>IF(VLOOKUP(BF$1,main!$A$3:$H$102,5,FALSE)-VLOOKUP($A30,main!$A$3:$H$102,6,FALSE)&gt;=main!$D$103+VLOOKUP(VLOOKUP(BF$1,main!$A$3:$I$102,7,FALSE),main!$K$26:$Q$29,3,FALSE),1,0)</f>
        <v>0</v>
      </c>
      <c r="BG30">
        <f>IF(VLOOKUP(BG$1,main!$A$3:$H$102,5,FALSE)-VLOOKUP($A30,main!$A$3:$H$102,6,FALSE)&gt;=main!$D$103+VLOOKUP(VLOOKUP(BG$1,main!$A$3:$I$102,7,FALSE),main!$K$26:$Q$29,3,FALSE),1,0)</f>
        <v>0</v>
      </c>
      <c r="BH30">
        <f>IF(VLOOKUP(BH$1,main!$A$3:$H$102,5,FALSE)-VLOOKUP($A30,main!$A$3:$H$102,6,FALSE)&gt;=main!$D$103+VLOOKUP(VLOOKUP(BH$1,main!$A$3:$I$102,7,FALSE),main!$K$26:$Q$29,3,FALSE),1,0)</f>
        <v>0</v>
      </c>
      <c r="BI30">
        <f>IF(VLOOKUP(BI$1,main!$A$3:$H$102,5,FALSE)-VLOOKUP($A30,main!$A$3:$H$102,6,FALSE)&gt;=main!$D$103+VLOOKUP(VLOOKUP(BI$1,main!$A$3:$I$102,7,FALSE),main!$K$26:$Q$29,3,FALSE),1,0)</f>
        <v>1</v>
      </c>
      <c r="BJ30">
        <f>IF(VLOOKUP(BJ$1,main!$A$3:$H$102,5,FALSE)-VLOOKUP($A30,main!$A$3:$H$102,6,FALSE)&gt;=main!$D$103+VLOOKUP(VLOOKUP(BJ$1,main!$A$3:$I$102,7,FALSE),main!$K$26:$Q$29,3,FALSE),1,0)</f>
        <v>1</v>
      </c>
      <c r="BK30">
        <f>IF(VLOOKUP(BK$1,main!$A$3:$H$102,5,FALSE)-VLOOKUP($A30,main!$A$3:$H$102,6,FALSE)&gt;=main!$D$103+VLOOKUP(VLOOKUP(BK$1,main!$A$3:$I$102,7,FALSE),main!$K$26:$Q$29,3,FALSE),1,0)</f>
        <v>0</v>
      </c>
      <c r="BL30">
        <f>IF(VLOOKUP(BL$1,main!$A$3:$H$102,5,FALSE)-VLOOKUP($A30,main!$A$3:$H$102,6,FALSE)&gt;=main!$D$103+VLOOKUP(VLOOKUP(BL$1,main!$A$3:$I$102,7,FALSE),main!$K$26:$Q$29,3,FALSE),1,0)</f>
        <v>0</v>
      </c>
      <c r="BM30">
        <f>IF(VLOOKUP(BM$1,main!$A$3:$H$102,5,FALSE)-VLOOKUP($A30,main!$A$3:$H$102,6,FALSE)&gt;=main!$D$103+VLOOKUP(VLOOKUP(BM$1,main!$A$3:$I$102,7,FALSE),main!$K$26:$Q$29,3,FALSE),1,0)</f>
        <v>0</v>
      </c>
      <c r="BN30">
        <f>IF(VLOOKUP(BN$1,main!$A$3:$H$102,5,FALSE)-VLOOKUP($A30,main!$A$3:$H$102,6,FALSE)&gt;=main!$D$103+VLOOKUP(VLOOKUP(BN$1,main!$A$3:$I$102,7,FALSE),main!$K$26:$Q$29,3,FALSE),1,0)</f>
        <v>0</v>
      </c>
      <c r="BO30">
        <f>IF(VLOOKUP(BO$1,main!$A$3:$H$102,5,FALSE)-VLOOKUP($A30,main!$A$3:$H$102,6,FALSE)&gt;=main!$D$103+VLOOKUP(VLOOKUP(BO$1,main!$A$3:$I$102,7,FALSE),main!$K$26:$Q$29,3,FALSE),1,0)</f>
        <v>0</v>
      </c>
      <c r="BP30">
        <f>IF(VLOOKUP(BP$1,main!$A$3:$H$102,5,FALSE)-VLOOKUP($A30,main!$A$3:$H$102,6,FALSE)&gt;=main!$D$103+VLOOKUP(VLOOKUP(BP$1,main!$A$3:$I$102,7,FALSE),main!$K$26:$Q$29,3,FALSE),1,0)</f>
        <v>0</v>
      </c>
      <c r="BQ30">
        <f>IF(VLOOKUP(BQ$1,main!$A$3:$H$102,5,FALSE)-VLOOKUP($A30,main!$A$3:$H$102,6,FALSE)&gt;=main!$D$103+VLOOKUP(VLOOKUP(BQ$1,main!$A$3:$I$102,7,FALSE),main!$K$26:$Q$29,3,FALSE),1,0)</f>
        <v>0</v>
      </c>
      <c r="BR30">
        <f>IF(VLOOKUP(BR$1,main!$A$3:$H$102,5,FALSE)-VLOOKUP($A30,main!$A$3:$H$102,6,FALSE)&gt;=main!$D$103+VLOOKUP(VLOOKUP(BR$1,main!$A$3:$I$102,7,FALSE),main!$K$26:$Q$29,3,FALSE),1,0)</f>
        <v>0</v>
      </c>
      <c r="BS30">
        <f>IF(VLOOKUP(BS$1,main!$A$3:$H$102,5,FALSE)-VLOOKUP($A30,main!$A$3:$H$102,6,FALSE)&gt;=main!$D$103+VLOOKUP(VLOOKUP(BS$1,main!$A$3:$I$102,7,FALSE),main!$K$26:$Q$29,3,FALSE),1,0)</f>
        <v>0</v>
      </c>
      <c r="BT30">
        <f>IF(VLOOKUP(BT$1,main!$A$3:$H$102,5,FALSE)-VLOOKUP($A30,main!$A$3:$H$102,6,FALSE)&gt;=main!$D$103+VLOOKUP(VLOOKUP(BT$1,main!$A$3:$I$102,7,FALSE),main!$K$26:$Q$29,3,FALSE),1,0)</f>
        <v>0</v>
      </c>
      <c r="BU30">
        <f>IF(VLOOKUP(BU$1,main!$A$3:$H$102,5,FALSE)-VLOOKUP($A30,main!$A$3:$H$102,6,FALSE)&gt;=main!$D$103+VLOOKUP(VLOOKUP(BU$1,main!$A$3:$I$102,7,FALSE),main!$K$26:$Q$29,3,FALSE),1,0)</f>
        <v>0</v>
      </c>
      <c r="BV30">
        <f>IF(VLOOKUP(BV$1,main!$A$3:$H$102,5,FALSE)-VLOOKUP($A30,main!$A$3:$H$102,6,FALSE)&gt;=main!$D$103+VLOOKUP(VLOOKUP(BV$1,main!$A$3:$I$102,7,FALSE),main!$K$26:$Q$29,3,FALSE),1,0)</f>
        <v>0</v>
      </c>
      <c r="BW30">
        <f>IF(VLOOKUP(BW$1,main!$A$3:$H$102,5,FALSE)-VLOOKUP($A30,main!$A$3:$H$102,6,FALSE)&gt;=main!$D$103+VLOOKUP(VLOOKUP(BW$1,main!$A$3:$I$102,7,FALSE),main!$K$26:$Q$29,3,FALSE),1,0)</f>
        <v>0</v>
      </c>
      <c r="BX30">
        <f>IF(VLOOKUP(BX$1,main!$A$3:$H$102,5,FALSE)-VLOOKUP($A30,main!$A$3:$H$102,6,FALSE)&gt;=main!$D$103+VLOOKUP(VLOOKUP(BX$1,main!$A$3:$I$102,7,FALSE),main!$K$26:$Q$29,3,FALSE),1,0)</f>
        <v>0</v>
      </c>
      <c r="BY30">
        <f>IF(VLOOKUP(BY$1,main!$A$3:$H$102,5,FALSE)-VLOOKUP($A30,main!$A$3:$H$102,6,FALSE)&gt;=main!$D$103+VLOOKUP(VLOOKUP(BY$1,main!$A$3:$I$102,7,FALSE),main!$K$26:$Q$29,3,FALSE),1,0)</f>
        <v>0</v>
      </c>
      <c r="BZ30">
        <f>IF(VLOOKUP(BZ$1,main!$A$3:$H$102,5,FALSE)-VLOOKUP($A30,main!$A$3:$H$102,6,FALSE)&gt;=main!$D$103+VLOOKUP(VLOOKUP(BZ$1,main!$A$3:$I$102,7,FALSE),main!$K$26:$Q$29,3,FALSE),1,0)</f>
        <v>0</v>
      </c>
      <c r="CA30">
        <f>IF(VLOOKUP(CA$1,main!$A$3:$H$102,5,FALSE)-VLOOKUP($A30,main!$A$3:$H$102,6,FALSE)&gt;=main!$D$103+VLOOKUP(VLOOKUP(CA$1,main!$A$3:$I$102,7,FALSE),main!$K$26:$Q$29,3,FALSE),1,0)</f>
        <v>0</v>
      </c>
      <c r="CB30">
        <f>IF(VLOOKUP(CB$1,main!$A$3:$H$102,5,FALSE)-VLOOKUP($A30,main!$A$3:$H$102,6,FALSE)&gt;=main!$D$103+VLOOKUP(VLOOKUP(CB$1,main!$A$3:$I$102,7,FALSE),main!$K$26:$Q$29,3,FALSE),1,0)</f>
        <v>0</v>
      </c>
      <c r="CC30">
        <f>IF(VLOOKUP(CC$1,main!$A$3:$H$102,5,FALSE)-VLOOKUP($A30,main!$A$3:$H$102,6,FALSE)&gt;=main!$D$103+VLOOKUP(VLOOKUP(CC$1,main!$A$3:$I$102,7,FALSE),main!$K$26:$Q$29,3,FALSE),1,0)</f>
        <v>1</v>
      </c>
      <c r="CD30">
        <f>IF(VLOOKUP(CD$1,main!$A$3:$H$102,5,FALSE)-VLOOKUP($A30,main!$A$3:$H$102,6,FALSE)&gt;=main!$D$103+VLOOKUP(VLOOKUP(CD$1,main!$A$3:$I$102,7,FALSE),main!$K$26:$Q$29,3,FALSE),1,0)</f>
        <v>0</v>
      </c>
      <c r="CE30">
        <f>IF(VLOOKUP(CE$1,main!$A$3:$H$102,5,FALSE)-VLOOKUP($A30,main!$A$3:$H$102,6,FALSE)&gt;=main!$D$103+VLOOKUP(VLOOKUP(CE$1,main!$A$3:$I$102,7,FALSE),main!$K$26:$Q$29,3,FALSE),1,0)</f>
        <v>0</v>
      </c>
      <c r="CF30">
        <f>IF(VLOOKUP(CF$1,main!$A$3:$H$102,5,FALSE)-VLOOKUP($A30,main!$A$3:$H$102,6,FALSE)&gt;=main!$D$103+VLOOKUP(VLOOKUP(CF$1,main!$A$3:$I$102,7,FALSE),main!$K$26:$Q$29,3,FALSE),1,0)</f>
        <v>0</v>
      </c>
      <c r="CG30">
        <f>IF(VLOOKUP(CG$1,main!$A$3:$H$102,5,FALSE)-VLOOKUP($A30,main!$A$3:$H$102,6,FALSE)&gt;=main!$D$103+VLOOKUP(VLOOKUP(CG$1,main!$A$3:$I$102,7,FALSE),main!$K$26:$Q$29,3,FALSE),1,0)</f>
        <v>0</v>
      </c>
      <c r="CH30">
        <f>IF(VLOOKUP(CH$1,main!$A$3:$H$102,5,FALSE)-VLOOKUP($A30,main!$A$3:$H$102,6,FALSE)&gt;=main!$D$103+VLOOKUP(VLOOKUP(CH$1,main!$A$3:$I$102,7,FALSE),main!$K$26:$Q$29,3,FALSE),1,0)</f>
        <v>1</v>
      </c>
      <c r="CI30">
        <f>IF(VLOOKUP(CI$1,main!$A$3:$H$102,5,FALSE)-VLOOKUP($A30,main!$A$3:$H$102,6,FALSE)&gt;=main!$D$103+VLOOKUP(VLOOKUP(CI$1,main!$A$3:$I$102,7,FALSE),main!$K$26:$Q$29,3,FALSE),1,0)</f>
        <v>1</v>
      </c>
      <c r="CJ30">
        <f>IF(VLOOKUP(CJ$1,main!$A$3:$H$102,5,FALSE)-VLOOKUP($A30,main!$A$3:$H$102,6,FALSE)&gt;=main!$D$103+VLOOKUP(VLOOKUP(CJ$1,main!$A$3:$I$102,7,FALSE),main!$K$26:$Q$29,3,FALSE),1,0)</f>
        <v>0</v>
      </c>
      <c r="CK30">
        <f>IF(VLOOKUP(CK$1,main!$A$3:$H$102,5,FALSE)-VLOOKUP($A30,main!$A$3:$H$102,6,FALSE)&gt;=main!$D$103+VLOOKUP(VLOOKUP(CK$1,main!$A$3:$I$102,7,FALSE),main!$K$26:$Q$29,3,FALSE),1,0)</f>
        <v>0</v>
      </c>
      <c r="CL30">
        <f>IF(VLOOKUP(CL$1,main!$A$3:$H$102,5,FALSE)-VLOOKUP($A30,main!$A$3:$H$102,6,FALSE)&gt;=main!$D$103+VLOOKUP(VLOOKUP(CL$1,main!$A$3:$I$102,7,FALSE),main!$K$26:$Q$29,3,FALSE),1,0)</f>
        <v>0</v>
      </c>
      <c r="CM30">
        <f>IF(VLOOKUP(CM$1,main!$A$3:$H$102,5,FALSE)-VLOOKUP($A30,main!$A$3:$H$102,6,FALSE)&gt;=main!$D$103+VLOOKUP(VLOOKUP(CM$1,main!$A$3:$I$102,7,FALSE),main!$K$26:$Q$29,3,FALSE),1,0)</f>
        <v>1</v>
      </c>
      <c r="CN30">
        <f>IF(VLOOKUP(CN$1,main!$A$3:$H$102,5,FALSE)-VLOOKUP($A30,main!$A$3:$H$102,6,FALSE)&gt;=main!$D$103+VLOOKUP(VLOOKUP(CN$1,main!$A$3:$I$102,7,FALSE),main!$K$26:$Q$29,3,FALSE),1,0)</f>
        <v>1</v>
      </c>
      <c r="CO30">
        <f>IF(VLOOKUP(CO$1,main!$A$3:$H$102,5,FALSE)-VLOOKUP($A30,main!$A$3:$H$102,6,FALSE)&gt;=main!$D$103+VLOOKUP(VLOOKUP(CO$1,main!$A$3:$I$102,7,FALSE),main!$K$26:$Q$29,3,FALSE),1,0)</f>
        <v>0</v>
      </c>
      <c r="CP30">
        <f>IF(VLOOKUP(CP$1,main!$A$3:$H$102,5,FALSE)-VLOOKUP($A30,main!$A$3:$H$102,6,FALSE)&gt;=main!$D$103+VLOOKUP(VLOOKUP(CP$1,main!$A$3:$I$102,7,FALSE),main!$K$26:$Q$29,3,FALSE),1,0)</f>
        <v>0</v>
      </c>
      <c r="CQ30">
        <f>IF(VLOOKUP(CQ$1,main!$A$3:$H$102,5,FALSE)-VLOOKUP($A30,main!$A$3:$H$102,6,FALSE)&gt;=main!$D$103+VLOOKUP(VLOOKUP(CQ$1,main!$A$3:$I$102,7,FALSE),main!$K$26:$Q$29,3,FALSE),1,0)</f>
        <v>0</v>
      </c>
      <c r="CR30">
        <f>IF(VLOOKUP(CR$1,main!$A$3:$H$102,5,FALSE)-VLOOKUP($A30,main!$A$3:$H$102,6,FALSE)&gt;=main!$D$103+VLOOKUP(VLOOKUP(CR$1,main!$A$3:$I$102,7,FALSE),main!$K$26:$Q$29,3,FALSE),1,0)</f>
        <v>1</v>
      </c>
      <c r="CS30">
        <f>IF(VLOOKUP(CS$1,main!$A$3:$H$102,5,FALSE)-VLOOKUP($A30,main!$A$3:$H$102,6,FALSE)&gt;=main!$D$103+VLOOKUP(VLOOKUP(CS$1,main!$A$3:$I$102,7,FALSE),main!$K$26:$Q$29,3,FALSE),1,0)</f>
        <v>1</v>
      </c>
      <c r="CT30">
        <f>IF(VLOOKUP(CT$1,main!$A$3:$H$102,5,FALSE)-VLOOKUP($A30,main!$A$3:$H$102,6,FALSE)&gt;=main!$D$103+VLOOKUP(VLOOKUP(CT$1,main!$A$3:$I$102,7,FALSE),main!$K$26:$Q$29,3,FALSE),1,0)</f>
        <v>0</v>
      </c>
      <c r="CU30">
        <f>IF(VLOOKUP(CU$1,main!$A$3:$H$102,5,FALSE)-VLOOKUP($A30,main!$A$3:$H$102,6,FALSE)&gt;=main!$D$103+VLOOKUP(VLOOKUP(CU$1,main!$A$3:$I$102,7,FALSE),main!$K$26:$Q$29,3,FALSE),1,0)</f>
        <v>0</v>
      </c>
      <c r="CV30">
        <f>IF(VLOOKUP(CV$1,main!$A$3:$H$102,5,FALSE)-VLOOKUP($A30,main!$A$3:$H$102,6,FALSE)&gt;=main!$D$103+VLOOKUP(VLOOKUP(CV$1,main!$A$3:$I$102,7,FALSE),main!$K$26:$Q$29,3,FALSE),1,0)</f>
        <v>0</v>
      </c>
      <c r="CW30">
        <f>IF(VLOOKUP(CW$1,main!$A$3:$H$102,5,FALSE)-VLOOKUP($A30,main!$A$3:$H$102,6,FALSE)&gt;=main!$D$103+VLOOKUP(VLOOKUP(CW$1,main!$A$3:$I$102,7,FALSE),main!$K$26:$Q$29,3,FALSE),1,0)</f>
        <v>1</v>
      </c>
      <c r="CX30">
        <f>IF(VLOOKUP(CX$1,main!$A$3:$H$102,5,FALSE)-VLOOKUP($A30,main!$A$3:$H$102,6,FALSE)&gt;=main!$D$103+VLOOKUP(VLOOKUP(CX$1,main!$A$3:$I$102,7,FALSE),main!$K$26:$Q$29,3,FALSE),1,0)</f>
        <v>1</v>
      </c>
    </row>
    <row r="31" spans="1:104" x14ac:dyDescent="0.25">
      <c r="A31" s="1">
        <v>29</v>
      </c>
      <c r="B31">
        <v>0</v>
      </c>
      <c r="C31">
        <f>IF(VLOOKUP(C$1,main!$A$3:$H$102,5,FALSE)-VLOOKUP($A31,main!$A$3:$H$102,6,FALSE)&gt;=main!$D$103+VLOOKUP(VLOOKUP(C$1,main!$A$3:$I$102,7,FALSE),main!$K$26:$Q$29,3,FALSE),1,0)</f>
        <v>0</v>
      </c>
      <c r="D31">
        <f>IF(VLOOKUP(D$1,main!$A$3:$H$102,5,FALSE)-VLOOKUP($A31,main!$A$3:$H$102,6,FALSE)&gt;=main!$D$103+VLOOKUP(VLOOKUP(D$1,main!$A$3:$I$102,7,FALSE),main!$K$26:$Q$29,3,FALSE),1,0)</f>
        <v>0</v>
      </c>
      <c r="E31">
        <f>IF(VLOOKUP(E$1,main!$A$3:$H$102,5,FALSE)-VLOOKUP($A31,main!$A$3:$H$102,6,FALSE)&gt;=main!$D$103+VLOOKUP(VLOOKUP(E$1,main!$A$3:$I$102,7,FALSE),main!$K$26:$Q$29,3,FALSE),1,0)</f>
        <v>0</v>
      </c>
      <c r="F31">
        <f>IF(VLOOKUP(F$1,main!$A$3:$H$102,5,FALSE)-VLOOKUP($A31,main!$A$3:$H$102,6,FALSE)&gt;=main!$D$103+VLOOKUP(VLOOKUP(F$1,main!$A$3:$I$102,7,FALSE),main!$K$26:$Q$29,3,FALSE),1,0)</f>
        <v>0</v>
      </c>
      <c r="G31">
        <f>IF(VLOOKUP(G$1,main!$A$3:$H$102,5,FALSE)-VLOOKUP($A31,main!$A$3:$H$102,6,FALSE)&gt;=main!$D$103+VLOOKUP(VLOOKUP(G$1,main!$A$3:$I$102,7,FALSE),main!$K$26:$Q$29,3,FALSE),1,0)</f>
        <v>0</v>
      </c>
      <c r="H31">
        <f>IF(VLOOKUP(H$1,main!$A$3:$H$102,5,FALSE)-VLOOKUP($A31,main!$A$3:$H$102,6,FALSE)&gt;=main!$D$103+VLOOKUP(VLOOKUP(H$1,main!$A$3:$I$102,7,FALSE),main!$K$26:$Q$29,3,FALSE),1,0)</f>
        <v>0</v>
      </c>
      <c r="I31">
        <f>IF(VLOOKUP(I$1,main!$A$3:$H$102,5,FALSE)-VLOOKUP($A31,main!$A$3:$H$102,6,FALSE)&gt;=main!$D$103+VLOOKUP(VLOOKUP(I$1,main!$A$3:$I$102,7,FALSE),main!$K$26:$Q$29,3,FALSE),1,0)</f>
        <v>0</v>
      </c>
      <c r="J31">
        <f>IF(VLOOKUP(J$1,main!$A$3:$H$102,5,FALSE)-VLOOKUP($A31,main!$A$3:$H$102,6,FALSE)&gt;=main!$D$103+VLOOKUP(VLOOKUP(J$1,main!$A$3:$I$102,7,FALSE),main!$K$26:$Q$29,3,FALSE),1,0)</f>
        <v>0</v>
      </c>
      <c r="K31">
        <f>IF(VLOOKUP(K$1,main!$A$3:$H$102,5,FALSE)-VLOOKUP($A31,main!$A$3:$H$102,6,FALSE)&gt;=main!$D$103+VLOOKUP(VLOOKUP(K$1,main!$A$3:$I$102,7,FALSE),main!$K$26:$Q$29,3,FALSE),1,0)</f>
        <v>0</v>
      </c>
      <c r="L31">
        <f>IF(VLOOKUP(L$1,main!$A$3:$H$102,5,FALSE)-VLOOKUP($A31,main!$A$3:$H$102,6,FALSE)&gt;=main!$D$103+VLOOKUP(VLOOKUP(L$1,main!$A$3:$I$102,7,FALSE),main!$K$26:$Q$29,3,FALSE),1,0)</f>
        <v>1</v>
      </c>
      <c r="M31">
        <f>IF(VLOOKUP(M$1,main!$A$3:$H$102,5,FALSE)-VLOOKUP($A31,main!$A$3:$H$102,6,FALSE)&gt;=main!$D$103+VLOOKUP(VLOOKUP(M$1,main!$A$3:$I$102,7,FALSE),main!$K$26:$Q$29,3,FALSE),1,0)</f>
        <v>0</v>
      </c>
      <c r="N31">
        <f>IF(VLOOKUP(N$1,main!$A$3:$H$102,5,FALSE)-VLOOKUP($A31,main!$A$3:$H$102,6,FALSE)&gt;=main!$D$103+VLOOKUP(VLOOKUP(N$1,main!$A$3:$I$102,7,FALSE),main!$K$26:$Q$29,3,FALSE),1,0)</f>
        <v>0</v>
      </c>
      <c r="O31">
        <f>IF(VLOOKUP(O$1,main!$A$3:$H$102,5,FALSE)-VLOOKUP($A31,main!$A$3:$H$102,6,FALSE)&gt;=main!$D$103+VLOOKUP(VLOOKUP(O$1,main!$A$3:$I$102,7,FALSE),main!$K$26:$Q$29,3,FALSE),1,0)</f>
        <v>0</v>
      </c>
      <c r="P31">
        <f>IF(VLOOKUP(P$1,main!$A$3:$H$102,5,FALSE)-VLOOKUP($A31,main!$A$3:$H$102,6,FALSE)&gt;=main!$D$103+VLOOKUP(VLOOKUP(P$1,main!$A$3:$I$102,7,FALSE),main!$K$26:$Q$29,3,FALSE),1,0)</f>
        <v>0</v>
      </c>
      <c r="Q31">
        <f>IF(VLOOKUP(Q$1,main!$A$3:$H$102,5,FALSE)-VLOOKUP($A31,main!$A$3:$H$102,6,FALSE)&gt;=main!$D$103+VLOOKUP(VLOOKUP(Q$1,main!$A$3:$I$102,7,FALSE),main!$K$26:$Q$29,3,FALSE),1,0)</f>
        <v>0</v>
      </c>
      <c r="R31">
        <f>IF(VLOOKUP(R$1,main!$A$3:$H$102,5,FALSE)-VLOOKUP($A31,main!$A$3:$H$102,6,FALSE)&gt;=main!$D$103+VLOOKUP(VLOOKUP(R$1,main!$A$3:$I$102,7,FALSE),main!$K$26:$Q$29,3,FALSE),1,0)</f>
        <v>0</v>
      </c>
      <c r="S31">
        <f>IF(VLOOKUP(S$1,main!$A$3:$H$102,5,FALSE)-VLOOKUP($A31,main!$A$3:$H$102,6,FALSE)&gt;=main!$D$103+VLOOKUP(VLOOKUP(S$1,main!$A$3:$I$102,7,FALSE),main!$K$26:$Q$29,3,FALSE),1,0)</f>
        <v>0</v>
      </c>
      <c r="T31">
        <f>IF(VLOOKUP(T$1,main!$A$3:$H$102,5,FALSE)-VLOOKUP($A31,main!$A$3:$H$102,6,FALSE)&gt;=main!$D$103+VLOOKUP(VLOOKUP(T$1,main!$A$3:$I$102,7,FALSE),main!$K$26:$Q$29,3,FALSE),1,0)</f>
        <v>0</v>
      </c>
      <c r="U31">
        <f>IF(VLOOKUP(U$1,main!$A$3:$H$102,5,FALSE)-VLOOKUP($A31,main!$A$3:$H$102,6,FALSE)&gt;=main!$D$103+VLOOKUP(VLOOKUP(U$1,main!$A$3:$I$102,7,FALSE),main!$K$26:$Q$29,3,FALSE),1,0)</f>
        <v>1</v>
      </c>
      <c r="V31">
        <f>IF(VLOOKUP(V$1,main!$A$3:$H$102,5,FALSE)-VLOOKUP($A31,main!$A$3:$H$102,6,FALSE)&gt;=main!$D$103+VLOOKUP(VLOOKUP(V$1,main!$A$3:$I$102,7,FALSE),main!$K$26:$Q$29,3,FALSE),1,0)</f>
        <v>1</v>
      </c>
      <c r="W31">
        <f>IF(VLOOKUP(W$1,main!$A$3:$H$102,5,FALSE)-VLOOKUP($A31,main!$A$3:$H$102,6,FALSE)&gt;=main!$D$103+VLOOKUP(VLOOKUP(W$1,main!$A$3:$I$102,7,FALSE),main!$K$26:$Q$29,3,FALSE),1,0)</f>
        <v>0</v>
      </c>
      <c r="X31">
        <f>IF(VLOOKUP(X$1,main!$A$3:$H$102,5,FALSE)-VLOOKUP($A31,main!$A$3:$H$102,6,FALSE)&gt;=main!$D$103+VLOOKUP(VLOOKUP(X$1,main!$A$3:$I$102,7,FALSE),main!$K$26:$Q$29,3,FALSE),1,0)</f>
        <v>0</v>
      </c>
      <c r="Y31">
        <f>IF(VLOOKUP(Y$1,main!$A$3:$H$102,5,FALSE)-VLOOKUP($A31,main!$A$3:$H$102,6,FALSE)&gt;=main!$D$103+VLOOKUP(VLOOKUP(Y$1,main!$A$3:$I$102,7,FALSE),main!$K$26:$Q$29,3,FALSE),1,0)</f>
        <v>0</v>
      </c>
      <c r="Z31">
        <f>IF(VLOOKUP(Z$1,main!$A$3:$H$102,5,FALSE)-VLOOKUP($A31,main!$A$3:$H$102,6,FALSE)&gt;=main!$D$103+VLOOKUP(VLOOKUP(Z$1,main!$A$3:$I$102,7,FALSE),main!$K$26:$Q$29,3,FALSE),1,0)</f>
        <v>0</v>
      </c>
      <c r="AA31">
        <f>IF(VLOOKUP(AA$1,main!$A$3:$H$102,5,FALSE)-VLOOKUP($A31,main!$A$3:$H$102,6,FALSE)&gt;=main!$D$103+VLOOKUP(VLOOKUP(AA$1,main!$A$3:$I$102,7,FALSE),main!$K$26:$Q$29,3,FALSE),1,0)</f>
        <v>0</v>
      </c>
      <c r="AB31">
        <f>IF(VLOOKUP(AB$1,main!$A$3:$H$102,5,FALSE)-VLOOKUP($A31,main!$A$3:$H$102,6,FALSE)&gt;=main!$D$103+VLOOKUP(VLOOKUP(AB$1,main!$A$3:$I$102,7,FALSE),main!$K$26:$Q$29,3,FALSE),1,0)</f>
        <v>0</v>
      </c>
      <c r="AC31">
        <f>IF(VLOOKUP(AC$1,main!$A$3:$H$102,5,FALSE)-VLOOKUP($A31,main!$A$3:$H$102,6,FALSE)&gt;=main!$D$103+VLOOKUP(VLOOKUP(AC$1,main!$A$3:$I$102,7,FALSE),main!$K$26:$Q$29,3,FALSE),1,0)</f>
        <v>0</v>
      </c>
      <c r="AD31">
        <f>IF(VLOOKUP(AD$1,main!$A$3:$H$102,5,FALSE)-VLOOKUP($A31,main!$A$3:$H$102,6,FALSE)&gt;=main!$D$103+VLOOKUP(VLOOKUP(AD$1,main!$A$3:$I$102,7,FALSE),main!$K$26:$Q$29,3,FALSE),1,0)</f>
        <v>0</v>
      </c>
      <c r="AE31">
        <f>IF(VLOOKUP(AE$1,main!$A$3:$H$102,5,FALSE)-VLOOKUP($A31,main!$A$3:$H$102,6,FALSE)&gt;=main!$D$103+VLOOKUP(VLOOKUP(AE$1,main!$A$3:$I$102,7,FALSE),main!$K$26:$Q$29,3,FALSE),1,0)</f>
        <v>0</v>
      </c>
      <c r="AF31">
        <f>IF(VLOOKUP(AF$1,main!$A$3:$H$102,5,FALSE)-VLOOKUP($A31,main!$A$3:$H$102,6,FALSE)&gt;=main!$D$103+VLOOKUP(VLOOKUP(AF$1,main!$A$3:$I$102,7,FALSE),main!$K$26:$Q$29,3,FALSE),1,0)</f>
        <v>0</v>
      </c>
      <c r="AG31">
        <f>IF(VLOOKUP(AG$1,main!$A$3:$H$102,5,FALSE)-VLOOKUP($A31,main!$A$3:$H$102,6,FALSE)&gt;=main!$D$103+VLOOKUP(VLOOKUP(AG$1,main!$A$3:$I$102,7,FALSE),main!$K$26:$Q$29,3,FALSE),1,0)</f>
        <v>0</v>
      </c>
      <c r="AH31">
        <f>IF(VLOOKUP(AH$1,main!$A$3:$H$102,5,FALSE)-VLOOKUP($A31,main!$A$3:$H$102,6,FALSE)&gt;=main!$D$103+VLOOKUP(VLOOKUP(AH$1,main!$A$3:$I$102,7,FALSE),main!$K$26:$Q$29,3,FALSE),1,0)</f>
        <v>0</v>
      </c>
      <c r="AI31">
        <f>IF(VLOOKUP(AI$1,main!$A$3:$H$102,5,FALSE)-VLOOKUP($A31,main!$A$3:$H$102,6,FALSE)&gt;=main!$D$103+VLOOKUP(VLOOKUP(AI$1,main!$A$3:$I$102,7,FALSE),main!$K$26:$Q$29,3,FALSE),1,0)</f>
        <v>0</v>
      </c>
      <c r="AJ31">
        <f>IF(VLOOKUP(AJ$1,main!$A$3:$H$102,5,FALSE)-VLOOKUP($A31,main!$A$3:$H$102,6,FALSE)&gt;=main!$D$103+VLOOKUP(VLOOKUP(AJ$1,main!$A$3:$I$102,7,FALSE),main!$K$26:$Q$29,3,FALSE),1,0)</f>
        <v>0</v>
      </c>
      <c r="AK31">
        <f>IF(VLOOKUP(AK$1,main!$A$3:$H$102,5,FALSE)-VLOOKUP($A31,main!$A$3:$H$102,6,FALSE)&gt;=main!$D$103+VLOOKUP(VLOOKUP(AK$1,main!$A$3:$I$102,7,FALSE),main!$K$26:$Q$29,3,FALSE),1,0)</f>
        <v>0</v>
      </c>
      <c r="AL31">
        <f>IF(VLOOKUP(AL$1,main!$A$3:$H$102,5,FALSE)-VLOOKUP($A31,main!$A$3:$H$102,6,FALSE)&gt;=main!$D$103+VLOOKUP(VLOOKUP(AL$1,main!$A$3:$I$102,7,FALSE),main!$K$26:$Q$29,3,FALSE),1,0)</f>
        <v>0</v>
      </c>
      <c r="AM31">
        <f>IF(VLOOKUP(AM$1,main!$A$3:$H$102,5,FALSE)-VLOOKUP($A31,main!$A$3:$H$102,6,FALSE)&gt;=main!$D$103+VLOOKUP(VLOOKUP(AM$1,main!$A$3:$I$102,7,FALSE),main!$K$26:$Q$29,3,FALSE),1,0)</f>
        <v>0</v>
      </c>
      <c r="AN31">
        <f>IF(VLOOKUP(AN$1,main!$A$3:$H$102,5,FALSE)-VLOOKUP($A31,main!$A$3:$H$102,6,FALSE)&gt;=main!$D$103+VLOOKUP(VLOOKUP(AN$1,main!$A$3:$I$102,7,FALSE),main!$K$26:$Q$29,3,FALSE),1,0)</f>
        <v>0</v>
      </c>
      <c r="AO31">
        <f>IF(VLOOKUP(AO$1,main!$A$3:$H$102,5,FALSE)-VLOOKUP($A31,main!$A$3:$H$102,6,FALSE)&gt;=main!$D$103+VLOOKUP(VLOOKUP(AO$1,main!$A$3:$I$102,7,FALSE),main!$K$26:$Q$29,3,FALSE),1,0)</f>
        <v>0</v>
      </c>
      <c r="AP31">
        <f>IF(VLOOKUP(AP$1,main!$A$3:$H$102,5,FALSE)-VLOOKUP($A31,main!$A$3:$H$102,6,FALSE)&gt;=main!$D$103+VLOOKUP(VLOOKUP(AP$1,main!$A$3:$I$102,7,FALSE),main!$K$26:$Q$29,3,FALSE),1,0)</f>
        <v>1</v>
      </c>
      <c r="AQ31">
        <f>IF(VLOOKUP(AQ$1,main!$A$3:$H$102,5,FALSE)-VLOOKUP($A31,main!$A$3:$H$102,6,FALSE)&gt;=main!$D$103+VLOOKUP(VLOOKUP(AQ$1,main!$A$3:$I$102,7,FALSE),main!$K$26:$Q$29,3,FALSE),1,0)</f>
        <v>0</v>
      </c>
      <c r="AR31">
        <f>IF(VLOOKUP(AR$1,main!$A$3:$H$102,5,FALSE)-VLOOKUP($A31,main!$A$3:$H$102,6,FALSE)&gt;=main!$D$103+VLOOKUP(VLOOKUP(AR$1,main!$A$3:$I$102,7,FALSE),main!$K$26:$Q$29,3,FALSE),1,0)</f>
        <v>0</v>
      </c>
      <c r="AS31">
        <f>IF(VLOOKUP(AS$1,main!$A$3:$H$102,5,FALSE)-VLOOKUP($A31,main!$A$3:$H$102,6,FALSE)&gt;=main!$D$103+VLOOKUP(VLOOKUP(AS$1,main!$A$3:$I$102,7,FALSE),main!$K$26:$Q$29,3,FALSE),1,0)</f>
        <v>0</v>
      </c>
      <c r="AT31">
        <f>IF(VLOOKUP(AT$1,main!$A$3:$H$102,5,FALSE)-VLOOKUP($A31,main!$A$3:$H$102,6,FALSE)&gt;=main!$D$103+VLOOKUP(VLOOKUP(AT$1,main!$A$3:$I$102,7,FALSE),main!$K$26:$Q$29,3,FALSE),1,0)</f>
        <v>0</v>
      </c>
      <c r="AU31">
        <f>IF(VLOOKUP(AU$1,main!$A$3:$H$102,5,FALSE)-VLOOKUP($A31,main!$A$3:$H$102,6,FALSE)&gt;=main!$D$103+VLOOKUP(VLOOKUP(AU$1,main!$A$3:$I$102,7,FALSE),main!$K$26:$Q$29,3,FALSE),1,0)</f>
        <v>0</v>
      </c>
      <c r="AV31">
        <f>IF(VLOOKUP(AV$1,main!$A$3:$H$102,5,FALSE)-VLOOKUP($A31,main!$A$3:$H$102,6,FALSE)&gt;=main!$D$103+VLOOKUP(VLOOKUP(AV$1,main!$A$3:$I$102,7,FALSE),main!$K$26:$Q$29,3,FALSE),1,0)</f>
        <v>0</v>
      </c>
      <c r="AW31">
        <f>IF(VLOOKUP(AW$1,main!$A$3:$H$102,5,FALSE)-VLOOKUP($A31,main!$A$3:$H$102,6,FALSE)&gt;=main!$D$103+VLOOKUP(VLOOKUP(AW$1,main!$A$3:$I$102,7,FALSE),main!$K$26:$Q$29,3,FALSE),1,0)</f>
        <v>0</v>
      </c>
      <c r="AX31">
        <f>IF(VLOOKUP(AX$1,main!$A$3:$H$102,5,FALSE)-VLOOKUP($A31,main!$A$3:$H$102,6,FALSE)&gt;=main!$D$103+VLOOKUP(VLOOKUP(AX$1,main!$A$3:$I$102,7,FALSE),main!$K$26:$Q$29,3,FALSE),1,0)</f>
        <v>0</v>
      </c>
      <c r="AY31">
        <f>IF(VLOOKUP(AY$1,main!$A$3:$H$102,5,FALSE)-VLOOKUP($A31,main!$A$3:$H$102,6,FALSE)&gt;=main!$D$103+VLOOKUP(VLOOKUP(AY$1,main!$A$3:$I$102,7,FALSE),main!$K$26:$Q$29,3,FALSE),1,0)</f>
        <v>0</v>
      </c>
      <c r="AZ31">
        <f>IF(VLOOKUP(AZ$1,main!$A$3:$H$102,5,FALSE)-VLOOKUP($A31,main!$A$3:$H$102,6,FALSE)&gt;=main!$D$103+VLOOKUP(VLOOKUP(AZ$1,main!$A$3:$I$102,7,FALSE),main!$K$26:$Q$29,3,FALSE),1,0)</f>
        <v>0</v>
      </c>
      <c r="BA31">
        <f>IF(VLOOKUP(BA$1,main!$A$3:$H$102,5,FALSE)-VLOOKUP($A31,main!$A$3:$H$102,6,FALSE)&gt;=main!$D$103+VLOOKUP(VLOOKUP(BA$1,main!$A$3:$I$102,7,FALSE),main!$K$26:$Q$29,3,FALSE),1,0)</f>
        <v>0</v>
      </c>
      <c r="BB31">
        <f>IF(VLOOKUP(BB$1,main!$A$3:$H$102,5,FALSE)-VLOOKUP($A31,main!$A$3:$H$102,6,FALSE)&gt;=main!$D$103+VLOOKUP(VLOOKUP(BB$1,main!$A$3:$I$102,7,FALSE),main!$K$26:$Q$29,3,FALSE),1,0)</f>
        <v>0</v>
      </c>
      <c r="BC31">
        <f>IF(VLOOKUP(BC$1,main!$A$3:$H$102,5,FALSE)-VLOOKUP($A31,main!$A$3:$H$102,6,FALSE)&gt;=main!$D$103+VLOOKUP(VLOOKUP(BC$1,main!$A$3:$I$102,7,FALSE),main!$K$26:$Q$29,3,FALSE),1,0)</f>
        <v>0</v>
      </c>
      <c r="BD31">
        <f>IF(VLOOKUP(BD$1,main!$A$3:$H$102,5,FALSE)-VLOOKUP($A31,main!$A$3:$H$102,6,FALSE)&gt;=main!$D$103+VLOOKUP(VLOOKUP(BD$1,main!$A$3:$I$102,7,FALSE),main!$K$26:$Q$29,3,FALSE),1,0)</f>
        <v>0</v>
      </c>
      <c r="BE31">
        <f>IF(VLOOKUP(BE$1,main!$A$3:$H$102,5,FALSE)-VLOOKUP($A31,main!$A$3:$H$102,6,FALSE)&gt;=main!$D$103+VLOOKUP(VLOOKUP(BE$1,main!$A$3:$I$102,7,FALSE),main!$K$26:$Q$29,3,FALSE),1,0)</f>
        <v>0</v>
      </c>
      <c r="BF31">
        <f>IF(VLOOKUP(BF$1,main!$A$3:$H$102,5,FALSE)-VLOOKUP($A31,main!$A$3:$H$102,6,FALSE)&gt;=main!$D$103+VLOOKUP(VLOOKUP(BF$1,main!$A$3:$I$102,7,FALSE),main!$K$26:$Q$29,3,FALSE),1,0)</f>
        <v>0</v>
      </c>
      <c r="BG31">
        <f>IF(VLOOKUP(BG$1,main!$A$3:$H$102,5,FALSE)-VLOOKUP($A31,main!$A$3:$H$102,6,FALSE)&gt;=main!$D$103+VLOOKUP(VLOOKUP(BG$1,main!$A$3:$I$102,7,FALSE),main!$K$26:$Q$29,3,FALSE),1,0)</f>
        <v>0</v>
      </c>
      <c r="BH31">
        <f>IF(VLOOKUP(BH$1,main!$A$3:$H$102,5,FALSE)-VLOOKUP($A31,main!$A$3:$H$102,6,FALSE)&gt;=main!$D$103+VLOOKUP(VLOOKUP(BH$1,main!$A$3:$I$102,7,FALSE),main!$K$26:$Q$29,3,FALSE),1,0)</f>
        <v>0</v>
      </c>
      <c r="BI31">
        <f>IF(VLOOKUP(BI$1,main!$A$3:$H$102,5,FALSE)-VLOOKUP($A31,main!$A$3:$H$102,6,FALSE)&gt;=main!$D$103+VLOOKUP(VLOOKUP(BI$1,main!$A$3:$I$102,7,FALSE),main!$K$26:$Q$29,3,FALSE),1,0)</f>
        <v>1</v>
      </c>
      <c r="BJ31">
        <f>IF(VLOOKUP(BJ$1,main!$A$3:$H$102,5,FALSE)-VLOOKUP($A31,main!$A$3:$H$102,6,FALSE)&gt;=main!$D$103+VLOOKUP(VLOOKUP(BJ$1,main!$A$3:$I$102,7,FALSE),main!$K$26:$Q$29,3,FALSE),1,0)</f>
        <v>0</v>
      </c>
      <c r="BK31">
        <f>IF(VLOOKUP(BK$1,main!$A$3:$H$102,5,FALSE)-VLOOKUP($A31,main!$A$3:$H$102,6,FALSE)&gt;=main!$D$103+VLOOKUP(VLOOKUP(BK$1,main!$A$3:$I$102,7,FALSE),main!$K$26:$Q$29,3,FALSE),1,0)</f>
        <v>0</v>
      </c>
      <c r="BL31">
        <f>IF(VLOOKUP(BL$1,main!$A$3:$H$102,5,FALSE)-VLOOKUP($A31,main!$A$3:$H$102,6,FALSE)&gt;=main!$D$103+VLOOKUP(VLOOKUP(BL$1,main!$A$3:$I$102,7,FALSE),main!$K$26:$Q$29,3,FALSE),1,0)</f>
        <v>0</v>
      </c>
      <c r="BM31">
        <f>IF(VLOOKUP(BM$1,main!$A$3:$H$102,5,FALSE)-VLOOKUP($A31,main!$A$3:$H$102,6,FALSE)&gt;=main!$D$103+VLOOKUP(VLOOKUP(BM$1,main!$A$3:$I$102,7,FALSE),main!$K$26:$Q$29,3,FALSE),1,0)</f>
        <v>0</v>
      </c>
      <c r="BN31">
        <f>IF(VLOOKUP(BN$1,main!$A$3:$H$102,5,FALSE)-VLOOKUP($A31,main!$A$3:$H$102,6,FALSE)&gt;=main!$D$103+VLOOKUP(VLOOKUP(BN$1,main!$A$3:$I$102,7,FALSE),main!$K$26:$Q$29,3,FALSE),1,0)</f>
        <v>0</v>
      </c>
      <c r="BO31">
        <f>IF(VLOOKUP(BO$1,main!$A$3:$H$102,5,FALSE)-VLOOKUP($A31,main!$A$3:$H$102,6,FALSE)&gt;=main!$D$103+VLOOKUP(VLOOKUP(BO$1,main!$A$3:$I$102,7,FALSE),main!$K$26:$Q$29,3,FALSE),1,0)</f>
        <v>0</v>
      </c>
      <c r="BP31">
        <f>IF(VLOOKUP(BP$1,main!$A$3:$H$102,5,FALSE)-VLOOKUP($A31,main!$A$3:$H$102,6,FALSE)&gt;=main!$D$103+VLOOKUP(VLOOKUP(BP$1,main!$A$3:$I$102,7,FALSE),main!$K$26:$Q$29,3,FALSE),1,0)</f>
        <v>0</v>
      </c>
      <c r="BQ31">
        <f>IF(VLOOKUP(BQ$1,main!$A$3:$H$102,5,FALSE)-VLOOKUP($A31,main!$A$3:$H$102,6,FALSE)&gt;=main!$D$103+VLOOKUP(VLOOKUP(BQ$1,main!$A$3:$I$102,7,FALSE),main!$K$26:$Q$29,3,FALSE),1,0)</f>
        <v>0</v>
      </c>
      <c r="BR31">
        <f>IF(VLOOKUP(BR$1,main!$A$3:$H$102,5,FALSE)-VLOOKUP($A31,main!$A$3:$H$102,6,FALSE)&gt;=main!$D$103+VLOOKUP(VLOOKUP(BR$1,main!$A$3:$I$102,7,FALSE),main!$K$26:$Q$29,3,FALSE),1,0)</f>
        <v>0</v>
      </c>
      <c r="BS31">
        <f>IF(VLOOKUP(BS$1,main!$A$3:$H$102,5,FALSE)-VLOOKUP($A31,main!$A$3:$H$102,6,FALSE)&gt;=main!$D$103+VLOOKUP(VLOOKUP(BS$1,main!$A$3:$I$102,7,FALSE),main!$K$26:$Q$29,3,FALSE),1,0)</f>
        <v>0</v>
      </c>
      <c r="BT31">
        <f>IF(VLOOKUP(BT$1,main!$A$3:$H$102,5,FALSE)-VLOOKUP($A31,main!$A$3:$H$102,6,FALSE)&gt;=main!$D$103+VLOOKUP(VLOOKUP(BT$1,main!$A$3:$I$102,7,FALSE),main!$K$26:$Q$29,3,FALSE),1,0)</f>
        <v>0</v>
      </c>
      <c r="BU31">
        <f>IF(VLOOKUP(BU$1,main!$A$3:$H$102,5,FALSE)-VLOOKUP($A31,main!$A$3:$H$102,6,FALSE)&gt;=main!$D$103+VLOOKUP(VLOOKUP(BU$1,main!$A$3:$I$102,7,FALSE),main!$K$26:$Q$29,3,FALSE),1,0)</f>
        <v>0</v>
      </c>
      <c r="BV31">
        <f>IF(VLOOKUP(BV$1,main!$A$3:$H$102,5,FALSE)-VLOOKUP($A31,main!$A$3:$H$102,6,FALSE)&gt;=main!$D$103+VLOOKUP(VLOOKUP(BV$1,main!$A$3:$I$102,7,FALSE),main!$K$26:$Q$29,3,FALSE),1,0)</f>
        <v>0</v>
      </c>
      <c r="BW31">
        <f>IF(VLOOKUP(BW$1,main!$A$3:$H$102,5,FALSE)-VLOOKUP($A31,main!$A$3:$H$102,6,FALSE)&gt;=main!$D$103+VLOOKUP(VLOOKUP(BW$1,main!$A$3:$I$102,7,FALSE),main!$K$26:$Q$29,3,FALSE),1,0)</f>
        <v>0</v>
      </c>
      <c r="BX31">
        <f>IF(VLOOKUP(BX$1,main!$A$3:$H$102,5,FALSE)-VLOOKUP($A31,main!$A$3:$H$102,6,FALSE)&gt;=main!$D$103+VLOOKUP(VLOOKUP(BX$1,main!$A$3:$I$102,7,FALSE),main!$K$26:$Q$29,3,FALSE),1,0)</f>
        <v>0</v>
      </c>
      <c r="BY31">
        <f>IF(VLOOKUP(BY$1,main!$A$3:$H$102,5,FALSE)-VLOOKUP($A31,main!$A$3:$H$102,6,FALSE)&gt;=main!$D$103+VLOOKUP(VLOOKUP(BY$1,main!$A$3:$I$102,7,FALSE),main!$K$26:$Q$29,3,FALSE),1,0)</f>
        <v>0</v>
      </c>
      <c r="BZ31">
        <f>IF(VLOOKUP(BZ$1,main!$A$3:$H$102,5,FALSE)-VLOOKUP($A31,main!$A$3:$H$102,6,FALSE)&gt;=main!$D$103+VLOOKUP(VLOOKUP(BZ$1,main!$A$3:$I$102,7,FALSE),main!$K$26:$Q$29,3,FALSE),1,0)</f>
        <v>0</v>
      </c>
      <c r="CA31">
        <f>IF(VLOOKUP(CA$1,main!$A$3:$H$102,5,FALSE)-VLOOKUP($A31,main!$A$3:$H$102,6,FALSE)&gt;=main!$D$103+VLOOKUP(VLOOKUP(CA$1,main!$A$3:$I$102,7,FALSE),main!$K$26:$Q$29,3,FALSE),1,0)</f>
        <v>0</v>
      </c>
      <c r="CB31">
        <f>IF(VLOOKUP(CB$1,main!$A$3:$H$102,5,FALSE)-VLOOKUP($A31,main!$A$3:$H$102,6,FALSE)&gt;=main!$D$103+VLOOKUP(VLOOKUP(CB$1,main!$A$3:$I$102,7,FALSE),main!$K$26:$Q$29,3,FALSE),1,0)</f>
        <v>0</v>
      </c>
      <c r="CC31">
        <f>IF(VLOOKUP(CC$1,main!$A$3:$H$102,5,FALSE)-VLOOKUP($A31,main!$A$3:$H$102,6,FALSE)&gt;=main!$D$103+VLOOKUP(VLOOKUP(CC$1,main!$A$3:$I$102,7,FALSE),main!$K$26:$Q$29,3,FALSE),1,0)</f>
        <v>0</v>
      </c>
      <c r="CD31">
        <f>IF(VLOOKUP(CD$1,main!$A$3:$H$102,5,FALSE)-VLOOKUP($A31,main!$A$3:$H$102,6,FALSE)&gt;=main!$D$103+VLOOKUP(VLOOKUP(CD$1,main!$A$3:$I$102,7,FALSE),main!$K$26:$Q$29,3,FALSE),1,0)</f>
        <v>0</v>
      </c>
      <c r="CE31">
        <f>IF(VLOOKUP(CE$1,main!$A$3:$H$102,5,FALSE)-VLOOKUP($A31,main!$A$3:$H$102,6,FALSE)&gt;=main!$D$103+VLOOKUP(VLOOKUP(CE$1,main!$A$3:$I$102,7,FALSE),main!$K$26:$Q$29,3,FALSE),1,0)</f>
        <v>0</v>
      </c>
      <c r="CF31">
        <f>IF(VLOOKUP(CF$1,main!$A$3:$H$102,5,FALSE)-VLOOKUP($A31,main!$A$3:$H$102,6,FALSE)&gt;=main!$D$103+VLOOKUP(VLOOKUP(CF$1,main!$A$3:$I$102,7,FALSE),main!$K$26:$Q$29,3,FALSE),1,0)</f>
        <v>0</v>
      </c>
      <c r="CG31">
        <f>IF(VLOOKUP(CG$1,main!$A$3:$H$102,5,FALSE)-VLOOKUP($A31,main!$A$3:$H$102,6,FALSE)&gt;=main!$D$103+VLOOKUP(VLOOKUP(CG$1,main!$A$3:$I$102,7,FALSE),main!$K$26:$Q$29,3,FALSE),1,0)</f>
        <v>0</v>
      </c>
      <c r="CH31">
        <f>IF(VLOOKUP(CH$1,main!$A$3:$H$102,5,FALSE)-VLOOKUP($A31,main!$A$3:$H$102,6,FALSE)&gt;=main!$D$103+VLOOKUP(VLOOKUP(CH$1,main!$A$3:$I$102,7,FALSE),main!$K$26:$Q$29,3,FALSE),1,0)</f>
        <v>0</v>
      </c>
      <c r="CI31">
        <f>IF(VLOOKUP(CI$1,main!$A$3:$H$102,5,FALSE)-VLOOKUP($A31,main!$A$3:$H$102,6,FALSE)&gt;=main!$D$103+VLOOKUP(VLOOKUP(CI$1,main!$A$3:$I$102,7,FALSE),main!$K$26:$Q$29,3,FALSE),1,0)</f>
        <v>1</v>
      </c>
      <c r="CJ31">
        <f>IF(VLOOKUP(CJ$1,main!$A$3:$H$102,5,FALSE)-VLOOKUP($A31,main!$A$3:$H$102,6,FALSE)&gt;=main!$D$103+VLOOKUP(VLOOKUP(CJ$1,main!$A$3:$I$102,7,FALSE),main!$K$26:$Q$29,3,FALSE),1,0)</f>
        <v>0</v>
      </c>
      <c r="CK31">
        <f>IF(VLOOKUP(CK$1,main!$A$3:$H$102,5,FALSE)-VLOOKUP($A31,main!$A$3:$H$102,6,FALSE)&gt;=main!$D$103+VLOOKUP(VLOOKUP(CK$1,main!$A$3:$I$102,7,FALSE),main!$K$26:$Q$29,3,FALSE),1,0)</f>
        <v>0</v>
      </c>
      <c r="CL31">
        <f>IF(VLOOKUP(CL$1,main!$A$3:$H$102,5,FALSE)-VLOOKUP($A31,main!$A$3:$H$102,6,FALSE)&gt;=main!$D$103+VLOOKUP(VLOOKUP(CL$1,main!$A$3:$I$102,7,FALSE),main!$K$26:$Q$29,3,FALSE),1,0)</f>
        <v>0</v>
      </c>
      <c r="CM31">
        <f>IF(VLOOKUP(CM$1,main!$A$3:$H$102,5,FALSE)-VLOOKUP($A31,main!$A$3:$H$102,6,FALSE)&gt;=main!$D$103+VLOOKUP(VLOOKUP(CM$1,main!$A$3:$I$102,7,FALSE),main!$K$26:$Q$29,3,FALSE),1,0)</f>
        <v>0</v>
      </c>
      <c r="CN31">
        <f>IF(VLOOKUP(CN$1,main!$A$3:$H$102,5,FALSE)-VLOOKUP($A31,main!$A$3:$H$102,6,FALSE)&gt;=main!$D$103+VLOOKUP(VLOOKUP(CN$1,main!$A$3:$I$102,7,FALSE),main!$K$26:$Q$29,3,FALSE),1,0)</f>
        <v>1</v>
      </c>
      <c r="CO31">
        <f>IF(VLOOKUP(CO$1,main!$A$3:$H$102,5,FALSE)-VLOOKUP($A31,main!$A$3:$H$102,6,FALSE)&gt;=main!$D$103+VLOOKUP(VLOOKUP(CO$1,main!$A$3:$I$102,7,FALSE),main!$K$26:$Q$29,3,FALSE),1,0)</f>
        <v>0</v>
      </c>
      <c r="CP31">
        <f>IF(VLOOKUP(CP$1,main!$A$3:$H$102,5,FALSE)-VLOOKUP($A31,main!$A$3:$H$102,6,FALSE)&gt;=main!$D$103+VLOOKUP(VLOOKUP(CP$1,main!$A$3:$I$102,7,FALSE),main!$K$26:$Q$29,3,FALSE),1,0)</f>
        <v>0</v>
      </c>
      <c r="CQ31">
        <f>IF(VLOOKUP(CQ$1,main!$A$3:$H$102,5,FALSE)-VLOOKUP($A31,main!$A$3:$H$102,6,FALSE)&gt;=main!$D$103+VLOOKUP(VLOOKUP(CQ$1,main!$A$3:$I$102,7,FALSE),main!$K$26:$Q$29,3,FALSE),1,0)</f>
        <v>0</v>
      </c>
      <c r="CR31">
        <f>IF(VLOOKUP(CR$1,main!$A$3:$H$102,5,FALSE)-VLOOKUP($A31,main!$A$3:$H$102,6,FALSE)&gt;=main!$D$103+VLOOKUP(VLOOKUP(CR$1,main!$A$3:$I$102,7,FALSE),main!$K$26:$Q$29,3,FALSE),1,0)</f>
        <v>0</v>
      </c>
      <c r="CS31">
        <f>IF(VLOOKUP(CS$1,main!$A$3:$H$102,5,FALSE)-VLOOKUP($A31,main!$A$3:$H$102,6,FALSE)&gt;=main!$D$103+VLOOKUP(VLOOKUP(CS$1,main!$A$3:$I$102,7,FALSE),main!$K$26:$Q$29,3,FALSE),1,0)</f>
        <v>0</v>
      </c>
      <c r="CT31">
        <f>IF(VLOOKUP(CT$1,main!$A$3:$H$102,5,FALSE)-VLOOKUP($A31,main!$A$3:$H$102,6,FALSE)&gt;=main!$D$103+VLOOKUP(VLOOKUP(CT$1,main!$A$3:$I$102,7,FALSE),main!$K$26:$Q$29,3,FALSE),1,0)</f>
        <v>0</v>
      </c>
      <c r="CU31">
        <f>IF(VLOOKUP(CU$1,main!$A$3:$H$102,5,FALSE)-VLOOKUP($A31,main!$A$3:$H$102,6,FALSE)&gt;=main!$D$103+VLOOKUP(VLOOKUP(CU$1,main!$A$3:$I$102,7,FALSE),main!$K$26:$Q$29,3,FALSE),1,0)</f>
        <v>0</v>
      </c>
      <c r="CV31">
        <f>IF(VLOOKUP(CV$1,main!$A$3:$H$102,5,FALSE)-VLOOKUP($A31,main!$A$3:$H$102,6,FALSE)&gt;=main!$D$103+VLOOKUP(VLOOKUP(CV$1,main!$A$3:$I$102,7,FALSE),main!$K$26:$Q$29,3,FALSE),1,0)</f>
        <v>0</v>
      </c>
      <c r="CW31">
        <f>IF(VLOOKUP(CW$1,main!$A$3:$H$102,5,FALSE)-VLOOKUP($A31,main!$A$3:$H$102,6,FALSE)&gt;=main!$D$103+VLOOKUP(VLOOKUP(CW$1,main!$A$3:$I$102,7,FALSE),main!$K$26:$Q$29,3,FALSE),1,0)</f>
        <v>0</v>
      </c>
      <c r="CX31">
        <f>IF(VLOOKUP(CX$1,main!$A$3:$H$102,5,FALSE)-VLOOKUP($A31,main!$A$3:$H$102,6,FALSE)&gt;=main!$D$103+VLOOKUP(VLOOKUP(CX$1,main!$A$3:$I$102,7,FALSE),main!$K$26:$Q$29,3,FALSE),1,0)</f>
        <v>0</v>
      </c>
    </row>
    <row r="32" spans="1:104" x14ac:dyDescent="0.25">
      <c r="A32" s="1">
        <v>30</v>
      </c>
      <c r="B32">
        <v>0</v>
      </c>
      <c r="C32">
        <f>IF(VLOOKUP(C$1,main!$A$3:$H$102,5,FALSE)-VLOOKUP($A32,main!$A$3:$H$102,6,FALSE)&gt;=main!$D$103+VLOOKUP(VLOOKUP(C$1,main!$A$3:$I$102,7,FALSE),main!$K$26:$Q$29,3,FALSE),1,0)</f>
        <v>0</v>
      </c>
      <c r="D32">
        <f>IF(VLOOKUP(D$1,main!$A$3:$H$102,5,FALSE)-VLOOKUP($A32,main!$A$3:$H$102,6,FALSE)&gt;=main!$D$103+VLOOKUP(VLOOKUP(D$1,main!$A$3:$I$102,7,FALSE),main!$K$26:$Q$29,3,FALSE),1,0)</f>
        <v>0</v>
      </c>
      <c r="E32">
        <f>IF(VLOOKUP(E$1,main!$A$3:$H$102,5,FALSE)-VLOOKUP($A32,main!$A$3:$H$102,6,FALSE)&gt;=main!$D$103+VLOOKUP(VLOOKUP(E$1,main!$A$3:$I$102,7,FALSE),main!$K$26:$Q$29,3,FALSE),1,0)</f>
        <v>0</v>
      </c>
      <c r="F32">
        <f>IF(VLOOKUP(F$1,main!$A$3:$H$102,5,FALSE)-VLOOKUP($A32,main!$A$3:$H$102,6,FALSE)&gt;=main!$D$103+VLOOKUP(VLOOKUP(F$1,main!$A$3:$I$102,7,FALSE),main!$K$26:$Q$29,3,FALSE),1,0)</f>
        <v>0</v>
      </c>
      <c r="G32">
        <f>IF(VLOOKUP(G$1,main!$A$3:$H$102,5,FALSE)-VLOOKUP($A32,main!$A$3:$H$102,6,FALSE)&gt;=main!$D$103+VLOOKUP(VLOOKUP(G$1,main!$A$3:$I$102,7,FALSE),main!$K$26:$Q$29,3,FALSE),1,0)</f>
        <v>0</v>
      </c>
      <c r="H32">
        <f>IF(VLOOKUP(H$1,main!$A$3:$H$102,5,FALSE)-VLOOKUP($A32,main!$A$3:$H$102,6,FALSE)&gt;=main!$D$103+VLOOKUP(VLOOKUP(H$1,main!$A$3:$I$102,7,FALSE),main!$K$26:$Q$29,3,FALSE),1,0)</f>
        <v>0</v>
      </c>
      <c r="I32">
        <f>IF(VLOOKUP(I$1,main!$A$3:$H$102,5,FALSE)-VLOOKUP($A32,main!$A$3:$H$102,6,FALSE)&gt;=main!$D$103+VLOOKUP(VLOOKUP(I$1,main!$A$3:$I$102,7,FALSE),main!$K$26:$Q$29,3,FALSE),1,0)</f>
        <v>0</v>
      </c>
      <c r="J32">
        <f>IF(VLOOKUP(J$1,main!$A$3:$H$102,5,FALSE)-VLOOKUP($A32,main!$A$3:$H$102,6,FALSE)&gt;=main!$D$103+VLOOKUP(VLOOKUP(J$1,main!$A$3:$I$102,7,FALSE),main!$K$26:$Q$29,3,FALSE),1,0)</f>
        <v>0</v>
      </c>
      <c r="K32">
        <f>IF(VLOOKUP(K$1,main!$A$3:$H$102,5,FALSE)-VLOOKUP($A32,main!$A$3:$H$102,6,FALSE)&gt;=main!$D$103+VLOOKUP(VLOOKUP(K$1,main!$A$3:$I$102,7,FALSE),main!$K$26:$Q$29,3,FALSE),1,0)</f>
        <v>0</v>
      </c>
      <c r="L32">
        <f>IF(VLOOKUP(L$1,main!$A$3:$H$102,5,FALSE)-VLOOKUP($A32,main!$A$3:$H$102,6,FALSE)&gt;=main!$D$103+VLOOKUP(VLOOKUP(L$1,main!$A$3:$I$102,7,FALSE),main!$K$26:$Q$29,3,FALSE),1,0)</f>
        <v>0</v>
      </c>
      <c r="M32">
        <f>IF(VLOOKUP(M$1,main!$A$3:$H$102,5,FALSE)-VLOOKUP($A32,main!$A$3:$H$102,6,FALSE)&gt;=main!$D$103+VLOOKUP(VLOOKUP(M$1,main!$A$3:$I$102,7,FALSE),main!$K$26:$Q$29,3,FALSE),1,0)</f>
        <v>0</v>
      </c>
      <c r="N32">
        <f>IF(VLOOKUP(N$1,main!$A$3:$H$102,5,FALSE)-VLOOKUP($A32,main!$A$3:$H$102,6,FALSE)&gt;=main!$D$103+VLOOKUP(VLOOKUP(N$1,main!$A$3:$I$102,7,FALSE),main!$K$26:$Q$29,3,FALSE),1,0)</f>
        <v>0</v>
      </c>
      <c r="O32">
        <f>IF(VLOOKUP(O$1,main!$A$3:$H$102,5,FALSE)-VLOOKUP($A32,main!$A$3:$H$102,6,FALSE)&gt;=main!$D$103+VLOOKUP(VLOOKUP(O$1,main!$A$3:$I$102,7,FALSE),main!$K$26:$Q$29,3,FALSE),1,0)</f>
        <v>0</v>
      </c>
      <c r="P32">
        <f>IF(VLOOKUP(P$1,main!$A$3:$H$102,5,FALSE)-VLOOKUP($A32,main!$A$3:$H$102,6,FALSE)&gt;=main!$D$103+VLOOKUP(VLOOKUP(P$1,main!$A$3:$I$102,7,FALSE),main!$K$26:$Q$29,3,FALSE),1,0)</f>
        <v>0</v>
      </c>
      <c r="Q32">
        <f>IF(VLOOKUP(Q$1,main!$A$3:$H$102,5,FALSE)-VLOOKUP($A32,main!$A$3:$H$102,6,FALSE)&gt;=main!$D$103+VLOOKUP(VLOOKUP(Q$1,main!$A$3:$I$102,7,FALSE),main!$K$26:$Q$29,3,FALSE),1,0)</f>
        <v>0</v>
      </c>
      <c r="R32">
        <f>IF(VLOOKUP(R$1,main!$A$3:$H$102,5,FALSE)-VLOOKUP($A32,main!$A$3:$H$102,6,FALSE)&gt;=main!$D$103+VLOOKUP(VLOOKUP(R$1,main!$A$3:$I$102,7,FALSE),main!$K$26:$Q$29,3,FALSE),1,0)</f>
        <v>0</v>
      </c>
      <c r="S32">
        <f>IF(VLOOKUP(S$1,main!$A$3:$H$102,5,FALSE)-VLOOKUP($A32,main!$A$3:$H$102,6,FALSE)&gt;=main!$D$103+VLOOKUP(VLOOKUP(S$1,main!$A$3:$I$102,7,FALSE),main!$K$26:$Q$29,3,FALSE),1,0)</f>
        <v>0</v>
      </c>
      <c r="T32">
        <f>IF(VLOOKUP(T$1,main!$A$3:$H$102,5,FALSE)-VLOOKUP($A32,main!$A$3:$H$102,6,FALSE)&gt;=main!$D$103+VLOOKUP(VLOOKUP(T$1,main!$A$3:$I$102,7,FALSE),main!$K$26:$Q$29,3,FALSE),1,0)</f>
        <v>0</v>
      </c>
      <c r="U32">
        <f>IF(VLOOKUP(U$1,main!$A$3:$H$102,5,FALSE)-VLOOKUP($A32,main!$A$3:$H$102,6,FALSE)&gt;=main!$D$103+VLOOKUP(VLOOKUP(U$1,main!$A$3:$I$102,7,FALSE),main!$K$26:$Q$29,3,FALSE),1,0)</f>
        <v>0</v>
      </c>
      <c r="V32">
        <f>IF(VLOOKUP(V$1,main!$A$3:$H$102,5,FALSE)-VLOOKUP($A32,main!$A$3:$H$102,6,FALSE)&gt;=main!$D$103+VLOOKUP(VLOOKUP(V$1,main!$A$3:$I$102,7,FALSE),main!$K$26:$Q$29,3,FALSE),1,0)</f>
        <v>0</v>
      </c>
      <c r="W32">
        <f>IF(VLOOKUP(W$1,main!$A$3:$H$102,5,FALSE)-VLOOKUP($A32,main!$A$3:$H$102,6,FALSE)&gt;=main!$D$103+VLOOKUP(VLOOKUP(W$1,main!$A$3:$I$102,7,FALSE),main!$K$26:$Q$29,3,FALSE),1,0)</f>
        <v>0</v>
      </c>
      <c r="X32">
        <f>IF(VLOOKUP(X$1,main!$A$3:$H$102,5,FALSE)-VLOOKUP($A32,main!$A$3:$H$102,6,FALSE)&gt;=main!$D$103+VLOOKUP(VLOOKUP(X$1,main!$A$3:$I$102,7,FALSE),main!$K$26:$Q$29,3,FALSE),1,0)</f>
        <v>0</v>
      </c>
      <c r="Y32">
        <f>IF(VLOOKUP(Y$1,main!$A$3:$H$102,5,FALSE)-VLOOKUP($A32,main!$A$3:$H$102,6,FALSE)&gt;=main!$D$103+VLOOKUP(VLOOKUP(Y$1,main!$A$3:$I$102,7,FALSE),main!$K$26:$Q$29,3,FALSE),1,0)</f>
        <v>0</v>
      </c>
      <c r="Z32">
        <f>IF(VLOOKUP(Z$1,main!$A$3:$H$102,5,FALSE)-VLOOKUP($A32,main!$A$3:$H$102,6,FALSE)&gt;=main!$D$103+VLOOKUP(VLOOKUP(Z$1,main!$A$3:$I$102,7,FALSE),main!$K$26:$Q$29,3,FALSE),1,0)</f>
        <v>0</v>
      </c>
      <c r="AA32">
        <f>IF(VLOOKUP(AA$1,main!$A$3:$H$102,5,FALSE)-VLOOKUP($A32,main!$A$3:$H$102,6,FALSE)&gt;=main!$D$103+VLOOKUP(VLOOKUP(AA$1,main!$A$3:$I$102,7,FALSE),main!$K$26:$Q$29,3,FALSE),1,0)</f>
        <v>0</v>
      </c>
      <c r="AB32">
        <f>IF(VLOOKUP(AB$1,main!$A$3:$H$102,5,FALSE)-VLOOKUP($A32,main!$A$3:$H$102,6,FALSE)&gt;=main!$D$103+VLOOKUP(VLOOKUP(AB$1,main!$A$3:$I$102,7,FALSE),main!$K$26:$Q$29,3,FALSE),1,0)</f>
        <v>0</v>
      </c>
      <c r="AC32">
        <f>IF(VLOOKUP(AC$1,main!$A$3:$H$102,5,FALSE)-VLOOKUP($A32,main!$A$3:$H$102,6,FALSE)&gt;=main!$D$103+VLOOKUP(VLOOKUP(AC$1,main!$A$3:$I$102,7,FALSE),main!$K$26:$Q$29,3,FALSE),1,0)</f>
        <v>0</v>
      </c>
      <c r="AD32">
        <f>IF(VLOOKUP(AD$1,main!$A$3:$H$102,5,FALSE)-VLOOKUP($A32,main!$A$3:$H$102,6,FALSE)&gt;=main!$D$103+VLOOKUP(VLOOKUP(AD$1,main!$A$3:$I$102,7,FALSE),main!$K$26:$Q$29,3,FALSE),1,0)</f>
        <v>0</v>
      </c>
      <c r="AE32">
        <f>IF(VLOOKUP(AE$1,main!$A$3:$H$102,5,FALSE)-VLOOKUP($A32,main!$A$3:$H$102,6,FALSE)&gt;=main!$D$103+VLOOKUP(VLOOKUP(AE$1,main!$A$3:$I$102,7,FALSE),main!$K$26:$Q$29,3,FALSE),1,0)</f>
        <v>0</v>
      </c>
      <c r="AF32">
        <f>IF(VLOOKUP(AF$1,main!$A$3:$H$102,5,FALSE)-VLOOKUP($A32,main!$A$3:$H$102,6,FALSE)&gt;=main!$D$103+VLOOKUP(VLOOKUP(AF$1,main!$A$3:$I$102,7,FALSE),main!$K$26:$Q$29,3,FALSE),1,0)</f>
        <v>0</v>
      </c>
      <c r="AG32">
        <f>IF(VLOOKUP(AG$1,main!$A$3:$H$102,5,FALSE)-VLOOKUP($A32,main!$A$3:$H$102,6,FALSE)&gt;=main!$D$103+VLOOKUP(VLOOKUP(AG$1,main!$A$3:$I$102,7,FALSE),main!$K$26:$Q$29,3,FALSE),1,0)</f>
        <v>0</v>
      </c>
      <c r="AH32">
        <f>IF(VLOOKUP(AH$1,main!$A$3:$H$102,5,FALSE)-VLOOKUP($A32,main!$A$3:$H$102,6,FALSE)&gt;=main!$D$103+VLOOKUP(VLOOKUP(AH$1,main!$A$3:$I$102,7,FALSE),main!$K$26:$Q$29,3,FALSE),1,0)</f>
        <v>0</v>
      </c>
      <c r="AI32">
        <f>IF(VLOOKUP(AI$1,main!$A$3:$H$102,5,FALSE)-VLOOKUP($A32,main!$A$3:$H$102,6,FALSE)&gt;=main!$D$103+VLOOKUP(VLOOKUP(AI$1,main!$A$3:$I$102,7,FALSE),main!$K$26:$Q$29,3,FALSE),1,0)</f>
        <v>0</v>
      </c>
      <c r="AJ32">
        <f>IF(VLOOKUP(AJ$1,main!$A$3:$H$102,5,FALSE)-VLOOKUP($A32,main!$A$3:$H$102,6,FALSE)&gt;=main!$D$103+VLOOKUP(VLOOKUP(AJ$1,main!$A$3:$I$102,7,FALSE),main!$K$26:$Q$29,3,FALSE),1,0)</f>
        <v>0</v>
      </c>
      <c r="AK32">
        <f>IF(VLOOKUP(AK$1,main!$A$3:$H$102,5,FALSE)-VLOOKUP($A32,main!$A$3:$H$102,6,FALSE)&gt;=main!$D$103+VLOOKUP(VLOOKUP(AK$1,main!$A$3:$I$102,7,FALSE),main!$K$26:$Q$29,3,FALSE),1,0)</f>
        <v>0</v>
      </c>
      <c r="AL32">
        <f>IF(VLOOKUP(AL$1,main!$A$3:$H$102,5,FALSE)-VLOOKUP($A32,main!$A$3:$H$102,6,FALSE)&gt;=main!$D$103+VLOOKUP(VLOOKUP(AL$1,main!$A$3:$I$102,7,FALSE),main!$K$26:$Q$29,3,FALSE),1,0)</f>
        <v>0</v>
      </c>
      <c r="AM32">
        <f>IF(VLOOKUP(AM$1,main!$A$3:$H$102,5,FALSE)-VLOOKUP($A32,main!$A$3:$H$102,6,FALSE)&gt;=main!$D$103+VLOOKUP(VLOOKUP(AM$1,main!$A$3:$I$102,7,FALSE),main!$K$26:$Q$29,3,FALSE),1,0)</f>
        <v>0</v>
      </c>
      <c r="AN32">
        <f>IF(VLOOKUP(AN$1,main!$A$3:$H$102,5,FALSE)-VLOOKUP($A32,main!$A$3:$H$102,6,FALSE)&gt;=main!$D$103+VLOOKUP(VLOOKUP(AN$1,main!$A$3:$I$102,7,FALSE),main!$K$26:$Q$29,3,FALSE),1,0)</f>
        <v>0</v>
      </c>
      <c r="AO32">
        <f>IF(VLOOKUP(AO$1,main!$A$3:$H$102,5,FALSE)-VLOOKUP($A32,main!$A$3:$H$102,6,FALSE)&gt;=main!$D$103+VLOOKUP(VLOOKUP(AO$1,main!$A$3:$I$102,7,FALSE),main!$K$26:$Q$29,3,FALSE),1,0)</f>
        <v>0</v>
      </c>
      <c r="AP32">
        <f>IF(VLOOKUP(AP$1,main!$A$3:$H$102,5,FALSE)-VLOOKUP($A32,main!$A$3:$H$102,6,FALSE)&gt;=main!$D$103+VLOOKUP(VLOOKUP(AP$1,main!$A$3:$I$102,7,FALSE),main!$K$26:$Q$29,3,FALSE),1,0)</f>
        <v>0</v>
      </c>
      <c r="AQ32">
        <f>IF(VLOOKUP(AQ$1,main!$A$3:$H$102,5,FALSE)-VLOOKUP($A32,main!$A$3:$H$102,6,FALSE)&gt;=main!$D$103+VLOOKUP(VLOOKUP(AQ$1,main!$A$3:$I$102,7,FALSE),main!$K$26:$Q$29,3,FALSE),1,0)</f>
        <v>0</v>
      </c>
      <c r="AR32">
        <f>IF(VLOOKUP(AR$1,main!$A$3:$H$102,5,FALSE)-VLOOKUP($A32,main!$A$3:$H$102,6,FALSE)&gt;=main!$D$103+VLOOKUP(VLOOKUP(AR$1,main!$A$3:$I$102,7,FALSE),main!$K$26:$Q$29,3,FALSE),1,0)</f>
        <v>0</v>
      </c>
      <c r="AS32">
        <f>IF(VLOOKUP(AS$1,main!$A$3:$H$102,5,FALSE)-VLOOKUP($A32,main!$A$3:$H$102,6,FALSE)&gt;=main!$D$103+VLOOKUP(VLOOKUP(AS$1,main!$A$3:$I$102,7,FALSE),main!$K$26:$Q$29,3,FALSE),1,0)</f>
        <v>0</v>
      </c>
      <c r="AT32">
        <f>IF(VLOOKUP(AT$1,main!$A$3:$H$102,5,FALSE)-VLOOKUP($A32,main!$A$3:$H$102,6,FALSE)&gt;=main!$D$103+VLOOKUP(VLOOKUP(AT$1,main!$A$3:$I$102,7,FALSE),main!$K$26:$Q$29,3,FALSE),1,0)</f>
        <v>0</v>
      </c>
      <c r="AU32">
        <f>IF(VLOOKUP(AU$1,main!$A$3:$H$102,5,FALSE)-VLOOKUP($A32,main!$A$3:$H$102,6,FALSE)&gt;=main!$D$103+VLOOKUP(VLOOKUP(AU$1,main!$A$3:$I$102,7,FALSE),main!$K$26:$Q$29,3,FALSE),1,0)</f>
        <v>0</v>
      </c>
      <c r="AV32">
        <f>IF(VLOOKUP(AV$1,main!$A$3:$H$102,5,FALSE)-VLOOKUP($A32,main!$A$3:$H$102,6,FALSE)&gt;=main!$D$103+VLOOKUP(VLOOKUP(AV$1,main!$A$3:$I$102,7,FALSE),main!$K$26:$Q$29,3,FALSE),1,0)</f>
        <v>0</v>
      </c>
      <c r="AW32">
        <f>IF(VLOOKUP(AW$1,main!$A$3:$H$102,5,FALSE)-VLOOKUP($A32,main!$A$3:$H$102,6,FALSE)&gt;=main!$D$103+VLOOKUP(VLOOKUP(AW$1,main!$A$3:$I$102,7,FALSE),main!$K$26:$Q$29,3,FALSE),1,0)</f>
        <v>0</v>
      </c>
      <c r="AX32">
        <f>IF(VLOOKUP(AX$1,main!$A$3:$H$102,5,FALSE)-VLOOKUP($A32,main!$A$3:$H$102,6,FALSE)&gt;=main!$D$103+VLOOKUP(VLOOKUP(AX$1,main!$A$3:$I$102,7,FALSE),main!$K$26:$Q$29,3,FALSE),1,0)</f>
        <v>0</v>
      </c>
      <c r="AY32">
        <f>IF(VLOOKUP(AY$1,main!$A$3:$H$102,5,FALSE)-VLOOKUP($A32,main!$A$3:$H$102,6,FALSE)&gt;=main!$D$103+VLOOKUP(VLOOKUP(AY$1,main!$A$3:$I$102,7,FALSE),main!$K$26:$Q$29,3,FALSE),1,0)</f>
        <v>0</v>
      </c>
      <c r="AZ32">
        <f>IF(VLOOKUP(AZ$1,main!$A$3:$H$102,5,FALSE)-VLOOKUP($A32,main!$A$3:$H$102,6,FALSE)&gt;=main!$D$103+VLOOKUP(VLOOKUP(AZ$1,main!$A$3:$I$102,7,FALSE),main!$K$26:$Q$29,3,FALSE),1,0)</f>
        <v>0</v>
      </c>
      <c r="BA32">
        <f>IF(VLOOKUP(BA$1,main!$A$3:$H$102,5,FALSE)-VLOOKUP($A32,main!$A$3:$H$102,6,FALSE)&gt;=main!$D$103+VLOOKUP(VLOOKUP(BA$1,main!$A$3:$I$102,7,FALSE),main!$K$26:$Q$29,3,FALSE),1,0)</f>
        <v>0</v>
      </c>
      <c r="BB32">
        <f>IF(VLOOKUP(BB$1,main!$A$3:$H$102,5,FALSE)-VLOOKUP($A32,main!$A$3:$H$102,6,FALSE)&gt;=main!$D$103+VLOOKUP(VLOOKUP(BB$1,main!$A$3:$I$102,7,FALSE),main!$K$26:$Q$29,3,FALSE),1,0)</f>
        <v>0</v>
      </c>
      <c r="BC32">
        <f>IF(VLOOKUP(BC$1,main!$A$3:$H$102,5,FALSE)-VLOOKUP($A32,main!$A$3:$H$102,6,FALSE)&gt;=main!$D$103+VLOOKUP(VLOOKUP(BC$1,main!$A$3:$I$102,7,FALSE),main!$K$26:$Q$29,3,FALSE),1,0)</f>
        <v>0</v>
      </c>
      <c r="BD32">
        <f>IF(VLOOKUP(BD$1,main!$A$3:$H$102,5,FALSE)-VLOOKUP($A32,main!$A$3:$H$102,6,FALSE)&gt;=main!$D$103+VLOOKUP(VLOOKUP(BD$1,main!$A$3:$I$102,7,FALSE),main!$K$26:$Q$29,3,FALSE),1,0)</f>
        <v>0</v>
      </c>
      <c r="BE32">
        <f>IF(VLOOKUP(BE$1,main!$A$3:$H$102,5,FALSE)-VLOOKUP($A32,main!$A$3:$H$102,6,FALSE)&gt;=main!$D$103+VLOOKUP(VLOOKUP(BE$1,main!$A$3:$I$102,7,FALSE),main!$K$26:$Q$29,3,FALSE),1,0)</f>
        <v>0</v>
      </c>
      <c r="BF32">
        <f>IF(VLOOKUP(BF$1,main!$A$3:$H$102,5,FALSE)-VLOOKUP($A32,main!$A$3:$H$102,6,FALSE)&gt;=main!$D$103+VLOOKUP(VLOOKUP(BF$1,main!$A$3:$I$102,7,FALSE),main!$K$26:$Q$29,3,FALSE),1,0)</f>
        <v>0</v>
      </c>
      <c r="BG32">
        <f>IF(VLOOKUP(BG$1,main!$A$3:$H$102,5,FALSE)-VLOOKUP($A32,main!$A$3:$H$102,6,FALSE)&gt;=main!$D$103+VLOOKUP(VLOOKUP(BG$1,main!$A$3:$I$102,7,FALSE),main!$K$26:$Q$29,3,FALSE),1,0)</f>
        <v>0</v>
      </c>
      <c r="BH32">
        <f>IF(VLOOKUP(BH$1,main!$A$3:$H$102,5,FALSE)-VLOOKUP($A32,main!$A$3:$H$102,6,FALSE)&gt;=main!$D$103+VLOOKUP(VLOOKUP(BH$1,main!$A$3:$I$102,7,FALSE),main!$K$26:$Q$29,3,FALSE),1,0)</f>
        <v>0</v>
      </c>
      <c r="BI32">
        <f>IF(VLOOKUP(BI$1,main!$A$3:$H$102,5,FALSE)-VLOOKUP($A32,main!$A$3:$H$102,6,FALSE)&gt;=main!$D$103+VLOOKUP(VLOOKUP(BI$1,main!$A$3:$I$102,7,FALSE),main!$K$26:$Q$29,3,FALSE),1,0)</f>
        <v>0</v>
      </c>
      <c r="BJ32">
        <f>IF(VLOOKUP(BJ$1,main!$A$3:$H$102,5,FALSE)-VLOOKUP($A32,main!$A$3:$H$102,6,FALSE)&gt;=main!$D$103+VLOOKUP(VLOOKUP(BJ$1,main!$A$3:$I$102,7,FALSE),main!$K$26:$Q$29,3,FALSE),1,0)</f>
        <v>0</v>
      </c>
      <c r="BK32">
        <f>IF(VLOOKUP(BK$1,main!$A$3:$H$102,5,FALSE)-VLOOKUP($A32,main!$A$3:$H$102,6,FALSE)&gt;=main!$D$103+VLOOKUP(VLOOKUP(BK$1,main!$A$3:$I$102,7,FALSE),main!$K$26:$Q$29,3,FALSE),1,0)</f>
        <v>0</v>
      </c>
      <c r="BL32">
        <f>IF(VLOOKUP(BL$1,main!$A$3:$H$102,5,FALSE)-VLOOKUP($A32,main!$A$3:$H$102,6,FALSE)&gt;=main!$D$103+VLOOKUP(VLOOKUP(BL$1,main!$A$3:$I$102,7,FALSE),main!$K$26:$Q$29,3,FALSE),1,0)</f>
        <v>0</v>
      </c>
      <c r="BM32">
        <f>IF(VLOOKUP(BM$1,main!$A$3:$H$102,5,FALSE)-VLOOKUP($A32,main!$A$3:$H$102,6,FALSE)&gt;=main!$D$103+VLOOKUP(VLOOKUP(BM$1,main!$A$3:$I$102,7,FALSE),main!$K$26:$Q$29,3,FALSE),1,0)</f>
        <v>0</v>
      </c>
      <c r="BN32">
        <f>IF(VLOOKUP(BN$1,main!$A$3:$H$102,5,FALSE)-VLOOKUP($A32,main!$A$3:$H$102,6,FALSE)&gt;=main!$D$103+VLOOKUP(VLOOKUP(BN$1,main!$A$3:$I$102,7,FALSE),main!$K$26:$Q$29,3,FALSE),1,0)</f>
        <v>0</v>
      </c>
      <c r="BO32">
        <f>IF(VLOOKUP(BO$1,main!$A$3:$H$102,5,FALSE)-VLOOKUP($A32,main!$A$3:$H$102,6,FALSE)&gt;=main!$D$103+VLOOKUP(VLOOKUP(BO$1,main!$A$3:$I$102,7,FALSE),main!$K$26:$Q$29,3,FALSE),1,0)</f>
        <v>0</v>
      </c>
      <c r="BP32">
        <f>IF(VLOOKUP(BP$1,main!$A$3:$H$102,5,FALSE)-VLOOKUP($A32,main!$A$3:$H$102,6,FALSE)&gt;=main!$D$103+VLOOKUP(VLOOKUP(BP$1,main!$A$3:$I$102,7,FALSE),main!$K$26:$Q$29,3,FALSE),1,0)</f>
        <v>0</v>
      </c>
      <c r="BQ32">
        <f>IF(VLOOKUP(BQ$1,main!$A$3:$H$102,5,FALSE)-VLOOKUP($A32,main!$A$3:$H$102,6,FALSE)&gt;=main!$D$103+VLOOKUP(VLOOKUP(BQ$1,main!$A$3:$I$102,7,FALSE),main!$K$26:$Q$29,3,FALSE),1,0)</f>
        <v>0</v>
      </c>
      <c r="BR32">
        <f>IF(VLOOKUP(BR$1,main!$A$3:$H$102,5,FALSE)-VLOOKUP($A32,main!$A$3:$H$102,6,FALSE)&gt;=main!$D$103+VLOOKUP(VLOOKUP(BR$1,main!$A$3:$I$102,7,FALSE),main!$K$26:$Q$29,3,FALSE),1,0)</f>
        <v>0</v>
      </c>
      <c r="BS32">
        <f>IF(VLOOKUP(BS$1,main!$A$3:$H$102,5,FALSE)-VLOOKUP($A32,main!$A$3:$H$102,6,FALSE)&gt;=main!$D$103+VLOOKUP(VLOOKUP(BS$1,main!$A$3:$I$102,7,FALSE),main!$K$26:$Q$29,3,FALSE),1,0)</f>
        <v>0</v>
      </c>
      <c r="BT32">
        <f>IF(VLOOKUP(BT$1,main!$A$3:$H$102,5,FALSE)-VLOOKUP($A32,main!$A$3:$H$102,6,FALSE)&gt;=main!$D$103+VLOOKUP(VLOOKUP(BT$1,main!$A$3:$I$102,7,FALSE),main!$K$26:$Q$29,3,FALSE),1,0)</f>
        <v>0</v>
      </c>
      <c r="BU32">
        <f>IF(VLOOKUP(BU$1,main!$A$3:$H$102,5,FALSE)-VLOOKUP($A32,main!$A$3:$H$102,6,FALSE)&gt;=main!$D$103+VLOOKUP(VLOOKUP(BU$1,main!$A$3:$I$102,7,FALSE),main!$K$26:$Q$29,3,FALSE),1,0)</f>
        <v>0</v>
      </c>
      <c r="BV32">
        <f>IF(VLOOKUP(BV$1,main!$A$3:$H$102,5,FALSE)-VLOOKUP($A32,main!$A$3:$H$102,6,FALSE)&gt;=main!$D$103+VLOOKUP(VLOOKUP(BV$1,main!$A$3:$I$102,7,FALSE),main!$K$26:$Q$29,3,FALSE),1,0)</f>
        <v>0</v>
      </c>
      <c r="BW32">
        <f>IF(VLOOKUP(BW$1,main!$A$3:$H$102,5,FALSE)-VLOOKUP($A32,main!$A$3:$H$102,6,FALSE)&gt;=main!$D$103+VLOOKUP(VLOOKUP(BW$1,main!$A$3:$I$102,7,FALSE),main!$K$26:$Q$29,3,FALSE),1,0)</f>
        <v>0</v>
      </c>
      <c r="BX32">
        <f>IF(VLOOKUP(BX$1,main!$A$3:$H$102,5,FALSE)-VLOOKUP($A32,main!$A$3:$H$102,6,FALSE)&gt;=main!$D$103+VLOOKUP(VLOOKUP(BX$1,main!$A$3:$I$102,7,FALSE),main!$K$26:$Q$29,3,FALSE),1,0)</f>
        <v>0</v>
      </c>
      <c r="BY32">
        <f>IF(VLOOKUP(BY$1,main!$A$3:$H$102,5,FALSE)-VLOOKUP($A32,main!$A$3:$H$102,6,FALSE)&gt;=main!$D$103+VLOOKUP(VLOOKUP(BY$1,main!$A$3:$I$102,7,FALSE),main!$K$26:$Q$29,3,FALSE),1,0)</f>
        <v>0</v>
      </c>
      <c r="BZ32">
        <f>IF(VLOOKUP(BZ$1,main!$A$3:$H$102,5,FALSE)-VLOOKUP($A32,main!$A$3:$H$102,6,FALSE)&gt;=main!$D$103+VLOOKUP(VLOOKUP(BZ$1,main!$A$3:$I$102,7,FALSE),main!$K$26:$Q$29,3,FALSE),1,0)</f>
        <v>0</v>
      </c>
      <c r="CA32">
        <f>IF(VLOOKUP(CA$1,main!$A$3:$H$102,5,FALSE)-VLOOKUP($A32,main!$A$3:$H$102,6,FALSE)&gt;=main!$D$103+VLOOKUP(VLOOKUP(CA$1,main!$A$3:$I$102,7,FALSE),main!$K$26:$Q$29,3,FALSE),1,0)</f>
        <v>0</v>
      </c>
      <c r="CB32">
        <f>IF(VLOOKUP(CB$1,main!$A$3:$H$102,5,FALSE)-VLOOKUP($A32,main!$A$3:$H$102,6,FALSE)&gt;=main!$D$103+VLOOKUP(VLOOKUP(CB$1,main!$A$3:$I$102,7,FALSE),main!$K$26:$Q$29,3,FALSE),1,0)</f>
        <v>0</v>
      </c>
      <c r="CC32">
        <f>IF(VLOOKUP(CC$1,main!$A$3:$H$102,5,FALSE)-VLOOKUP($A32,main!$A$3:$H$102,6,FALSE)&gt;=main!$D$103+VLOOKUP(VLOOKUP(CC$1,main!$A$3:$I$102,7,FALSE),main!$K$26:$Q$29,3,FALSE),1,0)</f>
        <v>0</v>
      </c>
      <c r="CD32">
        <f>IF(VLOOKUP(CD$1,main!$A$3:$H$102,5,FALSE)-VLOOKUP($A32,main!$A$3:$H$102,6,FALSE)&gt;=main!$D$103+VLOOKUP(VLOOKUP(CD$1,main!$A$3:$I$102,7,FALSE),main!$K$26:$Q$29,3,FALSE),1,0)</f>
        <v>0</v>
      </c>
      <c r="CE32">
        <f>IF(VLOOKUP(CE$1,main!$A$3:$H$102,5,FALSE)-VLOOKUP($A32,main!$A$3:$H$102,6,FALSE)&gt;=main!$D$103+VLOOKUP(VLOOKUP(CE$1,main!$A$3:$I$102,7,FALSE),main!$K$26:$Q$29,3,FALSE),1,0)</f>
        <v>0</v>
      </c>
      <c r="CF32">
        <f>IF(VLOOKUP(CF$1,main!$A$3:$H$102,5,FALSE)-VLOOKUP($A32,main!$A$3:$H$102,6,FALSE)&gt;=main!$D$103+VLOOKUP(VLOOKUP(CF$1,main!$A$3:$I$102,7,FALSE),main!$K$26:$Q$29,3,FALSE),1,0)</f>
        <v>0</v>
      </c>
      <c r="CG32">
        <f>IF(VLOOKUP(CG$1,main!$A$3:$H$102,5,FALSE)-VLOOKUP($A32,main!$A$3:$H$102,6,FALSE)&gt;=main!$D$103+VLOOKUP(VLOOKUP(CG$1,main!$A$3:$I$102,7,FALSE),main!$K$26:$Q$29,3,FALSE),1,0)</f>
        <v>0</v>
      </c>
      <c r="CH32">
        <f>IF(VLOOKUP(CH$1,main!$A$3:$H$102,5,FALSE)-VLOOKUP($A32,main!$A$3:$H$102,6,FALSE)&gt;=main!$D$103+VLOOKUP(VLOOKUP(CH$1,main!$A$3:$I$102,7,FALSE),main!$K$26:$Q$29,3,FALSE),1,0)</f>
        <v>0</v>
      </c>
      <c r="CI32">
        <f>IF(VLOOKUP(CI$1,main!$A$3:$H$102,5,FALSE)-VLOOKUP($A32,main!$A$3:$H$102,6,FALSE)&gt;=main!$D$103+VLOOKUP(VLOOKUP(CI$1,main!$A$3:$I$102,7,FALSE),main!$K$26:$Q$29,3,FALSE),1,0)</f>
        <v>0</v>
      </c>
      <c r="CJ32">
        <f>IF(VLOOKUP(CJ$1,main!$A$3:$H$102,5,FALSE)-VLOOKUP($A32,main!$A$3:$H$102,6,FALSE)&gt;=main!$D$103+VLOOKUP(VLOOKUP(CJ$1,main!$A$3:$I$102,7,FALSE),main!$K$26:$Q$29,3,FALSE),1,0)</f>
        <v>0</v>
      </c>
      <c r="CK32">
        <f>IF(VLOOKUP(CK$1,main!$A$3:$H$102,5,FALSE)-VLOOKUP($A32,main!$A$3:$H$102,6,FALSE)&gt;=main!$D$103+VLOOKUP(VLOOKUP(CK$1,main!$A$3:$I$102,7,FALSE),main!$K$26:$Q$29,3,FALSE),1,0)</f>
        <v>0</v>
      </c>
      <c r="CL32">
        <f>IF(VLOOKUP(CL$1,main!$A$3:$H$102,5,FALSE)-VLOOKUP($A32,main!$A$3:$H$102,6,FALSE)&gt;=main!$D$103+VLOOKUP(VLOOKUP(CL$1,main!$A$3:$I$102,7,FALSE),main!$K$26:$Q$29,3,FALSE),1,0)</f>
        <v>0</v>
      </c>
      <c r="CM32">
        <f>IF(VLOOKUP(CM$1,main!$A$3:$H$102,5,FALSE)-VLOOKUP($A32,main!$A$3:$H$102,6,FALSE)&gt;=main!$D$103+VLOOKUP(VLOOKUP(CM$1,main!$A$3:$I$102,7,FALSE),main!$K$26:$Q$29,3,FALSE),1,0)</f>
        <v>0</v>
      </c>
      <c r="CN32">
        <f>IF(VLOOKUP(CN$1,main!$A$3:$H$102,5,FALSE)-VLOOKUP($A32,main!$A$3:$H$102,6,FALSE)&gt;=main!$D$103+VLOOKUP(VLOOKUP(CN$1,main!$A$3:$I$102,7,FALSE),main!$K$26:$Q$29,3,FALSE),1,0)</f>
        <v>0</v>
      </c>
      <c r="CO32">
        <f>IF(VLOOKUP(CO$1,main!$A$3:$H$102,5,FALSE)-VLOOKUP($A32,main!$A$3:$H$102,6,FALSE)&gt;=main!$D$103+VLOOKUP(VLOOKUP(CO$1,main!$A$3:$I$102,7,FALSE),main!$K$26:$Q$29,3,FALSE),1,0)</f>
        <v>0</v>
      </c>
      <c r="CP32">
        <f>IF(VLOOKUP(CP$1,main!$A$3:$H$102,5,FALSE)-VLOOKUP($A32,main!$A$3:$H$102,6,FALSE)&gt;=main!$D$103+VLOOKUP(VLOOKUP(CP$1,main!$A$3:$I$102,7,FALSE),main!$K$26:$Q$29,3,FALSE),1,0)</f>
        <v>0</v>
      </c>
      <c r="CQ32">
        <f>IF(VLOOKUP(CQ$1,main!$A$3:$H$102,5,FALSE)-VLOOKUP($A32,main!$A$3:$H$102,6,FALSE)&gt;=main!$D$103+VLOOKUP(VLOOKUP(CQ$1,main!$A$3:$I$102,7,FALSE),main!$K$26:$Q$29,3,FALSE),1,0)</f>
        <v>0</v>
      </c>
      <c r="CR32">
        <f>IF(VLOOKUP(CR$1,main!$A$3:$H$102,5,FALSE)-VLOOKUP($A32,main!$A$3:$H$102,6,FALSE)&gt;=main!$D$103+VLOOKUP(VLOOKUP(CR$1,main!$A$3:$I$102,7,FALSE),main!$K$26:$Q$29,3,FALSE),1,0)</f>
        <v>0</v>
      </c>
      <c r="CS32">
        <f>IF(VLOOKUP(CS$1,main!$A$3:$H$102,5,FALSE)-VLOOKUP($A32,main!$A$3:$H$102,6,FALSE)&gt;=main!$D$103+VLOOKUP(VLOOKUP(CS$1,main!$A$3:$I$102,7,FALSE),main!$K$26:$Q$29,3,FALSE),1,0)</f>
        <v>0</v>
      </c>
      <c r="CT32">
        <f>IF(VLOOKUP(CT$1,main!$A$3:$H$102,5,FALSE)-VLOOKUP($A32,main!$A$3:$H$102,6,FALSE)&gt;=main!$D$103+VLOOKUP(VLOOKUP(CT$1,main!$A$3:$I$102,7,FALSE),main!$K$26:$Q$29,3,FALSE),1,0)</f>
        <v>0</v>
      </c>
      <c r="CU32">
        <f>IF(VLOOKUP(CU$1,main!$A$3:$H$102,5,FALSE)-VLOOKUP($A32,main!$A$3:$H$102,6,FALSE)&gt;=main!$D$103+VLOOKUP(VLOOKUP(CU$1,main!$A$3:$I$102,7,FALSE),main!$K$26:$Q$29,3,FALSE),1,0)</f>
        <v>0</v>
      </c>
      <c r="CV32">
        <f>IF(VLOOKUP(CV$1,main!$A$3:$H$102,5,FALSE)-VLOOKUP($A32,main!$A$3:$H$102,6,FALSE)&gt;=main!$D$103+VLOOKUP(VLOOKUP(CV$1,main!$A$3:$I$102,7,FALSE),main!$K$26:$Q$29,3,FALSE),1,0)</f>
        <v>0</v>
      </c>
      <c r="CW32">
        <f>IF(VLOOKUP(CW$1,main!$A$3:$H$102,5,FALSE)-VLOOKUP($A32,main!$A$3:$H$102,6,FALSE)&gt;=main!$D$103+VLOOKUP(VLOOKUP(CW$1,main!$A$3:$I$102,7,FALSE),main!$K$26:$Q$29,3,FALSE),1,0)</f>
        <v>0</v>
      </c>
      <c r="CX32">
        <f>IF(VLOOKUP(CX$1,main!$A$3:$H$102,5,FALSE)-VLOOKUP($A32,main!$A$3:$H$102,6,FALSE)&gt;=main!$D$103+VLOOKUP(VLOOKUP(CX$1,main!$A$3:$I$102,7,FALSE),main!$K$26:$Q$29,3,FALSE),1,0)</f>
        <v>0</v>
      </c>
    </row>
    <row r="33" spans="1:102" x14ac:dyDescent="0.25">
      <c r="A33" s="1">
        <v>31</v>
      </c>
      <c r="B33">
        <v>0</v>
      </c>
      <c r="C33">
        <f>IF(VLOOKUP(C$1,main!$A$3:$H$102,5,FALSE)-VLOOKUP($A33,main!$A$3:$H$102,6,FALSE)&gt;=main!$D$103+VLOOKUP(VLOOKUP(C$1,main!$A$3:$I$102,7,FALSE),main!$K$26:$Q$29,3,FALSE),1,0)</f>
        <v>0</v>
      </c>
      <c r="D33">
        <f>IF(VLOOKUP(D$1,main!$A$3:$H$102,5,FALSE)-VLOOKUP($A33,main!$A$3:$H$102,6,FALSE)&gt;=main!$D$103+VLOOKUP(VLOOKUP(D$1,main!$A$3:$I$102,7,FALSE),main!$K$26:$Q$29,3,FALSE),1,0)</f>
        <v>0</v>
      </c>
      <c r="E33">
        <f>IF(VLOOKUP(E$1,main!$A$3:$H$102,5,FALSE)-VLOOKUP($A33,main!$A$3:$H$102,6,FALSE)&gt;=main!$D$103+VLOOKUP(VLOOKUP(E$1,main!$A$3:$I$102,7,FALSE),main!$K$26:$Q$29,3,FALSE),1,0)</f>
        <v>0</v>
      </c>
      <c r="F33">
        <f>IF(VLOOKUP(F$1,main!$A$3:$H$102,5,FALSE)-VLOOKUP($A33,main!$A$3:$H$102,6,FALSE)&gt;=main!$D$103+VLOOKUP(VLOOKUP(F$1,main!$A$3:$I$102,7,FALSE),main!$K$26:$Q$29,3,FALSE),1,0)</f>
        <v>0</v>
      </c>
      <c r="G33">
        <f>IF(VLOOKUP(G$1,main!$A$3:$H$102,5,FALSE)-VLOOKUP($A33,main!$A$3:$H$102,6,FALSE)&gt;=main!$D$103+VLOOKUP(VLOOKUP(G$1,main!$A$3:$I$102,7,FALSE),main!$K$26:$Q$29,3,FALSE),1,0)</f>
        <v>1</v>
      </c>
      <c r="H33">
        <f>IF(VLOOKUP(H$1,main!$A$3:$H$102,5,FALSE)-VLOOKUP($A33,main!$A$3:$H$102,6,FALSE)&gt;=main!$D$103+VLOOKUP(VLOOKUP(H$1,main!$A$3:$I$102,7,FALSE),main!$K$26:$Q$29,3,FALSE),1,0)</f>
        <v>1</v>
      </c>
      <c r="I33">
        <f>IF(VLOOKUP(I$1,main!$A$3:$H$102,5,FALSE)-VLOOKUP($A33,main!$A$3:$H$102,6,FALSE)&gt;=main!$D$103+VLOOKUP(VLOOKUP(I$1,main!$A$3:$I$102,7,FALSE),main!$K$26:$Q$29,3,FALSE),1,0)</f>
        <v>1</v>
      </c>
      <c r="J33">
        <f>IF(VLOOKUP(J$1,main!$A$3:$H$102,5,FALSE)-VLOOKUP($A33,main!$A$3:$H$102,6,FALSE)&gt;=main!$D$103+VLOOKUP(VLOOKUP(J$1,main!$A$3:$I$102,7,FALSE),main!$K$26:$Q$29,3,FALSE),1,0)</f>
        <v>1</v>
      </c>
      <c r="K33">
        <f>IF(VLOOKUP(K$1,main!$A$3:$H$102,5,FALSE)-VLOOKUP($A33,main!$A$3:$H$102,6,FALSE)&gt;=main!$D$103+VLOOKUP(VLOOKUP(K$1,main!$A$3:$I$102,7,FALSE),main!$K$26:$Q$29,3,FALSE),1,0)</f>
        <v>1</v>
      </c>
      <c r="L33">
        <f>IF(VLOOKUP(L$1,main!$A$3:$H$102,5,FALSE)-VLOOKUP($A33,main!$A$3:$H$102,6,FALSE)&gt;=main!$D$103+VLOOKUP(VLOOKUP(L$1,main!$A$3:$I$102,7,FALSE),main!$K$26:$Q$29,3,FALSE),1,0)</f>
        <v>1</v>
      </c>
      <c r="M33">
        <f>IF(VLOOKUP(M$1,main!$A$3:$H$102,5,FALSE)-VLOOKUP($A33,main!$A$3:$H$102,6,FALSE)&gt;=main!$D$103+VLOOKUP(VLOOKUP(M$1,main!$A$3:$I$102,7,FALSE),main!$K$26:$Q$29,3,FALSE),1,0)</f>
        <v>0</v>
      </c>
      <c r="N33">
        <f>IF(VLOOKUP(N$1,main!$A$3:$H$102,5,FALSE)-VLOOKUP($A33,main!$A$3:$H$102,6,FALSE)&gt;=main!$D$103+VLOOKUP(VLOOKUP(N$1,main!$A$3:$I$102,7,FALSE),main!$K$26:$Q$29,3,FALSE),1,0)</f>
        <v>0</v>
      </c>
      <c r="O33">
        <f>IF(VLOOKUP(O$1,main!$A$3:$H$102,5,FALSE)-VLOOKUP($A33,main!$A$3:$H$102,6,FALSE)&gt;=main!$D$103+VLOOKUP(VLOOKUP(O$1,main!$A$3:$I$102,7,FALSE),main!$K$26:$Q$29,3,FALSE),1,0)</f>
        <v>0</v>
      </c>
      <c r="P33">
        <f>IF(VLOOKUP(P$1,main!$A$3:$H$102,5,FALSE)-VLOOKUP($A33,main!$A$3:$H$102,6,FALSE)&gt;=main!$D$103+VLOOKUP(VLOOKUP(P$1,main!$A$3:$I$102,7,FALSE),main!$K$26:$Q$29,3,FALSE),1,0)</f>
        <v>0</v>
      </c>
      <c r="Q33">
        <f>IF(VLOOKUP(Q$1,main!$A$3:$H$102,5,FALSE)-VLOOKUP($A33,main!$A$3:$H$102,6,FALSE)&gt;=main!$D$103+VLOOKUP(VLOOKUP(Q$1,main!$A$3:$I$102,7,FALSE),main!$K$26:$Q$29,3,FALSE),1,0)</f>
        <v>1</v>
      </c>
      <c r="R33">
        <f>IF(VLOOKUP(R$1,main!$A$3:$H$102,5,FALSE)-VLOOKUP($A33,main!$A$3:$H$102,6,FALSE)&gt;=main!$D$103+VLOOKUP(VLOOKUP(R$1,main!$A$3:$I$102,7,FALSE),main!$K$26:$Q$29,3,FALSE),1,0)</f>
        <v>1</v>
      </c>
      <c r="S33">
        <f>IF(VLOOKUP(S$1,main!$A$3:$H$102,5,FALSE)-VLOOKUP($A33,main!$A$3:$H$102,6,FALSE)&gt;=main!$D$103+VLOOKUP(VLOOKUP(S$1,main!$A$3:$I$102,7,FALSE),main!$K$26:$Q$29,3,FALSE),1,0)</f>
        <v>1</v>
      </c>
      <c r="T33">
        <f>IF(VLOOKUP(T$1,main!$A$3:$H$102,5,FALSE)-VLOOKUP($A33,main!$A$3:$H$102,6,FALSE)&gt;=main!$D$103+VLOOKUP(VLOOKUP(T$1,main!$A$3:$I$102,7,FALSE),main!$K$26:$Q$29,3,FALSE),1,0)</f>
        <v>1</v>
      </c>
      <c r="U33">
        <f>IF(VLOOKUP(U$1,main!$A$3:$H$102,5,FALSE)-VLOOKUP($A33,main!$A$3:$H$102,6,FALSE)&gt;=main!$D$103+VLOOKUP(VLOOKUP(U$1,main!$A$3:$I$102,7,FALSE),main!$K$26:$Q$29,3,FALSE),1,0)</f>
        <v>1</v>
      </c>
      <c r="V33">
        <f>IF(VLOOKUP(V$1,main!$A$3:$H$102,5,FALSE)-VLOOKUP($A33,main!$A$3:$H$102,6,FALSE)&gt;=main!$D$103+VLOOKUP(VLOOKUP(V$1,main!$A$3:$I$102,7,FALSE),main!$K$26:$Q$29,3,FALSE),1,0)</f>
        <v>1</v>
      </c>
      <c r="W33">
        <f>IF(VLOOKUP(W$1,main!$A$3:$H$102,5,FALSE)-VLOOKUP($A33,main!$A$3:$H$102,6,FALSE)&gt;=main!$D$103+VLOOKUP(VLOOKUP(W$1,main!$A$3:$I$102,7,FALSE),main!$K$26:$Q$29,3,FALSE),1,0)</f>
        <v>0</v>
      </c>
      <c r="X33">
        <f>IF(VLOOKUP(X$1,main!$A$3:$H$102,5,FALSE)-VLOOKUP($A33,main!$A$3:$H$102,6,FALSE)&gt;=main!$D$103+VLOOKUP(VLOOKUP(X$1,main!$A$3:$I$102,7,FALSE),main!$K$26:$Q$29,3,FALSE),1,0)</f>
        <v>0</v>
      </c>
      <c r="Y33">
        <f>IF(VLOOKUP(Y$1,main!$A$3:$H$102,5,FALSE)-VLOOKUP($A33,main!$A$3:$H$102,6,FALSE)&gt;=main!$D$103+VLOOKUP(VLOOKUP(Y$1,main!$A$3:$I$102,7,FALSE),main!$K$26:$Q$29,3,FALSE),1,0)</f>
        <v>1</v>
      </c>
      <c r="Z33">
        <f>IF(VLOOKUP(Z$1,main!$A$3:$H$102,5,FALSE)-VLOOKUP($A33,main!$A$3:$H$102,6,FALSE)&gt;=main!$D$103+VLOOKUP(VLOOKUP(Z$1,main!$A$3:$I$102,7,FALSE),main!$K$26:$Q$29,3,FALSE),1,0)</f>
        <v>1</v>
      </c>
      <c r="AA33">
        <f>IF(VLOOKUP(AA$1,main!$A$3:$H$102,5,FALSE)-VLOOKUP($A33,main!$A$3:$H$102,6,FALSE)&gt;=main!$D$103+VLOOKUP(VLOOKUP(AA$1,main!$A$3:$I$102,7,FALSE),main!$K$26:$Q$29,3,FALSE),1,0)</f>
        <v>1</v>
      </c>
      <c r="AB33">
        <f>IF(VLOOKUP(AB$1,main!$A$3:$H$102,5,FALSE)-VLOOKUP($A33,main!$A$3:$H$102,6,FALSE)&gt;=main!$D$103+VLOOKUP(VLOOKUP(AB$1,main!$A$3:$I$102,7,FALSE),main!$K$26:$Q$29,3,FALSE),1,0)</f>
        <v>0</v>
      </c>
      <c r="AC33">
        <f>IF(VLOOKUP(AC$1,main!$A$3:$H$102,5,FALSE)-VLOOKUP($A33,main!$A$3:$H$102,6,FALSE)&gt;=main!$D$103+VLOOKUP(VLOOKUP(AC$1,main!$A$3:$I$102,7,FALSE),main!$K$26:$Q$29,3,FALSE),1,0)</f>
        <v>0</v>
      </c>
      <c r="AD33">
        <f>IF(VLOOKUP(AD$1,main!$A$3:$H$102,5,FALSE)-VLOOKUP($A33,main!$A$3:$H$102,6,FALSE)&gt;=main!$D$103+VLOOKUP(VLOOKUP(AD$1,main!$A$3:$I$102,7,FALSE),main!$K$26:$Q$29,3,FALSE),1,0)</f>
        <v>0</v>
      </c>
      <c r="AE33">
        <f>IF(VLOOKUP(AE$1,main!$A$3:$H$102,5,FALSE)-VLOOKUP($A33,main!$A$3:$H$102,6,FALSE)&gt;=main!$D$103+VLOOKUP(VLOOKUP(AE$1,main!$A$3:$I$102,7,FALSE),main!$K$26:$Q$29,3,FALSE),1,0)</f>
        <v>1</v>
      </c>
      <c r="AF33">
        <f>IF(VLOOKUP(AF$1,main!$A$3:$H$102,5,FALSE)-VLOOKUP($A33,main!$A$3:$H$102,6,FALSE)&gt;=main!$D$103+VLOOKUP(VLOOKUP(AF$1,main!$A$3:$I$102,7,FALSE),main!$K$26:$Q$29,3,FALSE),1,0)</f>
        <v>1</v>
      </c>
      <c r="AG33">
        <f>IF(VLOOKUP(AG$1,main!$A$3:$H$102,5,FALSE)-VLOOKUP($A33,main!$A$3:$H$102,6,FALSE)&gt;=main!$D$103+VLOOKUP(VLOOKUP(AG$1,main!$A$3:$I$102,7,FALSE),main!$K$26:$Q$29,3,FALSE),1,0)</f>
        <v>0</v>
      </c>
      <c r="AH33">
        <f>IF(VLOOKUP(AH$1,main!$A$3:$H$102,5,FALSE)-VLOOKUP($A33,main!$A$3:$H$102,6,FALSE)&gt;=main!$D$103+VLOOKUP(VLOOKUP(AH$1,main!$A$3:$I$102,7,FALSE),main!$K$26:$Q$29,3,FALSE),1,0)</f>
        <v>0</v>
      </c>
      <c r="AI33">
        <f>IF(VLOOKUP(AI$1,main!$A$3:$H$102,5,FALSE)-VLOOKUP($A33,main!$A$3:$H$102,6,FALSE)&gt;=main!$D$103+VLOOKUP(VLOOKUP(AI$1,main!$A$3:$I$102,7,FALSE),main!$K$26:$Q$29,3,FALSE),1,0)</f>
        <v>0</v>
      </c>
      <c r="AJ33">
        <f>IF(VLOOKUP(AJ$1,main!$A$3:$H$102,5,FALSE)-VLOOKUP($A33,main!$A$3:$H$102,6,FALSE)&gt;=main!$D$103+VLOOKUP(VLOOKUP(AJ$1,main!$A$3:$I$102,7,FALSE),main!$K$26:$Q$29,3,FALSE),1,0)</f>
        <v>1</v>
      </c>
      <c r="AK33">
        <f>IF(VLOOKUP(AK$1,main!$A$3:$H$102,5,FALSE)-VLOOKUP($A33,main!$A$3:$H$102,6,FALSE)&gt;=main!$D$103+VLOOKUP(VLOOKUP(AK$1,main!$A$3:$I$102,7,FALSE),main!$K$26:$Q$29,3,FALSE),1,0)</f>
        <v>1</v>
      </c>
      <c r="AL33">
        <f>IF(VLOOKUP(AL$1,main!$A$3:$H$102,5,FALSE)-VLOOKUP($A33,main!$A$3:$H$102,6,FALSE)&gt;=main!$D$103+VLOOKUP(VLOOKUP(AL$1,main!$A$3:$I$102,7,FALSE),main!$K$26:$Q$29,3,FALSE),1,0)</f>
        <v>1</v>
      </c>
      <c r="AM33">
        <f>IF(VLOOKUP(AM$1,main!$A$3:$H$102,5,FALSE)-VLOOKUP($A33,main!$A$3:$H$102,6,FALSE)&gt;=main!$D$103+VLOOKUP(VLOOKUP(AM$1,main!$A$3:$I$102,7,FALSE),main!$K$26:$Q$29,3,FALSE),1,0)</f>
        <v>1</v>
      </c>
      <c r="AN33">
        <f>IF(VLOOKUP(AN$1,main!$A$3:$H$102,5,FALSE)-VLOOKUP($A33,main!$A$3:$H$102,6,FALSE)&gt;=main!$D$103+VLOOKUP(VLOOKUP(AN$1,main!$A$3:$I$102,7,FALSE),main!$K$26:$Q$29,3,FALSE),1,0)</f>
        <v>1</v>
      </c>
      <c r="AO33">
        <f>IF(VLOOKUP(AO$1,main!$A$3:$H$102,5,FALSE)-VLOOKUP($A33,main!$A$3:$H$102,6,FALSE)&gt;=main!$D$103+VLOOKUP(VLOOKUP(AO$1,main!$A$3:$I$102,7,FALSE),main!$K$26:$Q$29,3,FALSE),1,0)</f>
        <v>0</v>
      </c>
      <c r="AP33">
        <f>IF(VLOOKUP(AP$1,main!$A$3:$H$102,5,FALSE)-VLOOKUP($A33,main!$A$3:$H$102,6,FALSE)&gt;=main!$D$103+VLOOKUP(VLOOKUP(AP$1,main!$A$3:$I$102,7,FALSE),main!$K$26:$Q$29,3,FALSE),1,0)</f>
        <v>1</v>
      </c>
      <c r="AQ33">
        <f>IF(VLOOKUP(AQ$1,main!$A$3:$H$102,5,FALSE)-VLOOKUP($A33,main!$A$3:$H$102,6,FALSE)&gt;=main!$D$103+VLOOKUP(VLOOKUP(AQ$1,main!$A$3:$I$102,7,FALSE),main!$K$26:$Q$29,3,FALSE),1,0)</f>
        <v>0</v>
      </c>
      <c r="AR33">
        <f>IF(VLOOKUP(AR$1,main!$A$3:$H$102,5,FALSE)-VLOOKUP($A33,main!$A$3:$H$102,6,FALSE)&gt;=main!$D$103+VLOOKUP(VLOOKUP(AR$1,main!$A$3:$I$102,7,FALSE),main!$K$26:$Q$29,3,FALSE),1,0)</f>
        <v>0</v>
      </c>
      <c r="AS33">
        <f>IF(VLOOKUP(AS$1,main!$A$3:$H$102,5,FALSE)-VLOOKUP($A33,main!$A$3:$H$102,6,FALSE)&gt;=main!$D$103+VLOOKUP(VLOOKUP(AS$1,main!$A$3:$I$102,7,FALSE),main!$K$26:$Q$29,3,FALSE),1,0)</f>
        <v>1</v>
      </c>
      <c r="AT33">
        <f>IF(VLOOKUP(AT$1,main!$A$3:$H$102,5,FALSE)-VLOOKUP($A33,main!$A$3:$H$102,6,FALSE)&gt;=main!$D$103+VLOOKUP(VLOOKUP(AT$1,main!$A$3:$I$102,7,FALSE),main!$K$26:$Q$29,3,FALSE),1,0)</f>
        <v>1</v>
      </c>
      <c r="AU33">
        <f>IF(VLOOKUP(AU$1,main!$A$3:$H$102,5,FALSE)-VLOOKUP($A33,main!$A$3:$H$102,6,FALSE)&gt;=main!$D$103+VLOOKUP(VLOOKUP(AU$1,main!$A$3:$I$102,7,FALSE),main!$K$26:$Q$29,3,FALSE),1,0)</f>
        <v>0</v>
      </c>
      <c r="AV33">
        <f>IF(VLOOKUP(AV$1,main!$A$3:$H$102,5,FALSE)-VLOOKUP($A33,main!$A$3:$H$102,6,FALSE)&gt;=main!$D$103+VLOOKUP(VLOOKUP(AV$1,main!$A$3:$I$102,7,FALSE),main!$K$26:$Q$29,3,FALSE),1,0)</f>
        <v>0</v>
      </c>
      <c r="AW33">
        <f>IF(VLOOKUP(AW$1,main!$A$3:$H$102,5,FALSE)-VLOOKUP($A33,main!$A$3:$H$102,6,FALSE)&gt;=main!$D$103+VLOOKUP(VLOOKUP(AW$1,main!$A$3:$I$102,7,FALSE),main!$K$26:$Q$29,3,FALSE),1,0)</f>
        <v>1</v>
      </c>
      <c r="AX33">
        <f>IF(VLOOKUP(AX$1,main!$A$3:$H$102,5,FALSE)-VLOOKUP($A33,main!$A$3:$H$102,6,FALSE)&gt;=main!$D$103+VLOOKUP(VLOOKUP(AX$1,main!$A$3:$I$102,7,FALSE),main!$K$26:$Q$29,3,FALSE),1,0)</f>
        <v>0</v>
      </c>
      <c r="AY33">
        <f>IF(VLOOKUP(AY$1,main!$A$3:$H$102,5,FALSE)-VLOOKUP($A33,main!$A$3:$H$102,6,FALSE)&gt;=main!$D$103+VLOOKUP(VLOOKUP(AY$1,main!$A$3:$I$102,7,FALSE),main!$K$26:$Q$29,3,FALSE),1,0)</f>
        <v>0</v>
      </c>
      <c r="AZ33">
        <f>IF(VLOOKUP(AZ$1,main!$A$3:$H$102,5,FALSE)-VLOOKUP($A33,main!$A$3:$H$102,6,FALSE)&gt;=main!$D$103+VLOOKUP(VLOOKUP(AZ$1,main!$A$3:$I$102,7,FALSE),main!$K$26:$Q$29,3,FALSE),1,0)</f>
        <v>0</v>
      </c>
      <c r="BA33">
        <f>IF(VLOOKUP(BA$1,main!$A$3:$H$102,5,FALSE)-VLOOKUP($A33,main!$A$3:$H$102,6,FALSE)&gt;=main!$D$103+VLOOKUP(VLOOKUP(BA$1,main!$A$3:$I$102,7,FALSE),main!$K$26:$Q$29,3,FALSE),1,0)</f>
        <v>0</v>
      </c>
      <c r="BB33">
        <f>IF(VLOOKUP(BB$1,main!$A$3:$H$102,5,FALSE)-VLOOKUP($A33,main!$A$3:$H$102,6,FALSE)&gt;=main!$D$103+VLOOKUP(VLOOKUP(BB$1,main!$A$3:$I$102,7,FALSE),main!$K$26:$Q$29,3,FALSE),1,0)</f>
        <v>0</v>
      </c>
      <c r="BC33">
        <f>IF(VLOOKUP(BC$1,main!$A$3:$H$102,5,FALSE)-VLOOKUP($A33,main!$A$3:$H$102,6,FALSE)&gt;=main!$D$103+VLOOKUP(VLOOKUP(BC$1,main!$A$3:$I$102,7,FALSE),main!$K$26:$Q$29,3,FALSE),1,0)</f>
        <v>1</v>
      </c>
      <c r="BD33">
        <f>IF(VLOOKUP(BD$1,main!$A$3:$H$102,5,FALSE)-VLOOKUP($A33,main!$A$3:$H$102,6,FALSE)&gt;=main!$D$103+VLOOKUP(VLOOKUP(BD$1,main!$A$3:$I$102,7,FALSE),main!$K$26:$Q$29,3,FALSE),1,0)</f>
        <v>1</v>
      </c>
      <c r="BE33">
        <f>IF(VLOOKUP(BE$1,main!$A$3:$H$102,5,FALSE)-VLOOKUP($A33,main!$A$3:$H$102,6,FALSE)&gt;=main!$D$103+VLOOKUP(VLOOKUP(BE$1,main!$A$3:$I$102,7,FALSE),main!$K$26:$Q$29,3,FALSE),1,0)</f>
        <v>1</v>
      </c>
      <c r="BF33">
        <f>IF(VLOOKUP(BF$1,main!$A$3:$H$102,5,FALSE)-VLOOKUP($A33,main!$A$3:$H$102,6,FALSE)&gt;=main!$D$103+VLOOKUP(VLOOKUP(BF$1,main!$A$3:$I$102,7,FALSE),main!$K$26:$Q$29,3,FALSE),1,0)</f>
        <v>0</v>
      </c>
      <c r="BG33">
        <f>IF(VLOOKUP(BG$1,main!$A$3:$H$102,5,FALSE)-VLOOKUP($A33,main!$A$3:$H$102,6,FALSE)&gt;=main!$D$103+VLOOKUP(VLOOKUP(BG$1,main!$A$3:$I$102,7,FALSE),main!$K$26:$Q$29,3,FALSE),1,0)</f>
        <v>0</v>
      </c>
      <c r="BH33">
        <f>IF(VLOOKUP(BH$1,main!$A$3:$H$102,5,FALSE)-VLOOKUP($A33,main!$A$3:$H$102,6,FALSE)&gt;=main!$D$103+VLOOKUP(VLOOKUP(BH$1,main!$A$3:$I$102,7,FALSE),main!$K$26:$Q$29,3,FALSE),1,0)</f>
        <v>1</v>
      </c>
      <c r="BI33">
        <f>IF(VLOOKUP(BI$1,main!$A$3:$H$102,5,FALSE)-VLOOKUP($A33,main!$A$3:$H$102,6,FALSE)&gt;=main!$D$103+VLOOKUP(VLOOKUP(BI$1,main!$A$3:$I$102,7,FALSE),main!$K$26:$Q$29,3,FALSE),1,0)</f>
        <v>1</v>
      </c>
      <c r="BJ33">
        <f>IF(VLOOKUP(BJ$1,main!$A$3:$H$102,5,FALSE)-VLOOKUP($A33,main!$A$3:$H$102,6,FALSE)&gt;=main!$D$103+VLOOKUP(VLOOKUP(BJ$1,main!$A$3:$I$102,7,FALSE),main!$K$26:$Q$29,3,FALSE),1,0)</f>
        <v>1</v>
      </c>
      <c r="BK33">
        <f>IF(VLOOKUP(BK$1,main!$A$3:$H$102,5,FALSE)-VLOOKUP($A33,main!$A$3:$H$102,6,FALSE)&gt;=main!$D$103+VLOOKUP(VLOOKUP(BK$1,main!$A$3:$I$102,7,FALSE),main!$K$26:$Q$29,3,FALSE),1,0)</f>
        <v>0</v>
      </c>
      <c r="BL33">
        <f>IF(VLOOKUP(BL$1,main!$A$3:$H$102,5,FALSE)-VLOOKUP($A33,main!$A$3:$H$102,6,FALSE)&gt;=main!$D$103+VLOOKUP(VLOOKUP(BL$1,main!$A$3:$I$102,7,FALSE),main!$K$26:$Q$29,3,FALSE),1,0)</f>
        <v>0</v>
      </c>
      <c r="BM33">
        <f>IF(VLOOKUP(BM$1,main!$A$3:$H$102,5,FALSE)-VLOOKUP($A33,main!$A$3:$H$102,6,FALSE)&gt;=main!$D$103+VLOOKUP(VLOOKUP(BM$1,main!$A$3:$I$102,7,FALSE),main!$K$26:$Q$29,3,FALSE),1,0)</f>
        <v>0</v>
      </c>
      <c r="BN33">
        <f>IF(VLOOKUP(BN$1,main!$A$3:$H$102,5,FALSE)-VLOOKUP($A33,main!$A$3:$H$102,6,FALSE)&gt;=main!$D$103+VLOOKUP(VLOOKUP(BN$1,main!$A$3:$I$102,7,FALSE),main!$K$26:$Q$29,3,FALSE),1,0)</f>
        <v>1</v>
      </c>
      <c r="BO33">
        <f>IF(VLOOKUP(BO$1,main!$A$3:$H$102,5,FALSE)-VLOOKUP($A33,main!$A$3:$H$102,6,FALSE)&gt;=main!$D$103+VLOOKUP(VLOOKUP(BO$1,main!$A$3:$I$102,7,FALSE),main!$K$26:$Q$29,3,FALSE),1,0)</f>
        <v>0</v>
      </c>
      <c r="BP33">
        <f>IF(VLOOKUP(BP$1,main!$A$3:$H$102,5,FALSE)-VLOOKUP($A33,main!$A$3:$H$102,6,FALSE)&gt;=main!$D$103+VLOOKUP(VLOOKUP(BP$1,main!$A$3:$I$102,7,FALSE),main!$K$26:$Q$29,3,FALSE),1,0)</f>
        <v>0</v>
      </c>
      <c r="BQ33">
        <f>IF(VLOOKUP(BQ$1,main!$A$3:$H$102,5,FALSE)-VLOOKUP($A33,main!$A$3:$H$102,6,FALSE)&gt;=main!$D$103+VLOOKUP(VLOOKUP(BQ$1,main!$A$3:$I$102,7,FALSE),main!$K$26:$Q$29,3,FALSE),1,0)</f>
        <v>1</v>
      </c>
      <c r="BR33">
        <f>IF(VLOOKUP(BR$1,main!$A$3:$H$102,5,FALSE)-VLOOKUP($A33,main!$A$3:$H$102,6,FALSE)&gt;=main!$D$103+VLOOKUP(VLOOKUP(BR$1,main!$A$3:$I$102,7,FALSE),main!$K$26:$Q$29,3,FALSE),1,0)</f>
        <v>1</v>
      </c>
      <c r="BS33">
        <f>IF(VLOOKUP(BS$1,main!$A$3:$H$102,5,FALSE)-VLOOKUP($A33,main!$A$3:$H$102,6,FALSE)&gt;=main!$D$103+VLOOKUP(VLOOKUP(BS$1,main!$A$3:$I$102,7,FALSE),main!$K$26:$Q$29,3,FALSE),1,0)</f>
        <v>1</v>
      </c>
      <c r="BT33">
        <f>IF(VLOOKUP(BT$1,main!$A$3:$H$102,5,FALSE)-VLOOKUP($A33,main!$A$3:$H$102,6,FALSE)&gt;=main!$D$103+VLOOKUP(VLOOKUP(BT$1,main!$A$3:$I$102,7,FALSE),main!$K$26:$Q$29,3,FALSE),1,0)</f>
        <v>0</v>
      </c>
      <c r="BU33">
        <f>IF(VLOOKUP(BU$1,main!$A$3:$H$102,5,FALSE)-VLOOKUP($A33,main!$A$3:$H$102,6,FALSE)&gt;=main!$D$103+VLOOKUP(VLOOKUP(BU$1,main!$A$3:$I$102,7,FALSE),main!$K$26:$Q$29,3,FALSE),1,0)</f>
        <v>0</v>
      </c>
      <c r="BV33">
        <f>IF(VLOOKUP(BV$1,main!$A$3:$H$102,5,FALSE)-VLOOKUP($A33,main!$A$3:$H$102,6,FALSE)&gt;=main!$D$103+VLOOKUP(VLOOKUP(BV$1,main!$A$3:$I$102,7,FALSE),main!$K$26:$Q$29,3,FALSE),1,0)</f>
        <v>0</v>
      </c>
      <c r="BW33">
        <f>IF(VLOOKUP(BW$1,main!$A$3:$H$102,5,FALSE)-VLOOKUP($A33,main!$A$3:$H$102,6,FALSE)&gt;=main!$D$103+VLOOKUP(VLOOKUP(BW$1,main!$A$3:$I$102,7,FALSE),main!$K$26:$Q$29,3,FALSE),1,0)</f>
        <v>0</v>
      </c>
      <c r="BX33">
        <f>IF(VLOOKUP(BX$1,main!$A$3:$H$102,5,FALSE)-VLOOKUP($A33,main!$A$3:$H$102,6,FALSE)&gt;=main!$D$103+VLOOKUP(VLOOKUP(BX$1,main!$A$3:$I$102,7,FALSE),main!$K$26:$Q$29,3,FALSE),1,0)</f>
        <v>1</v>
      </c>
      <c r="BY33">
        <f>IF(VLOOKUP(BY$1,main!$A$3:$H$102,5,FALSE)-VLOOKUP($A33,main!$A$3:$H$102,6,FALSE)&gt;=main!$D$103+VLOOKUP(VLOOKUP(BY$1,main!$A$3:$I$102,7,FALSE),main!$K$26:$Q$29,3,FALSE),1,0)</f>
        <v>1</v>
      </c>
      <c r="BZ33">
        <f>IF(VLOOKUP(BZ$1,main!$A$3:$H$102,5,FALSE)-VLOOKUP($A33,main!$A$3:$H$102,6,FALSE)&gt;=main!$D$103+VLOOKUP(VLOOKUP(BZ$1,main!$A$3:$I$102,7,FALSE),main!$K$26:$Q$29,3,FALSE),1,0)</f>
        <v>0</v>
      </c>
      <c r="CA33">
        <f>IF(VLOOKUP(CA$1,main!$A$3:$H$102,5,FALSE)-VLOOKUP($A33,main!$A$3:$H$102,6,FALSE)&gt;=main!$D$103+VLOOKUP(VLOOKUP(CA$1,main!$A$3:$I$102,7,FALSE),main!$K$26:$Q$29,3,FALSE),1,0)</f>
        <v>0</v>
      </c>
      <c r="CB33">
        <f>IF(VLOOKUP(CB$1,main!$A$3:$H$102,5,FALSE)-VLOOKUP($A33,main!$A$3:$H$102,6,FALSE)&gt;=main!$D$103+VLOOKUP(VLOOKUP(CB$1,main!$A$3:$I$102,7,FALSE),main!$K$26:$Q$29,3,FALSE),1,0)</f>
        <v>1</v>
      </c>
      <c r="CC33">
        <f>IF(VLOOKUP(CC$1,main!$A$3:$H$102,5,FALSE)-VLOOKUP($A33,main!$A$3:$H$102,6,FALSE)&gt;=main!$D$103+VLOOKUP(VLOOKUP(CC$1,main!$A$3:$I$102,7,FALSE),main!$K$26:$Q$29,3,FALSE),1,0)</f>
        <v>1</v>
      </c>
      <c r="CD33">
        <f>IF(VLOOKUP(CD$1,main!$A$3:$H$102,5,FALSE)-VLOOKUP($A33,main!$A$3:$H$102,6,FALSE)&gt;=main!$D$103+VLOOKUP(VLOOKUP(CD$1,main!$A$3:$I$102,7,FALSE),main!$K$26:$Q$29,3,FALSE),1,0)</f>
        <v>1</v>
      </c>
      <c r="CE33">
        <f>IF(VLOOKUP(CE$1,main!$A$3:$H$102,5,FALSE)-VLOOKUP($A33,main!$A$3:$H$102,6,FALSE)&gt;=main!$D$103+VLOOKUP(VLOOKUP(CE$1,main!$A$3:$I$102,7,FALSE),main!$K$26:$Q$29,3,FALSE),1,0)</f>
        <v>0</v>
      </c>
      <c r="CF33">
        <f>IF(VLOOKUP(CF$1,main!$A$3:$H$102,5,FALSE)-VLOOKUP($A33,main!$A$3:$H$102,6,FALSE)&gt;=main!$D$103+VLOOKUP(VLOOKUP(CF$1,main!$A$3:$I$102,7,FALSE),main!$K$26:$Q$29,3,FALSE),1,0)</f>
        <v>0</v>
      </c>
      <c r="CG33">
        <f>IF(VLOOKUP(CG$1,main!$A$3:$H$102,5,FALSE)-VLOOKUP($A33,main!$A$3:$H$102,6,FALSE)&gt;=main!$D$103+VLOOKUP(VLOOKUP(CG$1,main!$A$3:$I$102,7,FALSE),main!$K$26:$Q$29,3,FALSE),1,0)</f>
        <v>1</v>
      </c>
      <c r="CH33">
        <f>IF(VLOOKUP(CH$1,main!$A$3:$H$102,5,FALSE)-VLOOKUP($A33,main!$A$3:$H$102,6,FALSE)&gt;=main!$D$103+VLOOKUP(VLOOKUP(CH$1,main!$A$3:$I$102,7,FALSE),main!$K$26:$Q$29,3,FALSE),1,0)</f>
        <v>1</v>
      </c>
      <c r="CI33">
        <f>IF(VLOOKUP(CI$1,main!$A$3:$H$102,5,FALSE)-VLOOKUP($A33,main!$A$3:$H$102,6,FALSE)&gt;=main!$D$103+VLOOKUP(VLOOKUP(CI$1,main!$A$3:$I$102,7,FALSE),main!$K$26:$Q$29,3,FALSE),1,0)</f>
        <v>1</v>
      </c>
      <c r="CJ33">
        <f>IF(VLOOKUP(CJ$1,main!$A$3:$H$102,5,FALSE)-VLOOKUP($A33,main!$A$3:$H$102,6,FALSE)&gt;=main!$D$103+VLOOKUP(VLOOKUP(CJ$1,main!$A$3:$I$102,7,FALSE),main!$K$26:$Q$29,3,FALSE),1,0)</f>
        <v>1</v>
      </c>
      <c r="CK33">
        <f>IF(VLOOKUP(CK$1,main!$A$3:$H$102,5,FALSE)-VLOOKUP($A33,main!$A$3:$H$102,6,FALSE)&gt;=main!$D$103+VLOOKUP(VLOOKUP(CK$1,main!$A$3:$I$102,7,FALSE),main!$K$26:$Q$29,3,FALSE),1,0)</f>
        <v>0</v>
      </c>
      <c r="CL33">
        <f>IF(VLOOKUP(CL$1,main!$A$3:$H$102,5,FALSE)-VLOOKUP($A33,main!$A$3:$H$102,6,FALSE)&gt;=main!$D$103+VLOOKUP(VLOOKUP(CL$1,main!$A$3:$I$102,7,FALSE),main!$K$26:$Q$29,3,FALSE),1,0)</f>
        <v>1</v>
      </c>
      <c r="CM33">
        <f>IF(VLOOKUP(CM$1,main!$A$3:$H$102,5,FALSE)-VLOOKUP($A33,main!$A$3:$H$102,6,FALSE)&gt;=main!$D$103+VLOOKUP(VLOOKUP(CM$1,main!$A$3:$I$102,7,FALSE),main!$K$26:$Q$29,3,FALSE),1,0)</f>
        <v>1</v>
      </c>
      <c r="CN33">
        <f>IF(VLOOKUP(CN$1,main!$A$3:$H$102,5,FALSE)-VLOOKUP($A33,main!$A$3:$H$102,6,FALSE)&gt;=main!$D$103+VLOOKUP(VLOOKUP(CN$1,main!$A$3:$I$102,7,FALSE),main!$K$26:$Q$29,3,FALSE),1,0)</f>
        <v>1</v>
      </c>
      <c r="CO33">
        <f>IF(VLOOKUP(CO$1,main!$A$3:$H$102,5,FALSE)-VLOOKUP($A33,main!$A$3:$H$102,6,FALSE)&gt;=main!$D$103+VLOOKUP(VLOOKUP(CO$1,main!$A$3:$I$102,7,FALSE),main!$K$26:$Q$29,3,FALSE),1,0)</f>
        <v>0</v>
      </c>
      <c r="CP33">
        <f>IF(VLOOKUP(CP$1,main!$A$3:$H$102,5,FALSE)-VLOOKUP($A33,main!$A$3:$H$102,6,FALSE)&gt;=main!$D$103+VLOOKUP(VLOOKUP(CP$1,main!$A$3:$I$102,7,FALSE),main!$K$26:$Q$29,3,FALSE),1,0)</f>
        <v>1</v>
      </c>
      <c r="CQ33">
        <f>IF(VLOOKUP(CQ$1,main!$A$3:$H$102,5,FALSE)-VLOOKUP($A33,main!$A$3:$H$102,6,FALSE)&gt;=main!$D$103+VLOOKUP(VLOOKUP(CQ$1,main!$A$3:$I$102,7,FALSE),main!$K$26:$Q$29,3,FALSE),1,0)</f>
        <v>1</v>
      </c>
      <c r="CR33">
        <f>IF(VLOOKUP(CR$1,main!$A$3:$H$102,5,FALSE)-VLOOKUP($A33,main!$A$3:$H$102,6,FALSE)&gt;=main!$D$103+VLOOKUP(VLOOKUP(CR$1,main!$A$3:$I$102,7,FALSE),main!$K$26:$Q$29,3,FALSE),1,0)</f>
        <v>1</v>
      </c>
      <c r="CS33">
        <f>IF(VLOOKUP(CS$1,main!$A$3:$H$102,5,FALSE)-VLOOKUP($A33,main!$A$3:$H$102,6,FALSE)&gt;=main!$D$103+VLOOKUP(VLOOKUP(CS$1,main!$A$3:$I$102,7,FALSE),main!$K$26:$Q$29,3,FALSE),1,0)</f>
        <v>1</v>
      </c>
      <c r="CT33">
        <f>IF(VLOOKUP(CT$1,main!$A$3:$H$102,5,FALSE)-VLOOKUP($A33,main!$A$3:$H$102,6,FALSE)&gt;=main!$D$103+VLOOKUP(VLOOKUP(CT$1,main!$A$3:$I$102,7,FALSE),main!$K$26:$Q$29,3,FALSE),1,0)</f>
        <v>0</v>
      </c>
      <c r="CU33">
        <f>IF(VLOOKUP(CU$1,main!$A$3:$H$102,5,FALSE)-VLOOKUP($A33,main!$A$3:$H$102,6,FALSE)&gt;=main!$D$103+VLOOKUP(VLOOKUP(CU$1,main!$A$3:$I$102,7,FALSE),main!$K$26:$Q$29,3,FALSE),1,0)</f>
        <v>0</v>
      </c>
      <c r="CV33">
        <f>IF(VLOOKUP(CV$1,main!$A$3:$H$102,5,FALSE)-VLOOKUP($A33,main!$A$3:$H$102,6,FALSE)&gt;=main!$D$103+VLOOKUP(VLOOKUP(CV$1,main!$A$3:$I$102,7,FALSE),main!$K$26:$Q$29,3,FALSE),1,0)</f>
        <v>1</v>
      </c>
      <c r="CW33">
        <f>IF(VLOOKUP(CW$1,main!$A$3:$H$102,5,FALSE)-VLOOKUP($A33,main!$A$3:$H$102,6,FALSE)&gt;=main!$D$103+VLOOKUP(VLOOKUP(CW$1,main!$A$3:$I$102,7,FALSE),main!$K$26:$Q$29,3,FALSE),1,0)</f>
        <v>1</v>
      </c>
      <c r="CX33">
        <f>IF(VLOOKUP(CX$1,main!$A$3:$H$102,5,FALSE)-VLOOKUP($A33,main!$A$3:$H$102,6,FALSE)&gt;=main!$D$103+VLOOKUP(VLOOKUP(CX$1,main!$A$3:$I$102,7,FALSE),main!$K$26:$Q$29,3,FALSE),1,0)</f>
        <v>1</v>
      </c>
    </row>
    <row r="34" spans="1:102" x14ac:dyDescent="0.25">
      <c r="A34" s="1">
        <v>32</v>
      </c>
      <c r="B34">
        <v>0</v>
      </c>
      <c r="C34">
        <f>IF(VLOOKUP(C$1,main!$A$3:$H$102,5,FALSE)-VLOOKUP($A34,main!$A$3:$H$102,6,FALSE)&gt;=main!$D$103+VLOOKUP(VLOOKUP(C$1,main!$A$3:$I$102,7,FALSE),main!$K$26:$Q$29,3,FALSE),1,0)</f>
        <v>0</v>
      </c>
      <c r="D34">
        <f>IF(VLOOKUP(D$1,main!$A$3:$H$102,5,FALSE)-VLOOKUP($A34,main!$A$3:$H$102,6,FALSE)&gt;=main!$D$103+VLOOKUP(VLOOKUP(D$1,main!$A$3:$I$102,7,FALSE),main!$K$26:$Q$29,3,FALSE),1,0)</f>
        <v>0</v>
      </c>
      <c r="E34">
        <f>IF(VLOOKUP(E$1,main!$A$3:$H$102,5,FALSE)-VLOOKUP($A34,main!$A$3:$H$102,6,FALSE)&gt;=main!$D$103+VLOOKUP(VLOOKUP(E$1,main!$A$3:$I$102,7,FALSE),main!$K$26:$Q$29,3,FALSE),1,0)</f>
        <v>0</v>
      </c>
      <c r="F34">
        <f>IF(VLOOKUP(F$1,main!$A$3:$H$102,5,FALSE)-VLOOKUP($A34,main!$A$3:$H$102,6,FALSE)&gt;=main!$D$103+VLOOKUP(VLOOKUP(F$1,main!$A$3:$I$102,7,FALSE),main!$K$26:$Q$29,3,FALSE),1,0)</f>
        <v>0</v>
      </c>
      <c r="G34">
        <f>IF(VLOOKUP(G$1,main!$A$3:$H$102,5,FALSE)-VLOOKUP($A34,main!$A$3:$H$102,6,FALSE)&gt;=main!$D$103+VLOOKUP(VLOOKUP(G$1,main!$A$3:$I$102,7,FALSE),main!$K$26:$Q$29,3,FALSE),1,0)</f>
        <v>0</v>
      </c>
      <c r="H34">
        <f>IF(VLOOKUP(H$1,main!$A$3:$H$102,5,FALSE)-VLOOKUP($A34,main!$A$3:$H$102,6,FALSE)&gt;=main!$D$103+VLOOKUP(VLOOKUP(H$1,main!$A$3:$I$102,7,FALSE),main!$K$26:$Q$29,3,FALSE),1,0)</f>
        <v>1</v>
      </c>
      <c r="I34">
        <f>IF(VLOOKUP(I$1,main!$A$3:$H$102,5,FALSE)-VLOOKUP($A34,main!$A$3:$H$102,6,FALSE)&gt;=main!$D$103+VLOOKUP(VLOOKUP(I$1,main!$A$3:$I$102,7,FALSE),main!$K$26:$Q$29,3,FALSE),1,0)</f>
        <v>1</v>
      </c>
      <c r="J34">
        <f>IF(VLOOKUP(J$1,main!$A$3:$H$102,5,FALSE)-VLOOKUP($A34,main!$A$3:$H$102,6,FALSE)&gt;=main!$D$103+VLOOKUP(VLOOKUP(J$1,main!$A$3:$I$102,7,FALSE),main!$K$26:$Q$29,3,FALSE),1,0)</f>
        <v>1</v>
      </c>
      <c r="K34">
        <f>IF(VLOOKUP(K$1,main!$A$3:$H$102,5,FALSE)-VLOOKUP($A34,main!$A$3:$H$102,6,FALSE)&gt;=main!$D$103+VLOOKUP(VLOOKUP(K$1,main!$A$3:$I$102,7,FALSE),main!$K$26:$Q$29,3,FALSE),1,0)</f>
        <v>1</v>
      </c>
      <c r="L34">
        <f>IF(VLOOKUP(L$1,main!$A$3:$H$102,5,FALSE)-VLOOKUP($A34,main!$A$3:$H$102,6,FALSE)&gt;=main!$D$103+VLOOKUP(VLOOKUP(L$1,main!$A$3:$I$102,7,FALSE),main!$K$26:$Q$29,3,FALSE),1,0)</f>
        <v>1</v>
      </c>
      <c r="M34">
        <f>IF(VLOOKUP(M$1,main!$A$3:$H$102,5,FALSE)-VLOOKUP($A34,main!$A$3:$H$102,6,FALSE)&gt;=main!$D$103+VLOOKUP(VLOOKUP(M$1,main!$A$3:$I$102,7,FALSE),main!$K$26:$Q$29,3,FALSE),1,0)</f>
        <v>0</v>
      </c>
      <c r="N34">
        <f>IF(VLOOKUP(N$1,main!$A$3:$H$102,5,FALSE)-VLOOKUP($A34,main!$A$3:$H$102,6,FALSE)&gt;=main!$D$103+VLOOKUP(VLOOKUP(N$1,main!$A$3:$I$102,7,FALSE),main!$K$26:$Q$29,3,FALSE),1,0)</f>
        <v>0</v>
      </c>
      <c r="O34">
        <f>IF(VLOOKUP(O$1,main!$A$3:$H$102,5,FALSE)-VLOOKUP($A34,main!$A$3:$H$102,6,FALSE)&gt;=main!$D$103+VLOOKUP(VLOOKUP(O$1,main!$A$3:$I$102,7,FALSE),main!$K$26:$Q$29,3,FALSE),1,0)</f>
        <v>0</v>
      </c>
      <c r="P34">
        <f>IF(VLOOKUP(P$1,main!$A$3:$H$102,5,FALSE)-VLOOKUP($A34,main!$A$3:$H$102,6,FALSE)&gt;=main!$D$103+VLOOKUP(VLOOKUP(P$1,main!$A$3:$I$102,7,FALSE),main!$K$26:$Q$29,3,FALSE),1,0)</f>
        <v>0</v>
      </c>
      <c r="Q34">
        <f>IF(VLOOKUP(Q$1,main!$A$3:$H$102,5,FALSE)-VLOOKUP($A34,main!$A$3:$H$102,6,FALSE)&gt;=main!$D$103+VLOOKUP(VLOOKUP(Q$1,main!$A$3:$I$102,7,FALSE),main!$K$26:$Q$29,3,FALSE),1,0)</f>
        <v>0</v>
      </c>
      <c r="R34">
        <f>IF(VLOOKUP(R$1,main!$A$3:$H$102,5,FALSE)-VLOOKUP($A34,main!$A$3:$H$102,6,FALSE)&gt;=main!$D$103+VLOOKUP(VLOOKUP(R$1,main!$A$3:$I$102,7,FALSE),main!$K$26:$Q$29,3,FALSE),1,0)</f>
        <v>0</v>
      </c>
      <c r="S34">
        <f>IF(VLOOKUP(S$1,main!$A$3:$H$102,5,FALSE)-VLOOKUP($A34,main!$A$3:$H$102,6,FALSE)&gt;=main!$D$103+VLOOKUP(VLOOKUP(S$1,main!$A$3:$I$102,7,FALSE),main!$K$26:$Q$29,3,FALSE),1,0)</f>
        <v>1</v>
      </c>
      <c r="T34">
        <f>IF(VLOOKUP(T$1,main!$A$3:$H$102,5,FALSE)-VLOOKUP($A34,main!$A$3:$H$102,6,FALSE)&gt;=main!$D$103+VLOOKUP(VLOOKUP(T$1,main!$A$3:$I$102,7,FALSE),main!$K$26:$Q$29,3,FALSE),1,0)</f>
        <v>1</v>
      </c>
      <c r="U34">
        <f>IF(VLOOKUP(U$1,main!$A$3:$H$102,5,FALSE)-VLOOKUP($A34,main!$A$3:$H$102,6,FALSE)&gt;=main!$D$103+VLOOKUP(VLOOKUP(U$1,main!$A$3:$I$102,7,FALSE),main!$K$26:$Q$29,3,FALSE),1,0)</f>
        <v>1</v>
      </c>
      <c r="V34">
        <f>IF(VLOOKUP(V$1,main!$A$3:$H$102,5,FALSE)-VLOOKUP($A34,main!$A$3:$H$102,6,FALSE)&gt;=main!$D$103+VLOOKUP(VLOOKUP(V$1,main!$A$3:$I$102,7,FALSE),main!$K$26:$Q$29,3,FALSE),1,0)</f>
        <v>1</v>
      </c>
      <c r="W34">
        <f>IF(VLOOKUP(W$1,main!$A$3:$H$102,5,FALSE)-VLOOKUP($A34,main!$A$3:$H$102,6,FALSE)&gt;=main!$D$103+VLOOKUP(VLOOKUP(W$1,main!$A$3:$I$102,7,FALSE),main!$K$26:$Q$29,3,FALSE),1,0)</f>
        <v>0</v>
      </c>
      <c r="X34">
        <f>IF(VLOOKUP(X$1,main!$A$3:$H$102,5,FALSE)-VLOOKUP($A34,main!$A$3:$H$102,6,FALSE)&gt;=main!$D$103+VLOOKUP(VLOOKUP(X$1,main!$A$3:$I$102,7,FALSE),main!$K$26:$Q$29,3,FALSE),1,0)</f>
        <v>0</v>
      </c>
      <c r="Y34">
        <f>IF(VLOOKUP(Y$1,main!$A$3:$H$102,5,FALSE)-VLOOKUP($A34,main!$A$3:$H$102,6,FALSE)&gt;=main!$D$103+VLOOKUP(VLOOKUP(Y$1,main!$A$3:$I$102,7,FALSE),main!$K$26:$Q$29,3,FALSE),1,0)</f>
        <v>0</v>
      </c>
      <c r="Z34">
        <f>IF(VLOOKUP(Z$1,main!$A$3:$H$102,5,FALSE)-VLOOKUP($A34,main!$A$3:$H$102,6,FALSE)&gt;=main!$D$103+VLOOKUP(VLOOKUP(Z$1,main!$A$3:$I$102,7,FALSE),main!$K$26:$Q$29,3,FALSE),1,0)</f>
        <v>1</v>
      </c>
      <c r="AA34">
        <f>IF(VLOOKUP(AA$1,main!$A$3:$H$102,5,FALSE)-VLOOKUP($A34,main!$A$3:$H$102,6,FALSE)&gt;=main!$D$103+VLOOKUP(VLOOKUP(AA$1,main!$A$3:$I$102,7,FALSE),main!$K$26:$Q$29,3,FALSE),1,0)</f>
        <v>1</v>
      </c>
      <c r="AB34">
        <f>IF(VLOOKUP(AB$1,main!$A$3:$H$102,5,FALSE)-VLOOKUP($A34,main!$A$3:$H$102,6,FALSE)&gt;=main!$D$103+VLOOKUP(VLOOKUP(AB$1,main!$A$3:$I$102,7,FALSE),main!$K$26:$Q$29,3,FALSE),1,0)</f>
        <v>0</v>
      </c>
      <c r="AC34">
        <f>IF(VLOOKUP(AC$1,main!$A$3:$H$102,5,FALSE)-VLOOKUP($A34,main!$A$3:$H$102,6,FALSE)&gt;=main!$D$103+VLOOKUP(VLOOKUP(AC$1,main!$A$3:$I$102,7,FALSE),main!$K$26:$Q$29,3,FALSE),1,0)</f>
        <v>0</v>
      </c>
      <c r="AD34">
        <f>IF(VLOOKUP(AD$1,main!$A$3:$H$102,5,FALSE)-VLOOKUP($A34,main!$A$3:$H$102,6,FALSE)&gt;=main!$D$103+VLOOKUP(VLOOKUP(AD$1,main!$A$3:$I$102,7,FALSE),main!$K$26:$Q$29,3,FALSE),1,0)</f>
        <v>0</v>
      </c>
      <c r="AE34">
        <f>IF(VLOOKUP(AE$1,main!$A$3:$H$102,5,FALSE)-VLOOKUP($A34,main!$A$3:$H$102,6,FALSE)&gt;=main!$D$103+VLOOKUP(VLOOKUP(AE$1,main!$A$3:$I$102,7,FALSE),main!$K$26:$Q$29,3,FALSE),1,0)</f>
        <v>1</v>
      </c>
      <c r="AF34">
        <f>IF(VLOOKUP(AF$1,main!$A$3:$H$102,5,FALSE)-VLOOKUP($A34,main!$A$3:$H$102,6,FALSE)&gt;=main!$D$103+VLOOKUP(VLOOKUP(AF$1,main!$A$3:$I$102,7,FALSE),main!$K$26:$Q$29,3,FALSE),1,0)</f>
        <v>1</v>
      </c>
      <c r="AG34">
        <f>IF(VLOOKUP(AG$1,main!$A$3:$H$102,5,FALSE)-VLOOKUP($A34,main!$A$3:$H$102,6,FALSE)&gt;=main!$D$103+VLOOKUP(VLOOKUP(AG$1,main!$A$3:$I$102,7,FALSE),main!$K$26:$Q$29,3,FALSE),1,0)</f>
        <v>0</v>
      </c>
      <c r="AH34">
        <f>IF(VLOOKUP(AH$1,main!$A$3:$H$102,5,FALSE)-VLOOKUP($A34,main!$A$3:$H$102,6,FALSE)&gt;=main!$D$103+VLOOKUP(VLOOKUP(AH$1,main!$A$3:$I$102,7,FALSE),main!$K$26:$Q$29,3,FALSE),1,0)</f>
        <v>0</v>
      </c>
      <c r="AI34">
        <f>IF(VLOOKUP(AI$1,main!$A$3:$H$102,5,FALSE)-VLOOKUP($A34,main!$A$3:$H$102,6,FALSE)&gt;=main!$D$103+VLOOKUP(VLOOKUP(AI$1,main!$A$3:$I$102,7,FALSE),main!$K$26:$Q$29,3,FALSE),1,0)</f>
        <v>0</v>
      </c>
      <c r="AJ34">
        <f>IF(VLOOKUP(AJ$1,main!$A$3:$H$102,5,FALSE)-VLOOKUP($A34,main!$A$3:$H$102,6,FALSE)&gt;=main!$D$103+VLOOKUP(VLOOKUP(AJ$1,main!$A$3:$I$102,7,FALSE),main!$K$26:$Q$29,3,FALSE),1,0)</f>
        <v>0</v>
      </c>
      <c r="AK34">
        <f>IF(VLOOKUP(AK$1,main!$A$3:$H$102,5,FALSE)-VLOOKUP($A34,main!$A$3:$H$102,6,FALSE)&gt;=main!$D$103+VLOOKUP(VLOOKUP(AK$1,main!$A$3:$I$102,7,FALSE),main!$K$26:$Q$29,3,FALSE),1,0)</f>
        <v>1</v>
      </c>
      <c r="AL34">
        <f>IF(VLOOKUP(AL$1,main!$A$3:$H$102,5,FALSE)-VLOOKUP($A34,main!$A$3:$H$102,6,FALSE)&gt;=main!$D$103+VLOOKUP(VLOOKUP(AL$1,main!$A$3:$I$102,7,FALSE),main!$K$26:$Q$29,3,FALSE),1,0)</f>
        <v>1</v>
      </c>
      <c r="AM34">
        <f>IF(VLOOKUP(AM$1,main!$A$3:$H$102,5,FALSE)-VLOOKUP($A34,main!$A$3:$H$102,6,FALSE)&gt;=main!$D$103+VLOOKUP(VLOOKUP(AM$1,main!$A$3:$I$102,7,FALSE),main!$K$26:$Q$29,3,FALSE),1,0)</f>
        <v>1</v>
      </c>
      <c r="AN34">
        <f>IF(VLOOKUP(AN$1,main!$A$3:$H$102,5,FALSE)-VLOOKUP($A34,main!$A$3:$H$102,6,FALSE)&gt;=main!$D$103+VLOOKUP(VLOOKUP(AN$1,main!$A$3:$I$102,7,FALSE),main!$K$26:$Q$29,3,FALSE),1,0)</f>
        <v>1</v>
      </c>
      <c r="AO34">
        <f>IF(VLOOKUP(AO$1,main!$A$3:$H$102,5,FALSE)-VLOOKUP($A34,main!$A$3:$H$102,6,FALSE)&gt;=main!$D$103+VLOOKUP(VLOOKUP(AO$1,main!$A$3:$I$102,7,FALSE),main!$K$26:$Q$29,3,FALSE),1,0)</f>
        <v>0</v>
      </c>
      <c r="AP34">
        <f>IF(VLOOKUP(AP$1,main!$A$3:$H$102,5,FALSE)-VLOOKUP($A34,main!$A$3:$H$102,6,FALSE)&gt;=main!$D$103+VLOOKUP(VLOOKUP(AP$1,main!$A$3:$I$102,7,FALSE),main!$K$26:$Q$29,3,FALSE),1,0)</f>
        <v>1</v>
      </c>
      <c r="AQ34">
        <f>IF(VLOOKUP(AQ$1,main!$A$3:$H$102,5,FALSE)-VLOOKUP($A34,main!$A$3:$H$102,6,FALSE)&gt;=main!$D$103+VLOOKUP(VLOOKUP(AQ$1,main!$A$3:$I$102,7,FALSE),main!$K$26:$Q$29,3,FALSE),1,0)</f>
        <v>0</v>
      </c>
      <c r="AR34">
        <f>IF(VLOOKUP(AR$1,main!$A$3:$H$102,5,FALSE)-VLOOKUP($A34,main!$A$3:$H$102,6,FALSE)&gt;=main!$D$103+VLOOKUP(VLOOKUP(AR$1,main!$A$3:$I$102,7,FALSE),main!$K$26:$Q$29,3,FALSE),1,0)</f>
        <v>0</v>
      </c>
      <c r="AS34">
        <f>IF(VLOOKUP(AS$1,main!$A$3:$H$102,5,FALSE)-VLOOKUP($A34,main!$A$3:$H$102,6,FALSE)&gt;=main!$D$103+VLOOKUP(VLOOKUP(AS$1,main!$A$3:$I$102,7,FALSE),main!$K$26:$Q$29,3,FALSE),1,0)</f>
        <v>0</v>
      </c>
      <c r="AT34">
        <f>IF(VLOOKUP(AT$1,main!$A$3:$H$102,5,FALSE)-VLOOKUP($A34,main!$A$3:$H$102,6,FALSE)&gt;=main!$D$103+VLOOKUP(VLOOKUP(AT$1,main!$A$3:$I$102,7,FALSE),main!$K$26:$Q$29,3,FALSE),1,0)</f>
        <v>1</v>
      </c>
      <c r="AU34">
        <f>IF(VLOOKUP(AU$1,main!$A$3:$H$102,5,FALSE)-VLOOKUP($A34,main!$A$3:$H$102,6,FALSE)&gt;=main!$D$103+VLOOKUP(VLOOKUP(AU$1,main!$A$3:$I$102,7,FALSE),main!$K$26:$Q$29,3,FALSE),1,0)</f>
        <v>0</v>
      </c>
      <c r="AV34">
        <f>IF(VLOOKUP(AV$1,main!$A$3:$H$102,5,FALSE)-VLOOKUP($A34,main!$A$3:$H$102,6,FALSE)&gt;=main!$D$103+VLOOKUP(VLOOKUP(AV$1,main!$A$3:$I$102,7,FALSE),main!$K$26:$Q$29,3,FALSE),1,0)</f>
        <v>0</v>
      </c>
      <c r="AW34">
        <f>IF(VLOOKUP(AW$1,main!$A$3:$H$102,5,FALSE)-VLOOKUP($A34,main!$A$3:$H$102,6,FALSE)&gt;=main!$D$103+VLOOKUP(VLOOKUP(AW$1,main!$A$3:$I$102,7,FALSE),main!$K$26:$Q$29,3,FALSE),1,0)</f>
        <v>1</v>
      </c>
      <c r="AX34">
        <f>IF(VLOOKUP(AX$1,main!$A$3:$H$102,5,FALSE)-VLOOKUP($A34,main!$A$3:$H$102,6,FALSE)&gt;=main!$D$103+VLOOKUP(VLOOKUP(AX$1,main!$A$3:$I$102,7,FALSE),main!$K$26:$Q$29,3,FALSE),1,0)</f>
        <v>0</v>
      </c>
      <c r="AY34">
        <f>IF(VLOOKUP(AY$1,main!$A$3:$H$102,5,FALSE)-VLOOKUP($A34,main!$A$3:$H$102,6,FALSE)&gt;=main!$D$103+VLOOKUP(VLOOKUP(AY$1,main!$A$3:$I$102,7,FALSE),main!$K$26:$Q$29,3,FALSE),1,0)</f>
        <v>0</v>
      </c>
      <c r="AZ34">
        <f>IF(VLOOKUP(AZ$1,main!$A$3:$H$102,5,FALSE)-VLOOKUP($A34,main!$A$3:$H$102,6,FALSE)&gt;=main!$D$103+VLOOKUP(VLOOKUP(AZ$1,main!$A$3:$I$102,7,FALSE),main!$K$26:$Q$29,3,FALSE),1,0)</f>
        <v>0</v>
      </c>
      <c r="BA34">
        <f>IF(VLOOKUP(BA$1,main!$A$3:$H$102,5,FALSE)-VLOOKUP($A34,main!$A$3:$H$102,6,FALSE)&gt;=main!$D$103+VLOOKUP(VLOOKUP(BA$1,main!$A$3:$I$102,7,FALSE),main!$K$26:$Q$29,3,FALSE),1,0)</f>
        <v>0</v>
      </c>
      <c r="BB34">
        <f>IF(VLOOKUP(BB$1,main!$A$3:$H$102,5,FALSE)-VLOOKUP($A34,main!$A$3:$H$102,6,FALSE)&gt;=main!$D$103+VLOOKUP(VLOOKUP(BB$1,main!$A$3:$I$102,7,FALSE),main!$K$26:$Q$29,3,FALSE),1,0)</f>
        <v>0</v>
      </c>
      <c r="BC34">
        <f>IF(VLOOKUP(BC$1,main!$A$3:$H$102,5,FALSE)-VLOOKUP($A34,main!$A$3:$H$102,6,FALSE)&gt;=main!$D$103+VLOOKUP(VLOOKUP(BC$1,main!$A$3:$I$102,7,FALSE),main!$K$26:$Q$29,3,FALSE),1,0)</f>
        <v>1</v>
      </c>
      <c r="BD34">
        <f>IF(VLOOKUP(BD$1,main!$A$3:$H$102,5,FALSE)-VLOOKUP($A34,main!$A$3:$H$102,6,FALSE)&gt;=main!$D$103+VLOOKUP(VLOOKUP(BD$1,main!$A$3:$I$102,7,FALSE),main!$K$26:$Q$29,3,FALSE),1,0)</f>
        <v>1</v>
      </c>
      <c r="BE34">
        <f>IF(VLOOKUP(BE$1,main!$A$3:$H$102,5,FALSE)-VLOOKUP($A34,main!$A$3:$H$102,6,FALSE)&gt;=main!$D$103+VLOOKUP(VLOOKUP(BE$1,main!$A$3:$I$102,7,FALSE),main!$K$26:$Q$29,3,FALSE),1,0)</f>
        <v>1</v>
      </c>
      <c r="BF34">
        <f>IF(VLOOKUP(BF$1,main!$A$3:$H$102,5,FALSE)-VLOOKUP($A34,main!$A$3:$H$102,6,FALSE)&gt;=main!$D$103+VLOOKUP(VLOOKUP(BF$1,main!$A$3:$I$102,7,FALSE),main!$K$26:$Q$29,3,FALSE),1,0)</f>
        <v>0</v>
      </c>
      <c r="BG34">
        <f>IF(VLOOKUP(BG$1,main!$A$3:$H$102,5,FALSE)-VLOOKUP($A34,main!$A$3:$H$102,6,FALSE)&gt;=main!$D$103+VLOOKUP(VLOOKUP(BG$1,main!$A$3:$I$102,7,FALSE),main!$K$26:$Q$29,3,FALSE),1,0)</f>
        <v>0</v>
      </c>
      <c r="BH34">
        <f>IF(VLOOKUP(BH$1,main!$A$3:$H$102,5,FALSE)-VLOOKUP($A34,main!$A$3:$H$102,6,FALSE)&gt;=main!$D$103+VLOOKUP(VLOOKUP(BH$1,main!$A$3:$I$102,7,FALSE),main!$K$26:$Q$29,3,FALSE),1,0)</f>
        <v>0</v>
      </c>
      <c r="BI34">
        <f>IF(VLOOKUP(BI$1,main!$A$3:$H$102,5,FALSE)-VLOOKUP($A34,main!$A$3:$H$102,6,FALSE)&gt;=main!$D$103+VLOOKUP(VLOOKUP(BI$1,main!$A$3:$I$102,7,FALSE),main!$K$26:$Q$29,3,FALSE),1,0)</f>
        <v>1</v>
      </c>
      <c r="BJ34">
        <f>IF(VLOOKUP(BJ$1,main!$A$3:$H$102,5,FALSE)-VLOOKUP($A34,main!$A$3:$H$102,6,FALSE)&gt;=main!$D$103+VLOOKUP(VLOOKUP(BJ$1,main!$A$3:$I$102,7,FALSE),main!$K$26:$Q$29,3,FALSE),1,0)</f>
        <v>1</v>
      </c>
      <c r="BK34">
        <f>IF(VLOOKUP(BK$1,main!$A$3:$H$102,5,FALSE)-VLOOKUP($A34,main!$A$3:$H$102,6,FALSE)&gt;=main!$D$103+VLOOKUP(VLOOKUP(BK$1,main!$A$3:$I$102,7,FALSE),main!$K$26:$Q$29,3,FALSE),1,0)</f>
        <v>0</v>
      </c>
      <c r="BL34">
        <f>IF(VLOOKUP(BL$1,main!$A$3:$H$102,5,FALSE)-VLOOKUP($A34,main!$A$3:$H$102,6,FALSE)&gt;=main!$D$103+VLOOKUP(VLOOKUP(BL$1,main!$A$3:$I$102,7,FALSE),main!$K$26:$Q$29,3,FALSE),1,0)</f>
        <v>0</v>
      </c>
      <c r="BM34">
        <f>IF(VLOOKUP(BM$1,main!$A$3:$H$102,5,FALSE)-VLOOKUP($A34,main!$A$3:$H$102,6,FALSE)&gt;=main!$D$103+VLOOKUP(VLOOKUP(BM$1,main!$A$3:$I$102,7,FALSE),main!$K$26:$Q$29,3,FALSE),1,0)</f>
        <v>0</v>
      </c>
      <c r="BN34">
        <f>IF(VLOOKUP(BN$1,main!$A$3:$H$102,5,FALSE)-VLOOKUP($A34,main!$A$3:$H$102,6,FALSE)&gt;=main!$D$103+VLOOKUP(VLOOKUP(BN$1,main!$A$3:$I$102,7,FALSE),main!$K$26:$Q$29,3,FALSE),1,0)</f>
        <v>1</v>
      </c>
      <c r="BO34">
        <f>IF(VLOOKUP(BO$1,main!$A$3:$H$102,5,FALSE)-VLOOKUP($A34,main!$A$3:$H$102,6,FALSE)&gt;=main!$D$103+VLOOKUP(VLOOKUP(BO$1,main!$A$3:$I$102,7,FALSE),main!$K$26:$Q$29,3,FALSE),1,0)</f>
        <v>0</v>
      </c>
      <c r="BP34">
        <f>IF(VLOOKUP(BP$1,main!$A$3:$H$102,5,FALSE)-VLOOKUP($A34,main!$A$3:$H$102,6,FALSE)&gt;=main!$D$103+VLOOKUP(VLOOKUP(BP$1,main!$A$3:$I$102,7,FALSE),main!$K$26:$Q$29,3,FALSE),1,0)</f>
        <v>0</v>
      </c>
      <c r="BQ34">
        <f>IF(VLOOKUP(BQ$1,main!$A$3:$H$102,5,FALSE)-VLOOKUP($A34,main!$A$3:$H$102,6,FALSE)&gt;=main!$D$103+VLOOKUP(VLOOKUP(BQ$1,main!$A$3:$I$102,7,FALSE),main!$K$26:$Q$29,3,FALSE),1,0)</f>
        <v>0</v>
      </c>
      <c r="BR34">
        <f>IF(VLOOKUP(BR$1,main!$A$3:$H$102,5,FALSE)-VLOOKUP($A34,main!$A$3:$H$102,6,FALSE)&gt;=main!$D$103+VLOOKUP(VLOOKUP(BR$1,main!$A$3:$I$102,7,FALSE),main!$K$26:$Q$29,3,FALSE),1,0)</f>
        <v>0</v>
      </c>
      <c r="BS34">
        <f>IF(VLOOKUP(BS$1,main!$A$3:$H$102,5,FALSE)-VLOOKUP($A34,main!$A$3:$H$102,6,FALSE)&gt;=main!$D$103+VLOOKUP(VLOOKUP(BS$1,main!$A$3:$I$102,7,FALSE),main!$K$26:$Q$29,3,FALSE),1,0)</f>
        <v>0</v>
      </c>
      <c r="BT34">
        <f>IF(VLOOKUP(BT$1,main!$A$3:$H$102,5,FALSE)-VLOOKUP($A34,main!$A$3:$H$102,6,FALSE)&gt;=main!$D$103+VLOOKUP(VLOOKUP(BT$1,main!$A$3:$I$102,7,FALSE),main!$K$26:$Q$29,3,FALSE),1,0)</f>
        <v>0</v>
      </c>
      <c r="BU34">
        <f>IF(VLOOKUP(BU$1,main!$A$3:$H$102,5,FALSE)-VLOOKUP($A34,main!$A$3:$H$102,6,FALSE)&gt;=main!$D$103+VLOOKUP(VLOOKUP(BU$1,main!$A$3:$I$102,7,FALSE),main!$K$26:$Q$29,3,FALSE),1,0)</f>
        <v>0</v>
      </c>
      <c r="BV34">
        <f>IF(VLOOKUP(BV$1,main!$A$3:$H$102,5,FALSE)-VLOOKUP($A34,main!$A$3:$H$102,6,FALSE)&gt;=main!$D$103+VLOOKUP(VLOOKUP(BV$1,main!$A$3:$I$102,7,FALSE),main!$K$26:$Q$29,3,FALSE),1,0)</f>
        <v>0</v>
      </c>
      <c r="BW34">
        <f>IF(VLOOKUP(BW$1,main!$A$3:$H$102,5,FALSE)-VLOOKUP($A34,main!$A$3:$H$102,6,FALSE)&gt;=main!$D$103+VLOOKUP(VLOOKUP(BW$1,main!$A$3:$I$102,7,FALSE),main!$K$26:$Q$29,3,FALSE),1,0)</f>
        <v>0</v>
      </c>
      <c r="BX34">
        <f>IF(VLOOKUP(BX$1,main!$A$3:$H$102,5,FALSE)-VLOOKUP($A34,main!$A$3:$H$102,6,FALSE)&gt;=main!$D$103+VLOOKUP(VLOOKUP(BX$1,main!$A$3:$I$102,7,FALSE),main!$K$26:$Q$29,3,FALSE),1,0)</f>
        <v>0</v>
      </c>
      <c r="BY34">
        <f>IF(VLOOKUP(BY$1,main!$A$3:$H$102,5,FALSE)-VLOOKUP($A34,main!$A$3:$H$102,6,FALSE)&gt;=main!$D$103+VLOOKUP(VLOOKUP(BY$1,main!$A$3:$I$102,7,FALSE),main!$K$26:$Q$29,3,FALSE),1,0)</f>
        <v>1</v>
      </c>
      <c r="BZ34">
        <f>IF(VLOOKUP(BZ$1,main!$A$3:$H$102,5,FALSE)-VLOOKUP($A34,main!$A$3:$H$102,6,FALSE)&gt;=main!$D$103+VLOOKUP(VLOOKUP(BZ$1,main!$A$3:$I$102,7,FALSE),main!$K$26:$Q$29,3,FALSE),1,0)</f>
        <v>0</v>
      </c>
      <c r="CA34">
        <f>IF(VLOOKUP(CA$1,main!$A$3:$H$102,5,FALSE)-VLOOKUP($A34,main!$A$3:$H$102,6,FALSE)&gt;=main!$D$103+VLOOKUP(VLOOKUP(CA$1,main!$A$3:$I$102,7,FALSE),main!$K$26:$Q$29,3,FALSE),1,0)</f>
        <v>0</v>
      </c>
      <c r="CB34">
        <f>IF(VLOOKUP(CB$1,main!$A$3:$H$102,5,FALSE)-VLOOKUP($A34,main!$A$3:$H$102,6,FALSE)&gt;=main!$D$103+VLOOKUP(VLOOKUP(CB$1,main!$A$3:$I$102,7,FALSE),main!$K$26:$Q$29,3,FALSE),1,0)</f>
        <v>1</v>
      </c>
      <c r="CC34">
        <f>IF(VLOOKUP(CC$1,main!$A$3:$H$102,5,FALSE)-VLOOKUP($A34,main!$A$3:$H$102,6,FALSE)&gt;=main!$D$103+VLOOKUP(VLOOKUP(CC$1,main!$A$3:$I$102,7,FALSE),main!$K$26:$Q$29,3,FALSE),1,0)</f>
        <v>1</v>
      </c>
      <c r="CD34">
        <f>IF(VLOOKUP(CD$1,main!$A$3:$H$102,5,FALSE)-VLOOKUP($A34,main!$A$3:$H$102,6,FALSE)&gt;=main!$D$103+VLOOKUP(VLOOKUP(CD$1,main!$A$3:$I$102,7,FALSE),main!$K$26:$Q$29,3,FALSE),1,0)</f>
        <v>1</v>
      </c>
      <c r="CE34">
        <f>IF(VLOOKUP(CE$1,main!$A$3:$H$102,5,FALSE)-VLOOKUP($A34,main!$A$3:$H$102,6,FALSE)&gt;=main!$D$103+VLOOKUP(VLOOKUP(CE$1,main!$A$3:$I$102,7,FALSE),main!$K$26:$Q$29,3,FALSE),1,0)</f>
        <v>0</v>
      </c>
      <c r="CF34">
        <f>IF(VLOOKUP(CF$1,main!$A$3:$H$102,5,FALSE)-VLOOKUP($A34,main!$A$3:$H$102,6,FALSE)&gt;=main!$D$103+VLOOKUP(VLOOKUP(CF$1,main!$A$3:$I$102,7,FALSE),main!$K$26:$Q$29,3,FALSE),1,0)</f>
        <v>0</v>
      </c>
      <c r="CG34">
        <f>IF(VLOOKUP(CG$1,main!$A$3:$H$102,5,FALSE)-VLOOKUP($A34,main!$A$3:$H$102,6,FALSE)&gt;=main!$D$103+VLOOKUP(VLOOKUP(CG$1,main!$A$3:$I$102,7,FALSE),main!$K$26:$Q$29,3,FALSE),1,0)</f>
        <v>0</v>
      </c>
      <c r="CH34">
        <f>IF(VLOOKUP(CH$1,main!$A$3:$H$102,5,FALSE)-VLOOKUP($A34,main!$A$3:$H$102,6,FALSE)&gt;=main!$D$103+VLOOKUP(VLOOKUP(CH$1,main!$A$3:$I$102,7,FALSE),main!$K$26:$Q$29,3,FALSE),1,0)</f>
        <v>1</v>
      </c>
      <c r="CI34">
        <f>IF(VLOOKUP(CI$1,main!$A$3:$H$102,5,FALSE)-VLOOKUP($A34,main!$A$3:$H$102,6,FALSE)&gt;=main!$D$103+VLOOKUP(VLOOKUP(CI$1,main!$A$3:$I$102,7,FALSE),main!$K$26:$Q$29,3,FALSE),1,0)</f>
        <v>1</v>
      </c>
      <c r="CJ34">
        <f>IF(VLOOKUP(CJ$1,main!$A$3:$H$102,5,FALSE)-VLOOKUP($A34,main!$A$3:$H$102,6,FALSE)&gt;=main!$D$103+VLOOKUP(VLOOKUP(CJ$1,main!$A$3:$I$102,7,FALSE),main!$K$26:$Q$29,3,FALSE),1,0)</f>
        <v>0</v>
      </c>
      <c r="CK34">
        <f>IF(VLOOKUP(CK$1,main!$A$3:$H$102,5,FALSE)-VLOOKUP($A34,main!$A$3:$H$102,6,FALSE)&gt;=main!$D$103+VLOOKUP(VLOOKUP(CK$1,main!$A$3:$I$102,7,FALSE),main!$K$26:$Q$29,3,FALSE),1,0)</f>
        <v>0</v>
      </c>
      <c r="CL34">
        <f>IF(VLOOKUP(CL$1,main!$A$3:$H$102,5,FALSE)-VLOOKUP($A34,main!$A$3:$H$102,6,FALSE)&gt;=main!$D$103+VLOOKUP(VLOOKUP(CL$1,main!$A$3:$I$102,7,FALSE),main!$K$26:$Q$29,3,FALSE),1,0)</f>
        <v>0</v>
      </c>
      <c r="CM34">
        <f>IF(VLOOKUP(CM$1,main!$A$3:$H$102,5,FALSE)-VLOOKUP($A34,main!$A$3:$H$102,6,FALSE)&gt;=main!$D$103+VLOOKUP(VLOOKUP(CM$1,main!$A$3:$I$102,7,FALSE),main!$K$26:$Q$29,3,FALSE),1,0)</f>
        <v>1</v>
      </c>
      <c r="CN34">
        <f>IF(VLOOKUP(CN$1,main!$A$3:$H$102,5,FALSE)-VLOOKUP($A34,main!$A$3:$H$102,6,FALSE)&gt;=main!$D$103+VLOOKUP(VLOOKUP(CN$1,main!$A$3:$I$102,7,FALSE),main!$K$26:$Q$29,3,FALSE),1,0)</f>
        <v>1</v>
      </c>
      <c r="CO34">
        <f>IF(VLOOKUP(CO$1,main!$A$3:$H$102,5,FALSE)-VLOOKUP($A34,main!$A$3:$H$102,6,FALSE)&gt;=main!$D$103+VLOOKUP(VLOOKUP(CO$1,main!$A$3:$I$102,7,FALSE),main!$K$26:$Q$29,3,FALSE),1,0)</f>
        <v>0</v>
      </c>
      <c r="CP34">
        <f>IF(VLOOKUP(CP$1,main!$A$3:$H$102,5,FALSE)-VLOOKUP($A34,main!$A$3:$H$102,6,FALSE)&gt;=main!$D$103+VLOOKUP(VLOOKUP(CP$1,main!$A$3:$I$102,7,FALSE),main!$K$26:$Q$29,3,FALSE),1,0)</f>
        <v>0</v>
      </c>
      <c r="CQ34">
        <f>IF(VLOOKUP(CQ$1,main!$A$3:$H$102,5,FALSE)-VLOOKUP($A34,main!$A$3:$H$102,6,FALSE)&gt;=main!$D$103+VLOOKUP(VLOOKUP(CQ$1,main!$A$3:$I$102,7,FALSE),main!$K$26:$Q$29,3,FALSE),1,0)</f>
        <v>0</v>
      </c>
      <c r="CR34">
        <f>IF(VLOOKUP(CR$1,main!$A$3:$H$102,5,FALSE)-VLOOKUP($A34,main!$A$3:$H$102,6,FALSE)&gt;=main!$D$103+VLOOKUP(VLOOKUP(CR$1,main!$A$3:$I$102,7,FALSE),main!$K$26:$Q$29,3,FALSE),1,0)</f>
        <v>1</v>
      </c>
      <c r="CS34">
        <f>IF(VLOOKUP(CS$1,main!$A$3:$H$102,5,FALSE)-VLOOKUP($A34,main!$A$3:$H$102,6,FALSE)&gt;=main!$D$103+VLOOKUP(VLOOKUP(CS$1,main!$A$3:$I$102,7,FALSE),main!$K$26:$Q$29,3,FALSE),1,0)</f>
        <v>1</v>
      </c>
      <c r="CT34">
        <f>IF(VLOOKUP(CT$1,main!$A$3:$H$102,5,FALSE)-VLOOKUP($A34,main!$A$3:$H$102,6,FALSE)&gt;=main!$D$103+VLOOKUP(VLOOKUP(CT$1,main!$A$3:$I$102,7,FALSE),main!$K$26:$Q$29,3,FALSE),1,0)</f>
        <v>0</v>
      </c>
      <c r="CU34">
        <f>IF(VLOOKUP(CU$1,main!$A$3:$H$102,5,FALSE)-VLOOKUP($A34,main!$A$3:$H$102,6,FALSE)&gt;=main!$D$103+VLOOKUP(VLOOKUP(CU$1,main!$A$3:$I$102,7,FALSE),main!$K$26:$Q$29,3,FALSE),1,0)</f>
        <v>0</v>
      </c>
      <c r="CV34">
        <f>IF(VLOOKUP(CV$1,main!$A$3:$H$102,5,FALSE)-VLOOKUP($A34,main!$A$3:$H$102,6,FALSE)&gt;=main!$D$103+VLOOKUP(VLOOKUP(CV$1,main!$A$3:$I$102,7,FALSE),main!$K$26:$Q$29,3,FALSE),1,0)</f>
        <v>0</v>
      </c>
      <c r="CW34">
        <f>IF(VLOOKUP(CW$1,main!$A$3:$H$102,5,FALSE)-VLOOKUP($A34,main!$A$3:$H$102,6,FALSE)&gt;=main!$D$103+VLOOKUP(VLOOKUP(CW$1,main!$A$3:$I$102,7,FALSE),main!$K$26:$Q$29,3,FALSE),1,0)</f>
        <v>1</v>
      </c>
      <c r="CX34">
        <f>IF(VLOOKUP(CX$1,main!$A$3:$H$102,5,FALSE)-VLOOKUP($A34,main!$A$3:$H$102,6,FALSE)&gt;=main!$D$103+VLOOKUP(VLOOKUP(CX$1,main!$A$3:$I$102,7,FALSE),main!$K$26:$Q$29,3,FALSE),1,0)</f>
        <v>1</v>
      </c>
    </row>
    <row r="35" spans="1:102" x14ac:dyDescent="0.25">
      <c r="A35" s="1">
        <v>33</v>
      </c>
      <c r="B35">
        <v>0</v>
      </c>
      <c r="C35">
        <f>IF(VLOOKUP(C$1,main!$A$3:$H$102,5,FALSE)-VLOOKUP($A35,main!$A$3:$H$102,6,FALSE)&gt;=main!$D$103+VLOOKUP(VLOOKUP(C$1,main!$A$3:$I$102,7,FALSE),main!$K$26:$Q$29,3,FALSE),1,0)</f>
        <v>0</v>
      </c>
      <c r="D35">
        <f>IF(VLOOKUP(D$1,main!$A$3:$H$102,5,FALSE)-VLOOKUP($A35,main!$A$3:$H$102,6,FALSE)&gt;=main!$D$103+VLOOKUP(VLOOKUP(D$1,main!$A$3:$I$102,7,FALSE),main!$K$26:$Q$29,3,FALSE),1,0)</f>
        <v>0</v>
      </c>
      <c r="E35">
        <f>IF(VLOOKUP(E$1,main!$A$3:$H$102,5,FALSE)-VLOOKUP($A35,main!$A$3:$H$102,6,FALSE)&gt;=main!$D$103+VLOOKUP(VLOOKUP(E$1,main!$A$3:$I$102,7,FALSE),main!$K$26:$Q$29,3,FALSE),1,0)</f>
        <v>0</v>
      </c>
      <c r="F35">
        <f>IF(VLOOKUP(F$1,main!$A$3:$H$102,5,FALSE)-VLOOKUP($A35,main!$A$3:$H$102,6,FALSE)&gt;=main!$D$103+VLOOKUP(VLOOKUP(F$1,main!$A$3:$I$102,7,FALSE),main!$K$26:$Q$29,3,FALSE),1,0)</f>
        <v>0</v>
      </c>
      <c r="G35">
        <f>IF(VLOOKUP(G$1,main!$A$3:$H$102,5,FALSE)-VLOOKUP($A35,main!$A$3:$H$102,6,FALSE)&gt;=main!$D$103+VLOOKUP(VLOOKUP(G$1,main!$A$3:$I$102,7,FALSE),main!$K$26:$Q$29,3,FALSE),1,0)</f>
        <v>0</v>
      </c>
      <c r="H35">
        <f>IF(VLOOKUP(H$1,main!$A$3:$H$102,5,FALSE)-VLOOKUP($A35,main!$A$3:$H$102,6,FALSE)&gt;=main!$D$103+VLOOKUP(VLOOKUP(H$1,main!$A$3:$I$102,7,FALSE),main!$K$26:$Q$29,3,FALSE),1,0)</f>
        <v>0</v>
      </c>
      <c r="I35">
        <f>IF(VLOOKUP(I$1,main!$A$3:$H$102,5,FALSE)-VLOOKUP($A35,main!$A$3:$H$102,6,FALSE)&gt;=main!$D$103+VLOOKUP(VLOOKUP(I$1,main!$A$3:$I$102,7,FALSE),main!$K$26:$Q$29,3,FALSE),1,0)</f>
        <v>1</v>
      </c>
      <c r="J35">
        <f>IF(VLOOKUP(J$1,main!$A$3:$H$102,5,FALSE)-VLOOKUP($A35,main!$A$3:$H$102,6,FALSE)&gt;=main!$D$103+VLOOKUP(VLOOKUP(J$1,main!$A$3:$I$102,7,FALSE),main!$K$26:$Q$29,3,FALSE),1,0)</f>
        <v>1</v>
      </c>
      <c r="K35">
        <f>IF(VLOOKUP(K$1,main!$A$3:$H$102,5,FALSE)-VLOOKUP($A35,main!$A$3:$H$102,6,FALSE)&gt;=main!$D$103+VLOOKUP(VLOOKUP(K$1,main!$A$3:$I$102,7,FALSE),main!$K$26:$Q$29,3,FALSE),1,0)</f>
        <v>1</v>
      </c>
      <c r="L35">
        <f>IF(VLOOKUP(L$1,main!$A$3:$H$102,5,FALSE)-VLOOKUP($A35,main!$A$3:$H$102,6,FALSE)&gt;=main!$D$103+VLOOKUP(VLOOKUP(L$1,main!$A$3:$I$102,7,FALSE),main!$K$26:$Q$29,3,FALSE),1,0)</f>
        <v>1</v>
      </c>
      <c r="M35">
        <f>IF(VLOOKUP(M$1,main!$A$3:$H$102,5,FALSE)-VLOOKUP($A35,main!$A$3:$H$102,6,FALSE)&gt;=main!$D$103+VLOOKUP(VLOOKUP(M$1,main!$A$3:$I$102,7,FALSE),main!$K$26:$Q$29,3,FALSE),1,0)</f>
        <v>0</v>
      </c>
      <c r="N35">
        <f>IF(VLOOKUP(N$1,main!$A$3:$H$102,5,FALSE)-VLOOKUP($A35,main!$A$3:$H$102,6,FALSE)&gt;=main!$D$103+VLOOKUP(VLOOKUP(N$1,main!$A$3:$I$102,7,FALSE),main!$K$26:$Q$29,3,FALSE),1,0)</f>
        <v>0</v>
      </c>
      <c r="O35">
        <f>IF(VLOOKUP(O$1,main!$A$3:$H$102,5,FALSE)-VLOOKUP($A35,main!$A$3:$H$102,6,FALSE)&gt;=main!$D$103+VLOOKUP(VLOOKUP(O$1,main!$A$3:$I$102,7,FALSE),main!$K$26:$Q$29,3,FALSE),1,0)</f>
        <v>0</v>
      </c>
      <c r="P35">
        <f>IF(VLOOKUP(P$1,main!$A$3:$H$102,5,FALSE)-VLOOKUP($A35,main!$A$3:$H$102,6,FALSE)&gt;=main!$D$103+VLOOKUP(VLOOKUP(P$1,main!$A$3:$I$102,7,FALSE),main!$K$26:$Q$29,3,FALSE),1,0)</f>
        <v>0</v>
      </c>
      <c r="Q35">
        <f>IF(VLOOKUP(Q$1,main!$A$3:$H$102,5,FALSE)-VLOOKUP($A35,main!$A$3:$H$102,6,FALSE)&gt;=main!$D$103+VLOOKUP(VLOOKUP(Q$1,main!$A$3:$I$102,7,FALSE),main!$K$26:$Q$29,3,FALSE),1,0)</f>
        <v>0</v>
      </c>
      <c r="R35">
        <f>IF(VLOOKUP(R$1,main!$A$3:$H$102,5,FALSE)-VLOOKUP($A35,main!$A$3:$H$102,6,FALSE)&gt;=main!$D$103+VLOOKUP(VLOOKUP(R$1,main!$A$3:$I$102,7,FALSE),main!$K$26:$Q$29,3,FALSE),1,0)</f>
        <v>0</v>
      </c>
      <c r="S35">
        <f>IF(VLOOKUP(S$1,main!$A$3:$H$102,5,FALSE)-VLOOKUP($A35,main!$A$3:$H$102,6,FALSE)&gt;=main!$D$103+VLOOKUP(VLOOKUP(S$1,main!$A$3:$I$102,7,FALSE),main!$K$26:$Q$29,3,FALSE),1,0)</f>
        <v>0</v>
      </c>
      <c r="T35">
        <f>IF(VLOOKUP(T$1,main!$A$3:$H$102,5,FALSE)-VLOOKUP($A35,main!$A$3:$H$102,6,FALSE)&gt;=main!$D$103+VLOOKUP(VLOOKUP(T$1,main!$A$3:$I$102,7,FALSE),main!$K$26:$Q$29,3,FALSE),1,0)</f>
        <v>1</v>
      </c>
      <c r="U35">
        <f>IF(VLOOKUP(U$1,main!$A$3:$H$102,5,FALSE)-VLOOKUP($A35,main!$A$3:$H$102,6,FALSE)&gt;=main!$D$103+VLOOKUP(VLOOKUP(U$1,main!$A$3:$I$102,7,FALSE),main!$K$26:$Q$29,3,FALSE),1,0)</f>
        <v>1</v>
      </c>
      <c r="V35">
        <f>IF(VLOOKUP(V$1,main!$A$3:$H$102,5,FALSE)-VLOOKUP($A35,main!$A$3:$H$102,6,FALSE)&gt;=main!$D$103+VLOOKUP(VLOOKUP(V$1,main!$A$3:$I$102,7,FALSE),main!$K$26:$Q$29,3,FALSE),1,0)</f>
        <v>1</v>
      </c>
      <c r="W35">
        <f>IF(VLOOKUP(W$1,main!$A$3:$H$102,5,FALSE)-VLOOKUP($A35,main!$A$3:$H$102,6,FALSE)&gt;=main!$D$103+VLOOKUP(VLOOKUP(W$1,main!$A$3:$I$102,7,FALSE),main!$K$26:$Q$29,3,FALSE),1,0)</f>
        <v>0</v>
      </c>
      <c r="X35">
        <f>IF(VLOOKUP(X$1,main!$A$3:$H$102,5,FALSE)-VLOOKUP($A35,main!$A$3:$H$102,6,FALSE)&gt;=main!$D$103+VLOOKUP(VLOOKUP(X$1,main!$A$3:$I$102,7,FALSE),main!$K$26:$Q$29,3,FALSE),1,0)</f>
        <v>0</v>
      </c>
      <c r="Y35">
        <f>IF(VLOOKUP(Y$1,main!$A$3:$H$102,5,FALSE)-VLOOKUP($A35,main!$A$3:$H$102,6,FALSE)&gt;=main!$D$103+VLOOKUP(VLOOKUP(Y$1,main!$A$3:$I$102,7,FALSE),main!$K$26:$Q$29,3,FALSE),1,0)</f>
        <v>0</v>
      </c>
      <c r="Z35">
        <f>IF(VLOOKUP(Z$1,main!$A$3:$H$102,5,FALSE)-VLOOKUP($A35,main!$A$3:$H$102,6,FALSE)&gt;=main!$D$103+VLOOKUP(VLOOKUP(Z$1,main!$A$3:$I$102,7,FALSE),main!$K$26:$Q$29,3,FALSE),1,0)</f>
        <v>1</v>
      </c>
      <c r="AA35">
        <f>IF(VLOOKUP(AA$1,main!$A$3:$H$102,5,FALSE)-VLOOKUP($A35,main!$A$3:$H$102,6,FALSE)&gt;=main!$D$103+VLOOKUP(VLOOKUP(AA$1,main!$A$3:$I$102,7,FALSE),main!$K$26:$Q$29,3,FALSE),1,0)</f>
        <v>1</v>
      </c>
      <c r="AB35">
        <f>IF(VLOOKUP(AB$1,main!$A$3:$H$102,5,FALSE)-VLOOKUP($A35,main!$A$3:$H$102,6,FALSE)&gt;=main!$D$103+VLOOKUP(VLOOKUP(AB$1,main!$A$3:$I$102,7,FALSE),main!$K$26:$Q$29,3,FALSE),1,0)</f>
        <v>0</v>
      </c>
      <c r="AC35">
        <f>IF(VLOOKUP(AC$1,main!$A$3:$H$102,5,FALSE)-VLOOKUP($A35,main!$A$3:$H$102,6,FALSE)&gt;=main!$D$103+VLOOKUP(VLOOKUP(AC$1,main!$A$3:$I$102,7,FALSE),main!$K$26:$Q$29,3,FALSE),1,0)</f>
        <v>0</v>
      </c>
      <c r="AD35">
        <f>IF(VLOOKUP(AD$1,main!$A$3:$H$102,5,FALSE)-VLOOKUP($A35,main!$A$3:$H$102,6,FALSE)&gt;=main!$D$103+VLOOKUP(VLOOKUP(AD$1,main!$A$3:$I$102,7,FALSE),main!$K$26:$Q$29,3,FALSE),1,0)</f>
        <v>0</v>
      </c>
      <c r="AE35">
        <f>IF(VLOOKUP(AE$1,main!$A$3:$H$102,5,FALSE)-VLOOKUP($A35,main!$A$3:$H$102,6,FALSE)&gt;=main!$D$103+VLOOKUP(VLOOKUP(AE$1,main!$A$3:$I$102,7,FALSE),main!$K$26:$Q$29,3,FALSE),1,0)</f>
        <v>0</v>
      </c>
      <c r="AF35">
        <f>IF(VLOOKUP(AF$1,main!$A$3:$H$102,5,FALSE)-VLOOKUP($A35,main!$A$3:$H$102,6,FALSE)&gt;=main!$D$103+VLOOKUP(VLOOKUP(AF$1,main!$A$3:$I$102,7,FALSE),main!$K$26:$Q$29,3,FALSE),1,0)</f>
        <v>1</v>
      </c>
      <c r="AG35">
        <f>IF(VLOOKUP(AG$1,main!$A$3:$H$102,5,FALSE)-VLOOKUP($A35,main!$A$3:$H$102,6,FALSE)&gt;=main!$D$103+VLOOKUP(VLOOKUP(AG$1,main!$A$3:$I$102,7,FALSE),main!$K$26:$Q$29,3,FALSE),1,0)</f>
        <v>0</v>
      </c>
      <c r="AH35">
        <f>IF(VLOOKUP(AH$1,main!$A$3:$H$102,5,FALSE)-VLOOKUP($A35,main!$A$3:$H$102,6,FALSE)&gt;=main!$D$103+VLOOKUP(VLOOKUP(AH$1,main!$A$3:$I$102,7,FALSE),main!$K$26:$Q$29,3,FALSE),1,0)</f>
        <v>0</v>
      </c>
      <c r="AI35">
        <f>IF(VLOOKUP(AI$1,main!$A$3:$H$102,5,FALSE)-VLOOKUP($A35,main!$A$3:$H$102,6,FALSE)&gt;=main!$D$103+VLOOKUP(VLOOKUP(AI$1,main!$A$3:$I$102,7,FALSE),main!$K$26:$Q$29,3,FALSE),1,0)</f>
        <v>0</v>
      </c>
      <c r="AJ35">
        <f>IF(VLOOKUP(AJ$1,main!$A$3:$H$102,5,FALSE)-VLOOKUP($A35,main!$A$3:$H$102,6,FALSE)&gt;=main!$D$103+VLOOKUP(VLOOKUP(AJ$1,main!$A$3:$I$102,7,FALSE),main!$K$26:$Q$29,3,FALSE),1,0)</f>
        <v>0</v>
      </c>
      <c r="AK35">
        <f>IF(VLOOKUP(AK$1,main!$A$3:$H$102,5,FALSE)-VLOOKUP($A35,main!$A$3:$H$102,6,FALSE)&gt;=main!$D$103+VLOOKUP(VLOOKUP(AK$1,main!$A$3:$I$102,7,FALSE),main!$K$26:$Q$29,3,FALSE),1,0)</f>
        <v>0</v>
      </c>
      <c r="AL35">
        <f>IF(VLOOKUP(AL$1,main!$A$3:$H$102,5,FALSE)-VLOOKUP($A35,main!$A$3:$H$102,6,FALSE)&gt;=main!$D$103+VLOOKUP(VLOOKUP(AL$1,main!$A$3:$I$102,7,FALSE),main!$K$26:$Q$29,3,FALSE),1,0)</f>
        <v>1</v>
      </c>
      <c r="AM35">
        <f>IF(VLOOKUP(AM$1,main!$A$3:$H$102,5,FALSE)-VLOOKUP($A35,main!$A$3:$H$102,6,FALSE)&gt;=main!$D$103+VLOOKUP(VLOOKUP(AM$1,main!$A$3:$I$102,7,FALSE),main!$K$26:$Q$29,3,FALSE),1,0)</f>
        <v>1</v>
      </c>
      <c r="AN35">
        <f>IF(VLOOKUP(AN$1,main!$A$3:$H$102,5,FALSE)-VLOOKUP($A35,main!$A$3:$H$102,6,FALSE)&gt;=main!$D$103+VLOOKUP(VLOOKUP(AN$1,main!$A$3:$I$102,7,FALSE),main!$K$26:$Q$29,3,FALSE),1,0)</f>
        <v>1</v>
      </c>
      <c r="AO35">
        <f>IF(VLOOKUP(AO$1,main!$A$3:$H$102,5,FALSE)-VLOOKUP($A35,main!$A$3:$H$102,6,FALSE)&gt;=main!$D$103+VLOOKUP(VLOOKUP(AO$1,main!$A$3:$I$102,7,FALSE),main!$K$26:$Q$29,3,FALSE),1,0)</f>
        <v>0</v>
      </c>
      <c r="AP35">
        <f>IF(VLOOKUP(AP$1,main!$A$3:$H$102,5,FALSE)-VLOOKUP($A35,main!$A$3:$H$102,6,FALSE)&gt;=main!$D$103+VLOOKUP(VLOOKUP(AP$1,main!$A$3:$I$102,7,FALSE),main!$K$26:$Q$29,3,FALSE),1,0)</f>
        <v>1</v>
      </c>
      <c r="AQ35">
        <f>IF(VLOOKUP(AQ$1,main!$A$3:$H$102,5,FALSE)-VLOOKUP($A35,main!$A$3:$H$102,6,FALSE)&gt;=main!$D$103+VLOOKUP(VLOOKUP(AQ$1,main!$A$3:$I$102,7,FALSE),main!$K$26:$Q$29,3,FALSE),1,0)</f>
        <v>0</v>
      </c>
      <c r="AR35">
        <f>IF(VLOOKUP(AR$1,main!$A$3:$H$102,5,FALSE)-VLOOKUP($A35,main!$A$3:$H$102,6,FALSE)&gt;=main!$D$103+VLOOKUP(VLOOKUP(AR$1,main!$A$3:$I$102,7,FALSE),main!$K$26:$Q$29,3,FALSE),1,0)</f>
        <v>0</v>
      </c>
      <c r="AS35">
        <f>IF(VLOOKUP(AS$1,main!$A$3:$H$102,5,FALSE)-VLOOKUP($A35,main!$A$3:$H$102,6,FALSE)&gt;=main!$D$103+VLOOKUP(VLOOKUP(AS$1,main!$A$3:$I$102,7,FALSE),main!$K$26:$Q$29,3,FALSE),1,0)</f>
        <v>0</v>
      </c>
      <c r="AT35">
        <f>IF(VLOOKUP(AT$1,main!$A$3:$H$102,5,FALSE)-VLOOKUP($A35,main!$A$3:$H$102,6,FALSE)&gt;=main!$D$103+VLOOKUP(VLOOKUP(AT$1,main!$A$3:$I$102,7,FALSE),main!$K$26:$Q$29,3,FALSE),1,0)</f>
        <v>1</v>
      </c>
      <c r="AU35">
        <f>IF(VLOOKUP(AU$1,main!$A$3:$H$102,5,FALSE)-VLOOKUP($A35,main!$A$3:$H$102,6,FALSE)&gt;=main!$D$103+VLOOKUP(VLOOKUP(AU$1,main!$A$3:$I$102,7,FALSE),main!$K$26:$Q$29,3,FALSE),1,0)</f>
        <v>0</v>
      </c>
      <c r="AV35">
        <f>IF(VLOOKUP(AV$1,main!$A$3:$H$102,5,FALSE)-VLOOKUP($A35,main!$A$3:$H$102,6,FALSE)&gt;=main!$D$103+VLOOKUP(VLOOKUP(AV$1,main!$A$3:$I$102,7,FALSE),main!$K$26:$Q$29,3,FALSE),1,0)</f>
        <v>0</v>
      </c>
      <c r="AW35">
        <f>IF(VLOOKUP(AW$1,main!$A$3:$H$102,5,FALSE)-VLOOKUP($A35,main!$A$3:$H$102,6,FALSE)&gt;=main!$D$103+VLOOKUP(VLOOKUP(AW$1,main!$A$3:$I$102,7,FALSE),main!$K$26:$Q$29,3,FALSE),1,0)</f>
        <v>0</v>
      </c>
      <c r="AX35">
        <f>IF(VLOOKUP(AX$1,main!$A$3:$H$102,5,FALSE)-VLOOKUP($A35,main!$A$3:$H$102,6,FALSE)&gt;=main!$D$103+VLOOKUP(VLOOKUP(AX$1,main!$A$3:$I$102,7,FALSE),main!$K$26:$Q$29,3,FALSE),1,0)</f>
        <v>0</v>
      </c>
      <c r="AY35">
        <f>IF(VLOOKUP(AY$1,main!$A$3:$H$102,5,FALSE)-VLOOKUP($A35,main!$A$3:$H$102,6,FALSE)&gt;=main!$D$103+VLOOKUP(VLOOKUP(AY$1,main!$A$3:$I$102,7,FALSE),main!$K$26:$Q$29,3,FALSE),1,0)</f>
        <v>0</v>
      </c>
      <c r="AZ35">
        <f>IF(VLOOKUP(AZ$1,main!$A$3:$H$102,5,FALSE)-VLOOKUP($A35,main!$A$3:$H$102,6,FALSE)&gt;=main!$D$103+VLOOKUP(VLOOKUP(AZ$1,main!$A$3:$I$102,7,FALSE),main!$K$26:$Q$29,3,FALSE),1,0)</f>
        <v>0</v>
      </c>
      <c r="BA35">
        <f>IF(VLOOKUP(BA$1,main!$A$3:$H$102,5,FALSE)-VLOOKUP($A35,main!$A$3:$H$102,6,FALSE)&gt;=main!$D$103+VLOOKUP(VLOOKUP(BA$1,main!$A$3:$I$102,7,FALSE),main!$K$26:$Q$29,3,FALSE),1,0)</f>
        <v>0</v>
      </c>
      <c r="BB35">
        <f>IF(VLOOKUP(BB$1,main!$A$3:$H$102,5,FALSE)-VLOOKUP($A35,main!$A$3:$H$102,6,FALSE)&gt;=main!$D$103+VLOOKUP(VLOOKUP(BB$1,main!$A$3:$I$102,7,FALSE),main!$K$26:$Q$29,3,FALSE),1,0)</f>
        <v>0</v>
      </c>
      <c r="BC35">
        <f>IF(VLOOKUP(BC$1,main!$A$3:$H$102,5,FALSE)-VLOOKUP($A35,main!$A$3:$H$102,6,FALSE)&gt;=main!$D$103+VLOOKUP(VLOOKUP(BC$1,main!$A$3:$I$102,7,FALSE),main!$K$26:$Q$29,3,FALSE),1,0)</f>
        <v>0</v>
      </c>
      <c r="BD35">
        <f>IF(VLOOKUP(BD$1,main!$A$3:$H$102,5,FALSE)-VLOOKUP($A35,main!$A$3:$H$102,6,FALSE)&gt;=main!$D$103+VLOOKUP(VLOOKUP(BD$1,main!$A$3:$I$102,7,FALSE),main!$K$26:$Q$29,3,FALSE),1,0)</f>
        <v>0</v>
      </c>
      <c r="BE35">
        <f>IF(VLOOKUP(BE$1,main!$A$3:$H$102,5,FALSE)-VLOOKUP($A35,main!$A$3:$H$102,6,FALSE)&gt;=main!$D$103+VLOOKUP(VLOOKUP(BE$1,main!$A$3:$I$102,7,FALSE),main!$K$26:$Q$29,3,FALSE),1,0)</f>
        <v>1</v>
      </c>
      <c r="BF35">
        <f>IF(VLOOKUP(BF$1,main!$A$3:$H$102,5,FALSE)-VLOOKUP($A35,main!$A$3:$H$102,6,FALSE)&gt;=main!$D$103+VLOOKUP(VLOOKUP(BF$1,main!$A$3:$I$102,7,FALSE),main!$K$26:$Q$29,3,FALSE),1,0)</f>
        <v>0</v>
      </c>
      <c r="BG35">
        <f>IF(VLOOKUP(BG$1,main!$A$3:$H$102,5,FALSE)-VLOOKUP($A35,main!$A$3:$H$102,6,FALSE)&gt;=main!$D$103+VLOOKUP(VLOOKUP(BG$1,main!$A$3:$I$102,7,FALSE),main!$K$26:$Q$29,3,FALSE),1,0)</f>
        <v>0</v>
      </c>
      <c r="BH35">
        <f>IF(VLOOKUP(BH$1,main!$A$3:$H$102,5,FALSE)-VLOOKUP($A35,main!$A$3:$H$102,6,FALSE)&gt;=main!$D$103+VLOOKUP(VLOOKUP(BH$1,main!$A$3:$I$102,7,FALSE),main!$K$26:$Q$29,3,FALSE),1,0)</f>
        <v>0</v>
      </c>
      <c r="BI35">
        <f>IF(VLOOKUP(BI$1,main!$A$3:$H$102,5,FALSE)-VLOOKUP($A35,main!$A$3:$H$102,6,FALSE)&gt;=main!$D$103+VLOOKUP(VLOOKUP(BI$1,main!$A$3:$I$102,7,FALSE),main!$K$26:$Q$29,3,FALSE),1,0)</f>
        <v>1</v>
      </c>
      <c r="BJ35">
        <f>IF(VLOOKUP(BJ$1,main!$A$3:$H$102,5,FALSE)-VLOOKUP($A35,main!$A$3:$H$102,6,FALSE)&gt;=main!$D$103+VLOOKUP(VLOOKUP(BJ$1,main!$A$3:$I$102,7,FALSE),main!$K$26:$Q$29,3,FALSE),1,0)</f>
        <v>1</v>
      </c>
      <c r="BK35">
        <f>IF(VLOOKUP(BK$1,main!$A$3:$H$102,5,FALSE)-VLOOKUP($A35,main!$A$3:$H$102,6,FALSE)&gt;=main!$D$103+VLOOKUP(VLOOKUP(BK$1,main!$A$3:$I$102,7,FALSE),main!$K$26:$Q$29,3,FALSE),1,0)</f>
        <v>0</v>
      </c>
      <c r="BL35">
        <f>IF(VLOOKUP(BL$1,main!$A$3:$H$102,5,FALSE)-VLOOKUP($A35,main!$A$3:$H$102,6,FALSE)&gt;=main!$D$103+VLOOKUP(VLOOKUP(BL$1,main!$A$3:$I$102,7,FALSE),main!$K$26:$Q$29,3,FALSE),1,0)</f>
        <v>0</v>
      </c>
      <c r="BM35">
        <f>IF(VLOOKUP(BM$1,main!$A$3:$H$102,5,FALSE)-VLOOKUP($A35,main!$A$3:$H$102,6,FALSE)&gt;=main!$D$103+VLOOKUP(VLOOKUP(BM$1,main!$A$3:$I$102,7,FALSE),main!$K$26:$Q$29,3,FALSE),1,0)</f>
        <v>0</v>
      </c>
      <c r="BN35">
        <f>IF(VLOOKUP(BN$1,main!$A$3:$H$102,5,FALSE)-VLOOKUP($A35,main!$A$3:$H$102,6,FALSE)&gt;=main!$D$103+VLOOKUP(VLOOKUP(BN$1,main!$A$3:$I$102,7,FALSE),main!$K$26:$Q$29,3,FALSE),1,0)</f>
        <v>0</v>
      </c>
      <c r="BO35">
        <f>IF(VLOOKUP(BO$1,main!$A$3:$H$102,5,FALSE)-VLOOKUP($A35,main!$A$3:$H$102,6,FALSE)&gt;=main!$D$103+VLOOKUP(VLOOKUP(BO$1,main!$A$3:$I$102,7,FALSE),main!$K$26:$Q$29,3,FALSE),1,0)</f>
        <v>0</v>
      </c>
      <c r="BP35">
        <f>IF(VLOOKUP(BP$1,main!$A$3:$H$102,5,FALSE)-VLOOKUP($A35,main!$A$3:$H$102,6,FALSE)&gt;=main!$D$103+VLOOKUP(VLOOKUP(BP$1,main!$A$3:$I$102,7,FALSE),main!$K$26:$Q$29,3,FALSE),1,0)</f>
        <v>0</v>
      </c>
      <c r="BQ35">
        <f>IF(VLOOKUP(BQ$1,main!$A$3:$H$102,5,FALSE)-VLOOKUP($A35,main!$A$3:$H$102,6,FALSE)&gt;=main!$D$103+VLOOKUP(VLOOKUP(BQ$1,main!$A$3:$I$102,7,FALSE),main!$K$26:$Q$29,3,FALSE),1,0)</f>
        <v>0</v>
      </c>
      <c r="BR35">
        <f>IF(VLOOKUP(BR$1,main!$A$3:$H$102,5,FALSE)-VLOOKUP($A35,main!$A$3:$H$102,6,FALSE)&gt;=main!$D$103+VLOOKUP(VLOOKUP(BR$1,main!$A$3:$I$102,7,FALSE),main!$K$26:$Q$29,3,FALSE),1,0)</f>
        <v>0</v>
      </c>
      <c r="BS35">
        <f>IF(VLOOKUP(BS$1,main!$A$3:$H$102,5,FALSE)-VLOOKUP($A35,main!$A$3:$H$102,6,FALSE)&gt;=main!$D$103+VLOOKUP(VLOOKUP(BS$1,main!$A$3:$I$102,7,FALSE),main!$K$26:$Q$29,3,FALSE),1,0)</f>
        <v>0</v>
      </c>
      <c r="BT35">
        <f>IF(VLOOKUP(BT$1,main!$A$3:$H$102,5,FALSE)-VLOOKUP($A35,main!$A$3:$H$102,6,FALSE)&gt;=main!$D$103+VLOOKUP(VLOOKUP(BT$1,main!$A$3:$I$102,7,FALSE),main!$K$26:$Q$29,3,FALSE),1,0)</f>
        <v>0</v>
      </c>
      <c r="BU35">
        <f>IF(VLOOKUP(BU$1,main!$A$3:$H$102,5,FALSE)-VLOOKUP($A35,main!$A$3:$H$102,6,FALSE)&gt;=main!$D$103+VLOOKUP(VLOOKUP(BU$1,main!$A$3:$I$102,7,FALSE),main!$K$26:$Q$29,3,FALSE),1,0)</f>
        <v>0</v>
      </c>
      <c r="BV35">
        <f>IF(VLOOKUP(BV$1,main!$A$3:$H$102,5,FALSE)-VLOOKUP($A35,main!$A$3:$H$102,6,FALSE)&gt;=main!$D$103+VLOOKUP(VLOOKUP(BV$1,main!$A$3:$I$102,7,FALSE),main!$K$26:$Q$29,3,FALSE),1,0)</f>
        <v>0</v>
      </c>
      <c r="BW35">
        <f>IF(VLOOKUP(BW$1,main!$A$3:$H$102,5,FALSE)-VLOOKUP($A35,main!$A$3:$H$102,6,FALSE)&gt;=main!$D$103+VLOOKUP(VLOOKUP(BW$1,main!$A$3:$I$102,7,FALSE),main!$K$26:$Q$29,3,FALSE),1,0)</f>
        <v>0</v>
      </c>
      <c r="BX35">
        <f>IF(VLOOKUP(BX$1,main!$A$3:$H$102,5,FALSE)-VLOOKUP($A35,main!$A$3:$H$102,6,FALSE)&gt;=main!$D$103+VLOOKUP(VLOOKUP(BX$1,main!$A$3:$I$102,7,FALSE),main!$K$26:$Q$29,3,FALSE),1,0)</f>
        <v>0</v>
      </c>
      <c r="BY35">
        <f>IF(VLOOKUP(BY$1,main!$A$3:$H$102,5,FALSE)-VLOOKUP($A35,main!$A$3:$H$102,6,FALSE)&gt;=main!$D$103+VLOOKUP(VLOOKUP(BY$1,main!$A$3:$I$102,7,FALSE),main!$K$26:$Q$29,3,FALSE),1,0)</f>
        <v>0</v>
      </c>
      <c r="BZ35">
        <f>IF(VLOOKUP(BZ$1,main!$A$3:$H$102,5,FALSE)-VLOOKUP($A35,main!$A$3:$H$102,6,FALSE)&gt;=main!$D$103+VLOOKUP(VLOOKUP(BZ$1,main!$A$3:$I$102,7,FALSE),main!$K$26:$Q$29,3,FALSE),1,0)</f>
        <v>0</v>
      </c>
      <c r="CA35">
        <f>IF(VLOOKUP(CA$1,main!$A$3:$H$102,5,FALSE)-VLOOKUP($A35,main!$A$3:$H$102,6,FALSE)&gt;=main!$D$103+VLOOKUP(VLOOKUP(CA$1,main!$A$3:$I$102,7,FALSE),main!$K$26:$Q$29,3,FALSE),1,0)</f>
        <v>0</v>
      </c>
      <c r="CB35">
        <f>IF(VLOOKUP(CB$1,main!$A$3:$H$102,5,FALSE)-VLOOKUP($A35,main!$A$3:$H$102,6,FALSE)&gt;=main!$D$103+VLOOKUP(VLOOKUP(CB$1,main!$A$3:$I$102,7,FALSE),main!$K$26:$Q$29,3,FALSE),1,0)</f>
        <v>0</v>
      </c>
      <c r="CC35">
        <f>IF(VLOOKUP(CC$1,main!$A$3:$H$102,5,FALSE)-VLOOKUP($A35,main!$A$3:$H$102,6,FALSE)&gt;=main!$D$103+VLOOKUP(VLOOKUP(CC$1,main!$A$3:$I$102,7,FALSE),main!$K$26:$Q$29,3,FALSE),1,0)</f>
        <v>1</v>
      </c>
      <c r="CD35">
        <f>IF(VLOOKUP(CD$1,main!$A$3:$H$102,5,FALSE)-VLOOKUP($A35,main!$A$3:$H$102,6,FALSE)&gt;=main!$D$103+VLOOKUP(VLOOKUP(CD$1,main!$A$3:$I$102,7,FALSE),main!$K$26:$Q$29,3,FALSE),1,0)</f>
        <v>0</v>
      </c>
      <c r="CE35">
        <f>IF(VLOOKUP(CE$1,main!$A$3:$H$102,5,FALSE)-VLOOKUP($A35,main!$A$3:$H$102,6,FALSE)&gt;=main!$D$103+VLOOKUP(VLOOKUP(CE$1,main!$A$3:$I$102,7,FALSE),main!$K$26:$Q$29,3,FALSE),1,0)</f>
        <v>0</v>
      </c>
      <c r="CF35">
        <f>IF(VLOOKUP(CF$1,main!$A$3:$H$102,5,FALSE)-VLOOKUP($A35,main!$A$3:$H$102,6,FALSE)&gt;=main!$D$103+VLOOKUP(VLOOKUP(CF$1,main!$A$3:$I$102,7,FALSE),main!$K$26:$Q$29,3,FALSE),1,0)</f>
        <v>0</v>
      </c>
      <c r="CG35">
        <f>IF(VLOOKUP(CG$1,main!$A$3:$H$102,5,FALSE)-VLOOKUP($A35,main!$A$3:$H$102,6,FALSE)&gt;=main!$D$103+VLOOKUP(VLOOKUP(CG$1,main!$A$3:$I$102,7,FALSE),main!$K$26:$Q$29,3,FALSE),1,0)</f>
        <v>0</v>
      </c>
      <c r="CH35">
        <f>IF(VLOOKUP(CH$1,main!$A$3:$H$102,5,FALSE)-VLOOKUP($A35,main!$A$3:$H$102,6,FALSE)&gt;=main!$D$103+VLOOKUP(VLOOKUP(CH$1,main!$A$3:$I$102,7,FALSE),main!$K$26:$Q$29,3,FALSE),1,0)</f>
        <v>1</v>
      </c>
      <c r="CI35">
        <f>IF(VLOOKUP(CI$1,main!$A$3:$H$102,5,FALSE)-VLOOKUP($A35,main!$A$3:$H$102,6,FALSE)&gt;=main!$D$103+VLOOKUP(VLOOKUP(CI$1,main!$A$3:$I$102,7,FALSE),main!$K$26:$Q$29,3,FALSE),1,0)</f>
        <v>1</v>
      </c>
      <c r="CJ35">
        <f>IF(VLOOKUP(CJ$1,main!$A$3:$H$102,5,FALSE)-VLOOKUP($A35,main!$A$3:$H$102,6,FALSE)&gt;=main!$D$103+VLOOKUP(VLOOKUP(CJ$1,main!$A$3:$I$102,7,FALSE),main!$K$26:$Q$29,3,FALSE),1,0)</f>
        <v>0</v>
      </c>
      <c r="CK35">
        <f>IF(VLOOKUP(CK$1,main!$A$3:$H$102,5,FALSE)-VLOOKUP($A35,main!$A$3:$H$102,6,FALSE)&gt;=main!$D$103+VLOOKUP(VLOOKUP(CK$1,main!$A$3:$I$102,7,FALSE),main!$K$26:$Q$29,3,FALSE),1,0)</f>
        <v>0</v>
      </c>
      <c r="CL35">
        <f>IF(VLOOKUP(CL$1,main!$A$3:$H$102,5,FALSE)-VLOOKUP($A35,main!$A$3:$H$102,6,FALSE)&gt;=main!$D$103+VLOOKUP(VLOOKUP(CL$1,main!$A$3:$I$102,7,FALSE),main!$K$26:$Q$29,3,FALSE),1,0)</f>
        <v>0</v>
      </c>
      <c r="CM35">
        <f>IF(VLOOKUP(CM$1,main!$A$3:$H$102,5,FALSE)-VLOOKUP($A35,main!$A$3:$H$102,6,FALSE)&gt;=main!$D$103+VLOOKUP(VLOOKUP(CM$1,main!$A$3:$I$102,7,FALSE),main!$K$26:$Q$29,3,FALSE),1,0)</f>
        <v>1</v>
      </c>
      <c r="CN35">
        <f>IF(VLOOKUP(CN$1,main!$A$3:$H$102,5,FALSE)-VLOOKUP($A35,main!$A$3:$H$102,6,FALSE)&gt;=main!$D$103+VLOOKUP(VLOOKUP(CN$1,main!$A$3:$I$102,7,FALSE),main!$K$26:$Q$29,3,FALSE),1,0)</f>
        <v>1</v>
      </c>
      <c r="CO35">
        <f>IF(VLOOKUP(CO$1,main!$A$3:$H$102,5,FALSE)-VLOOKUP($A35,main!$A$3:$H$102,6,FALSE)&gt;=main!$D$103+VLOOKUP(VLOOKUP(CO$1,main!$A$3:$I$102,7,FALSE),main!$K$26:$Q$29,3,FALSE),1,0)</f>
        <v>0</v>
      </c>
      <c r="CP35">
        <f>IF(VLOOKUP(CP$1,main!$A$3:$H$102,5,FALSE)-VLOOKUP($A35,main!$A$3:$H$102,6,FALSE)&gt;=main!$D$103+VLOOKUP(VLOOKUP(CP$1,main!$A$3:$I$102,7,FALSE),main!$K$26:$Q$29,3,FALSE),1,0)</f>
        <v>0</v>
      </c>
      <c r="CQ35">
        <f>IF(VLOOKUP(CQ$1,main!$A$3:$H$102,5,FALSE)-VLOOKUP($A35,main!$A$3:$H$102,6,FALSE)&gt;=main!$D$103+VLOOKUP(VLOOKUP(CQ$1,main!$A$3:$I$102,7,FALSE),main!$K$26:$Q$29,3,FALSE),1,0)</f>
        <v>0</v>
      </c>
      <c r="CR35">
        <f>IF(VLOOKUP(CR$1,main!$A$3:$H$102,5,FALSE)-VLOOKUP($A35,main!$A$3:$H$102,6,FALSE)&gt;=main!$D$103+VLOOKUP(VLOOKUP(CR$1,main!$A$3:$I$102,7,FALSE),main!$K$26:$Q$29,3,FALSE),1,0)</f>
        <v>1</v>
      </c>
      <c r="CS35">
        <f>IF(VLOOKUP(CS$1,main!$A$3:$H$102,5,FALSE)-VLOOKUP($A35,main!$A$3:$H$102,6,FALSE)&gt;=main!$D$103+VLOOKUP(VLOOKUP(CS$1,main!$A$3:$I$102,7,FALSE),main!$K$26:$Q$29,3,FALSE),1,0)</f>
        <v>1</v>
      </c>
      <c r="CT35">
        <f>IF(VLOOKUP(CT$1,main!$A$3:$H$102,5,FALSE)-VLOOKUP($A35,main!$A$3:$H$102,6,FALSE)&gt;=main!$D$103+VLOOKUP(VLOOKUP(CT$1,main!$A$3:$I$102,7,FALSE),main!$K$26:$Q$29,3,FALSE),1,0)</f>
        <v>0</v>
      </c>
      <c r="CU35">
        <f>IF(VLOOKUP(CU$1,main!$A$3:$H$102,5,FALSE)-VLOOKUP($A35,main!$A$3:$H$102,6,FALSE)&gt;=main!$D$103+VLOOKUP(VLOOKUP(CU$1,main!$A$3:$I$102,7,FALSE),main!$K$26:$Q$29,3,FALSE),1,0)</f>
        <v>0</v>
      </c>
      <c r="CV35">
        <f>IF(VLOOKUP(CV$1,main!$A$3:$H$102,5,FALSE)-VLOOKUP($A35,main!$A$3:$H$102,6,FALSE)&gt;=main!$D$103+VLOOKUP(VLOOKUP(CV$1,main!$A$3:$I$102,7,FALSE),main!$K$26:$Q$29,3,FALSE),1,0)</f>
        <v>0</v>
      </c>
      <c r="CW35">
        <f>IF(VLOOKUP(CW$1,main!$A$3:$H$102,5,FALSE)-VLOOKUP($A35,main!$A$3:$H$102,6,FALSE)&gt;=main!$D$103+VLOOKUP(VLOOKUP(CW$1,main!$A$3:$I$102,7,FALSE),main!$K$26:$Q$29,3,FALSE),1,0)</f>
        <v>1</v>
      </c>
      <c r="CX35">
        <f>IF(VLOOKUP(CX$1,main!$A$3:$H$102,5,FALSE)-VLOOKUP($A35,main!$A$3:$H$102,6,FALSE)&gt;=main!$D$103+VLOOKUP(VLOOKUP(CX$1,main!$A$3:$I$102,7,FALSE),main!$K$26:$Q$29,3,FALSE),1,0)</f>
        <v>1</v>
      </c>
    </row>
    <row r="36" spans="1:102" x14ac:dyDescent="0.25">
      <c r="A36" s="1">
        <v>34</v>
      </c>
      <c r="B36">
        <v>0</v>
      </c>
      <c r="C36">
        <f>IF(VLOOKUP(C$1,main!$A$3:$H$102,5,FALSE)-VLOOKUP($A36,main!$A$3:$H$102,6,FALSE)&gt;=main!$D$103+VLOOKUP(VLOOKUP(C$1,main!$A$3:$I$102,7,FALSE),main!$K$26:$Q$29,3,FALSE),1,0)</f>
        <v>0</v>
      </c>
      <c r="D36">
        <f>IF(VLOOKUP(D$1,main!$A$3:$H$102,5,FALSE)-VLOOKUP($A36,main!$A$3:$H$102,6,FALSE)&gt;=main!$D$103+VLOOKUP(VLOOKUP(D$1,main!$A$3:$I$102,7,FALSE),main!$K$26:$Q$29,3,FALSE),1,0)</f>
        <v>0</v>
      </c>
      <c r="E36">
        <f>IF(VLOOKUP(E$1,main!$A$3:$H$102,5,FALSE)-VLOOKUP($A36,main!$A$3:$H$102,6,FALSE)&gt;=main!$D$103+VLOOKUP(VLOOKUP(E$1,main!$A$3:$I$102,7,FALSE),main!$K$26:$Q$29,3,FALSE),1,0)</f>
        <v>0</v>
      </c>
      <c r="F36">
        <f>IF(VLOOKUP(F$1,main!$A$3:$H$102,5,FALSE)-VLOOKUP($A36,main!$A$3:$H$102,6,FALSE)&gt;=main!$D$103+VLOOKUP(VLOOKUP(F$1,main!$A$3:$I$102,7,FALSE),main!$K$26:$Q$29,3,FALSE),1,0)</f>
        <v>0</v>
      </c>
      <c r="G36">
        <f>IF(VLOOKUP(G$1,main!$A$3:$H$102,5,FALSE)-VLOOKUP($A36,main!$A$3:$H$102,6,FALSE)&gt;=main!$D$103+VLOOKUP(VLOOKUP(G$1,main!$A$3:$I$102,7,FALSE),main!$K$26:$Q$29,3,FALSE),1,0)</f>
        <v>0</v>
      </c>
      <c r="H36">
        <f>IF(VLOOKUP(H$1,main!$A$3:$H$102,5,FALSE)-VLOOKUP($A36,main!$A$3:$H$102,6,FALSE)&gt;=main!$D$103+VLOOKUP(VLOOKUP(H$1,main!$A$3:$I$102,7,FALSE),main!$K$26:$Q$29,3,FALSE),1,0)</f>
        <v>0</v>
      </c>
      <c r="I36">
        <f>IF(VLOOKUP(I$1,main!$A$3:$H$102,5,FALSE)-VLOOKUP($A36,main!$A$3:$H$102,6,FALSE)&gt;=main!$D$103+VLOOKUP(VLOOKUP(I$1,main!$A$3:$I$102,7,FALSE),main!$K$26:$Q$29,3,FALSE),1,0)</f>
        <v>0</v>
      </c>
      <c r="J36">
        <f>IF(VLOOKUP(J$1,main!$A$3:$H$102,5,FALSE)-VLOOKUP($A36,main!$A$3:$H$102,6,FALSE)&gt;=main!$D$103+VLOOKUP(VLOOKUP(J$1,main!$A$3:$I$102,7,FALSE),main!$K$26:$Q$29,3,FALSE),1,0)</f>
        <v>1</v>
      </c>
      <c r="K36">
        <f>IF(VLOOKUP(K$1,main!$A$3:$H$102,5,FALSE)-VLOOKUP($A36,main!$A$3:$H$102,6,FALSE)&gt;=main!$D$103+VLOOKUP(VLOOKUP(K$1,main!$A$3:$I$102,7,FALSE),main!$K$26:$Q$29,3,FALSE),1,0)</f>
        <v>1</v>
      </c>
      <c r="L36">
        <f>IF(VLOOKUP(L$1,main!$A$3:$H$102,5,FALSE)-VLOOKUP($A36,main!$A$3:$H$102,6,FALSE)&gt;=main!$D$103+VLOOKUP(VLOOKUP(L$1,main!$A$3:$I$102,7,FALSE),main!$K$26:$Q$29,3,FALSE),1,0)</f>
        <v>1</v>
      </c>
      <c r="M36">
        <f>IF(VLOOKUP(M$1,main!$A$3:$H$102,5,FALSE)-VLOOKUP($A36,main!$A$3:$H$102,6,FALSE)&gt;=main!$D$103+VLOOKUP(VLOOKUP(M$1,main!$A$3:$I$102,7,FALSE),main!$K$26:$Q$29,3,FALSE),1,0)</f>
        <v>0</v>
      </c>
      <c r="N36">
        <f>IF(VLOOKUP(N$1,main!$A$3:$H$102,5,FALSE)-VLOOKUP($A36,main!$A$3:$H$102,6,FALSE)&gt;=main!$D$103+VLOOKUP(VLOOKUP(N$1,main!$A$3:$I$102,7,FALSE),main!$K$26:$Q$29,3,FALSE),1,0)</f>
        <v>0</v>
      </c>
      <c r="O36">
        <f>IF(VLOOKUP(O$1,main!$A$3:$H$102,5,FALSE)-VLOOKUP($A36,main!$A$3:$H$102,6,FALSE)&gt;=main!$D$103+VLOOKUP(VLOOKUP(O$1,main!$A$3:$I$102,7,FALSE),main!$K$26:$Q$29,3,FALSE),1,0)</f>
        <v>0</v>
      </c>
      <c r="P36">
        <f>IF(VLOOKUP(P$1,main!$A$3:$H$102,5,FALSE)-VLOOKUP($A36,main!$A$3:$H$102,6,FALSE)&gt;=main!$D$103+VLOOKUP(VLOOKUP(P$1,main!$A$3:$I$102,7,FALSE),main!$K$26:$Q$29,3,FALSE),1,0)</f>
        <v>0</v>
      </c>
      <c r="Q36">
        <f>IF(VLOOKUP(Q$1,main!$A$3:$H$102,5,FALSE)-VLOOKUP($A36,main!$A$3:$H$102,6,FALSE)&gt;=main!$D$103+VLOOKUP(VLOOKUP(Q$1,main!$A$3:$I$102,7,FALSE),main!$K$26:$Q$29,3,FALSE),1,0)</f>
        <v>0</v>
      </c>
      <c r="R36">
        <f>IF(VLOOKUP(R$1,main!$A$3:$H$102,5,FALSE)-VLOOKUP($A36,main!$A$3:$H$102,6,FALSE)&gt;=main!$D$103+VLOOKUP(VLOOKUP(R$1,main!$A$3:$I$102,7,FALSE),main!$K$26:$Q$29,3,FALSE),1,0)</f>
        <v>0</v>
      </c>
      <c r="S36">
        <f>IF(VLOOKUP(S$1,main!$A$3:$H$102,5,FALSE)-VLOOKUP($A36,main!$A$3:$H$102,6,FALSE)&gt;=main!$D$103+VLOOKUP(VLOOKUP(S$1,main!$A$3:$I$102,7,FALSE),main!$K$26:$Q$29,3,FALSE),1,0)</f>
        <v>0</v>
      </c>
      <c r="T36">
        <f>IF(VLOOKUP(T$1,main!$A$3:$H$102,5,FALSE)-VLOOKUP($A36,main!$A$3:$H$102,6,FALSE)&gt;=main!$D$103+VLOOKUP(VLOOKUP(T$1,main!$A$3:$I$102,7,FALSE),main!$K$26:$Q$29,3,FALSE),1,0)</f>
        <v>0</v>
      </c>
      <c r="U36">
        <f>IF(VLOOKUP(U$1,main!$A$3:$H$102,5,FALSE)-VLOOKUP($A36,main!$A$3:$H$102,6,FALSE)&gt;=main!$D$103+VLOOKUP(VLOOKUP(U$1,main!$A$3:$I$102,7,FALSE),main!$K$26:$Q$29,3,FALSE),1,0)</f>
        <v>1</v>
      </c>
      <c r="V36">
        <f>IF(VLOOKUP(V$1,main!$A$3:$H$102,5,FALSE)-VLOOKUP($A36,main!$A$3:$H$102,6,FALSE)&gt;=main!$D$103+VLOOKUP(VLOOKUP(V$1,main!$A$3:$I$102,7,FALSE),main!$K$26:$Q$29,3,FALSE),1,0)</f>
        <v>1</v>
      </c>
      <c r="W36">
        <f>IF(VLOOKUP(W$1,main!$A$3:$H$102,5,FALSE)-VLOOKUP($A36,main!$A$3:$H$102,6,FALSE)&gt;=main!$D$103+VLOOKUP(VLOOKUP(W$1,main!$A$3:$I$102,7,FALSE),main!$K$26:$Q$29,3,FALSE),1,0)</f>
        <v>0</v>
      </c>
      <c r="X36">
        <f>IF(VLOOKUP(X$1,main!$A$3:$H$102,5,FALSE)-VLOOKUP($A36,main!$A$3:$H$102,6,FALSE)&gt;=main!$D$103+VLOOKUP(VLOOKUP(X$1,main!$A$3:$I$102,7,FALSE),main!$K$26:$Q$29,3,FALSE),1,0)</f>
        <v>0</v>
      </c>
      <c r="Y36">
        <f>IF(VLOOKUP(Y$1,main!$A$3:$H$102,5,FALSE)-VLOOKUP($A36,main!$A$3:$H$102,6,FALSE)&gt;=main!$D$103+VLOOKUP(VLOOKUP(Y$1,main!$A$3:$I$102,7,FALSE),main!$K$26:$Q$29,3,FALSE),1,0)</f>
        <v>0</v>
      </c>
      <c r="Z36">
        <f>IF(VLOOKUP(Z$1,main!$A$3:$H$102,5,FALSE)-VLOOKUP($A36,main!$A$3:$H$102,6,FALSE)&gt;=main!$D$103+VLOOKUP(VLOOKUP(Z$1,main!$A$3:$I$102,7,FALSE),main!$K$26:$Q$29,3,FALSE),1,0)</f>
        <v>0</v>
      </c>
      <c r="AA36">
        <f>IF(VLOOKUP(AA$1,main!$A$3:$H$102,5,FALSE)-VLOOKUP($A36,main!$A$3:$H$102,6,FALSE)&gt;=main!$D$103+VLOOKUP(VLOOKUP(AA$1,main!$A$3:$I$102,7,FALSE),main!$K$26:$Q$29,3,FALSE),1,0)</f>
        <v>1</v>
      </c>
      <c r="AB36">
        <f>IF(VLOOKUP(AB$1,main!$A$3:$H$102,5,FALSE)-VLOOKUP($A36,main!$A$3:$H$102,6,FALSE)&gt;=main!$D$103+VLOOKUP(VLOOKUP(AB$1,main!$A$3:$I$102,7,FALSE),main!$K$26:$Q$29,3,FALSE),1,0)</f>
        <v>0</v>
      </c>
      <c r="AC36">
        <f>IF(VLOOKUP(AC$1,main!$A$3:$H$102,5,FALSE)-VLOOKUP($A36,main!$A$3:$H$102,6,FALSE)&gt;=main!$D$103+VLOOKUP(VLOOKUP(AC$1,main!$A$3:$I$102,7,FALSE),main!$K$26:$Q$29,3,FALSE),1,0)</f>
        <v>0</v>
      </c>
      <c r="AD36">
        <f>IF(VLOOKUP(AD$1,main!$A$3:$H$102,5,FALSE)-VLOOKUP($A36,main!$A$3:$H$102,6,FALSE)&gt;=main!$D$103+VLOOKUP(VLOOKUP(AD$1,main!$A$3:$I$102,7,FALSE),main!$K$26:$Q$29,3,FALSE),1,0)</f>
        <v>0</v>
      </c>
      <c r="AE36">
        <f>IF(VLOOKUP(AE$1,main!$A$3:$H$102,5,FALSE)-VLOOKUP($A36,main!$A$3:$H$102,6,FALSE)&gt;=main!$D$103+VLOOKUP(VLOOKUP(AE$1,main!$A$3:$I$102,7,FALSE),main!$K$26:$Q$29,3,FALSE),1,0)</f>
        <v>0</v>
      </c>
      <c r="AF36">
        <f>IF(VLOOKUP(AF$1,main!$A$3:$H$102,5,FALSE)-VLOOKUP($A36,main!$A$3:$H$102,6,FALSE)&gt;=main!$D$103+VLOOKUP(VLOOKUP(AF$1,main!$A$3:$I$102,7,FALSE),main!$K$26:$Q$29,3,FALSE),1,0)</f>
        <v>1</v>
      </c>
      <c r="AG36">
        <f>IF(VLOOKUP(AG$1,main!$A$3:$H$102,5,FALSE)-VLOOKUP($A36,main!$A$3:$H$102,6,FALSE)&gt;=main!$D$103+VLOOKUP(VLOOKUP(AG$1,main!$A$3:$I$102,7,FALSE),main!$K$26:$Q$29,3,FALSE),1,0)</f>
        <v>0</v>
      </c>
      <c r="AH36">
        <f>IF(VLOOKUP(AH$1,main!$A$3:$H$102,5,FALSE)-VLOOKUP($A36,main!$A$3:$H$102,6,FALSE)&gt;=main!$D$103+VLOOKUP(VLOOKUP(AH$1,main!$A$3:$I$102,7,FALSE),main!$K$26:$Q$29,3,FALSE),1,0)</f>
        <v>0</v>
      </c>
      <c r="AI36">
        <f>IF(VLOOKUP(AI$1,main!$A$3:$H$102,5,FALSE)-VLOOKUP($A36,main!$A$3:$H$102,6,FALSE)&gt;=main!$D$103+VLOOKUP(VLOOKUP(AI$1,main!$A$3:$I$102,7,FALSE),main!$K$26:$Q$29,3,FALSE),1,0)</f>
        <v>0</v>
      </c>
      <c r="AJ36">
        <f>IF(VLOOKUP(AJ$1,main!$A$3:$H$102,5,FALSE)-VLOOKUP($A36,main!$A$3:$H$102,6,FALSE)&gt;=main!$D$103+VLOOKUP(VLOOKUP(AJ$1,main!$A$3:$I$102,7,FALSE),main!$K$26:$Q$29,3,FALSE),1,0)</f>
        <v>0</v>
      </c>
      <c r="AK36">
        <f>IF(VLOOKUP(AK$1,main!$A$3:$H$102,5,FALSE)-VLOOKUP($A36,main!$A$3:$H$102,6,FALSE)&gt;=main!$D$103+VLOOKUP(VLOOKUP(AK$1,main!$A$3:$I$102,7,FALSE),main!$K$26:$Q$29,3,FALSE),1,0)</f>
        <v>0</v>
      </c>
      <c r="AL36">
        <f>IF(VLOOKUP(AL$1,main!$A$3:$H$102,5,FALSE)-VLOOKUP($A36,main!$A$3:$H$102,6,FALSE)&gt;=main!$D$103+VLOOKUP(VLOOKUP(AL$1,main!$A$3:$I$102,7,FALSE),main!$K$26:$Q$29,3,FALSE),1,0)</f>
        <v>0</v>
      </c>
      <c r="AM36">
        <f>IF(VLOOKUP(AM$1,main!$A$3:$H$102,5,FALSE)-VLOOKUP($A36,main!$A$3:$H$102,6,FALSE)&gt;=main!$D$103+VLOOKUP(VLOOKUP(AM$1,main!$A$3:$I$102,7,FALSE),main!$K$26:$Q$29,3,FALSE),1,0)</f>
        <v>1</v>
      </c>
      <c r="AN36">
        <f>IF(VLOOKUP(AN$1,main!$A$3:$H$102,5,FALSE)-VLOOKUP($A36,main!$A$3:$H$102,6,FALSE)&gt;=main!$D$103+VLOOKUP(VLOOKUP(AN$1,main!$A$3:$I$102,7,FALSE),main!$K$26:$Q$29,3,FALSE),1,0)</f>
        <v>1</v>
      </c>
      <c r="AO36">
        <f>IF(VLOOKUP(AO$1,main!$A$3:$H$102,5,FALSE)-VLOOKUP($A36,main!$A$3:$H$102,6,FALSE)&gt;=main!$D$103+VLOOKUP(VLOOKUP(AO$1,main!$A$3:$I$102,7,FALSE),main!$K$26:$Q$29,3,FALSE),1,0)</f>
        <v>0</v>
      </c>
      <c r="AP36">
        <f>IF(VLOOKUP(AP$1,main!$A$3:$H$102,5,FALSE)-VLOOKUP($A36,main!$A$3:$H$102,6,FALSE)&gt;=main!$D$103+VLOOKUP(VLOOKUP(AP$1,main!$A$3:$I$102,7,FALSE),main!$K$26:$Q$29,3,FALSE),1,0)</f>
        <v>1</v>
      </c>
      <c r="AQ36">
        <f>IF(VLOOKUP(AQ$1,main!$A$3:$H$102,5,FALSE)-VLOOKUP($A36,main!$A$3:$H$102,6,FALSE)&gt;=main!$D$103+VLOOKUP(VLOOKUP(AQ$1,main!$A$3:$I$102,7,FALSE),main!$K$26:$Q$29,3,FALSE),1,0)</f>
        <v>0</v>
      </c>
      <c r="AR36">
        <f>IF(VLOOKUP(AR$1,main!$A$3:$H$102,5,FALSE)-VLOOKUP($A36,main!$A$3:$H$102,6,FALSE)&gt;=main!$D$103+VLOOKUP(VLOOKUP(AR$1,main!$A$3:$I$102,7,FALSE),main!$K$26:$Q$29,3,FALSE),1,0)</f>
        <v>0</v>
      </c>
      <c r="AS36">
        <f>IF(VLOOKUP(AS$1,main!$A$3:$H$102,5,FALSE)-VLOOKUP($A36,main!$A$3:$H$102,6,FALSE)&gt;=main!$D$103+VLOOKUP(VLOOKUP(AS$1,main!$A$3:$I$102,7,FALSE),main!$K$26:$Q$29,3,FALSE),1,0)</f>
        <v>0</v>
      </c>
      <c r="AT36">
        <f>IF(VLOOKUP(AT$1,main!$A$3:$H$102,5,FALSE)-VLOOKUP($A36,main!$A$3:$H$102,6,FALSE)&gt;=main!$D$103+VLOOKUP(VLOOKUP(AT$1,main!$A$3:$I$102,7,FALSE),main!$K$26:$Q$29,3,FALSE),1,0)</f>
        <v>0</v>
      </c>
      <c r="AU36">
        <f>IF(VLOOKUP(AU$1,main!$A$3:$H$102,5,FALSE)-VLOOKUP($A36,main!$A$3:$H$102,6,FALSE)&gt;=main!$D$103+VLOOKUP(VLOOKUP(AU$1,main!$A$3:$I$102,7,FALSE),main!$K$26:$Q$29,3,FALSE),1,0)</f>
        <v>0</v>
      </c>
      <c r="AV36">
        <f>IF(VLOOKUP(AV$1,main!$A$3:$H$102,5,FALSE)-VLOOKUP($A36,main!$A$3:$H$102,6,FALSE)&gt;=main!$D$103+VLOOKUP(VLOOKUP(AV$1,main!$A$3:$I$102,7,FALSE),main!$K$26:$Q$29,3,FALSE),1,0)</f>
        <v>0</v>
      </c>
      <c r="AW36">
        <f>IF(VLOOKUP(AW$1,main!$A$3:$H$102,5,FALSE)-VLOOKUP($A36,main!$A$3:$H$102,6,FALSE)&gt;=main!$D$103+VLOOKUP(VLOOKUP(AW$1,main!$A$3:$I$102,7,FALSE),main!$K$26:$Q$29,3,FALSE),1,0)</f>
        <v>0</v>
      </c>
      <c r="AX36">
        <f>IF(VLOOKUP(AX$1,main!$A$3:$H$102,5,FALSE)-VLOOKUP($A36,main!$A$3:$H$102,6,FALSE)&gt;=main!$D$103+VLOOKUP(VLOOKUP(AX$1,main!$A$3:$I$102,7,FALSE),main!$K$26:$Q$29,3,FALSE),1,0)</f>
        <v>0</v>
      </c>
      <c r="AY36">
        <f>IF(VLOOKUP(AY$1,main!$A$3:$H$102,5,FALSE)-VLOOKUP($A36,main!$A$3:$H$102,6,FALSE)&gt;=main!$D$103+VLOOKUP(VLOOKUP(AY$1,main!$A$3:$I$102,7,FALSE),main!$K$26:$Q$29,3,FALSE),1,0)</f>
        <v>0</v>
      </c>
      <c r="AZ36">
        <f>IF(VLOOKUP(AZ$1,main!$A$3:$H$102,5,FALSE)-VLOOKUP($A36,main!$A$3:$H$102,6,FALSE)&gt;=main!$D$103+VLOOKUP(VLOOKUP(AZ$1,main!$A$3:$I$102,7,FALSE),main!$K$26:$Q$29,3,FALSE),1,0)</f>
        <v>0</v>
      </c>
      <c r="BA36">
        <f>IF(VLOOKUP(BA$1,main!$A$3:$H$102,5,FALSE)-VLOOKUP($A36,main!$A$3:$H$102,6,FALSE)&gt;=main!$D$103+VLOOKUP(VLOOKUP(BA$1,main!$A$3:$I$102,7,FALSE),main!$K$26:$Q$29,3,FALSE),1,0)</f>
        <v>0</v>
      </c>
      <c r="BB36">
        <f>IF(VLOOKUP(BB$1,main!$A$3:$H$102,5,FALSE)-VLOOKUP($A36,main!$A$3:$H$102,6,FALSE)&gt;=main!$D$103+VLOOKUP(VLOOKUP(BB$1,main!$A$3:$I$102,7,FALSE),main!$K$26:$Q$29,3,FALSE),1,0)</f>
        <v>0</v>
      </c>
      <c r="BC36">
        <f>IF(VLOOKUP(BC$1,main!$A$3:$H$102,5,FALSE)-VLOOKUP($A36,main!$A$3:$H$102,6,FALSE)&gt;=main!$D$103+VLOOKUP(VLOOKUP(BC$1,main!$A$3:$I$102,7,FALSE),main!$K$26:$Q$29,3,FALSE),1,0)</f>
        <v>0</v>
      </c>
      <c r="BD36">
        <f>IF(VLOOKUP(BD$1,main!$A$3:$H$102,5,FALSE)-VLOOKUP($A36,main!$A$3:$H$102,6,FALSE)&gt;=main!$D$103+VLOOKUP(VLOOKUP(BD$1,main!$A$3:$I$102,7,FALSE),main!$K$26:$Q$29,3,FALSE),1,0)</f>
        <v>0</v>
      </c>
      <c r="BE36">
        <f>IF(VLOOKUP(BE$1,main!$A$3:$H$102,5,FALSE)-VLOOKUP($A36,main!$A$3:$H$102,6,FALSE)&gt;=main!$D$103+VLOOKUP(VLOOKUP(BE$1,main!$A$3:$I$102,7,FALSE),main!$K$26:$Q$29,3,FALSE),1,0)</f>
        <v>1</v>
      </c>
      <c r="BF36">
        <f>IF(VLOOKUP(BF$1,main!$A$3:$H$102,5,FALSE)-VLOOKUP($A36,main!$A$3:$H$102,6,FALSE)&gt;=main!$D$103+VLOOKUP(VLOOKUP(BF$1,main!$A$3:$I$102,7,FALSE),main!$K$26:$Q$29,3,FALSE),1,0)</f>
        <v>0</v>
      </c>
      <c r="BG36">
        <f>IF(VLOOKUP(BG$1,main!$A$3:$H$102,5,FALSE)-VLOOKUP($A36,main!$A$3:$H$102,6,FALSE)&gt;=main!$D$103+VLOOKUP(VLOOKUP(BG$1,main!$A$3:$I$102,7,FALSE),main!$K$26:$Q$29,3,FALSE),1,0)</f>
        <v>0</v>
      </c>
      <c r="BH36">
        <f>IF(VLOOKUP(BH$1,main!$A$3:$H$102,5,FALSE)-VLOOKUP($A36,main!$A$3:$H$102,6,FALSE)&gt;=main!$D$103+VLOOKUP(VLOOKUP(BH$1,main!$A$3:$I$102,7,FALSE),main!$K$26:$Q$29,3,FALSE),1,0)</f>
        <v>0</v>
      </c>
      <c r="BI36">
        <f>IF(VLOOKUP(BI$1,main!$A$3:$H$102,5,FALSE)-VLOOKUP($A36,main!$A$3:$H$102,6,FALSE)&gt;=main!$D$103+VLOOKUP(VLOOKUP(BI$1,main!$A$3:$I$102,7,FALSE),main!$K$26:$Q$29,3,FALSE),1,0)</f>
        <v>1</v>
      </c>
      <c r="BJ36">
        <f>IF(VLOOKUP(BJ$1,main!$A$3:$H$102,5,FALSE)-VLOOKUP($A36,main!$A$3:$H$102,6,FALSE)&gt;=main!$D$103+VLOOKUP(VLOOKUP(BJ$1,main!$A$3:$I$102,7,FALSE),main!$K$26:$Q$29,3,FALSE),1,0)</f>
        <v>0</v>
      </c>
      <c r="BK36">
        <f>IF(VLOOKUP(BK$1,main!$A$3:$H$102,5,FALSE)-VLOOKUP($A36,main!$A$3:$H$102,6,FALSE)&gt;=main!$D$103+VLOOKUP(VLOOKUP(BK$1,main!$A$3:$I$102,7,FALSE),main!$K$26:$Q$29,3,FALSE),1,0)</f>
        <v>0</v>
      </c>
      <c r="BL36">
        <f>IF(VLOOKUP(BL$1,main!$A$3:$H$102,5,FALSE)-VLOOKUP($A36,main!$A$3:$H$102,6,FALSE)&gt;=main!$D$103+VLOOKUP(VLOOKUP(BL$1,main!$A$3:$I$102,7,FALSE),main!$K$26:$Q$29,3,FALSE),1,0)</f>
        <v>0</v>
      </c>
      <c r="BM36">
        <f>IF(VLOOKUP(BM$1,main!$A$3:$H$102,5,FALSE)-VLOOKUP($A36,main!$A$3:$H$102,6,FALSE)&gt;=main!$D$103+VLOOKUP(VLOOKUP(BM$1,main!$A$3:$I$102,7,FALSE),main!$K$26:$Q$29,3,FALSE),1,0)</f>
        <v>0</v>
      </c>
      <c r="BN36">
        <f>IF(VLOOKUP(BN$1,main!$A$3:$H$102,5,FALSE)-VLOOKUP($A36,main!$A$3:$H$102,6,FALSE)&gt;=main!$D$103+VLOOKUP(VLOOKUP(BN$1,main!$A$3:$I$102,7,FALSE),main!$K$26:$Q$29,3,FALSE),1,0)</f>
        <v>0</v>
      </c>
      <c r="BO36">
        <f>IF(VLOOKUP(BO$1,main!$A$3:$H$102,5,FALSE)-VLOOKUP($A36,main!$A$3:$H$102,6,FALSE)&gt;=main!$D$103+VLOOKUP(VLOOKUP(BO$1,main!$A$3:$I$102,7,FALSE),main!$K$26:$Q$29,3,FALSE),1,0)</f>
        <v>0</v>
      </c>
      <c r="BP36">
        <f>IF(VLOOKUP(BP$1,main!$A$3:$H$102,5,FALSE)-VLOOKUP($A36,main!$A$3:$H$102,6,FALSE)&gt;=main!$D$103+VLOOKUP(VLOOKUP(BP$1,main!$A$3:$I$102,7,FALSE),main!$K$26:$Q$29,3,FALSE),1,0)</f>
        <v>0</v>
      </c>
      <c r="BQ36">
        <f>IF(VLOOKUP(BQ$1,main!$A$3:$H$102,5,FALSE)-VLOOKUP($A36,main!$A$3:$H$102,6,FALSE)&gt;=main!$D$103+VLOOKUP(VLOOKUP(BQ$1,main!$A$3:$I$102,7,FALSE),main!$K$26:$Q$29,3,FALSE),1,0)</f>
        <v>0</v>
      </c>
      <c r="BR36">
        <f>IF(VLOOKUP(BR$1,main!$A$3:$H$102,5,FALSE)-VLOOKUP($A36,main!$A$3:$H$102,6,FALSE)&gt;=main!$D$103+VLOOKUP(VLOOKUP(BR$1,main!$A$3:$I$102,7,FALSE),main!$K$26:$Q$29,3,FALSE),1,0)</f>
        <v>0</v>
      </c>
      <c r="BS36">
        <f>IF(VLOOKUP(BS$1,main!$A$3:$H$102,5,FALSE)-VLOOKUP($A36,main!$A$3:$H$102,6,FALSE)&gt;=main!$D$103+VLOOKUP(VLOOKUP(BS$1,main!$A$3:$I$102,7,FALSE),main!$K$26:$Q$29,3,FALSE),1,0)</f>
        <v>0</v>
      </c>
      <c r="BT36">
        <f>IF(VLOOKUP(BT$1,main!$A$3:$H$102,5,FALSE)-VLOOKUP($A36,main!$A$3:$H$102,6,FALSE)&gt;=main!$D$103+VLOOKUP(VLOOKUP(BT$1,main!$A$3:$I$102,7,FALSE),main!$K$26:$Q$29,3,FALSE),1,0)</f>
        <v>0</v>
      </c>
      <c r="BU36">
        <f>IF(VLOOKUP(BU$1,main!$A$3:$H$102,5,FALSE)-VLOOKUP($A36,main!$A$3:$H$102,6,FALSE)&gt;=main!$D$103+VLOOKUP(VLOOKUP(BU$1,main!$A$3:$I$102,7,FALSE),main!$K$26:$Q$29,3,FALSE),1,0)</f>
        <v>0</v>
      </c>
      <c r="BV36">
        <f>IF(VLOOKUP(BV$1,main!$A$3:$H$102,5,FALSE)-VLOOKUP($A36,main!$A$3:$H$102,6,FALSE)&gt;=main!$D$103+VLOOKUP(VLOOKUP(BV$1,main!$A$3:$I$102,7,FALSE),main!$K$26:$Q$29,3,FALSE),1,0)</f>
        <v>0</v>
      </c>
      <c r="BW36">
        <f>IF(VLOOKUP(BW$1,main!$A$3:$H$102,5,FALSE)-VLOOKUP($A36,main!$A$3:$H$102,6,FALSE)&gt;=main!$D$103+VLOOKUP(VLOOKUP(BW$1,main!$A$3:$I$102,7,FALSE),main!$K$26:$Q$29,3,FALSE),1,0)</f>
        <v>0</v>
      </c>
      <c r="BX36">
        <f>IF(VLOOKUP(BX$1,main!$A$3:$H$102,5,FALSE)-VLOOKUP($A36,main!$A$3:$H$102,6,FALSE)&gt;=main!$D$103+VLOOKUP(VLOOKUP(BX$1,main!$A$3:$I$102,7,FALSE),main!$K$26:$Q$29,3,FALSE),1,0)</f>
        <v>0</v>
      </c>
      <c r="BY36">
        <f>IF(VLOOKUP(BY$1,main!$A$3:$H$102,5,FALSE)-VLOOKUP($A36,main!$A$3:$H$102,6,FALSE)&gt;=main!$D$103+VLOOKUP(VLOOKUP(BY$1,main!$A$3:$I$102,7,FALSE),main!$K$26:$Q$29,3,FALSE),1,0)</f>
        <v>0</v>
      </c>
      <c r="BZ36">
        <f>IF(VLOOKUP(BZ$1,main!$A$3:$H$102,5,FALSE)-VLOOKUP($A36,main!$A$3:$H$102,6,FALSE)&gt;=main!$D$103+VLOOKUP(VLOOKUP(BZ$1,main!$A$3:$I$102,7,FALSE),main!$K$26:$Q$29,3,FALSE),1,0)</f>
        <v>0</v>
      </c>
      <c r="CA36">
        <f>IF(VLOOKUP(CA$1,main!$A$3:$H$102,5,FALSE)-VLOOKUP($A36,main!$A$3:$H$102,6,FALSE)&gt;=main!$D$103+VLOOKUP(VLOOKUP(CA$1,main!$A$3:$I$102,7,FALSE),main!$K$26:$Q$29,3,FALSE),1,0)</f>
        <v>0</v>
      </c>
      <c r="CB36">
        <f>IF(VLOOKUP(CB$1,main!$A$3:$H$102,5,FALSE)-VLOOKUP($A36,main!$A$3:$H$102,6,FALSE)&gt;=main!$D$103+VLOOKUP(VLOOKUP(CB$1,main!$A$3:$I$102,7,FALSE),main!$K$26:$Q$29,3,FALSE),1,0)</f>
        <v>0</v>
      </c>
      <c r="CC36">
        <f>IF(VLOOKUP(CC$1,main!$A$3:$H$102,5,FALSE)-VLOOKUP($A36,main!$A$3:$H$102,6,FALSE)&gt;=main!$D$103+VLOOKUP(VLOOKUP(CC$1,main!$A$3:$I$102,7,FALSE),main!$K$26:$Q$29,3,FALSE),1,0)</f>
        <v>1</v>
      </c>
      <c r="CD36">
        <f>IF(VLOOKUP(CD$1,main!$A$3:$H$102,5,FALSE)-VLOOKUP($A36,main!$A$3:$H$102,6,FALSE)&gt;=main!$D$103+VLOOKUP(VLOOKUP(CD$1,main!$A$3:$I$102,7,FALSE),main!$K$26:$Q$29,3,FALSE),1,0)</f>
        <v>0</v>
      </c>
      <c r="CE36">
        <f>IF(VLOOKUP(CE$1,main!$A$3:$H$102,5,FALSE)-VLOOKUP($A36,main!$A$3:$H$102,6,FALSE)&gt;=main!$D$103+VLOOKUP(VLOOKUP(CE$1,main!$A$3:$I$102,7,FALSE),main!$K$26:$Q$29,3,FALSE),1,0)</f>
        <v>0</v>
      </c>
      <c r="CF36">
        <f>IF(VLOOKUP(CF$1,main!$A$3:$H$102,5,FALSE)-VLOOKUP($A36,main!$A$3:$H$102,6,FALSE)&gt;=main!$D$103+VLOOKUP(VLOOKUP(CF$1,main!$A$3:$I$102,7,FALSE),main!$K$26:$Q$29,3,FALSE),1,0)</f>
        <v>0</v>
      </c>
      <c r="CG36">
        <f>IF(VLOOKUP(CG$1,main!$A$3:$H$102,5,FALSE)-VLOOKUP($A36,main!$A$3:$H$102,6,FALSE)&gt;=main!$D$103+VLOOKUP(VLOOKUP(CG$1,main!$A$3:$I$102,7,FALSE),main!$K$26:$Q$29,3,FALSE),1,0)</f>
        <v>0</v>
      </c>
      <c r="CH36">
        <f>IF(VLOOKUP(CH$1,main!$A$3:$H$102,5,FALSE)-VLOOKUP($A36,main!$A$3:$H$102,6,FALSE)&gt;=main!$D$103+VLOOKUP(VLOOKUP(CH$1,main!$A$3:$I$102,7,FALSE),main!$K$26:$Q$29,3,FALSE),1,0)</f>
        <v>0</v>
      </c>
      <c r="CI36">
        <f>IF(VLOOKUP(CI$1,main!$A$3:$H$102,5,FALSE)-VLOOKUP($A36,main!$A$3:$H$102,6,FALSE)&gt;=main!$D$103+VLOOKUP(VLOOKUP(CI$1,main!$A$3:$I$102,7,FALSE),main!$K$26:$Q$29,3,FALSE),1,0)</f>
        <v>1</v>
      </c>
      <c r="CJ36">
        <f>IF(VLOOKUP(CJ$1,main!$A$3:$H$102,5,FALSE)-VLOOKUP($A36,main!$A$3:$H$102,6,FALSE)&gt;=main!$D$103+VLOOKUP(VLOOKUP(CJ$1,main!$A$3:$I$102,7,FALSE),main!$K$26:$Q$29,3,FALSE),1,0)</f>
        <v>0</v>
      </c>
      <c r="CK36">
        <f>IF(VLOOKUP(CK$1,main!$A$3:$H$102,5,FALSE)-VLOOKUP($A36,main!$A$3:$H$102,6,FALSE)&gt;=main!$D$103+VLOOKUP(VLOOKUP(CK$1,main!$A$3:$I$102,7,FALSE),main!$K$26:$Q$29,3,FALSE),1,0)</f>
        <v>0</v>
      </c>
      <c r="CL36">
        <f>IF(VLOOKUP(CL$1,main!$A$3:$H$102,5,FALSE)-VLOOKUP($A36,main!$A$3:$H$102,6,FALSE)&gt;=main!$D$103+VLOOKUP(VLOOKUP(CL$1,main!$A$3:$I$102,7,FALSE),main!$K$26:$Q$29,3,FALSE),1,0)</f>
        <v>0</v>
      </c>
      <c r="CM36">
        <f>IF(VLOOKUP(CM$1,main!$A$3:$H$102,5,FALSE)-VLOOKUP($A36,main!$A$3:$H$102,6,FALSE)&gt;=main!$D$103+VLOOKUP(VLOOKUP(CM$1,main!$A$3:$I$102,7,FALSE),main!$K$26:$Q$29,3,FALSE),1,0)</f>
        <v>0</v>
      </c>
      <c r="CN36">
        <f>IF(VLOOKUP(CN$1,main!$A$3:$H$102,5,FALSE)-VLOOKUP($A36,main!$A$3:$H$102,6,FALSE)&gt;=main!$D$103+VLOOKUP(VLOOKUP(CN$1,main!$A$3:$I$102,7,FALSE),main!$K$26:$Q$29,3,FALSE),1,0)</f>
        <v>1</v>
      </c>
      <c r="CO36">
        <f>IF(VLOOKUP(CO$1,main!$A$3:$H$102,5,FALSE)-VLOOKUP($A36,main!$A$3:$H$102,6,FALSE)&gt;=main!$D$103+VLOOKUP(VLOOKUP(CO$1,main!$A$3:$I$102,7,FALSE),main!$K$26:$Q$29,3,FALSE),1,0)</f>
        <v>0</v>
      </c>
      <c r="CP36">
        <f>IF(VLOOKUP(CP$1,main!$A$3:$H$102,5,FALSE)-VLOOKUP($A36,main!$A$3:$H$102,6,FALSE)&gt;=main!$D$103+VLOOKUP(VLOOKUP(CP$1,main!$A$3:$I$102,7,FALSE),main!$K$26:$Q$29,3,FALSE),1,0)</f>
        <v>0</v>
      </c>
      <c r="CQ36">
        <f>IF(VLOOKUP(CQ$1,main!$A$3:$H$102,5,FALSE)-VLOOKUP($A36,main!$A$3:$H$102,6,FALSE)&gt;=main!$D$103+VLOOKUP(VLOOKUP(CQ$1,main!$A$3:$I$102,7,FALSE),main!$K$26:$Q$29,3,FALSE),1,0)</f>
        <v>0</v>
      </c>
      <c r="CR36">
        <f>IF(VLOOKUP(CR$1,main!$A$3:$H$102,5,FALSE)-VLOOKUP($A36,main!$A$3:$H$102,6,FALSE)&gt;=main!$D$103+VLOOKUP(VLOOKUP(CR$1,main!$A$3:$I$102,7,FALSE),main!$K$26:$Q$29,3,FALSE),1,0)</f>
        <v>0</v>
      </c>
      <c r="CS36">
        <f>IF(VLOOKUP(CS$1,main!$A$3:$H$102,5,FALSE)-VLOOKUP($A36,main!$A$3:$H$102,6,FALSE)&gt;=main!$D$103+VLOOKUP(VLOOKUP(CS$1,main!$A$3:$I$102,7,FALSE),main!$K$26:$Q$29,3,FALSE),1,0)</f>
        <v>0</v>
      </c>
      <c r="CT36">
        <f>IF(VLOOKUP(CT$1,main!$A$3:$H$102,5,FALSE)-VLOOKUP($A36,main!$A$3:$H$102,6,FALSE)&gt;=main!$D$103+VLOOKUP(VLOOKUP(CT$1,main!$A$3:$I$102,7,FALSE),main!$K$26:$Q$29,3,FALSE),1,0)</f>
        <v>0</v>
      </c>
      <c r="CU36">
        <f>IF(VLOOKUP(CU$1,main!$A$3:$H$102,5,FALSE)-VLOOKUP($A36,main!$A$3:$H$102,6,FALSE)&gt;=main!$D$103+VLOOKUP(VLOOKUP(CU$1,main!$A$3:$I$102,7,FALSE),main!$K$26:$Q$29,3,FALSE),1,0)</f>
        <v>0</v>
      </c>
      <c r="CV36">
        <f>IF(VLOOKUP(CV$1,main!$A$3:$H$102,5,FALSE)-VLOOKUP($A36,main!$A$3:$H$102,6,FALSE)&gt;=main!$D$103+VLOOKUP(VLOOKUP(CV$1,main!$A$3:$I$102,7,FALSE),main!$K$26:$Q$29,3,FALSE),1,0)</f>
        <v>0</v>
      </c>
      <c r="CW36">
        <f>IF(VLOOKUP(CW$1,main!$A$3:$H$102,5,FALSE)-VLOOKUP($A36,main!$A$3:$H$102,6,FALSE)&gt;=main!$D$103+VLOOKUP(VLOOKUP(CW$1,main!$A$3:$I$102,7,FALSE),main!$K$26:$Q$29,3,FALSE),1,0)</f>
        <v>0</v>
      </c>
      <c r="CX36">
        <f>IF(VLOOKUP(CX$1,main!$A$3:$H$102,5,FALSE)-VLOOKUP($A36,main!$A$3:$H$102,6,FALSE)&gt;=main!$D$103+VLOOKUP(VLOOKUP(CX$1,main!$A$3:$I$102,7,FALSE),main!$K$26:$Q$29,3,FALSE),1,0)</f>
        <v>0</v>
      </c>
    </row>
    <row r="37" spans="1:102" x14ac:dyDescent="0.25">
      <c r="A37" s="1">
        <v>35</v>
      </c>
      <c r="B37">
        <v>0</v>
      </c>
      <c r="C37">
        <f>IF(VLOOKUP(C$1,main!$A$3:$H$102,5,FALSE)-VLOOKUP($A37,main!$A$3:$H$102,6,FALSE)&gt;=main!$D$103+VLOOKUP(VLOOKUP(C$1,main!$A$3:$I$102,7,FALSE),main!$K$26:$Q$29,3,FALSE),1,0)</f>
        <v>0</v>
      </c>
      <c r="D37">
        <f>IF(VLOOKUP(D$1,main!$A$3:$H$102,5,FALSE)-VLOOKUP($A37,main!$A$3:$H$102,6,FALSE)&gt;=main!$D$103+VLOOKUP(VLOOKUP(D$1,main!$A$3:$I$102,7,FALSE),main!$K$26:$Q$29,3,FALSE),1,0)</f>
        <v>0</v>
      </c>
      <c r="E37">
        <f>IF(VLOOKUP(E$1,main!$A$3:$H$102,5,FALSE)-VLOOKUP($A37,main!$A$3:$H$102,6,FALSE)&gt;=main!$D$103+VLOOKUP(VLOOKUP(E$1,main!$A$3:$I$102,7,FALSE),main!$K$26:$Q$29,3,FALSE),1,0)</f>
        <v>0</v>
      </c>
      <c r="F37">
        <f>IF(VLOOKUP(F$1,main!$A$3:$H$102,5,FALSE)-VLOOKUP($A37,main!$A$3:$H$102,6,FALSE)&gt;=main!$D$103+VLOOKUP(VLOOKUP(F$1,main!$A$3:$I$102,7,FALSE),main!$K$26:$Q$29,3,FALSE),1,0)</f>
        <v>0</v>
      </c>
      <c r="G37">
        <f>IF(VLOOKUP(G$1,main!$A$3:$H$102,5,FALSE)-VLOOKUP($A37,main!$A$3:$H$102,6,FALSE)&gt;=main!$D$103+VLOOKUP(VLOOKUP(G$1,main!$A$3:$I$102,7,FALSE),main!$K$26:$Q$29,3,FALSE),1,0)</f>
        <v>0</v>
      </c>
      <c r="H37">
        <f>IF(VLOOKUP(H$1,main!$A$3:$H$102,5,FALSE)-VLOOKUP($A37,main!$A$3:$H$102,6,FALSE)&gt;=main!$D$103+VLOOKUP(VLOOKUP(H$1,main!$A$3:$I$102,7,FALSE),main!$K$26:$Q$29,3,FALSE),1,0)</f>
        <v>0</v>
      </c>
      <c r="I37">
        <f>IF(VLOOKUP(I$1,main!$A$3:$H$102,5,FALSE)-VLOOKUP($A37,main!$A$3:$H$102,6,FALSE)&gt;=main!$D$103+VLOOKUP(VLOOKUP(I$1,main!$A$3:$I$102,7,FALSE),main!$K$26:$Q$29,3,FALSE),1,0)</f>
        <v>0</v>
      </c>
      <c r="J37">
        <f>IF(VLOOKUP(J$1,main!$A$3:$H$102,5,FALSE)-VLOOKUP($A37,main!$A$3:$H$102,6,FALSE)&gt;=main!$D$103+VLOOKUP(VLOOKUP(J$1,main!$A$3:$I$102,7,FALSE),main!$K$26:$Q$29,3,FALSE),1,0)</f>
        <v>0</v>
      </c>
      <c r="K37">
        <f>IF(VLOOKUP(K$1,main!$A$3:$H$102,5,FALSE)-VLOOKUP($A37,main!$A$3:$H$102,6,FALSE)&gt;=main!$D$103+VLOOKUP(VLOOKUP(K$1,main!$A$3:$I$102,7,FALSE),main!$K$26:$Q$29,3,FALSE),1,0)</f>
        <v>0</v>
      </c>
      <c r="L37">
        <f>IF(VLOOKUP(L$1,main!$A$3:$H$102,5,FALSE)-VLOOKUP($A37,main!$A$3:$H$102,6,FALSE)&gt;=main!$D$103+VLOOKUP(VLOOKUP(L$1,main!$A$3:$I$102,7,FALSE),main!$K$26:$Q$29,3,FALSE),1,0)</f>
        <v>1</v>
      </c>
      <c r="M37">
        <f>IF(VLOOKUP(M$1,main!$A$3:$H$102,5,FALSE)-VLOOKUP($A37,main!$A$3:$H$102,6,FALSE)&gt;=main!$D$103+VLOOKUP(VLOOKUP(M$1,main!$A$3:$I$102,7,FALSE),main!$K$26:$Q$29,3,FALSE),1,0)</f>
        <v>0</v>
      </c>
      <c r="N37">
        <f>IF(VLOOKUP(N$1,main!$A$3:$H$102,5,FALSE)-VLOOKUP($A37,main!$A$3:$H$102,6,FALSE)&gt;=main!$D$103+VLOOKUP(VLOOKUP(N$1,main!$A$3:$I$102,7,FALSE),main!$K$26:$Q$29,3,FALSE),1,0)</f>
        <v>0</v>
      </c>
      <c r="O37">
        <f>IF(VLOOKUP(O$1,main!$A$3:$H$102,5,FALSE)-VLOOKUP($A37,main!$A$3:$H$102,6,FALSE)&gt;=main!$D$103+VLOOKUP(VLOOKUP(O$1,main!$A$3:$I$102,7,FALSE),main!$K$26:$Q$29,3,FALSE),1,0)</f>
        <v>0</v>
      </c>
      <c r="P37">
        <f>IF(VLOOKUP(P$1,main!$A$3:$H$102,5,FALSE)-VLOOKUP($A37,main!$A$3:$H$102,6,FALSE)&gt;=main!$D$103+VLOOKUP(VLOOKUP(P$1,main!$A$3:$I$102,7,FALSE),main!$K$26:$Q$29,3,FALSE),1,0)</f>
        <v>0</v>
      </c>
      <c r="Q37">
        <f>IF(VLOOKUP(Q$1,main!$A$3:$H$102,5,FALSE)-VLOOKUP($A37,main!$A$3:$H$102,6,FALSE)&gt;=main!$D$103+VLOOKUP(VLOOKUP(Q$1,main!$A$3:$I$102,7,FALSE),main!$K$26:$Q$29,3,FALSE),1,0)</f>
        <v>0</v>
      </c>
      <c r="R37">
        <f>IF(VLOOKUP(R$1,main!$A$3:$H$102,5,FALSE)-VLOOKUP($A37,main!$A$3:$H$102,6,FALSE)&gt;=main!$D$103+VLOOKUP(VLOOKUP(R$1,main!$A$3:$I$102,7,FALSE),main!$K$26:$Q$29,3,FALSE),1,0)</f>
        <v>0</v>
      </c>
      <c r="S37">
        <f>IF(VLOOKUP(S$1,main!$A$3:$H$102,5,FALSE)-VLOOKUP($A37,main!$A$3:$H$102,6,FALSE)&gt;=main!$D$103+VLOOKUP(VLOOKUP(S$1,main!$A$3:$I$102,7,FALSE),main!$K$26:$Q$29,3,FALSE),1,0)</f>
        <v>0</v>
      </c>
      <c r="T37">
        <f>IF(VLOOKUP(T$1,main!$A$3:$H$102,5,FALSE)-VLOOKUP($A37,main!$A$3:$H$102,6,FALSE)&gt;=main!$D$103+VLOOKUP(VLOOKUP(T$1,main!$A$3:$I$102,7,FALSE),main!$K$26:$Q$29,3,FALSE),1,0)</f>
        <v>0</v>
      </c>
      <c r="U37">
        <f>IF(VLOOKUP(U$1,main!$A$3:$H$102,5,FALSE)-VLOOKUP($A37,main!$A$3:$H$102,6,FALSE)&gt;=main!$D$103+VLOOKUP(VLOOKUP(U$1,main!$A$3:$I$102,7,FALSE),main!$K$26:$Q$29,3,FALSE),1,0)</f>
        <v>1</v>
      </c>
      <c r="V37">
        <f>IF(VLOOKUP(V$1,main!$A$3:$H$102,5,FALSE)-VLOOKUP($A37,main!$A$3:$H$102,6,FALSE)&gt;=main!$D$103+VLOOKUP(VLOOKUP(V$1,main!$A$3:$I$102,7,FALSE),main!$K$26:$Q$29,3,FALSE),1,0)</f>
        <v>1</v>
      </c>
      <c r="W37">
        <f>IF(VLOOKUP(W$1,main!$A$3:$H$102,5,FALSE)-VLOOKUP($A37,main!$A$3:$H$102,6,FALSE)&gt;=main!$D$103+VLOOKUP(VLOOKUP(W$1,main!$A$3:$I$102,7,FALSE),main!$K$26:$Q$29,3,FALSE),1,0)</f>
        <v>0</v>
      </c>
      <c r="X37">
        <f>IF(VLOOKUP(X$1,main!$A$3:$H$102,5,FALSE)-VLOOKUP($A37,main!$A$3:$H$102,6,FALSE)&gt;=main!$D$103+VLOOKUP(VLOOKUP(X$1,main!$A$3:$I$102,7,FALSE),main!$K$26:$Q$29,3,FALSE),1,0)</f>
        <v>0</v>
      </c>
      <c r="Y37">
        <f>IF(VLOOKUP(Y$1,main!$A$3:$H$102,5,FALSE)-VLOOKUP($A37,main!$A$3:$H$102,6,FALSE)&gt;=main!$D$103+VLOOKUP(VLOOKUP(Y$1,main!$A$3:$I$102,7,FALSE),main!$K$26:$Q$29,3,FALSE),1,0)</f>
        <v>0</v>
      </c>
      <c r="Z37">
        <f>IF(VLOOKUP(Z$1,main!$A$3:$H$102,5,FALSE)-VLOOKUP($A37,main!$A$3:$H$102,6,FALSE)&gt;=main!$D$103+VLOOKUP(VLOOKUP(Z$1,main!$A$3:$I$102,7,FALSE),main!$K$26:$Q$29,3,FALSE),1,0)</f>
        <v>0</v>
      </c>
      <c r="AA37">
        <f>IF(VLOOKUP(AA$1,main!$A$3:$H$102,5,FALSE)-VLOOKUP($A37,main!$A$3:$H$102,6,FALSE)&gt;=main!$D$103+VLOOKUP(VLOOKUP(AA$1,main!$A$3:$I$102,7,FALSE),main!$K$26:$Q$29,3,FALSE),1,0)</f>
        <v>1</v>
      </c>
      <c r="AB37">
        <f>IF(VLOOKUP(AB$1,main!$A$3:$H$102,5,FALSE)-VLOOKUP($A37,main!$A$3:$H$102,6,FALSE)&gt;=main!$D$103+VLOOKUP(VLOOKUP(AB$1,main!$A$3:$I$102,7,FALSE),main!$K$26:$Q$29,3,FALSE),1,0)</f>
        <v>0</v>
      </c>
      <c r="AC37">
        <f>IF(VLOOKUP(AC$1,main!$A$3:$H$102,5,FALSE)-VLOOKUP($A37,main!$A$3:$H$102,6,FALSE)&gt;=main!$D$103+VLOOKUP(VLOOKUP(AC$1,main!$A$3:$I$102,7,FALSE),main!$K$26:$Q$29,3,FALSE),1,0)</f>
        <v>0</v>
      </c>
      <c r="AD37">
        <f>IF(VLOOKUP(AD$1,main!$A$3:$H$102,5,FALSE)-VLOOKUP($A37,main!$A$3:$H$102,6,FALSE)&gt;=main!$D$103+VLOOKUP(VLOOKUP(AD$1,main!$A$3:$I$102,7,FALSE),main!$K$26:$Q$29,3,FALSE),1,0)</f>
        <v>0</v>
      </c>
      <c r="AE37">
        <f>IF(VLOOKUP(AE$1,main!$A$3:$H$102,5,FALSE)-VLOOKUP($A37,main!$A$3:$H$102,6,FALSE)&gt;=main!$D$103+VLOOKUP(VLOOKUP(AE$1,main!$A$3:$I$102,7,FALSE),main!$K$26:$Q$29,3,FALSE),1,0)</f>
        <v>0</v>
      </c>
      <c r="AF37">
        <f>IF(VLOOKUP(AF$1,main!$A$3:$H$102,5,FALSE)-VLOOKUP($A37,main!$A$3:$H$102,6,FALSE)&gt;=main!$D$103+VLOOKUP(VLOOKUP(AF$1,main!$A$3:$I$102,7,FALSE),main!$K$26:$Q$29,3,FALSE),1,0)</f>
        <v>0</v>
      </c>
      <c r="AG37">
        <f>IF(VLOOKUP(AG$1,main!$A$3:$H$102,5,FALSE)-VLOOKUP($A37,main!$A$3:$H$102,6,FALSE)&gt;=main!$D$103+VLOOKUP(VLOOKUP(AG$1,main!$A$3:$I$102,7,FALSE),main!$K$26:$Q$29,3,FALSE),1,0)</f>
        <v>0</v>
      </c>
      <c r="AH37">
        <f>IF(VLOOKUP(AH$1,main!$A$3:$H$102,5,FALSE)-VLOOKUP($A37,main!$A$3:$H$102,6,FALSE)&gt;=main!$D$103+VLOOKUP(VLOOKUP(AH$1,main!$A$3:$I$102,7,FALSE),main!$K$26:$Q$29,3,FALSE),1,0)</f>
        <v>0</v>
      </c>
      <c r="AI37">
        <f>IF(VLOOKUP(AI$1,main!$A$3:$H$102,5,FALSE)-VLOOKUP($A37,main!$A$3:$H$102,6,FALSE)&gt;=main!$D$103+VLOOKUP(VLOOKUP(AI$1,main!$A$3:$I$102,7,FALSE),main!$K$26:$Q$29,3,FALSE),1,0)</f>
        <v>0</v>
      </c>
      <c r="AJ37">
        <f>IF(VLOOKUP(AJ$1,main!$A$3:$H$102,5,FALSE)-VLOOKUP($A37,main!$A$3:$H$102,6,FALSE)&gt;=main!$D$103+VLOOKUP(VLOOKUP(AJ$1,main!$A$3:$I$102,7,FALSE),main!$K$26:$Q$29,3,FALSE),1,0)</f>
        <v>0</v>
      </c>
      <c r="AK37">
        <f>IF(VLOOKUP(AK$1,main!$A$3:$H$102,5,FALSE)-VLOOKUP($A37,main!$A$3:$H$102,6,FALSE)&gt;=main!$D$103+VLOOKUP(VLOOKUP(AK$1,main!$A$3:$I$102,7,FALSE),main!$K$26:$Q$29,3,FALSE),1,0)</f>
        <v>0</v>
      </c>
      <c r="AL37">
        <f>IF(VLOOKUP(AL$1,main!$A$3:$H$102,5,FALSE)-VLOOKUP($A37,main!$A$3:$H$102,6,FALSE)&gt;=main!$D$103+VLOOKUP(VLOOKUP(AL$1,main!$A$3:$I$102,7,FALSE),main!$K$26:$Q$29,3,FALSE),1,0)</f>
        <v>0</v>
      </c>
      <c r="AM37">
        <f>IF(VLOOKUP(AM$1,main!$A$3:$H$102,5,FALSE)-VLOOKUP($A37,main!$A$3:$H$102,6,FALSE)&gt;=main!$D$103+VLOOKUP(VLOOKUP(AM$1,main!$A$3:$I$102,7,FALSE),main!$K$26:$Q$29,3,FALSE),1,0)</f>
        <v>0</v>
      </c>
      <c r="AN37">
        <f>IF(VLOOKUP(AN$1,main!$A$3:$H$102,5,FALSE)-VLOOKUP($A37,main!$A$3:$H$102,6,FALSE)&gt;=main!$D$103+VLOOKUP(VLOOKUP(AN$1,main!$A$3:$I$102,7,FALSE),main!$K$26:$Q$29,3,FALSE),1,0)</f>
        <v>1</v>
      </c>
      <c r="AO37">
        <f>IF(VLOOKUP(AO$1,main!$A$3:$H$102,5,FALSE)-VLOOKUP($A37,main!$A$3:$H$102,6,FALSE)&gt;=main!$D$103+VLOOKUP(VLOOKUP(AO$1,main!$A$3:$I$102,7,FALSE),main!$K$26:$Q$29,3,FALSE),1,0)</f>
        <v>0</v>
      </c>
      <c r="AP37">
        <f>IF(VLOOKUP(AP$1,main!$A$3:$H$102,5,FALSE)-VLOOKUP($A37,main!$A$3:$H$102,6,FALSE)&gt;=main!$D$103+VLOOKUP(VLOOKUP(AP$1,main!$A$3:$I$102,7,FALSE),main!$K$26:$Q$29,3,FALSE),1,0)</f>
        <v>1</v>
      </c>
      <c r="AQ37">
        <f>IF(VLOOKUP(AQ$1,main!$A$3:$H$102,5,FALSE)-VLOOKUP($A37,main!$A$3:$H$102,6,FALSE)&gt;=main!$D$103+VLOOKUP(VLOOKUP(AQ$1,main!$A$3:$I$102,7,FALSE),main!$K$26:$Q$29,3,FALSE),1,0)</f>
        <v>0</v>
      </c>
      <c r="AR37">
        <f>IF(VLOOKUP(AR$1,main!$A$3:$H$102,5,FALSE)-VLOOKUP($A37,main!$A$3:$H$102,6,FALSE)&gt;=main!$D$103+VLOOKUP(VLOOKUP(AR$1,main!$A$3:$I$102,7,FALSE),main!$K$26:$Q$29,3,FALSE),1,0)</f>
        <v>0</v>
      </c>
      <c r="AS37">
        <f>IF(VLOOKUP(AS$1,main!$A$3:$H$102,5,FALSE)-VLOOKUP($A37,main!$A$3:$H$102,6,FALSE)&gt;=main!$D$103+VLOOKUP(VLOOKUP(AS$1,main!$A$3:$I$102,7,FALSE),main!$K$26:$Q$29,3,FALSE),1,0)</f>
        <v>0</v>
      </c>
      <c r="AT37">
        <f>IF(VLOOKUP(AT$1,main!$A$3:$H$102,5,FALSE)-VLOOKUP($A37,main!$A$3:$H$102,6,FALSE)&gt;=main!$D$103+VLOOKUP(VLOOKUP(AT$1,main!$A$3:$I$102,7,FALSE),main!$K$26:$Q$29,3,FALSE),1,0)</f>
        <v>0</v>
      </c>
      <c r="AU37">
        <f>IF(VLOOKUP(AU$1,main!$A$3:$H$102,5,FALSE)-VLOOKUP($A37,main!$A$3:$H$102,6,FALSE)&gt;=main!$D$103+VLOOKUP(VLOOKUP(AU$1,main!$A$3:$I$102,7,FALSE),main!$K$26:$Q$29,3,FALSE),1,0)</f>
        <v>0</v>
      </c>
      <c r="AV37">
        <f>IF(VLOOKUP(AV$1,main!$A$3:$H$102,5,FALSE)-VLOOKUP($A37,main!$A$3:$H$102,6,FALSE)&gt;=main!$D$103+VLOOKUP(VLOOKUP(AV$1,main!$A$3:$I$102,7,FALSE),main!$K$26:$Q$29,3,FALSE),1,0)</f>
        <v>0</v>
      </c>
      <c r="AW37">
        <f>IF(VLOOKUP(AW$1,main!$A$3:$H$102,5,FALSE)-VLOOKUP($A37,main!$A$3:$H$102,6,FALSE)&gt;=main!$D$103+VLOOKUP(VLOOKUP(AW$1,main!$A$3:$I$102,7,FALSE),main!$K$26:$Q$29,3,FALSE),1,0)</f>
        <v>0</v>
      </c>
      <c r="AX37">
        <f>IF(VLOOKUP(AX$1,main!$A$3:$H$102,5,FALSE)-VLOOKUP($A37,main!$A$3:$H$102,6,FALSE)&gt;=main!$D$103+VLOOKUP(VLOOKUP(AX$1,main!$A$3:$I$102,7,FALSE),main!$K$26:$Q$29,3,FALSE),1,0)</f>
        <v>0</v>
      </c>
      <c r="AY37">
        <f>IF(VLOOKUP(AY$1,main!$A$3:$H$102,5,FALSE)-VLOOKUP($A37,main!$A$3:$H$102,6,FALSE)&gt;=main!$D$103+VLOOKUP(VLOOKUP(AY$1,main!$A$3:$I$102,7,FALSE),main!$K$26:$Q$29,3,FALSE),1,0)</f>
        <v>0</v>
      </c>
      <c r="AZ37">
        <f>IF(VLOOKUP(AZ$1,main!$A$3:$H$102,5,FALSE)-VLOOKUP($A37,main!$A$3:$H$102,6,FALSE)&gt;=main!$D$103+VLOOKUP(VLOOKUP(AZ$1,main!$A$3:$I$102,7,FALSE),main!$K$26:$Q$29,3,FALSE),1,0)</f>
        <v>0</v>
      </c>
      <c r="BA37">
        <f>IF(VLOOKUP(BA$1,main!$A$3:$H$102,5,FALSE)-VLOOKUP($A37,main!$A$3:$H$102,6,FALSE)&gt;=main!$D$103+VLOOKUP(VLOOKUP(BA$1,main!$A$3:$I$102,7,FALSE),main!$K$26:$Q$29,3,FALSE),1,0)</f>
        <v>0</v>
      </c>
      <c r="BB37">
        <f>IF(VLOOKUP(BB$1,main!$A$3:$H$102,5,FALSE)-VLOOKUP($A37,main!$A$3:$H$102,6,FALSE)&gt;=main!$D$103+VLOOKUP(VLOOKUP(BB$1,main!$A$3:$I$102,7,FALSE),main!$K$26:$Q$29,3,FALSE),1,0)</f>
        <v>0</v>
      </c>
      <c r="BC37">
        <f>IF(VLOOKUP(BC$1,main!$A$3:$H$102,5,FALSE)-VLOOKUP($A37,main!$A$3:$H$102,6,FALSE)&gt;=main!$D$103+VLOOKUP(VLOOKUP(BC$1,main!$A$3:$I$102,7,FALSE),main!$K$26:$Q$29,3,FALSE),1,0)</f>
        <v>0</v>
      </c>
      <c r="BD37">
        <f>IF(VLOOKUP(BD$1,main!$A$3:$H$102,5,FALSE)-VLOOKUP($A37,main!$A$3:$H$102,6,FALSE)&gt;=main!$D$103+VLOOKUP(VLOOKUP(BD$1,main!$A$3:$I$102,7,FALSE),main!$K$26:$Q$29,3,FALSE),1,0)</f>
        <v>0</v>
      </c>
      <c r="BE37">
        <f>IF(VLOOKUP(BE$1,main!$A$3:$H$102,5,FALSE)-VLOOKUP($A37,main!$A$3:$H$102,6,FALSE)&gt;=main!$D$103+VLOOKUP(VLOOKUP(BE$1,main!$A$3:$I$102,7,FALSE),main!$K$26:$Q$29,3,FALSE),1,0)</f>
        <v>0</v>
      </c>
      <c r="BF37">
        <f>IF(VLOOKUP(BF$1,main!$A$3:$H$102,5,FALSE)-VLOOKUP($A37,main!$A$3:$H$102,6,FALSE)&gt;=main!$D$103+VLOOKUP(VLOOKUP(BF$1,main!$A$3:$I$102,7,FALSE),main!$K$26:$Q$29,3,FALSE),1,0)</f>
        <v>0</v>
      </c>
      <c r="BG37">
        <f>IF(VLOOKUP(BG$1,main!$A$3:$H$102,5,FALSE)-VLOOKUP($A37,main!$A$3:$H$102,6,FALSE)&gt;=main!$D$103+VLOOKUP(VLOOKUP(BG$1,main!$A$3:$I$102,7,FALSE),main!$K$26:$Q$29,3,FALSE),1,0)</f>
        <v>0</v>
      </c>
      <c r="BH37">
        <f>IF(VLOOKUP(BH$1,main!$A$3:$H$102,5,FALSE)-VLOOKUP($A37,main!$A$3:$H$102,6,FALSE)&gt;=main!$D$103+VLOOKUP(VLOOKUP(BH$1,main!$A$3:$I$102,7,FALSE),main!$K$26:$Q$29,3,FALSE),1,0)</f>
        <v>0</v>
      </c>
      <c r="BI37">
        <f>IF(VLOOKUP(BI$1,main!$A$3:$H$102,5,FALSE)-VLOOKUP($A37,main!$A$3:$H$102,6,FALSE)&gt;=main!$D$103+VLOOKUP(VLOOKUP(BI$1,main!$A$3:$I$102,7,FALSE),main!$K$26:$Q$29,3,FALSE),1,0)</f>
        <v>1</v>
      </c>
      <c r="BJ37">
        <f>IF(VLOOKUP(BJ$1,main!$A$3:$H$102,5,FALSE)-VLOOKUP($A37,main!$A$3:$H$102,6,FALSE)&gt;=main!$D$103+VLOOKUP(VLOOKUP(BJ$1,main!$A$3:$I$102,7,FALSE),main!$K$26:$Q$29,3,FALSE),1,0)</f>
        <v>0</v>
      </c>
      <c r="BK37">
        <f>IF(VLOOKUP(BK$1,main!$A$3:$H$102,5,FALSE)-VLOOKUP($A37,main!$A$3:$H$102,6,FALSE)&gt;=main!$D$103+VLOOKUP(VLOOKUP(BK$1,main!$A$3:$I$102,7,FALSE),main!$K$26:$Q$29,3,FALSE),1,0)</f>
        <v>0</v>
      </c>
      <c r="BL37">
        <f>IF(VLOOKUP(BL$1,main!$A$3:$H$102,5,FALSE)-VLOOKUP($A37,main!$A$3:$H$102,6,FALSE)&gt;=main!$D$103+VLOOKUP(VLOOKUP(BL$1,main!$A$3:$I$102,7,FALSE),main!$K$26:$Q$29,3,FALSE),1,0)</f>
        <v>0</v>
      </c>
      <c r="BM37">
        <f>IF(VLOOKUP(BM$1,main!$A$3:$H$102,5,FALSE)-VLOOKUP($A37,main!$A$3:$H$102,6,FALSE)&gt;=main!$D$103+VLOOKUP(VLOOKUP(BM$1,main!$A$3:$I$102,7,FALSE),main!$K$26:$Q$29,3,FALSE),1,0)</f>
        <v>0</v>
      </c>
      <c r="BN37">
        <f>IF(VLOOKUP(BN$1,main!$A$3:$H$102,5,FALSE)-VLOOKUP($A37,main!$A$3:$H$102,6,FALSE)&gt;=main!$D$103+VLOOKUP(VLOOKUP(BN$1,main!$A$3:$I$102,7,FALSE),main!$K$26:$Q$29,3,FALSE),1,0)</f>
        <v>0</v>
      </c>
      <c r="BO37">
        <f>IF(VLOOKUP(BO$1,main!$A$3:$H$102,5,FALSE)-VLOOKUP($A37,main!$A$3:$H$102,6,FALSE)&gt;=main!$D$103+VLOOKUP(VLOOKUP(BO$1,main!$A$3:$I$102,7,FALSE),main!$K$26:$Q$29,3,FALSE),1,0)</f>
        <v>0</v>
      </c>
      <c r="BP37">
        <f>IF(VLOOKUP(BP$1,main!$A$3:$H$102,5,FALSE)-VLOOKUP($A37,main!$A$3:$H$102,6,FALSE)&gt;=main!$D$103+VLOOKUP(VLOOKUP(BP$1,main!$A$3:$I$102,7,FALSE),main!$K$26:$Q$29,3,FALSE),1,0)</f>
        <v>0</v>
      </c>
      <c r="BQ37">
        <f>IF(VLOOKUP(BQ$1,main!$A$3:$H$102,5,FALSE)-VLOOKUP($A37,main!$A$3:$H$102,6,FALSE)&gt;=main!$D$103+VLOOKUP(VLOOKUP(BQ$1,main!$A$3:$I$102,7,FALSE),main!$K$26:$Q$29,3,FALSE),1,0)</f>
        <v>0</v>
      </c>
      <c r="BR37">
        <f>IF(VLOOKUP(BR$1,main!$A$3:$H$102,5,FALSE)-VLOOKUP($A37,main!$A$3:$H$102,6,FALSE)&gt;=main!$D$103+VLOOKUP(VLOOKUP(BR$1,main!$A$3:$I$102,7,FALSE),main!$K$26:$Q$29,3,FALSE),1,0)</f>
        <v>0</v>
      </c>
      <c r="BS37">
        <f>IF(VLOOKUP(BS$1,main!$A$3:$H$102,5,FALSE)-VLOOKUP($A37,main!$A$3:$H$102,6,FALSE)&gt;=main!$D$103+VLOOKUP(VLOOKUP(BS$1,main!$A$3:$I$102,7,FALSE),main!$K$26:$Q$29,3,FALSE),1,0)</f>
        <v>0</v>
      </c>
      <c r="BT37">
        <f>IF(VLOOKUP(BT$1,main!$A$3:$H$102,5,FALSE)-VLOOKUP($A37,main!$A$3:$H$102,6,FALSE)&gt;=main!$D$103+VLOOKUP(VLOOKUP(BT$1,main!$A$3:$I$102,7,FALSE),main!$K$26:$Q$29,3,FALSE),1,0)</f>
        <v>0</v>
      </c>
      <c r="BU37">
        <f>IF(VLOOKUP(BU$1,main!$A$3:$H$102,5,FALSE)-VLOOKUP($A37,main!$A$3:$H$102,6,FALSE)&gt;=main!$D$103+VLOOKUP(VLOOKUP(BU$1,main!$A$3:$I$102,7,FALSE),main!$K$26:$Q$29,3,FALSE),1,0)</f>
        <v>0</v>
      </c>
      <c r="BV37">
        <f>IF(VLOOKUP(BV$1,main!$A$3:$H$102,5,FALSE)-VLOOKUP($A37,main!$A$3:$H$102,6,FALSE)&gt;=main!$D$103+VLOOKUP(VLOOKUP(BV$1,main!$A$3:$I$102,7,FALSE),main!$K$26:$Q$29,3,FALSE),1,0)</f>
        <v>0</v>
      </c>
      <c r="BW37">
        <f>IF(VLOOKUP(BW$1,main!$A$3:$H$102,5,FALSE)-VLOOKUP($A37,main!$A$3:$H$102,6,FALSE)&gt;=main!$D$103+VLOOKUP(VLOOKUP(BW$1,main!$A$3:$I$102,7,FALSE),main!$K$26:$Q$29,3,FALSE),1,0)</f>
        <v>0</v>
      </c>
      <c r="BX37">
        <f>IF(VLOOKUP(BX$1,main!$A$3:$H$102,5,FALSE)-VLOOKUP($A37,main!$A$3:$H$102,6,FALSE)&gt;=main!$D$103+VLOOKUP(VLOOKUP(BX$1,main!$A$3:$I$102,7,FALSE),main!$K$26:$Q$29,3,FALSE),1,0)</f>
        <v>0</v>
      </c>
      <c r="BY37">
        <f>IF(VLOOKUP(BY$1,main!$A$3:$H$102,5,FALSE)-VLOOKUP($A37,main!$A$3:$H$102,6,FALSE)&gt;=main!$D$103+VLOOKUP(VLOOKUP(BY$1,main!$A$3:$I$102,7,FALSE),main!$K$26:$Q$29,3,FALSE),1,0)</f>
        <v>0</v>
      </c>
      <c r="BZ37">
        <f>IF(VLOOKUP(BZ$1,main!$A$3:$H$102,5,FALSE)-VLOOKUP($A37,main!$A$3:$H$102,6,FALSE)&gt;=main!$D$103+VLOOKUP(VLOOKUP(BZ$1,main!$A$3:$I$102,7,FALSE),main!$K$26:$Q$29,3,FALSE),1,0)</f>
        <v>0</v>
      </c>
      <c r="CA37">
        <f>IF(VLOOKUP(CA$1,main!$A$3:$H$102,5,FALSE)-VLOOKUP($A37,main!$A$3:$H$102,6,FALSE)&gt;=main!$D$103+VLOOKUP(VLOOKUP(CA$1,main!$A$3:$I$102,7,FALSE),main!$K$26:$Q$29,3,FALSE),1,0)</f>
        <v>0</v>
      </c>
      <c r="CB37">
        <f>IF(VLOOKUP(CB$1,main!$A$3:$H$102,5,FALSE)-VLOOKUP($A37,main!$A$3:$H$102,6,FALSE)&gt;=main!$D$103+VLOOKUP(VLOOKUP(CB$1,main!$A$3:$I$102,7,FALSE),main!$K$26:$Q$29,3,FALSE),1,0)</f>
        <v>0</v>
      </c>
      <c r="CC37">
        <f>IF(VLOOKUP(CC$1,main!$A$3:$H$102,5,FALSE)-VLOOKUP($A37,main!$A$3:$H$102,6,FALSE)&gt;=main!$D$103+VLOOKUP(VLOOKUP(CC$1,main!$A$3:$I$102,7,FALSE),main!$K$26:$Q$29,3,FALSE),1,0)</f>
        <v>1</v>
      </c>
      <c r="CD37">
        <f>IF(VLOOKUP(CD$1,main!$A$3:$H$102,5,FALSE)-VLOOKUP($A37,main!$A$3:$H$102,6,FALSE)&gt;=main!$D$103+VLOOKUP(VLOOKUP(CD$1,main!$A$3:$I$102,7,FALSE),main!$K$26:$Q$29,3,FALSE),1,0)</f>
        <v>0</v>
      </c>
      <c r="CE37">
        <f>IF(VLOOKUP(CE$1,main!$A$3:$H$102,5,FALSE)-VLOOKUP($A37,main!$A$3:$H$102,6,FALSE)&gt;=main!$D$103+VLOOKUP(VLOOKUP(CE$1,main!$A$3:$I$102,7,FALSE),main!$K$26:$Q$29,3,FALSE),1,0)</f>
        <v>0</v>
      </c>
      <c r="CF37">
        <f>IF(VLOOKUP(CF$1,main!$A$3:$H$102,5,FALSE)-VLOOKUP($A37,main!$A$3:$H$102,6,FALSE)&gt;=main!$D$103+VLOOKUP(VLOOKUP(CF$1,main!$A$3:$I$102,7,FALSE),main!$K$26:$Q$29,3,FALSE),1,0)</f>
        <v>0</v>
      </c>
      <c r="CG37">
        <f>IF(VLOOKUP(CG$1,main!$A$3:$H$102,5,FALSE)-VLOOKUP($A37,main!$A$3:$H$102,6,FALSE)&gt;=main!$D$103+VLOOKUP(VLOOKUP(CG$1,main!$A$3:$I$102,7,FALSE),main!$K$26:$Q$29,3,FALSE),1,0)</f>
        <v>0</v>
      </c>
      <c r="CH37">
        <f>IF(VLOOKUP(CH$1,main!$A$3:$H$102,5,FALSE)-VLOOKUP($A37,main!$A$3:$H$102,6,FALSE)&gt;=main!$D$103+VLOOKUP(VLOOKUP(CH$1,main!$A$3:$I$102,7,FALSE),main!$K$26:$Q$29,3,FALSE),1,0)</f>
        <v>0</v>
      </c>
      <c r="CI37">
        <f>IF(VLOOKUP(CI$1,main!$A$3:$H$102,5,FALSE)-VLOOKUP($A37,main!$A$3:$H$102,6,FALSE)&gt;=main!$D$103+VLOOKUP(VLOOKUP(CI$1,main!$A$3:$I$102,7,FALSE),main!$K$26:$Q$29,3,FALSE),1,0)</f>
        <v>1</v>
      </c>
      <c r="CJ37">
        <f>IF(VLOOKUP(CJ$1,main!$A$3:$H$102,5,FALSE)-VLOOKUP($A37,main!$A$3:$H$102,6,FALSE)&gt;=main!$D$103+VLOOKUP(VLOOKUP(CJ$1,main!$A$3:$I$102,7,FALSE),main!$K$26:$Q$29,3,FALSE),1,0)</f>
        <v>0</v>
      </c>
      <c r="CK37">
        <f>IF(VLOOKUP(CK$1,main!$A$3:$H$102,5,FALSE)-VLOOKUP($A37,main!$A$3:$H$102,6,FALSE)&gt;=main!$D$103+VLOOKUP(VLOOKUP(CK$1,main!$A$3:$I$102,7,FALSE),main!$K$26:$Q$29,3,FALSE),1,0)</f>
        <v>0</v>
      </c>
      <c r="CL37">
        <f>IF(VLOOKUP(CL$1,main!$A$3:$H$102,5,FALSE)-VLOOKUP($A37,main!$A$3:$H$102,6,FALSE)&gt;=main!$D$103+VLOOKUP(VLOOKUP(CL$1,main!$A$3:$I$102,7,FALSE),main!$K$26:$Q$29,3,FALSE),1,0)</f>
        <v>0</v>
      </c>
      <c r="CM37">
        <f>IF(VLOOKUP(CM$1,main!$A$3:$H$102,5,FALSE)-VLOOKUP($A37,main!$A$3:$H$102,6,FALSE)&gt;=main!$D$103+VLOOKUP(VLOOKUP(CM$1,main!$A$3:$I$102,7,FALSE),main!$K$26:$Q$29,3,FALSE),1,0)</f>
        <v>0</v>
      </c>
      <c r="CN37">
        <f>IF(VLOOKUP(CN$1,main!$A$3:$H$102,5,FALSE)-VLOOKUP($A37,main!$A$3:$H$102,6,FALSE)&gt;=main!$D$103+VLOOKUP(VLOOKUP(CN$1,main!$A$3:$I$102,7,FALSE),main!$K$26:$Q$29,3,FALSE),1,0)</f>
        <v>1</v>
      </c>
      <c r="CO37">
        <f>IF(VLOOKUP(CO$1,main!$A$3:$H$102,5,FALSE)-VLOOKUP($A37,main!$A$3:$H$102,6,FALSE)&gt;=main!$D$103+VLOOKUP(VLOOKUP(CO$1,main!$A$3:$I$102,7,FALSE),main!$K$26:$Q$29,3,FALSE),1,0)</f>
        <v>0</v>
      </c>
      <c r="CP37">
        <f>IF(VLOOKUP(CP$1,main!$A$3:$H$102,5,FALSE)-VLOOKUP($A37,main!$A$3:$H$102,6,FALSE)&gt;=main!$D$103+VLOOKUP(VLOOKUP(CP$1,main!$A$3:$I$102,7,FALSE),main!$K$26:$Q$29,3,FALSE),1,0)</f>
        <v>0</v>
      </c>
      <c r="CQ37">
        <f>IF(VLOOKUP(CQ$1,main!$A$3:$H$102,5,FALSE)-VLOOKUP($A37,main!$A$3:$H$102,6,FALSE)&gt;=main!$D$103+VLOOKUP(VLOOKUP(CQ$1,main!$A$3:$I$102,7,FALSE),main!$K$26:$Q$29,3,FALSE),1,0)</f>
        <v>0</v>
      </c>
      <c r="CR37">
        <f>IF(VLOOKUP(CR$1,main!$A$3:$H$102,5,FALSE)-VLOOKUP($A37,main!$A$3:$H$102,6,FALSE)&gt;=main!$D$103+VLOOKUP(VLOOKUP(CR$1,main!$A$3:$I$102,7,FALSE),main!$K$26:$Q$29,3,FALSE),1,0)</f>
        <v>0</v>
      </c>
      <c r="CS37">
        <f>IF(VLOOKUP(CS$1,main!$A$3:$H$102,5,FALSE)-VLOOKUP($A37,main!$A$3:$H$102,6,FALSE)&gt;=main!$D$103+VLOOKUP(VLOOKUP(CS$1,main!$A$3:$I$102,7,FALSE),main!$K$26:$Q$29,3,FALSE),1,0)</f>
        <v>0</v>
      </c>
      <c r="CT37">
        <f>IF(VLOOKUP(CT$1,main!$A$3:$H$102,5,FALSE)-VLOOKUP($A37,main!$A$3:$H$102,6,FALSE)&gt;=main!$D$103+VLOOKUP(VLOOKUP(CT$1,main!$A$3:$I$102,7,FALSE),main!$K$26:$Q$29,3,FALSE),1,0)</f>
        <v>0</v>
      </c>
      <c r="CU37">
        <f>IF(VLOOKUP(CU$1,main!$A$3:$H$102,5,FALSE)-VLOOKUP($A37,main!$A$3:$H$102,6,FALSE)&gt;=main!$D$103+VLOOKUP(VLOOKUP(CU$1,main!$A$3:$I$102,7,FALSE),main!$K$26:$Q$29,3,FALSE),1,0)</f>
        <v>0</v>
      </c>
      <c r="CV37">
        <f>IF(VLOOKUP(CV$1,main!$A$3:$H$102,5,FALSE)-VLOOKUP($A37,main!$A$3:$H$102,6,FALSE)&gt;=main!$D$103+VLOOKUP(VLOOKUP(CV$1,main!$A$3:$I$102,7,FALSE),main!$K$26:$Q$29,3,FALSE),1,0)</f>
        <v>0</v>
      </c>
      <c r="CW37">
        <f>IF(VLOOKUP(CW$1,main!$A$3:$H$102,5,FALSE)-VLOOKUP($A37,main!$A$3:$H$102,6,FALSE)&gt;=main!$D$103+VLOOKUP(VLOOKUP(CW$1,main!$A$3:$I$102,7,FALSE),main!$K$26:$Q$29,3,FALSE),1,0)</f>
        <v>0</v>
      </c>
      <c r="CX37">
        <f>IF(VLOOKUP(CX$1,main!$A$3:$H$102,5,FALSE)-VLOOKUP($A37,main!$A$3:$H$102,6,FALSE)&gt;=main!$D$103+VLOOKUP(VLOOKUP(CX$1,main!$A$3:$I$102,7,FALSE),main!$K$26:$Q$29,3,FALSE),1,0)</f>
        <v>0</v>
      </c>
    </row>
    <row r="38" spans="1:102" x14ac:dyDescent="0.25">
      <c r="A38" s="1">
        <v>36</v>
      </c>
      <c r="B38">
        <v>0</v>
      </c>
      <c r="C38">
        <f>IF(VLOOKUP(C$1,main!$A$3:$H$102,5,FALSE)-VLOOKUP($A38,main!$A$3:$H$102,6,FALSE)&gt;=main!$D$103+VLOOKUP(VLOOKUP(C$1,main!$A$3:$I$102,7,FALSE),main!$K$26:$Q$29,3,FALSE),1,0)</f>
        <v>0</v>
      </c>
      <c r="D38">
        <f>IF(VLOOKUP(D$1,main!$A$3:$H$102,5,FALSE)-VLOOKUP($A38,main!$A$3:$H$102,6,FALSE)&gt;=main!$D$103+VLOOKUP(VLOOKUP(D$1,main!$A$3:$I$102,7,FALSE),main!$K$26:$Q$29,3,FALSE),1,0)</f>
        <v>0</v>
      </c>
      <c r="E38">
        <f>IF(VLOOKUP(E$1,main!$A$3:$H$102,5,FALSE)-VLOOKUP($A38,main!$A$3:$H$102,6,FALSE)&gt;=main!$D$103+VLOOKUP(VLOOKUP(E$1,main!$A$3:$I$102,7,FALSE),main!$K$26:$Q$29,3,FALSE),1,0)</f>
        <v>0</v>
      </c>
      <c r="F38">
        <f>IF(VLOOKUP(F$1,main!$A$3:$H$102,5,FALSE)-VLOOKUP($A38,main!$A$3:$H$102,6,FALSE)&gt;=main!$D$103+VLOOKUP(VLOOKUP(F$1,main!$A$3:$I$102,7,FALSE),main!$K$26:$Q$29,3,FALSE),1,0)</f>
        <v>0</v>
      </c>
      <c r="G38">
        <f>IF(VLOOKUP(G$1,main!$A$3:$H$102,5,FALSE)-VLOOKUP($A38,main!$A$3:$H$102,6,FALSE)&gt;=main!$D$103+VLOOKUP(VLOOKUP(G$1,main!$A$3:$I$102,7,FALSE),main!$K$26:$Q$29,3,FALSE),1,0)</f>
        <v>0</v>
      </c>
      <c r="H38">
        <f>IF(VLOOKUP(H$1,main!$A$3:$H$102,5,FALSE)-VLOOKUP($A38,main!$A$3:$H$102,6,FALSE)&gt;=main!$D$103+VLOOKUP(VLOOKUP(H$1,main!$A$3:$I$102,7,FALSE),main!$K$26:$Q$29,3,FALSE),1,0)</f>
        <v>0</v>
      </c>
      <c r="I38">
        <f>IF(VLOOKUP(I$1,main!$A$3:$H$102,5,FALSE)-VLOOKUP($A38,main!$A$3:$H$102,6,FALSE)&gt;=main!$D$103+VLOOKUP(VLOOKUP(I$1,main!$A$3:$I$102,7,FALSE),main!$K$26:$Q$29,3,FALSE),1,0)</f>
        <v>0</v>
      </c>
      <c r="J38">
        <f>IF(VLOOKUP(J$1,main!$A$3:$H$102,5,FALSE)-VLOOKUP($A38,main!$A$3:$H$102,6,FALSE)&gt;=main!$D$103+VLOOKUP(VLOOKUP(J$1,main!$A$3:$I$102,7,FALSE),main!$K$26:$Q$29,3,FALSE),1,0)</f>
        <v>0</v>
      </c>
      <c r="K38">
        <f>IF(VLOOKUP(K$1,main!$A$3:$H$102,5,FALSE)-VLOOKUP($A38,main!$A$3:$H$102,6,FALSE)&gt;=main!$D$103+VLOOKUP(VLOOKUP(K$1,main!$A$3:$I$102,7,FALSE),main!$K$26:$Q$29,3,FALSE),1,0)</f>
        <v>0</v>
      </c>
      <c r="L38">
        <f>IF(VLOOKUP(L$1,main!$A$3:$H$102,5,FALSE)-VLOOKUP($A38,main!$A$3:$H$102,6,FALSE)&gt;=main!$D$103+VLOOKUP(VLOOKUP(L$1,main!$A$3:$I$102,7,FALSE),main!$K$26:$Q$29,3,FALSE),1,0)</f>
        <v>0</v>
      </c>
      <c r="M38">
        <f>IF(VLOOKUP(M$1,main!$A$3:$H$102,5,FALSE)-VLOOKUP($A38,main!$A$3:$H$102,6,FALSE)&gt;=main!$D$103+VLOOKUP(VLOOKUP(M$1,main!$A$3:$I$102,7,FALSE),main!$K$26:$Q$29,3,FALSE),1,0)</f>
        <v>0</v>
      </c>
      <c r="N38">
        <f>IF(VLOOKUP(N$1,main!$A$3:$H$102,5,FALSE)-VLOOKUP($A38,main!$A$3:$H$102,6,FALSE)&gt;=main!$D$103+VLOOKUP(VLOOKUP(N$1,main!$A$3:$I$102,7,FALSE),main!$K$26:$Q$29,3,FALSE),1,0)</f>
        <v>0</v>
      </c>
      <c r="O38">
        <f>IF(VLOOKUP(O$1,main!$A$3:$H$102,5,FALSE)-VLOOKUP($A38,main!$A$3:$H$102,6,FALSE)&gt;=main!$D$103+VLOOKUP(VLOOKUP(O$1,main!$A$3:$I$102,7,FALSE),main!$K$26:$Q$29,3,FALSE),1,0)</f>
        <v>0</v>
      </c>
      <c r="P38">
        <f>IF(VLOOKUP(P$1,main!$A$3:$H$102,5,FALSE)-VLOOKUP($A38,main!$A$3:$H$102,6,FALSE)&gt;=main!$D$103+VLOOKUP(VLOOKUP(P$1,main!$A$3:$I$102,7,FALSE),main!$K$26:$Q$29,3,FALSE),1,0)</f>
        <v>0</v>
      </c>
      <c r="Q38">
        <f>IF(VLOOKUP(Q$1,main!$A$3:$H$102,5,FALSE)-VLOOKUP($A38,main!$A$3:$H$102,6,FALSE)&gt;=main!$D$103+VLOOKUP(VLOOKUP(Q$1,main!$A$3:$I$102,7,FALSE),main!$K$26:$Q$29,3,FALSE),1,0)</f>
        <v>0</v>
      </c>
      <c r="R38">
        <f>IF(VLOOKUP(R$1,main!$A$3:$H$102,5,FALSE)-VLOOKUP($A38,main!$A$3:$H$102,6,FALSE)&gt;=main!$D$103+VLOOKUP(VLOOKUP(R$1,main!$A$3:$I$102,7,FALSE),main!$K$26:$Q$29,3,FALSE),1,0)</f>
        <v>0</v>
      </c>
      <c r="S38">
        <f>IF(VLOOKUP(S$1,main!$A$3:$H$102,5,FALSE)-VLOOKUP($A38,main!$A$3:$H$102,6,FALSE)&gt;=main!$D$103+VLOOKUP(VLOOKUP(S$1,main!$A$3:$I$102,7,FALSE),main!$K$26:$Q$29,3,FALSE),1,0)</f>
        <v>0</v>
      </c>
      <c r="T38">
        <f>IF(VLOOKUP(T$1,main!$A$3:$H$102,5,FALSE)-VLOOKUP($A38,main!$A$3:$H$102,6,FALSE)&gt;=main!$D$103+VLOOKUP(VLOOKUP(T$1,main!$A$3:$I$102,7,FALSE),main!$K$26:$Q$29,3,FALSE),1,0)</f>
        <v>0</v>
      </c>
      <c r="U38">
        <f>IF(VLOOKUP(U$1,main!$A$3:$H$102,5,FALSE)-VLOOKUP($A38,main!$A$3:$H$102,6,FALSE)&gt;=main!$D$103+VLOOKUP(VLOOKUP(U$1,main!$A$3:$I$102,7,FALSE),main!$K$26:$Q$29,3,FALSE),1,0)</f>
        <v>0</v>
      </c>
      <c r="V38">
        <f>IF(VLOOKUP(V$1,main!$A$3:$H$102,5,FALSE)-VLOOKUP($A38,main!$A$3:$H$102,6,FALSE)&gt;=main!$D$103+VLOOKUP(VLOOKUP(V$1,main!$A$3:$I$102,7,FALSE),main!$K$26:$Q$29,3,FALSE),1,0)</f>
        <v>1</v>
      </c>
      <c r="W38">
        <f>IF(VLOOKUP(W$1,main!$A$3:$H$102,5,FALSE)-VLOOKUP($A38,main!$A$3:$H$102,6,FALSE)&gt;=main!$D$103+VLOOKUP(VLOOKUP(W$1,main!$A$3:$I$102,7,FALSE),main!$K$26:$Q$29,3,FALSE),1,0)</f>
        <v>0</v>
      </c>
      <c r="X38">
        <f>IF(VLOOKUP(X$1,main!$A$3:$H$102,5,FALSE)-VLOOKUP($A38,main!$A$3:$H$102,6,FALSE)&gt;=main!$D$103+VLOOKUP(VLOOKUP(X$1,main!$A$3:$I$102,7,FALSE),main!$K$26:$Q$29,3,FALSE),1,0)</f>
        <v>0</v>
      </c>
      <c r="Y38">
        <f>IF(VLOOKUP(Y$1,main!$A$3:$H$102,5,FALSE)-VLOOKUP($A38,main!$A$3:$H$102,6,FALSE)&gt;=main!$D$103+VLOOKUP(VLOOKUP(Y$1,main!$A$3:$I$102,7,FALSE),main!$K$26:$Q$29,3,FALSE),1,0)</f>
        <v>0</v>
      </c>
      <c r="Z38">
        <f>IF(VLOOKUP(Z$1,main!$A$3:$H$102,5,FALSE)-VLOOKUP($A38,main!$A$3:$H$102,6,FALSE)&gt;=main!$D$103+VLOOKUP(VLOOKUP(Z$1,main!$A$3:$I$102,7,FALSE),main!$K$26:$Q$29,3,FALSE),1,0)</f>
        <v>0</v>
      </c>
      <c r="AA38">
        <f>IF(VLOOKUP(AA$1,main!$A$3:$H$102,5,FALSE)-VLOOKUP($A38,main!$A$3:$H$102,6,FALSE)&gt;=main!$D$103+VLOOKUP(VLOOKUP(AA$1,main!$A$3:$I$102,7,FALSE),main!$K$26:$Q$29,3,FALSE),1,0)</f>
        <v>0</v>
      </c>
      <c r="AB38">
        <f>IF(VLOOKUP(AB$1,main!$A$3:$H$102,5,FALSE)-VLOOKUP($A38,main!$A$3:$H$102,6,FALSE)&gt;=main!$D$103+VLOOKUP(VLOOKUP(AB$1,main!$A$3:$I$102,7,FALSE),main!$K$26:$Q$29,3,FALSE),1,0)</f>
        <v>0</v>
      </c>
      <c r="AC38">
        <f>IF(VLOOKUP(AC$1,main!$A$3:$H$102,5,FALSE)-VLOOKUP($A38,main!$A$3:$H$102,6,FALSE)&gt;=main!$D$103+VLOOKUP(VLOOKUP(AC$1,main!$A$3:$I$102,7,FALSE),main!$K$26:$Q$29,3,FALSE),1,0)</f>
        <v>0</v>
      </c>
      <c r="AD38">
        <f>IF(VLOOKUP(AD$1,main!$A$3:$H$102,5,FALSE)-VLOOKUP($A38,main!$A$3:$H$102,6,FALSE)&gt;=main!$D$103+VLOOKUP(VLOOKUP(AD$1,main!$A$3:$I$102,7,FALSE),main!$K$26:$Q$29,3,FALSE),1,0)</f>
        <v>0</v>
      </c>
      <c r="AE38">
        <f>IF(VLOOKUP(AE$1,main!$A$3:$H$102,5,FALSE)-VLOOKUP($A38,main!$A$3:$H$102,6,FALSE)&gt;=main!$D$103+VLOOKUP(VLOOKUP(AE$1,main!$A$3:$I$102,7,FALSE),main!$K$26:$Q$29,3,FALSE),1,0)</f>
        <v>0</v>
      </c>
      <c r="AF38">
        <f>IF(VLOOKUP(AF$1,main!$A$3:$H$102,5,FALSE)-VLOOKUP($A38,main!$A$3:$H$102,6,FALSE)&gt;=main!$D$103+VLOOKUP(VLOOKUP(AF$1,main!$A$3:$I$102,7,FALSE),main!$K$26:$Q$29,3,FALSE),1,0)</f>
        <v>0</v>
      </c>
      <c r="AG38">
        <f>IF(VLOOKUP(AG$1,main!$A$3:$H$102,5,FALSE)-VLOOKUP($A38,main!$A$3:$H$102,6,FALSE)&gt;=main!$D$103+VLOOKUP(VLOOKUP(AG$1,main!$A$3:$I$102,7,FALSE),main!$K$26:$Q$29,3,FALSE),1,0)</f>
        <v>0</v>
      </c>
      <c r="AH38">
        <f>IF(VLOOKUP(AH$1,main!$A$3:$H$102,5,FALSE)-VLOOKUP($A38,main!$A$3:$H$102,6,FALSE)&gt;=main!$D$103+VLOOKUP(VLOOKUP(AH$1,main!$A$3:$I$102,7,FALSE),main!$K$26:$Q$29,3,FALSE),1,0)</f>
        <v>0</v>
      </c>
      <c r="AI38">
        <f>IF(VLOOKUP(AI$1,main!$A$3:$H$102,5,FALSE)-VLOOKUP($A38,main!$A$3:$H$102,6,FALSE)&gt;=main!$D$103+VLOOKUP(VLOOKUP(AI$1,main!$A$3:$I$102,7,FALSE),main!$K$26:$Q$29,3,FALSE),1,0)</f>
        <v>0</v>
      </c>
      <c r="AJ38">
        <f>IF(VLOOKUP(AJ$1,main!$A$3:$H$102,5,FALSE)-VLOOKUP($A38,main!$A$3:$H$102,6,FALSE)&gt;=main!$D$103+VLOOKUP(VLOOKUP(AJ$1,main!$A$3:$I$102,7,FALSE),main!$K$26:$Q$29,3,FALSE),1,0)</f>
        <v>0</v>
      </c>
      <c r="AK38">
        <f>IF(VLOOKUP(AK$1,main!$A$3:$H$102,5,FALSE)-VLOOKUP($A38,main!$A$3:$H$102,6,FALSE)&gt;=main!$D$103+VLOOKUP(VLOOKUP(AK$1,main!$A$3:$I$102,7,FALSE),main!$K$26:$Q$29,3,FALSE),1,0)</f>
        <v>0</v>
      </c>
      <c r="AL38">
        <f>IF(VLOOKUP(AL$1,main!$A$3:$H$102,5,FALSE)-VLOOKUP($A38,main!$A$3:$H$102,6,FALSE)&gt;=main!$D$103+VLOOKUP(VLOOKUP(AL$1,main!$A$3:$I$102,7,FALSE),main!$K$26:$Q$29,3,FALSE),1,0)</f>
        <v>0</v>
      </c>
      <c r="AM38">
        <f>IF(VLOOKUP(AM$1,main!$A$3:$H$102,5,FALSE)-VLOOKUP($A38,main!$A$3:$H$102,6,FALSE)&gt;=main!$D$103+VLOOKUP(VLOOKUP(AM$1,main!$A$3:$I$102,7,FALSE),main!$K$26:$Q$29,3,FALSE),1,0)</f>
        <v>0</v>
      </c>
      <c r="AN38">
        <f>IF(VLOOKUP(AN$1,main!$A$3:$H$102,5,FALSE)-VLOOKUP($A38,main!$A$3:$H$102,6,FALSE)&gt;=main!$D$103+VLOOKUP(VLOOKUP(AN$1,main!$A$3:$I$102,7,FALSE),main!$K$26:$Q$29,3,FALSE),1,0)</f>
        <v>0</v>
      </c>
      <c r="AO38">
        <f>IF(VLOOKUP(AO$1,main!$A$3:$H$102,5,FALSE)-VLOOKUP($A38,main!$A$3:$H$102,6,FALSE)&gt;=main!$D$103+VLOOKUP(VLOOKUP(AO$1,main!$A$3:$I$102,7,FALSE),main!$K$26:$Q$29,3,FALSE),1,0)</f>
        <v>0</v>
      </c>
      <c r="AP38">
        <f>IF(VLOOKUP(AP$1,main!$A$3:$H$102,5,FALSE)-VLOOKUP($A38,main!$A$3:$H$102,6,FALSE)&gt;=main!$D$103+VLOOKUP(VLOOKUP(AP$1,main!$A$3:$I$102,7,FALSE),main!$K$26:$Q$29,3,FALSE),1,0)</f>
        <v>0</v>
      </c>
      <c r="AQ38">
        <f>IF(VLOOKUP(AQ$1,main!$A$3:$H$102,5,FALSE)-VLOOKUP($A38,main!$A$3:$H$102,6,FALSE)&gt;=main!$D$103+VLOOKUP(VLOOKUP(AQ$1,main!$A$3:$I$102,7,FALSE),main!$K$26:$Q$29,3,FALSE),1,0)</f>
        <v>0</v>
      </c>
      <c r="AR38">
        <f>IF(VLOOKUP(AR$1,main!$A$3:$H$102,5,FALSE)-VLOOKUP($A38,main!$A$3:$H$102,6,FALSE)&gt;=main!$D$103+VLOOKUP(VLOOKUP(AR$1,main!$A$3:$I$102,7,FALSE),main!$K$26:$Q$29,3,FALSE),1,0)</f>
        <v>0</v>
      </c>
      <c r="AS38">
        <f>IF(VLOOKUP(AS$1,main!$A$3:$H$102,5,FALSE)-VLOOKUP($A38,main!$A$3:$H$102,6,FALSE)&gt;=main!$D$103+VLOOKUP(VLOOKUP(AS$1,main!$A$3:$I$102,7,FALSE),main!$K$26:$Q$29,3,FALSE),1,0)</f>
        <v>0</v>
      </c>
      <c r="AT38">
        <f>IF(VLOOKUP(AT$1,main!$A$3:$H$102,5,FALSE)-VLOOKUP($A38,main!$A$3:$H$102,6,FALSE)&gt;=main!$D$103+VLOOKUP(VLOOKUP(AT$1,main!$A$3:$I$102,7,FALSE),main!$K$26:$Q$29,3,FALSE),1,0)</f>
        <v>0</v>
      </c>
      <c r="AU38">
        <f>IF(VLOOKUP(AU$1,main!$A$3:$H$102,5,FALSE)-VLOOKUP($A38,main!$A$3:$H$102,6,FALSE)&gt;=main!$D$103+VLOOKUP(VLOOKUP(AU$1,main!$A$3:$I$102,7,FALSE),main!$K$26:$Q$29,3,FALSE),1,0)</f>
        <v>0</v>
      </c>
      <c r="AV38">
        <f>IF(VLOOKUP(AV$1,main!$A$3:$H$102,5,FALSE)-VLOOKUP($A38,main!$A$3:$H$102,6,FALSE)&gt;=main!$D$103+VLOOKUP(VLOOKUP(AV$1,main!$A$3:$I$102,7,FALSE),main!$K$26:$Q$29,3,FALSE),1,0)</f>
        <v>0</v>
      </c>
      <c r="AW38">
        <f>IF(VLOOKUP(AW$1,main!$A$3:$H$102,5,FALSE)-VLOOKUP($A38,main!$A$3:$H$102,6,FALSE)&gt;=main!$D$103+VLOOKUP(VLOOKUP(AW$1,main!$A$3:$I$102,7,FALSE),main!$K$26:$Q$29,3,FALSE),1,0)</f>
        <v>0</v>
      </c>
      <c r="AX38">
        <f>IF(VLOOKUP(AX$1,main!$A$3:$H$102,5,FALSE)-VLOOKUP($A38,main!$A$3:$H$102,6,FALSE)&gt;=main!$D$103+VLOOKUP(VLOOKUP(AX$1,main!$A$3:$I$102,7,FALSE),main!$K$26:$Q$29,3,FALSE),1,0)</f>
        <v>0</v>
      </c>
      <c r="AY38">
        <f>IF(VLOOKUP(AY$1,main!$A$3:$H$102,5,FALSE)-VLOOKUP($A38,main!$A$3:$H$102,6,FALSE)&gt;=main!$D$103+VLOOKUP(VLOOKUP(AY$1,main!$A$3:$I$102,7,FALSE),main!$K$26:$Q$29,3,FALSE),1,0)</f>
        <v>0</v>
      </c>
      <c r="AZ38">
        <f>IF(VLOOKUP(AZ$1,main!$A$3:$H$102,5,FALSE)-VLOOKUP($A38,main!$A$3:$H$102,6,FALSE)&gt;=main!$D$103+VLOOKUP(VLOOKUP(AZ$1,main!$A$3:$I$102,7,FALSE),main!$K$26:$Q$29,3,FALSE),1,0)</f>
        <v>0</v>
      </c>
      <c r="BA38">
        <f>IF(VLOOKUP(BA$1,main!$A$3:$H$102,5,FALSE)-VLOOKUP($A38,main!$A$3:$H$102,6,FALSE)&gt;=main!$D$103+VLOOKUP(VLOOKUP(BA$1,main!$A$3:$I$102,7,FALSE),main!$K$26:$Q$29,3,FALSE),1,0)</f>
        <v>0</v>
      </c>
      <c r="BB38">
        <f>IF(VLOOKUP(BB$1,main!$A$3:$H$102,5,FALSE)-VLOOKUP($A38,main!$A$3:$H$102,6,FALSE)&gt;=main!$D$103+VLOOKUP(VLOOKUP(BB$1,main!$A$3:$I$102,7,FALSE),main!$K$26:$Q$29,3,FALSE),1,0)</f>
        <v>0</v>
      </c>
      <c r="BC38">
        <f>IF(VLOOKUP(BC$1,main!$A$3:$H$102,5,FALSE)-VLOOKUP($A38,main!$A$3:$H$102,6,FALSE)&gt;=main!$D$103+VLOOKUP(VLOOKUP(BC$1,main!$A$3:$I$102,7,FALSE),main!$K$26:$Q$29,3,FALSE),1,0)</f>
        <v>0</v>
      </c>
      <c r="BD38">
        <f>IF(VLOOKUP(BD$1,main!$A$3:$H$102,5,FALSE)-VLOOKUP($A38,main!$A$3:$H$102,6,FALSE)&gt;=main!$D$103+VLOOKUP(VLOOKUP(BD$1,main!$A$3:$I$102,7,FALSE),main!$K$26:$Q$29,3,FALSE),1,0)</f>
        <v>0</v>
      </c>
      <c r="BE38">
        <f>IF(VLOOKUP(BE$1,main!$A$3:$H$102,5,FALSE)-VLOOKUP($A38,main!$A$3:$H$102,6,FALSE)&gt;=main!$D$103+VLOOKUP(VLOOKUP(BE$1,main!$A$3:$I$102,7,FALSE),main!$K$26:$Q$29,3,FALSE),1,0)</f>
        <v>0</v>
      </c>
      <c r="BF38">
        <f>IF(VLOOKUP(BF$1,main!$A$3:$H$102,5,FALSE)-VLOOKUP($A38,main!$A$3:$H$102,6,FALSE)&gt;=main!$D$103+VLOOKUP(VLOOKUP(BF$1,main!$A$3:$I$102,7,FALSE),main!$K$26:$Q$29,3,FALSE),1,0)</f>
        <v>0</v>
      </c>
      <c r="BG38">
        <f>IF(VLOOKUP(BG$1,main!$A$3:$H$102,5,FALSE)-VLOOKUP($A38,main!$A$3:$H$102,6,FALSE)&gt;=main!$D$103+VLOOKUP(VLOOKUP(BG$1,main!$A$3:$I$102,7,FALSE),main!$K$26:$Q$29,3,FALSE),1,0)</f>
        <v>0</v>
      </c>
      <c r="BH38">
        <f>IF(VLOOKUP(BH$1,main!$A$3:$H$102,5,FALSE)-VLOOKUP($A38,main!$A$3:$H$102,6,FALSE)&gt;=main!$D$103+VLOOKUP(VLOOKUP(BH$1,main!$A$3:$I$102,7,FALSE),main!$K$26:$Q$29,3,FALSE),1,0)</f>
        <v>0</v>
      </c>
      <c r="BI38">
        <f>IF(VLOOKUP(BI$1,main!$A$3:$H$102,5,FALSE)-VLOOKUP($A38,main!$A$3:$H$102,6,FALSE)&gt;=main!$D$103+VLOOKUP(VLOOKUP(BI$1,main!$A$3:$I$102,7,FALSE),main!$K$26:$Q$29,3,FALSE),1,0)</f>
        <v>1</v>
      </c>
      <c r="BJ38">
        <f>IF(VLOOKUP(BJ$1,main!$A$3:$H$102,5,FALSE)-VLOOKUP($A38,main!$A$3:$H$102,6,FALSE)&gt;=main!$D$103+VLOOKUP(VLOOKUP(BJ$1,main!$A$3:$I$102,7,FALSE),main!$K$26:$Q$29,3,FALSE),1,0)</f>
        <v>0</v>
      </c>
      <c r="BK38">
        <f>IF(VLOOKUP(BK$1,main!$A$3:$H$102,5,FALSE)-VLOOKUP($A38,main!$A$3:$H$102,6,FALSE)&gt;=main!$D$103+VLOOKUP(VLOOKUP(BK$1,main!$A$3:$I$102,7,FALSE),main!$K$26:$Q$29,3,FALSE),1,0)</f>
        <v>0</v>
      </c>
      <c r="BL38">
        <f>IF(VLOOKUP(BL$1,main!$A$3:$H$102,5,FALSE)-VLOOKUP($A38,main!$A$3:$H$102,6,FALSE)&gt;=main!$D$103+VLOOKUP(VLOOKUP(BL$1,main!$A$3:$I$102,7,FALSE),main!$K$26:$Q$29,3,FALSE),1,0)</f>
        <v>0</v>
      </c>
      <c r="BM38">
        <f>IF(VLOOKUP(BM$1,main!$A$3:$H$102,5,FALSE)-VLOOKUP($A38,main!$A$3:$H$102,6,FALSE)&gt;=main!$D$103+VLOOKUP(VLOOKUP(BM$1,main!$A$3:$I$102,7,FALSE),main!$K$26:$Q$29,3,FALSE),1,0)</f>
        <v>0</v>
      </c>
      <c r="BN38">
        <f>IF(VLOOKUP(BN$1,main!$A$3:$H$102,5,FALSE)-VLOOKUP($A38,main!$A$3:$H$102,6,FALSE)&gt;=main!$D$103+VLOOKUP(VLOOKUP(BN$1,main!$A$3:$I$102,7,FALSE),main!$K$26:$Q$29,3,FALSE),1,0)</f>
        <v>0</v>
      </c>
      <c r="BO38">
        <f>IF(VLOOKUP(BO$1,main!$A$3:$H$102,5,FALSE)-VLOOKUP($A38,main!$A$3:$H$102,6,FALSE)&gt;=main!$D$103+VLOOKUP(VLOOKUP(BO$1,main!$A$3:$I$102,7,FALSE),main!$K$26:$Q$29,3,FALSE),1,0)</f>
        <v>0</v>
      </c>
      <c r="BP38">
        <f>IF(VLOOKUP(BP$1,main!$A$3:$H$102,5,FALSE)-VLOOKUP($A38,main!$A$3:$H$102,6,FALSE)&gt;=main!$D$103+VLOOKUP(VLOOKUP(BP$1,main!$A$3:$I$102,7,FALSE),main!$K$26:$Q$29,3,FALSE),1,0)</f>
        <v>0</v>
      </c>
      <c r="BQ38">
        <f>IF(VLOOKUP(BQ$1,main!$A$3:$H$102,5,FALSE)-VLOOKUP($A38,main!$A$3:$H$102,6,FALSE)&gt;=main!$D$103+VLOOKUP(VLOOKUP(BQ$1,main!$A$3:$I$102,7,FALSE),main!$K$26:$Q$29,3,FALSE),1,0)</f>
        <v>0</v>
      </c>
      <c r="BR38">
        <f>IF(VLOOKUP(BR$1,main!$A$3:$H$102,5,FALSE)-VLOOKUP($A38,main!$A$3:$H$102,6,FALSE)&gt;=main!$D$103+VLOOKUP(VLOOKUP(BR$1,main!$A$3:$I$102,7,FALSE),main!$K$26:$Q$29,3,FALSE),1,0)</f>
        <v>0</v>
      </c>
      <c r="BS38">
        <f>IF(VLOOKUP(BS$1,main!$A$3:$H$102,5,FALSE)-VLOOKUP($A38,main!$A$3:$H$102,6,FALSE)&gt;=main!$D$103+VLOOKUP(VLOOKUP(BS$1,main!$A$3:$I$102,7,FALSE),main!$K$26:$Q$29,3,FALSE),1,0)</f>
        <v>0</v>
      </c>
      <c r="BT38">
        <f>IF(VLOOKUP(BT$1,main!$A$3:$H$102,5,FALSE)-VLOOKUP($A38,main!$A$3:$H$102,6,FALSE)&gt;=main!$D$103+VLOOKUP(VLOOKUP(BT$1,main!$A$3:$I$102,7,FALSE),main!$K$26:$Q$29,3,FALSE),1,0)</f>
        <v>0</v>
      </c>
      <c r="BU38">
        <f>IF(VLOOKUP(BU$1,main!$A$3:$H$102,5,FALSE)-VLOOKUP($A38,main!$A$3:$H$102,6,FALSE)&gt;=main!$D$103+VLOOKUP(VLOOKUP(BU$1,main!$A$3:$I$102,7,FALSE),main!$K$26:$Q$29,3,FALSE),1,0)</f>
        <v>0</v>
      </c>
      <c r="BV38">
        <f>IF(VLOOKUP(BV$1,main!$A$3:$H$102,5,FALSE)-VLOOKUP($A38,main!$A$3:$H$102,6,FALSE)&gt;=main!$D$103+VLOOKUP(VLOOKUP(BV$1,main!$A$3:$I$102,7,FALSE),main!$K$26:$Q$29,3,FALSE),1,0)</f>
        <v>0</v>
      </c>
      <c r="BW38">
        <f>IF(VLOOKUP(BW$1,main!$A$3:$H$102,5,FALSE)-VLOOKUP($A38,main!$A$3:$H$102,6,FALSE)&gt;=main!$D$103+VLOOKUP(VLOOKUP(BW$1,main!$A$3:$I$102,7,FALSE),main!$K$26:$Q$29,3,FALSE),1,0)</f>
        <v>0</v>
      </c>
      <c r="BX38">
        <f>IF(VLOOKUP(BX$1,main!$A$3:$H$102,5,FALSE)-VLOOKUP($A38,main!$A$3:$H$102,6,FALSE)&gt;=main!$D$103+VLOOKUP(VLOOKUP(BX$1,main!$A$3:$I$102,7,FALSE),main!$K$26:$Q$29,3,FALSE),1,0)</f>
        <v>0</v>
      </c>
      <c r="BY38">
        <f>IF(VLOOKUP(BY$1,main!$A$3:$H$102,5,FALSE)-VLOOKUP($A38,main!$A$3:$H$102,6,FALSE)&gt;=main!$D$103+VLOOKUP(VLOOKUP(BY$1,main!$A$3:$I$102,7,FALSE),main!$K$26:$Q$29,3,FALSE),1,0)</f>
        <v>0</v>
      </c>
      <c r="BZ38">
        <f>IF(VLOOKUP(BZ$1,main!$A$3:$H$102,5,FALSE)-VLOOKUP($A38,main!$A$3:$H$102,6,FALSE)&gt;=main!$D$103+VLOOKUP(VLOOKUP(BZ$1,main!$A$3:$I$102,7,FALSE),main!$K$26:$Q$29,3,FALSE),1,0)</f>
        <v>0</v>
      </c>
      <c r="CA38">
        <f>IF(VLOOKUP(CA$1,main!$A$3:$H$102,5,FALSE)-VLOOKUP($A38,main!$A$3:$H$102,6,FALSE)&gt;=main!$D$103+VLOOKUP(VLOOKUP(CA$1,main!$A$3:$I$102,7,FALSE),main!$K$26:$Q$29,3,FALSE),1,0)</f>
        <v>0</v>
      </c>
      <c r="CB38">
        <f>IF(VLOOKUP(CB$1,main!$A$3:$H$102,5,FALSE)-VLOOKUP($A38,main!$A$3:$H$102,6,FALSE)&gt;=main!$D$103+VLOOKUP(VLOOKUP(CB$1,main!$A$3:$I$102,7,FALSE),main!$K$26:$Q$29,3,FALSE),1,0)</f>
        <v>0</v>
      </c>
      <c r="CC38">
        <f>IF(VLOOKUP(CC$1,main!$A$3:$H$102,5,FALSE)-VLOOKUP($A38,main!$A$3:$H$102,6,FALSE)&gt;=main!$D$103+VLOOKUP(VLOOKUP(CC$1,main!$A$3:$I$102,7,FALSE),main!$K$26:$Q$29,3,FALSE),1,0)</f>
        <v>0</v>
      </c>
      <c r="CD38">
        <f>IF(VLOOKUP(CD$1,main!$A$3:$H$102,5,FALSE)-VLOOKUP($A38,main!$A$3:$H$102,6,FALSE)&gt;=main!$D$103+VLOOKUP(VLOOKUP(CD$1,main!$A$3:$I$102,7,FALSE),main!$K$26:$Q$29,3,FALSE),1,0)</f>
        <v>0</v>
      </c>
      <c r="CE38">
        <f>IF(VLOOKUP(CE$1,main!$A$3:$H$102,5,FALSE)-VLOOKUP($A38,main!$A$3:$H$102,6,FALSE)&gt;=main!$D$103+VLOOKUP(VLOOKUP(CE$1,main!$A$3:$I$102,7,FALSE),main!$K$26:$Q$29,3,FALSE),1,0)</f>
        <v>0</v>
      </c>
      <c r="CF38">
        <f>IF(VLOOKUP(CF$1,main!$A$3:$H$102,5,FALSE)-VLOOKUP($A38,main!$A$3:$H$102,6,FALSE)&gt;=main!$D$103+VLOOKUP(VLOOKUP(CF$1,main!$A$3:$I$102,7,FALSE),main!$K$26:$Q$29,3,FALSE),1,0)</f>
        <v>0</v>
      </c>
      <c r="CG38">
        <f>IF(VLOOKUP(CG$1,main!$A$3:$H$102,5,FALSE)-VLOOKUP($A38,main!$A$3:$H$102,6,FALSE)&gt;=main!$D$103+VLOOKUP(VLOOKUP(CG$1,main!$A$3:$I$102,7,FALSE),main!$K$26:$Q$29,3,FALSE),1,0)</f>
        <v>0</v>
      </c>
      <c r="CH38">
        <f>IF(VLOOKUP(CH$1,main!$A$3:$H$102,5,FALSE)-VLOOKUP($A38,main!$A$3:$H$102,6,FALSE)&gt;=main!$D$103+VLOOKUP(VLOOKUP(CH$1,main!$A$3:$I$102,7,FALSE),main!$K$26:$Q$29,3,FALSE),1,0)</f>
        <v>0</v>
      </c>
      <c r="CI38">
        <f>IF(VLOOKUP(CI$1,main!$A$3:$H$102,5,FALSE)-VLOOKUP($A38,main!$A$3:$H$102,6,FALSE)&gt;=main!$D$103+VLOOKUP(VLOOKUP(CI$1,main!$A$3:$I$102,7,FALSE),main!$K$26:$Q$29,3,FALSE),1,0)</f>
        <v>0</v>
      </c>
      <c r="CJ38">
        <f>IF(VLOOKUP(CJ$1,main!$A$3:$H$102,5,FALSE)-VLOOKUP($A38,main!$A$3:$H$102,6,FALSE)&gt;=main!$D$103+VLOOKUP(VLOOKUP(CJ$1,main!$A$3:$I$102,7,FALSE),main!$K$26:$Q$29,3,FALSE),1,0)</f>
        <v>0</v>
      </c>
      <c r="CK38">
        <f>IF(VLOOKUP(CK$1,main!$A$3:$H$102,5,FALSE)-VLOOKUP($A38,main!$A$3:$H$102,6,FALSE)&gt;=main!$D$103+VLOOKUP(VLOOKUP(CK$1,main!$A$3:$I$102,7,FALSE),main!$K$26:$Q$29,3,FALSE),1,0)</f>
        <v>0</v>
      </c>
      <c r="CL38">
        <f>IF(VLOOKUP(CL$1,main!$A$3:$H$102,5,FALSE)-VLOOKUP($A38,main!$A$3:$H$102,6,FALSE)&gt;=main!$D$103+VLOOKUP(VLOOKUP(CL$1,main!$A$3:$I$102,7,FALSE),main!$K$26:$Q$29,3,FALSE),1,0)</f>
        <v>0</v>
      </c>
      <c r="CM38">
        <f>IF(VLOOKUP(CM$1,main!$A$3:$H$102,5,FALSE)-VLOOKUP($A38,main!$A$3:$H$102,6,FALSE)&gt;=main!$D$103+VLOOKUP(VLOOKUP(CM$1,main!$A$3:$I$102,7,FALSE),main!$K$26:$Q$29,3,FALSE),1,0)</f>
        <v>0</v>
      </c>
      <c r="CN38">
        <f>IF(VLOOKUP(CN$1,main!$A$3:$H$102,5,FALSE)-VLOOKUP($A38,main!$A$3:$H$102,6,FALSE)&gt;=main!$D$103+VLOOKUP(VLOOKUP(CN$1,main!$A$3:$I$102,7,FALSE),main!$K$26:$Q$29,3,FALSE),1,0)</f>
        <v>0</v>
      </c>
      <c r="CO38">
        <f>IF(VLOOKUP(CO$1,main!$A$3:$H$102,5,FALSE)-VLOOKUP($A38,main!$A$3:$H$102,6,FALSE)&gt;=main!$D$103+VLOOKUP(VLOOKUP(CO$1,main!$A$3:$I$102,7,FALSE),main!$K$26:$Q$29,3,FALSE),1,0)</f>
        <v>0</v>
      </c>
      <c r="CP38">
        <f>IF(VLOOKUP(CP$1,main!$A$3:$H$102,5,FALSE)-VLOOKUP($A38,main!$A$3:$H$102,6,FALSE)&gt;=main!$D$103+VLOOKUP(VLOOKUP(CP$1,main!$A$3:$I$102,7,FALSE),main!$K$26:$Q$29,3,FALSE),1,0)</f>
        <v>0</v>
      </c>
      <c r="CQ38">
        <f>IF(VLOOKUP(CQ$1,main!$A$3:$H$102,5,FALSE)-VLOOKUP($A38,main!$A$3:$H$102,6,FALSE)&gt;=main!$D$103+VLOOKUP(VLOOKUP(CQ$1,main!$A$3:$I$102,7,FALSE),main!$K$26:$Q$29,3,FALSE),1,0)</f>
        <v>0</v>
      </c>
      <c r="CR38">
        <f>IF(VLOOKUP(CR$1,main!$A$3:$H$102,5,FALSE)-VLOOKUP($A38,main!$A$3:$H$102,6,FALSE)&gt;=main!$D$103+VLOOKUP(VLOOKUP(CR$1,main!$A$3:$I$102,7,FALSE),main!$K$26:$Q$29,3,FALSE),1,0)</f>
        <v>0</v>
      </c>
      <c r="CS38">
        <f>IF(VLOOKUP(CS$1,main!$A$3:$H$102,5,FALSE)-VLOOKUP($A38,main!$A$3:$H$102,6,FALSE)&gt;=main!$D$103+VLOOKUP(VLOOKUP(CS$1,main!$A$3:$I$102,7,FALSE),main!$K$26:$Q$29,3,FALSE),1,0)</f>
        <v>0</v>
      </c>
      <c r="CT38">
        <f>IF(VLOOKUP(CT$1,main!$A$3:$H$102,5,FALSE)-VLOOKUP($A38,main!$A$3:$H$102,6,FALSE)&gt;=main!$D$103+VLOOKUP(VLOOKUP(CT$1,main!$A$3:$I$102,7,FALSE),main!$K$26:$Q$29,3,FALSE),1,0)</f>
        <v>0</v>
      </c>
      <c r="CU38">
        <f>IF(VLOOKUP(CU$1,main!$A$3:$H$102,5,FALSE)-VLOOKUP($A38,main!$A$3:$H$102,6,FALSE)&gt;=main!$D$103+VLOOKUP(VLOOKUP(CU$1,main!$A$3:$I$102,7,FALSE),main!$K$26:$Q$29,3,FALSE),1,0)</f>
        <v>0</v>
      </c>
      <c r="CV38">
        <f>IF(VLOOKUP(CV$1,main!$A$3:$H$102,5,FALSE)-VLOOKUP($A38,main!$A$3:$H$102,6,FALSE)&gt;=main!$D$103+VLOOKUP(VLOOKUP(CV$1,main!$A$3:$I$102,7,FALSE),main!$K$26:$Q$29,3,FALSE),1,0)</f>
        <v>0</v>
      </c>
      <c r="CW38">
        <f>IF(VLOOKUP(CW$1,main!$A$3:$H$102,5,FALSE)-VLOOKUP($A38,main!$A$3:$H$102,6,FALSE)&gt;=main!$D$103+VLOOKUP(VLOOKUP(CW$1,main!$A$3:$I$102,7,FALSE),main!$K$26:$Q$29,3,FALSE),1,0)</f>
        <v>0</v>
      </c>
      <c r="CX38">
        <f>IF(VLOOKUP(CX$1,main!$A$3:$H$102,5,FALSE)-VLOOKUP($A38,main!$A$3:$H$102,6,FALSE)&gt;=main!$D$103+VLOOKUP(VLOOKUP(CX$1,main!$A$3:$I$102,7,FALSE),main!$K$26:$Q$29,3,FALSE),1,0)</f>
        <v>0</v>
      </c>
    </row>
    <row r="39" spans="1:102" x14ac:dyDescent="0.25">
      <c r="A39" s="1">
        <v>37</v>
      </c>
      <c r="B39">
        <v>0</v>
      </c>
      <c r="C39">
        <f>IF(VLOOKUP(C$1,main!$A$3:$H$102,5,FALSE)-VLOOKUP($A39,main!$A$3:$H$102,6,FALSE)&gt;=main!$D$103+VLOOKUP(VLOOKUP(C$1,main!$A$3:$I$102,7,FALSE),main!$K$26:$Q$29,3,FALSE),1,0)</f>
        <v>0</v>
      </c>
      <c r="D39">
        <f>IF(VLOOKUP(D$1,main!$A$3:$H$102,5,FALSE)-VLOOKUP($A39,main!$A$3:$H$102,6,FALSE)&gt;=main!$D$103+VLOOKUP(VLOOKUP(D$1,main!$A$3:$I$102,7,FALSE),main!$K$26:$Q$29,3,FALSE),1,0)</f>
        <v>0</v>
      </c>
      <c r="E39">
        <f>IF(VLOOKUP(E$1,main!$A$3:$H$102,5,FALSE)-VLOOKUP($A39,main!$A$3:$H$102,6,FALSE)&gt;=main!$D$103+VLOOKUP(VLOOKUP(E$1,main!$A$3:$I$102,7,FALSE),main!$K$26:$Q$29,3,FALSE),1,0)</f>
        <v>0</v>
      </c>
      <c r="F39">
        <f>IF(VLOOKUP(F$1,main!$A$3:$H$102,5,FALSE)-VLOOKUP($A39,main!$A$3:$H$102,6,FALSE)&gt;=main!$D$103+VLOOKUP(VLOOKUP(F$1,main!$A$3:$I$102,7,FALSE),main!$K$26:$Q$29,3,FALSE),1,0)</f>
        <v>0</v>
      </c>
      <c r="G39">
        <f>IF(VLOOKUP(G$1,main!$A$3:$H$102,5,FALSE)-VLOOKUP($A39,main!$A$3:$H$102,6,FALSE)&gt;=main!$D$103+VLOOKUP(VLOOKUP(G$1,main!$A$3:$I$102,7,FALSE),main!$K$26:$Q$29,3,FALSE),1,0)</f>
        <v>0</v>
      </c>
      <c r="H39">
        <f>IF(VLOOKUP(H$1,main!$A$3:$H$102,5,FALSE)-VLOOKUP($A39,main!$A$3:$H$102,6,FALSE)&gt;=main!$D$103+VLOOKUP(VLOOKUP(H$1,main!$A$3:$I$102,7,FALSE),main!$K$26:$Q$29,3,FALSE),1,0)</f>
        <v>0</v>
      </c>
      <c r="I39">
        <f>IF(VLOOKUP(I$1,main!$A$3:$H$102,5,FALSE)-VLOOKUP($A39,main!$A$3:$H$102,6,FALSE)&gt;=main!$D$103+VLOOKUP(VLOOKUP(I$1,main!$A$3:$I$102,7,FALSE),main!$K$26:$Q$29,3,FALSE),1,0)</f>
        <v>0</v>
      </c>
      <c r="J39">
        <f>IF(VLOOKUP(J$1,main!$A$3:$H$102,5,FALSE)-VLOOKUP($A39,main!$A$3:$H$102,6,FALSE)&gt;=main!$D$103+VLOOKUP(VLOOKUP(J$1,main!$A$3:$I$102,7,FALSE),main!$K$26:$Q$29,3,FALSE),1,0)</f>
        <v>0</v>
      </c>
      <c r="K39">
        <f>IF(VLOOKUP(K$1,main!$A$3:$H$102,5,FALSE)-VLOOKUP($A39,main!$A$3:$H$102,6,FALSE)&gt;=main!$D$103+VLOOKUP(VLOOKUP(K$1,main!$A$3:$I$102,7,FALSE),main!$K$26:$Q$29,3,FALSE),1,0)</f>
        <v>0</v>
      </c>
      <c r="L39">
        <f>IF(VLOOKUP(L$1,main!$A$3:$H$102,5,FALSE)-VLOOKUP($A39,main!$A$3:$H$102,6,FALSE)&gt;=main!$D$103+VLOOKUP(VLOOKUP(L$1,main!$A$3:$I$102,7,FALSE),main!$K$26:$Q$29,3,FALSE),1,0)</f>
        <v>0</v>
      </c>
      <c r="M39">
        <f>IF(VLOOKUP(M$1,main!$A$3:$H$102,5,FALSE)-VLOOKUP($A39,main!$A$3:$H$102,6,FALSE)&gt;=main!$D$103+VLOOKUP(VLOOKUP(M$1,main!$A$3:$I$102,7,FALSE),main!$K$26:$Q$29,3,FALSE),1,0)</f>
        <v>0</v>
      </c>
      <c r="N39">
        <f>IF(VLOOKUP(N$1,main!$A$3:$H$102,5,FALSE)-VLOOKUP($A39,main!$A$3:$H$102,6,FALSE)&gt;=main!$D$103+VLOOKUP(VLOOKUP(N$1,main!$A$3:$I$102,7,FALSE),main!$K$26:$Q$29,3,FALSE),1,0)</f>
        <v>0</v>
      </c>
      <c r="O39">
        <f>IF(VLOOKUP(O$1,main!$A$3:$H$102,5,FALSE)-VLOOKUP($A39,main!$A$3:$H$102,6,FALSE)&gt;=main!$D$103+VLOOKUP(VLOOKUP(O$1,main!$A$3:$I$102,7,FALSE),main!$K$26:$Q$29,3,FALSE),1,0)</f>
        <v>0</v>
      </c>
      <c r="P39">
        <f>IF(VLOOKUP(P$1,main!$A$3:$H$102,5,FALSE)-VLOOKUP($A39,main!$A$3:$H$102,6,FALSE)&gt;=main!$D$103+VLOOKUP(VLOOKUP(P$1,main!$A$3:$I$102,7,FALSE),main!$K$26:$Q$29,3,FALSE),1,0)</f>
        <v>0</v>
      </c>
      <c r="Q39">
        <f>IF(VLOOKUP(Q$1,main!$A$3:$H$102,5,FALSE)-VLOOKUP($A39,main!$A$3:$H$102,6,FALSE)&gt;=main!$D$103+VLOOKUP(VLOOKUP(Q$1,main!$A$3:$I$102,7,FALSE),main!$K$26:$Q$29,3,FALSE),1,0)</f>
        <v>0</v>
      </c>
      <c r="R39">
        <f>IF(VLOOKUP(R$1,main!$A$3:$H$102,5,FALSE)-VLOOKUP($A39,main!$A$3:$H$102,6,FALSE)&gt;=main!$D$103+VLOOKUP(VLOOKUP(R$1,main!$A$3:$I$102,7,FALSE),main!$K$26:$Q$29,3,FALSE),1,0)</f>
        <v>0</v>
      </c>
      <c r="S39">
        <f>IF(VLOOKUP(S$1,main!$A$3:$H$102,5,FALSE)-VLOOKUP($A39,main!$A$3:$H$102,6,FALSE)&gt;=main!$D$103+VLOOKUP(VLOOKUP(S$1,main!$A$3:$I$102,7,FALSE),main!$K$26:$Q$29,3,FALSE),1,0)</f>
        <v>0</v>
      </c>
      <c r="T39">
        <f>IF(VLOOKUP(T$1,main!$A$3:$H$102,5,FALSE)-VLOOKUP($A39,main!$A$3:$H$102,6,FALSE)&gt;=main!$D$103+VLOOKUP(VLOOKUP(T$1,main!$A$3:$I$102,7,FALSE),main!$K$26:$Q$29,3,FALSE),1,0)</f>
        <v>0</v>
      </c>
      <c r="U39">
        <f>IF(VLOOKUP(U$1,main!$A$3:$H$102,5,FALSE)-VLOOKUP($A39,main!$A$3:$H$102,6,FALSE)&gt;=main!$D$103+VLOOKUP(VLOOKUP(U$1,main!$A$3:$I$102,7,FALSE),main!$K$26:$Q$29,3,FALSE),1,0)</f>
        <v>0</v>
      </c>
      <c r="V39">
        <f>IF(VLOOKUP(V$1,main!$A$3:$H$102,5,FALSE)-VLOOKUP($A39,main!$A$3:$H$102,6,FALSE)&gt;=main!$D$103+VLOOKUP(VLOOKUP(V$1,main!$A$3:$I$102,7,FALSE),main!$K$26:$Q$29,3,FALSE),1,0)</f>
        <v>0</v>
      </c>
      <c r="W39">
        <f>IF(VLOOKUP(W$1,main!$A$3:$H$102,5,FALSE)-VLOOKUP($A39,main!$A$3:$H$102,6,FALSE)&gt;=main!$D$103+VLOOKUP(VLOOKUP(W$1,main!$A$3:$I$102,7,FALSE),main!$K$26:$Q$29,3,FALSE),1,0)</f>
        <v>0</v>
      </c>
      <c r="X39">
        <f>IF(VLOOKUP(X$1,main!$A$3:$H$102,5,FALSE)-VLOOKUP($A39,main!$A$3:$H$102,6,FALSE)&gt;=main!$D$103+VLOOKUP(VLOOKUP(X$1,main!$A$3:$I$102,7,FALSE),main!$K$26:$Q$29,3,FALSE),1,0)</f>
        <v>0</v>
      </c>
      <c r="Y39">
        <f>IF(VLOOKUP(Y$1,main!$A$3:$H$102,5,FALSE)-VLOOKUP($A39,main!$A$3:$H$102,6,FALSE)&gt;=main!$D$103+VLOOKUP(VLOOKUP(Y$1,main!$A$3:$I$102,7,FALSE),main!$K$26:$Q$29,3,FALSE),1,0)</f>
        <v>0</v>
      </c>
      <c r="Z39">
        <f>IF(VLOOKUP(Z$1,main!$A$3:$H$102,5,FALSE)-VLOOKUP($A39,main!$A$3:$H$102,6,FALSE)&gt;=main!$D$103+VLOOKUP(VLOOKUP(Z$1,main!$A$3:$I$102,7,FALSE),main!$K$26:$Q$29,3,FALSE),1,0)</f>
        <v>0</v>
      </c>
      <c r="AA39">
        <f>IF(VLOOKUP(AA$1,main!$A$3:$H$102,5,FALSE)-VLOOKUP($A39,main!$A$3:$H$102,6,FALSE)&gt;=main!$D$103+VLOOKUP(VLOOKUP(AA$1,main!$A$3:$I$102,7,FALSE),main!$K$26:$Q$29,3,FALSE),1,0)</f>
        <v>0</v>
      </c>
      <c r="AB39">
        <f>IF(VLOOKUP(AB$1,main!$A$3:$H$102,5,FALSE)-VLOOKUP($A39,main!$A$3:$H$102,6,FALSE)&gt;=main!$D$103+VLOOKUP(VLOOKUP(AB$1,main!$A$3:$I$102,7,FALSE),main!$K$26:$Q$29,3,FALSE),1,0)</f>
        <v>0</v>
      </c>
      <c r="AC39">
        <f>IF(VLOOKUP(AC$1,main!$A$3:$H$102,5,FALSE)-VLOOKUP($A39,main!$A$3:$H$102,6,FALSE)&gt;=main!$D$103+VLOOKUP(VLOOKUP(AC$1,main!$A$3:$I$102,7,FALSE),main!$K$26:$Q$29,3,FALSE),1,0)</f>
        <v>0</v>
      </c>
      <c r="AD39">
        <f>IF(VLOOKUP(AD$1,main!$A$3:$H$102,5,FALSE)-VLOOKUP($A39,main!$A$3:$H$102,6,FALSE)&gt;=main!$D$103+VLOOKUP(VLOOKUP(AD$1,main!$A$3:$I$102,7,FALSE),main!$K$26:$Q$29,3,FALSE),1,0)</f>
        <v>0</v>
      </c>
      <c r="AE39">
        <f>IF(VLOOKUP(AE$1,main!$A$3:$H$102,5,FALSE)-VLOOKUP($A39,main!$A$3:$H$102,6,FALSE)&gt;=main!$D$103+VLOOKUP(VLOOKUP(AE$1,main!$A$3:$I$102,7,FALSE),main!$K$26:$Q$29,3,FALSE),1,0)</f>
        <v>0</v>
      </c>
      <c r="AF39">
        <f>IF(VLOOKUP(AF$1,main!$A$3:$H$102,5,FALSE)-VLOOKUP($A39,main!$A$3:$H$102,6,FALSE)&gt;=main!$D$103+VLOOKUP(VLOOKUP(AF$1,main!$A$3:$I$102,7,FALSE),main!$K$26:$Q$29,3,FALSE),1,0)</f>
        <v>0</v>
      </c>
      <c r="AG39">
        <f>IF(VLOOKUP(AG$1,main!$A$3:$H$102,5,FALSE)-VLOOKUP($A39,main!$A$3:$H$102,6,FALSE)&gt;=main!$D$103+VLOOKUP(VLOOKUP(AG$1,main!$A$3:$I$102,7,FALSE),main!$K$26:$Q$29,3,FALSE),1,0)</f>
        <v>0</v>
      </c>
      <c r="AH39">
        <f>IF(VLOOKUP(AH$1,main!$A$3:$H$102,5,FALSE)-VLOOKUP($A39,main!$A$3:$H$102,6,FALSE)&gt;=main!$D$103+VLOOKUP(VLOOKUP(AH$1,main!$A$3:$I$102,7,FALSE),main!$K$26:$Q$29,3,FALSE),1,0)</f>
        <v>0</v>
      </c>
      <c r="AI39">
        <f>IF(VLOOKUP(AI$1,main!$A$3:$H$102,5,FALSE)-VLOOKUP($A39,main!$A$3:$H$102,6,FALSE)&gt;=main!$D$103+VLOOKUP(VLOOKUP(AI$1,main!$A$3:$I$102,7,FALSE),main!$K$26:$Q$29,3,FALSE),1,0)</f>
        <v>0</v>
      </c>
      <c r="AJ39">
        <f>IF(VLOOKUP(AJ$1,main!$A$3:$H$102,5,FALSE)-VLOOKUP($A39,main!$A$3:$H$102,6,FALSE)&gt;=main!$D$103+VLOOKUP(VLOOKUP(AJ$1,main!$A$3:$I$102,7,FALSE),main!$K$26:$Q$29,3,FALSE),1,0)</f>
        <v>0</v>
      </c>
      <c r="AK39">
        <f>IF(VLOOKUP(AK$1,main!$A$3:$H$102,5,FALSE)-VLOOKUP($A39,main!$A$3:$H$102,6,FALSE)&gt;=main!$D$103+VLOOKUP(VLOOKUP(AK$1,main!$A$3:$I$102,7,FALSE),main!$K$26:$Q$29,3,FALSE),1,0)</f>
        <v>0</v>
      </c>
      <c r="AL39">
        <f>IF(VLOOKUP(AL$1,main!$A$3:$H$102,5,FALSE)-VLOOKUP($A39,main!$A$3:$H$102,6,FALSE)&gt;=main!$D$103+VLOOKUP(VLOOKUP(AL$1,main!$A$3:$I$102,7,FALSE),main!$K$26:$Q$29,3,FALSE),1,0)</f>
        <v>0</v>
      </c>
      <c r="AM39">
        <f>IF(VLOOKUP(AM$1,main!$A$3:$H$102,5,FALSE)-VLOOKUP($A39,main!$A$3:$H$102,6,FALSE)&gt;=main!$D$103+VLOOKUP(VLOOKUP(AM$1,main!$A$3:$I$102,7,FALSE),main!$K$26:$Q$29,3,FALSE),1,0)</f>
        <v>0</v>
      </c>
      <c r="AN39">
        <f>IF(VLOOKUP(AN$1,main!$A$3:$H$102,5,FALSE)-VLOOKUP($A39,main!$A$3:$H$102,6,FALSE)&gt;=main!$D$103+VLOOKUP(VLOOKUP(AN$1,main!$A$3:$I$102,7,FALSE),main!$K$26:$Q$29,3,FALSE),1,0)</f>
        <v>0</v>
      </c>
      <c r="AO39">
        <f>IF(VLOOKUP(AO$1,main!$A$3:$H$102,5,FALSE)-VLOOKUP($A39,main!$A$3:$H$102,6,FALSE)&gt;=main!$D$103+VLOOKUP(VLOOKUP(AO$1,main!$A$3:$I$102,7,FALSE),main!$K$26:$Q$29,3,FALSE),1,0)</f>
        <v>0</v>
      </c>
      <c r="AP39">
        <f>IF(VLOOKUP(AP$1,main!$A$3:$H$102,5,FALSE)-VLOOKUP($A39,main!$A$3:$H$102,6,FALSE)&gt;=main!$D$103+VLOOKUP(VLOOKUP(AP$1,main!$A$3:$I$102,7,FALSE),main!$K$26:$Q$29,3,FALSE),1,0)</f>
        <v>0</v>
      </c>
      <c r="AQ39">
        <f>IF(VLOOKUP(AQ$1,main!$A$3:$H$102,5,FALSE)-VLOOKUP($A39,main!$A$3:$H$102,6,FALSE)&gt;=main!$D$103+VLOOKUP(VLOOKUP(AQ$1,main!$A$3:$I$102,7,FALSE),main!$K$26:$Q$29,3,FALSE),1,0)</f>
        <v>0</v>
      </c>
      <c r="AR39">
        <f>IF(VLOOKUP(AR$1,main!$A$3:$H$102,5,FALSE)-VLOOKUP($A39,main!$A$3:$H$102,6,FALSE)&gt;=main!$D$103+VLOOKUP(VLOOKUP(AR$1,main!$A$3:$I$102,7,FALSE),main!$K$26:$Q$29,3,FALSE),1,0)</f>
        <v>0</v>
      </c>
      <c r="AS39">
        <f>IF(VLOOKUP(AS$1,main!$A$3:$H$102,5,FALSE)-VLOOKUP($A39,main!$A$3:$H$102,6,FALSE)&gt;=main!$D$103+VLOOKUP(VLOOKUP(AS$1,main!$A$3:$I$102,7,FALSE),main!$K$26:$Q$29,3,FALSE),1,0)</f>
        <v>0</v>
      </c>
      <c r="AT39">
        <f>IF(VLOOKUP(AT$1,main!$A$3:$H$102,5,FALSE)-VLOOKUP($A39,main!$A$3:$H$102,6,FALSE)&gt;=main!$D$103+VLOOKUP(VLOOKUP(AT$1,main!$A$3:$I$102,7,FALSE),main!$K$26:$Q$29,3,FALSE),1,0)</f>
        <v>0</v>
      </c>
      <c r="AU39">
        <f>IF(VLOOKUP(AU$1,main!$A$3:$H$102,5,FALSE)-VLOOKUP($A39,main!$A$3:$H$102,6,FALSE)&gt;=main!$D$103+VLOOKUP(VLOOKUP(AU$1,main!$A$3:$I$102,7,FALSE),main!$K$26:$Q$29,3,FALSE),1,0)</f>
        <v>0</v>
      </c>
      <c r="AV39">
        <f>IF(VLOOKUP(AV$1,main!$A$3:$H$102,5,FALSE)-VLOOKUP($A39,main!$A$3:$H$102,6,FALSE)&gt;=main!$D$103+VLOOKUP(VLOOKUP(AV$1,main!$A$3:$I$102,7,FALSE),main!$K$26:$Q$29,3,FALSE),1,0)</f>
        <v>0</v>
      </c>
      <c r="AW39">
        <f>IF(VLOOKUP(AW$1,main!$A$3:$H$102,5,FALSE)-VLOOKUP($A39,main!$A$3:$H$102,6,FALSE)&gt;=main!$D$103+VLOOKUP(VLOOKUP(AW$1,main!$A$3:$I$102,7,FALSE),main!$K$26:$Q$29,3,FALSE),1,0)</f>
        <v>0</v>
      </c>
      <c r="AX39">
        <f>IF(VLOOKUP(AX$1,main!$A$3:$H$102,5,FALSE)-VLOOKUP($A39,main!$A$3:$H$102,6,FALSE)&gt;=main!$D$103+VLOOKUP(VLOOKUP(AX$1,main!$A$3:$I$102,7,FALSE),main!$K$26:$Q$29,3,FALSE),1,0)</f>
        <v>0</v>
      </c>
      <c r="AY39">
        <f>IF(VLOOKUP(AY$1,main!$A$3:$H$102,5,FALSE)-VLOOKUP($A39,main!$A$3:$H$102,6,FALSE)&gt;=main!$D$103+VLOOKUP(VLOOKUP(AY$1,main!$A$3:$I$102,7,FALSE),main!$K$26:$Q$29,3,FALSE),1,0)</f>
        <v>0</v>
      </c>
      <c r="AZ39">
        <f>IF(VLOOKUP(AZ$1,main!$A$3:$H$102,5,FALSE)-VLOOKUP($A39,main!$A$3:$H$102,6,FALSE)&gt;=main!$D$103+VLOOKUP(VLOOKUP(AZ$1,main!$A$3:$I$102,7,FALSE),main!$K$26:$Q$29,3,FALSE),1,0)</f>
        <v>0</v>
      </c>
      <c r="BA39">
        <f>IF(VLOOKUP(BA$1,main!$A$3:$H$102,5,FALSE)-VLOOKUP($A39,main!$A$3:$H$102,6,FALSE)&gt;=main!$D$103+VLOOKUP(VLOOKUP(BA$1,main!$A$3:$I$102,7,FALSE),main!$K$26:$Q$29,3,FALSE),1,0)</f>
        <v>0</v>
      </c>
      <c r="BB39">
        <f>IF(VLOOKUP(BB$1,main!$A$3:$H$102,5,FALSE)-VLOOKUP($A39,main!$A$3:$H$102,6,FALSE)&gt;=main!$D$103+VLOOKUP(VLOOKUP(BB$1,main!$A$3:$I$102,7,FALSE),main!$K$26:$Q$29,3,FALSE),1,0)</f>
        <v>0</v>
      </c>
      <c r="BC39">
        <f>IF(VLOOKUP(BC$1,main!$A$3:$H$102,5,FALSE)-VLOOKUP($A39,main!$A$3:$H$102,6,FALSE)&gt;=main!$D$103+VLOOKUP(VLOOKUP(BC$1,main!$A$3:$I$102,7,FALSE),main!$K$26:$Q$29,3,FALSE),1,0)</f>
        <v>0</v>
      </c>
      <c r="BD39">
        <f>IF(VLOOKUP(BD$1,main!$A$3:$H$102,5,FALSE)-VLOOKUP($A39,main!$A$3:$H$102,6,FALSE)&gt;=main!$D$103+VLOOKUP(VLOOKUP(BD$1,main!$A$3:$I$102,7,FALSE),main!$K$26:$Q$29,3,FALSE),1,0)</f>
        <v>0</v>
      </c>
      <c r="BE39">
        <f>IF(VLOOKUP(BE$1,main!$A$3:$H$102,5,FALSE)-VLOOKUP($A39,main!$A$3:$H$102,6,FALSE)&gt;=main!$D$103+VLOOKUP(VLOOKUP(BE$1,main!$A$3:$I$102,7,FALSE),main!$K$26:$Q$29,3,FALSE),1,0)</f>
        <v>0</v>
      </c>
      <c r="BF39">
        <f>IF(VLOOKUP(BF$1,main!$A$3:$H$102,5,FALSE)-VLOOKUP($A39,main!$A$3:$H$102,6,FALSE)&gt;=main!$D$103+VLOOKUP(VLOOKUP(BF$1,main!$A$3:$I$102,7,FALSE),main!$K$26:$Q$29,3,FALSE),1,0)</f>
        <v>0</v>
      </c>
      <c r="BG39">
        <f>IF(VLOOKUP(BG$1,main!$A$3:$H$102,5,FALSE)-VLOOKUP($A39,main!$A$3:$H$102,6,FALSE)&gt;=main!$D$103+VLOOKUP(VLOOKUP(BG$1,main!$A$3:$I$102,7,FALSE),main!$K$26:$Q$29,3,FALSE),1,0)</f>
        <v>0</v>
      </c>
      <c r="BH39">
        <f>IF(VLOOKUP(BH$1,main!$A$3:$H$102,5,FALSE)-VLOOKUP($A39,main!$A$3:$H$102,6,FALSE)&gt;=main!$D$103+VLOOKUP(VLOOKUP(BH$1,main!$A$3:$I$102,7,FALSE),main!$K$26:$Q$29,3,FALSE),1,0)</f>
        <v>0</v>
      </c>
      <c r="BI39">
        <f>IF(VLOOKUP(BI$1,main!$A$3:$H$102,5,FALSE)-VLOOKUP($A39,main!$A$3:$H$102,6,FALSE)&gt;=main!$D$103+VLOOKUP(VLOOKUP(BI$1,main!$A$3:$I$102,7,FALSE),main!$K$26:$Q$29,3,FALSE),1,0)</f>
        <v>0</v>
      </c>
      <c r="BJ39">
        <f>IF(VLOOKUP(BJ$1,main!$A$3:$H$102,5,FALSE)-VLOOKUP($A39,main!$A$3:$H$102,6,FALSE)&gt;=main!$D$103+VLOOKUP(VLOOKUP(BJ$1,main!$A$3:$I$102,7,FALSE),main!$K$26:$Q$29,3,FALSE),1,0)</f>
        <v>0</v>
      </c>
      <c r="BK39">
        <f>IF(VLOOKUP(BK$1,main!$A$3:$H$102,5,FALSE)-VLOOKUP($A39,main!$A$3:$H$102,6,FALSE)&gt;=main!$D$103+VLOOKUP(VLOOKUP(BK$1,main!$A$3:$I$102,7,FALSE),main!$K$26:$Q$29,3,FALSE),1,0)</f>
        <v>0</v>
      </c>
      <c r="BL39">
        <f>IF(VLOOKUP(BL$1,main!$A$3:$H$102,5,FALSE)-VLOOKUP($A39,main!$A$3:$H$102,6,FALSE)&gt;=main!$D$103+VLOOKUP(VLOOKUP(BL$1,main!$A$3:$I$102,7,FALSE),main!$K$26:$Q$29,3,FALSE),1,0)</f>
        <v>0</v>
      </c>
      <c r="BM39">
        <f>IF(VLOOKUP(BM$1,main!$A$3:$H$102,5,FALSE)-VLOOKUP($A39,main!$A$3:$H$102,6,FALSE)&gt;=main!$D$103+VLOOKUP(VLOOKUP(BM$1,main!$A$3:$I$102,7,FALSE),main!$K$26:$Q$29,3,FALSE),1,0)</f>
        <v>0</v>
      </c>
      <c r="BN39">
        <f>IF(VLOOKUP(BN$1,main!$A$3:$H$102,5,FALSE)-VLOOKUP($A39,main!$A$3:$H$102,6,FALSE)&gt;=main!$D$103+VLOOKUP(VLOOKUP(BN$1,main!$A$3:$I$102,7,FALSE),main!$K$26:$Q$29,3,FALSE),1,0)</f>
        <v>0</v>
      </c>
      <c r="BO39">
        <f>IF(VLOOKUP(BO$1,main!$A$3:$H$102,5,FALSE)-VLOOKUP($A39,main!$A$3:$H$102,6,FALSE)&gt;=main!$D$103+VLOOKUP(VLOOKUP(BO$1,main!$A$3:$I$102,7,FALSE),main!$K$26:$Q$29,3,FALSE),1,0)</f>
        <v>0</v>
      </c>
      <c r="BP39">
        <f>IF(VLOOKUP(BP$1,main!$A$3:$H$102,5,FALSE)-VLOOKUP($A39,main!$A$3:$H$102,6,FALSE)&gt;=main!$D$103+VLOOKUP(VLOOKUP(BP$1,main!$A$3:$I$102,7,FALSE),main!$K$26:$Q$29,3,FALSE),1,0)</f>
        <v>0</v>
      </c>
      <c r="BQ39">
        <f>IF(VLOOKUP(BQ$1,main!$A$3:$H$102,5,FALSE)-VLOOKUP($A39,main!$A$3:$H$102,6,FALSE)&gt;=main!$D$103+VLOOKUP(VLOOKUP(BQ$1,main!$A$3:$I$102,7,FALSE),main!$K$26:$Q$29,3,FALSE),1,0)</f>
        <v>0</v>
      </c>
      <c r="BR39">
        <f>IF(VLOOKUP(BR$1,main!$A$3:$H$102,5,FALSE)-VLOOKUP($A39,main!$A$3:$H$102,6,FALSE)&gt;=main!$D$103+VLOOKUP(VLOOKUP(BR$1,main!$A$3:$I$102,7,FALSE),main!$K$26:$Q$29,3,FALSE),1,0)</f>
        <v>0</v>
      </c>
      <c r="BS39">
        <f>IF(VLOOKUP(BS$1,main!$A$3:$H$102,5,FALSE)-VLOOKUP($A39,main!$A$3:$H$102,6,FALSE)&gt;=main!$D$103+VLOOKUP(VLOOKUP(BS$1,main!$A$3:$I$102,7,FALSE),main!$K$26:$Q$29,3,FALSE),1,0)</f>
        <v>0</v>
      </c>
      <c r="BT39">
        <f>IF(VLOOKUP(BT$1,main!$A$3:$H$102,5,FALSE)-VLOOKUP($A39,main!$A$3:$H$102,6,FALSE)&gt;=main!$D$103+VLOOKUP(VLOOKUP(BT$1,main!$A$3:$I$102,7,FALSE),main!$K$26:$Q$29,3,FALSE),1,0)</f>
        <v>0</v>
      </c>
      <c r="BU39">
        <f>IF(VLOOKUP(BU$1,main!$A$3:$H$102,5,FALSE)-VLOOKUP($A39,main!$A$3:$H$102,6,FALSE)&gt;=main!$D$103+VLOOKUP(VLOOKUP(BU$1,main!$A$3:$I$102,7,FALSE),main!$K$26:$Q$29,3,FALSE),1,0)</f>
        <v>0</v>
      </c>
      <c r="BV39">
        <f>IF(VLOOKUP(BV$1,main!$A$3:$H$102,5,FALSE)-VLOOKUP($A39,main!$A$3:$H$102,6,FALSE)&gt;=main!$D$103+VLOOKUP(VLOOKUP(BV$1,main!$A$3:$I$102,7,FALSE),main!$K$26:$Q$29,3,FALSE),1,0)</f>
        <v>0</v>
      </c>
      <c r="BW39">
        <f>IF(VLOOKUP(BW$1,main!$A$3:$H$102,5,FALSE)-VLOOKUP($A39,main!$A$3:$H$102,6,FALSE)&gt;=main!$D$103+VLOOKUP(VLOOKUP(BW$1,main!$A$3:$I$102,7,FALSE),main!$K$26:$Q$29,3,FALSE),1,0)</f>
        <v>0</v>
      </c>
      <c r="BX39">
        <f>IF(VLOOKUP(BX$1,main!$A$3:$H$102,5,FALSE)-VLOOKUP($A39,main!$A$3:$H$102,6,FALSE)&gt;=main!$D$103+VLOOKUP(VLOOKUP(BX$1,main!$A$3:$I$102,7,FALSE),main!$K$26:$Q$29,3,FALSE),1,0)</f>
        <v>0</v>
      </c>
      <c r="BY39">
        <f>IF(VLOOKUP(BY$1,main!$A$3:$H$102,5,FALSE)-VLOOKUP($A39,main!$A$3:$H$102,6,FALSE)&gt;=main!$D$103+VLOOKUP(VLOOKUP(BY$1,main!$A$3:$I$102,7,FALSE),main!$K$26:$Q$29,3,FALSE),1,0)</f>
        <v>0</v>
      </c>
      <c r="BZ39">
        <f>IF(VLOOKUP(BZ$1,main!$A$3:$H$102,5,FALSE)-VLOOKUP($A39,main!$A$3:$H$102,6,FALSE)&gt;=main!$D$103+VLOOKUP(VLOOKUP(BZ$1,main!$A$3:$I$102,7,FALSE),main!$K$26:$Q$29,3,FALSE),1,0)</f>
        <v>0</v>
      </c>
      <c r="CA39">
        <f>IF(VLOOKUP(CA$1,main!$A$3:$H$102,5,FALSE)-VLOOKUP($A39,main!$A$3:$H$102,6,FALSE)&gt;=main!$D$103+VLOOKUP(VLOOKUP(CA$1,main!$A$3:$I$102,7,FALSE),main!$K$26:$Q$29,3,FALSE),1,0)</f>
        <v>0</v>
      </c>
      <c r="CB39">
        <f>IF(VLOOKUP(CB$1,main!$A$3:$H$102,5,FALSE)-VLOOKUP($A39,main!$A$3:$H$102,6,FALSE)&gt;=main!$D$103+VLOOKUP(VLOOKUP(CB$1,main!$A$3:$I$102,7,FALSE),main!$K$26:$Q$29,3,FALSE),1,0)</f>
        <v>0</v>
      </c>
      <c r="CC39">
        <f>IF(VLOOKUP(CC$1,main!$A$3:$H$102,5,FALSE)-VLOOKUP($A39,main!$A$3:$H$102,6,FALSE)&gt;=main!$D$103+VLOOKUP(VLOOKUP(CC$1,main!$A$3:$I$102,7,FALSE),main!$K$26:$Q$29,3,FALSE),1,0)</f>
        <v>0</v>
      </c>
      <c r="CD39">
        <f>IF(VLOOKUP(CD$1,main!$A$3:$H$102,5,FALSE)-VLOOKUP($A39,main!$A$3:$H$102,6,FALSE)&gt;=main!$D$103+VLOOKUP(VLOOKUP(CD$1,main!$A$3:$I$102,7,FALSE),main!$K$26:$Q$29,3,FALSE),1,0)</f>
        <v>0</v>
      </c>
      <c r="CE39">
        <f>IF(VLOOKUP(CE$1,main!$A$3:$H$102,5,FALSE)-VLOOKUP($A39,main!$A$3:$H$102,6,FALSE)&gt;=main!$D$103+VLOOKUP(VLOOKUP(CE$1,main!$A$3:$I$102,7,FALSE),main!$K$26:$Q$29,3,FALSE),1,0)</f>
        <v>0</v>
      </c>
      <c r="CF39">
        <f>IF(VLOOKUP(CF$1,main!$A$3:$H$102,5,FALSE)-VLOOKUP($A39,main!$A$3:$H$102,6,FALSE)&gt;=main!$D$103+VLOOKUP(VLOOKUP(CF$1,main!$A$3:$I$102,7,FALSE),main!$K$26:$Q$29,3,FALSE),1,0)</f>
        <v>0</v>
      </c>
      <c r="CG39">
        <f>IF(VLOOKUP(CG$1,main!$A$3:$H$102,5,FALSE)-VLOOKUP($A39,main!$A$3:$H$102,6,FALSE)&gt;=main!$D$103+VLOOKUP(VLOOKUP(CG$1,main!$A$3:$I$102,7,FALSE),main!$K$26:$Q$29,3,FALSE),1,0)</f>
        <v>0</v>
      </c>
      <c r="CH39">
        <f>IF(VLOOKUP(CH$1,main!$A$3:$H$102,5,FALSE)-VLOOKUP($A39,main!$A$3:$H$102,6,FALSE)&gt;=main!$D$103+VLOOKUP(VLOOKUP(CH$1,main!$A$3:$I$102,7,FALSE),main!$K$26:$Q$29,3,FALSE),1,0)</f>
        <v>0</v>
      </c>
      <c r="CI39">
        <f>IF(VLOOKUP(CI$1,main!$A$3:$H$102,5,FALSE)-VLOOKUP($A39,main!$A$3:$H$102,6,FALSE)&gt;=main!$D$103+VLOOKUP(VLOOKUP(CI$1,main!$A$3:$I$102,7,FALSE),main!$K$26:$Q$29,3,FALSE),1,0)</f>
        <v>0</v>
      </c>
      <c r="CJ39">
        <f>IF(VLOOKUP(CJ$1,main!$A$3:$H$102,5,FALSE)-VLOOKUP($A39,main!$A$3:$H$102,6,FALSE)&gt;=main!$D$103+VLOOKUP(VLOOKUP(CJ$1,main!$A$3:$I$102,7,FALSE),main!$K$26:$Q$29,3,FALSE),1,0)</f>
        <v>0</v>
      </c>
      <c r="CK39">
        <f>IF(VLOOKUP(CK$1,main!$A$3:$H$102,5,FALSE)-VLOOKUP($A39,main!$A$3:$H$102,6,FALSE)&gt;=main!$D$103+VLOOKUP(VLOOKUP(CK$1,main!$A$3:$I$102,7,FALSE),main!$K$26:$Q$29,3,FALSE),1,0)</f>
        <v>0</v>
      </c>
      <c r="CL39">
        <f>IF(VLOOKUP(CL$1,main!$A$3:$H$102,5,FALSE)-VLOOKUP($A39,main!$A$3:$H$102,6,FALSE)&gt;=main!$D$103+VLOOKUP(VLOOKUP(CL$1,main!$A$3:$I$102,7,FALSE),main!$K$26:$Q$29,3,FALSE),1,0)</f>
        <v>0</v>
      </c>
      <c r="CM39">
        <f>IF(VLOOKUP(CM$1,main!$A$3:$H$102,5,FALSE)-VLOOKUP($A39,main!$A$3:$H$102,6,FALSE)&gt;=main!$D$103+VLOOKUP(VLOOKUP(CM$1,main!$A$3:$I$102,7,FALSE),main!$K$26:$Q$29,3,FALSE),1,0)</f>
        <v>0</v>
      </c>
      <c r="CN39">
        <f>IF(VLOOKUP(CN$1,main!$A$3:$H$102,5,FALSE)-VLOOKUP($A39,main!$A$3:$H$102,6,FALSE)&gt;=main!$D$103+VLOOKUP(VLOOKUP(CN$1,main!$A$3:$I$102,7,FALSE),main!$K$26:$Q$29,3,FALSE),1,0)</f>
        <v>0</v>
      </c>
      <c r="CO39">
        <f>IF(VLOOKUP(CO$1,main!$A$3:$H$102,5,FALSE)-VLOOKUP($A39,main!$A$3:$H$102,6,FALSE)&gt;=main!$D$103+VLOOKUP(VLOOKUP(CO$1,main!$A$3:$I$102,7,FALSE),main!$K$26:$Q$29,3,FALSE),1,0)</f>
        <v>0</v>
      </c>
      <c r="CP39">
        <f>IF(VLOOKUP(CP$1,main!$A$3:$H$102,5,FALSE)-VLOOKUP($A39,main!$A$3:$H$102,6,FALSE)&gt;=main!$D$103+VLOOKUP(VLOOKUP(CP$1,main!$A$3:$I$102,7,FALSE),main!$K$26:$Q$29,3,FALSE),1,0)</f>
        <v>0</v>
      </c>
      <c r="CQ39">
        <f>IF(VLOOKUP(CQ$1,main!$A$3:$H$102,5,FALSE)-VLOOKUP($A39,main!$A$3:$H$102,6,FALSE)&gt;=main!$D$103+VLOOKUP(VLOOKUP(CQ$1,main!$A$3:$I$102,7,FALSE),main!$K$26:$Q$29,3,FALSE),1,0)</f>
        <v>0</v>
      </c>
      <c r="CR39">
        <f>IF(VLOOKUP(CR$1,main!$A$3:$H$102,5,FALSE)-VLOOKUP($A39,main!$A$3:$H$102,6,FALSE)&gt;=main!$D$103+VLOOKUP(VLOOKUP(CR$1,main!$A$3:$I$102,7,FALSE),main!$K$26:$Q$29,3,FALSE),1,0)</f>
        <v>0</v>
      </c>
      <c r="CS39">
        <f>IF(VLOOKUP(CS$1,main!$A$3:$H$102,5,FALSE)-VLOOKUP($A39,main!$A$3:$H$102,6,FALSE)&gt;=main!$D$103+VLOOKUP(VLOOKUP(CS$1,main!$A$3:$I$102,7,FALSE),main!$K$26:$Q$29,3,FALSE),1,0)</f>
        <v>0</v>
      </c>
      <c r="CT39">
        <f>IF(VLOOKUP(CT$1,main!$A$3:$H$102,5,FALSE)-VLOOKUP($A39,main!$A$3:$H$102,6,FALSE)&gt;=main!$D$103+VLOOKUP(VLOOKUP(CT$1,main!$A$3:$I$102,7,FALSE),main!$K$26:$Q$29,3,FALSE),1,0)</f>
        <v>0</v>
      </c>
      <c r="CU39">
        <f>IF(VLOOKUP(CU$1,main!$A$3:$H$102,5,FALSE)-VLOOKUP($A39,main!$A$3:$H$102,6,FALSE)&gt;=main!$D$103+VLOOKUP(VLOOKUP(CU$1,main!$A$3:$I$102,7,FALSE),main!$K$26:$Q$29,3,FALSE),1,0)</f>
        <v>0</v>
      </c>
      <c r="CV39">
        <f>IF(VLOOKUP(CV$1,main!$A$3:$H$102,5,FALSE)-VLOOKUP($A39,main!$A$3:$H$102,6,FALSE)&gt;=main!$D$103+VLOOKUP(VLOOKUP(CV$1,main!$A$3:$I$102,7,FALSE),main!$K$26:$Q$29,3,FALSE),1,0)</f>
        <v>0</v>
      </c>
      <c r="CW39">
        <f>IF(VLOOKUP(CW$1,main!$A$3:$H$102,5,FALSE)-VLOOKUP($A39,main!$A$3:$H$102,6,FALSE)&gt;=main!$D$103+VLOOKUP(VLOOKUP(CW$1,main!$A$3:$I$102,7,FALSE),main!$K$26:$Q$29,3,FALSE),1,0)</f>
        <v>0</v>
      </c>
      <c r="CX39">
        <f>IF(VLOOKUP(CX$1,main!$A$3:$H$102,5,FALSE)-VLOOKUP($A39,main!$A$3:$H$102,6,FALSE)&gt;=main!$D$103+VLOOKUP(VLOOKUP(CX$1,main!$A$3:$I$102,7,FALSE),main!$K$26:$Q$29,3,FALSE),1,0)</f>
        <v>0</v>
      </c>
    </row>
    <row r="40" spans="1:102" x14ac:dyDescent="0.25">
      <c r="A40" s="1">
        <v>38</v>
      </c>
      <c r="B40">
        <v>0</v>
      </c>
      <c r="C40">
        <f>IF(VLOOKUP(C$1,main!$A$3:$H$102,5,FALSE)-VLOOKUP($A40,main!$A$3:$H$102,6,FALSE)&gt;=main!$D$103+VLOOKUP(VLOOKUP(C$1,main!$A$3:$I$102,7,FALSE),main!$K$26:$Q$29,3,FALSE),1,0)</f>
        <v>0</v>
      </c>
      <c r="D40">
        <f>IF(VLOOKUP(D$1,main!$A$3:$H$102,5,FALSE)-VLOOKUP($A40,main!$A$3:$H$102,6,FALSE)&gt;=main!$D$103+VLOOKUP(VLOOKUP(D$1,main!$A$3:$I$102,7,FALSE),main!$K$26:$Q$29,3,FALSE),1,0)</f>
        <v>0</v>
      </c>
      <c r="E40">
        <f>IF(VLOOKUP(E$1,main!$A$3:$H$102,5,FALSE)-VLOOKUP($A40,main!$A$3:$H$102,6,FALSE)&gt;=main!$D$103+VLOOKUP(VLOOKUP(E$1,main!$A$3:$I$102,7,FALSE),main!$K$26:$Q$29,3,FALSE),1,0)</f>
        <v>0</v>
      </c>
      <c r="F40">
        <f>IF(VLOOKUP(F$1,main!$A$3:$H$102,5,FALSE)-VLOOKUP($A40,main!$A$3:$H$102,6,FALSE)&gt;=main!$D$103+VLOOKUP(VLOOKUP(F$1,main!$A$3:$I$102,7,FALSE),main!$K$26:$Q$29,3,FALSE),1,0)</f>
        <v>0</v>
      </c>
      <c r="G40">
        <f>IF(VLOOKUP(G$1,main!$A$3:$H$102,5,FALSE)-VLOOKUP($A40,main!$A$3:$H$102,6,FALSE)&gt;=main!$D$103+VLOOKUP(VLOOKUP(G$1,main!$A$3:$I$102,7,FALSE),main!$K$26:$Q$29,3,FALSE),1,0)</f>
        <v>0</v>
      </c>
      <c r="H40">
        <f>IF(VLOOKUP(H$1,main!$A$3:$H$102,5,FALSE)-VLOOKUP($A40,main!$A$3:$H$102,6,FALSE)&gt;=main!$D$103+VLOOKUP(VLOOKUP(H$1,main!$A$3:$I$102,7,FALSE),main!$K$26:$Q$29,3,FALSE),1,0)</f>
        <v>0</v>
      </c>
      <c r="I40">
        <f>IF(VLOOKUP(I$1,main!$A$3:$H$102,5,FALSE)-VLOOKUP($A40,main!$A$3:$H$102,6,FALSE)&gt;=main!$D$103+VLOOKUP(VLOOKUP(I$1,main!$A$3:$I$102,7,FALSE),main!$K$26:$Q$29,3,FALSE),1,0)</f>
        <v>0</v>
      </c>
      <c r="J40">
        <f>IF(VLOOKUP(J$1,main!$A$3:$H$102,5,FALSE)-VLOOKUP($A40,main!$A$3:$H$102,6,FALSE)&gt;=main!$D$103+VLOOKUP(VLOOKUP(J$1,main!$A$3:$I$102,7,FALSE),main!$K$26:$Q$29,3,FALSE),1,0)</f>
        <v>0</v>
      </c>
      <c r="K40">
        <f>IF(VLOOKUP(K$1,main!$A$3:$H$102,5,FALSE)-VLOOKUP($A40,main!$A$3:$H$102,6,FALSE)&gt;=main!$D$103+VLOOKUP(VLOOKUP(K$1,main!$A$3:$I$102,7,FALSE),main!$K$26:$Q$29,3,FALSE),1,0)</f>
        <v>0</v>
      </c>
      <c r="L40">
        <f>IF(VLOOKUP(L$1,main!$A$3:$H$102,5,FALSE)-VLOOKUP($A40,main!$A$3:$H$102,6,FALSE)&gt;=main!$D$103+VLOOKUP(VLOOKUP(L$1,main!$A$3:$I$102,7,FALSE),main!$K$26:$Q$29,3,FALSE),1,0)</f>
        <v>0</v>
      </c>
      <c r="M40">
        <f>IF(VLOOKUP(M$1,main!$A$3:$H$102,5,FALSE)-VLOOKUP($A40,main!$A$3:$H$102,6,FALSE)&gt;=main!$D$103+VLOOKUP(VLOOKUP(M$1,main!$A$3:$I$102,7,FALSE),main!$K$26:$Q$29,3,FALSE),1,0)</f>
        <v>0</v>
      </c>
      <c r="N40">
        <f>IF(VLOOKUP(N$1,main!$A$3:$H$102,5,FALSE)-VLOOKUP($A40,main!$A$3:$H$102,6,FALSE)&gt;=main!$D$103+VLOOKUP(VLOOKUP(N$1,main!$A$3:$I$102,7,FALSE),main!$K$26:$Q$29,3,FALSE),1,0)</f>
        <v>0</v>
      </c>
      <c r="O40">
        <f>IF(VLOOKUP(O$1,main!$A$3:$H$102,5,FALSE)-VLOOKUP($A40,main!$A$3:$H$102,6,FALSE)&gt;=main!$D$103+VLOOKUP(VLOOKUP(O$1,main!$A$3:$I$102,7,FALSE),main!$K$26:$Q$29,3,FALSE),1,0)</f>
        <v>0</v>
      </c>
      <c r="P40">
        <f>IF(VLOOKUP(P$1,main!$A$3:$H$102,5,FALSE)-VLOOKUP($A40,main!$A$3:$H$102,6,FALSE)&gt;=main!$D$103+VLOOKUP(VLOOKUP(P$1,main!$A$3:$I$102,7,FALSE),main!$K$26:$Q$29,3,FALSE),1,0)</f>
        <v>0</v>
      </c>
      <c r="Q40">
        <f>IF(VLOOKUP(Q$1,main!$A$3:$H$102,5,FALSE)-VLOOKUP($A40,main!$A$3:$H$102,6,FALSE)&gt;=main!$D$103+VLOOKUP(VLOOKUP(Q$1,main!$A$3:$I$102,7,FALSE),main!$K$26:$Q$29,3,FALSE),1,0)</f>
        <v>0</v>
      </c>
      <c r="R40">
        <f>IF(VLOOKUP(R$1,main!$A$3:$H$102,5,FALSE)-VLOOKUP($A40,main!$A$3:$H$102,6,FALSE)&gt;=main!$D$103+VLOOKUP(VLOOKUP(R$1,main!$A$3:$I$102,7,FALSE),main!$K$26:$Q$29,3,FALSE),1,0)</f>
        <v>0</v>
      </c>
      <c r="S40">
        <f>IF(VLOOKUP(S$1,main!$A$3:$H$102,5,FALSE)-VLOOKUP($A40,main!$A$3:$H$102,6,FALSE)&gt;=main!$D$103+VLOOKUP(VLOOKUP(S$1,main!$A$3:$I$102,7,FALSE),main!$K$26:$Q$29,3,FALSE),1,0)</f>
        <v>0</v>
      </c>
      <c r="T40">
        <f>IF(VLOOKUP(T$1,main!$A$3:$H$102,5,FALSE)-VLOOKUP($A40,main!$A$3:$H$102,6,FALSE)&gt;=main!$D$103+VLOOKUP(VLOOKUP(T$1,main!$A$3:$I$102,7,FALSE),main!$K$26:$Q$29,3,FALSE),1,0)</f>
        <v>0</v>
      </c>
      <c r="U40">
        <f>IF(VLOOKUP(U$1,main!$A$3:$H$102,5,FALSE)-VLOOKUP($A40,main!$A$3:$H$102,6,FALSE)&gt;=main!$D$103+VLOOKUP(VLOOKUP(U$1,main!$A$3:$I$102,7,FALSE),main!$K$26:$Q$29,3,FALSE),1,0)</f>
        <v>0</v>
      </c>
      <c r="V40">
        <f>IF(VLOOKUP(V$1,main!$A$3:$H$102,5,FALSE)-VLOOKUP($A40,main!$A$3:$H$102,6,FALSE)&gt;=main!$D$103+VLOOKUP(VLOOKUP(V$1,main!$A$3:$I$102,7,FALSE),main!$K$26:$Q$29,3,FALSE),1,0)</f>
        <v>0</v>
      </c>
      <c r="W40">
        <f>IF(VLOOKUP(W$1,main!$A$3:$H$102,5,FALSE)-VLOOKUP($A40,main!$A$3:$H$102,6,FALSE)&gt;=main!$D$103+VLOOKUP(VLOOKUP(W$1,main!$A$3:$I$102,7,FALSE),main!$K$26:$Q$29,3,FALSE),1,0)</f>
        <v>0</v>
      </c>
      <c r="X40">
        <f>IF(VLOOKUP(X$1,main!$A$3:$H$102,5,FALSE)-VLOOKUP($A40,main!$A$3:$H$102,6,FALSE)&gt;=main!$D$103+VLOOKUP(VLOOKUP(X$1,main!$A$3:$I$102,7,FALSE),main!$K$26:$Q$29,3,FALSE),1,0)</f>
        <v>0</v>
      </c>
      <c r="Y40">
        <f>IF(VLOOKUP(Y$1,main!$A$3:$H$102,5,FALSE)-VLOOKUP($A40,main!$A$3:$H$102,6,FALSE)&gt;=main!$D$103+VLOOKUP(VLOOKUP(Y$1,main!$A$3:$I$102,7,FALSE),main!$K$26:$Q$29,3,FALSE),1,0)</f>
        <v>0</v>
      </c>
      <c r="Z40">
        <f>IF(VLOOKUP(Z$1,main!$A$3:$H$102,5,FALSE)-VLOOKUP($A40,main!$A$3:$H$102,6,FALSE)&gt;=main!$D$103+VLOOKUP(VLOOKUP(Z$1,main!$A$3:$I$102,7,FALSE),main!$K$26:$Q$29,3,FALSE),1,0)</f>
        <v>0</v>
      </c>
      <c r="AA40">
        <f>IF(VLOOKUP(AA$1,main!$A$3:$H$102,5,FALSE)-VLOOKUP($A40,main!$A$3:$H$102,6,FALSE)&gt;=main!$D$103+VLOOKUP(VLOOKUP(AA$1,main!$A$3:$I$102,7,FALSE),main!$K$26:$Q$29,3,FALSE),1,0)</f>
        <v>0</v>
      </c>
      <c r="AB40">
        <f>IF(VLOOKUP(AB$1,main!$A$3:$H$102,5,FALSE)-VLOOKUP($A40,main!$A$3:$H$102,6,FALSE)&gt;=main!$D$103+VLOOKUP(VLOOKUP(AB$1,main!$A$3:$I$102,7,FALSE),main!$K$26:$Q$29,3,FALSE),1,0)</f>
        <v>0</v>
      </c>
      <c r="AC40">
        <f>IF(VLOOKUP(AC$1,main!$A$3:$H$102,5,FALSE)-VLOOKUP($A40,main!$A$3:$H$102,6,FALSE)&gt;=main!$D$103+VLOOKUP(VLOOKUP(AC$1,main!$A$3:$I$102,7,FALSE),main!$K$26:$Q$29,3,FALSE),1,0)</f>
        <v>0</v>
      </c>
      <c r="AD40">
        <f>IF(VLOOKUP(AD$1,main!$A$3:$H$102,5,FALSE)-VLOOKUP($A40,main!$A$3:$H$102,6,FALSE)&gt;=main!$D$103+VLOOKUP(VLOOKUP(AD$1,main!$A$3:$I$102,7,FALSE),main!$K$26:$Q$29,3,FALSE),1,0)</f>
        <v>0</v>
      </c>
      <c r="AE40">
        <f>IF(VLOOKUP(AE$1,main!$A$3:$H$102,5,FALSE)-VLOOKUP($A40,main!$A$3:$H$102,6,FALSE)&gt;=main!$D$103+VLOOKUP(VLOOKUP(AE$1,main!$A$3:$I$102,7,FALSE),main!$K$26:$Q$29,3,FALSE),1,0)</f>
        <v>0</v>
      </c>
      <c r="AF40">
        <f>IF(VLOOKUP(AF$1,main!$A$3:$H$102,5,FALSE)-VLOOKUP($A40,main!$A$3:$H$102,6,FALSE)&gt;=main!$D$103+VLOOKUP(VLOOKUP(AF$1,main!$A$3:$I$102,7,FALSE),main!$K$26:$Q$29,3,FALSE),1,0)</f>
        <v>0</v>
      </c>
      <c r="AG40">
        <f>IF(VLOOKUP(AG$1,main!$A$3:$H$102,5,FALSE)-VLOOKUP($A40,main!$A$3:$H$102,6,FALSE)&gt;=main!$D$103+VLOOKUP(VLOOKUP(AG$1,main!$A$3:$I$102,7,FALSE),main!$K$26:$Q$29,3,FALSE),1,0)</f>
        <v>0</v>
      </c>
      <c r="AH40">
        <f>IF(VLOOKUP(AH$1,main!$A$3:$H$102,5,FALSE)-VLOOKUP($A40,main!$A$3:$H$102,6,FALSE)&gt;=main!$D$103+VLOOKUP(VLOOKUP(AH$1,main!$A$3:$I$102,7,FALSE),main!$K$26:$Q$29,3,FALSE),1,0)</f>
        <v>0</v>
      </c>
      <c r="AI40">
        <f>IF(VLOOKUP(AI$1,main!$A$3:$H$102,5,FALSE)-VLOOKUP($A40,main!$A$3:$H$102,6,FALSE)&gt;=main!$D$103+VLOOKUP(VLOOKUP(AI$1,main!$A$3:$I$102,7,FALSE),main!$K$26:$Q$29,3,FALSE),1,0)</f>
        <v>0</v>
      </c>
      <c r="AJ40">
        <f>IF(VLOOKUP(AJ$1,main!$A$3:$H$102,5,FALSE)-VLOOKUP($A40,main!$A$3:$H$102,6,FALSE)&gt;=main!$D$103+VLOOKUP(VLOOKUP(AJ$1,main!$A$3:$I$102,7,FALSE),main!$K$26:$Q$29,3,FALSE),1,0)</f>
        <v>0</v>
      </c>
      <c r="AK40">
        <f>IF(VLOOKUP(AK$1,main!$A$3:$H$102,5,FALSE)-VLOOKUP($A40,main!$A$3:$H$102,6,FALSE)&gt;=main!$D$103+VLOOKUP(VLOOKUP(AK$1,main!$A$3:$I$102,7,FALSE),main!$K$26:$Q$29,3,FALSE),1,0)</f>
        <v>0</v>
      </c>
      <c r="AL40">
        <f>IF(VLOOKUP(AL$1,main!$A$3:$H$102,5,FALSE)-VLOOKUP($A40,main!$A$3:$H$102,6,FALSE)&gt;=main!$D$103+VLOOKUP(VLOOKUP(AL$1,main!$A$3:$I$102,7,FALSE),main!$K$26:$Q$29,3,FALSE),1,0)</f>
        <v>0</v>
      </c>
      <c r="AM40">
        <f>IF(VLOOKUP(AM$1,main!$A$3:$H$102,5,FALSE)-VLOOKUP($A40,main!$A$3:$H$102,6,FALSE)&gt;=main!$D$103+VLOOKUP(VLOOKUP(AM$1,main!$A$3:$I$102,7,FALSE),main!$K$26:$Q$29,3,FALSE),1,0)</f>
        <v>0</v>
      </c>
      <c r="AN40">
        <f>IF(VLOOKUP(AN$1,main!$A$3:$H$102,5,FALSE)-VLOOKUP($A40,main!$A$3:$H$102,6,FALSE)&gt;=main!$D$103+VLOOKUP(VLOOKUP(AN$1,main!$A$3:$I$102,7,FALSE),main!$K$26:$Q$29,3,FALSE),1,0)</f>
        <v>0</v>
      </c>
      <c r="AO40">
        <f>IF(VLOOKUP(AO$1,main!$A$3:$H$102,5,FALSE)-VLOOKUP($A40,main!$A$3:$H$102,6,FALSE)&gt;=main!$D$103+VLOOKUP(VLOOKUP(AO$1,main!$A$3:$I$102,7,FALSE),main!$K$26:$Q$29,3,FALSE),1,0)</f>
        <v>0</v>
      </c>
      <c r="AP40">
        <f>IF(VLOOKUP(AP$1,main!$A$3:$H$102,5,FALSE)-VLOOKUP($A40,main!$A$3:$H$102,6,FALSE)&gt;=main!$D$103+VLOOKUP(VLOOKUP(AP$1,main!$A$3:$I$102,7,FALSE),main!$K$26:$Q$29,3,FALSE),1,0)</f>
        <v>0</v>
      </c>
      <c r="AQ40">
        <f>IF(VLOOKUP(AQ$1,main!$A$3:$H$102,5,FALSE)-VLOOKUP($A40,main!$A$3:$H$102,6,FALSE)&gt;=main!$D$103+VLOOKUP(VLOOKUP(AQ$1,main!$A$3:$I$102,7,FALSE),main!$K$26:$Q$29,3,FALSE),1,0)</f>
        <v>0</v>
      </c>
      <c r="AR40">
        <f>IF(VLOOKUP(AR$1,main!$A$3:$H$102,5,FALSE)-VLOOKUP($A40,main!$A$3:$H$102,6,FALSE)&gt;=main!$D$103+VLOOKUP(VLOOKUP(AR$1,main!$A$3:$I$102,7,FALSE),main!$K$26:$Q$29,3,FALSE),1,0)</f>
        <v>0</v>
      </c>
      <c r="AS40">
        <f>IF(VLOOKUP(AS$1,main!$A$3:$H$102,5,FALSE)-VLOOKUP($A40,main!$A$3:$H$102,6,FALSE)&gt;=main!$D$103+VLOOKUP(VLOOKUP(AS$1,main!$A$3:$I$102,7,FALSE),main!$K$26:$Q$29,3,FALSE),1,0)</f>
        <v>0</v>
      </c>
      <c r="AT40">
        <f>IF(VLOOKUP(AT$1,main!$A$3:$H$102,5,FALSE)-VLOOKUP($A40,main!$A$3:$H$102,6,FALSE)&gt;=main!$D$103+VLOOKUP(VLOOKUP(AT$1,main!$A$3:$I$102,7,FALSE),main!$K$26:$Q$29,3,FALSE),1,0)</f>
        <v>0</v>
      </c>
      <c r="AU40">
        <f>IF(VLOOKUP(AU$1,main!$A$3:$H$102,5,FALSE)-VLOOKUP($A40,main!$A$3:$H$102,6,FALSE)&gt;=main!$D$103+VLOOKUP(VLOOKUP(AU$1,main!$A$3:$I$102,7,FALSE),main!$K$26:$Q$29,3,FALSE),1,0)</f>
        <v>0</v>
      </c>
      <c r="AV40">
        <f>IF(VLOOKUP(AV$1,main!$A$3:$H$102,5,FALSE)-VLOOKUP($A40,main!$A$3:$H$102,6,FALSE)&gt;=main!$D$103+VLOOKUP(VLOOKUP(AV$1,main!$A$3:$I$102,7,FALSE),main!$K$26:$Q$29,3,FALSE),1,0)</f>
        <v>0</v>
      </c>
      <c r="AW40">
        <f>IF(VLOOKUP(AW$1,main!$A$3:$H$102,5,FALSE)-VLOOKUP($A40,main!$A$3:$H$102,6,FALSE)&gt;=main!$D$103+VLOOKUP(VLOOKUP(AW$1,main!$A$3:$I$102,7,FALSE),main!$K$26:$Q$29,3,FALSE),1,0)</f>
        <v>0</v>
      </c>
      <c r="AX40">
        <f>IF(VLOOKUP(AX$1,main!$A$3:$H$102,5,FALSE)-VLOOKUP($A40,main!$A$3:$H$102,6,FALSE)&gt;=main!$D$103+VLOOKUP(VLOOKUP(AX$1,main!$A$3:$I$102,7,FALSE),main!$K$26:$Q$29,3,FALSE),1,0)</f>
        <v>0</v>
      </c>
      <c r="AY40">
        <f>IF(VLOOKUP(AY$1,main!$A$3:$H$102,5,FALSE)-VLOOKUP($A40,main!$A$3:$H$102,6,FALSE)&gt;=main!$D$103+VLOOKUP(VLOOKUP(AY$1,main!$A$3:$I$102,7,FALSE),main!$K$26:$Q$29,3,FALSE),1,0)</f>
        <v>0</v>
      </c>
      <c r="AZ40">
        <f>IF(VLOOKUP(AZ$1,main!$A$3:$H$102,5,FALSE)-VLOOKUP($A40,main!$A$3:$H$102,6,FALSE)&gt;=main!$D$103+VLOOKUP(VLOOKUP(AZ$1,main!$A$3:$I$102,7,FALSE),main!$K$26:$Q$29,3,FALSE),1,0)</f>
        <v>0</v>
      </c>
      <c r="BA40">
        <f>IF(VLOOKUP(BA$1,main!$A$3:$H$102,5,FALSE)-VLOOKUP($A40,main!$A$3:$H$102,6,FALSE)&gt;=main!$D$103+VLOOKUP(VLOOKUP(BA$1,main!$A$3:$I$102,7,FALSE),main!$K$26:$Q$29,3,FALSE),1,0)</f>
        <v>0</v>
      </c>
      <c r="BB40">
        <f>IF(VLOOKUP(BB$1,main!$A$3:$H$102,5,FALSE)-VLOOKUP($A40,main!$A$3:$H$102,6,FALSE)&gt;=main!$D$103+VLOOKUP(VLOOKUP(BB$1,main!$A$3:$I$102,7,FALSE),main!$K$26:$Q$29,3,FALSE),1,0)</f>
        <v>0</v>
      </c>
      <c r="BC40">
        <f>IF(VLOOKUP(BC$1,main!$A$3:$H$102,5,FALSE)-VLOOKUP($A40,main!$A$3:$H$102,6,FALSE)&gt;=main!$D$103+VLOOKUP(VLOOKUP(BC$1,main!$A$3:$I$102,7,FALSE),main!$K$26:$Q$29,3,FALSE),1,0)</f>
        <v>0</v>
      </c>
      <c r="BD40">
        <f>IF(VLOOKUP(BD$1,main!$A$3:$H$102,5,FALSE)-VLOOKUP($A40,main!$A$3:$H$102,6,FALSE)&gt;=main!$D$103+VLOOKUP(VLOOKUP(BD$1,main!$A$3:$I$102,7,FALSE),main!$K$26:$Q$29,3,FALSE),1,0)</f>
        <v>0</v>
      </c>
      <c r="BE40">
        <f>IF(VLOOKUP(BE$1,main!$A$3:$H$102,5,FALSE)-VLOOKUP($A40,main!$A$3:$H$102,6,FALSE)&gt;=main!$D$103+VLOOKUP(VLOOKUP(BE$1,main!$A$3:$I$102,7,FALSE),main!$K$26:$Q$29,3,FALSE),1,0)</f>
        <v>0</v>
      </c>
      <c r="BF40">
        <f>IF(VLOOKUP(BF$1,main!$A$3:$H$102,5,FALSE)-VLOOKUP($A40,main!$A$3:$H$102,6,FALSE)&gt;=main!$D$103+VLOOKUP(VLOOKUP(BF$1,main!$A$3:$I$102,7,FALSE),main!$K$26:$Q$29,3,FALSE),1,0)</f>
        <v>0</v>
      </c>
      <c r="BG40">
        <f>IF(VLOOKUP(BG$1,main!$A$3:$H$102,5,FALSE)-VLOOKUP($A40,main!$A$3:$H$102,6,FALSE)&gt;=main!$D$103+VLOOKUP(VLOOKUP(BG$1,main!$A$3:$I$102,7,FALSE),main!$K$26:$Q$29,3,FALSE),1,0)</f>
        <v>0</v>
      </c>
      <c r="BH40">
        <f>IF(VLOOKUP(BH$1,main!$A$3:$H$102,5,FALSE)-VLOOKUP($A40,main!$A$3:$H$102,6,FALSE)&gt;=main!$D$103+VLOOKUP(VLOOKUP(BH$1,main!$A$3:$I$102,7,FALSE),main!$K$26:$Q$29,3,FALSE),1,0)</f>
        <v>0</v>
      </c>
      <c r="BI40">
        <f>IF(VLOOKUP(BI$1,main!$A$3:$H$102,5,FALSE)-VLOOKUP($A40,main!$A$3:$H$102,6,FALSE)&gt;=main!$D$103+VLOOKUP(VLOOKUP(BI$1,main!$A$3:$I$102,7,FALSE),main!$K$26:$Q$29,3,FALSE),1,0)</f>
        <v>0</v>
      </c>
      <c r="BJ40">
        <f>IF(VLOOKUP(BJ$1,main!$A$3:$H$102,5,FALSE)-VLOOKUP($A40,main!$A$3:$H$102,6,FALSE)&gt;=main!$D$103+VLOOKUP(VLOOKUP(BJ$1,main!$A$3:$I$102,7,FALSE),main!$K$26:$Q$29,3,FALSE),1,0)</f>
        <v>0</v>
      </c>
      <c r="BK40">
        <f>IF(VLOOKUP(BK$1,main!$A$3:$H$102,5,FALSE)-VLOOKUP($A40,main!$A$3:$H$102,6,FALSE)&gt;=main!$D$103+VLOOKUP(VLOOKUP(BK$1,main!$A$3:$I$102,7,FALSE),main!$K$26:$Q$29,3,FALSE),1,0)</f>
        <v>0</v>
      </c>
      <c r="BL40">
        <f>IF(VLOOKUP(BL$1,main!$A$3:$H$102,5,FALSE)-VLOOKUP($A40,main!$A$3:$H$102,6,FALSE)&gt;=main!$D$103+VLOOKUP(VLOOKUP(BL$1,main!$A$3:$I$102,7,FALSE),main!$K$26:$Q$29,3,FALSE),1,0)</f>
        <v>0</v>
      </c>
      <c r="BM40">
        <f>IF(VLOOKUP(BM$1,main!$A$3:$H$102,5,FALSE)-VLOOKUP($A40,main!$A$3:$H$102,6,FALSE)&gt;=main!$D$103+VLOOKUP(VLOOKUP(BM$1,main!$A$3:$I$102,7,FALSE),main!$K$26:$Q$29,3,FALSE),1,0)</f>
        <v>0</v>
      </c>
      <c r="BN40">
        <f>IF(VLOOKUP(BN$1,main!$A$3:$H$102,5,FALSE)-VLOOKUP($A40,main!$A$3:$H$102,6,FALSE)&gt;=main!$D$103+VLOOKUP(VLOOKUP(BN$1,main!$A$3:$I$102,7,FALSE),main!$K$26:$Q$29,3,FALSE),1,0)</f>
        <v>0</v>
      </c>
      <c r="BO40">
        <f>IF(VLOOKUP(BO$1,main!$A$3:$H$102,5,FALSE)-VLOOKUP($A40,main!$A$3:$H$102,6,FALSE)&gt;=main!$D$103+VLOOKUP(VLOOKUP(BO$1,main!$A$3:$I$102,7,FALSE),main!$K$26:$Q$29,3,FALSE),1,0)</f>
        <v>0</v>
      </c>
      <c r="BP40">
        <f>IF(VLOOKUP(BP$1,main!$A$3:$H$102,5,FALSE)-VLOOKUP($A40,main!$A$3:$H$102,6,FALSE)&gt;=main!$D$103+VLOOKUP(VLOOKUP(BP$1,main!$A$3:$I$102,7,FALSE),main!$K$26:$Q$29,3,FALSE),1,0)</f>
        <v>0</v>
      </c>
      <c r="BQ40">
        <f>IF(VLOOKUP(BQ$1,main!$A$3:$H$102,5,FALSE)-VLOOKUP($A40,main!$A$3:$H$102,6,FALSE)&gt;=main!$D$103+VLOOKUP(VLOOKUP(BQ$1,main!$A$3:$I$102,7,FALSE),main!$K$26:$Q$29,3,FALSE),1,0)</f>
        <v>0</v>
      </c>
      <c r="BR40">
        <f>IF(VLOOKUP(BR$1,main!$A$3:$H$102,5,FALSE)-VLOOKUP($A40,main!$A$3:$H$102,6,FALSE)&gt;=main!$D$103+VLOOKUP(VLOOKUP(BR$1,main!$A$3:$I$102,7,FALSE),main!$K$26:$Q$29,3,FALSE),1,0)</f>
        <v>0</v>
      </c>
      <c r="BS40">
        <f>IF(VLOOKUP(BS$1,main!$A$3:$H$102,5,FALSE)-VLOOKUP($A40,main!$A$3:$H$102,6,FALSE)&gt;=main!$D$103+VLOOKUP(VLOOKUP(BS$1,main!$A$3:$I$102,7,FALSE),main!$K$26:$Q$29,3,FALSE),1,0)</f>
        <v>0</v>
      </c>
      <c r="BT40">
        <f>IF(VLOOKUP(BT$1,main!$A$3:$H$102,5,FALSE)-VLOOKUP($A40,main!$A$3:$H$102,6,FALSE)&gt;=main!$D$103+VLOOKUP(VLOOKUP(BT$1,main!$A$3:$I$102,7,FALSE),main!$K$26:$Q$29,3,FALSE),1,0)</f>
        <v>0</v>
      </c>
      <c r="BU40">
        <f>IF(VLOOKUP(BU$1,main!$A$3:$H$102,5,FALSE)-VLOOKUP($A40,main!$A$3:$H$102,6,FALSE)&gt;=main!$D$103+VLOOKUP(VLOOKUP(BU$1,main!$A$3:$I$102,7,FALSE),main!$K$26:$Q$29,3,FALSE),1,0)</f>
        <v>0</v>
      </c>
      <c r="BV40">
        <f>IF(VLOOKUP(BV$1,main!$A$3:$H$102,5,FALSE)-VLOOKUP($A40,main!$A$3:$H$102,6,FALSE)&gt;=main!$D$103+VLOOKUP(VLOOKUP(BV$1,main!$A$3:$I$102,7,FALSE),main!$K$26:$Q$29,3,FALSE),1,0)</f>
        <v>0</v>
      </c>
      <c r="BW40">
        <f>IF(VLOOKUP(BW$1,main!$A$3:$H$102,5,FALSE)-VLOOKUP($A40,main!$A$3:$H$102,6,FALSE)&gt;=main!$D$103+VLOOKUP(VLOOKUP(BW$1,main!$A$3:$I$102,7,FALSE),main!$K$26:$Q$29,3,FALSE),1,0)</f>
        <v>0</v>
      </c>
      <c r="BX40">
        <f>IF(VLOOKUP(BX$1,main!$A$3:$H$102,5,FALSE)-VLOOKUP($A40,main!$A$3:$H$102,6,FALSE)&gt;=main!$D$103+VLOOKUP(VLOOKUP(BX$1,main!$A$3:$I$102,7,FALSE),main!$K$26:$Q$29,3,FALSE),1,0)</f>
        <v>0</v>
      </c>
      <c r="BY40">
        <f>IF(VLOOKUP(BY$1,main!$A$3:$H$102,5,FALSE)-VLOOKUP($A40,main!$A$3:$H$102,6,FALSE)&gt;=main!$D$103+VLOOKUP(VLOOKUP(BY$1,main!$A$3:$I$102,7,FALSE),main!$K$26:$Q$29,3,FALSE),1,0)</f>
        <v>0</v>
      </c>
      <c r="BZ40">
        <f>IF(VLOOKUP(BZ$1,main!$A$3:$H$102,5,FALSE)-VLOOKUP($A40,main!$A$3:$H$102,6,FALSE)&gt;=main!$D$103+VLOOKUP(VLOOKUP(BZ$1,main!$A$3:$I$102,7,FALSE),main!$K$26:$Q$29,3,FALSE),1,0)</f>
        <v>0</v>
      </c>
      <c r="CA40">
        <f>IF(VLOOKUP(CA$1,main!$A$3:$H$102,5,FALSE)-VLOOKUP($A40,main!$A$3:$H$102,6,FALSE)&gt;=main!$D$103+VLOOKUP(VLOOKUP(CA$1,main!$A$3:$I$102,7,FALSE),main!$K$26:$Q$29,3,FALSE),1,0)</f>
        <v>0</v>
      </c>
      <c r="CB40">
        <f>IF(VLOOKUP(CB$1,main!$A$3:$H$102,5,FALSE)-VLOOKUP($A40,main!$A$3:$H$102,6,FALSE)&gt;=main!$D$103+VLOOKUP(VLOOKUP(CB$1,main!$A$3:$I$102,7,FALSE),main!$K$26:$Q$29,3,FALSE),1,0)</f>
        <v>0</v>
      </c>
      <c r="CC40">
        <f>IF(VLOOKUP(CC$1,main!$A$3:$H$102,5,FALSE)-VLOOKUP($A40,main!$A$3:$H$102,6,FALSE)&gt;=main!$D$103+VLOOKUP(VLOOKUP(CC$1,main!$A$3:$I$102,7,FALSE),main!$K$26:$Q$29,3,FALSE),1,0)</f>
        <v>0</v>
      </c>
      <c r="CD40">
        <f>IF(VLOOKUP(CD$1,main!$A$3:$H$102,5,FALSE)-VLOOKUP($A40,main!$A$3:$H$102,6,FALSE)&gt;=main!$D$103+VLOOKUP(VLOOKUP(CD$1,main!$A$3:$I$102,7,FALSE),main!$K$26:$Q$29,3,FALSE),1,0)</f>
        <v>0</v>
      </c>
      <c r="CE40">
        <f>IF(VLOOKUP(CE$1,main!$A$3:$H$102,5,FALSE)-VLOOKUP($A40,main!$A$3:$H$102,6,FALSE)&gt;=main!$D$103+VLOOKUP(VLOOKUP(CE$1,main!$A$3:$I$102,7,FALSE),main!$K$26:$Q$29,3,FALSE),1,0)</f>
        <v>0</v>
      </c>
      <c r="CF40">
        <f>IF(VLOOKUP(CF$1,main!$A$3:$H$102,5,FALSE)-VLOOKUP($A40,main!$A$3:$H$102,6,FALSE)&gt;=main!$D$103+VLOOKUP(VLOOKUP(CF$1,main!$A$3:$I$102,7,FALSE),main!$K$26:$Q$29,3,FALSE),1,0)</f>
        <v>0</v>
      </c>
      <c r="CG40">
        <f>IF(VLOOKUP(CG$1,main!$A$3:$H$102,5,FALSE)-VLOOKUP($A40,main!$A$3:$H$102,6,FALSE)&gt;=main!$D$103+VLOOKUP(VLOOKUP(CG$1,main!$A$3:$I$102,7,FALSE),main!$K$26:$Q$29,3,FALSE),1,0)</f>
        <v>0</v>
      </c>
      <c r="CH40">
        <f>IF(VLOOKUP(CH$1,main!$A$3:$H$102,5,FALSE)-VLOOKUP($A40,main!$A$3:$H$102,6,FALSE)&gt;=main!$D$103+VLOOKUP(VLOOKUP(CH$1,main!$A$3:$I$102,7,FALSE),main!$K$26:$Q$29,3,FALSE),1,0)</f>
        <v>0</v>
      </c>
      <c r="CI40">
        <f>IF(VLOOKUP(CI$1,main!$A$3:$H$102,5,FALSE)-VLOOKUP($A40,main!$A$3:$H$102,6,FALSE)&gt;=main!$D$103+VLOOKUP(VLOOKUP(CI$1,main!$A$3:$I$102,7,FALSE),main!$K$26:$Q$29,3,FALSE),1,0)</f>
        <v>0</v>
      </c>
      <c r="CJ40">
        <f>IF(VLOOKUP(CJ$1,main!$A$3:$H$102,5,FALSE)-VLOOKUP($A40,main!$A$3:$H$102,6,FALSE)&gt;=main!$D$103+VLOOKUP(VLOOKUP(CJ$1,main!$A$3:$I$102,7,FALSE),main!$K$26:$Q$29,3,FALSE),1,0)</f>
        <v>0</v>
      </c>
      <c r="CK40">
        <f>IF(VLOOKUP(CK$1,main!$A$3:$H$102,5,FALSE)-VLOOKUP($A40,main!$A$3:$H$102,6,FALSE)&gt;=main!$D$103+VLOOKUP(VLOOKUP(CK$1,main!$A$3:$I$102,7,FALSE),main!$K$26:$Q$29,3,FALSE),1,0)</f>
        <v>0</v>
      </c>
      <c r="CL40">
        <f>IF(VLOOKUP(CL$1,main!$A$3:$H$102,5,FALSE)-VLOOKUP($A40,main!$A$3:$H$102,6,FALSE)&gt;=main!$D$103+VLOOKUP(VLOOKUP(CL$1,main!$A$3:$I$102,7,FALSE),main!$K$26:$Q$29,3,FALSE),1,0)</f>
        <v>0</v>
      </c>
      <c r="CM40">
        <f>IF(VLOOKUP(CM$1,main!$A$3:$H$102,5,FALSE)-VLOOKUP($A40,main!$A$3:$H$102,6,FALSE)&gt;=main!$D$103+VLOOKUP(VLOOKUP(CM$1,main!$A$3:$I$102,7,FALSE),main!$K$26:$Q$29,3,FALSE),1,0)</f>
        <v>0</v>
      </c>
      <c r="CN40">
        <f>IF(VLOOKUP(CN$1,main!$A$3:$H$102,5,FALSE)-VLOOKUP($A40,main!$A$3:$H$102,6,FALSE)&gt;=main!$D$103+VLOOKUP(VLOOKUP(CN$1,main!$A$3:$I$102,7,FALSE),main!$K$26:$Q$29,3,FALSE),1,0)</f>
        <v>0</v>
      </c>
      <c r="CO40">
        <f>IF(VLOOKUP(CO$1,main!$A$3:$H$102,5,FALSE)-VLOOKUP($A40,main!$A$3:$H$102,6,FALSE)&gt;=main!$D$103+VLOOKUP(VLOOKUP(CO$1,main!$A$3:$I$102,7,FALSE),main!$K$26:$Q$29,3,FALSE),1,0)</f>
        <v>0</v>
      </c>
      <c r="CP40">
        <f>IF(VLOOKUP(CP$1,main!$A$3:$H$102,5,FALSE)-VLOOKUP($A40,main!$A$3:$H$102,6,FALSE)&gt;=main!$D$103+VLOOKUP(VLOOKUP(CP$1,main!$A$3:$I$102,7,FALSE),main!$K$26:$Q$29,3,FALSE),1,0)</f>
        <v>0</v>
      </c>
      <c r="CQ40">
        <f>IF(VLOOKUP(CQ$1,main!$A$3:$H$102,5,FALSE)-VLOOKUP($A40,main!$A$3:$H$102,6,FALSE)&gt;=main!$D$103+VLOOKUP(VLOOKUP(CQ$1,main!$A$3:$I$102,7,FALSE),main!$K$26:$Q$29,3,FALSE),1,0)</f>
        <v>0</v>
      </c>
      <c r="CR40">
        <f>IF(VLOOKUP(CR$1,main!$A$3:$H$102,5,FALSE)-VLOOKUP($A40,main!$A$3:$H$102,6,FALSE)&gt;=main!$D$103+VLOOKUP(VLOOKUP(CR$1,main!$A$3:$I$102,7,FALSE),main!$K$26:$Q$29,3,FALSE),1,0)</f>
        <v>0</v>
      </c>
      <c r="CS40">
        <f>IF(VLOOKUP(CS$1,main!$A$3:$H$102,5,FALSE)-VLOOKUP($A40,main!$A$3:$H$102,6,FALSE)&gt;=main!$D$103+VLOOKUP(VLOOKUP(CS$1,main!$A$3:$I$102,7,FALSE),main!$K$26:$Q$29,3,FALSE),1,0)</f>
        <v>0</v>
      </c>
      <c r="CT40">
        <f>IF(VLOOKUP(CT$1,main!$A$3:$H$102,5,FALSE)-VLOOKUP($A40,main!$A$3:$H$102,6,FALSE)&gt;=main!$D$103+VLOOKUP(VLOOKUP(CT$1,main!$A$3:$I$102,7,FALSE),main!$K$26:$Q$29,3,FALSE),1,0)</f>
        <v>0</v>
      </c>
      <c r="CU40">
        <f>IF(VLOOKUP(CU$1,main!$A$3:$H$102,5,FALSE)-VLOOKUP($A40,main!$A$3:$H$102,6,FALSE)&gt;=main!$D$103+VLOOKUP(VLOOKUP(CU$1,main!$A$3:$I$102,7,FALSE),main!$K$26:$Q$29,3,FALSE),1,0)</f>
        <v>0</v>
      </c>
      <c r="CV40">
        <f>IF(VLOOKUP(CV$1,main!$A$3:$H$102,5,FALSE)-VLOOKUP($A40,main!$A$3:$H$102,6,FALSE)&gt;=main!$D$103+VLOOKUP(VLOOKUP(CV$1,main!$A$3:$I$102,7,FALSE),main!$K$26:$Q$29,3,FALSE),1,0)</f>
        <v>0</v>
      </c>
      <c r="CW40">
        <f>IF(VLOOKUP(CW$1,main!$A$3:$H$102,5,FALSE)-VLOOKUP($A40,main!$A$3:$H$102,6,FALSE)&gt;=main!$D$103+VLOOKUP(VLOOKUP(CW$1,main!$A$3:$I$102,7,FALSE),main!$K$26:$Q$29,3,FALSE),1,0)</f>
        <v>0</v>
      </c>
      <c r="CX40">
        <f>IF(VLOOKUP(CX$1,main!$A$3:$H$102,5,FALSE)-VLOOKUP($A40,main!$A$3:$H$102,6,FALSE)&gt;=main!$D$103+VLOOKUP(VLOOKUP(CX$1,main!$A$3:$I$102,7,FALSE),main!$K$26:$Q$29,3,FALSE),1,0)</f>
        <v>0</v>
      </c>
    </row>
    <row r="41" spans="1:102" x14ac:dyDescent="0.25">
      <c r="A41" s="1">
        <v>39</v>
      </c>
      <c r="B41">
        <v>0</v>
      </c>
      <c r="C41">
        <f>IF(VLOOKUP(C$1,main!$A$3:$H$102,5,FALSE)-VLOOKUP($A41,main!$A$3:$H$102,6,FALSE)&gt;=main!$D$103+VLOOKUP(VLOOKUP(C$1,main!$A$3:$I$102,7,FALSE),main!$K$26:$Q$29,3,FALSE),1,0)</f>
        <v>0</v>
      </c>
      <c r="D41">
        <f>IF(VLOOKUP(D$1,main!$A$3:$H$102,5,FALSE)-VLOOKUP($A41,main!$A$3:$H$102,6,FALSE)&gt;=main!$D$103+VLOOKUP(VLOOKUP(D$1,main!$A$3:$I$102,7,FALSE),main!$K$26:$Q$29,3,FALSE),1,0)</f>
        <v>0</v>
      </c>
      <c r="E41">
        <f>IF(VLOOKUP(E$1,main!$A$3:$H$102,5,FALSE)-VLOOKUP($A41,main!$A$3:$H$102,6,FALSE)&gt;=main!$D$103+VLOOKUP(VLOOKUP(E$1,main!$A$3:$I$102,7,FALSE),main!$K$26:$Q$29,3,FALSE),1,0)</f>
        <v>1</v>
      </c>
      <c r="F41">
        <f>IF(VLOOKUP(F$1,main!$A$3:$H$102,5,FALSE)-VLOOKUP($A41,main!$A$3:$H$102,6,FALSE)&gt;=main!$D$103+VLOOKUP(VLOOKUP(F$1,main!$A$3:$I$102,7,FALSE),main!$K$26:$Q$29,3,FALSE),1,0)</f>
        <v>1</v>
      </c>
      <c r="G41">
        <f>IF(VLOOKUP(G$1,main!$A$3:$H$102,5,FALSE)-VLOOKUP($A41,main!$A$3:$H$102,6,FALSE)&gt;=main!$D$103+VLOOKUP(VLOOKUP(G$1,main!$A$3:$I$102,7,FALSE),main!$K$26:$Q$29,3,FALSE),1,0)</f>
        <v>1</v>
      </c>
      <c r="H41">
        <f>IF(VLOOKUP(H$1,main!$A$3:$H$102,5,FALSE)-VLOOKUP($A41,main!$A$3:$H$102,6,FALSE)&gt;=main!$D$103+VLOOKUP(VLOOKUP(H$1,main!$A$3:$I$102,7,FALSE),main!$K$26:$Q$29,3,FALSE),1,0)</f>
        <v>1</v>
      </c>
      <c r="I41">
        <f>IF(VLOOKUP(I$1,main!$A$3:$H$102,5,FALSE)-VLOOKUP($A41,main!$A$3:$H$102,6,FALSE)&gt;=main!$D$103+VLOOKUP(VLOOKUP(I$1,main!$A$3:$I$102,7,FALSE),main!$K$26:$Q$29,3,FALSE),1,0)</f>
        <v>1</v>
      </c>
      <c r="J41">
        <f>IF(VLOOKUP(J$1,main!$A$3:$H$102,5,FALSE)-VLOOKUP($A41,main!$A$3:$H$102,6,FALSE)&gt;=main!$D$103+VLOOKUP(VLOOKUP(J$1,main!$A$3:$I$102,7,FALSE),main!$K$26:$Q$29,3,FALSE),1,0)</f>
        <v>1</v>
      </c>
      <c r="K41">
        <f>IF(VLOOKUP(K$1,main!$A$3:$H$102,5,FALSE)-VLOOKUP($A41,main!$A$3:$H$102,6,FALSE)&gt;=main!$D$103+VLOOKUP(VLOOKUP(K$1,main!$A$3:$I$102,7,FALSE),main!$K$26:$Q$29,3,FALSE),1,0)</f>
        <v>1</v>
      </c>
      <c r="L41">
        <f>IF(VLOOKUP(L$1,main!$A$3:$H$102,5,FALSE)-VLOOKUP($A41,main!$A$3:$H$102,6,FALSE)&gt;=main!$D$103+VLOOKUP(VLOOKUP(L$1,main!$A$3:$I$102,7,FALSE),main!$K$26:$Q$29,3,FALSE),1,0)</f>
        <v>1</v>
      </c>
      <c r="M41">
        <f>IF(VLOOKUP(M$1,main!$A$3:$H$102,5,FALSE)-VLOOKUP($A41,main!$A$3:$H$102,6,FALSE)&gt;=main!$D$103+VLOOKUP(VLOOKUP(M$1,main!$A$3:$I$102,7,FALSE),main!$K$26:$Q$29,3,FALSE),1,0)</f>
        <v>0</v>
      </c>
      <c r="N41">
        <f>IF(VLOOKUP(N$1,main!$A$3:$H$102,5,FALSE)-VLOOKUP($A41,main!$A$3:$H$102,6,FALSE)&gt;=main!$D$103+VLOOKUP(VLOOKUP(N$1,main!$A$3:$I$102,7,FALSE),main!$K$26:$Q$29,3,FALSE),1,0)</f>
        <v>0</v>
      </c>
      <c r="O41">
        <f>IF(VLOOKUP(O$1,main!$A$3:$H$102,5,FALSE)-VLOOKUP($A41,main!$A$3:$H$102,6,FALSE)&gt;=main!$D$103+VLOOKUP(VLOOKUP(O$1,main!$A$3:$I$102,7,FALSE),main!$K$26:$Q$29,3,FALSE),1,0)</f>
        <v>0</v>
      </c>
      <c r="P41">
        <f>IF(VLOOKUP(P$1,main!$A$3:$H$102,5,FALSE)-VLOOKUP($A41,main!$A$3:$H$102,6,FALSE)&gt;=main!$D$103+VLOOKUP(VLOOKUP(P$1,main!$A$3:$I$102,7,FALSE),main!$K$26:$Q$29,3,FALSE),1,0)</f>
        <v>1</v>
      </c>
      <c r="Q41">
        <f>IF(VLOOKUP(Q$1,main!$A$3:$H$102,5,FALSE)-VLOOKUP($A41,main!$A$3:$H$102,6,FALSE)&gt;=main!$D$103+VLOOKUP(VLOOKUP(Q$1,main!$A$3:$I$102,7,FALSE),main!$K$26:$Q$29,3,FALSE),1,0)</f>
        <v>1</v>
      </c>
      <c r="R41">
        <f>IF(VLOOKUP(R$1,main!$A$3:$H$102,5,FALSE)-VLOOKUP($A41,main!$A$3:$H$102,6,FALSE)&gt;=main!$D$103+VLOOKUP(VLOOKUP(R$1,main!$A$3:$I$102,7,FALSE),main!$K$26:$Q$29,3,FALSE),1,0)</f>
        <v>1</v>
      </c>
      <c r="S41">
        <f>IF(VLOOKUP(S$1,main!$A$3:$H$102,5,FALSE)-VLOOKUP($A41,main!$A$3:$H$102,6,FALSE)&gt;=main!$D$103+VLOOKUP(VLOOKUP(S$1,main!$A$3:$I$102,7,FALSE),main!$K$26:$Q$29,3,FALSE),1,0)</f>
        <v>1</v>
      </c>
      <c r="T41">
        <f>IF(VLOOKUP(T$1,main!$A$3:$H$102,5,FALSE)-VLOOKUP($A41,main!$A$3:$H$102,6,FALSE)&gt;=main!$D$103+VLOOKUP(VLOOKUP(T$1,main!$A$3:$I$102,7,FALSE),main!$K$26:$Q$29,3,FALSE),1,0)</f>
        <v>1</v>
      </c>
      <c r="U41">
        <f>IF(VLOOKUP(U$1,main!$A$3:$H$102,5,FALSE)-VLOOKUP($A41,main!$A$3:$H$102,6,FALSE)&gt;=main!$D$103+VLOOKUP(VLOOKUP(U$1,main!$A$3:$I$102,7,FALSE),main!$K$26:$Q$29,3,FALSE),1,0)</f>
        <v>1</v>
      </c>
      <c r="V41">
        <f>IF(VLOOKUP(V$1,main!$A$3:$H$102,5,FALSE)-VLOOKUP($A41,main!$A$3:$H$102,6,FALSE)&gt;=main!$D$103+VLOOKUP(VLOOKUP(V$1,main!$A$3:$I$102,7,FALSE),main!$K$26:$Q$29,3,FALSE),1,0)</f>
        <v>1</v>
      </c>
      <c r="W41">
        <f>IF(VLOOKUP(W$1,main!$A$3:$H$102,5,FALSE)-VLOOKUP($A41,main!$A$3:$H$102,6,FALSE)&gt;=main!$D$103+VLOOKUP(VLOOKUP(W$1,main!$A$3:$I$102,7,FALSE),main!$K$26:$Q$29,3,FALSE),1,0)</f>
        <v>0</v>
      </c>
      <c r="X41">
        <f>IF(VLOOKUP(X$1,main!$A$3:$H$102,5,FALSE)-VLOOKUP($A41,main!$A$3:$H$102,6,FALSE)&gt;=main!$D$103+VLOOKUP(VLOOKUP(X$1,main!$A$3:$I$102,7,FALSE),main!$K$26:$Q$29,3,FALSE),1,0)</f>
        <v>0</v>
      </c>
      <c r="Y41">
        <f>IF(VLOOKUP(Y$1,main!$A$3:$H$102,5,FALSE)-VLOOKUP($A41,main!$A$3:$H$102,6,FALSE)&gt;=main!$D$103+VLOOKUP(VLOOKUP(Y$1,main!$A$3:$I$102,7,FALSE),main!$K$26:$Q$29,3,FALSE),1,0)</f>
        <v>1</v>
      </c>
      <c r="Z41">
        <f>IF(VLOOKUP(Z$1,main!$A$3:$H$102,5,FALSE)-VLOOKUP($A41,main!$A$3:$H$102,6,FALSE)&gt;=main!$D$103+VLOOKUP(VLOOKUP(Z$1,main!$A$3:$I$102,7,FALSE),main!$K$26:$Q$29,3,FALSE),1,0)</f>
        <v>1</v>
      </c>
      <c r="AA41">
        <f>IF(VLOOKUP(AA$1,main!$A$3:$H$102,5,FALSE)-VLOOKUP($A41,main!$A$3:$H$102,6,FALSE)&gt;=main!$D$103+VLOOKUP(VLOOKUP(AA$1,main!$A$3:$I$102,7,FALSE),main!$K$26:$Q$29,3,FALSE),1,0)</f>
        <v>1</v>
      </c>
      <c r="AB41">
        <f>IF(VLOOKUP(AB$1,main!$A$3:$H$102,5,FALSE)-VLOOKUP($A41,main!$A$3:$H$102,6,FALSE)&gt;=main!$D$103+VLOOKUP(VLOOKUP(AB$1,main!$A$3:$I$102,7,FALSE),main!$K$26:$Q$29,3,FALSE),1,0)</f>
        <v>0</v>
      </c>
      <c r="AC41">
        <f>IF(VLOOKUP(AC$1,main!$A$3:$H$102,5,FALSE)-VLOOKUP($A41,main!$A$3:$H$102,6,FALSE)&gt;=main!$D$103+VLOOKUP(VLOOKUP(AC$1,main!$A$3:$I$102,7,FALSE),main!$K$26:$Q$29,3,FALSE),1,0)</f>
        <v>0</v>
      </c>
      <c r="AD41">
        <f>IF(VLOOKUP(AD$1,main!$A$3:$H$102,5,FALSE)-VLOOKUP($A41,main!$A$3:$H$102,6,FALSE)&gt;=main!$D$103+VLOOKUP(VLOOKUP(AD$1,main!$A$3:$I$102,7,FALSE),main!$K$26:$Q$29,3,FALSE),1,0)</f>
        <v>1</v>
      </c>
      <c r="AE41">
        <f>IF(VLOOKUP(AE$1,main!$A$3:$H$102,5,FALSE)-VLOOKUP($A41,main!$A$3:$H$102,6,FALSE)&gt;=main!$D$103+VLOOKUP(VLOOKUP(AE$1,main!$A$3:$I$102,7,FALSE),main!$K$26:$Q$29,3,FALSE),1,0)</f>
        <v>1</v>
      </c>
      <c r="AF41">
        <f>IF(VLOOKUP(AF$1,main!$A$3:$H$102,5,FALSE)-VLOOKUP($A41,main!$A$3:$H$102,6,FALSE)&gt;=main!$D$103+VLOOKUP(VLOOKUP(AF$1,main!$A$3:$I$102,7,FALSE),main!$K$26:$Q$29,3,FALSE),1,0)</f>
        <v>1</v>
      </c>
      <c r="AG41">
        <f>IF(VLOOKUP(AG$1,main!$A$3:$H$102,5,FALSE)-VLOOKUP($A41,main!$A$3:$H$102,6,FALSE)&gt;=main!$D$103+VLOOKUP(VLOOKUP(AG$1,main!$A$3:$I$102,7,FALSE),main!$K$26:$Q$29,3,FALSE),1,0)</f>
        <v>0</v>
      </c>
      <c r="AH41">
        <f>IF(VLOOKUP(AH$1,main!$A$3:$H$102,5,FALSE)-VLOOKUP($A41,main!$A$3:$H$102,6,FALSE)&gt;=main!$D$103+VLOOKUP(VLOOKUP(AH$1,main!$A$3:$I$102,7,FALSE),main!$K$26:$Q$29,3,FALSE),1,0)</f>
        <v>0</v>
      </c>
      <c r="AI41">
        <f>IF(VLOOKUP(AI$1,main!$A$3:$H$102,5,FALSE)-VLOOKUP($A41,main!$A$3:$H$102,6,FALSE)&gt;=main!$D$103+VLOOKUP(VLOOKUP(AI$1,main!$A$3:$I$102,7,FALSE),main!$K$26:$Q$29,3,FALSE),1,0)</f>
        <v>1</v>
      </c>
      <c r="AJ41">
        <f>IF(VLOOKUP(AJ$1,main!$A$3:$H$102,5,FALSE)-VLOOKUP($A41,main!$A$3:$H$102,6,FALSE)&gt;=main!$D$103+VLOOKUP(VLOOKUP(AJ$1,main!$A$3:$I$102,7,FALSE),main!$K$26:$Q$29,3,FALSE),1,0)</f>
        <v>1</v>
      </c>
      <c r="AK41">
        <f>IF(VLOOKUP(AK$1,main!$A$3:$H$102,5,FALSE)-VLOOKUP($A41,main!$A$3:$H$102,6,FALSE)&gt;=main!$D$103+VLOOKUP(VLOOKUP(AK$1,main!$A$3:$I$102,7,FALSE),main!$K$26:$Q$29,3,FALSE),1,0)</f>
        <v>1</v>
      </c>
      <c r="AL41">
        <f>IF(VLOOKUP(AL$1,main!$A$3:$H$102,5,FALSE)-VLOOKUP($A41,main!$A$3:$H$102,6,FALSE)&gt;=main!$D$103+VLOOKUP(VLOOKUP(AL$1,main!$A$3:$I$102,7,FALSE),main!$K$26:$Q$29,3,FALSE),1,0)</f>
        <v>1</v>
      </c>
      <c r="AM41">
        <f>IF(VLOOKUP(AM$1,main!$A$3:$H$102,5,FALSE)-VLOOKUP($A41,main!$A$3:$H$102,6,FALSE)&gt;=main!$D$103+VLOOKUP(VLOOKUP(AM$1,main!$A$3:$I$102,7,FALSE),main!$K$26:$Q$29,3,FALSE),1,0)</f>
        <v>1</v>
      </c>
      <c r="AN41">
        <f>IF(VLOOKUP(AN$1,main!$A$3:$H$102,5,FALSE)-VLOOKUP($A41,main!$A$3:$H$102,6,FALSE)&gt;=main!$D$103+VLOOKUP(VLOOKUP(AN$1,main!$A$3:$I$102,7,FALSE),main!$K$26:$Q$29,3,FALSE),1,0)</f>
        <v>1</v>
      </c>
      <c r="AO41">
        <f>IF(VLOOKUP(AO$1,main!$A$3:$H$102,5,FALSE)-VLOOKUP($A41,main!$A$3:$H$102,6,FALSE)&gt;=main!$D$103+VLOOKUP(VLOOKUP(AO$1,main!$A$3:$I$102,7,FALSE),main!$K$26:$Q$29,3,FALSE),1,0)</f>
        <v>0</v>
      </c>
      <c r="AP41">
        <f>IF(VLOOKUP(AP$1,main!$A$3:$H$102,5,FALSE)-VLOOKUP($A41,main!$A$3:$H$102,6,FALSE)&gt;=main!$D$103+VLOOKUP(VLOOKUP(AP$1,main!$A$3:$I$102,7,FALSE),main!$K$26:$Q$29,3,FALSE),1,0)</f>
        <v>1</v>
      </c>
      <c r="AQ41">
        <f>IF(VLOOKUP(AQ$1,main!$A$3:$H$102,5,FALSE)-VLOOKUP($A41,main!$A$3:$H$102,6,FALSE)&gt;=main!$D$103+VLOOKUP(VLOOKUP(AQ$1,main!$A$3:$I$102,7,FALSE),main!$K$26:$Q$29,3,FALSE),1,0)</f>
        <v>0</v>
      </c>
      <c r="AR41">
        <f>IF(VLOOKUP(AR$1,main!$A$3:$H$102,5,FALSE)-VLOOKUP($A41,main!$A$3:$H$102,6,FALSE)&gt;=main!$D$103+VLOOKUP(VLOOKUP(AR$1,main!$A$3:$I$102,7,FALSE),main!$K$26:$Q$29,3,FALSE),1,0)</f>
        <v>0</v>
      </c>
      <c r="AS41">
        <f>IF(VLOOKUP(AS$1,main!$A$3:$H$102,5,FALSE)-VLOOKUP($A41,main!$A$3:$H$102,6,FALSE)&gt;=main!$D$103+VLOOKUP(VLOOKUP(AS$1,main!$A$3:$I$102,7,FALSE),main!$K$26:$Q$29,3,FALSE),1,0)</f>
        <v>1</v>
      </c>
      <c r="AT41">
        <f>IF(VLOOKUP(AT$1,main!$A$3:$H$102,5,FALSE)-VLOOKUP($A41,main!$A$3:$H$102,6,FALSE)&gt;=main!$D$103+VLOOKUP(VLOOKUP(AT$1,main!$A$3:$I$102,7,FALSE),main!$K$26:$Q$29,3,FALSE),1,0)</f>
        <v>1</v>
      </c>
      <c r="AU41">
        <f>IF(VLOOKUP(AU$1,main!$A$3:$H$102,5,FALSE)-VLOOKUP($A41,main!$A$3:$H$102,6,FALSE)&gt;=main!$D$103+VLOOKUP(VLOOKUP(AU$1,main!$A$3:$I$102,7,FALSE),main!$K$26:$Q$29,3,FALSE),1,0)</f>
        <v>0</v>
      </c>
      <c r="AV41">
        <f>IF(VLOOKUP(AV$1,main!$A$3:$H$102,5,FALSE)-VLOOKUP($A41,main!$A$3:$H$102,6,FALSE)&gt;=main!$D$103+VLOOKUP(VLOOKUP(AV$1,main!$A$3:$I$102,7,FALSE),main!$K$26:$Q$29,3,FALSE),1,0)</f>
        <v>0</v>
      </c>
      <c r="AW41">
        <f>IF(VLOOKUP(AW$1,main!$A$3:$H$102,5,FALSE)-VLOOKUP($A41,main!$A$3:$H$102,6,FALSE)&gt;=main!$D$103+VLOOKUP(VLOOKUP(AW$1,main!$A$3:$I$102,7,FALSE),main!$K$26:$Q$29,3,FALSE),1,0)</f>
        <v>1</v>
      </c>
      <c r="AX41">
        <f>IF(VLOOKUP(AX$1,main!$A$3:$H$102,5,FALSE)-VLOOKUP($A41,main!$A$3:$H$102,6,FALSE)&gt;=main!$D$103+VLOOKUP(VLOOKUP(AX$1,main!$A$3:$I$102,7,FALSE),main!$K$26:$Q$29,3,FALSE),1,0)</f>
        <v>1</v>
      </c>
      <c r="AY41">
        <f>IF(VLOOKUP(AY$1,main!$A$3:$H$102,5,FALSE)-VLOOKUP($A41,main!$A$3:$H$102,6,FALSE)&gt;=main!$D$103+VLOOKUP(VLOOKUP(AY$1,main!$A$3:$I$102,7,FALSE),main!$K$26:$Q$29,3,FALSE),1,0)</f>
        <v>0</v>
      </c>
      <c r="AZ41">
        <f>IF(VLOOKUP(AZ$1,main!$A$3:$H$102,5,FALSE)-VLOOKUP($A41,main!$A$3:$H$102,6,FALSE)&gt;=main!$D$103+VLOOKUP(VLOOKUP(AZ$1,main!$A$3:$I$102,7,FALSE),main!$K$26:$Q$29,3,FALSE),1,0)</f>
        <v>1</v>
      </c>
      <c r="BA41">
        <f>IF(VLOOKUP(BA$1,main!$A$3:$H$102,5,FALSE)-VLOOKUP($A41,main!$A$3:$H$102,6,FALSE)&gt;=main!$D$103+VLOOKUP(VLOOKUP(BA$1,main!$A$3:$I$102,7,FALSE),main!$K$26:$Q$29,3,FALSE),1,0)</f>
        <v>0</v>
      </c>
      <c r="BB41">
        <f>IF(VLOOKUP(BB$1,main!$A$3:$H$102,5,FALSE)-VLOOKUP($A41,main!$A$3:$H$102,6,FALSE)&gt;=main!$D$103+VLOOKUP(VLOOKUP(BB$1,main!$A$3:$I$102,7,FALSE),main!$K$26:$Q$29,3,FALSE),1,0)</f>
        <v>1</v>
      </c>
      <c r="BC41">
        <f>IF(VLOOKUP(BC$1,main!$A$3:$H$102,5,FALSE)-VLOOKUP($A41,main!$A$3:$H$102,6,FALSE)&gt;=main!$D$103+VLOOKUP(VLOOKUP(BC$1,main!$A$3:$I$102,7,FALSE),main!$K$26:$Q$29,3,FALSE),1,0)</f>
        <v>1</v>
      </c>
      <c r="BD41">
        <f>IF(VLOOKUP(BD$1,main!$A$3:$H$102,5,FALSE)-VLOOKUP($A41,main!$A$3:$H$102,6,FALSE)&gt;=main!$D$103+VLOOKUP(VLOOKUP(BD$1,main!$A$3:$I$102,7,FALSE),main!$K$26:$Q$29,3,FALSE),1,0)</f>
        <v>1</v>
      </c>
      <c r="BE41">
        <f>IF(VLOOKUP(BE$1,main!$A$3:$H$102,5,FALSE)-VLOOKUP($A41,main!$A$3:$H$102,6,FALSE)&gt;=main!$D$103+VLOOKUP(VLOOKUP(BE$1,main!$A$3:$I$102,7,FALSE),main!$K$26:$Q$29,3,FALSE),1,0)</f>
        <v>1</v>
      </c>
      <c r="BF41">
        <f>IF(VLOOKUP(BF$1,main!$A$3:$H$102,5,FALSE)-VLOOKUP($A41,main!$A$3:$H$102,6,FALSE)&gt;=main!$D$103+VLOOKUP(VLOOKUP(BF$1,main!$A$3:$I$102,7,FALSE),main!$K$26:$Q$29,3,FALSE),1,0)</f>
        <v>0</v>
      </c>
      <c r="BG41">
        <f>IF(VLOOKUP(BG$1,main!$A$3:$H$102,5,FALSE)-VLOOKUP($A41,main!$A$3:$H$102,6,FALSE)&gt;=main!$D$103+VLOOKUP(VLOOKUP(BG$1,main!$A$3:$I$102,7,FALSE),main!$K$26:$Q$29,3,FALSE),1,0)</f>
        <v>0</v>
      </c>
      <c r="BH41">
        <f>IF(VLOOKUP(BH$1,main!$A$3:$H$102,5,FALSE)-VLOOKUP($A41,main!$A$3:$H$102,6,FALSE)&gt;=main!$D$103+VLOOKUP(VLOOKUP(BH$1,main!$A$3:$I$102,7,FALSE),main!$K$26:$Q$29,3,FALSE),1,0)</f>
        <v>1</v>
      </c>
      <c r="BI41">
        <f>IF(VLOOKUP(BI$1,main!$A$3:$H$102,5,FALSE)-VLOOKUP($A41,main!$A$3:$H$102,6,FALSE)&gt;=main!$D$103+VLOOKUP(VLOOKUP(BI$1,main!$A$3:$I$102,7,FALSE),main!$K$26:$Q$29,3,FALSE),1,0)</f>
        <v>1</v>
      </c>
      <c r="BJ41">
        <f>IF(VLOOKUP(BJ$1,main!$A$3:$H$102,5,FALSE)-VLOOKUP($A41,main!$A$3:$H$102,6,FALSE)&gt;=main!$D$103+VLOOKUP(VLOOKUP(BJ$1,main!$A$3:$I$102,7,FALSE),main!$K$26:$Q$29,3,FALSE),1,0)</f>
        <v>1</v>
      </c>
      <c r="BK41">
        <f>IF(VLOOKUP(BK$1,main!$A$3:$H$102,5,FALSE)-VLOOKUP($A41,main!$A$3:$H$102,6,FALSE)&gt;=main!$D$103+VLOOKUP(VLOOKUP(BK$1,main!$A$3:$I$102,7,FALSE),main!$K$26:$Q$29,3,FALSE),1,0)</f>
        <v>0</v>
      </c>
      <c r="BL41">
        <f>IF(VLOOKUP(BL$1,main!$A$3:$H$102,5,FALSE)-VLOOKUP($A41,main!$A$3:$H$102,6,FALSE)&gt;=main!$D$103+VLOOKUP(VLOOKUP(BL$1,main!$A$3:$I$102,7,FALSE),main!$K$26:$Q$29,3,FALSE),1,0)</f>
        <v>0</v>
      </c>
      <c r="BM41">
        <f>IF(VLOOKUP(BM$1,main!$A$3:$H$102,5,FALSE)-VLOOKUP($A41,main!$A$3:$H$102,6,FALSE)&gt;=main!$D$103+VLOOKUP(VLOOKUP(BM$1,main!$A$3:$I$102,7,FALSE),main!$K$26:$Q$29,3,FALSE),1,0)</f>
        <v>0</v>
      </c>
      <c r="BN41">
        <f>IF(VLOOKUP(BN$1,main!$A$3:$H$102,5,FALSE)-VLOOKUP($A41,main!$A$3:$H$102,6,FALSE)&gt;=main!$D$103+VLOOKUP(VLOOKUP(BN$1,main!$A$3:$I$102,7,FALSE),main!$K$26:$Q$29,3,FALSE),1,0)</f>
        <v>1</v>
      </c>
      <c r="BO41">
        <f>IF(VLOOKUP(BO$1,main!$A$3:$H$102,5,FALSE)-VLOOKUP($A41,main!$A$3:$H$102,6,FALSE)&gt;=main!$D$103+VLOOKUP(VLOOKUP(BO$1,main!$A$3:$I$102,7,FALSE),main!$K$26:$Q$29,3,FALSE),1,0)</f>
        <v>0</v>
      </c>
      <c r="BP41">
        <f>IF(VLOOKUP(BP$1,main!$A$3:$H$102,5,FALSE)-VLOOKUP($A41,main!$A$3:$H$102,6,FALSE)&gt;=main!$D$103+VLOOKUP(VLOOKUP(BP$1,main!$A$3:$I$102,7,FALSE),main!$K$26:$Q$29,3,FALSE),1,0)</f>
        <v>0</v>
      </c>
      <c r="BQ41">
        <f>IF(VLOOKUP(BQ$1,main!$A$3:$H$102,5,FALSE)-VLOOKUP($A41,main!$A$3:$H$102,6,FALSE)&gt;=main!$D$103+VLOOKUP(VLOOKUP(BQ$1,main!$A$3:$I$102,7,FALSE),main!$K$26:$Q$29,3,FALSE),1,0)</f>
        <v>1</v>
      </c>
      <c r="BR41">
        <f>IF(VLOOKUP(BR$1,main!$A$3:$H$102,5,FALSE)-VLOOKUP($A41,main!$A$3:$H$102,6,FALSE)&gt;=main!$D$103+VLOOKUP(VLOOKUP(BR$1,main!$A$3:$I$102,7,FALSE),main!$K$26:$Q$29,3,FALSE),1,0)</f>
        <v>1</v>
      </c>
      <c r="BS41">
        <f>IF(VLOOKUP(BS$1,main!$A$3:$H$102,5,FALSE)-VLOOKUP($A41,main!$A$3:$H$102,6,FALSE)&gt;=main!$D$103+VLOOKUP(VLOOKUP(BS$1,main!$A$3:$I$102,7,FALSE),main!$K$26:$Q$29,3,FALSE),1,0)</f>
        <v>1</v>
      </c>
      <c r="BT41">
        <f>IF(VLOOKUP(BT$1,main!$A$3:$H$102,5,FALSE)-VLOOKUP($A41,main!$A$3:$H$102,6,FALSE)&gt;=main!$D$103+VLOOKUP(VLOOKUP(BT$1,main!$A$3:$I$102,7,FALSE),main!$K$26:$Q$29,3,FALSE),1,0)</f>
        <v>1</v>
      </c>
      <c r="BU41">
        <f>IF(VLOOKUP(BU$1,main!$A$3:$H$102,5,FALSE)-VLOOKUP($A41,main!$A$3:$H$102,6,FALSE)&gt;=main!$D$103+VLOOKUP(VLOOKUP(BU$1,main!$A$3:$I$102,7,FALSE),main!$K$26:$Q$29,3,FALSE),1,0)</f>
        <v>0</v>
      </c>
      <c r="BV41">
        <f>IF(VLOOKUP(BV$1,main!$A$3:$H$102,5,FALSE)-VLOOKUP($A41,main!$A$3:$H$102,6,FALSE)&gt;=main!$D$103+VLOOKUP(VLOOKUP(BV$1,main!$A$3:$I$102,7,FALSE),main!$K$26:$Q$29,3,FALSE),1,0)</f>
        <v>0</v>
      </c>
      <c r="BW41">
        <f>IF(VLOOKUP(BW$1,main!$A$3:$H$102,5,FALSE)-VLOOKUP($A41,main!$A$3:$H$102,6,FALSE)&gt;=main!$D$103+VLOOKUP(VLOOKUP(BW$1,main!$A$3:$I$102,7,FALSE),main!$K$26:$Q$29,3,FALSE),1,0)</f>
        <v>0</v>
      </c>
      <c r="BX41">
        <f>IF(VLOOKUP(BX$1,main!$A$3:$H$102,5,FALSE)-VLOOKUP($A41,main!$A$3:$H$102,6,FALSE)&gt;=main!$D$103+VLOOKUP(VLOOKUP(BX$1,main!$A$3:$I$102,7,FALSE),main!$K$26:$Q$29,3,FALSE),1,0)</f>
        <v>1</v>
      </c>
      <c r="BY41">
        <f>IF(VLOOKUP(BY$1,main!$A$3:$H$102,5,FALSE)-VLOOKUP($A41,main!$A$3:$H$102,6,FALSE)&gt;=main!$D$103+VLOOKUP(VLOOKUP(BY$1,main!$A$3:$I$102,7,FALSE),main!$K$26:$Q$29,3,FALSE),1,0)</f>
        <v>1</v>
      </c>
      <c r="BZ41">
        <f>IF(VLOOKUP(BZ$1,main!$A$3:$H$102,5,FALSE)-VLOOKUP($A41,main!$A$3:$H$102,6,FALSE)&gt;=main!$D$103+VLOOKUP(VLOOKUP(BZ$1,main!$A$3:$I$102,7,FALSE),main!$K$26:$Q$29,3,FALSE),1,0)</f>
        <v>0</v>
      </c>
      <c r="CA41">
        <f>IF(VLOOKUP(CA$1,main!$A$3:$H$102,5,FALSE)-VLOOKUP($A41,main!$A$3:$H$102,6,FALSE)&gt;=main!$D$103+VLOOKUP(VLOOKUP(CA$1,main!$A$3:$I$102,7,FALSE),main!$K$26:$Q$29,3,FALSE),1,0)</f>
        <v>0</v>
      </c>
      <c r="CB41">
        <f>IF(VLOOKUP(CB$1,main!$A$3:$H$102,5,FALSE)-VLOOKUP($A41,main!$A$3:$H$102,6,FALSE)&gt;=main!$D$103+VLOOKUP(VLOOKUP(CB$1,main!$A$3:$I$102,7,FALSE),main!$K$26:$Q$29,3,FALSE),1,0)</f>
        <v>1</v>
      </c>
      <c r="CC41">
        <f>IF(VLOOKUP(CC$1,main!$A$3:$H$102,5,FALSE)-VLOOKUP($A41,main!$A$3:$H$102,6,FALSE)&gt;=main!$D$103+VLOOKUP(VLOOKUP(CC$1,main!$A$3:$I$102,7,FALSE),main!$K$26:$Q$29,3,FALSE),1,0)</f>
        <v>1</v>
      </c>
      <c r="CD41">
        <f>IF(VLOOKUP(CD$1,main!$A$3:$H$102,5,FALSE)-VLOOKUP($A41,main!$A$3:$H$102,6,FALSE)&gt;=main!$D$103+VLOOKUP(VLOOKUP(CD$1,main!$A$3:$I$102,7,FALSE),main!$K$26:$Q$29,3,FALSE),1,0)</f>
        <v>1</v>
      </c>
      <c r="CE41">
        <f>IF(VLOOKUP(CE$1,main!$A$3:$H$102,5,FALSE)-VLOOKUP($A41,main!$A$3:$H$102,6,FALSE)&gt;=main!$D$103+VLOOKUP(VLOOKUP(CE$1,main!$A$3:$I$102,7,FALSE),main!$K$26:$Q$29,3,FALSE),1,0)</f>
        <v>1</v>
      </c>
      <c r="CF41">
        <f>IF(VLOOKUP(CF$1,main!$A$3:$H$102,5,FALSE)-VLOOKUP($A41,main!$A$3:$H$102,6,FALSE)&gt;=main!$D$103+VLOOKUP(VLOOKUP(CF$1,main!$A$3:$I$102,7,FALSE),main!$K$26:$Q$29,3,FALSE),1,0)</f>
        <v>1</v>
      </c>
      <c r="CG41">
        <f>IF(VLOOKUP(CG$1,main!$A$3:$H$102,5,FALSE)-VLOOKUP($A41,main!$A$3:$H$102,6,FALSE)&gt;=main!$D$103+VLOOKUP(VLOOKUP(CG$1,main!$A$3:$I$102,7,FALSE),main!$K$26:$Q$29,3,FALSE),1,0)</f>
        <v>1</v>
      </c>
      <c r="CH41">
        <f>IF(VLOOKUP(CH$1,main!$A$3:$H$102,5,FALSE)-VLOOKUP($A41,main!$A$3:$H$102,6,FALSE)&gt;=main!$D$103+VLOOKUP(VLOOKUP(CH$1,main!$A$3:$I$102,7,FALSE),main!$K$26:$Q$29,3,FALSE),1,0)</f>
        <v>1</v>
      </c>
      <c r="CI41">
        <f>IF(VLOOKUP(CI$1,main!$A$3:$H$102,5,FALSE)-VLOOKUP($A41,main!$A$3:$H$102,6,FALSE)&gt;=main!$D$103+VLOOKUP(VLOOKUP(CI$1,main!$A$3:$I$102,7,FALSE),main!$K$26:$Q$29,3,FALSE),1,0)</f>
        <v>1</v>
      </c>
      <c r="CJ41">
        <f>IF(VLOOKUP(CJ$1,main!$A$3:$H$102,5,FALSE)-VLOOKUP($A41,main!$A$3:$H$102,6,FALSE)&gt;=main!$D$103+VLOOKUP(VLOOKUP(CJ$1,main!$A$3:$I$102,7,FALSE),main!$K$26:$Q$29,3,FALSE),1,0)</f>
        <v>1</v>
      </c>
      <c r="CK41">
        <f>IF(VLOOKUP(CK$1,main!$A$3:$H$102,5,FALSE)-VLOOKUP($A41,main!$A$3:$H$102,6,FALSE)&gt;=main!$D$103+VLOOKUP(VLOOKUP(CK$1,main!$A$3:$I$102,7,FALSE),main!$K$26:$Q$29,3,FALSE),1,0)</f>
        <v>1</v>
      </c>
      <c r="CL41">
        <f>IF(VLOOKUP(CL$1,main!$A$3:$H$102,5,FALSE)-VLOOKUP($A41,main!$A$3:$H$102,6,FALSE)&gt;=main!$D$103+VLOOKUP(VLOOKUP(CL$1,main!$A$3:$I$102,7,FALSE),main!$K$26:$Q$29,3,FALSE),1,0)</f>
        <v>1</v>
      </c>
      <c r="CM41">
        <f>IF(VLOOKUP(CM$1,main!$A$3:$H$102,5,FALSE)-VLOOKUP($A41,main!$A$3:$H$102,6,FALSE)&gt;=main!$D$103+VLOOKUP(VLOOKUP(CM$1,main!$A$3:$I$102,7,FALSE),main!$K$26:$Q$29,3,FALSE),1,0)</f>
        <v>1</v>
      </c>
      <c r="CN41">
        <f>IF(VLOOKUP(CN$1,main!$A$3:$H$102,5,FALSE)-VLOOKUP($A41,main!$A$3:$H$102,6,FALSE)&gt;=main!$D$103+VLOOKUP(VLOOKUP(CN$1,main!$A$3:$I$102,7,FALSE),main!$K$26:$Q$29,3,FALSE),1,0)</f>
        <v>1</v>
      </c>
      <c r="CO41">
        <f>IF(VLOOKUP(CO$1,main!$A$3:$H$102,5,FALSE)-VLOOKUP($A41,main!$A$3:$H$102,6,FALSE)&gt;=main!$D$103+VLOOKUP(VLOOKUP(CO$1,main!$A$3:$I$102,7,FALSE),main!$K$26:$Q$29,3,FALSE),1,0)</f>
        <v>0</v>
      </c>
      <c r="CP41">
        <f>IF(VLOOKUP(CP$1,main!$A$3:$H$102,5,FALSE)-VLOOKUP($A41,main!$A$3:$H$102,6,FALSE)&gt;=main!$D$103+VLOOKUP(VLOOKUP(CP$1,main!$A$3:$I$102,7,FALSE),main!$K$26:$Q$29,3,FALSE),1,0)</f>
        <v>1</v>
      </c>
      <c r="CQ41">
        <f>IF(VLOOKUP(CQ$1,main!$A$3:$H$102,5,FALSE)-VLOOKUP($A41,main!$A$3:$H$102,6,FALSE)&gt;=main!$D$103+VLOOKUP(VLOOKUP(CQ$1,main!$A$3:$I$102,7,FALSE),main!$K$26:$Q$29,3,FALSE),1,0)</f>
        <v>1</v>
      </c>
      <c r="CR41">
        <f>IF(VLOOKUP(CR$1,main!$A$3:$H$102,5,FALSE)-VLOOKUP($A41,main!$A$3:$H$102,6,FALSE)&gt;=main!$D$103+VLOOKUP(VLOOKUP(CR$1,main!$A$3:$I$102,7,FALSE),main!$K$26:$Q$29,3,FALSE),1,0)</f>
        <v>1</v>
      </c>
      <c r="CS41">
        <f>IF(VLOOKUP(CS$1,main!$A$3:$H$102,5,FALSE)-VLOOKUP($A41,main!$A$3:$H$102,6,FALSE)&gt;=main!$D$103+VLOOKUP(VLOOKUP(CS$1,main!$A$3:$I$102,7,FALSE),main!$K$26:$Q$29,3,FALSE),1,0)</f>
        <v>1</v>
      </c>
      <c r="CT41">
        <f>IF(VLOOKUP(CT$1,main!$A$3:$H$102,5,FALSE)-VLOOKUP($A41,main!$A$3:$H$102,6,FALSE)&gt;=main!$D$103+VLOOKUP(VLOOKUP(CT$1,main!$A$3:$I$102,7,FALSE),main!$K$26:$Q$29,3,FALSE),1,0)</f>
        <v>0</v>
      </c>
      <c r="CU41">
        <f>IF(VLOOKUP(CU$1,main!$A$3:$H$102,5,FALSE)-VLOOKUP($A41,main!$A$3:$H$102,6,FALSE)&gt;=main!$D$103+VLOOKUP(VLOOKUP(CU$1,main!$A$3:$I$102,7,FALSE),main!$K$26:$Q$29,3,FALSE),1,0)</f>
        <v>0</v>
      </c>
      <c r="CV41">
        <f>IF(VLOOKUP(CV$1,main!$A$3:$H$102,5,FALSE)-VLOOKUP($A41,main!$A$3:$H$102,6,FALSE)&gt;=main!$D$103+VLOOKUP(VLOOKUP(CV$1,main!$A$3:$I$102,7,FALSE),main!$K$26:$Q$29,3,FALSE),1,0)</f>
        <v>1</v>
      </c>
      <c r="CW41">
        <f>IF(VLOOKUP(CW$1,main!$A$3:$H$102,5,FALSE)-VLOOKUP($A41,main!$A$3:$H$102,6,FALSE)&gt;=main!$D$103+VLOOKUP(VLOOKUP(CW$1,main!$A$3:$I$102,7,FALSE),main!$K$26:$Q$29,3,FALSE),1,0)</f>
        <v>1</v>
      </c>
      <c r="CX41">
        <f>IF(VLOOKUP(CX$1,main!$A$3:$H$102,5,FALSE)-VLOOKUP($A41,main!$A$3:$H$102,6,FALSE)&gt;=main!$D$103+VLOOKUP(VLOOKUP(CX$1,main!$A$3:$I$102,7,FALSE),main!$K$26:$Q$29,3,FALSE),1,0)</f>
        <v>1</v>
      </c>
    </row>
    <row r="42" spans="1:102" x14ac:dyDescent="0.25">
      <c r="A42" s="1">
        <v>40</v>
      </c>
      <c r="B42">
        <v>0</v>
      </c>
      <c r="C42">
        <f>IF(VLOOKUP(C$1,main!$A$3:$H$102,5,FALSE)-VLOOKUP($A42,main!$A$3:$H$102,6,FALSE)&gt;=main!$D$103+VLOOKUP(VLOOKUP(C$1,main!$A$3:$I$102,7,FALSE),main!$K$26:$Q$29,3,FALSE),1,0)</f>
        <v>0</v>
      </c>
      <c r="D42">
        <f>IF(VLOOKUP(D$1,main!$A$3:$H$102,5,FALSE)-VLOOKUP($A42,main!$A$3:$H$102,6,FALSE)&gt;=main!$D$103+VLOOKUP(VLOOKUP(D$1,main!$A$3:$I$102,7,FALSE),main!$K$26:$Q$29,3,FALSE),1,0)</f>
        <v>0</v>
      </c>
      <c r="E42">
        <f>IF(VLOOKUP(E$1,main!$A$3:$H$102,5,FALSE)-VLOOKUP($A42,main!$A$3:$H$102,6,FALSE)&gt;=main!$D$103+VLOOKUP(VLOOKUP(E$1,main!$A$3:$I$102,7,FALSE),main!$K$26:$Q$29,3,FALSE),1,0)</f>
        <v>0</v>
      </c>
      <c r="F42">
        <f>IF(VLOOKUP(F$1,main!$A$3:$H$102,5,FALSE)-VLOOKUP($A42,main!$A$3:$H$102,6,FALSE)&gt;=main!$D$103+VLOOKUP(VLOOKUP(F$1,main!$A$3:$I$102,7,FALSE),main!$K$26:$Q$29,3,FALSE),1,0)</f>
        <v>0</v>
      </c>
      <c r="G42">
        <f>IF(VLOOKUP(G$1,main!$A$3:$H$102,5,FALSE)-VLOOKUP($A42,main!$A$3:$H$102,6,FALSE)&gt;=main!$D$103+VLOOKUP(VLOOKUP(G$1,main!$A$3:$I$102,7,FALSE),main!$K$26:$Q$29,3,FALSE),1,0)</f>
        <v>0</v>
      </c>
      <c r="H42">
        <f>IF(VLOOKUP(H$1,main!$A$3:$H$102,5,FALSE)-VLOOKUP($A42,main!$A$3:$H$102,6,FALSE)&gt;=main!$D$103+VLOOKUP(VLOOKUP(H$1,main!$A$3:$I$102,7,FALSE),main!$K$26:$Q$29,3,FALSE),1,0)</f>
        <v>0</v>
      </c>
      <c r="I42">
        <f>IF(VLOOKUP(I$1,main!$A$3:$H$102,5,FALSE)-VLOOKUP($A42,main!$A$3:$H$102,6,FALSE)&gt;=main!$D$103+VLOOKUP(VLOOKUP(I$1,main!$A$3:$I$102,7,FALSE),main!$K$26:$Q$29,3,FALSE),1,0)</f>
        <v>0</v>
      </c>
      <c r="J42">
        <f>IF(VLOOKUP(J$1,main!$A$3:$H$102,5,FALSE)-VLOOKUP($A42,main!$A$3:$H$102,6,FALSE)&gt;=main!$D$103+VLOOKUP(VLOOKUP(J$1,main!$A$3:$I$102,7,FALSE),main!$K$26:$Q$29,3,FALSE),1,0)</f>
        <v>0</v>
      </c>
      <c r="K42">
        <f>IF(VLOOKUP(K$1,main!$A$3:$H$102,5,FALSE)-VLOOKUP($A42,main!$A$3:$H$102,6,FALSE)&gt;=main!$D$103+VLOOKUP(VLOOKUP(K$1,main!$A$3:$I$102,7,FALSE),main!$K$26:$Q$29,3,FALSE),1,0)</f>
        <v>0</v>
      </c>
      <c r="L42">
        <f>IF(VLOOKUP(L$1,main!$A$3:$H$102,5,FALSE)-VLOOKUP($A42,main!$A$3:$H$102,6,FALSE)&gt;=main!$D$103+VLOOKUP(VLOOKUP(L$1,main!$A$3:$I$102,7,FALSE),main!$K$26:$Q$29,3,FALSE),1,0)</f>
        <v>0</v>
      </c>
      <c r="M42">
        <f>IF(VLOOKUP(M$1,main!$A$3:$H$102,5,FALSE)-VLOOKUP($A42,main!$A$3:$H$102,6,FALSE)&gt;=main!$D$103+VLOOKUP(VLOOKUP(M$1,main!$A$3:$I$102,7,FALSE),main!$K$26:$Q$29,3,FALSE),1,0)</f>
        <v>0</v>
      </c>
      <c r="N42">
        <f>IF(VLOOKUP(N$1,main!$A$3:$H$102,5,FALSE)-VLOOKUP($A42,main!$A$3:$H$102,6,FALSE)&gt;=main!$D$103+VLOOKUP(VLOOKUP(N$1,main!$A$3:$I$102,7,FALSE),main!$K$26:$Q$29,3,FALSE),1,0)</f>
        <v>0</v>
      </c>
      <c r="O42">
        <f>IF(VLOOKUP(O$1,main!$A$3:$H$102,5,FALSE)-VLOOKUP($A42,main!$A$3:$H$102,6,FALSE)&gt;=main!$D$103+VLOOKUP(VLOOKUP(O$1,main!$A$3:$I$102,7,FALSE),main!$K$26:$Q$29,3,FALSE),1,0)</f>
        <v>0</v>
      </c>
      <c r="P42">
        <f>IF(VLOOKUP(P$1,main!$A$3:$H$102,5,FALSE)-VLOOKUP($A42,main!$A$3:$H$102,6,FALSE)&gt;=main!$D$103+VLOOKUP(VLOOKUP(P$1,main!$A$3:$I$102,7,FALSE),main!$K$26:$Q$29,3,FALSE),1,0)</f>
        <v>0</v>
      </c>
      <c r="Q42">
        <f>IF(VLOOKUP(Q$1,main!$A$3:$H$102,5,FALSE)-VLOOKUP($A42,main!$A$3:$H$102,6,FALSE)&gt;=main!$D$103+VLOOKUP(VLOOKUP(Q$1,main!$A$3:$I$102,7,FALSE),main!$K$26:$Q$29,3,FALSE),1,0)</f>
        <v>0</v>
      </c>
      <c r="R42">
        <f>IF(VLOOKUP(R$1,main!$A$3:$H$102,5,FALSE)-VLOOKUP($A42,main!$A$3:$H$102,6,FALSE)&gt;=main!$D$103+VLOOKUP(VLOOKUP(R$1,main!$A$3:$I$102,7,FALSE),main!$K$26:$Q$29,3,FALSE),1,0)</f>
        <v>0</v>
      </c>
      <c r="S42">
        <f>IF(VLOOKUP(S$1,main!$A$3:$H$102,5,FALSE)-VLOOKUP($A42,main!$A$3:$H$102,6,FALSE)&gt;=main!$D$103+VLOOKUP(VLOOKUP(S$1,main!$A$3:$I$102,7,FALSE),main!$K$26:$Q$29,3,FALSE),1,0)</f>
        <v>0</v>
      </c>
      <c r="T42">
        <f>IF(VLOOKUP(T$1,main!$A$3:$H$102,5,FALSE)-VLOOKUP($A42,main!$A$3:$H$102,6,FALSE)&gt;=main!$D$103+VLOOKUP(VLOOKUP(T$1,main!$A$3:$I$102,7,FALSE),main!$K$26:$Q$29,3,FALSE),1,0)</f>
        <v>0</v>
      </c>
      <c r="U42">
        <f>IF(VLOOKUP(U$1,main!$A$3:$H$102,5,FALSE)-VLOOKUP($A42,main!$A$3:$H$102,6,FALSE)&gt;=main!$D$103+VLOOKUP(VLOOKUP(U$1,main!$A$3:$I$102,7,FALSE),main!$K$26:$Q$29,3,FALSE),1,0)</f>
        <v>0</v>
      </c>
      <c r="V42">
        <f>IF(VLOOKUP(V$1,main!$A$3:$H$102,5,FALSE)-VLOOKUP($A42,main!$A$3:$H$102,6,FALSE)&gt;=main!$D$103+VLOOKUP(VLOOKUP(V$1,main!$A$3:$I$102,7,FALSE),main!$K$26:$Q$29,3,FALSE),1,0)</f>
        <v>0</v>
      </c>
      <c r="W42">
        <f>IF(VLOOKUP(W$1,main!$A$3:$H$102,5,FALSE)-VLOOKUP($A42,main!$A$3:$H$102,6,FALSE)&gt;=main!$D$103+VLOOKUP(VLOOKUP(W$1,main!$A$3:$I$102,7,FALSE),main!$K$26:$Q$29,3,FALSE),1,0)</f>
        <v>0</v>
      </c>
      <c r="X42">
        <f>IF(VLOOKUP(X$1,main!$A$3:$H$102,5,FALSE)-VLOOKUP($A42,main!$A$3:$H$102,6,FALSE)&gt;=main!$D$103+VLOOKUP(VLOOKUP(X$1,main!$A$3:$I$102,7,FALSE),main!$K$26:$Q$29,3,FALSE),1,0)</f>
        <v>0</v>
      </c>
      <c r="Y42">
        <f>IF(VLOOKUP(Y$1,main!$A$3:$H$102,5,FALSE)-VLOOKUP($A42,main!$A$3:$H$102,6,FALSE)&gt;=main!$D$103+VLOOKUP(VLOOKUP(Y$1,main!$A$3:$I$102,7,FALSE),main!$K$26:$Q$29,3,FALSE),1,0)</f>
        <v>0</v>
      </c>
      <c r="Z42">
        <f>IF(VLOOKUP(Z$1,main!$A$3:$H$102,5,FALSE)-VLOOKUP($A42,main!$A$3:$H$102,6,FALSE)&gt;=main!$D$103+VLOOKUP(VLOOKUP(Z$1,main!$A$3:$I$102,7,FALSE),main!$K$26:$Q$29,3,FALSE),1,0)</f>
        <v>0</v>
      </c>
      <c r="AA42">
        <f>IF(VLOOKUP(AA$1,main!$A$3:$H$102,5,FALSE)-VLOOKUP($A42,main!$A$3:$H$102,6,FALSE)&gt;=main!$D$103+VLOOKUP(VLOOKUP(AA$1,main!$A$3:$I$102,7,FALSE),main!$K$26:$Q$29,3,FALSE),1,0)</f>
        <v>0</v>
      </c>
      <c r="AB42">
        <f>IF(VLOOKUP(AB$1,main!$A$3:$H$102,5,FALSE)-VLOOKUP($A42,main!$A$3:$H$102,6,FALSE)&gt;=main!$D$103+VLOOKUP(VLOOKUP(AB$1,main!$A$3:$I$102,7,FALSE),main!$K$26:$Q$29,3,FALSE),1,0)</f>
        <v>0</v>
      </c>
      <c r="AC42">
        <f>IF(VLOOKUP(AC$1,main!$A$3:$H$102,5,FALSE)-VLOOKUP($A42,main!$A$3:$H$102,6,FALSE)&gt;=main!$D$103+VLOOKUP(VLOOKUP(AC$1,main!$A$3:$I$102,7,FALSE),main!$K$26:$Q$29,3,FALSE),1,0)</f>
        <v>0</v>
      </c>
      <c r="AD42">
        <f>IF(VLOOKUP(AD$1,main!$A$3:$H$102,5,FALSE)-VLOOKUP($A42,main!$A$3:$H$102,6,FALSE)&gt;=main!$D$103+VLOOKUP(VLOOKUP(AD$1,main!$A$3:$I$102,7,FALSE),main!$K$26:$Q$29,3,FALSE),1,0)</f>
        <v>0</v>
      </c>
      <c r="AE42">
        <f>IF(VLOOKUP(AE$1,main!$A$3:$H$102,5,FALSE)-VLOOKUP($A42,main!$A$3:$H$102,6,FALSE)&gt;=main!$D$103+VLOOKUP(VLOOKUP(AE$1,main!$A$3:$I$102,7,FALSE),main!$K$26:$Q$29,3,FALSE),1,0)</f>
        <v>0</v>
      </c>
      <c r="AF42">
        <f>IF(VLOOKUP(AF$1,main!$A$3:$H$102,5,FALSE)-VLOOKUP($A42,main!$A$3:$H$102,6,FALSE)&gt;=main!$D$103+VLOOKUP(VLOOKUP(AF$1,main!$A$3:$I$102,7,FALSE),main!$K$26:$Q$29,3,FALSE),1,0)</f>
        <v>0</v>
      </c>
      <c r="AG42">
        <f>IF(VLOOKUP(AG$1,main!$A$3:$H$102,5,FALSE)-VLOOKUP($A42,main!$A$3:$H$102,6,FALSE)&gt;=main!$D$103+VLOOKUP(VLOOKUP(AG$1,main!$A$3:$I$102,7,FALSE),main!$K$26:$Q$29,3,FALSE),1,0)</f>
        <v>0</v>
      </c>
      <c r="AH42">
        <f>IF(VLOOKUP(AH$1,main!$A$3:$H$102,5,FALSE)-VLOOKUP($A42,main!$A$3:$H$102,6,FALSE)&gt;=main!$D$103+VLOOKUP(VLOOKUP(AH$1,main!$A$3:$I$102,7,FALSE),main!$K$26:$Q$29,3,FALSE),1,0)</f>
        <v>0</v>
      </c>
      <c r="AI42">
        <f>IF(VLOOKUP(AI$1,main!$A$3:$H$102,5,FALSE)-VLOOKUP($A42,main!$A$3:$H$102,6,FALSE)&gt;=main!$D$103+VLOOKUP(VLOOKUP(AI$1,main!$A$3:$I$102,7,FALSE),main!$K$26:$Q$29,3,FALSE),1,0)</f>
        <v>0</v>
      </c>
      <c r="AJ42">
        <f>IF(VLOOKUP(AJ$1,main!$A$3:$H$102,5,FALSE)-VLOOKUP($A42,main!$A$3:$H$102,6,FALSE)&gt;=main!$D$103+VLOOKUP(VLOOKUP(AJ$1,main!$A$3:$I$102,7,FALSE),main!$K$26:$Q$29,3,FALSE),1,0)</f>
        <v>0</v>
      </c>
      <c r="AK42">
        <f>IF(VLOOKUP(AK$1,main!$A$3:$H$102,5,FALSE)-VLOOKUP($A42,main!$A$3:$H$102,6,FALSE)&gt;=main!$D$103+VLOOKUP(VLOOKUP(AK$1,main!$A$3:$I$102,7,FALSE),main!$K$26:$Q$29,3,FALSE),1,0)</f>
        <v>0</v>
      </c>
      <c r="AL42">
        <f>IF(VLOOKUP(AL$1,main!$A$3:$H$102,5,FALSE)-VLOOKUP($A42,main!$A$3:$H$102,6,FALSE)&gt;=main!$D$103+VLOOKUP(VLOOKUP(AL$1,main!$A$3:$I$102,7,FALSE),main!$K$26:$Q$29,3,FALSE),1,0)</f>
        <v>0</v>
      </c>
      <c r="AM42">
        <f>IF(VLOOKUP(AM$1,main!$A$3:$H$102,5,FALSE)-VLOOKUP($A42,main!$A$3:$H$102,6,FALSE)&gt;=main!$D$103+VLOOKUP(VLOOKUP(AM$1,main!$A$3:$I$102,7,FALSE),main!$K$26:$Q$29,3,FALSE),1,0)</f>
        <v>0</v>
      </c>
      <c r="AN42">
        <f>IF(VLOOKUP(AN$1,main!$A$3:$H$102,5,FALSE)-VLOOKUP($A42,main!$A$3:$H$102,6,FALSE)&gt;=main!$D$103+VLOOKUP(VLOOKUP(AN$1,main!$A$3:$I$102,7,FALSE),main!$K$26:$Q$29,3,FALSE),1,0)</f>
        <v>0</v>
      </c>
      <c r="AO42">
        <f>IF(VLOOKUP(AO$1,main!$A$3:$H$102,5,FALSE)-VLOOKUP($A42,main!$A$3:$H$102,6,FALSE)&gt;=main!$D$103+VLOOKUP(VLOOKUP(AO$1,main!$A$3:$I$102,7,FALSE),main!$K$26:$Q$29,3,FALSE),1,0)</f>
        <v>0</v>
      </c>
      <c r="AP42">
        <f>IF(VLOOKUP(AP$1,main!$A$3:$H$102,5,FALSE)-VLOOKUP($A42,main!$A$3:$H$102,6,FALSE)&gt;=main!$D$103+VLOOKUP(VLOOKUP(AP$1,main!$A$3:$I$102,7,FALSE),main!$K$26:$Q$29,3,FALSE),1,0)</f>
        <v>0</v>
      </c>
      <c r="AQ42">
        <f>IF(VLOOKUP(AQ$1,main!$A$3:$H$102,5,FALSE)-VLOOKUP($A42,main!$A$3:$H$102,6,FALSE)&gt;=main!$D$103+VLOOKUP(VLOOKUP(AQ$1,main!$A$3:$I$102,7,FALSE),main!$K$26:$Q$29,3,FALSE),1,0)</f>
        <v>0</v>
      </c>
      <c r="AR42">
        <f>IF(VLOOKUP(AR$1,main!$A$3:$H$102,5,FALSE)-VLOOKUP($A42,main!$A$3:$H$102,6,FALSE)&gt;=main!$D$103+VLOOKUP(VLOOKUP(AR$1,main!$A$3:$I$102,7,FALSE),main!$K$26:$Q$29,3,FALSE),1,0)</f>
        <v>0</v>
      </c>
      <c r="AS42">
        <f>IF(VLOOKUP(AS$1,main!$A$3:$H$102,5,FALSE)-VLOOKUP($A42,main!$A$3:$H$102,6,FALSE)&gt;=main!$D$103+VLOOKUP(VLOOKUP(AS$1,main!$A$3:$I$102,7,FALSE),main!$K$26:$Q$29,3,FALSE),1,0)</f>
        <v>0</v>
      </c>
      <c r="AT42">
        <f>IF(VLOOKUP(AT$1,main!$A$3:$H$102,5,FALSE)-VLOOKUP($A42,main!$A$3:$H$102,6,FALSE)&gt;=main!$D$103+VLOOKUP(VLOOKUP(AT$1,main!$A$3:$I$102,7,FALSE),main!$K$26:$Q$29,3,FALSE),1,0)</f>
        <v>0</v>
      </c>
      <c r="AU42">
        <f>IF(VLOOKUP(AU$1,main!$A$3:$H$102,5,FALSE)-VLOOKUP($A42,main!$A$3:$H$102,6,FALSE)&gt;=main!$D$103+VLOOKUP(VLOOKUP(AU$1,main!$A$3:$I$102,7,FALSE),main!$K$26:$Q$29,3,FALSE),1,0)</f>
        <v>0</v>
      </c>
      <c r="AV42">
        <f>IF(VLOOKUP(AV$1,main!$A$3:$H$102,5,FALSE)-VLOOKUP($A42,main!$A$3:$H$102,6,FALSE)&gt;=main!$D$103+VLOOKUP(VLOOKUP(AV$1,main!$A$3:$I$102,7,FALSE),main!$K$26:$Q$29,3,FALSE),1,0)</f>
        <v>0</v>
      </c>
      <c r="AW42">
        <f>IF(VLOOKUP(AW$1,main!$A$3:$H$102,5,FALSE)-VLOOKUP($A42,main!$A$3:$H$102,6,FALSE)&gt;=main!$D$103+VLOOKUP(VLOOKUP(AW$1,main!$A$3:$I$102,7,FALSE),main!$K$26:$Q$29,3,FALSE),1,0)</f>
        <v>0</v>
      </c>
      <c r="AX42">
        <f>IF(VLOOKUP(AX$1,main!$A$3:$H$102,5,FALSE)-VLOOKUP($A42,main!$A$3:$H$102,6,FALSE)&gt;=main!$D$103+VLOOKUP(VLOOKUP(AX$1,main!$A$3:$I$102,7,FALSE),main!$K$26:$Q$29,3,FALSE),1,0)</f>
        <v>0</v>
      </c>
      <c r="AY42">
        <f>IF(VLOOKUP(AY$1,main!$A$3:$H$102,5,FALSE)-VLOOKUP($A42,main!$A$3:$H$102,6,FALSE)&gt;=main!$D$103+VLOOKUP(VLOOKUP(AY$1,main!$A$3:$I$102,7,FALSE),main!$K$26:$Q$29,3,FALSE),1,0)</f>
        <v>0</v>
      </c>
      <c r="AZ42">
        <f>IF(VLOOKUP(AZ$1,main!$A$3:$H$102,5,FALSE)-VLOOKUP($A42,main!$A$3:$H$102,6,FALSE)&gt;=main!$D$103+VLOOKUP(VLOOKUP(AZ$1,main!$A$3:$I$102,7,FALSE),main!$K$26:$Q$29,3,FALSE),1,0)</f>
        <v>0</v>
      </c>
      <c r="BA42">
        <f>IF(VLOOKUP(BA$1,main!$A$3:$H$102,5,FALSE)-VLOOKUP($A42,main!$A$3:$H$102,6,FALSE)&gt;=main!$D$103+VLOOKUP(VLOOKUP(BA$1,main!$A$3:$I$102,7,FALSE),main!$K$26:$Q$29,3,FALSE),1,0)</f>
        <v>0</v>
      </c>
      <c r="BB42">
        <f>IF(VLOOKUP(BB$1,main!$A$3:$H$102,5,FALSE)-VLOOKUP($A42,main!$A$3:$H$102,6,FALSE)&gt;=main!$D$103+VLOOKUP(VLOOKUP(BB$1,main!$A$3:$I$102,7,FALSE),main!$K$26:$Q$29,3,FALSE),1,0)</f>
        <v>0</v>
      </c>
      <c r="BC42">
        <f>IF(VLOOKUP(BC$1,main!$A$3:$H$102,5,FALSE)-VLOOKUP($A42,main!$A$3:$H$102,6,FALSE)&gt;=main!$D$103+VLOOKUP(VLOOKUP(BC$1,main!$A$3:$I$102,7,FALSE),main!$K$26:$Q$29,3,FALSE),1,0)</f>
        <v>0</v>
      </c>
      <c r="BD42">
        <f>IF(VLOOKUP(BD$1,main!$A$3:$H$102,5,FALSE)-VLOOKUP($A42,main!$A$3:$H$102,6,FALSE)&gt;=main!$D$103+VLOOKUP(VLOOKUP(BD$1,main!$A$3:$I$102,7,FALSE),main!$K$26:$Q$29,3,FALSE),1,0)</f>
        <v>0</v>
      </c>
      <c r="BE42">
        <f>IF(VLOOKUP(BE$1,main!$A$3:$H$102,5,FALSE)-VLOOKUP($A42,main!$A$3:$H$102,6,FALSE)&gt;=main!$D$103+VLOOKUP(VLOOKUP(BE$1,main!$A$3:$I$102,7,FALSE),main!$K$26:$Q$29,3,FALSE),1,0)</f>
        <v>0</v>
      </c>
      <c r="BF42">
        <f>IF(VLOOKUP(BF$1,main!$A$3:$H$102,5,FALSE)-VLOOKUP($A42,main!$A$3:$H$102,6,FALSE)&gt;=main!$D$103+VLOOKUP(VLOOKUP(BF$1,main!$A$3:$I$102,7,FALSE),main!$K$26:$Q$29,3,FALSE),1,0)</f>
        <v>0</v>
      </c>
      <c r="BG42">
        <f>IF(VLOOKUP(BG$1,main!$A$3:$H$102,5,FALSE)-VLOOKUP($A42,main!$A$3:$H$102,6,FALSE)&gt;=main!$D$103+VLOOKUP(VLOOKUP(BG$1,main!$A$3:$I$102,7,FALSE),main!$K$26:$Q$29,3,FALSE),1,0)</f>
        <v>0</v>
      </c>
      <c r="BH42">
        <f>IF(VLOOKUP(BH$1,main!$A$3:$H$102,5,FALSE)-VLOOKUP($A42,main!$A$3:$H$102,6,FALSE)&gt;=main!$D$103+VLOOKUP(VLOOKUP(BH$1,main!$A$3:$I$102,7,FALSE),main!$K$26:$Q$29,3,FALSE),1,0)</f>
        <v>0</v>
      </c>
      <c r="BI42">
        <f>IF(VLOOKUP(BI$1,main!$A$3:$H$102,5,FALSE)-VLOOKUP($A42,main!$A$3:$H$102,6,FALSE)&gt;=main!$D$103+VLOOKUP(VLOOKUP(BI$1,main!$A$3:$I$102,7,FALSE),main!$K$26:$Q$29,3,FALSE),1,0)</f>
        <v>0</v>
      </c>
      <c r="BJ42">
        <f>IF(VLOOKUP(BJ$1,main!$A$3:$H$102,5,FALSE)-VLOOKUP($A42,main!$A$3:$H$102,6,FALSE)&gt;=main!$D$103+VLOOKUP(VLOOKUP(BJ$1,main!$A$3:$I$102,7,FALSE),main!$K$26:$Q$29,3,FALSE),1,0)</f>
        <v>0</v>
      </c>
      <c r="BK42">
        <f>IF(VLOOKUP(BK$1,main!$A$3:$H$102,5,FALSE)-VLOOKUP($A42,main!$A$3:$H$102,6,FALSE)&gt;=main!$D$103+VLOOKUP(VLOOKUP(BK$1,main!$A$3:$I$102,7,FALSE),main!$K$26:$Q$29,3,FALSE),1,0)</f>
        <v>0</v>
      </c>
      <c r="BL42">
        <f>IF(VLOOKUP(BL$1,main!$A$3:$H$102,5,FALSE)-VLOOKUP($A42,main!$A$3:$H$102,6,FALSE)&gt;=main!$D$103+VLOOKUP(VLOOKUP(BL$1,main!$A$3:$I$102,7,FALSE),main!$K$26:$Q$29,3,FALSE),1,0)</f>
        <v>0</v>
      </c>
      <c r="BM42">
        <f>IF(VLOOKUP(BM$1,main!$A$3:$H$102,5,FALSE)-VLOOKUP($A42,main!$A$3:$H$102,6,FALSE)&gt;=main!$D$103+VLOOKUP(VLOOKUP(BM$1,main!$A$3:$I$102,7,FALSE),main!$K$26:$Q$29,3,FALSE),1,0)</f>
        <v>0</v>
      </c>
      <c r="BN42">
        <f>IF(VLOOKUP(BN$1,main!$A$3:$H$102,5,FALSE)-VLOOKUP($A42,main!$A$3:$H$102,6,FALSE)&gt;=main!$D$103+VLOOKUP(VLOOKUP(BN$1,main!$A$3:$I$102,7,FALSE),main!$K$26:$Q$29,3,FALSE),1,0)</f>
        <v>0</v>
      </c>
      <c r="BO42">
        <f>IF(VLOOKUP(BO$1,main!$A$3:$H$102,5,FALSE)-VLOOKUP($A42,main!$A$3:$H$102,6,FALSE)&gt;=main!$D$103+VLOOKUP(VLOOKUP(BO$1,main!$A$3:$I$102,7,FALSE),main!$K$26:$Q$29,3,FALSE),1,0)</f>
        <v>0</v>
      </c>
      <c r="BP42">
        <f>IF(VLOOKUP(BP$1,main!$A$3:$H$102,5,FALSE)-VLOOKUP($A42,main!$A$3:$H$102,6,FALSE)&gt;=main!$D$103+VLOOKUP(VLOOKUP(BP$1,main!$A$3:$I$102,7,FALSE),main!$K$26:$Q$29,3,FALSE),1,0)</f>
        <v>0</v>
      </c>
      <c r="BQ42">
        <f>IF(VLOOKUP(BQ$1,main!$A$3:$H$102,5,FALSE)-VLOOKUP($A42,main!$A$3:$H$102,6,FALSE)&gt;=main!$D$103+VLOOKUP(VLOOKUP(BQ$1,main!$A$3:$I$102,7,FALSE),main!$K$26:$Q$29,3,FALSE),1,0)</f>
        <v>0</v>
      </c>
      <c r="BR42">
        <f>IF(VLOOKUP(BR$1,main!$A$3:$H$102,5,FALSE)-VLOOKUP($A42,main!$A$3:$H$102,6,FALSE)&gt;=main!$D$103+VLOOKUP(VLOOKUP(BR$1,main!$A$3:$I$102,7,FALSE),main!$K$26:$Q$29,3,FALSE),1,0)</f>
        <v>0</v>
      </c>
      <c r="BS42">
        <f>IF(VLOOKUP(BS$1,main!$A$3:$H$102,5,FALSE)-VLOOKUP($A42,main!$A$3:$H$102,6,FALSE)&gt;=main!$D$103+VLOOKUP(VLOOKUP(BS$1,main!$A$3:$I$102,7,FALSE),main!$K$26:$Q$29,3,FALSE),1,0)</f>
        <v>0</v>
      </c>
      <c r="BT42">
        <f>IF(VLOOKUP(BT$1,main!$A$3:$H$102,5,FALSE)-VLOOKUP($A42,main!$A$3:$H$102,6,FALSE)&gt;=main!$D$103+VLOOKUP(VLOOKUP(BT$1,main!$A$3:$I$102,7,FALSE),main!$K$26:$Q$29,3,FALSE),1,0)</f>
        <v>0</v>
      </c>
      <c r="BU42">
        <f>IF(VLOOKUP(BU$1,main!$A$3:$H$102,5,FALSE)-VLOOKUP($A42,main!$A$3:$H$102,6,FALSE)&gt;=main!$D$103+VLOOKUP(VLOOKUP(BU$1,main!$A$3:$I$102,7,FALSE),main!$K$26:$Q$29,3,FALSE),1,0)</f>
        <v>0</v>
      </c>
      <c r="BV42">
        <f>IF(VLOOKUP(BV$1,main!$A$3:$H$102,5,FALSE)-VLOOKUP($A42,main!$A$3:$H$102,6,FALSE)&gt;=main!$D$103+VLOOKUP(VLOOKUP(BV$1,main!$A$3:$I$102,7,FALSE),main!$K$26:$Q$29,3,FALSE),1,0)</f>
        <v>0</v>
      </c>
      <c r="BW42">
        <f>IF(VLOOKUP(BW$1,main!$A$3:$H$102,5,FALSE)-VLOOKUP($A42,main!$A$3:$H$102,6,FALSE)&gt;=main!$D$103+VLOOKUP(VLOOKUP(BW$1,main!$A$3:$I$102,7,FALSE),main!$K$26:$Q$29,3,FALSE),1,0)</f>
        <v>0</v>
      </c>
      <c r="BX42">
        <f>IF(VLOOKUP(BX$1,main!$A$3:$H$102,5,FALSE)-VLOOKUP($A42,main!$A$3:$H$102,6,FALSE)&gt;=main!$D$103+VLOOKUP(VLOOKUP(BX$1,main!$A$3:$I$102,7,FALSE),main!$K$26:$Q$29,3,FALSE),1,0)</f>
        <v>0</v>
      </c>
      <c r="BY42">
        <f>IF(VLOOKUP(BY$1,main!$A$3:$H$102,5,FALSE)-VLOOKUP($A42,main!$A$3:$H$102,6,FALSE)&gt;=main!$D$103+VLOOKUP(VLOOKUP(BY$1,main!$A$3:$I$102,7,FALSE),main!$K$26:$Q$29,3,FALSE),1,0)</f>
        <v>0</v>
      </c>
      <c r="BZ42">
        <f>IF(VLOOKUP(BZ$1,main!$A$3:$H$102,5,FALSE)-VLOOKUP($A42,main!$A$3:$H$102,6,FALSE)&gt;=main!$D$103+VLOOKUP(VLOOKUP(BZ$1,main!$A$3:$I$102,7,FALSE),main!$K$26:$Q$29,3,FALSE),1,0)</f>
        <v>0</v>
      </c>
      <c r="CA42">
        <f>IF(VLOOKUP(CA$1,main!$A$3:$H$102,5,FALSE)-VLOOKUP($A42,main!$A$3:$H$102,6,FALSE)&gt;=main!$D$103+VLOOKUP(VLOOKUP(CA$1,main!$A$3:$I$102,7,FALSE),main!$K$26:$Q$29,3,FALSE),1,0)</f>
        <v>0</v>
      </c>
      <c r="CB42">
        <f>IF(VLOOKUP(CB$1,main!$A$3:$H$102,5,FALSE)-VLOOKUP($A42,main!$A$3:$H$102,6,FALSE)&gt;=main!$D$103+VLOOKUP(VLOOKUP(CB$1,main!$A$3:$I$102,7,FALSE),main!$K$26:$Q$29,3,FALSE),1,0)</f>
        <v>0</v>
      </c>
      <c r="CC42">
        <f>IF(VLOOKUP(CC$1,main!$A$3:$H$102,5,FALSE)-VLOOKUP($A42,main!$A$3:$H$102,6,FALSE)&gt;=main!$D$103+VLOOKUP(VLOOKUP(CC$1,main!$A$3:$I$102,7,FALSE),main!$K$26:$Q$29,3,FALSE),1,0)</f>
        <v>0</v>
      </c>
      <c r="CD42">
        <f>IF(VLOOKUP(CD$1,main!$A$3:$H$102,5,FALSE)-VLOOKUP($A42,main!$A$3:$H$102,6,FALSE)&gt;=main!$D$103+VLOOKUP(VLOOKUP(CD$1,main!$A$3:$I$102,7,FALSE),main!$K$26:$Q$29,3,FALSE),1,0)</f>
        <v>0</v>
      </c>
      <c r="CE42">
        <f>IF(VLOOKUP(CE$1,main!$A$3:$H$102,5,FALSE)-VLOOKUP($A42,main!$A$3:$H$102,6,FALSE)&gt;=main!$D$103+VLOOKUP(VLOOKUP(CE$1,main!$A$3:$I$102,7,FALSE),main!$K$26:$Q$29,3,FALSE),1,0)</f>
        <v>0</v>
      </c>
      <c r="CF42">
        <f>IF(VLOOKUP(CF$1,main!$A$3:$H$102,5,FALSE)-VLOOKUP($A42,main!$A$3:$H$102,6,FALSE)&gt;=main!$D$103+VLOOKUP(VLOOKUP(CF$1,main!$A$3:$I$102,7,FALSE),main!$K$26:$Q$29,3,FALSE),1,0)</f>
        <v>0</v>
      </c>
      <c r="CG42">
        <f>IF(VLOOKUP(CG$1,main!$A$3:$H$102,5,FALSE)-VLOOKUP($A42,main!$A$3:$H$102,6,FALSE)&gt;=main!$D$103+VLOOKUP(VLOOKUP(CG$1,main!$A$3:$I$102,7,FALSE),main!$K$26:$Q$29,3,FALSE),1,0)</f>
        <v>0</v>
      </c>
      <c r="CH42">
        <f>IF(VLOOKUP(CH$1,main!$A$3:$H$102,5,FALSE)-VLOOKUP($A42,main!$A$3:$H$102,6,FALSE)&gt;=main!$D$103+VLOOKUP(VLOOKUP(CH$1,main!$A$3:$I$102,7,FALSE),main!$K$26:$Q$29,3,FALSE),1,0)</f>
        <v>0</v>
      </c>
      <c r="CI42">
        <f>IF(VLOOKUP(CI$1,main!$A$3:$H$102,5,FALSE)-VLOOKUP($A42,main!$A$3:$H$102,6,FALSE)&gt;=main!$D$103+VLOOKUP(VLOOKUP(CI$1,main!$A$3:$I$102,7,FALSE),main!$K$26:$Q$29,3,FALSE),1,0)</f>
        <v>0</v>
      </c>
      <c r="CJ42">
        <f>IF(VLOOKUP(CJ$1,main!$A$3:$H$102,5,FALSE)-VLOOKUP($A42,main!$A$3:$H$102,6,FALSE)&gt;=main!$D$103+VLOOKUP(VLOOKUP(CJ$1,main!$A$3:$I$102,7,FALSE),main!$K$26:$Q$29,3,FALSE),1,0)</f>
        <v>0</v>
      </c>
      <c r="CK42">
        <f>IF(VLOOKUP(CK$1,main!$A$3:$H$102,5,FALSE)-VLOOKUP($A42,main!$A$3:$H$102,6,FALSE)&gt;=main!$D$103+VLOOKUP(VLOOKUP(CK$1,main!$A$3:$I$102,7,FALSE),main!$K$26:$Q$29,3,FALSE),1,0)</f>
        <v>0</v>
      </c>
      <c r="CL42">
        <f>IF(VLOOKUP(CL$1,main!$A$3:$H$102,5,FALSE)-VLOOKUP($A42,main!$A$3:$H$102,6,FALSE)&gt;=main!$D$103+VLOOKUP(VLOOKUP(CL$1,main!$A$3:$I$102,7,FALSE),main!$K$26:$Q$29,3,FALSE),1,0)</f>
        <v>0</v>
      </c>
      <c r="CM42">
        <f>IF(VLOOKUP(CM$1,main!$A$3:$H$102,5,FALSE)-VLOOKUP($A42,main!$A$3:$H$102,6,FALSE)&gt;=main!$D$103+VLOOKUP(VLOOKUP(CM$1,main!$A$3:$I$102,7,FALSE),main!$K$26:$Q$29,3,FALSE),1,0)</f>
        <v>0</v>
      </c>
      <c r="CN42">
        <f>IF(VLOOKUP(CN$1,main!$A$3:$H$102,5,FALSE)-VLOOKUP($A42,main!$A$3:$H$102,6,FALSE)&gt;=main!$D$103+VLOOKUP(VLOOKUP(CN$1,main!$A$3:$I$102,7,FALSE),main!$K$26:$Q$29,3,FALSE),1,0)</f>
        <v>0</v>
      </c>
      <c r="CO42">
        <f>IF(VLOOKUP(CO$1,main!$A$3:$H$102,5,FALSE)-VLOOKUP($A42,main!$A$3:$H$102,6,FALSE)&gt;=main!$D$103+VLOOKUP(VLOOKUP(CO$1,main!$A$3:$I$102,7,FALSE),main!$K$26:$Q$29,3,FALSE),1,0)</f>
        <v>0</v>
      </c>
      <c r="CP42">
        <f>IF(VLOOKUP(CP$1,main!$A$3:$H$102,5,FALSE)-VLOOKUP($A42,main!$A$3:$H$102,6,FALSE)&gt;=main!$D$103+VLOOKUP(VLOOKUP(CP$1,main!$A$3:$I$102,7,FALSE),main!$K$26:$Q$29,3,FALSE),1,0)</f>
        <v>0</v>
      </c>
      <c r="CQ42">
        <f>IF(VLOOKUP(CQ$1,main!$A$3:$H$102,5,FALSE)-VLOOKUP($A42,main!$A$3:$H$102,6,FALSE)&gt;=main!$D$103+VLOOKUP(VLOOKUP(CQ$1,main!$A$3:$I$102,7,FALSE),main!$K$26:$Q$29,3,FALSE),1,0)</f>
        <v>0</v>
      </c>
      <c r="CR42">
        <f>IF(VLOOKUP(CR$1,main!$A$3:$H$102,5,FALSE)-VLOOKUP($A42,main!$A$3:$H$102,6,FALSE)&gt;=main!$D$103+VLOOKUP(VLOOKUP(CR$1,main!$A$3:$I$102,7,FALSE),main!$K$26:$Q$29,3,FALSE),1,0)</f>
        <v>0</v>
      </c>
      <c r="CS42">
        <f>IF(VLOOKUP(CS$1,main!$A$3:$H$102,5,FALSE)-VLOOKUP($A42,main!$A$3:$H$102,6,FALSE)&gt;=main!$D$103+VLOOKUP(VLOOKUP(CS$1,main!$A$3:$I$102,7,FALSE),main!$K$26:$Q$29,3,FALSE),1,0)</f>
        <v>0</v>
      </c>
      <c r="CT42">
        <f>IF(VLOOKUP(CT$1,main!$A$3:$H$102,5,FALSE)-VLOOKUP($A42,main!$A$3:$H$102,6,FALSE)&gt;=main!$D$103+VLOOKUP(VLOOKUP(CT$1,main!$A$3:$I$102,7,FALSE),main!$K$26:$Q$29,3,FALSE),1,0)</f>
        <v>0</v>
      </c>
      <c r="CU42">
        <f>IF(VLOOKUP(CU$1,main!$A$3:$H$102,5,FALSE)-VLOOKUP($A42,main!$A$3:$H$102,6,FALSE)&gt;=main!$D$103+VLOOKUP(VLOOKUP(CU$1,main!$A$3:$I$102,7,FALSE),main!$K$26:$Q$29,3,FALSE),1,0)</f>
        <v>0</v>
      </c>
      <c r="CV42">
        <f>IF(VLOOKUP(CV$1,main!$A$3:$H$102,5,FALSE)-VLOOKUP($A42,main!$A$3:$H$102,6,FALSE)&gt;=main!$D$103+VLOOKUP(VLOOKUP(CV$1,main!$A$3:$I$102,7,FALSE),main!$K$26:$Q$29,3,FALSE),1,0)</f>
        <v>0</v>
      </c>
      <c r="CW42">
        <f>IF(VLOOKUP(CW$1,main!$A$3:$H$102,5,FALSE)-VLOOKUP($A42,main!$A$3:$H$102,6,FALSE)&gt;=main!$D$103+VLOOKUP(VLOOKUP(CW$1,main!$A$3:$I$102,7,FALSE),main!$K$26:$Q$29,3,FALSE),1,0)</f>
        <v>0</v>
      </c>
      <c r="CX42">
        <f>IF(VLOOKUP(CX$1,main!$A$3:$H$102,5,FALSE)-VLOOKUP($A42,main!$A$3:$H$102,6,FALSE)&gt;=main!$D$103+VLOOKUP(VLOOKUP(CX$1,main!$A$3:$I$102,7,FALSE),main!$K$26:$Q$29,3,FALSE),1,0)</f>
        <v>0</v>
      </c>
    </row>
    <row r="43" spans="1:102" x14ac:dyDescent="0.25">
      <c r="A43" s="1">
        <v>41</v>
      </c>
      <c r="B43">
        <v>0</v>
      </c>
      <c r="C43">
        <f>IF(VLOOKUP(C$1,main!$A$3:$H$102,5,FALSE)-VLOOKUP($A43,main!$A$3:$H$102,6,FALSE)&gt;=main!$D$103+VLOOKUP(VLOOKUP(C$1,main!$A$3:$I$102,7,FALSE),main!$K$26:$Q$29,3,FALSE),1,0)</f>
        <v>0</v>
      </c>
      <c r="D43">
        <f>IF(VLOOKUP(D$1,main!$A$3:$H$102,5,FALSE)-VLOOKUP($A43,main!$A$3:$H$102,6,FALSE)&gt;=main!$D$103+VLOOKUP(VLOOKUP(D$1,main!$A$3:$I$102,7,FALSE),main!$K$26:$Q$29,3,FALSE),1,0)</f>
        <v>0</v>
      </c>
      <c r="E43">
        <f>IF(VLOOKUP(E$1,main!$A$3:$H$102,5,FALSE)-VLOOKUP($A43,main!$A$3:$H$102,6,FALSE)&gt;=main!$D$103+VLOOKUP(VLOOKUP(E$1,main!$A$3:$I$102,7,FALSE),main!$K$26:$Q$29,3,FALSE),1,0)</f>
        <v>1</v>
      </c>
      <c r="F43">
        <f>IF(VLOOKUP(F$1,main!$A$3:$H$102,5,FALSE)-VLOOKUP($A43,main!$A$3:$H$102,6,FALSE)&gt;=main!$D$103+VLOOKUP(VLOOKUP(F$1,main!$A$3:$I$102,7,FALSE),main!$K$26:$Q$29,3,FALSE),1,0)</f>
        <v>1</v>
      </c>
      <c r="G43">
        <f>IF(VLOOKUP(G$1,main!$A$3:$H$102,5,FALSE)-VLOOKUP($A43,main!$A$3:$H$102,6,FALSE)&gt;=main!$D$103+VLOOKUP(VLOOKUP(G$1,main!$A$3:$I$102,7,FALSE),main!$K$26:$Q$29,3,FALSE),1,0)</f>
        <v>1</v>
      </c>
      <c r="H43">
        <f>IF(VLOOKUP(H$1,main!$A$3:$H$102,5,FALSE)-VLOOKUP($A43,main!$A$3:$H$102,6,FALSE)&gt;=main!$D$103+VLOOKUP(VLOOKUP(H$1,main!$A$3:$I$102,7,FALSE),main!$K$26:$Q$29,3,FALSE),1,0)</f>
        <v>1</v>
      </c>
      <c r="I43">
        <f>IF(VLOOKUP(I$1,main!$A$3:$H$102,5,FALSE)-VLOOKUP($A43,main!$A$3:$H$102,6,FALSE)&gt;=main!$D$103+VLOOKUP(VLOOKUP(I$1,main!$A$3:$I$102,7,FALSE),main!$K$26:$Q$29,3,FALSE),1,0)</f>
        <v>1</v>
      </c>
      <c r="J43">
        <f>IF(VLOOKUP(J$1,main!$A$3:$H$102,5,FALSE)-VLOOKUP($A43,main!$A$3:$H$102,6,FALSE)&gt;=main!$D$103+VLOOKUP(VLOOKUP(J$1,main!$A$3:$I$102,7,FALSE),main!$K$26:$Q$29,3,FALSE),1,0)</f>
        <v>1</v>
      </c>
      <c r="K43">
        <f>IF(VLOOKUP(K$1,main!$A$3:$H$102,5,FALSE)-VLOOKUP($A43,main!$A$3:$H$102,6,FALSE)&gt;=main!$D$103+VLOOKUP(VLOOKUP(K$1,main!$A$3:$I$102,7,FALSE),main!$K$26:$Q$29,3,FALSE),1,0)</f>
        <v>1</v>
      </c>
      <c r="L43">
        <f>IF(VLOOKUP(L$1,main!$A$3:$H$102,5,FALSE)-VLOOKUP($A43,main!$A$3:$H$102,6,FALSE)&gt;=main!$D$103+VLOOKUP(VLOOKUP(L$1,main!$A$3:$I$102,7,FALSE),main!$K$26:$Q$29,3,FALSE),1,0)</f>
        <v>1</v>
      </c>
      <c r="M43">
        <f>IF(VLOOKUP(M$1,main!$A$3:$H$102,5,FALSE)-VLOOKUP($A43,main!$A$3:$H$102,6,FALSE)&gt;=main!$D$103+VLOOKUP(VLOOKUP(M$1,main!$A$3:$I$102,7,FALSE),main!$K$26:$Q$29,3,FALSE),1,0)</f>
        <v>0</v>
      </c>
      <c r="N43">
        <f>IF(VLOOKUP(N$1,main!$A$3:$H$102,5,FALSE)-VLOOKUP($A43,main!$A$3:$H$102,6,FALSE)&gt;=main!$D$103+VLOOKUP(VLOOKUP(N$1,main!$A$3:$I$102,7,FALSE),main!$K$26:$Q$29,3,FALSE),1,0)</f>
        <v>0</v>
      </c>
      <c r="O43">
        <f>IF(VLOOKUP(O$1,main!$A$3:$H$102,5,FALSE)-VLOOKUP($A43,main!$A$3:$H$102,6,FALSE)&gt;=main!$D$103+VLOOKUP(VLOOKUP(O$1,main!$A$3:$I$102,7,FALSE),main!$K$26:$Q$29,3,FALSE),1,0)</f>
        <v>0</v>
      </c>
      <c r="P43">
        <f>IF(VLOOKUP(P$1,main!$A$3:$H$102,5,FALSE)-VLOOKUP($A43,main!$A$3:$H$102,6,FALSE)&gt;=main!$D$103+VLOOKUP(VLOOKUP(P$1,main!$A$3:$I$102,7,FALSE),main!$K$26:$Q$29,3,FALSE),1,0)</f>
        <v>1</v>
      </c>
      <c r="Q43">
        <f>IF(VLOOKUP(Q$1,main!$A$3:$H$102,5,FALSE)-VLOOKUP($A43,main!$A$3:$H$102,6,FALSE)&gt;=main!$D$103+VLOOKUP(VLOOKUP(Q$1,main!$A$3:$I$102,7,FALSE),main!$K$26:$Q$29,3,FALSE),1,0)</f>
        <v>1</v>
      </c>
      <c r="R43">
        <f>IF(VLOOKUP(R$1,main!$A$3:$H$102,5,FALSE)-VLOOKUP($A43,main!$A$3:$H$102,6,FALSE)&gt;=main!$D$103+VLOOKUP(VLOOKUP(R$1,main!$A$3:$I$102,7,FALSE),main!$K$26:$Q$29,3,FALSE),1,0)</f>
        <v>1</v>
      </c>
      <c r="S43">
        <f>IF(VLOOKUP(S$1,main!$A$3:$H$102,5,FALSE)-VLOOKUP($A43,main!$A$3:$H$102,6,FALSE)&gt;=main!$D$103+VLOOKUP(VLOOKUP(S$1,main!$A$3:$I$102,7,FALSE),main!$K$26:$Q$29,3,FALSE),1,0)</f>
        <v>1</v>
      </c>
      <c r="T43">
        <f>IF(VLOOKUP(T$1,main!$A$3:$H$102,5,FALSE)-VLOOKUP($A43,main!$A$3:$H$102,6,FALSE)&gt;=main!$D$103+VLOOKUP(VLOOKUP(T$1,main!$A$3:$I$102,7,FALSE),main!$K$26:$Q$29,3,FALSE),1,0)</f>
        <v>1</v>
      </c>
      <c r="U43">
        <f>IF(VLOOKUP(U$1,main!$A$3:$H$102,5,FALSE)-VLOOKUP($A43,main!$A$3:$H$102,6,FALSE)&gt;=main!$D$103+VLOOKUP(VLOOKUP(U$1,main!$A$3:$I$102,7,FALSE),main!$K$26:$Q$29,3,FALSE),1,0)</f>
        <v>1</v>
      </c>
      <c r="V43">
        <f>IF(VLOOKUP(V$1,main!$A$3:$H$102,5,FALSE)-VLOOKUP($A43,main!$A$3:$H$102,6,FALSE)&gt;=main!$D$103+VLOOKUP(VLOOKUP(V$1,main!$A$3:$I$102,7,FALSE),main!$K$26:$Q$29,3,FALSE),1,0)</f>
        <v>1</v>
      </c>
      <c r="W43">
        <f>IF(VLOOKUP(W$1,main!$A$3:$H$102,5,FALSE)-VLOOKUP($A43,main!$A$3:$H$102,6,FALSE)&gt;=main!$D$103+VLOOKUP(VLOOKUP(W$1,main!$A$3:$I$102,7,FALSE),main!$K$26:$Q$29,3,FALSE),1,0)</f>
        <v>0</v>
      </c>
      <c r="X43">
        <f>IF(VLOOKUP(X$1,main!$A$3:$H$102,5,FALSE)-VLOOKUP($A43,main!$A$3:$H$102,6,FALSE)&gt;=main!$D$103+VLOOKUP(VLOOKUP(X$1,main!$A$3:$I$102,7,FALSE),main!$K$26:$Q$29,3,FALSE),1,0)</f>
        <v>0</v>
      </c>
      <c r="Y43">
        <f>IF(VLOOKUP(Y$1,main!$A$3:$H$102,5,FALSE)-VLOOKUP($A43,main!$A$3:$H$102,6,FALSE)&gt;=main!$D$103+VLOOKUP(VLOOKUP(Y$1,main!$A$3:$I$102,7,FALSE),main!$K$26:$Q$29,3,FALSE),1,0)</f>
        <v>1</v>
      </c>
      <c r="Z43">
        <f>IF(VLOOKUP(Z$1,main!$A$3:$H$102,5,FALSE)-VLOOKUP($A43,main!$A$3:$H$102,6,FALSE)&gt;=main!$D$103+VLOOKUP(VLOOKUP(Z$1,main!$A$3:$I$102,7,FALSE),main!$K$26:$Q$29,3,FALSE),1,0)</f>
        <v>1</v>
      </c>
      <c r="AA43">
        <f>IF(VLOOKUP(AA$1,main!$A$3:$H$102,5,FALSE)-VLOOKUP($A43,main!$A$3:$H$102,6,FALSE)&gt;=main!$D$103+VLOOKUP(VLOOKUP(AA$1,main!$A$3:$I$102,7,FALSE),main!$K$26:$Q$29,3,FALSE),1,0)</f>
        <v>1</v>
      </c>
      <c r="AB43">
        <f>IF(VLOOKUP(AB$1,main!$A$3:$H$102,5,FALSE)-VLOOKUP($A43,main!$A$3:$H$102,6,FALSE)&gt;=main!$D$103+VLOOKUP(VLOOKUP(AB$1,main!$A$3:$I$102,7,FALSE),main!$K$26:$Q$29,3,FALSE),1,0)</f>
        <v>0</v>
      </c>
      <c r="AC43">
        <f>IF(VLOOKUP(AC$1,main!$A$3:$H$102,5,FALSE)-VLOOKUP($A43,main!$A$3:$H$102,6,FALSE)&gt;=main!$D$103+VLOOKUP(VLOOKUP(AC$1,main!$A$3:$I$102,7,FALSE),main!$K$26:$Q$29,3,FALSE),1,0)</f>
        <v>0</v>
      </c>
      <c r="AD43">
        <f>IF(VLOOKUP(AD$1,main!$A$3:$H$102,5,FALSE)-VLOOKUP($A43,main!$A$3:$H$102,6,FALSE)&gt;=main!$D$103+VLOOKUP(VLOOKUP(AD$1,main!$A$3:$I$102,7,FALSE),main!$K$26:$Q$29,3,FALSE),1,0)</f>
        <v>1</v>
      </c>
      <c r="AE43">
        <f>IF(VLOOKUP(AE$1,main!$A$3:$H$102,5,FALSE)-VLOOKUP($A43,main!$A$3:$H$102,6,FALSE)&gt;=main!$D$103+VLOOKUP(VLOOKUP(AE$1,main!$A$3:$I$102,7,FALSE),main!$K$26:$Q$29,3,FALSE),1,0)</f>
        <v>1</v>
      </c>
      <c r="AF43">
        <f>IF(VLOOKUP(AF$1,main!$A$3:$H$102,5,FALSE)-VLOOKUP($A43,main!$A$3:$H$102,6,FALSE)&gt;=main!$D$103+VLOOKUP(VLOOKUP(AF$1,main!$A$3:$I$102,7,FALSE),main!$K$26:$Q$29,3,FALSE),1,0)</f>
        <v>1</v>
      </c>
      <c r="AG43">
        <f>IF(VLOOKUP(AG$1,main!$A$3:$H$102,5,FALSE)-VLOOKUP($A43,main!$A$3:$H$102,6,FALSE)&gt;=main!$D$103+VLOOKUP(VLOOKUP(AG$1,main!$A$3:$I$102,7,FALSE),main!$K$26:$Q$29,3,FALSE),1,0)</f>
        <v>0</v>
      </c>
      <c r="AH43">
        <f>IF(VLOOKUP(AH$1,main!$A$3:$H$102,5,FALSE)-VLOOKUP($A43,main!$A$3:$H$102,6,FALSE)&gt;=main!$D$103+VLOOKUP(VLOOKUP(AH$1,main!$A$3:$I$102,7,FALSE),main!$K$26:$Q$29,3,FALSE),1,0)</f>
        <v>0</v>
      </c>
      <c r="AI43">
        <f>IF(VLOOKUP(AI$1,main!$A$3:$H$102,5,FALSE)-VLOOKUP($A43,main!$A$3:$H$102,6,FALSE)&gt;=main!$D$103+VLOOKUP(VLOOKUP(AI$1,main!$A$3:$I$102,7,FALSE),main!$K$26:$Q$29,3,FALSE),1,0)</f>
        <v>1</v>
      </c>
      <c r="AJ43">
        <f>IF(VLOOKUP(AJ$1,main!$A$3:$H$102,5,FALSE)-VLOOKUP($A43,main!$A$3:$H$102,6,FALSE)&gt;=main!$D$103+VLOOKUP(VLOOKUP(AJ$1,main!$A$3:$I$102,7,FALSE),main!$K$26:$Q$29,3,FALSE),1,0)</f>
        <v>1</v>
      </c>
      <c r="AK43">
        <f>IF(VLOOKUP(AK$1,main!$A$3:$H$102,5,FALSE)-VLOOKUP($A43,main!$A$3:$H$102,6,FALSE)&gt;=main!$D$103+VLOOKUP(VLOOKUP(AK$1,main!$A$3:$I$102,7,FALSE),main!$K$26:$Q$29,3,FALSE),1,0)</f>
        <v>1</v>
      </c>
      <c r="AL43">
        <f>IF(VLOOKUP(AL$1,main!$A$3:$H$102,5,FALSE)-VLOOKUP($A43,main!$A$3:$H$102,6,FALSE)&gt;=main!$D$103+VLOOKUP(VLOOKUP(AL$1,main!$A$3:$I$102,7,FALSE),main!$K$26:$Q$29,3,FALSE),1,0)</f>
        <v>1</v>
      </c>
      <c r="AM43">
        <f>IF(VLOOKUP(AM$1,main!$A$3:$H$102,5,FALSE)-VLOOKUP($A43,main!$A$3:$H$102,6,FALSE)&gt;=main!$D$103+VLOOKUP(VLOOKUP(AM$1,main!$A$3:$I$102,7,FALSE),main!$K$26:$Q$29,3,FALSE),1,0)</f>
        <v>1</v>
      </c>
      <c r="AN43">
        <f>IF(VLOOKUP(AN$1,main!$A$3:$H$102,5,FALSE)-VLOOKUP($A43,main!$A$3:$H$102,6,FALSE)&gt;=main!$D$103+VLOOKUP(VLOOKUP(AN$1,main!$A$3:$I$102,7,FALSE),main!$K$26:$Q$29,3,FALSE),1,0)</f>
        <v>1</v>
      </c>
      <c r="AO43">
        <f>IF(VLOOKUP(AO$1,main!$A$3:$H$102,5,FALSE)-VLOOKUP($A43,main!$A$3:$H$102,6,FALSE)&gt;=main!$D$103+VLOOKUP(VLOOKUP(AO$1,main!$A$3:$I$102,7,FALSE),main!$K$26:$Q$29,3,FALSE),1,0)</f>
        <v>0</v>
      </c>
      <c r="AP43">
        <f>IF(VLOOKUP(AP$1,main!$A$3:$H$102,5,FALSE)-VLOOKUP($A43,main!$A$3:$H$102,6,FALSE)&gt;=main!$D$103+VLOOKUP(VLOOKUP(AP$1,main!$A$3:$I$102,7,FALSE),main!$K$26:$Q$29,3,FALSE),1,0)</f>
        <v>1</v>
      </c>
      <c r="AQ43">
        <f>IF(VLOOKUP(AQ$1,main!$A$3:$H$102,5,FALSE)-VLOOKUP($A43,main!$A$3:$H$102,6,FALSE)&gt;=main!$D$103+VLOOKUP(VLOOKUP(AQ$1,main!$A$3:$I$102,7,FALSE),main!$K$26:$Q$29,3,FALSE),1,0)</f>
        <v>0</v>
      </c>
      <c r="AR43">
        <f>IF(VLOOKUP(AR$1,main!$A$3:$H$102,5,FALSE)-VLOOKUP($A43,main!$A$3:$H$102,6,FALSE)&gt;=main!$D$103+VLOOKUP(VLOOKUP(AR$1,main!$A$3:$I$102,7,FALSE),main!$K$26:$Q$29,3,FALSE),1,0)</f>
        <v>0</v>
      </c>
      <c r="AS43">
        <f>IF(VLOOKUP(AS$1,main!$A$3:$H$102,5,FALSE)-VLOOKUP($A43,main!$A$3:$H$102,6,FALSE)&gt;=main!$D$103+VLOOKUP(VLOOKUP(AS$1,main!$A$3:$I$102,7,FALSE),main!$K$26:$Q$29,3,FALSE),1,0)</f>
        <v>1</v>
      </c>
      <c r="AT43">
        <f>IF(VLOOKUP(AT$1,main!$A$3:$H$102,5,FALSE)-VLOOKUP($A43,main!$A$3:$H$102,6,FALSE)&gt;=main!$D$103+VLOOKUP(VLOOKUP(AT$1,main!$A$3:$I$102,7,FALSE),main!$K$26:$Q$29,3,FALSE),1,0)</f>
        <v>1</v>
      </c>
      <c r="AU43">
        <f>IF(VLOOKUP(AU$1,main!$A$3:$H$102,5,FALSE)-VLOOKUP($A43,main!$A$3:$H$102,6,FALSE)&gt;=main!$D$103+VLOOKUP(VLOOKUP(AU$1,main!$A$3:$I$102,7,FALSE),main!$K$26:$Q$29,3,FALSE),1,0)</f>
        <v>0</v>
      </c>
      <c r="AV43">
        <f>IF(VLOOKUP(AV$1,main!$A$3:$H$102,5,FALSE)-VLOOKUP($A43,main!$A$3:$H$102,6,FALSE)&gt;=main!$D$103+VLOOKUP(VLOOKUP(AV$1,main!$A$3:$I$102,7,FALSE),main!$K$26:$Q$29,3,FALSE),1,0)</f>
        <v>0</v>
      </c>
      <c r="AW43">
        <f>IF(VLOOKUP(AW$1,main!$A$3:$H$102,5,FALSE)-VLOOKUP($A43,main!$A$3:$H$102,6,FALSE)&gt;=main!$D$103+VLOOKUP(VLOOKUP(AW$1,main!$A$3:$I$102,7,FALSE),main!$K$26:$Q$29,3,FALSE),1,0)</f>
        <v>1</v>
      </c>
      <c r="AX43">
        <f>IF(VLOOKUP(AX$1,main!$A$3:$H$102,5,FALSE)-VLOOKUP($A43,main!$A$3:$H$102,6,FALSE)&gt;=main!$D$103+VLOOKUP(VLOOKUP(AX$1,main!$A$3:$I$102,7,FALSE),main!$K$26:$Q$29,3,FALSE),1,0)</f>
        <v>1</v>
      </c>
      <c r="AY43">
        <f>IF(VLOOKUP(AY$1,main!$A$3:$H$102,5,FALSE)-VLOOKUP($A43,main!$A$3:$H$102,6,FALSE)&gt;=main!$D$103+VLOOKUP(VLOOKUP(AY$1,main!$A$3:$I$102,7,FALSE),main!$K$26:$Q$29,3,FALSE),1,0)</f>
        <v>0</v>
      </c>
      <c r="AZ43">
        <f>IF(VLOOKUP(AZ$1,main!$A$3:$H$102,5,FALSE)-VLOOKUP($A43,main!$A$3:$H$102,6,FALSE)&gt;=main!$D$103+VLOOKUP(VLOOKUP(AZ$1,main!$A$3:$I$102,7,FALSE),main!$K$26:$Q$29,3,FALSE),1,0)</f>
        <v>1</v>
      </c>
      <c r="BA43">
        <f>IF(VLOOKUP(BA$1,main!$A$3:$H$102,5,FALSE)-VLOOKUP($A43,main!$A$3:$H$102,6,FALSE)&gt;=main!$D$103+VLOOKUP(VLOOKUP(BA$1,main!$A$3:$I$102,7,FALSE),main!$K$26:$Q$29,3,FALSE),1,0)</f>
        <v>0</v>
      </c>
      <c r="BB43">
        <f>IF(VLOOKUP(BB$1,main!$A$3:$H$102,5,FALSE)-VLOOKUP($A43,main!$A$3:$H$102,6,FALSE)&gt;=main!$D$103+VLOOKUP(VLOOKUP(BB$1,main!$A$3:$I$102,7,FALSE),main!$K$26:$Q$29,3,FALSE),1,0)</f>
        <v>1</v>
      </c>
      <c r="BC43">
        <f>IF(VLOOKUP(BC$1,main!$A$3:$H$102,5,FALSE)-VLOOKUP($A43,main!$A$3:$H$102,6,FALSE)&gt;=main!$D$103+VLOOKUP(VLOOKUP(BC$1,main!$A$3:$I$102,7,FALSE),main!$K$26:$Q$29,3,FALSE),1,0)</f>
        <v>1</v>
      </c>
      <c r="BD43">
        <f>IF(VLOOKUP(BD$1,main!$A$3:$H$102,5,FALSE)-VLOOKUP($A43,main!$A$3:$H$102,6,FALSE)&gt;=main!$D$103+VLOOKUP(VLOOKUP(BD$1,main!$A$3:$I$102,7,FALSE),main!$K$26:$Q$29,3,FALSE),1,0)</f>
        <v>1</v>
      </c>
      <c r="BE43">
        <f>IF(VLOOKUP(BE$1,main!$A$3:$H$102,5,FALSE)-VLOOKUP($A43,main!$A$3:$H$102,6,FALSE)&gt;=main!$D$103+VLOOKUP(VLOOKUP(BE$1,main!$A$3:$I$102,7,FALSE),main!$K$26:$Q$29,3,FALSE),1,0)</f>
        <v>1</v>
      </c>
      <c r="BF43">
        <f>IF(VLOOKUP(BF$1,main!$A$3:$H$102,5,FALSE)-VLOOKUP($A43,main!$A$3:$H$102,6,FALSE)&gt;=main!$D$103+VLOOKUP(VLOOKUP(BF$1,main!$A$3:$I$102,7,FALSE),main!$K$26:$Q$29,3,FALSE),1,0)</f>
        <v>0</v>
      </c>
      <c r="BG43">
        <f>IF(VLOOKUP(BG$1,main!$A$3:$H$102,5,FALSE)-VLOOKUP($A43,main!$A$3:$H$102,6,FALSE)&gt;=main!$D$103+VLOOKUP(VLOOKUP(BG$1,main!$A$3:$I$102,7,FALSE),main!$K$26:$Q$29,3,FALSE),1,0)</f>
        <v>0</v>
      </c>
      <c r="BH43">
        <f>IF(VLOOKUP(BH$1,main!$A$3:$H$102,5,FALSE)-VLOOKUP($A43,main!$A$3:$H$102,6,FALSE)&gt;=main!$D$103+VLOOKUP(VLOOKUP(BH$1,main!$A$3:$I$102,7,FALSE),main!$K$26:$Q$29,3,FALSE),1,0)</f>
        <v>1</v>
      </c>
      <c r="BI43">
        <f>IF(VLOOKUP(BI$1,main!$A$3:$H$102,5,FALSE)-VLOOKUP($A43,main!$A$3:$H$102,6,FALSE)&gt;=main!$D$103+VLOOKUP(VLOOKUP(BI$1,main!$A$3:$I$102,7,FALSE),main!$K$26:$Q$29,3,FALSE),1,0)</f>
        <v>1</v>
      </c>
      <c r="BJ43">
        <f>IF(VLOOKUP(BJ$1,main!$A$3:$H$102,5,FALSE)-VLOOKUP($A43,main!$A$3:$H$102,6,FALSE)&gt;=main!$D$103+VLOOKUP(VLOOKUP(BJ$1,main!$A$3:$I$102,7,FALSE),main!$K$26:$Q$29,3,FALSE),1,0)</f>
        <v>1</v>
      </c>
      <c r="BK43">
        <f>IF(VLOOKUP(BK$1,main!$A$3:$H$102,5,FALSE)-VLOOKUP($A43,main!$A$3:$H$102,6,FALSE)&gt;=main!$D$103+VLOOKUP(VLOOKUP(BK$1,main!$A$3:$I$102,7,FALSE),main!$K$26:$Q$29,3,FALSE),1,0)</f>
        <v>0</v>
      </c>
      <c r="BL43">
        <f>IF(VLOOKUP(BL$1,main!$A$3:$H$102,5,FALSE)-VLOOKUP($A43,main!$A$3:$H$102,6,FALSE)&gt;=main!$D$103+VLOOKUP(VLOOKUP(BL$1,main!$A$3:$I$102,7,FALSE),main!$K$26:$Q$29,3,FALSE),1,0)</f>
        <v>0</v>
      </c>
      <c r="BM43">
        <f>IF(VLOOKUP(BM$1,main!$A$3:$H$102,5,FALSE)-VLOOKUP($A43,main!$A$3:$H$102,6,FALSE)&gt;=main!$D$103+VLOOKUP(VLOOKUP(BM$1,main!$A$3:$I$102,7,FALSE),main!$K$26:$Q$29,3,FALSE),1,0)</f>
        <v>0</v>
      </c>
      <c r="BN43">
        <f>IF(VLOOKUP(BN$1,main!$A$3:$H$102,5,FALSE)-VLOOKUP($A43,main!$A$3:$H$102,6,FALSE)&gt;=main!$D$103+VLOOKUP(VLOOKUP(BN$1,main!$A$3:$I$102,7,FALSE),main!$K$26:$Q$29,3,FALSE),1,0)</f>
        <v>1</v>
      </c>
      <c r="BO43">
        <f>IF(VLOOKUP(BO$1,main!$A$3:$H$102,5,FALSE)-VLOOKUP($A43,main!$A$3:$H$102,6,FALSE)&gt;=main!$D$103+VLOOKUP(VLOOKUP(BO$1,main!$A$3:$I$102,7,FALSE),main!$K$26:$Q$29,3,FALSE),1,0)</f>
        <v>0</v>
      </c>
      <c r="BP43">
        <f>IF(VLOOKUP(BP$1,main!$A$3:$H$102,5,FALSE)-VLOOKUP($A43,main!$A$3:$H$102,6,FALSE)&gt;=main!$D$103+VLOOKUP(VLOOKUP(BP$1,main!$A$3:$I$102,7,FALSE),main!$K$26:$Q$29,3,FALSE),1,0)</f>
        <v>0</v>
      </c>
      <c r="BQ43">
        <f>IF(VLOOKUP(BQ$1,main!$A$3:$H$102,5,FALSE)-VLOOKUP($A43,main!$A$3:$H$102,6,FALSE)&gt;=main!$D$103+VLOOKUP(VLOOKUP(BQ$1,main!$A$3:$I$102,7,FALSE),main!$K$26:$Q$29,3,FALSE),1,0)</f>
        <v>1</v>
      </c>
      <c r="BR43">
        <f>IF(VLOOKUP(BR$1,main!$A$3:$H$102,5,FALSE)-VLOOKUP($A43,main!$A$3:$H$102,6,FALSE)&gt;=main!$D$103+VLOOKUP(VLOOKUP(BR$1,main!$A$3:$I$102,7,FALSE),main!$K$26:$Q$29,3,FALSE),1,0)</f>
        <v>1</v>
      </c>
      <c r="BS43">
        <f>IF(VLOOKUP(BS$1,main!$A$3:$H$102,5,FALSE)-VLOOKUP($A43,main!$A$3:$H$102,6,FALSE)&gt;=main!$D$103+VLOOKUP(VLOOKUP(BS$1,main!$A$3:$I$102,7,FALSE),main!$K$26:$Q$29,3,FALSE),1,0)</f>
        <v>1</v>
      </c>
      <c r="BT43">
        <f>IF(VLOOKUP(BT$1,main!$A$3:$H$102,5,FALSE)-VLOOKUP($A43,main!$A$3:$H$102,6,FALSE)&gt;=main!$D$103+VLOOKUP(VLOOKUP(BT$1,main!$A$3:$I$102,7,FALSE),main!$K$26:$Q$29,3,FALSE),1,0)</f>
        <v>1</v>
      </c>
      <c r="BU43">
        <f>IF(VLOOKUP(BU$1,main!$A$3:$H$102,5,FALSE)-VLOOKUP($A43,main!$A$3:$H$102,6,FALSE)&gt;=main!$D$103+VLOOKUP(VLOOKUP(BU$1,main!$A$3:$I$102,7,FALSE),main!$K$26:$Q$29,3,FALSE),1,0)</f>
        <v>0</v>
      </c>
      <c r="BV43">
        <f>IF(VLOOKUP(BV$1,main!$A$3:$H$102,5,FALSE)-VLOOKUP($A43,main!$A$3:$H$102,6,FALSE)&gt;=main!$D$103+VLOOKUP(VLOOKUP(BV$1,main!$A$3:$I$102,7,FALSE),main!$K$26:$Q$29,3,FALSE),1,0)</f>
        <v>0</v>
      </c>
      <c r="BW43">
        <f>IF(VLOOKUP(BW$1,main!$A$3:$H$102,5,FALSE)-VLOOKUP($A43,main!$A$3:$H$102,6,FALSE)&gt;=main!$D$103+VLOOKUP(VLOOKUP(BW$1,main!$A$3:$I$102,7,FALSE),main!$K$26:$Q$29,3,FALSE),1,0)</f>
        <v>0</v>
      </c>
      <c r="BX43">
        <f>IF(VLOOKUP(BX$1,main!$A$3:$H$102,5,FALSE)-VLOOKUP($A43,main!$A$3:$H$102,6,FALSE)&gt;=main!$D$103+VLOOKUP(VLOOKUP(BX$1,main!$A$3:$I$102,7,FALSE),main!$K$26:$Q$29,3,FALSE),1,0)</f>
        <v>1</v>
      </c>
      <c r="BY43">
        <f>IF(VLOOKUP(BY$1,main!$A$3:$H$102,5,FALSE)-VLOOKUP($A43,main!$A$3:$H$102,6,FALSE)&gt;=main!$D$103+VLOOKUP(VLOOKUP(BY$1,main!$A$3:$I$102,7,FALSE),main!$K$26:$Q$29,3,FALSE),1,0)</f>
        <v>1</v>
      </c>
      <c r="BZ43">
        <f>IF(VLOOKUP(BZ$1,main!$A$3:$H$102,5,FALSE)-VLOOKUP($A43,main!$A$3:$H$102,6,FALSE)&gt;=main!$D$103+VLOOKUP(VLOOKUP(BZ$1,main!$A$3:$I$102,7,FALSE),main!$K$26:$Q$29,3,FALSE),1,0)</f>
        <v>0</v>
      </c>
      <c r="CA43">
        <f>IF(VLOOKUP(CA$1,main!$A$3:$H$102,5,FALSE)-VLOOKUP($A43,main!$A$3:$H$102,6,FALSE)&gt;=main!$D$103+VLOOKUP(VLOOKUP(CA$1,main!$A$3:$I$102,7,FALSE),main!$K$26:$Q$29,3,FALSE),1,0)</f>
        <v>0</v>
      </c>
      <c r="CB43">
        <f>IF(VLOOKUP(CB$1,main!$A$3:$H$102,5,FALSE)-VLOOKUP($A43,main!$A$3:$H$102,6,FALSE)&gt;=main!$D$103+VLOOKUP(VLOOKUP(CB$1,main!$A$3:$I$102,7,FALSE),main!$K$26:$Q$29,3,FALSE),1,0)</f>
        <v>1</v>
      </c>
      <c r="CC43">
        <f>IF(VLOOKUP(CC$1,main!$A$3:$H$102,5,FALSE)-VLOOKUP($A43,main!$A$3:$H$102,6,FALSE)&gt;=main!$D$103+VLOOKUP(VLOOKUP(CC$1,main!$A$3:$I$102,7,FALSE),main!$K$26:$Q$29,3,FALSE),1,0)</f>
        <v>1</v>
      </c>
      <c r="CD43">
        <f>IF(VLOOKUP(CD$1,main!$A$3:$H$102,5,FALSE)-VLOOKUP($A43,main!$A$3:$H$102,6,FALSE)&gt;=main!$D$103+VLOOKUP(VLOOKUP(CD$1,main!$A$3:$I$102,7,FALSE),main!$K$26:$Q$29,3,FALSE),1,0)</f>
        <v>1</v>
      </c>
      <c r="CE43">
        <f>IF(VLOOKUP(CE$1,main!$A$3:$H$102,5,FALSE)-VLOOKUP($A43,main!$A$3:$H$102,6,FALSE)&gt;=main!$D$103+VLOOKUP(VLOOKUP(CE$1,main!$A$3:$I$102,7,FALSE),main!$K$26:$Q$29,3,FALSE),1,0)</f>
        <v>1</v>
      </c>
      <c r="CF43">
        <f>IF(VLOOKUP(CF$1,main!$A$3:$H$102,5,FALSE)-VLOOKUP($A43,main!$A$3:$H$102,6,FALSE)&gt;=main!$D$103+VLOOKUP(VLOOKUP(CF$1,main!$A$3:$I$102,7,FALSE),main!$K$26:$Q$29,3,FALSE),1,0)</f>
        <v>1</v>
      </c>
      <c r="CG43">
        <f>IF(VLOOKUP(CG$1,main!$A$3:$H$102,5,FALSE)-VLOOKUP($A43,main!$A$3:$H$102,6,FALSE)&gt;=main!$D$103+VLOOKUP(VLOOKUP(CG$1,main!$A$3:$I$102,7,FALSE),main!$K$26:$Q$29,3,FALSE),1,0)</f>
        <v>1</v>
      </c>
      <c r="CH43">
        <f>IF(VLOOKUP(CH$1,main!$A$3:$H$102,5,FALSE)-VLOOKUP($A43,main!$A$3:$H$102,6,FALSE)&gt;=main!$D$103+VLOOKUP(VLOOKUP(CH$1,main!$A$3:$I$102,7,FALSE),main!$K$26:$Q$29,3,FALSE),1,0)</f>
        <v>1</v>
      </c>
      <c r="CI43">
        <f>IF(VLOOKUP(CI$1,main!$A$3:$H$102,5,FALSE)-VLOOKUP($A43,main!$A$3:$H$102,6,FALSE)&gt;=main!$D$103+VLOOKUP(VLOOKUP(CI$1,main!$A$3:$I$102,7,FALSE),main!$K$26:$Q$29,3,FALSE),1,0)</f>
        <v>1</v>
      </c>
      <c r="CJ43">
        <f>IF(VLOOKUP(CJ$1,main!$A$3:$H$102,5,FALSE)-VLOOKUP($A43,main!$A$3:$H$102,6,FALSE)&gt;=main!$D$103+VLOOKUP(VLOOKUP(CJ$1,main!$A$3:$I$102,7,FALSE),main!$K$26:$Q$29,3,FALSE),1,0)</f>
        <v>1</v>
      </c>
      <c r="CK43">
        <f>IF(VLOOKUP(CK$1,main!$A$3:$H$102,5,FALSE)-VLOOKUP($A43,main!$A$3:$H$102,6,FALSE)&gt;=main!$D$103+VLOOKUP(VLOOKUP(CK$1,main!$A$3:$I$102,7,FALSE),main!$K$26:$Q$29,3,FALSE),1,0)</f>
        <v>1</v>
      </c>
      <c r="CL43">
        <f>IF(VLOOKUP(CL$1,main!$A$3:$H$102,5,FALSE)-VLOOKUP($A43,main!$A$3:$H$102,6,FALSE)&gt;=main!$D$103+VLOOKUP(VLOOKUP(CL$1,main!$A$3:$I$102,7,FALSE),main!$K$26:$Q$29,3,FALSE),1,0)</f>
        <v>1</v>
      </c>
      <c r="CM43">
        <f>IF(VLOOKUP(CM$1,main!$A$3:$H$102,5,FALSE)-VLOOKUP($A43,main!$A$3:$H$102,6,FALSE)&gt;=main!$D$103+VLOOKUP(VLOOKUP(CM$1,main!$A$3:$I$102,7,FALSE),main!$K$26:$Q$29,3,FALSE),1,0)</f>
        <v>1</v>
      </c>
      <c r="CN43">
        <f>IF(VLOOKUP(CN$1,main!$A$3:$H$102,5,FALSE)-VLOOKUP($A43,main!$A$3:$H$102,6,FALSE)&gt;=main!$D$103+VLOOKUP(VLOOKUP(CN$1,main!$A$3:$I$102,7,FALSE),main!$K$26:$Q$29,3,FALSE),1,0)</f>
        <v>1</v>
      </c>
      <c r="CO43">
        <f>IF(VLOOKUP(CO$1,main!$A$3:$H$102,5,FALSE)-VLOOKUP($A43,main!$A$3:$H$102,6,FALSE)&gt;=main!$D$103+VLOOKUP(VLOOKUP(CO$1,main!$A$3:$I$102,7,FALSE),main!$K$26:$Q$29,3,FALSE),1,0)</f>
        <v>0</v>
      </c>
      <c r="CP43">
        <f>IF(VLOOKUP(CP$1,main!$A$3:$H$102,5,FALSE)-VLOOKUP($A43,main!$A$3:$H$102,6,FALSE)&gt;=main!$D$103+VLOOKUP(VLOOKUP(CP$1,main!$A$3:$I$102,7,FALSE),main!$K$26:$Q$29,3,FALSE),1,0)</f>
        <v>1</v>
      </c>
      <c r="CQ43">
        <f>IF(VLOOKUP(CQ$1,main!$A$3:$H$102,5,FALSE)-VLOOKUP($A43,main!$A$3:$H$102,6,FALSE)&gt;=main!$D$103+VLOOKUP(VLOOKUP(CQ$1,main!$A$3:$I$102,7,FALSE),main!$K$26:$Q$29,3,FALSE),1,0)</f>
        <v>1</v>
      </c>
      <c r="CR43">
        <f>IF(VLOOKUP(CR$1,main!$A$3:$H$102,5,FALSE)-VLOOKUP($A43,main!$A$3:$H$102,6,FALSE)&gt;=main!$D$103+VLOOKUP(VLOOKUP(CR$1,main!$A$3:$I$102,7,FALSE),main!$K$26:$Q$29,3,FALSE),1,0)</f>
        <v>1</v>
      </c>
      <c r="CS43">
        <f>IF(VLOOKUP(CS$1,main!$A$3:$H$102,5,FALSE)-VLOOKUP($A43,main!$A$3:$H$102,6,FALSE)&gt;=main!$D$103+VLOOKUP(VLOOKUP(CS$1,main!$A$3:$I$102,7,FALSE),main!$K$26:$Q$29,3,FALSE),1,0)</f>
        <v>1</v>
      </c>
      <c r="CT43">
        <f>IF(VLOOKUP(CT$1,main!$A$3:$H$102,5,FALSE)-VLOOKUP($A43,main!$A$3:$H$102,6,FALSE)&gt;=main!$D$103+VLOOKUP(VLOOKUP(CT$1,main!$A$3:$I$102,7,FALSE),main!$K$26:$Q$29,3,FALSE),1,0)</f>
        <v>0</v>
      </c>
      <c r="CU43">
        <f>IF(VLOOKUP(CU$1,main!$A$3:$H$102,5,FALSE)-VLOOKUP($A43,main!$A$3:$H$102,6,FALSE)&gt;=main!$D$103+VLOOKUP(VLOOKUP(CU$1,main!$A$3:$I$102,7,FALSE),main!$K$26:$Q$29,3,FALSE),1,0)</f>
        <v>0</v>
      </c>
      <c r="CV43">
        <f>IF(VLOOKUP(CV$1,main!$A$3:$H$102,5,FALSE)-VLOOKUP($A43,main!$A$3:$H$102,6,FALSE)&gt;=main!$D$103+VLOOKUP(VLOOKUP(CV$1,main!$A$3:$I$102,7,FALSE),main!$K$26:$Q$29,3,FALSE),1,0)</f>
        <v>1</v>
      </c>
      <c r="CW43">
        <f>IF(VLOOKUP(CW$1,main!$A$3:$H$102,5,FALSE)-VLOOKUP($A43,main!$A$3:$H$102,6,FALSE)&gt;=main!$D$103+VLOOKUP(VLOOKUP(CW$1,main!$A$3:$I$102,7,FALSE),main!$K$26:$Q$29,3,FALSE),1,0)</f>
        <v>1</v>
      </c>
      <c r="CX43">
        <f>IF(VLOOKUP(CX$1,main!$A$3:$H$102,5,FALSE)-VLOOKUP($A43,main!$A$3:$H$102,6,FALSE)&gt;=main!$D$103+VLOOKUP(VLOOKUP(CX$1,main!$A$3:$I$102,7,FALSE),main!$K$26:$Q$29,3,FALSE),1,0)</f>
        <v>1</v>
      </c>
    </row>
    <row r="44" spans="1:102" x14ac:dyDescent="0.25">
      <c r="A44" s="1">
        <v>42</v>
      </c>
      <c r="B44">
        <v>0</v>
      </c>
      <c r="C44">
        <f>IF(VLOOKUP(C$1,main!$A$3:$H$102,5,FALSE)-VLOOKUP($A44,main!$A$3:$H$102,6,FALSE)&gt;=main!$D$103+VLOOKUP(VLOOKUP(C$1,main!$A$3:$I$102,7,FALSE),main!$K$26:$Q$29,3,FALSE),1,0)</f>
        <v>0</v>
      </c>
      <c r="D44">
        <f>IF(VLOOKUP(D$1,main!$A$3:$H$102,5,FALSE)-VLOOKUP($A44,main!$A$3:$H$102,6,FALSE)&gt;=main!$D$103+VLOOKUP(VLOOKUP(D$1,main!$A$3:$I$102,7,FALSE),main!$K$26:$Q$29,3,FALSE),1,0)</f>
        <v>0</v>
      </c>
      <c r="E44">
        <f>IF(VLOOKUP(E$1,main!$A$3:$H$102,5,FALSE)-VLOOKUP($A44,main!$A$3:$H$102,6,FALSE)&gt;=main!$D$103+VLOOKUP(VLOOKUP(E$1,main!$A$3:$I$102,7,FALSE),main!$K$26:$Q$29,3,FALSE),1,0)</f>
        <v>0</v>
      </c>
      <c r="F44">
        <f>IF(VLOOKUP(F$1,main!$A$3:$H$102,5,FALSE)-VLOOKUP($A44,main!$A$3:$H$102,6,FALSE)&gt;=main!$D$103+VLOOKUP(VLOOKUP(F$1,main!$A$3:$I$102,7,FALSE),main!$K$26:$Q$29,3,FALSE),1,0)</f>
        <v>0</v>
      </c>
      <c r="G44">
        <f>IF(VLOOKUP(G$1,main!$A$3:$H$102,5,FALSE)-VLOOKUP($A44,main!$A$3:$H$102,6,FALSE)&gt;=main!$D$103+VLOOKUP(VLOOKUP(G$1,main!$A$3:$I$102,7,FALSE),main!$K$26:$Q$29,3,FALSE),1,0)</f>
        <v>1</v>
      </c>
      <c r="H44">
        <f>IF(VLOOKUP(H$1,main!$A$3:$H$102,5,FALSE)-VLOOKUP($A44,main!$A$3:$H$102,6,FALSE)&gt;=main!$D$103+VLOOKUP(VLOOKUP(H$1,main!$A$3:$I$102,7,FALSE),main!$K$26:$Q$29,3,FALSE),1,0)</f>
        <v>1</v>
      </c>
      <c r="I44">
        <f>IF(VLOOKUP(I$1,main!$A$3:$H$102,5,FALSE)-VLOOKUP($A44,main!$A$3:$H$102,6,FALSE)&gt;=main!$D$103+VLOOKUP(VLOOKUP(I$1,main!$A$3:$I$102,7,FALSE),main!$K$26:$Q$29,3,FALSE),1,0)</f>
        <v>1</v>
      </c>
      <c r="J44">
        <f>IF(VLOOKUP(J$1,main!$A$3:$H$102,5,FALSE)-VLOOKUP($A44,main!$A$3:$H$102,6,FALSE)&gt;=main!$D$103+VLOOKUP(VLOOKUP(J$1,main!$A$3:$I$102,7,FALSE),main!$K$26:$Q$29,3,FALSE),1,0)</f>
        <v>1</v>
      </c>
      <c r="K44">
        <f>IF(VLOOKUP(K$1,main!$A$3:$H$102,5,FALSE)-VLOOKUP($A44,main!$A$3:$H$102,6,FALSE)&gt;=main!$D$103+VLOOKUP(VLOOKUP(K$1,main!$A$3:$I$102,7,FALSE),main!$K$26:$Q$29,3,FALSE),1,0)</f>
        <v>1</v>
      </c>
      <c r="L44">
        <f>IF(VLOOKUP(L$1,main!$A$3:$H$102,5,FALSE)-VLOOKUP($A44,main!$A$3:$H$102,6,FALSE)&gt;=main!$D$103+VLOOKUP(VLOOKUP(L$1,main!$A$3:$I$102,7,FALSE),main!$K$26:$Q$29,3,FALSE),1,0)</f>
        <v>1</v>
      </c>
      <c r="M44">
        <f>IF(VLOOKUP(M$1,main!$A$3:$H$102,5,FALSE)-VLOOKUP($A44,main!$A$3:$H$102,6,FALSE)&gt;=main!$D$103+VLOOKUP(VLOOKUP(M$1,main!$A$3:$I$102,7,FALSE),main!$K$26:$Q$29,3,FALSE),1,0)</f>
        <v>0</v>
      </c>
      <c r="N44">
        <f>IF(VLOOKUP(N$1,main!$A$3:$H$102,5,FALSE)-VLOOKUP($A44,main!$A$3:$H$102,6,FALSE)&gt;=main!$D$103+VLOOKUP(VLOOKUP(N$1,main!$A$3:$I$102,7,FALSE),main!$K$26:$Q$29,3,FALSE),1,0)</f>
        <v>0</v>
      </c>
      <c r="O44">
        <f>IF(VLOOKUP(O$1,main!$A$3:$H$102,5,FALSE)-VLOOKUP($A44,main!$A$3:$H$102,6,FALSE)&gt;=main!$D$103+VLOOKUP(VLOOKUP(O$1,main!$A$3:$I$102,7,FALSE),main!$K$26:$Q$29,3,FALSE),1,0)</f>
        <v>0</v>
      </c>
      <c r="P44">
        <f>IF(VLOOKUP(P$1,main!$A$3:$H$102,5,FALSE)-VLOOKUP($A44,main!$A$3:$H$102,6,FALSE)&gt;=main!$D$103+VLOOKUP(VLOOKUP(P$1,main!$A$3:$I$102,7,FALSE),main!$K$26:$Q$29,3,FALSE),1,0)</f>
        <v>0</v>
      </c>
      <c r="Q44">
        <f>IF(VLOOKUP(Q$1,main!$A$3:$H$102,5,FALSE)-VLOOKUP($A44,main!$A$3:$H$102,6,FALSE)&gt;=main!$D$103+VLOOKUP(VLOOKUP(Q$1,main!$A$3:$I$102,7,FALSE),main!$K$26:$Q$29,3,FALSE),1,0)</f>
        <v>0</v>
      </c>
      <c r="R44">
        <f>IF(VLOOKUP(R$1,main!$A$3:$H$102,5,FALSE)-VLOOKUP($A44,main!$A$3:$H$102,6,FALSE)&gt;=main!$D$103+VLOOKUP(VLOOKUP(R$1,main!$A$3:$I$102,7,FALSE),main!$K$26:$Q$29,3,FALSE),1,0)</f>
        <v>0</v>
      </c>
      <c r="S44">
        <f>IF(VLOOKUP(S$1,main!$A$3:$H$102,5,FALSE)-VLOOKUP($A44,main!$A$3:$H$102,6,FALSE)&gt;=main!$D$103+VLOOKUP(VLOOKUP(S$1,main!$A$3:$I$102,7,FALSE),main!$K$26:$Q$29,3,FALSE),1,0)</f>
        <v>1</v>
      </c>
      <c r="T44">
        <f>IF(VLOOKUP(T$1,main!$A$3:$H$102,5,FALSE)-VLOOKUP($A44,main!$A$3:$H$102,6,FALSE)&gt;=main!$D$103+VLOOKUP(VLOOKUP(T$1,main!$A$3:$I$102,7,FALSE),main!$K$26:$Q$29,3,FALSE),1,0)</f>
        <v>1</v>
      </c>
      <c r="U44">
        <f>IF(VLOOKUP(U$1,main!$A$3:$H$102,5,FALSE)-VLOOKUP($A44,main!$A$3:$H$102,6,FALSE)&gt;=main!$D$103+VLOOKUP(VLOOKUP(U$1,main!$A$3:$I$102,7,FALSE),main!$K$26:$Q$29,3,FALSE),1,0)</f>
        <v>1</v>
      </c>
      <c r="V44">
        <f>IF(VLOOKUP(V$1,main!$A$3:$H$102,5,FALSE)-VLOOKUP($A44,main!$A$3:$H$102,6,FALSE)&gt;=main!$D$103+VLOOKUP(VLOOKUP(V$1,main!$A$3:$I$102,7,FALSE),main!$K$26:$Q$29,3,FALSE),1,0)</f>
        <v>1</v>
      </c>
      <c r="W44">
        <f>IF(VLOOKUP(W$1,main!$A$3:$H$102,5,FALSE)-VLOOKUP($A44,main!$A$3:$H$102,6,FALSE)&gt;=main!$D$103+VLOOKUP(VLOOKUP(W$1,main!$A$3:$I$102,7,FALSE),main!$K$26:$Q$29,3,FALSE),1,0)</f>
        <v>0</v>
      </c>
      <c r="X44">
        <f>IF(VLOOKUP(X$1,main!$A$3:$H$102,5,FALSE)-VLOOKUP($A44,main!$A$3:$H$102,6,FALSE)&gt;=main!$D$103+VLOOKUP(VLOOKUP(X$1,main!$A$3:$I$102,7,FALSE),main!$K$26:$Q$29,3,FALSE),1,0)</f>
        <v>0</v>
      </c>
      <c r="Y44">
        <f>IF(VLOOKUP(Y$1,main!$A$3:$H$102,5,FALSE)-VLOOKUP($A44,main!$A$3:$H$102,6,FALSE)&gt;=main!$D$103+VLOOKUP(VLOOKUP(Y$1,main!$A$3:$I$102,7,FALSE),main!$K$26:$Q$29,3,FALSE),1,0)</f>
        <v>0</v>
      </c>
      <c r="Z44">
        <f>IF(VLOOKUP(Z$1,main!$A$3:$H$102,5,FALSE)-VLOOKUP($A44,main!$A$3:$H$102,6,FALSE)&gt;=main!$D$103+VLOOKUP(VLOOKUP(Z$1,main!$A$3:$I$102,7,FALSE),main!$K$26:$Q$29,3,FALSE),1,0)</f>
        <v>1</v>
      </c>
      <c r="AA44">
        <f>IF(VLOOKUP(AA$1,main!$A$3:$H$102,5,FALSE)-VLOOKUP($A44,main!$A$3:$H$102,6,FALSE)&gt;=main!$D$103+VLOOKUP(VLOOKUP(AA$1,main!$A$3:$I$102,7,FALSE),main!$K$26:$Q$29,3,FALSE),1,0)</f>
        <v>1</v>
      </c>
      <c r="AB44">
        <f>IF(VLOOKUP(AB$1,main!$A$3:$H$102,5,FALSE)-VLOOKUP($A44,main!$A$3:$H$102,6,FALSE)&gt;=main!$D$103+VLOOKUP(VLOOKUP(AB$1,main!$A$3:$I$102,7,FALSE),main!$K$26:$Q$29,3,FALSE),1,0)</f>
        <v>0</v>
      </c>
      <c r="AC44">
        <f>IF(VLOOKUP(AC$1,main!$A$3:$H$102,5,FALSE)-VLOOKUP($A44,main!$A$3:$H$102,6,FALSE)&gt;=main!$D$103+VLOOKUP(VLOOKUP(AC$1,main!$A$3:$I$102,7,FALSE),main!$K$26:$Q$29,3,FALSE),1,0)</f>
        <v>0</v>
      </c>
      <c r="AD44">
        <f>IF(VLOOKUP(AD$1,main!$A$3:$H$102,5,FALSE)-VLOOKUP($A44,main!$A$3:$H$102,6,FALSE)&gt;=main!$D$103+VLOOKUP(VLOOKUP(AD$1,main!$A$3:$I$102,7,FALSE),main!$K$26:$Q$29,3,FALSE),1,0)</f>
        <v>0</v>
      </c>
      <c r="AE44">
        <f>IF(VLOOKUP(AE$1,main!$A$3:$H$102,5,FALSE)-VLOOKUP($A44,main!$A$3:$H$102,6,FALSE)&gt;=main!$D$103+VLOOKUP(VLOOKUP(AE$1,main!$A$3:$I$102,7,FALSE),main!$K$26:$Q$29,3,FALSE),1,0)</f>
        <v>1</v>
      </c>
      <c r="AF44">
        <f>IF(VLOOKUP(AF$1,main!$A$3:$H$102,5,FALSE)-VLOOKUP($A44,main!$A$3:$H$102,6,FALSE)&gt;=main!$D$103+VLOOKUP(VLOOKUP(AF$1,main!$A$3:$I$102,7,FALSE),main!$K$26:$Q$29,3,FALSE),1,0)</f>
        <v>1</v>
      </c>
      <c r="AG44">
        <f>IF(VLOOKUP(AG$1,main!$A$3:$H$102,5,FALSE)-VLOOKUP($A44,main!$A$3:$H$102,6,FALSE)&gt;=main!$D$103+VLOOKUP(VLOOKUP(AG$1,main!$A$3:$I$102,7,FALSE),main!$K$26:$Q$29,3,FALSE),1,0)</f>
        <v>0</v>
      </c>
      <c r="AH44">
        <f>IF(VLOOKUP(AH$1,main!$A$3:$H$102,5,FALSE)-VLOOKUP($A44,main!$A$3:$H$102,6,FALSE)&gt;=main!$D$103+VLOOKUP(VLOOKUP(AH$1,main!$A$3:$I$102,7,FALSE),main!$K$26:$Q$29,3,FALSE),1,0)</f>
        <v>0</v>
      </c>
      <c r="AI44">
        <f>IF(VLOOKUP(AI$1,main!$A$3:$H$102,5,FALSE)-VLOOKUP($A44,main!$A$3:$H$102,6,FALSE)&gt;=main!$D$103+VLOOKUP(VLOOKUP(AI$1,main!$A$3:$I$102,7,FALSE),main!$K$26:$Q$29,3,FALSE),1,0)</f>
        <v>0</v>
      </c>
      <c r="AJ44">
        <f>IF(VLOOKUP(AJ$1,main!$A$3:$H$102,5,FALSE)-VLOOKUP($A44,main!$A$3:$H$102,6,FALSE)&gt;=main!$D$103+VLOOKUP(VLOOKUP(AJ$1,main!$A$3:$I$102,7,FALSE),main!$K$26:$Q$29,3,FALSE),1,0)</f>
        <v>0</v>
      </c>
      <c r="AK44">
        <f>IF(VLOOKUP(AK$1,main!$A$3:$H$102,5,FALSE)-VLOOKUP($A44,main!$A$3:$H$102,6,FALSE)&gt;=main!$D$103+VLOOKUP(VLOOKUP(AK$1,main!$A$3:$I$102,7,FALSE),main!$K$26:$Q$29,3,FALSE),1,0)</f>
        <v>1</v>
      </c>
      <c r="AL44">
        <f>IF(VLOOKUP(AL$1,main!$A$3:$H$102,5,FALSE)-VLOOKUP($A44,main!$A$3:$H$102,6,FALSE)&gt;=main!$D$103+VLOOKUP(VLOOKUP(AL$1,main!$A$3:$I$102,7,FALSE),main!$K$26:$Q$29,3,FALSE),1,0)</f>
        <v>1</v>
      </c>
      <c r="AM44">
        <f>IF(VLOOKUP(AM$1,main!$A$3:$H$102,5,FALSE)-VLOOKUP($A44,main!$A$3:$H$102,6,FALSE)&gt;=main!$D$103+VLOOKUP(VLOOKUP(AM$1,main!$A$3:$I$102,7,FALSE),main!$K$26:$Q$29,3,FALSE),1,0)</f>
        <v>1</v>
      </c>
      <c r="AN44">
        <f>IF(VLOOKUP(AN$1,main!$A$3:$H$102,5,FALSE)-VLOOKUP($A44,main!$A$3:$H$102,6,FALSE)&gt;=main!$D$103+VLOOKUP(VLOOKUP(AN$1,main!$A$3:$I$102,7,FALSE),main!$K$26:$Q$29,3,FALSE),1,0)</f>
        <v>1</v>
      </c>
      <c r="AO44">
        <f>IF(VLOOKUP(AO$1,main!$A$3:$H$102,5,FALSE)-VLOOKUP($A44,main!$A$3:$H$102,6,FALSE)&gt;=main!$D$103+VLOOKUP(VLOOKUP(AO$1,main!$A$3:$I$102,7,FALSE),main!$K$26:$Q$29,3,FALSE),1,0)</f>
        <v>0</v>
      </c>
      <c r="AP44">
        <f>IF(VLOOKUP(AP$1,main!$A$3:$H$102,5,FALSE)-VLOOKUP($A44,main!$A$3:$H$102,6,FALSE)&gt;=main!$D$103+VLOOKUP(VLOOKUP(AP$1,main!$A$3:$I$102,7,FALSE),main!$K$26:$Q$29,3,FALSE),1,0)</f>
        <v>1</v>
      </c>
      <c r="AQ44">
        <f>IF(VLOOKUP(AQ$1,main!$A$3:$H$102,5,FALSE)-VLOOKUP($A44,main!$A$3:$H$102,6,FALSE)&gt;=main!$D$103+VLOOKUP(VLOOKUP(AQ$1,main!$A$3:$I$102,7,FALSE),main!$K$26:$Q$29,3,FALSE),1,0)</f>
        <v>0</v>
      </c>
      <c r="AR44">
        <f>IF(VLOOKUP(AR$1,main!$A$3:$H$102,5,FALSE)-VLOOKUP($A44,main!$A$3:$H$102,6,FALSE)&gt;=main!$D$103+VLOOKUP(VLOOKUP(AR$1,main!$A$3:$I$102,7,FALSE),main!$K$26:$Q$29,3,FALSE),1,0)</f>
        <v>0</v>
      </c>
      <c r="AS44">
        <f>IF(VLOOKUP(AS$1,main!$A$3:$H$102,5,FALSE)-VLOOKUP($A44,main!$A$3:$H$102,6,FALSE)&gt;=main!$D$103+VLOOKUP(VLOOKUP(AS$1,main!$A$3:$I$102,7,FALSE),main!$K$26:$Q$29,3,FALSE),1,0)</f>
        <v>0</v>
      </c>
      <c r="AT44">
        <f>IF(VLOOKUP(AT$1,main!$A$3:$H$102,5,FALSE)-VLOOKUP($A44,main!$A$3:$H$102,6,FALSE)&gt;=main!$D$103+VLOOKUP(VLOOKUP(AT$1,main!$A$3:$I$102,7,FALSE),main!$K$26:$Q$29,3,FALSE),1,0)</f>
        <v>1</v>
      </c>
      <c r="AU44">
        <f>IF(VLOOKUP(AU$1,main!$A$3:$H$102,5,FALSE)-VLOOKUP($A44,main!$A$3:$H$102,6,FALSE)&gt;=main!$D$103+VLOOKUP(VLOOKUP(AU$1,main!$A$3:$I$102,7,FALSE),main!$K$26:$Q$29,3,FALSE),1,0)</f>
        <v>0</v>
      </c>
      <c r="AV44">
        <f>IF(VLOOKUP(AV$1,main!$A$3:$H$102,5,FALSE)-VLOOKUP($A44,main!$A$3:$H$102,6,FALSE)&gt;=main!$D$103+VLOOKUP(VLOOKUP(AV$1,main!$A$3:$I$102,7,FALSE),main!$K$26:$Q$29,3,FALSE),1,0)</f>
        <v>0</v>
      </c>
      <c r="AW44">
        <f>IF(VLOOKUP(AW$1,main!$A$3:$H$102,5,FALSE)-VLOOKUP($A44,main!$A$3:$H$102,6,FALSE)&gt;=main!$D$103+VLOOKUP(VLOOKUP(AW$1,main!$A$3:$I$102,7,FALSE),main!$K$26:$Q$29,3,FALSE),1,0)</f>
        <v>1</v>
      </c>
      <c r="AX44">
        <f>IF(VLOOKUP(AX$1,main!$A$3:$H$102,5,FALSE)-VLOOKUP($A44,main!$A$3:$H$102,6,FALSE)&gt;=main!$D$103+VLOOKUP(VLOOKUP(AX$1,main!$A$3:$I$102,7,FALSE),main!$K$26:$Q$29,3,FALSE),1,0)</f>
        <v>0</v>
      </c>
      <c r="AY44">
        <f>IF(VLOOKUP(AY$1,main!$A$3:$H$102,5,FALSE)-VLOOKUP($A44,main!$A$3:$H$102,6,FALSE)&gt;=main!$D$103+VLOOKUP(VLOOKUP(AY$1,main!$A$3:$I$102,7,FALSE),main!$K$26:$Q$29,3,FALSE),1,0)</f>
        <v>0</v>
      </c>
      <c r="AZ44">
        <f>IF(VLOOKUP(AZ$1,main!$A$3:$H$102,5,FALSE)-VLOOKUP($A44,main!$A$3:$H$102,6,FALSE)&gt;=main!$D$103+VLOOKUP(VLOOKUP(AZ$1,main!$A$3:$I$102,7,FALSE),main!$K$26:$Q$29,3,FALSE),1,0)</f>
        <v>0</v>
      </c>
      <c r="BA44">
        <f>IF(VLOOKUP(BA$1,main!$A$3:$H$102,5,FALSE)-VLOOKUP($A44,main!$A$3:$H$102,6,FALSE)&gt;=main!$D$103+VLOOKUP(VLOOKUP(BA$1,main!$A$3:$I$102,7,FALSE),main!$K$26:$Q$29,3,FALSE),1,0)</f>
        <v>0</v>
      </c>
      <c r="BB44">
        <f>IF(VLOOKUP(BB$1,main!$A$3:$H$102,5,FALSE)-VLOOKUP($A44,main!$A$3:$H$102,6,FALSE)&gt;=main!$D$103+VLOOKUP(VLOOKUP(BB$1,main!$A$3:$I$102,7,FALSE),main!$K$26:$Q$29,3,FALSE),1,0)</f>
        <v>0</v>
      </c>
      <c r="BC44">
        <f>IF(VLOOKUP(BC$1,main!$A$3:$H$102,5,FALSE)-VLOOKUP($A44,main!$A$3:$H$102,6,FALSE)&gt;=main!$D$103+VLOOKUP(VLOOKUP(BC$1,main!$A$3:$I$102,7,FALSE),main!$K$26:$Q$29,3,FALSE),1,0)</f>
        <v>1</v>
      </c>
      <c r="BD44">
        <f>IF(VLOOKUP(BD$1,main!$A$3:$H$102,5,FALSE)-VLOOKUP($A44,main!$A$3:$H$102,6,FALSE)&gt;=main!$D$103+VLOOKUP(VLOOKUP(BD$1,main!$A$3:$I$102,7,FALSE),main!$K$26:$Q$29,3,FALSE),1,0)</f>
        <v>1</v>
      </c>
      <c r="BE44">
        <f>IF(VLOOKUP(BE$1,main!$A$3:$H$102,5,FALSE)-VLOOKUP($A44,main!$A$3:$H$102,6,FALSE)&gt;=main!$D$103+VLOOKUP(VLOOKUP(BE$1,main!$A$3:$I$102,7,FALSE),main!$K$26:$Q$29,3,FALSE),1,0)</f>
        <v>1</v>
      </c>
      <c r="BF44">
        <f>IF(VLOOKUP(BF$1,main!$A$3:$H$102,5,FALSE)-VLOOKUP($A44,main!$A$3:$H$102,6,FALSE)&gt;=main!$D$103+VLOOKUP(VLOOKUP(BF$1,main!$A$3:$I$102,7,FALSE),main!$K$26:$Q$29,3,FALSE),1,0)</f>
        <v>0</v>
      </c>
      <c r="BG44">
        <f>IF(VLOOKUP(BG$1,main!$A$3:$H$102,5,FALSE)-VLOOKUP($A44,main!$A$3:$H$102,6,FALSE)&gt;=main!$D$103+VLOOKUP(VLOOKUP(BG$1,main!$A$3:$I$102,7,FALSE),main!$K$26:$Q$29,3,FALSE),1,0)</f>
        <v>0</v>
      </c>
      <c r="BH44">
        <f>IF(VLOOKUP(BH$1,main!$A$3:$H$102,5,FALSE)-VLOOKUP($A44,main!$A$3:$H$102,6,FALSE)&gt;=main!$D$103+VLOOKUP(VLOOKUP(BH$1,main!$A$3:$I$102,7,FALSE),main!$K$26:$Q$29,3,FALSE),1,0)</f>
        <v>1</v>
      </c>
      <c r="BI44">
        <f>IF(VLOOKUP(BI$1,main!$A$3:$H$102,5,FALSE)-VLOOKUP($A44,main!$A$3:$H$102,6,FALSE)&gt;=main!$D$103+VLOOKUP(VLOOKUP(BI$1,main!$A$3:$I$102,7,FALSE),main!$K$26:$Q$29,3,FALSE),1,0)</f>
        <v>1</v>
      </c>
      <c r="BJ44">
        <f>IF(VLOOKUP(BJ$1,main!$A$3:$H$102,5,FALSE)-VLOOKUP($A44,main!$A$3:$H$102,6,FALSE)&gt;=main!$D$103+VLOOKUP(VLOOKUP(BJ$1,main!$A$3:$I$102,7,FALSE),main!$K$26:$Q$29,3,FALSE),1,0)</f>
        <v>1</v>
      </c>
      <c r="BK44">
        <f>IF(VLOOKUP(BK$1,main!$A$3:$H$102,5,FALSE)-VLOOKUP($A44,main!$A$3:$H$102,6,FALSE)&gt;=main!$D$103+VLOOKUP(VLOOKUP(BK$1,main!$A$3:$I$102,7,FALSE),main!$K$26:$Q$29,3,FALSE),1,0)</f>
        <v>0</v>
      </c>
      <c r="BL44">
        <f>IF(VLOOKUP(BL$1,main!$A$3:$H$102,5,FALSE)-VLOOKUP($A44,main!$A$3:$H$102,6,FALSE)&gt;=main!$D$103+VLOOKUP(VLOOKUP(BL$1,main!$A$3:$I$102,7,FALSE),main!$K$26:$Q$29,3,FALSE),1,0)</f>
        <v>0</v>
      </c>
      <c r="BM44">
        <f>IF(VLOOKUP(BM$1,main!$A$3:$H$102,5,FALSE)-VLOOKUP($A44,main!$A$3:$H$102,6,FALSE)&gt;=main!$D$103+VLOOKUP(VLOOKUP(BM$1,main!$A$3:$I$102,7,FALSE),main!$K$26:$Q$29,3,FALSE),1,0)</f>
        <v>0</v>
      </c>
      <c r="BN44">
        <f>IF(VLOOKUP(BN$1,main!$A$3:$H$102,5,FALSE)-VLOOKUP($A44,main!$A$3:$H$102,6,FALSE)&gt;=main!$D$103+VLOOKUP(VLOOKUP(BN$1,main!$A$3:$I$102,7,FALSE),main!$K$26:$Q$29,3,FALSE),1,0)</f>
        <v>1</v>
      </c>
      <c r="BO44">
        <f>IF(VLOOKUP(BO$1,main!$A$3:$H$102,5,FALSE)-VLOOKUP($A44,main!$A$3:$H$102,6,FALSE)&gt;=main!$D$103+VLOOKUP(VLOOKUP(BO$1,main!$A$3:$I$102,7,FALSE),main!$K$26:$Q$29,3,FALSE),1,0)</f>
        <v>0</v>
      </c>
      <c r="BP44">
        <f>IF(VLOOKUP(BP$1,main!$A$3:$H$102,5,FALSE)-VLOOKUP($A44,main!$A$3:$H$102,6,FALSE)&gt;=main!$D$103+VLOOKUP(VLOOKUP(BP$1,main!$A$3:$I$102,7,FALSE),main!$K$26:$Q$29,3,FALSE),1,0)</f>
        <v>0</v>
      </c>
      <c r="BQ44">
        <f>IF(VLOOKUP(BQ$1,main!$A$3:$H$102,5,FALSE)-VLOOKUP($A44,main!$A$3:$H$102,6,FALSE)&gt;=main!$D$103+VLOOKUP(VLOOKUP(BQ$1,main!$A$3:$I$102,7,FALSE),main!$K$26:$Q$29,3,FALSE),1,0)</f>
        <v>0</v>
      </c>
      <c r="BR44">
        <f>IF(VLOOKUP(BR$1,main!$A$3:$H$102,5,FALSE)-VLOOKUP($A44,main!$A$3:$H$102,6,FALSE)&gt;=main!$D$103+VLOOKUP(VLOOKUP(BR$1,main!$A$3:$I$102,7,FALSE),main!$K$26:$Q$29,3,FALSE),1,0)</f>
        <v>0</v>
      </c>
      <c r="BS44">
        <f>IF(VLOOKUP(BS$1,main!$A$3:$H$102,5,FALSE)-VLOOKUP($A44,main!$A$3:$H$102,6,FALSE)&gt;=main!$D$103+VLOOKUP(VLOOKUP(BS$1,main!$A$3:$I$102,7,FALSE),main!$K$26:$Q$29,3,FALSE),1,0)</f>
        <v>0</v>
      </c>
      <c r="BT44">
        <f>IF(VLOOKUP(BT$1,main!$A$3:$H$102,5,FALSE)-VLOOKUP($A44,main!$A$3:$H$102,6,FALSE)&gt;=main!$D$103+VLOOKUP(VLOOKUP(BT$1,main!$A$3:$I$102,7,FALSE),main!$K$26:$Q$29,3,FALSE),1,0)</f>
        <v>0</v>
      </c>
      <c r="BU44">
        <f>IF(VLOOKUP(BU$1,main!$A$3:$H$102,5,FALSE)-VLOOKUP($A44,main!$A$3:$H$102,6,FALSE)&gt;=main!$D$103+VLOOKUP(VLOOKUP(BU$1,main!$A$3:$I$102,7,FALSE),main!$K$26:$Q$29,3,FALSE),1,0)</f>
        <v>0</v>
      </c>
      <c r="BV44">
        <f>IF(VLOOKUP(BV$1,main!$A$3:$H$102,5,FALSE)-VLOOKUP($A44,main!$A$3:$H$102,6,FALSE)&gt;=main!$D$103+VLOOKUP(VLOOKUP(BV$1,main!$A$3:$I$102,7,FALSE),main!$K$26:$Q$29,3,FALSE),1,0)</f>
        <v>0</v>
      </c>
      <c r="BW44">
        <f>IF(VLOOKUP(BW$1,main!$A$3:$H$102,5,FALSE)-VLOOKUP($A44,main!$A$3:$H$102,6,FALSE)&gt;=main!$D$103+VLOOKUP(VLOOKUP(BW$1,main!$A$3:$I$102,7,FALSE),main!$K$26:$Q$29,3,FALSE),1,0)</f>
        <v>0</v>
      </c>
      <c r="BX44">
        <f>IF(VLOOKUP(BX$1,main!$A$3:$H$102,5,FALSE)-VLOOKUP($A44,main!$A$3:$H$102,6,FALSE)&gt;=main!$D$103+VLOOKUP(VLOOKUP(BX$1,main!$A$3:$I$102,7,FALSE),main!$K$26:$Q$29,3,FALSE),1,0)</f>
        <v>0</v>
      </c>
      <c r="BY44">
        <f>IF(VLOOKUP(BY$1,main!$A$3:$H$102,5,FALSE)-VLOOKUP($A44,main!$A$3:$H$102,6,FALSE)&gt;=main!$D$103+VLOOKUP(VLOOKUP(BY$1,main!$A$3:$I$102,7,FALSE),main!$K$26:$Q$29,3,FALSE),1,0)</f>
        <v>1</v>
      </c>
      <c r="BZ44">
        <f>IF(VLOOKUP(BZ$1,main!$A$3:$H$102,5,FALSE)-VLOOKUP($A44,main!$A$3:$H$102,6,FALSE)&gt;=main!$D$103+VLOOKUP(VLOOKUP(BZ$1,main!$A$3:$I$102,7,FALSE),main!$K$26:$Q$29,3,FALSE),1,0)</f>
        <v>0</v>
      </c>
      <c r="CA44">
        <f>IF(VLOOKUP(CA$1,main!$A$3:$H$102,5,FALSE)-VLOOKUP($A44,main!$A$3:$H$102,6,FALSE)&gt;=main!$D$103+VLOOKUP(VLOOKUP(CA$1,main!$A$3:$I$102,7,FALSE),main!$K$26:$Q$29,3,FALSE),1,0)</f>
        <v>0</v>
      </c>
      <c r="CB44">
        <f>IF(VLOOKUP(CB$1,main!$A$3:$H$102,5,FALSE)-VLOOKUP($A44,main!$A$3:$H$102,6,FALSE)&gt;=main!$D$103+VLOOKUP(VLOOKUP(CB$1,main!$A$3:$I$102,7,FALSE),main!$K$26:$Q$29,3,FALSE),1,0)</f>
        <v>1</v>
      </c>
      <c r="CC44">
        <f>IF(VLOOKUP(CC$1,main!$A$3:$H$102,5,FALSE)-VLOOKUP($A44,main!$A$3:$H$102,6,FALSE)&gt;=main!$D$103+VLOOKUP(VLOOKUP(CC$1,main!$A$3:$I$102,7,FALSE),main!$K$26:$Q$29,3,FALSE),1,0)</f>
        <v>1</v>
      </c>
      <c r="CD44">
        <f>IF(VLOOKUP(CD$1,main!$A$3:$H$102,5,FALSE)-VLOOKUP($A44,main!$A$3:$H$102,6,FALSE)&gt;=main!$D$103+VLOOKUP(VLOOKUP(CD$1,main!$A$3:$I$102,7,FALSE),main!$K$26:$Q$29,3,FALSE),1,0)</f>
        <v>1</v>
      </c>
      <c r="CE44">
        <f>IF(VLOOKUP(CE$1,main!$A$3:$H$102,5,FALSE)-VLOOKUP($A44,main!$A$3:$H$102,6,FALSE)&gt;=main!$D$103+VLOOKUP(VLOOKUP(CE$1,main!$A$3:$I$102,7,FALSE),main!$K$26:$Q$29,3,FALSE),1,0)</f>
        <v>0</v>
      </c>
      <c r="CF44">
        <f>IF(VLOOKUP(CF$1,main!$A$3:$H$102,5,FALSE)-VLOOKUP($A44,main!$A$3:$H$102,6,FALSE)&gt;=main!$D$103+VLOOKUP(VLOOKUP(CF$1,main!$A$3:$I$102,7,FALSE),main!$K$26:$Q$29,3,FALSE),1,0)</f>
        <v>0</v>
      </c>
      <c r="CG44">
        <f>IF(VLOOKUP(CG$1,main!$A$3:$H$102,5,FALSE)-VLOOKUP($A44,main!$A$3:$H$102,6,FALSE)&gt;=main!$D$103+VLOOKUP(VLOOKUP(CG$1,main!$A$3:$I$102,7,FALSE),main!$K$26:$Q$29,3,FALSE),1,0)</f>
        <v>0</v>
      </c>
      <c r="CH44">
        <f>IF(VLOOKUP(CH$1,main!$A$3:$H$102,5,FALSE)-VLOOKUP($A44,main!$A$3:$H$102,6,FALSE)&gt;=main!$D$103+VLOOKUP(VLOOKUP(CH$1,main!$A$3:$I$102,7,FALSE),main!$K$26:$Q$29,3,FALSE),1,0)</f>
        <v>1</v>
      </c>
      <c r="CI44">
        <f>IF(VLOOKUP(CI$1,main!$A$3:$H$102,5,FALSE)-VLOOKUP($A44,main!$A$3:$H$102,6,FALSE)&gt;=main!$D$103+VLOOKUP(VLOOKUP(CI$1,main!$A$3:$I$102,7,FALSE),main!$K$26:$Q$29,3,FALSE),1,0)</f>
        <v>1</v>
      </c>
      <c r="CJ44">
        <f>IF(VLOOKUP(CJ$1,main!$A$3:$H$102,5,FALSE)-VLOOKUP($A44,main!$A$3:$H$102,6,FALSE)&gt;=main!$D$103+VLOOKUP(VLOOKUP(CJ$1,main!$A$3:$I$102,7,FALSE),main!$K$26:$Q$29,3,FALSE),1,0)</f>
        <v>0</v>
      </c>
      <c r="CK44">
        <f>IF(VLOOKUP(CK$1,main!$A$3:$H$102,5,FALSE)-VLOOKUP($A44,main!$A$3:$H$102,6,FALSE)&gt;=main!$D$103+VLOOKUP(VLOOKUP(CK$1,main!$A$3:$I$102,7,FALSE),main!$K$26:$Q$29,3,FALSE),1,0)</f>
        <v>0</v>
      </c>
      <c r="CL44">
        <f>IF(VLOOKUP(CL$1,main!$A$3:$H$102,5,FALSE)-VLOOKUP($A44,main!$A$3:$H$102,6,FALSE)&gt;=main!$D$103+VLOOKUP(VLOOKUP(CL$1,main!$A$3:$I$102,7,FALSE),main!$K$26:$Q$29,3,FALSE),1,0)</f>
        <v>0</v>
      </c>
      <c r="CM44">
        <f>IF(VLOOKUP(CM$1,main!$A$3:$H$102,5,FALSE)-VLOOKUP($A44,main!$A$3:$H$102,6,FALSE)&gt;=main!$D$103+VLOOKUP(VLOOKUP(CM$1,main!$A$3:$I$102,7,FALSE),main!$K$26:$Q$29,3,FALSE),1,0)</f>
        <v>1</v>
      </c>
      <c r="CN44">
        <f>IF(VLOOKUP(CN$1,main!$A$3:$H$102,5,FALSE)-VLOOKUP($A44,main!$A$3:$H$102,6,FALSE)&gt;=main!$D$103+VLOOKUP(VLOOKUP(CN$1,main!$A$3:$I$102,7,FALSE),main!$K$26:$Q$29,3,FALSE),1,0)</f>
        <v>1</v>
      </c>
      <c r="CO44">
        <f>IF(VLOOKUP(CO$1,main!$A$3:$H$102,5,FALSE)-VLOOKUP($A44,main!$A$3:$H$102,6,FALSE)&gt;=main!$D$103+VLOOKUP(VLOOKUP(CO$1,main!$A$3:$I$102,7,FALSE),main!$K$26:$Q$29,3,FALSE),1,0)</f>
        <v>0</v>
      </c>
      <c r="CP44">
        <f>IF(VLOOKUP(CP$1,main!$A$3:$H$102,5,FALSE)-VLOOKUP($A44,main!$A$3:$H$102,6,FALSE)&gt;=main!$D$103+VLOOKUP(VLOOKUP(CP$1,main!$A$3:$I$102,7,FALSE),main!$K$26:$Q$29,3,FALSE),1,0)</f>
        <v>0</v>
      </c>
      <c r="CQ44">
        <f>IF(VLOOKUP(CQ$1,main!$A$3:$H$102,5,FALSE)-VLOOKUP($A44,main!$A$3:$H$102,6,FALSE)&gt;=main!$D$103+VLOOKUP(VLOOKUP(CQ$1,main!$A$3:$I$102,7,FALSE),main!$K$26:$Q$29,3,FALSE),1,0)</f>
        <v>0</v>
      </c>
      <c r="CR44">
        <f>IF(VLOOKUP(CR$1,main!$A$3:$H$102,5,FALSE)-VLOOKUP($A44,main!$A$3:$H$102,6,FALSE)&gt;=main!$D$103+VLOOKUP(VLOOKUP(CR$1,main!$A$3:$I$102,7,FALSE),main!$K$26:$Q$29,3,FALSE),1,0)</f>
        <v>1</v>
      </c>
      <c r="CS44">
        <f>IF(VLOOKUP(CS$1,main!$A$3:$H$102,5,FALSE)-VLOOKUP($A44,main!$A$3:$H$102,6,FALSE)&gt;=main!$D$103+VLOOKUP(VLOOKUP(CS$1,main!$A$3:$I$102,7,FALSE),main!$K$26:$Q$29,3,FALSE),1,0)</f>
        <v>1</v>
      </c>
      <c r="CT44">
        <f>IF(VLOOKUP(CT$1,main!$A$3:$H$102,5,FALSE)-VLOOKUP($A44,main!$A$3:$H$102,6,FALSE)&gt;=main!$D$103+VLOOKUP(VLOOKUP(CT$1,main!$A$3:$I$102,7,FALSE),main!$K$26:$Q$29,3,FALSE),1,0)</f>
        <v>0</v>
      </c>
      <c r="CU44">
        <f>IF(VLOOKUP(CU$1,main!$A$3:$H$102,5,FALSE)-VLOOKUP($A44,main!$A$3:$H$102,6,FALSE)&gt;=main!$D$103+VLOOKUP(VLOOKUP(CU$1,main!$A$3:$I$102,7,FALSE),main!$K$26:$Q$29,3,FALSE),1,0)</f>
        <v>0</v>
      </c>
      <c r="CV44">
        <f>IF(VLOOKUP(CV$1,main!$A$3:$H$102,5,FALSE)-VLOOKUP($A44,main!$A$3:$H$102,6,FALSE)&gt;=main!$D$103+VLOOKUP(VLOOKUP(CV$1,main!$A$3:$I$102,7,FALSE),main!$K$26:$Q$29,3,FALSE),1,0)</f>
        <v>0</v>
      </c>
      <c r="CW44">
        <f>IF(VLOOKUP(CW$1,main!$A$3:$H$102,5,FALSE)-VLOOKUP($A44,main!$A$3:$H$102,6,FALSE)&gt;=main!$D$103+VLOOKUP(VLOOKUP(CW$1,main!$A$3:$I$102,7,FALSE),main!$K$26:$Q$29,3,FALSE),1,0)</f>
        <v>1</v>
      </c>
      <c r="CX44">
        <f>IF(VLOOKUP(CX$1,main!$A$3:$H$102,5,FALSE)-VLOOKUP($A44,main!$A$3:$H$102,6,FALSE)&gt;=main!$D$103+VLOOKUP(VLOOKUP(CX$1,main!$A$3:$I$102,7,FALSE),main!$K$26:$Q$29,3,FALSE),1,0)</f>
        <v>1</v>
      </c>
    </row>
    <row r="45" spans="1:102" x14ac:dyDescent="0.25">
      <c r="A45" s="1">
        <v>43</v>
      </c>
      <c r="B45">
        <v>0</v>
      </c>
      <c r="C45">
        <f>IF(VLOOKUP(C$1,main!$A$3:$H$102,5,FALSE)-VLOOKUP($A45,main!$A$3:$H$102,6,FALSE)&gt;=main!$D$103+VLOOKUP(VLOOKUP(C$1,main!$A$3:$I$102,7,FALSE),main!$K$26:$Q$29,3,FALSE),1,0)</f>
        <v>0</v>
      </c>
      <c r="D45">
        <f>IF(VLOOKUP(D$1,main!$A$3:$H$102,5,FALSE)-VLOOKUP($A45,main!$A$3:$H$102,6,FALSE)&gt;=main!$D$103+VLOOKUP(VLOOKUP(D$1,main!$A$3:$I$102,7,FALSE),main!$K$26:$Q$29,3,FALSE),1,0)</f>
        <v>0</v>
      </c>
      <c r="E45">
        <f>IF(VLOOKUP(E$1,main!$A$3:$H$102,5,FALSE)-VLOOKUP($A45,main!$A$3:$H$102,6,FALSE)&gt;=main!$D$103+VLOOKUP(VLOOKUP(E$1,main!$A$3:$I$102,7,FALSE),main!$K$26:$Q$29,3,FALSE),1,0)</f>
        <v>0</v>
      </c>
      <c r="F45">
        <f>IF(VLOOKUP(F$1,main!$A$3:$H$102,5,FALSE)-VLOOKUP($A45,main!$A$3:$H$102,6,FALSE)&gt;=main!$D$103+VLOOKUP(VLOOKUP(F$1,main!$A$3:$I$102,7,FALSE),main!$K$26:$Q$29,3,FALSE),1,0)</f>
        <v>0</v>
      </c>
      <c r="G45">
        <f>IF(VLOOKUP(G$1,main!$A$3:$H$102,5,FALSE)-VLOOKUP($A45,main!$A$3:$H$102,6,FALSE)&gt;=main!$D$103+VLOOKUP(VLOOKUP(G$1,main!$A$3:$I$102,7,FALSE),main!$K$26:$Q$29,3,FALSE),1,0)</f>
        <v>0</v>
      </c>
      <c r="H45">
        <f>IF(VLOOKUP(H$1,main!$A$3:$H$102,5,FALSE)-VLOOKUP($A45,main!$A$3:$H$102,6,FALSE)&gt;=main!$D$103+VLOOKUP(VLOOKUP(H$1,main!$A$3:$I$102,7,FALSE),main!$K$26:$Q$29,3,FALSE),1,0)</f>
        <v>0</v>
      </c>
      <c r="I45">
        <f>IF(VLOOKUP(I$1,main!$A$3:$H$102,5,FALSE)-VLOOKUP($A45,main!$A$3:$H$102,6,FALSE)&gt;=main!$D$103+VLOOKUP(VLOOKUP(I$1,main!$A$3:$I$102,7,FALSE),main!$K$26:$Q$29,3,FALSE),1,0)</f>
        <v>0</v>
      </c>
      <c r="J45">
        <f>IF(VLOOKUP(J$1,main!$A$3:$H$102,5,FALSE)-VLOOKUP($A45,main!$A$3:$H$102,6,FALSE)&gt;=main!$D$103+VLOOKUP(VLOOKUP(J$1,main!$A$3:$I$102,7,FALSE),main!$K$26:$Q$29,3,FALSE),1,0)</f>
        <v>1</v>
      </c>
      <c r="K45">
        <f>IF(VLOOKUP(K$1,main!$A$3:$H$102,5,FALSE)-VLOOKUP($A45,main!$A$3:$H$102,6,FALSE)&gt;=main!$D$103+VLOOKUP(VLOOKUP(K$1,main!$A$3:$I$102,7,FALSE),main!$K$26:$Q$29,3,FALSE),1,0)</f>
        <v>1</v>
      </c>
      <c r="L45">
        <f>IF(VLOOKUP(L$1,main!$A$3:$H$102,5,FALSE)-VLOOKUP($A45,main!$A$3:$H$102,6,FALSE)&gt;=main!$D$103+VLOOKUP(VLOOKUP(L$1,main!$A$3:$I$102,7,FALSE),main!$K$26:$Q$29,3,FALSE),1,0)</f>
        <v>1</v>
      </c>
      <c r="M45">
        <f>IF(VLOOKUP(M$1,main!$A$3:$H$102,5,FALSE)-VLOOKUP($A45,main!$A$3:$H$102,6,FALSE)&gt;=main!$D$103+VLOOKUP(VLOOKUP(M$1,main!$A$3:$I$102,7,FALSE),main!$K$26:$Q$29,3,FALSE),1,0)</f>
        <v>0</v>
      </c>
      <c r="N45">
        <f>IF(VLOOKUP(N$1,main!$A$3:$H$102,5,FALSE)-VLOOKUP($A45,main!$A$3:$H$102,6,FALSE)&gt;=main!$D$103+VLOOKUP(VLOOKUP(N$1,main!$A$3:$I$102,7,FALSE),main!$K$26:$Q$29,3,FALSE),1,0)</f>
        <v>0</v>
      </c>
      <c r="O45">
        <f>IF(VLOOKUP(O$1,main!$A$3:$H$102,5,FALSE)-VLOOKUP($A45,main!$A$3:$H$102,6,FALSE)&gt;=main!$D$103+VLOOKUP(VLOOKUP(O$1,main!$A$3:$I$102,7,FALSE),main!$K$26:$Q$29,3,FALSE),1,0)</f>
        <v>0</v>
      </c>
      <c r="P45">
        <f>IF(VLOOKUP(P$1,main!$A$3:$H$102,5,FALSE)-VLOOKUP($A45,main!$A$3:$H$102,6,FALSE)&gt;=main!$D$103+VLOOKUP(VLOOKUP(P$1,main!$A$3:$I$102,7,FALSE),main!$K$26:$Q$29,3,FALSE),1,0)</f>
        <v>0</v>
      </c>
      <c r="Q45">
        <f>IF(VLOOKUP(Q$1,main!$A$3:$H$102,5,FALSE)-VLOOKUP($A45,main!$A$3:$H$102,6,FALSE)&gt;=main!$D$103+VLOOKUP(VLOOKUP(Q$1,main!$A$3:$I$102,7,FALSE),main!$K$26:$Q$29,3,FALSE),1,0)</f>
        <v>0</v>
      </c>
      <c r="R45">
        <f>IF(VLOOKUP(R$1,main!$A$3:$H$102,5,FALSE)-VLOOKUP($A45,main!$A$3:$H$102,6,FALSE)&gt;=main!$D$103+VLOOKUP(VLOOKUP(R$1,main!$A$3:$I$102,7,FALSE),main!$K$26:$Q$29,3,FALSE),1,0)</f>
        <v>0</v>
      </c>
      <c r="S45">
        <f>IF(VLOOKUP(S$1,main!$A$3:$H$102,5,FALSE)-VLOOKUP($A45,main!$A$3:$H$102,6,FALSE)&gt;=main!$D$103+VLOOKUP(VLOOKUP(S$1,main!$A$3:$I$102,7,FALSE),main!$K$26:$Q$29,3,FALSE),1,0)</f>
        <v>0</v>
      </c>
      <c r="T45">
        <f>IF(VLOOKUP(T$1,main!$A$3:$H$102,5,FALSE)-VLOOKUP($A45,main!$A$3:$H$102,6,FALSE)&gt;=main!$D$103+VLOOKUP(VLOOKUP(T$1,main!$A$3:$I$102,7,FALSE),main!$K$26:$Q$29,3,FALSE),1,0)</f>
        <v>1</v>
      </c>
      <c r="U45">
        <f>IF(VLOOKUP(U$1,main!$A$3:$H$102,5,FALSE)-VLOOKUP($A45,main!$A$3:$H$102,6,FALSE)&gt;=main!$D$103+VLOOKUP(VLOOKUP(U$1,main!$A$3:$I$102,7,FALSE),main!$K$26:$Q$29,3,FALSE),1,0)</f>
        <v>1</v>
      </c>
      <c r="V45">
        <f>IF(VLOOKUP(V$1,main!$A$3:$H$102,5,FALSE)-VLOOKUP($A45,main!$A$3:$H$102,6,FALSE)&gt;=main!$D$103+VLOOKUP(VLOOKUP(V$1,main!$A$3:$I$102,7,FALSE),main!$K$26:$Q$29,3,FALSE),1,0)</f>
        <v>1</v>
      </c>
      <c r="W45">
        <f>IF(VLOOKUP(W$1,main!$A$3:$H$102,5,FALSE)-VLOOKUP($A45,main!$A$3:$H$102,6,FALSE)&gt;=main!$D$103+VLOOKUP(VLOOKUP(W$1,main!$A$3:$I$102,7,FALSE),main!$K$26:$Q$29,3,FALSE),1,0)</f>
        <v>0</v>
      </c>
      <c r="X45">
        <f>IF(VLOOKUP(X$1,main!$A$3:$H$102,5,FALSE)-VLOOKUP($A45,main!$A$3:$H$102,6,FALSE)&gt;=main!$D$103+VLOOKUP(VLOOKUP(X$1,main!$A$3:$I$102,7,FALSE),main!$K$26:$Q$29,3,FALSE),1,0)</f>
        <v>0</v>
      </c>
      <c r="Y45">
        <f>IF(VLOOKUP(Y$1,main!$A$3:$H$102,5,FALSE)-VLOOKUP($A45,main!$A$3:$H$102,6,FALSE)&gt;=main!$D$103+VLOOKUP(VLOOKUP(Y$1,main!$A$3:$I$102,7,FALSE),main!$K$26:$Q$29,3,FALSE),1,0)</f>
        <v>0</v>
      </c>
      <c r="Z45">
        <f>IF(VLOOKUP(Z$1,main!$A$3:$H$102,5,FALSE)-VLOOKUP($A45,main!$A$3:$H$102,6,FALSE)&gt;=main!$D$103+VLOOKUP(VLOOKUP(Z$1,main!$A$3:$I$102,7,FALSE),main!$K$26:$Q$29,3,FALSE),1,0)</f>
        <v>0</v>
      </c>
      <c r="AA45">
        <f>IF(VLOOKUP(AA$1,main!$A$3:$H$102,5,FALSE)-VLOOKUP($A45,main!$A$3:$H$102,6,FALSE)&gt;=main!$D$103+VLOOKUP(VLOOKUP(AA$1,main!$A$3:$I$102,7,FALSE),main!$K$26:$Q$29,3,FALSE),1,0)</f>
        <v>1</v>
      </c>
      <c r="AB45">
        <f>IF(VLOOKUP(AB$1,main!$A$3:$H$102,5,FALSE)-VLOOKUP($A45,main!$A$3:$H$102,6,FALSE)&gt;=main!$D$103+VLOOKUP(VLOOKUP(AB$1,main!$A$3:$I$102,7,FALSE),main!$K$26:$Q$29,3,FALSE),1,0)</f>
        <v>0</v>
      </c>
      <c r="AC45">
        <f>IF(VLOOKUP(AC$1,main!$A$3:$H$102,5,FALSE)-VLOOKUP($A45,main!$A$3:$H$102,6,FALSE)&gt;=main!$D$103+VLOOKUP(VLOOKUP(AC$1,main!$A$3:$I$102,7,FALSE),main!$K$26:$Q$29,3,FALSE),1,0)</f>
        <v>0</v>
      </c>
      <c r="AD45">
        <f>IF(VLOOKUP(AD$1,main!$A$3:$H$102,5,FALSE)-VLOOKUP($A45,main!$A$3:$H$102,6,FALSE)&gt;=main!$D$103+VLOOKUP(VLOOKUP(AD$1,main!$A$3:$I$102,7,FALSE),main!$K$26:$Q$29,3,FALSE),1,0)</f>
        <v>0</v>
      </c>
      <c r="AE45">
        <f>IF(VLOOKUP(AE$1,main!$A$3:$H$102,5,FALSE)-VLOOKUP($A45,main!$A$3:$H$102,6,FALSE)&gt;=main!$D$103+VLOOKUP(VLOOKUP(AE$1,main!$A$3:$I$102,7,FALSE),main!$K$26:$Q$29,3,FALSE),1,0)</f>
        <v>0</v>
      </c>
      <c r="AF45">
        <f>IF(VLOOKUP(AF$1,main!$A$3:$H$102,5,FALSE)-VLOOKUP($A45,main!$A$3:$H$102,6,FALSE)&gt;=main!$D$103+VLOOKUP(VLOOKUP(AF$1,main!$A$3:$I$102,7,FALSE),main!$K$26:$Q$29,3,FALSE),1,0)</f>
        <v>1</v>
      </c>
      <c r="AG45">
        <f>IF(VLOOKUP(AG$1,main!$A$3:$H$102,5,FALSE)-VLOOKUP($A45,main!$A$3:$H$102,6,FALSE)&gt;=main!$D$103+VLOOKUP(VLOOKUP(AG$1,main!$A$3:$I$102,7,FALSE),main!$K$26:$Q$29,3,FALSE),1,0)</f>
        <v>0</v>
      </c>
      <c r="AH45">
        <f>IF(VLOOKUP(AH$1,main!$A$3:$H$102,5,FALSE)-VLOOKUP($A45,main!$A$3:$H$102,6,FALSE)&gt;=main!$D$103+VLOOKUP(VLOOKUP(AH$1,main!$A$3:$I$102,7,FALSE),main!$K$26:$Q$29,3,FALSE),1,0)</f>
        <v>0</v>
      </c>
      <c r="AI45">
        <f>IF(VLOOKUP(AI$1,main!$A$3:$H$102,5,FALSE)-VLOOKUP($A45,main!$A$3:$H$102,6,FALSE)&gt;=main!$D$103+VLOOKUP(VLOOKUP(AI$1,main!$A$3:$I$102,7,FALSE),main!$K$26:$Q$29,3,FALSE),1,0)</f>
        <v>0</v>
      </c>
      <c r="AJ45">
        <f>IF(VLOOKUP(AJ$1,main!$A$3:$H$102,5,FALSE)-VLOOKUP($A45,main!$A$3:$H$102,6,FALSE)&gt;=main!$D$103+VLOOKUP(VLOOKUP(AJ$1,main!$A$3:$I$102,7,FALSE),main!$K$26:$Q$29,3,FALSE),1,0)</f>
        <v>0</v>
      </c>
      <c r="AK45">
        <f>IF(VLOOKUP(AK$1,main!$A$3:$H$102,5,FALSE)-VLOOKUP($A45,main!$A$3:$H$102,6,FALSE)&gt;=main!$D$103+VLOOKUP(VLOOKUP(AK$1,main!$A$3:$I$102,7,FALSE),main!$K$26:$Q$29,3,FALSE),1,0)</f>
        <v>0</v>
      </c>
      <c r="AL45">
        <f>IF(VLOOKUP(AL$1,main!$A$3:$H$102,5,FALSE)-VLOOKUP($A45,main!$A$3:$H$102,6,FALSE)&gt;=main!$D$103+VLOOKUP(VLOOKUP(AL$1,main!$A$3:$I$102,7,FALSE),main!$K$26:$Q$29,3,FALSE),1,0)</f>
        <v>0</v>
      </c>
      <c r="AM45">
        <f>IF(VLOOKUP(AM$1,main!$A$3:$H$102,5,FALSE)-VLOOKUP($A45,main!$A$3:$H$102,6,FALSE)&gt;=main!$D$103+VLOOKUP(VLOOKUP(AM$1,main!$A$3:$I$102,7,FALSE),main!$K$26:$Q$29,3,FALSE),1,0)</f>
        <v>1</v>
      </c>
      <c r="AN45">
        <f>IF(VLOOKUP(AN$1,main!$A$3:$H$102,5,FALSE)-VLOOKUP($A45,main!$A$3:$H$102,6,FALSE)&gt;=main!$D$103+VLOOKUP(VLOOKUP(AN$1,main!$A$3:$I$102,7,FALSE),main!$K$26:$Q$29,3,FALSE),1,0)</f>
        <v>1</v>
      </c>
      <c r="AO45">
        <f>IF(VLOOKUP(AO$1,main!$A$3:$H$102,5,FALSE)-VLOOKUP($A45,main!$A$3:$H$102,6,FALSE)&gt;=main!$D$103+VLOOKUP(VLOOKUP(AO$1,main!$A$3:$I$102,7,FALSE),main!$K$26:$Q$29,3,FALSE),1,0)</f>
        <v>0</v>
      </c>
      <c r="AP45">
        <f>IF(VLOOKUP(AP$1,main!$A$3:$H$102,5,FALSE)-VLOOKUP($A45,main!$A$3:$H$102,6,FALSE)&gt;=main!$D$103+VLOOKUP(VLOOKUP(AP$1,main!$A$3:$I$102,7,FALSE),main!$K$26:$Q$29,3,FALSE),1,0)</f>
        <v>1</v>
      </c>
      <c r="AQ45">
        <f>IF(VLOOKUP(AQ$1,main!$A$3:$H$102,5,FALSE)-VLOOKUP($A45,main!$A$3:$H$102,6,FALSE)&gt;=main!$D$103+VLOOKUP(VLOOKUP(AQ$1,main!$A$3:$I$102,7,FALSE),main!$K$26:$Q$29,3,FALSE),1,0)</f>
        <v>0</v>
      </c>
      <c r="AR45">
        <f>IF(VLOOKUP(AR$1,main!$A$3:$H$102,5,FALSE)-VLOOKUP($A45,main!$A$3:$H$102,6,FALSE)&gt;=main!$D$103+VLOOKUP(VLOOKUP(AR$1,main!$A$3:$I$102,7,FALSE),main!$K$26:$Q$29,3,FALSE),1,0)</f>
        <v>0</v>
      </c>
      <c r="AS45">
        <f>IF(VLOOKUP(AS$1,main!$A$3:$H$102,5,FALSE)-VLOOKUP($A45,main!$A$3:$H$102,6,FALSE)&gt;=main!$D$103+VLOOKUP(VLOOKUP(AS$1,main!$A$3:$I$102,7,FALSE),main!$K$26:$Q$29,3,FALSE),1,0)</f>
        <v>0</v>
      </c>
      <c r="AT45">
        <f>IF(VLOOKUP(AT$1,main!$A$3:$H$102,5,FALSE)-VLOOKUP($A45,main!$A$3:$H$102,6,FALSE)&gt;=main!$D$103+VLOOKUP(VLOOKUP(AT$1,main!$A$3:$I$102,7,FALSE),main!$K$26:$Q$29,3,FALSE),1,0)</f>
        <v>0</v>
      </c>
      <c r="AU45">
        <f>IF(VLOOKUP(AU$1,main!$A$3:$H$102,5,FALSE)-VLOOKUP($A45,main!$A$3:$H$102,6,FALSE)&gt;=main!$D$103+VLOOKUP(VLOOKUP(AU$1,main!$A$3:$I$102,7,FALSE),main!$K$26:$Q$29,3,FALSE),1,0)</f>
        <v>0</v>
      </c>
      <c r="AV45">
        <f>IF(VLOOKUP(AV$1,main!$A$3:$H$102,5,FALSE)-VLOOKUP($A45,main!$A$3:$H$102,6,FALSE)&gt;=main!$D$103+VLOOKUP(VLOOKUP(AV$1,main!$A$3:$I$102,7,FALSE),main!$K$26:$Q$29,3,FALSE),1,0)</f>
        <v>0</v>
      </c>
      <c r="AW45">
        <f>IF(VLOOKUP(AW$1,main!$A$3:$H$102,5,FALSE)-VLOOKUP($A45,main!$A$3:$H$102,6,FALSE)&gt;=main!$D$103+VLOOKUP(VLOOKUP(AW$1,main!$A$3:$I$102,7,FALSE),main!$K$26:$Q$29,3,FALSE),1,0)</f>
        <v>0</v>
      </c>
      <c r="AX45">
        <f>IF(VLOOKUP(AX$1,main!$A$3:$H$102,5,FALSE)-VLOOKUP($A45,main!$A$3:$H$102,6,FALSE)&gt;=main!$D$103+VLOOKUP(VLOOKUP(AX$1,main!$A$3:$I$102,7,FALSE),main!$K$26:$Q$29,3,FALSE),1,0)</f>
        <v>0</v>
      </c>
      <c r="AY45">
        <f>IF(VLOOKUP(AY$1,main!$A$3:$H$102,5,FALSE)-VLOOKUP($A45,main!$A$3:$H$102,6,FALSE)&gt;=main!$D$103+VLOOKUP(VLOOKUP(AY$1,main!$A$3:$I$102,7,FALSE),main!$K$26:$Q$29,3,FALSE),1,0)</f>
        <v>0</v>
      </c>
      <c r="AZ45">
        <f>IF(VLOOKUP(AZ$1,main!$A$3:$H$102,5,FALSE)-VLOOKUP($A45,main!$A$3:$H$102,6,FALSE)&gt;=main!$D$103+VLOOKUP(VLOOKUP(AZ$1,main!$A$3:$I$102,7,FALSE),main!$K$26:$Q$29,3,FALSE),1,0)</f>
        <v>0</v>
      </c>
      <c r="BA45">
        <f>IF(VLOOKUP(BA$1,main!$A$3:$H$102,5,FALSE)-VLOOKUP($A45,main!$A$3:$H$102,6,FALSE)&gt;=main!$D$103+VLOOKUP(VLOOKUP(BA$1,main!$A$3:$I$102,7,FALSE),main!$K$26:$Q$29,3,FALSE),1,0)</f>
        <v>0</v>
      </c>
      <c r="BB45">
        <f>IF(VLOOKUP(BB$1,main!$A$3:$H$102,5,FALSE)-VLOOKUP($A45,main!$A$3:$H$102,6,FALSE)&gt;=main!$D$103+VLOOKUP(VLOOKUP(BB$1,main!$A$3:$I$102,7,FALSE),main!$K$26:$Q$29,3,FALSE),1,0)</f>
        <v>0</v>
      </c>
      <c r="BC45">
        <f>IF(VLOOKUP(BC$1,main!$A$3:$H$102,5,FALSE)-VLOOKUP($A45,main!$A$3:$H$102,6,FALSE)&gt;=main!$D$103+VLOOKUP(VLOOKUP(BC$1,main!$A$3:$I$102,7,FALSE),main!$K$26:$Q$29,3,FALSE),1,0)</f>
        <v>0</v>
      </c>
      <c r="BD45">
        <f>IF(VLOOKUP(BD$1,main!$A$3:$H$102,5,FALSE)-VLOOKUP($A45,main!$A$3:$H$102,6,FALSE)&gt;=main!$D$103+VLOOKUP(VLOOKUP(BD$1,main!$A$3:$I$102,7,FALSE),main!$K$26:$Q$29,3,FALSE),1,0)</f>
        <v>0</v>
      </c>
      <c r="BE45">
        <f>IF(VLOOKUP(BE$1,main!$A$3:$H$102,5,FALSE)-VLOOKUP($A45,main!$A$3:$H$102,6,FALSE)&gt;=main!$D$103+VLOOKUP(VLOOKUP(BE$1,main!$A$3:$I$102,7,FALSE),main!$K$26:$Q$29,3,FALSE),1,0)</f>
        <v>1</v>
      </c>
      <c r="BF45">
        <f>IF(VLOOKUP(BF$1,main!$A$3:$H$102,5,FALSE)-VLOOKUP($A45,main!$A$3:$H$102,6,FALSE)&gt;=main!$D$103+VLOOKUP(VLOOKUP(BF$1,main!$A$3:$I$102,7,FALSE),main!$K$26:$Q$29,3,FALSE),1,0)</f>
        <v>0</v>
      </c>
      <c r="BG45">
        <f>IF(VLOOKUP(BG$1,main!$A$3:$H$102,5,FALSE)-VLOOKUP($A45,main!$A$3:$H$102,6,FALSE)&gt;=main!$D$103+VLOOKUP(VLOOKUP(BG$1,main!$A$3:$I$102,7,FALSE),main!$K$26:$Q$29,3,FALSE),1,0)</f>
        <v>0</v>
      </c>
      <c r="BH45">
        <f>IF(VLOOKUP(BH$1,main!$A$3:$H$102,5,FALSE)-VLOOKUP($A45,main!$A$3:$H$102,6,FALSE)&gt;=main!$D$103+VLOOKUP(VLOOKUP(BH$1,main!$A$3:$I$102,7,FALSE),main!$K$26:$Q$29,3,FALSE),1,0)</f>
        <v>0</v>
      </c>
      <c r="BI45">
        <f>IF(VLOOKUP(BI$1,main!$A$3:$H$102,5,FALSE)-VLOOKUP($A45,main!$A$3:$H$102,6,FALSE)&gt;=main!$D$103+VLOOKUP(VLOOKUP(BI$1,main!$A$3:$I$102,7,FALSE),main!$K$26:$Q$29,3,FALSE),1,0)</f>
        <v>1</v>
      </c>
      <c r="BJ45">
        <f>IF(VLOOKUP(BJ$1,main!$A$3:$H$102,5,FALSE)-VLOOKUP($A45,main!$A$3:$H$102,6,FALSE)&gt;=main!$D$103+VLOOKUP(VLOOKUP(BJ$1,main!$A$3:$I$102,7,FALSE),main!$K$26:$Q$29,3,FALSE),1,0)</f>
        <v>1</v>
      </c>
      <c r="BK45">
        <f>IF(VLOOKUP(BK$1,main!$A$3:$H$102,5,FALSE)-VLOOKUP($A45,main!$A$3:$H$102,6,FALSE)&gt;=main!$D$103+VLOOKUP(VLOOKUP(BK$1,main!$A$3:$I$102,7,FALSE),main!$K$26:$Q$29,3,FALSE),1,0)</f>
        <v>0</v>
      </c>
      <c r="BL45">
        <f>IF(VLOOKUP(BL$1,main!$A$3:$H$102,5,FALSE)-VLOOKUP($A45,main!$A$3:$H$102,6,FALSE)&gt;=main!$D$103+VLOOKUP(VLOOKUP(BL$1,main!$A$3:$I$102,7,FALSE),main!$K$26:$Q$29,3,FALSE),1,0)</f>
        <v>0</v>
      </c>
      <c r="BM45">
        <f>IF(VLOOKUP(BM$1,main!$A$3:$H$102,5,FALSE)-VLOOKUP($A45,main!$A$3:$H$102,6,FALSE)&gt;=main!$D$103+VLOOKUP(VLOOKUP(BM$1,main!$A$3:$I$102,7,FALSE),main!$K$26:$Q$29,3,FALSE),1,0)</f>
        <v>0</v>
      </c>
      <c r="BN45">
        <f>IF(VLOOKUP(BN$1,main!$A$3:$H$102,5,FALSE)-VLOOKUP($A45,main!$A$3:$H$102,6,FALSE)&gt;=main!$D$103+VLOOKUP(VLOOKUP(BN$1,main!$A$3:$I$102,7,FALSE),main!$K$26:$Q$29,3,FALSE),1,0)</f>
        <v>0</v>
      </c>
      <c r="BO45">
        <f>IF(VLOOKUP(BO$1,main!$A$3:$H$102,5,FALSE)-VLOOKUP($A45,main!$A$3:$H$102,6,FALSE)&gt;=main!$D$103+VLOOKUP(VLOOKUP(BO$1,main!$A$3:$I$102,7,FALSE),main!$K$26:$Q$29,3,FALSE),1,0)</f>
        <v>0</v>
      </c>
      <c r="BP45">
        <f>IF(VLOOKUP(BP$1,main!$A$3:$H$102,5,FALSE)-VLOOKUP($A45,main!$A$3:$H$102,6,FALSE)&gt;=main!$D$103+VLOOKUP(VLOOKUP(BP$1,main!$A$3:$I$102,7,FALSE),main!$K$26:$Q$29,3,FALSE),1,0)</f>
        <v>0</v>
      </c>
      <c r="BQ45">
        <f>IF(VLOOKUP(BQ$1,main!$A$3:$H$102,5,FALSE)-VLOOKUP($A45,main!$A$3:$H$102,6,FALSE)&gt;=main!$D$103+VLOOKUP(VLOOKUP(BQ$1,main!$A$3:$I$102,7,FALSE),main!$K$26:$Q$29,3,FALSE),1,0)</f>
        <v>0</v>
      </c>
      <c r="BR45">
        <f>IF(VLOOKUP(BR$1,main!$A$3:$H$102,5,FALSE)-VLOOKUP($A45,main!$A$3:$H$102,6,FALSE)&gt;=main!$D$103+VLOOKUP(VLOOKUP(BR$1,main!$A$3:$I$102,7,FALSE),main!$K$26:$Q$29,3,FALSE),1,0)</f>
        <v>0</v>
      </c>
      <c r="BS45">
        <f>IF(VLOOKUP(BS$1,main!$A$3:$H$102,5,FALSE)-VLOOKUP($A45,main!$A$3:$H$102,6,FALSE)&gt;=main!$D$103+VLOOKUP(VLOOKUP(BS$1,main!$A$3:$I$102,7,FALSE),main!$K$26:$Q$29,3,FALSE),1,0)</f>
        <v>0</v>
      </c>
      <c r="BT45">
        <f>IF(VLOOKUP(BT$1,main!$A$3:$H$102,5,FALSE)-VLOOKUP($A45,main!$A$3:$H$102,6,FALSE)&gt;=main!$D$103+VLOOKUP(VLOOKUP(BT$1,main!$A$3:$I$102,7,FALSE),main!$K$26:$Q$29,3,FALSE),1,0)</f>
        <v>0</v>
      </c>
      <c r="BU45">
        <f>IF(VLOOKUP(BU$1,main!$A$3:$H$102,5,FALSE)-VLOOKUP($A45,main!$A$3:$H$102,6,FALSE)&gt;=main!$D$103+VLOOKUP(VLOOKUP(BU$1,main!$A$3:$I$102,7,FALSE),main!$K$26:$Q$29,3,FALSE),1,0)</f>
        <v>0</v>
      </c>
      <c r="BV45">
        <f>IF(VLOOKUP(BV$1,main!$A$3:$H$102,5,FALSE)-VLOOKUP($A45,main!$A$3:$H$102,6,FALSE)&gt;=main!$D$103+VLOOKUP(VLOOKUP(BV$1,main!$A$3:$I$102,7,FALSE),main!$K$26:$Q$29,3,FALSE),1,0)</f>
        <v>0</v>
      </c>
      <c r="BW45">
        <f>IF(VLOOKUP(BW$1,main!$A$3:$H$102,5,FALSE)-VLOOKUP($A45,main!$A$3:$H$102,6,FALSE)&gt;=main!$D$103+VLOOKUP(VLOOKUP(BW$1,main!$A$3:$I$102,7,FALSE),main!$K$26:$Q$29,3,FALSE),1,0)</f>
        <v>0</v>
      </c>
      <c r="BX45">
        <f>IF(VLOOKUP(BX$1,main!$A$3:$H$102,5,FALSE)-VLOOKUP($A45,main!$A$3:$H$102,6,FALSE)&gt;=main!$D$103+VLOOKUP(VLOOKUP(BX$1,main!$A$3:$I$102,7,FALSE),main!$K$26:$Q$29,3,FALSE),1,0)</f>
        <v>0</v>
      </c>
      <c r="BY45">
        <f>IF(VLOOKUP(BY$1,main!$A$3:$H$102,5,FALSE)-VLOOKUP($A45,main!$A$3:$H$102,6,FALSE)&gt;=main!$D$103+VLOOKUP(VLOOKUP(BY$1,main!$A$3:$I$102,7,FALSE),main!$K$26:$Q$29,3,FALSE),1,0)</f>
        <v>0</v>
      </c>
      <c r="BZ45">
        <f>IF(VLOOKUP(BZ$1,main!$A$3:$H$102,5,FALSE)-VLOOKUP($A45,main!$A$3:$H$102,6,FALSE)&gt;=main!$D$103+VLOOKUP(VLOOKUP(BZ$1,main!$A$3:$I$102,7,FALSE),main!$K$26:$Q$29,3,FALSE),1,0)</f>
        <v>0</v>
      </c>
      <c r="CA45">
        <f>IF(VLOOKUP(CA$1,main!$A$3:$H$102,5,FALSE)-VLOOKUP($A45,main!$A$3:$H$102,6,FALSE)&gt;=main!$D$103+VLOOKUP(VLOOKUP(CA$1,main!$A$3:$I$102,7,FALSE),main!$K$26:$Q$29,3,FALSE),1,0)</f>
        <v>0</v>
      </c>
      <c r="CB45">
        <f>IF(VLOOKUP(CB$1,main!$A$3:$H$102,5,FALSE)-VLOOKUP($A45,main!$A$3:$H$102,6,FALSE)&gt;=main!$D$103+VLOOKUP(VLOOKUP(CB$1,main!$A$3:$I$102,7,FALSE),main!$K$26:$Q$29,3,FALSE),1,0)</f>
        <v>0</v>
      </c>
      <c r="CC45">
        <f>IF(VLOOKUP(CC$1,main!$A$3:$H$102,5,FALSE)-VLOOKUP($A45,main!$A$3:$H$102,6,FALSE)&gt;=main!$D$103+VLOOKUP(VLOOKUP(CC$1,main!$A$3:$I$102,7,FALSE),main!$K$26:$Q$29,3,FALSE),1,0)</f>
        <v>1</v>
      </c>
      <c r="CD45">
        <f>IF(VLOOKUP(CD$1,main!$A$3:$H$102,5,FALSE)-VLOOKUP($A45,main!$A$3:$H$102,6,FALSE)&gt;=main!$D$103+VLOOKUP(VLOOKUP(CD$1,main!$A$3:$I$102,7,FALSE),main!$K$26:$Q$29,3,FALSE),1,0)</f>
        <v>0</v>
      </c>
      <c r="CE45">
        <f>IF(VLOOKUP(CE$1,main!$A$3:$H$102,5,FALSE)-VLOOKUP($A45,main!$A$3:$H$102,6,FALSE)&gt;=main!$D$103+VLOOKUP(VLOOKUP(CE$1,main!$A$3:$I$102,7,FALSE),main!$K$26:$Q$29,3,FALSE),1,0)</f>
        <v>0</v>
      </c>
      <c r="CF45">
        <f>IF(VLOOKUP(CF$1,main!$A$3:$H$102,5,FALSE)-VLOOKUP($A45,main!$A$3:$H$102,6,FALSE)&gt;=main!$D$103+VLOOKUP(VLOOKUP(CF$1,main!$A$3:$I$102,7,FALSE),main!$K$26:$Q$29,3,FALSE),1,0)</f>
        <v>0</v>
      </c>
      <c r="CG45">
        <f>IF(VLOOKUP(CG$1,main!$A$3:$H$102,5,FALSE)-VLOOKUP($A45,main!$A$3:$H$102,6,FALSE)&gt;=main!$D$103+VLOOKUP(VLOOKUP(CG$1,main!$A$3:$I$102,7,FALSE),main!$K$26:$Q$29,3,FALSE),1,0)</f>
        <v>0</v>
      </c>
      <c r="CH45">
        <f>IF(VLOOKUP(CH$1,main!$A$3:$H$102,5,FALSE)-VLOOKUP($A45,main!$A$3:$H$102,6,FALSE)&gt;=main!$D$103+VLOOKUP(VLOOKUP(CH$1,main!$A$3:$I$102,7,FALSE),main!$K$26:$Q$29,3,FALSE),1,0)</f>
        <v>1</v>
      </c>
      <c r="CI45">
        <f>IF(VLOOKUP(CI$1,main!$A$3:$H$102,5,FALSE)-VLOOKUP($A45,main!$A$3:$H$102,6,FALSE)&gt;=main!$D$103+VLOOKUP(VLOOKUP(CI$1,main!$A$3:$I$102,7,FALSE),main!$K$26:$Q$29,3,FALSE),1,0)</f>
        <v>1</v>
      </c>
      <c r="CJ45">
        <f>IF(VLOOKUP(CJ$1,main!$A$3:$H$102,5,FALSE)-VLOOKUP($A45,main!$A$3:$H$102,6,FALSE)&gt;=main!$D$103+VLOOKUP(VLOOKUP(CJ$1,main!$A$3:$I$102,7,FALSE),main!$K$26:$Q$29,3,FALSE),1,0)</f>
        <v>0</v>
      </c>
      <c r="CK45">
        <f>IF(VLOOKUP(CK$1,main!$A$3:$H$102,5,FALSE)-VLOOKUP($A45,main!$A$3:$H$102,6,FALSE)&gt;=main!$D$103+VLOOKUP(VLOOKUP(CK$1,main!$A$3:$I$102,7,FALSE),main!$K$26:$Q$29,3,FALSE),1,0)</f>
        <v>0</v>
      </c>
      <c r="CL45">
        <f>IF(VLOOKUP(CL$1,main!$A$3:$H$102,5,FALSE)-VLOOKUP($A45,main!$A$3:$H$102,6,FALSE)&gt;=main!$D$103+VLOOKUP(VLOOKUP(CL$1,main!$A$3:$I$102,7,FALSE),main!$K$26:$Q$29,3,FALSE),1,0)</f>
        <v>0</v>
      </c>
      <c r="CM45">
        <f>IF(VLOOKUP(CM$1,main!$A$3:$H$102,5,FALSE)-VLOOKUP($A45,main!$A$3:$H$102,6,FALSE)&gt;=main!$D$103+VLOOKUP(VLOOKUP(CM$1,main!$A$3:$I$102,7,FALSE),main!$K$26:$Q$29,3,FALSE),1,0)</f>
        <v>0</v>
      </c>
      <c r="CN45">
        <f>IF(VLOOKUP(CN$1,main!$A$3:$H$102,5,FALSE)-VLOOKUP($A45,main!$A$3:$H$102,6,FALSE)&gt;=main!$D$103+VLOOKUP(VLOOKUP(CN$1,main!$A$3:$I$102,7,FALSE),main!$K$26:$Q$29,3,FALSE),1,0)</f>
        <v>1</v>
      </c>
      <c r="CO45">
        <f>IF(VLOOKUP(CO$1,main!$A$3:$H$102,5,FALSE)-VLOOKUP($A45,main!$A$3:$H$102,6,FALSE)&gt;=main!$D$103+VLOOKUP(VLOOKUP(CO$1,main!$A$3:$I$102,7,FALSE),main!$K$26:$Q$29,3,FALSE),1,0)</f>
        <v>0</v>
      </c>
      <c r="CP45">
        <f>IF(VLOOKUP(CP$1,main!$A$3:$H$102,5,FALSE)-VLOOKUP($A45,main!$A$3:$H$102,6,FALSE)&gt;=main!$D$103+VLOOKUP(VLOOKUP(CP$1,main!$A$3:$I$102,7,FALSE),main!$K$26:$Q$29,3,FALSE),1,0)</f>
        <v>0</v>
      </c>
      <c r="CQ45">
        <f>IF(VLOOKUP(CQ$1,main!$A$3:$H$102,5,FALSE)-VLOOKUP($A45,main!$A$3:$H$102,6,FALSE)&gt;=main!$D$103+VLOOKUP(VLOOKUP(CQ$1,main!$A$3:$I$102,7,FALSE),main!$K$26:$Q$29,3,FALSE),1,0)</f>
        <v>0</v>
      </c>
      <c r="CR45">
        <f>IF(VLOOKUP(CR$1,main!$A$3:$H$102,5,FALSE)-VLOOKUP($A45,main!$A$3:$H$102,6,FALSE)&gt;=main!$D$103+VLOOKUP(VLOOKUP(CR$1,main!$A$3:$I$102,7,FALSE),main!$K$26:$Q$29,3,FALSE),1,0)</f>
        <v>0</v>
      </c>
      <c r="CS45">
        <f>IF(VLOOKUP(CS$1,main!$A$3:$H$102,5,FALSE)-VLOOKUP($A45,main!$A$3:$H$102,6,FALSE)&gt;=main!$D$103+VLOOKUP(VLOOKUP(CS$1,main!$A$3:$I$102,7,FALSE),main!$K$26:$Q$29,3,FALSE),1,0)</f>
        <v>0</v>
      </c>
      <c r="CT45">
        <f>IF(VLOOKUP(CT$1,main!$A$3:$H$102,5,FALSE)-VLOOKUP($A45,main!$A$3:$H$102,6,FALSE)&gt;=main!$D$103+VLOOKUP(VLOOKUP(CT$1,main!$A$3:$I$102,7,FALSE),main!$K$26:$Q$29,3,FALSE),1,0)</f>
        <v>0</v>
      </c>
      <c r="CU45">
        <f>IF(VLOOKUP(CU$1,main!$A$3:$H$102,5,FALSE)-VLOOKUP($A45,main!$A$3:$H$102,6,FALSE)&gt;=main!$D$103+VLOOKUP(VLOOKUP(CU$1,main!$A$3:$I$102,7,FALSE),main!$K$26:$Q$29,3,FALSE),1,0)</f>
        <v>0</v>
      </c>
      <c r="CV45">
        <f>IF(VLOOKUP(CV$1,main!$A$3:$H$102,5,FALSE)-VLOOKUP($A45,main!$A$3:$H$102,6,FALSE)&gt;=main!$D$103+VLOOKUP(VLOOKUP(CV$1,main!$A$3:$I$102,7,FALSE),main!$K$26:$Q$29,3,FALSE),1,0)</f>
        <v>0</v>
      </c>
      <c r="CW45">
        <f>IF(VLOOKUP(CW$1,main!$A$3:$H$102,5,FALSE)-VLOOKUP($A45,main!$A$3:$H$102,6,FALSE)&gt;=main!$D$103+VLOOKUP(VLOOKUP(CW$1,main!$A$3:$I$102,7,FALSE),main!$K$26:$Q$29,3,FALSE),1,0)</f>
        <v>0</v>
      </c>
      <c r="CX45">
        <f>IF(VLOOKUP(CX$1,main!$A$3:$H$102,5,FALSE)-VLOOKUP($A45,main!$A$3:$H$102,6,FALSE)&gt;=main!$D$103+VLOOKUP(VLOOKUP(CX$1,main!$A$3:$I$102,7,FALSE),main!$K$26:$Q$29,3,FALSE),1,0)</f>
        <v>1</v>
      </c>
    </row>
    <row r="46" spans="1:102" x14ac:dyDescent="0.25">
      <c r="A46" s="1">
        <v>44</v>
      </c>
      <c r="B46">
        <v>0</v>
      </c>
      <c r="C46">
        <f>IF(VLOOKUP(C$1,main!$A$3:$H$102,5,FALSE)-VLOOKUP($A46,main!$A$3:$H$102,6,FALSE)&gt;=main!$D$103+VLOOKUP(VLOOKUP(C$1,main!$A$3:$I$102,7,FALSE),main!$K$26:$Q$29,3,FALSE),1,0)</f>
        <v>0</v>
      </c>
      <c r="D46">
        <f>IF(VLOOKUP(D$1,main!$A$3:$H$102,5,FALSE)-VLOOKUP($A46,main!$A$3:$H$102,6,FALSE)&gt;=main!$D$103+VLOOKUP(VLOOKUP(D$1,main!$A$3:$I$102,7,FALSE),main!$K$26:$Q$29,3,FALSE),1,0)</f>
        <v>0</v>
      </c>
      <c r="E46">
        <f>IF(VLOOKUP(E$1,main!$A$3:$H$102,5,FALSE)-VLOOKUP($A46,main!$A$3:$H$102,6,FALSE)&gt;=main!$D$103+VLOOKUP(VLOOKUP(E$1,main!$A$3:$I$102,7,FALSE),main!$K$26:$Q$29,3,FALSE),1,0)</f>
        <v>0</v>
      </c>
      <c r="F46">
        <f>IF(VLOOKUP(F$1,main!$A$3:$H$102,5,FALSE)-VLOOKUP($A46,main!$A$3:$H$102,6,FALSE)&gt;=main!$D$103+VLOOKUP(VLOOKUP(F$1,main!$A$3:$I$102,7,FALSE),main!$K$26:$Q$29,3,FALSE),1,0)</f>
        <v>0</v>
      </c>
      <c r="G46">
        <f>IF(VLOOKUP(G$1,main!$A$3:$H$102,5,FALSE)-VLOOKUP($A46,main!$A$3:$H$102,6,FALSE)&gt;=main!$D$103+VLOOKUP(VLOOKUP(G$1,main!$A$3:$I$102,7,FALSE),main!$K$26:$Q$29,3,FALSE),1,0)</f>
        <v>0</v>
      </c>
      <c r="H46">
        <f>IF(VLOOKUP(H$1,main!$A$3:$H$102,5,FALSE)-VLOOKUP($A46,main!$A$3:$H$102,6,FALSE)&gt;=main!$D$103+VLOOKUP(VLOOKUP(H$1,main!$A$3:$I$102,7,FALSE),main!$K$26:$Q$29,3,FALSE),1,0)</f>
        <v>0</v>
      </c>
      <c r="I46">
        <f>IF(VLOOKUP(I$1,main!$A$3:$H$102,5,FALSE)-VLOOKUP($A46,main!$A$3:$H$102,6,FALSE)&gt;=main!$D$103+VLOOKUP(VLOOKUP(I$1,main!$A$3:$I$102,7,FALSE),main!$K$26:$Q$29,3,FALSE),1,0)</f>
        <v>0</v>
      </c>
      <c r="J46">
        <f>IF(VLOOKUP(J$1,main!$A$3:$H$102,5,FALSE)-VLOOKUP($A46,main!$A$3:$H$102,6,FALSE)&gt;=main!$D$103+VLOOKUP(VLOOKUP(J$1,main!$A$3:$I$102,7,FALSE),main!$K$26:$Q$29,3,FALSE),1,0)</f>
        <v>0</v>
      </c>
      <c r="K46">
        <f>IF(VLOOKUP(K$1,main!$A$3:$H$102,5,FALSE)-VLOOKUP($A46,main!$A$3:$H$102,6,FALSE)&gt;=main!$D$103+VLOOKUP(VLOOKUP(K$1,main!$A$3:$I$102,7,FALSE),main!$K$26:$Q$29,3,FALSE),1,0)</f>
        <v>0</v>
      </c>
      <c r="L46">
        <f>IF(VLOOKUP(L$1,main!$A$3:$H$102,5,FALSE)-VLOOKUP($A46,main!$A$3:$H$102,6,FALSE)&gt;=main!$D$103+VLOOKUP(VLOOKUP(L$1,main!$A$3:$I$102,7,FALSE),main!$K$26:$Q$29,3,FALSE),1,0)</f>
        <v>0</v>
      </c>
      <c r="M46">
        <f>IF(VLOOKUP(M$1,main!$A$3:$H$102,5,FALSE)-VLOOKUP($A46,main!$A$3:$H$102,6,FALSE)&gt;=main!$D$103+VLOOKUP(VLOOKUP(M$1,main!$A$3:$I$102,7,FALSE),main!$K$26:$Q$29,3,FALSE),1,0)</f>
        <v>0</v>
      </c>
      <c r="N46">
        <f>IF(VLOOKUP(N$1,main!$A$3:$H$102,5,FALSE)-VLOOKUP($A46,main!$A$3:$H$102,6,FALSE)&gt;=main!$D$103+VLOOKUP(VLOOKUP(N$1,main!$A$3:$I$102,7,FALSE),main!$K$26:$Q$29,3,FALSE),1,0)</f>
        <v>0</v>
      </c>
      <c r="O46">
        <f>IF(VLOOKUP(O$1,main!$A$3:$H$102,5,FALSE)-VLOOKUP($A46,main!$A$3:$H$102,6,FALSE)&gt;=main!$D$103+VLOOKUP(VLOOKUP(O$1,main!$A$3:$I$102,7,FALSE),main!$K$26:$Q$29,3,FALSE),1,0)</f>
        <v>0</v>
      </c>
      <c r="P46">
        <f>IF(VLOOKUP(P$1,main!$A$3:$H$102,5,FALSE)-VLOOKUP($A46,main!$A$3:$H$102,6,FALSE)&gt;=main!$D$103+VLOOKUP(VLOOKUP(P$1,main!$A$3:$I$102,7,FALSE),main!$K$26:$Q$29,3,FALSE),1,0)</f>
        <v>0</v>
      </c>
      <c r="Q46">
        <f>IF(VLOOKUP(Q$1,main!$A$3:$H$102,5,FALSE)-VLOOKUP($A46,main!$A$3:$H$102,6,FALSE)&gt;=main!$D$103+VLOOKUP(VLOOKUP(Q$1,main!$A$3:$I$102,7,FALSE),main!$K$26:$Q$29,3,FALSE),1,0)</f>
        <v>0</v>
      </c>
      <c r="R46">
        <f>IF(VLOOKUP(R$1,main!$A$3:$H$102,5,FALSE)-VLOOKUP($A46,main!$A$3:$H$102,6,FALSE)&gt;=main!$D$103+VLOOKUP(VLOOKUP(R$1,main!$A$3:$I$102,7,FALSE),main!$K$26:$Q$29,3,FALSE),1,0)</f>
        <v>0</v>
      </c>
      <c r="S46">
        <f>IF(VLOOKUP(S$1,main!$A$3:$H$102,5,FALSE)-VLOOKUP($A46,main!$A$3:$H$102,6,FALSE)&gt;=main!$D$103+VLOOKUP(VLOOKUP(S$1,main!$A$3:$I$102,7,FALSE),main!$K$26:$Q$29,3,FALSE),1,0)</f>
        <v>0</v>
      </c>
      <c r="T46">
        <f>IF(VLOOKUP(T$1,main!$A$3:$H$102,5,FALSE)-VLOOKUP($A46,main!$A$3:$H$102,6,FALSE)&gt;=main!$D$103+VLOOKUP(VLOOKUP(T$1,main!$A$3:$I$102,7,FALSE),main!$K$26:$Q$29,3,FALSE),1,0)</f>
        <v>0</v>
      </c>
      <c r="U46">
        <f>IF(VLOOKUP(U$1,main!$A$3:$H$102,5,FALSE)-VLOOKUP($A46,main!$A$3:$H$102,6,FALSE)&gt;=main!$D$103+VLOOKUP(VLOOKUP(U$1,main!$A$3:$I$102,7,FALSE),main!$K$26:$Q$29,3,FALSE),1,0)</f>
        <v>0</v>
      </c>
      <c r="V46">
        <f>IF(VLOOKUP(V$1,main!$A$3:$H$102,5,FALSE)-VLOOKUP($A46,main!$A$3:$H$102,6,FALSE)&gt;=main!$D$103+VLOOKUP(VLOOKUP(V$1,main!$A$3:$I$102,7,FALSE),main!$K$26:$Q$29,3,FALSE),1,0)</f>
        <v>1</v>
      </c>
      <c r="W46">
        <f>IF(VLOOKUP(W$1,main!$A$3:$H$102,5,FALSE)-VLOOKUP($A46,main!$A$3:$H$102,6,FALSE)&gt;=main!$D$103+VLOOKUP(VLOOKUP(W$1,main!$A$3:$I$102,7,FALSE),main!$K$26:$Q$29,3,FALSE),1,0)</f>
        <v>0</v>
      </c>
      <c r="X46">
        <f>IF(VLOOKUP(X$1,main!$A$3:$H$102,5,FALSE)-VLOOKUP($A46,main!$A$3:$H$102,6,FALSE)&gt;=main!$D$103+VLOOKUP(VLOOKUP(X$1,main!$A$3:$I$102,7,FALSE),main!$K$26:$Q$29,3,FALSE),1,0)</f>
        <v>0</v>
      </c>
      <c r="Y46">
        <f>IF(VLOOKUP(Y$1,main!$A$3:$H$102,5,FALSE)-VLOOKUP($A46,main!$A$3:$H$102,6,FALSE)&gt;=main!$D$103+VLOOKUP(VLOOKUP(Y$1,main!$A$3:$I$102,7,FALSE),main!$K$26:$Q$29,3,FALSE),1,0)</f>
        <v>0</v>
      </c>
      <c r="Z46">
        <f>IF(VLOOKUP(Z$1,main!$A$3:$H$102,5,FALSE)-VLOOKUP($A46,main!$A$3:$H$102,6,FALSE)&gt;=main!$D$103+VLOOKUP(VLOOKUP(Z$1,main!$A$3:$I$102,7,FALSE),main!$K$26:$Q$29,3,FALSE),1,0)</f>
        <v>0</v>
      </c>
      <c r="AA46">
        <f>IF(VLOOKUP(AA$1,main!$A$3:$H$102,5,FALSE)-VLOOKUP($A46,main!$A$3:$H$102,6,FALSE)&gt;=main!$D$103+VLOOKUP(VLOOKUP(AA$1,main!$A$3:$I$102,7,FALSE),main!$K$26:$Q$29,3,FALSE),1,0)</f>
        <v>0</v>
      </c>
      <c r="AB46">
        <f>IF(VLOOKUP(AB$1,main!$A$3:$H$102,5,FALSE)-VLOOKUP($A46,main!$A$3:$H$102,6,FALSE)&gt;=main!$D$103+VLOOKUP(VLOOKUP(AB$1,main!$A$3:$I$102,7,FALSE),main!$K$26:$Q$29,3,FALSE),1,0)</f>
        <v>0</v>
      </c>
      <c r="AC46">
        <f>IF(VLOOKUP(AC$1,main!$A$3:$H$102,5,FALSE)-VLOOKUP($A46,main!$A$3:$H$102,6,FALSE)&gt;=main!$D$103+VLOOKUP(VLOOKUP(AC$1,main!$A$3:$I$102,7,FALSE),main!$K$26:$Q$29,3,FALSE),1,0)</f>
        <v>0</v>
      </c>
      <c r="AD46">
        <f>IF(VLOOKUP(AD$1,main!$A$3:$H$102,5,FALSE)-VLOOKUP($A46,main!$A$3:$H$102,6,FALSE)&gt;=main!$D$103+VLOOKUP(VLOOKUP(AD$1,main!$A$3:$I$102,7,FALSE),main!$K$26:$Q$29,3,FALSE),1,0)</f>
        <v>0</v>
      </c>
      <c r="AE46">
        <f>IF(VLOOKUP(AE$1,main!$A$3:$H$102,5,FALSE)-VLOOKUP($A46,main!$A$3:$H$102,6,FALSE)&gt;=main!$D$103+VLOOKUP(VLOOKUP(AE$1,main!$A$3:$I$102,7,FALSE),main!$K$26:$Q$29,3,FALSE),1,0)</f>
        <v>0</v>
      </c>
      <c r="AF46">
        <f>IF(VLOOKUP(AF$1,main!$A$3:$H$102,5,FALSE)-VLOOKUP($A46,main!$A$3:$H$102,6,FALSE)&gt;=main!$D$103+VLOOKUP(VLOOKUP(AF$1,main!$A$3:$I$102,7,FALSE),main!$K$26:$Q$29,3,FALSE),1,0)</f>
        <v>0</v>
      </c>
      <c r="AG46">
        <f>IF(VLOOKUP(AG$1,main!$A$3:$H$102,5,FALSE)-VLOOKUP($A46,main!$A$3:$H$102,6,FALSE)&gt;=main!$D$103+VLOOKUP(VLOOKUP(AG$1,main!$A$3:$I$102,7,FALSE),main!$K$26:$Q$29,3,FALSE),1,0)</f>
        <v>0</v>
      </c>
      <c r="AH46">
        <f>IF(VLOOKUP(AH$1,main!$A$3:$H$102,5,FALSE)-VLOOKUP($A46,main!$A$3:$H$102,6,FALSE)&gt;=main!$D$103+VLOOKUP(VLOOKUP(AH$1,main!$A$3:$I$102,7,FALSE),main!$K$26:$Q$29,3,FALSE),1,0)</f>
        <v>0</v>
      </c>
      <c r="AI46">
        <f>IF(VLOOKUP(AI$1,main!$A$3:$H$102,5,FALSE)-VLOOKUP($A46,main!$A$3:$H$102,6,FALSE)&gt;=main!$D$103+VLOOKUP(VLOOKUP(AI$1,main!$A$3:$I$102,7,FALSE),main!$K$26:$Q$29,3,FALSE),1,0)</f>
        <v>0</v>
      </c>
      <c r="AJ46">
        <f>IF(VLOOKUP(AJ$1,main!$A$3:$H$102,5,FALSE)-VLOOKUP($A46,main!$A$3:$H$102,6,FALSE)&gt;=main!$D$103+VLOOKUP(VLOOKUP(AJ$1,main!$A$3:$I$102,7,FALSE),main!$K$26:$Q$29,3,FALSE),1,0)</f>
        <v>0</v>
      </c>
      <c r="AK46">
        <f>IF(VLOOKUP(AK$1,main!$A$3:$H$102,5,FALSE)-VLOOKUP($A46,main!$A$3:$H$102,6,FALSE)&gt;=main!$D$103+VLOOKUP(VLOOKUP(AK$1,main!$A$3:$I$102,7,FALSE),main!$K$26:$Q$29,3,FALSE),1,0)</f>
        <v>0</v>
      </c>
      <c r="AL46">
        <f>IF(VLOOKUP(AL$1,main!$A$3:$H$102,5,FALSE)-VLOOKUP($A46,main!$A$3:$H$102,6,FALSE)&gt;=main!$D$103+VLOOKUP(VLOOKUP(AL$1,main!$A$3:$I$102,7,FALSE),main!$K$26:$Q$29,3,FALSE),1,0)</f>
        <v>0</v>
      </c>
      <c r="AM46">
        <f>IF(VLOOKUP(AM$1,main!$A$3:$H$102,5,FALSE)-VLOOKUP($A46,main!$A$3:$H$102,6,FALSE)&gt;=main!$D$103+VLOOKUP(VLOOKUP(AM$1,main!$A$3:$I$102,7,FALSE),main!$K$26:$Q$29,3,FALSE),1,0)</f>
        <v>0</v>
      </c>
      <c r="AN46">
        <f>IF(VLOOKUP(AN$1,main!$A$3:$H$102,5,FALSE)-VLOOKUP($A46,main!$A$3:$H$102,6,FALSE)&gt;=main!$D$103+VLOOKUP(VLOOKUP(AN$1,main!$A$3:$I$102,7,FALSE),main!$K$26:$Q$29,3,FALSE),1,0)</f>
        <v>0</v>
      </c>
      <c r="AO46">
        <f>IF(VLOOKUP(AO$1,main!$A$3:$H$102,5,FALSE)-VLOOKUP($A46,main!$A$3:$H$102,6,FALSE)&gt;=main!$D$103+VLOOKUP(VLOOKUP(AO$1,main!$A$3:$I$102,7,FALSE),main!$K$26:$Q$29,3,FALSE),1,0)</f>
        <v>0</v>
      </c>
      <c r="AP46">
        <f>IF(VLOOKUP(AP$1,main!$A$3:$H$102,5,FALSE)-VLOOKUP($A46,main!$A$3:$H$102,6,FALSE)&gt;=main!$D$103+VLOOKUP(VLOOKUP(AP$1,main!$A$3:$I$102,7,FALSE),main!$K$26:$Q$29,3,FALSE),1,0)</f>
        <v>0</v>
      </c>
      <c r="AQ46">
        <f>IF(VLOOKUP(AQ$1,main!$A$3:$H$102,5,FALSE)-VLOOKUP($A46,main!$A$3:$H$102,6,FALSE)&gt;=main!$D$103+VLOOKUP(VLOOKUP(AQ$1,main!$A$3:$I$102,7,FALSE),main!$K$26:$Q$29,3,FALSE),1,0)</f>
        <v>0</v>
      </c>
      <c r="AR46">
        <f>IF(VLOOKUP(AR$1,main!$A$3:$H$102,5,FALSE)-VLOOKUP($A46,main!$A$3:$H$102,6,FALSE)&gt;=main!$D$103+VLOOKUP(VLOOKUP(AR$1,main!$A$3:$I$102,7,FALSE),main!$K$26:$Q$29,3,FALSE),1,0)</f>
        <v>0</v>
      </c>
      <c r="AS46">
        <f>IF(VLOOKUP(AS$1,main!$A$3:$H$102,5,FALSE)-VLOOKUP($A46,main!$A$3:$H$102,6,FALSE)&gt;=main!$D$103+VLOOKUP(VLOOKUP(AS$1,main!$A$3:$I$102,7,FALSE),main!$K$26:$Q$29,3,FALSE),1,0)</f>
        <v>0</v>
      </c>
      <c r="AT46">
        <f>IF(VLOOKUP(AT$1,main!$A$3:$H$102,5,FALSE)-VLOOKUP($A46,main!$A$3:$H$102,6,FALSE)&gt;=main!$D$103+VLOOKUP(VLOOKUP(AT$1,main!$A$3:$I$102,7,FALSE),main!$K$26:$Q$29,3,FALSE),1,0)</f>
        <v>0</v>
      </c>
      <c r="AU46">
        <f>IF(VLOOKUP(AU$1,main!$A$3:$H$102,5,FALSE)-VLOOKUP($A46,main!$A$3:$H$102,6,FALSE)&gt;=main!$D$103+VLOOKUP(VLOOKUP(AU$1,main!$A$3:$I$102,7,FALSE),main!$K$26:$Q$29,3,FALSE),1,0)</f>
        <v>0</v>
      </c>
      <c r="AV46">
        <f>IF(VLOOKUP(AV$1,main!$A$3:$H$102,5,FALSE)-VLOOKUP($A46,main!$A$3:$H$102,6,FALSE)&gt;=main!$D$103+VLOOKUP(VLOOKUP(AV$1,main!$A$3:$I$102,7,FALSE),main!$K$26:$Q$29,3,FALSE),1,0)</f>
        <v>0</v>
      </c>
      <c r="AW46">
        <f>IF(VLOOKUP(AW$1,main!$A$3:$H$102,5,FALSE)-VLOOKUP($A46,main!$A$3:$H$102,6,FALSE)&gt;=main!$D$103+VLOOKUP(VLOOKUP(AW$1,main!$A$3:$I$102,7,FALSE),main!$K$26:$Q$29,3,FALSE),1,0)</f>
        <v>0</v>
      </c>
      <c r="AX46">
        <f>IF(VLOOKUP(AX$1,main!$A$3:$H$102,5,FALSE)-VLOOKUP($A46,main!$A$3:$H$102,6,FALSE)&gt;=main!$D$103+VLOOKUP(VLOOKUP(AX$1,main!$A$3:$I$102,7,FALSE),main!$K$26:$Q$29,3,FALSE),1,0)</f>
        <v>0</v>
      </c>
      <c r="AY46">
        <f>IF(VLOOKUP(AY$1,main!$A$3:$H$102,5,FALSE)-VLOOKUP($A46,main!$A$3:$H$102,6,FALSE)&gt;=main!$D$103+VLOOKUP(VLOOKUP(AY$1,main!$A$3:$I$102,7,FALSE),main!$K$26:$Q$29,3,FALSE),1,0)</f>
        <v>0</v>
      </c>
      <c r="AZ46">
        <f>IF(VLOOKUP(AZ$1,main!$A$3:$H$102,5,FALSE)-VLOOKUP($A46,main!$A$3:$H$102,6,FALSE)&gt;=main!$D$103+VLOOKUP(VLOOKUP(AZ$1,main!$A$3:$I$102,7,FALSE),main!$K$26:$Q$29,3,FALSE),1,0)</f>
        <v>0</v>
      </c>
      <c r="BA46">
        <f>IF(VLOOKUP(BA$1,main!$A$3:$H$102,5,FALSE)-VLOOKUP($A46,main!$A$3:$H$102,6,FALSE)&gt;=main!$D$103+VLOOKUP(VLOOKUP(BA$1,main!$A$3:$I$102,7,FALSE),main!$K$26:$Q$29,3,FALSE),1,0)</f>
        <v>0</v>
      </c>
      <c r="BB46">
        <f>IF(VLOOKUP(BB$1,main!$A$3:$H$102,5,FALSE)-VLOOKUP($A46,main!$A$3:$H$102,6,FALSE)&gt;=main!$D$103+VLOOKUP(VLOOKUP(BB$1,main!$A$3:$I$102,7,FALSE),main!$K$26:$Q$29,3,FALSE),1,0)</f>
        <v>0</v>
      </c>
      <c r="BC46">
        <f>IF(VLOOKUP(BC$1,main!$A$3:$H$102,5,FALSE)-VLOOKUP($A46,main!$A$3:$H$102,6,FALSE)&gt;=main!$D$103+VLOOKUP(VLOOKUP(BC$1,main!$A$3:$I$102,7,FALSE),main!$K$26:$Q$29,3,FALSE),1,0)</f>
        <v>0</v>
      </c>
      <c r="BD46">
        <f>IF(VLOOKUP(BD$1,main!$A$3:$H$102,5,FALSE)-VLOOKUP($A46,main!$A$3:$H$102,6,FALSE)&gt;=main!$D$103+VLOOKUP(VLOOKUP(BD$1,main!$A$3:$I$102,7,FALSE),main!$K$26:$Q$29,3,FALSE),1,0)</f>
        <v>0</v>
      </c>
      <c r="BE46">
        <f>IF(VLOOKUP(BE$1,main!$A$3:$H$102,5,FALSE)-VLOOKUP($A46,main!$A$3:$H$102,6,FALSE)&gt;=main!$D$103+VLOOKUP(VLOOKUP(BE$1,main!$A$3:$I$102,7,FALSE),main!$K$26:$Q$29,3,FALSE),1,0)</f>
        <v>0</v>
      </c>
      <c r="BF46">
        <f>IF(VLOOKUP(BF$1,main!$A$3:$H$102,5,FALSE)-VLOOKUP($A46,main!$A$3:$H$102,6,FALSE)&gt;=main!$D$103+VLOOKUP(VLOOKUP(BF$1,main!$A$3:$I$102,7,FALSE),main!$K$26:$Q$29,3,FALSE),1,0)</f>
        <v>0</v>
      </c>
      <c r="BG46">
        <f>IF(VLOOKUP(BG$1,main!$A$3:$H$102,5,FALSE)-VLOOKUP($A46,main!$A$3:$H$102,6,FALSE)&gt;=main!$D$103+VLOOKUP(VLOOKUP(BG$1,main!$A$3:$I$102,7,FALSE),main!$K$26:$Q$29,3,FALSE),1,0)</f>
        <v>0</v>
      </c>
      <c r="BH46">
        <f>IF(VLOOKUP(BH$1,main!$A$3:$H$102,5,FALSE)-VLOOKUP($A46,main!$A$3:$H$102,6,FALSE)&gt;=main!$D$103+VLOOKUP(VLOOKUP(BH$1,main!$A$3:$I$102,7,FALSE),main!$K$26:$Q$29,3,FALSE),1,0)</f>
        <v>0</v>
      </c>
      <c r="BI46">
        <f>IF(VLOOKUP(BI$1,main!$A$3:$H$102,5,FALSE)-VLOOKUP($A46,main!$A$3:$H$102,6,FALSE)&gt;=main!$D$103+VLOOKUP(VLOOKUP(BI$1,main!$A$3:$I$102,7,FALSE),main!$K$26:$Q$29,3,FALSE),1,0)</f>
        <v>1</v>
      </c>
      <c r="BJ46">
        <f>IF(VLOOKUP(BJ$1,main!$A$3:$H$102,5,FALSE)-VLOOKUP($A46,main!$A$3:$H$102,6,FALSE)&gt;=main!$D$103+VLOOKUP(VLOOKUP(BJ$1,main!$A$3:$I$102,7,FALSE),main!$K$26:$Q$29,3,FALSE),1,0)</f>
        <v>0</v>
      </c>
      <c r="BK46">
        <f>IF(VLOOKUP(BK$1,main!$A$3:$H$102,5,FALSE)-VLOOKUP($A46,main!$A$3:$H$102,6,FALSE)&gt;=main!$D$103+VLOOKUP(VLOOKUP(BK$1,main!$A$3:$I$102,7,FALSE),main!$K$26:$Q$29,3,FALSE),1,0)</f>
        <v>0</v>
      </c>
      <c r="BL46">
        <f>IF(VLOOKUP(BL$1,main!$A$3:$H$102,5,FALSE)-VLOOKUP($A46,main!$A$3:$H$102,6,FALSE)&gt;=main!$D$103+VLOOKUP(VLOOKUP(BL$1,main!$A$3:$I$102,7,FALSE),main!$K$26:$Q$29,3,FALSE),1,0)</f>
        <v>0</v>
      </c>
      <c r="BM46">
        <f>IF(VLOOKUP(BM$1,main!$A$3:$H$102,5,FALSE)-VLOOKUP($A46,main!$A$3:$H$102,6,FALSE)&gt;=main!$D$103+VLOOKUP(VLOOKUP(BM$1,main!$A$3:$I$102,7,FALSE),main!$K$26:$Q$29,3,FALSE),1,0)</f>
        <v>0</v>
      </c>
      <c r="BN46">
        <f>IF(VLOOKUP(BN$1,main!$A$3:$H$102,5,FALSE)-VLOOKUP($A46,main!$A$3:$H$102,6,FALSE)&gt;=main!$D$103+VLOOKUP(VLOOKUP(BN$1,main!$A$3:$I$102,7,FALSE),main!$K$26:$Q$29,3,FALSE),1,0)</f>
        <v>0</v>
      </c>
      <c r="BO46">
        <f>IF(VLOOKUP(BO$1,main!$A$3:$H$102,5,FALSE)-VLOOKUP($A46,main!$A$3:$H$102,6,FALSE)&gt;=main!$D$103+VLOOKUP(VLOOKUP(BO$1,main!$A$3:$I$102,7,FALSE),main!$K$26:$Q$29,3,FALSE),1,0)</f>
        <v>0</v>
      </c>
      <c r="BP46">
        <f>IF(VLOOKUP(BP$1,main!$A$3:$H$102,5,FALSE)-VLOOKUP($A46,main!$A$3:$H$102,6,FALSE)&gt;=main!$D$103+VLOOKUP(VLOOKUP(BP$1,main!$A$3:$I$102,7,FALSE),main!$K$26:$Q$29,3,FALSE),1,0)</f>
        <v>0</v>
      </c>
      <c r="BQ46">
        <f>IF(VLOOKUP(BQ$1,main!$A$3:$H$102,5,FALSE)-VLOOKUP($A46,main!$A$3:$H$102,6,FALSE)&gt;=main!$D$103+VLOOKUP(VLOOKUP(BQ$1,main!$A$3:$I$102,7,FALSE),main!$K$26:$Q$29,3,FALSE),1,0)</f>
        <v>0</v>
      </c>
      <c r="BR46">
        <f>IF(VLOOKUP(BR$1,main!$A$3:$H$102,5,FALSE)-VLOOKUP($A46,main!$A$3:$H$102,6,FALSE)&gt;=main!$D$103+VLOOKUP(VLOOKUP(BR$1,main!$A$3:$I$102,7,FALSE),main!$K$26:$Q$29,3,FALSE),1,0)</f>
        <v>0</v>
      </c>
      <c r="BS46">
        <f>IF(VLOOKUP(BS$1,main!$A$3:$H$102,5,FALSE)-VLOOKUP($A46,main!$A$3:$H$102,6,FALSE)&gt;=main!$D$103+VLOOKUP(VLOOKUP(BS$1,main!$A$3:$I$102,7,FALSE),main!$K$26:$Q$29,3,FALSE),1,0)</f>
        <v>0</v>
      </c>
      <c r="BT46">
        <f>IF(VLOOKUP(BT$1,main!$A$3:$H$102,5,FALSE)-VLOOKUP($A46,main!$A$3:$H$102,6,FALSE)&gt;=main!$D$103+VLOOKUP(VLOOKUP(BT$1,main!$A$3:$I$102,7,FALSE),main!$K$26:$Q$29,3,FALSE),1,0)</f>
        <v>0</v>
      </c>
      <c r="BU46">
        <f>IF(VLOOKUP(BU$1,main!$A$3:$H$102,5,FALSE)-VLOOKUP($A46,main!$A$3:$H$102,6,FALSE)&gt;=main!$D$103+VLOOKUP(VLOOKUP(BU$1,main!$A$3:$I$102,7,FALSE),main!$K$26:$Q$29,3,FALSE),1,0)</f>
        <v>0</v>
      </c>
      <c r="BV46">
        <f>IF(VLOOKUP(BV$1,main!$A$3:$H$102,5,FALSE)-VLOOKUP($A46,main!$A$3:$H$102,6,FALSE)&gt;=main!$D$103+VLOOKUP(VLOOKUP(BV$1,main!$A$3:$I$102,7,FALSE),main!$K$26:$Q$29,3,FALSE),1,0)</f>
        <v>0</v>
      </c>
      <c r="BW46">
        <f>IF(VLOOKUP(BW$1,main!$A$3:$H$102,5,FALSE)-VLOOKUP($A46,main!$A$3:$H$102,6,FALSE)&gt;=main!$D$103+VLOOKUP(VLOOKUP(BW$1,main!$A$3:$I$102,7,FALSE),main!$K$26:$Q$29,3,FALSE),1,0)</f>
        <v>0</v>
      </c>
      <c r="BX46">
        <f>IF(VLOOKUP(BX$1,main!$A$3:$H$102,5,FALSE)-VLOOKUP($A46,main!$A$3:$H$102,6,FALSE)&gt;=main!$D$103+VLOOKUP(VLOOKUP(BX$1,main!$A$3:$I$102,7,FALSE),main!$K$26:$Q$29,3,FALSE),1,0)</f>
        <v>0</v>
      </c>
      <c r="BY46">
        <f>IF(VLOOKUP(BY$1,main!$A$3:$H$102,5,FALSE)-VLOOKUP($A46,main!$A$3:$H$102,6,FALSE)&gt;=main!$D$103+VLOOKUP(VLOOKUP(BY$1,main!$A$3:$I$102,7,FALSE),main!$K$26:$Q$29,3,FALSE),1,0)</f>
        <v>0</v>
      </c>
      <c r="BZ46">
        <f>IF(VLOOKUP(BZ$1,main!$A$3:$H$102,5,FALSE)-VLOOKUP($A46,main!$A$3:$H$102,6,FALSE)&gt;=main!$D$103+VLOOKUP(VLOOKUP(BZ$1,main!$A$3:$I$102,7,FALSE),main!$K$26:$Q$29,3,FALSE),1,0)</f>
        <v>0</v>
      </c>
      <c r="CA46">
        <f>IF(VLOOKUP(CA$1,main!$A$3:$H$102,5,FALSE)-VLOOKUP($A46,main!$A$3:$H$102,6,FALSE)&gt;=main!$D$103+VLOOKUP(VLOOKUP(CA$1,main!$A$3:$I$102,7,FALSE),main!$K$26:$Q$29,3,FALSE),1,0)</f>
        <v>0</v>
      </c>
      <c r="CB46">
        <f>IF(VLOOKUP(CB$1,main!$A$3:$H$102,5,FALSE)-VLOOKUP($A46,main!$A$3:$H$102,6,FALSE)&gt;=main!$D$103+VLOOKUP(VLOOKUP(CB$1,main!$A$3:$I$102,7,FALSE),main!$K$26:$Q$29,3,FALSE),1,0)</f>
        <v>0</v>
      </c>
      <c r="CC46">
        <f>IF(VLOOKUP(CC$1,main!$A$3:$H$102,5,FALSE)-VLOOKUP($A46,main!$A$3:$H$102,6,FALSE)&gt;=main!$D$103+VLOOKUP(VLOOKUP(CC$1,main!$A$3:$I$102,7,FALSE),main!$K$26:$Q$29,3,FALSE),1,0)</f>
        <v>0</v>
      </c>
      <c r="CD46">
        <f>IF(VLOOKUP(CD$1,main!$A$3:$H$102,5,FALSE)-VLOOKUP($A46,main!$A$3:$H$102,6,FALSE)&gt;=main!$D$103+VLOOKUP(VLOOKUP(CD$1,main!$A$3:$I$102,7,FALSE),main!$K$26:$Q$29,3,FALSE),1,0)</f>
        <v>0</v>
      </c>
      <c r="CE46">
        <f>IF(VLOOKUP(CE$1,main!$A$3:$H$102,5,FALSE)-VLOOKUP($A46,main!$A$3:$H$102,6,FALSE)&gt;=main!$D$103+VLOOKUP(VLOOKUP(CE$1,main!$A$3:$I$102,7,FALSE),main!$K$26:$Q$29,3,FALSE),1,0)</f>
        <v>0</v>
      </c>
      <c r="CF46">
        <f>IF(VLOOKUP(CF$1,main!$A$3:$H$102,5,FALSE)-VLOOKUP($A46,main!$A$3:$H$102,6,FALSE)&gt;=main!$D$103+VLOOKUP(VLOOKUP(CF$1,main!$A$3:$I$102,7,FALSE),main!$K$26:$Q$29,3,FALSE),1,0)</f>
        <v>0</v>
      </c>
      <c r="CG46">
        <f>IF(VLOOKUP(CG$1,main!$A$3:$H$102,5,FALSE)-VLOOKUP($A46,main!$A$3:$H$102,6,FALSE)&gt;=main!$D$103+VLOOKUP(VLOOKUP(CG$1,main!$A$3:$I$102,7,FALSE),main!$K$26:$Q$29,3,FALSE),1,0)</f>
        <v>0</v>
      </c>
      <c r="CH46">
        <f>IF(VLOOKUP(CH$1,main!$A$3:$H$102,5,FALSE)-VLOOKUP($A46,main!$A$3:$H$102,6,FALSE)&gt;=main!$D$103+VLOOKUP(VLOOKUP(CH$1,main!$A$3:$I$102,7,FALSE),main!$K$26:$Q$29,3,FALSE),1,0)</f>
        <v>0</v>
      </c>
      <c r="CI46">
        <f>IF(VLOOKUP(CI$1,main!$A$3:$H$102,5,FALSE)-VLOOKUP($A46,main!$A$3:$H$102,6,FALSE)&gt;=main!$D$103+VLOOKUP(VLOOKUP(CI$1,main!$A$3:$I$102,7,FALSE),main!$K$26:$Q$29,3,FALSE),1,0)</f>
        <v>0</v>
      </c>
      <c r="CJ46">
        <f>IF(VLOOKUP(CJ$1,main!$A$3:$H$102,5,FALSE)-VLOOKUP($A46,main!$A$3:$H$102,6,FALSE)&gt;=main!$D$103+VLOOKUP(VLOOKUP(CJ$1,main!$A$3:$I$102,7,FALSE),main!$K$26:$Q$29,3,FALSE),1,0)</f>
        <v>0</v>
      </c>
      <c r="CK46">
        <f>IF(VLOOKUP(CK$1,main!$A$3:$H$102,5,FALSE)-VLOOKUP($A46,main!$A$3:$H$102,6,FALSE)&gt;=main!$D$103+VLOOKUP(VLOOKUP(CK$1,main!$A$3:$I$102,7,FALSE),main!$K$26:$Q$29,3,FALSE),1,0)</f>
        <v>0</v>
      </c>
      <c r="CL46">
        <f>IF(VLOOKUP(CL$1,main!$A$3:$H$102,5,FALSE)-VLOOKUP($A46,main!$A$3:$H$102,6,FALSE)&gt;=main!$D$103+VLOOKUP(VLOOKUP(CL$1,main!$A$3:$I$102,7,FALSE),main!$K$26:$Q$29,3,FALSE),1,0)</f>
        <v>0</v>
      </c>
      <c r="CM46">
        <f>IF(VLOOKUP(CM$1,main!$A$3:$H$102,5,FALSE)-VLOOKUP($A46,main!$A$3:$H$102,6,FALSE)&gt;=main!$D$103+VLOOKUP(VLOOKUP(CM$1,main!$A$3:$I$102,7,FALSE),main!$K$26:$Q$29,3,FALSE),1,0)</f>
        <v>0</v>
      </c>
      <c r="CN46">
        <f>IF(VLOOKUP(CN$1,main!$A$3:$H$102,5,FALSE)-VLOOKUP($A46,main!$A$3:$H$102,6,FALSE)&gt;=main!$D$103+VLOOKUP(VLOOKUP(CN$1,main!$A$3:$I$102,7,FALSE),main!$K$26:$Q$29,3,FALSE),1,0)</f>
        <v>0</v>
      </c>
      <c r="CO46">
        <f>IF(VLOOKUP(CO$1,main!$A$3:$H$102,5,FALSE)-VLOOKUP($A46,main!$A$3:$H$102,6,FALSE)&gt;=main!$D$103+VLOOKUP(VLOOKUP(CO$1,main!$A$3:$I$102,7,FALSE),main!$K$26:$Q$29,3,FALSE),1,0)</f>
        <v>0</v>
      </c>
      <c r="CP46">
        <f>IF(VLOOKUP(CP$1,main!$A$3:$H$102,5,FALSE)-VLOOKUP($A46,main!$A$3:$H$102,6,FALSE)&gt;=main!$D$103+VLOOKUP(VLOOKUP(CP$1,main!$A$3:$I$102,7,FALSE),main!$K$26:$Q$29,3,FALSE),1,0)</f>
        <v>0</v>
      </c>
      <c r="CQ46">
        <f>IF(VLOOKUP(CQ$1,main!$A$3:$H$102,5,FALSE)-VLOOKUP($A46,main!$A$3:$H$102,6,FALSE)&gt;=main!$D$103+VLOOKUP(VLOOKUP(CQ$1,main!$A$3:$I$102,7,FALSE),main!$K$26:$Q$29,3,FALSE),1,0)</f>
        <v>0</v>
      </c>
      <c r="CR46">
        <f>IF(VLOOKUP(CR$1,main!$A$3:$H$102,5,FALSE)-VLOOKUP($A46,main!$A$3:$H$102,6,FALSE)&gt;=main!$D$103+VLOOKUP(VLOOKUP(CR$1,main!$A$3:$I$102,7,FALSE),main!$K$26:$Q$29,3,FALSE),1,0)</f>
        <v>0</v>
      </c>
      <c r="CS46">
        <f>IF(VLOOKUP(CS$1,main!$A$3:$H$102,5,FALSE)-VLOOKUP($A46,main!$A$3:$H$102,6,FALSE)&gt;=main!$D$103+VLOOKUP(VLOOKUP(CS$1,main!$A$3:$I$102,7,FALSE),main!$K$26:$Q$29,3,FALSE),1,0)</f>
        <v>0</v>
      </c>
      <c r="CT46">
        <f>IF(VLOOKUP(CT$1,main!$A$3:$H$102,5,FALSE)-VLOOKUP($A46,main!$A$3:$H$102,6,FALSE)&gt;=main!$D$103+VLOOKUP(VLOOKUP(CT$1,main!$A$3:$I$102,7,FALSE),main!$K$26:$Q$29,3,FALSE),1,0)</f>
        <v>0</v>
      </c>
      <c r="CU46">
        <f>IF(VLOOKUP(CU$1,main!$A$3:$H$102,5,FALSE)-VLOOKUP($A46,main!$A$3:$H$102,6,FALSE)&gt;=main!$D$103+VLOOKUP(VLOOKUP(CU$1,main!$A$3:$I$102,7,FALSE),main!$K$26:$Q$29,3,FALSE),1,0)</f>
        <v>0</v>
      </c>
      <c r="CV46">
        <f>IF(VLOOKUP(CV$1,main!$A$3:$H$102,5,FALSE)-VLOOKUP($A46,main!$A$3:$H$102,6,FALSE)&gt;=main!$D$103+VLOOKUP(VLOOKUP(CV$1,main!$A$3:$I$102,7,FALSE),main!$K$26:$Q$29,3,FALSE),1,0)</f>
        <v>0</v>
      </c>
      <c r="CW46">
        <f>IF(VLOOKUP(CW$1,main!$A$3:$H$102,5,FALSE)-VLOOKUP($A46,main!$A$3:$H$102,6,FALSE)&gt;=main!$D$103+VLOOKUP(VLOOKUP(CW$1,main!$A$3:$I$102,7,FALSE),main!$K$26:$Q$29,3,FALSE),1,0)</f>
        <v>0</v>
      </c>
      <c r="CX46">
        <f>IF(VLOOKUP(CX$1,main!$A$3:$H$102,5,FALSE)-VLOOKUP($A46,main!$A$3:$H$102,6,FALSE)&gt;=main!$D$103+VLOOKUP(VLOOKUP(CX$1,main!$A$3:$I$102,7,FALSE),main!$K$26:$Q$29,3,FALSE),1,0)</f>
        <v>0</v>
      </c>
    </row>
    <row r="47" spans="1:102" x14ac:dyDescent="0.25">
      <c r="A47" s="1">
        <v>45</v>
      </c>
      <c r="B47">
        <v>0</v>
      </c>
      <c r="C47">
        <f>IF(VLOOKUP(C$1,main!$A$3:$H$102,5,FALSE)-VLOOKUP($A47,main!$A$3:$H$102,6,FALSE)&gt;=main!$D$103+VLOOKUP(VLOOKUP(C$1,main!$A$3:$I$102,7,FALSE),main!$K$26:$Q$29,3,FALSE),1,0)</f>
        <v>0</v>
      </c>
      <c r="D47">
        <f>IF(VLOOKUP(D$1,main!$A$3:$H$102,5,FALSE)-VLOOKUP($A47,main!$A$3:$H$102,6,FALSE)&gt;=main!$D$103+VLOOKUP(VLOOKUP(D$1,main!$A$3:$I$102,7,FALSE),main!$K$26:$Q$29,3,FALSE),1,0)</f>
        <v>0</v>
      </c>
      <c r="E47">
        <f>IF(VLOOKUP(E$1,main!$A$3:$H$102,5,FALSE)-VLOOKUP($A47,main!$A$3:$H$102,6,FALSE)&gt;=main!$D$103+VLOOKUP(VLOOKUP(E$1,main!$A$3:$I$102,7,FALSE),main!$K$26:$Q$29,3,FALSE),1,0)</f>
        <v>1</v>
      </c>
      <c r="F47">
        <f>IF(VLOOKUP(F$1,main!$A$3:$H$102,5,FALSE)-VLOOKUP($A47,main!$A$3:$H$102,6,FALSE)&gt;=main!$D$103+VLOOKUP(VLOOKUP(F$1,main!$A$3:$I$102,7,FALSE),main!$K$26:$Q$29,3,FALSE),1,0)</f>
        <v>1</v>
      </c>
      <c r="G47">
        <f>IF(VLOOKUP(G$1,main!$A$3:$H$102,5,FALSE)-VLOOKUP($A47,main!$A$3:$H$102,6,FALSE)&gt;=main!$D$103+VLOOKUP(VLOOKUP(G$1,main!$A$3:$I$102,7,FALSE),main!$K$26:$Q$29,3,FALSE),1,0)</f>
        <v>1</v>
      </c>
      <c r="H47">
        <f>IF(VLOOKUP(H$1,main!$A$3:$H$102,5,FALSE)-VLOOKUP($A47,main!$A$3:$H$102,6,FALSE)&gt;=main!$D$103+VLOOKUP(VLOOKUP(H$1,main!$A$3:$I$102,7,FALSE),main!$K$26:$Q$29,3,FALSE),1,0)</f>
        <v>1</v>
      </c>
      <c r="I47">
        <f>IF(VLOOKUP(I$1,main!$A$3:$H$102,5,FALSE)-VLOOKUP($A47,main!$A$3:$H$102,6,FALSE)&gt;=main!$D$103+VLOOKUP(VLOOKUP(I$1,main!$A$3:$I$102,7,FALSE),main!$K$26:$Q$29,3,FALSE),1,0)</f>
        <v>1</v>
      </c>
      <c r="J47">
        <f>IF(VLOOKUP(J$1,main!$A$3:$H$102,5,FALSE)-VLOOKUP($A47,main!$A$3:$H$102,6,FALSE)&gt;=main!$D$103+VLOOKUP(VLOOKUP(J$1,main!$A$3:$I$102,7,FALSE),main!$K$26:$Q$29,3,FALSE),1,0)</f>
        <v>1</v>
      </c>
      <c r="K47">
        <f>IF(VLOOKUP(K$1,main!$A$3:$H$102,5,FALSE)-VLOOKUP($A47,main!$A$3:$H$102,6,FALSE)&gt;=main!$D$103+VLOOKUP(VLOOKUP(K$1,main!$A$3:$I$102,7,FALSE),main!$K$26:$Q$29,3,FALSE),1,0)</f>
        <v>1</v>
      </c>
      <c r="L47">
        <f>IF(VLOOKUP(L$1,main!$A$3:$H$102,5,FALSE)-VLOOKUP($A47,main!$A$3:$H$102,6,FALSE)&gt;=main!$D$103+VLOOKUP(VLOOKUP(L$1,main!$A$3:$I$102,7,FALSE),main!$K$26:$Q$29,3,FALSE),1,0)</f>
        <v>1</v>
      </c>
      <c r="M47">
        <f>IF(VLOOKUP(M$1,main!$A$3:$H$102,5,FALSE)-VLOOKUP($A47,main!$A$3:$H$102,6,FALSE)&gt;=main!$D$103+VLOOKUP(VLOOKUP(M$1,main!$A$3:$I$102,7,FALSE),main!$K$26:$Q$29,3,FALSE),1,0)</f>
        <v>0</v>
      </c>
      <c r="N47">
        <f>IF(VLOOKUP(N$1,main!$A$3:$H$102,5,FALSE)-VLOOKUP($A47,main!$A$3:$H$102,6,FALSE)&gt;=main!$D$103+VLOOKUP(VLOOKUP(N$1,main!$A$3:$I$102,7,FALSE),main!$K$26:$Q$29,3,FALSE),1,0)</f>
        <v>0</v>
      </c>
      <c r="O47">
        <f>IF(VLOOKUP(O$1,main!$A$3:$H$102,5,FALSE)-VLOOKUP($A47,main!$A$3:$H$102,6,FALSE)&gt;=main!$D$103+VLOOKUP(VLOOKUP(O$1,main!$A$3:$I$102,7,FALSE),main!$K$26:$Q$29,3,FALSE),1,0)</f>
        <v>1</v>
      </c>
      <c r="P47">
        <f>IF(VLOOKUP(P$1,main!$A$3:$H$102,5,FALSE)-VLOOKUP($A47,main!$A$3:$H$102,6,FALSE)&gt;=main!$D$103+VLOOKUP(VLOOKUP(P$1,main!$A$3:$I$102,7,FALSE),main!$K$26:$Q$29,3,FALSE),1,0)</f>
        <v>1</v>
      </c>
      <c r="Q47">
        <f>IF(VLOOKUP(Q$1,main!$A$3:$H$102,5,FALSE)-VLOOKUP($A47,main!$A$3:$H$102,6,FALSE)&gt;=main!$D$103+VLOOKUP(VLOOKUP(Q$1,main!$A$3:$I$102,7,FALSE),main!$K$26:$Q$29,3,FALSE),1,0)</f>
        <v>1</v>
      </c>
      <c r="R47">
        <f>IF(VLOOKUP(R$1,main!$A$3:$H$102,5,FALSE)-VLOOKUP($A47,main!$A$3:$H$102,6,FALSE)&gt;=main!$D$103+VLOOKUP(VLOOKUP(R$1,main!$A$3:$I$102,7,FALSE),main!$K$26:$Q$29,3,FALSE),1,0)</f>
        <v>1</v>
      </c>
      <c r="S47">
        <f>IF(VLOOKUP(S$1,main!$A$3:$H$102,5,FALSE)-VLOOKUP($A47,main!$A$3:$H$102,6,FALSE)&gt;=main!$D$103+VLOOKUP(VLOOKUP(S$1,main!$A$3:$I$102,7,FALSE),main!$K$26:$Q$29,3,FALSE),1,0)</f>
        <v>1</v>
      </c>
      <c r="T47">
        <f>IF(VLOOKUP(T$1,main!$A$3:$H$102,5,FALSE)-VLOOKUP($A47,main!$A$3:$H$102,6,FALSE)&gt;=main!$D$103+VLOOKUP(VLOOKUP(T$1,main!$A$3:$I$102,7,FALSE),main!$K$26:$Q$29,3,FALSE),1,0)</f>
        <v>1</v>
      </c>
      <c r="U47">
        <f>IF(VLOOKUP(U$1,main!$A$3:$H$102,5,FALSE)-VLOOKUP($A47,main!$A$3:$H$102,6,FALSE)&gt;=main!$D$103+VLOOKUP(VLOOKUP(U$1,main!$A$3:$I$102,7,FALSE),main!$K$26:$Q$29,3,FALSE),1,0)</f>
        <v>1</v>
      </c>
      <c r="V47">
        <f>IF(VLOOKUP(V$1,main!$A$3:$H$102,5,FALSE)-VLOOKUP($A47,main!$A$3:$H$102,6,FALSE)&gt;=main!$D$103+VLOOKUP(VLOOKUP(V$1,main!$A$3:$I$102,7,FALSE),main!$K$26:$Q$29,3,FALSE),1,0)</f>
        <v>1</v>
      </c>
      <c r="W47">
        <f>IF(VLOOKUP(W$1,main!$A$3:$H$102,5,FALSE)-VLOOKUP($A47,main!$A$3:$H$102,6,FALSE)&gt;=main!$D$103+VLOOKUP(VLOOKUP(W$1,main!$A$3:$I$102,7,FALSE),main!$K$26:$Q$29,3,FALSE),1,0)</f>
        <v>0</v>
      </c>
      <c r="X47">
        <f>IF(VLOOKUP(X$1,main!$A$3:$H$102,5,FALSE)-VLOOKUP($A47,main!$A$3:$H$102,6,FALSE)&gt;=main!$D$103+VLOOKUP(VLOOKUP(X$1,main!$A$3:$I$102,7,FALSE),main!$K$26:$Q$29,3,FALSE),1,0)</f>
        <v>1</v>
      </c>
      <c r="Y47">
        <f>IF(VLOOKUP(Y$1,main!$A$3:$H$102,5,FALSE)-VLOOKUP($A47,main!$A$3:$H$102,6,FALSE)&gt;=main!$D$103+VLOOKUP(VLOOKUP(Y$1,main!$A$3:$I$102,7,FALSE),main!$K$26:$Q$29,3,FALSE),1,0)</f>
        <v>1</v>
      </c>
      <c r="Z47">
        <f>IF(VLOOKUP(Z$1,main!$A$3:$H$102,5,FALSE)-VLOOKUP($A47,main!$A$3:$H$102,6,FALSE)&gt;=main!$D$103+VLOOKUP(VLOOKUP(Z$1,main!$A$3:$I$102,7,FALSE),main!$K$26:$Q$29,3,FALSE),1,0)</f>
        <v>1</v>
      </c>
      <c r="AA47">
        <f>IF(VLOOKUP(AA$1,main!$A$3:$H$102,5,FALSE)-VLOOKUP($A47,main!$A$3:$H$102,6,FALSE)&gt;=main!$D$103+VLOOKUP(VLOOKUP(AA$1,main!$A$3:$I$102,7,FALSE),main!$K$26:$Q$29,3,FALSE),1,0)</f>
        <v>1</v>
      </c>
      <c r="AB47">
        <f>IF(VLOOKUP(AB$1,main!$A$3:$H$102,5,FALSE)-VLOOKUP($A47,main!$A$3:$H$102,6,FALSE)&gt;=main!$D$103+VLOOKUP(VLOOKUP(AB$1,main!$A$3:$I$102,7,FALSE),main!$K$26:$Q$29,3,FALSE),1,0)</f>
        <v>0</v>
      </c>
      <c r="AC47">
        <f>IF(VLOOKUP(AC$1,main!$A$3:$H$102,5,FALSE)-VLOOKUP($A47,main!$A$3:$H$102,6,FALSE)&gt;=main!$D$103+VLOOKUP(VLOOKUP(AC$1,main!$A$3:$I$102,7,FALSE),main!$K$26:$Q$29,3,FALSE),1,0)</f>
        <v>0</v>
      </c>
      <c r="AD47">
        <f>IF(VLOOKUP(AD$1,main!$A$3:$H$102,5,FALSE)-VLOOKUP($A47,main!$A$3:$H$102,6,FALSE)&gt;=main!$D$103+VLOOKUP(VLOOKUP(AD$1,main!$A$3:$I$102,7,FALSE),main!$K$26:$Q$29,3,FALSE),1,0)</f>
        <v>1</v>
      </c>
      <c r="AE47">
        <f>IF(VLOOKUP(AE$1,main!$A$3:$H$102,5,FALSE)-VLOOKUP($A47,main!$A$3:$H$102,6,FALSE)&gt;=main!$D$103+VLOOKUP(VLOOKUP(AE$1,main!$A$3:$I$102,7,FALSE),main!$K$26:$Q$29,3,FALSE),1,0)</f>
        <v>1</v>
      </c>
      <c r="AF47">
        <f>IF(VLOOKUP(AF$1,main!$A$3:$H$102,5,FALSE)-VLOOKUP($A47,main!$A$3:$H$102,6,FALSE)&gt;=main!$D$103+VLOOKUP(VLOOKUP(AF$1,main!$A$3:$I$102,7,FALSE),main!$K$26:$Q$29,3,FALSE),1,0)</f>
        <v>1</v>
      </c>
      <c r="AG47">
        <f>IF(VLOOKUP(AG$1,main!$A$3:$H$102,5,FALSE)-VLOOKUP($A47,main!$A$3:$H$102,6,FALSE)&gt;=main!$D$103+VLOOKUP(VLOOKUP(AG$1,main!$A$3:$I$102,7,FALSE),main!$K$26:$Q$29,3,FALSE),1,0)</f>
        <v>0</v>
      </c>
      <c r="AH47">
        <f>IF(VLOOKUP(AH$1,main!$A$3:$H$102,5,FALSE)-VLOOKUP($A47,main!$A$3:$H$102,6,FALSE)&gt;=main!$D$103+VLOOKUP(VLOOKUP(AH$1,main!$A$3:$I$102,7,FALSE),main!$K$26:$Q$29,3,FALSE),1,0)</f>
        <v>1</v>
      </c>
      <c r="AI47">
        <f>IF(VLOOKUP(AI$1,main!$A$3:$H$102,5,FALSE)-VLOOKUP($A47,main!$A$3:$H$102,6,FALSE)&gt;=main!$D$103+VLOOKUP(VLOOKUP(AI$1,main!$A$3:$I$102,7,FALSE),main!$K$26:$Q$29,3,FALSE),1,0)</f>
        <v>1</v>
      </c>
      <c r="AJ47">
        <f>IF(VLOOKUP(AJ$1,main!$A$3:$H$102,5,FALSE)-VLOOKUP($A47,main!$A$3:$H$102,6,FALSE)&gt;=main!$D$103+VLOOKUP(VLOOKUP(AJ$1,main!$A$3:$I$102,7,FALSE),main!$K$26:$Q$29,3,FALSE),1,0)</f>
        <v>1</v>
      </c>
      <c r="AK47">
        <f>IF(VLOOKUP(AK$1,main!$A$3:$H$102,5,FALSE)-VLOOKUP($A47,main!$A$3:$H$102,6,FALSE)&gt;=main!$D$103+VLOOKUP(VLOOKUP(AK$1,main!$A$3:$I$102,7,FALSE),main!$K$26:$Q$29,3,FALSE),1,0)</f>
        <v>1</v>
      </c>
      <c r="AL47">
        <f>IF(VLOOKUP(AL$1,main!$A$3:$H$102,5,FALSE)-VLOOKUP($A47,main!$A$3:$H$102,6,FALSE)&gt;=main!$D$103+VLOOKUP(VLOOKUP(AL$1,main!$A$3:$I$102,7,FALSE),main!$K$26:$Q$29,3,FALSE),1,0)</f>
        <v>1</v>
      </c>
      <c r="AM47">
        <f>IF(VLOOKUP(AM$1,main!$A$3:$H$102,5,FALSE)-VLOOKUP($A47,main!$A$3:$H$102,6,FALSE)&gt;=main!$D$103+VLOOKUP(VLOOKUP(AM$1,main!$A$3:$I$102,7,FALSE),main!$K$26:$Q$29,3,FALSE),1,0)</f>
        <v>1</v>
      </c>
      <c r="AN47">
        <f>IF(VLOOKUP(AN$1,main!$A$3:$H$102,5,FALSE)-VLOOKUP($A47,main!$A$3:$H$102,6,FALSE)&gt;=main!$D$103+VLOOKUP(VLOOKUP(AN$1,main!$A$3:$I$102,7,FALSE),main!$K$26:$Q$29,3,FALSE),1,0)</f>
        <v>1</v>
      </c>
      <c r="AO47">
        <f>IF(VLOOKUP(AO$1,main!$A$3:$H$102,5,FALSE)-VLOOKUP($A47,main!$A$3:$H$102,6,FALSE)&gt;=main!$D$103+VLOOKUP(VLOOKUP(AO$1,main!$A$3:$I$102,7,FALSE),main!$K$26:$Q$29,3,FALSE),1,0)</f>
        <v>0</v>
      </c>
      <c r="AP47">
        <f>IF(VLOOKUP(AP$1,main!$A$3:$H$102,5,FALSE)-VLOOKUP($A47,main!$A$3:$H$102,6,FALSE)&gt;=main!$D$103+VLOOKUP(VLOOKUP(AP$1,main!$A$3:$I$102,7,FALSE),main!$K$26:$Q$29,3,FALSE),1,0)</f>
        <v>1</v>
      </c>
      <c r="AQ47">
        <f>IF(VLOOKUP(AQ$1,main!$A$3:$H$102,5,FALSE)-VLOOKUP($A47,main!$A$3:$H$102,6,FALSE)&gt;=main!$D$103+VLOOKUP(VLOOKUP(AQ$1,main!$A$3:$I$102,7,FALSE),main!$K$26:$Q$29,3,FALSE),1,0)</f>
        <v>0</v>
      </c>
      <c r="AR47">
        <f>IF(VLOOKUP(AR$1,main!$A$3:$H$102,5,FALSE)-VLOOKUP($A47,main!$A$3:$H$102,6,FALSE)&gt;=main!$D$103+VLOOKUP(VLOOKUP(AR$1,main!$A$3:$I$102,7,FALSE),main!$K$26:$Q$29,3,FALSE),1,0)</f>
        <v>0</v>
      </c>
      <c r="AS47">
        <f>IF(VLOOKUP(AS$1,main!$A$3:$H$102,5,FALSE)-VLOOKUP($A47,main!$A$3:$H$102,6,FALSE)&gt;=main!$D$103+VLOOKUP(VLOOKUP(AS$1,main!$A$3:$I$102,7,FALSE),main!$K$26:$Q$29,3,FALSE),1,0)</f>
        <v>1</v>
      </c>
      <c r="AT47">
        <f>IF(VLOOKUP(AT$1,main!$A$3:$H$102,5,FALSE)-VLOOKUP($A47,main!$A$3:$H$102,6,FALSE)&gt;=main!$D$103+VLOOKUP(VLOOKUP(AT$1,main!$A$3:$I$102,7,FALSE),main!$K$26:$Q$29,3,FALSE),1,0)</f>
        <v>1</v>
      </c>
      <c r="AU47">
        <f>IF(VLOOKUP(AU$1,main!$A$3:$H$102,5,FALSE)-VLOOKUP($A47,main!$A$3:$H$102,6,FALSE)&gt;=main!$D$103+VLOOKUP(VLOOKUP(AU$1,main!$A$3:$I$102,7,FALSE),main!$K$26:$Q$29,3,FALSE),1,0)</f>
        <v>0</v>
      </c>
      <c r="AV47">
        <f>IF(VLOOKUP(AV$1,main!$A$3:$H$102,5,FALSE)-VLOOKUP($A47,main!$A$3:$H$102,6,FALSE)&gt;=main!$D$103+VLOOKUP(VLOOKUP(AV$1,main!$A$3:$I$102,7,FALSE),main!$K$26:$Q$29,3,FALSE),1,0)</f>
        <v>0</v>
      </c>
      <c r="AW47">
        <f>IF(VLOOKUP(AW$1,main!$A$3:$H$102,5,FALSE)-VLOOKUP($A47,main!$A$3:$H$102,6,FALSE)&gt;=main!$D$103+VLOOKUP(VLOOKUP(AW$1,main!$A$3:$I$102,7,FALSE),main!$K$26:$Q$29,3,FALSE),1,0)</f>
        <v>1</v>
      </c>
      <c r="AX47">
        <f>IF(VLOOKUP(AX$1,main!$A$3:$H$102,5,FALSE)-VLOOKUP($A47,main!$A$3:$H$102,6,FALSE)&gt;=main!$D$103+VLOOKUP(VLOOKUP(AX$1,main!$A$3:$I$102,7,FALSE),main!$K$26:$Q$29,3,FALSE),1,0)</f>
        <v>1</v>
      </c>
      <c r="AY47">
        <f>IF(VLOOKUP(AY$1,main!$A$3:$H$102,5,FALSE)-VLOOKUP($A47,main!$A$3:$H$102,6,FALSE)&gt;=main!$D$103+VLOOKUP(VLOOKUP(AY$1,main!$A$3:$I$102,7,FALSE),main!$K$26:$Q$29,3,FALSE),1,0)</f>
        <v>1</v>
      </c>
      <c r="AZ47">
        <f>IF(VLOOKUP(AZ$1,main!$A$3:$H$102,5,FALSE)-VLOOKUP($A47,main!$A$3:$H$102,6,FALSE)&gt;=main!$D$103+VLOOKUP(VLOOKUP(AZ$1,main!$A$3:$I$102,7,FALSE),main!$K$26:$Q$29,3,FALSE),1,0)</f>
        <v>1</v>
      </c>
      <c r="BA47">
        <f>IF(VLOOKUP(BA$1,main!$A$3:$H$102,5,FALSE)-VLOOKUP($A47,main!$A$3:$H$102,6,FALSE)&gt;=main!$D$103+VLOOKUP(VLOOKUP(BA$1,main!$A$3:$I$102,7,FALSE),main!$K$26:$Q$29,3,FALSE),1,0)</f>
        <v>0</v>
      </c>
      <c r="BB47">
        <f>IF(VLOOKUP(BB$1,main!$A$3:$H$102,5,FALSE)-VLOOKUP($A47,main!$A$3:$H$102,6,FALSE)&gt;=main!$D$103+VLOOKUP(VLOOKUP(BB$1,main!$A$3:$I$102,7,FALSE),main!$K$26:$Q$29,3,FALSE),1,0)</f>
        <v>1</v>
      </c>
      <c r="BC47">
        <f>IF(VLOOKUP(BC$1,main!$A$3:$H$102,5,FALSE)-VLOOKUP($A47,main!$A$3:$H$102,6,FALSE)&gt;=main!$D$103+VLOOKUP(VLOOKUP(BC$1,main!$A$3:$I$102,7,FALSE),main!$K$26:$Q$29,3,FALSE),1,0)</f>
        <v>1</v>
      </c>
      <c r="BD47">
        <f>IF(VLOOKUP(BD$1,main!$A$3:$H$102,5,FALSE)-VLOOKUP($A47,main!$A$3:$H$102,6,FALSE)&gt;=main!$D$103+VLOOKUP(VLOOKUP(BD$1,main!$A$3:$I$102,7,FALSE),main!$K$26:$Q$29,3,FALSE),1,0)</f>
        <v>1</v>
      </c>
      <c r="BE47">
        <f>IF(VLOOKUP(BE$1,main!$A$3:$H$102,5,FALSE)-VLOOKUP($A47,main!$A$3:$H$102,6,FALSE)&gt;=main!$D$103+VLOOKUP(VLOOKUP(BE$1,main!$A$3:$I$102,7,FALSE),main!$K$26:$Q$29,3,FALSE),1,0)</f>
        <v>1</v>
      </c>
      <c r="BF47">
        <f>IF(VLOOKUP(BF$1,main!$A$3:$H$102,5,FALSE)-VLOOKUP($A47,main!$A$3:$H$102,6,FALSE)&gt;=main!$D$103+VLOOKUP(VLOOKUP(BF$1,main!$A$3:$I$102,7,FALSE),main!$K$26:$Q$29,3,FALSE),1,0)</f>
        <v>0</v>
      </c>
      <c r="BG47">
        <f>IF(VLOOKUP(BG$1,main!$A$3:$H$102,5,FALSE)-VLOOKUP($A47,main!$A$3:$H$102,6,FALSE)&gt;=main!$D$103+VLOOKUP(VLOOKUP(BG$1,main!$A$3:$I$102,7,FALSE),main!$K$26:$Q$29,3,FALSE),1,0)</f>
        <v>1</v>
      </c>
      <c r="BH47">
        <f>IF(VLOOKUP(BH$1,main!$A$3:$H$102,5,FALSE)-VLOOKUP($A47,main!$A$3:$H$102,6,FALSE)&gt;=main!$D$103+VLOOKUP(VLOOKUP(BH$1,main!$A$3:$I$102,7,FALSE),main!$K$26:$Q$29,3,FALSE),1,0)</f>
        <v>1</v>
      </c>
      <c r="BI47">
        <f>IF(VLOOKUP(BI$1,main!$A$3:$H$102,5,FALSE)-VLOOKUP($A47,main!$A$3:$H$102,6,FALSE)&gt;=main!$D$103+VLOOKUP(VLOOKUP(BI$1,main!$A$3:$I$102,7,FALSE),main!$K$26:$Q$29,3,FALSE),1,0)</f>
        <v>1</v>
      </c>
      <c r="BJ47">
        <f>IF(VLOOKUP(BJ$1,main!$A$3:$H$102,5,FALSE)-VLOOKUP($A47,main!$A$3:$H$102,6,FALSE)&gt;=main!$D$103+VLOOKUP(VLOOKUP(BJ$1,main!$A$3:$I$102,7,FALSE),main!$K$26:$Q$29,3,FALSE),1,0)</f>
        <v>1</v>
      </c>
      <c r="BK47">
        <f>IF(VLOOKUP(BK$1,main!$A$3:$H$102,5,FALSE)-VLOOKUP($A47,main!$A$3:$H$102,6,FALSE)&gt;=main!$D$103+VLOOKUP(VLOOKUP(BK$1,main!$A$3:$I$102,7,FALSE),main!$K$26:$Q$29,3,FALSE),1,0)</f>
        <v>0</v>
      </c>
      <c r="BL47">
        <f>IF(VLOOKUP(BL$1,main!$A$3:$H$102,5,FALSE)-VLOOKUP($A47,main!$A$3:$H$102,6,FALSE)&gt;=main!$D$103+VLOOKUP(VLOOKUP(BL$1,main!$A$3:$I$102,7,FALSE),main!$K$26:$Q$29,3,FALSE),1,0)</f>
        <v>0</v>
      </c>
      <c r="BM47">
        <f>IF(VLOOKUP(BM$1,main!$A$3:$H$102,5,FALSE)-VLOOKUP($A47,main!$A$3:$H$102,6,FALSE)&gt;=main!$D$103+VLOOKUP(VLOOKUP(BM$1,main!$A$3:$I$102,7,FALSE),main!$K$26:$Q$29,3,FALSE),1,0)</f>
        <v>1</v>
      </c>
      <c r="BN47">
        <f>IF(VLOOKUP(BN$1,main!$A$3:$H$102,5,FALSE)-VLOOKUP($A47,main!$A$3:$H$102,6,FALSE)&gt;=main!$D$103+VLOOKUP(VLOOKUP(BN$1,main!$A$3:$I$102,7,FALSE),main!$K$26:$Q$29,3,FALSE),1,0)</f>
        <v>1</v>
      </c>
      <c r="BO47">
        <f>IF(VLOOKUP(BO$1,main!$A$3:$H$102,5,FALSE)-VLOOKUP($A47,main!$A$3:$H$102,6,FALSE)&gt;=main!$D$103+VLOOKUP(VLOOKUP(BO$1,main!$A$3:$I$102,7,FALSE),main!$K$26:$Q$29,3,FALSE),1,0)</f>
        <v>0</v>
      </c>
      <c r="BP47">
        <f>IF(VLOOKUP(BP$1,main!$A$3:$H$102,5,FALSE)-VLOOKUP($A47,main!$A$3:$H$102,6,FALSE)&gt;=main!$D$103+VLOOKUP(VLOOKUP(BP$1,main!$A$3:$I$102,7,FALSE),main!$K$26:$Q$29,3,FALSE),1,0)</f>
        <v>0</v>
      </c>
      <c r="BQ47">
        <f>IF(VLOOKUP(BQ$1,main!$A$3:$H$102,5,FALSE)-VLOOKUP($A47,main!$A$3:$H$102,6,FALSE)&gt;=main!$D$103+VLOOKUP(VLOOKUP(BQ$1,main!$A$3:$I$102,7,FALSE),main!$K$26:$Q$29,3,FALSE),1,0)</f>
        <v>1</v>
      </c>
      <c r="BR47">
        <f>IF(VLOOKUP(BR$1,main!$A$3:$H$102,5,FALSE)-VLOOKUP($A47,main!$A$3:$H$102,6,FALSE)&gt;=main!$D$103+VLOOKUP(VLOOKUP(BR$1,main!$A$3:$I$102,7,FALSE),main!$K$26:$Q$29,3,FALSE),1,0)</f>
        <v>1</v>
      </c>
      <c r="BS47">
        <f>IF(VLOOKUP(BS$1,main!$A$3:$H$102,5,FALSE)-VLOOKUP($A47,main!$A$3:$H$102,6,FALSE)&gt;=main!$D$103+VLOOKUP(VLOOKUP(BS$1,main!$A$3:$I$102,7,FALSE),main!$K$26:$Q$29,3,FALSE),1,0)</f>
        <v>1</v>
      </c>
      <c r="BT47">
        <f>IF(VLOOKUP(BT$1,main!$A$3:$H$102,5,FALSE)-VLOOKUP($A47,main!$A$3:$H$102,6,FALSE)&gt;=main!$D$103+VLOOKUP(VLOOKUP(BT$1,main!$A$3:$I$102,7,FALSE),main!$K$26:$Q$29,3,FALSE),1,0)</f>
        <v>1</v>
      </c>
      <c r="BU47">
        <f>IF(VLOOKUP(BU$1,main!$A$3:$H$102,5,FALSE)-VLOOKUP($A47,main!$A$3:$H$102,6,FALSE)&gt;=main!$D$103+VLOOKUP(VLOOKUP(BU$1,main!$A$3:$I$102,7,FALSE),main!$K$26:$Q$29,3,FALSE),1,0)</f>
        <v>0</v>
      </c>
      <c r="BV47">
        <f>IF(VLOOKUP(BV$1,main!$A$3:$H$102,5,FALSE)-VLOOKUP($A47,main!$A$3:$H$102,6,FALSE)&gt;=main!$D$103+VLOOKUP(VLOOKUP(BV$1,main!$A$3:$I$102,7,FALSE),main!$K$26:$Q$29,3,FALSE),1,0)</f>
        <v>0</v>
      </c>
      <c r="BW47">
        <f>IF(VLOOKUP(BW$1,main!$A$3:$H$102,5,FALSE)-VLOOKUP($A47,main!$A$3:$H$102,6,FALSE)&gt;=main!$D$103+VLOOKUP(VLOOKUP(BW$1,main!$A$3:$I$102,7,FALSE),main!$K$26:$Q$29,3,FALSE),1,0)</f>
        <v>1</v>
      </c>
      <c r="BX47">
        <f>IF(VLOOKUP(BX$1,main!$A$3:$H$102,5,FALSE)-VLOOKUP($A47,main!$A$3:$H$102,6,FALSE)&gt;=main!$D$103+VLOOKUP(VLOOKUP(BX$1,main!$A$3:$I$102,7,FALSE),main!$K$26:$Q$29,3,FALSE),1,0)</f>
        <v>1</v>
      </c>
      <c r="BY47">
        <f>IF(VLOOKUP(BY$1,main!$A$3:$H$102,5,FALSE)-VLOOKUP($A47,main!$A$3:$H$102,6,FALSE)&gt;=main!$D$103+VLOOKUP(VLOOKUP(BY$1,main!$A$3:$I$102,7,FALSE),main!$K$26:$Q$29,3,FALSE),1,0)</f>
        <v>1</v>
      </c>
      <c r="BZ47">
        <f>IF(VLOOKUP(BZ$1,main!$A$3:$H$102,5,FALSE)-VLOOKUP($A47,main!$A$3:$H$102,6,FALSE)&gt;=main!$D$103+VLOOKUP(VLOOKUP(BZ$1,main!$A$3:$I$102,7,FALSE),main!$K$26:$Q$29,3,FALSE),1,0)</f>
        <v>0</v>
      </c>
      <c r="CA47">
        <f>IF(VLOOKUP(CA$1,main!$A$3:$H$102,5,FALSE)-VLOOKUP($A47,main!$A$3:$H$102,6,FALSE)&gt;=main!$D$103+VLOOKUP(VLOOKUP(CA$1,main!$A$3:$I$102,7,FALSE),main!$K$26:$Q$29,3,FALSE),1,0)</f>
        <v>0</v>
      </c>
      <c r="CB47">
        <f>IF(VLOOKUP(CB$1,main!$A$3:$H$102,5,FALSE)-VLOOKUP($A47,main!$A$3:$H$102,6,FALSE)&gt;=main!$D$103+VLOOKUP(VLOOKUP(CB$1,main!$A$3:$I$102,7,FALSE),main!$K$26:$Q$29,3,FALSE),1,0)</f>
        <v>1</v>
      </c>
      <c r="CC47">
        <f>IF(VLOOKUP(CC$1,main!$A$3:$H$102,5,FALSE)-VLOOKUP($A47,main!$A$3:$H$102,6,FALSE)&gt;=main!$D$103+VLOOKUP(VLOOKUP(CC$1,main!$A$3:$I$102,7,FALSE),main!$K$26:$Q$29,3,FALSE),1,0)</f>
        <v>1</v>
      </c>
      <c r="CD47">
        <f>IF(VLOOKUP(CD$1,main!$A$3:$H$102,5,FALSE)-VLOOKUP($A47,main!$A$3:$H$102,6,FALSE)&gt;=main!$D$103+VLOOKUP(VLOOKUP(CD$1,main!$A$3:$I$102,7,FALSE),main!$K$26:$Q$29,3,FALSE),1,0)</f>
        <v>1</v>
      </c>
      <c r="CE47">
        <f>IF(VLOOKUP(CE$1,main!$A$3:$H$102,5,FALSE)-VLOOKUP($A47,main!$A$3:$H$102,6,FALSE)&gt;=main!$D$103+VLOOKUP(VLOOKUP(CE$1,main!$A$3:$I$102,7,FALSE),main!$K$26:$Q$29,3,FALSE),1,0)</f>
        <v>1</v>
      </c>
      <c r="CF47">
        <f>IF(VLOOKUP(CF$1,main!$A$3:$H$102,5,FALSE)-VLOOKUP($A47,main!$A$3:$H$102,6,FALSE)&gt;=main!$D$103+VLOOKUP(VLOOKUP(CF$1,main!$A$3:$I$102,7,FALSE),main!$K$26:$Q$29,3,FALSE),1,0)</f>
        <v>1</v>
      </c>
      <c r="CG47">
        <f>IF(VLOOKUP(CG$1,main!$A$3:$H$102,5,FALSE)-VLOOKUP($A47,main!$A$3:$H$102,6,FALSE)&gt;=main!$D$103+VLOOKUP(VLOOKUP(CG$1,main!$A$3:$I$102,7,FALSE),main!$K$26:$Q$29,3,FALSE),1,0)</f>
        <v>1</v>
      </c>
      <c r="CH47">
        <f>IF(VLOOKUP(CH$1,main!$A$3:$H$102,5,FALSE)-VLOOKUP($A47,main!$A$3:$H$102,6,FALSE)&gt;=main!$D$103+VLOOKUP(VLOOKUP(CH$1,main!$A$3:$I$102,7,FALSE),main!$K$26:$Q$29,3,FALSE),1,0)</f>
        <v>1</v>
      </c>
      <c r="CI47">
        <f>IF(VLOOKUP(CI$1,main!$A$3:$H$102,5,FALSE)-VLOOKUP($A47,main!$A$3:$H$102,6,FALSE)&gt;=main!$D$103+VLOOKUP(VLOOKUP(CI$1,main!$A$3:$I$102,7,FALSE),main!$K$26:$Q$29,3,FALSE),1,0)</f>
        <v>1</v>
      </c>
      <c r="CJ47">
        <f>IF(VLOOKUP(CJ$1,main!$A$3:$H$102,5,FALSE)-VLOOKUP($A47,main!$A$3:$H$102,6,FALSE)&gt;=main!$D$103+VLOOKUP(VLOOKUP(CJ$1,main!$A$3:$I$102,7,FALSE),main!$K$26:$Q$29,3,FALSE),1,0)</f>
        <v>1</v>
      </c>
      <c r="CK47">
        <f>IF(VLOOKUP(CK$1,main!$A$3:$H$102,5,FALSE)-VLOOKUP($A47,main!$A$3:$H$102,6,FALSE)&gt;=main!$D$103+VLOOKUP(VLOOKUP(CK$1,main!$A$3:$I$102,7,FALSE),main!$K$26:$Q$29,3,FALSE),1,0)</f>
        <v>1</v>
      </c>
      <c r="CL47">
        <f>IF(VLOOKUP(CL$1,main!$A$3:$H$102,5,FALSE)-VLOOKUP($A47,main!$A$3:$H$102,6,FALSE)&gt;=main!$D$103+VLOOKUP(VLOOKUP(CL$1,main!$A$3:$I$102,7,FALSE),main!$K$26:$Q$29,3,FALSE),1,0)</f>
        <v>1</v>
      </c>
      <c r="CM47">
        <f>IF(VLOOKUP(CM$1,main!$A$3:$H$102,5,FALSE)-VLOOKUP($A47,main!$A$3:$H$102,6,FALSE)&gt;=main!$D$103+VLOOKUP(VLOOKUP(CM$1,main!$A$3:$I$102,7,FALSE),main!$K$26:$Q$29,3,FALSE),1,0)</f>
        <v>1</v>
      </c>
      <c r="CN47">
        <f>IF(VLOOKUP(CN$1,main!$A$3:$H$102,5,FALSE)-VLOOKUP($A47,main!$A$3:$H$102,6,FALSE)&gt;=main!$D$103+VLOOKUP(VLOOKUP(CN$1,main!$A$3:$I$102,7,FALSE),main!$K$26:$Q$29,3,FALSE),1,0)</f>
        <v>1</v>
      </c>
      <c r="CO47">
        <f>IF(VLOOKUP(CO$1,main!$A$3:$H$102,5,FALSE)-VLOOKUP($A47,main!$A$3:$H$102,6,FALSE)&gt;=main!$D$103+VLOOKUP(VLOOKUP(CO$1,main!$A$3:$I$102,7,FALSE),main!$K$26:$Q$29,3,FALSE),1,0)</f>
        <v>1</v>
      </c>
      <c r="CP47">
        <f>IF(VLOOKUP(CP$1,main!$A$3:$H$102,5,FALSE)-VLOOKUP($A47,main!$A$3:$H$102,6,FALSE)&gt;=main!$D$103+VLOOKUP(VLOOKUP(CP$1,main!$A$3:$I$102,7,FALSE),main!$K$26:$Q$29,3,FALSE),1,0)</f>
        <v>1</v>
      </c>
      <c r="CQ47">
        <f>IF(VLOOKUP(CQ$1,main!$A$3:$H$102,5,FALSE)-VLOOKUP($A47,main!$A$3:$H$102,6,FALSE)&gt;=main!$D$103+VLOOKUP(VLOOKUP(CQ$1,main!$A$3:$I$102,7,FALSE),main!$K$26:$Q$29,3,FALSE),1,0)</f>
        <v>1</v>
      </c>
      <c r="CR47">
        <f>IF(VLOOKUP(CR$1,main!$A$3:$H$102,5,FALSE)-VLOOKUP($A47,main!$A$3:$H$102,6,FALSE)&gt;=main!$D$103+VLOOKUP(VLOOKUP(CR$1,main!$A$3:$I$102,7,FALSE),main!$K$26:$Q$29,3,FALSE),1,0)</f>
        <v>1</v>
      </c>
      <c r="CS47">
        <f>IF(VLOOKUP(CS$1,main!$A$3:$H$102,5,FALSE)-VLOOKUP($A47,main!$A$3:$H$102,6,FALSE)&gt;=main!$D$103+VLOOKUP(VLOOKUP(CS$1,main!$A$3:$I$102,7,FALSE),main!$K$26:$Q$29,3,FALSE),1,0)</f>
        <v>1</v>
      </c>
      <c r="CT47">
        <f>IF(VLOOKUP(CT$1,main!$A$3:$H$102,5,FALSE)-VLOOKUP($A47,main!$A$3:$H$102,6,FALSE)&gt;=main!$D$103+VLOOKUP(VLOOKUP(CT$1,main!$A$3:$I$102,7,FALSE),main!$K$26:$Q$29,3,FALSE),1,0)</f>
        <v>0</v>
      </c>
      <c r="CU47">
        <f>IF(VLOOKUP(CU$1,main!$A$3:$H$102,5,FALSE)-VLOOKUP($A47,main!$A$3:$H$102,6,FALSE)&gt;=main!$D$103+VLOOKUP(VLOOKUP(CU$1,main!$A$3:$I$102,7,FALSE),main!$K$26:$Q$29,3,FALSE),1,0)</f>
        <v>0</v>
      </c>
      <c r="CV47">
        <f>IF(VLOOKUP(CV$1,main!$A$3:$H$102,5,FALSE)-VLOOKUP($A47,main!$A$3:$H$102,6,FALSE)&gt;=main!$D$103+VLOOKUP(VLOOKUP(CV$1,main!$A$3:$I$102,7,FALSE),main!$K$26:$Q$29,3,FALSE),1,0)</f>
        <v>1</v>
      </c>
      <c r="CW47">
        <f>IF(VLOOKUP(CW$1,main!$A$3:$H$102,5,FALSE)-VLOOKUP($A47,main!$A$3:$H$102,6,FALSE)&gt;=main!$D$103+VLOOKUP(VLOOKUP(CW$1,main!$A$3:$I$102,7,FALSE),main!$K$26:$Q$29,3,FALSE),1,0)</f>
        <v>1</v>
      </c>
      <c r="CX47">
        <f>IF(VLOOKUP(CX$1,main!$A$3:$H$102,5,FALSE)-VLOOKUP($A47,main!$A$3:$H$102,6,FALSE)&gt;=main!$D$103+VLOOKUP(VLOOKUP(CX$1,main!$A$3:$I$102,7,FALSE),main!$K$26:$Q$29,3,FALSE),1,0)</f>
        <v>1</v>
      </c>
    </row>
    <row r="48" spans="1:102" x14ac:dyDescent="0.25">
      <c r="A48" s="1">
        <v>46</v>
      </c>
      <c r="B48">
        <v>0</v>
      </c>
      <c r="C48">
        <f>IF(VLOOKUP(C$1,main!$A$3:$H$102,5,FALSE)-VLOOKUP($A48,main!$A$3:$H$102,6,FALSE)&gt;=main!$D$103+VLOOKUP(VLOOKUP(C$1,main!$A$3:$I$102,7,FALSE),main!$K$26:$Q$29,3,FALSE),1,0)</f>
        <v>0</v>
      </c>
      <c r="D48">
        <f>IF(VLOOKUP(D$1,main!$A$3:$H$102,5,FALSE)-VLOOKUP($A48,main!$A$3:$H$102,6,FALSE)&gt;=main!$D$103+VLOOKUP(VLOOKUP(D$1,main!$A$3:$I$102,7,FALSE),main!$K$26:$Q$29,3,FALSE),1,0)</f>
        <v>0</v>
      </c>
      <c r="E48">
        <f>IF(VLOOKUP(E$1,main!$A$3:$H$102,5,FALSE)-VLOOKUP($A48,main!$A$3:$H$102,6,FALSE)&gt;=main!$D$103+VLOOKUP(VLOOKUP(E$1,main!$A$3:$I$102,7,FALSE),main!$K$26:$Q$29,3,FALSE),1,0)</f>
        <v>1</v>
      </c>
      <c r="F48">
        <f>IF(VLOOKUP(F$1,main!$A$3:$H$102,5,FALSE)-VLOOKUP($A48,main!$A$3:$H$102,6,FALSE)&gt;=main!$D$103+VLOOKUP(VLOOKUP(F$1,main!$A$3:$I$102,7,FALSE),main!$K$26:$Q$29,3,FALSE),1,0)</f>
        <v>1</v>
      </c>
      <c r="G48">
        <f>IF(VLOOKUP(G$1,main!$A$3:$H$102,5,FALSE)-VLOOKUP($A48,main!$A$3:$H$102,6,FALSE)&gt;=main!$D$103+VLOOKUP(VLOOKUP(G$1,main!$A$3:$I$102,7,FALSE),main!$K$26:$Q$29,3,FALSE),1,0)</f>
        <v>1</v>
      </c>
      <c r="H48">
        <f>IF(VLOOKUP(H$1,main!$A$3:$H$102,5,FALSE)-VLOOKUP($A48,main!$A$3:$H$102,6,FALSE)&gt;=main!$D$103+VLOOKUP(VLOOKUP(H$1,main!$A$3:$I$102,7,FALSE),main!$K$26:$Q$29,3,FALSE),1,0)</f>
        <v>1</v>
      </c>
      <c r="I48">
        <f>IF(VLOOKUP(I$1,main!$A$3:$H$102,5,FALSE)-VLOOKUP($A48,main!$A$3:$H$102,6,FALSE)&gt;=main!$D$103+VLOOKUP(VLOOKUP(I$1,main!$A$3:$I$102,7,FALSE),main!$K$26:$Q$29,3,FALSE),1,0)</f>
        <v>1</v>
      </c>
      <c r="J48">
        <f>IF(VLOOKUP(J$1,main!$A$3:$H$102,5,FALSE)-VLOOKUP($A48,main!$A$3:$H$102,6,FALSE)&gt;=main!$D$103+VLOOKUP(VLOOKUP(J$1,main!$A$3:$I$102,7,FALSE),main!$K$26:$Q$29,3,FALSE),1,0)</f>
        <v>1</v>
      </c>
      <c r="K48">
        <f>IF(VLOOKUP(K$1,main!$A$3:$H$102,5,FALSE)-VLOOKUP($A48,main!$A$3:$H$102,6,FALSE)&gt;=main!$D$103+VLOOKUP(VLOOKUP(K$1,main!$A$3:$I$102,7,FALSE),main!$K$26:$Q$29,3,FALSE),1,0)</f>
        <v>1</v>
      </c>
      <c r="L48">
        <f>IF(VLOOKUP(L$1,main!$A$3:$H$102,5,FALSE)-VLOOKUP($A48,main!$A$3:$H$102,6,FALSE)&gt;=main!$D$103+VLOOKUP(VLOOKUP(L$1,main!$A$3:$I$102,7,FALSE),main!$K$26:$Q$29,3,FALSE),1,0)</f>
        <v>1</v>
      </c>
      <c r="M48">
        <f>IF(VLOOKUP(M$1,main!$A$3:$H$102,5,FALSE)-VLOOKUP($A48,main!$A$3:$H$102,6,FALSE)&gt;=main!$D$103+VLOOKUP(VLOOKUP(M$1,main!$A$3:$I$102,7,FALSE),main!$K$26:$Q$29,3,FALSE),1,0)</f>
        <v>0</v>
      </c>
      <c r="N48">
        <f>IF(VLOOKUP(N$1,main!$A$3:$H$102,5,FALSE)-VLOOKUP($A48,main!$A$3:$H$102,6,FALSE)&gt;=main!$D$103+VLOOKUP(VLOOKUP(N$1,main!$A$3:$I$102,7,FALSE),main!$K$26:$Q$29,3,FALSE),1,0)</f>
        <v>0</v>
      </c>
      <c r="O48">
        <f>IF(VLOOKUP(O$1,main!$A$3:$H$102,5,FALSE)-VLOOKUP($A48,main!$A$3:$H$102,6,FALSE)&gt;=main!$D$103+VLOOKUP(VLOOKUP(O$1,main!$A$3:$I$102,7,FALSE),main!$K$26:$Q$29,3,FALSE),1,0)</f>
        <v>0</v>
      </c>
      <c r="P48">
        <f>IF(VLOOKUP(P$1,main!$A$3:$H$102,5,FALSE)-VLOOKUP($A48,main!$A$3:$H$102,6,FALSE)&gt;=main!$D$103+VLOOKUP(VLOOKUP(P$1,main!$A$3:$I$102,7,FALSE),main!$K$26:$Q$29,3,FALSE),1,0)</f>
        <v>1</v>
      </c>
      <c r="Q48">
        <f>IF(VLOOKUP(Q$1,main!$A$3:$H$102,5,FALSE)-VLOOKUP($A48,main!$A$3:$H$102,6,FALSE)&gt;=main!$D$103+VLOOKUP(VLOOKUP(Q$1,main!$A$3:$I$102,7,FALSE),main!$K$26:$Q$29,3,FALSE),1,0)</f>
        <v>1</v>
      </c>
      <c r="R48">
        <f>IF(VLOOKUP(R$1,main!$A$3:$H$102,5,FALSE)-VLOOKUP($A48,main!$A$3:$H$102,6,FALSE)&gt;=main!$D$103+VLOOKUP(VLOOKUP(R$1,main!$A$3:$I$102,7,FALSE),main!$K$26:$Q$29,3,FALSE),1,0)</f>
        <v>1</v>
      </c>
      <c r="S48">
        <f>IF(VLOOKUP(S$1,main!$A$3:$H$102,5,FALSE)-VLOOKUP($A48,main!$A$3:$H$102,6,FALSE)&gt;=main!$D$103+VLOOKUP(VLOOKUP(S$1,main!$A$3:$I$102,7,FALSE),main!$K$26:$Q$29,3,FALSE),1,0)</f>
        <v>1</v>
      </c>
      <c r="T48">
        <f>IF(VLOOKUP(T$1,main!$A$3:$H$102,5,FALSE)-VLOOKUP($A48,main!$A$3:$H$102,6,FALSE)&gt;=main!$D$103+VLOOKUP(VLOOKUP(T$1,main!$A$3:$I$102,7,FALSE),main!$K$26:$Q$29,3,FALSE),1,0)</f>
        <v>1</v>
      </c>
      <c r="U48">
        <f>IF(VLOOKUP(U$1,main!$A$3:$H$102,5,FALSE)-VLOOKUP($A48,main!$A$3:$H$102,6,FALSE)&gt;=main!$D$103+VLOOKUP(VLOOKUP(U$1,main!$A$3:$I$102,7,FALSE),main!$K$26:$Q$29,3,FALSE),1,0)</f>
        <v>1</v>
      </c>
      <c r="V48">
        <f>IF(VLOOKUP(V$1,main!$A$3:$H$102,5,FALSE)-VLOOKUP($A48,main!$A$3:$H$102,6,FALSE)&gt;=main!$D$103+VLOOKUP(VLOOKUP(V$1,main!$A$3:$I$102,7,FALSE),main!$K$26:$Q$29,3,FALSE),1,0)</f>
        <v>1</v>
      </c>
      <c r="W48">
        <f>IF(VLOOKUP(W$1,main!$A$3:$H$102,5,FALSE)-VLOOKUP($A48,main!$A$3:$H$102,6,FALSE)&gt;=main!$D$103+VLOOKUP(VLOOKUP(W$1,main!$A$3:$I$102,7,FALSE),main!$K$26:$Q$29,3,FALSE),1,0)</f>
        <v>0</v>
      </c>
      <c r="X48">
        <f>IF(VLOOKUP(X$1,main!$A$3:$H$102,5,FALSE)-VLOOKUP($A48,main!$A$3:$H$102,6,FALSE)&gt;=main!$D$103+VLOOKUP(VLOOKUP(X$1,main!$A$3:$I$102,7,FALSE),main!$K$26:$Q$29,3,FALSE),1,0)</f>
        <v>0</v>
      </c>
      <c r="Y48">
        <f>IF(VLOOKUP(Y$1,main!$A$3:$H$102,5,FALSE)-VLOOKUP($A48,main!$A$3:$H$102,6,FALSE)&gt;=main!$D$103+VLOOKUP(VLOOKUP(Y$1,main!$A$3:$I$102,7,FALSE),main!$K$26:$Q$29,3,FALSE),1,0)</f>
        <v>1</v>
      </c>
      <c r="Z48">
        <f>IF(VLOOKUP(Z$1,main!$A$3:$H$102,5,FALSE)-VLOOKUP($A48,main!$A$3:$H$102,6,FALSE)&gt;=main!$D$103+VLOOKUP(VLOOKUP(Z$1,main!$A$3:$I$102,7,FALSE),main!$K$26:$Q$29,3,FALSE),1,0)</f>
        <v>1</v>
      </c>
      <c r="AA48">
        <f>IF(VLOOKUP(AA$1,main!$A$3:$H$102,5,FALSE)-VLOOKUP($A48,main!$A$3:$H$102,6,FALSE)&gt;=main!$D$103+VLOOKUP(VLOOKUP(AA$1,main!$A$3:$I$102,7,FALSE),main!$K$26:$Q$29,3,FALSE),1,0)</f>
        <v>1</v>
      </c>
      <c r="AB48">
        <f>IF(VLOOKUP(AB$1,main!$A$3:$H$102,5,FALSE)-VLOOKUP($A48,main!$A$3:$H$102,6,FALSE)&gt;=main!$D$103+VLOOKUP(VLOOKUP(AB$1,main!$A$3:$I$102,7,FALSE),main!$K$26:$Q$29,3,FALSE),1,0)</f>
        <v>0</v>
      </c>
      <c r="AC48">
        <f>IF(VLOOKUP(AC$1,main!$A$3:$H$102,5,FALSE)-VLOOKUP($A48,main!$A$3:$H$102,6,FALSE)&gt;=main!$D$103+VLOOKUP(VLOOKUP(AC$1,main!$A$3:$I$102,7,FALSE),main!$K$26:$Q$29,3,FALSE),1,0)</f>
        <v>0</v>
      </c>
      <c r="AD48">
        <f>IF(VLOOKUP(AD$1,main!$A$3:$H$102,5,FALSE)-VLOOKUP($A48,main!$A$3:$H$102,6,FALSE)&gt;=main!$D$103+VLOOKUP(VLOOKUP(AD$1,main!$A$3:$I$102,7,FALSE),main!$K$26:$Q$29,3,FALSE),1,0)</f>
        <v>1</v>
      </c>
      <c r="AE48">
        <f>IF(VLOOKUP(AE$1,main!$A$3:$H$102,5,FALSE)-VLOOKUP($A48,main!$A$3:$H$102,6,FALSE)&gt;=main!$D$103+VLOOKUP(VLOOKUP(AE$1,main!$A$3:$I$102,7,FALSE),main!$K$26:$Q$29,3,FALSE),1,0)</f>
        <v>1</v>
      </c>
      <c r="AF48">
        <f>IF(VLOOKUP(AF$1,main!$A$3:$H$102,5,FALSE)-VLOOKUP($A48,main!$A$3:$H$102,6,FALSE)&gt;=main!$D$103+VLOOKUP(VLOOKUP(AF$1,main!$A$3:$I$102,7,FALSE),main!$K$26:$Q$29,3,FALSE),1,0)</f>
        <v>1</v>
      </c>
      <c r="AG48">
        <f>IF(VLOOKUP(AG$1,main!$A$3:$H$102,5,FALSE)-VLOOKUP($A48,main!$A$3:$H$102,6,FALSE)&gt;=main!$D$103+VLOOKUP(VLOOKUP(AG$1,main!$A$3:$I$102,7,FALSE),main!$K$26:$Q$29,3,FALSE),1,0)</f>
        <v>0</v>
      </c>
      <c r="AH48">
        <f>IF(VLOOKUP(AH$1,main!$A$3:$H$102,5,FALSE)-VLOOKUP($A48,main!$A$3:$H$102,6,FALSE)&gt;=main!$D$103+VLOOKUP(VLOOKUP(AH$1,main!$A$3:$I$102,7,FALSE),main!$K$26:$Q$29,3,FALSE),1,0)</f>
        <v>0</v>
      </c>
      <c r="AI48">
        <f>IF(VLOOKUP(AI$1,main!$A$3:$H$102,5,FALSE)-VLOOKUP($A48,main!$A$3:$H$102,6,FALSE)&gt;=main!$D$103+VLOOKUP(VLOOKUP(AI$1,main!$A$3:$I$102,7,FALSE),main!$K$26:$Q$29,3,FALSE),1,0)</f>
        <v>1</v>
      </c>
      <c r="AJ48">
        <f>IF(VLOOKUP(AJ$1,main!$A$3:$H$102,5,FALSE)-VLOOKUP($A48,main!$A$3:$H$102,6,FALSE)&gt;=main!$D$103+VLOOKUP(VLOOKUP(AJ$1,main!$A$3:$I$102,7,FALSE),main!$K$26:$Q$29,3,FALSE),1,0)</f>
        <v>1</v>
      </c>
      <c r="AK48">
        <f>IF(VLOOKUP(AK$1,main!$A$3:$H$102,5,FALSE)-VLOOKUP($A48,main!$A$3:$H$102,6,FALSE)&gt;=main!$D$103+VLOOKUP(VLOOKUP(AK$1,main!$A$3:$I$102,7,FALSE),main!$K$26:$Q$29,3,FALSE),1,0)</f>
        <v>1</v>
      </c>
      <c r="AL48">
        <f>IF(VLOOKUP(AL$1,main!$A$3:$H$102,5,FALSE)-VLOOKUP($A48,main!$A$3:$H$102,6,FALSE)&gt;=main!$D$103+VLOOKUP(VLOOKUP(AL$1,main!$A$3:$I$102,7,FALSE),main!$K$26:$Q$29,3,FALSE),1,0)</f>
        <v>1</v>
      </c>
      <c r="AM48">
        <f>IF(VLOOKUP(AM$1,main!$A$3:$H$102,5,FALSE)-VLOOKUP($A48,main!$A$3:$H$102,6,FALSE)&gt;=main!$D$103+VLOOKUP(VLOOKUP(AM$1,main!$A$3:$I$102,7,FALSE),main!$K$26:$Q$29,3,FALSE),1,0)</f>
        <v>1</v>
      </c>
      <c r="AN48">
        <f>IF(VLOOKUP(AN$1,main!$A$3:$H$102,5,FALSE)-VLOOKUP($A48,main!$A$3:$H$102,6,FALSE)&gt;=main!$D$103+VLOOKUP(VLOOKUP(AN$1,main!$A$3:$I$102,7,FALSE),main!$K$26:$Q$29,3,FALSE),1,0)</f>
        <v>1</v>
      </c>
      <c r="AO48">
        <f>IF(VLOOKUP(AO$1,main!$A$3:$H$102,5,FALSE)-VLOOKUP($A48,main!$A$3:$H$102,6,FALSE)&gt;=main!$D$103+VLOOKUP(VLOOKUP(AO$1,main!$A$3:$I$102,7,FALSE),main!$K$26:$Q$29,3,FALSE),1,0)</f>
        <v>0</v>
      </c>
      <c r="AP48">
        <f>IF(VLOOKUP(AP$1,main!$A$3:$H$102,5,FALSE)-VLOOKUP($A48,main!$A$3:$H$102,6,FALSE)&gt;=main!$D$103+VLOOKUP(VLOOKUP(AP$1,main!$A$3:$I$102,7,FALSE),main!$K$26:$Q$29,3,FALSE),1,0)</f>
        <v>1</v>
      </c>
      <c r="AQ48">
        <f>IF(VLOOKUP(AQ$1,main!$A$3:$H$102,5,FALSE)-VLOOKUP($A48,main!$A$3:$H$102,6,FALSE)&gt;=main!$D$103+VLOOKUP(VLOOKUP(AQ$1,main!$A$3:$I$102,7,FALSE),main!$K$26:$Q$29,3,FALSE),1,0)</f>
        <v>0</v>
      </c>
      <c r="AR48">
        <f>IF(VLOOKUP(AR$1,main!$A$3:$H$102,5,FALSE)-VLOOKUP($A48,main!$A$3:$H$102,6,FALSE)&gt;=main!$D$103+VLOOKUP(VLOOKUP(AR$1,main!$A$3:$I$102,7,FALSE),main!$K$26:$Q$29,3,FALSE),1,0)</f>
        <v>0</v>
      </c>
      <c r="AS48">
        <f>IF(VLOOKUP(AS$1,main!$A$3:$H$102,5,FALSE)-VLOOKUP($A48,main!$A$3:$H$102,6,FALSE)&gt;=main!$D$103+VLOOKUP(VLOOKUP(AS$1,main!$A$3:$I$102,7,FALSE),main!$K$26:$Q$29,3,FALSE),1,0)</f>
        <v>1</v>
      </c>
      <c r="AT48">
        <f>IF(VLOOKUP(AT$1,main!$A$3:$H$102,5,FALSE)-VLOOKUP($A48,main!$A$3:$H$102,6,FALSE)&gt;=main!$D$103+VLOOKUP(VLOOKUP(AT$1,main!$A$3:$I$102,7,FALSE),main!$K$26:$Q$29,3,FALSE),1,0)</f>
        <v>1</v>
      </c>
      <c r="AU48">
        <f>IF(VLOOKUP(AU$1,main!$A$3:$H$102,5,FALSE)-VLOOKUP($A48,main!$A$3:$H$102,6,FALSE)&gt;=main!$D$103+VLOOKUP(VLOOKUP(AU$1,main!$A$3:$I$102,7,FALSE),main!$K$26:$Q$29,3,FALSE),1,0)</f>
        <v>0</v>
      </c>
      <c r="AV48">
        <f>IF(VLOOKUP(AV$1,main!$A$3:$H$102,5,FALSE)-VLOOKUP($A48,main!$A$3:$H$102,6,FALSE)&gt;=main!$D$103+VLOOKUP(VLOOKUP(AV$1,main!$A$3:$I$102,7,FALSE),main!$K$26:$Q$29,3,FALSE),1,0)</f>
        <v>0</v>
      </c>
      <c r="AW48">
        <f>IF(VLOOKUP(AW$1,main!$A$3:$H$102,5,FALSE)-VLOOKUP($A48,main!$A$3:$H$102,6,FALSE)&gt;=main!$D$103+VLOOKUP(VLOOKUP(AW$1,main!$A$3:$I$102,7,FALSE),main!$K$26:$Q$29,3,FALSE),1,0)</f>
        <v>1</v>
      </c>
      <c r="AX48">
        <f>IF(VLOOKUP(AX$1,main!$A$3:$H$102,5,FALSE)-VLOOKUP($A48,main!$A$3:$H$102,6,FALSE)&gt;=main!$D$103+VLOOKUP(VLOOKUP(AX$1,main!$A$3:$I$102,7,FALSE),main!$K$26:$Q$29,3,FALSE),1,0)</f>
        <v>1</v>
      </c>
      <c r="AY48">
        <f>IF(VLOOKUP(AY$1,main!$A$3:$H$102,5,FALSE)-VLOOKUP($A48,main!$A$3:$H$102,6,FALSE)&gt;=main!$D$103+VLOOKUP(VLOOKUP(AY$1,main!$A$3:$I$102,7,FALSE),main!$K$26:$Q$29,3,FALSE),1,0)</f>
        <v>0</v>
      </c>
      <c r="AZ48">
        <f>IF(VLOOKUP(AZ$1,main!$A$3:$H$102,5,FALSE)-VLOOKUP($A48,main!$A$3:$H$102,6,FALSE)&gt;=main!$D$103+VLOOKUP(VLOOKUP(AZ$1,main!$A$3:$I$102,7,FALSE),main!$K$26:$Q$29,3,FALSE),1,0)</f>
        <v>1</v>
      </c>
      <c r="BA48">
        <f>IF(VLOOKUP(BA$1,main!$A$3:$H$102,5,FALSE)-VLOOKUP($A48,main!$A$3:$H$102,6,FALSE)&gt;=main!$D$103+VLOOKUP(VLOOKUP(BA$1,main!$A$3:$I$102,7,FALSE),main!$K$26:$Q$29,3,FALSE),1,0)</f>
        <v>0</v>
      </c>
      <c r="BB48">
        <f>IF(VLOOKUP(BB$1,main!$A$3:$H$102,5,FALSE)-VLOOKUP($A48,main!$A$3:$H$102,6,FALSE)&gt;=main!$D$103+VLOOKUP(VLOOKUP(BB$1,main!$A$3:$I$102,7,FALSE),main!$K$26:$Q$29,3,FALSE),1,0)</f>
        <v>1</v>
      </c>
      <c r="BC48">
        <f>IF(VLOOKUP(BC$1,main!$A$3:$H$102,5,FALSE)-VLOOKUP($A48,main!$A$3:$H$102,6,FALSE)&gt;=main!$D$103+VLOOKUP(VLOOKUP(BC$1,main!$A$3:$I$102,7,FALSE),main!$K$26:$Q$29,3,FALSE),1,0)</f>
        <v>1</v>
      </c>
      <c r="BD48">
        <f>IF(VLOOKUP(BD$1,main!$A$3:$H$102,5,FALSE)-VLOOKUP($A48,main!$A$3:$H$102,6,FALSE)&gt;=main!$D$103+VLOOKUP(VLOOKUP(BD$1,main!$A$3:$I$102,7,FALSE),main!$K$26:$Q$29,3,FALSE),1,0)</f>
        <v>1</v>
      </c>
      <c r="BE48">
        <f>IF(VLOOKUP(BE$1,main!$A$3:$H$102,5,FALSE)-VLOOKUP($A48,main!$A$3:$H$102,6,FALSE)&gt;=main!$D$103+VLOOKUP(VLOOKUP(BE$1,main!$A$3:$I$102,7,FALSE),main!$K$26:$Q$29,3,FALSE),1,0)</f>
        <v>1</v>
      </c>
      <c r="BF48">
        <f>IF(VLOOKUP(BF$1,main!$A$3:$H$102,5,FALSE)-VLOOKUP($A48,main!$A$3:$H$102,6,FALSE)&gt;=main!$D$103+VLOOKUP(VLOOKUP(BF$1,main!$A$3:$I$102,7,FALSE),main!$K$26:$Q$29,3,FALSE),1,0)</f>
        <v>0</v>
      </c>
      <c r="BG48">
        <f>IF(VLOOKUP(BG$1,main!$A$3:$H$102,5,FALSE)-VLOOKUP($A48,main!$A$3:$H$102,6,FALSE)&gt;=main!$D$103+VLOOKUP(VLOOKUP(BG$1,main!$A$3:$I$102,7,FALSE),main!$K$26:$Q$29,3,FALSE),1,0)</f>
        <v>0</v>
      </c>
      <c r="BH48">
        <f>IF(VLOOKUP(BH$1,main!$A$3:$H$102,5,FALSE)-VLOOKUP($A48,main!$A$3:$H$102,6,FALSE)&gt;=main!$D$103+VLOOKUP(VLOOKUP(BH$1,main!$A$3:$I$102,7,FALSE),main!$K$26:$Q$29,3,FALSE),1,0)</f>
        <v>1</v>
      </c>
      <c r="BI48">
        <f>IF(VLOOKUP(BI$1,main!$A$3:$H$102,5,FALSE)-VLOOKUP($A48,main!$A$3:$H$102,6,FALSE)&gt;=main!$D$103+VLOOKUP(VLOOKUP(BI$1,main!$A$3:$I$102,7,FALSE),main!$K$26:$Q$29,3,FALSE),1,0)</f>
        <v>1</v>
      </c>
      <c r="BJ48">
        <f>IF(VLOOKUP(BJ$1,main!$A$3:$H$102,5,FALSE)-VLOOKUP($A48,main!$A$3:$H$102,6,FALSE)&gt;=main!$D$103+VLOOKUP(VLOOKUP(BJ$1,main!$A$3:$I$102,7,FALSE),main!$K$26:$Q$29,3,FALSE),1,0)</f>
        <v>1</v>
      </c>
      <c r="BK48">
        <f>IF(VLOOKUP(BK$1,main!$A$3:$H$102,5,FALSE)-VLOOKUP($A48,main!$A$3:$H$102,6,FALSE)&gt;=main!$D$103+VLOOKUP(VLOOKUP(BK$1,main!$A$3:$I$102,7,FALSE),main!$K$26:$Q$29,3,FALSE),1,0)</f>
        <v>0</v>
      </c>
      <c r="BL48">
        <f>IF(VLOOKUP(BL$1,main!$A$3:$H$102,5,FALSE)-VLOOKUP($A48,main!$A$3:$H$102,6,FALSE)&gt;=main!$D$103+VLOOKUP(VLOOKUP(BL$1,main!$A$3:$I$102,7,FALSE),main!$K$26:$Q$29,3,FALSE),1,0)</f>
        <v>0</v>
      </c>
      <c r="BM48">
        <f>IF(VLOOKUP(BM$1,main!$A$3:$H$102,5,FALSE)-VLOOKUP($A48,main!$A$3:$H$102,6,FALSE)&gt;=main!$D$103+VLOOKUP(VLOOKUP(BM$1,main!$A$3:$I$102,7,FALSE),main!$K$26:$Q$29,3,FALSE),1,0)</f>
        <v>1</v>
      </c>
      <c r="BN48">
        <f>IF(VLOOKUP(BN$1,main!$A$3:$H$102,5,FALSE)-VLOOKUP($A48,main!$A$3:$H$102,6,FALSE)&gt;=main!$D$103+VLOOKUP(VLOOKUP(BN$1,main!$A$3:$I$102,7,FALSE),main!$K$26:$Q$29,3,FALSE),1,0)</f>
        <v>1</v>
      </c>
      <c r="BO48">
        <f>IF(VLOOKUP(BO$1,main!$A$3:$H$102,5,FALSE)-VLOOKUP($A48,main!$A$3:$H$102,6,FALSE)&gt;=main!$D$103+VLOOKUP(VLOOKUP(BO$1,main!$A$3:$I$102,7,FALSE),main!$K$26:$Q$29,3,FALSE),1,0)</f>
        <v>0</v>
      </c>
      <c r="BP48">
        <f>IF(VLOOKUP(BP$1,main!$A$3:$H$102,5,FALSE)-VLOOKUP($A48,main!$A$3:$H$102,6,FALSE)&gt;=main!$D$103+VLOOKUP(VLOOKUP(BP$1,main!$A$3:$I$102,7,FALSE),main!$K$26:$Q$29,3,FALSE),1,0)</f>
        <v>0</v>
      </c>
      <c r="BQ48">
        <f>IF(VLOOKUP(BQ$1,main!$A$3:$H$102,5,FALSE)-VLOOKUP($A48,main!$A$3:$H$102,6,FALSE)&gt;=main!$D$103+VLOOKUP(VLOOKUP(BQ$1,main!$A$3:$I$102,7,FALSE),main!$K$26:$Q$29,3,FALSE),1,0)</f>
        <v>1</v>
      </c>
      <c r="BR48">
        <f>IF(VLOOKUP(BR$1,main!$A$3:$H$102,5,FALSE)-VLOOKUP($A48,main!$A$3:$H$102,6,FALSE)&gt;=main!$D$103+VLOOKUP(VLOOKUP(BR$1,main!$A$3:$I$102,7,FALSE),main!$K$26:$Q$29,3,FALSE),1,0)</f>
        <v>1</v>
      </c>
      <c r="BS48">
        <f>IF(VLOOKUP(BS$1,main!$A$3:$H$102,5,FALSE)-VLOOKUP($A48,main!$A$3:$H$102,6,FALSE)&gt;=main!$D$103+VLOOKUP(VLOOKUP(BS$1,main!$A$3:$I$102,7,FALSE),main!$K$26:$Q$29,3,FALSE),1,0)</f>
        <v>1</v>
      </c>
      <c r="BT48">
        <f>IF(VLOOKUP(BT$1,main!$A$3:$H$102,5,FALSE)-VLOOKUP($A48,main!$A$3:$H$102,6,FALSE)&gt;=main!$D$103+VLOOKUP(VLOOKUP(BT$1,main!$A$3:$I$102,7,FALSE),main!$K$26:$Q$29,3,FALSE),1,0)</f>
        <v>1</v>
      </c>
      <c r="BU48">
        <f>IF(VLOOKUP(BU$1,main!$A$3:$H$102,5,FALSE)-VLOOKUP($A48,main!$A$3:$H$102,6,FALSE)&gt;=main!$D$103+VLOOKUP(VLOOKUP(BU$1,main!$A$3:$I$102,7,FALSE),main!$K$26:$Q$29,3,FALSE),1,0)</f>
        <v>0</v>
      </c>
      <c r="BV48">
        <f>IF(VLOOKUP(BV$1,main!$A$3:$H$102,5,FALSE)-VLOOKUP($A48,main!$A$3:$H$102,6,FALSE)&gt;=main!$D$103+VLOOKUP(VLOOKUP(BV$1,main!$A$3:$I$102,7,FALSE),main!$K$26:$Q$29,3,FALSE),1,0)</f>
        <v>0</v>
      </c>
      <c r="BW48">
        <f>IF(VLOOKUP(BW$1,main!$A$3:$H$102,5,FALSE)-VLOOKUP($A48,main!$A$3:$H$102,6,FALSE)&gt;=main!$D$103+VLOOKUP(VLOOKUP(BW$1,main!$A$3:$I$102,7,FALSE),main!$K$26:$Q$29,3,FALSE),1,0)</f>
        <v>0</v>
      </c>
      <c r="BX48">
        <f>IF(VLOOKUP(BX$1,main!$A$3:$H$102,5,FALSE)-VLOOKUP($A48,main!$A$3:$H$102,6,FALSE)&gt;=main!$D$103+VLOOKUP(VLOOKUP(BX$1,main!$A$3:$I$102,7,FALSE),main!$K$26:$Q$29,3,FALSE),1,0)</f>
        <v>1</v>
      </c>
      <c r="BY48">
        <f>IF(VLOOKUP(BY$1,main!$A$3:$H$102,5,FALSE)-VLOOKUP($A48,main!$A$3:$H$102,6,FALSE)&gt;=main!$D$103+VLOOKUP(VLOOKUP(BY$1,main!$A$3:$I$102,7,FALSE),main!$K$26:$Q$29,3,FALSE),1,0)</f>
        <v>1</v>
      </c>
      <c r="BZ48">
        <f>IF(VLOOKUP(BZ$1,main!$A$3:$H$102,5,FALSE)-VLOOKUP($A48,main!$A$3:$H$102,6,FALSE)&gt;=main!$D$103+VLOOKUP(VLOOKUP(BZ$1,main!$A$3:$I$102,7,FALSE),main!$K$26:$Q$29,3,FALSE),1,0)</f>
        <v>0</v>
      </c>
      <c r="CA48">
        <f>IF(VLOOKUP(CA$1,main!$A$3:$H$102,5,FALSE)-VLOOKUP($A48,main!$A$3:$H$102,6,FALSE)&gt;=main!$D$103+VLOOKUP(VLOOKUP(CA$1,main!$A$3:$I$102,7,FALSE),main!$K$26:$Q$29,3,FALSE),1,0)</f>
        <v>0</v>
      </c>
      <c r="CB48">
        <f>IF(VLOOKUP(CB$1,main!$A$3:$H$102,5,FALSE)-VLOOKUP($A48,main!$A$3:$H$102,6,FALSE)&gt;=main!$D$103+VLOOKUP(VLOOKUP(CB$1,main!$A$3:$I$102,7,FALSE),main!$K$26:$Q$29,3,FALSE),1,0)</f>
        <v>1</v>
      </c>
      <c r="CC48">
        <f>IF(VLOOKUP(CC$1,main!$A$3:$H$102,5,FALSE)-VLOOKUP($A48,main!$A$3:$H$102,6,FALSE)&gt;=main!$D$103+VLOOKUP(VLOOKUP(CC$1,main!$A$3:$I$102,7,FALSE),main!$K$26:$Q$29,3,FALSE),1,0)</f>
        <v>1</v>
      </c>
      <c r="CD48">
        <f>IF(VLOOKUP(CD$1,main!$A$3:$H$102,5,FALSE)-VLOOKUP($A48,main!$A$3:$H$102,6,FALSE)&gt;=main!$D$103+VLOOKUP(VLOOKUP(CD$1,main!$A$3:$I$102,7,FALSE),main!$K$26:$Q$29,3,FALSE),1,0)</f>
        <v>1</v>
      </c>
      <c r="CE48">
        <f>IF(VLOOKUP(CE$1,main!$A$3:$H$102,5,FALSE)-VLOOKUP($A48,main!$A$3:$H$102,6,FALSE)&gt;=main!$D$103+VLOOKUP(VLOOKUP(CE$1,main!$A$3:$I$102,7,FALSE),main!$K$26:$Q$29,3,FALSE),1,0)</f>
        <v>1</v>
      </c>
      <c r="CF48">
        <f>IF(VLOOKUP(CF$1,main!$A$3:$H$102,5,FALSE)-VLOOKUP($A48,main!$A$3:$H$102,6,FALSE)&gt;=main!$D$103+VLOOKUP(VLOOKUP(CF$1,main!$A$3:$I$102,7,FALSE),main!$K$26:$Q$29,3,FALSE),1,0)</f>
        <v>1</v>
      </c>
      <c r="CG48">
        <f>IF(VLOOKUP(CG$1,main!$A$3:$H$102,5,FALSE)-VLOOKUP($A48,main!$A$3:$H$102,6,FALSE)&gt;=main!$D$103+VLOOKUP(VLOOKUP(CG$1,main!$A$3:$I$102,7,FALSE),main!$K$26:$Q$29,3,FALSE),1,0)</f>
        <v>1</v>
      </c>
      <c r="CH48">
        <f>IF(VLOOKUP(CH$1,main!$A$3:$H$102,5,FALSE)-VLOOKUP($A48,main!$A$3:$H$102,6,FALSE)&gt;=main!$D$103+VLOOKUP(VLOOKUP(CH$1,main!$A$3:$I$102,7,FALSE),main!$K$26:$Q$29,3,FALSE),1,0)</f>
        <v>1</v>
      </c>
      <c r="CI48">
        <f>IF(VLOOKUP(CI$1,main!$A$3:$H$102,5,FALSE)-VLOOKUP($A48,main!$A$3:$H$102,6,FALSE)&gt;=main!$D$103+VLOOKUP(VLOOKUP(CI$1,main!$A$3:$I$102,7,FALSE),main!$K$26:$Q$29,3,FALSE),1,0)</f>
        <v>1</v>
      </c>
      <c r="CJ48">
        <f>IF(VLOOKUP(CJ$1,main!$A$3:$H$102,5,FALSE)-VLOOKUP($A48,main!$A$3:$H$102,6,FALSE)&gt;=main!$D$103+VLOOKUP(VLOOKUP(CJ$1,main!$A$3:$I$102,7,FALSE),main!$K$26:$Q$29,3,FALSE),1,0)</f>
        <v>1</v>
      </c>
      <c r="CK48">
        <f>IF(VLOOKUP(CK$1,main!$A$3:$H$102,5,FALSE)-VLOOKUP($A48,main!$A$3:$H$102,6,FALSE)&gt;=main!$D$103+VLOOKUP(VLOOKUP(CK$1,main!$A$3:$I$102,7,FALSE),main!$K$26:$Q$29,3,FALSE),1,0)</f>
        <v>1</v>
      </c>
      <c r="CL48">
        <f>IF(VLOOKUP(CL$1,main!$A$3:$H$102,5,FALSE)-VLOOKUP($A48,main!$A$3:$H$102,6,FALSE)&gt;=main!$D$103+VLOOKUP(VLOOKUP(CL$1,main!$A$3:$I$102,7,FALSE),main!$K$26:$Q$29,3,FALSE),1,0)</f>
        <v>1</v>
      </c>
      <c r="CM48">
        <f>IF(VLOOKUP(CM$1,main!$A$3:$H$102,5,FALSE)-VLOOKUP($A48,main!$A$3:$H$102,6,FALSE)&gt;=main!$D$103+VLOOKUP(VLOOKUP(CM$1,main!$A$3:$I$102,7,FALSE),main!$K$26:$Q$29,3,FALSE),1,0)</f>
        <v>1</v>
      </c>
      <c r="CN48">
        <f>IF(VLOOKUP(CN$1,main!$A$3:$H$102,5,FALSE)-VLOOKUP($A48,main!$A$3:$H$102,6,FALSE)&gt;=main!$D$103+VLOOKUP(VLOOKUP(CN$1,main!$A$3:$I$102,7,FALSE),main!$K$26:$Q$29,3,FALSE),1,0)</f>
        <v>1</v>
      </c>
      <c r="CO48">
        <f>IF(VLOOKUP(CO$1,main!$A$3:$H$102,5,FALSE)-VLOOKUP($A48,main!$A$3:$H$102,6,FALSE)&gt;=main!$D$103+VLOOKUP(VLOOKUP(CO$1,main!$A$3:$I$102,7,FALSE),main!$K$26:$Q$29,3,FALSE),1,0)</f>
        <v>0</v>
      </c>
      <c r="CP48">
        <f>IF(VLOOKUP(CP$1,main!$A$3:$H$102,5,FALSE)-VLOOKUP($A48,main!$A$3:$H$102,6,FALSE)&gt;=main!$D$103+VLOOKUP(VLOOKUP(CP$1,main!$A$3:$I$102,7,FALSE),main!$K$26:$Q$29,3,FALSE),1,0)</f>
        <v>1</v>
      </c>
      <c r="CQ48">
        <f>IF(VLOOKUP(CQ$1,main!$A$3:$H$102,5,FALSE)-VLOOKUP($A48,main!$A$3:$H$102,6,FALSE)&gt;=main!$D$103+VLOOKUP(VLOOKUP(CQ$1,main!$A$3:$I$102,7,FALSE),main!$K$26:$Q$29,3,FALSE),1,0)</f>
        <v>1</v>
      </c>
      <c r="CR48">
        <f>IF(VLOOKUP(CR$1,main!$A$3:$H$102,5,FALSE)-VLOOKUP($A48,main!$A$3:$H$102,6,FALSE)&gt;=main!$D$103+VLOOKUP(VLOOKUP(CR$1,main!$A$3:$I$102,7,FALSE),main!$K$26:$Q$29,3,FALSE),1,0)</f>
        <v>1</v>
      </c>
      <c r="CS48">
        <f>IF(VLOOKUP(CS$1,main!$A$3:$H$102,5,FALSE)-VLOOKUP($A48,main!$A$3:$H$102,6,FALSE)&gt;=main!$D$103+VLOOKUP(VLOOKUP(CS$1,main!$A$3:$I$102,7,FALSE),main!$K$26:$Q$29,3,FALSE),1,0)</f>
        <v>1</v>
      </c>
      <c r="CT48">
        <f>IF(VLOOKUP(CT$1,main!$A$3:$H$102,5,FALSE)-VLOOKUP($A48,main!$A$3:$H$102,6,FALSE)&gt;=main!$D$103+VLOOKUP(VLOOKUP(CT$1,main!$A$3:$I$102,7,FALSE),main!$K$26:$Q$29,3,FALSE),1,0)</f>
        <v>0</v>
      </c>
      <c r="CU48">
        <f>IF(VLOOKUP(CU$1,main!$A$3:$H$102,5,FALSE)-VLOOKUP($A48,main!$A$3:$H$102,6,FALSE)&gt;=main!$D$103+VLOOKUP(VLOOKUP(CU$1,main!$A$3:$I$102,7,FALSE),main!$K$26:$Q$29,3,FALSE),1,0)</f>
        <v>0</v>
      </c>
      <c r="CV48">
        <f>IF(VLOOKUP(CV$1,main!$A$3:$H$102,5,FALSE)-VLOOKUP($A48,main!$A$3:$H$102,6,FALSE)&gt;=main!$D$103+VLOOKUP(VLOOKUP(CV$1,main!$A$3:$I$102,7,FALSE),main!$K$26:$Q$29,3,FALSE),1,0)</f>
        <v>1</v>
      </c>
      <c r="CW48">
        <f>IF(VLOOKUP(CW$1,main!$A$3:$H$102,5,FALSE)-VLOOKUP($A48,main!$A$3:$H$102,6,FALSE)&gt;=main!$D$103+VLOOKUP(VLOOKUP(CW$1,main!$A$3:$I$102,7,FALSE),main!$K$26:$Q$29,3,FALSE),1,0)</f>
        <v>1</v>
      </c>
      <c r="CX48">
        <f>IF(VLOOKUP(CX$1,main!$A$3:$H$102,5,FALSE)-VLOOKUP($A48,main!$A$3:$H$102,6,FALSE)&gt;=main!$D$103+VLOOKUP(VLOOKUP(CX$1,main!$A$3:$I$102,7,FALSE),main!$K$26:$Q$29,3,FALSE),1,0)</f>
        <v>1</v>
      </c>
    </row>
    <row r="49" spans="1:102" x14ac:dyDescent="0.25">
      <c r="A49" s="1">
        <v>47</v>
      </c>
      <c r="B49">
        <v>0</v>
      </c>
      <c r="C49">
        <f>IF(VLOOKUP(C$1,main!$A$3:$H$102,5,FALSE)-VLOOKUP($A49,main!$A$3:$H$102,6,FALSE)&gt;=main!$D$103+VLOOKUP(VLOOKUP(C$1,main!$A$3:$I$102,7,FALSE),main!$K$26:$Q$29,3,FALSE),1,0)</f>
        <v>0</v>
      </c>
      <c r="D49">
        <f>IF(VLOOKUP(D$1,main!$A$3:$H$102,5,FALSE)-VLOOKUP($A49,main!$A$3:$H$102,6,FALSE)&gt;=main!$D$103+VLOOKUP(VLOOKUP(D$1,main!$A$3:$I$102,7,FALSE),main!$K$26:$Q$29,3,FALSE),1,0)</f>
        <v>0</v>
      </c>
      <c r="E49">
        <f>IF(VLOOKUP(E$1,main!$A$3:$H$102,5,FALSE)-VLOOKUP($A49,main!$A$3:$H$102,6,FALSE)&gt;=main!$D$103+VLOOKUP(VLOOKUP(E$1,main!$A$3:$I$102,7,FALSE),main!$K$26:$Q$29,3,FALSE),1,0)</f>
        <v>0</v>
      </c>
      <c r="F49">
        <f>IF(VLOOKUP(F$1,main!$A$3:$H$102,5,FALSE)-VLOOKUP($A49,main!$A$3:$H$102,6,FALSE)&gt;=main!$D$103+VLOOKUP(VLOOKUP(F$1,main!$A$3:$I$102,7,FALSE),main!$K$26:$Q$29,3,FALSE),1,0)</f>
        <v>0</v>
      </c>
      <c r="G49">
        <f>IF(VLOOKUP(G$1,main!$A$3:$H$102,5,FALSE)-VLOOKUP($A49,main!$A$3:$H$102,6,FALSE)&gt;=main!$D$103+VLOOKUP(VLOOKUP(G$1,main!$A$3:$I$102,7,FALSE),main!$K$26:$Q$29,3,FALSE),1,0)</f>
        <v>0</v>
      </c>
      <c r="H49">
        <f>IF(VLOOKUP(H$1,main!$A$3:$H$102,5,FALSE)-VLOOKUP($A49,main!$A$3:$H$102,6,FALSE)&gt;=main!$D$103+VLOOKUP(VLOOKUP(H$1,main!$A$3:$I$102,7,FALSE),main!$K$26:$Q$29,3,FALSE),1,0)</f>
        <v>0</v>
      </c>
      <c r="I49">
        <f>IF(VLOOKUP(I$1,main!$A$3:$H$102,5,FALSE)-VLOOKUP($A49,main!$A$3:$H$102,6,FALSE)&gt;=main!$D$103+VLOOKUP(VLOOKUP(I$1,main!$A$3:$I$102,7,FALSE),main!$K$26:$Q$29,3,FALSE),1,0)</f>
        <v>0</v>
      </c>
      <c r="J49">
        <f>IF(VLOOKUP(J$1,main!$A$3:$H$102,5,FALSE)-VLOOKUP($A49,main!$A$3:$H$102,6,FALSE)&gt;=main!$D$103+VLOOKUP(VLOOKUP(J$1,main!$A$3:$I$102,7,FALSE),main!$K$26:$Q$29,3,FALSE),1,0)</f>
        <v>0</v>
      </c>
      <c r="K49">
        <f>IF(VLOOKUP(K$1,main!$A$3:$H$102,5,FALSE)-VLOOKUP($A49,main!$A$3:$H$102,6,FALSE)&gt;=main!$D$103+VLOOKUP(VLOOKUP(K$1,main!$A$3:$I$102,7,FALSE),main!$K$26:$Q$29,3,FALSE),1,0)</f>
        <v>1</v>
      </c>
      <c r="L49">
        <f>IF(VLOOKUP(L$1,main!$A$3:$H$102,5,FALSE)-VLOOKUP($A49,main!$A$3:$H$102,6,FALSE)&gt;=main!$D$103+VLOOKUP(VLOOKUP(L$1,main!$A$3:$I$102,7,FALSE),main!$K$26:$Q$29,3,FALSE),1,0)</f>
        <v>1</v>
      </c>
      <c r="M49">
        <f>IF(VLOOKUP(M$1,main!$A$3:$H$102,5,FALSE)-VLOOKUP($A49,main!$A$3:$H$102,6,FALSE)&gt;=main!$D$103+VLOOKUP(VLOOKUP(M$1,main!$A$3:$I$102,7,FALSE),main!$K$26:$Q$29,3,FALSE),1,0)</f>
        <v>0</v>
      </c>
      <c r="N49">
        <f>IF(VLOOKUP(N$1,main!$A$3:$H$102,5,FALSE)-VLOOKUP($A49,main!$A$3:$H$102,6,FALSE)&gt;=main!$D$103+VLOOKUP(VLOOKUP(N$1,main!$A$3:$I$102,7,FALSE),main!$K$26:$Q$29,3,FALSE),1,0)</f>
        <v>0</v>
      </c>
      <c r="O49">
        <f>IF(VLOOKUP(O$1,main!$A$3:$H$102,5,FALSE)-VLOOKUP($A49,main!$A$3:$H$102,6,FALSE)&gt;=main!$D$103+VLOOKUP(VLOOKUP(O$1,main!$A$3:$I$102,7,FALSE),main!$K$26:$Q$29,3,FALSE),1,0)</f>
        <v>0</v>
      </c>
      <c r="P49">
        <f>IF(VLOOKUP(P$1,main!$A$3:$H$102,5,FALSE)-VLOOKUP($A49,main!$A$3:$H$102,6,FALSE)&gt;=main!$D$103+VLOOKUP(VLOOKUP(P$1,main!$A$3:$I$102,7,FALSE),main!$K$26:$Q$29,3,FALSE),1,0)</f>
        <v>0</v>
      </c>
      <c r="Q49">
        <f>IF(VLOOKUP(Q$1,main!$A$3:$H$102,5,FALSE)-VLOOKUP($A49,main!$A$3:$H$102,6,FALSE)&gt;=main!$D$103+VLOOKUP(VLOOKUP(Q$1,main!$A$3:$I$102,7,FALSE),main!$K$26:$Q$29,3,FALSE),1,0)</f>
        <v>0</v>
      </c>
      <c r="R49">
        <f>IF(VLOOKUP(R$1,main!$A$3:$H$102,5,FALSE)-VLOOKUP($A49,main!$A$3:$H$102,6,FALSE)&gt;=main!$D$103+VLOOKUP(VLOOKUP(R$1,main!$A$3:$I$102,7,FALSE),main!$K$26:$Q$29,3,FALSE),1,0)</f>
        <v>0</v>
      </c>
      <c r="S49">
        <f>IF(VLOOKUP(S$1,main!$A$3:$H$102,5,FALSE)-VLOOKUP($A49,main!$A$3:$H$102,6,FALSE)&gt;=main!$D$103+VLOOKUP(VLOOKUP(S$1,main!$A$3:$I$102,7,FALSE),main!$K$26:$Q$29,3,FALSE),1,0)</f>
        <v>0</v>
      </c>
      <c r="T49">
        <f>IF(VLOOKUP(T$1,main!$A$3:$H$102,5,FALSE)-VLOOKUP($A49,main!$A$3:$H$102,6,FALSE)&gt;=main!$D$103+VLOOKUP(VLOOKUP(T$1,main!$A$3:$I$102,7,FALSE),main!$K$26:$Q$29,3,FALSE),1,0)</f>
        <v>0</v>
      </c>
      <c r="U49">
        <f>IF(VLOOKUP(U$1,main!$A$3:$H$102,5,FALSE)-VLOOKUP($A49,main!$A$3:$H$102,6,FALSE)&gt;=main!$D$103+VLOOKUP(VLOOKUP(U$1,main!$A$3:$I$102,7,FALSE),main!$K$26:$Q$29,3,FALSE),1,0)</f>
        <v>1</v>
      </c>
      <c r="V49">
        <f>IF(VLOOKUP(V$1,main!$A$3:$H$102,5,FALSE)-VLOOKUP($A49,main!$A$3:$H$102,6,FALSE)&gt;=main!$D$103+VLOOKUP(VLOOKUP(V$1,main!$A$3:$I$102,7,FALSE),main!$K$26:$Q$29,3,FALSE),1,0)</f>
        <v>1</v>
      </c>
      <c r="W49">
        <f>IF(VLOOKUP(W$1,main!$A$3:$H$102,5,FALSE)-VLOOKUP($A49,main!$A$3:$H$102,6,FALSE)&gt;=main!$D$103+VLOOKUP(VLOOKUP(W$1,main!$A$3:$I$102,7,FALSE),main!$K$26:$Q$29,3,FALSE),1,0)</f>
        <v>0</v>
      </c>
      <c r="X49">
        <f>IF(VLOOKUP(X$1,main!$A$3:$H$102,5,FALSE)-VLOOKUP($A49,main!$A$3:$H$102,6,FALSE)&gt;=main!$D$103+VLOOKUP(VLOOKUP(X$1,main!$A$3:$I$102,7,FALSE),main!$K$26:$Q$29,3,FALSE),1,0)</f>
        <v>0</v>
      </c>
      <c r="Y49">
        <f>IF(VLOOKUP(Y$1,main!$A$3:$H$102,5,FALSE)-VLOOKUP($A49,main!$A$3:$H$102,6,FALSE)&gt;=main!$D$103+VLOOKUP(VLOOKUP(Y$1,main!$A$3:$I$102,7,FALSE),main!$K$26:$Q$29,3,FALSE),1,0)</f>
        <v>0</v>
      </c>
      <c r="Z49">
        <f>IF(VLOOKUP(Z$1,main!$A$3:$H$102,5,FALSE)-VLOOKUP($A49,main!$A$3:$H$102,6,FALSE)&gt;=main!$D$103+VLOOKUP(VLOOKUP(Z$1,main!$A$3:$I$102,7,FALSE),main!$K$26:$Q$29,3,FALSE),1,0)</f>
        <v>0</v>
      </c>
      <c r="AA49">
        <f>IF(VLOOKUP(AA$1,main!$A$3:$H$102,5,FALSE)-VLOOKUP($A49,main!$A$3:$H$102,6,FALSE)&gt;=main!$D$103+VLOOKUP(VLOOKUP(AA$1,main!$A$3:$I$102,7,FALSE),main!$K$26:$Q$29,3,FALSE),1,0)</f>
        <v>1</v>
      </c>
      <c r="AB49">
        <f>IF(VLOOKUP(AB$1,main!$A$3:$H$102,5,FALSE)-VLOOKUP($A49,main!$A$3:$H$102,6,FALSE)&gt;=main!$D$103+VLOOKUP(VLOOKUP(AB$1,main!$A$3:$I$102,7,FALSE),main!$K$26:$Q$29,3,FALSE),1,0)</f>
        <v>0</v>
      </c>
      <c r="AC49">
        <f>IF(VLOOKUP(AC$1,main!$A$3:$H$102,5,FALSE)-VLOOKUP($A49,main!$A$3:$H$102,6,FALSE)&gt;=main!$D$103+VLOOKUP(VLOOKUP(AC$1,main!$A$3:$I$102,7,FALSE),main!$K$26:$Q$29,3,FALSE),1,0)</f>
        <v>0</v>
      </c>
      <c r="AD49">
        <f>IF(VLOOKUP(AD$1,main!$A$3:$H$102,5,FALSE)-VLOOKUP($A49,main!$A$3:$H$102,6,FALSE)&gt;=main!$D$103+VLOOKUP(VLOOKUP(AD$1,main!$A$3:$I$102,7,FALSE),main!$K$26:$Q$29,3,FALSE),1,0)</f>
        <v>0</v>
      </c>
      <c r="AE49">
        <f>IF(VLOOKUP(AE$1,main!$A$3:$H$102,5,FALSE)-VLOOKUP($A49,main!$A$3:$H$102,6,FALSE)&gt;=main!$D$103+VLOOKUP(VLOOKUP(AE$1,main!$A$3:$I$102,7,FALSE),main!$K$26:$Q$29,3,FALSE),1,0)</f>
        <v>0</v>
      </c>
      <c r="AF49">
        <f>IF(VLOOKUP(AF$1,main!$A$3:$H$102,5,FALSE)-VLOOKUP($A49,main!$A$3:$H$102,6,FALSE)&gt;=main!$D$103+VLOOKUP(VLOOKUP(AF$1,main!$A$3:$I$102,7,FALSE),main!$K$26:$Q$29,3,FALSE),1,0)</f>
        <v>1</v>
      </c>
      <c r="AG49">
        <f>IF(VLOOKUP(AG$1,main!$A$3:$H$102,5,FALSE)-VLOOKUP($A49,main!$A$3:$H$102,6,FALSE)&gt;=main!$D$103+VLOOKUP(VLOOKUP(AG$1,main!$A$3:$I$102,7,FALSE),main!$K$26:$Q$29,3,FALSE),1,0)</f>
        <v>0</v>
      </c>
      <c r="AH49">
        <f>IF(VLOOKUP(AH$1,main!$A$3:$H$102,5,FALSE)-VLOOKUP($A49,main!$A$3:$H$102,6,FALSE)&gt;=main!$D$103+VLOOKUP(VLOOKUP(AH$1,main!$A$3:$I$102,7,FALSE),main!$K$26:$Q$29,3,FALSE),1,0)</f>
        <v>0</v>
      </c>
      <c r="AI49">
        <f>IF(VLOOKUP(AI$1,main!$A$3:$H$102,5,FALSE)-VLOOKUP($A49,main!$A$3:$H$102,6,FALSE)&gt;=main!$D$103+VLOOKUP(VLOOKUP(AI$1,main!$A$3:$I$102,7,FALSE),main!$K$26:$Q$29,3,FALSE),1,0)</f>
        <v>0</v>
      </c>
      <c r="AJ49">
        <f>IF(VLOOKUP(AJ$1,main!$A$3:$H$102,5,FALSE)-VLOOKUP($A49,main!$A$3:$H$102,6,FALSE)&gt;=main!$D$103+VLOOKUP(VLOOKUP(AJ$1,main!$A$3:$I$102,7,FALSE),main!$K$26:$Q$29,3,FALSE),1,0)</f>
        <v>0</v>
      </c>
      <c r="AK49">
        <f>IF(VLOOKUP(AK$1,main!$A$3:$H$102,5,FALSE)-VLOOKUP($A49,main!$A$3:$H$102,6,FALSE)&gt;=main!$D$103+VLOOKUP(VLOOKUP(AK$1,main!$A$3:$I$102,7,FALSE),main!$K$26:$Q$29,3,FALSE),1,0)</f>
        <v>0</v>
      </c>
      <c r="AL49">
        <f>IF(VLOOKUP(AL$1,main!$A$3:$H$102,5,FALSE)-VLOOKUP($A49,main!$A$3:$H$102,6,FALSE)&gt;=main!$D$103+VLOOKUP(VLOOKUP(AL$1,main!$A$3:$I$102,7,FALSE),main!$K$26:$Q$29,3,FALSE),1,0)</f>
        <v>0</v>
      </c>
      <c r="AM49">
        <f>IF(VLOOKUP(AM$1,main!$A$3:$H$102,5,FALSE)-VLOOKUP($A49,main!$A$3:$H$102,6,FALSE)&gt;=main!$D$103+VLOOKUP(VLOOKUP(AM$1,main!$A$3:$I$102,7,FALSE),main!$K$26:$Q$29,3,FALSE),1,0)</f>
        <v>0</v>
      </c>
      <c r="AN49">
        <f>IF(VLOOKUP(AN$1,main!$A$3:$H$102,5,FALSE)-VLOOKUP($A49,main!$A$3:$H$102,6,FALSE)&gt;=main!$D$103+VLOOKUP(VLOOKUP(AN$1,main!$A$3:$I$102,7,FALSE),main!$K$26:$Q$29,3,FALSE),1,0)</f>
        <v>1</v>
      </c>
      <c r="AO49">
        <f>IF(VLOOKUP(AO$1,main!$A$3:$H$102,5,FALSE)-VLOOKUP($A49,main!$A$3:$H$102,6,FALSE)&gt;=main!$D$103+VLOOKUP(VLOOKUP(AO$1,main!$A$3:$I$102,7,FALSE),main!$K$26:$Q$29,3,FALSE),1,0)</f>
        <v>0</v>
      </c>
      <c r="AP49">
        <f>IF(VLOOKUP(AP$1,main!$A$3:$H$102,5,FALSE)-VLOOKUP($A49,main!$A$3:$H$102,6,FALSE)&gt;=main!$D$103+VLOOKUP(VLOOKUP(AP$1,main!$A$3:$I$102,7,FALSE),main!$K$26:$Q$29,3,FALSE),1,0)</f>
        <v>1</v>
      </c>
      <c r="AQ49">
        <f>IF(VLOOKUP(AQ$1,main!$A$3:$H$102,5,FALSE)-VLOOKUP($A49,main!$A$3:$H$102,6,FALSE)&gt;=main!$D$103+VLOOKUP(VLOOKUP(AQ$1,main!$A$3:$I$102,7,FALSE),main!$K$26:$Q$29,3,FALSE),1,0)</f>
        <v>0</v>
      </c>
      <c r="AR49">
        <f>IF(VLOOKUP(AR$1,main!$A$3:$H$102,5,FALSE)-VLOOKUP($A49,main!$A$3:$H$102,6,FALSE)&gt;=main!$D$103+VLOOKUP(VLOOKUP(AR$1,main!$A$3:$I$102,7,FALSE),main!$K$26:$Q$29,3,FALSE),1,0)</f>
        <v>0</v>
      </c>
      <c r="AS49">
        <f>IF(VLOOKUP(AS$1,main!$A$3:$H$102,5,FALSE)-VLOOKUP($A49,main!$A$3:$H$102,6,FALSE)&gt;=main!$D$103+VLOOKUP(VLOOKUP(AS$1,main!$A$3:$I$102,7,FALSE),main!$K$26:$Q$29,3,FALSE),1,0)</f>
        <v>0</v>
      </c>
      <c r="AT49">
        <f>IF(VLOOKUP(AT$1,main!$A$3:$H$102,5,FALSE)-VLOOKUP($A49,main!$A$3:$H$102,6,FALSE)&gt;=main!$D$103+VLOOKUP(VLOOKUP(AT$1,main!$A$3:$I$102,7,FALSE),main!$K$26:$Q$29,3,FALSE),1,0)</f>
        <v>0</v>
      </c>
      <c r="AU49">
        <f>IF(VLOOKUP(AU$1,main!$A$3:$H$102,5,FALSE)-VLOOKUP($A49,main!$A$3:$H$102,6,FALSE)&gt;=main!$D$103+VLOOKUP(VLOOKUP(AU$1,main!$A$3:$I$102,7,FALSE),main!$K$26:$Q$29,3,FALSE),1,0)</f>
        <v>0</v>
      </c>
      <c r="AV49">
        <f>IF(VLOOKUP(AV$1,main!$A$3:$H$102,5,FALSE)-VLOOKUP($A49,main!$A$3:$H$102,6,FALSE)&gt;=main!$D$103+VLOOKUP(VLOOKUP(AV$1,main!$A$3:$I$102,7,FALSE),main!$K$26:$Q$29,3,FALSE),1,0)</f>
        <v>0</v>
      </c>
      <c r="AW49">
        <f>IF(VLOOKUP(AW$1,main!$A$3:$H$102,5,FALSE)-VLOOKUP($A49,main!$A$3:$H$102,6,FALSE)&gt;=main!$D$103+VLOOKUP(VLOOKUP(AW$1,main!$A$3:$I$102,7,FALSE),main!$K$26:$Q$29,3,FALSE),1,0)</f>
        <v>0</v>
      </c>
      <c r="AX49">
        <f>IF(VLOOKUP(AX$1,main!$A$3:$H$102,5,FALSE)-VLOOKUP($A49,main!$A$3:$H$102,6,FALSE)&gt;=main!$D$103+VLOOKUP(VLOOKUP(AX$1,main!$A$3:$I$102,7,FALSE),main!$K$26:$Q$29,3,FALSE),1,0)</f>
        <v>0</v>
      </c>
      <c r="AY49">
        <f>IF(VLOOKUP(AY$1,main!$A$3:$H$102,5,FALSE)-VLOOKUP($A49,main!$A$3:$H$102,6,FALSE)&gt;=main!$D$103+VLOOKUP(VLOOKUP(AY$1,main!$A$3:$I$102,7,FALSE),main!$K$26:$Q$29,3,FALSE),1,0)</f>
        <v>0</v>
      </c>
      <c r="AZ49">
        <f>IF(VLOOKUP(AZ$1,main!$A$3:$H$102,5,FALSE)-VLOOKUP($A49,main!$A$3:$H$102,6,FALSE)&gt;=main!$D$103+VLOOKUP(VLOOKUP(AZ$1,main!$A$3:$I$102,7,FALSE),main!$K$26:$Q$29,3,FALSE),1,0)</f>
        <v>0</v>
      </c>
      <c r="BA49">
        <f>IF(VLOOKUP(BA$1,main!$A$3:$H$102,5,FALSE)-VLOOKUP($A49,main!$A$3:$H$102,6,FALSE)&gt;=main!$D$103+VLOOKUP(VLOOKUP(BA$1,main!$A$3:$I$102,7,FALSE),main!$K$26:$Q$29,3,FALSE),1,0)</f>
        <v>0</v>
      </c>
      <c r="BB49">
        <f>IF(VLOOKUP(BB$1,main!$A$3:$H$102,5,FALSE)-VLOOKUP($A49,main!$A$3:$H$102,6,FALSE)&gt;=main!$D$103+VLOOKUP(VLOOKUP(BB$1,main!$A$3:$I$102,7,FALSE),main!$K$26:$Q$29,3,FALSE),1,0)</f>
        <v>0</v>
      </c>
      <c r="BC49">
        <f>IF(VLOOKUP(BC$1,main!$A$3:$H$102,5,FALSE)-VLOOKUP($A49,main!$A$3:$H$102,6,FALSE)&gt;=main!$D$103+VLOOKUP(VLOOKUP(BC$1,main!$A$3:$I$102,7,FALSE),main!$K$26:$Q$29,3,FALSE),1,0)</f>
        <v>0</v>
      </c>
      <c r="BD49">
        <f>IF(VLOOKUP(BD$1,main!$A$3:$H$102,5,FALSE)-VLOOKUP($A49,main!$A$3:$H$102,6,FALSE)&gt;=main!$D$103+VLOOKUP(VLOOKUP(BD$1,main!$A$3:$I$102,7,FALSE),main!$K$26:$Q$29,3,FALSE),1,0)</f>
        <v>0</v>
      </c>
      <c r="BE49">
        <f>IF(VLOOKUP(BE$1,main!$A$3:$H$102,5,FALSE)-VLOOKUP($A49,main!$A$3:$H$102,6,FALSE)&gt;=main!$D$103+VLOOKUP(VLOOKUP(BE$1,main!$A$3:$I$102,7,FALSE),main!$K$26:$Q$29,3,FALSE),1,0)</f>
        <v>0</v>
      </c>
      <c r="BF49">
        <f>IF(VLOOKUP(BF$1,main!$A$3:$H$102,5,FALSE)-VLOOKUP($A49,main!$A$3:$H$102,6,FALSE)&gt;=main!$D$103+VLOOKUP(VLOOKUP(BF$1,main!$A$3:$I$102,7,FALSE),main!$K$26:$Q$29,3,FALSE),1,0)</f>
        <v>0</v>
      </c>
      <c r="BG49">
        <f>IF(VLOOKUP(BG$1,main!$A$3:$H$102,5,FALSE)-VLOOKUP($A49,main!$A$3:$H$102,6,FALSE)&gt;=main!$D$103+VLOOKUP(VLOOKUP(BG$1,main!$A$3:$I$102,7,FALSE),main!$K$26:$Q$29,3,FALSE),1,0)</f>
        <v>0</v>
      </c>
      <c r="BH49">
        <f>IF(VLOOKUP(BH$1,main!$A$3:$H$102,5,FALSE)-VLOOKUP($A49,main!$A$3:$H$102,6,FALSE)&gt;=main!$D$103+VLOOKUP(VLOOKUP(BH$1,main!$A$3:$I$102,7,FALSE),main!$K$26:$Q$29,3,FALSE),1,0)</f>
        <v>0</v>
      </c>
      <c r="BI49">
        <f>IF(VLOOKUP(BI$1,main!$A$3:$H$102,5,FALSE)-VLOOKUP($A49,main!$A$3:$H$102,6,FALSE)&gt;=main!$D$103+VLOOKUP(VLOOKUP(BI$1,main!$A$3:$I$102,7,FALSE),main!$K$26:$Q$29,3,FALSE),1,0)</f>
        <v>1</v>
      </c>
      <c r="BJ49">
        <f>IF(VLOOKUP(BJ$1,main!$A$3:$H$102,5,FALSE)-VLOOKUP($A49,main!$A$3:$H$102,6,FALSE)&gt;=main!$D$103+VLOOKUP(VLOOKUP(BJ$1,main!$A$3:$I$102,7,FALSE),main!$K$26:$Q$29,3,FALSE),1,0)</f>
        <v>0</v>
      </c>
      <c r="BK49">
        <f>IF(VLOOKUP(BK$1,main!$A$3:$H$102,5,FALSE)-VLOOKUP($A49,main!$A$3:$H$102,6,FALSE)&gt;=main!$D$103+VLOOKUP(VLOOKUP(BK$1,main!$A$3:$I$102,7,FALSE),main!$K$26:$Q$29,3,FALSE),1,0)</f>
        <v>0</v>
      </c>
      <c r="BL49">
        <f>IF(VLOOKUP(BL$1,main!$A$3:$H$102,5,FALSE)-VLOOKUP($A49,main!$A$3:$H$102,6,FALSE)&gt;=main!$D$103+VLOOKUP(VLOOKUP(BL$1,main!$A$3:$I$102,7,FALSE),main!$K$26:$Q$29,3,FALSE),1,0)</f>
        <v>0</v>
      </c>
      <c r="BM49">
        <f>IF(VLOOKUP(BM$1,main!$A$3:$H$102,5,FALSE)-VLOOKUP($A49,main!$A$3:$H$102,6,FALSE)&gt;=main!$D$103+VLOOKUP(VLOOKUP(BM$1,main!$A$3:$I$102,7,FALSE),main!$K$26:$Q$29,3,FALSE),1,0)</f>
        <v>0</v>
      </c>
      <c r="BN49">
        <f>IF(VLOOKUP(BN$1,main!$A$3:$H$102,5,FALSE)-VLOOKUP($A49,main!$A$3:$H$102,6,FALSE)&gt;=main!$D$103+VLOOKUP(VLOOKUP(BN$1,main!$A$3:$I$102,7,FALSE),main!$K$26:$Q$29,3,FALSE),1,0)</f>
        <v>0</v>
      </c>
      <c r="BO49">
        <f>IF(VLOOKUP(BO$1,main!$A$3:$H$102,5,FALSE)-VLOOKUP($A49,main!$A$3:$H$102,6,FALSE)&gt;=main!$D$103+VLOOKUP(VLOOKUP(BO$1,main!$A$3:$I$102,7,FALSE),main!$K$26:$Q$29,3,FALSE),1,0)</f>
        <v>0</v>
      </c>
      <c r="BP49">
        <f>IF(VLOOKUP(BP$1,main!$A$3:$H$102,5,FALSE)-VLOOKUP($A49,main!$A$3:$H$102,6,FALSE)&gt;=main!$D$103+VLOOKUP(VLOOKUP(BP$1,main!$A$3:$I$102,7,FALSE),main!$K$26:$Q$29,3,FALSE),1,0)</f>
        <v>0</v>
      </c>
      <c r="BQ49">
        <f>IF(VLOOKUP(BQ$1,main!$A$3:$H$102,5,FALSE)-VLOOKUP($A49,main!$A$3:$H$102,6,FALSE)&gt;=main!$D$103+VLOOKUP(VLOOKUP(BQ$1,main!$A$3:$I$102,7,FALSE),main!$K$26:$Q$29,3,FALSE),1,0)</f>
        <v>0</v>
      </c>
      <c r="BR49">
        <f>IF(VLOOKUP(BR$1,main!$A$3:$H$102,5,FALSE)-VLOOKUP($A49,main!$A$3:$H$102,6,FALSE)&gt;=main!$D$103+VLOOKUP(VLOOKUP(BR$1,main!$A$3:$I$102,7,FALSE),main!$K$26:$Q$29,3,FALSE),1,0)</f>
        <v>0</v>
      </c>
      <c r="BS49">
        <f>IF(VLOOKUP(BS$1,main!$A$3:$H$102,5,FALSE)-VLOOKUP($A49,main!$A$3:$H$102,6,FALSE)&gt;=main!$D$103+VLOOKUP(VLOOKUP(BS$1,main!$A$3:$I$102,7,FALSE),main!$K$26:$Q$29,3,FALSE),1,0)</f>
        <v>0</v>
      </c>
      <c r="BT49">
        <f>IF(VLOOKUP(BT$1,main!$A$3:$H$102,5,FALSE)-VLOOKUP($A49,main!$A$3:$H$102,6,FALSE)&gt;=main!$D$103+VLOOKUP(VLOOKUP(BT$1,main!$A$3:$I$102,7,FALSE),main!$K$26:$Q$29,3,FALSE),1,0)</f>
        <v>0</v>
      </c>
      <c r="BU49">
        <f>IF(VLOOKUP(BU$1,main!$A$3:$H$102,5,FALSE)-VLOOKUP($A49,main!$A$3:$H$102,6,FALSE)&gt;=main!$D$103+VLOOKUP(VLOOKUP(BU$1,main!$A$3:$I$102,7,FALSE),main!$K$26:$Q$29,3,FALSE),1,0)</f>
        <v>0</v>
      </c>
      <c r="BV49">
        <f>IF(VLOOKUP(BV$1,main!$A$3:$H$102,5,FALSE)-VLOOKUP($A49,main!$A$3:$H$102,6,FALSE)&gt;=main!$D$103+VLOOKUP(VLOOKUP(BV$1,main!$A$3:$I$102,7,FALSE),main!$K$26:$Q$29,3,FALSE),1,0)</f>
        <v>0</v>
      </c>
      <c r="BW49">
        <f>IF(VLOOKUP(BW$1,main!$A$3:$H$102,5,FALSE)-VLOOKUP($A49,main!$A$3:$H$102,6,FALSE)&gt;=main!$D$103+VLOOKUP(VLOOKUP(BW$1,main!$A$3:$I$102,7,FALSE),main!$K$26:$Q$29,3,FALSE),1,0)</f>
        <v>0</v>
      </c>
      <c r="BX49">
        <f>IF(VLOOKUP(BX$1,main!$A$3:$H$102,5,FALSE)-VLOOKUP($A49,main!$A$3:$H$102,6,FALSE)&gt;=main!$D$103+VLOOKUP(VLOOKUP(BX$1,main!$A$3:$I$102,7,FALSE),main!$K$26:$Q$29,3,FALSE),1,0)</f>
        <v>0</v>
      </c>
      <c r="BY49">
        <f>IF(VLOOKUP(BY$1,main!$A$3:$H$102,5,FALSE)-VLOOKUP($A49,main!$A$3:$H$102,6,FALSE)&gt;=main!$D$103+VLOOKUP(VLOOKUP(BY$1,main!$A$3:$I$102,7,FALSE),main!$K$26:$Q$29,3,FALSE),1,0)</f>
        <v>0</v>
      </c>
      <c r="BZ49">
        <f>IF(VLOOKUP(BZ$1,main!$A$3:$H$102,5,FALSE)-VLOOKUP($A49,main!$A$3:$H$102,6,FALSE)&gt;=main!$D$103+VLOOKUP(VLOOKUP(BZ$1,main!$A$3:$I$102,7,FALSE),main!$K$26:$Q$29,3,FALSE),1,0)</f>
        <v>0</v>
      </c>
      <c r="CA49">
        <f>IF(VLOOKUP(CA$1,main!$A$3:$H$102,5,FALSE)-VLOOKUP($A49,main!$A$3:$H$102,6,FALSE)&gt;=main!$D$103+VLOOKUP(VLOOKUP(CA$1,main!$A$3:$I$102,7,FALSE),main!$K$26:$Q$29,3,FALSE),1,0)</f>
        <v>0</v>
      </c>
      <c r="CB49">
        <f>IF(VLOOKUP(CB$1,main!$A$3:$H$102,5,FALSE)-VLOOKUP($A49,main!$A$3:$H$102,6,FALSE)&gt;=main!$D$103+VLOOKUP(VLOOKUP(CB$1,main!$A$3:$I$102,7,FALSE),main!$K$26:$Q$29,3,FALSE),1,0)</f>
        <v>0</v>
      </c>
      <c r="CC49">
        <f>IF(VLOOKUP(CC$1,main!$A$3:$H$102,5,FALSE)-VLOOKUP($A49,main!$A$3:$H$102,6,FALSE)&gt;=main!$D$103+VLOOKUP(VLOOKUP(CC$1,main!$A$3:$I$102,7,FALSE),main!$K$26:$Q$29,3,FALSE),1,0)</f>
        <v>1</v>
      </c>
      <c r="CD49">
        <f>IF(VLOOKUP(CD$1,main!$A$3:$H$102,5,FALSE)-VLOOKUP($A49,main!$A$3:$H$102,6,FALSE)&gt;=main!$D$103+VLOOKUP(VLOOKUP(CD$1,main!$A$3:$I$102,7,FALSE),main!$K$26:$Q$29,3,FALSE),1,0)</f>
        <v>0</v>
      </c>
      <c r="CE49">
        <f>IF(VLOOKUP(CE$1,main!$A$3:$H$102,5,FALSE)-VLOOKUP($A49,main!$A$3:$H$102,6,FALSE)&gt;=main!$D$103+VLOOKUP(VLOOKUP(CE$1,main!$A$3:$I$102,7,FALSE),main!$K$26:$Q$29,3,FALSE),1,0)</f>
        <v>0</v>
      </c>
      <c r="CF49">
        <f>IF(VLOOKUP(CF$1,main!$A$3:$H$102,5,FALSE)-VLOOKUP($A49,main!$A$3:$H$102,6,FALSE)&gt;=main!$D$103+VLOOKUP(VLOOKUP(CF$1,main!$A$3:$I$102,7,FALSE),main!$K$26:$Q$29,3,FALSE),1,0)</f>
        <v>0</v>
      </c>
      <c r="CG49">
        <f>IF(VLOOKUP(CG$1,main!$A$3:$H$102,5,FALSE)-VLOOKUP($A49,main!$A$3:$H$102,6,FALSE)&gt;=main!$D$103+VLOOKUP(VLOOKUP(CG$1,main!$A$3:$I$102,7,FALSE),main!$K$26:$Q$29,3,FALSE),1,0)</f>
        <v>0</v>
      </c>
      <c r="CH49">
        <f>IF(VLOOKUP(CH$1,main!$A$3:$H$102,5,FALSE)-VLOOKUP($A49,main!$A$3:$H$102,6,FALSE)&gt;=main!$D$103+VLOOKUP(VLOOKUP(CH$1,main!$A$3:$I$102,7,FALSE),main!$K$26:$Q$29,3,FALSE),1,0)</f>
        <v>0</v>
      </c>
      <c r="CI49">
        <f>IF(VLOOKUP(CI$1,main!$A$3:$H$102,5,FALSE)-VLOOKUP($A49,main!$A$3:$H$102,6,FALSE)&gt;=main!$D$103+VLOOKUP(VLOOKUP(CI$1,main!$A$3:$I$102,7,FALSE),main!$K$26:$Q$29,3,FALSE),1,0)</f>
        <v>1</v>
      </c>
      <c r="CJ49">
        <f>IF(VLOOKUP(CJ$1,main!$A$3:$H$102,5,FALSE)-VLOOKUP($A49,main!$A$3:$H$102,6,FALSE)&gt;=main!$D$103+VLOOKUP(VLOOKUP(CJ$1,main!$A$3:$I$102,7,FALSE),main!$K$26:$Q$29,3,FALSE),1,0)</f>
        <v>0</v>
      </c>
      <c r="CK49">
        <f>IF(VLOOKUP(CK$1,main!$A$3:$H$102,5,FALSE)-VLOOKUP($A49,main!$A$3:$H$102,6,FALSE)&gt;=main!$D$103+VLOOKUP(VLOOKUP(CK$1,main!$A$3:$I$102,7,FALSE),main!$K$26:$Q$29,3,FALSE),1,0)</f>
        <v>0</v>
      </c>
      <c r="CL49">
        <f>IF(VLOOKUP(CL$1,main!$A$3:$H$102,5,FALSE)-VLOOKUP($A49,main!$A$3:$H$102,6,FALSE)&gt;=main!$D$103+VLOOKUP(VLOOKUP(CL$1,main!$A$3:$I$102,7,FALSE),main!$K$26:$Q$29,3,FALSE),1,0)</f>
        <v>0</v>
      </c>
      <c r="CM49">
        <f>IF(VLOOKUP(CM$1,main!$A$3:$H$102,5,FALSE)-VLOOKUP($A49,main!$A$3:$H$102,6,FALSE)&gt;=main!$D$103+VLOOKUP(VLOOKUP(CM$1,main!$A$3:$I$102,7,FALSE),main!$K$26:$Q$29,3,FALSE),1,0)</f>
        <v>0</v>
      </c>
      <c r="CN49">
        <f>IF(VLOOKUP(CN$1,main!$A$3:$H$102,5,FALSE)-VLOOKUP($A49,main!$A$3:$H$102,6,FALSE)&gt;=main!$D$103+VLOOKUP(VLOOKUP(CN$1,main!$A$3:$I$102,7,FALSE),main!$K$26:$Q$29,3,FALSE),1,0)</f>
        <v>1</v>
      </c>
      <c r="CO49">
        <f>IF(VLOOKUP(CO$1,main!$A$3:$H$102,5,FALSE)-VLOOKUP($A49,main!$A$3:$H$102,6,FALSE)&gt;=main!$D$103+VLOOKUP(VLOOKUP(CO$1,main!$A$3:$I$102,7,FALSE),main!$K$26:$Q$29,3,FALSE),1,0)</f>
        <v>0</v>
      </c>
      <c r="CP49">
        <f>IF(VLOOKUP(CP$1,main!$A$3:$H$102,5,FALSE)-VLOOKUP($A49,main!$A$3:$H$102,6,FALSE)&gt;=main!$D$103+VLOOKUP(VLOOKUP(CP$1,main!$A$3:$I$102,7,FALSE),main!$K$26:$Q$29,3,FALSE),1,0)</f>
        <v>0</v>
      </c>
      <c r="CQ49">
        <f>IF(VLOOKUP(CQ$1,main!$A$3:$H$102,5,FALSE)-VLOOKUP($A49,main!$A$3:$H$102,6,FALSE)&gt;=main!$D$103+VLOOKUP(VLOOKUP(CQ$1,main!$A$3:$I$102,7,FALSE),main!$K$26:$Q$29,3,FALSE),1,0)</f>
        <v>0</v>
      </c>
      <c r="CR49">
        <f>IF(VLOOKUP(CR$1,main!$A$3:$H$102,5,FALSE)-VLOOKUP($A49,main!$A$3:$H$102,6,FALSE)&gt;=main!$D$103+VLOOKUP(VLOOKUP(CR$1,main!$A$3:$I$102,7,FALSE),main!$K$26:$Q$29,3,FALSE),1,0)</f>
        <v>0</v>
      </c>
      <c r="CS49">
        <f>IF(VLOOKUP(CS$1,main!$A$3:$H$102,5,FALSE)-VLOOKUP($A49,main!$A$3:$H$102,6,FALSE)&gt;=main!$D$103+VLOOKUP(VLOOKUP(CS$1,main!$A$3:$I$102,7,FALSE),main!$K$26:$Q$29,3,FALSE),1,0)</f>
        <v>0</v>
      </c>
      <c r="CT49">
        <f>IF(VLOOKUP(CT$1,main!$A$3:$H$102,5,FALSE)-VLOOKUP($A49,main!$A$3:$H$102,6,FALSE)&gt;=main!$D$103+VLOOKUP(VLOOKUP(CT$1,main!$A$3:$I$102,7,FALSE),main!$K$26:$Q$29,3,FALSE),1,0)</f>
        <v>0</v>
      </c>
      <c r="CU49">
        <f>IF(VLOOKUP(CU$1,main!$A$3:$H$102,5,FALSE)-VLOOKUP($A49,main!$A$3:$H$102,6,FALSE)&gt;=main!$D$103+VLOOKUP(VLOOKUP(CU$1,main!$A$3:$I$102,7,FALSE),main!$K$26:$Q$29,3,FALSE),1,0)</f>
        <v>0</v>
      </c>
      <c r="CV49">
        <f>IF(VLOOKUP(CV$1,main!$A$3:$H$102,5,FALSE)-VLOOKUP($A49,main!$A$3:$H$102,6,FALSE)&gt;=main!$D$103+VLOOKUP(VLOOKUP(CV$1,main!$A$3:$I$102,7,FALSE),main!$K$26:$Q$29,3,FALSE),1,0)</f>
        <v>0</v>
      </c>
      <c r="CW49">
        <f>IF(VLOOKUP(CW$1,main!$A$3:$H$102,5,FALSE)-VLOOKUP($A49,main!$A$3:$H$102,6,FALSE)&gt;=main!$D$103+VLOOKUP(VLOOKUP(CW$1,main!$A$3:$I$102,7,FALSE),main!$K$26:$Q$29,3,FALSE),1,0)</f>
        <v>0</v>
      </c>
      <c r="CX49">
        <f>IF(VLOOKUP(CX$1,main!$A$3:$H$102,5,FALSE)-VLOOKUP($A49,main!$A$3:$H$102,6,FALSE)&gt;=main!$D$103+VLOOKUP(VLOOKUP(CX$1,main!$A$3:$I$102,7,FALSE),main!$K$26:$Q$29,3,FALSE),1,0)</f>
        <v>0</v>
      </c>
    </row>
    <row r="50" spans="1:102" x14ac:dyDescent="0.25">
      <c r="A50" s="1">
        <v>48</v>
      </c>
      <c r="B50">
        <v>0</v>
      </c>
      <c r="C50">
        <f>IF(VLOOKUP(C$1,main!$A$3:$H$102,5,FALSE)-VLOOKUP($A50,main!$A$3:$H$102,6,FALSE)&gt;=main!$D$103+VLOOKUP(VLOOKUP(C$1,main!$A$3:$I$102,7,FALSE),main!$K$26:$Q$29,3,FALSE),1,0)</f>
        <v>0</v>
      </c>
      <c r="D50">
        <f>IF(VLOOKUP(D$1,main!$A$3:$H$102,5,FALSE)-VLOOKUP($A50,main!$A$3:$H$102,6,FALSE)&gt;=main!$D$103+VLOOKUP(VLOOKUP(D$1,main!$A$3:$I$102,7,FALSE),main!$K$26:$Q$29,3,FALSE),1,0)</f>
        <v>0</v>
      </c>
      <c r="E50">
        <f>IF(VLOOKUP(E$1,main!$A$3:$H$102,5,FALSE)-VLOOKUP($A50,main!$A$3:$H$102,6,FALSE)&gt;=main!$D$103+VLOOKUP(VLOOKUP(E$1,main!$A$3:$I$102,7,FALSE),main!$K$26:$Q$29,3,FALSE),1,0)</f>
        <v>0</v>
      </c>
      <c r="F50">
        <f>IF(VLOOKUP(F$1,main!$A$3:$H$102,5,FALSE)-VLOOKUP($A50,main!$A$3:$H$102,6,FALSE)&gt;=main!$D$103+VLOOKUP(VLOOKUP(F$1,main!$A$3:$I$102,7,FALSE),main!$K$26:$Q$29,3,FALSE),1,0)</f>
        <v>0</v>
      </c>
      <c r="G50">
        <f>IF(VLOOKUP(G$1,main!$A$3:$H$102,5,FALSE)-VLOOKUP($A50,main!$A$3:$H$102,6,FALSE)&gt;=main!$D$103+VLOOKUP(VLOOKUP(G$1,main!$A$3:$I$102,7,FALSE),main!$K$26:$Q$29,3,FALSE),1,0)</f>
        <v>0</v>
      </c>
      <c r="H50">
        <f>IF(VLOOKUP(H$1,main!$A$3:$H$102,5,FALSE)-VLOOKUP($A50,main!$A$3:$H$102,6,FALSE)&gt;=main!$D$103+VLOOKUP(VLOOKUP(H$1,main!$A$3:$I$102,7,FALSE),main!$K$26:$Q$29,3,FALSE),1,0)</f>
        <v>0</v>
      </c>
      <c r="I50">
        <f>IF(VLOOKUP(I$1,main!$A$3:$H$102,5,FALSE)-VLOOKUP($A50,main!$A$3:$H$102,6,FALSE)&gt;=main!$D$103+VLOOKUP(VLOOKUP(I$1,main!$A$3:$I$102,7,FALSE),main!$K$26:$Q$29,3,FALSE),1,0)</f>
        <v>1</v>
      </c>
      <c r="J50">
        <f>IF(VLOOKUP(J$1,main!$A$3:$H$102,5,FALSE)-VLOOKUP($A50,main!$A$3:$H$102,6,FALSE)&gt;=main!$D$103+VLOOKUP(VLOOKUP(J$1,main!$A$3:$I$102,7,FALSE),main!$K$26:$Q$29,3,FALSE),1,0)</f>
        <v>1</v>
      </c>
      <c r="K50">
        <f>IF(VLOOKUP(K$1,main!$A$3:$H$102,5,FALSE)-VLOOKUP($A50,main!$A$3:$H$102,6,FALSE)&gt;=main!$D$103+VLOOKUP(VLOOKUP(K$1,main!$A$3:$I$102,7,FALSE),main!$K$26:$Q$29,3,FALSE),1,0)</f>
        <v>1</v>
      </c>
      <c r="L50">
        <f>IF(VLOOKUP(L$1,main!$A$3:$H$102,5,FALSE)-VLOOKUP($A50,main!$A$3:$H$102,6,FALSE)&gt;=main!$D$103+VLOOKUP(VLOOKUP(L$1,main!$A$3:$I$102,7,FALSE),main!$K$26:$Q$29,3,FALSE),1,0)</f>
        <v>1</v>
      </c>
      <c r="M50">
        <f>IF(VLOOKUP(M$1,main!$A$3:$H$102,5,FALSE)-VLOOKUP($A50,main!$A$3:$H$102,6,FALSE)&gt;=main!$D$103+VLOOKUP(VLOOKUP(M$1,main!$A$3:$I$102,7,FALSE),main!$K$26:$Q$29,3,FALSE),1,0)</f>
        <v>0</v>
      </c>
      <c r="N50">
        <f>IF(VLOOKUP(N$1,main!$A$3:$H$102,5,FALSE)-VLOOKUP($A50,main!$A$3:$H$102,6,FALSE)&gt;=main!$D$103+VLOOKUP(VLOOKUP(N$1,main!$A$3:$I$102,7,FALSE),main!$K$26:$Q$29,3,FALSE),1,0)</f>
        <v>0</v>
      </c>
      <c r="O50">
        <f>IF(VLOOKUP(O$1,main!$A$3:$H$102,5,FALSE)-VLOOKUP($A50,main!$A$3:$H$102,6,FALSE)&gt;=main!$D$103+VLOOKUP(VLOOKUP(O$1,main!$A$3:$I$102,7,FALSE),main!$K$26:$Q$29,3,FALSE),1,0)</f>
        <v>0</v>
      </c>
      <c r="P50">
        <f>IF(VLOOKUP(P$1,main!$A$3:$H$102,5,FALSE)-VLOOKUP($A50,main!$A$3:$H$102,6,FALSE)&gt;=main!$D$103+VLOOKUP(VLOOKUP(P$1,main!$A$3:$I$102,7,FALSE),main!$K$26:$Q$29,3,FALSE),1,0)</f>
        <v>0</v>
      </c>
      <c r="Q50">
        <f>IF(VLOOKUP(Q$1,main!$A$3:$H$102,5,FALSE)-VLOOKUP($A50,main!$A$3:$H$102,6,FALSE)&gt;=main!$D$103+VLOOKUP(VLOOKUP(Q$1,main!$A$3:$I$102,7,FALSE),main!$K$26:$Q$29,3,FALSE),1,0)</f>
        <v>0</v>
      </c>
      <c r="R50">
        <f>IF(VLOOKUP(R$1,main!$A$3:$H$102,5,FALSE)-VLOOKUP($A50,main!$A$3:$H$102,6,FALSE)&gt;=main!$D$103+VLOOKUP(VLOOKUP(R$1,main!$A$3:$I$102,7,FALSE),main!$K$26:$Q$29,3,FALSE),1,0)</f>
        <v>0</v>
      </c>
      <c r="S50">
        <f>IF(VLOOKUP(S$1,main!$A$3:$H$102,5,FALSE)-VLOOKUP($A50,main!$A$3:$H$102,6,FALSE)&gt;=main!$D$103+VLOOKUP(VLOOKUP(S$1,main!$A$3:$I$102,7,FALSE),main!$K$26:$Q$29,3,FALSE),1,0)</f>
        <v>0</v>
      </c>
      <c r="T50">
        <f>IF(VLOOKUP(T$1,main!$A$3:$H$102,5,FALSE)-VLOOKUP($A50,main!$A$3:$H$102,6,FALSE)&gt;=main!$D$103+VLOOKUP(VLOOKUP(T$1,main!$A$3:$I$102,7,FALSE),main!$K$26:$Q$29,3,FALSE),1,0)</f>
        <v>1</v>
      </c>
      <c r="U50">
        <f>IF(VLOOKUP(U$1,main!$A$3:$H$102,5,FALSE)-VLOOKUP($A50,main!$A$3:$H$102,6,FALSE)&gt;=main!$D$103+VLOOKUP(VLOOKUP(U$1,main!$A$3:$I$102,7,FALSE),main!$K$26:$Q$29,3,FALSE),1,0)</f>
        <v>1</v>
      </c>
      <c r="V50">
        <f>IF(VLOOKUP(V$1,main!$A$3:$H$102,5,FALSE)-VLOOKUP($A50,main!$A$3:$H$102,6,FALSE)&gt;=main!$D$103+VLOOKUP(VLOOKUP(V$1,main!$A$3:$I$102,7,FALSE),main!$K$26:$Q$29,3,FALSE),1,0)</f>
        <v>1</v>
      </c>
      <c r="W50">
        <f>IF(VLOOKUP(W$1,main!$A$3:$H$102,5,FALSE)-VLOOKUP($A50,main!$A$3:$H$102,6,FALSE)&gt;=main!$D$103+VLOOKUP(VLOOKUP(W$1,main!$A$3:$I$102,7,FALSE),main!$K$26:$Q$29,3,FALSE),1,0)</f>
        <v>0</v>
      </c>
      <c r="X50">
        <f>IF(VLOOKUP(X$1,main!$A$3:$H$102,5,FALSE)-VLOOKUP($A50,main!$A$3:$H$102,6,FALSE)&gt;=main!$D$103+VLOOKUP(VLOOKUP(X$1,main!$A$3:$I$102,7,FALSE),main!$K$26:$Q$29,3,FALSE),1,0)</f>
        <v>0</v>
      </c>
      <c r="Y50">
        <f>IF(VLOOKUP(Y$1,main!$A$3:$H$102,5,FALSE)-VLOOKUP($A50,main!$A$3:$H$102,6,FALSE)&gt;=main!$D$103+VLOOKUP(VLOOKUP(Y$1,main!$A$3:$I$102,7,FALSE),main!$K$26:$Q$29,3,FALSE),1,0)</f>
        <v>0</v>
      </c>
      <c r="Z50">
        <f>IF(VLOOKUP(Z$1,main!$A$3:$H$102,5,FALSE)-VLOOKUP($A50,main!$A$3:$H$102,6,FALSE)&gt;=main!$D$103+VLOOKUP(VLOOKUP(Z$1,main!$A$3:$I$102,7,FALSE),main!$K$26:$Q$29,3,FALSE),1,0)</f>
        <v>1</v>
      </c>
      <c r="AA50">
        <f>IF(VLOOKUP(AA$1,main!$A$3:$H$102,5,FALSE)-VLOOKUP($A50,main!$A$3:$H$102,6,FALSE)&gt;=main!$D$103+VLOOKUP(VLOOKUP(AA$1,main!$A$3:$I$102,7,FALSE),main!$K$26:$Q$29,3,FALSE),1,0)</f>
        <v>1</v>
      </c>
      <c r="AB50">
        <f>IF(VLOOKUP(AB$1,main!$A$3:$H$102,5,FALSE)-VLOOKUP($A50,main!$A$3:$H$102,6,FALSE)&gt;=main!$D$103+VLOOKUP(VLOOKUP(AB$1,main!$A$3:$I$102,7,FALSE),main!$K$26:$Q$29,3,FALSE),1,0)</f>
        <v>0</v>
      </c>
      <c r="AC50">
        <f>IF(VLOOKUP(AC$1,main!$A$3:$H$102,5,FALSE)-VLOOKUP($A50,main!$A$3:$H$102,6,FALSE)&gt;=main!$D$103+VLOOKUP(VLOOKUP(AC$1,main!$A$3:$I$102,7,FALSE),main!$K$26:$Q$29,3,FALSE),1,0)</f>
        <v>0</v>
      </c>
      <c r="AD50">
        <f>IF(VLOOKUP(AD$1,main!$A$3:$H$102,5,FALSE)-VLOOKUP($A50,main!$A$3:$H$102,6,FALSE)&gt;=main!$D$103+VLOOKUP(VLOOKUP(AD$1,main!$A$3:$I$102,7,FALSE),main!$K$26:$Q$29,3,FALSE),1,0)</f>
        <v>0</v>
      </c>
      <c r="AE50">
        <f>IF(VLOOKUP(AE$1,main!$A$3:$H$102,5,FALSE)-VLOOKUP($A50,main!$A$3:$H$102,6,FALSE)&gt;=main!$D$103+VLOOKUP(VLOOKUP(AE$1,main!$A$3:$I$102,7,FALSE),main!$K$26:$Q$29,3,FALSE),1,0)</f>
        <v>1</v>
      </c>
      <c r="AF50">
        <f>IF(VLOOKUP(AF$1,main!$A$3:$H$102,5,FALSE)-VLOOKUP($A50,main!$A$3:$H$102,6,FALSE)&gt;=main!$D$103+VLOOKUP(VLOOKUP(AF$1,main!$A$3:$I$102,7,FALSE),main!$K$26:$Q$29,3,FALSE),1,0)</f>
        <v>1</v>
      </c>
      <c r="AG50">
        <f>IF(VLOOKUP(AG$1,main!$A$3:$H$102,5,FALSE)-VLOOKUP($A50,main!$A$3:$H$102,6,FALSE)&gt;=main!$D$103+VLOOKUP(VLOOKUP(AG$1,main!$A$3:$I$102,7,FALSE),main!$K$26:$Q$29,3,FALSE),1,0)</f>
        <v>0</v>
      </c>
      <c r="AH50">
        <f>IF(VLOOKUP(AH$1,main!$A$3:$H$102,5,FALSE)-VLOOKUP($A50,main!$A$3:$H$102,6,FALSE)&gt;=main!$D$103+VLOOKUP(VLOOKUP(AH$1,main!$A$3:$I$102,7,FALSE),main!$K$26:$Q$29,3,FALSE),1,0)</f>
        <v>0</v>
      </c>
      <c r="AI50">
        <f>IF(VLOOKUP(AI$1,main!$A$3:$H$102,5,FALSE)-VLOOKUP($A50,main!$A$3:$H$102,6,FALSE)&gt;=main!$D$103+VLOOKUP(VLOOKUP(AI$1,main!$A$3:$I$102,7,FALSE),main!$K$26:$Q$29,3,FALSE),1,0)</f>
        <v>0</v>
      </c>
      <c r="AJ50">
        <f>IF(VLOOKUP(AJ$1,main!$A$3:$H$102,5,FALSE)-VLOOKUP($A50,main!$A$3:$H$102,6,FALSE)&gt;=main!$D$103+VLOOKUP(VLOOKUP(AJ$1,main!$A$3:$I$102,7,FALSE),main!$K$26:$Q$29,3,FALSE),1,0)</f>
        <v>0</v>
      </c>
      <c r="AK50">
        <f>IF(VLOOKUP(AK$1,main!$A$3:$H$102,5,FALSE)-VLOOKUP($A50,main!$A$3:$H$102,6,FALSE)&gt;=main!$D$103+VLOOKUP(VLOOKUP(AK$1,main!$A$3:$I$102,7,FALSE),main!$K$26:$Q$29,3,FALSE),1,0)</f>
        <v>0</v>
      </c>
      <c r="AL50">
        <f>IF(VLOOKUP(AL$1,main!$A$3:$H$102,5,FALSE)-VLOOKUP($A50,main!$A$3:$H$102,6,FALSE)&gt;=main!$D$103+VLOOKUP(VLOOKUP(AL$1,main!$A$3:$I$102,7,FALSE),main!$K$26:$Q$29,3,FALSE),1,0)</f>
        <v>1</v>
      </c>
      <c r="AM50">
        <f>IF(VLOOKUP(AM$1,main!$A$3:$H$102,5,FALSE)-VLOOKUP($A50,main!$A$3:$H$102,6,FALSE)&gt;=main!$D$103+VLOOKUP(VLOOKUP(AM$1,main!$A$3:$I$102,7,FALSE),main!$K$26:$Q$29,3,FALSE),1,0)</f>
        <v>1</v>
      </c>
      <c r="AN50">
        <f>IF(VLOOKUP(AN$1,main!$A$3:$H$102,5,FALSE)-VLOOKUP($A50,main!$A$3:$H$102,6,FALSE)&gt;=main!$D$103+VLOOKUP(VLOOKUP(AN$1,main!$A$3:$I$102,7,FALSE),main!$K$26:$Q$29,3,FALSE),1,0)</f>
        <v>1</v>
      </c>
      <c r="AO50">
        <f>IF(VLOOKUP(AO$1,main!$A$3:$H$102,5,FALSE)-VLOOKUP($A50,main!$A$3:$H$102,6,FALSE)&gt;=main!$D$103+VLOOKUP(VLOOKUP(AO$1,main!$A$3:$I$102,7,FALSE),main!$K$26:$Q$29,3,FALSE),1,0)</f>
        <v>0</v>
      </c>
      <c r="AP50">
        <f>IF(VLOOKUP(AP$1,main!$A$3:$H$102,5,FALSE)-VLOOKUP($A50,main!$A$3:$H$102,6,FALSE)&gt;=main!$D$103+VLOOKUP(VLOOKUP(AP$1,main!$A$3:$I$102,7,FALSE),main!$K$26:$Q$29,3,FALSE),1,0)</f>
        <v>1</v>
      </c>
      <c r="AQ50">
        <f>IF(VLOOKUP(AQ$1,main!$A$3:$H$102,5,FALSE)-VLOOKUP($A50,main!$A$3:$H$102,6,FALSE)&gt;=main!$D$103+VLOOKUP(VLOOKUP(AQ$1,main!$A$3:$I$102,7,FALSE),main!$K$26:$Q$29,3,FALSE),1,0)</f>
        <v>0</v>
      </c>
      <c r="AR50">
        <f>IF(VLOOKUP(AR$1,main!$A$3:$H$102,5,FALSE)-VLOOKUP($A50,main!$A$3:$H$102,6,FALSE)&gt;=main!$D$103+VLOOKUP(VLOOKUP(AR$1,main!$A$3:$I$102,7,FALSE),main!$K$26:$Q$29,3,FALSE),1,0)</f>
        <v>0</v>
      </c>
      <c r="AS50">
        <f>IF(VLOOKUP(AS$1,main!$A$3:$H$102,5,FALSE)-VLOOKUP($A50,main!$A$3:$H$102,6,FALSE)&gt;=main!$D$103+VLOOKUP(VLOOKUP(AS$1,main!$A$3:$I$102,7,FALSE),main!$K$26:$Q$29,3,FALSE),1,0)</f>
        <v>0</v>
      </c>
      <c r="AT50">
        <f>IF(VLOOKUP(AT$1,main!$A$3:$H$102,5,FALSE)-VLOOKUP($A50,main!$A$3:$H$102,6,FALSE)&gt;=main!$D$103+VLOOKUP(VLOOKUP(AT$1,main!$A$3:$I$102,7,FALSE),main!$K$26:$Q$29,3,FALSE),1,0)</f>
        <v>1</v>
      </c>
      <c r="AU50">
        <f>IF(VLOOKUP(AU$1,main!$A$3:$H$102,5,FALSE)-VLOOKUP($A50,main!$A$3:$H$102,6,FALSE)&gt;=main!$D$103+VLOOKUP(VLOOKUP(AU$1,main!$A$3:$I$102,7,FALSE),main!$K$26:$Q$29,3,FALSE),1,0)</f>
        <v>0</v>
      </c>
      <c r="AV50">
        <f>IF(VLOOKUP(AV$1,main!$A$3:$H$102,5,FALSE)-VLOOKUP($A50,main!$A$3:$H$102,6,FALSE)&gt;=main!$D$103+VLOOKUP(VLOOKUP(AV$1,main!$A$3:$I$102,7,FALSE),main!$K$26:$Q$29,3,FALSE),1,0)</f>
        <v>0</v>
      </c>
      <c r="AW50">
        <f>IF(VLOOKUP(AW$1,main!$A$3:$H$102,5,FALSE)-VLOOKUP($A50,main!$A$3:$H$102,6,FALSE)&gt;=main!$D$103+VLOOKUP(VLOOKUP(AW$1,main!$A$3:$I$102,7,FALSE),main!$K$26:$Q$29,3,FALSE),1,0)</f>
        <v>0</v>
      </c>
      <c r="AX50">
        <f>IF(VLOOKUP(AX$1,main!$A$3:$H$102,5,FALSE)-VLOOKUP($A50,main!$A$3:$H$102,6,FALSE)&gt;=main!$D$103+VLOOKUP(VLOOKUP(AX$1,main!$A$3:$I$102,7,FALSE),main!$K$26:$Q$29,3,FALSE),1,0)</f>
        <v>0</v>
      </c>
      <c r="AY50">
        <f>IF(VLOOKUP(AY$1,main!$A$3:$H$102,5,FALSE)-VLOOKUP($A50,main!$A$3:$H$102,6,FALSE)&gt;=main!$D$103+VLOOKUP(VLOOKUP(AY$1,main!$A$3:$I$102,7,FALSE),main!$K$26:$Q$29,3,FALSE),1,0)</f>
        <v>0</v>
      </c>
      <c r="AZ50">
        <f>IF(VLOOKUP(AZ$1,main!$A$3:$H$102,5,FALSE)-VLOOKUP($A50,main!$A$3:$H$102,6,FALSE)&gt;=main!$D$103+VLOOKUP(VLOOKUP(AZ$1,main!$A$3:$I$102,7,FALSE),main!$K$26:$Q$29,3,FALSE),1,0)</f>
        <v>0</v>
      </c>
      <c r="BA50">
        <f>IF(VLOOKUP(BA$1,main!$A$3:$H$102,5,FALSE)-VLOOKUP($A50,main!$A$3:$H$102,6,FALSE)&gt;=main!$D$103+VLOOKUP(VLOOKUP(BA$1,main!$A$3:$I$102,7,FALSE),main!$K$26:$Q$29,3,FALSE),1,0)</f>
        <v>0</v>
      </c>
      <c r="BB50">
        <f>IF(VLOOKUP(BB$1,main!$A$3:$H$102,5,FALSE)-VLOOKUP($A50,main!$A$3:$H$102,6,FALSE)&gt;=main!$D$103+VLOOKUP(VLOOKUP(BB$1,main!$A$3:$I$102,7,FALSE),main!$K$26:$Q$29,3,FALSE),1,0)</f>
        <v>0</v>
      </c>
      <c r="BC50">
        <f>IF(VLOOKUP(BC$1,main!$A$3:$H$102,5,FALSE)-VLOOKUP($A50,main!$A$3:$H$102,6,FALSE)&gt;=main!$D$103+VLOOKUP(VLOOKUP(BC$1,main!$A$3:$I$102,7,FALSE),main!$K$26:$Q$29,3,FALSE),1,0)</f>
        <v>0</v>
      </c>
      <c r="BD50">
        <f>IF(VLOOKUP(BD$1,main!$A$3:$H$102,5,FALSE)-VLOOKUP($A50,main!$A$3:$H$102,6,FALSE)&gt;=main!$D$103+VLOOKUP(VLOOKUP(BD$1,main!$A$3:$I$102,7,FALSE),main!$K$26:$Q$29,3,FALSE),1,0)</f>
        <v>0</v>
      </c>
      <c r="BE50">
        <f>IF(VLOOKUP(BE$1,main!$A$3:$H$102,5,FALSE)-VLOOKUP($A50,main!$A$3:$H$102,6,FALSE)&gt;=main!$D$103+VLOOKUP(VLOOKUP(BE$1,main!$A$3:$I$102,7,FALSE),main!$K$26:$Q$29,3,FALSE),1,0)</f>
        <v>1</v>
      </c>
      <c r="BF50">
        <f>IF(VLOOKUP(BF$1,main!$A$3:$H$102,5,FALSE)-VLOOKUP($A50,main!$A$3:$H$102,6,FALSE)&gt;=main!$D$103+VLOOKUP(VLOOKUP(BF$1,main!$A$3:$I$102,7,FALSE),main!$K$26:$Q$29,3,FALSE),1,0)</f>
        <v>0</v>
      </c>
      <c r="BG50">
        <f>IF(VLOOKUP(BG$1,main!$A$3:$H$102,5,FALSE)-VLOOKUP($A50,main!$A$3:$H$102,6,FALSE)&gt;=main!$D$103+VLOOKUP(VLOOKUP(BG$1,main!$A$3:$I$102,7,FALSE),main!$K$26:$Q$29,3,FALSE),1,0)</f>
        <v>0</v>
      </c>
      <c r="BH50">
        <f>IF(VLOOKUP(BH$1,main!$A$3:$H$102,5,FALSE)-VLOOKUP($A50,main!$A$3:$H$102,6,FALSE)&gt;=main!$D$103+VLOOKUP(VLOOKUP(BH$1,main!$A$3:$I$102,7,FALSE),main!$K$26:$Q$29,3,FALSE),1,0)</f>
        <v>0</v>
      </c>
      <c r="BI50">
        <f>IF(VLOOKUP(BI$1,main!$A$3:$H$102,5,FALSE)-VLOOKUP($A50,main!$A$3:$H$102,6,FALSE)&gt;=main!$D$103+VLOOKUP(VLOOKUP(BI$1,main!$A$3:$I$102,7,FALSE),main!$K$26:$Q$29,3,FALSE),1,0)</f>
        <v>1</v>
      </c>
      <c r="BJ50">
        <f>IF(VLOOKUP(BJ$1,main!$A$3:$H$102,5,FALSE)-VLOOKUP($A50,main!$A$3:$H$102,6,FALSE)&gt;=main!$D$103+VLOOKUP(VLOOKUP(BJ$1,main!$A$3:$I$102,7,FALSE),main!$K$26:$Q$29,3,FALSE),1,0)</f>
        <v>1</v>
      </c>
      <c r="BK50">
        <f>IF(VLOOKUP(BK$1,main!$A$3:$H$102,5,FALSE)-VLOOKUP($A50,main!$A$3:$H$102,6,FALSE)&gt;=main!$D$103+VLOOKUP(VLOOKUP(BK$1,main!$A$3:$I$102,7,FALSE),main!$K$26:$Q$29,3,FALSE),1,0)</f>
        <v>0</v>
      </c>
      <c r="BL50">
        <f>IF(VLOOKUP(BL$1,main!$A$3:$H$102,5,FALSE)-VLOOKUP($A50,main!$A$3:$H$102,6,FALSE)&gt;=main!$D$103+VLOOKUP(VLOOKUP(BL$1,main!$A$3:$I$102,7,FALSE),main!$K$26:$Q$29,3,FALSE),1,0)</f>
        <v>0</v>
      </c>
      <c r="BM50">
        <f>IF(VLOOKUP(BM$1,main!$A$3:$H$102,5,FALSE)-VLOOKUP($A50,main!$A$3:$H$102,6,FALSE)&gt;=main!$D$103+VLOOKUP(VLOOKUP(BM$1,main!$A$3:$I$102,7,FALSE),main!$K$26:$Q$29,3,FALSE),1,0)</f>
        <v>0</v>
      </c>
      <c r="BN50">
        <f>IF(VLOOKUP(BN$1,main!$A$3:$H$102,5,FALSE)-VLOOKUP($A50,main!$A$3:$H$102,6,FALSE)&gt;=main!$D$103+VLOOKUP(VLOOKUP(BN$1,main!$A$3:$I$102,7,FALSE),main!$K$26:$Q$29,3,FALSE),1,0)</f>
        <v>0</v>
      </c>
      <c r="BO50">
        <f>IF(VLOOKUP(BO$1,main!$A$3:$H$102,5,FALSE)-VLOOKUP($A50,main!$A$3:$H$102,6,FALSE)&gt;=main!$D$103+VLOOKUP(VLOOKUP(BO$1,main!$A$3:$I$102,7,FALSE),main!$K$26:$Q$29,3,FALSE),1,0)</f>
        <v>0</v>
      </c>
      <c r="BP50">
        <f>IF(VLOOKUP(BP$1,main!$A$3:$H$102,5,FALSE)-VLOOKUP($A50,main!$A$3:$H$102,6,FALSE)&gt;=main!$D$103+VLOOKUP(VLOOKUP(BP$1,main!$A$3:$I$102,7,FALSE),main!$K$26:$Q$29,3,FALSE),1,0)</f>
        <v>0</v>
      </c>
      <c r="BQ50">
        <f>IF(VLOOKUP(BQ$1,main!$A$3:$H$102,5,FALSE)-VLOOKUP($A50,main!$A$3:$H$102,6,FALSE)&gt;=main!$D$103+VLOOKUP(VLOOKUP(BQ$1,main!$A$3:$I$102,7,FALSE),main!$K$26:$Q$29,3,FALSE),1,0)</f>
        <v>0</v>
      </c>
      <c r="BR50">
        <f>IF(VLOOKUP(BR$1,main!$A$3:$H$102,5,FALSE)-VLOOKUP($A50,main!$A$3:$H$102,6,FALSE)&gt;=main!$D$103+VLOOKUP(VLOOKUP(BR$1,main!$A$3:$I$102,7,FALSE),main!$K$26:$Q$29,3,FALSE),1,0)</f>
        <v>0</v>
      </c>
      <c r="BS50">
        <f>IF(VLOOKUP(BS$1,main!$A$3:$H$102,5,FALSE)-VLOOKUP($A50,main!$A$3:$H$102,6,FALSE)&gt;=main!$D$103+VLOOKUP(VLOOKUP(BS$1,main!$A$3:$I$102,7,FALSE),main!$K$26:$Q$29,3,FALSE),1,0)</f>
        <v>0</v>
      </c>
      <c r="BT50">
        <f>IF(VLOOKUP(BT$1,main!$A$3:$H$102,5,FALSE)-VLOOKUP($A50,main!$A$3:$H$102,6,FALSE)&gt;=main!$D$103+VLOOKUP(VLOOKUP(BT$1,main!$A$3:$I$102,7,FALSE),main!$K$26:$Q$29,3,FALSE),1,0)</f>
        <v>0</v>
      </c>
      <c r="BU50">
        <f>IF(VLOOKUP(BU$1,main!$A$3:$H$102,5,FALSE)-VLOOKUP($A50,main!$A$3:$H$102,6,FALSE)&gt;=main!$D$103+VLOOKUP(VLOOKUP(BU$1,main!$A$3:$I$102,7,FALSE),main!$K$26:$Q$29,3,FALSE),1,0)</f>
        <v>0</v>
      </c>
      <c r="BV50">
        <f>IF(VLOOKUP(BV$1,main!$A$3:$H$102,5,FALSE)-VLOOKUP($A50,main!$A$3:$H$102,6,FALSE)&gt;=main!$D$103+VLOOKUP(VLOOKUP(BV$1,main!$A$3:$I$102,7,FALSE),main!$K$26:$Q$29,3,FALSE),1,0)</f>
        <v>0</v>
      </c>
      <c r="BW50">
        <f>IF(VLOOKUP(BW$1,main!$A$3:$H$102,5,FALSE)-VLOOKUP($A50,main!$A$3:$H$102,6,FALSE)&gt;=main!$D$103+VLOOKUP(VLOOKUP(BW$1,main!$A$3:$I$102,7,FALSE),main!$K$26:$Q$29,3,FALSE),1,0)</f>
        <v>0</v>
      </c>
      <c r="BX50">
        <f>IF(VLOOKUP(BX$1,main!$A$3:$H$102,5,FALSE)-VLOOKUP($A50,main!$A$3:$H$102,6,FALSE)&gt;=main!$D$103+VLOOKUP(VLOOKUP(BX$1,main!$A$3:$I$102,7,FALSE),main!$K$26:$Q$29,3,FALSE),1,0)</f>
        <v>0</v>
      </c>
      <c r="BY50">
        <f>IF(VLOOKUP(BY$1,main!$A$3:$H$102,5,FALSE)-VLOOKUP($A50,main!$A$3:$H$102,6,FALSE)&gt;=main!$D$103+VLOOKUP(VLOOKUP(BY$1,main!$A$3:$I$102,7,FALSE),main!$K$26:$Q$29,3,FALSE),1,0)</f>
        <v>0</v>
      </c>
      <c r="BZ50">
        <f>IF(VLOOKUP(BZ$1,main!$A$3:$H$102,5,FALSE)-VLOOKUP($A50,main!$A$3:$H$102,6,FALSE)&gt;=main!$D$103+VLOOKUP(VLOOKUP(BZ$1,main!$A$3:$I$102,7,FALSE),main!$K$26:$Q$29,3,FALSE),1,0)</f>
        <v>0</v>
      </c>
      <c r="CA50">
        <f>IF(VLOOKUP(CA$1,main!$A$3:$H$102,5,FALSE)-VLOOKUP($A50,main!$A$3:$H$102,6,FALSE)&gt;=main!$D$103+VLOOKUP(VLOOKUP(CA$1,main!$A$3:$I$102,7,FALSE),main!$K$26:$Q$29,3,FALSE),1,0)</f>
        <v>0</v>
      </c>
      <c r="CB50">
        <f>IF(VLOOKUP(CB$1,main!$A$3:$H$102,5,FALSE)-VLOOKUP($A50,main!$A$3:$H$102,6,FALSE)&gt;=main!$D$103+VLOOKUP(VLOOKUP(CB$1,main!$A$3:$I$102,7,FALSE),main!$K$26:$Q$29,3,FALSE),1,0)</f>
        <v>0</v>
      </c>
      <c r="CC50">
        <f>IF(VLOOKUP(CC$1,main!$A$3:$H$102,5,FALSE)-VLOOKUP($A50,main!$A$3:$H$102,6,FALSE)&gt;=main!$D$103+VLOOKUP(VLOOKUP(CC$1,main!$A$3:$I$102,7,FALSE),main!$K$26:$Q$29,3,FALSE),1,0)</f>
        <v>1</v>
      </c>
      <c r="CD50">
        <f>IF(VLOOKUP(CD$1,main!$A$3:$H$102,5,FALSE)-VLOOKUP($A50,main!$A$3:$H$102,6,FALSE)&gt;=main!$D$103+VLOOKUP(VLOOKUP(CD$1,main!$A$3:$I$102,7,FALSE),main!$K$26:$Q$29,3,FALSE),1,0)</f>
        <v>0</v>
      </c>
      <c r="CE50">
        <f>IF(VLOOKUP(CE$1,main!$A$3:$H$102,5,FALSE)-VLOOKUP($A50,main!$A$3:$H$102,6,FALSE)&gt;=main!$D$103+VLOOKUP(VLOOKUP(CE$1,main!$A$3:$I$102,7,FALSE),main!$K$26:$Q$29,3,FALSE),1,0)</f>
        <v>0</v>
      </c>
      <c r="CF50">
        <f>IF(VLOOKUP(CF$1,main!$A$3:$H$102,5,FALSE)-VLOOKUP($A50,main!$A$3:$H$102,6,FALSE)&gt;=main!$D$103+VLOOKUP(VLOOKUP(CF$1,main!$A$3:$I$102,7,FALSE),main!$K$26:$Q$29,3,FALSE),1,0)</f>
        <v>0</v>
      </c>
      <c r="CG50">
        <f>IF(VLOOKUP(CG$1,main!$A$3:$H$102,5,FALSE)-VLOOKUP($A50,main!$A$3:$H$102,6,FALSE)&gt;=main!$D$103+VLOOKUP(VLOOKUP(CG$1,main!$A$3:$I$102,7,FALSE),main!$K$26:$Q$29,3,FALSE),1,0)</f>
        <v>0</v>
      </c>
      <c r="CH50">
        <f>IF(VLOOKUP(CH$1,main!$A$3:$H$102,5,FALSE)-VLOOKUP($A50,main!$A$3:$H$102,6,FALSE)&gt;=main!$D$103+VLOOKUP(VLOOKUP(CH$1,main!$A$3:$I$102,7,FALSE),main!$K$26:$Q$29,3,FALSE),1,0)</f>
        <v>1</v>
      </c>
      <c r="CI50">
        <f>IF(VLOOKUP(CI$1,main!$A$3:$H$102,5,FALSE)-VLOOKUP($A50,main!$A$3:$H$102,6,FALSE)&gt;=main!$D$103+VLOOKUP(VLOOKUP(CI$1,main!$A$3:$I$102,7,FALSE),main!$K$26:$Q$29,3,FALSE),1,0)</f>
        <v>1</v>
      </c>
      <c r="CJ50">
        <f>IF(VLOOKUP(CJ$1,main!$A$3:$H$102,5,FALSE)-VLOOKUP($A50,main!$A$3:$H$102,6,FALSE)&gt;=main!$D$103+VLOOKUP(VLOOKUP(CJ$1,main!$A$3:$I$102,7,FALSE),main!$K$26:$Q$29,3,FALSE),1,0)</f>
        <v>0</v>
      </c>
      <c r="CK50">
        <f>IF(VLOOKUP(CK$1,main!$A$3:$H$102,5,FALSE)-VLOOKUP($A50,main!$A$3:$H$102,6,FALSE)&gt;=main!$D$103+VLOOKUP(VLOOKUP(CK$1,main!$A$3:$I$102,7,FALSE),main!$K$26:$Q$29,3,FALSE),1,0)</f>
        <v>0</v>
      </c>
      <c r="CL50">
        <f>IF(VLOOKUP(CL$1,main!$A$3:$H$102,5,FALSE)-VLOOKUP($A50,main!$A$3:$H$102,6,FALSE)&gt;=main!$D$103+VLOOKUP(VLOOKUP(CL$1,main!$A$3:$I$102,7,FALSE),main!$K$26:$Q$29,3,FALSE),1,0)</f>
        <v>0</v>
      </c>
      <c r="CM50">
        <f>IF(VLOOKUP(CM$1,main!$A$3:$H$102,5,FALSE)-VLOOKUP($A50,main!$A$3:$H$102,6,FALSE)&gt;=main!$D$103+VLOOKUP(VLOOKUP(CM$1,main!$A$3:$I$102,7,FALSE),main!$K$26:$Q$29,3,FALSE),1,0)</f>
        <v>1</v>
      </c>
      <c r="CN50">
        <f>IF(VLOOKUP(CN$1,main!$A$3:$H$102,5,FALSE)-VLOOKUP($A50,main!$A$3:$H$102,6,FALSE)&gt;=main!$D$103+VLOOKUP(VLOOKUP(CN$1,main!$A$3:$I$102,7,FALSE),main!$K$26:$Q$29,3,FALSE),1,0)</f>
        <v>1</v>
      </c>
      <c r="CO50">
        <f>IF(VLOOKUP(CO$1,main!$A$3:$H$102,5,FALSE)-VLOOKUP($A50,main!$A$3:$H$102,6,FALSE)&gt;=main!$D$103+VLOOKUP(VLOOKUP(CO$1,main!$A$3:$I$102,7,FALSE),main!$K$26:$Q$29,3,FALSE),1,0)</f>
        <v>0</v>
      </c>
      <c r="CP50">
        <f>IF(VLOOKUP(CP$1,main!$A$3:$H$102,5,FALSE)-VLOOKUP($A50,main!$A$3:$H$102,6,FALSE)&gt;=main!$D$103+VLOOKUP(VLOOKUP(CP$1,main!$A$3:$I$102,7,FALSE),main!$K$26:$Q$29,3,FALSE),1,0)</f>
        <v>0</v>
      </c>
      <c r="CQ50">
        <f>IF(VLOOKUP(CQ$1,main!$A$3:$H$102,5,FALSE)-VLOOKUP($A50,main!$A$3:$H$102,6,FALSE)&gt;=main!$D$103+VLOOKUP(VLOOKUP(CQ$1,main!$A$3:$I$102,7,FALSE),main!$K$26:$Q$29,3,FALSE),1,0)</f>
        <v>0</v>
      </c>
      <c r="CR50">
        <f>IF(VLOOKUP(CR$1,main!$A$3:$H$102,5,FALSE)-VLOOKUP($A50,main!$A$3:$H$102,6,FALSE)&gt;=main!$D$103+VLOOKUP(VLOOKUP(CR$1,main!$A$3:$I$102,7,FALSE),main!$K$26:$Q$29,3,FALSE),1,0)</f>
        <v>1</v>
      </c>
      <c r="CS50">
        <f>IF(VLOOKUP(CS$1,main!$A$3:$H$102,5,FALSE)-VLOOKUP($A50,main!$A$3:$H$102,6,FALSE)&gt;=main!$D$103+VLOOKUP(VLOOKUP(CS$1,main!$A$3:$I$102,7,FALSE),main!$K$26:$Q$29,3,FALSE),1,0)</f>
        <v>1</v>
      </c>
      <c r="CT50">
        <f>IF(VLOOKUP(CT$1,main!$A$3:$H$102,5,FALSE)-VLOOKUP($A50,main!$A$3:$H$102,6,FALSE)&gt;=main!$D$103+VLOOKUP(VLOOKUP(CT$1,main!$A$3:$I$102,7,FALSE),main!$K$26:$Q$29,3,FALSE),1,0)</f>
        <v>0</v>
      </c>
      <c r="CU50">
        <f>IF(VLOOKUP(CU$1,main!$A$3:$H$102,5,FALSE)-VLOOKUP($A50,main!$A$3:$H$102,6,FALSE)&gt;=main!$D$103+VLOOKUP(VLOOKUP(CU$1,main!$A$3:$I$102,7,FALSE),main!$K$26:$Q$29,3,FALSE),1,0)</f>
        <v>0</v>
      </c>
      <c r="CV50">
        <f>IF(VLOOKUP(CV$1,main!$A$3:$H$102,5,FALSE)-VLOOKUP($A50,main!$A$3:$H$102,6,FALSE)&gt;=main!$D$103+VLOOKUP(VLOOKUP(CV$1,main!$A$3:$I$102,7,FALSE),main!$K$26:$Q$29,3,FALSE),1,0)</f>
        <v>0</v>
      </c>
      <c r="CW50">
        <f>IF(VLOOKUP(CW$1,main!$A$3:$H$102,5,FALSE)-VLOOKUP($A50,main!$A$3:$H$102,6,FALSE)&gt;=main!$D$103+VLOOKUP(VLOOKUP(CW$1,main!$A$3:$I$102,7,FALSE),main!$K$26:$Q$29,3,FALSE),1,0)</f>
        <v>1</v>
      </c>
      <c r="CX50">
        <f>IF(VLOOKUP(CX$1,main!$A$3:$H$102,5,FALSE)-VLOOKUP($A50,main!$A$3:$H$102,6,FALSE)&gt;=main!$D$103+VLOOKUP(VLOOKUP(CX$1,main!$A$3:$I$102,7,FALSE),main!$K$26:$Q$29,3,FALSE),1,0)</f>
        <v>1</v>
      </c>
    </row>
    <row r="51" spans="1:102" x14ac:dyDescent="0.25">
      <c r="A51" s="1">
        <v>49</v>
      </c>
      <c r="B51">
        <v>0</v>
      </c>
      <c r="C51">
        <f>IF(VLOOKUP(C$1,main!$A$3:$H$102,5,FALSE)-VLOOKUP($A51,main!$A$3:$H$102,6,FALSE)&gt;=main!$D$103+VLOOKUP(VLOOKUP(C$1,main!$A$3:$I$102,7,FALSE),main!$K$26:$Q$29,3,FALSE),1,0)</f>
        <v>0</v>
      </c>
      <c r="D51">
        <f>IF(VLOOKUP(D$1,main!$A$3:$H$102,5,FALSE)-VLOOKUP($A51,main!$A$3:$H$102,6,FALSE)&gt;=main!$D$103+VLOOKUP(VLOOKUP(D$1,main!$A$3:$I$102,7,FALSE),main!$K$26:$Q$29,3,FALSE),1,0)</f>
        <v>0</v>
      </c>
      <c r="E51">
        <f>IF(VLOOKUP(E$1,main!$A$3:$H$102,5,FALSE)-VLOOKUP($A51,main!$A$3:$H$102,6,FALSE)&gt;=main!$D$103+VLOOKUP(VLOOKUP(E$1,main!$A$3:$I$102,7,FALSE),main!$K$26:$Q$29,3,FALSE),1,0)</f>
        <v>0</v>
      </c>
      <c r="F51">
        <f>IF(VLOOKUP(F$1,main!$A$3:$H$102,5,FALSE)-VLOOKUP($A51,main!$A$3:$H$102,6,FALSE)&gt;=main!$D$103+VLOOKUP(VLOOKUP(F$1,main!$A$3:$I$102,7,FALSE),main!$K$26:$Q$29,3,FALSE),1,0)</f>
        <v>0</v>
      </c>
      <c r="G51">
        <f>IF(VLOOKUP(G$1,main!$A$3:$H$102,5,FALSE)-VLOOKUP($A51,main!$A$3:$H$102,6,FALSE)&gt;=main!$D$103+VLOOKUP(VLOOKUP(G$1,main!$A$3:$I$102,7,FALSE),main!$K$26:$Q$29,3,FALSE),1,0)</f>
        <v>1</v>
      </c>
      <c r="H51">
        <f>IF(VLOOKUP(H$1,main!$A$3:$H$102,5,FALSE)-VLOOKUP($A51,main!$A$3:$H$102,6,FALSE)&gt;=main!$D$103+VLOOKUP(VLOOKUP(H$1,main!$A$3:$I$102,7,FALSE),main!$K$26:$Q$29,3,FALSE),1,0)</f>
        <v>1</v>
      </c>
      <c r="I51">
        <f>IF(VLOOKUP(I$1,main!$A$3:$H$102,5,FALSE)-VLOOKUP($A51,main!$A$3:$H$102,6,FALSE)&gt;=main!$D$103+VLOOKUP(VLOOKUP(I$1,main!$A$3:$I$102,7,FALSE),main!$K$26:$Q$29,3,FALSE),1,0)</f>
        <v>1</v>
      </c>
      <c r="J51">
        <f>IF(VLOOKUP(J$1,main!$A$3:$H$102,5,FALSE)-VLOOKUP($A51,main!$A$3:$H$102,6,FALSE)&gt;=main!$D$103+VLOOKUP(VLOOKUP(J$1,main!$A$3:$I$102,7,FALSE),main!$K$26:$Q$29,3,FALSE),1,0)</f>
        <v>1</v>
      </c>
      <c r="K51">
        <f>IF(VLOOKUP(K$1,main!$A$3:$H$102,5,FALSE)-VLOOKUP($A51,main!$A$3:$H$102,6,FALSE)&gt;=main!$D$103+VLOOKUP(VLOOKUP(K$1,main!$A$3:$I$102,7,FALSE),main!$K$26:$Q$29,3,FALSE),1,0)</f>
        <v>1</v>
      </c>
      <c r="L51">
        <f>IF(VLOOKUP(L$1,main!$A$3:$H$102,5,FALSE)-VLOOKUP($A51,main!$A$3:$H$102,6,FALSE)&gt;=main!$D$103+VLOOKUP(VLOOKUP(L$1,main!$A$3:$I$102,7,FALSE),main!$K$26:$Q$29,3,FALSE),1,0)</f>
        <v>1</v>
      </c>
      <c r="M51">
        <f>IF(VLOOKUP(M$1,main!$A$3:$H$102,5,FALSE)-VLOOKUP($A51,main!$A$3:$H$102,6,FALSE)&gt;=main!$D$103+VLOOKUP(VLOOKUP(M$1,main!$A$3:$I$102,7,FALSE),main!$K$26:$Q$29,3,FALSE),1,0)</f>
        <v>0</v>
      </c>
      <c r="N51">
        <f>IF(VLOOKUP(N$1,main!$A$3:$H$102,5,FALSE)-VLOOKUP($A51,main!$A$3:$H$102,6,FALSE)&gt;=main!$D$103+VLOOKUP(VLOOKUP(N$1,main!$A$3:$I$102,7,FALSE),main!$K$26:$Q$29,3,FALSE),1,0)</f>
        <v>0</v>
      </c>
      <c r="O51">
        <f>IF(VLOOKUP(O$1,main!$A$3:$H$102,5,FALSE)-VLOOKUP($A51,main!$A$3:$H$102,6,FALSE)&gt;=main!$D$103+VLOOKUP(VLOOKUP(O$1,main!$A$3:$I$102,7,FALSE),main!$K$26:$Q$29,3,FALSE),1,0)</f>
        <v>0</v>
      </c>
      <c r="P51">
        <f>IF(VLOOKUP(P$1,main!$A$3:$H$102,5,FALSE)-VLOOKUP($A51,main!$A$3:$H$102,6,FALSE)&gt;=main!$D$103+VLOOKUP(VLOOKUP(P$1,main!$A$3:$I$102,7,FALSE),main!$K$26:$Q$29,3,FALSE),1,0)</f>
        <v>0</v>
      </c>
      <c r="Q51">
        <f>IF(VLOOKUP(Q$1,main!$A$3:$H$102,5,FALSE)-VLOOKUP($A51,main!$A$3:$H$102,6,FALSE)&gt;=main!$D$103+VLOOKUP(VLOOKUP(Q$1,main!$A$3:$I$102,7,FALSE),main!$K$26:$Q$29,3,FALSE),1,0)</f>
        <v>0</v>
      </c>
      <c r="R51">
        <f>IF(VLOOKUP(R$1,main!$A$3:$H$102,5,FALSE)-VLOOKUP($A51,main!$A$3:$H$102,6,FALSE)&gt;=main!$D$103+VLOOKUP(VLOOKUP(R$1,main!$A$3:$I$102,7,FALSE),main!$K$26:$Q$29,3,FALSE),1,0)</f>
        <v>1</v>
      </c>
      <c r="S51">
        <f>IF(VLOOKUP(S$1,main!$A$3:$H$102,5,FALSE)-VLOOKUP($A51,main!$A$3:$H$102,6,FALSE)&gt;=main!$D$103+VLOOKUP(VLOOKUP(S$1,main!$A$3:$I$102,7,FALSE),main!$K$26:$Q$29,3,FALSE),1,0)</f>
        <v>1</v>
      </c>
      <c r="T51">
        <f>IF(VLOOKUP(T$1,main!$A$3:$H$102,5,FALSE)-VLOOKUP($A51,main!$A$3:$H$102,6,FALSE)&gt;=main!$D$103+VLOOKUP(VLOOKUP(T$1,main!$A$3:$I$102,7,FALSE),main!$K$26:$Q$29,3,FALSE),1,0)</f>
        <v>1</v>
      </c>
      <c r="U51">
        <f>IF(VLOOKUP(U$1,main!$A$3:$H$102,5,FALSE)-VLOOKUP($A51,main!$A$3:$H$102,6,FALSE)&gt;=main!$D$103+VLOOKUP(VLOOKUP(U$1,main!$A$3:$I$102,7,FALSE),main!$K$26:$Q$29,3,FALSE),1,0)</f>
        <v>1</v>
      </c>
      <c r="V51">
        <f>IF(VLOOKUP(V$1,main!$A$3:$H$102,5,FALSE)-VLOOKUP($A51,main!$A$3:$H$102,6,FALSE)&gt;=main!$D$103+VLOOKUP(VLOOKUP(V$1,main!$A$3:$I$102,7,FALSE),main!$K$26:$Q$29,3,FALSE),1,0)</f>
        <v>1</v>
      </c>
      <c r="W51">
        <f>IF(VLOOKUP(W$1,main!$A$3:$H$102,5,FALSE)-VLOOKUP($A51,main!$A$3:$H$102,6,FALSE)&gt;=main!$D$103+VLOOKUP(VLOOKUP(W$1,main!$A$3:$I$102,7,FALSE),main!$K$26:$Q$29,3,FALSE),1,0)</f>
        <v>0</v>
      </c>
      <c r="X51">
        <f>IF(VLOOKUP(X$1,main!$A$3:$H$102,5,FALSE)-VLOOKUP($A51,main!$A$3:$H$102,6,FALSE)&gt;=main!$D$103+VLOOKUP(VLOOKUP(X$1,main!$A$3:$I$102,7,FALSE),main!$K$26:$Q$29,3,FALSE),1,0)</f>
        <v>0</v>
      </c>
      <c r="Y51">
        <f>IF(VLOOKUP(Y$1,main!$A$3:$H$102,5,FALSE)-VLOOKUP($A51,main!$A$3:$H$102,6,FALSE)&gt;=main!$D$103+VLOOKUP(VLOOKUP(Y$1,main!$A$3:$I$102,7,FALSE),main!$K$26:$Q$29,3,FALSE),1,0)</f>
        <v>1</v>
      </c>
      <c r="Z51">
        <f>IF(VLOOKUP(Z$1,main!$A$3:$H$102,5,FALSE)-VLOOKUP($A51,main!$A$3:$H$102,6,FALSE)&gt;=main!$D$103+VLOOKUP(VLOOKUP(Z$1,main!$A$3:$I$102,7,FALSE),main!$K$26:$Q$29,3,FALSE),1,0)</f>
        <v>1</v>
      </c>
      <c r="AA51">
        <f>IF(VLOOKUP(AA$1,main!$A$3:$H$102,5,FALSE)-VLOOKUP($A51,main!$A$3:$H$102,6,FALSE)&gt;=main!$D$103+VLOOKUP(VLOOKUP(AA$1,main!$A$3:$I$102,7,FALSE),main!$K$26:$Q$29,3,FALSE),1,0)</f>
        <v>1</v>
      </c>
      <c r="AB51">
        <f>IF(VLOOKUP(AB$1,main!$A$3:$H$102,5,FALSE)-VLOOKUP($A51,main!$A$3:$H$102,6,FALSE)&gt;=main!$D$103+VLOOKUP(VLOOKUP(AB$1,main!$A$3:$I$102,7,FALSE),main!$K$26:$Q$29,3,FALSE),1,0)</f>
        <v>0</v>
      </c>
      <c r="AC51">
        <f>IF(VLOOKUP(AC$1,main!$A$3:$H$102,5,FALSE)-VLOOKUP($A51,main!$A$3:$H$102,6,FALSE)&gt;=main!$D$103+VLOOKUP(VLOOKUP(AC$1,main!$A$3:$I$102,7,FALSE),main!$K$26:$Q$29,3,FALSE),1,0)</f>
        <v>0</v>
      </c>
      <c r="AD51">
        <f>IF(VLOOKUP(AD$1,main!$A$3:$H$102,5,FALSE)-VLOOKUP($A51,main!$A$3:$H$102,6,FALSE)&gt;=main!$D$103+VLOOKUP(VLOOKUP(AD$1,main!$A$3:$I$102,7,FALSE),main!$K$26:$Q$29,3,FALSE),1,0)</f>
        <v>0</v>
      </c>
      <c r="AE51">
        <f>IF(VLOOKUP(AE$1,main!$A$3:$H$102,5,FALSE)-VLOOKUP($A51,main!$A$3:$H$102,6,FALSE)&gt;=main!$D$103+VLOOKUP(VLOOKUP(AE$1,main!$A$3:$I$102,7,FALSE),main!$K$26:$Q$29,3,FALSE),1,0)</f>
        <v>1</v>
      </c>
      <c r="AF51">
        <f>IF(VLOOKUP(AF$1,main!$A$3:$H$102,5,FALSE)-VLOOKUP($A51,main!$A$3:$H$102,6,FALSE)&gt;=main!$D$103+VLOOKUP(VLOOKUP(AF$1,main!$A$3:$I$102,7,FALSE),main!$K$26:$Q$29,3,FALSE),1,0)</f>
        <v>1</v>
      </c>
      <c r="AG51">
        <f>IF(VLOOKUP(AG$1,main!$A$3:$H$102,5,FALSE)-VLOOKUP($A51,main!$A$3:$H$102,6,FALSE)&gt;=main!$D$103+VLOOKUP(VLOOKUP(AG$1,main!$A$3:$I$102,7,FALSE),main!$K$26:$Q$29,3,FALSE),1,0)</f>
        <v>0</v>
      </c>
      <c r="AH51">
        <f>IF(VLOOKUP(AH$1,main!$A$3:$H$102,5,FALSE)-VLOOKUP($A51,main!$A$3:$H$102,6,FALSE)&gt;=main!$D$103+VLOOKUP(VLOOKUP(AH$1,main!$A$3:$I$102,7,FALSE),main!$K$26:$Q$29,3,FALSE),1,0)</f>
        <v>0</v>
      </c>
      <c r="AI51">
        <f>IF(VLOOKUP(AI$1,main!$A$3:$H$102,5,FALSE)-VLOOKUP($A51,main!$A$3:$H$102,6,FALSE)&gt;=main!$D$103+VLOOKUP(VLOOKUP(AI$1,main!$A$3:$I$102,7,FALSE),main!$K$26:$Q$29,3,FALSE),1,0)</f>
        <v>0</v>
      </c>
      <c r="AJ51">
        <f>IF(VLOOKUP(AJ$1,main!$A$3:$H$102,5,FALSE)-VLOOKUP($A51,main!$A$3:$H$102,6,FALSE)&gt;=main!$D$103+VLOOKUP(VLOOKUP(AJ$1,main!$A$3:$I$102,7,FALSE),main!$K$26:$Q$29,3,FALSE),1,0)</f>
        <v>1</v>
      </c>
      <c r="AK51">
        <f>IF(VLOOKUP(AK$1,main!$A$3:$H$102,5,FALSE)-VLOOKUP($A51,main!$A$3:$H$102,6,FALSE)&gt;=main!$D$103+VLOOKUP(VLOOKUP(AK$1,main!$A$3:$I$102,7,FALSE),main!$K$26:$Q$29,3,FALSE),1,0)</f>
        <v>1</v>
      </c>
      <c r="AL51">
        <f>IF(VLOOKUP(AL$1,main!$A$3:$H$102,5,FALSE)-VLOOKUP($A51,main!$A$3:$H$102,6,FALSE)&gt;=main!$D$103+VLOOKUP(VLOOKUP(AL$1,main!$A$3:$I$102,7,FALSE),main!$K$26:$Q$29,3,FALSE),1,0)</f>
        <v>1</v>
      </c>
      <c r="AM51">
        <f>IF(VLOOKUP(AM$1,main!$A$3:$H$102,5,FALSE)-VLOOKUP($A51,main!$A$3:$H$102,6,FALSE)&gt;=main!$D$103+VLOOKUP(VLOOKUP(AM$1,main!$A$3:$I$102,7,FALSE),main!$K$26:$Q$29,3,FALSE),1,0)</f>
        <v>1</v>
      </c>
      <c r="AN51">
        <f>IF(VLOOKUP(AN$1,main!$A$3:$H$102,5,FALSE)-VLOOKUP($A51,main!$A$3:$H$102,6,FALSE)&gt;=main!$D$103+VLOOKUP(VLOOKUP(AN$1,main!$A$3:$I$102,7,FALSE),main!$K$26:$Q$29,3,FALSE),1,0)</f>
        <v>1</v>
      </c>
      <c r="AO51">
        <f>IF(VLOOKUP(AO$1,main!$A$3:$H$102,5,FALSE)-VLOOKUP($A51,main!$A$3:$H$102,6,FALSE)&gt;=main!$D$103+VLOOKUP(VLOOKUP(AO$1,main!$A$3:$I$102,7,FALSE),main!$K$26:$Q$29,3,FALSE),1,0)</f>
        <v>0</v>
      </c>
      <c r="AP51">
        <f>IF(VLOOKUP(AP$1,main!$A$3:$H$102,5,FALSE)-VLOOKUP($A51,main!$A$3:$H$102,6,FALSE)&gt;=main!$D$103+VLOOKUP(VLOOKUP(AP$1,main!$A$3:$I$102,7,FALSE),main!$K$26:$Q$29,3,FALSE),1,0)</f>
        <v>1</v>
      </c>
      <c r="AQ51">
        <f>IF(VLOOKUP(AQ$1,main!$A$3:$H$102,5,FALSE)-VLOOKUP($A51,main!$A$3:$H$102,6,FALSE)&gt;=main!$D$103+VLOOKUP(VLOOKUP(AQ$1,main!$A$3:$I$102,7,FALSE),main!$K$26:$Q$29,3,FALSE),1,0)</f>
        <v>0</v>
      </c>
      <c r="AR51">
        <f>IF(VLOOKUP(AR$1,main!$A$3:$H$102,5,FALSE)-VLOOKUP($A51,main!$A$3:$H$102,6,FALSE)&gt;=main!$D$103+VLOOKUP(VLOOKUP(AR$1,main!$A$3:$I$102,7,FALSE),main!$K$26:$Q$29,3,FALSE),1,0)</f>
        <v>0</v>
      </c>
      <c r="AS51">
        <f>IF(VLOOKUP(AS$1,main!$A$3:$H$102,5,FALSE)-VLOOKUP($A51,main!$A$3:$H$102,6,FALSE)&gt;=main!$D$103+VLOOKUP(VLOOKUP(AS$1,main!$A$3:$I$102,7,FALSE),main!$K$26:$Q$29,3,FALSE),1,0)</f>
        <v>1</v>
      </c>
      <c r="AT51">
        <f>IF(VLOOKUP(AT$1,main!$A$3:$H$102,5,FALSE)-VLOOKUP($A51,main!$A$3:$H$102,6,FALSE)&gt;=main!$D$103+VLOOKUP(VLOOKUP(AT$1,main!$A$3:$I$102,7,FALSE),main!$K$26:$Q$29,3,FALSE),1,0)</f>
        <v>1</v>
      </c>
      <c r="AU51">
        <f>IF(VLOOKUP(AU$1,main!$A$3:$H$102,5,FALSE)-VLOOKUP($A51,main!$A$3:$H$102,6,FALSE)&gt;=main!$D$103+VLOOKUP(VLOOKUP(AU$1,main!$A$3:$I$102,7,FALSE),main!$K$26:$Q$29,3,FALSE),1,0)</f>
        <v>0</v>
      </c>
      <c r="AV51">
        <f>IF(VLOOKUP(AV$1,main!$A$3:$H$102,5,FALSE)-VLOOKUP($A51,main!$A$3:$H$102,6,FALSE)&gt;=main!$D$103+VLOOKUP(VLOOKUP(AV$1,main!$A$3:$I$102,7,FALSE),main!$K$26:$Q$29,3,FALSE),1,0)</f>
        <v>0</v>
      </c>
      <c r="AW51">
        <f>IF(VLOOKUP(AW$1,main!$A$3:$H$102,5,FALSE)-VLOOKUP($A51,main!$A$3:$H$102,6,FALSE)&gt;=main!$D$103+VLOOKUP(VLOOKUP(AW$1,main!$A$3:$I$102,7,FALSE),main!$K$26:$Q$29,3,FALSE),1,0)</f>
        <v>1</v>
      </c>
      <c r="AX51">
        <f>IF(VLOOKUP(AX$1,main!$A$3:$H$102,5,FALSE)-VLOOKUP($A51,main!$A$3:$H$102,6,FALSE)&gt;=main!$D$103+VLOOKUP(VLOOKUP(AX$1,main!$A$3:$I$102,7,FALSE),main!$K$26:$Q$29,3,FALSE),1,0)</f>
        <v>0</v>
      </c>
      <c r="AY51">
        <f>IF(VLOOKUP(AY$1,main!$A$3:$H$102,5,FALSE)-VLOOKUP($A51,main!$A$3:$H$102,6,FALSE)&gt;=main!$D$103+VLOOKUP(VLOOKUP(AY$1,main!$A$3:$I$102,7,FALSE),main!$K$26:$Q$29,3,FALSE),1,0)</f>
        <v>0</v>
      </c>
      <c r="AZ51">
        <f>IF(VLOOKUP(AZ$1,main!$A$3:$H$102,5,FALSE)-VLOOKUP($A51,main!$A$3:$H$102,6,FALSE)&gt;=main!$D$103+VLOOKUP(VLOOKUP(AZ$1,main!$A$3:$I$102,7,FALSE),main!$K$26:$Q$29,3,FALSE),1,0)</f>
        <v>0</v>
      </c>
      <c r="BA51">
        <f>IF(VLOOKUP(BA$1,main!$A$3:$H$102,5,FALSE)-VLOOKUP($A51,main!$A$3:$H$102,6,FALSE)&gt;=main!$D$103+VLOOKUP(VLOOKUP(BA$1,main!$A$3:$I$102,7,FALSE),main!$K$26:$Q$29,3,FALSE),1,0)</f>
        <v>0</v>
      </c>
      <c r="BB51">
        <f>IF(VLOOKUP(BB$1,main!$A$3:$H$102,5,FALSE)-VLOOKUP($A51,main!$A$3:$H$102,6,FALSE)&gt;=main!$D$103+VLOOKUP(VLOOKUP(BB$1,main!$A$3:$I$102,7,FALSE),main!$K$26:$Q$29,3,FALSE),1,0)</f>
        <v>0</v>
      </c>
      <c r="BC51">
        <f>IF(VLOOKUP(BC$1,main!$A$3:$H$102,5,FALSE)-VLOOKUP($A51,main!$A$3:$H$102,6,FALSE)&gt;=main!$D$103+VLOOKUP(VLOOKUP(BC$1,main!$A$3:$I$102,7,FALSE),main!$K$26:$Q$29,3,FALSE),1,0)</f>
        <v>1</v>
      </c>
      <c r="BD51">
        <f>IF(VLOOKUP(BD$1,main!$A$3:$H$102,5,FALSE)-VLOOKUP($A51,main!$A$3:$H$102,6,FALSE)&gt;=main!$D$103+VLOOKUP(VLOOKUP(BD$1,main!$A$3:$I$102,7,FALSE),main!$K$26:$Q$29,3,FALSE),1,0)</f>
        <v>1</v>
      </c>
      <c r="BE51">
        <f>IF(VLOOKUP(BE$1,main!$A$3:$H$102,5,FALSE)-VLOOKUP($A51,main!$A$3:$H$102,6,FALSE)&gt;=main!$D$103+VLOOKUP(VLOOKUP(BE$1,main!$A$3:$I$102,7,FALSE),main!$K$26:$Q$29,3,FALSE),1,0)</f>
        <v>1</v>
      </c>
      <c r="BF51">
        <f>IF(VLOOKUP(BF$1,main!$A$3:$H$102,5,FALSE)-VLOOKUP($A51,main!$A$3:$H$102,6,FALSE)&gt;=main!$D$103+VLOOKUP(VLOOKUP(BF$1,main!$A$3:$I$102,7,FALSE),main!$K$26:$Q$29,3,FALSE),1,0)</f>
        <v>0</v>
      </c>
      <c r="BG51">
        <f>IF(VLOOKUP(BG$1,main!$A$3:$H$102,5,FALSE)-VLOOKUP($A51,main!$A$3:$H$102,6,FALSE)&gt;=main!$D$103+VLOOKUP(VLOOKUP(BG$1,main!$A$3:$I$102,7,FALSE),main!$K$26:$Q$29,3,FALSE),1,0)</f>
        <v>0</v>
      </c>
      <c r="BH51">
        <f>IF(VLOOKUP(BH$1,main!$A$3:$H$102,5,FALSE)-VLOOKUP($A51,main!$A$3:$H$102,6,FALSE)&gt;=main!$D$103+VLOOKUP(VLOOKUP(BH$1,main!$A$3:$I$102,7,FALSE),main!$K$26:$Q$29,3,FALSE),1,0)</f>
        <v>1</v>
      </c>
      <c r="BI51">
        <f>IF(VLOOKUP(BI$1,main!$A$3:$H$102,5,FALSE)-VLOOKUP($A51,main!$A$3:$H$102,6,FALSE)&gt;=main!$D$103+VLOOKUP(VLOOKUP(BI$1,main!$A$3:$I$102,7,FALSE),main!$K$26:$Q$29,3,FALSE),1,0)</f>
        <v>1</v>
      </c>
      <c r="BJ51">
        <f>IF(VLOOKUP(BJ$1,main!$A$3:$H$102,5,FALSE)-VLOOKUP($A51,main!$A$3:$H$102,6,FALSE)&gt;=main!$D$103+VLOOKUP(VLOOKUP(BJ$1,main!$A$3:$I$102,7,FALSE),main!$K$26:$Q$29,3,FALSE),1,0)</f>
        <v>1</v>
      </c>
      <c r="BK51">
        <f>IF(VLOOKUP(BK$1,main!$A$3:$H$102,5,FALSE)-VLOOKUP($A51,main!$A$3:$H$102,6,FALSE)&gt;=main!$D$103+VLOOKUP(VLOOKUP(BK$1,main!$A$3:$I$102,7,FALSE),main!$K$26:$Q$29,3,FALSE),1,0)</f>
        <v>0</v>
      </c>
      <c r="BL51">
        <f>IF(VLOOKUP(BL$1,main!$A$3:$H$102,5,FALSE)-VLOOKUP($A51,main!$A$3:$H$102,6,FALSE)&gt;=main!$D$103+VLOOKUP(VLOOKUP(BL$1,main!$A$3:$I$102,7,FALSE),main!$K$26:$Q$29,3,FALSE),1,0)</f>
        <v>0</v>
      </c>
      <c r="BM51">
        <f>IF(VLOOKUP(BM$1,main!$A$3:$H$102,5,FALSE)-VLOOKUP($A51,main!$A$3:$H$102,6,FALSE)&gt;=main!$D$103+VLOOKUP(VLOOKUP(BM$1,main!$A$3:$I$102,7,FALSE),main!$K$26:$Q$29,3,FALSE),1,0)</f>
        <v>0</v>
      </c>
      <c r="BN51">
        <f>IF(VLOOKUP(BN$1,main!$A$3:$H$102,5,FALSE)-VLOOKUP($A51,main!$A$3:$H$102,6,FALSE)&gt;=main!$D$103+VLOOKUP(VLOOKUP(BN$1,main!$A$3:$I$102,7,FALSE),main!$K$26:$Q$29,3,FALSE),1,0)</f>
        <v>1</v>
      </c>
      <c r="BO51">
        <f>IF(VLOOKUP(BO$1,main!$A$3:$H$102,5,FALSE)-VLOOKUP($A51,main!$A$3:$H$102,6,FALSE)&gt;=main!$D$103+VLOOKUP(VLOOKUP(BO$1,main!$A$3:$I$102,7,FALSE),main!$K$26:$Q$29,3,FALSE),1,0)</f>
        <v>0</v>
      </c>
      <c r="BP51">
        <f>IF(VLOOKUP(BP$1,main!$A$3:$H$102,5,FALSE)-VLOOKUP($A51,main!$A$3:$H$102,6,FALSE)&gt;=main!$D$103+VLOOKUP(VLOOKUP(BP$1,main!$A$3:$I$102,7,FALSE),main!$K$26:$Q$29,3,FALSE),1,0)</f>
        <v>0</v>
      </c>
      <c r="BQ51">
        <f>IF(VLOOKUP(BQ$1,main!$A$3:$H$102,5,FALSE)-VLOOKUP($A51,main!$A$3:$H$102,6,FALSE)&gt;=main!$D$103+VLOOKUP(VLOOKUP(BQ$1,main!$A$3:$I$102,7,FALSE),main!$K$26:$Q$29,3,FALSE),1,0)</f>
        <v>0</v>
      </c>
      <c r="BR51">
        <f>IF(VLOOKUP(BR$1,main!$A$3:$H$102,5,FALSE)-VLOOKUP($A51,main!$A$3:$H$102,6,FALSE)&gt;=main!$D$103+VLOOKUP(VLOOKUP(BR$1,main!$A$3:$I$102,7,FALSE),main!$K$26:$Q$29,3,FALSE),1,0)</f>
        <v>1</v>
      </c>
      <c r="BS51">
        <f>IF(VLOOKUP(BS$1,main!$A$3:$H$102,5,FALSE)-VLOOKUP($A51,main!$A$3:$H$102,6,FALSE)&gt;=main!$D$103+VLOOKUP(VLOOKUP(BS$1,main!$A$3:$I$102,7,FALSE),main!$K$26:$Q$29,3,FALSE),1,0)</f>
        <v>1</v>
      </c>
      <c r="BT51">
        <f>IF(VLOOKUP(BT$1,main!$A$3:$H$102,5,FALSE)-VLOOKUP($A51,main!$A$3:$H$102,6,FALSE)&gt;=main!$D$103+VLOOKUP(VLOOKUP(BT$1,main!$A$3:$I$102,7,FALSE),main!$K$26:$Q$29,3,FALSE),1,0)</f>
        <v>0</v>
      </c>
      <c r="BU51">
        <f>IF(VLOOKUP(BU$1,main!$A$3:$H$102,5,FALSE)-VLOOKUP($A51,main!$A$3:$H$102,6,FALSE)&gt;=main!$D$103+VLOOKUP(VLOOKUP(BU$1,main!$A$3:$I$102,7,FALSE),main!$K$26:$Q$29,3,FALSE),1,0)</f>
        <v>0</v>
      </c>
      <c r="BV51">
        <f>IF(VLOOKUP(BV$1,main!$A$3:$H$102,5,FALSE)-VLOOKUP($A51,main!$A$3:$H$102,6,FALSE)&gt;=main!$D$103+VLOOKUP(VLOOKUP(BV$1,main!$A$3:$I$102,7,FALSE),main!$K$26:$Q$29,3,FALSE),1,0)</f>
        <v>0</v>
      </c>
      <c r="BW51">
        <f>IF(VLOOKUP(BW$1,main!$A$3:$H$102,5,FALSE)-VLOOKUP($A51,main!$A$3:$H$102,6,FALSE)&gt;=main!$D$103+VLOOKUP(VLOOKUP(BW$1,main!$A$3:$I$102,7,FALSE),main!$K$26:$Q$29,3,FALSE),1,0)</f>
        <v>0</v>
      </c>
      <c r="BX51">
        <f>IF(VLOOKUP(BX$1,main!$A$3:$H$102,5,FALSE)-VLOOKUP($A51,main!$A$3:$H$102,6,FALSE)&gt;=main!$D$103+VLOOKUP(VLOOKUP(BX$1,main!$A$3:$I$102,7,FALSE),main!$K$26:$Q$29,3,FALSE),1,0)</f>
        <v>0</v>
      </c>
      <c r="BY51">
        <f>IF(VLOOKUP(BY$1,main!$A$3:$H$102,5,FALSE)-VLOOKUP($A51,main!$A$3:$H$102,6,FALSE)&gt;=main!$D$103+VLOOKUP(VLOOKUP(BY$1,main!$A$3:$I$102,7,FALSE),main!$K$26:$Q$29,3,FALSE),1,0)</f>
        <v>1</v>
      </c>
      <c r="BZ51">
        <f>IF(VLOOKUP(BZ$1,main!$A$3:$H$102,5,FALSE)-VLOOKUP($A51,main!$A$3:$H$102,6,FALSE)&gt;=main!$D$103+VLOOKUP(VLOOKUP(BZ$1,main!$A$3:$I$102,7,FALSE),main!$K$26:$Q$29,3,FALSE),1,0)</f>
        <v>0</v>
      </c>
      <c r="CA51">
        <f>IF(VLOOKUP(CA$1,main!$A$3:$H$102,5,FALSE)-VLOOKUP($A51,main!$A$3:$H$102,6,FALSE)&gt;=main!$D$103+VLOOKUP(VLOOKUP(CA$1,main!$A$3:$I$102,7,FALSE),main!$K$26:$Q$29,3,FALSE),1,0)</f>
        <v>0</v>
      </c>
      <c r="CB51">
        <f>IF(VLOOKUP(CB$1,main!$A$3:$H$102,5,FALSE)-VLOOKUP($A51,main!$A$3:$H$102,6,FALSE)&gt;=main!$D$103+VLOOKUP(VLOOKUP(CB$1,main!$A$3:$I$102,7,FALSE),main!$K$26:$Q$29,3,FALSE),1,0)</f>
        <v>1</v>
      </c>
      <c r="CC51">
        <f>IF(VLOOKUP(CC$1,main!$A$3:$H$102,5,FALSE)-VLOOKUP($A51,main!$A$3:$H$102,6,FALSE)&gt;=main!$D$103+VLOOKUP(VLOOKUP(CC$1,main!$A$3:$I$102,7,FALSE),main!$K$26:$Q$29,3,FALSE),1,0)</f>
        <v>1</v>
      </c>
      <c r="CD51">
        <f>IF(VLOOKUP(CD$1,main!$A$3:$H$102,5,FALSE)-VLOOKUP($A51,main!$A$3:$H$102,6,FALSE)&gt;=main!$D$103+VLOOKUP(VLOOKUP(CD$1,main!$A$3:$I$102,7,FALSE),main!$K$26:$Q$29,3,FALSE),1,0)</f>
        <v>1</v>
      </c>
      <c r="CE51">
        <f>IF(VLOOKUP(CE$1,main!$A$3:$H$102,5,FALSE)-VLOOKUP($A51,main!$A$3:$H$102,6,FALSE)&gt;=main!$D$103+VLOOKUP(VLOOKUP(CE$1,main!$A$3:$I$102,7,FALSE),main!$K$26:$Q$29,3,FALSE),1,0)</f>
        <v>0</v>
      </c>
      <c r="CF51">
        <f>IF(VLOOKUP(CF$1,main!$A$3:$H$102,5,FALSE)-VLOOKUP($A51,main!$A$3:$H$102,6,FALSE)&gt;=main!$D$103+VLOOKUP(VLOOKUP(CF$1,main!$A$3:$I$102,7,FALSE),main!$K$26:$Q$29,3,FALSE),1,0)</f>
        <v>0</v>
      </c>
      <c r="CG51">
        <f>IF(VLOOKUP(CG$1,main!$A$3:$H$102,5,FALSE)-VLOOKUP($A51,main!$A$3:$H$102,6,FALSE)&gt;=main!$D$103+VLOOKUP(VLOOKUP(CG$1,main!$A$3:$I$102,7,FALSE),main!$K$26:$Q$29,3,FALSE),1,0)</f>
        <v>1</v>
      </c>
      <c r="CH51">
        <f>IF(VLOOKUP(CH$1,main!$A$3:$H$102,5,FALSE)-VLOOKUP($A51,main!$A$3:$H$102,6,FALSE)&gt;=main!$D$103+VLOOKUP(VLOOKUP(CH$1,main!$A$3:$I$102,7,FALSE),main!$K$26:$Q$29,3,FALSE),1,0)</f>
        <v>1</v>
      </c>
      <c r="CI51">
        <f>IF(VLOOKUP(CI$1,main!$A$3:$H$102,5,FALSE)-VLOOKUP($A51,main!$A$3:$H$102,6,FALSE)&gt;=main!$D$103+VLOOKUP(VLOOKUP(CI$1,main!$A$3:$I$102,7,FALSE),main!$K$26:$Q$29,3,FALSE),1,0)</f>
        <v>1</v>
      </c>
      <c r="CJ51">
        <f>IF(VLOOKUP(CJ$1,main!$A$3:$H$102,5,FALSE)-VLOOKUP($A51,main!$A$3:$H$102,6,FALSE)&gt;=main!$D$103+VLOOKUP(VLOOKUP(CJ$1,main!$A$3:$I$102,7,FALSE),main!$K$26:$Q$29,3,FALSE),1,0)</f>
        <v>1</v>
      </c>
      <c r="CK51">
        <f>IF(VLOOKUP(CK$1,main!$A$3:$H$102,5,FALSE)-VLOOKUP($A51,main!$A$3:$H$102,6,FALSE)&gt;=main!$D$103+VLOOKUP(VLOOKUP(CK$1,main!$A$3:$I$102,7,FALSE),main!$K$26:$Q$29,3,FALSE),1,0)</f>
        <v>0</v>
      </c>
      <c r="CL51">
        <f>IF(VLOOKUP(CL$1,main!$A$3:$H$102,5,FALSE)-VLOOKUP($A51,main!$A$3:$H$102,6,FALSE)&gt;=main!$D$103+VLOOKUP(VLOOKUP(CL$1,main!$A$3:$I$102,7,FALSE),main!$K$26:$Q$29,3,FALSE),1,0)</f>
        <v>1</v>
      </c>
      <c r="CM51">
        <f>IF(VLOOKUP(CM$1,main!$A$3:$H$102,5,FALSE)-VLOOKUP($A51,main!$A$3:$H$102,6,FALSE)&gt;=main!$D$103+VLOOKUP(VLOOKUP(CM$1,main!$A$3:$I$102,7,FALSE),main!$K$26:$Q$29,3,FALSE),1,0)</f>
        <v>1</v>
      </c>
      <c r="CN51">
        <f>IF(VLOOKUP(CN$1,main!$A$3:$H$102,5,FALSE)-VLOOKUP($A51,main!$A$3:$H$102,6,FALSE)&gt;=main!$D$103+VLOOKUP(VLOOKUP(CN$1,main!$A$3:$I$102,7,FALSE),main!$K$26:$Q$29,3,FALSE),1,0)</f>
        <v>1</v>
      </c>
      <c r="CO51">
        <f>IF(VLOOKUP(CO$1,main!$A$3:$H$102,5,FALSE)-VLOOKUP($A51,main!$A$3:$H$102,6,FALSE)&gt;=main!$D$103+VLOOKUP(VLOOKUP(CO$1,main!$A$3:$I$102,7,FALSE),main!$K$26:$Q$29,3,FALSE),1,0)</f>
        <v>0</v>
      </c>
      <c r="CP51">
        <f>IF(VLOOKUP(CP$1,main!$A$3:$H$102,5,FALSE)-VLOOKUP($A51,main!$A$3:$H$102,6,FALSE)&gt;=main!$D$103+VLOOKUP(VLOOKUP(CP$1,main!$A$3:$I$102,7,FALSE),main!$K$26:$Q$29,3,FALSE),1,0)</f>
        <v>0</v>
      </c>
      <c r="CQ51">
        <f>IF(VLOOKUP(CQ$1,main!$A$3:$H$102,5,FALSE)-VLOOKUP($A51,main!$A$3:$H$102,6,FALSE)&gt;=main!$D$103+VLOOKUP(VLOOKUP(CQ$1,main!$A$3:$I$102,7,FALSE),main!$K$26:$Q$29,3,FALSE),1,0)</f>
        <v>1</v>
      </c>
      <c r="CR51">
        <f>IF(VLOOKUP(CR$1,main!$A$3:$H$102,5,FALSE)-VLOOKUP($A51,main!$A$3:$H$102,6,FALSE)&gt;=main!$D$103+VLOOKUP(VLOOKUP(CR$1,main!$A$3:$I$102,7,FALSE),main!$K$26:$Q$29,3,FALSE),1,0)</f>
        <v>1</v>
      </c>
      <c r="CS51">
        <f>IF(VLOOKUP(CS$1,main!$A$3:$H$102,5,FALSE)-VLOOKUP($A51,main!$A$3:$H$102,6,FALSE)&gt;=main!$D$103+VLOOKUP(VLOOKUP(CS$1,main!$A$3:$I$102,7,FALSE),main!$K$26:$Q$29,3,FALSE),1,0)</f>
        <v>1</v>
      </c>
      <c r="CT51">
        <f>IF(VLOOKUP(CT$1,main!$A$3:$H$102,5,FALSE)-VLOOKUP($A51,main!$A$3:$H$102,6,FALSE)&gt;=main!$D$103+VLOOKUP(VLOOKUP(CT$1,main!$A$3:$I$102,7,FALSE),main!$K$26:$Q$29,3,FALSE),1,0)</f>
        <v>0</v>
      </c>
      <c r="CU51">
        <f>IF(VLOOKUP(CU$1,main!$A$3:$H$102,5,FALSE)-VLOOKUP($A51,main!$A$3:$H$102,6,FALSE)&gt;=main!$D$103+VLOOKUP(VLOOKUP(CU$1,main!$A$3:$I$102,7,FALSE),main!$K$26:$Q$29,3,FALSE),1,0)</f>
        <v>0</v>
      </c>
      <c r="CV51">
        <f>IF(VLOOKUP(CV$1,main!$A$3:$H$102,5,FALSE)-VLOOKUP($A51,main!$A$3:$H$102,6,FALSE)&gt;=main!$D$103+VLOOKUP(VLOOKUP(CV$1,main!$A$3:$I$102,7,FALSE),main!$K$26:$Q$29,3,FALSE),1,0)</f>
        <v>1</v>
      </c>
      <c r="CW51">
        <f>IF(VLOOKUP(CW$1,main!$A$3:$H$102,5,FALSE)-VLOOKUP($A51,main!$A$3:$H$102,6,FALSE)&gt;=main!$D$103+VLOOKUP(VLOOKUP(CW$1,main!$A$3:$I$102,7,FALSE),main!$K$26:$Q$29,3,FALSE),1,0)</f>
        <v>1</v>
      </c>
      <c r="CX51">
        <f>IF(VLOOKUP(CX$1,main!$A$3:$H$102,5,FALSE)-VLOOKUP($A51,main!$A$3:$H$102,6,FALSE)&gt;=main!$D$103+VLOOKUP(VLOOKUP(CX$1,main!$A$3:$I$102,7,FALSE),main!$K$26:$Q$29,3,FALSE),1,0)</f>
        <v>1</v>
      </c>
    </row>
    <row r="52" spans="1:102" x14ac:dyDescent="0.25">
      <c r="A52" s="1">
        <v>50</v>
      </c>
      <c r="B52">
        <v>0</v>
      </c>
      <c r="C52">
        <f>IF(VLOOKUP(C$1,main!$A$3:$H$102,5,FALSE)-VLOOKUP($A52,main!$A$3:$H$102,6,FALSE)&gt;=main!$D$103+VLOOKUP(VLOOKUP(C$1,main!$A$3:$I$102,7,FALSE),main!$K$26:$Q$29,3,FALSE),1,0)</f>
        <v>0</v>
      </c>
      <c r="D52">
        <f>IF(VLOOKUP(D$1,main!$A$3:$H$102,5,FALSE)-VLOOKUP($A52,main!$A$3:$H$102,6,FALSE)&gt;=main!$D$103+VLOOKUP(VLOOKUP(D$1,main!$A$3:$I$102,7,FALSE),main!$K$26:$Q$29,3,FALSE),1,0)</f>
        <v>0</v>
      </c>
      <c r="E52">
        <f>IF(VLOOKUP(E$1,main!$A$3:$H$102,5,FALSE)-VLOOKUP($A52,main!$A$3:$H$102,6,FALSE)&gt;=main!$D$103+VLOOKUP(VLOOKUP(E$1,main!$A$3:$I$102,7,FALSE),main!$K$26:$Q$29,3,FALSE),1,0)</f>
        <v>0</v>
      </c>
      <c r="F52">
        <f>IF(VLOOKUP(F$1,main!$A$3:$H$102,5,FALSE)-VLOOKUP($A52,main!$A$3:$H$102,6,FALSE)&gt;=main!$D$103+VLOOKUP(VLOOKUP(F$1,main!$A$3:$I$102,7,FALSE),main!$K$26:$Q$29,3,FALSE),1,0)</f>
        <v>0</v>
      </c>
      <c r="G52">
        <f>IF(VLOOKUP(G$1,main!$A$3:$H$102,5,FALSE)-VLOOKUP($A52,main!$A$3:$H$102,6,FALSE)&gt;=main!$D$103+VLOOKUP(VLOOKUP(G$1,main!$A$3:$I$102,7,FALSE),main!$K$26:$Q$29,3,FALSE),1,0)</f>
        <v>0</v>
      </c>
      <c r="H52">
        <f>IF(VLOOKUP(H$1,main!$A$3:$H$102,5,FALSE)-VLOOKUP($A52,main!$A$3:$H$102,6,FALSE)&gt;=main!$D$103+VLOOKUP(VLOOKUP(H$1,main!$A$3:$I$102,7,FALSE),main!$K$26:$Q$29,3,FALSE),1,0)</f>
        <v>0</v>
      </c>
      <c r="I52">
        <f>IF(VLOOKUP(I$1,main!$A$3:$H$102,5,FALSE)-VLOOKUP($A52,main!$A$3:$H$102,6,FALSE)&gt;=main!$D$103+VLOOKUP(VLOOKUP(I$1,main!$A$3:$I$102,7,FALSE),main!$K$26:$Q$29,3,FALSE),1,0)</f>
        <v>1</v>
      </c>
      <c r="J52">
        <f>IF(VLOOKUP(J$1,main!$A$3:$H$102,5,FALSE)-VLOOKUP($A52,main!$A$3:$H$102,6,FALSE)&gt;=main!$D$103+VLOOKUP(VLOOKUP(J$1,main!$A$3:$I$102,7,FALSE),main!$K$26:$Q$29,3,FALSE),1,0)</f>
        <v>1</v>
      </c>
      <c r="K52">
        <f>IF(VLOOKUP(K$1,main!$A$3:$H$102,5,FALSE)-VLOOKUP($A52,main!$A$3:$H$102,6,FALSE)&gt;=main!$D$103+VLOOKUP(VLOOKUP(K$1,main!$A$3:$I$102,7,FALSE),main!$K$26:$Q$29,3,FALSE),1,0)</f>
        <v>1</v>
      </c>
      <c r="L52">
        <f>IF(VLOOKUP(L$1,main!$A$3:$H$102,5,FALSE)-VLOOKUP($A52,main!$A$3:$H$102,6,FALSE)&gt;=main!$D$103+VLOOKUP(VLOOKUP(L$1,main!$A$3:$I$102,7,FALSE),main!$K$26:$Q$29,3,FALSE),1,0)</f>
        <v>1</v>
      </c>
      <c r="M52">
        <f>IF(VLOOKUP(M$1,main!$A$3:$H$102,5,FALSE)-VLOOKUP($A52,main!$A$3:$H$102,6,FALSE)&gt;=main!$D$103+VLOOKUP(VLOOKUP(M$1,main!$A$3:$I$102,7,FALSE),main!$K$26:$Q$29,3,FALSE),1,0)</f>
        <v>0</v>
      </c>
      <c r="N52">
        <f>IF(VLOOKUP(N$1,main!$A$3:$H$102,5,FALSE)-VLOOKUP($A52,main!$A$3:$H$102,6,FALSE)&gt;=main!$D$103+VLOOKUP(VLOOKUP(N$1,main!$A$3:$I$102,7,FALSE),main!$K$26:$Q$29,3,FALSE),1,0)</f>
        <v>0</v>
      </c>
      <c r="O52">
        <f>IF(VLOOKUP(O$1,main!$A$3:$H$102,5,FALSE)-VLOOKUP($A52,main!$A$3:$H$102,6,FALSE)&gt;=main!$D$103+VLOOKUP(VLOOKUP(O$1,main!$A$3:$I$102,7,FALSE),main!$K$26:$Q$29,3,FALSE),1,0)</f>
        <v>0</v>
      </c>
      <c r="P52">
        <f>IF(VLOOKUP(P$1,main!$A$3:$H$102,5,FALSE)-VLOOKUP($A52,main!$A$3:$H$102,6,FALSE)&gt;=main!$D$103+VLOOKUP(VLOOKUP(P$1,main!$A$3:$I$102,7,FALSE),main!$K$26:$Q$29,3,FALSE),1,0)</f>
        <v>0</v>
      </c>
      <c r="Q52">
        <f>IF(VLOOKUP(Q$1,main!$A$3:$H$102,5,FALSE)-VLOOKUP($A52,main!$A$3:$H$102,6,FALSE)&gt;=main!$D$103+VLOOKUP(VLOOKUP(Q$1,main!$A$3:$I$102,7,FALSE),main!$K$26:$Q$29,3,FALSE),1,0)</f>
        <v>0</v>
      </c>
      <c r="R52">
        <f>IF(VLOOKUP(R$1,main!$A$3:$H$102,5,FALSE)-VLOOKUP($A52,main!$A$3:$H$102,6,FALSE)&gt;=main!$D$103+VLOOKUP(VLOOKUP(R$1,main!$A$3:$I$102,7,FALSE),main!$K$26:$Q$29,3,FALSE),1,0)</f>
        <v>0</v>
      </c>
      <c r="S52">
        <f>IF(VLOOKUP(S$1,main!$A$3:$H$102,5,FALSE)-VLOOKUP($A52,main!$A$3:$H$102,6,FALSE)&gt;=main!$D$103+VLOOKUP(VLOOKUP(S$1,main!$A$3:$I$102,7,FALSE),main!$K$26:$Q$29,3,FALSE),1,0)</f>
        <v>0</v>
      </c>
      <c r="T52">
        <f>IF(VLOOKUP(T$1,main!$A$3:$H$102,5,FALSE)-VLOOKUP($A52,main!$A$3:$H$102,6,FALSE)&gt;=main!$D$103+VLOOKUP(VLOOKUP(T$1,main!$A$3:$I$102,7,FALSE),main!$K$26:$Q$29,3,FALSE),1,0)</f>
        <v>1</v>
      </c>
      <c r="U52">
        <f>IF(VLOOKUP(U$1,main!$A$3:$H$102,5,FALSE)-VLOOKUP($A52,main!$A$3:$H$102,6,FALSE)&gt;=main!$D$103+VLOOKUP(VLOOKUP(U$1,main!$A$3:$I$102,7,FALSE),main!$K$26:$Q$29,3,FALSE),1,0)</f>
        <v>1</v>
      </c>
      <c r="V52">
        <f>IF(VLOOKUP(V$1,main!$A$3:$H$102,5,FALSE)-VLOOKUP($A52,main!$A$3:$H$102,6,FALSE)&gt;=main!$D$103+VLOOKUP(VLOOKUP(V$1,main!$A$3:$I$102,7,FALSE),main!$K$26:$Q$29,3,FALSE),1,0)</f>
        <v>1</v>
      </c>
      <c r="W52">
        <f>IF(VLOOKUP(W$1,main!$A$3:$H$102,5,FALSE)-VLOOKUP($A52,main!$A$3:$H$102,6,FALSE)&gt;=main!$D$103+VLOOKUP(VLOOKUP(W$1,main!$A$3:$I$102,7,FALSE),main!$K$26:$Q$29,3,FALSE),1,0)</f>
        <v>0</v>
      </c>
      <c r="X52">
        <f>IF(VLOOKUP(X$1,main!$A$3:$H$102,5,FALSE)-VLOOKUP($A52,main!$A$3:$H$102,6,FALSE)&gt;=main!$D$103+VLOOKUP(VLOOKUP(X$1,main!$A$3:$I$102,7,FALSE),main!$K$26:$Q$29,3,FALSE),1,0)</f>
        <v>0</v>
      </c>
      <c r="Y52">
        <f>IF(VLOOKUP(Y$1,main!$A$3:$H$102,5,FALSE)-VLOOKUP($A52,main!$A$3:$H$102,6,FALSE)&gt;=main!$D$103+VLOOKUP(VLOOKUP(Y$1,main!$A$3:$I$102,7,FALSE),main!$K$26:$Q$29,3,FALSE),1,0)</f>
        <v>0</v>
      </c>
      <c r="Z52">
        <f>IF(VLOOKUP(Z$1,main!$A$3:$H$102,5,FALSE)-VLOOKUP($A52,main!$A$3:$H$102,6,FALSE)&gt;=main!$D$103+VLOOKUP(VLOOKUP(Z$1,main!$A$3:$I$102,7,FALSE),main!$K$26:$Q$29,3,FALSE),1,0)</f>
        <v>1</v>
      </c>
      <c r="AA52">
        <f>IF(VLOOKUP(AA$1,main!$A$3:$H$102,5,FALSE)-VLOOKUP($A52,main!$A$3:$H$102,6,FALSE)&gt;=main!$D$103+VLOOKUP(VLOOKUP(AA$1,main!$A$3:$I$102,7,FALSE),main!$K$26:$Q$29,3,FALSE),1,0)</f>
        <v>1</v>
      </c>
      <c r="AB52">
        <f>IF(VLOOKUP(AB$1,main!$A$3:$H$102,5,FALSE)-VLOOKUP($A52,main!$A$3:$H$102,6,FALSE)&gt;=main!$D$103+VLOOKUP(VLOOKUP(AB$1,main!$A$3:$I$102,7,FALSE),main!$K$26:$Q$29,3,FALSE),1,0)</f>
        <v>0</v>
      </c>
      <c r="AC52">
        <f>IF(VLOOKUP(AC$1,main!$A$3:$H$102,5,FALSE)-VLOOKUP($A52,main!$A$3:$H$102,6,FALSE)&gt;=main!$D$103+VLOOKUP(VLOOKUP(AC$1,main!$A$3:$I$102,7,FALSE),main!$K$26:$Q$29,3,FALSE),1,0)</f>
        <v>0</v>
      </c>
      <c r="AD52">
        <f>IF(VLOOKUP(AD$1,main!$A$3:$H$102,5,FALSE)-VLOOKUP($A52,main!$A$3:$H$102,6,FALSE)&gt;=main!$D$103+VLOOKUP(VLOOKUP(AD$1,main!$A$3:$I$102,7,FALSE),main!$K$26:$Q$29,3,FALSE),1,0)</f>
        <v>0</v>
      </c>
      <c r="AE52">
        <f>IF(VLOOKUP(AE$1,main!$A$3:$H$102,5,FALSE)-VLOOKUP($A52,main!$A$3:$H$102,6,FALSE)&gt;=main!$D$103+VLOOKUP(VLOOKUP(AE$1,main!$A$3:$I$102,7,FALSE),main!$K$26:$Q$29,3,FALSE),1,0)</f>
        <v>0</v>
      </c>
      <c r="AF52">
        <f>IF(VLOOKUP(AF$1,main!$A$3:$H$102,5,FALSE)-VLOOKUP($A52,main!$A$3:$H$102,6,FALSE)&gt;=main!$D$103+VLOOKUP(VLOOKUP(AF$1,main!$A$3:$I$102,7,FALSE),main!$K$26:$Q$29,3,FALSE),1,0)</f>
        <v>1</v>
      </c>
      <c r="AG52">
        <f>IF(VLOOKUP(AG$1,main!$A$3:$H$102,5,FALSE)-VLOOKUP($A52,main!$A$3:$H$102,6,FALSE)&gt;=main!$D$103+VLOOKUP(VLOOKUP(AG$1,main!$A$3:$I$102,7,FALSE),main!$K$26:$Q$29,3,FALSE),1,0)</f>
        <v>0</v>
      </c>
      <c r="AH52">
        <f>IF(VLOOKUP(AH$1,main!$A$3:$H$102,5,FALSE)-VLOOKUP($A52,main!$A$3:$H$102,6,FALSE)&gt;=main!$D$103+VLOOKUP(VLOOKUP(AH$1,main!$A$3:$I$102,7,FALSE),main!$K$26:$Q$29,3,FALSE),1,0)</f>
        <v>0</v>
      </c>
      <c r="AI52">
        <f>IF(VLOOKUP(AI$1,main!$A$3:$H$102,5,FALSE)-VLOOKUP($A52,main!$A$3:$H$102,6,FALSE)&gt;=main!$D$103+VLOOKUP(VLOOKUP(AI$1,main!$A$3:$I$102,7,FALSE),main!$K$26:$Q$29,3,FALSE),1,0)</f>
        <v>0</v>
      </c>
      <c r="AJ52">
        <f>IF(VLOOKUP(AJ$1,main!$A$3:$H$102,5,FALSE)-VLOOKUP($A52,main!$A$3:$H$102,6,FALSE)&gt;=main!$D$103+VLOOKUP(VLOOKUP(AJ$1,main!$A$3:$I$102,7,FALSE),main!$K$26:$Q$29,3,FALSE),1,0)</f>
        <v>0</v>
      </c>
      <c r="AK52">
        <f>IF(VLOOKUP(AK$1,main!$A$3:$H$102,5,FALSE)-VLOOKUP($A52,main!$A$3:$H$102,6,FALSE)&gt;=main!$D$103+VLOOKUP(VLOOKUP(AK$1,main!$A$3:$I$102,7,FALSE),main!$K$26:$Q$29,3,FALSE),1,0)</f>
        <v>0</v>
      </c>
      <c r="AL52">
        <f>IF(VLOOKUP(AL$1,main!$A$3:$H$102,5,FALSE)-VLOOKUP($A52,main!$A$3:$H$102,6,FALSE)&gt;=main!$D$103+VLOOKUP(VLOOKUP(AL$1,main!$A$3:$I$102,7,FALSE),main!$K$26:$Q$29,3,FALSE),1,0)</f>
        <v>1</v>
      </c>
      <c r="AM52">
        <f>IF(VLOOKUP(AM$1,main!$A$3:$H$102,5,FALSE)-VLOOKUP($A52,main!$A$3:$H$102,6,FALSE)&gt;=main!$D$103+VLOOKUP(VLOOKUP(AM$1,main!$A$3:$I$102,7,FALSE),main!$K$26:$Q$29,3,FALSE),1,0)</f>
        <v>1</v>
      </c>
      <c r="AN52">
        <f>IF(VLOOKUP(AN$1,main!$A$3:$H$102,5,FALSE)-VLOOKUP($A52,main!$A$3:$H$102,6,FALSE)&gt;=main!$D$103+VLOOKUP(VLOOKUP(AN$1,main!$A$3:$I$102,7,FALSE),main!$K$26:$Q$29,3,FALSE),1,0)</f>
        <v>1</v>
      </c>
      <c r="AO52">
        <f>IF(VLOOKUP(AO$1,main!$A$3:$H$102,5,FALSE)-VLOOKUP($A52,main!$A$3:$H$102,6,FALSE)&gt;=main!$D$103+VLOOKUP(VLOOKUP(AO$1,main!$A$3:$I$102,7,FALSE),main!$K$26:$Q$29,3,FALSE),1,0)</f>
        <v>0</v>
      </c>
      <c r="AP52">
        <f>IF(VLOOKUP(AP$1,main!$A$3:$H$102,5,FALSE)-VLOOKUP($A52,main!$A$3:$H$102,6,FALSE)&gt;=main!$D$103+VLOOKUP(VLOOKUP(AP$1,main!$A$3:$I$102,7,FALSE),main!$K$26:$Q$29,3,FALSE),1,0)</f>
        <v>1</v>
      </c>
      <c r="AQ52">
        <f>IF(VLOOKUP(AQ$1,main!$A$3:$H$102,5,FALSE)-VLOOKUP($A52,main!$A$3:$H$102,6,FALSE)&gt;=main!$D$103+VLOOKUP(VLOOKUP(AQ$1,main!$A$3:$I$102,7,FALSE),main!$K$26:$Q$29,3,FALSE),1,0)</f>
        <v>0</v>
      </c>
      <c r="AR52">
        <f>IF(VLOOKUP(AR$1,main!$A$3:$H$102,5,FALSE)-VLOOKUP($A52,main!$A$3:$H$102,6,FALSE)&gt;=main!$D$103+VLOOKUP(VLOOKUP(AR$1,main!$A$3:$I$102,7,FALSE),main!$K$26:$Q$29,3,FALSE),1,0)</f>
        <v>0</v>
      </c>
      <c r="AS52">
        <f>IF(VLOOKUP(AS$1,main!$A$3:$H$102,5,FALSE)-VLOOKUP($A52,main!$A$3:$H$102,6,FALSE)&gt;=main!$D$103+VLOOKUP(VLOOKUP(AS$1,main!$A$3:$I$102,7,FALSE),main!$K$26:$Q$29,3,FALSE),1,0)</f>
        <v>0</v>
      </c>
      <c r="AT52">
        <f>IF(VLOOKUP(AT$1,main!$A$3:$H$102,5,FALSE)-VLOOKUP($A52,main!$A$3:$H$102,6,FALSE)&gt;=main!$D$103+VLOOKUP(VLOOKUP(AT$1,main!$A$3:$I$102,7,FALSE),main!$K$26:$Q$29,3,FALSE),1,0)</f>
        <v>1</v>
      </c>
      <c r="AU52">
        <f>IF(VLOOKUP(AU$1,main!$A$3:$H$102,5,FALSE)-VLOOKUP($A52,main!$A$3:$H$102,6,FALSE)&gt;=main!$D$103+VLOOKUP(VLOOKUP(AU$1,main!$A$3:$I$102,7,FALSE),main!$K$26:$Q$29,3,FALSE),1,0)</f>
        <v>0</v>
      </c>
      <c r="AV52">
        <f>IF(VLOOKUP(AV$1,main!$A$3:$H$102,5,FALSE)-VLOOKUP($A52,main!$A$3:$H$102,6,FALSE)&gt;=main!$D$103+VLOOKUP(VLOOKUP(AV$1,main!$A$3:$I$102,7,FALSE),main!$K$26:$Q$29,3,FALSE),1,0)</f>
        <v>0</v>
      </c>
      <c r="AW52">
        <f>IF(VLOOKUP(AW$1,main!$A$3:$H$102,5,FALSE)-VLOOKUP($A52,main!$A$3:$H$102,6,FALSE)&gt;=main!$D$103+VLOOKUP(VLOOKUP(AW$1,main!$A$3:$I$102,7,FALSE),main!$K$26:$Q$29,3,FALSE),1,0)</f>
        <v>0</v>
      </c>
      <c r="AX52">
        <f>IF(VLOOKUP(AX$1,main!$A$3:$H$102,5,FALSE)-VLOOKUP($A52,main!$A$3:$H$102,6,FALSE)&gt;=main!$D$103+VLOOKUP(VLOOKUP(AX$1,main!$A$3:$I$102,7,FALSE),main!$K$26:$Q$29,3,FALSE),1,0)</f>
        <v>0</v>
      </c>
      <c r="AY52">
        <f>IF(VLOOKUP(AY$1,main!$A$3:$H$102,5,FALSE)-VLOOKUP($A52,main!$A$3:$H$102,6,FALSE)&gt;=main!$D$103+VLOOKUP(VLOOKUP(AY$1,main!$A$3:$I$102,7,FALSE),main!$K$26:$Q$29,3,FALSE),1,0)</f>
        <v>0</v>
      </c>
      <c r="AZ52">
        <f>IF(VLOOKUP(AZ$1,main!$A$3:$H$102,5,FALSE)-VLOOKUP($A52,main!$A$3:$H$102,6,FALSE)&gt;=main!$D$103+VLOOKUP(VLOOKUP(AZ$1,main!$A$3:$I$102,7,FALSE),main!$K$26:$Q$29,3,FALSE),1,0)</f>
        <v>0</v>
      </c>
      <c r="BA52">
        <f>IF(VLOOKUP(BA$1,main!$A$3:$H$102,5,FALSE)-VLOOKUP($A52,main!$A$3:$H$102,6,FALSE)&gt;=main!$D$103+VLOOKUP(VLOOKUP(BA$1,main!$A$3:$I$102,7,FALSE),main!$K$26:$Q$29,3,FALSE),1,0)</f>
        <v>0</v>
      </c>
      <c r="BB52">
        <f>IF(VLOOKUP(BB$1,main!$A$3:$H$102,5,FALSE)-VLOOKUP($A52,main!$A$3:$H$102,6,FALSE)&gt;=main!$D$103+VLOOKUP(VLOOKUP(BB$1,main!$A$3:$I$102,7,FALSE),main!$K$26:$Q$29,3,FALSE),1,0)</f>
        <v>0</v>
      </c>
      <c r="BC52">
        <f>IF(VLOOKUP(BC$1,main!$A$3:$H$102,5,FALSE)-VLOOKUP($A52,main!$A$3:$H$102,6,FALSE)&gt;=main!$D$103+VLOOKUP(VLOOKUP(BC$1,main!$A$3:$I$102,7,FALSE),main!$K$26:$Q$29,3,FALSE),1,0)</f>
        <v>0</v>
      </c>
      <c r="BD52">
        <f>IF(VLOOKUP(BD$1,main!$A$3:$H$102,5,FALSE)-VLOOKUP($A52,main!$A$3:$H$102,6,FALSE)&gt;=main!$D$103+VLOOKUP(VLOOKUP(BD$1,main!$A$3:$I$102,7,FALSE),main!$K$26:$Q$29,3,FALSE),1,0)</f>
        <v>0</v>
      </c>
      <c r="BE52">
        <f>IF(VLOOKUP(BE$1,main!$A$3:$H$102,5,FALSE)-VLOOKUP($A52,main!$A$3:$H$102,6,FALSE)&gt;=main!$D$103+VLOOKUP(VLOOKUP(BE$1,main!$A$3:$I$102,7,FALSE),main!$K$26:$Q$29,3,FALSE),1,0)</f>
        <v>1</v>
      </c>
      <c r="BF52">
        <f>IF(VLOOKUP(BF$1,main!$A$3:$H$102,5,FALSE)-VLOOKUP($A52,main!$A$3:$H$102,6,FALSE)&gt;=main!$D$103+VLOOKUP(VLOOKUP(BF$1,main!$A$3:$I$102,7,FALSE),main!$K$26:$Q$29,3,FALSE),1,0)</f>
        <v>0</v>
      </c>
      <c r="BG52">
        <f>IF(VLOOKUP(BG$1,main!$A$3:$H$102,5,FALSE)-VLOOKUP($A52,main!$A$3:$H$102,6,FALSE)&gt;=main!$D$103+VLOOKUP(VLOOKUP(BG$1,main!$A$3:$I$102,7,FALSE),main!$K$26:$Q$29,3,FALSE),1,0)</f>
        <v>0</v>
      </c>
      <c r="BH52">
        <f>IF(VLOOKUP(BH$1,main!$A$3:$H$102,5,FALSE)-VLOOKUP($A52,main!$A$3:$H$102,6,FALSE)&gt;=main!$D$103+VLOOKUP(VLOOKUP(BH$1,main!$A$3:$I$102,7,FALSE),main!$K$26:$Q$29,3,FALSE),1,0)</f>
        <v>0</v>
      </c>
      <c r="BI52">
        <f>IF(VLOOKUP(BI$1,main!$A$3:$H$102,5,FALSE)-VLOOKUP($A52,main!$A$3:$H$102,6,FALSE)&gt;=main!$D$103+VLOOKUP(VLOOKUP(BI$1,main!$A$3:$I$102,7,FALSE),main!$K$26:$Q$29,3,FALSE),1,0)</f>
        <v>1</v>
      </c>
      <c r="BJ52">
        <f>IF(VLOOKUP(BJ$1,main!$A$3:$H$102,5,FALSE)-VLOOKUP($A52,main!$A$3:$H$102,6,FALSE)&gt;=main!$D$103+VLOOKUP(VLOOKUP(BJ$1,main!$A$3:$I$102,7,FALSE),main!$K$26:$Q$29,3,FALSE),1,0)</f>
        <v>1</v>
      </c>
      <c r="BK52">
        <f>IF(VLOOKUP(BK$1,main!$A$3:$H$102,5,FALSE)-VLOOKUP($A52,main!$A$3:$H$102,6,FALSE)&gt;=main!$D$103+VLOOKUP(VLOOKUP(BK$1,main!$A$3:$I$102,7,FALSE),main!$K$26:$Q$29,3,FALSE),1,0)</f>
        <v>0</v>
      </c>
      <c r="BL52">
        <f>IF(VLOOKUP(BL$1,main!$A$3:$H$102,5,FALSE)-VLOOKUP($A52,main!$A$3:$H$102,6,FALSE)&gt;=main!$D$103+VLOOKUP(VLOOKUP(BL$1,main!$A$3:$I$102,7,FALSE),main!$K$26:$Q$29,3,FALSE),1,0)</f>
        <v>0</v>
      </c>
      <c r="BM52">
        <f>IF(VLOOKUP(BM$1,main!$A$3:$H$102,5,FALSE)-VLOOKUP($A52,main!$A$3:$H$102,6,FALSE)&gt;=main!$D$103+VLOOKUP(VLOOKUP(BM$1,main!$A$3:$I$102,7,FALSE),main!$K$26:$Q$29,3,FALSE),1,0)</f>
        <v>0</v>
      </c>
      <c r="BN52">
        <f>IF(VLOOKUP(BN$1,main!$A$3:$H$102,5,FALSE)-VLOOKUP($A52,main!$A$3:$H$102,6,FALSE)&gt;=main!$D$103+VLOOKUP(VLOOKUP(BN$1,main!$A$3:$I$102,7,FALSE),main!$K$26:$Q$29,3,FALSE),1,0)</f>
        <v>0</v>
      </c>
      <c r="BO52">
        <f>IF(VLOOKUP(BO$1,main!$A$3:$H$102,5,FALSE)-VLOOKUP($A52,main!$A$3:$H$102,6,FALSE)&gt;=main!$D$103+VLOOKUP(VLOOKUP(BO$1,main!$A$3:$I$102,7,FALSE),main!$K$26:$Q$29,3,FALSE),1,0)</f>
        <v>0</v>
      </c>
      <c r="BP52">
        <f>IF(VLOOKUP(BP$1,main!$A$3:$H$102,5,FALSE)-VLOOKUP($A52,main!$A$3:$H$102,6,FALSE)&gt;=main!$D$103+VLOOKUP(VLOOKUP(BP$1,main!$A$3:$I$102,7,FALSE),main!$K$26:$Q$29,3,FALSE),1,0)</f>
        <v>0</v>
      </c>
      <c r="BQ52">
        <f>IF(VLOOKUP(BQ$1,main!$A$3:$H$102,5,FALSE)-VLOOKUP($A52,main!$A$3:$H$102,6,FALSE)&gt;=main!$D$103+VLOOKUP(VLOOKUP(BQ$1,main!$A$3:$I$102,7,FALSE),main!$K$26:$Q$29,3,FALSE),1,0)</f>
        <v>0</v>
      </c>
      <c r="BR52">
        <f>IF(VLOOKUP(BR$1,main!$A$3:$H$102,5,FALSE)-VLOOKUP($A52,main!$A$3:$H$102,6,FALSE)&gt;=main!$D$103+VLOOKUP(VLOOKUP(BR$1,main!$A$3:$I$102,7,FALSE),main!$K$26:$Q$29,3,FALSE),1,0)</f>
        <v>0</v>
      </c>
      <c r="BS52">
        <f>IF(VLOOKUP(BS$1,main!$A$3:$H$102,5,FALSE)-VLOOKUP($A52,main!$A$3:$H$102,6,FALSE)&gt;=main!$D$103+VLOOKUP(VLOOKUP(BS$1,main!$A$3:$I$102,7,FALSE),main!$K$26:$Q$29,3,FALSE),1,0)</f>
        <v>0</v>
      </c>
      <c r="BT52">
        <f>IF(VLOOKUP(BT$1,main!$A$3:$H$102,5,FALSE)-VLOOKUP($A52,main!$A$3:$H$102,6,FALSE)&gt;=main!$D$103+VLOOKUP(VLOOKUP(BT$1,main!$A$3:$I$102,7,FALSE),main!$K$26:$Q$29,3,FALSE),1,0)</f>
        <v>0</v>
      </c>
      <c r="BU52">
        <f>IF(VLOOKUP(BU$1,main!$A$3:$H$102,5,FALSE)-VLOOKUP($A52,main!$A$3:$H$102,6,FALSE)&gt;=main!$D$103+VLOOKUP(VLOOKUP(BU$1,main!$A$3:$I$102,7,FALSE),main!$K$26:$Q$29,3,FALSE),1,0)</f>
        <v>0</v>
      </c>
      <c r="BV52">
        <f>IF(VLOOKUP(BV$1,main!$A$3:$H$102,5,FALSE)-VLOOKUP($A52,main!$A$3:$H$102,6,FALSE)&gt;=main!$D$103+VLOOKUP(VLOOKUP(BV$1,main!$A$3:$I$102,7,FALSE),main!$K$26:$Q$29,3,FALSE),1,0)</f>
        <v>0</v>
      </c>
      <c r="BW52">
        <f>IF(VLOOKUP(BW$1,main!$A$3:$H$102,5,FALSE)-VLOOKUP($A52,main!$A$3:$H$102,6,FALSE)&gt;=main!$D$103+VLOOKUP(VLOOKUP(BW$1,main!$A$3:$I$102,7,FALSE),main!$K$26:$Q$29,3,FALSE),1,0)</f>
        <v>0</v>
      </c>
      <c r="BX52">
        <f>IF(VLOOKUP(BX$1,main!$A$3:$H$102,5,FALSE)-VLOOKUP($A52,main!$A$3:$H$102,6,FALSE)&gt;=main!$D$103+VLOOKUP(VLOOKUP(BX$1,main!$A$3:$I$102,7,FALSE),main!$K$26:$Q$29,3,FALSE),1,0)</f>
        <v>0</v>
      </c>
      <c r="BY52">
        <f>IF(VLOOKUP(BY$1,main!$A$3:$H$102,5,FALSE)-VLOOKUP($A52,main!$A$3:$H$102,6,FALSE)&gt;=main!$D$103+VLOOKUP(VLOOKUP(BY$1,main!$A$3:$I$102,7,FALSE),main!$K$26:$Q$29,3,FALSE),1,0)</f>
        <v>0</v>
      </c>
      <c r="BZ52">
        <f>IF(VLOOKUP(BZ$1,main!$A$3:$H$102,5,FALSE)-VLOOKUP($A52,main!$A$3:$H$102,6,FALSE)&gt;=main!$D$103+VLOOKUP(VLOOKUP(BZ$1,main!$A$3:$I$102,7,FALSE),main!$K$26:$Q$29,3,FALSE),1,0)</f>
        <v>0</v>
      </c>
      <c r="CA52">
        <f>IF(VLOOKUP(CA$1,main!$A$3:$H$102,5,FALSE)-VLOOKUP($A52,main!$A$3:$H$102,6,FALSE)&gt;=main!$D$103+VLOOKUP(VLOOKUP(CA$1,main!$A$3:$I$102,7,FALSE),main!$K$26:$Q$29,3,FALSE),1,0)</f>
        <v>0</v>
      </c>
      <c r="CB52">
        <f>IF(VLOOKUP(CB$1,main!$A$3:$H$102,5,FALSE)-VLOOKUP($A52,main!$A$3:$H$102,6,FALSE)&gt;=main!$D$103+VLOOKUP(VLOOKUP(CB$1,main!$A$3:$I$102,7,FALSE),main!$K$26:$Q$29,3,FALSE),1,0)</f>
        <v>0</v>
      </c>
      <c r="CC52">
        <f>IF(VLOOKUP(CC$1,main!$A$3:$H$102,5,FALSE)-VLOOKUP($A52,main!$A$3:$H$102,6,FALSE)&gt;=main!$D$103+VLOOKUP(VLOOKUP(CC$1,main!$A$3:$I$102,7,FALSE),main!$K$26:$Q$29,3,FALSE),1,0)</f>
        <v>1</v>
      </c>
      <c r="CD52">
        <f>IF(VLOOKUP(CD$1,main!$A$3:$H$102,5,FALSE)-VLOOKUP($A52,main!$A$3:$H$102,6,FALSE)&gt;=main!$D$103+VLOOKUP(VLOOKUP(CD$1,main!$A$3:$I$102,7,FALSE),main!$K$26:$Q$29,3,FALSE),1,0)</f>
        <v>0</v>
      </c>
      <c r="CE52">
        <f>IF(VLOOKUP(CE$1,main!$A$3:$H$102,5,FALSE)-VLOOKUP($A52,main!$A$3:$H$102,6,FALSE)&gt;=main!$D$103+VLOOKUP(VLOOKUP(CE$1,main!$A$3:$I$102,7,FALSE),main!$K$26:$Q$29,3,FALSE),1,0)</f>
        <v>0</v>
      </c>
      <c r="CF52">
        <f>IF(VLOOKUP(CF$1,main!$A$3:$H$102,5,FALSE)-VLOOKUP($A52,main!$A$3:$H$102,6,FALSE)&gt;=main!$D$103+VLOOKUP(VLOOKUP(CF$1,main!$A$3:$I$102,7,FALSE),main!$K$26:$Q$29,3,FALSE),1,0)</f>
        <v>0</v>
      </c>
      <c r="CG52">
        <f>IF(VLOOKUP(CG$1,main!$A$3:$H$102,5,FALSE)-VLOOKUP($A52,main!$A$3:$H$102,6,FALSE)&gt;=main!$D$103+VLOOKUP(VLOOKUP(CG$1,main!$A$3:$I$102,7,FALSE),main!$K$26:$Q$29,3,FALSE),1,0)</f>
        <v>0</v>
      </c>
      <c r="CH52">
        <f>IF(VLOOKUP(CH$1,main!$A$3:$H$102,5,FALSE)-VLOOKUP($A52,main!$A$3:$H$102,6,FALSE)&gt;=main!$D$103+VLOOKUP(VLOOKUP(CH$1,main!$A$3:$I$102,7,FALSE),main!$K$26:$Q$29,3,FALSE),1,0)</f>
        <v>1</v>
      </c>
      <c r="CI52">
        <f>IF(VLOOKUP(CI$1,main!$A$3:$H$102,5,FALSE)-VLOOKUP($A52,main!$A$3:$H$102,6,FALSE)&gt;=main!$D$103+VLOOKUP(VLOOKUP(CI$1,main!$A$3:$I$102,7,FALSE),main!$K$26:$Q$29,3,FALSE),1,0)</f>
        <v>1</v>
      </c>
      <c r="CJ52">
        <f>IF(VLOOKUP(CJ$1,main!$A$3:$H$102,5,FALSE)-VLOOKUP($A52,main!$A$3:$H$102,6,FALSE)&gt;=main!$D$103+VLOOKUP(VLOOKUP(CJ$1,main!$A$3:$I$102,7,FALSE),main!$K$26:$Q$29,3,FALSE),1,0)</f>
        <v>0</v>
      </c>
      <c r="CK52">
        <f>IF(VLOOKUP(CK$1,main!$A$3:$H$102,5,FALSE)-VLOOKUP($A52,main!$A$3:$H$102,6,FALSE)&gt;=main!$D$103+VLOOKUP(VLOOKUP(CK$1,main!$A$3:$I$102,7,FALSE),main!$K$26:$Q$29,3,FALSE),1,0)</f>
        <v>0</v>
      </c>
      <c r="CL52">
        <f>IF(VLOOKUP(CL$1,main!$A$3:$H$102,5,FALSE)-VLOOKUP($A52,main!$A$3:$H$102,6,FALSE)&gt;=main!$D$103+VLOOKUP(VLOOKUP(CL$1,main!$A$3:$I$102,7,FALSE),main!$K$26:$Q$29,3,FALSE),1,0)</f>
        <v>0</v>
      </c>
      <c r="CM52">
        <f>IF(VLOOKUP(CM$1,main!$A$3:$H$102,5,FALSE)-VLOOKUP($A52,main!$A$3:$H$102,6,FALSE)&gt;=main!$D$103+VLOOKUP(VLOOKUP(CM$1,main!$A$3:$I$102,7,FALSE),main!$K$26:$Q$29,3,FALSE),1,0)</f>
        <v>1</v>
      </c>
      <c r="CN52">
        <f>IF(VLOOKUP(CN$1,main!$A$3:$H$102,5,FALSE)-VLOOKUP($A52,main!$A$3:$H$102,6,FALSE)&gt;=main!$D$103+VLOOKUP(VLOOKUP(CN$1,main!$A$3:$I$102,7,FALSE),main!$K$26:$Q$29,3,FALSE),1,0)</f>
        <v>1</v>
      </c>
      <c r="CO52">
        <f>IF(VLOOKUP(CO$1,main!$A$3:$H$102,5,FALSE)-VLOOKUP($A52,main!$A$3:$H$102,6,FALSE)&gt;=main!$D$103+VLOOKUP(VLOOKUP(CO$1,main!$A$3:$I$102,7,FALSE),main!$K$26:$Q$29,3,FALSE),1,0)</f>
        <v>0</v>
      </c>
      <c r="CP52">
        <f>IF(VLOOKUP(CP$1,main!$A$3:$H$102,5,FALSE)-VLOOKUP($A52,main!$A$3:$H$102,6,FALSE)&gt;=main!$D$103+VLOOKUP(VLOOKUP(CP$1,main!$A$3:$I$102,7,FALSE),main!$K$26:$Q$29,3,FALSE),1,0)</f>
        <v>0</v>
      </c>
      <c r="CQ52">
        <f>IF(VLOOKUP(CQ$1,main!$A$3:$H$102,5,FALSE)-VLOOKUP($A52,main!$A$3:$H$102,6,FALSE)&gt;=main!$D$103+VLOOKUP(VLOOKUP(CQ$1,main!$A$3:$I$102,7,FALSE),main!$K$26:$Q$29,3,FALSE),1,0)</f>
        <v>0</v>
      </c>
      <c r="CR52">
        <f>IF(VLOOKUP(CR$1,main!$A$3:$H$102,5,FALSE)-VLOOKUP($A52,main!$A$3:$H$102,6,FALSE)&gt;=main!$D$103+VLOOKUP(VLOOKUP(CR$1,main!$A$3:$I$102,7,FALSE),main!$K$26:$Q$29,3,FALSE),1,0)</f>
        <v>1</v>
      </c>
      <c r="CS52">
        <f>IF(VLOOKUP(CS$1,main!$A$3:$H$102,5,FALSE)-VLOOKUP($A52,main!$A$3:$H$102,6,FALSE)&gt;=main!$D$103+VLOOKUP(VLOOKUP(CS$1,main!$A$3:$I$102,7,FALSE),main!$K$26:$Q$29,3,FALSE),1,0)</f>
        <v>1</v>
      </c>
      <c r="CT52">
        <f>IF(VLOOKUP(CT$1,main!$A$3:$H$102,5,FALSE)-VLOOKUP($A52,main!$A$3:$H$102,6,FALSE)&gt;=main!$D$103+VLOOKUP(VLOOKUP(CT$1,main!$A$3:$I$102,7,FALSE),main!$K$26:$Q$29,3,FALSE),1,0)</f>
        <v>0</v>
      </c>
      <c r="CU52">
        <f>IF(VLOOKUP(CU$1,main!$A$3:$H$102,5,FALSE)-VLOOKUP($A52,main!$A$3:$H$102,6,FALSE)&gt;=main!$D$103+VLOOKUP(VLOOKUP(CU$1,main!$A$3:$I$102,7,FALSE),main!$K$26:$Q$29,3,FALSE),1,0)</f>
        <v>0</v>
      </c>
      <c r="CV52">
        <f>IF(VLOOKUP(CV$1,main!$A$3:$H$102,5,FALSE)-VLOOKUP($A52,main!$A$3:$H$102,6,FALSE)&gt;=main!$D$103+VLOOKUP(VLOOKUP(CV$1,main!$A$3:$I$102,7,FALSE),main!$K$26:$Q$29,3,FALSE),1,0)</f>
        <v>0</v>
      </c>
      <c r="CW52">
        <f>IF(VLOOKUP(CW$1,main!$A$3:$H$102,5,FALSE)-VLOOKUP($A52,main!$A$3:$H$102,6,FALSE)&gt;=main!$D$103+VLOOKUP(VLOOKUP(CW$1,main!$A$3:$I$102,7,FALSE),main!$K$26:$Q$29,3,FALSE),1,0)</f>
        <v>1</v>
      </c>
      <c r="CX52">
        <f>IF(VLOOKUP(CX$1,main!$A$3:$H$102,5,FALSE)-VLOOKUP($A52,main!$A$3:$H$102,6,FALSE)&gt;=main!$D$103+VLOOKUP(VLOOKUP(CX$1,main!$A$3:$I$102,7,FALSE),main!$K$26:$Q$29,3,FALSE),1,0)</f>
        <v>1</v>
      </c>
    </row>
    <row r="53" spans="1:102" x14ac:dyDescent="0.25">
      <c r="A53" s="1">
        <v>51</v>
      </c>
      <c r="B53">
        <v>0</v>
      </c>
      <c r="C53">
        <f>IF(VLOOKUP(C$1,main!$A$3:$H$102,5,FALSE)-VLOOKUP($A53,main!$A$3:$H$102,6,FALSE)&gt;=main!$D$103+VLOOKUP(VLOOKUP(C$1,main!$A$3:$I$102,7,FALSE),main!$K$26:$Q$29,3,FALSE),1,0)</f>
        <v>0</v>
      </c>
      <c r="D53">
        <f>IF(VLOOKUP(D$1,main!$A$3:$H$102,5,FALSE)-VLOOKUP($A53,main!$A$3:$H$102,6,FALSE)&gt;=main!$D$103+VLOOKUP(VLOOKUP(D$1,main!$A$3:$I$102,7,FALSE),main!$K$26:$Q$29,3,FALSE),1,0)</f>
        <v>0</v>
      </c>
      <c r="E53">
        <f>IF(VLOOKUP(E$1,main!$A$3:$H$102,5,FALSE)-VLOOKUP($A53,main!$A$3:$H$102,6,FALSE)&gt;=main!$D$103+VLOOKUP(VLOOKUP(E$1,main!$A$3:$I$102,7,FALSE),main!$K$26:$Q$29,3,FALSE),1,0)</f>
        <v>0</v>
      </c>
      <c r="F53">
        <f>IF(VLOOKUP(F$1,main!$A$3:$H$102,5,FALSE)-VLOOKUP($A53,main!$A$3:$H$102,6,FALSE)&gt;=main!$D$103+VLOOKUP(VLOOKUP(F$1,main!$A$3:$I$102,7,FALSE),main!$K$26:$Q$29,3,FALSE),1,0)</f>
        <v>0</v>
      </c>
      <c r="G53">
        <f>IF(VLOOKUP(G$1,main!$A$3:$H$102,5,FALSE)-VLOOKUP($A53,main!$A$3:$H$102,6,FALSE)&gt;=main!$D$103+VLOOKUP(VLOOKUP(G$1,main!$A$3:$I$102,7,FALSE),main!$K$26:$Q$29,3,FALSE),1,0)</f>
        <v>1</v>
      </c>
      <c r="H53">
        <f>IF(VLOOKUP(H$1,main!$A$3:$H$102,5,FALSE)-VLOOKUP($A53,main!$A$3:$H$102,6,FALSE)&gt;=main!$D$103+VLOOKUP(VLOOKUP(H$1,main!$A$3:$I$102,7,FALSE),main!$K$26:$Q$29,3,FALSE),1,0)</f>
        <v>1</v>
      </c>
      <c r="I53">
        <f>IF(VLOOKUP(I$1,main!$A$3:$H$102,5,FALSE)-VLOOKUP($A53,main!$A$3:$H$102,6,FALSE)&gt;=main!$D$103+VLOOKUP(VLOOKUP(I$1,main!$A$3:$I$102,7,FALSE),main!$K$26:$Q$29,3,FALSE),1,0)</f>
        <v>1</v>
      </c>
      <c r="J53">
        <f>IF(VLOOKUP(J$1,main!$A$3:$H$102,5,FALSE)-VLOOKUP($A53,main!$A$3:$H$102,6,FALSE)&gt;=main!$D$103+VLOOKUP(VLOOKUP(J$1,main!$A$3:$I$102,7,FALSE),main!$K$26:$Q$29,3,FALSE),1,0)</f>
        <v>1</v>
      </c>
      <c r="K53">
        <f>IF(VLOOKUP(K$1,main!$A$3:$H$102,5,FALSE)-VLOOKUP($A53,main!$A$3:$H$102,6,FALSE)&gt;=main!$D$103+VLOOKUP(VLOOKUP(K$1,main!$A$3:$I$102,7,FALSE),main!$K$26:$Q$29,3,FALSE),1,0)</f>
        <v>1</v>
      </c>
      <c r="L53">
        <f>IF(VLOOKUP(L$1,main!$A$3:$H$102,5,FALSE)-VLOOKUP($A53,main!$A$3:$H$102,6,FALSE)&gt;=main!$D$103+VLOOKUP(VLOOKUP(L$1,main!$A$3:$I$102,7,FALSE),main!$K$26:$Q$29,3,FALSE),1,0)</f>
        <v>1</v>
      </c>
      <c r="M53">
        <f>IF(VLOOKUP(M$1,main!$A$3:$H$102,5,FALSE)-VLOOKUP($A53,main!$A$3:$H$102,6,FALSE)&gt;=main!$D$103+VLOOKUP(VLOOKUP(M$1,main!$A$3:$I$102,7,FALSE),main!$K$26:$Q$29,3,FALSE),1,0)</f>
        <v>0</v>
      </c>
      <c r="N53">
        <f>IF(VLOOKUP(N$1,main!$A$3:$H$102,5,FALSE)-VLOOKUP($A53,main!$A$3:$H$102,6,FALSE)&gt;=main!$D$103+VLOOKUP(VLOOKUP(N$1,main!$A$3:$I$102,7,FALSE),main!$K$26:$Q$29,3,FALSE),1,0)</f>
        <v>0</v>
      </c>
      <c r="O53">
        <f>IF(VLOOKUP(O$1,main!$A$3:$H$102,5,FALSE)-VLOOKUP($A53,main!$A$3:$H$102,6,FALSE)&gt;=main!$D$103+VLOOKUP(VLOOKUP(O$1,main!$A$3:$I$102,7,FALSE),main!$K$26:$Q$29,3,FALSE),1,0)</f>
        <v>0</v>
      </c>
      <c r="P53">
        <f>IF(VLOOKUP(P$1,main!$A$3:$H$102,5,FALSE)-VLOOKUP($A53,main!$A$3:$H$102,6,FALSE)&gt;=main!$D$103+VLOOKUP(VLOOKUP(P$1,main!$A$3:$I$102,7,FALSE),main!$K$26:$Q$29,3,FALSE),1,0)</f>
        <v>0</v>
      </c>
      <c r="Q53">
        <f>IF(VLOOKUP(Q$1,main!$A$3:$H$102,5,FALSE)-VLOOKUP($A53,main!$A$3:$H$102,6,FALSE)&gt;=main!$D$103+VLOOKUP(VLOOKUP(Q$1,main!$A$3:$I$102,7,FALSE),main!$K$26:$Q$29,3,FALSE),1,0)</f>
        <v>0</v>
      </c>
      <c r="R53">
        <f>IF(VLOOKUP(R$1,main!$A$3:$H$102,5,FALSE)-VLOOKUP($A53,main!$A$3:$H$102,6,FALSE)&gt;=main!$D$103+VLOOKUP(VLOOKUP(R$1,main!$A$3:$I$102,7,FALSE),main!$K$26:$Q$29,3,FALSE),1,0)</f>
        <v>1</v>
      </c>
      <c r="S53">
        <f>IF(VLOOKUP(S$1,main!$A$3:$H$102,5,FALSE)-VLOOKUP($A53,main!$A$3:$H$102,6,FALSE)&gt;=main!$D$103+VLOOKUP(VLOOKUP(S$1,main!$A$3:$I$102,7,FALSE),main!$K$26:$Q$29,3,FALSE),1,0)</f>
        <v>1</v>
      </c>
      <c r="T53">
        <f>IF(VLOOKUP(T$1,main!$A$3:$H$102,5,FALSE)-VLOOKUP($A53,main!$A$3:$H$102,6,FALSE)&gt;=main!$D$103+VLOOKUP(VLOOKUP(T$1,main!$A$3:$I$102,7,FALSE),main!$K$26:$Q$29,3,FALSE),1,0)</f>
        <v>1</v>
      </c>
      <c r="U53">
        <f>IF(VLOOKUP(U$1,main!$A$3:$H$102,5,FALSE)-VLOOKUP($A53,main!$A$3:$H$102,6,FALSE)&gt;=main!$D$103+VLOOKUP(VLOOKUP(U$1,main!$A$3:$I$102,7,FALSE),main!$K$26:$Q$29,3,FALSE),1,0)</f>
        <v>1</v>
      </c>
      <c r="V53">
        <f>IF(VLOOKUP(V$1,main!$A$3:$H$102,5,FALSE)-VLOOKUP($A53,main!$A$3:$H$102,6,FALSE)&gt;=main!$D$103+VLOOKUP(VLOOKUP(V$1,main!$A$3:$I$102,7,FALSE),main!$K$26:$Q$29,3,FALSE),1,0)</f>
        <v>1</v>
      </c>
      <c r="W53">
        <f>IF(VLOOKUP(W$1,main!$A$3:$H$102,5,FALSE)-VLOOKUP($A53,main!$A$3:$H$102,6,FALSE)&gt;=main!$D$103+VLOOKUP(VLOOKUP(W$1,main!$A$3:$I$102,7,FALSE),main!$K$26:$Q$29,3,FALSE),1,0)</f>
        <v>0</v>
      </c>
      <c r="X53">
        <f>IF(VLOOKUP(X$1,main!$A$3:$H$102,5,FALSE)-VLOOKUP($A53,main!$A$3:$H$102,6,FALSE)&gt;=main!$D$103+VLOOKUP(VLOOKUP(X$1,main!$A$3:$I$102,7,FALSE),main!$K$26:$Q$29,3,FALSE),1,0)</f>
        <v>0</v>
      </c>
      <c r="Y53">
        <f>IF(VLOOKUP(Y$1,main!$A$3:$H$102,5,FALSE)-VLOOKUP($A53,main!$A$3:$H$102,6,FALSE)&gt;=main!$D$103+VLOOKUP(VLOOKUP(Y$1,main!$A$3:$I$102,7,FALSE),main!$K$26:$Q$29,3,FALSE),1,0)</f>
        <v>1</v>
      </c>
      <c r="Z53">
        <f>IF(VLOOKUP(Z$1,main!$A$3:$H$102,5,FALSE)-VLOOKUP($A53,main!$A$3:$H$102,6,FALSE)&gt;=main!$D$103+VLOOKUP(VLOOKUP(Z$1,main!$A$3:$I$102,7,FALSE),main!$K$26:$Q$29,3,FALSE),1,0)</f>
        <v>1</v>
      </c>
      <c r="AA53">
        <f>IF(VLOOKUP(AA$1,main!$A$3:$H$102,5,FALSE)-VLOOKUP($A53,main!$A$3:$H$102,6,FALSE)&gt;=main!$D$103+VLOOKUP(VLOOKUP(AA$1,main!$A$3:$I$102,7,FALSE),main!$K$26:$Q$29,3,FALSE),1,0)</f>
        <v>1</v>
      </c>
      <c r="AB53">
        <f>IF(VLOOKUP(AB$1,main!$A$3:$H$102,5,FALSE)-VLOOKUP($A53,main!$A$3:$H$102,6,FALSE)&gt;=main!$D$103+VLOOKUP(VLOOKUP(AB$1,main!$A$3:$I$102,7,FALSE),main!$K$26:$Q$29,3,FALSE),1,0)</f>
        <v>0</v>
      </c>
      <c r="AC53">
        <f>IF(VLOOKUP(AC$1,main!$A$3:$H$102,5,FALSE)-VLOOKUP($A53,main!$A$3:$H$102,6,FALSE)&gt;=main!$D$103+VLOOKUP(VLOOKUP(AC$1,main!$A$3:$I$102,7,FALSE),main!$K$26:$Q$29,3,FALSE),1,0)</f>
        <v>0</v>
      </c>
      <c r="AD53">
        <f>IF(VLOOKUP(AD$1,main!$A$3:$H$102,5,FALSE)-VLOOKUP($A53,main!$A$3:$H$102,6,FALSE)&gt;=main!$D$103+VLOOKUP(VLOOKUP(AD$1,main!$A$3:$I$102,7,FALSE),main!$K$26:$Q$29,3,FALSE),1,0)</f>
        <v>0</v>
      </c>
      <c r="AE53">
        <f>IF(VLOOKUP(AE$1,main!$A$3:$H$102,5,FALSE)-VLOOKUP($A53,main!$A$3:$H$102,6,FALSE)&gt;=main!$D$103+VLOOKUP(VLOOKUP(AE$1,main!$A$3:$I$102,7,FALSE),main!$K$26:$Q$29,3,FALSE),1,0)</f>
        <v>1</v>
      </c>
      <c r="AF53">
        <f>IF(VLOOKUP(AF$1,main!$A$3:$H$102,5,FALSE)-VLOOKUP($A53,main!$A$3:$H$102,6,FALSE)&gt;=main!$D$103+VLOOKUP(VLOOKUP(AF$1,main!$A$3:$I$102,7,FALSE),main!$K$26:$Q$29,3,FALSE),1,0)</f>
        <v>1</v>
      </c>
      <c r="AG53">
        <f>IF(VLOOKUP(AG$1,main!$A$3:$H$102,5,FALSE)-VLOOKUP($A53,main!$A$3:$H$102,6,FALSE)&gt;=main!$D$103+VLOOKUP(VLOOKUP(AG$1,main!$A$3:$I$102,7,FALSE),main!$K$26:$Q$29,3,FALSE),1,0)</f>
        <v>0</v>
      </c>
      <c r="AH53">
        <f>IF(VLOOKUP(AH$1,main!$A$3:$H$102,5,FALSE)-VLOOKUP($A53,main!$A$3:$H$102,6,FALSE)&gt;=main!$D$103+VLOOKUP(VLOOKUP(AH$1,main!$A$3:$I$102,7,FALSE),main!$K$26:$Q$29,3,FALSE),1,0)</f>
        <v>0</v>
      </c>
      <c r="AI53">
        <f>IF(VLOOKUP(AI$1,main!$A$3:$H$102,5,FALSE)-VLOOKUP($A53,main!$A$3:$H$102,6,FALSE)&gt;=main!$D$103+VLOOKUP(VLOOKUP(AI$1,main!$A$3:$I$102,7,FALSE),main!$K$26:$Q$29,3,FALSE),1,0)</f>
        <v>0</v>
      </c>
      <c r="AJ53">
        <f>IF(VLOOKUP(AJ$1,main!$A$3:$H$102,5,FALSE)-VLOOKUP($A53,main!$A$3:$H$102,6,FALSE)&gt;=main!$D$103+VLOOKUP(VLOOKUP(AJ$1,main!$A$3:$I$102,7,FALSE),main!$K$26:$Q$29,3,FALSE),1,0)</f>
        <v>1</v>
      </c>
      <c r="AK53">
        <f>IF(VLOOKUP(AK$1,main!$A$3:$H$102,5,FALSE)-VLOOKUP($A53,main!$A$3:$H$102,6,FALSE)&gt;=main!$D$103+VLOOKUP(VLOOKUP(AK$1,main!$A$3:$I$102,7,FALSE),main!$K$26:$Q$29,3,FALSE),1,0)</f>
        <v>1</v>
      </c>
      <c r="AL53">
        <f>IF(VLOOKUP(AL$1,main!$A$3:$H$102,5,FALSE)-VLOOKUP($A53,main!$A$3:$H$102,6,FALSE)&gt;=main!$D$103+VLOOKUP(VLOOKUP(AL$1,main!$A$3:$I$102,7,FALSE),main!$K$26:$Q$29,3,FALSE),1,0)</f>
        <v>1</v>
      </c>
      <c r="AM53">
        <f>IF(VLOOKUP(AM$1,main!$A$3:$H$102,5,FALSE)-VLOOKUP($A53,main!$A$3:$H$102,6,FALSE)&gt;=main!$D$103+VLOOKUP(VLOOKUP(AM$1,main!$A$3:$I$102,7,FALSE),main!$K$26:$Q$29,3,FALSE),1,0)</f>
        <v>1</v>
      </c>
      <c r="AN53">
        <f>IF(VLOOKUP(AN$1,main!$A$3:$H$102,5,FALSE)-VLOOKUP($A53,main!$A$3:$H$102,6,FALSE)&gt;=main!$D$103+VLOOKUP(VLOOKUP(AN$1,main!$A$3:$I$102,7,FALSE),main!$K$26:$Q$29,3,FALSE),1,0)</f>
        <v>1</v>
      </c>
      <c r="AO53">
        <f>IF(VLOOKUP(AO$1,main!$A$3:$H$102,5,FALSE)-VLOOKUP($A53,main!$A$3:$H$102,6,FALSE)&gt;=main!$D$103+VLOOKUP(VLOOKUP(AO$1,main!$A$3:$I$102,7,FALSE),main!$K$26:$Q$29,3,FALSE),1,0)</f>
        <v>0</v>
      </c>
      <c r="AP53">
        <f>IF(VLOOKUP(AP$1,main!$A$3:$H$102,5,FALSE)-VLOOKUP($A53,main!$A$3:$H$102,6,FALSE)&gt;=main!$D$103+VLOOKUP(VLOOKUP(AP$1,main!$A$3:$I$102,7,FALSE),main!$K$26:$Q$29,3,FALSE),1,0)</f>
        <v>1</v>
      </c>
      <c r="AQ53">
        <f>IF(VLOOKUP(AQ$1,main!$A$3:$H$102,5,FALSE)-VLOOKUP($A53,main!$A$3:$H$102,6,FALSE)&gt;=main!$D$103+VLOOKUP(VLOOKUP(AQ$1,main!$A$3:$I$102,7,FALSE),main!$K$26:$Q$29,3,FALSE),1,0)</f>
        <v>0</v>
      </c>
      <c r="AR53">
        <f>IF(VLOOKUP(AR$1,main!$A$3:$H$102,5,FALSE)-VLOOKUP($A53,main!$A$3:$H$102,6,FALSE)&gt;=main!$D$103+VLOOKUP(VLOOKUP(AR$1,main!$A$3:$I$102,7,FALSE),main!$K$26:$Q$29,3,FALSE),1,0)</f>
        <v>0</v>
      </c>
      <c r="AS53">
        <f>IF(VLOOKUP(AS$1,main!$A$3:$H$102,5,FALSE)-VLOOKUP($A53,main!$A$3:$H$102,6,FALSE)&gt;=main!$D$103+VLOOKUP(VLOOKUP(AS$1,main!$A$3:$I$102,7,FALSE),main!$K$26:$Q$29,3,FALSE),1,0)</f>
        <v>1</v>
      </c>
      <c r="AT53">
        <f>IF(VLOOKUP(AT$1,main!$A$3:$H$102,5,FALSE)-VLOOKUP($A53,main!$A$3:$H$102,6,FALSE)&gt;=main!$D$103+VLOOKUP(VLOOKUP(AT$1,main!$A$3:$I$102,7,FALSE),main!$K$26:$Q$29,3,FALSE),1,0)</f>
        <v>1</v>
      </c>
      <c r="AU53">
        <f>IF(VLOOKUP(AU$1,main!$A$3:$H$102,5,FALSE)-VLOOKUP($A53,main!$A$3:$H$102,6,FALSE)&gt;=main!$D$103+VLOOKUP(VLOOKUP(AU$1,main!$A$3:$I$102,7,FALSE),main!$K$26:$Q$29,3,FALSE),1,0)</f>
        <v>0</v>
      </c>
      <c r="AV53">
        <f>IF(VLOOKUP(AV$1,main!$A$3:$H$102,5,FALSE)-VLOOKUP($A53,main!$A$3:$H$102,6,FALSE)&gt;=main!$D$103+VLOOKUP(VLOOKUP(AV$1,main!$A$3:$I$102,7,FALSE),main!$K$26:$Q$29,3,FALSE),1,0)</f>
        <v>0</v>
      </c>
      <c r="AW53">
        <f>IF(VLOOKUP(AW$1,main!$A$3:$H$102,5,FALSE)-VLOOKUP($A53,main!$A$3:$H$102,6,FALSE)&gt;=main!$D$103+VLOOKUP(VLOOKUP(AW$1,main!$A$3:$I$102,7,FALSE),main!$K$26:$Q$29,3,FALSE),1,0)</f>
        <v>1</v>
      </c>
      <c r="AX53">
        <f>IF(VLOOKUP(AX$1,main!$A$3:$H$102,5,FALSE)-VLOOKUP($A53,main!$A$3:$H$102,6,FALSE)&gt;=main!$D$103+VLOOKUP(VLOOKUP(AX$1,main!$A$3:$I$102,7,FALSE),main!$K$26:$Q$29,3,FALSE),1,0)</f>
        <v>0</v>
      </c>
      <c r="AY53">
        <f>IF(VLOOKUP(AY$1,main!$A$3:$H$102,5,FALSE)-VLOOKUP($A53,main!$A$3:$H$102,6,FALSE)&gt;=main!$D$103+VLOOKUP(VLOOKUP(AY$1,main!$A$3:$I$102,7,FALSE),main!$K$26:$Q$29,3,FALSE),1,0)</f>
        <v>0</v>
      </c>
      <c r="AZ53">
        <f>IF(VLOOKUP(AZ$1,main!$A$3:$H$102,5,FALSE)-VLOOKUP($A53,main!$A$3:$H$102,6,FALSE)&gt;=main!$D$103+VLOOKUP(VLOOKUP(AZ$1,main!$A$3:$I$102,7,FALSE),main!$K$26:$Q$29,3,FALSE),1,0)</f>
        <v>0</v>
      </c>
      <c r="BA53">
        <f>IF(VLOOKUP(BA$1,main!$A$3:$H$102,5,FALSE)-VLOOKUP($A53,main!$A$3:$H$102,6,FALSE)&gt;=main!$D$103+VLOOKUP(VLOOKUP(BA$1,main!$A$3:$I$102,7,FALSE),main!$K$26:$Q$29,3,FALSE),1,0)</f>
        <v>0</v>
      </c>
      <c r="BB53">
        <f>IF(VLOOKUP(BB$1,main!$A$3:$H$102,5,FALSE)-VLOOKUP($A53,main!$A$3:$H$102,6,FALSE)&gt;=main!$D$103+VLOOKUP(VLOOKUP(BB$1,main!$A$3:$I$102,7,FALSE),main!$K$26:$Q$29,3,FALSE),1,0)</f>
        <v>0</v>
      </c>
      <c r="BC53">
        <f>IF(VLOOKUP(BC$1,main!$A$3:$H$102,5,FALSE)-VLOOKUP($A53,main!$A$3:$H$102,6,FALSE)&gt;=main!$D$103+VLOOKUP(VLOOKUP(BC$1,main!$A$3:$I$102,7,FALSE),main!$K$26:$Q$29,3,FALSE),1,0)</f>
        <v>1</v>
      </c>
      <c r="BD53">
        <f>IF(VLOOKUP(BD$1,main!$A$3:$H$102,5,FALSE)-VLOOKUP($A53,main!$A$3:$H$102,6,FALSE)&gt;=main!$D$103+VLOOKUP(VLOOKUP(BD$1,main!$A$3:$I$102,7,FALSE),main!$K$26:$Q$29,3,FALSE),1,0)</f>
        <v>1</v>
      </c>
      <c r="BE53">
        <f>IF(VLOOKUP(BE$1,main!$A$3:$H$102,5,FALSE)-VLOOKUP($A53,main!$A$3:$H$102,6,FALSE)&gt;=main!$D$103+VLOOKUP(VLOOKUP(BE$1,main!$A$3:$I$102,7,FALSE),main!$K$26:$Q$29,3,FALSE),1,0)</f>
        <v>1</v>
      </c>
      <c r="BF53">
        <f>IF(VLOOKUP(BF$1,main!$A$3:$H$102,5,FALSE)-VLOOKUP($A53,main!$A$3:$H$102,6,FALSE)&gt;=main!$D$103+VLOOKUP(VLOOKUP(BF$1,main!$A$3:$I$102,7,FALSE),main!$K$26:$Q$29,3,FALSE),1,0)</f>
        <v>0</v>
      </c>
      <c r="BG53">
        <f>IF(VLOOKUP(BG$1,main!$A$3:$H$102,5,FALSE)-VLOOKUP($A53,main!$A$3:$H$102,6,FALSE)&gt;=main!$D$103+VLOOKUP(VLOOKUP(BG$1,main!$A$3:$I$102,7,FALSE),main!$K$26:$Q$29,3,FALSE),1,0)</f>
        <v>0</v>
      </c>
      <c r="BH53">
        <f>IF(VLOOKUP(BH$1,main!$A$3:$H$102,5,FALSE)-VLOOKUP($A53,main!$A$3:$H$102,6,FALSE)&gt;=main!$D$103+VLOOKUP(VLOOKUP(BH$1,main!$A$3:$I$102,7,FALSE),main!$K$26:$Q$29,3,FALSE),1,0)</f>
        <v>1</v>
      </c>
      <c r="BI53">
        <f>IF(VLOOKUP(BI$1,main!$A$3:$H$102,5,FALSE)-VLOOKUP($A53,main!$A$3:$H$102,6,FALSE)&gt;=main!$D$103+VLOOKUP(VLOOKUP(BI$1,main!$A$3:$I$102,7,FALSE),main!$K$26:$Q$29,3,FALSE),1,0)</f>
        <v>1</v>
      </c>
      <c r="BJ53">
        <f>IF(VLOOKUP(BJ$1,main!$A$3:$H$102,5,FALSE)-VLOOKUP($A53,main!$A$3:$H$102,6,FALSE)&gt;=main!$D$103+VLOOKUP(VLOOKUP(BJ$1,main!$A$3:$I$102,7,FALSE),main!$K$26:$Q$29,3,FALSE),1,0)</f>
        <v>1</v>
      </c>
      <c r="BK53">
        <f>IF(VLOOKUP(BK$1,main!$A$3:$H$102,5,FALSE)-VLOOKUP($A53,main!$A$3:$H$102,6,FALSE)&gt;=main!$D$103+VLOOKUP(VLOOKUP(BK$1,main!$A$3:$I$102,7,FALSE),main!$K$26:$Q$29,3,FALSE),1,0)</f>
        <v>0</v>
      </c>
      <c r="BL53">
        <f>IF(VLOOKUP(BL$1,main!$A$3:$H$102,5,FALSE)-VLOOKUP($A53,main!$A$3:$H$102,6,FALSE)&gt;=main!$D$103+VLOOKUP(VLOOKUP(BL$1,main!$A$3:$I$102,7,FALSE),main!$K$26:$Q$29,3,FALSE),1,0)</f>
        <v>0</v>
      </c>
      <c r="BM53">
        <f>IF(VLOOKUP(BM$1,main!$A$3:$H$102,5,FALSE)-VLOOKUP($A53,main!$A$3:$H$102,6,FALSE)&gt;=main!$D$103+VLOOKUP(VLOOKUP(BM$1,main!$A$3:$I$102,7,FALSE),main!$K$26:$Q$29,3,FALSE),1,0)</f>
        <v>0</v>
      </c>
      <c r="BN53">
        <f>IF(VLOOKUP(BN$1,main!$A$3:$H$102,5,FALSE)-VLOOKUP($A53,main!$A$3:$H$102,6,FALSE)&gt;=main!$D$103+VLOOKUP(VLOOKUP(BN$1,main!$A$3:$I$102,7,FALSE),main!$K$26:$Q$29,3,FALSE),1,0)</f>
        <v>1</v>
      </c>
      <c r="BO53">
        <f>IF(VLOOKUP(BO$1,main!$A$3:$H$102,5,FALSE)-VLOOKUP($A53,main!$A$3:$H$102,6,FALSE)&gt;=main!$D$103+VLOOKUP(VLOOKUP(BO$1,main!$A$3:$I$102,7,FALSE),main!$K$26:$Q$29,3,FALSE),1,0)</f>
        <v>0</v>
      </c>
      <c r="BP53">
        <f>IF(VLOOKUP(BP$1,main!$A$3:$H$102,5,FALSE)-VLOOKUP($A53,main!$A$3:$H$102,6,FALSE)&gt;=main!$D$103+VLOOKUP(VLOOKUP(BP$1,main!$A$3:$I$102,7,FALSE),main!$K$26:$Q$29,3,FALSE),1,0)</f>
        <v>0</v>
      </c>
      <c r="BQ53">
        <f>IF(VLOOKUP(BQ$1,main!$A$3:$H$102,5,FALSE)-VLOOKUP($A53,main!$A$3:$H$102,6,FALSE)&gt;=main!$D$103+VLOOKUP(VLOOKUP(BQ$1,main!$A$3:$I$102,7,FALSE),main!$K$26:$Q$29,3,FALSE),1,0)</f>
        <v>0</v>
      </c>
      <c r="BR53">
        <f>IF(VLOOKUP(BR$1,main!$A$3:$H$102,5,FALSE)-VLOOKUP($A53,main!$A$3:$H$102,6,FALSE)&gt;=main!$D$103+VLOOKUP(VLOOKUP(BR$1,main!$A$3:$I$102,7,FALSE),main!$K$26:$Q$29,3,FALSE),1,0)</f>
        <v>1</v>
      </c>
      <c r="BS53">
        <f>IF(VLOOKUP(BS$1,main!$A$3:$H$102,5,FALSE)-VLOOKUP($A53,main!$A$3:$H$102,6,FALSE)&gt;=main!$D$103+VLOOKUP(VLOOKUP(BS$1,main!$A$3:$I$102,7,FALSE),main!$K$26:$Q$29,3,FALSE),1,0)</f>
        <v>1</v>
      </c>
      <c r="BT53">
        <f>IF(VLOOKUP(BT$1,main!$A$3:$H$102,5,FALSE)-VLOOKUP($A53,main!$A$3:$H$102,6,FALSE)&gt;=main!$D$103+VLOOKUP(VLOOKUP(BT$1,main!$A$3:$I$102,7,FALSE),main!$K$26:$Q$29,3,FALSE),1,0)</f>
        <v>0</v>
      </c>
      <c r="BU53">
        <f>IF(VLOOKUP(BU$1,main!$A$3:$H$102,5,FALSE)-VLOOKUP($A53,main!$A$3:$H$102,6,FALSE)&gt;=main!$D$103+VLOOKUP(VLOOKUP(BU$1,main!$A$3:$I$102,7,FALSE),main!$K$26:$Q$29,3,FALSE),1,0)</f>
        <v>0</v>
      </c>
      <c r="BV53">
        <f>IF(VLOOKUP(BV$1,main!$A$3:$H$102,5,FALSE)-VLOOKUP($A53,main!$A$3:$H$102,6,FALSE)&gt;=main!$D$103+VLOOKUP(VLOOKUP(BV$1,main!$A$3:$I$102,7,FALSE),main!$K$26:$Q$29,3,FALSE),1,0)</f>
        <v>0</v>
      </c>
      <c r="BW53">
        <f>IF(VLOOKUP(BW$1,main!$A$3:$H$102,5,FALSE)-VLOOKUP($A53,main!$A$3:$H$102,6,FALSE)&gt;=main!$D$103+VLOOKUP(VLOOKUP(BW$1,main!$A$3:$I$102,7,FALSE),main!$K$26:$Q$29,3,FALSE),1,0)</f>
        <v>0</v>
      </c>
      <c r="BX53">
        <f>IF(VLOOKUP(BX$1,main!$A$3:$H$102,5,FALSE)-VLOOKUP($A53,main!$A$3:$H$102,6,FALSE)&gt;=main!$D$103+VLOOKUP(VLOOKUP(BX$1,main!$A$3:$I$102,7,FALSE),main!$K$26:$Q$29,3,FALSE),1,0)</f>
        <v>0</v>
      </c>
      <c r="BY53">
        <f>IF(VLOOKUP(BY$1,main!$A$3:$H$102,5,FALSE)-VLOOKUP($A53,main!$A$3:$H$102,6,FALSE)&gt;=main!$D$103+VLOOKUP(VLOOKUP(BY$1,main!$A$3:$I$102,7,FALSE),main!$K$26:$Q$29,3,FALSE),1,0)</f>
        <v>1</v>
      </c>
      <c r="BZ53">
        <f>IF(VLOOKUP(BZ$1,main!$A$3:$H$102,5,FALSE)-VLOOKUP($A53,main!$A$3:$H$102,6,FALSE)&gt;=main!$D$103+VLOOKUP(VLOOKUP(BZ$1,main!$A$3:$I$102,7,FALSE),main!$K$26:$Q$29,3,FALSE),1,0)</f>
        <v>0</v>
      </c>
      <c r="CA53">
        <f>IF(VLOOKUP(CA$1,main!$A$3:$H$102,5,FALSE)-VLOOKUP($A53,main!$A$3:$H$102,6,FALSE)&gt;=main!$D$103+VLOOKUP(VLOOKUP(CA$1,main!$A$3:$I$102,7,FALSE),main!$K$26:$Q$29,3,FALSE),1,0)</f>
        <v>0</v>
      </c>
      <c r="CB53">
        <f>IF(VLOOKUP(CB$1,main!$A$3:$H$102,5,FALSE)-VLOOKUP($A53,main!$A$3:$H$102,6,FALSE)&gt;=main!$D$103+VLOOKUP(VLOOKUP(CB$1,main!$A$3:$I$102,7,FALSE),main!$K$26:$Q$29,3,FALSE),1,0)</f>
        <v>1</v>
      </c>
      <c r="CC53">
        <f>IF(VLOOKUP(CC$1,main!$A$3:$H$102,5,FALSE)-VLOOKUP($A53,main!$A$3:$H$102,6,FALSE)&gt;=main!$D$103+VLOOKUP(VLOOKUP(CC$1,main!$A$3:$I$102,7,FALSE),main!$K$26:$Q$29,3,FALSE),1,0)</f>
        <v>1</v>
      </c>
      <c r="CD53">
        <f>IF(VLOOKUP(CD$1,main!$A$3:$H$102,5,FALSE)-VLOOKUP($A53,main!$A$3:$H$102,6,FALSE)&gt;=main!$D$103+VLOOKUP(VLOOKUP(CD$1,main!$A$3:$I$102,7,FALSE),main!$K$26:$Q$29,3,FALSE),1,0)</f>
        <v>1</v>
      </c>
      <c r="CE53">
        <f>IF(VLOOKUP(CE$1,main!$A$3:$H$102,5,FALSE)-VLOOKUP($A53,main!$A$3:$H$102,6,FALSE)&gt;=main!$D$103+VLOOKUP(VLOOKUP(CE$1,main!$A$3:$I$102,7,FALSE),main!$K$26:$Q$29,3,FALSE),1,0)</f>
        <v>0</v>
      </c>
      <c r="CF53">
        <f>IF(VLOOKUP(CF$1,main!$A$3:$H$102,5,FALSE)-VLOOKUP($A53,main!$A$3:$H$102,6,FALSE)&gt;=main!$D$103+VLOOKUP(VLOOKUP(CF$1,main!$A$3:$I$102,7,FALSE),main!$K$26:$Q$29,3,FALSE),1,0)</f>
        <v>0</v>
      </c>
      <c r="CG53">
        <f>IF(VLOOKUP(CG$1,main!$A$3:$H$102,5,FALSE)-VLOOKUP($A53,main!$A$3:$H$102,6,FALSE)&gt;=main!$D$103+VLOOKUP(VLOOKUP(CG$1,main!$A$3:$I$102,7,FALSE),main!$K$26:$Q$29,3,FALSE),1,0)</f>
        <v>1</v>
      </c>
      <c r="CH53">
        <f>IF(VLOOKUP(CH$1,main!$A$3:$H$102,5,FALSE)-VLOOKUP($A53,main!$A$3:$H$102,6,FALSE)&gt;=main!$D$103+VLOOKUP(VLOOKUP(CH$1,main!$A$3:$I$102,7,FALSE),main!$K$26:$Q$29,3,FALSE),1,0)</f>
        <v>1</v>
      </c>
      <c r="CI53">
        <f>IF(VLOOKUP(CI$1,main!$A$3:$H$102,5,FALSE)-VLOOKUP($A53,main!$A$3:$H$102,6,FALSE)&gt;=main!$D$103+VLOOKUP(VLOOKUP(CI$1,main!$A$3:$I$102,7,FALSE),main!$K$26:$Q$29,3,FALSE),1,0)</f>
        <v>1</v>
      </c>
      <c r="CJ53">
        <f>IF(VLOOKUP(CJ$1,main!$A$3:$H$102,5,FALSE)-VLOOKUP($A53,main!$A$3:$H$102,6,FALSE)&gt;=main!$D$103+VLOOKUP(VLOOKUP(CJ$1,main!$A$3:$I$102,7,FALSE),main!$K$26:$Q$29,3,FALSE),1,0)</f>
        <v>1</v>
      </c>
      <c r="CK53">
        <f>IF(VLOOKUP(CK$1,main!$A$3:$H$102,5,FALSE)-VLOOKUP($A53,main!$A$3:$H$102,6,FALSE)&gt;=main!$D$103+VLOOKUP(VLOOKUP(CK$1,main!$A$3:$I$102,7,FALSE),main!$K$26:$Q$29,3,FALSE),1,0)</f>
        <v>0</v>
      </c>
      <c r="CL53">
        <f>IF(VLOOKUP(CL$1,main!$A$3:$H$102,5,FALSE)-VLOOKUP($A53,main!$A$3:$H$102,6,FALSE)&gt;=main!$D$103+VLOOKUP(VLOOKUP(CL$1,main!$A$3:$I$102,7,FALSE),main!$K$26:$Q$29,3,FALSE),1,0)</f>
        <v>1</v>
      </c>
      <c r="CM53">
        <f>IF(VLOOKUP(CM$1,main!$A$3:$H$102,5,FALSE)-VLOOKUP($A53,main!$A$3:$H$102,6,FALSE)&gt;=main!$D$103+VLOOKUP(VLOOKUP(CM$1,main!$A$3:$I$102,7,FALSE),main!$K$26:$Q$29,3,FALSE),1,0)</f>
        <v>1</v>
      </c>
      <c r="CN53">
        <f>IF(VLOOKUP(CN$1,main!$A$3:$H$102,5,FALSE)-VLOOKUP($A53,main!$A$3:$H$102,6,FALSE)&gt;=main!$D$103+VLOOKUP(VLOOKUP(CN$1,main!$A$3:$I$102,7,FALSE),main!$K$26:$Q$29,3,FALSE),1,0)</f>
        <v>1</v>
      </c>
      <c r="CO53">
        <f>IF(VLOOKUP(CO$1,main!$A$3:$H$102,5,FALSE)-VLOOKUP($A53,main!$A$3:$H$102,6,FALSE)&gt;=main!$D$103+VLOOKUP(VLOOKUP(CO$1,main!$A$3:$I$102,7,FALSE),main!$K$26:$Q$29,3,FALSE),1,0)</f>
        <v>0</v>
      </c>
      <c r="CP53">
        <f>IF(VLOOKUP(CP$1,main!$A$3:$H$102,5,FALSE)-VLOOKUP($A53,main!$A$3:$H$102,6,FALSE)&gt;=main!$D$103+VLOOKUP(VLOOKUP(CP$1,main!$A$3:$I$102,7,FALSE),main!$K$26:$Q$29,3,FALSE),1,0)</f>
        <v>0</v>
      </c>
      <c r="CQ53">
        <f>IF(VLOOKUP(CQ$1,main!$A$3:$H$102,5,FALSE)-VLOOKUP($A53,main!$A$3:$H$102,6,FALSE)&gt;=main!$D$103+VLOOKUP(VLOOKUP(CQ$1,main!$A$3:$I$102,7,FALSE),main!$K$26:$Q$29,3,FALSE),1,0)</f>
        <v>0</v>
      </c>
      <c r="CR53">
        <f>IF(VLOOKUP(CR$1,main!$A$3:$H$102,5,FALSE)-VLOOKUP($A53,main!$A$3:$H$102,6,FALSE)&gt;=main!$D$103+VLOOKUP(VLOOKUP(CR$1,main!$A$3:$I$102,7,FALSE),main!$K$26:$Q$29,3,FALSE),1,0)</f>
        <v>1</v>
      </c>
      <c r="CS53">
        <f>IF(VLOOKUP(CS$1,main!$A$3:$H$102,5,FALSE)-VLOOKUP($A53,main!$A$3:$H$102,6,FALSE)&gt;=main!$D$103+VLOOKUP(VLOOKUP(CS$1,main!$A$3:$I$102,7,FALSE),main!$K$26:$Q$29,3,FALSE),1,0)</f>
        <v>1</v>
      </c>
      <c r="CT53">
        <f>IF(VLOOKUP(CT$1,main!$A$3:$H$102,5,FALSE)-VLOOKUP($A53,main!$A$3:$H$102,6,FALSE)&gt;=main!$D$103+VLOOKUP(VLOOKUP(CT$1,main!$A$3:$I$102,7,FALSE),main!$K$26:$Q$29,3,FALSE),1,0)</f>
        <v>0</v>
      </c>
      <c r="CU53">
        <f>IF(VLOOKUP(CU$1,main!$A$3:$H$102,5,FALSE)-VLOOKUP($A53,main!$A$3:$H$102,6,FALSE)&gt;=main!$D$103+VLOOKUP(VLOOKUP(CU$1,main!$A$3:$I$102,7,FALSE),main!$K$26:$Q$29,3,FALSE),1,0)</f>
        <v>0</v>
      </c>
      <c r="CV53">
        <f>IF(VLOOKUP(CV$1,main!$A$3:$H$102,5,FALSE)-VLOOKUP($A53,main!$A$3:$H$102,6,FALSE)&gt;=main!$D$103+VLOOKUP(VLOOKUP(CV$1,main!$A$3:$I$102,7,FALSE),main!$K$26:$Q$29,3,FALSE),1,0)</f>
        <v>0</v>
      </c>
      <c r="CW53">
        <f>IF(VLOOKUP(CW$1,main!$A$3:$H$102,5,FALSE)-VLOOKUP($A53,main!$A$3:$H$102,6,FALSE)&gt;=main!$D$103+VLOOKUP(VLOOKUP(CW$1,main!$A$3:$I$102,7,FALSE),main!$K$26:$Q$29,3,FALSE),1,0)</f>
        <v>1</v>
      </c>
      <c r="CX53">
        <f>IF(VLOOKUP(CX$1,main!$A$3:$H$102,5,FALSE)-VLOOKUP($A53,main!$A$3:$H$102,6,FALSE)&gt;=main!$D$103+VLOOKUP(VLOOKUP(CX$1,main!$A$3:$I$102,7,FALSE),main!$K$26:$Q$29,3,FALSE),1,0)</f>
        <v>1</v>
      </c>
    </row>
    <row r="54" spans="1:102" x14ac:dyDescent="0.25">
      <c r="A54" s="1">
        <v>52</v>
      </c>
      <c r="B54">
        <v>0</v>
      </c>
      <c r="C54">
        <f>IF(VLOOKUP(C$1,main!$A$3:$H$102,5,FALSE)-VLOOKUP($A54,main!$A$3:$H$102,6,FALSE)&gt;=main!$D$103+VLOOKUP(VLOOKUP(C$1,main!$A$3:$I$102,7,FALSE),main!$K$26:$Q$29,3,FALSE),1,0)</f>
        <v>0</v>
      </c>
      <c r="D54">
        <f>IF(VLOOKUP(D$1,main!$A$3:$H$102,5,FALSE)-VLOOKUP($A54,main!$A$3:$H$102,6,FALSE)&gt;=main!$D$103+VLOOKUP(VLOOKUP(D$1,main!$A$3:$I$102,7,FALSE),main!$K$26:$Q$29,3,FALSE),1,0)</f>
        <v>0</v>
      </c>
      <c r="E54">
        <f>IF(VLOOKUP(E$1,main!$A$3:$H$102,5,FALSE)-VLOOKUP($A54,main!$A$3:$H$102,6,FALSE)&gt;=main!$D$103+VLOOKUP(VLOOKUP(E$1,main!$A$3:$I$102,7,FALSE),main!$K$26:$Q$29,3,FALSE),1,0)</f>
        <v>0</v>
      </c>
      <c r="F54">
        <f>IF(VLOOKUP(F$1,main!$A$3:$H$102,5,FALSE)-VLOOKUP($A54,main!$A$3:$H$102,6,FALSE)&gt;=main!$D$103+VLOOKUP(VLOOKUP(F$1,main!$A$3:$I$102,7,FALSE),main!$K$26:$Q$29,3,FALSE),1,0)</f>
        <v>0</v>
      </c>
      <c r="G54">
        <f>IF(VLOOKUP(G$1,main!$A$3:$H$102,5,FALSE)-VLOOKUP($A54,main!$A$3:$H$102,6,FALSE)&gt;=main!$D$103+VLOOKUP(VLOOKUP(G$1,main!$A$3:$I$102,7,FALSE),main!$K$26:$Q$29,3,FALSE),1,0)</f>
        <v>0</v>
      </c>
      <c r="H54">
        <f>IF(VLOOKUP(H$1,main!$A$3:$H$102,5,FALSE)-VLOOKUP($A54,main!$A$3:$H$102,6,FALSE)&gt;=main!$D$103+VLOOKUP(VLOOKUP(H$1,main!$A$3:$I$102,7,FALSE),main!$K$26:$Q$29,3,FALSE),1,0)</f>
        <v>0</v>
      </c>
      <c r="I54">
        <f>IF(VLOOKUP(I$1,main!$A$3:$H$102,5,FALSE)-VLOOKUP($A54,main!$A$3:$H$102,6,FALSE)&gt;=main!$D$103+VLOOKUP(VLOOKUP(I$1,main!$A$3:$I$102,7,FALSE),main!$K$26:$Q$29,3,FALSE),1,0)</f>
        <v>1</v>
      </c>
      <c r="J54">
        <f>IF(VLOOKUP(J$1,main!$A$3:$H$102,5,FALSE)-VLOOKUP($A54,main!$A$3:$H$102,6,FALSE)&gt;=main!$D$103+VLOOKUP(VLOOKUP(J$1,main!$A$3:$I$102,7,FALSE),main!$K$26:$Q$29,3,FALSE),1,0)</f>
        <v>1</v>
      </c>
      <c r="K54">
        <f>IF(VLOOKUP(K$1,main!$A$3:$H$102,5,FALSE)-VLOOKUP($A54,main!$A$3:$H$102,6,FALSE)&gt;=main!$D$103+VLOOKUP(VLOOKUP(K$1,main!$A$3:$I$102,7,FALSE),main!$K$26:$Q$29,3,FALSE),1,0)</f>
        <v>1</v>
      </c>
      <c r="L54">
        <f>IF(VLOOKUP(L$1,main!$A$3:$H$102,5,FALSE)-VLOOKUP($A54,main!$A$3:$H$102,6,FALSE)&gt;=main!$D$103+VLOOKUP(VLOOKUP(L$1,main!$A$3:$I$102,7,FALSE),main!$K$26:$Q$29,3,FALSE),1,0)</f>
        <v>1</v>
      </c>
      <c r="M54">
        <f>IF(VLOOKUP(M$1,main!$A$3:$H$102,5,FALSE)-VLOOKUP($A54,main!$A$3:$H$102,6,FALSE)&gt;=main!$D$103+VLOOKUP(VLOOKUP(M$1,main!$A$3:$I$102,7,FALSE),main!$K$26:$Q$29,3,FALSE),1,0)</f>
        <v>0</v>
      </c>
      <c r="N54">
        <f>IF(VLOOKUP(N$1,main!$A$3:$H$102,5,FALSE)-VLOOKUP($A54,main!$A$3:$H$102,6,FALSE)&gt;=main!$D$103+VLOOKUP(VLOOKUP(N$1,main!$A$3:$I$102,7,FALSE),main!$K$26:$Q$29,3,FALSE),1,0)</f>
        <v>0</v>
      </c>
      <c r="O54">
        <f>IF(VLOOKUP(O$1,main!$A$3:$H$102,5,FALSE)-VLOOKUP($A54,main!$A$3:$H$102,6,FALSE)&gt;=main!$D$103+VLOOKUP(VLOOKUP(O$1,main!$A$3:$I$102,7,FALSE),main!$K$26:$Q$29,3,FALSE),1,0)</f>
        <v>0</v>
      </c>
      <c r="P54">
        <f>IF(VLOOKUP(P$1,main!$A$3:$H$102,5,FALSE)-VLOOKUP($A54,main!$A$3:$H$102,6,FALSE)&gt;=main!$D$103+VLOOKUP(VLOOKUP(P$1,main!$A$3:$I$102,7,FALSE),main!$K$26:$Q$29,3,FALSE),1,0)</f>
        <v>0</v>
      </c>
      <c r="Q54">
        <f>IF(VLOOKUP(Q$1,main!$A$3:$H$102,5,FALSE)-VLOOKUP($A54,main!$A$3:$H$102,6,FALSE)&gt;=main!$D$103+VLOOKUP(VLOOKUP(Q$1,main!$A$3:$I$102,7,FALSE),main!$K$26:$Q$29,3,FALSE),1,0)</f>
        <v>0</v>
      </c>
      <c r="R54">
        <f>IF(VLOOKUP(R$1,main!$A$3:$H$102,5,FALSE)-VLOOKUP($A54,main!$A$3:$H$102,6,FALSE)&gt;=main!$D$103+VLOOKUP(VLOOKUP(R$1,main!$A$3:$I$102,7,FALSE),main!$K$26:$Q$29,3,FALSE),1,0)</f>
        <v>0</v>
      </c>
      <c r="S54">
        <f>IF(VLOOKUP(S$1,main!$A$3:$H$102,5,FALSE)-VLOOKUP($A54,main!$A$3:$H$102,6,FALSE)&gt;=main!$D$103+VLOOKUP(VLOOKUP(S$1,main!$A$3:$I$102,7,FALSE),main!$K$26:$Q$29,3,FALSE),1,0)</f>
        <v>0</v>
      </c>
      <c r="T54">
        <f>IF(VLOOKUP(T$1,main!$A$3:$H$102,5,FALSE)-VLOOKUP($A54,main!$A$3:$H$102,6,FALSE)&gt;=main!$D$103+VLOOKUP(VLOOKUP(T$1,main!$A$3:$I$102,7,FALSE),main!$K$26:$Q$29,3,FALSE),1,0)</f>
        <v>1</v>
      </c>
      <c r="U54">
        <f>IF(VLOOKUP(U$1,main!$A$3:$H$102,5,FALSE)-VLOOKUP($A54,main!$A$3:$H$102,6,FALSE)&gt;=main!$D$103+VLOOKUP(VLOOKUP(U$1,main!$A$3:$I$102,7,FALSE),main!$K$26:$Q$29,3,FALSE),1,0)</f>
        <v>1</v>
      </c>
      <c r="V54">
        <f>IF(VLOOKUP(V$1,main!$A$3:$H$102,5,FALSE)-VLOOKUP($A54,main!$A$3:$H$102,6,FALSE)&gt;=main!$D$103+VLOOKUP(VLOOKUP(V$1,main!$A$3:$I$102,7,FALSE),main!$K$26:$Q$29,3,FALSE),1,0)</f>
        <v>1</v>
      </c>
      <c r="W54">
        <f>IF(VLOOKUP(W$1,main!$A$3:$H$102,5,FALSE)-VLOOKUP($A54,main!$A$3:$H$102,6,FALSE)&gt;=main!$D$103+VLOOKUP(VLOOKUP(W$1,main!$A$3:$I$102,7,FALSE),main!$K$26:$Q$29,3,FALSE),1,0)</f>
        <v>0</v>
      </c>
      <c r="X54">
        <f>IF(VLOOKUP(X$1,main!$A$3:$H$102,5,FALSE)-VLOOKUP($A54,main!$A$3:$H$102,6,FALSE)&gt;=main!$D$103+VLOOKUP(VLOOKUP(X$1,main!$A$3:$I$102,7,FALSE),main!$K$26:$Q$29,3,FALSE),1,0)</f>
        <v>0</v>
      </c>
      <c r="Y54">
        <f>IF(VLOOKUP(Y$1,main!$A$3:$H$102,5,FALSE)-VLOOKUP($A54,main!$A$3:$H$102,6,FALSE)&gt;=main!$D$103+VLOOKUP(VLOOKUP(Y$1,main!$A$3:$I$102,7,FALSE),main!$K$26:$Q$29,3,FALSE),1,0)</f>
        <v>0</v>
      </c>
      <c r="Z54">
        <f>IF(VLOOKUP(Z$1,main!$A$3:$H$102,5,FALSE)-VLOOKUP($A54,main!$A$3:$H$102,6,FALSE)&gt;=main!$D$103+VLOOKUP(VLOOKUP(Z$1,main!$A$3:$I$102,7,FALSE),main!$K$26:$Q$29,3,FALSE),1,0)</f>
        <v>1</v>
      </c>
      <c r="AA54">
        <f>IF(VLOOKUP(AA$1,main!$A$3:$H$102,5,FALSE)-VLOOKUP($A54,main!$A$3:$H$102,6,FALSE)&gt;=main!$D$103+VLOOKUP(VLOOKUP(AA$1,main!$A$3:$I$102,7,FALSE),main!$K$26:$Q$29,3,FALSE),1,0)</f>
        <v>1</v>
      </c>
      <c r="AB54">
        <f>IF(VLOOKUP(AB$1,main!$A$3:$H$102,5,FALSE)-VLOOKUP($A54,main!$A$3:$H$102,6,FALSE)&gt;=main!$D$103+VLOOKUP(VLOOKUP(AB$1,main!$A$3:$I$102,7,FALSE),main!$K$26:$Q$29,3,FALSE),1,0)</f>
        <v>0</v>
      </c>
      <c r="AC54">
        <f>IF(VLOOKUP(AC$1,main!$A$3:$H$102,5,FALSE)-VLOOKUP($A54,main!$A$3:$H$102,6,FALSE)&gt;=main!$D$103+VLOOKUP(VLOOKUP(AC$1,main!$A$3:$I$102,7,FALSE),main!$K$26:$Q$29,3,FALSE),1,0)</f>
        <v>0</v>
      </c>
      <c r="AD54">
        <f>IF(VLOOKUP(AD$1,main!$A$3:$H$102,5,FALSE)-VLOOKUP($A54,main!$A$3:$H$102,6,FALSE)&gt;=main!$D$103+VLOOKUP(VLOOKUP(AD$1,main!$A$3:$I$102,7,FALSE),main!$K$26:$Q$29,3,FALSE),1,0)</f>
        <v>0</v>
      </c>
      <c r="AE54">
        <f>IF(VLOOKUP(AE$1,main!$A$3:$H$102,5,FALSE)-VLOOKUP($A54,main!$A$3:$H$102,6,FALSE)&gt;=main!$D$103+VLOOKUP(VLOOKUP(AE$1,main!$A$3:$I$102,7,FALSE),main!$K$26:$Q$29,3,FALSE),1,0)</f>
        <v>0</v>
      </c>
      <c r="AF54">
        <f>IF(VLOOKUP(AF$1,main!$A$3:$H$102,5,FALSE)-VLOOKUP($A54,main!$A$3:$H$102,6,FALSE)&gt;=main!$D$103+VLOOKUP(VLOOKUP(AF$1,main!$A$3:$I$102,7,FALSE),main!$K$26:$Q$29,3,FALSE),1,0)</f>
        <v>1</v>
      </c>
      <c r="AG54">
        <f>IF(VLOOKUP(AG$1,main!$A$3:$H$102,5,FALSE)-VLOOKUP($A54,main!$A$3:$H$102,6,FALSE)&gt;=main!$D$103+VLOOKUP(VLOOKUP(AG$1,main!$A$3:$I$102,7,FALSE),main!$K$26:$Q$29,3,FALSE),1,0)</f>
        <v>0</v>
      </c>
      <c r="AH54">
        <f>IF(VLOOKUP(AH$1,main!$A$3:$H$102,5,FALSE)-VLOOKUP($A54,main!$A$3:$H$102,6,FALSE)&gt;=main!$D$103+VLOOKUP(VLOOKUP(AH$1,main!$A$3:$I$102,7,FALSE),main!$K$26:$Q$29,3,FALSE),1,0)</f>
        <v>0</v>
      </c>
      <c r="AI54">
        <f>IF(VLOOKUP(AI$1,main!$A$3:$H$102,5,FALSE)-VLOOKUP($A54,main!$A$3:$H$102,6,FALSE)&gt;=main!$D$103+VLOOKUP(VLOOKUP(AI$1,main!$A$3:$I$102,7,FALSE),main!$K$26:$Q$29,3,FALSE),1,0)</f>
        <v>0</v>
      </c>
      <c r="AJ54">
        <f>IF(VLOOKUP(AJ$1,main!$A$3:$H$102,5,FALSE)-VLOOKUP($A54,main!$A$3:$H$102,6,FALSE)&gt;=main!$D$103+VLOOKUP(VLOOKUP(AJ$1,main!$A$3:$I$102,7,FALSE),main!$K$26:$Q$29,3,FALSE),1,0)</f>
        <v>0</v>
      </c>
      <c r="AK54">
        <f>IF(VLOOKUP(AK$1,main!$A$3:$H$102,5,FALSE)-VLOOKUP($A54,main!$A$3:$H$102,6,FALSE)&gt;=main!$D$103+VLOOKUP(VLOOKUP(AK$1,main!$A$3:$I$102,7,FALSE),main!$K$26:$Q$29,3,FALSE),1,0)</f>
        <v>0</v>
      </c>
      <c r="AL54">
        <f>IF(VLOOKUP(AL$1,main!$A$3:$H$102,5,FALSE)-VLOOKUP($A54,main!$A$3:$H$102,6,FALSE)&gt;=main!$D$103+VLOOKUP(VLOOKUP(AL$1,main!$A$3:$I$102,7,FALSE),main!$K$26:$Q$29,3,FALSE),1,0)</f>
        <v>1</v>
      </c>
      <c r="AM54">
        <f>IF(VLOOKUP(AM$1,main!$A$3:$H$102,5,FALSE)-VLOOKUP($A54,main!$A$3:$H$102,6,FALSE)&gt;=main!$D$103+VLOOKUP(VLOOKUP(AM$1,main!$A$3:$I$102,7,FALSE),main!$K$26:$Q$29,3,FALSE),1,0)</f>
        <v>1</v>
      </c>
      <c r="AN54">
        <f>IF(VLOOKUP(AN$1,main!$A$3:$H$102,5,FALSE)-VLOOKUP($A54,main!$A$3:$H$102,6,FALSE)&gt;=main!$D$103+VLOOKUP(VLOOKUP(AN$1,main!$A$3:$I$102,7,FALSE),main!$K$26:$Q$29,3,FALSE),1,0)</f>
        <v>1</v>
      </c>
      <c r="AO54">
        <f>IF(VLOOKUP(AO$1,main!$A$3:$H$102,5,FALSE)-VLOOKUP($A54,main!$A$3:$H$102,6,FALSE)&gt;=main!$D$103+VLOOKUP(VLOOKUP(AO$1,main!$A$3:$I$102,7,FALSE),main!$K$26:$Q$29,3,FALSE),1,0)</f>
        <v>0</v>
      </c>
      <c r="AP54">
        <f>IF(VLOOKUP(AP$1,main!$A$3:$H$102,5,FALSE)-VLOOKUP($A54,main!$A$3:$H$102,6,FALSE)&gt;=main!$D$103+VLOOKUP(VLOOKUP(AP$1,main!$A$3:$I$102,7,FALSE),main!$K$26:$Q$29,3,FALSE),1,0)</f>
        <v>1</v>
      </c>
      <c r="AQ54">
        <f>IF(VLOOKUP(AQ$1,main!$A$3:$H$102,5,FALSE)-VLOOKUP($A54,main!$A$3:$H$102,6,FALSE)&gt;=main!$D$103+VLOOKUP(VLOOKUP(AQ$1,main!$A$3:$I$102,7,FALSE),main!$K$26:$Q$29,3,FALSE),1,0)</f>
        <v>0</v>
      </c>
      <c r="AR54">
        <f>IF(VLOOKUP(AR$1,main!$A$3:$H$102,5,FALSE)-VLOOKUP($A54,main!$A$3:$H$102,6,FALSE)&gt;=main!$D$103+VLOOKUP(VLOOKUP(AR$1,main!$A$3:$I$102,7,FALSE),main!$K$26:$Q$29,3,FALSE),1,0)</f>
        <v>0</v>
      </c>
      <c r="AS54">
        <f>IF(VLOOKUP(AS$1,main!$A$3:$H$102,5,FALSE)-VLOOKUP($A54,main!$A$3:$H$102,6,FALSE)&gt;=main!$D$103+VLOOKUP(VLOOKUP(AS$1,main!$A$3:$I$102,7,FALSE),main!$K$26:$Q$29,3,FALSE),1,0)</f>
        <v>0</v>
      </c>
      <c r="AT54">
        <f>IF(VLOOKUP(AT$1,main!$A$3:$H$102,5,FALSE)-VLOOKUP($A54,main!$A$3:$H$102,6,FALSE)&gt;=main!$D$103+VLOOKUP(VLOOKUP(AT$1,main!$A$3:$I$102,7,FALSE),main!$K$26:$Q$29,3,FALSE),1,0)</f>
        <v>0</v>
      </c>
      <c r="AU54">
        <f>IF(VLOOKUP(AU$1,main!$A$3:$H$102,5,FALSE)-VLOOKUP($A54,main!$A$3:$H$102,6,FALSE)&gt;=main!$D$103+VLOOKUP(VLOOKUP(AU$1,main!$A$3:$I$102,7,FALSE),main!$K$26:$Q$29,3,FALSE),1,0)</f>
        <v>0</v>
      </c>
      <c r="AV54">
        <f>IF(VLOOKUP(AV$1,main!$A$3:$H$102,5,FALSE)-VLOOKUP($A54,main!$A$3:$H$102,6,FALSE)&gt;=main!$D$103+VLOOKUP(VLOOKUP(AV$1,main!$A$3:$I$102,7,FALSE),main!$K$26:$Q$29,3,FALSE),1,0)</f>
        <v>0</v>
      </c>
      <c r="AW54">
        <f>IF(VLOOKUP(AW$1,main!$A$3:$H$102,5,FALSE)-VLOOKUP($A54,main!$A$3:$H$102,6,FALSE)&gt;=main!$D$103+VLOOKUP(VLOOKUP(AW$1,main!$A$3:$I$102,7,FALSE),main!$K$26:$Q$29,3,FALSE),1,0)</f>
        <v>0</v>
      </c>
      <c r="AX54">
        <f>IF(VLOOKUP(AX$1,main!$A$3:$H$102,5,FALSE)-VLOOKUP($A54,main!$A$3:$H$102,6,FALSE)&gt;=main!$D$103+VLOOKUP(VLOOKUP(AX$1,main!$A$3:$I$102,7,FALSE),main!$K$26:$Q$29,3,FALSE),1,0)</f>
        <v>0</v>
      </c>
      <c r="AY54">
        <f>IF(VLOOKUP(AY$1,main!$A$3:$H$102,5,FALSE)-VLOOKUP($A54,main!$A$3:$H$102,6,FALSE)&gt;=main!$D$103+VLOOKUP(VLOOKUP(AY$1,main!$A$3:$I$102,7,FALSE),main!$K$26:$Q$29,3,FALSE),1,0)</f>
        <v>0</v>
      </c>
      <c r="AZ54">
        <f>IF(VLOOKUP(AZ$1,main!$A$3:$H$102,5,FALSE)-VLOOKUP($A54,main!$A$3:$H$102,6,FALSE)&gt;=main!$D$103+VLOOKUP(VLOOKUP(AZ$1,main!$A$3:$I$102,7,FALSE),main!$K$26:$Q$29,3,FALSE),1,0)</f>
        <v>0</v>
      </c>
      <c r="BA54">
        <f>IF(VLOOKUP(BA$1,main!$A$3:$H$102,5,FALSE)-VLOOKUP($A54,main!$A$3:$H$102,6,FALSE)&gt;=main!$D$103+VLOOKUP(VLOOKUP(BA$1,main!$A$3:$I$102,7,FALSE),main!$K$26:$Q$29,3,FALSE),1,0)</f>
        <v>0</v>
      </c>
      <c r="BB54">
        <f>IF(VLOOKUP(BB$1,main!$A$3:$H$102,5,FALSE)-VLOOKUP($A54,main!$A$3:$H$102,6,FALSE)&gt;=main!$D$103+VLOOKUP(VLOOKUP(BB$1,main!$A$3:$I$102,7,FALSE),main!$K$26:$Q$29,3,FALSE),1,0)</f>
        <v>0</v>
      </c>
      <c r="BC54">
        <f>IF(VLOOKUP(BC$1,main!$A$3:$H$102,5,FALSE)-VLOOKUP($A54,main!$A$3:$H$102,6,FALSE)&gt;=main!$D$103+VLOOKUP(VLOOKUP(BC$1,main!$A$3:$I$102,7,FALSE),main!$K$26:$Q$29,3,FALSE),1,0)</f>
        <v>0</v>
      </c>
      <c r="BD54">
        <f>IF(VLOOKUP(BD$1,main!$A$3:$H$102,5,FALSE)-VLOOKUP($A54,main!$A$3:$H$102,6,FALSE)&gt;=main!$D$103+VLOOKUP(VLOOKUP(BD$1,main!$A$3:$I$102,7,FALSE),main!$K$26:$Q$29,3,FALSE),1,0)</f>
        <v>0</v>
      </c>
      <c r="BE54">
        <f>IF(VLOOKUP(BE$1,main!$A$3:$H$102,5,FALSE)-VLOOKUP($A54,main!$A$3:$H$102,6,FALSE)&gt;=main!$D$103+VLOOKUP(VLOOKUP(BE$1,main!$A$3:$I$102,7,FALSE),main!$K$26:$Q$29,3,FALSE),1,0)</f>
        <v>1</v>
      </c>
      <c r="BF54">
        <f>IF(VLOOKUP(BF$1,main!$A$3:$H$102,5,FALSE)-VLOOKUP($A54,main!$A$3:$H$102,6,FALSE)&gt;=main!$D$103+VLOOKUP(VLOOKUP(BF$1,main!$A$3:$I$102,7,FALSE),main!$K$26:$Q$29,3,FALSE),1,0)</f>
        <v>0</v>
      </c>
      <c r="BG54">
        <f>IF(VLOOKUP(BG$1,main!$A$3:$H$102,5,FALSE)-VLOOKUP($A54,main!$A$3:$H$102,6,FALSE)&gt;=main!$D$103+VLOOKUP(VLOOKUP(BG$1,main!$A$3:$I$102,7,FALSE),main!$K$26:$Q$29,3,FALSE),1,0)</f>
        <v>0</v>
      </c>
      <c r="BH54">
        <f>IF(VLOOKUP(BH$1,main!$A$3:$H$102,5,FALSE)-VLOOKUP($A54,main!$A$3:$H$102,6,FALSE)&gt;=main!$D$103+VLOOKUP(VLOOKUP(BH$1,main!$A$3:$I$102,7,FALSE),main!$K$26:$Q$29,3,FALSE),1,0)</f>
        <v>0</v>
      </c>
      <c r="BI54">
        <f>IF(VLOOKUP(BI$1,main!$A$3:$H$102,5,FALSE)-VLOOKUP($A54,main!$A$3:$H$102,6,FALSE)&gt;=main!$D$103+VLOOKUP(VLOOKUP(BI$1,main!$A$3:$I$102,7,FALSE),main!$K$26:$Q$29,3,FALSE),1,0)</f>
        <v>1</v>
      </c>
      <c r="BJ54">
        <f>IF(VLOOKUP(BJ$1,main!$A$3:$H$102,5,FALSE)-VLOOKUP($A54,main!$A$3:$H$102,6,FALSE)&gt;=main!$D$103+VLOOKUP(VLOOKUP(BJ$1,main!$A$3:$I$102,7,FALSE),main!$K$26:$Q$29,3,FALSE),1,0)</f>
        <v>1</v>
      </c>
      <c r="BK54">
        <f>IF(VLOOKUP(BK$1,main!$A$3:$H$102,5,FALSE)-VLOOKUP($A54,main!$A$3:$H$102,6,FALSE)&gt;=main!$D$103+VLOOKUP(VLOOKUP(BK$1,main!$A$3:$I$102,7,FALSE),main!$K$26:$Q$29,3,FALSE),1,0)</f>
        <v>0</v>
      </c>
      <c r="BL54">
        <f>IF(VLOOKUP(BL$1,main!$A$3:$H$102,5,FALSE)-VLOOKUP($A54,main!$A$3:$H$102,6,FALSE)&gt;=main!$D$103+VLOOKUP(VLOOKUP(BL$1,main!$A$3:$I$102,7,FALSE),main!$K$26:$Q$29,3,FALSE),1,0)</f>
        <v>0</v>
      </c>
      <c r="BM54">
        <f>IF(VLOOKUP(BM$1,main!$A$3:$H$102,5,FALSE)-VLOOKUP($A54,main!$A$3:$H$102,6,FALSE)&gt;=main!$D$103+VLOOKUP(VLOOKUP(BM$1,main!$A$3:$I$102,7,FALSE),main!$K$26:$Q$29,3,FALSE),1,0)</f>
        <v>0</v>
      </c>
      <c r="BN54">
        <f>IF(VLOOKUP(BN$1,main!$A$3:$H$102,5,FALSE)-VLOOKUP($A54,main!$A$3:$H$102,6,FALSE)&gt;=main!$D$103+VLOOKUP(VLOOKUP(BN$1,main!$A$3:$I$102,7,FALSE),main!$K$26:$Q$29,3,FALSE),1,0)</f>
        <v>0</v>
      </c>
      <c r="BO54">
        <f>IF(VLOOKUP(BO$1,main!$A$3:$H$102,5,FALSE)-VLOOKUP($A54,main!$A$3:$H$102,6,FALSE)&gt;=main!$D$103+VLOOKUP(VLOOKUP(BO$1,main!$A$3:$I$102,7,FALSE),main!$K$26:$Q$29,3,FALSE),1,0)</f>
        <v>0</v>
      </c>
      <c r="BP54">
        <f>IF(VLOOKUP(BP$1,main!$A$3:$H$102,5,FALSE)-VLOOKUP($A54,main!$A$3:$H$102,6,FALSE)&gt;=main!$D$103+VLOOKUP(VLOOKUP(BP$1,main!$A$3:$I$102,7,FALSE),main!$K$26:$Q$29,3,FALSE),1,0)</f>
        <v>0</v>
      </c>
      <c r="BQ54">
        <f>IF(VLOOKUP(BQ$1,main!$A$3:$H$102,5,FALSE)-VLOOKUP($A54,main!$A$3:$H$102,6,FALSE)&gt;=main!$D$103+VLOOKUP(VLOOKUP(BQ$1,main!$A$3:$I$102,7,FALSE),main!$K$26:$Q$29,3,FALSE),1,0)</f>
        <v>0</v>
      </c>
      <c r="BR54">
        <f>IF(VLOOKUP(BR$1,main!$A$3:$H$102,5,FALSE)-VLOOKUP($A54,main!$A$3:$H$102,6,FALSE)&gt;=main!$D$103+VLOOKUP(VLOOKUP(BR$1,main!$A$3:$I$102,7,FALSE),main!$K$26:$Q$29,3,FALSE),1,0)</f>
        <v>0</v>
      </c>
      <c r="BS54">
        <f>IF(VLOOKUP(BS$1,main!$A$3:$H$102,5,FALSE)-VLOOKUP($A54,main!$A$3:$H$102,6,FALSE)&gt;=main!$D$103+VLOOKUP(VLOOKUP(BS$1,main!$A$3:$I$102,7,FALSE),main!$K$26:$Q$29,3,FALSE),1,0)</f>
        <v>0</v>
      </c>
      <c r="BT54">
        <f>IF(VLOOKUP(BT$1,main!$A$3:$H$102,5,FALSE)-VLOOKUP($A54,main!$A$3:$H$102,6,FALSE)&gt;=main!$D$103+VLOOKUP(VLOOKUP(BT$1,main!$A$3:$I$102,7,FALSE),main!$K$26:$Q$29,3,FALSE),1,0)</f>
        <v>0</v>
      </c>
      <c r="BU54">
        <f>IF(VLOOKUP(BU$1,main!$A$3:$H$102,5,FALSE)-VLOOKUP($A54,main!$A$3:$H$102,6,FALSE)&gt;=main!$D$103+VLOOKUP(VLOOKUP(BU$1,main!$A$3:$I$102,7,FALSE),main!$K$26:$Q$29,3,FALSE),1,0)</f>
        <v>0</v>
      </c>
      <c r="BV54">
        <f>IF(VLOOKUP(BV$1,main!$A$3:$H$102,5,FALSE)-VLOOKUP($A54,main!$A$3:$H$102,6,FALSE)&gt;=main!$D$103+VLOOKUP(VLOOKUP(BV$1,main!$A$3:$I$102,7,FALSE),main!$K$26:$Q$29,3,FALSE),1,0)</f>
        <v>0</v>
      </c>
      <c r="BW54">
        <f>IF(VLOOKUP(BW$1,main!$A$3:$H$102,5,FALSE)-VLOOKUP($A54,main!$A$3:$H$102,6,FALSE)&gt;=main!$D$103+VLOOKUP(VLOOKUP(BW$1,main!$A$3:$I$102,7,FALSE),main!$K$26:$Q$29,3,FALSE),1,0)</f>
        <v>0</v>
      </c>
      <c r="BX54">
        <f>IF(VLOOKUP(BX$1,main!$A$3:$H$102,5,FALSE)-VLOOKUP($A54,main!$A$3:$H$102,6,FALSE)&gt;=main!$D$103+VLOOKUP(VLOOKUP(BX$1,main!$A$3:$I$102,7,FALSE),main!$K$26:$Q$29,3,FALSE),1,0)</f>
        <v>0</v>
      </c>
      <c r="BY54">
        <f>IF(VLOOKUP(BY$1,main!$A$3:$H$102,5,FALSE)-VLOOKUP($A54,main!$A$3:$H$102,6,FALSE)&gt;=main!$D$103+VLOOKUP(VLOOKUP(BY$1,main!$A$3:$I$102,7,FALSE),main!$K$26:$Q$29,3,FALSE),1,0)</f>
        <v>0</v>
      </c>
      <c r="BZ54">
        <f>IF(VLOOKUP(BZ$1,main!$A$3:$H$102,5,FALSE)-VLOOKUP($A54,main!$A$3:$H$102,6,FALSE)&gt;=main!$D$103+VLOOKUP(VLOOKUP(BZ$1,main!$A$3:$I$102,7,FALSE),main!$K$26:$Q$29,3,FALSE),1,0)</f>
        <v>0</v>
      </c>
      <c r="CA54">
        <f>IF(VLOOKUP(CA$1,main!$A$3:$H$102,5,FALSE)-VLOOKUP($A54,main!$A$3:$H$102,6,FALSE)&gt;=main!$D$103+VLOOKUP(VLOOKUP(CA$1,main!$A$3:$I$102,7,FALSE),main!$K$26:$Q$29,3,FALSE),1,0)</f>
        <v>0</v>
      </c>
      <c r="CB54">
        <f>IF(VLOOKUP(CB$1,main!$A$3:$H$102,5,FALSE)-VLOOKUP($A54,main!$A$3:$H$102,6,FALSE)&gt;=main!$D$103+VLOOKUP(VLOOKUP(CB$1,main!$A$3:$I$102,7,FALSE),main!$K$26:$Q$29,3,FALSE),1,0)</f>
        <v>0</v>
      </c>
      <c r="CC54">
        <f>IF(VLOOKUP(CC$1,main!$A$3:$H$102,5,FALSE)-VLOOKUP($A54,main!$A$3:$H$102,6,FALSE)&gt;=main!$D$103+VLOOKUP(VLOOKUP(CC$1,main!$A$3:$I$102,7,FALSE),main!$K$26:$Q$29,3,FALSE),1,0)</f>
        <v>1</v>
      </c>
      <c r="CD54">
        <f>IF(VLOOKUP(CD$1,main!$A$3:$H$102,5,FALSE)-VLOOKUP($A54,main!$A$3:$H$102,6,FALSE)&gt;=main!$D$103+VLOOKUP(VLOOKUP(CD$1,main!$A$3:$I$102,7,FALSE),main!$K$26:$Q$29,3,FALSE),1,0)</f>
        <v>0</v>
      </c>
      <c r="CE54">
        <f>IF(VLOOKUP(CE$1,main!$A$3:$H$102,5,FALSE)-VLOOKUP($A54,main!$A$3:$H$102,6,FALSE)&gt;=main!$D$103+VLOOKUP(VLOOKUP(CE$1,main!$A$3:$I$102,7,FALSE),main!$K$26:$Q$29,3,FALSE),1,0)</f>
        <v>0</v>
      </c>
      <c r="CF54">
        <f>IF(VLOOKUP(CF$1,main!$A$3:$H$102,5,FALSE)-VLOOKUP($A54,main!$A$3:$H$102,6,FALSE)&gt;=main!$D$103+VLOOKUP(VLOOKUP(CF$1,main!$A$3:$I$102,7,FALSE),main!$K$26:$Q$29,3,FALSE),1,0)</f>
        <v>0</v>
      </c>
      <c r="CG54">
        <f>IF(VLOOKUP(CG$1,main!$A$3:$H$102,5,FALSE)-VLOOKUP($A54,main!$A$3:$H$102,6,FALSE)&gt;=main!$D$103+VLOOKUP(VLOOKUP(CG$1,main!$A$3:$I$102,7,FALSE),main!$K$26:$Q$29,3,FALSE),1,0)</f>
        <v>0</v>
      </c>
      <c r="CH54">
        <f>IF(VLOOKUP(CH$1,main!$A$3:$H$102,5,FALSE)-VLOOKUP($A54,main!$A$3:$H$102,6,FALSE)&gt;=main!$D$103+VLOOKUP(VLOOKUP(CH$1,main!$A$3:$I$102,7,FALSE),main!$K$26:$Q$29,3,FALSE),1,0)</f>
        <v>1</v>
      </c>
      <c r="CI54">
        <f>IF(VLOOKUP(CI$1,main!$A$3:$H$102,5,FALSE)-VLOOKUP($A54,main!$A$3:$H$102,6,FALSE)&gt;=main!$D$103+VLOOKUP(VLOOKUP(CI$1,main!$A$3:$I$102,7,FALSE),main!$K$26:$Q$29,3,FALSE),1,0)</f>
        <v>1</v>
      </c>
      <c r="CJ54">
        <f>IF(VLOOKUP(CJ$1,main!$A$3:$H$102,5,FALSE)-VLOOKUP($A54,main!$A$3:$H$102,6,FALSE)&gt;=main!$D$103+VLOOKUP(VLOOKUP(CJ$1,main!$A$3:$I$102,7,FALSE),main!$K$26:$Q$29,3,FALSE),1,0)</f>
        <v>0</v>
      </c>
      <c r="CK54">
        <f>IF(VLOOKUP(CK$1,main!$A$3:$H$102,5,FALSE)-VLOOKUP($A54,main!$A$3:$H$102,6,FALSE)&gt;=main!$D$103+VLOOKUP(VLOOKUP(CK$1,main!$A$3:$I$102,7,FALSE),main!$K$26:$Q$29,3,FALSE),1,0)</f>
        <v>0</v>
      </c>
      <c r="CL54">
        <f>IF(VLOOKUP(CL$1,main!$A$3:$H$102,5,FALSE)-VLOOKUP($A54,main!$A$3:$H$102,6,FALSE)&gt;=main!$D$103+VLOOKUP(VLOOKUP(CL$1,main!$A$3:$I$102,7,FALSE),main!$K$26:$Q$29,3,FALSE),1,0)</f>
        <v>0</v>
      </c>
      <c r="CM54">
        <f>IF(VLOOKUP(CM$1,main!$A$3:$H$102,5,FALSE)-VLOOKUP($A54,main!$A$3:$H$102,6,FALSE)&gt;=main!$D$103+VLOOKUP(VLOOKUP(CM$1,main!$A$3:$I$102,7,FALSE),main!$K$26:$Q$29,3,FALSE),1,0)</f>
        <v>1</v>
      </c>
      <c r="CN54">
        <f>IF(VLOOKUP(CN$1,main!$A$3:$H$102,5,FALSE)-VLOOKUP($A54,main!$A$3:$H$102,6,FALSE)&gt;=main!$D$103+VLOOKUP(VLOOKUP(CN$1,main!$A$3:$I$102,7,FALSE),main!$K$26:$Q$29,3,FALSE),1,0)</f>
        <v>1</v>
      </c>
      <c r="CO54">
        <f>IF(VLOOKUP(CO$1,main!$A$3:$H$102,5,FALSE)-VLOOKUP($A54,main!$A$3:$H$102,6,FALSE)&gt;=main!$D$103+VLOOKUP(VLOOKUP(CO$1,main!$A$3:$I$102,7,FALSE),main!$K$26:$Q$29,3,FALSE),1,0)</f>
        <v>0</v>
      </c>
      <c r="CP54">
        <f>IF(VLOOKUP(CP$1,main!$A$3:$H$102,5,FALSE)-VLOOKUP($A54,main!$A$3:$H$102,6,FALSE)&gt;=main!$D$103+VLOOKUP(VLOOKUP(CP$1,main!$A$3:$I$102,7,FALSE),main!$K$26:$Q$29,3,FALSE),1,0)</f>
        <v>0</v>
      </c>
      <c r="CQ54">
        <f>IF(VLOOKUP(CQ$1,main!$A$3:$H$102,5,FALSE)-VLOOKUP($A54,main!$A$3:$H$102,6,FALSE)&gt;=main!$D$103+VLOOKUP(VLOOKUP(CQ$1,main!$A$3:$I$102,7,FALSE),main!$K$26:$Q$29,3,FALSE),1,0)</f>
        <v>0</v>
      </c>
      <c r="CR54">
        <f>IF(VLOOKUP(CR$1,main!$A$3:$H$102,5,FALSE)-VLOOKUP($A54,main!$A$3:$H$102,6,FALSE)&gt;=main!$D$103+VLOOKUP(VLOOKUP(CR$1,main!$A$3:$I$102,7,FALSE),main!$K$26:$Q$29,3,FALSE),1,0)</f>
        <v>1</v>
      </c>
      <c r="CS54">
        <f>IF(VLOOKUP(CS$1,main!$A$3:$H$102,5,FALSE)-VLOOKUP($A54,main!$A$3:$H$102,6,FALSE)&gt;=main!$D$103+VLOOKUP(VLOOKUP(CS$1,main!$A$3:$I$102,7,FALSE),main!$K$26:$Q$29,3,FALSE),1,0)</f>
        <v>1</v>
      </c>
      <c r="CT54">
        <f>IF(VLOOKUP(CT$1,main!$A$3:$H$102,5,FALSE)-VLOOKUP($A54,main!$A$3:$H$102,6,FALSE)&gt;=main!$D$103+VLOOKUP(VLOOKUP(CT$1,main!$A$3:$I$102,7,FALSE),main!$K$26:$Q$29,3,FALSE),1,0)</f>
        <v>0</v>
      </c>
      <c r="CU54">
        <f>IF(VLOOKUP(CU$1,main!$A$3:$H$102,5,FALSE)-VLOOKUP($A54,main!$A$3:$H$102,6,FALSE)&gt;=main!$D$103+VLOOKUP(VLOOKUP(CU$1,main!$A$3:$I$102,7,FALSE),main!$K$26:$Q$29,3,FALSE),1,0)</f>
        <v>0</v>
      </c>
      <c r="CV54">
        <f>IF(VLOOKUP(CV$1,main!$A$3:$H$102,5,FALSE)-VLOOKUP($A54,main!$A$3:$H$102,6,FALSE)&gt;=main!$D$103+VLOOKUP(VLOOKUP(CV$1,main!$A$3:$I$102,7,FALSE),main!$K$26:$Q$29,3,FALSE),1,0)</f>
        <v>0</v>
      </c>
      <c r="CW54">
        <f>IF(VLOOKUP(CW$1,main!$A$3:$H$102,5,FALSE)-VLOOKUP($A54,main!$A$3:$H$102,6,FALSE)&gt;=main!$D$103+VLOOKUP(VLOOKUP(CW$1,main!$A$3:$I$102,7,FALSE),main!$K$26:$Q$29,3,FALSE),1,0)</f>
        <v>1</v>
      </c>
      <c r="CX54">
        <f>IF(VLOOKUP(CX$1,main!$A$3:$H$102,5,FALSE)-VLOOKUP($A54,main!$A$3:$H$102,6,FALSE)&gt;=main!$D$103+VLOOKUP(VLOOKUP(CX$1,main!$A$3:$I$102,7,FALSE),main!$K$26:$Q$29,3,FALSE),1,0)</f>
        <v>1</v>
      </c>
    </row>
    <row r="55" spans="1:102" x14ac:dyDescent="0.25">
      <c r="A55" s="1">
        <v>53</v>
      </c>
      <c r="B55">
        <v>0</v>
      </c>
      <c r="C55">
        <f>IF(VLOOKUP(C$1,main!$A$3:$H$102,5,FALSE)-VLOOKUP($A55,main!$A$3:$H$102,6,FALSE)&gt;=main!$D$103+VLOOKUP(VLOOKUP(C$1,main!$A$3:$I$102,7,FALSE),main!$K$26:$Q$29,3,FALSE),1,0)</f>
        <v>0</v>
      </c>
      <c r="D55">
        <f>IF(VLOOKUP(D$1,main!$A$3:$H$102,5,FALSE)-VLOOKUP($A55,main!$A$3:$H$102,6,FALSE)&gt;=main!$D$103+VLOOKUP(VLOOKUP(D$1,main!$A$3:$I$102,7,FALSE),main!$K$26:$Q$29,3,FALSE),1,0)</f>
        <v>0</v>
      </c>
      <c r="E55">
        <f>IF(VLOOKUP(E$1,main!$A$3:$H$102,5,FALSE)-VLOOKUP($A55,main!$A$3:$H$102,6,FALSE)&gt;=main!$D$103+VLOOKUP(VLOOKUP(E$1,main!$A$3:$I$102,7,FALSE),main!$K$26:$Q$29,3,FALSE),1,0)</f>
        <v>0</v>
      </c>
      <c r="F55">
        <f>IF(VLOOKUP(F$1,main!$A$3:$H$102,5,FALSE)-VLOOKUP($A55,main!$A$3:$H$102,6,FALSE)&gt;=main!$D$103+VLOOKUP(VLOOKUP(F$1,main!$A$3:$I$102,7,FALSE),main!$K$26:$Q$29,3,FALSE),1,0)</f>
        <v>0</v>
      </c>
      <c r="G55">
        <f>IF(VLOOKUP(G$1,main!$A$3:$H$102,5,FALSE)-VLOOKUP($A55,main!$A$3:$H$102,6,FALSE)&gt;=main!$D$103+VLOOKUP(VLOOKUP(G$1,main!$A$3:$I$102,7,FALSE),main!$K$26:$Q$29,3,FALSE),1,0)</f>
        <v>0</v>
      </c>
      <c r="H55">
        <f>IF(VLOOKUP(H$1,main!$A$3:$H$102,5,FALSE)-VLOOKUP($A55,main!$A$3:$H$102,6,FALSE)&gt;=main!$D$103+VLOOKUP(VLOOKUP(H$1,main!$A$3:$I$102,7,FALSE),main!$K$26:$Q$29,3,FALSE),1,0)</f>
        <v>0</v>
      </c>
      <c r="I55">
        <f>IF(VLOOKUP(I$1,main!$A$3:$H$102,5,FALSE)-VLOOKUP($A55,main!$A$3:$H$102,6,FALSE)&gt;=main!$D$103+VLOOKUP(VLOOKUP(I$1,main!$A$3:$I$102,7,FALSE),main!$K$26:$Q$29,3,FALSE),1,0)</f>
        <v>0</v>
      </c>
      <c r="J55">
        <f>IF(VLOOKUP(J$1,main!$A$3:$H$102,5,FALSE)-VLOOKUP($A55,main!$A$3:$H$102,6,FALSE)&gt;=main!$D$103+VLOOKUP(VLOOKUP(J$1,main!$A$3:$I$102,7,FALSE),main!$K$26:$Q$29,3,FALSE),1,0)</f>
        <v>0</v>
      </c>
      <c r="K55">
        <f>IF(VLOOKUP(K$1,main!$A$3:$H$102,5,FALSE)-VLOOKUP($A55,main!$A$3:$H$102,6,FALSE)&gt;=main!$D$103+VLOOKUP(VLOOKUP(K$1,main!$A$3:$I$102,7,FALSE),main!$K$26:$Q$29,3,FALSE),1,0)</f>
        <v>1</v>
      </c>
      <c r="L55">
        <f>IF(VLOOKUP(L$1,main!$A$3:$H$102,5,FALSE)-VLOOKUP($A55,main!$A$3:$H$102,6,FALSE)&gt;=main!$D$103+VLOOKUP(VLOOKUP(L$1,main!$A$3:$I$102,7,FALSE),main!$K$26:$Q$29,3,FALSE),1,0)</f>
        <v>1</v>
      </c>
      <c r="M55">
        <f>IF(VLOOKUP(M$1,main!$A$3:$H$102,5,FALSE)-VLOOKUP($A55,main!$A$3:$H$102,6,FALSE)&gt;=main!$D$103+VLOOKUP(VLOOKUP(M$1,main!$A$3:$I$102,7,FALSE),main!$K$26:$Q$29,3,FALSE),1,0)</f>
        <v>0</v>
      </c>
      <c r="N55">
        <f>IF(VLOOKUP(N$1,main!$A$3:$H$102,5,FALSE)-VLOOKUP($A55,main!$A$3:$H$102,6,FALSE)&gt;=main!$D$103+VLOOKUP(VLOOKUP(N$1,main!$A$3:$I$102,7,FALSE),main!$K$26:$Q$29,3,FALSE),1,0)</f>
        <v>0</v>
      </c>
      <c r="O55">
        <f>IF(VLOOKUP(O$1,main!$A$3:$H$102,5,FALSE)-VLOOKUP($A55,main!$A$3:$H$102,6,FALSE)&gt;=main!$D$103+VLOOKUP(VLOOKUP(O$1,main!$A$3:$I$102,7,FALSE),main!$K$26:$Q$29,3,FALSE),1,0)</f>
        <v>0</v>
      </c>
      <c r="P55">
        <f>IF(VLOOKUP(P$1,main!$A$3:$H$102,5,FALSE)-VLOOKUP($A55,main!$A$3:$H$102,6,FALSE)&gt;=main!$D$103+VLOOKUP(VLOOKUP(P$1,main!$A$3:$I$102,7,FALSE),main!$K$26:$Q$29,3,FALSE),1,0)</f>
        <v>0</v>
      </c>
      <c r="Q55">
        <f>IF(VLOOKUP(Q$1,main!$A$3:$H$102,5,FALSE)-VLOOKUP($A55,main!$A$3:$H$102,6,FALSE)&gt;=main!$D$103+VLOOKUP(VLOOKUP(Q$1,main!$A$3:$I$102,7,FALSE),main!$K$26:$Q$29,3,FALSE),1,0)</f>
        <v>0</v>
      </c>
      <c r="R55">
        <f>IF(VLOOKUP(R$1,main!$A$3:$H$102,5,FALSE)-VLOOKUP($A55,main!$A$3:$H$102,6,FALSE)&gt;=main!$D$103+VLOOKUP(VLOOKUP(R$1,main!$A$3:$I$102,7,FALSE),main!$K$26:$Q$29,3,FALSE),1,0)</f>
        <v>0</v>
      </c>
      <c r="S55">
        <f>IF(VLOOKUP(S$1,main!$A$3:$H$102,5,FALSE)-VLOOKUP($A55,main!$A$3:$H$102,6,FALSE)&gt;=main!$D$103+VLOOKUP(VLOOKUP(S$1,main!$A$3:$I$102,7,FALSE),main!$K$26:$Q$29,3,FALSE),1,0)</f>
        <v>0</v>
      </c>
      <c r="T55">
        <f>IF(VLOOKUP(T$1,main!$A$3:$H$102,5,FALSE)-VLOOKUP($A55,main!$A$3:$H$102,6,FALSE)&gt;=main!$D$103+VLOOKUP(VLOOKUP(T$1,main!$A$3:$I$102,7,FALSE),main!$K$26:$Q$29,3,FALSE),1,0)</f>
        <v>0</v>
      </c>
      <c r="U55">
        <f>IF(VLOOKUP(U$1,main!$A$3:$H$102,5,FALSE)-VLOOKUP($A55,main!$A$3:$H$102,6,FALSE)&gt;=main!$D$103+VLOOKUP(VLOOKUP(U$1,main!$A$3:$I$102,7,FALSE),main!$K$26:$Q$29,3,FALSE),1,0)</f>
        <v>1</v>
      </c>
      <c r="V55">
        <f>IF(VLOOKUP(V$1,main!$A$3:$H$102,5,FALSE)-VLOOKUP($A55,main!$A$3:$H$102,6,FALSE)&gt;=main!$D$103+VLOOKUP(VLOOKUP(V$1,main!$A$3:$I$102,7,FALSE),main!$K$26:$Q$29,3,FALSE),1,0)</f>
        <v>1</v>
      </c>
      <c r="W55">
        <f>IF(VLOOKUP(W$1,main!$A$3:$H$102,5,FALSE)-VLOOKUP($A55,main!$A$3:$H$102,6,FALSE)&gt;=main!$D$103+VLOOKUP(VLOOKUP(W$1,main!$A$3:$I$102,7,FALSE),main!$K$26:$Q$29,3,FALSE),1,0)</f>
        <v>0</v>
      </c>
      <c r="X55">
        <f>IF(VLOOKUP(X$1,main!$A$3:$H$102,5,FALSE)-VLOOKUP($A55,main!$A$3:$H$102,6,FALSE)&gt;=main!$D$103+VLOOKUP(VLOOKUP(X$1,main!$A$3:$I$102,7,FALSE),main!$K$26:$Q$29,3,FALSE),1,0)</f>
        <v>0</v>
      </c>
      <c r="Y55">
        <f>IF(VLOOKUP(Y$1,main!$A$3:$H$102,5,FALSE)-VLOOKUP($A55,main!$A$3:$H$102,6,FALSE)&gt;=main!$D$103+VLOOKUP(VLOOKUP(Y$1,main!$A$3:$I$102,7,FALSE),main!$K$26:$Q$29,3,FALSE),1,0)</f>
        <v>0</v>
      </c>
      <c r="Z55">
        <f>IF(VLOOKUP(Z$1,main!$A$3:$H$102,5,FALSE)-VLOOKUP($A55,main!$A$3:$H$102,6,FALSE)&gt;=main!$D$103+VLOOKUP(VLOOKUP(Z$1,main!$A$3:$I$102,7,FALSE),main!$K$26:$Q$29,3,FALSE),1,0)</f>
        <v>0</v>
      </c>
      <c r="AA55">
        <f>IF(VLOOKUP(AA$1,main!$A$3:$H$102,5,FALSE)-VLOOKUP($A55,main!$A$3:$H$102,6,FALSE)&gt;=main!$D$103+VLOOKUP(VLOOKUP(AA$1,main!$A$3:$I$102,7,FALSE),main!$K$26:$Q$29,3,FALSE),1,0)</f>
        <v>1</v>
      </c>
      <c r="AB55">
        <f>IF(VLOOKUP(AB$1,main!$A$3:$H$102,5,FALSE)-VLOOKUP($A55,main!$A$3:$H$102,6,FALSE)&gt;=main!$D$103+VLOOKUP(VLOOKUP(AB$1,main!$A$3:$I$102,7,FALSE),main!$K$26:$Q$29,3,FALSE),1,0)</f>
        <v>0</v>
      </c>
      <c r="AC55">
        <f>IF(VLOOKUP(AC$1,main!$A$3:$H$102,5,FALSE)-VLOOKUP($A55,main!$A$3:$H$102,6,FALSE)&gt;=main!$D$103+VLOOKUP(VLOOKUP(AC$1,main!$A$3:$I$102,7,FALSE),main!$K$26:$Q$29,3,FALSE),1,0)</f>
        <v>0</v>
      </c>
      <c r="AD55">
        <f>IF(VLOOKUP(AD$1,main!$A$3:$H$102,5,FALSE)-VLOOKUP($A55,main!$A$3:$H$102,6,FALSE)&gt;=main!$D$103+VLOOKUP(VLOOKUP(AD$1,main!$A$3:$I$102,7,FALSE),main!$K$26:$Q$29,3,FALSE),1,0)</f>
        <v>0</v>
      </c>
      <c r="AE55">
        <f>IF(VLOOKUP(AE$1,main!$A$3:$H$102,5,FALSE)-VLOOKUP($A55,main!$A$3:$H$102,6,FALSE)&gt;=main!$D$103+VLOOKUP(VLOOKUP(AE$1,main!$A$3:$I$102,7,FALSE),main!$K$26:$Q$29,3,FALSE),1,0)</f>
        <v>0</v>
      </c>
      <c r="AF55">
        <f>IF(VLOOKUP(AF$1,main!$A$3:$H$102,5,FALSE)-VLOOKUP($A55,main!$A$3:$H$102,6,FALSE)&gt;=main!$D$103+VLOOKUP(VLOOKUP(AF$1,main!$A$3:$I$102,7,FALSE),main!$K$26:$Q$29,3,FALSE),1,0)</f>
        <v>1</v>
      </c>
      <c r="AG55">
        <f>IF(VLOOKUP(AG$1,main!$A$3:$H$102,5,FALSE)-VLOOKUP($A55,main!$A$3:$H$102,6,FALSE)&gt;=main!$D$103+VLOOKUP(VLOOKUP(AG$1,main!$A$3:$I$102,7,FALSE),main!$K$26:$Q$29,3,FALSE),1,0)</f>
        <v>0</v>
      </c>
      <c r="AH55">
        <f>IF(VLOOKUP(AH$1,main!$A$3:$H$102,5,FALSE)-VLOOKUP($A55,main!$A$3:$H$102,6,FALSE)&gt;=main!$D$103+VLOOKUP(VLOOKUP(AH$1,main!$A$3:$I$102,7,FALSE),main!$K$26:$Q$29,3,FALSE),1,0)</f>
        <v>0</v>
      </c>
      <c r="AI55">
        <f>IF(VLOOKUP(AI$1,main!$A$3:$H$102,5,FALSE)-VLOOKUP($A55,main!$A$3:$H$102,6,FALSE)&gt;=main!$D$103+VLOOKUP(VLOOKUP(AI$1,main!$A$3:$I$102,7,FALSE),main!$K$26:$Q$29,3,FALSE),1,0)</f>
        <v>0</v>
      </c>
      <c r="AJ55">
        <f>IF(VLOOKUP(AJ$1,main!$A$3:$H$102,5,FALSE)-VLOOKUP($A55,main!$A$3:$H$102,6,FALSE)&gt;=main!$D$103+VLOOKUP(VLOOKUP(AJ$1,main!$A$3:$I$102,7,FALSE),main!$K$26:$Q$29,3,FALSE),1,0)</f>
        <v>0</v>
      </c>
      <c r="AK55">
        <f>IF(VLOOKUP(AK$1,main!$A$3:$H$102,5,FALSE)-VLOOKUP($A55,main!$A$3:$H$102,6,FALSE)&gt;=main!$D$103+VLOOKUP(VLOOKUP(AK$1,main!$A$3:$I$102,7,FALSE),main!$K$26:$Q$29,3,FALSE),1,0)</f>
        <v>0</v>
      </c>
      <c r="AL55">
        <f>IF(VLOOKUP(AL$1,main!$A$3:$H$102,5,FALSE)-VLOOKUP($A55,main!$A$3:$H$102,6,FALSE)&gt;=main!$D$103+VLOOKUP(VLOOKUP(AL$1,main!$A$3:$I$102,7,FALSE),main!$K$26:$Q$29,3,FALSE),1,0)</f>
        <v>0</v>
      </c>
      <c r="AM55">
        <f>IF(VLOOKUP(AM$1,main!$A$3:$H$102,5,FALSE)-VLOOKUP($A55,main!$A$3:$H$102,6,FALSE)&gt;=main!$D$103+VLOOKUP(VLOOKUP(AM$1,main!$A$3:$I$102,7,FALSE),main!$K$26:$Q$29,3,FALSE),1,0)</f>
        <v>1</v>
      </c>
      <c r="AN55">
        <f>IF(VLOOKUP(AN$1,main!$A$3:$H$102,5,FALSE)-VLOOKUP($A55,main!$A$3:$H$102,6,FALSE)&gt;=main!$D$103+VLOOKUP(VLOOKUP(AN$1,main!$A$3:$I$102,7,FALSE),main!$K$26:$Q$29,3,FALSE),1,0)</f>
        <v>1</v>
      </c>
      <c r="AO55">
        <f>IF(VLOOKUP(AO$1,main!$A$3:$H$102,5,FALSE)-VLOOKUP($A55,main!$A$3:$H$102,6,FALSE)&gt;=main!$D$103+VLOOKUP(VLOOKUP(AO$1,main!$A$3:$I$102,7,FALSE),main!$K$26:$Q$29,3,FALSE),1,0)</f>
        <v>0</v>
      </c>
      <c r="AP55">
        <f>IF(VLOOKUP(AP$1,main!$A$3:$H$102,5,FALSE)-VLOOKUP($A55,main!$A$3:$H$102,6,FALSE)&gt;=main!$D$103+VLOOKUP(VLOOKUP(AP$1,main!$A$3:$I$102,7,FALSE),main!$K$26:$Q$29,3,FALSE),1,0)</f>
        <v>1</v>
      </c>
      <c r="AQ55">
        <f>IF(VLOOKUP(AQ$1,main!$A$3:$H$102,5,FALSE)-VLOOKUP($A55,main!$A$3:$H$102,6,FALSE)&gt;=main!$D$103+VLOOKUP(VLOOKUP(AQ$1,main!$A$3:$I$102,7,FALSE),main!$K$26:$Q$29,3,FALSE),1,0)</f>
        <v>0</v>
      </c>
      <c r="AR55">
        <f>IF(VLOOKUP(AR$1,main!$A$3:$H$102,5,FALSE)-VLOOKUP($A55,main!$A$3:$H$102,6,FALSE)&gt;=main!$D$103+VLOOKUP(VLOOKUP(AR$1,main!$A$3:$I$102,7,FALSE),main!$K$26:$Q$29,3,FALSE),1,0)</f>
        <v>0</v>
      </c>
      <c r="AS55">
        <f>IF(VLOOKUP(AS$1,main!$A$3:$H$102,5,FALSE)-VLOOKUP($A55,main!$A$3:$H$102,6,FALSE)&gt;=main!$D$103+VLOOKUP(VLOOKUP(AS$1,main!$A$3:$I$102,7,FALSE),main!$K$26:$Q$29,3,FALSE),1,0)</f>
        <v>0</v>
      </c>
      <c r="AT55">
        <f>IF(VLOOKUP(AT$1,main!$A$3:$H$102,5,FALSE)-VLOOKUP($A55,main!$A$3:$H$102,6,FALSE)&gt;=main!$D$103+VLOOKUP(VLOOKUP(AT$1,main!$A$3:$I$102,7,FALSE),main!$K$26:$Q$29,3,FALSE),1,0)</f>
        <v>0</v>
      </c>
      <c r="AU55">
        <f>IF(VLOOKUP(AU$1,main!$A$3:$H$102,5,FALSE)-VLOOKUP($A55,main!$A$3:$H$102,6,FALSE)&gt;=main!$D$103+VLOOKUP(VLOOKUP(AU$1,main!$A$3:$I$102,7,FALSE),main!$K$26:$Q$29,3,FALSE),1,0)</f>
        <v>0</v>
      </c>
      <c r="AV55">
        <f>IF(VLOOKUP(AV$1,main!$A$3:$H$102,5,FALSE)-VLOOKUP($A55,main!$A$3:$H$102,6,FALSE)&gt;=main!$D$103+VLOOKUP(VLOOKUP(AV$1,main!$A$3:$I$102,7,FALSE),main!$K$26:$Q$29,3,FALSE),1,0)</f>
        <v>0</v>
      </c>
      <c r="AW55">
        <f>IF(VLOOKUP(AW$1,main!$A$3:$H$102,5,FALSE)-VLOOKUP($A55,main!$A$3:$H$102,6,FALSE)&gt;=main!$D$103+VLOOKUP(VLOOKUP(AW$1,main!$A$3:$I$102,7,FALSE),main!$K$26:$Q$29,3,FALSE),1,0)</f>
        <v>0</v>
      </c>
      <c r="AX55">
        <f>IF(VLOOKUP(AX$1,main!$A$3:$H$102,5,FALSE)-VLOOKUP($A55,main!$A$3:$H$102,6,FALSE)&gt;=main!$D$103+VLOOKUP(VLOOKUP(AX$1,main!$A$3:$I$102,7,FALSE),main!$K$26:$Q$29,3,FALSE),1,0)</f>
        <v>0</v>
      </c>
      <c r="AY55">
        <f>IF(VLOOKUP(AY$1,main!$A$3:$H$102,5,FALSE)-VLOOKUP($A55,main!$A$3:$H$102,6,FALSE)&gt;=main!$D$103+VLOOKUP(VLOOKUP(AY$1,main!$A$3:$I$102,7,FALSE),main!$K$26:$Q$29,3,FALSE),1,0)</f>
        <v>0</v>
      </c>
      <c r="AZ55">
        <f>IF(VLOOKUP(AZ$1,main!$A$3:$H$102,5,FALSE)-VLOOKUP($A55,main!$A$3:$H$102,6,FALSE)&gt;=main!$D$103+VLOOKUP(VLOOKUP(AZ$1,main!$A$3:$I$102,7,FALSE),main!$K$26:$Q$29,3,FALSE),1,0)</f>
        <v>0</v>
      </c>
      <c r="BA55">
        <f>IF(VLOOKUP(BA$1,main!$A$3:$H$102,5,FALSE)-VLOOKUP($A55,main!$A$3:$H$102,6,FALSE)&gt;=main!$D$103+VLOOKUP(VLOOKUP(BA$1,main!$A$3:$I$102,7,FALSE),main!$K$26:$Q$29,3,FALSE),1,0)</f>
        <v>0</v>
      </c>
      <c r="BB55">
        <f>IF(VLOOKUP(BB$1,main!$A$3:$H$102,5,FALSE)-VLOOKUP($A55,main!$A$3:$H$102,6,FALSE)&gt;=main!$D$103+VLOOKUP(VLOOKUP(BB$1,main!$A$3:$I$102,7,FALSE),main!$K$26:$Q$29,3,FALSE),1,0)</f>
        <v>0</v>
      </c>
      <c r="BC55">
        <f>IF(VLOOKUP(BC$1,main!$A$3:$H$102,5,FALSE)-VLOOKUP($A55,main!$A$3:$H$102,6,FALSE)&gt;=main!$D$103+VLOOKUP(VLOOKUP(BC$1,main!$A$3:$I$102,7,FALSE),main!$K$26:$Q$29,3,FALSE),1,0)</f>
        <v>0</v>
      </c>
      <c r="BD55">
        <f>IF(VLOOKUP(BD$1,main!$A$3:$H$102,5,FALSE)-VLOOKUP($A55,main!$A$3:$H$102,6,FALSE)&gt;=main!$D$103+VLOOKUP(VLOOKUP(BD$1,main!$A$3:$I$102,7,FALSE),main!$K$26:$Q$29,3,FALSE),1,0)</f>
        <v>0</v>
      </c>
      <c r="BE55">
        <f>IF(VLOOKUP(BE$1,main!$A$3:$H$102,5,FALSE)-VLOOKUP($A55,main!$A$3:$H$102,6,FALSE)&gt;=main!$D$103+VLOOKUP(VLOOKUP(BE$1,main!$A$3:$I$102,7,FALSE),main!$K$26:$Q$29,3,FALSE),1,0)</f>
        <v>0</v>
      </c>
      <c r="BF55">
        <f>IF(VLOOKUP(BF$1,main!$A$3:$H$102,5,FALSE)-VLOOKUP($A55,main!$A$3:$H$102,6,FALSE)&gt;=main!$D$103+VLOOKUP(VLOOKUP(BF$1,main!$A$3:$I$102,7,FALSE),main!$K$26:$Q$29,3,FALSE),1,0)</f>
        <v>0</v>
      </c>
      <c r="BG55">
        <f>IF(VLOOKUP(BG$1,main!$A$3:$H$102,5,FALSE)-VLOOKUP($A55,main!$A$3:$H$102,6,FALSE)&gt;=main!$D$103+VLOOKUP(VLOOKUP(BG$1,main!$A$3:$I$102,7,FALSE),main!$K$26:$Q$29,3,FALSE),1,0)</f>
        <v>0</v>
      </c>
      <c r="BH55">
        <f>IF(VLOOKUP(BH$1,main!$A$3:$H$102,5,FALSE)-VLOOKUP($A55,main!$A$3:$H$102,6,FALSE)&gt;=main!$D$103+VLOOKUP(VLOOKUP(BH$1,main!$A$3:$I$102,7,FALSE),main!$K$26:$Q$29,3,FALSE),1,0)</f>
        <v>0</v>
      </c>
      <c r="BI55">
        <f>IF(VLOOKUP(BI$1,main!$A$3:$H$102,5,FALSE)-VLOOKUP($A55,main!$A$3:$H$102,6,FALSE)&gt;=main!$D$103+VLOOKUP(VLOOKUP(BI$1,main!$A$3:$I$102,7,FALSE),main!$K$26:$Q$29,3,FALSE),1,0)</f>
        <v>1</v>
      </c>
      <c r="BJ55">
        <f>IF(VLOOKUP(BJ$1,main!$A$3:$H$102,5,FALSE)-VLOOKUP($A55,main!$A$3:$H$102,6,FALSE)&gt;=main!$D$103+VLOOKUP(VLOOKUP(BJ$1,main!$A$3:$I$102,7,FALSE),main!$K$26:$Q$29,3,FALSE),1,0)</f>
        <v>0</v>
      </c>
      <c r="BK55">
        <f>IF(VLOOKUP(BK$1,main!$A$3:$H$102,5,FALSE)-VLOOKUP($A55,main!$A$3:$H$102,6,FALSE)&gt;=main!$D$103+VLOOKUP(VLOOKUP(BK$1,main!$A$3:$I$102,7,FALSE),main!$K$26:$Q$29,3,FALSE),1,0)</f>
        <v>0</v>
      </c>
      <c r="BL55">
        <f>IF(VLOOKUP(BL$1,main!$A$3:$H$102,5,FALSE)-VLOOKUP($A55,main!$A$3:$H$102,6,FALSE)&gt;=main!$D$103+VLOOKUP(VLOOKUP(BL$1,main!$A$3:$I$102,7,FALSE),main!$K$26:$Q$29,3,FALSE),1,0)</f>
        <v>0</v>
      </c>
      <c r="BM55">
        <f>IF(VLOOKUP(BM$1,main!$A$3:$H$102,5,FALSE)-VLOOKUP($A55,main!$A$3:$H$102,6,FALSE)&gt;=main!$D$103+VLOOKUP(VLOOKUP(BM$1,main!$A$3:$I$102,7,FALSE),main!$K$26:$Q$29,3,FALSE),1,0)</f>
        <v>0</v>
      </c>
      <c r="BN55">
        <f>IF(VLOOKUP(BN$1,main!$A$3:$H$102,5,FALSE)-VLOOKUP($A55,main!$A$3:$H$102,6,FALSE)&gt;=main!$D$103+VLOOKUP(VLOOKUP(BN$1,main!$A$3:$I$102,7,FALSE),main!$K$26:$Q$29,3,FALSE),1,0)</f>
        <v>0</v>
      </c>
      <c r="BO55">
        <f>IF(VLOOKUP(BO$1,main!$A$3:$H$102,5,FALSE)-VLOOKUP($A55,main!$A$3:$H$102,6,FALSE)&gt;=main!$D$103+VLOOKUP(VLOOKUP(BO$1,main!$A$3:$I$102,7,FALSE),main!$K$26:$Q$29,3,FALSE),1,0)</f>
        <v>0</v>
      </c>
      <c r="BP55">
        <f>IF(VLOOKUP(BP$1,main!$A$3:$H$102,5,FALSE)-VLOOKUP($A55,main!$A$3:$H$102,6,FALSE)&gt;=main!$D$103+VLOOKUP(VLOOKUP(BP$1,main!$A$3:$I$102,7,FALSE),main!$K$26:$Q$29,3,FALSE),1,0)</f>
        <v>0</v>
      </c>
      <c r="BQ55">
        <f>IF(VLOOKUP(BQ$1,main!$A$3:$H$102,5,FALSE)-VLOOKUP($A55,main!$A$3:$H$102,6,FALSE)&gt;=main!$D$103+VLOOKUP(VLOOKUP(BQ$1,main!$A$3:$I$102,7,FALSE),main!$K$26:$Q$29,3,FALSE),1,0)</f>
        <v>0</v>
      </c>
      <c r="BR55">
        <f>IF(VLOOKUP(BR$1,main!$A$3:$H$102,5,FALSE)-VLOOKUP($A55,main!$A$3:$H$102,6,FALSE)&gt;=main!$D$103+VLOOKUP(VLOOKUP(BR$1,main!$A$3:$I$102,7,FALSE),main!$K$26:$Q$29,3,FALSE),1,0)</f>
        <v>0</v>
      </c>
      <c r="BS55">
        <f>IF(VLOOKUP(BS$1,main!$A$3:$H$102,5,FALSE)-VLOOKUP($A55,main!$A$3:$H$102,6,FALSE)&gt;=main!$D$103+VLOOKUP(VLOOKUP(BS$1,main!$A$3:$I$102,7,FALSE),main!$K$26:$Q$29,3,FALSE),1,0)</f>
        <v>0</v>
      </c>
      <c r="BT55">
        <f>IF(VLOOKUP(BT$1,main!$A$3:$H$102,5,FALSE)-VLOOKUP($A55,main!$A$3:$H$102,6,FALSE)&gt;=main!$D$103+VLOOKUP(VLOOKUP(BT$1,main!$A$3:$I$102,7,FALSE),main!$K$26:$Q$29,3,FALSE),1,0)</f>
        <v>0</v>
      </c>
      <c r="BU55">
        <f>IF(VLOOKUP(BU$1,main!$A$3:$H$102,5,FALSE)-VLOOKUP($A55,main!$A$3:$H$102,6,FALSE)&gt;=main!$D$103+VLOOKUP(VLOOKUP(BU$1,main!$A$3:$I$102,7,FALSE),main!$K$26:$Q$29,3,FALSE),1,0)</f>
        <v>0</v>
      </c>
      <c r="BV55">
        <f>IF(VLOOKUP(BV$1,main!$A$3:$H$102,5,FALSE)-VLOOKUP($A55,main!$A$3:$H$102,6,FALSE)&gt;=main!$D$103+VLOOKUP(VLOOKUP(BV$1,main!$A$3:$I$102,7,FALSE),main!$K$26:$Q$29,3,FALSE),1,0)</f>
        <v>0</v>
      </c>
      <c r="BW55">
        <f>IF(VLOOKUP(BW$1,main!$A$3:$H$102,5,FALSE)-VLOOKUP($A55,main!$A$3:$H$102,6,FALSE)&gt;=main!$D$103+VLOOKUP(VLOOKUP(BW$1,main!$A$3:$I$102,7,FALSE),main!$K$26:$Q$29,3,FALSE),1,0)</f>
        <v>0</v>
      </c>
      <c r="BX55">
        <f>IF(VLOOKUP(BX$1,main!$A$3:$H$102,5,FALSE)-VLOOKUP($A55,main!$A$3:$H$102,6,FALSE)&gt;=main!$D$103+VLOOKUP(VLOOKUP(BX$1,main!$A$3:$I$102,7,FALSE),main!$K$26:$Q$29,3,FALSE),1,0)</f>
        <v>0</v>
      </c>
      <c r="BY55">
        <f>IF(VLOOKUP(BY$1,main!$A$3:$H$102,5,FALSE)-VLOOKUP($A55,main!$A$3:$H$102,6,FALSE)&gt;=main!$D$103+VLOOKUP(VLOOKUP(BY$1,main!$A$3:$I$102,7,FALSE),main!$K$26:$Q$29,3,FALSE),1,0)</f>
        <v>0</v>
      </c>
      <c r="BZ55">
        <f>IF(VLOOKUP(BZ$1,main!$A$3:$H$102,5,FALSE)-VLOOKUP($A55,main!$A$3:$H$102,6,FALSE)&gt;=main!$D$103+VLOOKUP(VLOOKUP(BZ$1,main!$A$3:$I$102,7,FALSE),main!$K$26:$Q$29,3,FALSE),1,0)</f>
        <v>0</v>
      </c>
      <c r="CA55">
        <f>IF(VLOOKUP(CA$1,main!$A$3:$H$102,5,FALSE)-VLOOKUP($A55,main!$A$3:$H$102,6,FALSE)&gt;=main!$D$103+VLOOKUP(VLOOKUP(CA$1,main!$A$3:$I$102,7,FALSE),main!$K$26:$Q$29,3,FALSE),1,0)</f>
        <v>0</v>
      </c>
      <c r="CB55">
        <f>IF(VLOOKUP(CB$1,main!$A$3:$H$102,5,FALSE)-VLOOKUP($A55,main!$A$3:$H$102,6,FALSE)&gt;=main!$D$103+VLOOKUP(VLOOKUP(CB$1,main!$A$3:$I$102,7,FALSE),main!$K$26:$Q$29,3,FALSE),1,0)</f>
        <v>0</v>
      </c>
      <c r="CC55">
        <f>IF(VLOOKUP(CC$1,main!$A$3:$H$102,5,FALSE)-VLOOKUP($A55,main!$A$3:$H$102,6,FALSE)&gt;=main!$D$103+VLOOKUP(VLOOKUP(CC$1,main!$A$3:$I$102,7,FALSE),main!$K$26:$Q$29,3,FALSE),1,0)</f>
        <v>1</v>
      </c>
      <c r="CD55">
        <f>IF(VLOOKUP(CD$1,main!$A$3:$H$102,5,FALSE)-VLOOKUP($A55,main!$A$3:$H$102,6,FALSE)&gt;=main!$D$103+VLOOKUP(VLOOKUP(CD$1,main!$A$3:$I$102,7,FALSE),main!$K$26:$Q$29,3,FALSE),1,0)</f>
        <v>0</v>
      </c>
      <c r="CE55">
        <f>IF(VLOOKUP(CE$1,main!$A$3:$H$102,5,FALSE)-VLOOKUP($A55,main!$A$3:$H$102,6,FALSE)&gt;=main!$D$103+VLOOKUP(VLOOKUP(CE$1,main!$A$3:$I$102,7,FALSE),main!$K$26:$Q$29,3,FALSE),1,0)</f>
        <v>0</v>
      </c>
      <c r="CF55">
        <f>IF(VLOOKUP(CF$1,main!$A$3:$H$102,5,FALSE)-VLOOKUP($A55,main!$A$3:$H$102,6,FALSE)&gt;=main!$D$103+VLOOKUP(VLOOKUP(CF$1,main!$A$3:$I$102,7,FALSE),main!$K$26:$Q$29,3,FALSE),1,0)</f>
        <v>0</v>
      </c>
      <c r="CG55">
        <f>IF(VLOOKUP(CG$1,main!$A$3:$H$102,5,FALSE)-VLOOKUP($A55,main!$A$3:$H$102,6,FALSE)&gt;=main!$D$103+VLOOKUP(VLOOKUP(CG$1,main!$A$3:$I$102,7,FALSE),main!$K$26:$Q$29,3,FALSE),1,0)</f>
        <v>0</v>
      </c>
      <c r="CH55">
        <f>IF(VLOOKUP(CH$1,main!$A$3:$H$102,5,FALSE)-VLOOKUP($A55,main!$A$3:$H$102,6,FALSE)&gt;=main!$D$103+VLOOKUP(VLOOKUP(CH$1,main!$A$3:$I$102,7,FALSE),main!$K$26:$Q$29,3,FALSE),1,0)</f>
        <v>0</v>
      </c>
      <c r="CI55">
        <f>IF(VLOOKUP(CI$1,main!$A$3:$H$102,5,FALSE)-VLOOKUP($A55,main!$A$3:$H$102,6,FALSE)&gt;=main!$D$103+VLOOKUP(VLOOKUP(CI$1,main!$A$3:$I$102,7,FALSE),main!$K$26:$Q$29,3,FALSE),1,0)</f>
        <v>1</v>
      </c>
      <c r="CJ55">
        <f>IF(VLOOKUP(CJ$1,main!$A$3:$H$102,5,FALSE)-VLOOKUP($A55,main!$A$3:$H$102,6,FALSE)&gt;=main!$D$103+VLOOKUP(VLOOKUP(CJ$1,main!$A$3:$I$102,7,FALSE),main!$K$26:$Q$29,3,FALSE),1,0)</f>
        <v>0</v>
      </c>
      <c r="CK55">
        <f>IF(VLOOKUP(CK$1,main!$A$3:$H$102,5,FALSE)-VLOOKUP($A55,main!$A$3:$H$102,6,FALSE)&gt;=main!$D$103+VLOOKUP(VLOOKUP(CK$1,main!$A$3:$I$102,7,FALSE),main!$K$26:$Q$29,3,FALSE),1,0)</f>
        <v>0</v>
      </c>
      <c r="CL55">
        <f>IF(VLOOKUP(CL$1,main!$A$3:$H$102,5,FALSE)-VLOOKUP($A55,main!$A$3:$H$102,6,FALSE)&gt;=main!$D$103+VLOOKUP(VLOOKUP(CL$1,main!$A$3:$I$102,7,FALSE),main!$K$26:$Q$29,3,FALSE),1,0)</f>
        <v>0</v>
      </c>
      <c r="CM55">
        <f>IF(VLOOKUP(CM$1,main!$A$3:$H$102,5,FALSE)-VLOOKUP($A55,main!$A$3:$H$102,6,FALSE)&gt;=main!$D$103+VLOOKUP(VLOOKUP(CM$1,main!$A$3:$I$102,7,FALSE),main!$K$26:$Q$29,3,FALSE),1,0)</f>
        <v>0</v>
      </c>
      <c r="CN55">
        <f>IF(VLOOKUP(CN$1,main!$A$3:$H$102,5,FALSE)-VLOOKUP($A55,main!$A$3:$H$102,6,FALSE)&gt;=main!$D$103+VLOOKUP(VLOOKUP(CN$1,main!$A$3:$I$102,7,FALSE),main!$K$26:$Q$29,3,FALSE),1,0)</f>
        <v>1</v>
      </c>
      <c r="CO55">
        <f>IF(VLOOKUP(CO$1,main!$A$3:$H$102,5,FALSE)-VLOOKUP($A55,main!$A$3:$H$102,6,FALSE)&gt;=main!$D$103+VLOOKUP(VLOOKUP(CO$1,main!$A$3:$I$102,7,FALSE),main!$K$26:$Q$29,3,FALSE),1,0)</f>
        <v>0</v>
      </c>
      <c r="CP55">
        <f>IF(VLOOKUP(CP$1,main!$A$3:$H$102,5,FALSE)-VLOOKUP($A55,main!$A$3:$H$102,6,FALSE)&gt;=main!$D$103+VLOOKUP(VLOOKUP(CP$1,main!$A$3:$I$102,7,FALSE),main!$K$26:$Q$29,3,FALSE),1,0)</f>
        <v>0</v>
      </c>
      <c r="CQ55">
        <f>IF(VLOOKUP(CQ$1,main!$A$3:$H$102,5,FALSE)-VLOOKUP($A55,main!$A$3:$H$102,6,FALSE)&gt;=main!$D$103+VLOOKUP(VLOOKUP(CQ$1,main!$A$3:$I$102,7,FALSE),main!$K$26:$Q$29,3,FALSE),1,0)</f>
        <v>0</v>
      </c>
      <c r="CR55">
        <f>IF(VLOOKUP(CR$1,main!$A$3:$H$102,5,FALSE)-VLOOKUP($A55,main!$A$3:$H$102,6,FALSE)&gt;=main!$D$103+VLOOKUP(VLOOKUP(CR$1,main!$A$3:$I$102,7,FALSE),main!$K$26:$Q$29,3,FALSE),1,0)</f>
        <v>0</v>
      </c>
      <c r="CS55">
        <f>IF(VLOOKUP(CS$1,main!$A$3:$H$102,5,FALSE)-VLOOKUP($A55,main!$A$3:$H$102,6,FALSE)&gt;=main!$D$103+VLOOKUP(VLOOKUP(CS$1,main!$A$3:$I$102,7,FALSE),main!$K$26:$Q$29,3,FALSE),1,0)</f>
        <v>0</v>
      </c>
      <c r="CT55">
        <f>IF(VLOOKUP(CT$1,main!$A$3:$H$102,5,FALSE)-VLOOKUP($A55,main!$A$3:$H$102,6,FALSE)&gt;=main!$D$103+VLOOKUP(VLOOKUP(CT$1,main!$A$3:$I$102,7,FALSE),main!$K$26:$Q$29,3,FALSE),1,0)</f>
        <v>0</v>
      </c>
      <c r="CU55">
        <f>IF(VLOOKUP(CU$1,main!$A$3:$H$102,5,FALSE)-VLOOKUP($A55,main!$A$3:$H$102,6,FALSE)&gt;=main!$D$103+VLOOKUP(VLOOKUP(CU$1,main!$A$3:$I$102,7,FALSE),main!$K$26:$Q$29,3,FALSE),1,0)</f>
        <v>0</v>
      </c>
      <c r="CV55">
        <f>IF(VLOOKUP(CV$1,main!$A$3:$H$102,5,FALSE)-VLOOKUP($A55,main!$A$3:$H$102,6,FALSE)&gt;=main!$D$103+VLOOKUP(VLOOKUP(CV$1,main!$A$3:$I$102,7,FALSE),main!$K$26:$Q$29,3,FALSE),1,0)</f>
        <v>0</v>
      </c>
      <c r="CW55">
        <f>IF(VLOOKUP(CW$1,main!$A$3:$H$102,5,FALSE)-VLOOKUP($A55,main!$A$3:$H$102,6,FALSE)&gt;=main!$D$103+VLOOKUP(VLOOKUP(CW$1,main!$A$3:$I$102,7,FALSE),main!$K$26:$Q$29,3,FALSE),1,0)</f>
        <v>0</v>
      </c>
      <c r="CX55">
        <f>IF(VLOOKUP(CX$1,main!$A$3:$H$102,5,FALSE)-VLOOKUP($A55,main!$A$3:$H$102,6,FALSE)&gt;=main!$D$103+VLOOKUP(VLOOKUP(CX$1,main!$A$3:$I$102,7,FALSE),main!$K$26:$Q$29,3,FALSE),1,0)</f>
        <v>0</v>
      </c>
    </row>
    <row r="56" spans="1:102" x14ac:dyDescent="0.25">
      <c r="A56" s="1">
        <v>54</v>
      </c>
      <c r="B56">
        <v>0</v>
      </c>
      <c r="C56">
        <f>IF(VLOOKUP(C$1,main!$A$3:$H$102,5,FALSE)-VLOOKUP($A56,main!$A$3:$H$102,6,FALSE)&gt;=main!$D$103+VLOOKUP(VLOOKUP(C$1,main!$A$3:$I$102,7,FALSE),main!$K$26:$Q$29,3,FALSE),1,0)</f>
        <v>0</v>
      </c>
      <c r="D56">
        <f>IF(VLOOKUP(D$1,main!$A$3:$H$102,5,FALSE)-VLOOKUP($A56,main!$A$3:$H$102,6,FALSE)&gt;=main!$D$103+VLOOKUP(VLOOKUP(D$1,main!$A$3:$I$102,7,FALSE),main!$K$26:$Q$29,3,FALSE),1,0)</f>
        <v>0</v>
      </c>
      <c r="E56">
        <f>IF(VLOOKUP(E$1,main!$A$3:$H$102,5,FALSE)-VLOOKUP($A56,main!$A$3:$H$102,6,FALSE)&gt;=main!$D$103+VLOOKUP(VLOOKUP(E$1,main!$A$3:$I$102,7,FALSE),main!$K$26:$Q$29,3,FALSE),1,0)</f>
        <v>0</v>
      </c>
      <c r="F56">
        <f>IF(VLOOKUP(F$1,main!$A$3:$H$102,5,FALSE)-VLOOKUP($A56,main!$A$3:$H$102,6,FALSE)&gt;=main!$D$103+VLOOKUP(VLOOKUP(F$1,main!$A$3:$I$102,7,FALSE),main!$K$26:$Q$29,3,FALSE),1,0)</f>
        <v>0</v>
      </c>
      <c r="G56">
        <f>IF(VLOOKUP(G$1,main!$A$3:$H$102,5,FALSE)-VLOOKUP($A56,main!$A$3:$H$102,6,FALSE)&gt;=main!$D$103+VLOOKUP(VLOOKUP(G$1,main!$A$3:$I$102,7,FALSE),main!$K$26:$Q$29,3,FALSE),1,0)</f>
        <v>0</v>
      </c>
      <c r="H56">
        <f>IF(VLOOKUP(H$1,main!$A$3:$H$102,5,FALSE)-VLOOKUP($A56,main!$A$3:$H$102,6,FALSE)&gt;=main!$D$103+VLOOKUP(VLOOKUP(H$1,main!$A$3:$I$102,7,FALSE),main!$K$26:$Q$29,3,FALSE),1,0)</f>
        <v>0</v>
      </c>
      <c r="I56">
        <f>IF(VLOOKUP(I$1,main!$A$3:$H$102,5,FALSE)-VLOOKUP($A56,main!$A$3:$H$102,6,FALSE)&gt;=main!$D$103+VLOOKUP(VLOOKUP(I$1,main!$A$3:$I$102,7,FALSE),main!$K$26:$Q$29,3,FALSE),1,0)</f>
        <v>0</v>
      </c>
      <c r="J56">
        <f>IF(VLOOKUP(J$1,main!$A$3:$H$102,5,FALSE)-VLOOKUP($A56,main!$A$3:$H$102,6,FALSE)&gt;=main!$D$103+VLOOKUP(VLOOKUP(J$1,main!$A$3:$I$102,7,FALSE),main!$K$26:$Q$29,3,FALSE),1,0)</f>
        <v>0</v>
      </c>
      <c r="K56">
        <f>IF(VLOOKUP(K$1,main!$A$3:$H$102,5,FALSE)-VLOOKUP($A56,main!$A$3:$H$102,6,FALSE)&gt;=main!$D$103+VLOOKUP(VLOOKUP(K$1,main!$A$3:$I$102,7,FALSE),main!$K$26:$Q$29,3,FALSE),1,0)</f>
        <v>0</v>
      </c>
      <c r="L56">
        <f>IF(VLOOKUP(L$1,main!$A$3:$H$102,5,FALSE)-VLOOKUP($A56,main!$A$3:$H$102,6,FALSE)&gt;=main!$D$103+VLOOKUP(VLOOKUP(L$1,main!$A$3:$I$102,7,FALSE),main!$K$26:$Q$29,3,FALSE),1,0)</f>
        <v>1</v>
      </c>
      <c r="M56">
        <f>IF(VLOOKUP(M$1,main!$A$3:$H$102,5,FALSE)-VLOOKUP($A56,main!$A$3:$H$102,6,FALSE)&gt;=main!$D$103+VLOOKUP(VLOOKUP(M$1,main!$A$3:$I$102,7,FALSE),main!$K$26:$Q$29,3,FALSE),1,0)</f>
        <v>0</v>
      </c>
      <c r="N56">
        <f>IF(VLOOKUP(N$1,main!$A$3:$H$102,5,FALSE)-VLOOKUP($A56,main!$A$3:$H$102,6,FALSE)&gt;=main!$D$103+VLOOKUP(VLOOKUP(N$1,main!$A$3:$I$102,7,FALSE),main!$K$26:$Q$29,3,FALSE),1,0)</f>
        <v>0</v>
      </c>
      <c r="O56">
        <f>IF(VLOOKUP(O$1,main!$A$3:$H$102,5,FALSE)-VLOOKUP($A56,main!$A$3:$H$102,6,FALSE)&gt;=main!$D$103+VLOOKUP(VLOOKUP(O$1,main!$A$3:$I$102,7,FALSE),main!$K$26:$Q$29,3,FALSE),1,0)</f>
        <v>0</v>
      </c>
      <c r="P56">
        <f>IF(VLOOKUP(P$1,main!$A$3:$H$102,5,FALSE)-VLOOKUP($A56,main!$A$3:$H$102,6,FALSE)&gt;=main!$D$103+VLOOKUP(VLOOKUP(P$1,main!$A$3:$I$102,7,FALSE),main!$K$26:$Q$29,3,FALSE),1,0)</f>
        <v>0</v>
      </c>
      <c r="Q56">
        <f>IF(VLOOKUP(Q$1,main!$A$3:$H$102,5,FALSE)-VLOOKUP($A56,main!$A$3:$H$102,6,FALSE)&gt;=main!$D$103+VLOOKUP(VLOOKUP(Q$1,main!$A$3:$I$102,7,FALSE),main!$K$26:$Q$29,3,FALSE),1,0)</f>
        <v>0</v>
      </c>
      <c r="R56">
        <f>IF(VLOOKUP(R$1,main!$A$3:$H$102,5,FALSE)-VLOOKUP($A56,main!$A$3:$H$102,6,FALSE)&gt;=main!$D$103+VLOOKUP(VLOOKUP(R$1,main!$A$3:$I$102,7,FALSE),main!$K$26:$Q$29,3,FALSE),1,0)</f>
        <v>0</v>
      </c>
      <c r="S56">
        <f>IF(VLOOKUP(S$1,main!$A$3:$H$102,5,FALSE)-VLOOKUP($A56,main!$A$3:$H$102,6,FALSE)&gt;=main!$D$103+VLOOKUP(VLOOKUP(S$1,main!$A$3:$I$102,7,FALSE),main!$K$26:$Q$29,3,FALSE),1,0)</f>
        <v>0</v>
      </c>
      <c r="T56">
        <f>IF(VLOOKUP(T$1,main!$A$3:$H$102,5,FALSE)-VLOOKUP($A56,main!$A$3:$H$102,6,FALSE)&gt;=main!$D$103+VLOOKUP(VLOOKUP(T$1,main!$A$3:$I$102,7,FALSE),main!$K$26:$Q$29,3,FALSE),1,0)</f>
        <v>0</v>
      </c>
      <c r="U56">
        <f>IF(VLOOKUP(U$1,main!$A$3:$H$102,5,FALSE)-VLOOKUP($A56,main!$A$3:$H$102,6,FALSE)&gt;=main!$D$103+VLOOKUP(VLOOKUP(U$1,main!$A$3:$I$102,7,FALSE),main!$K$26:$Q$29,3,FALSE),1,0)</f>
        <v>1</v>
      </c>
      <c r="V56">
        <f>IF(VLOOKUP(V$1,main!$A$3:$H$102,5,FALSE)-VLOOKUP($A56,main!$A$3:$H$102,6,FALSE)&gt;=main!$D$103+VLOOKUP(VLOOKUP(V$1,main!$A$3:$I$102,7,FALSE),main!$K$26:$Q$29,3,FALSE),1,0)</f>
        <v>1</v>
      </c>
      <c r="W56">
        <f>IF(VLOOKUP(W$1,main!$A$3:$H$102,5,FALSE)-VLOOKUP($A56,main!$A$3:$H$102,6,FALSE)&gt;=main!$D$103+VLOOKUP(VLOOKUP(W$1,main!$A$3:$I$102,7,FALSE),main!$K$26:$Q$29,3,FALSE),1,0)</f>
        <v>0</v>
      </c>
      <c r="X56">
        <f>IF(VLOOKUP(X$1,main!$A$3:$H$102,5,FALSE)-VLOOKUP($A56,main!$A$3:$H$102,6,FALSE)&gt;=main!$D$103+VLOOKUP(VLOOKUP(X$1,main!$A$3:$I$102,7,FALSE),main!$K$26:$Q$29,3,FALSE),1,0)</f>
        <v>0</v>
      </c>
      <c r="Y56">
        <f>IF(VLOOKUP(Y$1,main!$A$3:$H$102,5,FALSE)-VLOOKUP($A56,main!$A$3:$H$102,6,FALSE)&gt;=main!$D$103+VLOOKUP(VLOOKUP(Y$1,main!$A$3:$I$102,7,FALSE),main!$K$26:$Q$29,3,FALSE),1,0)</f>
        <v>0</v>
      </c>
      <c r="Z56">
        <f>IF(VLOOKUP(Z$1,main!$A$3:$H$102,5,FALSE)-VLOOKUP($A56,main!$A$3:$H$102,6,FALSE)&gt;=main!$D$103+VLOOKUP(VLOOKUP(Z$1,main!$A$3:$I$102,7,FALSE),main!$K$26:$Q$29,3,FALSE),1,0)</f>
        <v>0</v>
      </c>
      <c r="AA56">
        <f>IF(VLOOKUP(AA$1,main!$A$3:$H$102,5,FALSE)-VLOOKUP($A56,main!$A$3:$H$102,6,FALSE)&gt;=main!$D$103+VLOOKUP(VLOOKUP(AA$1,main!$A$3:$I$102,7,FALSE),main!$K$26:$Q$29,3,FALSE),1,0)</f>
        <v>0</v>
      </c>
      <c r="AB56">
        <f>IF(VLOOKUP(AB$1,main!$A$3:$H$102,5,FALSE)-VLOOKUP($A56,main!$A$3:$H$102,6,FALSE)&gt;=main!$D$103+VLOOKUP(VLOOKUP(AB$1,main!$A$3:$I$102,7,FALSE),main!$K$26:$Q$29,3,FALSE),1,0)</f>
        <v>0</v>
      </c>
      <c r="AC56">
        <f>IF(VLOOKUP(AC$1,main!$A$3:$H$102,5,FALSE)-VLOOKUP($A56,main!$A$3:$H$102,6,FALSE)&gt;=main!$D$103+VLOOKUP(VLOOKUP(AC$1,main!$A$3:$I$102,7,FALSE),main!$K$26:$Q$29,3,FALSE),1,0)</f>
        <v>0</v>
      </c>
      <c r="AD56">
        <f>IF(VLOOKUP(AD$1,main!$A$3:$H$102,5,FALSE)-VLOOKUP($A56,main!$A$3:$H$102,6,FALSE)&gt;=main!$D$103+VLOOKUP(VLOOKUP(AD$1,main!$A$3:$I$102,7,FALSE),main!$K$26:$Q$29,3,FALSE),1,0)</f>
        <v>0</v>
      </c>
      <c r="AE56">
        <f>IF(VLOOKUP(AE$1,main!$A$3:$H$102,5,FALSE)-VLOOKUP($A56,main!$A$3:$H$102,6,FALSE)&gt;=main!$D$103+VLOOKUP(VLOOKUP(AE$1,main!$A$3:$I$102,7,FALSE),main!$K$26:$Q$29,3,FALSE),1,0)</f>
        <v>0</v>
      </c>
      <c r="AF56">
        <f>IF(VLOOKUP(AF$1,main!$A$3:$H$102,5,FALSE)-VLOOKUP($A56,main!$A$3:$H$102,6,FALSE)&gt;=main!$D$103+VLOOKUP(VLOOKUP(AF$1,main!$A$3:$I$102,7,FALSE),main!$K$26:$Q$29,3,FALSE),1,0)</f>
        <v>0</v>
      </c>
      <c r="AG56">
        <f>IF(VLOOKUP(AG$1,main!$A$3:$H$102,5,FALSE)-VLOOKUP($A56,main!$A$3:$H$102,6,FALSE)&gt;=main!$D$103+VLOOKUP(VLOOKUP(AG$1,main!$A$3:$I$102,7,FALSE),main!$K$26:$Q$29,3,FALSE),1,0)</f>
        <v>0</v>
      </c>
      <c r="AH56">
        <f>IF(VLOOKUP(AH$1,main!$A$3:$H$102,5,FALSE)-VLOOKUP($A56,main!$A$3:$H$102,6,FALSE)&gt;=main!$D$103+VLOOKUP(VLOOKUP(AH$1,main!$A$3:$I$102,7,FALSE),main!$K$26:$Q$29,3,FALSE),1,0)</f>
        <v>0</v>
      </c>
      <c r="AI56">
        <f>IF(VLOOKUP(AI$1,main!$A$3:$H$102,5,FALSE)-VLOOKUP($A56,main!$A$3:$H$102,6,FALSE)&gt;=main!$D$103+VLOOKUP(VLOOKUP(AI$1,main!$A$3:$I$102,7,FALSE),main!$K$26:$Q$29,3,FALSE),1,0)</f>
        <v>0</v>
      </c>
      <c r="AJ56">
        <f>IF(VLOOKUP(AJ$1,main!$A$3:$H$102,5,FALSE)-VLOOKUP($A56,main!$A$3:$H$102,6,FALSE)&gt;=main!$D$103+VLOOKUP(VLOOKUP(AJ$1,main!$A$3:$I$102,7,FALSE),main!$K$26:$Q$29,3,FALSE),1,0)</f>
        <v>0</v>
      </c>
      <c r="AK56">
        <f>IF(VLOOKUP(AK$1,main!$A$3:$H$102,5,FALSE)-VLOOKUP($A56,main!$A$3:$H$102,6,FALSE)&gt;=main!$D$103+VLOOKUP(VLOOKUP(AK$1,main!$A$3:$I$102,7,FALSE),main!$K$26:$Q$29,3,FALSE),1,0)</f>
        <v>0</v>
      </c>
      <c r="AL56">
        <f>IF(VLOOKUP(AL$1,main!$A$3:$H$102,5,FALSE)-VLOOKUP($A56,main!$A$3:$H$102,6,FALSE)&gt;=main!$D$103+VLOOKUP(VLOOKUP(AL$1,main!$A$3:$I$102,7,FALSE),main!$K$26:$Q$29,3,FALSE),1,0)</f>
        <v>0</v>
      </c>
      <c r="AM56">
        <f>IF(VLOOKUP(AM$1,main!$A$3:$H$102,5,FALSE)-VLOOKUP($A56,main!$A$3:$H$102,6,FALSE)&gt;=main!$D$103+VLOOKUP(VLOOKUP(AM$1,main!$A$3:$I$102,7,FALSE),main!$K$26:$Q$29,3,FALSE),1,0)</f>
        <v>0</v>
      </c>
      <c r="AN56">
        <f>IF(VLOOKUP(AN$1,main!$A$3:$H$102,5,FALSE)-VLOOKUP($A56,main!$A$3:$H$102,6,FALSE)&gt;=main!$D$103+VLOOKUP(VLOOKUP(AN$1,main!$A$3:$I$102,7,FALSE),main!$K$26:$Q$29,3,FALSE),1,0)</f>
        <v>1</v>
      </c>
      <c r="AO56">
        <f>IF(VLOOKUP(AO$1,main!$A$3:$H$102,5,FALSE)-VLOOKUP($A56,main!$A$3:$H$102,6,FALSE)&gt;=main!$D$103+VLOOKUP(VLOOKUP(AO$1,main!$A$3:$I$102,7,FALSE),main!$K$26:$Q$29,3,FALSE),1,0)</f>
        <v>0</v>
      </c>
      <c r="AP56">
        <f>IF(VLOOKUP(AP$1,main!$A$3:$H$102,5,FALSE)-VLOOKUP($A56,main!$A$3:$H$102,6,FALSE)&gt;=main!$D$103+VLOOKUP(VLOOKUP(AP$1,main!$A$3:$I$102,7,FALSE),main!$K$26:$Q$29,3,FALSE),1,0)</f>
        <v>1</v>
      </c>
      <c r="AQ56">
        <f>IF(VLOOKUP(AQ$1,main!$A$3:$H$102,5,FALSE)-VLOOKUP($A56,main!$A$3:$H$102,6,FALSE)&gt;=main!$D$103+VLOOKUP(VLOOKUP(AQ$1,main!$A$3:$I$102,7,FALSE),main!$K$26:$Q$29,3,FALSE),1,0)</f>
        <v>0</v>
      </c>
      <c r="AR56">
        <f>IF(VLOOKUP(AR$1,main!$A$3:$H$102,5,FALSE)-VLOOKUP($A56,main!$A$3:$H$102,6,FALSE)&gt;=main!$D$103+VLOOKUP(VLOOKUP(AR$1,main!$A$3:$I$102,7,FALSE),main!$K$26:$Q$29,3,FALSE),1,0)</f>
        <v>0</v>
      </c>
      <c r="AS56">
        <f>IF(VLOOKUP(AS$1,main!$A$3:$H$102,5,FALSE)-VLOOKUP($A56,main!$A$3:$H$102,6,FALSE)&gt;=main!$D$103+VLOOKUP(VLOOKUP(AS$1,main!$A$3:$I$102,7,FALSE),main!$K$26:$Q$29,3,FALSE),1,0)</f>
        <v>0</v>
      </c>
      <c r="AT56">
        <f>IF(VLOOKUP(AT$1,main!$A$3:$H$102,5,FALSE)-VLOOKUP($A56,main!$A$3:$H$102,6,FALSE)&gt;=main!$D$103+VLOOKUP(VLOOKUP(AT$1,main!$A$3:$I$102,7,FALSE),main!$K$26:$Q$29,3,FALSE),1,0)</f>
        <v>0</v>
      </c>
      <c r="AU56">
        <f>IF(VLOOKUP(AU$1,main!$A$3:$H$102,5,FALSE)-VLOOKUP($A56,main!$A$3:$H$102,6,FALSE)&gt;=main!$D$103+VLOOKUP(VLOOKUP(AU$1,main!$A$3:$I$102,7,FALSE),main!$K$26:$Q$29,3,FALSE),1,0)</f>
        <v>0</v>
      </c>
      <c r="AV56">
        <f>IF(VLOOKUP(AV$1,main!$A$3:$H$102,5,FALSE)-VLOOKUP($A56,main!$A$3:$H$102,6,FALSE)&gt;=main!$D$103+VLOOKUP(VLOOKUP(AV$1,main!$A$3:$I$102,7,FALSE),main!$K$26:$Q$29,3,FALSE),1,0)</f>
        <v>0</v>
      </c>
      <c r="AW56">
        <f>IF(VLOOKUP(AW$1,main!$A$3:$H$102,5,FALSE)-VLOOKUP($A56,main!$A$3:$H$102,6,FALSE)&gt;=main!$D$103+VLOOKUP(VLOOKUP(AW$1,main!$A$3:$I$102,7,FALSE),main!$K$26:$Q$29,3,FALSE),1,0)</f>
        <v>0</v>
      </c>
      <c r="AX56">
        <f>IF(VLOOKUP(AX$1,main!$A$3:$H$102,5,FALSE)-VLOOKUP($A56,main!$A$3:$H$102,6,FALSE)&gt;=main!$D$103+VLOOKUP(VLOOKUP(AX$1,main!$A$3:$I$102,7,FALSE),main!$K$26:$Q$29,3,FALSE),1,0)</f>
        <v>0</v>
      </c>
      <c r="AY56">
        <f>IF(VLOOKUP(AY$1,main!$A$3:$H$102,5,FALSE)-VLOOKUP($A56,main!$A$3:$H$102,6,FALSE)&gt;=main!$D$103+VLOOKUP(VLOOKUP(AY$1,main!$A$3:$I$102,7,FALSE),main!$K$26:$Q$29,3,FALSE),1,0)</f>
        <v>0</v>
      </c>
      <c r="AZ56">
        <f>IF(VLOOKUP(AZ$1,main!$A$3:$H$102,5,FALSE)-VLOOKUP($A56,main!$A$3:$H$102,6,FALSE)&gt;=main!$D$103+VLOOKUP(VLOOKUP(AZ$1,main!$A$3:$I$102,7,FALSE),main!$K$26:$Q$29,3,FALSE),1,0)</f>
        <v>0</v>
      </c>
      <c r="BA56">
        <f>IF(VLOOKUP(BA$1,main!$A$3:$H$102,5,FALSE)-VLOOKUP($A56,main!$A$3:$H$102,6,FALSE)&gt;=main!$D$103+VLOOKUP(VLOOKUP(BA$1,main!$A$3:$I$102,7,FALSE),main!$K$26:$Q$29,3,FALSE),1,0)</f>
        <v>0</v>
      </c>
      <c r="BB56">
        <f>IF(VLOOKUP(BB$1,main!$A$3:$H$102,5,FALSE)-VLOOKUP($A56,main!$A$3:$H$102,6,FALSE)&gt;=main!$D$103+VLOOKUP(VLOOKUP(BB$1,main!$A$3:$I$102,7,FALSE),main!$K$26:$Q$29,3,FALSE),1,0)</f>
        <v>0</v>
      </c>
      <c r="BC56">
        <f>IF(VLOOKUP(BC$1,main!$A$3:$H$102,5,FALSE)-VLOOKUP($A56,main!$A$3:$H$102,6,FALSE)&gt;=main!$D$103+VLOOKUP(VLOOKUP(BC$1,main!$A$3:$I$102,7,FALSE),main!$K$26:$Q$29,3,FALSE),1,0)</f>
        <v>0</v>
      </c>
      <c r="BD56">
        <f>IF(VLOOKUP(BD$1,main!$A$3:$H$102,5,FALSE)-VLOOKUP($A56,main!$A$3:$H$102,6,FALSE)&gt;=main!$D$103+VLOOKUP(VLOOKUP(BD$1,main!$A$3:$I$102,7,FALSE),main!$K$26:$Q$29,3,FALSE),1,0)</f>
        <v>0</v>
      </c>
      <c r="BE56">
        <f>IF(VLOOKUP(BE$1,main!$A$3:$H$102,5,FALSE)-VLOOKUP($A56,main!$A$3:$H$102,6,FALSE)&gt;=main!$D$103+VLOOKUP(VLOOKUP(BE$1,main!$A$3:$I$102,7,FALSE),main!$K$26:$Q$29,3,FALSE),1,0)</f>
        <v>0</v>
      </c>
      <c r="BF56">
        <f>IF(VLOOKUP(BF$1,main!$A$3:$H$102,5,FALSE)-VLOOKUP($A56,main!$A$3:$H$102,6,FALSE)&gt;=main!$D$103+VLOOKUP(VLOOKUP(BF$1,main!$A$3:$I$102,7,FALSE),main!$K$26:$Q$29,3,FALSE),1,0)</f>
        <v>0</v>
      </c>
      <c r="BG56">
        <f>IF(VLOOKUP(BG$1,main!$A$3:$H$102,5,FALSE)-VLOOKUP($A56,main!$A$3:$H$102,6,FALSE)&gt;=main!$D$103+VLOOKUP(VLOOKUP(BG$1,main!$A$3:$I$102,7,FALSE),main!$K$26:$Q$29,3,FALSE),1,0)</f>
        <v>0</v>
      </c>
      <c r="BH56">
        <f>IF(VLOOKUP(BH$1,main!$A$3:$H$102,5,FALSE)-VLOOKUP($A56,main!$A$3:$H$102,6,FALSE)&gt;=main!$D$103+VLOOKUP(VLOOKUP(BH$1,main!$A$3:$I$102,7,FALSE),main!$K$26:$Q$29,3,FALSE),1,0)</f>
        <v>0</v>
      </c>
      <c r="BI56">
        <f>IF(VLOOKUP(BI$1,main!$A$3:$H$102,5,FALSE)-VLOOKUP($A56,main!$A$3:$H$102,6,FALSE)&gt;=main!$D$103+VLOOKUP(VLOOKUP(BI$1,main!$A$3:$I$102,7,FALSE),main!$K$26:$Q$29,3,FALSE),1,0)</f>
        <v>1</v>
      </c>
      <c r="BJ56">
        <f>IF(VLOOKUP(BJ$1,main!$A$3:$H$102,5,FALSE)-VLOOKUP($A56,main!$A$3:$H$102,6,FALSE)&gt;=main!$D$103+VLOOKUP(VLOOKUP(BJ$1,main!$A$3:$I$102,7,FALSE),main!$K$26:$Q$29,3,FALSE),1,0)</f>
        <v>0</v>
      </c>
      <c r="BK56">
        <f>IF(VLOOKUP(BK$1,main!$A$3:$H$102,5,FALSE)-VLOOKUP($A56,main!$A$3:$H$102,6,FALSE)&gt;=main!$D$103+VLOOKUP(VLOOKUP(BK$1,main!$A$3:$I$102,7,FALSE),main!$K$26:$Q$29,3,FALSE),1,0)</f>
        <v>0</v>
      </c>
      <c r="BL56">
        <f>IF(VLOOKUP(BL$1,main!$A$3:$H$102,5,FALSE)-VLOOKUP($A56,main!$A$3:$H$102,6,FALSE)&gt;=main!$D$103+VLOOKUP(VLOOKUP(BL$1,main!$A$3:$I$102,7,FALSE),main!$K$26:$Q$29,3,FALSE),1,0)</f>
        <v>0</v>
      </c>
      <c r="BM56">
        <f>IF(VLOOKUP(BM$1,main!$A$3:$H$102,5,FALSE)-VLOOKUP($A56,main!$A$3:$H$102,6,FALSE)&gt;=main!$D$103+VLOOKUP(VLOOKUP(BM$1,main!$A$3:$I$102,7,FALSE),main!$K$26:$Q$29,3,FALSE),1,0)</f>
        <v>0</v>
      </c>
      <c r="BN56">
        <f>IF(VLOOKUP(BN$1,main!$A$3:$H$102,5,FALSE)-VLOOKUP($A56,main!$A$3:$H$102,6,FALSE)&gt;=main!$D$103+VLOOKUP(VLOOKUP(BN$1,main!$A$3:$I$102,7,FALSE),main!$K$26:$Q$29,3,FALSE),1,0)</f>
        <v>0</v>
      </c>
      <c r="BO56">
        <f>IF(VLOOKUP(BO$1,main!$A$3:$H$102,5,FALSE)-VLOOKUP($A56,main!$A$3:$H$102,6,FALSE)&gt;=main!$D$103+VLOOKUP(VLOOKUP(BO$1,main!$A$3:$I$102,7,FALSE),main!$K$26:$Q$29,3,FALSE),1,0)</f>
        <v>0</v>
      </c>
      <c r="BP56">
        <f>IF(VLOOKUP(BP$1,main!$A$3:$H$102,5,FALSE)-VLOOKUP($A56,main!$A$3:$H$102,6,FALSE)&gt;=main!$D$103+VLOOKUP(VLOOKUP(BP$1,main!$A$3:$I$102,7,FALSE),main!$K$26:$Q$29,3,FALSE),1,0)</f>
        <v>0</v>
      </c>
      <c r="BQ56">
        <f>IF(VLOOKUP(BQ$1,main!$A$3:$H$102,5,FALSE)-VLOOKUP($A56,main!$A$3:$H$102,6,FALSE)&gt;=main!$D$103+VLOOKUP(VLOOKUP(BQ$1,main!$A$3:$I$102,7,FALSE),main!$K$26:$Q$29,3,FALSE),1,0)</f>
        <v>0</v>
      </c>
      <c r="BR56">
        <f>IF(VLOOKUP(BR$1,main!$A$3:$H$102,5,FALSE)-VLOOKUP($A56,main!$A$3:$H$102,6,FALSE)&gt;=main!$D$103+VLOOKUP(VLOOKUP(BR$1,main!$A$3:$I$102,7,FALSE),main!$K$26:$Q$29,3,FALSE),1,0)</f>
        <v>0</v>
      </c>
      <c r="BS56">
        <f>IF(VLOOKUP(BS$1,main!$A$3:$H$102,5,FALSE)-VLOOKUP($A56,main!$A$3:$H$102,6,FALSE)&gt;=main!$D$103+VLOOKUP(VLOOKUP(BS$1,main!$A$3:$I$102,7,FALSE),main!$K$26:$Q$29,3,FALSE),1,0)</f>
        <v>0</v>
      </c>
      <c r="BT56">
        <f>IF(VLOOKUP(BT$1,main!$A$3:$H$102,5,FALSE)-VLOOKUP($A56,main!$A$3:$H$102,6,FALSE)&gt;=main!$D$103+VLOOKUP(VLOOKUP(BT$1,main!$A$3:$I$102,7,FALSE),main!$K$26:$Q$29,3,FALSE),1,0)</f>
        <v>0</v>
      </c>
      <c r="BU56">
        <f>IF(VLOOKUP(BU$1,main!$A$3:$H$102,5,FALSE)-VLOOKUP($A56,main!$A$3:$H$102,6,FALSE)&gt;=main!$D$103+VLOOKUP(VLOOKUP(BU$1,main!$A$3:$I$102,7,FALSE),main!$K$26:$Q$29,3,FALSE),1,0)</f>
        <v>0</v>
      </c>
      <c r="BV56">
        <f>IF(VLOOKUP(BV$1,main!$A$3:$H$102,5,FALSE)-VLOOKUP($A56,main!$A$3:$H$102,6,FALSE)&gt;=main!$D$103+VLOOKUP(VLOOKUP(BV$1,main!$A$3:$I$102,7,FALSE),main!$K$26:$Q$29,3,FALSE),1,0)</f>
        <v>0</v>
      </c>
      <c r="BW56">
        <f>IF(VLOOKUP(BW$1,main!$A$3:$H$102,5,FALSE)-VLOOKUP($A56,main!$A$3:$H$102,6,FALSE)&gt;=main!$D$103+VLOOKUP(VLOOKUP(BW$1,main!$A$3:$I$102,7,FALSE),main!$K$26:$Q$29,3,FALSE),1,0)</f>
        <v>0</v>
      </c>
      <c r="BX56">
        <f>IF(VLOOKUP(BX$1,main!$A$3:$H$102,5,FALSE)-VLOOKUP($A56,main!$A$3:$H$102,6,FALSE)&gt;=main!$D$103+VLOOKUP(VLOOKUP(BX$1,main!$A$3:$I$102,7,FALSE),main!$K$26:$Q$29,3,FALSE),1,0)</f>
        <v>0</v>
      </c>
      <c r="BY56">
        <f>IF(VLOOKUP(BY$1,main!$A$3:$H$102,5,FALSE)-VLOOKUP($A56,main!$A$3:$H$102,6,FALSE)&gt;=main!$D$103+VLOOKUP(VLOOKUP(BY$1,main!$A$3:$I$102,7,FALSE),main!$K$26:$Q$29,3,FALSE),1,0)</f>
        <v>0</v>
      </c>
      <c r="BZ56">
        <f>IF(VLOOKUP(BZ$1,main!$A$3:$H$102,5,FALSE)-VLOOKUP($A56,main!$A$3:$H$102,6,FALSE)&gt;=main!$D$103+VLOOKUP(VLOOKUP(BZ$1,main!$A$3:$I$102,7,FALSE),main!$K$26:$Q$29,3,FALSE),1,0)</f>
        <v>0</v>
      </c>
      <c r="CA56">
        <f>IF(VLOOKUP(CA$1,main!$A$3:$H$102,5,FALSE)-VLOOKUP($A56,main!$A$3:$H$102,6,FALSE)&gt;=main!$D$103+VLOOKUP(VLOOKUP(CA$1,main!$A$3:$I$102,7,FALSE),main!$K$26:$Q$29,3,FALSE),1,0)</f>
        <v>0</v>
      </c>
      <c r="CB56">
        <f>IF(VLOOKUP(CB$1,main!$A$3:$H$102,5,FALSE)-VLOOKUP($A56,main!$A$3:$H$102,6,FALSE)&gt;=main!$D$103+VLOOKUP(VLOOKUP(CB$1,main!$A$3:$I$102,7,FALSE),main!$K$26:$Q$29,3,FALSE),1,0)</f>
        <v>0</v>
      </c>
      <c r="CC56">
        <f>IF(VLOOKUP(CC$1,main!$A$3:$H$102,5,FALSE)-VLOOKUP($A56,main!$A$3:$H$102,6,FALSE)&gt;=main!$D$103+VLOOKUP(VLOOKUP(CC$1,main!$A$3:$I$102,7,FALSE),main!$K$26:$Q$29,3,FALSE),1,0)</f>
        <v>0</v>
      </c>
      <c r="CD56">
        <f>IF(VLOOKUP(CD$1,main!$A$3:$H$102,5,FALSE)-VLOOKUP($A56,main!$A$3:$H$102,6,FALSE)&gt;=main!$D$103+VLOOKUP(VLOOKUP(CD$1,main!$A$3:$I$102,7,FALSE),main!$K$26:$Q$29,3,FALSE),1,0)</f>
        <v>0</v>
      </c>
      <c r="CE56">
        <f>IF(VLOOKUP(CE$1,main!$A$3:$H$102,5,FALSE)-VLOOKUP($A56,main!$A$3:$H$102,6,FALSE)&gt;=main!$D$103+VLOOKUP(VLOOKUP(CE$1,main!$A$3:$I$102,7,FALSE),main!$K$26:$Q$29,3,FALSE),1,0)</f>
        <v>0</v>
      </c>
      <c r="CF56">
        <f>IF(VLOOKUP(CF$1,main!$A$3:$H$102,5,FALSE)-VLOOKUP($A56,main!$A$3:$H$102,6,FALSE)&gt;=main!$D$103+VLOOKUP(VLOOKUP(CF$1,main!$A$3:$I$102,7,FALSE),main!$K$26:$Q$29,3,FALSE),1,0)</f>
        <v>0</v>
      </c>
      <c r="CG56">
        <f>IF(VLOOKUP(CG$1,main!$A$3:$H$102,5,FALSE)-VLOOKUP($A56,main!$A$3:$H$102,6,FALSE)&gt;=main!$D$103+VLOOKUP(VLOOKUP(CG$1,main!$A$3:$I$102,7,FALSE),main!$K$26:$Q$29,3,FALSE),1,0)</f>
        <v>0</v>
      </c>
      <c r="CH56">
        <f>IF(VLOOKUP(CH$1,main!$A$3:$H$102,5,FALSE)-VLOOKUP($A56,main!$A$3:$H$102,6,FALSE)&gt;=main!$D$103+VLOOKUP(VLOOKUP(CH$1,main!$A$3:$I$102,7,FALSE),main!$K$26:$Q$29,3,FALSE),1,0)</f>
        <v>0</v>
      </c>
      <c r="CI56">
        <f>IF(VLOOKUP(CI$1,main!$A$3:$H$102,5,FALSE)-VLOOKUP($A56,main!$A$3:$H$102,6,FALSE)&gt;=main!$D$103+VLOOKUP(VLOOKUP(CI$1,main!$A$3:$I$102,7,FALSE),main!$K$26:$Q$29,3,FALSE),1,0)</f>
        <v>1</v>
      </c>
      <c r="CJ56">
        <f>IF(VLOOKUP(CJ$1,main!$A$3:$H$102,5,FALSE)-VLOOKUP($A56,main!$A$3:$H$102,6,FALSE)&gt;=main!$D$103+VLOOKUP(VLOOKUP(CJ$1,main!$A$3:$I$102,7,FALSE),main!$K$26:$Q$29,3,FALSE),1,0)</f>
        <v>0</v>
      </c>
      <c r="CK56">
        <f>IF(VLOOKUP(CK$1,main!$A$3:$H$102,5,FALSE)-VLOOKUP($A56,main!$A$3:$H$102,6,FALSE)&gt;=main!$D$103+VLOOKUP(VLOOKUP(CK$1,main!$A$3:$I$102,7,FALSE),main!$K$26:$Q$29,3,FALSE),1,0)</f>
        <v>0</v>
      </c>
      <c r="CL56">
        <f>IF(VLOOKUP(CL$1,main!$A$3:$H$102,5,FALSE)-VLOOKUP($A56,main!$A$3:$H$102,6,FALSE)&gt;=main!$D$103+VLOOKUP(VLOOKUP(CL$1,main!$A$3:$I$102,7,FALSE),main!$K$26:$Q$29,3,FALSE),1,0)</f>
        <v>0</v>
      </c>
      <c r="CM56">
        <f>IF(VLOOKUP(CM$1,main!$A$3:$H$102,5,FALSE)-VLOOKUP($A56,main!$A$3:$H$102,6,FALSE)&gt;=main!$D$103+VLOOKUP(VLOOKUP(CM$1,main!$A$3:$I$102,7,FALSE),main!$K$26:$Q$29,3,FALSE),1,0)</f>
        <v>0</v>
      </c>
      <c r="CN56">
        <f>IF(VLOOKUP(CN$1,main!$A$3:$H$102,5,FALSE)-VLOOKUP($A56,main!$A$3:$H$102,6,FALSE)&gt;=main!$D$103+VLOOKUP(VLOOKUP(CN$1,main!$A$3:$I$102,7,FALSE),main!$K$26:$Q$29,3,FALSE),1,0)</f>
        <v>1</v>
      </c>
      <c r="CO56">
        <f>IF(VLOOKUP(CO$1,main!$A$3:$H$102,5,FALSE)-VLOOKUP($A56,main!$A$3:$H$102,6,FALSE)&gt;=main!$D$103+VLOOKUP(VLOOKUP(CO$1,main!$A$3:$I$102,7,FALSE),main!$K$26:$Q$29,3,FALSE),1,0)</f>
        <v>0</v>
      </c>
      <c r="CP56">
        <f>IF(VLOOKUP(CP$1,main!$A$3:$H$102,5,FALSE)-VLOOKUP($A56,main!$A$3:$H$102,6,FALSE)&gt;=main!$D$103+VLOOKUP(VLOOKUP(CP$1,main!$A$3:$I$102,7,FALSE),main!$K$26:$Q$29,3,FALSE),1,0)</f>
        <v>0</v>
      </c>
      <c r="CQ56">
        <f>IF(VLOOKUP(CQ$1,main!$A$3:$H$102,5,FALSE)-VLOOKUP($A56,main!$A$3:$H$102,6,FALSE)&gt;=main!$D$103+VLOOKUP(VLOOKUP(CQ$1,main!$A$3:$I$102,7,FALSE),main!$K$26:$Q$29,3,FALSE),1,0)</f>
        <v>0</v>
      </c>
      <c r="CR56">
        <f>IF(VLOOKUP(CR$1,main!$A$3:$H$102,5,FALSE)-VLOOKUP($A56,main!$A$3:$H$102,6,FALSE)&gt;=main!$D$103+VLOOKUP(VLOOKUP(CR$1,main!$A$3:$I$102,7,FALSE),main!$K$26:$Q$29,3,FALSE),1,0)</f>
        <v>0</v>
      </c>
      <c r="CS56">
        <f>IF(VLOOKUP(CS$1,main!$A$3:$H$102,5,FALSE)-VLOOKUP($A56,main!$A$3:$H$102,6,FALSE)&gt;=main!$D$103+VLOOKUP(VLOOKUP(CS$1,main!$A$3:$I$102,7,FALSE),main!$K$26:$Q$29,3,FALSE),1,0)</f>
        <v>0</v>
      </c>
      <c r="CT56">
        <f>IF(VLOOKUP(CT$1,main!$A$3:$H$102,5,FALSE)-VLOOKUP($A56,main!$A$3:$H$102,6,FALSE)&gt;=main!$D$103+VLOOKUP(VLOOKUP(CT$1,main!$A$3:$I$102,7,FALSE),main!$K$26:$Q$29,3,FALSE),1,0)</f>
        <v>0</v>
      </c>
      <c r="CU56">
        <f>IF(VLOOKUP(CU$1,main!$A$3:$H$102,5,FALSE)-VLOOKUP($A56,main!$A$3:$H$102,6,FALSE)&gt;=main!$D$103+VLOOKUP(VLOOKUP(CU$1,main!$A$3:$I$102,7,FALSE),main!$K$26:$Q$29,3,FALSE),1,0)</f>
        <v>0</v>
      </c>
      <c r="CV56">
        <f>IF(VLOOKUP(CV$1,main!$A$3:$H$102,5,FALSE)-VLOOKUP($A56,main!$A$3:$H$102,6,FALSE)&gt;=main!$D$103+VLOOKUP(VLOOKUP(CV$1,main!$A$3:$I$102,7,FALSE),main!$K$26:$Q$29,3,FALSE),1,0)</f>
        <v>0</v>
      </c>
      <c r="CW56">
        <f>IF(VLOOKUP(CW$1,main!$A$3:$H$102,5,FALSE)-VLOOKUP($A56,main!$A$3:$H$102,6,FALSE)&gt;=main!$D$103+VLOOKUP(VLOOKUP(CW$1,main!$A$3:$I$102,7,FALSE),main!$K$26:$Q$29,3,FALSE),1,0)</f>
        <v>0</v>
      </c>
      <c r="CX56">
        <f>IF(VLOOKUP(CX$1,main!$A$3:$H$102,5,FALSE)-VLOOKUP($A56,main!$A$3:$H$102,6,FALSE)&gt;=main!$D$103+VLOOKUP(VLOOKUP(CX$1,main!$A$3:$I$102,7,FALSE),main!$K$26:$Q$29,3,FALSE),1,0)</f>
        <v>0</v>
      </c>
    </row>
    <row r="57" spans="1:102" x14ac:dyDescent="0.25">
      <c r="A57" s="1">
        <v>55</v>
      </c>
      <c r="B57">
        <v>0</v>
      </c>
      <c r="C57">
        <f>IF(VLOOKUP(C$1,main!$A$3:$H$102,5,FALSE)-VLOOKUP($A57,main!$A$3:$H$102,6,FALSE)&gt;=main!$D$103+VLOOKUP(VLOOKUP(C$1,main!$A$3:$I$102,7,FALSE),main!$K$26:$Q$29,3,FALSE),1,0)</f>
        <v>0</v>
      </c>
      <c r="D57">
        <f>IF(VLOOKUP(D$1,main!$A$3:$H$102,5,FALSE)-VLOOKUP($A57,main!$A$3:$H$102,6,FALSE)&gt;=main!$D$103+VLOOKUP(VLOOKUP(D$1,main!$A$3:$I$102,7,FALSE),main!$K$26:$Q$29,3,FALSE),1,0)</f>
        <v>0</v>
      </c>
      <c r="E57">
        <f>IF(VLOOKUP(E$1,main!$A$3:$H$102,5,FALSE)-VLOOKUP($A57,main!$A$3:$H$102,6,FALSE)&gt;=main!$D$103+VLOOKUP(VLOOKUP(E$1,main!$A$3:$I$102,7,FALSE),main!$K$26:$Q$29,3,FALSE),1,0)</f>
        <v>0</v>
      </c>
      <c r="F57">
        <f>IF(VLOOKUP(F$1,main!$A$3:$H$102,5,FALSE)-VLOOKUP($A57,main!$A$3:$H$102,6,FALSE)&gt;=main!$D$103+VLOOKUP(VLOOKUP(F$1,main!$A$3:$I$102,7,FALSE),main!$K$26:$Q$29,3,FALSE),1,0)</f>
        <v>0</v>
      </c>
      <c r="G57">
        <f>IF(VLOOKUP(G$1,main!$A$3:$H$102,5,FALSE)-VLOOKUP($A57,main!$A$3:$H$102,6,FALSE)&gt;=main!$D$103+VLOOKUP(VLOOKUP(G$1,main!$A$3:$I$102,7,FALSE),main!$K$26:$Q$29,3,FALSE),1,0)</f>
        <v>0</v>
      </c>
      <c r="H57">
        <f>IF(VLOOKUP(H$1,main!$A$3:$H$102,5,FALSE)-VLOOKUP($A57,main!$A$3:$H$102,6,FALSE)&gt;=main!$D$103+VLOOKUP(VLOOKUP(H$1,main!$A$3:$I$102,7,FALSE),main!$K$26:$Q$29,3,FALSE),1,0)</f>
        <v>0</v>
      </c>
      <c r="I57">
        <f>IF(VLOOKUP(I$1,main!$A$3:$H$102,5,FALSE)-VLOOKUP($A57,main!$A$3:$H$102,6,FALSE)&gt;=main!$D$103+VLOOKUP(VLOOKUP(I$1,main!$A$3:$I$102,7,FALSE),main!$K$26:$Q$29,3,FALSE),1,0)</f>
        <v>0</v>
      </c>
      <c r="J57">
        <f>IF(VLOOKUP(J$1,main!$A$3:$H$102,5,FALSE)-VLOOKUP($A57,main!$A$3:$H$102,6,FALSE)&gt;=main!$D$103+VLOOKUP(VLOOKUP(J$1,main!$A$3:$I$102,7,FALSE),main!$K$26:$Q$29,3,FALSE),1,0)</f>
        <v>0</v>
      </c>
      <c r="K57">
        <f>IF(VLOOKUP(K$1,main!$A$3:$H$102,5,FALSE)-VLOOKUP($A57,main!$A$3:$H$102,6,FALSE)&gt;=main!$D$103+VLOOKUP(VLOOKUP(K$1,main!$A$3:$I$102,7,FALSE),main!$K$26:$Q$29,3,FALSE),1,0)</f>
        <v>0</v>
      </c>
      <c r="L57">
        <f>IF(VLOOKUP(L$1,main!$A$3:$H$102,5,FALSE)-VLOOKUP($A57,main!$A$3:$H$102,6,FALSE)&gt;=main!$D$103+VLOOKUP(VLOOKUP(L$1,main!$A$3:$I$102,7,FALSE),main!$K$26:$Q$29,3,FALSE),1,0)</f>
        <v>0</v>
      </c>
      <c r="M57">
        <f>IF(VLOOKUP(M$1,main!$A$3:$H$102,5,FALSE)-VLOOKUP($A57,main!$A$3:$H$102,6,FALSE)&gt;=main!$D$103+VLOOKUP(VLOOKUP(M$1,main!$A$3:$I$102,7,FALSE),main!$K$26:$Q$29,3,FALSE),1,0)</f>
        <v>0</v>
      </c>
      <c r="N57">
        <f>IF(VLOOKUP(N$1,main!$A$3:$H$102,5,FALSE)-VLOOKUP($A57,main!$A$3:$H$102,6,FALSE)&gt;=main!$D$103+VLOOKUP(VLOOKUP(N$1,main!$A$3:$I$102,7,FALSE),main!$K$26:$Q$29,3,FALSE),1,0)</f>
        <v>0</v>
      </c>
      <c r="O57">
        <f>IF(VLOOKUP(O$1,main!$A$3:$H$102,5,FALSE)-VLOOKUP($A57,main!$A$3:$H$102,6,FALSE)&gt;=main!$D$103+VLOOKUP(VLOOKUP(O$1,main!$A$3:$I$102,7,FALSE),main!$K$26:$Q$29,3,FALSE),1,0)</f>
        <v>0</v>
      </c>
      <c r="P57">
        <f>IF(VLOOKUP(P$1,main!$A$3:$H$102,5,FALSE)-VLOOKUP($A57,main!$A$3:$H$102,6,FALSE)&gt;=main!$D$103+VLOOKUP(VLOOKUP(P$1,main!$A$3:$I$102,7,FALSE),main!$K$26:$Q$29,3,FALSE),1,0)</f>
        <v>0</v>
      </c>
      <c r="Q57">
        <f>IF(VLOOKUP(Q$1,main!$A$3:$H$102,5,FALSE)-VLOOKUP($A57,main!$A$3:$H$102,6,FALSE)&gt;=main!$D$103+VLOOKUP(VLOOKUP(Q$1,main!$A$3:$I$102,7,FALSE),main!$K$26:$Q$29,3,FALSE),1,0)</f>
        <v>0</v>
      </c>
      <c r="R57">
        <f>IF(VLOOKUP(R$1,main!$A$3:$H$102,5,FALSE)-VLOOKUP($A57,main!$A$3:$H$102,6,FALSE)&gt;=main!$D$103+VLOOKUP(VLOOKUP(R$1,main!$A$3:$I$102,7,FALSE),main!$K$26:$Q$29,3,FALSE),1,0)</f>
        <v>0</v>
      </c>
      <c r="S57">
        <f>IF(VLOOKUP(S$1,main!$A$3:$H$102,5,FALSE)-VLOOKUP($A57,main!$A$3:$H$102,6,FALSE)&gt;=main!$D$103+VLOOKUP(VLOOKUP(S$1,main!$A$3:$I$102,7,FALSE),main!$K$26:$Q$29,3,FALSE),1,0)</f>
        <v>0</v>
      </c>
      <c r="T57">
        <f>IF(VLOOKUP(T$1,main!$A$3:$H$102,5,FALSE)-VLOOKUP($A57,main!$A$3:$H$102,6,FALSE)&gt;=main!$D$103+VLOOKUP(VLOOKUP(T$1,main!$A$3:$I$102,7,FALSE),main!$K$26:$Q$29,3,FALSE),1,0)</f>
        <v>0</v>
      </c>
      <c r="U57">
        <f>IF(VLOOKUP(U$1,main!$A$3:$H$102,5,FALSE)-VLOOKUP($A57,main!$A$3:$H$102,6,FALSE)&gt;=main!$D$103+VLOOKUP(VLOOKUP(U$1,main!$A$3:$I$102,7,FALSE),main!$K$26:$Q$29,3,FALSE),1,0)</f>
        <v>0</v>
      </c>
      <c r="V57">
        <f>IF(VLOOKUP(V$1,main!$A$3:$H$102,5,FALSE)-VLOOKUP($A57,main!$A$3:$H$102,6,FALSE)&gt;=main!$D$103+VLOOKUP(VLOOKUP(V$1,main!$A$3:$I$102,7,FALSE),main!$K$26:$Q$29,3,FALSE),1,0)</f>
        <v>0</v>
      </c>
      <c r="W57">
        <f>IF(VLOOKUP(W$1,main!$A$3:$H$102,5,FALSE)-VLOOKUP($A57,main!$A$3:$H$102,6,FALSE)&gt;=main!$D$103+VLOOKUP(VLOOKUP(W$1,main!$A$3:$I$102,7,FALSE),main!$K$26:$Q$29,3,FALSE),1,0)</f>
        <v>0</v>
      </c>
      <c r="X57">
        <f>IF(VLOOKUP(X$1,main!$A$3:$H$102,5,FALSE)-VLOOKUP($A57,main!$A$3:$H$102,6,FALSE)&gt;=main!$D$103+VLOOKUP(VLOOKUP(X$1,main!$A$3:$I$102,7,FALSE),main!$K$26:$Q$29,3,FALSE),1,0)</f>
        <v>0</v>
      </c>
      <c r="Y57">
        <f>IF(VLOOKUP(Y$1,main!$A$3:$H$102,5,FALSE)-VLOOKUP($A57,main!$A$3:$H$102,6,FALSE)&gt;=main!$D$103+VLOOKUP(VLOOKUP(Y$1,main!$A$3:$I$102,7,FALSE),main!$K$26:$Q$29,3,FALSE),1,0)</f>
        <v>0</v>
      </c>
      <c r="Z57">
        <f>IF(VLOOKUP(Z$1,main!$A$3:$H$102,5,FALSE)-VLOOKUP($A57,main!$A$3:$H$102,6,FALSE)&gt;=main!$D$103+VLOOKUP(VLOOKUP(Z$1,main!$A$3:$I$102,7,FALSE),main!$K$26:$Q$29,3,FALSE),1,0)</f>
        <v>0</v>
      </c>
      <c r="AA57">
        <f>IF(VLOOKUP(AA$1,main!$A$3:$H$102,5,FALSE)-VLOOKUP($A57,main!$A$3:$H$102,6,FALSE)&gt;=main!$D$103+VLOOKUP(VLOOKUP(AA$1,main!$A$3:$I$102,7,FALSE),main!$K$26:$Q$29,3,FALSE),1,0)</f>
        <v>0</v>
      </c>
      <c r="AB57">
        <f>IF(VLOOKUP(AB$1,main!$A$3:$H$102,5,FALSE)-VLOOKUP($A57,main!$A$3:$H$102,6,FALSE)&gt;=main!$D$103+VLOOKUP(VLOOKUP(AB$1,main!$A$3:$I$102,7,FALSE),main!$K$26:$Q$29,3,FALSE),1,0)</f>
        <v>0</v>
      </c>
      <c r="AC57">
        <f>IF(VLOOKUP(AC$1,main!$A$3:$H$102,5,FALSE)-VLOOKUP($A57,main!$A$3:$H$102,6,FALSE)&gt;=main!$D$103+VLOOKUP(VLOOKUP(AC$1,main!$A$3:$I$102,7,FALSE),main!$K$26:$Q$29,3,FALSE),1,0)</f>
        <v>0</v>
      </c>
      <c r="AD57">
        <f>IF(VLOOKUP(AD$1,main!$A$3:$H$102,5,FALSE)-VLOOKUP($A57,main!$A$3:$H$102,6,FALSE)&gt;=main!$D$103+VLOOKUP(VLOOKUP(AD$1,main!$A$3:$I$102,7,FALSE),main!$K$26:$Q$29,3,FALSE),1,0)</f>
        <v>0</v>
      </c>
      <c r="AE57">
        <f>IF(VLOOKUP(AE$1,main!$A$3:$H$102,5,FALSE)-VLOOKUP($A57,main!$A$3:$H$102,6,FALSE)&gt;=main!$D$103+VLOOKUP(VLOOKUP(AE$1,main!$A$3:$I$102,7,FALSE),main!$K$26:$Q$29,3,FALSE),1,0)</f>
        <v>0</v>
      </c>
      <c r="AF57">
        <f>IF(VLOOKUP(AF$1,main!$A$3:$H$102,5,FALSE)-VLOOKUP($A57,main!$A$3:$H$102,6,FALSE)&gt;=main!$D$103+VLOOKUP(VLOOKUP(AF$1,main!$A$3:$I$102,7,FALSE),main!$K$26:$Q$29,3,FALSE),1,0)</f>
        <v>0</v>
      </c>
      <c r="AG57">
        <f>IF(VLOOKUP(AG$1,main!$A$3:$H$102,5,FALSE)-VLOOKUP($A57,main!$A$3:$H$102,6,FALSE)&gt;=main!$D$103+VLOOKUP(VLOOKUP(AG$1,main!$A$3:$I$102,7,FALSE),main!$K$26:$Q$29,3,FALSE),1,0)</f>
        <v>0</v>
      </c>
      <c r="AH57">
        <f>IF(VLOOKUP(AH$1,main!$A$3:$H$102,5,FALSE)-VLOOKUP($A57,main!$A$3:$H$102,6,FALSE)&gt;=main!$D$103+VLOOKUP(VLOOKUP(AH$1,main!$A$3:$I$102,7,FALSE),main!$K$26:$Q$29,3,FALSE),1,0)</f>
        <v>0</v>
      </c>
      <c r="AI57">
        <f>IF(VLOOKUP(AI$1,main!$A$3:$H$102,5,FALSE)-VLOOKUP($A57,main!$A$3:$H$102,6,FALSE)&gt;=main!$D$103+VLOOKUP(VLOOKUP(AI$1,main!$A$3:$I$102,7,FALSE),main!$K$26:$Q$29,3,FALSE),1,0)</f>
        <v>0</v>
      </c>
      <c r="AJ57">
        <f>IF(VLOOKUP(AJ$1,main!$A$3:$H$102,5,FALSE)-VLOOKUP($A57,main!$A$3:$H$102,6,FALSE)&gt;=main!$D$103+VLOOKUP(VLOOKUP(AJ$1,main!$A$3:$I$102,7,FALSE),main!$K$26:$Q$29,3,FALSE),1,0)</f>
        <v>0</v>
      </c>
      <c r="AK57">
        <f>IF(VLOOKUP(AK$1,main!$A$3:$H$102,5,FALSE)-VLOOKUP($A57,main!$A$3:$H$102,6,FALSE)&gt;=main!$D$103+VLOOKUP(VLOOKUP(AK$1,main!$A$3:$I$102,7,FALSE),main!$K$26:$Q$29,3,FALSE),1,0)</f>
        <v>0</v>
      </c>
      <c r="AL57">
        <f>IF(VLOOKUP(AL$1,main!$A$3:$H$102,5,FALSE)-VLOOKUP($A57,main!$A$3:$H$102,6,FALSE)&gt;=main!$D$103+VLOOKUP(VLOOKUP(AL$1,main!$A$3:$I$102,7,FALSE),main!$K$26:$Q$29,3,FALSE),1,0)</f>
        <v>0</v>
      </c>
      <c r="AM57">
        <f>IF(VLOOKUP(AM$1,main!$A$3:$H$102,5,FALSE)-VLOOKUP($A57,main!$A$3:$H$102,6,FALSE)&gt;=main!$D$103+VLOOKUP(VLOOKUP(AM$1,main!$A$3:$I$102,7,FALSE),main!$K$26:$Q$29,3,FALSE),1,0)</f>
        <v>0</v>
      </c>
      <c r="AN57">
        <f>IF(VLOOKUP(AN$1,main!$A$3:$H$102,5,FALSE)-VLOOKUP($A57,main!$A$3:$H$102,6,FALSE)&gt;=main!$D$103+VLOOKUP(VLOOKUP(AN$1,main!$A$3:$I$102,7,FALSE),main!$K$26:$Q$29,3,FALSE),1,0)</f>
        <v>0</v>
      </c>
      <c r="AO57">
        <f>IF(VLOOKUP(AO$1,main!$A$3:$H$102,5,FALSE)-VLOOKUP($A57,main!$A$3:$H$102,6,FALSE)&gt;=main!$D$103+VLOOKUP(VLOOKUP(AO$1,main!$A$3:$I$102,7,FALSE),main!$K$26:$Q$29,3,FALSE),1,0)</f>
        <v>0</v>
      </c>
      <c r="AP57">
        <f>IF(VLOOKUP(AP$1,main!$A$3:$H$102,5,FALSE)-VLOOKUP($A57,main!$A$3:$H$102,6,FALSE)&gt;=main!$D$103+VLOOKUP(VLOOKUP(AP$1,main!$A$3:$I$102,7,FALSE),main!$K$26:$Q$29,3,FALSE),1,0)</f>
        <v>0</v>
      </c>
      <c r="AQ57">
        <f>IF(VLOOKUP(AQ$1,main!$A$3:$H$102,5,FALSE)-VLOOKUP($A57,main!$A$3:$H$102,6,FALSE)&gt;=main!$D$103+VLOOKUP(VLOOKUP(AQ$1,main!$A$3:$I$102,7,FALSE),main!$K$26:$Q$29,3,FALSE),1,0)</f>
        <v>0</v>
      </c>
      <c r="AR57">
        <f>IF(VLOOKUP(AR$1,main!$A$3:$H$102,5,FALSE)-VLOOKUP($A57,main!$A$3:$H$102,6,FALSE)&gt;=main!$D$103+VLOOKUP(VLOOKUP(AR$1,main!$A$3:$I$102,7,FALSE),main!$K$26:$Q$29,3,FALSE),1,0)</f>
        <v>0</v>
      </c>
      <c r="AS57">
        <f>IF(VLOOKUP(AS$1,main!$A$3:$H$102,5,FALSE)-VLOOKUP($A57,main!$A$3:$H$102,6,FALSE)&gt;=main!$D$103+VLOOKUP(VLOOKUP(AS$1,main!$A$3:$I$102,7,FALSE),main!$K$26:$Q$29,3,FALSE),1,0)</f>
        <v>0</v>
      </c>
      <c r="AT57">
        <f>IF(VLOOKUP(AT$1,main!$A$3:$H$102,5,FALSE)-VLOOKUP($A57,main!$A$3:$H$102,6,FALSE)&gt;=main!$D$103+VLOOKUP(VLOOKUP(AT$1,main!$A$3:$I$102,7,FALSE),main!$K$26:$Q$29,3,FALSE),1,0)</f>
        <v>0</v>
      </c>
      <c r="AU57">
        <f>IF(VLOOKUP(AU$1,main!$A$3:$H$102,5,FALSE)-VLOOKUP($A57,main!$A$3:$H$102,6,FALSE)&gt;=main!$D$103+VLOOKUP(VLOOKUP(AU$1,main!$A$3:$I$102,7,FALSE),main!$K$26:$Q$29,3,FALSE),1,0)</f>
        <v>0</v>
      </c>
      <c r="AV57">
        <f>IF(VLOOKUP(AV$1,main!$A$3:$H$102,5,FALSE)-VLOOKUP($A57,main!$A$3:$H$102,6,FALSE)&gt;=main!$D$103+VLOOKUP(VLOOKUP(AV$1,main!$A$3:$I$102,7,FALSE),main!$K$26:$Q$29,3,FALSE),1,0)</f>
        <v>0</v>
      </c>
      <c r="AW57">
        <f>IF(VLOOKUP(AW$1,main!$A$3:$H$102,5,FALSE)-VLOOKUP($A57,main!$A$3:$H$102,6,FALSE)&gt;=main!$D$103+VLOOKUP(VLOOKUP(AW$1,main!$A$3:$I$102,7,FALSE),main!$K$26:$Q$29,3,FALSE),1,0)</f>
        <v>0</v>
      </c>
      <c r="AX57">
        <f>IF(VLOOKUP(AX$1,main!$A$3:$H$102,5,FALSE)-VLOOKUP($A57,main!$A$3:$H$102,6,FALSE)&gt;=main!$D$103+VLOOKUP(VLOOKUP(AX$1,main!$A$3:$I$102,7,FALSE),main!$K$26:$Q$29,3,FALSE),1,0)</f>
        <v>0</v>
      </c>
      <c r="AY57">
        <f>IF(VLOOKUP(AY$1,main!$A$3:$H$102,5,FALSE)-VLOOKUP($A57,main!$A$3:$H$102,6,FALSE)&gt;=main!$D$103+VLOOKUP(VLOOKUP(AY$1,main!$A$3:$I$102,7,FALSE),main!$K$26:$Q$29,3,FALSE),1,0)</f>
        <v>0</v>
      </c>
      <c r="AZ57">
        <f>IF(VLOOKUP(AZ$1,main!$A$3:$H$102,5,FALSE)-VLOOKUP($A57,main!$A$3:$H$102,6,FALSE)&gt;=main!$D$103+VLOOKUP(VLOOKUP(AZ$1,main!$A$3:$I$102,7,FALSE),main!$K$26:$Q$29,3,FALSE),1,0)</f>
        <v>0</v>
      </c>
      <c r="BA57">
        <f>IF(VLOOKUP(BA$1,main!$A$3:$H$102,5,FALSE)-VLOOKUP($A57,main!$A$3:$H$102,6,FALSE)&gt;=main!$D$103+VLOOKUP(VLOOKUP(BA$1,main!$A$3:$I$102,7,FALSE),main!$K$26:$Q$29,3,FALSE),1,0)</f>
        <v>0</v>
      </c>
      <c r="BB57">
        <f>IF(VLOOKUP(BB$1,main!$A$3:$H$102,5,FALSE)-VLOOKUP($A57,main!$A$3:$H$102,6,FALSE)&gt;=main!$D$103+VLOOKUP(VLOOKUP(BB$1,main!$A$3:$I$102,7,FALSE),main!$K$26:$Q$29,3,FALSE),1,0)</f>
        <v>0</v>
      </c>
      <c r="BC57">
        <f>IF(VLOOKUP(BC$1,main!$A$3:$H$102,5,FALSE)-VLOOKUP($A57,main!$A$3:$H$102,6,FALSE)&gt;=main!$D$103+VLOOKUP(VLOOKUP(BC$1,main!$A$3:$I$102,7,FALSE),main!$K$26:$Q$29,3,FALSE),1,0)</f>
        <v>0</v>
      </c>
      <c r="BD57">
        <f>IF(VLOOKUP(BD$1,main!$A$3:$H$102,5,FALSE)-VLOOKUP($A57,main!$A$3:$H$102,6,FALSE)&gt;=main!$D$103+VLOOKUP(VLOOKUP(BD$1,main!$A$3:$I$102,7,FALSE),main!$K$26:$Q$29,3,FALSE),1,0)</f>
        <v>0</v>
      </c>
      <c r="BE57">
        <f>IF(VLOOKUP(BE$1,main!$A$3:$H$102,5,FALSE)-VLOOKUP($A57,main!$A$3:$H$102,6,FALSE)&gt;=main!$D$103+VLOOKUP(VLOOKUP(BE$1,main!$A$3:$I$102,7,FALSE),main!$K$26:$Q$29,3,FALSE),1,0)</f>
        <v>0</v>
      </c>
      <c r="BF57">
        <f>IF(VLOOKUP(BF$1,main!$A$3:$H$102,5,FALSE)-VLOOKUP($A57,main!$A$3:$H$102,6,FALSE)&gt;=main!$D$103+VLOOKUP(VLOOKUP(BF$1,main!$A$3:$I$102,7,FALSE),main!$K$26:$Q$29,3,FALSE),1,0)</f>
        <v>0</v>
      </c>
      <c r="BG57">
        <f>IF(VLOOKUP(BG$1,main!$A$3:$H$102,5,FALSE)-VLOOKUP($A57,main!$A$3:$H$102,6,FALSE)&gt;=main!$D$103+VLOOKUP(VLOOKUP(BG$1,main!$A$3:$I$102,7,FALSE),main!$K$26:$Q$29,3,FALSE),1,0)</f>
        <v>0</v>
      </c>
      <c r="BH57">
        <f>IF(VLOOKUP(BH$1,main!$A$3:$H$102,5,FALSE)-VLOOKUP($A57,main!$A$3:$H$102,6,FALSE)&gt;=main!$D$103+VLOOKUP(VLOOKUP(BH$1,main!$A$3:$I$102,7,FALSE),main!$K$26:$Q$29,3,FALSE),1,0)</f>
        <v>0</v>
      </c>
      <c r="BI57">
        <f>IF(VLOOKUP(BI$1,main!$A$3:$H$102,5,FALSE)-VLOOKUP($A57,main!$A$3:$H$102,6,FALSE)&gt;=main!$D$103+VLOOKUP(VLOOKUP(BI$1,main!$A$3:$I$102,7,FALSE),main!$K$26:$Q$29,3,FALSE),1,0)</f>
        <v>0</v>
      </c>
      <c r="BJ57">
        <f>IF(VLOOKUP(BJ$1,main!$A$3:$H$102,5,FALSE)-VLOOKUP($A57,main!$A$3:$H$102,6,FALSE)&gt;=main!$D$103+VLOOKUP(VLOOKUP(BJ$1,main!$A$3:$I$102,7,FALSE),main!$K$26:$Q$29,3,FALSE),1,0)</f>
        <v>0</v>
      </c>
      <c r="BK57">
        <f>IF(VLOOKUP(BK$1,main!$A$3:$H$102,5,FALSE)-VLOOKUP($A57,main!$A$3:$H$102,6,FALSE)&gt;=main!$D$103+VLOOKUP(VLOOKUP(BK$1,main!$A$3:$I$102,7,FALSE),main!$K$26:$Q$29,3,FALSE),1,0)</f>
        <v>0</v>
      </c>
      <c r="BL57">
        <f>IF(VLOOKUP(BL$1,main!$A$3:$H$102,5,FALSE)-VLOOKUP($A57,main!$A$3:$H$102,6,FALSE)&gt;=main!$D$103+VLOOKUP(VLOOKUP(BL$1,main!$A$3:$I$102,7,FALSE),main!$K$26:$Q$29,3,FALSE),1,0)</f>
        <v>0</v>
      </c>
      <c r="BM57">
        <f>IF(VLOOKUP(BM$1,main!$A$3:$H$102,5,FALSE)-VLOOKUP($A57,main!$A$3:$H$102,6,FALSE)&gt;=main!$D$103+VLOOKUP(VLOOKUP(BM$1,main!$A$3:$I$102,7,FALSE),main!$K$26:$Q$29,3,FALSE),1,0)</f>
        <v>0</v>
      </c>
      <c r="BN57">
        <f>IF(VLOOKUP(BN$1,main!$A$3:$H$102,5,FALSE)-VLOOKUP($A57,main!$A$3:$H$102,6,FALSE)&gt;=main!$D$103+VLOOKUP(VLOOKUP(BN$1,main!$A$3:$I$102,7,FALSE),main!$K$26:$Q$29,3,FALSE),1,0)</f>
        <v>0</v>
      </c>
      <c r="BO57">
        <f>IF(VLOOKUP(BO$1,main!$A$3:$H$102,5,FALSE)-VLOOKUP($A57,main!$A$3:$H$102,6,FALSE)&gt;=main!$D$103+VLOOKUP(VLOOKUP(BO$1,main!$A$3:$I$102,7,FALSE),main!$K$26:$Q$29,3,FALSE),1,0)</f>
        <v>0</v>
      </c>
      <c r="BP57">
        <f>IF(VLOOKUP(BP$1,main!$A$3:$H$102,5,FALSE)-VLOOKUP($A57,main!$A$3:$H$102,6,FALSE)&gt;=main!$D$103+VLOOKUP(VLOOKUP(BP$1,main!$A$3:$I$102,7,FALSE),main!$K$26:$Q$29,3,FALSE),1,0)</f>
        <v>0</v>
      </c>
      <c r="BQ57">
        <f>IF(VLOOKUP(BQ$1,main!$A$3:$H$102,5,FALSE)-VLOOKUP($A57,main!$A$3:$H$102,6,FALSE)&gt;=main!$D$103+VLOOKUP(VLOOKUP(BQ$1,main!$A$3:$I$102,7,FALSE),main!$K$26:$Q$29,3,FALSE),1,0)</f>
        <v>0</v>
      </c>
      <c r="BR57">
        <f>IF(VLOOKUP(BR$1,main!$A$3:$H$102,5,FALSE)-VLOOKUP($A57,main!$A$3:$H$102,6,FALSE)&gt;=main!$D$103+VLOOKUP(VLOOKUP(BR$1,main!$A$3:$I$102,7,FALSE),main!$K$26:$Q$29,3,FALSE),1,0)</f>
        <v>0</v>
      </c>
      <c r="BS57">
        <f>IF(VLOOKUP(BS$1,main!$A$3:$H$102,5,FALSE)-VLOOKUP($A57,main!$A$3:$H$102,6,FALSE)&gt;=main!$D$103+VLOOKUP(VLOOKUP(BS$1,main!$A$3:$I$102,7,FALSE),main!$K$26:$Q$29,3,FALSE),1,0)</f>
        <v>0</v>
      </c>
      <c r="BT57">
        <f>IF(VLOOKUP(BT$1,main!$A$3:$H$102,5,FALSE)-VLOOKUP($A57,main!$A$3:$H$102,6,FALSE)&gt;=main!$D$103+VLOOKUP(VLOOKUP(BT$1,main!$A$3:$I$102,7,FALSE),main!$K$26:$Q$29,3,FALSE),1,0)</f>
        <v>0</v>
      </c>
      <c r="BU57">
        <f>IF(VLOOKUP(BU$1,main!$A$3:$H$102,5,FALSE)-VLOOKUP($A57,main!$A$3:$H$102,6,FALSE)&gt;=main!$D$103+VLOOKUP(VLOOKUP(BU$1,main!$A$3:$I$102,7,FALSE),main!$K$26:$Q$29,3,FALSE),1,0)</f>
        <v>0</v>
      </c>
      <c r="BV57">
        <f>IF(VLOOKUP(BV$1,main!$A$3:$H$102,5,FALSE)-VLOOKUP($A57,main!$A$3:$H$102,6,FALSE)&gt;=main!$D$103+VLOOKUP(VLOOKUP(BV$1,main!$A$3:$I$102,7,FALSE),main!$K$26:$Q$29,3,FALSE),1,0)</f>
        <v>0</v>
      </c>
      <c r="BW57">
        <f>IF(VLOOKUP(BW$1,main!$A$3:$H$102,5,FALSE)-VLOOKUP($A57,main!$A$3:$H$102,6,FALSE)&gt;=main!$D$103+VLOOKUP(VLOOKUP(BW$1,main!$A$3:$I$102,7,FALSE),main!$K$26:$Q$29,3,FALSE),1,0)</f>
        <v>0</v>
      </c>
      <c r="BX57">
        <f>IF(VLOOKUP(BX$1,main!$A$3:$H$102,5,FALSE)-VLOOKUP($A57,main!$A$3:$H$102,6,FALSE)&gt;=main!$D$103+VLOOKUP(VLOOKUP(BX$1,main!$A$3:$I$102,7,FALSE),main!$K$26:$Q$29,3,FALSE),1,0)</f>
        <v>0</v>
      </c>
      <c r="BY57">
        <f>IF(VLOOKUP(BY$1,main!$A$3:$H$102,5,FALSE)-VLOOKUP($A57,main!$A$3:$H$102,6,FALSE)&gt;=main!$D$103+VLOOKUP(VLOOKUP(BY$1,main!$A$3:$I$102,7,FALSE),main!$K$26:$Q$29,3,FALSE),1,0)</f>
        <v>0</v>
      </c>
      <c r="BZ57">
        <f>IF(VLOOKUP(BZ$1,main!$A$3:$H$102,5,FALSE)-VLOOKUP($A57,main!$A$3:$H$102,6,FALSE)&gt;=main!$D$103+VLOOKUP(VLOOKUP(BZ$1,main!$A$3:$I$102,7,FALSE),main!$K$26:$Q$29,3,FALSE),1,0)</f>
        <v>0</v>
      </c>
      <c r="CA57">
        <f>IF(VLOOKUP(CA$1,main!$A$3:$H$102,5,FALSE)-VLOOKUP($A57,main!$A$3:$H$102,6,FALSE)&gt;=main!$D$103+VLOOKUP(VLOOKUP(CA$1,main!$A$3:$I$102,7,FALSE),main!$K$26:$Q$29,3,FALSE),1,0)</f>
        <v>0</v>
      </c>
      <c r="CB57">
        <f>IF(VLOOKUP(CB$1,main!$A$3:$H$102,5,FALSE)-VLOOKUP($A57,main!$A$3:$H$102,6,FALSE)&gt;=main!$D$103+VLOOKUP(VLOOKUP(CB$1,main!$A$3:$I$102,7,FALSE),main!$K$26:$Q$29,3,FALSE),1,0)</f>
        <v>0</v>
      </c>
      <c r="CC57">
        <f>IF(VLOOKUP(CC$1,main!$A$3:$H$102,5,FALSE)-VLOOKUP($A57,main!$A$3:$H$102,6,FALSE)&gt;=main!$D$103+VLOOKUP(VLOOKUP(CC$1,main!$A$3:$I$102,7,FALSE),main!$K$26:$Q$29,3,FALSE),1,0)</f>
        <v>0</v>
      </c>
      <c r="CD57">
        <f>IF(VLOOKUP(CD$1,main!$A$3:$H$102,5,FALSE)-VLOOKUP($A57,main!$A$3:$H$102,6,FALSE)&gt;=main!$D$103+VLOOKUP(VLOOKUP(CD$1,main!$A$3:$I$102,7,FALSE),main!$K$26:$Q$29,3,FALSE),1,0)</f>
        <v>0</v>
      </c>
      <c r="CE57">
        <f>IF(VLOOKUP(CE$1,main!$A$3:$H$102,5,FALSE)-VLOOKUP($A57,main!$A$3:$H$102,6,FALSE)&gt;=main!$D$103+VLOOKUP(VLOOKUP(CE$1,main!$A$3:$I$102,7,FALSE),main!$K$26:$Q$29,3,FALSE),1,0)</f>
        <v>0</v>
      </c>
      <c r="CF57">
        <f>IF(VLOOKUP(CF$1,main!$A$3:$H$102,5,FALSE)-VLOOKUP($A57,main!$A$3:$H$102,6,FALSE)&gt;=main!$D$103+VLOOKUP(VLOOKUP(CF$1,main!$A$3:$I$102,7,FALSE),main!$K$26:$Q$29,3,FALSE),1,0)</f>
        <v>0</v>
      </c>
      <c r="CG57">
        <f>IF(VLOOKUP(CG$1,main!$A$3:$H$102,5,FALSE)-VLOOKUP($A57,main!$A$3:$H$102,6,FALSE)&gt;=main!$D$103+VLOOKUP(VLOOKUP(CG$1,main!$A$3:$I$102,7,FALSE),main!$K$26:$Q$29,3,FALSE),1,0)</f>
        <v>0</v>
      </c>
      <c r="CH57">
        <f>IF(VLOOKUP(CH$1,main!$A$3:$H$102,5,FALSE)-VLOOKUP($A57,main!$A$3:$H$102,6,FALSE)&gt;=main!$D$103+VLOOKUP(VLOOKUP(CH$1,main!$A$3:$I$102,7,FALSE),main!$K$26:$Q$29,3,FALSE),1,0)</f>
        <v>0</v>
      </c>
      <c r="CI57">
        <f>IF(VLOOKUP(CI$1,main!$A$3:$H$102,5,FALSE)-VLOOKUP($A57,main!$A$3:$H$102,6,FALSE)&gt;=main!$D$103+VLOOKUP(VLOOKUP(CI$1,main!$A$3:$I$102,7,FALSE),main!$K$26:$Q$29,3,FALSE),1,0)</f>
        <v>0</v>
      </c>
      <c r="CJ57">
        <f>IF(VLOOKUP(CJ$1,main!$A$3:$H$102,5,FALSE)-VLOOKUP($A57,main!$A$3:$H$102,6,FALSE)&gt;=main!$D$103+VLOOKUP(VLOOKUP(CJ$1,main!$A$3:$I$102,7,FALSE),main!$K$26:$Q$29,3,FALSE),1,0)</f>
        <v>0</v>
      </c>
      <c r="CK57">
        <f>IF(VLOOKUP(CK$1,main!$A$3:$H$102,5,FALSE)-VLOOKUP($A57,main!$A$3:$H$102,6,FALSE)&gt;=main!$D$103+VLOOKUP(VLOOKUP(CK$1,main!$A$3:$I$102,7,FALSE),main!$K$26:$Q$29,3,FALSE),1,0)</f>
        <v>0</v>
      </c>
      <c r="CL57">
        <f>IF(VLOOKUP(CL$1,main!$A$3:$H$102,5,FALSE)-VLOOKUP($A57,main!$A$3:$H$102,6,FALSE)&gt;=main!$D$103+VLOOKUP(VLOOKUP(CL$1,main!$A$3:$I$102,7,FALSE),main!$K$26:$Q$29,3,FALSE),1,0)</f>
        <v>0</v>
      </c>
      <c r="CM57">
        <f>IF(VLOOKUP(CM$1,main!$A$3:$H$102,5,FALSE)-VLOOKUP($A57,main!$A$3:$H$102,6,FALSE)&gt;=main!$D$103+VLOOKUP(VLOOKUP(CM$1,main!$A$3:$I$102,7,FALSE),main!$K$26:$Q$29,3,FALSE),1,0)</f>
        <v>0</v>
      </c>
      <c r="CN57">
        <f>IF(VLOOKUP(CN$1,main!$A$3:$H$102,5,FALSE)-VLOOKUP($A57,main!$A$3:$H$102,6,FALSE)&gt;=main!$D$103+VLOOKUP(VLOOKUP(CN$1,main!$A$3:$I$102,7,FALSE),main!$K$26:$Q$29,3,FALSE),1,0)</f>
        <v>0</v>
      </c>
      <c r="CO57">
        <f>IF(VLOOKUP(CO$1,main!$A$3:$H$102,5,FALSE)-VLOOKUP($A57,main!$A$3:$H$102,6,FALSE)&gt;=main!$D$103+VLOOKUP(VLOOKUP(CO$1,main!$A$3:$I$102,7,FALSE),main!$K$26:$Q$29,3,FALSE),1,0)</f>
        <v>0</v>
      </c>
      <c r="CP57">
        <f>IF(VLOOKUP(CP$1,main!$A$3:$H$102,5,FALSE)-VLOOKUP($A57,main!$A$3:$H$102,6,FALSE)&gt;=main!$D$103+VLOOKUP(VLOOKUP(CP$1,main!$A$3:$I$102,7,FALSE),main!$K$26:$Q$29,3,FALSE),1,0)</f>
        <v>0</v>
      </c>
      <c r="CQ57">
        <f>IF(VLOOKUP(CQ$1,main!$A$3:$H$102,5,FALSE)-VLOOKUP($A57,main!$A$3:$H$102,6,FALSE)&gt;=main!$D$103+VLOOKUP(VLOOKUP(CQ$1,main!$A$3:$I$102,7,FALSE),main!$K$26:$Q$29,3,FALSE),1,0)</f>
        <v>0</v>
      </c>
      <c r="CR57">
        <f>IF(VLOOKUP(CR$1,main!$A$3:$H$102,5,FALSE)-VLOOKUP($A57,main!$A$3:$H$102,6,FALSE)&gt;=main!$D$103+VLOOKUP(VLOOKUP(CR$1,main!$A$3:$I$102,7,FALSE),main!$K$26:$Q$29,3,FALSE),1,0)</f>
        <v>0</v>
      </c>
      <c r="CS57">
        <f>IF(VLOOKUP(CS$1,main!$A$3:$H$102,5,FALSE)-VLOOKUP($A57,main!$A$3:$H$102,6,FALSE)&gt;=main!$D$103+VLOOKUP(VLOOKUP(CS$1,main!$A$3:$I$102,7,FALSE),main!$K$26:$Q$29,3,FALSE),1,0)</f>
        <v>0</v>
      </c>
      <c r="CT57">
        <f>IF(VLOOKUP(CT$1,main!$A$3:$H$102,5,FALSE)-VLOOKUP($A57,main!$A$3:$H$102,6,FALSE)&gt;=main!$D$103+VLOOKUP(VLOOKUP(CT$1,main!$A$3:$I$102,7,FALSE),main!$K$26:$Q$29,3,FALSE),1,0)</f>
        <v>0</v>
      </c>
      <c r="CU57">
        <f>IF(VLOOKUP(CU$1,main!$A$3:$H$102,5,FALSE)-VLOOKUP($A57,main!$A$3:$H$102,6,FALSE)&gt;=main!$D$103+VLOOKUP(VLOOKUP(CU$1,main!$A$3:$I$102,7,FALSE),main!$K$26:$Q$29,3,FALSE),1,0)</f>
        <v>0</v>
      </c>
      <c r="CV57">
        <f>IF(VLOOKUP(CV$1,main!$A$3:$H$102,5,FALSE)-VLOOKUP($A57,main!$A$3:$H$102,6,FALSE)&gt;=main!$D$103+VLOOKUP(VLOOKUP(CV$1,main!$A$3:$I$102,7,FALSE),main!$K$26:$Q$29,3,FALSE),1,0)</f>
        <v>0</v>
      </c>
      <c r="CW57">
        <f>IF(VLOOKUP(CW$1,main!$A$3:$H$102,5,FALSE)-VLOOKUP($A57,main!$A$3:$H$102,6,FALSE)&gt;=main!$D$103+VLOOKUP(VLOOKUP(CW$1,main!$A$3:$I$102,7,FALSE),main!$K$26:$Q$29,3,FALSE),1,0)</f>
        <v>0</v>
      </c>
      <c r="CX57">
        <f>IF(VLOOKUP(CX$1,main!$A$3:$H$102,5,FALSE)-VLOOKUP($A57,main!$A$3:$H$102,6,FALSE)&gt;=main!$D$103+VLOOKUP(VLOOKUP(CX$1,main!$A$3:$I$102,7,FALSE),main!$K$26:$Q$29,3,FALSE),1,0)</f>
        <v>0</v>
      </c>
    </row>
    <row r="58" spans="1:102" x14ac:dyDescent="0.25">
      <c r="A58" s="1">
        <v>56</v>
      </c>
      <c r="B58">
        <v>0</v>
      </c>
      <c r="C58">
        <f>IF(VLOOKUP(C$1,main!$A$3:$H$102,5,FALSE)-VLOOKUP($A58,main!$A$3:$H$102,6,FALSE)&gt;=main!$D$103+VLOOKUP(VLOOKUP(C$1,main!$A$3:$I$102,7,FALSE),main!$K$26:$Q$29,3,FALSE),1,0)</f>
        <v>0</v>
      </c>
      <c r="D58">
        <f>IF(VLOOKUP(D$1,main!$A$3:$H$102,5,FALSE)-VLOOKUP($A58,main!$A$3:$H$102,6,FALSE)&gt;=main!$D$103+VLOOKUP(VLOOKUP(D$1,main!$A$3:$I$102,7,FALSE),main!$K$26:$Q$29,3,FALSE),1,0)</f>
        <v>0</v>
      </c>
      <c r="E58">
        <f>IF(VLOOKUP(E$1,main!$A$3:$H$102,5,FALSE)-VLOOKUP($A58,main!$A$3:$H$102,6,FALSE)&gt;=main!$D$103+VLOOKUP(VLOOKUP(E$1,main!$A$3:$I$102,7,FALSE),main!$K$26:$Q$29,3,FALSE),1,0)</f>
        <v>0</v>
      </c>
      <c r="F58">
        <f>IF(VLOOKUP(F$1,main!$A$3:$H$102,5,FALSE)-VLOOKUP($A58,main!$A$3:$H$102,6,FALSE)&gt;=main!$D$103+VLOOKUP(VLOOKUP(F$1,main!$A$3:$I$102,7,FALSE),main!$K$26:$Q$29,3,FALSE),1,0)</f>
        <v>0</v>
      </c>
      <c r="G58">
        <f>IF(VLOOKUP(G$1,main!$A$3:$H$102,5,FALSE)-VLOOKUP($A58,main!$A$3:$H$102,6,FALSE)&gt;=main!$D$103+VLOOKUP(VLOOKUP(G$1,main!$A$3:$I$102,7,FALSE),main!$K$26:$Q$29,3,FALSE),1,0)</f>
        <v>1</v>
      </c>
      <c r="H58">
        <f>IF(VLOOKUP(H$1,main!$A$3:$H$102,5,FALSE)-VLOOKUP($A58,main!$A$3:$H$102,6,FALSE)&gt;=main!$D$103+VLOOKUP(VLOOKUP(H$1,main!$A$3:$I$102,7,FALSE),main!$K$26:$Q$29,3,FALSE),1,0)</f>
        <v>1</v>
      </c>
      <c r="I58">
        <f>IF(VLOOKUP(I$1,main!$A$3:$H$102,5,FALSE)-VLOOKUP($A58,main!$A$3:$H$102,6,FALSE)&gt;=main!$D$103+VLOOKUP(VLOOKUP(I$1,main!$A$3:$I$102,7,FALSE),main!$K$26:$Q$29,3,FALSE),1,0)</f>
        <v>1</v>
      </c>
      <c r="J58">
        <f>IF(VLOOKUP(J$1,main!$A$3:$H$102,5,FALSE)-VLOOKUP($A58,main!$A$3:$H$102,6,FALSE)&gt;=main!$D$103+VLOOKUP(VLOOKUP(J$1,main!$A$3:$I$102,7,FALSE),main!$K$26:$Q$29,3,FALSE),1,0)</f>
        <v>1</v>
      </c>
      <c r="K58">
        <f>IF(VLOOKUP(K$1,main!$A$3:$H$102,5,FALSE)-VLOOKUP($A58,main!$A$3:$H$102,6,FALSE)&gt;=main!$D$103+VLOOKUP(VLOOKUP(K$1,main!$A$3:$I$102,7,FALSE),main!$K$26:$Q$29,3,FALSE),1,0)</f>
        <v>1</v>
      </c>
      <c r="L58">
        <f>IF(VLOOKUP(L$1,main!$A$3:$H$102,5,FALSE)-VLOOKUP($A58,main!$A$3:$H$102,6,FALSE)&gt;=main!$D$103+VLOOKUP(VLOOKUP(L$1,main!$A$3:$I$102,7,FALSE),main!$K$26:$Q$29,3,FALSE),1,0)</f>
        <v>1</v>
      </c>
      <c r="M58">
        <f>IF(VLOOKUP(M$1,main!$A$3:$H$102,5,FALSE)-VLOOKUP($A58,main!$A$3:$H$102,6,FALSE)&gt;=main!$D$103+VLOOKUP(VLOOKUP(M$1,main!$A$3:$I$102,7,FALSE),main!$K$26:$Q$29,3,FALSE),1,0)</f>
        <v>0</v>
      </c>
      <c r="N58">
        <f>IF(VLOOKUP(N$1,main!$A$3:$H$102,5,FALSE)-VLOOKUP($A58,main!$A$3:$H$102,6,FALSE)&gt;=main!$D$103+VLOOKUP(VLOOKUP(N$1,main!$A$3:$I$102,7,FALSE),main!$K$26:$Q$29,3,FALSE),1,0)</f>
        <v>0</v>
      </c>
      <c r="O58">
        <f>IF(VLOOKUP(O$1,main!$A$3:$H$102,5,FALSE)-VLOOKUP($A58,main!$A$3:$H$102,6,FALSE)&gt;=main!$D$103+VLOOKUP(VLOOKUP(O$1,main!$A$3:$I$102,7,FALSE),main!$K$26:$Q$29,3,FALSE),1,0)</f>
        <v>0</v>
      </c>
      <c r="P58">
        <f>IF(VLOOKUP(P$1,main!$A$3:$H$102,5,FALSE)-VLOOKUP($A58,main!$A$3:$H$102,6,FALSE)&gt;=main!$D$103+VLOOKUP(VLOOKUP(P$1,main!$A$3:$I$102,7,FALSE),main!$K$26:$Q$29,3,FALSE),1,0)</f>
        <v>0</v>
      </c>
      <c r="Q58">
        <f>IF(VLOOKUP(Q$1,main!$A$3:$H$102,5,FALSE)-VLOOKUP($A58,main!$A$3:$H$102,6,FALSE)&gt;=main!$D$103+VLOOKUP(VLOOKUP(Q$1,main!$A$3:$I$102,7,FALSE),main!$K$26:$Q$29,3,FALSE),1,0)</f>
        <v>0</v>
      </c>
      <c r="R58">
        <f>IF(VLOOKUP(R$1,main!$A$3:$H$102,5,FALSE)-VLOOKUP($A58,main!$A$3:$H$102,6,FALSE)&gt;=main!$D$103+VLOOKUP(VLOOKUP(R$1,main!$A$3:$I$102,7,FALSE),main!$K$26:$Q$29,3,FALSE),1,0)</f>
        <v>1</v>
      </c>
      <c r="S58">
        <f>IF(VLOOKUP(S$1,main!$A$3:$H$102,5,FALSE)-VLOOKUP($A58,main!$A$3:$H$102,6,FALSE)&gt;=main!$D$103+VLOOKUP(VLOOKUP(S$1,main!$A$3:$I$102,7,FALSE),main!$K$26:$Q$29,3,FALSE),1,0)</f>
        <v>1</v>
      </c>
      <c r="T58">
        <f>IF(VLOOKUP(T$1,main!$A$3:$H$102,5,FALSE)-VLOOKUP($A58,main!$A$3:$H$102,6,FALSE)&gt;=main!$D$103+VLOOKUP(VLOOKUP(T$1,main!$A$3:$I$102,7,FALSE),main!$K$26:$Q$29,3,FALSE),1,0)</f>
        <v>1</v>
      </c>
      <c r="U58">
        <f>IF(VLOOKUP(U$1,main!$A$3:$H$102,5,FALSE)-VLOOKUP($A58,main!$A$3:$H$102,6,FALSE)&gt;=main!$D$103+VLOOKUP(VLOOKUP(U$1,main!$A$3:$I$102,7,FALSE),main!$K$26:$Q$29,3,FALSE),1,0)</f>
        <v>1</v>
      </c>
      <c r="V58">
        <f>IF(VLOOKUP(V$1,main!$A$3:$H$102,5,FALSE)-VLOOKUP($A58,main!$A$3:$H$102,6,FALSE)&gt;=main!$D$103+VLOOKUP(VLOOKUP(V$1,main!$A$3:$I$102,7,FALSE),main!$K$26:$Q$29,3,FALSE),1,0)</f>
        <v>1</v>
      </c>
      <c r="W58">
        <f>IF(VLOOKUP(W$1,main!$A$3:$H$102,5,FALSE)-VLOOKUP($A58,main!$A$3:$H$102,6,FALSE)&gt;=main!$D$103+VLOOKUP(VLOOKUP(W$1,main!$A$3:$I$102,7,FALSE),main!$K$26:$Q$29,3,FALSE),1,0)</f>
        <v>0</v>
      </c>
      <c r="X58">
        <f>IF(VLOOKUP(X$1,main!$A$3:$H$102,5,FALSE)-VLOOKUP($A58,main!$A$3:$H$102,6,FALSE)&gt;=main!$D$103+VLOOKUP(VLOOKUP(X$1,main!$A$3:$I$102,7,FALSE),main!$K$26:$Q$29,3,FALSE),1,0)</f>
        <v>0</v>
      </c>
      <c r="Y58">
        <f>IF(VLOOKUP(Y$1,main!$A$3:$H$102,5,FALSE)-VLOOKUP($A58,main!$A$3:$H$102,6,FALSE)&gt;=main!$D$103+VLOOKUP(VLOOKUP(Y$1,main!$A$3:$I$102,7,FALSE),main!$K$26:$Q$29,3,FALSE),1,0)</f>
        <v>1</v>
      </c>
      <c r="Z58">
        <f>IF(VLOOKUP(Z$1,main!$A$3:$H$102,5,FALSE)-VLOOKUP($A58,main!$A$3:$H$102,6,FALSE)&gt;=main!$D$103+VLOOKUP(VLOOKUP(Z$1,main!$A$3:$I$102,7,FALSE),main!$K$26:$Q$29,3,FALSE),1,0)</f>
        <v>1</v>
      </c>
      <c r="AA58">
        <f>IF(VLOOKUP(AA$1,main!$A$3:$H$102,5,FALSE)-VLOOKUP($A58,main!$A$3:$H$102,6,FALSE)&gt;=main!$D$103+VLOOKUP(VLOOKUP(AA$1,main!$A$3:$I$102,7,FALSE),main!$K$26:$Q$29,3,FALSE),1,0)</f>
        <v>1</v>
      </c>
      <c r="AB58">
        <f>IF(VLOOKUP(AB$1,main!$A$3:$H$102,5,FALSE)-VLOOKUP($A58,main!$A$3:$H$102,6,FALSE)&gt;=main!$D$103+VLOOKUP(VLOOKUP(AB$1,main!$A$3:$I$102,7,FALSE),main!$K$26:$Q$29,3,FALSE),1,0)</f>
        <v>0</v>
      </c>
      <c r="AC58">
        <f>IF(VLOOKUP(AC$1,main!$A$3:$H$102,5,FALSE)-VLOOKUP($A58,main!$A$3:$H$102,6,FALSE)&gt;=main!$D$103+VLOOKUP(VLOOKUP(AC$1,main!$A$3:$I$102,7,FALSE),main!$K$26:$Q$29,3,FALSE),1,0)</f>
        <v>0</v>
      </c>
      <c r="AD58">
        <f>IF(VLOOKUP(AD$1,main!$A$3:$H$102,5,FALSE)-VLOOKUP($A58,main!$A$3:$H$102,6,FALSE)&gt;=main!$D$103+VLOOKUP(VLOOKUP(AD$1,main!$A$3:$I$102,7,FALSE),main!$K$26:$Q$29,3,FALSE),1,0)</f>
        <v>0</v>
      </c>
      <c r="AE58">
        <f>IF(VLOOKUP(AE$1,main!$A$3:$H$102,5,FALSE)-VLOOKUP($A58,main!$A$3:$H$102,6,FALSE)&gt;=main!$D$103+VLOOKUP(VLOOKUP(AE$1,main!$A$3:$I$102,7,FALSE),main!$K$26:$Q$29,3,FALSE),1,0)</f>
        <v>1</v>
      </c>
      <c r="AF58">
        <f>IF(VLOOKUP(AF$1,main!$A$3:$H$102,5,FALSE)-VLOOKUP($A58,main!$A$3:$H$102,6,FALSE)&gt;=main!$D$103+VLOOKUP(VLOOKUP(AF$1,main!$A$3:$I$102,7,FALSE),main!$K$26:$Q$29,3,FALSE),1,0)</f>
        <v>1</v>
      </c>
      <c r="AG58">
        <f>IF(VLOOKUP(AG$1,main!$A$3:$H$102,5,FALSE)-VLOOKUP($A58,main!$A$3:$H$102,6,FALSE)&gt;=main!$D$103+VLOOKUP(VLOOKUP(AG$1,main!$A$3:$I$102,7,FALSE),main!$K$26:$Q$29,3,FALSE),1,0)</f>
        <v>0</v>
      </c>
      <c r="AH58">
        <f>IF(VLOOKUP(AH$1,main!$A$3:$H$102,5,FALSE)-VLOOKUP($A58,main!$A$3:$H$102,6,FALSE)&gt;=main!$D$103+VLOOKUP(VLOOKUP(AH$1,main!$A$3:$I$102,7,FALSE),main!$K$26:$Q$29,3,FALSE),1,0)</f>
        <v>0</v>
      </c>
      <c r="AI58">
        <f>IF(VLOOKUP(AI$1,main!$A$3:$H$102,5,FALSE)-VLOOKUP($A58,main!$A$3:$H$102,6,FALSE)&gt;=main!$D$103+VLOOKUP(VLOOKUP(AI$1,main!$A$3:$I$102,7,FALSE),main!$K$26:$Q$29,3,FALSE),1,0)</f>
        <v>0</v>
      </c>
      <c r="AJ58">
        <f>IF(VLOOKUP(AJ$1,main!$A$3:$H$102,5,FALSE)-VLOOKUP($A58,main!$A$3:$H$102,6,FALSE)&gt;=main!$D$103+VLOOKUP(VLOOKUP(AJ$1,main!$A$3:$I$102,7,FALSE),main!$K$26:$Q$29,3,FALSE),1,0)</f>
        <v>1</v>
      </c>
      <c r="AK58">
        <f>IF(VLOOKUP(AK$1,main!$A$3:$H$102,5,FALSE)-VLOOKUP($A58,main!$A$3:$H$102,6,FALSE)&gt;=main!$D$103+VLOOKUP(VLOOKUP(AK$1,main!$A$3:$I$102,7,FALSE),main!$K$26:$Q$29,3,FALSE),1,0)</f>
        <v>1</v>
      </c>
      <c r="AL58">
        <f>IF(VLOOKUP(AL$1,main!$A$3:$H$102,5,FALSE)-VLOOKUP($A58,main!$A$3:$H$102,6,FALSE)&gt;=main!$D$103+VLOOKUP(VLOOKUP(AL$1,main!$A$3:$I$102,7,FALSE),main!$K$26:$Q$29,3,FALSE),1,0)</f>
        <v>1</v>
      </c>
      <c r="AM58">
        <f>IF(VLOOKUP(AM$1,main!$A$3:$H$102,5,FALSE)-VLOOKUP($A58,main!$A$3:$H$102,6,FALSE)&gt;=main!$D$103+VLOOKUP(VLOOKUP(AM$1,main!$A$3:$I$102,7,FALSE),main!$K$26:$Q$29,3,FALSE),1,0)</f>
        <v>1</v>
      </c>
      <c r="AN58">
        <f>IF(VLOOKUP(AN$1,main!$A$3:$H$102,5,FALSE)-VLOOKUP($A58,main!$A$3:$H$102,6,FALSE)&gt;=main!$D$103+VLOOKUP(VLOOKUP(AN$1,main!$A$3:$I$102,7,FALSE),main!$K$26:$Q$29,3,FALSE),1,0)</f>
        <v>1</v>
      </c>
      <c r="AO58">
        <f>IF(VLOOKUP(AO$1,main!$A$3:$H$102,5,FALSE)-VLOOKUP($A58,main!$A$3:$H$102,6,FALSE)&gt;=main!$D$103+VLOOKUP(VLOOKUP(AO$1,main!$A$3:$I$102,7,FALSE),main!$K$26:$Q$29,3,FALSE),1,0)</f>
        <v>0</v>
      </c>
      <c r="AP58">
        <f>IF(VLOOKUP(AP$1,main!$A$3:$H$102,5,FALSE)-VLOOKUP($A58,main!$A$3:$H$102,6,FALSE)&gt;=main!$D$103+VLOOKUP(VLOOKUP(AP$1,main!$A$3:$I$102,7,FALSE),main!$K$26:$Q$29,3,FALSE),1,0)</f>
        <v>1</v>
      </c>
      <c r="AQ58">
        <f>IF(VLOOKUP(AQ$1,main!$A$3:$H$102,5,FALSE)-VLOOKUP($A58,main!$A$3:$H$102,6,FALSE)&gt;=main!$D$103+VLOOKUP(VLOOKUP(AQ$1,main!$A$3:$I$102,7,FALSE),main!$K$26:$Q$29,3,FALSE),1,0)</f>
        <v>0</v>
      </c>
      <c r="AR58">
        <f>IF(VLOOKUP(AR$1,main!$A$3:$H$102,5,FALSE)-VLOOKUP($A58,main!$A$3:$H$102,6,FALSE)&gt;=main!$D$103+VLOOKUP(VLOOKUP(AR$1,main!$A$3:$I$102,7,FALSE),main!$K$26:$Q$29,3,FALSE),1,0)</f>
        <v>0</v>
      </c>
      <c r="AS58">
        <f>IF(VLOOKUP(AS$1,main!$A$3:$H$102,5,FALSE)-VLOOKUP($A58,main!$A$3:$H$102,6,FALSE)&gt;=main!$D$103+VLOOKUP(VLOOKUP(AS$1,main!$A$3:$I$102,7,FALSE),main!$K$26:$Q$29,3,FALSE),1,0)</f>
        <v>1</v>
      </c>
      <c r="AT58">
        <f>IF(VLOOKUP(AT$1,main!$A$3:$H$102,5,FALSE)-VLOOKUP($A58,main!$A$3:$H$102,6,FALSE)&gt;=main!$D$103+VLOOKUP(VLOOKUP(AT$1,main!$A$3:$I$102,7,FALSE),main!$K$26:$Q$29,3,FALSE),1,0)</f>
        <v>1</v>
      </c>
      <c r="AU58">
        <f>IF(VLOOKUP(AU$1,main!$A$3:$H$102,5,FALSE)-VLOOKUP($A58,main!$A$3:$H$102,6,FALSE)&gt;=main!$D$103+VLOOKUP(VLOOKUP(AU$1,main!$A$3:$I$102,7,FALSE),main!$K$26:$Q$29,3,FALSE),1,0)</f>
        <v>0</v>
      </c>
      <c r="AV58">
        <f>IF(VLOOKUP(AV$1,main!$A$3:$H$102,5,FALSE)-VLOOKUP($A58,main!$A$3:$H$102,6,FALSE)&gt;=main!$D$103+VLOOKUP(VLOOKUP(AV$1,main!$A$3:$I$102,7,FALSE),main!$K$26:$Q$29,3,FALSE),1,0)</f>
        <v>0</v>
      </c>
      <c r="AW58">
        <f>IF(VLOOKUP(AW$1,main!$A$3:$H$102,5,FALSE)-VLOOKUP($A58,main!$A$3:$H$102,6,FALSE)&gt;=main!$D$103+VLOOKUP(VLOOKUP(AW$1,main!$A$3:$I$102,7,FALSE),main!$K$26:$Q$29,3,FALSE),1,0)</f>
        <v>1</v>
      </c>
      <c r="AX58">
        <f>IF(VLOOKUP(AX$1,main!$A$3:$H$102,5,FALSE)-VLOOKUP($A58,main!$A$3:$H$102,6,FALSE)&gt;=main!$D$103+VLOOKUP(VLOOKUP(AX$1,main!$A$3:$I$102,7,FALSE),main!$K$26:$Q$29,3,FALSE),1,0)</f>
        <v>0</v>
      </c>
      <c r="AY58">
        <f>IF(VLOOKUP(AY$1,main!$A$3:$H$102,5,FALSE)-VLOOKUP($A58,main!$A$3:$H$102,6,FALSE)&gt;=main!$D$103+VLOOKUP(VLOOKUP(AY$1,main!$A$3:$I$102,7,FALSE),main!$K$26:$Q$29,3,FALSE),1,0)</f>
        <v>0</v>
      </c>
      <c r="AZ58">
        <f>IF(VLOOKUP(AZ$1,main!$A$3:$H$102,5,FALSE)-VLOOKUP($A58,main!$A$3:$H$102,6,FALSE)&gt;=main!$D$103+VLOOKUP(VLOOKUP(AZ$1,main!$A$3:$I$102,7,FALSE),main!$K$26:$Q$29,3,FALSE),1,0)</f>
        <v>0</v>
      </c>
      <c r="BA58">
        <f>IF(VLOOKUP(BA$1,main!$A$3:$H$102,5,FALSE)-VLOOKUP($A58,main!$A$3:$H$102,6,FALSE)&gt;=main!$D$103+VLOOKUP(VLOOKUP(BA$1,main!$A$3:$I$102,7,FALSE),main!$K$26:$Q$29,3,FALSE),1,0)</f>
        <v>0</v>
      </c>
      <c r="BB58">
        <f>IF(VLOOKUP(BB$1,main!$A$3:$H$102,5,FALSE)-VLOOKUP($A58,main!$A$3:$H$102,6,FALSE)&gt;=main!$D$103+VLOOKUP(VLOOKUP(BB$1,main!$A$3:$I$102,7,FALSE),main!$K$26:$Q$29,3,FALSE),1,0)</f>
        <v>0</v>
      </c>
      <c r="BC58">
        <f>IF(VLOOKUP(BC$1,main!$A$3:$H$102,5,FALSE)-VLOOKUP($A58,main!$A$3:$H$102,6,FALSE)&gt;=main!$D$103+VLOOKUP(VLOOKUP(BC$1,main!$A$3:$I$102,7,FALSE),main!$K$26:$Q$29,3,FALSE),1,0)</f>
        <v>1</v>
      </c>
      <c r="BD58">
        <f>IF(VLOOKUP(BD$1,main!$A$3:$H$102,5,FALSE)-VLOOKUP($A58,main!$A$3:$H$102,6,FALSE)&gt;=main!$D$103+VLOOKUP(VLOOKUP(BD$1,main!$A$3:$I$102,7,FALSE),main!$K$26:$Q$29,3,FALSE),1,0)</f>
        <v>1</v>
      </c>
      <c r="BE58">
        <f>IF(VLOOKUP(BE$1,main!$A$3:$H$102,5,FALSE)-VLOOKUP($A58,main!$A$3:$H$102,6,FALSE)&gt;=main!$D$103+VLOOKUP(VLOOKUP(BE$1,main!$A$3:$I$102,7,FALSE),main!$K$26:$Q$29,3,FALSE),1,0)</f>
        <v>1</v>
      </c>
      <c r="BF58">
        <f>IF(VLOOKUP(BF$1,main!$A$3:$H$102,5,FALSE)-VLOOKUP($A58,main!$A$3:$H$102,6,FALSE)&gt;=main!$D$103+VLOOKUP(VLOOKUP(BF$1,main!$A$3:$I$102,7,FALSE),main!$K$26:$Q$29,3,FALSE),1,0)</f>
        <v>0</v>
      </c>
      <c r="BG58">
        <f>IF(VLOOKUP(BG$1,main!$A$3:$H$102,5,FALSE)-VLOOKUP($A58,main!$A$3:$H$102,6,FALSE)&gt;=main!$D$103+VLOOKUP(VLOOKUP(BG$1,main!$A$3:$I$102,7,FALSE),main!$K$26:$Q$29,3,FALSE),1,0)</f>
        <v>0</v>
      </c>
      <c r="BH58">
        <f>IF(VLOOKUP(BH$1,main!$A$3:$H$102,5,FALSE)-VLOOKUP($A58,main!$A$3:$H$102,6,FALSE)&gt;=main!$D$103+VLOOKUP(VLOOKUP(BH$1,main!$A$3:$I$102,7,FALSE),main!$K$26:$Q$29,3,FALSE),1,0)</f>
        <v>1</v>
      </c>
      <c r="BI58">
        <f>IF(VLOOKUP(BI$1,main!$A$3:$H$102,5,FALSE)-VLOOKUP($A58,main!$A$3:$H$102,6,FALSE)&gt;=main!$D$103+VLOOKUP(VLOOKUP(BI$1,main!$A$3:$I$102,7,FALSE),main!$K$26:$Q$29,3,FALSE),1,0)</f>
        <v>1</v>
      </c>
      <c r="BJ58">
        <f>IF(VLOOKUP(BJ$1,main!$A$3:$H$102,5,FALSE)-VLOOKUP($A58,main!$A$3:$H$102,6,FALSE)&gt;=main!$D$103+VLOOKUP(VLOOKUP(BJ$1,main!$A$3:$I$102,7,FALSE),main!$K$26:$Q$29,3,FALSE),1,0)</f>
        <v>1</v>
      </c>
      <c r="BK58">
        <f>IF(VLOOKUP(BK$1,main!$A$3:$H$102,5,FALSE)-VLOOKUP($A58,main!$A$3:$H$102,6,FALSE)&gt;=main!$D$103+VLOOKUP(VLOOKUP(BK$1,main!$A$3:$I$102,7,FALSE),main!$K$26:$Q$29,3,FALSE),1,0)</f>
        <v>0</v>
      </c>
      <c r="BL58">
        <f>IF(VLOOKUP(BL$1,main!$A$3:$H$102,5,FALSE)-VLOOKUP($A58,main!$A$3:$H$102,6,FALSE)&gt;=main!$D$103+VLOOKUP(VLOOKUP(BL$1,main!$A$3:$I$102,7,FALSE),main!$K$26:$Q$29,3,FALSE),1,0)</f>
        <v>0</v>
      </c>
      <c r="BM58">
        <f>IF(VLOOKUP(BM$1,main!$A$3:$H$102,5,FALSE)-VLOOKUP($A58,main!$A$3:$H$102,6,FALSE)&gt;=main!$D$103+VLOOKUP(VLOOKUP(BM$1,main!$A$3:$I$102,7,FALSE),main!$K$26:$Q$29,3,FALSE),1,0)</f>
        <v>0</v>
      </c>
      <c r="BN58">
        <f>IF(VLOOKUP(BN$1,main!$A$3:$H$102,5,FALSE)-VLOOKUP($A58,main!$A$3:$H$102,6,FALSE)&gt;=main!$D$103+VLOOKUP(VLOOKUP(BN$1,main!$A$3:$I$102,7,FALSE),main!$K$26:$Q$29,3,FALSE),1,0)</f>
        <v>1</v>
      </c>
      <c r="BO58">
        <f>IF(VLOOKUP(BO$1,main!$A$3:$H$102,5,FALSE)-VLOOKUP($A58,main!$A$3:$H$102,6,FALSE)&gt;=main!$D$103+VLOOKUP(VLOOKUP(BO$1,main!$A$3:$I$102,7,FALSE),main!$K$26:$Q$29,3,FALSE),1,0)</f>
        <v>0</v>
      </c>
      <c r="BP58">
        <f>IF(VLOOKUP(BP$1,main!$A$3:$H$102,5,FALSE)-VLOOKUP($A58,main!$A$3:$H$102,6,FALSE)&gt;=main!$D$103+VLOOKUP(VLOOKUP(BP$1,main!$A$3:$I$102,7,FALSE),main!$K$26:$Q$29,3,FALSE),1,0)</f>
        <v>0</v>
      </c>
      <c r="BQ58">
        <f>IF(VLOOKUP(BQ$1,main!$A$3:$H$102,5,FALSE)-VLOOKUP($A58,main!$A$3:$H$102,6,FALSE)&gt;=main!$D$103+VLOOKUP(VLOOKUP(BQ$1,main!$A$3:$I$102,7,FALSE),main!$K$26:$Q$29,3,FALSE),1,0)</f>
        <v>0</v>
      </c>
      <c r="BR58">
        <f>IF(VLOOKUP(BR$1,main!$A$3:$H$102,5,FALSE)-VLOOKUP($A58,main!$A$3:$H$102,6,FALSE)&gt;=main!$D$103+VLOOKUP(VLOOKUP(BR$1,main!$A$3:$I$102,7,FALSE),main!$K$26:$Q$29,3,FALSE),1,0)</f>
        <v>1</v>
      </c>
      <c r="BS58">
        <f>IF(VLOOKUP(BS$1,main!$A$3:$H$102,5,FALSE)-VLOOKUP($A58,main!$A$3:$H$102,6,FALSE)&gt;=main!$D$103+VLOOKUP(VLOOKUP(BS$1,main!$A$3:$I$102,7,FALSE),main!$K$26:$Q$29,3,FALSE),1,0)</f>
        <v>1</v>
      </c>
      <c r="BT58">
        <f>IF(VLOOKUP(BT$1,main!$A$3:$H$102,5,FALSE)-VLOOKUP($A58,main!$A$3:$H$102,6,FALSE)&gt;=main!$D$103+VLOOKUP(VLOOKUP(BT$1,main!$A$3:$I$102,7,FALSE),main!$K$26:$Q$29,3,FALSE),1,0)</f>
        <v>0</v>
      </c>
      <c r="BU58">
        <f>IF(VLOOKUP(BU$1,main!$A$3:$H$102,5,FALSE)-VLOOKUP($A58,main!$A$3:$H$102,6,FALSE)&gt;=main!$D$103+VLOOKUP(VLOOKUP(BU$1,main!$A$3:$I$102,7,FALSE),main!$K$26:$Q$29,3,FALSE),1,0)</f>
        <v>0</v>
      </c>
      <c r="BV58">
        <f>IF(VLOOKUP(BV$1,main!$A$3:$H$102,5,FALSE)-VLOOKUP($A58,main!$A$3:$H$102,6,FALSE)&gt;=main!$D$103+VLOOKUP(VLOOKUP(BV$1,main!$A$3:$I$102,7,FALSE),main!$K$26:$Q$29,3,FALSE),1,0)</f>
        <v>0</v>
      </c>
      <c r="BW58">
        <f>IF(VLOOKUP(BW$1,main!$A$3:$H$102,5,FALSE)-VLOOKUP($A58,main!$A$3:$H$102,6,FALSE)&gt;=main!$D$103+VLOOKUP(VLOOKUP(BW$1,main!$A$3:$I$102,7,FALSE),main!$K$26:$Q$29,3,FALSE),1,0)</f>
        <v>0</v>
      </c>
      <c r="BX58">
        <f>IF(VLOOKUP(BX$1,main!$A$3:$H$102,5,FALSE)-VLOOKUP($A58,main!$A$3:$H$102,6,FALSE)&gt;=main!$D$103+VLOOKUP(VLOOKUP(BX$1,main!$A$3:$I$102,7,FALSE),main!$K$26:$Q$29,3,FALSE),1,0)</f>
        <v>0</v>
      </c>
      <c r="BY58">
        <f>IF(VLOOKUP(BY$1,main!$A$3:$H$102,5,FALSE)-VLOOKUP($A58,main!$A$3:$H$102,6,FALSE)&gt;=main!$D$103+VLOOKUP(VLOOKUP(BY$1,main!$A$3:$I$102,7,FALSE),main!$K$26:$Q$29,3,FALSE),1,0)</f>
        <v>1</v>
      </c>
      <c r="BZ58">
        <f>IF(VLOOKUP(BZ$1,main!$A$3:$H$102,5,FALSE)-VLOOKUP($A58,main!$A$3:$H$102,6,FALSE)&gt;=main!$D$103+VLOOKUP(VLOOKUP(BZ$1,main!$A$3:$I$102,7,FALSE),main!$K$26:$Q$29,3,FALSE),1,0)</f>
        <v>0</v>
      </c>
      <c r="CA58">
        <f>IF(VLOOKUP(CA$1,main!$A$3:$H$102,5,FALSE)-VLOOKUP($A58,main!$A$3:$H$102,6,FALSE)&gt;=main!$D$103+VLOOKUP(VLOOKUP(CA$1,main!$A$3:$I$102,7,FALSE),main!$K$26:$Q$29,3,FALSE),1,0)</f>
        <v>0</v>
      </c>
      <c r="CB58">
        <f>IF(VLOOKUP(CB$1,main!$A$3:$H$102,5,FALSE)-VLOOKUP($A58,main!$A$3:$H$102,6,FALSE)&gt;=main!$D$103+VLOOKUP(VLOOKUP(CB$1,main!$A$3:$I$102,7,FALSE),main!$K$26:$Q$29,3,FALSE),1,0)</f>
        <v>1</v>
      </c>
      <c r="CC58">
        <f>IF(VLOOKUP(CC$1,main!$A$3:$H$102,5,FALSE)-VLOOKUP($A58,main!$A$3:$H$102,6,FALSE)&gt;=main!$D$103+VLOOKUP(VLOOKUP(CC$1,main!$A$3:$I$102,7,FALSE),main!$K$26:$Q$29,3,FALSE),1,0)</f>
        <v>1</v>
      </c>
      <c r="CD58">
        <f>IF(VLOOKUP(CD$1,main!$A$3:$H$102,5,FALSE)-VLOOKUP($A58,main!$A$3:$H$102,6,FALSE)&gt;=main!$D$103+VLOOKUP(VLOOKUP(CD$1,main!$A$3:$I$102,7,FALSE),main!$K$26:$Q$29,3,FALSE),1,0)</f>
        <v>1</v>
      </c>
      <c r="CE58">
        <f>IF(VLOOKUP(CE$1,main!$A$3:$H$102,5,FALSE)-VLOOKUP($A58,main!$A$3:$H$102,6,FALSE)&gt;=main!$D$103+VLOOKUP(VLOOKUP(CE$1,main!$A$3:$I$102,7,FALSE),main!$K$26:$Q$29,3,FALSE),1,0)</f>
        <v>0</v>
      </c>
      <c r="CF58">
        <f>IF(VLOOKUP(CF$1,main!$A$3:$H$102,5,FALSE)-VLOOKUP($A58,main!$A$3:$H$102,6,FALSE)&gt;=main!$D$103+VLOOKUP(VLOOKUP(CF$1,main!$A$3:$I$102,7,FALSE),main!$K$26:$Q$29,3,FALSE),1,0)</f>
        <v>0</v>
      </c>
      <c r="CG58">
        <f>IF(VLOOKUP(CG$1,main!$A$3:$H$102,5,FALSE)-VLOOKUP($A58,main!$A$3:$H$102,6,FALSE)&gt;=main!$D$103+VLOOKUP(VLOOKUP(CG$1,main!$A$3:$I$102,7,FALSE),main!$K$26:$Q$29,3,FALSE),1,0)</f>
        <v>1</v>
      </c>
      <c r="CH58">
        <f>IF(VLOOKUP(CH$1,main!$A$3:$H$102,5,FALSE)-VLOOKUP($A58,main!$A$3:$H$102,6,FALSE)&gt;=main!$D$103+VLOOKUP(VLOOKUP(CH$1,main!$A$3:$I$102,7,FALSE),main!$K$26:$Q$29,3,FALSE),1,0)</f>
        <v>1</v>
      </c>
      <c r="CI58">
        <f>IF(VLOOKUP(CI$1,main!$A$3:$H$102,5,FALSE)-VLOOKUP($A58,main!$A$3:$H$102,6,FALSE)&gt;=main!$D$103+VLOOKUP(VLOOKUP(CI$1,main!$A$3:$I$102,7,FALSE),main!$K$26:$Q$29,3,FALSE),1,0)</f>
        <v>1</v>
      </c>
      <c r="CJ58">
        <f>IF(VLOOKUP(CJ$1,main!$A$3:$H$102,5,FALSE)-VLOOKUP($A58,main!$A$3:$H$102,6,FALSE)&gt;=main!$D$103+VLOOKUP(VLOOKUP(CJ$1,main!$A$3:$I$102,7,FALSE),main!$K$26:$Q$29,3,FALSE),1,0)</f>
        <v>1</v>
      </c>
      <c r="CK58">
        <f>IF(VLOOKUP(CK$1,main!$A$3:$H$102,5,FALSE)-VLOOKUP($A58,main!$A$3:$H$102,6,FALSE)&gt;=main!$D$103+VLOOKUP(VLOOKUP(CK$1,main!$A$3:$I$102,7,FALSE),main!$K$26:$Q$29,3,FALSE),1,0)</f>
        <v>0</v>
      </c>
      <c r="CL58">
        <f>IF(VLOOKUP(CL$1,main!$A$3:$H$102,5,FALSE)-VLOOKUP($A58,main!$A$3:$H$102,6,FALSE)&gt;=main!$D$103+VLOOKUP(VLOOKUP(CL$1,main!$A$3:$I$102,7,FALSE),main!$K$26:$Q$29,3,FALSE),1,0)</f>
        <v>1</v>
      </c>
      <c r="CM58">
        <f>IF(VLOOKUP(CM$1,main!$A$3:$H$102,5,FALSE)-VLOOKUP($A58,main!$A$3:$H$102,6,FALSE)&gt;=main!$D$103+VLOOKUP(VLOOKUP(CM$1,main!$A$3:$I$102,7,FALSE),main!$K$26:$Q$29,3,FALSE),1,0)</f>
        <v>1</v>
      </c>
      <c r="CN58">
        <f>IF(VLOOKUP(CN$1,main!$A$3:$H$102,5,FALSE)-VLOOKUP($A58,main!$A$3:$H$102,6,FALSE)&gt;=main!$D$103+VLOOKUP(VLOOKUP(CN$1,main!$A$3:$I$102,7,FALSE),main!$K$26:$Q$29,3,FALSE),1,0)</f>
        <v>1</v>
      </c>
      <c r="CO58">
        <f>IF(VLOOKUP(CO$1,main!$A$3:$H$102,5,FALSE)-VLOOKUP($A58,main!$A$3:$H$102,6,FALSE)&gt;=main!$D$103+VLOOKUP(VLOOKUP(CO$1,main!$A$3:$I$102,7,FALSE),main!$K$26:$Q$29,3,FALSE),1,0)</f>
        <v>0</v>
      </c>
      <c r="CP58">
        <f>IF(VLOOKUP(CP$1,main!$A$3:$H$102,5,FALSE)-VLOOKUP($A58,main!$A$3:$H$102,6,FALSE)&gt;=main!$D$103+VLOOKUP(VLOOKUP(CP$1,main!$A$3:$I$102,7,FALSE),main!$K$26:$Q$29,3,FALSE),1,0)</f>
        <v>0</v>
      </c>
      <c r="CQ58">
        <f>IF(VLOOKUP(CQ$1,main!$A$3:$H$102,5,FALSE)-VLOOKUP($A58,main!$A$3:$H$102,6,FALSE)&gt;=main!$D$103+VLOOKUP(VLOOKUP(CQ$1,main!$A$3:$I$102,7,FALSE),main!$K$26:$Q$29,3,FALSE),1,0)</f>
        <v>1</v>
      </c>
      <c r="CR58">
        <f>IF(VLOOKUP(CR$1,main!$A$3:$H$102,5,FALSE)-VLOOKUP($A58,main!$A$3:$H$102,6,FALSE)&gt;=main!$D$103+VLOOKUP(VLOOKUP(CR$1,main!$A$3:$I$102,7,FALSE),main!$K$26:$Q$29,3,FALSE),1,0)</f>
        <v>1</v>
      </c>
      <c r="CS58">
        <f>IF(VLOOKUP(CS$1,main!$A$3:$H$102,5,FALSE)-VLOOKUP($A58,main!$A$3:$H$102,6,FALSE)&gt;=main!$D$103+VLOOKUP(VLOOKUP(CS$1,main!$A$3:$I$102,7,FALSE),main!$K$26:$Q$29,3,FALSE),1,0)</f>
        <v>1</v>
      </c>
      <c r="CT58">
        <f>IF(VLOOKUP(CT$1,main!$A$3:$H$102,5,FALSE)-VLOOKUP($A58,main!$A$3:$H$102,6,FALSE)&gt;=main!$D$103+VLOOKUP(VLOOKUP(CT$1,main!$A$3:$I$102,7,FALSE),main!$K$26:$Q$29,3,FALSE),1,0)</f>
        <v>0</v>
      </c>
      <c r="CU58">
        <f>IF(VLOOKUP(CU$1,main!$A$3:$H$102,5,FALSE)-VLOOKUP($A58,main!$A$3:$H$102,6,FALSE)&gt;=main!$D$103+VLOOKUP(VLOOKUP(CU$1,main!$A$3:$I$102,7,FALSE),main!$K$26:$Q$29,3,FALSE),1,0)</f>
        <v>0</v>
      </c>
      <c r="CV58">
        <f>IF(VLOOKUP(CV$1,main!$A$3:$H$102,5,FALSE)-VLOOKUP($A58,main!$A$3:$H$102,6,FALSE)&gt;=main!$D$103+VLOOKUP(VLOOKUP(CV$1,main!$A$3:$I$102,7,FALSE),main!$K$26:$Q$29,3,FALSE),1,0)</f>
        <v>1</v>
      </c>
      <c r="CW58">
        <f>IF(VLOOKUP(CW$1,main!$A$3:$H$102,5,FALSE)-VLOOKUP($A58,main!$A$3:$H$102,6,FALSE)&gt;=main!$D$103+VLOOKUP(VLOOKUP(CW$1,main!$A$3:$I$102,7,FALSE),main!$K$26:$Q$29,3,FALSE),1,0)</f>
        <v>1</v>
      </c>
      <c r="CX58">
        <f>IF(VLOOKUP(CX$1,main!$A$3:$H$102,5,FALSE)-VLOOKUP($A58,main!$A$3:$H$102,6,FALSE)&gt;=main!$D$103+VLOOKUP(VLOOKUP(CX$1,main!$A$3:$I$102,7,FALSE),main!$K$26:$Q$29,3,FALSE),1,0)</f>
        <v>1</v>
      </c>
    </row>
    <row r="59" spans="1:102" x14ac:dyDescent="0.25">
      <c r="A59" s="1">
        <v>57</v>
      </c>
      <c r="B59">
        <v>0</v>
      </c>
      <c r="C59">
        <f>IF(VLOOKUP(C$1,main!$A$3:$H$102,5,FALSE)-VLOOKUP($A59,main!$A$3:$H$102,6,FALSE)&gt;=main!$D$103+VLOOKUP(VLOOKUP(C$1,main!$A$3:$I$102,7,FALSE),main!$K$26:$Q$29,3,FALSE),1,0)</f>
        <v>0</v>
      </c>
      <c r="D59">
        <f>IF(VLOOKUP(D$1,main!$A$3:$H$102,5,FALSE)-VLOOKUP($A59,main!$A$3:$H$102,6,FALSE)&gt;=main!$D$103+VLOOKUP(VLOOKUP(D$1,main!$A$3:$I$102,7,FALSE),main!$K$26:$Q$29,3,FALSE),1,0)</f>
        <v>0</v>
      </c>
      <c r="E59">
        <f>IF(VLOOKUP(E$1,main!$A$3:$H$102,5,FALSE)-VLOOKUP($A59,main!$A$3:$H$102,6,FALSE)&gt;=main!$D$103+VLOOKUP(VLOOKUP(E$1,main!$A$3:$I$102,7,FALSE),main!$K$26:$Q$29,3,FALSE),1,0)</f>
        <v>0</v>
      </c>
      <c r="F59">
        <f>IF(VLOOKUP(F$1,main!$A$3:$H$102,5,FALSE)-VLOOKUP($A59,main!$A$3:$H$102,6,FALSE)&gt;=main!$D$103+VLOOKUP(VLOOKUP(F$1,main!$A$3:$I$102,7,FALSE),main!$K$26:$Q$29,3,FALSE),1,0)</f>
        <v>0</v>
      </c>
      <c r="G59">
        <f>IF(VLOOKUP(G$1,main!$A$3:$H$102,5,FALSE)-VLOOKUP($A59,main!$A$3:$H$102,6,FALSE)&gt;=main!$D$103+VLOOKUP(VLOOKUP(G$1,main!$A$3:$I$102,7,FALSE),main!$K$26:$Q$29,3,FALSE),1,0)</f>
        <v>1</v>
      </c>
      <c r="H59">
        <f>IF(VLOOKUP(H$1,main!$A$3:$H$102,5,FALSE)-VLOOKUP($A59,main!$A$3:$H$102,6,FALSE)&gt;=main!$D$103+VLOOKUP(VLOOKUP(H$1,main!$A$3:$I$102,7,FALSE),main!$K$26:$Q$29,3,FALSE),1,0)</f>
        <v>1</v>
      </c>
      <c r="I59">
        <f>IF(VLOOKUP(I$1,main!$A$3:$H$102,5,FALSE)-VLOOKUP($A59,main!$A$3:$H$102,6,FALSE)&gt;=main!$D$103+VLOOKUP(VLOOKUP(I$1,main!$A$3:$I$102,7,FALSE),main!$K$26:$Q$29,3,FALSE),1,0)</f>
        <v>1</v>
      </c>
      <c r="J59">
        <f>IF(VLOOKUP(J$1,main!$A$3:$H$102,5,FALSE)-VLOOKUP($A59,main!$A$3:$H$102,6,FALSE)&gt;=main!$D$103+VLOOKUP(VLOOKUP(J$1,main!$A$3:$I$102,7,FALSE),main!$K$26:$Q$29,3,FALSE),1,0)</f>
        <v>1</v>
      </c>
      <c r="K59">
        <f>IF(VLOOKUP(K$1,main!$A$3:$H$102,5,FALSE)-VLOOKUP($A59,main!$A$3:$H$102,6,FALSE)&gt;=main!$D$103+VLOOKUP(VLOOKUP(K$1,main!$A$3:$I$102,7,FALSE),main!$K$26:$Q$29,3,FALSE),1,0)</f>
        <v>1</v>
      </c>
      <c r="L59">
        <f>IF(VLOOKUP(L$1,main!$A$3:$H$102,5,FALSE)-VLOOKUP($A59,main!$A$3:$H$102,6,FALSE)&gt;=main!$D$103+VLOOKUP(VLOOKUP(L$1,main!$A$3:$I$102,7,FALSE),main!$K$26:$Q$29,3,FALSE),1,0)</f>
        <v>1</v>
      </c>
      <c r="M59">
        <f>IF(VLOOKUP(M$1,main!$A$3:$H$102,5,FALSE)-VLOOKUP($A59,main!$A$3:$H$102,6,FALSE)&gt;=main!$D$103+VLOOKUP(VLOOKUP(M$1,main!$A$3:$I$102,7,FALSE),main!$K$26:$Q$29,3,FALSE),1,0)</f>
        <v>0</v>
      </c>
      <c r="N59">
        <f>IF(VLOOKUP(N$1,main!$A$3:$H$102,5,FALSE)-VLOOKUP($A59,main!$A$3:$H$102,6,FALSE)&gt;=main!$D$103+VLOOKUP(VLOOKUP(N$1,main!$A$3:$I$102,7,FALSE),main!$K$26:$Q$29,3,FALSE),1,0)</f>
        <v>0</v>
      </c>
      <c r="O59">
        <f>IF(VLOOKUP(O$1,main!$A$3:$H$102,5,FALSE)-VLOOKUP($A59,main!$A$3:$H$102,6,FALSE)&gt;=main!$D$103+VLOOKUP(VLOOKUP(O$1,main!$A$3:$I$102,7,FALSE),main!$K$26:$Q$29,3,FALSE),1,0)</f>
        <v>0</v>
      </c>
      <c r="P59">
        <f>IF(VLOOKUP(P$1,main!$A$3:$H$102,5,FALSE)-VLOOKUP($A59,main!$A$3:$H$102,6,FALSE)&gt;=main!$D$103+VLOOKUP(VLOOKUP(P$1,main!$A$3:$I$102,7,FALSE),main!$K$26:$Q$29,3,FALSE),1,0)</f>
        <v>0</v>
      </c>
      <c r="Q59">
        <f>IF(VLOOKUP(Q$1,main!$A$3:$H$102,5,FALSE)-VLOOKUP($A59,main!$A$3:$H$102,6,FALSE)&gt;=main!$D$103+VLOOKUP(VLOOKUP(Q$1,main!$A$3:$I$102,7,FALSE),main!$K$26:$Q$29,3,FALSE),1,0)</f>
        <v>0</v>
      </c>
      <c r="R59">
        <f>IF(VLOOKUP(R$1,main!$A$3:$H$102,5,FALSE)-VLOOKUP($A59,main!$A$3:$H$102,6,FALSE)&gt;=main!$D$103+VLOOKUP(VLOOKUP(R$1,main!$A$3:$I$102,7,FALSE),main!$K$26:$Q$29,3,FALSE),1,0)</f>
        <v>0</v>
      </c>
      <c r="S59">
        <f>IF(VLOOKUP(S$1,main!$A$3:$H$102,5,FALSE)-VLOOKUP($A59,main!$A$3:$H$102,6,FALSE)&gt;=main!$D$103+VLOOKUP(VLOOKUP(S$1,main!$A$3:$I$102,7,FALSE),main!$K$26:$Q$29,3,FALSE),1,0)</f>
        <v>1</v>
      </c>
      <c r="T59">
        <f>IF(VLOOKUP(T$1,main!$A$3:$H$102,5,FALSE)-VLOOKUP($A59,main!$A$3:$H$102,6,FALSE)&gt;=main!$D$103+VLOOKUP(VLOOKUP(T$1,main!$A$3:$I$102,7,FALSE),main!$K$26:$Q$29,3,FALSE),1,0)</f>
        <v>1</v>
      </c>
      <c r="U59">
        <f>IF(VLOOKUP(U$1,main!$A$3:$H$102,5,FALSE)-VLOOKUP($A59,main!$A$3:$H$102,6,FALSE)&gt;=main!$D$103+VLOOKUP(VLOOKUP(U$1,main!$A$3:$I$102,7,FALSE),main!$K$26:$Q$29,3,FALSE),1,0)</f>
        <v>1</v>
      </c>
      <c r="V59">
        <f>IF(VLOOKUP(V$1,main!$A$3:$H$102,5,FALSE)-VLOOKUP($A59,main!$A$3:$H$102,6,FALSE)&gt;=main!$D$103+VLOOKUP(VLOOKUP(V$1,main!$A$3:$I$102,7,FALSE),main!$K$26:$Q$29,3,FALSE),1,0)</f>
        <v>1</v>
      </c>
      <c r="W59">
        <f>IF(VLOOKUP(W$1,main!$A$3:$H$102,5,FALSE)-VLOOKUP($A59,main!$A$3:$H$102,6,FALSE)&gt;=main!$D$103+VLOOKUP(VLOOKUP(W$1,main!$A$3:$I$102,7,FALSE),main!$K$26:$Q$29,3,FALSE),1,0)</f>
        <v>0</v>
      </c>
      <c r="X59">
        <f>IF(VLOOKUP(X$1,main!$A$3:$H$102,5,FALSE)-VLOOKUP($A59,main!$A$3:$H$102,6,FALSE)&gt;=main!$D$103+VLOOKUP(VLOOKUP(X$1,main!$A$3:$I$102,7,FALSE),main!$K$26:$Q$29,3,FALSE),1,0)</f>
        <v>0</v>
      </c>
      <c r="Y59">
        <f>IF(VLOOKUP(Y$1,main!$A$3:$H$102,5,FALSE)-VLOOKUP($A59,main!$A$3:$H$102,6,FALSE)&gt;=main!$D$103+VLOOKUP(VLOOKUP(Y$1,main!$A$3:$I$102,7,FALSE),main!$K$26:$Q$29,3,FALSE),1,0)</f>
        <v>0</v>
      </c>
      <c r="Z59">
        <f>IF(VLOOKUP(Z$1,main!$A$3:$H$102,5,FALSE)-VLOOKUP($A59,main!$A$3:$H$102,6,FALSE)&gt;=main!$D$103+VLOOKUP(VLOOKUP(Z$1,main!$A$3:$I$102,7,FALSE),main!$K$26:$Q$29,3,FALSE),1,0)</f>
        <v>1</v>
      </c>
      <c r="AA59">
        <f>IF(VLOOKUP(AA$1,main!$A$3:$H$102,5,FALSE)-VLOOKUP($A59,main!$A$3:$H$102,6,FALSE)&gt;=main!$D$103+VLOOKUP(VLOOKUP(AA$1,main!$A$3:$I$102,7,FALSE),main!$K$26:$Q$29,3,FALSE),1,0)</f>
        <v>1</v>
      </c>
      <c r="AB59">
        <f>IF(VLOOKUP(AB$1,main!$A$3:$H$102,5,FALSE)-VLOOKUP($A59,main!$A$3:$H$102,6,FALSE)&gt;=main!$D$103+VLOOKUP(VLOOKUP(AB$1,main!$A$3:$I$102,7,FALSE),main!$K$26:$Q$29,3,FALSE),1,0)</f>
        <v>0</v>
      </c>
      <c r="AC59">
        <f>IF(VLOOKUP(AC$1,main!$A$3:$H$102,5,FALSE)-VLOOKUP($A59,main!$A$3:$H$102,6,FALSE)&gt;=main!$D$103+VLOOKUP(VLOOKUP(AC$1,main!$A$3:$I$102,7,FALSE),main!$K$26:$Q$29,3,FALSE),1,0)</f>
        <v>0</v>
      </c>
      <c r="AD59">
        <f>IF(VLOOKUP(AD$1,main!$A$3:$H$102,5,FALSE)-VLOOKUP($A59,main!$A$3:$H$102,6,FALSE)&gt;=main!$D$103+VLOOKUP(VLOOKUP(AD$1,main!$A$3:$I$102,7,FALSE),main!$K$26:$Q$29,3,FALSE),1,0)</f>
        <v>0</v>
      </c>
      <c r="AE59">
        <f>IF(VLOOKUP(AE$1,main!$A$3:$H$102,5,FALSE)-VLOOKUP($A59,main!$A$3:$H$102,6,FALSE)&gt;=main!$D$103+VLOOKUP(VLOOKUP(AE$1,main!$A$3:$I$102,7,FALSE),main!$K$26:$Q$29,3,FALSE),1,0)</f>
        <v>1</v>
      </c>
      <c r="AF59">
        <f>IF(VLOOKUP(AF$1,main!$A$3:$H$102,5,FALSE)-VLOOKUP($A59,main!$A$3:$H$102,6,FALSE)&gt;=main!$D$103+VLOOKUP(VLOOKUP(AF$1,main!$A$3:$I$102,7,FALSE),main!$K$26:$Q$29,3,FALSE),1,0)</f>
        <v>1</v>
      </c>
      <c r="AG59">
        <f>IF(VLOOKUP(AG$1,main!$A$3:$H$102,5,FALSE)-VLOOKUP($A59,main!$A$3:$H$102,6,FALSE)&gt;=main!$D$103+VLOOKUP(VLOOKUP(AG$1,main!$A$3:$I$102,7,FALSE),main!$K$26:$Q$29,3,FALSE),1,0)</f>
        <v>0</v>
      </c>
      <c r="AH59">
        <f>IF(VLOOKUP(AH$1,main!$A$3:$H$102,5,FALSE)-VLOOKUP($A59,main!$A$3:$H$102,6,FALSE)&gt;=main!$D$103+VLOOKUP(VLOOKUP(AH$1,main!$A$3:$I$102,7,FALSE),main!$K$26:$Q$29,3,FALSE),1,0)</f>
        <v>0</v>
      </c>
      <c r="AI59">
        <f>IF(VLOOKUP(AI$1,main!$A$3:$H$102,5,FALSE)-VLOOKUP($A59,main!$A$3:$H$102,6,FALSE)&gt;=main!$D$103+VLOOKUP(VLOOKUP(AI$1,main!$A$3:$I$102,7,FALSE),main!$K$26:$Q$29,3,FALSE),1,0)</f>
        <v>0</v>
      </c>
      <c r="AJ59">
        <f>IF(VLOOKUP(AJ$1,main!$A$3:$H$102,5,FALSE)-VLOOKUP($A59,main!$A$3:$H$102,6,FALSE)&gt;=main!$D$103+VLOOKUP(VLOOKUP(AJ$1,main!$A$3:$I$102,7,FALSE),main!$K$26:$Q$29,3,FALSE),1,0)</f>
        <v>0</v>
      </c>
      <c r="AK59">
        <f>IF(VLOOKUP(AK$1,main!$A$3:$H$102,5,FALSE)-VLOOKUP($A59,main!$A$3:$H$102,6,FALSE)&gt;=main!$D$103+VLOOKUP(VLOOKUP(AK$1,main!$A$3:$I$102,7,FALSE),main!$K$26:$Q$29,3,FALSE),1,0)</f>
        <v>1</v>
      </c>
      <c r="AL59">
        <f>IF(VLOOKUP(AL$1,main!$A$3:$H$102,5,FALSE)-VLOOKUP($A59,main!$A$3:$H$102,6,FALSE)&gt;=main!$D$103+VLOOKUP(VLOOKUP(AL$1,main!$A$3:$I$102,7,FALSE),main!$K$26:$Q$29,3,FALSE),1,0)</f>
        <v>1</v>
      </c>
      <c r="AM59">
        <f>IF(VLOOKUP(AM$1,main!$A$3:$H$102,5,FALSE)-VLOOKUP($A59,main!$A$3:$H$102,6,FALSE)&gt;=main!$D$103+VLOOKUP(VLOOKUP(AM$1,main!$A$3:$I$102,7,FALSE),main!$K$26:$Q$29,3,FALSE),1,0)</f>
        <v>1</v>
      </c>
      <c r="AN59">
        <f>IF(VLOOKUP(AN$1,main!$A$3:$H$102,5,FALSE)-VLOOKUP($A59,main!$A$3:$H$102,6,FALSE)&gt;=main!$D$103+VLOOKUP(VLOOKUP(AN$1,main!$A$3:$I$102,7,FALSE),main!$K$26:$Q$29,3,FALSE),1,0)</f>
        <v>1</v>
      </c>
      <c r="AO59">
        <f>IF(VLOOKUP(AO$1,main!$A$3:$H$102,5,FALSE)-VLOOKUP($A59,main!$A$3:$H$102,6,FALSE)&gt;=main!$D$103+VLOOKUP(VLOOKUP(AO$1,main!$A$3:$I$102,7,FALSE),main!$K$26:$Q$29,3,FALSE),1,0)</f>
        <v>0</v>
      </c>
      <c r="AP59">
        <f>IF(VLOOKUP(AP$1,main!$A$3:$H$102,5,FALSE)-VLOOKUP($A59,main!$A$3:$H$102,6,FALSE)&gt;=main!$D$103+VLOOKUP(VLOOKUP(AP$1,main!$A$3:$I$102,7,FALSE),main!$K$26:$Q$29,3,FALSE),1,0)</f>
        <v>1</v>
      </c>
      <c r="AQ59">
        <f>IF(VLOOKUP(AQ$1,main!$A$3:$H$102,5,FALSE)-VLOOKUP($A59,main!$A$3:$H$102,6,FALSE)&gt;=main!$D$103+VLOOKUP(VLOOKUP(AQ$1,main!$A$3:$I$102,7,FALSE),main!$K$26:$Q$29,3,FALSE),1,0)</f>
        <v>0</v>
      </c>
      <c r="AR59">
        <f>IF(VLOOKUP(AR$1,main!$A$3:$H$102,5,FALSE)-VLOOKUP($A59,main!$A$3:$H$102,6,FALSE)&gt;=main!$D$103+VLOOKUP(VLOOKUP(AR$1,main!$A$3:$I$102,7,FALSE),main!$K$26:$Q$29,3,FALSE),1,0)</f>
        <v>0</v>
      </c>
      <c r="AS59">
        <f>IF(VLOOKUP(AS$1,main!$A$3:$H$102,5,FALSE)-VLOOKUP($A59,main!$A$3:$H$102,6,FALSE)&gt;=main!$D$103+VLOOKUP(VLOOKUP(AS$1,main!$A$3:$I$102,7,FALSE),main!$K$26:$Q$29,3,FALSE),1,0)</f>
        <v>0</v>
      </c>
      <c r="AT59">
        <f>IF(VLOOKUP(AT$1,main!$A$3:$H$102,5,FALSE)-VLOOKUP($A59,main!$A$3:$H$102,6,FALSE)&gt;=main!$D$103+VLOOKUP(VLOOKUP(AT$1,main!$A$3:$I$102,7,FALSE),main!$K$26:$Q$29,3,FALSE),1,0)</f>
        <v>1</v>
      </c>
      <c r="AU59">
        <f>IF(VLOOKUP(AU$1,main!$A$3:$H$102,5,FALSE)-VLOOKUP($A59,main!$A$3:$H$102,6,FALSE)&gt;=main!$D$103+VLOOKUP(VLOOKUP(AU$1,main!$A$3:$I$102,7,FALSE),main!$K$26:$Q$29,3,FALSE),1,0)</f>
        <v>0</v>
      </c>
      <c r="AV59">
        <f>IF(VLOOKUP(AV$1,main!$A$3:$H$102,5,FALSE)-VLOOKUP($A59,main!$A$3:$H$102,6,FALSE)&gt;=main!$D$103+VLOOKUP(VLOOKUP(AV$1,main!$A$3:$I$102,7,FALSE),main!$K$26:$Q$29,3,FALSE),1,0)</f>
        <v>0</v>
      </c>
      <c r="AW59">
        <f>IF(VLOOKUP(AW$1,main!$A$3:$H$102,5,FALSE)-VLOOKUP($A59,main!$A$3:$H$102,6,FALSE)&gt;=main!$D$103+VLOOKUP(VLOOKUP(AW$1,main!$A$3:$I$102,7,FALSE),main!$K$26:$Q$29,3,FALSE),1,0)</f>
        <v>1</v>
      </c>
      <c r="AX59">
        <f>IF(VLOOKUP(AX$1,main!$A$3:$H$102,5,FALSE)-VLOOKUP($A59,main!$A$3:$H$102,6,FALSE)&gt;=main!$D$103+VLOOKUP(VLOOKUP(AX$1,main!$A$3:$I$102,7,FALSE),main!$K$26:$Q$29,3,FALSE),1,0)</f>
        <v>0</v>
      </c>
      <c r="AY59">
        <f>IF(VLOOKUP(AY$1,main!$A$3:$H$102,5,FALSE)-VLOOKUP($A59,main!$A$3:$H$102,6,FALSE)&gt;=main!$D$103+VLOOKUP(VLOOKUP(AY$1,main!$A$3:$I$102,7,FALSE),main!$K$26:$Q$29,3,FALSE),1,0)</f>
        <v>0</v>
      </c>
      <c r="AZ59">
        <f>IF(VLOOKUP(AZ$1,main!$A$3:$H$102,5,FALSE)-VLOOKUP($A59,main!$A$3:$H$102,6,FALSE)&gt;=main!$D$103+VLOOKUP(VLOOKUP(AZ$1,main!$A$3:$I$102,7,FALSE),main!$K$26:$Q$29,3,FALSE),1,0)</f>
        <v>0</v>
      </c>
      <c r="BA59">
        <f>IF(VLOOKUP(BA$1,main!$A$3:$H$102,5,FALSE)-VLOOKUP($A59,main!$A$3:$H$102,6,FALSE)&gt;=main!$D$103+VLOOKUP(VLOOKUP(BA$1,main!$A$3:$I$102,7,FALSE),main!$K$26:$Q$29,3,FALSE),1,0)</f>
        <v>0</v>
      </c>
      <c r="BB59">
        <f>IF(VLOOKUP(BB$1,main!$A$3:$H$102,5,FALSE)-VLOOKUP($A59,main!$A$3:$H$102,6,FALSE)&gt;=main!$D$103+VLOOKUP(VLOOKUP(BB$1,main!$A$3:$I$102,7,FALSE),main!$K$26:$Q$29,3,FALSE),1,0)</f>
        <v>0</v>
      </c>
      <c r="BC59">
        <f>IF(VLOOKUP(BC$1,main!$A$3:$H$102,5,FALSE)-VLOOKUP($A59,main!$A$3:$H$102,6,FALSE)&gt;=main!$D$103+VLOOKUP(VLOOKUP(BC$1,main!$A$3:$I$102,7,FALSE),main!$K$26:$Q$29,3,FALSE),1,0)</f>
        <v>1</v>
      </c>
      <c r="BD59">
        <f>IF(VLOOKUP(BD$1,main!$A$3:$H$102,5,FALSE)-VLOOKUP($A59,main!$A$3:$H$102,6,FALSE)&gt;=main!$D$103+VLOOKUP(VLOOKUP(BD$1,main!$A$3:$I$102,7,FALSE),main!$K$26:$Q$29,3,FALSE),1,0)</f>
        <v>1</v>
      </c>
      <c r="BE59">
        <f>IF(VLOOKUP(BE$1,main!$A$3:$H$102,5,FALSE)-VLOOKUP($A59,main!$A$3:$H$102,6,FALSE)&gt;=main!$D$103+VLOOKUP(VLOOKUP(BE$1,main!$A$3:$I$102,7,FALSE),main!$K$26:$Q$29,3,FALSE),1,0)</f>
        <v>1</v>
      </c>
      <c r="BF59">
        <f>IF(VLOOKUP(BF$1,main!$A$3:$H$102,5,FALSE)-VLOOKUP($A59,main!$A$3:$H$102,6,FALSE)&gt;=main!$D$103+VLOOKUP(VLOOKUP(BF$1,main!$A$3:$I$102,7,FALSE),main!$K$26:$Q$29,3,FALSE),1,0)</f>
        <v>0</v>
      </c>
      <c r="BG59">
        <f>IF(VLOOKUP(BG$1,main!$A$3:$H$102,5,FALSE)-VLOOKUP($A59,main!$A$3:$H$102,6,FALSE)&gt;=main!$D$103+VLOOKUP(VLOOKUP(BG$1,main!$A$3:$I$102,7,FALSE),main!$K$26:$Q$29,3,FALSE),1,0)</f>
        <v>0</v>
      </c>
      <c r="BH59">
        <f>IF(VLOOKUP(BH$1,main!$A$3:$H$102,5,FALSE)-VLOOKUP($A59,main!$A$3:$H$102,6,FALSE)&gt;=main!$D$103+VLOOKUP(VLOOKUP(BH$1,main!$A$3:$I$102,7,FALSE),main!$K$26:$Q$29,3,FALSE),1,0)</f>
        <v>1</v>
      </c>
      <c r="BI59">
        <f>IF(VLOOKUP(BI$1,main!$A$3:$H$102,5,FALSE)-VLOOKUP($A59,main!$A$3:$H$102,6,FALSE)&gt;=main!$D$103+VLOOKUP(VLOOKUP(BI$1,main!$A$3:$I$102,7,FALSE),main!$K$26:$Q$29,3,FALSE),1,0)</f>
        <v>1</v>
      </c>
      <c r="BJ59">
        <f>IF(VLOOKUP(BJ$1,main!$A$3:$H$102,5,FALSE)-VLOOKUP($A59,main!$A$3:$H$102,6,FALSE)&gt;=main!$D$103+VLOOKUP(VLOOKUP(BJ$1,main!$A$3:$I$102,7,FALSE),main!$K$26:$Q$29,3,FALSE),1,0)</f>
        <v>1</v>
      </c>
      <c r="BK59">
        <f>IF(VLOOKUP(BK$1,main!$A$3:$H$102,5,FALSE)-VLOOKUP($A59,main!$A$3:$H$102,6,FALSE)&gt;=main!$D$103+VLOOKUP(VLOOKUP(BK$1,main!$A$3:$I$102,7,FALSE),main!$K$26:$Q$29,3,FALSE),1,0)</f>
        <v>0</v>
      </c>
      <c r="BL59">
        <f>IF(VLOOKUP(BL$1,main!$A$3:$H$102,5,FALSE)-VLOOKUP($A59,main!$A$3:$H$102,6,FALSE)&gt;=main!$D$103+VLOOKUP(VLOOKUP(BL$1,main!$A$3:$I$102,7,FALSE),main!$K$26:$Q$29,3,FALSE),1,0)</f>
        <v>0</v>
      </c>
      <c r="BM59">
        <f>IF(VLOOKUP(BM$1,main!$A$3:$H$102,5,FALSE)-VLOOKUP($A59,main!$A$3:$H$102,6,FALSE)&gt;=main!$D$103+VLOOKUP(VLOOKUP(BM$1,main!$A$3:$I$102,7,FALSE),main!$K$26:$Q$29,3,FALSE),1,0)</f>
        <v>0</v>
      </c>
      <c r="BN59">
        <f>IF(VLOOKUP(BN$1,main!$A$3:$H$102,5,FALSE)-VLOOKUP($A59,main!$A$3:$H$102,6,FALSE)&gt;=main!$D$103+VLOOKUP(VLOOKUP(BN$1,main!$A$3:$I$102,7,FALSE),main!$K$26:$Q$29,3,FALSE),1,0)</f>
        <v>1</v>
      </c>
      <c r="BO59">
        <f>IF(VLOOKUP(BO$1,main!$A$3:$H$102,5,FALSE)-VLOOKUP($A59,main!$A$3:$H$102,6,FALSE)&gt;=main!$D$103+VLOOKUP(VLOOKUP(BO$1,main!$A$3:$I$102,7,FALSE),main!$K$26:$Q$29,3,FALSE),1,0)</f>
        <v>0</v>
      </c>
      <c r="BP59">
        <f>IF(VLOOKUP(BP$1,main!$A$3:$H$102,5,FALSE)-VLOOKUP($A59,main!$A$3:$H$102,6,FALSE)&gt;=main!$D$103+VLOOKUP(VLOOKUP(BP$1,main!$A$3:$I$102,7,FALSE),main!$K$26:$Q$29,3,FALSE),1,0)</f>
        <v>0</v>
      </c>
      <c r="BQ59">
        <f>IF(VLOOKUP(BQ$1,main!$A$3:$H$102,5,FALSE)-VLOOKUP($A59,main!$A$3:$H$102,6,FALSE)&gt;=main!$D$103+VLOOKUP(VLOOKUP(BQ$1,main!$A$3:$I$102,7,FALSE),main!$K$26:$Q$29,3,FALSE),1,0)</f>
        <v>0</v>
      </c>
      <c r="BR59">
        <f>IF(VLOOKUP(BR$1,main!$A$3:$H$102,5,FALSE)-VLOOKUP($A59,main!$A$3:$H$102,6,FALSE)&gt;=main!$D$103+VLOOKUP(VLOOKUP(BR$1,main!$A$3:$I$102,7,FALSE),main!$K$26:$Q$29,3,FALSE),1,0)</f>
        <v>0</v>
      </c>
      <c r="BS59">
        <f>IF(VLOOKUP(BS$1,main!$A$3:$H$102,5,FALSE)-VLOOKUP($A59,main!$A$3:$H$102,6,FALSE)&gt;=main!$D$103+VLOOKUP(VLOOKUP(BS$1,main!$A$3:$I$102,7,FALSE),main!$K$26:$Q$29,3,FALSE),1,0)</f>
        <v>0</v>
      </c>
      <c r="BT59">
        <f>IF(VLOOKUP(BT$1,main!$A$3:$H$102,5,FALSE)-VLOOKUP($A59,main!$A$3:$H$102,6,FALSE)&gt;=main!$D$103+VLOOKUP(VLOOKUP(BT$1,main!$A$3:$I$102,7,FALSE),main!$K$26:$Q$29,3,FALSE),1,0)</f>
        <v>0</v>
      </c>
      <c r="BU59">
        <f>IF(VLOOKUP(BU$1,main!$A$3:$H$102,5,FALSE)-VLOOKUP($A59,main!$A$3:$H$102,6,FALSE)&gt;=main!$D$103+VLOOKUP(VLOOKUP(BU$1,main!$A$3:$I$102,7,FALSE),main!$K$26:$Q$29,3,FALSE),1,0)</f>
        <v>0</v>
      </c>
      <c r="BV59">
        <f>IF(VLOOKUP(BV$1,main!$A$3:$H$102,5,FALSE)-VLOOKUP($A59,main!$A$3:$H$102,6,FALSE)&gt;=main!$D$103+VLOOKUP(VLOOKUP(BV$1,main!$A$3:$I$102,7,FALSE),main!$K$26:$Q$29,3,FALSE),1,0)</f>
        <v>0</v>
      </c>
      <c r="BW59">
        <f>IF(VLOOKUP(BW$1,main!$A$3:$H$102,5,FALSE)-VLOOKUP($A59,main!$A$3:$H$102,6,FALSE)&gt;=main!$D$103+VLOOKUP(VLOOKUP(BW$1,main!$A$3:$I$102,7,FALSE),main!$K$26:$Q$29,3,FALSE),1,0)</f>
        <v>0</v>
      </c>
      <c r="BX59">
        <f>IF(VLOOKUP(BX$1,main!$A$3:$H$102,5,FALSE)-VLOOKUP($A59,main!$A$3:$H$102,6,FALSE)&gt;=main!$D$103+VLOOKUP(VLOOKUP(BX$1,main!$A$3:$I$102,7,FALSE),main!$K$26:$Q$29,3,FALSE),1,0)</f>
        <v>0</v>
      </c>
      <c r="BY59">
        <f>IF(VLOOKUP(BY$1,main!$A$3:$H$102,5,FALSE)-VLOOKUP($A59,main!$A$3:$H$102,6,FALSE)&gt;=main!$D$103+VLOOKUP(VLOOKUP(BY$1,main!$A$3:$I$102,7,FALSE),main!$K$26:$Q$29,3,FALSE),1,0)</f>
        <v>1</v>
      </c>
      <c r="BZ59">
        <f>IF(VLOOKUP(BZ$1,main!$A$3:$H$102,5,FALSE)-VLOOKUP($A59,main!$A$3:$H$102,6,FALSE)&gt;=main!$D$103+VLOOKUP(VLOOKUP(BZ$1,main!$A$3:$I$102,7,FALSE),main!$K$26:$Q$29,3,FALSE),1,0)</f>
        <v>0</v>
      </c>
      <c r="CA59">
        <f>IF(VLOOKUP(CA$1,main!$A$3:$H$102,5,FALSE)-VLOOKUP($A59,main!$A$3:$H$102,6,FALSE)&gt;=main!$D$103+VLOOKUP(VLOOKUP(CA$1,main!$A$3:$I$102,7,FALSE),main!$K$26:$Q$29,3,FALSE),1,0)</f>
        <v>0</v>
      </c>
      <c r="CB59">
        <f>IF(VLOOKUP(CB$1,main!$A$3:$H$102,5,FALSE)-VLOOKUP($A59,main!$A$3:$H$102,6,FALSE)&gt;=main!$D$103+VLOOKUP(VLOOKUP(CB$1,main!$A$3:$I$102,7,FALSE),main!$K$26:$Q$29,3,FALSE),1,0)</f>
        <v>1</v>
      </c>
      <c r="CC59">
        <f>IF(VLOOKUP(CC$1,main!$A$3:$H$102,5,FALSE)-VLOOKUP($A59,main!$A$3:$H$102,6,FALSE)&gt;=main!$D$103+VLOOKUP(VLOOKUP(CC$1,main!$A$3:$I$102,7,FALSE),main!$K$26:$Q$29,3,FALSE),1,0)</f>
        <v>1</v>
      </c>
      <c r="CD59">
        <f>IF(VLOOKUP(CD$1,main!$A$3:$H$102,5,FALSE)-VLOOKUP($A59,main!$A$3:$H$102,6,FALSE)&gt;=main!$D$103+VLOOKUP(VLOOKUP(CD$1,main!$A$3:$I$102,7,FALSE),main!$K$26:$Q$29,3,FALSE),1,0)</f>
        <v>1</v>
      </c>
      <c r="CE59">
        <f>IF(VLOOKUP(CE$1,main!$A$3:$H$102,5,FALSE)-VLOOKUP($A59,main!$A$3:$H$102,6,FALSE)&gt;=main!$D$103+VLOOKUP(VLOOKUP(CE$1,main!$A$3:$I$102,7,FALSE),main!$K$26:$Q$29,3,FALSE),1,0)</f>
        <v>0</v>
      </c>
      <c r="CF59">
        <f>IF(VLOOKUP(CF$1,main!$A$3:$H$102,5,FALSE)-VLOOKUP($A59,main!$A$3:$H$102,6,FALSE)&gt;=main!$D$103+VLOOKUP(VLOOKUP(CF$1,main!$A$3:$I$102,7,FALSE),main!$K$26:$Q$29,3,FALSE),1,0)</f>
        <v>0</v>
      </c>
      <c r="CG59">
        <f>IF(VLOOKUP(CG$1,main!$A$3:$H$102,5,FALSE)-VLOOKUP($A59,main!$A$3:$H$102,6,FALSE)&gt;=main!$D$103+VLOOKUP(VLOOKUP(CG$1,main!$A$3:$I$102,7,FALSE),main!$K$26:$Q$29,3,FALSE),1,0)</f>
        <v>0</v>
      </c>
      <c r="CH59">
        <f>IF(VLOOKUP(CH$1,main!$A$3:$H$102,5,FALSE)-VLOOKUP($A59,main!$A$3:$H$102,6,FALSE)&gt;=main!$D$103+VLOOKUP(VLOOKUP(CH$1,main!$A$3:$I$102,7,FALSE),main!$K$26:$Q$29,3,FALSE),1,0)</f>
        <v>1</v>
      </c>
      <c r="CI59">
        <f>IF(VLOOKUP(CI$1,main!$A$3:$H$102,5,FALSE)-VLOOKUP($A59,main!$A$3:$H$102,6,FALSE)&gt;=main!$D$103+VLOOKUP(VLOOKUP(CI$1,main!$A$3:$I$102,7,FALSE),main!$K$26:$Q$29,3,FALSE),1,0)</f>
        <v>1</v>
      </c>
      <c r="CJ59">
        <f>IF(VLOOKUP(CJ$1,main!$A$3:$H$102,5,FALSE)-VLOOKUP($A59,main!$A$3:$H$102,6,FALSE)&gt;=main!$D$103+VLOOKUP(VLOOKUP(CJ$1,main!$A$3:$I$102,7,FALSE),main!$K$26:$Q$29,3,FALSE),1,0)</f>
        <v>0</v>
      </c>
      <c r="CK59">
        <f>IF(VLOOKUP(CK$1,main!$A$3:$H$102,5,FALSE)-VLOOKUP($A59,main!$A$3:$H$102,6,FALSE)&gt;=main!$D$103+VLOOKUP(VLOOKUP(CK$1,main!$A$3:$I$102,7,FALSE),main!$K$26:$Q$29,3,FALSE),1,0)</f>
        <v>0</v>
      </c>
      <c r="CL59">
        <f>IF(VLOOKUP(CL$1,main!$A$3:$H$102,5,FALSE)-VLOOKUP($A59,main!$A$3:$H$102,6,FALSE)&gt;=main!$D$103+VLOOKUP(VLOOKUP(CL$1,main!$A$3:$I$102,7,FALSE),main!$K$26:$Q$29,3,FALSE),1,0)</f>
        <v>0</v>
      </c>
      <c r="CM59">
        <f>IF(VLOOKUP(CM$1,main!$A$3:$H$102,5,FALSE)-VLOOKUP($A59,main!$A$3:$H$102,6,FALSE)&gt;=main!$D$103+VLOOKUP(VLOOKUP(CM$1,main!$A$3:$I$102,7,FALSE),main!$K$26:$Q$29,3,FALSE),1,0)</f>
        <v>1</v>
      </c>
      <c r="CN59">
        <f>IF(VLOOKUP(CN$1,main!$A$3:$H$102,5,FALSE)-VLOOKUP($A59,main!$A$3:$H$102,6,FALSE)&gt;=main!$D$103+VLOOKUP(VLOOKUP(CN$1,main!$A$3:$I$102,7,FALSE),main!$K$26:$Q$29,3,FALSE),1,0)</f>
        <v>1</v>
      </c>
      <c r="CO59">
        <f>IF(VLOOKUP(CO$1,main!$A$3:$H$102,5,FALSE)-VLOOKUP($A59,main!$A$3:$H$102,6,FALSE)&gt;=main!$D$103+VLOOKUP(VLOOKUP(CO$1,main!$A$3:$I$102,7,FALSE),main!$K$26:$Q$29,3,FALSE),1,0)</f>
        <v>0</v>
      </c>
      <c r="CP59">
        <f>IF(VLOOKUP(CP$1,main!$A$3:$H$102,5,FALSE)-VLOOKUP($A59,main!$A$3:$H$102,6,FALSE)&gt;=main!$D$103+VLOOKUP(VLOOKUP(CP$1,main!$A$3:$I$102,7,FALSE),main!$K$26:$Q$29,3,FALSE),1,0)</f>
        <v>0</v>
      </c>
      <c r="CQ59">
        <f>IF(VLOOKUP(CQ$1,main!$A$3:$H$102,5,FALSE)-VLOOKUP($A59,main!$A$3:$H$102,6,FALSE)&gt;=main!$D$103+VLOOKUP(VLOOKUP(CQ$1,main!$A$3:$I$102,7,FALSE),main!$K$26:$Q$29,3,FALSE),1,0)</f>
        <v>0</v>
      </c>
      <c r="CR59">
        <f>IF(VLOOKUP(CR$1,main!$A$3:$H$102,5,FALSE)-VLOOKUP($A59,main!$A$3:$H$102,6,FALSE)&gt;=main!$D$103+VLOOKUP(VLOOKUP(CR$1,main!$A$3:$I$102,7,FALSE),main!$K$26:$Q$29,3,FALSE),1,0)</f>
        <v>1</v>
      </c>
      <c r="CS59">
        <f>IF(VLOOKUP(CS$1,main!$A$3:$H$102,5,FALSE)-VLOOKUP($A59,main!$A$3:$H$102,6,FALSE)&gt;=main!$D$103+VLOOKUP(VLOOKUP(CS$1,main!$A$3:$I$102,7,FALSE),main!$K$26:$Q$29,3,FALSE),1,0)</f>
        <v>1</v>
      </c>
      <c r="CT59">
        <f>IF(VLOOKUP(CT$1,main!$A$3:$H$102,5,FALSE)-VLOOKUP($A59,main!$A$3:$H$102,6,FALSE)&gt;=main!$D$103+VLOOKUP(VLOOKUP(CT$1,main!$A$3:$I$102,7,FALSE),main!$K$26:$Q$29,3,FALSE),1,0)</f>
        <v>0</v>
      </c>
      <c r="CU59">
        <f>IF(VLOOKUP(CU$1,main!$A$3:$H$102,5,FALSE)-VLOOKUP($A59,main!$A$3:$H$102,6,FALSE)&gt;=main!$D$103+VLOOKUP(VLOOKUP(CU$1,main!$A$3:$I$102,7,FALSE),main!$K$26:$Q$29,3,FALSE),1,0)</f>
        <v>0</v>
      </c>
      <c r="CV59">
        <f>IF(VLOOKUP(CV$1,main!$A$3:$H$102,5,FALSE)-VLOOKUP($A59,main!$A$3:$H$102,6,FALSE)&gt;=main!$D$103+VLOOKUP(VLOOKUP(CV$1,main!$A$3:$I$102,7,FALSE),main!$K$26:$Q$29,3,FALSE),1,0)</f>
        <v>0</v>
      </c>
      <c r="CW59">
        <f>IF(VLOOKUP(CW$1,main!$A$3:$H$102,5,FALSE)-VLOOKUP($A59,main!$A$3:$H$102,6,FALSE)&gt;=main!$D$103+VLOOKUP(VLOOKUP(CW$1,main!$A$3:$I$102,7,FALSE),main!$K$26:$Q$29,3,FALSE),1,0)</f>
        <v>1</v>
      </c>
      <c r="CX59">
        <f>IF(VLOOKUP(CX$1,main!$A$3:$H$102,5,FALSE)-VLOOKUP($A59,main!$A$3:$H$102,6,FALSE)&gt;=main!$D$103+VLOOKUP(VLOOKUP(CX$1,main!$A$3:$I$102,7,FALSE),main!$K$26:$Q$29,3,FALSE),1,0)</f>
        <v>1</v>
      </c>
    </row>
    <row r="60" spans="1:102" x14ac:dyDescent="0.25">
      <c r="A60" s="1">
        <v>58</v>
      </c>
      <c r="B60">
        <v>0</v>
      </c>
      <c r="C60">
        <f>IF(VLOOKUP(C$1,main!$A$3:$H$102,5,FALSE)-VLOOKUP($A60,main!$A$3:$H$102,6,FALSE)&gt;=main!$D$103+VLOOKUP(VLOOKUP(C$1,main!$A$3:$I$102,7,FALSE),main!$K$26:$Q$29,3,FALSE),1,0)</f>
        <v>0</v>
      </c>
      <c r="D60">
        <f>IF(VLOOKUP(D$1,main!$A$3:$H$102,5,FALSE)-VLOOKUP($A60,main!$A$3:$H$102,6,FALSE)&gt;=main!$D$103+VLOOKUP(VLOOKUP(D$1,main!$A$3:$I$102,7,FALSE),main!$K$26:$Q$29,3,FALSE),1,0)</f>
        <v>0</v>
      </c>
      <c r="E60">
        <f>IF(VLOOKUP(E$1,main!$A$3:$H$102,5,FALSE)-VLOOKUP($A60,main!$A$3:$H$102,6,FALSE)&gt;=main!$D$103+VLOOKUP(VLOOKUP(E$1,main!$A$3:$I$102,7,FALSE),main!$K$26:$Q$29,3,FALSE),1,0)</f>
        <v>0</v>
      </c>
      <c r="F60">
        <f>IF(VLOOKUP(F$1,main!$A$3:$H$102,5,FALSE)-VLOOKUP($A60,main!$A$3:$H$102,6,FALSE)&gt;=main!$D$103+VLOOKUP(VLOOKUP(F$1,main!$A$3:$I$102,7,FALSE),main!$K$26:$Q$29,3,FALSE),1,0)</f>
        <v>0</v>
      </c>
      <c r="G60">
        <f>IF(VLOOKUP(G$1,main!$A$3:$H$102,5,FALSE)-VLOOKUP($A60,main!$A$3:$H$102,6,FALSE)&gt;=main!$D$103+VLOOKUP(VLOOKUP(G$1,main!$A$3:$I$102,7,FALSE),main!$K$26:$Q$29,3,FALSE),1,0)</f>
        <v>0</v>
      </c>
      <c r="H60">
        <f>IF(VLOOKUP(H$1,main!$A$3:$H$102,5,FALSE)-VLOOKUP($A60,main!$A$3:$H$102,6,FALSE)&gt;=main!$D$103+VLOOKUP(VLOOKUP(H$1,main!$A$3:$I$102,7,FALSE),main!$K$26:$Q$29,3,FALSE),1,0)</f>
        <v>0</v>
      </c>
      <c r="I60">
        <f>IF(VLOOKUP(I$1,main!$A$3:$H$102,5,FALSE)-VLOOKUP($A60,main!$A$3:$H$102,6,FALSE)&gt;=main!$D$103+VLOOKUP(VLOOKUP(I$1,main!$A$3:$I$102,7,FALSE),main!$K$26:$Q$29,3,FALSE),1,0)</f>
        <v>0</v>
      </c>
      <c r="J60">
        <f>IF(VLOOKUP(J$1,main!$A$3:$H$102,5,FALSE)-VLOOKUP($A60,main!$A$3:$H$102,6,FALSE)&gt;=main!$D$103+VLOOKUP(VLOOKUP(J$1,main!$A$3:$I$102,7,FALSE),main!$K$26:$Q$29,3,FALSE),1,0)</f>
        <v>1</v>
      </c>
      <c r="K60">
        <f>IF(VLOOKUP(K$1,main!$A$3:$H$102,5,FALSE)-VLOOKUP($A60,main!$A$3:$H$102,6,FALSE)&gt;=main!$D$103+VLOOKUP(VLOOKUP(K$1,main!$A$3:$I$102,7,FALSE),main!$K$26:$Q$29,3,FALSE),1,0)</f>
        <v>1</v>
      </c>
      <c r="L60">
        <f>IF(VLOOKUP(L$1,main!$A$3:$H$102,5,FALSE)-VLOOKUP($A60,main!$A$3:$H$102,6,FALSE)&gt;=main!$D$103+VLOOKUP(VLOOKUP(L$1,main!$A$3:$I$102,7,FALSE),main!$K$26:$Q$29,3,FALSE),1,0)</f>
        <v>1</v>
      </c>
      <c r="M60">
        <f>IF(VLOOKUP(M$1,main!$A$3:$H$102,5,FALSE)-VLOOKUP($A60,main!$A$3:$H$102,6,FALSE)&gt;=main!$D$103+VLOOKUP(VLOOKUP(M$1,main!$A$3:$I$102,7,FALSE),main!$K$26:$Q$29,3,FALSE),1,0)</f>
        <v>0</v>
      </c>
      <c r="N60">
        <f>IF(VLOOKUP(N$1,main!$A$3:$H$102,5,FALSE)-VLOOKUP($A60,main!$A$3:$H$102,6,FALSE)&gt;=main!$D$103+VLOOKUP(VLOOKUP(N$1,main!$A$3:$I$102,7,FALSE),main!$K$26:$Q$29,3,FALSE),1,0)</f>
        <v>0</v>
      </c>
      <c r="O60">
        <f>IF(VLOOKUP(O$1,main!$A$3:$H$102,5,FALSE)-VLOOKUP($A60,main!$A$3:$H$102,6,FALSE)&gt;=main!$D$103+VLOOKUP(VLOOKUP(O$1,main!$A$3:$I$102,7,FALSE),main!$K$26:$Q$29,3,FALSE),1,0)</f>
        <v>0</v>
      </c>
      <c r="P60">
        <f>IF(VLOOKUP(P$1,main!$A$3:$H$102,5,FALSE)-VLOOKUP($A60,main!$A$3:$H$102,6,FALSE)&gt;=main!$D$103+VLOOKUP(VLOOKUP(P$1,main!$A$3:$I$102,7,FALSE),main!$K$26:$Q$29,3,FALSE),1,0)</f>
        <v>0</v>
      </c>
      <c r="Q60">
        <f>IF(VLOOKUP(Q$1,main!$A$3:$H$102,5,FALSE)-VLOOKUP($A60,main!$A$3:$H$102,6,FALSE)&gt;=main!$D$103+VLOOKUP(VLOOKUP(Q$1,main!$A$3:$I$102,7,FALSE),main!$K$26:$Q$29,3,FALSE),1,0)</f>
        <v>0</v>
      </c>
      <c r="R60">
        <f>IF(VLOOKUP(R$1,main!$A$3:$H$102,5,FALSE)-VLOOKUP($A60,main!$A$3:$H$102,6,FALSE)&gt;=main!$D$103+VLOOKUP(VLOOKUP(R$1,main!$A$3:$I$102,7,FALSE),main!$K$26:$Q$29,3,FALSE),1,0)</f>
        <v>0</v>
      </c>
      <c r="S60">
        <f>IF(VLOOKUP(S$1,main!$A$3:$H$102,5,FALSE)-VLOOKUP($A60,main!$A$3:$H$102,6,FALSE)&gt;=main!$D$103+VLOOKUP(VLOOKUP(S$1,main!$A$3:$I$102,7,FALSE),main!$K$26:$Q$29,3,FALSE),1,0)</f>
        <v>0</v>
      </c>
      <c r="T60">
        <f>IF(VLOOKUP(T$1,main!$A$3:$H$102,5,FALSE)-VLOOKUP($A60,main!$A$3:$H$102,6,FALSE)&gt;=main!$D$103+VLOOKUP(VLOOKUP(T$1,main!$A$3:$I$102,7,FALSE),main!$K$26:$Q$29,3,FALSE),1,0)</f>
        <v>0</v>
      </c>
      <c r="U60">
        <f>IF(VLOOKUP(U$1,main!$A$3:$H$102,5,FALSE)-VLOOKUP($A60,main!$A$3:$H$102,6,FALSE)&gt;=main!$D$103+VLOOKUP(VLOOKUP(U$1,main!$A$3:$I$102,7,FALSE),main!$K$26:$Q$29,3,FALSE),1,0)</f>
        <v>1</v>
      </c>
      <c r="V60">
        <f>IF(VLOOKUP(V$1,main!$A$3:$H$102,5,FALSE)-VLOOKUP($A60,main!$A$3:$H$102,6,FALSE)&gt;=main!$D$103+VLOOKUP(VLOOKUP(V$1,main!$A$3:$I$102,7,FALSE),main!$K$26:$Q$29,3,FALSE),1,0)</f>
        <v>1</v>
      </c>
      <c r="W60">
        <f>IF(VLOOKUP(W$1,main!$A$3:$H$102,5,FALSE)-VLOOKUP($A60,main!$A$3:$H$102,6,FALSE)&gt;=main!$D$103+VLOOKUP(VLOOKUP(W$1,main!$A$3:$I$102,7,FALSE),main!$K$26:$Q$29,3,FALSE),1,0)</f>
        <v>0</v>
      </c>
      <c r="X60">
        <f>IF(VLOOKUP(X$1,main!$A$3:$H$102,5,FALSE)-VLOOKUP($A60,main!$A$3:$H$102,6,FALSE)&gt;=main!$D$103+VLOOKUP(VLOOKUP(X$1,main!$A$3:$I$102,7,FALSE),main!$K$26:$Q$29,3,FALSE),1,0)</f>
        <v>0</v>
      </c>
      <c r="Y60">
        <f>IF(VLOOKUP(Y$1,main!$A$3:$H$102,5,FALSE)-VLOOKUP($A60,main!$A$3:$H$102,6,FALSE)&gt;=main!$D$103+VLOOKUP(VLOOKUP(Y$1,main!$A$3:$I$102,7,FALSE),main!$K$26:$Q$29,3,FALSE),1,0)</f>
        <v>0</v>
      </c>
      <c r="Z60">
        <f>IF(VLOOKUP(Z$1,main!$A$3:$H$102,5,FALSE)-VLOOKUP($A60,main!$A$3:$H$102,6,FALSE)&gt;=main!$D$103+VLOOKUP(VLOOKUP(Z$1,main!$A$3:$I$102,7,FALSE),main!$K$26:$Q$29,3,FALSE),1,0)</f>
        <v>0</v>
      </c>
      <c r="AA60">
        <f>IF(VLOOKUP(AA$1,main!$A$3:$H$102,5,FALSE)-VLOOKUP($A60,main!$A$3:$H$102,6,FALSE)&gt;=main!$D$103+VLOOKUP(VLOOKUP(AA$1,main!$A$3:$I$102,7,FALSE),main!$K$26:$Q$29,3,FALSE),1,0)</f>
        <v>1</v>
      </c>
      <c r="AB60">
        <f>IF(VLOOKUP(AB$1,main!$A$3:$H$102,5,FALSE)-VLOOKUP($A60,main!$A$3:$H$102,6,FALSE)&gt;=main!$D$103+VLOOKUP(VLOOKUP(AB$1,main!$A$3:$I$102,7,FALSE),main!$K$26:$Q$29,3,FALSE),1,0)</f>
        <v>0</v>
      </c>
      <c r="AC60">
        <f>IF(VLOOKUP(AC$1,main!$A$3:$H$102,5,FALSE)-VLOOKUP($A60,main!$A$3:$H$102,6,FALSE)&gt;=main!$D$103+VLOOKUP(VLOOKUP(AC$1,main!$A$3:$I$102,7,FALSE),main!$K$26:$Q$29,3,FALSE),1,0)</f>
        <v>0</v>
      </c>
      <c r="AD60">
        <f>IF(VLOOKUP(AD$1,main!$A$3:$H$102,5,FALSE)-VLOOKUP($A60,main!$A$3:$H$102,6,FALSE)&gt;=main!$D$103+VLOOKUP(VLOOKUP(AD$1,main!$A$3:$I$102,7,FALSE),main!$K$26:$Q$29,3,FALSE),1,0)</f>
        <v>0</v>
      </c>
      <c r="AE60">
        <f>IF(VLOOKUP(AE$1,main!$A$3:$H$102,5,FALSE)-VLOOKUP($A60,main!$A$3:$H$102,6,FALSE)&gt;=main!$D$103+VLOOKUP(VLOOKUP(AE$1,main!$A$3:$I$102,7,FALSE),main!$K$26:$Q$29,3,FALSE),1,0)</f>
        <v>0</v>
      </c>
      <c r="AF60">
        <f>IF(VLOOKUP(AF$1,main!$A$3:$H$102,5,FALSE)-VLOOKUP($A60,main!$A$3:$H$102,6,FALSE)&gt;=main!$D$103+VLOOKUP(VLOOKUP(AF$1,main!$A$3:$I$102,7,FALSE),main!$K$26:$Q$29,3,FALSE),1,0)</f>
        <v>1</v>
      </c>
      <c r="AG60">
        <f>IF(VLOOKUP(AG$1,main!$A$3:$H$102,5,FALSE)-VLOOKUP($A60,main!$A$3:$H$102,6,FALSE)&gt;=main!$D$103+VLOOKUP(VLOOKUP(AG$1,main!$A$3:$I$102,7,FALSE),main!$K$26:$Q$29,3,FALSE),1,0)</f>
        <v>0</v>
      </c>
      <c r="AH60">
        <f>IF(VLOOKUP(AH$1,main!$A$3:$H$102,5,FALSE)-VLOOKUP($A60,main!$A$3:$H$102,6,FALSE)&gt;=main!$D$103+VLOOKUP(VLOOKUP(AH$1,main!$A$3:$I$102,7,FALSE),main!$K$26:$Q$29,3,FALSE),1,0)</f>
        <v>0</v>
      </c>
      <c r="AI60">
        <f>IF(VLOOKUP(AI$1,main!$A$3:$H$102,5,FALSE)-VLOOKUP($A60,main!$A$3:$H$102,6,FALSE)&gt;=main!$D$103+VLOOKUP(VLOOKUP(AI$1,main!$A$3:$I$102,7,FALSE),main!$K$26:$Q$29,3,FALSE),1,0)</f>
        <v>0</v>
      </c>
      <c r="AJ60">
        <f>IF(VLOOKUP(AJ$1,main!$A$3:$H$102,5,FALSE)-VLOOKUP($A60,main!$A$3:$H$102,6,FALSE)&gt;=main!$D$103+VLOOKUP(VLOOKUP(AJ$1,main!$A$3:$I$102,7,FALSE),main!$K$26:$Q$29,3,FALSE),1,0)</f>
        <v>0</v>
      </c>
      <c r="AK60">
        <f>IF(VLOOKUP(AK$1,main!$A$3:$H$102,5,FALSE)-VLOOKUP($A60,main!$A$3:$H$102,6,FALSE)&gt;=main!$D$103+VLOOKUP(VLOOKUP(AK$1,main!$A$3:$I$102,7,FALSE),main!$K$26:$Q$29,3,FALSE),1,0)</f>
        <v>0</v>
      </c>
      <c r="AL60">
        <f>IF(VLOOKUP(AL$1,main!$A$3:$H$102,5,FALSE)-VLOOKUP($A60,main!$A$3:$H$102,6,FALSE)&gt;=main!$D$103+VLOOKUP(VLOOKUP(AL$1,main!$A$3:$I$102,7,FALSE),main!$K$26:$Q$29,3,FALSE),1,0)</f>
        <v>0</v>
      </c>
      <c r="AM60">
        <f>IF(VLOOKUP(AM$1,main!$A$3:$H$102,5,FALSE)-VLOOKUP($A60,main!$A$3:$H$102,6,FALSE)&gt;=main!$D$103+VLOOKUP(VLOOKUP(AM$1,main!$A$3:$I$102,7,FALSE),main!$K$26:$Q$29,3,FALSE),1,0)</f>
        <v>1</v>
      </c>
      <c r="AN60">
        <f>IF(VLOOKUP(AN$1,main!$A$3:$H$102,5,FALSE)-VLOOKUP($A60,main!$A$3:$H$102,6,FALSE)&gt;=main!$D$103+VLOOKUP(VLOOKUP(AN$1,main!$A$3:$I$102,7,FALSE),main!$K$26:$Q$29,3,FALSE),1,0)</f>
        <v>1</v>
      </c>
      <c r="AO60">
        <f>IF(VLOOKUP(AO$1,main!$A$3:$H$102,5,FALSE)-VLOOKUP($A60,main!$A$3:$H$102,6,FALSE)&gt;=main!$D$103+VLOOKUP(VLOOKUP(AO$1,main!$A$3:$I$102,7,FALSE),main!$K$26:$Q$29,3,FALSE),1,0)</f>
        <v>0</v>
      </c>
      <c r="AP60">
        <f>IF(VLOOKUP(AP$1,main!$A$3:$H$102,5,FALSE)-VLOOKUP($A60,main!$A$3:$H$102,6,FALSE)&gt;=main!$D$103+VLOOKUP(VLOOKUP(AP$1,main!$A$3:$I$102,7,FALSE),main!$K$26:$Q$29,3,FALSE),1,0)</f>
        <v>1</v>
      </c>
      <c r="AQ60">
        <f>IF(VLOOKUP(AQ$1,main!$A$3:$H$102,5,FALSE)-VLOOKUP($A60,main!$A$3:$H$102,6,FALSE)&gt;=main!$D$103+VLOOKUP(VLOOKUP(AQ$1,main!$A$3:$I$102,7,FALSE),main!$K$26:$Q$29,3,FALSE),1,0)</f>
        <v>0</v>
      </c>
      <c r="AR60">
        <f>IF(VLOOKUP(AR$1,main!$A$3:$H$102,5,FALSE)-VLOOKUP($A60,main!$A$3:$H$102,6,FALSE)&gt;=main!$D$103+VLOOKUP(VLOOKUP(AR$1,main!$A$3:$I$102,7,FALSE),main!$K$26:$Q$29,3,FALSE),1,0)</f>
        <v>0</v>
      </c>
      <c r="AS60">
        <f>IF(VLOOKUP(AS$1,main!$A$3:$H$102,5,FALSE)-VLOOKUP($A60,main!$A$3:$H$102,6,FALSE)&gt;=main!$D$103+VLOOKUP(VLOOKUP(AS$1,main!$A$3:$I$102,7,FALSE),main!$K$26:$Q$29,3,FALSE),1,0)</f>
        <v>0</v>
      </c>
      <c r="AT60">
        <f>IF(VLOOKUP(AT$1,main!$A$3:$H$102,5,FALSE)-VLOOKUP($A60,main!$A$3:$H$102,6,FALSE)&gt;=main!$D$103+VLOOKUP(VLOOKUP(AT$1,main!$A$3:$I$102,7,FALSE),main!$K$26:$Q$29,3,FALSE),1,0)</f>
        <v>0</v>
      </c>
      <c r="AU60">
        <f>IF(VLOOKUP(AU$1,main!$A$3:$H$102,5,FALSE)-VLOOKUP($A60,main!$A$3:$H$102,6,FALSE)&gt;=main!$D$103+VLOOKUP(VLOOKUP(AU$1,main!$A$3:$I$102,7,FALSE),main!$K$26:$Q$29,3,FALSE),1,0)</f>
        <v>0</v>
      </c>
      <c r="AV60">
        <f>IF(VLOOKUP(AV$1,main!$A$3:$H$102,5,FALSE)-VLOOKUP($A60,main!$A$3:$H$102,6,FALSE)&gt;=main!$D$103+VLOOKUP(VLOOKUP(AV$1,main!$A$3:$I$102,7,FALSE),main!$K$26:$Q$29,3,FALSE),1,0)</f>
        <v>0</v>
      </c>
      <c r="AW60">
        <f>IF(VLOOKUP(AW$1,main!$A$3:$H$102,5,FALSE)-VLOOKUP($A60,main!$A$3:$H$102,6,FALSE)&gt;=main!$D$103+VLOOKUP(VLOOKUP(AW$1,main!$A$3:$I$102,7,FALSE),main!$K$26:$Q$29,3,FALSE),1,0)</f>
        <v>0</v>
      </c>
      <c r="AX60">
        <f>IF(VLOOKUP(AX$1,main!$A$3:$H$102,5,FALSE)-VLOOKUP($A60,main!$A$3:$H$102,6,FALSE)&gt;=main!$D$103+VLOOKUP(VLOOKUP(AX$1,main!$A$3:$I$102,7,FALSE),main!$K$26:$Q$29,3,FALSE),1,0)</f>
        <v>0</v>
      </c>
      <c r="AY60">
        <f>IF(VLOOKUP(AY$1,main!$A$3:$H$102,5,FALSE)-VLOOKUP($A60,main!$A$3:$H$102,6,FALSE)&gt;=main!$D$103+VLOOKUP(VLOOKUP(AY$1,main!$A$3:$I$102,7,FALSE),main!$K$26:$Q$29,3,FALSE),1,0)</f>
        <v>0</v>
      </c>
      <c r="AZ60">
        <f>IF(VLOOKUP(AZ$1,main!$A$3:$H$102,5,FALSE)-VLOOKUP($A60,main!$A$3:$H$102,6,FALSE)&gt;=main!$D$103+VLOOKUP(VLOOKUP(AZ$1,main!$A$3:$I$102,7,FALSE),main!$K$26:$Q$29,3,FALSE),1,0)</f>
        <v>0</v>
      </c>
      <c r="BA60">
        <f>IF(VLOOKUP(BA$1,main!$A$3:$H$102,5,FALSE)-VLOOKUP($A60,main!$A$3:$H$102,6,FALSE)&gt;=main!$D$103+VLOOKUP(VLOOKUP(BA$1,main!$A$3:$I$102,7,FALSE),main!$K$26:$Q$29,3,FALSE),1,0)</f>
        <v>0</v>
      </c>
      <c r="BB60">
        <f>IF(VLOOKUP(BB$1,main!$A$3:$H$102,5,FALSE)-VLOOKUP($A60,main!$A$3:$H$102,6,FALSE)&gt;=main!$D$103+VLOOKUP(VLOOKUP(BB$1,main!$A$3:$I$102,7,FALSE),main!$K$26:$Q$29,3,FALSE),1,0)</f>
        <v>0</v>
      </c>
      <c r="BC60">
        <f>IF(VLOOKUP(BC$1,main!$A$3:$H$102,5,FALSE)-VLOOKUP($A60,main!$A$3:$H$102,6,FALSE)&gt;=main!$D$103+VLOOKUP(VLOOKUP(BC$1,main!$A$3:$I$102,7,FALSE),main!$K$26:$Q$29,3,FALSE),1,0)</f>
        <v>0</v>
      </c>
      <c r="BD60">
        <f>IF(VLOOKUP(BD$1,main!$A$3:$H$102,5,FALSE)-VLOOKUP($A60,main!$A$3:$H$102,6,FALSE)&gt;=main!$D$103+VLOOKUP(VLOOKUP(BD$1,main!$A$3:$I$102,7,FALSE),main!$K$26:$Q$29,3,FALSE),1,0)</f>
        <v>0</v>
      </c>
      <c r="BE60">
        <f>IF(VLOOKUP(BE$1,main!$A$3:$H$102,5,FALSE)-VLOOKUP($A60,main!$A$3:$H$102,6,FALSE)&gt;=main!$D$103+VLOOKUP(VLOOKUP(BE$1,main!$A$3:$I$102,7,FALSE),main!$K$26:$Q$29,3,FALSE),1,0)</f>
        <v>1</v>
      </c>
      <c r="BF60">
        <f>IF(VLOOKUP(BF$1,main!$A$3:$H$102,5,FALSE)-VLOOKUP($A60,main!$A$3:$H$102,6,FALSE)&gt;=main!$D$103+VLOOKUP(VLOOKUP(BF$1,main!$A$3:$I$102,7,FALSE),main!$K$26:$Q$29,3,FALSE),1,0)</f>
        <v>0</v>
      </c>
      <c r="BG60">
        <f>IF(VLOOKUP(BG$1,main!$A$3:$H$102,5,FALSE)-VLOOKUP($A60,main!$A$3:$H$102,6,FALSE)&gt;=main!$D$103+VLOOKUP(VLOOKUP(BG$1,main!$A$3:$I$102,7,FALSE),main!$K$26:$Q$29,3,FALSE),1,0)</f>
        <v>0</v>
      </c>
      <c r="BH60">
        <f>IF(VLOOKUP(BH$1,main!$A$3:$H$102,5,FALSE)-VLOOKUP($A60,main!$A$3:$H$102,6,FALSE)&gt;=main!$D$103+VLOOKUP(VLOOKUP(BH$1,main!$A$3:$I$102,7,FALSE),main!$K$26:$Q$29,3,FALSE),1,0)</f>
        <v>0</v>
      </c>
      <c r="BI60">
        <f>IF(VLOOKUP(BI$1,main!$A$3:$H$102,5,FALSE)-VLOOKUP($A60,main!$A$3:$H$102,6,FALSE)&gt;=main!$D$103+VLOOKUP(VLOOKUP(BI$1,main!$A$3:$I$102,7,FALSE),main!$K$26:$Q$29,3,FALSE),1,0)</f>
        <v>1</v>
      </c>
      <c r="BJ60">
        <f>IF(VLOOKUP(BJ$1,main!$A$3:$H$102,5,FALSE)-VLOOKUP($A60,main!$A$3:$H$102,6,FALSE)&gt;=main!$D$103+VLOOKUP(VLOOKUP(BJ$1,main!$A$3:$I$102,7,FALSE),main!$K$26:$Q$29,3,FALSE),1,0)</f>
        <v>0</v>
      </c>
      <c r="BK60">
        <f>IF(VLOOKUP(BK$1,main!$A$3:$H$102,5,FALSE)-VLOOKUP($A60,main!$A$3:$H$102,6,FALSE)&gt;=main!$D$103+VLOOKUP(VLOOKUP(BK$1,main!$A$3:$I$102,7,FALSE),main!$K$26:$Q$29,3,FALSE),1,0)</f>
        <v>0</v>
      </c>
      <c r="BL60">
        <f>IF(VLOOKUP(BL$1,main!$A$3:$H$102,5,FALSE)-VLOOKUP($A60,main!$A$3:$H$102,6,FALSE)&gt;=main!$D$103+VLOOKUP(VLOOKUP(BL$1,main!$A$3:$I$102,7,FALSE),main!$K$26:$Q$29,3,FALSE),1,0)</f>
        <v>0</v>
      </c>
      <c r="BM60">
        <f>IF(VLOOKUP(BM$1,main!$A$3:$H$102,5,FALSE)-VLOOKUP($A60,main!$A$3:$H$102,6,FALSE)&gt;=main!$D$103+VLOOKUP(VLOOKUP(BM$1,main!$A$3:$I$102,7,FALSE),main!$K$26:$Q$29,3,FALSE),1,0)</f>
        <v>0</v>
      </c>
      <c r="BN60">
        <f>IF(VLOOKUP(BN$1,main!$A$3:$H$102,5,FALSE)-VLOOKUP($A60,main!$A$3:$H$102,6,FALSE)&gt;=main!$D$103+VLOOKUP(VLOOKUP(BN$1,main!$A$3:$I$102,7,FALSE),main!$K$26:$Q$29,3,FALSE),1,0)</f>
        <v>0</v>
      </c>
      <c r="BO60">
        <f>IF(VLOOKUP(BO$1,main!$A$3:$H$102,5,FALSE)-VLOOKUP($A60,main!$A$3:$H$102,6,FALSE)&gt;=main!$D$103+VLOOKUP(VLOOKUP(BO$1,main!$A$3:$I$102,7,FALSE),main!$K$26:$Q$29,3,FALSE),1,0)</f>
        <v>0</v>
      </c>
      <c r="BP60">
        <f>IF(VLOOKUP(BP$1,main!$A$3:$H$102,5,FALSE)-VLOOKUP($A60,main!$A$3:$H$102,6,FALSE)&gt;=main!$D$103+VLOOKUP(VLOOKUP(BP$1,main!$A$3:$I$102,7,FALSE),main!$K$26:$Q$29,3,FALSE),1,0)</f>
        <v>0</v>
      </c>
      <c r="BQ60">
        <f>IF(VLOOKUP(BQ$1,main!$A$3:$H$102,5,FALSE)-VLOOKUP($A60,main!$A$3:$H$102,6,FALSE)&gt;=main!$D$103+VLOOKUP(VLOOKUP(BQ$1,main!$A$3:$I$102,7,FALSE),main!$K$26:$Q$29,3,FALSE),1,0)</f>
        <v>0</v>
      </c>
      <c r="BR60">
        <f>IF(VLOOKUP(BR$1,main!$A$3:$H$102,5,FALSE)-VLOOKUP($A60,main!$A$3:$H$102,6,FALSE)&gt;=main!$D$103+VLOOKUP(VLOOKUP(BR$1,main!$A$3:$I$102,7,FALSE),main!$K$26:$Q$29,3,FALSE),1,0)</f>
        <v>0</v>
      </c>
      <c r="BS60">
        <f>IF(VLOOKUP(BS$1,main!$A$3:$H$102,5,FALSE)-VLOOKUP($A60,main!$A$3:$H$102,6,FALSE)&gt;=main!$D$103+VLOOKUP(VLOOKUP(BS$1,main!$A$3:$I$102,7,FALSE),main!$K$26:$Q$29,3,FALSE),1,0)</f>
        <v>0</v>
      </c>
      <c r="BT60">
        <f>IF(VLOOKUP(BT$1,main!$A$3:$H$102,5,FALSE)-VLOOKUP($A60,main!$A$3:$H$102,6,FALSE)&gt;=main!$D$103+VLOOKUP(VLOOKUP(BT$1,main!$A$3:$I$102,7,FALSE),main!$K$26:$Q$29,3,FALSE),1,0)</f>
        <v>0</v>
      </c>
      <c r="BU60">
        <f>IF(VLOOKUP(BU$1,main!$A$3:$H$102,5,FALSE)-VLOOKUP($A60,main!$A$3:$H$102,6,FALSE)&gt;=main!$D$103+VLOOKUP(VLOOKUP(BU$1,main!$A$3:$I$102,7,FALSE),main!$K$26:$Q$29,3,FALSE),1,0)</f>
        <v>0</v>
      </c>
      <c r="BV60">
        <f>IF(VLOOKUP(BV$1,main!$A$3:$H$102,5,FALSE)-VLOOKUP($A60,main!$A$3:$H$102,6,FALSE)&gt;=main!$D$103+VLOOKUP(VLOOKUP(BV$1,main!$A$3:$I$102,7,FALSE),main!$K$26:$Q$29,3,FALSE),1,0)</f>
        <v>0</v>
      </c>
      <c r="BW60">
        <f>IF(VLOOKUP(BW$1,main!$A$3:$H$102,5,FALSE)-VLOOKUP($A60,main!$A$3:$H$102,6,FALSE)&gt;=main!$D$103+VLOOKUP(VLOOKUP(BW$1,main!$A$3:$I$102,7,FALSE),main!$K$26:$Q$29,3,FALSE),1,0)</f>
        <v>0</v>
      </c>
      <c r="BX60">
        <f>IF(VLOOKUP(BX$1,main!$A$3:$H$102,5,FALSE)-VLOOKUP($A60,main!$A$3:$H$102,6,FALSE)&gt;=main!$D$103+VLOOKUP(VLOOKUP(BX$1,main!$A$3:$I$102,7,FALSE),main!$K$26:$Q$29,3,FALSE),1,0)</f>
        <v>0</v>
      </c>
      <c r="BY60">
        <f>IF(VLOOKUP(BY$1,main!$A$3:$H$102,5,FALSE)-VLOOKUP($A60,main!$A$3:$H$102,6,FALSE)&gt;=main!$D$103+VLOOKUP(VLOOKUP(BY$1,main!$A$3:$I$102,7,FALSE),main!$K$26:$Q$29,3,FALSE),1,0)</f>
        <v>0</v>
      </c>
      <c r="BZ60">
        <f>IF(VLOOKUP(BZ$1,main!$A$3:$H$102,5,FALSE)-VLOOKUP($A60,main!$A$3:$H$102,6,FALSE)&gt;=main!$D$103+VLOOKUP(VLOOKUP(BZ$1,main!$A$3:$I$102,7,FALSE),main!$K$26:$Q$29,3,FALSE),1,0)</f>
        <v>0</v>
      </c>
      <c r="CA60">
        <f>IF(VLOOKUP(CA$1,main!$A$3:$H$102,5,FALSE)-VLOOKUP($A60,main!$A$3:$H$102,6,FALSE)&gt;=main!$D$103+VLOOKUP(VLOOKUP(CA$1,main!$A$3:$I$102,7,FALSE),main!$K$26:$Q$29,3,FALSE),1,0)</f>
        <v>0</v>
      </c>
      <c r="CB60">
        <f>IF(VLOOKUP(CB$1,main!$A$3:$H$102,5,FALSE)-VLOOKUP($A60,main!$A$3:$H$102,6,FALSE)&gt;=main!$D$103+VLOOKUP(VLOOKUP(CB$1,main!$A$3:$I$102,7,FALSE),main!$K$26:$Q$29,3,FALSE),1,0)</f>
        <v>0</v>
      </c>
      <c r="CC60">
        <f>IF(VLOOKUP(CC$1,main!$A$3:$H$102,5,FALSE)-VLOOKUP($A60,main!$A$3:$H$102,6,FALSE)&gt;=main!$D$103+VLOOKUP(VLOOKUP(CC$1,main!$A$3:$I$102,7,FALSE),main!$K$26:$Q$29,3,FALSE),1,0)</f>
        <v>1</v>
      </c>
      <c r="CD60">
        <f>IF(VLOOKUP(CD$1,main!$A$3:$H$102,5,FALSE)-VLOOKUP($A60,main!$A$3:$H$102,6,FALSE)&gt;=main!$D$103+VLOOKUP(VLOOKUP(CD$1,main!$A$3:$I$102,7,FALSE),main!$K$26:$Q$29,3,FALSE),1,0)</f>
        <v>0</v>
      </c>
      <c r="CE60">
        <f>IF(VLOOKUP(CE$1,main!$A$3:$H$102,5,FALSE)-VLOOKUP($A60,main!$A$3:$H$102,6,FALSE)&gt;=main!$D$103+VLOOKUP(VLOOKUP(CE$1,main!$A$3:$I$102,7,FALSE),main!$K$26:$Q$29,3,FALSE),1,0)</f>
        <v>0</v>
      </c>
      <c r="CF60">
        <f>IF(VLOOKUP(CF$1,main!$A$3:$H$102,5,FALSE)-VLOOKUP($A60,main!$A$3:$H$102,6,FALSE)&gt;=main!$D$103+VLOOKUP(VLOOKUP(CF$1,main!$A$3:$I$102,7,FALSE),main!$K$26:$Q$29,3,FALSE),1,0)</f>
        <v>0</v>
      </c>
      <c r="CG60">
        <f>IF(VLOOKUP(CG$1,main!$A$3:$H$102,5,FALSE)-VLOOKUP($A60,main!$A$3:$H$102,6,FALSE)&gt;=main!$D$103+VLOOKUP(VLOOKUP(CG$1,main!$A$3:$I$102,7,FALSE),main!$K$26:$Q$29,3,FALSE),1,0)</f>
        <v>0</v>
      </c>
      <c r="CH60">
        <f>IF(VLOOKUP(CH$1,main!$A$3:$H$102,5,FALSE)-VLOOKUP($A60,main!$A$3:$H$102,6,FALSE)&gt;=main!$D$103+VLOOKUP(VLOOKUP(CH$1,main!$A$3:$I$102,7,FALSE),main!$K$26:$Q$29,3,FALSE),1,0)</f>
        <v>0</v>
      </c>
      <c r="CI60">
        <f>IF(VLOOKUP(CI$1,main!$A$3:$H$102,5,FALSE)-VLOOKUP($A60,main!$A$3:$H$102,6,FALSE)&gt;=main!$D$103+VLOOKUP(VLOOKUP(CI$1,main!$A$3:$I$102,7,FALSE),main!$K$26:$Q$29,3,FALSE),1,0)</f>
        <v>1</v>
      </c>
      <c r="CJ60">
        <f>IF(VLOOKUP(CJ$1,main!$A$3:$H$102,5,FALSE)-VLOOKUP($A60,main!$A$3:$H$102,6,FALSE)&gt;=main!$D$103+VLOOKUP(VLOOKUP(CJ$1,main!$A$3:$I$102,7,FALSE),main!$K$26:$Q$29,3,FALSE),1,0)</f>
        <v>0</v>
      </c>
      <c r="CK60">
        <f>IF(VLOOKUP(CK$1,main!$A$3:$H$102,5,FALSE)-VLOOKUP($A60,main!$A$3:$H$102,6,FALSE)&gt;=main!$D$103+VLOOKUP(VLOOKUP(CK$1,main!$A$3:$I$102,7,FALSE),main!$K$26:$Q$29,3,FALSE),1,0)</f>
        <v>0</v>
      </c>
      <c r="CL60">
        <f>IF(VLOOKUP(CL$1,main!$A$3:$H$102,5,FALSE)-VLOOKUP($A60,main!$A$3:$H$102,6,FALSE)&gt;=main!$D$103+VLOOKUP(VLOOKUP(CL$1,main!$A$3:$I$102,7,FALSE),main!$K$26:$Q$29,3,FALSE),1,0)</f>
        <v>0</v>
      </c>
      <c r="CM60">
        <f>IF(VLOOKUP(CM$1,main!$A$3:$H$102,5,FALSE)-VLOOKUP($A60,main!$A$3:$H$102,6,FALSE)&gt;=main!$D$103+VLOOKUP(VLOOKUP(CM$1,main!$A$3:$I$102,7,FALSE),main!$K$26:$Q$29,3,FALSE),1,0)</f>
        <v>0</v>
      </c>
      <c r="CN60">
        <f>IF(VLOOKUP(CN$1,main!$A$3:$H$102,5,FALSE)-VLOOKUP($A60,main!$A$3:$H$102,6,FALSE)&gt;=main!$D$103+VLOOKUP(VLOOKUP(CN$1,main!$A$3:$I$102,7,FALSE),main!$K$26:$Q$29,3,FALSE),1,0)</f>
        <v>1</v>
      </c>
      <c r="CO60">
        <f>IF(VLOOKUP(CO$1,main!$A$3:$H$102,5,FALSE)-VLOOKUP($A60,main!$A$3:$H$102,6,FALSE)&gt;=main!$D$103+VLOOKUP(VLOOKUP(CO$1,main!$A$3:$I$102,7,FALSE),main!$K$26:$Q$29,3,FALSE),1,0)</f>
        <v>0</v>
      </c>
      <c r="CP60">
        <f>IF(VLOOKUP(CP$1,main!$A$3:$H$102,5,FALSE)-VLOOKUP($A60,main!$A$3:$H$102,6,FALSE)&gt;=main!$D$103+VLOOKUP(VLOOKUP(CP$1,main!$A$3:$I$102,7,FALSE),main!$K$26:$Q$29,3,FALSE),1,0)</f>
        <v>0</v>
      </c>
      <c r="CQ60">
        <f>IF(VLOOKUP(CQ$1,main!$A$3:$H$102,5,FALSE)-VLOOKUP($A60,main!$A$3:$H$102,6,FALSE)&gt;=main!$D$103+VLOOKUP(VLOOKUP(CQ$1,main!$A$3:$I$102,7,FALSE),main!$K$26:$Q$29,3,FALSE),1,0)</f>
        <v>0</v>
      </c>
      <c r="CR60">
        <f>IF(VLOOKUP(CR$1,main!$A$3:$H$102,5,FALSE)-VLOOKUP($A60,main!$A$3:$H$102,6,FALSE)&gt;=main!$D$103+VLOOKUP(VLOOKUP(CR$1,main!$A$3:$I$102,7,FALSE),main!$K$26:$Q$29,3,FALSE),1,0)</f>
        <v>0</v>
      </c>
      <c r="CS60">
        <f>IF(VLOOKUP(CS$1,main!$A$3:$H$102,5,FALSE)-VLOOKUP($A60,main!$A$3:$H$102,6,FALSE)&gt;=main!$D$103+VLOOKUP(VLOOKUP(CS$1,main!$A$3:$I$102,7,FALSE),main!$K$26:$Q$29,3,FALSE),1,0)</f>
        <v>0</v>
      </c>
      <c r="CT60">
        <f>IF(VLOOKUP(CT$1,main!$A$3:$H$102,5,FALSE)-VLOOKUP($A60,main!$A$3:$H$102,6,FALSE)&gt;=main!$D$103+VLOOKUP(VLOOKUP(CT$1,main!$A$3:$I$102,7,FALSE),main!$K$26:$Q$29,3,FALSE),1,0)</f>
        <v>0</v>
      </c>
      <c r="CU60">
        <f>IF(VLOOKUP(CU$1,main!$A$3:$H$102,5,FALSE)-VLOOKUP($A60,main!$A$3:$H$102,6,FALSE)&gt;=main!$D$103+VLOOKUP(VLOOKUP(CU$1,main!$A$3:$I$102,7,FALSE),main!$K$26:$Q$29,3,FALSE),1,0)</f>
        <v>0</v>
      </c>
      <c r="CV60">
        <f>IF(VLOOKUP(CV$1,main!$A$3:$H$102,5,FALSE)-VLOOKUP($A60,main!$A$3:$H$102,6,FALSE)&gt;=main!$D$103+VLOOKUP(VLOOKUP(CV$1,main!$A$3:$I$102,7,FALSE),main!$K$26:$Q$29,3,FALSE),1,0)</f>
        <v>0</v>
      </c>
      <c r="CW60">
        <f>IF(VLOOKUP(CW$1,main!$A$3:$H$102,5,FALSE)-VLOOKUP($A60,main!$A$3:$H$102,6,FALSE)&gt;=main!$D$103+VLOOKUP(VLOOKUP(CW$1,main!$A$3:$I$102,7,FALSE),main!$K$26:$Q$29,3,FALSE),1,0)</f>
        <v>0</v>
      </c>
      <c r="CX60">
        <f>IF(VLOOKUP(CX$1,main!$A$3:$H$102,5,FALSE)-VLOOKUP($A60,main!$A$3:$H$102,6,FALSE)&gt;=main!$D$103+VLOOKUP(VLOOKUP(CX$1,main!$A$3:$I$102,7,FALSE),main!$K$26:$Q$29,3,FALSE),1,0)</f>
        <v>0</v>
      </c>
    </row>
    <row r="61" spans="1:102" x14ac:dyDescent="0.25">
      <c r="A61" s="1">
        <v>59</v>
      </c>
      <c r="B61">
        <v>0</v>
      </c>
      <c r="C61">
        <f>IF(VLOOKUP(C$1,main!$A$3:$H$102,5,FALSE)-VLOOKUP($A61,main!$A$3:$H$102,6,FALSE)&gt;=main!$D$103+VLOOKUP(VLOOKUP(C$1,main!$A$3:$I$102,7,FALSE),main!$K$26:$Q$29,3,FALSE),1,0)</f>
        <v>0</v>
      </c>
      <c r="D61">
        <f>IF(VLOOKUP(D$1,main!$A$3:$H$102,5,FALSE)-VLOOKUP($A61,main!$A$3:$H$102,6,FALSE)&gt;=main!$D$103+VLOOKUP(VLOOKUP(D$1,main!$A$3:$I$102,7,FALSE),main!$K$26:$Q$29,3,FALSE),1,0)</f>
        <v>0</v>
      </c>
      <c r="E61">
        <f>IF(VLOOKUP(E$1,main!$A$3:$H$102,5,FALSE)-VLOOKUP($A61,main!$A$3:$H$102,6,FALSE)&gt;=main!$D$103+VLOOKUP(VLOOKUP(E$1,main!$A$3:$I$102,7,FALSE),main!$K$26:$Q$29,3,FALSE),1,0)</f>
        <v>0</v>
      </c>
      <c r="F61">
        <f>IF(VLOOKUP(F$1,main!$A$3:$H$102,5,FALSE)-VLOOKUP($A61,main!$A$3:$H$102,6,FALSE)&gt;=main!$D$103+VLOOKUP(VLOOKUP(F$1,main!$A$3:$I$102,7,FALSE),main!$K$26:$Q$29,3,FALSE),1,0)</f>
        <v>0</v>
      </c>
      <c r="G61">
        <f>IF(VLOOKUP(G$1,main!$A$3:$H$102,5,FALSE)-VLOOKUP($A61,main!$A$3:$H$102,6,FALSE)&gt;=main!$D$103+VLOOKUP(VLOOKUP(G$1,main!$A$3:$I$102,7,FALSE),main!$K$26:$Q$29,3,FALSE),1,0)</f>
        <v>0</v>
      </c>
      <c r="H61">
        <f>IF(VLOOKUP(H$1,main!$A$3:$H$102,5,FALSE)-VLOOKUP($A61,main!$A$3:$H$102,6,FALSE)&gt;=main!$D$103+VLOOKUP(VLOOKUP(H$1,main!$A$3:$I$102,7,FALSE),main!$K$26:$Q$29,3,FALSE),1,0)</f>
        <v>0</v>
      </c>
      <c r="I61">
        <f>IF(VLOOKUP(I$1,main!$A$3:$H$102,5,FALSE)-VLOOKUP($A61,main!$A$3:$H$102,6,FALSE)&gt;=main!$D$103+VLOOKUP(VLOOKUP(I$1,main!$A$3:$I$102,7,FALSE),main!$K$26:$Q$29,3,FALSE),1,0)</f>
        <v>0</v>
      </c>
      <c r="J61">
        <f>IF(VLOOKUP(J$1,main!$A$3:$H$102,5,FALSE)-VLOOKUP($A61,main!$A$3:$H$102,6,FALSE)&gt;=main!$D$103+VLOOKUP(VLOOKUP(J$1,main!$A$3:$I$102,7,FALSE),main!$K$26:$Q$29,3,FALSE),1,0)</f>
        <v>0</v>
      </c>
      <c r="K61">
        <f>IF(VLOOKUP(K$1,main!$A$3:$H$102,5,FALSE)-VLOOKUP($A61,main!$A$3:$H$102,6,FALSE)&gt;=main!$D$103+VLOOKUP(VLOOKUP(K$1,main!$A$3:$I$102,7,FALSE),main!$K$26:$Q$29,3,FALSE),1,0)</f>
        <v>0</v>
      </c>
      <c r="L61">
        <f>IF(VLOOKUP(L$1,main!$A$3:$H$102,5,FALSE)-VLOOKUP($A61,main!$A$3:$H$102,6,FALSE)&gt;=main!$D$103+VLOOKUP(VLOOKUP(L$1,main!$A$3:$I$102,7,FALSE),main!$K$26:$Q$29,3,FALSE),1,0)</f>
        <v>0</v>
      </c>
      <c r="M61">
        <f>IF(VLOOKUP(M$1,main!$A$3:$H$102,5,FALSE)-VLOOKUP($A61,main!$A$3:$H$102,6,FALSE)&gt;=main!$D$103+VLOOKUP(VLOOKUP(M$1,main!$A$3:$I$102,7,FALSE),main!$K$26:$Q$29,3,FALSE),1,0)</f>
        <v>0</v>
      </c>
      <c r="N61">
        <f>IF(VLOOKUP(N$1,main!$A$3:$H$102,5,FALSE)-VLOOKUP($A61,main!$A$3:$H$102,6,FALSE)&gt;=main!$D$103+VLOOKUP(VLOOKUP(N$1,main!$A$3:$I$102,7,FALSE),main!$K$26:$Q$29,3,FALSE),1,0)</f>
        <v>0</v>
      </c>
      <c r="O61">
        <f>IF(VLOOKUP(O$1,main!$A$3:$H$102,5,FALSE)-VLOOKUP($A61,main!$A$3:$H$102,6,FALSE)&gt;=main!$D$103+VLOOKUP(VLOOKUP(O$1,main!$A$3:$I$102,7,FALSE),main!$K$26:$Q$29,3,FALSE),1,0)</f>
        <v>0</v>
      </c>
      <c r="P61">
        <f>IF(VLOOKUP(P$1,main!$A$3:$H$102,5,FALSE)-VLOOKUP($A61,main!$A$3:$H$102,6,FALSE)&gt;=main!$D$103+VLOOKUP(VLOOKUP(P$1,main!$A$3:$I$102,7,FALSE),main!$K$26:$Q$29,3,FALSE),1,0)</f>
        <v>0</v>
      </c>
      <c r="Q61">
        <f>IF(VLOOKUP(Q$1,main!$A$3:$H$102,5,FALSE)-VLOOKUP($A61,main!$A$3:$H$102,6,FALSE)&gt;=main!$D$103+VLOOKUP(VLOOKUP(Q$1,main!$A$3:$I$102,7,FALSE),main!$K$26:$Q$29,3,FALSE),1,0)</f>
        <v>0</v>
      </c>
      <c r="R61">
        <f>IF(VLOOKUP(R$1,main!$A$3:$H$102,5,FALSE)-VLOOKUP($A61,main!$A$3:$H$102,6,FALSE)&gt;=main!$D$103+VLOOKUP(VLOOKUP(R$1,main!$A$3:$I$102,7,FALSE),main!$K$26:$Q$29,3,FALSE),1,0)</f>
        <v>0</v>
      </c>
      <c r="S61">
        <f>IF(VLOOKUP(S$1,main!$A$3:$H$102,5,FALSE)-VLOOKUP($A61,main!$A$3:$H$102,6,FALSE)&gt;=main!$D$103+VLOOKUP(VLOOKUP(S$1,main!$A$3:$I$102,7,FALSE),main!$K$26:$Q$29,3,FALSE),1,0)</f>
        <v>0</v>
      </c>
      <c r="T61">
        <f>IF(VLOOKUP(T$1,main!$A$3:$H$102,5,FALSE)-VLOOKUP($A61,main!$A$3:$H$102,6,FALSE)&gt;=main!$D$103+VLOOKUP(VLOOKUP(T$1,main!$A$3:$I$102,7,FALSE),main!$K$26:$Q$29,3,FALSE),1,0)</f>
        <v>0</v>
      </c>
      <c r="U61">
        <f>IF(VLOOKUP(U$1,main!$A$3:$H$102,5,FALSE)-VLOOKUP($A61,main!$A$3:$H$102,6,FALSE)&gt;=main!$D$103+VLOOKUP(VLOOKUP(U$1,main!$A$3:$I$102,7,FALSE),main!$K$26:$Q$29,3,FALSE),1,0)</f>
        <v>0</v>
      </c>
      <c r="V61">
        <f>IF(VLOOKUP(V$1,main!$A$3:$H$102,5,FALSE)-VLOOKUP($A61,main!$A$3:$H$102,6,FALSE)&gt;=main!$D$103+VLOOKUP(VLOOKUP(V$1,main!$A$3:$I$102,7,FALSE),main!$K$26:$Q$29,3,FALSE),1,0)</f>
        <v>0</v>
      </c>
      <c r="W61">
        <f>IF(VLOOKUP(W$1,main!$A$3:$H$102,5,FALSE)-VLOOKUP($A61,main!$A$3:$H$102,6,FALSE)&gt;=main!$D$103+VLOOKUP(VLOOKUP(W$1,main!$A$3:$I$102,7,FALSE),main!$K$26:$Q$29,3,FALSE),1,0)</f>
        <v>0</v>
      </c>
      <c r="X61">
        <f>IF(VLOOKUP(X$1,main!$A$3:$H$102,5,FALSE)-VLOOKUP($A61,main!$A$3:$H$102,6,FALSE)&gt;=main!$D$103+VLOOKUP(VLOOKUP(X$1,main!$A$3:$I$102,7,FALSE),main!$K$26:$Q$29,3,FALSE),1,0)</f>
        <v>0</v>
      </c>
      <c r="Y61">
        <f>IF(VLOOKUP(Y$1,main!$A$3:$H$102,5,FALSE)-VLOOKUP($A61,main!$A$3:$H$102,6,FALSE)&gt;=main!$D$103+VLOOKUP(VLOOKUP(Y$1,main!$A$3:$I$102,7,FALSE),main!$K$26:$Q$29,3,FALSE),1,0)</f>
        <v>0</v>
      </c>
      <c r="Z61">
        <f>IF(VLOOKUP(Z$1,main!$A$3:$H$102,5,FALSE)-VLOOKUP($A61,main!$A$3:$H$102,6,FALSE)&gt;=main!$D$103+VLOOKUP(VLOOKUP(Z$1,main!$A$3:$I$102,7,FALSE),main!$K$26:$Q$29,3,FALSE),1,0)</f>
        <v>0</v>
      </c>
      <c r="AA61">
        <f>IF(VLOOKUP(AA$1,main!$A$3:$H$102,5,FALSE)-VLOOKUP($A61,main!$A$3:$H$102,6,FALSE)&gt;=main!$D$103+VLOOKUP(VLOOKUP(AA$1,main!$A$3:$I$102,7,FALSE),main!$K$26:$Q$29,3,FALSE),1,0)</f>
        <v>0</v>
      </c>
      <c r="AB61">
        <f>IF(VLOOKUP(AB$1,main!$A$3:$H$102,5,FALSE)-VLOOKUP($A61,main!$A$3:$H$102,6,FALSE)&gt;=main!$D$103+VLOOKUP(VLOOKUP(AB$1,main!$A$3:$I$102,7,FALSE),main!$K$26:$Q$29,3,FALSE),1,0)</f>
        <v>0</v>
      </c>
      <c r="AC61">
        <f>IF(VLOOKUP(AC$1,main!$A$3:$H$102,5,FALSE)-VLOOKUP($A61,main!$A$3:$H$102,6,FALSE)&gt;=main!$D$103+VLOOKUP(VLOOKUP(AC$1,main!$A$3:$I$102,7,FALSE),main!$K$26:$Q$29,3,FALSE),1,0)</f>
        <v>0</v>
      </c>
      <c r="AD61">
        <f>IF(VLOOKUP(AD$1,main!$A$3:$H$102,5,FALSE)-VLOOKUP($A61,main!$A$3:$H$102,6,FALSE)&gt;=main!$D$103+VLOOKUP(VLOOKUP(AD$1,main!$A$3:$I$102,7,FALSE),main!$K$26:$Q$29,3,FALSE),1,0)</f>
        <v>0</v>
      </c>
      <c r="AE61">
        <f>IF(VLOOKUP(AE$1,main!$A$3:$H$102,5,FALSE)-VLOOKUP($A61,main!$A$3:$H$102,6,FALSE)&gt;=main!$D$103+VLOOKUP(VLOOKUP(AE$1,main!$A$3:$I$102,7,FALSE),main!$K$26:$Q$29,3,FALSE),1,0)</f>
        <v>0</v>
      </c>
      <c r="AF61">
        <f>IF(VLOOKUP(AF$1,main!$A$3:$H$102,5,FALSE)-VLOOKUP($A61,main!$A$3:$H$102,6,FALSE)&gt;=main!$D$103+VLOOKUP(VLOOKUP(AF$1,main!$A$3:$I$102,7,FALSE),main!$K$26:$Q$29,3,FALSE),1,0)</f>
        <v>0</v>
      </c>
      <c r="AG61">
        <f>IF(VLOOKUP(AG$1,main!$A$3:$H$102,5,FALSE)-VLOOKUP($A61,main!$A$3:$H$102,6,FALSE)&gt;=main!$D$103+VLOOKUP(VLOOKUP(AG$1,main!$A$3:$I$102,7,FALSE),main!$K$26:$Q$29,3,FALSE),1,0)</f>
        <v>0</v>
      </c>
      <c r="AH61">
        <f>IF(VLOOKUP(AH$1,main!$A$3:$H$102,5,FALSE)-VLOOKUP($A61,main!$A$3:$H$102,6,FALSE)&gt;=main!$D$103+VLOOKUP(VLOOKUP(AH$1,main!$A$3:$I$102,7,FALSE),main!$K$26:$Q$29,3,FALSE),1,0)</f>
        <v>0</v>
      </c>
      <c r="AI61">
        <f>IF(VLOOKUP(AI$1,main!$A$3:$H$102,5,FALSE)-VLOOKUP($A61,main!$A$3:$H$102,6,FALSE)&gt;=main!$D$103+VLOOKUP(VLOOKUP(AI$1,main!$A$3:$I$102,7,FALSE),main!$K$26:$Q$29,3,FALSE),1,0)</f>
        <v>0</v>
      </c>
      <c r="AJ61">
        <f>IF(VLOOKUP(AJ$1,main!$A$3:$H$102,5,FALSE)-VLOOKUP($A61,main!$A$3:$H$102,6,FALSE)&gt;=main!$D$103+VLOOKUP(VLOOKUP(AJ$1,main!$A$3:$I$102,7,FALSE),main!$K$26:$Q$29,3,FALSE),1,0)</f>
        <v>0</v>
      </c>
      <c r="AK61">
        <f>IF(VLOOKUP(AK$1,main!$A$3:$H$102,5,FALSE)-VLOOKUP($A61,main!$A$3:$H$102,6,FALSE)&gt;=main!$D$103+VLOOKUP(VLOOKUP(AK$1,main!$A$3:$I$102,7,FALSE),main!$K$26:$Q$29,3,FALSE),1,0)</f>
        <v>0</v>
      </c>
      <c r="AL61">
        <f>IF(VLOOKUP(AL$1,main!$A$3:$H$102,5,FALSE)-VLOOKUP($A61,main!$A$3:$H$102,6,FALSE)&gt;=main!$D$103+VLOOKUP(VLOOKUP(AL$1,main!$A$3:$I$102,7,FALSE),main!$K$26:$Q$29,3,FALSE),1,0)</f>
        <v>0</v>
      </c>
      <c r="AM61">
        <f>IF(VLOOKUP(AM$1,main!$A$3:$H$102,5,FALSE)-VLOOKUP($A61,main!$A$3:$H$102,6,FALSE)&gt;=main!$D$103+VLOOKUP(VLOOKUP(AM$1,main!$A$3:$I$102,7,FALSE),main!$K$26:$Q$29,3,FALSE),1,0)</f>
        <v>0</v>
      </c>
      <c r="AN61">
        <f>IF(VLOOKUP(AN$1,main!$A$3:$H$102,5,FALSE)-VLOOKUP($A61,main!$A$3:$H$102,6,FALSE)&gt;=main!$D$103+VLOOKUP(VLOOKUP(AN$1,main!$A$3:$I$102,7,FALSE),main!$K$26:$Q$29,3,FALSE),1,0)</f>
        <v>0</v>
      </c>
      <c r="AO61">
        <f>IF(VLOOKUP(AO$1,main!$A$3:$H$102,5,FALSE)-VLOOKUP($A61,main!$A$3:$H$102,6,FALSE)&gt;=main!$D$103+VLOOKUP(VLOOKUP(AO$1,main!$A$3:$I$102,7,FALSE),main!$K$26:$Q$29,3,FALSE),1,0)</f>
        <v>0</v>
      </c>
      <c r="AP61">
        <f>IF(VLOOKUP(AP$1,main!$A$3:$H$102,5,FALSE)-VLOOKUP($A61,main!$A$3:$H$102,6,FALSE)&gt;=main!$D$103+VLOOKUP(VLOOKUP(AP$1,main!$A$3:$I$102,7,FALSE),main!$K$26:$Q$29,3,FALSE),1,0)</f>
        <v>0</v>
      </c>
      <c r="AQ61">
        <f>IF(VLOOKUP(AQ$1,main!$A$3:$H$102,5,FALSE)-VLOOKUP($A61,main!$A$3:$H$102,6,FALSE)&gt;=main!$D$103+VLOOKUP(VLOOKUP(AQ$1,main!$A$3:$I$102,7,FALSE),main!$K$26:$Q$29,3,FALSE),1,0)</f>
        <v>0</v>
      </c>
      <c r="AR61">
        <f>IF(VLOOKUP(AR$1,main!$A$3:$H$102,5,FALSE)-VLOOKUP($A61,main!$A$3:$H$102,6,FALSE)&gt;=main!$D$103+VLOOKUP(VLOOKUP(AR$1,main!$A$3:$I$102,7,FALSE),main!$K$26:$Q$29,3,FALSE),1,0)</f>
        <v>0</v>
      </c>
      <c r="AS61">
        <f>IF(VLOOKUP(AS$1,main!$A$3:$H$102,5,FALSE)-VLOOKUP($A61,main!$A$3:$H$102,6,FALSE)&gt;=main!$D$103+VLOOKUP(VLOOKUP(AS$1,main!$A$3:$I$102,7,FALSE),main!$K$26:$Q$29,3,FALSE),1,0)</f>
        <v>0</v>
      </c>
      <c r="AT61">
        <f>IF(VLOOKUP(AT$1,main!$A$3:$H$102,5,FALSE)-VLOOKUP($A61,main!$A$3:$H$102,6,FALSE)&gt;=main!$D$103+VLOOKUP(VLOOKUP(AT$1,main!$A$3:$I$102,7,FALSE),main!$K$26:$Q$29,3,FALSE),1,0)</f>
        <v>0</v>
      </c>
      <c r="AU61">
        <f>IF(VLOOKUP(AU$1,main!$A$3:$H$102,5,FALSE)-VLOOKUP($A61,main!$A$3:$H$102,6,FALSE)&gt;=main!$D$103+VLOOKUP(VLOOKUP(AU$1,main!$A$3:$I$102,7,FALSE),main!$K$26:$Q$29,3,FALSE),1,0)</f>
        <v>0</v>
      </c>
      <c r="AV61">
        <f>IF(VLOOKUP(AV$1,main!$A$3:$H$102,5,FALSE)-VLOOKUP($A61,main!$A$3:$H$102,6,FALSE)&gt;=main!$D$103+VLOOKUP(VLOOKUP(AV$1,main!$A$3:$I$102,7,FALSE),main!$K$26:$Q$29,3,FALSE),1,0)</f>
        <v>0</v>
      </c>
      <c r="AW61">
        <f>IF(VLOOKUP(AW$1,main!$A$3:$H$102,5,FALSE)-VLOOKUP($A61,main!$A$3:$H$102,6,FALSE)&gt;=main!$D$103+VLOOKUP(VLOOKUP(AW$1,main!$A$3:$I$102,7,FALSE),main!$K$26:$Q$29,3,FALSE),1,0)</f>
        <v>0</v>
      </c>
      <c r="AX61">
        <f>IF(VLOOKUP(AX$1,main!$A$3:$H$102,5,FALSE)-VLOOKUP($A61,main!$A$3:$H$102,6,FALSE)&gt;=main!$D$103+VLOOKUP(VLOOKUP(AX$1,main!$A$3:$I$102,7,FALSE),main!$K$26:$Q$29,3,FALSE),1,0)</f>
        <v>0</v>
      </c>
      <c r="AY61">
        <f>IF(VLOOKUP(AY$1,main!$A$3:$H$102,5,FALSE)-VLOOKUP($A61,main!$A$3:$H$102,6,FALSE)&gt;=main!$D$103+VLOOKUP(VLOOKUP(AY$1,main!$A$3:$I$102,7,FALSE),main!$K$26:$Q$29,3,FALSE),1,0)</f>
        <v>0</v>
      </c>
      <c r="AZ61">
        <f>IF(VLOOKUP(AZ$1,main!$A$3:$H$102,5,FALSE)-VLOOKUP($A61,main!$A$3:$H$102,6,FALSE)&gt;=main!$D$103+VLOOKUP(VLOOKUP(AZ$1,main!$A$3:$I$102,7,FALSE),main!$K$26:$Q$29,3,FALSE),1,0)</f>
        <v>0</v>
      </c>
      <c r="BA61">
        <f>IF(VLOOKUP(BA$1,main!$A$3:$H$102,5,FALSE)-VLOOKUP($A61,main!$A$3:$H$102,6,FALSE)&gt;=main!$D$103+VLOOKUP(VLOOKUP(BA$1,main!$A$3:$I$102,7,FALSE),main!$K$26:$Q$29,3,FALSE),1,0)</f>
        <v>0</v>
      </c>
      <c r="BB61">
        <f>IF(VLOOKUP(BB$1,main!$A$3:$H$102,5,FALSE)-VLOOKUP($A61,main!$A$3:$H$102,6,FALSE)&gt;=main!$D$103+VLOOKUP(VLOOKUP(BB$1,main!$A$3:$I$102,7,FALSE),main!$K$26:$Q$29,3,FALSE),1,0)</f>
        <v>0</v>
      </c>
      <c r="BC61">
        <f>IF(VLOOKUP(BC$1,main!$A$3:$H$102,5,FALSE)-VLOOKUP($A61,main!$A$3:$H$102,6,FALSE)&gt;=main!$D$103+VLOOKUP(VLOOKUP(BC$1,main!$A$3:$I$102,7,FALSE),main!$K$26:$Q$29,3,FALSE),1,0)</f>
        <v>0</v>
      </c>
      <c r="BD61">
        <f>IF(VLOOKUP(BD$1,main!$A$3:$H$102,5,FALSE)-VLOOKUP($A61,main!$A$3:$H$102,6,FALSE)&gt;=main!$D$103+VLOOKUP(VLOOKUP(BD$1,main!$A$3:$I$102,7,FALSE),main!$K$26:$Q$29,3,FALSE),1,0)</f>
        <v>0</v>
      </c>
      <c r="BE61">
        <f>IF(VLOOKUP(BE$1,main!$A$3:$H$102,5,FALSE)-VLOOKUP($A61,main!$A$3:$H$102,6,FALSE)&gt;=main!$D$103+VLOOKUP(VLOOKUP(BE$1,main!$A$3:$I$102,7,FALSE),main!$K$26:$Q$29,3,FALSE),1,0)</f>
        <v>0</v>
      </c>
      <c r="BF61">
        <f>IF(VLOOKUP(BF$1,main!$A$3:$H$102,5,FALSE)-VLOOKUP($A61,main!$A$3:$H$102,6,FALSE)&gt;=main!$D$103+VLOOKUP(VLOOKUP(BF$1,main!$A$3:$I$102,7,FALSE),main!$K$26:$Q$29,3,FALSE),1,0)</f>
        <v>0</v>
      </c>
      <c r="BG61">
        <f>IF(VLOOKUP(BG$1,main!$A$3:$H$102,5,FALSE)-VLOOKUP($A61,main!$A$3:$H$102,6,FALSE)&gt;=main!$D$103+VLOOKUP(VLOOKUP(BG$1,main!$A$3:$I$102,7,FALSE),main!$K$26:$Q$29,3,FALSE),1,0)</f>
        <v>0</v>
      </c>
      <c r="BH61">
        <f>IF(VLOOKUP(BH$1,main!$A$3:$H$102,5,FALSE)-VLOOKUP($A61,main!$A$3:$H$102,6,FALSE)&gt;=main!$D$103+VLOOKUP(VLOOKUP(BH$1,main!$A$3:$I$102,7,FALSE),main!$K$26:$Q$29,3,FALSE),1,0)</f>
        <v>0</v>
      </c>
      <c r="BI61">
        <f>IF(VLOOKUP(BI$1,main!$A$3:$H$102,5,FALSE)-VLOOKUP($A61,main!$A$3:$H$102,6,FALSE)&gt;=main!$D$103+VLOOKUP(VLOOKUP(BI$1,main!$A$3:$I$102,7,FALSE),main!$K$26:$Q$29,3,FALSE),1,0)</f>
        <v>0</v>
      </c>
      <c r="BJ61">
        <f>IF(VLOOKUP(BJ$1,main!$A$3:$H$102,5,FALSE)-VLOOKUP($A61,main!$A$3:$H$102,6,FALSE)&gt;=main!$D$103+VLOOKUP(VLOOKUP(BJ$1,main!$A$3:$I$102,7,FALSE),main!$K$26:$Q$29,3,FALSE),1,0)</f>
        <v>0</v>
      </c>
      <c r="BK61">
        <f>IF(VLOOKUP(BK$1,main!$A$3:$H$102,5,FALSE)-VLOOKUP($A61,main!$A$3:$H$102,6,FALSE)&gt;=main!$D$103+VLOOKUP(VLOOKUP(BK$1,main!$A$3:$I$102,7,FALSE),main!$K$26:$Q$29,3,FALSE),1,0)</f>
        <v>0</v>
      </c>
      <c r="BL61">
        <f>IF(VLOOKUP(BL$1,main!$A$3:$H$102,5,FALSE)-VLOOKUP($A61,main!$A$3:$H$102,6,FALSE)&gt;=main!$D$103+VLOOKUP(VLOOKUP(BL$1,main!$A$3:$I$102,7,FALSE),main!$K$26:$Q$29,3,FALSE),1,0)</f>
        <v>0</v>
      </c>
      <c r="BM61">
        <f>IF(VLOOKUP(BM$1,main!$A$3:$H$102,5,FALSE)-VLOOKUP($A61,main!$A$3:$H$102,6,FALSE)&gt;=main!$D$103+VLOOKUP(VLOOKUP(BM$1,main!$A$3:$I$102,7,FALSE),main!$K$26:$Q$29,3,FALSE),1,0)</f>
        <v>0</v>
      </c>
      <c r="BN61">
        <f>IF(VLOOKUP(BN$1,main!$A$3:$H$102,5,FALSE)-VLOOKUP($A61,main!$A$3:$H$102,6,FALSE)&gt;=main!$D$103+VLOOKUP(VLOOKUP(BN$1,main!$A$3:$I$102,7,FALSE),main!$K$26:$Q$29,3,FALSE),1,0)</f>
        <v>0</v>
      </c>
      <c r="BO61">
        <f>IF(VLOOKUP(BO$1,main!$A$3:$H$102,5,FALSE)-VLOOKUP($A61,main!$A$3:$H$102,6,FALSE)&gt;=main!$D$103+VLOOKUP(VLOOKUP(BO$1,main!$A$3:$I$102,7,FALSE),main!$K$26:$Q$29,3,FALSE),1,0)</f>
        <v>0</v>
      </c>
      <c r="BP61">
        <f>IF(VLOOKUP(BP$1,main!$A$3:$H$102,5,FALSE)-VLOOKUP($A61,main!$A$3:$H$102,6,FALSE)&gt;=main!$D$103+VLOOKUP(VLOOKUP(BP$1,main!$A$3:$I$102,7,FALSE),main!$K$26:$Q$29,3,FALSE),1,0)</f>
        <v>0</v>
      </c>
      <c r="BQ61">
        <f>IF(VLOOKUP(BQ$1,main!$A$3:$H$102,5,FALSE)-VLOOKUP($A61,main!$A$3:$H$102,6,FALSE)&gt;=main!$D$103+VLOOKUP(VLOOKUP(BQ$1,main!$A$3:$I$102,7,FALSE),main!$K$26:$Q$29,3,FALSE),1,0)</f>
        <v>0</v>
      </c>
      <c r="BR61">
        <f>IF(VLOOKUP(BR$1,main!$A$3:$H$102,5,FALSE)-VLOOKUP($A61,main!$A$3:$H$102,6,FALSE)&gt;=main!$D$103+VLOOKUP(VLOOKUP(BR$1,main!$A$3:$I$102,7,FALSE),main!$K$26:$Q$29,3,FALSE),1,0)</f>
        <v>0</v>
      </c>
      <c r="BS61">
        <f>IF(VLOOKUP(BS$1,main!$A$3:$H$102,5,FALSE)-VLOOKUP($A61,main!$A$3:$H$102,6,FALSE)&gt;=main!$D$103+VLOOKUP(VLOOKUP(BS$1,main!$A$3:$I$102,7,FALSE),main!$K$26:$Q$29,3,FALSE),1,0)</f>
        <v>0</v>
      </c>
      <c r="BT61">
        <f>IF(VLOOKUP(BT$1,main!$A$3:$H$102,5,FALSE)-VLOOKUP($A61,main!$A$3:$H$102,6,FALSE)&gt;=main!$D$103+VLOOKUP(VLOOKUP(BT$1,main!$A$3:$I$102,7,FALSE),main!$K$26:$Q$29,3,FALSE),1,0)</f>
        <v>0</v>
      </c>
      <c r="BU61">
        <f>IF(VLOOKUP(BU$1,main!$A$3:$H$102,5,FALSE)-VLOOKUP($A61,main!$A$3:$H$102,6,FALSE)&gt;=main!$D$103+VLOOKUP(VLOOKUP(BU$1,main!$A$3:$I$102,7,FALSE),main!$K$26:$Q$29,3,FALSE),1,0)</f>
        <v>0</v>
      </c>
      <c r="BV61">
        <f>IF(VLOOKUP(BV$1,main!$A$3:$H$102,5,FALSE)-VLOOKUP($A61,main!$A$3:$H$102,6,FALSE)&gt;=main!$D$103+VLOOKUP(VLOOKUP(BV$1,main!$A$3:$I$102,7,FALSE),main!$K$26:$Q$29,3,FALSE),1,0)</f>
        <v>0</v>
      </c>
      <c r="BW61">
        <f>IF(VLOOKUP(BW$1,main!$A$3:$H$102,5,FALSE)-VLOOKUP($A61,main!$A$3:$H$102,6,FALSE)&gt;=main!$D$103+VLOOKUP(VLOOKUP(BW$1,main!$A$3:$I$102,7,FALSE),main!$K$26:$Q$29,3,FALSE),1,0)</f>
        <v>0</v>
      </c>
      <c r="BX61">
        <f>IF(VLOOKUP(BX$1,main!$A$3:$H$102,5,FALSE)-VLOOKUP($A61,main!$A$3:$H$102,6,FALSE)&gt;=main!$D$103+VLOOKUP(VLOOKUP(BX$1,main!$A$3:$I$102,7,FALSE),main!$K$26:$Q$29,3,FALSE),1,0)</f>
        <v>0</v>
      </c>
      <c r="BY61">
        <f>IF(VLOOKUP(BY$1,main!$A$3:$H$102,5,FALSE)-VLOOKUP($A61,main!$A$3:$H$102,6,FALSE)&gt;=main!$D$103+VLOOKUP(VLOOKUP(BY$1,main!$A$3:$I$102,7,FALSE),main!$K$26:$Q$29,3,FALSE),1,0)</f>
        <v>0</v>
      </c>
      <c r="BZ61">
        <f>IF(VLOOKUP(BZ$1,main!$A$3:$H$102,5,FALSE)-VLOOKUP($A61,main!$A$3:$H$102,6,FALSE)&gt;=main!$D$103+VLOOKUP(VLOOKUP(BZ$1,main!$A$3:$I$102,7,FALSE),main!$K$26:$Q$29,3,FALSE),1,0)</f>
        <v>0</v>
      </c>
      <c r="CA61">
        <f>IF(VLOOKUP(CA$1,main!$A$3:$H$102,5,FALSE)-VLOOKUP($A61,main!$A$3:$H$102,6,FALSE)&gt;=main!$D$103+VLOOKUP(VLOOKUP(CA$1,main!$A$3:$I$102,7,FALSE),main!$K$26:$Q$29,3,FALSE),1,0)</f>
        <v>0</v>
      </c>
      <c r="CB61">
        <f>IF(VLOOKUP(CB$1,main!$A$3:$H$102,5,FALSE)-VLOOKUP($A61,main!$A$3:$H$102,6,FALSE)&gt;=main!$D$103+VLOOKUP(VLOOKUP(CB$1,main!$A$3:$I$102,7,FALSE),main!$K$26:$Q$29,3,FALSE),1,0)</f>
        <v>0</v>
      </c>
      <c r="CC61">
        <f>IF(VLOOKUP(CC$1,main!$A$3:$H$102,5,FALSE)-VLOOKUP($A61,main!$A$3:$H$102,6,FALSE)&gt;=main!$D$103+VLOOKUP(VLOOKUP(CC$1,main!$A$3:$I$102,7,FALSE),main!$K$26:$Q$29,3,FALSE),1,0)</f>
        <v>0</v>
      </c>
      <c r="CD61">
        <f>IF(VLOOKUP(CD$1,main!$A$3:$H$102,5,FALSE)-VLOOKUP($A61,main!$A$3:$H$102,6,FALSE)&gt;=main!$D$103+VLOOKUP(VLOOKUP(CD$1,main!$A$3:$I$102,7,FALSE),main!$K$26:$Q$29,3,FALSE),1,0)</f>
        <v>0</v>
      </c>
      <c r="CE61">
        <f>IF(VLOOKUP(CE$1,main!$A$3:$H$102,5,FALSE)-VLOOKUP($A61,main!$A$3:$H$102,6,FALSE)&gt;=main!$D$103+VLOOKUP(VLOOKUP(CE$1,main!$A$3:$I$102,7,FALSE),main!$K$26:$Q$29,3,FALSE),1,0)</f>
        <v>0</v>
      </c>
      <c r="CF61">
        <f>IF(VLOOKUP(CF$1,main!$A$3:$H$102,5,FALSE)-VLOOKUP($A61,main!$A$3:$H$102,6,FALSE)&gt;=main!$D$103+VLOOKUP(VLOOKUP(CF$1,main!$A$3:$I$102,7,FALSE),main!$K$26:$Q$29,3,FALSE),1,0)</f>
        <v>0</v>
      </c>
      <c r="CG61">
        <f>IF(VLOOKUP(CG$1,main!$A$3:$H$102,5,FALSE)-VLOOKUP($A61,main!$A$3:$H$102,6,FALSE)&gt;=main!$D$103+VLOOKUP(VLOOKUP(CG$1,main!$A$3:$I$102,7,FALSE),main!$K$26:$Q$29,3,FALSE),1,0)</f>
        <v>0</v>
      </c>
      <c r="CH61">
        <f>IF(VLOOKUP(CH$1,main!$A$3:$H$102,5,FALSE)-VLOOKUP($A61,main!$A$3:$H$102,6,FALSE)&gt;=main!$D$103+VLOOKUP(VLOOKUP(CH$1,main!$A$3:$I$102,7,FALSE),main!$K$26:$Q$29,3,FALSE),1,0)</f>
        <v>0</v>
      </c>
      <c r="CI61">
        <f>IF(VLOOKUP(CI$1,main!$A$3:$H$102,5,FALSE)-VLOOKUP($A61,main!$A$3:$H$102,6,FALSE)&gt;=main!$D$103+VLOOKUP(VLOOKUP(CI$1,main!$A$3:$I$102,7,FALSE),main!$K$26:$Q$29,3,FALSE),1,0)</f>
        <v>0</v>
      </c>
      <c r="CJ61">
        <f>IF(VLOOKUP(CJ$1,main!$A$3:$H$102,5,FALSE)-VLOOKUP($A61,main!$A$3:$H$102,6,FALSE)&gt;=main!$D$103+VLOOKUP(VLOOKUP(CJ$1,main!$A$3:$I$102,7,FALSE),main!$K$26:$Q$29,3,FALSE),1,0)</f>
        <v>0</v>
      </c>
      <c r="CK61">
        <f>IF(VLOOKUP(CK$1,main!$A$3:$H$102,5,FALSE)-VLOOKUP($A61,main!$A$3:$H$102,6,FALSE)&gt;=main!$D$103+VLOOKUP(VLOOKUP(CK$1,main!$A$3:$I$102,7,FALSE),main!$K$26:$Q$29,3,FALSE),1,0)</f>
        <v>0</v>
      </c>
      <c r="CL61">
        <f>IF(VLOOKUP(CL$1,main!$A$3:$H$102,5,FALSE)-VLOOKUP($A61,main!$A$3:$H$102,6,FALSE)&gt;=main!$D$103+VLOOKUP(VLOOKUP(CL$1,main!$A$3:$I$102,7,FALSE),main!$K$26:$Q$29,3,FALSE),1,0)</f>
        <v>0</v>
      </c>
      <c r="CM61">
        <f>IF(VLOOKUP(CM$1,main!$A$3:$H$102,5,FALSE)-VLOOKUP($A61,main!$A$3:$H$102,6,FALSE)&gt;=main!$D$103+VLOOKUP(VLOOKUP(CM$1,main!$A$3:$I$102,7,FALSE),main!$K$26:$Q$29,3,FALSE),1,0)</f>
        <v>0</v>
      </c>
      <c r="CN61">
        <f>IF(VLOOKUP(CN$1,main!$A$3:$H$102,5,FALSE)-VLOOKUP($A61,main!$A$3:$H$102,6,FALSE)&gt;=main!$D$103+VLOOKUP(VLOOKUP(CN$1,main!$A$3:$I$102,7,FALSE),main!$K$26:$Q$29,3,FALSE),1,0)</f>
        <v>0</v>
      </c>
      <c r="CO61">
        <f>IF(VLOOKUP(CO$1,main!$A$3:$H$102,5,FALSE)-VLOOKUP($A61,main!$A$3:$H$102,6,FALSE)&gt;=main!$D$103+VLOOKUP(VLOOKUP(CO$1,main!$A$3:$I$102,7,FALSE),main!$K$26:$Q$29,3,FALSE),1,0)</f>
        <v>0</v>
      </c>
      <c r="CP61">
        <f>IF(VLOOKUP(CP$1,main!$A$3:$H$102,5,FALSE)-VLOOKUP($A61,main!$A$3:$H$102,6,FALSE)&gt;=main!$D$103+VLOOKUP(VLOOKUP(CP$1,main!$A$3:$I$102,7,FALSE),main!$K$26:$Q$29,3,FALSE),1,0)</f>
        <v>0</v>
      </c>
      <c r="CQ61">
        <f>IF(VLOOKUP(CQ$1,main!$A$3:$H$102,5,FALSE)-VLOOKUP($A61,main!$A$3:$H$102,6,FALSE)&gt;=main!$D$103+VLOOKUP(VLOOKUP(CQ$1,main!$A$3:$I$102,7,FALSE),main!$K$26:$Q$29,3,FALSE),1,0)</f>
        <v>0</v>
      </c>
      <c r="CR61">
        <f>IF(VLOOKUP(CR$1,main!$A$3:$H$102,5,FALSE)-VLOOKUP($A61,main!$A$3:$H$102,6,FALSE)&gt;=main!$D$103+VLOOKUP(VLOOKUP(CR$1,main!$A$3:$I$102,7,FALSE),main!$K$26:$Q$29,3,FALSE),1,0)</f>
        <v>0</v>
      </c>
      <c r="CS61">
        <f>IF(VLOOKUP(CS$1,main!$A$3:$H$102,5,FALSE)-VLOOKUP($A61,main!$A$3:$H$102,6,FALSE)&gt;=main!$D$103+VLOOKUP(VLOOKUP(CS$1,main!$A$3:$I$102,7,FALSE),main!$K$26:$Q$29,3,FALSE),1,0)</f>
        <v>0</v>
      </c>
      <c r="CT61">
        <f>IF(VLOOKUP(CT$1,main!$A$3:$H$102,5,FALSE)-VLOOKUP($A61,main!$A$3:$H$102,6,FALSE)&gt;=main!$D$103+VLOOKUP(VLOOKUP(CT$1,main!$A$3:$I$102,7,FALSE),main!$K$26:$Q$29,3,FALSE),1,0)</f>
        <v>0</v>
      </c>
      <c r="CU61">
        <f>IF(VLOOKUP(CU$1,main!$A$3:$H$102,5,FALSE)-VLOOKUP($A61,main!$A$3:$H$102,6,FALSE)&gt;=main!$D$103+VLOOKUP(VLOOKUP(CU$1,main!$A$3:$I$102,7,FALSE),main!$K$26:$Q$29,3,FALSE),1,0)</f>
        <v>0</v>
      </c>
      <c r="CV61">
        <f>IF(VLOOKUP(CV$1,main!$A$3:$H$102,5,FALSE)-VLOOKUP($A61,main!$A$3:$H$102,6,FALSE)&gt;=main!$D$103+VLOOKUP(VLOOKUP(CV$1,main!$A$3:$I$102,7,FALSE),main!$K$26:$Q$29,3,FALSE),1,0)</f>
        <v>0</v>
      </c>
      <c r="CW61">
        <f>IF(VLOOKUP(CW$1,main!$A$3:$H$102,5,FALSE)-VLOOKUP($A61,main!$A$3:$H$102,6,FALSE)&gt;=main!$D$103+VLOOKUP(VLOOKUP(CW$1,main!$A$3:$I$102,7,FALSE),main!$K$26:$Q$29,3,FALSE),1,0)</f>
        <v>0</v>
      </c>
      <c r="CX61">
        <f>IF(VLOOKUP(CX$1,main!$A$3:$H$102,5,FALSE)-VLOOKUP($A61,main!$A$3:$H$102,6,FALSE)&gt;=main!$D$103+VLOOKUP(VLOOKUP(CX$1,main!$A$3:$I$102,7,FALSE),main!$K$26:$Q$29,3,FALSE),1,0)</f>
        <v>0</v>
      </c>
    </row>
    <row r="62" spans="1:102" x14ac:dyDescent="0.25">
      <c r="A62" s="1">
        <v>60</v>
      </c>
      <c r="B62">
        <v>0</v>
      </c>
      <c r="C62">
        <f>IF(VLOOKUP(C$1,main!$A$3:$H$102,5,FALSE)-VLOOKUP($A62,main!$A$3:$H$102,6,FALSE)&gt;=main!$D$103+VLOOKUP(VLOOKUP(C$1,main!$A$3:$I$102,7,FALSE),main!$K$26:$Q$29,3,FALSE),1,0)</f>
        <v>0</v>
      </c>
      <c r="D62">
        <f>IF(VLOOKUP(D$1,main!$A$3:$H$102,5,FALSE)-VLOOKUP($A62,main!$A$3:$H$102,6,FALSE)&gt;=main!$D$103+VLOOKUP(VLOOKUP(D$1,main!$A$3:$I$102,7,FALSE),main!$K$26:$Q$29,3,FALSE),1,0)</f>
        <v>0</v>
      </c>
      <c r="E62">
        <f>IF(VLOOKUP(E$1,main!$A$3:$H$102,5,FALSE)-VLOOKUP($A62,main!$A$3:$H$102,6,FALSE)&gt;=main!$D$103+VLOOKUP(VLOOKUP(E$1,main!$A$3:$I$102,7,FALSE),main!$K$26:$Q$29,3,FALSE),1,0)</f>
        <v>0</v>
      </c>
      <c r="F62">
        <f>IF(VLOOKUP(F$1,main!$A$3:$H$102,5,FALSE)-VLOOKUP($A62,main!$A$3:$H$102,6,FALSE)&gt;=main!$D$103+VLOOKUP(VLOOKUP(F$1,main!$A$3:$I$102,7,FALSE),main!$K$26:$Q$29,3,FALSE),1,0)</f>
        <v>0</v>
      </c>
      <c r="G62">
        <f>IF(VLOOKUP(G$1,main!$A$3:$H$102,5,FALSE)-VLOOKUP($A62,main!$A$3:$H$102,6,FALSE)&gt;=main!$D$103+VLOOKUP(VLOOKUP(G$1,main!$A$3:$I$102,7,FALSE),main!$K$26:$Q$29,3,FALSE),1,0)</f>
        <v>0</v>
      </c>
      <c r="H62">
        <f>IF(VLOOKUP(H$1,main!$A$3:$H$102,5,FALSE)-VLOOKUP($A62,main!$A$3:$H$102,6,FALSE)&gt;=main!$D$103+VLOOKUP(VLOOKUP(H$1,main!$A$3:$I$102,7,FALSE),main!$K$26:$Q$29,3,FALSE),1,0)</f>
        <v>0</v>
      </c>
      <c r="I62">
        <f>IF(VLOOKUP(I$1,main!$A$3:$H$102,5,FALSE)-VLOOKUP($A62,main!$A$3:$H$102,6,FALSE)&gt;=main!$D$103+VLOOKUP(VLOOKUP(I$1,main!$A$3:$I$102,7,FALSE),main!$K$26:$Q$29,3,FALSE),1,0)</f>
        <v>0</v>
      </c>
      <c r="J62">
        <f>IF(VLOOKUP(J$1,main!$A$3:$H$102,5,FALSE)-VLOOKUP($A62,main!$A$3:$H$102,6,FALSE)&gt;=main!$D$103+VLOOKUP(VLOOKUP(J$1,main!$A$3:$I$102,7,FALSE),main!$K$26:$Q$29,3,FALSE),1,0)</f>
        <v>0</v>
      </c>
      <c r="K62">
        <f>IF(VLOOKUP(K$1,main!$A$3:$H$102,5,FALSE)-VLOOKUP($A62,main!$A$3:$H$102,6,FALSE)&gt;=main!$D$103+VLOOKUP(VLOOKUP(K$1,main!$A$3:$I$102,7,FALSE),main!$K$26:$Q$29,3,FALSE),1,0)</f>
        <v>0</v>
      </c>
      <c r="L62">
        <f>IF(VLOOKUP(L$1,main!$A$3:$H$102,5,FALSE)-VLOOKUP($A62,main!$A$3:$H$102,6,FALSE)&gt;=main!$D$103+VLOOKUP(VLOOKUP(L$1,main!$A$3:$I$102,7,FALSE),main!$K$26:$Q$29,3,FALSE),1,0)</f>
        <v>1</v>
      </c>
      <c r="M62">
        <f>IF(VLOOKUP(M$1,main!$A$3:$H$102,5,FALSE)-VLOOKUP($A62,main!$A$3:$H$102,6,FALSE)&gt;=main!$D$103+VLOOKUP(VLOOKUP(M$1,main!$A$3:$I$102,7,FALSE),main!$K$26:$Q$29,3,FALSE),1,0)</f>
        <v>0</v>
      </c>
      <c r="N62">
        <f>IF(VLOOKUP(N$1,main!$A$3:$H$102,5,FALSE)-VLOOKUP($A62,main!$A$3:$H$102,6,FALSE)&gt;=main!$D$103+VLOOKUP(VLOOKUP(N$1,main!$A$3:$I$102,7,FALSE),main!$K$26:$Q$29,3,FALSE),1,0)</f>
        <v>0</v>
      </c>
      <c r="O62">
        <f>IF(VLOOKUP(O$1,main!$A$3:$H$102,5,FALSE)-VLOOKUP($A62,main!$A$3:$H$102,6,FALSE)&gt;=main!$D$103+VLOOKUP(VLOOKUP(O$1,main!$A$3:$I$102,7,FALSE),main!$K$26:$Q$29,3,FALSE),1,0)</f>
        <v>0</v>
      </c>
      <c r="P62">
        <f>IF(VLOOKUP(P$1,main!$A$3:$H$102,5,FALSE)-VLOOKUP($A62,main!$A$3:$H$102,6,FALSE)&gt;=main!$D$103+VLOOKUP(VLOOKUP(P$1,main!$A$3:$I$102,7,FALSE),main!$K$26:$Q$29,3,FALSE),1,0)</f>
        <v>0</v>
      </c>
      <c r="Q62">
        <f>IF(VLOOKUP(Q$1,main!$A$3:$H$102,5,FALSE)-VLOOKUP($A62,main!$A$3:$H$102,6,FALSE)&gt;=main!$D$103+VLOOKUP(VLOOKUP(Q$1,main!$A$3:$I$102,7,FALSE),main!$K$26:$Q$29,3,FALSE),1,0)</f>
        <v>0</v>
      </c>
      <c r="R62">
        <f>IF(VLOOKUP(R$1,main!$A$3:$H$102,5,FALSE)-VLOOKUP($A62,main!$A$3:$H$102,6,FALSE)&gt;=main!$D$103+VLOOKUP(VLOOKUP(R$1,main!$A$3:$I$102,7,FALSE),main!$K$26:$Q$29,3,FALSE),1,0)</f>
        <v>0</v>
      </c>
      <c r="S62">
        <f>IF(VLOOKUP(S$1,main!$A$3:$H$102,5,FALSE)-VLOOKUP($A62,main!$A$3:$H$102,6,FALSE)&gt;=main!$D$103+VLOOKUP(VLOOKUP(S$1,main!$A$3:$I$102,7,FALSE),main!$K$26:$Q$29,3,FALSE),1,0)</f>
        <v>0</v>
      </c>
      <c r="T62">
        <f>IF(VLOOKUP(T$1,main!$A$3:$H$102,5,FALSE)-VLOOKUP($A62,main!$A$3:$H$102,6,FALSE)&gt;=main!$D$103+VLOOKUP(VLOOKUP(T$1,main!$A$3:$I$102,7,FALSE),main!$K$26:$Q$29,3,FALSE),1,0)</f>
        <v>0</v>
      </c>
      <c r="U62">
        <f>IF(VLOOKUP(U$1,main!$A$3:$H$102,5,FALSE)-VLOOKUP($A62,main!$A$3:$H$102,6,FALSE)&gt;=main!$D$103+VLOOKUP(VLOOKUP(U$1,main!$A$3:$I$102,7,FALSE),main!$K$26:$Q$29,3,FALSE),1,0)</f>
        <v>0</v>
      </c>
      <c r="V62">
        <f>IF(VLOOKUP(V$1,main!$A$3:$H$102,5,FALSE)-VLOOKUP($A62,main!$A$3:$H$102,6,FALSE)&gt;=main!$D$103+VLOOKUP(VLOOKUP(V$1,main!$A$3:$I$102,7,FALSE),main!$K$26:$Q$29,3,FALSE),1,0)</f>
        <v>1</v>
      </c>
      <c r="W62">
        <f>IF(VLOOKUP(W$1,main!$A$3:$H$102,5,FALSE)-VLOOKUP($A62,main!$A$3:$H$102,6,FALSE)&gt;=main!$D$103+VLOOKUP(VLOOKUP(W$1,main!$A$3:$I$102,7,FALSE),main!$K$26:$Q$29,3,FALSE),1,0)</f>
        <v>0</v>
      </c>
      <c r="X62">
        <f>IF(VLOOKUP(X$1,main!$A$3:$H$102,5,FALSE)-VLOOKUP($A62,main!$A$3:$H$102,6,FALSE)&gt;=main!$D$103+VLOOKUP(VLOOKUP(X$1,main!$A$3:$I$102,7,FALSE),main!$K$26:$Q$29,3,FALSE),1,0)</f>
        <v>0</v>
      </c>
      <c r="Y62">
        <f>IF(VLOOKUP(Y$1,main!$A$3:$H$102,5,FALSE)-VLOOKUP($A62,main!$A$3:$H$102,6,FALSE)&gt;=main!$D$103+VLOOKUP(VLOOKUP(Y$1,main!$A$3:$I$102,7,FALSE),main!$K$26:$Q$29,3,FALSE),1,0)</f>
        <v>0</v>
      </c>
      <c r="Z62">
        <f>IF(VLOOKUP(Z$1,main!$A$3:$H$102,5,FALSE)-VLOOKUP($A62,main!$A$3:$H$102,6,FALSE)&gt;=main!$D$103+VLOOKUP(VLOOKUP(Z$1,main!$A$3:$I$102,7,FALSE),main!$K$26:$Q$29,3,FALSE),1,0)</f>
        <v>0</v>
      </c>
      <c r="AA62">
        <f>IF(VLOOKUP(AA$1,main!$A$3:$H$102,5,FALSE)-VLOOKUP($A62,main!$A$3:$H$102,6,FALSE)&gt;=main!$D$103+VLOOKUP(VLOOKUP(AA$1,main!$A$3:$I$102,7,FALSE),main!$K$26:$Q$29,3,FALSE),1,0)</f>
        <v>0</v>
      </c>
      <c r="AB62">
        <f>IF(VLOOKUP(AB$1,main!$A$3:$H$102,5,FALSE)-VLOOKUP($A62,main!$A$3:$H$102,6,FALSE)&gt;=main!$D$103+VLOOKUP(VLOOKUP(AB$1,main!$A$3:$I$102,7,FALSE),main!$K$26:$Q$29,3,FALSE),1,0)</f>
        <v>0</v>
      </c>
      <c r="AC62">
        <f>IF(VLOOKUP(AC$1,main!$A$3:$H$102,5,FALSE)-VLOOKUP($A62,main!$A$3:$H$102,6,FALSE)&gt;=main!$D$103+VLOOKUP(VLOOKUP(AC$1,main!$A$3:$I$102,7,FALSE),main!$K$26:$Q$29,3,FALSE),1,0)</f>
        <v>0</v>
      </c>
      <c r="AD62">
        <f>IF(VLOOKUP(AD$1,main!$A$3:$H$102,5,FALSE)-VLOOKUP($A62,main!$A$3:$H$102,6,FALSE)&gt;=main!$D$103+VLOOKUP(VLOOKUP(AD$1,main!$A$3:$I$102,7,FALSE),main!$K$26:$Q$29,3,FALSE),1,0)</f>
        <v>0</v>
      </c>
      <c r="AE62">
        <f>IF(VLOOKUP(AE$1,main!$A$3:$H$102,5,FALSE)-VLOOKUP($A62,main!$A$3:$H$102,6,FALSE)&gt;=main!$D$103+VLOOKUP(VLOOKUP(AE$1,main!$A$3:$I$102,7,FALSE),main!$K$26:$Q$29,3,FALSE),1,0)</f>
        <v>0</v>
      </c>
      <c r="AF62">
        <f>IF(VLOOKUP(AF$1,main!$A$3:$H$102,5,FALSE)-VLOOKUP($A62,main!$A$3:$H$102,6,FALSE)&gt;=main!$D$103+VLOOKUP(VLOOKUP(AF$1,main!$A$3:$I$102,7,FALSE),main!$K$26:$Q$29,3,FALSE),1,0)</f>
        <v>0</v>
      </c>
      <c r="AG62">
        <f>IF(VLOOKUP(AG$1,main!$A$3:$H$102,5,FALSE)-VLOOKUP($A62,main!$A$3:$H$102,6,FALSE)&gt;=main!$D$103+VLOOKUP(VLOOKUP(AG$1,main!$A$3:$I$102,7,FALSE),main!$K$26:$Q$29,3,FALSE),1,0)</f>
        <v>0</v>
      </c>
      <c r="AH62">
        <f>IF(VLOOKUP(AH$1,main!$A$3:$H$102,5,FALSE)-VLOOKUP($A62,main!$A$3:$H$102,6,FALSE)&gt;=main!$D$103+VLOOKUP(VLOOKUP(AH$1,main!$A$3:$I$102,7,FALSE),main!$K$26:$Q$29,3,FALSE),1,0)</f>
        <v>0</v>
      </c>
      <c r="AI62">
        <f>IF(VLOOKUP(AI$1,main!$A$3:$H$102,5,FALSE)-VLOOKUP($A62,main!$A$3:$H$102,6,FALSE)&gt;=main!$D$103+VLOOKUP(VLOOKUP(AI$1,main!$A$3:$I$102,7,FALSE),main!$K$26:$Q$29,3,FALSE),1,0)</f>
        <v>0</v>
      </c>
      <c r="AJ62">
        <f>IF(VLOOKUP(AJ$1,main!$A$3:$H$102,5,FALSE)-VLOOKUP($A62,main!$A$3:$H$102,6,FALSE)&gt;=main!$D$103+VLOOKUP(VLOOKUP(AJ$1,main!$A$3:$I$102,7,FALSE),main!$K$26:$Q$29,3,FALSE),1,0)</f>
        <v>0</v>
      </c>
      <c r="AK62">
        <f>IF(VLOOKUP(AK$1,main!$A$3:$H$102,5,FALSE)-VLOOKUP($A62,main!$A$3:$H$102,6,FALSE)&gt;=main!$D$103+VLOOKUP(VLOOKUP(AK$1,main!$A$3:$I$102,7,FALSE),main!$K$26:$Q$29,3,FALSE),1,0)</f>
        <v>0</v>
      </c>
      <c r="AL62">
        <f>IF(VLOOKUP(AL$1,main!$A$3:$H$102,5,FALSE)-VLOOKUP($A62,main!$A$3:$H$102,6,FALSE)&gt;=main!$D$103+VLOOKUP(VLOOKUP(AL$1,main!$A$3:$I$102,7,FALSE),main!$K$26:$Q$29,3,FALSE),1,0)</f>
        <v>0</v>
      </c>
      <c r="AM62">
        <f>IF(VLOOKUP(AM$1,main!$A$3:$H$102,5,FALSE)-VLOOKUP($A62,main!$A$3:$H$102,6,FALSE)&gt;=main!$D$103+VLOOKUP(VLOOKUP(AM$1,main!$A$3:$I$102,7,FALSE),main!$K$26:$Q$29,3,FALSE),1,0)</f>
        <v>0</v>
      </c>
      <c r="AN62">
        <f>IF(VLOOKUP(AN$1,main!$A$3:$H$102,5,FALSE)-VLOOKUP($A62,main!$A$3:$H$102,6,FALSE)&gt;=main!$D$103+VLOOKUP(VLOOKUP(AN$1,main!$A$3:$I$102,7,FALSE),main!$K$26:$Q$29,3,FALSE),1,0)</f>
        <v>0</v>
      </c>
      <c r="AO62">
        <f>IF(VLOOKUP(AO$1,main!$A$3:$H$102,5,FALSE)-VLOOKUP($A62,main!$A$3:$H$102,6,FALSE)&gt;=main!$D$103+VLOOKUP(VLOOKUP(AO$1,main!$A$3:$I$102,7,FALSE),main!$K$26:$Q$29,3,FALSE),1,0)</f>
        <v>0</v>
      </c>
      <c r="AP62">
        <f>IF(VLOOKUP(AP$1,main!$A$3:$H$102,5,FALSE)-VLOOKUP($A62,main!$A$3:$H$102,6,FALSE)&gt;=main!$D$103+VLOOKUP(VLOOKUP(AP$1,main!$A$3:$I$102,7,FALSE),main!$K$26:$Q$29,3,FALSE),1,0)</f>
        <v>1</v>
      </c>
      <c r="AQ62">
        <f>IF(VLOOKUP(AQ$1,main!$A$3:$H$102,5,FALSE)-VLOOKUP($A62,main!$A$3:$H$102,6,FALSE)&gt;=main!$D$103+VLOOKUP(VLOOKUP(AQ$1,main!$A$3:$I$102,7,FALSE),main!$K$26:$Q$29,3,FALSE),1,0)</f>
        <v>0</v>
      </c>
      <c r="AR62">
        <f>IF(VLOOKUP(AR$1,main!$A$3:$H$102,5,FALSE)-VLOOKUP($A62,main!$A$3:$H$102,6,FALSE)&gt;=main!$D$103+VLOOKUP(VLOOKUP(AR$1,main!$A$3:$I$102,7,FALSE),main!$K$26:$Q$29,3,FALSE),1,0)</f>
        <v>0</v>
      </c>
      <c r="AS62">
        <f>IF(VLOOKUP(AS$1,main!$A$3:$H$102,5,FALSE)-VLOOKUP($A62,main!$A$3:$H$102,6,FALSE)&gt;=main!$D$103+VLOOKUP(VLOOKUP(AS$1,main!$A$3:$I$102,7,FALSE),main!$K$26:$Q$29,3,FALSE),1,0)</f>
        <v>0</v>
      </c>
      <c r="AT62">
        <f>IF(VLOOKUP(AT$1,main!$A$3:$H$102,5,FALSE)-VLOOKUP($A62,main!$A$3:$H$102,6,FALSE)&gt;=main!$D$103+VLOOKUP(VLOOKUP(AT$1,main!$A$3:$I$102,7,FALSE),main!$K$26:$Q$29,3,FALSE),1,0)</f>
        <v>0</v>
      </c>
      <c r="AU62">
        <f>IF(VLOOKUP(AU$1,main!$A$3:$H$102,5,FALSE)-VLOOKUP($A62,main!$A$3:$H$102,6,FALSE)&gt;=main!$D$103+VLOOKUP(VLOOKUP(AU$1,main!$A$3:$I$102,7,FALSE),main!$K$26:$Q$29,3,FALSE),1,0)</f>
        <v>0</v>
      </c>
      <c r="AV62">
        <f>IF(VLOOKUP(AV$1,main!$A$3:$H$102,5,FALSE)-VLOOKUP($A62,main!$A$3:$H$102,6,FALSE)&gt;=main!$D$103+VLOOKUP(VLOOKUP(AV$1,main!$A$3:$I$102,7,FALSE),main!$K$26:$Q$29,3,FALSE),1,0)</f>
        <v>0</v>
      </c>
      <c r="AW62">
        <f>IF(VLOOKUP(AW$1,main!$A$3:$H$102,5,FALSE)-VLOOKUP($A62,main!$A$3:$H$102,6,FALSE)&gt;=main!$D$103+VLOOKUP(VLOOKUP(AW$1,main!$A$3:$I$102,7,FALSE),main!$K$26:$Q$29,3,FALSE),1,0)</f>
        <v>0</v>
      </c>
      <c r="AX62">
        <f>IF(VLOOKUP(AX$1,main!$A$3:$H$102,5,FALSE)-VLOOKUP($A62,main!$A$3:$H$102,6,FALSE)&gt;=main!$D$103+VLOOKUP(VLOOKUP(AX$1,main!$A$3:$I$102,7,FALSE),main!$K$26:$Q$29,3,FALSE),1,0)</f>
        <v>0</v>
      </c>
      <c r="AY62">
        <f>IF(VLOOKUP(AY$1,main!$A$3:$H$102,5,FALSE)-VLOOKUP($A62,main!$A$3:$H$102,6,FALSE)&gt;=main!$D$103+VLOOKUP(VLOOKUP(AY$1,main!$A$3:$I$102,7,FALSE),main!$K$26:$Q$29,3,FALSE),1,0)</f>
        <v>0</v>
      </c>
      <c r="AZ62">
        <f>IF(VLOOKUP(AZ$1,main!$A$3:$H$102,5,FALSE)-VLOOKUP($A62,main!$A$3:$H$102,6,FALSE)&gt;=main!$D$103+VLOOKUP(VLOOKUP(AZ$1,main!$A$3:$I$102,7,FALSE),main!$K$26:$Q$29,3,FALSE),1,0)</f>
        <v>0</v>
      </c>
      <c r="BA62">
        <f>IF(VLOOKUP(BA$1,main!$A$3:$H$102,5,FALSE)-VLOOKUP($A62,main!$A$3:$H$102,6,FALSE)&gt;=main!$D$103+VLOOKUP(VLOOKUP(BA$1,main!$A$3:$I$102,7,FALSE),main!$K$26:$Q$29,3,FALSE),1,0)</f>
        <v>0</v>
      </c>
      <c r="BB62">
        <f>IF(VLOOKUP(BB$1,main!$A$3:$H$102,5,FALSE)-VLOOKUP($A62,main!$A$3:$H$102,6,FALSE)&gt;=main!$D$103+VLOOKUP(VLOOKUP(BB$1,main!$A$3:$I$102,7,FALSE),main!$K$26:$Q$29,3,FALSE),1,0)</f>
        <v>0</v>
      </c>
      <c r="BC62">
        <f>IF(VLOOKUP(BC$1,main!$A$3:$H$102,5,FALSE)-VLOOKUP($A62,main!$A$3:$H$102,6,FALSE)&gt;=main!$D$103+VLOOKUP(VLOOKUP(BC$1,main!$A$3:$I$102,7,FALSE),main!$K$26:$Q$29,3,FALSE),1,0)</f>
        <v>0</v>
      </c>
      <c r="BD62">
        <f>IF(VLOOKUP(BD$1,main!$A$3:$H$102,5,FALSE)-VLOOKUP($A62,main!$A$3:$H$102,6,FALSE)&gt;=main!$D$103+VLOOKUP(VLOOKUP(BD$1,main!$A$3:$I$102,7,FALSE),main!$K$26:$Q$29,3,FALSE),1,0)</f>
        <v>0</v>
      </c>
      <c r="BE62">
        <f>IF(VLOOKUP(BE$1,main!$A$3:$H$102,5,FALSE)-VLOOKUP($A62,main!$A$3:$H$102,6,FALSE)&gt;=main!$D$103+VLOOKUP(VLOOKUP(BE$1,main!$A$3:$I$102,7,FALSE),main!$K$26:$Q$29,3,FALSE),1,0)</f>
        <v>0</v>
      </c>
      <c r="BF62">
        <f>IF(VLOOKUP(BF$1,main!$A$3:$H$102,5,FALSE)-VLOOKUP($A62,main!$A$3:$H$102,6,FALSE)&gt;=main!$D$103+VLOOKUP(VLOOKUP(BF$1,main!$A$3:$I$102,7,FALSE),main!$K$26:$Q$29,3,FALSE),1,0)</f>
        <v>0</v>
      </c>
      <c r="BG62">
        <f>IF(VLOOKUP(BG$1,main!$A$3:$H$102,5,FALSE)-VLOOKUP($A62,main!$A$3:$H$102,6,FALSE)&gt;=main!$D$103+VLOOKUP(VLOOKUP(BG$1,main!$A$3:$I$102,7,FALSE),main!$K$26:$Q$29,3,FALSE),1,0)</f>
        <v>0</v>
      </c>
      <c r="BH62">
        <f>IF(VLOOKUP(BH$1,main!$A$3:$H$102,5,FALSE)-VLOOKUP($A62,main!$A$3:$H$102,6,FALSE)&gt;=main!$D$103+VLOOKUP(VLOOKUP(BH$1,main!$A$3:$I$102,7,FALSE),main!$K$26:$Q$29,3,FALSE),1,0)</f>
        <v>0</v>
      </c>
      <c r="BI62">
        <f>IF(VLOOKUP(BI$1,main!$A$3:$H$102,5,FALSE)-VLOOKUP($A62,main!$A$3:$H$102,6,FALSE)&gt;=main!$D$103+VLOOKUP(VLOOKUP(BI$1,main!$A$3:$I$102,7,FALSE),main!$K$26:$Q$29,3,FALSE),1,0)</f>
        <v>1</v>
      </c>
      <c r="BJ62">
        <f>IF(VLOOKUP(BJ$1,main!$A$3:$H$102,5,FALSE)-VLOOKUP($A62,main!$A$3:$H$102,6,FALSE)&gt;=main!$D$103+VLOOKUP(VLOOKUP(BJ$1,main!$A$3:$I$102,7,FALSE),main!$K$26:$Q$29,3,FALSE),1,0)</f>
        <v>0</v>
      </c>
      <c r="BK62">
        <f>IF(VLOOKUP(BK$1,main!$A$3:$H$102,5,FALSE)-VLOOKUP($A62,main!$A$3:$H$102,6,FALSE)&gt;=main!$D$103+VLOOKUP(VLOOKUP(BK$1,main!$A$3:$I$102,7,FALSE),main!$K$26:$Q$29,3,FALSE),1,0)</f>
        <v>0</v>
      </c>
      <c r="BL62">
        <f>IF(VLOOKUP(BL$1,main!$A$3:$H$102,5,FALSE)-VLOOKUP($A62,main!$A$3:$H$102,6,FALSE)&gt;=main!$D$103+VLOOKUP(VLOOKUP(BL$1,main!$A$3:$I$102,7,FALSE),main!$K$26:$Q$29,3,FALSE),1,0)</f>
        <v>0</v>
      </c>
      <c r="BM62">
        <f>IF(VLOOKUP(BM$1,main!$A$3:$H$102,5,FALSE)-VLOOKUP($A62,main!$A$3:$H$102,6,FALSE)&gt;=main!$D$103+VLOOKUP(VLOOKUP(BM$1,main!$A$3:$I$102,7,FALSE),main!$K$26:$Q$29,3,FALSE),1,0)</f>
        <v>0</v>
      </c>
      <c r="BN62">
        <f>IF(VLOOKUP(BN$1,main!$A$3:$H$102,5,FALSE)-VLOOKUP($A62,main!$A$3:$H$102,6,FALSE)&gt;=main!$D$103+VLOOKUP(VLOOKUP(BN$1,main!$A$3:$I$102,7,FALSE),main!$K$26:$Q$29,3,FALSE),1,0)</f>
        <v>0</v>
      </c>
      <c r="BO62">
        <f>IF(VLOOKUP(BO$1,main!$A$3:$H$102,5,FALSE)-VLOOKUP($A62,main!$A$3:$H$102,6,FALSE)&gt;=main!$D$103+VLOOKUP(VLOOKUP(BO$1,main!$A$3:$I$102,7,FALSE),main!$K$26:$Q$29,3,FALSE),1,0)</f>
        <v>0</v>
      </c>
      <c r="BP62">
        <f>IF(VLOOKUP(BP$1,main!$A$3:$H$102,5,FALSE)-VLOOKUP($A62,main!$A$3:$H$102,6,FALSE)&gt;=main!$D$103+VLOOKUP(VLOOKUP(BP$1,main!$A$3:$I$102,7,FALSE),main!$K$26:$Q$29,3,FALSE),1,0)</f>
        <v>0</v>
      </c>
      <c r="BQ62">
        <f>IF(VLOOKUP(BQ$1,main!$A$3:$H$102,5,FALSE)-VLOOKUP($A62,main!$A$3:$H$102,6,FALSE)&gt;=main!$D$103+VLOOKUP(VLOOKUP(BQ$1,main!$A$3:$I$102,7,FALSE),main!$K$26:$Q$29,3,FALSE),1,0)</f>
        <v>0</v>
      </c>
      <c r="BR62">
        <f>IF(VLOOKUP(BR$1,main!$A$3:$H$102,5,FALSE)-VLOOKUP($A62,main!$A$3:$H$102,6,FALSE)&gt;=main!$D$103+VLOOKUP(VLOOKUP(BR$1,main!$A$3:$I$102,7,FALSE),main!$K$26:$Q$29,3,FALSE),1,0)</f>
        <v>0</v>
      </c>
      <c r="BS62">
        <f>IF(VLOOKUP(BS$1,main!$A$3:$H$102,5,FALSE)-VLOOKUP($A62,main!$A$3:$H$102,6,FALSE)&gt;=main!$D$103+VLOOKUP(VLOOKUP(BS$1,main!$A$3:$I$102,7,FALSE),main!$K$26:$Q$29,3,FALSE),1,0)</f>
        <v>0</v>
      </c>
      <c r="BT62">
        <f>IF(VLOOKUP(BT$1,main!$A$3:$H$102,5,FALSE)-VLOOKUP($A62,main!$A$3:$H$102,6,FALSE)&gt;=main!$D$103+VLOOKUP(VLOOKUP(BT$1,main!$A$3:$I$102,7,FALSE),main!$K$26:$Q$29,3,FALSE),1,0)</f>
        <v>0</v>
      </c>
      <c r="BU62">
        <f>IF(VLOOKUP(BU$1,main!$A$3:$H$102,5,FALSE)-VLOOKUP($A62,main!$A$3:$H$102,6,FALSE)&gt;=main!$D$103+VLOOKUP(VLOOKUP(BU$1,main!$A$3:$I$102,7,FALSE),main!$K$26:$Q$29,3,FALSE),1,0)</f>
        <v>0</v>
      </c>
      <c r="BV62">
        <f>IF(VLOOKUP(BV$1,main!$A$3:$H$102,5,FALSE)-VLOOKUP($A62,main!$A$3:$H$102,6,FALSE)&gt;=main!$D$103+VLOOKUP(VLOOKUP(BV$1,main!$A$3:$I$102,7,FALSE),main!$K$26:$Q$29,3,FALSE),1,0)</f>
        <v>0</v>
      </c>
      <c r="BW62">
        <f>IF(VLOOKUP(BW$1,main!$A$3:$H$102,5,FALSE)-VLOOKUP($A62,main!$A$3:$H$102,6,FALSE)&gt;=main!$D$103+VLOOKUP(VLOOKUP(BW$1,main!$A$3:$I$102,7,FALSE),main!$K$26:$Q$29,3,FALSE),1,0)</f>
        <v>0</v>
      </c>
      <c r="BX62">
        <f>IF(VLOOKUP(BX$1,main!$A$3:$H$102,5,FALSE)-VLOOKUP($A62,main!$A$3:$H$102,6,FALSE)&gt;=main!$D$103+VLOOKUP(VLOOKUP(BX$1,main!$A$3:$I$102,7,FALSE),main!$K$26:$Q$29,3,FALSE),1,0)</f>
        <v>0</v>
      </c>
      <c r="BY62">
        <f>IF(VLOOKUP(BY$1,main!$A$3:$H$102,5,FALSE)-VLOOKUP($A62,main!$A$3:$H$102,6,FALSE)&gt;=main!$D$103+VLOOKUP(VLOOKUP(BY$1,main!$A$3:$I$102,7,FALSE),main!$K$26:$Q$29,3,FALSE),1,0)</f>
        <v>0</v>
      </c>
      <c r="BZ62">
        <f>IF(VLOOKUP(BZ$1,main!$A$3:$H$102,5,FALSE)-VLOOKUP($A62,main!$A$3:$H$102,6,FALSE)&gt;=main!$D$103+VLOOKUP(VLOOKUP(BZ$1,main!$A$3:$I$102,7,FALSE),main!$K$26:$Q$29,3,FALSE),1,0)</f>
        <v>0</v>
      </c>
      <c r="CA62">
        <f>IF(VLOOKUP(CA$1,main!$A$3:$H$102,5,FALSE)-VLOOKUP($A62,main!$A$3:$H$102,6,FALSE)&gt;=main!$D$103+VLOOKUP(VLOOKUP(CA$1,main!$A$3:$I$102,7,FALSE),main!$K$26:$Q$29,3,FALSE),1,0)</f>
        <v>0</v>
      </c>
      <c r="CB62">
        <f>IF(VLOOKUP(CB$1,main!$A$3:$H$102,5,FALSE)-VLOOKUP($A62,main!$A$3:$H$102,6,FALSE)&gt;=main!$D$103+VLOOKUP(VLOOKUP(CB$1,main!$A$3:$I$102,7,FALSE),main!$K$26:$Q$29,3,FALSE),1,0)</f>
        <v>0</v>
      </c>
      <c r="CC62">
        <f>IF(VLOOKUP(CC$1,main!$A$3:$H$102,5,FALSE)-VLOOKUP($A62,main!$A$3:$H$102,6,FALSE)&gt;=main!$D$103+VLOOKUP(VLOOKUP(CC$1,main!$A$3:$I$102,7,FALSE),main!$K$26:$Q$29,3,FALSE),1,0)</f>
        <v>0</v>
      </c>
      <c r="CD62">
        <f>IF(VLOOKUP(CD$1,main!$A$3:$H$102,5,FALSE)-VLOOKUP($A62,main!$A$3:$H$102,6,FALSE)&gt;=main!$D$103+VLOOKUP(VLOOKUP(CD$1,main!$A$3:$I$102,7,FALSE),main!$K$26:$Q$29,3,FALSE),1,0)</f>
        <v>0</v>
      </c>
      <c r="CE62">
        <f>IF(VLOOKUP(CE$1,main!$A$3:$H$102,5,FALSE)-VLOOKUP($A62,main!$A$3:$H$102,6,FALSE)&gt;=main!$D$103+VLOOKUP(VLOOKUP(CE$1,main!$A$3:$I$102,7,FALSE),main!$K$26:$Q$29,3,FALSE),1,0)</f>
        <v>0</v>
      </c>
      <c r="CF62">
        <f>IF(VLOOKUP(CF$1,main!$A$3:$H$102,5,FALSE)-VLOOKUP($A62,main!$A$3:$H$102,6,FALSE)&gt;=main!$D$103+VLOOKUP(VLOOKUP(CF$1,main!$A$3:$I$102,7,FALSE),main!$K$26:$Q$29,3,FALSE),1,0)</f>
        <v>0</v>
      </c>
      <c r="CG62">
        <f>IF(VLOOKUP(CG$1,main!$A$3:$H$102,5,FALSE)-VLOOKUP($A62,main!$A$3:$H$102,6,FALSE)&gt;=main!$D$103+VLOOKUP(VLOOKUP(CG$1,main!$A$3:$I$102,7,FALSE),main!$K$26:$Q$29,3,FALSE),1,0)</f>
        <v>0</v>
      </c>
      <c r="CH62">
        <f>IF(VLOOKUP(CH$1,main!$A$3:$H$102,5,FALSE)-VLOOKUP($A62,main!$A$3:$H$102,6,FALSE)&gt;=main!$D$103+VLOOKUP(VLOOKUP(CH$1,main!$A$3:$I$102,7,FALSE),main!$K$26:$Q$29,3,FALSE),1,0)</f>
        <v>0</v>
      </c>
      <c r="CI62">
        <f>IF(VLOOKUP(CI$1,main!$A$3:$H$102,5,FALSE)-VLOOKUP($A62,main!$A$3:$H$102,6,FALSE)&gt;=main!$D$103+VLOOKUP(VLOOKUP(CI$1,main!$A$3:$I$102,7,FALSE),main!$K$26:$Q$29,3,FALSE),1,0)</f>
        <v>1</v>
      </c>
      <c r="CJ62">
        <f>IF(VLOOKUP(CJ$1,main!$A$3:$H$102,5,FALSE)-VLOOKUP($A62,main!$A$3:$H$102,6,FALSE)&gt;=main!$D$103+VLOOKUP(VLOOKUP(CJ$1,main!$A$3:$I$102,7,FALSE),main!$K$26:$Q$29,3,FALSE),1,0)</f>
        <v>0</v>
      </c>
      <c r="CK62">
        <f>IF(VLOOKUP(CK$1,main!$A$3:$H$102,5,FALSE)-VLOOKUP($A62,main!$A$3:$H$102,6,FALSE)&gt;=main!$D$103+VLOOKUP(VLOOKUP(CK$1,main!$A$3:$I$102,7,FALSE),main!$K$26:$Q$29,3,FALSE),1,0)</f>
        <v>0</v>
      </c>
      <c r="CL62">
        <f>IF(VLOOKUP(CL$1,main!$A$3:$H$102,5,FALSE)-VLOOKUP($A62,main!$A$3:$H$102,6,FALSE)&gt;=main!$D$103+VLOOKUP(VLOOKUP(CL$1,main!$A$3:$I$102,7,FALSE),main!$K$26:$Q$29,3,FALSE),1,0)</f>
        <v>0</v>
      </c>
      <c r="CM62">
        <f>IF(VLOOKUP(CM$1,main!$A$3:$H$102,5,FALSE)-VLOOKUP($A62,main!$A$3:$H$102,6,FALSE)&gt;=main!$D$103+VLOOKUP(VLOOKUP(CM$1,main!$A$3:$I$102,7,FALSE),main!$K$26:$Q$29,3,FALSE),1,0)</f>
        <v>0</v>
      </c>
      <c r="CN62">
        <f>IF(VLOOKUP(CN$1,main!$A$3:$H$102,5,FALSE)-VLOOKUP($A62,main!$A$3:$H$102,6,FALSE)&gt;=main!$D$103+VLOOKUP(VLOOKUP(CN$1,main!$A$3:$I$102,7,FALSE),main!$K$26:$Q$29,3,FALSE),1,0)</f>
        <v>1</v>
      </c>
      <c r="CO62">
        <f>IF(VLOOKUP(CO$1,main!$A$3:$H$102,5,FALSE)-VLOOKUP($A62,main!$A$3:$H$102,6,FALSE)&gt;=main!$D$103+VLOOKUP(VLOOKUP(CO$1,main!$A$3:$I$102,7,FALSE),main!$K$26:$Q$29,3,FALSE),1,0)</f>
        <v>0</v>
      </c>
      <c r="CP62">
        <f>IF(VLOOKUP(CP$1,main!$A$3:$H$102,5,FALSE)-VLOOKUP($A62,main!$A$3:$H$102,6,FALSE)&gt;=main!$D$103+VLOOKUP(VLOOKUP(CP$1,main!$A$3:$I$102,7,FALSE),main!$K$26:$Q$29,3,FALSE),1,0)</f>
        <v>0</v>
      </c>
      <c r="CQ62">
        <f>IF(VLOOKUP(CQ$1,main!$A$3:$H$102,5,FALSE)-VLOOKUP($A62,main!$A$3:$H$102,6,FALSE)&gt;=main!$D$103+VLOOKUP(VLOOKUP(CQ$1,main!$A$3:$I$102,7,FALSE),main!$K$26:$Q$29,3,FALSE),1,0)</f>
        <v>0</v>
      </c>
      <c r="CR62">
        <f>IF(VLOOKUP(CR$1,main!$A$3:$H$102,5,FALSE)-VLOOKUP($A62,main!$A$3:$H$102,6,FALSE)&gt;=main!$D$103+VLOOKUP(VLOOKUP(CR$1,main!$A$3:$I$102,7,FALSE),main!$K$26:$Q$29,3,FALSE),1,0)</f>
        <v>0</v>
      </c>
      <c r="CS62">
        <f>IF(VLOOKUP(CS$1,main!$A$3:$H$102,5,FALSE)-VLOOKUP($A62,main!$A$3:$H$102,6,FALSE)&gt;=main!$D$103+VLOOKUP(VLOOKUP(CS$1,main!$A$3:$I$102,7,FALSE),main!$K$26:$Q$29,3,FALSE),1,0)</f>
        <v>0</v>
      </c>
      <c r="CT62">
        <f>IF(VLOOKUP(CT$1,main!$A$3:$H$102,5,FALSE)-VLOOKUP($A62,main!$A$3:$H$102,6,FALSE)&gt;=main!$D$103+VLOOKUP(VLOOKUP(CT$1,main!$A$3:$I$102,7,FALSE),main!$K$26:$Q$29,3,FALSE),1,0)</f>
        <v>0</v>
      </c>
      <c r="CU62">
        <f>IF(VLOOKUP(CU$1,main!$A$3:$H$102,5,FALSE)-VLOOKUP($A62,main!$A$3:$H$102,6,FALSE)&gt;=main!$D$103+VLOOKUP(VLOOKUP(CU$1,main!$A$3:$I$102,7,FALSE),main!$K$26:$Q$29,3,FALSE),1,0)</f>
        <v>0</v>
      </c>
      <c r="CV62">
        <f>IF(VLOOKUP(CV$1,main!$A$3:$H$102,5,FALSE)-VLOOKUP($A62,main!$A$3:$H$102,6,FALSE)&gt;=main!$D$103+VLOOKUP(VLOOKUP(CV$1,main!$A$3:$I$102,7,FALSE),main!$K$26:$Q$29,3,FALSE),1,0)</f>
        <v>0</v>
      </c>
      <c r="CW62">
        <f>IF(VLOOKUP(CW$1,main!$A$3:$H$102,5,FALSE)-VLOOKUP($A62,main!$A$3:$H$102,6,FALSE)&gt;=main!$D$103+VLOOKUP(VLOOKUP(CW$1,main!$A$3:$I$102,7,FALSE),main!$K$26:$Q$29,3,FALSE),1,0)</f>
        <v>0</v>
      </c>
      <c r="CX62">
        <f>IF(VLOOKUP(CX$1,main!$A$3:$H$102,5,FALSE)-VLOOKUP($A62,main!$A$3:$H$102,6,FALSE)&gt;=main!$D$103+VLOOKUP(VLOOKUP(CX$1,main!$A$3:$I$102,7,FALSE),main!$K$26:$Q$29,3,FALSE),1,0)</f>
        <v>0</v>
      </c>
    </row>
    <row r="63" spans="1:102" x14ac:dyDescent="0.25">
      <c r="A63" s="1">
        <v>61</v>
      </c>
      <c r="B63">
        <v>0</v>
      </c>
      <c r="C63">
        <f>IF(VLOOKUP(C$1,main!$A$3:$H$102,5,FALSE)-VLOOKUP($A63,main!$A$3:$H$102,6,FALSE)&gt;=main!$D$103+VLOOKUP(VLOOKUP(C$1,main!$A$3:$I$102,7,FALSE),main!$K$26:$Q$29,3,FALSE),1,0)</f>
        <v>0</v>
      </c>
      <c r="D63">
        <f>IF(VLOOKUP(D$1,main!$A$3:$H$102,5,FALSE)-VLOOKUP($A63,main!$A$3:$H$102,6,FALSE)&gt;=main!$D$103+VLOOKUP(VLOOKUP(D$1,main!$A$3:$I$102,7,FALSE),main!$K$26:$Q$29,3,FALSE),1,0)</f>
        <v>1</v>
      </c>
      <c r="E63">
        <f>IF(VLOOKUP(E$1,main!$A$3:$H$102,5,FALSE)-VLOOKUP($A63,main!$A$3:$H$102,6,FALSE)&gt;=main!$D$103+VLOOKUP(VLOOKUP(E$1,main!$A$3:$I$102,7,FALSE),main!$K$26:$Q$29,3,FALSE),1,0)</f>
        <v>1</v>
      </c>
      <c r="F63">
        <f>IF(VLOOKUP(F$1,main!$A$3:$H$102,5,FALSE)-VLOOKUP($A63,main!$A$3:$H$102,6,FALSE)&gt;=main!$D$103+VLOOKUP(VLOOKUP(F$1,main!$A$3:$I$102,7,FALSE),main!$K$26:$Q$29,3,FALSE),1,0)</f>
        <v>1</v>
      </c>
      <c r="G63">
        <f>IF(VLOOKUP(G$1,main!$A$3:$H$102,5,FALSE)-VLOOKUP($A63,main!$A$3:$H$102,6,FALSE)&gt;=main!$D$103+VLOOKUP(VLOOKUP(G$1,main!$A$3:$I$102,7,FALSE),main!$K$26:$Q$29,3,FALSE),1,0)</f>
        <v>1</v>
      </c>
      <c r="H63">
        <f>IF(VLOOKUP(H$1,main!$A$3:$H$102,5,FALSE)-VLOOKUP($A63,main!$A$3:$H$102,6,FALSE)&gt;=main!$D$103+VLOOKUP(VLOOKUP(H$1,main!$A$3:$I$102,7,FALSE),main!$K$26:$Q$29,3,FALSE),1,0)</f>
        <v>1</v>
      </c>
      <c r="I63">
        <f>IF(VLOOKUP(I$1,main!$A$3:$H$102,5,FALSE)-VLOOKUP($A63,main!$A$3:$H$102,6,FALSE)&gt;=main!$D$103+VLOOKUP(VLOOKUP(I$1,main!$A$3:$I$102,7,FALSE),main!$K$26:$Q$29,3,FALSE),1,0)</f>
        <v>1</v>
      </c>
      <c r="J63">
        <f>IF(VLOOKUP(J$1,main!$A$3:$H$102,5,FALSE)-VLOOKUP($A63,main!$A$3:$H$102,6,FALSE)&gt;=main!$D$103+VLOOKUP(VLOOKUP(J$1,main!$A$3:$I$102,7,FALSE),main!$K$26:$Q$29,3,FALSE),1,0)</f>
        <v>1</v>
      </c>
      <c r="K63">
        <f>IF(VLOOKUP(K$1,main!$A$3:$H$102,5,FALSE)-VLOOKUP($A63,main!$A$3:$H$102,6,FALSE)&gt;=main!$D$103+VLOOKUP(VLOOKUP(K$1,main!$A$3:$I$102,7,FALSE),main!$K$26:$Q$29,3,FALSE),1,0)</f>
        <v>1</v>
      </c>
      <c r="L63">
        <f>IF(VLOOKUP(L$1,main!$A$3:$H$102,5,FALSE)-VLOOKUP($A63,main!$A$3:$H$102,6,FALSE)&gt;=main!$D$103+VLOOKUP(VLOOKUP(L$1,main!$A$3:$I$102,7,FALSE),main!$K$26:$Q$29,3,FALSE),1,0)</f>
        <v>1</v>
      </c>
      <c r="M63">
        <f>IF(VLOOKUP(M$1,main!$A$3:$H$102,5,FALSE)-VLOOKUP($A63,main!$A$3:$H$102,6,FALSE)&gt;=main!$D$103+VLOOKUP(VLOOKUP(M$1,main!$A$3:$I$102,7,FALSE),main!$K$26:$Q$29,3,FALSE),1,0)</f>
        <v>1</v>
      </c>
      <c r="N63">
        <f>IF(VLOOKUP(N$1,main!$A$3:$H$102,5,FALSE)-VLOOKUP($A63,main!$A$3:$H$102,6,FALSE)&gt;=main!$D$103+VLOOKUP(VLOOKUP(N$1,main!$A$3:$I$102,7,FALSE),main!$K$26:$Q$29,3,FALSE),1,0)</f>
        <v>1</v>
      </c>
      <c r="O63">
        <f>IF(VLOOKUP(O$1,main!$A$3:$H$102,5,FALSE)-VLOOKUP($A63,main!$A$3:$H$102,6,FALSE)&gt;=main!$D$103+VLOOKUP(VLOOKUP(O$1,main!$A$3:$I$102,7,FALSE),main!$K$26:$Q$29,3,FALSE),1,0)</f>
        <v>1</v>
      </c>
      <c r="P63">
        <f>IF(VLOOKUP(P$1,main!$A$3:$H$102,5,FALSE)-VLOOKUP($A63,main!$A$3:$H$102,6,FALSE)&gt;=main!$D$103+VLOOKUP(VLOOKUP(P$1,main!$A$3:$I$102,7,FALSE),main!$K$26:$Q$29,3,FALSE),1,0)</f>
        <v>1</v>
      </c>
      <c r="Q63">
        <f>IF(VLOOKUP(Q$1,main!$A$3:$H$102,5,FALSE)-VLOOKUP($A63,main!$A$3:$H$102,6,FALSE)&gt;=main!$D$103+VLOOKUP(VLOOKUP(Q$1,main!$A$3:$I$102,7,FALSE),main!$K$26:$Q$29,3,FALSE),1,0)</f>
        <v>1</v>
      </c>
      <c r="R63">
        <f>IF(VLOOKUP(R$1,main!$A$3:$H$102,5,FALSE)-VLOOKUP($A63,main!$A$3:$H$102,6,FALSE)&gt;=main!$D$103+VLOOKUP(VLOOKUP(R$1,main!$A$3:$I$102,7,FALSE),main!$K$26:$Q$29,3,FALSE),1,0)</f>
        <v>1</v>
      </c>
      <c r="S63">
        <f>IF(VLOOKUP(S$1,main!$A$3:$H$102,5,FALSE)-VLOOKUP($A63,main!$A$3:$H$102,6,FALSE)&gt;=main!$D$103+VLOOKUP(VLOOKUP(S$1,main!$A$3:$I$102,7,FALSE),main!$K$26:$Q$29,3,FALSE),1,0)</f>
        <v>1</v>
      </c>
      <c r="T63">
        <f>IF(VLOOKUP(T$1,main!$A$3:$H$102,5,FALSE)-VLOOKUP($A63,main!$A$3:$H$102,6,FALSE)&gt;=main!$D$103+VLOOKUP(VLOOKUP(T$1,main!$A$3:$I$102,7,FALSE),main!$K$26:$Q$29,3,FALSE),1,0)</f>
        <v>1</v>
      </c>
      <c r="U63">
        <f>IF(VLOOKUP(U$1,main!$A$3:$H$102,5,FALSE)-VLOOKUP($A63,main!$A$3:$H$102,6,FALSE)&gt;=main!$D$103+VLOOKUP(VLOOKUP(U$1,main!$A$3:$I$102,7,FALSE),main!$K$26:$Q$29,3,FALSE),1,0)</f>
        <v>1</v>
      </c>
      <c r="V63">
        <f>IF(VLOOKUP(V$1,main!$A$3:$H$102,5,FALSE)-VLOOKUP($A63,main!$A$3:$H$102,6,FALSE)&gt;=main!$D$103+VLOOKUP(VLOOKUP(V$1,main!$A$3:$I$102,7,FALSE),main!$K$26:$Q$29,3,FALSE),1,0)</f>
        <v>1</v>
      </c>
      <c r="W63">
        <f>IF(VLOOKUP(W$1,main!$A$3:$H$102,5,FALSE)-VLOOKUP($A63,main!$A$3:$H$102,6,FALSE)&gt;=main!$D$103+VLOOKUP(VLOOKUP(W$1,main!$A$3:$I$102,7,FALSE),main!$K$26:$Q$29,3,FALSE),1,0)</f>
        <v>1</v>
      </c>
      <c r="X63">
        <f>IF(VLOOKUP(X$1,main!$A$3:$H$102,5,FALSE)-VLOOKUP($A63,main!$A$3:$H$102,6,FALSE)&gt;=main!$D$103+VLOOKUP(VLOOKUP(X$1,main!$A$3:$I$102,7,FALSE),main!$K$26:$Q$29,3,FALSE),1,0)</f>
        <v>1</v>
      </c>
      <c r="Y63">
        <f>IF(VLOOKUP(Y$1,main!$A$3:$H$102,5,FALSE)-VLOOKUP($A63,main!$A$3:$H$102,6,FALSE)&gt;=main!$D$103+VLOOKUP(VLOOKUP(Y$1,main!$A$3:$I$102,7,FALSE),main!$K$26:$Q$29,3,FALSE),1,0)</f>
        <v>1</v>
      </c>
      <c r="Z63">
        <f>IF(VLOOKUP(Z$1,main!$A$3:$H$102,5,FALSE)-VLOOKUP($A63,main!$A$3:$H$102,6,FALSE)&gt;=main!$D$103+VLOOKUP(VLOOKUP(Z$1,main!$A$3:$I$102,7,FALSE),main!$K$26:$Q$29,3,FALSE),1,0)</f>
        <v>1</v>
      </c>
      <c r="AA63">
        <f>IF(VLOOKUP(AA$1,main!$A$3:$H$102,5,FALSE)-VLOOKUP($A63,main!$A$3:$H$102,6,FALSE)&gt;=main!$D$103+VLOOKUP(VLOOKUP(AA$1,main!$A$3:$I$102,7,FALSE),main!$K$26:$Q$29,3,FALSE),1,0)</f>
        <v>1</v>
      </c>
      <c r="AB63">
        <f>IF(VLOOKUP(AB$1,main!$A$3:$H$102,5,FALSE)-VLOOKUP($A63,main!$A$3:$H$102,6,FALSE)&gt;=main!$D$103+VLOOKUP(VLOOKUP(AB$1,main!$A$3:$I$102,7,FALSE),main!$K$26:$Q$29,3,FALSE),1,0)</f>
        <v>0</v>
      </c>
      <c r="AC63">
        <f>IF(VLOOKUP(AC$1,main!$A$3:$H$102,5,FALSE)-VLOOKUP($A63,main!$A$3:$H$102,6,FALSE)&gt;=main!$D$103+VLOOKUP(VLOOKUP(AC$1,main!$A$3:$I$102,7,FALSE),main!$K$26:$Q$29,3,FALSE),1,0)</f>
        <v>1</v>
      </c>
      <c r="AD63">
        <f>IF(VLOOKUP(AD$1,main!$A$3:$H$102,5,FALSE)-VLOOKUP($A63,main!$A$3:$H$102,6,FALSE)&gt;=main!$D$103+VLOOKUP(VLOOKUP(AD$1,main!$A$3:$I$102,7,FALSE),main!$K$26:$Q$29,3,FALSE),1,0)</f>
        <v>1</v>
      </c>
      <c r="AE63">
        <f>IF(VLOOKUP(AE$1,main!$A$3:$H$102,5,FALSE)-VLOOKUP($A63,main!$A$3:$H$102,6,FALSE)&gt;=main!$D$103+VLOOKUP(VLOOKUP(AE$1,main!$A$3:$I$102,7,FALSE),main!$K$26:$Q$29,3,FALSE),1,0)</f>
        <v>1</v>
      </c>
      <c r="AF63">
        <f>IF(VLOOKUP(AF$1,main!$A$3:$H$102,5,FALSE)-VLOOKUP($A63,main!$A$3:$H$102,6,FALSE)&gt;=main!$D$103+VLOOKUP(VLOOKUP(AF$1,main!$A$3:$I$102,7,FALSE),main!$K$26:$Q$29,3,FALSE),1,0)</f>
        <v>1</v>
      </c>
      <c r="AG63">
        <f>IF(VLOOKUP(AG$1,main!$A$3:$H$102,5,FALSE)-VLOOKUP($A63,main!$A$3:$H$102,6,FALSE)&gt;=main!$D$103+VLOOKUP(VLOOKUP(AG$1,main!$A$3:$I$102,7,FALSE),main!$K$26:$Q$29,3,FALSE),1,0)</f>
        <v>1</v>
      </c>
      <c r="AH63">
        <f>IF(VLOOKUP(AH$1,main!$A$3:$H$102,5,FALSE)-VLOOKUP($A63,main!$A$3:$H$102,6,FALSE)&gt;=main!$D$103+VLOOKUP(VLOOKUP(AH$1,main!$A$3:$I$102,7,FALSE),main!$K$26:$Q$29,3,FALSE),1,0)</f>
        <v>1</v>
      </c>
      <c r="AI63">
        <f>IF(VLOOKUP(AI$1,main!$A$3:$H$102,5,FALSE)-VLOOKUP($A63,main!$A$3:$H$102,6,FALSE)&gt;=main!$D$103+VLOOKUP(VLOOKUP(AI$1,main!$A$3:$I$102,7,FALSE),main!$K$26:$Q$29,3,FALSE),1,0)</f>
        <v>1</v>
      </c>
      <c r="AJ63">
        <f>IF(VLOOKUP(AJ$1,main!$A$3:$H$102,5,FALSE)-VLOOKUP($A63,main!$A$3:$H$102,6,FALSE)&gt;=main!$D$103+VLOOKUP(VLOOKUP(AJ$1,main!$A$3:$I$102,7,FALSE),main!$K$26:$Q$29,3,FALSE),1,0)</f>
        <v>1</v>
      </c>
      <c r="AK63">
        <f>IF(VLOOKUP(AK$1,main!$A$3:$H$102,5,FALSE)-VLOOKUP($A63,main!$A$3:$H$102,6,FALSE)&gt;=main!$D$103+VLOOKUP(VLOOKUP(AK$1,main!$A$3:$I$102,7,FALSE),main!$K$26:$Q$29,3,FALSE),1,0)</f>
        <v>1</v>
      </c>
      <c r="AL63">
        <f>IF(VLOOKUP(AL$1,main!$A$3:$H$102,5,FALSE)-VLOOKUP($A63,main!$A$3:$H$102,6,FALSE)&gt;=main!$D$103+VLOOKUP(VLOOKUP(AL$1,main!$A$3:$I$102,7,FALSE),main!$K$26:$Q$29,3,FALSE),1,0)</f>
        <v>1</v>
      </c>
      <c r="AM63">
        <f>IF(VLOOKUP(AM$1,main!$A$3:$H$102,5,FALSE)-VLOOKUP($A63,main!$A$3:$H$102,6,FALSE)&gt;=main!$D$103+VLOOKUP(VLOOKUP(AM$1,main!$A$3:$I$102,7,FALSE),main!$K$26:$Q$29,3,FALSE),1,0)</f>
        <v>1</v>
      </c>
      <c r="AN63">
        <f>IF(VLOOKUP(AN$1,main!$A$3:$H$102,5,FALSE)-VLOOKUP($A63,main!$A$3:$H$102,6,FALSE)&gt;=main!$D$103+VLOOKUP(VLOOKUP(AN$1,main!$A$3:$I$102,7,FALSE),main!$K$26:$Q$29,3,FALSE),1,0)</f>
        <v>1</v>
      </c>
      <c r="AO63">
        <f>IF(VLOOKUP(AO$1,main!$A$3:$H$102,5,FALSE)-VLOOKUP($A63,main!$A$3:$H$102,6,FALSE)&gt;=main!$D$103+VLOOKUP(VLOOKUP(AO$1,main!$A$3:$I$102,7,FALSE),main!$K$26:$Q$29,3,FALSE),1,0)</f>
        <v>0</v>
      </c>
      <c r="AP63">
        <f>IF(VLOOKUP(AP$1,main!$A$3:$H$102,5,FALSE)-VLOOKUP($A63,main!$A$3:$H$102,6,FALSE)&gt;=main!$D$103+VLOOKUP(VLOOKUP(AP$1,main!$A$3:$I$102,7,FALSE),main!$K$26:$Q$29,3,FALSE),1,0)</f>
        <v>1</v>
      </c>
      <c r="AQ63">
        <f>IF(VLOOKUP(AQ$1,main!$A$3:$H$102,5,FALSE)-VLOOKUP($A63,main!$A$3:$H$102,6,FALSE)&gt;=main!$D$103+VLOOKUP(VLOOKUP(AQ$1,main!$A$3:$I$102,7,FALSE),main!$K$26:$Q$29,3,FALSE),1,0)</f>
        <v>0</v>
      </c>
      <c r="AR63">
        <f>IF(VLOOKUP(AR$1,main!$A$3:$H$102,5,FALSE)-VLOOKUP($A63,main!$A$3:$H$102,6,FALSE)&gt;=main!$D$103+VLOOKUP(VLOOKUP(AR$1,main!$A$3:$I$102,7,FALSE),main!$K$26:$Q$29,3,FALSE),1,0)</f>
        <v>1</v>
      </c>
      <c r="AS63">
        <f>IF(VLOOKUP(AS$1,main!$A$3:$H$102,5,FALSE)-VLOOKUP($A63,main!$A$3:$H$102,6,FALSE)&gt;=main!$D$103+VLOOKUP(VLOOKUP(AS$1,main!$A$3:$I$102,7,FALSE),main!$K$26:$Q$29,3,FALSE),1,0)</f>
        <v>1</v>
      </c>
      <c r="AT63">
        <f>IF(VLOOKUP(AT$1,main!$A$3:$H$102,5,FALSE)-VLOOKUP($A63,main!$A$3:$H$102,6,FALSE)&gt;=main!$D$103+VLOOKUP(VLOOKUP(AT$1,main!$A$3:$I$102,7,FALSE),main!$K$26:$Q$29,3,FALSE),1,0)</f>
        <v>1</v>
      </c>
      <c r="AU63">
        <f>IF(VLOOKUP(AU$1,main!$A$3:$H$102,5,FALSE)-VLOOKUP($A63,main!$A$3:$H$102,6,FALSE)&gt;=main!$D$103+VLOOKUP(VLOOKUP(AU$1,main!$A$3:$I$102,7,FALSE),main!$K$26:$Q$29,3,FALSE),1,0)</f>
        <v>0</v>
      </c>
      <c r="AV63">
        <f>IF(VLOOKUP(AV$1,main!$A$3:$H$102,5,FALSE)-VLOOKUP($A63,main!$A$3:$H$102,6,FALSE)&gt;=main!$D$103+VLOOKUP(VLOOKUP(AV$1,main!$A$3:$I$102,7,FALSE),main!$K$26:$Q$29,3,FALSE),1,0)</f>
        <v>1</v>
      </c>
      <c r="AW63">
        <f>IF(VLOOKUP(AW$1,main!$A$3:$H$102,5,FALSE)-VLOOKUP($A63,main!$A$3:$H$102,6,FALSE)&gt;=main!$D$103+VLOOKUP(VLOOKUP(AW$1,main!$A$3:$I$102,7,FALSE),main!$K$26:$Q$29,3,FALSE),1,0)</f>
        <v>1</v>
      </c>
      <c r="AX63">
        <f>IF(VLOOKUP(AX$1,main!$A$3:$H$102,5,FALSE)-VLOOKUP($A63,main!$A$3:$H$102,6,FALSE)&gt;=main!$D$103+VLOOKUP(VLOOKUP(AX$1,main!$A$3:$I$102,7,FALSE),main!$K$26:$Q$29,3,FALSE),1,0)</f>
        <v>1</v>
      </c>
      <c r="AY63">
        <f>IF(VLOOKUP(AY$1,main!$A$3:$H$102,5,FALSE)-VLOOKUP($A63,main!$A$3:$H$102,6,FALSE)&gt;=main!$D$103+VLOOKUP(VLOOKUP(AY$1,main!$A$3:$I$102,7,FALSE),main!$K$26:$Q$29,3,FALSE),1,0)</f>
        <v>1</v>
      </c>
      <c r="AZ63">
        <f>IF(VLOOKUP(AZ$1,main!$A$3:$H$102,5,FALSE)-VLOOKUP($A63,main!$A$3:$H$102,6,FALSE)&gt;=main!$D$103+VLOOKUP(VLOOKUP(AZ$1,main!$A$3:$I$102,7,FALSE),main!$K$26:$Q$29,3,FALSE),1,0)</f>
        <v>1</v>
      </c>
      <c r="BA63">
        <f>IF(VLOOKUP(BA$1,main!$A$3:$H$102,5,FALSE)-VLOOKUP($A63,main!$A$3:$H$102,6,FALSE)&gt;=main!$D$103+VLOOKUP(VLOOKUP(BA$1,main!$A$3:$I$102,7,FALSE),main!$K$26:$Q$29,3,FALSE),1,0)</f>
        <v>1</v>
      </c>
      <c r="BB63">
        <f>IF(VLOOKUP(BB$1,main!$A$3:$H$102,5,FALSE)-VLOOKUP($A63,main!$A$3:$H$102,6,FALSE)&gt;=main!$D$103+VLOOKUP(VLOOKUP(BB$1,main!$A$3:$I$102,7,FALSE),main!$K$26:$Q$29,3,FALSE),1,0)</f>
        <v>1</v>
      </c>
      <c r="BC63">
        <f>IF(VLOOKUP(BC$1,main!$A$3:$H$102,5,FALSE)-VLOOKUP($A63,main!$A$3:$H$102,6,FALSE)&gt;=main!$D$103+VLOOKUP(VLOOKUP(BC$1,main!$A$3:$I$102,7,FALSE),main!$K$26:$Q$29,3,FALSE),1,0)</f>
        <v>1</v>
      </c>
      <c r="BD63">
        <f>IF(VLOOKUP(BD$1,main!$A$3:$H$102,5,FALSE)-VLOOKUP($A63,main!$A$3:$H$102,6,FALSE)&gt;=main!$D$103+VLOOKUP(VLOOKUP(BD$1,main!$A$3:$I$102,7,FALSE),main!$K$26:$Q$29,3,FALSE),1,0)</f>
        <v>1</v>
      </c>
      <c r="BE63">
        <f>IF(VLOOKUP(BE$1,main!$A$3:$H$102,5,FALSE)-VLOOKUP($A63,main!$A$3:$H$102,6,FALSE)&gt;=main!$D$103+VLOOKUP(VLOOKUP(BE$1,main!$A$3:$I$102,7,FALSE),main!$K$26:$Q$29,3,FALSE),1,0)</f>
        <v>1</v>
      </c>
      <c r="BF63">
        <f>IF(VLOOKUP(BF$1,main!$A$3:$H$102,5,FALSE)-VLOOKUP($A63,main!$A$3:$H$102,6,FALSE)&gt;=main!$D$103+VLOOKUP(VLOOKUP(BF$1,main!$A$3:$I$102,7,FALSE),main!$K$26:$Q$29,3,FALSE),1,0)</f>
        <v>1</v>
      </c>
      <c r="BG63">
        <f>IF(VLOOKUP(BG$1,main!$A$3:$H$102,5,FALSE)-VLOOKUP($A63,main!$A$3:$H$102,6,FALSE)&gt;=main!$D$103+VLOOKUP(VLOOKUP(BG$1,main!$A$3:$I$102,7,FALSE),main!$K$26:$Q$29,3,FALSE),1,0)</f>
        <v>1</v>
      </c>
      <c r="BH63">
        <f>IF(VLOOKUP(BH$1,main!$A$3:$H$102,5,FALSE)-VLOOKUP($A63,main!$A$3:$H$102,6,FALSE)&gt;=main!$D$103+VLOOKUP(VLOOKUP(BH$1,main!$A$3:$I$102,7,FALSE),main!$K$26:$Q$29,3,FALSE),1,0)</f>
        <v>1</v>
      </c>
      <c r="BI63">
        <f>IF(VLOOKUP(BI$1,main!$A$3:$H$102,5,FALSE)-VLOOKUP($A63,main!$A$3:$H$102,6,FALSE)&gt;=main!$D$103+VLOOKUP(VLOOKUP(BI$1,main!$A$3:$I$102,7,FALSE),main!$K$26:$Q$29,3,FALSE),1,0)</f>
        <v>1</v>
      </c>
      <c r="BJ63">
        <f>IF(VLOOKUP(BJ$1,main!$A$3:$H$102,5,FALSE)-VLOOKUP($A63,main!$A$3:$H$102,6,FALSE)&gt;=main!$D$103+VLOOKUP(VLOOKUP(BJ$1,main!$A$3:$I$102,7,FALSE),main!$K$26:$Q$29,3,FALSE),1,0)</f>
        <v>1</v>
      </c>
      <c r="BK63">
        <f>IF(VLOOKUP(BK$1,main!$A$3:$H$102,5,FALSE)-VLOOKUP($A63,main!$A$3:$H$102,6,FALSE)&gt;=main!$D$103+VLOOKUP(VLOOKUP(BK$1,main!$A$3:$I$102,7,FALSE),main!$K$26:$Q$29,3,FALSE),1,0)</f>
        <v>0</v>
      </c>
      <c r="BL63">
        <f>IF(VLOOKUP(BL$1,main!$A$3:$H$102,5,FALSE)-VLOOKUP($A63,main!$A$3:$H$102,6,FALSE)&gt;=main!$D$103+VLOOKUP(VLOOKUP(BL$1,main!$A$3:$I$102,7,FALSE),main!$K$26:$Q$29,3,FALSE),1,0)</f>
        <v>1</v>
      </c>
      <c r="BM63">
        <f>IF(VLOOKUP(BM$1,main!$A$3:$H$102,5,FALSE)-VLOOKUP($A63,main!$A$3:$H$102,6,FALSE)&gt;=main!$D$103+VLOOKUP(VLOOKUP(BM$1,main!$A$3:$I$102,7,FALSE),main!$K$26:$Q$29,3,FALSE),1,0)</f>
        <v>1</v>
      </c>
      <c r="BN63">
        <f>IF(VLOOKUP(BN$1,main!$A$3:$H$102,5,FALSE)-VLOOKUP($A63,main!$A$3:$H$102,6,FALSE)&gt;=main!$D$103+VLOOKUP(VLOOKUP(BN$1,main!$A$3:$I$102,7,FALSE),main!$K$26:$Q$29,3,FALSE),1,0)</f>
        <v>1</v>
      </c>
      <c r="BO63">
        <f>IF(VLOOKUP(BO$1,main!$A$3:$H$102,5,FALSE)-VLOOKUP($A63,main!$A$3:$H$102,6,FALSE)&gt;=main!$D$103+VLOOKUP(VLOOKUP(BO$1,main!$A$3:$I$102,7,FALSE),main!$K$26:$Q$29,3,FALSE),1,0)</f>
        <v>0</v>
      </c>
      <c r="BP63">
        <f>IF(VLOOKUP(BP$1,main!$A$3:$H$102,5,FALSE)-VLOOKUP($A63,main!$A$3:$H$102,6,FALSE)&gt;=main!$D$103+VLOOKUP(VLOOKUP(BP$1,main!$A$3:$I$102,7,FALSE),main!$K$26:$Q$29,3,FALSE),1,0)</f>
        <v>1</v>
      </c>
      <c r="BQ63">
        <f>IF(VLOOKUP(BQ$1,main!$A$3:$H$102,5,FALSE)-VLOOKUP($A63,main!$A$3:$H$102,6,FALSE)&gt;=main!$D$103+VLOOKUP(VLOOKUP(BQ$1,main!$A$3:$I$102,7,FALSE),main!$K$26:$Q$29,3,FALSE),1,0)</f>
        <v>1</v>
      </c>
      <c r="BR63">
        <f>IF(VLOOKUP(BR$1,main!$A$3:$H$102,5,FALSE)-VLOOKUP($A63,main!$A$3:$H$102,6,FALSE)&gt;=main!$D$103+VLOOKUP(VLOOKUP(BR$1,main!$A$3:$I$102,7,FALSE),main!$K$26:$Q$29,3,FALSE),1,0)</f>
        <v>1</v>
      </c>
      <c r="BS63">
        <f>IF(VLOOKUP(BS$1,main!$A$3:$H$102,5,FALSE)-VLOOKUP($A63,main!$A$3:$H$102,6,FALSE)&gt;=main!$D$103+VLOOKUP(VLOOKUP(BS$1,main!$A$3:$I$102,7,FALSE),main!$K$26:$Q$29,3,FALSE),1,0)</f>
        <v>1</v>
      </c>
      <c r="BT63">
        <f>IF(VLOOKUP(BT$1,main!$A$3:$H$102,5,FALSE)-VLOOKUP($A63,main!$A$3:$H$102,6,FALSE)&gt;=main!$D$103+VLOOKUP(VLOOKUP(BT$1,main!$A$3:$I$102,7,FALSE),main!$K$26:$Q$29,3,FALSE),1,0)</f>
        <v>1</v>
      </c>
      <c r="BU63">
        <f>IF(VLOOKUP(BU$1,main!$A$3:$H$102,5,FALSE)-VLOOKUP($A63,main!$A$3:$H$102,6,FALSE)&gt;=main!$D$103+VLOOKUP(VLOOKUP(BU$1,main!$A$3:$I$102,7,FALSE),main!$K$26:$Q$29,3,FALSE),1,0)</f>
        <v>0</v>
      </c>
      <c r="BV63">
        <f>IF(VLOOKUP(BV$1,main!$A$3:$H$102,5,FALSE)-VLOOKUP($A63,main!$A$3:$H$102,6,FALSE)&gt;=main!$D$103+VLOOKUP(VLOOKUP(BV$1,main!$A$3:$I$102,7,FALSE),main!$K$26:$Q$29,3,FALSE),1,0)</f>
        <v>1</v>
      </c>
      <c r="BW63">
        <f>IF(VLOOKUP(BW$1,main!$A$3:$H$102,5,FALSE)-VLOOKUP($A63,main!$A$3:$H$102,6,FALSE)&gt;=main!$D$103+VLOOKUP(VLOOKUP(BW$1,main!$A$3:$I$102,7,FALSE),main!$K$26:$Q$29,3,FALSE),1,0)</f>
        <v>1</v>
      </c>
      <c r="BX63">
        <f>IF(VLOOKUP(BX$1,main!$A$3:$H$102,5,FALSE)-VLOOKUP($A63,main!$A$3:$H$102,6,FALSE)&gt;=main!$D$103+VLOOKUP(VLOOKUP(BX$1,main!$A$3:$I$102,7,FALSE),main!$K$26:$Q$29,3,FALSE),1,0)</f>
        <v>1</v>
      </c>
      <c r="BY63">
        <f>IF(VLOOKUP(BY$1,main!$A$3:$H$102,5,FALSE)-VLOOKUP($A63,main!$A$3:$H$102,6,FALSE)&gt;=main!$D$103+VLOOKUP(VLOOKUP(BY$1,main!$A$3:$I$102,7,FALSE),main!$K$26:$Q$29,3,FALSE),1,0)</f>
        <v>1</v>
      </c>
      <c r="BZ63">
        <f>IF(VLOOKUP(BZ$1,main!$A$3:$H$102,5,FALSE)-VLOOKUP($A63,main!$A$3:$H$102,6,FALSE)&gt;=main!$D$103+VLOOKUP(VLOOKUP(BZ$1,main!$A$3:$I$102,7,FALSE),main!$K$26:$Q$29,3,FALSE),1,0)</f>
        <v>0</v>
      </c>
      <c r="CA63">
        <f>IF(VLOOKUP(CA$1,main!$A$3:$H$102,5,FALSE)-VLOOKUP($A63,main!$A$3:$H$102,6,FALSE)&gt;=main!$D$103+VLOOKUP(VLOOKUP(CA$1,main!$A$3:$I$102,7,FALSE),main!$K$26:$Q$29,3,FALSE),1,0)</f>
        <v>1</v>
      </c>
      <c r="CB63">
        <f>IF(VLOOKUP(CB$1,main!$A$3:$H$102,5,FALSE)-VLOOKUP($A63,main!$A$3:$H$102,6,FALSE)&gt;=main!$D$103+VLOOKUP(VLOOKUP(CB$1,main!$A$3:$I$102,7,FALSE),main!$K$26:$Q$29,3,FALSE),1,0)</f>
        <v>1</v>
      </c>
      <c r="CC63">
        <f>IF(VLOOKUP(CC$1,main!$A$3:$H$102,5,FALSE)-VLOOKUP($A63,main!$A$3:$H$102,6,FALSE)&gt;=main!$D$103+VLOOKUP(VLOOKUP(CC$1,main!$A$3:$I$102,7,FALSE),main!$K$26:$Q$29,3,FALSE),1,0)</f>
        <v>1</v>
      </c>
      <c r="CD63">
        <f>IF(VLOOKUP(CD$1,main!$A$3:$H$102,5,FALSE)-VLOOKUP($A63,main!$A$3:$H$102,6,FALSE)&gt;=main!$D$103+VLOOKUP(VLOOKUP(CD$1,main!$A$3:$I$102,7,FALSE),main!$K$26:$Q$29,3,FALSE),1,0)</f>
        <v>1</v>
      </c>
      <c r="CE63">
        <f>IF(VLOOKUP(CE$1,main!$A$3:$H$102,5,FALSE)-VLOOKUP($A63,main!$A$3:$H$102,6,FALSE)&gt;=main!$D$103+VLOOKUP(VLOOKUP(CE$1,main!$A$3:$I$102,7,FALSE),main!$K$26:$Q$29,3,FALSE),1,0)</f>
        <v>1</v>
      </c>
      <c r="CF63">
        <f>IF(VLOOKUP(CF$1,main!$A$3:$H$102,5,FALSE)-VLOOKUP($A63,main!$A$3:$H$102,6,FALSE)&gt;=main!$D$103+VLOOKUP(VLOOKUP(CF$1,main!$A$3:$I$102,7,FALSE),main!$K$26:$Q$29,3,FALSE),1,0)</f>
        <v>1</v>
      </c>
      <c r="CG63">
        <f>IF(VLOOKUP(CG$1,main!$A$3:$H$102,5,FALSE)-VLOOKUP($A63,main!$A$3:$H$102,6,FALSE)&gt;=main!$D$103+VLOOKUP(VLOOKUP(CG$1,main!$A$3:$I$102,7,FALSE),main!$K$26:$Q$29,3,FALSE),1,0)</f>
        <v>1</v>
      </c>
      <c r="CH63">
        <f>IF(VLOOKUP(CH$1,main!$A$3:$H$102,5,FALSE)-VLOOKUP($A63,main!$A$3:$H$102,6,FALSE)&gt;=main!$D$103+VLOOKUP(VLOOKUP(CH$1,main!$A$3:$I$102,7,FALSE),main!$K$26:$Q$29,3,FALSE),1,0)</f>
        <v>1</v>
      </c>
      <c r="CI63">
        <f>IF(VLOOKUP(CI$1,main!$A$3:$H$102,5,FALSE)-VLOOKUP($A63,main!$A$3:$H$102,6,FALSE)&gt;=main!$D$103+VLOOKUP(VLOOKUP(CI$1,main!$A$3:$I$102,7,FALSE),main!$K$26:$Q$29,3,FALSE),1,0)</f>
        <v>1</v>
      </c>
      <c r="CJ63">
        <f>IF(VLOOKUP(CJ$1,main!$A$3:$H$102,5,FALSE)-VLOOKUP($A63,main!$A$3:$H$102,6,FALSE)&gt;=main!$D$103+VLOOKUP(VLOOKUP(CJ$1,main!$A$3:$I$102,7,FALSE),main!$K$26:$Q$29,3,FALSE),1,0)</f>
        <v>1</v>
      </c>
      <c r="CK63">
        <f>IF(VLOOKUP(CK$1,main!$A$3:$H$102,5,FALSE)-VLOOKUP($A63,main!$A$3:$H$102,6,FALSE)&gt;=main!$D$103+VLOOKUP(VLOOKUP(CK$1,main!$A$3:$I$102,7,FALSE),main!$K$26:$Q$29,3,FALSE),1,0)</f>
        <v>1</v>
      </c>
      <c r="CL63">
        <f>IF(VLOOKUP(CL$1,main!$A$3:$H$102,5,FALSE)-VLOOKUP($A63,main!$A$3:$H$102,6,FALSE)&gt;=main!$D$103+VLOOKUP(VLOOKUP(CL$1,main!$A$3:$I$102,7,FALSE),main!$K$26:$Q$29,3,FALSE),1,0)</f>
        <v>1</v>
      </c>
      <c r="CM63">
        <f>IF(VLOOKUP(CM$1,main!$A$3:$H$102,5,FALSE)-VLOOKUP($A63,main!$A$3:$H$102,6,FALSE)&gt;=main!$D$103+VLOOKUP(VLOOKUP(CM$1,main!$A$3:$I$102,7,FALSE),main!$K$26:$Q$29,3,FALSE),1,0)</f>
        <v>1</v>
      </c>
      <c r="CN63">
        <f>IF(VLOOKUP(CN$1,main!$A$3:$H$102,5,FALSE)-VLOOKUP($A63,main!$A$3:$H$102,6,FALSE)&gt;=main!$D$103+VLOOKUP(VLOOKUP(CN$1,main!$A$3:$I$102,7,FALSE),main!$K$26:$Q$29,3,FALSE),1,0)</f>
        <v>1</v>
      </c>
      <c r="CO63">
        <f>IF(VLOOKUP(CO$1,main!$A$3:$H$102,5,FALSE)-VLOOKUP($A63,main!$A$3:$H$102,6,FALSE)&gt;=main!$D$103+VLOOKUP(VLOOKUP(CO$1,main!$A$3:$I$102,7,FALSE),main!$K$26:$Q$29,3,FALSE),1,0)</f>
        <v>1</v>
      </c>
      <c r="CP63">
        <f>IF(VLOOKUP(CP$1,main!$A$3:$H$102,5,FALSE)-VLOOKUP($A63,main!$A$3:$H$102,6,FALSE)&gt;=main!$D$103+VLOOKUP(VLOOKUP(CP$1,main!$A$3:$I$102,7,FALSE),main!$K$26:$Q$29,3,FALSE),1,0)</f>
        <v>1</v>
      </c>
      <c r="CQ63">
        <f>IF(VLOOKUP(CQ$1,main!$A$3:$H$102,5,FALSE)-VLOOKUP($A63,main!$A$3:$H$102,6,FALSE)&gt;=main!$D$103+VLOOKUP(VLOOKUP(CQ$1,main!$A$3:$I$102,7,FALSE),main!$K$26:$Q$29,3,FALSE),1,0)</f>
        <v>1</v>
      </c>
      <c r="CR63">
        <f>IF(VLOOKUP(CR$1,main!$A$3:$H$102,5,FALSE)-VLOOKUP($A63,main!$A$3:$H$102,6,FALSE)&gt;=main!$D$103+VLOOKUP(VLOOKUP(CR$1,main!$A$3:$I$102,7,FALSE),main!$K$26:$Q$29,3,FALSE),1,0)</f>
        <v>1</v>
      </c>
      <c r="CS63">
        <f>IF(VLOOKUP(CS$1,main!$A$3:$H$102,5,FALSE)-VLOOKUP($A63,main!$A$3:$H$102,6,FALSE)&gt;=main!$D$103+VLOOKUP(VLOOKUP(CS$1,main!$A$3:$I$102,7,FALSE),main!$K$26:$Q$29,3,FALSE),1,0)</f>
        <v>1</v>
      </c>
      <c r="CT63">
        <f>IF(VLOOKUP(CT$1,main!$A$3:$H$102,5,FALSE)-VLOOKUP($A63,main!$A$3:$H$102,6,FALSE)&gt;=main!$D$103+VLOOKUP(VLOOKUP(CT$1,main!$A$3:$I$102,7,FALSE),main!$K$26:$Q$29,3,FALSE),1,0)</f>
        <v>1</v>
      </c>
      <c r="CU63">
        <f>IF(VLOOKUP(CU$1,main!$A$3:$H$102,5,FALSE)-VLOOKUP($A63,main!$A$3:$H$102,6,FALSE)&gt;=main!$D$103+VLOOKUP(VLOOKUP(CU$1,main!$A$3:$I$102,7,FALSE),main!$K$26:$Q$29,3,FALSE),1,0)</f>
        <v>1</v>
      </c>
      <c r="CV63">
        <f>IF(VLOOKUP(CV$1,main!$A$3:$H$102,5,FALSE)-VLOOKUP($A63,main!$A$3:$H$102,6,FALSE)&gt;=main!$D$103+VLOOKUP(VLOOKUP(CV$1,main!$A$3:$I$102,7,FALSE),main!$K$26:$Q$29,3,FALSE),1,0)</f>
        <v>1</v>
      </c>
      <c r="CW63">
        <f>IF(VLOOKUP(CW$1,main!$A$3:$H$102,5,FALSE)-VLOOKUP($A63,main!$A$3:$H$102,6,FALSE)&gt;=main!$D$103+VLOOKUP(VLOOKUP(CW$1,main!$A$3:$I$102,7,FALSE),main!$K$26:$Q$29,3,FALSE),1,0)</f>
        <v>1</v>
      </c>
      <c r="CX63">
        <f>IF(VLOOKUP(CX$1,main!$A$3:$H$102,5,FALSE)-VLOOKUP($A63,main!$A$3:$H$102,6,FALSE)&gt;=main!$D$103+VLOOKUP(VLOOKUP(CX$1,main!$A$3:$I$102,7,FALSE),main!$K$26:$Q$29,3,FALSE),1,0)</f>
        <v>1</v>
      </c>
    </row>
    <row r="64" spans="1:102" x14ac:dyDescent="0.25">
      <c r="A64" s="1">
        <v>62</v>
      </c>
      <c r="B64">
        <v>0</v>
      </c>
      <c r="C64">
        <f>IF(VLOOKUP(C$1,main!$A$3:$H$102,5,FALSE)-VLOOKUP($A64,main!$A$3:$H$102,6,FALSE)&gt;=main!$D$103+VLOOKUP(VLOOKUP(C$1,main!$A$3:$I$102,7,FALSE),main!$K$26:$Q$29,3,FALSE),1,0)</f>
        <v>0</v>
      </c>
      <c r="D64">
        <f>IF(VLOOKUP(D$1,main!$A$3:$H$102,5,FALSE)-VLOOKUP($A64,main!$A$3:$H$102,6,FALSE)&gt;=main!$D$103+VLOOKUP(VLOOKUP(D$1,main!$A$3:$I$102,7,FALSE),main!$K$26:$Q$29,3,FALSE),1,0)</f>
        <v>0</v>
      </c>
      <c r="E64">
        <f>IF(VLOOKUP(E$1,main!$A$3:$H$102,5,FALSE)-VLOOKUP($A64,main!$A$3:$H$102,6,FALSE)&gt;=main!$D$103+VLOOKUP(VLOOKUP(E$1,main!$A$3:$I$102,7,FALSE),main!$K$26:$Q$29,3,FALSE),1,0)</f>
        <v>0</v>
      </c>
      <c r="F64">
        <f>IF(VLOOKUP(F$1,main!$A$3:$H$102,5,FALSE)-VLOOKUP($A64,main!$A$3:$H$102,6,FALSE)&gt;=main!$D$103+VLOOKUP(VLOOKUP(F$1,main!$A$3:$I$102,7,FALSE),main!$K$26:$Q$29,3,FALSE),1,0)</f>
        <v>0</v>
      </c>
      <c r="G64">
        <f>IF(VLOOKUP(G$1,main!$A$3:$H$102,5,FALSE)-VLOOKUP($A64,main!$A$3:$H$102,6,FALSE)&gt;=main!$D$103+VLOOKUP(VLOOKUP(G$1,main!$A$3:$I$102,7,FALSE),main!$K$26:$Q$29,3,FALSE),1,0)</f>
        <v>1</v>
      </c>
      <c r="H64">
        <f>IF(VLOOKUP(H$1,main!$A$3:$H$102,5,FALSE)-VLOOKUP($A64,main!$A$3:$H$102,6,FALSE)&gt;=main!$D$103+VLOOKUP(VLOOKUP(H$1,main!$A$3:$I$102,7,FALSE),main!$K$26:$Q$29,3,FALSE),1,0)</f>
        <v>1</v>
      </c>
      <c r="I64">
        <f>IF(VLOOKUP(I$1,main!$A$3:$H$102,5,FALSE)-VLOOKUP($A64,main!$A$3:$H$102,6,FALSE)&gt;=main!$D$103+VLOOKUP(VLOOKUP(I$1,main!$A$3:$I$102,7,FALSE),main!$K$26:$Q$29,3,FALSE),1,0)</f>
        <v>1</v>
      </c>
      <c r="J64">
        <f>IF(VLOOKUP(J$1,main!$A$3:$H$102,5,FALSE)-VLOOKUP($A64,main!$A$3:$H$102,6,FALSE)&gt;=main!$D$103+VLOOKUP(VLOOKUP(J$1,main!$A$3:$I$102,7,FALSE),main!$K$26:$Q$29,3,FALSE),1,0)</f>
        <v>1</v>
      </c>
      <c r="K64">
        <f>IF(VLOOKUP(K$1,main!$A$3:$H$102,5,FALSE)-VLOOKUP($A64,main!$A$3:$H$102,6,FALSE)&gt;=main!$D$103+VLOOKUP(VLOOKUP(K$1,main!$A$3:$I$102,7,FALSE),main!$K$26:$Q$29,3,FALSE),1,0)</f>
        <v>1</v>
      </c>
      <c r="L64">
        <f>IF(VLOOKUP(L$1,main!$A$3:$H$102,5,FALSE)-VLOOKUP($A64,main!$A$3:$H$102,6,FALSE)&gt;=main!$D$103+VLOOKUP(VLOOKUP(L$1,main!$A$3:$I$102,7,FALSE),main!$K$26:$Q$29,3,FALSE),1,0)</f>
        <v>1</v>
      </c>
      <c r="M64">
        <f>IF(VLOOKUP(M$1,main!$A$3:$H$102,5,FALSE)-VLOOKUP($A64,main!$A$3:$H$102,6,FALSE)&gt;=main!$D$103+VLOOKUP(VLOOKUP(M$1,main!$A$3:$I$102,7,FALSE),main!$K$26:$Q$29,3,FALSE),1,0)</f>
        <v>0</v>
      </c>
      <c r="N64">
        <f>IF(VLOOKUP(N$1,main!$A$3:$H$102,5,FALSE)-VLOOKUP($A64,main!$A$3:$H$102,6,FALSE)&gt;=main!$D$103+VLOOKUP(VLOOKUP(N$1,main!$A$3:$I$102,7,FALSE),main!$K$26:$Q$29,3,FALSE),1,0)</f>
        <v>0</v>
      </c>
      <c r="O64">
        <f>IF(VLOOKUP(O$1,main!$A$3:$H$102,5,FALSE)-VLOOKUP($A64,main!$A$3:$H$102,6,FALSE)&gt;=main!$D$103+VLOOKUP(VLOOKUP(O$1,main!$A$3:$I$102,7,FALSE),main!$K$26:$Q$29,3,FALSE),1,0)</f>
        <v>0</v>
      </c>
      <c r="P64">
        <f>IF(VLOOKUP(P$1,main!$A$3:$H$102,5,FALSE)-VLOOKUP($A64,main!$A$3:$H$102,6,FALSE)&gt;=main!$D$103+VLOOKUP(VLOOKUP(P$1,main!$A$3:$I$102,7,FALSE),main!$K$26:$Q$29,3,FALSE),1,0)</f>
        <v>0</v>
      </c>
      <c r="Q64">
        <f>IF(VLOOKUP(Q$1,main!$A$3:$H$102,5,FALSE)-VLOOKUP($A64,main!$A$3:$H$102,6,FALSE)&gt;=main!$D$103+VLOOKUP(VLOOKUP(Q$1,main!$A$3:$I$102,7,FALSE),main!$K$26:$Q$29,3,FALSE),1,0)</f>
        <v>0</v>
      </c>
      <c r="R64">
        <f>IF(VLOOKUP(R$1,main!$A$3:$H$102,5,FALSE)-VLOOKUP($A64,main!$A$3:$H$102,6,FALSE)&gt;=main!$D$103+VLOOKUP(VLOOKUP(R$1,main!$A$3:$I$102,7,FALSE),main!$K$26:$Q$29,3,FALSE),1,0)</f>
        <v>1</v>
      </c>
      <c r="S64">
        <f>IF(VLOOKUP(S$1,main!$A$3:$H$102,5,FALSE)-VLOOKUP($A64,main!$A$3:$H$102,6,FALSE)&gt;=main!$D$103+VLOOKUP(VLOOKUP(S$1,main!$A$3:$I$102,7,FALSE),main!$K$26:$Q$29,3,FALSE),1,0)</f>
        <v>1</v>
      </c>
      <c r="T64">
        <f>IF(VLOOKUP(T$1,main!$A$3:$H$102,5,FALSE)-VLOOKUP($A64,main!$A$3:$H$102,6,FALSE)&gt;=main!$D$103+VLOOKUP(VLOOKUP(T$1,main!$A$3:$I$102,7,FALSE),main!$K$26:$Q$29,3,FALSE),1,0)</f>
        <v>1</v>
      </c>
      <c r="U64">
        <f>IF(VLOOKUP(U$1,main!$A$3:$H$102,5,FALSE)-VLOOKUP($A64,main!$A$3:$H$102,6,FALSE)&gt;=main!$D$103+VLOOKUP(VLOOKUP(U$1,main!$A$3:$I$102,7,FALSE),main!$K$26:$Q$29,3,FALSE),1,0)</f>
        <v>1</v>
      </c>
      <c r="V64">
        <f>IF(VLOOKUP(V$1,main!$A$3:$H$102,5,FALSE)-VLOOKUP($A64,main!$A$3:$H$102,6,FALSE)&gt;=main!$D$103+VLOOKUP(VLOOKUP(V$1,main!$A$3:$I$102,7,FALSE),main!$K$26:$Q$29,3,FALSE),1,0)</f>
        <v>1</v>
      </c>
      <c r="W64">
        <f>IF(VLOOKUP(W$1,main!$A$3:$H$102,5,FALSE)-VLOOKUP($A64,main!$A$3:$H$102,6,FALSE)&gt;=main!$D$103+VLOOKUP(VLOOKUP(W$1,main!$A$3:$I$102,7,FALSE),main!$K$26:$Q$29,3,FALSE),1,0)</f>
        <v>0</v>
      </c>
      <c r="X64">
        <f>IF(VLOOKUP(X$1,main!$A$3:$H$102,5,FALSE)-VLOOKUP($A64,main!$A$3:$H$102,6,FALSE)&gt;=main!$D$103+VLOOKUP(VLOOKUP(X$1,main!$A$3:$I$102,7,FALSE),main!$K$26:$Q$29,3,FALSE),1,0)</f>
        <v>0</v>
      </c>
      <c r="Y64">
        <f>IF(VLOOKUP(Y$1,main!$A$3:$H$102,5,FALSE)-VLOOKUP($A64,main!$A$3:$H$102,6,FALSE)&gt;=main!$D$103+VLOOKUP(VLOOKUP(Y$1,main!$A$3:$I$102,7,FALSE),main!$K$26:$Q$29,3,FALSE),1,0)</f>
        <v>1</v>
      </c>
      <c r="Z64">
        <f>IF(VLOOKUP(Z$1,main!$A$3:$H$102,5,FALSE)-VLOOKUP($A64,main!$A$3:$H$102,6,FALSE)&gt;=main!$D$103+VLOOKUP(VLOOKUP(Z$1,main!$A$3:$I$102,7,FALSE),main!$K$26:$Q$29,3,FALSE),1,0)</f>
        <v>1</v>
      </c>
      <c r="AA64">
        <f>IF(VLOOKUP(AA$1,main!$A$3:$H$102,5,FALSE)-VLOOKUP($A64,main!$A$3:$H$102,6,FALSE)&gt;=main!$D$103+VLOOKUP(VLOOKUP(AA$1,main!$A$3:$I$102,7,FALSE),main!$K$26:$Q$29,3,FALSE),1,0)</f>
        <v>1</v>
      </c>
      <c r="AB64">
        <f>IF(VLOOKUP(AB$1,main!$A$3:$H$102,5,FALSE)-VLOOKUP($A64,main!$A$3:$H$102,6,FALSE)&gt;=main!$D$103+VLOOKUP(VLOOKUP(AB$1,main!$A$3:$I$102,7,FALSE),main!$K$26:$Q$29,3,FALSE),1,0)</f>
        <v>0</v>
      </c>
      <c r="AC64">
        <f>IF(VLOOKUP(AC$1,main!$A$3:$H$102,5,FALSE)-VLOOKUP($A64,main!$A$3:$H$102,6,FALSE)&gt;=main!$D$103+VLOOKUP(VLOOKUP(AC$1,main!$A$3:$I$102,7,FALSE),main!$K$26:$Q$29,3,FALSE),1,0)</f>
        <v>0</v>
      </c>
      <c r="AD64">
        <f>IF(VLOOKUP(AD$1,main!$A$3:$H$102,5,FALSE)-VLOOKUP($A64,main!$A$3:$H$102,6,FALSE)&gt;=main!$D$103+VLOOKUP(VLOOKUP(AD$1,main!$A$3:$I$102,7,FALSE),main!$K$26:$Q$29,3,FALSE),1,0)</f>
        <v>0</v>
      </c>
      <c r="AE64">
        <f>IF(VLOOKUP(AE$1,main!$A$3:$H$102,5,FALSE)-VLOOKUP($A64,main!$A$3:$H$102,6,FALSE)&gt;=main!$D$103+VLOOKUP(VLOOKUP(AE$1,main!$A$3:$I$102,7,FALSE),main!$K$26:$Q$29,3,FALSE),1,0)</f>
        <v>1</v>
      </c>
      <c r="AF64">
        <f>IF(VLOOKUP(AF$1,main!$A$3:$H$102,5,FALSE)-VLOOKUP($A64,main!$A$3:$H$102,6,FALSE)&gt;=main!$D$103+VLOOKUP(VLOOKUP(AF$1,main!$A$3:$I$102,7,FALSE),main!$K$26:$Q$29,3,FALSE),1,0)</f>
        <v>1</v>
      </c>
      <c r="AG64">
        <f>IF(VLOOKUP(AG$1,main!$A$3:$H$102,5,FALSE)-VLOOKUP($A64,main!$A$3:$H$102,6,FALSE)&gt;=main!$D$103+VLOOKUP(VLOOKUP(AG$1,main!$A$3:$I$102,7,FALSE),main!$K$26:$Q$29,3,FALSE),1,0)</f>
        <v>0</v>
      </c>
      <c r="AH64">
        <f>IF(VLOOKUP(AH$1,main!$A$3:$H$102,5,FALSE)-VLOOKUP($A64,main!$A$3:$H$102,6,FALSE)&gt;=main!$D$103+VLOOKUP(VLOOKUP(AH$1,main!$A$3:$I$102,7,FALSE),main!$K$26:$Q$29,3,FALSE),1,0)</f>
        <v>0</v>
      </c>
      <c r="AI64">
        <f>IF(VLOOKUP(AI$1,main!$A$3:$H$102,5,FALSE)-VLOOKUP($A64,main!$A$3:$H$102,6,FALSE)&gt;=main!$D$103+VLOOKUP(VLOOKUP(AI$1,main!$A$3:$I$102,7,FALSE),main!$K$26:$Q$29,3,FALSE),1,0)</f>
        <v>0</v>
      </c>
      <c r="AJ64">
        <f>IF(VLOOKUP(AJ$1,main!$A$3:$H$102,5,FALSE)-VLOOKUP($A64,main!$A$3:$H$102,6,FALSE)&gt;=main!$D$103+VLOOKUP(VLOOKUP(AJ$1,main!$A$3:$I$102,7,FALSE),main!$K$26:$Q$29,3,FALSE),1,0)</f>
        <v>1</v>
      </c>
      <c r="AK64">
        <f>IF(VLOOKUP(AK$1,main!$A$3:$H$102,5,FALSE)-VLOOKUP($A64,main!$A$3:$H$102,6,FALSE)&gt;=main!$D$103+VLOOKUP(VLOOKUP(AK$1,main!$A$3:$I$102,7,FALSE),main!$K$26:$Q$29,3,FALSE),1,0)</f>
        <v>1</v>
      </c>
      <c r="AL64">
        <f>IF(VLOOKUP(AL$1,main!$A$3:$H$102,5,FALSE)-VLOOKUP($A64,main!$A$3:$H$102,6,FALSE)&gt;=main!$D$103+VLOOKUP(VLOOKUP(AL$1,main!$A$3:$I$102,7,FALSE),main!$K$26:$Q$29,3,FALSE),1,0)</f>
        <v>1</v>
      </c>
      <c r="AM64">
        <f>IF(VLOOKUP(AM$1,main!$A$3:$H$102,5,FALSE)-VLOOKUP($A64,main!$A$3:$H$102,6,FALSE)&gt;=main!$D$103+VLOOKUP(VLOOKUP(AM$1,main!$A$3:$I$102,7,FALSE),main!$K$26:$Q$29,3,FALSE),1,0)</f>
        <v>1</v>
      </c>
      <c r="AN64">
        <f>IF(VLOOKUP(AN$1,main!$A$3:$H$102,5,FALSE)-VLOOKUP($A64,main!$A$3:$H$102,6,FALSE)&gt;=main!$D$103+VLOOKUP(VLOOKUP(AN$1,main!$A$3:$I$102,7,FALSE),main!$K$26:$Q$29,3,FALSE),1,0)</f>
        <v>1</v>
      </c>
      <c r="AO64">
        <f>IF(VLOOKUP(AO$1,main!$A$3:$H$102,5,FALSE)-VLOOKUP($A64,main!$A$3:$H$102,6,FALSE)&gt;=main!$D$103+VLOOKUP(VLOOKUP(AO$1,main!$A$3:$I$102,7,FALSE),main!$K$26:$Q$29,3,FALSE),1,0)</f>
        <v>0</v>
      </c>
      <c r="AP64">
        <f>IF(VLOOKUP(AP$1,main!$A$3:$H$102,5,FALSE)-VLOOKUP($A64,main!$A$3:$H$102,6,FALSE)&gt;=main!$D$103+VLOOKUP(VLOOKUP(AP$1,main!$A$3:$I$102,7,FALSE),main!$K$26:$Q$29,3,FALSE),1,0)</f>
        <v>1</v>
      </c>
      <c r="AQ64">
        <f>IF(VLOOKUP(AQ$1,main!$A$3:$H$102,5,FALSE)-VLOOKUP($A64,main!$A$3:$H$102,6,FALSE)&gt;=main!$D$103+VLOOKUP(VLOOKUP(AQ$1,main!$A$3:$I$102,7,FALSE),main!$K$26:$Q$29,3,FALSE),1,0)</f>
        <v>0</v>
      </c>
      <c r="AR64">
        <f>IF(VLOOKUP(AR$1,main!$A$3:$H$102,5,FALSE)-VLOOKUP($A64,main!$A$3:$H$102,6,FALSE)&gt;=main!$D$103+VLOOKUP(VLOOKUP(AR$1,main!$A$3:$I$102,7,FALSE),main!$K$26:$Q$29,3,FALSE),1,0)</f>
        <v>0</v>
      </c>
      <c r="AS64">
        <f>IF(VLOOKUP(AS$1,main!$A$3:$H$102,5,FALSE)-VLOOKUP($A64,main!$A$3:$H$102,6,FALSE)&gt;=main!$D$103+VLOOKUP(VLOOKUP(AS$1,main!$A$3:$I$102,7,FALSE),main!$K$26:$Q$29,3,FALSE),1,0)</f>
        <v>1</v>
      </c>
      <c r="AT64">
        <f>IF(VLOOKUP(AT$1,main!$A$3:$H$102,5,FALSE)-VLOOKUP($A64,main!$A$3:$H$102,6,FALSE)&gt;=main!$D$103+VLOOKUP(VLOOKUP(AT$1,main!$A$3:$I$102,7,FALSE),main!$K$26:$Q$29,3,FALSE),1,0)</f>
        <v>1</v>
      </c>
      <c r="AU64">
        <f>IF(VLOOKUP(AU$1,main!$A$3:$H$102,5,FALSE)-VLOOKUP($A64,main!$A$3:$H$102,6,FALSE)&gt;=main!$D$103+VLOOKUP(VLOOKUP(AU$1,main!$A$3:$I$102,7,FALSE),main!$K$26:$Q$29,3,FALSE),1,0)</f>
        <v>0</v>
      </c>
      <c r="AV64">
        <f>IF(VLOOKUP(AV$1,main!$A$3:$H$102,5,FALSE)-VLOOKUP($A64,main!$A$3:$H$102,6,FALSE)&gt;=main!$D$103+VLOOKUP(VLOOKUP(AV$1,main!$A$3:$I$102,7,FALSE),main!$K$26:$Q$29,3,FALSE),1,0)</f>
        <v>0</v>
      </c>
      <c r="AW64">
        <f>IF(VLOOKUP(AW$1,main!$A$3:$H$102,5,FALSE)-VLOOKUP($A64,main!$A$3:$H$102,6,FALSE)&gt;=main!$D$103+VLOOKUP(VLOOKUP(AW$1,main!$A$3:$I$102,7,FALSE),main!$K$26:$Q$29,3,FALSE),1,0)</f>
        <v>1</v>
      </c>
      <c r="AX64">
        <f>IF(VLOOKUP(AX$1,main!$A$3:$H$102,5,FALSE)-VLOOKUP($A64,main!$A$3:$H$102,6,FALSE)&gt;=main!$D$103+VLOOKUP(VLOOKUP(AX$1,main!$A$3:$I$102,7,FALSE),main!$K$26:$Q$29,3,FALSE),1,0)</f>
        <v>0</v>
      </c>
      <c r="AY64">
        <f>IF(VLOOKUP(AY$1,main!$A$3:$H$102,5,FALSE)-VLOOKUP($A64,main!$A$3:$H$102,6,FALSE)&gt;=main!$D$103+VLOOKUP(VLOOKUP(AY$1,main!$A$3:$I$102,7,FALSE),main!$K$26:$Q$29,3,FALSE),1,0)</f>
        <v>0</v>
      </c>
      <c r="AZ64">
        <f>IF(VLOOKUP(AZ$1,main!$A$3:$H$102,5,FALSE)-VLOOKUP($A64,main!$A$3:$H$102,6,FALSE)&gt;=main!$D$103+VLOOKUP(VLOOKUP(AZ$1,main!$A$3:$I$102,7,FALSE),main!$K$26:$Q$29,3,FALSE),1,0)</f>
        <v>0</v>
      </c>
      <c r="BA64">
        <f>IF(VLOOKUP(BA$1,main!$A$3:$H$102,5,FALSE)-VLOOKUP($A64,main!$A$3:$H$102,6,FALSE)&gt;=main!$D$103+VLOOKUP(VLOOKUP(BA$1,main!$A$3:$I$102,7,FALSE),main!$K$26:$Q$29,3,FALSE),1,0)</f>
        <v>0</v>
      </c>
      <c r="BB64">
        <f>IF(VLOOKUP(BB$1,main!$A$3:$H$102,5,FALSE)-VLOOKUP($A64,main!$A$3:$H$102,6,FALSE)&gt;=main!$D$103+VLOOKUP(VLOOKUP(BB$1,main!$A$3:$I$102,7,FALSE),main!$K$26:$Q$29,3,FALSE),1,0)</f>
        <v>0</v>
      </c>
      <c r="BC64">
        <f>IF(VLOOKUP(BC$1,main!$A$3:$H$102,5,FALSE)-VLOOKUP($A64,main!$A$3:$H$102,6,FALSE)&gt;=main!$D$103+VLOOKUP(VLOOKUP(BC$1,main!$A$3:$I$102,7,FALSE),main!$K$26:$Q$29,3,FALSE),1,0)</f>
        <v>1</v>
      </c>
      <c r="BD64">
        <f>IF(VLOOKUP(BD$1,main!$A$3:$H$102,5,FALSE)-VLOOKUP($A64,main!$A$3:$H$102,6,FALSE)&gt;=main!$D$103+VLOOKUP(VLOOKUP(BD$1,main!$A$3:$I$102,7,FALSE),main!$K$26:$Q$29,3,FALSE),1,0)</f>
        <v>1</v>
      </c>
      <c r="BE64">
        <f>IF(VLOOKUP(BE$1,main!$A$3:$H$102,5,FALSE)-VLOOKUP($A64,main!$A$3:$H$102,6,FALSE)&gt;=main!$D$103+VLOOKUP(VLOOKUP(BE$1,main!$A$3:$I$102,7,FALSE),main!$K$26:$Q$29,3,FALSE),1,0)</f>
        <v>1</v>
      </c>
      <c r="BF64">
        <f>IF(VLOOKUP(BF$1,main!$A$3:$H$102,5,FALSE)-VLOOKUP($A64,main!$A$3:$H$102,6,FALSE)&gt;=main!$D$103+VLOOKUP(VLOOKUP(BF$1,main!$A$3:$I$102,7,FALSE),main!$K$26:$Q$29,3,FALSE),1,0)</f>
        <v>0</v>
      </c>
      <c r="BG64">
        <f>IF(VLOOKUP(BG$1,main!$A$3:$H$102,5,FALSE)-VLOOKUP($A64,main!$A$3:$H$102,6,FALSE)&gt;=main!$D$103+VLOOKUP(VLOOKUP(BG$1,main!$A$3:$I$102,7,FALSE),main!$K$26:$Q$29,3,FALSE),1,0)</f>
        <v>0</v>
      </c>
      <c r="BH64">
        <f>IF(VLOOKUP(BH$1,main!$A$3:$H$102,5,FALSE)-VLOOKUP($A64,main!$A$3:$H$102,6,FALSE)&gt;=main!$D$103+VLOOKUP(VLOOKUP(BH$1,main!$A$3:$I$102,7,FALSE),main!$K$26:$Q$29,3,FALSE),1,0)</f>
        <v>1</v>
      </c>
      <c r="BI64">
        <f>IF(VLOOKUP(BI$1,main!$A$3:$H$102,5,FALSE)-VLOOKUP($A64,main!$A$3:$H$102,6,FALSE)&gt;=main!$D$103+VLOOKUP(VLOOKUP(BI$1,main!$A$3:$I$102,7,FALSE),main!$K$26:$Q$29,3,FALSE),1,0)</f>
        <v>1</v>
      </c>
      <c r="BJ64">
        <f>IF(VLOOKUP(BJ$1,main!$A$3:$H$102,5,FALSE)-VLOOKUP($A64,main!$A$3:$H$102,6,FALSE)&gt;=main!$D$103+VLOOKUP(VLOOKUP(BJ$1,main!$A$3:$I$102,7,FALSE),main!$K$26:$Q$29,3,FALSE),1,0)</f>
        <v>1</v>
      </c>
      <c r="BK64">
        <f>IF(VLOOKUP(BK$1,main!$A$3:$H$102,5,FALSE)-VLOOKUP($A64,main!$A$3:$H$102,6,FALSE)&gt;=main!$D$103+VLOOKUP(VLOOKUP(BK$1,main!$A$3:$I$102,7,FALSE),main!$K$26:$Q$29,3,FALSE),1,0)</f>
        <v>0</v>
      </c>
      <c r="BL64">
        <f>IF(VLOOKUP(BL$1,main!$A$3:$H$102,5,FALSE)-VLOOKUP($A64,main!$A$3:$H$102,6,FALSE)&gt;=main!$D$103+VLOOKUP(VLOOKUP(BL$1,main!$A$3:$I$102,7,FALSE),main!$K$26:$Q$29,3,FALSE),1,0)</f>
        <v>0</v>
      </c>
      <c r="BM64">
        <f>IF(VLOOKUP(BM$1,main!$A$3:$H$102,5,FALSE)-VLOOKUP($A64,main!$A$3:$H$102,6,FALSE)&gt;=main!$D$103+VLOOKUP(VLOOKUP(BM$1,main!$A$3:$I$102,7,FALSE),main!$K$26:$Q$29,3,FALSE),1,0)</f>
        <v>0</v>
      </c>
      <c r="BN64">
        <f>IF(VLOOKUP(BN$1,main!$A$3:$H$102,5,FALSE)-VLOOKUP($A64,main!$A$3:$H$102,6,FALSE)&gt;=main!$D$103+VLOOKUP(VLOOKUP(BN$1,main!$A$3:$I$102,7,FALSE),main!$K$26:$Q$29,3,FALSE),1,0)</f>
        <v>1</v>
      </c>
      <c r="BO64">
        <f>IF(VLOOKUP(BO$1,main!$A$3:$H$102,5,FALSE)-VLOOKUP($A64,main!$A$3:$H$102,6,FALSE)&gt;=main!$D$103+VLOOKUP(VLOOKUP(BO$1,main!$A$3:$I$102,7,FALSE),main!$K$26:$Q$29,3,FALSE),1,0)</f>
        <v>0</v>
      </c>
      <c r="BP64">
        <f>IF(VLOOKUP(BP$1,main!$A$3:$H$102,5,FALSE)-VLOOKUP($A64,main!$A$3:$H$102,6,FALSE)&gt;=main!$D$103+VLOOKUP(VLOOKUP(BP$1,main!$A$3:$I$102,7,FALSE),main!$K$26:$Q$29,3,FALSE),1,0)</f>
        <v>0</v>
      </c>
      <c r="BQ64">
        <f>IF(VLOOKUP(BQ$1,main!$A$3:$H$102,5,FALSE)-VLOOKUP($A64,main!$A$3:$H$102,6,FALSE)&gt;=main!$D$103+VLOOKUP(VLOOKUP(BQ$1,main!$A$3:$I$102,7,FALSE),main!$K$26:$Q$29,3,FALSE),1,0)</f>
        <v>0</v>
      </c>
      <c r="BR64">
        <f>IF(VLOOKUP(BR$1,main!$A$3:$H$102,5,FALSE)-VLOOKUP($A64,main!$A$3:$H$102,6,FALSE)&gt;=main!$D$103+VLOOKUP(VLOOKUP(BR$1,main!$A$3:$I$102,7,FALSE),main!$K$26:$Q$29,3,FALSE),1,0)</f>
        <v>1</v>
      </c>
      <c r="BS64">
        <f>IF(VLOOKUP(BS$1,main!$A$3:$H$102,5,FALSE)-VLOOKUP($A64,main!$A$3:$H$102,6,FALSE)&gt;=main!$D$103+VLOOKUP(VLOOKUP(BS$1,main!$A$3:$I$102,7,FALSE),main!$K$26:$Q$29,3,FALSE),1,0)</f>
        <v>1</v>
      </c>
      <c r="BT64">
        <f>IF(VLOOKUP(BT$1,main!$A$3:$H$102,5,FALSE)-VLOOKUP($A64,main!$A$3:$H$102,6,FALSE)&gt;=main!$D$103+VLOOKUP(VLOOKUP(BT$1,main!$A$3:$I$102,7,FALSE),main!$K$26:$Q$29,3,FALSE),1,0)</f>
        <v>0</v>
      </c>
      <c r="BU64">
        <f>IF(VLOOKUP(BU$1,main!$A$3:$H$102,5,FALSE)-VLOOKUP($A64,main!$A$3:$H$102,6,FALSE)&gt;=main!$D$103+VLOOKUP(VLOOKUP(BU$1,main!$A$3:$I$102,7,FALSE),main!$K$26:$Q$29,3,FALSE),1,0)</f>
        <v>0</v>
      </c>
      <c r="BV64">
        <f>IF(VLOOKUP(BV$1,main!$A$3:$H$102,5,FALSE)-VLOOKUP($A64,main!$A$3:$H$102,6,FALSE)&gt;=main!$D$103+VLOOKUP(VLOOKUP(BV$1,main!$A$3:$I$102,7,FALSE),main!$K$26:$Q$29,3,FALSE),1,0)</f>
        <v>0</v>
      </c>
      <c r="BW64">
        <f>IF(VLOOKUP(BW$1,main!$A$3:$H$102,5,FALSE)-VLOOKUP($A64,main!$A$3:$H$102,6,FALSE)&gt;=main!$D$103+VLOOKUP(VLOOKUP(BW$1,main!$A$3:$I$102,7,FALSE),main!$K$26:$Q$29,3,FALSE),1,0)</f>
        <v>0</v>
      </c>
      <c r="BX64">
        <f>IF(VLOOKUP(BX$1,main!$A$3:$H$102,5,FALSE)-VLOOKUP($A64,main!$A$3:$H$102,6,FALSE)&gt;=main!$D$103+VLOOKUP(VLOOKUP(BX$1,main!$A$3:$I$102,7,FALSE),main!$K$26:$Q$29,3,FALSE),1,0)</f>
        <v>1</v>
      </c>
      <c r="BY64">
        <f>IF(VLOOKUP(BY$1,main!$A$3:$H$102,5,FALSE)-VLOOKUP($A64,main!$A$3:$H$102,6,FALSE)&gt;=main!$D$103+VLOOKUP(VLOOKUP(BY$1,main!$A$3:$I$102,7,FALSE),main!$K$26:$Q$29,3,FALSE),1,0)</f>
        <v>1</v>
      </c>
      <c r="BZ64">
        <f>IF(VLOOKUP(BZ$1,main!$A$3:$H$102,5,FALSE)-VLOOKUP($A64,main!$A$3:$H$102,6,FALSE)&gt;=main!$D$103+VLOOKUP(VLOOKUP(BZ$1,main!$A$3:$I$102,7,FALSE),main!$K$26:$Q$29,3,FALSE),1,0)</f>
        <v>0</v>
      </c>
      <c r="CA64">
        <f>IF(VLOOKUP(CA$1,main!$A$3:$H$102,5,FALSE)-VLOOKUP($A64,main!$A$3:$H$102,6,FALSE)&gt;=main!$D$103+VLOOKUP(VLOOKUP(CA$1,main!$A$3:$I$102,7,FALSE),main!$K$26:$Q$29,3,FALSE),1,0)</f>
        <v>0</v>
      </c>
      <c r="CB64">
        <f>IF(VLOOKUP(CB$1,main!$A$3:$H$102,5,FALSE)-VLOOKUP($A64,main!$A$3:$H$102,6,FALSE)&gt;=main!$D$103+VLOOKUP(VLOOKUP(CB$1,main!$A$3:$I$102,7,FALSE),main!$K$26:$Q$29,3,FALSE),1,0)</f>
        <v>1</v>
      </c>
      <c r="CC64">
        <f>IF(VLOOKUP(CC$1,main!$A$3:$H$102,5,FALSE)-VLOOKUP($A64,main!$A$3:$H$102,6,FALSE)&gt;=main!$D$103+VLOOKUP(VLOOKUP(CC$1,main!$A$3:$I$102,7,FALSE),main!$K$26:$Q$29,3,FALSE),1,0)</f>
        <v>1</v>
      </c>
      <c r="CD64">
        <f>IF(VLOOKUP(CD$1,main!$A$3:$H$102,5,FALSE)-VLOOKUP($A64,main!$A$3:$H$102,6,FALSE)&gt;=main!$D$103+VLOOKUP(VLOOKUP(CD$1,main!$A$3:$I$102,7,FALSE),main!$K$26:$Q$29,3,FALSE),1,0)</f>
        <v>1</v>
      </c>
      <c r="CE64">
        <f>IF(VLOOKUP(CE$1,main!$A$3:$H$102,5,FALSE)-VLOOKUP($A64,main!$A$3:$H$102,6,FALSE)&gt;=main!$D$103+VLOOKUP(VLOOKUP(CE$1,main!$A$3:$I$102,7,FALSE),main!$K$26:$Q$29,3,FALSE),1,0)</f>
        <v>0</v>
      </c>
      <c r="CF64">
        <f>IF(VLOOKUP(CF$1,main!$A$3:$H$102,5,FALSE)-VLOOKUP($A64,main!$A$3:$H$102,6,FALSE)&gt;=main!$D$103+VLOOKUP(VLOOKUP(CF$1,main!$A$3:$I$102,7,FALSE),main!$K$26:$Q$29,3,FALSE),1,0)</f>
        <v>0</v>
      </c>
      <c r="CG64">
        <f>IF(VLOOKUP(CG$1,main!$A$3:$H$102,5,FALSE)-VLOOKUP($A64,main!$A$3:$H$102,6,FALSE)&gt;=main!$D$103+VLOOKUP(VLOOKUP(CG$1,main!$A$3:$I$102,7,FALSE),main!$K$26:$Q$29,3,FALSE),1,0)</f>
        <v>1</v>
      </c>
      <c r="CH64">
        <f>IF(VLOOKUP(CH$1,main!$A$3:$H$102,5,FALSE)-VLOOKUP($A64,main!$A$3:$H$102,6,FALSE)&gt;=main!$D$103+VLOOKUP(VLOOKUP(CH$1,main!$A$3:$I$102,7,FALSE),main!$K$26:$Q$29,3,FALSE),1,0)</f>
        <v>1</v>
      </c>
      <c r="CI64">
        <f>IF(VLOOKUP(CI$1,main!$A$3:$H$102,5,FALSE)-VLOOKUP($A64,main!$A$3:$H$102,6,FALSE)&gt;=main!$D$103+VLOOKUP(VLOOKUP(CI$1,main!$A$3:$I$102,7,FALSE),main!$K$26:$Q$29,3,FALSE),1,0)</f>
        <v>1</v>
      </c>
      <c r="CJ64">
        <f>IF(VLOOKUP(CJ$1,main!$A$3:$H$102,5,FALSE)-VLOOKUP($A64,main!$A$3:$H$102,6,FALSE)&gt;=main!$D$103+VLOOKUP(VLOOKUP(CJ$1,main!$A$3:$I$102,7,FALSE),main!$K$26:$Q$29,3,FALSE),1,0)</f>
        <v>1</v>
      </c>
      <c r="CK64">
        <f>IF(VLOOKUP(CK$1,main!$A$3:$H$102,5,FALSE)-VLOOKUP($A64,main!$A$3:$H$102,6,FALSE)&gt;=main!$D$103+VLOOKUP(VLOOKUP(CK$1,main!$A$3:$I$102,7,FALSE),main!$K$26:$Q$29,3,FALSE),1,0)</f>
        <v>0</v>
      </c>
      <c r="CL64">
        <f>IF(VLOOKUP(CL$1,main!$A$3:$H$102,5,FALSE)-VLOOKUP($A64,main!$A$3:$H$102,6,FALSE)&gt;=main!$D$103+VLOOKUP(VLOOKUP(CL$1,main!$A$3:$I$102,7,FALSE),main!$K$26:$Q$29,3,FALSE),1,0)</f>
        <v>1</v>
      </c>
      <c r="CM64">
        <f>IF(VLOOKUP(CM$1,main!$A$3:$H$102,5,FALSE)-VLOOKUP($A64,main!$A$3:$H$102,6,FALSE)&gt;=main!$D$103+VLOOKUP(VLOOKUP(CM$1,main!$A$3:$I$102,7,FALSE),main!$K$26:$Q$29,3,FALSE),1,0)</f>
        <v>1</v>
      </c>
      <c r="CN64">
        <f>IF(VLOOKUP(CN$1,main!$A$3:$H$102,5,FALSE)-VLOOKUP($A64,main!$A$3:$H$102,6,FALSE)&gt;=main!$D$103+VLOOKUP(VLOOKUP(CN$1,main!$A$3:$I$102,7,FALSE),main!$K$26:$Q$29,3,FALSE),1,0)</f>
        <v>1</v>
      </c>
      <c r="CO64">
        <f>IF(VLOOKUP(CO$1,main!$A$3:$H$102,5,FALSE)-VLOOKUP($A64,main!$A$3:$H$102,6,FALSE)&gt;=main!$D$103+VLOOKUP(VLOOKUP(CO$1,main!$A$3:$I$102,7,FALSE),main!$K$26:$Q$29,3,FALSE),1,0)</f>
        <v>0</v>
      </c>
      <c r="CP64">
        <f>IF(VLOOKUP(CP$1,main!$A$3:$H$102,5,FALSE)-VLOOKUP($A64,main!$A$3:$H$102,6,FALSE)&gt;=main!$D$103+VLOOKUP(VLOOKUP(CP$1,main!$A$3:$I$102,7,FALSE),main!$K$26:$Q$29,3,FALSE),1,0)</f>
        <v>1</v>
      </c>
      <c r="CQ64">
        <f>IF(VLOOKUP(CQ$1,main!$A$3:$H$102,5,FALSE)-VLOOKUP($A64,main!$A$3:$H$102,6,FALSE)&gt;=main!$D$103+VLOOKUP(VLOOKUP(CQ$1,main!$A$3:$I$102,7,FALSE),main!$K$26:$Q$29,3,FALSE),1,0)</f>
        <v>1</v>
      </c>
      <c r="CR64">
        <f>IF(VLOOKUP(CR$1,main!$A$3:$H$102,5,FALSE)-VLOOKUP($A64,main!$A$3:$H$102,6,FALSE)&gt;=main!$D$103+VLOOKUP(VLOOKUP(CR$1,main!$A$3:$I$102,7,FALSE),main!$K$26:$Q$29,3,FALSE),1,0)</f>
        <v>1</v>
      </c>
      <c r="CS64">
        <f>IF(VLOOKUP(CS$1,main!$A$3:$H$102,5,FALSE)-VLOOKUP($A64,main!$A$3:$H$102,6,FALSE)&gt;=main!$D$103+VLOOKUP(VLOOKUP(CS$1,main!$A$3:$I$102,7,FALSE),main!$K$26:$Q$29,3,FALSE),1,0)</f>
        <v>1</v>
      </c>
      <c r="CT64">
        <f>IF(VLOOKUP(CT$1,main!$A$3:$H$102,5,FALSE)-VLOOKUP($A64,main!$A$3:$H$102,6,FALSE)&gt;=main!$D$103+VLOOKUP(VLOOKUP(CT$1,main!$A$3:$I$102,7,FALSE),main!$K$26:$Q$29,3,FALSE),1,0)</f>
        <v>0</v>
      </c>
      <c r="CU64">
        <f>IF(VLOOKUP(CU$1,main!$A$3:$H$102,5,FALSE)-VLOOKUP($A64,main!$A$3:$H$102,6,FALSE)&gt;=main!$D$103+VLOOKUP(VLOOKUP(CU$1,main!$A$3:$I$102,7,FALSE),main!$K$26:$Q$29,3,FALSE),1,0)</f>
        <v>0</v>
      </c>
      <c r="CV64">
        <f>IF(VLOOKUP(CV$1,main!$A$3:$H$102,5,FALSE)-VLOOKUP($A64,main!$A$3:$H$102,6,FALSE)&gt;=main!$D$103+VLOOKUP(VLOOKUP(CV$1,main!$A$3:$I$102,7,FALSE),main!$K$26:$Q$29,3,FALSE),1,0)</f>
        <v>1</v>
      </c>
      <c r="CW64">
        <f>IF(VLOOKUP(CW$1,main!$A$3:$H$102,5,FALSE)-VLOOKUP($A64,main!$A$3:$H$102,6,FALSE)&gt;=main!$D$103+VLOOKUP(VLOOKUP(CW$1,main!$A$3:$I$102,7,FALSE),main!$K$26:$Q$29,3,FALSE),1,0)</f>
        <v>1</v>
      </c>
      <c r="CX64">
        <f>IF(VLOOKUP(CX$1,main!$A$3:$H$102,5,FALSE)-VLOOKUP($A64,main!$A$3:$H$102,6,FALSE)&gt;=main!$D$103+VLOOKUP(VLOOKUP(CX$1,main!$A$3:$I$102,7,FALSE),main!$K$26:$Q$29,3,FALSE),1,0)</f>
        <v>1</v>
      </c>
    </row>
    <row r="65" spans="1:102" x14ac:dyDescent="0.25">
      <c r="A65" s="1">
        <v>63</v>
      </c>
      <c r="B65">
        <v>0</v>
      </c>
      <c r="C65">
        <f>IF(VLOOKUP(C$1,main!$A$3:$H$102,5,FALSE)-VLOOKUP($A65,main!$A$3:$H$102,6,FALSE)&gt;=main!$D$103+VLOOKUP(VLOOKUP(C$1,main!$A$3:$I$102,7,FALSE),main!$K$26:$Q$29,3,FALSE),1,0)</f>
        <v>0</v>
      </c>
      <c r="D65">
        <f>IF(VLOOKUP(D$1,main!$A$3:$H$102,5,FALSE)-VLOOKUP($A65,main!$A$3:$H$102,6,FALSE)&gt;=main!$D$103+VLOOKUP(VLOOKUP(D$1,main!$A$3:$I$102,7,FALSE),main!$K$26:$Q$29,3,FALSE),1,0)</f>
        <v>0</v>
      </c>
      <c r="E65">
        <f>IF(VLOOKUP(E$1,main!$A$3:$H$102,5,FALSE)-VLOOKUP($A65,main!$A$3:$H$102,6,FALSE)&gt;=main!$D$103+VLOOKUP(VLOOKUP(E$1,main!$A$3:$I$102,7,FALSE),main!$K$26:$Q$29,3,FALSE),1,0)</f>
        <v>0</v>
      </c>
      <c r="F65">
        <f>IF(VLOOKUP(F$1,main!$A$3:$H$102,5,FALSE)-VLOOKUP($A65,main!$A$3:$H$102,6,FALSE)&gt;=main!$D$103+VLOOKUP(VLOOKUP(F$1,main!$A$3:$I$102,7,FALSE),main!$K$26:$Q$29,3,FALSE),1,0)</f>
        <v>0</v>
      </c>
      <c r="G65">
        <f>IF(VLOOKUP(G$1,main!$A$3:$H$102,5,FALSE)-VLOOKUP($A65,main!$A$3:$H$102,6,FALSE)&gt;=main!$D$103+VLOOKUP(VLOOKUP(G$1,main!$A$3:$I$102,7,FALSE),main!$K$26:$Q$29,3,FALSE),1,0)</f>
        <v>0</v>
      </c>
      <c r="H65">
        <f>IF(VLOOKUP(H$1,main!$A$3:$H$102,5,FALSE)-VLOOKUP($A65,main!$A$3:$H$102,6,FALSE)&gt;=main!$D$103+VLOOKUP(VLOOKUP(H$1,main!$A$3:$I$102,7,FALSE),main!$K$26:$Q$29,3,FALSE),1,0)</f>
        <v>1</v>
      </c>
      <c r="I65">
        <f>IF(VLOOKUP(I$1,main!$A$3:$H$102,5,FALSE)-VLOOKUP($A65,main!$A$3:$H$102,6,FALSE)&gt;=main!$D$103+VLOOKUP(VLOOKUP(I$1,main!$A$3:$I$102,7,FALSE),main!$K$26:$Q$29,3,FALSE),1,0)</f>
        <v>1</v>
      </c>
      <c r="J65">
        <f>IF(VLOOKUP(J$1,main!$A$3:$H$102,5,FALSE)-VLOOKUP($A65,main!$A$3:$H$102,6,FALSE)&gt;=main!$D$103+VLOOKUP(VLOOKUP(J$1,main!$A$3:$I$102,7,FALSE),main!$K$26:$Q$29,3,FALSE),1,0)</f>
        <v>1</v>
      </c>
      <c r="K65">
        <f>IF(VLOOKUP(K$1,main!$A$3:$H$102,5,FALSE)-VLOOKUP($A65,main!$A$3:$H$102,6,FALSE)&gt;=main!$D$103+VLOOKUP(VLOOKUP(K$1,main!$A$3:$I$102,7,FALSE),main!$K$26:$Q$29,3,FALSE),1,0)</f>
        <v>1</v>
      </c>
      <c r="L65">
        <f>IF(VLOOKUP(L$1,main!$A$3:$H$102,5,FALSE)-VLOOKUP($A65,main!$A$3:$H$102,6,FALSE)&gt;=main!$D$103+VLOOKUP(VLOOKUP(L$1,main!$A$3:$I$102,7,FALSE),main!$K$26:$Q$29,3,FALSE),1,0)</f>
        <v>1</v>
      </c>
      <c r="M65">
        <f>IF(VLOOKUP(M$1,main!$A$3:$H$102,5,FALSE)-VLOOKUP($A65,main!$A$3:$H$102,6,FALSE)&gt;=main!$D$103+VLOOKUP(VLOOKUP(M$1,main!$A$3:$I$102,7,FALSE),main!$K$26:$Q$29,3,FALSE),1,0)</f>
        <v>0</v>
      </c>
      <c r="N65">
        <f>IF(VLOOKUP(N$1,main!$A$3:$H$102,5,FALSE)-VLOOKUP($A65,main!$A$3:$H$102,6,FALSE)&gt;=main!$D$103+VLOOKUP(VLOOKUP(N$1,main!$A$3:$I$102,7,FALSE),main!$K$26:$Q$29,3,FALSE),1,0)</f>
        <v>0</v>
      </c>
      <c r="O65">
        <f>IF(VLOOKUP(O$1,main!$A$3:$H$102,5,FALSE)-VLOOKUP($A65,main!$A$3:$H$102,6,FALSE)&gt;=main!$D$103+VLOOKUP(VLOOKUP(O$1,main!$A$3:$I$102,7,FALSE),main!$K$26:$Q$29,3,FALSE),1,0)</f>
        <v>0</v>
      </c>
      <c r="P65">
        <f>IF(VLOOKUP(P$1,main!$A$3:$H$102,5,FALSE)-VLOOKUP($A65,main!$A$3:$H$102,6,FALSE)&gt;=main!$D$103+VLOOKUP(VLOOKUP(P$1,main!$A$3:$I$102,7,FALSE),main!$K$26:$Q$29,3,FALSE),1,0)</f>
        <v>0</v>
      </c>
      <c r="Q65">
        <f>IF(VLOOKUP(Q$1,main!$A$3:$H$102,5,FALSE)-VLOOKUP($A65,main!$A$3:$H$102,6,FALSE)&gt;=main!$D$103+VLOOKUP(VLOOKUP(Q$1,main!$A$3:$I$102,7,FALSE),main!$K$26:$Q$29,3,FALSE),1,0)</f>
        <v>0</v>
      </c>
      <c r="R65">
        <f>IF(VLOOKUP(R$1,main!$A$3:$H$102,5,FALSE)-VLOOKUP($A65,main!$A$3:$H$102,6,FALSE)&gt;=main!$D$103+VLOOKUP(VLOOKUP(R$1,main!$A$3:$I$102,7,FALSE),main!$K$26:$Q$29,3,FALSE),1,0)</f>
        <v>0</v>
      </c>
      <c r="S65">
        <f>IF(VLOOKUP(S$1,main!$A$3:$H$102,5,FALSE)-VLOOKUP($A65,main!$A$3:$H$102,6,FALSE)&gt;=main!$D$103+VLOOKUP(VLOOKUP(S$1,main!$A$3:$I$102,7,FALSE),main!$K$26:$Q$29,3,FALSE),1,0)</f>
        <v>1</v>
      </c>
      <c r="T65">
        <f>IF(VLOOKUP(T$1,main!$A$3:$H$102,5,FALSE)-VLOOKUP($A65,main!$A$3:$H$102,6,FALSE)&gt;=main!$D$103+VLOOKUP(VLOOKUP(T$1,main!$A$3:$I$102,7,FALSE),main!$K$26:$Q$29,3,FALSE),1,0)</f>
        <v>1</v>
      </c>
      <c r="U65">
        <f>IF(VLOOKUP(U$1,main!$A$3:$H$102,5,FALSE)-VLOOKUP($A65,main!$A$3:$H$102,6,FALSE)&gt;=main!$D$103+VLOOKUP(VLOOKUP(U$1,main!$A$3:$I$102,7,FALSE),main!$K$26:$Q$29,3,FALSE),1,0)</f>
        <v>1</v>
      </c>
      <c r="V65">
        <f>IF(VLOOKUP(V$1,main!$A$3:$H$102,5,FALSE)-VLOOKUP($A65,main!$A$3:$H$102,6,FALSE)&gt;=main!$D$103+VLOOKUP(VLOOKUP(V$1,main!$A$3:$I$102,7,FALSE),main!$K$26:$Q$29,3,FALSE),1,0)</f>
        <v>1</v>
      </c>
      <c r="W65">
        <f>IF(VLOOKUP(W$1,main!$A$3:$H$102,5,FALSE)-VLOOKUP($A65,main!$A$3:$H$102,6,FALSE)&gt;=main!$D$103+VLOOKUP(VLOOKUP(W$1,main!$A$3:$I$102,7,FALSE),main!$K$26:$Q$29,3,FALSE),1,0)</f>
        <v>0</v>
      </c>
      <c r="X65">
        <f>IF(VLOOKUP(X$1,main!$A$3:$H$102,5,FALSE)-VLOOKUP($A65,main!$A$3:$H$102,6,FALSE)&gt;=main!$D$103+VLOOKUP(VLOOKUP(X$1,main!$A$3:$I$102,7,FALSE),main!$K$26:$Q$29,3,FALSE),1,0)</f>
        <v>0</v>
      </c>
      <c r="Y65">
        <f>IF(VLOOKUP(Y$1,main!$A$3:$H$102,5,FALSE)-VLOOKUP($A65,main!$A$3:$H$102,6,FALSE)&gt;=main!$D$103+VLOOKUP(VLOOKUP(Y$1,main!$A$3:$I$102,7,FALSE),main!$K$26:$Q$29,3,FALSE),1,0)</f>
        <v>0</v>
      </c>
      <c r="Z65">
        <f>IF(VLOOKUP(Z$1,main!$A$3:$H$102,5,FALSE)-VLOOKUP($A65,main!$A$3:$H$102,6,FALSE)&gt;=main!$D$103+VLOOKUP(VLOOKUP(Z$1,main!$A$3:$I$102,7,FALSE),main!$K$26:$Q$29,3,FALSE),1,0)</f>
        <v>1</v>
      </c>
      <c r="AA65">
        <f>IF(VLOOKUP(AA$1,main!$A$3:$H$102,5,FALSE)-VLOOKUP($A65,main!$A$3:$H$102,6,FALSE)&gt;=main!$D$103+VLOOKUP(VLOOKUP(AA$1,main!$A$3:$I$102,7,FALSE),main!$K$26:$Q$29,3,FALSE),1,0)</f>
        <v>1</v>
      </c>
      <c r="AB65">
        <f>IF(VLOOKUP(AB$1,main!$A$3:$H$102,5,FALSE)-VLOOKUP($A65,main!$A$3:$H$102,6,FALSE)&gt;=main!$D$103+VLOOKUP(VLOOKUP(AB$1,main!$A$3:$I$102,7,FALSE),main!$K$26:$Q$29,3,FALSE),1,0)</f>
        <v>0</v>
      </c>
      <c r="AC65">
        <f>IF(VLOOKUP(AC$1,main!$A$3:$H$102,5,FALSE)-VLOOKUP($A65,main!$A$3:$H$102,6,FALSE)&gt;=main!$D$103+VLOOKUP(VLOOKUP(AC$1,main!$A$3:$I$102,7,FALSE),main!$K$26:$Q$29,3,FALSE),1,0)</f>
        <v>0</v>
      </c>
      <c r="AD65">
        <f>IF(VLOOKUP(AD$1,main!$A$3:$H$102,5,FALSE)-VLOOKUP($A65,main!$A$3:$H$102,6,FALSE)&gt;=main!$D$103+VLOOKUP(VLOOKUP(AD$1,main!$A$3:$I$102,7,FALSE),main!$K$26:$Q$29,3,FALSE),1,0)</f>
        <v>0</v>
      </c>
      <c r="AE65">
        <f>IF(VLOOKUP(AE$1,main!$A$3:$H$102,5,FALSE)-VLOOKUP($A65,main!$A$3:$H$102,6,FALSE)&gt;=main!$D$103+VLOOKUP(VLOOKUP(AE$1,main!$A$3:$I$102,7,FALSE),main!$K$26:$Q$29,3,FALSE),1,0)</f>
        <v>1</v>
      </c>
      <c r="AF65">
        <f>IF(VLOOKUP(AF$1,main!$A$3:$H$102,5,FALSE)-VLOOKUP($A65,main!$A$3:$H$102,6,FALSE)&gt;=main!$D$103+VLOOKUP(VLOOKUP(AF$1,main!$A$3:$I$102,7,FALSE),main!$K$26:$Q$29,3,FALSE),1,0)</f>
        <v>1</v>
      </c>
      <c r="AG65">
        <f>IF(VLOOKUP(AG$1,main!$A$3:$H$102,5,FALSE)-VLOOKUP($A65,main!$A$3:$H$102,6,FALSE)&gt;=main!$D$103+VLOOKUP(VLOOKUP(AG$1,main!$A$3:$I$102,7,FALSE),main!$K$26:$Q$29,3,FALSE),1,0)</f>
        <v>0</v>
      </c>
      <c r="AH65">
        <f>IF(VLOOKUP(AH$1,main!$A$3:$H$102,5,FALSE)-VLOOKUP($A65,main!$A$3:$H$102,6,FALSE)&gt;=main!$D$103+VLOOKUP(VLOOKUP(AH$1,main!$A$3:$I$102,7,FALSE),main!$K$26:$Q$29,3,FALSE),1,0)</f>
        <v>0</v>
      </c>
      <c r="AI65">
        <f>IF(VLOOKUP(AI$1,main!$A$3:$H$102,5,FALSE)-VLOOKUP($A65,main!$A$3:$H$102,6,FALSE)&gt;=main!$D$103+VLOOKUP(VLOOKUP(AI$1,main!$A$3:$I$102,7,FALSE),main!$K$26:$Q$29,3,FALSE),1,0)</f>
        <v>0</v>
      </c>
      <c r="AJ65">
        <f>IF(VLOOKUP(AJ$1,main!$A$3:$H$102,5,FALSE)-VLOOKUP($A65,main!$A$3:$H$102,6,FALSE)&gt;=main!$D$103+VLOOKUP(VLOOKUP(AJ$1,main!$A$3:$I$102,7,FALSE),main!$K$26:$Q$29,3,FALSE),1,0)</f>
        <v>0</v>
      </c>
      <c r="AK65">
        <f>IF(VLOOKUP(AK$1,main!$A$3:$H$102,5,FALSE)-VLOOKUP($A65,main!$A$3:$H$102,6,FALSE)&gt;=main!$D$103+VLOOKUP(VLOOKUP(AK$1,main!$A$3:$I$102,7,FALSE),main!$K$26:$Q$29,3,FALSE),1,0)</f>
        <v>1</v>
      </c>
      <c r="AL65">
        <f>IF(VLOOKUP(AL$1,main!$A$3:$H$102,5,FALSE)-VLOOKUP($A65,main!$A$3:$H$102,6,FALSE)&gt;=main!$D$103+VLOOKUP(VLOOKUP(AL$1,main!$A$3:$I$102,7,FALSE),main!$K$26:$Q$29,3,FALSE),1,0)</f>
        <v>1</v>
      </c>
      <c r="AM65">
        <f>IF(VLOOKUP(AM$1,main!$A$3:$H$102,5,FALSE)-VLOOKUP($A65,main!$A$3:$H$102,6,FALSE)&gt;=main!$D$103+VLOOKUP(VLOOKUP(AM$1,main!$A$3:$I$102,7,FALSE),main!$K$26:$Q$29,3,FALSE),1,0)</f>
        <v>1</v>
      </c>
      <c r="AN65">
        <f>IF(VLOOKUP(AN$1,main!$A$3:$H$102,5,FALSE)-VLOOKUP($A65,main!$A$3:$H$102,6,FALSE)&gt;=main!$D$103+VLOOKUP(VLOOKUP(AN$1,main!$A$3:$I$102,7,FALSE),main!$K$26:$Q$29,3,FALSE),1,0)</f>
        <v>1</v>
      </c>
      <c r="AO65">
        <f>IF(VLOOKUP(AO$1,main!$A$3:$H$102,5,FALSE)-VLOOKUP($A65,main!$A$3:$H$102,6,FALSE)&gt;=main!$D$103+VLOOKUP(VLOOKUP(AO$1,main!$A$3:$I$102,7,FALSE),main!$K$26:$Q$29,3,FALSE),1,0)</f>
        <v>0</v>
      </c>
      <c r="AP65">
        <f>IF(VLOOKUP(AP$1,main!$A$3:$H$102,5,FALSE)-VLOOKUP($A65,main!$A$3:$H$102,6,FALSE)&gt;=main!$D$103+VLOOKUP(VLOOKUP(AP$1,main!$A$3:$I$102,7,FALSE),main!$K$26:$Q$29,3,FALSE),1,0)</f>
        <v>1</v>
      </c>
      <c r="AQ65">
        <f>IF(VLOOKUP(AQ$1,main!$A$3:$H$102,5,FALSE)-VLOOKUP($A65,main!$A$3:$H$102,6,FALSE)&gt;=main!$D$103+VLOOKUP(VLOOKUP(AQ$1,main!$A$3:$I$102,7,FALSE),main!$K$26:$Q$29,3,FALSE),1,0)</f>
        <v>0</v>
      </c>
      <c r="AR65">
        <f>IF(VLOOKUP(AR$1,main!$A$3:$H$102,5,FALSE)-VLOOKUP($A65,main!$A$3:$H$102,6,FALSE)&gt;=main!$D$103+VLOOKUP(VLOOKUP(AR$1,main!$A$3:$I$102,7,FALSE),main!$K$26:$Q$29,3,FALSE),1,0)</f>
        <v>0</v>
      </c>
      <c r="AS65">
        <f>IF(VLOOKUP(AS$1,main!$A$3:$H$102,5,FALSE)-VLOOKUP($A65,main!$A$3:$H$102,6,FALSE)&gt;=main!$D$103+VLOOKUP(VLOOKUP(AS$1,main!$A$3:$I$102,7,FALSE),main!$K$26:$Q$29,3,FALSE),1,0)</f>
        <v>0</v>
      </c>
      <c r="AT65">
        <f>IF(VLOOKUP(AT$1,main!$A$3:$H$102,5,FALSE)-VLOOKUP($A65,main!$A$3:$H$102,6,FALSE)&gt;=main!$D$103+VLOOKUP(VLOOKUP(AT$1,main!$A$3:$I$102,7,FALSE),main!$K$26:$Q$29,3,FALSE),1,0)</f>
        <v>1</v>
      </c>
      <c r="AU65">
        <f>IF(VLOOKUP(AU$1,main!$A$3:$H$102,5,FALSE)-VLOOKUP($A65,main!$A$3:$H$102,6,FALSE)&gt;=main!$D$103+VLOOKUP(VLOOKUP(AU$1,main!$A$3:$I$102,7,FALSE),main!$K$26:$Q$29,3,FALSE),1,0)</f>
        <v>0</v>
      </c>
      <c r="AV65">
        <f>IF(VLOOKUP(AV$1,main!$A$3:$H$102,5,FALSE)-VLOOKUP($A65,main!$A$3:$H$102,6,FALSE)&gt;=main!$D$103+VLOOKUP(VLOOKUP(AV$1,main!$A$3:$I$102,7,FALSE),main!$K$26:$Q$29,3,FALSE),1,0)</f>
        <v>0</v>
      </c>
      <c r="AW65">
        <f>IF(VLOOKUP(AW$1,main!$A$3:$H$102,5,FALSE)-VLOOKUP($A65,main!$A$3:$H$102,6,FALSE)&gt;=main!$D$103+VLOOKUP(VLOOKUP(AW$1,main!$A$3:$I$102,7,FALSE),main!$K$26:$Q$29,3,FALSE),1,0)</f>
        <v>1</v>
      </c>
      <c r="AX65">
        <f>IF(VLOOKUP(AX$1,main!$A$3:$H$102,5,FALSE)-VLOOKUP($A65,main!$A$3:$H$102,6,FALSE)&gt;=main!$D$103+VLOOKUP(VLOOKUP(AX$1,main!$A$3:$I$102,7,FALSE),main!$K$26:$Q$29,3,FALSE),1,0)</f>
        <v>0</v>
      </c>
      <c r="AY65">
        <f>IF(VLOOKUP(AY$1,main!$A$3:$H$102,5,FALSE)-VLOOKUP($A65,main!$A$3:$H$102,6,FALSE)&gt;=main!$D$103+VLOOKUP(VLOOKUP(AY$1,main!$A$3:$I$102,7,FALSE),main!$K$26:$Q$29,3,FALSE),1,0)</f>
        <v>0</v>
      </c>
      <c r="AZ65">
        <f>IF(VLOOKUP(AZ$1,main!$A$3:$H$102,5,FALSE)-VLOOKUP($A65,main!$A$3:$H$102,6,FALSE)&gt;=main!$D$103+VLOOKUP(VLOOKUP(AZ$1,main!$A$3:$I$102,7,FALSE),main!$K$26:$Q$29,3,FALSE),1,0)</f>
        <v>0</v>
      </c>
      <c r="BA65">
        <f>IF(VLOOKUP(BA$1,main!$A$3:$H$102,5,FALSE)-VLOOKUP($A65,main!$A$3:$H$102,6,FALSE)&gt;=main!$D$103+VLOOKUP(VLOOKUP(BA$1,main!$A$3:$I$102,7,FALSE),main!$K$26:$Q$29,3,FALSE),1,0)</f>
        <v>0</v>
      </c>
      <c r="BB65">
        <f>IF(VLOOKUP(BB$1,main!$A$3:$H$102,5,FALSE)-VLOOKUP($A65,main!$A$3:$H$102,6,FALSE)&gt;=main!$D$103+VLOOKUP(VLOOKUP(BB$1,main!$A$3:$I$102,7,FALSE),main!$K$26:$Q$29,3,FALSE),1,0)</f>
        <v>0</v>
      </c>
      <c r="BC65">
        <f>IF(VLOOKUP(BC$1,main!$A$3:$H$102,5,FALSE)-VLOOKUP($A65,main!$A$3:$H$102,6,FALSE)&gt;=main!$D$103+VLOOKUP(VLOOKUP(BC$1,main!$A$3:$I$102,7,FALSE),main!$K$26:$Q$29,3,FALSE),1,0)</f>
        <v>0</v>
      </c>
      <c r="BD65">
        <f>IF(VLOOKUP(BD$1,main!$A$3:$H$102,5,FALSE)-VLOOKUP($A65,main!$A$3:$H$102,6,FALSE)&gt;=main!$D$103+VLOOKUP(VLOOKUP(BD$1,main!$A$3:$I$102,7,FALSE),main!$K$26:$Q$29,3,FALSE),1,0)</f>
        <v>1</v>
      </c>
      <c r="BE65">
        <f>IF(VLOOKUP(BE$1,main!$A$3:$H$102,5,FALSE)-VLOOKUP($A65,main!$A$3:$H$102,6,FALSE)&gt;=main!$D$103+VLOOKUP(VLOOKUP(BE$1,main!$A$3:$I$102,7,FALSE),main!$K$26:$Q$29,3,FALSE),1,0)</f>
        <v>1</v>
      </c>
      <c r="BF65">
        <f>IF(VLOOKUP(BF$1,main!$A$3:$H$102,5,FALSE)-VLOOKUP($A65,main!$A$3:$H$102,6,FALSE)&gt;=main!$D$103+VLOOKUP(VLOOKUP(BF$1,main!$A$3:$I$102,7,FALSE),main!$K$26:$Q$29,3,FALSE),1,0)</f>
        <v>0</v>
      </c>
      <c r="BG65">
        <f>IF(VLOOKUP(BG$1,main!$A$3:$H$102,5,FALSE)-VLOOKUP($A65,main!$A$3:$H$102,6,FALSE)&gt;=main!$D$103+VLOOKUP(VLOOKUP(BG$1,main!$A$3:$I$102,7,FALSE),main!$K$26:$Q$29,3,FALSE),1,0)</f>
        <v>0</v>
      </c>
      <c r="BH65">
        <f>IF(VLOOKUP(BH$1,main!$A$3:$H$102,5,FALSE)-VLOOKUP($A65,main!$A$3:$H$102,6,FALSE)&gt;=main!$D$103+VLOOKUP(VLOOKUP(BH$1,main!$A$3:$I$102,7,FALSE),main!$K$26:$Q$29,3,FALSE),1,0)</f>
        <v>0</v>
      </c>
      <c r="BI65">
        <f>IF(VLOOKUP(BI$1,main!$A$3:$H$102,5,FALSE)-VLOOKUP($A65,main!$A$3:$H$102,6,FALSE)&gt;=main!$D$103+VLOOKUP(VLOOKUP(BI$1,main!$A$3:$I$102,7,FALSE),main!$K$26:$Q$29,3,FALSE),1,0)</f>
        <v>1</v>
      </c>
      <c r="BJ65">
        <f>IF(VLOOKUP(BJ$1,main!$A$3:$H$102,5,FALSE)-VLOOKUP($A65,main!$A$3:$H$102,6,FALSE)&gt;=main!$D$103+VLOOKUP(VLOOKUP(BJ$1,main!$A$3:$I$102,7,FALSE),main!$K$26:$Q$29,3,FALSE),1,0)</f>
        <v>1</v>
      </c>
      <c r="BK65">
        <f>IF(VLOOKUP(BK$1,main!$A$3:$H$102,5,FALSE)-VLOOKUP($A65,main!$A$3:$H$102,6,FALSE)&gt;=main!$D$103+VLOOKUP(VLOOKUP(BK$1,main!$A$3:$I$102,7,FALSE),main!$K$26:$Q$29,3,FALSE),1,0)</f>
        <v>0</v>
      </c>
      <c r="BL65">
        <f>IF(VLOOKUP(BL$1,main!$A$3:$H$102,5,FALSE)-VLOOKUP($A65,main!$A$3:$H$102,6,FALSE)&gt;=main!$D$103+VLOOKUP(VLOOKUP(BL$1,main!$A$3:$I$102,7,FALSE),main!$K$26:$Q$29,3,FALSE),1,0)</f>
        <v>0</v>
      </c>
      <c r="BM65">
        <f>IF(VLOOKUP(BM$1,main!$A$3:$H$102,5,FALSE)-VLOOKUP($A65,main!$A$3:$H$102,6,FALSE)&gt;=main!$D$103+VLOOKUP(VLOOKUP(BM$1,main!$A$3:$I$102,7,FALSE),main!$K$26:$Q$29,3,FALSE),1,0)</f>
        <v>0</v>
      </c>
      <c r="BN65">
        <f>IF(VLOOKUP(BN$1,main!$A$3:$H$102,5,FALSE)-VLOOKUP($A65,main!$A$3:$H$102,6,FALSE)&gt;=main!$D$103+VLOOKUP(VLOOKUP(BN$1,main!$A$3:$I$102,7,FALSE),main!$K$26:$Q$29,3,FALSE),1,0)</f>
        <v>1</v>
      </c>
      <c r="BO65">
        <f>IF(VLOOKUP(BO$1,main!$A$3:$H$102,5,FALSE)-VLOOKUP($A65,main!$A$3:$H$102,6,FALSE)&gt;=main!$D$103+VLOOKUP(VLOOKUP(BO$1,main!$A$3:$I$102,7,FALSE),main!$K$26:$Q$29,3,FALSE),1,0)</f>
        <v>0</v>
      </c>
      <c r="BP65">
        <f>IF(VLOOKUP(BP$1,main!$A$3:$H$102,5,FALSE)-VLOOKUP($A65,main!$A$3:$H$102,6,FALSE)&gt;=main!$D$103+VLOOKUP(VLOOKUP(BP$1,main!$A$3:$I$102,7,FALSE),main!$K$26:$Q$29,3,FALSE),1,0)</f>
        <v>0</v>
      </c>
      <c r="BQ65">
        <f>IF(VLOOKUP(BQ$1,main!$A$3:$H$102,5,FALSE)-VLOOKUP($A65,main!$A$3:$H$102,6,FALSE)&gt;=main!$D$103+VLOOKUP(VLOOKUP(BQ$1,main!$A$3:$I$102,7,FALSE),main!$K$26:$Q$29,3,FALSE),1,0)</f>
        <v>0</v>
      </c>
      <c r="BR65">
        <f>IF(VLOOKUP(BR$1,main!$A$3:$H$102,5,FALSE)-VLOOKUP($A65,main!$A$3:$H$102,6,FALSE)&gt;=main!$D$103+VLOOKUP(VLOOKUP(BR$1,main!$A$3:$I$102,7,FALSE),main!$K$26:$Q$29,3,FALSE),1,0)</f>
        <v>0</v>
      </c>
      <c r="BS65">
        <f>IF(VLOOKUP(BS$1,main!$A$3:$H$102,5,FALSE)-VLOOKUP($A65,main!$A$3:$H$102,6,FALSE)&gt;=main!$D$103+VLOOKUP(VLOOKUP(BS$1,main!$A$3:$I$102,7,FALSE),main!$K$26:$Q$29,3,FALSE),1,0)</f>
        <v>0</v>
      </c>
      <c r="BT65">
        <f>IF(VLOOKUP(BT$1,main!$A$3:$H$102,5,FALSE)-VLOOKUP($A65,main!$A$3:$H$102,6,FALSE)&gt;=main!$D$103+VLOOKUP(VLOOKUP(BT$1,main!$A$3:$I$102,7,FALSE),main!$K$26:$Q$29,3,FALSE),1,0)</f>
        <v>0</v>
      </c>
      <c r="BU65">
        <f>IF(VLOOKUP(BU$1,main!$A$3:$H$102,5,FALSE)-VLOOKUP($A65,main!$A$3:$H$102,6,FALSE)&gt;=main!$D$103+VLOOKUP(VLOOKUP(BU$1,main!$A$3:$I$102,7,FALSE),main!$K$26:$Q$29,3,FALSE),1,0)</f>
        <v>0</v>
      </c>
      <c r="BV65">
        <f>IF(VLOOKUP(BV$1,main!$A$3:$H$102,5,FALSE)-VLOOKUP($A65,main!$A$3:$H$102,6,FALSE)&gt;=main!$D$103+VLOOKUP(VLOOKUP(BV$1,main!$A$3:$I$102,7,FALSE),main!$K$26:$Q$29,3,FALSE),1,0)</f>
        <v>0</v>
      </c>
      <c r="BW65">
        <f>IF(VLOOKUP(BW$1,main!$A$3:$H$102,5,FALSE)-VLOOKUP($A65,main!$A$3:$H$102,6,FALSE)&gt;=main!$D$103+VLOOKUP(VLOOKUP(BW$1,main!$A$3:$I$102,7,FALSE),main!$K$26:$Q$29,3,FALSE),1,0)</f>
        <v>0</v>
      </c>
      <c r="BX65">
        <f>IF(VLOOKUP(BX$1,main!$A$3:$H$102,5,FALSE)-VLOOKUP($A65,main!$A$3:$H$102,6,FALSE)&gt;=main!$D$103+VLOOKUP(VLOOKUP(BX$1,main!$A$3:$I$102,7,FALSE),main!$K$26:$Q$29,3,FALSE),1,0)</f>
        <v>0</v>
      </c>
      <c r="BY65">
        <f>IF(VLOOKUP(BY$1,main!$A$3:$H$102,5,FALSE)-VLOOKUP($A65,main!$A$3:$H$102,6,FALSE)&gt;=main!$D$103+VLOOKUP(VLOOKUP(BY$1,main!$A$3:$I$102,7,FALSE),main!$K$26:$Q$29,3,FALSE),1,0)</f>
        <v>0</v>
      </c>
      <c r="BZ65">
        <f>IF(VLOOKUP(BZ$1,main!$A$3:$H$102,5,FALSE)-VLOOKUP($A65,main!$A$3:$H$102,6,FALSE)&gt;=main!$D$103+VLOOKUP(VLOOKUP(BZ$1,main!$A$3:$I$102,7,FALSE),main!$K$26:$Q$29,3,FALSE),1,0)</f>
        <v>0</v>
      </c>
      <c r="CA65">
        <f>IF(VLOOKUP(CA$1,main!$A$3:$H$102,5,FALSE)-VLOOKUP($A65,main!$A$3:$H$102,6,FALSE)&gt;=main!$D$103+VLOOKUP(VLOOKUP(CA$1,main!$A$3:$I$102,7,FALSE),main!$K$26:$Q$29,3,FALSE),1,0)</f>
        <v>0</v>
      </c>
      <c r="CB65">
        <f>IF(VLOOKUP(CB$1,main!$A$3:$H$102,5,FALSE)-VLOOKUP($A65,main!$A$3:$H$102,6,FALSE)&gt;=main!$D$103+VLOOKUP(VLOOKUP(CB$1,main!$A$3:$I$102,7,FALSE),main!$K$26:$Q$29,3,FALSE),1,0)</f>
        <v>1</v>
      </c>
      <c r="CC65">
        <f>IF(VLOOKUP(CC$1,main!$A$3:$H$102,5,FALSE)-VLOOKUP($A65,main!$A$3:$H$102,6,FALSE)&gt;=main!$D$103+VLOOKUP(VLOOKUP(CC$1,main!$A$3:$I$102,7,FALSE),main!$K$26:$Q$29,3,FALSE),1,0)</f>
        <v>1</v>
      </c>
      <c r="CD65">
        <f>IF(VLOOKUP(CD$1,main!$A$3:$H$102,5,FALSE)-VLOOKUP($A65,main!$A$3:$H$102,6,FALSE)&gt;=main!$D$103+VLOOKUP(VLOOKUP(CD$1,main!$A$3:$I$102,7,FALSE),main!$K$26:$Q$29,3,FALSE),1,0)</f>
        <v>0</v>
      </c>
      <c r="CE65">
        <f>IF(VLOOKUP(CE$1,main!$A$3:$H$102,5,FALSE)-VLOOKUP($A65,main!$A$3:$H$102,6,FALSE)&gt;=main!$D$103+VLOOKUP(VLOOKUP(CE$1,main!$A$3:$I$102,7,FALSE),main!$K$26:$Q$29,3,FALSE),1,0)</f>
        <v>0</v>
      </c>
      <c r="CF65">
        <f>IF(VLOOKUP(CF$1,main!$A$3:$H$102,5,FALSE)-VLOOKUP($A65,main!$A$3:$H$102,6,FALSE)&gt;=main!$D$103+VLOOKUP(VLOOKUP(CF$1,main!$A$3:$I$102,7,FALSE),main!$K$26:$Q$29,3,FALSE),1,0)</f>
        <v>0</v>
      </c>
      <c r="CG65">
        <f>IF(VLOOKUP(CG$1,main!$A$3:$H$102,5,FALSE)-VLOOKUP($A65,main!$A$3:$H$102,6,FALSE)&gt;=main!$D$103+VLOOKUP(VLOOKUP(CG$1,main!$A$3:$I$102,7,FALSE),main!$K$26:$Q$29,3,FALSE),1,0)</f>
        <v>0</v>
      </c>
      <c r="CH65">
        <f>IF(VLOOKUP(CH$1,main!$A$3:$H$102,5,FALSE)-VLOOKUP($A65,main!$A$3:$H$102,6,FALSE)&gt;=main!$D$103+VLOOKUP(VLOOKUP(CH$1,main!$A$3:$I$102,7,FALSE),main!$K$26:$Q$29,3,FALSE),1,0)</f>
        <v>1</v>
      </c>
      <c r="CI65">
        <f>IF(VLOOKUP(CI$1,main!$A$3:$H$102,5,FALSE)-VLOOKUP($A65,main!$A$3:$H$102,6,FALSE)&gt;=main!$D$103+VLOOKUP(VLOOKUP(CI$1,main!$A$3:$I$102,7,FALSE),main!$K$26:$Q$29,3,FALSE),1,0)</f>
        <v>1</v>
      </c>
      <c r="CJ65">
        <f>IF(VLOOKUP(CJ$1,main!$A$3:$H$102,5,FALSE)-VLOOKUP($A65,main!$A$3:$H$102,6,FALSE)&gt;=main!$D$103+VLOOKUP(VLOOKUP(CJ$1,main!$A$3:$I$102,7,FALSE),main!$K$26:$Q$29,3,FALSE),1,0)</f>
        <v>0</v>
      </c>
      <c r="CK65">
        <f>IF(VLOOKUP(CK$1,main!$A$3:$H$102,5,FALSE)-VLOOKUP($A65,main!$A$3:$H$102,6,FALSE)&gt;=main!$D$103+VLOOKUP(VLOOKUP(CK$1,main!$A$3:$I$102,7,FALSE),main!$K$26:$Q$29,3,FALSE),1,0)</f>
        <v>0</v>
      </c>
      <c r="CL65">
        <f>IF(VLOOKUP(CL$1,main!$A$3:$H$102,5,FALSE)-VLOOKUP($A65,main!$A$3:$H$102,6,FALSE)&gt;=main!$D$103+VLOOKUP(VLOOKUP(CL$1,main!$A$3:$I$102,7,FALSE),main!$K$26:$Q$29,3,FALSE),1,0)</f>
        <v>0</v>
      </c>
      <c r="CM65">
        <f>IF(VLOOKUP(CM$1,main!$A$3:$H$102,5,FALSE)-VLOOKUP($A65,main!$A$3:$H$102,6,FALSE)&gt;=main!$D$103+VLOOKUP(VLOOKUP(CM$1,main!$A$3:$I$102,7,FALSE),main!$K$26:$Q$29,3,FALSE),1,0)</f>
        <v>1</v>
      </c>
      <c r="CN65">
        <f>IF(VLOOKUP(CN$1,main!$A$3:$H$102,5,FALSE)-VLOOKUP($A65,main!$A$3:$H$102,6,FALSE)&gt;=main!$D$103+VLOOKUP(VLOOKUP(CN$1,main!$A$3:$I$102,7,FALSE),main!$K$26:$Q$29,3,FALSE),1,0)</f>
        <v>1</v>
      </c>
      <c r="CO65">
        <f>IF(VLOOKUP(CO$1,main!$A$3:$H$102,5,FALSE)-VLOOKUP($A65,main!$A$3:$H$102,6,FALSE)&gt;=main!$D$103+VLOOKUP(VLOOKUP(CO$1,main!$A$3:$I$102,7,FALSE),main!$K$26:$Q$29,3,FALSE),1,0)</f>
        <v>0</v>
      </c>
      <c r="CP65">
        <f>IF(VLOOKUP(CP$1,main!$A$3:$H$102,5,FALSE)-VLOOKUP($A65,main!$A$3:$H$102,6,FALSE)&gt;=main!$D$103+VLOOKUP(VLOOKUP(CP$1,main!$A$3:$I$102,7,FALSE),main!$K$26:$Q$29,3,FALSE),1,0)</f>
        <v>0</v>
      </c>
      <c r="CQ65">
        <f>IF(VLOOKUP(CQ$1,main!$A$3:$H$102,5,FALSE)-VLOOKUP($A65,main!$A$3:$H$102,6,FALSE)&gt;=main!$D$103+VLOOKUP(VLOOKUP(CQ$1,main!$A$3:$I$102,7,FALSE),main!$K$26:$Q$29,3,FALSE),1,0)</f>
        <v>0</v>
      </c>
      <c r="CR65">
        <f>IF(VLOOKUP(CR$1,main!$A$3:$H$102,5,FALSE)-VLOOKUP($A65,main!$A$3:$H$102,6,FALSE)&gt;=main!$D$103+VLOOKUP(VLOOKUP(CR$1,main!$A$3:$I$102,7,FALSE),main!$K$26:$Q$29,3,FALSE),1,0)</f>
        <v>1</v>
      </c>
      <c r="CS65">
        <f>IF(VLOOKUP(CS$1,main!$A$3:$H$102,5,FALSE)-VLOOKUP($A65,main!$A$3:$H$102,6,FALSE)&gt;=main!$D$103+VLOOKUP(VLOOKUP(CS$1,main!$A$3:$I$102,7,FALSE),main!$K$26:$Q$29,3,FALSE),1,0)</f>
        <v>1</v>
      </c>
      <c r="CT65">
        <f>IF(VLOOKUP(CT$1,main!$A$3:$H$102,5,FALSE)-VLOOKUP($A65,main!$A$3:$H$102,6,FALSE)&gt;=main!$D$103+VLOOKUP(VLOOKUP(CT$1,main!$A$3:$I$102,7,FALSE),main!$K$26:$Q$29,3,FALSE),1,0)</f>
        <v>0</v>
      </c>
      <c r="CU65">
        <f>IF(VLOOKUP(CU$1,main!$A$3:$H$102,5,FALSE)-VLOOKUP($A65,main!$A$3:$H$102,6,FALSE)&gt;=main!$D$103+VLOOKUP(VLOOKUP(CU$1,main!$A$3:$I$102,7,FALSE),main!$K$26:$Q$29,3,FALSE),1,0)</f>
        <v>0</v>
      </c>
      <c r="CV65">
        <f>IF(VLOOKUP(CV$1,main!$A$3:$H$102,5,FALSE)-VLOOKUP($A65,main!$A$3:$H$102,6,FALSE)&gt;=main!$D$103+VLOOKUP(VLOOKUP(CV$1,main!$A$3:$I$102,7,FALSE),main!$K$26:$Q$29,3,FALSE),1,0)</f>
        <v>0</v>
      </c>
      <c r="CW65">
        <f>IF(VLOOKUP(CW$1,main!$A$3:$H$102,5,FALSE)-VLOOKUP($A65,main!$A$3:$H$102,6,FALSE)&gt;=main!$D$103+VLOOKUP(VLOOKUP(CW$1,main!$A$3:$I$102,7,FALSE),main!$K$26:$Q$29,3,FALSE),1,0)</f>
        <v>1</v>
      </c>
      <c r="CX65">
        <f>IF(VLOOKUP(CX$1,main!$A$3:$H$102,5,FALSE)-VLOOKUP($A65,main!$A$3:$H$102,6,FALSE)&gt;=main!$D$103+VLOOKUP(VLOOKUP(CX$1,main!$A$3:$I$102,7,FALSE),main!$K$26:$Q$29,3,FALSE),1,0)</f>
        <v>1</v>
      </c>
    </row>
    <row r="66" spans="1:102" x14ac:dyDescent="0.25">
      <c r="A66" s="1">
        <v>64</v>
      </c>
      <c r="B66">
        <v>0</v>
      </c>
      <c r="C66">
        <f>IF(VLOOKUP(C$1,main!$A$3:$H$102,5,FALSE)-VLOOKUP($A66,main!$A$3:$H$102,6,FALSE)&gt;=main!$D$103+VLOOKUP(VLOOKUP(C$1,main!$A$3:$I$102,7,FALSE),main!$K$26:$Q$29,3,FALSE),1,0)</f>
        <v>0</v>
      </c>
      <c r="D66">
        <f>IF(VLOOKUP(D$1,main!$A$3:$H$102,5,FALSE)-VLOOKUP($A66,main!$A$3:$H$102,6,FALSE)&gt;=main!$D$103+VLOOKUP(VLOOKUP(D$1,main!$A$3:$I$102,7,FALSE),main!$K$26:$Q$29,3,FALSE),1,0)</f>
        <v>0</v>
      </c>
      <c r="E66">
        <f>IF(VLOOKUP(E$1,main!$A$3:$H$102,5,FALSE)-VLOOKUP($A66,main!$A$3:$H$102,6,FALSE)&gt;=main!$D$103+VLOOKUP(VLOOKUP(E$1,main!$A$3:$I$102,7,FALSE),main!$K$26:$Q$29,3,FALSE),1,0)</f>
        <v>0</v>
      </c>
      <c r="F66">
        <f>IF(VLOOKUP(F$1,main!$A$3:$H$102,5,FALSE)-VLOOKUP($A66,main!$A$3:$H$102,6,FALSE)&gt;=main!$D$103+VLOOKUP(VLOOKUP(F$1,main!$A$3:$I$102,7,FALSE),main!$K$26:$Q$29,3,FALSE),1,0)</f>
        <v>0</v>
      </c>
      <c r="G66">
        <f>IF(VLOOKUP(G$1,main!$A$3:$H$102,5,FALSE)-VLOOKUP($A66,main!$A$3:$H$102,6,FALSE)&gt;=main!$D$103+VLOOKUP(VLOOKUP(G$1,main!$A$3:$I$102,7,FALSE),main!$K$26:$Q$29,3,FALSE),1,0)</f>
        <v>0</v>
      </c>
      <c r="H66">
        <f>IF(VLOOKUP(H$1,main!$A$3:$H$102,5,FALSE)-VLOOKUP($A66,main!$A$3:$H$102,6,FALSE)&gt;=main!$D$103+VLOOKUP(VLOOKUP(H$1,main!$A$3:$I$102,7,FALSE),main!$K$26:$Q$29,3,FALSE),1,0)</f>
        <v>0</v>
      </c>
      <c r="I66">
        <f>IF(VLOOKUP(I$1,main!$A$3:$H$102,5,FALSE)-VLOOKUP($A66,main!$A$3:$H$102,6,FALSE)&gt;=main!$D$103+VLOOKUP(VLOOKUP(I$1,main!$A$3:$I$102,7,FALSE),main!$K$26:$Q$29,3,FALSE),1,0)</f>
        <v>0</v>
      </c>
      <c r="J66">
        <f>IF(VLOOKUP(J$1,main!$A$3:$H$102,5,FALSE)-VLOOKUP($A66,main!$A$3:$H$102,6,FALSE)&gt;=main!$D$103+VLOOKUP(VLOOKUP(J$1,main!$A$3:$I$102,7,FALSE),main!$K$26:$Q$29,3,FALSE),1,0)</f>
        <v>0</v>
      </c>
      <c r="K66">
        <f>IF(VLOOKUP(K$1,main!$A$3:$H$102,5,FALSE)-VLOOKUP($A66,main!$A$3:$H$102,6,FALSE)&gt;=main!$D$103+VLOOKUP(VLOOKUP(K$1,main!$A$3:$I$102,7,FALSE),main!$K$26:$Q$29,3,FALSE),1,0)</f>
        <v>1</v>
      </c>
      <c r="L66">
        <f>IF(VLOOKUP(L$1,main!$A$3:$H$102,5,FALSE)-VLOOKUP($A66,main!$A$3:$H$102,6,FALSE)&gt;=main!$D$103+VLOOKUP(VLOOKUP(L$1,main!$A$3:$I$102,7,FALSE),main!$K$26:$Q$29,3,FALSE),1,0)</f>
        <v>1</v>
      </c>
      <c r="M66">
        <f>IF(VLOOKUP(M$1,main!$A$3:$H$102,5,FALSE)-VLOOKUP($A66,main!$A$3:$H$102,6,FALSE)&gt;=main!$D$103+VLOOKUP(VLOOKUP(M$1,main!$A$3:$I$102,7,FALSE),main!$K$26:$Q$29,3,FALSE),1,0)</f>
        <v>0</v>
      </c>
      <c r="N66">
        <f>IF(VLOOKUP(N$1,main!$A$3:$H$102,5,FALSE)-VLOOKUP($A66,main!$A$3:$H$102,6,FALSE)&gt;=main!$D$103+VLOOKUP(VLOOKUP(N$1,main!$A$3:$I$102,7,FALSE),main!$K$26:$Q$29,3,FALSE),1,0)</f>
        <v>0</v>
      </c>
      <c r="O66">
        <f>IF(VLOOKUP(O$1,main!$A$3:$H$102,5,FALSE)-VLOOKUP($A66,main!$A$3:$H$102,6,FALSE)&gt;=main!$D$103+VLOOKUP(VLOOKUP(O$1,main!$A$3:$I$102,7,FALSE),main!$K$26:$Q$29,3,FALSE),1,0)</f>
        <v>0</v>
      </c>
      <c r="P66">
        <f>IF(VLOOKUP(P$1,main!$A$3:$H$102,5,FALSE)-VLOOKUP($A66,main!$A$3:$H$102,6,FALSE)&gt;=main!$D$103+VLOOKUP(VLOOKUP(P$1,main!$A$3:$I$102,7,FALSE),main!$K$26:$Q$29,3,FALSE),1,0)</f>
        <v>0</v>
      </c>
      <c r="Q66">
        <f>IF(VLOOKUP(Q$1,main!$A$3:$H$102,5,FALSE)-VLOOKUP($A66,main!$A$3:$H$102,6,FALSE)&gt;=main!$D$103+VLOOKUP(VLOOKUP(Q$1,main!$A$3:$I$102,7,FALSE),main!$K$26:$Q$29,3,FALSE),1,0)</f>
        <v>0</v>
      </c>
      <c r="R66">
        <f>IF(VLOOKUP(R$1,main!$A$3:$H$102,5,FALSE)-VLOOKUP($A66,main!$A$3:$H$102,6,FALSE)&gt;=main!$D$103+VLOOKUP(VLOOKUP(R$1,main!$A$3:$I$102,7,FALSE),main!$K$26:$Q$29,3,FALSE),1,0)</f>
        <v>0</v>
      </c>
      <c r="S66">
        <f>IF(VLOOKUP(S$1,main!$A$3:$H$102,5,FALSE)-VLOOKUP($A66,main!$A$3:$H$102,6,FALSE)&gt;=main!$D$103+VLOOKUP(VLOOKUP(S$1,main!$A$3:$I$102,7,FALSE),main!$K$26:$Q$29,3,FALSE),1,0)</f>
        <v>0</v>
      </c>
      <c r="T66">
        <f>IF(VLOOKUP(T$1,main!$A$3:$H$102,5,FALSE)-VLOOKUP($A66,main!$A$3:$H$102,6,FALSE)&gt;=main!$D$103+VLOOKUP(VLOOKUP(T$1,main!$A$3:$I$102,7,FALSE),main!$K$26:$Q$29,3,FALSE),1,0)</f>
        <v>0</v>
      </c>
      <c r="U66">
        <f>IF(VLOOKUP(U$1,main!$A$3:$H$102,5,FALSE)-VLOOKUP($A66,main!$A$3:$H$102,6,FALSE)&gt;=main!$D$103+VLOOKUP(VLOOKUP(U$1,main!$A$3:$I$102,7,FALSE),main!$K$26:$Q$29,3,FALSE),1,0)</f>
        <v>1</v>
      </c>
      <c r="V66">
        <f>IF(VLOOKUP(V$1,main!$A$3:$H$102,5,FALSE)-VLOOKUP($A66,main!$A$3:$H$102,6,FALSE)&gt;=main!$D$103+VLOOKUP(VLOOKUP(V$1,main!$A$3:$I$102,7,FALSE),main!$K$26:$Q$29,3,FALSE),1,0)</f>
        <v>1</v>
      </c>
      <c r="W66">
        <f>IF(VLOOKUP(W$1,main!$A$3:$H$102,5,FALSE)-VLOOKUP($A66,main!$A$3:$H$102,6,FALSE)&gt;=main!$D$103+VLOOKUP(VLOOKUP(W$1,main!$A$3:$I$102,7,FALSE),main!$K$26:$Q$29,3,FALSE),1,0)</f>
        <v>0</v>
      </c>
      <c r="X66">
        <f>IF(VLOOKUP(X$1,main!$A$3:$H$102,5,FALSE)-VLOOKUP($A66,main!$A$3:$H$102,6,FALSE)&gt;=main!$D$103+VLOOKUP(VLOOKUP(X$1,main!$A$3:$I$102,7,FALSE),main!$K$26:$Q$29,3,FALSE),1,0)</f>
        <v>0</v>
      </c>
      <c r="Y66">
        <f>IF(VLOOKUP(Y$1,main!$A$3:$H$102,5,FALSE)-VLOOKUP($A66,main!$A$3:$H$102,6,FALSE)&gt;=main!$D$103+VLOOKUP(VLOOKUP(Y$1,main!$A$3:$I$102,7,FALSE),main!$K$26:$Q$29,3,FALSE),1,0)</f>
        <v>0</v>
      </c>
      <c r="Z66">
        <f>IF(VLOOKUP(Z$1,main!$A$3:$H$102,5,FALSE)-VLOOKUP($A66,main!$A$3:$H$102,6,FALSE)&gt;=main!$D$103+VLOOKUP(VLOOKUP(Z$1,main!$A$3:$I$102,7,FALSE),main!$K$26:$Q$29,3,FALSE),1,0)</f>
        <v>0</v>
      </c>
      <c r="AA66">
        <f>IF(VLOOKUP(AA$1,main!$A$3:$H$102,5,FALSE)-VLOOKUP($A66,main!$A$3:$H$102,6,FALSE)&gt;=main!$D$103+VLOOKUP(VLOOKUP(AA$1,main!$A$3:$I$102,7,FALSE),main!$K$26:$Q$29,3,FALSE),1,0)</f>
        <v>1</v>
      </c>
      <c r="AB66">
        <f>IF(VLOOKUP(AB$1,main!$A$3:$H$102,5,FALSE)-VLOOKUP($A66,main!$A$3:$H$102,6,FALSE)&gt;=main!$D$103+VLOOKUP(VLOOKUP(AB$1,main!$A$3:$I$102,7,FALSE),main!$K$26:$Q$29,3,FALSE),1,0)</f>
        <v>0</v>
      </c>
      <c r="AC66">
        <f>IF(VLOOKUP(AC$1,main!$A$3:$H$102,5,FALSE)-VLOOKUP($A66,main!$A$3:$H$102,6,FALSE)&gt;=main!$D$103+VLOOKUP(VLOOKUP(AC$1,main!$A$3:$I$102,7,FALSE),main!$K$26:$Q$29,3,FALSE),1,0)</f>
        <v>0</v>
      </c>
      <c r="AD66">
        <f>IF(VLOOKUP(AD$1,main!$A$3:$H$102,5,FALSE)-VLOOKUP($A66,main!$A$3:$H$102,6,FALSE)&gt;=main!$D$103+VLOOKUP(VLOOKUP(AD$1,main!$A$3:$I$102,7,FALSE),main!$K$26:$Q$29,3,FALSE),1,0)</f>
        <v>0</v>
      </c>
      <c r="AE66">
        <f>IF(VLOOKUP(AE$1,main!$A$3:$H$102,5,FALSE)-VLOOKUP($A66,main!$A$3:$H$102,6,FALSE)&gt;=main!$D$103+VLOOKUP(VLOOKUP(AE$1,main!$A$3:$I$102,7,FALSE),main!$K$26:$Q$29,3,FALSE),1,0)</f>
        <v>0</v>
      </c>
      <c r="AF66">
        <f>IF(VLOOKUP(AF$1,main!$A$3:$H$102,5,FALSE)-VLOOKUP($A66,main!$A$3:$H$102,6,FALSE)&gt;=main!$D$103+VLOOKUP(VLOOKUP(AF$1,main!$A$3:$I$102,7,FALSE),main!$K$26:$Q$29,3,FALSE),1,0)</f>
        <v>1</v>
      </c>
      <c r="AG66">
        <f>IF(VLOOKUP(AG$1,main!$A$3:$H$102,5,FALSE)-VLOOKUP($A66,main!$A$3:$H$102,6,FALSE)&gt;=main!$D$103+VLOOKUP(VLOOKUP(AG$1,main!$A$3:$I$102,7,FALSE),main!$K$26:$Q$29,3,FALSE),1,0)</f>
        <v>0</v>
      </c>
      <c r="AH66">
        <f>IF(VLOOKUP(AH$1,main!$A$3:$H$102,5,FALSE)-VLOOKUP($A66,main!$A$3:$H$102,6,FALSE)&gt;=main!$D$103+VLOOKUP(VLOOKUP(AH$1,main!$A$3:$I$102,7,FALSE),main!$K$26:$Q$29,3,FALSE),1,0)</f>
        <v>0</v>
      </c>
      <c r="AI66">
        <f>IF(VLOOKUP(AI$1,main!$A$3:$H$102,5,FALSE)-VLOOKUP($A66,main!$A$3:$H$102,6,FALSE)&gt;=main!$D$103+VLOOKUP(VLOOKUP(AI$1,main!$A$3:$I$102,7,FALSE),main!$K$26:$Q$29,3,FALSE),1,0)</f>
        <v>0</v>
      </c>
      <c r="AJ66">
        <f>IF(VLOOKUP(AJ$1,main!$A$3:$H$102,5,FALSE)-VLOOKUP($A66,main!$A$3:$H$102,6,FALSE)&gt;=main!$D$103+VLOOKUP(VLOOKUP(AJ$1,main!$A$3:$I$102,7,FALSE),main!$K$26:$Q$29,3,FALSE),1,0)</f>
        <v>0</v>
      </c>
      <c r="AK66">
        <f>IF(VLOOKUP(AK$1,main!$A$3:$H$102,5,FALSE)-VLOOKUP($A66,main!$A$3:$H$102,6,FALSE)&gt;=main!$D$103+VLOOKUP(VLOOKUP(AK$1,main!$A$3:$I$102,7,FALSE),main!$K$26:$Q$29,3,FALSE),1,0)</f>
        <v>0</v>
      </c>
      <c r="AL66">
        <f>IF(VLOOKUP(AL$1,main!$A$3:$H$102,5,FALSE)-VLOOKUP($A66,main!$A$3:$H$102,6,FALSE)&gt;=main!$D$103+VLOOKUP(VLOOKUP(AL$1,main!$A$3:$I$102,7,FALSE),main!$K$26:$Q$29,3,FALSE),1,0)</f>
        <v>0</v>
      </c>
      <c r="AM66">
        <f>IF(VLOOKUP(AM$1,main!$A$3:$H$102,5,FALSE)-VLOOKUP($A66,main!$A$3:$H$102,6,FALSE)&gt;=main!$D$103+VLOOKUP(VLOOKUP(AM$1,main!$A$3:$I$102,7,FALSE),main!$K$26:$Q$29,3,FALSE),1,0)</f>
        <v>0</v>
      </c>
      <c r="AN66">
        <f>IF(VLOOKUP(AN$1,main!$A$3:$H$102,5,FALSE)-VLOOKUP($A66,main!$A$3:$H$102,6,FALSE)&gt;=main!$D$103+VLOOKUP(VLOOKUP(AN$1,main!$A$3:$I$102,7,FALSE),main!$K$26:$Q$29,3,FALSE),1,0)</f>
        <v>1</v>
      </c>
      <c r="AO66">
        <f>IF(VLOOKUP(AO$1,main!$A$3:$H$102,5,FALSE)-VLOOKUP($A66,main!$A$3:$H$102,6,FALSE)&gt;=main!$D$103+VLOOKUP(VLOOKUP(AO$1,main!$A$3:$I$102,7,FALSE),main!$K$26:$Q$29,3,FALSE),1,0)</f>
        <v>0</v>
      </c>
      <c r="AP66">
        <f>IF(VLOOKUP(AP$1,main!$A$3:$H$102,5,FALSE)-VLOOKUP($A66,main!$A$3:$H$102,6,FALSE)&gt;=main!$D$103+VLOOKUP(VLOOKUP(AP$1,main!$A$3:$I$102,7,FALSE),main!$K$26:$Q$29,3,FALSE),1,0)</f>
        <v>1</v>
      </c>
      <c r="AQ66">
        <f>IF(VLOOKUP(AQ$1,main!$A$3:$H$102,5,FALSE)-VLOOKUP($A66,main!$A$3:$H$102,6,FALSE)&gt;=main!$D$103+VLOOKUP(VLOOKUP(AQ$1,main!$A$3:$I$102,7,FALSE),main!$K$26:$Q$29,3,FALSE),1,0)</f>
        <v>0</v>
      </c>
      <c r="AR66">
        <f>IF(VLOOKUP(AR$1,main!$A$3:$H$102,5,FALSE)-VLOOKUP($A66,main!$A$3:$H$102,6,FALSE)&gt;=main!$D$103+VLOOKUP(VLOOKUP(AR$1,main!$A$3:$I$102,7,FALSE),main!$K$26:$Q$29,3,FALSE),1,0)</f>
        <v>0</v>
      </c>
      <c r="AS66">
        <f>IF(VLOOKUP(AS$1,main!$A$3:$H$102,5,FALSE)-VLOOKUP($A66,main!$A$3:$H$102,6,FALSE)&gt;=main!$D$103+VLOOKUP(VLOOKUP(AS$1,main!$A$3:$I$102,7,FALSE),main!$K$26:$Q$29,3,FALSE),1,0)</f>
        <v>0</v>
      </c>
      <c r="AT66">
        <f>IF(VLOOKUP(AT$1,main!$A$3:$H$102,5,FALSE)-VLOOKUP($A66,main!$A$3:$H$102,6,FALSE)&gt;=main!$D$103+VLOOKUP(VLOOKUP(AT$1,main!$A$3:$I$102,7,FALSE),main!$K$26:$Q$29,3,FALSE),1,0)</f>
        <v>0</v>
      </c>
      <c r="AU66">
        <f>IF(VLOOKUP(AU$1,main!$A$3:$H$102,5,FALSE)-VLOOKUP($A66,main!$A$3:$H$102,6,FALSE)&gt;=main!$D$103+VLOOKUP(VLOOKUP(AU$1,main!$A$3:$I$102,7,FALSE),main!$K$26:$Q$29,3,FALSE),1,0)</f>
        <v>0</v>
      </c>
      <c r="AV66">
        <f>IF(VLOOKUP(AV$1,main!$A$3:$H$102,5,FALSE)-VLOOKUP($A66,main!$A$3:$H$102,6,FALSE)&gt;=main!$D$103+VLOOKUP(VLOOKUP(AV$1,main!$A$3:$I$102,7,FALSE),main!$K$26:$Q$29,3,FALSE),1,0)</f>
        <v>0</v>
      </c>
      <c r="AW66">
        <f>IF(VLOOKUP(AW$1,main!$A$3:$H$102,5,FALSE)-VLOOKUP($A66,main!$A$3:$H$102,6,FALSE)&gt;=main!$D$103+VLOOKUP(VLOOKUP(AW$1,main!$A$3:$I$102,7,FALSE),main!$K$26:$Q$29,3,FALSE),1,0)</f>
        <v>0</v>
      </c>
      <c r="AX66">
        <f>IF(VLOOKUP(AX$1,main!$A$3:$H$102,5,FALSE)-VLOOKUP($A66,main!$A$3:$H$102,6,FALSE)&gt;=main!$D$103+VLOOKUP(VLOOKUP(AX$1,main!$A$3:$I$102,7,FALSE),main!$K$26:$Q$29,3,FALSE),1,0)</f>
        <v>0</v>
      </c>
      <c r="AY66">
        <f>IF(VLOOKUP(AY$1,main!$A$3:$H$102,5,FALSE)-VLOOKUP($A66,main!$A$3:$H$102,6,FALSE)&gt;=main!$D$103+VLOOKUP(VLOOKUP(AY$1,main!$A$3:$I$102,7,FALSE),main!$K$26:$Q$29,3,FALSE),1,0)</f>
        <v>0</v>
      </c>
      <c r="AZ66">
        <f>IF(VLOOKUP(AZ$1,main!$A$3:$H$102,5,FALSE)-VLOOKUP($A66,main!$A$3:$H$102,6,FALSE)&gt;=main!$D$103+VLOOKUP(VLOOKUP(AZ$1,main!$A$3:$I$102,7,FALSE),main!$K$26:$Q$29,3,FALSE),1,0)</f>
        <v>0</v>
      </c>
      <c r="BA66">
        <f>IF(VLOOKUP(BA$1,main!$A$3:$H$102,5,FALSE)-VLOOKUP($A66,main!$A$3:$H$102,6,FALSE)&gt;=main!$D$103+VLOOKUP(VLOOKUP(BA$1,main!$A$3:$I$102,7,FALSE),main!$K$26:$Q$29,3,FALSE),1,0)</f>
        <v>0</v>
      </c>
      <c r="BB66">
        <f>IF(VLOOKUP(BB$1,main!$A$3:$H$102,5,FALSE)-VLOOKUP($A66,main!$A$3:$H$102,6,FALSE)&gt;=main!$D$103+VLOOKUP(VLOOKUP(BB$1,main!$A$3:$I$102,7,FALSE),main!$K$26:$Q$29,3,FALSE),1,0)</f>
        <v>0</v>
      </c>
      <c r="BC66">
        <f>IF(VLOOKUP(BC$1,main!$A$3:$H$102,5,FALSE)-VLOOKUP($A66,main!$A$3:$H$102,6,FALSE)&gt;=main!$D$103+VLOOKUP(VLOOKUP(BC$1,main!$A$3:$I$102,7,FALSE),main!$K$26:$Q$29,3,FALSE),1,0)</f>
        <v>0</v>
      </c>
      <c r="BD66">
        <f>IF(VLOOKUP(BD$1,main!$A$3:$H$102,5,FALSE)-VLOOKUP($A66,main!$A$3:$H$102,6,FALSE)&gt;=main!$D$103+VLOOKUP(VLOOKUP(BD$1,main!$A$3:$I$102,7,FALSE),main!$K$26:$Q$29,3,FALSE),1,0)</f>
        <v>0</v>
      </c>
      <c r="BE66">
        <f>IF(VLOOKUP(BE$1,main!$A$3:$H$102,5,FALSE)-VLOOKUP($A66,main!$A$3:$H$102,6,FALSE)&gt;=main!$D$103+VLOOKUP(VLOOKUP(BE$1,main!$A$3:$I$102,7,FALSE),main!$K$26:$Q$29,3,FALSE),1,0)</f>
        <v>0</v>
      </c>
      <c r="BF66">
        <f>IF(VLOOKUP(BF$1,main!$A$3:$H$102,5,FALSE)-VLOOKUP($A66,main!$A$3:$H$102,6,FALSE)&gt;=main!$D$103+VLOOKUP(VLOOKUP(BF$1,main!$A$3:$I$102,7,FALSE),main!$K$26:$Q$29,3,FALSE),1,0)</f>
        <v>0</v>
      </c>
      <c r="BG66">
        <f>IF(VLOOKUP(BG$1,main!$A$3:$H$102,5,FALSE)-VLOOKUP($A66,main!$A$3:$H$102,6,FALSE)&gt;=main!$D$103+VLOOKUP(VLOOKUP(BG$1,main!$A$3:$I$102,7,FALSE),main!$K$26:$Q$29,3,FALSE),1,0)</f>
        <v>0</v>
      </c>
      <c r="BH66">
        <f>IF(VLOOKUP(BH$1,main!$A$3:$H$102,5,FALSE)-VLOOKUP($A66,main!$A$3:$H$102,6,FALSE)&gt;=main!$D$103+VLOOKUP(VLOOKUP(BH$1,main!$A$3:$I$102,7,FALSE),main!$K$26:$Q$29,3,FALSE),1,0)</f>
        <v>0</v>
      </c>
      <c r="BI66">
        <f>IF(VLOOKUP(BI$1,main!$A$3:$H$102,5,FALSE)-VLOOKUP($A66,main!$A$3:$H$102,6,FALSE)&gt;=main!$D$103+VLOOKUP(VLOOKUP(BI$1,main!$A$3:$I$102,7,FALSE),main!$K$26:$Q$29,3,FALSE),1,0)</f>
        <v>1</v>
      </c>
      <c r="BJ66">
        <f>IF(VLOOKUP(BJ$1,main!$A$3:$H$102,5,FALSE)-VLOOKUP($A66,main!$A$3:$H$102,6,FALSE)&gt;=main!$D$103+VLOOKUP(VLOOKUP(BJ$1,main!$A$3:$I$102,7,FALSE),main!$K$26:$Q$29,3,FALSE),1,0)</f>
        <v>0</v>
      </c>
      <c r="BK66">
        <f>IF(VLOOKUP(BK$1,main!$A$3:$H$102,5,FALSE)-VLOOKUP($A66,main!$A$3:$H$102,6,FALSE)&gt;=main!$D$103+VLOOKUP(VLOOKUP(BK$1,main!$A$3:$I$102,7,FALSE),main!$K$26:$Q$29,3,FALSE),1,0)</f>
        <v>0</v>
      </c>
      <c r="BL66">
        <f>IF(VLOOKUP(BL$1,main!$A$3:$H$102,5,FALSE)-VLOOKUP($A66,main!$A$3:$H$102,6,FALSE)&gt;=main!$D$103+VLOOKUP(VLOOKUP(BL$1,main!$A$3:$I$102,7,FALSE),main!$K$26:$Q$29,3,FALSE),1,0)</f>
        <v>0</v>
      </c>
      <c r="BM66">
        <f>IF(VLOOKUP(BM$1,main!$A$3:$H$102,5,FALSE)-VLOOKUP($A66,main!$A$3:$H$102,6,FALSE)&gt;=main!$D$103+VLOOKUP(VLOOKUP(BM$1,main!$A$3:$I$102,7,FALSE),main!$K$26:$Q$29,3,FALSE),1,0)</f>
        <v>0</v>
      </c>
      <c r="BN66">
        <f>IF(VLOOKUP(BN$1,main!$A$3:$H$102,5,FALSE)-VLOOKUP($A66,main!$A$3:$H$102,6,FALSE)&gt;=main!$D$103+VLOOKUP(VLOOKUP(BN$1,main!$A$3:$I$102,7,FALSE),main!$K$26:$Q$29,3,FALSE),1,0)</f>
        <v>0</v>
      </c>
      <c r="BO66">
        <f>IF(VLOOKUP(BO$1,main!$A$3:$H$102,5,FALSE)-VLOOKUP($A66,main!$A$3:$H$102,6,FALSE)&gt;=main!$D$103+VLOOKUP(VLOOKUP(BO$1,main!$A$3:$I$102,7,FALSE),main!$K$26:$Q$29,3,FALSE),1,0)</f>
        <v>0</v>
      </c>
      <c r="BP66">
        <f>IF(VLOOKUP(BP$1,main!$A$3:$H$102,5,FALSE)-VLOOKUP($A66,main!$A$3:$H$102,6,FALSE)&gt;=main!$D$103+VLOOKUP(VLOOKUP(BP$1,main!$A$3:$I$102,7,FALSE),main!$K$26:$Q$29,3,FALSE),1,0)</f>
        <v>0</v>
      </c>
      <c r="BQ66">
        <f>IF(VLOOKUP(BQ$1,main!$A$3:$H$102,5,FALSE)-VLOOKUP($A66,main!$A$3:$H$102,6,FALSE)&gt;=main!$D$103+VLOOKUP(VLOOKUP(BQ$1,main!$A$3:$I$102,7,FALSE),main!$K$26:$Q$29,3,FALSE),1,0)</f>
        <v>0</v>
      </c>
      <c r="BR66">
        <f>IF(VLOOKUP(BR$1,main!$A$3:$H$102,5,FALSE)-VLOOKUP($A66,main!$A$3:$H$102,6,FALSE)&gt;=main!$D$103+VLOOKUP(VLOOKUP(BR$1,main!$A$3:$I$102,7,FALSE),main!$K$26:$Q$29,3,FALSE),1,0)</f>
        <v>0</v>
      </c>
      <c r="BS66">
        <f>IF(VLOOKUP(BS$1,main!$A$3:$H$102,5,FALSE)-VLOOKUP($A66,main!$A$3:$H$102,6,FALSE)&gt;=main!$D$103+VLOOKUP(VLOOKUP(BS$1,main!$A$3:$I$102,7,FALSE),main!$K$26:$Q$29,3,FALSE),1,0)</f>
        <v>0</v>
      </c>
      <c r="BT66">
        <f>IF(VLOOKUP(BT$1,main!$A$3:$H$102,5,FALSE)-VLOOKUP($A66,main!$A$3:$H$102,6,FALSE)&gt;=main!$D$103+VLOOKUP(VLOOKUP(BT$1,main!$A$3:$I$102,7,FALSE),main!$K$26:$Q$29,3,FALSE),1,0)</f>
        <v>0</v>
      </c>
      <c r="BU66">
        <f>IF(VLOOKUP(BU$1,main!$A$3:$H$102,5,FALSE)-VLOOKUP($A66,main!$A$3:$H$102,6,FALSE)&gt;=main!$D$103+VLOOKUP(VLOOKUP(BU$1,main!$A$3:$I$102,7,FALSE),main!$K$26:$Q$29,3,FALSE),1,0)</f>
        <v>0</v>
      </c>
      <c r="BV66">
        <f>IF(VLOOKUP(BV$1,main!$A$3:$H$102,5,FALSE)-VLOOKUP($A66,main!$A$3:$H$102,6,FALSE)&gt;=main!$D$103+VLOOKUP(VLOOKUP(BV$1,main!$A$3:$I$102,7,FALSE),main!$K$26:$Q$29,3,FALSE),1,0)</f>
        <v>0</v>
      </c>
      <c r="BW66">
        <f>IF(VLOOKUP(BW$1,main!$A$3:$H$102,5,FALSE)-VLOOKUP($A66,main!$A$3:$H$102,6,FALSE)&gt;=main!$D$103+VLOOKUP(VLOOKUP(BW$1,main!$A$3:$I$102,7,FALSE),main!$K$26:$Q$29,3,FALSE),1,0)</f>
        <v>0</v>
      </c>
      <c r="BX66">
        <f>IF(VLOOKUP(BX$1,main!$A$3:$H$102,5,FALSE)-VLOOKUP($A66,main!$A$3:$H$102,6,FALSE)&gt;=main!$D$103+VLOOKUP(VLOOKUP(BX$1,main!$A$3:$I$102,7,FALSE),main!$K$26:$Q$29,3,FALSE),1,0)</f>
        <v>0</v>
      </c>
      <c r="BY66">
        <f>IF(VLOOKUP(BY$1,main!$A$3:$H$102,5,FALSE)-VLOOKUP($A66,main!$A$3:$H$102,6,FALSE)&gt;=main!$D$103+VLOOKUP(VLOOKUP(BY$1,main!$A$3:$I$102,7,FALSE),main!$K$26:$Q$29,3,FALSE),1,0)</f>
        <v>0</v>
      </c>
      <c r="BZ66">
        <f>IF(VLOOKUP(BZ$1,main!$A$3:$H$102,5,FALSE)-VLOOKUP($A66,main!$A$3:$H$102,6,FALSE)&gt;=main!$D$103+VLOOKUP(VLOOKUP(BZ$1,main!$A$3:$I$102,7,FALSE),main!$K$26:$Q$29,3,FALSE),1,0)</f>
        <v>0</v>
      </c>
      <c r="CA66">
        <f>IF(VLOOKUP(CA$1,main!$A$3:$H$102,5,FALSE)-VLOOKUP($A66,main!$A$3:$H$102,6,FALSE)&gt;=main!$D$103+VLOOKUP(VLOOKUP(CA$1,main!$A$3:$I$102,7,FALSE),main!$K$26:$Q$29,3,FALSE),1,0)</f>
        <v>0</v>
      </c>
      <c r="CB66">
        <f>IF(VLOOKUP(CB$1,main!$A$3:$H$102,5,FALSE)-VLOOKUP($A66,main!$A$3:$H$102,6,FALSE)&gt;=main!$D$103+VLOOKUP(VLOOKUP(CB$1,main!$A$3:$I$102,7,FALSE),main!$K$26:$Q$29,3,FALSE),1,0)</f>
        <v>0</v>
      </c>
      <c r="CC66">
        <f>IF(VLOOKUP(CC$1,main!$A$3:$H$102,5,FALSE)-VLOOKUP($A66,main!$A$3:$H$102,6,FALSE)&gt;=main!$D$103+VLOOKUP(VLOOKUP(CC$1,main!$A$3:$I$102,7,FALSE),main!$K$26:$Q$29,3,FALSE),1,0)</f>
        <v>1</v>
      </c>
      <c r="CD66">
        <f>IF(VLOOKUP(CD$1,main!$A$3:$H$102,5,FALSE)-VLOOKUP($A66,main!$A$3:$H$102,6,FALSE)&gt;=main!$D$103+VLOOKUP(VLOOKUP(CD$1,main!$A$3:$I$102,7,FALSE),main!$K$26:$Q$29,3,FALSE),1,0)</f>
        <v>0</v>
      </c>
      <c r="CE66">
        <f>IF(VLOOKUP(CE$1,main!$A$3:$H$102,5,FALSE)-VLOOKUP($A66,main!$A$3:$H$102,6,FALSE)&gt;=main!$D$103+VLOOKUP(VLOOKUP(CE$1,main!$A$3:$I$102,7,FALSE),main!$K$26:$Q$29,3,FALSE),1,0)</f>
        <v>0</v>
      </c>
      <c r="CF66">
        <f>IF(VLOOKUP(CF$1,main!$A$3:$H$102,5,FALSE)-VLOOKUP($A66,main!$A$3:$H$102,6,FALSE)&gt;=main!$D$103+VLOOKUP(VLOOKUP(CF$1,main!$A$3:$I$102,7,FALSE),main!$K$26:$Q$29,3,FALSE),1,0)</f>
        <v>0</v>
      </c>
      <c r="CG66">
        <f>IF(VLOOKUP(CG$1,main!$A$3:$H$102,5,FALSE)-VLOOKUP($A66,main!$A$3:$H$102,6,FALSE)&gt;=main!$D$103+VLOOKUP(VLOOKUP(CG$1,main!$A$3:$I$102,7,FALSE),main!$K$26:$Q$29,3,FALSE),1,0)</f>
        <v>0</v>
      </c>
      <c r="CH66">
        <f>IF(VLOOKUP(CH$1,main!$A$3:$H$102,5,FALSE)-VLOOKUP($A66,main!$A$3:$H$102,6,FALSE)&gt;=main!$D$103+VLOOKUP(VLOOKUP(CH$1,main!$A$3:$I$102,7,FALSE),main!$K$26:$Q$29,3,FALSE),1,0)</f>
        <v>0</v>
      </c>
      <c r="CI66">
        <f>IF(VLOOKUP(CI$1,main!$A$3:$H$102,5,FALSE)-VLOOKUP($A66,main!$A$3:$H$102,6,FALSE)&gt;=main!$D$103+VLOOKUP(VLOOKUP(CI$1,main!$A$3:$I$102,7,FALSE),main!$K$26:$Q$29,3,FALSE),1,0)</f>
        <v>1</v>
      </c>
      <c r="CJ66">
        <f>IF(VLOOKUP(CJ$1,main!$A$3:$H$102,5,FALSE)-VLOOKUP($A66,main!$A$3:$H$102,6,FALSE)&gt;=main!$D$103+VLOOKUP(VLOOKUP(CJ$1,main!$A$3:$I$102,7,FALSE),main!$K$26:$Q$29,3,FALSE),1,0)</f>
        <v>0</v>
      </c>
      <c r="CK66">
        <f>IF(VLOOKUP(CK$1,main!$A$3:$H$102,5,FALSE)-VLOOKUP($A66,main!$A$3:$H$102,6,FALSE)&gt;=main!$D$103+VLOOKUP(VLOOKUP(CK$1,main!$A$3:$I$102,7,FALSE),main!$K$26:$Q$29,3,FALSE),1,0)</f>
        <v>0</v>
      </c>
      <c r="CL66">
        <f>IF(VLOOKUP(CL$1,main!$A$3:$H$102,5,FALSE)-VLOOKUP($A66,main!$A$3:$H$102,6,FALSE)&gt;=main!$D$103+VLOOKUP(VLOOKUP(CL$1,main!$A$3:$I$102,7,FALSE),main!$K$26:$Q$29,3,FALSE),1,0)</f>
        <v>0</v>
      </c>
      <c r="CM66">
        <f>IF(VLOOKUP(CM$1,main!$A$3:$H$102,5,FALSE)-VLOOKUP($A66,main!$A$3:$H$102,6,FALSE)&gt;=main!$D$103+VLOOKUP(VLOOKUP(CM$1,main!$A$3:$I$102,7,FALSE),main!$K$26:$Q$29,3,FALSE),1,0)</f>
        <v>0</v>
      </c>
      <c r="CN66">
        <f>IF(VLOOKUP(CN$1,main!$A$3:$H$102,5,FALSE)-VLOOKUP($A66,main!$A$3:$H$102,6,FALSE)&gt;=main!$D$103+VLOOKUP(VLOOKUP(CN$1,main!$A$3:$I$102,7,FALSE),main!$K$26:$Q$29,3,FALSE),1,0)</f>
        <v>1</v>
      </c>
      <c r="CO66">
        <f>IF(VLOOKUP(CO$1,main!$A$3:$H$102,5,FALSE)-VLOOKUP($A66,main!$A$3:$H$102,6,FALSE)&gt;=main!$D$103+VLOOKUP(VLOOKUP(CO$1,main!$A$3:$I$102,7,FALSE),main!$K$26:$Q$29,3,FALSE),1,0)</f>
        <v>0</v>
      </c>
      <c r="CP66">
        <f>IF(VLOOKUP(CP$1,main!$A$3:$H$102,5,FALSE)-VLOOKUP($A66,main!$A$3:$H$102,6,FALSE)&gt;=main!$D$103+VLOOKUP(VLOOKUP(CP$1,main!$A$3:$I$102,7,FALSE),main!$K$26:$Q$29,3,FALSE),1,0)</f>
        <v>0</v>
      </c>
      <c r="CQ66">
        <f>IF(VLOOKUP(CQ$1,main!$A$3:$H$102,5,FALSE)-VLOOKUP($A66,main!$A$3:$H$102,6,FALSE)&gt;=main!$D$103+VLOOKUP(VLOOKUP(CQ$1,main!$A$3:$I$102,7,FALSE),main!$K$26:$Q$29,3,FALSE),1,0)</f>
        <v>0</v>
      </c>
      <c r="CR66">
        <f>IF(VLOOKUP(CR$1,main!$A$3:$H$102,5,FALSE)-VLOOKUP($A66,main!$A$3:$H$102,6,FALSE)&gt;=main!$D$103+VLOOKUP(VLOOKUP(CR$1,main!$A$3:$I$102,7,FALSE),main!$K$26:$Q$29,3,FALSE),1,0)</f>
        <v>0</v>
      </c>
      <c r="CS66">
        <f>IF(VLOOKUP(CS$1,main!$A$3:$H$102,5,FALSE)-VLOOKUP($A66,main!$A$3:$H$102,6,FALSE)&gt;=main!$D$103+VLOOKUP(VLOOKUP(CS$1,main!$A$3:$I$102,7,FALSE),main!$K$26:$Q$29,3,FALSE),1,0)</f>
        <v>0</v>
      </c>
      <c r="CT66">
        <f>IF(VLOOKUP(CT$1,main!$A$3:$H$102,5,FALSE)-VLOOKUP($A66,main!$A$3:$H$102,6,FALSE)&gt;=main!$D$103+VLOOKUP(VLOOKUP(CT$1,main!$A$3:$I$102,7,FALSE),main!$K$26:$Q$29,3,FALSE),1,0)</f>
        <v>0</v>
      </c>
      <c r="CU66">
        <f>IF(VLOOKUP(CU$1,main!$A$3:$H$102,5,FALSE)-VLOOKUP($A66,main!$A$3:$H$102,6,FALSE)&gt;=main!$D$103+VLOOKUP(VLOOKUP(CU$1,main!$A$3:$I$102,7,FALSE),main!$K$26:$Q$29,3,FALSE),1,0)</f>
        <v>0</v>
      </c>
      <c r="CV66">
        <f>IF(VLOOKUP(CV$1,main!$A$3:$H$102,5,FALSE)-VLOOKUP($A66,main!$A$3:$H$102,6,FALSE)&gt;=main!$D$103+VLOOKUP(VLOOKUP(CV$1,main!$A$3:$I$102,7,FALSE),main!$K$26:$Q$29,3,FALSE),1,0)</f>
        <v>0</v>
      </c>
      <c r="CW66">
        <f>IF(VLOOKUP(CW$1,main!$A$3:$H$102,5,FALSE)-VLOOKUP($A66,main!$A$3:$H$102,6,FALSE)&gt;=main!$D$103+VLOOKUP(VLOOKUP(CW$1,main!$A$3:$I$102,7,FALSE),main!$K$26:$Q$29,3,FALSE),1,0)</f>
        <v>0</v>
      </c>
      <c r="CX66">
        <f>IF(VLOOKUP(CX$1,main!$A$3:$H$102,5,FALSE)-VLOOKUP($A66,main!$A$3:$H$102,6,FALSE)&gt;=main!$D$103+VLOOKUP(VLOOKUP(CX$1,main!$A$3:$I$102,7,FALSE),main!$K$26:$Q$29,3,FALSE),1,0)</f>
        <v>0</v>
      </c>
    </row>
    <row r="67" spans="1:102" x14ac:dyDescent="0.25">
      <c r="A67" s="1">
        <v>65</v>
      </c>
      <c r="B67">
        <v>0</v>
      </c>
      <c r="C67">
        <f>IF(VLOOKUP(C$1,main!$A$3:$H$102,5,FALSE)-VLOOKUP($A67,main!$A$3:$H$102,6,FALSE)&gt;=main!$D$103+VLOOKUP(VLOOKUP(C$1,main!$A$3:$I$102,7,FALSE),main!$K$26:$Q$29,3,FALSE),1,0)</f>
        <v>0</v>
      </c>
      <c r="D67">
        <f>IF(VLOOKUP(D$1,main!$A$3:$H$102,5,FALSE)-VLOOKUP($A67,main!$A$3:$H$102,6,FALSE)&gt;=main!$D$103+VLOOKUP(VLOOKUP(D$1,main!$A$3:$I$102,7,FALSE),main!$K$26:$Q$29,3,FALSE),1,0)</f>
        <v>0</v>
      </c>
      <c r="E67">
        <f>IF(VLOOKUP(E$1,main!$A$3:$H$102,5,FALSE)-VLOOKUP($A67,main!$A$3:$H$102,6,FALSE)&gt;=main!$D$103+VLOOKUP(VLOOKUP(E$1,main!$A$3:$I$102,7,FALSE),main!$K$26:$Q$29,3,FALSE),1,0)</f>
        <v>1</v>
      </c>
      <c r="F67">
        <f>IF(VLOOKUP(F$1,main!$A$3:$H$102,5,FALSE)-VLOOKUP($A67,main!$A$3:$H$102,6,FALSE)&gt;=main!$D$103+VLOOKUP(VLOOKUP(F$1,main!$A$3:$I$102,7,FALSE),main!$K$26:$Q$29,3,FALSE),1,0)</f>
        <v>1</v>
      </c>
      <c r="G67">
        <f>IF(VLOOKUP(G$1,main!$A$3:$H$102,5,FALSE)-VLOOKUP($A67,main!$A$3:$H$102,6,FALSE)&gt;=main!$D$103+VLOOKUP(VLOOKUP(G$1,main!$A$3:$I$102,7,FALSE),main!$K$26:$Q$29,3,FALSE),1,0)</f>
        <v>1</v>
      </c>
      <c r="H67">
        <f>IF(VLOOKUP(H$1,main!$A$3:$H$102,5,FALSE)-VLOOKUP($A67,main!$A$3:$H$102,6,FALSE)&gt;=main!$D$103+VLOOKUP(VLOOKUP(H$1,main!$A$3:$I$102,7,FALSE),main!$K$26:$Q$29,3,FALSE),1,0)</f>
        <v>1</v>
      </c>
      <c r="I67">
        <f>IF(VLOOKUP(I$1,main!$A$3:$H$102,5,FALSE)-VLOOKUP($A67,main!$A$3:$H$102,6,FALSE)&gt;=main!$D$103+VLOOKUP(VLOOKUP(I$1,main!$A$3:$I$102,7,FALSE),main!$K$26:$Q$29,3,FALSE),1,0)</f>
        <v>1</v>
      </c>
      <c r="J67">
        <f>IF(VLOOKUP(J$1,main!$A$3:$H$102,5,FALSE)-VLOOKUP($A67,main!$A$3:$H$102,6,FALSE)&gt;=main!$D$103+VLOOKUP(VLOOKUP(J$1,main!$A$3:$I$102,7,FALSE),main!$K$26:$Q$29,3,FALSE),1,0)</f>
        <v>1</v>
      </c>
      <c r="K67">
        <f>IF(VLOOKUP(K$1,main!$A$3:$H$102,5,FALSE)-VLOOKUP($A67,main!$A$3:$H$102,6,FALSE)&gt;=main!$D$103+VLOOKUP(VLOOKUP(K$1,main!$A$3:$I$102,7,FALSE),main!$K$26:$Q$29,3,FALSE),1,0)</f>
        <v>1</v>
      </c>
      <c r="L67">
        <f>IF(VLOOKUP(L$1,main!$A$3:$H$102,5,FALSE)-VLOOKUP($A67,main!$A$3:$H$102,6,FALSE)&gt;=main!$D$103+VLOOKUP(VLOOKUP(L$1,main!$A$3:$I$102,7,FALSE),main!$K$26:$Q$29,3,FALSE),1,0)</f>
        <v>1</v>
      </c>
      <c r="M67">
        <f>IF(VLOOKUP(M$1,main!$A$3:$H$102,5,FALSE)-VLOOKUP($A67,main!$A$3:$H$102,6,FALSE)&gt;=main!$D$103+VLOOKUP(VLOOKUP(M$1,main!$A$3:$I$102,7,FALSE),main!$K$26:$Q$29,3,FALSE),1,0)</f>
        <v>0</v>
      </c>
      <c r="N67">
        <f>IF(VLOOKUP(N$1,main!$A$3:$H$102,5,FALSE)-VLOOKUP($A67,main!$A$3:$H$102,6,FALSE)&gt;=main!$D$103+VLOOKUP(VLOOKUP(N$1,main!$A$3:$I$102,7,FALSE),main!$K$26:$Q$29,3,FALSE),1,0)</f>
        <v>0</v>
      </c>
      <c r="O67">
        <f>IF(VLOOKUP(O$1,main!$A$3:$H$102,5,FALSE)-VLOOKUP($A67,main!$A$3:$H$102,6,FALSE)&gt;=main!$D$103+VLOOKUP(VLOOKUP(O$1,main!$A$3:$I$102,7,FALSE),main!$K$26:$Q$29,3,FALSE),1,0)</f>
        <v>1</v>
      </c>
      <c r="P67">
        <f>IF(VLOOKUP(P$1,main!$A$3:$H$102,5,FALSE)-VLOOKUP($A67,main!$A$3:$H$102,6,FALSE)&gt;=main!$D$103+VLOOKUP(VLOOKUP(P$1,main!$A$3:$I$102,7,FALSE),main!$K$26:$Q$29,3,FALSE),1,0)</f>
        <v>1</v>
      </c>
      <c r="Q67">
        <f>IF(VLOOKUP(Q$1,main!$A$3:$H$102,5,FALSE)-VLOOKUP($A67,main!$A$3:$H$102,6,FALSE)&gt;=main!$D$103+VLOOKUP(VLOOKUP(Q$1,main!$A$3:$I$102,7,FALSE),main!$K$26:$Q$29,3,FALSE),1,0)</f>
        <v>1</v>
      </c>
      <c r="R67">
        <f>IF(VLOOKUP(R$1,main!$A$3:$H$102,5,FALSE)-VLOOKUP($A67,main!$A$3:$H$102,6,FALSE)&gt;=main!$D$103+VLOOKUP(VLOOKUP(R$1,main!$A$3:$I$102,7,FALSE),main!$K$26:$Q$29,3,FALSE),1,0)</f>
        <v>1</v>
      </c>
      <c r="S67">
        <f>IF(VLOOKUP(S$1,main!$A$3:$H$102,5,FALSE)-VLOOKUP($A67,main!$A$3:$H$102,6,FALSE)&gt;=main!$D$103+VLOOKUP(VLOOKUP(S$1,main!$A$3:$I$102,7,FALSE),main!$K$26:$Q$29,3,FALSE),1,0)</f>
        <v>1</v>
      </c>
      <c r="T67">
        <f>IF(VLOOKUP(T$1,main!$A$3:$H$102,5,FALSE)-VLOOKUP($A67,main!$A$3:$H$102,6,FALSE)&gt;=main!$D$103+VLOOKUP(VLOOKUP(T$1,main!$A$3:$I$102,7,FALSE),main!$K$26:$Q$29,3,FALSE),1,0)</f>
        <v>1</v>
      </c>
      <c r="U67">
        <f>IF(VLOOKUP(U$1,main!$A$3:$H$102,5,FALSE)-VLOOKUP($A67,main!$A$3:$H$102,6,FALSE)&gt;=main!$D$103+VLOOKUP(VLOOKUP(U$1,main!$A$3:$I$102,7,FALSE),main!$K$26:$Q$29,3,FALSE),1,0)</f>
        <v>1</v>
      </c>
      <c r="V67">
        <f>IF(VLOOKUP(V$1,main!$A$3:$H$102,5,FALSE)-VLOOKUP($A67,main!$A$3:$H$102,6,FALSE)&gt;=main!$D$103+VLOOKUP(VLOOKUP(V$1,main!$A$3:$I$102,7,FALSE),main!$K$26:$Q$29,3,FALSE),1,0)</f>
        <v>1</v>
      </c>
      <c r="W67">
        <f>IF(VLOOKUP(W$1,main!$A$3:$H$102,5,FALSE)-VLOOKUP($A67,main!$A$3:$H$102,6,FALSE)&gt;=main!$D$103+VLOOKUP(VLOOKUP(W$1,main!$A$3:$I$102,7,FALSE),main!$K$26:$Q$29,3,FALSE),1,0)</f>
        <v>0</v>
      </c>
      <c r="X67">
        <f>IF(VLOOKUP(X$1,main!$A$3:$H$102,5,FALSE)-VLOOKUP($A67,main!$A$3:$H$102,6,FALSE)&gt;=main!$D$103+VLOOKUP(VLOOKUP(X$1,main!$A$3:$I$102,7,FALSE),main!$K$26:$Q$29,3,FALSE),1,0)</f>
        <v>1</v>
      </c>
      <c r="Y67">
        <f>IF(VLOOKUP(Y$1,main!$A$3:$H$102,5,FALSE)-VLOOKUP($A67,main!$A$3:$H$102,6,FALSE)&gt;=main!$D$103+VLOOKUP(VLOOKUP(Y$1,main!$A$3:$I$102,7,FALSE),main!$K$26:$Q$29,3,FALSE),1,0)</f>
        <v>1</v>
      </c>
      <c r="Z67">
        <f>IF(VLOOKUP(Z$1,main!$A$3:$H$102,5,FALSE)-VLOOKUP($A67,main!$A$3:$H$102,6,FALSE)&gt;=main!$D$103+VLOOKUP(VLOOKUP(Z$1,main!$A$3:$I$102,7,FALSE),main!$K$26:$Q$29,3,FALSE),1,0)</f>
        <v>1</v>
      </c>
      <c r="AA67">
        <f>IF(VLOOKUP(AA$1,main!$A$3:$H$102,5,FALSE)-VLOOKUP($A67,main!$A$3:$H$102,6,FALSE)&gt;=main!$D$103+VLOOKUP(VLOOKUP(AA$1,main!$A$3:$I$102,7,FALSE),main!$K$26:$Q$29,3,FALSE),1,0)</f>
        <v>1</v>
      </c>
      <c r="AB67">
        <f>IF(VLOOKUP(AB$1,main!$A$3:$H$102,5,FALSE)-VLOOKUP($A67,main!$A$3:$H$102,6,FALSE)&gt;=main!$D$103+VLOOKUP(VLOOKUP(AB$1,main!$A$3:$I$102,7,FALSE),main!$K$26:$Q$29,3,FALSE),1,0)</f>
        <v>0</v>
      </c>
      <c r="AC67">
        <f>IF(VLOOKUP(AC$1,main!$A$3:$H$102,5,FALSE)-VLOOKUP($A67,main!$A$3:$H$102,6,FALSE)&gt;=main!$D$103+VLOOKUP(VLOOKUP(AC$1,main!$A$3:$I$102,7,FALSE),main!$K$26:$Q$29,3,FALSE),1,0)</f>
        <v>0</v>
      </c>
      <c r="AD67">
        <f>IF(VLOOKUP(AD$1,main!$A$3:$H$102,5,FALSE)-VLOOKUP($A67,main!$A$3:$H$102,6,FALSE)&gt;=main!$D$103+VLOOKUP(VLOOKUP(AD$1,main!$A$3:$I$102,7,FALSE),main!$K$26:$Q$29,3,FALSE),1,0)</f>
        <v>1</v>
      </c>
      <c r="AE67">
        <f>IF(VLOOKUP(AE$1,main!$A$3:$H$102,5,FALSE)-VLOOKUP($A67,main!$A$3:$H$102,6,FALSE)&gt;=main!$D$103+VLOOKUP(VLOOKUP(AE$1,main!$A$3:$I$102,7,FALSE),main!$K$26:$Q$29,3,FALSE),1,0)</f>
        <v>1</v>
      </c>
      <c r="AF67">
        <f>IF(VLOOKUP(AF$1,main!$A$3:$H$102,5,FALSE)-VLOOKUP($A67,main!$A$3:$H$102,6,FALSE)&gt;=main!$D$103+VLOOKUP(VLOOKUP(AF$1,main!$A$3:$I$102,7,FALSE),main!$K$26:$Q$29,3,FALSE),1,0)</f>
        <v>1</v>
      </c>
      <c r="AG67">
        <f>IF(VLOOKUP(AG$1,main!$A$3:$H$102,5,FALSE)-VLOOKUP($A67,main!$A$3:$H$102,6,FALSE)&gt;=main!$D$103+VLOOKUP(VLOOKUP(AG$1,main!$A$3:$I$102,7,FALSE),main!$K$26:$Q$29,3,FALSE),1,0)</f>
        <v>0</v>
      </c>
      <c r="AH67">
        <f>IF(VLOOKUP(AH$1,main!$A$3:$H$102,5,FALSE)-VLOOKUP($A67,main!$A$3:$H$102,6,FALSE)&gt;=main!$D$103+VLOOKUP(VLOOKUP(AH$1,main!$A$3:$I$102,7,FALSE),main!$K$26:$Q$29,3,FALSE),1,0)</f>
        <v>1</v>
      </c>
      <c r="AI67">
        <f>IF(VLOOKUP(AI$1,main!$A$3:$H$102,5,FALSE)-VLOOKUP($A67,main!$A$3:$H$102,6,FALSE)&gt;=main!$D$103+VLOOKUP(VLOOKUP(AI$1,main!$A$3:$I$102,7,FALSE),main!$K$26:$Q$29,3,FALSE),1,0)</f>
        <v>1</v>
      </c>
      <c r="AJ67">
        <f>IF(VLOOKUP(AJ$1,main!$A$3:$H$102,5,FALSE)-VLOOKUP($A67,main!$A$3:$H$102,6,FALSE)&gt;=main!$D$103+VLOOKUP(VLOOKUP(AJ$1,main!$A$3:$I$102,7,FALSE),main!$K$26:$Q$29,3,FALSE),1,0)</f>
        <v>1</v>
      </c>
      <c r="AK67">
        <f>IF(VLOOKUP(AK$1,main!$A$3:$H$102,5,FALSE)-VLOOKUP($A67,main!$A$3:$H$102,6,FALSE)&gt;=main!$D$103+VLOOKUP(VLOOKUP(AK$1,main!$A$3:$I$102,7,FALSE),main!$K$26:$Q$29,3,FALSE),1,0)</f>
        <v>1</v>
      </c>
      <c r="AL67">
        <f>IF(VLOOKUP(AL$1,main!$A$3:$H$102,5,FALSE)-VLOOKUP($A67,main!$A$3:$H$102,6,FALSE)&gt;=main!$D$103+VLOOKUP(VLOOKUP(AL$1,main!$A$3:$I$102,7,FALSE),main!$K$26:$Q$29,3,FALSE),1,0)</f>
        <v>1</v>
      </c>
      <c r="AM67">
        <f>IF(VLOOKUP(AM$1,main!$A$3:$H$102,5,FALSE)-VLOOKUP($A67,main!$A$3:$H$102,6,FALSE)&gt;=main!$D$103+VLOOKUP(VLOOKUP(AM$1,main!$A$3:$I$102,7,FALSE),main!$K$26:$Q$29,3,FALSE),1,0)</f>
        <v>1</v>
      </c>
      <c r="AN67">
        <f>IF(VLOOKUP(AN$1,main!$A$3:$H$102,5,FALSE)-VLOOKUP($A67,main!$A$3:$H$102,6,FALSE)&gt;=main!$D$103+VLOOKUP(VLOOKUP(AN$1,main!$A$3:$I$102,7,FALSE),main!$K$26:$Q$29,3,FALSE),1,0)</f>
        <v>1</v>
      </c>
      <c r="AO67">
        <f>IF(VLOOKUP(AO$1,main!$A$3:$H$102,5,FALSE)-VLOOKUP($A67,main!$A$3:$H$102,6,FALSE)&gt;=main!$D$103+VLOOKUP(VLOOKUP(AO$1,main!$A$3:$I$102,7,FALSE),main!$K$26:$Q$29,3,FALSE),1,0)</f>
        <v>0</v>
      </c>
      <c r="AP67">
        <f>IF(VLOOKUP(AP$1,main!$A$3:$H$102,5,FALSE)-VLOOKUP($A67,main!$A$3:$H$102,6,FALSE)&gt;=main!$D$103+VLOOKUP(VLOOKUP(AP$1,main!$A$3:$I$102,7,FALSE),main!$K$26:$Q$29,3,FALSE),1,0)</f>
        <v>1</v>
      </c>
      <c r="AQ67">
        <f>IF(VLOOKUP(AQ$1,main!$A$3:$H$102,5,FALSE)-VLOOKUP($A67,main!$A$3:$H$102,6,FALSE)&gt;=main!$D$103+VLOOKUP(VLOOKUP(AQ$1,main!$A$3:$I$102,7,FALSE),main!$K$26:$Q$29,3,FALSE),1,0)</f>
        <v>0</v>
      </c>
      <c r="AR67">
        <f>IF(VLOOKUP(AR$1,main!$A$3:$H$102,5,FALSE)-VLOOKUP($A67,main!$A$3:$H$102,6,FALSE)&gt;=main!$D$103+VLOOKUP(VLOOKUP(AR$1,main!$A$3:$I$102,7,FALSE),main!$K$26:$Q$29,3,FALSE),1,0)</f>
        <v>0</v>
      </c>
      <c r="AS67">
        <f>IF(VLOOKUP(AS$1,main!$A$3:$H$102,5,FALSE)-VLOOKUP($A67,main!$A$3:$H$102,6,FALSE)&gt;=main!$D$103+VLOOKUP(VLOOKUP(AS$1,main!$A$3:$I$102,7,FALSE),main!$K$26:$Q$29,3,FALSE),1,0)</f>
        <v>1</v>
      </c>
      <c r="AT67">
        <f>IF(VLOOKUP(AT$1,main!$A$3:$H$102,5,FALSE)-VLOOKUP($A67,main!$A$3:$H$102,6,FALSE)&gt;=main!$D$103+VLOOKUP(VLOOKUP(AT$1,main!$A$3:$I$102,7,FALSE),main!$K$26:$Q$29,3,FALSE),1,0)</f>
        <v>1</v>
      </c>
      <c r="AU67">
        <f>IF(VLOOKUP(AU$1,main!$A$3:$H$102,5,FALSE)-VLOOKUP($A67,main!$A$3:$H$102,6,FALSE)&gt;=main!$D$103+VLOOKUP(VLOOKUP(AU$1,main!$A$3:$I$102,7,FALSE),main!$K$26:$Q$29,3,FALSE),1,0)</f>
        <v>0</v>
      </c>
      <c r="AV67">
        <f>IF(VLOOKUP(AV$1,main!$A$3:$H$102,5,FALSE)-VLOOKUP($A67,main!$A$3:$H$102,6,FALSE)&gt;=main!$D$103+VLOOKUP(VLOOKUP(AV$1,main!$A$3:$I$102,7,FALSE),main!$K$26:$Q$29,3,FALSE),1,0)</f>
        <v>0</v>
      </c>
      <c r="AW67">
        <f>IF(VLOOKUP(AW$1,main!$A$3:$H$102,5,FALSE)-VLOOKUP($A67,main!$A$3:$H$102,6,FALSE)&gt;=main!$D$103+VLOOKUP(VLOOKUP(AW$1,main!$A$3:$I$102,7,FALSE),main!$K$26:$Q$29,3,FALSE),1,0)</f>
        <v>1</v>
      </c>
      <c r="AX67">
        <f>IF(VLOOKUP(AX$1,main!$A$3:$H$102,5,FALSE)-VLOOKUP($A67,main!$A$3:$H$102,6,FALSE)&gt;=main!$D$103+VLOOKUP(VLOOKUP(AX$1,main!$A$3:$I$102,7,FALSE),main!$K$26:$Q$29,3,FALSE),1,0)</f>
        <v>1</v>
      </c>
      <c r="AY67">
        <f>IF(VLOOKUP(AY$1,main!$A$3:$H$102,5,FALSE)-VLOOKUP($A67,main!$A$3:$H$102,6,FALSE)&gt;=main!$D$103+VLOOKUP(VLOOKUP(AY$1,main!$A$3:$I$102,7,FALSE),main!$K$26:$Q$29,3,FALSE),1,0)</f>
        <v>1</v>
      </c>
      <c r="AZ67">
        <f>IF(VLOOKUP(AZ$1,main!$A$3:$H$102,5,FALSE)-VLOOKUP($A67,main!$A$3:$H$102,6,FALSE)&gt;=main!$D$103+VLOOKUP(VLOOKUP(AZ$1,main!$A$3:$I$102,7,FALSE),main!$K$26:$Q$29,3,FALSE),1,0)</f>
        <v>1</v>
      </c>
      <c r="BA67">
        <f>IF(VLOOKUP(BA$1,main!$A$3:$H$102,5,FALSE)-VLOOKUP($A67,main!$A$3:$H$102,6,FALSE)&gt;=main!$D$103+VLOOKUP(VLOOKUP(BA$1,main!$A$3:$I$102,7,FALSE),main!$K$26:$Q$29,3,FALSE),1,0)</f>
        <v>0</v>
      </c>
      <c r="BB67">
        <f>IF(VLOOKUP(BB$1,main!$A$3:$H$102,5,FALSE)-VLOOKUP($A67,main!$A$3:$H$102,6,FALSE)&gt;=main!$D$103+VLOOKUP(VLOOKUP(BB$1,main!$A$3:$I$102,7,FALSE),main!$K$26:$Q$29,3,FALSE),1,0)</f>
        <v>1</v>
      </c>
      <c r="BC67">
        <f>IF(VLOOKUP(BC$1,main!$A$3:$H$102,5,FALSE)-VLOOKUP($A67,main!$A$3:$H$102,6,FALSE)&gt;=main!$D$103+VLOOKUP(VLOOKUP(BC$1,main!$A$3:$I$102,7,FALSE),main!$K$26:$Q$29,3,FALSE),1,0)</f>
        <v>1</v>
      </c>
      <c r="BD67">
        <f>IF(VLOOKUP(BD$1,main!$A$3:$H$102,5,FALSE)-VLOOKUP($A67,main!$A$3:$H$102,6,FALSE)&gt;=main!$D$103+VLOOKUP(VLOOKUP(BD$1,main!$A$3:$I$102,7,FALSE),main!$K$26:$Q$29,3,FALSE),1,0)</f>
        <v>1</v>
      </c>
      <c r="BE67">
        <f>IF(VLOOKUP(BE$1,main!$A$3:$H$102,5,FALSE)-VLOOKUP($A67,main!$A$3:$H$102,6,FALSE)&gt;=main!$D$103+VLOOKUP(VLOOKUP(BE$1,main!$A$3:$I$102,7,FALSE),main!$K$26:$Q$29,3,FALSE),1,0)</f>
        <v>1</v>
      </c>
      <c r="BF67">
        <f>IF(VLOOKUP(BF$1,main!$A$3:$H$102,5,FALSE)-VLOOKUP($A67,main!$A$3:$H$102,6,FALSE)&gt;=main!$D$103+VLOOKUP(VLOOKUP(BF$1,main!$A$3:$I$102,7,FALSE),main!$K$26:$Q$29,3,FALSE),1,0)</f>
        <v>0</v>
      </c>
      <c r="BG67">
        <f>IF(VLOOKUP(BG$1,main!$A$3:$H$102,5,FALSE)-VLOOKUP($A67,main!$A$3:$H$102,6,FALSE)&gt;=main!$D$103+VLOOKUP(VLOOKUP(BG$1,main!$A$3:$I$102,7,FALSE),main!$K$26:$Q$29,3,FALSE),1,0)</f>
        <v>1</v>
      </c>
      <c r="BH67">
        <f>IF(VLOOKUP(BH$1,main!$A$3:$H$102,5,FALSE)-VLOOKUP($A67,main!$A$3:$H$102,6,FALSE)&gt;=main!$D$103+VLOOKUP(VLOOKUP(BH$1,main!$A$3:$I$102,7,FALSE),main!$K$26:$Q$29,3,FALSE),1,0)</f>
        <v>1</v>
      </c>
      <c r="BI67">
        <f>IF(VLOOKUP(BI$1,main!$A$3:$H$102,5,FALSE)-VLOOKUP($A67,main!$A$3:$H$102,6,FALSE)&gt;=main!$D$103+VLOOKUP(VLOOKUP(BI$1,main!$A$3:$I$102,7,FALSE),main!$K$26:$Q$29,3,FALSE),1,0)</f>
        <v>1</v>
      </c>
      <c r="BJ67">
        <f>IF(VLOOKUP(BJ$1,main!$A$3:$H$102,5,FALSE)-VLOOKUP($A67,main!$A$3:$H$102,6,FALSE)&gt;=main!$D$103+VLOOKUP(VLOOKUP(BJ$1,main!$A$3:$I$102,7,FALSE),main!$K$26:$Q$29,3,FALSE),1,0)</f>
        <v>1</v>
      </c>
      <c r="BK67">
        <f>IF(VLOOKUP(BK$1,main!$A$3:$H$102,5,FALSE)-VLOOKUP($A67,main!$A$3:$H$102,6,FALSE)&gt;=main!$D$103+VLOOKUP(VLOOKUP(BK$1,main!$A$3:$I$102,7,FALSE),main!$K$26:$Q$29,3,FALSE),1,0)</f>
        <v>0</v>
      </c>
      <c r="BL67">
        <f>IF(VLOOKUP(BL$1,main!$A$3:$H$102,5,FALSE)-VLOOKUP($A67,main!$A$3:$H$102,6,FALSE)&gt;=main!$D$103+VLOOKUP(VLOOKUP(BL$1,main!$A$3:$I$102,7,FALSE),main!$K$26:$Q$29,3,FALSE),1,0)</f>
        <v>0</v>
      </c>
      <c r="BM67">
        <f>IF(VLOOKUP(BM$1,main!$A$3:$H$102,5,FALSE)-VLOOKUP($A67,main!$A$3:$H$102,6,FALSE)&gt;=main!$D$103+VLOOKUP(VLOOKUP(BM$1,main!$A$3:$I$102,7,FALSE),main!$K$26:$Q$29,3,FALSE),1,0)</f>
        <v>1</v>
      </c>
      <c r="BN67">
        <f>IF(VLOOKUP(BN$1,main!$A$3:$H$102,5,FALSE)-VLOOKUP($A67,main!$A$3:$H$102,6,FALSE)&gt;=main!$D$103+VLOOKUP(VLOOKUP(BN$1,main!$A$3:$I$102,7,FALSE),main!$K$26:$Q$29,3,FALSE),1,0)</f>
        <v>1</v>
      </c>
      <c r="BO67">
        <f>IF(VLOOKUP(BO$1,main!$A$3:$H$102,5,FALSE)-VLOOKUP($A67,main!$A$3:$H$102,6,FALSE)&gt;=main!$D$103+VLOOKUP(VLOOKUP(BO$1,main!$A$3:$I$102,7,FALSE),main!$K$26:$Q$29,3,FALSE),1,0)</f>
        <v>0</v>
      </c>
      <c r="BP67">
        <f>IF(VLOOKUP(BP$1,main!$A$3:$H$102,5,FALSE)-VLOOKUP($A67,main!$A$3:$H$102,6,FALSE)&gt;=main!$D$103+VLOOKUP(VLOOKUP(BP$1,main!$A$3:$I$102,7,FALSE),main!$K$26:$Q$29,3,FALSE),1,0)</f>
        <v>0</v>
      </c>
      <c r="BQ67">
        <f>IF(VLOOKUP(BQ$1,main!$A$3:$H$102,5,FALSE)-VLOOKUP($A67,main!$A$3:$H$102,6,FALSE)&gt;=main!$D$103+VLOOKUP(VLOOKUP(BQ$1,main!$A$3:$I$102,7,FALSE),main!$K$26:$Q$29,3,FALSE),1,0)</f>
        <v>1</v>
      </c>
      <c r="BR67">
        <f>IF(VLOOKUP(BR$1,main!$A$3:$H$102,5,FALSE)-VLOOKUP($A67,main!$A$3:$H$102,6,FALSE)&gt;=main!$D$103+VLOOKUP(VLOOKUP(BR$1,main!$A$3:$I$102,7,FALSE),main!$K$26:$Q$29,3,FALSE),1,0)</f>
        <v>1</v>
      </c>
      <c r="BS67">
        <f>IF(VLOOKUP(BS$1,main!$A$3:$H$102,5,FALSE)-VLOOKUP($A67,main!$A$3:$H$102,6,FALSE)&gt;=main!$D$103+VLOOKUP(VLOOKUP(BS$1,main!$A$3:$I$102,7,FALSE),main!$K$26:$Q$29,3,FALSE),1,0)</f>
        <v>1</v>
      </c>
      <c r="BT67">
        <f>IF(VLOOKUP(BT$1,main!$A$3:$H$102,5,FALSE)-VLOOKUP($A67,main!$A$3:$H$102,6,FALSE)&gt;=main!$D$103+VLOOKUP(VLOOKUP(BT$1,main!$A$3:$I$102,7,FALSE),main!$K$26:$Q$29,3,FALSE),1,0)</f>
        <v>1</v>
      </c>
      <c r="BU67">
        <f>IF(VLOOKUP(BU$1,main!$A$3:$H$102,5,FALSE)-VLOOKUP($A67,main!$A$3:$H$102,6,FALSE)&gt;=main!$D$103+VLOOKUP(VLOOKUP(BU$1,main!$A$3:$I$102,7,FALSE),main!$K$26:$Q$29,3,FALSE),1,0)</f>
        <v>0</v>
      </c>
      <c r="BV67">
        <f>IF(VLOOKUP(BV$1,main!$A$3:$H$102,5,FALSE)-VLOOKUP($A67,main!$A$3:$H$102,6,FALSE)&gt;=main!$D$103+VLOOKUP(VLOOKUP(BV$1,main!$A$3:$I$102,7,FALSE),main!$K$26:$Q$29,3,FALSE),1,0)</f>
        <v>0</v>
      </c>
      <c r="BW67">
        <f>IF(VLOOKUP(BW$1,main!$A$3:$H$102,5,FALSE)-VLOOKUP($A67,main!$A$3:$H$102,6,FALSE)&gt;=main!$D$103+VLOOKUP(VLOOKUP(BW$1,main!$A$3:$I$102,7,FALSE),main!$K$26:$Q$29,3,FALSE),1,0)</f>
        <v>1</v>
      </c>
      <c r="BX67">
        <f>IF(VLOOKUP(BX$1,main!$A$3:$H$102,5,FALSE)-VLOOKUP($A67,main!$A$3:$H$102,6,FALSE)&gt;=main!$D$103+VLOOKUP(VLOOKUP(BX$1,main!$A$3:$I$102,7,FALSE),main!$K$26:$Q$29,3,FALSE),1,0)</f>
        <v>1</v>
      </c>
      <c r="BY67">
        <f>IF(VLOOKUP(BY$1,main!$A$3:$H$102,5,FALSE)-VLOOKUP($A67,main!$A$3:$H$102,6,FALSE)&gt;=main!$D$103+VLOOKUP(VLOOKUP(BY$1,main!$A$3:$I$102,7,FALSE),main!$K$26:$Q$29,3,FALSE),1,0)</f>
        <v>1</v>
      </c>
      <c r="BZ67">
        <f>IF(VLOOKUP(BZ$1,main!$A$3:$H$102,5,FALSE)-VLOOKUP($A67,main!$A$3:$H$102,6,FALSE)&gt;=main!$D$103+VLOOKUP(VLOOKUP(BZ$1,main!$A$3:$I$102,7,FALSE),main!$K$26:$Q$29,3,FALSE),1,0)</f>
        <v>0</v>
      </c>
      <c r="CA67">
        <f>IF(VLOOKUP(CA$1,main!$A$3:$H$102,5,FALSE)-VLOOKUP($A67,main!$A$3:$H$102,6,FALSE)&gt;=main!$D$103+VLOOKUP(VLOOKUP(CA$1,main!$A$3:$I$102,7,FALSE),main!$K$26:$Q$29,3,FALSE),1,0)</f>
        <v>0</v>
      </c>
      <c r="CB67">
        <f>IF(VLOOKUP(CB$1,main!$A$3:$H$102,5,FALSE)-VLOOKUP($A67,main!$A$3:$H$102,6,FALSE)&gt;=main!$D$103+VLOOKUP(VLOOKUP(CB$1,main!$A$3:$I$102,7,FALSE),main!$K$26:$Q$29,3,FALSE),1,0)</f>
        <v>1</v>
      </c>
      <c r="CC67">
        <f>IF(VLOOKUP(CC$1,main!$A$3:$H$102,5,FALSE)-VLOOKUP($A67,main!$A$3:$H$102,6,FALSE)&gt;=main!$D$103+VLOOKUP(VLOOKUP(CC$1,main!$A$3:$I$102,7,FALSE),main!$K$26:$Q$29,3,FALSE),1,0)</f>
        <v>1</v>
      </c>
      <c r="CD67">
        <f>IF(VLOOKUP(CD$1,main!$A$3:$H$102,5,FALSE)-VLOOKUP($A67,main!$A$3:$H$102,6,FALSE)&gt;=main!$D$103+VLOOKUP(VLOOKUP(CD$1,main!$A$3:$I$102,7,FALSE),main!$K$26:$Q$29,3,FALSE),1,0)</f>
        <v>1</v>
      </c>
      <c r="CE67">
        <f>IF(VLOOKUP(CE$1,main!$A$3:$H$102,5,FALSE)-VLOOKUP($A67,main!$A$3:$H$102,6,FALSE)&gt;=main!$D$103+VLOOKUP(VLOOKUP(CE$1,main!$A$3:$I$102,7,FALSE),main!$K$26:$Q$29,3,FALSE),1,0)</f>
        <v>1</v>
      </c>
      <c r="CF67">
        <f>IF(VLOOKUP(CF$1,main!$A$3:$H$102,5,FALSE)-VLOOKUP($A67,main!$A$3:$H$102,6,FALSE)&gt;=main!$D$103+VLOOKUP(VLOOKUP(CF$1,main!$A$3:$I$102,7,FALSE),main!$K$26:$Q$29,3,FALSE),1,0)</f>
        <v>1</v>
      </c>
      <c r="CG67">
        <f>IF(VLOOKUP(CG$1,main!$A$3:$H$102,5,FALSE)-VLOOKUP($A67,main!$A$3:$H$102,6,FALSE)&gt;=main!$D$103+VLOOKUP(VLOOKUP(CG$1,main!$A$3:$I$102,7,FALSE),main!$K$26:$Q$29,3,FALSE),1,0)</f>
        <v>1</v>
      </c>
      <c r="CH67">
        <f>IF(VLOOKUP(CH$1,main!$A$3:$H$102,5,FALSE)-VLOOKUP($A67,main!$A$3:$H$102,6,FALSE)&gt;=main!$D$103+VLOOKUP(VLOOKUP(CH$1,main!$A$3:$I$102,7,FALSE),main!$K$26:$Q$29,3,FALSE),1,0)</f>
        <v>1</v>
      </c>
      <c r="CI67">
        <f>IF(VLOOKUP(CI$1,main!$A$3:$H$102,5,FALSE)-VLOOKUP($A67,main!$A$3:$H$102,6,FALSE)&gt;=main!$D$103+VLOOKUP(VLOOKUP(CI$1,main!$A$3:$I$102,7,FALSE),main!$K$26:$Q$29,3,FALSE),1,0)</f>
        <v>1</v>
      </c>
      <c r="CJ67">
        <f>IF(VLOOKUP(CJ$1,main!$A$3:$H$102,5,FALSE)-VLOOKUP($A67,main!$A$3:$H$102,6,FALSE)&gt;=main!$D$103+VLOOKUP(VLOOKUP(CJ$1,main!$A$3:$I$102,7,FALSE),main!$K$26:$Q$29,3,FALSE),1,0)</f>
        <v>1</v>
      </c>
      <c r="CK67">
        <f>IF(VLOOKUP(CK$1,main!$A$3:$H$102,5,FALSE)-VLOOKUP($A67,main!$A$3:$H$102,6,FALSE)&gt;=main!$D$103+VLOOKUP(VLOOKUP(CK$1,main!$A$3:$I$102,7,FALSE),main!$K$26:$Q$29,3,FALSE),1,0)</f>
        <v>1</v>
      </c>
      <c r="CL67">
        <f>IF(VLOOKUP(CL$1,main!$A$3:$H$102,5,FALSE)-VLOOKUP($A67,main!$A$3:$H$102,6,FALSE)&gt;=main!$D$103+VLOOKUP(VLOOKUP(CL$1,main!$A$3:$I$102,7,FALSE),main!$K$26:$Q$29,3,FALSE),1,0)</f>
        <v>1</v>
      </c>
      <c r="CM67">
        <f>IF(VLOOKUP(CM$1,main!$A$3:$H$102,5,FALSE)-VLOOKUP($A67,main!$A$3:$H$102,6,FALSE)&gt;=main!$D$103+VLOOKUP(VLOOKUP(CM$1,main!$A$3:$I$102,7,FALSE),main!$K$26:$Q$29,3,FALSE),1,0)</f>
        <v>1</v>
      </c>
      <c r="CN67">
        <f>IF(VLOOKUP(CN$1,main!$A$3:$H$102,5,FALSE)-VLOOKUP($A67,main!$A$3:$H$102,6,FALSE)&gt;=main!$D$103+VLOOKUP(VLOOKUP(CN$1,main!$A$3:$I$102,7,FALSE),main!$K$26:$Q$29,3,FALSE),1,0)</f>
        <v>1</v>
      </c>
      <c r="CO67">
        <f>IF(VLOOKUP(CO$1,main!$A$3:$H$102,5,FALSE)-VLOOKUP($A67,main!$A$3:$H$102,6,FALSE)&gt;=main!$D$103+VLOOKUP(VLOOKUP(CO$1,main!$A$3:$I$102,7,FALSE),main!$K$26:$Q$29,3,FALSE),1,0)</f>
        <v>1</v>
      </c>
      <c r="CP67">
        <f>IF(VLOOKUP(CP$1,main!$A$3:$H$102,5,FALSE)-VLOOKUP($A67,main!$A$3:$H$102,6,FALSE)&gt;=main!$D$103+VLOOKUP(VLOOKUP(CP$1,main!$A$3:$I$102,7,FALSE),main!$K$26:$Q$29,3,FALSE),1,0)</f>
        <v>1</v>
      </c>
      <c r="CQ67">
        <f>IF(VLOOKUP(CQ$1,main!$A$3:$H$102,5,FALSE)-VLOOKUP($A67,main!$A$3:$H$102,6,FALSE)&gt;=main!$D$103+VLOOKUP(VLOOKUP(CQ$1,main!$A$3:$I$102,7,FALSE),main!$K$26:$Q$29,3,FALSE),1,0)</f>
        <v>1</v>
      </c>
      <c r="CR67">
        <f>IF(VLOOKUP(CR$1,main!$A$3:$H$102,5,FALSE)-VLOOKUP($A67,main!$A$3:$H$102,6,FALSE)&gt;=main!$D$103+VLOOKUP(VLOOKUP(CR$1,main!$A$3:$I$102,7,FALSE),main!$K$26:$Q$29,3,FALSE),1,0)</f>
        <v>1</v>
      </c>
      <c r="CS67">
        <f>IF(VLOOKUP(CS$1,main!$A$3:$H$102,5,FALSE)-VLOOKUP($A67,main!$A$3:$H$102,6,FALSE)&gt;=main!$D$103+VLOOKUP(VLOOKUP(CS$1,main!$A$3:$I$102,7,FALSE),main!$K$26:$Q$29,3,FALSE),1,0)</f>
        <v>1</v>
      </c>
      <c r="CT67">
        <f>IF(VLOOKUP(CT$1,main!$A$3:$H$102,5,FALSE)-VLOOKUP($A67,main!$A$3:$H$102,6,FALSE)&gt;=main!$D$103+VLOOKUP(VLOOKUP(CT$1,main!$A$3:$I$102,7,FALSE),main!$K$26:$Q$29,3,FALSE),1,0)</f>
        <v>0</v>
      </c>
      <c r="CU67">
        <f>IF(VLOOKUP(CU$1,main!$A$3:$H$102,5,FALSE)-VLOOKUP($A67,main!$A$3:$H$102,6,FALSE)&gt;=main!$D$103+VLOOKUP(VLOOKUP(CU$1,main!$A$3:$I$102,7,FALSE),main!$K$26:$Q$29,3,FALSE),1,0)</f>
        <v>0</v>
      </c>
      <c r="CV67">
        <f>IF(VLOOKUP(CV$1,main!$A$3:$H$102,5,FALSE)-VLOOKUP($A67,main!$A$3:$H$102,6,FALSE)&gt;=main!$D$103+VLOOKUP(VLOOKUP(CV$1,main!$A$3:$I$102,7,FALSE),main!$K$26:$Q$29,3,FALSE),1,0)</f>
        <v>1</v>
      </c>
      <c r="CW67">
        <f>IF(VLOOKUP(CW$1,main!$A$3:$H$102,5,FALSE)-VLOOKUP($A67,main!$A$3:$H$102,6,FALSE)&gt;=main!$D$103+VLOOKUP(VLOOKUP(CW$1,main!$A$3:$I$102,7,FALSE),main!$K$26:$Q$29,3,FALSE),1,0)</f>
        <v>1</v>
      </c>
      <c r="CX67">
        <f>IF(VLOOKUP(CX$1,main!$A$3:$H$102,5,FALSE)-VLOOKUP($A67,main!$A$3:$H$102,6,FALSE)&gt;=main!$D$103+VLOOKUP(VLOOKUP(CX$1,main!$A$3:$I$102,7,FALSE),main!$K$26:$Q$29,3,FALSE),1,0)</f>
        <v>1</v>
      </c>
    </row>
    <row r="68" spans="1:102" x14ac:dyDescent="0.25">
      <c r="A68" s="1">
        <v>66</v>
      </c>
      <c r="B68">
        <v>0</v>
      </c>
      <c r="C68">
        <f>IF(VLOOKUP(C$1,main!$A$3:$H$102,5,FALSE)-VLOOKUP($A68,main!$A$3:$H$102,6,FALSE)&gt;=main!$D$103+VLOOKUP(VLOOKUP(C$1,main!$A$3:$I$102,7,FALSE),main!$K$26:$Q$29,3,FALSE),1,0)</f>
        <v>0</v>
      </c>
      <c r="D68">
        <f>IF(VLOOKUP(D$1,main!$A$3:$H$102,5,FALSE)-VLOOKUP($A68,main!$A$3:$H$102,6,FALSE)&gt;=main!$D$103+VLOOKUP(VLOOKUP(D$1,main!$A$3:$I$102,7,FALSE),main!$K$26:$Q$29,3,FALSE),1,0)</f>
        <v>0</v>
      </c>
      <c r="E68">
        <f>IF(VLOOKUP(E$1,main!$A$3:$H$102,5,FALSE)-VLOOKUP($A68,main!$A$3:$H$102,6,FALSE)&gt;=main!$D$103+VLOOKUP(VLOOKUP(E$1,main!$A$3:$I$102,7,FALSE),main!$K$26:$Q$29,3,FALSE),1,0)</f>
        <v>0</v>
      </c>
      <c r="F68">
        <f>IF(VLOOKUP(F$1,main!$A$3:$H$102,5,FALSE)-VLOOKUP($A68,main!$A$3:$H$102,6,FALSE)&gt;=main!$D$103+VLOOKUP(VLOOKUP(F$1,main!$A$3:$I$102,7,FALSE),main!$K$26:$Q$29,3,FALSE),1,0)</f>
        <v>0</v>
      </c>
      <c r="G68">
        <f>IF(VLOOKUP(G$1,main!$A$3:$H$102,5,FALSE)-VLOOKUP($A68,main!$A$3:$H$102,6,FALSE)&gt;=main!$D$103+VLOOKUP(VLOOKUP(G$1,main!$A$3:$I$102,7,FALSE),main!$K$26:$Q$29,3,FALSE),1,0)</f>
        <v>1</v>
      </c>
      <c r="H68">
        <f>IF(VLOOKUP(H$1,main!$A$3:$H$102,5,FALSE)-VLOOKUP($A68,main!$A$3:$H$102,6,FALSE)&gt;=main!$D$103+VLOOKUP(VLOOKUP(H$1,main!$A$3:$I$102,7,FALSE),main!$K$26:$Q$29,3,FALSE),1,0)</f>
        <v>1</v>
      </c>
      <c r="I68">
        <f>IF(VLOOKUP(I$1,main!$A$3:$H$102,5,FALSE)-VLOOKUP($A68,main!$A$3:$H$102,6,FALSE)&gt;=main!$D$103+VLOOKUP(VLOOKUP(I$1,main!$A$3:$I$102,7,FALSE),main!$K$26:$Q$29,3,FALSE),1,0)</f>
        <v>1</v>
      </c>
      <c r="J68">
        <f>IF(VLOOKUP(J$1,main!$A$3:$H$102,5,FALSE)-VLOOKUP($A68,main!$A$3:$H$102,6,FALSE)&gt;=main!$D$103+VLOOKUP(VLOOKUP(J$1,main!$A$3:$I$102,7,FALSE),main!$K$26:$Q$29,3,FALSE),1,0)</f>
        <v>1</v>
      </c>
      <c r="K68">
        <f>IF(VLOOKUP(K$1,main!$A$3:$H$102,5,FALSE)-VLOOKUP($A68,main!$A$3:$H$102,6,FALSE)&gt;=main!$D$103+VLOOKUP(VLOOKUP(K$1,main!$A$3:$I$102,7,FALSE),main!$K$26:$Q$29,3,FALSE),1,0)</f>
        <v>1</v>
      </c>
      <c r="L68">
        <f>IF(VLOOKUP(L$1,main!$A$3:$H$102,5,FALSE)-VLOOKUP($A68,main!$A$3:$H$102,6,FALSE)&gt;=main!$D$103+VLOOKUP(VLOOKUP(L$1,main!$A$3:$I$102,7,FALSE),main!$K$26:$Q$29,3,FALSE),1,0)</f>
        <v>1</v>
      </c>
      <c r="M68">
        <f>IF(VLOOKUP(M$1,main!$A$3:$H$102,5,FALSE)-VLOOKUP($A68,main!$A$3:$H$102,6,FALSE)&gt;=main!$D$103+VLOOKUP(VLOOKUP(M$1,main!$A$3:$I$102,7,FALSE),main!$K$26:$Q$29,3,FALSE),1,0)</f>
        <v>0</v>
      </c>
      <c r="N68">
        <f>IF(VLOOKUP(N$1,main!$A$3:$H$102,5,FALSE)-VLOOKUP($A68,main!$A$3:$H$102,6,FALSE)&gt;=main!$D$103+VLOOKUP(VLOOKUP(N$1,main!$A$3:$I$102,7,FALSE),main!$K$26:$Q$29,3,FALSE),1,0)</f>
        <v>0</v>
      </c>
      <c r="O68">
        <f>IF(VLOOKUP(O$1,main!$A$3:$H$102,5,FALSE)-VLOOKUP($A68,main!$A$3:$H$102,6,FALSE)&gt;=main!$D$103+VLOOKUP(VLOOKUP(O$1,main!$A$3:$I$102,7,FALSE),main!$K$26:$Q$29,3,FALSE),1,0)</f>
        <v>0</v>
      </c>
      <c r="P68">
        <f>IF(VLOOKUP(P$1,main!$A$3:$H$102,5,FALSE)-VLOOKUP($A68,main!$A$3:$H$102,6,FALSE)&gt;=main!$D$103+VLOOKUP(VLOOKUP(P$1,main!$A$3:$I$102,7,FALSE),main!$K$26:$Q$29,3,FALSE),1,0)</f>
        <v>0</v>
      </c>
      <c r="Q68">
        <f>IF(VLOOKUP(Q$1,main!$A$3:$H$102,5,FALSE)-VLOOKUP($A68,main!$A$3:$H$102,6,FALSE)&gt;=main!$D$103+VLOOKUP(VLOOKUP(Q$1,main!$A$3:$I$102,7,FALSE),main!$K$26:$Q$29,3,FALSE),1,0)</f>
        <v>1</v>
      </c>
      <c r="R68">
        <f>IF(VLOOKUP(R$1,main!$A$3:$H$102,5,FALSE)-VLOOKUP($A68,main!$A$3:$H$102,6,FALSE)&gt;=main!$D$103+VLOOKUP(VLOOKUP(R$1,main!$A$3:$I$102,7,FALSE),main!$K$26:$Q$29,3,FALSE),1,0)</f>
        <v>1</v>
      </c>
      <c r="S68">
        <f>IF(VLOOKUP(S$1,main!$A$3:$H$102,5,FALSE)-VLOOKUP($A68,main!$A$3:$H$102,6,FALSE)&gt;=main!$D$103+VLOOKUP(VLOOKUP(S$1,main!$A$3:$I$102,7,FALSE),main!$K$26:$Q$29,3,FALSE),1,0)</f>
        <v>1</v>
      </c>
      <c r="T68">
        <f>IF(VLOOKUP(T$1,main!$A$3:$H$102,5,FALSE)-VLOOKUP($A68,main!$A$3:$H$102,6,FALSE)&gt;=main!$D$103+VLOOKUP(VLOOKUP(T$1,main!$A$3:$I$102,7,FALSE),main!$K$26:$Q$29,3,FALSE),1,0)</f>
        <v>1</v>
      </c>
      <c r="U68">
        <f>IF(VLOOKUP(U$1,main!$A$3:$H$102,5,FALSE)-VLOOKUP($A68,main!$A$3:$H$102,6,FALSE)&gt;=main!$D$103+VLOOKUP(VLOOKUP(U$1,main!$A$3:$I$102,7,FALSE),main!$K$26:$Q$29,3,FALSE),1,0)</f>
        <v>1</v>
      </c>
      <c r="V68">
        <f>IF(VLOOKUP(V$1,main!$A$3:$H$102,5,FALSE)-VLOOKUP($A68,main!$A$3:$H$102,6,FALSE)&gt;=main!$D$103+VLOOKUP(VLOOKUP(V$1,main!$A$3:$I$102,7,FALSE),main!$K$26:$Q$29,3,FALSE),1,0)</f>
        <v>1</v>
      </c>
      <c r="W68">
        <f>IF(VLOOKUP(W$1,main!$A$3:$H$102,5,FALSE)-VLOOKUP($A68,main!$A$3:$H$102,6,FALSE)&gt;=main!$D$103+VLOOKUP(VLOOKUP(W$1,main!$A$3:$I$102,7,FALSE),main!$K$26:$Q$29,3,FALSE),1,0)</f>
        <v>0</v>
      </c>
      <c r="X68">
        <f>IF(VLOOKUP(X$1,main!$A$3:$H$102,5,FALSE)-VLOOKUP($A68,main!$A$3:$H$102,6,FALSE)&gt;=main!$D$103+VLOOKUP(VLOOKUP(X$1,main!$A$3:$I$102,7,FALSE),main!$K$26:$Q$29,3,FALSE),1,0)</f>
        <v>0</v>
      </c>
      <c r="Y68">
        <f>IF(VLOOKUP(Y$1,main!$A$3:$H$102,5,FALSE)-VLOOKUP($A68,main!$A$3:$H$102,6,FALSE)&gt;=main!$D$103+VLOOKUP(VLOOKUP(Y$1,main!$A$3:$I$102,7,FALSE),main!$K$26:$Q$29,3,FALSE),1,0)</f>
        <v>1</v>
      </c>
      <c r="Z68">
        <f>IF(VLOOKUP(Z$1,main!$A$3:$H$102,5,FALSE)-VLOOKUP($A68,main!$A$3:$H$102,6,FALSE)&gt;=main!$D$103+VLOOKUP(VLOOKUP(Z$1,main!$A$3:$I$102,7,FALSE),main!$K$26:$Q$29,3,FALSE),1,0)</f>
        <v>1</v>
      </c>
      <c r="AA68">
        <f>IF(VLOOKUP(AA$1,main!$A$3:$H$102,5,FALSE)-VLOOKUP($A68,main!$A$3:$H$102,6,FALSE)&gt;=main!$D$103+VLOOKUP(VLOOKUP(AA$1,main!$A$3:$I$102,7,FALSE),main!$K$26:$Q$29,3,FALSE),1,0)</f>
        <v>1</v>
      </c>
      <c r="AB68">
        <f>IF(VLOOKUP(AB$1,main!$A$3:$H$102,5,FALSE)-VLOOKUP($A68,main!$A$3:$H$102,6,FALSE)&gt;=main!$D$103+VLOOKUP(VLOOKUP(AB$1,main!$A$3:$I$102,7,FALSE),main!$K$26:$Q$29,3,FALSE),1,0)</f>
        <v>0</v>
      </c>
      <c r="AC68">
        <f>IF(VLOOKUP(AC$1,main!$A$3:$H$102,5,FALSE)-VLOOKUP($A68,main!$A$3:$H$102,6,FALSE)&gt;=main!$D$103+VLOOKUP(VLOOKUP(AC$1,main!$A$3:$I$102,7,FALSE),main!$K$26:$Q$29,3,FALSE),1,0)</f>
        <v>0</v>
      </c>
      <c r="AD68">
        <f>IF(VLOOKUP(AD$1,main!$A$3:$H$102,5,FALSE)-VLOOKUP($A68,main!$A$3:$H$102,6,FALSE)&gt;=main!$D$103+VLOOKUP(VLOOKUP(AD$1,main!$A$3:$I$102,7,FALSE),main!$K$26:$Q$29,3,FALSE),1,0)</f>
        <v>1</v>
      </c>
      <c r="AE68">
        <f>IF(VLOOKUP(AE$1,main!$A$3:$H$102,5,FALSE)-VLOOKUP($A68,main!$A$3:$H$102,6,FALSE)&gt;=main!$D$103+VLOOKUP(VLOOKUP(AE$1,main!$A$3:$I$102,7,FALSE),main!$K$26:$Q$29,3,FALSE),1,0)</f>
        <v>1</v>
      </c>
      <c r="AF68">
        <f>IF(VLOOKUP(AF$1,main!$A$3:$H$102,5,FALSE)-VLOOKUP($A68,main!$A$3:$H$102,6,FALSE)&gt;=main!$D$103+VLOOKUP(VLOOKUP(AF$1,main!$A$3:$I$102,7,FALSE),main!$K$26:$Q$29,3,FALSE),1,0)</f>
        <v>1</v>
      </c>
      <c r="AG68">
        <f>IF(VLOOKUP(AG$1,main!$A$3:$H$102,5,FALSE)-VLOOKUP($A68,main!$A$3:$H$102,6,FALSE)&gt;=main!$D$103+VLOOKUP(VLOOKUP(AG$1,main!$A$3:$I$102,7,FALSE),main!$K$26:$Q$29,3,FALSE),1,0)</f>
        <v>0</v>
      </c>
      <c r="AH68">
        <f>IF(VLOOKUP(AH$1,main!$A$3:$H$102,5,FALSE)-VLOOKUP($A68,main!$A$3:$H$102,6,FALSE)&gt;=main!$D$103+VLOOKUP(VLOOKUP(AH$1,main!$A$3:$I$102,7,FALSE),main!$K$26:$Q$29,3,FALSE),1,0)</f>
        <v>0</v>
      </c>
      <c r="AI68">
        <f>IF(VLOOKUP(AI$1,main!$A$3:$H$102,5,FALSE)-VLOOKUP($A68,main!$A$3:$H$102,6,FALSE)&gt;=main!$D$103+VLOOKUP(VLOOKUP(AI$1,main!$A$3:$I$102,7,FALSE),main!$K$26:$Q$29,3,FALSE),1,0)</f>
        <v>0</v>
      </c>
      <c r="AJ68">
        <f>IF(VLOOKUP(AJ$1,main!$A$3:$H$102,5,FALSE)-VLOOKUP($A68,main!$A$3:$H$102,6,FALSE)&gt;=main!$D$103+VLOOKUP(VLOOKUP(AJ$1,main!$A$3:$I$102,7,FALSE),main!$K$26:$Q$29,3,FALSE),1,0)</f>
        <v>1</v>
      </c>
      <c r="AK68">
        <f>IF(VLOOKUP(AK$1,main!$A$3:$H$102,5,FALSE)-VLOOKUP($A68,main!$A$3:$H$102,6,FALSE)&gt;=main!$D$103+VLOOKUP(VLOOKUP(AK$1,main!$A$3:$I$102,7,FALSE),main!$K$26:$Q$29,3,FALSE),1,0)</f>
        <v>1</v>
      </c>
      <c r="AL68">
        <f>IF(VLOOKUP(AL$1,main!$A$3:$H$102,5,FALSE)-VLOOKUP($A68,main!$A$3:$H$102,6,FALSE)&gt;=main!$D$103+VLOOKUP(VLOOKUP(AL$1,main!$A$3:$I$102,7,FALSE),main!$K$26:$Q$29,3,FALSE),1,0)</f>
        <v>1</v>
      </c>
      <c r="AM68">
        <f>IF(VLOOKUP(AM$1,main!$A$3:$H$102,5,FALSE)-VLOOKUP($A68,main!$A$3:$H$102,6,FALSE)&gt;=main!$D$103+VLOOKUP(VLOOKUP(AM$1,main!$A$3:$I$102,7,FALSE),main!$K$26:$Q$29,3,FALSE),1,0)</f>
        <v>1</v>
      </c>
      <c r="AN68">
        <f>IF(VLOOKUP(AN$1,main!$A$3:$H$102,5,FALSE)-VLOOKUP($A68,main!$A$3:$H$102,6,FALSE)&gt;=main!$D$103+VLOOKUP(VLOOKUP(AN$1,main!$A$3:$I$102,7,FALSE),main!$K$26:$Q$29,3,FALSE),1,0)</f>
        <v>1</v>
      </c>
      <c r="AO68">
        <f>IF(VLOOKUP(AO$1,main!$A$3:$H$102,5,FALSE)-VLOOKUP($A68,main!$A$3:$H$102,6,FALSE)&gt;=main!$D$103+VLOOKUP(VLOOKUP(AO$1,main!$A$3:$I$102,7,FALSE),main!$K$26:$Q$29,3,FALSE),1,0)</f>
        <v>0</v>
      </c>
      <c r="AP68">
        <f>IF(VLOOKUP(AP$1,main!$A$3:$H$102,5,FALSE)-VLOOKUP($A68,main!$A$3:$H$102,6,FALSE)&gt;=main!$D$103+VLOOKUP(VLOOKUP(AP$1,main!$A$3:$I$102,7,FALSE),main!$K$26:$Q$29,3,FALSE),1,0)</f>
        <v>1</v>
      </c>
      <c r="AQ68">
        <f>IF(VLOOKUP(AQ$1,main!$A$3:$H$102,5,FALSE)-VLOOKUP($A68,main!$A$3:$H$102,6,FALSE)&gt;=main!$D$103+VLOOKUP(VLOOKUP(AQ$1,main!$A$3:$I$102,7,FALSE),main!$K$26:$Q$29,3,FALSE),1,0)</f>
        <v>0</v>
      </c>
      <c r="AR68">
        <f>IF(VLOOKUP(AR$1,main!$A$3:$H$102,5,FALSE)-VLOOKUP($A68,main!$A$3:$H$102,6,FALSE)&gt;=main!$D$103+VLOOKUP(VLOOKUP(AR$1,main!$A$3:$I$102,7,FALSE),main!$K$26:$Q$29,3,FALSE),1,0)</f>
        <v>0</v>
      </c>
      <c r="AS68">
        <f>IF(VLOOKUP(AS$1,main!$A$3:$H$102,5,FALSE)-VLOOKUP($A68,main!$A$3:$H$102,6,FALSE)&gt;=main!$D$103+VLOOKUP(VLOOKUP(AS$1,main!$A$3:$I$102,7,FALSE),main!$K$26:$Q$29,3,FALSE),1,0)</f>
        <v>1</v>
      </c>
      <c r="AT68">
        <f>IF(VLOOKUP(AT$1,main!$A$3:$H$102,5,FALSE)-VLOOKUP($A68,main!$A$3:$H$102,6,FALSE)&gt;=main!$D$103+VLOOKUP(VLOOKUP(AT$1,main!$A$3:$I$102,7,FALSE),main!$K$26:$Q$29,3,FALSE),1,0)</f>
        <v>1</v>
      </c>
      <c r="AU68">
        <f>IF(VLOOKUP(AU$1,main!$A$3:$H$102,5,FALSE)-VLOOKUP($A68,main!$A$3:$H$102,6,FALSE)&gt;=main!$D$103+VLOOKUP(VLOOKUP(AU$1,main!$A$3:$I$102,7,FALSE),main!$K$26:$Q$29,3,FALSE),1,0)</f>
        <v>0</v>
      </c>
      <c r="AV68">
        <f>IF(VLOOKUP(AV$1,main!$A$3:$H$102,5,FALSE)-VLOOKUP($A68,main!$A$3:$H$102,6,FALSE)&gt;=main!$D$103+VLOOKUP(VLOOKUP(AV$1,main!$A$3:$I$102,7,FALSE),main!$K$26:$Q$29,3,FALSE),1,0)</f>
        <v>0</v>
      </c>
      <c r="AW68">
        <f>IF(VLOOKUP(AW$1,main!$A$3:$H$102,5,FALSE)-VLOOKUP($A68,main!$A$3:$H$102,6,FALSE)&gt;=main!$D$103+VLOOKUP(VLOOKUP(AW$1,main!$A$3:$I$102,7,FALSE),main!$K$26:$Q$29,3,FALSE),1,0)</f>
        <v>1</v>
      </c>
      <c r="AX68">
        <f>IF(VLOOKUP(AX$1,main!$A$3:$H$102,5,FALSE)-VLOOKUP($A68,main!$A$3:$H$102,6,FALSE)&gt;=main!$D$103+VLOOKUP(VLOOKUP(AX$1,main!$A$3:$I$102,7,FALSE),main!$K$26:$Q$29,3,FALSE),1,0)</f>
        <v>0</v>
      </c>
      <c r="AY68">
        <f>IF(VLOOKUP(AY$1,main!$A$3:$H$102,5,FALSE)-VLOOKUP($A68,main!$A$3:$H$102,6,FALSE)&gt;=main!$D$103+VLOOKUP(VLOOKUP(AY$1,main!$A$3:$I$102,7,FALSE),main!$K$26:$Q$29,3,FALSE),1,0)</f>
        <v>0</v>
      </c>
      <c r="AZ68">
        <f>IF(VLOOKUP(AZ$1,main!$A$3:$H$102,5,FALSE)-VLOOKUP($A68,main!$A$3:$H$102,6,FALSE)&gt;=main!$D$103+VLOOKUP(VLOOKUP(AZ$1,main!$A$3:$I$102,7,FALSE),main!$K$26:$Q$29,3,FALSE),1,0)</f>
        <v>0</v>
      </c>
      <c r="BA68">
        <f>IF(VLOOKUP(BA$1,main!$A$3:$H$102,5,FALSE)-VLOOKUP($A68,main!$A$3:$H$102,6,FALSE)&gt;=main!$D$103+VLOOKUP(VLOOKUP(BA$1,main!$A$3:$I$102,7,FALSE),main!$K$26:$Q$29,3,FALSE),1,0)</f>
        <v>0</v>
      </c>
      <c r="BB68">
        <f>IF(VLOOKUP(BB$1,main!$A$3:$H$102,5,FALSE)-VLOOKUP($A68,main!$A$3:$H$102,6,FALSE)&gt;=main!$D$103+VLOOKUP(VLOOKUP(BB$1,main!$A$3:$I$102,7,FALSE),main!$K$26:$Q$29,3,FALSE),1,0)</f>
        <v>0</v>
      </c>
      <c r="BC68">
        <f>IF(VLOOKUP(BC$1,main!$A$3:$H$102,5,FALSE)-VLOOKUP($A68,main!$A$3:$H$102,6,FALSE)&gt;=main!$D$103+VLOOKUP(VLOOKUP(BC$1,main!$A$3:$I$102,7,FALSE),main!$K$26:$Q$29,3,FALSE),1,0)</f>
        <v>1</v>
      </c>
      <c r="BD68">
        <f>IF(VLOOKUP(BD$1,main!$A$3:$H$102,5,FALSE)-VLOOKUP($A68,main!$A$3:$H$102,6,FALSE)&gt;=main!$D$103+VLOOKUP(VLOOKUP(BD$1,main!$A$3:$I$102,7,FALSE),main!$K$26:$Q$29,3,FALSE),1,0)</f>
        <v>1</v>
      </c>
      <c r="BE68">
        <f>IF(VLOOKUP(BE$1,main!$A$3:$H$102,5,FALSE)-VLOOKUP($A68,main!$A$3:$H$102,6,FALSE)&gt;=main!$D$103+VLOOKUP(VLOOKUP(BE$1,main!$A$3:$I$102,7,FALSE),main!$K$26:$Q$29,3,FALSE),1,0)</f>
        <v>1</v>
      </c>
      <c r="BF68">
        <f>IF(VLOOKUP(BF$1,main!$A$3:$H$102,5,FALSE)-VLOOKUP($A68,main!$A$3:$H$102,6,FALSE)&gt;=main!$D$103+VLOOKUP(VLOOKUP(BF$1,main!$A$3:$I$102,7,FALSE),main!$K$26:$Q$29,3,FALSE),1,0)</f>
        <v>0</v>
      </c>
      <c r="BG68">
        <f>IF(VLOOKUP(BG$1,main!$A$3:$H$102,5,FALSE)-VLOOKUP($A68,main!$A$3:$H$102,6,FALSE)&gt;=main!$D$103+VLOOKUP(VLOOKUP(BG$1,main!$A$3:$I$102,7,FALSE),main!$K$26:$Q$29,3,FALSE),1,0)</f>
        <v>0</v>
      </c>
      <c r="BH68">
        <f>IF(VLOOKUP(BH$1,main!$A$3:$H$102,5,FALSE)-VLOOKUP($A68,main!$A$3:$H$102,6,FALSE)&gt;=main!$D$103+VLOOKUP(VLOOKUP(BH$1,main!$A$3:$I$102,7,FALSE),main!$K$26:$Q$29,3,FALSE),1,0)</f>
        <v>1</v>
      </c>
      <c r="BI68">
        <f>IF(VLOOKUP(BI$1,main!$A$3:$H$102,5,FALSE)-VLOOKUP($A68,main!$A$3:$H$102,6,FALSE)&gt;=main!$D$103+VLOOKUP(VLOOKUP(BI$1,main!$A$3:$I$102,7,FALSE),main!$K$26:$Q$29,3,FALSE),1,0)</f>
        <v>1</v>
      </c>
      <c r="BJ68">
        <f>IF(VLOOKUP(BJ$1,main!$A$3:$H$102,5,FALSE)-VLOOKUP($A68,main!$A$3:$H$102,6,FALSE)&gt;=main!$D$103+VLOOKUP(VLOOKUP(BJ$1,main!$A$3:$I$102,7,FALSE),main!$K$26:$Q$29,3,FALSE),1,0)</f>
        <v>1</v>
      </c>
      <c r="BK68">
        <f>IF(VLOOKUP(BK$1,main!$A$3:$H$102,5,FALSE)-VLOOKUP($A68,main!$A$3:$H$102,6,FALSE)&gt;=main!$D$103+VLOOKUP(VLOOKUP(BK$1,main!$A$3:$I$102,7,FALSE),main!$K$26:$Q$29,3,FALSE),1,0)</f>
        <v>0</v>
      </c>
      <c r="BL68">
        <f>IF(VLOOKUP(BL$1,main!$A$3:$H$102,5,FALSE)-VLOOKUP($A68,main!$A$3:$H$102,6,FALSE)&gt;=main!$D$103+VLOOKUP(VLOOKUP(BL$1,main!$A$3:$I$102,7,FALSE),main!$K$26:$Q$29,3,FALSE),1,0)</f>
        <v>0</v>
      </c>
      <c r="BM68">
        <f>IF(VLOOKUP(BM$1,main!$A$3:$H$102,5,FALSE)-VLOOKUP($A68,main!$A$3:$H$102,6,FALSE)&gt;=main!$D$103+VLOOKUP(VLOOKUP(BM$1,main!$A$3:$I$102,7,FALSE),main!$K$26:$Q$29,3,FALSE),1,0)</f>
        <v>0</v>
      </c>
      <c r="BN68">
        <f>IF(VLOOKUP(BN$1,main!$A$3:$H$102,5,FALSE)-VLOOKUP($A68,main!$A$3:$H$102,6,FALSE)&gt;=main!$D$103+VLOOKUP(VLOOKUP(BN$1,main!$A$3:$I$102,7,FALSE),main!$K$26:$Q$29,3,FALSE),1,0)</f>
        <v>1</v>
      </c>
      <c r="BO68">
        <f>IF(VLOOKUP(BO$1,main!$A$3:$H$102,5,FALSE)-VLOOKUP($A68,main!$A$3:$H$102,6,FALSE)&gt;=main!$D$103+VLOOKUP(VLOOKUP(BO$1,main!$A$3:$I$102,7,FALSE),main!$K$26:$Q$29,3,FALSE),1,0)</f>
        <v>0</v>
      </c>
      <c r="BP68">
        <f>IF(VLOOKUP(BP$1,main!$A$3:$H$102,5,FALSE)-VLOOKUP($A68,main!$A$3:$H$102,6,FALSE)&gt;=main!$D$103+VLOOKUP(VLOOKUP(BP$1,main!$A$3:$I$102,7,FALSE),main!$K$26:$Q$29,3,FALSE),1,0)</f>
        <v>0</v>
      </c>
      <c r="BQ68">
        <f>IF(VLOOKUP(BQ$1,main!$A$3:$H$102,5,FALSE)-VLOOKUP($A68,main!$A$3:$H$102,6,FALSE)&gt;=main!$D$103+VLOOKUP(VLOOKUP(BQ$1,main!$A$3:$I$102,7,FALSE),main!$K$26:$Q$29,3,FALSE),1,0)</f>
        <v>1</v>
      </c>
      <c r="BR68">
        <f>IF(VLOOKUP(BR$1,main!$A$3:$H$102,5,FALSE)-VLOOKUP($A68,main!$A$3:$H$102,6,FALSE)&gt;=main!$D$103+VLOOKUP(VLOOKUP(BR$1,main!$A$3:$I$102,7,FALSE),main!$K$26:$Q$29,3,FALSE),1,0)</f>
        <v>1</v>
      </c>
      <c r="BS68">
        <f>IF(VLOOKUP(BS$1,main!$A$3:$H$102,5,FALSE)-VLOOKUP($A68,main!$A$3:$H$102,6,FALSE)&gt;=main!$D$103+VLOOKUP(VLOOKUP(BS$1,main!$A$3:$I$102,7,FALSE),main!$K$26:$Q$29,3,FALSE),1,0)</f>
        <v>1</v>
      </c>
      <c r="BT68">
        <f>IF(VLOOKUP(BT$1,main!$A$3:$H$102,5,FALSE)-VLOOKUP($A68,main!$A$3:$H$102,6,FALSE)&gt;=main!$D$103+VLOOKUP(VLOOKUP(BT$1,main!$A$3:$I$102,7,FALSE),main!$K$26:$Q$29,3,FALSE),1,0)</f>
        <v>1</v>
      </c>
      <c r="BU68">
        <f>IF(VLOOKUP(BU$1,main!$A$3:$H$102,5,FALSE)-VLOOKUP($A68,main!$A$3:$H$102,6,FALSE)&gt;=main!$D$103+VLOOKUP(VLOOKUP(BU$1,main!$A$3:$I$102,7,FALSE),main!$K$26:$Q$29,3,FALSE),1,0)</f>
        <v>0</v>
      </c>
      <c r="BV68">
        <f>IF(VLOOKUP(BV$1,main!$A$3:$H$102,5,FALSE)-VLOOKUP($A68,main!$A$3:$H$102,6,FALSE)&gt;=main!$D$103+VLOOKUP(VLOOKUP(BV$1,main!$A$3:$I$102,7,FALSE),main!$K$26:$Q$29,3,FALSE),1,0)</f>
        <v>0</v>
      </c>
      <c r="BW68">
        <f>IF(VLOOKUP(BW$1,main!$A$3:$H$102,5,FALSE)-VLOOKUP($A68,main!$A$3:$H$102,6,FALSE)&gt;=main!$D$103+VLOOKUP(VLOOKUP(BW$1,main!$A$3:$I$102,7,FALSE),main!$K$26:$Q$29,3,FALSE),1,0)</f>
        <v>0</v>
      </c>
      <c r="BX68">
        <f>IF(VLOOKUP(BX$1,main!$A$3:$H$102,5,FALSE)-VLOOKUP($A68,main!$A$3:$H$102,6,FALSE)&gt;=main!$D$103+VLOOKUP(VLOOKUP(BX$1,main!$A$3:$I$102,7,FALSE),main!$K$26:$Q$29,3,FALSE),1,0)</f>
        <v>1</v>
      </c>
      <c r="BY68">
        <f>IF(VLOOKUP(BY$1,main!$A$3:$H$102,5,FALSE)-VLOOKUP($A68,main!$A$3:$H$102,6,FALSE)&gt;=main!$D$103+VLOOKUP(VLOOKUP(BY$1,main!$A$3:$I$102,7,FALSE),main!$K$26:$Q$29,3,FALSE),1,0)</f>
        <v>1</v>
      </c>
      <c r="BZ68">
        <f>IF(VLOOKUP(BZ$1,main!$A$3:$H$102,5,FALSE)-VLOOKUP($A68,main!$A$3:$H$102,6,FALSE)&gt;=main!$D$103+VLOOKUP(VLOOKUP(BZ$1,main!$A$3:$I$102,7,FALSE),main!$K$26:$Q$29,3,FALSE),1,0)</f>
        <v>0</v>
      </c>
      <c r="CA68">
        <f>IF(VLOOKUP(CA$1,main!$A$3:$H$102,5,FALSE)-VLOOKUP($A68,main!$A$3:$H$102,6,FALSE)&gt;=main!$D$103+VLOOKUP(VLOOKUP(CA$1,main!$A$3:$I$102,7,FALSE),main!$K$26:$Q$29,3,FALSE),1,0)</f>
        <v>0</v>
      </c>
      <c r="CB68">
        <f>IF(VLOOKUP(CB$1,main!$A$3:$H$102,5,FALSE)-VLOOKUP($A68,main!$A$3:$H$102,6,FALSE)&gt;=main!$D$103+VLOOKUP(VLOOKUP(CB$1,main!$A$3:$I$102,7,FALSE),main!$K$26:$Q$29,3,FALSE),1,0)</f>
        <v>1</v>
      </c>
      <c r="CC68">
        <f>IF(VLOOKUP(CC$1,main!$A$3:$H$102,5,FALSE)-VLOOKUP($A68,main!$A$3:$H$102,6,FALSE)&gt;=main!$D$103+VLOOKUP(VLOOKUP(CC$1,main!$A$3:$I$102,7,FALSE),main!$K$26:$Q$29,3,FALSE),1,0)</f>
        <v>1</v>
      </c>
      <c r="CD68">
        <f>IF(VLOOKUP(CD$1,main!$A$3:$H$102,5,FALSE)-VLOOKUP($A68,main!$A$3:$H$102,6,FALSE)&gt;=main!$D$103+VLOOKUP(VLOOKUP(CD$1,main!$A$3:$I$102,7,FALSE),main!$K$26:$Q$29,3,FALSE),1,0)</f>
        <v>1</v>
      </c>
      <c r="CE68">
        <f>IF(VLOOKUP(CE$1,main!$A$3:$H$102,5,FALSE)-VLOOKUP($A68,main!$A$3:$H$102,6,FALSE)&gt;=main!$D$103+VLOOKUP(VLOOKUP(CE$1,main!$A$3:$I$102,7,FALSE),main!$K$26:$Q$29,3,FALSE),1,0)</f>
        <v>0</v>
      </c>
      <c r="CF68">
        <f>IF(VLOOKUP(CF$1,main!$A$3:$H$102,5,FALSE)-VLOOKUP($A68,main!$A$3:$H$102,6,FALSE)&gt;=main!$D$103+VLOOKUP(VLOOKUP(CF$1,main!$A$3:$I$102,7,FALSE),main!$K$26:$Q$29,3,FALSE),1,0)</f>
        <v>1</v>
      </c>
      <c r="CG68">
        <f>IF(VLOOKUP(CG$1,main!$A$3:$H$102,5,FALSE)-VLOOKUP($A68,main!$A$3:$H$102,6,FALSE)&gt;=main!$D$103+VLOOKUP(VLOOKUP(CG$1,main!$A$3:$I$102,7,FALSE),main!$K$26:$Q$29,3,FALSE),1,0)</f>
        <v>1</v>
      </c>
      <c r="CH68">
        <f>IF(VLOOKUP(CH$1,main!$A$3:$H$102,5,FALSE)-VLOOKUP($A68,main!$A$3:$H$102,6,FALSE)&gt;=main!$D$103+VLOOKUP(VLOOKUP(CH$1,main!$A$3:$I$102,7,FALSE),main!$K$26:$Q$29,3,FALSE),1,0)</f>
        <v>1</v>
      </c>
      <c r="CI68">
        <f>IF(VLOOKUP(CI$1,main!$A$3:$H$102,5,FALSE)-VLOOKUP($A68,main!$A$3:$H$102,6,FALSE)&gt;=main!$D$103+VLOOKUP(VLOOKUP(CI$1,main!$A$3:$I$102,7,FALSE),main!$K$26:$Q$29,3,FALSE),1,0)</f>
        <v>1</v>
      </c>
      <c r="CJ68">
        <f>IF(VLOOKUP(CJ$1,main!$A$3:$H$102,5,FALSE)-VLOOKUP($A68,main!$A$3:$H$102,6,FALSE)&gt;=main!$D$103+VLOOKUP(VLOOKUP(CJ$1,main!$A$3:$I$102,7,FALSE),main!$K$26:$Q$29,3,FALSE),1,0)</f>
        <v>1</v>
      </c>
      <c r="CK68">
        <f>IF(VLOOKUP(CK$1,main!$A$3:$H$102,5,FALSE)-VLOOKUP($A68,main!$A$3:$H$102,6,FALSE)&gt;=main!$D$103+VLOOKUP(VLOOKUP(CK$1,main!$A$3:$I$102,7,FALSE),main!$K$26:$Q$29,3,FALSE),1,0)</f>
        <v>0</v>
      </c>
      <c r="CL68">
        <f>IF(VLOOKUP(CL$1,main!$A$3:$H$102,5,FALSE)-VLOOKUP($A68,main!$A$3:$H$102,6,FALSE)&gt;=main!$D$103+VLOOKUP(VLOOKUP(CL$1,main!$A$3:$I$102,7,FALSE),main!$K$26:$Q$29,3,FALSE),1,0)</f>
        <v>1</v>
      </c>
      <c r="CM68">
        <f>IF(VLOOKUP(CM$1,main!$A$3:$H$102,5,FALSE)-VLOOKUP($A68,main!$A$3:$H$102,6,FALSE)&gt;=main!$D$103+VLOOKUP(VLOOKUP(CM$1,main!$A$3:$I$102,7,FALSE),main!$K$26:$Q$29,3,FALSE),1,0)</f>
        <v>1</v>
      </c>
      <c r="CN68">
        <f>IF(VLOOKUP(CN$1,main!$A$3:$H$102,5,FALSE)-VLOOKUP($A68,main!$A$3:$H$102,6,FALSE)&gt;=main!$D$103+VLOOKUP(VLOOKUP(CN$1,main!$A$3:$I$102,7,FALSE),main!$K$26:$Q$29,3,FALSE),1,0)</f>
        <v>1</v>
      </c>
      <c r="CO68">
        <f>IF(VLOOKUP(CO$1,main!$A$3:$H$102,5,FALSE)-VLOOKUP($A68,main!$A$3:$H$102,6,FALSE)&gt;=main!$D$103+VLOOKUP(VLOOKUP(CO$1,main!$A$3:$I$102,7,FALSE),main!$K$26:$Q$29,3,FALSE),1,0)</f>
        <v>0</v>
      </c>
      <c r="CP68">
        <f>IF(VLOOKUP(CP$1,main!$A$3:$H$102,5,FALSE)-VLOOKUP($A68,main!$A$3:$H$102,6,FALSE)&gt;=main!$D$103+VLOOKUP(VLOOKUP(CP$1,main!$A$3:$I$102,7,FALSE),main!$K$26:$Q$29,3,FALSE),1,0)</f>
        <v>1</v>
      </c>
      <c r="CQ68">
        <f>IF(VLOOKUP(CQ$1,main!$A$3:$H$102,5,FALSE)-VLOOKUP($A68,main!$A$3:$H$102,6,FALSE)&gt;=main!$D$103+VLOOKUP(VLOOKUP(CQ$1,main!$A$3:$I$102,7,FALSE),main!$K$26:$Q$29,3,FALSE),1,0)</f>
        <v>1</v>
      </c>
      <c r="CR68">
        <f>IF(VLOOKUP(CR$1,main!$A$3:$H$102,5,FALSE)-VLOOKUP($A68,main!$A$3:$H$102,6,FALSE)&gt;=main!$D$103+VLOOKUP(VLOOKUP(CR$1,main!$A$3:$I$102,7,FALSE),main!$K$26:$Q$29,3,FALSE),1,0)</f>
        <v>1</v>
      </c>
      <c r="CS68">
        <f>IF(VLOOKUP(CS$1,main!$A$3:$H$102,5,FALSE)-VLOOKUP($A68,main!$A$3:$H$102,6,FALSE)&gt;=main!$D$103+VLOOKUP(VLOOKUP(CS$1,main!$A$3:$I$102,7,FALSE),main!$K$26:$Q$29,3,FALSE),1,0)</f>
        <v>1</v>
      </c>
      <c r="CT68">
        <f>IF(VLOOKUP(CT$1,main!$A$3:$H$102,5,FALSE)-VLOOKUP($A68,main!$A$3:$H$102,6,FALSE)&gt;=main!$D$103+VLOOKUP(VLOOKUP(CT$1,main!$A$3:$I$102,7,FALSE),main!$K$26:$Q$29,3,FALSE),1,0)</f>
        <v>0</v>
      </c>
      <c r="CU68">
        <f>IF(VLOOKUP(CU$1,main!$A$3:$H$102,5,FALSE)-VLOOKUP($A68,main!$A$3:$H$102,6,FALSE)&gt;=main!$D$103+VLOOKUP(VLOOKUP(CU$1,main!$A$3:$I$102,7,FALSE),main!$K$26:$Q$29,3,FALSE),1,0)</f>
        <v>0</v>
      </c>
      <c r="CV68">
        <f>IF(VLOOKUP(CV$1,main!$A$3:$H$102,5,FALSE)-VLOOKUP($A68,main!$A$3:$H$102,6,FALSE)&gt;=main!$D$103+VLOOKUP(VLOOKUP(CV$1,main!$A$3:$I$102,7,FALSE),main!$K$26:$Q$29,3,FALSE),1,0)</f>
        <v>1</v>
      </c>
      <c r="CW68">
        <f>IF(VLOOKUP(CW$1,main!$A$3:$H$102,5,FALSE)-VLOOKUP($A68,main!$A$3:$H$102,6,FALSE)&gt;=main!$D$103+VLOOKUP(VLOOKUP(CW$1,main!$A$3:$I$102,7,FALSE),main!$K$26:$Q$29,3,FALSE),1,0)</f>
        <v>1</v>
      </c>
      <c r="CX68">
        <f>IF(VLOOKUP(CX$1,main!$A$3:$H$102,5,FALSE)-VLOOKUP($A68,main!$A$3:$H$102,6,FALSE)&gt;=main!$D$103+VLOOKUP(VLOOKUP(CX$1,main!$A$3:$I$102,7,FALSE),main!$K$26:$Q$29,3,FALSE),1,0)</f>
        <v>1</v>
      </c>
    </row>
    <row r="69" spans="1:102" x14ac:dyDescent="0.25">
      <c r="A69" s="1">
        <v>67</v>
      </c>
      <c r="B69">
        <v>0</v>
      </c>
      <c r="C69">
        <f>IF(VLOOKUP(C$1,main!$A$3:$H$102,5,FALSE)-VLOOKUP($A69,main!$A$3:$H$102,6,FALSE)&gt;=main!$D$103+VLOOKUP(VLOOKUP(C$1,main!$A$3:$I$102,7,FALSE),main!$K$26:$Q$29,3,FALSE),1,0)</f>
        <v>0</v>
      </c>
      <c r="D69">
        <f>IF(VLOOKUP(D$1,main!$A$3:$H$102,5,FALSE)-VLOOKUP($A69,main!$A$3:$H$102,6,FALSE)&gt;=main!$D$103+VLOOKUP(VLOOKUP(D$1,main!$A$3:$I$102,7,FALSE),main!$K$26:$Q$29,3,FALSE),1,0)</f>
        <v>0</v>
      </c>
      <c r="E69">
        <f>IF(VLOOKUP(E$1,main!$A$3:$H$102,5,FALSE)-VLOOKUP($A69,main!$A$3:$H$102,6,FALSE)&gt;=main!$D$103+VLOOKUP(VLOOKUP(E$1,main!$A$3:$I$102,7,FALSE),main!$K$26:$Q$29,3,FALSE),1,0)</f>
        <v>0</v>
      </c>
      <c r="F69">
        <f>IF(VLOOKUP(F$1,main!$A$3:$H$102,5,FALSE)-VLOOKUP($A69,main!$A$3:$H$102,6,FALSE)&gt;=main!$D$103+VLOOKUP(VLOOKUP(F$1,main!$A$3:$I$102,7,FALSE),main!$K$26:$Q$29,3,FALSE),1,0)</f>
        <v>0</v>
      </c>
      <c r="G69">
        <f>IF(VLOOKUP(G$1,main!$A$3:$H$102,5,FALSE)-VLOOKUP($A69,main!$A$3:$H$102,6,FALSE)&gt;=main!$D$103+VLOOKUP(VLOOKUP(G$1,main!$A$3:$I$102,7,FALSE),main!$K$26:$Q$29,3,FALSE),1,0)</f>
        <v>0</v>
      </c>
      <c r="H69">
        <f>IF(VLOOKUP(H$1,main!$A$3:$H$102,5,FALSE)-VLOOKUP($A69,main!$A$3:$H$102,6,FALSE)&gt;=main!$D$103+VLOOKUP(VLOOKUP(H$1,main!$A$3:$I$102,7,FALSE),main!$K$26:$Q$29,3,FALSE),1,0)</f>
        <v>0</v>
      </c>
      <c r="I69">
        <f>IF(VLOOKUP(I$1,main!$A$3:$H$102,5,FALSE)-VLOOKUP($A69,main!$A$3:$H$102,6,FALSE)&gt;=main!$D$103+VLOOKUP(VLOOKUP(I$1,main!$A$3:$I$102,7,FALSE),main!$K$26:$Q$29,3,FALSE),1,0)</f>
        <v>1</v>
      </c>
      <c r="J69">
        <f>IF(VLOOKUP(J$1,main!$A$3:$H$102,5,FALSE)-VLOOKUP($A69,main!$A$3:$H$102,6,FALSE)&gt;=main!$D$103+VLOOKUP(VLOOKUP(J$1,main!$A$3:$I$102,7,FALSE),main!$K$26:$Q$29,3,FALSE),1,0)</f>
        <v>1</v>
      </c>
      <c r="K69">
        <f>IF(VLOOKUP(K$1,main!$A$3:$H$102,5,FALSE)-VLOOKUP($A69,main!$A$3:$H$102,6,FALSE)&gt;=main!$D$103+VLOOKUP(VLOOKUP(K$1,main!$A$3:$I$102,7,FALSE),main!$K$26:$Q$29,3,FALSE),1,0)</f>
        <v>1</v>
      </c>
      <c r="L69">
        <f>IF(VLOOKUP(L$1,main!$A$3:$H$102,5,FALSE)-VLOOKUP($A69,main!$A$3:$H$102,6,FALSE)&gt;=main!$D$103+VLOOKUP(VLOOKUP(L$1,main!$A$3:$I$102,7,FALSE),main!$K$26:$Q$29,3,FALSE),1,0)</f>
        <v>1</v>
      </c>
      <c r="M69">
        <f>IF(VLOOKUP(M$1,main!$A$3:$H$102,5,FALSE)-VLOOKUP($A69,main!$A$3:$H$102,6,FALSE)&gt;=main!$D$103+VLOOKUP(VLOOKUP(M$1,main!$A$3:$I$102,7,FALSE),main!$K$26:$Q$29,3,FALSE),1,0)</f>
        <v>0</v>
      </c>
      <c r="N69">
        <f>IF(VLOOKUP(N$1,main!$A$3:$H$102,5,FALSE)-VLOOKUP($A69,main!$A$3:$H$102,6,FALSE)&gt;=main!$D$103+VLOOKUP(VLOOKUP(N$1,main!$A$3:$I$102,7,FALSE),main!$K$26:$Q$29,3,FALSE),1,0)</f>
        <v>0</v>
      </c>
      <c r="O69">
        <f>IF(VLOOKUP(O$1,main!$A$3:$H$102,5,FALSE)-VLOOKUP($A69,main!$A$3:$H$102,6,FALSE)&gt;=main!$D$103+VLOOKUP(VLOOKUP(O$1,main!$A$3:$I$102,7,FALSE),main!$K$26:$Q$29,3,FALSE),1,0)</f>
        <v>0</v>
      </c>
      <c r="P69">
        <f>IF(VLOOKUP(P$1,main!$A$3:$H$102,5,FALSE)-VLOOKUP($A69,main!$A$3:$H$102,6,FALSE)&gt;=main!$D$103+VLOOKUP(VLOOKUP(P$1,main!$A$3:$I$102,7,FALSE),main!$K$26:$Q$29,3,FALSE),1,0)</f>
        <v>0</v>
      </c>
      <c r="Q69">
        <f>IF(VLOOKUP(Q$1,main!$A$3:$H$102,5,FALSE)-VLOOKUP($A69,main!$A$3:$H$102,6,FALSE)&gt;=main!$D$103+VLOOKUP(VLOOKUP(Q$1,main!$A$3:$I$102,7,FALSE),main!$K$26:$Q$29,3,FALSE),1,0)</f>
        <v>0</v>
      </c>
      <c r="R69">
        <f>IF(VLOOKUP(R$1,main!$A$3:$H$102,5,FALSE)-VLOOKUP($A69,main!$A$3:$H$102,6,FALSE)&gt;=main!$D$103+VLOOKUP(VLOOKUP(R$1,main!$A$3:$I$102,7,FALSE),main!$K$26:$Q$29,3,FALSE),1,0)</f>
        <v>0</v>
      </c>
      <c r="S69">
        <f>IF(VLOOKUP(S$1,main!$A$3:$H$102,5,FALSE)-VLOOKUP($A69,main!$A$3:$H$102,6,FALSE)&gt;=main!$D$103+VLOOKUP(VLOOKUP(S$1,main!$A$3:$I$102,7,FALSE),main!$K$26:$Q$29,3,FALSE),1,0)</f>
        <v>0</v>
      </c>
      <c r="T69">
        <f>IF(VLOOKUP(T$1,main!$A$3:$H$102,5,FALSE)-VLOOKUP($A69,main!$A$3:$H$102,6,FALSE)&gt;=main!$D$103+VLOOKUP(VLOOKUP(T$1,main!$A$3:$I$102,7,FALSE),main!$K$26:$Q$29,3,FALSE),1,0)</f>
        <v>1</v>
      </c>
      <c r="U69">
        <f>IF(VLOOKUP(U$1,main!$A$3:$H$102,5,FALSE)-VLOOKUP($A69,main!$A$3:$H$102,6,FALSE)&gt;=main!$D$103+VLOOKUP(VLOOKUP(U$1,main!$A$3:$I$102,7,FALSE),main!$K$26:$Q$29,3,FALSE),1,0)</f>
        <v>1</v>
      </c>
      <c r="V69">
        <f>IF(VLOOKUP(V$1,main!$A$3:$H$102,5,FALSE)-VLOOKUP($A69,main!$A$3:$H$102,6,FALSE)&gt;=main!$D$103+VLOOKUP(VLOOKUP(V$1,main!$A$3:$I$102,7,FALSE),main!$K$26:$Q$29,3,FALSE),1,0)</f>
        <v>1</v>
      </c>
      <c r="W69">
        <f>IF(VLOOKUP(W$1,main!$A$3:$H$102,5,FALSE)-VLOOKUP($A69,main!$A$3:$H$102,6,FALSE)&gt;=main!$D$103+VLOOKUP(VLOOKUP(W$1,main!$A$3:$I$102,7,FALSE),main!$K$26:$Q$29,3,FALSE),1,0)</f>
        <v>0</v>
      </c>
      <c r="X69">
        <f>IF(VLOOKUP(X$1,main!$A$3:$H$102,5,FALSE)-VLOOKUP($A69,main!$A$3:$H$102,6,FALSE)&gt;=main!$D$103+VLOOKUP(VLOOKUP(X$1,main!$A$3:$I$102,7,FALSE),main!$K$26:$Q$29,3,FALSE),1,0)</f>
        <v>0</v>
      </c>
      <c r="Y69">
        <f>IF(VLOOKUP(Y$1,main!$A$3:$H$102,5,FALSE)-VLOOKUP($A69,main!$A$3:$H$102,6,FALSE)&gt;=main!$D$103+VLOOKUP(VLOOKUP(Y$1,main!$A$3:$I$102,7,FALSE),main!$K$26:$Q$29,3,FALSE),1,0)</f>
        <v>0</v>
      </c>
      <c r="Z69">
        <f>IF(VLOOKUP(Z$1,main!$A$3:$H$102,5,FALSE)-VLOOKUP($A69,main!$A$3:$H$102,6,FALSE)&gt;=main!$D$103+VLOOKUP(VLOOKUP(Z$1,main!$A$3:$I$102,7,FALSE),main!$K$26:$Q$29,3,FALSE),1,0)</f>
        <v>0</v>
      </c>
      <c r="AA69">
        <f>IF(VLOOKUP(AA$1,main!$A$3:$H$102,5,FALSE)-VLOOKUP($A69,main!$A$3:$H$102,6,FALSE)&gt;=main!$D$103+VLOOKUP(VLOOKUP(AA$1,main!$A$3:$I$102,7,FALSE),main!$K$26:$Q$29,3,FALSE),1,0)</f>
        <v>1</v>
      </c>
      <c r="AB69">
        <f>IF(VLOOKUP(AB$1,main!$A$3:$H$102,5,FALSE)-VLOOKUP($A69,main!$A$3:$H$102,6,FALSE)&gt;=main!$D$103+VLOOKUP(VLOOKUP(AB$1,main!$A$3:$I$102,7,FALSE),main!$K$26:$Q$29,3,FALSE),1,0)</f>
        <v>0</v>
      </c>
      <c r="AC69">
        <f>IF(VLOOKUP(AC$1,main!$A$3:$H$102,5,FALSE)-VLOOKUP($A69,main!$A$3:$H$102,6,FALSE)&gt;=main!$D$103+VLOOKUP(VLOOKUP(AC$1,main!$A$3:$I$102,7,FALSE),main!$K$26:$Q$29,3,FALSE),1,0)</f>
        <v>0</v>
      </c>
      <c r="AD69">
        <f>IF(VLOOKUP(AD$1,main!$A$3:$H$102,5,FALSE)-VLOOKUP($A69,main!$A$3:$H$102,6,FALSE)&gt;=main!$D$103+VLOOKUP(VLOOKUP(AD$1,main!$A$3:$I$102,7,FALSE),main!$K$26:$Q$29,3,FALSE),1,0)</f>
        <v>0</v>
      </c>
      <c r="AE69">
        <f>IF(VLOOKUP(AE$1,main!$A$3:$H$102,5,FALSE)-VLOOKUP($A69,main!$A$3:$H$102,6,FALSE)&gt;=main!$D$103+VLOOKUP(VLOOKUP(AE$1,main!$A$3:$I$102,7,FALSE),main!$K$26:$Q$29,3,FALSE),1,0)</f>
        <v>0</v>
      </c>
      <c r="AF69">
        <f>IF(VLOOKUP(AF$1,main!$A$3:$H$102,5,FALSE)-VLOOKUP($A69,main!$A$3:$H$102,6,FALSE)&gt;=main!$D$103+VLOOKUP(VLOOKUP(AF$1,main!$A$3:$I$102,7,FALSE),main!$K$26:$Q$29,3,FALSE),1,0)</f>
        <v>1</v>
      </c>
      <c r="AG69">
        <f>IF(VLOOKUP(AG$1,main!$A$3:$H$102,5,FALSE)-VLOOKUP($A69,main!$A$3:$H$102,6,FALSE)&gt;=main!$D$103+VLOOKUP(VLOOKUP(AG$1,main!$A$3:$I$102,7,FALSE),main!$K$26:$Q$29,3,FALSE),1,0)</f>
        <v>0</v>
      </c>
      <c r="AH69">
        <f>IF(VLOOKUP(AH$1,main!$A$3:$H$102,5,FALSE)-VLOOKUP($A69,main!$A$3:$H$102,6,FALSE)&gt;=main!$D$103+VLOOKUP(VLOOKUP(AH$1,main!$A$3:$I$102,7,FALSE),main!$K$26:$Q$29,3,FALSE),1,0)</f>
        <v>0</v>
      </c>
      <c r="AI69">
        <f>IF(VLOOKUP(AI$1,main!$A$3:$H$102,5,FALSE)-VLOOKUP($A69,main!$A$3:$H$102,6,FALSE)&gt;=main!$D$103+VLOOKUP(VLOOKUP(AI$1,main!$A$3:$I$102,7,FALSE),main!$K$26:$Q$29,3,FALSE),1,0)</f>
        <v>0</v>
      </c>
      <c r="AJ69">
        <f>IF(VLOOKUP(AJ$1,main!$A$3:$H$102,5,FALSE)-VLOOKUP($A69,main!$A$3:$H$102,6,FALSE)&gt;=main!$D$103+VLOOKUP(VLOOKUP(AJ$1,main!$A$3:$I$102,7,FALSE),main!$K$26:$Q$29,3,FALSE),1,0)</f>
        <v>0</v>
      </c>
      <c r="AK69">
        <f>IF(VLOOKUP(AK$1,main!$A$3:$H$102,5,FALSE)-VLOOKUP($A69,main!$A$3:$H$102,6,FALSE)&gt;=main!$D$103+VLOOKUP(VLOOKUP(AK$1,main!$A$3:$I$102,7,FALSE),main!$K$26:$Q$29,3,FALSE),1,0)</f>
        <v>0</v>
      </c>
      <c r="AL69">
        <f>IF(VLOOKUP(AL$1,main!$A$3:$H$102,5,FALSE)-VLOOKUP($A69,main!$A$3:$H$102,6,FALSE)&gt;=main!$D$103+VLOOKUP(VLOOKUP(AL$1,main!$A$3:$I$102,7,FALSE),main!$K$26:$Q$29,3,FALSE),1,0)</f>
        <v>1</v>
      </c>
      <c r="AM69">
        <f>IF(VLOOKUP(AM$1,main!$A$3:$H$102,5,FALSE)-VLOOKUP($A69,main!$A$3:$H$102,6,FALSE)&gt;=main!$D$103+VLOOKUP(VLOOKUP(AM$1,main!$A$3:$I$102,7,FALSE),main!$K$26:$Q$29,3,FALSE),1,0)</f>
        <v>1</v>
      </c>
      <c r="AN69">
        <f>IF(VLOOKUP(AN$1,main!$A$3:$H$102,5,FALSE)-VLOOKUP($A69,main!$A$3:$H$102,6,FALSE)&gt;=main!$D$103+VLOOKUP(VLOOKUP(AN$1,main!$A$3:$I$102,7,FALSE),main!$K$26:$Q$29,3,FALSE),1,0)</f>
        <v>1</v>
      </c>
      <c r="AO69">
        <f>IF(VLOOKUP(AO$1,main!$A$3:$H$102,5,FALSE)-VLOOKUP($A69,main!$A$3:$H$102,6,FALSE)&gt;=main!$D$103+VLOOKUP(VLOOKUP(AO$1,main!$A$3:$I$102,7,FALSE),main!$K$26:$Q$29,3,FALSE),1,0)</f>
        <v>0</v>
      </c>
      <c r="AP69">
        <f>IF(VLOOKUP(AP$1,main!$A$3:$H$102,5,FALSE)-VLOOKUP($A69,main!$A$3:$H$102,6,FALSE)&gt;=main!$D$103+VLOOKUP(VLOOKUP(AP$1,main!$A$3:$I$102,7,FALSE),main!$K$26:$Q$29,3,FALSE),1,0)</f>
        <v>1</v>
      </c>
      <c r="AQ69">
        <f>IF(VLOOKUP(AQ$1,main!$A$3:$H$102,5,FALSE)-VLOOKUP($A69,main!$A$3:$H$102,6,FALSE)&gt;=main!$D$103+VLOOKUP(VLOOKUP(AQ$1,main!$A$3:$I$102,7,FALSE),main!$K$26:$Q$29,3,FALSE),1,0)</f>
        <v>0</v>
      </c>
      <c r="AR69">
        <f>IF(VLOOKUP(AR$1,main!$A$3:$H$102,5,FALSE)-VLOOKUP($A69,main!$A$3:$H$102,6,FALSE)&gt;=main!$D$103+VLOOKUP(VLOOKUP(AR$1,main!$A$3:$I$102,7,FALSE),main!$K$26:$Q$29,3,FALSE),1,0)</f>
        <v>0</v>
      </c>
      <c r="AS69">
        <f>IF(VLOOKUP(AS$1,main!$A$3:$H$102,5,FALSE)-VLOOKUP($A69,main!$A$3:$H$102,6,FALSE)&gt;=main!$D$103+VLOOKUP(VLOOKUP(AS$1,main!$A$3:$I$102,7,FALSE),main!$K$26:$Q$29,3,FALSE),1,0)</f>
        <v>0</v>
      </c>
      <c r="AT69">
        <f>IF(VLOOKUP(AT$1,main!$A$3:$H$102,5,FALSE)-VLOOKUP($A69,main!$A$3:$H$102,6,FALSE)&gt;=main!$D$103+VLOOKUP(VLOOKUP(AT$1,main!$A$3:$I$102,7,FALSE),main!$K$26:$Q$29,3,FALSE),1,0)</f>
        <v>0</v>
      </c>
      <c r="AU69">
        <f>IF(VLOOKUP(AU$1,main!$A$3:$H$102,5,FALSE)-VLOOKUP($A69,main!$A$3:$H$102,6,FALSE)&gt;=main!$D$103+VLOOKUP(VLOOKUP(AU$1,main!$A$3:$I$102,7,FALSE),main!$K$26:$Q$29,3,FALSE),1,0)</f>
        <v>0</v>
      </c>
      <c r="AV69">
        <f>IF(VLOOKUP(AV$1,main!$A$3:$H$102,5,FALSE)-VLOOKUP($A69,main!$A$3:$H$102,6,FALSE)&gt;=main!$D$103+VLOOKUP(VLOOKUP(AV$1,main!$A$3:$I$102,7,FALSE),main!$K$26:$Q$29,3,FALSE),1,0)</f>
        <v>0</v>
      </c>
      <c r="AW69">
        <f>IF(VLOOKUP(AW$1,main!$A$3:$H$102,5,FALSE)-VLOOKUP($A69,main!$A$3:$H$102,6,FALSE)&gt;=main!$D$103+VLOOKUP(VLOOKUP(AW$1,main!$A$3:$I$102,7,FALSE),main!$K$26:$Q$29,3,FALSE),1,0)</f>
        <v>0</v>
      </c>
      <c r="AX69">
        <f>IF(VLOOKUP(AX$1,main!$A$3:$H$102,5,FALSE)-VLOOKUP($A69,main!$A$3:$H$102,6,FALSE)&gt;=main!$D$103+VLOOKUP(VLOOKUP(AX$1,main!$A$3:$I$102,7,FALSE),main!$K$26:$Q$29,3,FALSE),1,0)</f>
        <v>0</v>
      </c>
      <c r="AY69">
        <f>IF(VLOOKUP(AY$1,main!$A$3:$H$102,5,FALSE)-VLOOKUP($A69,main!$A$3:$H$102,6,FALSE)&gt;=main!$D$103+VLOOKUP(VLOOKUP(AY$1,main!$A$3:$I$102,7,FALSE),main!$K$26:$Q$29,3,FALSE),1,0)</f>
        <v>0</v>
      </c>
      <c r="AZ69">
        <f>IF(VLOOKUP(AZ$1,main!$A$3:$H$102,5,FALSE)-VLOOKUP($A69,main!$A$3:$H$102,6,FALSE)&gt;=main!$D$103+VLOOKUP(VLOOKUP(AZ$1,main!$A$3:$I$102,7,FALSE),main!$K$26:$Q$29,3,FALSE),1,0)</f>
        <v>0</v>
      </c>
      <c r="BA69">
        <f>IF(VLOOKUP(BA$1,main!$A$3:$H$102,5,FALSE)-VLOOKUP($A69,main!$A$3:$H$102,6,FALSE)&gt;=main!$D$103+VLOOKUP(VLOOKUP(BA$1,main!$A$3:$I$102,7,FALSE),main!$K$26:$Q$29,3,FALSE),1,0)</f>
        <v>0</v>
      </c>
      <c r="BB69">
        <f>IF(VLOOKUP(BB$1,main!$A$3:$H$102,5,FALSE)-VLOOKUP($A69,main!$A$3:$H$102,6,FALSE)&gt;=main!$D$103+VLOOKUP(VLOOKUP(BB$1,main!$A$3:$I$102,7,FALSE),main!$K$26:$Q$29,3,FALSE),1,0)</f>
        <v>0</v>
      </c>
      <c r="BC69">
        <f>IF(VLOOKUP(BC$1,main!$A$3:$H$102,5,FALSE)-VLOOKUP($A69,main!$A$3:$H$102,6,FALSE)&gt;=main!$D$103+VLOOKUP(VLOOKUP(BC$1,main!$A$3:$I$102,7,FALSE),main!$K$26:$Q$29,3,FALSE),1,0)</f>
        <v>0</v>
      </c>
      <c r="BD69">
        <f>IF(VLOOKUP(BD$1,main!$A$3:$H$102,5,FALSE)-VLOOKUP($A69,main!$A$3:$H$102,6,FALSE)&gt;=main!$D$103+VLOOKUP(VLOOKUP(BD$1,main!$A$3:$I$102,7,FALSE),main!$K$26:$Q$29,3,FALSE),1,0)</f>
        <v>0</v>
      </c>
      <c r="BE69">
        <f>IF(VLOOKUP(BE$1,main!$A$3:$H$102,5,FALSE)-VLOOKUP($A69,main!$A$3:$H$102,6,FALSE)&gt;=main!$D$103+VLOOKUP(VLOOKUP(BE$1,main!$A$3:$I$102,7,FALSE),main!$K$26:$Q$29,3,FALSE),1,0)</f>
        <v>1</v>
      </c>
      <c r="BF69">
        <f>IF(VLOOKUP(BF$1,main!$A$3:$H$102,5,FALSE)-VLOOKUP($A69,main!$A$3:$H$102,6,FALSE)&gt;=main!$D$103+VLOOKUP(VLOOKUP(BF$1,main!$A$3:$I$102,7,FALSE),main!$K$26:$Q$29,3,FALSE),1,0)</f>
        <v>0</v>
      </c>
      <c r="BG69">
        <f>IF(VLOOKUP(BG$1,main!$A$3:$H$102,5,FALSE)-VLOOKUP($A69,main!$A$3:$H$102,6,FALSE)&gt;=main!$D$103+VLOOKUP(VLOOKUP(BG$1,main!$A$3:$I$102,7,FALSE),main!$K$26:$Q$29,3,FALSE),1,0)</f>
        <v>0</v>
      </c>
      <c r="BH69">
        <f>IF(VLOOKUP(BH$1,main!$A$3:$H$102,5,FALSE)-VLOOKUP($A69,main!$A$3:$H$102,6,FALSE)&gt;=main!$D$103+VLOOKUP(VLOOKUP(BH$1,main!$A$3:$I$102,7,FALSE),main!$K$26:$Q$29,3,FALSE),1,0)</f>
        <v>0</v>
      </c>
      <c r="BI69">
        <f>IF(VLOOKUP(BI$1,main!$A$3:$H$102,5,FALSE)-VLOOKUP($A69,main!$A$3:$H$102,6,FALSE)&gt;=main!$D$103+VLOOKUP(VLOOKUP(BI$1,main!$A$3:$I$102,7,FALSE),main!$K$26:$Q$29,3,FALSE),1,0)</f>
        <v>1</v>
      </c>
      <c r="BJ69">
        <f>IF(VLOOKUP(BJ$1,main!$A$3:$H$102,5,FALSE)-VLOOKUP($A69,main!$A$3:$H$102,6,FALSE)&gt;=main!$D$103+VLOOKUP(VLOOKUP(BJ$1,main!$A$3:$I$102,7,FALSE),main!$K$26:$Q$29,3,FALSE),1,0)</f>
        <v>1</v>
      </c>
      <c r="BK69">
        <f>IF(VLOOKUP(BK$1,main!$A$3:$H$102,5,FALSE)-VLOOKUP($A69,main!$A$3:$H$102,6,FALSE)&gt;=main!$D$103+VLOOKUP(VLOOKUP(BK$1,main!$A$3:$I$102,7,FALSE),main!$K$26:$Q$29,3,FALSE),1,0)</f>
        <v>0</v>
      </c>
      <c r="BL69">
        <f>IF(VLOOKUP(BL$1,main!$A$3:$H$102,5,FALSE)-VLOOKUP($A69,main!$A$3:$H$102,6,FALSE)&gt;=main!$D$103+VLOOKUP(VLOOKUP(BL$1,main!$A$3:$I$102,7,FALSE),main!$K$26:$Q$29,3,FALSE),1,0)</f>
        <v>0</v>
      </c>
      <c r="BM69">
        <f>IF(VLOOKUP(BM$1,main!$A$3:$H$102,5,FALSE)-VLOOKUP($A69,main!$A$3:$H$102,6,FALSE)&gt;=main!$D$103+VLOOKUP(VLOOKUP(BM$1,main!$A$3:$I$102,7,FALSE),main!$K$26:$Q$29,3,FALSE),1,0)</f>
        <v>0</v>
      </c>
      <c r="BN69">
        <f>IF(VLOOKUP(BN$1,main!$A$3:$H$102,5,FALSE)-VLOOKUP($A69,main!$A$3:$H$102,6,FALSE)&gt;=main!$D$103+VLOOKUP(VLOOKUP(BN$1,main!$A$3:$I$102,7,FALSE),main!$K$26:$Q$29,3,FALSE),1,0)</f>
        <v>0</v>
      </c>
      <c r="BO69">
        <f>IF(VLOOKUP(BO$1,main!$A$3:$H$102,5,FALSE)-VLOOKUP($A69,main!$A$3:$H$102,6,FALSE)&gt;=main!$D$103+VLOOKUP(VLOOKUP(BO$1,main!$A$3:$I$102,7,FALSE),main!$K$26:$Q$29,3,FALSE),1,0)</f>
        <v>0</v>
      </c>
      <c r="BP69">
        <f>IF(VLOOKUP(BP$1,main!$A$3:$H$102,5,FALSE)-VLOOKUP($A69,main!$A$3:$H$102,6,FALSE)&gt;=main!$D$103+VLOOKUP(VLOOKUP(BP$1,main!$A$3:$I$102,7,FALSE),main!$K$26:$Q$29,3,FALSE),1,0)</f>
        <v>0</v>
      </c>
      <c r="BQ69">
        <f>IF(VLOOKUP(BQ$1,main!$A$3:$H$102,5,FALSE)-VLOOKUP($A69,main!$A$3:$H$102,6,FALSE)&gt;=main!$D$103+VLOOKUP(VLOOKUP(BQ$1,main!$A$3:$I$102,7,FALSE),main!$K$26:$Q$29,3,FALSE),1,0)</f>
        <v>0</v>
      </c>
      <c r="BR69">
        <f>IF(VLOOKUP(BR$1,main!$A$3:$H$102,5,FALSE)-VLOOKUP($A69,main!$A$3:$H$102,6,FALSE)&gt;=main!$D$103+VLOOKUP(VLOOKUP(BR$1,main!$A$3:$I$102,7,FALSE),main!$K$26:$Q$29,3,FALSE),1,0)</f>
        <v>0</v>
      </c>
      <c r="BS69">
        <f>IF(VLOOKUP(BS$1,main!$A$3:$H$102,5,FALSE)-VLOOKUP($A69,main!$A$3:$H$102,6,FALSE)&gt;=main!$D$103+VLOOKUP(VLOOKUP(BS$1,main!$A$3:$I$102,7,FALSE),main!$K$26:$Q$29,3,FALSE),1,0)</f>
        <v>0</v>
      </c>
      <c r="BT69">
        <f>IF(VLOOKUP(BT$1,main!$A$3:$H$102,5,FALSE)-VLOOKUP($A69,main!$A$3:$H$102,6,FALSE)&gt;=main!$D$103+VLOOKUP(VLOOKUP(BT$1,main!$A$3:$I$102,7,FALSE),main!$K$26:$Q$29,3,FALSE),1,0)</f>
        <v>0</v>
      </c>
      <c r="BU69">
        <f>IF(VLOOKUP(BU$1,main!$A$3:$H$102,5,FALSE)-VLOOKUP($A69,main!$A$3:$H$102,6,FALSE)&gt;=main!$D$103+VLOOKUP(VLOOKUP(BU$1,main!$A$3:$I$102,7,FALSE),main!$K$26:$Q$29,3,FALSE),1,0)</f>
        <v>0</v>
      </c>
      <c r="BV69">
        <f>IF(VLOOKUP(BV$1,main!$A$3:$H$102,5,FALSE)-VLOOKUP($A69,main!$A$3:$H$102,6,FALSE)&gt;=main!$D$103+VLOOKUP(VLOOKUP(BV$1,main!$A$3:$I$102,7,FALSE),main!$K$26:$Q$29,3,FALSE),1,0)</f>
        <v>0</v>
      </c>
      <c r="BW69">
        <f>IF(VLOOKUP(BW$1,main!$A$3:$H$102,5,FALSE)-VLOOKUP($A69,main!$A$3:$H$102,6,FALSE)&gt;=main!$D$103+VLOOKUP(VLOOKUP(BW$1,main!$A$3:$I$102,7,FALSE),main!$K$26:$Q$29,3,FALSE),1,0)</f>
        <v>0</v>
      </c>
      <c r="BX69">
        <f>IF(VLOOKUP(BX$1,main!$A$3:$H$102,5,FALSE)-VLOOKUP($A69,main!$A$3:$H$102,6,FALSE)&gt;=main!$D$103+VLOOKUP(VLOOKUP(BX$1,main!$A$3:$I$102,7,FALSE),main!$K$26:$Q$29,3,FALSE),1,0)</f>
        <v>0</v>
      </c>
      <c r="BY69">
        <f>IF(VLOOKUP(BY$1,main!$A$3:$H$102,5,FALSE)-VLOOKUP($A69,main!$A$3:$H$102,6,FALSE)&gt;=main!$D$103+VLOOKUP(VLOOKUP(BY$1,main!$A$3:$I$102,7,FALSE),main!$K$26:$Q$29,3,FALSE),1,0)</f>
        <v>0</v>
      </c>
      <c r="BZ69">
        <f>IF(VLOOKUP(BZ$1,main!$A$3:$H$102,5,FALSE)-VLOOKUP($A69,main!$A$3:$H$102,6,FALSE)&gt;=main!$D$103+VLOOKUP(VLOOKUP(BZ$1,main!$A$3:$I$102,7,FALSE),main!$K$26:$Q$29,3,FALSE),1,0)</f>
        <v>0</v>
      </c>
      <c r="CA69">
        <f>IF(VLOOKUP(CA$1,main!$A$3:$H$102,5,FALSE)-VLOOKUP($A69,main!$A$3:$H$102,6,FALSE)&gt;=main!$D$103+VLOOKUP(VLOOKUP(CA$1,main!$A$3:$I$102,7,FALSE),main!$K$26:$Q$29,3,FALSE),1,0)</f>
        <v>0</v>
      </c>
      <c r="CB69">
        <f>IF(VLOOKUP(CB$1,main!$A$3:$H$102,5,FALSE)-VLOOKUP($A69,main!$A$3:$H$102,6,FALSE)&gt;=main!$D$103+VLOOKUP(VLOOKUP(CB$1,main!$A$3:$I$102,7,FALSE),main!$K$26:$Q$29,3,FALSE),1,0)</f>
        <v>0</v>
      </c>
      <c r="CC69">
        <f>IF(VLOOKUP(CC$1,main!$A$3:$H$102,5,FALSE)-VLOOKUP($A69,main!$A$3:$H$102,6,FALSE)&gt;=main!$D$103+VLOOKUP(VLOOKUP(CC$1,main!$A$3:$I$102,7,FALSE),main!$K$26:$Q$29,3,FALSE),1,0)</f>
        <v>1</v>
      </c>
      <c r="CD69">
        <f>IF(VLOOKUP(CD$1,main!$A$3:$H$102,5,FALSE)-VLOOKUP($A69,main!$A$3:$H$102,6,FALSE)&gt;=main!$D$103+VLOOKUP(VLOOKUP(CD$1,main!$A$3:$I$102,7,FALSE),main!$K$26:$Q$29,3,FALSE),1,0)</f>
        <v>0</v>
      </c>
      <c r="CE69">
        <f>IF(VLOOKUP(CE$1,main!$A$3:$H$102,5,FALSE)-VLOOKUP($A69,main!$A$3:$H$102,6,FALSE)&gt;=main!$D$103+VLOOKUP(VLOOKUP(CE$1,main!$A$3:$I$102,7,FALSE),main!$K$26:$Q$29,3,FALSE),1,0)</f>
        <v>0</v>
      </c>
      <c r="CF69">
        <f>IF(VLOOKUP(CF$1,main!$A$3:$H$102,5,FALSE)-VLOOKUP($A69,main!$A$3:$H$102,6,FALSE)&gt;=main!$D$103+VLOOKUP(VLOOKUP(CF$1,main!$A$3:$I$102,7,FALSE),main!$K$26:$Q$29,3,FALSE),1,0)</f>
        <v>0</v>
      </c>
      <c r="CG69">
        <f>IF(VLOOKUP(CG$1,main!$A$3:$H$102,5,FALSE)-VLOOKUP($A69,main!$A$3:$H$102,6,FALSE)&gt;=main!$D$103+VLOOKUP(VLOOKUP(CG$1,main!$A$3:$I$102,7,FALSE),main!$K$26:$Q$29,3,FALSE),1,0)</f>
        <v>0</v>
      </c>
      <c r="CH69">
        <f>IF(VLOOKUP(CH$1,main!$A$3:$H$102,5,FALSE)-VLOOKUP($A69,main!$A$3:$H$102,6,FALSE)&gt;=main!$D$103+VLOOKUP(VLOOKUP(CH$1,main!$A$3:$I$102,7,FALSE),main!$K$26:$Q$29,3,FALSE),1,0)</f>
        <v>1</v>
      </c>
      <c r="CI69">
        <f>IF(VLOOKUP(CI$1,main!$A$3:$H$102,5,FALSE)-VLOOKUP($A69,main!$A$3:$H$102,6,FALSE)&gt;=main!$D$103+VLOOKUP(VLOOKUP(CI$1,main!$A$3:$I$102,7,FALSE),main!$K$26:$Q$29,3,FALSE),1,0)</f>
        <v>1</v>
      </c>
      <c r="CJ69">
        <f>IF(VLOOKUP(CJ$1,main!$A$3:$H$102,5,FALSE)-VLOOKUP($A69,main!$A$3:$H$102,6,FALSE)&gt;=main!$D$103+VLOOKUP(VLOOKUP(CJ$1,main!$A$3:$I$102,7,FALSE),main!$K$26:$Q$29,3,FALSE),1,0)</f>
        <v>0</v>
      </c>
      <c r="CK69">
        <f>IF(VLOOKUP(CK$1,main!$A$3:$H$102,5,FALSE)-VLOOKUP($A69,main!$A$3:$H$102,6,FALSE)&gt;=main!$D$103+VLOOKUP(VLOOKUP(CK$1,main!$A$3:$I$102,7,FALSE),main!$K$26:$Q$29,3,FALSE),1,0)</f>
        <v>0</v>
      </c>
      <c r="CL69">
        <f>IF(VLOOKUP(CL$1,main!$A$3:$H$102,5,FALSE)-VLOOKUP($A69,main!$A$3:$H$102,6,FALSE)&gt;=main!$D$103+VLOOKUP(VLOOKUP(CL$1,main!$A$3:$I$102,7,FALSE),main!$K$26:$Q$29,3,FALSE),1,0)</f>
        <v>0</v>
      </c>
      <c r="CM69">
        <f>IF(VLOOKUP(CM$1,main!$A$3:$H$102,5,FALSE)-VLOOKUP($A69,main!$A$3:$H$102,6,FALSE)&gt;=main!$D$103+VLOOKUP(VLOOKUP(CM$1,main!$A$3:$I$102,7,FALSE),main!$K$26:$Q$29,3,FALSE),1,0)</f>
        <v>1</v>
      </c>
      <c r="CN69">
        <f>IF(VLOOKUP(CN$1,main!$A$3:$H$102,5,FALSE)-VLOOKUP($A69,main!$A$3:$H$102,6,FALSE)&gt;=main!$D$103+VLOOKUP(VLOOKUP(CN$1,main!$A$3:$I$102,7,FALSE),main!$K$26:$Q$29,3,FALSE),1,0)</f>
        <v>1</v>
      </c>
      <c r="CO69">
        <f>IF(VLOOKUP(CO$1,main!$A$3:$H$102,5,FALSE)-VLOOKUP($A69,main!$A$3:$H$102,6,FALSE)&gt;=main!$D$103+VLOOKUP(VLOOKUP(CO$1,main!$A$3:$I$102,7,FALSE),main!$K$26:$Q$29,3,FALSE),1,0)</f>
        <v>0</v>
      </c>
      <c r="CP69">
        <f>IF(VLOOKUP(CP$1,main!$A$3:$H$102,5,FALSE)-VLOOKUP($A69,main!$A$3:$H$102,6,FALSE)&gt;=main!$D$103+VLOOKUP(VLOOKUP(CP$1,main!$A$3:$I$102,7,FALSE),main!$K$26:$Q$29,3,FALSE),1,0)</f>
        <v>0</v>
      </c>
      <c r="CQ69">
        <f>IF(VLOOKUP(CQ$1,main!$A$3:$H$102,5,FALSE)-VLOOKUP($A69,main!$A$3:$H$102,6,FALSE)&gt;=main!$D$103+VLOOKUP(VLOOKUP(CQ$1,main!$A$3:$I$102,7,FALSE),main!$K$26:$Q$29,3,FALSE),1,0)</f>
        <v>0</v>
      </c>
      <c r="CR69">
        <f>IF(VLOOKUP(CR$1,main!$A$3:$H$102,5,FALSE)-VLOOKUP($A69,main!$A$3:$H$102,6,FALSE)&gt;=main!$D$103+VLOOKUP(VLOOKUP(CR$1,main!$A$3:$I$102,7,FALSE),main!$K$26:$Q$29,3,FALSE),1,0)</f>
        <v>0</v>
      </c>
      <c r="CS69">
        <f>IF(VLOOKUP(CS$1,main!$A$3:$H$102,5,FALSE)-VLOOKUP($A69,main!$A$3:$H$102,6,FALSE)&gt;=main!$D$103+VLOOKUP(VLOOKUP(CS$1,main!$A$3:$I$102,7,FALSE),main!$K$26:$Q$29,3,FALSE),1,0)</f>
        <v>1</v>
      </c>
      <c r="CT69">
        <f>IF(VLOOKUP(CT$1,main!$A$3:$H$102,5,FALSE)-VLOOKUP($A69,main!$A$3:$H$102,6,FALSE)&gt;=main!$D$103+VLOOKUP(VLOOKUP(CT$1,main!$A$3:$I$102,7,FALSE),main!$K$26:$Q$29,3,FALSE),1,0)</f>
        <v>0</v>
      </c>
      <c r="CU69">
        <f>IF(VLOOKUP(CU$1,main!$A$3:$H$102,5,FALSE)-VLOOKUP($A69,main!$A$3:$H$102,6,FALSE)&gt;=main!$D$103+VLOOKUP(VLOOKUP(CU$1,main!$A$3:$I$102,7,FALSE),main!$K$26:$Q$29,3,FALSE),1,0)</f>
        <v>0</v>
      </c>
      <c r="CV69">
        <f>IF(VLOOKUP(CV$1,main!$A$3:$H$102,5,FALSE)-VLOOKUP($A69,main!$A$3:$H$102,6,FALSE)&gt;=main!$D$103+VLOOKUP(VLOOKUP(CV$1,main!$A$3:$I$102,7,FALSE),main!$K$26:$Q$29,3,FALSE),1,0)</f>
        <v>0</v>
      </c>
      <c r="CW69">
        <f>IF(VLOOKUP(CW$1,main!$A$3:$H$102,5,FALSE)-VLOOKUP($A69,main!$A$3:$H$102,6,FALSE)&gt;=main!$D$103+VLOOKUP(VLOOKUP(CW$1,main!$A$3:$I$102,7,FALSE),main!$K$26:$Q$29,3,FALSE),1,0)</f>
        <v>0</v>
      </c>
      <c r="CX69">
        <f>IF(VLOOKUP(CX$1,main!$A$3:$H$102,5,FALSE)-VLOOKUP($A69,main!$A$3:$H$102,6,FALSE)&gt;=main!$D$103+VLOOKUP(VLOOKUP(CX$1,main!$A$3:$I$102,7,FALSE),main!$K$26:$Q$29,3,FALSE),1,0)</f>
        <v>1</v>
      </c>
    </row>
    <row r="70" spans="1:102" x14ac:dyDescent="0.25">
      <c r="A70" s="1">
        <v>68</v>
      </c>
      <c r="B70">
        <v>0</v>
      </c>
      <c r="C70">
        <f>IF(VLOOKUP(C$1,main!$A$3:$H$102,5,FALSE)-VLOOKUP($A70,main!$A$3:$H$102,6,FALSE)&gt;=main!$D$103+VLOOKUP(VLOOKUP(C$1,main!$A$3:$I$102,7,FALSE),main!$K$26:$Q$29,3,FALSE),1,0)</f>
        <v>0</v>
      </c>
      <c r="D70">
        <f>IF(VLOOKUP(D$1,main!$A$3:$H$102,5,FALSE)-VLOOKUP($A70,main!$A$3:$H$102,6,FALSE)&gt;=main!$D$103+VLOOKUP(VLOOKUP(D$1,main!$A$3:$I$102,7,FALSE),main!$K$26:$Q$29,3,FALSE),1,0)</f>
        <v>0</v>
      </c>
      <c r="E70">
        <f>IF(VLOOKUP(E$1,main!$A$3:$H$102,5,FALSE)-VLOOKUP($A70,main!$A$3:$H$102,6,FALSE)&gt;=main!$D$103+VLOOKUP(VLOOKUP(E$1,main!$A$3:$I$102,7,FALSE),main!$K$26:$Q$29,3,FALSE),1,0)</f>
        <v>0</v>
      </c>
      <c r="F70">
        <f>IF(VLOOKUP(F$1,main!$A$3:$H$102,5,FALSE)-VLOOKUP($A70,main!$A$3:$H$102,6,FALSE)&gt;=main!$D$103+VLOOKUP(VLOOKUP(F$1,main!$A$3:$I$102,7,FALSE),main!$K$26:$Q$29,3,FALSE),1,0)</f>
        <v>0</v>
      </c>
      <c r="G70">
        <f>IF(VLOOKUP(G$1,main!$A$3:$H$102,5,FALSE)-VLOOKUP($A70,main!$A$3:$H$102,6,FALSE)&gt;=main!$D$103+VLOOKUP(VLOOKUP(G$1,main!$A$3:$I$102,7,FALSE),main!$K$26:$Q$29,3,FALSE),1,0)</f>
        <v>0</v>
      </c>
      <c r="H70">
        <f>IF(VLOOKUP(H$1,main!$A$3:$H$102,5,FALSE)-VLOOKUP($A70,main!$A$3:$H$102,6,FALSE)&gt;=main!$D$103+VLOOKUP(VLOOKUP(H$1,main!$A$3:$I$102,7,FALSE),main!$K$26:$Q$29,3,FALSE),1,0)</f>
        <v>0</v>
      </c>
      <c r="I70">
        <f>IF(VLOOKUP(I$1,main!$A$3:$H$102,5,FALSE)-VLOOKUP($A70,main!$A$3:$H$102,6,FALSE)&gt;=main!$D$103+VLOOKUP(VLOOKUP(I$1,main!$A$3:$I$102,7,FALSE),main!$K$26:$Q$29,3,FALSE),1,0)</f>
        <v>1</v>
      </c>
      <c r="J70">
        <f>IF(VLOOKUP(J$1,main!$A$3:$H$102,5,FALSE)-VLOOKUP($A70,main!$A$3:$H$102,6,FALSE)&gt;=main!$D$103+VLOOKUP(VLOOKUP(J$1,main!$A$3:$I$102,7,FALSE),main!$K$26:$Q$29,3,FALSE),1,0)</f>
        <v>1</v>
      </c>
      <c r="K70">
        <f>IF(VLOOKUP(K$1,main!$A$3:$H$102,5,FALSE)-VLOOKUP($A70,main!$A$3:$H$102,6,FALSE)&gt;=main!$D$103+VLOOKUP(VLOOKUP(K$1,main!$A$3:$I$102,7,FALSE),main!$K$26:$Q$29,3,FALSE),1,0)</f>
        <v>1</v>
      </c>
      <c r="L70">
        <f>IF(VLOOKUP(L$1,main!$A$3:$H$102,5,FALSE)-VLOOKUP($A70,main!$A$3:$H$102,6,FALSE)&gt;=main!$D$103+VLOOKUP(VLOOKUP(L$1,main!$A$3:$I$102,7,FALSE),main!$K$26:$Q$29,3,FALSE),1,0)</f>
        <v>1</v>
      </c>
      <c r="M70">
        <f>IF(VLOOKUP(M$1,main!$A$3:$H$102,5,FALSE)-VLOOKUP($A70,main!$A$3:$H$102,6,FALSE)&gt;=main!$D$103+VLOOKUP(VLOOKUP(M$1,main!$A$3:$I$102,7,FALSE),main!$K$26:$Q$29,3,FALSE),1,0)</f>
        <v>0</v>
      </c>
      <c r="N70">
        <f>IF(VLOOKUP(N$1,main!$A$3:$H$102,5,FALSE)-VLOOKUP($A70,main!$A$3:$H$102,6,FALSE)&gt;=main!$D$103+VLOOKUP(VLOOKUP(N$1,main!$A$3:$I$102,7,FALSE),main!$K$26:$Q$29,3,FALSE),1,0)</f>
        <v>0</v>
      </c>
      <c r="O70">
        <f>IF(VLOOKUP(O$1,main!$A$3:$H$102,5,FALSE)-VLOOKUP($A70,main!$A$3:$H$102,6,FALSE)&gt;=main!$D$103+VLOOKUP(VLOOKUP(O$1,main!$A$3:$I$102,7,FALSE),main!$K$26:$Q$29,3,FALSE),1,0)</f>
        <v>0</v>
      </c>
      <c r="P70">
        <f>IF(VLOOKUP(P$1,main!$A$3:$H$102,5,FALSE)-VLOOKUP($A70,main!$A$3:$H$102,6,FALSE)&gt;=main!$D$103+VLOOKUP(VLOOKUP(P$1,main!$A$3:$I$102,7,FALSE),main!$K$26:$Q$29,3,FALSE),1,0)</f>
        <v>0</v>
      </c>
      <c r="Q70">
        <f>IF(VLOOKUP(Q$1,main!$A$3:$H$102,5,FALSE)-VLOOKUP($A70,main!$A$3:$H$102,6,FALSE)&gt;=main!$D$103+VLOOKUP(VLOOKUP(Q$1,main!$A$3:$I$102,7,FALSE),main!$K$26:$Q$29,3,FALSE),1,0)</f>
        <v>0</v>
      </c>
      <c r="R70">
        <f>IF(VLOOKUP(R$1,main!$A$3:$H$102,5,FALSE)-VLOOKUP($A70,main!$A$3:$H$102,6,FALSE)&gt;=main!$D$103+VLOOKUP(VLOOKUP(R$1,main!$A$3:$I$102,7,FALSE),main!$K$26:$Q$29,3,FALSE),1,0)</f>
        <v>0</v>
      </c>
      <c r="S70">
        <f>IF(VLOOKUP(S$1,main!$A$3:$H$102,5,FALSE)-VLOOKUP($A70,main!$A$3:$H$102,6,FALSE)&gt;=main!$D$103+VLOOKUP(VLOOKUP(S$1,main!$A$3:$I$102,7,FALSE),main!$K$26:$Q$29,3,FALSE),1,0)</f>
        <v>0</v>
      </c>
      <c r="T70">
        <f>IF(VLOOKUP(T$1,main!$A$3:$H$102,5,FALSE)-VLOOKUP($A70,main!$A$3:$H$102,6,FALSE)&gt;=main!$D$103+VLOOKUP(VLOOKUP(T$1,main!$A$3:$I$102,7,FALSE),main!$K$26:$Q$29,3,FALSE),1,0)</f>
        <v>1</v>
      </c>
      <c r="U70">
        <f>IF(VLOOKUP(U$1,main!$A$3:$H$102,5,FALSE)-VLOOKUP($A70,main!$A$3:$H$102,6,FALSE)&gt;=main!$D$103+VLOOKUP(VLOOKUP(U$1,main!$A$3:$I$102,7,FALSE),main!$K$26:$Q$29,3,FALSE),1,0)</f>
        <v>1</v>
      </c>
      <c r="V70">
        <f>IF(VLOOKUP(V$1,main!$A$3:$H$102,5,FALSE)-VLOOKUP($A70,main!$A$3:$H$102,6,FALSE)&gt;=main!$D$103+VLOOKUP(VLOOKUP(V$1,main!$A$3:$I$102,7,FALSE),main!$K$26:$Q$29,3,FALSE),1,0)</f>
        <v>1</v>
      </c>
      <c r="W70">
        <f>IF(VLOOKUP(W$1,main!$A$3:$H$102,5,FALSE)-VLOOKUP($A70,main!$A$3:$H$102,6,FALSE)&gt;=main!$D$103+VLOOKUP(VLOOKUP(W$1,main!$A$3:$I$102,7,FALSE),main!$K$26:$Q$29,3,FALSE),1,0)</f>
        <v>0</v>
      </c>
      <c r="X70">
        <f>IF(VLOOKUP(X$1,main!$A$3:$H$102,5,FALSE)-VLOOKUP($A70,main!$A$3:$H$102,6,FALSE)&gt;=main!$D$103+VLOOKUP(VLOOKUP(X$1,main!$A$3:$I$102,7,FALSE),main!$K$26:$Q$29,3,FALSE),1,0)</f>
        <v>0</v>
      </c>
      <c r="Y70">
        <f>IF(VLOOKUP(Y$1,main!$A$3:$H$102,5,FALSE)-VLOOKUP($A70,main!$A$3:$H$102,6,FALSE)&gt;=main!$D$103+VLOOKUP(VLOOKUP(Y$1,main!$A$3:$I$102,7,FALSE),main!$K$26:$Q$29,3,FALSE),1,0)</f>
        <v>0</v>
      </c>
      <c r="Z70">
        <f>IF(VLOOKUP(Z$1,main!$A$3:$H$102,5,FALSE)-VLOOKUP($A70,main!$A$3:$H$102,6,FALSE)&gt;=main!$D$103+VLOOKUP(VLOOKUP(Z$1,main!$A$3:$I$102,7,FALSE),main!$K$26:$Q$29,3,FALSE),1,0)</f>
        <v>1</v>
      </c>
      <c r="AA70">
        <f>IF(VLOOKUP(AA$1,main!$A$3:$H$102,5,FALSE)-VLOOKUP($A70,main!$A$3:$H$102,6,FALSE)&gt;=main!$D$103+VLOOKUP(VLOOKUP(AA$1,main!$A$3:$I$102,7,FALSE),main!$K$26:$Q$29,3,FALSE),1,0)</f>
        <v>1</v>
      </c>
      <c r="AB70">
        <f>IF(VLOOKUP(AB$1,main!$A$3:$H$102,5,FALSE)-VLOOKUP($A70,main!$A$3:$H$102,6,FALSE)&gt;=main!$D$103+VLOOKUP(VLOOKUP(AB$1,main!$A$3:$I$102,7,FALSE),main!$K$26:$Q$29,3,FALSE),1,0)</f>
        <v>0</v>
      </c>
      <c r="AC70">
        <f>IF(VLOOKUP(AC$1,main!$A$3:$H$102,5,FALSE)-VLOOKUP($A70,main!$A$3:$H$102,6,FALSE)&gt;=main!$D$103+VLOOKUP(VLOOKUP(AC$1,main!$A$3:$I$102,7,FALSE),main!$K$26:$Q$29,3,FALSE),1,0)</f>
        <v>0</v>
      </c>
      <c r="AD70">
        <f>IF(VLOOKUP(AD$1,main!$A$3:$H$102,5,FALSE)-VLOOKUP($A70,main!$A$3:$H$102,6,FALSE)&gt;=main!$D$103+VLOOKUP(VLOOKUP(AD$1,main!$A$3:$I$102,7,FALSE),main!$K$26:$Q$29,3,FALSE),1,0)</f>
        <v>0</v>
      </c>
      <c r="AE70">
        <f>IF(VLOOKUP(AE$1,main!$A$3:$H$102,5,FALSE)-VLOOKUP($A70,main!$A$3:$H$102,6,FALSE)&gt;=main!$D$103+VLOOKUP(VLOOKUP(AE$1,main!$A$3:$I$102,7,FALSE),main!$K$26:$Q$29,3,FALSE),1,0)</f>
        <v>0</v>
      </c>
      <c r="AF70">
        <f>IF(VLOOKUP(AF$1,main!$A$3:$H$102,5,FALSE)-VLOOKUP($A70,main!$A$3:$H$102,6,FALSE)&gt;=main!$D$103+VLOOKUP(VLOOKUP(AF$1,main!$A$3:$I$102,7,FALSE),main!$K$26:$Q$29,3,FALSE),1,0)</f>
        <v>1</v>
      </c>
      <c r="AG70">
        <f>IF(VLOOKUP(AG$1,main!$A$3:$H$102,5,FALSE)-VLOOKUP($A70,main!$A$3:$H$102,6,FALSE)&gt;=main!$D$103+VLOOKUP(VLOOKUP(AG$1,main!$A$3:$I$102,7,FALSE),main!$K$26:$Q$29,3,FALSE),1,0)</f>
        <v>0</v>
      </c>
      <c r="AH70">
        <f>IF(VLOOKUP(AH$1,main!$A$3:$H$102,5,FALSE)-VLOOKUP($A70,main!$A$3:$H$102,6,FALSE)&gt;=main!$D$103+VLOOKUP(VLOOKUP(AH$1,main!$A$3:$I$102,7,FALSE),main!$K$26:$Q$29,3,FALSE),1,0)</f>
        <v>0</v>
      </c>
      <c r="AI70">
        <f>IF(VLOOKUP(AI$1,main!$A$3:$H$102,5,FALSE)-VLOOKUP($A70,main!$A$3:$H$102,6,FALSE)&gt;=main!$D$103+VLOOKUP(VLOOKUP(AI$1,main!$A$3:$I$102,7,FALSE),main!$K$26:$Q$29,3,FALSE),1,0)</f>
        <v>0</v>
      </c>
      <c r="AJ70">
        <f>IF(VLOOKUP(AJ$1,main!$A$3:$H$102,5,FALSE)-VLOOKUP($A70,main!$A$3:$H$102,6,FALSE)&gt;=main!$D$103+VLOOKUP(VLOOKUP(AJ$1,main!$A$3:$I$102,7,FALSE),main!$K$26:$Q$29,3,FALSE),1,0)</f>
        <v>0</v>
      </c>
      <c r="AK70">
        <f>IF(VLOOKUP(AK$1,main!$A$3:$H$102,5,FALSE)-VLOOKUP($A70,main!$A$3:$H$102,6,FALSE)&gt;=main!$D$103+VLOOKUP(VLOOKUP(AK$1,main!$A$3:$I$102,7,FALSE),main!$K$26:$Q$29,3,FALSE),1,0)</f>
        <v>0</v>
      </c>
      <c r="AL70">
        <f>IF(VLOOKUP(AL$1,main!$A$3:$H$102,5,FALSE)-VLOOKUP($A70,main!$A$3:$H$102,6,FALSE)&gt;=main!$D$103+VLOOKUP(VLOOKUP(AL$1,main!$A$3:$I$102,7,FALSE),main!$K$26:$Q$29,3,FALSE),1,0)</f>
        <v>1</v>
      </c>
      <c r="AM70">
        <f>IF(VLOOKUP(AM$1,main!$A$3:$H$102,5,FALSE)-VLOOKUP($A70,main!$A$3:$H$102,6,FALSE)&gt;=main!$D$103+VLOOKUP(VLOOKUP(AM$1,main!$A$3:$I$102,7,FALSE),main!$K$26:$Q$29,3,FALSE),1,0)</f>
        <v>1</v>
      </c>
      <c r="AN70">
        <f>IF(VLOOKUP(AN$1,main!$A$3:$H$102,5,FALSE)-VLOOKUP($A70,main!$A$3:$H$102,6,FALSE)&gt;=main!$D$103+VLOOKUP(VLOOKUP(AN$1,main!$A$3:$I$102,7,FALSE),main!$K$26:$Q$29,3,FALSE),1,0)</f>
        <v>1</v>
      </c>
      <c r="AO70">
        <f>IF(VLOOKUP(AO$1,main!$A$3:$H$102,5,FALSE)-VLOOKUP($A70,main!$A$3:$H$102,6,FALSE)&gt;=main!$D$103+VLOOKUP(VLOOKUP(AO$1,main!$A$3:$I$102,7,FALSE),main!$K$26:$Q$29,3,FALSE),1,0)</f>
        <v>0</v>
      </c>
      <c r="AP70">
        <f>IF(VLOOKUP(AP$1,main!$A$3:$H$102,5,FALSE)-VLOOKUP($A70,main!$A$3:$H$102,6,FALSE)&gt;=main!$D$103+VLOOKUP(VLOOKUP(AP$1,main!$A$3:$I$102,7,FALSE),main!$K$26:$Q$29,3,FALSE),1,0)</f>
        <v>1</v>
      </c>
      <c r="AQ70">
        <f>IF(VLOOKUP(AQ$1,main!$A$3:$H$102,5,FALSE)-VLOOKUP($A70,main!$A$3:$H$102,6,FALSE)&gt;=main!$D$103+VLOOKUP(VLOOKUP(AQ$1,main!$A$3:$I$102,7,FALSE),main!$K$26:$Q$29,3,FALSE),1,0)</f>
        <v>0</v>
      </c>
      <c r="AR70">
        <f>IF(VLOOKUP(AR$1,main!$A$3:$H$102,5,FALSE)-VLOOKUP($A70,main!$A$3:$H$102,6,FALSE)&gt;=main!$D$103+VLOOKUP(VLOOKUP(AR$1,main!$A$3:$I$102,7,FALSE),main!$K$26:$Q$29,3,FALSE),1,0)</f>
        <v>0</v>
      </c>
      <c r="AS70">
        <f>IF(VLOOKUP(AS$1,main!$A$3:$H$102,5,FALSE)-VLOOKUP($A70,main!$A$3:$H$102,6,FALSE)&gt;=main!$D$103+VLOOKUP(VLOOKUP(AS$1,main!$A$3:$I$102,7,FALSE),main!$K$26:$Q$29,3,FALSE),1,0)</f>
        <v>0</v>
      </c>
      <c r="AT70">
        <f>IF(VLOOKUP(AT$1,main!$A$3:$H$102,5,FALSE)-VLOOKUP($A70,main!$A$3:$H$102,6,FALSE)&gt;=main!$D$103+VLOOKUP(VLOOKUP(AT$1,main!$A$3:$I$102,7,FALSE),main!$K$26:$Q$29,3,FALSE),1,0)</f>
        <v>0</v>
      </c>
      <c r="AU70">
        <f>IF(VLOOKUP(AU$1,main!$A$3:$H$102,5,FALSE)-VLOOKUP($A70,main!$A$3:$H$102,6,FALSE)&gt;=main!$D$103+VLOOKUP(VLOOKUP(AU$1,main!$A$3:$I$102,7,FALSE),main!$K$26:$Q$29,3,FALSE),1,0)</f>
        <v>0</v>
      </c>
      <c r="AV70">
        <f>IF(VLOOKUP(AV$1,main!$A$3:$H$102,5,FALSE)-VLOOKUP($A70,main!$A$3:$H$102,6,FALSE)&gt;=main!$D$103+VLOOKUP(VLOOKUP(AV$1,main!$A$3:$I$102,7,FALSE),main!$K$26:$Q$29,3,FALSE),1,0)</f>
        <v>0</v>
      </c>
      <c r="AW70">
        <f>IF(VLOOKUP(AW$1,main!$A$3:$H$102,5,FALSE)-VLOOKUP($A70,main!$A$3:$H$102,6,FALSE)&gt;=main!$D$103+VLOOKUP(VLOOKUP(AW$1,main!$A$3:$I$102,7,FALSE),main!$K$26:$Q$29,3,FALSE),1,0)</f>
        <v>0</v>
      </c>
      <c r="AX70">
        <f>IF(VLOOKUP(AX$1,main!$A$3:$H$102,5,FALSE)-VLOOKUP($A70,main!$A$3:$H$102,6,FALSE)&gt;=main!$D$103+VLOOKUP(VLOOKUP(AX$1,main!$A$3:$I$102,7,FALSE),main!$K$26:$Q$29,3,FALSE),1,0)</f>
        <v>0</v>
      </c>
      <c r="AY70">
        <f>IF(VLOOKUP(AY$1,main!$A$3:$H$102,5,FALSE)-VLOOKUP($A70,main!$A$3:$H$102,6,FALSE)&gt;=main!$D$103+VLOOKUP(VLOOKUP(AY$1,main!$A$3:$I$102,7,FALSE),main!$K$26:$Q$29,3,FALSE),1,0)</f>
        <v>0</v>
      </c>
      <c r="AZ70">
        <f>IF(VLOOKUP(AZ$1,main!$A$3:$H$102,5,FALSE)-VLOOKUP($A70,main!$A$3:$H$102,6,FALSE)&gt;=main!$D$103+VLOOKUP(VLOOKUP(AZ$1,main!$A$3:$I$102,7,FALSE),main!$K$26:$Q$29,3,FALSE),1,0)</f>
        <v>0</v>
      </c>
      <c r="BA70">
        <f>IF(VLOOKUP(BA$1,main!$A$3:$H$102,5,FALSE)-VLOOKUP($A70,main!$A$3:$H$102,6,FALSE)&gt;=main!$D$103+VLOOKUP(VLOOKUP(BA$1,main!$A$3:$I$102,7,FALSE),main!$K$26:$Q$29,3,FALSE),1,0)</f>
        <v>0</v>
      </c>
      <c r="BB70">
        <f>IF(VLOOKUP(BB$1,main!$A$3:$H$102,5,FALSE)-VLOOKUP($A70,main!$A$3:$H$102,6,FALSE)&gt;=main!$D$103+VLOOKUP(VLOOKUP(BB$1,main!$A$3:$I$102,7,FALSE),main!$K$26:$Q$29,3,FALSE),1,0)</f>
        <v>0</v>
      </c>
      <c r="BC70">
        <f>IF(VLOOKUP(BC$1,main!$A$3:$H$102,5,FALSE)-VLOOKUP($A70,main!$A$3:$H$102,6,FALSE)&gt;=main!$D$103+VLOOKUP(VLOOKUP(BC$1,main!$A$3:$I$102,7,FALSE),main!$K$26:$Q$29,3,FALSE),1,0)</f>
        <v>0</v>
      </c>
      <c r="BD70">
        <f>IF(VLOOKUP(BD$1,main!$A$3:$H$102,5,FALSE)-VLOOKUP($A70,main!$A$3:$H$102,6,FALSE)&gt;=main!$D$103+VLOOKUP(VLOOKUP(BD$1,main!$A$3:$I$102,7,FALSE),main!$K$26:$Q$29,3,FALSE),1,0)</f>
        <v>0</v>
      </c>
      <c r="BE70">
        <f>IF(VLOOKUP(BE$1,main!$A$3:$H$102,5,FALSE)-VLOOKUP($A70,main!$A$3:$H$102,6,FALSE)&gt;=main!$D$103+VLOOKUP(VLOOKUP(BE$1,main!$A$3:$I$102,7,FALSE),main!$K$26:$Q$29,3,FALSE),1,0)</f>
        <v>1</v>
      </c>
      <c r="BF70">
        <f>IF(VLOOKUP(BF$1,main!$A$3:$H$102,5,FALSE)-VLOOKUP($A70,main!$A$3:$H$102,6,FALSE)&gt;=main!$D$103+VLOOKUP(VLOOKUP(BF$1,main!$A$3:$I$102,7,FALSE),main!$K$26:$Q$29,3,FALSE),1,0)</f>
        <v>0</v>
      </c>
      <c r="BG70">
        <f>IF(VLOOKUP(BG$1,main!$A$3:$H$102,5,FALSE)-VLOOKUP($A70,main!$A$3:$H$102,6,FALSE)&gt;=main!$D$103+VLOOKUP(VLOOKUP(BG$1,main!$A$3:$I$102,7,FALSE),main!$K$26:$Q$29,3,FALSE),1,0)</f>
        <v>0</v>
      </c>
      <c r="BH70">
        <f>IF(VLOOKUP(BH$1,main!$A$3:$H$102,5,FALSE)-VLOOKUP($A70,main!$A$3:$H$102,6,FALSE)&gt;=main!$D$103+VLOOKUP(VLOOKUP(BH$1,main!$A$3:$I$102,7,FALSE),main!$K$26:$Q$29,3,FALSE),1,0)</f>
        <v>0</v>
      </c>
      <c r="BI70">
        <f>IF(VLOOKUP(BI$1,main!$A$3:$H$102,5,FALSE)-VLOOKUP($A70,main!$A$3:$H$102,6,FALSE)&gt;=main!$D$103+VLOOKUP(VLOOKUP(BI$1,main!$A$3:$I$102,7,FALSE),main!$K$26:$Q$29,3,FALSE),1,0)</f>
        <v>1</v>
      </c>
      <c r="BJ70">
        <f>IF(VLOOKUP(BJ$1,main!$A$3:$H$102,5,FALSE)-VLOOKUP($A70,main!$A$3:$H$102,6,FALSE)&gt;=main!$D$103+VLOOKUP(VLOOKUP(BJ$1,main!$A$3:$I$102,7,FALSE),main!$K$26:$Q$29,3,FALSE),1,0)</f>
        <v>1</v>
      </c>
      <c r="BK70">
        <f>IF(VLOOKUP(BK$1,main!$A$3:$H$102,5,FALSE)-VLOOKUP($A70,main!$A$3:$H$102,6,FALSE)&gt;=main!$D$103+VLOOKUP(VLOOKUP(BK$1,main!$A$3:$I$102,7,FALSE),main!$K$26:$Q$29,3,FALSE),1,0)</f>
        <v>0</v>
      </c>
      <c r="BL70">
        <f>IF(VLOOKUP(BL$1,main!$A$3:$H$102,5,FALSE)-VLOOKUP($A70,main!$A$3:$H$102,6,FALSE)&gt;=main!$D$103+VLOOKUP(VLOOKUP(BL$1,main!$A$3:$I$102,7,FALSE),main!$K$26:$Q$29,3,FALSE),1,0)</f>
        <v>0</v>
      </c>
      <c r="BM70">
        <f>IF(VLOOKUP(BM$1,main!$A$3:$H$102,5,FALSE)-VLOOKUP($A70,main!$A$3:$H$102,6,FALSE)&gt;=main!$D$103+VLOOKUP(VLOOKUP(BM$1,main!$A$3:$I$102,7,FALSE),main!$K$26:$Q$29,3,FALSE),1,0)</f>
        <v>0</v>
      </c>
      <c r="BN70">
        <f>IF(VLOOKUP(BN$1,main!$A$3:$H$102,5,FALSE)-VLOOKUP($A70,main!$A$3:$H$102,6,FALSE)&gt;=main!$D$103+VLOOKUP(VLOOKUP(BN$1,main!$A$3:$I$102,7,FALSE),main!$K$26:$Q$29,3,FALSE),1,0)</f>
        <v>0</v>
      </c>
      <c r="BO70">
        <f>IF(VLOOKUP(BO$1,main!$A$3:$H$102,5,FALSE)-VLOOKUP($A70,main!$A$3:$H$102,6,FALSE)&gt;=main!$D$103+VLOOKUP(VLOOKUP(BO$1,main!$A$3:$I$102,7,FALSE),main!$K$26:$Q$29,3,FALSE),1,0)</f>
        <v>0</v>
      </c>
      <c r="BP70">
        <f>IF(VLOOKUP(BP$1,main!$A$3:$H$102,5,FALSE)-VLOOKUP($A70,main!$A$3:$H$102,6,FALSE)&gt;=main!$D$103+VLOOKUP(VLOOKUP(BP$1,main!$A$3:$I$102,7,FALSE),main!$K$26:$Q$29,3,FALSE),1,0)</f>
        <v>0</v>
      </c>
      <c r="BQ70">
        <f>IF(VLOOKUP(BQ$1,main!$A$3:$H$102,5,FALSE)-VLOOKUP($A70,main!$A$3:$H$102,6,FALSE)&gt;=main!$D$103+VLOOKUP(VLOOKUP(BQ$1,main!$A$3:$I$102,7,FALSE),main!$K$26:$Q$29,3,FALSE),1,0)</f>
        <v>0</v>
      </c>
      <c r="BR70">
        <f>IF(VLOOKUP(BR$1,main!$A$3:$H$102,5,FALSE)-VLOOKUP($A70,main!$A$3:$H$102,6,FALSE)&gt;=main!$D$103+VLOOKUP(VLOOKUP(BR$1,main!$A$3:$I$102,7,FALSE),main!$K$26:$Q$29,3,FALSE),1,0)</f>
        <v>0</v>
      </c>
      <c r="BS70">
        <f>IF(VLOOKUP(BS$1,main!$A$3:$H$102,5,FALSE)-VLOOKUP($A70,main!$A$3:$H$102,6,FALSE)&gt;=main!$D$103+VLOOKUP(VLOOKUP(BS$1,main!$A$3:$I$102,7,FALSE),main!$K$26:$Q$29,3,FALSE),1,0)</f>
        <v>0</v>
      </c>
      <c r="BT70">
        <f>IF(VLOOKUP(BT$1,main!$A$3:$H$102,5,FALSE)-VLOOKUP($A70,main!$A$3:$H$102,6,FALSE)&gt;=main!$D$103+VLOOKUP(VLOOKUP(BT$1,main!$A$3:$I$102,7,FALSE),main!$K$26:$Q$29,3,FALSE),1,0)</f>
        <v>0</v>
      </c>
      <c r="BU70">
        <f>IF(VLOOKUP(BU$1,main!$A$3:$H$102,5,FALSE)-VLOOKUP($A70,main!$A$3:$H$102,6,FALSE)&gt;=main!$D$103+VLOOKUP(VLOOKUP(BU$1,main!$A$3:$I$102,7,FALSE),main!$K$26:$Q$29,3,FALSE),1,0)</f>
        <v>0</v>
      </c>
      <c r="BV70">
        <f>IF(VLOOKUP(BV$1,main!$A$3:$H$102,5,FALSE)-VLOOKUP($A70,main!$A$3:$H$102,6,FALSE)&gt;=main!$D$103+VLOOKUP(VLOOKUP(BV$1,main!$A$3:$I$102,7,FALSE),main!$K$26:$Q$29,3,FALSE),1,0)</f>
        <v>0</v>
      </c>
      <c r="BW70">
        <f>IF(VLOOKUP(BW$1,main!$A$3:$H$102,5,FALSE)-VLOOKUP($A70,main!$A$3:$H$102,6,FALSE)&gt;=main!$D$103+VLOOKUP(VLOOKUP(BW$1,main!$A$3:$I$102,7,FALSE),main!$K$26:$Q$29,3,FALSE),1,0)</f>
        <v>0</v>
      </c>
      <c r="BX70">
        <f>IF(VLOOKUP(BX$1,main!$A$3:$H$102,5,FALSE)-VLOOKUP($A70,main!$A$3:$H$102,6,FALSE)&gt;=main!$D$103+VLOOKUP(VLOOKUP(BX$1,main!$A$3:$I$102,7,FALSE),main!$K$26:$Q$29,3,FALSE),1,0)</f>
        <v>0</v>
      </c>
      <c r="BY70">
        <f>IF(VLOOKUP(BY$1,main!$A$3:$H$102,5,FALSE)-VLOOKUP($A70,main!$A$3:$H$102,6,FALSE)&gt;=main!$D$103+VLOOKUP(VLOOKUP(BY$1,main!$A$3:$I$102,7,FALSE),main!$K$26:$Q$29,3,FALSE),1,0)</f>
        <v>0</v>
      </c>
      <c r="BZ70">
        <f>IF(VLOOKUP(BZ$1,main!$A$3:$H$102,5,FALSE)-VLOOKUP($A70,main!$A$3:$H$102,6,FALSE)&gt;=main!$D$103+VLOOKUP(VLOOKUP(BZ$1,main!$A$3:$I$102,7,FALSE),main!$K$26:$Q$29,3,FALSE),1,0)</f>
        <v>0</v>
      </c>
      <c r="CA70">
        <f>IF(VLOOKUP(CA$1,main!$A$3:$H$102,5,FALSE)-VLOOKUP($A70,main!$A$3:$H$102,6,FALSE)&gt;=main!$D$103+VLOOKUP(VLOOKUP(CA$1,main!$A$3:$I$102,7,FALSE),main!$K$26:$Q$29,3,FALSE),1,0)</f>
        <v>0</v>
      </c>
      <c r="CB70">
        <f>IF(VLOOKUP(CB$1,main!$A$3:$H$102,5,FALSE)-VLOOKUP($A70,main!$A$3:$H$102,6,FALSE)&gt;=main!$D$103+VLOOKUP(VLOOKUP(CB$1,main!$A$3:$I$102,7,FALSE),main!$K$26:$Q$29,3,FALSE),1,0)</f>
        <v>0</v>
      </c>
      <c r="CC70">
        <f>IF(VLOOKUP(CC$1,main!$A$3:$H$102,5,FALSE)-VLOOKUP($A70,main!$A$3:$H$102,6,FALSE)&gt;=main!$D$103+VLOOKUP(VLOOKUP(CC$1,main!$A$3:$I$102,7,FALSE),main!$K$26:$Q$29,3,FALSE),1,0)</f>
        <v>1</v>
      </c>
      <c r="CD70">
        <f>IF(VLOOKUP(CD$1,main!$A$3:$H$102,5,FALSE)-VLOOKUP($A70,main!$A$3:$H$102,6,FALSE)&gt;=main!$D$103+VLOOKUP(VLOOKUP(CD$1,main!$A$3:$I$102,7,FALSE),main!$K$26:$Q$29,3,FALSE),1,0)</f>
        <v>0</v>
      </c>
      <c r="CE70">
        <f>IF(VLOOKUP(CE$1,main!$A$3:$H$102,5,FALSE)-VLOOKUP($A70,main!$A$3:$H$102,6,FALSE)&gt;=main!$D$103+VLOOKUP(VLOOKUP(CE$1,main!$A$3:$I$102,7,FALSE),main!$K$26:$Q$29,3,FALSE),1,0)</f>
        <v>0</v>
      </c>
      <c r="CF70">
        <f>IF(VLOOKUP(CF$1,main!$A$3:$H$102,5,FALSE)-VLOOKUP($A70,main!$A$3:$H$102,6,FALSE)&gt;=main!$D$103+VLOOKUP(VLOOKUP(CF$1,main!$A$3:$I$102,7,FALSE),main!$K$26:$Q$29,3,FALSE),1,0)</f>
        <v>0</v>
      </c>
      <c r="CG70">
        <f>IF(VLOOKUP(CG$1,main!$A$3:$H$102,5,FALSE)-VLOOKUP($A70,main!$A$3:$H$102,6,FALSE)&gt;=main!$D$103+VLOOKUP(VLOOKUP(CG$1,main!$A$3:$I$102,7,FALSE),main!$K$26:$Q$29,3,FALSE),1,0)</f>
        <v>0</v>
      </c>
      <c r="CH70">
        <f>IF(VLOOKUP(CH$1,main!$A$3:$H$102,5,FALSE)-VLOOKUP($A70,main!$A$3:$H$102,6,FALSE)&gt;=main!$D$103+VLOOKUP(VLOOKUP(CH$1,main!$A$3:$I$102,7,FALSE),main!$K$26:$Q$29,3,FALSE),1,0)</f>
        <v>1</v>
      </c>
      <c r="CI70">
        <f>IF(VLOOKUP(CI$1,main!$A$3:$H$102,5,FALSE)-VLOOKUP($A70,main!$A$3:$H$102,6,FALSE)&gt;=main!$D$103+VLOOKUP(VLOOKUP(CI$1,main!$A$3:$I$102,7,FALSE),main!$K$26:$Q$29,3,FALSE),1,0)</f>
        <v>1</v>
      </c>
      <c r="CJ70">
        <f>IF(VLOOKUP(CJ$1,main!$A$3:$H$102,5,FALSE)-VLOOKUP($A70,main!$A$3:$H$102,6,FALSE)&gt;=main!$D$103+VLOOKUP(VLOOKUP(CJ$1,main!$A$3:$I$102,7,FALSE),main!$K$26:$Q$29,3,FALSE),1,0)</f>
        <v>0</v>
      </c>
      <c r="CK70">
        <f>IF(VLOOKUP(CK$1,main!$A$3:$H$102,5,FALSE)-VLOOKUP($A70,main!$A$3:$H$102,6,FALSE)&gt;=main!$D$103+VLOOKUP(VLOOKUP(CK$1,main!$A$3:$I$102,7,FALSE),main!$K$26:$Q$29,3,FALSE),1,0)</f>
        <v>0</v>
      </c>
      <c r="CL70">
        <f>IF(VLOOKUP(CL$1,main!$A$3:$H$102,5,FALSE)-VLOOKUP($A70,main!$A$3:$H$102,6,FALSE)&gt;=main!$D$103+VLOOKUP(VLOOKUP(CL$1,main!$A$3:$I$102,7,FALSE),main!$K$26:$Q$29,3,FALSE),1,0)</f>
        <v>0</v>
      </c>
      <c r="CM70">
        <f>IF(VLOOKUP(CM$1,main!$A$3:$H$102,5,FALSE)-VLOOKUP($A70,main!$A$3:$H$102,6,FALSE)&gt;=main!$D$103+VLOOKUP(VLOOKUP(CM$1,main!$A$3:$I$102,7,FALSE),main!$K$26:$Q$29,3,FALSE),1,0)</f>
        <v>1</v>
      </c>
      <c r="CN70">
        <f>IF(VLOOKUP(CN$1,main!$A$3:$H$102,5,FALSE)-VLOOKUP($A70,main!$A$3:$H$102,6,FALSE)&gt;=main!$D$103+VLOOKUP(VLOOKUP(CN$1,main!$A$3:$I$102,7,FALSE),main!$K$26:$Q$29,3,FALSE),1,0)</f>
        <v>1</v>
      </c>
      <c r="CO70">
        <f>IF(VLOOKUP(CO$1,main!$A$3:$H$102,5,FALSE)-VLOOKUP($A70,main!$A$3:$H$102,6,FALSE)&gt;=main!$D$103+VLOOKUP(VLOOKUP(CO$1,main!$A$3:$I$102,7,FALSE),main!$K$26:$Q$29,3,FALSE),1,0)</f>
        <v>0</v>
      </c>
      <c r="CP70">
        <f>IF(VLOOKUP(CP$1,main!$A$3:$H$102,5,FALSE)-VLOOKUP($A70,main!$A$3:$H$102,6,FALSE)&gt;=main!$D$103+VLOOKUP(VLOOKUP(CP$1,main!$A$3:$I$102,7,FALSE),main!$K$26:$Q$29,3,FALSE),1,0)</f>
        <v>0</v>
      </c>
      <c r="CQ70">
        <f>IF(VLOOKUP(CQ$1,main!$A$3:$H$102,5,FALSE)-VLOOKUP($A70,main!$A$3:$H$102,6,FALSE)&gt;=main!$D$103+VLOOKUP(VLOOKUP(CQ$1,main!$A$3:$I$102,7,FALSE),main!$K$26:$Q$29,3,FALSE),1,0)</f>
        <v>0</v>
      </c>
      <c r="CR70">
        <f>IF(VLOOKUP(CR$1,main!$A$3:$H$102,5,FALSE)-VLOOKUP($A70,main!$A$3:$H$102,6,FALSE)&gt;=main!$D$103+VLOOKUP(VLOOKUP(CR$1,main!$A$3:$I$102,7,FALSE),main!$K$26:$Q$29,3,FALSE),1,0)</f>
        <v>0</v>
      </c>
      <c r="CS70">
        <f>IF(VLOOKUP(CS$1,main!$A$3:$H$102,5,FALSE)-VLOOKUP($A70,main!$A$3:$H$102,6,FALSE)&gt;=main!$D$103+VLOOKUP(VLOOKUP(CS$1,main!$A$3:$I$102,7,FALSE),main!$K$26:$Q$29,3,FALSE),1,0)</f>
        <v>1</v>
      </c>
      <c r="CT70">
        <f>IF(VLOOKUP(CT$1,main!$A$3:$H$102,5,FALSE)-VLOOKUP($A70,main!$A$3:$H$102,6,FALSE)&gt;=main!$D$103+VLOOKUP(VLOOKUP(CT$1,main!$A$3:$I$102,7,FALSE),main!$K$26:$Q$29,3,FALSE),1,0)</f>
        <v>0</v>
      </c>
      <c r="CU70">
        <f>IF(VLOOKUP(CU$1,main!$A$3:$H$102,5,FALSE)-VLOOKUP($A70,main!$A$3:$H$102,6,FALSE)&gt;=main!$D$103+VLOOKUP(VLOOKUP(CU$1,main!$A$3:$I$102,7,FALSE),main!$K$26:$Q$29,3,FALSE),1,0)</f>
        <v>0</v>
      </c>
      <c r="CV70">
        <f>IF(VLOOKUP(CV$1,main!$A$3:$H$102,5,FALSE)-VLOOKUP($A70,main!$A$3:$H$102,6,FALSE)&gt;=main!$D$103+VLOOKUP(VLOOKUP(CV$1,main!$A$3:$I$102,7,FALSE),main!$K$26:$Q$29,3,FALSE),1,0)</f>
        <v>0</v>
      </c>
      <c r="CW70">
        <f>IF(VLOOKUP(CW$1,main!$A$3:$H$102,5,FALSE)-VLOOKUP($A70,main!$A$3:$H$102,6,FALSE)&gt;=main!$D$103+VLOOKUP(VLOOKUP(CW$1,main!$A$3:$I$102,7,FALSE),main!$K$26:$Q$29,3,FALSE),1,0)</f>
        <v>0</v>
      </c>
      <c r="CX70">
        <f>IF(VLOOKUP(CX$1,main!$A$3:$H$102,5,FALSE)-VLOOKUP($A70,main!$A$3:$H$102,6,FALSE)&gt;=main!$D$103+VLOOKUP(VLOOKUP(CX$1,main!$A$3:$I$102,7,FALSE),main!$K$26:$Q$29,3,FALSE),1,0)</f>
        <v>1</v>
      </c>
    </row>
    <row r="71" spans="1:102" x14ac:dyDescent="0.25">
      <c r="A71" s="1">
        <v>69</v>
      </c>
      <c r="B71">
        <v>0</v>
      </c>
      <c r="C71">
        <f>IF(VLOOKUP(C$1,main!$A$3:$H$102,5,FALSE)-VLOOKUP($A71,main!$A$3:$H$102,6,FALSE)&gt;=main!$D$103+VLOOKUP(VLOOKUP(C$1,main!$A$3:$I$102,7,FALSE),main!$K$26:$Q$29,3,FALSE),1,0)</f>
        <v>0</v>
      </c>
      <c r="D71">
        <f>IF(VLOOKUP(D$1,main!$A$3:$H$102,5,FALSE)-VLOOKUP($A71,main!$A$3:$H$102,6,FALSE)&gt;=main!$D$103+VLOOKUP(VLOOKUP(D$1,main!$A$3:$I$102,7,FALSE),main!$K$26:$Q$29,3,FALSE),1,0)</f>
        <v>0</v>
      </c>
      <c r="E71">
        <f>IF(VLOOKUP(E$1,main!$A$3:$H$102,5,FALSE)-VLOOKUP($A71,main!$A$3:$H$102,6,FALSE)&gt;=main!$D$103+VLOOKUP(VLOOKUP(E$1,main!$A$3:$I$102,7,FALSE),main!$K$26:$Q$29,3,FALSE),1,0)</f>
        <v>0</v>
      </c>
      <c r="F71">
        <f>IF(VLOOKUP(F$1,main!$A$3:$H$102,5,FALSE)-VLOOKUP($A71,main!$A$3:$H$102,6,FALSE)&gt;=main!$D$103+VLOOKUP(VLOOKUP(F$1,main!$A$3:$I$102,7,FALSE),main!$K$26:$Q$29,3,FALSE),1,0)</f>
        <v>0</v>
      </c>
      <c r="G71">
        <f>IF(VLOOKUP(G$1,main!$A$3:$H$102,5,FALSE)-VLOOKUP($A71,main!$A$3:$H$102,6,FALSE)&gt;=main!$D$103+VLOOKUP(VLOOKUP(G$1,main!$A$3:$I$102,7,FALSE),main!$K$26:$Q$29,3,FALSE),1,0)</f>
        <v>0</v>
      </c>
      <c r="H71">
        <f>IF(VLOOKUP(H$1,main!$A$3:$H$102,5,FALSE)-VLOOKUP($A71,main!$A$3:$H$102,6,FALSE)&gt;=main!$D$103+VLOOKUP(VLOOKUP(H$1,main!$A$3:$I$102,7,FALSE),main!$K$26:$Q$29,3,FALSE),1,0)</f>
        <v>0</v>
      </c>
      <c r="I71">
        <f>IF(VLOOKUP(I$1,main!$A$3:$H$102,5,FALSE)-VLOOKUP($A71,main!$A$3:$H$102,6,FALSE)&gt;=main!$D$103+VLOOKUP(VLOOKUP(I$1,main!$A$3:$I$102,7,FALSE),main!$K$26:$Q$29,3,FALSE),1,0)</f>
        <v>0</v>
      </c>
      <c r="J71">
        <f>IF(VLOOKUP(J$1,main!$A$3:$H$102,5,FALSE)-VLOOKUP($A71,main!$A$3:$H$102,6,FALSE)&gt;=main!$D$103+VLOOKUP(VLOOKUP(J$1,main!$A$3:$I$102,7,FALSE),main!$K$26:$Q$29,3,FALSE),1,0)</f>
        <v>1</v>
      </c>
      <c r="K71">
        <f>IF(VLOOKUP(K$1,main!$A$3:$H$102,5,FALSE)-VLOOKUP($A71,main!$A$3:$H$102,6,FALSE)&gt;=main!$D$103+VLOOKUP(VLOOKUP(K$1,main!$A$3:$I$102,7,FALSE),main!$K$26:$Q$29,3,FALSE),1,0)</f>
        <v>1</v>
      </c>
      <c r="L71">
        <f>IF(VLOOKUP(L$1,main!$A$3:$H$102,5,FALSE)-VLOOKUP($A71,main!$A$3:$H$102,6,FALSE)&gt;=main!$D$103+VLOOKUP(VLOOKUP(L$1,main!$A$3:$I$102,7,FALSE),main!$K$26:$Q$29,3,FALSE),1,0)</f>
        <v>1</v>
      </c>
      <c r="M71">
        <f>IF(VLOOKUP(M$1,main!$A$3:$H$102,5,FALSE)-VLOOKUP($A71,main!$A$3:$H$102,6,FALSE)&gt;=main!$D$103+VLOOKUP(VLOOKUP(M$1,main!$A$3:$I$102,7,FALSE),main!$K$26:$Q$29,3,FALSE),1,0)</f>
        <v>0</v>
      </c>
      <c r="N71">
        <f>IF(VLOOKUP(N$1,main!$A$3:$H$102,5,FALSE)-VLOOKUP($A71,main!$A$3:$H$102,6,FALSE)&gt;=main!$D$103+VLOOKUP(VLOOKUP(N$1,main!$A$3:$I$102,7,FALSE),main!$K$26:$Q$29,3,FALSE),1,0)</f>
        <v>0</v>
      </c>
      <c r="O71">
        <f>IF(VLOOKUP(O$1,main!$A$3:$H$102,5,FALSE)-VLOOKUP($A71,main!$A$3:$H$102,6,FALSE)&gt;=main!$D$103+VLOOKUP(VLOOKUP(O$1,main!$A$3:$I$102,7,FALSE),main!$K$26:$Q$29,3,FALSE),1,0)</f>
        <v>0</v>
      </c>
      <c r="P71">
        <f>IF(VLOOKUP(P$1,main!$A$3:$H$102,5,FALSE)-VLOOKUP($A71,main!$A$3:$H$102,6,FALSE)&gt;=main!$D$103+VLOOKUP(VLOOKUP(P$1,main!$A$3:$I$102,7,FALSE),main!$K$26:$Q$29,3,FALSE),1,0)</f>
        <v>0</v>
      </c>
      <c r="Q71">
        <f>IF(VLOOKUP(Q$1,main!$A$3:$H$102,5,FALSE)-VLOOKUP($A71,main!$A$3:$H$102,6,FALSE)&gt;=main!$D$103+VLOOKUP(VLOOKUP(Q$1,main!$A$3:$I$102,7,FALSE),main!$K$26:$Q$29,3,FALSE),1,0)</f>
        <v>0</v>
      </c>
      <c r="R71">
        <f>IF(VLOOKUP(R$1,main!$A$3:$H$102,5,FALSE)-VLOOKUP($A71,main!$A$3:$H$102,6,FALSE)&gt;=main!$D$103+VLOOKUP(VLOOKUP(R$1,main!$A$3:$I$102,7,FALSE),main!$K$26:$Q$29,3,FALSE),1,0)</f>
        <v>0</v>
      </c>
      <c r="S71">
        <f>IF(VLOOKUP(S$1,main!$A$3:$H$102,5,FALSE)-VLOOKUP($A71,main!$A$3:$H$102,6,FALSE)&gt;=main!$D$103+VLOOKUP(VLOOKUP(S$1,main!$A$3:$I$102,7,FALSE),main!$K$26:$Q$29,3,FALSE),1,0)</f>
        <v>0</v>
      </c>
      <c r="T71">
        <f>IF(VLOOKUP(T$1,main!$A$3:$H$102,5,FALSE)-VLOOKUP($A71,main!$A$3:$H$102,6,FALSE)&gt;=main!$D$103+VLOOKUP(VLOOKUP(T$1,main!$A$3:$I$102,7,FALSE),main!$K$26:$Q$29,3,FALSE),1,0)</f>
        <v>1</v>
      </c>
      <c r="U71">
        <f>IF(VLOOKUP(U$1,main!$A$3:$H$102,5,FALSE)-VLOOKUP($A71,main!$A$3:$H$102,6,FALSE)&gt;=main!$D$103+VLOOKUP(VLOOKUP(U$1,main!$A$3:$I$102,7,FALSE),main!$K$26:$Q$29,3,FALSE),1,0)</f>
        <v>1</v>
      </c>
      <c r="V71">
        <f>IF(VLOOKUP(V$1,main!$A$3:$H$102,5,FALSE)-VLOOKUP($A71,main!$A$3:$H$102,6,FALSE)&gt;=main!$D$103+VLOOKUP(VLOOKUP(V$1,main!$A$3:$I$102,7,FALSE),main!$K$26:$Q$29,3,FALSE),1,0)</f>
        <v>1</v>
      </c>
      <c r="W71">
        <f>IF(VLOOKUP(W$1,main!$A$3:$H$102,5,FALSE)-VLOOKUP($A71,main!$A$3:$H$102,6,FALSE)&gt;=main!$D$103+VLOOKUP(VLOOKUP(W$1,main!$A$3:$I$102,7,FALSE),main!$K$26:$Q$29,3,FALSE),1,0)</f>
        <v>0</v>
      </c>
      <c r="X71">
        <f>IF(VLOOKUP(X$1,main!$A$3:$H$102,5,FALSE)-VLOOKUP($A71,main!$A$3:$H$102,6,FALSE)&gt;=main!$D$103+VLOOKUP(VLOOKUP(X$1,main!$A$3:$I$102,7,FALSE),main!$K$26:$Q$29,3,FALSE),1,0)</f>
        <v>0</v>
      </c>
      <c r="Y71">
        <f>IF(VLOOKUP(Y$1,main!$A$3:$H$102,5,FALSE)-VLOOKUP($A71,main!$A$3:$H$102,6,FALSE)&gt;=main!$D$103+VLOOKUP(VLOOKUP(Y$1,main!$A$3:$I$102,7,FALSE),main!$K$26:$Q$29,3,FALSE),1,0)</f>
        <v>0</v>
      </c>
      <c r="Z71">
        <f>IF(VLOOKUP(Z$1,main!$A$3:$H$102,5,FALSE)-VLOOKUP($A71,main!$A$3:$H$102,6,FALSE)&gt;=main!$D$103+VLOOKUP(VLOOKUP(Z$1,main!$A$3:$I$102,7,FALSE),main!$K$26:$Q$29,3,FALSE),1,0)</f>
        <v>0</v>
      </c>
      <c r="AA71">
        <f>IF(VLOOKUP(AA$1,main!$A$3:$H$102,5,FALSE)-VLOOKUP($A71,main!$A$3:$H$102,6,FALSE)&gt;=main!$D$103+VLOOKUP(VLOOKUP(AA$1,main!$A$3:$I$102,7,FALSE),main!$K$26:$Q$29,3,FALSE),1,0)</f>
        <v>1</v>
      </c>
      <c r="AB71">
        <f>IF(VLOOKUP(AB$1,main!$A$3:$H$102,5,FALSE)-VLOOKUP($A71,main!$A$3:$H$102,6,FALSE)&gt;=main!$D$103+VLOOKUP(VLOOKUP(AB$1,main!$A$3:$I$102,7,FALSE),main!$K$26:$Q$29,3,FALSE),1,0)</f>
        <v>0</v>
      </c>
      <c r="AC71">
        <f>IF(VLOOKUP(AC$1,main!$A$3:$H$102,5,FALSE)-VLOOKUP($A71,main!$A$3:$H$102,6,FALSE)&gt;=main!$D$103+VLOOKUP(VLOOKUP(AC$1,main!$A$3:$I$102,7,FALSE),main!$K$26:$Q$29,3,FALSE),1,0)</f>
        <v>0</v>
      </c>
      <c r="AD71">
        <f>IF(VLOOKUP(AD$1,main!$A$3:$H$102,5,FALSE)-VLOOKUP($A71,main!$A$3:$H$102,6,FALSE)&gt;=main!$D$103+VLOOKUP(VLOOKUP(AD$1,main!$A$3:$I$102,7,FALSE),main!$K$26:$Q$29,3,FALSE),1,0)</f>
        <v>0</v>
      </c>
      <c r="AE71">
        <f>IF(VLOOKUP(AE$1,main!$A$3:$H$102,5,FALSE)-VLOOKUP($A71,main!$A$3:$H$102,6,FALSE)&gt;=main!$D$103+VLOOKUP(VLOOKUP(AE$1,main!$A$3:$I$102,7,FALSE),main!$K$26:$Q$29,3,FALSE),1,0)</f>
        <v>0</v>
      </c>
      <c r="AF71">
        <f>IF(VLOOKUP(AF$1,main!$A$3:$H$102,5,FALSE)-VLOOKUP($A71,main!$A$3:$H$102,6,FALSE)&gt;=main!$D$103+VLOOKUP(VLOOKUP(AF$1,main!$A$3:$I$102,7,FALSE),main!$K$26:$Q$29,3,FALSE),1,0)</f>
        <v>1</v>
      </c>
      <c r="AG71">
        <f>IF(VLOOKUP(AG$1,main!$A$3:$H$102,5,FALSE)-VLOOKUP($A71,main!$A$3:$H$102,6,FALSE)&gt;=main!$D$103+VLOOKUP(VLOOKUP(AG$1,main!$A$3:$I$102,7,FALSE),main!$K$26:$Q$29,3,FALSE),1,0)</f>
        <v>0</v>
      </c>
      <c r="AH71">
        <f>IF(VLOOKUP(AH$1,main!$A$3:$H$102,5,FALSE)-VLOOKUP($A71,main!$A$3:$H$102,6,FALSE)&gt;=main!$D$103+VLOOKUP(VLOOKUP(AH$1,main!$A$3:$I$102,7,FALSE),main!$K$26:$Q$29,3,FALSE),1,0)</f>
        <v>0</v>
      </c>
      <c r="AI71">
        <f>IF(VLOOKUP(AI$1,main!$A$3:$H$102,5,FALSE)-VLOOKUP($A71,main!$A$3:$H$102,6,FALSE)&gt;=main!$D$103+VLOOKUP(VLOOKUP(AI$1,main!$A$3:$I$102,7,FALSE),main!$K$26:$Q$29,3,FALSE),1,0)</f>
        <v>0</v>
      </c>
      <c r="AJ71">
        <f>IF(VLOOKUP(AJ$1,main!$A$3:$H$102,5,FALSE)-VLOOKUP($A71,main!$A$3:$H$102,6,FALSE)&gt;=main!$D$103+VLOOKUP(VLOOKUP(AJ$1,main!$A$3:$I$102,7,FALSE),main!$K$26:$Q$29,3,FALSE),1,0)</f>
        <v>0</v>
      </c>
      <c r="AK71">
        <f>IF(VLOOKUP(AK$1,main!$A$3:$H$102,5,FALSE)-VLOOKUP($A71,main!$A$3:$H$102,6,FALSE)&gt;=main!$D$103+VLOOKUP(VLOOKUP(AK$1,main!$A$3:$I$102,7,FALSE),main!$K$26:$Q$29,3,FALSE),1,0)</f>
        <v>0</v>
      </c>
      <c r="AL71">
        <f>IF(VLOOKUP(AL$1,main!$A$3:$H$102,5,FALSE)-VLOOKUP($A71,main!$A$3:$H$102,6,FALSE)&gt;=main!$D$103+VLOOKUP(VLOOKUP(AL$1,main!$A$3:$I$102,7,FALSE),main!$K$26:$Q$29,3,FALSE),1,0)</f>
        <v>1</v>
      </c>
      <c r="AM71">
        <f>IF(VLOOKUP(AM$1,main!$A$3:$H$102,5,FALSE)-VLOOKUP($A71,main!$A$3:$H$102,6,FALSE)&gt;=main!$D$103+VLOOKUP(VLOOKUP(AM$1,main!$A$3:$I$102,7,FALSE),main!$K$26:$Q$29,3,FALSE),1,0)</f>
        <v>1</v>
      </c>
      <c r="AN71">
        <f>IF(VLOOKUP(AN$1,main!$A$3:$H$102,5,FALSE)-VLOOKUP($A71,main!$A$3:$H$102,6,FALSE)&gt;=main!$D$103+VLOOKUP(VLOOKUP(AN$1,main!$A$3:$I$102,7,FALSE),main!$K$26:$Q$29,3,FALSE),1,0)</f>
        <v>1</v>
      </c>
      <c r="AO71">
        <f>IF(VLOOKUP(AO$1,main!$A$3:$H$102,5,FALSE)-VLOOKUP($A71,main!$A$3:$H$102,6,FALSE)&gt;=main!$D$103+VLOOKUP(VLOOKUP(AO$1,main!$A$3:$I$102,7,FALSE),main!$K$26:$Q$29,3,FALSE),1,0)</f>
        <v>0</v>
      </c>
      <c r="AP71">
        <f>IF(VLOOKUP(AP$1,main!$A$3:$H$102,5,FALSE)-VLOOKUP($A71,main!$A$3:$H$102,6,FALSE)&gt;=main!$D$103+VLOOKUP(VLOOKUP(AP$1,main!$A$3:$I$102,7,FALSE),main!$K$26:$Q$29,3,FALSE),1,0)</f>
        <v>1</v>
      </c>
      <c r="AQ71">
        <f>IF(VLOOKUP(AQ$1,main!$A$3:$H$102,5,FALSE)-VLOOKUP($A71,main!$A$3:$H$102,6,FALSE)&gt;=main!$D$103+VLOOKUP(VLOOKUP(AQ$1,main!$A$3:$I$102,7,FALSE),main!$K$26:$Q$29,3,FALSE),1,0)</f>
        <v>0</v>
      </c>
      <c r="AR71">
        <f>IF(VLOOKUP(AR$1,main!$A$3:$H$102,5,FALSE)-VLOOKUP($A71,main!$A$3:$H$102,6,FALSE)&gt;=main!$D$103+VLOOKUP(VLOOKUP(AR$1,main!$A$3:$I$102,7,FALSE),main!$K$26:$Q$29,3,FALSE),1,0)</f>
        <v>0</v>
      </c>
      <c r="AS71">
        <f>IF(VLOOKUP(AS$1,main!$A$3:$H$102,5,FALSE)-VLOOKUP($A71,main!$A$3:$H$102,6,FALSE)&gt;=main!$D$103+VLOOKUP(VLOOKUP(AS$1,main!$A$3:$I$102,7,FALSE),main!$K$26:$Q$29,3,FALSE),1,0)</f>
        <v>0</v>
      </c>
      <c r="AT71">
        <f>IF(VLOOKUP(AT$1,main!$A$3:$H$102,5,FALSE)-VLOOKUP($A71,main!$A$3:$H$102,6,FALSE)&gt;=main!$D$103+VLOOKUP(VLOOKUP(AT$1,main!$A$3:$I$102,7,FALSE),main!$K$26:$Q$29,3,FALSE),1,0)</f>
        <v>0</v>
      </c>
      <c r="AU71">
        <f>IF(VLOOKUP(AU$1,main!$A$3:$H$102,5,FALSE)-VLOOKUP($A71,main!$A$3:$H$102,6,FALSE)&gt;=main!$D$103+VLOOKUP(VLOOKUP(AU$1,main!$A$3:$I$102,7,FALSE),main!$K$26:$Q$29,3,FALSE),1,0)</f>
        <v>0</v>
      </c>
      <c r="AV71">
        <f>IF(VLOOKUP(AV$1,main!$A$3:$H$102,5,FALSE)-VLOOKUP($A71,main!$A$3:$H$102,6,FALSE)&gt;=main!$D$103+VLOOKUP(VLOOKUP(AV$1,main!$A$3:$I$102,7,FALSE),main!$K$26:$Q$29,3,FALSE),1,0)</f>
        <v>0</v>
      </c>
      <c r="AW71">
        <f>IF(VLOOKUP(AW$1,main!$A$3:$H$102,5,FALSE)-VLOOKUP($A71,main!$A$3:$H$102,6,FALSE)&gt;=main!$D$103+VLOOKUP(VLOOKUP(AW$1,main!$A$3:$I$102,7,FALSE),main!$K$26:$Q$29,3,FALSE),1,0)</f>
        <v>0</v>
      </c>
      <c r="AX71">
        <f>IF(VLOOKUP(AX$1,main!$A$3:$H$102,5,FALSE)-VLOOKUP($A71,main!$A$3:$H$102,6,FALSE)&gt;=main!$D$103+VLOOKUP(VLOOKUP(AX$1,main!$A$3:$I$102,7,FALSE),main!$K$26:$Q$29,3,FALSE),1,0)</f>
        <v>0</v>
      </c>
      <c r="AY71">
        <f>IF(VLOOKUP(AY$1,main!$A$3:$H$102,5,FALSE)-VLOOKUP($A71,main!$A$3:$H$102,6,FALSE)&gt;=main!$D$103+VLOOKUP(VLOOKUP(AY$1,main!$A$3:$I$102,7,FALSE),main!$K$26:$Q$29,3,FALSE),1,0)</f>
        <v>0</v>
      </c>
      <c r="AZ71">
        <f>IF(VLOOKUP(AZ$1,main!$A$3:$H$102,5,FALSE)-VLOOKUP($A71,main!$A$3:$H$102,6,FALSE)&gt;=main!$D$103+VLOOKUP(VLOOKUP(AZ$1,main!$A$3:$I$102,7,FALSE),main!$K$26:$Q$29,3,FALSE),1,0)</f>
        <v>0</v>
      </c>
      <c r="BA71">
        <f>IF(VLOOKUP(BA$1,main!$A$3:$H$102,5,FALSE)-VLOOKUP($A71,main!$A$3:$H$102,6,FALSE)&gt;=main!$D$103+VLOOKUP(VLOOKUP(BA$1,main!$A$3:$I$102,7,FALSE),main!$K$26:$Q$29,3,FALSE),1,0)</f>
        <v>0</v>
      </c>
      <c r="BB71">
        <f>IF(VLOOKUP(BB$1,main!$A$3:$H$102,5,FALSE)-VLOOKUP($A71,main!$A$3:$H$102,6,FALSE)&gt;=main!$D$103+VLOOKUP(VLOOKUP(BB$1,main!$A$3:$I$102,7,FALSE),main!$K$26:$Q$29,3,FALSE),1,0)</f>
        <v>0</v>
      </c>
      <c r="BC71">
        <f>IF(VLOOKUP(BC$1,main!$A$3:$H$102,5,FALSE)-VLOOKUP($A71,main!$A$3:$H$102,6,FALSE)&gt;=main!$D$103+VLOOKUP(VLOOKUP(BC$1,main!$A$3:$I$102,7,FALSE),main!$K$26:$Q$29,3,FALSE),1,0)</f>
        <v>0</v>
      </c>
      <c r="BD71">
        <f>IF(VLOOKUP(BD$1,main!$A$3:$H$102,5,FALSE)-VLOOKUP($A71,main!$A$3:$H$102,6,FALSE)&gt;=main!$D$103+VLOOKUP(VLOOKUP(BD$1,main!$A$3:$I$102,7,FALSE),main!$K$26:$Q$29,3,FALSE),1,0)</f>
        <v>0</v>
      </c>
      <c r="BE71">
        <f>IF(VLOOKUP(BE$1,main!$A$3:$H$102,5,FALSE)-VLOOKUP($A71,main!$A$3:$H$102,6,FALSE)&gt;=main!$D$103+VLOOKUP(VLOOKUP(BE$1,main!$A$3:$I$102,7,FALSE),main!$K$26:$Q$29,3,FALSE),1,0)</f>
        <v>1</v>
      </c>
      <c r="BF71">
        <f>IF(VLOOKUP(BF$1,main!$A$3:$H$102,5,FALSE)-VLOOKUP($A71,main!$A$3:$H$102,6,FALSE)&gt;=main!$D$103+VLOOKUP(VLOOKUP(BF$1,main!$A$3:$I$102,7,FALSE),main!$K$26:$Q$29,3,FALSE),1,0)</f>
        <v>0</v>
      </c>
      <c r="BG71">
        <f>IF(VLOOKUP(BG$1,main!$A$3:$H$102,5,FALSE)-VLOOKUP($A71,main!$A$3:$H$102,6,FALSE)&gt;=main!$D$103+VLOOKUP(VLOOKUP(BG$1,main!$A$3:$I$102,7,FALSE),main!$K$26:$Q$29,3,FALSE),1,0)</f>
        <v>0</v>
      </c>
      <c r="BH71">
        <f>IF(VLOOKUP(BH$1,main!$A$3:$H$102,5,FALSE)-VLOOKUP($A71,main!$A$3:$H$102,6,FALSE)&gt;=main!$D$103+VLOOKUP(VLOOKUP(BH$1,main!$A$3:$I$102,7,FALSE),main!$K$26:$Q$29,3,FALSE),1,0)</f>
        <v>0</v>
      </c>
      <c r="BI71">
        <f>IF(VLOOKUP(BI$1,main!$A$3:$H$102,5,FALSE)-VLOOKUP($A71,main!$A$3:$H$102,6,FALSE)&gt;=main!$D$103+VLOOKUP(VLOOKUP(BI$1,main!$A$3:$I$102,7,FALSE),main!$K$26:$Q$29,3,FALSE),1,0)</f>
        <v>1</v>
      </c>
      <c r="BJ71">
        <f>IF(VLOOKUP(BJ$1,main!$A$3:$H$102,5,FALSE)-VLOOKUP($A71,main!$A$3:$H$102,6,FALSE)&gt;=main!$D$103+VLOOKUP(VLOOKUP(BJ$1,main!$A$3:$I$102,7,FALSE),main!$K$26:$Q$29,3,FALSE),1,0)</f>
        <v>1</v>
      </c>
      <c r="BK71">
        <f>IF(VLOOKUP(BK$1,main!$A$3:$H$102,5,FALSE)-VLOOKUP($A71,main!$A$3:$H$102,6,FALSE)&gt;=main!$D$103+VLOOKUP(VLOOKUP(BK$1,main!$A$3:$I$102,7,FALSE),main!$K$26:$Q$29,3,FALSE),1,0)</f>
        <v>0</v>
      </c>
      <c r="BL71">
        <f>IF(VLOOKUP(BL$1,main!$A$3:$H$102,5,FALSE)-VLOOKUP($A71,main!$A$3:$H$102,6,FALSE)&gt;=main!$D$103+VLOOKUP(VLOOKUP(BL$1,main!$A$3:$I$102,7,FALSE),main!$K$26:$Q$29,3,FALSE),1,0)</f>
        <v>0</v>
      </c>
      <c r="BM71">
        <f>IF(VLOOKUP(BM$1,main!$A$3:$H$102,5,FALSE)-VLOOKUP($A71,main!$A$3:$H$102,6,FALSE)&gt;=main!$D$103+VLOOKUP(VLOOKUP(BM$1,main!$A$3:$I$102,7,FALSE),main!$K$26:$Q$29,3,FALSE),1,0)</f>
        <v>0</v>
      </c>
      <c r="BN71">
        <f>IF(VLOOKUP(BN$1,main!$A$3:$H$102,5,FALSE)-VLOOKUP($A71,main!$A$3:$H$102,6,FALSE)&gt;=main!$D$103+VLOOKUP(VLOOKUP(BN$1,main!$A$3:$I$102,7,FALSE),main!$K$26:$Q$29,3,FALSE),1,0)</f>
        <v>0</v>
      </c>
      <c r="BO71">
        <f>IF(VLOOKUP(BO$1,main!$A$3:$H$102,5,FALSE)-VLOOKUP($A71,main!$A$3:$H$102,6,FALSE)&gt;=main!$D$103+VLOOKUP(VLOOKUP(BO$1,main!$A$3:$I$102,7,FALSE),main!$K$26:$Q$29,3,FALSE),1,0)</f>
        <v>0</v>
      </c>
      <c r="BP71">
        <f>IF(VLOOKUP(BP$1,main!$A$3:$H$102,5,FALSE)-VLOOKUP($A71,main!$A$3:$H$102,6,FALSE)&gt;=main!$D$103+VLOOKUP(VLOOKUP(BP$1,main!$A$3:$I$102,7,FALSE),main!$K$26:$Q$29,3,FALSE),1,0)</f>
        <v>0</v>
      </c>
      <c r="BQ71">
        <f>IF(VLOOKUP(BQ$1,main!$A$3:$H$102,5,FALSE)-VLOOKUP($A71,main!$A$3:$H$102,6,FALSE)&gt;=main!$D$103+VLOOKUP(VLOOKUP(BQ$1,main!$A$3:$I$102,7,FALSE),main!$K$26:$Q$29,3,FALSE),1,0)</f>
        <v>0</v>
      </c>
      <c r="BR71">
        <f>IF(VLOOKUP(BR$1,main!$A$3:$H$102,5,FALSE)-VLOOKUP($A71,main!$A$3:$H$102,6,FALSE)&gt;=main!$D$103+VLOOKUP(VLOOKUP(BR$1,main!$A$3:$I$102,7,FALSE),main!$K$26:$Q$29,3,FALSE),1,0)</f>
        <v>0</v>
      </c>
      <c r="BS71">
        <f>IF(VLOOKUP(BS$1,main!$A$3:$H$102,5,FALSE)-VLOOKUP($A71,main!$A$3:$H$102,6,FALSE)&gt;=main!$D$103+VLOOKUP(VLOOKUP(BS$1,main!$A$3:$I$102,7,FALSE),main!$K$26:$Q$29,3,FALSE),1,0)</f>
        <v>0</v>
      </c>
      <c r="BT71">
        <f>IF(VLOOKUP(BT$1,main!$A$3:$H$102,5,FALSE)-VLOOKUP($A71,main!$A$3:$H$102,6,FALSE)&gt;=main!$D$103+VLOOKUP(VLOOKUP(BT$1,main!$A$3:$I$102,7,FALSE),main!$K$26:$Q$29,3,FALSE),1,0)</f>
        <v>0</v>
      </c>
      <c r="BU71">
        <f>IF(VLOOKUP(BU$1,main!$A$3:$H$102,5,FALSE)-VLOOKUP($A71,main!$A$3:$H$102,6,FALSE)&gt;=main!$D$103+VLOOKUP(VLOOKUP(BU$1,main!$A$3:$I$102,7,FALSE),main!$K$26:$Q$29,3,FALSE),1,0)</f>
        <v>0</v>
      </c>
      <c r="BV71">
        <f>IF(VLOOKUP(BV$1,main!$A$3:$H$102,5,FALSE)-VLOOKUP($A71,main!$A$3:$H$102,6,FALSE)&gt;=main!$D$103+VLOOKUP(VLOOKUP(BV$1,main!$A$3:$I$102,7,FALSE),main!$K$26:$Q$29,3,FALSE),1,0)</f>
        <v>0</v>
      </c>
      <c r="BW71">
        <f>IF(VLOOKUP(BW$1,main!$A$3:$H$102,5,FALSE)-VLOOKUP($A71,main!$A$3:$H$102,6,FALSE)&gt;=main!$D$103+VLOOKUP(VLOOKUP(BW$1,main!$A$3:$I$102,7,FALSE),main!$K$26:$Q$29,3,FALSE),1,0)</f>
        <v>0</v>
      </c>
      <c r="BX71">
        <f>IF(VLOOKUP(BX$1,main!$A$3:$H$102,5,FALSE)-VLOOKUP($A71,main!$A$3:$H$102,6,FALSE)&gt;=main!$D$103+VLOOKUP(VLOOKUP(BX$1,main!$A$3:$I$102,7,FALSE),main!$K$26:$Q$29,3,FALSE),1,0)</f>
        <v>0</v>
      </c>
      <c r="BY71">
        <f>IF(VLOOKUP(BY$1,main!$A$3:$H$102,5,FALSE)-VLOOKUP($A71,main!$A$3:$H$102,6,FALSE)&gt;=main!$D$103+VLOOKUP(VLOOKUP(BY$1,main!$A$3:$I$102,7,FALSE),main!$K$26:$Q$29,3,FALSE),1,0)</f>
        <v>0</v>
      </c>
      <c r="BZ71">
        <f>IF(VLOOKUP(BZ$1,main!$A$3:$H$102,5,FALSE)-VLOOKUP($A71,main!$A$3:$H$102,6,FALSE)&gt;=main!$D$103+VLOOKUP(VLOOKUP(BZ$1,main!$A$3:$I$102,7,FALSE),main!$K$26:$Q$29,3,FALSE),1,0)</f>
        <v>0</v>
      </c>
      <c r="CA71">
        <f>IF(VLOOKUP(CA$1,main!$A$3:$H$102,5,FALSE)-VLOOKUP($A71,main!$A$3:$H$102,6,FALSE)&gt;=main!$D$103+VLOOKUP(VLOOKUP(CA$1,main!$A$3:$I$102,7,FALSE),main!$K$26:$Q$29,3,FALSE),1,0)</f>
        <v>0</v>
      </c>
      <c r="CB71">
        <f>IF(VLOOKUP(CB$1,main!$A$3:$H$102,5,FALSE)-VLOOKUP($A71,main!$A$3:$H$102,6,FALSE)&gt;=main!$D$103+VLOOKUP(VLOOKUP(CB$1,main!$A$3:$I$102,7,FALSE),main!$K$26:$Q$29,3,FALSE),1,0)</f>
        <v>0</v>
      </c>
      <c r="CC71">
        <f>IF(VLOOKUP(CC$1,main!$A$3:$H$102,5,FALSE)-VLOOKUP($A71,main!$A$3:$H$102,6,FALSE)&gt;=main!$D$103+VLOOKUP(VLOOKUP(CC$1,main!$A$3:$I$102,7,FALSE),main!$K$26:$Q$29,3,FALSE),1,0)</f>
        <v>1</v>
      </c>
      <c r="CD71">
        <f>IF(VLOOKUP(CD$1,main!$A$3:$H$102,5,FALSE)-VLOOKUP($A71,main!$A$3:$H$102,6,FALSE)&gt;=main!$D$103+VLOOKUP(VLOOKUP(CD$1,main!$A$3:$I$102,7,FALSE),main!$K$26:$Q$29,3,FALSE),1,0)</f>
        <v>0</v>
      </c>
      <c r="CE71">
        <f>IF(VLOOKUP(CE$1,main!$A$3:$H$102,5,FALSE)-VLOOKUP($A71,main!$A$3:$H$102,6,FALSE)&gt;=main!$D$103+VLOOKUP(VLOOKUP(CE$1,main!$A$3:$I$102,7,FALSE),main!$K$26:$Q$29,3,FALSE),1,0)</f>
        <v>0</v>
      </c>
      <c r="CF71">
        <f>IF(VLOOKUP(CF$1,main!$A$3:$H$102,5,FALSE)-VLOOKUP($A71,main!$A$3:$H$102,6,FALSE)&gt;=main!$D$103+VLOOKUP(VLOOKUP(CF$1,main!$A$3:$I$102,7,FALSE),main!$K$26:$Q$29,3,FALSE),1,0)</f>
        <v>0</v>
      </c>
      <c r="CG71">
        <f>IF(VLOOKUP(CG$1,main!$A$3:$H$102,5,FALSE)-VLOOKUP($A71,main!$A$3:$H$102,6,FALSE)&gt;=main!$D$103+VLOOKUP(VLOOKUP(CG$1,main!$A$3:$I$102,7,FALSE),main!$K$26:$Q$29,3,FALSE),1,0)</f>
        <v>0</v>
      </c>
      <c r="CH71">
        <f>IF(VLOOKUP(CH$1,main!$A$3:$H$102,5,FALSE)-VLOOKUP($A71,main!$A$3:$H$102,6,FALSE)&gt;=main!$D$103+VLOOKUP(VLOOKUP(CH$1,main!$A$3:$I$102,7,FALSE),main!$K$26:$Q$29,3,FALSE),1,0)</f>
        <v>1</v>
      </c>
      <c r="CI71">
        <f>IF(VLOOKUP(CI$1,main!$A$3:$H$102,5,FALSE)-VLOOKUP($A71,main!$A$3:$H$102,6,FALSE)&gt;=main!$D$103+VLOOKUP(VLOOKUP(CI$1,main!$A$3:$I$102,7,FALSE),main!$K$26:$Q$29,3,FALSE),1,0)</f>
        <v>1</v>
      </c>
      <c r="CJ71">
        <f>IF(VLOOKUP(CJ$1,main!$A$3:$H$102,5,FALSE)-VLOOKUP($A71,main!$A$3:$H$102,6,FALSE)&gt;=main!$D$103+VLOOKUP(VLOOKUP(CJ$1,main!$A$3:$I$102,7,FALSE),main!$K$26:$Q$29,3,FALSE),1,0)</f>
        <v>0</v>
      </c>
      <c r="CK71">
        <f>IF(VLOOKUP(CK$1,main!$A$3:$H$102,5,FALSE)-VLOOKUP($A71,main!$A$3:$H$102,6,FALSE)&gt;=main!$D$103+VLOOKUP(VLOOKUP(CK$1,main!$A$3:$I$102,7,FALSE),main!$K$26:$Q$29,3,FALSE),1,0)</f>
        <v>0</v>
      </c>
      <c r="CL71">
        <f>IF(VLOOKUP(CL$1,main!$A$3:$H$102,5,FALSE)-VLOOKUP($A71,main!$A$3:$H$102,6,FALSE)&gt;=main!$D$103+VLOOKUP(VLOOKUP(CL$1,main!$A$3:$I$102,7,FALSE),main!$K$26:$Q$29,3,FALSE),1,0)</f>
        <v>0</v>
      </c>
      <c r="CM71">
        <f>IF(VLOOKUP(CM$1,main!$A$3:$H$102,5,FALSE)-VLOOKUP($A71,main!$A$3:$H$102,6,FALSE)&gt;=main!$D$103+VLOOKUP(VLOOKUP(CM$1,main!$A$3:$I$102,7,FALSE),main!$K$26:$Q$29,3,FALSE),1,0)</f>
        <v>0</v>
      </c>
      <c r="CN71">
        <f>IF(VLOOKUP(CN$1,main!$A$3:$H$102,5,FALSE)-VLOOKUP($A71,main!$A$3:$H$102,6,FALSE)&gt;=main!$D$103+VLOOKUP(VLOOKUP(CN$1,main!$A$3:$I$102,7,FALSE),main!$K$26:$Q$29,3,FALSE),1,0)</f>
        <v>1</v>
      </c>
      <c r="CO71">
        <f>IF(VLOOKUP(CO$1,main!$A$3:$H$102,5,FALSE)-VLOOKUP($A71,main!$A$3:$H$102,6,FALSE)&gt;=main!$D$103+VLOOKUP(VLOOKUP(CO$1,main!$A$3:$I$102,7,FALSE),main!$K$26:$Q$29,3,FALSE),1,0)</f>
        <v>0</v>
      </c>
      <c r="CP71">
        <f>IF(VLOOKUP(CP$1,main!$A$3:$H$102,5,FALSE)-VLOOKUP($A71,main!$A$3:$H$102,6,FALSE)&gt;=main!$D$103+VLOOKUP(VLOOKUP(CP$1,main!$A$3:$I$102,7,FALSE),main!$K$26:$Q$29,3,FALSE),1,0)</f>
        <v>0</v>
      </c>
      <c r="CQ71">
        <f>IF(VLOOKUP(CQ$1,main!$A$3:$H$102,5,FALSE)-VLOOKUP($A71,main!$A$3:$H$102,6,FALSE)&gt;=main!$D$103+VLOOKUP(VLOOKUP(CQ$1,main!$A$3:$I$102,7,FALSE),main!$K$26:$Q$29,3,FALSE),1,0)</f>
        <v>0</v>
      </c>
      <c r="CR71">
        <f>IF(VLOOKUP(CR$1,main!$A$3:$H$102,5,FALSE)-VLOOKUP($A71,main!$A$3:$H$102,6,FALSE)&gt;=main!$D$103+VLOOKUP(VLOOKUP(CR$1,main!$A$3:$I$102,7,FALSE),main!$K$26:$Q$29,3,FALSE),1,0)</f>
        <v>0</v>
      </c>
      <c r="CS71">
        <f>IF(VLOOKUP(CS$1,main!$A$3:$H$102,5,FALSE)-VLOOKUP($A71,main!$A$3:$H$102,6,FALSE)&gt;=main!$D$103+VLOOKUP(VLOOKUP(CS$1,main!$A$3:$I$102,7,FALSE),main!$K$26:$Q$29,3,FALSE),1,0)</f>
        <v>0</v>
      </c>
      <c r="CT71">
        <f>IF(VLOOKUP(CT$1,main!$A$3:$H$102,5,FALSE)-VLOOKUP($A71,main!$A$3:$H$102,6,FALSE)&gt;=main!$D$103+VLOOKUP(VLOOKUP(CT$1,main!$A$3:$I$102,7,FALSE),main!$K$26:$Q$29,3,FALSE),1,0)</f>
        <v>0</v>
      </c>
      <c r="CU71">
        <f>IF(VLOOKUP(CU$1,main!$A$3:$H$102,5,FALSE)-VLOOKUP($A71,main!$A$3:$H$102,6,FALSE)&gt;=main!$D$103+VLOOKUP(VLOOKUP(CU$1,main!$A$3:$I$102,7,FALSE),main!$K$26:$Q$29,3,FALSE),1,0)</f>
        <v>0</v>
      </c>
      <c r="CV71">
        <f>IF(VLOOKUP(CV$1,main!$A$3:$H$102,5,FALSE)-VLOOKUP($A71,main!$A$3:$H$102,6,FALSE)&gt;=main!$D$103+VLOOKUP(VLOOKUP(CV$1,main!$A$3:$I$102,7,FALSE),main!$K$26:$Q$29,3,FALSE),1,0)</f>
        <v>0</v>
      </c>
      <c r="CW71">
        <f>IF(VLOOKUP(CW$1,main!$A$3:$H$102,5,FALSE)-VLOOKUP($A71,main!$A$3:$H$102,6,FALSE)&gt;=main!$D$103+VLOOKUP(VLOOKUP(CW$1,main!$A$3:$I$102,7,FALSE),main!$K$26:$Q$29,3,FALSE),1,0)</f>
        <v>0</v>
      </c>
      <c r="CX71">
        <f>IF(VLOOKUP(CX$1,main!$A$3:$H$102,5,FALSE)-VLOOKUP($A71,main!$A$3:$H$102,6,FALSE)&gt;=main!$D$103+VLOOKUP(VLOOKUP(CX$1,main!$A$3:$I$102,7,FALSE),main!$K$26:$Q$29,3,FALSE),1,0)</f>
        <v>1</v>
      </c>
    </row>
    <row r="72" spans="1:102" x14ac:dyDescent="0.25">
      <c r="A72" s="1">
        <v>70</v>
      </c>
      <c r="B72">
        <v>0</v>
      </c>
      <c r="C72">
        <f>IF(VLOOKUP(C$1,main!$A$3:$H$102,5,FALSE)-VLOOKUP($A72,main!$A$3:$H$102,6,FALSE)&gt;=main!$D$103+VLOOKUP(VLOOKUP(C$1,main!$A$3:$I$102,7,FALSE),main!$K$26:$Q$29,3,FALSE),1,0)</f>
        <v>0</v>
      </c>
      <c r="D72">
        <f>IF(VLOOKUP(D$1,main!$A$3:$H$102,5,FALSE)-VLOOKUP($A72,main!$A$3:$H$102,6,FALSE)&gt;=main!$D$103+VLOOKUP(VLOOKUP(D$1,main!$A$3:$I$102,7,FALSE),main!$K$26:$Q$29,3,FALSE),1,0)</f>
        <v>0</v>
      </c>
      <c r="E72">
        <f>IF(VLOOKUP(E$1,main!$A$3:$H$102,5,FALSE)-VLOOKUP($A72,main!$A$3:$H$102,6,FALSE)&gt;=main!$D$103+VLOOKUP(VLOOKUP(E$1,main!$A$3:$I$102,7,FALSE),main!$K$26:$Q$29,3,FALSE),1,0)</f>
        <v>0</v>
      </c>
      <c r="F72">
        <f>IF(VLOOKUP(F$1,main!$A$3:$H$102,5,FALSE)-VLOOKUP($A72,main!$A$3:$H$102,6,FALSE)&gt;=main!$D$103+VLOOKUP(VLOOKUP(F$1,main!$A$3:$I$102,7,FALSE),main!$K$26:$Q$29,3,FALSE),1,0)</f>
        <v>0</v>
      </c>
      <c r="G72">
        <f>IF(VLOOKUP(G$1,main!$A$3:$H$102,5,FALSE)-VLOOKUP($A72,main!$A$3:$H$102,6,FALSE)&gt;=main!$D$103+VLOOKUP(VLOOKUP(G$1,main!$A$3:$I$102,7,FALSE),main!$K$26:$Q$29,3,FALSE),1,0)</f>
        <v>0</v>
      </c>
      <c r="H72">
        <f>IF(VLOOKUP(H$1,main!$A$3:$H$102,5,FALSE)-VLOOKUP($A72,main!$A$3:$H$102,6,FALSE)&gt;=main!$D$103+VLOOKUP(VLOOKUP(H$1,main!$A$3:$I$102,7,FALSE),main!$K$26:$Q$29,3,FALSE),1,0)</f>
        <v>0</v>
      </c>
      <c r="I72">
        <f>IF(VLOOKUP(I$1,main!$A$3:$H$102,5,FALSE)-VLOOKUP($A72,main!$A$3:$H$102,6,FALSE)&gt;=main!$D$103+VLOOKUP(VLOOKUP(I$1,main!$A$3:$I$102,7,FALSE),main!$K$26:$Q$29,3,FALSE),1,0)</f>
        <v>0</v>
      </c>
      <c r="J72">
        <f>IF(VLOOKUP(J$1,main!$A$3:$H$102,5,FALSE)-VLOOKUP($A72,main!$A$3:$H$102,6,FALSE)&gt;=main!$D$103+VLOOKUP(VLOOKUP(J$1,main!$A$3:$I$102,7,FALSE),main!$K$26:$Q$29,3,FALSE),1,0)</f>
        <v>0</v>
      </c>
      <c r="K72">
        <f>IF(VLOOKUP(K$1,main!$A$3:$H$102,5,FALSE)-VLOOKUP($A72,main!$A$3:$H$102,6,FALSE)&gt;=main!$D$103+VLOOKUP(VLOOKUP(K$1,main!$A$3:$I$102,7,FALSE),main!$K$26:$Q$29,3,FALSE),1,0)</f>
        <v>1</v>
      </c>
      <c r="L72">
        <f>IF(VLOOKUP(L$1,main!$A$3:$H$102,5,FALSE)-VLOOKUP($A72,main!$A$3:$H$102,6,FALSE)&gt;=main!$D$103+VLOOKUP(VLOOKUP(L$1,main!$A$3:$I$102,7,FALSE),main!$K$26:$Q$29,3,FALSE),1,0)</f>
        <v>1</v>
      </c>
      <c r="M72">
        <f>IF(VLOOKUP(M$1,main!$A$3:$H$102,5,FALSE)-VLOOKUP($A72,main!$A$3:$H$102,6,FALSE)&gt;=main!$D$103+VLOOKUP(VLOOKUP(M$1,main!$A$3:$I$102,7,FALSE),main!$K$26:$Q$29,3,FALSE),1,0)</f>
        <v>0</v>
      </c>
      <c r="N72">
        <f>IF(VLOOKUP(N$1,main!$A$3:$H$102,5,FALSE)-VLOOKUP($A72,main!$A$3:$H$102,6,FALSE)&gt;=main!$D$103+VLOOKUP(VLOOKUP(N$1,main!$A$3:$I$102,7,FALSE),main!$K$26:$Q$29,3,FALSE),1,0)</f>
        <v>0</v>
      </c>
      <c r="O72">
        <f>IF(VLOOKUP(O$1,main!$A$3:$H$102,5,FALSE)-VLOOKUP($A72,main!$A$3:$H$102,6,FALSE)&gt;=main!$D$103+VLOOKUP(VLOOKUP(O$1,main!$A$3:$I$102,7,FALSE),main!$K$26:$Q$29,3,FALSE),1,0)</f>
        <v>0</v>
      </c>
      <c r="P72">
        <f>IF(VLOOKUP(P$1,main!$A$3:$H$102,5,FALSE)-VLOOKUP($A72,main!$A$3:$H$102,6,FALSE)&gt;=main!$D$103+VLOOKUP(VLOOKUP(P$1,main!$A$3:$I$102,7,FALSE),main!$K$26:$Q$29,3,FALSE),1,0)</f>
        <v>0</v>
      </c>
      <c r="Q72">
        <f>IF(VLOOKUP(Q$1,main!$A$3:$H$102,5,FALSE)-VLOOKUP($A72,main!$A$3:$H$102,6,FALSE)&gt;=main!$D$103+VLOOKUP(VLOOKUP(Q$1,main!$A$3:$I$102,7,FALSE),main!$K$26:$Q$29,3,FALSE),1,0)</f>
        <v>0</v>
      </c>
      <c r="R72">
        <f>IF(VLOOKUP(R$1,main!$A$3:$H$102,5,FALSE)-VLOOKUP($A72,main!$A$3:$H$102,6,FALSE)&gt;=main!$D$103+VLOOKUP(VLOOKUP(R$1,main!$A$3:$I$102,7,FALSE),main!$K$26:$Q$29,3,FALSE),1,0)</f>
        <v>0</v>
      </c>
      <c r="S72">
        <f>IF(VLOOKUP(S$1,main!$A$3:$H$102,5,FALSE)-VLOOKUP($A72,main!$A$3:$H$102,6,FALSE)&gt;=main!$D$103+VLOOKUP(VLOOKUP(S$1,main!$A$3:$I$102,7,FALSE),main!$K$26:$Q$29,3,FALSE),1,0)</f>
        <v>0</v>
      </c>
      <c r="T72">
        <f>IF(VLOOKUP(T$1,main!$A$3:$H$102,5,FALSE)-VLOOKUP($A72,main!$A$3:$H$102,6,FALSE)&gt;=main!$D$103+VLOOKUP(VLOOKUP(T$1,main!$A$3:$I$102,7,FALSE),main!$K$26:$Q$29,3,FALSE),1,0)</f>
        <v>0</v>
      </c>
      <c r="U72">
        <f>IF(VLOOKUP(U$1,main!$A$3:$H$102,5,FALSE)-VLOOKUP($A72,main!$A$3:$H$102,6,FALSE)&gt;=main!$D$103+VLOOKUP(VLOOKUP(U$1,main!$A$3:$I$102,7,FALSE),main!$K$26:$Q$29,3,FALSE),1,0)</f>
        <v>1</v>
      </c>
      <c r="V72">
        <f>IF(VLOOKUP(V$1,main!$A$3:$H$102,5,FALSE)-VLOOKUP($A72,main!$A$3:$H$102,6,FALSE)&gt;=main!$D$103+VLOOKUP(VLOOKUP(V$1,main!$A$3:$I$102,7,FALSE),main!$K$26:$Q$29,3,FALSE),1,0)</f>
        <v>1</v>
      </c>
      <c r="W72">
        <f>IF(VLOOKUP(W$1,main!$A$3:$H$102,5,FALSE)-VLOOKUP($A72,main!$A$3:$H$102,6,FALSE)&gt;=main!$D$103+VLOOKUP(VLOOKUP(W$1,main!$A$3:$I$102,7,FALSE),main!$K$26:$Q$29,3,FALSE),1,0)</f>
        <v>0</v>
      </c>
      <c r="X72">
        <f>IF(VLOOKUP(X$1,main!$A$3:$H$102,5,FALSE)-VLOOKUP($A72,main!$A$3:$H$102,6,FALSE)&gt;=main!$D$103+VLOOKUP(VLOOKUP(X$1,main!$A$3:$I$102,7,FALSE),main!$K$26:$Q$29,3,FALSE),1,0)</f>
        <v>0</v>
      </c>
      <c r="Y72">
        <f>IF(VLOOKUP(Y$1,main!$A$3:$H$102,5,FALSE)-VLOOKUP($A72,main!$A$3:$H$102,6,FALSE)&gt;=main!$D$103+VLOOKUP(VLOOKUP(Y$1,main!$A$3:$I$102,7,FALSE),main!$K$26:$Q$29,3,FALSE),1,0)</f>
        <v>0</v>
      </c>
      <c r="Z72">
        <f>IF(VLOOKUP(Z$1,main!$A$3:$H$102,5,FALSE)-VLOOKUP($A72,main!$A$3:$H$102,6,FALSE)&gt;=main!$D$103+VLOOKUP(VLOOKUP(Z$1,main!$A$3:$I$102,7,FALSE),main!$K$26:$Q$29,3,FALSE),1,0)</f>
        <v>0</v>
      </c>
      <c r="AA72">
        <f>IF(VLOOKUP(AA$1,main!$A$3:$H$102,5,FALSE)-VLOOKUP($A72,main!$A$3:$H$102,6,FALSE)&gt;=main!$D$103+VLOOKUP(VLOOKUP(AA$1,main!$A$3:$I$102,7,FALSE),main!$K$26:$Q$29,3,FALSE),1,0)</f>
        <v>1</v>
      </c>
      <c r="AB72">
        <f>IF(VLOOKUP(AB$1,main!$A$3:$H$102,5,FALSE)-VLOOKUP($A72,main!$A$3:$H$102,6,FALSE)&gt;=main!$D$103+VLOOKUP(VLOOKUP(AB$1,main!$A$3:$I$102,7,FALSE),main!$K$26:$Q$29,3,FALSE),1,0)</f>
        <v>0</v>
      </c>
      <c r="AC72">
        <f>IF(VLOOKUP(AC$1,main!$A$3:$H$102,5,FALSE)-VLOOKUP($A72,main!$A$3:$H$102,6,FALSE)&gt;=main!$D$103+VLOOKUP(VLOOKUP(AC$1,main!$A$3:$I$102,7,FALSE),main!$K$26:$Q$29,3,FALSE),1,0)</f>
        <v>0</v>
      </c>
      <c r="AD72">
        <f>IF(VLOOKUP(AD$1,main!$A$3:$H$102,5,FALSE)-VLOOKUP($A72,main!$A$3:$H$102,6,FALSE)&gt;=main!$D$103+VLOOKUP(VLOOKUP(AD$1,main!$A$3:$I$102,7,FALSE),main!$K$26:$Q$29,3,FALSE),1,0)</f>
        <v>0</v>
      </c>
      <c r="AE72">
        <f>IF(VLOOKUP(AE$1,main!$A$3:$H$102,5,FALSE)-VLOOKUP($A72,main!$A$3:$H$102,6,FALSE)&gt;=main!$D$103+VLOOKUP(VLOOKUP(AE$1,main!$A$3:$I$102,7,FALSE),main!$K$26:$Q$29,3,FALSE),1,0)</f>
        <v>0</v>
      </c>
      <c r="AF72">
        <f>IF(VLOOKUP(AF$1,main!$A$3:$H$102,5,FALSE)-VLOOKUP($A72,main!$A$3:$H$102,6,FALSE)&gt;=main!$D$103+VLOOKUP(VLOOKUP(AF$1,main!$A$3:$I$102,7,FALSE),main!$K$26:$Q$29,3,FALSE),1,0)</f>
        <v>1</v>
      </c>
      <c r="AG72">
        <f>IF(VLOOKUP(AG$1,main!$A$3:$H$102,5,FALSE)-VLOOKUP($A72,main!$A$3:$H$102,6,FALSE)&gt;=main!$D$103+VLOOKUP(VLOOKUP(AG$1,main!$A$3:$I$102,7,FALSE),main!$K$26:$Q$29,3,FALSE),1,0)</f>
        <v>0</v>
      </c>
      <c r="AH72">
        <f>IF(VLOOKUP(AH$1,main!$A$3:$H$102,5,FALSE)-VLOOKUP($A72,main!$A$3:$H$102,6,FALSE)&gt;=main!$D$103+VLOOKUP(VLOOKUP(AH$1,main!$A$3:$I$102,7,FALSE),main!$K$26:$Q$29,3,FALSE),1,0)</f>
        <v>0</v>
      </c>
      <c r="AI72">
        <f>IF(VLOOKUP(AI$1,main!$A$3:$H$102,5,FALSE)-VLOOKUP($A72,main!$A$3:$H$102,6,FALSE)&gt;=main!$D$103+VLOOKUP(VLOOKUP(AI$1,main!$A$3:$I$102,7,FALSE),main!$K$26:$Q$29,3,FALSE),1,0)</f>
        <v>0</v>
      </c>
      <c r="AJ72">
        <f>IF(VLOOKUP(AJ$1,main!$A$3:$H$102,5,FALSE)-VLOOKUP($A72,main!$A$3:$H$102,6,FALSE)&gt;=main!$D$103+VLOOKUP(VLOOKUP(AJ$1,main!$A$3:$I$102,7,FALSE),main!$K$26:$Q$29,3,FALSE),1,0)</f>
        <v>0</v>
      </c>
      <c r="AK72">
        <f>IF(VLOOKUP(AK$1,main!$A$3:$H$102,5,FALSE)-VLOOKUP($A72,main!$A$3:$H$102,6,FALSE)&gt;=main!$D$103+VLOOKUP(VLOOKUP(AK$1,main!$A$3:$I$102,7,FALSE),main!$K$26:$Q$29,3,FALSE),1,0)</f>
        <v>0</v>
      </c>
      <c r="AL72">
        <f>IF(VLOOKUP(AL$1,main!$A$3:$H$102,5,FALSE)-VLOOKUP($A72,main!$A$3:$H$102,6,FALSE)&gt;=main!$D$103+VLOOKUP(VLOOKUP(AL$1,main!$A$3:$I$102,7,FALSE),main!$K$26:$Q$29,3,FALSE),1,0)</f>
        <v>0</v>
      </c>
      <c r="AM72">
        <f>IF(VLOOKUP(AM$1,main!$A$3:$H$102,5,FALSE)-VLOOKUP($A72,main!$A$3:$H$102,6,FALSE)&gt;=main!$D$103+VLOOKUP(VLOOKUP(AM$1,main!$A$3:$I$102,7,FALSE),main!$K$26:$Q$29,3,FALSE),1,0)</f>
        <v>0</v>
      </c>
      <c r="AN72">
        <f>IF(VLOOKUP(AN$1,main!$A$3:$H$102,5,FALSE)-VLOOKUP($A72,main!$A$3:$H$102,6,FALSE)&gt;=main!$D$103+VLOOKUP(VLOOKUP(AN$1,main!$A$3:$I$102,7,FALSE),main!$K$26:$Q$29,3,FALSE),1,0)</f>
        <v>1</v>
      </c>
      <c r="AO72">
        <f>IF(VLOOKUP(AO$1,main!$A$3:$H$102,5,FALSE)-VLOOKUP($A72,main!$A$3:$H$102,6,FALSE)&gt;=main!$D$103+VLOOKUP(VLOOKUP(AO$1,main!$A$3:$I$102,7,FALSE),main!$K$26:$Q$29,3,FALSE),1,0)</f>
        <v>0</v>
      </c>
      <c r="AP72">
        <f>IF(VLOOKUP(AP$1,main!$A$3:$H$102,5,FALSE)-VLOOKUP($A72,main!$A$3:$H$102,6,FALSE)&gt;=main!$D$103+VLOOKUP(VLOOKUP(AP$1,main!$A$3:$I$102,7,FALSE),main!$K$26:$Q$29,3,FALSE),1,0)</f>
        <v>1</v>
      </c>
      <c r="AQ72">
        <f>IF(VLOOKUP(AQ$1,main!$A$3:$H$102,5,FALSE)-VLOOKUP($A72,main!$A$3:$H$102,6,FALSE)&gt;=main!$D$103+VLOOKUP(VLOOKUP(AQ$1,main!$A$3:$I$102,7,FALSE),main!$K$26:$Q$29,3,FALSE),1,0)</f>
        <v>0</v>
      </c>
      <c r="AR72">
        <f>IF(VLOOKUP(AR$1,main!$A$3:$H$102,5,FALSE)-VLOOKUP($A72,main!$A$3:$H$102,6,FALSE)&gt;=main!$D$103+VLOOKUP(VLOOKUP(AR$1,main!$A$3:$I$102,7,FALSE),main!$K$26:$Q$29,3,FALSE),1,0)</f>
        <v>0</v>
      </c>
      <c r="AS72">
        <f>IF(VLOOKUP(AS$1,main!$A$3:$H$102,5,FALSE)-VLOOKUP($A72,main!$A$3:$H$102,6,FALSE)&gt;=main!$D$103+VLOOKUP(VLOOKUP(AS$1,main!$A$3:$I$102,7,FALSE),main!$K$26:$Q$29,3,FALSE),1,0)</f>
        <v>0</v>
      </c>
      <c r="AT72">
        <f>IF(VLOOKUP(AT$1,main!$A$3:$H$102,5,FALSE)-VLOOKUP($A72,main!$A$3:$H$102,6,FALSE)&gt;=main!$D$103+VLOOKUP(VLOOKUP(AT$1,main!$A$3:$I$102,7,FALSE),main!$K$26:$Q$29,3,FALSE),1,0)</f>
        <v>0</v>
      </c>
      <c r="AU72">
        <f>IF(VLOOKUP(AU$1,main!$A$3:$H$102,5,FALSE)-VLOOKUP($A72,main!$A$3:$H$102,6,FALSE)&gt;=main!$D$103+VLOOKUP(VLOOKUP(AU$1,main!$A$3:$I$102,7,FALSE),main!$K$26:$Q$29,3,FALSE),1,0)</f>
        <v>0</v>
      </c>
      <c r="AV72">
        <f>IF(VLOOKUP(AV$1,main!$A$3:$H$102,5,FALSE)-VLOOKUP($A72,main!$A$3:$H$102,6,FALSE)&gt;=main!$D$103+VLOOKUP(VLOOKUP(AV$1,main!$A$3:$I$102,7,FALSE),main!$K$26:$Q$29,3,FALSE),1,0)</f>
        <v>0</v>
      </c>
      <c r="AW72">
        <f>IF(VLOOKUP(AW$1,main!$A$3:$H$102,5,FALSE)-VLOOKUP($A72,main!$A$3:$H$102,6,FALSE)&gt;=main!$D$103+VLOOKUP(VLOOKUP(AW$1,main!$A$3:$I$102,7,FALSE),main!$K$26:$Q$29,3,FALSE),1,0)</f>
        <v>0</v>
      </c>
      <c r="AX72">
        <f>IF(VLOOKUP(AX$1,main!$A$3:$H$102,5,FALSE)-VLOOKUP($A72,main!$A$3:$H$102,6,FALSE)&gt;=main!$D$103+VLOOKUP(VLOOKUP(AX$1,main!$A$3:$I$102,7,FALSE),main!$K$26:$Q$29,3,FALSE),1,0)</f>
        <v>0</v>
      </c>
      <c r="AY72">
        <f>IF(VLOOKUP(AY$1,main!$A$3:$H$102,5,FALSE)-VLOOKUP($A72,main!$A$3:$H$102,6,FALSE)&gt;=main!$D$103+VLOOKUP(VLOOKUP(AY$1,main!$A$3:$I$102,7,FALSE),main!$K$26:$Q$29,3,FALSE),1,0)</f>
        <v>0</v>
      </c>
      <c r="AZ72">
        <f>IF(VLOOKUP(AZ$1,main!$A$3:$H$102,5,FALSE)-VLOOKUP($A72,main!$A$3:$H$102,6,FALSE)&gt;=main!$D$103+VLOOKUP(VLOOKUP(AZ$1,main!$A$3:$I$102,7,FALSE),main!$K$26:$Q$29,3,FALSE),1,0)</f>
        <v>0</v>
      </c>
      <c r="BA72">
        <f>IF(VLOOKUP(BA$1,main!$A$3:$H$102,5,FALSE)-VLOOKUP($A72,main!$A$3:$H$102,6,FALSE)&gt;=main!$D$103+VLOOKUP(VLOOKUP(BA$1,main!$A$3:$I$102,7,FALSE),main!$K$26:$Q$29,3,FALSE),1,0)</f>
        <v>0</v>
      </c>
      <c r="BB72">
        <f>IF(VLOOKUP(BB$1,main!$A$3:$H$102,5,FALSE)-VLOOKUP($A72,main!$A$3:$H$102,6,FALSE)&gt;=main!$D$103+VLOOKUP(VLOOKUP(BB$1,main!$A$3:$I$102,7,FALSE),main!$K$26:$Q$29,3,FALSE),1,0)</f>
        <v>0</v>
      </c>
      <c r="BC72">
        <f>IF(VLOOKUP(BC$1,main!$A$3:$H$102,5,FALSE)-VLOOKUP($A72,main!$A$3:$H$102,6,FALSE)&gt;=main!$D$103+VLOOKUP(VLOOKUP(BC$1,main!$A$3:$I$102,7,FALSE),main!$K$26:$Q$29,3,FALSE),1,0)</f>
        <v>0</v>
      </c>
      <c r="BD72">
        <f>IF(VLOOKUP(BD$1,main!$A$3:$H$102,5,FALSE)-VLOOKUP($A72,main!$A$3:$H$102,6,FALSE)&gt;=main!$D$103+VLOOKUP(VLOOKUP(BD$1,main!$A$3:$I$102,7,FALSE),main!$K$26:$Q$29,3,FALSE),1,0)</f>
        <v>0</v>
      </c>
      <c r="BE72">
        <f>IF(VLOOKUP(BE$1,main!$A$3:$H$102,5,FALSE)-VLOOKUP($A72,main!$A$3:$H$102,6,FALSE)&gt;=main!$D$103+VLOOKUP(VLOOKUP(BE$1,main!$A$3:$I$102,7,FALSE),main!$K$26:$Q$29,3,FALSE),1,0)</f>
        <v>0</v>
      </c>
      <c r="BF72">
        <f>IF(VLOOKUP(BF$1,main!$A$3:$H$102,5,FALSE)-VLOOKUP($A72,main!$A$3:$H$102,6,FALSE)&gt;=main!$D$103+VLOOKUP(VLOOKUP(BF$1,main!$A$3:$I$102,7,FALSE),main!$K$26:$Q$29,3,FALSE),1,0)</f>
        <v>0</v>
      </c>
      <c r="BG72">
        <f>IF(VLOOKUP(BG$1,main!$A$3:$H$102,5,FALSE)-VLOOKUP($A72,main!$A$3:$H$102,6,FALSE)&gt;=main!$D$103+VLOOKUP(VLOOKUP(BG$1,main!$A$3:$I$102,7,FALSE),main!$K$26:$Q$29,3,FALSE),1,0)</f>
        <v>0</v>
      </c>
      <c r="BH72">
        <f>IF(VLOOKUP(BH$1,main!$A$3:$H$102,5,FALSE)-VLOOKUP($A72,main!$A$3:$H$102,6,FALSE)&gt;=main!$D$103+VLOOKUP(VLOOKUP(BH$1,main!$A$3:$I$102,7,FALSE),main!$K$26:$Q$29,3,FALSE),1,0)</f>
        <v>0</v>
      </c>
      <c r="BI72">
        <f>IF(VLOOKUP(BI$1,main!$A$3:$H$102,5,FALSE)-VLOOKUP($A72,main!$A$3:$H$102,6,FALSE)&gt;=main!$D$103+VLOOKUP(VLOOKUP(BI$1,main!$A$3:$I$102,7,FALSE),main!$K$26:$Q$29,3,FALSE),1,0)</f>
        <v>1</v>
      </c>
      <c r="BJ72">
        <f>IF(VLOOKUP(BJ$1,main!$A$3:$H$102,5,FALSE)-VLOOKUP($A72,main!$A$3:$H$102,6,FALSE)&gt;=main!$D$103+VLOOKUP(VLOOKUP(BJ$1,main!$A$3:$I$102,7,FALSE),main!$K$26:$Q$29,3,FALSE),1,0)</f>
        <v>0</v>
      </c>
      <c r="BK72">
        <f>IF(VLOOKUP(BK$1,main!$A$3:$H$102,5,FALSE)-VLOOKUP($A72,main!$A$3:$H$102,6,FALSE)&gt;=main!$D$103+VLOOKUP(VLOOKUP(BK$1,main!$A$3:$I$102,7,FALSE),main!$K$26:$Q$29,3,FALSE),1,0)</f>
        <v>0</v>
      </c>
      <c r="BL72">
        <f>IF(VLOOKUP(BL$1,main!$A$3:$H$102,5,FALSE)-VLOOKUP($A72,main!$A$3:$H$102,6,FALSE)&gt;=main!$D$103+VLOOKUP(VLOOKUP(BL$1,main!$A$3:$I$102,7,FALSE),main!$K$26:$Q$29,3,FALSE),1,0)</f>
        <v>0</v>
      </c>
      <c r="BM72">
        <f>IF(VLOOKUP(BM$1,main!$A$3:$H$102,5,FALSE)-VLOOKUP($A72,main!$A$3:$H$102,6,FALSE)&gt;=main!$D$103+VLOOKUP(VLOOKUP(BM$1,main!$A$3:$I$102,7,FALSE),main!$K$26:$Q$29,3,FALSE),1,0)</f>
        <v>0</v>
      </c>
      <c r="BN72">
        <f>IF(VLOOKUP(BN$1,main!$A$3:$H$102,5,FALSE)-VLOOKUP($A72,main!$A$3:$H$102,6,FALSE)&gt;=main!$D$103+VLOOKUP(VLOOKUP(BN$1,main!$A$3:$I$102,7,FALSE),main!$K$26:$Q$29,3,FALSE),1,0)</f>
        <v>0</v>
      </c>
      <c r="BO72">
        <f>IF(VLOOKUP(BO$1,main!$A$3:$H$102,5,FALSE)-VLOOKUP($A72,main!$A$3:$H$102,6,FALSE)&gt;=main!$D$103+VLOOKUP(VLOOKUP(BO$1,main!$A$3:$I$102,7,FALSE),main!$K$26:$Q$29,3,FALSE),1,0)</f>
        <v>0</v>
      </c>
      <c r="BP72">
        <f>IF(VLOOKUP(BP$1,main!$A$3:$H$102,5,FALSE)-VLOOKUP($A72,main!$A$3:$H$102,6,FALSE)&gt;=main!$D$103+VLOOKUP(VLOOKUP(BP$1,main!$A$3:$I$102,7,FALSE),main!$K$26:$Q$29,3,FALSE),1,0)</f>
        <v>0</v>
      </c>
      <c r="BQ72">
        <f>IF(VLOOKUP(BQ$1,main!$A$3:$H$102,5,FALSE)-VLOOKUP($A72,main!$A$3:$H$102,6,FALSE)&gt;=main!$D$103+VLOOKUP(VLOOKUP(BQ$1,main!$A$3:$I$102,7,FALSE),main!$K$26:$Q$29,3,FALSE),1,0)</f>
        <v>0</v>
      </c>
      <c r="BR72">
        <f>IF(VLOOKUP(BR$1,main!$A$3:$H$102,5,FALSE)-VLOOKUP($A72,main!$A$3:$H$102,6,FALSE)&gt;=main!$D$103+VLOOKUP(VLOOKUP(BR$1,main!$A$3:$I$102,7,FALSE),main!$K$26:$Q$29,3,FALSE),1,0)</f>
        <v>0</v>
      </c>
      <c r="BS72">
        <f>IF(VLOOKUP(BS$1,main!$A$3:$H$102,5,FALSE)-VLOOKUP($A72,main!$A$3:$H$102,6,FALSE)&gt;=main!$D$103+VLOOKUP(VLOOKUP(BS$1,main!$A$3:$I$102,7,FALSE),main!$K$26:$Q$29,3,FALSE),1,0)</f>
        <v>0</v>
      </c>
      <c r="BT72">
        <f>IF(VLOOKUP(BT$1,main!$A$3:$H$102,5,FALSE)-VLOOKUP($A72,main!$A$3:$H$102,6,FALSE)&gt;=main!$D$103+VLOOKUP(VLOOKUP(BT$1,main!$A$3:$I$102,7,FALSE),main!$K$26:$Q$29,3,FALSE),1,0)</f>
        <v>0</v>
      </c>
      <c r="BU72">
        <f>IF(VLOOKUP(BU$1,main!$A$3:$H$102,5,FALSE)-VLOOKUP($A72,main!$A$3:$H$102,6,FALSE)&gt;=main!$D$103+VLOOKUP(VLOOKUP(BU$1,main!$A$3:$I$102,7,FALSE),main!$K$26:$Q$29,3,FALSE),1,0)</f>
        <v>0</v>
      </c>
      <c r="BV72">
        <f>IF(VLOOKUP(BV$1,main!$A$3:$H$102,5,FALSE)-VLOOKUP($A72,main!$A$3:$H$102,6,FALSE)&gt;=main!$D$103+VLOOKUP(VLOOKUP(BV$1,main!$A$3:$I$102,7,FALSE),main!$K$26:$Q$29,3,FALSE),1,0)</f>
        <v>0</v>
      </c>
      <c r="BW72">
        <f>IF(VLOOKUP(BW$1,main!$A$3:$H$102,5,FALSE)-VLOOKUP($A72,main!$A$3:$H$102,6,FALSE)&gt;=main!$D$103+VLOOKUP(VLOOKUP(BW$1,main!$A$3:$I$102,7,FALSE),main!$K$26:$Q$29,3,FALSE),1,0)</f>
        <v>0</v>
      </c>
      <c r="BX72">
        <f>IF(VLOOKUP(BX$1,main!$A$3:$H$102,5,FALSE)-VLOOKUP($A72,main!$A$3:$H$102,6,FALSE)&gt;=main!$D$103+VLOOKUP(VLOOKUP(BX$1,main!$A$3:$I$102,7,FALSE),main!$K$26:$Q$29,3,FALSE),1,0)</f>
        <v>0</v>
      </c>
      <c r="BY72">
        <f>IF(VLOOKUP(BY$1,main!$A$3:$H$102,5,FALSE)-VLOOKUP($A72,main!$A$3:$H$102,6,FALSE)&gt;=main!$D$103+VLOOKUP(VLOOKUP(BY$1,main!$A$3:$I$102,7,FALSE),main!$K$26:$Q$29,3,FALSE),1,0)</f>
        <v>0</v>
      </c>
      <c r="BZ72">
        <f>IF(VLOOKUP(BZ$1,main!$A$3:$H$102,5,FALSE)-VLOOKUP($A72,main!$A$3:$H$102,6,FALSE)&gt;=main!$D$103+VLOOKUP(VLOOKUP(BZ$1,main!$A$3:$I$102,7,FALSE),main!$K$26:$Q$29,3,FALSE),1,0)</f>
        <v>0</v>
      </c>
      <c r="CA72">
        <f>IF(VLOOKUP(CA$1,main!$A$3:$H$102,5,FALSE)-VLOOKUP($A72,main!$A$3:$H$102,6,FALSE)&gt;=main!$D$103+VLOOKUP(VLOOKUP(CA$1,main!$A$3:$I$102,7,FALSE),main!$K$26:$Q$29,3,FALSE),1,0)</f>
        <v>0</v>
      </c>
      <c r="CB72">
        <f>IF(VLOOKUP(CB$1,main!$A$3:$H$102,5,FALSE)-VLOOKUP($A72,main!$A$3:$H$102,6,FALSE)&gt;=main!$D$103+VLOOKUP(VLOOKUP(CB$1,main!$A$3:$I$102,7,FALSE),main!$K$26:$Q$29,3,FALSE),1,0)</f>
        <v>0</v>
      </c>
      <c r="CC72">
        <f>IF(VLOOKUP(CC$1,main!$A$3:$H$102,5,FALSE)-VLOOKUP($A72,main!$A$3:$H$102,6,FALSE)&gt;=main!$D$103+VLOOKUP(VLOOKUP(CC$1,main!$A$3:$I$102,7,FALSE),main!$K$26:$Q$29,3,FALSE),1,0)</f>
        <v>1</v>
      </c>
      <c r="CD72">
        <f>IF(VLOOKUP(CD$1,main!$A$3:$H$102,5,FALSE)-VLOOKUP($A72,main!$A$3:$H$102,6,FALSE)&gt;=main!$D$103+VLOOKUP(VLOOKUP(CD$1,main!$A$3:$I$102,7,FALSE),main!$K$26:$Q$29,3,FALSE),1,0)</f>
        <v>0</v>
      </c>
      <c r="CE72">
        <f>IF(VLOOKUP(CE$1,main!$A$3:$H$102,5,FALSE)-VLOOKUP($A72,main!$A$3:$H$102,6,FALSE)&gt;=main!$D$103+VLOOKUP(VLOOKUP(CE$1,main!$A$3:$I$102,7,FALSE),main!$K$26:$Q$29,3,FALSE),1,0)</f>
        <v>0</v>
      </c>
      <c r="CF72">
        <f>IF(VLOOKUP(CF$1,main!$A$3:$H$102,5,FALSE)-VLOOKUP($A72,main!$A$3:$H$102,6,FALSE)&gt;=main!$D$103+VLOOKUP(VLOOKUP(CF$1,main!$A$3:$I$102,7,FALSE),main!$K$26:$Q$29,3,FALSE),1,0)</f>
        <v>0</v>
      </c>
      <c r="CG72">
        <f>IF(VLOOKUP(CG$1,main!$A$3:$H$102,5,FALSE)-VLOOKUP($A72,main!$A$3:$H$102,6,FALSE)&gt;=main!$D$103+VLOOKUP(VLOOKUP(CG$1,main!$A$3:$I$102,7,FALSE),main!$K$26:$Q$29,3,FALSE),1,0)</f>
        <v>0</v>
      </c>
      <c r="CH72">
        <f>IF(VLOOKUP(CH$1,main!$A$3:$H$102,5,FALSE)-VLOOKUP($A72,main!$A$3:$H$102,6,FALSE)&gt;=main!$D$103+VLOOKUP(VLOOKUP(CH$1,main!$A$3:$I$102,7,FALSE),main!$K$26:$Q$29,3,FALSE),1,0)</f>
        <v>0</v>
      </c>
      <c r="CI72">
        <f>IF(VLOOKUP(CI$1,main!$A$3:$H$102,5,FALSE)-VLOOKUP($A72,main!$A$3:$H$102,6,FALSE)&gt;=main!$D$103+VLOOKUP(VLOOKUP(CI$1,main!$A$3:$I$102,7,FALSE),main!$K$26:$Q$29,3,FALSE),1,0)</f>
        <v>1</v>
      </c>
      <c r="CJ72">
        <f>IF(VLOOKUP(CJ$1,main!$A$3:$H$102,5,FALSE)-VLOOKUP($A72,main!$A$3:$H$102,6,FALSE)&gt;=main!$D$103+VLOOKUP(VLOOKUP(CJ$1,main!$A$3:$I$102,7,FALSE),main!$K$26:$Q$29,3,FALSE),1,0)</f>
        <v>0</v>
      </c>
      <c r="CK72">
        <f>IF(VLOOKUP(CK$1,main!$A$3:$H$102,5,FALSE)-VLOOKUP($A72,main!$A$3:$H$102,6,FALSE)&gt;=main!$D$103+VLOOKUP(VLOOKUP(CK$1,main!$A$3:$I$102,7,FALSE),main!$K$26:$Q$29,3,FALSE),1,0)</f>
        <v>0</v>
      </c>
      <c r="CL72">
        <f>IF(VLOOKUP(CL$1,main!$A$3:$H$102,5,FALSE)-VLOOKUP($A72,main!$A$3:$H$102,6,FALSE)&gt;=main!$D$103+VLOOKUP(VLOOKUP(CL$1,main!$A$3:$I$102,7,FALSE),main!$K$26:$Q$29,3,FALSE),1,0)</f>
        <v>0</v>
      </c>
      <c r="CM72">
        <f>IF(VLOOKUP(CM$1,main!$A$3:$H$102,5,FALSE)-VLOOKUP($A72,main!$A$3:$H$102,6,FALSE)&gt;=main!$D$103+VLOOKUP(VLOOKUP(CM$1,main!$A$3:$I$102,7,FALSE),main!$K$26:$Q$29,3,FALSE),1,0)</f>
        <v>0</v>
      </c>
      <c r="CN72">
        <f>IF(VLOOKUP(CN$1,main!$A$3:$H$102,5,FALSE)-VLOOKUP($A72,main!$A$3:$H$102,6,FALSE)&gt;=main!$D$103+VLOOKUP(VLOOKUP(CN$1,main!$A$3:$I$102,7,FALSE),main!$K$26:$Q$29,3,FALSE),1,0)</f>
        <v>1</v>
      </c>
      <c r="CO72">
        <f>IF(VLOOKUP(CO$1,main!$A$3:$H$102,5,FALSE)-VLOOKUP($A72,main!$A$3:$H$102,6,FALSE)&gt;=main!$D$103+VLOOKUP(VLOOKUP(CO$1,main!$A$3:$I$102,7,FALSE),main!$K$26:$Q$29,3,FALSE),1,0)</f>
        <v>0</v>
      </c>
      <c r="CP72">
        <f>IF(VLOOKUP(CP$1,main!$A$3:$H$102,5,FALSE)-VLOOKUP($A72,main!$A$3:$H$102,6,FALSE)&gt;=main!$D$103+VLOOKUP(VLOOKUP(CP$1,main!$A$3:$I$102,7,FALSE),main!$K$26:$Q$29,3,FALSE),1,0)</f>
        <v>0</v>
      </c>
      <c r="CQ72">
        <f>IF(VLOOKUP(CQ$1,main!$A$3:$H$102,5,FALSE)-VLOOKUP($A72,main!$A$3:$H$102,6,FALSE)&gt;=main!$D$103+VLOOKUP(VLOOKUP(CQ$1,main!$A$3:$I$102,7,FALSE),main!$K$26:$Q$29,3,FALSE),1,0)</f>
        <v>0</v>
      </c>
      <c r="CR72">
        <f>IF(VLOOKUP(CR$1,main!$A$3:$H$102,5,FALSE)-VLOOKUP($A72,main!$A$3:$H$102,6,FALSE)&gt;=main!$D$103+VLOOKUP(VLOOKUP(CR$1,main!$A$3:$I$102,7,FALSE),main!$K$26:$Q$29,3,FALSE),1,0)</f>
        <v>0</v>
      </c>
      <c r="CS72">
        <f>IF(VLOOKUP(CS$1,main!$A$3:$H$102,5,FALSE)-VLOOKUP($A72,main!$A$3:$H$102,6,FALSE)&gt;=main!$D$103+VLOOKUP(VLOOKUP(CS$1,main!$A$3:$I$102,7,FALSE),main!$K$26:$Q$29,3,FALSE),1,0)</f>
        <v>0</v>
      </c>
      <c r="CT72">
        <f>IF(VLOOKUP(CT$1,main!$A$3:$H$102,5,FALSE)-VLOOKUP($A72,main!$A$3:$H$102,6,FALSE)&gt;=main!$D$103+VLOOKUP(VLOOKUP(CT$1,main!$A$3:$I$102,7,FALSE),main!$K$26:$Q$29,3,FALSE),1,0)</f>
        <v>0</v>
      </c>
      <c r="CU72">
        <f>IF(VLOOKUP(CU$1,main!$A$3:$H$102,5,FALSE)-VLOOKUP($A72,main!$A$3:$H$102,6,FALSE)&gt;=main!$D$103+VLOOKUP(VLOOKUP(CU$1,main!$A$3:$I$102,7,FALSE),main!$K$26:$Q$29,3,FALSE),1,0)</f>
        <v>0</v>
      </c>
      <c r="CV72">
        <f>IF(VLOOKUP(CV$1,main!$A$3:$H$102,5,FALSE)-VLOOKUP($A72,main!$A$3:$H$102,6,FALSE)&gt;=main!$D$103+VLOOKUP(VLOOKUP(CV$1,main!$A$3:$I$102,7,FALSE),main!$K$26:$Q$29,3,FALSE),1,0)</f>
        <v>0</v>
      </c>
      <c r="CW72">
        <f>IF(VLOOKUP(CW$1,main!$A$3:$H$102,5,FALSE)-VLOOKUP($A72,main!$A$3:$H$102,6,FALSE)&gt;=main!$D$103+VLOOKUP(VLOOKUP(CW$1,main!$A$3:$I$102,7,FALSE),main!$K$26:$Q$29,3,FALSE),1,0)</f>
        <v>0</v>
      </c>
      <c r="CX72">
        <f>IF(VLOOKUP(CX$1,main!$A$3:$H$102,5,FALSE)-VLOOKUP($A72,main!$A$3:$H$102,6,FALSE)&gt;=main!$D$103+VLOOKUP(VLOOKUP(CX$1,main!$A$3:$I$102,7,FALSE),main!$K$26:$Q$29,3,FALSE),1,0)</f>
        <v>0</v>
      </c>
    </row>
    <row r="73" spans="1:102" x14ac:dyDescent="0.25">
      <c r="A73" s="1">
        <v>71</v>
      </c>
      <c r="B73">
        <v>0</v>
      </c>
      <c r="C73">
        <f>IF(VLOOKUP(C$1,main!$A$3:$H$102,5,FALSE)-VLOOKUP($A73,main!$A$3:$H$102,6,FALSE)&gt;=main!$D$103+VLOOKUP(VLOOKUP(C$1,main!$A$3:$I$102,7,FALSE),main!$K$26:$Q$29,3,FALSE),1,0)</f>
        <v>0</v>
      </c>
      <c r="D73">
        <f>IF(VLOOKUP(D$1,main!$A$3:$H$102,5,FALSE)-VLOOKUP($A73,main!$A$3:$H$102,6,FALSE)&gt;=main!$D$103+VLOOKUP(VLOOKUP(D$1,main!$A$3:$I$102,7,FALSE),main!$K$26:$Q$29,3,FALSE),1,0)</f>
        <v>0</v>
      </c>
      <c r="E73">
        <f>IF(VLOOKUP(E$1,main!$A$3:$H$102,5,FALSE)-VLOOKUP($A73,main!$A$3:$H$102,6,FALSE)&gt;=main!$D$103+VLOOKUP(VLOOKUP(E$1,main!$A$3:$I$102,7,FALSE),main!$K$26:$Q$29,3,FALSE),1,0)</f>
        <v>1</v>
      </c>
      <c r="F73">
        <f>IF(VLOOKUP(F$1,main!$A$3:$H$102,5,FALSE)-VLOOKUP($A73,main!$A$3:$H$102,6,FALSE)&gt;=main!$D$103+VLOOKUP(VLOOKUP(F$1,main!$A$3:$I$102,7,FALSE),main!$K$26:$Q$29,3,FALSE),1,0)</f>
        <v>1</v>
      </c>
      <c r="G73">
        <f>IF(VLOOKUP(G$1,main!$A$3:$H$102,5,FALSE)-VLOOKUP($A73,main!$A$3:$H$102,6,FALSE)&gt;=main!$D$103+VLOOKUP(VLOOKUP(G$1,main!$A$3:$I$102,7,FALSE),main!$K$26:$Q$29,3,FALSE),1,0)</f>
        <v>1</v>
      </c>
      <c r="H73">
        <f>IF(VLOOKUP(H$1,main!$A$3:$H$102,5,FALSE)-VLOOKUP($A73,main!$A$3:$H$102,6,FALSE)&gt;=main!$D$103+VLOOKUP(VLOOKUP(H$1,main!$A$3:$I$102,7,FALSE),main!$K$26:$Q$29,3,FALSE),1,0)</f>
        <v>1</v>
      </c>
      <c r="I73">
        <f>IF(VLOOKUP(I$1,main!$A$3:$H$102,5,FALSE)-VLOOKUP($A73,main!$A$3:$H$102,6,FALSE)&gt;=main!$D$103+VLOOKUP(VLOOKUP(I$1,main!$A$3:$I$102,7,FALSE),main!$K$26:$Q$29,3,FALSE),1,0)</f>
        <v>1</v>
      </c>
      <c r="J73">
        <f>IF(VLOOKUP(J$1,main!$A$3:$H$102,5,FALSE)-VLOOKUP($A73,main!$A$3:$H$102,6,FALSE)&gt;=main!$D$103+VLOOKUP(VLOOKUP(J$1,main!$A$3:$I$102,7,FALSE),main!$K$26:$Q$29,3,FALSE),1,0)</f>
        <v>1</v>
      </c>
      <c r="K73">
        <f>IF(VLOOKUP(K$1,main!$A$3:$H$102,5,FALSE)-VLOOKUP($A73,main!$A$3:$H$102,6,FALSE)&gt;=main!$D$103+VLOOKUP(VLOOKUP(K$1,main!$A$3:$I$102,7,FALSE),main!$K$26:$Q$29,3,FALSE),1,0)</f>
        <v>1</v>
      </c>
      <c r="L73">
        <f>IF(VLOOKUP(L$1,main!$A$3:$H$102,5,FALSE)-VLOOKUP($A73,main!$A$3:$H$102,6,FALSE)&gt;=main!$D$103+VLOOKUP(VLOOKUP(L$1,main!$A$3:$I$102,7,FALSE),main!$K$26:$Q$29,3,FALSE),1,0)</f>
        <v>1</v>
      </c>
      <c r="M73">
        <f>IF(VLOOKUP(M$1,main!$A$3:$H$102,5,FALSE)-VLOOKUP($A73,main!$A$3:$H$102,6,FALSE)&gt;=main!$D$103+VLOOKUP(VLOOKUP(M$1,main!$A$3:$I$102,7,FALSE),main!$K$26:$Q$29,3,FALSE),1,0)</f>
        <v>0</v>
      </c>
      <c r="N73">
        <f>IF(VLOOKUP(N$1,main!$A$3:$H$102,5,FALSE)-VLOOKUP($A73,main!$A$3:$H$102,6,FALSE)&gt;=main!$D$103+VLOOKUP(VLOOKUP(N$1,main!$A$3:$I$102,7,FALSE),main!$K$26:$Q$29,3,FALSE),1,0)</f>
        <v>0</v>
      </c>
      <c r="O73">
        <f>IF(VLOOKUP(O$1,main!$A$3:$H$102,5,FALSE)-VLOOKUP($A73,main!$A$3:$H$102,6,FALSE)&gt;=main!$D$103+VLOOKUP(VLOOKUP(O$1,main!$A$3:$I$102,7,FALSE),main!$K$26:$Q$29,3,FALSE),1,0)</f>
        <v>0</v>
      </c>
      <c r="P73">
        <f>IF(VLOOKUP(P$1,main!$A$3:$H$102,5,FALSE)-VLOOKUP($A73,main!$A$3:$H$102,6,FALSE)&gt;=main!$D$103+VLOOKUP(VLOOKUP(P$1,main!$A$3:$I$102,7,FALSE),main!$K$26:$Q$29,3,FALSE),1,0)</f>
        <v>1</v>
      </c>
      <c r="Q73">
        <f>IF(VLOOKUP(Q$1,main!$A$3:$H$102,5,FALSE)-VLOOKUP($A73,main!$A$3:$H$102,6,FALSE)&gt;=main!$D$103+VLOOKUP(VLOOKUP(Q$1,main!$A$3:$I$102,7,FALSE),main!$K$26:$Q$29,3,FALSE),1,0)</f>
        <v>1</v>
      </c>
      <c r="R73">
        <f>IF(VLOOKUP(R$1,main!$A$3:$H$102,5,FALSE)-VLOOKUP($A73,main!$A$3:$H$102,6,FALSE)&gt;=main!$D$103+VLOOKUP(VLOOKUP(R$1,main!$A$3:$I$102,7,FALSE),main!$K$26:$Q$29,3,FALSE),1,0)</f>
        <v>1</v>
      </c>
      <c r="S73">
        <f>IF(VLOOKUP(S$1,main!$A$3:$H$102,5,FALSE)-VLOOKUP($A73,main!$A$3:$H$102,6,FALSE)&gt;=main!$D$103+VLOOKUP(VLOOKUP(S$1,main!$A$3:$I$102,7,FALSE),main!$K$26:$Q$29,3,FALSE),1,0)</f>
        <v>1</v>
      </c>
      <c r="T73">
        <f>IF(VLOOKUP(T$1,main!$A$3:$H$102,5,FALSE)-VLOOKUP($A73,main!$A$3:$H$102,6,FALSE)&gt;=main!$D$103+VLOOKUP(VLOOKUP(T$1,main!$A$3:$I$102,7,FALSE),main!$K$26:$Q$29,3,FALSE),1,0)</f>
        <v>1</v>
      </c>
      <c r="U73">
        <f>IF(VLOOKUP(U$1,main!$A$3:$H$102,5,FALSE)-VLOOKUP($A73,main!$A$3:$H$102,6,FALSE)&gt;=main!$D$103+VLOOKUP(VLOOKUP(U$1,main!$A$3:$I$102,7,FALSE),main!$K$26:$Q$29,3,FALSE),1,0)</f>
        <v>1</v>
      </c>
      <c r="V73">
        <f>IF(VLOOKUP(V$1,main!$A$3:$H$102,5,FALSE)-VLOOKUP($A73,main!$A$3:$H$102,6,FALSE)&gt;=main!$D$103+VLOOKUP(VLOOKUP(V$1,main!$A$3:$I$102,7,FALSE),main!$K$26:$Q$29,3,FALSE),1,0)</f>
        <v>1</v>
      </c>
      <c r="W73">
        <f>IF(VLOOKUP(W$1,main!$A$3:$H$102,5,FALSE)-VLOOKUP($A73,main!$A$3:$H$102,6,FALSE)&gt;=main!$D$103+VLOOKUP(VLOOKUP(W$1,main!$A$3:$I$102,7,FALSE),main!$K$26:$Q$29,3,FALSE),1,0)</f>
        <v>0</v>
      </c>
      <c r="X73">
        <f>IF(VLOOKUP(X$1,main!$A$3:$H$102,5,FALSE)-VLOOKUP($A73,main!$A$3:$H$102,6,FALSE)&gt;=main!$D$103+VLOOKUP(VLOOKUP(X$1,main!$A$3:$I$102,7,FALSE),main!$K$26:$Q$29,3,FALSE),1,0)</f>
        <v>0</v>
      </c>
      <c r="Y73">
        <f>IF(VLOOKUP(Y$1,main!$A$3:$H$102,5,FALSE)-VLOOKUP($A73,main!$A$3:$H$102,6,FALSE)&gt;=main!$D$103+VLOOKUP(VLOOKUP(Y$1,main!$A$3:$I$102,7,FALSE),main!$K$26:$Q$29,3,FALSE),1,0)</f>
        <v>1</v>
      </c>
      <c r="Z73">
        <f>IF(VLOOKUP(Z$1,main!$A$3:$H$102,5,FALSE)-VLOOKUP($A73,main!$A$3:$H$102,6,FALSE)&gt;=main!$D$103+VLOOKUP(VLOOKUP(Z$1,main!$A$3:$I$102,7,FALSE),main!$K$26:$Q$29,3,FALSE),1,0)</f>
        <v>1</v>
      </c>
      <c r="AA73">
        <f>IF(VLOOKUP(AA$1,main!$A$3:$H$102,5,FALSE)-VLOOKUP($A73,main!$A$3:$H$102,6,FALSE)&gt;=main!$D$103+VLOOKUP(VLOOKUP(AA$1,main!$A$3:$I$102,7,FALSE),main!$K$26:$Q$29,3,FALSE),1,0)</f>
        <v>1</v>
      </c>
      <c r="AB73">
        <f>IF(VLOOKUP(AB$1,main!$A$3:$H$102,5,FALSE)-VLOOKUP($A73,main!$A$3:$H$102,6,FALSE)&gt;=main!$D$103+VLOOKUP(VLOOKUP(AB$1,main!$A$3:$I$102,7,FALSE),main!$K$26:$Q$29,3,FALSE),1,0)</f>
        <v>0</v>
      </c>
      <c r="AC73">
        <f>IF(VLOOKUP(AC$1,main!$A$3:$H$102,5,FALSE)-VLOOKUP($A73,main!$A$3:$H$102,6,FALSE)&gt;=main!$D$103+VLOOKUP(VLOOKUP(AC$1,main!$A$3:$I$102,7,FALSE),main!$K$26:$Q$29,3,FALSE),1,0)</f>
        <v>0</v>
      </c>
      <c r="AD73">
        <f>IF(VLOOKUP(AD$1,main!$A$3:$H$102,5,FALSE)-VLOOKUP($A73,main!$A$3:$H$102,6,FALSE)&gt;=main!$D$103+VLOOKUP(VLOOKUP(AD$1,main!$A$3:$I$102,7,FALSE),main!$K$26:$Q$29,3,FALSE),1,0)</f>
        <v>1</v>
      </c>
      <c r="AE73">
        <f>IF(VLOOKUP(AE$1,main!$A$3:$H$102,5,FALSE)-VLOOKUP($A73,main!$A$3:$H$102,6,FALSE)&gt;=main!$D$103+VLOOKUP(VLOOKUP(AE$1,main!$A$3:$I$102,7,FALSE),main!$K$26:$Q$29,3,FALSE),1,0)</f>
        <v>1</v>
      </c>
      <c r="AF73">
        <f>IF(VLOOKUP(AF$1,main!$A$3:$H$102,5,FALSE)-VLOOKUP($A73,main!$A$3:$H$102,6,FALSE)&gt;=main!$D$103+VLOOKUP(VLOOKUP(AF$1,main!$A$3:$I$102,7,FALSE),main!$K$26:$Q$29,3,FALSE),1,0)</f>
        <v>1</v>
      </c>
      <c r="AG73">
        <f>IF(VLOOKUP(AG$1,main!$A$3:$H$102,5,FALSE)-VLOOKUP($A73,main!$A$3:$H$102,6,FALSE)&gt;=main!$D$103+VLOOKUP(VLOOKUP(AG$1,main!$A$3:$I$102,7,FALSE),main!$K$26:$Q$29,3,FALSE),1,0)</f>
        <v>0</v>
      </c>
      <c r="AH73">
        <f>IF(VLOOKUP(AH$1,main!$A$3:$H$102,5,FALSE)-VLOOKUP($A73,main!$A$3:$H$102,6,FALSE)&gt;=main!$D$103+VLOOKUP(VLOOKUP(AH$1,main!$A$3:$I$102,7,FALSE),main!$K$26:$Q$29,3,FALSE),1,0)</f>
        <v>0</v>
      </c>
      <c r="AI73">
        <f>IF(VLOOKUP(AI$1,main!$A$3:$H$102,5,FALSE)-VLOOKUP($A73,main!$A$3:$H$102,6,FALSE)&gt;=main!$D$103+VLOOKUP(VLOOKUP(AI$1,main!$A$3:$I$102,7,FALSE),main!$K$26:$Q$29,3,FALSE),1,0)</f>
        <v>1</v>
      </c>
      <c r="AJ73">
        <f>IF(VLOOKUP(AJ$1,main!$A$3:$H$102,5,FALSE)-VLOOKUP($A73,main!$A$3:$H$102,6,FALSE)&gt;=main!$D$103+VLOOKUP(VLOOKUP(AJ$1,main!$A$3:$I$102,7,FALSE),main!$K$26:$Q$29,3,FALSE),1,0)</f>
        <v>1</v>
      </c>
      <c r="AK73">
        <f>IF(VLOOKUP(AK$1,main!$A$3:$H$102,5,FALSE)-VLOOKUP($A73,main!$A$3:$H$102,6,FALSE)&gt;=main!$D$103+VLOOKUP(VLOOKUP(AK$1,main!$A$3:$I$102,7,FALSE),main!$K$26:$Q$29,3,FALSE),1,0)</f>
        <v>1</v>
      </c>
      <c r="AL73">
        <f>IF(VLOOKUP(AL$1,main!$A$3:$H$102,5,FALSE)-VLOOKUP($A73,main!$A$3:$H$102,6,FALSE)&gt;=main!$D$103+VLOOKUP(VLOOKUP(AL$1,main!$A$3:$I$102,7,FALSE),main!$K$26:$Q$29,3,FALSE),1,0)</f>
        <v>1</v>
      </c>
      <c r="AM73">
        <f>IF(VLOOKUP(AM$1,main!$A$3:$H$102,5,FALSE)-VLOOKUP($A73,main!$A$3:$H$102,6,FALSE)&gt;=main!$D$103+VLOOKUP(VLOOKUP(AM$1,main!$A$3:$I$102,7,FALSE),main!$K$26:$Q$29,3,FALSE),1,0)</f>
        <v>1</v>
      </c>
      <c r="AN73">
        <f>IF(VLOOKUP(AN$1,main!$A$3:$H$102,5,FALSE)-VLOOKUP($A73,main!$A$3:$H$102,6,FALSE)&gt;=main!$D$103+VLOOKUP(VLOOKUP(AN$1,main!$A$3:$I$102,7,FALSE),main!$K$26:$Q$29,3,FALSE),1,0)</f>
        <v>1</v>
      </c>
      <c r="AO73">
        <f>IF(VLOOKUP(AO$1,main!$A$3:$H$102,5,FALSE)-VLOOKUP($A73,main!$A$3:$H$102,6,FALSE)&gt;=main!$D$103+VLOOKUP(VLOOKUP(AO$1,main!$A$3:$I$102,7,FALSE),main!$K$26:$Q$29,3,FALSE),1,0)</f>
        <v>0</v>
      </c>
      <c r="AP73">
        <f>IF(VLOOKUP(AP$1,main!$A$3:$H$102,5,FALSE)-VLOOKUP($A73,main!$A$3:$H$102,6,FALSE)&gt;=main!$D$103+VLOOKUP(VLOOKUP(AP$1,main!$A$3:$I$102,7,FALSE),main!$K$26:$Q$29,3,FALSE),1,0)</f>
        <v>1</v>
      </c>
      <c r="AQ73">
        <f>IF(VLOOKUP(AQ$1,main!$A$3:$H$102,5,FALSE)-VLOOKUP($A73,main!$A$3:$H$102,6,FALSE)&gt;=main!$D$103+VLOOKUP(VLOOKUP(AQ$1,main!$A$3:$I$102,7,FALSE),main!$K$26:$Q$29,3,FALSE),1,0)</f>
        <v>0</v>
      </c>
      <c r="AR73">
        <f>IF(VLOOKUP(AR$1,main!$A$3:$H$102,5,FALSE)-VLOOKUP($A73,main!$A$3:$H$102,6,FALSE)&gt;=main!$D$103+VLOOKUP(VLOOKUP(AR$1,main!$A$3:$I$102,7,FALSE),main!$K$26:$Q$29,3,FALSE),1,0)</f>
        <v>0</v>
      </c>
      <c r="AS73">
        <f>IF(VLOOKUP(AS$1,main!$A$3:$H$102,5,FALSE)-VLOOKUP($A73,main!$A$3:$H$102,6,FALSE)&gt;=main!$D$103+VLOOKUP(VLOOKUP(AS$1,main!$A$3:$I$102,7,FALSE),main!$K$26:$Q$29,3,FALSE),1,0)</f>
        <v>1</v>
      </c>
      <c r="AT73">
        <f>IF(VLOOKUP(AT$1,main!$A$3:$H$102,5,FALSE)-VLOOKUP($A73,main!$A$3:$H$102,6,FALSE)&gt;=main!$D$103+VLOOKUP(VLOOKUP(AT$1,main!$A$3:$I$102,7,FALSE),main!$K$26:$Q$29,3,FALSE),1,0)</f>
        <v>1</v>
      </c>
      <c r="AU73">
        <f>IF(VLOOKUP(AU$1,main!$A$3:$H$102,5,FALSE)-VLOOKUP($A73,main!$A$3:$H$102,6,FALSE)&gt;=main!$D$103+VLOOKUP(VLOOKUP(AU$1,main!$A$3:$I$102,7,FALSE),main!$K$26:$Q$29,3,FALSE),1,0)</f>
        <v>0</v>
      </c>
      <c r="AV73">
        <f>IF(VLOOKUP(AV$1,main!$A$3:$H$102,5,FALSE)-VLOOKUP($A73,main!$A$3:$H$102,6,FALSE)&gt;=main!$D$103+VLOOKUP(VLOOKUP(AV$1,main!$A$3:$I$102,7,FALSE),main!$K$26:$Q$29,3,FALSE),1,0)</f>
        <v>0</v>
      </c>
      <c r="AW73">
        <f>IF(VLOOKUP(AW$1,main!$A$3:$H$102,5,FALSE)-VLOOKUP($A73,main!$A$3:$H$102,6,FALSE)&gt;=main!$D$103+VLOOKUP(VLOOKUP(AW$1,main!$A$3:$I$102,7,FALSE),main!$K$26:$Q$29,3,FALSE),1,0)</f>
        <v>1</v>
      </c>
      <c r="AX73">
        <f>IF(VLOOKUP(AX$1,main!$A$3:$H$102,5,FALSE)-VLOOKUP($A73,main!$A$3:$H$102,6,FALSE)&gt;=main!$D$103+VLOOKUP(VLOOKUP(AX$1,main!$A$3:$I$102,7,FALSE),main!$K$26:$Q$29,3,FALSE),1,0)</f>
        <v>1</v>
      </c>
      <c r="AY73">
        <f>IF(VLOOKUP(AY$1,main!$A$3:$H$102,5,FALSE)-VLOOKUP($A73,main!$A$3:$H$102,6,FALSE)&gt;=main!$D$103+VLOOKUP(VLOOKUP(AY$1,main!$A$3:$I$102,7,FALSE),main!$K$26:$Q$29,3,FALSE),1,0)</f>
        <v>0</v>
      </c>
      <c r="AZ73">
        <f>IF(VLOOKUP(AZ$1,main!$A$3:$H$102,5,FALSE)-VLOOKUP($A73,main!$A$3:$H$102,6,FALSE)&gt;=main!$D$103+VLOOKUP(VLOOKUP(AZ$1,main!$A$3:$I$102,7,FALSE),main!$K$26:$Q$29,3,FALSE),1,0)</f>
        <v>1</v>
      </c>
      <c r="BA73">
        <f>IF(VLOOKUP(BA$1,main!$A$3:$H$102,5,FALSE)-VLOOKUP($A73,main!$A$3:$H$102,6,FALSE)&gt;=main!$D$103+VLOOKUP(VLOOKUP(BA$1,main!$A$3:$I$102,7,FALSE),main!$K$26:$Q$29,3,FALSE),1,0)</f>
        <v>0</v>
      </c>
      <c r="BB73">
        <f>IF(VLOOKUP(BB$1,main!$A$3:$H$102,5,FALSE)-VLOOKUP($A73,main!$A$3:$H$102,6,FALSE)&gt;=main!$D$103+VLOOKUP(VLOOKUP(BB$1,main!$A$3:$I$102,7,FALSE),main!$K$26:$Q$29,3,FALSE),1,0)</f>
        <v>1</v>
      </c>
      <c r="BC73">
        <f>IF(VLOOKUP(BC$1,main!$A$3:$H$102,5,FALSE)-VLOOKUP($A73,main!$A$3:$H$102,6,FALSE)&gt;=main!$D$103+VLOOKUP(VLOOKUP(BC$1,main!$A$3:$I$102,7,FALSE),main!$K$26:$Q$29,3,FALSE),1,0)</f>
        <v>1</v>
      </c>
      <c r="BD73">
        <f>IF(VLOOKUP(BD$1,main!$A$3:$H$102,5,FALSE)-VLOOKUP($A73,main!$A$3:$H$102,6,FALSE)&gt;=main!$D$103+VLOOKUP(VLOOKUP(BD$1,main!$A$3:$I$102,7,FALSE),main!$K$26:$Q$29,3,FALSE),1,0)</f>
        <v>1</v>
      </c>
      <c r="BE73">
        <f>IF(VLOOKUP(BE$1,main!$A$3:$H$102,5,FALSE)-VLOOKUP($A73,main!$A$3:$H$102,6,FALSE)&gt;=main!$D$103+VLOOKUP(VLOOKUP(BE$1,main!$A$3:$I$102,7,FALSE),main!$K$26:$Q$29,3,FALSE),1,0)</f>
        <v>1</v>
      </c>
      <c r="BF73">
        <f>IF(VLOOKUP(BF$1,main!$A$3:$H$102,5,FALSE)-VLOOKUP($A73,main!$A$3:$H$102,6,FALSE)&gt;=main!$D$103+VLOOKUP(VLOOKUP(BF$1,main!$A$3:$I$102,7,FALSE),main!$K$26:$Q$29,3,FALSE),1,0)</f>
        <v>0</v>
      </c>
      <c r="BG73">
        <f>IF(VLOOKUP(BG$1,main!$A$3:$H$102,5,FALSE)-VLOOKUP($A73,main!$A$3:$H$102,6,FALSE)&gt;=main!$D$103+VLOOKUP(VLOOKUP(BG$1,main!$A$3:$I$102,7,FALSE),main!$K$26:$Q$29,3,FALSE),1,0)</f>
        <v>0</v>
      </c>
      <c r="BH73">
        <f>IF(VLOOKUP(BH$1,main!$A$3:$H$102,5,FALSE)-VLOOKUP($A73,main!$A$3:$H$102,6,FALSE)&gt;=main!$D$103+VLOOKUP(VLOOKUP(BH$1,main!$A$3:$I$102,7,FALSE),main!$K$26:$Q$29,3,FALSE),1,0)</f>
        <v>1</v>
      </c>
      <c r="BI73">
        <f>IF(VLOOKUP(BI$1,main!$A$3:$H$102,5,FALSE)-VLOOKUP($A73,main!$A$3:$H$102,6,FALSE)&gt;=main!$D$103+VLOOKUP(VLOOKUP(BI$1,main!$A$3:$I$102,7,FALSE),main!$K$26:$Q$29,3,FALSE),1,0)</f>
        <v>1</v>
      </c>
      <c r="BJ73">
        <f>IF(VLOOKUP(BJ$1,main!$A$3:$H$102,5,FALSE)-VLOOKUP($A73,main!$A$3:$H$102,6,FALSE)&gt;=main!$D$103+VLOOKUP(VLOOKUP(BJ$1,main!$A$3:$I$102,7,FALSE),main!$K$26:$Q$29,3,FALSE),1,0)</f>
        <v>1</v>
      </c>
      <c r="BK73">
        <f>IF(VLOOKUP(BK$1,main!$A$3:$H$102,5,FALSE)-VLOOKUP($A73,main!$A$3:$H$102,6,FALSE)&gt;=main!$D$103+VLOOKUP(VLOOKUP(BK$1,main!$A$3:$I$102,7,FALSE),main!$K$26:$Q$29,3,FALSE),1,0)</f>
        <v>0</v>
      </c>
      <c r="BL73">
        <f>IF(VLOOKUP(BL$1,main!$A$3:$H$102,5,FALSE)-VLOOKUP($A73,main!$A$3:$H$102,6,FALSE)&gt;=main!$D$103+VLOOKUP(VLOOKUP(BL$1,main!$A$3:$I$102,7,FALSE),main!$K$26:$Q$29,3,FALSE),1,0)</f>
        <v>0</v>
      </c>
      <c r="BM73">
        <f>IF(VLOOKUP(BM$1,main!$A$3:$H$102,5,FALSE)-VLOOKUP($A73,main!$A$3:$H$102,6,FALSE)&gt;=main!$D$103+VLOOKUP(VLOOKUP(BM$1,main!$A$3:$I$102,7,FALSE),main!$K$26:$Q$29,3,FALSE),1,0)</f>
        <v>0</v>
      </c>
      <c r="BN73">
        <f>IF(VLOOKUP(BN$1,main!$A$3:$H$102,5,FALSE)-VLOOKUP($A73,main!$A$3:$H$102,6,FALSE)&gt;=main!$D$103+VLOOKUP(VLOOKUP(BN$1,main!$A$3:$I$102,7,FALSE),main!$K$26:$Q$29,3,FALSE),1,0)</f>
        <v>1</v>
      </c>
      <c r="BO73">
        <f>IF(VLOOKUP(BO$1,main!$A$3:$H$102,5,FALSE)-VLOOKUP($A73,main!$A$3:$H$102,6,FALSE)&gt;=main!$D$103+VLOOKUP(VLOOKUP(BO$1,main!$A$3:$I$102,7,FALSE),main!$K$26:$Q$29,3,FALSE),1,0)</f>
        <v>0</v>
      </c>
      <c r="BP73">
        <f>IF(VLOOKUP(BP$1,main!$A$3:$H$102,5,FALSE)-VLOOKUP($A73,main!$A$3:$H$102,6,FALSE)&gt;=main!$D$103+VLOOKUP(VLOOKUP(BP$1,main!$A$3:$I$102,7,FALSE),main!$K$26:$Q$29,3,FALSE),1,0)</f>
        <v>0</v>
      </c>
      <c r="BQ73">
        <f>IF(VLOOKUP(BQ$1,main!$A$3:$H$102,5,FALSE)-VLOOKUP($A73,main!$A$3:$H$102,6,FALSE)&gt;=main!$D$103+VLOOKUP(VLOOKUP(BQ$1,main!$A$3:$I$102,7,FALSE),main!$K$26:$Q$29,3,FALSE),1,0)</f>
        <v>1</v>
      </c>
      <c r="BR73">
        <f>IF(VLOOKUP(BR$1,main!$A$3:$H$102,5,FALSE)-VLOOKUP($A73,main!$A$3:$H$102,6,FALSE)&gt;=main!$D$103+VLOOKUP(VLOOKUP(BR$1,main!$A$3:$I$102,7,FALSE),main!$K$26:$Q$29,3,FALSE),1,0)</f>
        <v>1</v>
      </c>
      <c r="BS73">
        <f>IF(VLOOKUP(BS$1,main!$A$3:$H$102,5,FALSE)-VLOOKUP($A73,main!$A$3:$H$102,6,FALSE)&gt;=main!$D$103+VLOOKUP(VLOOKUP(BS$1,main!$A$3:$I$102,7,FALSE),main!$K$26:$Q$29,3,FALSE),1,0)</f>
        <v>1</v>
      </c>
      <c r="BT73">
        <f>IF(VLOOKUP(BT$1,main!$A$3:$H$102,5,FALSE)-VLOOKUP($A73,main!$A$3:$H$102,6,FALSE)&gt;=main!$D$103+VLOOKUP(VLOOKUP(BT$1,main!$A$3:$I$102,7,FALSE),main!$K$26:$Q$29,3,FALSE),1,0)</f>
        <v>1</v>
      </c>
      <c r="BU73">
        <f>IF(VLOOKUP(BU$1,main!$A$3:$H$102,5,FALSE)-VLOOKUP($A73,main!$A$3:$H$102,6,FALSE)&gt;=main!$D$103+VLOOKUP(VLOOKUP(BU$1,main!$A$3:$I$102,7,FALSE),main!$K$26:$Q$29,3,FALSE),1,0)</f>
        <v>0</v>
      </c>
      <c r="BV73">
        <f>IF(VLOOKUP(BV$1,main!$A$3:$H$102,5,FALSE)-VLOOKUP($A73,main!$A$3:$H$102,6,FALSE)&gt;=main!$D$103+VLOOKUP(VLOOKUP(BV$1,main!$A$3:$I$102,7,FALSE),main!$K$26:$Q$29,3,FALSE),1,0)</f>
        <v>0</v>
      </c>
      <c r="BW73">
        <f>IF(VLOOKUP(BW$1,main!$A$3:$H$102,5,FALSE)-VLOOKUP($A73,main!$A$3:$H$102,6,FALSE)&gt;=main!$D$103+VLOOKUP(VLOOKUP(BW$1,main!$A$3:$I$102,7,FALSE),main!$K$26:$Q$29,3,FALSE),1,0)</f>
        <v>0</v>
      </c>
      <c r="BX73">
        <f>IF(VLOOKUP(BX$1,main!$A$3:$H$102,5,FALSE)-VLOOKUP($A73,main!$A$3:$H$102,6,FALSE)&gt;=main!$D$103+VLOOKUP(VLOOKUP(BX$1,main!$A$3:$I$102,7,FALSE),main!$K$26:$Q$29,3,FALSE),1,0)</f>
        <v>1</v>
      </c>
      <c r="BY73">
        <f>IF(VLOOKUP(BY$1,main!$A$3:$H$102,5,FALSE)-VLOOKUP($A73,main!$A$3:$H$102,6,FALSE)&gt;=main!$D$103+VLOOKUP(VLOOKUP(BY$1,main!$A$3:$I$102,7,FALSE),main!$K$26:$Q$29,3,FALSE),1,0)</f>
        <v>1</v>
      </c>
      <c r="BZ73">
        <f>IF(VLOOKUP(BZ$1,main!$A$3:$H$102,5,FALSE)-VLOOKUP($A73,main!$A$3:$H$102,6,FALSE)&gt;=main!$D$103+VLOOKUP(VLOOKUP(BZ$1,main!$A$3:$I$102,7,FALSE),main!$K$26:$Q$29,3,FALSE),1,0)</f>
        <v>0</v>
      </c>
      <c r="CA73">
        <f>IF(VLOOKUP(CA$1,main!$A$3:$H$102,5,FALSE)-VLOOKUP($A73,main!$A$3:$H$102,6,FALSE)&gt;=main!$D$103+VLOOKUP(VLOOKUP(CA$1,main!$A$3:$I$102,7,FALSE),main!$K$26:$Q$29,3,FALSE),1,0)</f>
        <v>0</v>
      </c>
      <c r="CB73">
        <f>IF(VLOOKUP(CB$1,main!$A$3:$H$102,5,FALSE)-VLOOKUP($A73,main!$A$3:$H$102,6,FALSE)&gt;=main!$D$103+VLOOKUP(VLOOKUP(CB$1,main!$A$3:$I$102,7,FALSE),main!$K$26:$Q$29,3,FALSE),1,0)</f>
        <v>1</v>
      </c>
      <c r="CC73">
        <f>IF(VLOOKUP(CC$1,main!$A$3:$H$102,5,FALSE)-VLOOKUP($A73,main!$A$3:$H$102,6,FALSE)&gt;=main!$D$103+VLOOKUP(VLOOKUP(CC$1,main!$A$3:$I$102,7,FALSE),main!$K$26:$Q$29,3,FALSE),1,0)</f>
        <v>1</v>
      </c>
      <c r="CD73">
        <f>IF(VLOOKUP(CD$1,main!$A$3:$H$102,5,FALSE)-VLOOKUP($A73,main!$A$3:$H$102,6,FALSE)&gt;=main!$D$103+VLOOKUP(VLOOKUP(CD$1,main!$A$3:$I$102,7,FALSE),main!$K$26:$Q$29,3,FALSE),1,0)</f>
        <v>1</v>
      </c>
      <c r="CE73">
        <f>IF(VLOOKUP(CE$1,main!$A$3:$H$102,5,FALSE)-VLOOKUP($A73,main!$A$3:$H$102,6,FALSE)&gt;=main!$D$103+VLOOKUP(VLOOKUP(CE$1,main!$A$3:$I$102,7,FALSE),main!$K$26:$Q$29,3,FALSE),1,0)</f>
        <v>1</v>
      </c>
      <c r="CF73">
        <f>IF(VLOOKUP(CF$1,main!$A$3:$H$102,5,FALSE)-VLOOKUP($A73,main!$A$3:$H$102,6,FALSE)&gt;=main!$D$103+VLOOKUP(VLOOKUP(CF$1,main!$A$3:$I$102,7,FALSE),main!$K$26:$Q$29,3,FALSE),1,0)</f>
        <v>1</v>
      </c>
      <c r="CG73">
        <f>IF(VLOOKUP(CG$1,main!$A$3:$H$102,5,FALSE)-VLOOKUP($A73,main!$A$3:$H$102,6,FALSE)&gt;=main!$D$103+VLOOKUP(VLOOKUP(CG$1,main!$A$3:$I$102,7,FALSE),main!$K$26:$Q$29,3,FALSE),1,0)</f>
        <v>1</v>
      </c>
      <c r="CH73">
        <f>IF(VLOOKUP(CH$1,main!$A$3:$H$102,5,FALSE)-VLOOKUP($A73,main!$A$3:$H$102,6,FALSE)&gt;=main!$D$103+VLOOKUP(VLOOKUP(CH$1,main!$A$3:$I$102,7,FALSE),main!$K$26:$Q$29,3,FALSE),1,0)</f>
        <v>1</v>
      </c>
      <c r="CI73">
        <f>IF(VLOOKUP(CI$1,main!$A$3:$H$102,5,FALSE)-VLOOKUP($A73,main!$A$3:$H$102,6,FALSE)&gt;=main!$D$103+VLOOKUP(VLOOKUP(CI$1,main!$A$3:$I$102,7,FALSE),main!$K$26:$Q$29,3,FALSE),1,0)</f>
        <v>1</v>
      </c>
      <c r="CJ73">
        <f>IF(VLOOKUP(CJ$1,main!$A$3:$H$102,5,FALSE)-VLOOKUP($A73,main!$A$3:$H$102,6,FALSE)&gt;=main!$D$103+VLOOKUP(VLOOKUP(CJ$1,main!$A$3:$I$102,7,FALSE),main!$K$26:$Q$29,3,FALSE),1,0)</f>
        <v>1</v>
      </c>
      <c r="CK73">
        <f>IF(VLOOKUP(CK$1,main!$A$3:$H$102,5,FALSE)-VLOOKUP($A73,main!$A$3:$H$102,6,FALSE)&gt;=main!$D$103+VLOOKUP(VLOOKUP(CK$1,main!$A$3:$I$102,7,FALSE),main!$K$26:$Q$29,3,FALSE),1,0)</f>
        <v>1</v>
      </c>
      <c r="CL73">
        <f>IF(VLOOKUP(CL$1,main!$A$3:$H$102,5,FALSE)-VLOOKUP($A73,main!$A$3:$H$102,6,FALSE)&gt;=main!$D$103+VLOOKUP(VLOOKUP(CL$1,main!$A$3:$I$102,7,FALSE),main!$K$26:$Q$29,3,FALSE),1,0)</f>
        <v>1</v>
      </c>
      <c r="CM73">
        <f>IF(VLOOKUP(CM$1,main!$A$3:$H$102,5,FALSE)-VLOOKUP($A73,main!$A$3:$H$102,6,FALSE)&gt;=main!$D$103+VLOOKUP(VLOOKUP(CM$1,main!$A$3:$I$102,7,FALSE),main!$K$26:$Q$29,3,FALSE),1,0)</f>
        <v>1</v>
      </c>
      <c r="CN73">
        <f>IF(VLOOKUP(CN$1,main!$A$3:$H$102,5,FALSE)-VLOOKUP($A73,main!$A$3:$H$102,6,FALSE)&gt;=main!$D$103+VLOOKUP(VLOOKUP(CN$1,main!$A$3:$I$102,7,FALSE),main!$K$26:$Q$29,3,FALSE),1,0)</f>
        <v>1</v>
      </c>
      <c r="CO73">
        <f>IF(VLOOKUP(CO$1,main!$A$3:$H$102,5,FALSE)-VLOOKUP($A73,main!$A$3:$H$102,6,FALSE)&gt;=main!$D$103+VLOOKUP(VLOOKUP(CO$1,main!$A$3:$I$102,7,FALSE),main!$K$26:$Q$29,3,FALSE),1,0)</f>
        <v>0</v>
      </c>
      <c r="CP73">
        <f>IF(VLOOKUP(CP$1,main!$A$3:$H$102,5,FALSE)-VLOOKUP($A73,main!$A$3:$H$102,6,FALSE)&gt;=main!$D$103+VLOOKUP(VLOOKUP(CP$1,main!$A$3:$I$102,7,FALSE),main!$K$26:$Q$29,3,FALSE),1,0)</f>
        <v>1</v>
      </c>
      <c r="CQ73">
        <f>IF(VLOOKUP(CQ$1,main!$A$3:$H$102,5,FALSE)-VLOOKUP($A73,main!$A$3:$H$102,6,FALSE)&gt;=main!$D$103+VLOOKUP(VLOOKUP(CQ$1,main!$A$3:$I$102,7,FALSE),main!$K$26:$Q$29,3,FALSE),1,0)</f>
        <v>1</v>
      </c>
      <c r="CR73">
        <f>IF(VLOOKUP(CR$1,main!$A$3:$H$102,5,FALSE)-VLOOKUP($A73,main!$A$3:$H$102,6,FALSE)&gt;=main!$D$103+VLOOKUP(VLOOKUP(CR$1,main!$A$3:$I$102,7,FALSE),main!$K$26:$Q$29,3,FALSE),1,0)</f>
        <v>1</v>
      </c>
      <c r="CS73">
        <f>IF(VLOOKUP(CS$1,main!$A$3:$H$102,5,FALSE)-VLOOKUP($A73,main!$A$3:$H$102,6,FALSE)&gt;=main!$D$103+VLOOKUP(VLOOKUP(CS$1,main!$A$3:$I$102,7,FALSE),main!$K$26:$Q$29,3,FALSE),1,0)</f>
        <v>1</v>
      </c>
      <c r="CT73">
        <f>IF(VLOOKUP(CT$1,main!$A$3:$H$102,5,FALSE)-VLOOKUP($A73,main!$A$3:$H$102,6,FALSE)&gt;=main!$D$103+VLOOKUP(VLOOKUP(CT$1,main!$A$3:$I$102,7,FALSE),main!$K$26:$Q$29,3,FALSE),1,0)</f>
        <v>0</v>
      </c>
      <c r="CU73">
        <f>IF(VLOOKUP(CU$1,main!$A$3:$H$102,5,FALSE)-VLOOKUP($A73,main!$A$3:$H$102,6,FALSE)&gt;=main!$D$103+VLOOKUP(VLOOKUP(CU$1,main!$A$3:$I$102,7,FALSE),main!$K$26:$Q$29,3,FALSE),1,0)</f>
        <v>0</v>
      </c>
      <c r="CV73">
        <f>IF(VLOOKUP(CV$1,main!$A$3:$H$102,5,FALSE)-VLOOKUP($A73,main!$A$3:$H$102,6,FALSE)&gt;=main!$D$103+VLOOKUP(VLOOKUP(CV$1,main!$A$3:$I$102,7,FALSE),main!$K$26:$Q$29,3,FALSE),1,0)</f>
        <v>1</v>
      </c>
      <c r="CW73">
        <f>IF(VLOOKUP(CW$1,main!$A$3:$H$102,5,FALSE)-VLOOKUP($A73,main!$A$3:$H$102,6,FALSE)&gt;=main!$D$103+VLOOKUP(VLOOKUP(CW$1,main!$A$3:$I$102,7,FALSE),main!$K$26:$Q$29,3,FALSE),1,0)</f>
        <v>1</v>
      </c>
      <c r="CX73">
        <f>IF(VLOOKUP(CX$1,main!$A$3:$H$102,5,FALSE)-VLOOKUP($A73,main!$A$3:$H$102,6,FALSE)&gt;=main!$D$103+VLOOKUP(VLOOKUP(CX$1,main!$A$3:$I$102,7,FALSE),main!$K$26:$Q$29,3,FALSE),1,0)</f>
        <v>1</v>
      </c>
    </row>
    <row r="74" spans="1:102" x14ac:dyDescent="0.25">
      <c r="A74" s="1">
        <v>72</v>
      </c>
      <c r="B74">
        <v>0</v>
      </c>
      <c r="C74">
        <f>IF(VLOOKUP(C$1,main!$A$3:$H$102,5,FALSE)-VLOOKUP($A74,main!$A$3:$H$102,6,FALSE)&gt;=main!$D$103+VLOOKUP(VLOOKUP(C$1,main!$A$3:$I$102,7,FALSE),main!$K$26:$Q$29,3,FALSE),1,0)</f>
        <v>0</v>
      </c>
      <c r="D74">
        <f>IF(VLOOKUP(D$1,main!$A$3:$H$102,5,FALSE)-VLOOKUP($A74,main!$A$3:$H$102,6,FALSE)&gt;=main!$D$103+VLOOKUP(VLOOKUP(D$1,main!$A$3:$I$102,7,FALSE),main!$K$26:$Q$29,3,FALSE),1,0)</f>
        <v>0</v>
      </c>
      <c r="E74">
        <f>IF(VLOOKUP(E$1,main!$A$3:$H$102,5,FALSE)-VLOOKUP($A74,main!$A$3:$H$102,6,FALSE)&gt;=main!$D$103+VLOOKUP(VLOOKUP(E$1,main!$A$3:$I$102,7,FALSE),main!$K$26:$Q$29,3,FALSE),1,0)</f>
        <v>0</v>
      </c>
      <c r="F74">
        <f>IF(VLOOKUP(F$1,main!$A$3:$H$102,5,FALSE)-VLOOKUP($A74,main!$A$3:$H$102,6,FALSE)&gt;=main!$D$103+VLOOKUP(VLOOKUP(F$1,main!$A$3:$I$102,7,FALSE),main!$K$26:$Q$29,3,FALSE),1,0)</f>
        <v>0</v>
      </c>
      <c r="G74">
        <f>IF(VLOOKUP(G$1,main!$A$3:$H$102,5,FALSE)-VLOOKUP($A74,main!$A$3:$H$102,6,FALSE)&gt;=main!$D$103+VLOOKUP(VLOOKUP(G$1,main!$A$3:$I$102,7,FALSE),main!$K$26:$Q$29,3,FALSE),1,0)</f>
        <v>1</v>
      </c>
      <c r="H74">
        <f>IF(VLOOKUP(H$1,main!$A$3:$H$102,5,FALSE)-VLOOKUP($A74,main!$A$3:$H$102,6,FALSE)&gt;=main!$D$103+VLOOKUP(VLOOKUP(H$1,main!$A$3:$I$102,7,FALSE),main!$K$26:$Q$29,3,FALSE),1,0)</f>
        <v>1</v>
      </c>
      <c r="I74">
        <f>IF(VLOOKUP(I$1,main!$A$3:$H$102,5,FALSE)-VLOOKUP($A74,main!$A$3:$H$102,6,FALSE)&gt;=main!$D$103+VLOOKUP(VLOOKUP(I$1,main!$A$3:$I$102,7,FALSE),main!$K$26:$Q$29,3,FALSE),1,0)</f>
        <v>1</v>
      </c>
      <c r="J74">
        <f>IF(VLOOKUP(J$1,main!$A$3:$H$102,5,FALSE)-VLOOKUP($A74,main!$A$3:$H$102,6,FALSE)&gt;=main!$D$103+VLOOKUP(VLOOKUP(J$1,main!$A$3:$I$102,7,FALSE),main!$K$26:$Q$29,3,FALSE),1,0)</f>
        <v>1</v>
      </c>
      <c r="K74">
        <f>IF(VLOOKUP(K$1,main!$A$3:$H$102,5,FALSE)-VLOOKUP($A74,main!$A$3:$H$102,6,FALSE)&gt;=main!$D$103+VLOOKUP(VLOOKUP(K$1,main!$A$3:$I$102,7,FALSE),main!$K$26:$Q$29,3,FALSE),1,0)</f>
        <v>1</v>
      </c>
      <c r="L74">
        <f>IF(VLOOKUP(L$1,main!$A$3:$H$102,5,FALSE)-VLOOKUP($A74,main!$A$3:$H$102,6,FALSE)&gt;=main!$D$103+VLOOKUP(VLOOKUP(L$1,main!$A$3:$I$102,7,FALSE),main!$K$26:$Q$29,3,FALSE),1,0)</f>
        <v>1</v>
      </c>
      <c r="M74">
        <f>IF(VLOOKUP(M$1,main!$A$3:$H$102,5,FALSE)-VLOOKUP($A74,main!$A$3:$H$102,6,FALSE)&gt;=main!$D$103+VLOOKUP(VLOOKUP(M$1,main!$A$3:$I$102,7,FALSE),main!$K$26:$Q$29,3,FALSE),1,0)</f>
        <v>0</v>
      </c>
      <c r="N74">
        <f>IF(VLOOKUP(N$1,main!$A$3:$H$102,5,FALSE)-VLOOKUP($A74,main!$A$3:$H$102,6,FALSE)&gt;=main!$D$103+VLOOKUP(VLOOKUP(N$1,main!$A$3:$I$102,7,FALSE),main!$K$26:$Q$29,3,FALSE),1,0)</f>
        <v>0</v>
      </c>
      <c r="O74">
        <f>IF(VLOOKUP(O$1,main!$A$3:$H$102,5,FALSE)-VLOOKUP($A74,main!$A$3:$H$102,6,FALSE)&gt;=main!$D$103+VLOOKUP(VLOOKUP(O$1,main!$A$3:$I$102,7,FALSE),main!$K$26:$Q$29,3,FALSE),1,0)</f>
        <v>0</v>
      </c>
      <c r="P74">
        <f>IF(VLOOKUP(P$1,main!$A$3:$H$102,5,FALSE)-VLOOKUP($A74,main!$A$3:$H$102,6,FALSE)&gt;=main!$D$103+VLOOKUP(VLOOKUP(P$1,main!$A$3:$I$102,7,FALSE),main!$K$26:$Q$29,3,FALSE),1,0)</f>
        <v>0</v>
      </c>
      <c r="Q74">
        <f>IF(VLOOKUP(Q$1,main!$A$3:$H$102,5,FALSE)-VLOOKUP($A74,main!$A$3:$H$102,6,FALSE)&gt;=main!$D$103+VLOOKUP(VLOOKUP(Q$1,main!$A$3:$I$102,7,FALSE),main!$K$26:$Q$29,3,FALSE),1,0)</f>
        <v>0</v>
      </c>
      <c r="R74">
        <f>IF(VLOOKUP(R$1,main!$A$3:$H$102,5,FALSE)-VLOOKUP($A74,main!$A$3:$H$102,6,FALSE)&gt;=main!$D$103+VLOOKUP(VLOOKUP(R$1,main!$A$3:$I$102,7,FALSE),main!$K$26:$Q$29,3,FALSE),1,0)</f>
        <v>1</v>
      </c>
      <c r="S74">
        <f>IF(VLOOKUP(S$1,main!$A$3:$H$102,5,FALSE)-VLOOKUP($A74,main!$A$3:$H$102,6,FALSE)&gt;=main!$D$103+VLOOKUP(VLOOKUP(S$1,main!$A$3:$I$102,7,FALSE),main!$K$26:$Q$29,3,FALSE),1,0)</f>
        <v>1</v>
      </c>
      <c r="T74">
        <f>IF(VLOOKUP(T$1,main!$A$3:$H$102,5,FALSE)-VLOOKUP($A74,main!$A$3:$H$102,6,FALSE)&gt;=main!$D$103+VLOOKUP(VLOOKUP(T$1,main!$A$3:$I$102,7,FALSE),main!$K$26:$Q$29,3,FALSE),1,0)</f>
        <v>1</v>
      </c>
      <c r="U74">
        <f>IF(VLOOKUP(U$1,main!$A$3:$H$102,5,FALSE)-VLOOKUP($A74,main!$A$3:$H$102,6,FALSE)&gt;=main!$D$103+VLOOKUP(VLOOKUP(U$1,main!$A$3:$I$102,7,FALSE),main!$K$26:$Q$29,3,FALSE),1,0)</f>
        <v>1</v>
      </c>
      <c r="V74">
        <f>IF(VLOOKUP(V$1,main!$A$3:$H$102,5,FALSE)-VLOOKUP($A74,main!$A$3:$H$102,6,FALSE)&gt;=main!$D$103+VLOOKUP(VLOOKUP(V$1,main!$A$3:$I$102,7,FALSE),main!$K$26:$Q$29,3,FALSE),1,0)</f>
        <v>1</v>
      </c>
      <c r="W74">
        <f>IF(VLOOKUP(W$1,main!$A$3:$H$102,5,FALSE)-VLOOKUP($A74,main!$A$3:$H$102,6,FALSE)&gt;=main!$D$103+VLOOKUP(VLOOKUP(W$1,main!$A$3:$I$102,7,FALSE),main!$K$26:$Q$29,3,FALSE),1,0)</f>
        <v>0</v>
      </c>
      <c r="X74">
        <f>IF(VLOOKUP(X$1,main!$A$3:$H$102,5,FALSE)-VLOOKUP($A74,main!$A$3:$H$102,6,FALSE)&gt;=main!$D$103+VLOOKUP(VLOOKUP(X$1,main!$A$3:$I$102,7,FALSE),main!$K$26:$Q$29,3,FALSE),1,0)</f>
        <v>0</v>
      </c>
      <c r="Y74">
        <f>IF(VLOOKUP(Y$1,main!$A$3:$H$102,5,FALSE)-VLOOKUP($A74,main!$A$3:$H$102,6,FALSE)&gt;=main!$D$103+VLOOKUP(VLOOKUP(Y$1,main!$A$3:$I$102,7,FALSE),main!$K$26:$Q$29,3,FALSE),1,0)</f>
        <v>1</v>
      </c>
      <c r="Z74">
        <f>IF(VLOOKUP(Z$1,main!$A$3:$H$102,5,FALSE)-VLOOKUP($A74,main!$A$3:$H$102,6,FALSE)&gt;=main!$D$103+VLOOKUP(VLOOKUP(Z$1,main!$A$3:$I$102,7,FALSE),main!$K$26:$Q$29,3,FALSE),1,0)</f>
        <v>1</v>
      </c>
      <c r="AA74">
        <f>IF(VLOOKUP(AA$1,main!$A$3:$H$102,5,FALSE)-VLOOKUP($A74,main!$A$3:$H$102,6,FALSE)&gt;=main!$D$103+VLOOKUP(VLOOKUP(AA$1,main!$A$3:$I$102,7,FALSE),main!$K$26:$Q$29,3,FALSE),1,0)</f>
        <v>1</v>
      </c>
      <c r="AB74">
        <f>IF(VLOOKUP(AB$1,main!$A$3:$H$102,5,FALSE)-VLOOKUP($A74,main!$A$3:$H$102,6,FALSE)&gt;=main!$D$103+VLOOKUP(VLOOKUP(AB$1,main!$A$3:$I$102,7,FALSE),main!$K$26:$Q$29,3,FALSE),1,0)</f>
        <v>0</v>
      </c>
      <c r="AC74">
        <f>IF(VLOOKUP(AC$1,main!$A$3:$H$102,5,FALSE)-VLOOKUP($A74,main!$A$3:$H$102,6,FALSE)&gt;=main!$D$103+VLOOKUP(VLOOKUP(AC$1,main!$A$3:$I$102,7,FALSE),main!$K$26:$Q$29,3,FALSE),1,0)</f>
        <v>0</v>
      </c>
      <c r="AD74">
        <f>IF(VLOOKUP(AD$1,main!$A$3:$H$102,5,FALSE)-VLOOKUP($A74,main!$A$3:$H$102,6,FALSE)&gt;=main!$D$103+VLOOKUP(VLOOKUP(AD$1,main!$A$3:$I$102,7,FALSE),main!$K$26:$Q$29,3,FALSE),1,0)</f>
        <v>0</v>
      </c>
      <c r="AE74">
        <f>IF(VLOOKUP(AE$1,main!$A$3:$H$102,5,FALSE)-VLOOKUP($A74,main!$A$3:$H$102,6,FALSE)&gt;=main!$D$103+VLOOKUP(VLOOKUP(AE$1,main!$A$3:$I$102,7,FALSE),main!$K$26:$Q$29,3,FALSE),1,0)</f>
        <v>1</v>
      </c>
      <c r="AF74">
        <f>IF(VLOOKUP(AF$1,main!$A$3:$H$102,5,FALSE)-VLOOKUP($A74,main!$A$3:$H$102,6,FALSE)&gt;=main!$D$103+VLOOKUP(VLOOKUP(AF$1,main!$A$3:$I$102,7,FALSE),main!$K$26:$Q$29,3,FALSE),1,0)</f>
        <v>1</v>
      </c>
      <c r="AG74">
        <f>IF(VLOOKUP(AG$1,main!$A$3:$H$102,5,FALSE)-VLOOKUP($A74,main!$A$3:$H$102,6,FALSE)&gt;=main!$D$103+VLOOKUP(VLOOKUP(AG$1,main!$A$3:$I$102,7,FALSE),main!$K$26:$Q$29,3,FALSE),1,0)</f>
        <v>0</v>
      </c>
      <c r="AH74">
        <f>IF(VLOOKUP(AH$1,main!$A$3:$H$102,5,FALSE)-VLOOKUP($A74,main!$A$3:$H$102,6,FALSE)&gt;=main!$D$103+VLOOKUP(VLOOKUP(AH$1,main!$A$3:$I$102,7,FALSE),main!$K$26:$Q$29,3,FALSE),1,0)</f>
        <v>0</v>
      </c>
      <c r="AI74">
        <f>IF(VLOOKUP(AI$1,main!$A$3:$H$102,5,FALSE)-VLOOKUP($A74,main!$A$3:$H$102,6,FALSE)&gt;=main!$D$103+VLOOKUP(VLOOKUP(AI$1,main!$A$3:$I$102,7,FALSE),main!$K$26:$Q$29,3,FALSE),1,0)</f>
        <v>0</v>
      </c>
      <c r="AJ74">
        <f>IF(VLOOKUP(AJ$1,main!$A$3:$H$102,5,FALSE)-VLOOKUP($A74,main!$A$3:$H$102,6,FALSE)&gt;=main!$D$103+VLOOKUP(VLOOKUP(AJ$1,main!$A$3:$I$102,7,FALSE),main!$K$26:$Q$29,3,FALSE),1,0)</f>
        <v>1</v>
      </c>
      <c r="AK74">
        <f>IF(VLOOKUP(AK$1,main!$A$3:$H$102,5,FALSE)-VLOOKUP($A74,main!$A$3:$H$102,6,FALSE)&gt;=main!$D$103+VLOOKUP(VLOOKUP(AK$1,main!$A$3:$I$102,7,FALSE),main!$K$26:$Q$29,3,FALSE),1,0)</f>
        <v>1</v>
      </c>
      <c r="AL74">
        <f>IF(VLOOKUP(AL$1,main!$A$3:$H$102,5,FALSE)-VLOOKUP($A74,main!$A$3:$H$102,6,FALSE)&gt;=main!$D$103+VLOOKUP(VLOOKUP(AL$1,main!$A$3:$I$102,7,FALSE),main!$K$26:$Q$29,3,FALSE),1,0)</f>
        <v>1</v>
      </c>
      <c r="AM74">
        <f>IF(VLOOKUP(AM$1,main!$A$3:$H$102,5,FALSE)-VLOOKUP($A74,main!$A$3:$H$102,6,FALSE)&gt;=main!$D$103+VLOOKUP(VLOOKUP(AM$1,main!$A$3:$I$102,7,FALSE),main!$K$26:$Q$29,3,FALSE),1,0)</f>
        <v>1</v>
      </c>
      <c r="AN74">
        <f>IF(VLOOKUP(AN$1,main!$A$3:$H$102,5,FALSE)-VLOOKUP($A74,main!$A$3:$H$102,6,FALSE)&gt;=main!$D$103+VLOOKUP(VLOOKUP(AN$1,main!$A$3:$I$102,7,FALSE),main!$K$26:$Q$29,3,FALSE),1,0)</f>
        <v>1</v>
      </c>
      <c r="AO74">
        <f>IF(VLOOKUP(AO$1,main!$A$3:$H$102,5,FALSE)-VLOOKUP($A74,main!$A$3:$H$102,6,FALSE)&gt;=main!$D$103+VLOOKUP(VLOOKUP(AO$1,main!$A$3:$I$102,7,FALSE),main!$K$26:$Q$29,3,FALSE),1,0)</f>
        <v>0</v>
      </c>
      <c r="AP74">
        <f>IF(VLOOKUP(AP$1,main!$A$3:$H$102,5,FALSE)-VLOOKUP($A74,main!$A$3:$H$102,6,FALSE)&gt;=main!$D$103+VLOOKUP(VLOOKUP(AP$1,main!$A$3:$I$102,7,FALSE),main!$K$26:$Q$29,3,FALSE),1,0)</f>
        <v>1</v>
      </c>
      <c r="AQ74">
        <f>IF(VLOOKUP(AQ$1,main!$A$3:$H$102,5,FALSE)-VLOOKUP($A74,main!$A$3:$H$102,6,FALSE)&gt;=main!$D$103+VLOOKUP(VLOOKUP(AQ$1,main!$A$3:$I$102,7,FALSE),main!$K$26:$Q$29,3,FALSE),1,0)</f>
        <v>0</v>
      </c>
      <c r="AR74">
        <f>IF(VLOOKUP(AR$1,main!$A$3:$H$102,5,FALSE)-VLOOKUP($A74,main!$A$3:$H$102,6,FALSE)&gt;=main!$D$103+VLOOKUP(VLOOKUP(AR$1,main!$A$3:$I$102,7,FALSE),main!$K$26:$Q$29,3,FALSE),1,0)</f>
        <v>0</v>
      </c>
      <c r="AS74">
        <f>IF(VLOOKUP(AS$1,main!$A$3:$H$102,5,FALSE)-VLOOKUP($A74,main!$A$3:$H$102,6,FALSE)&gt;=main!$D$103+VLOOKUP(VLOOKUP(AS$1,main!$A$3:$I$102,7,FALSE),main!$K$26:$Q$29,3,FALSE),1,0)</f>
        <v>1</v>
      </c>
      <c r="AT74">
        <f>IF(VLOOKUP(AT$1,main!$A$3:$H$102,5,FALSE)-VLOOKUP($A74,main!$A$3:$H$102,6,FALSE)&gt;=main!$D$103+VLOOKUP(VLOOKUP(AT$1,main!$A$3:$I$102,7,FALSE),main!$K$26:$Q$29,3,FALSE),1,0)</f>
        <v>1</v>
      </c>
      <c r="AU74">
        <f>IF(VLOOKUP(AU$1,main!$A$3:$H$102,5,FALSE)-VLOOKUP($A74,main!$A$3:$H$102,6,FALSE)&gt;=main!$D$103+VLOOKUP(VLOOKUP(AU$1,main!$A$3:$I$102,7,FALSE),main!$K$26:$Q$29,3,FALSE),1,0)</f>
        <v>0</v>
      </c>
      <c r="AV74">
        <f>IF(VLOOKUP(AV$1,main!$A$3:$H$102,5,FALSE)-VLOOKUP($A74,main!$A$3:$H$102,6,FALSE)&gt;=main!$D$103+VLOOKUP(VLOOKUP(AV$1,main!$A$3:$I$102,7,FALSE),main!$K$26:$Q$29,3,FALSE),1,0)</f>
        <v>0</v>
      </c>
      <c r="AW74">
        <f>IF(VLOOKUP(AW$1,main!$A$3:$H$102,5,FALSE)-VLOOKUP($A74,main!$A$3:$H$102,6,FALSE)&gt;=main!$D$103+VLOOKUP(VLOOKUP(AW$1,main!$A$3:$I$102,7,FALSE),main!$K$26:$Q$29,3,FALSE),1,0)</f>
        <v>1</v>
      </c>
      <c r="AX74">
        <f>IF(VLOOKUP(AX$1,main!$A$3:$H$102,5,FALSE)-VLOOKUP($A74,main!$A$3:$H$102,6,FALSE)&gt;=main!$D$103+VLOOKUP(VLOOKUP(AX$1,main!$A$3:$I$102,7,FALSE),main!$K$26:$Q$29,3,FALSE),1,0)</f>
        <v>0</v>
      </c>
      <c r="AY74">
        <f>IF(VLOOKUP(AY$1,main!$A$3:$H$102,5,FALSE)-VLOOKUP($A74,main!$A$3:$H$102,6,FALSE)&gt;=main!$D$103+VLOOKUP(VLOOKUP(AY$1,main!$A$3:$I$102,7,FALSE),main!$K$26:$Q$29,3,FALSE),1,0)</f>
        <v>0</v>
      </c>
      <c r="AZ74">
        <f>IF(VLOOKUP(AZ$1,main!$A$3:$H$102,5,FALSE)-VLOOKUP($A74,main!$A$3:$H$102,6,FALSE)&gt;=main!$D$103+VLOOKUP(VLOOKUP(AZ$1,main!$A$3:$I$102,7,FALSE),main!$K$26:$Q$29,3,FALSE),1,0)</f>
        <v>0</v>
      </c>
      <c r="BA74">
        <f>IF(VLOOKUP(BA$1,main!$A$3:$H$102,5,FALSE)-VLOOKUP($A74,main!$A$3:$H$102,6,FALSE)&gt;=main!$D$103+VLOOKUP(VLOOKUP(BA$1,main!$A$3:$I$102,7,FALSE),main!$K$26:$Q$29,3,FALSE),1,0)</f>
        <v>0</v>
      </c>
      <c r="BB74">
        <f>IF(VLOOKUP(BB$1,main!$A$3:$H$102,5,FALSE)-VLOOKUP($A74,main!$A$3:$H$102,6,FALSE)&gt;=main!$D$103+VLOOKUP(VLOOKUP(BB$1,main!$A$3:$I$102,7,FALSE),main!$K$26:$Q$29,3,FALSE),1,0)</f>
        <v>0</v>
      </c>
      <c r="BC74">
        <f>IF(VLOOKUP(BC$1,main!$A$3:$H$102,5,FALSE)-VLOOKUP($A74,main!$A$3:$H$102,6,FALSE)&gt;=main!$D$103+VLOOKUP(VLOOKUP(BC$1,main!$A$3:$I$102,7,FALSE),main!$K$26:$Q$29,3,FALSE),1,0)</f>
        <v>1</v>
      </c>
      <c r="BD74">
        <f>IF(VLOOKUP(BD$1,main!$A$3:$H$102,5,FALSE)-VLOOKUP($A74,main!$A$3:$H$102,6,FALSE)&gt;=main!$D$103+VLOOKUP(VLOOKUP(BD$1,main!$A$3:$I$102,7,FALSE),main!$K$26:$Q$29,3,FALSE),1,0)</f>
        <v>1</v>
      </c>
      <c r="BE74">
        <f>IF(VLOOKUP(BE$1,main!$A$3:$H$102,5,FALSE)-VLOOKUP($A74,main!$A$3:$H$102,6,FALSE)&gt;=main!$D$103+VLOOKUP(VLOOKUP(BE$1,main!$A$3:$I$102,7,FALSE),main!$K$26:$Q$29,3,FALSE),1,0)</f>
        <v>1</v>
      </c>
      <c r="BF74">
        <f>IF(VLOOKUP(BF$1,main!$A$3:$H$102,5,FALSE)-VLOOKUP($A74,main!$A$3:$H$102,6,FALSE)&gt;=main!$D$103+VLOOKUP(VLOOKUP(BF$1,main!$A$3:$I$102,7,FALSE),main!$K$26:$Q$29,3,FALSE),1,0)</f>
        <v>0</v>
      </c>
      <c r="BG74">
        <f>IF(VLOOKUP(BG$1,main!$A$3:$H$102,5,FALSE)-VLOOKUP($A74,main!$A$3:$H$102,6,FALSE)&gt;=main!$D$103+VLOOKUP(VLOOKUP(BG$1,main!$A$3:$I$102,7,FALSE),main!$K$26:$Q$29,3,FALSE),1,0)</f>
        <v>0</v>
      </c>
      <c r="BH74">
        <f>IF(VLOOKUP(BH$1,main!$A$3:$H$102,5,FALSE)-VLOOKUP($A74,main!$A$3:$H$102,6,FALSE)&gt;=main!$D$103+VLOOKUP(VLOOKUP(BH$1,main!$A$3:$I$102,7,FALSE),main!$K$26:$Q$29,3,FALSE),1,0)</f>
        <v>1</v>
      </c>
      <c r="BI74">
        <f>IF(VLOOKUP(BI$1,main!$A$3:$H$102,5,FALSE)-VLOOKUP($A74,main!$A$3:$H$102,6,FALSE)&gt;=main!$D$103+VLOOKUP(VLOOKUP(BI$1,main!$A$3:$I$102,7,FALSE),main!$K$26:$Q$29,3,FALSE),1,0)</f>
        <v>1</v>
      </c>
      <c r="BJ74">
        <f>IF(VLOOKUP(BJ$1,main!$A$3:$H$102,5,FALSE)-VLOOKUP($A74,main!$A$3:$H$102,6,FALSE)&gt;=main!$D$103+VLOOKUP(VLOOKUP(BJ$1,main!$A$3:$I$102,7,FALSE),main!$K$26:$Q$29,3,FALSE),1,0)</f>
        <v>1</v>
      </c>
      <c r="BK74">
        <f>IF(VLOOKUP(BK$1,main!$A$3:$H$102,5,FALSE)-VLOOKUP($A74,main!$A$3:$H$102,6,FALSE)&gt;=main!$D$103+VLOOKUP(VLOOKUP(BK$1,main!$A$3:$I$102,7,FALSE),main!$K$26:$Q$29,3,FALSE),1,0)</f>
        <v>0</v>
      </c>
      <c r="BL74">
        <f>IF(VLOOKUP(BL$1,main!$A$3:$H$102,5,FALSE)-VLOOKUP($A74,main!$A$3:$H$102,6,FALSE)&gt;=main!$D$103+VLOOKUP(VLOOKUP(BL$1,main!$A$3:$I$102,7,FALSE),main!$K$26:$Q$29,3,FALSE),1,0)</f>
        <v>0</v>
      </c>
      <c r="BM74">
        <f>IF(VLOOKUP(BM$1,main!$A$3:$H$102,5,FALSE)-VLOOKUP($A74,main!$A$3:$H$102,6,FALSE)&gt;=main!$D$103+VLOOKUP(VLOOKUP(BM$1,main!$A$3:$I$102,7,FALSE),main!$K$26:$Q$29,3,FALSE),1,0)</f>
        <v>0</v>
      </c>
      <c r="BN74">
        <f>IF(VLOOKUP(BN$1,main!$A$3:$H$102,5,FALSE)-VLOOKUP($A74,main!$A$3:$H$102,6,FALSE)&gt;=main!$D$103+VLOOKUP(VLOOKUP(BN$1,main!$A$3:$I$102,7,FALSE),main!$K$26:$Q$29,3,FALSE),1,0)</f>
        <v>1</v>
      </c>
      <c r="BO74">
        <f>IF(VLOOKUP(BO$1,main!$A$3:$H$102,5,FALSE)-VLOOKUP($A74,main!$A$3:$H$102,6,FALSE)&gt;=main!$D$103+VLOOKUP(VLOOKUP(BO$1,main!$A$3:$I$102,7,FALSE),main!$K$26:$Q$29,3,FALSE),1,0)</f>
        <v>0</v>
      </c>
      <c r="BP74">
        <f>IF(VLOOKUP(BP$1,main!$A$3:$H$102,5,FALSE)-VLOOKUP($A74,main!$A$3:$H$102,6,FALSE)&gt;=main!$D$103+VLOOKUP(VLOOKUP(BP$1,main!$A$3:$I$102,7,FALSE),main!$K$26:$Q$29,3,FALSE),1,0)</f>
        <v>0</v>
      </c>
      <c r="BQ74">
        <f>IF(VLOOKUP(BQ$1,main!$A$3:$H$102,5,FALSE)-VLOOKUP($A74,main!$A$3:$H$102,6,FALSE)&gt;=main!$D$103+VLOOKUP(VLOOKUP(BQ$1,main!$A$3:$I$102,7,FALSE),main!$K$26:$Q$29,3,FALSE),1,0)</f>
        <v>0</v>
      </c>
      <c r="BR74">
        <f>IF(VLOOKUP(BR$1,main!$A$3:$H$102,5,FALSE)-VLOOKUP($A74,main!$A$3:$H$102,6,FALSE)&gt;=main!$D$103+VLOOKUP(VLOOKUP(BR$1,main!$A$3:$I$102,7,FALSE),main!$K$26:$Q$29,3,FALSE),1,0)</f>
        <v>1</v>
      </c>
      <c r="BS74">
        <f>IF(VLOOKUP(BS$1,main!$A$3:$H$102,5,FALSE)-VLOOKUP($A74,main!$A$3:$H$102,6,FALSE)&gt;=main!$D$103+VLOOKUP(VLOOKUP(BS$1,main!$A$3:$I$102,7,FALSE),main!$K$26:$Q$29,3,FALSE),1,0)</f>
        <v>1</v>
      </c>
      <c r="BT74">
        <f>IF(VLOOKUP(BT$1,main!$A$3:$H$102,5,FALSE)-VLOOKUP($A74,main!$A$3:$H$102,6,FALSE)&gt;=main!$D$103+VLOOKUP(VLOOKUP(BT$1,main!$A$3:$I$102,7,FALSE),main!$K$26:$Q$29,3,FALSE),1,0)</f>
        <v>0</v>
      </c>
      <c r="BU74">
        <f>IF(VLOOKUP(BU$1,main!$A$3:$H$102,5,FALSE)-VLOOKUP($A74,main!$A$3:$H$102,6,FALSE)&gt;=main!$D$103+VLOOKUP(VLOOKUP(BU$1,main!$A$3:$I$102,7,FALSE),main!$K$26:$Q$29,3,FALSE),1,0)</f>
        <v>0</v>
      </c>
      <c r="BV74">
        <f>IF(VLOOKUP(BV$1,main!$A$3:$H$102,5,FALSE)-VLOOKUP($A74,main!$A$3:$H$102,6,FALSE)&gt;=main!$D$103+VLOOKUP(VLOOKUP(BV$1,main!$A$3:$I$102,7,FALSE),main!$K$26:$Q$29,3,FALSE),1,0)</f>
        <v>0</v>
      </c>
      <c r="BW74">
        <f>IF(VLOOKUP(BW$1,main!$A$3:$H$102,5,FALSE)-VLOOKUP($A74,main!$A$3:$H$102,6,FALSE)&gt;=main!$D$103+VLOOKUP(VLOOKUP(BW$1,main!$A$3:$I$102,7,FALSE),main!$K$26:$Q$29,3,FALSE),1,0)</f>
        <v>0</v>
      </c>
      <c r="BX74">
        <f>IF(VLOOKUP(BX$1,main!$A$3:$H$102,5,FALSE)-VLOOKUP($A74,main!$A$3:$H$102,6,FALSE)&gt;=main!$D$103+VLOOKUP(VLOOKUP(BX$1,main!$A$3:$I$102,7,FALSE),main!$K$26:$Q$29,3,FALSE),1,0)</f>
        <v>1</v>
      </c>
      <c r="BY74">
        <f>IF(VLOOKUP(BY$1,main!$A$3:$H$102,5,FALSE)-VLOOKUP($A74,main!$A$3:$H$102,6,FALSE)&gt;=main!$D$103+VLOOKUP(VLOOKUP(BY$1,main!$A$3:$I$102,7,FALSE),main!$K$26:$Q$29,3,FALSE),1,0)</f>
        <v>1</v>
      </c>
      <c r="BZ74">
        <f>IF(VLOOKUP(BZ$1,main!$A$3:$H$102,5,FALSE)-VLOOKUP($A74,main!$A$3:$H$102,6,FALSE)&gt;=main!$D$103+VLOOKUP(VLOOKUP(BZ$1,main!$A$3:$I$102,7,FALSE),main!$K$26:$Q$29,3,FALSE),1,0)</f>
        <v>0</v>
      </c>
      <c r="CA74">
        <f>IF(VLOOKUP(CA$1,main!$A$3:$H$102,5,FALSE)-VLOOKUP($A74,main!$A$3:$H$102,6,FALSE)&gt;=main!$D$103+VLOOKUP(VLOOKUP(CA$1,main!$A$3:$I$102,7,FALSE),main!$K$26:$Q$29,3,FALSE),1,0)</f>
        <v>0</v>
      </c>
      <c r="CB74">
        <f>IF(VLOOKUP(CB$1,main!$A$3:$H$102,5,FALSE)-VLOOKUP($A74,main!$A$3:$H$102,6,FALSE)&gt;=main!$D$103+VLOOKUP(VLOOKUP(CB$1,main!$A$3:$I$102,7,FALSE),main!$K$26:$Q$29,3,FALSE),1,0)</f>
        <v>1</v>
      </c>
      <c r="CC74">
        <f>IF(VLOOKUP(CC$1,main!$A$3:$H$102,5,FALSE)-VLOOKUP($A74,main!$A$3:$H$102,6,FALSE)&gt;=main!$D$103+VLOOKUP(VLOOKUP(CC$1,main!$A$3:$I$102,7,FALSE),main!$K$26:$Q$29,3,FALSE),1,0)</f>
        <v>1</v>
      </c>
      <c r="CD74">
        <f>IF(VLOOKUP(CD$1,main!$A$3:$H$102,5,FALSE)-VLOOKUP($A74,main!$A$3:$H$102,6,FALSE)&gt;=main!$D$103+VLOOKUP(VLOOKUP(CD$1,main!$A$3:$I$102,7,FALSE),main!$K$26:$Q$29,3,FALSE),1,0)</f>
        <v>1</v>
      </c>
      <c r="CE74">
        <f>IF(VLOOKUP(CE$1,main!$A$3:$H$102,5,FALSE)-VLOOKUP($A74,main!$A$3:$H$102,6,FALSE)&gt;=main!$D$103+VLOOKUP(VLOOKUP(CE$1,main!$A$3:$I$102,7,FALSE),main!$K$26:$Q$29,3,FALSE),1,0)</f>
        <v>0</v>
      </c>
      <c r="CF74">
        <f>IF(VLOOKUP(CF$1,main!$A$3:$H$102,5,FALSE)-VLOOKUP($A74,main!$A$3:$H$102,6,FALSE)&gt;=main!$D$103+VLOOKUP(VLOOKUP(CF$1,main!$A$3:$I$102,7,FALSE),main!$K$26:$Q$29,3,FALSE),1,0)</f>
        <v>0</v>
      </c>
      <c r="CG74">
        <f>IF(VLOOKUP(CG$1,main!$A$3:$H$102,5,FALSE)-VLOOKUP($A74,main!$A$3:$H$102,6,FALSE)&gt;=main!$D$103+VLOOKUP(VLOOKUP(CG$1,main!$A$3:$I$102,7,FALSE),main!$K$26:$Q$29,3,FALSE),1,0)</f>
        <v>1</v>
      </c>
      <c r="CH74">
        <f>IF(VLOOKUP(CH$1,main!$A$3:$H$102,5,FALSE)-VLOOKUP($A74,main!$A$3:$H$102,6,FALSE)&gt;=main!$D$103+VLOOKUP(VLOOKUP(CH$1,main!$A$3:$I$102,7,FALSE),main!$K$26:$Q$29,3,FALSE),1,0)</f>
        <v>1</v>
      </c>
      <c r="CI74">
        <f>IF(VLOOKUP(CI$1,main!$A$3:$H$102,5,FALSE)-VLOOKUP($A74,main!$A$3:$H$102,6,FALSE)&gt;=main!$D$103+VLOOKUP(VLOOKUP(CI$1,main!$A$3:$I$102,7,FALSE),main!$K$26:$Q$29,3,FALSE),1,0)</f>
        <v>1</v>
      </c>
      <c r="CJ74">
        <f>IF(VLOOKUP(CJ$1,main!$A$3:$H$102,5,FALSE)-VLOOKUP($A74,main!$A$3:$H$102,6,FALSE)&gt;=main!$D$103+VLOOKUP(VLOOKUP(CJ$1,main!$A$3:$I$102,7,FALSE),main!$K$26:$Q$29,3,FALSE),1,0)</f>
        <v>1</v>
      </c>
      <c r="CK74">
        <f>IF(VLOOKUP(CK$1,main!$A$3:$H$102,5,FALSE)-VLOOKUP($A74,main!$A$3:$H$102,6,FALSE)&gt;=main!$D$103+VLOOKUP(VLOOKUP(CK$1,main!$A$3:$I$102,7,FALSE),main!$K$26:$Q$29,3,FALSE),1,0)</f>
        <v>0</v>
      </c>
      <c r="CL74">
        <f>IF(VLOOKUP(CL$1,main!$A$3:$H$102,5,FALSE)-VLOOKUP($A74,main!$A$3:$H$102,6,FALSE)&gt;=main!$D$103+VLOOKUP(VLOOKUP(CL$1,main!$A$3:$I$102,7,FALSE),main!$K$26:$Q$29,3,FALSE),1,0)</f>
        <v>1</v>
      </c>
      <c r="CM74">
        <f>IF(VLOOKUP(CM$1,main!$A$3:$H$102,5,FALSE)-VLOOKUP($A74,main!$A$3:$H$102,6,FALSE)&gt;=main!$D$103+VLOOKUP(VLOOKUP(CM$1,main!$A$3:$I$102,7,FALSE),main!$K$26:$Q$29,3,FALSE),1,0)</f>
        <v>1</v>
      </c>
      <c r="CN74">
        <f>IF(VLOOKUP(CN$1,main!$A$3:$H$102,5,FALSE)-VLOOKUP($A74,main!$A$3:$H$102,6,FALSE)&gt;=main!$D$103+VLOOKUP(VLOOKUP(CN$1,main!$A$3:$I$102,7,FALSE),main!$K$26:$Q$29,3,FALSE),1,0)</f>
        <v>1</v>
      </c>
      <c r="CO74">
        <f>IF(VLOOKUP(CO$1,main!$A$3:$H$102,5,FALSE)-VLOOKUP($A74,main!$A$3:$H$102,6,FALSE)&gt;=main!$D$103+VLOOKUP(VLOOKUP(CO$1,main!$A$3:$I$102,7,FALSE),main!$K$26:$Q$29,3,FALSE),1,0)</f>
        <v>0</v>
      </c>
      <c r="CP74">
        <f>IF(VLOOKUP(CP$1,main!$A$3:$H$102,5,FALSE)-VLOOKUP($A74,main!$A$3:$H$102,6,FALSE)&gt;=main!$D$103+VLOOKUP(VLOOKUP(CP$1,main!$A$3:$I$102,7,FALSE),main!$K$26:$Q$29,3,FALSE),1,0)</f>
        <v>1</v>
      </c>
      <c r="CQ74">
        <f>IF(VLOOKUP(CQ$1,main!$A$3:$H$102,5,FALSE)-VLOOKUP($A74,main!$A$3:$H$102,6,FALSE)&gt;=main!$D$103+VLOOKUP(VLOOKUP(CQ$1,main!$A$3:$I$102,7,FALSE),main!$K$26:$Q$29,3,FALSE),1,0)</f>
        <v>1</v>
      </c>
      <c r="CR74">
        <f>IF(VLOOKUP(CR$1,main!$A$3:$H$102,5,FALSE)-VLOOKUP($A74,main!$A$3:$H$102,6,FALSE)&gt;=main!$D$103+VLOOKUP(VLOOKUP(CR$1,main!$A$3:$I$102,7,FALSE),main!$K$26:$Q$29,3,FALSE),1,0)</f>
        <v>1</v>
      </c>
      <c r="CS74">
        <f>IF(VLOOKUP(CS$1,main!$A$3:$H$102,5,FALSE)-VLOOKUP($A74,main!$A$3:$H$102,6,FALSE)&gt;=main!$D$103+VLOOKUP(VLOOKUP(CS$1,main!$A$3:$I$102,7,FALSE),main!$K$26:$Q$29,3,FALSE),1,0)</f>
        <v>1</v>
      </c>
      <c r="CT74">
        <f>IF(VLOOKUP(CT$1,main!$A$3:$H$102,5,FALSE)-VLOOKUP($A74,main!$A$3:$H$102,6,FALSE)&gt;=main!$D$103+VLOOKUP(VLOOKUP(CT$1,main!$A$3:$I$102,7,FALSE),main!$K$26:$Q$29,3,FALSE),1,0)</f>
        <v>0</v>
      </c>
      <c r="CU74">
        <f>IF(VLOOKUP(CU$1,main!$A$3:$H$102,5,FALSE)-VLOOKUP($A74,main!$A$3:$H$102,6,FALSE)&gt;=main!$D$103+VLOOKUP(VLOOKUP(CU$1,main!$A$3:$I$102,7,FALSE),main!$K$26:$Q$29,3,FALSE),1,0)</f>
        <v>0</v>
      </c>
      <c r="CV74">
        <f>IF(VLOOKUP(CV$1,main!$A$3:$H$102,5,FALSE)-VLOOKUP($A74,main!$A$3:$H$102,6,FALSE)&gt;=main!$D$103+VLOOKUP(VLOOKUP(CV$1,main!$A$3:$I$102,7,FALSE),main!$K$26:$Q$29,3,FALSE),1,0)</f>
        <v>1</v>
      </c>
      <c r="CW74">
        <f>IF(VLOOKUP(CW$1,main!$A$3:$H$102,5,FALSE)-VLOOKUP($A74,main!$A$3:$H$102,6,FALSE)&gt;=main!$D$103+VLOOKUP(VLOOKUP(CW$1,main!$A$3:$I$102,7,FALSE),main!$K$26:$Q$29,3,FALSE),1,0)</f>
        <v>1</v>
      </c>
      <c r="CX74">
        <f>IF(VLOOKUP(CX$1,main!$A$3:$H$102,5,FALSE)-VLOOKUP($A74,main!$A$3:$H$102,6,FALSE)&gt;=main!$D$103+VLOOKUP(VLOOKUP(CX$1,main!$A$3:$I$102,7,FALSE),main!$K$26:$Q$29,3,FALSE),1,0)</f>
        <v>1</v>
      </c>
    </row>
    <row r="75" spans="1:102" x14ac:dyDescent="0.25">
      <c r="A75" s="1">
        <v>73</v>
      </c>
      <c r="B75">
        <v>0</v>
      </c>
      <c r="C75">
        <f>IF(VLOOKUP(C$1,main!$A$3:$H$102,5,FALSE)-VLOOKUP($A75,main!$A$3:$H$102,6,FALSE)&gt;=main!$D$103+VLOOKUP(VLOOKUP(C$1,main!$A$3:$I$102,7,FALSE),main!$K$26:$Q$29,3,FALSE),1,0)</f>
        <v>0</v>
      </c>
      <c r="D75">
        <f>IF(VLOOKUP(D$1,main!$A$3:$H$102,5,FALSE)-VLOOKUP($A75,main!$A$3:$H$102,6,FALSE)&gt;=main!$D$103+VLOOKUP(VLOOKUP(D$1,main!$A$3:$I$102,7,FALSE),main!$K$26:$Q$29,3,FALSE),1,0)</f>
        <v>0</v>
      </c>
      <c r="E75">
        <f>IF(VLOOKUP(E$1,main!$A$3:$H$102,5,FALSE)-VLOOKUP($A75,main!$A$3:$H$102,6,FALSE)&gt;=main!$D$103+VLOOKUP(VLOOKUP(E$1,main!$A$3:$I$102,7,FALSE),main!$K$26:$Q$29,3,FALSE),1,0)</f>
        <v>0</v>
      </c>
      <c r="F75">
        <f>IF(VLOOKUP(F$1,main!$A$3:$H$102,5,FALSE)-VLOOKUP($A75,main!$A$3:$H$102,6,FALSE)&gt;=main!$D$103+VLOOKUP(VLOOKUP(F$1,main!$A$3:$I$102,7,FALSE),main!$K$26:$Q$29,3,FALSE),1,0)</f>
        <v>0</v>
      </c>
      <c r="G75">
        <f>IF(VLOOKUP(G$1,main!$A$3:$H$102,5,FALSE)-VLOOKUP($A75,main!$A$3:$H$102,6,FALSE)&gt;=main!$D$103+VLOOKUP(VLOOKUP(G$1,main!$A$3:$I$102,7,FALSE),main!$K$26:$Q$29,3,FALSE),1,0)</f>
        <v>1</v>
      </c>
      <c r="H75">
        <f>IF(VLOOKUP(H$1,main!$A$3:$H$102,5,FALSE)-VLOOKUP($A75,main!$A$3:$H$102,6,FALSE)&gt;=main!$D$103+VLOOKUP(VLOOKUP(H$1,main!$A$3:$I$102,7,FALSE),main!$K$26:$Q$29,3,FALSE),1,0)</f>
        <v>1</v>
      </c>
      <c r="I75">
        <f>IF(VLOOKUP(I$1,main!$A$3:$H$102,5,FALSE)-VLOOKUP($A75,main!$A$3:$H$102,6,FALSE)&gt;=main!$D$103+VLOOKUP(VLOOKUP(I$1,main!$A$3:$I$102,7,FALSE),main!$K$26:$Q$29,3,FALSE),1,0)</f>
        <v>1</v>
      </c>
      <c r="J75">
        <f>IF(VLOOKUP(J$1,main!$A$3:$H$102,5,FALSE)-VLOOKUP($A75,main!$A$3:$H$102,6,FALSE)&gt;=main!$D$103+VLOOKUP(VLOOKUP(J$1,main!$A$3:$I$102,7,FALSE),main!$K$26:$Q$29,3,FALSE),1,0)</f>
        <v>1</v>
      </c>
      <c r="K75">
        <f>IF(VLOOKUP(K$1,main!$A$3:$H$102,5,FALSE)-VLOOKUP($A75,main!$A$3:$H$102,6,FALSE)&gt;=main!$D$103+VLOOKUP(VLOOKUP(K$1,main!$A$3:$I$102,7,FALSE),main!$K$26:$Q$29,3,FALSE),1,0)</f>
        <v>1</v>
      </c>
      <c r="L75">
        <f>IF(VLOOKUP(L$1,main!$A$3:$H$102,5,FALSE)-VLOOKUP($A75,main!$A$3:$H$102,6,FALSE)&gt;=main!$D$103+VLOOKUP(VLOOKUP(L$1,main!$A$3:$I$102,7,FALSE),main!$K$26:$Q$29,3,FALSE),1,0)</f>
        <v>1</v>
      </c>
      <c r="M75">
        <f>IF(VLOOKUP(M$1,main!$A$3:$H$102,5,FALSE)-VLOOKUP($A75,main!$A$3:$H$102,6,FALSE)&gt;=main!$D$103+VLOOKUP(VLOOKUP(M$1,main!$A$3:$I$102,7,FALSE),main!$K$26:$Q$29,3,FALSE),1,0)</f>
        <v>0</v>
      </c>
      <c r="N75">
        <f>IF(VLOOKUP(N$1,main!$A$3:$H$102,5,FALSE)-VLOOKUP($A75,main!$A$3:$H$102,6,FALSE)&gt;=main!$D$103+VLOOKUP(VLOOKUP(N$1,main!$A$3:$I$102,7,FALSE),main!$K$26:$Q$29,3,FALSE),1,0)</f>
        <v>0</v>
      </c>
      <c r="O75">
        <f>IF(VLOOKUP(O$1,main!$A$3:$H$102,5,FALSE)-VLOOKUP($A75,main!$A$3:$H$102,6,FALSE)&gt;=main!$D$103+VLOOKUP(VLOOKUP(O$1,main!$A$3:$I$102,7,FALSE),main!$K$26:$Q$29,3,FALSE),1,0)</f>
        <v>0</v>
      </c>
      <c r="P75">
        <f>IF(VLOOKUP(P$1,main!$A$3:$H$102,5,FALSE)-VLOOKUP($A75,main!$A$3:$H$102,6,FALSE)&gt;=main!$D$103+VLOOKUP(VLOOKUP(P$1,main!$A$3:$I$102,7,FALSE),main!$K$26:$Q$29,3,FALSE),1,0)</f>
        <v>0</v>
      </c>
      <c r="Q75">
        <f>IF(VLOOKUP(Q$1,main!$A$3:$H$102,5,FALSE)-VLOOKUP($A75,main!$A$3:$H$102,6,FALSE)&gt;=main!$D$103+VLOOKUP(VLOOKUP(Q$1,main!$A$3:$I$102,7,FALSE),main!$K$26:$Q$29,3,FALSE),1,0)</f>
        <v>0</v>
      </c>
      <c r="R75">
        <f>IF(VLOOKUP(R$1,main!$A$3:$H$102,5,FALSE)-VLOOKUP($A75,main!$A$3:$H$102,6,FALSE)&gt;=main!$D$103+VLOOKUP(VLOOKUP(R$1,main!$A$3:$I$102,7,FALSE),main!$K$26:$Q$29,3,FALSE),1,0)</f>
        <v>0</v>
      </c>
      <c r="S75">
        <f>IF(VLOOKUP(S$1,main!$A$3:$H$102,5,FALSE)-VLOOKUP($A75,main!$A$3:$H$102,6,FALSE)&gt;=main!$D$103+VLOOKUP(VLOOKUP(S$1,main!$A$3:$I$102,7,FALSE),main!$K$26:$Q$29,3,FALSE),1,0)</f>
        <v>1</v>
      </c>
      <c r="T75">
        <f>IF(VLOOKUP(T$1,main!$A$3:$H$102,5,FALSE)-VLOOKUP($A75,main!$A$3:$H$102,6,FALSE)&gt;=main!$D$103+VLOOKUP(VLOOKUP(T$1,main!$A$3:$I$102,7,FALSE),main!$K$26:$Q$29,3,FALSE),1,0)</f>
        <v>1</v>
      </c>
      <c r="U75">
        <f>IF(VLOOKUP(U$1,main!$A$3:$H$102,5,FALSE)-VLOOKUP($A75,main!$A$3:$H$102,6,FALSE)&gt;=main!$D$103+VLOOKUP(VLOOKUP(U$1,main!$A$3:$I$102,7,FALSE),main!$K$26:$Q$29,3,FALSE),1,0)</f>
        <v>1</v>
      </c>
      <c r="V75">
        <f>IF(VLOOKUP(V$1,main!$A$3:$H$102,5,FALSE)-VLOOKUP($A75,main!$A$3:$H$102,6,FALSE)&gt;=main!$D$103+VLOOKUP(VLOOKUP(V$1,main!$A$3:$I$102,7,FALSE),main!$K$26:$Q$29,3,FALSE),1,0)</f>
        <v>1</v>
      </c>
      <c r="W75">
        <f>IF(VLOOKUP(W$1,main!$A$3:$H$102,5,FALSE)-VLOOKUP($A75,main!$A$3:$H$102,6,FALSE)&gt;=main!$D$103+VLOOKUP(VLOOKUP(W$1,main!$A$3:$I$102,7,FALSE),main!$K$26:$Q$29,3,FALSE),1,0)</f>
        <v>0</v>
      </c>
      <c r="X75">
        <f>IF(VLOOKUP(X$1,main!$A$3:$H$102,5,FALSE)-VLOOKUP($A75,main!$A$3:$H$102,6,FALSE)&gt;=main!$D$103+VLOOKUP(VLOOKUP(X$1,main!$A$3:$I$102,7,FALSE),main!$K$26:$Q$29,3,FALSE),1,0)</f>
        <v>0</v>
      </c>
      <c r="Y75">
        <f>IF(VLOOKUP(Y$1,main!$A$3:$H$102,5,FALSE)-VLOOKUP($A75,main!$A$3:$H$102,6,FALSE)&gt;=main!$D$103+VLOOKUP(VLOOKUP(Y$1,main!$A$3:$I$102,7,FALSE),main!$K$26:$Q$29,3,FALSE),1,0)</f>
        <v>0</v>
      </c>
      <c r="Z75">
        <f>IF(VLOOKUP(Z$1,main!$A$3:$H$102,5,FALSE)-VLOOKUP($A75,main!$A$3:$H$102,6,FALSE)&gt;=main!$D$103+VLOOKUP(VLOOKUP(Z$1,main!$A$3:$I$102,7,FALSE),main!$K$26:$Q$29,3,FALSE),1,0)</f>
        <v>1</v>
      </c>
      <c r="AA75">
        <f>IF(VLOOKUP(AA$1,main!$A$3:$H$102,5,FALSE)-VLOOKUP($A75,main!$A$3:$H$102,6,FALSE)&gt;=main!$D$103+VLOOKUP(VLOOKUP(AA$1,main!$A$3:$I$102,7,FALSE),main!$K$26:$Q$29,3,FALSE),1,0)</f>
        <v>1</v>
      </c>
      <c r="AB75">
        <f>IF(VLOOKUP(AB$1,main!$A$3:$H$102,5,FALSE)-VLOOKUP($A75,main!$A$3:$H$102,6,FALSE)&gt;=main!$D$103+VLOOKUP(VLOOKUP(AB$1,main!$A$3:$I$102,7,FALSE),main!$K$26:$Q$29,3,FALSE),1,0)</f>
        <v>0</v>
      </c>
      <c r="AC75">
        <f>IF(VLOOKUP(AC$1,main!$A$3:$H$102,5,FALSE)-VLOOKUP($A75,main!$A$3:$H$102,6,FALSE)&gt;=main!$D$103+VLOOKUP(VLOOKUP(AC$1,main!$A$3:$I$102,7,FALSE),main!$K$26:$Q$29,3,FALSE),1,0)</f>
        <v>0</v>
      </c>
      <c r="AD75">
        <f>IF(VLOOKUP(AD$1,main!$A$3:$H$102,5,FALSE)-VLOOKUP($A75,main!$A$3:$H$102,6,FALSE)&gt;=main!$D$103+VLOOKUP(VLOOKUP(AD$1,main!$A$3:$I$102,7,FALSE),main!$K$26:$Q$29,3,FALSE),1,0)</f>
        <v>0</v>
      </c>
      <c r="AE75">
        <f>IF(VLOOKUP(AE$1,main!$A$3:$H$102,5,FALSE)-VLOOKUP($A75,main!$A$3:$H$102,6,FALSE)&gt;=main!$D$103+VLOOKUP(VLOOKUP(AE$1,main!$A$3:$I$102,7,FALSE),main!$K$26:$Q$29,3,FALSE),1,0)</f>
        <v>1</v>
      </c>
      <c r="AF75">
        <f>IF(VLOOKUP(AF$1,main!$A$3:$H$102,5,FALSE)-VLOOKUP($A75,main!$A$3:$H$102,6,FALSE)&gt;=main!$D$103+VLOOKUP(VLOOKUP(AF$1,main!$A$3:$I$102,7,FALSE),main!$K$26:$Q$29,3,FALSE),1,0)</f>
        <v>1</v>
      </c>
      <c r="AG75">
        <f>IF(VLOOKUP(AG$1,main!$A$3:$H$102,5,FALSE)-VLOOKUP($A75,main!$A$3:$H$102,6,FALSE)&gt;=main!$D$103+VLOOKUP(VLOOKUP(AG$1,main!$A$3:$I$102,7,FALSE),main!$K$26:$Q$29,3,FALSE),1,0)</f>
        <v>0</v>
      </c>
      <c r="AH75">
        <f>IF(VLOOKUP(AH$1,main!$A$3:$H$102,5,FALSE)-VLOOKUP($A75,main!$A$3:$H$102,6,FALSE)&gt;=main!$D$103+VLOOKUP(VLOOKUP(AH$1,main!$A$3:$I$102,7,FALSE),main!$K$26:$Q$29,3,FALSE),1,0)</f>
        <v>0</v>
      </c>
      <c r="AI75">
        <f>IF(VLOOKUP(AI$1,main!$A$3:$H$102,5,FALSE)-VLOOKUP($A75,main!$A$3:$H$102,6,FALSE)&gt;=main!$D$103+VLOOKUP(VLOOKUP(AI$1,main!$A$3:$I$102,7,FALSE),main!$K$26:$Q$29,3,FALSE),1,0)</f>
        <v>0</v>
      </c>
      <c r="AJ75">
        <f>IF(VLOOKUP(AJ$1,main!$A$3:$H$102,5,FALSE)-VLOOKUP($A75,main!$A$3:$H$102,6,FALSE)&gt;=main!$D$103+VLOOKUP(VLOOKUP(AJ$1,main!$A$3:$I$102,7,FALSE),main!$K$26:$Q$29,3,FALSE),1,0)</f>
        <v>0</v>
      </c>
      <c r="AK75">
        <f>IF(VLOOKUP(AK$1,main!$A$3:$H$102,5,FALSE)-VLOOKUP($A75,main!$A$3:$H$102,6,FALSE)&gt;=main!$D$103+VLOOKUP(VLOOKUP(AK$1,main!$A$3:$I$102,7,FALSE),main!$K$26:$Q$29,3,FALSE),1,0)</f>
        <v>1</v>
      </c>
      <c r="AL75">
        <f>IF(VLOOKUP(AL$1,main!$A$3:$H$102,5,FALSE)-VLOOKUP($A75,main!$A$3:$H$102,6,FALSE)&gt;=main!$D$103+VLOOKUP(VLOOKUP(AL$1,main!$A$3:$I$102,7,FALSE),main!$K$26:$Q$29,3,FALSE),1,0)</f>
        <v>1</v>
      </c>
      <c r="AM75">
        <f>IF(VLOOKUP(AM$1,main!$A$3:$H$102,5,FALSE)-VLOOKUP($A75,main!$A$3:$H$102,6,FALSE)&gt;=main!$D$103+VLOOKUP(VLOOKUP(AM$1,main!$A$3:$I$102,7,FALSE),main!$K$26:$Q$29,3,FALSE),1,0)</f>
        <v>1</v>
      </c>
      <c r="AN75">
        <f>IF(VLOOKUP(AN$1,main!$A$3:$H$102,5,FALSE)-VLOOKUP($A75,main!$A$3:$H$102,6,FALSE)&gt;=main!$D$103+VLOOKUP(VLOOKUP(AN$1,main!$A$3:$I$102,7,FALSE),main!$K$26:$Q$29,3,FALSE),1,0)</f>
        <v>1</v>
      </c>
      <c r="AO75">
        <f>IF(VLOOKUP(AO$1,main!$A$3:$H$102,5,FALSE)-VLOOKUP($A75,main!$A$3:$H$102,6,FALSE)&gt;=main!$D$103+VLOOKUP(VLOOKUP(AO$1,main!$A$3:$I$102,7,FALSE),main!$K$26:$Q$29,3,FALSE),1,0)</f>
        <v>0</v>
      </c>
      <c r="AP75">
        <f>IF(VLOOKUP(AP$1,main!$A$3:$H$102,5,FALSE)-VLOOKUP($A75,main!$A$3:$H$102,6,FALSE)&gt;=main!$D$103+VLOOKUP(VLOOKUP(AP$1,main!$A$3:$I$102,7,FALSE),main!$K$26:$Q$29,3,FALSE),1,0)</f>
        <v>1</v>
      </c>
      <c r="AQ75">
        <f>IF(VLOOKUP(AQ$1,main!$A$3:$H$102,5,FALSE)-VLOOKUP($A75,main!$A$3:$H$102,6,FALSE)&gt;=main!$D$103+VLOOKUP(VLOOKUP(AQ$1,main!$A$3:$I$102,7,FALSE),main!$K$26:$Q$29,3,FALSE),1,0)</f>
        <v>0</v>
      </c>
      <c r="AR75">
        <f>IF(VLOOKUP(AR$1,main!$A$3:$H$102,5,FALSE)-VLOOKUP($A75,main!$A$3:$H$102,6,FALSE)&gt;=main!$D$103+VLOOKUP(VLOOKUP(AR$1,main!$A$3:$I$102,7,FALSE),main!$K$26:$Q$29,3,FALSE),1,0)</f>
        <v>0</v>
      </c>
      <c r="AS75">
        <f>IF(VLOOKUP(AS$1,main!$A$3:$H$102,5,FALSE)-VLOOKUP($A75,main!$A$3:$H$102,6,FALSE)&gt;=main!$D$103+VLOOKUP(VLOOKUP(AS$1,main!$A$3:$I$102,7,FALSE),main!$K$26:$Q$29,3,FALSE),1,0)</f>
        <v>0</v>
      </c>
      <c r="AT75">
        <f>IF(VLOOKUP(AT$1,main!$A$3:$H$102,5,FALSE)-VLOOKUP($A75,main!$A$3:$H$102,6,FALSE)&gt;=main!$D$103+VLOOKUP(VLOOKUP(AT$1,main!$A$3:$I$102,7,FALSE),main!$K$26:$Q$29,3,FALSE),1,0)</f>
        <v>1</v>
      </c>
      <c r="AU75">
        <f>IF(VLOOKUP(AU$1,main!$A$3:$H$102,5,FALSE)-VLOOKUP($A75,main!$A$3:$H$102,6,FALSE)&gt;=main!$D$103+VLOOKUP(VLOOKUP(AU$1,main!$A$3:$I$102,7,FALSE),main!$K$26:$Q$29,3,FALSE),1,0)</f>
        <v>0</v>
      </c>
      <c r="AV75">
        <f>IF(VLOOKUP(AV$1,main!$A$3:$H$102,5,FALSE)-VLOOKUP($A75,main!$A$3:$H$102,6,FALSE)&gt;=main!$D$103+VLOOKUP(VLOOKUP(AV$1,main!$A$3:$I$102,7,FALSE),main!$K$26:$Q$29,3,FALSE),1,0)</f>
        <v>0</v>
      </c>
      <c r="AW75">
        <f>IF(VLOOKUP(AW$1,main!$A$3:$H$102,5,FALSE)-VLOOKUP($A75,main!$A$3:$H$102,6,FALSE)&gt;=main!$D$103+VLOOKUP(VLOOKUP(AW$1,main!$A$3:$I$102,7,FALSE),main!$K$26:$Q$29,3,FALSE),1,0)</f>
        <v>1</v>
      </c>
      <c r="AX75">
        <f>IF(VLOOKUP(AX$1,main!$A$3:$H$102,5,FALSE)-VLOOKUP($A75,main!$A$3:$H$102,6,FALSE)&gt;=main!$D$103+VLOOKUP(VLOOKUP(AX$1,main!$A$3:$I$102,7,FALSE),main!$K$26:$Q$29,3,FALSE),1,0)</f>
        <v>0</v>
      </c>
      <c r="AY75">
        <f>IF(VLOOKUP(AY$1,main!$A$3:$H$102,5,FALSE)-VLOOKUP($A75,main!$A$3:$H$102,6,FALSE)&gt;=main!$D$103+VLOOKUP(VLOOKUP(AY$1,main!$A$3:$I$102,7,FALSE),main!$K$26:$Q$29,3,FALSE),1,0)</f>
        <v>0</v>
      </c>
      <c r="AZ75">
        <f>IF(VLOOKUP(AZ$1,main!$A$3:$H$102,5,FALSE)-VLOOKUP($A75,main!$A$3:$H$102,6,FALSE)&gt;=main!$D$103+VLOOKUP(VLOOKUP(AZ$1,main!$A$3:$I$102,7,FALSE),main!$K$26:$Q$29,3,FALSE),1,0)</f>
        <v>0</v>
      </c>
      <c r="BA75">
        <f>IF(VLOOKUP(BA$1,main!$A$3:$H$102,5,FALSE)-VLOOKUP($A75,main!$A$3:$H$102,6,FALSE)&gt;=main!$D$103+VLOOKUP(VLOOKUP(BA$1,main!$A$3:$I$102,7,FALSE),main!$K$26:$Q$29,3,FALSE),1,0)</f>
        <v>0</v>
      </c>
      <c r="BB75">
        <f>IF(VLOOKUP(BB$1,main!$A$3:$H$102,5,FALSE)-VLOOKUP($A75,main!$A$3:$H$102,6,FALSE)&gt;=main!$D$103+VLOOKUP(VLOOKUP(BB$1,main!$A$3:$I$102,7,FALSE),main!$K$26:$Q$29,3,FALSE),1,0)</f>
        <v>0</v>
      </c>
      <c r="BC75">
        <f>IF(VLOOKUP(BC$1,main!$A$3:$H$102,5,FALSE)-VLOOKUP($A75,main!$A$3:$H$102,6,FALSE)&gt;=main!$D$103+VLOOKUP(VLOOKUP(BC$1,main!$A$3:$I$102,7,FALSE),main!$K$26:$Q$29,3,FALSE),1,0)</f>
        <v>1</v>
      </c>
      <c r="BD75">
        <f>IF(VLOOKUP(BD$1,main!$A$3:$H$102,5,FALSE)-VLOOKUP($A75,main!$A$3:$H$102,6,FALSE)&gt;=main!$D$103+VLOOKUP(VLOOKUP(BD$1,main!$A$3:$I$102,7,FALSE),main!$K$26:$Q$29,3,FALSE),1,0)</f>
        <v>1</v>
      </c>
      <c r="BE75">
        <f>IF(VLOOKUP(BE$1,main!$A$3:$H$102,5,FALSE)-VLOOKUP($A75,main!$A$3:$H$102,6,FALSE)&gt;=main!$D$103+VLOOKUP(VLOOKUP(BE$1,main!$A$3:$I$102,7,FALSE),main!$K$26:$Q$29,3,FALSE),1,0)</f>
        <v>1</v>
      </c>
      <c r="BF75">
        <f>IF(VLOOKUP(BF$1,main!$A$3:$H$102,5,FALSE)-VLOOKUP($A75,main!$A$3:$H$102,6,FALSE)&gt;=main!$D$103+VLOOKUP(VLOOKUP(BF$1,main!$A$3:$I$102,7,FALSE),main!$K$26:$Q$29,3,FALSE),1,0)</f>
        <v>0</v>
      </c>
      <c r="BG75">
        <f>IF(VLOOKUP(BG$1,main!$A$3:$H$102,5,FALSE)-VLOOKUP($A75,main!$A$3:$H$102,6,FALSE)&gt;=main!$D$103+VLOOKUP(VLOOKUP(BG$1,main!$A$3:$I$102,7,FALSE),main!$K$26:$Q$29,3,FALSE),1,0)</f>
        <v>0</v>
      </c>
      <c r="BH75">
        <f>IF(VLOOKUP(BH$1,main!$A$3:$H$102,5,FALSE)-VLOOKUP($A75,main!$A$3:$H$102,6,FALSE)&gt;=main!$D$103+VLOOKUP(VLOOKUP(BH$1,main!$A$3:$I$102,7,FALSE),main!$K$26:$Q$29,3,FALSE),1,0)</f>
        <v>1</v>
      </c>
      <c r="BI75">
        <f>IF(VLOOKUP(BI$1,main!$A$3:$H$102,5,FALSE)-VLOOKUP($A75,main!$A$3:$H$102,6,FALSE)&gt;=main!$D$103+VLOOKUP(VLOOKUP(BI$1,main!$A$3:$I$102,7,FALSE),main!$K$26:$Q$29,3,FALSE),1,0)</f>
        <v>1</v>
      </c>
      <c r="BJ75">
        <f>IF(VLOOKUP(BJ$1,main!$A$3:$H$102,5,FALSE)-VLOOKUP($A75,main!$A$3:$H$102,6,FALSE)&gt;=main!$D$103+VLOOKUP(VLOOKUP(BJ$1,main!$A$3:$I$102,7,FALSE),main!$K$26:$Q$29,3,FALSE),1,0)</f>
        <v>1</v>
      </c>
      <c r="BK75">
        <f>IF(VLOOKUP(BK$1,main!$A$3:$H$102,5,FALSE)-VLOOKUP($A75,main!$A$3:$H$102,6,FALSE)&gt;=main!$D$103+VLOOKUP(VLOOKUP(BK$1,main!$A$3:$I$102,7,FALSE),main!$K$26:$Q$29,3,FALSE),1,0)</f>
        <v>0</v>
      </c>
      <c r="BL75">
        <f>IF(VLOOKUP(BL$1,main!$A$3:$H$102,5,FALSE)-VLOOKUP($A75,main!$A$3:$H$102,6,FALSE)&gt;=main!$D$103+VLOOKUP(VLOOKUP(BL$1,main!$A$3:$I$102,7,FALSE),main!$K$26:$Q$29,3,FALSE),1,0)</f>
        <v>0</v>
      </c>
      <c r="BM75">
        <f>IF(VLOOKUP(BM$1,main!$A$3:$H$102,5,FALSE)-VLOOKUP($A75,main!$A$3:$H$102,6,FALSE)&gt;=main!$D$103+VLOOKUP(VLOOKUP(BM$1,main!$A$3:$I$102,7,FALSE),main!$K$26:$Q$29,3,FALSE),1,0)</f>
        <v>0</v>
      </c>
      <c r="BN75">
        <f>IF(VLOOKUP(BN$1,main!$A$3:$H$102,5,FALSE)-VLOOKUP($A75,main!$A$3:$H$102,6,FALSE)&gt;=main!$D$103+VLOOKUP(VLOOKUP(BN$1,main!$A$3:$I$102,7,FALSE),main!$K$26:$Q$29,3,FALSE),1,0)</f>
        <v>1</v>
      </c>
      <c r="BO75">
        <f>IF(VLOOKUP(BO$1,main!$A$3:$H$102,5,FALSE)-VLOOKUP($A75,main!$A$3:$H$102,6,FALSE)&gt;=main!$D$103+VLOOKUP(VLOOKUP(BO$1,main!$A$3:$I$102,7,FALSE),main!$K$26:$Q$29,3,FALSE),1,0)</f>
        <v>0</v>
      </c>
      <c r="BP75">
        <f>IF(VLOOKUP(BP$1,main!$A$3:$H$102,5,FALSE)-VLOOKUP($A75,main!$A$3:$H$102,6,FALSE)&gt;=main!$D$103+VLOOKUP(VLOOKUP(BP$1,main!$A$3:$I$102,7,FALSE),main!$K$26:$Q$29,3,FALSE),1,0)</f>
        <v>0</v>
      </c>
      <c r="BQ75">
        <f>IF(VLOOKUP(BQ$1,main!$A$3:$H$102,5,FALSE)-VLOOKUP($A75,main!$A$3:$H$102,6,FALSE)&gt;=main!$D$103+VLOOKUP(VLOOKUP(BQ$1,main!$A$3:$I$102,7,FALSE),main!$K$26:$Q$29,3,FALSE),1,0)</f>
        <v>0</v>
      </c>
      <c r="BR75">
        <f>IF(VLOOKUP(BR$1,main!$A$3:$H$102,5,FALSE)-VLOOKUP($A75,main!$A$3:$H$102,6,FALSE)&gt;=main!$D$103+VLOOKUP(VLOOKUP(BR$1,main!$A$3:$I$102,7,FALSE),main!$K$26:$Q$29,3,FALSE),1,0)</f>
        <v>0</v>
      </c>
      <c r="BS75">
        <f>IF(VLOOKUP(BS$1,main!$A$3:$H$102,5,FALSE)-VLOOKUP($A75,main!$A$3:$H$102,6,FALSE)&gt;=main!$D$103+VLOOKUP(VLOOKUP(BS$1,main!$A$3:$I$102,7,FALSE),main!$K$26:$Q$29,3,FALSE),1,0)</f>
        <v>0</v>
      </c>
      <c r="BT75">
        <f>IF(VLOOKUP(BT$1,main!$A$3:$H$102,5,FALSE)-VLOOKUP($A75,main!$A$3:$H$102,6,FALSE)&gt;=main!$D$103+VLOOKUP(VLOOKUP(BT$1,main!$A$3:$I$102,7,FALSE),main!$K$26:$Q$29,3,FALSE),1,0)</f>
        <v>0</v>
      </c>
      <c r="BU75">
        <f>IF(VLOOKUP(BU$1,main!$A$3:$H$102,5,FALSE)-VLOOKUP($A75,main!$A$3:$H$102,6,FALSE)&gt;=main!$D$103+VLOOKUP(VLOOKUP(BU$1,main!$A$3:$I$102,7,FALSE),main!$K$26:$Q$29,3,FALSE),1,0)</f>
        <v>0</v>
      </c>
      <c r="BV75">
        <f>IF(VLOOKUP(BV$1,main!$A$3:$H$102,5,FALSE)-VLOOKUP($A75,main!$A$3:$H$102,6,FALSE)&gt;=main!$D$103+VLOOKUP(VLOOKUP(BV$1,main!$A$3:$I$102,7,FALSE),main!$K$26:$Q$29,3,FALSE),1,0)</f>
        <v>0</v>
      </c>
      <c r="BW75">
        <f>IF(VLOOKUP(BW$1,main!$A$3:$H$102,5,FALSE)-VLOOKUP($A75,main!$A$3:$H$102,6,FALSE)&gt;=main!$D$103+VLOOKUP(VLOOKUP(BW$1,main!$A$3:$I$102,7,FALSE),main!$K$26:$Q$29,3,FALSE),1,0)</f>
        <v>0</v>
      </c>
      <c r="BX75">
        <f>IF(VLOOKUP(BX$1,main!$A$3:$H$102,5,FALSE)-VLOOKUP($A75,main!$A$3:$H$102,6,FALSE)&gt;=main!$D$103+VLOOKUP(VLOOKUP(BX$1,main!$A$3:$I$102,7,FALSE),main!$K$26:$Q$29,3,FALSE),1,0)</f>
        <v>0</v>
      </c>
      <c r="BY75">
        <f>IF(VLOOKUP(BY$1,main!$A$3:$H$102,5,FALSE)-VLOOKUP($A75,main!$A$3:$H$102,6,FALSE)&gt;=main!$D$103+VLOOKUP(VLOOKUP(BY$1,main!$A$3:$I$102,7,FALSE),main!$K$26:$Q$29,3,FALSE),1,0)</f>
        <v>1</v>
      </c>
      <c r="BZ75">
        <f>IF(VLOOKUP(BZ$1,main!$A$3:$H$102,5,FALSE)-VLOOKUP($A75,main!$A$3:$H$102,6,FALSE)&gt;=main!$D$103+VLOOKUP(VLOOKUP(BZ$1,main!$A$3:$I$102,7,FALSE),main!$K$26:$Q$29,3,FALSE),1,0)</f>
        <v>0</v>
      </c>
      <c r="CA75">
        <f>IF(VLOOKUP(CA$1,main!$A$3:$H$102,5,FALSE)-VLOOKUP($A75,main!$A$3:$H$102,6,FALSE)&gt;=main!$D$103+VLOOKUP(VLOOKUP(CA$1,main!$A$3:$I$102,7,FALSE),main!$K$26:$Q$29,3,FALSE),1,0)</f>
        <v>0</v>
      </c>
      <c r="CB75">
        <f>IF(VLOOKUP(CB$1,main!$A$3:$H$102,5,FALSE)-VLOOKUP($A75,main!$A$3:$H$102,6,FALSE)&gt;=main!$D$103+VLOOKUP(VLOOKUP(CB$1,main!$A$3:$I$102,7,FALSE),main!$K$26:$Q$29,3,FALSE),1,0)</f>
        <v>1</v>
      </c>
      <c r="CC75">
        <f>IF(VLOOKUP(CC$1,main!$A$3:$H$102,5,FALSE)-VLOOKUP($A75,main!$A$3:$H$102,6,FALSE)&gt;=main!$D$103+VLOOKUP(VLOOKUP(CC$1,main!$A$3:$I$102,7,FALSE),main!$K$26:$Q$29,3,FALSE),1,0)</f>
        <v>1</v>
      </c>
      <c r="CD75">
        <f>IF(VLOOKUP(CD$1,main!$A$3:$H$102,5,FALSE)-VLOOKUP($A75,main!$A$3:$H$102,6,FALSE)&gt;=main!$D$103+VLOOKUP(VLOOKUP(CD$1,main!$A$3:$I$102,7,FALSE),main!$K$26:$Q$29,3,FALSE),1,0)</f>
        <v>1</v>
      </c>
      <c r="CE75">
        <f>IF(VLOOKUP(CE$1,main!$A$3:$H$102,5,FALSE)-VLOOKUP($A75,main!$A$3:$H$102,6,FALSE)&gt;=main!$D$103+VLOOKUP(VLOOKUP(CE$1,main!$A$3:$I$102,7,FALSE),main!$K$26:$Q$29,3,FALSE),1,0)</f>
        <v>0</v>
      </c>
      <c r="CF75">
        <f>IF(VLOOKUP(CF$1,main!$A$3:$H$102,5,FALSE)-VLOOKUP($A75,main!$A$3:$H$102,6,FALSE)&gt;=main!$D$103+VLOOKUP(VLOOKUP(CF$1,main!$A$3:$I$102,7,FALSE),main!$K$26:$Q$29,3,FALSE),1,0)</f>
        <v>0</v>
      </c>
      <c r="CG75">
        <f>IF(VLOOKUP(CG$1,main!$A$3:$H$102,5,FALSE)-VLOOKUP($A75,main!$A$3:$H$102,6,FALSE)&gt;=main!$D$103+VLOOKUP(VLOOKUP(CG$1,main!$A$3:$I$102,7,FALSE),main!$K$26:$Q$29,3,FALSE),1,0)</f>
        <v>0</v>
      </c>
      <c r="CH75">
        <f>IF(VLOOKUP(CH$1,main!$A$3:$H$102,5,FALSE)-VLOOKUP($A75,main!$A$3:$H$102,6,FALSE)&gt;=main!$D$103+VLOOKUP(VLOOKUP(CH$1,main!$A$3:$I$102,7,FALSE),main!$K$26:$Q$29,3,FALSE),1,0)</f>
        <v>1</v>
      </c>
      <c r="CI75">
        <f>IF(VLOOKUP(CI$1,main!$A$3:$H$102,5,FALSE)-VLOOKUP($A75,main!$A$3:$H$102,6,FALSE)&gt;=main!$D$103+VLOOKUP(VLOOKUP(CI$1,main!$A$3:$I$102,7,FALSE),main!$K$26:$Q$29,3,FALSE),1,0)</f>
        <v>1</v>
      </c>
      <c r="CJ75">
        <f>IF(VLOOKUP(CJ$1,main!$A$3:$H$102,5,FALSE)-VLOOKUP($A75,main!$A$3:$H$102,6,FALSE)&gt;=main!$D$103+VLOOKUP(VLOOKUP(CJ$1,main!$A$3:$I$102,7,FALSE),main!$K$26:$Q$29,3,FALSE),1,0)</f>
        <v>0</v>
      </c>
      <c r="CK75">
        <f>IF(VLOOKUP(CK$1,main!$A$3:$H$102,5,FALSE)-VLOOKUP($A75,main!$A$3:$H$102,6,FALSE)&gt;=main!$D$103+VLOOKUP(VLOOKUP(CK$1,main!$A$3:$I$102,7,FALSE),main!$K$26:$Q$29,3,FALSE),1,0)</f>
        <v>0</v>
      </c>
      <c r="CL75">
        <f>IF(VLOOKUP(CL$1,main!$A$3:$H$102,5,FALSE)-VLOOKUP($A75,main!$A$3:$H$102,6,FALSE)&gt;=main!$D$103+VLOOKUP(VLOOKUP(CL$1,main!$A$3:$I$102,7,FALSE),main!$K$26:$Q$29,3,FALSE),1,0)</f>
        <v>0</v>
      </c>
      <c r="CM75">
        <f>IF(VLOOKUP(CM$1,main!$A$3:$H$102,5,FALSE)-VLOOKUP($A75,main!$A$3:$H$102,6,FALSE)&gt;=main!$D$103+VLOOKUP(VLOOKUP(CM$1,main!$A$3:$I$102,7,FALSE),main!$K$26:$Q$29,3,FALSE),1,0)</f>
        <v>1</v>
      </c>
      <c r="CN75">
        <f>IF(VLOOKUP(CN$1,main!$A$3:$H$102,5,FALSE)-VLOOKUP($A75,main!$A$3:$H$102,6,FALSE)&gt;=main!$D$103+VLOOKUP(VLOOKUP(CN$1,main!$A$3:$I$102,7,FALSE),main!$K$26:$Q$29,3,FALSE),1,0)</f>
        <v>1</v>
      </c>
      <c r="CO75">
        <f>IF(VLOOKUP(CO$1,main!$A$3:$H$102,5,FALSE)-VLOOKUP($A75,main!$A$3:$H$102,6,FALSE)&gt;=main!$D$103+VLOOKUP(VLOOKUP(CO$1,main!$A$3:$I$102,7,FALSE),main!$K$26:$Q$29,3,FALSE),1,0)</f>
        <v>0</v>
      </c>
      <c r="CP75">
        <f>IF(VLOOKUP(CP$1,main!$A$3:$H$102,5,FALSE)-VLOOKUP($A75,main!$A$3:$H$102,6,FALSE)&gt;=main!$D$103+VLOOKUP(VLOOKUP(CP$1,main!$A$3:$I$102,7,FALSE),main!$K$26:$Q$29,3,FALSE),1,0)</f>
        <v>0</v>
      </c>
      <c r="CQ75">
        <f>IF(VLOOKUP(CQ$1,main!$A$3:$H$102,5,FALSE)-VLOOKUP($A75,main!$A$3:$H$102,6,FALSE)&gt;=main!$D$103+VLOOKUP(VLOOKUP(CQ$1,main!$A$3:$I$102,7,FALSE),main!$K$26:$Q$29,3,FALSE),1,0)</f>
        <v>0</v>
      </c>
      <c r="CR75">
        <f>IF(VLOOKUP(CR$1,main!$A$3:$H$102,5,FALSE)-VLOOKUP($A75,main!$A$3:$H$102,6,FALSE)&gt;=main!$D$103+VLOOKUP(VLOOKUP(CR$1,main!$A$3:$I$102,7,FALSE),main!$K$26:$Q$29,3,FALSE),1,0)</f>
        <v>1</v>
      </c>
      <c r="CS75">
        <f>IF(VLOOKUP(CS$1,main!$A$3:$H$102,5,FALSE)-VLOOKUP($A75,main!$A$3:$H$102,6,FALSE)&gt;=main!$D$103+VLOOKUP(VLOOKUP(CS$1,main!$A$3:$I$102,7,FALSE),main!$K$26:$Q$29,3,FALSE),1,0)</f>
        <v>1</v>
      </c>
      <c r="CT75">
        <f>IF(VLOOKUP(CT$1,main!$A$3:$H$102,5,FALSE)-VLOOKUP($A75,main!$A$3:$H$102,6,FALSE)&gt;=main!$D$103+VLOOKUP(VLOOKUP(CT$1,main!$A$3:$I$102,7,FALSE),main!$K$26:$Q$29,3,FALSE),1,0)</f>
        <v>0</v>
      </c>
      <c r="CU75">
        <f>IF(VLOOKUP(CU$1,main!$A$3:$H$102,5,FALSE)-VLOOKUP($A75,main!$A$3:$H$102,6,FALSE)&gt;=main!$D$103+VLOOKUP(VLOOKUP(CU$1,main!$A$3:$I$102,7,FALSE),main!$K$26:$Q$29,3,FALSE),1,0)</f>
        <v>0</v>
      </c>
      <c r="CV75">
        <f>IF(VLOOKUP(CV$1,main!$A$3:$H$102,5,FALSE)-VLOOKUP($A75,main!$A$3:$H$102,6,FALSE)&gt;=main!$D$103+VLOOKUP(VLOOKUP(CV$1,main!$A$3:$I$102,7,FALSE),main!$K$26:$Q$29,3,FALSE),1,0)</f>
        <v>0</v>
      </c>
      <c r="CW75">
        <f>IF(VLOOKUP(CW$1,main!$A$3:$H$102,5,FALSE)-VLOOKUP($A75,main!$A$3:$H$102,6,FALSE)&gt;=main!$D$103+VLOOKUP(VLOOKUP(CW$1,main!$A$3:$I$102,7,FALSE),main!$K$26:$Q$29,3,FALSE),1,0)</f>
        <v>1</v>
      </c>
      <c r="CX75">
        <f>IF(VLOOKUP(CX$1,main!$A$3:$H$102,5,FALSE)-VLOOKUP($A75,main!$A$3:$H$102,6,FALSE)&gt;=main!$D$103+VLOOKUP(VLOOKUP(CX$1,main!$A$3:$I$102,7,FALSE),main!$K$26:$Q$29,3,FALSE),1,0)</f>
        <v>1</v>
      </c>
    </row>
    <row r="76" spans="1:102" x14ac:dyDescent="0.25">
      <c r="A76" s="1">
        <v>74</v>
      </c>
      <c r="B76">
        <v>0</v>
      </c>
      <c r="C76">
        <f>IF(VLOOKUP(C$1,main!$A$3:$H$102,5,FALSE)-VLOOKUP($A76,main!$A$3:$H$102,6,FALSE)&gt;=main!$D$103+VLOOKUP(VLOOKUP(C$1,main!$A$3:$I$102,7,FALSE),main!$K$26:$Q$29,3,FALSE),1,0)</f>
        <v>0</v>
      </c>
      <c r="D76">
        <f>IF(VLOOKUP(D$1,main!$A$3:$H$102,5,FALSE)-VLOOKUP($A76,main!$A$3:$H$102,6,FALSE)&gt;=main!$D$103+VLOOKUP(VLOOKUP(D$1,main!$A$3:$I$102,7,FALSE),main!$K$26:$Q$29,3,FALSE),1,0)</f>
        <v>0</v>
      </c>
      <c r="E76">
        <f>IF(VLOOKUP(E$1,main!$A$3:$H$102,5,FALSE)-VLOOKUP($A76,main!$A$3:$H$102,6,FALSE)&gt;=main!$D$103+VLOOKUP(VLOOKUP(E$1,main!$A$3:$I$102,7,FALSE),main!$K$26:$Q$29,3,FALSE),1,0)</f>
        <v>0</v>
      </c>
      <c r="F76">
        <f>IF(VLOOKUP(F$1,main!$A$3:$H$102,5,FALSE)-VLOOKUP($A76,main!$A$3:$H$102,6,FALSE)&gt;=main!$D$103+VLOOKUP(VLOOKUP(F$1,main!$A$3:$I$102,7,FALSE),main!$K$26:$Q$29,3,FALSE),1,0)</f>
        <v>0</v>
      </c>
      <c r="G76">
        <f>IF(VLOOKUP(G$1,main!$A$3:$H$102,5,FALSE)-VLOOKUP($A76,main!$A$3:$H$102,6,FALSE)&gt;=main!$D$103+VLOOKUP(VLOOKUP(G$1,main!$A$3:$I$102,7,FALSE),main!$K$26:$Q$29,3,FALSE),1,0)</f>
        <v>0</v>
      </c>
      <c r="H76">
        <f>IF(VLOOKUP(H$1,main!$A$3:$H$102,5,FALSE)-VLOOKUP($A76,main!$A$3:$H$102,6,FALSE)&gt;=main!$D$103+VLOOKUP(VLOOKUP(H$1,main!$A$3:$I$102,7,FALSE),main!$K$26:$Q$29,3,FALSE),1,0)</f>
        <v>0</v>
      </c>
      <c r="I76">
        <f>IF(VLOOKUP(I$1,main!$A$3:$H$102,5,FALSE)-VLOOKUP($A76,main!$A$3:$H$102,6,FALSE)&gt;=main!$D$103+VLOOKUP(VLOOKUP(I$1,main!$A$3:$I$102,7,FALSE),main!$K$26:$Q$29,3,FALSE),1,0)</f>
        <v>1</v>
      </c>
      <c r="J76">
        <f>IF(VLOOKUP(J$1,main!$A$3:$H$102,5,FALSE)-VLOOKUP($A76,main!$A$3:$H$102,6,FALSE)&gt;=main!$D$103+VLOOKUP(VLOOKUP(J$1,main!$A$3:$I$102,7,FALSE),main!$K$26:$Q$29,3,FALSE),1,0)</f>
        <v>1</v>
      </c>
      <c r="K76">
        <f>IF(VLOOKUP(K$1,main!$A$3:$H$102,5,FALSE)-VLOOKUP($A76,main!$A$3:$H$102,6,FALSE)&gt;=main!$D$103+VLOOKUP(VLOOKUP(K$1,main!$A$3:$I$102,7,FALSE),main!$K$26:$Q$29,3,FALSE),1,0)</f>
        <v>1</v>
      </c>
      <c r="L76">
        <f>IF(VLOOKUP(L$1,main!$A$3:$H$102,5,FALSE)-VLOOKUP($A76,main!$A$3:$H$102,6,FALSE)&gt;=main!$D$103+VLOOKUP(VLOOKUP(L$1,main!$A$3:$I$102,7,FALSE),main!$K$26:$Q$29,3,FALSE),1,0)</f>
        <v>1</v>
      </c>
      <c r="M76">
        <f>IF(VLOOKUP(M$1,main!$A$3:$H$102,5,FALSE)-VLOOKUP($A76,main!$A$3:$H$102,6,FALSE)&gt;=main!$D$103+VLOOKUP(VLOOKUP(M$1,main!$A$3:$I$102,7,FALSE),main!$K$26:$Q$29,3,FALSE),1,0)</f>
        <v>0</v>
      </c>
      <c r="N76">
        <f>IF(VLOOKUP(N$1,main!$A$3:$H$102,5,FALSE)-VLOOKUP($A76,main!$A$3:$H$102,6,FALSE)&gt;=main!$D$103+VLOOKUP(VLOOKUP(N$1,main!$A$3:$I$102,7,FALSE),main!$K$26:$Q$29,3,FALSE),1,0)</f>
        <v>0</v>
      </c>
      <c r="O76">
        <f>IF(VLOOKUP(O$1,main!$A$3:$H$102,5,FALSE)-VLOOKUP($A76,main!$A$3:$H$102,6,FALSE)&gt;=main!$D$103+VLOOKUP(VLOOKUP(O$1,main!$A$3:$I$102,7,FALSE),main!$K$26:$Q$29,3,FALSE),1,0)</f>
        <v>0</v>
      </c>
      <c r="P76">
        <f>IF(VLOOKUP(P$1,main!$A$3:$H$102,5,FALSE)-VLOOKUP($A76,main!$A$3:$H$102,6,FALSE)&gt;=main!$D$103+VLOOKUP(VLOOKUP(P$1,main!$A$3:$I$102,7,FALSE),main!$K$26:$Q$29,3,FALSE),1,0)</f>
        <v>0</v>
      </c>
      <c r="Q76">
        <f>IF(VLOOKUP(Q$1,main!$A$3:$H$102,5,FALSE)-VLOOKUP($A76,main!$A$3:$H$102,6,FALSE)&gt;=main!$D$103+VLOOKUP(VLOOKUP(Q$1,main!$A$3:$I$102,7,FALSE),main!$K$26:$Q$29,3,FALSE),1,0)</f>
        <v>0</v>
      </c>
      <c r="R76">
        <f>IF(VLOOKUP(R$1,main!$A$3:$H$102,5,FALSE)-VLOOKUP($A76,main!$A$3:$H$102,6,FALSE)&gt;=main!$D$103+VLOOKUP(VLOOKUP(R$1,main!$A$3:$I$102,7,FALSE),main!$K$26:$Q$29,3,FALSE),1,0)</f>
        <v>0</v>
      </c>
      <c r="S76">
        <f>IF(VLOOKUP(S$1,main!$A$3:$H$102,5,FALSE)-VLOOKUP($A76,main!$A$3:$H$102,6,FALSE)&gt;=main!$D$103+VLOOKUP(VLOOKUP(S$1,main!$A$3:$I$102,7,FALSE),main!$K$26:$Q$29,3,FALSE),1,0)</f>
        <v>0</v>
      </c>
      <c r="T76">
        <f>IF(VLOOKUP(T$1,main!$A$3:$H$102,5,FALSE)-VLOOKUP($A76,main!$A$3:$H$102,6,FALSE)&gt;=main!$D$103+VLOOKUP(VLOOKUP(T$1,main!$A$3:$I$102,7,FALSE),main!$K$26:$Q$29,3,FALSE),1,0)</f>
        <v>1</v>
      </c>
      <c r="U76">
        <f>IF(VLOOKUP(U$1,main!$A$3:$H$102,5,FALSE)-VLOOKUP($A76,main!$A$3:$H$102,6,FALSE)&gt;=main!$D$103+VLOOKUP(VLOOKUP(U$1,main!$A$3:$I$102,7,FALSE),main!$K$26:$Q$29,3,FALSE),1,0)</f>
        <v>1</v>
      </c>
      <c r="V76">
        <f>IF(VLOOKUP(V$1,main!$A$3:$H$102,5,FALSE)-VLOOKUP($A76,main!$A$3:$H$102,6,FALSE)&gt;=main!$D$103+VLOOKUP(VLOOKUP(V$1,main!$A$3:$I$102,7,FALSE),main!$K$26:$Q$29,3,FALSE),1,0)</f>
        <v>1</v>
      </c>
      <c r="W76">
        <f>IF(VLOOKUP(W$1,main!$A$3:$H$102,5,FALSE)-VLOOKUP($A76,main!$A$3:$H$102,6,FALSE)&gt;=main!$D$103+VLOOKUP(VLOOKUP(W$1,main!$A$3:$I$102,7,FALSE),main!$K$26:$Q$29,3,FALSE),1,0)</f>
        <v>0</v>
      </c>
      <c r="X76">
        <f>IF(VLOOKUP(X$1,main!$A$3:$H$102,5,FALSE)-VLOOKUP($A76,main!$A$3:$H$102,6,FALSE)&gt;=main!$D$103+VLOOKUP(VLOOKUP(X$1,main!$A$3:$I$102,7,FALSE),main!$K$26:$Q$29,3,FALSE),1,0)</f>
        <v>0</v>
      </c>
      <c r="Y76">
        <f>IF(VLOOKUP(Y$1,main!$A$3:$H$102,5,FALSE)-VLOOKUP($A76,main!$A$3:$H$102,6,FALSE)&gt;=main!$D$103+VLOOKUP(VLOOKUP(Y$1,main!$A$3:$I$102,7,FALSE),main!$K$26:$Q$29,3,FALSE),1,0)</f>
        <v>0</v>
      </c>
      <c r="Z76">
        <f>IF(VLOOKUP(Z$1,main!$A$3:$H$102,5,FALSE)-VLOOKUP($A76,main!$A$3:$H$102,6,FALSE)&gt;=main!$D$103+VLOOKUP(VLOOKUP(Z$1,main!$A$3:$I$102,7,FALSE),main!$K$26:$Q$29,3,FALSE),1,0)</f>
        <v>0</v>
      </c>
      <c r="AA76">
        <f>IF(VLOOKUP(AA$1,main!$A$3:$H$102,5,FALSE)-VLOOKUP($A76,main!$A$3:$H$102,6,FALSE)&gt;=main!$D$103+VLOOKUP(VLOOKUP(AA$1,main!$A$3:$I$102,7,FALSE),main!$K$26:$Q$29,3,FALSE),1,0)</f>
        <v>1</v>
      </c>
      <c r="AB76">
        <f>IF(VLOOKUP(AB$1,main!$A$3:$H$102,5,FALSE)-VLOOKUP($A76,main!$A$3:$H$102,6,FALSE)&gt;=main!$D$103+VLOOKUP(VLOOKUP(AB$1,main!$A$3:$I$102,7,FALSE),main!$K$26:$Q$29,3,FALSE),1,0)</f>
        <v>0</v>
      </c>
      <c r="AC76">
        <f>IF(VLOOKUP(AC$1,main!$A$3:$H$102,5,FALSE)-VLOOKUP($A76,main!$A$3:$H$102,6,FALSE)&gt;=main!$D$103+VLOOKUP(VLOOKUP(AC$1,main!$A$3:$I$102,7,FALSE),main!$K$26:$Q$29,3,FALSE),1,0)</f>
        <v>0</v>
      </c>
      <c r="AD76">
        <f>IF(VLOOKUP(AD$1,main!$A$3:$H$102,5,FALSE)-VLOOKUP($A76,main!$A$3:$H$102,6,FALSE)&gt;=main!$D$103+VLOOKUP(VLOOKUP(AD$1,main!$A$3:$I$102,7,FALSE),main!$K$26:$Q$29,3,FALSE),1,0)</f>
        <v>0</v>
      </c>
      <c r="AE76">
        <f>IF(VLOOKUP(AE$1,main!$A$3:$H$102,5,FALSE)-VLOOKUP($A76,main!$A$3:$H$102,6,FALSE)&gt;=main!$D$103+VLOOKUP(VLOOKUP(AE$1,main!$A$3:$I$102,7,FALSE),main!$K$26:$Q$29,3,FALSE),1,0)</f>
        <v>0</v>
      </c>
      <c r="AF76">
        <f>IF(VLOOKUP(AF$1,main!$A$3:$H$102,5,FALSE)-VLOOKUP($A76,main!$A$3:$H$102,6,FALSE)&gt;=main!$D$103+VLOOKUP(VLOOKUP(AF$1,main!$A$3:$I$102,7,FALSE),main!$K$26:$Q$29,3,FALSE),1,0)</f>
        <v>1</v>
      </c>
      <c r="AG76">
        <f>IF(VLOOKUP(AG$1,main!$A$3:$H$102,5,FALSE)-VLOOKUP($A76,main!$A$3:$H$102,6,FALSE)&gt;=main!$D$103+VLOOKUP(VLOOKUP(AG$1,main!$A$3:$I$102,7,FALSE),main!$K$26:$Q$29,3,FALSE),1,0)</f>
        <v>0</v>
      </c>
      <c r="AH76">
        <f>IF(VLOOKUP(AH$1,main!$A$3:$H$102,5,FALSE)-VLOOKUP($A76,main!$A$3:$H$102,6,FALSE)&gt;=main!$D$103+VLOOKUP(VLOOKUP(AH$1,main!$A$3:$I$102,7,FALSE),main!$K$26:$Q$29,3,FALSE),1,0)</f>
        <v>0</v>
      </c>
      <c r="AI76">
        <f>IF(VLOOKUP(AI$1,main!$A$3:$H$102,5,FALSE)-VLOOKUP($A76,main!$A$3:$H$102,6,FALSE)&gt;=main!$D$103+VLOOKUP(VLOOKUP(AI$1,main!$A$3:$I$102,7,FALSE),main!$K$26:$Q$29,3,FALSE),1,0)</f>
        <v>0</v>
      </c>
      <c r="AJ76">
        <f>IF(VLOOKUP(AJ$1,main!$A$3:$H$102,5,FALSE)-VLOOKUP($A76,main!$A$3:$H$102,6,FALSE)&gt;=main!$D$103+VLOOKUP(VLOOKUP(AJ$1,main!$A$3:$I$102,7,FALSE),main!$K$26:$Q$29,3,FALSE),1,0)</f>
        <v>0</v>
      </c>
      <c r="AK76">
        <f>IF(VLOOKUP(AK$1,main!$A$3:$H$102,5,FALSE)-VLOOKUP($A76,main!$A$3:$H$102,6,FALSE)&gt;=main!$D$103+VLOOKUP(VLOOKUP(AK$1,main!$A$3:$I$102,7,FALSE),main!$K$26:$Q$29,3,FALSE),1,0)</f>
        <v>0</v>
      </c>
      <c r="AL76">
        <f>IF(VLOOKUP(AL$1,main!$A$3:$H$102,5,FALSE)-VLOOKUP($A76,main!$A$3:$H$102,6,FALSE)&gt;=main!$D$103+VLOOKUP(VLOOKUP(AL$1,main!$A$3:$I$102,7,FALSE),main!$K$26:$Q$29,3,FALSE),1,0)</f>
        <v>1</v>
      </c>
      <c r="AM76">
        <f>IF(VLOOKUP(AM$1,main!$A$3:$H$102,5,FALSE)-VLOOKUP($A76,main!$A$3:$H$102,6,FALSE)&gt;=main!$D$103+VLOOKUP(VLOOKUP(AM$1,main!$A$3:$I$102,7,FALSE),main!$K$26:$Q$29,3,FALSE),1,0)</f>
        <v>1</v>
      </c>
      <c r="AN76">
        <f>IF(VLOOKUP(AN$1,main!$A$3:$H$102,5,FALSE)-VLOOKUP($A76,main!$A$3:$H$102,6,FALSE)&gt;=main!$D$103+VLOOKUP(VLOOKUP(AN$1,main!$A$3:$I$102,7,FALSE),main!$K$26:$Q$29,3,FALSE),1,0)</f>
        <v>1</v>
      </c>
      <c r="AO76">
        <f>IF(VLOOKUP(AO$1,main!$A$3:$H$102,5,FALSE)-VLOOKUP($A76,main!$A$3:$H$102,6,FALSE)&gt;=main!$D$103+VLOOKUP(VLOOKUP(AO$1,main!$A$3:$I$102,7,FALSE),main!$K$26:$Q$29,3,FALSE),1,0)</f>
        <v>0</v>
      </c>
      <c r="AP76">
        <f>IF(VLOOKUP(AP$1,main!$A$3:$H$102,5,FALSE)-VLOOKUP($A76,main!$A$3:$H$102,6,FALSE)&gt;=main!$D$103+VLOOKUP(VLOOKUP(AP$1,main!$A$3:$I$102,7,FALSE),main!$K$26:$Q$29,3,FALSE),1,0)</f>
        <v>1</v>
      </c>
      <c r="AQ76">
        <f>IF(VLOOKUP(AQ$1,main!$A$3:$H$102,5,FALSE)-VLOOKUP($A76,main!$A$3:$H$102,6,FALSE)&gt;=main!$D$103+VLOOKUP(VLOOKUP(AQ$1,main!$A$3:$I$102,7,FALSE),main!$K$26:$Q$29,3,FALSE),1,0)</f>
        <v>0</v>
      </c>
      <c r="AR76">
        <f>IF(VLOOKUP(AR$1,main!$A$3:$H$102,5,FALSE)-VLOOKUP($A76,main!$A$3:$H$102,6,FALSE)&gt;=main!$D$103+VLOOKUP(VLOOKUP(AR$1,main!$A$3:$I$102,7,FALSE),main!$K$26:$Q$29,3,FALSE),1,0)</f>
        <v>0</v>
      </c>
      <c r="AS76">
        <f>IF(VLOOKUP(AS$1,main!$A$3:$H$102,5,FALSE)-VLOOKUP($A76,main!$A$3:$H$102,6,FALSE)&gt;=main!$D$103+VLOOKUP(VLOOKUP(AS$1,main!$A$3:$I$102,7,FALSE),main!$K$26:$Q$29,3,FALSE),1,0)</f>
        <v>0</v>
      </c>
      <c r="AT76">
        <f>IF(VLOOKUP(AT$1,main!$A$3:$H$102,5,FALSE)-VLOOKUP($A76,main!$A$3:$H$102,6,FALSE)&gt;=main!$D$103+VLOOKUP(VLOOKUP(AT$1,main!$A$3:$I$102,7,FALSE),main!$K$26:$Q$29,3,FALSE),1,0)</f>
        <v>0</v>
      </c>
      <c r="AU76">
        <f>IF(VLOOKUP(AU$1,main!$A$3:$H$102,5,FALSE)-VLOOKUP($A76,main!$A$3:$H$102,6,FALSE)&gt;=main!$D$103+VLOOKUP(VLOOKUP(AU$1,main!$A$3:$I$102,7,FALSE),main!$K$26:$Q$29,3,FALSE),1,0)</f>
        <v>0</v>
      </c>
      <c r="AV76">
        <f>IF(VLOOKUP(AV$1,main!$A$3:$H$102,5,FALSE)-VLOOKUP($A76,main!$A$3:$H$102,6,FALSE)&gt;=main!$D$103+VLOOKUP(VLOOKUP(AV$1,main!$A$3:$I$102,7,FALSE),main!$K$26:$Q$29,3,FALSE),1,0)</f>
        <v>0</v>
      </c>
      <c r="AW76">
        <f>IF(VLOOKUP(AW$1,main!$A$3:$H$102,5,FALSE)-VLOOKUP($A76,main!$A$3:$H$102,6,FALSE)&gt;=main!$D$103+VLOOKUP(VLOOKUP(AW$1,main!$A$3:$I$102,7,FALSE),main!$K$26:$Q$29,3,FALSE),1,0)</f>
        <v>0</v>
      </c>
      <c r="AX76">
        <f>IF(VLOOKUP(AX$1,main!$A$3:$H$102,5,FALSE)-VLOOKUP($A76,main!$A$3:$H$102,6,FALSE)&gt;=main!$D$103+VLOOKUP(VLOOKUP(AX$1,main!$A$3:$I$102,7,FALSE),main!$K$26:$Q$29,3,FALSE),1,0)</f>
        <v>0</v>
      </c>
      <c r="AY76">
        <f>IF(VLOOKUP(AY$1,main!$A$3:$H$102,5,FALSE)-VLOOKUP($A76,main!$A$3:$H$102,6,FALSE)&gt;=main!$D$103+VLOOKUP(VLOOKUP(AY$1,main!$A$3:$I$102,7,FALSE),main!$K$26:$Q$29,3,FALSE),1,0)</f>
        <v>0</v>
      </c>
      <c r="AZ76">
        <f>IF(VLOOKUP(AZ$1,main!$A$3:$H$102,5,FALSE)-VLOOKUP($A76,main!$A$3:$H$102,6,FALSE)&gt;=main!$D$103+VLOOKUP(VLOOKUP(AZ$1,main!$A$3:$I$102,7,FALSE),main!$K$26:$Q$29,3,FALSE),1,0)</f>
        <v>0</v>
      </c>
      <c r="BA76">
        <f>IF(VLOOKUP(BA$1,main!$A$3:$H$102,5,FALSE)-VLOOKUP($A76,main!$A$3:$H$102,6,FALSE)&gt;=main!$D$103+VLOOKUP(VLOOKUP(BA$1,main!$A$3:$I$102,7,FALSE),main!$K$26:$Q$29,3,FALSE),1,0)</f>
        <v>0</v>
      </c>
      <c r="BB76">
        <f>IF(VLOOKUP(BB$1,main!$A$3:$H$102,5,FALSE)-VLOOKUP($A76,main!$A$3:$H$102,6,FALSE)&gt;=main!$D$103+VLOOKUP(VLOOKUP(BB$1,main!$A$3:$I$102,7,FALSE),main!$K$26:$Q$29,3,FALSE),1,0)</f>
        <v>0</v>
      </c>
      <c r="BC76">
        <f>IF(VLOOKUP(BC$1,main!$A$3:$H$102,5,FALSE)-VLOOKUP($A76,main!$A$3:$H$102,6,FALSE)&gt;=main!$D$103+VLOOKUP(VLOOKUP(BC$1,main!$A$3:$I$102,7,FALSE),main!$K$26:$Q$29,3,FALSE),1,0)</f>
        <v>0</v>
      </c>
      <c r="BD76">
        <f>IF(VLOOKUP(BD$1,main!$A$3:$H$102,5,FALSE)-VLOOKUP($A76,main!$A$3:$H$102,6,FALSE)&gt;=main!$D$103+VLOOKUP(VLOOKUP(BD$1,main!$A$3:$I$102,7,FALSE),main!$K$26:$Q$29,3,FALSE),1,0)</f>
        <v>0</v>
      </c>
      <c r="BE76">
        <f>IF(VLOOKUP(BE$1,main!$A$3:$H$102,5,FALSE)-VLOOKUP($A76,main!$A$3:$H$102,6,FALSE)&gt;=main!$D$103+VLOOKUP(VLOOKUP(BE$1,main!$A$3:$I$102,7,FALSE),main!$K$26:$Q$29,3,FALSE),1,0)</f>
        <v>1</v>
      </c>
      <c r="BF76">
        <f>IF(VLOOKUP(BF$1,main!$A$3:$H$102,5,FALSE)-VLOOKUP($A76,main!$A$3:$H$102,6,FALSE)&gt;=main!$D$103+VLOOKUP(VLOOKUP(BF$1,main!$A$3:$I$102,7,FALSE),main!$K$26:$Q$29,3,FALSE),1,0)</f>
        <v>0</v>
      </c>
      <c r="BG76">
        <f>IF(VLOOKUP(BG$1,main!$A$3:$H$102,5,FALSE)-VLOOKUP($A76,main!$A$3:$H$102,6,FALSE)&gt;=main!$D$103+VLOOKUP(VLOOKUP(BG$1,main!$A$3:$I$102,7,FALSE),main!$K$26:$Q$29,3,FALSE),1,0)</f>
        <v>0</v>
      </c>
      <c r="BH76">
        <f>IF(VLOOKUP(BH$1,main!$A$3:$H$102,5,FALSE)-VLOOKUP($A76,main!$A$3:$H$102,6,FALSE)&gt;=main!$D$103+VLOOKUP(VLOOKUP(BH$1,main!$A$3:$I$102,7,FALSE),main!$K$26:$Q$29,3,FALSE),1,0)</f>
        <v>0</v>
      </c>
      <c r="BI76">
        <f>IF(VLOOKUP(BI$1,main!$A$3:$H$102,5,FALSE)-VLOOKUP($A76,main!$A$3:$H$102,6,FALSE)&gt;=main!$D$103+VLOOKUP(VLOOKUP(BI$1,main!$A$3:$I$102,7,FALSE),main!$K$26:$Q$29,3,FALSE),1,0)</f>
        <v>1</v>
      </c>
      <c r="BJ76">
        <f>IF(VLOOKUP(BJ$1,main!$A$3:$H$102,5,FALSE)-VLOOKUP($A76,main!$A$3:$H$102,6,FALSE)&gt;=main!$D$103+VLOOKUP(VLOOKUP(BJ$1,main!$A$3:$I$102,7,FALSE),main!$K$26:$Q$29,3,FALSE),1,0)</f>
        <v>1</v>
      </c>
      <c r="BK76">
        <f>IF(VLOOKUP(BK$1,main!$A$3:$H$102,5,FALSE)-VLOOKUP($A76,main!$A$3:$H$102,6,FALSE)&gt;=main!$D$103+VLOOKUP(VLOOKUP(BK$1,main!$A$3:$I$102,7,FALSE),main!$K$26:$Q$29,3,FALSE),1,0)</f>
        <v>0</v>
      </c>
      <c r="BL76">
        <f>IF(VLOOKUP(BL$1,main!$A$3:$H$102,5,FALSE)-VLOOKUP($A76,main!$A$3:$H$102,6,FALSE)&gt;=main!$D$103+VLOOKUP(VLOOKUP(BL$1,main!$A$3:$I$102,7,FALSE),main!$K$26:$Q$29,3,FALSE),1,0)</f>
        <v>0</v>
      </c>
      <c r="BM76">
        <f>IF(VLOOKUP(BM$1,main!$A$3:$H$102,5,FALSE)-VLOOKUP($A76,main!$A$3:$H$102,6,FALSE)&gt;=main!$D$103+VLOOKUP(VLOOKUP(BM$1,main!$A$3:$I$102,7,FALSE),main!$K$26:$Q$29,3,FALSE),1,0)</f>
        <v>0</v>
      </c>
      <c r="BN76">
        <f>IF(VLOOKUP(BN$1,main!$A$3:$H$102,5,FALSE)-VLOOKUP($A76,main!$A$3:$H$102,6,FALSE)&gt;=main!$D$103+VLOOKUP(VLOOKUP(BN$1,main!$A$3:$I$102,7,FALSE),main!$K$26:$Q$29,3,FALSE),1,0)</f>
        <v>0</v>
      </c>
      <c r="BO76">
        <f>IF(VLOOKUP(BO$1,main!$A$3:$H$102,5,FALSE)-VLOOKUP($A76,main!$A$3:$H$102,6,FALSE)&gt;=main!$D$103+VLOOKUP(VLOOKUP(BO$1,main!$A$3:$I$102,7,FALSE),main!$K$26:$Q$29,3,FALSE),1,0)</f>
        <v>0</v>
      </c>
      <c r="BP76">
        <f>IF(VLOOKUP(BP$1,main!$A$3:$H$102,5,FALSE)-VLOOKUP($A76,main!$A$3:$H$102,6,FALSE)&gt;=main!$D$103+VLOOKUP(VLOOKUP(BP$1,main!$A$3:$I$102,7,FALSE),main!$K$26:$Q$29,3,FALSE),1,0)</f>
        <v>0</v>
      </c>
      <c r="BQ76">
        <f>IF(VLOOKUP(BQ$1,main!$A$3:$H$102,5,FALSE)-VLOOKUP($A76,main!$A$3:$H$102,6,FALSE)&gt;=main!$D$103+VLOOKUP(VLOOKUP(BQ$1,main!$A$3:$I$102,7,FALSE),main!$K$26:$Q$29,3,FALSE),1,0)</f>
        <v>0</v>
      </c>
      <c r="BR76">
        <f>IF(VLOOKUP(BR$1,main!$A$3:$H$102,5,FALSE)-VLOOKUP($A76,main!$A$3:$H$102,6,FALSE)&gt;=main!$D$103+VLOOKUP(VLOOKUP(BR$1,main!$A$3:$I$102,7,FALSE),main!$K$26:$Q$29,3,FALSE),1,0)</f>
        <v>0</v>
      </c>
      <c r="BS76">
        <f>IF(VLOOKUP(BS$1,main!$A$3:$H$102,5,FALSE)-VLOOKUP($A76,main!$A$3:$H$102,6,FALSE)&gt;=main!$D$103+VLOOKUP(VLOOKUP(BS$1,main!$A$3:$I$102,7,FALSE),main!$K$26:$Q$29,3,FALSE),1,0)</f>
        <v>0</v>
      </c>
      <c r="BT76">
        <f>IF(VLOOKUP(BT$1,main!$A$3:$H$102,5,FALSE)-VLOOKUP($A76,main!$A$3:$H$102,6,FALSE)&gt;=main!$D$103+VLOOKUP(VLOOKUP(BT$1,main!$A$3:$I$102,7,FALSE),main!$K$26:$Q$29,3,FALSE),1,0)</f>
        <v>0</v>
      </c>
      <c r="BU76">
        <f>IF(VLOOKUP(BU$1,main!$A$3:$H$102,5,FALSE)-VLOOKUP($A76,main!$A$3:$H$102,6,FALSE)&gt;=main!$D$103+VLOOKUP(VLOOKUP(BU$1,main!$A$3:$I$102,7,FALSE),main!$K$26:$Q$29,3,FALSE),1,0)</f>
        <v>0</v>
      </c>
      <c r="BV76">
        <f>IF(VLOOKUP(BV$1,main!$A$3:$H$102,5,FALSE)-VLOOKUP($A76,main!$A$3:$H$102,6,FALSE)&gt;=main!$D$103+VLOOKUP(VLOOKUP(BV$1,main!$A$3:$I$102,7,FALSE),main!$K$26:$Q$29,3,FALSE),1,0)</f>
        <v>0</v>
      </c>
      <c r="BW76">
        <f>IF(VLOOKUP(BW$1,main!$A$3:$H$102,5,FALSE)-VLOOKUP($A76,main!$A$3:$H$102,6,FALSE)&gt;=main!$D$103+VLOOKUP(VLOOKUP(BW$1,main!$A$3:$I$102,7,FALSE),main!$K$26:$Q$29,3,FALSE),1,0)</f>
        <v>0</v>
      </c>
      <c r="BX76">
        <f>IF(VLOOKUP(BX$1,main!$A$3:$H$102,5,FALSE)-VLOOKUP($A76,main!$A$3:$H$102,6,FALSE)&gt;=main!$D$103+VLOOKUP(VLOOKUP(BX$1,main!$A$3:$I$102,7,FALSE),main!$K$26:$Q$29,3,FALSE),1,0)</f>
        <v>0</v>
      </c>
      <c r="BY76">
        <f>IF(VLOOKUP(BY$1,main!$A$3:$H$102,5,FALSE)-VLOOKUP($A76,main!$A$3:$H$102,6,FALSE)&gt;=main!$D$103+VLOOKUP(VLOOKUP(BY$1,main!$A$3:$I$102,7,FALSE),main!$K$26:$Q$29,3,FALSE),1,0)</f>
        <v>0</v>
      </c>
      <c r="BZ76">
        <f>IF(VLOOKUP(BZ$1,main!$A$3:$H$102,5,FALSE)-VLOOKUP($A76,main!$A$3:$H$102,6,FALSE)&gt;=main!$D$103+VLOOKUP(VLOOKUP(BZ$1,main!$A$3:$I$102,7,FALSE),main!$K$26:$Q$29,3,FALSE),1,0)</f>
        <v>0</v>
      </c>
      <c r="CA76">
        <f>IF(VLOOKUP(CA$1,main!$A$3:$H$102,5,FALSE)-VLOOKUP($A76,main!$A$3:$H$102,6,FALSE)&gt;=main!$D$103+VLOOKUP(VLOOKUP(CA$1,main!$A$3:$I$102,7,FALSE),main!$K$26:$Q$29,3,FALSE),1,0)</f>
        <v>0</v>
      </c>
      <c r="CB76">
        <f>IF(VLOOKUP(CB$1,main!$A$3:$H$102,5,FALSE)-VLOOKUP($A76,main!$A$3:$H$102,6,FALSE)&gt;=main!$D$103+VLOOKUP(VLOOKUP(CB$1,main!$A$3:$I$102,7,FALSE),main!$K$26:$Q$29,3,FALSE),1,0)</f>
        <v>0</v>
      </c>
      <c r="CC76">
        <f>IF(VLOOKUP(CC$1,main!$A$3:$H$102,5,FALSE)-VLOOKUP($A76,main!$A$3:$H$102,6,FALSE)&gt;=main!$D$103+VLOOKUP(VLOOKUP(CC$1,main!$A$3:$I$102,7,FALSE),main!$K$26:$Q$29,3,FALSE),1,0)</f>
        <v>1</v>
      </c>
      <c r="CD76">
        <f>IF(VLOOKUP(CD$1,main!$A$3:$H$102,5,FALSE)-VLOOKUP($A76,main!$A$3:$H$102,6,FALSE)&gt;=main!$D$103+VLOOKUP(VLOOKUP(CD$1,main!$A$3:$I$102,7,FALSE),main!$K$26:$Q$29,3,FALSE),1,0)</f>
        <v>0</v>
      </c>
      <c r="CE76">
        <f>IF(VLOOKUP(CE$1,main!$A$3:$H$102,5,FALSE)-VLOOKUP($A76,main!$A$3:$H$102,6,FALSE)&gt;=main!$D$103+VLOOKUP(VLOOKUP(CE$1,main!$A$3:$I$102,7,FALSE),main!$K$26:$Q$29,3,FALSE),1,0)</f>
        <v>0</v>
      </c>
      <c r="CF76">
        <f>IF(VLOOKUP(CF$1,main!$A$3:$H$102,5,FALSE)-VLOOKUP($A76,main!$A$3:$H$102,6,FALSE)&gt;=main!$D$103+VLOOKUP(VLOOKUP(CF$1,main!$A$3:$I$102,7,FALSE),main!$K$26:$Q$29,3,FALSE),1,0)</f>
        <v>0</v>
      </c>
      <c r="CG76">
        <f>IF(VLOOKUP(CG$1,main!$A$3:$H$102,5,FALSE)-VLOOKUP($A76,main!$A$3:$H$102,6,FALSE)&gt;=main!$D$103+VLOOKUP(VLOOKUP(CG$1,main!$A$3:$I$102,7,FALSE),main!$K$26:$Q$29,3,FALSE),1,0)</f>
        <v>0</v>
      </c>
      <c r="CH76">
        <f>IF(VLOOKUP(CH$1,main!$A$3:$H$102,5,FALSE)-VLOOKUP($A76,main!$A$3:$H$102,6,FALSE)&gt;=main!$D$103+VLOOKUP(VLOOKUP(CH$1,main!$A$3:$I$102,7,FALSE),main!$K$26:$Q$29,3,FALSE),1,0)</f>
        <v>1</v>
      </c>
      <c r="CI76">
        <f>IF(VLOOKUP(CI$1,main!$A$3:$H$102,5,FALSE)-VLOOKUP($A76,main!$A$3:$H$102,6,FALSE)&gt;=main!$D$103+VLOOKUP(VLOOKUP(CI$1,main!$A$3:$I$102,7,FALSE),main!$K$26:$Q$29,3,FALSE),1,0)</f>
        <v>1</v>
      </c>
      <c r="CJ76">
        <f>IF(VLOOKUP(CJ$1,main!$A$3:$H$102,5,FALSE)-VLOOKUP($A76,main!$A$3:$H$102,6,FALSE)&gt;=main!$D$103+VLOOKUP(VLOOKUP(CJ$1,main!$A$3:$I$102,7,FALSE),main!$K$26:$Q$29,3,FALSE),1,0)</f>
        <v>0</v>
      </c>
      <c r="CK76">
        <f>IF(VLOOKUP(CK$1,main!$A$3:$H$102,5,FALSE)-VLOOKUP($A76,main!$A$3:$H$102,6,FALSE)&gt;=main!$D$103+VLOOKUP(VLOOKUP(CK$1,main!$A$3:$I$102,7,FALSE),main!$K$26:$Q$29,3,FALSE),1,0)</f>
        <v>0</v>
      </c>
      <c r="CL76">
        <f>IF(VLOOKUP(CL$1,main!$A$3:$H$102,5,FALSE)-VLOOKUP($A76,main!$A$3:$H$102,6,FALSE)&gt;=main!$D$103+VLOOKUP(VLOOKUP(CL$1,main!$A$3:$I$102,7,FALSE),main!$K$26:$Q$29,3,FALSE),1,0)</f>
        <v>0</v>
      </c>
      <c r="CM76">
        <f>IF(VLOOKUP(CM$1,main!$A$3:$H$102,5,FALSE)-VLOOKUP($A76,main!$A$3:$H$102,6,FALSE)&gt;=main!$D$103+VLOOKUP(VLOOKUP(CM$1,main!$A$3:$I$102,7,FALSE),main!$K$26:$Q$29,3,FALSE),1,0)</f>
        <v>0</v>
      </c>
      <c r="CN76">
        <f>IF(VLOOKUP(CN$1,main!$A$3:$H$102,5,FALSE)-VLOOKUP($A76,main!$A$3:$H$102,6,FALSE)&gt;=main!$D$103+VLOOKUP(VLOOKUP(CN$1,main!$A$3:$I$102,7,FALSE),main!$K$26:$Q$29,3,FALSE),1,0)</f>
        <v>1</v>
      </c>
      <c r="CO76">
        <f>IF(VLOOKUP(CO$1,main!$A$3:$H$102,5,FALSE)-VLOOKUP($A76,main!$A$3:$H$102,6,FALSE)&gt;=main!$D$103+VLOOKUP(VLOOKUP(CO$1,main!$A$3:$I$102,7,FALSE),main!$K$26:$Q$29,3,FALSE),1,0)</f>
        <v>0</v>
      </c>
      <c r="CP76">
        <f>IF(VLOOKUP(CP$1,main!$A$3:$H$102,5,FALSE)-VLOOKUP($A76,main!$A$3:$H$102,6,FALSE)&gt;=main!$D$103+VLOOKUP(VLOOKUP(CP$1,main!$A$3:$I$102,7,FALSE),main!$K$26:$Q$29,3,FALSE),1,0)</f>
        <v>0</v>
      </c>
      <c r="CQ76">
        <f>IF(VLOOKUP(CQ$1,main!$A$3:$H$102,5,FALSE)-VLOOKUP($A76,main!$A$3:$H$102,6,FALSE)&gt;=main!$D$103+VLOOKUP(VLOOKUP(CQ$1,main!$A$3:$I$102,7,FALSE),main!$K$26:$Q$29,3,FALSE),1,0)</f>
        <v>0</v>
      </c>
      <c r="CR76">
        <f>IF(VLOOKUP(CR$1,main!$A$3:$H$102,5,FALSE)-VLOOKUP($A76,main!$A$3:$H$102,6,FALSE)&gt;=main!$D$103+VLOOKUP(VLOOKUP(CR$1,main!$A$3:$I$102,7,FALSE),main!$K$26:$Q$29,3,FALSE),1,0)</f>
        <v>0</v>
      </c>
      <c r="CS76">
        <f>IF(VLOOKUP(CS$1,main!$A$3:$H$102,5,FALSE)-VLOOKUP($A76,main!$A$3:$H$102,6,FALSE)&gt;=main!$D$103+VLOOKUP(VLOOKUP(CS$1,main!$A$3:$I$102,7,FALSE),main!$K$26:$Q$29,3,FALSE),1,0)</f>
        <v>0</v>
      </c>
      <c r="CT76">
        <f>IF(VLOOKUP(CT$1,main!$A$3:$H$102,5,FALSE)-VLOOKUP($A76,main!$A$3:$H$102,6,FALSE)&gt;=main!$D$103+VLOOKUP(VLOOKUP(CT$1,main!$A$3:$I$102,7,FALSE),main!$K$26:$Q$29,3,FALSE),1,0)</f>
        <v>0</v>
      </c>
      <c r="CU76">
        <f>IF(VLOOKUP(CU$1,main!$A$3:$H$102,5,FALSE)-VLOOKUP($A76,main!$A$3:$H$102,6,FALSE)&gt;=main!$D$103+VLOOKUP(VLOOKUP(CU$1,main!$A$3:$I$102,7,FALSE),main!$K$26:$Q$29,3,FALSE),1,0)</f>
        <v>0</v>
      </c>
      <c r="CV76">
        <f>IF(VLOOKUP(CV$1,main!$A$3:$H$102,5,FALSE)-VLOOKUP($A76,main!$A$3:$H$102,6,FALSE)&gt;=main!$D$103+VLOOKUP(VLOOKUP(CV$1,main!$A$3:$I$102,7,FALSE),main!$K$26:$Q$29,3,FALSE),1,0)</f>
        <v>0</v>
      </c>
      <c r="CW76">
        <f>IF(VLOOKUP(CW$1,main!$A$3:$H$102,5,FALSE)-VLOOKUP($A76,main!$A$3:$H$102,6,FALSE)&gt;=main!$D$103+VLOOKUP(VLOOKUP(CW$1,main!$A$3:$I$102,7,FALSE),main!$K$26:$Q$29,3,FALSE),1,0)</f>
        <v>0</v>
      </c>
      <c r="CX76">
        <f>IF(VLOOKUP(CX$1,main!$A$3:$H$102,5,FALSE)-VLOOKUP($A76,main!$A$3:$H$102,6,FALSE)&gt;=main!$D$103+VLOOKUP(VLOOKUP(CX$1,main!$A$3:$I$102,7,FALSE),main!$K$26:$Q$29,3,FALSE),1,0)</f>
        <v>1</v>
      </c>
    </row>
    <row r="77" spans="1:102" x14ac:dyDescent="0.25">
      <c r="A77" s="1">
        <v>75</v>
      </c>
      <c r="B77">
        <v>0</v>
      </c>
      <c r="C77">
        <f>IF(VLOOKUP(C$1,main!$A$3:$H$102,5,FALSE)-VLOOKUP($A77,main!$A$3:$H$102,6,FALSE)&gt;=main!$D$103+VLOOKUP(VLOOKUP(C$1,main!$A$3:$I$102,7,FALSE),main!$K$26:$Q$29,3,FALSE),1,0)</f>
        <v>0</v>
      </c>
      <c r="D77">
        <f>IF(VLOOKUP(D$1,main!$A$3:$H$102,5,FALSE)-VLOOKUP($A77,main!$A$3:$H$102,6,FALSE)&gt;=main!$D$103+VLOOKUP(VLOOKUP(D$1,main!$A$3:$I$102,7,FALSE),main!$K$26:$Q$29,3,FALSE),1,0)</f>
        <v>0</v>
      </c>
      <c r="E77">
        <f>IF(VLOOKUP(E$1,main!$A$3:$H$102,5,FALSE)-VLOOKUP($A77,main!$A$3:$H$102,6,FALSE)&gt;=main!$D$103+VLOOKUP(VLOOKUP(E$1,main!$A$3:$I$102,7,FALSE),main!$K$26:$Q$29,3,FALSE),1,0)</f>
        <v>0</v>
      </c>
      <c r="F77">
        <f>IF(VLOOKUP(F$1,main!$A$3:$H$102,5,FALSE)-VLOOKUP($A77,main!$A$3:$H$102,6,FALSE)&gt;=main!$D$103+VLOOKUP(VLOOKUP(F$1,main!$A$3:$I$102,7,FALSE),main!$K$26:$Q$29,3,FALSE),1,0)</f>
        <v>0</v>
      </c>
      <c r="G77">
        <f>IF(VLOOKUP(G$1,main!$A$3:$H$102,5,FALSE)-VLOOKUP($A77,main!$A$3:$H$102,6,FALSE)&gt;=main!$D$103+VLOOKUP(VLOOKUP(G$1,main!$A$3:$I$102,7,FALSE),main!$K$26:$Q$29,3,FALSE),1,0)</f>
        <v>0</v>
      </c>
      <c r="H77">
        <f>IF(VLOOKUP(H$1,main!$A$3:$H$102,5,FALSE)-VLOOKUP($A77,main!$A$3:$H$102,6,FALSE)&gt;=main!$D$103+VLOOKUP(VLOOKUP(H$1,main!$A$3:$I$102,7,FALSE),main!$K$26:$Q$29,3,FALSE),1,0)</f>
        <v>0</v>
      </c>
      <c r="I77">
        <f>IF(VLOOKUP(I$1,main!$A$3:$H$102,5,FALSE)-VLOOKUP($A77,main!$A$3:$H$102,6,FALSE)&gt;=main!$D$103+VLOOKUP(VLOOKUP(I$1,main!$A$3:$I$102,7,FALSE),main!$K$26:$Q$29,3,FALSE),1,0)</f>
        <v>0</v>
      </c>
      <c r="J77">
        <f>IF(VLOOKUP(J$1,main!$A$3:$H$102,5,FALSE)-VLOOKUP($A77,main!$A$3:$H$102,6,FALSE)&gt;=main!$D$103+VLOOKUP(VLOOKUP(J$1,main!$A$3:$I$102,7,FALSE),main!$K$26:$Q$29,3,FALSE),1,0)</f>
        <v>0</v>
      </c>
      <c r="K77">
        <f>IF(VLOOKUP(K$1,main!$A$3:$H$102,5,FALSE)-VLOOKUP($A77,main!$A$3:$H$102,6,FALSE)&gt;=main!$D$103+VLOOKUP(VLOOKUP(K$1,main!$A$3:$I$102,7,FALSE),main!$K$26:$Q$29,3,FALSE),1,0)</f>
        <v>1</v>
      </c>
      <c r="L77">
        <f>IF(VLOOKUP(L$1,main!$A$3:$H$102,5,FALSE)-VLOOKUP($A77,main!$A$3:$H$102,6,FALSE)&gt;=main!$D$103+VLOOKUP(VLOOKUP(L$1,main!$A$3:$I$102,7,FALSE),main!$K$26:$Q$29,3,FALSE),1,0)</f>
        <v>1</v>
      </c>
      <c r="M77">
        <f>IF(VLOOKUP(M$1,main!$A$3:$H$102,5,FALSE)-VLOOKUP($A77,main!$A$3:$H$102,6,FALSE)&gt;=main!$D$103+VLOOKUP(VLOOKUP(M$1,main!$A$3:$I$102,7,FALSE),main!$K$26:$Q$29,3,FALSE),1,0)</f>
        <v>0</v>
      </c>
      <c r="N77">
        <f>IF(VLOOKUP(N$1,main!$A$3:$H$102,5,FALSE)-VLOOKUP($A77,main!$A$3:$H$102,6,FALSE)&gt;=main!$D$103+VLOOKUP(VLOOKUP(N$1,main!$A$3:$I$102,7,FALSE),main!$K$26:$Q$29,3,FALSE),1,0)</f>
        <v>0</v>
      </c>
      <c r="O77">
        <f>IF(VLOOKUP(O$1,main!$A$3:$H$102,5,FALSE)-VLOOKUP($A77,main!$A$3:$H$102,6,FALSE)&gt;=main!$D$103+VLOOKUP(VLOOKUP(O$1,main!$A$3:$I$102,7,FALSE),main!$K$26:$Q$29,3,FALSE),1,0)</f>
        <v>0</v>
      </c>
      <c r="P77">
        <f>IF(VLOOKUP(P$1,main!$A$3:$H$102,5,FALSE)-VLOOKUP($A77,main!$A$3:$H$102,6,FALSE)&gt;=main!$D$103+VLOOKUP(VLOOKUP(P$1,main!$A$3:$I$102,7,FALSE),main!$K$26:$Q$29,3,FALSE),1,0)</f>
        <v>0</v>
      </c>
      <c r="Q77">
        <f>IF(VLOOKUP(Q$1,main!$A$3:$H$102,5,FALSE)-VLOOKUP($A77,main!$A$3:$H$102,6,FALSE)&gt;=main!$D$103+VLOOKUP(VLOOKUP(Q$1,main!$A$3:$I$102,7,FALSE),main!$K$26:$Q$29,3,FALSE),1,0)</f>
        <v>0</v>
      </c>
      <c r="R77">
        <f>IF(VLOOKUP(R$1,main!$A$3:$H$102,5,FALSE)-VLOOKUP($A77,main!$A$3:$H$102,6,FALSE)&gt;=main!$D$103+VLOOKUP(VLOOKUP(R$1,main!$A$3:$I$102,7,FALSE),main!$K$26:$Q$29,3,FALSE),1,0)</f>
        <v>0</v>
      </c>
      <c r="S77">
        <f>IF(VLOOKUP(S$1,main!$A$3:$H$102,5,FALSE)-VLOOKUP($A77,main!$A$3:$H$102,6,FALSE)&gt;=main!$D$103+VLOOKUP(VLOOKUP(S$1,main!$A$3:$I$102,7,FALSE),main!$K$26:$Q$29,3,FALSE),1,0)</f>
        <v>0</v>
      </c>
      <c r="T77">
        <f>IF(VLOOKUP(T$1,main!$A$3:$H$102,5,FALSE)-VLOOKUP($A77,main!$A$3:$H$102,6,FALSE)&gt;=main!$D$103+VLOOKUP(VLOOKUP(T$1,main!$A$3:$I$102,7,FALSE),main!$K$26:$Q$29,3,FALSE),1,0)</f>
        <v>0</v>
      </c>
      <c r="U77">
        <f>IF(VLOOKUP(U$1,main!$A$3:$H$102,5,FALSE)-VLOOKUP($A77,main!$A$3:$H$102,6,FALSE)&gt;=main!$D$103+VLOOKUP(VLOOKUP(U$1,main!$A$3:$I$102,7,FALSE),main!$K$26:$Q$29,3,FALSE),1,0)</f>
        <v>1</v>
      </c>
      <c r="V77">
        <f>IF(VLOOKUP(V$1,main!$A$3:$H$102,5,FALSE)-VLOOKUP($A77,main!$A$3:$H$102,6,FALSE)&gt;=main!$D$103+VLOOKUP(VLOOKUP(V$1,main!$A$3:$I$102,7,FALSE),main!$K$26:$Q$29,3,FALSE),1,0)</f>
        <v>1</v>
      </c>
      <c r="W77">
        <f>IF(VLOOKUP(W$1,main!$A$3:$H$102,5,FALSE)-VLOOKUP($A77,main!$A$3:$H$102,6,FALSE)&gt;=main!$D$103+VLOOKUP(VLOOKUP(W$1,main!$A$3:$I$102,7,FALSE),main!$K$26:$Q$29,3,FALSE),1,0)</f>
        <v>0</v>
      </c>
      <c r="X77">
        <f>IF(VLOOKUP(X$1,main!$A$3:$H$102,5,FALSE)-VLOOKUP($A77,main!$A$3:$H$102,6,FALSE)&gt;=main!$D$103+VLOOKUP(VLOOKUP(X$1,main!$A$3:$I$102,7,FALSE),main!$K$26:$Q$29,3,FALSE),1,0)</f>
        <v>0</v>
      </c>
      <c r="Y77">
        <f>IF(VLOOKUP(Y$1,main!$A$3:$H$102,5,FALSE)-VLOOKUP($A77,main!$A$3:$H$102,6,FALSE)&gt;=main!$D$103+VLOOKUP(VLOOKUP(Y$1,main!$A$3:$I$102,7,FALSE),main!$K$26:$Q$29,3,FALSE),1,0)</f>
        <v>0</v>
      </c>
      <c r="Z77">
        <f>IF(VLOOKUP(Z$1,main!$A$3:$H$102,5,FALSE)-VLOOKUP($A77,main!$A$3:$H$102,6,FALSE)&gt;=main!$D$103+VLOOKUP(VLOOKUP(Z$1,main!$A$3:$I$102,7,FALSE),main!$K$26:$Q$29,3,FALSE),1,0)</f>
        <v>0</v>
      </c>
      <c r="AA77">
        <f>IF(VLOOKUP(AA$1,main!$A$3:$H$102,5,FALSE)-VLOOKUP($A77,main!$A$3:$H$102,6,FALSE)&gt;=main!$D$103+VLOOKUP(VLOOKUP(AA$1,main!$A$3:$I$102,7,FALSE),main!$K$26:$Q$29,3,FALSE),1,0)</f>
        <v>1</v>
      </c>
      <c r="AB77">
        <f>IF(VLOOKUP(AB$1,main!$A$3:$H$102,5,FALSE)-VLOOKUP($A77,main!$A$3:$H$102,6,FALSE)&gt;=main!$D$103+VLOOKUP(VLOOKUP(AB$1,main!$A$3:$I$102,7,FALSE),main!$K$26:$Q$29,3,FALSE),1,0)</f>
        <v>0</v>
      </c>
      <c r="AC77">
        <f>IF(VLOOKUP(AC$1,main!$A$3:$H$102,5,FALSE)-VLOOKUP($A77,main!$A$3:$H$102,6,FALSE)&gt;=main!$D$103+VLOOKUP(VLOOKUP(AC$1,main!$A$3:$I$102,7,FALSE),main!$K$26:$Q$29,3,FALSE),1,0)</f>
        <v>0</v>
      </c>
      <c r="AD77">
        <f>IF(VLOOKUP(AD$1,main!$A$3:$H$102,5,FALSE)-VLOOKUP($A77,main!$A$3:$H$102,6,FALSE)&gt;=main!$D$103+VLOOKUP(VLOOKUP(AD$1,main!$A$3:$I$102,7,FALSE),main!$K$26:$Q$29,3,FALSE),1,0)</f>
        <v>0</v>
      </c>
      <c r="AE77">
        <f>IF(VLOOKUP(AE$1,main!$A$3:$H$102,5,FALSE)-VLOOKUP($A77,main!$A$3:$H$102,6,FALSE)&gt;=main!$D$103+VLOOKUP(VLOOKUP(AE$1,main!$A$3:$I$102,7,FALSE),main!$K$26:$Q$29,3,FALSE),1,0)</f>
        <v>0</v>
      </c>
      <c r="AF77">
        <f>IF(VLOOKUP(AF$1,main!$A$3:$H$102,5,FALSE)-VLOOKUP($A77,main!$A$3:$H$102,6,FALSE)&gt;=main!$D$103+VLOOKUP(VLOOKUP(AF$1,main!$A$3:$I$102,7,FALSE),main!$K$26:$Q$29,3,FALSE),1,0)</f>
        <v>1</v>
      </c>
      <c r="AG77">
        <f>IF(VLOOKUP(AG$1,main!$A$3:$H$102,5,FALSE)-VLOOKUP($A77,main!$A$3:$H$102,6,FALSE)&gt;=main!$D$103+VLOOKUP(VLOOKUP(AG$1,main!$A$3:$I$102,7,FALSE),main!$K$26:$Q$29,3,FALSE),1,0)</f>
        <v>0</v>
      </c>
      <c r="AH77">
        <f>IF(VLOOKUP(AH$1,main!$A$3:$H$102,5,FALSE)-VLOOKUP($A77,main!$A$3:$H$102,6,FALSE)&gt;=main!$D$103+VLOOKUP(VLOOKUP(AH$1,main!$A$3:$I$102,7,FALSE),main!$K$26:$Q$29,3,FALSE),1,0)</f>
        <v>0</v>
      </c>
      <c r="AI77">
        <f>IF(VLOOKUP(AI$1,main!$A$3:$H$102,5,FALSE)-VLOOKUP($A77,main!$A$3:$H$102,6,FALSE)&gt;=main!$D$103+VLOOKUP(VLOOKUP(AI$1,main!$A$3:$I$102,7,FALSE),main!$K$26:$Q$29,3,FALSE),1,0)</f>
        <v>0</v>
      </c>
      <c r="AJ77">
        <f>IF(VLOOKUP(AJ$1,main!$A$3:$H$102,5,FALSE)-VLOOKUP($A77,main!$A$3:$H$102,6,FALSE)&gt;=main!$D$103+VLOOKUP(VLOOKUP(AJ$1,main!$A$3:$I$102,7,FALSE),main!$K$26:$Q$29,3,FALSE),1,0)</f>
        <v>0</v>
      </c>
      <c r="AK77">
        <f>IF(VLOOKUP(AK$1,main!$A$3:$H$102,5,FALSE)-VLOOKUP($A77,main!$A$3:$H$102,6,FALSE)&gt;=main!$D$103+VLOOKUP(VLOOKUP(AK$1,main!$A$3:$I$102,7,FALSE),main!$K$26:$Q$29,3,FALSE),1,0)</f>
        <v>0</v>
      </c>
      <c r="AL77">
        <f>IF(VLOOKUP(AL$1,main!$A$3:$H$102,5,FALSE)-VLOOKUP($A77,main!$A$3:$H$102,6,FALSE)&gt;=main!$D$103+VLOOKUP(VLOOKUP(AL$1,main!$A$3:$I$102,7,FALSE),main!$K$26:$Q$29,3,FALSE),1,0)</f>
        <v>0</v>
      </c>
      <c r="AM77">
        <f>IF(VLOOKUP(AM$1,main!$A$3:$H$102,5,FALSE)-VLOOKUP($A77,main!$A$3:$H$102,6,FALSE)&gt;=main!$D$103+VLOOKUP(VLOOKUP(AM$1,main!$A$3:$I$102,7,FALSE),main!$K$26:$Q$29,3,FALSE),1,0)</f>
        <v>1</v>
      </c>
      <c r="AN77">
        <f>IF(VLOOKUP(AN$1,main!$A$3:$H$102,5,FALSE)-VLOOKUP($A77,main!$A$3:$H$102,6,FALSE)&gt;=main!$D$103+VLOOKUP(VLOOKUP(AN$1,main!$A$3:$I$102,7,FALSE),main!$K$26:$Q$29,3,FALSE),1,0)</f>
        <v>1</v>
      </c>
      <c r="AO77">
        <f>IF(VLOOKUP(AO$1,main!$A$3:$H$102,5,FALSE)-VLOOKUP($A77,main!$A$3:$H$102,6,FALSE)&gt;=main!$D$103+VLOOKUP(VLOOKUP(AO$1,main!$A$3:$I$102,7,FALSE),main!$K$26:$Q$29,3,FALSE),1,0)</f>
        <v>0</v>
      </c>
      <c r="AP77">
        <f>IF(VLOOKUP(AP$1,main!$A$3:$H$102,5,FALSE)-VLOOKUP($A77,main!$A$3:$H$102,6,FALSE)&gt;=main!$D$103+VLOOKUP(VLOOKUP(AP$1,main!$A$3:$I$102,7,FALSE),main!$K$26:$Q$29,3,FALSE),1,0)</f>
        <v>1</v>
      </c>
      <c r="AQ77">
        <f>IF(VLOOKUP(AQ$1,main!$A$3:$H$102,5,FALSE)-VLOOKUP($A77,main!$A$3:$H$102,6,FALSE)&gt;=main!$D$103+VLOOKUP(VLOOKUP(AQ$1,main!$A$3:$I$102,7,FALSE),main!$K$26:$Q$29,3,FALSE),1,0)</f>
        <v>0</v>
      </c>
      <c r="AR77">
        <f>IF(VLOOKUP(AR$1,main!$A$3:$H$102,5,FALSE)-VLOOKUP($A77,main!$A$3:$H$102,6,FALSE)&gt;=main!$D$103+VLOOKUP(VLOOKUP(AR$1,main!$A$3:$I$102,7,FALSE),main!$K$26:$Q$29,3,FALSE),1,0)</f>
        <v>0</v>
      </c>
      <c r="AS77">
        <f>IF(VLOOKUP(AS$1,main!$A$3:$H$102,5,FALSE)-VLOOKUP($A77,main!$A$3:$H$102,6,FALSE)&gt;=main!$D$103+VLOOKUP(VLOOKUP(AS$1,main!$A$3:$I$102,7,FALSE),main!$K$26:$Q$29,3,FALSE),1,0)</f>
        <v>0</v>
      </c>
      <c r="AT77">
        <f>IF(VLOOKUP(AT$1,main!$A$3:$H$102,5,FALSE)-VLOOKUP($A77,main!$A$3:$H$102,6,FALSE)&gt;=main!$D$103+VLOOKUP(VLOOKUP(AT$1,main!$A$3:$I$102,7,FALSE),main!$K$26:$Q$29,3,FALSE),1,0)</f>
        <v>0</v>
      </c>
      <c r="AU77">
        <f>IF(VLOOKUP(AU$1,main!$A$3:$H$102,5,FALSE)-VLOOKUP($A77,main!$A$3:$H$102,6,FALSE)&gt;=main!$D$103+VLOOKUP(VLOOKUP(AU$1,main!$A$3:$I$102,7,FALSE),main!$K$26:$Q$29,3,FALSE),1,0)</f>
        <v>0</v>
      </c>
      <c r="AV77">
        <f>IF(VLOOKUP(AV$1,main!$A$3:$H$102,5,FALSE)-VLOOKUP($A77,main!$A$3:$H$102,6,FALSE)&gt;=main!$D$103+VLOOKUP(VLOOKUP(AV$1,main!$A$3:$I$102,7,FALSE),main!$K$26:$Q$29,3,FALSE),1,0)</f>
        <v>0</v>
      </c>
      <c r="AW77">
        <f>IF(VLOOKUP(AW$1,main!$A$3:$H$102,5,FALSE)-VLOOKUP($A77,main!$A$3:$H$102,6,FALSE)&gt;=main!$D$103+VLOOKUP(VLOOKUP(AW$1,main!$A$3:$I$102,7,FALSE),main!$K$26:$Q$29,3,FALSE),1,0)</f>
        <v>0</v>
      </c>
      <c r="AX77">
        <f>IF(VLOOKUP(AX$1,main!$A$3:$H$102,5,FALSE)-VLOOKUP($A77,main!$A$3:$H$102,6,FALSE)&gt;=main!$D$103+VLOOKUP(VLOOKUP(AX$1,main!$A$3:$I$102,7,FALSE),main!$K$26:$Q$29,3,FALSE),1,0)</f>
        <v>0</v>
      </c>
      <c r="AY77">
        <f>IF(VLOOKUP(AY$1,main!$A$3:$H$102,5,FALSE)-VLOOKUP($A77,main!$A$3:$H$102,6,FALSE)&gt;=main!$D$103+VLOOKUP(VLOOKUP(AY$1,main!$A$3:$I$102,7,FALSE),main!$K$26:$Q$29,3,FALSE),1,0)</f>
        <v>0</v>
      </c>
      <c r="AZ77">
        <f>IF(VLOOKUP(AZ$1,main!$A$3:$H$102,5,FALSE)-VLOOKUP($A77,main!$A$3:$H$102,6,FALSE)&gt;=main!$D$103+VLOOKUP(VLOOKUP(AZ$1,main!$A$3:$I$102,7,FALSE),main!$K$26:$Q$29,3,FALSE),1,0)</f>
        <v>0</v>
      </c>
      <c r="BA77">
        <f>IF(VLOOKUP(BA$1,main!$A$3:$H$102,5,FALSE)-VLOOKUP($A77,main!$A$3:$H$102,6,FALSE)&gt;=main!$D$103+VLOOKUP(VLOOKUP(BA$1,main!$A$3:$I$102,7,FALSE),main!$K$26:$Q$29,3,FALSE),1,0)</f>
        <v>0</v>
      </c>
      <c r="BB77">
        <f>IF(VLOOKUP(BB$1,main!$A$3:$H$102,5,FALSE)-VLOOKUP($A77,main!$A$3:$H$102,6,FALSE)&gt;=main!$D$103+VLOOKUP(VLOOKUP(BB$1,main!$A$3:$I$102,7,FALSE),main!$K$26:$Q$29,3,FALSE),1,0)</f>
        <v>0</v>
      </c>
      <c r="BC77">
        <f>IF(VLOOKUP(BC$1,main!$A$3:$H$102,5,FALSE)-VLOOKUP($A77,main!$A$3:$H$102,6,FALSE)&gt;=main!$D$103+VLOOKUP(VLOOKUP(BC$1,main!$A$3:$I$102,7,FALSE),main!$K$26:$Q$29,3,FALSE),1,0)</f>
        <v>0</v>
      </c>
      <c r="BD77">
        <f>IF(VLOOKUP(BD$1,main!$A$3:$H$102,5,FALSE)-VLOOKUP($A77,main!$A$3:$H$102,6,FALSE)&gt;=main!$D$103+VLOOKUP(VLOOKUP(BD$1,main!$A$3:$I$102,7,FALSE),main!$K$26:$Q$29,3,FALSE),1,0)</f>
        <v>0</v>
      </c>
      <c r="BE77">
        <f>IF(VLOOKUP(BE$1,main!$A$3:$H$102,5,FALSE)-VLOOKUP($A77,main!$A$3:$H$102,6,FALSE)&gt;=main!$D$103+VLOOKUP(VLOOKUP(BE$1,main!$A$3:$I$102,7,FALSE),main!$K$26:$Q$29,3,FALSE),1,0)</f>
        <v>0</v>
      </c>
      <c r="BF77">
        <f>IF(VLOOKUP(BF$1,main!$A$3:$H$102,5,FALSE)-VLOOKUP($A77,main!$A$3:$H$102,6,FALSE)&gt;=main!$D$103+VLOOKUP(VLOOKUP(BF$1,main!$A$3:$I$102,7,FALSE),main!$K$26:$Q$29,3,FALSE),1,0)</f>
        <v>0</v>
      </c>
      <c r="BG77">
        <f>IF(VLOOKUP(BG$1,main!$A$3:$H$102,5,FALSE)-VLOOKUP($A77,main!$A$3:$H$102,6,FALSE)&gt;=main!$D$103+VLOOKUP(VLOOKUP(BG$1,main!$A$3:$I$102,7,FALSE),main!$K$26:$Q$29,3,FALSE),1,0)</f>
        <v>0</v>
      </c>
      <c r="BH77">
        <f>IF(VLOOKUP(BH$1,main!$A$3:$H$102,5,FALSE)-VLOOKUP($A77,main!$A$3:$H$102,6,FALSE)&gt;=main!$D$103+VLOOKUP(VLOOKUP(BH$1,main!$A$3:$I$102,7,FALSE),main!$K$26:$Q$29,3,FALSE),1,0)</f>
        <v>0</v>
      </c>
      <c r="BI77">
        <f>IF(VLOOKUP(BI$1,main!$A$3:$H$102,5,FALSE)-VLOOKUP($A77,main!$A$3:$H$102,6,FALSE)&gt;=main!$D$103+VLOOKUP(VLOOKUP(BI$1,main!$A$3:$I$102,7,FALSE),main!$K$26:$Q$29,3,FALSE),1,0)</f>
        <v>1</v>
      </c>
      <c r="BJ77">
        <f>IF(VLOOKUP(BJ$1,main!$A$3:$H$102,5,FALSE)-VLOOKUP($A77,main!$A$3:$H$102,6,FALSE)&gt;=main!$D$103+VLOOKUP(VLOOKUP(BJ$1,main!$A$3:$I$102,7,FALSE),main!$K$26:$Q$29,3,FALSE),1,0)</f>
        <v>0</v>
      </c>
      <c r="BK77">
        <f>IF(VLOOKUP(BK$1,main!$A$3:$H$102,5,FALSE)-VLOOKUP($A77,main!$A$3:$H$102,6,FALSE)&gt;=main!$D$103+VLOOKUP(VLOOKUP(BK$1,main!$A$3:$I$102,7,FALSE),main!$K$26:$Q$29,3,FALSE),1,0)</f>
        <v>0</v>
      </c>
      <c r="BL77">
        <f>IF(VLOOKUP(BL$1,main!$A$3:$H$102,5,FALSE)-VLOOKUP($A77,main!$A$3:$H$102,6,FALSE)&gt;=main!$D$103+VLOOKUP(VLOOKUP(BL$1,main!$A$3:$I$102,7,FALSE),main!$K$26:$Q$29,3,FALSE),1,0)</f>
        <v>0</v>
      </c>
      <c r="BM77">
        <f>IF(VLOOKUP(BM$1,main!$A$3:$H$102,5,FALSE)-VLOOKUP($A77,main!$A$3:$H$102,6,FALSE)&gt;=main!$D$103+VLOOKUP(VLOOKUP(BM$1,main!$A$3:$I$102,7,FALSE),main!$K$26:$Q$29,3,FALSE),1,0)</f>
        <v>0</v>
      </c>
      <c r="BN77">
        <f>IF(VLOOKUP(BN$1,main!$A$3:$H$102,5,FALSE)-VLOOKUP($A77,main!$A$3:$H$102,6,FALSE)&gt;=main!$D$103+VLOOKUP(VLOOKUP(BN$1,main!$A$3:$I$102,7,FALSE),main!$K$26:$Q$29,3,FALSE),1,0)</f>
        <v>0</v>
      </c>
      <c r="BO77">
        <f>IF(VLOOKUP(BO$1,main!$A$3:$H$102,5,FALSE)-VLOOKUP($A77,main!$A$3:$H$102,6,FALSE)&gt;=main!$D$103+VLOOKUP(VLOOKUP(BO$1,main!$A$3:$I$102,7,FALSE),main!$K$26:$Q$29,3,FALSE),1,0)</f>
        <v>0</v>
      </c>
      <c r="BP77">
        <f>IF(VLOOKUP(BP$1,main!$A$3:$H$102,5,FALSE)-VLOOKUP($A77,main!$A$3:$H$102,6,FALSE)&gt;=main!$D$103+VLOOKUP(VLOOKUP(BP$1,main!$A$3:$I$102,7,FALSE),main!$K$26:$Q$29,3,FALSE),1,0)</f>
        <v>0</v>
      </c>
      <c r="BQ77">
        <f>IF(VLOOKUP(BQ$1,main!$A$3:$H$102,5,FALSE)-VLOOKUP($A77,main!$A$3:$H$102,6,FALSE)&gt;=main!$D$103+VLOOKUP(VLOOKUP(BQ$1,main!$A$3:$I$102,7,FALSE),main!$K$26:$Q$29,3,FALSE),1,0)</f>
        <v>0</v>
      </c>
      <c r="BR77">
        <f>IF(VLOOKUP(BR$1,main!$A$3:$H$102,5,FALSE)-VLOOKUP($A77,main!$A$3:$H$102,6,FALSE)&gt;=main!$D$103+VLOOKUP(VLOOKUP(BR$1,main!$A$3:$I$102,7,FALSE),main!$K$26:$Q$29,3,FALSE),1,0)</f>
        <v>0</v>
      </c>
      <c r="BS77">
        <f>IF(VLOOKUP(BS$1,main!$A$3:$H$102,5,FALSE)-VLOOKUP($A77,main!$A$3:$H$102,6,FALSE)&gt;=main!$D$103+VLOOKUP(VLOOKUP(BS$1,main!$A$3:$I$102,7,FALSE),main!$K$26:$Q$29,3,FALSE),1,0)</f>
        <v>0</v>
      </c>
      <c r="BT77">
        <f>IF(VLOOKUP(BT$1,main!$A$3:$H$102,5,FALSE)-VLOOKUP($A77,main!$A$3:$H$102,6,FALSE)&gt;=main!$D$103+VLOOKUP(VLOOKUP(BT$1,main!$A$3:$I$102,7,FALSE),main!$K$26:$Q$29,3,FALSE),1,0)</f>
        <v>0</v>
      </c>
      <c r="BU77">
        <f>IF(VLOOKUP(BU$1,main!$A$3:$H$102,5,FALSE)-VLOOKUP($A77,main!$A$3:$H$102,6,FALSE)&gt;=main!$D$103+VLOOKUP(VLOOKUP(BU$1,main!$A$3:$I$102,7,FALSE),main!$K$26:$Q$29,3,FALSE),1,0)</f>
        <v>0</v>
      </c>
      <c r="BV77">
        <f>IF(VLOOKUP(BV$1,main!$A$3:$H$102,5,FALSE)-VLOOKUP($A77,main!$A$3:$H$102,6,FALSE)&gt;=main!$D$103+VLOOKUP(VLOOKUP(BV$1,main!$A$3:$I$102,7,FALSE),main!$K$26:$Q$29,3,FALSE),1,0)</f>
        <v>0</v>
      </c>
      <c r="BW77">
        <f>IF(VLOOKUP(BW$1,main!$A$3:$H$102,5,FALSE)-VLOOKUP($A77,main!$A$3:$H$102,6,FALSE)&gt;=main!$D$103+VLOOKUP(VLOOKUP(BW$1,main!$A$3:$I$102,7,FALSE),main!$K$26:$Q$29,3,FALSE),1,0)</f>
        <v>0</v>
      </c>
      <c r="BX77">
        <f>IF(VLOOKUP(BX$1,main!$A$3:$H$102,5,FALSE)-VLOOKUP($A77,main!$A$3:$H$102,6,FALSE)&gt;=main!$D$103+VLOOKUP(VLOOKUP(BX$1,main!$A$3:$I$102,7,FALSE),main!$K$26:$Q$29,3,FALSE),1,0)</f>
        <v>0</v>
      </c>
      <c r="BY77">
        <f>IF(VLOOKUP(BY$1,main!$A$3:$H$102,5,FALSE)-VLOOKUP($A77,main!$A$3:$H$102,6,FALSE)&gt;=main!$D$103+VLOOKUP(VLOOKUP(BY$1,main!$A$3:$I$102,7,FALSE),main!$K$26:$Q$29,3,FALSE),1,0)</f>
        <v>0</v>
      </c>
      <c r="BZ77">
        <f>IF(VLOOKUP(BZ$1,main!$A$3:$H$102,5,FALSE)-VLOOKUP($A77,main!$A$3:$H$102,6,FALSE)&gt;=main!$D$103+VLOOKUP(VLOOKUP(BZ$1,main!$A$3:$I$102,7,FALSE),main!$K$26:$Q$29,3,FALSE),1,0)</f>
        <v>0</v>
      </c>
      <c r="CA77">
        <f>IF(VLOOKUP(CA$1,main!$A$3:$H$102,5,FALSE)-VLOOKUP($A77,main!$A$3:$H$102,6,FALSE)&gt;=main!$D$103+VLOOKUP(VLOOKUP(CA$1,main!$A$3:$I$102,7,FALSE),main!$K$26:$Q$29,3,FALSE),1,0)</f>
        <v>0</v>
      </c>
      <c r="CB77">
        <f>IF(VLOOKUP(CB$1,main!$A$3:$H$102,5,FALSE)-VLOOKUP($A77,main!$A$3:$H$102,6,FALSE)&gt;=main!$D$103+VLOOKUP(VLOOKUP(CB$1,main!$A$3:$I$102,7,FALSE),main!$K$26:$Q$29,3,FALSE),1,0)</f>
        <v>0</v>
      </c>
      <c r="CC77">
        <f>IF(VLOOKUP(CC$1,main!$A$3:$H$102,5,FALSE)-VLOOKUP($A77,main!$A$3:$H$102,6,FALSE)&gt;=main!$D$103+VLOOKUP(VLOOKUP(CC$1,main!$A$3:$I$102,7,FALSE),main!$K$26:$Q$29,3,FALSE),1,0)</f>
        <v>1</v>
      </c>
      <c r="CD77">
        <f>IF(VLOOKUP(CD$1,main!$A$3:$H$102,5,FALSE)-VLOOKUP($A77,main!$A$3:$H$102,6,FALSE)&gt;=main!$D$103+VLOOKUP(VLOOKUP(CD$1,main!$A$3:$I$102,7,FALSE),main!$K$26:$Q$29,3,FALSE),1,0)</f>
        <v>0</v>
      </c>
      <c r="CE77">
        <f>IF(VLOOKUP(CE$1,main!$A$3:$H$102,5,FALSE)-VLOOKUP($A77,main!$A$3:$H$102,6,FALSE)&gt;=main!$D$103+VLOOKUP(VLOOKUP(CE$1,main!$A$3:$I$102,7,FALSE),main!$K$26:$Q$29,3,FALSE),1,0)</f>
        <v>0</v>
      </c>
      <c r="CF77">
        <f>IF(VLOOKUP(CF$1,main!$A$3:$H$102,5,FALSE)-VLOOKUP($A77,main!$A$3:$H$102,6,FALSE)&gt;=main!$D$103+VLOOKUP(VLOOKUP(CF$1,main!$A$3:$I$102,7,FALSE),main!$K$26:$Q$29,3,FALSE),1,0)</f>
        <v>0</v>
      </c>
      <c r="CG77">
        <f>IF(VLOOKUP(CG$1,main!$A$3:$H$102,5,FALSE)-VLOOKUP($A77,main!$A$3:$H$102,6,FALSE)&gt;=main!$D$103+VLOOKUP(VLOOKUP(CG$1,main!$A$3:$I$102,7,FALSE),main!$K$26:$Q$29,3,FALSE),1,0)</f>
        <v>0</v>
      </c>
      <c r="CH77">
        <f>IF(VLOOKUP(CH$1,main!$A$3:$H$102,5,FALSE)-VLOOKUP($A77,main!$A$3:$H$102,6,FALSE)&gt;=main!$D$103+VLOOKUP(VLOOKUP(CH$1,main!$A$3:$I$102,7,FALSE),main!$K$26:$Q$29,3,FALSE),1,0)</f>
        <v>0</v>
      </c>
      <c r="CI77">
        <f>IF(VLOOKUP(CI$1,main!$A$3:$H$102,5,FALSE)-VLOOKUP($A77,main!$A$3:$H$102,6,FALSE)&gt;=main!$D$103+VLOOKUP(VLOOKUP(CI$1,main!$A$3:$I$102,7,FALSE),main!$K$26:$Q$29,3,FALSE),1,0)</f>
        <v>1</v>
      </c>
      <c r="CJ77">
        <f>IF(VLOOKUP(CJ$1,main!$A$3:$H$102,5,FALSE)-VLOOKUP($A77,main!$A$3:$H$102,6,FALSE)&gt;=main!$D$103+VLOOKUP(VLOOKUP(CJ$1,main!$A$3:$I$102,7,FALSE),main!$K$26:$Q$29,3,FALSE),1,0)</f>
        <v>0</v>
      </c>
      <c r="CK77">
        <f>IF(VLOOKUP(CK$1,main!$A$3:$H$102,5,FALSE)-VLOOKUP($A77,main!$A$3:$H$102,6,FALSE)&gt;=main!$D$103+VLOOKUP(VLOOKUP(CK$1,main!$A$3:$I$102,7,FALSE),main!$K$26:$Q$29,3,FALSE),1,0)</f>
        <v>0</v>
      </c>
      <c r="CL77">
        <f>IF(VLOOKUP(CL$1,main!$A$3:$H$102,5,FALSE)-VLOOKUP($A77,main!$A$3:$H$102,6,FALSE)&gt;=main!$D$103+VLOOKUP(VLOOKUP(CL$1,main!$A$3:$I$102,7,FALSE),main!$K$26:$Q$29,3,FALSE),1,0)</f>
        <v>0</v>
      </c>
      <c r="CM77">
        <f>IF(VLOOKUP(CM$1,main!$A$3:$H$102,5,FALSE)-VLOOKUP($A77,main!$A$3:$H$102,6,FALSE)&gt;=main!$D$103+VLOOKUP(VLOOKUP(CM$1,main!$A$3:$I$102,7,FALSE),main!$K$26:$Q$29,3,FALSE),1,0)</f>
        <v>0</v>
      </c>
      <c r="CN77">
        <f>IF(VLOOKUP(CN$1,main!$A$3:$H$102,5,FALSE)-VLOOKUP($A77,main!$A$3:$H$102,6,FALSE)&gt;=main!$D$103+VLOOKUP(VLOOKUP(CN$1,main!$A$3:$I$102,7,FALSE),main!$K$26:$Q$29,3,FALSE),1,0)</f>
        <v>1</v>
      </c>
      <c r="CO77">
        <f>IF(VLOOKUP(CO$1,main!$A$3:$H$102,5,FALSE)-VLOOKUP($A77,main!$A$3:$H$102,6,FALSE)&gt;=main!$D$103+VLOOKUP(VLOOKUP(CO$1,main!$A$3:$I$102,7,FALSE),main!$K$26:$Q$29,3,FALSE),1,0)</f>
        <v>0</v>
      </c>
      <c r="CP77">
        <f>IF(VLOOKUP(CP$1,main!$A$3:$H$102,5,FALSE)-VLOOKUP($A77,main!$A$3:$H$102,6,FALSE)&gt;=main!$D$103+VLOOKUP(VLOOKUP(CP$1,main!$A$3:$I$102,7,FALSE),main!$K$26:$Q$29,3,FALSE),1,0)</f>
        <v>0</v>
      </c>
      <c r="CQ77">
        <f>IF(VLOOKUP(CQ$1,main!$A$3:$H$102,5,FALSE)-VLOOKUP($A77,main!$A$3:$H$102,6,FALSE)&gt;=main!$D$103+VLOOKUP(VLOOKUP(CQ$1,main!$A$3:$I$102,7,FALSE),main!$K$26:$Q$29,3,FALSE),1,0)</f>
        <v>0</v>
      </c>
      <c r="CR77">
        <f>IF(VLOOKUP(CR$1,main!$A$3:$H$102,5,FALSE)-VLOOKUP($A77,main!$A$3:$H$102,6,FALSE)&gt;=main!$D$103+VLOOKUP(VLOOKUP(CR$1,main!$A$3:$I$102,7,FALSE),main!$K$26:$Q$29,3,FALSE),1,0)</f>
        <v>0</v>
      </c>
      <c r="CS77">
        <f>IF(VLOOKUP(CS$1,main!$A$3:$H$102,5,FALSE)-VLOOKUP($A77,main!$A$3:$H$102,6,FALSE)&gt;=main!$D$103+VLOOKUP(VLOOKUP(CS$1,main!$A$3:$I$102,7,FALSE),main!$K$26:$Q$29,3,FALSE),1,0)</f>
        <v>0</v>
      </c>
      <c r="CT77">
        <f>IF(VLOOKUP(CT$1,main!$A$3:$H$102,5,FALSE)-VLOOKUP($A77,main!$A$3:$H$102,6,FALSE)&gt;=main!$D$103+VLOOKUP(VLOOKUP(CT$1,main!$A$3:$I$102,7,FALSE),main!$K$26:$Q$29,3,FALSE),1,0)</f>
        <v>0</v>
      </c>
      <c r="CU77">
        <f>IF(VLOOKUP(CU$1,main!$A$3:$H$102,5,FALSE)-VLOOKUP($A77,main!$A$3:$H$102,6,FALSE)&gt;=main!$D$103+VLOOKUP(VLOOKUP(CU$1,main!$A$3:$I$102,7,FALSE),main!$K$26:$Q$29,3,FALSE),1,0)</f>
        <v>0</v>
      </c>
      <c r="CV77">
        <f>IF(VLOOKUP(CV$1,main!$A$3:$H$102,5,FALSE)-VLOOKUP($A77,main!$A$3:$H$102,6,FALSE)&gt;=main!$D$103+VLOOKUP(VLOOKUP(CV$1,main!$A$3:$I$102,7,FALSE),main!$K$26:$Q$29,3,FALSE),1,0)</f>
        <v>0</v>
      </c>
      <c r="CW77">
        <f>IF(VLOOKUP(CW$1,main!$A$3:$H$102,5,FALSE)-VLOOKUP($A77,main!$A$3:$H$102,6,FALSE)&gt;=main!$D$103+VLOOKUP(VLOOKUP(CW$1,main!$A$3:$I$102,7,FALSE),main!$K$26:$Q$29,3,FALSE),1,0)</f>
        <v>0</v>
      </c>
      <c r="CX77">
        <f>IF(VLOOKUP(CX$1,main!$A$3:$H$102,5,FALSE)-VLOOKUP($A77,main!$A$3:$H$102,6,FALSE)&gt;=main!$D$103+VLOOKUP(VLOOKUP(CX$1,main!$A$3:$I$102,7,FALSE),main!$K$26:$Q$29,3,FALSE),1,0)</f>
        <v>0</v>
      </c>
    </row>
    <row r="78" spans="1:102" x14ac:dyDescent="0.25">
      <c r="A78" s="1">
        <v>76</v>
      </c>
      <c r="B78">
        <v>0</v>
      </c>
      <c r="C78">
        <f>IF(VLOOKUP(C$1,main!$A$3:$H$102,5,FALSE)-VLOOKUP($A78,main!$A$3:$H$102,6,FALSE)&gt;=main!$D$103+VLOOKUP(VLOOKUP(C$1,main!$A$3:$I$102,7,FALSE),main!$K$26:$Q$29,3,FALSE),1,0)</f>
        <v>0</v>
      </c>
      <c r="D78">
        <f>IF(VLOOKUP(D$1,main!$A$3:$H$102,5,FALSE)-VLOOKUP($A78,main!$A$3:$H$102,6,FALSE)&gt;=main!$D$103+VLOOKUP(VLOOKUP(D$1,main!$A$3:$I$102,7,FALSE),main!$K$26:$Q$29,3,FALSE),1,0)</f>
        <v>0</v>
      </c>
      <c r="E78">
        <f>IF(VLOOKUP(E$1,main!$A$3:$H$102,5,FALSE)-VLOOKUP($A78,main!$A$3:$H$102,6,FALSE)&gt;=main!$D$103+VLOOKUP(VLOOKUP(E$1,main!$A$3:$I$102,7,FALSE),main!$K$26:$Q$29,3,FALSE),1,0)</f>
        <v>1</v>
      </c>
      <c r="F78">
        <f>IF(VLOOKUP(F$1,main!$A$3:$H$102,5,FALSE)-VLOOKUP($A78,main!$A$3:$H$102,6,FALSE)&gt;=main!$D$103+VLOOKUP(VLOOKUP(F$1,main!$A$3:$I$102,7,FALSE),main!$K$26:$Q$29,3,FALSE),1,0)</f>
        <v>1</v>
      </c>
      <c r="G78">
        <f>IF(VLOOKUP(G$1,main!$A$3:$H$102,5,FALSE)-VLOOKUP($A78,main!$A$3:$H$102,6,FALSE)&gt;=main!$D$103+VLOOKUP(VLOOKUP(G$1,main!$A$3:$I$102,7,FALSE),main!$K$26:$Q$29,3,FALSE),1,0)</f>
        <v>1</v>
      </c>
      <c r="H78">
        <f>IF(VLOOKUP(H$1,main!$A$3:$H$102,5,FALSE)-VLOOKUP($A78,main!$A$3:$H$102,6,FALSE)&gt;=main!$D$103+VLOOKUP(VLOOKUP(H$1,main!$A$3:$I$102,7,FALSE),main!$K$26:$Q$29,3,FALSE),1,0)</f>
        <v>1</v>
      </c>
      <c r="I78">
        <f>IF(VLOOKUP(I$1,main!$A$3:$H$102,5,FALSE)-VLOOKUP($A78,main!$A$3:$H$102,6,FALSE)&gt;=main!$D$103+VLOOKUP(VLOOKUP(I$1,main!$A$3:$I$102,7,FALSE),main!$K$26:$Q$29,3,FALSE),1,0)</f>
        <v>1</v>
      </c>
      <c r="J78">
        <f>IF(VLOOKUP(J$1,main!$A$3:$H$102,5,FALSE)-VLOOKUP($A78,main!$A$3:$H$102,6,FALSE)&gt;=main!$D$103+VLOOKUP(VLOOKUP(J$1,main!$A$3:$I$102,7,FALSE),main!$K$26:$Q$29,3,FALSE),1,0)</f>
        <v>1</v>
      </c>
      <c r="K78">
        <f>IF(VLOOKUP(K$1,main!$A$3:$H$102,5,FALSE)-VLOOKUP($A78,main!$A$3:$H$102,6,FALSE)&gt;=main!$D$103+VLOOKUP(VLOOKUP(K$1,main!$A$3:$I$102,7,FALSE),main!$K$26:$Q$29,3,FALSE),1,0)</f>
        <v>1</v>
      </c>
      <c r="L78">
        <f>IF(VLOOKUP(L$1,main!$A$3:$H$102,5,FALSE)-VLOOKUP($A78,main!$A$3:$H$102,6,FALSE)&gt;=main!$D$103+VLOOKUP(VLOOKUP(L$1,main!$A$3:$I$102,7,FALSE),main!$K$26:$Q$29,3,FALSE),1,0)</f>
        <v>1</v>
      </c>
      <c r="M78">
        <f>IF(VLOOKUP(M$1,main!$A$3:$H$102,5,FALSE)-VLOOKUP($A78,main!$A$3:$H$102,6,FALSE)&gt;=main!$D$103+VLOOKUP(VLOOKUP(M$1,main!$A$3:$I$102,7,FALSE),main!$K$26:$Q$29,3,FALSE),1,0)</f>
        <v>0</v>
      </c>
      <c r="N78">
        <f>IF(VLOOKUP(N$1,main!$A$3:$H$102,5,FALSE)-VLOOKUP($A78,main!$A$3:$H$102,6,FALSE)&gt;=main!$D$103+VLOOKUP(VLOOKUP(N$1,main!$A$3:$I$102,7,FALSE),main!$K$26:$Q$29,3,FALSE),1,0)</f>
        <v>0</v>
      </c>
      <c r="O78">
        <f>IF(VLOOKUP(O$1,main!$A$3:$H$102,5,FALSE)-VLOOKUP($A78,main!$A$3:$H$102,6,FALSE)&gt;=main!$D$103+VLOOKUP(VLOOKUP(O$1,main!$A$3:$I$102,7,FALSE),main!$K$26:$Q$29,3,FALSE),1,0)</f>
        <v>0</v>
      </c>
      <c r="P78">
        <f>IF(VLOOKUP(P$1,main!$A$3:$H$102,5,FALSE)-VLOOKUP($A78,main!$A$3:$H$102,6,FALSE)&gt;=main!$D$103+VLOOKUP(VLOOKUP(P$1,main!$A$3:$I$102,7,FALSE),main!$K$26:$Q$29,3,FALSE),1,0)</f>
        <v>0</v>
      </c>
      <c r="Q78">
        <f>IF(VLOOKUP(Q$1,main!$A$3:$H$102,5,FALSE)-VLOOKUP($A78,main!$A$3:$H$102,6,FALSE)&gt;=main!$D$103+VLOOKUP(VLOOKUP(Q$1,main!$A$3:$I$102,7,FALSE),main!$K$26:$Q$29,3,FALSE),1,0)</f>
        <v>1</v>
      </c>
      <c r="R78">
        <f>IF(VLOOKUP(R$1,main!$A$3:$H$102,5,FALSE)-VLOOKUP($A78,main!$A$3:$H$102,6,FALSE)&gt;=main!$D$103+VLOOKUP(VLOOKUP(R$1,main!$A$3:$I$102,7,FALSE),main!$K$26:$Q$29,3,FALSE),1,0)</f>
        <v>1</v>
      </c>
      <c r="S78">
        <f>IF(VLOOKUP(S$1,main!$A$3:$H$102,5,FALSE)-VLOOKUP($A78,main!$A$3:$H$102,6,FALSE)&gt;=main!$D$103+VLOOKUP(VLOOKUP(S$1,main!$A$3:$I$102,7,FALSE),main!$K$26:$Q$29,3,FALSE),1,0)</f>
        <v>1</v>
      </c>
      <c r="T78">
        <f>IF(VLOOKUP(T$1,main!$A$3:$H$102,5,FALSE)-VLOOKUP($A78,main!$A$3:$H$102,6,FALSE)&gt;=main!$D$103+VLOOKUP(VLOOKUP(T$1,main!$A$3:$I$102,7,FALSE),main!$K$26:$Q$29,3,FALSE),1,0)</f>
        <v>1</v>
      </c>
      <c r="U78">
        <f>IF(VLOOKUP(U$1,main!$A$3:$H$102,5,FALSE)-VLOOKUP($A78,main!$A$3:$H$102,6,FALSE)&gt;=main!$D$103+VLOOKUP(VLOOKUP(U$1,main!$A$3:$I$102,7,FALSE),main!$K$26:$Q$29,3,FALSE),1,0)</f>
        <v>1</v>
      </c>
      <c r="V78">
        <f>IF(VLOOKUP(V$1,main!$A$3:$H$102,5,FALSE)-VLOOKUP($A78,main!$A$3:$H$102,6,FALSE)&gt;=main!$D$103+VLOOKUP(VLOOKUP(V$1,main!$A$3:$I$102,7,FALSE),main!$K$26:$Q$29,3,FALSE),1,0)</f>
        <v>1</v>
      </c>
      <c r="W78">
        <f>IF(VLOOKUP(W$1,main!$A$3:$H$102,5,FALSE)-VLOOKUP($A78,main!$A$3:$H$102,6,FALSE)&gt;=main!$D$103+VLOOKUP(VLOOKUP(W$1,main!$A$3:$I$102,7,FALSE),main!$K$26:$Q$29,3,FALSE),1,0)</f>
        <v>0</v>
      </c>
      <c r="X78">
        <f>IF(VLOOKUP(X$1,main!$A$3:$H$102,5,FALSE)-VLOOKUP($A78,main!$A$3:$H$102,6,FALSE)&gt;=main!$D$103+VLOOKUP(VLOOKUP(X$1,main!$A$3:$I$102,7,FALSE),main!$K$26:$Q$29,3,FALSE),1,0)</f>
        <v>0</v>
      </c>
      <c r="Y78">
        <f>IF(VLOOKUP(Y$1,main!$A$3:$H$102,5,FALSE)-VLOOKUP($A78,main!$A$3:$H$102,6,FALSE)&gt;=main!$D$103+VLOOKUP(VLOOKUP(Y$1,main!$A$3:$I$102,7,FALSE),main!$K$26:$Q$29,3,FALSE),1,0)</f>
        <v>1</v>
      </c>
      <c r="Z78">
        <f>IF(VLOOKUP(Z$1,main!$A$3:$H$102,5,FALSE)-VLOOKUP($A78,main!$A$3:$H$102,6,FALSE)&gt;=main!$D$103+VLOOKUP(VLOOKUP(Z$1,main!$A$3:$I$102,7,FALSE),main!$K$26:$Q$29,3,FALSE),1,0)</f>
        <v>1</v>
      </c>
      <c r="AA78">
        <f>IF(VLOOKUP(AA$1,main!$A$3:$H$102,5,FALSE)-VLOOKUP($A78,main!$A$3:$H$102,6,FALSE)&gt;=main!$D$103+VLOOKUP(VLOOKUP(AA$1,main!$A$3:$I$102,7,FALSE),main!$K$26:$Q$29,3,FALSE),1,0)</f>
        <v>1</v>
      </c>
      <c r="AB78">
        <f>IF(VLOOKUP(AB$1,main!$A$3:$H$102,5,FALSE)-VLOOKUP($A78,main!$A$3:$H$102,6,FALSE)&gt;=main!$D$103+VLOOKUP(VLOOKUP(AB$1,main!$A$3:$I$102,7,FALSE),main!$K$26:$Q$29,3,FALSE),1,0)</f>
        <v>0</v>
      </c>
      <c r="AC78">
        <f>IF(VLOOKUP(AC$1,main!$A$3:$H$102,5,FALSE)-VLOOKUP($A78,main!$A$3:$H$102,6,FALSE)&gt;=main!$D$103+VLOOKUP(VLOOKUP(AC$1,main!$A$3:$I$102,7,FALSE),main!$K$26:$Q$29,3,FALSE),1,0)</f>
        <v>0</v>
      </c>
      <c r="AD78">
        <f>IF(VLOOKUP(AD$1,main!$A$3:$H$102,5,FALSE)-VLOOKUP($A78,main!$A$3:$H$102,6,FALSE)&gt;=main!$D$103+VLOOKUP(VLOOKUP(AD$1,main!$A$3:$I$102,7,FALSE),main!$K$26:$Q$29,3,FALSE),1,0)</f>
        <v>1</v>
      </c>
      <c r="AE78">
        <f>IF(VLOOKUP(AE$1,main!$A$3:$H$102,5,FALSE)-VLOOKUP($A78,main!$A$3:$H$102,6,FALSE)&gt;=main!$D$103+VLOOKUP(VLOOKUP(AE$1,main!$A$3:$I$102,7,FALSE),main!$K$26:$Q$29,3,FALSE),1,0)</f>
        <v>1</v>
      </c>
      <c r="AF78">
        <f>IF(VLOOKUP(AF$1,main!$A$3:$H$102,5,FALSE)-VLOOKUP($A78,main!$A$3:$H$102,6,FALSE)&gt;=main!$D$103+VLOOKUP(VLOOKUP(AF$1,main!$A$3:$I$102,7,FALSE),main!$K$26:$Q$29,3,FALSE),1,0)</f>
        <v>1</v>
      </c>
      <c r="AG78">
        <f>IF(VLOOKUP(AG$1,main!$A$3:$H$102,5,FALSE)-VLOOKUP($A78,main!$A$3:$H$102,6,FALSE)&gt;=main!$D$103+VLOOKUP(VLOOKUP(AG$1,main!$A$3:$I$102,7,FALSE),main!$K$26:$Q$29,3,FALSE),1,0)</f>
        <v>0</v>
      </c>
      <c r="AH78">
        <f>IF(VLOOKUP(AH$1,main!$A$3:$H$102,5,FALSE)-VLOOKUP($A78,main!$A$3:$H$102,6,FALSE)&gt;=main!$D$103+VLOOKUP(VLOOKUP(AH$1,main!$A$3:$I$102,7,FALSE),main!$K$26:$Q$29,3,FALSE),1,0)</f>
        <v>0</v>
      </c>
      <c r="AI78">
        <f>IF(VLOOKUP(AI$1,main!$A$3:$H$102,5,FALSE)-VLOOKUP($A78,main!$A$3:$H$102,6,FALSE)&gt;=main!$D$103+VLOOKUP(VLOOKUP(AI$1,main!$A$3:$I$102,7,FALSE),main!$K$26:$Q$29,3,FALSE),1,0)</f>
        <v>1</v>
      </c>
      <c r="AJ78">
        <f>IF(VLOOKUP(AJ$1,main!$A$3:$H$102,5,FALSE)-VLOOKUP($A78,main!$A$3:$H$102,6,FALSE)&gt;=main!$D$103+VLOOKUP(VLOOKUP(AJ$1,main!$A$3:$I$102,7,FALSE),main!$K$26:$Q$29,3,FALSE),1,0)</f>
        <v>1</v>
      </c>
      <c r="AK78">
        <f>IF(VLOOKUP(AK$1,main!$A$3:$H$102,5,FALSE)-VLOOKUP($A78,main!$A$3:$H$102,6,FALSE)&gt;=main!$D$103+VLOOKUP(VLOOKUP(AK$1,main!$A$3:$I$102,7,FALSE),main!$K$26:$Q$29,3,FALSE),1,0)</f>
        <v>1</v>
      </c>
      <c r="AL78">
        <f>IF(VLOOKUP(AL$1,main!$A$3:$H$102,5,FALSE)-VLOOKUP($A78,main!$A$3:$H$102,6,FALSE)&gt;=main!$D$103+VLOOKUP(VLOOKUP(AL$1,main!$A$3:$I$102,7,FALSE),main!$K$26:$Q$29,3,FALSE),1,0)</f>
        <v>1</v>
      </c>
      <c r="AM78">
        <f>IF(VLOOKUP(AM$1,main!$A$3:$H$102,5,FALSE)-VLOOKUP($A78,main!$A$3:$H$102,6,FALSE)&gt;=main!$D$103+VLOOKUP(VLOOKUP(AM$1,main!$A$3:$I$102,7,FALSE),main!$K$26:$Q$29,3,FALSE),1,0)</f>
        <v>1</v>
      </c>
      <c r="AN78">
        <f>IF(VLOOKUP(AN$1,main!$A$3:$H$102,5,FALSE)-VLOOKUP($A78,main!$A$3:$H$102,6,FALSE)&gt;=main!$D$103+VLOOKUP(VLOOKUP(AN$1,main!$A$3:$I$102,7,FALSE),main!$K$26:$Q$29,3,FALSE),1,0)</f>
        <v>1</v>
      </c>
      <c r="AO78">
        <f>IF(VLOOKUP(AO$1,main!$A$3:$H$102,5,FALSE)-VLOOKUP($A78,main!$A$3:$H$102,6,FALSE)&gt;=main!$D$103+VLOOKUP(VLOOKUP(AO$1,main!$A$3:$I$102,7,FALSE),main!$K$26:$Q$29,3,FALSE),1,0)</f>
        <v>0</v>
      </c>
      <c r="AP78">
        <f>IF(VLOOKUP(AP$1,main!$A$3:$H$102,5,FALSE)-VLOOKUP($A78,main!$A$3:$H$102,6,FALSE)&gt;=main!$D$103+VLOOKUP(VLOOKUP(AP$1,main!$A$3:$I$102,7,FALSE),main!$K$26:$Q$29,3,FALSE),1,0)</f>
        <v>1</v>
      </c>
      <c r="AQ78">
        <f>IF(VLOOKUP(AQ$1,main!$A$3:$H$102,5,FALSE)-VLOOKUP($A78,main!$A$3:$H$102,6,FALSE)&gt;=main!$D$103+VLOOKUP(VLOOKUP(AQ$1,main!$A$3:$I$102,7,FALSE),main!$K$26:$Q$29,3,FALSE),1,0)</f>
        <v>0</v>
      </c>
      <c r="AR78">
        <f>IF(VLOOKUP(AR$1,main!$A$3:$H$102,5,FALSE)-VLOOKUP($A78,main!$A$3:$H$102,6,FALSE)&gt;=main!$D$103+VLOOKUP(VLOOKUP(AR$1,main!$A$3:$I$102,7,FALSE),main!$K$26:$Q$29,3,FALSE),1,0)</f>
        <v>0</v>
      </c>
      <c r="AS78">
        <f>IF(VLOOKUP(AS$1,main!$A$3:$H$102,5,FALSE)-VLOOKUP($A78,main!$A$3:$H$102,6,FALSE)&gt;=main!$D$103+VLOOKUP(VLOOKUP(AS$1,main!$A$3:$I$102,7,FALSE),main!$K$26:$Q$29,3,FALSE),1,0)</f>
        <v>1</v>
      </c>
      <c r="AT78">
        <f>IF(VLOOKUP(AT$1,main!$A$3:$H$102,5,FALSE)-VLOOKUP($A78,main!$A$3:$H$102,6,FALSE)&gt;=main!$D$103+VLOOKUP(VLOOKUP(AT$1,main!$A$3:$I$102,7,FALSE),main!$K$26:$Q$29,3,FALSE),1,0)</f>
        <v>1</v>
      </c>
      <c r="AU78">
        <f>IF(VLOOKUP(AU$1,main!$A$3:$H$102,5,FALSE)-VLOOKUP($A78,main!$A$3:$H$102,6,FALSE)&gt;=main!$D$103+VLOOKUP(VLOOKUP(AU$1,main!$A$3:$I$102,7,FALSE),main!$K$26:$Q$29,3,FALSE),1,0)</f>
        <v>0</v>
      </c>
      <c r="AV78">
        <f>IF(VLOOKUP(AV$1,main!$A$3:$H$102,5,FALSE)-VLOOKUP($A78,main!$A$3:$H$102,6,FALSE)&gt;=main!$D$103+VLOOKUP(VLOOKUP(AV$1,main!$A$3:$I$102,7,FALSE),main!$K$26:$Q$29,3,FALSE),1,0)</f>
        <v>0</v>
      </c>
      <c r="AW78">
        <f>IF(VLOOKUP(AW$1,main!$A$3:$H$102,5,FALSE)-VLOOKUP($A78,main!$A$3:$H$102,6,FALSE)&gt;=main!$D$103+VLOOKUP(VLOOKUP(AW$1,main!$A$3:$I$102,7,FALSE),main!$K$26:$Q$29,3,FALSE),1,0)</f>
        <v>1</v>
      </c>
      <c r="AX78">
        <f>IF(VLOOKUP(AX$1,main!$A$3:$H$102,5,FALSE)-VLOOKUP($A78,main!$A$3:$H$102,6,FALSE)&gt;=main!$D$103+VLOOKUP(VLOOKUP(AX$1,main!$A$3:$I$102,7,FALSE),main!$K$26:$Q$29,3,FALSE),1,0)</f>
        <v>1</v>
      </c>
      <c r="AY78">
        <f>IF(VLOOKUP(AY$1,main!$A$3:$H$102,5,FALSE)-VLOOKUP($A78,main!$A$3:$H$102,6,FALSE)&gt;=main!$D$103+VLOOKUP(VLOOKUP(AY$1,main!$A$3:$I$102,7,FALSE),main!$K$26:$Q$29,3,FALSE),1,0)</f>
        <v>0</v>
      </c>
      <c r="AZ78">
        <f>IF(VLOOKUP(AZ$1,main!$A$3:$H$102,5,FALSE)-VLOOKUP($A78,main!$A$3:$H$102,6,FALSE)&gt;=main!$D$103+VLOOKUP(VLOOKUP(AZ$1,main!$A$3:$I$102,7,FALSE),main!$K$26:$Q$29,3,FALSE),1,0)</f>
        <v>1</v>
      </c>
      <c r="BA78">
        <f>IF(VLOOKUP(BA$1,main!$A$3:$H$102,5,FALSE)-VLOOKUP($A78,main!$A$3:$H$102,6,FALSE)&gt;=main!$D$103+VLOOKUP(VLOOKUP(BA$1,main!$A$3:$I$102,7,FALSE),main!$K$26:$Q$29,3,FALSE),1,0)</f>
        <v>0</v>
      </c>
      <c r="BB78">
        <f>IF(VLOOKUP(BB$1,main!$A$3:$H$102,5,FALSE)-VLOOKUP($A78,main!$A$3:$H$102,6,FALSE)&gt;=main!$D$103+VLOOKUP(VLOOKUP(BB$1,main!$A$3:$I$102,7,FALSE),main!$K$26:$Q$29,3,FALSE),1,0)</f>
        <v>1</v>
      </c>
      <c r="BC78">
        <f>IF(VLOOKUP(BC$1,main!$A$3:$H$102,5,FALSE)-VLOOKUP($A78,main!$A$3:$H$102,6,FALSE)&gt;=main!$D$103+VLOOKUP(VLOOKUP(BC$1,main!$A$3:$I$102,7,FALSE),main!$K$26:$Q$29,3,FALSE),1,0)</f>
        <v>1</v>
      </c>
      <c r="BD78">
        <f>IF(VLOOKUP(BD$1,main!$A$3:$H$102,5,FALSE)-VLOOKUP($A78,main!$A$3:$H$102,6,FALSE)&gt;=main!$D$103+VLOOKUP(VLOOKUP(BD$1,main!$A$3:$I$102,7,FALSE),main!$K$26:$Q$29,3,FALSE),1,0)</f>
        <v>1</v>
      </c>
      <c r="BE78">
        <f>IF(VLOOKUP(BE$1,main!$A$3:$H$102,5,FALSE)-VLOOKUP($A78,main!$A$3:$H$102,6,FALSE)&gt;=main!$D$103+VLOOKUP(VLOOKUP(BE$1,main!$A$3:$I$102,7,FALSE),main!$K$26:$Q$29,3,FALSE),1,0)</f>
        <v>1</v>
      </c>
      <c r="BF78">
        <f>IF(VLOOKUP(BF$1,main!$A$3:$H$102,5,FALSE)-VLOOKUP($A78,main!$A$3:$H$102,6,FALSE)&gt;=main!$D$103+VLOOKUP(VLOOKUP(BF$1,main!$A$3:$I$102,7,FALSE),main!$K$26:$Q$29,3,FALSE),1,0)</f>
        <v>0</v>
      </c>
      <c r="BG78">
        <f>IF(VLOOKUP(BG$1,main!$A$3:$H$102,5,FALSE)-VLOOKUP($A78,main!$A$3:$H$102,6,FALSE)&gt;=main!$D$103+VLOOKUP(VLOOKUP(BG$1,main!$A$3:$I$102,7,FALSE),main!$K$26:$Q$29,3,FALSE),1,0)</f>
        <v>0</v>
      </c>
      <c r="BH78">
        <f>IF(VLOOKUP(BH$1,main!$A$3:$H$102,5,FALSE)-VLOOKUP($A78,main!$A$3:$H$102,6,FALSE)&gt;=main!$D$103+VLOOKUP(VLOOKUP(BH$1,main!$A$3:$I$102,7,FALSE),main!$K$26:$Q$29,3,FALSE),1,0)</f>
        <v>1</v>
      </c>
      <c r="BI78">
        <f>IF(VLOOKUP(BI$1,main!$A$3:$H$102,5,FALSE)-VLOOKUP($A78,main!$A$3:$H$102,6,FALSE)&gt;=main!$D$103+VLOOKUP(VLOOKUP(BI$1,main!$A$3:$I$102,7,FALSE),main!$K$26:$Q$29,3,FALSE),1,0)</f>
        <v>1</v>
      </c>
      <c r="BJ78">
        <f>IF(VLOOKUP(BJ$1,main!$A$3:$H$102,5,FALSE)-VLOOKUP($A78,main!$A$3:$H$102,6,FALSE)&gt;=main!$D$103+VLOOKUP(VLOOKUP(BJ$1,main!$A$3:$I$102,7,FALSE),main!$K$26:$Q$29,3,FALSE),1,0)</f>
        <v>1</v>
      </c>
      <c r="BK78">
        <f>IF(VLOOKUP(BK$1,main!$A$3:$H$102,5,FALSE)-VLOOKUP($A78,main!$A$3:$H$102,6,FALSE)&gt;=main!$D$103+VLOOKUP(VLOOKUP(BK$1,main!$A$3:$I$102,7,FALSE),main!$K$26:$Q$29,3,FALSE),1,0)</f>
        <v>0</v>
      </c>
      <c r="BL78">
        <f>IF(VLOOKUP(BL$1,main!$A$3:$H$102,5,FALSE)-VLOOKUP($A78,main!$A$3:$H$102,6,FALSE)&gt;=main!$D$103+VLOOKUP(VLOOKUP(BL$1,main!$A$3:$I$102,7,FALSE),main!$K$26:$Q$29,3,FALSE),1,0)</f>
        <v>0</v>
      </c>
      <c r="BM78">
        <f>IF(VLOOKUP(BM$1,main!$A$3:$H$102,5,FALSE)-VLOOKUP($A78,main!$A$3:$H$102,6,FALSE)&gt;=main!$D$103+VLOOKUP(VLOOKUP(BM$1,main!$A$3:$I$102,7,FALSE),main!$K$26:$Q$29,3,FALSE),1,0)</f>
        <v>0</v>
      </c>
      <c r="BN78">
        <f>IF(VLOOKUP(BN$1,main!$A$3:$H$102,5,FALSE)-VLOOKUP($A78,main!$A$3:$H$102,6,FALSE)&gt;=main!$D$103+VLOOKUP(VLOOKUP(BN$1,main!$A$3:$I$102,7,FALSE),main!$K$26:$Q$29,3,FALSE),1,0)</f>
        <v>1</v>
      </c>
      <c r="BO78">
        <f>IF(VLOOKUP(BO$1,main!$A$3:$H$102,5,FALSE)-VLOOKUP($A78,main!$A$3:$H$102,6,FALSE)&gt;=main!$D$103+VLOOKUP(VLOOKUP(BO$1,main!$A$3:$I$102,7,FALSE),main!$K$26:$Q$29,3,FALSE),1,0)</f>
        <v>0</v>
      </c>
      <c r="BP78">
        <f>IF(VLOOKUP(BP$1,main!$A$3:$H$102,5,FALSE)-VLOOKUP($A78,main!$A$3:$H$102,6,FALSE)&gt;=main!$D$103+VLOOKUP(VLOOKUP(BP$1,main!$A$3:$I$102,7,FALSE),main!$K$26:$Q$29,3,FALSE),1,0)</f>
        <v>0</v>
      </c>
      <c r="BQ78">
        <f>IF(VLOOKUP(BQ$1,main!$A$3:$H$102,5,FALSE)-VLOOKUP($A78,main!$A$3:$H$102,6,FALSE)&gt;=main!$D$103+VLOOKUP(VLOOKUP(BQ$1,main!$A$3:$I$102,7,FALSE),main!$K$26:$Q$29,3,FALSE),1,0)</f>
        <v>1</v>
      </c>
      <c r="BR78">
        <f>IF(VLOOKUP(BR$1,main!$A$3:$H$102,5,FALSE)-VLOOKUP($A78,main!$A$3:$H$102,6,FALSE)&gt;=main!$D$103+VLOOKUP(VLOOKUP(BR$1,main!$A$3:$I$102,7,FALSE),main!$K$26:$Q$29,3,FALSE),1,0)</f>
        <v>1</v>
      </c>
      <c r="BS78">
        <f>IF(VLOOKUP(BS$1,main!$A$3:$H$102,5,FALSE)-VLOOKUP($A78,main!$A$3:$H$102,6,FALSE)&gt;=main!$D$103+VLOOKUP(VLOOKUP(BS$1,main!$A$3:$I$102,7,FALSE),main!$K$26:$Q$29,3,FALSE),1,0)</f>
        <v>1</v>
      </c>
      <c r="BT78">
        <f>IF(VLOOKUP(BT$1,main!$A$3:$H$102,5,FALSE)-VLOOKUP($A78,main!$A$3:$H$102,6,FALSE)&gt;=main!$D$103+VLOOKUP(VLOOKUP(BT$1,main!$A$3:$I$102,7,FALSE),main!$K$26:$Q$29,3,FALSE),1,0)</f>
        <v>1</v>
      </c>
      <c r="BU78">
        <f>IF(VLOOKUP(BU$1,main!$A$3:$H$102,5,FALSE)-VLOOKUP($A78,main!$A$3:$H$102,6,FALSE)&gt;=main!$D$103+VLOOKUP(VLOOKUP(BU$1,main!$A$3:$I$102,7,FALSE),main!$K$26:$Q$29,3,FALSE),1,0)</f>
        <v>0</v>
      </c>
      <c r="BV78">
        <f>IF(VLOOKUP(BV$1,main!$A$3:$H$102,5,FALSE)-VLOOKUP($A78,main!$A$3:$H$102,6,FALSE)&gt;=main!$D$103+VLOOKUP(VLOOKUP(BV$1,main!$A$3:$I$102,7,FALSE),main!$K$26:$Q$29,3,FALSE),1,0)</f>
        <v>0</v>
      </c>
      <c r="BW78">
        <f>IF(VLOOKUP(BW$1,main!$A$3:$H$102,5,FALSE)-VLOOKUP($A78,main!$A$3:$H$102,6,FALSE)&gt;=main!$D$103+VLOOKUP(VLOOKUP(BW$1,main!$A$3:$I$102,7,FALSE),main!$K$26:$Q$29,3,FALSE),1,0)</f>
        <v>0</v>
      </c>
      <c r="BX78">
        <f>IF(VLOOKUP(BX$1,main!$A$3:$H$102,5,FALSE)-VLOOKUP($A78,main!$A$3:$H$102,6,FALSE)&gt;=main!$D$103+VLOOKUP(VLOOKUP(BX$1,main!$A$3:$I$102,7,FALSE),main!$K$26:$Q$29,3,FALSE),1,0)</f>
        <v>1</v>
      </c>
      <c r="BY78">
        <f>IF(VLOOKUP(BY$1,main!$A$3:$H$102,5,FALSE)-VLOOKUP($A78,main!$A$3:$H$102,6,FALSE)&gt;=main!$D$103+VLOOKUP(VLOOKUP(BY$1,main!$A$3:$I$102,7,FALSE),main!$K$26:$Q$29,3,FALSE),1,0)</f>
        <v>1</v>
      </c>
      <c r="BZ78">
        <f>IF(VLOOKUP(BZ$1,main!$A$3:$H$102,5,FALSE)-VLOOKUP($A78,main!$A$3:$H$102,6,FALSE)&gt;=main!$D$103+VLOOKUP(VLOOKUP(BZ$1,main!$A$3:$I$102,7,FALSE),main!$K$26:$Q$29,3,FALSE),1,0)</f>
        <v>0</v>
      </c>
      <c r="CA78">
        <f>IF(VLOOKUP(CA$1,main!$A$3:$H$102,5,FALSE)-VLOOKUP($A78,main!$A$3:$H$102,6,FALSE)&gt;=main!$D$103+VLOOKUP(VLOOKUP(CA$1,main!$A$3:$I$102,7,FALSE),main!$K$26:$Q$29,3,FALSE),1,0)</f>
        <v>0</v>
      </c>
      <c r="CB78">
        <f>IF(VLOOKUP(CB$1,main!$A$3:$H$102,5,FALSE)-VLOOKUP($A78,main!$A$3:$H$102,6,FALSE)&gt;=main!$D$103+VLOOKUP(VLOOKUP(CB$1,main!$A$3:$I$102,7,FALSE),main!$K$26:$Q$29,3,FALSE),1,0)</f>
        <v>1</v>
      </c>
      <c r="CC78">
        <f>IF(VLOOKUP(CC$1,main!$A$3:$H$102,5,FALSE)-VLOOKUP($A78,main!$A$3:$H$102,6,FALSE)&gt;=main!$D$103+VLOOKUP(VLOOKUP(CC$1,main!$A$3:$I$102,7,FALSE),main!$K$26:$Q$29,3,FALSE),1,0)</f>
        <v>1</v>
      </c>
      <c r="CD78">
        <f>IF(VLOOKUP(CD$1,main!$A$3:$H$102,5,FALSE)-VLOOKUP($A78,main!$A$3:$H$102,6,FALSE)&gt;=main!$D$103+VLOOKUP(VLOOKUP(CD$1,main!$A$3:$I$102,7,FALSE),main!$K$26:$Q$29,3,FALSE),1,0)</f>
        <v>1</v>
      </c>
      <c r="CE78">
        <f>IF(VLOOKUP(CE$1,main!$A$3:$H$102,5,FALSE)-VLOOKUP($A78,main!$A$3:$H$102,6,FALSE)&gt;=main!$D$103+VLOOKUP(VLOOKUP(CE$1,main!$A$3:$I$102,7,FALSE),main!$K$26:$Q$29,3,FALSE),1,0)</f>
        <v>1</v>
      </c>
      <c r="CF78">
        <f>IF(VLOOKUP(CF$1,main!$A$3:$H$102,5,FALSE)-VLOOKUP($A78,main!$A$3:$H$102,6,FALSE)&gt;=main!$D$103+VLOOKUP(VLOOKUP(CF$1,main!$A$3:$I$102,7,FALSE),main!$K$26:$Q$29,3,FALSE),1,0)</f>
        <v>1</v>
      </c>
      <c r="CG78">
        <f>IF(VLOOKUP(CG$1,main!$A$3:$H$102,5,FALSE)-VLOOKUP($A78,main!$A$3:$H$102,6,FALSE)&gt;=main!$D$103+VLOOKUP(VLOOKUP(CG$1,main!$A$3:$I$102,7,FALSE),main!$K$26:$Q$29,3,FALSE),1,0)</f>
        <v>1</v>
      </c>
      <c r="CH78">
        <f>IF(VLOOKUP(CH$1,main!$A$3:$H$102,5,FALSE)-VLOOKUP($A78,main!$A$3:$H$102,6,FALSE)&gt;=main!$D$103+VLOOKUP(VLOOKUP(CH$1,main!$A$3:$I$102,7,FALSE),main!$K$26:$Q$29,3,FALSE),1,0)</f>
        <v>1</v>
      </c>
      <c r="CI78">
        <f>IF(VLOOKUP(CI$1,main!$A$3:$H$102,5,FALSE)-VLOOKUP($A78,main!$A$3:$H$102,6,FALSE)&gt;=main!$D$103+VLOOKUP(VLOOKUP(CI$1,main!$A$3:$I$102,7,FALSE),main!$K$26:$Q$29,3,FALSE),1,0)</f>
        <v>1</v>
      </c>
      <c r="CJ78">
        <f>IF(VLOOKUP(CJ$1,main!$A$3:$H$102,5,FALSE)-VLOOKUP($A78,main!$A$3:$H$102,6,FALSE)&gt;=main!$D$103+VLOOKUP(VLOOKUP(CJ$1,main!$A$3:$I$102,7,FALSE),main!$K$26:$Q$29,3,FALSE),1,0)</f>
        <v>1</v>
      </c>
      <c r="CK78">
        <f>IF(VLOOKUP(CK$1,main!$A$3:$H$102,5,FALSE)-VLOOKUP($A78,main!$A$3:$H$102,6,FALSE)&gt;=main!$D$103+VLOOKUP(VLOOKUP(CK$1,main!$A$3:$I$102,7,FALSE),main!$K$26:$Q$29,3,FALSE),1,0)</f>
        <v>0</v>
      </c>
      <c r="CL78">
        <f>IF(VLOOKUP(CL$1,main!$A$3:$H$102,5,FALSE)-VLOOKUP($A78,main!$A$3:$H$102,6,FALSE)&gt;=main!$D$103+VLOOKUP(VLOOKUP(CL$1,main!$A$3:$I$102,7,FALSE),main!$K$26:$Q$29,3,FALSE),1,0)</f>
        <v>1</v>
      </c>
      <c r="CM78">
        <f>IF(VLOOKUP(CM$1,main!$A$3:$H$102,5,FALSE)-VLOOKUP($A78,main!$A$3:$H$102,6,FALSE)&gt;=main!$D$103+VLOOKUP(VLOOKUP(CM$1,main!$A$3:$I$102,7,FALSE),main!$K$26:$Q$29,3,FALSE),1,0)</f>
        <v>1</v>
      </c>
      <c r="CN78">
        <f>IF(VLOOKUP(CN$1,main!$A$3:$H$102,5,FALSE)-VLOOKUP($A78,main!$A$3:$H$102,6,FALSE)&gt;=main!$D$103+VLOOKUP(VLOOKUP(CN$1,main!$A$3:$I$102,7,FALSE),main!$K$26:$Q$29,3,FALSE),1,0)</f>
        <v>1</v>
      </c>
      <c r="CO78">
        <f>IF(VLOOKUP(CO$1,main!$A$3:$H$102,5,FALSE)-VLOOKUP($A78,main!$A$3:$H$102,6,FALSE)&gt;=main!$D$103+VLOOKUP(VLOOKUP(CO$1,main!$A$3:$I$102,7,FALSE),main!$K$26:$Q$29,3,FALSE),1,0)</f>
        <v>0</v>
      </c>
      <c r="CP78">
        <f>IF(VLOOKUP(CP$1,main!$A$3:$H$102,5,FALSE)-VLOOKUP($A78,main!$A$3:$H$102,6,FALSE)&gt;=main!$D$103+VLOOKUP(VLOOKUP(CP$1,main!$A$3:$I$102,7,FALSE),main!$K$26:$Q$29,3,FALSE),1,0)</f>
        <v>1</v>
      </c>
      <c r="CQ78">
        <f>IF(VLOOKUP(CQ$1,main!$A$3:$H$102,5,FALSE)-VLOOKUP($A78,main!$A$3:$H$102,6,FALSE)&gt;=main!$D$103+VLOOKUP(VLOOKUP(CQ$1,main!$A$3:$I$102,7,FALSE),main!$K$26:$Q$29,3,FALSE),1,0)</f>
        <v>1</v>
      </c>
      <c r="CR78">
        <f>IF(VLOOKUP(CR$1,main!$A$3:$H$102,5,FALSE)-VLOOKUP($A78,main!$A$3:$H$102,6,FALSE)&gt;=main!$D$103+VLOOKUP(VLOOKUP(CR$1,main!$A$3:$I$102,7,FALSE),main!$K$26:$Q$29,3,FALSE),1,0)</f>
        <v>1</v>
      </c>
      <c r="CS78">
        <f>IF(VLOOKUP(CS$1,main!$A$3:$H$102,5,FALSE)-VLOOKUP($A78,main!$A$3:$H$102,6,FALSE)&gt;=main!$D$103+VLOOKUP(VLOOKUP(CS$1,main!$A$3:$I$102,7,FALSE),main!$K$26:$Q$29,3,FALSE),1,0)</f>
        <v>1</v>
      </c>
      <c r="CT78">
        <f>IF(VLOOKUP(CT$1,main!$A$3:$H$102,5,FALSE)-VLOOKUP($A78,main!$A$3:$H$102,6,FALSE)&gt;=main!$D$103+VLOOKUP(VLOOKUP(CT$1,main!$A$3:$I$102,7,FALSE),main!$K$26:$Q$29,3,FALSE),1,0)</f>
        <v>0</v>
      </c>
      <c r="CU78">
        <f>IF(VLOOKUP(CU$1,main!$A$3:$H$102,5,FALSE)-VLOOKUP($A78,main!$A$3:$H$102,6,FALSE)&gt;=main!$D$103+VLOOKUP(VLOOKUP(CU$1,main!$A$3:$I$102,7,FALSE),main!$K$26:$Q$29,3,FALSE),1,0)</f>
        <v>0</v>
      </c>
      <c r="CV78">
        <f>IF(VLOOKUP(CV$1,main!$A$3:$H$102,5,FALSE)-VLOOKUP($A78,main!$A$3:$H$102,6,FALSE)&gt;=main!$D$103+VLOOKUP(VLOOKUP(CV$1,main!$A$3:$I$102,7,FALSE),main!$K$26:$Q$29,3,FALSE),1,0)</f>
        <v>1</v>
      </c>
      <c r="CW78">
        <f>IF(VLOOKUP(CW$1,main!$A$3:$H$102,5,FALSE)-VLOOKUP($A78,main!$A$3:$H$102,6,FALSE)&gt;=main!$D$103+VLOOKUP(VLOOKUP(CW$1,main!$A$3:$I$102,7,FALSE),main!$K$26:$Q$29,3,FALSE),1,0)</f>
        <v>1</v>
      </c>
      <c r="CX78">
        <f>IF(VLOOKUP(CX$1,main!$A$3:$H$102,5,FALSE)-VLOOKUP($A78,main!$A$3:$H$102,6,FALSE)&gt;=main!$D$103+VLOOKUP(VLOOKUP(CX$1,main!$A$3:$I$102,7,FALSE),main!$K$26:$Q$29,3,FALSE),1,0)</f>
        <v>1</v>
      </c>
    </row>
    <row r="79" spans="1:102" x14ac:dyDescent="0.25">
      <c r="A79" s="1">
        <v>77</v>
      </c>
      <c r="B79">
        <v>0</v>
      </c>
      <c r="C79">
        <f>IF(VLOOKUP(C$1,main!$A$3:$H$102,5,FALSE)-VLOOKUP($A79,main!$A$3:$H$102,6,FALSE)&gt;=main!$D$103+VLOOKUP(VLOOKUP(C$1,main!$A$3:$I$102,7,FALSE),main!$K$26:$Q$29,3,FALSE),1,0)</f>
        <v>0</v>
      </c>
      <c r="D79">
        <f>IF(VLOOKUP(D$1,main!$A$3:$H$102,5,FALSE)-VLOOKUP($A79,main!$A$3:$H$102,6,FALSE)&gt;=main!$D$103+VLOOKUP(VLOOKUP(D$1,main!$A$3:$I$102,7,FALSE),main!$K$26:$Q$29,3,FALSE),1,0)</f>
        <v>0</v>
      </c>
      <c r="E79">
        <f>IF(VLOOKUP(E$1,main!$A$3:$H$102,5,FALSE)-VLOOKUP($A79,main!$A$3:$H$102,6,FALSE)&gt;=main!$D$103+VLOOKUP(VLOOKUP(E$1,main!$A$3:$I$102,7,FALSE),main!$K$26:$Q$29,3,FALSE),1,0)</f>
        <v>0</v>
      </c>
      <c r="F79">
        <f>IF(VLOOKUP(F$1,main!$A$3:$H$102,5,FALSE)-VLOOKUP($A79,main!$A$3:$H$102,6,FALSE)&gt;=main!$D$103+VLOOKUP(VLOOKUP(F$1,main!$A$3:$I$102,7,FALSE),main!$K$26:$Q$29,3,FALSE),1,0)</f>
        <v>1</v>
      </c>
      <c r="G79">
        <f>IF(VLOOKUP(G$1,main!$A$3:$H$102,5,FALSE)-VLOOKUP($A79,main!$A$3:$H$102,6,FALSE)&gt;=main!$D$103+VLOOKUP(VLOOKUP(G$1,main!$A$3:$I$102,7,FALSE),main!$K$26:$Q$29,3,FALSE),1,0)</f>
        <v>1</v>
      </c>
      <c r="H79">
        <f>IF(VLOOKUP(H$1,main!$A$3:$H$102,5,FALSE)-VLOOKUP($A79,main!$A$3:$H$102,6,FALSE)&gt;=main!$D$103+VLOOKUP(VLOOKUP(H$1,main!$A$3:$I$102,7,FALSE),main!$K$26:$Q$29,3,FALSE),1,0)</f>
        <v>1</v>
      </c>
      <c r="I79">
        <f>IF(VLOOKUP(I$1,main!$A$3:$H$102,5,FALSE)-VLOOKUP($A79,main!$A$3:$H$102,6,FALSE)&gt;=main!$D$103+VLOOKUP(VLOOKUP(I$1,main!$A$3:$I$102,7,FALSE),main!$K$26:$Q$29,3,FALSE),1,0)</f>
        <v>1</v>
      </c>
      <c r="J79">
        <f>IF(VLOOKUP(J$1,main!$A$3:$H$102,5,FALSE)-VLOOKUP($A79,main!$A$3:$H$102,6,FALSE)&gt;=main!$D$103+VLOOKUP(VLOOKUP(J$1,main!$A$3:$I$102,7,FALSE),main!$K$26:$Q$29,3,FALSE),1,0)</f>
        <v>1</v>
      </c>
      <c r="K79">
        <f>IF(VLOOKUP(K$1,main!$A$3:$H$102,5,FALSE)-VLOOKUP($A79,main!$A$3:$H$102,6,FALSE)&gt;=main!$D$103+VLOOKUP(VLOOKUP(K$1,main!$A$3:$I$102,7,FALSE),main!$K$26:$Q$29,3,FALSE),1,0)</f>
        <v>1</v>
      </c>
      <c r="L79">
        <f>IF(VLOOKUP(L$1,main!$A$3:$H$102,5,FALSE)-VLOOKUP($A79,main!$A$3:$H$102,6,FALSE)&gt;=main!$D$103+VLOOKUP(VLOOKUP(L$1,main!$A$3:$I$102,7,FALSE),main!$K$26:$Q$29,3,FALSE),1,0)</f>
        <v>1</v>
      </c>
      <c r="M79">
        <f>IF(VLOOKUP(M$1,main!$A$3:$H$102,5,FALSE)-VLOOKUP($A79,main!$A$3:$H$102,6,FALSE)&gt;=main!$D$103+VLOOKUP(VLOOKUP(M$1,main!$A$3:$I$102,7,FALSE),main!$K$26:$Q$29,3,FALSE),1,0)</f>
        <v>0</v>
      </c>
      <c r="N79">
        <f>IF(VLOOKUP(N$1,main!$A$3:$H$102,5,FALSE)-VLOOKUP($A79,main!$A$3:$H$102,6,FALSE)&gt;=main!$D$103+VLOOKUP(VLOOKUP(N$1,main!$A$3:$I$102,7,FALSE),main!$K$26:$Q$29,3,FALSE),1,0)</f>
        <v>0</v>
      </c>
      <c r="O79">
        <f>IF(VLOOKUP(O$1,main!$A$3:$H$102,5,FALSE)-VLOOKUP($A79,main!$A$3:$H$102,6,FALSE)&gt;=main!$D$103+VLOOKUP(VLOOKUP(O$1,main!$A$3:$I$102,7,FALSE),main!$K$26:$Q$29,3,FALSE),1,0)</f>
        <v>0</v>
      </c>
      <c r="P79">
        <f>IF(VLOOKUP(P$1,main!$A$3:$H$102,5,FALSE)-VLOOKUP($A79,main!$A$3:$H$102,6,FALSE)&gt;=main!$D$103+VLOOKUP(VLOOKUP(P$1,main!$A$3:$I$102,7,FALSE),main!$K$26:$Q$29,3,FALSE),1,0)</f>
        <v>0</v>
      </c>
      <c r="Q79">
        <f>IF(VLOOKUP(Q$1,main!$A$3:$H$102,5,FALSE)-VLOOKUP($A79,main!$A$3:$H$102,6,FALSE)&gt;=main!$D$103+VLOOKUP(VLOOKUP(Q$1,main!$A$3:$I$102,7,FALSE),main!$K$26:$Q$29,3,FALSE),1,0)</f>
        <v>1</v>
      </c>
      <c r="R79">
        <f>IF(VLOOKUP(R$1,main!$A$3:$H$102,5,FALSE)-VLOOKUP($A79,main!$A$3:$H$102,6,FALSE)&gt;=main!$D$103+VLOOKUP(VLOOKUP(R$1,main!$A$3:$I$102,7,FALSE),main!$K$26:$Q$29,3,FALSE),1,0)</f>
        <v>1</v>
      </c>
      <c r="S79">
        <f>IF(VLOOKUP(S$1,main!$A$3:$H$102,5,FALSE)-VLOOKUP($A79,main!$A$3:$H$102,6,FALSE)&gt;=main!$D$103+VLOOKUP(VLOOKUP(S$1,main!$A$3:$I$102,7,FALSE),main!$K$26:$Q$29,3,FALSE),1,0)</f>
        <v>1</v>
      </c>
      <c r="T79">
        <f>IF(VLOOKUP(T$1,main!$A$3:$H$102,5,FALSE)-VLOOKUP($A79,main!$A$3:$H$102,6,FALSE)&gt;=main!$D$103+VLOOKUP(VLOOKUP(T$1,main!$A$3:$I$102,7,FALSE),main!$K$26:$Q$29,3,FALSE),1,0)</f>
        <v>1</v>
      </c>
      <c r="U79">
        <f>IF(VLOOKUP(U$1,main!$A$3:$H$102,5,FALSE)-VLOOKUP($A79,main!$A$3:$H$102,6,FALSE)&gt;=main!$D$103+VLOOKUP(VLOOKUP(U$1,main!$A$3:$I$102,7,FALSE),main!$K$26:$Q$29,3,FALSE),1,0)</f>
        <v>1</v>
      </c>
      <c r="V79">
        <f>IF(VLOOKUP(V$1,main!$A$3:$H$102,5,FALSE)-VLOOKUP($A79,main!$A$3:$H$102,6,FALSE)&gt;=main!$D$103+VLOOKUP(VLOOKUP(V$1,main!$A$3:$I$102,7,FALSE),main!$K$26:$Q$29,3,FALSE),1,0)</f>
        <v>1</v>
      </c>
      <c r="W79">
        <f>IF(VLOOKUP(W$1,main!$A$3:$H$102,5,FALSE)-VLOOKUP($A79,main!$A$3:$H$102,6,FALSE)&gt;=main!$D$103+VLOOKUP(VLOOKUP(W$1,main!$A$3:$I$102,7,FALSE),main!$K$26:$Q$29,3,FALSE),1,0)</f>
        <v>0</v>
      </c>
      <c r="X79">
        <f>IF(VLOOKUP(X$1,main!$A$3:$H$102,5,FALSE)-VLOOKUP($A79,main!$A$3:$H$102,6,FALSE)&gt;=main!$D$103+VLOOKUP(VLOOKUP(X$1,main!$A$3:$I$102,7,FALSE),main!$K$26:$Q$29,3,FALSE),1,0)</f>
        <v>0</v>
      </c>
      <c r="Y79">
        <f>IF(VLOOKUP(Y$1,main!$A$3:$H$102,5,FALSE)-VLOOKUP($A79,main!$A$3:$H$102,6,FALSE)&gt;=main!$D$103+VLOOKUP(VLOOKUP(Y$1,main!$A$3:$I$102,7,FALSE),main!$K$26:$Q$29,3,FALSE),1,0)</f>
        <v>1</v>
      </c>
      <c r="Z79">
        <f>IF(VLOOKUP(Z$1,main!$A$3:$H$102,5,FALSE)-VLOOKUP($A79,main!$A$3:$H$102,6,FALSE)&gt;=main!$D$103+VLOOKUP(VLOOKUP(Z$1,main!$A$3:$I$102,7,FALSE),main!$K$26:$Q$29,3,FALSE),1,0)</f>
        <v>1</v>
      </c>
      <c r="AA79">
        <f>IF(VLOOKUP(AA$1,main!$A$3:$H$102,5,FALSE)-VLOOKUP($A79,main!$A$3:$H$102,6,FALSE)&gt;=main!$D$103+VLOOKUP(VLOOKUP(AA$1,main!$A$3:$I$102,7,FALSE),main!$K$26:$Q$29,3,FALSE),1,0)</f>
        <v>1</v>
      </c>
      <c r="AB79">
        <f>IF(VLOOKUP(AB$1,main!$A$3:$H$102,5,FALSE)-VLOOKUP($A79,main!$A$3:$H$102,6,FALSE)&gt;=main!$D$103+VLOOKUP(VLOOKUP(AB$1,main!$A$3:$I$102,7,FALSE),main!$K$26:$Q$29,3,FALSE),1,0)</f>
        <v>0</v>
      </c>
      <c r="AC79">
        <f>IF(VLOOKUP(AC$1,main!$A$3:$H$102,5,FALSE)-VLOOKUP($A79,main!$A$3:$H$102,6,FALSE)&gt;=main!$D$103+VLOOKUP(VLOOKUP(AC$1,main!$A$3:$I$102,7,FALSE),main!$K$26:$Q$29,3,FALSE),1,0)</f>
        <v>0</v>
      </c>
      <c r="AD79">
        <f>IF(VLOOKUP(AD$1,main!$A$3:$H$102,5,FALSE)-VLOOKUP($A79,main!$A$3:$H$102,6,FALSE)&gt;=main!$D$103+VLOOKUP(VLOOKUP(AD$1,main!$A$3:$I$102,7,FALSE),main!$K$26:$Q$29,3,FALSE),1,0)</f>
        <v>1</v>
      </c>
      <c r="AE79">
        <f>IF(VLOOKUP(AE$1,main!$A$3:$H$102,5,FALSE)-VLOOKUP($A79,main!$A$3:$H$102,6,FALSE)&gt;=main!$D$103+VLOOKUP(VLOOKUP(AE$1,main!$A$3:$I$102,7,FALSE),main!$K$26:$Q$29,3,FALSE),1,0)</f>
        <v>1</v>
      </c>
      <c r="AF79">
        <f>IF(VLOOKUP(AF$1,main!$A$3:$H$102,5,FALSE)-VLOOKUP($A79,main!$A$3:$H$102,6,FALSE)&gt;=main!$D$103+VLOOKUP(VLOOKUP(AF$1,main!$A$3:$I$102,7,FALSE),main!$K$26:$Q$29,3,FALSE),1,0)</f>
        <v>1</v>
      </c>
      <c r="AG79">
        <f>IF(VLOOKUP(AG$1,main!$A$3:$H$102,5,FALSE)-VLOOKUP($A79,main!$A$3:$H$102,6,FALSE)&gt;=main!$D$103+VLOOKUP(VLOOKUP(AG$1,main!$A$3:$I$102,7,FALSE),main!$K$26:$Q$29,3,FALSE),1,0)</f>
        <v>0</v>
      </c>
      <c r="AH79">
        <f>IF(VLOOKUP(AH$1,main!$A$3:$H$102,5,FALSE)-VLOOKUP($A79,main!$A$3:$H$102,6,FALSE)&gt;=main!$D$103+VLOOKUP(VLOOKUP(AH$1,main!$A$3:$I$102,7,FALSE),main!$K$26:$Q$29,3,FALSE),1,0)</f>
        <v>0</v>
      </c>
      <c r="AI79">
        <f>IF(VLOOKUP(AI$1,main!$A$3:$H$102,5,FALSE)-VLOOKUP($A79,main!$A$3:$H$102,6,FALSE)&gt;=main!$D$103+VLOOKUP(VLOOKUP(AI$1,main!$A$3:$I$102,7,FALSE),main!$K$26:$Q$29,3,FALSE),1,0)</f>
        <v>0</v>
      </c>
      <c r="AJ79">
        <f>IF(VLOOKUP(AJ$1,main!$A$3:$H$102,5,FALSE)-VLOOKUP($A79,main!$A$3:$H$102,6,FALSE)&gt;=main!$D$103+VLOOKUP(VLOOKUP(AJ$1,main!$A$3:$I$102,7,FALSE),main!$K$26:$Q$29,3,FALSE),1,0)</f>
        <v>1</v>
      </c>
      <c r="AK79">
        <f>IF(VLOOKUP(AK$1,main!$A$3:$H$102,5,FALSE)-VLOOKUP($A79,main!$A$3:$H$102,6,FALSE)&gt;=main!$D$103+VLOOKUP(VLOOKUP(AK$1,main!$A$3:$I$102,7,FALSE),main!$K$26:$Q$29,3,FALSE),1,0)</f>
        <v>1</v>
      </c>
      <c r="AL79">
        <f>IF(VLOOKUP(AL$1,main!$A$3:$H$102,5,FALSE)-VLOOKUP($A79,main!$A$3:$H$102,6,FALSE)&gt;=main!$D$103+VLOOKUP(VLOOKUP(AL$1,main!$A$3:$I$102,7,FALSE),main!$K$26:$Q$29,3,FALSE),1,0)</f>
        <v>1</v>
      </c>
      <c r="AM79">
        <f>IF(VLOOKUP(AM$1,main!$A$3:$H$102,5,FALSE)-VLOOKUP($A79,main!$A$3:$H$102,6,FALSE)&gt;=main!$D$103+VLOOKUP(VLOOKUP(AM$1,main!$A$3:$I$102,7,FALSE),main!$K$26:$Q$29,3,FALSE),1,0)</f>
        <v>1</v>
      </c>
      <c r="AN79">
        <f>IF(VLOOKUP(AN$1,main!$A$3:$H$102,5,FALSE)-VLOOKUP($A79,main!$A$3:$H$102,6,FALSE)&gt;=main!$D$103+VLOOKUP(VLOOKUP(AN$1,main!$A$3:$I$102,7,FALSE),main!$K$26:$Q$29,3,FALSE),1,0)</f>
        <v>1</v>
      </c>
      <c r="AO79">
        <f>IF(VLOOKUP(AO$1,main!$A$3:$H$102,5,FALSE)-VLOOKUP($A79,main!$A$3:$H$102,6,FALSE)&gt;=main!$D$103+VLOOKUP(VLOOKUP(AO$1,main!$A$3:$I$102,7,FALSE),main!$K$26:$Q$29,3,FALSE),1,0)</f>
        <v>0</v>
      </c>
      <c r="AP79">
        <f>IF(VLOOKUP(AP$1,main!$A$3:$H$102,5,FALSE)-VLOOKUP($A79,main!$A$3:$H$102,6,FALSE)&gt;=main!$D$103+VLOOKUP(VLOOKUP(AP$1,main!$A$3:$I$102,7,FALSE),main!$K$26:$Q$29,3,FALSE),1,0)</f>
        <v>1</v>
      </c>
      <c r="AQ79">
        <f>IF(VLOOKUP(AQ$1,main!$A$3:$H$102,5,FALSE)-VLOOKUP($A79,main!$A$3:$H$102,6,FALSE)&gt;=main!$D$103+VLOOKUP(VLOOKUP(AQ$1,main!$A$3:$I$102,7,FALSE),main!$K$26:$Q$29,3,FALSE),1,0)</f>
        <v>0</v>
      </c>
      <c r="AR79">
        <f>IF(VLOOKUP(AR$1,main!$A$3:$H$102,5,FALSE)-VLOOKUP($A79,main!$A$3:$H$102,6,FALSE)&gt;=main!$D$103+VLOOKUP(VLOOKUP(AR$1,main!$A$3:$I$102,7,FALSE),main!$K$26:$Q$29,3,FALSE),1,0)</f>
        <v>0</v>
      </c>
      <c r="AS79">
        <f>IF(VLOOKUP(AS$1,main!$A$3:$H$102,5,FALSE)-VLOOKUP($A79,main!$A$3:$H$102,6,FALSE)&gt;=main!$D$103+VLOOKUP(VLOOKUP(AS$1,main!$A$3:$I$102,7,FALSE),main!$K$26:$Q$29,3,FALSE),1,0)</f>
        <v>1</v>
      </c>
      <c r="AT79">
        <f>IF(VLOOKUP(AT$1,main!$A$3:$H$102,5,FALSE)-VLOOKUP($A79,main!$A$3:$H$102,6,FALSE)&gt;=main!$D$103+VLOOKUP(VLOOKUP(AT$1,main!$A$3:$I$102,7,FALSE),main!$K$26:$Q$29,3,FALSE),1,0)</f>
        <v>1</v>
      </c>
      <c r="AU79">
        <f>IF(VLOOKUP(AU$1,main!$A$3:$H$102,5,FALSE)-VLOOKUP($A79,main!$A$3:$H$102,6,FALSE)&gt;=main!$D$103+VLOOKUP(VLOOKUP(AU$1,main!$A$3:$I$102,7,FALSE),main!$K$26:$Q$29,3,FALSE),1,0)</f>
        <v>0</v>
      </c>
      <c r="AV79">
        <f>IF(VLOOKUP(AV$1,main!$A$3:$H$102,5,FALSE)-VLOOKUP($A79,main!$A$3:$H$102,6,FALSE)&gt;=main!$D$103+VLOOKUP(VLOOKUP(AV$1,main!$A$3:$I$102,7,FALSE),main!$K$26:$Q$29,3,FALSE),1,0)</f>
        <v>0</v>
      </c>
      <c r="AW79">
        <f>IF(VLOOKUP(AW$1,main!$A$3:$H$102,5,FALSE)-VLOOKUP($A79,main!$A$3:$H$102,6,FALSE)&gt;=main!$D$103+VLOOKUP(VLOOKUP(AW$1,main!$A$3:$I$102,7,FALSE),main!$K$26:$Q$29,3,FALSE),1,0)</f>
        <v>1</v>
      </c>
      <c r="AX79">
        <f>IF(VLOOKUP(AX$1,main!$A$3:$H$102,5,FALSE)-VLOOKUP($A79,main!$A$3:$H$102,6,FALSE)&gt;=main!$D$103+VLOOKUP(VLOOKUP(AX$1,main!$A$3:$I$102,7,FALSE),main!$K$26:$Q$29,3,FALSE),1,0)</f>
        <v>1</v>
      </c>
      <c r="AY79">
        <f>IF(VLOOKUP(AY$1,main!$A$3:$H$102,5,FALSE)-VLOOKUP($A79,main!$A$3:$H$102,6,FALSE)&gt;=main!$D$103+VLOOKUP(VLOOKUP(AY$1,main!$A$3:$I$102,7,FALSE),main!$K$26:$Q$29,3,FALSE),1,0)</f>
        <v>0</v>
      </c>
      <c r="AZ79">
        <f>IF(VLOOKUP(AZ$1,main!$A$3:$H$102,5,FALSE)-VLOOKUP($A79,main!$A$3:$H$102,6,FALSE)&gt;=main!$D$103+VLOOKUP(VLOOKUP(AZ$1,main!$A$3:$I$102,7,FALSE),main!$K$26:$Q$29,3,FALSE),1,0)</f>
        <v>0</v>
      </c>
      <c r="BA79">
        <f>IF(VLOOKUP(BA$1,main!$A$3:$H$102,5,FALSE)-VLOOKUP($A79,main!$A$3:$H$102,6,FALSE)&gt;=main!$D$103+VLOOKUP(VLOOKUP(BA$1,main!$A$3:$I$102,7,FALSE),main!$K$26:$Q$29,3,FALSE),1,0)</f>
        <v>0</v>
      </c>
      <c r="BB79">
        <f>IF(VLOOKUP(BB$1,main!$A$3:$H$102,5,FALSE)-VLOOKUP($A79,main!$A$3:$H$102,6,FALSE)&gt;=main!$D$103+VLOOKUP(VLOOKUP(BB$1,main!$A$3:$I$102,7,FALSE),main!$K$26:$Q$29,3,FALSE),1,0)</f>
        <v>1</v>
      </c>
      <c r="BC79">
        <f>IF(VLOOKUP(BC$1,main!$A$3:$H$102,5,FALSE)-VLOOKUP($A79,main!$A$3:$H$102,6,FALSE)&gt;=main!$D$103+VLOOKUP(VLOOKUP(BC$1,main!$A$3:$I$102,7,FALSE),main!$K$26:$Q$29,3,FALSE),1,0)</f>
        <v>1</v>
      </c>
      <c r="BD79">
        <f>IF(VLOOKUP(BD$1,main!$A$3:$H$102,5,FALSE)-VLOOKUP($A79,main!$A$3:$H$102,6,FALSE)&gt;=main!$D$103+VLOOKUP(VLOOKUP(BD$1,main!$A$3:$I$102,7,FALSE),main!$K$26:$Q$29,3,FALSE),1,0)</f>
        <v>1</v>
      </c>
      <c r="BE79">
        <f>IF(VLOOKUP(BE$1,main!$A$3:$H$102,5,FALSE)-VLOOKUP($A79,main!$A$3:$H$102,6,FALSE)&gt;=main!$D$103+VLOOKUP(VLOOKUP(BE$1,main!$A$3:$I$102,7,FALSE),main!$K$26:$Q$29,3,FALSE),1,0)</f>
        <v>1</v>
      </c>
      <c r="BF79">
        <f>IF(VLOOKUP(BF$1,main!$A$3:$H$102,5,FALSE)-VLOOKUP($A79,main!$A$3:$H$102,6,FALSE)&gt;=main!$D$103+VLOOKUP(VLOOKUP(BF$1,main!$A$3:$I$102,7,FALSE),main!$K$26:$Q$29,3,FALSE),1,0)</f>
        <v>0</v>
      </c>
      <c r="BG79">
        <f>IF(VLOOKUP(BG$1,main!$A$3:$H$102,5,FALSE)-VLOOKUP($A79,main!$A$3:$H$102,6,FALSE)&gt;=main!$D$103+VLOOKUP(VLOOKUP(BG$1,main!$A$3:$I$102,7,FALSE),main!$K$26:$Q$29,3,FALSE),1,0)</f>
        <v>0</v>
      </c>
      <c r="BH79">
        <f>IF(VLOOKUP(BH$1,main!$A$3:$H$102,5,FALSE)-VLOOKUP($A79,main!$A$3:$H$102,6,FALSE)&gt;=main!$D$103+VLOOKUP(VLOOKUP(BH$1,main!$A$3:$I$102,7,FALSE),main!$K$26:$Q$29,3,FALSE),1,0)</f>
        <v>1</v>
      </c>
      <c r="BI79">
        <f>IF(VLOOKUP(BI$1,main!$A$3:$H$102,5,FALSE)-VLOOKUP($A79,main!$A$3:$H$102,6,FALSE)&gt;=main!$D$103+VLOOKUP(VLOOKUP(BI$1,main!$A$3:$I$102,7,FALSE),main!$K$26:$Q$29,3,FALSE),1,0)</f>
        <v>1</v>
      </c>
      <c r="BJ79">
        <f>IF(VLOOKUP(BJ$1,main!$A$3:$H$102,5,FALSE)-VLOOKUP($A79,main!$A$3:$H$102,6,FALSE)&gt;=main!$D$103+VLOOKUP(VLOOKUP(BJ$1,main!$A$3:$I$102,7,FALSE),main!$K$26:$Q$29,3,FALSE),1,0)</f>
        <v>1</v>
      </c>
      <c r="BK79">
        <f>IF(VLOOKUP(BK$1,main!$A$3:$H$102,5,FALSE)-VLOOKUP($A79,main!$A$3:$H$102,6,FALSE)&gt;=main!$D$103+VLOOKUP(VLOOKUP(BK$1,main!$A$3:$I$102,7,FALSE),main!$K$26:$Q$29,3,FALSE),1,0)</f>
        <v>0</v>
      </c>
      <c r="BL79">
        <f>IF(VLOOKUP(BL$1,main!$A$3:$H$102,5,FALSE)-VLOOKUP($A79,main!$A$3:$H$102,6,FALSE)&gt;=main!$D$103+VLOOKUP(VLOOKUP(BL$1,main!$A$3:$I$102,7,FALSE),main!$K$26:$Q$29,3,FALSE),1,0)</f>
        <v>0</v>
      </c>
      <c r="BM79">
        <f>IF(VLOOKUP(BM$1,main!$A$3:$H$102,5,FALSE)-VLOOKUP($A79,main!$A$3:$H$102,6,FALSE)&gt;=main!$D$103+VLOOKUP(VLOOKUP(BM$1,main!$A$3:$I$102,7,FALSE),main!$K$26:$Q$29,3,FALSE),1,0)</f>
        <v>0</v>
      </c>
      <c r="BN79">
        <f>IF(VLOOKUP(BN$1,main!$A$3:$H$102,5,FALSE)-VLOOKUP($A79,main!$A$3:$H$102,6,FALSE)&gt;=main!$D$103+VLOOKUP(VLOOKUP(BN$1,main!$A$3:$I$102,7,FALSE),main!$K$26:$Q$29,3,FALSE),1,0)</f>
        <v>1</v>
      </c>
      <c r="BO79">
        <f>IF(VLOOKUP(BO$1,main!$A$3:$H$102,5,FALSE)-VLOOKUP($A79,main!$A$3:$H$102,6,FALSE)&gt;=main!$D$103+VLOOKUP(VLOOKUP(BO$1,main!$A$3:$I$102,7,FALSE),main!$K$26:$Q$29,3,FALSE),1,0)</f>
        <v>0</v>
      </c>
      <c r="BP79">
        <f>IF(VLOOKUP(BP$1,main!$A$3:$H$102,5,FALSE)-VLOOKUP($A79,main!$A$3:$H$102,6,FALSE)&gt;=main!$D$103+VLOOKUP(VLOOKUP(BP$1,main!$A$3:$I$102,7,FALSE),main!$K$26:$Q$29,3,FALSE),1,0)</f>
        <v>0</v>
      </c>
      <c r="BQ79">
        <f>IF(VLOOKUP(BQ$1,main!$A$3:$H$102,5,FALSE)-VLOOKUP($A79,main!$A$3:$H$102,6,FALSE)&gt;=main!$D$103+VLOOKUP(VLOOKUP(BQ$1,main!$A$3:$I$102,7,FALSE),main!$K$26:$Q$29,3,FALSE),1,0)</f>
        <v>1</v>
      </c>
      <c r="BR79">
        <f>IF(VLOOKUP(BR$1,main!$A$3:$H$102,5,FALSE)-VLOOKUP($A79,main!$A$3:$H$102,6,FALSE)&gt;=main!$D$103+VLOOKUP(VLOOKUP(BR$1,main!$A$3:$I$102,7,FALSE),main!$K$26:$Q$29,3,FALSE),1,0)</f>
        <v>1</v>
      </c>
      <c r="BS79">
        <f>IF(VLOOKUP(BS$1,main!$A$3:$H$102,5,FALSE)-VLOOKUP($A79,main!$A$3:$H$102,6,FALSE)&gt;=main!$D$103+VLOOKUP(VLOOKUP(BS$1,main!$A$3:$I$102,7,FALSE),main!$K$26:$Q$29,3,FALSE),1,0)</f>
        <v>1</v>
      </c>
      <c r="BT79">
        <f>IF(VLOOKUP(BT$1,main!$A$3:$H$102,5,FALSE)-VLOOKUP($A79,main!$A$3:$H$102,6,FALSE)&gt;=main!$D$103+VLOOKUP(VLOOKUP(BT$1,main!$A$3:$I$102,7,FALSE),main!$K$26:$Q$29,3,FALSE),1,0)</f>
        <v>1</v>
      </c>
      <c r="BU79">
        <f>IF(VLOOKUP(BU$1,main!$A$3:$H$102,5,FALSE)-VLOOKUP($A79,main!$A$3:$H$102,6,FALSE)&gt;=main!$D$103+VLOOKUP(VLOOKUP(BU$1,main!$A$3:$I$102,7,FALSE),main!$K$26:$Q$29,3,FALSE),1,0)</f>
        <v>0</v>
      </c>
      <c r="BV79">
        <f>IF(VLOOKUP(BV$1,main!$A$3:$H$102,5,FALSE)-VLOOKUP($A79,main!$A$3:$H$102,6,FALSE)&gt;=main!$D$103+VLOOKUP(VLOOKUP(BV$1,main!$A$3:$I$102,7,FALSE),main!$K$26:$Q$29,3,FALSE),1,0)</f>
        <v>0</v>
      </c>
      <c r="BW79">
        <f>IF(VLOOKUP(BW$1,main!$A$3:$H$102,5,FALSE)-VLOOKUP($A79,main!$A$3:$H$102,6,FALSE)&gt;=main!$D$103+VLOOKUP(VLOOKUP(BW$1,main!$A$3:$I$102,7,FALSE),main!$K$26:$Q$29,3,FALSE),1,0)</f>
        <v>0</v>
      </c>
      <c r="BX79">
        <f>IF(VLOOKUP(BX$1,main!$A$3:$H$102,5,FALSE)-VLOOKUP($A79,main!$A$3:$H$102,6,FALSE)&gt;=main!$D$103+VLOOKUP(VLOOKUP(BX$1,main!$A$3:$I$102,7,FALSE),main!$K$26:$Q$29,3,FALSE),1,0)</f>
        <v>1</v>
      </c>
      <c r="BY79">
        <f>IF(VLOOKUP(BY$1,main!$A$3:$H$102,5,FALSE)-VLOOKUP($A79,main!$A$3:$H$102,6,FALSE)&gt;=main!$D$103+VLOOKUP(VLOOKUP(BY$1,main!$A$3:$I$102,7,FALSE),main!$K$26:$Q$29,3,FALSE),1,0)</f>
        <v>1</v>
      </c>
      <c r="BZ79">
        <f>IF(VLOOKUP(BZ$1,main!$A$3:$H$102,5,FALSE)-VLOOKUP($A79,main!$A$3:$H$102,6,FALSE)&gt;=main!$D$103+VLOOKUP(VLOOKUP(BZ$1,main!$A$3:$I$102,7,FALSE),main!$K$26:$Q$29,3,FALSE),1,0)</f>
        <v>0</v>
      </c>
      <c r="CA79">
        <f>IF(VLOOKUP(CA$1,main!$A$3:$H$102,5,FALSE)-VLOOKUP($A79,main!$A$3:$H$102,6,FALSE)&gt;=main!$D$103+VLOOKUP(VLOOKUP(CA$1,main!$A$3:$I$102,7,FALSE),main!$K$26:$Q$29,3,FALSE),1,0)</f>
        <v>0</v>
      </c>
      <c r="CB79">
        <f>IF(VLOOKUP(CB$1,main!$A$3:$H$102,5,FALSE)-VLOOKUP($A79,main!$A$3:$H$102,6,FALSE)&gt;=main!$D$103+VLOOKUP(VLOOKUP(CB$1,main!$A$3:$I$102,7,FALSE),main!$K$26:$Q$29,3,FALSE),1,0)</f>
        <v>1</v>
      </c>
      <c r="CC79">
        <f>IF(VLOOKUP(CC$1,main!$A$3:$H$102,5,FALSE)-VLOOKUP($A79,main!$A$3:$H$102,6,FALSE)&gt;=main!$D$103+VLOOKUP(VLOOKUP(CC$1,main!$A$3:$I$102,7,FALSE),main!$K$26:$Q$29,3,FALSE),1,0)</f>
        <v>1</v>
      </c>
      <c r="CD79">
        <f>IF(VLOOKUP(CD$1,main!$A$3:$H$102,5,FALSE)-VLOOKUP($A79,main!$A$3:$H$102,6,FALSE)&gt;=main!$D$103+VLOOKUP(VLOOKUP(CD$1,main!$A$3:$I$102,7,FALSE),main!$K$26:$Q$29,3,FALSE),1,0)</f>
        <v>1</v>
      </c>
      <c r="CE79">
        <f>IF(VLOOKUP(CE$1,main!$A$3:$H$102,5,FALSE)-VLOOKUP($A79,main!$A$3:$H$102,6,FALSE)&gt;=main!$D$103+VLOOKUP(VLOOKUP(CE$1,main!$A$3:$I$102,7,FALSE),main!$K$26:$Q$29,3,FALSE),1,0)</f>
        <v>0</v>
      </c>
      <c r="CF79">
        <f>IF(VLOOKUP(CF$1,main!$A$3:$H$102,5,FALSE)-VLOOKUP($A79,main!$A$3:$H$102,6,FALSE)&gt;=main!$D$103+VLOOKUP(VLOOKUP(CF$1,main!$A$3:$I$102,7,FALSE),main!$K$26:$Q$29,3,FALSE),1,0)</f>
        <v>1</v>
      </c>
      <c r="CG79">
        <f>IF(VLOOKUP(CG$1,main!$A$3:$H$102,5,FALSE)-VLOOKUP($A79,main!$A$3:$H$102,6,FALSE)&gt;=main!$D$103+VLOOKUP(VLOOKUP(CG$1,main!$A$3:$I$102,7,FALSE),main!$K$26:$Q$29,3,FALSE),1,0)</f>
        <v>1</v>
      </c>
      <c r="CH79">
        <f>IF(VLOOKUP(CH$1,main!$A$3:$H$102,5,FALSE)-VLOOKUP($A79,main!$A$3:$H$102,6,FALSE)&gt;=main!$D$103+VLOOKUP(VLOOKUP(CH$1,main!$A$3:$I$102,7,FALSE),main!$K$26:$Q$29,3,FALSE),1,0)</f>
        <v>1</v>
      </c>
      <c r="CI79">
        <f>IF(VLOOKUP(CI$1,main!$A$3:$H$102,5,FALSE)-VLOOKUP($A79,main!$A$3:$H$102,6,FALSE)&gt;=main!$D$103+VLOOKUP(VLOOKUP(CI$1,main!$A$3:$I$102,7,FALSE),main!$K$26:$Q$29,3,FALSE),1,0)</f>
        <v>1</v>
      </c>
      <c r="CJ79">
        <f>IF(VLOOKUP(CJ$1,main!$A$3:$H$102,5,FALSE)-VLOOKUP($A79,main!$A$3:$H$102,6,FALSE)&gt;=main!$D$103+VLOOKUP(VLOOKUP(CJ$1,main!$A$3:$I$102,7,FALSE),main!$K$26:$Q$29,3,FALSE),1,0)</f>
        <v>1</v>
      </c>
      <c r="CK79">
        <f>IF(VLOOKUP(CK$1,main!$A$3:$H$102,5,FALSE)-VLOOKUP($A79,main!$A$3:$H$102,6,FALSE)&gt;=main!$D$103+VLOOKUP(VLOOKUP(CK$1,main!$A$3:$I$102,7,FALSE),main!$K$26:$Q$29,3,FALSE),1,0)</f>
        <v>0</v>
      </c>
      <c r="CL79">
        <f>IF(VLOOKUP(CL$1,main!$A$3:$H$102,5,FALSE)-VLOOKUP($A79,main!$A$3:$H$102,6,FALSE)&gt;=main!$D$103+VLOOKUP(VLOOKUP(CL$1,main!$A$3:$I$102,7,FALSE),main!$K$26:$Q$29,3,FALSE),1,0)</f>
        <v>1</v>
      </c>
      <c r="CM79">
        <f>IF(VLOOKUP(CM$1,main!$A$3:$H$102,5,FALSE)-VLOOKUP($A79,main!$A$3:$H$102,6,FALSE)&gt;=main!$D$103+VLOOKUP(VLOOKUP(CM$1,main!$A$3:$I$102,7,FALSE),main!$K$26:$Q$29,3,FALSE),1,0)</f>
        <v>1</v>
      </c>
      <c r="CN79">
        <f>IF(VLOOKUP(CN$1,main!$A$3:$H$102,5,FALSE)-VLOOKUP($A79,main!$A$3:$H$102,6,FALSE)&gt;=main!$D$103+VLOOKUP(VLOOKUP(CN$1,main!$A$3:$I$102,7,FALSE),main!$K$26:$Q$29,3,FALSE),1,0)</f>
        <v>1</v>
      </c>
      <c r="CO79">
        <f>IF(VLOOKUP(CO$1,main!$A$3:$H$102,5,FALSE)-VLOOKUP($A79,main!$A$3:$H$102,6,FALSE)&gt;=main!$D$103+VLOOKUP(VLOOKUP(CO$1,main!$A$3:$I$102,7,FALSE),main!$K$26:$Q$29,3,FALSE),1,0)</f>
        <v>0</v>
      </c>
      <c r="CP79">
        <f>IF(VLOOKUP(CP$1,main!$A$3:$H$102,5,FALSE)-VLOOKUP($A79,main!$A$3:$H$102,6,FALSE)&gt;=main!$D$103+VLOOKUP(VLOOKUP(CP$1,main!$A$3:$I$102,7,FALSE),main!$K$26:$Q$29,3,FALSE),1,0)</f>
        <v>1</v>
      </c>
      <c r="CQ79">
        <f>IF(VLOOKUP(CQ$1,main!$A$3:$H$102,5,FALSE)-VLOOKUP($A79,main!$A$3:$H$102,6,FALSE)&gt;=main!$D$103+VLOOKUP(VLOOKUP(CQ$1,main!$A$3:$I$102,7,FALSE),main!$K$26:$Q$29,3,FALSE),1,0)</f>
        <v>1</v>
      </c>
      <c r="CR79">
        <f>IF(VLOOKUP(CR$1,main!$A$3:$H$102,5,FALSE)-VLOOKUP($A79,main!$A$3:$H$102,6,FALSE)&gt;=main!$D$103+VLOOKUP(VLOOKUP(CR$1,main!$A$3:$I$102,7,FALSE),main!$K$26:$Q$29,3,FALSE),1,0)</f>
        <v>1</v>
      </c>
      <c r="CS79">
        <f>IF(VLOOKUP(CS$1,main!$A$3:$H$102,5,FALSE)-VLOOKUP($A79,main!$A$3:$H$102,6,FALSE)&gt;=main!$D$103+VLOOKUP(VLOOKUP(CS$1,main!$A$3:$I$102,7,FALSE),main!$K$26:$Q$29,3,FALSE),1,0)</f>
        <v>1</v>
      </c>
      <c r="CT79">
        <f>IF(VLOOKUP(CT$1,main!$A$3:$H$102,5,FALSE)-VLOOKUP($A79,main!$A$3:$H$102,6,FALSE)&gt;=main!$D$103+VLOOKUP(VLOOKUP(CT$1,main!$A$3:$I$102,7,FALSE),main!$K$26:$Q$29,3,FALSE),1,0)</f>
        <v>0</v>
      </c>
      <c r="CU79">
        <f>IF(VLOOKUP(CU$1,main!$A$3:$H$102,5,FALSE)-VLOOKUP($A79,main!$A$3:$H$102,6,FALSE)&gt;=main!$D$103+VLOOKUP(VLOOKUP(CU$1,main!$A$3:$I$102,7,FALSE),main!$K$26:$Q$29,3,FALSE),1,0)</f>
        <v>0</v>
      </c>
      <c r="CV79">
        <f>IF(VLOOKUP(CV$1,main!$A$3:$H$102,5,FALSE)-VLOOKUP($A79,main!$A$3:$H$102,6,FALSE)&gt;=main!$D$103+VLOOKUP(VLOOKUP(CV$1,main!$A$3:$I$102,7,FALSE),main!$K$26:$Q$29,3,FALSE),1,0)</f>
        <v>1</v>
      </c>
      <c r="CW79">
        <f>IF(VLOOKUP(CW$1,main!$A$3:$H$102,5,FALSE)-VLOOKUP($A79,main!$A$3:$H$102,6,FALSE)&gt;=main!$D$103+VLOOKUP(VLOOKUP(CW$1,main!$A$3:$I$102,7,FALSE),main!$K$26:$Q$29,3,FALSE),1,0)</f>
        <v>1</v>
      </c>
      <c r="CX79">
        <f>IF(VLOOKUP(CX$1,main!$A$3:$H$102,5,FALSE)-VLOOKUP($A79,main!$A$3:$H$102,6,FALSE)&gt;=main!$D$103+VLOOKUP(VLOOKUP(CX$1,main!$A$3:$I$102,7,FALSE),main!$K$26:$Q$29,3,FALSE),1,0)</f>
        <v>1</v>
      </c>
    </row>
    <row r="80" spans="1:102" x14ac:dyDescent="0.25">
      <c r="A80" s="1">
        <v>78</v>
      </c>
      <c r="B80">
        <v>0</v>
      </c>
      <c r="C80">
        <f>IF(VLOOKUP(C$1,main!$A$3:$H$102,5,FALSE)-VLOOKUP($A80,main!$A$3:$H$102,6,FALSE)&gt;=main!$D$103+VLOOKUP(VLOOKUP(C$1,main!$A$3:$I$102,7,FALSE),main!$K$26:$Q$29,3,FALSE),1,0)</f>
        <v>0</v>
      </c>
      <c r="D80">
        <f>IF(VLOOKUP(D$1,main!$A$3:$H$102,5,FALSE)-VLOOKUP($A80,main!$A$3:$H$102,6,FALSE)&gt;=main!$D$103+VLOOKUP(VLOOKUP(D$1,main!$A$3:$I$102,7,FALSE),main!$K$26:$Q$29,3,FALSE),1,0)</f>
        <v>0</v>
      </c>
      <c r="E80">
        <f>IF(VLOOKUP(E$1,main!$A$3:$H$102,5,FALSE)-VLOOKUP($A80,main!$A$3:$H$102,6,FALSE)&gt;=main!$D$103+VLOOKUP(VLOOKUP(E$1,main!$A$3:$I$102,7,FALSE),main!$K$26:$Q$29,3,FALSE),1,0)</f>
        <v>0</v>
      </c>
      <c r="F80">
        <f>IF(VLOOKUP(F$1,main!$A$3:$H$102,5,FALSE)-VLOOKUP($A80,main!$A$3:$H$102,6,FALSE)&gt;=main!$D$103+VLOOKUP(VLOOKUP(F$1,main!$A$3:$I$102,7,FALSE),main!$K$26:$Q$29,3,FALSE),1,0)</f>
        <v>0</v>
      </c>
      <c r="G80">
        <f>IF(VLOOKUP(G$1,main!$A$3:$H$102,5,FALSE)-VLOOKUP($A80,main!$A$3:$H$102,6,FALSE)&gt;=main!$D$103+VLOOKUP(VLOOKUP(G$1,main!$A$3:$I$102,7,FALSE),main!$K$26:$Q$29,3,FALSE),1,0)</f>
        <v>0</v>
      </c>
      <c r="H80">
        <f>IF(VLOOKUP(H$1,main!$A$3:$H$102,5,FALSE)-VLOOKUP($A80,main!$A$3:$H$102,6,FALSE)&gt;=main!$D$103+VLOOKUP(VLOOKUP(H$1,main!$A$3:$I$102,7,FALSE),main!$K$26:$Q$29,3,FALSE),1,0)</f>
        <v>0</v>
      </c>
      <c r="I80">
        <f>IF(VLOOKUP(I$1,main!$A$3:$H$102,5,FALSE)-VLOOKUP($A80,main!$A$3:$H$102,6,FALSE)&gt;=main!$D$103+VLOOKUP(VLOOKUP(I$1,main!$A$3:$I$102,7,FALSE),main!$K$26:$Q$29,3,FALSE),1,0)</f>
        <v>0</v>
      </c>
      <c r="J80">
        <f>IF(VLOOKUP(J$1,main!$A$3:$H$102,5,FALSE)-VLOOKUP($A80,main!$A$3:$H$102,6,FALSE)&gt;=main!$D$103+VLOOKUP(VLOOKUP(J$1,main!$A$3:$I$102,7,FALSE),main!$K$26:$Q$29,3,FALSE),1,0)</f>
        <v>0</v>
      </c>
      <c r="K80">
        <f>IF(VLOOKUP(K$1,main!$A$3:$H$102,5,FALSE)-VLOOKUP($A80,main!$A$3:$H$102,6,FALSE)&gt;=main!$D$103+VLOOKUP(VLOOKUP(K$1,main!$A$3:$I$102,7,FALSE),main!$K$26:$Q$29,3,FALSE),1,0)</f>
        <v>1</v>
      </c>
      <c r="L80">
        <f>IF(VLOOKUP(L$1,main!$A$3:$H$102,5,FALSE)-VLOOKUP($A80,main!$A$3:$H$102,6,FALSE)&gt;=main!$D$103+VLOOKUP(VLOOKUP(L$1,main!$A$3:$I$102,7,FALSE),main!$K$26:$Q$29,3,FALSE),1,0)</f>
        <v>1</v>
      </c>
      <c r="M80">
        <f>IF(VLOOKUP(M$1,main!$A$3:$H$102,5,FALSE)-VLOOKUP($A80,main!$A$3:$H$102,6,FALSE)&gt;=main!$D$103+VLOOKUP(VLOOKUP(M$1,main!$A$3:$I$102,7,FALSE),main!$K$26:$Q$29,3,FALSE),1,0)</f>
        <v>0</v>
      </c>
      <c r="N80">
        <f>IF(VLOOKUP(N$1,main!$A$3:$H$102,5,FALSE)-VLOOKUP($A80,main!$A$3:$H$102,6,FALSE)&gt;=main!$D$103+VLOOKUP(VLOOKUP(N$1,main!$A$3:$I$102,7,FALSE),main!$K$26:$Q$29,3,FALSE),1,0)</f>
        <v>0</v>
      </c>
      <c r="O80">
        <f>IF(VLOOKUP(O$1,main!$A$3:$H$102,5,FALSE)-VLOOKUP($A80,main!$A$3:$H$102,6,FALSE)&gt;=main!$D$103+VLOOKUP(VLOOKUP(O$1,main!$A$3:$I$102,7,FALSE),main!$K$26:$Q$29,3,FALSE),1,0)</f>
        <v>0</v>
      </c>
      <c r="P80">
        <f>IF(VLOOKUP(P$1,main!$A$3:$H$102,5,FALSE)-VLOOKUP($A80,main!$A$3:$H$102,6,FALSE)&gt;=main!$D$103+VLOOKUP(VLOOKUP(P$1,main!$A$3:$I$102,7,FALSE),main!$K$26:$Q$29,3,FALSE),1,0)</f>
        <v>0</v>
      </c>
      <c r="Q80">
        <f>IF(VLOOKUP(Q$1,main!$A$3:$H$102,5,FALSE)-VLOOKUP($A80,main!$A$3:$H$102,6,FALSE)&gt;=main!$D$103+VLOOKUP(VLOOKUP(Q$1,main!$A$3:$I$102,7,FALSE),main!$K$26:$Q$29,3,FALSE),1,0)</f>
        <v>0</v>
      </c>
      <c r="R80">
        <f>IF(VLOOKUP(R$1,main!$A$3:$H$102,5,FALSE)-VLOOKUP($A80,main!$A$3:$H$102,6,FALSE)&gt;=main!$D$103+VLOOKUP(VLOOKUP(R$1,main!$A$3:$I$102,7,FALSE),main!$K$26:$Q$29,3,FALSE),1,0)</f>
        <v>0</v>
      </c>
      <c r="S80">
        <f>IF(VLOOKUP(S$1,main!$A$3:$H$102,5,FALSE)-VLOOKUP($A80,main!$A$3:$H$102,6,FALSE)&gt;=main!$D$103+VLOOKUP(VLOOKUP(S$1,main!$A$3:$I$102,7,FALSE),main!$K$26:$Q$29,3,FALSE),1,0)</f>
        <v>0</v>
      </c>
      <c r="T80">
        <f>IF(VLOOKUP(T$1,main!$A$3:$H$102,5,FALSE)-VLOOKUP($A80,main!$A$3:$H$102,6,FALSE)&gt;=main!$D$103+VLOOKUP(VLOOKUP(T$1,main!$A$3:$I$102,7,FALSE),main!$K$26:$Q$29,3,FALSE),1,0)</f>
        <v>0</v>
      </c>
      <c r="U80">
        <f>IF(VLOOKUP(U$1,main!$A$3:$H$102,5,FALSE)-VLOOKUP($A80,main!$A$3:$H$102,6,FALSE)&gt;=main!$D$103+VLOOKUP(VLOOKUP(U$1,main!$A$3:$I$102,7,FALSE),main!$K$26:$Q$29,3,FALSE),1,0)</f>
        <v>1</v>
      </c>
      <c r="V80">
        <f>IF(VLOOKUP(V$1,main!$A$3:$H$102,5,FALSE)-VLOOKUP($A80,main!$A$3:$H$102,6,FALSE)&gt;=main!$D$103+VLOOKUP(VLOOKUP(V$1,main!$A$3:$I$102,7,FALSE),main!$K$26:$Q$29,3,FALSE),1,0)</f>
        <v>1</v>
      </c>
      <c r="W80">
        <f>IF(VLOOKUP(W$1,main!$A$3:$H$102,5,FALSE)-VLOOKUP($A80,main!$A$3:$H$102,6,FALSE)&gt;=main!$D$103+VLOOKUP(VLOOKUP(W$1,main!$A$3:$I$102,7,FALSE),main!$K$26:$Q$29,3,FALSE),1,0)</f>
        <v>0</v>
      </c>
      <c r="X80">
        <f>IF(VLOOKUP(X$1,main!$A$3:$H$102,5,FALSE)-VLOOKUP($A80,main!$A$3:$H$102,6,FALSE)&gt;=main!$D$103+VLOOKUP(VLOOKUP(X$1,main!$A$3:$I$102,7,FALSE),main!$K$26:$Q$29,3,FALSE),1,0)</f>
        <v>0</v>
      </c>
      <c r="Y80">
        <f>IF(VLOOKUP(Y$1,main!$A$3:$H$102,5,FALSE)-VLOOKUP($A80,main!$A$3:$H$102,6,FALSE)&gt;=main!$D$103+VLOOKUP(VLOOKUP(Y$1,main!$A$3:$I$102,7,FALSE),main!$K$26:$Q$29,3,FALSE),1,0)</f>
        <v>0</v>
      </c>
      <c r="Z80">
        <f>IF(VLOOKUP(Z$1,main!$A$3:$H$102,5,FALSE)-VLOOKUP($A80,main!$A$3:$H$102,6,FALSE)&gt;=main!$D$103+VLOOKUP(VLOOKUP(Z$1,main!$A$3:$I$102,7,FALSE),main!$K$26:$Q$29,3,FALSE),1,0)</f>
        <v>0</v>
      </c>
      <c r="AA80">
        <f>IF(VLOOKUP(AA$1,main!$A$3:$H$102,5,FALSE)-VLOOKUP($A80,main!$A$3:$H$102,6,FALSE)&gt;=main!$D$103+VLOOKUP(VLOOKUP(AA$1,main!$A$3:$I$102,7,FALSE),main!$K$26:$Q$29,3,FALSE),1,0)</f>
        <v>1</v>
      </c>
      <c r="AB80">
        <f>IF(VLOOKUP(AB$1,main!$A$3:$H$102,5,FALSE)-VLOOKUP($A80,main!$A$3:$H$102,6,FALSE)&gt;=main!$D$103+VLOOKUP(VLOOKUP(AB$1,main!$A$3:$I$102,7,FALSE),main!$K$26:$Q$29,3,FALSE),1,0)</f>
        <v>0</v>
      </c>
      <c r="AC80">
        <f>IF(VLOOKUP(AC$1,main!$A$3:$H$102,5,FALSE)-VLOOKUP($A80,main!$A$3:$H$102,6,FALSE)&gt;=main!$D$103+VLOOKUP(VLOOKUP(AC$1,main!$A$3:$I$102,7,FALSE),main!$K$26:$Q$29,3,FALSE),1,0)</f>
        <v>0</v>
      </c>
      <c r="AD80">
        <f>IF(VLOOKUP(AD$1,main!$A$3:$H$102,5,FALSE)-VLOOKUP($A80,main!$A$3:$H$102,6,FALSE)&gt;=main!$D$103+VLOOKUP(VLOOKUP(AD$1,main!$A$3:$I$102,7,FALSE),main!$K$26:$Q$29,3,FALSE),1,0)</f>
        <v>0</v>
      </c>
      <c r="AE80">
        <f>IF(VLOOKUP(AE$1,main!$A$3:$H$102,5,FALSE)-VLOOKUP($A80,main!$A$3:$H$102,6,FALSE)&gt;=main!$D$103+VLOOKUP(VLOOKUP(AE$1,main!$A$3:$I$102,7,FALSE),main!$K$26:$Q$29,3,FALSE),1,0)</f>
        <v>0</v>
      </c>
      <c r="AF80">
        <f>IF(VLOOKUP(AF$1,main!$A$3:$H$102,5,FALSE)-VLOOKUP($A80,main!$A$3:$H$102,6,FALSE)&gt;=main!$D$103+VLOOKUP(VLOOKUP(AF$1,main!$A$3:$I$102,7,FALSE),main!$K$26:$Q$29,3,FALSE),1,0)</f>
        <v>1</v>
      </c>
      <c r="AG80">
        <f>IF(VLOOKUP(AG$1,main!$A$3:$H$102,5,FALSE)-VLOOKUP($A80,main!$A$3:$H$102,6,FALSE)&gt;=main!$D$103+VLOOKUP(VLOOKUP(AG$1,main!$A$3:$I$102,7,FALSE),main!$K$26:$Q$29,3,FALSE),1,0)</f>
        <v>0</v>
      </c>
      <c r="AH80">
        <f>IF(VLOOKUP(AH$1,main!$A$3:$H$102,5,FALSE)-VLOOKUP($A80,main!$A$3:$H$102,6,FALSE)&gt;=main!$D$103+VLOOKUP(VLOOKUP(AH$1,main!$A$3:$I$102,7,FALSE),main!$K$26:$Q$29,3,FALSE),1,0)</f>
        <v>0</v>
      </c>
      <c r="AI80">
        <f>IF(VLOOKUP(AI$1,main!$A$3:$H$102,5,FALSE)-VLOOKUP($A80,main!$A$3:$H$102,6,FALSE)&gt;=main!$D$103+VLOOKUP(VLOOKUP(AI$1,main!$A$3:$I$102,7,FALSE),main!$K$26:$Q$29,3,FALSE),1,0)</f>
        <v>0</v>
      </c>
      <c r="AJ80">
        <f>IF(VLOOKUP(AJ$1,main!$A$3:$H$102,5,FALSE)-VLOOKUP($A80,main!$A$3:$H$102,6,FALSE)&gt;=main!$D$103+VLOOKUP(VLOOKUP(AJ$1,main!$A$3:$I$102,7,FALSE),main!$K$26:$Q$29,3,FALSE),1,0)</f>
        <v>0</v>
      </c>
      <c r="AK80">
        <f>IF(VLOOKUP(AK$1,main!$A$3:$H$102,5,FALSE)-VLOOKUP($A80,main!$A$3:$H$102,6,FALSE)&gt;=main!$D$103+VLOOKUP(VLOOKUP(AK$1,main!$A$3:$I$102,7,FALSE),main!$K$26:$Q$29,3,FALSE),1,0)</f>
        <v>0</v>
      </c>
      <c r="AL80">
        <f>IF(VLOOKUP(AL$1,main!$A$3:$H$102,5,FALSE)-VLOOKUP($A80,main!$A$3:$H$102,6,FALSE)&gt;=main!$D$103+VLOOKUP(VLOOKUP(AL$1,main!$A$3:$I$102,7,FALSE),main!$K$26:$Q$29,3,FALSE),1,0)</f>
        <v>0</v>
      </c>
      <c r="AM80">
        <f>IF(VLOOKUP(AM$1,main!$A$3:$H$102,5,FALSE)-VLOOKUP($A80,main!$A$3:$H$102,6,FALSE)&gt;=main!$D$103+VLOOKUP(VLOOKUP(AM$1,main!$A$3:$I$102,7,FALSE),main!$K$26:$Q$29,3,FALSE),1,0)</f>
        <v>1</v>
      </c>
      <c r="AN80">
        <f>IF(VLOOKUP(AN$1,main!$A$3:$H$102,5,FALSE)-VLOOKUP($A80,main!$A$3:$H$102,6,FALSE)&gt;=main!$D$103+VLOOKUP(VLOOKUP(AN$1,main!$A$3:$I$102,7,FALSE),main!$K$26:$Q$29,3,FALSE),1,0)</f>
        <v>1</v>
      </c>
      <c r="AO80">
        <f>IF(VLOOKUP(AO$1,main!$A$3:$H$102,5,FALSE)-VLOOKUP($A80,main!$A$3:$H$102,6,FALSE)&gt;=main!$D$103+VLOOKUP(VLOOKUP(AO$1,main!$A$3:$I$102,7,FALSE),main!$K$26:$Q$29,3,FALSE),1,0)</f>
        <v>0</v>
      </c>
      <c r="AP80">
        <f>IF(VLOOKUP(AP$1,main!$A$3:$H$102,5,FALSE)-VLOOKUP($A80,main!$A$3:$H$102,6,FALSE)&gt;=main!$D$103+VLOOKUP(VLOOKUP(AP$1,main!$A$3:$I$102,7,FALSE),main!$K$26:$Q$29,3,FALSE),1,0)</f>
        <v>1</v>
      </c>
      <c r="AQ80">
        <f>IF(VLOOKUP(AQ$1,main!$A$3:$H$102,5,FALSE)-VLOOKUP($A80,main!$A$3:$H$102,6,FALSE)&gt;=main!$D$103+VLOOKUP(VLOOKUP(AQ$1,main!$A$3:$I$102,7,FALSE),main!$K$26:$Q$29,3,FALSE),1,0)</f>
        <v>0</v>
      </c>
      <c r="AR80">
        <f>IF(VLOOKUP(AR$1,main!$A$3:$H$102,5,FALSE)-VLOOKUP($A80,main!$A$3:$H$102,6,FALSE)&gt;=main!$D$103+VLOOKUP(VLOOKUP(AR$1,main!$A$3:$I$102,7,FALSE),main!$K$26:$Q$29,3,FALSE),1,0)</f>
        <v>0</v>
      </c>
      <c r="AS80">
        <f>IF(VLOOKUP(AS$1,main!$A$3:$H$102,5,FALSE)-VLOOKUP($A80,main!$A$3:$H$102,6,FALSE)&gt;=main!$D$103+VLOOKUP(VLOOKUP(AS$1,main!$A$3:$I$102,7,FALSE),main!$K$26:$Q$29,3,FALSE),1,0)</f>
        <v>0</v>
      </c>
      <c r="AT80">
        <f>IF(VLOOKUP(AT$1,main!$A$3:$H$102,5,FALSE)-VLOOKUP($A80,main!$A$3:$H$102,6,FALSE)&gt;=main!$D$103+VLOOKUP(VLOOKUP(AT$1,main!$A$3:$I$102,7,FALSE),main!$K$26:$Q$29,3,FALSE),1,0)</f>
        <v>0</v>
      </c>
      <c r="AU80">
        <f>IF(VLOOKUP(AU$1,main!$A$3:$H$102,5,FALSE)-VLOOKUP($A80,main!$A$3:$H$102,6,FALSE)&gt;=main!$D$103+VLOOKUP(VLOOKUP(AU$1,main!$A$3:$I$102,7,FALSE),main!$K$26:$Q$29,3,FALSE),1,0)</f>
        <v>0</v>
      </c>
      <c r="AV80">
        <f>IF(VLOOKUP(AV$1,main!$A$3:$H$102,5,FALSE)-VLOOKUP($A80,main!$A$3:$H$102,6,FALSE)&gt;=main!$D$103+VLOOKUP(VLOOKUP(AV$1,main!$A$3:$I$102,7,FALSE),main!$K$26:$Q$29,3,FALSE),1,0)</f>
        <v>0</v>
      </c>
      <c r="AW80">
        <f>IF(VLOOKUP(AW$1,main!$A$3:$H$102,5,FALSE)-VLOOKUP($A80,main!$A$3:$H$102,6,FALSE)&gt;=main!$D$103+VLOOKUP(VLOOKUP(AW$1,main!$A$3:$I$102,7,FALSE),main!$K$26:$Q$29,3,FALSE),1,0)</f>
        <v>0</v>
      </c>
      <c r="AX80">
        <f>IF(VLOOKUP(AX$1,main!$A$3:$H$102,5,FALSE)-VLOOKUP($A80,main!$A$3:$H$102,6,FALSE)&gt;=main!$D$103+VLOOKUP(VLOOKUP(AX$1,main!$A$3:$I$102,7,FALSE),main!$K$26:$Q$29,3,FALSE),1,0)</f>
        <v>0</v>
      </c>
      <c r="AY80">
        <f>IF(VLOOKUP(AY$1,main!$A$3:$H$102,5,FALSE)-VLOOKUP($A80,main!$A$3:$H$102,6,FALSE)&gt;=main!$D$103+VLOOKUP(VLOOKUP(AY$1,main!$A$3:$I$102,7,FALSE),main!$K$26:$Q$29,3,FALSE),1,0)</f>
        <v>0</v>
      </c>
      <c r="AZ80">
        <f>IF(VLOOKUP(AZ$1,main!$A$3:$H$102,5,FALSE)-VLOOKUP($A80,main!$A$3:$H$102,6,FALSE)&gt;=main!$D$103+VLOOKUP(VLOOKUP(AZ$1,main!$A$3:$I$102,7,FALSE),main!$K$26:$Q$29,3,FALSE),1,0)</f>
        <v>0</v>
      </c>
      <c r="BA80">
        <f>IF(VLOOKUP(BA$1,main!$A$3:$H$102,5,FALSE)-VLOOKUP($A80,main!$A$3:$H$102,6,FALSE)&gt;=main!$D$103+VLOOKUP(VLOOKUP(BA$1,main!$A$3:$I$102,7,FALSE),main!$K$26:$Q$29,3,FALSE),1,0)</f>
        <v>0</v>
      </c>
      <c r="BB80">
        <f>IF(VLOOKUP(BB$1,main!$A$3:$H$102,5,FALSE)-VLOOKUP($A80,main!$A$3:$H$102,6,FALSE)&gt;=main!$D$103+VLOOKUP(VLOOKUP(BB$1,main!$A$3:$I$102,7,FALSE),main!$K$26:$Q$29,3,FALSE),1,0)</f>
        <v>0</v>
      </c>
      <c r="BC80">
        <f>IF(VLOOKUP(BC$1,main!$A$3:$H$102,5,FALSE)-VLOOKUP($A80,main!$A$3:$H$102,6,FALSE)&gt;=main!$D$103+VLOOKUP(VLOOKUP(BC$1,main!$A$3:$I$102,7,FALSE),main!$K$26:$Q$29,3,FALSE),1,0)</f>
        <v>0</v>
      </c>
      <c r="BD80">
        <f>IF(VLOOKUP(BD$1,main!$A$3:$H$102,5,FALSE)-VLOOKUP($A80,main!$A$3:$H$102,6,FALSE)&gt;=main!$D$103+VLOOKUP(VLOOKUP(BD$1,main!$A$3:$I$102,7,FALSE),main!$K$26:$Q$29,3,FALSE),1,0)</f>
        <v>0</v>
      </c>
      <c r="BE80">
        <f>IF(VLOOKUP(BE$1,main!$A$3:$H$102,5,FALSE)-VLOOKUP($A80,main!$A$3:$H$102,6,FALSE)&gt;=main!$D$103+VLOOKUP(VLOOKUP(BE$1,main!$A$3:$I$102,7,FALSE),main!$K$26:$Q$29,3,FALSE),1,0)</f>
        <v>0</v>
      </c>
      <c r="BF80">
        <f>IF(VLOOKUP(BF$1,main!$A$3:$H$102,5,FALSE)-VLOOKUP($A80,main!$A$3:$H$102,6,FALSE)&gt;=main!$D$103+VLOOKUP(VLOOKUP(BF$1,main!$A$3:$I$102,7,FALSE),main!$K$26:$Q$29,3,FALSE),1,0)</f>
        <v>0</v>
      </c>
      <c r="BG80">
        <f>IF(VLOOKUP(BG$1,main!$A$3:$H$102,5,FALSE)-VLOOKUP($A80,main!$A$3:$H$102,6,FALSE)&gt;=main!$D$103+VLOOKUP(VLOOKUP(BG$1,main!$A$3:$I$102,7,FALSE),main!$K$26:$Q$29,3,FALSE),1,0)</f>
        <v>0</v>
      </c>
      <c r="BH80">
        <f>IF(VLOOKUP(BH$1,main!$A$3:$H$102,5,FALSE)-VLOOKUP($A80,main!$A$3:$H$102,6,FALSE)&gt;=main!$D$103+VLOOKUP(VLOOKUP(BH$1,main!$A$3:$I$102,7,FALSE),main!$K$26:$Q$29,3,FALSE),1,0)</f>
        <v>0</v>
      </c>
      <c r="BI80">
        <f>IF(VLOOKUP(BI$1,main!$A$3:$H$102,5,FALSE)-VLOOKUP($A80,main!$A$3:$H$102,6,FALSE)&gt;=main!$D$103+VLOOKUP(VLOOKUP(BI$1,main!$A$3:$I$102,7,FALSE),main!$K$26:$Q$29,3,FALSE),1,0)</f>
        <v>1</v>
      </c>
      <c r="BJ80">
        <f>IF(VLOOKUP(BJ$1,main!$A$3:$H$102,5,FALSE)-VLOOKUP($A80,main!$A$3:$H$102,6,FALSE)&gt;=main!$D$103+VLOOKUP(VLOOKUP(BJ$1,main!$A$3:$I$102,7,FALSE),main!$K$26:$Q$29,3,FALSE),1,0)</f>
        <v>0</v>
      </c>
      <c r="BK80">
        <f>IF(VLOOKUP(BK$1,main!$A$3:$H$102,5,FALSE)-VLOOKUP($A80,main!$A$3:$H$102,6,FALSE)&gt;=main!$D$103+VLOOKUP(VLOOKUP(BK$1,main!$A$3:$I$102,7,FALSE),main!$K$26:$Q$29,3,FALSE),1,0)</f>
        <v>0</v>
      </c>
      <c r="BL80">
        <f>IF(VLOOKUP(BL$1,main!$A$3:$H$102,5,FALSE)-VLOOKUP($A80,main!$A$3:$H$102,6,FALSE)&gt;=main!$D$103+VLOOKUP(VLOOKUP(BL$1,main!$A$3:$I$102,7,FALSE),main!$K$26:$Q$29,3,FALSE),1,0)</f>
        <v>0</v>
      </c>
      <c r="BM80">
        <f>IF(VLOOKUP(BM$1,main!$A$3:$H$102,5,FALSE)-VLOOKUP($A80,main!$A$3:$H$102,6,FALSE)&gt;=main!$D$103+VLOOKUP(VLOOKUP(BM$1,main!$A$3:$I$102,7,FALSE),main!$K$26:$Q$29,3,FALSE),1,0)</f>
        <v>0</v>
      </c>
      <c r="BN80">
        <f>IF(VLOOKUP(BN$1,main!$A$3:$H$102,5,FALSE)-VLOOKUP($A80,main!$A$3:$H$102,6,FALSE)&gt;=main!$D$103+VLOOKUP(VLOOKUP(BN$1,main!$A$3:$I$102,7,FALSE),main!$K$26:$Q$29,3,FALSE),1,0)</f>
        <v>0</v>
      </c>
      <c r="BO80">
        <f>IF(VLOOKUP(BO$1,main!$A$3:$H$102,5,FALSE)-VLOOKUP($A80,main!$A$3:$H$102,6,FALSE)&gt;=main!$D$103+VLOOKUP(VLOOKUP(BO$1,main!$A$3:$I$102,7,FALSE),main!$K$26:$Q$29,3,FALSE),1,0)</f>
        <v>0</v>
      </c>
      <c r="BP80">
        <f>IF(VLOOKUP(BP$1,main!$A$3:$H$102,5,FALSE)-VLOOKUP($A80,main!$A$3:$H$102,6,FALSE)&gt;=main!$D$103+VLOOKUP(VLOOKUP(BP$1,main!$A$3:$I$102,7,FALSE),main!$K$26:$Q$29,3,FALSE),1,0)</f>
        <v>0</v>
      </c>
      <c r="BQ80">
        <f>IF(VLOOKUP(BQ$1,main!$A$3:$H$102,5,FALSE)-VLOOKUP($A80,main!$A$3:$H$102,6,FALSE)&gt;=main!$D$103+VLOOKUP(VLOOKUP(BQ$1,main!$A$3:$I$102,7,FALSE),main!$K$26:$Q$29,3,FALSE),1,0)</f>
        <v>0</v>
      </c>
      <c r="BR80">
        <f>IF(VLOOKUP(BR$1,main!$A$3:$H$102,5,FALSE)-VLOOKUP($A80,main!$A$3:$H$102,6,FALSE)&gt;=main!$D$103+VLOOKUP(VLOOKUP(BR$1,main!$A$3:$I$102,7,FALSE),main!$K$26:$Q$29,3,FALSE),1,0)</f>
        <v>0</v>
      </c>
      <c r="BS80">
        <f>IF(VLOOKUP(BS$1,main!$A$3:$H$102,5,FALSE)-VLOOKUP($A80,main!$A$3:$H$102,6,FALSE)&gt;=main!$D$103+VLOOKUP(VLOOKUP(BS$1,main!$A$3:$I$102,7,FALSE),main!$K$26:$Q$29,3,FALSE),1,0)</f>
        <v>0</v>
      </c>
      <c r="BT80">
        <f>IF(VLOOKUP(BT$1,main!$A$3:$H$102,5,FALSE)-VLOOKUP($A80,main!$A$3:$H$102,6,FALSE)&gt;=main!$D$103+VLOOKUP(VLOOKUP(BT$1,main!$A$3:$I$102,7,FALSE),main!$K$26:$Q$29,3,FALSE),1,0)</f>
        <v>0</v>
      </c>
      <c r="BU80">
        <f>IF(VLOOKUP(BU$1,main!$A$3:$H$102,5,FALSE)-VLOOKUP($A80,main!$A$3:$H$102,6,FALSE)&gt;=main!$D$103+VLOOKUP(VLOOKUP(BU$1,main!$A$3:$I$102,7,FALSE),main!$K$26:$Q$29,3,FALSE),1,0)</f>
        <v>0</v>
      </c>
      <c r="BV80">
        <f>IF(VLOOKUP(BV$1,main!$A$3:$H$102,5,FALSE)-VLOOKUP($A80,main!$A$3:$H$102,6,FALSE)&gt;=main!$D$103+VLOOKUP(VLOOKUP(BV$1,main!$A$3:$I$102,7,FALSE),main!$K$26:$Q$29,3,FALSE),1,0)</f>
        <v>0</v>
      </c>
      <c r="BW80">
        <f>IF(VLOOKUP(BW$1,main!$A$3:$H$102,5,FALSE)-VLOOKUP($A80,main!$A$3:$H$102,6,FALSE)&gt;=main!$D$103+VLOOKUP(VLOOKUP(BW$1,main!$A$3:$I$102,7,FALSE),main!$K$26:$Q$29,3,FALSE),1,0)</f>
        <v>0</v>
      </c>
      <c r="BX80">
        <f>IF(VLOOKUP(BX$1,main!$A$3:$H$102,5,FALSE)-VLOOKUP($A80,main!$A$3:$H$102,6,FALSE)&gt;=main!$D$103+VLOOKUP(VLOOKUP(BX$1,main!$A$3:$I$102,7,FALSE),main!$K$26:$Q$29,3,FALSE),1,0)</f>
        <v>0</v>
      </c>
      <c r="BY80">
        <f>IF(VLOOKUP(BY$1,main!$A$3:$H$102,5,FALSE)-VLOOKUP($A80,main!$A$3:$H$102,6,FALSE)&gt;=main!$D$103+VLOOKUP(VLOOKUP(BY$1,main!$A$3:$I$102,7,FALSE),main!$K$26:$Q$29,3,FALSE),1,0)</f>
        <v>0</v>
      </c>
      <c r="BZ80">
        <f>IF(VLOOKUP(BZ$1,main!$A$3:$H$102,5,FALSE)-VLOOKUP($A80,main!$A$3:$H$102,6,FALSE)&gt;=main!$D$103+VLOOKUP(VLOOKUP(BZ$1,main!$A$3:$I$102,7,FALSE),main!$K$26:$Q$29,3,FALSE),1,0)</f>
        <v>0</v>
      </c>
      <c r="CA80">
        <f>IF(VLOOKUP(CA$1,main!$A$3:$H$102,5,FALSE)-VLOOKUP($A80,main!$A$3:$H$102,6,FALSE)&gt;=main!$D$103+VLOOKUP(VLOOKUP(CA$1,main!$A$3:$I$102,7,FALSE),main!$K$26:$Q$29,3,FALSE),1,0)</f>
        <v>0</v>
      </c>
      <c r="CB80">
        <f>IF(VLOOKUP(CB$1,main!$A$3:$H$102,5,FALSE)-VLOOKUP($A80,main!$A$3:$H$102,6,FALSE)&gt;=main!$D$103+VLOOKUP(VLOOKUP(CB$1,main!$A$3:$I$102,7,FALSE),main!$K$26:$Q$29,3,FALSE),1,0)</f>
        <v>0</v>
      </c>
      <c r="CC80">
        <f>IF(VLOOKUP(CC$1,main!$A$3:$H$102,5,FALSE)-VLOOKUP($A80,main!$A$3:$H$102,6,FALSE)&gt;=main!$D$103+VLOOKUP(VLOOKUP(CC$1,main!$A$3:$I$102,7,FALSE),main!$K$26:$Q$29,3,FALSE),1,0)</f>
        <v>1</v>
      </c>
      <c r="CD80">
        <f>IF(VLOOKUP(CD$1,main!$A$3:$H$102,5,FALSE)-VLOOKUP($A80,main!$A$3:$H$102,6,FALSE)&gt;=main!$D$103+VLOOKUP(VLOOKUP(CD$1,main!$A$3:$I$102,7,FALSE),main!$K$26:$Q$29,3,FALSE),1,0)</f>
        <v>0</v>
      </c>
      <c r="CE80">
        <f>IF(VLOOKUP(CE$1,main!$A$3:$H$102,5,FALSE)-VLOOKUP($A80,main!$A$3:$H$102,6,FALSE)&gt;=main!$D$103+VLOOKUP(VLOOKUP(CE$1,main!$A$3:$I$102,7,FALSE),main!$K$26:$Q$29,3,FALSE),1,0)</f>
        <v>0</v>
      </c>
      <c r="CF80">
        <f>IF(VLOOKUP(CF$1,main!$A$3:$H$102,5,FALSE)-VLOOKUP($A80,main!$A$3:$H$102,6,FALSE)&gt;=main!$D$103+VLOOKUP(VLOOKUP(CF$1,main!$A$3:$I$102,7,FALSE),main!$K$26:$Q$29,3,FALSE),1,0)</f>
        <v>0</v>
      </c>
      <c r="CG80">
        <f>IF(VLOOKUP(CG$1,main!$A$3:$H$102,5,FALSE)-VLOOKUP($A80,main!$A$3:$H$102,6,FALSE)&gt;=main!$D$103+VLOOKUP(VLOOKUP(CG$1,main!$A$3:$I$102,7,FALSE),main!$K$26:$Q$29,3,FALSE),1,0)</f>
        <v>0</v>
      </c>
      <c r="CH80">
        <f>IF(VLOOKUP(CH$1,main!$A$3:$H$102,5,FALSE)-VLOOKUP($A80,main!$A$3:$H$102,6,FALSE)&gt;=main!$D$103+VLOOKUP(VLOOKUP(CH$1,main!$A$3:$I$102,7,FALSE),main!$K$26:$Q$29,3,FALSE),1,0)</f>
        <v>0</v>
      </c>
      <c r="CI80">
        <f>IF(VLOOKUP(CI$1,main!$A$3:$H$102,5,FALSE)-VLOOKUP($A80,main!$A$3:$H$102,6,FALSE)&gt;=main!$D$103+VLOOKUP(VLOOKUP(CI$1,main!$A$3:$I$102,7,FALSE),main!$K$26:$Q$29,3,FALSE),1,0)</f>
        <v>1</v>
      </c>
      <c r="CJ80">
        <f>IF(VLOOKUP(CJ$1,main!$A$3:$H$102,5,FALSE)-VLOOKUP($A80,main!$A$3:$H$102,6,FALSE)&gt;=main!$D$103+VLOOKUP(VLOOKUP(CJ$1,main!$A$3:$I$102,7,FALSE),main!$K$26:$Q$29,3,FALSE),1,0)</f>
        <v>0</v>
      </c>
      <c r="CK80">
        <f>IF(VLOOKUP(CK$1,main!$A$3:$H$102,5,FALSE)-VLOOKUP($A80,main!$A$3:$H$102,6,FALSE)&gt;=main!$D$103+VLOOKUP(VLOOKUP(CK$1,main!$A$3:$I$102,7,FALSE),main!$K$26:$Q$29,3,FALSE),1,0)</f>
        <v>0</v>
      </c>
      <c r="CL80">
        <f>IF(VLOOKUP(CL$1,main!$A$3:$H$102,5,FALSE)-VLOOKUP($A80,main!$A$3:$H$102,6,FALSE)&gt;=main!$D$103+VLOOKUP(VLOOKUP(CL$1,main!$A$3:$I$102,7,FALSE),main!$K$26:$Q$29,3,FALSE),1,0)</f>
        <v>0</v>
      </c>
      <c r="CM80">
        <f>IF(VLOOKUP(CM$1,main!$A$3:$H$102,5,FALSE)-VLOOKUP($A80,main!$A$3:$H$102,6,FALSE)&gt;=main!$D$103+VLOOKUP(VLOOKUP(CM$1,main!$A$3:$I$102,7,FALSE),main!$K$26:$Q$29,3,FALSE),1,0)</f>
        <v>0</v>
      </c>
      <c r="CN80">
        <f>IF(VLOOKUP(CN$1,main!$A$3:$H$102,5,FALSE)-VLOOKUP($A80,main!$A$3:$H$102,6,FALSE)&gt;=main!$D$103+VLOOKUP(VLOOKUP(CN$1,main!$A$3:$I$102,7,FALSE),main!$K$26:$Q$29,3,FALSE),1,0)</f>
        <v>1</v>
      </c>
      <c r="CO80">
        <f>IF(VLOOKUP(CO$1,main!$A$3:$H$102,5,FALSE)-VLOOKUP($A80,main!$A$3:$H$102,6,FALSE)&gt;=main!$D$103+VLOOKUP(VLOOKUP(CO$1,main!$A$3:$I$102,7,FALSE),main!$K$26:$Q$29,3,FALSE),1,0)</f>
        <v>0</v>
      </c>
      <c r="CP80">
        <f>IF(VLOOKUP(CP$1,main!$A$3:$H$102,5,FALSE)-VLOOKUP($A80,main!$A$3:$H$102,6,FALSE)&gt;=main!$D$103+VLOOKUP(VLOOKUP(CP$1,main!$A$3:$I$102,7,FALSE),main!$K$26:$Q$29,3,FALSE),1,0)</f>
        <v>0</v>
      </c>
      <c r="CQ80">
        <f>IF(VLOOKUP(CQ$1,main!$A$3:$H$102,5,FALSE)-VLOOKUP($A80,main!$A$3:$H$102,6,FALSE)&gt;=main!$D$103+VLOOKUP(VLOOKUP(CQ$1,main!$A$3:$I$102,7,FALSE),main!$K$26:$Q$29,3,FALSE),1,0)</f>
        <v>0</v>
      </c>
      <c r="CR80">
        <f>IF(VLOOKUP(CR$1,main!$A$3:$H$102,5,FALSE)-VLOOKUP($A80,main!$A$3:$H$102,6,FALSE)&gt;=main!$D$103+VLOOKUP(VLOOKUP(CR$1,main!$A$3:$I$102,7,FALSE),main!$K$26:$Q$29,3,FALSE),1,0)</f>
        <v>0</v>
      </c>
      <c r="CS80">
        <f>IF(VLOOKUP(CS$1,main!$A$3:$H$102,5,FALSE)-VLOOKUP($A80,main!$A$3:$H$102,6,FALSE)&gt;=main!$D$103+VLOOKUP(VLOOKUP(CS$1,main!$A$3:$I$102,7,FALSE),main!$K$26:$Q$29,3,FALSE),1,0)</f>
        <v>0</v>
      </c>
      <c r="CT80">
        <f>IF(VLOOKUP(CT$1,main!$A$3:$H$102,5,FALSE)-VLOOKUP($A80,main!$A$3:$H$102,6,FALSE)&gt;=main!$D$103+VLOOKUP(VLOOKUP(CT$1,main!$A$3:$I$102,7,FALSE),main!$K$26:$Q$29,3,FALSE),1,0)</f>
        <v>0</v>
      </c>
      <c r="CU80">
        <f>IF(VLOOKUP(CU$1,main!$A$3:$H$102,5,FALSE)-VLOOKUP($A80,main!$A$3:$H$102,6,FALSE)&gt;=main!$D$103+VLOOKUP(VLOOKUP(CU$1,main!$A$3:$I$102,7,FALSE),main!$K$26:$Q$29,3,FALSE),1,0)</f>
        <v>0</v>
      </c>
      <c r="CV80">
        <f>IF(VLOOKUP(CV$1,main!$A$3:$H$102,5,FALSE)-VLOOKUP($A80,main!$A$3:$H$102,6,FALSE)&gt;=main!$D$103+VLOOKUP(VLOOKUP(CV$1,main!$A$3:$I$102,7,FALSE),main!$K$26:$Q$29,3,FALSE),1,0)</f>
        <v>0</v>
      </c>
      <c r="CW80">
        <f>IF(VLOOKUP(CW$1,main!$A$3:$H$102,5,FALSE)-VLOOKUP($A80,main!$A$3:$H$102,6,FALSE)&gt;=main!$D$103+VLOOKUP(VLOOKUP(CW$1,main!$A$3:$I$102,7,FALSE),main!$K$26:$Q$29,3,FALSE),1,0)</f>
        <v>0</v>
      </c>
      <c r="CX80">
        <f>IF(VLOOKUP(CX$1,main!$A$3:$H$102,5,FALSE)-VLOOKUP($A80,main!$A$3:$H$102,6,FALSE)&gt;=main!$D$103+VLOOKUP(VLOOKUP(CX$1,main!$A$3:$I$102,7,FALSE),main!$K$26:$Q$29,3,FALSE),1,0)</f>
        <v>0</v>
      </c>
    </row>
    <row r="81" spans="1:102" x14ac:dyDescent="0.25">
      <c r="A81" s="1">
        <v>79</v>
      </c>
      <c r="B81">
        <v>0</v>
      </c>
      <c r="C81">
        <f>IF(VLOOKUP(C$1,main!$A$3:$H$102,5,FALSE)-VLOOKUP($A81,main!$A$3:$H$102,6,FALSE)&gt;=main!$D$103+VLOOKUP(VLOOKUP(C$1,main!$A$3:$I$102,7,FALSE),main!$K$26:$Q$29,3,FALSE),1,0)</f>
        <v>0</v>
      </c>
      <c r="D81">
        <f>IF(VLOOKUP(D$1,main!$A$3:$H$102,5,FALSE)-VLOOKUP($A81,main!$A$3:$H$102,6,FALSE)&gt;=main!$D$103+VLOOKUP(VLOOKUP(D$1,main!$A$3:$I$102,7,FALSE),main!$K$26:$Q$29,3,FALSE),1,0)</f>
        <v>0</v>
      </c>
      <c r="E81">
        <f>IF(VLOOKUP(E$1,main!$A$3:$H$102,5,FALSE)-VLOOKUP($A81,main!$A$3:$H$102,6,FALSE)&gt;=main!$D$103+VLOOKUP(VLOOKUP(E$1,main!$A$3:$I$102,7,FALSE),main!$K$26:$Q$29,3,FALSE),1,0)</f>
        <v>0</v>
      </c>
      <c r="F81">
        <f>IF(VLOOKUP(F$1,main!$A$3:$H$102,5,FALSE)-VLOOKUP($A81,main!$A$3:$H$102,6,FALSE)&gt;=main!$D$103+VLOOKUP(VLOOKUP(F$1,main!$A$3:$I$102,7,FALSE),main!$K$26:$Q$29,3,FALSE),1,0)</f>
        <v>0</v>
      </c>
      <c r="G81">
        <f>IF(VLOOKUP(G$1,main!$A$3:$H$102,5,FALSE)-VLOOKUP($A81,main!$A$3:$H$102,6,FALSE)&gt;=main!$D$103+VLOOKUP(VLOOKUP(G$1,main!$A$3:$I$102,7,FALSE),main!$K$26:$Q$29,3,FALSE),1,0)</f>
        <v>0</v>
      </c>
      <c r="H81">
        <f>IF(VLOOKUP(H$1,main!$A$3:$H$102,5,FALSE)-VLOOKUP($A81,main!$A$3:$H$102,6,FALSE)&gt;=main!$D$103+VLOOKUP(VLOOKUP(H$1,main!$A$3:$I$102,7,FALSE),main!$K$26:$Q$29,3,FALSE),1,0)</f>
        <v>0</v>
      </c>
      <c r="I81">
        <f>IF(VLOOKUP(I$1,main!$A$3:$H$102,5,FALSE)-VLOOKUP($A81,main!$A$3:$H$102,6,FALSE)&gt;=main!$D$103+VLOOKUP(VLOOKUP(I$1,main!$A$3:$I$102,7,FALSE),main!$K$26:$Q$29,3,FALSE),1,0)</f>
        <v>0</v>
      </c>
      <c r="J81">
        <f>IF(VLOOKUP(J$1,main!$A$3:$H$102,5,FALSE)-VLOOKUP($A81,main!$A$3:$H$102,6,FALSE)&gt;=main!$D$103+VLOOKUP(VLOOKUP(J$1,main!$A$3:$I$102,7,FALSE),main!$K$26:$Q$29,3,FALSE),1,0)</f>
        <v>0</v>
      </c>
      <c r="K81">
        <f>IF(VLOOKUP(K$1,main!$A$3:$H$102,5,FALSE)-VLOOKUP($A81,main!$A$3:$H$102,6,FALSE)&gt;=main!$D$103+VLOOKUP(VLOOKUP(K$1,main!$A$3:$I$102,7,FALSE),main!$K$26:$Q$29,3,FALSE),1,0)</f>
        <v>0</v>
      </c>
      <c r="L81">
        <f>IF(VLOOKUP(L$1,main!$A$3:$H$102,5,FALSE)-VLOOKUP($A81,main!$A$3:$H$102,6,FALSE)&gt;=main!$D$103+VLOOKUP(VLOOKUP(L$1,main!$A$3:$I$102,7,FALSE),main!$K$26:$Q$29,3,FALSE),1,0)</f>
        <v>0</v>
      </c>
      <c r="M81">
        <f>IF(VLOOKUP(M$1,main!$A$3:$H$102,5,FALSE)-VLOOKUP($A81,main!$A$3:$H$102,6,FALSE)&gt;=main!$D$103+VLOOKUP(VLOOKUP(M$1,main!$A$3:$I$102,7,FALSE),main!$K$26:$Q$29,3,FALSE),1,0)</f>
        <v>0</v>
      </c>
      <c r="N81">
        <f>IF(VLOOKUP(N$1,main!$A$3:$H$102,5,FALSE)-VLOOKUP($A81,main!$A$3:$H$102,6,FALSE)&gt;=main!$D$103+VLOOKUP(VLOOKUP(N$1,main!$A$3:$I$102,7,FALSE),main!$K$26:$Q$29,3,FALSE),1,0)</f>
        <v>0</v>
      </c>
      <c r="O81">
        <f>IF(VLOOKUP(O$1,main!$A$3:$H$102,5,FALSE)-VLOOKUP($A81,main!$A$3:$H$102,6,FALSE)&gt;=main!$D$103+VLOOKUP(VLOOKUP(O$1,main!$A$3:$I$102,7,FALSE),main!$K$26:$Q$29,3,FALSE),1,0)</f>
        <v>0</v>
      </c>
      <c r="P81">
        <f>IF(VLOOKUP(P$1,main!$A$3:$H$102,5,FALSE)-VLOOKUP($A81,main!$A$3:$H$102,6,FALSE)&gt;=main!$D$103+VLOOKUP(VLOOKUP(P$1,main!$A$3:$I$102,7,FALSE),main!$K$26:$Q$29,3,FALSE),1,0)</f>
        <v>0</v>
      </c>
      <c r="Q81">
        <f>IF(VLOOKUP(Q$1,main!$A$3:$H$102,5,FALSE)-VLOOKUP($A81,main!$A$3:$H$102,6,FALSE)&gt;=main!$D$103+VLOOKUP(VLOOKUP(Q$1,main!$A$3:$I$102,7,FALSE),main!$K$26:$Q$29,3,FALSE),1,0)</f>
        <v>0</v>
      </c>
      <c r="R81">
        <f>IF(VLOOKUP(R$1,main!$A$3:$H$102,5,FALSE)-VLOOKUP($A81,main!$A$3:$H$102,6,FALSE)&gt;=main!$D$103+VLOOKUP(VLOOKUP(R$1,main!$A$3:$I$102,7,FALSE),main!$K$26:$Q$29,3,FALSE),1,0)</f>
        <v>0</v>
      </c>
      <c r="S81">
        <f>IF(VLOOKUP(S$1,main!$A$3:$H$102,5,FALSE)-VLOOKUP($A81,main!$A$3:$H$102,6,FALSE)&gt;=main!$D$103+VLOOKUP(VLOOKUP(S$1,main!$A$3:$I$102,7,FALSE),main!$K$26:$Q$29,3,FALSE),1,0)</f>
        <v>0</v>
      </c>
      <c r="T81">
        <f>IF(VLOOKUP(T$1,main!$A$3:$H$102,5,FALSE)-VLOOKUP($A81,main!$A$3:$H$102,6,FALSE)&gt;=main!$D$103+VLOOKUP(VLOOKUP(T$1,main!$A$3:$I$102,7,FALSE),main!$K$26:$Q$29,3,FALSE),1,0)</f>
        <v>0</v>
      </c>
      <c r="U81">
        <f>IF(VLOOKUP(U$1,main!$A$3:$H$102,5,FALSE)-VLOOKUP($A81,main!$A$3:$H$102,6,FALSE)&gt;=main!$D$103+VLOOKUP(VLOOKUP(U$1,main!$A$3:$I$102,7,FALSE),main!$K$26:$Q$29,3,FALSE),1,0)</f>
        <v>0</v>
      </c>
      <c r="V81">
        <f>IF(VLOOKUP(V$1,main!$A$3:$H$102,5,FALSE)-VLOOKUP($A81,main!$A$3:$H$102,6,FALSE)&gt;=main!$D$103+VLOOKUP(VLOOKUP(V$1,main!$A$3:$I$102,7,FALSE),main!$K$26:$Q$29,3,FALSE),1,0)</f>
        <v>0</v>
      </c>
      <c r="W81">
        <f>IF(VLOOKUP(W$1,main!$A$3:$H$102,5,FALSE)-VLOOKUP($A81,main!$A$3:$H$102,6,FALSE)&gt;=main!$D$103+VLOOKUP(VLOOKUP(W$1,main!$A$3:$I$102,7,FALSE),main!$K$26:$Q$29,3,FALSE),1,0)</f>
        <v>0</v>
      </c>
      <c r="X81">
        <f>IF(VLOOKUP(X$1,main!$A$3:$H$102,5,FALSE)-VLOOKUP($A81,main!$A$3:$H$102,6,FALSE)&gt;=main!$D$103+VLOOKUP(VLOOKUP(X$1,main!$A$3:$I$102,7,FALSE),main!$K$26:$Q$29,3,FALSE),1,0)</f>
        <v>0</v>
      </c>
      <c r="Y81">
        <f>IF(VLOOKUP(Y$1,main!$A$3:$H$102,5,FALSE)-VLOOKUP($A81,main!$A$3:$H$102,6,FALSE)&gt;=main!$D$103+VLOOKUP(VLOOKUP(Y$1,main!$A$3:$I$102,7,FALSE),main!$K$26:$Q$29,3,FALSE),1,0)</f>
        <v>0</v>
      </c>
      <c r="Z81">
        <f>IF(VLOOKUP(Z$1,main!$A$3:$H$102,5,FALSE)-VLOOKUP($A81,main!$A$3:$H$102,6,FALSE)&gt;=main!$D$103+VLOOKUP(VLOOKUP(Z$1,main!$A$3:$I$102,7,FALSE),main!$K$26:$Q$29,3,FALSE),1,0)</f>
        <v>0</v>
      </c>
      <c r="AA81">
        <f>IF(VLOOKUP(AA$1,main!$A$3:$H$102,5,FALSE)-VLOOKUP($A81,main!$A$3:$H$102,6,FALSE)&gt;=main!$D$103+VLOOKUP(VLOOKUP(AA$1,main!$A$3:$I$102,7,FALSE),main!$K$26:$Q$29,3,FALSE),1,0)</f>
        <v>0</v>
      </c>
      <c r="AB81">
        <f>IF(VLOOKUP(AB$1,main!$A$3:$H$102,5,FALSE)-VLOOKUP($A81,main!$A$3:$H$102,6,FALSE)&gt;=main!$D$103+VLOOKUP(VLOOKUP(AB$1,main!$A$3:$I$102,7,FALSE),main!$K$26:$Q$29,3,FALSE),1,0)</f>
        <v>0</v>
      </c>
      <c r="AC81">
        <f>IF(VLOOKUP(AC$1,main!$A$3:$H$102,5,FALSE)-VLOOKUP($A81,main!$A$3:$H$102,6,FALSE)&gt;=main!$D$103+VLOOKUP(VLOOKUP(AC$1,main!$A$3:$I$102,7,FALSE),main!$K$26:$Q$29,3,FALSE),1,0)</f>
        <v>0</v>
      </c>
      <c r="AD81">
        <f>IF(VLOOKUP(AD$1,main!$A$3:$H$102,5,FALSE)-VLOOKUP($A81,main!$A$3:$H$102,6,FALSE)&gt;=main!$D$103+VLOOKUP(VLOOKUP(AD$1,main!$A$3:$I$102,7,FALSE),main!$K$26:$Q$29,3,FALSE),1,0)</f>
        <v>0</v>
      </c>
      <c r="AE81">
        <f>IF(VLOOKUP(AE$1,main!$A$3:$H$102,5,FALSE)-VLOOKUP($A81,main!$A$3:$H$102,6,FALSE)&gt;=main!$D$103+VLOOKUP(VLOOKUP(AE$1,main!$A$3:$I$102,7,FALSE),main!$K$26:$Q$29,3,FALSE),1,0)</f>
        <v>0</v>
      </c>
      <c r="AF81">
        <f>IF(VLOOKUP(AF$1,main!$A$3:$H$102,5,FALSE)-VLOOKUP($A81,main!$A$3:$H$102,6,FALSE)&gt;=main!$D$103+VLOOKUP(VLOOKUP(AF$1,main!$A$3:$I$102,7,FALSE),main!$K$26:$Q$29,3,FALSE),1,0)</f>
        <v>0</v>
      </c>
      <c r="AG81">
        <f>IF(VLOOKUP(AG$1,main!$A$3:$H$102,5,FALSE)-VLOOKUP($A81,main!$A$3:$H$102,6,FALSE)&gt;=main!$D$103+VLOOKUP(VLOOKUP(AG$1,main!$A$3:$I$102,7,FALSE),main!$K$26:$Q$29,3,FALSE),1,0)</f>
        <v>0</v>
      </c>
      <c r="AH81">
        <f>IF(VLOOKUP(AH$1,main!$A$3:$H$102,5,FALSE)-VLOOKUP($A81,main!$A$3:$H$102,6,FALSE)&gt;=main!$D$103+VLOOKUP(VLOOKUP(AH$1,main!$A$3:$I$102,7,FALSE),main!$K$26:$Q$29,3,FALSE),1,0)</f>
        <v>0</v>
      </c>
      <c r="AI81">
        <f>IF(VLOOKUP(AI$1,main!$A$3:$H$102,5,FALSE)-VLOOKUP($A81,main!$A$3:$H$102,6,FALSE)&gt;=main!$D$103+VLOOKUP(VLOOKUP(AI$1,main!$A$3:$I$102,7,FALSE),main!$K$26:$Q$29,3,FALSE),1,0)</f>
        <v>0</v>
      </c>
      <c r="AJ81">
        <f>IF(VLOOKUP(AJ$1,main!$A$3:$H$102,5,FALSE)-VLOOKUP($A81,main!$A$3:$H$102,6,FALSE)&gt;=main!$D$103+VLOOKUP(VLOOKUP(AJ$1,main!$A$3:$I$102,7,FALSE),main!$K$26:$Q$29,3,FALSE),1,0)</f>
        <v>0</v>
      </c>
      <c r="AK81">
        <f>IF(VLOOKUP(AK$1,main!$A$3:$H$102,5,FALSE)-VLOOKUP($A81,main!$A$3:$H$102,6,FALSE)&gt;=main!$D$103+VLOOKUP(VLOOKUP(AK$1,main!$A$3:$I$102,7,FALSE),main!$K$26:$Q$29,3,FALSE),1,0)</f>
        <v>0</v>
      </c>
      <c r="AL81">
        <f>IF(VLOOKUP(AL$1,main!$A$3:$H$102,5,FALSE)-VLOOKUP($A81,main!$A$3:$H$102,6,FALSE)&gt;=main!$D$103+VLOOKUP(VLOOKUP(AL$1,main!$A$3:$I$102,7,FALSE),main!$K$26:$Q$29,3,FALSE),1,0)</f>
        <v>0</v>
      </c>
      <c r="AM81">
        <f>IF(VLOOKUP(AM$1,main!$A$3:$H$102,5,FALSE)-VLOOKUP($A81,main!$A$3:$H$102,6,FALSE)&gt;=main!$D$103+VLOOKUP(VLOOKUP(AM$1,main!$A$3:$I$102,7,FALSE),main!$K$26:$Q$29,3,FALSE),1,0)</f>
        <v>0</v>
      </c>
      <c r="AN81">
        <f>IF(VLOOKUP(AN$1,main!$A$3:$H$102,5,FALSE)-VLOOKUP($A81,main!$A$3:$H$102,6,FALSE)&gt;=main!$D$103+VLOOKUP(VLOOKUP(AN$1,main!$A$3:$I$102,7,FALSE),main!$K$26:$Q$29,3,FALSE),1,0)</f>
        <v>0</v>
      </c>
      <c r="AO81">
        <f>IF(VLOOKUP(AO$1,main!$A$3:$H$102,5,FALSE)-VLOOKUP($A81,main!$A$3:$H$102,6,FALSE)&gt;=main!$D$103+VLOOKUP(VLOOKUP(AO$1,main!$A$3:$I$102,7,FALSE),main!$K$26:$Q$29,3,FALSE),1,0)</f>
        <v>0</v>
      </c>
      <c r="AP81">
        <f>IF(VLOOKUP(AP$1,main!$A$3:$H$102,5,FALSE)-VLOOKUP($A81,main!$A$3:$H$102,6,FALSE)&gt;=main!$D$103+VLOOKUP(VLOOKUP(AP$1,main!$A$3:$I$102,7,FALSE),main!$K$26:$Q$29,3,FALSE),1,0)</f>
        <v>0</v>
      </c>
      <c r="AQ81">
        <f>IF(VLOOKUP(AQ$1,main!$A$3:$H$102,5,FALSE)-VLOOKUP($A81,main!$A$3:$H$102,6,FALSE)&gt;=main!$D$103+VLOOKUP(VLOOKUP(AQ$1,main!$A$3:$I$102,7,FALSE),main!$K$26:$Q$29,3,FALSE),1,0)</f>
        <v>0</v>
      </c>
      <c r="AR81">
        <f>IF(VLOOKUP(AR$1,main!$A$3:$H$102,5,FALSE)-VLOOKUP($A81,main!$A$3:$H$102,6,FALSE)&gt;=main!$D$103+VLOOKUP(VLOOKUP(AR$1,main!$A$3:$I$102,7,FALSE),main!$K$26:$Q$29,3,FALSE),1,0)</f>
        <v>0</v>
      </c>
      <c r="AS81">
        <f>IF(VLOOKUP(AS$1,main!$A$3:$H$102,5,FALSE)-VLOOKUP($A81,main!$A$3:$H$102,6,FALSE)&gt;=main!$D$103+VLOOKUP(VLOOKUP(AS$1,main!$A$3:$I$102,7,FALSE),main!$K$26:$Q$29,3,FALSE),1,0)</f>
        <v>0</v>
      </c>
      <c r="AT81">
        <f>IF(VLOOKUP(AT$1,main!$A$3:$H$102,5,FALSE)-VLOOKUP($A81,main!$A$3:$H$102,6,FALSE)&gt;=main!$D$103+VLOOKUP(VLOOKUP(AT$1,main!$A$3:$I$102,7,FALSE),main!$K$26:$Q$29,3,FALSE),1,0)</f>
        <v>0</v>
      </c>
      <c r="AU81">
        <f>IF(VLOOKUP(AU$1,main!$A$3:$H$102,5,FALSE)-VLOOKUP($A81,main!$A$3:$H$102,6,FALSE)&gt;=main!$D$103+VLOOKUP(VLOOKUP(AU$1,main!$A$3:$I$102,7,FALSE),main!$K$26:$Q$29,3,FALSE),1,0)</f>
        <v>0</v>
      </c>
      <c r="AV81">
        <f>IF(VLOOKUP(AV$1,main!$A$3:$H$102,5,FALSE)-VLOOKUP($A81,main!$A$3:$H$102,6,FALSE)&gt;=main!$D$103+VLOOKUP(VLOOKUP(AV$1,main!$A$3:$I$102,7,FALSE),main!$K$26:$Q$29,3,FALSE),1,0)</f>
        <v>0</v>
      </c>
      <c r="AW81">
        <f>IF(VLOOKUP(AW$1,main!$A$3:$H$102,5,FALSE)-VLOOKUP($A81,main!$A$3:$H$102,6,FALSE)&gt;=main!$D$103+VLOOKUP(VLOOKUP(AW$1,main!$A$3:$I$102,7,FALSE),main!$K$26:$Q$29,3,FALSE),1,0)</f>
        <v>0</v>
      </c>
      <c r="AX81">
        <f>IF(VLOOKUP(AX$1,main!$A$3:$H$102,5,FALSE)-VLOOKUP($A81,main!$A$3:$H$102,6,FALSE)&gt;=main!$D$103+VLOOKUP(VLOOKUP(AX$1,main!$A$3:$I$102,7,FALSE),main!$K$26:$Q$29,3,FALSE),1,0)</f>
        <v>0</v>
      </c>
      <c r="AY81">
        <f>IF(VLOOKUP(AY$1,main!$A$3:$H$102,5,FALSE)-VLOOKUP($A81,main!$A$3:$H$102,6,FALSE)&gt;=main!$D$103+VLOOKUP(VLOOKUP(AY$1,main!$A$3:$I$102,7,FALSE),main!$K$26:$Q$29,3,FALSE),1,0)</f>
        <v>0</v>
      </c>
      <c r="AZ81">
        <f>IF(VLOOKUP(AZ$1,main!$A$3:$H$102,5,FALSE)-VLOOKUP($A81,main!$A$3:$H$102,6,FALSE)&gt;=main!$D$103+VLOOKUP(VLOOKUP(AZ$1,main!$A$3:$I$102,7,FALSE),main!$K$26:$Q$29,3,FALSE),1,0)</f>
        <v>0</v>
      </c>
      <c r="BA81">
        <f>IF(VLOOKUP(BA$1,main!$A$3:$H$102,5,FALSE)-VLOOKUP($A81,main!$A$3:$H$102,6,FALSE)&gt;=main!$D$103+VLOOKUP(VLOOKUP(BA$1,main!$A$3:$I$102,7,FALSE),main!$K$26:$Q$29,3,FALSE),1,0)</f>
        <v>0</v>
      </c>
      <c r="BB81">
        <f>IF(VLOOKUP(BB$1,main!$A$3:$H$102,5,FALSE)-VLOOKUP($A81,main!$A$3:$H$102,6,FALSE)&gt;=main!$D$103+VLOOKUP(VLOOKUP(BB$1,main!$A$3:$I$102,7,FALSE),main!$K$26:$Q$29,3,FALSE),1,0)</f>
        <v>0</v>
      </c>
      <c r="BC81">
        <f>IF(VLOOKUP(BC$1,main!$A$3:$H$102,5,FALSE)-VLOOKUP($A81,main!$A$3:$H$102,6,FALSE)&gt;=main!$D$103+VLOOKUP(VLOOKUP(BC$1,main!$A$3:$I$102,7,FALSE),main!$K$26:$Q$29,3,FALSE),1,0)</f>
        <v>0</v>
      </c>
      <c r="BD81">
        <f>IF(VLOOKUP(BD$1,main!$A$3:$H$102,5,FALSE)-VLOOKUP($A81,main!$A$3:$H$102,6,FALSE)&gt;=main!$D$103+VLOOKUP(VLOOKUP(BD$1,main!$A$3:$I$102,7,FALSE),main!$K$26:$Q$29,3,FALSE),1,0)</f>
        <v>0</v>
      </c>
      <c r="BE81">
        <f>IF(VLOOKUP(BE$1,main!$A$3:$H$102,5,FALSE)-VLOOKUP($A81,main!$A$3:$H$102,6,FALSE)&gt;=main!$D$103+VLOOKUP(VLOOKUP(BE$1,main!$A$3:$I$102,7,FALSE),main!$K$26:$Q$29,3,FALSE),1,0)</f>
        <v>0</v>
      </c>
      <c r="BF81">
        <f>IF(VLOOKUP(BF$1,main!$A$3:$H$102,5,FALSE)-VLOOKUP($A81,main!$A$3:$H$102,6,FALSE)&gt;=main!$D$103+VLOOKUP(VLOOKUP(BF$1,main!$A$3:$I$102,7,FALSE),main!$K$26:$Q$29,3,FALSE),1,0)</f>
        <v>0</v>
      </c>
      <c r="BG81">
        <f>IF(VLOOKUP(BG$1,main!$A$3:$H$102,5,FALSE)-VLOOKUP($A81,main!$A$3:$H$102,6,FALSE)&gt;=main!$D$103+VLOOKUP(VLOOKUP(BG$1,main!$A$3:$I$102,7,FALSE),main!$K$26:$Q$29,3,FALSE),1,0)</f>
        <v>0</v>
      </c>
      <c r="BH81">
        <f>IF(VLOOKUP(BH$1,main!$A$3:$H$102,5,FALSE)-VLOOKUP($A81,main!$A$3:$H$102,6,FALSE)&gt;=main!$D$103+VLOOKUP(VLOOKUP(BH$1,main!$A$3:$I$102,7,FALSE),main!$K$26:$Q$29,3,FALSE),1,0)</f>
        <v>0</v>
      </c>
      <c r="BI81">
        <f>IF(VLOOKUP(BI$1,main!$A$3:$H$102,5,FALSE)-VLOOKUP($A81,main!$A$3:$H$102,6,FALSE)&gt;=main!$D$103+VLOOKUP(VLOOKUP(BI$1,main!$A$3:$I$102,7,FALSE),main!$K$26:$Q$29,3,FALSE),1,0)</f>
        <v>0</v>
      </c>
      <c r="BJ81">
        <f>IF(VLOOKUP(BJ$1,main!$A$3:$H$102,5,FALSE)-VLOOKUP($A81,main!$A$3:$H$102,6,FALSE)&gt;=main!$D$103+VLOOKUP(VLOOKUP(BJ$1,main!$A$3:$I$102,7,FALSE),main!$K$26:$Q$29,3,FALSE),1,0)</f>
        <v>0</v>
      </c>
      <c r="BK81">
        <f>IF(VLOOKUP(BK$1,main!$A$3:$H$102,5,FALSE)-VLOOKUP($A81,main!$A$3:$H$102,6,FALSE)&gt;=main!$D$103+VLOOKUP(VLOOKUP(BK$1,main!$A$3:$I$102,7,FALSE),main!$K$26:$Q$29,3,FALSE),1,0)</f>
        <v>0</v>
      </c>
      <c r="BL81">
        <f>IF(VLOOKUP(BL$1,main!$A$3:$H$102,5,FALSE)-VLOOKUP($A81,main!$A$3:$H$102,6,FALSE)&gt;=main!$D$103+VLOOKUP(VLOOKUP(BL$1,main!$A$3:$I$102,7,FALSE),main!$K$26:$Q$29,3,FALSE),1,0)</f>
        <v>0</v>
      </c>
      <c r="BM81">
        <f>IF(VLOOKUP(BM$1,main!$A$3:$H$102,5,FALSE)-VLOOKUP($A81,main!$A$3:$H$102,6,FALSE)&gt;=main!$D$103+VLOOKUP(VLOOKUP(BM$1,main!$A$3:$I$102,7,FALSE),main!$K$26:$Q$29,3,FALSE),1,0)</f>
        <v>0</v>
      </c>
      <c r="BN81">
        <f>IF(VLOOKUP(BN$1,main!$A$3:$H$102,5,FALSE)-VLOOKUP($A81,main!$A$3:$H$102,6,FALSE)&gt;=main!$D$103+VLOOKUP(VLOOKUP(BN$1,main!$A$3:$I$102,7,FALSE),main!$K$26:$Q$29,3,FALSE),1,0)</f>
        <v>0</v>
      </c>
      <c r="BO81">
        <f>IF(VLOOKUP(BO$1,main!$A$3:$H$102,5,FALSE)-VLOOKUP($A81,main!$A$3:$H$102,6,FALSE)&gt;=main!$D$103+VLOOKUP(VLOOKUP(BO$1,main!$A$3:$I$102,7,FALSE),main!$K$26:$Q$29,3,FALSE),1,0)</f>
        <v>0</v>
      </c>
      <c r="BP81">
        <f>IF(VLOOKUP(BP$1,main!$A$3:$H$102,5,FALSE)-VLOOKUP($A81,main!$A$3:$H$102,6,FALSE)&gt;=main!$D$103+VLOOKUP(VLOOKUP(BP$1,main!$A$3:$I$102,7,FALSE),main!$K$26:$Q$29,3,FALSE),1,0)</f>
        <v>0</v>
      </c>
      <c r="BQ81">
        <f>IF(VLOOKUP(BQ$1,main!$A$3:$H$102,5,FALSE)-VLOOKUP($A81,main!$A$3:$H$102,6,FALSE)&gt;=main!$D$103+VLOOKUP(VLOOKUP(BQ$1,main!$A$3:$I$102,7,FALSE),main!$K$26:$Q$29,3,FALSE),1,0)</f>
        <v>0</v>
      </c>
      <c r="BR81">
        <f>IF(VLOOKUP(BR$1,main!$A$3:$H$102,5,FALSE)-VLOOKUP($A81,main!$A$3:$H$102,6,FALSE)&gt;=main!$D$103+VLOOKUP(VLOOKUP(BR$1,main!$A$3:$I$102,7,FALSE),main!$K$26:$Q$29,3,FALSE),1,0)</f>
        <v>0</v>
      </c>
      <c r="BS81">
        <f>IF(VLOOKUP(BS$1,main!$A$3:$H$102,5,FALSE)-VLOOKUP($A81,main!$A$3:$H$102,6,FALSE)&gt;=main!$D$103+VLOOKUP(VLOOKUP(BS$1,main!$A$3:$I$102,7,FALSE),main!$K$26:$Q$29,3,FALSE),1,0)</f>
        <v>0</v>
      </c>
      <c r="BT81">
        <f>IF(VLOOKUP(BT$1,main!$A$3:$H$102,5,FALSE)-VLOOKUP($A81,main!$A$3:$H$102,6,FALSE)&gt;=main!$D$103+VLOOKUP(VLOOKUP(BT$1,main!$A$3:$I$102,7,FALSE),main!$K$26:$Q$29,3,FALSE),1,0)</f>
        <v>0</v>
      </c>
      <c r="BU81">
        <f>IF(VLOOKUP(BU$1,main!$A$3:$H$102,5,FALSE)-VLOOKUP($A81,main!$A$3:$H$102,6,FALSE)&gt;=main!$D$103+VLOOKUP(VLOOKUP(BU$1,main!$A$3:$I$102,7,FALSE),main!$K$26:$Q$29,3,FALSE),1,0)</f>
        <v>0</v>
      </c>
      <c r="BV81">
        <f>IF(VLOOKUP(BV$1,main!$A$3:$H$102,5,FALSE)-VLOOKUP($A81,main!$A$3:$H$102,6,FALSE)&gt;=main!$D$103+VLOOKUP(VLOOKUP(BV$1,main!$A$3:$I$102,7,FALSE),main!$K$26:$Q$29,3,FALSE),1,0)</f>
        <v>0</v>
      </c>
      <c r="BW81">
        <f>IF(VLOOKUP(BW$1,main!$A$3:$H$102,5,FALSE)-VLOOKUP($A81,main!$A$3:$H$102,6,FALSE)&gt;=main!$D$103+VLOOKUP(VLOOKUP(BW$1,main!$A$3:$I$102,7,FALSE),main!$K$26:$Q$29,3,FALSE),1,0)</f>
        <v>0</v>
      </c>
      <c r="BX81">
        <f>IF(VLOOKUP(BX$1,main!$A$3:$H$102,5,FALSE)-VLOOKUP($A81,main!$A$3:$H$102,6,FALSE)&gt;=main!$D$103+VLOOKUP(VLOOKUP(BX$1,main!$A$3:$I$102,7,FALSE),main!$K$26:$Q$29,3,FALSE),1,0)</f>
        <v>0</v>
      </c>
      <c r="BY81">
        <f>IF(VLOOKUP(BY$1,main!$A$3:$H$102,5,FALSE)-VLOOKUP($A81,main!$A$3:$H$102,6,FALSE)&gt;=main!$D$103+VLOOKUP(VLOOKUP(BY$1,main!$A$3:$I$102,7,FALSE),main!$K$26:$Q$29,3,FALSE),1,0)</f>
        <v>0</v>
      </c>
      <c r="BZ81">
        <f>IF(VLOOKUP(BZ$1,main!$A$3:$H$102,5,FALSE)-VLOOKUP($A81,main!$A$3:$H$102,6,FALSE)&gt;=main!$D$103+VLOOKUP(VLOOKUP(BZ$1,main!$A$3:$I$102,7,FALSE),main!$K$26:$Q$29,3,FALSE),1,0)</f>
        <v>0</v>
      </c>
      <c r="CA81">
        <f>IF(VLOOKUP(CA$1,main!$A$3:$H$102,5,FALSE)-VLOOKUP($A81,main!$A$3:$H$102,6,FALSE)&gt;=main!$D$103+VLOOKUP(VLOOKUP(CA$1,main!$A$3:$I$102,7,FALSE),main!$K$26:$Q$29,3,FALSE),1,0)</f>
        <v>0</v>
      </c>
      <c r="CB81">
        <f>IF(VLOOKUP(CB$1,main!$A$3:$H$102,5,FALSE)-VLOOKUP($A81,main!$A$3:$H$102,6,FALSE)&gt;=main!$D$103+VLOOKUP(VLOOKUP(CB$1,main!$A$3:$I$102,7,FALSE),main!$K$26:$Q$29,3,FALSE),1,0)</f>
        <v>0</v>
      </c>
      <c r="CC81">
        <f>IF(VLOOKUP(CC$1,main!$A$3:$H$102,5,FALSE)-VLOOKUP($A81,main!$A$3:$H$102,6,FALSE)&gt;=main!$D$103+VLOOKUP(VLOOKUP(CC$1,main!$A$3:$I$102,7,FALSE),main!$K$26:$Q$29,3,FALSE),1,0)</f>
        <v>0</v>
      </c>
      <c r="CD81">
        <f>IF(VLOOKUP(CD$1,main!$A$3:$H$102,5,FALSE)-VLOOKUP($A81,main!$A$3:$H$102,6,FALSE)&gt;=main!$D$103+VLOOKUP(VLOOKUP(CD$1,main!$A$3:$I$102,7,FALSE),main!$K$26:$Q$29,3,FALSE),1,0)</f>
        <v>0</v>
      </c>
      <c r="CE81">
        <f>IF(VLOOKUP(CE$1,main!$A$3:$H$102,5,FALSE)-VLOOKUP($A81,main!$A$3:$H$102,6,FALSE)&gt;=main!$D$103+VLOOKUP(VLOOKUP(CE$1,main!$A$3:$I$102,7,FALSE),main!$K$26:$Q$29,3,FALSE),1,0)</f>
        <v>0</v>
      </c>
      <c r="CF81">
        <f>IF(VLOOKUP(CF$1,main!$A$3:$H$102,5,FALSE)-VLOOKUP($A81,main!$A$3:$H$102,6,FALSE)&gt;=main!$D$103+VLOOKUP(VLOOKUP(CF$1,main!$A$3:$I$102,7,FALSE),main!$K$26:$Q$29,3,FALSE),1,0)</f>
        <v>0</v>
      </c>
      <c r="CG81">
        <f>IF(VLOOKUP(CG$1,main!$A$3:$H$102,5,FALSE)-VLOOKUP($A81,main!$A$3:$H$102,6,FALSE)&gt;=main!$D$103+VLOOKUP(VLOOKUP(CG$1,main!$A$3:$I$102,7,FALSE),main!$K$26:$Q$29,3,FALSE),1,0)</f>
        <v>0</v>
      </c>
      <c r="CH81">
        <f>IF(VLOOKUP(CH$1,main!$A$3:$H$102,5,FALSE)-VLOOKUP($A81,main!$A$3:$H$102,6,FALSE)&gt;=main!$D$103+VLOOKUP(VLOOKUP(CH$1,main!$A$3:$I$102,7,FALSE),main!$K$26:$Q$29,3,FALSE),1,0)</f>
        <v>0</v>
      </c>
      <c r="CI81">
        <f>IF(VLOOKUP(CI$1,main!$A$3:$H$102,5,FALSE)-VLOOKUP($A81,main!$A$3:$H$102,6,FALSE)&gt;=main!$D$103+VLOOKUP(VLOOKUP(CI$1,main!$A$3:$I$102,7,FALSE),main!$K$26:$Q$29,3,FALSE),1,0)</f>
        <v>0</v>
      </c>
      <c r="CJ81">
        <f>IF(VLOOKUP(CJ$1,main!$A$3:$H$102,5,FALSE)-VLOOKUP($A81,main!$A$3:$H$102,6,FALSE)&gt;=main!$D$103+VLOOKUP(VLOOKUP(CJ$1,main!$A$3:$I$102,7,FALSE),main!$K$26:$Q$29,3,FALSE),1,0)</f>
        <v>0</v>
      </c>
      <c r="CK81">
        <f>IF(VLOOKUP(CK$1,main!$A$3:$H$102,5,FALSE)-VLOOKUP($A81,main!$A$3:$H$102,6,FALSE)&gt;=main!$D$103+VLOOKUP(VLOOKUP(CK$1,main!$A$3:$I$102,7,FALSE),main!$K$26:$Q$29,3,FALSE),1,0)</f>
        <v>0</v>
      </c>
      <c r="CL81">
        <f>IF(VLOOKUP(CL$1,main!$A$3:$H$102,5,FALSE)-VLOOKUP($A81,main!$A$3:$H$102,6,FALSE)&gt;=main!$D$103+VLOOKUP(VLOOKUP(CL$1,main!$A$3:$I$102,7,FALSE),main!$K$26:$Q$29,3,FALSE),1,0)</f>
        <v>0</v>
      </c>
      <c r="CM81">
        <f>IF(VLOOKUP(CM$1,main!$A$3:$H$102,5,FALSE)-VLOOKUP($A81,main!$A$3:$H$102,6,FALSE)&gt;=main!$D$103+VLOOKUP(VLOOKUP(CM$1,main!$A$3:$I$102,7,FALSE),main!$K$26:$Q$29,3,FALSE),1,0)</f>
        <v>0</v>
      </c>
      <c r="CN81">
        <f>IF(VLOOKUP(CN$1,main!$A$3:$H$102,5,FALSE)-VLOOKUP($A81,main!$A$3:$H$102,6,FALSE)&gt;=main!$D$103+VLOOKUP(VLOOKUP(CN$1,main!$A$3:$I$102,7,FALSE),main!$K$26:$Q$29,3,FALSE),1,0)</f>
        <v>0</v>
      </c>
      <c r="CO81">
        <f>IF(VLOOKUP(CO$1,main!$A$3:$H$102,5,FALSE)-VLOOKUP($A81,main!$A$3:$H$102,6,FALSE)&gt;=main!$D$103+VLOOKUP(VLOOKUP(CO$1,main!$A$3:$I$102,7,FALSE),main!$K$26:$Q$29,3,FALSE),1,0)</f>
        <v>0</v>
      </c>
      <c r="CP81">
        <f>IF(VLOOKUP(CP$1,main!$A$3:$H$102,5,FALSE)-VLOOKUP($A81,main!$A$3:$H$102,6,FALSE)&gt;=main!$D$103+VLOOKUP(VLOOKUP(CP$1,main!$A$3:$I$102,7,FALSE),main!$K$26:$Q$29,3,FALSE),1,0)</f>
        <v>0</v>
      </c>
      <c r="CQ81">
        <f>IF(VLOOKUP(CQ$1,main!$A$3:$H$102,5,FALSE)-VLOOKUP($A81,main!$A$3:$H$102,6,FALSE)&gt;=main!$D$103+VLOOKUP(VLOOKUP(CQ$1,main!$A$3:$I$102,7,FALSE),main!$K$26:$Q$29,3,FALSE),1,0)</f>
        <v>0</v>
      </c>
      <c r="CR81">
        <f>IF(VLOOKUP(CR$1,main!$A$3:$H$102,5,FALSE)-VLOOKUP($A81,main!$A$3:$H$102,6,FALSE)&gt;=main!$D$103+VLOOKUP(VLOOKUP(CR$1,main!$A$3:$I$102,7,FALSE),main!$K$26:$Q$29,3,FALSE),1,0)</f>
        <v>0</v>
      </c>
      <c r="CS81">
        <f>IF(VLOOKUP(CS$1,main!$A$3:$H$102,5,FALSE)-VLOOKUP($A81,main!$A$3:$H$102,6,FALSE)&gt;=main!$D$103+VLOOKUP(VLOOKUP(CS$1,main!$A$3:$I$102,7,FALSE),main!$K$26:$Q$29,3,FALSE),1,0)</f>
        <v>0</v>
      </c>
      <c r="CT81">
        <f>IF(VLOOKUP(CT$1,main!$A$3:$H$102,5,FALSE)-VLOOKUP($A81,main!$A$3:$H$102,6,FALSE)&gt;=main!$D$103+VLOOKUP(VLOOKUP(CT$1,main!$A$3:$I$102,7,FALSE),main!$K$26:$Q$29,3,FALSE),1,0)</f>
        <v>0</v>
      </c>
      <c r="CU81">
        <f>IF(VLOOKUP(CU$1,main!$A$3:$H$102,5,FALSE)-VLOOKUP($A81,main!$A$3:$H$102,6,FALSE)&gt;=main!$D$103+VLOOKUP(VLOOKUP(CU$1,main!$A$3:$I$102,7,FALSE),main!$K$26:$Q$29,3,FALSE),1,0)</f>
        <v>0</v>
      </c>
      <c r="CV81">
        <f>IF(VLOOKUP(CV$1,main!$A$3:$H$102,5,FALSE)-VLOOKUP($A81,main!$A$3:$H$102,6,FALSE)&gt;=main!$D$103+VLOOKUP(VLOOKUP(CV$1,main!$A$3:$I$102,7,FALSE),main!$K$26:$Q$29,3,FALSE),1,0)</f>
        <v>0</v>
      </c>
      <c r="CW81">
        <f>IF(VLOOKUP(CW$1,main!$A$3:$H$102,5,FALSE)-VLOOKUP($A81,main!$A$3:$H$102,6,FALSE)&gt;=main!$D$103+VLOOKUP(VLOOKUP(CW$1,main!$A$3:$I$102,7,FALSE),main!$K$26:$Q$29,3,FALSE),1,0)</f>
        <v>0</v>
      </c>
      <c r="CX81">
        <f>IF(VLOOKUP(CX$1,main!$A$3:$H$102,5,FALSE)-VLOOKUP($A81,main!$A$3:$H$102,6,FALSE)&gt;=main!$D$103+VLOOKUP(VLOOKUP(CX$1,main!$A$3:$I$102,7,FALSE),main!$K$26:$Q$29,3,FALSE),1,0)</f>
        <v>0</v>
      </c>
    </row>
    <row r="82" spans="1:102" x14ac:dyDescent="0.25">
      <c r="A82" s="1">
        <v>80</v>
      </c>
      <c r="B82">
        <v>0</v>
      </c>
      <c r="C82">
        <f>IF(VLOOKUP(C$1,main!$A$3:$H$102,5,FALSE)-VLOOKUP($A82,main!$A$3:$H$102,6,FALSE)&gt;=main!$D$103+VLOOKUP(VLOOKUP(C$1,main!$A$3:$I$102,7,FALSE),main!$K$26:$Q$29,3,FALSE),1,0)</f>
        <v>0</v>
      </c>
      <c r="D82">
        <f>IF(VLOOKUP(D$1,main!$A$3:$H$102,5,FALSE)-VLOOKUP($A82,main!$A$3:$H$102,6,FALSE)&gt;=main!$D$103+VLOOKUP(VLOOKUP(D$1,main!$A$3:$I$102,7,FALSE),main!$K$26:$Q$29,3,FALSE),1,0)</f>
        <v>0</v>
      </c>
      <c r="E82">
        <f>IF(VLOOKUP(E$1,main!$A$3:$H$102,5,FALSE)-VLOOKUP($A82,main!$A$3:$H$102,6,FALSE)&gt;=main!$D$103+VLOOKUP(VLOOKUP(E$1,main!$A$3:$I$102,7,FALSE),main!$K$26:$Q$29,3,FALSE),1,0)</f>
        <v>0</v>
      </c>
      <c r="F82">
        <f>IF(VLOOKUP(F$1,main!$A$3:$H$102,5,FALSE)-VLOOKUP($A82,main!$A$3:$H$102,6,FALSE)&gt;=main!$D$103+VLOOKUP(VLOOKUP(F$1,main!$A$3:$I$102,7,FALSE),main!$K$26:$Q$29,3,FALSE),1,0)</f>
        <v>0</v>
      </c>
      <c r="G82">
        <f>IF(VLOOKUP(G$1,main!$A$3:$H$102,5,FALSE)-VLOOKUP($A82,main!$A$3:$H$102,6,FALSE)&gt;=main!$D$103+VLOOKUP(VLOOKUP(G$1,main!$A$3:$I$102,7,FALSE),main!$K$26:$Q$29,3,FALSE),1,0)</f>
        <v>0</v>
      </c>
      <c r="H82">
        <f>IF(VLOOKUP(H$1,main!$A$3:$H$102,5,FALSE)-VLOOKUP($A82,main!$A$3:$H$102,6,FALSE)&gt;=main!$D$103+VLOOKUP(VLOOKUP(H$1,main!$A$3:$I$102,7,FALSE),main!$K$26:$Q$29,3,FALSE),1,0)</f>
        <v>0</v>
      </c>
      <c r="I82">
        <f>IF(VLOOKUP(I$1,main!$A$3:$H$102,5,FALSE)-VLOOKUP($A82,main!$A$3:$H$102,6,FALSE)&gt;=main!$D$103+VLOOKUP(VLOOKUP(I$1,main!$A$3:$I$102,7,FALSE),main!$K$26:$Q$29,3,FALSE),1,0)</f>
        <v>0</v>
      </c>
      <c r="J82">
        <f>IF(VLOOKUP(J$1,main!$A$3:$H$102,5,FALSE)-VLOOKUP($A82,main!$A$3:$H$102,6,FALSE)&gt;=main!$D$103+VLOOKUP(VLOOKUP(J$1,main!$A$3:$I$102,7,FALSE),main!$K$26:$Q$29,3,FALSE),1,0)</f>
        <v>0</v>
      </c>
      <c r="K82">
        <f>IF(VLOOKUP(K$1,main!$A$3:$H$102,5,FALSE)-VLOOKUP($A82,main!$A$3:$H$102,6,FALSE)&gt;=main!$D$103+VLOOKUP(VLOOKUP(K$1,main!$A$3:$I$102,7,FALSE),main!$K$26:$Q$29,3,FALSE),1,0)</f>
        <v>1</v>
      </c>
      <c r="L82">
        <f>IF(VLOOKUP(L$1,main!$A$3:$H$102,5,FALSE)-VLOOKUP($A82,main!$A$3:$H$102,6,FALSE)&gt;=main!$D$103+VLOOKUP(VLOOKUP(L$1,main!$A$3:$I$102,7,FALSE),main!$K$26:$Q$29,3,FALSE),1,0)</f>
        <v>1</v>
      </c>
      <c r="M82">
        <f>IF(VLOOKUP(M$1,main!$A$3:$H$102,5,FALSE)-VLOOKUP($A82,main!$A$3:$H$102,6,FALSE)&gt;=main!$D$103+VLOOKUP(VLOOKUP(M$1,main!$A$3:$I$102,7,FALSE),main!$K$26:$Q$29,3,FALSE),1,0)</f>
        <v>0</v>
      </c>
      <c r="N82">
        <f>IF(VLOOKUP(N$1,main!$A$3:$H$102,5,FALSE)-VLOOKUP($A82,main!$A$3:$H$102,6,FALSE)&gt;=main!$D$103+VLOOKUP(VLOOKUP(N$1,main!$A$3:$I$102,7,FALSE),main!$K$26:$Q$29,3,FALSE),1,0)</f>
        <v>0</v>
      </c>
      <c r="O82">
        <f>IF(VLOOKUP(O$1,main!$A$3:$H$102,5,FALSE)-VLOOKUP($A82,main!$A$3:$H$102,6,FALSE)&gt;=main!$D$103+VLOOKUP(VLOOKUP(O$1,main!$A$3:$I$102,7,FALSE),main!$K$26:$Q$29,3,FALSE),1,0)</f>
        <v>0</v>
      </c>
      <c r="P82">
        <f>IF(VLOOKUP(P$1,main!$A$3:$H$102,5,FALSE)-VLOOKUP($A82,main!$A$3:$H$102,6,FALSE)&gt;=main!$D$103+VLOOKUP(VLOOKUP(P$1,main!$A$3:$I$102,7,FALSE),main!$K$26:$Q$29,3,FALSE),1,0)</f>
        <v>0</v>
      </c>
      <c r="Q82">
        <f>IF(VLOOKUP(Q$1,main!$A$3:$H$102,5,FALSE)-VLOOKUP($A82,main!$A$3:$H$102,6,FALSE)&gt;=main!$D$103+VLOOKUP(VLOOKUP(Q$1,main!$A$3:$I$102,7,FALSE),main!$K$26:$Q$29,3,FALSE),1,0)</f>
        <v>0</v>
      </c>
      <c r="R82">
        <f>IF(VLOOKUP(R$1,main!$A$3:$H$102,5,FALSE)-VLOOKUP($A82,main!$A$3:$H$102,6,FALSE)&gt;=main!$D$103+VLOOKUP(VLOOKUP(R$1,main!$A$3:$I$102,7,FALSE),main!$K$26:$Q$29,3,FALSE),1,0)</f>
        <v>0</v>
      </c>
      <c r="S82">
        <f>IF(VLOOKUP(S$1,main!$A$3:$H$102,5,FALSE)-VLOOKUP($A82,main!$A$3:$H$102,6,FALSE)&gt;=main!$D$103+VLOOKUP(VLOOKUP(S$1,main!$A$3:$I$102,7,FALSE),main!$K$26:$Q$29,3,FALSE),1,0)</f>
        <v>0</v>
      </c>
      <c r="T82">
        <f>IF(VLOOKUP(T$1,main!$A$3:$H$102,5,FALSE)-VLOOKUP($A82,main!$A$3:$H$102,6,FALSE)&gt;=main!$D$103+VLOOKUP(VLOOKUP(T$1,main!$A$3:$I$102,7,FALSE),main!$K$26:$Q$29,3,FALSE),1,0)</f>
        <v>0</v>
      </c>
      <c r="U82">
        <f>IF(VLOOKUP(U$1,main!$A$3:$H$102,5,FALSE)-VLOOKUP($A82,main!$A$3:$H$102,6,FALSE)&gt;=main!$D$103+VLOOKUP(VLOOKUP(U$1,main!$A$3:$I$102,7,FALSE),main!$K$26:$Q$29,3,FALSE),1,0)</f>
        <v>1</v>
      </c>
      <c r="V82">
        <f>IF(VLOOKUP(V$1,main!$A$3:$H$102,5,FALSE)-VLOOKUP($A82,main!$A$3:$H$102,6,FALSE)&gt;=main!$D$103+VLOOKUP(VLOOKUP(V$1,main!$A$3:$I$102,7,FALSE),main!$K$26:$Q$29,3,FALSE),1,0)</f>
        <v>1</v>
      </c>
      <c r="W82">
        <f>IF(VLOOKUP(W$1,main!$A$3:$H$102,5,FALSE)-VLOOKUP($A82,main!$A$3:$H$102,6,FALSE)&gt;=main!$D$103+VLOOKUP(VLOOKUP(W$1,main!$A$3:$I$102,7,FALSE),main!$K$26:$Q$29,3,FALSE),1,0)</f>
        <v>0</v>
      </c>
      <c r="X82">
        <f>IF(VLOOKUP(X$1,main!$A$3:$H$102,5,FALSE)-VLOOKUP($A82,main!$A$3:$H$102,6,FALSE)&gt;=main!$D$103+VLOOKUP(VLOOKUP(X$1,main!$A$3:$I$102,7,FALSE),main!$K$26:$Q$29,3,FALSE),1,0)</f>
        <v>0</v>
      </c>
      <c r="Y82">
        <f>IF(VLOOKUP(Y$1,main!$A$3:$H$102,5,FALSE)-VLOOKUP($A82,main!$A$3:$H$102,6,FALSE)&gt;=main!$D$103+VLOOKUP(VLOOKUP(Y$1,main!$A$3:$I$102,7,FALSE),main!$K$26:$Q$29,3,FALSE),1,0)</f>
        <v>0</v>
      </c>
      <c r="Z82">
        <f>IF(VLOOKUP(Z$1,main!$A$3:$H$102,5,FALSE)-VLOOKUP($A82,main!$A$3:$H$102,6,FALSE)&gt;=main!$D$103+VLOOKUP(VLOOKUP(Z$1,main!$A$3:$I$102,7,FALSE),main!$K$26:$Q$29,3,FALSE),1,0)</f>
        <v>0</v>
      </c>
      <c r="AA82">
        <f>IF(VLOOKUP(AA$1,main!$A$3:$H$102,5,FALSE)-VLOOKUP($A82,main!$A$3:$H$102,6,FALSE)&gt;=main!$D$103+VLOOKUP(VLOOKUP(AA$1,main!$A$3:$I$102,7,FALSE),main!$K$26:$Q$29,3,FALSE),1,0)</f>
        <v>1</v>
      </c>
      <c r="AB82">
        <f>IF(VLOOKUP(AB$1,main!$A$3:$H$102,5,FALSE)-VLOOKUP($A82,main!$A$3:$H$102,6,FALSE)&gt;=main!$D$103+VLOOKUP(VLOOKUP(AB$1,main!$A$3:$I$102,7,FALSE),main!$K$26:$Q$29,3,FALSE),1,0)</f>
        <v>0</v>
      </c>
      <c r="AC82">
        <f>IF(VLOOKUP(AC$1,main!$A$3:$H$102,5,FALSE)-VLOOKUP($A82,main!$A$3:$H$102,6,FALSE)&gt;=main!$D$103+VLOOKUP(VLOOKUP(AC$1,main!$A$3:$I$102,7,FALSE),main!$K$26:$Q$29,3,FALSE),1,0)</f>
        <v>0</v>
      </c>
      <c r="AD82">
        <f>IF(VLOOKUP(AD$1,main!$A$3:$H$102,5,FALSE)-VLOOKUP($A82,main!$A$3:$H$102,6,FALSE)&gt;=main!$D$103+VLOOKUP(VLOOKUP(AD$1,main!$A$3:$I$102,7,FALSE),main!$K$26:$Q$29,3,FALSE),1,0)</f>
        <v>0</v>
      </c>
      <c r="AE82">
        <f>IF(VLOOKUP(AE$1,main!$A$3:$H$102,5,FALSE)-VLOOKUP($A82,main!$A$3:$H$102,6,FALSE)&gt;=main!$D$103+VLOOKUP(VLOOKUP(AE$1,main!$A$3:$I$102,7,FALSE),main!$K$26:$Q$29,3,FALSE),1,0)</f>
        <v>0</v>
      </c>
      <c r="AF82">
        <f>IF(VLOOKUP(AF$1,main!$A$3:$H$102,5,FALSE)-VLOOKUP($A82,main!$A$3:$H$102,6,FALSE)&gt;=main!$D$103+VLOOKUP(VLOOKUP(AF$1,main!$A$3:$I$102,7,FALSE),main!$K$26:$Q$29,3,FALSE),1,0)</f>
        <v>1</v>
      </c>
      <c r="AG82">
        <f>IF(VLOOKUP(AG$1,main!$A$3:$H$102,5,FALSE)-VLOOKUP($A82,main!$A$3:$H$102,6,FALSE)&gt;=main!$D$103+VLOOKUP(VLOOKUP(AG$1,main!$A$3:$I$102,7,FALSE),main!$K$26:$Q$29,3,FALSE),1,0)</f>
        <v>0</v>
      </c>
      <c r="AH82">
        <f>IF(VLOOKUP(AH$1,main!$A$3:$H$102,5,FALSE)-VLOOKUP($A82,main!$A$3:$H$102,6,FALSE)&gt;=main!$D$103+VLOOKUP(VLOOKUP(AH$1,main!$A$3:$I$102,7,FALSE),main!$K$26:$Q$29,3,FALSE),1,0)</f>
        <v>0</v>
      </c>
      <c r="AI82">
        <f>IF(VLOOKUP(AI$1,main!$A$3:$H$102,5,FALSE)-VLOOKUP($A82,main!$A$3:$H$102,6,FALSE)&gt;=main!$D$103+VLOOKUP(VLOOKUP(AI$1,main!$A$3:$I$102,7,FALSE),main!$K$26:$Q$29,3,FALSE),1,0)</f>
        <v>0</v>
      </c>
      <c r="AJ82">
        <f>IF(VLOOKUP(AJ$1,main!$A$3:$H$102,5,FALSE)-VLOOKUP($A82,main!$A$3:$H$102,6,FALSE)&gt;=main!$D$103+VLOOKUP(VLOOKUP(AJ$1,main!$A$3:$I$102,7,FALSE),main!$K$26:$Q$29,3,FALSE),1,0)</f>
        <v>0</v>
      </c>
      <c r="AK82">
        <f>IF(VLOOKUP(AK$1,main!$A$3:$H$102,5,FALSE)-VLOOKUP($A82,main!$A$3:$H$102,6,FALSE)&gt;=main!$D$103+VLOOKUP(VLOOKUP(AK$1,main!$A$3:$I$102,7,FALSE),main!$K$26:$Q$29,3,FALSE),1,0)</f>
        <v>0</v>
      </c>
      <c r="AL82">
        <f>IF(VLOOKUP(AL$1,main!$A$3:$H$102,5,FALSE)-VLOOKUP($A82,main!$A$3:$H$102,6,FALSE)&gt;=main!$D$103+VLOOKUP(VLOOKUP(AL$1,main!$A$3:$I$102,7,FALSE),main!$K$26:$Q$29,3,FALSE),1,0)</f>
        <v>0</v>
      </c>
      <c r="AM82">
        <f>IF(VLOOKUP(AM$1,main!$A$3:$H$102,5,FALSE)-VLOOKUP($A82,main!$A$3:$H$102,6,FALSE)&gt;=main!$D$103+VLOOKUP(VLOOKUP(AM$1,main!$A$3:$I$102,7,FALSE),main!$K$26:$Q$29,3,FALSE),1,0)</f>
        <v>1</v>
      </c>
      <c r="AN82">
        <f>IF(VLOOKUP(AN$1,main!$A$3:$H$102,5,FALSE)-VLOOKUP($A82,main!$A$3:$H$102,6,FALSE)&gt;=main!$D$103+VLOOKUP(VLOOKUP(AN$1,main!$A$3:$I$102,7,FALSE),main!$K$26:$Q$29,3,FALSE),1,0)</f>
        <v>1</v>
      </c>
      <c r="AO82">
        <f>IF(VLOOKUP(AO$1,main!$A$3:$H$102,5,FALSE)-VLOOKUP($A82,main!$A$3:$H$102,6,FALSE)&gt;=main!$D$103+VLOOKUP(VLOOKUP(AO$1,main!$A$3:$I$102,7,FALSE),main!$K$26:$Q$29,3,FALSE),1,0)</f>
        <v>0</v>
      </c>
      <c r="AP82">
        <f>IF(VLOOKUP(AP$1,main!$A$3:$H$102,5,FALSE)-VLOOKUP($A82,main!$A$3:$H$102,6,FALSE)&gt;=main!$D$103+VLOOKUP(VLOOKUP(AP$1,main!$A$3:$I$102,7,FALSE),main!$K$26:$Q$29,3,FALSE),1,0)</f>
        <v>1</v>
      </c>
      <c r="AQ82">
        <f>IF(VLOOKUP(AQ$1,main!$A$3:$H$102,5,FALSE)-VLOOKUP($A82,main!$A$3:$H$102,6,FALSE)&gt;=main!$D$103+VLOOKUP(VLOOKUP(AQ$1,main!$A$3:$I$102,7,FALSE),main!$K$26:$Q$29,3,FALSE),1,0)</f>
        <v>0</v>
      </c>
      <c r="AR82">
        <f>IF(VLOOKUP(AR$1,main!$A$3:$H$102,5,FALSE)-VLOOKUP($A82,main!$A$3:$H$102,6,FALSE)&gt;=main!$D$103+VLOOKUP(VLOOKUP(AR$1,main!$A$3:$I$102,7,FALSE),main!$K$26:$Q$29,3,FALSE),1,0)</f>
        <v>0</v>
      </c>
      <c r="AS82">
        <f>IF(VLOOKUP(AS$1,main!$A$3:$H$102,5,FALSE)-VLOOKUP($A82,main!$A$3:$H$102,6,FALSE)&gt;=main!$D$103+VLOOKUP(VLOOKUP(AS$1,main!$A$3:$I$102,7,FALSE),main!$K$26:$Q$29,3,FALSE),1,0)</f>
        <v>0</v>
      </c>
      <c r="AT82">
        <f>IF(VLOOKUP(AT$1,main!$A$3:$H$102,5,FALSE)-VLOOKUP($A82,main!$A$3:$H$102,6,FALSE)&gt;=main!$D$103+VLOOKUP(VLOOKUP(AT$1,main!$A$3:$I$102,7,FALSE),main!$K$26:$Q$29,3,FALSE),1,0)</f>
        <v>0</v>
      </c>
      <c r="AU82">
        <f>IF(VLOOKUP(AU$1,main!$A$3:$H$102,5,FALSE)-VLOOKUP($A82,main!$A$3:$H$102,6,FALSE)&gt;=main!$D$103+VLOOKUP(VLOOKUP(AU$1,main!$A$3:$I$102,7,FALSE),main!$K$26:$Q$29,3,FALSE),1,0)</f>
        <v>0</v>
      </c>
      <c r="AV82">
        <f>IF(VLOOKUP(AV$1,main!$A$3:$H$102,5,FALSE)-VLOOKUP($A82,main!$A$3:$H$102,6,FALSE)&gt;=main!$D$103+VLOOKUP(VLOOKUP(AV$1,main!$A$3:$I$102,7,FALSE),main!$K$26:$Q$29,3,FALSE),1,0)</f>
        <v>0</v>
      </c>
      <c r="AW82">
        <f>IF(VLOOKUP(AW$1,main!$A$3:$H$102,5,FALSE)-VLOOKUP($A82,main!$A$3:$H$102,6,FALSE)&gt;=main!$D$103+VLOOKUP(VLOOKUP(AW$1,main!$A$3:$I$102,7,FALSE),main!$K$26:$Q$29,3,FALSE),1,0)</f>
        <v>0</v>
      </c>
      <c r="AX82">
        <f>IF(VLOOKUP(AX$1,main!$A$3:$H$102,5,FALSE)-VLOOKUP($A82,main!$A$3:$H$102,6,FALSE)&gt;=main!$D$103+VLOOKUP(VLOOKUP(AX$1,main!$A$3:$I$102,7,FALSE),main!$K$26:$Q$29,3,FALSE),1,0)</f>
        <v>0</v>
      </c>
      <c r="AY82">
        <f>IF(VLOOKUP(AY$1,main!$A$3:$H$102,5,FALSE)-VLOOKUP($A82,main!$A$3:$H$102,6,FALSE)&gt;=main!$D$103+VLOOKUP(VLOOKUP(AY$1,main!$A$3:$I$102,7,FALSE),main!$K$26:$Q$29,3,FALSE),1,0)</f>
        <v>0</v>
      </c>
      <c r="AZ82">
        <f>IF(VLOOKUP(AZ$1,main!$A$3:$H$102,5,FALSE)-VLOOKUP($A82,main!$A$3:$H$102,6,FALSE)&gt;=main!$D$103+VLOOKUP(VLOOKUP(AZ$1,main!$A$3:$I$102,7,FALSE),main!$K$26:$Q$29,3,FALSE),1,0)</f>
        <v>0</v>
      </c>
      <c r="BA82">
        <f>IF(VLOOKUP(BA$1,main!$A$3:$H$102,5,FALSE)-VLOOKUP($A82,main!$A$3:$H$102,6,FALSE)&gt;=main!$D$103+VLOOKUP(VLOOKUP(BA$1,main!$A$3:$I$102,7,FALSE),main!$K$26:$Q$29,3,FALSE),1,0)</f>
        <v>0</v>
      </c>
      <c r="BB82">
        <f>IF(VLOOKUP(BB$1,main!$A$3:$H$102,5,FALSE)-VLOOKUP($A82,main!$A$3:$H$102,6,FALSE)&gt;=main!$D$103+VLOOKUP(VLOOKUP(BB$1,main!$A$3:$I$102,7,FALSE),main!$K$26:$Q$29,3,FALSE),1,0)</f>
        <v>0</v>
      </c>
      <c r="BC82">
        <f>IF(VLOOKUP(BC$1,main!$A$3:$H$102,5,FALSE)-VLOOKUP($A82,main!$A$3:$H$102,6,FALSE)&gt;=main!$D$103+VLOOKUP(VLOOKUP(BC$1,main!$A$3:$I$102,7,FALSE),main!$K$26:$Q$29,3,FALSE),1,0)</f>
        <v>0</v>
      </c>
      <c r="BD82">
        <f>IF(VLOOKUP(BD$1,main!$A$3:$H$102,5,FALSE)-VLOOKUP($A82,main!$A$3:$H$102,6,FALSE)&gt;=main!$D$103+VLOOKUP(VLOOKUP(BD$1,main!$A$3:$I$102,7,FALSE),main!$K$26:$Q$29,3,FALSE),1,0)</f>
        <v>0</v>
      </c>
      <c r="BE82">
        <f>IF(VLOOKUP(BE$1,main!$A$3:$H$102,5,FALSE)-VLOOKUP($A82,main!$A$3:$H$102,6,FALSE)&gt;=main!$D$103+VLOOKUP(VLOOKUP(BE$1,main!$A$3:$I$102,7,FALSE),main!$K$26:$Q$29,3,FALSE),1,0)</f>
        <v>0</v>
      </c>
      <c r="BF82">
        <f>IF(VLOOKUP(BF$1,main!$A$3:$H$102,5,FALSE)-VLOOKUP($A82,main!$A$3:$H$102,6,FALSE)&gt;=main!$D$103+VLOOKUP(VLOOKUP(BF$1,main!$A$3:$I$102,7,FALSE),main!$K$26:$Q$29,3,FALSE),1,0)</f>
        <v>0</v>
      </c>
      <c r="BG82">
        <f>IF(VLOOKUP(BG$1,main!$A$3:$H$102,5,FALSE)-VLOOKUP($A82,main!$A$3:$H$102,6,FALSE)&gt;=main!$D$103+VLOOKUP(VLOOKUP(BG$1,main!$A$3:$I$102,7,FALSE),main!$K$26:$Q$29,3,FALSE),1,0)</f>
        <v>0</v>
      </c>
      <c r="BH82">
        <f>IF(VLOOKUP(BH$1,main!$A$3:$H$102,5,FALSE)-VLOOKUP($A82,main!$A$3:$H$102,6,FALSE)&gt;=main!$D$103+VLOOKUP(VLOOKUP(BH$1,main!$A$3:$I$102,7,FALSE),main!$K$26:$Q$29,3,FALSE),1,0)</f>
        <v>0</v>
      </c>
      <c r="BI82">
        <f>IF(VLOOKUP(BI$1,main!$A$3:$H$102,5,FALSE)-VLOOKUP($A82,main!$A$3:$H$102,6,FALSE)&gt;=main!$D$103+VLOOKUP(VLOOKUP(BI$1,main!$A$3:$I$102,7,FALSE),main!$K$26:$Q$29,3,FALSE),1,0)</f>
        <v>1</v>
      </c>
      <c r="BJ82">
        <f>IF(VLOOKUP(BJ$1,main!$A$3:$H$102,5,FALSE)-VLOOKUP($A82,main!$A$3:$H$102,6,FALSE)&gt;=main!$D$103+VLOOKUP(VLOOKUP(BJ$1,main!$A$3:$I$102,7,FALSE),main!$K$26:$Q$29,3,FALSE),1,0)</f>
        <v>0</v>
      </c>
      <c r="BK82">
        <f>IF(VLOOKUP(BK$1,main!$A$3:$H$102,5,FALSE)-VLOOKUP($A82,main!$A$3:$H$102,6,FALSE)&gt;=main!$D$103+VLOOKUP(VLOOKUP(BK$1,main!$A$3:$I$102,7,FALSE),main!$K$26:$Q$29,3,FALSE),1,0)</f>
        <v>0</v>
      </c>
      <c r="BL82">
        <f>IF(VLOOKUP(BL$1,main!$A$3:$H$102,5,FALSE)-VLOOKUP($A82,main!$A$3:$H$102,6,FALSE)&gt;=main!$D$103+VLOOKUP(VLOOKUP(BL$1,main!$A$3:$I$102,7,FALSE),main!$K$26:$Q$29,3,FALSE),1,0)</f>
        <v>0</v>
      </c>
      <c r="BM82">
        <f>IF(VLOOKUP(BM$1,main!$A$3:$H$102,5,FALSE)-VLOOKUP($A82,main!$A$3:$H$102,6,FALSE)&gt;=main!$D$103+VLOOKUP(VLOOKUP(BM$1,main!$A$3:$I$102,7,FALSE),main!$K$26:$Q$29,3,FALSE),1,0)</f>
        <v>0</v>
      </c>
      <c r="BN82">
        <f>IF(VLOOKUP(BN$1,main!$A$3:$H$102,5,FALSE)-VLOOKUP($A82,main!$A$3:$H$102,6,FALSE)&gt;=main!$D$103+VLOOKUP(VLOOKUP(BN$1,main!$A$3:$I$102,7,FALSE),main!$K$26:$Q$29,3,FALSE),1,0)</f>
        <v>0</v>
      </c>
      <c r="BO82">
        <f>IF(VLOOKUP(BO$1,main!$A$3:$H$102,5,FALSE)-VLOOKUP($A82,main!$A$3:$H$102,6,FALSE)&gt;=main!$D$103+VLOOKUP(VLOOKUP(BO$1,main!$A$3:$I$102,7,FALSE),main!$K$26:$Q$29,3,FALSE),1,0)</f>
        <v>0</v>
      </c>
      <c r="BP82">
        <f>IF(VLOOKUP(BP$1,main!$A$3:$H$102,5,FALSE)-VLOOKUP($A82,main!$A$3:$H$102,6,FALSE)&gt;=main!$D$103+VLOOKUP(VLOOKUP(BP$1,main!$A$3:$I$102,7,FALSE),main!$K$26:$Q$29,3,FALSE),1,0)</f>
        <v>0</v>
      </c>
      <c r="BQ82">
        <f>IF(VLOOKUP(BQ$1,main!$A$3:$H$102,5,FALSE)-VLOOKUP($A82,main!$A$3:$H$102,6,FALSE)&gt;=main!$D$103+VLOOKUP(VLOOKUP(BQ$1,main!$A$3:$I$102,7,FALSE),main!$K$26:$Q$29,3,FALSE),1,0)</f>
        <v>0</v>
      </c>
      <c r="BR82">
        <f>IF(VLOOKUP(BR$1,main!$A$3:$H$102,5,FALSE)-VLOOKUP($A82,main!$A$3:$H$102,6,FALSE)&gt;=main!$D$103+VLOOKUP(VLOOKUP(BR$1,main!$A$3:$I$102,7,FALSE),main!$K$26:$Q$29,3,FALSE),1,0)</f>
        <v>0</v>
      </c>
      <c r="BS82">
        <f>IF(VLOOKUP(BS$1,main!$A$3:$H$102,5,FALSE)-VLOOKUP($A82,main!$A$3:$H$102,6,FALSE)&gt;=main!$D$103+VLOOKUP(VLOOKUP(BS$1,main!$A$3:$I$102,7,FALSE),main!$K$26:$Q$29,3,FALSE),1,0)</f>
        <v>0</v>
      </c>
      <c r="BT82">
        <f>IF(VLOOKUP(BT$1,main!$A$3:$H$102,5,FALSE)-VLOOKUP($A82,main!$A$3:$H$102,6,FALSE)&gt;=main!$D$103+VLOOKUP(VLOOKUP(BT$1,main!$A$3:$I$102,7,FALSE),main!$K$26:$Q$29,3,FALSE),1,0)</f>
        <v>0</v>
      </c>
      <c r="BU82">
        <f>IF(VLOOKUP(BU$1,main!$A$3:$H$102,5,FALSE)-VLOOKUP($A82,main!$A$3:$H$102,6,FALSE)&gt;=main!$D$103+VLOOKUP(VLOOKUP(BU$1,main!$A$3:$I$102,7,FALSE),main!$K$26:$Q$29,3,FALSE),1,0)</f>
        <v>0</v>
      </c>
      <c r="BV82">
        <f>IF(VLOOKUP(BV$1,main!$A$3:$H$102,5,FALSE)-VLOOKUP($A82,main!$A$3:$H$102,6,FALSE)&gt;=main!$D$103+VLOOKUP(VLOOKUP(BV$1,main!$A$3:$I$102,7,FALSE),main!$K$26:$Q$29,3,FALSE),1,0)</f>
        <v>0</v>
      </c>
      <c r="BW82">
        <f>IF(VLOOKUP(BW$1,main!$A$3:$H$102,5,FALSE)-VLOOKUP($A82,main!$A$3:$H$102,6,FALSE)&gt;=main!$D$103+VLOOKUP(VLOOKUP(BW$1,main!$A$3:$I$102,7,FALSE),main!$K$26:$Q$29,3,FALSE),1,0)</f>
        <v>0</v>
      </c>
      <c r="BX82">
        <f>IF(VLOOKUP(BX$1,main!$A$3:$H$102,5,FALSE)-VLOOKUP($A82,main!$A$3:$H$102,6,FALSE)&gt;=main!$D$103+VLOOKUP(VLOOKUP(BX$1,main!$A$3:$I$102,7,FALSE),main!$K$26:$Q$29,3,FALSE),1,0)</f>
        <v>0</v>
      </c>
      <c r="BY82">
        <f>IF(VLOOKUP(BY$1,main!$A$3:$H$102,5,FALSE)-VLOOKUP($A82,main!$A$3:$H$102,6,FALSE)&gt;=main!$D$103+VLOOKUP(VLOOKUP(BY$1,main!$A$3:$I$102,7,FALSE),main!$K$26:$Q$29,3,FALSE),1,0)</f>
        <v>0</v>
      </c>
      <c r="BZ82">
        <f>IF(VLOOKUP(BZ$1,main!$A$3:$H$102,5,FALSE)-VLOOKUP($A82,main!$A$3:$H$102,6,FALSE)&gt;=main!$D$103+VLOOKUP(VLOOKUP(BZ$1,main!$A$3:$I$102,7,FALSE),main!$K$26:$Q$29,3,FALSE),1,0)</f>
        <v>0</v>
      </c>
      <c r="CA82">
        <f>IF(VLOOKUP(CA$1,main!$A$3:$H$102,5,FALSE)-VLOOKUP($A82,main!$A$3:$H$102,6,FALSE)&gt;=main!$D$103+VLOOKUP(VLOOKUP(CA$1,main!$A$3:$I$102,7,FALSE),main!$K$26:$Q$29,3,FALSE),1,0)</f>
        <v>0</v>
      </c>
      <c r="CB82">
        <f>IF(VLOOKUP(CB$1,main!$A$3:$H$102,5,FALSE)-VLOOKUP($A82,main!$A$3:$H$102,6,FALSE)&gt;=main!$D$103+VLOOKUP(VLOOKUP(CB$1,main!$A$3:$I$102,7,FALSE),main!$K$26:$Q$29,3,FALSE),1,0)</f>
        <v>0</v>
      </c>
      <c r="CC82">
        <f>IF(VLOOKUP(CC$1,main!$A$3:$H$102,5,FALSE)-VLOOKUP($A82,main!$A$3:$H$102,6,FALSE)&gt;=main!$D$103+VLOOKUP(VLOOKUP(CC$1,main!$A$3:$I$102,7,FALSE),main!$K$26:$Q$29,3,FALSE),1,0)</f>
        <v>1</v>
      </c>
      <c r="CD82">
        <f>IF(VLOOKUP(CD$1,main!$A$3:$H$102,5,FALSE)-VLOOKUP($A82,main!$A$3:$H$102,6,FALSE)&gt;=main!$D$103+VLOOKUP(VLOOKUP(CD$1,main!$A$3:$I$102,7,FALSE),main!$K$26:$Q$29,3,FALSE),1,0)</f>
        <v>0</v>
      </c>
      <c r="CE82">
        <f>IF(VLOOKUP(CE$1,main!$A$3:$H$102,5,FALSE)-VLOOKUP($A82,main!$A$3:$H$102,6,FALSE)&gt;=main!$D$103+VLOOKUP(VLOOKUP(CE$1,main!$A$3:$I$102,7,FALSE),main!$K$26:$Q$29,3,FALSE),1,0)</f>
        <v>0</v>
      </c>
      <c r="CF82">
        <f>IF(VLOOKUP(CF$1,main!$A$3:$H$102,5,FALSE)-VLOOKUP($A82,main!$A$3:$H$102,6,FALSE)&gt;=main!$D$103+VLOOKUP(VLOOKUP(CF$1,main!$A$3:$I$102,7,FALSE),main!$K$26:$Q$29,3,FALSE),1,0)</f>
        <v>0</v>
      </c>
      <c r="CG82">
        <f>IF(VLOOKUP(CG$1,main!$A$3:$H$102,5,FALSE)-VLOOKUP($A82,main!$A$3:$H$102,6,FALSE)&gt;=main!$D$103+VLOOKUP(VLOOKUP(CG$1,main!$A$3:$I$102,7,FALSE),main!$K$26:$Q$29,3,FALSE),1,0)</f>
        <v>0</v>
      </c>
      <c r="CH82">
        <f>IF(VLOOKUP(CH$1,main!$A$3:$H$102,5,FALSE)-VLOOKUP($A82,main!$A$3:$H$102,6,FALSE)&gt;=main!$D$103+VLOOKUP(VLOOKUP(CH$1,main!$A$3:$I$102,7,FALSE),main!$K$26:$Q$29,3,FALSE),1,0)</f>
        <v>0</v>
      </c>
      <c r="CI82">
        <f>IF(VLOOKUP(CI$1,main!$A$3:$H$102,5,FALSE)-VLOOKUP($A82,main!$A$3:$H$102,6,FALSE)&gt;=main!$D$103+VLOOKUP(VLOOKUP(CI$1,main!$A$3:$I$102,7,FALSE),main!$K$26:$Q$29,3,FALSE),1,0)</f>
        <v>1</v>
      </c>
      <c r="CJ82">
        <f>IF(VLOOKUP(CJ$1,main!$A$3:$H$102,5,FALSE)-VLOOKUP($A82,main!$A$3:$H$102,6,FALSE)&gt;=main!$D$103+VLOOKUP(VLOOKUP(CJ$1,main!$A$3:$I$102,7,FALSE),main!$K$26:$Q$29,3,FALSE),1,0)</f>
        <v>0</v>
      </c>
      <c r="CK82">
        <f>IF(VLOOKUP(CK$1,main!$A$3:$H$102,5,FALSE)-VLOOKUP($A82,main!$A$3:$H$102,6,FALSE)&gt;=main!$D$103+VLOOKUP(VLOOKUP(CK$1,main!$A$3:$I$102,7,FALSE),main!$K$26:$Q$29,3,FALSE),1,0)</f>
        <v>0</v>
      </c>
      <c r="CL82">
        <f>IF(VLOOKUP(CL$1,main!$A$3:$H$102,5,FALSE)-VLOOKUP($A82,main!$A$3:$H$102,6,FALSE)&gt;=main!$D$103+VLOOKUP(VLOOKUP(CL$1,main!$A$3:$I$102,7,FALSE),main!$K$26:$Q$29,3,FALSE),1,0)</f>
        <v>0</v>
      </c>
      <c r="CM82">
        <f>IF(VLOOKUP(CM$1,main!$A$3:$H$102,5,FALSE)-VLOOKUP($A82,main!$A$3:$H$102,6,FALSE)&gt;=main!$D$103+VLOOKUP(VLOOKUP(CM$1,main!$A$3:$I$102,7,FALSE),main!$K$26:$Q$29,3,FALSE),1,0)</f>
        <v>0</v>
      </c>
      <c r="CN82">
        <f>IF(VLOOKUP(CN$1,main!$A$3:$H$102,5,FALSE)-VLOOKUP($A82,main!$A$3:$H$102,6,FALSE)&gt;=main!$D$103+VLOOKUP(VLOOKUP(CN$1,main!$A$3:$I$102,7,FALSE),main!$K$26:$Q$29,3,FALSE),1,0)</f>
        <v>1</v>
      </c>
      <c r="CO82">
        <f>IF(VLOOKUP(CO$1,main!$A$3:$H$102,5,FALSE)-VLOOKUP($A82,main!$A$3:$H$102,6,FALSE)&gt;=main!$D$103+VLOOKUP(VLOOKUP(CO$1,main!$A$3:$I$102,7,FALSE),main!$K$26:$Q$29,3,FALSE),1,0)</f>
        <v>0</v>
      </c>
      <c r="CP82">
        <f>IF(VLOOKUP(CP$1,main!$A$3:$H$102,5,FALSE)-VLOOKUP($A82,main!$A$3:$H$102,6,FALSE)&gt;=main!$D$103+VLOOKUP(VLOOKUP(CP$1,main!$A$3:$I$102,7,FALSE),main!$K$26:$Q$29,3,FALSE),1,0)</f>
        <v>0</v>
      </c>
      <c r="CQ82">
        <f>IF(VLOOKUP(CQ$1,main!$A$3:$H$102,5,FALSE)-VLOOKUP($A82,main!$A$3:$H$102,6,FALSE)&gt;=main!$D$103+VLOOKUP(VLOOKUP(CQ$1,main!$A$3:$I$102,7,FALSE),main!$K$26:$Q$29,3,FALSE),1,0)</f>
        <v>0</v>
      </c>
      <c r="CR82">
        <f>IF(VLOOKUP(CR$1,main!$A$3:$H$102,5,FALSE)-VLOOKUP($A82,main!$A$3:$H$102,6,FALSE)&gt;=main!$D$103+VLOOKUP(VLOOKUP(CR$1,main!$A$3:$I$102,7,FALSE),main!$K$26:$Q$29,3,FALSE),1,0)</f>
        <v>0</v>
      </c>
      <c r="CS82">
        <f>IF(VLOOKUP(CS$1,main!$A$3:$H$102,5,FALSE)-VLOOKUP($A82,main!$A$3:$H$102,6,FALSE)&gt;=main!$D$103+VLOOKUP(VLOOKUP(CS$1,main!$A$3:$I$102,7,FALSE),main!$K$26:$Q$29,3,FALSE),1,0)</f>
        <v>0</v>
      </c>
      <c r="CT82">
        <f>IF(VLOOKUP(CT$1,main!$A$3:$H$102,5,FALSE)-VLOOKUP($A82,main!$A$3:$H$102,6,FALSE)&gt;=main!$D$103+VLOOKUP(VLOOKUP(CT$1,main!$A$3:$I$102,7,FALSE),main!$K$26:$Q$29,3,FALSE),1,0)</f>
        <v>0</v>
      </c>
      <c r="CU82">
        <f>IF(VLOOKUP(CU$1,main!$A$3:$H$102,5,FALSE)-VLOOKUP($A82,main!$A$3:$H$102,6,FALSE)&gt;=main!$D$103+VLOOKUP(VLOOKUP(CU$1,main!$A$3:$I$102,7,FALSE),main!$K$26:$Q$29,3,FALSE),1,0)</f>
        <v>0</v>
      </c>
      <c r="CV82">
        <f>IF(VLOOKUP(CV$1,main!$A$3:$H$102,5,FALSE)-VLOOKUP($A82,main!$A$3:$H$102,6,FALSE)&gt;=main!$D$103+VLOOKUP(VLOOKUP(CV$1,main!$A$3:$I$102,7,FALSE),main!$K$26:$Q$29,3,FALSE),1,0)</f>
        <v>0</v>
      </c>
      <c r="CW82">
        <f>IF(VLOOKUP(CW$1,main!$A$3:$H$102,5,FALSE)-VLOOKUP($A82,main!$A$3:$H$102,6,FALSE)&gt;=main!$D$103+VLOOKUP(VLOOKUP(CW$1,main!$A$3:$I$102,7,FALSE),main!$K$26:$Q$29,3,FALSE),1,0)</f>
        <v>0</v>
      </c>
      <c r="CX82">
        <f>IF(VLOOKUP(CX$1,main!$A$3:$H$102,5,FALSE)-VLOOKUP($A82,main!$A$3:$H$102,6,FALSE)&gt;=main!$D$103+VLOOKUP(VLOOKUP(CX$1,main!$A$3:$I$102,7,FALSE),main!$K$26:$Q$29,3,FALSE),1,0)</f>
        <v>0</v>
      </c>
    </row>
    <row r="83" spans="1:102" x14ac:dyDescent="0.25">
      <c r="A83" s="1">
        <v>81</v>
      </c>
      <c r="B83">
        <v>0</v>
      </c>
      <c r="C83">
        <f>IF(VLOOKUP(C$1,main!$A$3:$H$102,5,FALSE)-VLOOKUP($A83,main!$A$3:$H$102,6,FALSE)&gt;=main!$D$103+VLOOKUP(VLOOKUP(C$1,main!$A$3:$I$102,7,FALSE),main!$K$26:$Q$29,3,FALSE),1,0)</f>
        <v>0</v>
      </c>
      <c r="D83">
        <f>IF(VLOOKUP(D$1,main!$A$3:$H$102,5,FALSE)-VLOOKUP($A83,main!$A$3:$H$102,6,FALSE)&gt;=main!$D$103+VLOOKUP(VLOOKUP(D$1,main!$A$3:$I$102,7,FALSE),main!$K$26:$Q$29,3,FALSE),1,0)</f>
        <v>0</v>
      </c>
      <c r="E83">
        <f>IF(VLOOKUP(E$1,main!$A$3:$H$102,5,FALSE)-VLOOKUP($A83,main!$A$3:$H$102,6,FALSE)&gt;=main!$D$103+VLOOKUP(VLOOKUP(E$1,main!$A$3:$I$102,7,FALSE),main!$K$26:$Q$29,3,FALSE),1,0)</f>
        <v>0</v>
      </c>
      <c r="F83">
        <f>IF(VLOOKUP(F$1,main!$A$3:$H$102,5,FALSE)-VLOOKUP($A83,main!$A$3:$H$102,6,FALSE)&gt;=main!$D$103+VLOOKUP(VLOOKUP(F$1,main!$A$3:$I$102,7,FALSE),main!$K$26:$Q$29,3,FALSE),1,0)</f>
        <v>0</v>
      </c>
      <c r="G83">
        <f>IF(VLOOKUP(G$1,main!$A$3:$H$102,5,FALSE)-VLOOKUP($A83,main!$A$3:$H$102,6,FALSE)&gt;=main!$D$103+VLOOKUP(VLOOKUP(G$1,main!$A$3:$I$102,7,FALSE),main!$K$26:$Q$29,3,FALSE),1,0)</f>
        <v>0</v>
      </c>
      <c r="H83">
        <f>IF(VLOOKUP(H$1,main!$A$3:$H$102,5,FALSE)-VLOOKUP($A83,main!$A$3:$H$102,6,FALSE)&gt;=main!$D$103+VLOOKUP(VLOOKUP(H$1,main!$A$3:$I$102,7,FALSE),main!$K$26:$Q$29,3,FALSE),1,0)</f>
        <v>0</v>
      </c>
      <c r="I83">
        <f>IF(VLOOKUP(I$1,main!$A$3:$H$102,5,FALSE)-VLOOKUP($A83,main!$A$3:$H$102,6,FALSE)&gt;=main!$D$103+VLOOKUP(VLOOKUP(I$1,main!$A$3:$I$102,7,FALSE),main!$K$26:$Q$29,3,FALSE),1,0)</f>
        <v>1</v>
      </c>
      <c r="J83">
        <f>IF(VLOOKUP(J$1,main!$A$3:$H$102,5,FALSE)-VLOOKUP($A83,main!$A$3:$H$102,6,FALSE)&gt;=main!$D$103+VLOOKUP(VLOOKUP(J$1,main!$A$3:$I$102,7,FALSE),main!$K$26:$Q$29,3,FALSE),1,0)</f>
        <v>1</v>
      </c>
      <c r="K83">
        <f>IF(VLOOKUP(K$1,main!$A$3:$H$102,5,FALSE)-VLOOKUP($A83,main!$A$3:$H$102,6,FALSE)&gt;=main!$D$103+VLOOKUP(VLOOKUP(K$1,main!$A$3:$I$102,7,FALSE),main!$K$26:$Q$29,3,FALSE),1,0)</f>
        <v>1</v>
      </c>
      <c r="L83">
        <f>IF(VLOOKUP(L$1,main!$A$3:$H$102,5,FALSE)-VLOOKUP($A83,main!$A$3:$H$102,6,FALSE)&gt;=main!$D$103+VLOOKUP(VLOOKUP(L$1,main!$A$3:$I$102,7,FALSE),main!$K$26:$Q$29,3,FALSE),1,0)</f>
        <v>1</v>
      </c>
      <c r="M83">
        <f>IF(VLOOKUP(M$1,main!$A$3:$H$102,5,FALSE)-VLOOKUP($A83,main!$A$3:$H$102,6,FALSE)&gt;=main!$D$103+VLOOKUP(VLOOKUP(M$1,main!$A$3:$I$102,7,FALSE),main!$K$26:$Q$29,3,FALSE),1,0)</f>
        <v>0</v>
      </c>
      <c r="N83">
        <f>IF(VLOOKUP(N$1,main!$A$3:$H$102,5,FALSE)-VLOOKUP($A83,main!$A$3:$H$102,6,FALSE)&gt;=main!$D$103+VLOOKUP(VLOOKUP(N$1,main!$A$3:$I$102,7,FALSE),main!$K$26:$Q$29,3,FALSE),1,0)</f>
        <v>0</v>
      </c>
      <c r="O83">
        <f>IF(VLOOKUP(O$1,main!$A$3:$H$102,5,FALSE)-VLOOKUP($A83,main!$A$3:$H$102,6,FALSE)&gt;=main!$D$103+VLOOKUP(VLOOKUP(O$1,main!$A$3:$I$102,7,FALSE),main!$K$26:$Q$29,3,FALSE),1,0)</f>
        <v>0</v>
      </c>
      <c r="P83">
        <f>IF(VLOOKUP(P$1,main!$A$3:$H$102,5,FALSE)-VLOOKUP($A83,main!$A$3:$H$102,6,FALSE)&gt;=main!$D$103+VLOOKUP(VLOOKUP(P$1,main!$A$3:$I$102,7,FALSE),main!$K$26:$Q$29,3,FALSE),1,0)</f>
        <v>0</v>
      </c>
      <c r="Q83">
        <f>IF(VLOOKUP(Q$1,main!$A$3:$H$102,5,FALSE)-VLOOKUP($A83,main!$A$3:$H$102,6,FALSE)&gt;=main!$D$103+VLOOKUP(VLOOKUP(Q$1,main!$A$3:$I$102,7,FALSE),main!$K$26:$Q$29,3,FALSE),1,0)</f>
        <v>0</v>
      </c>
      <c r="R83">
        <f>IF(VLOOKUP(R$1,main!$A$3:$H$102,5,FALSE)-VLOOKUP($A83,main!$A$3:$H$102,6,FALSE)&gt;=main!$D$103+VLOOKUP(VLOOKUP(R$1,main!$A$3:$I$102,7,FALSE),main!$K$26:$Q$29,3,FALSE),1,0)</f>
        <v>0</v>
      </c>
      <c r="S83">
        <f>IF(VLOOKUP(S$1,main!$A$3:$H$102,5,FALSE)-VLOOKUP($A83,main!$A$3:$H$102,6,FALSE)&gt;=main!$D$103+VLOOKUP(VLOOKUP(S$1,main!$A$3:$I$102,7,FALSE),main!$K$26:$Q$29,3,FALSE),1,0)</f>
        <v>0</v>
      </c>
      <c r="T83">
        <f>IF(VLOOKUP(T$1,main!$A$3:$H$102,5,FALSE)-VLOOKUP($A83,main!$A$3:$H$102,6,FALSE)&gt;=main!$D$103+VLOOKUP(VLOOKUP(T$1,main!$A$3:$I$102,7,FALSE),main!$K$26:$Q$29,3,FALSE),1,0)</f>
        <v>1</v>
      </c>
      <c r="U83">
        <f>IF(VLOOKUP(U$1,main!$A$3:$H$102,5,FALSE)-VLOOKUP($A83,main!$A$3:$H$102,6,FALSE)&gt;=main!$D$103+VLOOKUP(VLOOKUP(U$1,main!$A$3:$I$102,7,FALSE),main!$K$26:$Q$29,3,FALSE),1,0)</f>
        <v>1</v>
      </c>
      <c r="V83">
        <f>IF(VLOOKUP(V$1,main!$A$3:$H$102,5,FALSE)-VLOOKUP($A83,main!$A$3:$H$102,6,FALSE)&gt;=main!$D$103+VLOOKUP(VLOOKUP(V$1,main!$A$3:$I$102,7,FALSE),main!$K$26:$Q$29,3,FALSE),1,0)</f>
        <v>1</v>
      </c>
      <c r="W83">
        <f>IF(VLOOKUP(W$1,main!$A$3:$H$102,5,FALSE)-VLOOKUP($A83,main!$A$3:$H$102,6,FALSE)&gt;=main!$D$103+VLOOKUP(VLOOKUP(W$1,main!$A$3:$I$102,7,FALSE),main!$K$26:$Q$29,3,FALSE),1,0)</f>
        <v>0</v>
      </c>
      <c r="X83">
        <f>IF(VLOOKUP(X$1,main!$A$3:$H$102,5,FALSE)-VLOOKUP($A83,main!$A$3:$H$102,6,FALSE)&gt;=main!$D$103+VLOOKUP(VLOOKUP(X$1,main!$A$3:$I$102,7,FALSE),main!$K$26:$Q$29,3,FALSE),1,0)</f>
        <v>0</v>
      </c>
      <c r="Y83">
        <f>IF(VLOOKUP(Y$1,main!$A$3:$H$102,5,FALSE)-VLOOKUP($A83,main!$A$3:$H$102,6,FALSE)&gt;=main!$D$103+VLOOKUP(VLOOKUP(Y$1,main!$A$3:$I$102,7,FALSE),main!$K$26:$Q$29,3,FALSE),1,0)</f>
        <v>0</v>
      </c>
      <c r="Z83">
        <f>IF(VLOOKUP(Z$1,main!$A$3:$H$102,5,FALSE)-VLOOKUP($A83,main!$A$3:$H$102,6,FALSE)&gt;=main!$D$103+VLOOKUP(VLOOKUP(Z$1,main!$A$3:$I$102,7,FALSE),main!$K$26:$Q$29,3,FALSE),1,0)</f>
        <v>1</v>
      </c>
      <c r="AA83">
        <f>IF(VLOOKUP(AA$1,main!$A$3:$H$102,5,FALSE)-VLOOKUP($A83,main!$A$3:$H$102,6,FALSE)&gt;=main!$D$103+VLOOKUP(VLOOKUP(AA$1,main!$A$3:$I$102,7,FALSE),main!$K$26:$Q$29,3,FALSE),1,0)</f>
        <v>1</v>
      </c>
      <c r="AB83">
        <f>IF(VLOOKUP(AB$1,main!$A$3:$H$102,5,FALSE)-VLOOKUP($A83,main!$A$3:$H$102,6,FALSE)&gt;=main!$D$103+VLOOKUP(VLOOKUP(AB$1,main!$A$3:$I$102,7,FALSE),main!$K$26:$Q$29,3,FALSE),1,0)</f>
        <v>0</v>
      </c>
      <c r="AC83">
        <f>IF(VLOOKUP(AC$1,main!$A$3:$H$102,5,FALSE)-VLOOKUP($A83,main!$A$3:$H$102,6,FALSE)&gt;=main!$D$103+VLOOKUP(VLOOKUP(AC$1,main!$A$3:$I$102,7,FALSE),main!$K$26:$Q$29,3,FALSE),1,0)</f>
        <v>0</v>
      </c>
      <c r="AD83">
        <f>IF(VLOOKUP(AD$1,main!$A$3:$H$102,5,FALSE)-VLOOKUP($A83,main!$A$3:$H$102,6,FALSE)&gt;=main!$D$103+VLOOKUP(VLOOKUP(AD$1,main!$A$3:$I$102,7,FALSE),main!$K$26:$Q$29,3,FALSE),1,0)</f>
        <v>0</v>
      </c>
      <c r="AE83">
        <f>IF(VLOOKUP(AE$1,main!$A$3:$H$102,5,FALSE)-VLOOKUP($A83,main!$A$3:$H$102,6,FALSE)&gt;=main!$D$103+VLOOKUP(VLOOKUP(AE$1,main!$A$3:$I$102,7,FALSE),main!$K$26:$Q$29,3,FALSE),1,0)</f>
        <v>0</v>
      </c>
      <c r="AF83">
        <f>IF(VLOOKUP(AF$1,main!$A$3:$H$102,5,FALSE)-VLOOKUP($A83,main!$A$3:$H$102,6,FALSE)&gt;=main!$D$103+VLOOKUP(VLOOKUP(AF$1,main!$A$3:$I$102,7,FALSE),main!$K$26:$Q$29,3,FALSE),1,0)</f>
        <v>1</v>
      </c>
      <c r="AG83">
        <f>IF(VLOOKUP(AG$1,main!$A$3:$H$102,5,FALSE)-VLOOKUP($A83,main!$A$3:$H$102,6,FALSE)&gt;=main!$D$103+VLOOKUP(VLOOKUP(AG$1,main!$A$3:$I$102,7,FALSE),main!$K$26:$Q$29,3,FALSE),1,0)</f>
        <v>0</v>
      </c>
      <c r="AH83">
        <f>IF(VLOOKUP(AH$1,main!$A$3:$H$102,5,FALSE)-VLOOKUP($A83,main!$A$3:$H$102,6,FALSE)&gt;=main!$D$103+VLOOKUP(VLOOKUP(AH$1,main!$A$3:$I$102,7,FALSE),main!$K$26:$Q$29,3,FALSE),1,0)</f>
        <v>0</v>
      </c>
      <c r="AI83">
        <f>IF(VLOOKUP(AI$1,main!$A$3:$H$102,5,FALSE)-VLOOKUP($A83,main!$A$3:$H$102,6,FALSE)&gt;=main!$D$103+VLOOKUP(VLOOKUP(AI$1,main!$A$3:$I$102,7,FALSE),main!$K$26:$Q$29,3,FALSE),1,0)</f>
        <v>0</v>
      </c>
      <c r="AJ83">
        <f>IF(VLOOKUP(AJ$1,main!$A$3:$H$102,5,FALSE)-VLOOKUP($A83,main!$A$3:$H$102,6,FALSE)&gt;=main!$D$103+VLOOKUP(VLOOKUP(AJ$1,main!$A$3:$I$102,7,FALSE),main!$K$26:$Q$29,3,FALSE),1,0)</f>
        <v>0</v>
      </c>
      <c r="AK83">
        <f>IF(VLOOKUP(AK$1,main!$A$3:$H$102,5,FALSE)-VLOOKUP($A83,main!$A$3:$H$102,6,FALSE)&gt;=main!$D$103+VLOOKUP(VLOOKUP(AK$1,main!$A$3:$I$102,7,FALSE),main!$K$26:$Q$29,3,FALSE),1,0)</f>
        <v>0</v>
      </c>
      <c r="AL83">
        <f>IF(VLOOKUP(AL$1,main!$A$3:$H$102,5,FALSE)-VLOOKUP($A83,main!$A$3:$H$102,6,FALSE)&gt;=main!$D$103+VLOOKUP(VLOOKUP(AL$1,main!$A$3:$I$102,7,FALSE),main!$K$26:$Q$29,3,FALSE),1,0)</f>
        <v>1</v>
      </c>
      <c r="AM83">
        <f>IF(VLOOKUP(AM$1,main!$A$3:$H$102,5,FALSE)-VLOOKUP($A83,main!$A$3:$H$102,6,FALSE)&gt;=main!$D$103+VLOOKUP(VLOOKUP(AM$1,main!$A$3:$I$102,7,FALSE),main!$K$26:$Q$29,3,FALSE),1,0)</f>
        <v>1</v>
      </c>
      <c r="AN83">
        <f>IF(VLOOKUP(AN$1,main!$A$3:$H$102,5,FALSE)-VLOOKUP($A83,main!$A$3:$H$102,6,FALSE)&gt;=main!$D$103+VLOOKUP(VLOOKUP(AN$1,main!$A$3:$I$102,7,FALSE),main!$K$26:$Q$29,3,FALSE),1,0)</f>
        <v>1</v>
      </c>
      <c r="AO83">
        <f>IF(VLOOKUP(AO$1,main!$A$3:$H$102,5,FALSE)-VLOOKUP($A83,main!$A$3:$H$102,6,FALSE)&gt;=main!$D$103+VLOOKUP(VLOOKUP(AO$1,main!$A$3:$I$102,7,FALSE),main!$K$26:$Q$29,3,FALSE),1,0)</f>
        <v>0</v>
      </c>
      <c r="AP83">
        <f>IF(VLOOKUP(AP$1,main!$A$3:$H$102,5,FALSE)-VLOOKUP($A83,main!$A$3:$H$102,6,FALSE)&gt;=main!$D$103+VLOOKUP(VLOOKUP(AP$1,main!$A$3:$I$102,7,FALSE),main!$K$26:$Q$29,3,FALSE),1,0)</f>
        <v>1</v>
      </c>
      <c r="AQ83">
        <f>IF(VLOOKUP(AQ$1,main!$A$3:$H$102,5,FALSE)-VLOOKUP($A83,main!$A$3:$H$102,6,FALSE)&gt;=main!$D$103+VLOOKUP(VLOOKUP(AQ$1,main!$A$3:$I$102,7,FALSE),main!$K$26:$Q$29,3,FALSE),1,0)</f>
        <v>0</v>
      </c>
      <c r="AR83">
        <f>IF(VLOOKUP(AR$1,main!$A$3:$H$102,5,FALSE)-VLOOKUP($A83,main!$A$3:$H$102,6,FALSE)&gt;=main!$D$103+VLOOKUP(VLOOKUP(AR$1,main!$A$3:$I$102,7,FALSE),main!$K$26:$Q$29,3,FALSE),1,0)</f>
        <v>0</v>
      </c>
      <c r="AS83">
        <f>IF(VLOOKUP(AS$1,main!$A$3:$H$102,5,FALSE)-VLOOKUP($A83,main!$A$3:$H$102,6,FALSE)&gt;=main!$D$103+VLOOKUP(VLOOKUP(AS$1,main!$A$3:$I$102,7,FALSE),main!$K$26:$Q$29,3,FALSE),1,0)</f>
        <v>0</v>
      </c>
      <c r="AT83">
        <f>IF(VLOOKUP(AT$1,main!$A$3:$H$102,5,FALSE)-VLOOKUP($A83,main!$A$3:$H$102,6,FALSE)&gt;=main!$D$103+VLOOKUP(VLOOKUP(AT$1,main!$A$3:$I$102,7,FALSE),main!$K$26:$Q$29,3,FALSE),1,0)</f>
        <v>1</v>
      </c>
      <c r="AU83">
        <f>IF(VLOOKUP(AU$1,main!$A$3:$H$102,5,FALSE)-VLOOKUP($A83,main!$A$3:$H$102,6,FALSE)&gt;=main!$D$103+VLOOKUP(VLOOKUP(AU$1,main!$A$3:$I$102,7,FALSE),main!$K$26:$Q$29,3,FALSE),1,0)</f>
        <v>0</v>
      </c>
      <c r="AV83">
        <f>IF(VLOOKUP(AV$1,main!$A$3:$H$102,5,FALSE)-VLOOKUP($A83,main!$A$3:$H$102,6,FALSE)&gt;=main!$D$103+VLOOKUP(VLOOKUP(AV$1,main!$A$3:$I$102,7,FALSE),main!$K$26:$Q$29,3,FALSE),1,0)</f>
        <v>0</v>
      </c>
      <c r="AW83">
        <f>IF(VLOOKUP(AW$1,main!$A$3:$H$102,5,FALSE)-VLOOKUP($A83,main!$A$3:$H$102,6,FALSE)&gt;=main!$D$103+VLOOKUP(VLOOKUP(AW$1,main!$A$3:$I$102,7,FALSE),main!$K$26:$Q$29,3,FALSE),1,0)</f>
        <v>0</v>
      </c>
      <c r="AX83">
        <f>IF(VLOOKUP(AX$1,main!$A$3:$H$102,5,FALSE)-VLOOKUP($A83,main!$A$3:$H$102,6,FALSE)&gt;=main!$D$103+VLOOKUP(VLOOKUP(AX$1,main!$A$3:$I$102,7,FALSE),main!$K$26:$Q$29,3,FALSE),1,0)</f>
        <v>0</v>
      </c>
      <c r="AY83">
        <f>IF(VLOOKUP(AY$1,main!$A$3:$H$102,5,FALSE)-VLOOKUP($A83,main!$A$3:$H$102,6,FALSE)&gt;=main!$D$103+VLOOKUP(VLOOKUP(AY$1,main!$A$3:$I$102,7,FALSE),main!$K$26:$Q$29,3,FALSE),1,0)</f>
        <v>0</v>
      </c>
      <c r="AZ83">
        <f>IF(VLOOKUP(AZ$1,main!$A$3:$H$102,5,FALSE)-VLOOKUP($A83,main!$A$3:$H$102,6,FALSE)&gt;=main!$D$103+VLOOKUP(VLOOKUP(AZ$1,main!$A$3:$I$102,7,FALSE),main!$K$26:$Q$29,3,FALSE),1,0)</f>
        <v>0</v>
      </c>
      <c r="BA83">
        <f>IF(VLOOKUP(BA$1,main!$A$3:$H$102,5,FALSE)-VLOOKUP($A83,main!$A$3:$H$102,6,FALSE)&gt;=main!$D$103+VLOOKUP(VLOOKUP(BA$1,main!$A$3:$I$102,7,FALSE),main!$K$26:$Q$29,3,FALSE),1,0)</f>
        <v>0</v>
      </c>
      <c r="BB83">
        <f>IF(VLOOKUP(BB$1,main!$A$3:$H$102,5,FALSE)-VLOOKUP($A83,main!$A$3:$H$102,6,FALSE)&gt;=main!$D$103+VLOOKUP(VLOOKUP(BB$1,main!$A$3:$I$102,7,FALSE),main!$K$26:$Q$29,3,FALSE),1,0)</f>
        <v>0</v>
      </c>
      <c r="BC83">
        <f>IF(VLOOKUP(BC$1,main!$A$3:$H$102,5,FALSE)-VLOOKUP($A83,main!$A$3:$H$102,6,FALSE)&gt;=main!$D$103+VLOOKUP(VLOOKUP(BC$1,main!$A$3:$I$102,7,FALSE),main!$K$26:$Q$29,3,FALSE),1,0)</f>
        <v>0</v>
      </c>
      <c r="BD83">
        <f>IF(VLOOKUP(BD$1,main!$A$3:$H$102,5,FALSE)-VLOOKUP($A83,main!$A$3:$H$102,6,FALSE)&gt;=main!$D$103+VLOOKUP(VLOOKUP(BD$1,main!$A$3:$I$102,7,FALSE),main!$K$26:$Q$29,3,FALSE),1,0)</f>
        <v>0</v>
      </c>
      <c r="BE83">
        <f>IF(VLOOKUP(BE$1,main!$A$3:$H$102,5,FALSE)-VLOOKUP($A83,main!$A$3:$H$102,6,FALSE)&gt;=main!$D$103+VLOOKUP(VLOOKUP(BE$1,main!$A$3:$I$102,7,FALSE),main!$K$26:$Q$29,3,FALSE),1,0)</f>
        <v>1</v>
      </c>
      <c r="BF83">
        <f>IF(VLOOKUP(BF$1,main!$A$3:$H$102,5,FALSE)-VLOOKUP($A83,main!$A$3:$H$102,6,FALSE)&gt;=main!$D$103+VLOOKUP(VLOOKUP(BF$1,main!$A$3:$I$102,7,FALSE),main!$K$26:$Q$29,3,FALSE),1,0)</f>
        <v>0</v>
      </c>
      <c r="BG83">
        <f>IF(VLOOKUP(BG$1,main!$A$3:$H$102,5,FALSE)-VLOOKUP($A83,main!$A$3:$H$102,6,FALSE)&gt;=main!$D$103+VLOOKUP(VLOOKUP(BG$1,main!$A$3:$I$102,7,FALSE),main!$K$26:$Q$29,3,FALSE),1,0)</f>
        <v>0</v>
      </c>
      <c r="BH83">
        <f>IF(VLOOKUP(BH$1,main!$A$3:$H$102,5,FALSE)-VLOOKUP($A83,main!$A$3:$H$102,6,FALSE)&gt;=main!$D$103+VLOOKUP(VLOOKUP(BH$1,main!$A$3:$I$102,7,FALSE),main!$K$26:$Q$29,3,FALSE),1,0)</f>
        <v>0</v>
      </c>
      <c r="BI83">
        <f>IF(VLOOKUP(BI$1,main!$A$3:$H$102,5,FALSE)-VLOOKUP($A83,main!$A$3:$H$102,6,FALSE)&gt;=main!$D$103+VLOOKUP(VLOOKUP(BI$1,main!$A$3:$I$102,7,FALSE),main!$K$26:$Q$29,3,FALSE),1,0)</f>
        <v>1</v>
      </c>
      <c r="BJ83">
        <f>IF(VLOOKUP(BJ$1,main!$A$3:$H$102,5,FALSE)-VLOOKUP($A83,main!$A$3:$H$102,6,FALSE)&gt;=main!$D$103+VLOOKUP(VLOOKUP(BJ$1,main!$A$3:$I$102,7,FALSE),main!$K$26:$Q$29,3,FALSE),1,0)</f>
        <v>1</v>
      </c>
      <c r="BK83">
        <f>IF(VLOOKUP(BK$1,main!$A$3:$H$102,5,FALSE)-VLOOKUP($A83,main!$A$3:$H$102,6,FALSE)&gt;=main!$D$103+VLOOKUP(VLOOKUP(BK$1,main!$A$3:$I$102,7,FALSE),main!$K$26:$Q$29,3,FALSE),1,0)</f>
        <v>0</v>
      </c>
      <c r="BL83">
        <f>IF(VLOOKUP(BL$1,main!$A$3:$H$102,5,FALSE)-VLOOKUP($A83,main!$A$3:$H$102,6,FALSE)&gt;=main!$D$103+VLOOKUP(VLOOKUP(BL$1,main!$A$3:$I$102,7,FALSE),main!$K$26:$Q$29,3,FALSE),1,0)</f>
        <v>0</v>
      </c>
      <c r="BM83">
        <f>IF(VLOOKUP(BM$1,main!$A$3:$H$102,5,FALSE)-VLOOKUP($A83,main!$A$3:$H$102,6,FALSE)&gt;=main!$D$103+VLOOKUP(VLOOKUP(BM$1,main!$A$3:$I$102,7,FALSE),main!$K$26:$Q$29,3,FALSE),1,0)</f>
        <v>0</v>
      </c>
      <c r="BN83">
        <f>IF(VLOOKUP(BN$1,main!$A$3:$H$102,5,FALSE)-VLOOKUP($A83,main!$A$3:$H$102,6,FALSE)&gt;=main!$D$103+VLOOKUP(VLOOKUP(BN$1,main!$A$3:$I$102,7,FALSE),main!$K$26:$Q$29,3,FALSE),1,0)</f>
        <v>0</v>
      </c>
      <c r="BO83">
        <f>IF(VLOOKUP(BO$1,main!$A$3:$H$102,5,FALSE)-VLOOKUP($A83,main!$A$3:$H$102,6,FALSE)&gt;=main!$D$103+VLOOKUP(VLOOKUP(BO$1,main!$A$3:$I$102,7,FALSE),main!$K$26:$Q$29,3,FALSE),1,0)</f>
        <v>0</v>
      </c>
      <c r="BP83">
        <f>IF(VLOOKUP(BP$1,main!$A$3:$H$102,5,FALSE)-VLOOKUP($A83,main!$A$3:$H$102,6,FALSE)&gt;=main!$D$103+VLOOKUP(VLOOKUP(BP$1,main!$A$3:$I$102,7,FALSE),main!$K$26:$Q$29,3,FALSE),1,0)</f>
        <v>0</v>
      </c>
      <c r="BQ83">
        <f>IF(VLOOKUP(BQ$1,main!$A$3:$H$102,5,FALSE)-VLOOKUP($A83,main!$A$3:$H$102,6,FALSE)&gt;=main!$D$103+VLOOKUP(VLOOKUP(BQ$1,main!$A$3:$I$102,7,FALSE),main!$K$26:$Q$29,3,FALSE),1,0)</f>
        <v>0</v>
      </c>
      <c r="BR83">
        <f>IF(VLOOKUP(BR$1,main!$A$3:$H$102,5,FALSE)-VLOOKUP($A83,main!$A$3:$H$102,6,FALSE)&gt;=main!$D$103+VLOOKUP(VLOOKUP(BR$1,main!$A$3:$I$102,7,FALSE),main!$K$26:$Q$29,3,FALSE),1,0)</f>
        <v>0</v>
      </c>
      <c r="BS83">
        <f>IF(VLOOKUP(BS$1,main!$A$3:$H$102,5,FALSE)-VLOOKUP($A83,main!$A$3:$H$102,6,FALSE)&gt;=main!$D$103+VLOOKUP(VLOOKUP(BS$1,main!$A$3:$I$102,7,FALSE),main!$K$26:$Q$29,3,FALSE),1,0)</f>
        <v>0</v>
      </c>
      <c r="BT83">
        <f>IF(VLOOKUP(BT$1,main!$A$3:$H$102,5,FALSE)-VLOOKUP($A83,main!$A$3:$H$102,6,FALSE)&gt;=main!$D$103+VLOOKUP(VLOOKUP(BT$1,main!$A$3:$I$102,7,FALSE),main!$K$26:$Q$29,3,FALSE),1,0)</f>
        <v>0</v>
      </c>
      <c r="BU83">
        <f>IF(VLOOKUP(BU$1,main!$A$3:$H$102,5,FALSE)-VLOOKUP($A83,main!$A$3:$H$102,6,FALSE)&gt;=main!$D$103+VLOOKUP(VLOOKUP(BU$1,main!$A$3:$I$102,7,FALSE),main!$K$26:$Q$29,3,FALSE),1,0)</f>
        <v>0</v>
      </c>
      <c r="BV83">
        <f>IF(VLOOKUP(BV$1,main!$A$3:$H$102,5,FALSE)-VLOOKUP($A83,main!$A$3:$H$102,6,FALSE)&gt;=main!$D$103+VLOOKUP(VLOOKUP(BV$1,main!$A$3:$I$102,7,FALSE),main!$K$26:$Q$29,3,FALSE),1,0)</f>
        <v>0</v>
      </c>
      <c r="BW83">
        <f>IF(VLOOKUP(BW$1,main!$A$3:$H$102,5,FALSE)-VLOOKUP($A83,main!$A$3:$H$102,6,FALSE)&gt;=main!$D$103+VLOOKUP(VLOOKUP(BW$1,main!$A$3:$I$102,7,FALSE),main!$K$26:$Q$29,3,FALSE),1,0)</f>
        <v>0</v>
      </c>
      <c r="BX83">
        <f>IF(VLOOKUP(BX$1,main!$A$3:$H$102,5,FALSE)-VLOOKUP($A83,main!$A$3:$H$102,6,FALSE)&gt;=main!$D$103+VLOOKUP(VLOOKUP(BX$1,main!$A$3:$I$102,7,FALSE),main!$K$26:$Q$29,3,FALSE),1,0)</f>
        <v>0</v>
      </c>
      <c r="BY83">
        <f>IF(VLOOKUP(BY$1,main!$A$3:$H$102,5,FALSE)-VLOOKUP($A83,main!$A$3:$H$102,6,FALSE)&gt;=main!$D$103+VLOOKUP(VLOOKUP(BY$1,main!$A$3:$I$102,7,FALSE),main!$K$26:$Q$29,3,FALSE),1,0)</f>
        <v>0</v>
      </c>
      <c r="BZ83">
        <f>IF(VLOOKUP(BZ$1,main!$A$3:$H$102,5,FALSE)-VLOOKUP($A83,main!$A$3:$H$102,6,FALSE)&gt;=main!$D$103+VLOOKUP(VLOOKUP(BZ$1,main!$A$3:$I$102,7,FALSE),main!$K$26:$Q$29,3,FALSE),1,0)</f>
        <v>0</v>
      </c>
      <c r="CA83">
        <f>IF(VLOOKUP(CA$1,main!$A$3:$H$102,5,FALSE)-VLOOKUP($A83,main!$A$3:$H$102,6,FALSE)&gt;=main!$D$103+VLOOKUP(VLOOKUP(CA$1,main!$A$3:$I$102,7,FALSE),main!$K$26:$Q$29,3,FALSE),1,0)</f>
        <v>0</v>
      </c>
      <c r="CB83">
        <f>IF(VLOOKUP(CB$1,main!$A$3:$H$102,5,FALSE)-VLOOKUP($A83,main!$A$3:$H$102,6,FALSE)&gt;=main!$D$103+VLOOKUP(VLOOKUP(CB$1,main!$A$3:$I$102,7,FALSE),main!$K$26:$Q$29,3,FALSE),1,0)</f>
        <v>0</v>
      </c>
      <c r="CC83">
        <f>IF(VLOOKUP(CC$1,main!$A$3:$H$102,5,FALSE)-VLOOKUP($A83,main!$A$3:$H$102,6,FALSE)&gt;=main!$D$103+VLOOKUP(VLOOKUP(CC$1,main!$A$3:$I$102,7,FALSE),main!$K$26:$Q$29,3,FALSE),1,0)</f>
        <v>1</v>
      </c>
      <c r="CD83">
        <f>IF(VLOOKUP(CD$1,main!$A$3:$H$102,5,FALSE)-VLOOKUP($A83,main!$A$3:$H$102,6,FALSE)&gt;=main!$D$103+VLOOKUP(VLOOKUP(CD$1,main!$A$3:$I$102,7,FALSE),main!$K$26:$Q$29,3,FALSE),1,0)</f>
        <v>0</v>
      </c>
      <c r="CE83">
        <f>IF(VLOOKUP(CE$1,main!$A$3:$H$102,5,FALSE)-VLOOKUP($A83,main!$A$3:$H$102,6,FALSE)&gt;=main!$D$103+VLOOKUP(VLOOKUP(CE$1,main!$A$3:$I$102,7,FALSE),main!$K$26:$Q$29,3,FALSE),1,0)</f>
        <v>0</v>
      </c>
      <c r="CF83">
        <f>IF(VLOOKUP(CF$1,main!$A$3:$H$102,5,FALSE)-VLOOKUP($A83,main!$A$3:$H$102,6,FALSE)&gt;=main!$D$103+VLOOKUP(VLOOKUP(CF$1,main!$A$3:$I$102,7,FALSE),main!$K$26:$Q$29,3,FALSE),1,0)</f>
        <v>0</v>
      </c>
      <c r="CG83">
        <f>IF(VLOOKUP(CG$1,main!$A$3:$H$102,5,FALSE)-VLOOKUP($A83,main!$A$3:$H$102,6,FALSE)&gt;=main!$D$103+VLOOKUP(VLOOKUP(CG$1,main!$A$3:$I$102,7,FALSE),main!$K$26:$Q$29,3,FALSE),1,0)</f>
        <v>0</v>
      </c>
      <c r="CH83">
        <f>IF(VLOOKUP(CH$1,main!$A$3:$H$102,5,FALSE)-VLOOKUP($A83,main!$A$3:$H$102,6,FALSE)&gt;=main!$D$103+VLOOKUP(VLOOKUP(CH$1,main!$A$3:$I$102,7,FALSE),main!$K$26:$Q$29,3,FALSE),1,0)</f>
        <v>1</v>
      </c>
      <c r="CI83">
        <f>IF(VLOOKUP(CI$1,main!$A$3:$H$102,5,FALSE)-VLOOKUP($A83,main!$A$3:$H$102,6,FALSE)&gt;=main!$D$103+VLOOKUP(VLOOKUP(CI$1,main!$A$3:$I$102,7,FALSE),main!$K$26:$Q$29,3,FALSE),1,0)</f>
        <v>1</v>
      </c>
      <c r="CJ83">
        <f>IF(VLOOKUP(CJ$1,main!$A$3:$H$102,5,FALSE)-VLOOKUP($A83,main!$A$3:$H$102,6,FALSE)&gt;=main!$D$103+VLOOKUP(VLOOKUP(CJ$1,main!$A$3:$I$102,7,FALSE),main!$K$26:$Q$29,3,FALSE),1,0)</f>
        <v>0</v>
      </c>
      <c r="CK83">
        <f>IF(VLOOKUP(CK$1,main!$A$3:$H$102,5,FALSE)-VLOOKUP($A83,main!$A$3:$H$102,6,FALSE)&gt;=main!$D$103+VLOOKUP(VLOOKUP(CK$1,main!$A$3:$I$102,7,FALSE),main!$K$26:$Q$29,3,FALSE),1,0)</f>
        <v>0</v>
      </c>
      <c r="CL83">
        <f>IF(VLOOKUP(CL$1,main!$A$3:$H$102,5,FALSE)-VLOOKUP($A83,main!$A$3:$H$102,6,FALSE)&gt;=main!$D$103+VLOOKUP(VLOOKUP(CL$1,main!$A$3:$I$102,7,FALSE),main!$K$26:$Q$29,3,FALSE),1,0)</f>
        <v>0</v>
      </c>
      <c r="CM83">
        <f>IF(VLOOKUP(CM$1,main!$A$3:$H$102,5,FALSE)-VLOOKUP($A83,main!$A$3:$H$102,6,FALSE)&gt;=main!$D$103+VLOOKUP(VLOOKUP(CM$1,main!$A$3:$I$102,7,FALSE),main!$K$26:$Q$29,3,FALSE),1,0)</f>
        <v>1</v>
      </c>
      <c r="CN83">
        <f>IF(VLOOKUP(CN$1,main!$A$3:$H$102,5,FALSE)-VLOOKUP($A83,main!$A$3:$H$102,6,FALSE)&gt;=main!$D$103+VLOOKUP(VLOOKUP(CN$1,main!$A$3:$I$102,7,FALSE),main!$K$26:$Q$29,3,FALSE),1,0)</f>
        <v>1</v>
      </c>
      <c r="CO83">
        <f>IF(VLOOKUP(CO$1,main!$A$3:$H$102,5,FALSE)-VLOOKUP($A83,main!$A$3:$H$102,6,FALSE)&gt;=main!$D$103+VLOOKUP(VLOOKUP(CO$1,main!$A$3:$I$102,7,FALSE),main!$K$26:$Q$29,3,FALSE),1,0)</f>
        <v>0</v>
      </c>
      <c r="CP83">
        <f>IF(VLOOKUP(CP$1,main!$A$3:$H$102,5,FALSE)-VLOOKUP($A83,main!$A$3:$H$102,6,FALSE)&gt;=main!$D$103+VLOOKUP(VLOOKUP(CP$1,main!$A$3:$I$102,7,FALSE),main!$K$26:$Q$29,3,FALSE),1,0)</f>
        <v>0</v>
      </c>
      <c r="CQ83">
        <f>IF(VLOOKUP(CQ$1,main!$A$3:$H$102,5,FALSE)-VLOOKUP($A83,main!$A$3:$H$102,6,FALSE)&gt;=main!$D$103+VLOOKUP(VLOOKUP(CQ$1,main!$A$3:$I$102,7,FALSE),main!$K$26:$Q$29,3,FALSE),1,0)</f>
        <v>0</v>
      </c>
      <c r="CR83">
        <f>IF(VLOOKUP(CR$1,main!$A$3:$H$102,5,FALSE)-VLOOKUP($A83,main!$A$3:$H$102,6,FALSE)&gt;=main!$D$103+VLOOKUP(VLOOKUP(CR$1,main!$A$3:$I$102,7,FALSE),main!$K$26:$Q$29,3,FALSE),1,0)</f>
        <v>1</v>
      </c>
      <c r="CS83">
        <f>IF(VLOOKUP(CS$1,main!$A$3:$H$102,5,FALSE)-VLOOKUP($A83,main!$A$3:$H$102,6,FALSE)&gt;=main!$D$103+VLOOKUP(VLOOKUP(CS$1,main!$A$3:$I$102,7,FALSE),main!$K$26:$Q$29,3,FALSE),1,0)</f>
        <v>1</v>
      </c>
      <c r="CT83">
        <f>IF(VLOOKUP(CT$1,main!$A$3:$H$102,5,FALSE)-VLOOKUP($A83,main!$A$3:$H$102,6,FALSE)&gt;=main!$D$103+VLOOKUP(VLOOKUP(CT$1,main!$A$3:$I$102,7,FALSE),main!$K$26:$Q$29,3,FALSE),1,0)</f>
        <v>0</v>
      </c>
      <c r="CU83">
        <f>IF(VLOOKUP(CU$1,main!$A$3:$H$102,5,FALSE)-VLOOKUP($A83,main!$A$3:$H$102,6,FALSE)&gt;=main!$D$103+VLOOKUP(VLOOKUP(CU$1,main!$A$3:$I$102,7,FALSE),main!$K$26:$Q$29,3,FALSE),1,0)</f>
        <v>0</v>
      </c>
      <c r="CV83">
        <f>IF(VLOOKUP(CV$1,main!$A$3:$H$102,5,FALSE)-VLOOKUP($A83,main!$A$3:$H$102,6,FALSE)&gt;=main!$D$103+VLOOKUP(VLOOKUP(CV$1,main!$A$3:$I$102,7,FALSE),main!$K$26:$Q$29,3,FALSE),1,0)</f>
        <v>0</v>
      </c>
      <c r="CW83">
        <f>IF(VLOOKUP(CW$1,main!$A$3:$H$102,5,FALSE)-VLOOKUP($A83,main!$A$3:$H$102,6,FALSE)&gt;=main!$D$103+VLOOKUP(VLOOKUP(CW$1,main!$A$3:$I$102,7,FALSE),main!$K$26:$Q$29,3,FALSE),1,0)</f>
        <v>1</v>
      </c>
      <c r="CX83">
        <f>IF(VLOOKUP(CX$1,main!$A$3:$H$102,5,FALSE)-VLOOKUP($A83,main!$A$3:$H$102,6,FALSE)&gt;=main!$D$103+VLOOKUP(VLOOKUP(CX$1,main!$A$3:$I$102,7,FALSE),main!$K$26:$Q$29,3,FALSE),1,0)</f>
        <v>1</v>
      </c>
    </row>
    <row r="84" spans="1:102" x14ac:dyDescent="0.25">
      <c r="A84" s="1">
        <v>82</v>
      </c>
      <c r="B84">
        <v>0</v>
      </c>
      <c r="C84">
        <f>IF(VLOOKUP(C$1,main!$A$3:$H$102,5,FALSE)-VLOOKUP($A84,main!$A$3:$H$102,6,FALSE)&gt;=main!$D$103+VLOOKUP(VLOOKUP(C$1,main!$A$3:$I$102,7,FALSE),main!$K$26:$Q$29,3,FALSE),1,0)</f>
        <v>0</v>
      </c>
      <c r="D84">
        <f>IF(VLOOKUP(D$1,main!$A$3:$H$102,5,FALSE)-VLOOKUP($A84,main!$A$3:$H$102,6,FALSE)&gt;=main!$D$103+VLOOKUP(VLOOKUP(D$1,main!$A$3:$I$102,7,FALSE),main!$K$26:$Q$29,3,FALSE),1,0)</f>
        <v>0</v>
      </c>
      <c r="E84">
        <f>IF(VLOOKUP(E$1,main!$A$3:$H$102,5,FALSE)-VLOOKUP($A84,main!$A$3:$H$102,6,FALSE)&gt;=main!$D$103+VLOOKUP(VLOOKUP(E$1,main!$A$3:$I$102,7,FALSE),main!$K$26:$Q$29,3,FALSE),1,0)</f>
        <v>0</v>
      </c>
      <c r="F84">
        <f>IF(VLOOKUP(F$1,main!$A$3:$H$102,5,FALSE)-VLOOKUP($A84,main!$A$3:$H$102,6,FALSE)&gt;=main!$D$103+VLOOKUP(VLOOKUP(F$1,main!$A$3:$I$102,7,FALSE),main!$K$26:$Q$29,3,FALSE),1,0)</f>
        <v>0</v>
      </c>
      <c r="G84">
        <f>IF(VLOOKUP(G$1,main!$A$3:$H$102,5,FALSE)-VLOOKUP($A84,main!$A$3:$H$102,6,FALSE)&gt;=main!$D$103+VLOOKUP(VLOOKUP(G$1,main!$A$3:$I$102,7,FALSE),main!$K$26:$Q$29,3,FALSE),1,0)</f>
        <v>0</v>
      </c>
      <c r="H84">
        <f>IF(VLOOKUP(H$1,main!$A$3:$H$102,5,FALSE)-VLOOKUP($A84,main!$A$3:$H$102,6,FALSE)&gt;=main!$D$103+VLOOKUP(VLOOKUP(H$1,main!$A$3:$I$102,7,FALSE),main!$K$26:$Q$29,3,FALSE),1,0)</f>
        <v>0</v>
      </c>
      <c r="I84">
        <f>IF(VLOOKUP(I$1,main!$A$3:$H$102,5,FALSE)-VLOOKUP($A84,main!$A$3:$H$102,6,FALSE)&gt;=main!$D$103+VLOOKUP(VLOOKUP(I$1,main!$A$3:$I$102,7,FALSE),main!$K$26:$Q$29,3,FALSE),1,0)</f>
        <v>1</v>
      </c>
      <c r="J84">
        <f>IF(VLOOKUP(J$1,main!$A$3:$H$102,5,FALSE)-VLOOKUP($A84,main!$A$3:$H$102,6,FALSE)&gt;=main!$D$103+VLOOKUP(VLOOKUP(J$1,main!$A$3:$I$102,7,FALSE),main!$K$26:$Q$29,3,FALSE),1,0)</f>
        <v>1</v>
      </c>
      <c r="K84">
        <f>IF(VLOOKUP(K$1,main!$A$3:$H$102,5,FALSE)-VLOOKUP($A84,main!$A$3:$H$102,6,FALSE)&gt;=main!$D$103+VLOOKUP(VLOOKUP(K$1,main!$A$3:$I$102,7,FALSE),main!$K$26:$Q$29,3,FALSE),1,0)</f>
        <v>1</v>
      </c>
      <c r="L84">
        <f>IF(VLOOKUP(L$1,main!$A$3:$H$102,5,FALSE)-VLOOKUP($A84,main!$A$3:$H$102,6,FALSE)&gt;=main!$D$103+VLOOKUP(VLOOKUP(L$1,main!$A$3:$I$102,7,FALSE),main!$K$26:$Q$29,3,FALSE),1,0)</f>
        <v>1</v>
      </c>
      <c r="M84">
        <f>IF(VLOOKUP(M$1,main!$A$3:$H$102,5,FALSE)-VLOOKUP($A84,main!$A$3:$H$102,6,FALSE)&gt;=main!$D$103+VLOOKUP(VLOOKUP(M$1,main!$A$3:$I$102,7,FALSE),main!$K$26:$Q$29,3,FALSE),1,0)</f>
        <v>0</v>
      </c>
      <c r="N84">
        <f>IF(VLOOKUP(N$1,main!$A$3:$H$102,5,FALSE)-VLOOKUP($A84,main!$A$3:$H$102,6,FALSE)&gt;=main!$D$103+VLOOKUP(VLOOKUP(N$1,main!$A$3:$I$102,7,FALSE),main!$K$26:$Q$29,3,FALSE),1,0)</f>
        <v>0</v>
      </c>
      <c r="O84">
        <f>IF(VLOOKUP(O$1,main!$A$3:$H$102,5,FALSE)-VLOOKUP($A84,main!$A$3:$H$102,6,FALSE)&gt;=main!$D$103+VLOOKUP(VLOOKUP(O$1,main!$A$3:$I$102,7,FALSE),main!$K$26:$Q$29,3,FALSE),1,0)</f>
        <v>0</v>
      </c>
      <c r="P84">
        <f>IF(VLOOKUP(P$1,main!$A$3:$H$102,5,FALSE)-VLOOKUP($A84,main!$A$3:$H$102,6,FALSE)&gt;=main!$D$103+VLOOKUP(VLOOKUP(P$1,main!$A$3:$I$102,7,FALSE),main!$K$26:$Q$29,3,FALSE),1,0)</f>
        <v>0</v>
      </c>
      <c r="Q84">
        <f>IF(VLOOKUP(Q$1,main!$A$3:$H$102,5,FALSE)-VLOOKUP($A84,main!$A$3:$H$102,6,FALSE)&gt;=main!$D$103+VLOOKUP(VLOOKUP(Q$1,main!$A$3:$I$102,7,FALSE),main!$K$26:$Q$29,3,FALSE),1,0)</f>
        <v>0</v>
      </c>
      <c r="R84">
        <f>IF(VLOOKUP(R$1,main!$A$3:$H$102,5,FALSE)-VLOOKUP($A84,main!$A$3:$H$102,6,FALSE)&gt;=main!$D$103+VLOOKUP(VLOOKUP(R$1,main!$A$3:$I$102,7,FALSE),main!$K$26:$Q$29,3,FALSE),1,0)</f>
        <v>0</v>
      </c>
      <c r="S84">
        <f>IF(VLOOKUP(S$1,main!$A$3:$H$102,5,FALSE)-VLOOKUP($A84,main!$A$3:$H$102,6,FALSE)&gt;=main!$D$103+VLOOKUP(VLOOKUP(S$1,main!$A$3:$I$102,7,FALSE),main!$K$26:$Q$29,3,FALSE),1,0)</f>
        <v>0</v>
      </c>
      <c r="T84">
        <f>IF(VLOOKUP(T$1,main!$A$3:$H$102,5,FALSE)-VLOOKUP($A84,main!$A$3:$H$102,6,FALSE)&gt;=main!$D$103+VLOOKUP(VLOOKUP(T$1,main!$A$3:$I$102,7,FALSE),main!$K$26:$Q$29,3,FALSE),1,0)</f>
        <v>1</v>
      </c>
      <c r="U84">
        <f>IF(VLOOKUP(U$1,main!$A$3:$H$102,5,FALSE)-VLOOKUP($A84,main!$A$3:$H$102,6,FALSE)&gt;=main!$D$103+VLOOKUP(VLOOKUP(U$1,main!$A$3:$I$102,7,FALSE),main!$K$26:$Q$29,3,FALSE),1,0)</f>
        <v>1</v>
      </c>
      <c r="V84">
        <f>IF(VLOOKUP(V$1,main!$A$3:$H$102,5,FALSE)-VLOOKUP($A84,main!$A$3:$H$102,6,FALSE)&gt;=main!$D$103+VLOOKUP(VLOOKUP(V$1,main!$A$3:$I$102,7,FALSE),main!$K$26:$Q$29,3,FALSE),1,0)</f>
        <v>1</v>
      </c>
      <c r="W84">
        <f>IF(VLOOKUP(W$1,main!$A$3:$H$102,5,FALSE)-VLOOKUP($A84,main!$A$3:$H$102,6,FALSE)&gt;=main!$D$103+VLOOKUP(VLOOKUP(W$1,main!$A$3:$I$102,7,FALSE),main!$K$26:$Q$29,3,FALSE),1,0)</f>
        <v>0</v>
      </c>
      <c r="X84">
        <f>IF(VLOOKUP(X$1,main!$A$3:$H$102,5,FALSE)-VLOOKUP($A84,main!$A$3:$H$102,6,FALSE)&gt;=main!$D$103+VLOOKUP(VLOOKUP(X$1,main!$A$3:$I$102,7,FALSE),main!$K$26:$Q$29,3,FALSE),1,0)</f>
        <v>0</v>
      </c>
      <c r="Y84">
        <f>IF(VLOOKUP(Y$1,main!$A$3:$H$102,5,FALSE)-VLOOKUP($A84,main!$A$3:$H$102,6,FALSE)&gt;=main!$D$103+VLOOKUP(VLOOKUP(Y$1,main!$A$3:$I$102,7,FALSE),main!$K$26:$Q$29,3,FALSE),1,0)</f>
        <v>0</v>
      </c>
      <c r="Z84">
        <f>IF(VLOOKUP(Z$1,main!$A$3:$H$102,5,FALSE)-VLOOKUP($A84,main!$A$3:$H$102,6,FALSE)&gt;=main!$D$103+VLOOKUP(VLOOKUP(Z$1,main!$A$3:$I$102,7,FALSE),main!$K$26:$Q$29,3,FALSE),1,0)</f>
        <v>1</v>
      </c>
      <c r="AA84">
        <f>IF(VLOOKUP(AA$1,main!$A$3:$H$102,5,FALSE)-VLOOKUP($A84,main!$A$3:$H$102,6,FALSE)&gt;=main!$D$103+VLOOKUP(VLOOKUP(AA$1,main!$A$3:$I$102,7,FALSE),main!$K$26:$Q$29,3,FALSE),1,0)</f>
        <v>1</v>
      </c>
      <c r="AB84">
        <f>IF(VLOOKUP(AB$1,main!$A$3:$H$102,5,FALSE)-VLOOKUP($A84,main!$A$3:$H$102,6,FALSE)&gt;=main!$D$103+VLOOKUP(VLOOKUP(AB$1,main!$A$3:$I$102,7,FALSE),main!$K$26:$Q$29,3,FALSE),1,0)</f>
        <v>0</v>
      </c>
      <c r="AC84">
        <f>IF(VLOOKUP(AC$1,main!$A$3:$H$102,5,FALSE)-VLOOKUP($A84,main!$A$3:$H$102,6,FALSE)&gt;=main!$D$103+VLOOKUP(VLOOKUP(AC$1,main!$A$3:$I$102,7,FALSE),main!$K$26:$Q$29,3,FALSE),1,0)</f>
        <v>0</v>
      </c>
      <c r="AD84">
        <f>IF(VLOOKUP(AD$1,main!$A$3:$H$102,5,FALSE)-VLOOKUP($A84,main!$A$3:$H$102,6,FALSE)&gt;=main!$D$103+VLOOKUP(VLOOKUP(AD$1,main!$A$3:$I$102,7,FALSE),main!$K$26:$Q$29,3,FALSE),1,0)</f>
        <v>0</v>
      </c>
      <c r="AE84">
        <f>IF(VLOOKUP(AE$1,main!$A$3:$H$102,5,FALSE)-VLOOKUP($A84,main!$A$3:$H$102,6,FALSE)&gt;=main!$D$103+VLOOKUP(VLOOKUP(AE$1,main!$A$3:$I$102,7,FALSE),main!$K$26:$Q$29,3,FALSE),1,0)</f>
        <v>0</v>
      </c>
      <c r="AF84">
        <f>IF(VLOOKUP(AF$1,main!$A$3:$H$102,5,FALSE)-VLOOKUP($A84,main!$A$3:$H$102,6,FALSE)&gt;=main!$D$103+VLOOKUP(VLOOKUP(AF$1,main!$A$3:$I$102,7,FALSE),main!$K$26:$Q$29,3,FALSE),1,0)</f>
        <v>1</v>
      </c>
      <c r="AG84">
        <f>IF(VLOOKUP(AG$1,main!$A$3:$H$102,5,FALSE)-VLOOKUP($A84,main!$A$3:$H$102,6,FALSE)&gt;=main!$D$103+VLOOKUP(VLOOKUP(AG$1,main!$A$3:$I$102,7,FALSE),main!$K$26:$Q$29,3,FALSE),1,0)</f>
        <v>0</v>
      </c>
      <c r="AH84">
        <f>IF(VLOOKUP(AH$1,main!$A$3:$H$102,5,FALSE)-VLOOKUP($A84,main!$A$3:$H$102,6,FALSE)&gt;=main!$D$103+VLOOKUP(VLOOKUP(AH$1,main!$A$3:$I$102,7,FALSE),main!$K$26:$Q$29,3,FALSE),1,0)</f>
        <v>0</v>
      </c>
      <c r="AI84">
        <f>IF(VLOOKUP(AI$1,main!$A$3:$H$102,5,FALSE)-VLOOKUP($A84,main!$A$3:$H$102,6,FALSE)&gt;=main!$D$103+VLOOKUP(VLOOKUP(AI$1,main!$A$3:$I$102,7,FALSE),main!$K$26:$Q$29,3,FALSE),1,0)</f>
        <v>0</v>
      </c>
      <c r="AJ84">
        <f>IF(VLOOKUP(AJ$1,main!$A$3:$H$102,5,FALSE)-VLOOKUP($A84,main!$A$3:$H$102,6,FALSE)&gt;=main!$D$103+VLOOKUP(VLOOKUP(AJ$1,main!$A$3:$I$102,7,FALSE),main!$K$26:$Q$29,3,FALSE),1,0)</f>
        <v>0</v>
      </c>
      <c r="AK84">
        <f>IF(VLOOKUP(AK$1,main!$A$3:$H$102,5,FALSE)-VLOOKUP($A84,main!$A$3:$H$102,6,FALSE)&gt;=main!$D$103+VLOOKUP(VLOOKUP(AK$1,main!$A$3:$I$102,7,FALSE),main!$K$26:$Q$29,3,FALSE),1,0)</f>
        <v>0</v>
      </c>
      <c r="AL84">
        <f>IF(VLOOKUP(AL$1,main!$A$3:$H$102,5,FALSE)-VLOOKUP($A84,main!$A$3:$H$102,6,FALSE)&gt;=main!$D$103+VLOOKUP(VLOOKUP(AL$1,main!$A$3:$I$102,7,FALSE),main!$K$26:$Q$29,3,FALSE),1,0)</f>
        <v>1</v>
      </c>
      <c r="AM84">
        <f>IF(VLOOKUP(AM$1,main!$A$3:$H$102,5,FALSE)-VLOOKUP($A84,main!$A$3:$H$102,6,FALSE)&gt;=main!$D$103+VLOOKUP(VLOOKUP(AM$1,main!$A$3:$I$102,7,FALSE),main!$K$26:$Q$29,3,FALSE),1,0)</f>
        <v>1</v>
      </c>
      <c r="AN84">
        <f>IF(VLOOKUP(AN$1,main!$A$3:$H$102,5,FALSE)-VLOOKUP($A84,main!$A$3:$H$102,6,FALSE)&gt;=main!$D$103+VLOOKUP(VLOOKUP(AN$1,main!$A$3:$I$102,7,FALSE),main!$K$26:$Q$29,3,FALSE),1,0)</f>
        <v>1</v>
      </c>
      <c r="AO84">
        <f>IF(VLOOKUP(AO$1,main!$A$3:$H$102,5,FALSE)-VLOOKUP($A84,main!$A$3:$H$102,6,FALSE)&gt;=main!$D$103+VLOOKUP(VLOOKUP(AO$1,main!$A$3:$I$102,7,FALSE),main!$K$26:$Q$29,3,FALSE),1,0)</f>
        <v>0</v>
      </c>
      <c r="AP84">
        <f>IF(VLOOKUP(AP$1,main!$A$3:$H$102,5,FALSE)-VLOOKUP($A84,main!$A$3:$H$102,6,FALSE)&gt;=main!$D$103+VLOOKUP(VLOOKUP(AP$1,main!$A$3:$I$102,7,FALSE),main!$K$26:$Q$29,3,FALSE),1,0)</f>
        <v>1</v>
      </c>
      <c r="AQ84">
        <f>IF(VLOOKUP(AQ$1,main!$A$3:$H$102,5,FALSE)-VLOOKUP($A84,main!$A$3:$H$102,6,FALSE)&gt;=main!$D$103+VLOOKUP(VLOOKUP(AQ$1,main!$A$3:$I$102,7,FALSE),main!$K$26:$Q$29,3,FALSE),1,0)</f>
        <v>0</v>
      </c>
      <c r="AR84">
        <f>IF(VLOOKUP(AR$1,main!$A$3:$H$102,5,FALSE)-VLOOKUP($A84,main!$A$3:$H$102,6,FALSE)&gt;=main!$D$103+VLOOKUP(VLOOKUP(AR$1,main!$A$3:$I$102,7,FALSE),main!$K$26:$Q$29,3,FALSE),1,0)</f>
        <v>0</v>
      </c>
      <c r="AS84">
        <f>IF(VLOOKUP(AS$1,main!$A$3:$H$102,5,FALSE)-VLOOKUP($A84,main!$A$3:$H$102,6,FALSE)&gt;=main!$D$103+VLOOKUP(VLOOKUP(AS$1,main!$A$3:$I$102,7,FALSE),main!$K$26:$Q$29,3,FALSE),1,0)</f>
        <v>0</v>
      </c>
      <c r="AT84">
        <f>IF(VLOOKUP(AT$1,main!$A$3:$H$102,5,FALSE)-VLOOKUP($A84,main!$A$3:$H$102,6,FALSE)&gt;=main!$D$103+VLOOKUP(VLOOKUP(AT$1,main!$A$3:$I$102,7,FALSE),main!$K$26:$Q$29,3,FALSE),1,0)</f>
        <v>0</v>
      </c>
      <c r="AU84">
        <f>IF(VLOOKUP(AU$1,main!$A$3:$H$102,5,FALSE)-VLOOKUP($A84,main!$A$3:$H$102,6,FALSE)&gt;=main!$D$103+VLOOKUP(VLOOKUP(AU$1,main!$A$3:$I$102,7,FALSE),main!$K$26:$Q$29,3,FALSE),1,0)</f>
        <v>0</v>
      </c>
      <c r="AV84">
        <f>IF(VLOOKUP(AV$1,main!$A$3:$H$102,5,FALSE)-VLOOKUP($A84,main!$A$3:$H$102,6,FALSE)&gt;=main!$D$103+VLOOKUP(VLOOKUP(AV$1,main!$A$3:$I$102,7,FALSE),main!$K$26:$Q$29,3,FALSE),1,0)</f>
        <v>0</v>
      </c>
      <c r="AW84">
        <f>IF(VLOOKUP(AW$1,main!$A$3:$H$102,5,FALSE)-VLOOKUP($A84,main!$A$3:$H$102,6,FALSE)&gt;=main!$D$103+VLOOKUP(VLOOKUP(AW$1,main!$A$3:$I$102,7,FALSE),main!$K$26:$Q$29,3,FALSE),1,0)</f>
        <v>0</v>
      </c>
      <c r="AX84">
        <f>IF(VLOOKUP(AX$1,main!$A$3:$H$102,5,FALSE)-VLOOKUP($A84,main!$A$3:$H$102,6,FALSE)&gt;=main!$D$103+VLOOKUP(VLOOKUP(AX$1,main!$A$3:$I$102,7,FALSE),main!$K$26:$Q$29,3,FALSE),1,0)</f>
        <v>0</v>
      </c>
      <c r="AY84">
        <f>IF(VLOOKUP(AY$1,main!$A$3:$H$102,5,FALSE)-VLOOKUP($A84,main!$A$3:$H$102,6,FALSE)&gt;=main!$D$103+VLOOKUP(VLOOKUP(AY$1,main!$A$3:$I$102,7,FALSE),main!$K$26:$Q$29,3,FALSE),1,0)</f>
        <v>0</v>
      </c>
      <c r="AZ84">
        <f>IF(VLOOKUP(AZ$1,main!$A$3:$H$102,5,FALSE)-VLOOKUP($A84,main!$A$3:$H$102,6,FALSE)&gt;=main!$D$103+VLOOKUP(VLOOKUP(AZ$1,main!$A$3:$I$102,7,FALSE),main!$K$26:$Q$29,3,FALSE),1,0)</f>
        <v>0</v>
      </c>
      <c r="BA84">
        <f>IF(VLOOKUP(BA$1,main!$A$3:$H$102,5,FALSE)-VLOOKUP($A84,main!$A$3:$H$102,6,FALSE)&gt;=main!$D$103+VLOOKUP(VLOOKUP(BA$1,main!$A$3:$I$102,7,FALSE),main!$K$26:$Q$29,3,FALSE),1,0)</f>
        <v>0</v>
      </c>
      <c r="BB84">
        <f>IF(VLOOKUP(BB$1,main!$A$3:$H$102,5,FALSE)-VLOOKUP($A84,main!$A$3:$H$102,6,FALSE)&gt;=main!$D$103+VLOOKUP(VLOOKUP(BB$1,main!$A$3:$I$102,7,FALSE),main!$K$26:$Q$29,3,FALSE),1,0)</f>
        <v>0</v>
      </c>
      <c r="BC84">
        <f>IF(VLOOKUP(BC$1,main!$A$3:$H$102,5,FALSE)-VLOOKUP($A84,main!$A$3:$H$102,6,FALSE)&gt;=main!$D$103+VLOOKUP(VLOOKUP(BC$1,main!$A$3:$I$102,7,FALSE),main!$K$26:$Q$29,3,FALSE),1,0)</f>
        <v>0</v>
      </c>
      <c r="BD84">
        <f>IF(VLOOKUP(BD$1,main!$A$3:$H$102,5,FALSE)-VLOOKUP($A84,main!$A$3:$H$102,6,FALSE)&gt;=main!$D$103+VLOOKUP(VLOOKUP(BD$1,main!$A$3:$I$102,7,FALSE),main!$K$26:$Q$29,3,FALSE),1,0)</f>
        <v>0</v>
      </c>
      <c r="BE84">
        <f>IF(VLOOKUP(BE$1,main!$A$3:$H$102,5,FALSE)-VLOOKUP($A84,main!$A$3:$H$102,6,FALSE)&gt;=main!$D$103+VLOOKUP(VLOOKUP(BE$1,main!$A$3:$I$102,7,FALSE),main!$K$26:$Q$29,3,FALSE),1,0)</f>
        <v>1</v>
      </c>
      <c r="BF84">
        <f>IF(VLOOKUP(BF$1,main!$A$3:$H$102,5,FALSE)-VLOOKUP($A84,main!$A$3:$H$102,6,FALSE)&gt;=main!$D$103+VLOOKUP(VLOOKUP(BF$1,main!$A$3:$I$102,7,FALSE),main!$K$26:$Q$29,3,FALSE),1,0)</f>
        <v>0</v>
      </c>
      <c r="BG84">
        <f>IF(VLOOKUP(BG$1,main!$A$3:$H$102,5,FALSE)-VLOOKUP($A84,main!$A$3:$H$102,6,FALSE)&gt;=main!$D$103+VLOOKUP(VLOOKUP(BG$1,main!$A$3:$I$102,7,FALSE),main!$K$26:$Q$29,3,FALSE),1,0)</f>
        <v>0</v>
      </c>
      <c r="BH84">
        <f>IF(VLOOKUP(BH$1,main!$A$3:$H$102,5,FALSE)-VLOOKUP($A84,main!$A$3:$H$102,6,FALSE)&gt;=main!$D$103+VLOOKUP(VLOOKUP(BH$1,main!$A$3:$I$102,7,FALSE),main!$K$26:$Q$29,3,FALSE),1,0)</f>
        <v>0</v>
      </c>
      <c r="BI84">
        <f>IF(VLOOKUP(BI$1,main!$A$3:$H$102,5,FALSE)-VLOOKUP($A84,main!$A$3:$H$102,6,FALSE)&gt;=main!$D$103+VLOOKUP(VLOOKUP(BI$1,main!$A$3:$I$102,7,FALSE),main!$K$26:$Q$29,3,FALSE),1,0)</f>
        <v>1</v>
      </c>
      <c r="BJ84">
        <f>IF(VLOOKUP(BJ$1,main!$A$3:$H$102,5,FALSE)-VLOOKUP($A84,main!$A$3:$H$102,6,FALSE)&gt;=main!$D$103+VLOOKUP(VLOOKUP(BJ$1,main!$A$3:$I$102,7,FALSE),main!$K$26:$Q$29,3,FALSE),1,0)</f>
        <v>1</v>
      </c>
      <c r="BK84">
        <f>IF(VLOOKUP(BK$1,main!$A$3:$H$102,5,FALSE)-VLOOKUP($A84,main!$A$3:$H$102,6,FALSE)&gt;=main!$D$103+VLOOKUP(VLOOKUP(BK$1,main!$A$3:$I$102,7,FALSE),main!$K$26:$Q$29,3,FALSE),1,0)</f>
        <v>0</v>
      </c>
      <c r="BL84">
        <f>IF(VLOOKUP(BL$1,main!$A$3:$H$102,5,FALSE)-VLOOKUP($A84,main!$A$3:$H$102,6,FALSE)&gt;=main!$D$103+VLOOKUP(VLOOKUP(BL$1,main!$A$3:$I$102,7,FALSE),main!$K$26:$Q$29,3,FALSE),1,0)</f>
        <v>0</v>
      </c>
      <c r="BM84">
        <f>IF(VLOOKUP(BM$1,main!$A$3:$H$102,5,FALSE)-VLOOKUP($A84,main!$A$3:$H$102,6,FALSE)&gt;=main!$D$103+VLOOKUP(VLOOKUP(BM$1,main!$A$3:$I$102,7,FALSE),main!$K$26:$Q$29,3,FALSE),1,0)</f>
        <v>0</v>
      </c>
      <c r="BN84">
        <f>IF(VLOOKUP(BN$1,main!$A$3:$H$102,5,FALSE)-VLOOKUP($A84,main!$A$3:$H$102,6,FALSE)&gt;=main!$D$103+VLOOKUP(VLOOKUP(BN$1,main!$A$3:$I$102,7,FALSE),main!$K$26:$Q$29,3,FALSE),1,0)</f>
        <v>0</v>
      </c>
      <c r="BO84">
        <f>IF(VLOOKUP(BO$1,main!$A$3:$H$102,5,FALSE)-VLOOKUP($A84,main!$A$3:$H$102,6,FALSE)&gt;=main!$D$103+VLOOKUP(VLOOKUP(BO$1,main!$A$3:$I$102,7,FALSE),main!$K$26:$Q$29,3,FALSE),1,0)</f>
        <v>0</v>
      </c>
      <c r="BP84">
        <f>IF(VLOOKUP(BP$1,main!$A$3:$H$102,5,FALSE)-VLOOKUP($A84,main!$A$3:$H$102,6,FALSE)&gt;=main!$D$103+VLOOKUP(VLOOKUP(BP$1,main!$A$3:$I$102,7,FALSE),main!$K$26:$Q$29,3,FALSE),1,0)</f>
        <v>0</v>
      </c>
      <c r="BQ84">
        <f>IF(VLOOKUP(BQ$1,main!$A$3:$H$102,5,FALSE)-VLOOKUP($A84,main!$A$3:$H$102,6,FALSE)&gt;=main!$D$103+VLOOKUP(VLOOKUP(BQ$1,main!$A$3:$I$102,7,FALSE),main!$K$26:$Q$29,3,FALSE),1,0)</f>
        <v>0</v>
      </c>
      <c r="BR84">
        <f>IF(VLOOKUP(BR$1,main!$A$3:$H$102,5,FALSE)-VLOOKUP($A84,main!$A$3:$H$102,6,FALSE)&gt;=main!$D$103+VLOOKUP(VLOOKUP(BR$1,main!$A$3:$I$102,7,FALSE),main!$K$26:$Q$29,3,FALSE),1,0)</f>
        <v>0</v>
      </c>
      <c r="BS84">
        <f>IF(VLOOKUP(BS$1,main!$A$3:$H$102,5,FALSE)-VLOOKUP($A84,main!$A$3:$H$102,6,FALSE)&gt;=main!$D$103+VLOOKUP(VLOOKUP(BS$1,main!$A$3:$I$102,7,FALSE),main!$K$26:$Q$29,3,FALSE),1,0)</f>
        <v>0</v>
      </c>
      <c r="BT84">
        <f>IF(VLOOKUP(BT$1,main!$A$3:$H$102,5,FALSE)-VLOOKUP($A84,main!$A$3:$H$102,6,FALSE)&gt;=main!$D$103+VLOOKUP(VLOOKUP(BT$1,main!$A$3:$I$102,7,FALSE),main!$K$26:$Q$29,3,FALSE),1,0)</f>
        <v>0</v>
      </c>
      <c r="BU84">
        <f>IF(VLOOKUP(BU$1,main!$A$3:$H$102,5,FALSE)-VLOOKUP($A84,main!$A$3:$H$102,6,FALSE)&gt;=main!$D$103+VLOOKUP(VLOOKUP(BU$1,main!$A$3:$I$102,7,FALSE),main!$K$26:$Q$29,3,FALSE),1,0)</f>
        <v>0</v>
      </c>
      <c r="BV84">
        <f>IF(VLOOKUP(BV$1,main!$A$3:$H$102,5,FALSE)-VLOOKUP($A84,main!$A$3:$H$102,6,FALSE)&gt;=main!$D$103+VLOOKUP(VLOOKUP(BV$1,main!$A$3:$I$102,7,FALSE),main!$K$26:$Q$29,3,FALSE),1,0)</f>
        <v>0</v>
      </c>
      <c r="BW84">
        <f>IF(VLOOKUP(BW$1,main!$A$3:$H$102,5,FALSE)-VLOOKUP($A84,main!$A$3:$H$102,6,FALSE)&gt;=main!$D$103+VLOOKUP(VLOOKUP(BW$1,main!$A$3:$I$102,7,FALSE),main!$K$26:$Q$29,3,FALSE),1,0)</f>
        <v>0</v>
      </c>
      <c r="BX84">
        <f>IF(VLOOKUP(BX$1,main!$A$3:$H$102,5,FALSE)-VLOOKUP($A84,main!$A$3:$H$102,6,FALSE)&gt;=main!$D$103+VLOOKUP(VLOOKUP(BX$1,main!$A$3:$I$102,7,FALSE),main!$K$26:$Q$29,3,FALSE),1,0)</f>
        <v>0</v>
      </c>
      <c r="BY84">
        <f>IF(VLOOKUP(BY$1,main!$A$3:$H$102,5,FALSE)-VLOOKUP($A84,main!$A$3:$H$102,6,FALSE)&gt;=main!$D$103+VLOOKUP(VLOOKUP(BY$1,main!$A$3:$I$102,7,FALSE),main!$K$26:$Q$29,3,FALSE),1,0)</f>
        <v>0</v>
      </c>
      <c r="BZ84">
        <f>IF(VLOOKUP(BZ$1,main!$A$3:$H$102,5,FALSE)-VLOOKUP($A84,main!$A$3:$H$102,6,FALSE)&gt;=main!$D$103+VLOOKUP(VLOOKUP(BZ$1,main!$A$3:$I$102,7,FALSE),main!$K$26:$Q$29,3,FALSE),1,0)</f>
        <v>0</v>
      </c>
      <c r="CA84">
        <f>IF(VLOOKUP(CA$1,main!$A$3:$H$102,5,FALSE)-VLOOKUP($A84,main!$A$3:$H$102,6,FALSE)&gt;=main!$D$103+VLOOKUP(VLOOKUP(CA$1,main!$A$3:$I$102,7,FALSE),main!$K$26:$Q$29,3,FALSE),1,0)</f>
        <v>0</v>
      </c>
      <c r="CB84">
        <f>IF(VLOOKUP(CB$1,main!$A$3:$H$102,5,FALSE)-VLOOKUP($A84,main!$A$3:$H$102,6,FALSE)&gt;=main!$D$103+VLOOKUP(VLOOKUP(CB$1,main!$A$3:$I$102,7,FALSE),main!$K$26:$Q$29,3,FALSE),1,0)</f>
        <v>0</v>
      </c>
      <c r="CC84">
        <f>IF(VLOOKUP(CC$1,main!$A$3:$H$102,5,FALSE)-VLOOKUP($A84,main!$A$3:$H$102,6,FALSE)&gt;=main!$D$103+VLOOKUP(VLOOKUP(CC$1,main!$A$3:$I$102,7,FALSE),main!$K$26:$Q$29,3,FALSE),1,0)</f>
        <v>1</v>
      </c>
      <c r="CD84">
        <f>IF(VLOOKUP(CD$1,main!$A$3:$H$102,5,FALSE)-VLOOKUP($A84,main!$A$3:$H$102,6,FALSE)&gt;=main!$D$103+VLOOKUP(VLOOKUP(CD$1,main!$A$3:$I$102,7,FALSE),main!$K$26:$Q$29,3,FALSE),1,0)</f>
        <v>0</v>
      </c>
      <c r="CE84">
        <f>IF(VLOOKUP(CE$1,main!$A$3:$H$102,5,FALSE)-VLOOKUP($A84,main!$A$3:$H$102,6,FALSE)&gt;=main!$D$103+VLOOKUP(VLOOKUP(CE$1,main!$A$3:$I$102,7,FALSE),main!$K$26:$Q$29,3,FALSE),1,0)</f>
        <v>0</v>
      </c>
      <c r="CF84">
        <f>IF(VLOOKUP(CF$1,main!$A$3:$H$102,5,FALSE)-VLOOKUP($A84,main!$A$3:$H$102,6,FALSE)&gt;=main!$D$103+VLOOKUP(VLOOKUP(CF$1,main!$A$3:$I$102,7,FALSE),main!$K$26:$Q$29,3,FALSE),1,0)</f>
        <v>0</v>
      </c>
      <c r="CG84">
        <f>IF(VLOOKUP(CG$1,main!$A$3:$H$102,5,FALSE)-VLOOKUP($A84,main!$A$3:$H$102,6,FALSE)&gt;=main!$D$103+VLOOKUP(VLOOKUP(CG$1,main!$A$3:$I$102,7,FALSE),main!$K$26:$Q$29,3,FALSE),1,0)</f>
        <v>0</v>
      </c>
      <c r="CH84">
        <f>IF(VLOOKUP(CH$1,main!$A$3:$H$102,5,FALSE)-VLOOKUP($A84,main!$A$3:$H$102,6,FALSE)&gt;=main!$D$103+VLOOKUP(VLOOKUP(CH$1,main!$A$3:$I$102,7,FALSE),main!$K$26:$Q$29,3,FALSE),1,0)</f>
        <v>1</v>
      </c>
      <c r="CI84">
        <f>IF(VLOOKUP(CI$1,main!$A$3:$H$102,5,FALSE)-VLOOKUP($A84,main!$A$3:$H$102,6,FALSE)&gt;=main!$D$103+VLOOKUP(VLOOKUP(CI$1,main!$A$3:$I$102,7,FALSE),main!$K$26:$Q$29,3,FALSE),1,0)</f>
        <v>1</v>
      </c>
      <c r="CJ84">
        <f>IF(VLOOKUP(CJ$1,main!$A$3:$H$102,5,FALSE)-VLOOKUP($A84,main!$A$3:$H$102,6,FALSE)&gt;=main!$D$103+VLOOKUP(VLOOKUP(CJ$1,main!$A$3:$I$102,7,FALSE),main!$K$26:$Q$29,3,FALSE),1,0)</f>
        <v>0</v>
      </c>
      <c r="CK84">
        <f>IF(VLOOKUP(CK$1,main!$A$3:$H$102,5,FALSE)-VLOOKUP($A84,main!$A$3:$H$102,6,FALSE)&gt;=main!$D$103+VLOOKUP(VLOOKUP(CK$1,main!$A$3:$I$102,7,FALSE),main!$K$26:$Q$29,3,FALSE),1,0)</f>
        <v>0</v>
      </c>
      <c r="CL84">
        <f>IF(VLOOKUP(CL$1,main!$A$3:$H$102,5,FALSE)-VLOOKUP($A84,main!$A$3:$H$102,6,FALSE)&gt;=main!$D$103+VLOOKUP(VLOOKUP(CL$1,main!$A$3:$I$102,7,FALSE),main!$K$26:$Q$29,3,FALSE),1,0)</f>
        <v>0</v>
      </c>
      <c r="CM84">
        <f>IF(VLOOKUP(CM$1,main!$A$3:$H$102,5,FALSE)-VLOOKUP($A84,main!$A$3:$H$102,6,FALSE)&gt;=main!$D$103+VLOOKUP(VLOOKUP(CM$1,main!$A$3:$I$102,7,FALSE),main!$K$26:$Q$29,3,FALSE),1,0)</f>
        <v>1</v>
      </c>
      <c r="CN84">
        <f>IF(VLOOKUP(CN$1,main!$A$3:$H$102,5,FALSE)-VLOOKUP($A84,main!$A$3:$H$102,6,FALSE)&gt;=main!$D$103+VLOOKUP(VLOOKUP(CN$1,main!$A$3:$I$102,7,FALSE),main!$K$26:$Q$29,3,FALSE),1,0)</f>
        <v>1</v>
      </c>
      <c r="CO84">
        <f>IF(VLOOKUP(CO$1,main!$A$3:$H$102,5,FALSE)-VLOOKUP($A84,main!$A$3:$H$102,6,FALSE)&gt;=main!$D$103+VLOOKUP(VLOOKUP(CO$1,main!$A$3:$I$102,7,FALSE),main!$K$26:$Q$29,3,FALSE),1,0)</f>
        <v>0</v>
      </c>
      <c r="CP84">
        <f>IF(VLOOKUP(CP$1,main!$A$3:$H$102,5,FALSE)-VLOOKUP($A84,main!$A$3:$H$102,6,FALSE)&gt;=main!$D$103+VLOOKUP(VLOOKUP(CP$1,main!$A$3:$I$102,7,FALSE),main!$K$26:$Q$29,3,FALSE),1,0)</f>
        <v>0</v>
      </c>
      <c r="CQ84">
        <f>IF(VLOOKUP(CQ$1,main!$A$3:$H$102,5,FALSE)-VLOOKUP($A84,main!$A$3:$H$102,6,FALSE)&gt;=main!$D$103+VLOOKUP(VLOOKUP(CQ$1,main!$A$3:$I$102,7,FALSE),main!$K$26:$Q$29,3,FALSE),1,0)</f>
        <v>0</v>
      </c>
      <c r="CR84">
        <f>IF(VLOOKUP(CR$1,main!$A$3:$H$102,5,FALSE)-VLOOKUP($A84,main!$A$3:$H$102,6,FALSE)&gt;=main!$D$103+VLOOKUP(VLOOKUP(CR$1,main!$A$3:$I$102,7,FALSE),main!$K$26:$Q$29,3,FALSE),1,0)</f>
        <v>1</v>
      </c>
      <c r="CS84">
        <f>IF(VLOOKUP(CS$1,main!$A$3:$H$102,5,FALSE)-VLOOKUP($A84,main!$A$3:$H$102,6,FALSE)&gt;=main!$D$103+VLOOKUP(VLOOKUP(CS$1,main!$A$3:$I$102,7,FALSE),main!$K$26:$Q$29,3,FALSE),1,0)</f>
        <v>1</v>
      </c>
      <c r="CT84">
        <f>IF(VLOOKUP(CT$1,main!$A$3:$H$102,5,FALSE)-VLOOKUP($A84,main!$A$3:$H$102,6,FALSE)&gt;=main!$D$103+VLOOKUP(VLOOKUP(CT$1,main!$A$3:$I$102,7,FALSE),main!$K$26:$Q$29,3,FALSE),1,0)</f>
        <v>0</v>
      </c>
      <c r="CU84">
        <f>IF(VLOOKUP(CU$1,main!$A$3:$H$102,5,FALSE)-VLOOKUP($A84,main!$A$3:$H$102,6,FALSE)&gt;=main!$D$103+VLOOKUP(VLOOKUP(CU$1,main!$A$3:$I$102,7,FALSE),main!$K$26:$Q$29,3,FALSE),1,0)</f>
        <v>0</v>
      </c>
      <c r="CV84">
        <f>IF(VLOOKUP(CV$1,main!$A$3:$H$102,5,FALSE)-VLOOKUP($A84,main!$A$3:$H$102,6,FALSE)&gt;=main!$D$103+VLOOKUP(VLOOKUP(CV$1,main!$A$3:$I$102,7,FALSE),main!$K$26:$Q$29,3,FALSE),1,0)</f>
        <v>0</v>
      </c>
      <c r="CW84">
        <f>IF(VLOOKUP(CW$1,main!$A$3:$H$102,5,FALSE)-VLOOKUP($A84,main!$A$3:$H$102,6,FALSE)&gt;=main!$D$103+VLOOKUP(VLOOKUP(CW$1,main!$A$3:$I$102,7,FALSE),main!$K$26:$Q$29,3,FALSE),1,0)</f>
        <v>1</v>
      </c>
      <c r="CX84">
        <f>IF(VLOOKUP(CX$1,main!$A$3:$H$102,5,FALSE)-VLOOKUP($A84,main!$A$3:$H$102,6,FALSE)&gt;=main!$D$103+VLOOKUP(VLOOKUP(CX$1,main!$A$3:$I$102,7,FALSE),main!$K$26:$Q$29,3,FALSE),1,0)</f>
        <v>1</v>
      </c>
    </row>
    <row r="85" spans="1:102" x14ac:dyDescent="0.25">
      <c r="A85" s="1">
        <v>83</v>
      </c>
      <c r="B85">
        <v>0</v>
      </c>
      <c r="C85">
        <f>IF(VLOOKUP(C$1,main!$A$3:$H$102,5,FALSE)-VLOOKUP($A85,main!$A$3:$H$102,6,FALSE)&gt;=main!$D$103+VLOOKUP(VLOOKUP(C$1,main!$A$3:$I$102,7,FALSE),main!$K$26:$Q$29,3,FALSE),1,0)</f>
        <v>0</v>
      </c>
      <c r="D85">
        <f>IF(VLOOKUP(D$1,main!$A$3:$H$102,5,FALSE)-VLOOKUP($A85,main!$A$3:$H$102,6,FALSE)&gt;=main!$D$103+VLOOKUP(VLOOKUP(D$1,main!$A$3:$I$102,7,FALSE),main!$K$26:$Q$29,3,FALSE),1,0)</f>
        <v>0</v>
      </c>
      <c r="E85">
        <f>IF(VLOOKUP(E$1,main!$A$3:$H$102,5,FALSE)-VLOOKUP($A85,main!$A$3:$H$102,6,FALSE)&gt;=main!$D$103+VLOOKUP(VLOOKUP(E$1,main!$A$3:$I$102,7,FALSE),main!$K$26:$Q$29,3,FALSE),1,0)</f>
        <v>0</v>
      </c>
      <c r="F85">
        <f>IF(VLOOKUP(F$1,main!$A$3:$H$102,5,FALSE)-VLOOKUP($A85,main!$A$3:$H$102,6,FALSE)&gt;=main!$D$103+VLOOKUP(VLOOKUP(F$1,main!$A$3:$I$102,7,FALSE),main!$K$26:$Q$29,3,FALSE),1,0)</f>
        <v>0</v>
      </c>
      <c r="G85">
        <f>IF(VLOOKUP(G$1,main!$A$3:$H$102,5,FALSE)-VLOOKUP($A85,main!$A$3:$H$102,6,FALSE)&gt;=main!$D$103+VLOOKUP(VLOOKUP(G$1,main!$A$3:$I$102,7,FALSE),main!$K$26:$Q$29,3,FALSE),1,0)</f>
        <v>0</v>
      </c>
      <c r="H85">
        <f>IF(VLOOKUP(H$1,main!$A$3:$H$102,5,FALSE)-VLOOKUP($A85,main!$A$3:$H$102,6,FALSE)&gt;=main!$D$103+VLOOKUP(VLOOKUP(H$1,main!$A$3:$I$102,7,FALSE),main!$K$26:$Q$29,3,FALSE),1,0)</f>
        <v>0</v>
      </c>
      <c r="I85">
        <f>IF(VLOOKUP(I$1,main!$A$3:$H$102,5,FALSE)-VLOOKUP($A85,main!$A$3:$H$102,6,FALSE)&gt;=main!$D$103+VLOOKUP(VLOOKUP(I$1,main!$A$3:$I$102,7,FALSE),main!$K$26:$Q$29,3,FALSE),1,0)</f>
        <v>0</v>
      </c>
      <c r="J85">
        <f>IF(VLOOKUP(J$1,main!$A$3:$H$102,5,FALSE)-VLOOKUP($A85,main!$A$3:$H$102,6,FALSE)&gt;=main!$D$103+VLOOKUP(VLOOKUP(J$1,main!$A$3:$I$102,7,FALSE),main!$K$26:$Q$29,3,FALSE),1,0)</f>
        <v>1</v>
      </c>
      <c r="K85">
        <f>IF(VLOOKUP(K$1,main!$A$3:$H$102,5,FALSE)-VLOOKUP($A85,main!$A$3:$H$102,6,FALSE)&gt;=main!$D$103+VLOOKUP(VLOOKUP(K$1,main!$A$3:$I$102,7,FALSE),main!$K$26:$Q$29,3,FALSE),1,0)</f>
        <v>1</v>
      </c>
      <c r="L85">
        <f>IF(VLOOKUP(L$1,main!$A$3:$H$102,5,FALSE)-VLOOKUP($A85,main!$A$3:$H$102,6,FALSE)&gt;=main!$D$103+VLOOKUP(VLOOKUP(L$1,main!$A$3:$I$102,7,FALSE),main!$K$26:$Q$29,3,FALSE),1,0)</f>
        <v>1</v>
      </c>
      <c r="M85">
        <f>IF(VLOOKUP(M$1,main!$A$3:$H$102,5,FALSE)-VLOOKUP($A85,main!$A$3:$H$102,6,FALSE)&gt;=main!$D$103+VLOOKUP(VLOOKUP(M$1,main!$A$3:$I$102,7,FALSE),main!$K$26:$Q$29,3,FALSE),1,0)</f>
        <v>0</v>
      </c>
      <c r="N85">
        <f>IF(VLOOKUP(N$1,main!$A$3:$H$102,5,FALSE)-VLOOKUP($A85,main!$A$3:$H$102,6,FALSE)&gt;=main!$D$103+VLOOKUP(VLOOKUP(N$1,main!$A$3:$I$102,7,FALSE),main!$K$26:$Q$29,3,FALSE),1,0)</f>
        <v>0</v>
      </c>
      <c r="O85">
        <f>IF(VLOOKUP(O$1,main!$A$3:$H$102,5,FALSE)-VLOOKUP($A85,main!$A$3:$H$102,6,FALSE)&gt;=main!$D$103+VLOOKUP(VLOOKUP(O$1,main!$A$3:$I$102,7,FALSE),main!$K$26:$Q$29,3,FALSE),1,0)</f>
        <v>0</v>
      </c>
      <c r="P85">
        <f>IF(VLOOKUP(P$1,main!$A$3:$H$102,5,FALSE)-VLOOKUP($A85,main!$A$3:$H$102,6,FALSE)&gt;=main!$D$103+VLOOKUP(VLOOKUP(P$1,main!$A$3:$I$102,7,FALSE),main!$K$26:$Q$29,3,FALSE),1,0)</f>
        <v>0</v>
      </c>
      <c r="Q85">
        <f>IF(VLOOKUP(Q$1,main!$A$3:$H$102,5,FALSE)-VLOOKUP($A85,main!$A$3:$H$102,6,FALSE)&gt;=main!$D$103+VLOOKUP(VLOOKUP(Q$1,main!$A$3:$I$102,7,FALSE),main!$K$26:$Q$29,3,FALSE),1,0)</f>
        <v>0</v>
      </c>
      <c r="R85">
        <f>IF(VLOOKUP(R$1,main!$A$3:$H$102,5,FALSE)-VLOOKUP($A85,main!$A$3:$H$102,6,FALSE)&gt;=main!$D$103+VLOOKUP(VLOOKUP(R$1,main!$A$3:$I$102,7,FALSE),main!$K$26:$Q$29,3,FALSE),1,0)</f>
        <v>0</v>
      </c>
      <c r="S85">
        <f>IF(VLOOKUP(S$1,main!$A$3:$H$102,5,FALSE)-VLOOKUP($A85,main!$A$3:$H$102,6,FALSE)&gt;=main!$D$103+VLOOKUP(VLOOKUP(S$1,main!$A$3:$I$102,7,FALSE),main!$K$26:$Q$29,3,FALSE),1,0)</f>
        <v>0</v>
      </c>
      <c r="T85">
        <f>IF(VLOOKUP(T$1,main!$A$3:$H$102,5,FALSE)-VLOOKUP($A85,main!$A$3:$H$102,6,FALSE)&gt;=main!$D$103+VLOOKUP(VLOOKUP(T$1,main!$A$3:$I$102,7,FALSE),main!$K$26:$Q$29,3,FALSE),1,0)</f>
        <v>0</v>
      </c>
      <c r="U85">
        <f>IF(VLOOKUP(U$1,main!$A$3:$H$102,5,FALSE)-VLOOKUP($A85,main!$A$3:$H$102,6,FALSE)&gt;=main!$D$103+VLOOKUP(VLOOKUP(U$1,main!$A$3:$I$102,7,FALSE),main!$K$26:$Q$29,3,FALSE),1,0)</f>
        <v>1</v>
      </c>
      <c r="V85">
        <f>IF(VLOOKUP(V$1,main!$A$3:$H$102,5,FALSE)-VLOOKUP($A85,main!$A$3:$H$102,6,FALSE)&gt;=main!$D$103+VLOOKUP(VLOOKUP(V$1,main!$A$3:$I$102,7,FALSE),main!$K$26:$Q$29,3,FALSE),1,0)</f>
        <v>1</v>
      </c>
      <c r="W85">
        <f>IF(VLOOKUP(W$1,main!$A$3:$H$102,5,FALSE)-VLOOKUP($A85,main!$A$3:$H$102,6,FALSE)&gt;=main!$D$103+VLOOKUP(VLOOKUP(W$1,main!$A$3:$I$102,7,FALSE),main!$K$26:$Q$29,3,FALSE),1,0)</f>
        <v>0</v>
      </c>
      <c r="X85">
        <f>IF(VLOOKUP(X$1,main!$A$3:$H$102,5,FALSE)-VLOOKUP($A85,main!$A$3:$H$102,6,FALSE)&gt;=main!$D$103+VLOOKUP(VLOOKUP(X$1,main!$A$3:$I$102,7,FALSE),main!$K$26:$Q$29,3,FALSE),1,0)</f>
        <v>0</v>
      </c>
      <c r="Y85">
        <f>IF(VLOOKUP(Y$1,main!$A$3:$H$102,5,FALSE)-VLOOKUP($A85,main!$A$3:$H$102,6,FALSE)&gt;=main!$D$103+VLOOKUP(VLOOKUP(Y$1,main!$A$3:$I$102,7,FALSE),main!$K$26:$Q$29,3,FALSE),1,0)</f>
        <v>0</v>
      </c>
      <c r="Z85">
        <f>IF(VLOOKUP(Z$1,main!$A$3:$H$102,5,FALSE)-VLOOKUP($A85,main!$A$3:$H$102,6,FALSE)&gt;=main!$D$103+VLOOKUP(VLOOKUP(Z$1,main!$A$3:$I$102,7,FALSE),main!$K$26:$Q$29,3,FALSE),1,0)</f>
        <v>0</v>
      </c>
      <c r="AA85">
        <f>IF(VLOOKUP(AA$1,main!$A$3:$H$102,5,FALSE)-VLOOKUP($A85,main!$A$3:$H$102,6,FALSE)&gt;=main!$D$103+VLOOKUP(VLOOKUP(AA$1,main!$A$3:$I$102,7,FALSE),main!$K$26:$Q$29,3,FALSE),1,0)</f>
        <v>1</v>
      </c>
      <c r="AB85">
        <f>IF(VLOOKUP(AB$1,main!$A$3:$H$102,5,FALSE)-VLOOKUP($A85,main!$A$3:$H$102,6,FALSE)&gt;=main!$D$103+VLOOKUP(VLOOKUP(AB$1,main!$A$3:$I$102,7,FALSE),main!$K$26:$Q$29,3,FALSE),1,0)</f>
        <v>0</v>
      </c>
      <c r="AC85">
        <f>IF(VLOOKUP(AC$1,main!$A$3:$H$102,5,FALSE)-VLOOKUP($A85,main!$A$3:$H$102,6,FALSE)&gt;=main!$D$103+VLOOKUP(VLOOKUP(AC$1,main!$A$3:$I$102,7,FALSE),main!$K$26:$Q$29,3,FALSE),1,0)</f>
        <v>0</v>
      </c>
      <c r="AD85">
        <f>IF(VLOOKUP(AD$1,main!$A$3:$H$102,5,FALSE)-VLOOKUP($A85,main!$A$3:$H$102,6,FALSE)&gt;=main!$D$103+VLOOKUP(VLOOKUP(AD$1,main!$A$3:$I$102,7,FALSE),main!$K$26:$Q$29,3,FALSE),1,0)</f>
        <v>0</v>
      </c>
      <c r="AE85">
        <f>IF(VLOOKUP(AE$1,main!$A$3:$H$102,5,FALSE)-VLOOKUP($A85,main!$A$3:$H$102,6,FALSE)&gt;=main!$D$103+VLOOKUP(VLOOKUP(AE$1,main!$A$3:$I$102,7,FALSE),main!$K$26:$Q$29,3,FALSE),1,0)</f>
        <v>0</v>
      </c>
      <c r="AF85">
        <f>IF(VLOOKUP(AF$1,main!$A$3:$H$102,5,FALSE)-VLOOKUP($A85,main!$A$3:$H$102,6,FALSE)&gt;=main!$D$103+VLOOKUP(VLOOKUP(AF$1,main!$A$3:$I$102,7,FALSE),main!$K$26:$Q$29,3,FALSE),1,0)</f>
        <v>1</v>
      </c>
      <c r="AG85">
        <f>IF(VLOOKUP(AG$1,main!$A$3:$H$102,5,FALSE)-VLOOKUP($A85,main!$A$3:$H$102,6,FALSE)&gt;=main!$D$103+VLOOKUP(VLOOKUP(AG$1,main!$A$3:$I$102,7,FALSE),main!$K$26:$Q$29,3,FALSE),1,0)</f>
        <v>0</v>
      </c>
      <c r="AH85">
        <f>IF(VLOOKUP(AH$1,main!$A$3:$H$102,5,FALSE)-VLOOKUP($A85,main!$A$3:$H$102,6,FALSE)&gt;=main!$D$103+VLOOKUP(VLOOKUP(AH$1,main!$A$3:$I$102,7,FALSE),main!$K$26:$Q$29,3,FALSE),1,0)</f>
        <v>0</v>
      </c>
      <c r="AI85">
        <f>IF(VLOOKUP(AI$1,main!$A$3:$H$102,5,FALSE)-VLOOKUP($A85,main!$A$3:$H$102,6,FALSE)&gt;=main!$D$103+VLOOKUP(VLOOKUP(AI$1,main!$A$3:$I$102,7,FALSE),main!$K$26:$Q$29,3,FALSE),1,0)</f>
        <v>0</v>
      </c>
      <c r="AJ85">
        <f>IF(VLOOKUP(AJ$1,main!$A$3:$H$102,5,FALSE)-VLOOKUP($A85,main!$A$3:$H$102,6,FALSE)&gt;=main!$D$103+VLOOKUP(VLOOKUP(AJ$1,main!$A$3:$I$102,7,FALSE),main!$K$26:$Q$29,3,FALSE),1,0)</f>
        <v>0</v>
      </c>
      <c r="AK85">
        <f>IF(VLOOKUP(AK$1,main!$A$3:$H$102,5,FALSE)-VLOOKUP($A85,main!$A$3:$H$102,6,FALSE)&gt;=main!$D$103+VLOOKUP(VLOOKUP(AK$1,main!$A$3:$I$102,7,FALSE),main!$K$26:$Q$29,3,FALSE),1,0)</f>
        <v>0</v>
      </c>
      <c r="AL85">
        <f>IF(VLOOKUP(AL$1,main!$A$3:$H$102,5,FALSE)-VLOOKUP($A85,main!$A$3:$H$102,6,FALSE)&gt;=main!$D$103+VLOOKUP(VLOOKUP(AL$1,main!$A$3:$I$102,7,FALSE),main!$K$26:$Q$29,3,FALSE),1,0)</f>
        <v>0</v>
      </c>
      <c r="AM85">
        <f>IF(VLOOKUP(AM$1,main!$A$3:$H$102,5,FALSE)-VLOOKUP($A85,main!$A$3:$H$102,6,FALSE)&gt;=main!$D$103+VLOOKUP(VLOOKUP(AM$1,main!$A$3:$I$102,7,FALSE),main!$K$26:$Q$29,3,FALSE),1,0)</f>
        <v>1</v>
      </c>
      <c r="AN85">
        <f>IF(VLOOKUP(AN$1,main!$A$3:$H$102,5,FALSE)-VLOOKUP($A85,main!$A$3:$H$102,6,FALSE)&gt;=main!$D$103+VLOOKUP(VLOOKUP(AN$1,main!$A$3:$I$102,7,FALSE),main!$K$26:$Q$29,3,FALSE),1,0)</f>
        <v>1</v>
      </c>
      <c r="AO85">
        <f>IF(VLOOKUP(AO$1,main!$A$3:$H$102,5,FALSE)-VLOOKUP($A85,main!$A$3:$H$102,6,FALSE)&gt;=main!$D$103+VLOOKUP(VLOOKUP(AO$1,main!$A$3:$I$102,7,FALSE),main!$K$26:$Q$29,3,FALSE),1,0)</f>
        <v>0</v>
      </c>
      <c r="AP85">
        <f>IF(VLOOKUP(AP$1,main!$A$3:$H$102,5,FALSE)-VLOOKUP($A85,main!$A$3:$H$102,6,FALSE)&gt;=main!$D$103+VLOOKUP(VLOOKUP(AP$1,main!$A$3:$I$102,7,FALSE),main!$K$26:$Q$29,3,FALSE),1,0)</f>
        <v>1</v>
      </c>
      <c r="AQ85">
        <f>IF(VLOOKUP(AQ$1,main!$A$3:$H$102,5,FALSE)-VLOOKUP($A85,main!$A$3:$H$102,6,FALSE)&gt;=main!$D$103+VLOOKUP(VLOOKUP(AQ$1,main!$A$3:$I$102,7,FALSE),main!$K$26:$Q$29,3,FALSE),1,0)</f>
        <v>0</v>
      </c>
      <c r="AR85">
        <f>IF(VLOOKUP(AR$1,main!$A$3:$H$102,5,FALSE)-VLOOKUP($A85,main!$A$3:$H$102,6,FALSE)&gt;=main!$D$103+VLOOKUP(VLOOKUP(AR$1,main!$A$3:$I$102,7,FALSE),main!$K$26:$Q$29,3,FALSE),1,0)</f>
        <v>0</v>
      </c>
      <c r="AS85">
        <f>IF(VLOOKUP(AS$1,main!$A$3:$H$102,5,FALSE)-VLOOKUP($A85,main!$A$3:$H$102,6,FALSE)&gt;=main!$D$103+VLOOKUP(VLOOKUP(AS$1,main!$A$3:$I$102,7,FALSE),main!$K$26:$Q$29,3,FALSE),1,0)</f>
        <v>0</v>
      </c>
      <c r="AT85">
        <f>IF(VLOOKUP(AT$1,main!$A$3:$H$102,5,FALSE)-VLOOKUP($A85,main!$A$3:$H$102,6,FALSE)&gt;=main!$D$103+VLOOKUP(VLOOKUP(AT$1,main!$A$3:$I$102,7,FALSE),main!$K$26:$Q$29,3,FALSE),1,0)</f>
        <v>0</v>
      </c>
      <c r="AU85">
        <f>IF(VLOOKUP(AU$1,main!$A$3:$H$102,5,FALSE)-VLOOKUP($A85,main!$A$3:$H$102,6,FALSE)&gt;=main!$D$103+VLOOKUP(VLOOKUP(AU$1,main!$A$3:$I$102,7,FALSE),main!$K$26:$Q$29,3,FALSE),1,0)</f>
        <v>0</v>
      </c>
      <c r="AV85">
        <f>IF(VLOOKUP(AV$1,main!$A$3:$H$102,5,FALSE)-VLOOKUP($A85,main!$A$3:$H$102,6,FALSE)&gt;=main!$D$103+VLOOKUP(VLOOKUP(AV$1,main!$A$3:$I$102,7,FALSE),main!$K$26:$Q$29,3,FALSE),1,0)</f>
        <v>0</v>
      </c>
      <c r="AW85">
        <f>IF(VLOOKUP(AW$1,main!$A$3:$H$102,5,FALSE)-VLOOKUP($A85,main!$A$3:$H$102,6,FALSE)&gt;=main!$D$103+VLOOKUP(VLOOKUP(AW$1,main!$A$3:$I$102,7,FALSE),main!$K$26:$Q$29,3,FALSE),1,0)</f>
        <v>0</v>
      </c>
      <c r="AX85">
        <f>IF(VLOOKUP(AX$1,main!$A$3:$H$102,5,FALSE)-VLOOKUP($A85,main!$A$3:$H$102,6,FALSE)&gt;=main!$D$103+VLOOKUP(VLOOKUP(AX$1,main!$A$3:$I$102,7,FALSE),main!$K$26:$Q$29,3,FALSE),1,0)</f>
        <v>0</v>
      </c>
      <c r="AY85">
        <f>IF(VLOOKUP(AY$1,main!$A$3:$H$102,5,FALSE)-VLOOKUP($A85,main!$A$3:$H$102,6,FALSE)&gt;=main!$D$103+VLOOKUP(VLOOKUP(AY$1,main!$A$3:$I$102,7,FALSE),main!$K$26:$Q$29,3,FALSE),1,0)</f>
        <v>0</v>
      </c>
      <c r="AZ85">
        <f>IF(VLOOKUP(AZ$1,main!$A$3:$H$102,5,FALSE)-VLOOKUP($A85,main!$A$3:$H$102,6,FALSE)&gt;=main!$D$103+VLOOKUP(VLOOKUP(AZ$1,main!$A$3:$I$102,7,FALSE),main!$K$26:$Q$29,3,FALSE),1,0)</f>
        <v>0</v>
      </c>
      <c r="BA85">
        <f>IF(VLOOKUP(BA$1,main!$A$3:$H$102,5,FALSE)-VLOOKUP($A85,main!$A$3:$H$102,6,FALSE)&gt;=main!$D$103+VLOOKUP(VLOOKUP(BA$1,main!$A$3:$I$102,7,FALSE),main!$K$26:$Q$29,3,FALSE),1,0)</f>
        <v>0</v>
      </c>
      <c r="BB85">
        <f>IF(VLOOKUP(BB$1,main!$A$3:$H$102,5,FALSE)-VLOOKUP($A85,main!$A$3:$H$102,6,FALSE)&gt;=main!$D$103+VLOOKUP(VLOOKUP(BB$1,main!$A$3:$I$102,7,FALSE),main!$K$26:$Q$29,3,FALSE),1,0)</f>
        <v>0</v>
      </c>
      <c r="BC85">
        <f>IF(VLOOKUP(BC$1,main!$A$3:$H$102,5,FALSE)-VLOOKUP($A85,main!$A$3:$H$102,6,FALSE)&gt;=main!$D$103+VLOOKUP(VLOOKUP(BC$1,main!$A$3:$I$102,7,FALSE),main!$K$26:$Q$29,3,FALSE),1,0)</f>
        <v>0</v>
      </c>
      <c r="BD85">
        <f>IF(VLOOKUP(BD$1,main!$A$3:$H$102,5,FALSE)-VLOOKUP($A85,main!$A$3:$H$102,6,FALSE)&gt;=main!$D$103+VLOOKUP(VLOOKUP(BD$1,main!$A$3:$I$102,7,FALSE),main!$K$26:$Q$29,3,FALSE),1,0)</f>
        <v>0</v>
      </c>
      <c r="BE85">
        <f>IF(VLOOKUP(BE$1,main!$A$3:$H$102,5,FALSE)-VLOOKUP($A85,main!$A$3:$H$102,6,FALSE)&gt;=main!$D$103+VLOOKUP(VLOOKUP(BE$1,main!$A$3:$I$102,7,FALSE),main!$K$26:$Q$29,3,FALSE),1,0)</f>
        <v>1</v>
      </c>
      <c r="BF85">
        <f>IF(VLOOKUP(BF$1,main!$A$3:$H$102,5,FALSE)-VLOOKUP($A85,main!$A$3:$H$102,6,FALSE)&gt;=main!$D$103+VLOOKUP(VLOOKUP(BF$1,main!$A$3:$I$102,7,FALSE),main!$K$26:$Q$29,3,FALSE),1,0)</f>
        <v>0</v>
      </c>
      <c r="BG85">
        <f>IF(VLOOKUP(BG$1,main!$A$3:$H$102,5,FALSE)-VLOOKUP($A85,main!$A$3:$H$102,6,FALSE)&gt;=main!$D$103+VLOOKUP(VLOOKUP(BG$1,main!$A$3:$I$102,7,FALSE),main!$K$26:$Q$29,3,FALSE),1,0)</f>
        <v>0</v>
      </c>
      <c r="BH85">
        <f>IF(VLOOKUP(BH$1,main!$A$3:$H$102,5,FALSE)-VLOOKUP($A85,main!$A$3:$H$102,6,FALSE)&gt;=main!$D$103+VLOOKUP(VLOOKUP(BH$1,main!$A$3:$I$102,7,FALSE),main!$K$26:$Q$29,3,FALSE),1,0)</f>
        <v>0</v>
      </c>
      <c r="BI85">
        <f>IF(VLOOKUP(BI$1,main!$A$3:$H$102,5,FALSE)-VLOOKUP($A85,main!$A$3:$H$102,6,FALSE)&gt;=main!$D$103+VLOOKUP(VLOOKUP(BI$1,main!$A$3:$I$102,7,FALSE),main!$K$26:$Q$29,3,FALSE),1,0)</f>
        <v>1</v>
      </c>
      <c r="BJ85">
        <f>IF(VLOOKUP(BJ$1,main!$A$3:$H$102,5,FALSE)-VLOOKUP($A85,main!$A$3:$H$102,6,FALSE)&gt;=main!$D$103+VLOOKUP(VLOOKUP(BJ$1,main!$A$3:$I$102,7,FALSE),main!$K$26:$Q$29,3,FALSE),1,0)</f>
        <v>0</v>
      </c>
      <c r="BK85">
        <f>IF(VLOOKUP(BK$1,main!$A$3:$H$102,5,FALSE)-VLOOKUP($A85,main!$A$3:$H$102,6,FALSE)&gt;=main!$D$103+VLOOKUP(VLOOKUP(BK$1,main!$A$3:$I$102,7,FALSE),main!$K$26:$Q$29,3,FALSE),1,0)</f>
        <v>0</v>
      </c>
      <c r="BL85">
        <f>IF(VLOOKUP(BL$1,main!$A$3:$H$102,5,FALSE)-VLOOKUP($A85,main!$A$3:$H$102,6,FALSE)&gt;=main!$D$103+VLOOKUP(VLOOKUP(BL$1,main!$A$3:$I$102,7,FALSE),main!$K$26:$Q$29,3,FALSE),1,0)</f>
        <v>0</v>
      </c>
      <c r="BM85">
        <f>IF(VLOOKUP(BM$1,main!$A$3:$H$102,5,FALSE)-VLOOKUP($A85,main!$A$3:$H$102,6,FALSE)&gt;=main!$D$103+VLOOKUP(VLOOKUP(BM$1,main!$A$3:$I$102,7,FALSE),main!$K$26:$Q$29,3,FALSE),1,0)</f>
        <v>0</v>
      </c>
      <c r="BN85">
        <f>IF(VLOOKUP(BN$1,main!$A$3:$H$102,5,FALSE)-VLOOKUP($A85,main!$A$3:$H$102,6,FALSE)&gt;=main!$D$103+VLOOKUP(VLOOKUP(BN$1,main!$A$3:$I$102,7,FALSE),main!$K$26:$Q$29,3,FALSE),1,0)</f>
        <v>0</v>
      </c>
      <c r="BO85">
        <f>IF(VLOOKUP(BO$1,main!$A$3:$H$102,5,FALSE)-VLOOKUP($A85,main!$A$3:$H$102,6,FALSE)&gt;=main!$D$103+VLOOKUP(VLOOKUP(BO$1,main!$A$3:$I$102,7,FALSE),main!$K$26:$Q$29,3,FALSE),1,0)</f>
        <v>0</v>
      </c>
      <c r="BP85">
        <f>IF(VLOOKUP(BP$1,main!$A$3:$H$102,5,FALSE)-VLOOKUP($A85,main!$A$3:$H$102,6,FALSE)&gt;=main!$D$103+VLOOKUP(VLOOKUP(BP$1,main!$A$3:$I$102,7,FALSE),main!$K$26:$Q$29,3,FALSE),1,0)</f>
        <v>0</v>
      </c>
      <c r="BQ85">
        <f>IF(VLOOKUP(BQ$1,main!$A$3:$H$102,5,FALSE)-VLOOKUP($A85,main!$A$3:$H$102,6,FALSE)&gt;=main!$D$103+VLOOKUP(VLOOKUP(BQ$1,main!$A$3:$I$102,7,FALSE),main!$K$26:$Q$29,3,FALSE),1,0)</f>
        <v>0</v>
      </c>
      <c r="BR85">
        <f>IF(VLOOKUP(BR$1,main!$A$3:$H$102,5,FALSE)-VLOOKUP($A85,main!$A$3:$H$102,6,FALSE)&gt;=main!$D$103+VLOOKUP(VLOOKUP(BR$1,main!$A$3:$I$102,7,FALSE),main!$K$26:$Q$29,3,FALSE),1,0)</f>
        <v>0</v>
      </c>
      <c r="BS85">
        <f>IF(VLOOKUP(BS$1,main!$A$3:$H$102,5,FALSE)-VLOOKUP($A85,main!$A$3:$H$102,6,FALSE)&gt;=main!$D$103+VLOOKUP(VLOOKUP(BS$1,main!$A$3:$I$102,7,FALSE),main!$K$26:$Q$29,3,FALSE),1,0)</f>
        <v>0</v>
      </c>
      <c r="BT85">
        <f>IF(VLOOKUP(BT$1,main!$A$3:$H$102,5,FALSE)-VLOOKUP($A85,main!$A$3:$H$102,6,FALSE)&gt;=main!$D$103+VLOOKUP(VLOOKUP(BT$1,main!$A$3:$I$102,7,FALSE),main!$K$26:$Q$29,3,FALSE),1,0)</f>
        <v>0</v>
      </c>
      <c r="BU85">
        <f>IF(VLOOKUP(BU$1,main!$A$3:$H$102,5,FALSE)-VLOOKUP($A85,main!$A$3:$H$102,6,FALSE)&gt;=main!$D$103+VLOOKUP(VLOOKUP(BU$1,main!$A$3:$I$102,7,FALSE),main!$K$26:$Q$29,3,FALSE),1,0)</f>
        <v>0</v>
      </c>
      <c r="BV85">
        <f>IF(VLOOKUP(BV$1,main!$A$3:$H$102,5,FALSE)-VLOOKUP($A85,main!$A$3:$H$102,6,FALSE)&gt;=main!$D$103+VLOOKUP(VLOOKUP(BV$1,main!$A$3:$I$102,7,FALSE),main!$K$26:$Q$29,3,FALSE),1,0)</f>
        <v>0</v>
      </c>
      <c r="BW85">
        <f>IF(VLOOKUP(BW$1,main!$A$3:$H$102,5,FALSE)-VLOOKUP($A85,main!$A$3:$H$102,6,FALSE)&gt;=main!$D$103+VLOOKUP(VLOOKUP(BW$1,main!$A$3:$I$102,7,FALSE),main!$K$26:$Q$29,3,FALSE),1,0)</f>
        <v>0</v>
      </c>
      <c r="BX85">
        <f>IF(VLOOKUP(BX$1,main!$A$3:$H$102,5,FALSE)-VLOOKUP($A85,main!$A$3:$H$102,6,FALSE)&gt;=main!$D$103+VLOOKUP(VLOOKUP(BX$1,main!$A$3:$I$102,7,FALSE),main!$K$26:$Q$29,3,FALSE),1,0)</f>
        <v>0</v>
      </c>
      <c r="BY85">
        <f>IF(VLOOKUP(BY$1,main!$A$3:$H$102,5,FALSE)-VLOOKUP($A85,main!$A$3:$H$102,6,FALSE)&gt;=main!$D$103+VLOOKUP(VLOOKUP(BY$1,main!$A$3:$I$102,7,FALSE),main!$K$26:$Q$29,3,FALSE),1,0)</f>
        <v>0</v>
      </c>
      <c r="BZ85">
        <f>IF(VLOOKUP(BZ$1,main!$A$3:$H$102,5,FALSE)-VLOOKUP($A85,main!$A$3:$H$102,6,FALSE)&gt;=main!$D$103+VLOOKUP(VLOOKUP(BZ$1,main!$A$3:$I$102,7,FALSE),main!$K$26:$Q$29,3,FALSE),1,0)</f>
        <v>0</v>
      </c>
      <c r="CA85">
        <f>IF(VLOOKUP(CA$1,main!$A$3:$H$102,5,FALSE)-VLOOKUP($A85,main!$A$3:$H$102,6,FALSE)&gt;=main!$D$103+VLOOKUP(VLOOKUP(CA$1,main!$A$3:$I$102,7,FALSE),main!$K$26:$Q$29,3,FALSE),1,0)</f>
        <v>0</v>
      </c>
      <c r="CB85">
        <f>IF(VLOOKUP(CB$1,main!$A$3:$H$102,5,FALSE)-VLOOKUP($A85,main!$A$3:$H$102,6,FALSE)&gt;=main!$D$103+VLOOKUP(VLOOKUP(CB$1,main!$A$3:$I$102,7,FALSE),main!$K$26:$Q$29,3,FALSE),1,0)</f>
        <v>0</v>
      </c>
      <c r="CC85">
        <f>IF(VLOOKUP(CC$1,main!$A$3:$H$102,5,FALSE)-VLOOKUP($A85,main!$A$3:$H$102,6,FALSE)&gt;=main!$D$103+VLOOKUP(VLOOKUP(CC$1,main!$A$3:$I$102,7,FALSE),main!$K$26:$Q$29,3,FALSE),1,0)</f>
        <v>1</v>
      </c>
      <c r="CD85">
        <f>IF(VLOOKUP(CD$1,main!$A$3:$H$102,5,FALSE)-VLOOKUP($A85,main!$A$3:$H$102,6,FALSE)&gt;=main!$D$103+VLOOKUP(VLOOKUP(CD$1,main!$A$3:$I$102,7,FALSE),main!$K$26:$Q$29,3,FALSE),1,0)</f>
        <v>0</v>
      </c>
      <c r="CE85">
        <f>IF(VLOOKUP(CE$1,main!$A$3:$H$102,5,FALSE)-VLOOKUP($A85,main!$A$3:$H$102,6,FALSE)&gt;=main!$D$103+VLOOKUP(VLOOKUP(CE$1,main!$A$3:$I$102,7,FALSE),main!$K$26:$Q$29,3,FALSE),1,0)</f>
        <v>0</v>
      </c>
      <c r="CF85">
        <f>IF(VLOOKUP(CF$1,main!$A$3:$H$102,5,FALSE)-VLOOKUP($A85,main!$A$3:$H$102,6,FALSE)&gt;=main!$D$103+VLOOKUP(VLOOKUP(CF$1,main!$A$3:$I$102,7,FALSE),main!$K$26:$Q$29,3,FALSE),1,0)</f>
        <v>0</v>
      </c>
      <c r="CG85">
        <f>IF(VLOOKUP(CG$1,main!$A$3:$H$102,5,FALSE)-VLOOKUP($A85,main!$A$3:$H$102,6,FALSE)&gt;=main!$D$103+VLOOKUP(VLOOKUP(CG$1,main!$A$3:$I$102,7,FALSE),main!$K$26:$Q$29,3,FALSE),1,0)</f>
        <v>0</v>
      </c>
      <c r="CH85">
        <f>IF(VLOOKUP(CH$1,main!$A$3:$H$102,5,FALSE)-VLOOKUP($A85,main!$A$3:$H$102,6,FALSE)&gt;=main!$D$103+VLOOKUP(VLOOKUP(CH$1,main!$A$3:$I$102,7,FALSE),main!$K$26:$Q$29,3,FALSE),1,0)</f>
        <v>0</v>
      </c>
      <c r="CI85">
        <f>IF(VLOOKUP(CI$1,main!$A$3:$H$102,5,FALSE)-VLOOKUP($A85,main!$A$3:$H$102,6,FALSE)&gt;=main!$D$103+VLOOKUP(VLOOKUP(CI$1,main!$A$3:$I$102,7,FALSE),main!$K$26:$Q$29,3,FALSE),1,0)</f>
        <v>1</v>
      </c>
      <c r="CJ85">
        <f>IF(VLOOKUP(CJ$1,main!$A$3:$H$102,5,FALSE)-VLOOKUP($A85,main!$A$3:$H$102,6,FALSE)&gt;=main!$D$103+VLOOKUP(VLOOKUP(CJ$1,main!$A$3:$I$102,7,FALSE),main!$K$26:$Q$29,3,FALSE),1,0)</f>
        <v>0</v>
      </c>
      <c r="CK85">
        <f>IF(VLOOKUP(CK$1,main!$A$3:$H$102,5,FALSE)-VLOOKUP($A85,main!$A$3:$H$102,6,FALSE)&gt;=main!$D$103+VLOOKUP(VLOOKUP(CK$1,main!$A$3:$I$102,7,FALSE),main!$K$26:$Q$29,3,FALSE),1,0)</f>
        <v>0</v>
      </c>
      <c r="CL85">
        <f>IF(VLOOKUP(CL$1,main!$A$3:$H$102,5,FALSE)-VLOOKUP($A85,main!$A$3:$H$102,6,FALSE)&gt;=main!$D$103+VLOOKUP(VLOOKUP(CL$1,main!$A$3:$I$102,7,FALSE),main!$K$26:$Q$29,3,FALSE),1,0)</f>
        <v>0</v>
      </c>
      <c r="CM85">
        <f>IF(VLOOKUP(CM$1,main!$A$3:$H$102,5,FALSE)-VLOOKUP($A85,main!$A$3:$H$102,6,FALSE)&gt;=main!$D$103+VLOOKUP(VLOOKUP(CM$1,main!$A$3:$I$102,7,FALSE),main!$K$26:$Q$29,3,FALSE),1,0)</f>
        <v>0</v>
      </c>
      <c r="CN85">
        <f>IF(VLOOKUP(CN$1,main!$A$3:$H$102,5,FALSE)-VLOOKUP($A85,main!$A$3:$H$102,6,FALSE)&gt;=main!$D$103+VLOOKUP(VLOOKUP(CN$1,main!$A$3:$I$102,7,FALSE),main!$K$26:$Q$29,3,FALSE),1,0)</f>
        <v>1</v>
      </c>
      <c r="CO85">
        <f>IF(VLOOKUP(CO$1,main!$A$3:$H$102,5,FALSE)-VLOOKUP($A85,main!$A$3:$H$102,6,FALSE)&gt;=main!$D$103+VLOOKUP(VLOOKUP(CO$1,main!$A$3:$I$102,7,FALSE),main!$K$26:$Q$29,3,FALSE),1,0)</f>
        <v>0</v>
      </c>
      <c r="CP85">
        <f>IF(VLOOKUP(CP$1,main!$A$3:$H$102,5,FALSE)-VLOOKUP($A85,main!$A$3:$H$102,6,FALSE)&gt;=main!$D$103+VLOOKUP(VLOOKUP(CP$1,main!$A$3:$I$102,7,FALSE),main!$K$26:$Q$29,3,FALSE),1,0)</f>
        <v>0</v>
      </c>
      <c r="CQ85">
        <f>IF(VLOOKUP(CQ$1,main!$A$3:$H$102,5,FALSE)-VLOOKUP($A85,main!$A$3:$H$102,6,FALSE)&gt;=main!$D$103+VLOOKUP(VLOOKUP(CQ$1,main!$A$3:$I$102,7,FALSE),main!$K$26:$Q$29,3,FALSE),1,0)</f>
        <v>0</v>
      </c>
      <c r="CR85">
        <f>IF(VLOOKUP(CR$1,main!$A$3:$H$102,5,FALSE)-VLOOKUP($A85,main!$A$3:$H$102,6,FALSE)&gt;=main!$D$103+VLOOKUP(VLOOKUP(CR$1,main!$A$3:$I$102,7,FALSE),main!$K$26:$Q$29,3,FALSE),1,0)</f>
        <v>0</v>
      </c>
      <c r="CS85">
        <f>IF(VLOOKUP(CS$1,main!$A$3:$H$102,5,FALSE)-VLOOKUP($A85,main!$A$3:$H$102,6,FALSE)&gt;=main!$D$103+VLOOKUP(VLOOKUP(CS$1,main!$A$3:$I$102,7,FALSE),main!$K$26:$Q$29,3,FALSE),1,0)</f>
        <v>0</v>
      </c>
      <c r="CT85">
        <f>IF(VLOOKUP(CT$1,main!$A$3:$H$102,5,FALSE)-VLOOKUP($A85,main!$A$3:$H$102,6,FALSE)&gt;=main!$D$103+VLOOKUP(VLOOKUP(CT$1,main!$A$3:$I$102,7,FALSE),main!$K$26:$Q$29,3,FALSE),1,0)</f>
        <v>0</v>
      </c>
      <c r="CU85">
        <f>IF(VLOOKUP(CU$1,main!$A$3:$H$102,5,FALSE)-VLOOKUP($A85,main!$A$3:$H$102,6,FALSE)&gt;=main!$D$103+VLOOKUP(VLOOKUP(CU$1,main!$A$3:$I$102,7,FALSE),main!$K$26:$Q$29,3,FALSE),1,0)</f>
        <v>0</v>
      </c>
      <c r="CV85">
        <f>IF(VLOOKUP(CV$1,main!$A$3:$H$102,5,FALSE)-VLOOKUP($A85,main!$A$3:$H$102,6,FALSE)&gt;=main!$D$103+VLOOKUP(VLOOKUP(CV$1,main!$A$3:$I$102,7,FALSE),main!$K$26:$Q$29,3,FALSE),1,0)</f>
        <v>0</v>
      </c>
      <c r="CW85">
        <f>IF(VLOOKUP(CW$1,main!$A$3:$H$102,5,FALSE)-VLOOKUP($A85,main!$A$3:$H$102,6,FALSE)&gt;=main!$D$103+VLOOKUP(VLOOKUP(CW$1,main!$A$3:$I$102,7,FALSE),main!$K$26:$Q$29,3,FALSE),1,0)</f>
        <v>0</v>
      </c>
      <c r="CX85">
        <f>IF(VLOOKUP(CX$1,main!$A$3:$H$102,5,FALSE)-VLOOKUP($A85,main!$A$3:$H$102,6,FALSE)&gt;=main!$D$103+VLOOKUP(VLOOKUP(CX$1,main!$A$3:$I$102,7,FALSE),main!$K$26:$Q$29,3,FALSE),1,0)</f>
        <v>0</v>
      </c>
    </row>
    <row r="86" spans="1:102" x14ac:dyDescent="0.25">
      <c r="A86" s="1">
        <v>84</v>
      </c>
      <c r="B86">
        <v>0</v>
      </c>
      <c r="C86">
        <f>IF(VLOOKUP(C$1,main!$A$3:$H$102,5,FALSE)-VLOOKUP($A86,main!$A$3:$H$102,6,FALSE)&gt;=main!$D$103+VLOOKUP(VLOOKUP(C$1,main!$A$3:$I$102,7,FALSE),main!$K$26:$Q$29,3,FALSE),1,0)</f>
        <v>0</v>
      </c>
      <c r="D86">
        <f>IF(VLOOKUP(D$1,main!$A$3:$H$102,5,FALSE)-VLOOKUP($A86,main!$A$3:$H$102,6,FALSE)&gt;=main!$D$103+VLOOKUP(VLOOKUP(D$1,main!$A$3:$I$102,7,FALSE),main!$K$26:$Q$29,3,FALSE),1,0)</f>
        <v>0</v>
      </c>
      <c r="E86">
        <f>IF(VLOOKUP(E$1,main!$A$3:$H$102,5,FALSE)-VLOOKUP($A86,main!$A$3:$H$102,6,FALSE)&gt;=main!$D$103+VLOOKUP(VLOOKUP(E$1,main!$A$3:$I$102,7,FALSE),main!$K$26:$Q$29,3,FALSE),1,0)</f>
        <v>0</v>
      </c>
      <c r="F86">
        <f>IF(VLOOKUP(F$1,main!$A$3:$H$102,5,FALSE)-VLOOKUP($A86,main!$A$3:$H$102,6,FALSE)&gt;=main!$D$103+VLOOKUP(VLOOKUP(F$1,main!$A$3:$I$102,7,FALSE),main!$K$26:$Q$29,3,FALSE),1,0)</f>
        <v>0</v>
      </c>
      <c r="G86">
        <f>IF(VLOOKUP(G$1,main!$A$3:$H$102,5,FALSE)-VLOOKUP($A86,main!$A$3:$H$102,6,FALSE)&gt;=main!$D$103+VLOOKUP(VLOOKUP(G$1,main!$A$3:$I$102,7,FALSE),main!$K$26:$Q$29,3,FALSE),1,0)</f>
        <v>0</v>
      </c>
      <c r="H86">
        <f>IF(VLOOKUP(H$1,main!$A$3:$H$102,5,FALSE)-VLOOKUP($A86,main!$A$3:$H$102,6,FALSE)&gt;=main!$D$103+VLOOKUP(VLOOKUP(H$1,main!$A$3:$I$102,7,FALSE),main!$K$26:$Q$29,3,FALSE),1,0)</f>
        <v>0</v>
      </c>
      <c r="I86">
        <f>IF(VLOOKUP(I$1,main!$A$3:$H$102,5,FALSE)-VLOOKUP($A86,main!$A$3:$H$102,6,FALSE)&gt;=main!$D$103+VLOOKUP(VLOOKUP(I$1,main!$A$3:$I$102,7,FALSE),main!$K$26:$Q$29,3,FALSE),1,0)</f>
        <v>0</v>
      </c>
      <c r="J86">
        <f>IF(VLOOKUP(J$1,main!$A$3:$H$102,5,FALSE)-VLOOKUP($A86,main!$A$3:$H$102,6,FALSE)&gt;=main!$D$103+VLOOKUP(VLOOKUP(J$1,main!$A$3:$I$102,7,FALSE),main!$K$26:$Q$29,3,FALSE),1,0)</f>
        <v>0</v>
      </c>
      <c r="K86">
        <f>IF(VLOOKUP(K$1,main!$A$3:$H$102,5,FALSE)-VLOOKUP($A86,main!$A$3:$H$102,6,FALSE)&gt;=main!$D$103+VLOOKUP(VLOOKUP(K$1,main!$A$3:$I$102,7,FALSE),main!$K$26:$Q$29,3,FALSE),1,0)</f>
        <v>0</v>
      </c>
      <c r="L86">
        <f>IF(VLOOKUP(L$1,main!$A$3:$H$102,5,FALSE)-VLOOKUP($A86,main!$A$3:$H$102,6,FALSE)&gt;=main!$D$103+VLOOKUP(VLOOKUP(L$1,main!$A$3:$I$102,7,FALSE),main!$K$26:$Q$29,3,FALSE),1,0)</f>
        <v>0</v>
      </c>
      <c r="M86">
        <f>IF(VLOOKUP(M$1,main!$A$3:$H$102,5,FALSE)-VLOOKUP($A86,main!$A$3:$H$102,6,FALSE)&gt;=main!$D$103+VLOOKUP(VLOOKUP(M$1,main!$A$3:$I$102,7,FALSE),main!$K$26:$Q$29,3,FALSE),1,0)</f>
        <v>0</v>
      </c>
      <c r="N86">
        <f>IF(VLOOKUP(N$1,main!$A$3:$H$102,5,FALSE)-VLOOKUP($A86,main!$A$3:$H$102,6,FALSE)&gt;=main!$D$103+VLOOKUP(VLOOKUP(N$1,main!$A$3:$I$102,7,FALSE),main!$K$26:$Q$29,3,FALSE),1,0)</f>
        <v>0</v>
      </c>
      <c r="O86">
        <f>IF(VLOOKUP(O$1,main!$A$3:$H$102,5,FALSE)-VLOOKUP($A86,main!$A$3:$H$102,6,FALSE)&gt;=main!$D$103+VLOOKUP(VLOOKUP(O$1,main!$A$3:$I$102,7,FALSE),main!$K$26:$Q$29,3,FALSE),1,0)</f>
        <v>0</v>
      </c>
      <c r="P86">
        <f>IF(VLOOKUP(P$1,main!$A$3:$H$102,5,FALSE)-VLOOKUP($A86,main!$A$3:$H$102,6,FALSE)&gt;=main!$D$103+VLOOKUP(VLOOKUP(P$1,main!$A$3:$I$102,7,FALSE),main!$K$26:$Q$29,3,FALSE),1,0)</f>
        <v>0</v>
      </c>
      <c r="Q86">
        <f>IF(VLOOKUP(Q$1,main!$A$3:$H$102,5,FALSE)-VLOOKUP($A86,main!$A$3:$H$102,6,FALSE)&gt;=main!$D$103+VLOOKUP(VLOOKUP(Q$1,main!$A$3:$I$102,7,FALSE),main!$K$26:$Q$29,3,FALSE),1,0)</f>
        <v>0</v>
      </c>
      <c r="R86">
        <f>IF(VLOOKUP(R$1,main!$A$3:$H$102,5,FALSE)-VLOOKUP($A86,main!$A$3:$H$102,6,FALSE)&gt;=main!$D$103+VLOOKUP(VLOOKUP(R$1,main!$A$3:$I$102,7,FALSE),main!$K$26:$Q$29,3,FALSE),1,0)</f>
        <v>0</v>
      </c>
      <c r="S86">
        <f>IF(VLOOKUP(S$1,main!$A$3:$H$102,5,FALSE)-VLOOKUP($A86,main!$A$3:$H$102,6,FALSE)&gt;=main!$D$103+VLOOKUP(VLOOKUP(S$1,main!$A$3:$I$102,7,FALSE),main!$K$26:$Q$29,3,FALSE),1,0)</f>
        <v>0</v>
      </c>
      <c r="T86">
        <f>IF(VLOOKUP(T$1,main!$A$3:$H$102,5,FALSE)-VLOOKUP($A86,main!$A$3:$H$102,6,FALSE)&gt;=main!$D$103+VLOOKUP(VLOOKUP(T$1,main!$A$3:$I$102,7,FALSE),main!$K$26:$Q$29,3,FALSE),1,0)</f>
        <v>0</v>
      </c>
      <c r="U86">
        <f>IF(VLOOKUP(U$1,main!$A$3:$H$102,5,FALSE)-VLOOKUP($A86,main!$A$3:$H$102,6,FALSE)&gt;=main!$D$103+VLOOKUP(VLOOKUP(U$1,main!$A$3:$I$102,7,FALSE),main!$K$26:$Q$29,3,FALSE),1,0)</f>
        <v>0</v>
      </c>
      <c r="V86">
        <f>IF(VLOOKUP(V$1,main!$A$3:$H$102,5,FALSE)-VLOOKUP($A86,main!$A$3:$H$102,6,FALSE)&gt;=main!$D$103+VLOOKUP(VLOOKUP(V$1,main!$A$3:$I$102,7,FALSE),main!$K$26:$Q$29,3,FALSE),1,0)</f>
        <v>0</v>
      </c>
      <c r="W86">
        <f>IF(VLOOKUP(W$1,main!$A$3:$H$102,5,FALSE)-VLOOKUP($A86,main!$A$3:$H$102,6,FALSE)&gt;=main!$D$103+VLOOKUP(VLOOKUP(W$1,main!$A$3:$I$102,7,FALSE),main!$K$26:$Q$29,3,FALSE),1,0)</f>
        <v>0</v>
      </c>
      <c r="X86">
        <f>IF(VLOOKUP(X$1,main!$A$3:$H$102,5,FALSE)-VLOOKUP($A86,main!$A$3:$H$102,6,FALSE)&gt;=main!$D$103+VLOOKUP(VLOOKUP(X$1,main!$A$3:$I$102,7,FALSE),main!$K$26:$Q$29,3,FALSE),1,0)</f>
        <v>0</v>
      </c>
      <c r="Y86">
        <f>IF(VLOOKUP(Y$1,main!$A$3:$H$102,5,FALSE)-VLOOKUP($A86,main!$A$3:$H$102,6,FALSE)&gt;=main!$D$103+VLOOKUP(VLOOKUP(Y$1,main!$A$3:$I$102,7,FALSE),main!$K$26:$Q$29,3,FALSE),1,0)</f>
        <v>0</v>
      </c>
      <c r="Z86">
        <f>IF(VLOOKUP(Z$1,main!$A$3:$H$102,5,FALSE)-VLOOKUP($A86,main!$A$3:$H$102,6,FALSE)&gt;=main!$D$103+VLOOKUP(VLOOKUP(Z$1,main!$A$3:$I$102,7,FALSE),main!$K$26:$Q$29,3,FALSE),1,0)</f>
        <v>0</v>
      </c>
      <c r="AA86">
        <f>IF(VLOOKUP(AA$1,main!$A$3:$H$102,5,FALSE)-VLOOKUP($A86,main!$A$3:$H$102,6,FALSE)&gt;=main!$D$103+VLOOKUP(VLOOKUP(AA$1,main!$A$3:$I$102,7,FALSE),main!$K$26:$Q$29,3,FALSE),1,0)</f>
        <v>0</v>
      </c>
      <c r="AB86">
        <f>IF(VLOOKUP(AB$1,main!$A$3:$H$102,5,FALSE)-VLOOKUP($A86,main!$A$3:$H$102,6,FALSE)&gt;=main!$D$103+VLOOKUP(VLOOKUP(AB$1,main!$A$3:$I$102,7,FALSE),main!$K$26:$Q$29,3,FALSE),1,0)</f>
        <v>0</v>
      </c>
      <c r="AC86">
        <f>IF(VLOOKUP(AC$1,main!$A$3:$H$102,5,FALSE)-VLOOKUP($A86,main!$A$3:$H$102,6,FALSE)&gt;=main!$D$103+VLOOKUP(VLOOKUP(AC$1,main!$A$3:$I$102,7,FALSE),main!$K$26:$Q$29,3,FALSE),1,0)</f>
        <v>0</v>
      </c>
      <c r="AD86">
        <f>IF(VLOOKUP(AD$1,main!$A$3:$H$102,5,FALSE)-VLOOKUP($A86,main!$A$3:$H$102,6,FALSE)&gt;=main!$D$103+VLOOKUP(VLOOKUP(AD$1,main!$A$3:$I$102,7,FALSE),main!$K$26:$Q$29,3,FALSE),1,0)</f>
        <v>0</v>
      </c>
      <c r="AE86">
        <f>IF(VLOOKUP(AE$1,main!$A$3:$H$102,5,FALSE)-VLOOKUP($A86,main!$A$3:$H$102,6,FALSE)&gt;=main!$D$103+VLOOKUP(VLOOKUP(AE$1,main!$A$3:$I$102,7,FALSE),main!$K$26:$Q$29,3,FALSE),1,0)</f>
        <v>0</v>
      </c>
      <c r="AF86">
        <f>IF(VLOOKUP(AF$1,main!$A$3:$H$102,5,FALSE)-VLOOKUP($A86,main!$A$3:$H$102,6,FALSE)&gt;=main!$D$103+VLOOKUP(VLOOKUP(AF$1,main!$A$3:$I$102,7,FALSE),main!$K$26:$Q$29,3,FALSE),1,0)</f>
        <v>0</v>
      </c>
      <c r="AG86">
        <f>IF(VLOOKUP(AG$1,main!$A$3:$H$102,5,FALSE)-VLOOKUP($A86,main!$A$3:$H$102,6,FALSE)&gt;=main!$D$103+VLOOKUP(VLOOKUP(AG$1,main!$A$3:$I$102,7,FALSE),main!$K$26:$Q$29,3,FALSE),1,0)</f>
        <v>0</v>
      </c>
      <c r="AH86">
        <f>IF(VLOOKUP(AH$1,main!$A$3:$H$102,5,FALSE)-VLOOKUP($A86,main!$A$3:$H$102,6,FALSE)&gt;=main!$D$103+VLOOKUP(VLOOKUP(AH$1,main!$A$3:$I$102,7,FALSE),main!$K$26:$Q$29,3,FALSE),1,0)</f>
        <v>0</v>
      </c>
      <c r="AI86">
        <f>IF(VLOOKUP(AI$1,main!$A$3:$H$102,5,FALSE)-VLOOKUP($A86,main!$A$3:$H$102,6,FALSE)&gt;=main!$D$103+VLOOKUP(VLOOKUP(AI$1,main!$A$3:$I$102,7,FALSE),main!$K$26:$Q$29,3,FALSE),1,0)</f>
        <v>0</v>
      </c>
      <c r="AJ86">
        <f>IF(VLOOKUP(AJ$1,main!$A$3:$H$102,5,FALSE)-VLOOKUP($A86,main!$A$3:$H$102,6,FALSE)&gt;=main!$D$103+VLOOKUP(VLOOKUP(AJ$1,main!$A$3:$I$102,7,FALSE),main!$K$26:$Q$29,3,FALSE),1,0)</f>
        <v>0</v>
      </c>
      <c r="AK86">
        <f>IF(VLOOKUP(AK$1,main!$A$3:$H$102,5,FALSE)-VLOOKUP($A86,main!$A$3:$H$102,6,FALSE)&gt;=main!$D$103+VLOOKUP(VLOOKUP(AK$1,main!$A$3:$I$102,7,FALSE),main!$K$26:$Q$29,3,FALSE),1,0)</f>
        <v>0</v>
      </c>
      <c r="AL86">
        <f>IF(VLOOKUP(AL$1,main!$A$3:$H$102,5,FALSE)-VLOOKUP($A86,main!$A$3:$H$102,6,FALSE)&gt;=main!$D$103+VLOOKUP(VLOOKUP(AL$1,main!$A$3:$I$102,7,FALSE),main!$K$26:$Q$29,3,FALSE),1,0)</f>
        <v>0</v>
      </c>
      <c r="AM86">
        <f>IF(VLOOKUP(AM$1,main!$A$3:$H$102,5,FALSE)-VLOOKUP($A86,main!$A$3:$H$102,6,FALSE)&gt;=main!$D$103+VLOOKUP(VLOOKUP(AM$1,main!$A$3:$I$102,7,FALSE),main!$K$26:$Q$29,3,FALSE),1,0)</f>
        <v>0</v>
      </c>
      <c r="AN86">
        <f>IF(VLOOKUP(AN$1,main!$A$3:$H$102,5,FALSE)-VLOOKUP($A86,main!$A$3:$H$102,6,FALSE)&gt;=main!$D$103+VLOOKUP(VLOOKUP(AN$1,main!$A$3:$I$102,7,FALSE),main!$K$26:$Q$29,3,FALSE),1,0)</f>
        <v>0</v>
      </c>
      <c r="AO86">
        <f>IF(VLOOKUP(AO$1,main!$A$3:$H$102,5,FALSE)-VLOOKUP($A86,main!$A$3:$H$102,6,FALSE)&gt;=main!$D$103+VLOOKUP(VLOOKUP(AO$1,main!$A$3:$I$102,7,FALSE),main!$K$26:$Q$29,3,FALSE),1,0)</f>
        <v>0</v>
      </c>
      <c r="AP86">
        <f>IF(VLOOKUP(AP$1,main!$A$3:$H$102,5,FALSE)-VLOOKUP($A86,main!$A$3:$H$102,6,FALSE)&gt;=main!$D$103+VLOOKUP(VLOOKUP(AP$1,main!$A$3:$I$102,7,FALSE),main!$K$26:$Q$29,3,FALSE),1,0)</f>
        <v>0</v>
      </c>
      <c r="AQ86">
        <f>IF(VLOOKUP(AQ$1,main!$A$3:$H$102,5,FALSE)-VLOOKUP($A86,main!$A$3:$H$102,6,FALSE)&gt;=main!$D$103+VLOOKUP(VLOOKUP(AQ$1,main!$A$3:$I$102,7,FALSE),main!$K$26:$Q$29,3,FALSE),1,0)</f>
        <v>0</v>
      </c>
      <c r="AR86">
        <f>IF(VLOOKUP(AR$1,main!$A$3:$H$102,5,FALSE)-VLOOKUP($A86,main!$A$3:$H$102,6,FALSE)&gt;=main!$D$103+VLOOKUP(VLOOKUP(AR$1,main!$A$3:$I$102,7,FALSE),main!$K$26:$Q$29,3,FALSE),1,0)</f>
        <v>0</v>
      </c>
      <c r="AS86">
        <f>IF(VLOOKUP(AS$1,main!$A$3:$H$102,5,FALSE)-VLOOKUP($A86,main!$A$3:$H$102,6,FALSE)&gt;=main!$D$103+VLOOKUP(VLOOKUP(AS$1,main!$A$3:$I$102,7,FALSE),main!$K$26:$Q$29,3,FALSE),1,0)</f>
        <v>0</v>
      </c>
      <c r="AT86">
        <f>IF(VLOOKUP(AT$1,main!$A$3:$H$102,5,FALSE)-VLOOKUP($A86,main!$A$3:$H$102,6,FALSE)&gt;=main!$D$103+VLOOKUP(VLOOKUP(AT$1,main!$A$3:$I$102,7,FALSE),main!$K$26:$Q$29,3,FALSE),1,0)</f>
        <v>0</v>
      </c>
      <c r="AU86">
        <f>IF(VLOOKUP(AU$1,main!$A$3:$H$102,5,FALSE)-VLOOKUP($A86,main!$A$3:$H$102,6,FALSE)&gt;=main!$D$103+VLOOKUP(VLOOKUP(AU$1,main!$A$3:$I$102,7,FALSE),main!$K$26:$Q$29,3,FALSE),1,0)</f>
        <v>0</v>
      </c>
      <c r="AV86">
        <f>IF(VLOOKUP(AV$1,main!$A$3:$H$102,5,FALSE)-VLOOKUP($A86,main!$A$3:$H$102,6,FALSE)&gt;=main!$D$103+VLOOKUP(VLOOKUP(AV$1,main!$A$3:$I$102,7,FALSE),main!$K$26:$Q$29,3,FALSE),1,0)</f>
        <v>0</v>
      </c>
      <c r="AW86">
        <f>IF(VLOOKUP(AW$1,main!$A$3:$H$102,5,FALSE)-VLOOKUP($A86,main!$A$3:$H$102,6,FALSE)&gt;=main!$D$103+VLOOKUP(VLOOKUP(AW$1,main!$A$3:$I$102,7,FALSE),main!$K$26:$Q$29,3,FALSE),1,0)</f>
        <v>0</v>
      </c>
      <c r="AX86">
        <f>IF(VLOOKUP(AX$1,main!$A$3:$H$102,5,FALSE)-VLOOKUP($A86,main!$A$3:$H$102,6,FALSE)&gt;=main!$D$103+VLOOKUP(VLOOKUP(AX$1,main!$A$3:$I$102,7,FALSE),main!$K$26:$Q$29,3,FALSE),1,0)</f>
        <v>0</v>
      </c>
      <c r="AY86">
        <f>IF(VLOOKUP(AY$1,main!$A$3:$H$102,5,FALSE)-VLOOKUP($A86,main!$A$3:$H$102,6,FALSE)&gt;=main!$D$103+VLOOKUP(VLOOKUP(AY$1,main!$A$3:$I$102,7,FALSE),main!$K$26:$Q$29,3,FALSE),1,0)</f>
        <v>0</v>
      </c>
      <c r="AZ86">
        <f>IF(VLOOKUP(AZ$1,main!$A$3:$H$102,5,FALSE)-VLOOKUP($A86,main!$A$3:$H$102,6,FALSE)&gt;=main!$D$103+VLOOKUP(VLOOKUP(AZ$1,main!$A$3:$I$102,7,FALSE),main!$K$26:$Q$29,3,FALSE),1,0)</f>
        <v>0</v>
      </c>
      <c r="BA86">
        <f>IF(VLOOKUP(BA$1,main!$A$3:$H$102,5,FALSE)-VLOOKUP($A86,main!$A$3:$H$102,6,FALSE)&gt;=main!$D$103+VLOOKUP(VLOOKUP(BA$1,main!$A$3:$I$102,7,FALSE),main!$K$26:$Q$29,3,FALSE),1,0)</f>
        <v>0</v>
      </c>
      <c r="BB86">
        <f>IF(VLOOKUP(BB$1,main!$A$3:$H$102,5,FALSE)-VLOOKUP($A86,main!$A$3:$H$102,6,FALSE)&gt;=main!$D$103+VLOOKUP(VLOOKUP(BB$1,main!$A$3:$I$102,7,FALSE),main!$K$26:$Q$29,3,FALSE),1,0)</f>
        <v>0</v>
      </c>
      <c r="BC86">
        <f>IF(VLOOKUP(BC$1,main!$A$3:$H$102,5,FALSE)-VLOOKUP($A86,main!$A$3:$H$102,6,FALSE)&gt;=main!$D$103+VLOOKUP(VLOOKUP(BC$1,main!$A$3:$I$102,7,FALSE),main!$K$26:$Q$29,3,FALSE),1,0)</f>
        <v>0</v>
      </c>
      <c r="BD86">
        <f>IF(VLOOKUP(BD$1,main!$A$3:$H$102,5,FALSE)-VLOOKUP($A86,main!$A$3:$H$102,6,FALSE)&gt;=main!$D$103+VLOOKUP(VLOOKUP(BD$1,main!$A$3:$I$102,7,FALSE),main!$K$26:$Q$29,3,FALSE),1,0)</f>
        <v>0</v>
      </c>
      <c r="BE86">
        <f>IF(VLOOKUP(BE$1,main!$A$3:$H$102,5,FALSE)-VLOOKUP($A86,main!$A$3:$H$102,6,FALSE)&gt;=main!$D$103+VLOOKUP(VLOOKUP(BE$1,main!$A$3:$I$102,7,FALSE),main!$K$26:$Q$29,3,FALSE),1,0)</f>
        <v>0</v>
      </c>
      <c r="BF86">
        <f>IF(VLOOKUP(BF$1,main!$A$3:$H$102,5,FALSE)-VLOOKUP($A86,main!$A$3:$H$102,6,FALSE)&gt;=main!$D$103+VLOOKUP(VLOOKUP(BF$1,main!$A$3:$I$102,7,FALSE),main!$K$26:$Q$29,3,FALSE),1,0)</f>
        <v>0</v>
      </c>
      <c r="BG86">
        <f>IF(VLOOKUP(BG$1,main!$A$3:$H$102,5,FALSE)-VLOOKUP($A86,main!$A$3:$H$102,6,FALSE)&gt;=main!$D$103+VLOOKUP(VLOOKUP(BG$1,main!$A$3:$I$102,7,FALSE),main!$K$26:$Q$29,3,FALSE),1,0)</f>
        <v>0</v>
      </c>
      <c r="BH86">
        <f>IF(VLOOKUP(BH$1,main!$A$3:$H$102,5,FALSE)-VLOOKUP($A86,main!$A$3:$H$102,6,FALSE)&gt;=main!$D$103+VLOOKUP(VLOOKUP(BH$1,main!$A$3:$I$102,7,FALSE),main!$K$26:$Q$29,3,FALSE),1,0)</f>
        <v>0</v>
      </c>
      <c r="BI86">
        <f>IF(VLOOKUP(BI$1,main!$A$3:$H$102,5,FALSE)-VLOOKUP($A86,main!$A$3:$H$102,6,FALSE)&gt;=main!$D$103+VLOOKUP(VLOOKUP(BI$1,main!$A$3:$I$102,7,FALSE),main!$K$26:$Q$29,3,FALSE),1,0)</f>
        <v>0</v>
      </c>
      <c r="BJ86">
        <f>IF(VLOOKUP(BJ$1,main!$A$3:$H$102,5,FALSE)-VLOOKUP($A86,main!$A$3:$H$102,6,FALSE)&gt;=main!$D$103+VLOOKUP(VLOOKUP(BJ$1,main!$A$3:$I$102,7,FALSE),main!$K$26:$Q$29,3,FALSE),1,0)</f>
        <v>0</v>
      </c>
      <c r="BK86">
        <f>IF(VLOOKUP(BK$1,main!$A$3:$H$102,5,FALSE)-VLOOKUP($A86,main!$A$3:$H$102,6,FALSE)&gt;=main!$D$103+VLOOKUP(VLOOKUP(BK$1,main!$A$3:$I$102,7,FALSE),main!$K$26:$Q$29,3,FALSE),1,0)</f>
        <v>0</v>
      </c>
      <c r="BL86">
        <f>IF(VLOOKUP(BL$1,main!$A$3:$H$102,5,FALSE)-VLOOKUP($A86,main!$A$3:$H$102,6,FALSE)&gt;=main!$D$103+VLOOKUP(VLOOKUP(BL$1,main!$A$3:$I$102,7,FALSE),main!$K$26:$Q$29,3,FALSE),1,0)</f>
        <v>0</v>
      </c>
      <c r="BM86">
        <f>IF(VLOOKUP(BM$1,main!$A$3:$H$102,5,FALSE)-VLOOKUP($A86,main!$A$3:$H$102,6,FALSE)&gt;=main!$D$103+VLOOKUP(VLOOKUP(BM$1,main!$A$3:$I$102,7,FALSE),main!$K$26:$Q$29,3,FALSE),1,0)</f>
        <v>0</v>
      </c>
      <c r="BN86">
        <f>IF(VLOOKUP(BN$1,main!$A$3:$H$102,5,FALSE)-VLOOKUP($A86,main!$A$3:$H$102,6,FALSE)&gt;=main!$D$103+VLOOKUP(VLOOKUP(BN$1,main!$A$3:$I$102,7,FALSE),main!$K$26:$Q$29,3,FALSE),1,0)</f>
        <v>0</v>
      </c>
      <c r="BO86">
        <f>IF(VLOOKUP(BO$1,main!$A$3:$H$102,5,FALSE)-VLOOKUP($A86,main!$A$3:$H$102,6,FALSE)&gt;=main!$D$103+VLOOKUP(VLOOKUP(BO$1,main!$A$3:$I$102,7,FALSE),main!$K$26:$Q$29,3,FALSE),1,0)</f>
        <v>0</v>
      </c>
      <c r="BP86">
        <f>IF(VLOOKUP(BP$1,main!$A$3:$H$102,5,FALSE)-VLOOKUP($A86,main!$A$3:$H$102,6,FALSE)&gt;=main!$D$103+VLOOKUP(VLOOKUP(BP$1,main!$A$3:$I$102,7,FALSE),main!$K$26:$Q$29,3,FALSE),1,0)</f>
        <v>0</v>
      </c>
      <c r="BQ86">
        <f>IF(VLOOKUP(BQ$1,main!$A$3:$H$102,5,FALSE)-VLOOKUP($A86,main!$A$3:$H$102,6,FALSE)&gt;=main!$D$103+VLOOKUP(VLOOKUP(BQ$1,main!$A$3:$I$102,7,FALSE),main!$K$26:$Q$29,3,FALSE),1,0)</f>
        <v>0</v>
      </c>
      <c r="BR86">
        <f>IF(VLOOKUP(BR$1,main!$A$3:$H$102,5,FALSE)-VLOOKUP($A86,main!$A$3:$H$102,6,FALSE)&gt;=main!$D$103+VLOOKUP(VLOOKUP(BR$1,main!$A$3:$I$102,7,FALSE),main!$K$26:$Q$29,3,FALSE),1,0)</f>
        <v>0</v>
      </c>
      <c r="BS86">
        <f>IF(VLOOKUP(BS$1,main!$A$3:$H$102,5,FALSE)-VLOOKUP($A86,main!$A$3:$H$102,6,FALSE)&gt;=main!$D$103+VLOOKUP(VLOOKUP(BS$1,main!$A$3:$I$102,7,FALSE),main!$K$26:$Q$29,3,FALSE),1,0)</f>
        <v>0</v>
      </c>
      <c r="BT86">
        <f>IF(VLOOKUP(BT$1,main!$A$3:$H$102,5,FALSE)-VLOOKUP($A86,main!$A$3:$H$102,6,FALSE)&gt;=main!$D$103+VLOOKUP(VLOOKUP(BT$1,main!$A$3:$I$102,7,FALSE),main!$K$26:$Q$29,3,FALSE),1,0)</f>
        <v>0</v>
      </c>
      <c r="BU86">
        <f>IF(VLOOKUP(BU$1,main!$A$3:$H$102,5,FALSE)-VLOOKUP($A86,main!$A$3:$H$102,6,FALSE)&gt;=main!$D$103+VLOOKUP(VLOOKUP(BU$1,main!$A$3:$I$102,7,FALSE),main!$K$26:$Q$29,3,FALSE),1,0)</f>
        <v>0</v>
      </c>
      <c r="BV86">
        <f>IF(VLOOKUP(BV$1,main!$A$3:$H$102,5,FALSE)-VLOOKUP($A86,main!$A$3:$H$102,6,FALSE)&gt;=main!$D$103+VLOOKUP(VLOOKUP(BV$1,main!$A$3:$I$102,7,FALSE),main!$K$26:$Q$29,3,FALSE),1,0)</f>
        <v>0</v>
      </c>
      <c r="BW86">
        <f>IF(VLOOKUP(BW$1,main!$A$3:$H$102,5,FALSE)-VLOOKUP($A86,main!$A$3:$H$102,6,FALSE)&gt;=main!$D$103+VLOOKUP(VLOOKUP(BW$1,main!$A$3:$I$102,7,FALSE),main!$K$26:$Q$29,3,FALSE),1,0)</f>
        <v>0</v>
      </c>
      <c r="BX86">
        <f>IF(VLOOKUP(BX$1,main!$A$3:$H$102,5,FALSE)-VLOOKUP($A86,main!$A$3:$H$102,6,FALSE)&gt;=main!$D$103+VLOOKUP(VLOOKUP(BX$1,main!$A$3:$I$102,7,FALSE),main!$K$26:$Q$29,3,FALSE),1,0)</f>
        <v>0</v>
      </c>
      <c r="BY86">
        <f>IF(VLOOKUP(BY$1,main!$A$3:$H$102,5,FALSE)-VLOOKUP($A86,main!$A$3:$H$102,6,FALSE)&gt;=main!$D$103+VLOOKUP(VLOOKUP(BY$1,main!$A$3:$I$102,7,FALSE),main!$K$26:$Q$29,3,FALSE),1,0)</f>
        <v>0</v>
      </c>
      <c r="BZ86">
        <f>IF(VLOOKUP(BZ$1,main!$A$3:$H$102,5,FALSE)-VLOOKUP($A86,main!$A$3:$H$102,6,FALSE)&gt;=main!$D$103+VLOOKUP(VLOOKUP(BZ$1,main!$A$3:$I$102,7,FALSE),main!$K$26:$Q$29,3,FALSE),1,0)</f>
        <v>0</v>
      </c>
      <c r="CA86">
        <f>IF(VLOOKUP(CA$1,main!$A$3:$H$102,5,FALSE)-VLOOKUP($A86,main!$A$3:$H$102,6,FALSE)&gt;=main!$D$103+VLOOKUP(VLOOKUP(CA$1,main!$A$3:$I$102,7,FALSE),main!$K$26:$Q$29,3,FALSE),1,0)</f>
        <v>0</v>
      </c>
      <c r="CB86">
        <f>IF(VLOOKUP(CB$1,main!$A$3:$H$102,5,FALSE)-VLOOKUP($A86,main!$A$3:$H$102,6,FALSE)&gt;=main!$D$103+VLOOKUP(VLOOKUP(CB$1,main!$A$3:$I$102,7,FALSE),main!$K$26:$Q$29,3,FALSE),1,0)</f>
        <v>0</v>
      </c>
      <c r="CC86">
        <f>IF(VLOOKUP(CC$1,main!$A$3:$H$102,5,FALSE)-VLOOKUP($A86,main!$A$3:$H$102,6,FALSE)&gt;=main!$D$103+VLOOKUP(VLOOKUP(CC$1,main!$A$3:$I$102,7,FALSE),main!$K$26:$Q$29,3,FALSE),1,0)</f>
        <v>0</v>
      </c>
      <c r="CD86">
        <f>IF(VLOOKUP(CD$1,main!$A$3:$H$102,5,FALSE)-VLOOKUP($A86,main!$A$3:$H$102,6,FALSE)&gt;=main!$D$103+VLOOKUP(VLOOKUP(CD$1,main!$A$3:$I$102,7,FALSE),main!$K$26:$Q$29,3,FALSE),1,0)</f>
        <v>0</v>
      </c>
      <c r="CE86">
        <f>IF(VLOOKUP(CE$1,main!$A$3:$H$102,5,FALSE)-VLOOKUP($A86,main!$A$3:$H$102,6,FALSE)&gt;=main!$D$103+VLOOKUP(VLOOKUP(CE$1,main!$A$3:$I$102,7,FALSE),main!$K$26:$Q$29,3,FALSE),1,0)</f>
        <v>0</v>
      </c>
      <c r="CF86">
        <f>IF(VLOOKUP(CF$1,main!$A$3:$H$102,5,FALSE)-VLOOKUP($A86,main!$A$3:$H$102,6,FALSE)&gt;=main!$D$103+VLOOKUP(VLOOKUP(CF$1,main!$A$3:$I$102,7,FALSE),main!$K$26:$Q$29,3,FALSE),1,0)</f>
        <v>0</v>
      </c>
      <c r="CG86">
        <f>IF(VLOOKUP(CG$1,main!$A$3:$H$102,5,FALSE)-VLOOKUP($A86,main!$A$3:$H$102,6,FALSE)&gt;=main!$D$103+VLOOKUP(VLOOKUP(CG$1,main!$A$3:$I$102,7,FALSE),main!$K$26:$Q$29,3,FALSE),1,0)</f>
        <v>0</v>
      </c>
      <c r="CH86">
        <f>IF(VLOOKUP(CH$1,main!$A$3:$H$102,5,FALSE)-VLOOKUP($A86,main!$A$3:$H$102,6,FALSE)&gt;=main!$D$103+VLOOKUP(VLOOKUP(CH$1,main!$A$3:$I$102,7,FALSE),main!$K$26:$Q$29,3,FALSE),1,0)</f>
        <v>0</v>
      </c>
      <c r="CI86">
        <f>IF(VLOOKUP(CI$1,main!$A$3:$H$102,5,FALSE)-VLOOKUP($A86,main!$A$3:$H$102,6,FALSE)&gt;=main!$D$103+VLOOKUP(VLOOKUP(CI$1,main!$A$3:$I$102,7,FALSE),main!$K$26:$Q$29,3,FALSE),1,0)</f>
        <v>0</v>
      </c>
      <c r="CJ86">
        <f>IF(VLOOKUP(CJ$1,main!$A$3:$H$102,5,FALSE)-VLOOKUP($A86,main!$A$3:$H$102,6,FALSE)&gt;=main!$D$103+VLOOKUP(VLOOKUP(CJ$1,main!$A$3:$I$102,7,FALSE),main!$K$26:$Q$29,3,FALSE),1,0)</f>
        <v>0</v>
      </c>
      <c r="CK86">
        <f>IF(VLOOKUP(CK$1,main!$A$3:$H$102,5,FALSE)-VLOOKUP($A86,main!$A$3:$H$102,6,FALSE)&gt;=main!$D$103+VLOOKUP(VLOOKUP(CK$1,main!$A$3:$I$102,7,FALSE),main!$K$26:$Q$29,3,FALSE),1,0)</f>
        <v>0</v>
      </c>
      <c r="CL86">
        <f>IF(VLOOKUP(CL$1,main!$A$3:$H$102,5,FALSE)-VLOOKUP($A86,main!$A$3:$H$102,6,FALSE)&gt;=main!$D$103+VLOOKUP(VLOOKUP(CL$1,main!$A$3:$I$102,7,FALSE),main!$K$26:$Q$29,3,FALSE),1,0)</f>
        <v>0</v>
      </c>
      <c r="CM86">
        <f>IF(VLOOKUP(CM$1,main!$A$3:$H$102,5,FALSE)-VLOOKUP($A86,main!$A$3:$H$102,6,FALSE)&gt;=main!$D$103+VLOOKUP(VLOOKUP(CM$1,main!$A$3:$I$102,7,FALSE),main!$K$26:$Q$29,3,FALSE),1,0)</f>
        <v>0</v>
      </c>
      <c r="CN86">
        <f>IF(VLOOKUP(CN$1,main!$A$3:$H$102,5,FALSE)-VLOOKUP($A86,main!$A$3:$H$102,6,FALSE)&gt;=main!$D$103+VLOOKUP(VLOOKUP(CN$1,main!$A$3:$I$102,7,FALSE),main!$K$26:$Q$29,3,FALSE),1,0)</f>
        <v>0</v>
      </c>
      <c r="CO86">
        <f>IF(VLOOKUP(CO$1,main!$A$3:$H$102,5,FALSE)-VLOOKUP($A86,main!$A$3:$H$102,6,FALSE)&gt;=main!$D$103+VLOOKUP(VLOOKUP(CO$1,main!$A$3:$I$102,7,FALSE),main!$K$26:$Q$29,3,FALSE),1,0)</f>
        <v>0</v>
      </c>
      <c r="CP86">
        <f>IF(VLOOKUP(CP$1,main!$A$3:$H$102,5,FALSE)-VLOOKUP($A86,main!$A$3:$H$102,6,FALSE)&gt;=main!$D$103+VLOOKUP(VLOOKUP(CP$1,main!$A$3:$I$102,7,FALSE),main!$K$26:$Q$29,3,FALSE),1,0)</f>
        <v>0</v>
      </c>
      <c r="CQ86">
        <f>IF(VLOOKUP(CQ$1,main!$A$3:$H$102,5,FALSE)-VLOOKUP($A86,main!$A$3:$H$102,6,FALSE)&gt;=main!$D$103+VLOOKUP(VLOOKUP(CQ$1,main!$A$3:$I$102,7,FALSE),main!$K$26:$Q$29,3,FALSE),1,0)</f>
        <v>0</v>
      </c>
      <c r="CR86">
        <f>IF(VLOOKUP(CR$1,main!$A$3:$H$102,5,FALSE)-VLOOKUP($A86,main!$A$3:$H$102,6,FALSE)&gt;=main!$D$103+VLOOKUP(VLOOKUP(CR$1,main!$A$3:$I$102,7,FALSE),main!$K$26:$Q$29,3,FALSE),1,0)</f>
        <v>0</v>
      </c>
      <c r="CS86">
        <f>IF(VLOOKUP(CS$1,main!$A$3:$H$102,5,FALSE)-VLOOKUP($A86,main!$A$3:$H$102,6,FALSE)&gt;=main!$D$103+VLOOKUP(VLOOKUP(CS$1,main!$A$3:$I$102,7,FALSE),main!$K$26:$Q$29,3,FALSE),1,0)</f>
        <v>0</v>
      </c>
      <c r="CT86">
        <f>IF(VLOOKUP(CT$1,main!$A$3:$H$102,5,FALSE)-VLOOKUP($A86,main!$A$3:$H$102,6,FALSE)&gt;=main!$D$103+VLOOKUP(VLOOKUP(CT$1,main!$A$3:$I$102,7,FALSE),main!$K$26:$Q$29,3,FALSE),1,0)</f>
        <v>0</v>
      </c>
      <c r="CU86">
        <f>IF(VLOOKUP(CU$1,main!$A$3:$H$102,5,FALSE)-VLOOKUP($A86,main!$A$3:$H$102,6,FALSE)&gt;=main!$D$103+VLOOKUP(VLOOKUP(CU$1,main!$A$3:$I$102,7,FALSE),main!$K$26:$Q$29,3,FALSE),1,0)</f>
        <v>0</v>
      </c>
      <c r="CV86">
        <f>IF(VLOOKUP(CV$1,main!$A$3:$H$102,5,FALSE)-VLOOKUP($A86,main!$A$3:$H$102,6,FALSE)&gt;=main!$D$103+VLOOKUP(VLOOKUP(CV$1,main!$A$3:$I$102,7,FALSE),main!$K$26:$Q$29,3,FALSE),1,0)</f>
        <v>0</v>
      </c>
      <c r="CW86">
        <f>IF(VLOOKUP(CW$1,main!$A$3:$H$102,5,FALSE)-VLOOKUP($A86,main!$A$3:$H$102,6,FALSE)&gt;=main!$D$103+VLOOKUP(VLOOKUP(CW$1,main!$A$3:$I$102,7,FALSE),main!$K$26:$Q$29,3,FALSE),1,0)</f>
        <v>0</v>
      </c>
      <c r="CX86">
        <f>IF(VLOOKUP(CX$1,main!$A$3:$H$102,5,FALSE)-VLOOKUP($A86,main!$A$3:$H$102,6,FALSE)&gt;=main!$D$103+VLOOKUP(VLOOKUP(CX$1,main!$A$3:$I$102,7,FALSE),main!$K$26:$Q$29,3,FALSE),1,0)</f>
        <v>0</v>
      </c>
    </row>
    <row r="87" spans="1:102" x14ac:dyDescent="0.25">
      <c r="A87" s="1">
        <v>85</v>
      </c>
      <c r="B87">
        <v>0</v>
      </c>
      <c r="C87">
        <f>IF(VLOOKUP(C$1,main!$A$3:$H$102,5,FALSE)-VLOOKUP($A87,main!$A$3:$H$102,6,FALSE)&gt;=main!$D$103+VLOOKUP(VLOOKUP(C$1,main!$A$3:$I$102,7,FALSE),main!$K$26:$Q$29,3,FALSE),1,0)</f>
        <v>0</v>
      </c>
      <c r="D87">
        <f>IF(VLOOKUP(D$1,main!$A$3:$H$102,5,FALSE)-VLOOKUP($A87,main!$A$3:$H$102,6,FALSE)&gt;=main!$D$103+VLOOKUP(VLOOKUP(D$1,main!$A$3:$I$102,7,FALSE),main!$K$26:$Q$29,3,FALSE),1,0)</f>
        <v>0</v>
      </c>
      <c r="E87">
        <f>IF(VLOOKUP(E$1,main!$A$3:$H$102,5,FALSE)-VLOOKUP($A87,main!$A$3:$H$102,6,FALSE)&gt;=main!$D$103+VLOOKUP(VLOOKUP(E$1,main!$A$3:$I$102,7,FALSE),main!$K$26:$Q$29,3,FALSE),1,0)</f>
        <v>0</v>
      </c>
      <c r="F87">
        <f>IF(VLOOKUP(F$1,main!$A$3:$H$102,5,FALSE)-VLOOKUP($A87,main!$A$3:$H$102,6,FALSE)&gt;=main!$D$103+VLOOKUP(VLOOKUP(F$1,main!$A$3:$I$102,7,FALSE),main!$K$26:$Q$29,3,FALSE),1,0)</f>
        <v>0</v>
      </c>
      <c r="G87">
        <f>IF(VLOOKUP(G$1,main!$A$3:$H$102,5,FALSE)-VLOOKUP($A87,main!$A$3:$H$102,6,FALSE)&gt;=main!$D$103+VLOOKUP(VLOOKUP(G$1,main!$A$3:$I$102,7,FALSE),main!$K$26:$Q$29,3,FALSE),1,0)</f>
        <v>0</v>
      </c>
      <c r="H87">
        <f>IF(VLOOKUP(H$1,main!$A$3:$H$102,5,FALSE)-VLOOKUP($A87,main!$A$3:$H$102,6,FALSE)&gt;=main!$D$103+VLOOKUP(VLOOKUP(H$1,main!$A$3:$I$102,7,FALSE),main!$K$26:$Q$29,3,FALSE),1,0)</f>
        <v>0</v>
      </c>
      <c r="I87">
        <f>IF(VLOOKUP(I$1,main!$A$3:$H$102,5,FALSE)-VLOOKUP($A87,main!$A$3:$H$102,6,FALSE)&gt;=main!$D$103+VLOOKUP(VLOOKUP(I$1,main!$A$3:$I$102,7,FALSE),main!$K$26:$Q$29,3,FALSE),1,0)</f>
        <v>0</v>
      </c>
      <c r="J87">
        <f>IF(VLOOKUP(J$1,main!$A$3:$H$102,5,FALSE)-VLOOKUP($A87,main!$A$3:$H$102,6,FALSE)&gt;=main!$D$103+VLOOKUP(VLOOKUP(J$1,main!$A$3:$I$102,7,FALSE),main!$K$26:$Q$29,3,FALSE),1,0)</f>
        <v>0</v>
      </c>
      <c r="K87">
        <f>IF(VLOOKUP(K$1,main!$A$3:$H$102,5,FALSE)-VLOOKUP($A87,main!$A$3:$H$102,6,FALSE)&gt;=main!$D$103+VLOOKUP(VLOOKUP(K$1,main!$A$3:$I$102,7,FALSE),main!$K$26:$Q$29,3,FALSE),1,0)</f>
        <v>0</v>
      </c>
      <c r="L87">
        <f>IF(VLOOKUP(L$1,main!$A$3:$H$102,5,FALSE)-VLOOKUP($A87,main!$A$3:$H$102,6,FALSE)&gt;=main!$D$103+VLOOKUP(VLOOKUP(L$1,main!$A$3:$I$102,7,FALSE),main!$K$26:$Q$29,3,FALSE),1,0)</f>
        <v>0</v>
      </c>
      <c r="M87">
        <f>IF(VLOOKUP(M$1,main!$A$3:$H$102,5,FALSE)-VLOOKUP($A87,main!$A$3:$H$102,6,FALSE)&gt;=main!$D$103+VLOOKUP(VLOOKUP(M$1,main!$A$3:$I$102,7,FALSE),main!$K$26:$Q$29,3,FALSE),1,0)</f>
        <v>0</v>
      </c>
      <c r="N87">
        <f>IF(VLOOKUP(N$1,main!$A$3:$H$102,5,FALSE)-VLOOKUP($A87,main!$A$3:$H$102,6,FALSE)&gt;=main!$D$103+VLOOKUP(VLOOKUP(N$1,main!$A$3:$I$102,7,FALSE),main!$K$26:$Q$29,3,FALSE),1,0)</f>
        <v>0</v>
      </c>
      <c r="O87">
        <f>IF(VLOOKUP(O$1,main!$A$3:$H$102,5,FALSE)-VLOOKUP($A87,main!$A$3:$H$102,6,FALSE)&gt;=main!$D$103+VLOOKUP(VLOOKUP(O$1,main!$A$3:$I$102,7,FALSE),main!$K$26:$Q$29,3,FALSE),1,0)</f>
        <v>0</v>
      </c>
      <c r="P87">
        <f>IF(VLOOKUP(P$1,main!$A$3:$H$102,5,FALSE)-VLOOKUP($A87,main!$A$3:$H$102,6,FALSE)&gt;=main!$D$103+VLOOKUP(VLOOKUP(P$1,main!$A$3:$I$102,7,FALSE),main!$K$26:$Q$29,3,FALSE),1,0)</f>
        <v>0</v>
      </c>
      <c r="Q87">
        <f>IF(VLOOKUP(Q$1,main!$A$3:$H$102,5,FALSE)-VLOOKUP($A87,main!$A$3:$H$102,6,FALSE)&gt;=main!$D$103+VLOOKUP(VLOOKUP(Q$1,main!$A$3:$I$102,7,FALSE),main!$K$26:$Q$29,3,FALSE),1,0)</f>
        <v>0</v>
      </c>
      <c r="R87">
        <f>IF(VLOOKUP(R$1,main!$A$3:$H$102,5,FALSE)-VLOOKUP($A87,main!$A$3:$H$102,6,FALSE)&gt;=main!$D$103+VLOOKUP(VLOOKUP(R$1,main!$A$3:$I$102,7,FALSE),main!$K$26:$Q$29,3,FALSE),1,0)</f>
        <v>0</v>
      </c>
      <c r="S87">
        <f>IF(VLOOKUP(S$1,main!$A$3:$H$102,5,FALSE)-VLOOKUP($A87,main!$A$3:$H$102,6,FALSE)&gt;=main!$D$103+VLOOKUP(VLOOKUP(S$1,main!$A$3:$I$102,7,FALSE),main!$K$26:$Q$29,3,FALSE),1,0)</f>
        <v>0</v>
      </c>
      <c r="T87">
        <f>IF(VLOOKUP(T$1,main!$A$3:$H$102,5,FALSE)-VLOOKUP($A87,main!$A$3:$H$102,6,FALSE)&gt;=main!$D$103+VLOOKUP(VLOOKUP(T$1,main!$A$3:$I$102,7,FALSE),main!$K$26:$Q$29,3,FALSE),1,0)</f>
        <v>0</v>
      </c>
      <c r="U87">
        <f>IF(VLOOKUP(U$1,main!$A$3:$H$102,5,FALSE)-VLOOKUP($A87,main!$A$3:$H$102,6,FALSE)&gt;=main!$D$103+VLOOKUP(VLOOKUP(U$1,main!$A$3:$I$102,7,FALSE),main!$K$26:$Q$29,3,FALSE),1,0)</f>
        <v>0</v>
      </c>
      <c r="V87">
        <f>IF(VLOOKUP(V$1,main!$A$3:$H$102,5,FALSE)-VLOOKUP($A87,main!$A$3:$H$102,6,FALSE)&gt;=main!$D$103+VLOOKUP(VLOOKUP(V$1,main!$A$3:$I$102,7,FALSE),main!$K$26:$Q$29,3,FALSE),1,0)</f>
        <v>0</v>
      </c>
      <c r="W87">
        <f>IF(VLOOKUP(W$1,main!$A$3:$H$102,5,FALSE)-VLOOKUP($A87,main!$A$3:$H$102,6,FALSE)&gt;=main!$D$103+VLOOKUP(VLOOKUP(W$1,main!$A$3:$I$102,7,FALSE),main!$K$26:$Q$29,3,FALSE),1,0)</f>
        <v>0</v>
      </c>
      <c r="X87">
        <f>IF(VLOOKUP(X$1,main!$A$3:$H$102,5,FALSE)-VLOOKUP($A87,main!$A$3:$H$102,6,FALSE)&gt;=main!$D$103+VLOOKUP(VLOOKUP(X$1,main!$A$3:$I$102,7,FALSE),main!$K$26:$Q$29,3,FALSE),1,0)</f>
        <v>0</v>
      </c>
      <c r="Y87">
        <f>IF(VLOOKUP(Y$1,main!$A$3:$H$102,5,FALSE)-VLOOKUP($A87,main!$A$3:$H$102,6,FALSE)&gt;=main!$D$103+VLOOKUP(VLOOKUP(Y$1,main!$A$3:$I$102,7,FALSE),main!$K$26:$Q$29,3,FALSE),1,0)</f>
        <v>0</v>
      </c>
      <c r="Z87">
        <f>IF(VLOOKUP(Z$1,main!$A$3:$H$102,5,FALSE)-VLOOKUP($A87,main!$A$3:$H$102,6,FALSE)&gt;=main!$D$103+VLOOKUP(VLOOKUP(Z$1,main!$A$3:$I$102,7,FALSE),main!$K$26:$Q$29,3,FALSE),1,0)</f>
        <v>0</v>
      </c>
      <c r="AA87">
        <f>IF(VLOOKUP(AA$1,main!$A$3:$H$102,5,FALSE)-VLOOKUP($A87,main!$A$3:$H$102,6,FALSE)&gt;=main!$D$103+VLOOKUP(VLOOKUP(AA$1,main!$A$3:$I$102,7,FALSE),main!$K$26:$Q$29,3,FALSE),1,0)</f>
        <v>0</v>
      </c>
      <c r="AB87">
        <f>IF(VLOOKUP(AB$1,main!$A$3:$H$102,5,FALSE)-VLOOKUP($A87,main!$A$3:$H$102,6,FALSE)&gt;=main!$D$103+VLOOKUP(VLOOKUP(AB$1,main!$A$3:$I$102,7,FALSE),main!$K$26:$Q$29,3,FALSE),1,0)</f>
        <v>0</v>
      </c>
      <c r="AC87">
        <f>IF(VLOOKUP(AC$1,main!$A$3:$H$102,5,FALSE)-VLOOKUP($A87,main!$A$3:$H$102,6,FALSE)&gt;=main!$D$103+VLOOKUP(VLOOKUP(AC$1,main!$A$3:$I$102,7,FALSE),main!$K$26:$Q$29,3,FALSE),1,0)</f>
        <v>0</v>
      </c>
      <c r="AD87">
        <f>IF(VLOOKUP(AD$1,main!$A$3:$H$102,5,FALSE)-VLOOKUP($A87,main!$A$3:$H$102,6,FALSE)&gt;=main!$D$103+VLOOKUP(VLOOKUP(AD$1,main!$A$3:$I$102,7,FALSE),main!$K$26:$Q$29,3,FALSE),1,0)</f>
        <v>0</v>
      </c>
      <c r="AE87">
        <f>IF(VLOOKUP(AE$1,main!$A$3:$H$102,5,FALSE)-VLOOKUP($A87,main!$A$3:$H$102,6,FALSE)&gt;=main!$D$103+VLOOKUP(VLOOKUP(AE$1,main!$A$3:$I$102,7,FALSE),main!$K$26:$Q$29,3,FALSE),1,0)</f>
        <v>0</v>
      </c>
      <c r="AF87">
        <f>IF(VLOOKUP(AF$1,main!$A$3:$H$102,5,FALSE)-VLOOKUP($A87,main!$A$3:$H$102,6,FALSE)&gt;=main!$D$103+VLOOKUP(VLOOKUP(AF$1,main!$A$3:$I$102,7,FALSE),main!$K$26:$Q$29,3,FALSE),1,0)</f>
        <v>0</v>
      </c>
      <c r="AG87">
        <f>IF(VLOOKUP(AG$1,main!$A$3:$H$102,5,FALSE)-VLOOKUP($A87,main!$A$3:$H$102,6,FALSE)&gt;=main!$D$103+VLOOKUP(VLOOKUP(AG$1,main!$A$3:$I$102,7,FALSE),main!$K$26:$Q$29,3,FALSE),1,0)</f>
        <v>0</v>
      </c>
      <c r="AH87">
        <f>IF(VLOOKUP(AH$1,main!$A$3:$H$102,5,FALSE)-VLOOKUP($A87,main!$A$3:$H$102,6,FALSE)&gt;=main!$D$103+VLOOKUP(VLOOKUP(AH$1,main!$A$3:$I$102,7,FALSE),main!$K$26:$Q$29,3,FALSE),1,0)</f>
        <v>0</v>
      </c>
      <c r="AI87">
        <f>IF(VLOOKUP(AI$1,main!$A$3:$H$102,5,FALSE)-VLOOKUP($A87,main!$A$3:$H$102,6,FALSE)&gt;=main!$D$103+VLOOKUP(VLOOKUP(AI$1,main!$A$3:$I$102,7,FALSE),main!$K$26:$Q$29,3,FALSE),1,0)</f>
        <v>0</v>
      </c>
      <c r="AJ87">
        <f>IF(VLOOKUP(AJ$1,main!$A$3:$H$102,5,FALSE)-VLOOKUP($A87,main!$A$3:$H$102,6,FALSE)&gt;=main!$D$103+VLOOKUP(VLOOKUP(AJ$1,main!$A$3:$I$102,7,FALSE),main!$K$26:$Q$29,3,FALSE),1,0)</f>
        <v>0</v>
      </c>
      <c r="AK87">
        <f>IF(VLOOKUP(AK$1,main!$A$3:$H$102,5,FALSE)-VLOOKUP($A87,main!$A$3:$H$102,6,FALSE)&gt;=main!$D$103+VLOOKUP(VLOOKUP(AK$1,main!$A$3:$I$102,7,FALSE),main!$K$26:$Q$29,3,FALSE),1,0)</f>
        <v>0</v>
      </c>
      <c r="AL87">
        <f>IF(VLOOKUP(AL$1,main!$A$3:$H$102,5,FALSE)-VLOOKUP($A87,main!$A$3:$H$102,6,FALSE)&gt;=main!$D$103+VLOOKUP(VLOOKUP(AL$1,main!$A$3:$I$102,7,FALSE),main!$K$26:$Q$29,3,FALSE),1,0)</f>
        <v>0</v>
      </c>
      <c r="AM87">
        <f>IF(VLOOKUP(AM$1,main!$A$3:$H$102,5,FALSE)-VLOOKUP($A87,main!$A$3:$H$102,6,FALSE)&gt;=main!$D$103+VLOOKUP(VLOOKUP(AM$1,main!$A$3:$I$102,7,FALSE),main!$K$26:$Q$29,3,FALSE),1,0)</f>
        <v>0</v>
      </c>
      <c r="AN87">
        <f>IF(VLOOKUP(AN$1,main!$A$3:$H$102,5,FALSE)-VLOOKUP($A87,main!$A$3:$H$102,6,FALSE)&gt;=main!$D$103+VLOOKUP(VLOOKUP(AN$1,main!$A$3:$I$102,7,FALSE),main!$K$26:$Q$29,3,FALSE),1,0)</f>
        <v>0</v>
      </c>
      <c r="AO87">
        <f>IF(VLOOKUP(AO$1,main!$A$3:$H$102,5,FALSE)-VLOOKUP($A87,main!$A$3:$H$102,6,FALSE)&gt;=main!$D$103+VLOOKUP(VLOOKUP(AO$1,main!$A$3:$I$102,7,FALSE),main!$K$26:$Q$29,3,FALSE),1,0)</f>
        <v>0</v>
      </c>
      <c r="AP87">
        <f>IF(VLOOKUP(AP$1,main!$A$3:$H$102,5,FALSE)-VLOOKUP($A87,main!$A$3:$H$102,6,FALSE)&gt;=main!$D$103+VLOOKUP(VLOOKUP(AP$1,main!$A$3:$I$102,7,FALSE),main!$K$26:$Q$29,3,FALSE),1,0)</f>
        <v>0</v>
      </c>
      <c r="AQ87">
        <f>IF(VLOOKUP(AQ$1,main!$A$3:$H$102,5,FALSE)-VLOOKUP($A87,main!$A$3:$H$102,6,FALSE)&gt;=main!$D$103+VLOOKUP(VLOOKUP(AQ$1,main!$A$3:$I$102,7,FALSE),main!$K$26:$Q$29,3,FALSE),1,0)</f>
        <v>0</v>
      </c>
      <c r="AR87">
        <f>IF(VLOOKUP(AR$1,main!$A$3:$H$102,5,FALSE)-VLOOKUP($A87,main!$A$3:$H$102,6,FALSE)&gt;=main!$D$103+VLOOKUP(VLOOKUP(AR$1,main!$A$3:$I$102,7,FALSE),main!$K$26:$Q$29,3,FALSE),1,0)</f>
        <v>0</v>
      </c>
      <c r="AS87">
        <f>IF(VLOOKUP(AS$1,main!$A$3:$H$102,5,FALSE)-VLOOKUP($A87,main!$A$3:$H$102,6,FALSE)&gt;=main!$D$103+VLOOKUP(VLOOKUP(AS$1,main!$A$3:$I$102,7,FALSE),main!$K$26:$Q$29,3,FALSE),1,0)</f>
        <v>0</v>
      </c>
      <c r="AT87">
        <f>IF(VLOOKUP(AT$1,main!$A$3:$H$102,5,FALSE)-VLOOKUP($A87,main!$A$3:$H$102,6,FALSE)&gt;=main!$D$103+VLOOKUP(VLOOKUP(AT$1,main!$A$3:$I$102,7,FALSE),main!$K$26:$Q$29,3,FALSE),1,0)</f>
        <v>0</v>
      </c>
      <c r="AU87">
        <f>IF(VLOOKUP(AU$1,main!$A$3:$H$102,5,FALSE)-VLOOKUP($A87,main!$A$3:$H$102,6,FALSE)&gt;=main!$D$103+VLOOKUP(VLOOKUP(AU$1,main!$A$3:$I$102,7,FALSE),main!$K$26:$Q$29,3,FALSE),1,0)</f>
        <v>0</v>
      </c>
      <c r="AV87">
        <f>IF(VLOOKUP(AV$1,main!$A$3:$H$102,5,FALSE)-VLOOKUP($A87,main!$A$3:$H$102,6,FALSE)&gt;=main!$D$103+VLOOKUP(VLOOKUP(AV$1,main!$A$3:$I$102,7,FALSE),main!$K$26:$Q$29,3,FALSE),1,0)</f>
        <v>0</v>
      </c>
      <c r="AW87">
        <f>IF(VLOOKUP(AW$1,main!$A$3:$H$102,5,FALSE)-VLOOKUP($A87,main!$A$3:$H$102,6,FALSE)&gt;=main!$D$103+VLOOKUP(VLOOKUP(AW$1,main!$A$3:$I$102,7,FALSE),main!$K$26:$Q$29,3,FALSE),1,0)</f>
        <v>0</v>
      </c>
      <c r="AX87">
        <f>IF(VLOOKUP(AX$1,main!$A$3:$H$102,5,FALSE)-VLOOKUP($A87,main!$A$3:$H$102,6,FALSE)&gt;=main!$D$103+VLOOKUP(VLOOKUP(AX$1,main!$A$3:$I$102,7,FALSE),main!$K$26:$Q$29,3,FALSE),1,0)</f>
        <v>0</v>
      </c>
      <c r="AY87">
        <f>IF(VLOOKUP(AY$1,main!$A$3:$H$102,5,FALSE)-VLOOKUP($A87,main!$A$3:$H$102,6,FALSE)&gt;=main!$D$103+VLOOKUP(VLOOKUP(AY$1,main!$A$3:$I$102,7,FALSE),main!$K$26:$Q$29,3,FALSE),1,0)</f>
        <v>0</v>
      </c>
      <c r="AZ87">
        <f>IF(VLOOKUP(AZ$1,main!$A$3:$H$102,5,FALSE)-VLOOKUP($A87,main!$A$3:$H$102,6,FALSE)&gt;=main!$D$103+VLOOKUP(VLOOKUP(AZ$1,main!$A$3:$I$102,7,FALSE),main!$K$26:$Q$29,3,FALSE),1,0)</f>
        <v>0</v>
      </c>
      <c r="BA87">
        <f>IF(VLOOKUP(BA$1,main!$A$3:$H$102,5,FALSE)-VLOOKUP($A87,main!$A$3:$H$102,6,FALSE)&gt;=main!$D$103+VLOOKUP(VLOOKUP(BA$1,main!$A$3:$I$102,7,FALSE),main!$K$26:$Q$29,3,FALSE),1,0)</f>
        <v>0</v>
      </c>
      <c r="BB87">
        <f>IF(VLOOKUP(BB$1,main!$A$3:$H$102,5,FALSE)-VLOOKUP($A87,main!$A$3:$H$102,6,FALSE)&gt;=main!$D$103+VLOOKUP(VLOOKUP(BB$1,main!$A$3:$I$102,7,FALSE),main!$K$26:$Q$29,3,FALSE),1,0)</f>
        <v>0</v>
      </c>
      <c r="BC87">
        <f>IF(VLOOKUP(BC$1,main!$A$3:$H$102,5,FALSE)-VLOOKUP($A87,main!$A$3:$H$102,6,FALSE)&gt;=main!$D$103+VLOOKUP(VLOOKUP(BC$1,main!$A$3:$I$102,7,FALSE),main!$K$26:$Q$29,3,FALSE),1,0)</f>
        <v>0</v>
      </c>
      <c r="BD87">
        <f>IF(VLOOKUP(BD$1,main!$A$3:$H$102,5,FALSE)-VLOOKUP($A87,main!$A$3:$H$102,6,FALSE)&gt;=main!$D$103+VLOOKUP(VLOOKUP(BD$1,main!$A$3:$I$102,7,FALSE),main!$K$26:$Q$29,3,FALSE),1,0)</f>
        <v>0</v>
      </c>
      <c r="BE87">
        <f>IF(VLOOKUP(BE$1,main!$A$3:$H$102,5,FALSE)-VLOOKUP($A87,main!$A$3:$H$102,6,FALSE)&gt;=main!$D$103+VLOOKUP(VLOOKUP(BE$1,main!$A$3:$I$102,7,FALSE),main!$K$26:$Q$29,3,FALSE),1,0)</f>
        <v>0</v>
      </c>
      <c r="BF87">
        <f>IF(VLOOKUP(BF$1,main!$A$3:$H$102,5,FALSE)-VLOOKUP($A87,main!$A$3:$H$102,6,FALSE)&gt;=main!$D$103+VLOOKUP(VLOOKUP(BF$1,main!$A$3:$I$102,7,FALSE),main!$K$26:$Q$29,3,FALSE),1,0)</f>
        <v>0</v>
      </c>
      <c r="BG87">
        <f>IF(VLOOKUP(BG$1,main!$A$3:$H$102,5,FALSE)-VLOOKUP($A87,main!$A$3:$H$102,6,FALSE)&gt;=main!$D$103+VLOOKUP(VLOOKUP(BG$1,main!$A$3:$I$102,7,FALSE),main!$K$26:$Q$29,3,FALSE),1,0)</f>
        <v>0</v>
      </c>
      <c r="BH87">
        <f>IF(VLOOKUP(BH$1,main!$A$3:$H$102,5,FALSE)-VLOOKUP($A87,main!$A$3:$H$102,6,FALSE)&gt;=main!$D$103+VLOOKUP(VLOOKUP(BH$1,main!$A$3:$I$102,7,FALSE),main!$K$26:$Q$29,3,FALSE),1,0)</f>
        <v>0</v>
      </c>
      <c r="BI87">
        <f>IF(VLOOKUP(BI$1,main!$A$3:$H$102,5,FALSE)-VLOOKUP($A87,main!$A$3:$H$102,6,FALSE)&gt;=main!$D$103+VLOOKUP(VLOOKUP(BI$1,main!$A$3:$I$102,7,FALSE),main!$K$26:$Q$29,3,FALSE),1,0)</f>
        <v>0</v>
      </c>
      <c r="BJ87">
        <f>IF(VLOOKUP(BJ$1,main!$A$3:$H$102,5,FALSE)-VLOOKUP($A87,main!$A$3:$H$102,6,FALSE)&gt;=main!$D$103+VLOOKUP(VLOOKUP(BJ$1,main!$A$3:$I$102,7,FALSE),main!$K$26:$Q$29,3,FALSE),1,0)</f>
        <v>0</v>
      </c>
      <c r="BK87">
        <f>IF(VLOOKUP(BK$1,main!$A$3:$H$102,5,FALSE)-VLOOKUP($A87,main!$A$3:$H$102,6,FALSE)&gt;=main!$D$103+VLOOKUP(VLOOKUP(BK$1,main!$A$3:$I$102,7,FALSE),main!$K$26:$Q$29,3,FALSE),1,0)</f>
        <v>0</v>
      </c>
      <c r="BL87">
        <f>IF(VLOOKUP(BL$1,main!$A$3:$H$102,5,FALSE)-VLOOKUP($A87,main!$A$3:$H$102,6,FALSE)&gt;=main!$D$103+VLOOKUP(VLOOKUP(BL$1,main!$A$3:$I$102,7,FALSE),main!$K$26:$Q$29,3,FALSE),1,0)</f>
        <v>0</v>
      </c>
      <c r="BM87">
        <f>IF(VLOOKUP(BM$1,main!$A$3:$H$102,5,FALSE)-VLOOKUP($A87,main!$A$3:$H$102,6,FALSE)&gt;=main!$D$103+VLOOKUP(VLOOKUP(BM$1,main!$A$3:$I$102,7,FALSE),main!$K$26:$Q$29,3,FALSE),1,0)</f>
        <v>0</v>
      </c>
      <c r="BN87">
        <f>IF(VLOOKUP(BN$1,main!$A$3:$H$102,5,FALSE)-VLOOKUP($A87,main!$A$3:$H$102,6,FALSE)&gt;=main!$D$103+VLOOKUP(VLOOKUP(BN$1,main!$A$3:$I$102,7,FALSE),main!$K$26:$Q$29,3,FALSE),1,0)</f>
        <v>0</v>
      </c>
      <c r="BO87">
        <f>IF(VLOOKUP(BO$1,main!$A$3:$H$102,5,FALSE)-VLOOKUP($A87,main!$A$3:$H$102,6,FALSE)&gt;=main!$D$103+VLOOKUP(VLOOKUP(BO$1,main!$A$3:$I$102,7,FALSE),main!$K$26:$Q$29,3,FALSE),1,0)</f>
        <v>0</v>
      </c>
      <c r="BP87">
        <f>IF(VLOOKUP(BP$1,main!$A$3:$H$102,5,FALSE)-VLOOKUP($A87,main!$A$3:$H$102,6,FALSE)&gt;=main!$D$103+VLOOKUP(VLOOKUP(BP$1,main!$A$3:$I$102,7,FALSE),main!$K$26:$Q$29,3,FALSE),1,0)</f>
        <v>0</v>
      </c>
      <c r="BQ87">
        <f>IF(VLOOKUP(BQ$1,main!$A$3:$H$102,5,FALSE)-VLOOKUP($A87,main!$A$3:$H$102,6,FALSE)&gt;=main!$D$103+VLOOKUP(VLOOKUP(BQ$1,main!$A$3:$I$102,7,FALSE),main!$K$26:$Q$29,3,FALSE),1,0)</f>
        <v>0</v>
      </c>
      <c r="BR87">
        <f>IF(VLOOKUP(BR$1,main!$A$3:$H$102,5,FALSE)-VLOOKUP($A87,main!$A$3:$H$102,6,FALSE)&gt;=main!$D$103+VLOOKUP(VLOOKUP(BR$1,main!$A$3:$I$102,7,FALSE),main!$K$26:$Q$29,3,FALSE),1,0)</f>
        <v>0</v>
      </c>
      <c r="BS87">
        <f>IF(VLOOKUP(BS$1,main!$A$3:$H$102,5,FALSE)-VLOOKUP($A87,main!$A$3:$H$102,6,FALSE)&gt;=main!$D$103+VLOOKUP(VLOOKUP(BS$1,main!$A$3:$I$102,7,FALSE),main!$K$26:$Q$29,3,FALSE),1,0)</f>
        <v>0</v>
      </c>
      <c r="BT87">
        <f>IF(VLOOKUP(BT$1,main!$A$3:$H$102,5,FALSE)-VLOOKUP($A87,main!$A$3:$H$102,6,FALSE)&gt;=main!$D$103+VLOOKUP(VLOOKUP(BT$1,main!$A$3:$I$102,7,FALSE),main!$K$26:$Q$29,3,FALSE),1,0)</f>
        <v>0</v>
      </c>
      <c r="BU87">
        <f>IF(VLOOKUP(BU$1,main!$A$3:$H$102,5,FALSE)-VLOOKUP($A87,main!$A$3:$H$102,6,FALSE)&gt;=main!$D$103+VLOOKUP(VLOOKUP(BU$1,main!$A$3:$I$102,7,FALSE),main!$K$26:$Q$29,3,FALSE),1,0)</f>
        <v>0</v>
      </c>
      <c r="BV87">
        <f>IF(VLOOKUP(BV$1,main!$A$3:$H$102,5,FALSE)-VLOOKUP($A87,main!$A$3:$H$102,6,FALSE)&gt;=main!$D$103+VLOOKUP(VLOOKUP(BV$1,main!$A$3:$I$102,7,FALSE),main!$K$26:$Q$29,3,FALSE),1,0)</f>
        <v>0</v>
      </c>
      <c r="BW87">
        <f>IF(VLOOKUP(BW$1,main!$A$3:$H$102,5,FALSE)-VLOOKUP($A87,main!$A$3:$H$102,6,FALSE)&gt;=main!$D$103+VLOOKUP(VLOOKUP(BW$1,main!$A$3:$I$102,7,FALSE),main!$K$26:$Q$29,3,FALSE),1,0)</f>
        <v>0</v>
      </c>
      <c r="BX87">
        <f>IF(VLOOKUP(BX$1,main!$A$3:$H$102,5,FALSE)-VLOOKUP($A87,main!$A$3:$H$102,6,FALSE)&gt;=main!$D$103+VLOOKUP(VLOOKUP(BX$1,main!$A$3:$I$102,7,FALSE),main!$K$26:$Q$29,3,FALSE),1,0)</f>
        <v>0</v>
      </c>
      <c r="BY87">
        <f>IF(VLOOKUP(BY$1,main!$A$3:$H$102,5,FALSE)-VLOOKUP($A87,main!$A$3:$H$102,6,FALSE)&gt;=main!$D$103+VLOOKUP(VLOOKUP(BY$1,main!$A$3:$I$102,7,FALSE),main!$K$26:$Q$29,3,FALSE),1,0)</f>
        <v>0</v>
      </c>
      <c r="BZ87">
        <f>IF(VLOOKUP(BZ$1,main!$A$3:$H$102,5,FALSE)-VLOOKUP($A87,main!$A$3:$H$102,6,FALSE)&gt;=main!$D$103+VLOOKUP(VLOOKUP(BZ$1,main!$A$3:$I$102,7,FALSE),main!$K$26:$Q$29,3,FALSE),1,0)</f>
        <v>0</v>
      </c>
      <c r="CA87">
        <f>IF(VLOOKUP(CA$1,main!$A$3:$H$102,5,FALSE)-VLOOKUP($A87,main!$A$3:$H$102,6,FALSE)&gt;=main!$D$103+VLOOKUP(VLOOKUP(CA$1,main!$A$3:$I$102,7,FALSE),main!$K$26:$Q$29,3,FALSE),1,0)</f>
        <v>0</v>
      </c>
      <c r="CB87">
        <f>IF(VLOOKUP(CB$1,main!$A$3:$H$102,5,FALSE)-VLOOKUP($A87,main!$A$3:$H$102,6,FALSE)&gt;=main!$D$103+VLOOKUP(VLOOKUP(CB$1,main!$A$3:$I$102,7,FALSE),main!$K$26:$Q$29,3,FALSE),1,0)</f>
        <v>0</v>
      </c>
      <c r="CC87">
        <f>IF(VLOOKUP(CC$1,main!$A$3:$H$102,5,FALSE)-VLOOKUP($A87,main!$A$3:$H$102,6,FALSE)&gt;=main!$D$103+VLOOKUP(VLOOKUP(CC$1,main!$A$3:$I$102,7,FALSE),main!$K$26:$Q$29,3,FALSE),1,0)</f>
        <v>0</v>
      </c>
      <c r="CD87">
        <f>IF(VLOOKUP(CD$1,main!$A$3:$H$102,5,FALSE)-VLOOKUP($A87,main!$A$3:$H$102,6,FALSE)&gt;=main!$D$103+VLOOKUP(VLOOKUP(CD$1,main!$A$3:$I$102,7,FALSE),main!$K$26:$Q$29,3,FALSE),1,0)</f>
        <v>0</v>
      </c>
      <c r="CE87">
        <f>IF(VLOOKUP(CE$1,main!$A$3:$H$102,5,FALSE)-VLOOKUP($A87,main!$A$3:$H$102,6,FALSE)&gt;=main!$D$103+VLOOKUP(VLOOKUP(CE$1,main!$A$3:$I$102,7,FALSE),main!$K$26:$Q$29,3,FALSE),1,0)</f>
        <v>0</v>
      </c>
      <c r="CF87">
        <f>IF(VLOOKUP(CF$1,main!$A$3:$H$102,5,FALSE)-VLOOKUP($A87,main!$A$3:$H$102,6,FALSE)&gt;=main!$D$103+VLOOKUP(VLOOKUP(CF$1,main!$A$3:$I$102,7,FALSE),main!$K$26:$Q$29,3,FALSE),1,0)</f>
        <v>0</v>
      </c>
      <c r="CG87">
        <f>IF(VLOOKUP(CG$1,main!$A$3:$H$102,5,FALSE)-VLOOKUP($A87,main!$A$3:$H$102,6,FALSE)&gt;=main!$D$103+VLOOKUP(VLOOKUP(CG$1,main!$A$3:$I$102,7,FALSE),main!$K$26:$Q$29,3,FALSE),1,0)</f>
        <v>0</v>
      </c>
      <c r="CH87">
        <f>IF(VLOOKUP(CH$1,main!$A$3:$H$102,5,FALSE)-VLOOKUP($A87,main!$A$3:$H$102,6,FALSE)&gt;=main!$D$103+VLOOKUP(VLOOKUP(CH$1,main!$A$3:$I$102,7,FALSE),main!$K$26:$Q$29,3,FALSE),1,0)</f>
        <v>0</v>
      </c>
      <c r="CI87">
        <f>IF(VLOOKUP(CI$1,main!$A$3:$H$102,5,FALSE)-VLOOKUP($A87,main!$A$3:$H$102,6,FALSE)&gt;=main!$D$103+VLOOKUP(VLOOKUP(CI$1,main!$A$3:$I$102,7,FALSE),main!$K$26:$Q$29,3,FALSE),1,0)</f>
        <v>0</v>
      </c>
      <c r="CJ87">
        <f>IF(VLOOKUP(CJ$1,main!$A$3:$H$102,5,FALSE)-VLOOKUP($A87,main!$A$3:$H$102,6,FALSE)&gt;=main!$D$103+VLOOKUP(VLOOKUP(CJ$1,main!$A$3:$I$102,7,FALSE),main!$K$26:$Q$29,3,FALSE),1,0)</f>
        <v>0</v>
      </c>
      <c r="CK87">
        <f>IF(VLOOKUP(CK$1,main!$A$3:$H$102,5,FALSE)-VLOOKUP($A87,main!$A$3:$H$102,6,FALSE)&gt;=main!$D$103+VLOOKUP(VLOOKUP(CK$1,main!$A$3:$I$102,7,FALSE),main!$K$26:$Q$29,3,FALSE),1,0)</f>
        <v>0</v>
      </c>
      <c r="CL87">
        <f>IF(VLOOKUP(CL$1,main!$A$3:$H$102,5,FALSE)-VLOOKUP($A87,main!$A$3:$H$102,6,FALSE)&gt;=main!$D$103+VLOOKUP(VLOOKUP(CL$1,main!$A$3:$I$102,7,FALSE),main!$K$26:$Q$29,3,FALSE),1,0)</f>
        <v>0</v>
      </c>
      <c r="CM87">
        <f>IF(VLOOKUP(CM$1,main!$A$3:$H$102,5,FALSE)-VLOOKUP($A87,main!$A$3:$H$102,6,FALSE)&gt;=main!$D$103+VLOOKUP(VLOOKUP(CM$1,main!$A$3:$I$102,7,FALSE),main!$K$26:$Q$29,3,FALSE),1,0)</f>
        <v>0</v>
      </c>
      <c r="CN87">
        <f>IF(VLOOKUP(CN$1,main!$A$3:$H$102,5,FALSE)-VLOOKUP($A87,main!$A$3:$H$102,6,FALSE)&gt;=main!$D$103+VLOOKUP(VLOOKUP(CN$1,main!$A$3:$I$102,7,FALSE),main!$K$26:$Q$29,3,FALSE),1,0)</f>
        <v>0</v>
      </c>
      <c r="CO87">
        <f>IF(VLOOKUP(CO$1,main!$A$3:$H$102,5,FALSE)-VLOOKUP($A87,main!$A$3:$H$102,6,FALSE)&gt;=main!$D$103+VLOOKUP(VLOOKUP(CO$1,main!$A$3:$I$102,7,FALSE),main!$K$26:$Q$29,3,FALSE),1,0)</f>
        <v>0</v>
      </c>
      <c r="CP87">
        <f>IF(VLOOKUP(CP$1,main!$A$3:$H$102,5,FALSE)-VLOOKUP($A87,main!$A$3:$H$102,6,FALSE)&gt;=main!$D$103+VLOOKUP(VLOOKUP(CP$1,main!$A$3:$I$102,7,FALSE),main!$K$26:$Q$29,3,FALSE),1,0)</f>
        <v>0</v>
      </c>
      <c r="CQ87">
        <f>IF(VLOOKUP(CQ$1,main!$A$3:$H$102,5,FALSE)-VLOOKUP($A87,main!$A$3:$H$102,6,FALSE)&gt;=main!$D$103+VLOOKUP(VLOOKUP(CQ$1,main!$A$3:$I$102,7,FALSE),main!$K$26:$Q$29,3,FALSE),1,0)</f>
        <v>0</v>
      </c>
      <c r="CR87">
        <f>IF(VLOOKUP(CR$1,main!$A$3:$H$102,5,FALSE)-VLOOKUP($A87,main!$A$3:$H$102,6,FALSE)&gt;=main!$D$103+VLOOKUP(VLOOKUP(CR$1,main!$A$3:$I$102,7,FALSE),main!$K$26:$Q$29,3,FALSE),1,0)</f>
        <v>0</v>
      </c>
      <c r="CS87">
        <f>IF(VLOOKUP(CS$1,main!$A$3:$H$102,5,FALSE)-VLOOKUP($A87,main!$A$3:$H$102,6,FALSE)&gt;=main!$D$103+VLOOKUP(VLOOKUP(CS$1,main!$A$3:$I$102,7,FALSE),main!$K$26:$Q$29,3,FALSE),1,0)</f>
        <v>0</v>
      </c>
      <c r="CT87">
        <f>IF(VLOOKUP(CT$1,main!$A$3:$H$102,5,FALSE)-VLOOKUP($A87,main!$A$3:$H$102,6,FALSE)&gt;=main!$D$103+VLOOKUP(VLOOKUP(CT$1,main!$A$3:$I$102,7,FALSE),main!$K$26:$Q$29,3,FALSE),1,0)</f>
        <v>0</v>
      </c>
      <c r="CU87">
        <f>IF(VLOOKUP(CU$1,main!$A$3:$H$102,5,FALSE)-VLOOKUP($A87,main!$A$3:$H$102,6,FALSE)&gt;=main!$D$103+VLOOKUP(VLOOKUP(CU$1,main!$A$3:$I$102,7,FALSE),main!$K$26:$Q$29,3,FALSE),1,0)</f>
        <v>0</v>
      </c>
      <c r="CV87">
        <f>IF(VLOOKUP(CV$1,main!$A$3:$H$102,5,FALSE)-VLOOKUP($A87,main!$A$3:$H$102,6,FALSE)&gt;=main!$D$103+VLOOKUP(VLOOKUP(CV$1,main!$A$3:$I$102,7,FALSE),main!$K$26:$Q$29,3,FALSE),1,0)</f>
        <v>0</v>
      </c>
      <c r="CW87">
        <f>IF(VLOOKUP(CW$1,main!$A$3:$H$102,5,FALSE)-VLOOKUP($A87,main!$A$3:$H$102,6,FALSE)&gt;=main!$D$103+VLOOKUP(VLOOKUP(CW$1,main!$A$3:$I$102,7,FALSE),main!$K$26:$Q$29,3,FALSE),1,0)</f>
        <v>0</v>
      </c>
      <c r="CX87">
        <f>IF(VLOOKUP(CX$1,main!$A$3:$H$102,5,FALSE)-VLOOKUP($A87,main!$A$3:$H$102,6,FALSE)&gt;=main!$D$103+VLOOKUP(VLOOKUP(CX$1,main!$A$3:$I$102,7,FALSE),main!$K$26:$Q$29,3,FALSE),1,0)</f>
        <v>0</v>
      </c>
    </row>
    <row r="88" spans="1:102" x14ac:dyDescent="0.25">
      <c r="A88" s="1">
        <v>86</v>
      </c>
      <c r="B88">
        <v>0</v>
      </c>
      <c r="C88">
        <f>IF(VLOOKUP(C$1,main!$A$3:$H$102,5,FALSE)-VLOOKUP($A88,main!$A$3:$H$102,6,FALSE)&gt;=main!$D$103+VLOOKUP(VLOOKUP(C$1,main!$A$3:$I$102,7,FALSE),main!$K$26:$Q$29,3,FALSE),1,0)</f>
        <v>0</v>
      </c>
      <c r="D88">
        <f>IF(VLOOKUP(D$1,main!$A$3:$H$102,5,FALSE)-VLOOKUP($A88,main!$A$3:$H$102,6,FALSE)&gt;=main!$D$103+VLOOKUP(VLOOKUP(D$1,main!$A$3:$I$102,7,FALSE),main!$K$26:$Q$29,3,FALSE),1,0)</f>
        <v>0</v>
      </c>
      <c r="E88">
        <f>IF(VLOOKUP(E$1,main!$A$3:$H$102,5,FALSE)-VLOOKUP($A88,main!$A$3:$H$102,6,FALSE)&gt;=main!$D$103+VLOOKUP(VLOOKUP(E$1,main!$A$3:$I$102,7,FALSE),main!$K$26:$Q$29,3,FALSE),1,0)</f>
        <v>0</v>
      </c>
      <c r="F88">
        <f>IF(VLOOKUP(F$1,main!$A$3:$H$102,5,FALSE)-VLOOKUP($A88,main!$A$3:$H$102,6,FALSE)&gt;=main!$D$103+VLOOKUP(VLOOKUP(F$1,main!$A$3:$I$102,7,FALSE),main!$K$26:$Q$29,3,FALSE),1,0)</f>
        <v>0</v>
      </c>
      <c r="G88">
        <f>IF(VLOOKUP(G$1,main!$A$3:$H$102,5,FALSE)-VLOOKUP($A88,main!$A$3:$H$102,6,FALSE)&gt;=main!$D$103+VLOOKUP(VLOOKUP(G$1,main!$A$3:$I$102,7,FALSE),main!$K$26:$Q$29,3,FALSE),1,0)</f>
        <v>0</v>
      </c>
      <c r="H88">
        <f>IF(VLOOKUP(H$1,main!$A$3:$H$102,5,FALSE)-VLOOKUP($A88,main!$A$3:$H$102,6,FALSE)&gt;=main!$D$103+VLOOKUP(VLOOKUP(H$1,main!$A$3:$I$102,7,FALSE),main!$K$26:$Q$29,3,FALSE),1,0)</f>
        <v>0</v>
      </c>
      <c r="I88">
        <f>IF(VLOOKUP(I$1,main!$A$3:$H$102,5,FALSE)-VLOOKUP($A88,main!$A$3:$H$102,6,FALSE)&gt;=main!$D$103+VLOOKUP(VLOOKUP(I$1,main!$A$3:$I$102,7,FALSE),main!$K$26:$Q$29,3,FALSE),1,0)</f>
        <v>1</v>
      </c>
      <c r="J88">
        <f>IF(VLOOKUP(J$1,main!$A$3:$H$102,5,FALSE)-VLOOKUP($A88,main!$A$3:$H$102,6,FALSE)&gt;=main!$D$103+VLOOKUP(VLOOKUP(J$1,main!$A$3:$I$102,7,FALSE),main!$K$26:$Q$29,3,FALSE),1,0)</f>
        <v>1</v>
      </c>
      <c r="K88">
        <f>IF(VLOOKUP(K$1,main!$A$3:$H$102,5,FALSE)-VLOOKUP($A88,main!$A$3:$H$102,6,FALSE)&gt;=main!$D$103+VLOOKUP(VLOOKUP(K$1,main!$A$3:$I$102,7,FALSE),main!$K$26:$Q$29,3,FALSE),1,0)</f>
        <v>1</v>
      </c>
      <c r="L88">
        <f>IF(VLOOKUP(L$1,main!$A$3:$H$102,5,FALSE)-VLOOKUP($A88,main!$A$3:$H$102,6,FALSE)&gt;=main!$D$103+VLOOKUP(VLOOKUP(L$1,main!$A$3:$I$102,7,FALSE),main!$K$26:$Q$29,3,FALSE),1,0)</f>
        <v>1</v>
      </c>
      <c r="M88">
        <f>IF(VLOOKUP(M$1,main!$A$3:$H$102,5,FALSE)-VLOOKUP($A88,main!$A$3:$H$102,6,FALSE)&gt;=main!$D$103+VLOOKUP(VLOOKUP(M$1,main!$A$3:$I$102,7,FALSE),main!$K$26:$Q$29,3,FALSE),1,0)</f>
        <v>0</v>
      </c>
      <c r="N88">
        <f>IF(VLOOKUP(N$1,main!$A$3:$H$102,5,FALSE)-VLOOKUP($A88,main!$A$3:$H$102,6,FALSE)&gt;=main!$D$103+VLOOKUP(VLOOKUP(N$1,main!$A$3:$I$102,7,FALSE),main!$K$26:$Q$29,3,FALSE),1,0)</f>
        <v>0</v>
      </c>
      <c r="O88">
        <f>IF(VLOOKUP(O$1,main!$A$3:$H$102,5,FALSE)-VLOOKUP($A88,main!$A$3:$H$102,6,FALSE)&gt;=main!$D$103+VLOOKUP(VLOOKUP(O$1,main!$A$3:$I$102,7,FALSE),main!$K$26:$Q$29,3,FALSE),1,0)</f>
        <v>0</v>
      </c>
      <c r="P88">
        <f>IF(VLOOKUP(P$1,main!$A$3:$H$102,5,FALSE)-VLOOKUP($A88,main!$A$3:$H$102,6,FALSE)&gt;=main!$D$103+VLOOKUP(VLOOKUP(P$1,main!$A$3:$I$102,7,FALSE),main!$K$26:$Q$29,3,FALSE),1,0)</f>
        <v>0</v>
      </c>
      <c r="Q88">
        <f>IF(VLOOKUP(Q$1,main!$A$3:$H$102,5,FALSE)-VLOOKUP($A88,main!$A$3:$H$102,6,FALSE)&gt;=main!$D$103+VLOOKUP(VLOOKUP(Q$1,main!$A$3:$I$102,7,FALSE),main!$K$26:$Q$29,3,FALSE),1,0)</f>
        <v>0</v>
      </c>
      <c r="R88">
        <f>IF(VLOOKUP(R$1,main!$A$3:$H$102,5,FALSE)-VLOOKUP($A88,main!$A$3:$H$102,6,FALSE)&gt;=main!$D$103+VLOOKUP(VLOOKUP(R$1,main!$A$3:$I$102,7,FALSE),main!$K$26:$Q$29,3,FALSE),1,0)</f>
        <v>0</v>
      </c>
      <c r="S88">
        <f>IF(VLOOKUP(S$1,main!$A$3:$H$102,5,FALSE)-VLOOKUP($A88,main!$A$3:$H$102,6,FALSE)&gt;=main!$D$103+VLOOKUP(VLOOKUP(S$1,main!$A$3:$I$102,7,FALSE),main!$K$26:$Q$29,3,FALSE),1,0)</f>
        <v>0</v>
      </c>
      <c r="T88">
        <f>IF(VLOOKUP(T$1,main!$A$3:$H$102,5,FALSE)-VLOOKUP($A88,main!$A$3:$H$102,6,FALSE)&gt;=main!$D$103+VLOOKUP(VLOOKUP(T$1,main!$A$3:$I$102,7,FALSE),main!$K$26:$Q$29,3,FALSE),1,0)</f>
        <v>1</v>
      </c>
      <c r="U88">
        <f>IF(VLOOKUP(U$1,main!$A$3:$H$102,5,FALSE)-VLOOKUP($A88,main!$A$3:$H$102,6,FALSE)&gt;=main!$D$103+VLOOKUP(VLOOKUP(U$1,main!$A$3:$I$102,7,FALSE),main!$K$26:$Q$29,3,FALSE),1,0)</f>
        <v>1</v>
      </c>
      <c r="V88">
        <f>IF(VLOOKUP(V$1,main!$A$3:$H$102,5,FALSE)-VLOOKUP($A88,main!$A$3:$H$102,6,FALSE)&gt;=main!$D$103+VLOOKUP(VLOOKUP(V$1,main!$A$3:$I$102,7,FALSE),main!$K$26:$Q$29,3,FALSE),1,0)</f>
        <v>1</v>
      </c>
      <c r="W88">
        <f>IF(VLOOKUP(W$1,main!$A$3:$H$102,5,FALSE)-VLOOKUP($A88,main!$A$3:$H$102,6,FALSE)&gt;=main!$D$103+VLOOKUP(VLOOKUP(W$1,main!$A$3:$I$102,7,FALSE),main!$K$26:$Q$29,3,FALSE),1,0)</f>
        <v>0</v>
      </c>
      <c r="X88">
        <f>IF(VLOOKUP(X$1,main!$A$3:$H$102,5,FALSE)-VLOOKUP($A88,main!$A$3:$H$102,6,FALSE)&gt;=main!$D$103+VLOOKUP(VLOOKUP(X$1,main!$A$3:$I$102,7,FALSE),main!$K$26:$Q$29,3,FALSE),1,0)</f>
        <v>0</v>
      </c>
      <c r="Y88">
        <f>IF(VLOOKUP(Y$1,main!$A$3:$H$102,5,FALSE)-VLOOKUP($A88,main!$A$3:$H$102,6,FALSE)&gt;=main!$D$103+VLOOKUP(VLOOKUP(Y$1,main!$A$3:$I$102,7,FALSE),main!$K$26:$Q$29,3,FALSE),1,0)</f>
        <v>0</v>
      </c>
      <c r="Z88">
        <f>IF(VLOOKUP(Z$1,main!$A$3:$H$102,5,FALSE)-VLOOKUP($A88,main!$A$3:$H$102,6,FALSE)&gt;=main!$D$103+VLOOKUP(VLOOKUP(Z$1,main!$A$3:$I$102,7,FALSE),main!$K$26:$Q$29,3,FALSE),1,0)</f>
        <v>1</v>
      </c>
      <c r="AA88">
        <f>IF(VLOOKUP(AA$1,main!$A$3:$H$102,5,FALSE)-VLOOKUP($A88,main!$A$3:$H$102,6,FALSE)&gt;=main!$D$103+VLOOKUP(VLOOKUP(AA$1,main!$A$3:$I$102,7,FALSE),main!$K$26:$Q$29,3,FALSE),1,0)</f>
        <v>1</v>
      </c>
      <c r="AB88">
        <f>IF(VLOOKUP(AB$1,main!$A$3:$H$102,5,FALSE)-VLOOKUP($A88,main!$A$3:$H$102,6,FALSE)&gt;=main!$D$103+VLOOKUP(VLOOKUP(AB$1,main!$A$3:$I$102,7,FALSE),main!$K$26:$Q$29,3,FALSE),1,0)</f>
        <v>0</v>
      </c>
      <c r="AC88">
        <f>IF(VLOOKUP(AC$1,main!$A$3:$H$102,5,FALSE)-VLOOKUP($A88,main!$A$3:$H$102,6,FALSE)&gt;=main!$D$103+VLOOKUP(VLOOKUP(AC$1,main!$A$3:$I$102,7,FALSE),main!$K$26:$Q$29,3,FALSE),1,0)</f>
        <v>0</v>
      </c>
      <c r="AD88">
        <f>IF(VLOOKUP(AD$1,main!$A$3:$H$102,5,FALSE)-VLOOKUP($A88,main!$A$3:$H$102,6,FALSE)&gt;=main!$D$103+VLOOKUP(VLOOKUP(AD$1,main!$A$3:$I$102,7,FALSE),main!$K$26:$Q$29,3,FALSE),1,0)</f>
        <v>0</v>
      </c>
      <c r="AE88">
        <f>IF(VLOOKUP(AE$1,main!$A$3:$H$102,5,FALSE)-VLOOKUP($A88,main!$A$3:$H$102,6,FALSE)&gt;=main!$D$103+VLOOKUP(VLOOKUP(AE$1,main!$A$3:$I$102,7,FALSE),main!$K$26:$Q$29,3,FALSE),1,0)</f>
        <v>0</v>
      </c>
      <c r="AF88">
        <f>IF(VLOOKUP(AF$1,main!$A$3:$H$102,5,FALSE)-VLOOKUP($A88,main!$A$3:$H$102,6,FALSE)&gt;=main!$D$103+VLOOKUP(VLOOKUP(AF$1,main!$A$3:$I$102,7,FALSE),main!$K$26:$Q$29,3,FALSE),1,0)</f>
        <v>1</v>
      </c>
      <c r="AG88">
        <f>IF(VLOOKUP(AG$1,main!$A$3:$H$102,5,FALSE)-VLOOKUP($A88,main!$A$3:$H$102,6,FALSE)&gt;=main!$D$103+VLOOKUP(VLOOKUP(AG$1,main!$A$3:$I$102,7,FALSE),main!$K$26:$Q$29,3,FALSE),1,0)</f>
        <v>0</v>
      </c>
      <c r="AH88">
        <f>IF(VLOOKUP(AH$1,main!$A$3:$H$102,5,FALSE)-VLOOKUP($A88,main!$A$3:$H$102,6,FALSE)&gt;=main!$D$103+VLOOKUP(VLOOKUP(AH$1,main!$A$3:$I$102,7,FALSE),main!$K$26:$Q$29,3,FALSE),1,0)</f>
        <v>0</v>
      </c>
      <c r="AI88">
        <f>IF(VLOOKUP(AI$1,main!$A$3:$H$102,5,FALSE)-VLOOKUP($A88,main!$A$3:$H$102,6,FALSE)&gt;=main!$D$103+VLOOKUP(VLOOKUP(AI$1,main!$A$3:$I$102,7,FALSE),main!$K$26:$Q$29,3,FALSE),1,0)</f>
        <v>0</v>
      </c>
      <c r="AJ88">
        <f>IF(VLOOKUP(AJ$1,main!$A$3:$H$102,5,FALSE)-VLOOKUP($A88,main!$A$3:$H$102,6,FALSE)&gt;=main!$D$103+VLOOKUP(VLOOKUP(AJ$1,main!$A$3:$I$102,7,FALSE),main!$K$26:$Q$29,3,FALSE),1,0)</f>
        <v>0</v>
      </c>
      <c r="AK88">
        <f>IF(VLOOKUP(AK$1,main!$A$3:$H$102,5,FALSE)-VLOOKUP($A88,main!$A$3:$H$102,6,FALSE)&gt;=main!$D$103+VLOOKUP(VLOOKUP(AK$1,main!$A$3:$I$102,7,FALSE),main!$K$26:$Q$29,3,FALSE),1,0)</f>
        <v>0</v>
      </c>
      <c r="AL88">
        <f>IF(VLOOKUP(AL$1,main!$A$3:$H$102,5,FALSE)-VLOOKUP($A88,main!$A$3:$H$102,6,FALSE)&gt;=main!$D$103+VLOOKUP(VLOOKUP(AL$1,main!$A$3:$I$102,7,FALSE),main!$K$26:$Q$29,3,FALSE),1,0)</f>
        <v>1</v>
      </c>
      <c r="AM88">
        <f>IF(VLOOKUP(AM$1,main!$A$3:$H$102,5,FALSE)-VLOOKUP($A88,main!$A$3:$H$102,6,FALSE)&gt;=main!$D$103+VLOOKUP(VLOOKUP(AM$1,main!$A$3:$I$102,7,FALSE),main!$K$26:$Q$29,3,FALSE),1,0)</f>
        <v>1</v>
      </c>
      <c r="AN88">
        <f>IF(VLOOKUP(AN$1,main!$A$3:$H$102,5,FALSE)-VLOOKUP($A88,main!$A$3:$H$102,6,FALSE)&gt;=main!$D$103+VLOOKUP(VLOOKUP(AN$1,main!$A$3:$I$102,7,FALSE),main!$K$26:$Q$29,3,FALSE),1,0)</f>
        <v>1</v>
      </c>
      <c r="AO88">
        <f>IF(VLOOKUP(AO$1,main!$A$3:$H$102,5,FALSE)-VLOOKUP($A88,main!$A$3:$H$102,6,FALSE)&gt;=main!$D$103+VLOOKUP(VLOOKUP(AO$1,main!$A$3:$I$102,7,FALSE),main!$K$26:$Q$29,3,FALSE),1,0)</f>
        <v>0</v>
      </c>
      <c r="AP88">
        <f>IF(VLOOKUP(AP$1,main!$A$3:$H$102,5,FALSE)-VLOOKUP($A88,main!$A$3:$H$102,6,FALSE)&gt;=main!$D$103+VLOOKUP(VLOOKUP(AP$1,main!$A$3:$I$102,7,FALSE),main!$K$26:$Q$29,3,FALSE),1,0)</f>
        <v>1</v>
      </c>
      <c r="AQ88">
        <f>IF(VLOOKUP(AQ$1,main!$A$3:$H$102,5,FALSE)-VLOOKUP($A88,main!$A$3:$H$102,6,FALSE)&gt;=main!$D$103+VLOOKUP(VLOOKUP(AQ$1,main!$A$3:$I$102,7,FALSE),main!$K$26:$Q$29,3,FALSE),1,0)</f>
        <v>0</v>
      </c>
      <c r="AR88">
        <f>IF(VLOOKUP(AR$1,main!$A$3:$H$102,5,FALSE)-VLOOKUP($A88,main!$A$3:$H$102,6,FALSE)&gt;=main!$D$103+VLOOKUP(VLOOKUP(AR$1,main!$A$3:$I$102,7,FALSE),main!$K$26:$Q$29,3,FALSE),1,0)</f>
        <v>0</v>
      </c>
      <c r="AS88">
        <f>IF(VLOOKUP(AS$1,main!$A$3:$H$102,5,FALSE)-VLOOKUP($A88,main!$A$3:$H$102,6,FALSE)&gt;=main!$D$103+VLOOKUP(VLOOKUP(AS$1,main!$A$3:$I$102,7,FALSE),main!$K$26:$Q$29,3,FALSE),1,0)</f>
        <v>0</v>
      </c>
      <c r="AT88">
        <f>IF(VLOOKUP(AT$1,main!$A$3:$H$102,5,FALSE)-VLOOKUP($A88,main!$A$3:$H$102,6,FALSE)&gt;=main!$D$103+VLOOKUP(VLOOKUP(AT$1,main!$A$3:$I$102,7,FALSE),main!$K$26:$Q$29,3,FALSE),1,0)</f>
        <v>1</v>
      </c>
      <c r="AU88">
        <f>IF(VLOOKUP(AU$1,main!$A$3:$H$102,5,FALSE)-VLOOKUP($A88,main!$A$3:$H$102,6,FALSE)&gt;=main!$D$103+VLOOKUP(VLOOKUP(AU$1,main!$A$3:$I$102,7,FALSE),main!$K$26:$Q$29,3,FALSE),1,0)</f>
        <v>0</v>
      </c>
      <c r="AV88">
        <f>IF(VLOOKUP(AV$1,main!$A$3:$H$102,5,FALSE)-VLOOKUP($A88,main!$A$3:$H$102,6,FALSE)&gt;=main!$D$103+VLOOKUP(VLOOKUP(AV$1,main!$A$3:$I$102,7,FALSE),main!$K$26:$Q$29,3,FALSE),1,0)</f>
        <v>0</v>
      </c>
      <c r="AW88">
        <f>IF(VLOOKUP(AW$1,main!$A$3:$H$102,5,FALSE)-VLOOKUP($A88,main!$A$3:$H$102,6,FALSE)&gt;=main!$D$103+VLOOKUP(VLOOKUP(AW$1,main!$A$3:$I$102,7,FALSE),main!$K$26:$Q$29,3,FALSE),1,0)</f>
        <v>0</v>
      </c>
      <c r="AX88">
        <f>IF(VLOOKUP(AX$1,main!$A$3:$H$102,5,FALSE)-VLOOKUP($A88,main!$A$3:$H$102,6,FALSE)&gt;=main!$D$103+VLOOKUP(VLOOKUP(AX$1,main!$A$3:$I$102,7,FALSE),main!$K$26:$Q$29,3,FALSE),1,0)</f>
        <v>0</v>
      </c>
      <c r="AY88">
        <f>IF(VLOOKUP(AY$1,main!$A$3:$H$102,5,FALSE)-VLOOKUP($A88,main!$A$3:$H$102,6,FALSE)&gt;=main!$D$103+VLOOKUP(VLOOKUP(AY$1,main!$A$3:$I$102,7,FALSE),main!$K$26:$Q$29,3,FALSE),1,0)</f>
        <v>0</v>
      </c>
      <c r="AZ88">
        <f>IF(VLOOKUP(AZ$1,main!$A$3:$H$102,5,FALSE)-VLOOKUP($A88,main!$A$3:$H$102,6,FALSE)&gt;=main!$D$103+VLOOKUP(VLOOKUP(AZ$1,main!$A$3:$I$102,7,FALSE),main!$K$26:$Q$29,3,FALSE),1,0)</f>
        <v>0</v>
      </c>
      <c r="BA88">
        <f>IF(VLOOKUP(BA$1,main!$A$3:$H$102,5,FALSE)-VLOOKUP($A88,main!$A$3:$H$102,6,FALSE)&gt;=main!$D$103+VLOOKUP(VLOOKUP(BA$1,main!$A$3:$I$102,7,FALSE),main!$K$26:$Q$29,3,FALSE),1,0)</f>
        <v>0</v>
      </c>
      <c r="BB88">
        <f>IF(VLOOKUP(BB$1,main!$A$3:$H$102,5,FALSE)-VLOOKUP($A88,main!$A$3:$H$102,6,FALSE)&gt;=main!$D$103+VLOOKUP(VLOOKUP(BB$1,main!$A$3:$I$102,7,FALSE),main!$K$26:$Q$29,3,FALSE),1,0)</f>
        <v>0</v>
      </c>
      <c r="BC88">
        <f>IF(VLOOKUP(BC$1,main!$A$3:$H$102,5,FALSE)-VLOOKUP($A88,main!$A$3:$H$102,6,FALSE)&gt;=main!$D$103+VLOOKUP(VLOOKUP(BC$1,main!$A$3:$I$102,7,FALSE),main!$K$26:$Q$29,3,FALSE),1,0)</f>
        <v>0</v>
      </c>
      <c r="BD88">
        <f>IF(VLOOKUP(BD$1,main!$A$3:$H$102,5,FALSE)-VLOOKUP($A88,main!$A$3:$H$102,6,FALSE)&gt;=main!$D$103+VLOOKUP(VLOOKUP(BD$1,main!$A$3:$I$102,7,FALSE),main!$K$26:$Q$29,3,FALSE),1,0)</f>
        <v>0</v>
      </c>
      <c r="BE88">
        <f>IF(VLOOKUP(BE$1,main!$A$3:$H$102,5,FALSE)-VLOOKUP($A88,main!$A$3:$H$102,6,FALSE)&gt;=main!$D$103+VLOOKUP(VLOOKUP(BE$1,main!$A$3:$I$102,7,FALSE),main!$K$26:$Q$29,3,FALSE),1,0)</f>
        <v>1</v>
      </c>
      <c r="BF88">
        <f>IF(VLOOKUP(BF$1,main!$A$3:$H$102,5,FALSE)-VLOOKUP($A88,main!$A$3:$H$102,6,FALSE)&gt;=main!$D$103+VLOOKUP(VLOOKUP(BF$1,main!$A$3:$I$102,7,FALSE),main!$K$26:$Q$29,3,FALSE),1,0)</f>
        <v>0</v>
      </c>
      <c r="BG88">
        <f>IF(VLOOKUP(BG$1,main!$A$3:$H$102,5,FALSE)-VLOOKUP($A88,main!$A$3:$H$102,6,FALSE)&gt;=main!$D$103+VLOOKUP(VLOOKUP(BG$1,main!$A$3:$I$102,7,FALSE),main!$K$26:$Q$29,3,FALSE),1,0)</f>
        <v>0</v>
      </c>
      <c r="BH88">
        <f>IF(VLOOKUP(BH$1,main!$A$3:$H$102,5,FALSE)-VLOOKUP($A88,main!$A$3:$H$102,6,FALSE)&gt;=main!$D$103+VLOOKUP(VLOOKUP(BH$1,main!$A$3:$I$102,7,FALSE),main!$K$26:$Q$29,3,FALSE),1,0)</f>
        <v>0</v>
      </c>
      <c r="BI88">
        <f>IF(VLOOKUP(BI$1,main!$A$3:$H$102,5,FALSE)-VLOOKUP($A88,main!$A$3:$H$102,6,FALSE)&gt;=main!$D$103+VLOOKUP(VLOOKUP(BI$1,main!$A$3:$I$102,7,FALSE),main!$K$26:$Q$29,3,FALSE),1,0)</f>
        <v>1</v>
      </c>
      <c r="BJ88">
        <f>IF(VLOOKUP(BJ$1,main!$A$3:$H$102,5,FALSE)-VLOOKUP($A88,main!$A$3:$H$102,6,FALSE)&gt;=main!$D$103+VLOOKUP(VLOOKUP(BJ$1,main!$A$3:$I$102,7,FALSE),main!$K$26:$Q$29,3,FALSE),1,0)</f>
        <v>1</v>
      </c>
      <c r="BK88">
        <f>IF(VLOOKUP(BK$1,main!$A$3:$H$102,5,FALSE)-VLOOKUP($A88,main!$A$3:$H$102,6,FALSE)&gt;=main!$D$103+VLOOKUP(VLOOKUP(BK$1,main!$A$3:$I$102,7,FALSE),main!$K$26:$Q$29,3,FALSE),1,0)</f>
        <v>0</v>
      </c>
      <c r="BL88">
        <f>IF(VLOOKUP(BL$1,main!$A$3:$H$102,5,FALSE)-VLOOKUP($A88,main!$A$3:$H$102,6,FALSE)&gt;=main!$D$103+VLOOKUP(VLOOKUP(BL$1,main!$A$3:$I$102,7,FALSE),main!$K$26:$Q$29,3,FALSE),1,0)</f>
        <v>0</v>
      </c>
      <c r="BM88">
        <f>IF(VLOOKUP(BM$1,main!$A$3:$H$102,5,FALSE)-VLOOKUP($A88,main!$A$3:$H$102,6,FALSE)&gt;=main!$D$103+VLOOKUP(VLOOKUP(BM$1,main!$A$3:$I$102,7,FALSE),main!$K$26:$Q$29,3,FALSE),1,0)</f>
        <v>0</v>
      </c>
      <c r="BN88">
        <f>IF(VLOOKUP(BN$1,main!$A$3:$H$102,5,FALSE)-VLOOKUP($A88,main!$A$3:$H$102,6,FALSE)&gt;=main!$D$103+VLOOKUP(VLOOKUP(BN$1,main!$A$3:$I$102,7,FALSE),main!$K$26:$Q$29,3,FALSE),1,0)</f>
        <v>0</v>
      </c>
      <c r="BO88">
        <f>IF(VLOOKUP(BO$1,main!$A$3:$H$102,5,FALSE)-VLOOKUP($A88,main!$A$3:$H$102,6,FALSE)&gt;=main!$D$103+VLOOKUP(VLOOKUP(BO$1,main!$A$3:$I$102,7,FALSE),main!$K$26:$Q$29,3,FALSE),1,0)</f>
        <v>0</v>
      </c>
      <c r="BP88">
        <f>IF(VLOOKUP(BP$1,main!$A$3:$H$102,5,FALSE)-VLOOKUP($A88,main!$A$3:$H$102,6,FALSE)&gt;=main!$D$103+VLOOKUP(VLOOKUP(BP$1,main!$A$3:$I$102,7,FALSE),main!$K$26:$Q$29,3,FALSE),1,0)</f>
        <v>0</v>
      </c>
      <c r="BQ88">
        <f>IF(VLOOKUP(BQ$1,main!$A$3:$H$102,5,FALSE)-VLOOKUP($A88,main!$A$3:$H$102,6,FALSE)&gt;=main!$D$103+VLOOKUP(VLOOKUP(BQ$1,main!$A$3:$I$102,7,FALSE),main!$K$26:$Q$29,3,FALSE),1,0)</f>
        <v>0</v>
      </c>
      <c r="BR88">
        <f>IF(VLOOKUP(BR$1,main!$A$3:$H$102,5,FALSE)-VLOOKUP($A88,main!$A$3:$H$102,6,FALSE)&gt;=main!$D$103+VLOOKUP(VLOOKUP(BR$1,main!$A$3:$I$102,7,FALSE),main!$K$26:$Q$29,3,FALSE),1,0)</f>
        <v>0</v>
      </c>
      <c r="BS88">
        <f>IF(VLOOKUP(BS$1,main!$A$3:$H$102,5,FALSE)-VLOOKUP($A88,main!$A$3:$H$102,6,FALSE)&gt;=main!$D$103+VLOOKUP(VLOOKUP(BS$1,main!$A$3:$I$102,7,FALSE),main!$K$26:$Q$29,3,FALSE),1,0)</f>
        <v>0</v>
      </c>
      <c r="BT88">
        <f>IF(VLOOKUP(BT$1,main!$A$3:$H$102,5,FALSE)-VLOOKUP($A88,main!$A$3:$H$102,6,FALSE)&gt;=main!$D$103+VLOOKUP(VLOOKUP(BT$1,main!$A$3:$I$102,7,FALSE),main!$K$26:$Q$29,3,FALSE),1,0)</f>
        <v>0</v>
      </c>
      <c r="BU88">
        <f>IF(VLOOKUP(BU$1,main!$A$3:$H$102,5,FALSE)-VLOOKUP($A88,main!$A$3:$H$102,6,FALSE)&gt;=main!$D$103+VLOOKUP(VLOOKUP(BU$1,main!$A$3:$I$102,7,FALSE),main!$K$26:$Q$29,3,FALSE),1,0)</f>
        <v>0</v>
      </c>
      <c r="BV88">
        <f>IF(VLOOKUP(BV$1,main!$A$3:$H$102,5,FALSE)-VLOOKUP($A88,main!$A$3:$H$102,6,FALSE)&gt;=main!$D$103+VLOOKUP(VLOOKUP(BV$1,main!$A$3:$I$102,7,FALSE),main!$K$26:$Q$29,3,FALSE),1,0)</f>
        <v>0</v>
      </c>
      <c r="BW88">
        <f>IF(VLOOKUP(BW$1,main!$A$3:$H$102,5,FALSE)-VLOOKUP($A88,main!$A$3:$H$102,6,FALSE)&gt;=main!$D$103+VLOOKUP(VLOOKUP(BW$1,main!$A$3:$I$102,7,FALSE),main!$K$26:$Q$29,3,FALSE),1,0)</f>
        <v>0</v>
      </c>
      <c r="BX88">
        <f>IF(VLOOKUP(BX$1,main!$A$3:$H$102,5,FALSE)-VLOOKUP($A88,main!$A$3:$H$102,6,FALSE)&gt;=main!$D$103+VLOOKUP(VLOOKUP(BX$1,main!$A$3:$I$102,7,FALSE),main!$K$26:$Q$29,3,FALSE),1,0)</f>
        <v>0</v>
      </c>
      <c r="BY88">
        <f>IF(VLOOKUP(BY$1,main!$A$3:$H$102,5,FALSE)-VLOOKUP($A88,main!$A$3:$H$102,6,FALSE)&gt;=main!$D$103+VLOOKUP(VLOOKUP(BY$1,main!$A$3:$I$102,7,FALSE),main!$K$26:$Q$29,3,FALSE),1,0)</f>
        <v>0</v>
      </c>
      <c r="BZ88">
        <f>IF(VLOOKUP(BZ$1,main!$A$3:$H$102,5,FALSE)-VLOOKUP($A88,main!$A$3:$H$102,6,FALSE)&gt;=main!$D$103+VLOOKUP(VLOOKUP(BZ$1,main!$A$3:$I$102,7,FALSE),main!$K$26:$Q$29,3,FALSE),1,0)</f>
        <v>0</v>
      </c>
      <c r="CA88">
        <f>IF(VLOOKUP(CA$1,main!$A$3:$H$102,5,FALSE)-VLOOKUP($A88,main!$A$3:$H$102,6,FALSE)&gt;=main!$D$103+VLOOKUP(VLOOKUP(CA$1,main!$A$3:$I$102,7,FALSE),main!$K$26:$Q$29,3,FALSE),1,0)</f>
        <v>0</v>
      </c>
      <c r="CB88">
        <f>IF(VLOOKUP(CB$1,main!$A$3:$H$102,5,FALSE)-VLOOKUP($A88,main!$A$3:$H$102,6,FALSE)&gt;=main!$D$103+VLOOKUP(VLOOKUP(CB$1,main!$A$3:$I$102,7,FALSE),main!$K$26:$Q$29,3,FALSE),1,0)</f>
        <v>0</v>
      </c>
      <c r="CC88">
        <f>IF(VLOOKUP(CC$1,main!$A$3:$H$102,5,FALSE)-VLOOKUP($A88,main!$A$3:$H$102,6,FALSE)&gt;=main!$D$103+VLOOKUP(VLOOKUP(CC$1,main!$A$3:$I$102,7,FALSE),main!$K$26:$Q$29,3,FALSE),1,0)</f>
        <v>1</v>
      </c>
      <c r="CD88">
        <f>IF(VLOOKUP(CD$1,main!$A$3:$H$102,5,FALSE)-VLOOKUP($A88,main!$A$3:$H$102,6,FALSE)&gt;=main!$D$103+VLOOKUP(VLOOKUP(CD$1,main!$A$3:$I$102,7,FALSE),main!$K$26:$Q$29,3,FALSE),1,0)</f>
        <v>0</v>
      </c>
      <c r="CE88">
        <f>IF(VLOOKUP(CE$1,main!$A$3:$H$102,5,FALSE)-VLOOKUP($A88,main!$A$3:$H$102,6,FALSE)&gt;=main!$D$103+VLOOKUP(VLOOKUP(CE$1,main!$A$3:$I$102,7,FALSE),main!$K$26:$Q$29,3,FALSE),1,0)</f>
        <v>0</v>
      </c>
      <c r="CF88">
        <f>IF(VLOOKUP(CF$1,main!$A$3:$H$102,5,FALSE)-VLOOKUP($A88,main!$A$3:$H$102,6,FALSE)&gt;=main!$D$103+VLOOKUP(VLOOKUP(CF$1,main!$A$3:$I$102,7,FALSE),main!$K$26:$Q$29,3,FALSE),1,0)</f>
        <v>0</v>
      </c>
      <c r="CG88">
        <f>IF(VLOOKUP(CG$1,main!$A$3:$H$102,5,FALSE)-VLOOKUP($A88,main!$A$3:$H$102,6,FALSE)&gt;=main!$D$103+VLOOKUP(VLOOKUP(CG$1,main!$A$3:$I$102,7,FALSE),main!$K$26:$Q$29,3,FALSE),1,0)</f>
        <v>0</v>
      </c>
      <c r="CH88">
        <f>IF(VLOOKUP(CH$1,main!$A$3:$H$102,5,FALSE)-VLOOKUP($A88,main!$A$3:$H$102,6,FALSE)&gt;=main!$D$103+VLOOKUP(VLOOKUP(CH$1,main!$A$3:$I$102,7,FALSE),main!$K$26:$Q$29,3,FALSE),1,0)</f>
        <v>1</v>
      </c>
      <c r="CI88">
        <f>IF(VLOOKUP(CI$1,main!$A$3:$H$102,5,FALSE)-VLOOKUP($A88,main!$A$3:$H$102,6,FALSE)&gt;=main!$D$103+VLOOKUP(VLOOKUP(CI$1,main!$A$3:$I$102,7,FALSE),main!$K$26:$Q$29,3,FALSE),1,0)</f>
        <v>1</v>
      </c>
      <c r="CJ88">
        <f>IF(VLOOKUP(CJ$1,main!$A$3:$H$102,5,FALSE)-VLOOKUP($A88,main!$A$3:$H$102,6,FALSE)&gt;=main!$D$103+VLOOKUP(VLOOKUP(CJ$1,main!$A$3:$I$102,7,FALSE),main!$K$26:$Q$29,3,FALSE),1,0)</f>
        <v>0</v>
      </c>
      <c r="CK88">
        <f>IF(VLOOKUP(CK$1,main!$A$3:$H$102,5,FALSE)-VLOOKUP($A88,main!$A$3:$H$102,6,FALSE)&gt;=main!$D$103+VLOOKUP(VLOOKUP(CK$1,main!$A$3:$I$102,7,FALSE),main!$K$26:$Q$29,3,FALSE),1,0)</f>
        <v>0</v>
      </c>
      <c r="CL88">
        <f>IF(VLOOKUP(CL$1,main!$A$3:$H$102,5,FALSE)-VLOOKUP($A88,main!$A$3:$H$102,6,FALSE)&gt;=main!$D$103+VLOOKUP(VLOOKUP(CL$1,main!$A$3:$I$102,7,FALSE),main!$K$26:$Q$29,3,FALSE),1,0)</f>
        <v>0</v>
      </c>
      <c r="CM88">
        <f>IF(VLOOKUP(CM$1,main!$A$3:$H$102,5,FALSE)-VLOOKUP($A88,main!$A$3:$H$102,6,FALSE)&gt;=main!$D$103+VLOOKUP(VLOOKUP(CM$1,main!$A$3:$I$102,7,FALSE),main!$K$26:$Q$29,3,FALSE),1,0)</f>
        <v>1</v>
      </c>
      <c r="CN88">
        <f>IF(VLOOKUP(CN$1,main!$A$3:$H$102,5,FALSE)-VLOOKUP($A88,main!$A$3:$H$102,6,FALSE)&gt;=main!$D$103+VLOOKUP(VLOOKUP(CN$1,main!$A$3:$I$102,7,FALSE),main!$K$26:$Q$29,3,FALSE),1,0)</f>
        <v>1</v>
      </c>
      <c r="CO88">
        <f>IF(VLOOKUP(CO$1,main!$A$3:$H$102,5,FALSE)-VLOOKUP($A88,main!$A$3:$H$102,6,FALSE)&gt;=main!$D$103+VLOOKUP(VLOOKUP(CO$1,main!$A$3:$I$102,7,FALSE),main!$K$26:$Q$29,3,FALSE),1,0)</f>
        <v>0</v>
      </c>
      <c r="CP88">
        <f>IF(VLOOKUP(CP$1,main!$A$3:$H$102,5,FALSE)-VLOOKUP($A88,main!$A$3:$H$102,6,FALSE)&gt;=main!$D$103+VLOOKUP(VLOOKUP(CP$1,main!$A$3:$I$102,7,FALSE),main!$K$26:$Q$29,3,FALSE),1,0)</f>
        <v>0</v>
      </c>
      <c r="CQ88">
        <f>IF(VLOOKUP(CQ$1,main!$A$3:$H$102,5,FALSE)-VLOOKUP($A88,main!$A$3:$H$102,6,FALSE)&gt;=main!$D$103+VLOOKUP(VLOOKUP(CQ$1,main!$A$3:$I$102,7,FALSE),main!$K$26:$Q$29,3,FALSE),1,0)</f>
        <v>0</v>
      </c>
      <c r="CR88">
        <f>IF(VLOOKUP(CR$1,main!$A$3:$H$102,5,FALSE)-VLOOKUP($A88,main!$A$3:$H$102,6,FALSE)&gt;=main!$D$103+VLOOKUP(VLOOKUP(CR$1,main!$A$3:$I$102,7,FALSE),main!$K$26:$Q$29,3,FALSE),1,0)</f>
        <v>1</v>
      </c>
      <c r="CS88">
        <f>IF(VLOOKUP(CS$1,main!$A$3:$H$102,5,FALSE)-VLOOKUP($A88,main!$A$3:$H$102,6,FALSE)&gt;=main!$D$103+VLOOKUP(VLOOKUP(CS$1,main!$A$3:$I$102,7,FALSE),main!$K$26:$Q$29,3,FALSE),1,0)</f>
        <v>1</v>
      </c>
      <c r="CT88">
        <f>IF(VLOOKUP(CT$1,main!$A$3:$H$102,5,FALSE)-VLOOKUP($A88,main!$A$3:$H$102,6,FALSE)&gt;=main!$D$103+VLOOKUP(VLOOKUP(CT$1,main!$A$3:$I$102,7,FALSE),main!$K$26:$Q$29,3,FALSE),1,0)</f>
        <v>0</v>
      </c>
      <c r="CU88">
        <f>IF(VLOOKUP(CU$1,main!$A$3:$H$102,5,FALSE)-VLOOKUP($A88,main!$A$3:$H$102,6,FALSE)&gt;=main!$D$103+VLOOKUP(VLOOKUP(CU$1,main!$A$3:$I$102,7,FALSE),main!$K$26:$Q$29,3,FALSE),1,0)</f>
        <v>0</v>
      </c>
      <c r="CV88">
        <f>IF(VLOOKUP(CV$1,main!$A$3:$H$102,5,FALSE)-VLOOKUP($A88,main!$A$3:$H$102,6,FALSE)&gt;=main!$D$103+VLOOKUP(VLOOKUP(CV$1,main!$A$3:$I$102,7,FALSE),main!$K$26:$Q$29,3,FALSE),1,0)</f>
        <v>0</v>
      </c>
      <c r="CW88">
        <f>IF(VLOOKUP(CW$1,main!$A$3:$H$102,5,FALSE)-VLOOKUP($A88,main!$A$3:$H$102,6,FALSE)&gt;=main!$D$103+VLOOKUP(VLOOKUP(CW$1,main!$A$3:$I$102,7,FALSE),main!$K$26:$Q$29,3,FALSE),1,0)</f>
        <v>1</v>
      </c>
      <c r="CX88">
        <f>IF(VLOOKUP(CX$1,main!$A$3:$H$102,5,FALSE)-VLOOKUP($A88,main!$A$3:$H$102,6,FALSE)&gt;=main!$D$103+VLOOKUP(VLOOKUP(CX$1,main!$A$3:$I$102,7,FALSE),main!$K$26:$Q$29,3,FALSE),1,0)</f>
        <v>1</v>
      </c>
    </row>
    <row r="89" spans="1:102" x14ac:dyDescent="0.25">
      <c r="A89" s="1">
        <v>87</v>
      </c>
      <c r="B89">
        <v>0</v>
      </c>
      <c r="C89">
        <f>IF(VLOOKUP(C$1,main!$A$3:$H$102,5,FALSE)-VLOOKUP($A89,main!$A$3:$H$102,6,FALSE)&gt;=main!$D$103+VLOOKUP(VLOOKUP(C$1,main!$A$3:$I$102,7,FALSE),main!$K$26:$Q$29,3,FALSE),1,0)</f>
        <v>0</v>
      </c>
      <c r="D89">
        <f>IF(VLOOKUP(D$1,main!$A$3:$H$102,5,FALSE)-VLOOKUP($A89,main!$A$3:$H$102,6,FALSE)&gt;=main!$D$103+VLOOKUP(VLOOKUP(D$1,main!$A$3:$I$102,7,FALSE),main!$K$26:$Q$29,3,FALSE),1,0)</f>
        <v>0</v>
      </c>
      <c r="E89">
        <f>IF(VLOOKUP(E$1,main!$A$3:$H$102,5,FALSE)-VLOOKUP($A89,main!$A$3:$H$102,6,FALSE)&gt;=main!$D$103+VLOOKUP(VLOOKUP(E$1,main!$A$3:$I$102,7,FALSE),main!$K$26:$Q$29,3,FALSE),1,0)</f>
        <v>0</v>
      </c>
      <c r="F89">
        <f>IF(VLOOKUP(F$1,main!$A$3:$H$102,5,FALSE)-VLOOKUP($A89,main!$A$3:$H$102,6,FALSE)&gt;=main!$D$103+VLOOKUP(VLOOKUP(F$1,main!$A$3:$I$102,7,FALSE),main!$K$26:$Q$29,3,FALSE),1,0)</f>
        <v>0</v>
      </c>
      <c r="G89">
        <f>IF(VLOOKUP(G$1,main!$A$3:$H$102,5,FALSE)-VLOOKUP($A89,main!$A$3:$H$102,6,FALSE)&gt;=main!$D$103+VLOOKUP(VLOOKUP(G$1,main!$A$3:$I$102,7,FALSE),main!$K$26:$Q$29,3,FALSE),1,0)</f>
        <v>0</v>
      </c>
      <c r="H89">
        <f>IF(VLOOKUP(H$1,main!$A$3:$H$102,5,FALSE)-VLOOKUP($A89,main!$A$3:$H$102,6,FALSE)&gt;=main!$D$103+VLOOKUP(VLOOKUP(H$1,main!$A$3:$I$102,7,FALSE),main!$K$26:$Q$29,3,FALSE),1,0)</f>
        <v>1</v>
      </c>
      <c r="I89">
        <f>IF(VLOOKUP(I$1,main!$A$3:$H$102,5,FALSE)-VLOOKUP($A89,main!$A$3:$H$102,6,FALSE)&gt;=main!$D$103+VLOOKUP(VLOOKUP(I$1,main!$A$3:$I$102,7,FALSE),main!$K$26:$Q$29,3,FALSE),1,0)</f>
        <v>1</v>
      </c>
      <c r="J89">
        <f>IF(VLOOKUP(J$1,main!$A$3:$H$102,5,FALSE)-VLOOKUP($A89,main!$A$3:$H$102,6,FALSE)&gt;=main!$D$103+VLOOKUP(VLOOKUP(J$1,main!$A$3:$I$102,7,FALSE),main!$K$26:$Q$29,3,FALSE),1,0)</f>
        <v>1</v>
      </c>
      <c r="K89">
        <f>IF(VLOOKUP(K$1,main!$A$3:$H$102,5,FALSE)-VLOOKUP($A89,main!$A$3:$H$102,6,FALSE)&gt;=main!$D$103+VLOOKUP(VLOOKUP(K$1,main!$A$3:$I$102,7,FALSE),main!$K$26:$Q$29,3,FALSE),1,0)</f>
        <v>1</v>
      </c>
      <c r="L89">
        <f>IF(VLOOKUP(L$1,main!$A$3:$H$102,5,FALSE)-VLOOKUP($A89,main!$A$3:$H$102,6,FALSE)&gt;=main!$D$103+VLOOKUP(VLOOKUP(L$1,main!$A$3:$I$102,7,FALSE),main!$K$26:$Q$29,3,FALSE),1,0)</f>
        <v>1</v>
      </c>
      <c r="M89">
        <f>IF(VLOOKUP(M$1,main!$A$3:$H$102,5,FALSE)-VLOOKUP($A89,main!$A$3:$H$102,6,FALSE)&gt;=main!$D$103+VLOOKUP(VLOOKUP(M$1,main!$A$3:$I$102,7,FALSE),main!$K$26:$Q$29,3,FALSE),1,0)</f>
        <v>0</v>
      </c>
      <c r="N89">
        <f>IF(VLOOKUP(N$1,main!$A$3:$H$102,5,FALSE)-VLOOKUP($A89,main!$A$3:$H$102,6,FALSE)&gt;=main!$D$103+VLOOKUP(VLOOKUP(N$1,main!$A$3:$I$102,7,FALSE),main!$K$26:$Q$29,3,FALSE),1,0)</f>
        <v>0</v>
      </c>
      <c r="O89">
        <f>IF(VLOOKUP(O$1,main!$A$3:$H$102,5,FALSE)-VLOOKUP($A89,main!$A$3:$H$102,6,FALSE)&gt;=main!$D$103+VLOOKUP(VLOOKUP(O$1,main!$A$3:$I$102,7,FALSE),main!$K$26:$Q$29,3,FALSE),1,0)</f>
        <v>0</v>
      </c>
      <c r="P89">
        <f>IF(VLOOKUP(P$1,main!$A$3:$H$102,5,FALSE)-VLOOKUP($A89,main!$A$3:$H$102,6,FALSE)&gt;=main!$D$103+VLOOKUP(VLOOKUP(P$1,main!$A$3:$I$102,7,FALSE),main!$K$26:$Q$29,3,FALSE),1,0)</f>
        <v>0</v>
      </c>
      <c r="Q89">
        <f>IF(VLOOKUP(Q$1,main!$A$3:$H$102,5,FALSE)-VLOOKUP($A89,main!$A$3:$H$102,6,FALSE)&gt;=main!$D$103+VLOOKUP(VLOOKUP(Q$1,main!$A$3:$I$102,7,FALSE),main!$K$26:$Q$29,3,FALSE),1,0)</f>
        <v>0</v>
      </c>
      <c r="R89">
        <f>IF(VLOOKUP(R$1,main!$A$3:$H$102,5,FALSE)-VLOOKUP($A89,main!$A$3:$H$102,6,FALSE)&gt;=main!$D$103+VLOOKUP(VLOOKUP(R$1,main!$A$3:$I$102,7,FALSE),main!$K$26:$Q$29,3,FALSE),1,0)</f>
        <v>0</v>
      </c>
      <c r="S89">
        <f>IF(VLOOKUP(S$1,main!$A$3:$H$102,5,FALSE)-VLOOKUP($A89,main!$A$3:$H$102,6,FALSE)&gt;=main!$D$103+VLOOKUP(VLOOKUP(S$1,main!$A$3:$I$102,7,FALSE),main!$K$26:$Q$29,3,FALSE),1,0)</f>
        <v>1</v>
      </c>
      <c r="T89">
        <f>IF(VLOOKUP(T$1,main!$A$3:$H$102,5,FALSE)-VLOOKUP($A89,main!$A$3:$H$102,6,FALSE)&gt;=main!$D$103+VLOOKUP(VLOOKUP(T$1,main!$A$3:$I$102,7,FALSE),main!$K$26:$Q$29,3,FALSE),1,0)</f>
        <v>1</v>
      </c>
      <c r="U89">
        <f>IF(VLOOKUP(U$1,main!$A$3:$H$102,5,FALSE)-VLOOKUP($A89,main!$A$3:$H$102,6,FALSE)&gt;=main!$D$103+VLOOKUP(VLOOKUP(U$1,main!$A$3:$I$102,7,FALSE),main!$K$26:$Q$29,3,FALSE),1,0)</f>
        <v>1</v>
      </c>
      <c r="V89">
        <f>IF(VLOOKUP(V$1,main!$A$3:$H$102,5,FALSE)-VLOOKUP($A89,main!$A$3:$H$102,6,FALSE)&gt;=main!$D$103+VLOOKUP(VLOOKUP(V$1,main!$A$3:$I$102,7,FALSE),main!$K$26:$Q$29,3,FALSE),1,0)</f>
        <v>1</v>
      </c>
      <c r="W89">
        <f>IF(VLOOKUP(W$1,main!$A$3:$H$102,5,FALSE)-VLOOKUP($A89,main!$A$3:$H$102,6,FALSE)&gt;=main!$D$103+VLOOKUP(VLOOKUP(W$1,main!$A$3:$I$102,7,FALSE),main!$K$26:$Q$29,3,FALSE),1,0)</f>
        <v>0</v>
      </c>
      <c r="X89">
        <f>IF(VLOOKUP(X$1,main!$A$3:$H$102,5,FALSE)-VLOOKUP($A89,main!$A$3:$H$102,6,FALSE)&gt;=main!$D$103+VLOOKUP(VLOOKUP(X$1,main!$A$3:$I$102,7,FALSE),main!$K$26:$Q$29,3,FALSE),1,0)</f>
        <v>0</v>
      </c>
      <c r="Y89">
        <f>IF(VLOOKUP(Y$1,main!$A$3:$H$102,5,FALSE)-VLOOKUP($A89,main!$A$3:$H$102,6,FALSE)&gt;=main!$D$103+VLOOKUP(VLOOKUP(Y$1,main!$A$3:$I$102,7,FALSE),main!$K$26:$Q$29,3,FALSE),1,0)</f>
        <v>0</v>
      </c>
      <c r="Z89">
        <f>IF(VLOOKUP(Z$1,main!$A$3:$H$102,5,FALSE)-VLOOKUP($A89,main!$A$3:$H$102,6,FALSE)&gt;=main!$D$103+VLOOKUP(VLOOKUP(Z$1,main!$A$3:$I$102,7,FALSE),main!$K$26:$Q$29,3,FALSE),1,0)</f>
        <v>1</v>
      </c>
      <c r="AA89">
        <f>IF(VLOOKUP(AA$1,main!$A$3:$H$102,5,FALSE)-VLOOKUP($A89,main!$A$3:$H$102,6,FALSE)&gt;=main!$D$103+VLOOKUP(VLOOKUP(AA$1,main!$A$3:$I$102,7,FALSE),main!$K$26:$Q$29,3,FALSE),1,0)</f>
        <v>1</v>
      </c>
      <c r="AB89">
        <f>IF(VLOOKUP(AB$1,main!$A$3:$H$102,5,FALSE)-VLOOKUP($A89,main!$A$3:$H$102,6,FALSE)&gt;=main!$D$103+VLOOKUP(VLOOKUP(AB$1,main!$A$3:$I$102,7,FALSE),main!$K$26:$Q$29,3,FALSE),1,0)</f>
        <v>0</v>
      </c>
      <c r="AC89">
        <f>IF(VLOOKUP(AC$1,main!$A$3:$H$102,5,FALSE)-VLOOKUP($A89,main!$A$3:$H$102,6,FALSE)&gt;=main!$D$103+VLOOKUP(VLOOKUP(AC$1,main!$A$3:$I$102,7,FALSE),main!$K$26:$Q$29,3,FALSE),1,0)</f>
        <v>0</v>
      </c>
      <c r="AD89">
        <f>IF(VLOOKUP(AD$1,main!$A$3:$H$102,5,FALSE)-VLOOKUP($A89,main!$A$3:$H$102,6,FALSE)&gt;=main!$D$103+VLOOKUP(VLOOKUP(AD$1,main!$A$3:$I$102,7,FALSE),main!$K$26:$Q$29,3,FALSE),1,0)</f>
        <v>0</v>
      </c>
      <c r="AE89">
        <f>IF(VLOOKUP(AE$1,main!$A$3:$H$102,5,FALSE)-VLOOKUP($A89,main!$A$3:$H$102,6,FALSE)&gt;=main!$D$103+VLOOKUP(VLOOKUP(AE$1,main!$A$3:$I$102,7,FALSE),main!$K$26:$Q$29,3,FALSE),1,0)</f>
        <v>1</v>
      </c>
      <c r="AF89">
        <f>IF(VLOOKUP(AF$1,main!$A$3:$H$102,5,FALSE)-VLOOKUP($A89,main!$A$3:$H$102,6,FALSE)&gt;=main!$D$103+VLOOKUP(VLOOKUP(AF$1,main!$A$3:$I$102,7,FALSE),main!$K$26:$Q$29,3,FALSE),1,0)</f>
        <v>1</v>
      </c>
      <c r="AG89">
        <f>IF(VLOOKUP(AG$1,main!$A$3:$H$102,5,FALSE)-VLOOKUP($A89,main!$A$3:$H$102,6,FALSE)&gt;=main!$D$103+VLOOKUP(VLOOKUP(AG$1,main!$A$3:$I$102,7,FALSE),main!$K$26:$Q$29,3,FALSE),1,0)</f>
        <v>0</v>
      </c>
      <c r="AH89">
        <f>IF(VLOOKUP(AH$1,main!$A$3:$H$102,5,FALSE)-VLOOKUP($A89,main!$A$3:$H$102,6,FALSE)&gt;=main!$D$103+VLOOKUP(VLOOKUP(AH$1,main!$A$3:$I$102,7,FALSE),main!$K$26:$Q$29,3,FALSE),1,0)</f>
        <v>0</v>
      </c>
      <c r="AI89">
        <f>IF(VLOOKUP(AI$1,main!$A$3:$H$102,5,FALSE)-VLOOKUP($A89,main!$A$3:$H$102,6,FALSE)&gt;=main!$D$103+VLOOKUP(VLOOKUP(AI$1,main!$A$3:$I$102,7,FALSE),main!$K$26:$Q$29,3,FALSE),1,0)</f>
        <v>0</v>
      </c>
      <c r="AJ89">
        <f>IF(VLOOKUP(AJ$1,main!$A$3:$H$102,5,FALSE)-VLOOKUP($A89,main!$A$3:$H$102,6,FALSE)&gt;=main!$D$103+VLOOKUP(VLOOKUP(AJ$1,main!$A$3:$I$102,7,FALSE),main!$K$26:$Q$29,3,FALSE),1,0)</f>
        <v>0</v>
      </c>
      <c r="AK89">
        <f>IF(VLOOKUP(AK$1,main!$A$3:$H$102,5,FALSE)-VLOOKUP($A89,main!$A$3:$H$102,6,FALSE)&gt;=main!$D$103+VLOOKUP(VLOOKUP(AK$1,main!$A$3:$I$102,7,FALSE),main!$K$26:$Q$29,3,FALSE),1,0)</f>
        <v>1</v>
      </c>
      <c r="AL89">
        <f>IF(VLOOKUP(AL$1,main!$A$3:$H$102,5,FALSE)-VLOOKUP($A89,main!$A$3:$H$102,6,FALSE)&gt;=main!$D$103+VLOOKUP(VLOOKUP(AL$1,main!$A$3:$I$102,7,FALSE),main!$K$26:$Q$29,3,FALSE),1,0)</f>
        <v>1</v>
      </c>
      <c r="AM89">
        <f>IF(VLOOKUP(AM$1,main!$A$3:$H$102,5,FALSE)-VLOOKUP($A89,main!$A$3:$H$102,6,FALSE)&gt;=main!$D$103+VLOOKUP(VLOOKUP(AM$1,main!$A$3:$I$102,7,FALSE),main!$K$26:$Q$29,3,FALSE),1,0)</f>
        <v>1</v>
      </c>
      <c r="AN89">
        <f>IF(VLOOKUP(AN$1,main!$A$3:$H$102,5,FALSE)-VLOOKUP($A89,main!$A$3:$H$102,6,FALSE)&gt;=main!$D$103+VLOOKUP(VLOOKUP(AN$1,main!$A$3:$I$102,7,FALSE),main!$K$26:$Q$29,3,FALSE),1,0)</f>
        <v>1</v>
      </c>
      <c r="AO89">
        <f>IF(VLOOKUP(AO$1,main!$A$3:$H$102,5,FALSE)-VLOOKUP($A89,main!$A$3:$H$102,6,FALSE)&gt;=main!$D$103+VLOOKUP(VLOOKUP(AO$1,main!$A$3:$I$102,7,FALSE),main!$K$26:$Q$29,3,FALSE),1,0)</f>
        <v>0</v>
      </c>
      <c r="AP89">
        <f>IF(VLOOKUP(AP$1,main!$A$3:$H$102,5,FALSE)-VLOOKUP($A89,main!$A$3:$H$102,6,FALSE)&gt;=main!$D$103+VLOOKUP(VLOOKUP(AP$1,main!$A$3:$I$102,7,FALSE),main!$K$26:$Q$29,3,FALSE),1,0)</f>
        <v>1</v>
      </c>
      <c r="AQ89">
        <f>IF(VLOOKUP(AQ$1,main!$A$3:$H$102,5,FALSE)-VLOOKUP($A89,main!$A$3:$H$102,6,FALSE)&gt;=main!$D$103+VLOOKUP(VLOOKUP(AQ$1,main!$A$3:$I$102,7,FALSE),main!$K$26:$Q$29,3,FALSE),1,0)</f>
        <v>0</v>
      </c>
      <c r="AR89">
        <f>IF(VLOOKUP(AR$1,main!$A$3:$H$102,5,FALSE)-VLOOKUP($A89,main!$A$3:$H$102,6,FALSE)&gt;=main!$D$103+VLOOKUP(VLOOKUP(AR$1,main!$A$3:$I$102,7,FALSE),main!$K$26:$Q$29,3,FALSE),1,0)</f>
        <v>0</v>
      </c>
      <c r="AS89">
        <f>IF(VLOOKUP(AS$1,main!$A$3:$H$102,5,FALSE)-VLOOKUP($A89,main!$A$3:$H$102,6,FALSE)&gt;=main!$D$103+VLOOKUP(VLOOKUP(AS$1,main!$A$3:$I$102,7,FALSE),main!$K$26:$Q$29,3,FALSE),1,0)</f>
        <v>0</v>
      </c>
      <c r="AT89">
        <f>IF(VLOOKUP(AT$1,main!$A$3:$H$102,5,FALSE)-VLOOKUP($A89,main!$A$3:$H$102,6,FALSE)&gt;=main!$D$103+VLOOKUP(VLOOKUP(AT$1,main!$A$3:$I$102,7,FALSE),main!$K$26:$Q$29,3,FALSE),1,0)</f>
        <v>1</v>
      </c>
      <c r="AU89">
        <f>IF(VLOOKUP(AU$1,main!$A$3:$H$102,5,FALSE)-VLOOKUP($A89,main!$A$3:$H$102,6,FALSE)&gt;=main!$D$103+VLOOKUP(VLOOKUP(AU$1,main!$A$3:$I$102,7,FALSE),main!$K$26:$Q$29,3,FALSE),1,0)</f>
        <v>0</v>
      </c>
      <c r="AV89">
        <f>IF(VLOOKUP(AV$1,main!$A$3:$H$102,5,FALSE)-VLOOKUP($A89,main!$A$3:$H$102,6,FALSE)&gt;=main!$D$103+VLOOKUP(VLOOKUP(AV$1,main!$A$3:$I$102,7,FALSE),main!$K$26:$Q$29,3,FALSE),1,0)</f>
        <v>0</v>
      </c>
      <c r="AW89">
        <f>IF(VLOOKUP(AW$1,main!$A$3:$H$102,5,FALSE)-VLOOKUP($A89,main!$A$3:$H$102,6,FALSE)&gt;=main!$D$103+VLOOKUP(VLOOKUP(AW$1,main!$A$3:$I$102,7,FALSE),main!$K$26:$Q$29,3,FALSE),1,0)</f>
        <v>1</v>
      </c>
      <c r="AX89">
        <f>IF(VLOOKUP(AX$1,main!$A$3:$H$102,5,FALSE)-VLOOKUP($A89,main!$A$3:$H$102,6,FALSE)&gt;=main!$D$103+VLOOKUP(VLOOKUP(AX$1,main!$A$3:$I$102,7,FALSE),main!$K$26:$Q$29,3,FALSE),1,0)</f>
        <v>0</v>
      </c>
      <c r="AY89">
        <f>IF(VLOOKUP(AY$1,main!$A$3:$H$102,5,FALSE)-VLOOKUP($A89,main!$A$3:$H$102,6,FALSE)&gt;=main!$D$103+VLOOKUP(VLOOKUP(AY$1,main!$A$3:$I$102,7,FALSE),main!$K$26:$Q$29,3,FALSE),1,0)</f>
        <v>0</v>
      </c>
      <c r="AZ89">
        <f>IF(VLOOKUP(AZ$1,main!$A$3:$H$102,5,FALSE)-VLOOKUP($A89,main!$A$3:$H$102,6,FALSE)&gt;=main!$D$103+VLOOKUP(VLOOKUP(AZ$1,main!$A$3:$I$102,7,FALSE),main!$K$26:$Q$29,3,FALSE),1,0)</f>
        <v>0</v>
      </c>
      <c r="BA89">
        <f>IF(VLOOKUP(BA$1,main!$A$3:$H$102,5,FALSE)-VLOOKUP($A89,main!$A$3:$H$102,6,FALSE)&gt;=main!$D$103+VLOOKUP(VLOOKUP(BA$1,main!$A$3:$I$102,7,FALSE),main!$K$26:$Q$29,3,FALSE),1,0)</f>
        <v>0</v>
      </c>
      <c r="BB89">
        <f>IF(VLOOKUP(BB$1,main!$A$3:$H$102,5,FALSE)-VLOOKUP($A89,main!$A$3:$H$102,6,FALSE)&gt;=main!$D$103+VLOOKUP(VLOOKUP(BB$1,main!$A$3:$I$102,7,FALSE),main!$K$26:$Q$29,3,FALSE),1,0)</f>
        <v>0</v>
      </c>
      <c r="BC89">
        <f>IF(VLOOKUP(BC$1,main!$A$3:$H$102,5,FALSE)-VLOOKUP($A89,main!$A$3:$H$102,6,FALSE)&gt;=main!$D$103+VLOOKUP(VLOOKUP(BC$1,main!$A$3:$I$102,7,FALSE),main!$K$26:$Q$29,3,FALSE),1,0)</f>
        <v>1</v>
      </c>
      <c r="BD89">
        <f>IF(VLOOKUP(BD$1,main!$A$3:$H$102,5,FALSE)-VLOOKUP($A89,main!$A$3:$H$102,6,FALSE)&gt;=main!$D$103+VLOOKUP(VLOOKUP(BD$1,main!$A$3:$I$102,7,FALSE),main!$K$26:$Q$29,3,FALSE),1,0)</f>
        <v>1</v>
      </c>
      <c r="BE89">
        <f>IF(VLOOKUP(BE$1,main!$A$3:$H$102,5,FALSE)-VLOOKUP($A89,main!$A$3:$H$102,6,FALSE)&gt;=main!$D$103+VLOOKUP(VLOOKUP(BE$1,main!$A$3:$I$102,7,FALSE),main!$K$26:$Q$29,3,FALSE),1,0)</f>
        <v>1</v>
      </c>
      <c r="BF89">
        <f>IF(VLOOKUP(BF$1,main!$A$3:$H$102,5,FALSE)-VLOOKUP($A89,main!$A$3:$H$102,6,FALSE)&gt;=main!$D$103+VLOOKUP(VLOOKUP(BF$1,main!$A$3:$I$102,7,FALSE),main!$K$26:$Q$29,3,FALSE),1,0)</f>
        <v>0</v>
      </c>
      <c r="BG89">
        <f>IF(VLOOKUP(BG$1,main!$A$3:$H$102,5,FALSE)-VLOOKUP($A89,main!$A$3:$H$102,6,FALSE)&gt;=main!$D$103+VLOOKUP(VLOOKUP(BG$1,main!$A$3:$I$102,7,FALSE),main!$K$26:$Q$29,3,FALSE),1,0)</f>
        <v>0</v>
      </c>
      <c r="BH89">
        <f>IF(VLOOKUP(BH$1,main!$A$3:$H$102,5,FALSE)-VLOOKUP($A89,main!$A$3:$H$102,6,FALSE)&gt;=main!$D$103+VLOOKUP(VLOOKUP(BH$1,main!$A$3:$I$102,7,FALSE),main!$K$26:$Q$29,3,FALSE),1,0)</f>
        <v>0</v>
      </c>
      <c r="BI89">
        <f>IF(VLOOKUP(BI$1,main!$A$3:$H$102,5,FALSE)-VLOOKUP($A89,main!$A$3:$H$102,6,FALSE)&gt;=main!$D$103+VLOOKUP(VLOOKUP(BI$1,main!$A$3:$I$102,7,FALSE),main!$K$26:$Q$29,3,FALSE),1,0)</f>
        <v>1</v>
      </c>
      <c r="BJ89">
        <f>IF(VLOOKUP(BJ$1,main!$A$3:$H$102,5,FALSE)-VLOOKUP($A89,main!$A$3:$H$102,6,FALSE)&gt;=main!$D$103+VLOOKUP(VLOOKUP(BJ$1,main!$A$3:$I$102,7,FALSE),main!$K$26:$Q$29,3,FALSE),1,0)</f>
        <v>1</v>
      </c>
      <c r="BK89">
        <f>IF(VLOOKUP(BK$1,main!$A$3:$H$102,5,FALSE)-VLOOKUP($A89,main!$A$3:$H$102,6,FALSE)&gt;=main!$D$103+VLOOKUP(VLOOKUP(BK$1,main!$A$3:$I$102,7,FALSE),main!$K$26:$Q$29,3,FALSE),1,0)</f>
        <v>0</v>
      </c>
      <c r="BL89">
        <f>IF(VLOOKUP(BL$1,main!$A$3:$H$102,5,FALSE)-VLOOKUP($A89,main!$A$3:$H$102,6,FALSE)&gt;=main!$D$103+VLOOKUP(VLOOKUP(BL$1,main!$A$3:$I$102,7,FALSE),main!$K$26:$Q$29,3,FALSE),1,0)</f>
        <v>0</v>
      </c>
      <c r="BM89">
        <f>IF(VLOOKUP(BM$1,main!$A$3:$H$102,5,FALSE)-VLOOKUP($A89,main!$A$3:$H$102,6,FALSE)&gt;=main!$D$103+VLOOKUP(VLOOKUP(BM$1,main!$A$3:$I$102,7,FALSE),main!$K$26:$Q$29,3,FALSE),1,0)</f>
        <v>0</v>
      </c>
      <c r="BN89">
        <f>IF(VLOOKUP(BN$1,main!$A$3:$H$102,5,FALSE)-VLOOKUP($A89,main!$A$3:$H$102,6,FALSE)&gt;=main!$D$103+VLOOKUP(VLOOKUP(BN$1,main!$A$3:$I$102,7,FALSE),main!$K$26:$Q$29,3,FALSE),1,0)</f>
        <v>1</v>
      </c>
      <c r="BO89">
        <f>IF(VLOOKUP(BO$1,main!$A$3:$H$102,5,FALSE)-VLOOKUP($A89,main!$A$3:$H$102,6,FALSE)&gt;=main!$D$103+VLOOKUP(VLOOKUP(BO$1,main!$A$3:$I$102,7,FALSE),main!$K$26:$Q$29,3,FALSE),1,0)</f>
        <v>0</v>
      </c>
      <c r="BP89">
        <f>IF(VLOOKUP(BP$1,main!$A$3:$H$102,5,FALSE)-VLOOKUP($A89,main!$A$3:$H$102,6,FALSE)&gt;=main!$D$103+VLOOKUP(VLOOKUP(BP$1,main!$A$3:$I$102,7,FALSE),main!$K$26:$Q$29,3,FALSE),1,0)</f>
        <v>0</v>
      </c>
      <c r="BQ89">
        <f>IF(VLOOKUP(BQ$1,main!$A$3:$H$102,5,FALSE)-VLOOKUP($A89,main!$A$3:$H$102,6,FALSE)&gt;=main!$D$103+VLOOKUP(VLOOKUP(BQ$1,main!$A$3:$I$102,7,FALSE),main!$K$26:$Q$29,3,FALSE),1,0)</f>
        <v>0</v>
      </c>
      <c r="BR89">
        <f>IF(VLOOKUP(BR$1,main!$A$3:$H$102,5,FALSE)-VLOOKUP($A89,main!$A$3:$H$102,6,FALSE)&gt;=main!$D$103+VLOOKUP(VLOOKUP(BR$1,main!$A$3:$I$102,7,FALSE),main!$K$26:$Q$29,3,FALSE),1,0)</f>
        <v>0</v>
      </c>
      <c r="BS89">
        <f>IF(VLOOKUP(BS$1,main!$A$3:$H$102,5,FALSE)-VLOOKUP($A89,main!$A$3:$H$102,6,FALSE)&gt;=main!$D$103+VLOOKUP(VLOOKUP(BS$1,main!$A$3:$I$102,7,FALSE),main!$K$26:$Q$29,3,FALSE),1,0)</f>
        <v>0</v>
      </c>
      <c r="BT89">
        <f>IF(VLOOKUP(BT$1,main!$A$3:$H$102,5,FALSE)-VLOOKUP($A89,main!$A$3:$H$102,6,FALSE)&gt;=main!$D$103+VLOOKUP(VLOOKUP(BT$1,main!$A$3:$I$102,7,FALSE),main!$K$26:$Q$29,3,FALSE),1,0)</f>
        <v>0</v>
      </c>
      <c r="BU89">
        <f>IF(VLOOKUP(BU$1,main!$A$3:$H$102,5,FALSE)-VLOOKUP($A89,main!$A$3:$H$102,6,FALSE)&gt;=main!$D$103+VLOOKUP(VLOOKUP(BU$1,main!$A$3:$I$102,7,FALSE),main!$K$26:$Q$29,3,FALSE),1,0)</f>
        <v>0</v>
      </c>
      <c r="BV89">
        <f>IF(VLOOKUP(BV$1,main!$A$3:$H$102,5,FALSE)-VLOOKUP($A89,main!$A$3:$H$102,6,FALSE)&gt;=main!$D$103+VLOOKUP(VLOOKUP(BV$1,main!$A$3:$I$102,7,FALSE),main!$K$26:$Q$29,3,FALSE),1,0)</f>
        <v>0</v>
      </c>
      <c r="BW89">
        <f>IF(VLOOKUP(BW$1,main!$A$3:$H$102,5,FALSE)-VLOOKUP($A89,main!$A$3:$H$102,6,FALSE)&gt;=main!$D$103+VLOOKUP(VLOOKUP(BW$1,main!$A$3:$I$102,7,FALSE),main!$K$26:$Q$29,3,FALSE),1,0)</f>
        <v>0</v>
      </c>
      <c r="BX89">
        <f>IF(VLOOKUP(BX$1,main!$A$3:$H$102,5,FALSE)-VLOOKUP($A89,main!$A$3:$H$102,6,FALSE)&gt;=main!$D$103+VLOOKUP(VLOOKUP(BX$1,main!$A$3:$I$102,7,FALSE),main!$K$26:$Q$29,3,FALSE),1,0)</f>
        <v>0</v>
      </c>
      <c r="BY89">
        <f>IF(VLOOKUP(BY$1,main!$A$3:$H$102,5,FALSE)-VLOOKUP($A89,main!$A$3:$H$102,6,FALSE)&gt;=main!$D$103+VLOOKUP(VLOOKUP(BY$1,main!$A$3:$I$102,7,FALSE),main!$K$26:$Q$29,3,FALSE),1,0)</f>
        <v>1</v>
      </c>
      <c r="BZ89">
        <f>IF(VLOOKUP(BZ$1,main!$A$3:$H$102,5,FALSE)-VLOOKUP($A89,main!$A$3:$H$102,6,FALSE)&gt;=main!$D$103+VLOOKUP(VLOOKUP(BZ$1,main!$A$3:$I$102,7,FALSE),main!$K$26:$Q$29,3,FALSE),1,0)</f>
        <v>0</v>
      </c>
      <c r="CA89">
        <f>IF(VLOOKUP(CA$1,main!$A$3:$H$102,5,FALSE)-VLOOKUP($A89,main!$A$3:$H$102,6,FALSE)&gt;=main!$D$103+VLOOKUP(VLOOKUP(CA$1,main!$A$3:$I$102,7,FALSE),main!$K$26:$Q$29,3,FALSE),1,0)</f>
        <v>0</v>
      </c>
      <c r="CB89">
        <f>IF(VLOOKUP(CB$1,main!$A$3:$H$102,5,FALSE)-VLOOKUP($A89,main!$A$3:$H$102,6,FALSE)&gt;=main!$D$103+VLOOKUP(VLOOKUP(CB$1,main!$A$3:$I$102,7,FALSE),main!$K$26:$Q$29,3,FALSE),1,0)</f>
        <v>1</v>
      </c>
      <c r="CC89">
        <f>IF(VLOOKUP(CC$1,main!$A$3:$H$102,5,FALSE)-VLOOKUP($A89,main!$A$3:$H$102,6,FALSE)&gt;=main!$D$103+VLOOKUP(VLOOKUP(CC$1,main!$A$3:$I$102,7,FALSE),main!$K$26:$Q$29,3,FALSE),1,0)</f>
        <v>1</v>
      </c>
      <c r="CD89">
        <f>IF(VLOOKUP(CD$1,main!$A$3:$H$102,5,FALSE)-VLOOKUP($A89,main!$A$3:$H$102,6,FALSE)&gt;=main!$D$103+VLOOKUP(VLOOKUP(CD$1,main!$A$3:$I$102,7,FALSE),main!$K$26:$Q$29,3,FALSE),1,0)</f>
        <v>1</v>
      </c>
      <c r="CE89">
        <f>IF(VLOOKUP(CE$1,main!$A$3:$H$102,5,FALSE)-VLOOKUP($A89,main!$A$3:$H$102,6,FALSE)&gt;=main!$D$103+VLOOKUP(VLOOKUP(CE$1,main!$A$3:$I$102,7,FALSE),main!$K$26:$Q$29,3,FALSE),1,0)</f>
        <v>0</v>
      </c>
      <c r="CF89">
        <f>IF(VLOOKUP(CF$1,main!$A$3:$H$102,5,FALSE)-VLOOKUP($A89,main!$A$3:$H$102,6,FALSE)&gt;=main!$D$103+VLOOKUP(VLOOKUP(CF$1,main!$A$3:$I$102,7,FALSE),main!$K$26:$Q$29,3,FALSE),1,0)</f>
        <v>0</v>
      </c>
      <c r="CG89">
        <f>IF(VLOOKUP(CG$1,main!$A$3:$H$102,5,FALSE)-VLOOKUP($A89,main!$A$3:$H$102,6,FALSE)&gt;=main!$D$103+VLOOKUP(VLOOKUP(CG$1,main!$A$3:$I$102,7,FALSE),main!$K$26:$Q$29,3,FALSE),1,0)</f>
        <v>0</v>
      </c>
      <c r="CH89">
        <f>IF(VLOOKUP(CH$1,main!$A$3:$H$102,5,FALSE)-VLOOKUP($A89,main!$A$3:$H$102,6,FALSE)&gt;=main!$D$103+VLOOKUP(VLOOKUP(CH$1,main!$A$3:$I$102,7,FALSE),main!$K$26:$Q$29,3,FALSE),1,0)</f>
        <v>1</v>
      </c>
      <c r="CI89">
        <f>IF(VLOOKUP(CI$1,main!$A$3:$H$102,5,FALSE)-VLOOKUP($A89,main!$A$3:$H$102,6,FALSE)&gt;=main!$D$103+VLOOKUP(VLOOKUP(CI$1,main!$A$3:$I$102,7,FALSE),main!$K$26:$Q$29,3,FALSE),1,0)</f>
        <v>1</v>
      </c>
      <c r="CJ89">
        <f>IF(VLOOKUP(CJ$1,main!$A$3:$H$102,5,FALSE)-VLOOKUP($A89,main!$A$3:$H$102,6,FALSE)&gt;=main!$D$103+VLOOKUP(VLOOKUP(CJ$1,main!$A$3:$I$102,7,FALSE),main!$K$26:$Q$29,3,FALSE),1,0)</f>
        <v>0</v>
      </c>
      <c r="CK89">
        <f>IF(VLOOKUP(CK$1,main!$A$3:$H$102,5,FALSE)-VLOOKUP($A89,main!$A$3:$H$102,6,FALSE)&gt;=main!$D$103+VLOOKUP(VLOOKUP(CK$1,main!$A$3:$I$102,7,FALSE),main!$K$26:$Q$29,3,FALSE),1,0)</f>
        <v>0</v>
      </c>
      <c r="CL89">
        <f>IF(VLOOKUP(CL$1,main!$A$3:$H$102,5,FALSE)-VLOOKUP($A89,main!$A$3:$H$102,6,FALSE)&gt;=main!$D$103+VLOOKUP(VLOOKUP(CL$1,main!$A$3:$I$102,7,FALSE),main!$K$26:$Q$29,3,FALSE),1,0)</f>
        <v>0</v>
      </c>
      <c r="CM89">
        <f>IF(VLOOKUP(CM$1,main!$A$3:$H$102,5,FALSE)-VLOOKUP($A89,main!$A$3:$H$102,6,FALSE)&gt;=main!$D$103+VLOOKUP(VLOOKUP(CM$1,main!$A$3:$I$102,7,FALSE),main!$K$26:$Q$29,3,FALSE),1,0)</f>
        <v>1</v>
      </c>
      <c r="CN89">
        <f>IF(VLOOKUP(CN$1,main!$A$3:$H$102,5,FALSE)-VLOOKUP($A89,main!$A$3:$H$102,6,FALSE)&gt;=main!$D$103+VLOOKUP(VLOOKUP(CN$1,main!$A$3:$I$102,7,FALSE),main!$K$26:$Q$29,3,FALSE),1,0)</f>
        <v>1</v>
      </c>
      <c r="CO89">
        <f>IF(VLOOKUP(CO$1,main!$A$3:$H$102,5,FALSE)-VLOOKUP($A89,main!$A$3:$H$102,6,FALSE)&gt;=main!$D$103+VLOOKUP(VLOOKUP(CO$1,main!$A$3:$I$102,7,FALSE),main!$K$26:$Q$29,3,FALSE),1,0)</f>
        <v>0</v>
      </c>
      <c r="CP89">
        <f>IF(VLOOKUP(CP$1,main!$A$3:$H$102,5,FALSE)-VLOOKUP($A89,main!$A$3:$H$102,6,FALSE)&gt;=main!$D$103+VLOOKUP(VLOOKUP(CP$1,main!$A$3:$I$102,7,FALSE),main!$K$26:$Q$29,3,FALSE),1,0)</f>
        <v>0</v>
      </c>
      <c r="CQ89">
        <f>IF(VLOOKUP(CQ$1,main!$A$3:$H$102,5,FALSE)-VLOOKUP($A89,main!$A$3:$H$102,6,FALSE)&gt;=main!$D$103+VLOOKUP(VLOOKUP(CQ$1,main!$A$3:$I$102,7,FALSE),main!$K$26:$Q$29,3,FALSE),1,0)</f>
        <v>0</v>
      </c>
      <c r="CR89">
        <f>IF(VLOOKUP(CR$1,main!$A$3:$H$102,5,FALSE)-VLOOKUP($A89,main!$A$3:$H$102,6,FALSE)&gt;=main!$D$103+VLOOKUP(VLOOKUP(CR$1,main!$A$3:$I$102,7,FALSE),main!$K$26:$Q$29,3,FALSE),1,0)</f>
        <v>1</v>
      </c>
      <c r="CS89">
        <f>IF(VLOOKUP(CS$1,main!$A$3:$H$102,5,FALSE)-VLOOKUP($A89,main!$A$3:$H$102,6,FALSE)&gt;=main!$D$103+VLOOKUP(VLOOKUP(CS$1,main!$A$3:$I$102,7,FALSE),main!$K$26:$Q$29,3,FALSE),1,0)</f>
        <v>1</v>
      </c>
      <c r="CT89">
        <f>IF(VLOOKUP(CT$1,main!$A$3:$H$102,5,FALSE)-VLOOKUP($A89,main!$A$3:$H$102,6,FALSE)&gt;=main!$D$103+VLOOKUP(VLOOKUP(CT$1,main!$A$3:$I$102,7,FALSE),main!$K$26:$Q$29,3,FALSE),1,0)</f>
        <v>0</v>
      </c>
      <c r="CU89">
        <f>IF(VLOOKUP(CU$1,main!$A$3:$H$102,5,FALSE)-VLOOKUP($A89,main!$A$3:$H$102,6,FALSE)&gt;=main!$D$103+VLOOKUP(VLOOKUP(CU$1,main!$A$3:$I$102,7,FALSE),main!$K$26:$Q$29,3,FALSE),1,0)</f>
        <v>0</v>
      </c>
      <c r="CV89">
        <f>IF(VLOOKUP(CV$1,main!$A$3:$H$102,5,FALSE)-VLOOKUP($A89,main!$A$3:$H$102,6,FALSE)&gt;=main!$D$103+VLOOKUP(VLOOKUP(CV$1,main!$A$3:$I$102,7,FALSE),main!$K$26:$Q$29,3,FALSE),1,0)</f>
        <v>0</v>
      </c>
      <c r="CW89">
        <f>IF(VLOOKUP(CW$1,main!$A$3:$H$102,5,FALSE)-VLOOKUP($A89,main!$A$3:$H$102,6,FALSE)&gt;=main!$D$103+VLOOKUP(VLOOKUP(CW$1,main!$A$3:$I$102,7,FALSE),main!$K$26:$Q$29,3,FALSE),1,0)</f>
        <v>1</v>
      </c>
      <c r="CX89">
        <f>IF(VLOOKUP(CX$1,main!$A$3:$H$102,5,FALSE)-VLOOKUP($A89,main!$A$3:$H$102,6,FALSE)&gt;=main!$D$103+VLOOKUP(VLOOKUP(CX$1,main!$A$3:$I$102,7,FALSE),main!$K$26:$Q$29,3,FALSE),1,0)</f>
        <v>1</v>
      </c>
    </row>
    <row r="90" spans="1:102" x14ac:dyDescent="0.25">
      <c r="A90" s="1">
        <v>88</v>
      </c>
      <c r="B90">
        <v>0</v>
      </c>
      <c r="C90">
        <f>IF(VLOOKUP(C$1,main!$A$3:$H$102,5,FALSE)-VLOOKUP($A90,main!$A$3:$H$102,6,FALSE)&gt;=main!$D$103+VLOOKUP(VLOOKUP(C$1,main!$A$3:$I$102,7,FALSE),main!$K$26:$Q$29,3,FALSE),1,0)</f>
        <v>0</v>
      </c>
      <c r="D90">
        <f>IF(VLOOKUP(D$1,main!$A$3:$H$102,5,FALSE)-VLOOKUP($A90,main!$A$3:$H$102,6,FALSE)&gt;=main!$D$103+VLOOKUP(VLOOKUP(D$1,main!$A$3:$I$102,7,FALSE),main!$K$26:$Q$29,3,FALSE),1,0)</f>
        <v>0</v>
      </c>
      <c r="E90">
        <f>IF(VLOOKUP(E$1,main!$A$3:$H$102,5,FALSE)-VLOOKUP($A90,main!$A$3:$H$102,6,FALSE)&gt;=main!$D$103+VLOOKUP(VLOOKUP(E$1,main!$A$3:$I$102,7,FALSE),main!$K$26:$Q$29,3,FALSE),1,0)</f>
        <v>0</v>
      </c>
      <c r="F90">
        <f>IF(VLOOKUP(F$1,main!$A$3:$H$102,5,FALSE)-VLOOKUP($A90,main!$A$3:$H$102,6,FALSE)&gt;=main!$D$103+VLOOKUP(VLOOKUP(F$1,main!$A$3:$I$102,7,FALSE),main!$K$26:$Q$29,3,FALSE),1,0)</f>
        <v>0</v>
      </c>
      <c r="G90">
        <f>IF(VLOOKUP(G$1,main!$A$3:$H$102,5,FALSE)-VLOOKUP($A90,main!$A$3:$H$102,6,FALSE)&gt;=main!$D$103+VLOOKUP(VLOOKUP(G$1,main!$A$3:$I$102,7,FALSE),main!$K$26:$Q$29,3,FALSE),1,0)</f>
        <v>0</v>
      </c>
      <c r="H90">
        <f>IF(VLOOKUP(H$1,main!$A$3:$H$102,5,FALSE)-VLOOKUP($A90,main!$A$3:$H$102,6,FALSE)&gt;=main!$D$103+VLOOKUP(VLOOKUP(H$1,main!$A$3:$I$102,7,FALSE),main!$K$26:$Q$29,3,FALSE),1,0)</f>
        <v>0</v>
      </c>
      <c r="I90">
        <f>IF(VLOOKUP(I$1,main!$A$3:$H$102,5,FALSE)-VLOOKUP($A90,main!$A$3:$H$102,6,FALSE)&gt;=main!$D$103+VLOOKUP(VLOOKUP(I$1,main!$A$3:$I$102,7,FALSE),main!$K$26:$Q$29,3,FALSE),1,0)</f>
        <v>1</v>
      </c>
      <c r="J90">
        <f>IF(VLOOKUP(J$1,main!$A$3:$H$102,5,FALSE)-VLOOKUP($A90,main!$A$3:$H$102,6,FALSE)&gt;=main!$D$103+VLOOKUP(VLOOKUP(J$1,main!$A$3:$I$102,7,FALSE),main!$K$26:$Q$29,3,FALSE),1,0)</f>
        <v>1</v>
      </c>
      <c r="K90">
        <f>IF(VLOOKUP(K$1,main!$A$3:$H$102,5,FALSE)-VLOOKUP($A90,main!$A$3:$H$102,6,FALSE)&gt;=main!$D$103+VLOOKUP(VLOOKUP(K$1,main!$A$3:$I$102,7,FALSE),main!$K$26:$Q$29,3,FALSE),1,0)</f>
        <v>1</v>
      </c>
      <c r="L90">
        <f>IF(VLOOKUP(L$1,main!$A$3:$H$102,5,FALSE)-VLOOKUP($A90,main!$A$3:$H$102,6,FALSE)&gt;=main!$D$103+VLOOKUP(VLOOKUP(L$1,main!$A$3:$I$102,7,FALSE),main!$K$26:$Q$29,3,FALSE),1,0)</f>
        <v>1</v>
      </c>
      <c r="M90">
        <f>IF(VLOOKUP(M$1,main!$A$3:$H$102,5,FALSE)-VLOOKUP($A90,main!$A$3:$H$102,6,FALSE)&gt;=main!$D$103+VLOOKUP(VLOOKUP(M$1,main!$A$3:$I$102,7,FALSE),main!$K$26:$Q$29,3,FALSE),1,0)</f>
        <v>0</v>
      </c>
      <c r="N90">
        <f>IF(VLOOKUP(N$1,main!$A$3:$H$102,5,FALSE)-VLOOKUP($A90,main!$A$3:$H$102,6,FALSE)&gt;=main!$D$103+VLOOKUP(VLOOKUP(N$1,main!$A$3:$I$102,7,FALSE),main!$K$26:$Q$29,3,FALSE),1,0)</f>
        <v>0</v>
      </c>
      <c r="O90">
        <f>IF(VLOOKUP(O$1,main!$A$3:$H$102,5,FALSE)-VLOOKUP($A90,main!$A$3:$H$102,6,FALSE)&gt;=main!$D$103+VLOOKUP(VLOOKUP(O$1,main!$A$3:$I$102,7,FALSE),main!$K$26:$Q$29,3,FALSE),1,0)</f>
        <v>0</v>
      </c>
      <c r="P90">
        <f>IF(VLOOKUP(P$1,main!$A$3:$H$102,5,FALSE)-VLOOKUP($A90,main!$A$3:$H$102,6,FALSE)&gt;=main!$D$103+VLOOKUP(VLOOKUP(P$1,main!$A$3:$I$102,7,FALSE),main!$K$26:$Q$29,3,FALSE),1,0)</f>
        <v>0</v>
      </c>
      <c r="Q90">
        <f>IF(VLOOKUP(Q$1,main!$A$3:$H$102,5,FALSE)-VLOOKUP($A90,main!$A$3:$H$102,6,FALSE)&gt;=main!$D$103+VLOOKUP(VLOOKUP(Q$1,main!$A$3:$I$102,7,FALSE),main!$K$26:$Q$29,3,FALSE),1,0)</f>
        <v>0</v>
      </c>
      <c r="R90">
        <f>IF(VLOOKUP(R$1,main!$A$3:$H$102,5,FALSE)-VLOOKUP($A90,main!$A$3:$H$102,6,FALSE)&gt;=main!$D$103+VLOOKUP(VLOOKUP(R$1,main!$A$3:$I$102,7,FALSE),main!$K$26:$Q$29,3,FALSE),1,0)</f>
        <v>0</v>
      </c>
      <c r="S90">
        <f>IF(VLOOKUP(S$1,main!$A$3:$H$102,5,FALSE)-VLOOKUP($A90,main!$A$3:$H$102,6,FALSE)&gt;=main!$D$103+VLOOKUP(VLOOKUP(S$1,main!$A$3:$I$102,7,FALSE),main!$K$26:$Q$29,3,FALSE),1,0)</f>
        <v>0</v>
      </c>
      <c r="T90">
        <f>IF(VLOOKUP(T$1,main!$A$3:$H$102,5,FALSE)-VLOOKUP($A90,main!$A$3:$H$102,6,FALSE)&gt;=main!$D$103+VLOOKUP(VLOOKUP(T$1,main!$A$3:$I$102,7,FALSE),main!$K$26:$Q$29,3,FALSE),1,0)</f>
        <v>1</v>
      </c>
      <c r="U90">
        <f>IF(VLOOKUP(U$1,main!$A$3:$H$102,5,FALSE)-VLOOKUP($A90,main!$A$3:$H$102,6,FALSE)&gt;=main!$D$103+VLOOKUP(VLOOKUP(U$1,main!$A$3:$I$102,7,FALSE),main!$K$26:$Q$29,3,FALSE),1,0)</f>
        <v>1</v>
      </c>
      <c r="V90">
        <f>IF(VLOOKUP(V$1,main!$A$3:$H$102,5,FALSE)-VLOOKUP($A90,main!$A$3:$H$102,6,FALSE)&gt;=main!$D$103+VLOOKUP(VLOOKUP(V$1,main!$A$3:$I$102,7,FALSE),main!$K$26:$Q$29,3,FALSE),1,0)</f>
        <v>1</v>
      </c>
      <c r="W90">
        <f>IF(VLOOKUP(W$1,main!$A$3:$H$102,5,FALSE)-VLOOKUP($A90,main!$A$3:$H$102,6,FALSE)&gt;=main!$D$103+VLOOKUP(VLOOKUP(W$1,main!$A$3:$I$102,7,FALSE),main!$K$26:$Q$29,3,FALSE),1,0)</f>
        <v>0</v>
      </c>
      <c r="X90">
        <f>IF(VLOOKUP(X$1,main!$A$3:$H$102,5,FALSE)-VLOOKUP($A90,main!$A$3:$H$102,6,FALSE)&gt;=main!$D$103+VLOOKUP(VLOOKUP(X$1,main!$A$3:$I$102,7,FALSE),main!$K$26:$Q$29,3,FALSE),1,0)</f>
        <v>0</v>
      </c>
      <c r="Y90">
        <f>IF(VLOOKUP(Y$1,main!$A$3:$H$102,5,FALSE)-VLOOKUP($A90,main!$A$3:$H$102,6,FALSE)&gt;=main!$D$103+VLOOKUP(VLOOKUP(Y$1,main!$A$3:$I$102,7,FALSE),main!$K$26:$Q$29,3,FALSE),1,0)</f>
        <v>0</v>
      </c>
      <c r="Z90">
        <f>IF(VLOOKUP(Z$1,main!$A$3:$H$102,5,FALSE)-VLOOKUP($A90,main!$A$3:$H$102,6,FALSE)&gt;=main!$D$103+VLOOKUP(VLOOKUP(Z$1,main!$A$3:$I$102,7,FALSE),main!$K$26:$Q$29,3,FALSE),1,0)</f>
        <v>1</v>
      </c>
      <c r="AA90">
        <f>IF(VLOOKUP(AA$1,main!$A$3:$H$102,5,FALSE)-VLOOKUP($A90,main!$A$3:$H$102,6,FALSE)&gt;=main!$D$103+VLOOKUP(VLOOKUP(AA$1,main!$A$3:$I$102,7,FALSE),main!$K$26:$Q$29,3,FALSE),1,0)</f>
        <v>1</v>
      </c>
      <c r="AB90">
        <f>IF(VLOOKUP(AB$1,main!$A$3:$H$102,5,FALSE)-VLOOKUP($A90,main!$A$3:$H$102,6,FALSE)&gt;=main!$D$103+VLOOKUP(VLOOKUP(AB$1,main!$A$3:$I$102,7,FALSE),main!$K$26:$Q$29,3,FALSE),1,0)</f>
        <v>0</v>
      </c>
      <c r="AC90">
        <f>IF(VLOOKUP(AC$1,main!$A$3:$H$102,5,FALSE)-VLOOKUP($A90,main!$A$3:$H$102,6,FALSE)&gt;=main!$D$103+VLOOKUP(VLOOKUP(AC$1,main!$A$3:$I$102,7,FALSE),main!$K$26:$Q$29,3,FALSE),1,0)</f>
        <v>0</v>
      </c>
      <c r="AD90">
        <f>IF(VLOOKUP(AD$1,main!$A$3:$H$102,5,FALSE)-VLOOKUP($A90,main!$A$3:$H$102,6,FALSE)&gt;=main!$D$103+VLOOKUP(VLOOKUP(AD$1,main!$A$3:$I$102,7,FALSE),main!$K$26:$Q$29,3,FALSE),1,0)</f>
        <v>0</v>
      </c>
      <c r="AE90">
        <f>IF(VLOOKUP(AE$1,main!$A$3:$H$102,5,FALSE)-VLOOKUP($A90,main!$A$3:$H$102,6,FALSE)&gt;=main!$D$103+VLOOKUP(VLOOKUP(AE$1,main!$A$3:$I$102,7,FALSE),main!$K$26:$Q$29,3,FALSE),1,0)</f>
        <v>0</v>
      </c>
      <c r="AF90">
        <f>IF(VLOOKUP(AF$1,main!$A$3:$H$102,5,FALSE)-VLOOKUP($A90,main!$A$3:$H$102,6,FALSE)&gt;=main!$D$103+VLOOKUP(VLOOKUP(AF$1,main!$A$3:$I$102,7,FALSE),main!$K$26:$Q$29,3,FALSE),1,0)</f>
        <v>1</v>
      </c>
      <c r="AG90">
        <f>IF(VLOOKUP(AG$1,main!$A$3:$H$102,5,FALSE)-VLOOKUP($A90,main!$A$3:$H$102,6,FALSE)&gt;=main!$D$103+VLOOKUP(VLOOKUP(AG$1,main!$A$3:$I$102,7,FALSE),main!$K$26:$Q$29,3,FALSE),1,0)</f>
        <v>0</v>
      </c>
      <c r="AH90">
        <f>IF(VLOOKUP(AH$1,main!$A$3:$H$102,5,FALSE)-VLOOKUP($A90,main!$A$3:$H$102,6,FALSE)&gt;=main!$D$103+VLOOKUP(VLOOKUP(AH$1,main!$A$3:$I$102,7,FALSE),main!$K$26:$Q$29,3,FALSE),1,0)</f>
        <v>0</v>
      </c>
      <c r="AI90">
        <f>IF(VLOOKUP(AI$1,main!$A$3:$H$102,5,FALSE)-VLOOKUP($A90,main!$A$3:$H$102,6,FALSE)&gt;=main!$D$103+VLOOKUP(VLOOKUP(AI$1,main!$A$3:$I$102,7,FALSE),main!$K$26:$Q$29,3,FALSE),1,0)</f>
        <v>0</v>
      </c>
      <c r="AJ90">
        <f>IF(VLOOKUP(AJ$1,main!$A$3:$H$102,5,FALSE)-VLOOKUP($A90,main!$A$3:$H$102,6,FALSE)&gt;=main!$D$103+VLOOKUP(VLOOKUP(AJ$1,main!$A$3:$I$102,7,FALSE),main!$K$26:$Q$29,3,FALSE),1,0)</f>
        <v>0</v>
      </c>
      <c r="AK90">
        <f>IF(VLOOKUP(AK$1,main!$A$3:$H$102,5,FALSE)-VLOOKUP($A90,main!$A$3:$H$102,6,FALSE)&gt;=main!$D$103+VLOOKUP(VLOOKUP(AK$1,main!$A$3:$I$102,7,FALSE),main!$K$26:$Q$29,3,FALSE),1,0)</f>
        <v>0</v>
      </c>
      <c r="AL90">
        <f>IF(VLOOKUP(AL$1,main!$A$3:$H$102,5,FALSE)-VLOOKUP($A90,main!$A$3:$H$102,6,FALSE)&gt;=main!$D$103+VLOOKUP(VLOOKUP(AL$1,main!$A$3:$I$102,7,FALSE),main!$K$26:$Q$29,3,FALSE),1,0)</f>
        <v>1</v>
      </c>
      <c r="AM90">
        <f>IF(VLOOKUP(AM$1,main!$A$3:$H$102,5,FALSE)-VLOOKUP($A90,main!$A$3:$H$102,6,FALSE)&gt;=main!$D$103+VLOOKUP(VLOOKUP(AM$1,main!$A$3:$I$102,7,FALSE),main!$K$26:$Q$29,3,FALSE),1,0)</f>
        <v>1</v>
      </c>
      <c r="AN90">
        <f>IF(VLOOKUP(AN$1,main!$A$3:$H$102,5,FALSE)-VLOOKUP($A90,main!$A$3:$H$102,6,FALSE)&gt;=main!$D$103+VLOOKUP(VLOOKUP(AN$1,main!$A$3:$I$102,7,FALSE),main!$K$26:$Q$29,3,FALSE),1,0)</f>
        <v>1</v>
      </c>
      <c r="AO90">
        <f>IF(VLOOKUP(AO$1,main!$A$3:$H$102,5,FALSE)-VLOOKUP($A90,main!$A$3:$H$102,6,FALSE)&gt;=main!$D$103+VLOOKUP(VLOOKUP(AO$1,main!$A$3:$I$102,7,FALSE),main!$K$26:$Q$29,3,FALSE),1,0)</f>
        <v>0</v>
      </c>
      <c r="AP90">
        <f>IF(VLOOKUP(AP$1,main!$A$3:$H$102,5,FALSE)-VLOOKUP($A90,main!$A$3:$H$102,6,FALSE)&gt;=main!$D$103+VLOOKUP(VLOOKUP(AP$1,main!$A$3:$I$102,7,FALSE),main!$K$26:$Q$29,3,FALSE),1,0)</f>
        <v>1</v>
      </c>
      <c r="AQ90">
        <f>IF(VLOOKUP(AQ$1,main!$A$3:$H$102,5,FALSE)-VLOOKUP($A90,main!$A$3:$H$102,6,FALSE)&gt;=main!$D$103+VLOOKUP(VLOOKUP(AQ$1,main!$A$3:$I$102,7,FALSE),main!$K$26:$Q$29,3,FALSE),1,0)</f>
        <v>0</v>
      </c>
      <c r="AR90">
        <f>IF(VLOOKUP(AR$1,main!$A$3:$H$102,5,FALSE)-VLOOKUP($A90,main!$A$3:$H$102,6,FALSE)&gt;=main!$D$103+VLOOKUP(VLOOKUP(AR$1,main!$A$3:$I$102,7,FALSE),main!$K$26:$Q$29,3,FALSE),1,0)</f>
        <v>0</v>
      </c>
      <c r="AS90">
        <f>IF(VLOOKUP(AS$1,main!$A$3:$H$102,5,FALSE)-VLOOKUP($A90,main!$A$3:$H$102,6,FALSE)&gt;=main!$D$103+VLOOKUP(VLOOKUP(AS$1,main!$A$3:$I$102,7,FALSE),main!$K$26:$Q$29,3,FALSE),1,0)</f>
        <v>0</v>
      </c>
      <c r="AT90">
        <f>IF(VLOOKUP(AT$1,main!$A$3:$H$102,5,FALSE)-VLOOKUP($A90,main!$A$3:$H$102,6,FALSE)&gt;=main!$D$103+VLOOKUP(VLOOKUP(AT$1,main!$A$3:$I$102,7,FALSE),main!$K$26:$Q$29,3,FALSE),1,0)</f>
        <v>0</v>
      </c>
      <c r="AU90">
        <f>IF(VLOOKUP(AU$1,main!$A$3:$H$102,5,FALSE)-VLOOKUP($A90,main!$A$3:$H$102,6,FALSE)&gt;=main!$D$103+VLOOKUP(VLOOKUP(AU$1,main!$A$3:$I$102,7,FALSE),main!$K$26:$Q$29,3,FALSE),1,0)</f>
        <v>0</v>
      </c>
      <c r="AV90">
        <f>IF(VLOOKUP(AV$1,main!$A$3:$H$102,5,FALSE)-VLOOKUP($A90,main!$A$3:$H$102,6,FALSE)&gt;=main!$D$103+VLOOKUP(VLOOKUP(AV$1,main!$A$3:$I$102,7,FALSE),main!$K$26:$Q$29,3,FALSE),1,0)</f>
        <v>0</v>
      </c>
      <c r="AW90">
        <f>IF(VLOOKUP(AW$1,main!$A$3:$H$102,5,FALSE)-VLOOKUP($A90,main!$A$3:$H$102,6,FALSE)&gt;=main!$D$103+VLOOKUP(VLOOKUP(AW$1,main!$A$3:$I$102,7,FALSE),main!$K$26:$Q$29,3,FALSE),1,0)</f>
        <v>0</v>
      </c>
      <c r="AX90">
        <f>IF(VLOOKUP(AX$1,main!$A$3:$H$102,5,FALSE)-VLOOKUP($A90,main!$A$3:$H$102,6,FALSE)&gt;=main!$D$103+VLOOKUP(VLOOKUP(AX$1,main!$A$3:$I$102,7,FALSE),main!$K$26:$Q$29,3,FALSE),1,0)</f>
        <v>0</v>
      </c>
      <c r="AY90">
        <f>IF(VLOOKUP(AY$1,main!$A$3:$H$102,5,FALSE)-VLOOKUP($A90,main!$A$3:$H$102,6,FALSE)&gt;=main!$D$103+VLOOKUP(VLOOKUP(AY$1,main!$A$3:$I$102,7,FALSE),main!$K$26:$Q$29,3,FALSE),1,0)</f>
        <v>0</v>
      </c>
      <c r="AZ90">
        <f>IF(VLOOKUP(AZ$1,main!$A$3:$H$102,5,FALSE)-VLOOKUP($A90,main!$A$3:$H$102,6,FALSE)&gt;=main!$D$103+VLOOKUP(VLOOKUP(AZ$1,main!$A$3:$I$102,7,FALSE),main!$K$26:$Q$29,3,FALSE),1,0)</f>
        <v>0</v>
      </c>
      <c r="BA90">
        <f>IF(VLOOKUP(BA$1,main!$A$3:$H$102,5,FALSE)-VLOOKUP($A90,main!$A$3:$H$102,6,FALSE)&gt;=main!$D$103+VLOOKUP(VLOOKUP(BA$1,main!$A$3:$I$102,7,FALSE),main!$K$26:$Q$29,3,FALSE),1,0)</f>
        <v>0</v>
      </c>
      <c r="BB90">
        <f>IF(VLOOKUP(BB$1,main!$A$3:$H$102,5,FALSE)-VLOOKUP($A90,main!$A$3:$H$102,6,FALSE)&gt;=main!$D$103+VLOOKUP(VLOOKUP(BB$1,main!$A$3:$I$102,7,FALSE),main!$K$26:$Q$29,3,FALSE),1,0)</f>
        <v>0</v>
      </c>
      <c r="BC90">
        <f>IF(VLOOKUP(BC$1,main!$A$3:$H$102,5,FALSE)-VLOOKUP($A90,main!$A$3:$H$102,6,FALSE)&gt;=main!$D$103+VLOOKUP(VLOOKUP(BC$1,main!$A$3:$I$102,7,FALSE),main!$K$26:$Q$29,3,FALSE),1,0)</f>
        <v>0</v>
      </c>
      <c r="BD90">
        <f>IF(VLOOKUP(BD$1,main!$A$3:$H$102,5,FALSE)-VLOOKUP($A90,main!$A$3:$H$102,6,FALSE)&gt;=main!$D$103+VLOOKUP(VLOOKUP(BD$1,main!$A$3:$I$102,7,FALSE),main!$K$26:$Q$29,3,FALSE),1,0)</f>
        <v>0</v>
      </c>
      <c r="BE90">
        <f>IF(VLOOKUP(BE$1,main!$A$3:$H$102,5,FALSE)-VLOOKUP($A90,main!$A$3:$H$102,6,FALSE)&gt;=main!$D$103+VLOOKUP(VLOOKUP(BE$1,main!$A$3:$I$102,7,FALSE),main!$K$26:$Q$29,3,FALSE),1,0)</f>
        <v>1</v>
      </c>
      <c r="BF90">
        <f>IF(VLOOKUP(BF$1,main!$A$3:$H$102,5,FALSE)-VLOOKUP($A90,main!$A$3:$H$102,6,FALSE)&gt;=main!$D$103+VLOOKUP(VLOOKUP(BF$1,main!$A$3:$I$102,7,FALSE),main!$K$26:$Q$29,3,FALSE),1,0)</f>
        <v>0</v>
      </c>
      <c r="BG90">
        <f>IF(VLOOKUP(BG$1,main!$A$3:$H$102,5,FALSE)-VLOOKUP($A90,main!$A$3:$H$102,6,FALSE)&gt;=main!$D$103+VLOOKUP(VLOOKUP(BG$1,main!$A$3:$I$102,7,FALSE),main!$K$26:$Q$29,3,FALSE),1,0)</f>
        <v>0</v>
      </c>
      <c r="BH90">
        <f>IF(VLOOKUP(BH$1,main!$A$3:$H$102,5,FALSE)-VLOOKUP($A90,main!$A$3:$H$102,6,FALSE)&gt;=main!$D$103+VLOOKUP(VLOOKUP(BH$1,main!$A$3:$I$102,7,FALSE),main!$K$26:$Q$29,3,FALSE),1,0)</f>
        <v>0</v>
      </c>
      <c r="BI90">
        <f>IF(VLOOKUP(BI$1,main!$A$3:$H$102,5,FALSE)-VLOOKUP($A90,main!$A$3:$H$102,6,FALSE)&gt;=main!$D$103+VLOOKUP(VLOOKUP(BI$1,main!$A$3:$I$102,7,FALSE),main!$K$26:$Q$29,3,FALSE),1,0)</f>
        <v>1</v>
      </c>
      <c r="BJ90">
        <f>IF(VLOOKUP(BJ$1,main!$A$3:$H$102,5,FALSE)-VLOOKUP($A90,main!$A$3:$H$102,6,FALSE)&gt;=main!$D$103+VLOOKUP(VLOOKUP(BJ$1,main!$A$3:$I$102,7,FALSE),main!$K$26:$Q$29,3,FALSE),1,0)</f>
        <v>1</v>
      </c>
      <c r="BK90">
        <f>IF(VLOOKUP(BK$1,main!$A$3:$H$102,5,FALSE)-VLOOKUP($A90,main!$A$3:$H$102,6,FALSE)&gt;=main!$D$103+VLOOKUP(VLOOKUP(BK$1,main!$A$3:$I$102,7,FALSE),main!$K$26:$Q$29,3,FALSE),1,0)</f>
        <v>0</v>
      </c>
      <c r="BL90">
        <f>IF(VLOOKUP(BL$1,main!$A$3:$H$102,5,FALSE)-VLOOKUP($A90,main!$A$3:$H$102,6,FALSE)&gt;=main!$D$103+VLOOKUP(VLOOKUP(BL$1,main!$A$3:$I$102,7,FALSE),main!$K$26:$Q$29,3,FALSE),1,0)</f>
        <v>0</v>
      </c>
      <c r="BM90">
        <f>IF(VLOOKUP(BM$1,main!$A$3:$H$102,5,FALSE)-VLOOKUP($A90,main!$A$3:$H$102,6,FALSE)&gt;=main!$D$103+VLOOKUP(VLOOKUP(BM$1,main!$A$3:$I$102,7,FALSE),main!$K$26:$Q$29,3,FALSE),1,0)</f>
        <v>0</v>
      </c>
      <c r="BN90">
        <f>IF(VLOOKUP(BN$1,main!$A$3:$H$102,5,FALSE)-VLOOKUP($A90,main!$A$3:$H$102,6,FALSE)&gt;=main!$D$103+VLOOKUP(VLOOKUP(BN$1,main!$A$3:$I$102,7,FALSE),main!$K$26:$Q$29,3,FALSE),1,0)</f>
        <v>0</v>
      </c>
      <c r="BO90">
        <f>IF(VLOOKUP(BO$1,main!$A$3:$H$102,5,FALSE)-VLOOKUP($A90,main!$A$3:$H$102,6,FALSE)&gt;=main!$D$103+VLOOKUP(VLOOKUP(BO$1,main!$A$3:$I$102,7,FALSE),main!$K$26:$Q$29,3,FALSE),1,0)</f>
        <v>0</v>
      </c>
      <c r="BP90">
        <f>IF(VLOOKUP(BP$1,main!$A$3:$H$102,5,FALSE)-VLOOKUP($A90,main!$A$3:$H$102,6,FALSE)&gt;=main!$D$103+VLOOKUP(VLOOKUP(BP$1,main!$A$3:$I$102,7,FALSE),main!$K$26:$Q$29,3,FALSE),1,0)</f>
        <v>0</v>
      </c>
      <c r="BQ90">
        <f>IF(VLOOKUP(BQ$1,main!$A$3:$H$102,5,FALSE)-VLOOKUP($A90,main!$A$3:$H$102,6,FALSE)&gt;=main!$D$103+VLOOKUP(VLOOKUP(BQ$1,main!$A$3:$I$102,7,FALSE),main!$K$26:$Q$29,3,FALSE),1,0)</f>
        <v>0</v>
      </c>
      <c r="BR90">
        <f>IF(VLOOKUP(BR$1,main!$A$3:$H$102,5,FALSE)-VLOOKUP($A90,main!$A$3:$H$102,6,FALSE)&gt;=main!$D$103+VLOOKUP(VLOOKUP(BR$1,main!$A$3:$I$102,7,FALSE),main!$K$26:$Q$29,3,FALSE),1,0)</f>
        <v>0</v>
      </c>
      <c r="BS90">
        <f>IF(VLOOKUP(BS$1,main!$A$3:$H$102,5,FALSE)-VLOOKUP($A90,main!$A$3:$H$102,6,FALSE)&gt;=main!$D$103+VLOOKUP(VLOOKUP(BS$1,main!$A$3:$I$102,7,FALSE),main!$K$26:$Q$29,3,FALSE),1,0)</f>
        <v>0</v>
      </c>
      <c r="BT90">
        <f>IF(VLOOKUP(BT$1,main!$A$3:$H$102,5,FALSE)-VLOOKUP($A90,main!$A$3:$H$102,6,FALSE)&gt;=main!$D$103+VLOOKUP(VLOOKUP(BT$1,main!$A$3:$I$102,7,FALSE),main!$K$26:$Q$29,3,FALSE),1,0)</f>
        <v>0</v>
      </c>
      <c r="BU90">
        <f>IF(VLOOKUP(BU$1,main!$A$3:$H$102,5,FALSE)-VLOOKUP($A90,main!$A$3:$H$102,6,FALSE)&gt;=main!$D$103+VLOOKUP(VLOOKUP(BU$1,main!$A$3:$I$102,7,FALSE),main!$K$26:$Q$29,3,FALSE),1,0)</f>
        <v>0</v>
      </c>
      <c r="BV90">
        <f>IF(VLOOKUP(BV$1,main!$A$3:$H$102,5,FALSE)-VLOOKUP($A90,main!$A$3:$H$102,6,FALSE)&gt;=main!$D$103+VLOOKUP(VLOOKUP(BV$1,main!$A$3:$I$102,7,FALSE),main!$K$26:$Q$29,3,FALSE),1,0)</f>
        <v>0</v>
      </c>
      <c r="BW90">
        <f>IF(VLOOKUP(BW$1,main!$A$3:$H$102,5,FALSE)-VLOOKUP($A90,main!$A$3:$H$102,6,FALSE)&gt;=main!$D$103+VLOOKUP(VLOOKUP(BW$1,main!$A$3:$I$102,7,FALSE),main!$K$26:$Q$29,3,FALSE),1,0)</f>
        <v>0</v>
      </c>
      <c r="BX90">
        <f>IF(VLOOKUP(BX$1,main!$A$3:$H$102,5,FALSE)-VLOOKUP($A90,main!$A$3:$H$102,6,FALSE)&gt;=main!$D$103+VLOOKUP(VLOOKUP(BX$1,main!$A$3:$I$102,7,FALSE),main!$K$26:$Q$29,3,FALSE),1,0)</f>
        <v>0</v>
      </c>
      <c r="BY90">
        <f>IF(VLOOKUP(BY$1,main!$A$3:$H$102,5,FALSE)-VLOOKUP($A90,main!$A$3:$H$102,6,FALSE)&gt;=main!$D$103+VLOOKUP(VLOOKUP(BY$1,main!$A$3:$I$102,7,FALSE),main!$K$26:$Q$29,3,FALSE),1,0)</f>
        <v>0</v>
      </c>
      <c r="BZ90">
        <f>IF(VLOOKUP(BZ$1,main!$A$3:$H$102,5,FALSE)-VLOOKUP($A90,main!$A$3:$H$102,6,FALSE)&gt;=main!$D$103+VLOOKUP(VLOOKUP(BZ$1,main!$A$3:$I$102,7,FALSE),main!$K$26:$Q$29,3,FALSE),1,0)</f>
        <v>0</v>
      </c>
      <c r="CA90">
        <f>IF(VLOOKUP(CA$1,main!$A$3:$H$102,5,FALSE)-VLOOKUP($A90,main!$A$3:$H$102,6,FALSE)&gt;=main!$D$103+VLOOKUP(VLOOKUP(CA$1,main!$A$3:$I$102,7,FALSE),main!$K$26:$Q$29,3,FALSE),1,0)</f>
        <v>0</v>
      </c>
      <c r="CB90">
        <f>IF(VLOOKUP(CB$1,main!$A$3:$H$102,5,FALSE)-VLOOKUP($A90,main!$A$3:$H$102,6,FALSE)&gt;=main!$D$103+VLOOKUP(VLOOKUP(CB$1,main!$A$3:$I$102,7,FALSE),main!$K$26:$Q$29,3,FALSE),1,0)</f>
        <v>0</v>
      </c>
      <c r="CC90">
        <f>IF(VLOOKUP(CC$1,main!$A$3:$H$102,5,FALSE)-VLOOKUP($A90,main!$A$3:$H$102,6,FALSE)&gt;=main!$D$103+VLOOKUP(VLOOKUP(CC$1,main!$A$3:$I$102,7,FALSE),main!$K$26:$Q$29,3,FALSE),1,0)</f>
        <v>1</v>
      </c>
      <c r="CD90">
        <f>IF(VLOOKUP(CD$1,main!$A$3:$H$102,5,FALSE)-VLOOKUP($A90,main!$A$3:$H$102,6,FALSE)&gt;=main!$D$103+VLOOKUP(VLOOKUP(CD$1,main!$A$3:$I$102,7,FALSE),main!$K$26:$Q$29,3,FALSE),1,0)</f>
        <v>0</v>
      </c>
      <c r="CE90">
        <f>IF(VLOOKUP(CE$1,main!$A$3:$H$102,5,FALSE)-VLOOKUP($A90,main!$A$3:$H$102,6,FALSE)&gt;=main!$D$103+VLOOKUP(VLOOKUP(CE$1,main!$A$3:$I$102,7,FALSE),main!$K$26:$Q$29,3,FALSE),1,0)</f>
        <v>0</v>
      </c>
      <c r="CF90">
        <f>IF(VLOOKUP(CF$1,main!$A$3:$H$102,5,FALSE)-VLOOKUP($A90,main!$A$3:$H$102,6,FALSE)&gt;=main!$D$103+VLOOKUP(VLOOKUP(CF$1,main!$A$3:$I$102,7,FALSE),main!$K$26:$Q$29,3,FALSE),1,0)</f>
        <v>0</v>
      </c>
      <c r="CG90">
        <f>IF(VLOOKUP(CG$1,main!$A$3:$H$102,5,FALSE)-VLOOKUP($A90,main!$A$3:$H$102,6,FALSE)&gt;=main!$D$103+VLOOKUP(VLOOKUP(CG$1,main!$A$3:$I$102,7,FALSE),main!$K$26:$Q$29,3,FALSE),1,0)</f>
        <v>0</v>
      </c>
      <c r="CH90">
        <f>IF(VLOOKUP(CH$1,main!$A$3:$H$102,5,FALSE)-VLOOKUP($A90,main!$A$3:$H$102,6,FALSE)&gt;=main!$D$103+VLOOKUP(VLOOKUP(CH$1,main!$A$3:$I$102,7,FALSE),main!$K$26:$Q$29,3,FALSE),1,0)</f>
        <v>1</v>
      </c>
      <c r="CI90">
        <f>IF(VLOOKUP(CI$1,main!$A$3:$H$102,5,FALSE)-VLOOKUP($A90,main!$A$3:$H$102,6,FALSE)&gt;=main!$D$103+VLOOKUP(VLOOKUP(CI$1,main!$A$3:$I$102,7,FALSE),main!$K$26:$Q$29,3,FALSE),1,0)</f>
        <v>1</v>
      </c>
      <c r="CJ90">
        <f>IF(VLOOKUP(CJ$1,main!$A$3:$H$102,5,FALSE)-VLOOKUP($A90,main!$A$3:$H$102,6,FALSE)&gt;=main!$D$103+VLOOKUP(VLOOKUP(CJ$1,main!$A$3:$I$102,7,FALSE),main!$K$26:$Q$29,3,FALSE),1,0)</f>
        <v>0</v>
      </c>
      <c r="CK90">
        <f>IF(VLOOKUP(CK$1,main!$A$3:$H$102,5,FALSE)-VLOOKUP($A90,main!$A$3:$H$102,6,FALSE)&gt;=main!$D$103+VLOOKUP(VLOOKUP(CK$1,main!$A$3:$I$102,7,FALSE),main!$K$26:$Q$29,3,FALSE),1,0)</f>
        <v>0</v>
      </c>
      <c r="CL90">
        <f>IF(VLOOKUP(CL$1,main!$A$3:$H$102,5,FALSE)-VLOOKUP($A90,main!$A$3:$H$102,6,FALSE)&gt;=main!$D$103+VLOOKUP(VLOOKUP(CL$1,main!$A$3:$I$102,7,FALSE),main!$K$26:$Q$29,3,FALSE),1,0)</f>
        <v>0</v>
      </c>
      <c r="CM90">
        <f>IF(VLOOKUP(CM$1,main!$A$3:$H$102,5,FALSE)-VLOOKUP($A90,main!$A$3:$H$102,6,FALSE)&gt;=main!$D$103+VLOOKUP(VLOOKUP(CM$1,main!$A$3:$I$102,7,FALSE),main!$K$26:$Q$29,3,FALSE),1,0)</f>
        <v>1</v>
      </c>
      <c r="CN90">
        <f>IF(VLOOKUP(CN$1,main!$A$3:$H$102,5,FALSE)-VLOOKUP($A90,main!$A$3:$H$102,6,FALSE)&gt;=main!$D$103+VLOOKUP(VLOOKUP(CN$1,main!$A$3:$I$102,7,FALSE),main!$K$26:$Q$29,3,FALSE),1,0)</f>
        <v>1</v>
      </c>
      <c r="CO90">
        <f>IF(VLOOKUP(CO$1,main!$A$3:$H$102,5,FALSE)-VLOOKUP($A90,main!$A$3:$H$102,6,FALSE)&gt;=main!$D$103+VLOOKUP(VLOOKUP(CO$1,main!$A$3:$I$102,7,FALSE),main!$K$26:$Q$29,3,FALSE),1,0)</f>
        <v>0</v>
      </c>
      <c r="CP90">
        <f>IF(VLOOKUP(CP$1,main!$A$3:$H$102,5,FALSE)-VLOOKUP($A90,main!$A$3:$H$102,6,FALSE)&gt;=main!$D$103+VLOOKUP(VLOOKUP(CP$1,main!$A$3:$I$102,7,FALSE),main!$K$26:$Q$29,3,FALSE),1,0)</f>
        <v>0</v>
      </c>
      <c r="CQ90">
        <f>IF(VLOOKUP(CQ$1,main!$A$3:$H$102,5,FALSE)-VLOOKUP($A90,main!$A$3:$H$102,6,FALSE)&gt;=main!$D$103+VLOOKUP(VLOOKUP(CQ$1,main!$A$3:$I$102,7,FALSE),main!$K$26:$Q$29,3,FALSE),1,0)</f>
        <v>0</v>
      </c>
      <c r="CR90">
        <f>IF(VLOOKUP(CR$1,main!$A$3:$H$102,5,FALSE)-VLOOKUP($A90,main!$A$3:$H$102,6,FALSE)&gt;=main!$D$103+VLOOKUP(VLOOKUP(CR$1,main!$A$3:$I$102,7,FALSE),main!$K$26:$Q$29,3,FALSE),1,0)</f>
        <v>1</v>
      </c>
      <c r="CS90">
        <f>IF(VLOOKUP(CS$1,main!$A$3:$H$102,5,FALSE)-VLOOKUP($A90,main!$A$3:$H$102,6,FALSE)&gt;=main!$D$103+VLOOKUP(VLOOKUP(CS$1,main!$A$3:$I$102,7,FALSE),main!$K$26:$Q$29,3,FALSE),1,0)</f>
        <v>1</v>
      </c>
      <c r="CT90">
        <f>IF(VLOOKUP(CT$1,main!$A$3:$H$102,5,FALSE)-VLOOKUP($A90,main!$A$3:$H$102,6,FALSE)&gt;=main!$D$103+VLOOKUP(VLOOKUP(CT$1,main!$A$3:$I$102,7,FALSE),main!$K$26:$Q$29,3,FALSE),1,0)</f>
        <v>0</v>
      </c>
      <c r="CU90">
        <f>IF(VLOOKUP(CU$1,main!$A$3:$H$102,5,FALSE)-VLOOKUP($A90,main!$A$3:$H$102,6,FALSE)&gt;=main!$D$103+VLOOKUP(VLOOKUP(CU$1,main!$A$3:$I$102,7,FALSE),main!$K$26:$Q$29,3,FALSE),1,0)</f>
        <v>0</v>
      </c>
      <c r="CV90">
        <f>IF(VLOOKUP(CV$1,main!$A$3:$H$102,5,FALSE)-VLOOKUP($A90,main!$A$3:$H$102,6,FALSE)&gt;=main!$D$103+VLOOKUP(VLOOKUP(CV$1,main!$A$3:$I$102,7,FALSE),main!$K$26:$Q$29,3,FALSE),1,0)</f>
        <v>0</v>
      </c>
      <c r="CW90">
        <f>IF(VLOOKUP(CW$1,main!$A$3:$H$102,5,FALSE)-VLOOKUP($A90,main!$A$3:$H$102,6,FALSE)&gt;=main!$D$103+VLOOKUP(VLOOKUP(CW$1,main!$A$3:$I$102,7,FALSE),main!$K$26:$Q$29,3,FALSE),1,0)</f>
        <v>1</v>
      </c>
      <c r="CX90">
        <f>IF(VLOOKUP(CX$1,main!$A$3:$H$102,5,FALSE)-VLOOKUP($A90,main!$A$3:$H$102,6,FALSE)&gt;=main!$D$103+VLOOKUP(VLOOKUP(CX$1,main!$A$3:$I$102,7,FALSE),main!$K$26:$Q$29,3,FALSE),1,0)</f>
        <v>1</v>
      </c>
    </row>
    <row r="91" spans="1:102" x14ac:dyDescent="0.25">
      <c r="A91" s="1">
        <v>89</v>
      </c>
      <c r="B91">
        <v>0</v>
      </c>
      <c r="C91">
        <f>IF(VLOOKUP(C$1,main!$A$3:$H$102,5,FALSE)-VLOOKUP($A91,main!$A$3:$H$102,6,FALSE)&gt;=main!$D$103+VLOOKUP(VLOOKUP(C$1,main!$A$3:$I$102,7,FALSE),main!$K$26:$Q$29,3,FALSE),1,0)</f>
        <v>0</v>
      </c>
      <c r="D91">
        <f>IF(VLOOKUP(D$1,main!$A$3:$H$102,5,FALSE)-VLOOKUP($A91,main!$A$3:$H$102,6,FALSE)&gt;=main!$D$103+VLOOKUP(VLOOKUP(D$1,main!$A$3:$I$102,7,FALSE),main!$K$26:$Q$29,3,FALSE),1,0)</f>
        <v>0</v>
      </c>
      <c r="E91">
        <f>IF(VLOOKUP(E$1,main!$A$3:$H$102,5,FALSE)-VLOOKUP($A91,main!$A$3:$H$102,6,FALSE)&gt;=main!$D$103+VLOOKUP(VLOOKUP(E$1,main!$A$3:$I$102,7,FALSE),main!$K$26:$Q$29,3,FALSE),1,0)</f>
        <v>0</v>
      </c>
      <c r="F91">
        <f>IF(VLOOKUP(F$1,main!$A$3:$H$102,5,FALSE)-VLOOKUP($A91,main!$A$3:$H$102,6,FALSE)&gt;=main!$D$103+VLOOKUP(VLOOKUP(F$1,main!$A$3:$I$102,7,FALSE),main!$K$26:$Q$29,3,FALSE),1,0)</f>
        <v>0</v>
      </c>
      <c r="G91">
        <f>IF(VLOOKUP(G$1,main!$A$3:$H$102,5,FALSE)-VLOOKUP($A91,main!$A$3:$H$102,6,FALSE)&gt;=main!$D$103+VLOOKUP(VLOOKUP(G$1,main!$A$3:$I$102,7,FALSE),main!$K$26:$Q$29,3,FALSE),1,0)</f>
        <v>0</v>
      </c>
      <c r="H91">
        <f>IF(VLOOKUP(H$1,main!$A$3:$H$102,5,FALSE)-VLOOKUP($A91,main!$A$3:$H$102,6,FALSE)&gt;=main!$D$103+VLOOKUP(VLOOKUP(H$1,main!$A$3:$I$102,7,FALSE),main!$K$26:$Q$29,3,FALSE),1,0)</f>
        <v>0</v>
      </c>
      <c r="I91">
        <f>IF(VLOOKUP(I$1,main!$A$3:$H$102,5,FALSE)-VLOOKUP($A91,main!$A$3:$H$102,6,FALSE)&gt;=main!$D$103+VLOOKUP(VLOOKUP(I$1,main!$A$3:$I$102,7,FALSE),main!$K$26:$Q$29,3,FALSE),1,0)</f>
        <v>0</v>
      </c>
      <c r="J91">
        <f>IF(VLOOKUP(J$1,main!$A$3:$H$102,5,FALSE)-VLOOKUP($A91,main!$A$3:$H$102,6,FALSE)&gt;=main!$D$103+VLOOKUP(VLOOKUP(J$1,main!$A$3:$I$102,7,FALSE),main!$K$26:$Q$29,3,FALSE),1,0)</f>
        <v>0</v>
      </c>
      <c r="K91">
        <f>IF(VLOOKUP(K$1,main!$A$3:$H$102,5,FALSE)-VLOOKUP($A91,main!$A$3:$H$102,6,FALSE)&gt;=main!$D$103+VLOOKUP(VLOOKUP(K$1,main!$A$3:$I$102,7,FALSE),main!$K$26:$Q$29,3,FALSE),1,0)</f>
        <v>0</v>
      </c>
      <c r="L91">
        <f>IF(VLOOKUP(L$1,main!$A$3:$H$102,5,FALSE)-VLOOKUP($A91,main!$A$3:$H$102,6,FALSE)&gt;=main!$D$103+VLOOKUP(VLOOKUP(L$1,main!$A$3:$I$102,7,FALSE),main!$K$26:$Q$29,3,FALSE),1,0)</f>
        <v>1</v>
      </c>
      <c r="M91">
        <f>IF(VLOOKUP(M$1,main!$A$3:$H$102,5,FALSE)-VLOOKUP($A91,main!$A$3:$H$102,6,FALSE)&gt;=main!$D$103+VLOOKUP(VLOOKUP(M$1,main!$A$3:$I$102,7,FALSE),main!$K$26:$Q$29,3,FALSE),1,0)</f>
        <v>0</v>
      </c>
      <c r="N91">
        <f>IF(VLOOKUP(N$1,main!$A$3:$H$102,5,FALSE)-VLOOKUP($A91,main!$A$3:$H$102,6,FALSE)&gt;=main!$D$103+VLOOKUP(VLOOKUP(N$1,main!$A$3:$I$102,7,FALSE),main!$K$26:$Q$29,3,FALSE),1,0)</f>
        <v>0</v>
      </c>
      <c r="O91">
        <f>IF(VLOOKUP(O$1,main!$A$3:$H$102,5,FALSE)-VLOOKUP($A91,main!$A$3:$H$102,6,FALSE)&gt;=main!$D$103+VLOOKUP(VLOOKUP(O$1,main!$A$3:$I$102,7,FALSE),main!$K$26:$Q$29,3,FALSE),1,0)</f>
        <v>0</v>
      </c>
      <c r="P91">
        <f>IF(VLOOKUP(P$1,main!$A$3:$H$102,5,FALSE)-VLOOKUP($A91,main!$A$3:$H$102,6,FALSE)&gt;=main!$D$103+VLOOKUP(VLOOKUP(P$1,main!$A$3:$I$102,7,FALSE),main!$K$26:$Q$29,3,FALSE),1,0)</f>
        <v>0</v>
      </c>
      <c r="Q91">
        <f>IF(VLOOKUP(Q$1,main!$A$3:$H$102,5,FALSE)-VLOOKUP($A91,main!$A$3:$H$102,6,FALSE)&gt;=main!$D$103+VLOOKUP(VLOOKUP(Q$1,main!$A$3:$I$102,7,FALSE),main!$K$26:$Q$29,3,FALSE),1,0)</f>
        <v>0</v>
      </c>
      <c r="R91">
        <f>IF(VLOOKUP(R$1,main!$A$3:$H$102,5,FALSE)-VLOOKUP($A91,main!$A$3:$H$102,6,FALSE)&gt;=main!$D$103+VLOOKUP(VLOOKUP(R$1,main!$A$3:$I$102,7,FALSE),main!$K$26:$Q$29,3,FALSE),1,0)</f>
        <v>0</v>
      </c>
      <c r="S91">
        <f>IF(VLOOKUP(S$1,main!$A$3:$H$102,5,FALSE)-VLOOKUP($A91,main!$A$3:$H$102,6,FALSE)&gt;=main!$D$103+VLOOKUP(VLOOKUP(S$1,main!$A$3:$I$102,7,FALSE),main!$K$26:$Q$29,3,FALSE),1,0)</f>
        <v>0</v>
      </c>
      <c r="T91">
        <f>IF(VLOOKUP(T$1,main!$A$3:$H$102,5,FALSE)-VLOOKUP($A91,main!$A$3:$H$102,6,FALSE)&gt;=main!$D$103+VLOOKUP(VLOOKUP(T$1,main!$A$3:$I$102,7,FALSE),main!$K$26:$Q$29,3,FALSE),1,0)</f>
        <v>0</v>
      </c>
      <c r="U91">
        <f>IF(VLOOKUP(U$1,main!$A$3:$H$102,5,FALSE)-VLOOKUP($A91,main!$A$3:$H$102,6,FALSE)&gt;=main!$D$103+VLOOKUP(VLOOKUP(U$1,main!$A$3:$I$102,7,FALSE),main!$K$26:$Q$29,3,FALSE),1,0)</f>
        <v>0</v>
      </c>
      <c r="V91">
        <f>IF(VLOOKUP(V$1,main!$A$3:$H$102,5,FALSE)-VLOOKUP($A91,main!$A$3:$H$102,6,FALSE)&gt;=main!$D$103+VLOOKUP(VLOOKUP(V$1,main!$A$3:$I$102,7,FALSE),main!$K$26:$Q$29,3,FALSE),1,0)</f>
        <v>1</v>
      </c>
      <c r="W91">
        <f>IF(VLOOKUP(W$1,main!$A$3:$H$102,5,FALSE)-VLOOKUP($A91,main!$A$3:$H$102,6,FALSE)&gt;=main!$D$103+VLOOKUP(VLOOKUP(W$1,main!$A$3:$I$102,7,FALSE),main!$K$26:$Q$29,3,FALSE),1,0)</f>
        <v>0</v>
      </c>
      <c r="X91">
        <f>IF(VLOOKUP(X$1,main!$A$3:$H$102,5,FALSE)-VLOOKUP($A91,main!$A$3:$H$102,6,FALSE)&gt;=main!$D$103+VLOOKUP(VLOOKUP(X$1,main!$A$3:$I$102,7,FALSE),main!$K$26:$Q$29,3,FALSE),1,0)</f>
        <v>0</v>
      </c>
      <c r="Y91">
        <f>IF(VLOOKUP(Y$1,main!$A$3:$H$102,5,FALSE)-VLOOKUP($A91,main!$A$3:$H$102,6,FALSE)&gt;=main!$D$103+VLOOKUP(VLOOKUP(Y$1,main!$A$3:$I$102,7,FALSE),main!$K$26:$Q$29,3,FALSE),1,0)</f>
        <v>0</v>
      </c>
      <c r="Z91">
        <f>IF(VLOOKUP(Z$1,main!$A$3:$H$102,5,FALSE)-VLOOKUP($A91,main!$A$3:$H$102,6,FALSE)&gt;=main!$D$103+VLOOKUP(VLOOKUP(Z$1,main!$A$3:$I$102,7,FALSE),main!$K$26:$Q$29,3,FALSE),1,0)</f>
        <v>0</v>
      </c>
      <c r="AA91">
        <f>IF(VLOOKUP(AA$1,main!$A$3:$H$102,5,FALSE)-VLOOKUP($A91,main!$A$3:$H$102,6,FALSE)&gt;=main!$D$103+VLOOKUP(VLOOKUP(AA$1,main!$A$3:$I$102,7,FALSE),main!$K$26:$Q$29,3,FALSE),1,0)</f>
        <v>0</v>
      </c>
      <c r="AB91">
        <f>IF(VLOOKUP(AB$1,main!$A$3:$H$102,5,FALSE)-VLOOKUP($A91,main!$A$3:$H$102,6,FALSE)&gt;=main!$D$103+VLOOKUP(VLOOKUP(AB$1,main!$A$3:$I$102,7,FALSE),main!$K$26:$Q$29,3,FALSE),1,0)</f>
        <v>0</v>
      </c>
      <c r="AC91">
        <f>IF(VLOOKUP(AC$1,main!$A$3:$H$102,5,FALSE)-VLOOKUP($A91,main!$A$3:$H$102,6,FALSE)&gt;=main!$D$103+VLOOKUP(VLOOKUP(AC$1,main!$A$3:$I$102,7,FALSE),main!$K$26:$Q$29,3,FALSE),1,0)</f>
        <v>0</v>
      </c>
      <c r="AD91">
        <f>IF(VLOOKUP(AD$1,main!$A$3:$H$102,5,FALSE)-VLOOKUP($A91,main!$A$3:$H$102,6,FALSE)&gt;=main!$D$103+VLOOKUP(VLOOKUP(AD$1,main!$A$3:$I$102,7,FALSE),main!$K$26:$Q$29,3,FALSE),1,0)</f>
        <v>0</v>
      </c>
      <c r="AE91">
        <f>IF(VLOOKUP(AE$1,main!$A$3:$H$102,5,FALSE)-VLOOKUP($A91,main!$A$3:$H$102,6,FALSE)&gt;=main!$D$103+VLOOKUP(VLOOKUP(AE$1,main!$A$3:$I$102,7,FALSE),main!$K$26:$Q$29,3,FALSE),1,0)</f>
        <v>0</v>
      </c>
      <c r="AF91">
        <f>IF(VLOOKUP(AF$1,main!$A$3:$H$102,5,FALSE)-VLOOKUP($A91,main!$A$3:$H$102,6,FALSE)&gt;=main!$D$103+VLOOKUP(VLOOKUP(AF$1,main!$A$3:$I$102,7,FALSE),main!$K$26:$Q$29,3,FALSE),1,0)</f>
        <v>0</v>
      </c>
      <c r="AG91">
        <f>IF(VLOOKUP(AG$1,main!$A$3:$H$102,5,FALSE)-VLOOKUP($A91,main!$A$3:$H$102,6,FALSE)&gt;=main!$D$103+VLOOKUP(VLOOKUP(AG$1,main!$A$3:$I$102,7,FALSE),main!$K$26:$Q$29,3,FALSE),1,0)</f>
        <v>0</v>
      </c>
      <c r="AH91">
        <f>IF(VLOOKUP(AH$1,main!$A$3:$H$102,5,FALSE)-VLOOKUP($A91,main!$A$3:$H$102,6,FALSE)&gt;=main!$D$103+VLOOKUP(VLOOKUP(AH$1,main!$A$3:$I$102,7,FALSE),main!$K$26:$Q$29,3,FALSE),1,0)</f>
        <v>0</v>
      </c>
      <c r="AI91">
        <f>IF(VLOOKUP(AI$1,main!$A$3:$H$102,5,FALSE)-VLOOKUP($A91,main!$A$3:$H$102,6,FALSE)&gt;=main!$D$103+VLOOKUP(VLOOKUP(AI$1,main!$A$3:$I$102,7,FALSE),main!$K$26:$Q$29,3,FALSE),1,0)</f>
        <v>0</v>
      </c>
      <c r="AJ91">
        <f>IF(VLOOKUP(AJ$1,main!$A$3:$H$102,5,FALSE)-VLOOKUP($A91,main!$A$3:$H$102,6,FALSE)&gt;=main!$D$103+VLOOKUP(VLOOKUP(AJ$1,main!$A$3:$I$102,7,FALSE),main!$K$26:$Q$29,3,FALSE),1,0)</f>
        <v>0</v>
      </c>
      <c r="AK91">
        <f>IF(VLOOKUP(AK$1,main!$A$3:$H$102,5,FALSE)-VLOOKUP($A91,main!$A$3:$H$102,6,FALSE)&gt;=main!$D$103+VLOOKUP(VLOOKUP(AK$1,main!$A$3:$I$102,7,FALSE),main!$K$26:$Q$29,3,FALSE),1,0)</f>
        <v>0</v>
      </c>
      <c r="AL91">
        <f>IF(VLOOKUP(AL$1,main!$A$3:$H$102,5,FALSE)-VLOOKUP($A91,main!$A$3:$H$102,6,FALSE)&gt;=main!$D$103+VLOOKUP(VLOOKUP(AL$1,main!$A$3:$I$102,7,FALSE),main!$K$26:$Q$29,3,FALSE),1,0)</f>
        <v>0</v>
      </c>
      <c r="AM91">
        <f>IF(VLOOKUP(AM$1,main!$A$3:$H$102,5,FALSE)-VLOOKUP($A91,main!$A$3:$H$102,6,FALSE)&gt;=main!$D$103+VLOOKUP(VLOOKUP(AM$1,main!$A$3:$I$102,7,FALSE),main!$K$26:$Q$29,3,FALSE),1,0)</f>
        <v>0</v>
      </c>
      <c r="AN91">
        <f>IF(VLOOKUP(AN$1,main!$A$3:$H$102,5,FALSE)-VLOOKUP($A91,main!$A$3:$H$102,6,FALSE)&gt;=main!$D$103+VLOOKUP(VLOOKUP(AN$1,main!$A$3:$I$102,7,FALSE),main!$K$26:$Q$29,3,FALSE),1,0)</f>
        <v>0</v>
      </c>
      <c r="AO91">
        <f>IF(VLOOKUP(AO$1,main!$A$3:$H$102,5,FALSE)-VLOOKUP($A91,main!$A$3:$H$102,6,FALSE)&gt;=main!$D$103+VLOOKUP(VLOOKUP(AO$1,main!$A$3:$I$102,7,FALSE),main!$K$26:$Q$29,3,FALSE),1,0)</f>
        <v>0</v>
      </c>
      <c r="AP91">
        <f>IF(VLOOKUP(AP$1,main!$A$3:$H$102,5,FALSE)-VLOOKUP($A91,main!$A$3:$H$102,6,FALSE)&gt;=main!$D$103+VLOOKUP(VLOOKUP(AP$1,main!$A$3:$I$102,7,FALSE),main!$K$26:$Q$29,3,FALSE),1,0)</f>
        <v>1</v>
      </c>
      <c r="AQ91">
        <f>IF(VLOOKUP(AQ$1,main!$A$3:$H$102,5,FALSE)-VLOOKUP($A91,main!$A$3:$H$102,6,FALSE)&gt;=main!$D$103+VLOOKUP(VLOOKUP(AQ$1,main!$A$3:$I$102,7,FALSE),main!$K$26:$Q$29,3,FALSE),1,0)</f>
        <v>0</v>
      </c>
      <c r="AR91">
        <f>IF(VLOOKUP(AR$1,main!$A$3:$H$102,5,FALSE)-VLOOKUP($A91,main!$A$3:$H$102,6,FALSE)&gt;=main!$D$103+VLOOKUP(VLOOKUP(AR$1,main!$A$3:$I$102,7,FALSE),main!$K$26:$Q$29,3,FALSE),1,0)</f>
        <v>0</v>
      </c>
      <c r="AS91">
        <f>IF(VLOOKUP(AS$1,main!$A$3:$H$102,5,FALSE)-VLOOKUP($A91,main!$A$3:$H$102,6,FALSE)&gt;=main!$D$103+VLOOKUP(VLOOKUP(AS$1,main!$A$3:$I$102,7,FALSE),main!$K$26:$Q$29,3,FALSE),1,0)</f>
        <v>0</v>
      </c>
      <c r="AT91">
        <f>IF(VLOOKUP(AT$1,main!$A$3:$H$102,5,FALSE)-VLOOKUP($A91,main!$A$3:$H$102,6,FALSE)&gt;=main!$D$103+VLOOKUP(VLOOKUP(AT$1,main!$A$3:$I$102,7,FALSE),main!$K$26:$Q$29,3,FALSE),1,0)</f>
        <v>0</v>
      </c>
      <c r="AU91">
        <f>IF(VLOOKUP(AU$1,main!$A$3:$H$102,5,FALSE)-VLOOKUP($A91,main!$A$3:$H$102,6,FALSE)&gt;=main!$D$103+VLOOKUP(VLOOKUP(AU$1,main!$A$3:$I$102,7,FALSE),main!$K$26:$Q$29,3,FALSE),1,0)</f>
        <v>0</v>
      </c>
      <c r="AV91">
        <f>IF(VLOOKUP(AV$1,main!$A$3:$H$102,5,FALSE)-VLOOKUP($A91,main!$A$3:$H$102,6,FALSE)&gt;=main!$D$103+VLOOKUP(VLOOKUP(AV$1,main!$A$3:$I$102,7,FALSE),main!$K$26:$Q$29,3,FALSE),1,0)</f>
        <v>0</v>
      </c>
      <c r="AW91">
        <f>IF(VLOOKUP(AW$1,main!$A$3:$H$102,5,FALSE)-VLOOKUP($A91,main!$A$3:$H$102,6,FALSE)&gt;=main!$D$103+VLOOKUP(VLOOKUP(AW$1,main!$A$3:$I$102,7,FALSE),main!$K$26:$Q$29,3,FALSE),1,0)</f>
        <v>0</v>
      </c>
      <c r="AX91">
        <f>IF(VLOOKUP(AX$1,main!$A$3:$H$102,5,FALSE)-VLOOKUP($A91,main!$A$3:$H$102,6,FALSE)&gt;=main!$D$103+VLOOKUP(VLOOKUP(AX$1,main!$A$3:$I$102,7,FALSE),main!$K$26:$Q$29,3,FALSE),1,0)</f>
        <v>0</v>
      </c>
      <c r="AY91">
        <f>IF(VLOOKUP(AY$1,main!$A$3:$H$102,5,FALSE)-VLOOKUP($A91,main!$A$3:$H$102,6,FALSE)&gt;=main!$D$103+VLOOKUP(VLOOKUP(AY$1,main!$A$3:$I$102,7,FALSE),main!$K$26:$Q$29,3,FALSE),1,0)</f>
        <v>0</v>
      </c>
      <c r="AZ91">
        <f>IF(VLOOKUP(AZ$1,main!$A$3:$H$102,5,FALSE)-VLOOKUP($A91,main!$A$3:$H$102,6,FALSE)&gt;=main!$D$103+VLOOKUP(VLOOKUP(AZ$1,main!$A$3:$I$102,7,FALSE),main!$K$26:$Q$29,3,FALSE),1,0)</f>
        <v>0</v>
      </c>
      <c r="BA91">
        <f>IF(VLOOKUP(BA$1,main!$A$3:$H$102,5,FALSE)-VLOOKUP($A91,main!$A$3:$H$102,6,FALSE)&gt;=main!$D$103+VLOOKUP(VLOOKUP(BA$1,main!$A$3:$I$102,7,FALSE),main!$K$26:$Q$29,3,FALSE),1,0)</f>
        <v>0</v>
      </c>
      <c r="BB91">
        <f>IF(VLOOKUP(BB$1,main!$A$3:$H$102,5,FALSE)-VLOOKUP($A91,main!$A$3:$H$102,6,FALSE)&gt;=main!$D$103+VLOOKUP(VLOOKUP(BB$1,main!$A$3:$I$102,7,FALSE),main!$K$26:$Q$29,3,FALSE),1,0)</f>
        <v>0</v>
      </c>
      <c r="BC91">
        <f>IF(VLOOKUP(BC$1,main!$A$3:$H$102,5,FALSE)-VLOOKUP($A91,main!$A$3:$H$102,6,FALSE)&gt;=main!$D$103+VLOOKUP(VLOOKUP(BC$1,main!$A$3:$I$102,7,FALSE),main!$K$26:$Q$29,3,FALSE),1,0)</f>
        <v>0</v>
      </c>
      <c r="BD91">
        <f>IF(VLOOKUP(BD$1,main!$A$3:$H$102,5,FALSE)-VLOOKUP($A91,main!$A$3:$H$102,6,FALSE)&gt;=main!$D$103+VLOOKUP(VLOOKUP(BD$1,main!$A$3:$I$102,7,FALSE),main!$K$26:$Q$29,3,FALSE),1,0)</f>
        <v>0</v>
      </c>
      <c r="BE91">
        <f>IF(VLOOKUP(BE$1,main!$A$3:$H$102,5,FALSE)-VLOOKUP($A91,main!$A$3:$H$102,6,FALSE)&gt;=main!$D$103+VLOOKUP(VLOOKUP(BE$1,main!$A$3:$I$102,7,FALSE),main!$K$26:$Q$29,3,FALSE),1,0)</f>
        <v>0</v>
      </c>
      <c r="BF91">
        <f>IF(VLOOKUP(BF$1,main!$A$3:$H$102,5,FALSE)-VLOOKUP($A91,main!$A$3:$H$102,6,FALSE)&gt;=main!$D$103+VLOOKUP(VLOOKUP(BF$1,main!$A$3:$I$102,7,FALSE),main!$K$26:$Q$29,3,FALSE),1,0)</f>
        <v>0</v>
      </c>
      <c r="BG91">
        <f>IF(VLOOKUP(BG$1,main!$A$3:$H$102,5,FALSE)-VLOOKUP($A91,main!$A$3:$H$102,6,FALSE)&gt;=main!$D$103+VLOOKUP(VLOOKUP(BG$1,main!$A$3:$I$102,7,FALSE),main!$K$26:$Q$29,3,FALSE),1,0)</f>
        <v>0</v>
      </c>
      <c r="BH91">
        <f>IF(VLOOKUP(BH$1,main!$A$3:$H$102,5,FALSE)-VLOOKUP($A91,main!$A$3:$H$102,6,FALSE)&gt;=main!$D$103+VLOOKUP(VLOOKUP(BH$1,main!$A$3:$I$102,7,FALSE),main!$K$26:$Q$29,3,FALSE),1,0)</f>
        <v>0</v>
      </c>
      <c r="BI91">
        <f>IF(VLOOKUP(BI$1,main!$A$3:$H$102,5,FALSE)-VLOOKUP($A91,main!$A$3:$H$102,6,FALSE)&gt;=main!$D$103+VLOOKUP(VLOOKUP(BI$1,main!$A$3:$I$102,7,FALSE),main!$K$26:$Q$29,3,FALSE),1,0)</f>
        <v>1</v>
      </c>
      <c r="BJ91">
        <f>IF(VLOOKUP(BJ$1,main!$A$3:$H$102,5,FALSE)-VLOOKUP($A91,main!$A$3:$H$102,6,FALSE)&gt;=main!$D$103+VLOOKUP(VLOOKUP(BJ$1,main!$A$3:$I$102,7,FALSE),main!$K$26:$Q$29,3,FALSE),1,0)</f>
        <v>0</v>
      </c>
      <c r="BK91">
        <f>IF(VLOOKUP(BK$1,main!$A$3:$H$102,5,FALSE)-VLOOKUP($A91,main!$A$3:$H$102,6,FALSE)&gt;=main!$D$103+VLOOKUP(VLOOKUP(BK$1,main!$A$3:$I$102,7,FALSE),main!$K$26:$Q$29,3,FALSE),1,0)</f>
        <v>0</v>
      </c>
      <c r="BL91">
        <f>IF(VLOOKUP(BL$1,main!$A$3:$H$102,5,FALSE)-VLOOKUP($A91,main!$A$3:$H$102,6,FALSE)&gt;=main!$D$103+VLOOKUP(VLOOKUP(BL$1,main!$A$3:$I$102,7,FALSE),main!$K$26:$Q$29,3,FALSE),1,0)</f>
        <v>0</v>
      </c>
      <c r="BM91">
        <f>IF(VLOOKUP(BM$1,main!$A$3:$H$102,5,FALSE)-VLOOKUP($A91,main!$A$3:$H$102,6,FALSE)&gt;=main!$D$103+VLOOKUP(VLOOKUP(BM$1,main!$A$3:$I$102,7,FALSE),main!$K$26:$Q$29,3,FALSE),1,0)</f>
        <v>0</v>
      </c>
      <c r="BN91">
        <f>IF(VLOOKUP(BN$1,main!$A$3:$H$102,5,FALSE)-VLOOKUP($A91,main!$A$3:$H$102,6,FALSE)&gt;=main!$D$103+VLOOKUP(VLOOKUP(BN$1,main!$A$3:$I$102,7,FALSE),main!$K$26:$Q$29,3,FALSE),1,0)</f>
        <v>0</v>
      </c>
      <c r="BO91">
        <f>IF(VLOOKUP(BO$1,main!$A$3:$H$102,5,FALSE)-VLOOKUP($A91,main!$A$3:$H$102,6,FALSE)&gt;=main!$D$103+VLOOKUP(VLOOKUP(BO$1,main!$A$3:$I$102,7,FALSE),main!$K$26:$Q$29,3,FALSE),1,0)</f>
        <v>0</v>
      </c>
      <c r="BP91">
        <f>IF(VLOOKUP(BP$1,main!$A$3:$H$102,5,FALSE)-VLOOKUP($A91,main!$A$3:$H$102,6,FALSE)&gt;=main!$D$103+VLOOKUP(VLOOKUP(BP$1,main!$A$3:$I$102,7,FALSE),main!$K$26:$Q$29,3,FALSE),1,0)</f>
        <v>0</v>
      </c>
      <c r="BQ91">
        <f>IF(VLOOKUP(BQ$1,main!$A$3:$H$102,5,FALSE)-VLOOKUP($A91,main!$A$3:$H$102,6,FALSE)&gt;=main!$D$103+VLOOKUP(VLOOKUP(BQ$1,main!$A$3:$I$102,7,FALSE),main!$K$26:$Q$29,3,FALSE),1,0)</f>
        <v>0</v>
      </c>
      <c r="BR91">
        <f>IF(VLOOKUP(BR$1,main!$A$3:$H$102,5,FALSE)-VLOOKUP($A91,main!$A$3:$H$102,6,FALSE)&gt;=main!$D$103+VLOOKUP(VLOOKUP(BR$1,main!$A$3:$I$102,7,FALSE),main!$K$26:$Q$29,3,FALSE),1,0)</f>
        <v>0</v>
      </c>
      <c r="BS91">
        <f>IF(VLOOKUP(BS$1,main!$A$3:$H$102,5,FALSE)-VLOOKUP($A91,main!$A$3:$H$102,6,FALSE)&gt;=main!$D$103+VLOOKUP(VLOOKUP(BS$1,main!$A$3:$I$102,7,FALSE),main!$K$26:$Q$29,3,FALSE),1,0)</f>
        <v>0</v>
      </c>
      <c r="BT91">
        <f>IF(VLOOKUP(BT$1,main!$A$3:$H$102,5,FALSE)-VLOOKUP($A91,main!$A$3:$H$102,6,FALSE)&gt;=main!$D$103+VLOOKUP(VLOOKUP(BT$1,main!$A$3:$I$102,7,FALSE),main!$K$26:$Q$29,3,FALSE),1,0)</f>
        <v>0</v>
      </c>
      <c r="BU91">
        <f>IF(VLOOKUP(BU$1,main!$A$3:$H$102,5,FALSE)-VLOOKUP($A91,main!$A$3:$H$102,6,FALSE)&gt;=main!$D$103+VLOOKUP(VLOOKUP(BU$1,main!$A$3:$I$102,7,FALSE),main!$K$26:$Q$29,3,FALSE),1,0)</f>
        <v>0</v>
      </c>
      <c r="BV91">
        <f>IF(VLOOKUP(BV$1,main!$A$3:$H$102,5,FALSE)-VLOOKUP($A91,main!$A$3:$H$102,6,FALSE)&gt;=main!$D$103+VLOOKUP(VLOOKUP(BV$1,main!$A$3:$I$102,7,FALSE),main!$K$26:$Q$29,3,FALSE),1,0)</f>
        <v>0</v>
      </c>
      <c r="BW91">
        <f>IF(VLOOKUP(BW$1,main!$A$3:$H$102,5,FALSE)-VLOOKUP($A91,main!$A$3:$H$102,6,FALSE)&gt;=main!$D$103+VLOOKUP(VLOOKUP(BW$1,main!$A$3:$I$102,7,FALSE),main!$K$26:$Q$29,3,FALSE),1,0)</f>
        <v>0</v>
      </c>
      <c r="BX91">
        <f>IF(VLOOKUP(BX$1,main!$A$3:$H$102,5,FALSE)-VLOOKUP($A91,main!$A$3:$H$102,6,FALSE)&gt;=main!$D$103+VLOOKUP(VLOOKUP(BX$1,main!$A$3:$I$102,7,FALSE),main!$K$26:$Q$29,3,FALSE),1,0)</f>
        <v>0</v>
      </c>
      <c r="BY91">
        <f>IF(VLOOKUP(BY$1,main!$A$3:$H$102,5,FALSE)-VLOOKUP($A91,main!$A$3:$H$102,6,FALSE)&gt;=main!$D$103+VLOOKUP(VLOOKUP(BY$1,main!$A$3:$I$102,7,FALSE),main!$K$26:$Q$29,3,FALSE),1,0)</f>
        <v>0</v>
      </c>
      <c r="BZ91">
        <f>IF(VLOOKUP(BZ$1,main!$A$3:$H$102,5,FALSE)-VLOOKUP($A91,main!$A$3:$H$102,6,FALSE)&gt;=main!$D$103+VLOOKUP(VLOOKUP(BZ$1,main!$A$3:$I$102,7,FALSE),main!$K$26:$Q$29,3,FALSE),1,0)</f>
        <v>0</v>
      </c>
      <c r="CA91">
        <f>IF(VLOOKUP(CA$1,main!$A$3:$H$102,5,FALSE)-VLOOKUP($A91,main!$A$3:$H$102,6,FALSE)&gt;=main!$D$103+VLOOKUP(VLOOKUP(CA$1,main!$A$3:$I$102,7,FALSE),main!$K$26:$Q$29,3,FALSE),1,0)</f>
        <v>0</v>
      </c>
      <c r="CB91">
        <f>IF(VLOOKUP(CB$1,main!$A$3:$H$102,5,FALSE)-VLOOKUP($A91,main!$A$3:$H$102,6,FALSE)&gt;=main!$D$103+VLOOKUP(VLOOKUP(CB$1,main!$A$3:$I$102,7,FALSE),main!$K$26:$Q$29,3,FALSE),1,0)</f>
        <v>0</v>
      </c>
      <c r="CC91">
        <f>IF(VLOOKUP(CC$1,main!$A$3:$H$102,5,FALSE)-VLOOKUP($A91,main!$A$3:$H$102,6,FALSE)&gt;=main!$D$103+VLOOKUP(VLOOKUP(CC$1,main!$A$3:$I$102,7,FALSE),main!$K$26:$Q$29,3,FALSE),1,0)</f>
        <v>0</v>
      </c>
      <c r="CD91">
        <f>IF(VLOOKUP(CD$1,main!$A$3:$H$102,5,FALSE)-VLOOKUP($A91,main!$A$3:$H$102,6,FALSE)&gt;=main!$D$103+VLOOKUP(VLOOKUP(CD$1,main!$A$3:$I$102,7,FALSE),main!$K$26:$Q$29,3,FALSE),1,0)</f>
        <v>0</v>
      </c>
      <c r="CE91">
        <f>IF(VLOOKUP(CE$1,main!$A$3:$H$102,5,FALSE)-VLOOKUP($A91,main!$A$3:$H$102,6,FALSE)&gt;=main!$D$103+VLOOKUP(VLOOKUP(CE$1,main!$A$3:$I$102,7,FALSE),main!$K$26:$Q$29,3,FALSE),1,0)</f>
        <v>0</v>
      </c>
      <c r="CF91">
        <f>IF(VLOOKUP(CF$1,main!$A$3:$H$102,5,FALSE)-VLOOKUP($A91,main!$A$3:$H$102,6,FALSE)&gt;=main!$D$103+VLOOKUP(VLOOKUP(CF$1,main!$A$3:$I$102,7,FALSE),main!$K$26:$Q$29,3,FALSE),1,0)</f>
        <v>0</v>
      </c>
      <c r="CG91">
        <f>IF(VLOOKUP(CG$1,main!$A$3:$H$102,5,FALSE)-VLOOKUP($A91,main!$A$3:$H$102,6,FALSE)&gt;=main!$D$103+VLOOKUP(VLOOKUP(CG$1,main!$A$3:$I$102,7,FALSE),main!$K$26:$Q$29,3,FALSE),1,0)</f>
        <v>0</v>
      </c>
      <c r="CH91">
        <f>IF(VLOOKUP(CH$1,main!$A$3:$H$102,5,FALSE)-VLOOKUP($A91,main!$A$3:$H$102,6,FALSE)&gt;=main!$D$103+VLOOKUP(VLOOKUP(CH$1,main!$A$3:$I$102,7,FALSE),main!$K$26:$Q$29,3,FALSE),1,0)</f>
        <v>0</v>
      </c>
      <c r="CI91">
        <f>IF(VLOOKUP(CI$1,main!$A$3:$H$102,5,FALSE)-VLOOKUP($A91,main!$A$3:$H$102,6,FALSE)&gt;=main!$D$103+VLOOKUP(VLOOKUP(CI$1,main!$A$3:$I$102,7,FALSE),main!$K$26:$Q$29,3,FALSE),1,0)</f>
        <v>1</v>
      </c>
      <c r="CJ91">
        <f>IF(VLOOKUP(CJ$1,main!$A$3:$H$102,5,FALSE)-VLOOKUP($A91,main!$A$3:$H$102,6,FALSE)&gt;=main!$D$103+VLOOKUP(VLOOKUP(CJ$1,main!$A$3:$I$102,7,FALSE),main!$K$26:$Q$29,3,FALSE),1,0)</f>
        <v>0</v>
      </c>
      <c r="CK91">
        <f>IF(VLOOKUP(CK$1,main!$A$3:$H$102,5,FALSE)-VLOOKUP($A91,main!$A$3:$H$102,6,FALSE)&gt;=main!$D$103+VLOOKUP(VLOOKUP(CK$1,main!$A$3:$I$102,7,FALSE),main!$K$26:$Q$29,3,FALSE),1,0)</f>
        <v>0</v>
      </c>
      <c r="CL91">
        <f>IF(VLOOKUP(CL$1,main!$A$3:$H$102,5,FALSE)-VLOOKUP($A91,main!$A$3:$H$102,6,FALSE)&gt;=main!$D$103+VLOOKUP(VLOOKUP(CL$1,main!$A$3:$I$102,7,FALSE),main!$K$26:$Q$29,3,FALSE),1,0)</f>
        <v>0</v>
      </c>
      <c r="CM91">
        <f>IF(VLOOKUP(CM$1,main!$A$3:$H$102,5,FALSE)-VLOOKUP($A91,main!$A$3:$H$102,6,FALSE)&gt;=main!$D$103+VLOOKUP(VLOOKUP(CM$1,main!$A$3:$I$102,7,FALSE),main!$K$26:$Q$29,3,FALSE),1,0)</f>
        <v>0</v>
      </c>
      <c r="CN91">
        <f>IF(VLOOKUP(CN$1,main!$A$3:$H$102,5,FALSE)-VLOOKUP($A91,main!$A$3:$H$102,6,FALSE)&gt;=main!$D$103+VLOOKUP(VLOOKUP(CN$1,main!$A$3:$I$102,7,FALSE),main!$K$26:$Q$29,3,FALSE),1,0)</f>
        <v>1</v>
      </c>
      <c r="CO91">
        <f>IF(VLOOKUP(CO$1,main!$A$3:$H$102,5,FALSE)-VLOOKUP($A91,main!$A$3:$H$102,6,FALSE)&gt;=main!$D$103+VLOOKUP(VLOOKUP(CO$1,main!$A$3:$I$102,7,FALSE),main!$K$26:$Q$29,3,FALSE),1,0)</f>
        <v>0</v>
      </c>
      <c r="CP91">
        <f>IF(VLOOKUP(CP$1,main!$A$3:$H$102,5,FALSE)-VLOOKUP($A91,main!$A$3:$H$102,6,FALSE)&gt;=main!$D$103+VLOOKUP(VLOOKUP(CP$1,main!$A$3:$I$102,7,FALSE),main!$K$26:$Q$29,3,FALSE),1,0)</f>
        <v>0</v>
      </c>
      <c r="CQ91">
        <f>IF(VLOOKUP(CQ$1,main!$A$3:$H$102,5,FALSE)-VLOOKUP($A91,main!$A$3:$H$102,6,FALSE)&gt;=main!$D$103+VLOOKUP(VLOOKUP(CQ$1,main!$A$3:$I$102,7,FALSE),main!$K$26:$Q$29,3,FALSE),1,0)</f>
        <v>0</v>
      </c>
      <c r="CR91">
        <f>IF(VLOOKUP(CR$1,main!$A$3:$H$102,5,FALSE)-VLOOKUP($A91,main!$A$3:$H$102,6,FALSE)&gt;=main!$D$103+VLOOKUP(VLOOKUP(CR$1,main!$A$3:$I$102,7,FALSE),main!$K$26:$Q$29,3,FALSE),1,0)</f>
        <v>0</v>
      </c>
      <c r="CS91">
        <f>IF(VLOOKUP(CS$1,main!$A$3:$H$102,5,FALSE)-VLOOKUP($A91,main!$A$3:$H$102,6,FALSE)&gt;=main!$D$103+VLOOKUP(VLOOKUP(CS$1,main!$A$3:$I$102,7,FALSE),main!$K$26:$Q$29,3,FALSE),1,0)</f>
        <v>0</v>
      </c>
      <c r="CT91">
        <f>IF(VLOOKUP(CT$1,main!$A$3:$H$102,5,FALSE)-VLOOKUP($A91,main!$A$3:$H$102,6,FALSE)&gt;=main!$D$103+VLOOKUP(VLOOKUP(CT$1,main!$A$3:$I$102,7,FALSE),main!$K$26:$Q$29,3,FALSE),1,0)</f>
        <v>0</v>
      </c>
      <c r="CU91">
        <f>IF(VLOOKUP(CU$1,main!$A$3:$H$102,5,FALSE)-VLOOKUP($A91,main!$A$3:$H$102,6,FALSE)&gt;=main!$D$103+VLOOKUP(VLOOKUP(CU$1,main!$A$3:$I$102,7,FALSE),main!$K$26:$Q$29,3,FALSE),1,0)</f>
        <v>0</v>
      </c>
      <c r="CV91">
        <f>IF(VLOOKUP(CV$1,main!$A$3:$H$102,5,FALSE)-VLOOKUP($A91,main!$A$3:$H$102,6,FALSE)&gt;=main!$D$103+VLOOKUP(VLOOKUP(CV$1,main!$A$3:$I$102,7,FALSE),main!$K$26:$Q$29,3,FALSE),1,0)</f>
        <v>0</v>
      </c>
      <c r="CW91">
        <f>IF(VLOOKUP(CW$1,main!$A$3:$H$102,5,FALSE)-VLOOKUP($A91,main!$A$3:$H$102,6,FALSE)&gt;=main!$D$103+VLOOKUP(VLOOKUP(CW$1,main!$A$3:$I$102,7,FALSE),main!$K$26:$Q$29,3,FALSE),1,0)</f>
        <v>0</v>
      </c>
      <c r="CX91">
        <f>IF(VLOOKUP(CX$1,main!$A$3:$H$102,5,FALSE)-VLOOKUP($A91,main!$A$3:$H$102,6,FALSE)&gt;=main!$D$103+VLOOKUP(VLOOKUP(CX$1,main!$A$3:$I$102,7,FALSE),main!$K$26:$Q$29,3,FALSE),1,0)</f>
        <v>0</v>
      </c>
    </row>
    <row r="92" spans="1:102" x14ac:dyDescent="0.25">
      <c r="A92" s="1">
        <v>90</v>
      </c>
      <c r="B92">
        <v>0</v>
      </c>
      <c r="C92">
        <f>IF(VLOOKUP(C$1,main!$A$3:$H$102,5,FALSE)-VLOOKUP($A92,main!$A$3:$H$102,6,FALSE)&gt;=main!$D$103+VLOOKUP(VLOOKUP(C$1,main!$A$3:$I$102,7,FALSE),main!$K$26:$Q$29,3,FALSE),1,0)</f>
        <v>0</v>
      </c>
      <c r="D92">
        <f>IF(VLOOKUP(D$1,main!$A$3:$H$102,5,FALSE)-VLOOKUP($A92,main!$A$3:$H$102,6,FALSE)&gt;=main!$D$103+VLOOKUP(VLOOKUP(D$1,main!$A$3:$I$102,7,FALSE),main!$K$26:$Q$29,3,FALSE),1,0)</f>
        <v>0</v>
      </c>
      <c r="E92">
        <f>IF(VLOOKUP(E$1,main!$A$3:$H$102,5,FALSE)-VLOOKUP($A92,main!$A$3:$H$102,6,FALSE)&gt;=main!$D$103+VLOOKUP(VLOOKUP(E$1,main!$A$3:$I$102,7,FALSE),main!$K$26:$Q$29,3,FALSE),1,0)</f>
        <v>0</v>
      </c>
      <c r="F92">
        <f>IF(VLOOKUP(F$1,main!$A$3:$H$102,5,FALSE)-VLOOKUP($A92,main!$A$3:$H$102,6,FALSE)&gt;=main!$D$103+VLOOKUP(VLOOKUP(F$1,main!$A$3:$I$102,7,FALSE),main!$K$26:$Q$29,3,FALSE),1,0)</f>
        <v>0</v>
      </c>
      <c r="G92">
        <f>IF(VLOOKUP(G$1,main!$A$3:$H$102,5,FALSE)-VLOOKUP($A92,main!$A$3:$H$102,6,FALSE)&gt;=main!$D$103+VLOOKUP(VLOOKUP(G$1,main!$A$3:$I$102,7,FALSE),main!$K$26:$Q$29,3,FALSE),1,0)</f>
        <v>0</v>
      </c>
      <c r="H92">
        <f>IF(VLOOKUP(H$1,main!$A$3:$H$102,5,FALSE)-VLOOKUP($A92,main!$A$3:$H$102,6,FALSE)&gt;=main!$D$103+VLOOKUP(VLOOKUP(H$1,main!$A$3:$I$102,7,FALSE),main!$K$26:$Q$29,3,FALSE),1,0)</f>
        <v>0</v>
      </c>
      <c r="I92">
        <f>IF(VLOOKUP(I$1,main!$A$3:$H$102,5,FALSE)-VLOOKUP($A92,main!$A$3:$H$102,6,FALSE)&gt;=main!$D$103+VLOOKUP(VLOOKUP(I$1,main!$A$3:$I$102,7,FALSE),main!$K$26:$Q$29,3,FALSE),1,0)</f>
        <v>0</v>
      </c>
      <c r="J92">
        <f>IF(VLOOKUP(J$1,main!$A$3:$H$102,5,FALSE)-VLOOKUP($A92,main!$A$3:$H$102,6,FALSE)&gt;=main!$D$103+VLOOKUP(VLOOKUP(J$1,main!$A$3:$I$102,7,FALSE),main!$K$26:$Q$29,3,FALSE),1,0)</f>
        <v>0</v>
      </c>
      <c r="K92">
        <f>IF(VLOOKUP(K$1,main!$A$3:$H$102,5,FALSE)-VLOOKUP($A92,main!$A$3:$H$102,6,FALSE)&gt;=main!$D$103+VLOOKUP(VLOOKUP(K$1,main!$A$3:$I$102,7,FALSE),main!$K$26:$Q$29,3,FALSE),1,0)</f>
        <v>0</v>
      </c>
      <c r="L92">
        <f>IF(VLOOKUP(L$1,main!$A$3:$H$102,5,FALSE)-VLOOKUP($A92,main!$A$3:$H$102,6,FALSE)&gt;=main!$D$103+VLOOKUP(VLOOKUP(L$1,main!$A$3:$I$102,7,FALSE),main!$K$26:$Q$29,3,FALSE),1,0)</f>
        <v>0</v>
      </c>
      <c r="M92">
        <f>IF(VLOOKUP(M$1,main!$A$3:$H$102,5,FALSE)-VLOOKUP($A92,main!$A$3:$H$102,6,FALSE)&gt;=main!$D$103+VLOOKUP(VLOOKUP(M$1,main!$A$3:$I$102,7,FALSE),main!$K$26:$Q$29,3,FALSE),1,0)</f>
        <v>0</v>
      </c>
      <c r="N92">
        <f>IF(VLOOKUP(N$1,main!$A$3:$H$102,5,FALSE)-VLOOKUP($A92,main!$A$3:$H$102,6,FALSE)&gt;=main!$D$103+VLOOKUP(VLOOKUP(N$1,main!$A$3:$I$102,7,FALSE),main!$K$26:$Q$29,3,FALSE),1,0)</f>
        <v>0</v>
      </c>
      <c r="O92">
        <f>IF(VLOOKUP(O$1,main!$A$3:$H$102,5,FALSE)-VLOOKUP($A92,main!$A$3:$H$102,6,FALSE)&gt;=main!$D$103+VLOOKUP(VLOOKUP(O$1,main!$A$3:$I$102,7,FALSE),main!$K$26:$Q$29,3,FALSE),1,0)</f>
        <v>0</v>
      </c>
      <c r="P92">
        <f>IF(VLOOKUP(P$1,main!$A$3:$H$102,5,FALSE)-VLOOKUP($A92,main!$A$3:$H$102,6,FALSE)&gt;=main!$D$103+VLOOKUP(VLOOKUP(P$1,main!$A$3:$I$102,7,FALSE),main!$K$26:$Q$29,3,FALSE),1,0)</f>
        <v>0</v>
      </c>
      <c r="Q92">
        <f>IF(VLOOKUP(Q$1,main!$A$3:$H$102,5,FALSE)-VLOOKUP($A92,main!$A$3:$H$102,6,FALSE)&gt;=main!$D$103+VLOOKUP(VLOOKUP(Q$1,main!$A$3:$I$102,7,FALSE),main!$K$26:$Q$29,3,FALSE),1,0)</f>
        <v>0</v>
      </c>
      <c r="R92">
        <f>IF(VLOOKUP(R$1,main!$A$3:$H$102,5,FALSE)-VLOOKUP($A92,main!$A$3:$H$102,6,FALSE)&gt;=main!$D$103+VLOOKUP(VLOOKUP(R$1,main!$A$3:$I$102,7,FALSE),main!$K$26:$Q$29,3,FALSE),1,0)</f>
        <v>0</v>
      </c>
      <c r="S92">
        <f>IF(VLOOKUP(S$1,main!$A$3:$H$102,5,FALSE)-VLOOKUP($A92,main!$A$3:$H$102,6,FALSE)&gt;=main!$D$103+VLOOKUP(VLOOKUP(S$1,main!$A$3:$I$102,7,FALSE),main!$K$26:$Q$29,3,FALSE),1,0)</f>
        <v>0</v>
      </c>
      <c r="T92">
        <f>IF(VLOOKUP(T$1,main!$A$3:$H$102,5,FALSE)-VLOOKUP($A92,main!$A$3:$H$102,6,FALSE)&gt;=main!$D$103+VLOOKUP(VLOOKUP(T$1,main!$A$3:$I$102,7,FALSE),main!$K$26:$Q$29,3,FALSE),1,0)</f>
        <v>0</v>
      </c>
      <c r="U92">
        <f>IF(VLOOKUP(U$1,main!$A$3:$H$102,5,FALSE)-VLOOKUP($A92,main!$A$3:$H$102,6,FALSE)&gt;=main!$D$103+VLOOKUP(VLOOKUP(U$1,main!$A$3:$I$102,7,FALSE),main!$K$26:$Q$29,3,FALSE),1,0)</f>
        <v>0</v>
      </c>
      <c r="V92">
        <f>IF(VLOOKUP(V$1,main!$A$3:$H$102,5,FALSE)-VLOOKUP($A92,main!$A$3:$H$102,6,FALSE)&gt;=main!$D$103+VLOOKUP(VLOOKUP(V$1,main!$A$3:$I$102,7,FALSE),main!$K$26:$Q$29,3,FALSE),1,0)</f>
        <v>0</v>
      </c>
      <c r="W92">
        <f>IF(VLOOKUP(W$1,main!$A$3:$H$102,5,FALSE)-VLOOKUP($A92,main!$A$3:$H$102,6,FALSE)&gt;=main!$D$103+VLOOKUP(VLOOKUP(W$1,main!$A$3:$I$102,7,FALSE),main!$K$26:$Q$29,3,FALSE),1,0)</f>
        <v>0</v>
      </c>
      <c r="X92">
        <f>IF(VLOOKUP(X$1,main!$A$3:$H$102,5,FALSE)-VLOOKUP($A92,main!$A$3:$H$102,6,FALSE)&gt;=main!$D$103+VLOOKUP(VLOOKUP(X$1,main!$A$3:$I$102,7,FALSE),main!$K$26:$Q$29,3,FALSE),1,0)</f>
        <v>0</v>
      </c>
      <c r="Y92">
        <f>IF(VLOOKUP(Y$1,main!$A$3:$H$102,5,FALSE)-VLOOKUP($A92,main!$A$3:$H$102,6,FALSE)&gt;=main!$D$103+VLOOKUP(VLOOKUP(Y$1,main!$A$3:$I$102,7,FALSE),main!$K$26:$Q$29,3,FALSE),1,0)</f>
        <v>0</v>
      </c>
      <c r="Z92">
        <f>IF(VLOOKUP(Z$1,main!$A$3:$H$102,5,FALSE)-VLOOKUP($A92,main!$A$3:$H$102,6,FALSE)&gt;=main!$D$103+VLOOKUP(VLOOKUP(Z$1,main!$A$3:$I$102,7,FALSE),main!$K$26:$Q$29,3,FALSE),1,0)</f>
        <v>0</v>
      </c>
      <c r="AA92">
        <f>IF(VLOOKUP(AA$1,main!$A$3:$H$102,5,FALSE)-VLOOKUP($A92,main!$A$3:$H$102,6,FALSE)&gt;=main!$D$103+VLOOKUP(VLOOKUP(AA$1,main!$A$3:$I$102,7,FALSE),main!$K$26:$Q$29,3,FALSE),1,0)</f>
        <v>0</v>
      </c>
      <c r="AB92">
        <f>IF(VLOOKUP(AB$1,main!$A$3:$H$102,5,FALSE)-VLOOKUP($A92,main!$A$3:$H$102,6,FALSE)&gt;=main!$D$103+VLOOKUP(VLOOKUP(AB$1,main!$A$3:$I$102,7,FALSE),main!$K$26:$Q$29,3,FALSE),1,0)</f>
        <v>0</v>
      </c>
      <c r="AC92">
        <f>IF(VLOOKUP(AC$1,main!$A$3:$H$102,5,FALSE)-VLOOKUP($A92,main!$A$3:$H$102,6,FALSE)&gt;=main!$D$103+VLOOKUP(VLOOKUP(AC$1,main!$A$3:$I$102,7,FALSE),main!$K$26:$Q$29,3,FALSE),1,0)</f>
        <v>0</v>
      </c>
      <c r="AD92">
        <f>IF(VLOOKUP(AD$1,main!$A$3:$H$102,5,FALSE)-VLOOKUP($A92,main!$A$3:$H$102,6,FALSE)&gt;=main!$D$103+VLOOKUP(VLOOKUP(AD$1,main!$A$3:$I$102,7,FALSE),main!$K$26:$Q$29,3,FALSE),1,0)</f>
        <v>0</v>
      </c>
      <c r="AE92">
        <f>IF(VLOOKUP(AE$1,main!$A$3:$H$102,5,FALSE)-VLOOKUP($A92,main!$A$3:$H$102,6,FALSE)&gt;=main!$D$103+VLOOKUP(VLOOKUP(AE$1,main!$A$3:$I$102,7,FALSE),main!$K$26:$Q$29,3,FALSE),1,0)</f>
        <v>0</v>
      </c>
      <c r="AF92">
        <f>IF(VLOOKUP(AF$1,main!$A$3:$H$102,5,FALSE)-VLOOKUP($A92,main!$A$3:$H$102,6,FALSE)&gt;=main!$D$103+VLOOKUP(VLOOKUP(AF$1,main!$A$3:$I$102,7,FALSE),main!$K$26:$Q$29,3,FALSE),1,0)</f>
        <v>0</v>
      </c>
      <c r="AG92">
        <f>IF(VLOOKUP(AG$1,main!$A$3:$H$102,5,FALSE)-VLOOKUP($A92,main!$A$3:$H$102,6,FALSE)&gt;=main!$D$103+VLOOKUP(VLOOKUP(AG$1,main!$A$3:$I$102,7,FALSE),main!$K$26:$Q$29,3,FALSE),1,0)</f>
        <v>0</v>
      </c>
      <c r="AH92">
        <f>IF(VLOOKUP(AH$1,main!$A$3:$H$102,5,FALSE)-VLOOKUP($A92,main!$A$3:$H$102,6,FALSE)&gt;=main!$D$103+VLOOKUP(VLOOKUP(AH$1,main!$A$3:$I$102,7,FALSE),main!$K$26:$Q$29,3,FALSE),1,0)</f>
        <v>0</v>
      </c>
      <c r="AI92">
        <f>IF(VLOOKUP(AI$1,main!$A$3:$H$102,5,FALSE)-VLOOKUP($A92,main!$A$3:$H$102,6,FALSE)&gt;=main!$D$103+VLOOKUP(VLOOKUP(AI$1,main!$A$3:$I$102,7,FALSE),main!$K$26:$Q$29,3,FALSE),1,0)</f>
        <v>0</v>
      </c>
      <c r="AJ92">
        <f>IF(VLOOKUP(AJ$1,main!$A$3:$H$102,5,FALSE)-VLOOKUP($A92,main!$A$3:$H$102,6,FALSE)&gt;=main!$D$103+VLOOKUP(VLOOKUP(AJ$1,main!$A$3:$I$102,7,FALSE),main!$K$26:$Q$29,3,FALSE),1,0)</f>
        <v>0</v>
      </c>
      <c r="AK92">
        <f>IF(VLOOKUP(AK$1,main!$A$3:$H$102,5,FALSE)-VLOOKUP($A92,main!$A$3:$H$102,6,FALSE)&gt;=main!$D$103+VLOOKUP(VLOOKUP(AK$1,main!$A$3:$I$102,7,FALSE),main!$K$26:$Q$29,3,FALSE),1,0)</f>
        <v>0</v>
      </c>
      <c r="AL92">
        <f>IF(VLOOKUP(AL$1,main!$A$3:$H$102,5,FALSE)-VLOOKUP($A92,main!$A$3:$H$102,6,FALSE)&gt;=main!$D$103+VLOOKUP(VLOOKUP(AL$1,main!$A$3:$I$102,7,FALSE),main!$K$26:$Q$29,3,FALSE),1,0)</f>
        <v>0</v>
      </c>
      <c r="AM92">
        <f>IF(VLOOKUP(AM$1,main!$A$3:$H$102,5,FALSE)-VLOOKUP($A92,main!$A$3:$H$102,6,FALSE)&gt;=main!$D$103+VLOOKUP(VLOOKUP(AM$1,main!$A$3:$I$102,7,FALSE),main!$K$26:$Q$29,3,FALSE),1,0)</f>
        <v>0</v>
      </c>
      <c r="AN92">
        <f>IF(VLOOKUP(AN$1,main!$A$3:$H$102,5,FALSE)-VLOOKUP($A92,main!$A$3:$H$102,6,FALSE)&gt;=main!$D$103+VLOOKUP(VLOOKUP(AN$1,main!$A$3:$I$102,7,FALSE),main!$K$26:$Q$29,3,FALSE),1,0)</f>
        <v>0</v>
      </c>
      <c r="AO92">
        <f>IF(VLOOKUP(AO$1,main!$A$3:$H$102,5,FALSE)-VLOOKUP($A92,main!$A$3:$H$102,6,FALSE)&gt;=main!$D$103+VLOOKUP(VLOOKUP(AO$1,main!$A$3:$I$102,7,FALSE),main!$K$26:$Q$29,3,FALSE),1,0)</f>
        <v>0</v>
      </c>
      <c r="AP92">
        <f>IF(VLOOKUP(AP$1,main!$A$3:$H$102,5,FALSE)-VLOOKUP($A92,main!$A$3:$H$102,6,FALSE)&gt;=main!$D$103+VLOOKUP(VLOOKUP(AP$1,main!$A$3:$I$102,7,FALSE),main!$K$26:$Q$29,3,FALSE),1,0)</f>
        <v>0</v>
      </c>
      <c r="AQ92">
        <f>IF(VLOOKUP(AQ$1,main!$A$3:$H$102,5,FALSE)-VLOOKUP($A92,main!$A$3:$H$102,6,FALSE)&gt;=main!$D$103+VLOOKUP(VLOOKUP(AQ$1,main!$A$3:$I$102,7,FALSE),main!$K$26:$Q$29,3,FALSE),1,0)</f>
        <v>0</v>
      </c>
      <c r="AR92">
        <f>IF(VLOOKUP(AR$1,main!$A$3:$H$102,5,FALSE)-VLOOKUP($A92,main!$A$3:$H$102,6,FALSE)&gt;=main!$D$103+VLOOKUP(VLOOKUP(AR$1,main!$A$3:$I$102,7,FALSE),main!$K$26:$Q$29,3,FALSE),1,0)</f>
        <v>0</v>
      </c>
      <c r="AS92">
        <f>IF(VLOOKUP(AS$1,main!$A$3:$H$102,5,FALSE)-VLOOKUP($A92,main!$A$3:$H$102,6,FALSE)&gt;=main!$D$103+VLOOKUP(VLOOKUP(AS$1,main!$A$3:$I$102,7,FALSE),main!$K$26:$Q$29,3,FALSE),1,0)</f>
        <v>0</v>
      </c>
      <c r="AT92">
        <f>IF(VLOOKUP(AT$1,main!$A$3:$H$102,5,FALSE)-VLOOKUP($A92,main!$A$3:$H$102,6,FALSE)&gt;=main!$D$103+VLOOKUP(VLOOKUP(AT$1,main!$A$3:$I$102,7,FALSE),main!$K$26:$Q$29,3,FALSE),1,0)</f>
        <v>0</v>
      </c>
      <c r="AU92">
        <f>IF(VLOOKUP(AU$1,main!$A$3:$H$102,5,FALSE)-VLOOKUP($A92,main!$A$3:$H$102,6,FALSE)&gt;=main!$D$103+VLOOKUP(VLOOKUP(AU$1,main!$A$3:$I$102,7,FALSE),main!$K$26:$Q$29,3,FALSE),1,0)</f>
        <v>0</v>
      </c>
      <c r="AV92">
        <f>IF(VLOOKUP(AV$1,main!$A$3:$H$102,5,FALSE)-VLOOKUP($A92,main!$A$3:$H$102,6,FALSE)&gt;=main!$D$103+VLOOKUP(VLOOKUP(AV$1,main!$A$3:$I$102,7,FALSE),main!$K$26:$Q$29,3,FALSE),1,0)</f>
        <v>0</v>
      </c>
      <c r="AW92">
        <f>IF(VLOOKUP(AW$1,main!$A$3:$H$102,5,FALSE)-VLOOKUP($A92,main!$A$3:$H$102,6,FALSE)&gt;=main!$D$103+VLOOKUP(VLOOKUP(AW$1,main!$A$3:$I$102,7,FALSE),main!$K$26:$Q$29,3,FALSE),1,0)</f>
        <v>0</v>
      </c>
      <c r="AX92">
        <f>IF(VLOOKUP(AX$1,main!$A$3:$H$102,5,FALSE)-VLOOKUP($A92,main!$A$3:$H$102,6,FALSE)&gt;=main!$D$103+VLOOKUP(VLOOKUP(AX$1,main!$A$3:$I$102,7,FALSE),main!$K$26:$Q$29,3,FALSE),1,0)</f>
        <v>0</v>
      </c>
      <c r="AY92">
        <f>IF(VLOOKUP(AY$1,main!$A$3:$H$102,5,FALSE)-VLOOKUP($A92,main!$A$3:$H$102,6,FALSE)&gt;=main!$D$103+VLOOKUP(VLOOKUP(AY$1,main!$A$3:$I$102,7,FALSE),main!$K$26:$Q$29,3,FALSE),1,0)</f>
        <v>0</v>
      </c>
      <c r="AZ92">
        <f>IF(VLOOKUP(AZ$1,main!$A$3:$H$102,5,FALSE)-VLOOKUP($A92,main!$A$3:$H$102,6,FALSE)&gt;=main!$D$103+VLOOKUP(VLOOKUP(AZ$1,main!$A$3:$I$102,7,FALSE),main!$K$26:$Q$29,3,FALSE),1,0)</f>
        <v>0</v>
      </c>
      <c r="BA92">
        <f>IF(VLOOKUP(BA$1,main!$A$3:$H$102,5,FALSE)-VLOOKUP($A92,main!$A$3:$H$102,6,FALSE)&gt;=main!$D$103+VLOOKUP(VLOOKUP(BA$1,main!$A$3:$I$102,7,FALSE),main!$K$26:$Q$29,3,FALSE),1,0)</f>
        <v>0</v>
      </c>
      <c r="BB92">
        <f>IF(VLOOKUP(BB$1,main!$A$3:$H$102,5,FALSE)-VLOOKUP($A92,main!$A$3:$H$102,6,FALSE)&gt;=main!$D$103+VLOOKUP(VLOOKUP(BB$1,main!$A$3:$I$102,7,FALSE),main!$K$26:$Q$29,3,FALSE),1,0)</f>
        <v>0</v>
      </c>
      <c r="BC92">
        <f>IF(VLOOKUP(BC$1,main!$A$3:$H$102,5,FALSE)-VLOOKUP($A92,main!$A$3:$H$102,6,FALSE)&gt;=main!$D$103+VLOOKUP(VLOOKUP(BC$1,main!$A$3:$I$102,7,FALSE),main!$K$26:$Q$29,3,FALSE),1,0)</f>
        <v>0</v>
      </c>
      <c r="BD92">
        <f>IF(VLOOKUP(BD$1,main!$A$3:$H$102,5,FALSE)-VLOOKUP($A92,main!$A$3:$H$102,6,FALSE)&gt;=main!$D$103+VLOOKUP(VLOOKUP(BD$1,main!$A$3:$I$102,7,FALSE),main!$K$26:$Q$29,3,FALSE),1,0)</f>
        <v>0</v>
      </c>
      <c r="BE92">
        <f>IF(VLOOKUP(BE$1,main!$A$3:$H$102,5,FALSE)-VLOOKUP($A92,main!$A$3:$H$102,6,FALSE)&gt;=main!$D$103+VLOOKUP(VLOOKUP(BE$1,main!$A$3:$I$102,7,FALSE),main!$K$26:$Q$29,3,FALSE),1,0)</f>
        <v>0</v>
      </c>
      <c r="BF92">
        <f>IF(VLOOKUP(BF$1,main!$A$3:$H$102,5,FALSE)-VLOOKUP($A92,main!$A$3:$H$102,6,FALSE)&gt;=main!$D$103+VLOOKUP(VLOOKUP(BF$1,main!$A$3:$I$102,7,FALSE),main!$K$26:$Q$29,3,FALSE),1,0)</f>
        <v>0</v>
      </c>
      <c r="BG92">
        <f>IF(VLOOKUP(BG$1,main!$A$3:$H$102,5,FALSE)-VLOOKUP($A92,main!$A$3:$H$102,6,FALSE)&gt;=main!$D$103+VLOOKUP(VLOOKUP(BG$1,main!$A$3:$I$102,7,FALSE),main!$K$26:$Q$29,3,FALSE),1,0)</f>
        <v>0</v>
      </c>
      <c r="BH92">
        <f>IF(VLOOKUP(BH$1,main!$A$3:$H$102,5,FALSE)-VLOOKUP($A92,main!$A$3:$H$102,6,FALSE)&gt;=main!$D$103+VLOOKUP(VLOOKUP(BH$1,main!$A$3:$I$102,7,FALSE),main!$K$26:$Q$29,3,FALSE),1,0)</f>
        <v>0</v>
      </c>
      <c r="BI92">
        <f>IF(VLOOKUP(BI$1,main!$A$3:$H$102,5,FALSE)-VLOOKUP($A92,main!$A$3:$H$102,6,FALSE)&gt;=main!$D$103+VLOOKUP(VLOOKUP(BI$1,main!$A$3:$I$102,7,FALSE),main!$K$26:$Q$29,3,FALSE),1,0)</f>
        <v>0</v>
      </c>
      <c r="BJ92">
        <f>IF(VLOOKUP(BJ$1,main!$A$3:$H$102,5,FALSE)-VLOOKUP($A92,main!$A$3:$H$102,6,FALSE)&gt;=main!$D$103+VLOOKUP(VLOOKUP(BJ$1,main!$A$3:$I$102,7,FALSE),main!$K$26:$Q$29,3,FALSE),1,0)</f>
        <v>0</v>
      </c>
      <c r="BK92">
        <f>IF(VLOOKUP(BK$1,main!$A$3:$H$102,5,FALSE)-VLOOKUP($A92,main!$A$3:$H$102,6,FALSE)&gt;=main!$D$103+VLOOKUP(VLOOKUP(BK$1,main!$A$3:$I$102,7,FALSE),main!$K$26:$Q$29,3,FALSE),1,0)</f>
        <v>0</v>
      </c>
      <c r="BL92">
        <f>IF(VLOOKUP(BL$1,main!$A$3:$H$102,5,FALSE)-VLOOKUP($A92,main!$A$3:$H$102,6,FALSE)&gt;=main!$D$103+VLOOKUP(VLOOKUP(BL$1,main!$A$3:$I$102,7,FALSE),main!$K$26:$Q$29,3,FALSE),1,0)</f>
        <v>0</v>
      </c>
      <c r="BM92">
        <f>IF(VLOOKUP(BM$1,main!$A$3:$H$102,5,FALSE)-VLOOKUP($A92,main!$A$3:$H$102,6,FALSE)&gt;=main!$D$103+VLOOKUP(VLOOKUP(BM$1,main!$A$3:$I$102,7,FALSE),main!$K$26:$Q$29,3,FALSE),1,0)</f>
        <v>0</v>
      </c>
      <c r="BN92">
        <f>IF(VLOOKUP(BN$1,main!$A$3:$H$102,5,FALSE)-VLOOKUP($A92,main!$A$3:$H$102,6,FALSE)&gt;=main!$D$103+VLOOKUP(VLOOKUP(BN$1,main!$A$3:$I$102,7,FALSE),main!$K$26:$Q$29,3,FALSE),1,0)</f>
        <v>0</v>
      </c>
      <c r="BO92">
        <f>IF(VLOOKUP(BO$1,main!$A$3:$H$102,5,FALSE)-VLOOKUP($A92,main!$A$3:$H$102,6,FALSE)&gt;=main!$D$103+VLOOKUP(VLOOKUP(BO$1,main!$A$3:$I$102,7,FALSE),main!$K$26:$Q$29,3,FALSE),1,0)</f>
        <v>0</v>
      </c>
      <c r="BP92">
        <f>IF(VLOOKUP(BP$1,main!$A$3:$H$102,5,FALSE)-VLOOKUP($A92,main!$A$3:$H$102,6,FALSE)&gt;=main!$D$103+VLOOKUP(VLOOKUP(BP$1,main!$A$3:$I$102,7,FALSE),main!$K$26:$Q$29,3,FALSE),1,0)</f>
        <v>0</v>
      </c>
      <c r="BQ92">
        <f>IF(VLOOKUP(BQ$1,main!$A$3:$H$102,5,FALSE)-VLOOKUP($A92,main!$A$3:$H$102,6,FALSE)&gt;=main!$D$103+VLOOKUP(VLOOKUP(BQ$1,main!$A$3:$I$102,7,FALSE),main!$K$26:$Q$29,3,FALSE),1,0)</f>
        <v>0</v>
      </c>
      <c r="BR92">
        <f>IF(VLOOKUP(BR$1,main!$A$3:$H$102,5,FALSE)-VLOOKUP($A92,main!$A$3:$H$102,6,FALSE)&gt;=main!$D$103+VLOOKUP(VLOOKUP(BR$1,main!$A$3:$I$102,7,FALSE),main!$K$26:$Q$29,3,FALSE),1,0)</f>
        <v>0</v>
      </c>
      <c r="BS92">
        <f>IF(VLOOKUP(BS$1,main!$A$3:$H$102,5,FALSE)-VLOOKUP($A92,main!$A$3:$H$102,6,FALSE)&gt;=main!$D$103+VLOOKUP(VLOOKUP(BS$1,main!$A$3:$I$102,7,FALSE),main!$K$26:$Q$29,3,FALSE),1,0)</f>
        <v>0</v>
      </c>
      <c r="BT92">
        <f>IF(VLOOKUP(BT$1,main!$A$3:$H$102,5,FALSE)-VLOOKUP($A92,main!$A$3:$H$102,6,FALSE)&gt;=main!$D$103+VLOOKUP(VLOOKUP(BT$1,main!$A$3:$I$102,7,FALSE),main!$K$26:$Q$29,3,FALSE),1,0)</f>
        <v>0</v>
      </c>
      <c r="BU92">
        <f>IF(VLOOKUP(BU$1,main!$A$3:$H$102,5,FALSE)-VLOOKUP($A92,main!$A$3:$H$102,6,FALSE)&gt;=main!$D$103+VLOOKUP(VLOOKUP(BU$1,main!$A$3:$I$102,7,FALSE),main!$K$26:$Q$29,3,FALSE),1,0)</f>
        <v>0</v>
      </c>
      <c r="BV92">
        <f>IF(VLOOKUP(BV$1,main!$A$3:$H$102,5,FALSE)-VLOOKUP($A92,main!$A$3:$H$102,6,FALSE)&gt;=main!$D$103+VLOOKUP(VLOOKUP(BV$1,main!$A$3:$I$102,7,FALSE),main!$K$26:$Q$29,3,FALSE),1,0)</f>
        <v>0</v>
      </c>
      <c r="BW92">
        <f>IF(VLOOKUP(BW$1,main!$A$3:$H$102,5,FALSE)-VLOOKUP($A92,main!$A$3:$H$102,6,FALSE)&gt;=main!$D$103+VLOOKUP(VLOOKUP(BW$1,main!$A$3:$I$102,7,FALSE),main!$K$26:$Q$29,3,FALSE),1,0)</f>
        <v>0</v>
      </c>
      <c r="BX92">
        <f>IF(VLOOKUP(BX$1,main!$A$3:$H$102,5,FALSE)-VLOOKUP($A92,main!$A$3:$H$102,6,FALSE)&gt;=main!$D$103+VLOOKUP(VLOOKUP(BX$1,main!$A$3:$I$102,7,FALSE),main!$K$26:$Q$29,3,FALSE),1,0)</f>
        <v>0</v>
      </c>
      <c r="BY92">
        <f>IF(VLOOKUP(BY$1,main!$A$3:$H$102,5,FALSE)-VLOOKUP($A92,main!$A$3:$H$102,6,FALSE)&gt;=main!$D$103+VLOOKUP(VLOOKUP(BY$1,main!$A$3:$I$102,7,FALSE),main!$K$26:$Q$29,3,FALSE),1,0)</f>
        <v>0</v>
      </c>
      <c r="BZ92">
        <f>IF(VLOOKUP(BZ$1,main!$A$3:$H$102,5,FALSE)-VLOOKUP($A92,main!$A$3:$H$102,6,FALSE)&gt;=main!$D$103+VLOOKUP(VLOOKUP(BZ$1,main!$A$3:$I$102,7,FALSE),main!$K$26:$Q$29,3,FALSE),1,0)</f>
        <v>0</v>
      </c>
      <c r="CA92">
        <f>IF(VLOOKUP(CA$1,main!$A$3:$H$102,5,FALSE)-VLOOKUP($A92,main!$A$3:$H$102,6,FALSE)&gt;=main!$D$103+VLOOKUP(VLOOKUP(CA$1,main!$A$3:$I$102,7,FALSE),main!$K$26:$Q$29,3,FALSE),1,0)</f>
        <v>0</v>
      </c>
      <c r="CB92">
        <f>IF(VLOOKUP(CB$1,main!$A$3:$H$102,5,FALSE)-VLOOKUP($A92,main!$A$3:$H$102,6,FALSE)&gt;=main!$D$103+VLOOKUP(VLOOKUP(CB$1,main!$A$3:$I$102,7,FALSE),main!$K$26:$Q$29,3,FALSE),1,0)</f>
        <v>0</v>
      </c>
      <c r="CC92">
        <f>IF(VLOOKUP(CC$1,main!$A$3:$H$102,5,FALSE)-VLOOKUP($A92,main!$A$3:$H$102,6,FALSE)&gt;=main!$D$103+VLOOKUP(VLOOKUP(CC$1,main!$A$3:$I$102,7,FALSE),main!$K$26:$Q$29,3,FALSE),1,0)</f>
        <v>0</v>
      </c>
      <c r="CD92">
        <f>IF(VLOOKUP(CD$1,main!$A$3:$H$102,5,FALSE)-VLOOKUP($A92,main!$A$3:$H$102,6,FALSE)&gt;=main!$D$103+VLOOKUP(VLOOKUP(CD$1,main!$A$3:$I$102,7,FALSE),main!$K$26:$Q$29,3,FALSE),1,0)</f>
        <v>0</v>
      </c>
      <c r="CE92">
        <f>IF(VLOOKUP(CE$1,main!$A$3:$H$102,5,FALSE)-VLOOKUP($A92,main!$A$3:$H$102,6,FALSE)&gt;=main!$D$103+VLOOKUP(VLOOKUP(CE$1,main!$A$3:$I$102,7,FALSE),main!$K$26:$Q$29,3,FALSE),1,0)</f>
        <v>0</v>
      </c>
      <c r="CF92">
        <f>IF(VLOOKUP(CF$1,main!$A$3:$H$102,5,FALSE)-VLOOKUP($A92,main!$A$3:$H$102,6,FALSE)&gt;=main!$D$103+VLOOKUP(VLOOKUP(CF$1,main!$A$3:$I$102,7,FALSE),main!$K$26:$Q$29,3,FALSE),1,0)</f>
        <v>0</v>
      </c>
      <c r="CG92">
        <f>IF(VLOOKUP(CG$1,main!$A$3:$H$102,5,FALSE)-VLOOKUP($A92,main!$A$3:$H$102,6,FALSE)&gt;=main!$D$103+VLOOKUP(VLOOKUP(CG$1,main!$A$3:$I$102,7,FALSE),main!$K$26:$Q$29,3,FALSE),1,0)</f>
        <v>0</v>
      </c>
      <c r="CH92">
        <f>IF(VLOOKUP(CH$1,main!$A$3:$H$102,5,FALSE)-VLOOKUP($A92,main!$A$3:$H$102,6,FALSE)&gt;=main!$D$103+VLOOKUP(VLOOKUP(CH$1,main!$A$3:$I$102,7,FALSE),main!$K$26:$Q$29,3,FALSE),1,0)</f>
        <v>0</v>
      </c>
      <c r="CI92">
        <f>IF(VLOOKUP(CI$1,main!$A$3:$H$102,5,FALSE)-VLOOKUP($A92,main!$A$3:$H$102,6,FALSE)&gt;=main!$D$103+VLOOKUP(VLOOKUP(CI$1,main!$A$3:$I$102,7,FALSE),main!$K$26:$Q$29,3,FALSE),1,0)</f>
        <v>0</v>
      </c>
      <c r="CJ92">
        <f>IF(VLOOKUP(CJ$1,main!$A$3:$H$102,5,FALSE)-VLOOKUP($A92,main!$A$3:$H$102,6,FALSE)&gt;=main!$D$103+VLOOKUP(VLOOKUP(CJ$1,main!$A$3:$I$102,7,FALSE),main!$K$26:$Q$29,3,FALSE),1,0)</f>
        <v>0</v>
      </c>
      <c r="CK92">
        <f>IF(VLOOKUP(CK$1,main!$A$3:$H$102,5,FALSE)-VLOOKUP($A92,main!$A$3:$H$102,6,FALSE)&gt;=main!$D$103+VLOOKUP(VLOOKUP(CK$1,main!$A$3:$I$102,7,FALSE),main!$K$26:$Q$29,3,FALSE),1,0)</f>
        <v>0</v>
      </c>
      <c r="CL92">
        <f>IF(VLOOKUP(CL$1,main!$A$3:$H$102,5,FALSE)-VLOOKUP($A92,main!$A$3:$H$102,6,FALSE)&gt;=main!$D$103+VLOOKUP(VLOOKUP(CL$1,main!$A$3:$I$102,7,FALSE),main!$K$26:$Q$29,3,FALSE),1,0)</f>
        <v>0</v>
      </c>
      <c r="CM92">
        <f>IF(VLOOKUP(CM$1,main!$A$3:$H$102,5,FALSE)-VLOOKUP($A92,main!$A$3:$H$102,6,FALSE)&gt;=main!$D$103+VLOOKUP(VLOOKUP(CM$1,main!$A$3:$I$102,7,FALSE),main!$K$26:$Q$29,3,FALSE),1,0)</f>
        <v>0</v>
      </c>
      <c r="CN92">
        <f>IF(VLOOKUP(CN$1,main!$A$3:$H$102,5,FALSE)-VLOOKUP($A92,main!$A$3:$H$102,6,FALSE)&gt;=main!$D$103+VLOOKUP(VLOOKUP(CN$1,main!$A$3:$I$102,7,FALSE),main!$K$26:$Q$29,3,FALSE),1,0)</f>
        <v>0</v>
      </c>
      <c r="CO92">
        <f>IF(VLOOKUP(CO$1,main!$A$3:$H$102,5,FALSE)-VLOOKUP($A92,main!$A$3:$H$102,6,FALSE)&gt;=main!$D$103+VLOOKUP(VLOOKUP(CO$1,main!$A$3:$I$102,7,FALSE),main!$K$26:$Q$29,3,FALSE),1,0)</f>
        <v>0</v>
      </c>
      <c r="CP92">
        <f>IF(VLOOKUP(CP$1,main!$A$3:$H$102,5,FALSE)-VLOOKUP($A92,main!$A$3:$H$102,6,FALSE)&gt;=main!$D$103+VLOOKUP(VLOOKUP(CP$1,main!$A$3:$I$102,7,FALSE),main!$K$26:$Q$29,3,FALSE),1,0)</f>
        <v>0</v>
      </c>
      <c r="CQ92">
        <f>IF(VLOOKUP(CQ$1,main!$A$3:$H$102,5,FALSE)-VLOOKUP($A92,main!$A$3:$H$102,6,FALSE)&gt;=main!$D$103+VLOOKUP(VLOOKUP(CQ$1,main!$A$3:$I$102,7,FALSE),main!$K$26:$Q$29,3,FALSE),1,0)</f>
        <v>0</v>
      </c>
      <c r="CR92">
        <f>IF(VLOOKUP(CR$1,main!$A$3:$H$102,5,FALSE)-VLOOKUP($A92,main!$A$3:$H$102,6,FALSE)&gt;=main!$D$103+VLOOKUP(VLOOKUP(CR$1,main!$A$3:$I$102,7,FALSE),main!$K$26:$Q$29,3,FALSE),1,0)</f>
        <v>0</v>
      </c>
      <c r="CS92">
        <f>IF(VLOOKUP(CS$1,main!$A$3:$H$102,5,FALSE)-VLOOKUP($A92,main!$A$3:$H$102,6,FALSE)&gt;=main!$D$103+VLOOKUP(VLOOKUP(CS$1,main!$A$3:$I$102,7,FALSE),main!$K$26:$Q$29,3,FALSE),1,0)</f>
        <v>0</v>
      </c>
      <c r="CT92">
        <f>IF(VLOOKUP(CT$1,main!$A$3:$H$102,5,FALSE)-VLOOKUP($A92,main!$A$3:$H$102,6,FALSE)&gt;=main!$D$103+VLOOKUP(VLOOKUP(CT$1,main!$A$3:$I$102,7,FALSE),main!$K$26:$Q$29,3,FALSE),1,0)</f>
        <v>0</v>
      </c>
      <c r="CU92">
        <f>IF(VLOOKUP(CU$1,main!$A$3:$H$102,5,FALSE)-VLOOKUP($A92,main!$A$3:$H$102,6,FALSE)&gt;=main!$D$103+VLOOKUP(VLOOKUP(CU$1,main!$A$3:$I$102,7,FALSE),main!$K$26:$Q$29,3,FALSE),1,0)</f>
        <v>0</v>
      </c>
      <c r="CV92">
        <f>IF(VLOOKUP(CV$1,main!$A$3:$H$102,5,FALSE)-VLOOKUP($A92,main!$A$3:$H$102,6,FALSE)&gt;=main!$D$103+VLOOKUP(VLOOKUP(CV$1,main!$A$3:$I$102,7,FALSE),main!$K$26:$Q$29,3,FALSE),1,0)</f>
        <v>0</v>
      </c>
      <c r="CW92">
        <f>IF(VLOOKUP(CW$1,main!$A$3:$H$102,5,FALSE)-VLOOKUP($A92,main!$A$3:$H$102,6,FALSE)&gt;=main!$D$103+VLOOKUP(VLOOKUP(CW$1,main!$A$3:$I$102,7,FALSE),main!$K$26:$Q$29,3,FALSE),1,0)</f>
        <v>0</v>
      </c>
      <c r="CX92">
        <f>IF(VLOOKUP(CX$1,main!$A$3:$H$102,5,FALSE)-VLOOKUP($A92,main!$A$3:$H$102,6,FALSE)&gt;=main!$D$103+VLOOKUP(VLOOKUP(CX$1,main!$A$3:$I$102,7,FALSE),main!$K$26:$Q$29,3,FALSE),1,0)</f>
        <v>0</v>
      </c>
    </row>
    <row r="93" spans="1:102" x14ac:dyDescent="0.25">
      <c r="A93" s="1">
        <v>91</v>
      </c>
      <c r="B93">
        <v>0</v>
      </c>
      <c r="C93">
        <f>IF(VLOOKUP(C$1,main!$A$3:$H$102,5,FALSE)-VLOOKUP($A93,main!$A$3:$H$102,6,FALSE)&gt;=main!$D$103+VLOOKUP(VLOOKUP(C$1,main!$A$3:$I$102,7,FALSE),main!$K$26:$Q$29,3,FALSE),1,0)</f>
        <v>0</v>
      </c>
      <c r="D93">
        <f>IF(VLOOKUP(D$1,main!$A$3:$H$102,5,FALSE)-VLOOKUP($A93,main!$A$3:$H$102,6,FALSE)&gt;=main!$D$103+VLOOKUP(VLOOKUP(D$1,main!$A$3:$I$102,7,FALSE),main!$K$26:$Q$29,3,FALSE),1,0)</f>
        <v>0</v>
      </c>
      <c r="E93">
        <f>IF(VLOOKUP(E$1,main!$A$3:$H$102,5,FALSE)-VLOOKUP($A93,main!$A$3:$H$102,6,FALSE)&gt;=main!$D$103+VLOOKUP(VLOOKUP(E$1,main!$A$3:$I$102,7,FALSE),main!$K$26:$Q$29,3,FALSE),1,0)</f>
        <v>0</v>
      </c>
      <c r="F93">
        <f>IF(VLOOKUP(F$1,main!$A$3:$H$102,5,FALSE)-VLOOKUP($A93,main!$A$3:$H$102,6,FALSE)&gt;=main!$D$103+VLOOKUP(VLOOKUP(F$1,main!$A$3:$I$102,7,FALSE),main!$K$26:$Q$29,3,FALSE),1,0)</f>
        <v>0</v>
      </c>
      <c r="G93">
        <f>IF(VLOOKUP(G$1,main!$A$3:$H$102,5,FALSE)-VLOOKUP($A93,main!$A$3:$H$102,6,FALSE)&gt;=main!$D$103+VLOOKUP(VLOOKUP(G$1,main!$A$3:$I$102,7,FALSE),main!$K$26:$Q$29,3,FALSE),1,0)</f>
        <v>1</v>
      </c>
      <c r="H93">
        <f>IF(VLOOKUP(H$1,main!$A$3:$H$102,5,FALSE)-VLOOKUP($A93,main!$A$3:$H$102,6,FALSE)&gt;=main!$D$103+VLOOKUP(VLOOKUP(H$1,main!$A$3:$I$102,7,FALSE),main!$K$26:$Q$29,3,FALSE),1,0)</f>
        <v>1</v>
      </c>
      <c r="I93">
        <f>IF(VLOOKUP(I$1,main!$A$3:$H$102,5,FALSE)-VLOOKUP($A93,main!$A$3:$H$102,6,FALSE)&gt;=main!$D$103+VLOOKUP(VLOOKUP(I$1,main!$A$3:$I$102,7,FALSE),main!$K$26:$Q$29,3,FALSE),1,0)</f>
        <v>1</v>
      </c>
      <c r="J93">
        <f>IF(VLOOKUP(J$1,main!$A$3:$H$102,5,FALSE)-VLOOKUP($A93,main!$A$3:$H$102,6,FALSE)&gt;=main!$D$103+VLOOKUP(VLOOKUP(J$1,main!$A$3:$I$102,7,FALSE),main!$K$26:$Q$29,3,FALSE),1,0)</f>
        <v>1</v>
      </c>
      <c r="K93">
        <f>IF(VLOOKUP(K$1,main!$A$3:$H$102,5,FALSE)-VLOOKUP($A93,main!$A$3:$H$102,6,FALSE)&gt;=main!$D$103+VLOOKUP(VLOOKUP(K$1,main!$A$3:$I$102,7,FALSE),main!$K$26:$Q$29,3,FALSE),1,0)</f>
        <v>1</v>
      </c>
      <c r="L93">
        <f>IF(VLOOKUP(L$1,main!$A$3:$H$102,5,FALSE)-VLOOKUP($A93,main!$A$3:$H$102,6,FALSE)&gt;=main!$D$103+VLOOKUP(VLOOKUP(L$1,main!$A$3:$I$102,7,FALSE),main!$K$26:$Q$29,3,FALSE),1,0)</f>
        <v>1</v>
      </c>
      <c r="M93">
        <f>IF(VLOOKUP(M$1,main!$A$3:$H$102,5,FALSE)-VLOOKUP($A93,main!$A$3:$H$102,6,FALSE)&gt;=main!$D$103+VLOOKUP(VLOOKUP(M$1,main!$A$3:$I$102,7,FALSE),main!$K$26:$Q$29,3,FALSE),1,0)</f>
        <v>0</v>
      </c>
      <c r="N93">
        <f>IF(VLOOKUP(N$1,main!$A$3:$H$102,5,FALSE)-VLOOKUP($A93,main!$A$3:$H$102,6,FALSE)&gt;=main!$D$103+VLOOKUP(VLOOKUP(N$1,main!$A$3:$I$102,7,FALSE),main!$K$26:$Q$29,3,FALSE),1,0)</f>
        <v>0</v>
      </c>
      <c r="O93">
        <f>IF(VLOOKUP(O$1,main!$A$3:$H$102,5,FALSE)-VLOOKUP($A93,main!$A$3:$H$102,6,FALSE)&gt;=main!$D$103+VLOOKUP(VLOOKUP(O$1,main!$A$3:$I$102,7,FALSE),main!$K$26:$Q$29,3,FALSE),1,0)</f>
        <v>0</v>
      </c>
      <c r="P93">
        <f>IF(VLOOKUP(P$1,main!$A$3:$H$102,5,FALSE)-VLOOKUP($A93,main!$A$3:$H$102,6,FALSE)&gt;=main!$D$103+VLOOKUP(VLOOKUP(P$1,main!$A$3:$I$102,7,FALSE),main!$K$26:$Q$29,3,FALSE),1,0)</f>
        <v>0</v>
      </c>
      <c r="Q93">
        <f>IF(VLOOKUP(Q$1,main!$A$3:$H$102,5,FALSE)-VLOOKUP($A93,main!$A$3:$H$102,6,FALSE)&gt;=main!$D$103+VLOOKUP(VLOOKUP(Q$1,main!$A$3:$I$102,7,FALSE),main!$K$26:$Q$29,3,FALSE),1,0)</f>
        <v>0</v>
      </c>
      <c r="R93">
        <f>IF(VLOOKUP(R$1,main!$A$3:$H$102,5,FALSE)-VLOOKUP($A93,main!$A$3:$H$102,6,FALSE)&gt;=main!$D$103+VLOOKUP(VLOOKUP(R$1,main!$A$3:$I$102,7,FALSE),main!$K$26:$Q$29,3,FALSE),1,0)</f>
        <v>0</v>
      </c>
      <c r="S93">
        <f>IF(VLOOKUP(S$1,main!$A$3:$H$102,5,FALSE)-VLOOKUP($A93,main!$A$3:$H$102,6,FALSE)&gt;=main!$D$103+VLOOKUP(VLOOKUP(S$1,main!$A$3:$I$102,7,FALSE),main!$K$26:$Q$29,3,FALSE),1,0)</f>
        <v>1</v>
      </c>
      <c r="T93">
        <f>IF(VLOOKUP(T$1,main!$A$3:$H$102,5,FALSE)-VLOOKUP($A93,main!$A$3:$H$102,6,FALSE)&gt;=main!$D$103+VLOOKUP(VLOOKUP(T$1,main!$A$3:$I$102,7,FALSE),main!$K$26:$Q$29,3,FALSE),1,0)</f>
        <v>1</v>
      </c>
      <c r="U93">
        <f>IF(VLOOKUP(U$1,main!$A$3:$H$102,5,FALSE)-VLOOKUP($A93,main!$A$3:$H$102,6,FALSE)&gt;=main!$D$103+VLOOKUP(VLOOKUP(U$1,main!$A$3:$I$102,7,FALSE),main!$K$26:$Q$29,3,FALSE),1,0)</f>
        <v>1</v>
      </c>
      <c r="V93">
        <f>IF(VLOOKUP(V$1,main!$A$3:$H$102,5,FALSE)-VLOOKUP($A93,main!$A$3:$H$102,6,FALSE)&gt;=main!$D$103+VLOOKUP(VLOOKUP(V$1,main!$A$3:$I$102,7,FALSE),main!$K$26:$Q$29,3,FALSE),1,0)</f>
        <v>1</v>
      </c>
      <c r="W93">
        <f>IF(VLOOKUP(W$1,main!$A$3:$H$102,5,FALSE)-VLOOKUP($A93,main!$A$3:$H$102,6,FALSE)&gt;=main!$D$103+VLOOKUP(VLOOKUP(W$1,main!$A$3:$I$102,7,FALSE),main!$K$26:$Q$29,3,FALSE),1,0)</f>
        <v>0</v>
      </c>
      <c r="X93">
        <f>IF(VLOOKUP(X$1,main!$A$3:$H$102,5,FALSE)-VLOOKUP($A93,main!$A$3:$H$102,6,FALSE)&gt;=main!$D$103+VLOOKUP(VLOOKUP(X$1,main!$A$3:$I$102,7,FALSE),main!$K$26:$Q$29,3,FALSE),1,0)</f>
        <v>0</v>
      </c>
      <c r="Y93">
        <f>IF(VLOOKUP(Y$1,main!$A$3:$H$102,5,FALSE)-VLOOKUP($A93,main!$A$3:$H$102,6,FALSE)&gt;=main!$D$103+VLOOKUP(VLOOKUP(Y$1,main!$A$3:$I$102,7,FALSE),main!$K$26:$Q$29,3,FALSE),1,0)</f>
        <v>0</v>
      </c>
      <c r="Z93">
        <f>IF(VLOOKUP(Z$1,main!$A$3:$H$102,5,FALSE)-VLOOKUP($A93,main!$A$3:$H$102,6,FALSE)&gt;=main!$D$103+VLOOKUP(VLOOKUP(Z$1,main!$A$3:$I$102,7,FALSE),main!$K$26:$Q$29,3,FALSE),1,0)</f>
        <v>1</v>
      </c>
      <c r="AA93">
        <f>IF(VLOOKUP(AA$1,main!$A$3:$H$102,5,FALSE)-VLOOKUP($A93,main!$A$3:$H$102,6,FALSE)&gt;=main!$D$103+VLOOKUP(VLOOKUP(AA$1,main!$A$3:$I$102,7,FALSE),main!$K$26:$Q$29,3,FALSE),1,0)</f>
        <v>1</v>
      </c>
      <c r="AB93">
        <f>IF(VLOOKUP(AB$1,main!$A$3:$H$102,5,FALSE)-VLOOKUP($A93,main!$A$3:$H$102,6,FALSE)&gt;=main!$D$103+VLOOKUP(VLOOKUP(AB$1,main!$A$3:$I$102,7,FALSE),main!$K$26:$Q$29,3,FALSE),1,0)</f>
        <v>0</v>
      </c>
      <c r="AC93">
        <f>IF(VLOOKUP(AC$1,main!$A$3:$H$102,5,FALSE)-VLOOKUP($A93,main!$A$3:$H$102,6,FALSE)&gt;=main!$D$103+VLOOKUP(VLOOKUP(AC$1,main!$A$3:$I$102,7,FALSE),main!$K$26:$Q$29,3,FALSE),1,0)</f>
        <v>0</v>
      </c>
      <c r="AD93">
        <f>IF(VLOOKUP(AD$1,main!$A$3:$H$102,5,FALSE)-VLOOKUP($A93,main!$A$3:$H$102,6,FALSE)&gt;=main!$D$103+VLOOKUP(VLOOKUP(AD$1,main!$A$3:$I$102,7,FALSE),main!$K$26:$Q$29,3,FALSE),1,0)</f>
        <v>0</v>
      </c>
      <c r="AE93">
        <f>IF(VLOOKUP(AE$1,main!$A$3:$H$102,5,FALSE)-VLOOKUP($A93,main!$A$3:$H$102,6,FALSE)&gt;=main!$D$103+VLOOKUP(VLOOKUP(AE$1,main!$A$3:$I$102,7,FALSE),main!$K$26:$Q$29,3,FALSE),1,0)</f>
        <v>1</v>
      </c>
      <c r="AF93">
        <f>IF(VLOOKUP(AF$1,main!$A$3:$H$102,5,FALSE)-VLOOKUP($A93,main!$A$3:$H$102,6,FALSE)&gt;=main!$D$103+VLOOKUP(VLOOKUP(AF$1,main!$A$3:$I$102,7,FALSE),main!$K$26:$Q$29,3,FALSE),1,0)</f>
        <v>1</v>
      </c>
      <c r="AG93">
        <f>IF(VLOOKUP(AG$1,main!$A$3:$H$102,5,FALSE)-VLOOKUP($A93,main!$A$3:$H$102,6,FALSE)&gt;=main!$D$103+VLOOKUP(VLOOKUP(AG$1,main!$A$3:$I$102,7,FALSE),main!$K$26:$Q$29,3,FALSE),1,0)</f>
        <v>0</v>
      </c>
      <c r="AH93">
        <f>IF(VLOOKUP(AH$1,main!$A$3:$H$102,5,FALSE)-VLOOKUP($A93,main!$A$3:$H$102,6,FALSE)&gt;=main!$D$103+VLOOKUP(VLOOKUP(AH$1,main!$A$3:$I$102,7,FALSE),main!$K$26:$Q$29,3,FALSE),1,0)</f>
        <v>0</v>
      </c>
      <c r="AI93">
        <f>IF(VLOOKUP(AI$1,main!$A$3:$H$102,5,FALSE)-VLOOKUP($A93,main!$A$3:$H$102,6,FALSE)&gt;=main!$D$103+VLOOKUP(VLOOKUP(AI$1,main!$A$3:$I$102,7,FALSE),main!$K$26:$Q$29,3,FALSE),1,0)</f>
        <v>0</v>
      </c>
      <c r="AJ93">
        <f>IF(VLOOKUP(AJ$1,main!$A$3:$H$102,5,FALSE)-VLOOKUP($A93,main!$A$3:$H$102,6,FALSE)&gt;=main!$D$103+VLOOKUP(VLOOKUP(AJ$1,main!$A$3:$I$102,7,FALSE),main!$K$26:$Q$29,3,FALSE),1,0)</f>
        <v>0</v>
      </c>
      <c r="AK93">
        <f>IF(VLOOKUP(AK$1,main!$A$3:$H$102,5,FALSE)-VLOOKUP($A93,main!$A$3:$H$102,6,FALSE)&gt;=main!$D$103+VLOOKUP(VLOOKUP(AK$1,main!$A$3:$I$102,7,FALSE),main!$K$26:$Q$29,3,FALSE),1,0)</f>
        <v>1</v>
      </c>
      <c r="AL93">
        <f>IF(VLOOKUP(AL$1,main!$A$3:$H$102,5,FALSE)-VLOOKUP($A93,main!$A$3:$H$102,6,FALSE)&gt;=main!$D$103+VLOOKUP(VLOOKUP(AL$1,main!$A$3:$I$102,7,FALSE),main!$K$26:$Q$29,3,FALSE),1,0)</f>
        <v>1</v>
      </c>
      <c r="AM93">
        <f>IF(VLOOKUP(AM$1,main!$A$3:$H$102,5,FALSE)-VLOOKUP($A93,main!$A$3:$H$102,6,FALSE)&gt;=main!$D$103+VLOOKUP(VLOOKUP(AM$1,main!$A$3:$I$102,7,FALSE),main!$K$26:$Q$29,3,FALSE),1,0)</f>
        <v>1</v>
      </c>
      <c r="AN93">
        <f>IF(VLOOKUP(AN$1,main!$A$3:$H$102,5,FALSE)-VLOOKUP($A93,main!$A$3:$H$102,6,FALSE)&gt;=main!$D$103+VLOOKUP(VLOOKUP(AN$1,main!$A$3:$I$102,7,FALSE),main!$K$26:$Q$29,3,FALSE),1,0)</f>
        <v>1</v>
      </c>
      <c r="AO93">
        <f>IF(VLOOKUP(AO$1,main!$A$3:$H$102,5,FALSE)-VLOOKUP($A93,main!$A$3:$H$102,6,FALSE)&gt;=main!$D$103+VLOOKUP(VLOOKUP(AO$1,main!$A$3:$I$102,7,FALSE),main!$K$26:$Q$29,3,FALSE),1,0)</f>
        <v>0</v>
      </c>
      <c r="AP93">
        <f>IF(VLOOKUP(AP$1,main!$A$3:$H$102,5,FALSE)-VLOOKUP($A93,main!$A$3:$H$102,6,FALSE)&gt;=main!$D$103+VLOOKUP(VLOOKUP(AP$1,main!$A$3:$I$102,7,FALSE),main!$K$26:$Q$29,3,FALSE),1,0)</f>
        <v>1</v>
      </c>
      <c r="AQ93">
        <f>IF(VLOOKUP(AQ$1,main!$A$3:$H$102,5,FALSE)-VLOOKUP($A93,main!$A$3:$H$102,6,FALSE)&gt;=main!$D$103+VLOOKUP(VLOOKUP(AQ$1,main!$A$3:$I$102,7,FALSE),main!$K$26:$Q$29,3,FALSE),1,0)</f>
        <v>0</v>
      </c>
      <c r="AR93">
        <f>IF(VLOOKUP(AR$1,main!$A$3:$H$102,5,FALSE)-VLOOKUP($A93,main!$A$3:$H$102,6,FALSE)&gt;=main!$D$103+VLOOKUP(VLOOKUP(AR$1,main!$A$3:$I$102,7,FALSE),main!$K$26:$Q$29,3,FALSE),1,0)</f>
        <v>0</v>
      </c>
      <c r="AS93">
        <f>IF(VLOOKUP(AS$1,main!$A$3:$H$102,5,FALSE)-VLOOKUP($A93,main!$A$3:$H$102,6,FALSE)&gt;=main!$D$103+VLOOKUP(VLOOKUP(AS$1,main!$A$3:$I$102,7,FALSE),main!$K$26:$Q$29,3,FALSE),1,0)</f>
        <v>0</v>
      </c>
      <c r="AT93">
        <f>IF(VLOOKUP(AT$1,main!$A$3:$H$102,5,FALSE)-VLOOKUP($A93,main!$A$3:$H$102,6,FALSE)&gt;=main!$D$103+VLOOKUP(VLOOKUP(AT$1,main!$A$3:$I$102,7,FALSE),main!$K$26:$Q$29,3,FALSE),1,0)</f>
        <v>1</v>
      </c>
      <c r="AU93">
        <f>IF(VLOOKUP(AU$1,main!$A$3:$H$102,5,FALSE)-VLOOKUP($A93,main!$A$3:$H$102,6,FALSE)&gt;=main!$D$103+VLOOKUP(VLOOKUP(AU$1,main!$A$3:$I$102,7,FALSE),main!$K$26:$Q$29,3,FALSE),1,0)</f>
        <v>0</v>
      </c>
      <c r="AV93">
        <f>IF(VLOOKUP(AV$1,main!$A$3:$H$102,5,FALSE)-VLOOKUP($A93,main!$A$3:$H$102,6,FALSE)&gt;=main!$D$103+VLOOKUP(VLOOKUP(AV$1,main!$A$3:$I$102,7,FALSE),main!$K$26:$Q$29,3,FALSE),1,0)</f>
        <v>0</v>
      </c>
      <c r="AW93">
        <f>IF(VLOOKUP(AW$1,main!$A$3:$H$102,5,FALSE)-VLOOKUP($A93,main!$A$3:$H$102,6,FALSE)&gt;=main!$D$103+VLOOKUP(VLOOKUP(AW$1,main!$A$3:$I$102,7,FALSE),main!$K$26:$Q$29,3,FALSE),1,0)</f>
        <v>1</v>
      </c>
      <c r="AX93">
        <f>IF(VLOOKUP(AX$1,main!$A$3:$H$102,5,FALSE)-VLOOKUP($A93,main!$A$3:$H$102,6,FALSE)&gt;=main!$D$103+VLOOKUP(VLOOKUP(AX$1,main!$A$3:$I$102,7,FALSE),main!$K$26:$Q$29,3,FALSE),1,0)</f>
        <v>0</v>
      </c>
      <c r="AY93">
        <f>IF(VLOOKUP(AY$1,main!$A$3:$H$102,5,FALSE)-VLOOKUP($A93,main!$A$3:$H$102,6,FALSE)&gt;=main!$D$103+VLOOKUP(VLOOKUP(AY$1,main!$A$3:$I$102,7,FALSE),main!$K$26:$Q$29,3,FALSE),1,0)</f>
        <v>0</v>
      </c>
      <c r="AZ93">
        <f>IF(VLOOKUP(AZ$1,main!$A$3:$H$102,5,FALSE)-VLOOKUP($A93,main!$A$3:$H$102,6,FALSE)&gt;=main!$D$103+VLOOKUP(VLOOKUP(AZ$1,main!$A$3:$I$102,7,FALSE),main!$K$26:$Q$29,3,FALSE),1,0)</f>
        <v>0</v>
      </c>
      <c r="BA93">
        <f>IF(VLOOKUP(BA$1,main!$A$3:$H$102,5,FALSE)-VLOOKUP($A93,main!$A$3:$H$102,6,FALSE)&gt;=main!$D$103+VLOOKUP(VLOOKUP(BA$1,main!$A$3:$I$102,7,FALSE),main!$K$26:$Q$29,3,FALSE),1,0)</f>
        <v>0</v>
      </c>
      <c r="BB93">
        <f>IF(VLOOKUP(BB$1,main!$A$3:$H$102,5,FALSE)-VLOOKUP($A93,main!$A$3:$H$102,6,FALSE)&gt;=main!$D$103+VLOOKUP(VLOOKUP(BB$1,main!$A$3:$I$102,7,FALSE),main!$K$26:$Q$29,3,FALSE),1,0)</f>
        <v>0</v>
      </c>
      <c r="BC93">
        <f>IF(VLOOKUP(BC$1,main!$A$3:$H$102,5,FALSE)-VLOOKUP($A93,main!$A$3:$H$102,6,FALSE)&gt;=main!$D$103+VLOOKUP(VLOOKUP(BC$1,main!$A$3:$I$102,7,FALSE),main!$K$26:$Q$29,3,FALSE),1,0)</f>
        <v>1</v>
      </c>
      <c r="BD93">
        <f>IF(VLOOKUP(BD$1,main!$A$3:$H$102,5,FALSE)-VLOOKUP($A93,main!$A$3:$H$102,6,FALSE)&gt;=main!$D$103+VLOOKUP(VLOOKUP(BD$1,main!$A$3:$I$102,7,FALSE),main!$K$26:$Q$29,3,FALSE),1,0)</f>
        <v>1</v>
      </c>
      <c r="BE93">
        <f>IF(VLOOKUP(BE$1,main!$A$3:$H$102,5,FALSE)-VLOOKUP($A93,main!$A$3:$H$102,6,FALSE)&gt;=main!$D$103+VLOOKUP(VLOOKUP(BE$1,main!$A$3:$I$102,7,FALSE),main!$K$26:$Q$29,3,FALSE),1,0)</f>
        <v>1</v>
      </c>
      <c r="BF93">
        <f>IF(VLOOKUP(BF$1,main!$A$3:$H$102,5,FALSE)-VLOOKUP($A93,main!$A$3:$H$102,6,FALSE)&gt;=main!$D$103+VLOOKUP(VLOOKUP(BF$1,main!$A$3:$I$102,7,FALSE),main!$K$26:$Q$29,3,FALSE),1,0)</f>
        <v>0</v>
      </c>
      <c r="BG93">
        <f>IF(VLOOKUP(BG$1,main!$A$3:$H$102,5,FALSE)-VLOOKUP($A93,main!$A$3:$H$102,6,FALSE)&gt;=main!$D$103+VLOOKUP(VLOOKUP(BG$1,main!$A$3:$I$102,7,FALSE),main!$K$26:$Q$29,3,FALSE),1,0)</f>
        <v>0</v>
      </c>
      <c r="BH93">
        <f>IF(VLOOKUP(BH$1,main!$A$3:$H$102,5,FALSE)-VLOOKUP($A93,main!$A$3:$H$102,6,FALSE)&gt;=main!$D$103+VLOOKUP(VLOOKUP(BH$1,main!$A$3:$I$102,7,FALSE),main!$K$26:$Q$29,3,FALSE),1,0)</f>
        <v>1</v>
      </c>
      <c r="BI93">
        <f>IF(VLOOKUP(BI$1,main!$A$3:$H$102,5,FALSE)-VLOOKUP($A93,main!$A$3:$H$102,6,FALSE)&gt;=main!$D$103+VLOOKUP(VLOOKUP(BI$1,main!$A$3:$I$102,7,FALSE),main!$K$26:$Q$29,3,FALSE),1,0)</f>
        <v>1</v>
      </c>
      <c r="BJ93">
        <f>IF(VLOOKUP(BJ$1,main!$A$3:$H$102,5,FALSE)-VLOOKUP($A93,main!$A$3:$H$102,6,FALSE)&gt;=main!$D$103+VLOOKUP(VLOOKUP(BJ$1,main!$A$3:$I$102,7,FALSE),main!$K$26:$Q$29,3,FALSE),1,0)</f>
        <v>1</v>
      </c>
      <c r="BK93">
        <f>IF(VLOOKUP(BK$1,main!$A$3:$H$102,5,FALSE)-VLOOKUP($A93,main!$A$3:$H$102,6,FALSE)&gt;=main!$D$103+VLOOKUP(VLOOKUP(BK$1,main!$A$3:$I$102,7,FALSE),main!$K$26:$Q$29,3,FALSE),1,0)</f>
        <v>0</v>
      </c>
      <c r="BL93">
        <f>IF(VLOOKUP(BL$1,main!$A$3:$H$102,5,FALSE)-VLOOKUP($A93,main!$A$3:$H$102,6,FALSE)&gt;=main!$D$103+VLOOKUP(VLOOKUP(BL$1,main!$A$3:$I$102,7,FALSE),main!$K$26:$Q$29,3,FALSE),1,0)</f>
        <v>0</v>
      </c>
      <c r="BM93">
        <f>IF(VLOOKUP(BM$1,main!$A$3:$H$102,5,FALSE)-VLOOKUP($A93,main!$A$3:$H$102,6,FALSE)&gt;=main!$D$103+VLOOKUP(VLOOKUP(BM$1,main!$A$3:$I$102,7,FALSE),main!$K$26:$Q$29,3,FALSE),1,0)</f>
        <v>0</v>
      </c>
      <c r="BN93">
        <f>IF(VLOOKUP(BN$1,main!$A$3:$H$102,5,FALSE)-VLOOKUP($A93,main!$A$3:$H$102,6,FALSE)&gt;=main!$D$103+VLOOKUP(VLOOKUP(BN$1,main!$A$3:$I$102,7,FALSE),main!$K$26:$Q$29,3,FALSE),1,0)</f>
        <v>1</v>
      </c>
      <c r="BO93">
        <f>IF(VLOOKUP(BO$1,main!$A$3:$H$102,5,FALSE)-VLOOKUP($A93,main!$A$3:$H$102,6,FALSE)&gt;=main!$D$103+VLOOKUP(VLOOKUP(BO$1,main!$A$3:$I$102,7,FALSE),main!$K$26:$Q$29,3,FALSE),1,0)</f>
        <v>0</v>
      </c>
      <c r="BP93">
        <f>IF(VLOOKUP(BP$1,main!$A$3:$H$102,5,FALSE)-VLOOKUP($A93,main!$A$3:$H$102,6,FALSE)&gt;=main!$D$103+VLOOKUP(VLOOKUP(BP$1,main!$A$3:$I$102,7,FALSE),main!$K$26:$Q$29,3,FALSE),1,0)</f>
        <v>0</v>
      </c>
      <c r="BQ93">
        <f>IF(VLOOKUP(BQ$1,main!$A$3:$H$102,5,FALSE)-VLOOKUP($A93,main!$A$3:$H$102,6,FALSE)&gt;=main!$D$103+VLOOKUP(VLOOKUP(BQ$1,main!$A$3:$I$102,7,FALSE),main!$K$26:$Q$29,3,FALSE),1,0)</f>
        <v>0</v>
      </c>
      <c r="BR93">
        <f>IF(VLOOKUP(BR$1,main!$A$3:$H$102,5,FALSE)-VLOOKUP($A93,main!$A$3:$H$102,6,FALSE)&gt;=main!$D$103+VLOOKUP(VLOOKUP(BR$1,main!$A$3:$I$102,7,FALSE),main!$K$26:$Q$29,3,FALSE),1,0)</f>
        <v>0</v>
      </c>
      <c r="BS93">
        <f>IF(VLOOKUP(BS$1,main!$A$3:$H$102,5,FALSE)-VLOOKUP($A93,main!$A$3:$H$102,6,FALSE)&gt;=main!$D$103+VLOOKUP(VLOOKUP(BS$1,main!$A$3:$I$102,7,FALSE),main!$K$26:$Q$29,3,FALSE),1,0)</f>
        <v>0</v>
      </c>
      <c r="BT93">
        <f>IF(VLOOKUP(BT$1,main!$A$3:$H$102,5,FALSE)-VLOOKUP($A93,main!$A$3:$H$102,6,FALSE)&gt;=main!$D$103+VLOOKUP(VLOOKUP(BT$1,main!$A$3:$I$102,7,FALSE),main!$K$26:$Q$29,3,FALSE),1,0)</f>
        <v>0</v>
      </c>
      <c r="BU93">
        <f>IF(VLOOKUP(BU$1,main!$A$3:$H$102,5,FALSE)-VLOOKUP($A93,main!$A$3:$H$102,6,FALSE)&gt;=main!$D$103+VLOOKUP(VLOOKUP(BU$1,main!$A$3:$I$102,7,FALSE),main!$K$26:$Q$29,3,FALSE),1,0)</f>
        <v>0</v>
      </c>
      <c r="BV93">
        <f>IF(VLOOKUP(BV$1,main!$A$3:$H$102,5,FALSE)-VLOOKUP($A93,main!$A$3:$H$102,6,FALSE)&gt;=main!$D$103+VLOOKUP(VLOOKUP(BV$1,main!$A$3:$I$102,7,FALSE),main!$K$26:$Q$29,3,FALSE),1,0)</f>
        <v>0</v>
      </c>
      <c r="BW93">
        <f>IF(VLOOKUP(BW$1,main!$A$3:$H$102,5,FALSE)-VLOOKUP($A93,main!$A$3:$H$102,6,FALSE)&gt;=main!$D$103+VLOOKUP(VLOOKUP(BW$1,main!$A$3:$I$102,7,FALSE),main!$K$26:$Q$29,3,FALSE),1,0)</f>
        <v>0</v>
      </c>
      <c r="BX93">
        <f>IF(VLOOKUP(BX$1,main!$A$3:$H$102,5,FALSE)-VLOOKUP($A93,main!$A$3:$H$102,6,FALSE)&gt;=main!$D$103+VLOOKUP(VLOOKUP(BX$1,main!$A$3:$I$102,7,FALSE),main!$K$26:$Q$29,3,FALSE),1,0)</f>
        <v>0</v>
      </c>
      <c r="BY93">
        <f>IF(VLOOKUP(BY$1,main!$A$3:$H$102,5,FALSE)-VLOOKUP($A93,main!$A$3:$H$102,6,FALSE)&gt;=main!$D$103+VLOOKUP(VLOOKUP(BY$1,main!$A$3:$I$102,7,FALSE),main!$K$26:$Q$29,3,FALSE),1,0)</f>
        <v>1</v>
      </c>
      <c r="BZ93">
        <f>IF(VLOOKUP(BZ$1,main!$A$3:$H$102,5,FALSE)-VLOOKUP($A93,main!$A$3:$H$102,6,FALSE)&gt;=main!$D$103+VLOOKUP(VLOOKUP(BZ$1,main!$A$3:$I$102,7,FALSE),main!$K$26:$Q$29,3,FALSE),1,0)</f>
        <v>0</v>
      </c>
      <c r="CA93">
        <f>IF(VLOOKUP(CA$1,main!$A$3:$H$102,5,FALSE)-VLOOKUP($A93,main!$A$3:$H$102,6,FALSE)&gt;=main!$D$103+VLOOKUP(VLOOKUP(CA$1,main!$A$3:$I$102,7,FALSE),main!$K$26:$Q$29,3,FALSE),1,0)</f>
        <v>0</v>
      </c>
      <c r="CB93">
        <f>IF(VLOOKUP(CB$1,main!$A$3:$H$102,5,FALSE)-VLOOKUP($A93,main!$A$3:$H$102,6,FALSE)&gt;=main!$D$103+VLOOKUP(VLOOKUP(CB$1,main!$A$3:$I$102,7,FALSE),main!$K$26:$Q$29,3,FALSE),1,0)</f>
        <v>1</v>
      </c>
      <c r="CC93">
        <f>IF(VLOOKUP(CC$1,main!$A$3:$H$102,5,FALSE)-VLOOKUP($A93,main!$A$3:$H$102,6,FALSE)&gt;=main!$D$103+VLOOKUP(VLOOKUP(CC$1,main!$A$3:$I$102,7,FALSE),main!$K$26:$Q$29,3,FALSE),1,0)</f>
        <v>1</v>
      </c>
      <c r="CD93">
        <f>IF(VLOOKUP(CD$1,main!$A$3:$H$102,5,FALSE)-VLOOKUP($A93,main!$A$3:$H$102,6,FALSE)&gt;=main!$D$103+VLOOKUP(VLOOKUP(CD$1,main!$A$3:$I$102,7,FALSE),main!$K$26:$Q$29,3,FALSE),1,0)</f>
        <v>1</v>
      </c>
      <c r="CE93">
        <f>IF(VLOOKUP(CE$1,main!$A$3:$H$102,5,FALSE)-VLOOKUP($A93,main!$A$3:$H$102,6,FALSE)&gt;=main!$D$103+VLOOKUP(VLOOKUP(CE$1,main!$A$3:$I$102,7,FALSE),main!$K$26:$Q$29,3,FALSE),1,0)</f>
        <v>0</v>
      </c>
      <c r="CF93">
        <f>IF(VLOOKUP(CF$1,main!$A$3:$H$102,5,FALSE)-VLOOKUP($A93,main!$A$3:$H$102,6,FALSE)&gt;=main!$D$103+VLOOKUP(VLOOKUP(CF$1,main!$A$3:$I$102,7,FALSE),main!$K$26:$Q$29,3,FALSE),1,0)</f>
        <v>0</v>
      </c>
      <c r="CG93">
        <f>IF(VLOOKUP(CG$1,main!$A$3:$H$102,5,FALSE)-VLOOKUP($A93,main!$A$3:$H$102,6,FALSE)&gt;=main!$D$103+VLOOKUP(VLOOKUP(CG$1,main!$A$3:$I$102,7,FALSE),main!$K$26:$Q$29,3,FALSE),1,0)</f>
        <v>0</v>
      </c>
      <c r="CH93">
        <f>IF(VLOOKUP(CH$1,main!$A$3:$H$102,5,FALSE)-VLOOKUP($A93,main!$A$3:$H$102,6,FALSE)&gt;=main!$D$103+VLOOKUP(VLOOKUP(CH$1,main!$A$3:$I$102,7,FALSE),main!$K$26:$Q$29,3,FALSE),1,0)</f>
        <v>1</v>
      </c>
      <c r="CI93">
        <f>IF(VLOOKUP(CI$1,main!$A$3:$H$102,5,FALSE)-VLOOKUP($A93,main!$A$3:$H$102,6,FALSE)&gt;=main!$D$103+VLOOKUP(VLOOKUP(CI$1,main!$A$3:$I$102,7,FALSE),main!$K$26:$Q$29,3,FALSE),1,0)</f>
        <v>1</v>
      </c>
      <c r="CJ93">
        <f>IF(VLOOKUP(CJ$1,main!$A$3:$H$102,5,FALSE)-VLOOKUP($A93,main!$A$3:$H$102,6,FALSE)&gt;=main!$D$103+VLOOKUP(VLOOKUP(CJ$1,main!$A$3:$I$102,7,FALSE),main!$K$26:$Q$29,3,FALSE),1,0)</f>
        <v>0</v>
      </c>
      <c r="CK93">
        <f>IF(VLOOKUP(CK$1,main!$A$3:$H$102,5,FALSE)-VLOOKUP($A93,main!$A$3:$H$102,6,FALSE)&gt;=main!$D$103+VLOOKUP(VLOOKUP(CK$1,main!$A$3:$I$102,7,FALSE),main!$K$26:$Q$29,3,FALSE),1,0)</f>
        <v>0</v>
      </c>
      <c r="CL93">
        <f>IF(VLOOKUP(CL$1,main!$A$3:$H$102,5,FALSE)-VLOOKUP($A93,main!$A$3:$H$102,6,FALSE)&gt;=main!$D$103+VLOOKUP(VLOOKUP(CL$1,main!$A$3:$I$102,7,FALSE),main!$K$26:$Q$29,3,FALSE),1,0)</f>
        <v>0</v>
      </c>
      <c r="CM93">
        <f>IF(VLOOKUP(CM$1,main!$A$3:$H$102,5,FALSE)-VLOOKUP($A93,main!$A$3:$H$102,6,FALSE)&gt;=main!$D$103+VLOOKUP(VLOOKUP(CM$1,main!$A$3:$I$102,7,FALSE),main!$K$26:$Q$29,3,FALSE),1,0)</f>
        <v>1</v>
      </c>
      <c r="CN93">
        <f>IF(VLOOKUP(CN$1,main!$A$3:$H$102,5,FALSE)-VLOOKUP($A93,main!$A$3:$H$102,6,FALSE)&gt;=main!$D$103+VLOOKUP(VLOOKUP(CN$1,main!$A$3:$I$102,7,FALSE),main!$K$26:$Q$29,3,FALSE),1,0)</f>
        <v>1</v>
      </c>
      <c r="CO93">
        <f>IF(VLOOKUP(CO$1,main!$A$3:$H$102,5,FALSE)-VLOOKUP($A93,main!$A$3:$H$102,6,FALSE)&gt;=main!$D$103+VLOOKUP(VLOOKUP(CO$1,main!$A$3:$I$102,7,FALSE),main!$K$26:$Q$29,3,FALSE),1,0)</f>
        <v>0</v>
      </c>
      <c r="CP93">
        <f>IF(VLOOKUP(CP$1,main!$A$3:$H$102,5,FALSE)-VLOOKUP($A93,main!$A$3:$H$102,6,FALSE)&gt;=main!$D$103+VLOOKUP(VLOOKUP(CP$1,main!$A$3:$I$102,7,FALSE),main!$K$26:$Q$29,3,FALSE),1,0)</f>
        <v>0</v>
      </c>
      <c r="CQ93">
        <f>IF(VLOOKUP(CQ$1,main!$A$3:$H$102,5,FALSE)-VLOOKUP($A93,main!$A$3:$H$102,6,FALSE)&gt;=main!$D$103+VLOOKUP(VLOOKUP(CQ$1,main!$A$3:$I$102,7,FALSE),main!$K$26:$Q$29,3,FALSE),1,0)</f>
        <v>0</v>
      </c>
      <c r="CR93">
        <f>IF(VLOOKUP(CR$1,main!$A$3:$H$102,5,FALSE)-VLOOKUP($A93,main!$A$3:$H$102,6,FALSE)&gt;=main!$D$103+VLOOKUP(VLOOKUP(CR$1,main!$A$3:$I$102,7,FALSE),main!$K$26:$Q$29,3,FALSE),1,0)</f>
        <v>1</v>
      </c>
      <c r="CS93">
        <f>IF(VLOOKUP(CS$1,main!$A$3:$H$102,5,FALSE)-VLOOKUP($A93,main!$A$3:$H$102,6,FALSE)&gt;=main!$D$103+VLOOKUP(VLOOKUP(CS$1,main!$A$3:$I$102,7,FALSE),main!$K$26:$Q$29,3,FALSE),1,0)</f>
        <v>1</v>
      </c>
      <c r="CT93">
        <f>IF(VLOOKUP(CT$1,main!$A$3:$H$102,5,FALSE)-VLOOKUP($A93,main!$A$3:$H$102,6,FALSE)&gt;=main!$D$103+VLOOKUP(VLOOKUP(CT$1,main!$A$3:$I$102,7,FALSE),main!$K$26:$Q$29,3,FALSE),1,0)</f>
        <v>0</v>
      </c>
      <c r="CU93">
        <f>IF(VLOOKUP(CU$1,main!$A$3:$H$102,5,FALSE)-VLOOKUP($A93,main!$A$3:$H$102,6,FALSE)&gt;=main!$D$103+VLOOKUP(VLOOKUP(CU$1,main!$A$3:$I$102,7,FALSE),main!$K$26:$Q$29,3,FALSE),1,0)</f>
        <v>0</v>
      </c>
      <c r="CV93">
        <f>IF(VLOOKUP(CV$1,main!$A$3:$H$102,5,FALSE)-VLOOKUP($A93,main!$A$3:$H$102,6,FALSE)&gt;=main!$D$103+VLOOKUP(VLOOKUP(CV$1,main!$A$3:$I$102,7,FALSE),main!$K$26:$Q$29,3,FALSE),1,0)</f>
        <v>0</v>
      </c>
      <c r="CW93">
        <f>IF(VLOOKUP(CW$1,main!$A$3:$H$102,5,FALSE)-VLOOKUP($A93,main!$A$3:$H$102,6,FALSE)&gt;=main!$D$103+VLOOKUP(VLOOKUP(CW$1,main!$A$3:$I$102,7,FALSE),main!$K$26:$Q$29,3,FALSE),1,0)</f>
        <v>1</v>
      </c>
      <c r="CX93">
        <f>IF(VLOOKUP(CX$1,main!$A$3:$H$102,5,FALSE)-VLOOKUP($A93,main!$A$3:$H$102,6,FALSE)&gt;=main!$D$103+VLOOKUP(VLOOKUP(CX$1,main!$A$3:$I$102,7,FALSE),main!$K$26:$Q$29,3,FALSE),1,0)</f>
        <v>1</v>
      </c>
    </row>
    <row r="94" spans="1:102" x14ac:dyDescent="0.25">
      <c r="A94" s="1">
        <v>92</v>
      </c>
      <c r="B94">
        <v>0</v>
      </c>
      <c r="C94">
        <f>IF(VLOOKUP(C$1,main!$A$3:$H$102,5,FALSE)-VLOOKUP($A94,main!$A$3:$H$102,6,FALSE)&gt;=main!$D$103+VLOOKUP(VLOOKUP(C$1,main!$A$3:$I$102,7,FALSE),main!$K$26:$Q$29,3,FALSE),1,0)</f>
        <v>0</v>
      </c>
      <c r="D94">
        <f>IF(VLOOKUP(D$1,main!$A$3:$H$102,5,FALSE)-VLOOKUP($A94,main!$A$3:$H$102,6,FALSE)&gt;=main!$D$103+VLOOKUP(VLOOKUP(D$1,main!$A$3:$I$102,7,FALSE),main!$K$26:$Q$29,3,FALSE),1,0)</f>
        <v>0</v>
      </c>
      <c r="E94">
        <f>IF(VLOOKUP(E$1,main!$A$3:$H$102,5,FALSE)-VLOOKUP($A94,main!$A$3:$H$102,6,FALSE)&gt;=main!$D$103+VLOOKUP(VLOOKUP(E$1,main!$A$3:$I$102,7,FALSE),main!$K$26:$Q$29,3,FALSE),1,0)</f>
        <v>0</v>
      </c>
      <c r="F94">
        <f>IF(VLOOKUP(F$1,main!$A$3:$H$102,5,FALSE)-VLOOKUP($A94,main!$A$3:$H$102,6,FALSE)&gt;=main!$D$103+VLOOKUP(VLOOKUP(F$1,main!$A$3:$I$102,7,FALSE),main!$K$26:$Q$29,3,FALSE),1,0)</f>
        <v>0</v>
      </c>
      <c r="G94">
        <f>IF(VLOOKUP(G$1,main!$A$3:$H$102,5,FALSE)-VLOOKUP($A94,main!$A$3:$H$102,6,FALSE)&gt;=main!$D$103+VLOOKUP(VLOOKUP(G$1,main!$A$3:$I$102,7,FALSE),main!$K$26:$Q$29,3,FALSE),1,0)</f>
        <v>0</v>
      </c>
      <c r="H94">
        <f>IF(VLOOKUP(H$1,main!$A$3:$H$102,5,FALSE)-VLOOKUP($A94,main!$A$3:$H$102,6,FALSE)&gt;=main!$D$103+VLOOKUP(VLOOKUP(H$1,main!$A$3:$I$102,7,FALSE),main!$K$26:$Q$29,3,FALSE),1,0)</f>
        <v>0</v>
      </c>
      <c r="I94">
        <f>IF(VLOOKUP(I$1,main!$A$3:$H$102,5,FALSE)-VLOOKUP($A94,main!$A$3:$H$102,6,FALSE)&gt;=main!$D$103+VLOOKUP(VLOOKUP(I$1,main!$A$3:$I$102,7,FALSE),main!$K$26:$Q$29,3,FALSE),1,0)</f>
        <v>1</v>
      </c>
      <c r="J94">
        <f>IF(VLOOKUP(J$1,main!$A$3:$H$102,5,FALSE)-VLOOKUP($A94,main!$A$3:$H$102,6,FALSE)&gt;=main!$D$103+VLOOKUP(VLOOKUP(J$1,main!$A$3:$I$102,7,FALSE),main!$K$26:$Q$29,3,FALSE),1,0)</f>
        <v>1</v>
      </c>
      <c r="K94">
        <f>IF(VLOOKUP(K$1,main!$A$3:$H$102,5,FALSE)-VLOOKUP($A94,main!$A$3:$H$102,6,FALSE)&gt;=main!$D$103+VLOOKUP(VLOOKUP(K$1,main!$A$3:$I$102,7,FALSE),main!$K$26:$Q$29,3,FALSE),1,0)</f>
        <v>1</v>
      </c>
      <c r="L94">
        <f>IF(VLOOKUP(L$1,main!$A$3:$H$102,5,FALSE)-VLOOKUP($A94,main!$A$3:$H$102,6,FALSE)&gt;=main!$D$103+VLOOKUP(VLOOKUP(L$1,main!$A$3:$I$102,7,FALSE),main!$K$26:$Q$29,3,FALSE),1,0)</f>
        <v>1</v>
      </c>
      <c r="M94">
        <f>IF(VLOOKUP(M$1,main!$A$3:$H$102,5,FALSE)-VLOOKUP($A94,main!$A$3:$H$102,6,FALSE)&gt;=main!$D$103+VLOOKUP(VLOOKUP(M$1,main!$A$3:$I$102,7,FALSE),main!$K$26:$Q$29,3,FALSE),1,0)</f>
        <v>0</v>
      </c>
      <c r="N94">
        <f>IF(VLOOKUP(N$1,main!$A$3:$H$102,5,FALSE)-VLOOKUP($A94,main!$A$3:$H$102,6,FALSE)&gt;=main!$D$103+VLOOKUP(VLOOKUP(N$1,main!$A$3:$I$102,7,FALSE),main!$K$26:$Q$29,3,FALSE),1,0)</f>
        <v>0</v>
      </c>
      <c r="O94">
        <f>IF(VLOOKUP(O$1,main!$A$3:$H$102,5,FALSE)-VLOOKUP($A94,main!$A$3:$H$102,6,FALSE)&gt;=main!$D$103+VLOOKUP(VLOOKUP(O$1,main!$A$3:$I$102,7,FALSE),main!$K$26:$Q$29,3,FALSE),1,0)</f>
        <v>0</v>
      </c>
      <c r="P94">
        <f>IF(VLOOKUP(P$1,main!$A$3:$H$102,5,FALSE)-VLOOKUP($A94,main!$A$3:$H$102,6,FALSE)&gt;=main!$D$103+VLOOKUP(VLOOKUP(P$1,main!$A$3:$I$102,7,FALSE),main!$K$26:$Q$29,3,FALSE),1,0)</f>
        <v>0</v>
      </c>
      <c r="Q94">
        <f>IF(VLOOKUP(Q$1,main!$A$3:$H$102,5,FALSE)-VLOOKUP($A94,main!$A$3:$H$102,6,FALSE)&gt;=main!$D$103+VLOOKUP(VLOOKUP(Q$1,main!$A$3:$I$102,7,FALSE),main!$K$26:$Q$29,3,FALSE),1,0)</f>
        <v>0</v>
      </c>
      <c r="R94">
        <f>IF(VLOOKUP(R$1,main!$A$3:$H$102,5,FALSE)-VLOOKUP($A94,main!$A$3:$H$102,6,FALSE)&gt;=main!$D$103+VLOOKUP(VLOOKUP(R$1,main!$A$3:$I$102,7,FALSE),main!$K$26:$Q$29,3,FALSE),1,0)</f>
        <v>0</v>
      </c>
      <c r="S94">
        <f>IF(VLOOKUP(S$1,main!$A$3:$H$102,5,FALSE)-VLOOKUP($A94,main!$A$3:$H$102,6,FALSE)&gt;=main!$D$103+VLOOKUP(VLOOKUP(S$1,main!$A$3:$I$102,7,FALSE),main!$K$26:$Q$29,3,FALSE),1,0)</f>
        <v>0</v>
      </c>
      <c r="T94">
        <f>IF(VLOOKUP(T$1,main!$A$3:$H$102,5,FALSE)-VLOOKUP($A94,main!$A$3:$H$102,6,FALSE)&gt;=main!$D$103+VLOOKUP(VLOOKUP(T$1,main!$A$3:$I$102,7,FALSE),main!$K$26:$Q$29,3,FALSE),1,0)</f>
        <v>1</v>
      </c>
      <c r="U94">
        <f>IF(VLOOKUP(U$1,main!$A$3:$H$102,5,FALSE)-VLOOKUP($A94,main!$A$3:$H$102,6,FALSE)&gt;=main!$D$103+VLOOKUP(VLOOKUP(U$1,main!$A$3:$I$102,7,FALSE),main!$K$26:$Q$29,3,FALSE),1,0)</f>
        <v>1</v>
      </c>
      <c r="V94">
        <f>IF(VLOOKUP(V$1,main!$A$3:$H$102,5,FALSE)-VLOOKUP($A94,main!$A$3:$H$102,6,FALSE)&gt;=main!$D$103+VLOOKUP(VLOOKUP(V$1,main!$A$3:$I$102,7,FALSE),main!$K$26:$Q$29,3,FALSE),1,0)</f>
        <v>1</v>
      </c>
      <c r="W94">
        <f>IF(VLOOKUP(W$1,main!$A$3:$H$102,5,FALSE)-VLOOKUP($A94,main!$A$3:$H$102,6,FALSE)&gt;=main!$D$103+VLOOKUP(VLOOKUP(W$1,main!$A$3:$I$102,7,FALSE),main!$K$26:$Q$29,3,FALSE),1,0)</f>
        <v>0</v>
      </c>
      <c r="X94">
        <f>IF(VLOOKUP(X$1,main!$A$3:$H$102,5,FALSE)-VLOOKUP($A94,main!$A$3:$H$102,6,FALSE)&gt;=main!$D$103+VLOOKUP(VLOOKUP(X$1,main!$A$3:$I$102,7,FALSE),main!$K$26:$Q$29,3,FALSE),1,0)</f>
        <v>0</v>
      </c>
      <c r="Y94">
        <f>IF(VLOOKUP(Y$1,main!$A$3:$H$102,5,FALSE)-VLOOKUP($A94,main!$A$3:$H$102,6,FALSE)&gt;=main!$D$103+VLOOKUP(VLOOKUP(Y$1,main!$A$3:$I$102,7,FALSE),main!$K$26:$Q$29,3,FALSE),1,0)</f>
        <v>0</v>
      </c>
      <c r="Z94">
        <f>IF(VLOOKUP(Z$1,main!$A$3:$H$102,5,FALSE)-VLOOKUP($A94,main!$A$3:$H$102,6,FALSE)&gt;=main!$D$103+VLOOKUP(VLOOKUP(Z$1,main!$A$3:$I$102,7,FALSE),main!$K$26:$Q$29,3,FALSE),1,0)</f>
        <v>1</v>
      </c>
      <c r="AA94">
        <f>IF(VLOOKUP(AA$1,main!$A$3:$H$102,5,FALSE)-VLOOKUP($A94,main!$A$3:$H$102,6,FALSE)&gt;=main!$D$103+VLOOKUP(VLOOKUP(AA$1,main!$A$3:$I$102,7,FALSE),main!$K$26:$Q$29,3,FALSE),1,0)</f>
        <v>1</v>
      </c>
      <c r="AB94">
        <f>IF(VLOOKUP(AB$1,main!$A$3:$H$102,5,FALSE)-VLOOKUP($A94,main!$A$3:$H$102,6,FALSE)&gt;=main!$D$103+VLOOKUP(VLOOKUP(AB$1,main!$A$3:$I$102,7,FALSE),main!$K$26:$Q$29,3,FALSE),1,0)</f>
        <v>0</v>
      </c>
      <c r="AC94">
        <f>IF(VLOOKUP(AC$1,main!$A$3:$H$102,5,FALSE)-VLOOKUP($A94,main!$A$3:$H$102,6,FALSE)&gt;=main!$D$103+VLOOKUP(VLOOKUP(AC$1,main!$A$3:$I$102,7,FALSE),main!$K$26:$Q$29,3,FALSE),1,0)</f>
        <v>0</v>
      </c>
      <c r="AD94">
        <f>IF(VLOOKUP(AD$1,main!$A$3:$H$102,5,FALSE)-VLOOKUP($A94,main!$A$3:$H$102,6,FALSE)&gt;=main!$D$103+VLOOKUP(VLOOKUP(AD$1,main!$A$3:$I$102,7,FALSE),main!$K$26:$Q$29,3,FALSE),1,0)</f>
        <v>0</v>
      </c>
      <c r="AE94">
        <f>IF(VLOOKUP(AE$1,main!$A$3:$H$102,5,FALSE)-VLOOKUP($A94,main!$A$3:$H$102,6,FALSE)&gt;=main!$D$103+VLOOKUP(VLOOKUP(AE$1,main!$A$3:$I$102,7,FALSE),main!$K$26:$Q$29,3,FALSE),1,0)</f>
        <v>0</v>
      </c>
      <c r="AF94">
        <f>IF(VLOOKUP(AF$1,main!$A$3:$H$102,5,FALSE)-VLOOKUP($A94,main!$A$3:$H$102,6,FALSE)&gt;=main!$D$103+VLOOKUP(VLOOKUP(AF$1,main!$A$3:$I$102,7,FALSE),main!$K$26:$Q$29,3,FALSE),1,0)</f>
        <v>1</v>
      </c>
      <c r="AG94">
        <f>IF(VLOOKUP(AG$1,main!$A$3:$H$102,5,FALSE)-VLOOKUP($A94,main!$A$3:$H$102,6,FALSE)&gt;=main!$D$103+VLOOKUP(VLOOKUP(AG$1,main!$A$3:$I$102,7,FALSE),main!$K$26:$Q$29,3,FALSE),1,0)</f>
        <v>0</v>
      </c>
      <c r="AH94">
        <f>IF(VLOOKUP(AH$1,main!$A$3:$H$102,5,FALSE)-VLOOKUP($A94,main!$A$3:$H$102,6,FALSE)&gt;=main!$D$103+VLOOKUP(VLOOKUP(AH$1,main!$A$3:$I$102,7,FALSE),main!$K$26:$Q$29,3,FALSE),1,0)</f>
        <v>0</v>
      </c>
      <c r="AI94">
        <f>IF(VLOOKUP(AI$1,main!$A$3:$H$102,5,FALSE)-VLOOKUP($A94,main!$A$3:$H$102,6,FALSE)&gt;=main!$D$103+VLOOKUP(VLOOKUP(AI$1,main!$A$3:$I$102,7,FALSE),main!$K$26:$Q$29,3,FALSE),1,0)</f>
        <v>0</v>
      </c>
      <c r="AJ94">
        <f>IF(VLOOKUP(AJ$1,main!$A$3:$H$102,5,FALSE)-VLOOKUP($A94,main!$A$3:$H$102,6,FALSE)&gt;=main!$D$103+VLOOKUP(VLOOKUP(AJ$1,main!$A$3:$I$102,7,FALSE),main!$K$26:$Q$29,3,FALSE),1,0)</f>
        <v>0</v>
      </c>
      <c r="AK94">
        <f>IF(VLOOKUP(AK$1,main!$A$3:$H$102,5,FALSE)-VLOOKUP($A94,main!$A$3:$H$102,6,FALSE)&gt;=main!$D$103+VLOOKUP(VLOOKUP(AK$1,main!$A$3:$I$102,7,FALSE),main!$K$26:$Q$29,3,FALSE),1,0)</f>
        <v>0</v>
      </c>
      <c r="AL94">
        <f>IF(VLOOKUP(AL$1,main!$A$3:$H$102,5,FALSE)-VLOOKUP($A94,main!$A$3:$H$102,6,FALSE)&gt;=main!$D$103+VLOOKUP(VLOOKUP(AL$1,main!$A$3:$I$102,7,FALSE),main!$K$26:$Q$29,3,FALSE),1,0)</f>
        <v>1</v>
      </c>
      <c r="AM94">
        <f>IF(VLOOKUP(AM$1,main!$A$3:$H$102,5,FALSE)-VLOOKUP($A94,main!$A$3:$H$102,6,FALSE)&gt;=main!$D$103+VLOOKUP(VLOOKUP(AM$1,main!$A$3:$I$102,7,FALSE),main!$K$26:$Q$29,3,FALSE),1,0)</f>
        <v>1</v>
      </c>
      <c r="AN94">
        <f>IF(VLOOKUP(AN$1,main!$A$3:$H$102,5,FALSE)-VLOOKUP($A94,main!$A$3:$H$102,6,FALSE)&gt;=main!$D$103+VLOOKUP(VLOOKUP(AN$1,main!$A$3:$I$102,7,FALSE),main!$K$26:$Q$29,3,FALSE),1,0)</f>
        <v>1</v>
      </c>
      <c r="AO94">
        <f>IF(VLOOKUP(AO$1,main!$A$3:$H$102,5,FALSE)-VLOOKUP($A94,main!$A$3:$H$102,6,FALSE)&gt;=main!$D$103+VLOOKUP(VLOOKUP(AO$1,main!$A$3:$I$102,7,FALSE),main!$K$26:$Q$29,3,FALSE),1,0)</f>
        <v>0</v>
      </c>
      <c r="AP94">
        <f>IF(VLOOKUP(AP$1,main!$A$3:$H$102,5,FALSE)-VLOOKUP($A94,main!$A$3:$H$102,6,FALSE)&gt;=main!$D$103+VLOOKUP(VLOOKUP(AP$1,main!$A$3:$I$102,7,FALSE),main!$K$26:$Q$29,3,FALSE),1,0)</f>
        <v>1</v>
      </c>
      <c r="AQ94">
        <f>IF(VLOOKUP(AQ$1,main!$A$3:$H$102,5,FALSE)-VLOOKUP($A94,main!$A$3:$H$102,6,FALSE)&gt;=main!$D$103+VLOOKUP(VLOOKUP(AQ$1,main!$A$3:$I$102,7,FALSE),main!$K$26:$Q$29,3,FALSE),1,0)</f>
        <v>0</v>
      </c>
      <c r="AR94">
        <f>IF(VLOOKUP(AR$1,main!$A$3:$H$102,5,FALSE)-VLOOKUP($A94,main!$A$3:$H$102,6,FALSE)&gt;=main!$D$103+VLOOKUP(VLOOKUP(AR$1,main!$A$3:$I$102,7,FALSE),main!$K$26:$Q$29,3,FALSE),1,0)</f>
        <v>0</v>
      </c>
      <c r="AS94">
        <f>IF(VLOOKUP(AS$1,main!$A$3:$H$102,5,FALSE)-VLOOKUP($A94,main!$A$3:$H$102,6,FALSE)&gt;=main!$D$103+VLOOKUP(VLOOKUP(AS$1,main!$A$3:$I$102,7,FALSE),main!$K$26:$Q$29,3,FALSE),1,0)</f>
        <v>0</v>
      </c>
      <c r="AT94">
        <f>IF(VLOOKUP(AT$1,main!$A$3:$H$102,5,FALSE)-VLOOKUP($A94,main!$A$3:$H$102,6,FALSE)&gt;=main!$D$103+VLOOKUP(VLOOKUP(AT$1,main!$A$3:$I$102,7,FALSE),main!$K$26:$Q$29,3,FALSE),1,0)</f>
        <v>0</v>
      </c>
      <c r="AU94">
        <f>IF(VLOOKUP(AU$1,main!$A$3:$H$102,5,FALSE)-VLOOKUP($A94,main!$A$3:$H$102,6,FALSE)&gt;=main!$D$103+VLOOKUP(VLOOKUP(AU$1,main!$A$3:$I$102,7,FALSE),main!$K$26:$Q$29,3,FALSE),1,0)</f>
        <v>0</v>
      </c>
      <c r="AV94">
        <f>IF(VLOOKUP(AV$1,main!$A$3:$H$102,5,FALSE)-VLOOKUP($A94,main!$A$3:$H$102,6,FALSE)&gt;=main!$D$103+VLOOKUP(VLOOKUP(AV$1,main!$A$3:$I$102,7,FALSE),main!$K$26:$Q$29,3,FALSE),1,0)</f>
        <v>0</v>
      </c>
      <c r="AW94">
        <f>IF(VLOOKUP(AW$1,main!$A$3:$H$102,5,FALSE)-VLOOKUP($A94,main!$A$3:$H$102,6,FALSE)&gt;=main!$D$103+VLOOKUP(VLOOKUP(AW$1,main!$A$3:$I$102,7,FALSE),main!$K$26:$Q$29,3,FALSE),1,0)</f>
        <v>0</v>
      </c>
      <c r="AX94">
        <f>IF(VLOOKUP(AX$1,main!$A$3:$H$102,5,FALSE)-VLOOKUP($A94,main!$A$3:$H$102,6,FALSE)&gt;=main!$D$103+VLOOKUP(VLOOKUP(AX$1,main!$A$3:$I$102,7,FALSE),main!$K$26:$Q$29,3,FALSE),1,0)</f>
        <v>0</v>
      </c>
      <c r="AY94">
        <f>IF(VLOOKUP(AY$1,main!$A$3:$H$102,5,FALSE)-VLOOKUP($A94,main!$A$3:$H$102,6,FALSE)&gt;=main!$D$103+VLOOKUP(VLOOKUP(AY$1,main!$A$3:$I$102,7,FALSE),main!$K$26:$Q$29,3,FALSE),1,0)</f>
        <v>0</v>
      </c>
      <c r="AZ94">
        <f>IF(VLOOKUP(AZ$1,main!$A$3:$H$102,5,FALSE)-VLOOKUP($A94,main!$A$3:$H$102,6,FALSE)&gt;=main!$D$103+VLOOKUP(VLOOKUP(AZ$1,main!$A$3:$I$102,7,FALSE),main!$K$26:$Q$29,3,FALSE),1,0)</f>
        <v>0</v>
      </c>
      <c r="BA94">
        <f>IF(VLOOKUP(BA$1,main!$A$3:$H$102,5,FALSE)-VLOOKUP($A94,main!$A$3:$H$102,6,FALSE)&gt;=main!$D$103+VLOOKUP(VLOOKUP(BA$1,main!$A$3:$I$102,7,FALSE),main!$K$26:$Q$29,3,FALSE),1,0)</f>
        <v>0</v>
      </c>
      <c r="BB94">
        <f>IF(VLOOKUP(BB$1,main!$A$3:$H$102,5,FALSE)-VLOOKUP($A94,main!$A$3:$H$102,6,FALSE)&gt;=main!$D$103+VLOOKUP(VLOOKUP(BB$1,main!$A$3:$I$102,7,FALSE),main!$K$26:$Q$29,3,FALSE),1,0)</f>
        <v>0</v>
      </c>
      <c r="BC94">
        <f>IF(VLOOKUP(BC$1,main!$A$3:$H$102,5,FALSE)-VLOOKUP($A94,main!$A$3:$H$102,6,FALSE)&gt;=main!$D$103+VLOOKUP(VLOOKUP(BC$1,main!$A$3:$I$102,7,FALSE),main!$K$26:$Q$29,3,FALSE),1,0)</f>
        <v>0</v>
      </c>
      <c r="BD94">
        <f>IF(VLOOKUP(BD$1,main!$A$3:$H$102,5,FALSE)-VLOOKUP($A94,main!$A$3:$H$102,6,FALSE)&gt;=main!$D$103+VLOOKUP(VLOOKUP(BD$1,main!$A$3:$I$102,7,FALSE),main!$K$26:$Q$29,3,FALSE),1,0)</f>
        <v>0</v>
      </c>
      <c r="BE94">
        <f>IF(VLOOKUP(BE$1,main!$A$3:$H$102,5,FALSE)-VLOOKUP($A94,main!$A$3:$H$102,6,FALSE)&gt;=main!$D$103+VLOOKUP(VLOOKUP(BE$1,main!$A$3:$I$102,7,FALSE),main!$K$26:$Q$29,3,FALSE),1,0)</f>
        <v>1</v>
      </c>
      <c r="BF94">
        <f>IF(VLOOKUP(BF$1,main!$A$3:$H$102,5,FALSE)-VLOOKUP($A94,main!$A$3:$H$102,6,FALSE)&gt;=main!$D$103+VLOOKUP(VLOOKUP(BF$1,main!$A$3:$I$102,7,FALSE),main!$K$26:$Q$29,3,FALSE),1,0)</f>
        <v>0</v>
      </c>
      <c r="BG94">
        <f>IF(VLOOKUP(BG$1,main!$A$3:$H$102,5,FALSE)-VLOOKUP($A94,main!$A$3:$H$102,6,FALSE)&gt;=main!$D$103+VLOOKUP(VLOOKUP(BG$1,main!$A$3:$I$102,7,FALSE),main!$K$26:$Q$29,3,FALSE),1,0)</f>
        <v>0</v>
      </c>
      <c r="BH94">
        <f>IF(VLOOKUP(BH$1,main!$A$3:$H$102,5,FALSE)-VLOOKUP($A94,main!$A$3:$H$102,6,FALSE)&gt;=main!$D$103+VLOOKUP(VLOOKUP(BH$1,main!$A$3:$I$102,7,FALSE),main!$K$26:$Q$29,3,FALSE),1,0)</f>
        <v>0</v>
      </c>
      <c r="BI94">
        <f>IF(VLOOKUP(BI$1,main!$A$3:$H$102,5,FALSE)-VLOOKUP($A94,main!$A$3:$H$102,6,FALSE)&gt;=main!$D$103+VLOOKUP(VLOOKUP(BI$1,main!$A$3:$I$102,7,FALSE),main!$K$26:$Q$29,3,FALSE),1,0)</f>
        <v>1</v>
      </c>
      <c r="BJ94">
        <f>IF(VLOOKUP(BJ$1,main!$A$3:$H$102,5,FALSE)-VLOOKUP($A94,main!$A$3:$H$102,6,FALSE)&gt;=main!$D$103+VLOOKUP(VLOOKUP(BJ$1,main!$A$3:$I$102,7,FALSE),main!$K$26:$Q$29,3,FALSE),1,0)</f>
        <v>1</v>
      </c>
      <c r="BK94">
        <f>IF(VLOOKUP(BK$1,main!$A$3:$H$102,5,FALSE)-VLOOKUP($A94,main!$A$3:$H$102,6,FALSE)&gt;=main!$D$103+VLOOKUP(VLOOKUP(BK$1,main!$A$3:$I$102,7,FALSE),main!$K$26:$Q$29,3,FALSE),1,0)</f>
        <v>0</v>
      </c>
      <c r="BL94">
        <f>IF(VLOOKUP(BL$1,main!$A$3:$H$102,5,FALSE)-VLOOKUP($A94,main!$A$3:$H$102,6,FALSE)&gt;=main!$D$103+VLOOKUP(VLOOKUP(BL$1,main!$A$3:$I$102,7,FALSE),main!$K$26:$Q$29,3,FALSE),1,0)</f>
        <v>0</v>
      </c>
      <c r="BM94">
        <f>IF(VLOOKUP(BM$1,main!$A$3:$H$102,5,FALSE)-VLOOKUP($A94,main!$A$3:$H$102,6,FALSE)&gt;=main!$D$103+VLOOKUP(VLOOKUP(BM$1,main!$A$3:$I$102,7,FALSE),main!$K$26:$Q$29,3,FALSE),1,0)</f>
        <v>0</v>
      </c>
      <c r="BN94">
        <f>IF(VLOOKUP(BN$1,main!$A$3:$H$102,5,FALSE)-VLOOKUP($A94,main!$A$3:$H$102,6,FALSE)&gt;=main!$D$103+VLOOKUP(VLOOKUP(BN$1,main!$A$3:$I$102,7,FALSE),main!$K$26:$Q$29,3,FALSE),1,0)</f>
        <v>0</v>
      </c>
      <c r="BO94">
        <f>IF(VLOOKUP(BO$1,main!$A$3:$H$102,5,FALSE)-VLOOKUP($A94,main!$A$3:$H$102,6,FALSE)&gt;=main!$D$103+VLOOKUP(VLOOKUP(BO$1,main!$A$3:$I$102,7,FALSE),main!$K$26:$Q$29,3,FALSE),1,0)</f>
        <v>0</v>
      </c>
      <c r="BP94">
        <f>IF(VLOOKUP(BP$1,main!$A$3:$H$102,5,FALSE)-VLOOKUP($A94,main!$A$3:$H$102,6,FALSE)&gt;=main!$D$103+VLOOKUP(VLOOKUP(BP$1,main!$A$3:$I$102,7,FALSE),main!$K$26:$Q$29,3,FALSE),1,0)</f>
        <v>0</v>
      </c>
      <c r="BQ94">
        <f>IF(VLOOKUP(BQ$1,main!$A$3:$H$102,5,FALSE)-VLOOKUP($A94,main!$A$3:$H$102,6,FALSE)&gt;=main!$D$103+VLOOKUP(VLOOKUP(BQ$1,main!$A$3:$I$102,7,FALSE),main!$K$26:$Q$29,3,FALSE),1,0)</f>
        <v>0</v>
      </c>
      <c r="BR94">
        <f>IF(VLOOKUP(BR$1,main!$A$3:$H$102,5,FALSE)-VLOOKUP($A94,main!$A$3:$H$102,6,FALSE)&gt;=main!$D$103+VLOOKUP(VLOOKUP(BR$1,main!$A$3:$I$102,7,FALSE),main!$K$26:$Q$29,3,FALSE),1,0)</f>
        <v>0</v>
      </c>
      <c r="BS94">
        <f>IF(VLOOKUP(BS$1,main!$A$3:$H$102,5,FALSE)-VLOOKUP($A94,main!$A$3:$H$102,6,FALSE)&gt;=main!$D$103+VLOOKUP(VLOOKUP(BS$1,main!$A$3:$I$102,7,FALSE),main!$K$26:$Q$29,3,FALSE),1,0)</f>
        <v>0</v>
      </c>
      <c r="BT94">
        <f>IF(VLOOKUP(BT$1,main!$A$3:$H$102,5,FALSE)-VLOOKUP($A94,main!$A$3:$H$102,6,FALSE)&gt;=main!$D$103+VLOOKUP(VLOOKUP(BT$1,main!$A$3:$I$102,7,FALSE),main!$K$26:$Q$29,3,FALSE),1,0)</f>
        <v>0</v>
      </c>
      <c r="BU94">
        <f>IF(VLOOKUP(BU$1,main!$A$3:$H$102,5,FALSE)-VLOOKUP($A94,main!$A$3:$H$102,6,FALSE)&gt;=main!$D$103+VLOOKUP(VLOOKUP(BU$1,main!$A$3:$I$102,7,FALSE),main!$K$26:$Q$29,3,FALSE),1,0)</f>
        <v>0</v>
      </c>
      <c r="BV94">
        <f>IF(VLOOKUP(BV$1,main!$A$3:$H$102,5,FALSE)-VLOOKUP($A94,main!$A$3:$H$102,6,FALSE)&gt;=main!$D$103+VLOOKUP(VLOOKUP(BV$1,main!$A$3:$I$102,7,FALSE),main!$K$26:$Q$29,3,FALSE),1,0)</f>
        <v>0</v>
      </c>
      <c r="BW94">
        <f>IF(VLOOKUP(BW$1,main!$A$3:$H$102,5,FALSE)-VLOOKUP($A94,main!$A$3:$H$102,6,FALSE)&gt;=main!$D$103+VLOOKUP(VLOOKUP(BW$1,main!$A$3:$I$102,7,FALSE),main!$K$26:$Q$29,3,FALSE),1,0)</f>
        <v>0</v>
      </c>
      <c r="BX94">
        <f>IF(VLOOKUP(BX$1,main!$A$3:$H$102,5,FALSE)-VLOOKUP($A94,main!$A$3:$H$102,6,FALSE)&gt;=main!$D$103+VLOOKUP(VLOOKUP(BX$1,main!$A$3:$I$102,7,FALSE),main!$K$26:$Q$29,3,FALSE),1,0)</f>
        <v>0</v>
      </c>
      <c r="BY94">
        <f>IF(VLOOKUP(BY$1,main!$A$3:$H$102,5,FALSE)-VLOOKUP($A94,main!$A$3:$H$102,6,FALSE)&gt;=main!$D$103+VLOOKUP(VLOOKUP(BY$1,main!$A$3:$I$102,7,FALSE),main!$K$26:$Q$29,3,FALSE),1,0)</f>
        <v>0</v>
      </c>
      <c r="BZ94">
        <f>IF(VLOOKUP(BZ$1,main!$A$3:$H$102,5,FALSE)-VLOOKUP($A94,main!$A$3:$H$102,6,FALSE)&gt;=main!$D$103+VLOOKUP(VLOOKUP(BZ$1,main!$A$3:$I$102,7,FALSE),main!$K$26:$Q$29,3,FALSE),1,0)</f>
        <v>0</v>
      </c>
      <c r="CA94">
        <f>IF(VLOOKUP(CA$1,main!$A$3:$H$102,5,FALSE)-VLOOKUP($A94,main!$A$3:$H$102,6,FALSE)&gt;=main!$D$103+VLOOKUP(VLOOKUP(CA$1,main!$A$3:$I$102,7,FALSE),main!$K$26:$Q$29,3,FALSE),1,0)</f>
        <v>0</v>
      </c>
      <c r="CB94">
        <f>IF(VLOOKUP(CB$1,main!$A$3:$H$102,5,FALSE)-VLOOKUP($A94,main!$A$3:$H$102,6,FALSE)&gt;=main!$D$103+VLOOKUP(VLOOKUP(CB$1,main!$A$3:$I$102,7,FALSE),main!$K$26:$Q$29,3,FALSE),1,0)</f>
        <v>0</v>
      </c>
      <c r="CC94">
        <f>IF(VLOOKUP(CC$1,main!$A$3:$H$102,5,FALSE)-VLOOKUP($A94,main!$A$3:$H$102,6,FALSE)&gt;=main!$D$103+VLOOKUP(VLOOKUP(CC$1,main!$A$3:$I$102,7,FALSE),main!$K$26:$Q$29,3,FALSE),1,0)</f>
        <v>1</v>
      </c>
      <c r="CD94">
        <f>IF(VLOOKUP(CD$1,main!$A$3:$H$102,5,FALSE)-VLOOKUP($A94,main!$A$3:$H$102,6,FALSE)&gt;=main!$D$103+VLOOKUP(VLOOKUP(CD$1,main!$A$3:$I$102,7,FALSE),main!$K$26:$Q$29,3,FALSE),1,0)</f>
        <v>0</v>
      </c>
      <c r="CE94">
        <f>IF(VLOOKUP(CE$1,main!$A$3:$H$102,5,FALSE)-VLOOKUP($A94,main!$A$3:$H$102,6,FALSE)&gt;=main!$D$103+VLOOKUP(VLOOKUP(CE$1,main!$A$3:$I$102,7,FALSE),main!$K$26:$Q$29,3,FALSE),1,0)</f>
        <v>0</v>
      </c>
      <c r="CF94">
        <f>IF(VLOOKUP(CF$1,main!$A$3:$H$102,5,FALSE)-VLOOKUP($A94,main!$A$3:$H$102,6,FALSE)&gt;=main!$D$103+VLOOKUP(VLOOKUP(CF$1,main!$A$3:$I$102,7,FALSE),main!$K$26:$Q$29,3,FALSE),1,0)</f>
        <v>0</v>
      </c>
      <c r="CG94">
        <f>IF(VLOOKUP(CG$1,main!$A$3:$H$102,5,FALSE)-VLOOKUP($A94,main!$A$3:$H$102,6,FALSE)&gt;=main!$D$103+VLOOKUP(VLOOKUP(CG$1,main!$A$3:$I$102,7,FALSE),main!$K$26:$Q$29,3,FALSE),1,0)</f>
        <v>0</v>
      </c>
      <c r="CH94">
        <f>IF(VLOOKUP(CH$1,main!$A$3:$H$102,5,FALSE)-VLOOKUP($A94,main!$A$3:$H$102,6,FALSE)&gt;=main!$D$103+VLOOKUP(VLOOKUP(CH$1,main!$A$3:$I$102,7,FALSE),main!$K$26:$Q$29,3,FALSE),1,0)</f>
        <v>1</v>
      </c>
      <c r="CI94">
        <f>IF(VLOOKUP(CI$1,main!$A$3:$H$102,5,FALSE)-VLOOKUP($A94,main!$A$3:$H$102,6,FALSE)&gt;=main!$D$103+VLOOKUP(VLOOKUP(CI$1,main!$A$3:$I$102,7,FALSE),main!$K$26:$Q$29,3,FALSE),1,0)</f>
        <v>1</v>
      </c>
      <c r="CJ94">
        <f>IF(VLOOKUP(CJ$1,main!$A$3:$H$102,5,FALSE)-VLOOKUP($A94,main!$A$3:$H$102,6,FALSE)&gt;=main!$D$103+VLOOKUP(VLOOKUP(CJ$1,main!$A$3:$I$102,7,FALSE),main!$K$26:$Q$29,3,FALSE),1,0)</f>
        <v>0</v>
      </c>
      <c r="CK94">
        <f>IF(VLOOKUP(CK$1,main!$A$3:$H$102,5,FALSE)-VLOOKUP($A94,main!$A$3:$H$102,6,FALSE)&gt;=main!$D$103+VLOOKUP(VLOOKUP(CK$1,main!$A$3:$I$102,7,FALSE),main!$K$26:$Q$29,3,FALSE),1,0)</f>
        <v>0</v>
      </c>
      <c r="CL94">
        <f>IF(VLOOKUP(CL$1,main!$A$3:$H$102,5,FALSE)-VLOOKUP($A94,main!$A$3:$H$102,6,FALSE)&gt;=main!$D$103+VLOOKUP(VLOOKUP(CL$1,main!$A$3:$I$102,7,FALSE),main!$K$26:$Q$29,3,FALSE),1,0)</f>
        <v>0</v>
      </c>
      <c r="CM94">
        <f>IF(VLOOKUP(CM$1,main!$A$3:$H$102,5,FALSE)-VLOOKUP($A94,main!$A$3:$H$102,6,FALSE)&gt;=main!$D$103+VLOOKUP(VLOOKUP(CM$1,main!$A$3:$I$102,7,FALSE),main!$K$26:$Q$29,3,FALSE),1,0)</f>
        <v>1</v>
      </c>
      <c r="CN94">
        <f>IF(VLOOKUP(CN$1,main!$A$3:$H$102,5,FALSE)-VLOOKUP($A94,main!$A$3:$H$102,6,FALSE)&gt;=main!$D$103+VLOOKUP(VLOOKUP(CN$1,main!$A$3:$I$102,7,FALSE),main!$K$26:$Q$29,3,FALSE),1,0)</f>
        <v>1</v>
      </c>
      <c r="CO94">
        <f>IF(VLOOKUP(CO$1,main!$A$3:$H$102,5,FALSE)-VLOOKUP($A94,main!$A$3:$H$102,6,FALSE)&gt;=main!$D$103+VLOOKUP(VLOOKUP(CO$1,main!$A$3:$I$102,7,FALSE),main!$K$26:$Q$29,3,FALSE),1,0)</f>
        <v>0</v>
      </c>
      <c r="CP94">
        <f>IF(VLOOKUP(CP$1,main!$A$3:$H$102,5,FALSE)-VLOOKUP($A94,main!$A$3:$H$102,6,FALSE)&gt;=main!$D$103+VLOOKUP(VLOOKUP(CP$1,main!$A$3:$I$102,7,FALSE),main!$K$26:$Q$29,3,FALSE),1,0)</f>
        <v>0</v>
      </c>
      <c r="CQ94">
        <f>IF(VLOOKUP(CQ$1,main!$A$3:$H$102,5,FALSE)-VLOOKUP($A94,main!$A$3:$H$102,6,FALSE)&gt;=main!$D$103+VLOOKUP(VLOOKUP(CQ$1,main!$A$3:$I$102,7,FALSE),main!$K$26:$Q$29,3,FALSE),1,0)</f>
        <v>0</v>
      </c>
      <c r="CR94">
        <f>IF(VLOOKUP(CR$1,main!$A$3:$H$102,5,FALSE)-VLOOKUP($A94,main!$A$3:$H$102,6,FALSE)&gt;=main!$D$103+VLOOKUP(VLOOKUP(CR$1,main!$A$3:$I$102,7,FALSE),main!$K$26:$Q$29,3,FALSE),1,0)</f>
        <v>1</v>
      </c>
      <c r="CS94">
        <f>IF(VLOOKUP(CS$1,main!$A$3:$H$102,5,FALSE)-VLOOKUP($A94,main!$A$3:$H$102,6,FALSE)&gt;=main!$D$103+VLOOKUP(VLOOKUP(CS$1,main!$A$3:$I$102,7,FALSE),main!$K$26:$Q$29,3,FALSE),1,0)</f>
        <v>1</v>
      </c>
      <c r="CT94">
        <f>IF(VLOOKUP(CT$1,main!$A$3:$H$102,5,FALSE)-VLOOKUP($A94,main!$A$3:$H$102,6,FALSE)&gt;=main!$D$103+VLOOKUP(VLOOKUP(CT$1,main!$A$3:$I$102,7,FALSE),main!$K$26:$Q$29,3,FALSE),1,0)</f>
        <v>0</v>
      </c>
      <c r="CU94">
        <f>IF(VLOOKUP(CU$1,main!$A$3:$H$102,5,FALSE)-VLOOKUP($A94,main!$A$3:$H$102,6,FALSE)&gt;=main!$D$103+VLOOKUP(VLOOKUP(CU$1,main!$A$3:$I$102,7,FALSE),main!$K$26:$Q$29,3,FALSE),1,0)</f>
        <v>0</v>
      </c>
      <c r="CV94">
        <f>IF(VLOOKUP(CV$1,main!$A$3:$H$102,5,FALSE)-VLOOKUP($A94,main!$A$3:$H$102,6,FALSE)&gt;=main!$D$103+VLOOKUP(VLOOKUP(CV$1,main!$A$3:$I$102,7,FALSE),main!$K$26:$Q$29,3,FALSE),1,0)</f>
        <v>0</v>
      </c>
      <c r="CW94">
        <f>IF(VLOOKUP(CW$1,main!$A$3:$H$102,5,FALSE)-VLOOKUP($A94,main!$A$3:$H$102,6,FALSE)&gt;=main!$D$103+VLOOKUP(VLOOKUP(CW$1,main!$A$3:$I$102,7,FALSE),main!$K$26:$Q$29,3,FALSE),1,0)</f>
        <v>1</v>
      </c>
      <c r="CX94">
        <f>IF(VLOOKUP(CX$1,main!$A$3:$H$102,5,FALSE)-VLOOKUP($A94,main!$A$3:$H$102,6,FALSE)&gt;=main!$D$103+VLOOKUP(VLOOKUP(CX$1,main!$A$3:$I$102,7,FALSE),main!$K$26:$Q$29,3,FALSE),1,0)</f>
        <v>1</v>
      </c>
    </row>
    <row r="95" spans="1:102" x14ac:dyDescent="0.25">
      <c r="A95" s="1">
        <v>93</v>
      </c>
      <c r="B95">
        <v>0</v>
      </c>
      <c r="C95">
        <f>IF(VLOOKUP(C$1,main!$A$3:$H$102,5,FALSE)-VLOOKUP($A95,main!$A$3:$H$102,6,FALSE)&gt;=main!$D$103+VLOOKUP(VLOOKUP(C$1,main!$A$3:$I$102,7,FALSE),main!$K$26:$Q$29,3,FALSE),1,0)</f>
        <v>0</v>
      </c>
      <c r="D95">
        <f>IF(VLOOKUP(D$1,main!$A$3:$H$102,5,FALSE)-VLOOKUP($A95,main!$A$3:$H$102,6,FALSE)&gt;=main!$D$103+VLOOKUP(VLOOKUP(D$1,main!$A$3:$I$102,7,FALSE),main!$K$26:$Q$29,3,FALSE),1,0)</f>
        <v>0</v>
      </c>
      <c r="E95">
        <f>IF(VLOOKUP(E$1,main!$A$3:$H$102,5,FALSE)-VLOOKUP($A95,main!$A$3:$H$102,6,FALSE)&gt;=main!$D$103+VLOOKUP(VLOOKUP(E$1,main!$A$3:$I$102,7,FALSE),main!$K$26:$Q$29,3,FALSE),1,0)</f>
        <v>0</v>
      </c>
      <c r="F95">
        <f>IF(VLOOKUP(F$1,main!$A$3:$H$102,5,FALSE)-VLOOKUP($A95,main!$A$3:$H$102,6,FALSE)&gt;=main!$D$103+VLOOKUP(VLOOKUP(F$1,main!$A$3:$I$102,7,FALSE),main!$K$26:$Q$29,3,FALSE),1,0)</f>
        <v>0</v>
      </c>
      <c r="G95">
        <f>IF(VLOOKUP(G$1,main!$A$3:$H$102,5,FALSE)-VLOOKUP($A95,main!$A$3:$H$102,6,FALSE)&gt;=main!$D$103+VLOOKUP(VLOOKUP(G$1,main!$A$3:$I$102,7,FALSE),main!$K$26:$Q$29,3,FALSE),1,0)</f>
        <v>0</v>
      </c>
      <c r="H95">
        <f>IF(VLOOKUP(H$1,main!$A$3:$H$102,5,FALSE)-VLOOKUP($A95,main!$A$3:$H$102,6,FALSE)&gt;=main!$D$103+VLOOKUP(VLOOKUP(H$1,main!$A$3:$I$102,7,FALSE),main!$K$26:$Q$29,3,FALSE),1,0)</f>
        <v>0</v>
      </c>
      <c r="I95">
        <f>IF(VLOOKUP(I$1,main!$A$3:$H$102,5,FALSE)-VLOOKUP($A95,main!$A$3:$H$102,6,FALSE)&gt;=main!$D$103+VLOOKUP(VLOOKUP(I$1,main!$A$3:$I$102,7,FALSE),main!$K$26:$Q$29,3,FALSE),1,0)</f>
        <v>1</v>
      </c>
      <c r="J95">
        <f>IF(VLOOKUP(J$1,main!$A$3:$H$102,5,FALSE)-VLOOKUP($A95,main!$A$3:$H$102,6,FALSE)&gt;=main!$D$103+VLOOKUP(VLOOKUP(J$1,main!$A$3:$I$102,7,FALSE),main!$K$26:$Q$29,3,FALSE),1,0)</f>
        <v>1</v>
      </c>
      <c r="K95">
        <f>IF(VLOOKUP(K$1,main!$A$3:$H$102,5,FALSE)-VLOOKUP($A95,main!$A$3:$H$102,6,FALSE)&gt;=main!$D$103+VLOOKUP(VLOOKUP(K$1,main!$A$3:$I$102,7,FALSE),main!$K$26:$Q$29,3,FALSE),1,0)</f>
        <v>1</v>
      </c>
      <c r="L95">
        <f>IF(VLOOKUP(L$1,main!$A$3:$H$102,5,FALSE)-VLOOKUP($A95,main!$A$3:$H$102,6,FALSE)&gt;=main!$D$103+VLOOKUP(VLOOKUP(L$1,main!$A$3:$I$102,7,FALSE),main!$K$26:$Q$29,3,FALSE),1,0)</f>
        <v>1</v>
      </c>
      <c r="M95">
        <f>IF(VLOOKUP(M$1,main!$A$3:$H$102,5,FALSE)-VLOOKUP($A95,main!$A$3:$H$102,6,FALSE)&gt;=main!$D$103+VLOOKUP(VLOOKUP(M$1,main!$A$3:$I$102,7,FALSE),main!$K$26:$Q$29,3,FALSE),1,0)</f>
        <v>0</v>
      </c>
      <c r="N95">
        <f>IF(VLOOKUP(N$1,main!$A$3:$H$102,5,FALSE)-VLOOKUP($A95,main!$A$3:$H$102,6,FALSE)&gt;=main!$D$103+VLOOKUP(VLOOKUP(N$1,main!$A$3:$I$102,7,FALSE),main!$K$26:$Q$29,3,FALSE),1,0)</f>
        <v>0</v>
      </c>
      <c r="O95">
        <f>IF(VLOOKUP(O$1,main!$A$3:$H$102,5,FALSE)-VLOOKUP($A95,main!$A$3:$H$102,6,FALSE)&gt;=main!$D$103+VLOOKUP(VLOOKUP(O$1,main!$A$3:$I$102,7,FALSE),main!$K$26:$Q$29,3,FALSE),1,0)</f>
        <v>0</v>
      </c>
      <c r="P95">
        <f>IF(VLOOKUP(P$1,main!$A$3:$H$102,5,FALSE)-VLOOKUP($A95,main!$A$3:$H$102,6,FALSE)&gt;=main!$D$103+VLOOKUP(VLOOKUP(P$1,main!$A$3:$I$102,7,FALSE),main!$K$26:$Q$29,3,FALSE),1,0)</f>
        <v>0</v>
      </c>
      <c r="Q95">
        <f>IF(VLOOKUP(Q$1,main!$A$3:$H$102,5,FALSE)-VLOOKUP($A95,main!$A$3:$H$102,6,FALSE)&gt;=main!$D$103+VLOOKUP(VLOOKUP(Q$1,main!$A$3:$I$102,7,FALSE),main!$K$26:$Q$29,3,FALSE),1,0)</f>
        <v>0</v>
      </c>
      <c r="R95">
        <f>IF(VLOOKUP(R$1,main!$A$3:$H$102,5,FALSE)-VLOOKUP($A95,main!$A$3:$H$102,6,FALSE)&gt;=main!$D$103+VLOOKUP(VLOOKUP(R$1,main!$A$3:$I$102,7,FALSE),main!$K$26:$Q$29,3,FALSE),1,0)</f>
        <v>0</v>
      </c>
      <c r="S95">
        <f>IF(VLOOKUP(S$1,main!$A$3:$H$102,5,FALSE)-VLOOKUP($A95,main!$A$3:$H$102,6,FALSE)&gt;=main!$D$103+VLOOKUP(VLOOKUP(S$1,main!$A$3:$I$102,7,FALSE),main!$K$26:$Q$29,3,FALSE),1,0)</f>
        <v>0</v>
      </c>
      <c r="T95">
        <f>IF(VLOOKUP(T$1,main!$A$3:$H$102,5,FALSE)-VLOOKUP($A95,main!$A$3:$H$102,6,FALSE)&gt;=main!$D$103+VLOOKUP(VLOOKUP(T$1,main!$A$3:$I$102,7,FALSE),main!$K$26:$Q$29,3,FALSE),1,0)</f>
        <v>1</v>
      </c>
      <c r="U95">
        <f>IF(VLOOKUP(U$1,main!$A$3:$H$102,5,FALSE)-VLOOKUP($A95,main!$A$3:$H$102,6,FALSE)&gt;=main!$D$103+VLOOKUP(VLOOKUP(U$1,main!$A$3:$I$102,7,FALSE),main!$K$26:$Q$29,3,FALSE),1,0)</f>
        <v>1</v>
      </c>
      <c r="V95">
        <f>IF(VLOOKUP(V$1,main!$A$3:$H$102,5,FALSE)-VLOOKUP($A95,main!$A$3:$H$102,6,FALSE)&gt;=main!$D$103+VLOOKUP(VLOOKUP(V$1,main!$A$3:$I$102,7,FALSE),main!$K$26:$Q$29,3,FALSE),1,0)</f>
        <v>1</v>
      </c>
      <c r="W95">
        <f>IF(VLOOKUP(W$1,main!$A$3:$H$102,5,FALSE)-VLOOKUP($A95,main!$A$3:$H$102,6,FALSE)&gt;=main!$D$103+VLOOKUP(VLOOKUP(W$1,main!$A$3:$I$102,7,FALSE),main!$K$26:$Q$29,3,FALSE),1,0)</f>
        <v>0</v>
      </c>
      <c r="X95">
        <f>IF(VLOOKUP(X$1,main!$A$3:$H$102,5,FALSE)-VLOOKUP($A95,main!$A$3:$H$102,6,FALSE)&gt;=main!$D$103+VLOOKUP(VLOOKUP(X$1,main!$A$3:$I$102,7,FALSE),main!$K$26:$Q$29,3,FALSE),1,0)</f>
        <v>0</v>
      </c>
      <c r="Y95">
        <f>IF(VLOOKUP(Y$1,main!$A$3:$H$102,5,FALSE)-VLOOKUP($A95,main!$A$3:$H$102,6,FALSE)&gt;=main!$D$103+VLOOKUP(VLOOKUP(Y$1,main!$A$3:$I$102,7,FALSE),main!$K$26:$Q$29,3,FALSE),1,0)</f>
        <v>0</v>
      </c>
      <c r="Z95">
        <f>IF(VLOOKUP(Z$1,main!$A$3:$H$102,5,FALSE)-VLOOKUP($A95,main!$A$3:$H$102,6,FALSE)&gt;=main!$D$103+VLOOKUP(VLOOKUP(Z$1,main!$A$3:$I$102,7,FALSE),main!$K$26:$Q$29,3,FALSE),1,0)</f>
        <v>0</v>
      </c>
      <c r="AA95">
        <f>IF(VLOOKUP(AA$1,main!$A$3:$H$102,5,FALSE)-VLOOKUP($A95,main!$A$3:$H$102,6,FALSE)&gt;=main!$D$103+VLOOKUP(VLOOKUP(AA$1,main!$A$3:$I$102,7,FALSE),main!$K$26:$Q$29,3,FALSE),1,0)</f>
        <v>1</v>
      </c>
      <c r="AB95">
        <f>IF(VLOOKUP(AB$1,main!$A$3:$H$102,5,FALSE)-VLOOKUP($A95,main!$A$3:$H$102,6,FALSE)&gt;=main!$D$103+VLOOKUP(VLOOKUP(AB$1,main!$A$3:$I$102,7,FALSE),main!$K$26:$Q$29,3,FALSE),1,0)</f>
        <v>0</v>
      </c>
      <c r="AC95">
        <f>IF(VLOOKUP(AC$1,main!$A$3:$H$102,5,FALSE)-VLOOKUP($A95,main!$A$3:$H$102,6,FALSE)&gt;=main!$D$103+VLOOKUP(VLOOKUP(AC$1,main!$A$3:$I$102,7,FALSE),main!$K$26:$Q$29,3,FALSE),1,0)</f>
        <v>0</v>
      </c>
      <c r="AD95">
        <f>IF(VLOOKUP(AD$1,main!$A$3:$H$102,5,FALSE)-VLOOKUP($A95,main!$A$3:$H$102,6,FALSE)&gt;=main!$D$103+VLOOKUP(VLOOKUP(AD$1,main!$A$3:$I$102,7,FALSE),main!$K$26:$Q$29,3,FALSE),1,0)</f>
        <v>0</v>
      </c>
      <c r="AE95">
        <f>IF(VLOOKUP(AE$1,main!$A$3:$H$102,5,FALSE)-VLOOKUP($A95,main!$A$3:$H$102,6,FALSE)&gt;=main!$D$103+VLOOKUP(VLOOKUP(AE$1,main!$A$3:$I$102,7,FALSE),main!$K$26:$Q$29,3,FALSE),1,0)</f>
        <v>0</v>
      </c>
      <c r="AF95">
        <f>IF(VLOOKUP(AF$1,main!$A$3:$H$102,5,FALSE)-VLOOKUP($A95,main!$A$3:$H$102,6,FALSE)&gt;=main!$D$103+VLOOKUP(VLOOKUP(AF$1,main!$A$3:$I$102,7,FALSE),main!$K$26:$Q$29,3,FALSE),1,0)</f>
        <v>1</v>
      </c>
      <c r="AG95">
        <f>IF(VLOOKUP(AG$1,main!$A$3:$H$102,5,FALSE)-VLOOKUP($A95,main!$A$3:$H$102,6,FALSE)&gt;=main!$D$103+VLOOKUP(VLOOKUP(AG$1,main!$A$3:$I$102,7,FALSE),main!$K$26:$Q$29,3,FALSE),1,0)</f>
        <v>0</v>
      </c>
      <c r="AH95">
        <f>IF(VLOOKUP(AH$1,main!$A$3:$H$102,5,FALSE)-VLOOKUP($A95,main!$A$3:$H$102,6,FALSE)&gt;=main!$D$103+VLOOKUP(VLOOKUP(AH$1,main!$A$3:$I$102,7,FALSE),main!$K$26:$Q$29,3,FALSE),1,0)</f>
        <v>0</v>
      </c>
      <c r="AI95">
        <f>IF(VLOOKUP(AI$1,main!$A$3:$H$102,5,FALSE)-VLOOKUP($A95,main!$A$3:$H$102,6,FALSE)&gt;=main!$D$103+VLOOKUP(VLOOKUP(AI$1,main!$A$3:$I$102,7,FALSE),main!$K$26:$Q$29,3,FALSE),1,0)</f>
        <v>0</v>
      </c>
      <c r="AJ95">
        <f>IF(VLOOKUP(AJ$1,main!$A$3:$H$102,5,FALSE)-VLOOKUP($A95,main!$A$3:$H$102,6,FALSE)&gt;=main!$D$103+VLOOKUP(VLOOKUP(AJ$1,main!$A$3:$I$102,7,FALSE),main!$K$26:$Q$29,3,FALSE),1,0)</f>
        <v>0</v>
      </c>
      <c r="AK95">
        <f>IF(VLOOKUP(AK$1,main!$A$3:$H$102,5,FALSE)-VLOOKUP($A95,main!$A$3:$H$102,6,FALSE)&gt;=main!$D$103+VLOOKUP(VLOOKUP(AK$1,main!$A$3:$I$102,7,FALSE),main!$K$26:$Q$29,3,FALSE),1,0)</f>
        <v>0</v>
      </c>
      <c r="AL95">
        <f>IF(VLOOKUP(AL$1,main!$A$3:$H$102,5,FALSE)-VLOOKUP($A95,main!$A$3:$H$102,6,FALSE)&gt;=main!$D$103+VLOOKUP(VLOOKUP(AL$1,main!$A$3:$I$102,7,FALSE),main!$K$26:$Q$29,3,FALSE),1,0)</f>
        <v>1</v>
      </c>
      <c r="AM95">
        <f>IF(VLOOKUP(AM$1,main!$A$3:$H$102,5,FALSE)-VLOOKUP($A95,main!$A$3:$H$102,6,FALSE)&gt;=main!$D$103+VLOOKUP(VLOOKUP(AM$1,main!$A$3:$I$102,7,FALSE),main!$K$26:$Q$29,3,FALSE),1,0)</f>
        <v>1</v>
      </c>
      <c r="AN95">
        <f>IF(VLOOKUP(AN$1,main!$A$3:$H$102,5,FALSE)-VLOOKUP($A95,main!$A$3:$H$102,6,FALSE)&gt;=main!$D$103+VLOOKUP(VLOOKUP(AN$1,main!$A$3:$I$102,7,FALSE),main!$K$26:$Q$29,3,FALSE),1,0)</f>
        <v>1</v>
      </c>
      <c r="AO95">
        <f>IF(VLOOKUP(AO$1,main!$A$3:$H$102,5,FALSE)-VLOOKUP($A95,main!$A$3:$H$102,6,FALSE)&gt;=main!$D$103+VLOOKUP(VLOOKUP(AO$1,main!$A$3:$I$102,7,FALSE),main!$K$26:$Q$29,3,FALSE),1,0)</f>
        <v>0</v>
      </c>
      <c r="AP95">
        <f>IF(VLOOKUP(AP$1,main!$A$3:$H$102,5,FALSE)-VLOOKUP($A95,main!$A$3:$H$102,6,FALSE)&gt;=main!$D$103+VLOOKUP(VLOOKUP(AP$1,main!$A$3:$I$102,7,FALSE),main!$K$26:$Q$29,3,FALSE),1,0)</f>
        <v>1</v>
      </c>
      <c r="AQ95">
        <f>IF(VLOOKUP(AQ$1,main!$A$3:$H$102,5,FALSE)-VLOOKUP($A95,main!$A$3:$H$102,6,FALSE)&gt;=main!$D$103+VLOOKUP(VLOOKUP(AQ$1,main!$A$3:$I$102,7,FALSE),main!$K$26:$Q$29,3,FALSE),1,0)</f>
        <v>0</v>
      </c>
      <c r="AR95">
        <f>IF(VLOOKUP(AR$1,main!$A$3:$H$102,5,FALSE)-VLOOKUP($A95,main!$A$3:$H$102,6,FALSE)&gt;=main!$D$103+VLOOKUP(VLOOKUP(AR$1,main!$A$3:$I$102,7,FALSE),main!$K$26:$Q$29,3,FALSE),1,0)</f>
        <v>0</v>
      </c>
      <c r="AS95">
        <f>IF(VLOOKUP(AS$1,main!$A$3:$H$102,5,FALSE)-VLOOKUP($A95,main!$A$3:$H$102,6,FALSE)&gt;=main!$D$103+VLOOKUP(VLOOKUP(AS$1,main!$A$3:$I$102,7,FALSE),main!$K$26:$Q$29,3,FALSE),1,0)</f>
        <v>0</v>
      </c>
      <c r="AT95">
        <f>IF(VLOOKUP(AT$1,main!$A$3:$H$102,5,FALSE)-VLOOKUP($A95,main!$A$3:$H$102,6,FALSE)&gt;=main!$D$103+VLOOKUP(VLOOKUP(AT$1,main!$A$3:$I$102,7,FALSE),main!$K$26:$Q$29,3,FALSE),1,0)</f>
        <v>0</v>
      </c>
      <c r="AU95">
        <f>IF(VLOOKUP(AU$1,main!$A$3:$H$102,5,FALSE)-VLOOKUP($A95,main!$A$3:$H$102,6,FALSE)&gt;=main!$D$103+VLOOKUP(VLOOKUP(AU$1,main!$A$3:$I$102,7,FALSE),main!$K$26:$Q$29,3,FALSE),1,0)</f>
        <v>0</v>
      </c>
      <c r="AV95">
        <f>IF(VLOOKUP(AV$1,main!$A$3:$H$102,5,FALSE)-VLOOKUP($A95,main!$A$3:$H$102,6,FALSE)&gt;=main!$D$103+VLOOKUP(VLOOKUP(AV$1,main!$A$3:$I$102,7,FALSE),main!$K$26:$Q$29,3,FALSE),1,0)</f>
        <v>0</v>
      </c>
      <c r="AW95">
        <f>IF(VLOOKUP(AW$1,main!$A$3:$H$102,5,FALSE)-VLOOKUP($A95,main!$A$3:$H$102,6,FALSE)&gt;=main!$D$103+VLOOKUP(VLOOKUP(AW$1,main!$A$3:$I$102,7,FALSE),main!$K$26:$Q$29,3,FALSE),1,0)</f>
        <v>0</v>
      </c>
      <c r="AX95">
        <f>IF(VLOOKUP(AX$1,main!$A$3:$H$102,5,FALSE)-VLOOKUP($A95,main!$A$3:$H$102,6,FALSE)&gt;=main!$D$103+VLOOKUP(VLOOKUP(AX$1,main!$A$3:$I$102,7,FALSE),main!$K$26:$Q$29,3,FALSE),1,0)</f>
        <v>0</v>
      </c>
      <c r="AY95">
        <f>IF(VLOOKUP(AY$1,main!$A$3:$H$102,5,FALSE)-VLOOKUP($A95,main!$A$3:$H$102,6,FALSE)&gt;=main!$D$103+VLOOKUP(VLOOKUP(AY$1,main!$A$3:$I$102,7,FALSE),main!$K$26:$Q$29,3,FALSE),1,0)</f>
        <v>0</v>
      </c>
      <c r="AZ95">
        <f>IF(VLOOKUP(AZ$1,main!$A$3:$H$102,5,FALSE)-VLOOKUP($A95,main!$A$3:$H$102,6,FALSE)&gt;=main!$D$103+VLOOKUP(VLOOKUP(AZ$1,main!$A$3:$I$102,7,FALSE),main!$K$26:$Q$29,3,FALSE),1,0)</f>
        <v>0</v>
      </c>
      <c r="BA95">
        <f>IF(VLOOKUP(BA$1,main!$A$3:$H$102,5,FALSE)-VLOOKUP($A95,main!$A$3:$H$102,6,FALSE)&gt;=main!$D$103+VLOOKUP(VLOOKUP(BA$1,main!$A$3:$I$102,7,FALSE),main!$K$26:$Q$29,3,FALSE),1,0)</f>
        <v>0</v>
      </c>
      <c r="BB95">
        <f>IF(VLOOKUP(BB$1,main!$A$3:$H$102,5,FALSE)-VLOOKUP($A95,main!$A$3:$H$102,6,FALSE)&gt;=main!$D$103+VLOOKUP(VLOOKUP(BB$1,main!$A$3:$I$102,7,FALSE),main!$K$26:$Q$29,3,FALSE),1,0)</f>
        <v>0</v>
      </c>
      <c r="BC95">
        <f>IF(VLOOKUP(BC$1,main!$A$3:$H$102,5,FALSE)-VLOOKUP($A95,main!$A$3:$H$102,6,FALSE)&gt;=main!$D$103+VLOOKUP(VLOOKUP(BC$1,main!$A$3:$I$102,7,FALSE),main!$K$26:$Q$29,3,FALSE),1,0)</f>
        <v>0</v>
      </c>
      <c r="BD95">
        <f>IF(VLOOKUP(BD$1,main!$A$3:$H$102,5,FALSE)-VLOOKUP($A95,main!$A$3:$H$102,6,FALSE)&gt;=main!$D$103+VLOOKUP(VLOOKUP(BD$1,main!$A$3:$I$102,7,FALSE),main!$K$26:$Q$29,3,FALSE),1,0)</f>
        <v>0</v>
      </c>
      <c r="BE95">
        <f>IF(VLOOKUP(BE$1,main!$A$3:$H$102,5,FALSE)-VLOOKUP($A95,main!$A$3:$H$102,6,FALSE)&gt;=main!$D$103+VLOOKUP(VLOOKUP(BE$1,main!$A$3:$I$102,7,FALSE),main!$K$26:$Q$29,3,FALSE),1,0)</f>
        <v>1</v>
      </c>
      <c r="BF95">
        <f>IF(VLOOKUP(BF$1,main!$A$3:$H$102,5,FALSE)-VLOOKUP($A95,main!$A$3:$H$102,6,FALSE)&gt;=main!$D$103+VLOOKUP(VLOOKUP(BF$1,main!$A$3:$I$102,7,FALSE),main!$K$26:$Q$29,3,FALSE),1,0)</f>
        <v>0</v>
      </c>
      <c r="BG95">
        <f>IF(VLOOKUP(BG$1,main!$A$3:$H$102,5,FALSE)-VLOOKUP($A95,main!$A$3:$H$102,6,FALSE)&gt;=main!$D$103+VLOOKUP(VLOOKUP(BG$1,main!$A$3:$I$102,7,FALSE),main!$K$26:$Q$29,3,FALSE),1,0)</f>
        <v>0</v>
      </c>
      <c r="BH95">
        <f>IF(VLOOKUP(BH$1,main!$A$3:$H$102,5,FALSE)-VLOOKUP($A95,main!$A$3:$H$102,6,FALSE)&gt;=main!$D$103+VLOOKUP(VLOOKUP(BH$1,main!$A$3:$I$102,7,FALSE),main!$K$26:$Q$29,3,FALSE),1,0)</f>
        <v>0</v>
      </c>
      <c r="BI95">
        <f>IF(VLOOKUP(BI$1,main!$A$3:$H$102,5,FALSE)-VLOOKUP($A95,main!$A$3:$H$102,6,FALSE)&gt;=main!$D$103+VLOOKUP(VLOOKUP(BI$1,main!$A$3:$I$102,7,FALSE),main!$K$26:$Q$29,3,FALSE),1,0)</f>
        <v>1</v>
      </c>
      <c r="BJ95">
        <f>IF(VLOOKUP(BJ$1,main!$A$3:$H$102,5,FALSE)-VLOOKUP($A95,main!$A$3:$H$102,6,FALSE)&gt;=main!$D$103+VLOOKUP(VLOOKUP(BJ$1,main!$A$3:$I$102,7,FALSE),main!$K$26:$Q$29,3,FALSE),1,0)</f>
        <v>1</v>
      </c>
      <c r="BK95">
        <f>IF(VLOOKUP(BK$1,main!$A$3:$H$102,5,FALSE)-VLOOKUP($A95,main!$A$3:$H$102,6,FALSE)&gt;=main!$D$103+VLOOKUP(VLOOKUP(BK$1,main!$A$3:$I$102,7,FALSE),main!$K$26:$Q$29,3,FALSE),1,0)</f>
        <v>0</v>
      </c>
      <c r="BL95">
        <f>IF(VLOOKUP(BL$1,main!$A$3:$H$102,5,FALSE)-VLOOKUP($A95,main!$A$3:$H$102,6,FALSE)&gt;=main!$D$103+VLOOKUP(VLOOKUP(BL$1,main!$A$3:$I$102,7,FALSE),main!$K$26:$Q$29,3,FALSE),1,0)</f>
        <v>0</v>
      </c>
      <c r="BM95">
        <f>IF(VLOOKUP(BM$1,main!$A$3:$H$102,5,FALSE)-VLOOKUP($A95,main!$A$3:$H$102,6,FALSE)&gt;=main!$D$103+VLOOKUP(VLOOKUP(BM$1,main!$A$3:$I$102,7,FALSE),main!$K$26:$Q$29,3,FALSE),1,0)</f>
        <v>0</v>
      </c>
      <c r="BN95">
        <f>IF(VLOOKUP(BN$1,main!$A$3:$H$102,5,FALSE)-VLOOKUP($A95,main!$A$3:$H$102,6,FALSE)&gt;=main!$D$103+VLOOKUP(VLOOKUP(BN$1,main!$A$3:$I$102,7,FALSE),main!$K$26:$Q$29,3,FALSE),1,0)</f>
        <v>0</v>
      </c>
      <c r="BO95">
        <f>IF(VLOOKUP(BO$1,main!$A$3:$H$102,5,FALSE)-VLOOKUP($A95,main!$A$3:$H$102,6,FALSE)&gt;=main!$D$103+VLOOKUP(VLOOKUP(BO$1,main!$A$3:$I$102,7,FALSE),main!$K$26:$Q$29,3,FALSE),1,0)</f>
        <v>0</v>
      </c>
      <c r="BP95">
        <f>IF(VLOOKUP(BP$1,main!$A$3:$H$102,5,FALSE)-VLOOKUP($A95,main!$A$3:$H$102,6,FALSE)&gt;=main!$D$103+VLOOKUP(VLOOKUP(BP$1,main!$A$3:$I$102,7,FALSE),main!$K$26:$Q$29,3,FALSE),1,0)</f>
        <v>0</v>
      </c>
      <c r="BQ95">
        <f>IF(VLOOKUP(BQ$1,main!$A$3:$H$102,5,FALSE)-VLOOKUP($A95,main!$A$3:$H$102,6,FALSE)&gt;=main!$D$103+VLOOKUP(VLOOKUP(BQ$1,main!$A$3:$I$102,7,FALSE),main!$K$26:$Q$29,3,FALSE),1,0)</f>
        <v>0</v>
      </c>
      <c r="BR95">
        <f>IF(VLOOKUP(BR$1,main!$A$3:$H$102,5,FALSE)-VLOOKUP($A95,main!$A$3:$H$102,6,FALSE)&gt;=main!$D$103+VLOOKUP(VLOOKUP(BR$1,main!$A$3:$I$102,7,FALSE),main!$K$26:$Q$29,3,FALSE),1,0)</f>
        <v>0</v>
      </c>
      <c r="BS95">
        <f>IF(VLOOKUP(BS$1,main!$A$3:$H$102,5,FALSE)-VLOOKUP($A95,main!$A$3:$H$102,6,FALSE)&gt;=main!$D$103+VLOOKUP(VLOOKUP(BS$1,main!$A$3:$I$102,7,FALSE),main!$K$26:$Q$29,3,FALSE),1,0)</f>
        <v>0</v>
      </c>
      <c r="BT95">
        <f>IF(VLOOKUP(BT$1,main!$A$3:$H$102,5,FALSE)-VLOOKUP($A95,main!$A$3:$H$102,6,FALSE)&gt;=main!$D$103+VLOOKUP(VLOOKUP(BT$1,main!$A$3:$I$102,7,FALSE),main!$K$26:$Q$29,3,FALSE),1,0)</f>
        <v>0</v>
      </c>
      <c r="BU95">
        <f>IF(VLOOKUP(BU$1,main!$A$3:$H$102,5,FALSE)-VLOOKUP($A95,main!$A$3:$H$102,6,FALSE)&gt;=main!$D$103+VLOOKUP(VLOOKUP(BU$1,main!$A$3:$I$102,7,FALSE),main!$K$26:$Q$29,3,FALSE),1,0)</f>
        <v>0</v>
      </c>
      <c r="BV95">
        <f>IF(VLOOKUP(BV$1,main!$A$3:$H$102,5,FALSE)-VLOOKUP($A95,main!$A$3:$H$102,6,FALSE)&gt;=main!$D$103+VLOOKUP(VLOOKUP(BV$1,main!$A$3:$I$102,7,FALSE),main!$K$26:$Q$29,3,FALSE),1,0)</f>
        <v>0</v>
      </c>
      <c r="BW95">
        <f>IF(VLOOKUP(BW$1,main!$A$3:$H$102,5,FALSE)-VLOOKUP($A95,main!$A$3:$H$102,6,FALSE)&gt;=main!$D$103+VLOOKUP(VLOOKUP(BW$1,main!$A$3:$I$102,7,FALSE),main!$K$26:$Q$29,3,FALSE),1,0)</f>
        <v>0</v>
      </c>
      <c r="BX95">
        <f>IF(VLOOKUP(BX$1,main!$A$3:$H$102,5,FALSE)-VLOOKUP($A95,main!$A$3:$H$102,6,FALSE)&gt;=main!$D$103+VLOOKUP(VLOOKUP(BX$1,main!$A$3:$I$102,7,FALSE),main!$K$26:$Q$29,3,FALSE),1,0)</f>
        <v>0</v>
      </c>
      <c r="BY95">
        <f>IF(VLOOKUP(BY$1,main!$A$3:$H$102,5,FALSE)-VLOOKUP($A95,main!$A$3:$H$102,6,FALSE)&gt;=main!$D$103+VLOOKUP(VLOOKUP(BY$1,main!$A$3:$I$102,7,FALSE),main!$K$26:$Q$29,3,FALSE),1,0)</f>
        <v>0</v>
      </c>
      <c r="BZ95">
        <f>IF(VLOOKUP(BZ$1,main!$A$3:$H$102,5,FALSE)-VLOOKUP($A95,main!$A$3:$H$102,6,FALSE)&gt;=main!$D$103+VLOOKUP(VLOOKUP(BZ$1,main!$A$3:$I$102,7,FALSE),main!$K$26:$Q$29,3,FALSE),1,0)</f>
        <v>0</v>
      </c>
      <c r="CA95">
        <f>IF(VLOOKUP(CA$1,main!$A$3:$H$102,5,FALSE)-VLOOKUP($A95,main!$A$3:$H$102,6,FALSE)&gt;=main!$D$103+VLOOKUP(VLOOKUP(CA$1,main!$A$3:$I$102,7,FALSE),main!$K$26:$Q$29,3,FALSE),1,0)</f>
        <v>0</v>
      </c>
      <c r="CB95">
        <f>IF(VLOOKUP(CB$1,main!$A$3:$H$102,5,FALSE)-VLOOKUP($A95,main!$A$3:$H$102,6,FALSE)&gt;=main!$D$103+VLOOKUP(VLOOKUP(CB$1,main!$A$3:$I$102,7,FALSE),main!$K$26:$Q$29,3,FALSE),1,0)</f>
        <v>0</v>
      </c>
      <c r="CC95">
        <f>IF(VLOOKUP(CC$1,main!$A$3:$H$102,5,FALSE)-VLOOKUP($A95,main!$A$3:$H$102,6,FALSE)&gt;=main!$D$103+VLOOKUP(VLOOKUP(CC$1,main!$A$3:$I$102,7,FALSE),main!$K$26:$Q$29,3,FALSE),1,0)</f>
        <v>1</v>
      </c>
      <c r="CD95">
        <f>IF(VLOOKUP(CD$1,main!$A$3:$H$102,5,FALSE)-VLOOKUP($A95,main!$A$3:$H$102,6,FALSE)&gt;=main!$D$103+VLOOKUP(VLOOKUP(CD$1,main!$A$3:$I$102,7,FALSE),main!$K$26:$Q$29,3,FALSE),1,0)</f>
        <v>0</v>
      </c>
      <c r="CE95">
        <f>IF(VLOOKUP(CE$1,main!$A$3:$H$102,5,FALSE)-VLOOKUP($A95,main!$A$3:$H$102,6,FALSE)&gt;=main!$D$103+VLOOKUP(VLOOKUP(CE$1,main!$A$3:$I$102,7,FALSE),main!$K$26:$Q$29,3,FALSE),1,0)</f>
        <v>0</v>
      </c>
      <c r="CF95">
        <f>IF(VLOOKUP(CF$1,main!$A$3:$H$102,5,FALSE)-VLOOKUP($A95,main!$A$3:$H$102,6,FALSE)&gt;=main!$D$103+VLOOKUP(VLOOKUP(CF$1,main!$A$3:$I$102,7,FALSE),main!$K$26:$Q$29,3,FALSE),1,0)</f>
        <v>0</v>
      </c>
      <c r="CG95">
        <f>IF(VLOOKUP(CG$1,main!$A$3:$H$102,5,FALSE)-VLOOKUP($A95,main!$A$3:$H$102,6,FALSE)&gt;=main!$D$103+VLOOKUP(VLOOKUP(CG$1,main!$A$3:$I$102,7,FALSE),main!$K$26:$Q$29,3,FALSE),1,0)</f>
        <v>0</v>
      </c>
      <c r="CH95">
        <f>IF(VLOOKUP(CH$1,main!$A$3:$H$102,5,FALSE)-VLOOKUP($A95,main!$A$3:$H$102,6,FALSE)&gt;=main!$D$103+VLOOKUP(VLOOKUP(CH$1,main!$A$3:$I$102,7,FALSE),main!$K$26:$Q$29,3,FALSE),1,0)</f>
        <v>1</v>
      </c>
      <c r="CI95">
        <f>IF(VLOOKUP(CI$1,main!$A$3:$H$102,5,FALSE)-VLOOKUP($A95,main!$A$3:$H$102,6,FALSE)&gt;=main!$D$103+VLOOKUP(VLOOKUP(CI$1,main!$A$3:$I$102,7,FALSE),main!$K$26:$Q$29,3,FALSE),1,0)</f>
        <v>1</v>
      </c>
      <c r="CJ95">
        <f>IF(VLOOKUP(CJ$1,main!$A$3:$H$102,5,FALSE)-VLOOKUP($A95,main!$A$3:$H$102,6,FALSE)&gt;=main!$D$103+VLOOKUP(VLOOKUP(CJ$1,main!$A$3:$I$102,7,FALSE),main!$K$26:$Q$29,3,FALSE),1,0)</f>
        <v>0</v>
      </c>
      <c r="CK95">
        <f>IF(VLOOKUP(CK$1,main!$A$3:$H$102,5,FALSE)-VLOOKUP($A95,main!$A$3:$H$102,6,FALSE)&gt;=main!$D$103+VLOOKUP(VLOOKUP(CK$1,main!$A$3:$I$102,7,FALSE),main!$K$26:$Q$29,3,FALSE),1,0)</f>
        <v>0</v>
      </c>
      <c r="CL95">
        <f>IF(VLOOKUP(CL$1,main!$A$3:$H$102,5,FALSE)-VLOOKUP($A95,main!$A$3:$H$102,6,FALSE)&gt;=main!$D$103+VLOOKUP(VLOOKUP(CL$1,main!$A$3:$I$102,7,FALSE),main!$K$26:$Q$29,3,FALSE),1,0)</f>
        <v>0</v>
      </c>
      <c r="CM95">
        <f>IF(VLOOKUP(CM$1,main!$A$3:$H$102,5,FALSE)-VLOOKUP($A95,main!$A$3:$H$102,6,FALSE)&gt;=main!$D$103+VLOOKUP(VLOOKUP(CM$1,main!$A$3:$I$102,7,FALSE),main!$K$26:$Q$29,3,FALSE),1,0)</f>
        <v>0</v>
      </c>
      <c r="CN95">
        <f>IF(VLOOKUP(CN$1,main!$A$3:$H$102,5,FALSE)-VLOOKUP($A95,main!$A$3:$H$102,6,FALSE)&gt;=main!$D$103+VLOOKUP(VLOOKUP(CN$1,main!$A$3:$I$102,7,FALSE),main!$K$26:$Q$29,3,FALSE),1,0)</f>
        <v>1</v>
      </c>
      <c r="CO95">
        <f>IF(VLOOKUP(CO$1,main!$A$3:$H$102,5,FALSE)-VLOOKUP($A95,main!$A$3:$H$102,6,FALSE)&gt;=main!$D$103+VLOOKUP(VLOOKUP(CO$1,main!$A$3:$I$102,7,FALSE),main!$K$26:$Q$29,3,FALSE),1,0)</f>
        <v>0</v>
      </c>
      <c r="CP95">
        <f>IF(VLOOKUP(CP$1,main!$A$3:$H$102,5,FALSE)-VLOOKUP($A95,main!$A$3:$H$102,6,FALSE)&gt;=main!$D$103+VLOOKUP(VLOOKUP(CP$1,main!$A$3:$I$102,7,FALSE),main!$K$26:$Q$29,3,FALSE),1,0)</f>
        <v>0</v>
      </c>
      <c r="CQ95">
        <f>IF(VLOOKUP(CQ$1,main!$A$3:$H$102,5,FALSE)-VLOOKUP($A95,main!$A$3:$H$102,6,FALSE)&gt;=main!$D$103+VLOOKUP(VLOOKUP(CQ$1,main!$A$3:$I$102,7,FALSE),main!$K$26:$Q$29,3,FALSE),1,0)</f>
        <v>0</v>
      </c>
      <c r="CR95">
        <f>IF(VLOOKUP(CR$1,main!$A$3:$H$102,5,FALSE)-VLOOKUP($A95,main!$A$3:$H$102,6,FALSE)&gt;=main!$D$103+VLOOKUP(VLOOKUP(CR$1,main!$A$3:$I$102,7,FALSE),main!$K$26:$Q$29,3,FALSE),1,0)</f>
        <v>0</v>
      </c>
      <c r="CS95">
        <f>IF(VLOOKUP(CS$1,main!$A$3:$H$102,5,FALSE)-VLOOKUP($A95,main!$A$3:$H$102,6,FALSE)&gt;=main!$D$103+VLOOKUP(VLOOKUP(CS$1,main!$A$3:$I$102,7,FALSE),main!$K$26:$Q$29,3,FALSE),1,0)</f>
        <v>0</v>
      </c>
      <c r="CT95">
        <f>IF(VLOOKUP(CT$1,main!$A$3:$H$102,5,FALSE)-VLOOKUP($A95,main!$A$3:$H$102,6,FALSE)&gt;=main!$D$103+VLOOKUP(VLOOKUP(CT$1,main!$A$3:$I$102,7,FALSE),main!$K$26:$Q$29,3,FALSE),1,0)</f>
        <v>0</v>
      </c>
      <c r="CU95">
        <f>IF(VLOOKUP(CU$1,main!$A$3:$H$102,5,FALSE)-VLOOKUP($A95,main!$A$3:$H$102,6,FALSE)&gt;=main!$D$103+VLOOKUP(VLOOKUP(CU$1,main!$A$3:$I$102,7,FALSE),main!$K$26:$Q$29,3,FALSE),1,0)</f>
        <v>0</v>
      </c>
      <c r="CV95">
        <f>IF(VLOOKUP(CV$1,main!$A$3:$H$102,5,FALSE)-VLOOKUP($A95,main!$A$3:$H$102,6,FALSE)&gt;=main!$D$103+VLOOKUP(VLOOKUP(CV$1,main!$A$3:$I$102,7,FALSE),main!$K$26:$Q$29,3,FALSE),1,0)</f>
        <v>0</v>
      </c>
      <c r="CW95">
        <f>IF(VLOOKUP(CW$1,main!$A$3:$H$102,5,FALSE)-VLOOKUP($A95,main!$A$3:$H$102,6,FALSE)&gt;=main!$D$103+VLOOKUP(VLOOKUP(CW$1,main!$A$3:$I$102,7,FALSE),main!$K$26:$Q$29,3,FALSE),1,0)</f>
        <v>0</v>
      </c>
      <c r="CX95">
        <f>IF(VLOOKUP(CX$1,main!$A$3:$H$102,5,FALSE)-VLOOKUP($A95,main!$A$3:$H$102,6,FALSE)&gt;=main!$D$103+VLOOKUP(VLOOKUP(CX$1,main!$A$3:$I$102,7,FALSE),main!$K$26:$Q$29,3,FALSE),1,0)</f>
        <v>1</v>
      </c>
    </row>
    <row r="96" spans="1:102" x14ac:dyDescent="0.25">
      <c r="A96" s="1">
        <v>94</v>
      </c>
      <c r="B96">
        <v>0</v>
      </c>
      <c r="C96">
        <f>IF(VLOOKUP(C$1,main!$A$3:$H$102,5,FALSE)-VLOOKUP($A96,main!$A$3:$H$102,6,FALSE)&gt;=main!$D$103+VLOOKUP(VLOOKUP(C$1,main!$A$3:$I$102,7,FALSE),main!$K$26:$Q$29,3,FALSE),1,0)</f>
        <v>0</v>
      </c>
      <c r="D96">
        <f>IF(VLOOKUP(D$1,main!$A$3:$H$102,5,FALSE)-VLOOKUP($A96,main!$A$3:$H$102,6,FALSE)&gt;=main!$D$103+VLOOKUP(VLOOKUP(D$1,main!$A$3:$I$102,7,FALSE),main!$K$26:$Q$29,3,FALSE),1,0)</f>
        <v>0</v>
      </c>
      <c r="E96">
        <f>IF(VLOOKUP(E$1,main!$A$3:$H$102,5,FALSE)-VLOOKUP($A96,main!$A$3:$H$102,6,FALSE)&gt;=main!$D$103+VLOOKUP(VLOOKUP(E$1,main!$A$3:$I$102,7,FALSE),main!$K$26:$Q$29,3,FALSE),1,0)</f>
        <v>0</v>
      </c>
      <c r="F96">
        <f>IF(VLOOKUP(F$1,main!$A$3:$H$102,5,FALSE)-VLOOKUP($A96,main!$A$3:$H$102,6,FALSE)&gt;=main!$D$103+VLOOKUP(VLOOKUP(F$1,main!$A$3:$I$102,7,FALSE),main!$K$26:$Q$29,3,FALSE),1,0)</f>
        <v>0</v>
      </c>
      <c r="G96">
        <f>IF(VLOOKUP(G$1,main!$A$3:$H$102,5,FALSE)-VLOOKUP($A96,main!$A$3:$H$102,6,FALSE)&gt;=main!$D$103+VLOOKUP(VLOOKUP(G$1,main!$A$3:$I$102,7,FALSE),main!$K$26:$Q$29,3,FALSE),1,0)</f>
        <v>0</v>
      </c>
      <c r="H96">
        <f>IF(VLOOKUP(H$1,main!$A$3:$H$102,5,FALSE)-VLOOKUP($A96,main!$A$3:$H$102,6,FALSE)&gt;=main!$D$103+VLOOKUP(VLOOKUP(H$1,main!$A$3:$I$102,7,FALSE),main!$K$26:$Q$29,3,FALSE),1,0)</f>
        <v>0</v>
      </c>
      <c r="I96">
        <f>IF(VLOOKUP(I$1,main!$A$3:$H$102,5,FALSE)-VLOOKUP($A96,main!$A$3:$H$102,6,FALSE)&gt;=main!$D$103+VLOOKUP(VLOOKUP(I$1,main!$A$3:$I$102,7,FALSE),main!$K$26:$Q$29,3,FALSE),1,0)</f>
        <v>0</v>
      </c>
      <c r="J96">
        <f>IF(VLOOKUP(J$1,main!$A$3:$H$102,5,FALSE)-VLOOKUP($A96,main!$A$3:$H$102,6,FALSE)&gt;=main!$D$103+VLOOKUP(VLOOKUP(J$1,main!$A$3:$I$102,7,FALSE),main!$K$26:$Q$29,3,FALSE),1,0)</f>
        <v>0</v>
      </c>
      <c r="K96">
        <f>IF(VLOOKUP(K$1,main!$A$3:$H$102,5,FALSE)-VLOOKUP($A96,main!$A$3:$H$102,6,FALSE)&gt;=main!$D$103+VLOOKUP(VLOOKUP(K$1,main!$A$3:$I$102,7,FALSE),main!$K$26:$Q$29,3,FALSE),1,0)</f>
        <v>0</v>
      </c>
      <c r="L96">
        <f>IF(VLOOKUP(L$1,main!$A$3:$H$102,5,FALSE)-VLOOKUP($A96,main!$A$3:$H$102,6,FALSE)&gt;=main!$D$103+VLOOKUP(VLOOKUP(L$1,main!$A$3:$I$102,7,FALSE),main!$K$26:$Q$29,3,FALSE),1,0)</f>
        <v>1</v>
      </c>
      <c r="M96">
        <f>IF(VLOOKUP(M$1,main!$A$3:$H$102,5,FALSE)-VLOOKUP($A96,main!$A$3:$H$102,6,FALSE)&gt;=main!$D$103+VLOOKUP(VLOOKUP(M$1,main!$A$3:$I$102,7,FALSE),main!$K$26:$Q$29,3,FALSE),1,0)</f>
        <v>0</v>
      </c>
      <c r="N96">
        <f>IF(VLOOKUP(N$1,main!$A$3:$H$102,5,FALSE)-VLOOKUP($A96,main!$A$3:$H$102,6,FALSE)&gt;=main!$D$103+VLOOKUP(VLOOKUP(N$1,main!$A$3:$I$102,7,FALSE),main!$K$26:$Q$29,3,FALSE),1,0)</f>
        <v>0</v>
      </c>
      <c r="O96">
        <f>IF(VLOOKUP(O$1,main!$A$3:$H$102,5,FALSE)-VLOOKUP($A96,main!$A$3:$H$102,6,FALSE)&gt;=main!$D$103+VLOOKUP(VLOOKUP(O$1,main!$A$3:$I$102,7,FALSE),main!$K$26:$Q$29,3,FALSE),1,0)</f>
        <v>0</v>
      </c>
      <c r="P96">
        <f>IF(VLOOKUP(P$1,main!$A$3:$H$102,5,FALSE)-VLOOKUP($A96,main!$A$3:$H$102,6,FALSE)&gt;=main!$D$103+VLOOKUP(VLOOKUP(P$1,main!$A$3:$I$102,7,FALSE),main!$K$26:$Q$29,3,FALSE),1,0)</f>
        <v>0</v>
      </c>
      <c r="Q96">
        <f>IF(VLOOKUP(Q$1,main!$A$3:$H$102,5,FALSE)-VLOOKUP($A96,main!$A$3:$H$102,6,FALSE)&gt;=main!$D$103+VLOOKUP(VLOOKUP(Q$1,main!$A$3:$I$102,7,FALSE),main!$K$26:$Q$29,3,FALSE),1,0)</f>
        <v>0</v>
      </c>
      <c r="R96">
        <f>IF(VLOOKUP(R$1,main!$A$3:$H$102,5,FALSE)-VLOOKUP($A96,main!$A$3:$H$102,6,FALSE)&gt;=main!$D$103+VLOOKUP(VLOOKUP(R$1,main!$A$3:$I$102,7,FALSE),main!$K$26:$Q$29,3,FALSE),1,0)</f>
        <v>0</v>
      </c>
      <c r="S96">
        <f>IF(VLOOKUP(S$1,main!$A$3:$H$102,5,FALSE)-VLOOKUP($A96,main!$A$3:$H$102,6,FALSE)&gt;=main!$D$103+VLOOKUP(VLOOKUP(S$1,main!$A$3:$I$102,7,FALSE),main!$K$26:$Q$29,3,FALSE),1,0)</f>
        <v>0</v>
      </c>
      <c r="T96">
        <f>IF(VLOOKUP(T$1,main!$A$3:$H$102,5,FALSE)-VLOOKUP($A96,main!$A$3:$H$102,6,FALSE)&gt;=main!$D$103+VLOOKUP(VLOOKUP(T$1,main!$A$3:$I$102,7,FALSE),main!$K$26:$Q$29,3,FALSE),1,0)</f>
        <v>0</v>
      </c>
      <c r="U96">
        <f>IF(VLOOKUP(U$1,main!$A$3:$H$102,5,FALSE)-VLOOKUP($A96,main!$A$3:$H$102,6,FALSE)&gt;=main!$D$103+VLOOKUP(VLOOKUP(U$1,main!$A$3:$I$102,7,FALSE),main!$K$26:$Q$29,3,FALSE),1,0)</f>
        <v>0</v>
      </c>
      <c r="V96">
        <f>IF(VLOOKUP(V$1,main!$A$3:$H$102,5,FALSE)-VLOOKUP($A96,main!$A$3:$H$102,6,FALSE)&gt;=main!$D$103+VLOOKUP(VLOOKUP(V$1,main!$A$3:$I$102,7,FALSE),main!$K$26:$Q$29,3,FALSE),1,0)</f>
        <v>1</v>
      </c>
      <c r="W96">
        <f>IF(VLOOKUP(W$1,main!$A$3:$H$102,5,FALSE)-VLOOKUP($A96,main!$A$3:$H$102,6,FALSE)&gt;=main!$D$103+VLOOKUP(VLOOKUP(W$1,main!$A$3:$I$102,7,FALSE),main!$K$26:$Q$29,3,FALSE),1,0)</f>
        <v>0</v>
      </c>
      <c r="X96">
        <f>IF(VLOOKUP(X$1,main!$A$3:$H$102,5,FALSE)-VLOOKUP($A96,main!$A$3:$H$102,6,FALSE)&gt;=main!$D$103+VLOOKUP(VLOOKUP(X$1,main!$A$3:$I$102,7,FALSE),main!$K$26:$Q$29,3,FALSE),1,0)</f>
        <v>0</v>
      </c>
      <c r="Y96">
        <f>IF(VLOOKUP(Y$1,main!$A$3:$H$102,5,FALSE)-VLOOKUP($A96,main!$A$3:$H$102,6,FALSE)&gt;=main!$D$103+VLOOKUP(VLOOKUP(Y$1,main!$A$3:$I$102,7,FALSE),main!$K$26:$Q$29,3,FALSE),1,0)</f>
        <v>0</v>
      </c>
      <c r="Z96">
        <f>IF(VLOOKUP(Z$1,main!$A$3:$H$102,5,FALSE)-VLOOKUP($A96,main!$A$3:$H$102,6,FALSE)&gt;=main!$D$103+VLOOKUP(VLOOKUP(Z$1,main!$A$3:$I$102,7,FALSE),main!$K$26:$Q$29,3,FALSE),1,0)</f>
        <v>0</v>
      </c>
      <c r="AA96">
        <f>IF(VLOOKUP(AA$1,main!$A$3:$H$102,5,FALSE)-VLOOKUP($A96,main!$A$3:$H$102,6,FALSE)&gt;=main!$D$103+VLOOKUP(VLOOKUP(AA$1,main!$A$3:$I$102,7,FALSE),main!$K$26:$Q$29,3,FALSE),1,0)</f>
        <v>0</v>
      </c>
      <c r="AB96">
        <f>IF(VLOOKUP(AB$1,main!$A$3:$H$102,5,FALSE)-VLOOKUP($A96,main!$A$3:$H$102,6,FALSE)&gt;=main!$D$103+VLOOKUP(VLOOKUP(AB$1,main!$A$3:$I$102,7,FALSE),main!$K$26:$Q$29,3,FALSE),1,0)</f>
        <v>0</v>
      </c>
      <c r="AC96">
        <f>IF(VLOOKUP(AC$1,main!$A$3:$H$102,5,FALSE)-VLOOKUP($A96,main!$A$3:$H$102,6,FALSE)&gt;=main!$D$103+VLOOKUP(VLOOKUP(AC$1,main!$A$3:$I$102,7,FALSE),main!$K$26:$Q$29,3,FALSE),1,0)</f>
        <v>0</v>
      </c>
      <c r="AD96">
        <f>IF(VLOOKUP(AD$1,main!$A$3:$H$102,5,FALSE)-VLOOKUP($A96,main!$A$3:$H$102,6,FALSE)&gt;=main!$D$103+VLOOKUP(VLOOKUP(AD$1,main!$A$3:$I$102,7,FALSE),main!$K$26:$Q$29,3,FALSE),1,0)</f>
        <v>0</v>
      </c>
      <c r="AE96">
        <f>IF(VLOOKUP(AE$1,main!$A$3:$H$102,5,FALSE)-VLOOKUP($A96,main!$A$3:$H$102,6,FALSE)&gt;=main!$D$103+VLOOKUP(VLOOKUP(AE$1,main!$A$3:$I$102,7,FALSE),main!$K$26:$Q$29,3,FALSE),1,0)</f>
        <v>0</v>
      </c>
      <c r="AF96">
        <f>IF(VLOOKUP(AF$1,main!$A$3:$H$102,5,FALSE)-VLOOKUP($A96,main!$A$3:$H$102,6,FALSE)&gt;=main!$D$103+VLOOKUP(VLOOKUP(AF$1,main!$A$3:$I$102,7,FALSE),main!$K$26:$Q$29,3,FALSE),1,0)</f>
        <v>0</v>
      </c>
      <c r="AG96">
        <f>IF(VLOOKUP(AG$1,main!$A$3:$H$102,5,FALSE)-VLOOKUP($A96,main!$A$3:$H$102,6,FALSE)&gt;=main!$D$103+VLOOKUP(VLOOKUP(AG$1,main!$A$3:$I$102,7,FALSE),main!$K$26:$Q$29,3,FALSE),1,0)</f>
        <v>0</v>
      </c>
      <c r="AH96">
        <f>IF(VLOOKUP(AH$1,main!$A$3:$H$102,5,FALSE)-VLOOKUP($A96,main!$A$3:$H$102,6,FALSE)&gt;=main!$D$103+VLOOKUP(VLOOKUP(AH$1,main!$A$3:$I$102,7,FALSE),main!$K$26:$Q$29,3,FALSE),1,0)</f>
        <v>0</v>
      </c>
      <c r="AI96">
        <f>IF(VLOOKUP(AI$1,main!$A$3:$H$102,5,FALSE)-VLOOKUP($A96,main!$A$3:$H$102,6,FALSE)&gt;=main!$D$103+VLOOKUP(VLOOKUP(AI$1,main!$A$3:$I$102,7,FALSE),main!$K$26:$Q$29,3,FALSE),1,0)</f>
        <v>0</v>
      </c>
      <c r="AJ96">
        <f>IF(VLOOKUP(AJ$1,main!$A$3:$H$102,5,FALSE)-VLOOKUP($A96,main!$A$3:$H$102,6,FALSE)&gt;=main!$D$103+VLOOKUP(VLOOKUP(AJ$1,main!$A$3:$I$102,7,FALSE),main!$K$26:$Q$29,3,FALSE),1,0)</f>
        <v>0</v>
      </c>
      <c r="AK96">
        <f>IF(VLOOKUP(AK$1,main!$A$3:$H$102,5,FALSE)-VLOOKUP($A96,main!$A$3:$H$102,6,FALSE)&gt;=main!$D$103+VLOOKUP(VLOOKUP(AK$1,main!$A$3:$I$102,7,FALSE),main!$K$26:$Q$29,3,FALSE),1,0)</f>
        <v>0</v>
      </c>
      <c r="AL96">
        <f>IF(VLOOKUP(AL$1,main!$A$3:$H$102,5,FALSE)-VLOOKUP($A96,main!$A$3:$H$102,6,FALSE)&gt;=main!$D$103+VLOOKUP(VLOOKUP(AL$1,main!$A$3:$I$102,7,FALSE),main!$K$26:$Q$29,3,FALSE),1,0)</f>
        <v>0</v>
      </c>
      <c r="AM96">
        <f>IF(VLOOKUP(AM$1,main!$A$3:$H$102,5,FALSE)-VLOOKUP($A96,main!$A$3:$H$102,6,FALSE)&gt;=main!$D$103+VLOOKUP(VLOOKUP(AM$1,main!$A$3:$I$102,7,FALSE),main!$K$26:$Q$29,3,FALSE),1,0)</f>
        <v>0</v>
      </c>
      <c r="AN96">
        <f>IF(VLOOKUP(AN$1,main!$A$3:$H$102,5,FALSE)-VLOOKUP($A96,main!$A$3:$H$102,6,FALSE)&gt;=main!$D$103+VLOOKUP(VLOOKUP(AN$1,main!$A$3:$I$102,7,FALSE),main!$K$26:$Q$29,3,FALSE),1,0)</f>
        <v>0</v>
      </c>
      <c r="AO96">
        <f>IF(VLOOKUP(AO$1,main!$A$3:$H$102,5,FALSE)-VLOOKUP($A96,main!$A$3:$H$102,6,FALSE)&gt;=main!$D$103+VLOOKUP(VLOOKUP(AO$1,main!$A$3:$I$102,7,FALSE),main!$K$26:$Q$29,3,FALSE),1,0)</f>
        <v>0</v>
      </c>
      <c r="AP96">
        <f>IF(VLOOKUP(AP$1,main!$A$3:$H$102,5,FALSE)-VLOOKUP($A96,main!$A$3:$H$102,6,FALSE)&gt;=main!$D$103+VLOOKUP(VLOOKUP(AP$1,main!$A$3:$I$102,7,FALSE),main!$K$26:$Q$29,3,FALSE),1,0)</f>
        <v>1</v>
      </c>
      <c r="AQ96">
        <f>IF(VLOOKUP(AQ$1,main!$A$3:$H$102,5,FALSE)-VLOOKUP($A96,main!$A$3:$H$102,6,FALSE)&gt;=main!$D$103+VLOOKUP(VLOOKUP(AQ$1,main!$A$3:$I$102,7,FALSE),main!$K$26:$Q$29,3,FALSE),1,0)</f>
        <v>0</v>
      </c>
      <c r="AR96">
        <f>IF(VLOOKUP(AR$1,main!$A$3:$H$102,5,FALSE)-VLOOKUP($A96,main!$A$3:$H$102,6,FALSE)&gt;=main!$D$103+VLOOKUP(VLOOKUP(AR$1,main!$A$3:$I$102,7,FALSE),main!$K$26:$Q$29,3,FALSE),1,0)</f>
        <v>0</v>
      </c>
      <c r="AS96">
        <f>IF(VLOOKUP(AS$1,main!$A$3:$H$102,5,FALSE)-VLOOKUP($A96,main!$A$3:$H$102,6,FALSE)&gt;=main!$D$103+VLOOKUP(VLOOKUP(AS$1,main!$A$3:$I$102,7,FALSE),main!$K$26:$Q$29,3,FALSE),1,0)</f>
        <v>0</v>
      </c>
      <c r="AT96">
        <f>IF(VLOOKUP(AT$1,main!$A$3:$H$102,5,FALSE)-VLOOKUP($A96,main!$A$3:$H$102,6,FALSE)&gt;=main!$D$103+VLOOKUP(VLOOKUP(AT$1,main!$A$3:$I$102,7,FALSE),main!$K$26:$Q$29,3,FALSE),1,0)</f>
        <v>0</v>
      </c>
      <c r="AU96">
        <f>IF(VLOOKUP(AU$1,main!$A$3:$H$102,5,FALSE)-VLOOKUP($A96,main!$A$3:$H$102,6,FALSE)&gt;=main!$D$103+VLOOKUP(VLOOKUP(AU$1,main!$A$3:$I$102,7,FALSE),main!$K$26:$Q$29,3,FALSE),1,0)</f>
        <v>0</v>
      </c>
      <c r="AV96">
        <f>IF(VLOOKUP(AV$1,main!$A$3:$H$102,5,FALSE)-VLOOKUP($A96,main!$A$3:$H$102,6,FALSE)&gt;=main!$D$103+VLOOKUP(VLOOKUP(AV$1,main!$A$3:$I$102,7,FALSE),main!$K$26:$Q$29,3,FALSE),1,0)</f>
        <v>0</v>
      </c>
      <c r="AW96">
        <f>IF(VLOOKUP(AW$1,main!$A$3:$H$102,5,FALSE)-VLOOKUP($A96,main!$A$3:$H$102,6,FALSE)&gt;=main!$D$103+VLOOKUP(VLOOKUP(AW$1,main!$A$3:$I$102,7,FALSE),main!$K$26:$Q$29,3,FALSE),1,0)</f>
        <v>0</v>
      </c>
      <c r="AX96">
        <f>IF(VLOOKUP(AX$1,main!$A$3:$H$102,5,FALSE)-VLOOKUP($A96,main!$A$3:$H$102,6,FALSE)&gt;=main!$D$103+VLOOKUP(VLOOKUP(AX$1,main!$A$3:$I$102,7,FALSE),main!$K$26:$Q$29,3,FALSE),1,0)</f>
        <v>0</v>
      </c>
      <c r="AY96">
        <f>IF(VLOOKUP(AY$1,main!$A$3:$H$102,5,FALSE)-VLOOKUP($A96,main!$A$3:$H$102,6,FALSE)&gt;=main!$D$103+VLOOKUP(VLOOKUP(AY$1,main!$A$3:$I$102,7,FALSE),main!$K$26:$Q$29,3,FALSE),1,0)</f>
        <v>0</v>
      </c>
      <c r="AZ96">
        <f>IF(VLOOKUP(AZ$1,main!$A$3:$H$102,5,FALSE)-VLOOKUP($A96,main!$A$3:$H$102,6,FALSE)&gt;=main!$D$103+VLOOKUP(VLOOKUP(AZ$1,main!$A$3:$I$102,7,FALSE),main!$K$26:$Q$29,3,FALSE),1,0)</f>
        <v>0</v>
      </c>
      <c r="BA96">
        <f>IF(VLOOKUP(BA$1,main!$A$3:$H$102,5,FALSE)-VLOOKUP($A96,main!$A$3:$H$102,6,FALSE)&gt;=main!$D$103+VLOOKUP(VLOOKUP(BA$1,main!$A$3:$I$102,7,FALSE),main!$K$26:$Q$29,3,FALSE),1,0)</f>
        <v>0</v>
      </c>
      <c r="BB96">
        <f>IF(VLOOKUP(BB$1,main!$A$3:$H$102,5,FALSE)-VLOOKUP($A96,main!$A$3:$H$102,6,FALSE)&gt;=main!$D$103+VLOOKUP(VLOOKUP(BB$1,main!$A$3:$I$102,7,FALSE),main!$K$26:$Q$29,3,FALSE),1,0)</f>
        <v>0</v>
      </c>
      <c r="BC96">
        <f>IF(VLOOKUP(BC$1,main!$A$3:$H$102,5,FALSE)-VLOOKUP($A96,main!$A$3:$H$102,6,FALSE)&gt;=main!$D$103+VLOOKUP(VLOOKUP(BC$1,main!$A$3:$I$102,7,FALSE),main!$K$26:$Q$29,3,FALSE),1,0)</f>
        <v>0</v>
      </c>
      <c r="BD96">
        <f>IF(VLOOKUP(BD$1,main!$A$3:$H$102,5,FALSE)-VLOOKUP($A96,main!$A$3:$H$102,6,FALSE)&gt;=main!$D$103+VLOOKUP(VLOOKUP(BD$1,main!$A$3:$I$102,7,FALSE),main!$K$26:$Q$29,3,FALSE),1,0)</f>
        <v>0</v>
      </c>
      <c r="BE96">
        <f>IF(VLOOKUP(BE$1,main!$A$3:$H$102,5,FALSE)-VLOOKUP($A96,main!$A$3:$H$102,6,FALSE)&gt;=main!$D$103+VLOOKUP(VLOOKUP(BE$1,main!$A$3:$I$102,7,FALSE),main!$K$26:$Q$29,3,FALSE),1,0)</f>
        <v>0</v>
      </c>
      <c r="BF96">
        <f>IF(VLOOKUP(BF$1,main!$A$3:$H$102,5,FALSE)-VLOOKUP($A96,main!$A$3:$H$102,6,FALSE)&gt;=main!$D$103+VLOOKUP(VLOOKUP(BF$1,main!$A$3:$I$102,7,FALSE),main!$K$26:$Q$29,3,FALSE),1,0)</f>
        <v>0</v>
      </c>
      <c r="BG96">
        <f>IF(VLOOKUP(BG$1,main!$A$3:$H$102,5,FALSE)-VLOOKUP($A96,main!$A$3:$H$102,6,FALSE)&gt;=main!$D$103+VLOOKUP(VLOOKUP(BG$1,main!$A$3:$I$102,7,FALSE),main!$K$26:$Q$29,3,FALSE),1,0)</f>
        <v>0</v>
      </c>
      <c r="BH96">
        <f>IF(VLOOKUP(BH$1,main!$A$3:$H$102,5,FALSE)-VLOOKUP($A96,main!$A$3:$H$102,6,FALSE)&gt;=main!$D$103+VLOOKUP(VLOOKUP(BH$1,main!$A$3:$I$102,7,FALSE),main!$K$26:$Q$29,3,FALSE),1,0)</f>
        <v>0</v>
      </c>
      <c r="BI96">
        <f>IF(VLOOKUP(BI$1,main!$A$3:$H$102,5,FALSE)-VLOOKUP($A96,main!$A$3:$H$102,6,FALSE)&gt;=main!$D$103+VLOOKUP(VLOOKUP(BI$1,main!$A$3:$I$102,7,FALSE),main!$K$26:$Q$29,3,FALSE),1,0)</f>
        <v>1</v>
      </c>
      <c r="BJ96">
        <f>IF(VLOOKUP(BJ$1,main!$A$3:$H$102,5,FALSE)-VLOOKUP($A96,main!$A$3:$H$102,6,FALSE)&gt;=main!$D$103+VLOOKUP(VLOOKUP(BJ$1,main!$A$3:$I$102,7,FALSE),main!$K$26:$Q$29,3,FALSE),1,0)</f>
        <v>0</v>
      </c>
      <c r="BK96">
        <f>IF(VLOOKUP(BK$1,main!$A$3:$H$102,5,FALSE)-VLOOKUP($A96,main!$A$3:$H$102,6,FALSE)&gt;=main!$D$103+VLOOKUP(VLOOKUP(BK$1,main!$A$3:$I$102,7,FALSE),main!$K$26:$Q$29,3,FALSE),1,0)</f>
        <v>0</v>
      </c>
      <c r="BL96">
        <f>IF(VLOOKUP(BL$1,main!$A$3:$H$102,5,FALSE)-VLOOKUP($A96,main!$A$3:$H$102,6,FALSE)&gt;=main!$D$103+VLOOKUP(VLOOKUP(BL$1,main!$A$3:$I$102,7,FALSE),main!$K$26:$Q$29,3,FALSE),1,0)</f>
        <v>0</v>
      </c>
      <c r="BM96">
        <f>IF(VLOOKUP(BM$1,main!$A$3:$H$102,5,FALSE)-VLOOKUP($A96,main!$A$3:$H$102,6,FALSE)&gt;=main!$D$103+VLOOKUP(VLOOKUP(BM$1,main!$A$3:$I$102,7,FALSE),main!$K$26:$Q$29,3,FALSE),1,0)</f>
        <v>0</v>
      </c>
      <c r="BN96">
        <f>IF(VLOOKUP(BN$1,main!$A$3:$H$102,5,FALSE)-VLOOKUP($A96,main!$A$3:$H$102,6,FALSE)&gt;=main!$D$103+VLOOKUP(VLOOKUP(BN$1,main!$A$3:$I$102,7,FALSE),main!$K$26:$Q$29,3,FALSE),1,0)</f>
        <v>0</v>
      </c>
      <c r="BO96">
        <f>IF(VLOOKUP(BO$1,main!$A$3:$H$102,5,FALSE)-VLOOKUP($A96,main!$A$3:$H$102,6,FALSE)&gt;=main!$D$103+VLOOKUP(VLOOKUP(BO$1,main!$A$3:$I$102,7,FALSE),main!$K$26:$Q$29,3,FALSE),1,0)</f>
        <v>0</v>
      </c>
      <c r="BP96">
        <f>IF(VLOOKUP(BP$1,main!$A$3:$H$102,5,FALSE)-VLOOKUP($A96,main!$A$3:$H$102,6,FALSE)&gt;=main!$D$103+VLOOKUP(VLOOKUP(BP$1,main!$A$3:$I$102,7,FALSE),main!$K$26:$Q$29,3,FALSE),1,0)</f>
        <v>0</v>
      </c>
      <c r="BQ96">
        <f>IF(VLOOKUP(BQ$1,main!$A$3:$H$102,5,FALSE)-VLOOKUP($A96,main!$A$3:$H$102,6,FALSE)&gt;=main!$D$103+VLOOKUP(VLOOKUP(BQ$1,main!$A$3:$I$102,7,FALSE),main!$K$26:$Q$29,3,FALSE),1,0)</f>
        <v>0</v>
      </c>
      <c r="BR96">
        <f>IF(VLOOKUP(BR$1,main!$A$3:$H$102,5,FALSE)-VLOOKUP($A96,main!$A$3:$H$102,6,FALSE)&gt;=main!$D$103+VLOOKUP(VLOOKUP(BR$1,main!$A$3:$I$102,7,FALSE),main!$K$26:$Q$29,3,FALSE),1,0)</f>
        <v>0</v>
      </c>
      <c r="BS96">
        <f>IF(VLOOKUP(BS$1,main!$A$3:$H$102,5,FALSE)-VLOOKUP($A96,main!$A$3:$H$102,6,FALSE)&gt;=main!$D$103+VLOOKUP(VLOOKUP(BS$1,main!$A$3:$I$102,7,FALSE),main!$K$26:$Q$29,3,FALSE),1,0)</f>
        <v>0</v>
      </c>
      <c r="BT96">
        <f>IF(VLOOKUP(BT$1,main!$A$3:$H$102,5,FALSE)-VLOOKUP($A96,main!$A$3:$H$102,6,FALSE)&gt;=main!$D$103+VLOOKUP(VLOOKUP(BT$1,main!$A$3:$I$102,7,FALSE),main!$K$26:$Q$29,3,FALSE),1,0)</f>
        <v>0</v>
      </c>
      <c r="BU96">
        <f>IF(VLOOKUP(BU$1,main!$A$3:$H$102,5,FALSE)-VLOOKUP($A96,main!$A$3:$H$102,6,FALSE)&gt;=main!$D$103+VLOOKUP(VLOOKUP(BU$1,main!$A$3:$I$102,7,FALSE),main!$K$26:$Q$29,3,FALSE),1,0)</f>
        <v>0</v>
      </c>
      <c r="BV96">
        <f>IF(VLOOKUP(BV$1,main!$A$3:$H$102,5,FALSE)-VLOOKUP($A96,main!$A$3:$H$102,6,FALSE)&gt;=main!$D$103+VLOOKUP(VLOOKUP(BV$1,main!$A$3:$I$102,7,FALSE),main!$K$26:$Q$29,3,FALSE),1,0)</f>
        <v>0</v>
      </c>
      <c r="BW96">
        <f>IF(VLOOKUP(BW$1,main!$A$3:$H$102,5,FALSE)-VLOOKUP($A96,main!$A$3:$H$102,6,FALSE)&gt;=main!$D$103+VLOOKUP(VLOOKUP(BW$1,main!$A$3:$I$102,7,FALSE),main!$K$26:$Q$29,3,FALSE),1,0)</f>
        <v>0</v>
      </c>
      <c r="BX96">
        <f>IF(VLOOKUP(BX$1,main!$A$3:$H$102,5,FALSE)-VLOOKUP($A96,main!$A$3:$H$102,6,FALSE)&gt;=main!$D$103+VLOOKUP(VLOOKUP(BX$1,main!$A$3:$I$102,7,FALSE),main!$K$26:$Q$29,3,FALSE),1,0)</f>
        <v>0</v>
      </c>
      <c r="BY96">
        <f>IF(VLOOKUP(BY$1,main!$A$3:$H$102,5,FALSE)-VLOOKUP($A96,main!$A$3:$H$102,6,FALSE)&gt;=main!$D$103+VLOOKUP(VLOOKUP(BY$1,main!$A$3:$I$102,7,FALSE),main!$K$26:$Q$29,3,FALSE),1,0)</f>
        <v>0</v>
      </c>
      <c r="BZ96">
        <f>IF(VLOOKUP(BZ$1,main!$A$3:$H$102,5,FALSE)-VLOOKUP($A96,main!$A$3:$H$102,6,FALSE)&gt;=main!$D$103+VLOOKUP(VLOOKUP(BZ$1,main!$A$3:$I$102,7,FALSE),main!$K$26:$Q$29,3,FALSE),1,0)</f>
        <v>0</v>
      </c>
      <c r="CA96">
        <f>IF(VLOOKUP(CA$1,main!$A$3:$H$102,5,FALSE)-VLOOKUP($A96,main!$A$3:$H$102,6,FALSE)&gt;=main!$D$103+VLOOKUP(VLOOKUP(CA$1,main!$A$3:$I$102,7,FALSE),main!$K$26:$Q$29,3,FALSE),1,0)</f>
        <v>0</v>
      </c>
      <c r="CB96">
        <f>IF(VLOOKUP(CB$1,main!$A$3:$H$102,5,FALSE)-VLOOKUP($A96,main!$A$3:$H$102,6,FALSE)&gt;=main!$D$103+VLOOKUP(VLOOKUP(CB$1,main!$A$3:$I$102,7,FALSE),main!$K$26:$Q$29,3,FALSE),1,0)</f>
        <v>0</v>
      </c>
      <c r="CC96">
        <f>IF(VLOOKUP(CC$1,main!$A$3:$H$102,5,FALSE)-VLOOKUP($A96,main!$A$3:$H$102,6,FALSE)&gt;=main!$D$103+VLOOKUP(VLOOKUP(CC$1,main!$A$3:$I$102,7,FALSE),main!$K$26:$Q$29,3,FALSE),1,0)</f>
        <v>0</v>
      </c>
      <c r="CD96">
        <f>IF(VLOOKUP(CD$1,main!$A$3:$H$102,5,FALSE)-VLOOKUP($A96,main!$A$3:$H$102,6,FALSE)&gt;=main!$D$103+VLOOKUP(VLOOKUP(CD$1,main!$A$3:$I$102,7,FALSE),main!$K$26:$Q$29,3,FALSE),1,0)</f>
        <v>0</v>
      </c>
      <c r="CE96">
        <f>IF(VLOOKUP(CE$1,main!$A$3:$H$102,5,FALSE)-VLOOKUP($A96,main!$A$3:$H$102,6,FALSE)&gt;=main!$D$103+VLOOKUP(VLOOKUP(CE$1,main!$A$3:$I$102,7,FALSE),main!$K$26:$Q$29,3,FALSE),1,0)</f>
        <v>0</v>
      </c>
      <c r="CF96">
        <f>IF(VLOOKUP(CF$1,main!$A$3:$H$102,5,FALSE)-VLOOKUP($A96,main!$A$3:$H$102,6,FALSE)&gt;=main!$D$103+VLOOKUP(VLOOKUP(CF$1,main!$A$3:$I$102,7,FALSE),main!$K$26:$Q$29,3,FALSE),1,0)</f>
        <v>0</v>
      </c>
      <c r="CG96">
        <f>IF(VLOOKUP(CG$1,main!$A$3:$H$102,5,FALSE)-VLOOKUP($A96,main!$A$3:$H$102,6,FALSE)&gt;=main!$D$103+VLOOKUP(VLOOKUP(CG$1,main!$A$3:$I$102,7,FALSE),main!$K$26:$Q$29,3,FALSE),1,0)</f>
        <v>0</v>
      </c>
      <c r="CH96">
        <f>IF(VLOOKUP(CH$1,main!$A$3:$H$102,5,FALSE)-VLOOKUP($A96,main!$A$3:$H$102,6,FALSE)&gt;=main!$D$103+VLOOKUP(VLOOKUP(CH$1,main!$A$3:$I$102,7,FALSE),main!$K$26:$Q$29,3,FALSE),1,0)</f>
        <v>0</v>
      </c>
      <c r="CI96">
        <f>IF(VLOOKUP(CI$1,main!$A$3:$H$102,5,FALSE)-VLOOKUP($A96,main!$A$3:$H$102,6,FALSE)&gt;=main!$D$103+VLOOKUP(VLOOKUP(CI$1,main!$A$3:$I$102,7,FALSE),main!$K$26:$Q$29,3,FALSE),1,0)</f>
        <v>1</v>
      </c>
      <c r="CJ96">
        <f>IF(VLOOKUP(CJ$1,main!$A$3:$H$102,5,FALSE)-VLOOKUP($A96,main!$A$3:$H$102,6,FALSE)&gt;=main!$D$103+VLOOKUP(VLOOKUP(CJ$1,main!$A$3:$I$102,7,FALSE),main!$K$26:$Q$29,3,FALSE),1,0)</f>
        <v>0</v>
      </c>
      <c r="CK96">
        <f>IF(VLOOKUP(CK$1,main!$A$3:$H$102,5,FALSE)-VLOOKUP($A96,main!$A$3:$H$102,6,FALSE)&gt;=main!$D$103+VLOOKUP(VLOOKUP(CK$1,main!$A$3:$I$102,7,FALSE),main!$K$26:$Q$29,3,FALSE),1,0)</f>
        <v>0</v>
      </c>
      <c r="CL96">
        <f>IF(VLOOKUP(CL$1,main!$A$3:$H$102,5,FALSE)-VLOOKUP($A96,main!$A$3:$H$102,6,FALSE)&gt;=main!$D$103+VLOOKUP(VLOOKUP(CL$1,main!$A$3:$I$102,7,FALSE),main!$K$26:$Q$29,3,FALSE),1,0)</f>
        <v>0</v>
      </c>
      <c r="CM96">
        <f>IF(VLOOKUP(CM$1,main!$A$3:$H$102,5,FALSE)-VLOOKUP($A96,main!$A$3:$H$102,6,FALSE)&gt;=main!$D$103+VLOOKUP(VLOOKUP(CM$1,main!$A$3:$I$102,7,FALSE),main!$K$26:$Q$29,3,FALSE),1,0)</f>
        <v>0</v>
      </c>
      <c r="CN96">
        <f>IF(VLOOKUP(CN$1,main!$A$3:$H$102,5,FALSE)-VLOOKUP($A96,main!$A$3:$H$102,6,FALSE)&gt;=main!$D$103+VLOOKUP(VLOOKUP(CN$1,main!$A$3:$I$102,7,FALSE),main!$K$26:$Q$29,3,FALSE),1,0)</f>
        <v>1</v>
      </c>
      <c r="CO96">
        <f>IF(VLOOKUP(CO$1,main!$A$3:$H$102,5,FALSE)-VLOOKUP($A96,main!$A$3:$H$102,6,FALSE)&gt;=main!$D$103+VLOOKUP(VLOOKUP(CO$1,main!$A$3:$I$102,7,FALSE),main!$K$26:$Q$29,3,FALSE),1,0)</f>
        <v>0</v>
      </c>
      <c r="CP96">
        <f>IF(VLOOKUP(CP$1,main!$A$3:$H$102,5,FALSE)-VLOOKUP($A96,main!$A$3:$H$102,6,FALSE)&gt;=main!$D$103+VLOOKUP(VLOOKUP(CP$1,main!$A$3:$I$102,7,FALSE),main!$K$26:$Q$29,3,FALSE),1,0)</f>
        <v>0</v>
      </c>
      <c r="CQ96">
        <f>IF(VLOOKUP(CQ$1,main!$A$3:$H$102,5,FALSE)-VLOOKUP($A96,main!$A$3:$H$102,6,FALSE)&gt;=main!$D$103+VLOOKUP(VLOOKUP(CQ$1,main!$A$3:$I$102,7,FALSE),main!$K$26:$Q$29,3,FALSE),1,0)</f>
        <v>0</v>
      </c>
      <c r="CR96">
        <f>IF(VLOOKUP(CR$1,main!$A$3:$H$102,5,FALSE)-VLOOKUP($A96,main!$A$3:$H$102,6,FALSE)&gt;=main!$D$103+VLOOKUP(VLOOKUP(CR$1,main!$A$3:$I$102,7,FALSE),main!$K$26:$Q$29,3,FALSE),1,0)</f>
        <v>0</v>
      </c>
      <c r="CS96">
        <f>IF(VLOOKUP(CS$1,main!$A$3:$H$102,5,FALSE)-VLOOKUP($A96,main!$A$3:$H$102,6,FALSE)&gt;=main!$D$103+VLOOKUP(VLOOKUP(CS$1,main!$A$3:$I$102,7,FALSE),main!$K$26:$Q$29,3,FALSE),1,0)</f>
        <v>0</v>
      </c>
      <c r="CT96">
        <f>IF(VLOOKUP(CT$1,main!$A$3:$H$102,5,FALSE)-VLOOKUP($A96,main!$A$3:$H$102,6,FALSE)&gt;=main!$D$103+VLOOKUP(VLOOKUP(CT$1,main!$A$3:$I$102,7,FALSE),main!$K$26:$Q$29,3,FALSE),1,0)</f>
        <v>0</v>
      </c>
      <c r="CU96">
        <f>IF(VLOOKUP(CU$1,main!$A$3:$H$102,5,FALSE)-VLOOKUP($A96,main!$A$3:$H$102,6,FALSE)&gt;=main!$D$103+VLOOKUP(VLOOKUP(CU$1,main!$A$3:$I$102,7,FALSE),main!$K$26:$Q$29,3,FALSE),1,0)</f>
        <v>0</v>
      </c>
      <c r="CV96">
        <f>IF(VLOOKUP(CV$1,main!$A$3:$H$102,5,FALSE)-VLOOKUP($A96,main!$A$3:$H$102,6,FALSE)&gt;=main!$D$103+VLOOKUP(VLOOKUP(CV$1,main!$A$3:$I$102,7,FALSE),main!$K$26:$Q$29,3,FALSE),1,0)</f>
        <v>0</v>
      </c>
      <c r="CW96">
        <f>IF(VLOOKUP(CW$1,main!$A$3:$H$102,5,FALSE)-VLOOKUP($A96,main!$A$3:$H$102,6,FALSE)&gt;=main!$D$103+VLOOKUP(VLOOKUP(CW$1,main!$A$3:$I$102,7,FALSE),main!$K$26:$Q$29,3,FALSE),1,0)</f>
        <v>0</v>
      </c>
      <c r="CX96">
        <f>IF(VLOOKUP(CX$1,main!$A$3:$H$102,5,FALSE)-VLOOKUP($A96,main!$A$3:$H$102,6,FALSE)&gt;=main!$D$103+VLOOKUP(VLOOKUP(CX$1,main!$A$3:$I$102,7,FALSE),main!$K$26:$Q$29,3,FALSE),1,0)</f>
        <v>0</v>
      </c>
    </row>
    <row r="97" spans="1:102" x14ac:dyDescent="0.25">
      <c r="A97" s="1">
        <v>95</v>
      </c>
      <c r="B97">
        <v>0</v>
      </c>
      <c r="C97">
        <f>IF(VLOOKUP(C$1,main!$A$3:$H$102,5,FALSE)-VLOOKUP($A97,main!$A$3:$H$102,6,FALSE)&gt;=main!$D$103+VLOOKUP(VLOOKUP(C$1,main!$A$3:$I$102,7,FALSE),main!$K$26:$Q$29,3,FALSE),1,0)</f>
        <v>0</v>
      </c>
      <c r="D97">
        <f>IF(VLOOKUP(D$1,main!$A$3:$H$102,5,FALSE)-VLOOKUP($A97,main!$A$3:$H$102,6,FALSE)&gt;=main!$D$103+VLOOKUP(VLOOKUP(D$1,main!$A$3:$I$102,7,FALSE),main!$K$26:$Q$29,3,FALSE),1,0)</f>
        <v>0</v>
      </c>
      <c r="E97">
        <f>IF(VLOOKUP(E$1,main!$A$3:$H$102,5,FALSE)-VLOOKUP($A97,main!$A$3:$H$102,6,FALSE)&gt;=main!$D$103+VLOOKUP(VLOOKUP(E$1,main!$A$3:$I$102,7,FALSE),main!$K$26:$Q$29,3,FALSE),1,0)</f>
        <v>0</v>
      </c>
      <c r="F97">
        <f>IF(VLOOKUP(F$1,main!$A$3:$H$102,5,FALSE)-VLOOKUP($A97,main!$A$3:$H$102,6,FALSE)&gt;=main!$D$103+VLOOKUP(VLOOKUP(F$1,main!$A$3:$I$102,7,FALSE),main!$K$26:$Q$29,3,FALSE),1,0)</f>
        <v>0</v>
      </c>
      <c r="G97">
        <f>IF(VLOOKUP(G$1,main!$A$3:$H$102,5,FALSE)-VLOOKUP($A97,main!$A$3:$H$102,6,FALSE)&gt;=main!$D$103+VLOOKUP(VLOOKUP(G$1,main!$A$3:$I$102,7,FALSE),main!$K$26:$Q$29,3,FALSE),1,0)</f>
        <v>0</v>
      </c>
      <c r="H97">
        <f>IF(VLOOKUP(H$1,main!$A$3:$H$102,5,FALSE)-VLOOKUP($A97,main!$A$3:$H$102,6,FALSE)&gt;=main!$D$103+VLOOKUP(VLOOKUP(H$1,main!$A$3:$I$102,7,FALSE),main!$K$26:$Q$29,3,FALSE),1,0)</f>
        <v>0</v>
      </c>
      <c r="I97">
        <f>IF(VLOOKUP(I$1,main!$A$3:$H$102,5,FALSE)-VLOOKUP($A97,main!$A$3:$H$102,6,FALSE)&gt;=main!$D$103+VLOOKUP(VLOOKUP(I$1,main!$A$3:$I$102,7,FALSE),main!$K$26:$Q$29,3,FALSE),1,0)</f>
        <v>0</v>
      </c>
      <c r="J97">
        <f>IF(VLOOKUP(J$1,main!$A$3:$H$102,5,FALSE)-VLOOKUP($A97,main!$A$3:$H$102,6,FALSE)&gt;=main!$D$103+VLOOKUP(VLOOKUP(J$1,main!$A$3:$I$102,7,FALSE),main!$K$26:$Q$29,3,FALSE),1,0)</f>
        <v>0</v>
      </c>
      <c r="K97">
        <f>IF(VLOOKUP(K$1,main!$A$3:$H$102,5,FALSE)-VLOOKUP($A97,main!$A$3:$H$102,6,FALSE)&gt;=main!$D$103+VLOOKUP(VLOOKUP(K$1,main!$A$3:$I$102,7,FALSE),main!$K$26:$Q$29,3,FALSE),1,0)</f>
        <v>0</v>
      </c>
      <c r="L97">
        <f>IF(VLOOKUP(L$1,main!$A$3:$H$102,5,FALSE)-VLOOKUP($A97,main!$A$3:$H$102,6,FALSE)&gt;=main!$D$103+VLOOKUP(VLOOKUP(L$1,main!$A$3:$I$102,7,FALSE),main!$K$26:$Q$29,3,FALSE),1,0)</f>
        <v>1</v>
      </c>
      <c r="M97">
        <f>IF(VLOOKUP(M$1,main!$A$3:$H$102,5,FALSE)-VLOOKUP($A97,main!$A$3:$H$102,6,FALSE)&gt;=main!$D$103+VLOOKUP(VLOOKUP(M$1,main!$A$3:$I$102,7,FALSE),main!$K$26:$Q$29,3,FALSE),1,0)</f>
        <v>0</v>
      </c>
      <c r="N97">
        <f>IF(VLOOKUP(N$1,main!$A$3:$H$102,5,FALSE)-VLOOKUP($A97,main!$A$3:$H$102,6,FALSE)&gt;=main!$D$103+VLOOKUP(VLOOKUP(N$1,main!$A$3:$I$102,7,FALSE),main!$K$26:$Q$29,3,FALSE),1,0)</f>
        <v>0</v>
      </c>
      <c r="O97">
        <f>IF(VLOOKUP(O$1,main!$A$3:$H$102,5,FALSE)-VLOOKUP($A97,main!$A$3:$H$102,6,FALSE)&gt;=main!$D$103+VLOOKUP(VLOOKUP(O$1,main!$A$3:$I$102,7,FALSE),main!$K$26:$Q$29,3,FALSE),1,0)</f>
        <v>0</v>
      </c>
      <c r="P97">
        <f>IF(VLOOKUP(P$1,main!$A$3:$H$102,5,FALSE)-VLOOKUP($A97,main!$A$3:$H$102,6,FALSE)&gt;=main!$D$103+VLOOKUP(VLOOKUP(P$1,main!$A$3:$I$102,7,FALSE),main!$K$26:$Q$29,3,FALSE),1,0)</f>
        <v>0</v>
      </c>
      <c r="Q97">
        <f>IF(VLOOKUP(Q$1,main!$A$3:$H$102,5,FALSE)-VLOOKUP($A97,main!$A$3:$H$102,6,FALSE)&gt;=main!$D$103+VLOOKUP(VLOOKUP(Q$1,main!$A$3:$I$102,7,FALSE),main!$K$26:$Q$29,3,FALSE),1,0)</f>
        <v>0</v>
      </c>
      <c r="R97">
        <f>IF(VLOOKUP(R$1,main!$A$3:$H$102,5,FALSE)-VLOOKUP($A97,main!$A$3:$H$102,6,FALSE)&gt;=main!$D$103+VLOOKUP(VLOOKUP(R$1,main!$A$3:$I$102,7,FALSE),main!$K$26:$Q$29,3,FALSE),1,0)</f>
        <v>0</v>
      </c>
      <c r="S97">
        <f>IF(VLOOKUP(S$1,main!$A$3:$H$102,5,FALSE)-VLOOKUP($A97,main!$A$3:$H$102,6,FALSE)&gt;=main!$D$103+VLOOKUP(VLOOKUP(S$1,main!$A$3:$I$102,7,FALSE),main!$K$26:$Q$29,3,FALSE),1,0)</f>
        <v>0</v>
      </c>
      <c r="T97">
        <f>IF(VLOOKUP(T$1,main!$A$3:$H$102,5,FALSE)-VLOOKUP($A97,main!$A$3:$H$102,6,FALSE)&gt;=main!$D$103+VLOOKUP(VLOOKUP(T$1,main!$A$3:$I$102,7,FALSE),main!$K$26:$Q$29,3,FALSE),1,0)</f>
        <v>0</v>
      </c>
      <c r="U97">
        <f>IF(VLOOKUP(U$1,main!$A$3:$H$102,5,FALSE)-VLOOKUP($A97,main!$A$3:$H$102,6,FALSE)&gt;=main!$D$103+VLOOKUP(VLOOKUP(U$1,main!$A$3:$I$102,7,FALSE),main!$K$26:$Q$29,3,FALSE),1,0)</f>
        <v>0</v>
      </c>
      <c r="V97">
        <f>IF(VLOOKUP(V$1,main!$A$3:$H$102,5,FALSE)-VLOOKUP($A97,main!$A$3:$H$102,6,FALSE)&gt;=main!$D$103+VLOOKUP(VLOOKUP(V$1,main!$A$3:$I$102,7,FALSE),main!$K$26:$Q$29,3,FALSE),1,0)</f>
        <v>1</v>
      </c>
      <c r="W97">
        <f>IF(VLOOKUP(W$1,main!$A$3:$H$102,5,FALSE)-VLOOKUP($A97,main!$A$3:$H$102,6,FALSE)&gt;=main!$D$103+VLOOKUP(VLOOKUP(W$1,main!$A$3:$I$102,7,FALSE),main!$K$26:$Q$29,3,FALSE),1,0)</f>
        <v>0</v>
      </c>
      <c r="X97">
        <f>IF(VLOOKUP(X$1,main!$A$3:$H$102,5,FALSE)-VLOOKUP($A97,main!$A$3:$H$102,6,FALSE)&gt;=main!$D$103+VLOOKUP(VLOOKUP(X$1,main!$A$3:$I$102,7,FALSE),main!$K$26:$Q$29,3,FALSE),1,0)</f>
        <v>0</v>
      </c>
      <c r="Y97">
        <f>IF(VLOOKUP(Y$1,main!$A$3:$H$102,5,FALSE)-VLOOKUP($A97,main!$A$3:$H$102,6,FALSE)&gt;=main!$D$103+VLOOKUP(VLOOKUP(Y$1,main!$A$3:$I$102,7,FALSE),main!$K$26:$Q$29,3,FALSE),1,0)</f>
        <v>0</v>
      </c>
      <c r="Z97">
        <f>IF(VLOOKUP(Z$1,main!$A$3:$H$102,5,FALSE)-VLOOKUP($A97,main!$A$3:$H$102,6,FALSE)&gt;=main!$D$103+VLOOKUP(VLOOKUP(Z$1,main!$A$3:$I$102,7,FALSE),main!$K$26:$Q$29,3,FALSE),1,0)</f>
        <v>0</v>
      </c>
      <c r="AA97">
        <f>IF(VLOOKUP(AA$1,main!$A$3:$H$102,5,FALSE)-VLOOKUP($A97,main!$A$3:$H$102,6,FALSE)&gt;=main!$D$103+VLOOKUP(VLOOKUP(AA$1,main!$A$3:$I$102,7,FALSE),main!$K$26:$Q$29,3,FALSE),1,0)</f>
        <v>0</v>
      </c>
      <c r="AB97">
        <f>IF(VLOOKUP(AB$1,main!$A$3:$H$102,5,FALSE)-VLOOKUP($A97,main!$A$3:$H$102,6,FALSE)&gt;=main!$D$103+VLOOKUP(VLOOKUP(AB$1,main!$A$3:$I$102,7,FALSE),main!$K$26:$Q$29,3,FALSE),1,0)</f>
        <v>0</v>
      </c>
      <c r="AC97">
        <f>IF(VLOOKUP(AC$1,main!$A$3:$H$102,5,FALSE)-VLOOKUP($A97,main!$A$3:$H$102,6,FALSE)&gt;=main!$D$103+VLOOKUP(VLOOKUP(AC$1,main!$A$3:$I$102,7,FALSE),main!$K$26:$Q$29,3,FALSE),1,0)</f>
        <v>0</v>
      </c>
      <c r="AD97">
        <f>IF(VLOOKUP(AD$1,main!$A$3:$H$102,5,FALSE)-VLOOKUP($A97,main!$A$3:$H$102,6,FALSE)&gt;=main!$D$103+VLOOKUP(VLOOKUP(AD$1,main!$A$3:$I$102,7,FALSE),main!$K$26:$Q$29,3,FALSE),1,0)</f>
        <v>0</v>
      </c>
      <c r="AE97">
        <f>IF(VLOOKUP(AE$1,main!$A$3:$H$102,5,FALSE)-VLOOKUP($A97,main!$A$3:$H$102,6,FALSE)&gt;=main!$D$103+VLOOKUP(VLOOKUP(AE$1,main!$A$3:$I$102,7,FALSE),main!$K$26:$Q$29,3,FALSE),1,0)</f>
        <v>0</v>
      </c>
      <c r="AF97">
        <f>IF(VLOOKUP(AF$1,main!$A$3:$H$102,5,FALSE)-VLOOKUP($A97,main!$A$3:$H$102,6,FALSE)&gt;=main!$D$103+VLOOKUP(VLOOKUP(AF$1,main!$A$3:$I$102,7,FALSE),main!$K$26:$Q$29,3,FALSE),1,0)</f>
        <v>0</v>
      </c>
      <c r="AG97">
        <f>IF(VLOOKUP(AG$1,main!$A$3:$H$102,5,FALSE)-VLOOKUP($A97,main!$A$3:$H$102,6,FALSE)&gt;=main!$D$103+VLOOKUP(VLOOKUP(AG$1,main!$A$3:$I$102,7,FALSE),main!$K$26:$Q$29,3,FALSE),1,0)</f>
        <v>0</v>
      </c>
      <c r="AH97">
        <f>IF(VLOOKUP(AH$1,main!$A$3:$H$102,5,FALSE)-VLOOKUP($A97,main!$A$3:$H$102,6,FALSE)&gt;=main!$D$103+VLOOKUP(VLOOKUP(AH$1,main!$A$3:$I$102,7,FALSE),main!$K$26:$Q$29,3,FALSE),1,0)</f>
        <v>0</v>
      </c>
      <c r="AI97">
        <f>IF(VLOOKUP(AI$1,main!$A$3:$H$102,5,FALSE)-VLOOKUP($A97,main!$A$3:$H$102,6,FALSE)&gt;=main!$D$103+VLOOKUP(VLOOKUP(AI$1,main!$A$3:$I$102,7,FALSE),main!$K$26:$Q$29,3,FALSE),1,0)</f>
        <v>0</v>
      </c>
      <c r="AJ97">
        <f>IF(VLOOKUP(AJ$1,main!$A$3:$H$102,5,FALSE)-VLOOKUP($A97,main!$A$3:$H$102,6,FALSE)&gt;=main!$D$103+VLOOKUP(VLOOKUP(AJ$1,main!$A$3:$I$102,7,FALSE),main!$K$26:$Q$29,3,FALSE),1,0)</f>
        <v>0</v>
      </c>
      <c r="AK97">
        <f>IF(VLOOKUP(AK$1,main!$A$3:$H$102,5,FALSE)-VLOOKUP($A97,main!$A$3:$H$102,6,FALSE)&gt;=main!$D$103+VLOOKUP(VLOOKUP(AK$1,main!$A$3:$I$102,7,FALSE),main!$K$26:$Q$29,3,FALSE),1,0)</f>
        <v>0</v>
      </c>
      <c r="AL97">
        <f>IF(VLOOKUP(AL$1,main!$A$3:$H$102,5,FALSE)-VLOOKUP($A97,main!$A$3:$H$102,6,FALSE)&gt;=main!$D$103+VLOOKUP(VLOOKUP(AL$1,main!$A$3:$I$102,7,FALSE),main!$K$26:$Q$29,3,FALSE),1,0)</f>
        <v>0</v>
      </c>
      <c r="AM97">
        <f>IF(VLOOKUP(AM$1,main!$A$3:$H$102,5,FALSE)-VLOOKUP($A97,main!$A$3:$H$102,6,FALSE)&gt;=main!$D$103+VLOOKUP(VLOOKUP(AM$1,main!$A$3:$I$102,7,FALSE),main!$K$26:$Q$29,3,FALSE),1,0)</f>
        <v>0</v>
      </c>
      <c r="AN97">
        <f>IF(VLOOKUP(AN$1,main!$A$3:$H$102,5,FALSE)-VLOOKUP($A97,main!$A$3:$H$102,6,FALSE)&gt;=main!$D$103+VLOOKUP(VLOOKUP(AN$1,main!$A$3:$I$102,7,FALSE),main!$K$26:$Q$29,3,FALSE),1,0)</f>
        <v>0</v>
      </c>
      <c r="AO97">
        <f>IF(VLOOKUP(AO$1,main!$A$3:$H$102,5,FALSE)-VLOOKUP($A97,main!$A$3:$H$102,6,FALSE)&gt;=main!$D$103+VLOOKUP(VLOOKUP(AO$1,main!$A$3:$I$102,7,FALSE),main!$K$26:$Q$29,3,FALSE),1,0)</f>
        <v>0</v>
      </c>
      <c r="AP97">
        <f>IF(VLOOKUP(AP$1,main!$A$3:$H$102,5,FALSE)-VLOOKUP($A97,main!$A$3:$H$102,6,FALSE)&gt;=main!$D$103+VLOOKUP(VLOOKUP(AP$1,main!$A$3:$I$102,7,FALSE),main!$K$26:$Q$29,3,FALSE),1,0)</f>
        <v>1</v>
      </c>
      <c r="AQ97">
        <f>IF(VLOOKUP(AQ$1,main!$A$3:$H$102,5,FALSE)-VLOOKUP($A97,main!$A$3:$H$102,6,FALSE)&gt;=main!$D$103+VLOOKUP(VLOOKUP(AQ$1,main!$A$3:$I$102,7,FALSE),main!$K$26:$Q$29,3,FALSE),1,0)</f>
        <v>0</v>
      </c>
      <c r="AR97">
        <f>IF(VLOOKUP(AR$1,main!$A$3:$H$102,5,FALSE)-VLOOKUP($A97,main!$A$3:$H$102,6,FALSE)&gt;=main!$D$103+VLOOKUP(VLOOKUP(AR$1,main!$A$3:$I$102,7,FALSE),main!$K$26:$Q$29,3,FALSE),1,0)</f>
        <v>0</v>
      </c>
      <c r="AS97">
        <f>IF(VLOOKUP(AS$1,main!$A$3:$H$102,5,FALSE)-VLOOKUP($A97,main!$A$3:$H$102,6,FALSE)&gt;=main!$D$103+VLOOKUP(VLOOKUP(AS$1,main!$A$3:$I$102,7,FALSE),main!$K$26:$Q$29,3,FALSE),1,0)</f>
        <v>0</v>
      </c>
      <c r="AT97">
        <f>IF(VLOOKUP(AT$1,main!$A$3:$H$102,5,FALSE)-VLOOKUP($A97,main!$A$3:$H$102,6,FALSE)&gt;=main!$D$103+VLOOKUP(VLOOKUP(AT$1,main!$A$3:$I$102,7,FALSE),main!$K$26:$Q$29,3,FALSE),1,0)</f>
        <v>0</v>
      </c>
      <c r="AU97">
        <f>IF(VLOOKUP(AU$1,main!$A$3:$H$102,5,FALSE)-VLOOKUP($A97,main!$A$3:$H$102,6,FALSE)&gt;=main!$D$103+VLOOKUP(VLOOKUP(AU$1,main!$A$3:$I$102,7,FALSE),main!$K$26:$Q$29,3,FALSE),1,0)</f>
        <v>0</v>
      </c>
      <c r="AV97">
        <f>IF(VLOOKUP(AV$1,main!$A$3:$H$102,5,FALSE)-VLOOKUP($A97,main!$A$3:$H$102,6,FALSE)&gt;=main!$D$103+VLOOKUP(VLOOKUP(AV$1,main!$A$3:$I$102,7,FALSE),main!$K$26:$Q$29,3,FALSE),1,0)</f>
        <v>0</v>
      </c>
      <c r="AW97">
        <f>IF(VLOOKUP(AW$1,main!$A$3:$H$102,5,FALSE)-VLOOKUP($A97,main!$A$3:$H$102,6,FALSE)&gt;=main!$D$103+VLOOKUP(VLOOKUP(AW$1,main!$A$3:$I$102,7,FALSE),main!$K$26:$Q$29,3,FALSE),1,0)</f>
        <v>0</v>
      </c>
      <c r="AX97">
        <f>IF(VLOOKUP(AX$1,main!$A$3:$H$102,5,FALSE)-VLOOKUP($A97,main!$A$3:$H$102,6,FALSE)&gt;=main!$D$103+VLOOKUP(VLOOKUP(AX$1,main!$A$3:$I$102,7,FALSE),main!$K$26:$Q$29,3,FALSE),1,0)</f>
        <v>0</v>
      </c>
      <c r="AY97">
        <f>IF(VLOOKUP(AY$1,main!$A$3:$H$102,5,FALSE)-VLOOKUP($A97,main!$A$3:$H$102,6,FALSE)&gt;=main!$D$103+VLOOKUP(VLOOKUP(AY$1,main!$A$3:$I$102,7,FALSE),main!$K$26:$Q$29,3,FALSE),1,0)</f>
        <v>0</v>
      </c>
      <c r="AZ97">
        <f>IF(VLOOKUP(AZ$1,main!$A$3:$H$102,5,FALSE)-VLOOKUP($A97,main!$A$3:$H$102,6,FALSE)&gt;=main!$D$103+VLOOKUP(VLOOKUP(AZ$1,main!$A$3:$I$102,7,FALSE),main!$K$26:$Q$29,3,FALSE),1,0)</f>
        <v>0</v>
      </c>
      <c r="BA97">
        <f>IF(VLOOKUP(BA$1,main!$A$3:$H$102,5,FALSE)-VLOOKUP($A97,main!$A$3:$H$102,6,FALSE)&gt;=main!$D$103+VLOOKUP(VLOOKUP(BA$1,main!$A$3:$I$102,7,FALSE),main!$K$26:$Q$29,3,FALSE),1,0)</f>
        <v>0</v>
      </c>
      <c r="BB97">
        <f>IF(VLOOKUP(BB$1,main!$A$3:$H$102,5,FALSE)-VLOOKUP($A97,main!$A$3:$H$102,6,FALSE)&gt;=main!$D$103+VLOOKUP(VLOOKUP(BB$1,main!$A$3:$I$102,7,FALSE),main!$K$26:$Q$29,3,FALSE),1,0)</f>
        <v>0</v>
      </c>
      <c r="BC97">
        <f>IF(VLOOKUP(BC$1,main!$A$3:$H$102,5,FALSE)-VLOOKUP($A97,main!$A$3:$H$102,6,FALSE)&gt;=main!$D$103+VLOOKUP(VLOOKUP(BC$1,main!$A$3:$I$102,7,FALSE),main!$K$26:$Q$29,3,FALSE),1,0)</f>
        <v>0</v>
      </c>
      <c r="BD97">
        <f>IF(VLOOKUP(BD$1,main!$A$3:$H$102,5,FALSE)-VLOOKUP($A97,main!$A$3:$H$102,6,FALSE)&gt;=main!$D$103+VLOOKUP(VLOOKUP(BD$1,main!$A$3:$I$102,7,FALSE),main!$K$26:$Q$29,3,FALSE),1,0)</f>
        <v>0</v>
      </c>
      <c r="BE97">
        <f>IF(VLOOKUP(BE$1,main!$A$3:$H$102,5,FALSE)-VLOOKUP($A97,main!$A$3:$H$102,6,FALSE)&gt;=main!$D$103+VLOOKUP(VLOOKUP(BE$1,main!$A$3:$I$102,7,FALSE),main!$K$26:$Q$29,3,FALSE),1,0)</f>
        <v>0</v>
      </c>
      <c r="BF97">
        <f>IF(VLOOKUP(BF$1,main!$A$3:$H$102,5,FALSE)-VLOOKUP($A97,main!$A$3:$H$102,6,FALSE)&gt;=main!$D$103+VLOOKUP(VLOOKUP(BF$1,main!$A$3:$I$102,7,FALSE),main!$K$26:$Q$29,3,FALSE),1,0)</f>
        <v>0</v>
      </c>
      <c r="BG97">
        <f>IF(VLOOKUP(BG$1,main!$A$3:$H$102,5,FALSE)-VLOOKUP($A97,main!$A$3:$H$102,6,FALSE)&gt;=main!$D$103+VLOOKUP(VLOOKUP(BG$1,main!$A$3:$I$102,7,FALSE),main!$K$26:$Q$29,3,FALSE),1,0)</f>
        <v>0</v>
      </c>
      <c r="BH97">
        <f>IF(VLOOKUP(BH$1,main!$A$3:$H$102,5,FALSE)-VLOOKUP($A97,main!$A$3:$H$102,6,FALSE)&gt;=main!$D$103+VLOOKUP(VLOOKUP(BH$1,main!$A$3:$I$102,7,FALSE),main!$K$26:$Q$29,3,FALSE),1,0)</f>
        <v>0</v>
      </c>
      <c r="BI97">
        <f>IF(VLOOKUP(BI$1,main!$A$3:$H$102,5,FALSE)-VLOOKUP($A97,main!$A$3:$H$102,6,FALSE)&gt;=main!$D$103+VLOOKUP(VLOOKUP(BI$1,main!$A$3:$I$102,7,FALSE),main!$K$26:$Q$29,3,FALSE),1,0)</f>
        <v>1</v>
      </c>
      <c r="BJ97">
        <f>IF(VLOOKUP(BJ$1,main!$A$3:$H$102,5,FALSE)-VLOOKUP($A97,main!$A$3:$H$102,6,FALSE)&gt;=main!$D$103+VLOOKUP(VLOOKUP(BJ$1,main!$A$3:$I$102,7,FALSE),main!$K$26:$Q$29,3,FALSE),1,0)</f>
        <v>0</v>
      </c>
      <c r="BK97">
        <f>IF(VLOOKUP(BK$1,main!$A$3:$H$102,5,FALSE)-VLOOKUP($A97,main!$A$3:$H$102,6,FALSE)&gt;=main!$D$103+VLOOKUP(VLOOKUP(BK$1,main!$A$3:$I$102,7,FALSE),main!$K$26:$Q$29,3,FALSE),1,0)</f>
        <v>0</v>
      </c>
      <c r="BL97">
        <f>IF(VLOOKUP(BL$1,main!$A$3:$H$102,5,FALSE)-VLOOKUP($A97,main!$A$3:$H$102,6,FALSE)&gt;=main!$D$103+VLOOKUP(VLOOKUP(BL$1,main!$A$3:$I$102,7,FALSE),main!$K$26:$Q$29,3,FALSE),1,0)</f>
        <v>0</v>
      </c>
      <c r="BM97">
        <f>IF(VLOOKUP(BM$1,main!$A$3:$H$102,5,FALSE)-VLOOKUP($A97,main!$A$3:$H$102,6,FALSE)&gt;=main!$D$103+VLOOKUP(VLOOKUP(BM$1,main!$A$3:$I$102,7,FALSE),main!$K$26:$Q$29,3,FALSE),1,0)</f>
        <v>0</v>
      </c>
      <c r="BN97">
        <f>IF(VLOOKUP(BN$1,main!$A$3:$H$102,5,FALSE)-VLOOKUP($A97,main!$A$3:$H$102,6,FALSE)&gt;=main!$D$103+VLOOKUP(VLOOKUP(BN$1,main!$A$3:$I$102,7,FALSE),main!$K$26:$Q$29,3,FALSE),1,0)</f>
        <v>0</v>
      </c>
      <c r="BO97">
        <f>IF(VLOOKUP(BO$1,main!$A$3:$H$102,5,FALSE)-VLOOKUP($A97,main!$A$3:$H$102,6,FALSE)&gt;=main!$D$103+VLOOKUP(VLOOKUP(BO$1,main!$A$3:$I$102,7,FALSE),main!$K$26:$Q$29,3,FALSE),1,0)</f>
        <v>0</v>
      </c>
      <c r="BP97">
        <f>IF(VLOOKUP(BP$1,main!$A$3:$H$102,5,FALSE)-VLOOKUP($A97,main!$A$3:$H$102,6,FALSE)&gt;=main!$D$103+VLOOKUP(VLOOKUP(BP$1,main!$A$3:$I$102,7,FALSE),main!$K$26:$Q$29,3,FALSE),1,0)</f>
        <v>0</v>
      </c>
      <c r="BQ97">
        <f>IF(VLOOKUP(BQ$1,main!$A$3:$H$102,5,FALSE)-VLOOKUP($A97,main!$A$3:$H$102,6,FALSE)&gt;=main!$D$103+VLOOKUP(VLOOKUP(BQ$1,main!$A$3:$I$102,7,FALSE),main!$K$26:$Q$29,3,FALSE),1,0)</f>
        <v>0</v>
      </c>
      <c r="BR97">
        <f>IF(VLOOKUP(BR$1,main!$A$3:$H$102,5,FALSE)-VLOOKUP($A97,main!$A$3:$H$102,6,FALSE)&gt;=main!$D$103+VLOOKUP(VLOOKUP(BR$1,main!$A$3:$I$102,7,FALSE),main!$K$26:$Q$29,3,FALSE),1,0)</f>
        <v>0</v>
      </c>
      <c r="BS97">
        <f>IF(VLOOKUP(BS$1,main!$A$3:$H$102,5,FALSE)-VLOOKUP($A97,main!$A$3:$H$102,6,FALSE)&gt;=main!$D$103+VLOOKUP(VLOOKUP(BS$1,main!$A$3:$I$102,7,FALSE),main!$K$26:$Q$29,3,FALSE),1,0)</f>
        <v>0</v>
      </c>
      <c r="BT97">
        <f>IF(VLOOKUP(BT$1,main!$A$3:$H$102,5,FALSE)-VLOOKUP($A97,main!$A$3:$H$102,6,FALSE)&gt;=main!$D$103+VLOOKUP(VLOOKUP(BT$1,main!$A$3:$I$102,7,FALSE),main!$K$26:$Q$29,3,FALSE),1,0)</f>
        <v>0</v>
      </c>
      <c r="BU97">
        <f>IF(VLOOKUP(BU$1,main!$A$3:$H$102,5,FALSE)-VLOOKUP($A97,main!$A$3:$H$102,6,FALSE)&gt;=main!$D$103+VLOOKUP(VLOOKUP(BU$1,main!$A$3:$I$102,7,FALSE),main!$K$26:$Q$29,3,FALSE),1,0)</f>
        <v>0</v>
      </c>
      <c r="BV97">
        <f>IF(VLOOKUP(BV$1,main!$A$3:$H$102,5,FALSE)-VLOOKUP($A97,main!$A$3:$H$102,6,FALSE)&gt;=main!$D$103+VLOOKUP(VLOOKUP(BV$1,main!$A$3:$I$102,7,FALSE),main!$K$26:$Q$29,3,FALSE),1,0)</f>
        <v>0</v>
      </c>
      <c r="BW97">
        <f>IF(VLOOKUP(BW$1,main!$A$3:$H$102,5,FALSE)-VLOOKUP($A97,main!$A$3:$H$102,6,FALSE)&gt;=main!$D$103+VLOOKUP(VLOOKUP(BW$1,main!$A$3:$I$102,7,FALSE),main!$K$26:$Q$29,3,FALSE),1,0)</f>
        <v>0</v>
      </c>
      <c r="BX97">
        <f>IF(VLOOKUP(BX$1,main!$A$3:$H$102,5,FALSE)-VLOOKUP($A97,main!$A$3:$H$102,6,FALSE)&gt;=main!$D$103+VLOOKUP(VLOOKUP(BX$1,main!$A$3:$I$102,7,FALSE),main!$K$26:$Q$29,3,FALSE),1,0)</f>
        <v>0</v>
      </c>
      <c r="BY97">
        <f>IF(VLOOKUP(BY$1,main!$A$3:$H$102,5,FALSE)-VLOOKUP($A97,main!$A$3:$H$102,6,FALSE)&gt;=main!$D$103+VLOOKUP(VLOOKUP(BY$1,main!$A$3:$I$102,7,FALSE),main!$K$26:$Q$29,3,FALSE),1,0)</f>
        <v>0</v>
      </c>
      <c r="BZ97">
        <f>IF(VLOOKUP(BZ$1,main!$A$3:$H$102,5,FALSE)-VLOOKUP($A97,main!$A$3:$H$102,6,FALSE)&gt;=main!$D$103+VLOOKUP(VLOOKUP(BZ$1,main!$A$3:$I$102,7,FALSE),main!$K$26:$Q$29,3,FALSE),1,0)</f>
        <v>0</v>
      </c>
      <c r="CA97">
        <f>IF(VLOOKUP(CA$1,main!$A$3:$H$102,5,FALSE)-VLOOKUP($A97,main!$A$3:$H$102,6,FALSE)&gt;=main!$D$103+VLOOKUP(VLOOKUP(CA$1,main!$A$3:$I$102,7,FALSE),main!$K$26:$Q$29,3,FALSE),1,0)</f>
        <v>0</v>
      </c>
      <c r="CB97">
        <f>IF(VLOOKUP(CB$1,main!$A$3:$H$102,5,FALSE)-VLOOKUP($A97,main!$A$3:$H$102,6,FALSE)&gt;=main!$D$103+VLOOKUP(VLOOKUP(CB$1,main!$A$3:$I$102,7,FALSE),main!$K$26:$Q$29,3,FALSE),1,0)</f>
        <v>0</v>
      </c>
      <c r="CC97">
        <f>IF(VLOOKUP(CC$1,main!$A$3:$H$102,5,FALSE)-VLOOKUP($A97,main!$A$3:$H$102,6,FALSE)&gt;=main!$D$103+VLOOKUP(VLOOKUP(CC$1,main!$A$3:$I$102,7,FALSE),main!$K$26:$Q$29,3,FALSE),1,0)</f>
        <v>0</v>
      </c>
      <c r="CD97">
        <f>IF(VLOOKUP(CD$1,main!$A$3:$H$102,5,FALSE)-VLOOKUP($A97,main!$A$3:$H$102,6,FALSE)&gt;=main!$D$103+VLOOKUP(VLOOKUP(CD$1,main!$A$3:$I$102,7,FALSE),main!$K$26:$Q$29,3,FALSE),1,0)</f>
        <v>0</v>
      </c>
      <c r="CE97">
        <f>IF(VLOOKUP(CE$1,main!$A$3:$H$102,5,FALSE)-VLOOKUP($A97,main!$A$3:$H$102,6,FALSE)&gt;=main!$D$103+VLOOKUP(VLOOKUP(CE$1,main!$A$3:$I$102,7,FALSE),main!$K$26:$Q$29,3,FALSE),1,0)</f>
        <v>0</v>
      </c>
      <c r="CF97">
        <f>IF(VLOOKUP(CF$1,main!$A$3:$H$102,5,FALSE)-VLOOKUP($A97,main!$A$3:$H$102,6,FALSE)&gt;=main!$D$103+VLOOKUP(VLOOKUP(CF$1,main!$A$3:$I$102,7,FALSE),main!$K$26:$Q$29,3,FALSE),1,0)</f>
        <v>0</v>
      </c>
      <c r="CG97">
        <f>IF(VLOOKUP(CG$1,main!$A$3:$H$102,5,FALSE)-VLOOKUP($A97,main!$A$3:$H$102,6,FALSE)&gt;=main!$D$103+VLOOKUP(VLOOKUP(CG$1,main!$A$3:$I$102,7,FALSE),main!$K$26:$Q$29,3,FALSE),1,0)</f>
        <v>0</v>
      </c>
      <c r="CH97">
        <f>IF(VLOOKUP(CH$1,main!$A$3:$H$102,5,FALSE)-VLOOKUP($A97,main!$A$3:$H$102,6,FALSE)&gt;=main!$D$103+VLOOKUP(VLOOKUP(CH$1,main!$A$3:$I$102,7,FALSE),main!$K$26:$Q$29,3,FALSE),1,0)</f>
        <v>0</v>
      </c>
      <c r="CI97">
        <f>IF(VLOOKUP(CI$1,main!$A$3:$H$102,5,FALSE)-VLOOKUP($A97,main!$A$3:$H$102,6,FALSE)&gt;=main!$D$103+VLOOKUP(VLOOKUP(CI$1,main!$A$3:$I$102,7,FALSE),main!$K$26:$Q$29,3,FALSE),1,0)</f>
        <v>1</v>
      </c>
      <c r="CJ97">
        <f>IF(VLOOKUP(CJ$1,main!$A$3:$H$102,5,FALSE)-VLOOKUP($A97,main!$A$3:$H$102,6,FALSE)&gt;=main!$D$103+VLOOKUP(VLOOKUP(CJ$1,main!$A$3:$I$102,7,FALSE),main!$K$26:$Q$29,3,FALSE),1,0)</f>
        <v>0</v>
      </c>
      <c r="CK97">
        <f>IF(VLOOKUP(CK$1,main!$A$3:$H$102,5,FALSE)-VLOOKUP($A97,main!$A$3:$H$102,6,FALSE)&gt;=main!$D$103+VLOOKUP(VLOOKUP(CK$1,main!$A$3:$I$102,7,FALSE),main!$K$26:$Q$29,3,FALSE),1,0)</f>
        <v>0</v>
      </c>
      <c r="CL97">
        <f>IF(VLOOKUP(CL$1,main!$A$3:$H$102,5,FALSE)-VLOOKUP($A97,main!$A$3:$H$102,6,FALSE)&gt;=main!$D$103+VLOOKUP(VLOOKUP(CL$1,main!$A$3:$I$102,7,FALSE),main!$K$26:$Q$29,3,FALSE),1,0)</f>
        <v>0</v>
      </c>
      <c r="CM97">
        <f>IF(VLOOKUP(CM$1,main!$A$3:$H$102,5,FALSE)-VLOOKUP($A97,main!$A$3:$H$102,6,FALSE)&gt;=main!$D$103+VLOOKUP(VLOOKUP(CM$1,main!$A$3:$I$102,7,FALSE),main!$K$26:$Q$29,3,FALSE),1,0)</f>
        <v>0</v>
      </c>
      <c r="CN97">
        <f>IF(VLOOKUP(CN$1,main!$A$3:$H$102,5,FALSE)-VLOOKUP($A97,main!$A$3:$H$102,6,FALSE)&gt;=main!$D$103+VLOOKUP(VLOOKUP(CN$1,main!$A$3:$I$102,7,FALSE),main!$K$26:$Q$29,3,FALSE),1,0)</f>
        <v>1</v>
      </c>
      <c r="CO97">
        <f>IF(VLOOKUP(CO$1,main!$A$3:$H$102,5,FALSE)-VLOOKUP($A97,main!$A$3:$H$102,6,FALSE)&gt;=main!$D$103+VLOOKUP(VLOOKUP(CO$1,main!$A$3:$I$102,7,FALSE),main!$K$26:$Q$29,3,FALSE),1,0)</f>
        <v>0</v>
      </c>
      <c r="CP97">
        <f>IF(VLOOKUP(CP$1,main!$A$3:$H$102,5,FALSE)-VLOOKUP($A97,main!$A$3:$H$102,6,FALSE)&gt;=main!$D$103+VLOOKUP(VLOOKUP(CP$1,main!$A$3:$I$102,7,FALSE),main!$K$26:$Q$29,3,FALSE),1,0)</f>
        <v>0</v>
      </c>
      <c r="CQ97">
        <f>IF(VLOOKUP(CQ$1,main!$A$3:$H$102,5,FALSE)-VLOOKUP($A97,main!$A$3:$H$102,6,FALSE)&gt;=main!$D$103+VLOOKUP(VLOOKUP(CQ$1,main!$A$3:$I$102,7,FALSE),main!$K$26:$Q$29,3,FALSE),1,0)</f>
        <v>0</v>
      </c>
      <c r="CR97">
        <f>IF(VLOOKUP(CR$1,main!$A$3:$H$102,5,FALSE)-VLOOKUP($A97,main!$A$3:$H$102,6,FALSE)&gt;=main!$D$103+VLOOKUP(VLOOKUP(CR$1,main!$A$3:$I$102,7,FALSE),main!$K$26:$Q$29,3,FALSE),1,0)</f>
        <v>0</v>
      </c>
      <c r="CS97">
        <f>IF(VLOOKUP(CS$1,main!$A$3:$H$102,5,FALSE)-VLOOKUP($A97,main!$A$3:$H$102,6,FALSE)&gt;=main!$D$103+VLOOKUP(VLOOKUP(CS$1,main!$A$3:$I$102,7,FALSE),main!$K$26:$Q$29,3,FALSE),1,0)</f>
        <v>0</v>
      </c>
      <c r="CT97">
        <f>IF(VLOOKUP(CT$1,main!$A$3:$H$102,5,FALSE)-VLOOKUP($A97,main!$A$3:$H$102,6,FALSE)&gt;=main!$D$103+VLOOKUP(VLOOKUP(CT$1,main!$A$3:$I$102,7,FALSE),main!$K$26:$Q$29,3,FALSE),1,0)</f>
        <v>0</v>
      </c>
      <c r="CU97">
        <f>IF(VLOOKUP(CU$1,main!$A$3:$H$102,5,FALSE)-VLOOKUP($A97,main!$A$3:$H$102,6,FALSE)&gt;=main!$D$103+VLOOKUP(VLOOKUP(CU$1,main!$A$3:$I$102,7,FALSE),main!$K$26:$Q$29,3,FALSE),1,0)</f>
        <v>0</v>
      </c>
      <c r="CV97">
        <f>IF(VLOOKUP(CV$1,main!$A$3:$H$102,5,FALSE)-VLOOKUP($A97,main!$A$3:$H$102,6,FALSE)&gt;=main!$D$103+VLOOKUP(VLOOKUP(CV$1,main!$A$3:$I$102,7,FALSE),main!$K$26:$Q$29,3,FALSE),1,0)</f>
        <v>0</v>
      </c>
      <c r="CW97">
        <f>IF(VLOOKUP(CW$1,main!$A$3:$H$102,5,FALSE)-VLOOKUP($A97,main!$A$3:$H$102,6,FALSE)&gt;=main!$D$103+VLOOKUP(VLOOKUP(CW$1,main!$A$3:$I$102,7,FALSE),main!$K$26:$Q$29,3,FALSE),1,0)</f>
        <v>0</v>
      </c>
      <c r="CX97">
        <f>IF(VLOOKUP(CX$1,main!$A$3:$H$102,5,FALSE)-VLOOKUP($A97,main!$A$3:$H$102,6,FALSE)&gt;=main!$D$103+VLOOKUP(VLOOKUP(CX$1,main!$A$3:$I$102,7,FALSE),main!$K$26:$Q$29,3,FALSE),1,0)</f>
        <v>0</v>
      </c>
    </row>
    <row r="98" spans="1:102" x14ac:dyDescent="0.25">
      <c r="A98" s="1">
        <v>96</v>
      </c>
      <c r="B98">
        <v>0</v>
      </c>
      <c r="C98">
        <f>IF(VLOOKUP(C$1,main!$A$3:$H$102,5,FALSE)-VLOOKUP($A98,main!$A$3:$H$102,6,FALSE)&gt;=main!$D$103+VLOOKUP(VLOOKUP(C$1,main!$A$3:$I$102,7,FALSE),main!$K$26:$Q$29,3,FALSE),1,0)</f>
        <v>0</v>
      </c>
      <c r="D98">
        <f>IF(VLOOKUP(D$1,main!$A$3:$H$102,5,FALSE)-VLOOKUP($A98,main!$A$3:$H$102,6,FALSE)&gt;=main!$D$103+VLOOKUP(VLOOKUP(D$1,main!$A$3:$I$102,7,FALSE),main!$K$26:$Q$29,3,FALSE),1,0)</f>
        <v>0</v>
      </c>
      <c r="E98">
        <f>IF(VLOOKUP(E$1,main!$A$3:$H$102,5,FALSE)-VLOOKUP($A98,main!$A$3:$H$102,6,FALSE)&gt;=main!$D$103+VLOOKUP(VLOOKUP(E$1,main!$A$3:$I$102,7,FALSE),main!$K$26:$Q$29,3,FALSE),1,0)</f>
        <v>0</v>
      </c>
      <c r="F98">
        <f>IF(VLOOKUP(F$1,main!$A$3:$H$102,5,FALSE)-VLOOKUP($A98,main!$A$3:$H$102,6,FALSE)&gt;=main!$D$103+VLOOKUP(VLOOKUP(F$1,main!$A$3:$I$102,7,FALSE),main!$K$26:$Q$29,3,FALSE),1,0)</f>
        <v>1</v>
      </c>
      <c r="G98">
        <f>IF(VLOOKUP(G$1,main!$A$3:$H$102,5,FALSE)-VLOOKUP($A98,main!$A$3:$H$102,6,FALSE)&gt;=main!$D$103+VLOOKUP(VLOOKUP(G$1,main!$A$3:$I$102,7,FALSE),main!$K$26:$Q$29,3,FALSE),1,0)</f>
        <v>1</v>
      </c>
      <c r="H98">
        <f>IF(VLOOKUP(H$1,main!$A$3:$H$102,5,FALSE)-VLOOKUP($A98,main!$A$3:$H$102,6,FALSE)&gt;=main!$D$103+VLOOKUP(VLOOKUP(H$1,main!$A$3:$I$102,7,FALSE),main!$K$26:$Q$29,3,FALSE),1,0)</f>
        <v>1</v>
      </c>
      <c r="I98">
        <f>IF(VLOOKUP(I$1,main!$A$3:$H$102,5,FALSE)-VLOOKUP($A98,main!$A$3:$H$102,6,FALSE)&gt;=main!$D$103+VLOOKUP(VLOOKUP(I$1,main!$A$3:$I$102,7,FALSE),main!$K$26:$Q$29,3,FALSE),1,0)</f>
        <v>1</v>
      </c>
      <c r="J98">
        <f>IF(VLOOKUP(J$1,main!$A$3:$H$102,5,FALSE)-VLOOKUP($A98,main!$A$3:$H$102,6,FALSE)&gt;=main!$D$103+VLOOKUP(VLOOKUP(J$1,main!$A$3:$I$102,7,FALSE),main!$K$26:$Q$29,3,FALSE),1,0)</f>
        <v>1</v>
      </c>
      <c r="K98">
        <f>IF(VLOOKUP(K$1,main!$A$3:$H$102,5,FALSE)-VLOOKUP($A98,main!$A$3:$H$102,6,FALSE)&gt;=main!$D$103+VLOOKUP(VLOOKUP(K$1,main!$A$3:$I$102,7,FALSE),main!$K$26:$Q$29,3,FALSE),1,0)</f>
        <v>1</v>
      </c>
      <c r="L98">
        <f>IF(VLOOKUP(L$1,main!$A$3:$H$102,5,FALSE)-VLOOKUP($A98,main!$A$3:$H$102,6,FALSE)&gt;=main!$D$103+VLOOKUP(VLOOKUP(L$1,main!$A$3:$I$102,7,FALSE),main!$K$26:$Q$29,3,FALSE),1,0)</f>
        <v>1</v>
      </c>
      <c r="M98">
        <f>IF(VLOOKUP(M$1,main!$A$3:$H$102,5,FALSE)-VLOOKUP($A98,main!$A$3:$H$102,6,FALSE)&gt;=main!$D$103+VLOOKUP(VLOOKUP(M$1,main!$A$3:$I$102,7,FALSE),main!$K$26:$Q$29,3,FALSE),1,0)</f>
        <v>0</v>
      </c>
      <c r="N98">
        <f>IF(VLOOKUP(N$1,main!$A$3:$H$102,5,FALSE)-VLOOKUP($A98,main!$A$3:$H$102,6,FALSE)&gt;=main!$D$103+VLOOKUP(VLOOKUP(N$1,main!$A$3:$I$102,7,FALSE),main!$K$26:$Q$29,3,FALSE),1,0)</f>
        <v>0</v>
      </c>
      <c r="O98">
        <f>IF(VLOOKUP(O$1,main!$A$3:$H$102,5,FALSE)-VLOOKUP($A98,main!$A$3:$H$102,6,FALSE)&gt;=main!$D$103+VLOOKUP(VLOOKUP(O$1,main!$A$3:$I$102,7,FALSE),main!$K$26:$Q$29,3,FALSE),1,0)</f>
        <v>0</v>
      </c>
      <c r="P98">
        <f>IF(VLOOKUP(P$1,main!$A$3:$H$102,5,FALSE)-VLOOKUP($A98,main!$A$3:$H$102,6,FALSE)&gt;=main!$D$103+VLOOKUP(VLOOKUP(P$1,main!$A$3:$I$102,7,FALSE),main!$K$26:$Q$29,3,FALSE),1,0)</f>
        <v>0</v>
      </c>
      <c r="Q98">
        <f>IF(VLOOKUP(Q$1,main!$A$3:$H$102,5,FALSE)-VLOOKUP($A98,main!$A$3:$H$102,6,FALSE)&gt;=main!$D$103+VLOOKUP(VLOOKUP(Q$1,main!$A$3:$I$102,7,FALSE),main!$K$26:$Q$29,3,FALSE),1,0)</f>
        <v>1</v>
      </c>
      <c r="R98">
        <f>IF(VLOOKUP(R$1,main!$A$3:$H$102,5,FALSE)-VLOOKUP($A98,main!$A$3:$H$102,6,FALSE)&gt;=main!$D$103+VLOOKUP(VLOOKUP(R$1,main!$A$3:$I$102,7,FALSE),main!$K$26:$Q$29,3,FALSE),1,0)</f>
        <v>1</v>
      </c>
      <c r="S98">
        <f>IF(VLOOKUP(S$1,main!$A$3:$H$102,5,FALSE)-VLOOKUP($A98,main!$A$3:$H$102,6,FALSE)&gt;=main!$D$103+VLOOKUP(VLOOKUP(S$1,main!$A$3:$I$102,7,FALSE),main!$K$26:$Q$29,3,FALSE),1,0)</f>
        <v>1</v>
      </c>
      <c r="T98">
        <f>IF(VLOOKUP(T$1,main!$A$3:$H$102,5,FALSE)-VLOOKUP($A98,main!$A$3:$H$102,6,FALSE)&gt;=main!$D$103+VLOOKUP(VLOOKUP(T$1,main!$A$3:$I$102,7,FALSE),main!$K$26:$Q$29,3,FALSE),1,0)</f>
        <v>1</v>
      </c>
      <c r="U98">
        <f>IF(VLOOKUP(U$1,main!$A$3:$H$102,5,FALSE)-VLOOKUP($A98,main!$A$3:$H$102,6,FALSE)&gt;=main!$D$103+VLOOKUP(VLOOKUP(U$1,main!$A$3:$I$102,7,FALSE),main!$K$26:$Q$29,3,FALSE),1,0)</f>
        <v>1</v>
      </c>
      <c r="V98">
        <f>IF(VLOOKUP(V$1,main!$A$3:$H$102,5,FALSE)-VLOOKUP($A98,main!$A$3:$H$102,6,FALSE)&gt;=main!$D$103+VLOOKUP(VLOOKUP(V$1,main!$A$3:$I$102,7,FALSE),main!$K$26:$Q$29,3,FALSE),1,0)</f>
        <v>1</v>
      </c>
      <c r="W98">
        <f>IF(VLOOKUP(W$1,main!$A$3:$H$102,5,FALSE)-VLOOKUP($A98,main!$A$3:$H$102,6,FALSE)&gt;=main!$D$103+VLOOKUP(VLOOKUP(W$1,main!$A$3:$I$102,7,FALSE),main!$K$26:$Q$29,3,FALSE),1,0)</f>
        <v>0</v>
      </c>
      <c r="X98">
        <f>IF(VLOOKUP(X$1,main!$A$3:$H$102,5,FALSE)-VLOOKUP($A98,main!$A$3:$H$102,6,FALSE)&gt;=main!$D$103+VLOOKUP(VLOOKUP(X$1,main!$A$3:$I$102,7,FALSE),main!$K$26:$Q$29,3,FALSE),1,0)</f>
        <v>0</v>
      </c>
      <c r="Y98">
        <f>IF(VLOOKUP(Y$1,main!$A$3:$H$102,5,FALSE)-VLOOKUP($A98,main!$A$3:$H$102,6,FALSE)&gt;=main!$D$103+VLOOKUP(VLOOKUP(Y$1,main!$A$3:$I$102,7,FALSE),main!$K$26:$Q$29,3,FALSE),1,0)</f>
        <v>1</v>
      </c>
      <c r="Z98">
        <f>IF(VLOOKUP(Z$1,main!$A$3:$H$102,5,FALSE)-VLOOKUP($A98,main!$A$3:$H$102,6,FALSE)&gt;=main!$D$103+VLOOKUP(VLOOKUP(Z$1,main!$A$3:$I$102,7,FALSE),main!$K$26:$Q$29,3,FALSE),1,0)</f>
        <v>1</v>
      </c>
      <c r="AA98">
        <f>IF(VLOOKUP(AA$1,main!$A$3:$H$102,5,FALSE)-VLOOKUP($A98,main!$A$3:$H$102,6,FALSE)&gt;=main!$D$103+VLOOKUP(VLOOKUP(AA$1,main!$A$3:$I$102,7,FALSE),main!$K$26:$Q$29,3,FALSE),1,0)</f>
        <v>1</v>
      </c>
      <c r="AB98">
        <f>IF(VLOOKUP(AB$1,main!$A$3:$H$102,5,FALSE)-VLOOKUP($A98,main!$A$3:$H$102,6,FALSE)&gt;=main!$D$103+VLOOKUP(VLOOKUP(AB$1,main!$A$3:$I$102,7,FALSE),main!$K$26:$Q$29,3,FALSE),1,0)</f>
        <v>0</v>
      </c>
      <c r="AC98">
        <f>IF(VLOOKUP(AC$1,main!$A$3:$H$102,5,FALSE)-VLOOKUP($A98,main!$A$3:$H$102,6,FALSE)&gt;=main!$D$103+VLOOKUP(VLOOKUP(AC$1,main!$A$3:$I$102,7,FALSE),main!$K$26:$Q$29,3,FALSE),1,0)</f>
        <v>0</v>
      </c>
      <c r="AD98">
        <f>IF(VLOOKUP(AD$1,main!$A$3:$H$102,5,FALSE)-VLOOKUP($A98,main!$A$3:$H$102,6,FALSE)&gt;=main!$D$103+VLOOKUP(VLOOKUP(AD$1,main!$A$3:$I$102,7,FALSE),main!$K$26:$Q$29,3,FALSE),1,0)</f>
        <v>1</v>
      </c>
      <c r="AE98">
        <f>IF(VLOOKUP(AE$1,main!$A$3:$H$102,5,FALSE)-VLOOKUP($A98,main!$A$3:$H$102,6,FALSE)&gt;=main!$D$103+VLOOKUP(VLOOKUP(AE$1,main!$A$3:$I$102,7,FALSE),main!$K$26:$Q$29,3,FALSE),1,0)</f>
        <v>1</v>
      </c>
      <c r="AF98">
        <f>IF(VLOOKUP(AF$1,main!$A$3:$H$102,5,FALSE)-VLOOKUP($A98,main!$A$3:$H$102,6,FALSE)&gt;=main!$D$103+VLOOKUP(VLOOKUP(AF$1,main!$A$3:$I$102,7,FALSE),main!$K$26:$Q$29,3,FALSE),1,0)</f>
        <v>1</v>
      </c>
      <c r="AG98">
        <f>IF(VLOOKUP(AG$1,main!$A$3:$H$102,5,FALSE)-VLOOKUP($A98,main!$A$3:$H$102,6,FALSE)&gt;=main!$D$103+VLOOKUP(VLOOKUP(AG$1,main!$A$3:$I$102,7,FALSE),main!$K$26:$Q$29,3,FALSE),1,0)</f>
        <v>0</v>
      </c>
      <c r="AH98">
        <f>IF(VLOOKUP(AH$1,main!$A$3:$H$102,5,FALSE)-VLOOKUP($A98,main!$A$3:$H$102,6,FALSE)&gt;=main!$D$103+VLOOKUP(VLOOKUP(AH$1,main!$A$3:$I$102,7,FALSE),main!$K$26:$Q$29,3,FALSE),1,0)</f>
        <v>0</v>
      </c>
      <c r="AI98">
        <f>IF(VLOOKUP(AI$1,main!$A$3:$H$102,5,FALSE)-VLOOKUP($A98,main!$A$3:$H$102,6,FALSE)&gt;=main!$D$103+VLOOKUP(VLOOKUP(AI$1,main!$A$3:$I$102,7,FALSE),main!$K$26:$Q$29,3,FALSE),1,0)</f>
        <v>0</v>
      </c>
      <c r="AJ98">
        <f>IF(VLOOKUP(AJ$1,main!$A$3:$H$102,5,FALSE)-VLOOKUP($A98,main!$A$3:$H$102,6,FALSE)&gt;=main!$D$103+VLOOKUP(VLOOKUP(AJ$1,main!$A$3:$I$102,7,FALSE),main!$K$26:$Q$29,3,FALSE),1,0)</f>
        <v>1</v>
      </c>
      <c r="AK98">
        <f>IF(VLOOKUP(AK$1,main!$A$3:$H$102,5,FALSE)-VLOOKUP($A98,main!$A$3:$H$102,6,FALSE)&gt;=main!$D$103+VLOOKUP(VLOOKUP(AK$1,main!$A$3:$I$102,7,FALSE),main!$K$26:$Q$29,3,FALSE),1,0)</f>
        <v>1</v>
      </c>
      <c r="AL98">
        <f>IF(VLOOKUP(AL$1,main!$A$3:$H$102,5,FALSE)-VLOOKUP($A98,main!$A$3:$H$102,6,FALSE)&gt;=main!$D$103+VLOOKUP(VLOOKUP(AL$1,main!$A$3:$I$102,7,FALSE),main!$K$26:$Q$29,3,FALSE),1,0)</f>
        <v>1</v>
      </c>
      <c r="AM98">
        <f>IF(VLOOKUP(AM$1,main!$A$3:$H$102,5,FALSE)-VLOOKUP($A98,main!$A$3:$H$102,6,FALSE)&gt;=main!$D$103+VLOOKUP(VLOOKUP(AM$1,main!$A$3:$I$102,7,FALSE),main!$K$26:$Q$29,3,FALSE),1,0)</f>
        <v>1</v>
      </c>
      <c r="AN98">
        <f>IF(VLOOKUP(AN$1,main!$A$3:$H$102,5,FALSE)-VLOOKUP($A98,main!$A$3:$H$102,6,FALSE)&gt;=main!$D$103+VLOOKUP(VLOOKUP(AN$1,main!$A$3:$I$102,7,FALSE),main!$K$26:$Q$29,3,FALSE),1,0)</f>
        <v>1</v>
      </c>
      <c r="AO98">
        <f>IF(VLOOKUP(AO$1,main!$A$3:$H$102,5,FALSE)-VLOOKUP($A98,main!$A$3:$H$102,6,FALSE)&gt;=main!$D$103+VLOOKUP(VLOOKUP(AO$1,main!$A$3:$I$102,7,FALSE),main!$K$26:$Q$29,3,FALSE),1,0)</f>
        <v>0</v>
      </c>
      <c r="AP98">
        <f>IF(VLOOKUP(AP$1,main!$A$3:$H$102,5,FALSE)-VLOOKUP($A98,main!$A$3:$H$102,6,FALSE)&gt;=main!$D$103+VLOOKUP(VLOOKUP(AP$1,main!$A$3:$I$102,7,FALSE),main!$K$26:$Q$29,3,FALSE),1,0)</f>
        <v>1</v>
      </c>
      <c r="AQ98">
        <f>IF(VLOOKUP(AQ$1,main!$A$3:$H$102,5,FALSE)-VLOOKUP($A98,main!$A$3:$H$102,6,FALSE)&gt;=main!$D$103+VLOOKUP(VLOOKUP(AQ$1,main!$A$3:$I$102,7,FALSE),main!$K$26:$Q$29,3,FALSE),1,0)</f>
        <v>0</v>
      </c>
      <c r="AR98">
        <f>IF(VLOOKUP(AR$1,main!$A$3:$H$102,5,FALSE)-VLOOKUP($A98,main!$A$3:$H$102,6,FALSE)&gt;=main!$D$103+VLOOKUP(VLOOKUP(AR$1,main!$A$3:$I$102,7,FALSE),main!$K$26:$Q$29,3,FALSE),1,0)</f>
        <v>0</v>
      </c>
      <c r="AS98">
        <f>IF(VLOOKUP(AS$1,main!$A$3:$H$102,5,FALSE)-VLOOKUP($A98,main!$A$3:$H$102,6,FALSE)&gt;=main!$D$103+VLOOKUP(VLOOKUP(AS$1,main!$A$3:$I$102,7,FALSE),main!$K$26:$Q$29,3,FALSE),1,0)</f>
        <v>1</v>
      </c>
      <c r="AT98">
        <f>IF(VLOOKUP(AT$1,main!$A$3:$H$102,5,FALSE)-VLOOKUP($A98,main!$A$3:$H$102,6,FALSE)&gt;=main!$D$103+VLOOKUP(VLOOKUP(AT$1,main!$A$3:$I$102,7,FALSE),main!$K$26:$Q$29,3,FALSE),1,0)</f>
        <v>1</v>
      </c>
      <c r="AU98">
        <f>IF(VLOOKUP(AU$1,main!$A$3:$H$102,5,FALSE)-VLOOKUP($A98,main!$A$3:$H$102,6,FALSE)&gt;=main!$D$103+VLOOKUP(VLOOKUP(AU$1,main!$A$3:$I$102,7,FALSE),main!$K$26:$Q$29,3,FALSE),1,0)</f>
        <v>0</v>
      </c>
      <c r="AV98">
        <f>IF(VLOOKUP(AV$1,main!$A$3:$H$102,5,FALSE)-VLOOKUP($A98,main!$A$3:$H$102,6,FALSE)&gt;=main!$D$103+VLOOKUP(VLOOKUP(AV$1,main!$A$3:$I$102,7,FALSE),main!$K$26:$Q$29,3,FALSE),1,0)</f>
        <v>0</v>
      </c>
      <c r="AW98">
        <f>IF(VLOOKUP(AW$1,main!$A$3:$H$102,5,FALSE)-VLOOKUP($A98,main!$A$3:$H$102,6,FALSE)&gt;=main!$D$103+VLOOKUP(VLOOKUP(AW$1,main!$A$3:$I$102,7,FALSE),main!$K$26:$Q$29,3,FALSE),1,0)</f>
        <v>1</v>
      </c>
      <c r="AX98">
        <f>IF(VLOOKUP(AX$1,main!$A$3:$H$102,5,FALSE)-VLOOKUP($A98,main!$A$3:$H$102,6,FALSE)&gt;=main!$D$103+VLOOKUP(VLOOKUP(AX$1,main!$A$3:$I$102,7,FALSE),main!$K$26:$Q$29,3,FALSE),1,0)</f>
        <v>1</v>
      </c>
      <c r="AY98">
        <f>IF(VLOOKUP(AY$1,main!$A$3:$H$102,5,FALSE)-VLOOKUP($A98,main!$A$3:$H$102,6,FALSE)&gt;=main!$D$103+VLOOKUP(VLOOKUP(AY$1,main!$A$3:$I$102,7,FALSE),main!$K$26:$Q$29,3,FALSE),1,0)</f>
        <v>0</v>
      </c>
      <c r="AZ98">
        <f>IF(VLOOKUP(AZ$1,main!$A$3:$H$102,5,FALSE)-VLOOKUP($A98,main!$A$3:$H$102,6,FALSE)&gt;=main!$D$103+VLOOKUP(VLOOKUP(AZ$1,main!$A$3:$I$102,7,FALSE),main!$K$26:$Q$29,3,FALSE),1,0)</f>
        <v>0</v>
      </c>
      <c r="BA98">
        <f>IF(VLOOKUP(BA$1,main!$A$3:$H$102,5,FALSE)-VLOOKUP($A98,main!$A$3:$H$102,6,FALSE)&gt;=main!$D$103+VLOOKUP(VLOOKUP(BA$1,main!$A$3:$I$102,7,FALSE),main!$K$26:$Q$29,3,FALSE),1,0)</f>
        <v>0</v>
      </c>
      <c r="BB98">
        <f>IF(VLOOKUP(BB$1,main!$A$3:$H$102,5,FALSE)-VLOOKUP($A98,main!$A$3:$H$102,6,FALSE)&gt;=main!$D$103+VLOOKUP(VLOOKUP(BB$1,main!$A$3:$I$102,7,FALSE),main!$K$26:$Q$29,3,FALSE),1,0)</f>
        <v>1</v>
      </c>
      <c r="BC98">
        <f>IF(VLOOKUP(BC$1,main!$A$3:$H$102,5,FALSE)-VLOOKUP($A98,main!$A$3:$H$102,6,FALSE)&gt;=main!$D$103+VLOOKUP(VLOOKUP(BC$1,main!$A$3:$I$102,7,FALSE),main!$K$26:$Q$29,3,FALSE),1,0)</f>
        <v>1</v>
      </c>
      <c r="BD98">
        <f>IF(VLOOKUP(BD$1,main!$A$3:$H$102,5,FALSE)-VLOOKUP($A98,main!$A$3:$H$102,6,FALSE)&gt;=main!$D$103+VLOOKUP(VLOOKUP(BD$1,main!$A$3:$I$102,7,FALSE),main!$K$26:$Q$29,3,FALSE),1,0)</f>
        <v>1</v>
      </c>
      <c r="BE98">
        <f>IF(VLOOKUP(BE$1,main!$A$3:$H$102,5,FALSE)-VLOOKUP($A98,main!$A$3:$H$102,6,FALSE)&gt;=main!$D$103+VLOOKUP(VLOOKUP(BE$1,main!$A$3:$I$102,7,FALSE),main!$K$26:$Q$29,3,FALSE),1,0)</f>
        <v>1</v>
      </c>
      <c r="BF98">
        <f>IF(VLOOKUP(BF$1,main!$A$3:$H$102,5,FALSE)-VLOOKUP($A98,main!$A$3:$H$102,6,FALSE)&gt;=main!$D$103+VLOOKUP(VLOOKUP(BF$1,main!$A$3:$I$102,7,FALSE),main!$K$26:$Q$29,3,FALSE),1,0)</f>
        <v>0</v>
      </c>
      <c r="BG98">
        <f>IF(VLOOKUP(BG$1,main!$A$3:$H$102,5,FALSE)-VLOOKUP($A98,main!$A$3:$H$102,6,FALSE)&gt;=main!$D$103+VLOOKUP(VLOOKUP(BG$1,main!$A$3:$I$102,7,FALSE),main!$K$26:$Q$29,3,FALSE),1,0)</f>
        <v>0</v>
      </c>
      <c r="BH98">
        <f>IF(VLOOKUP(BH$1,main!$A$3:$H$102,5,FALSE)-VLOOKUP($A98,main!$A$3:$H$102,6,FALSE)&gt;=main!$D$103+VLOOKUP(VLOOKUP(BH$1,main!$A$3:$I$102,7,FALSE),main!$K$26:$Q$29,3,FALSE),1,0)</f>
        <v>1</v>
      </c>
      <c r="BI98">
        <f>IF(VLOOKUP(BI$1,main!$A$3:$H$102,5,FALSE)-VLOOKUP($A98,main!$A$3:$H$102,6,FALSE)&gt;=main!$D$103+VLOOKUP(VLOOKUP(BI$1,main!$A$3:$I$102,7,FALSE),main!$K$26:$Q$29,3,FALSE),1,0)</f>
        <v>1</v>
      </c>
      <c r="BJ98">
        <f>IF(VLOOKUP(BJ$1,main!$A$3:$H$102,5,FALSE)-VLOOKUP($A98,main!$A$3:$H$102,6,FALSE)&gt;=main!$D$103+VLOOKUP(VLOOKUP(BJ$1,main!$A$3:$I$102,7,FALSE),main!$K$26:$Q$29,3,FALSE),1,0)</f>
        <v>1</v>
      </c>
      <c r="BK98">
        <f>IF(VLOOKUP(BK$1,main!$A$3:$H$102,5,FALSE)-VLOOKUP($A98,main!$A$3:$H$102,6,FALSE)&gt;=main!$D$103+VLOOKUP(VLOOKUP(BK$1,main!$A$3:$I$102,7,FALSE),main!$K$26:$Q$29,3,FALSE),1,0)</f>
        <v>0</v>
      </c>
      <c r="BL98">
        <f>IF(VLOOKUP(BL$1,main!$A$3:$H$102,5,FALSE)-VLOOKUP($A98,main!$A$3:$H$102,6,FALSE)&gt;=main!$D$103+VLOOKUP(VLOOKUP(BL$1,main!$A$3:$I$102,7,FALSE),main!$K$26:$Q$29,3,FALSE),1,0)</f>
        <v>0</v>
      </c>
      <c r="BM98">
        <f>IF(VLOOKUP(BM$1,main!$A$3:$H$102,5,FALSE)-VLOOKUP($A98,main!$A$3:$H$102,6,FALSE)&gt;=main!$D$103+VLOOKUP(VLOOKUP(BM$1,main!$A$3:$I$102,7,FALSE),main!$K$26:$Q$29,3,FALSE),1,0)</f>
        <v>0</v>
      </c>
      <c r="BN98">
        <f>IF(VLOOKUP(BN$1,main!$A$3:$H$102,5,FALSE)-VLOOKUP($A98,main!$A$3:$H$102,6,FALSE)&gt;=main!$D$103+VLOOKUP(VLOOKUP(BN$1,main!$A$3:$I$102,7,FALSE),main!$K$26:$Q$29,3,FALSE),1,0)</f>
        <v>1</v>
      </c>
      <c r="BO98">
        <f>IF(VLOOKUP(BO$1,main!$A$3:$H$102,5,FALSE)-VLOOKUP($A98,main!$A$3:$H$102,6,FALSE)&gt;=main!$D$103+VLOOKUP(VLOOKUP(BO$1,main!$A$3:$I$102,7,FALSE),main!$K$26:$Q$29,3,FALSE),1,0)</f>
        <v>0</v>
      </c>
      <c r="BP98">
        <f>IF(VLOOKUP(BP$1,main!$A$3:$H$102,5,FALSE)-VLOOKUP($A98,main!$A$3:$H$102,6,FALSE)&gt;=main!$D$103+VLOOKUP(VLOOKUP(BP$1,main!$A$3:$I$102,7,FALSE),main!$K$26:$Q$29,3,FALSE),1,0)</f>
        <v>0</v>
      </c>
      <c r="BQ98">
        <f>IF(VLOOKUP(BQ$1,main!$A$3:$H$102,5,FALSE)-VLOOKUP($A98,main!$A$3:$H$102,6,FALSE)&gt;=main!$D$103+VLOOKUP(VLOOKUP(BQ$1,main!$A$3:$I$102,7,FALSE),main!$K$26:$Q$29,3,FALSE),1,0)</f>
        <v>1</v>
      </c>
      <c r="BR98">
        <f>IF(VLOOKUP(BR$1,main!$A$3:$H$102,5,FALSE)-VLOOKUP($A98,main!$A$3:$H$102,6,FALSE)&gt;=main!$D$103+VLOOKUP(VLOOKUP(BR$1,main!$A$3:$I$102,7,FALSE),main!$K$26:$Q$29,3,FALSE),1,0)</f>
        <v>1</v>
      </c>
      <c r="BS98">
        <f>IF(VLOOKUP(BS$1,main!$A$3:$H$102,5,FALSE)-VLOOKUP($A98,main!$A$3:$H$102,6,FALSE)&gt;=main!$D$103+VLOOKUP(VLOOKUP(BS$1,main!$A$3:$I$102,7,FALSE),main!$K$26:$Q$29,3,FALSE),1,0)</f>
        <v>1</v>
      </c>
      <c r="BT98">
        <f>IF(VLOOKUP(BT$1,main!$A$3:$H$102,5,FALSE)-VLOOKUP($A98,main!$A$3:$H$102,6,FALSE)&gt;=main!$D$103+VLOOKUP(VLOOKUP(BT$1,main!$A$3:$I$102,7,FALSE),main!$K$26:$Q$29,3,FALSE),1,0)</f>
        <v>1</v>
      </c>
      <c r="BU98">
        <f>IF(VLOOKUP(BU$1,main!$A$3:$H$102,5,FALSE)-VLOOKUP($A98,main!$A$3:$H$102,6,FALSE)&gt;=main!$D$103+VLOOKUP(VLOOKUP(BU$1,main!$A$3:$I$102,7,FALSE),main!$K$26:$Q$29,3,FALSE),1,0)</f>
        <v>0</v>
      </c>
      <c r="BV98">
        <f>IF(VLOOKUP(BV$1,main!$A$3:$H$102,5,FALSE)-VLOOKUP($A98,main!$A$3:$H$102,6,FALSE)&gt;=main!$D$103+VLOOKUP(VLOOKUP(BV$1,main!$A$3:$I$102,7,FALSE),main!$K$26:$Q$29,3,FALSE),1,0)</f>
        <v>0</v>
      </c>
      <c r="BW98">
        <f>IF(VLOOKUP(BW$1,main!$A$3:$H$102,5,FALSE)-VLOOKUP($A98,main!$A$3:$H$102,6,FALSE)&gt;=main!$D$103+VLOOKUP(VLOOKUP(BW$1,main!$A$3:$I$102,7,FALSE),main!$K$26:$Q$29,3,FALSE),1,0)</f>
        <v>0</v>
      </c>
      <c r="BX98">
        <f>IF(VLOOKUP(BX$1,main!$A$3:$H$102,5,FALSE)-VLOOKUP($A98,main!$A$3:$H$102,6,FALSE)&gt;=main!$D$103+VLOOKUP(VLOOKUP(BX$1,main!$A$3:$I$102,7,FALSE),main!$K$26:$Q$29,3,FALSE),1,0)</f>
        <v>1</v>
      </c>
      <c r="BY98">
        <f>IF(VLOOKUP(BY$1,main!$A$3:$H$102,5,FALSE)-VLOOKUP($A98,main!$A$3:$H$102,6,FALSE)&gt;=main!$D$103+VLOOKUP(VLOOKUP(BY$1,main!$A$3:$I$102,7,FALSE),main!$K$26:$Q$29,3,FALSE),1,0)</f>
        <v>1</v>
      </c>
      <c r="BZ98">
        <f>IF(VLOOKUP(BZ$1,main!$A$3:$H$102,5,FALSE)-VLOOKUP($A98,main!$A$3:$H$102,6,FALSE)&gt;=main!$D$103+VLOOKUP(VLOOKUP(BZ$1,main!$A$3:$I$102,7,FALSE),main!$K$26:$Q$29,3,FALSE),1,0)</f>
        <v>0</v>
      </c>
      <c r="CA98">
        <f>IF(VLOOKUP(CA$1,main!$A$3:$H$102,5,FALSE)-VLOOKUP($A98,main!$A$3:$H$102,6,FALSE)&gt;=main!$D$103+VLOOKUP(VLOOKUP(CA$1,main!$A$3:$I$102,7,FALSE),main!$K$26:$Q$29,3,FALSE),1,0)</f>
        <v>0</v>
      </c>
      <c r="CB98">
        <f>IF(VLOOKUP(CB$1,main!$A$3:$H$102,5,FALSE)-VLOOKUP($A98,main!$A$3:$H$102,6,FALSE)&gt;=main!$D$103+VLOOKUP(VLOOKUP(CB$1,main!$A$3:$I$102,7,FALSE),main!$K$26:$Q$29,3,FALSE),1,0)</f>
        <v>1</v>
      </c>
      <c r="CC98">
        <f>IF(VLOOKUP(CC$1,main!$A$3:$H$102,5,FALSE)-VLOOKUP($A98,main!$A$3:$H$102,6,FALSE)&gt;=main!$D$103+VLOOKUP(VLOOKUP(CC$1,main!$A$3:$I$102,7,FALSE),main!$K$26:$Q$29,3,FALSE),1,0)</f>
        <v>1</v>
      </c>
      <c r="CD98">
        <f>IF(VLOOKUP(CD$1,main!$A$3:$H$102,5,FALSE)-VLOOKUP($A98,main!$A$3:$H$102,6,FALSE)&gt;=main!$D$103+VLOOKUP(VLOOKUP(CD$1,main!$A$3:$I$102,7,FALSE),main!$K$26:$Q$29,3,FALSE),1,0)</f>
        <v>1</v>
      </c>
      <c r="CE98">
        <f>IF(VLOOKUP(CE$1,main!$A$3:$H$102,5,FALSE)-VLOOKUP($A98,main!$A$3:$H$102,6,FALSE)&gt;=main!$D$103+VLOOKUP(VLOOKUP(CE$1,main!$A$3:$I$102,7,FALSE),main!$K$26:$Q$29,3,FALSE),1,0)</f>
        <v>0</v>
      </c>
      <c r="CF98">
        <f>IF(VLOOKUP(CF$1,main!$A$3:$H$102,5,FALSE)-VLOOKUP($A98,main!$A$3:$H$102,6,FALSE)&gt;=main!$D$103+VLOOKUP(VLOOKUP(CF$1,main!$A$3:$I$102,7,FALSE),main!$K$26:$Q$29,3,FALSE),1,0)</f>
        <v>1</v>
      </c>
      <c r="CG98">
        <f>IF(VLOOKUP(CG$1,main!$A$3:$H$102,5,FALSE)-VLOOKUP($A98,main!$A$3:$H$102,6,FALSE)&gt;=main!$D$103+VLOOKUP(VLOOKUP(CG$1,main!$A$3:$I$102,7,FALSE),main!$K$26:$Q$29,3,FALSE),1,0)</f>
        <v>1</v>
      </c>
      <c r="CH98">
        <f>IF(VLOOKUP(CH$1,main!$A$3:$H$102,5,FALSE)-VLOOKUP($A98,main!$A$3:$H$102,6,FALSE)&gt;=main!$D$103+VLOOKUP(VLOOKUP(CH$1,main!$A$3:$I$102,7,FALSE),main!$K$26:$Q$29,3,FALSE),1,0)</f>
        <v>1</v>
      </c>
      <c r="CI98">
        <f>IF(VLOOKUP(CI$1,main!$A$3:$H$102,5,FALSE)-VLOOKUP($A98,main!$A$3:$H$102,6,FALSE)&gt;=main!$D$103+VLOOKUP(VLOOKUP(CI$1,main!$A$3:$I$102,7,FALSE),main!$K$26:$Q$29,3,FALSE),1,0)</f>
        <v>1</v>
      </c>
      <c r="CJ98">
        <f>IF(VLOOKUP(CJ$1,main!$A$3:$H$102,5,FALSE)-VLOOKUP($A98,main!$A$3:$H$102,6,FALSE)&gt;=main!$D$103+VLOOKUP(VLOOKUP(CJ$1,main!$A$3:$I$102,7,FALSE),main!$K$26:$Q$29,3,FALSE),1,0)</f>
        <v>1</v>
      </c>
      <c r="CK98">
        <f>IF(VLOOKUP(CK$1,main!$A$3:$H$102,5,FALSE)-VLOOKUP($A98,main!$A$3:$H$102,6,FALSE)&gt;=main!$D$103+VLOOKUP(VLOOKUP(CK$1,main!$A$3:$I$102,7,FALSE),main!$K$26:$Q$29,3,FALSE),1,0)</f>
        <v>0</v>
      </c>
      <c r="CL98">
        <f>IF(VLOOKUP(CL$1,main!$A$3:$H$102,5,FALSE)-VLOOKUP($A98,main!$A$3:$H$102,6,FALSE)&gt;=main!$D$103+VLOOKUP(VLOOKUP(CL$1,main!$A$3:$I$102,7,FALSE),main!$K$26:$Q$29,3,FALSE),1,0)</f>
        <v>1</v>
      </c>
      <c r="CM98">
        <f>IF(VLOOKUP(CM$1,main!$A$3:$H$102,5,FALSE)-VLOOKUP($A98,main!$A$3:$H$102,6,FALSE)&gt;=main!$D$103+VLOOKUP(VLOOKUP(CM$1,main!$A$3:$I$102,7,FALSE),main!$K$26:$Q$29,3,FALSE),1,0)</f>
        <v>1</v>
      </c>
      <c r="CN98">
        <f>IF(VLOOKUP(CN$1,main!$A$3:$H$102,5,FALSE)-VLOOKUP($A98,main!$A$3:$H$102,6,FALSE)&gt;=main!$D$103+VLOOKUP(VLOOKUP(CN$1,main!$A$3:$I$102,7,FALSE),main!$K$26:$Q$29,3,FALSE),1,0)</f>
        <v>1</v>
      </c>
      <c r="CO98">
        <f>IF(VLOOKUP(CO$1,main!$A$3:$H$102,5,FALSE)-VLOOKUP($A98,main!$A$3:$H$102,6,FALSE)&gt;=main!$D$103+VLOOKUP(VLOOKUP(CO$1,main!$A$3:$I$102,7,FALSE),main!$K$26:$Q$29,3,FALSE),1,0)</f>
        <v>0</v>
      </c>
      <c r="CP98">
        <f>IF(VLOOKUP(CP$1,main!$A$3:$H$102,5,FALSE)-VLOOKUP($A98,main!$A$3:$H$102,6,FALSE)&gt;=main!$D$103+VLOOKUP(VLOOKUP(CP$1,main!$A$3:$I$102,7,FALSE),main!$K$26:$Q$29,3,FALSE),1,0)</f>
        <v>1</v>
      </c>
      <c r="CQ98">
        <f>IF(VLOOKUP(CQ$1,main!$A$3:$H$102,5,FALSE)-VLOOKUP($A98,main!$A$3:$H$102,6,FALSE)&gt;=main!$D$103+VLOOKUP(VLOOKUP(CQ$1,main!$A$3:$I$102,7,FALSE),main!$K$26:$Q$29,3,FALSE),1,0)</f>
        <v>1</v>
      </c>
      <c r="CR98">
        <f>IF(VLOOKUP(CR$1,main!$A$3:$H$102,5,FALSE)-VLOOKUP($A98,main!$A$3:$H$102,6,FALSE)&gt;=main!$D$103+VLOOKUP(VLOOKUP(CR$1,main!$A$3:$I$102,7,FALSE),main!$K$26:$Q$29,3,FALSE),1,0)</f>
        <v>1</v>
      </c>
      <c r="CS98">
        <f>IF(VLOOKUP(CS$1,main!$A$3:$H$102,5,FALSE)-VLOOKUP($A98,main!$A$3:$H$102,6,FALSE)&gt;=main!$D$103+VLOOKUP(VLOOKUP(CS$1,main!$A$3:$I$102,7,FALSE),main!$K$26:$Q$29,3,FALSE),1,0)</f>
        <v>1</v>
      </c>
      <c r="CT98">
        <f>IF(VLOOKUP(CT$1,main!$A$3:$H$102,5,FALSE)-VLOOKUP($A98,main!$A$3:$H$102,6,FALSE)&gt;=main!$D$103+VLOOKUP(VLOOKUP(CT$1,main!$A$3:$I$102,7,FALSE),main!$K$26:$Q$29,3,FALSE),1,0)</f>
        <v>0</v>
      </c>
      <c r="CU98">
        <f>IF(VLOOKUP(CU$1,main!$A$3:$H$102,5,FALSE)-VLOOKUP($A98,main!$A$3:$H$102,6,FALSE)&gt;=main!$D$103+VLOOKUP(VLOOKUP(CU$1,main!$A$3:$I$102,7,FALSE),main!$K$26:$Q$29,3,FALSE),1,0)</f>
        <v>0</v>
      </c>
      <c r="CV98">
        <f>IF(VLOOKUP(CV$1,main!$A$3:$H$102,5,FALSE)-VLOOKUP($A98,main!$A$3:$H$102,6,FALSE)&gt;=main!$D$103+VLOOKUP(VLOOKUP(CV$1,main!$A$3:$I$102,7,FALSE),main!$K$26:$Q$29,3,FALSE),1,0)</f>
        <v>1</v>
      </c>
      <c r="CW98">
        <f>IF(VLOOKUP(CW$1,main!$A$3:$H$102,5,FALSE)-VLOOKUP($A98,main!$A$3:$H$102,6,FALSE)&gt;=main!$D$103+VLOOKUP(VLOOKUP(CW$1,main!$A$3:$I$102,7,FALSE),main!$K$26:$Q$29,3,FALSE),1,0)</f>
        <v>1</v>
      </c>
      <c r="CX98">
        <f>IF(VLOOKUP(CX$1,main!$A$3:$H$102,5,FALSE)-VLOOKUP($A98,main!$A$3:$H$102,6,FALSE)&gt;=main!$D$103+VLOOKUP(VLOOKUP(CX$1,main!$A$3:$I$102,7,FALSE),main!$K$26:$Q$29,3,FALSE),1,0)</f>
        <v>1</v>
      </c>
    </row>
    <row r="99" spans="1:102" x14ac:dyDescent="0.25">
      <c r="A99" s="1">
        <v>97</v>
      </c>
      <c r="B99">
        <v>0</v>
      </c>
      <c r="C99">
        <f>IF(VLOOKUP(C$1,main!$A$3:$H$102,5,FALSE)-VLOOKUP($A99,main!$A$3:$H$102,6,FALSE)&gt;=main!$D$103+VLOOKUP(VLOOKUP(C$1,main!$A$3:$I$102,7,FALSE),main!$K$26:$Q$29,3,FALSE),1,0)</f>
        <v>0</v>
      </c>
      <c r="D99">
        <f>IF(VLOOKUP(D$1,main!$A$3:$H$102,5,FALSE)-VLOOKUP($A99,main!$A$3:$H$102,6,FALSE)&gt;=main!$D$103+VLOOKUP(VLOOKUP(D$1,main!$A$3:$I$102,7,FALSE),main!$K$26:$Q$29,3,FALSE),1,0)</f>
        <v>0</v>
      </c>
      <c r="E99">
        <f>IF(VLOOKUP(E$1,main!$A$3:$H$102,5,FALSE)-VLOOKUP($A99,main!$A$3:$H$102,6,FALSE)&gt;=main!$D$103+VLOOKUP(VLOOKUP(E$1,main!$A$3:$I$102,7,FALSE),main!$K$26:$Q$29,3,FALSE),1,0)</f>
        <v>0</v>
      </c>
      <c r="F99">
        <f>IF(VLOOKUP(F$1,main!$A$3:$H$102,5,FALSE)-VLOOKUP($A99,main!$A$3:$H$102,6,FALSE)&gt;=main!$D$103+VLOOKUP(VLOOKUP(F$1,main!$A$3:$I$102,7,FALSE),main!$K$26:$Q$29,3,FALSE),1,0)</f>
        <v>1</v>
      </c>
      <c r="G99">
        <f>IF(VLOOKUP(G$1,main!$A$3:$H$102,5,FALSE)-VLOOKUP($A99,main!$A$3:$H$102,6,FALSE)&gt;=main!$D$103+VLOOKUP(VLOOKUP(G$1,main!$A$3:$I$102,7,FALSE),main!$K$26:$Q$29,3,FALSE),1,0)</f>
        <v>1</v>
      </c>
      <c r="H99">
        <f>IF(VLOOKUP(H$1,main!$A$3:$H$102,5,FALSE)-VLOOKUP($A99,main!$A$3:$H$102,6,FALSE)&gt;=main!$D$103+VLOOKUP(VLOOKUP(H$1,main!$A$3:$I$102,7,FALSE),main!$K$26:$Q$29,3,FALSE),1,0)</f>
        <v>1</v>
      </c>
      <c r="I99">
        <f>IF(VLOOKUP(I$1,main!$A$3:$H$102,5,FALSE)-VLOOKUP($A99,main!$A$3:$H$102,6,FALSE)&gt;=main!$D$103+VLOOKUP(VLOOKUP(I$1,main!$A$3:$I$102,7,FALSE),main!$K$26:$Q$29,3,FALSE),1,0)</f>
        <v>1</v>
      </c>
      <c r="J99">
        <f>IF(VLOOKUP(J$1,main!$A$3:$H$102,5,FALSE)-VLOOKUP($A99,main!$A$3:$H$102,6,FALSE)&gt;=main!$D$103+VLOOKUP(VLOOKUP(J$1,main!$A$3:$I$102,7,FALSE),main!$K$26:$Q$29,3,FALSE),1,0)</f>
        <v>1</v>
      </c>
      <c r="K99">
        <f>IF(VLOOKUP(K$1,main!$A$3:$H$102,5,FALSE)-VLOOKUP($A99,main!$A$3:$H$102,6,FALSE)&gt;=main!$D$103+VLOOKUP(VLOOKUP(K$1,main!$A$3:$I$102,7,FALSE),main!$K$26:$Q$29,3,FALSE),1,0)</f>
        <v>1</v>
      </c>
      <c r="L99">
        <f>IF(VLOOKUP(L$1,main!$A$3:$H$102,5,FALSE)-VLOOKUP($A99,main!$A$3:$H$102,6,FALSE)&gt;=main!$D$103+VLOOKUP(VLOOKUP(L$1,main!$A$3:$I$102,7,FALSE),main!$K$26:$Q$29,3,FALSE),1,0)</f>
        <v>1</v>
      </c>
      <c r="M99">
        <f>IF(VLOOKUP(M$1,main!$A$3:$H$102,5,FALSE)-VLOOKUP($A99,main!$A$3:$H$102,6,FALSE)&gt;=main!$D$103+VLOOKUP(VLOOKUP(M$1,main!$A$3:$I$102,7,FALSE),main!$K$26:$Q$29,3,FALSE),1,0)</f>
        <v>0</v>
      </c>
      <c r="N99">
        <f>IF(VLOOKUP(N$1,main!$A$3:$H$102,5,FALSE)-VLOOKUP($A99,main!$A$3:$H$102,6,FALSE)&gt;=main!$D$103+VLOOKUP(VLOOKUP(N$1,main!$A$3:$I$102,7,FALSE),main!$K$26:$Q$29,3,FALSE),1,0)</f>
        <v>0</v>
      </c>
      <c r="O99">
        <f>IF(VLOOKUP(O$1,main!$A$3:$H$102,5,FALSE)-VLOOKUP($A99,main!$A$3:$H$102,6,FALSE)&gt;=main!$D$103+VLOOKUP(VLOOKUP(O$1,main!$A$3:$I$102,7,FALSE),main!$K$26:$Q$29,3,FALSE),1,0)</f>
        <v>0</v>
      </c>
      <c r="P99">
        <f>IF(VLOOKUP(P$1,main!$A$3:$H$102,5,FALSE)-VLOOKUP($A99,main!$A$3:$H$102,6,FALSE)&gt;=main!$D$103+VLOOKUP(VLOOKUP(P$1,main!$A$3:$I$102,7,FALSE),main!$K$26:$Q$29,3,FALSE),1,0)</f>
        <v>0</v>
      </c>
      <c r="Q99">
        <f>IF(VLOOKUP(Q$1,main!$A$3:$H$102,5,FALSE)-VLOOKUP($A99,main!$A$3:$H$102,6,FALSE)&gt;=main!$D$103+VLOOKUP(VLOOKUP(Q$1,main!$A$3:$I$102,7,FALSE),main!$K$26:$Q$29,3,FALSE),1,0)</f>
        <v>1</v>
      </c>
      <c r="R99">
        <f>IF(VLOOKUP(R$1,main!$A$3:$H$102,5,FALSE)-VLOOKUP($A99,main!$A$3:$H$102,6,FALSE)&gt;=main!$D$103+VLOOKUP(VLOOKUP(R$1,main!$A$3:$I$102,7,FALSE),main!$K$26:$Q$29,3,FALSE),1,0)</f>
        <v>1</v>
      </c>
      <c r="S99">
        <f>IF(VLOOKUP(S$1,main!$A$3:$H$102,5,FALSE)-VLOOKUP($A99,main!$A$3:$H$102,6,FALSE)&gt;=main!$D$103+VLOOKUP(VLOOKUP(S$1,main!$A$3:$I$102,7,FALSE),main!$K$26:$Q$29,3,FALSE),1,0)</f>
        <v>1</v>
      </c>
      <c r="T99">
        <f>IF(VLOOKUP(T$1,main!$A$3:$H$102,5,FALSE)-VLOOKUP($A99,main!$A$3:$H$102,6,FALSE)&gt;=main!$D$103+VLOOKUP(VLOOKUP(T$1,main!$A$3:$I$102,7,FALSE),main!$K$26:$Q$29,3,FALSE),1,0)</f>
        <v>1</v>
      </c>
      <c r="U99">
        <f>IF(VLOOKUP(U$1,main!$A$3:$H$102,5,FALSE)-VLOOKUP($A99,main!$A$3:$H$102,6,FALSE)&gt;=main!$D$103+VLOOKUP(VLOOKUP(U$1,main!$A$3:$I$102,7,FALSE),main!$K$26:$Q$29,3,FALSE),1,0)</f>
        <v>1</v>
      </c>
      <c r="V99">
        <f>IF(VLOOKUP(V$1,main!$A$3:$H$102,5,FALSE)-VLOOKUP($A99,main!$A$3:$H$102,6,FALSE)&gt;=main!$D$103+VLOOKUP(VLOOKUP(V$1,main!$A$3:$I$102,7,FALSE),main!$K$26:$Q$29,3,FALSE),1,0)</f>
        <v>1</v>
      </c>
      <c r="W99">
        <f>IF(VLOOKUP(W$1,main!$A$3:$H$102,5,FALSE)-VLOOKUP($A99,main!$A$3:$H$102,6,FALSE)&gt;=main!$D$103+VLOOKUP(VLOOKUP(W$1,main!$A$3:$I$102,7,FALSE),main!$K$26:$Q$29,3,FALSE),1,0)</f>
        <v>0</v>
      </c>
      <c r="X99">
        <f>IF(VLOOKUP(X$1,main!$A$3:$H$102,5,FALSE)-VLOOKUP($A99,main!$A$3:$H$102,6,FALSE)&gt;=main!$D$103+VLOOKUP(VLOOKUP(X$1,main!$A$3:$I$102,7,FALSE),main!$K$26:$Q$29,3,FALSE),1,0)</f>
        <v>0</v>
      </c>
      <c r="Y99">
        <f>IF(VLOOKUP(Y$1,main!$A$3:$H$102,5,FALSE)-VLOOKUP($A99,main!$A$3:$H$102,6,FALSE)&gt;=main!$D$103+VLOOKUP(VLOOKUP(Y$1,main!$A$3:$I$102,7,FALSE),main!$K$26:$Q$29,3,FALSE),1,0)</f>
        <v>1</v>
      </c>
      <c r="Z99">
        <f>IF(VLOOKUP(Z$1,main!$A$3:$H$102,5,FALSE)-VLOOKUP($A99,main!$A$3:$H$102,6,FALSE)&gt;=main!$D$103+VLOOKUP(VLOOKUP(Z$1,main!$A$3:$I$102,7,FALSE),main!$K$26:$Q$29,3,FALSE),1,0)</f>
        <v>1</v>
      </c>
      <c r="AA99">
        <f>IF(VLOOKUP(AA$1,main!$A$3:$H$102,5,FALSE)-VLOOKUP($A99,main!$A$3:$H$102,6,FALSE)&gt;=main!$D$103+VLOOKUP(VLOOKUP(AA$1,main!$A$3:$I$102,7,FALSE),main!$K$26:$Q$29,3,FALSE),1,0)</f>
        <v>1</v>
      </c>
      <c r="AB99">
        <f>IF(VLOOKUP(AB$1,main!$A$3:$H$102,5,FALSE)-VLOOKUP($A99,main!$A$3:$H$102,6,FALSE)&gt;=main!$D$103+VLOOKUP(VLOOKUP(AB$1,main!$A$3:$I$102,7,FALSE),main!$K$26:$Q$29,3,FALSE),1,0)</f>
        <v>0</v>
      </c>
      <c r="AC99">
        <f>IF(VLOOKUP(AC$1,main!$A$3:$H$102,5,FALSE)-VLOOKUP($A99,main!$A$3:$H$102,6,FALSE)&gt;=main!$D$103+VLOOKUP(VLOOKUP(AC$1,main!$A$3:$I$102,7,FALSE),main!$K$26:$Q$29,3,FALSE),1,0)</f>
        <v>0</v>
      </c>
      <c r="AD99">
        <f>IF(VLOOKUP(AD$1,main!$A$3:$H$102,5,FALSE)-VLOOKUP($A99,main!$A$3:$H$102,6,FALSE)&gt;=main!$D$103+VLOOKUP(VLOOKUP(AD$1,main!$A$3:$I$102,7,FALSE),main!$K$26:$Q$29,3,FALSE),1,0)</f>
        <v>1</v>
      </c>
      <c r="AE99">
        <f>IF(VLOOKUP(AE$1,main!$A$3:$H$102,5,FALSE)-VLOOKUP($A99,main!$A$3:$H$102,6,FALSE)&gt;=main!$D$103+VLOOKUP(VLOOKUP(AE$1,main!$A$3:$I$102,7,FALSE),main!$K$26:$Q$29,3,FALSE),1,0)</f>
        <v>1</v>
      </c>
      <c r="AF99">
        <f>IF(VLOOKUP(AF$1,main!$A$3:$H$102,5,FALSE)-VLOOKUP($A99,main!$A$3:$H$102,6,FALSE)&gt;=main!$D$103+VLOOKUP(VLOOKUP(AF$1,main!$A$3:$I$102,7,FALSE),main!$K$26:$Q$29,3,FALSE),1,0)</f>
        <v>1</v>
      </c>
      <c r="AG99">
        <f>IF(VLOOKUP(AG$1,main!$A$3:$H$102,5,FALSE)-VLOOKUP($A99,main!$A$3:$H$102,6,FALSE)&gt;=main!$D$103+VLOOKUP(VLOOKUP(AG$1,main!$A$3:$I$102,7,FALSE),main!$K$26:$Q$29,3,FALSE),1,0)</f>
        <v>0</v>
      </c>
      <c r="AH99">
        <f>IF(VLOOKUP(AH$1,main!$A$3:$H$102,5,FALSE)-VLOOKUP($A99,main!$A$3:$H$102,6,FALSE)&gt;=main!$D$103+VLOOKUP(VLOOKUP(AH$1,main!$A$3:$I$102,7,FALSE),main!$K$26:$Q$29,3,FALSE),1,0)</f>
        <v>0</v>
      </c>
      <c r="AI99">
        <f>IF(VLOOKUP(AI$1,main!$A$3:$H$102,5,FALSE)-VLOOKUP($A99,main!$A$3:$H$102,6,FALSE)&gt;=main!$D$103+VLOOKUP(VLOOKUP(AI$1,main!$A$3:$I$102,7,FALSE),main!$K$26:$Q$29,3,FALSE),1,0)</f>
        <v>0</v>
      </c>
      <c r="AJ99">
        <f>IF(VLOOKUP(AJ$1,main!$A$3:$H$102,5,FALSE)-VLOOKUP($A99,main!$A$3:$H$102,6,FALSE)&gt;=main!$D$103+VLOOKUP(VLOOKUP(AJ$1,main!$A$3:$I$102,7,FALSE),main!$K$26:$Q$29,3,FALSE),1,0)</f>
        <v>1</v>
      </c>
      <c r="AK99">
        <f>IF(VLOOKUP(AK$1,main!$A$3:$H$102,5,FALSE)-VLOOKUP($A99,main!$A$3:$H$102,6,FALSE)&gt;=main!$D$103+VLOOKUP(VLOOKUP(AK$1,main!$A$3:$I$102,7,FALSE),main!$K$26:$Q$29,3,FALSE),1,0)</f>
        <v>1</v>
      </c>
      <c r="AL99">
        <f>IF(VLOOKUP(AL$1,main!$A$3:$H$102,5,FALSE)-VLOOKUP($A99,main!$A$3:$H$102,6,FALSE)&gt;=main!$D$103+VLOOKUP(VLOOKUP(AL$1,main!$A$3:$I$102,7,FALSE),main!$K$26:$Q$29,3,FALSE),1,0)</f>
        <v>1</v>
      </c>
      <c r="AM99">
        <f>IF(VLOOKUP(AM$1,main!$A$3:$H$102,5,FALSE)-VLOOKUP($A99,main!$A$3:$H$102,6,FALSE)&gt;=main!$D$103+VLOOKUP(VLOOKUP(AM$1,main!$A$3:$I$102,7,FALSE),main!$K$26:$Q$29,3,FALSE),1,0)</f>
        <v>1</v>
      </c>
      <c r="AN99">
        <f>IF(VLOOKUP(AN$1,main!$A$3:$H$102,5,FALSE)-VLOOKUP($A99,main!$A$3:$H$102,6,FALSE)&gt;=main!$D$103+VLOOKUP(VLOOKUP(AN$1,main!$A$3:$I$102,7,FALSE),main!$K$26:$Q$29,3,FALSE),1,0)</f>
        <v>1</v>
      </c>
      <c r="AO99">
        <f>IF(VLOOKUP(AO$1,main!$A$3:$H$102,5,FALSE)-VLOOKUP($A99,main!$A$3:$H$102,6,FALSE)&gt;=main!$D$103+VLOOKUP(VLOOKUP(AO$1,main!$A$3:$I$102,7,FALSE),main!$K$26:$Q$29,3,FALSE),1,0)</f>
        <v>0</v>
      </c>
      <c r="AP99">
        <f>IF(VLOOKUP(AP$1,main!$A$3:$H$102,5,FALSE)-VLOOKUP($A99,main!$A$3:$H$102,6,FALSE)&gt;=main!$D$103+VLOOKUP(VLOOKUP(AP$1,main!$A$3:$I$102,7,FALSE),main!$K$26:$Q$29,3,FALSE),1,0)</f>
        <v>1</v>
      </c>
      <c r="AQ99">
        <f>IF(VLOOKUP(AQ$1,main!$A$3:$H$102,5,FALSE)-VLOOKUP($A99,main!$A$3:$H$102,6,FALSE)&gt;=main!$D$103+VLOOKUP(VLOOKUP(AQ$1,main!$A$3:$I$102,7,FALSE),main!$K$26:$Q$29,3,FALSE),1,0)</f>
        <v>0</v>
      </c>
      <c r="AR99">
        <f>IF(VLOOKUP(AR$1,main!$A$3:$H$102,5,FALSE)-VLOOKUP($A99,main!$A$3:$H$102,6,FALSE)&gt;=main!$D$103+VLOOKUP(VLOOKUP(AR$1,main!$A$3:$I$102,7,FALSE),main!$K$26:$Q$29,3,FALSE),1,0)</f>
        <v>0</v>
      </c>
      <c r="AS99">
        <f>IF(VLOOKUP(AS$1,main!$A$3:$H$102,5,FALSE)-VLOOKUP($A99,main!$A$3:$H$102,6,FALSE)&gt;=main!$D$103+VLOOKUP(VLOOKUP(AS$1,main!$A$3:$I$102,7,FALSE),main!$K$26:$Q$29,3,FALSE),1,0)</f>
        <v>1</v>
      </c>
      <c r="AT99">
        <f>IF(VLOOKUP(AT$1,main!$A$3:$H$102,5,FALSE)-VLOOKUP($A99,main!$A$3:$H$102,6,FALSE)&gt;=main!$D$103+VLOOKUP(VLOOKUP(AT$1,main!$A$3:$I$102,7,FALSE),main!$K$26:$Q$29,3,FALSE),1,0)</f>
        <v>1</v>
      </c>
      <c r="AU99">
        <f>IF(VLOOKUP(AU$1,main!$A$3:$H$102,5,FALSE)-VLOOKUP($A99,main!$A$3:$H$102,6,FALSE)&gt;=main!$D$103+VLOOKUP(VLOOKUP(AU$1,main!$A$3:$I$102,7,FALSE),main!$K$26:$Q$29,3,FALSE),1,0)</f>
        <v>0</v>
      </c>
      <c r="AV99">
        <f>IF(VLOOKUP(AV$1,main!$A$3:$H$102,5,FALSE)-VLOOKUP($A99,main!$A$3:$H$102,6,FALSE)&gt;=main!$D$103+VLOOKUP(VLOOKUP(AV$1,main!$A$3:$I$102,7,FALSE),main!$K$26:$Q$29,3,FALSE),1,0)</f>
        <v>0</v>
      </c>
      <c r="AW99">
        <f>IF(VLOOKUP(AW$1,main!$A$3:$H$102,5,FALSE)-VLOOKUP($A99,main!$A$3:$H$102,6,FALSE)&gt;=main!$D$103+VLOOKUP(VLOOKUP(AW$1,main!$A$3:$I$102,7,FALSE),main!$K$26:$Q$29,3,FALSE),1,0)</f>
        <v>1</v>
      </c>
      <c r="AX99">
        <f>IF(VLOOKUP(AX$1,main!$A$3:$H$102,5,FALSE)-VLOOKUP($A99,main!$A$3:$H$102,6,FALSE)&gt;=main!$D$103+VLOOKUP(VLOOKUP(AX$1,main!$A$3:$I$102,7,FALSE),main!$K$26:$Q$29,3,FALSE),1,0)</f>
        <v>1</v>
      </c>
      <c r="AY99">
        <f>IF(VLOOKUP(AY$1,main!$A$3:$H$102,5,FALSE)-VLOOKUP($A99,main!$A$3:$H$102,6,FALSE)&gt;=main!$D$103+VLOOKUP(VLOOKUP(AY$1,main!$A$3:$I$102,7,FALSE),main!$K$26:$Q$29,3,FALSE),1,0)</f>
        <v>0</v>
      </c>
      <c r="AZ99">
        <f>IF(VLOOKUP(AZ$1,main!$A$3:$H$102,5,FALSE)-VLOOKUP($A99,main!$A$3:$H$102,6,FALSE)&gt;=main!$D$103+VLOOKUP(VLOOKUP(AZ$1,main!$A$3:$I$102,7,FALSE),main!$K$26:$Q$29,3,FALSE),1,0)</f>
        <v>0</v>
      </c>
      <c r="BA99">
        <f>IF(VLOOKUP(BA$1,main!$A$3:$H$102,5,FALSE)-VLOOKUP($A99,main!$A$3:$H$102,6,FALSE)&gt;=main!$D$103+VLOOKUP(VLOOKUP(BA$1,main!$A$3:$I$102,7,FALSE),main!$K$26:$Q$29,3,FALSE),1,0)</f>
        <v>0</v>
      </c>
      <c r="BB99">
        <f>IF(VLOOKUP(BB$1,main!$A$3:$H$102,5,FALSE)-VLOOKUP($A99,main!$A$3:$H$102,6,FALSE)&gt;=main!$D$103+VLOOKUP(VLOOKUP(BB$1,main!$A$3:$I$102,7,FALSE),main!$K$26:$Q$29,3,FALSE),1,0)</f>
        <v>1</v>
      </c>
      <c r="BC99">
        <f>IF(VLOOKUP(BC$1,main!$A$3:$H$102,5,FALSE)-VLOOKUP($A99,main!$A$3:$H$102,6,FALSE)&gt;=main!$D$103+VLOOKUP(VLOOKUP(BC$1,main!$A$3:$I$102,7,FALSE),main!$K$26:$Q$29,3,FALSE),1,0)</f>
        <v>1</v>
      </c>
      <c r="BD99">
        <f>IF(VLOOKUP(BD$1,main!$A$3:$H$102,5,FALSE)-VLOOKUP($A99,main!$A$3:$H$102,6,FALSE)&gt;=main!$D$103+VLOOKUP(VLOOKUP(BD$1,main!$A$3:$I$102,7,FALSE),main!$K$26:$Q$29,3,FALSE),1,0)</f>
        <v>1</v>
      </c>
      <c r="BE99">
        <f>IF(VLOOKUP(BE$1,main!$A$3:$H$102,5,FALSE)-VLOOKUP($A99,main!$A$3:$H$102,6,FALSE)&gt;=main!$D$103+VLOOKUP(VLOOKUP(BE$1,main!$A$3:$I$102,7,FALSE),main!$K$26:$Q$29,3,FALSE),1,0)</f>
        <v>1</v>
      </c>
      <c r="BF99">
        <f>IF(VLOOKUP(BF$1,main!$A$3:$H$102,5,FALSE)-VLOOKUP($A99,main!$A$3:$H$102,6,FALSE)&gt;=main!$D$103+VLOOKUP(VLOOKUP(BF$1,main!$A$3:$I$102,7,FALSE),main!$K$26:$Q$29,3,FALSE),1,0)</f>
        <v>0</v>
      </c>
      <c r="BG99">
        <f>IF(VLOOKUP(BG$1,main!$A$3:$H$102,5,FALSE)-VLOOKUP($A99,main!$A$3:$H$102,6,FALSE)&gt;=main!$D$103+VLOOKUP(VLOOKUP(BG$1,main!$A$3:$I$102,7,FALSE),main!$K$26:$Q$29,3,FALSE),1,0)</f>
        <v>0</v>
      </c>
      <c r="BH99">
        <f>IF(VLOOKUP(BH$1,main!$A$3:$H$102,5,FALSE)-VLOOKUP($A99,main!$A$3:$H$102,6,FALSE)&gt;=main!$D$103+VLOOKUP(VLOOKUP(BH$1,main!$A$3:$I$102,7,FALSE),main!$K$26:$Q$29,3,FALSE),1,0)</f>
        <v>1</v>
      </c>
      <c r="BI99">
        <f>IF(VLOOKUP(BI$1,main!$A$3:$H$102,5,FALSE)-VLOOKUP($A99,main!$A$3:$H$102,6,FALSE)&gt;=main!$D$103+VLOOKUP(VLOOKUP(BI$1,main!$A$3:$I$102,7,FALSE),main!$K$26:$Q$29,3,FALSE),1,0)</f>
        <v>1</v>
      </c>
      <c r="BJ99">
        <f>IF(VLOOKUP(BJ$1,main!$A$3:$H$102,5,FALSE)-VLOOKUP($A99,main!$A$3:$H$102,6,FALSE)&gt;=main!$D$103+VLOOKUP(VLOOKUP(BJ$1,main!$A$3:$I$102,7,FALSE),main!$K$26:$Q$29,3,FALSE),1,0)</f>
        <v>1</v>
      </c>
      <c r="BK99">
        <f>IF(VLOOKUP(BK$1,main!$A$3:$H$102,5,FALSE)-VLOOKUP($A99,main!$A$3:$H$102,6,FALSE)&gt;=main!$D$103+VLOOKUP(VLOOKUP(BK$1,main!$A$3:$I$102,7,FALSE),main!$K$26:$Q$29,3,FALSE),1,0)</f>
        <v>0</v>
      </c>
      <c r="BL99">
        <f>IF(VLOOKUP(BL$1,main!$A$3:$H$102,5,FALSE)-VLOOKUP($A99,main!$A$3:$H$102,6,FALSE)&gt;=main!$D$103+VLOOKUP(VLOOKUP(BL$1,main!$A$3:$I$102,7,FALSE),main!$K$26:$Q$29,3,FALSE),1,0)</f>
        <v>0</v>
      </c>
      <c r="BM99">
        <f>IF(VLOOKUP(BM$1,main!$A$3:$H$102,5,FALSE)-VLOOKUP($A99,main!$A$3:$H$102,6,FALSE)&gt;=main!$D$103+VLOOKUP(VLOOKUP(BM$1,main!$A$3:$I$102,7,FALSE),main!$K$26:$Q$29,3,FALSE),1,0)</f>
        <v>0</v>
      </c>
      <c r="BN99">
        <f>IF(VLOOKUP(BN$1,main!$A$3:$H$102,5,FALSE)-VLOOKUP($A99,main!$A$3:$H$102,6,FALSE)&gt;=main!$D$103+VLOOKUP(VLOOKUP(BN$1,main!$A$3:$I$102,7,FALSE),main!$K$26:$Q$29,3,FALSE),1,0)</f>
        <v>1</v>
      </c>
      <c r="BO99">
        <f>IF(VLOOKUP(BO$1,main!$A$3:$H$102,5,FALSE)-VLOOKUP($A99,main!$A$3:$H$102,6,FALSE)&gt;=main!$D$103+VLOOKUP(VLOOKUP(BO$1,main!$A$3:$I$102,7,FALSE),main!$K$26:$Q$29,3,FALSE),1,0)</f>
        <v>0</v>
      </c>
      <c r="BP99">
        <f>IF(VLOOKUP(BP$1,main!$A$3:$H$102,5,FALSE)-VLOOKUP($A99,main!$A$3:$H$102,6,FALSE)&gt;=main!$D$103+VLOOKUP(VLOOKUP(BP$1,main!$A$3:$I$102,7,FALSE),main!$K$26:$Q$29,3,FALSE),1,0)</f>
        <v>0</v>
      </c>
      <c r="BQ99">
        <f>IF(VLOOKUP(BQ$1,main!$A$3:$H$102,5,FALSE)-VLOOKUP($A99,main!$A$3:$H$102,6,FALSE)&gt;=main!$D$103+VLOOKUP(VLOOKUP(BQ$1,main!$A$3:$I$102,7,FALSE),main!$K$26:$Q$29,3,FALSE),1,0)</f>
        <v>1</v>
      </c>
      <c r="BR99">
        <f>IF(VLOOKUP(BR$1,main!$A$3:$H$102,5,FALSE)-VLOOKUP($A99,main!$A$3:$H$102,6,FALSE)&gt;=main!$D$103+VLOOKUP(VLOOKUP(BR$1,main!$A$3:$I$102,7,FALSE),main!$K$26:$Q$29,3,FALSE),1,0)</f>
        <v>1</v>
      </c>
      <c r="BS99">
        <f>IF(VLOOKUP(BS$1,main!$A$3:$H$102,5,FALSE)-VLOOKUP($A99,main!$A$3:$H$102,6,FALSE)&gt;=main!$D$103+VLOOKUP(VLOOKUP(BS$1,main!$A$3:$I$102,7,FALSE),main!$K$26:$Q$29,3,FALSE),1,0)</f>
        <v>1</v>
      </c>
      <c r="BT99">
        <f>IF(VLOOKUP(BT$1,main!$A$3:$H$102,5,FALSE)-VLOOKUP($A99,main!$A$3:$H$102,6,FALSE)&gt;=main!$D$103+VLOOKUP(VLOOKUP(BT$1,main!$A$3:$I$102,7,FALSE),main!$K$26:$Q$29,3,FALSE),1,0)</f>
        <v>1</v>
      </c>
      <c r="BU99">
        <f>IF(VLOOKUP(BU$1,main!$A$3:$H$102,5,FALSE)-VLOOKUP($A99,main!$A$3:$H$102,6,FALSE)&gt;=main!$D$103+VLOOKUP(VLOOKUP(BU$1,main!$A$3:$I$102,7,FALSE),main!$K$26:$Q$29,3,FALSE),1,0)</f>
        <v>0</v>
      </c>
      <c r="BV99">
        <f>IF(VLOOKUP(BV$1,main!$A$3:$H$102,5,FALSE)-VLOOKUP($A99,main!$A$3:$H$102,6,FALSE)&gt;=main!$D$103+VLOOKUP(VLOOKUP(BV$1,main!$A$3:$I$102,7,FALSE),main!$K$26:$Q$29,3,FALSE),1,0)</f>
        <v>0</v>
      </c>
      <c r="BW99">
        <f>IF(VLOOKUP(BW$1,main!$A$3:$H$102,5,FALSE)-VLOOKUP($A99,main!$A$3:$H$102,6,FALSE)&gt;=main!$D$103+VLOOKUP(VLOOKUP(BW$1,main!$A$3:$I$102,7,FALSE),main!$K$26:$Q$29,3,FALSE),1,0)</f>
        <v>0</v>
      </c>
      <c r="BX99">
        <f>IF(VLOOKUP(BX$1,main!$A$3:$H$102,5,FALSE)-VLOOKUP($A99,main!$A$3:$H$102,6,FALSE)&gt;=main!$D$103+VLOOKUP(VLOOKUP(BX$1,main!$A$3:$I$102,7,FALSE),main!$K$26:$Q$29,3,FALSE),1,0)</f>
        <v>1</v>
      </c>
      <c r="BY99">
        <f>IF(VLOOKUP(BY$1,main!$A$3:$H$102,5,FALSE)-VLOOKUP($A99,main!$A$3:$H$102,6,FALSE)&gt;=main!$D$103+VLOOKUP(VLOOKUP(BY$1,main!$A$3:$I$102,7,FALSE),main!$K$26:$Q$29,3,FALSE),1,0)</f>
        <v>1</v>
      </c>
      <c r="BZ99">
        <f>IF(VLOOKUP(BZ$1,main!$A$3:$H$102,5,FALSE)-VLOOKUP($A99,main!$A$3:$H$102,6,FALSE)&gt;=main!$D$103+VLOOKUP(VLOOKUP(BZ$1,main!$A$3:$I$102,7,FALSE),main!$K$26:$Q$29,3,FALSE),1,0)</f>
        <v>0</v>
      </c>
      <c r="CA99">
        <f>IF(VLOOKUP(CA$1,main!$A$3:$H$102,5,FALSE)-VLOOKUP($A99,main!$A$3:$H$102,6,FALSE)&gt;=main!$D$103+VLOOKUP(VLOOKUP(CA$1,main!$A$3:$I$102,7,FALSE),main!$K$26:$Q$29,3,FALSE),1,0)</f>
        <v>0</v>
      </c>
      <c r="CB99">
        <f>IF(VLOOKUP(CB$1,main!$A$3:$H$102,5,FALSE)-VLOOKUP($A99,main!$A$3:$H$102,6,FALSE)&gt;=main!$D$103+VLOOKUP(VLOOKUP(CB$1,main!$A$3:$I$102,7,FALSE),main!$K$26:$Q$29,3,FALSE),1,0)</f>
        <v>1</v>
      </c>
      <c r="CC99">
        <f>IF(VLOOKUP(CC$1,main!$A$3:$H$102,5,FALSE)-VLOOKUP($A99,main!$A$3:$H$102,6,FALSE)&gt;=main!$D$103+VLOOKUP(VLOOKUP(CC$1,main!$A$3:$I$102,7,FALSE),main!$K$26:$Q$29,3,FALSE),1,0)</f>
        <v>1</v>
      </c>
      <c r="CD99">
        <f>IF(VLOOKUP(CD$1,main!$A$3:$H$102,5,FALSE)-VLOOKUP($A99,main!$A$3:$H$102,6,FALSE)&gt;=main!$D$103+VLOOKUP(VLOOKUP(CD$1,main!$A$3:$I$102,7,FALSE),main!$K$26:$Q$29,3,FALSE),1,0)</f>
        <v>1</v>
      </c>
      <c r="CE99">
        <f>IF(VLOOKUP(CE$1,main!$A$3:$H$102,5,FALSE)-VLOOKUP($A99,main!$A$3:$H$102,6,FALSE)&gt;=main!$D$103+VLOOKUP(VLOOKUP(CE$1,main!$A$3:$I$102,7,FALSE),main!$K$26:$Q$29,3,FALSE),1,0)</f>
        <v>0</v>
      </c>
      <c r="CF99">
        <f>IF(VLOOKUP(CF$1,main!$A$3:$H$102,5,FALSE)-VLOOKUP($A99,main!$A$3:$H$102,6,FALSE)&gt;=main!$D$103+VLOOKUP(VLOOKUP(CF$1,main!$A$3:$I$102,7,FALSE),main!$K$26:$Q$29,3,FALSE),1,0)</f>
        <v>1</v>
      </c>
      <c r="CG99">
        <f>IF(VLOOKUP(CG$1,main!$A$3:$H$102,5,FALSE)-VLOOKUP($A99,main!$A$3:$H$102,6,FALSE)&gt;=main!$D$103+VLOOKUP(VLOOKUP(CG$1,main!$A$3:$I$102,7,FALSE),main!$K$26:$Q$29,3,FALSE),1,0)</f>
        <v>1</v>
      </c>
      <c r="CH99">
        <f>IF(VLOOKUP(CH$1,main!$A$3:$H$102,5,FALSE)-VLOOKUP($A99,main!$A$3:$H$102,6,FALSE)&gt;=main!$D$103+VLOOKUP(VLOOKUP(CH$1,main!$A$3:$I$102,7,FALSE),main!$K$26:$Q$29,3,FALSE),1,0)</f>
        <v>1</v>
      </c>
      <c r="CI99">
        <f>IF(VLOOKUP(CI$1,main!$A$3:$H$102,5,FALSE)-VLOOKUP($A99,main!$A$3:$H$102,6,FALSE)&gt;=main!$D$103+VLOOKUP(VLOOKUP(CI$1,main!$A$3:$I$102,7,FALSE),main!$K$26:$Q$29,3,FALSE),1,0)</f>
        <v>1</v>
      </c>
      <c r="CJ99">
        <f>IF(VLOOKUP(CJ$1,main!$A$3:$H$102,5,FALSE)-VLOOKUP($A99,main!$A$3:$H$102,6,FALSE)&gt;=main!$D$103+VLOOKUP(VLOOKUP(CJ$1,main!$A$3:$I$102,7,FALSE),main!$K$26:$Q$29,3,FALSE),1,0)</f>
        <v>1</v>
      </c>
      <c r="CK99">
        <f>IF(VLOOKUP(CK$1,main!$A$3:$H$102,5,FALSE)-VLOOKUP($A99,main!$A$3:$H$102,6,FALSE)&gt;=main!$D$103+VLOOKUP(VLOOKUP(CK$1,main!$A$3:$I$102,7,FALSE),main!$K$26:$Q$29,3,FALSE),1,0)</f>
        <v>0</v>
      </c>
      <c r="CL99">
        <f>IF(VLOOKUP(CL$1,main!$A$3:$H$102,5,FALSE)-VLOOKUP($A99,main!$A$3:$H$102,6,FALSE)&gt;=main!$D$103+VLOOKUP(VLOOKUP(CL$1,main!$A$3:$I$102,7,FALSE),main!$K$26:$Q$29,3,FALSE),1,0)</f>
        <v>1</v>
      </c>
      <c r="CM99">
        <f>IF(VLOOKUP(CM$1,main!$A$3:$H$102,5,FALSE)-VLOOKUP($A99,main!$A$3:$H$102,6,FALSE)&gt;=main!$D$103+VLOOKUP(VLOOKUP(CM$1,main!$A$3:$I$102,7,FALSE),main!$K$26:$Q$29,3,FALSE),1,0)</f>
        <v>1</v>
      </c>
      <c r="CN99">
        <f>IF(VLOOKUP(CN$1,main!$A$3:$H$102,5,FALSE)-VLOOKUP($A99,main!$A$3:$H$102,6,FALSE)&gt;=main!$D$103+VLOOKUP(VLOOKUP(CN$1,main!$A$3:$I$102,7,FALSE),main!$K$26:$Q$29,3,FALSE),1,0)</f>
        <v>1</v>
      </c>
      <c r="CO99">
        <f>IF(VLOOKUP(CO$1,main!$A$3:$H$102,5,FALSE)-VLOOKUP($A99,main!$A$3:$H$102,6,FALSE)&gt;=main!$D$103+VLOOKUP(VLOOKUP(CO$1,main!$A$3:$I$102,7,FALSE),main!$K$26:$Q$29,3,FALSE),1,0)</f>
        <v>0</v>
      </c>
      <c r="CP99">
        <f>IF(VLOOKUP(CP$1,main!$A$3:$H$102,5,FALSE)-VLOOKUP($A99,main!$A$3:$H$102,6,FALSE)&gt;=main!$D$103+VLOOKUP(VLOOKUP(CP$1,main!$A$3:$I$102,7,FALSE),main!$K$26:$Q$29,3,FALSE),1,0)</f>
        <v>1</v>
      </c>
      <c r="CQ99">
        <f>IF(VLOOKUP(CQ$1,main!$A$3:$H$102,5,FALSE)-VLOOKUP($A99,main!$A$3:$H$102,6,FALSE)&gt;=main!$D$103+VLOOKUP(VLOOKUP(CQ$1,main!$A$3:$I$102,7,FALSE),main!$K$26:$Q$29,3,FALSE),1,0)</f>
        <v>1</v>
      </c>
      <c r="CR99">
        <f>IF(VLOOKUP(CR$1,main!$A$3:$H$102,5,FALSE)-VLOOKUP($A99,main!$A$3:$H$102,6,FALSE)&gt;=main!$D$103+VLOOKUP(VLOOKUP(CR$1,main!$A$3:$I$102,7,FALSE),main!$K$26:$Q$29,3,FALSE),1,0)</f>
        <v>1</v>
      </c>
      <c r="CS99">
        <f>IF(VLOOKUP(CS$1,main!$A$3:$H$102,5,FALSE)-VLOOKUP($A99,main!$A$3:$H$102,6,FALSE)&gt;=main!$D$103+VLOOKUP(VLOOKUP(CS$1,main!$A$3:$I$102,7,FALSE),main!$K$26:$Q$29,3,FALSE),1,0)</f>
        <v>1</v>
      </c>
      <c r="CT99">
        <f>IF(VLOOKUP(CT$1,main!$A$3:$H$102,5,FALSE)-VLOOKUP($A99,main!$A$3:$H$102,6,FALSE)&gt;=main!$D$103+VLOOKUP(VLOOKUP(CT$1,main!$A$3:$I$102,7,FALSE),main!$K$26:$Q$29,3,FALSE),1,0)</f>
        <v>0</v>
      </c>
      <c r="CU99">
        <f>IF(VLOOKUP(CU$1,main!$A$3:$H$102,5,FALSE)-VLOOKUP($A99,main!$A$3:$H$102,6,FALSE)&gt;=main!$D$103+VLOOKUP(VLOOKUP(CU$1,main!$A$3:$I$102,7,FALSE),main!$K$26:$Q$29,3,FALSE),1,0)</f>
        <v>0</v>
      </c>
      <c r="CV99">
        <f>IF(VLOOKUP(CV$1,main!$A$3:$H$102,5,FALSE)-VLOOKUP($A99,main!$A$3:$H$102,6,FALSE)&gt;=main!$D$103+VLOOKUP(VLOOKUP(CV$1,main!$A$3:$I$102,7,FALSE),main!$K$26:$Q$29,3,FALSE),1,0)</f>
        <v>1</v>
      </c>
      <c r="CW99">
        <f>IF(VLOOKUP(CW$1,main!$A$3:$H$102,5,FALSE)-VLOOKUP($A99,main!$A$3:$H$102,6,FALSE)&gt;=main!$D$103+VLOOKUP(VLOOKUP(CW$1,main!$A$3:$I$102,7,FALSE),main!$K$26:$Q$29,3,FALSE),1,0)</f>
        <v>1</v>
      </c>
      <c r="CX99">
        <f>IF(VLOOKUP(CX$1,main!$A$3:$H$102,5,FALSE)-VLOOKUP($A99,main!$A$3:$H$102,6,FALSE)&gt;=main!$D$103+VLOOKUP(VLOOKUP(CX$1,main!$A$3:$I$102,7,FALSE),main!$K$26:$Q$29,3,FALSE),1,0)</f>
        <v>1</v>
      </c>
    </row>
    <row r="100" spans="1:102" x14ac:dyDescent="0.25">
      <c r="A100" s="1">
        <v>98</v>
      </c>
      <c r="B100">
        <v>0</v>
      </c>
      <c r="C100">
        <f>IF(VLOOKUP(C$1,main!$A$3:$H$102,5,FALSE)-VLOOKUP($A100,main!$A$3:$H$102,6,FALSE)&gt;=main!$D$103+VLOOKUP(VLOOKUP(C$1,main!$A$3:$I$102,7,FALSE),main!$K$26:$Q$29,3,FALSE),1,0)</f>
        <v>0</v>
      </c>
      <c r="D100">
        <f>IF(VLOOKUP(D$1,main!$A$3:$H$102,5,FALSE)-VLOOKUP($A100,main!$A$3:$H$102,6,FALSE)&gt;=main!$D$103+VLOOKUP(VLOOKUP(D$1,main!$A$3:$I$102,7,FALSE),main!$K$26:$Q$29,3,FALSE),1,0)</f>
        <v>0</v>
      </c>
      <c r="E100">
        <f>IF(VLOOKUP(E$1,main!$A$3:$H$102,5,FALSE)-VLOOKUP($A100,main!$A$3:$H$102,6,FALSE)&gt;=main!$D$103+VLOOKUP(VLOOKUP(E$1,main!$A$3:$I$102,7,FALSE),main!$K$26:$Q$29,3,FALSE),1,0)</f>
        <v>0</v>
      </c>
      <c r="F100">
        <f>IF(VLOOKUP(F$1,main!$A$3:$H$102,5,FALSE)-VLOOKUP($A100,main!$A$3:$H$102,6,FALSE)&gt;=main!$D$103+VLOOKUP(VLOOKUP(F$1,main!$A$3:$I$102,7,FALSE),main!$K$26:$Q$29,3,FALSE),1,0)</f>
        <v>0</v>
      </c>
      <c r="G100">
        <f>IF(VLOOKUP(G$1,main!$A$3:$H$102,5,FALSE)-VLOOKUP($A100,main!$A$3:$H$102,6,FALSE)&gt;=main!$D$103+VLOOKUP(VLOOKUP(G$1,main!$A$3:$I$102,7,FALSE),main!$K$26:$Q$29,3,FALSE),1,0)</f>
        <v>0</v>
      </c>
      <c r="H100">
        <f>IF(VLOOKUP(H$1,main!$A$3:$H$102,5,FALSE)-VLOOKUP($A100,main!$A$3:$H$102,6,FALSE)&gt;=main!$D$103+VLOOKUP(VLOOKUP(H$1,main!$A$3:$I$102,7,FALSE),main!$K$26:$Q$29,3,FALSE),1,0)</f>
        <v>0</v>
      </c>
      <c r="I100">
        <f>IF(VLOOKUP(I$1,main!$A$3:$H$102,5,FALSE)-VLOOKUP($A100,main!$A$3:$H$102,6,FALSE)&gt;=main!$D$103+VLOOKUP(VLOOKUP(I$1,main!$A$3:$I$102,7,FALSE),main!$K$26:$Q$29,3,FALSE),1,0)</f>
        <v>1</v>
      </c>
      <c r="J100">
        <f>IF(VLOOKUP(J$1,main!$A$3:$H$102,5,FALSE)-VLOOKUP($A100,main!$A$3:$H$102,6,FALSE)&gt;=main!$D$103+VLOOKUP(VLOOKUP(J$1,main!$A$3:$I$102,7,FALSE),main!$K$26:$Q$29,3,FALSE),1,0)</f>
        <v>1</v>
      </c>
      <c r="K100">
        <f>IF(VLOOKUP(K$1,main!$A$3:$H$102,5,FALSE)-VLOOKUP($A100,main!$A$3:$H$102,6,FALSE)&gt;=main!$D$103+VLOOKUP(VLOOKUP(K$1,main!$A$3:$I$102,7,FALSE),main!$K$26:$Q$29,3,FALSE),1,0)</f>
        <v>1</v>
      </c>
      <c r="L100">
        <f>IF(VLOOKUP(L$1,main!$A$3:$H$102,5,FALSE)-VLOOKUP($A100,main!$A$3:$H$102,6,FALSE)&gt;=main!$D$103+VLOOKUP(VLOOKUP(L$1,main!$A$3:$I$102,7,FALSE),main!$K$26:$Q$29,3,FALSE),1,0)</f>
        <v>1</v>
      </c>
      <c r="M100">
        <f>IF(VLOOKUP(M$1,main!$A$3:$H$102,5,FALSE)-VLOOKUP($A100,main!$A$3:$H$102,6,FALSE)&gt;=main!$D$103+VLOOKUP(VLOOKUP(M$1,main!$A$3:$I$102,7,FALSE),main!$K$26:$Q$29,3,FALSE),1,0)</f>
        <v>0</v>
      </c>
      <c r="N100">
        <f>IF(VLOOKUP(N$1,main!$A$3:$H$102,5,FALSE)-VLOOKUP($A100,main!$A$3:$H$102,6,FALSE)&gt;=main!$D$103+VLOOKUP(VLOOKUP(N$1,main!$A$3:$I$102,7,FALSE),main!$K$26:$Q$29,3,FALSE),1,0)</f>
        <v>0</v>
      </c>
      <c r="O100">
        <f>IF(VLOOKUP(O$1,main!$A$3:$H$102,5,FALSE)-VLOOKUP($A100,main!$A$3:$H$102,6,FALSE)&gt;=main!$D$103+VLOOKUP(VLOOKUP(O$1,main!$A$3:$I$102,7,FALSE),main!$K$26:$Q$29,3,FALSE),1,0)</f>
        <v>0</v>
      </c>
      <c r="P100">
        <f>IF(VLOOKUP(P$1,main!$A$3:$H$102,5,FALSE)-VLOOKUP($A100,main!$A$3:$H$102,6,FALSE)&gt;=main!$D$103+VLOOKUP(VLOOKUP(P$1,main!$A$3:$I$102,7,FALSE),main!$K$26:$Q$29,3,FALSE),1,0)</f>
        <v>0</v>
      </c>
      <c r="Q100">
        <f>IF(VLOOKUP(Q$1,main!$A$3:$H$102,5,FALSE)-VLOOKUP($A100,main!$A$3:$H$102,6,FALSE)&gt;=main!$D$103+VLOOKUP(VLOOKUP(Q$1,main!$A$3:$I$102,7,FALSE),main!$K$26:$Q$29,3,FALSE),1,0)</f>
        <v>0</v>
      </c>
      <c r="R100">
        <f>IF(VLOOKUP(R$1,main!$A$3:$H$102,5,FALSE)-VLOOKUP($A100,main!$A$3:$H$102,6,FALSE)&gt;=main!$D$103+VLOOKUP(VLOOKUP(R$1,main!$A$3:$I$102,7,FALSE),main!$K$26:$Q$29,3,FALSE),1,0)</f>
        <v>0</v>
      </c>
      <c r="S100">
        <f>IF(VLOOKUP(S$1,main!$A$3:$H$102,5,FALSE)-VLOOKUP($A100,main!$A$3:$H$102,6,FALSE)&gt;=main!$D$103+VLOOKUP(VLOOKUP(S$1,main!$A$3:$I$102,7,FALSE),main!$K$26:$Q$29,3,FALSE),1,0)</f>
        <v>0</v>
      </c>
      <c r="T100">
        <f>IF(VLOOKUP(T$1,main!$A$3:$H$102,5,FALSE)-VLOOKUP($A100,main!$A$3:$H$102,6,FALSE)&gt;=main!$D$103+VLOOKUP(VLOOKUP(T$1,main!$A$3:$I$102,7,FALSE),main!$K$26:$Q$29,3,FALSE),1,0)</f>
        <v>1</v>
      </c>
      <c r="U100">
        <f>IF(VLOOKUP(U$1,main!$A$3:$H$102,5,FALSE)-VLOOKUP($A100,main!$A$3:$H$102,6,FALSE)&gt;=main!$D$103+VLOOKUP(VLOOKUP(U$1,main!$A$3:$I$102,7,FALSE),main!$K$26:$Q$29,3,FALSE),1,0)</f>
        <v>1</v>
      </c>
      <c r="V100">
        <f>IF(VLOOKUP(V$1,main!$A$3:$H$102,5,FALSE)-VLOOKUP($A100,main!$A$3:$H$102,6,FALSE)&gt;=main!$D$103+VLOOKUP(VLOOKUP(V$1,main!$A$3:$I$102,7,FALSE),main!$K$26:$Q$29,3,FALSE),1,0)</f>
        <v>1</v>
      </c>
      <c r="W100">
        <f>IF(VLOOKUP(W$1,main!$A$3:$H$102,5,FALSE)-VLOOKUP($A100,main!$A$3:$H$102,6,FALSE)&gt;=main!$D$103+VLOOKUP(VLOOKUP(W$1,main!$A$3:$I$102,7,FALSE),main!$K$26:$Q$29,3,FALSE),1,0)</f>
        <v>0</v>
      </c>
      <c r="X100">
        <f>IF(VLOOKUP(X$1,main!$A$3:$H$102,5,FALSE)-VLOOKUP($A100,main!$A$3:$H$102,6,FALSE)&gt;=main!$D$103+VLOOKUP(VLOOKUP(X$1,main!$A$3:$I$102,7,FALSE),main!$K$26:$Q$29,3,FALSE),1,0)</f>
        <v>0</v>
      </c>
      <c r="Y100">
        <f>IF(VLOOKUP(Y$1,main!$A$3:$H$102,5,FALSE)-VLOOKUP($A100,main!$A$3:$H$102,6,FALSE)&gt;=main!$D$103+VLOOKUP(VLOOKUP(Y$1,main!$A$3:$I$102,7,FALSE),main!$K$26:$Q$29,3,FALSE),1,0)</f>
        <v>0</v>
      </c>
      <c r="Z100">
        <f>IF(VLOOKUP(Z$1,main!$A$3:$H$102,5,FALSE)-VLOOKUP($A100,main!$A$3:$H$102,6,FALSE)&gt;=main!$D$103+VLOOKUP(VLOOKUP(Z$1,main!$A$3:$I$102,7,FALSE),main!$K$26:$Q$29,3,FALSE),1,0)</f>
        <v>1</v>
      </c>
      <c r="AA100">
        <f>IF(VLOOKUP(AA$1,main!$A$3:$H$102,5,FALSE)-VLOOKUP($A100,main!$A$3:$H$102,6,FALSE)&gt;=main!$D$103+VLOOKUP(VLOOKUP(AA$1,main!$A$3:$I$102,7,FALSE),main!$K$26:$Q$29,3,FALSE),1,0)</f>
        <v>1</v>
      </c>
      <c r="AB100">
        <f>IF(VLOOKUP(AB$1,main!$A$3:$H$102,5,FALSE)-VLOOKUP($A100,main!$A$3:$H$102,6,FALSE)&gt;=main!$D$103+VLOOKUP(VLOOKUP(AB$1,main!$A$3:$I$102,7,FALSE),main!$K$26:$Q$29,3,FALSE),1,0)</f>
        <v>0</v>
      </c>
      <c r="AC100">
        <f>IF(VLOOKUP(AC$1,main!$A$3:$H$102,5,FALSE)-VLOOKUP($A100,main!$A$3:$H$102,6,FALSE)&gt;=main!$D$103+VLOOKUP(VLOOKUP(AC$1,main!$A$3:$I$102,7,FALSE),main!$K$26:$Q$29,3,FALSE),1,0)</f>
        <v>0</v>
      </c>
      <c r="AD100">
        <f>IF(VLOOKUP(AD$1,main!$A$3:$H$102,5,FALSE)-VLOOKUP($A100,main!$A$3:$H$102,6,FALSE)&gt;=main!$D$103+VLOOKUP(VLOOKUP(AD$1,main!$A$3:$I$102,7,FALSE),main!$K$26:$Q$29,3,FALSE),1,0)</f>
        <v>0</v>
      </c>
      <c r="AE100">
        <f>IF(VLOOKUP(AE$1,main!$A$3:$H$102,5,FALSE)-VLOOKUP($A100,main!$A$3:$H$102,6,FALSE)&gt;=main!$D$103+VLOOKUP(VLOOKUP(AE$1,main!$A$3:$I$102,7,FALSE),main!$K$26:$Q$29,3,FALSE),1,0)</f>
        <v>0</v>
      </c>
      <c r="AF100">
        <f>IF(VLOOKUP(AF$1,main!$A$3:$H$102,5,FALSE)-VLOOKUP($A100,main!$A$3:$H$102,6,FALSE)&gt;=main!$D$103+VLOOKUP(VLOOKUP(AF$1,main!$A$3:$I$102,7,FALSE),main!$K$26:$Q$29,3,FALSE),1,0)</f>
        <v>1</v>
      </c>
      <c r="AG100">
        <f>IF(VLOOKUP(AG$1,main!$A$3:$H$102,5,FALSE)-VLOOKUP($A100,main!$A$3:$H$102,6,FALSE)&gt;=main!$D$103+VLOOKUP(VLOOKUP(AG$1,main!$A$3:$I$102,7,FALSE),main!$K$26:$Q$29,3,FALSE),1,0)</f>
        <v>0</v>
      </c>
      <c r="AH100">
        <f>IF(VLOOKUP(AH$1,main!$A$3:$H$102,5,FALSE)-VLOOKUP($A100,main!$A$3:$H$102,6,FALSE)&gt;=main!$D$103+VLOOKUP(VLOOKUP(AH$1,main!$A$3:$I$102,7,FALSE),main!$K$26:$Q$29,3,FALSE),1,0)</f>
        <v>0</v>
      </c>
      <c r="AI100">
        <f>IF(VLOOKUP(AI$1,main!$A$3:$H$102,5,FALSE)-VLOOKUP($A100,main!$A$3:$H$102,6,FALSE)&gt;=main!$D$103+VLOOKUP(VLOOKUP(AI$1,main!$A$3:$I$102,7,FALSE),main!$K$26:$Q$29,3,FALSE),1,0)</f>
        <v>0</v>
      </c>
      <c r="AJ100">
        <f>IF(VLOOKUP(AJ$1,main!$A$3:$H$102,5,FALSE)-VLOOKUP($A100,main!$A$3:$H$102,6,FALSE)&gt;=main!$D$103+VLOOKUP(VLOOKUP(AJ$1,main!$A$3:$I$102,7,FALSE),main!$K$26:$Q$29,3,FALSE),1,0)</f>
        <v>0</v>
      </c>
      <c r="AK100">
        <f>IF(VLOOKUP(AK$1,main!$A$3:$H$102,5,FALSE)-VLOOKUP($A100,main!$A$3:$H$102,6,FALSE)&gt;=main!$D$103+VLOOKUP(VLOOKUP(AK$1,main!$A$3:$I$102,7,FALSE),main!$K$26:$Q$29,3,FALSE),1,0)</f>
        <v>0</v>
      </c>
      <c r="AL100">
        <f>IF(VLOOKUP(AL$1,main!$A$3:$H$102,5,FALSE)-VLOOKUP($A100,main!$A$3:$H$102,6,FALSE)&gt;=main!$D$103+VLOOKUP(VLOOKUP(AL$1,main!$A$3:$I$102,7,FALSE),main!$K$26:$Q$29,3,FALSE),1,0)</f>
        <v>1</v>
      </c>
      <c r="AM100">
        <f>IF(VLOOKUP(AM$1,main!$A$3:$H$102,5,FALSE)-VLOOKUP($A100,main!$A$3:$H$102,6,FALSE)&gt;=main!$D$103+VLOOKUP(VLOOKUP(AM$1,main!$A$3:$I$102,7,FALSE),main!$K$26:$Q$29,3,FALSE),1,0)</f>
        <v>1</v>
      </c>
      <c r="AN100">
        <f>IF(VLOOKUP(AN$1,main!$A$3:$H$102,5,FALSE)-VLOOKUP($A100,main!$A$3:$H$102,6,FALSE)&gt;=main!$D$103+VLOOKUP(VLOOKUP(AN$1,main!$A$3:$I$102,7,FALSE),main!$K$26:$Q$29,3,FALSE),1,0)</f>
        <v>1</v>
      </c>
      <c r="AO100">
        <f>IF(VLOOKUP(AO$1,main!$A$3:$H$102,5,FALSE)-VLOOKUP($A100,main!$A$3:$H$102,6,FALSE)&gt;=main!$D$103+VLOOKUP(VLOOKUP(AO$1,main!$A$3:$I$102,7,FALSE),main!$K$26:$Q$29,3,FALSE),1,0)</f>
        <v>0</v>
      </c>
      <c r="AP100">
        <f>IF(VLOOKUP(AP$1,main!$A$3:$H$102,5,FALSE)-VLOOKUP($A100,main!$A$3:$H$102,6,FALSE)&gt;=main!$D$103+VLOOKUP(VLOOKUP(AP$1,main!$A$3:$I$102,7,FALSE),main!$K$26:$Q$29,3,FALSE),1,0)</f>
        <v>1</v>
      </c>
      <c r="AQ100">
        <f>IF(VLOOKUP(AQ$1,main!$A$3:$H$102,5,FALSE)-VLOOKUP($A100,main!$A$3:$H$102,6,FALSE)&gt;=main!$D$103+VLOOKUP(VLOOKUP(AQ$1,main!$A$3:$I$102,7,FALSE),main!$K$26:$Q$29,3,FALSE),1,0)</f>
        <v>0</v>
      </c>
      <c r="AR100">
        <f>IF(VLOOKUP(AR$1,main!$A$3:$H$102,5,FALSE)-VLOOKUP($A100,main!$A$3:$H$102,6,FALSE)&gt;=main!$D$103+VLOOKUP(VLOOKUP(AR$1,main!$A$3:$I$102,7,FALSE),main!$K$26:$Q$29,3,FALSE),1,0)</f>
        <v>0</v>
      </c>
      <c r="AS100">
        <f>IF(VLOOKUP(AS$1,main!$A$3:$H$102,5,FALSE)-VLOOKUP($A100,main!$A$3:$H$102,6,FALSE)&gt;=main!$D$103+VLOOKUP(VLOOKUP(AS$1,main!$A$3:$I$102,7,FALSE),main!$K$26:$Q$29,3,FALSE),1,0)</f>
        <v>0</v>
      </c>
      <c r="AT100">
        <f>IF(VLOOKUP(AT$1,main!$A$3:$H$102,5,FALSE)-VLOOKUP($A100,main!$A$3:$H$102,6,FALSE)&gt;=main!$D$103+VLOOKUP(VLOOKUP(AT$1,main!$A$3:$I$102,7,FALSE),main!$K$26:$Q$29,3,FALSE),1,0)</f>
        <v>1</v>
      </c>
      <c r="AU100">
        <f>IF(VLOOKUP(AU$1,main!$A$3:$H$102,5,FALSE)-VLOOKUP($A100,main!$A$3:$H$102,6,FALSE)&gt;=main!$D$103+VLOOKUP(VLOOKUP(AU$1,main!$A$3:$I$102,7,FALSE),main!$K$26:$Q$29,3,FALSE),1,0)</f>
        <v>0</v>
      </c>
      <c r="AV100">
        <f>IF(VLOOKUP(AV$1,main!$A$3:$H$102,5,FALSE)-VLOOKUP($A100,main!$A$3:$H$102,6,FALSE)&gt;=main!$D$103+VLOOKUP(VLOOKUP(AV$1,main!$A$3:$I$102,7,FALSE),main!$K$26:$Q$29,3,FALSE),1,0)</f>
        <v>0</v>
      </c>
      <c r="AW100">
        <f>IF(VLOOKUP(AW$1,main!$A$3:$H$102,5,FALSE)-VLOOKUP($A100,main!$A$3:$H$102,6,FALSE)&gt;=main!$D$103+VLOOKUP(VLOOKUP(AW$1,main!$A$3:$I$102,7,FALSE),main!$K$26:$Q$29,3,FALSE),1,0)</f>
        <v>0</v>
      </c>
      <c r="AX100">
        <f>IF(VLOOKUP(AX$1,main!$A$3:$H$102,5,FALSE)-VLOOKUP($A100,main!$A$3:$H$102,6,FALSE)&gt;=main!$D$103+VLOOKUP(VLOOKUP(AX$1,main!$A$3:$I$102,7,FALSE),main!$K$26:$Q$29,3,FALSE),1,0)</f>
        <v>0</v>
      </c>
      <c r="AY100">
        <f>IF(VLOOKUP(AY$1,main!$A$3:$H$102,5,FALSE)-VLOOKUP($A100,main!$A$3:$H$102,6,FALSE)&gt;=main!$D$103+VLOOKUP(VLOOKUP(AY$1,main!$A$3:$I$102,7,FALSE),main!$K$26:$Q$29,3,FALSE),1,0)</f>
        <v>0</v>
      </c>
      <c r="AZ100">
        <f>IF(VLOOKUP(AZ$1,main!$A$3:$H$102,5,FALSE)-VLOOKUP($A100,main!$A$3:$H$102,6,FALSE)&gt;=main!$D$103+VLOOKUP(VLOOKUP(AZ$1,main!$A$3:$I$102,7,FALSE),main!$K$26:$Q$29,3,FALSE),1,0)</f>
        <v>0</v>
      </c>
      <c r="BA100">
        <f>IF(VLOOKUP(BA$1,main!$A$3:$H$102,5,FALSE)-VLOOKUP($A100,main!$A$3:$H$102,6,FALSE)&gt;=main!$D$103+VLOOKUP(VLOOKUP(BA$1,main!$A$3:$I$102,7,FALSE),main!$K$26:$Q$29,3,FALSE),1,0)</f>
        <v>0</v>
      </c>
      <c r="BB100">
        <f>IF(VLOOKUP(BB$1,main!$A$3:$H$102,5,FALSE)-VLOOKUP($A100,main!$A$3:$H$102,6,FALSE)&gt;=main!$D$103+VLOOKUP(VLOOKUP(BB$1,main!$A$3:$I$102,7,FALSE),main!$K$26:$Q$29,3,FALSE),1,0)</f>
        <v>0</v>
      </c>
      <c r="BC100">
        <f>IF(VLOOKUP(BC$1,main!$A$3:$H$102,5,FALSE)-VLOOKUP($A100,main!$A$3:$H$102,6,FALSE)&gt;=main!$D$103+VLOOKUP(VLOOKUP(BC$1,main!$A$3:$I$102,7,FALSE),main!$K$26:$Q$29,3,FALSE),1,0)</f>
        <v>0</v>
      </c>
      <c r="BD100">
        <f>IF(VLOOKUP(BD$1,main!$A$3:$H$102,5,FALSE)-VLOOKUP($A100,main!$A$3:$H$102,6,FALSE)&gt;=main!$D$103+VLOOKUP(VLOOKUP(BD$1,main!$A$3:$I$102,7,FALSE),main!$K$26:$Q$29,3,FALSE),1,0)</f>
        <v>0</v>
      </c>
      <c r="BE100">
        <f>IF(VLOOKUP(BE$1,main!$A$3:$H$102,5,FALSE)-VLOOKUP($A100,main!$A$3:$H$102,6,FALSE)&gt;=main!$D$103+VLOOKUP(VLOOKUP(BE$1,main!$A$3:$I$102,7,FALSE),main!$K$26:$Q$29,3,FALSE),1,0)</f>
        <v>1</v>
      </c>
      <c r="BF100">
        <f>IF(VLOOKUP(BF$1,main!$A$3:$H$102,5,FALSE)-VLOOKUP($A100,main!$A$3:$H$102,6,FALSE)&gt;=main!$D$103+VLOOKUP(VLOOKUP(BF$1,main!$A$3:$I$102,7,FALSE),main!$K$26:$Q$29,3,FALSE),1,0)</f>
        <v>0</v>
      </c>
      <c r="BG100">
        <f>IF(VLOOKUP(BG$1,main!$A$3:$H$102,5,FALSE)-VLOOKUP($A100,main!$A$3:$H$102,6,FALSE)&gt;=main!$D$103+VLOOKUP(VLOOKUP(BG$1,main!$A$3:$I$102,7,FALSE),main!$K$26:$Q$29,3,FALSE),1,0)</f>
        <v>0</v>
      </c>
      <c r="BH100">
        <f>IF(VLOOKUP(BH$1,main!$A$3:$H$102,5,FALSE)-VLOOKUP($A100,main!$A$3:$H$102,6,FALSE)&gt;=main!$D$103+VLOOKUP(VLOOKUP(BH$1,main!$A$3:$I$102,7,FALSE),main!$K$26:$Q$29,3,FALSE),1,0)</f>
        <v>0</v>
      </c>
      <c r="BI100">
        <f>IF(VLOOKUP(BI$1,main!$A$3:$H$102,5,FALSE)-VLOOKUP($A100,main!$A$3:$H$102,6,FALSE)&gt;=main!$D$103+VLOOKUP(VLOOKUP(BI$1,main!$A$3:$I$102,7,FALSE),main!$K$26:$Q$29,3,FALSE),1,0)</f>
        <v>1</v>
      </c>
      <c r="BJ100">
        <f>IF(VLOOKUP(BJ$1,main!$A$3:$H$102,5,FALSE)-VLOOKUP($A100,main!$A$3:$H$102,6,FALSE)&gt;=main!$D$103+VLOOKUP(VLOOKUP(BJ$1,main!$A$3:$I$102,7,FALSE),main!$K$26:$Q$29,3,FALSE),1,0)</f>
        <v>1</v>
      </c>
      <c r="BK100">
        <f>IF(VLOOKUP(BK$1,main!$A$3:$H$102,5,FALSE)-VLOOKUP($A100,main!$A$3:$H$102,6,FALSE)&gt;=main!$D$103+VLOOKUP(VLOOKUP(BK$1,main!$A$3:$I$102,7,FALSE),main!$K$26:$Q$29,3,FALSE),1,0)</f>
        <v>0</v>
      </c>
      <c r="BL100">
        <f>IF(VLOOKUP(BL$1,main!$A$3:$H$102,5,FALSE)-VLOOKUP($A100,main!$A$3:$H$102,6,FALSE)&gt;=main!$D$103+VLOOKUP(VLOOKUP(BL$1,main!$A$3:$I$102,7,FALSE),main!$K$26:$Q$29,3,FALSE),1,0)</f>
        <v>0</v>
      </c>
      <c r="BM100">
        <f>IF(VLOOKUP(BM$1,main!$A$3:$H$102,5,FALSE)-VLOOKUP($A100,main!$A$3:$H$102,6,FALSE)&gt;=main!$D$103+VLOOKUP(VLOOKUP(BM$1,main!$A$3:$I$102,7,FALSE),main!$K$26:$Q$29,3,FALSE),1,0)</f>
        <v>0</v>
      </c>
      <c r="BN100">
        <f>IF(VLOOKUP(BN$1,main!$A$3:$H$102,5,FALSE)-VLOOKUP($A100,main!$A$3:$H$102,6,FALSE)&gt;=main!$D$103+VLOOKUP(VLOOKUP(BN$1,main!$A$3:$I$102,7,FALSE),main!$K$26:$Q$29,3,FALSE),1,0)</f>
        <v>0</v>
      </c>
      <c r="BO100">
        <f>IF(VLOOKUP(BO$1,main!$A$3:$H$102,5,FALSE)-VLOOKUP($A100,main!$A$3:$H$102,6,FALSE)&gt;=main!$D$103+VLOOKUP(VLOOKUP(BO$1,main!$A$3:$I$102,7,FALSE),main!$K$26:$Q$29,3,FALSE),1,0)</f>
        <v>0</v>
      </c>
      <c r="BP100">
        <f>IF(VLOOKUP(BP$1,main!$A$3:$H$102,5,FALSE)-VLOOKUP($A100,main!$A$3:$H$102,6,FALSE)&gt;=main!$D$103+VLOOKUP(VLOOKUP(BP$1,main!$A$3:$I$102,7,FALSE),main!$K$26:$Q$29,3,FALSE),1,0)</f>
        <v>0</v>
      </c>
      <c r="BQ100">
        <f>IF(VLOOKUP(BQ$1,main!$A$3:$H$102,5,FALSE)-VLOOKUP($A100,main!$A$3:$H$102,6,FALSE)&gt;=main!$D$103+VLOOKUP(VLOOKUP(BQ$1,main!$A$3:$I$102,7,FALSE),main!$K$26:$Q$29,3,FALSE),1,0)</f>
        <v>0</v>
      </c>
      <c r="BR100">
        <f>IF(VLOOKUP(BR$1,main!$A$3:$H$102,5,FALSE)-VLOOKUP($A100,main!$A$3:$H$102,6,FALSE)&gt;=main!$D$103+VLOOKUP(VLOOKUP(BR$1,main!$A$3:$I$102,7,FALSE),main!$K$26:$Q$29,3,FALSE),1,0)</f>
        <v>0</v>
      </c>
      <c r="BS100">
        <f>IF(VLOOKUP(BS$1,main!$A$3:$H$102,5,FALSE)-VLOOKUP($A100,main!$A$3:$H$102,6,FALSE)&gt;=main!$D$103+VLOOKUP(VLOOKUP(BS$1,main!$A$3:$I$102,7,FALSE),main!$K$26:$Q$29,3,FALSE),1,0)</f>
        <v>0</v>
      </c>
      <c r="BT100">
        <f>IF(VLOOKUP(BT$1,main!$A$3:$H$102,5,FALSE)-VLOOKUP($A100,main!$A$3:$H$102,6,FALSE)&gt;=main!$D$103+VLOOKUP(VLOOKUP(BT$1,main!$A$3:$I$102,7,FALSE),main!$K$26:$Q$29,3,FALSE),1,0)</f>
        <v>0</v>
      </c>
      <c r="BU100">
        <f>IF(VLOOKUP(BU$1,main!$A$3:$H$102,5,FALSE)-VLOOKUP($A100,main!$A$3:$H$102,6,FALSE)&gt;=main!$D$103+VLOOKUP(VLOOKUP(BU$1,main!$A$3:$I$102,7,FALSE),main!$K$26:$Q$29,3,FALSE),1,0)</f>
        <v>0</v>
      </c>
      <c r="BV100">
        <f>IF(VLOOKUP(BV$1,main!$A$3:$H$102,5,FALSE)-VLOOKUP($A100,main!$A$3:$H$102,6,FALSE)&gt;=main!$D$103+VLOOKUP(VLOOKUP(BV$1,main!$A$3:$I$102,7,FALSE),main!$K$26:$Q$29,3,FALSE),1,0)</f>
        <v>0</v>
      </c>
      <c r="BW100">
        <f>IF(VLOOKUP(BW$1,main!$A$3:$H$102,5,FALSE)-VLOOKUP($A100,main!$A$3:$H$102,6,FALSE)&gt;=main!$D$103+VLOOKUP(VLOOKUP(BW$1,main!$A$3:$I$102,7,FALSE),main!$K$26:$Q$29,3,FALSE),1,0)</f>
        <v>0</v>
      </c>
      <c r="BX100">
        <f>IF(VLOOKUP(BX$1,main!$A$3:$H$102,5,FALSE)-VLOOKUP($A100,main!$A$3:$H$102,6,FALSE)&gt;=main!$D$103+VLOOKUP(VLOOKUP(BX$1,main!$A$3:$I$102,7,FALSE),main!$K$26:$Q$29,3,FALSE),1,0)</f>
        <v>0</v>
      </c>
      <c r="BY100">
        <f>IF(VLOOKUP(BY$1,main!$A$3:$H$102,5,FALSE)-VLOOKUP($A100,main!$A$3:$H$102,6,FALSE)&gt;=main!$D$103+VLOOKUP(VLOOKUP(BY$1,main!$A$3:$I$102,7,FALSE),main!$K$26:$Q$29,3,FALSE),1,0)</f>
        <v>0</v>
      </c>
      <c r="BZ100">
        <f>IF(VLOOKUP(BZ$1,main!$A$3:$H$102,5,FALSE)-VLOOKUP($A100,main!$A$3:$H$102,6,FALSE)&gt;=main!$D$103+VLOOKUP(VLOOKUP(BZ$1,main!$A$3:$I$102,7,FALSE),main!$K$26:$Q$29,3,FALSE),1,0)</f>
        <v>0</v>
      </c>
      <c r="CA100">
        <f>IF(VLOOKUP(CA$1,main!$A$3:$H$102,5,FALSE)-VLOOKUP($A100,main!$A$3:$H$102,6,FALSE)&gt;=main!$D$103+VLOOKUP(VLOOKUP(CA$1,main!$A$3:$I$102,7,FALSE),main!$K$26:$Q$29,3,FALSE),1,0)</f>
        <v>0</v>
      </c>
      <c r="CB100">
        <f>IF(VLOOKUP(CB$1,main!$A$3:$H$102,5,FALSE)-VLOOKUP($A100,main!$A$3:$H$102,6,FALSE)&gt;=main!$D$103+VLOOKUP(VLOOKUP(CB$1,main!$A$3:$I$102,7,FALSE),main!$K$26:$Q$29,3,FALSE),1,0)</f>
        <v>0</v>
      </c>
      <c r="CC100">
        <f>IF(VLOOKUP(CC$1,main!$A$3:$H$102,5,FALSE)-VLOOKUP($A100,main!$A$3:$H$102,6,FALSE)&gt;=main!$D$103+VLOOKUP(VLOOKUP(CC$1,main!$A$3:$I$102,7,FALSE),main!$K$26:$Q$29,3,FALSE),1,0)</f>
        <v>1</v>
      </c>
      <c r="CD100">
        <f>IF(VLOOKUP(CD$1,main!$A$3:$H$102,5,FALSE)-VLOOKUP($A100,main!$A$3:$H$102,6,FALSE)&gt;=main!$D$103+VLOOKUP(VLOOKUP(CD$1,main!$A$3:$I$102,7,FALSE),main!$K$26:$Q$29,3,FALSE),1,0)</f>
        <v>0</v>
      </c>
      <c r="CE100">
        <f>IF(VLOOKUP(CE$1,main!$A$3:$H$102,5,FALSE)-VLOOKUP($A100,main!$A$3:$H$102,6,FALSE)&gt;=main!$D$103+VLOOKUP(VLOOKUP(CE$1,main!$A$3:$I$102,7,FALSE),main!$K$26:$Q$29,3,FALSE),1,0)</f>
        <v>0</v>
      </c>
      <c r="CF100">
        <f>IF(VLOOKUP(CF$1,main!$A$3:$H$102,5,FALSE)-VLOOKUP($A100,main!$A$3:$H$102,6,FALSE)&gt;=main!$D$103+VLOOKUP(VLOOKUP(CF$1,main!$A$3:$I$102,7,FALSE),main!$K$26:$Q$29,3,FALSE),1,0)</f>
        <v>0</v>
      </c>
      <c r="CG100">
        <f>IF(VLOOKUP(CG$1,main!$A$3:$H$102,5,FALSE)-VLOOKUP($A100,main!$A$3:$H$102,6,FALSE)&gt;=main!$D$103+VLOOKUP(VLOOKUP(CG$1,main!$A$3:$I$102,7,FALSE),main!$K$26:$Q$29,3,FALSE),1,0)</f>
        <v>0</v>
      </c>
      <c r="CH100">
        <f>IF(VLOOKUP(CH$1,main!$A$3:$H$102,5,FALSE)-VLOOKUP($A100,main!$A$3:$H$102,6,FALSE)&gt;=main!$D$103+VLOOKUP(VLOOKUP(CH$1,main!$A$3:$I$102,7,FALSE),main!$K$26:$Q$29,3,FALSE),1,0)</f>
        <v>1</v>
      </c>
      <c r="CI100">
        <f>IF(VLOOKUP(CI$1,main!$A$3:$H$102,5,FALSE)-VLOOKUP($A100,main!$A$3:$H$102,6,FALSE)&gt;=main!$D$103+VLOOKUP(VLOOKUP(CI$1,main!$A$3:$I$102,7,FALSE),main!$K$26:$Q$29,3,FALSE),1,0)</f>
        <v>1</v>
      </c>
      <c r="CJ100">
        <f>IF(VLOOKUP(CJ$1,main!$A$3:$H$102,5,FALSE)-VLOOKUP($A100,main!$A$3:$H$102,6,FALSE)&gt;=main!$D$103+VLOOKUP(VLOOKUP(CJ$1,main!$A$3:$I$102,7,FALSE),main!$K$26:$Q$29,3,FALSE),1,0)</f>
        <v>0</v>
      </c>
      <c r="CK100">
        <f>IF(VLOOKUP(CK$1,main!$A$3:$H$102,5,FALSE)-VLOOKUP($A100,main!$A$3:$H$102,6,FALSE)&gt;=main!$D$103+VLOOKUP(VLOOKUP(CK$1,main!$A$3:$I$102,7,FALSE),main!$K$26:$Q$29,3,FALSE),1,0)</f>
        <v>0</v>
      </c>
      <c r="CL100">
        <f>IF(VLOOKUP(CL$1,main!$A$3:$H$102,5,FALSE)-VLOOKUP($A100,main!$A$3:$H$102,6,FALSE)&gt;=main!$D$103+VLOOKUP(VLOOKUP(CL$1,main!$A$3:$I$102,7,FALSE),main!$K$26:$Q$29,3,FALSE),1,0)</f>
        <v>0</v>
      </c>
      <c r="CM100">
        <f>IF(VLOOKUP(CM$1,main!$A$3:$H$102,5,FALSE)-VLOOKUP($A100,main!$A$3:$H$102,6,FALSE)&gt;=main!$D$103+VLOOKUP(VLOOKUP(CM$1,main!$A$3:$I$102,7,FALSE),main!$K$26:$Q$29,3,FALSE),1,0)</f>
        <v>1</v>
      </c>
      <c r="CN100">
        <f>IF(VLOOKUP(CN$1,main!$A$3:$H$102,5,FALSE)-VLOOKUP($A100,main!$A$3:$H$102,6,FALSE)&gt;=main!$D$103+VLOOKUP(VLOOKUP(CN$1,main!$A$3:$I$102,7,FALSE),main!$K$26:$Q$29,3,FALSE),1,0)</f>
        <v>1</v>
      </c>
      <c r="CO100">
        <f>IF(VLOOKUP(CO$1,main!$A$3:$H$102,5,FALSE)-VLOOKUP($A100,main!$A$3:$H$102,6,FALSE)&gt;=main!$D$103+VLOOKUP(VLOOKUP(CO$1,main!$A$3:$I$102,7,FALSE),main!$K$26:$Q$29,3,FALSE),1,0)</f>
        <v>0</v>
      </c>
      <c r="CP100">
        <f>IF(VLOOKUP(CP$1,main!$A$3:$H$102,5,FALSE)-VLOOKUP($A100,main!$A$3:$H$102,6,FALSE)&gt;=main!$D$103+VLOOKUP(VLOOKUP(CP$1,main!$A$3:$I$102,7,FALSE),main!$K$26:$Q$29,3,FALSE),1,0)</f>
        <v>0</v>
      </c>
      <c r="CQ100">
        <f>IF(VLOOKUP(CQ$1,main!$A$3:$H$102,5,FALSE)-VLOOKUP($A100,main!$A$3:$H$102,6,FALSE)&gt;=main!$D$103+VLOOKUP(VLOOKUP(CQ$1,main!$A$3:$I$102,7,FALSE),main!$K$26:$Q$29,3,FALSE),1,0)</f>
        <v>0</v>
      </c>
      <c r="CR100">
        <f>IF(VLOOKUP(CR$1,main!$A$3:$H$102,5,FALSE)-VLOOKUP($A100,main!$A$3:$H$102,6,FALSE)&gt;=main!$D$103+VLOOKUP(VLOOKUP(CR$1,main!$A$3:$I$102,7,FALSE),main!$K$26:$Q$29,3,FALSE),1,0)</f>
        <v>1</v>
      </c>
      <c r="CS100">
        <f>IF(VLOOKUP(CS$1,main!$A$3:$H$102,5,FALSE)-VLOOKUP($A100,main!$A$3:$H$102,6,FALSE)&gt;=main!$D$103+VLOOKUP(VLOOKUP(CS$1,main!$A$3:$I$102,7,FALSE),main!$K$26:$Q$29,3,FALSE),1,0)</f>
        <v>1</v>
      </c>
      <c r="CT100">
        <f>IF(VLOOKUP(CT$1,main!$A$3:$H$102,5,FALSE)-VLOOKUP($A100,main!$A$3:$H$102,6,FALSE)&gt;=main!$D$103+VLOOKUP(VLOOKUP(CT$1,main!$A$3:$I$102,7,FALSE),main!$K$26:$Q$29,3,FALSE),1,0)</f>
        <v>0</v>
      </c>
      <c r="CU100">
        <f>IF(VLOOKUP(CU$1,main!$A$3:$H$102,5,FALSE)-VLOOKUP($A100,main!$A$3:$H$102,6,FALSE)&gt;=main!$D$103+VLOOKUP(VLOOKUP(CU$1,main!$A$3:$I$102,7,FALSE),main!$K$26:$Q$29,3,FALSE),1,0)</f>
        <v>0</v>
      </c>
      <c r="CV100">
        <f>IF(VLOOKUP(CV$1,main!$A$3:$H$102,5,FALSE)-VLOOKUP($A100,main!$A$3:$H$102,6,FALSE)&gt;=main!$D$103+VLOOKUP(VLOOKUP(CV$1,main!$A$3:$I$102,7,FALSE),main!$K$26:$Q$29,3,FALSE),1,0)</f>
        <v>0</v>
      </c>
      <c r="CW100">
        <f>IF(VLOOKUP(CW$1,main!$A$3:$H$102,5,FALSE)-VLOOKUP($A100,main!$A$3:$H$102,6,FALSE)&gt;=main!$D$103+VLOOKUP(VLOOKUP(CW$1,main!$A$3:$I$102,7,FALSE),main!$K$26:$Q$29,3,FALSE),1,0)</f>
        <v>1</v>
      </c>
      <c r="CX100">
        <f>IF(VLOOKUP(CX$1,main!$A$3:$H$102,5,FALSE)-VLOOKUP($A100,main!$A$3:$H$102,6,FALSE)&gt;=main!$D$103+VLOOKUP(VLOOKUP(CX$1,main!$A$3:$I$102,7,FALSE),main!$K$26:$Q$29,3,FALSE),1,0)</f>
        <v>1</v>
      </c>
    </row>
    <row r="101" spans="1:102" x14ac:dyDescent="0.25">
      <c r="A101" s="1">
        <v>99</v>
      </c>
      <c r="B101">
        <v>0</v>
      </c>
      <c r="C101">
        <f>IF(VLOOKUP(C$1,main!$A$3:$H$102,5,FALSE)-VLOOKUP($A101,main!$A$3:$H$102,6,FALSE)&gt;=main!$D$103+VLOOKUP(VLOOKUP(C$1,main!$A$3:$I$102,7,FALSE),main!$K$26:$Q$29,3,FALSE),1,0)</f>
        <v>0</v>
      </c>
      <c r="D101">
        <f>IF(VLOOKUP(D$1,main!$A$3:$H$102,5,FALSE)-VLOOKUP($A101,main!$A$3:$H$102,6,FALSE)&gt;=main!$D$103+VLOOKUP(VLOOKUP(D$1,main!$A$3:$I$102,7,FALSE),main!$K$26:$Q$29,3,FALSE),1,0)</f>
        <v>0</v>
      </c>
      <c r="E101">
        <f>IF(VLOOKUP(E$1,main!$A$3:$H$102,5,FALSE)-VLOOKUP($A101,main!$A$3:$H$102,6,FALSE)&gt;=main!$D$103+VLOOKUP(VLOOKUP(E$1,main!$A$3:$I$102,7,FALSE),main!$K$26:$Q$29,3,FALSE),1,0)</f>
        <v>0</v>
      </c>
      <c r="F101">
        <f>IF(VLOOKUP(F$1,main!$A$3:$H$102,5,FALSE)-VLOOKUP($A101,main!$A$3:$H$102,6,FALSE)&gt;=main!$D$103+VLOOKUP(VLOOKUP(F$1,main!$A$3:$I$102,7,FALSE),main!$K$26:$Q$29,3,FALSE),1,0)</f>
        <v>0</v>
      </c>
      <c r="G101">
        <f>IF(VLOOKUP(G$1,main!$A$3:$H$102,5,FALSE)-VLOOKUP($A101,main!$A$3:$H$102,6,FALSE)&gt;=main!$D$103+VLOOKUP(VLOOKUP(G$1,main!$A$3:$I$102,7,FALSE),main!$K$26:$Q$29,3,FALSE),1,0)</f>
        <v>0</v>
      </c>
      <c r="H101">
        <f>IF(VLOOKUP(H$1,main!$A$3:$H$102,5,FALSE)-VLOOKUP($A101,main!$A$3:$H$102,6,FALSE)&gt;=main!$D$103+VLOOKUP(VLOOKUP(H$1,main!$A$3:$I$102,7,FALSE),main!$K$26:$Q$29,3,FALSE),1,0)</f>
        <v>0</v>
      </c>
      <c r="I101">
        <f>IF(VLOOKUP(I$1,main!$A$3:$H$102,5,FALSE)-VLOOKUP($A101,main!$A$3:$H$102,6,FALSE)&gt;=main!$D$103+VLOOKUP(VLOOKUP(I$1,main!$A$3:$I$102,7,FALSE),main!$K$26:$Q$29,3,FALSE),1,0)</f>
        <v>0</v>
      </c>
      <c r="J101">
        <f>IF(VLOOKUP(J$1,main!$A$3:$H$102,5,FALSE)-VLOOKUP($A101,main!$A$3:$H$102,6,FALSE)&gt;=main!$D$103+VLOOKUP(VLOOKUP(J$1,main!$A$3:$I$102,7,FALSE),main!$K$26:$Q$29,3,FALSE),1,0)</f>
        <v>0</v>
      </c>
      <c r="K101">
        <f>IF(VLOOKUP(K$1,main!$A$3:$H$102,5,FALSE)-VLOOKUP($A101,main!$A$3:$H$102,6,FALSE)&gt;=main!$D$103+VLOOKUP(VLOOKUP(K$1,main!$A$3:$I$102,7,FALSE),main!$K$26:$Q$29,3,FALSE),1,0)</f>
        <v>0</v>
      </c>
      <c r="L101">
        <f>IF(VLOOKUP(L$1,main!$A$3:$H$102,5,FALSE)-VLOOKUP($A101,main!$A$3:$H$102,6,FALSE)&gt;=main!$D$103+VLOOKUP(VLOOKUP(L$1,main!$A$3:$I$102,7,FALSE),main!$K$26:$Q$29,3,FALSE),1,0)</f>
        <v>1</v>
      </c>
      <c r="M101">
        <f>IF(VLOOKUP(M$1,main!$A$3:$H$102,5,FALSE)-VLOOKUP($A101,main!$A$3:$H$102,6,FALSE)&gt;=main!$D$103+VLOOKUP(VLOOKUP(M$1,main!$A$3:$I$102,7,FALSE),main!$K$26:$Q$29,3,FALSE),1,0)</f>
        <v>0</v>
      </c>
      <c r="N101">
        <f>IF(VLOOKUP(N$1,main!$A$3:$H$102,5,FALSE)-VLOOKUP($A101,main!$A$3:$H$102,6,FALSE)&gt;=main!$D$103+VLOOKUP(VLOOKUP(N$1,main!$A$3:$I$102,7,FALSE),main!$K$26:$Q$29,3,FALSE),1,0)</f>
        <v>0</v>
      </c>
      <c r="O101">
        <f>IF(VLOOKUP(O$1,main!$A$3:$H$102,5,FALSE)-VLOOKUP($A101,main!$A$3:$H$102,6,FALSE)&gt;=main!$D$103+VLOOKUP(VLOOKUP(O$1,main!$A$3:$I$102,7,FALSE),main!$K$26:$Q$29,3,FALSE),1,0)</f>
        <v>0</v>
      </c>
      <c r="P101">
        <f>IF(VLOOKUP(P$1,main!$A$3:$H$102,5,FALSE)-VLOOKUP($A101,main!$A$3:$H$102,6,FALSE)&gt;=main!$D$103+VLOOKUP(VLOOKUP(P$1,main!$A$3:$I$102,7,FALSE),main!$K$26:$Q$29,3,FALSE),1,0)</f>
        <v>0</v>
      </c>
      <c r="Q101">
        <f>IF(VLOOKUP(Q$1,main!$A$3:$H$102,5,FALSE)-VLOOKUP($A101,main!$A$3:$H$102,6,FALSE)&gt;=main!$D$103+VLOOKUP(VLOOKUP(Q$1,main!$A$3:$I$102,7,FALSE),main!$K$26:$Q$29,3,FALSE),1,0)</f>
        <v>0</v>
      </c>
      <c r="R101">
        <f>IF(VLOOKUP(R$1,main!$A$3:$H$102,5,FALSE)-VLOOKUP($A101,main!$A$3:$H$102,6,FALSE)&gt;=main!$D$103+VLOOKUP(VLOOKUP(R$1,main!$A$3:$I$102,7,FALSE),main!$K$26:$Q$29,3,FALSE),1,0)</f>
        <v>0</v>
      </c>
      <c r="S101">
        <f>IF(VLOOKUP(S$1,main!$A$3:$H$102,5,FALSE)-VLOOKUP($A101,main!$A$3:$H$102,6,FALSE)&gt;=main!$D$103+VLOOKUP(VLOOKUP(S$1,main!$A$3:$I$102,7,FALSE),main!$K$26:$Q$29,3,FALSE),1,0)</f>
        <v>0</v>
      </c>
      <c r="T101">
        <f>IF(VLOOKUP(T$1,main!$A$3:$H$102,5,FALSE)-VLOOKUP($A101,main!$A$3:$H$102,6,FALSE)&gt;=main!$D$103+VLOOKUP(VLOOKUP(T$1,main!$A$3:$I$102,7,FALSE),main!$K$26:$Q$29,3,FALSE),1,0)</f>
        <v>0</v>
      </c>
      <c r="U101">
        <f>IF(VLOOKUP(U$1,main!$A$3:$H$102,5,FALSE)-VLOOKUP($A101,main!$A$3:$H$102,6,FALSE)&gt;=main!$D$103+VLOOKUP(VLOOKUP(U$1,main!$A$3:$I$102,7,FALSE),main!$K$26:$Q$29,3,FALSE),1,0)</f>
        <v>1</v>
      </c>
      <c r="V101">
        <f>IF(VLOOKUP(V$1,main!$A$3:$H$102,5,FALSE)-VLOOKUP($A101,main!$A$3:$H$102,6,FALSE)&gt;=main!$D$103+VLOOKUP(VLOOKUP(V$1,main!$A$3:$I$102,7,FALSE),main!$K$26:$Q$29,3,FALSE),1,0)</f>
        <v>1</v>
      </c>
      <c r="W101">
        <f>IF(VLOOKUP(W$1,main!$A$3:$H$102,5,FALSE)-VLOOKUP($A101,main!$A$3:$H$102,6,FALSE)&gt;=main!$D$103+VLOOKUP(VLOOKUP(W$1,main!$A$3:$I$102,7,FALSE),main!$K$26:$Q$29,3,FALSE),1,0)</f>
        <v>0</v>
      </c>
      <c r="X101">
        <f>IF(VLOOKUP(X$1,main!$A$3:$H$102,5,FALSE)-VLOOKUP($A101,main!$A$3:$H$102,6,FALSE)&gt;=main!$D$103+VLOOKUP(VLOOKUP(X$1,main!$A$3:$I$102,7,FALSE),main!$K$26:$Q$29,3,FALSE),1,0)</f>
        <v>0</v>
      </c>
      <c r="Y101">
        <f>IF(VLOOKUP(Y$1,main!$A$3:$H$102,5,FALSE)-VLOOKUP($A101,main!$A$3:$H$102,6,FALSE)&gt;=main!$D$103+VLOOKUP(VLOOKUP(Y$1,main!$A$3:$I$102,7,FALSE),main!$K$26:$Q$29,3,FALSE),1,0)</f>
        <v>0</v>
      </c>
      <c r="Z101">
        <f>IF(VLOOKUP(Z$1,main!$A$3:$H$102,5,FALSE)-VLOOKUP($A101,main!$A$3:$H$102,6,FALSE)&gt;=main!$D$103+VLOOKUP(VLOOKUP(Z$1,main!$A$3:$I$102,7,FALSE),main!$K$26:$Q$29,3,FALSE),1,0)</f>
        <v>0</v>
      </c>
      <c r="AA101">
        <f>IF(VLOOKUP(AA$1,main!$A$3:$H$102,5,FALSE)-VLOOKUP($A101,main!$A$3:$H$102,6,FALSE)&gt;=main!$D$103+VLOOKUP(VLOOKUP(AA$1,main!$A$3:$I$102,7,FALSE),main!$K$26:$Q$29,3,FALSE),1,0)</f>
        <v>0</v>
      </c>
      <c r="AB101">
        <f>IF(VLOOKUP(AB$1,main!$A$3:$H$102,5,FALSE)-VLOOKUP($A101,main!$A$3:$H$102,6,FALSE)&gt;=main!$D$103+VLOOKUP(VLOOKUP(AB$1,main!$A$3:$I$102,7,FALSE),main!$K$26:$Q$29,3,FALSE),1,0)</f>
        <v>0</v>
      </c>
      <c r="AC101">
        <f>IF(VLOOKUP(AC$1,main!$A$3:$H$102,5,FALSE)-VLOOKUP($A101,main!$A$3:$H$102,6,FALSE)&gt;=main!$D$103+VLOOKUP(VLOOKUP(AC$1,main!$A$3:$I$102,7,FALSE),main!$K$26:$Q$29,3,FALSE),1,0)</f>
        <v>0</v>
      </c>
      <c r="AD101">
        <f>IF(VLOOKUP(AD$1,main!$A$3:$H$102,5,FALSE)-VLOOKUP($A101,main!$A$3:$H$102,6,FALSE)&gt;=main!$D$103+VLOOKUP(VLOOKUP(AD$1,main!$A$3:$I$102,7,FALSE),main!$K$26:$Q$29,3,FALSE),1,0)</f>
        <v>0</v>
      </c>
      <c r="AE101">
        <f>IF(VLOOKUP(AE$1,main!$A$3:$H$102,5,FALSE)-VLOOKUP($A101,main!$A$3:$H$102,6,FALSE)&gt;=main!$D$103+VLOOKUP(VLOOKUP(AE$1,main!$A$3:$I$102,7,FALSE),main!$K$26:$Q$29,3,FALSE),1,0)</f>
        <v>0</v>
      </c>
      <c r="AF101">
        <f>IF(VLOOKUP(AF$1,main!$A$3:$H$102,5,FALSE)-VLOOKUP($A101,main!$A$3:$H$102,6,FALSE)&gt;=main!$D$103+VLOOKUP(VLOOKUP(AF$1,main!$A$3:$I$102,7,FALSE),main!$K$26:$Q$29,3,FALSE),1,0)</f>
        <v>0</v>
      </c>
      <c r="AG101">
        <f>IF(VLOOKUP(AG$1,main!$A$3:$H$102,5,FALSE)-VLOOKUP($A101,main!$A$3:$H$102,6,FALSE)&gt;=main!$D$103+VLOOKUP(VLOOKUP(AG$1,main!$A$3:$I$102,7,FALSE),main!$K$26:$Q$29,3,FALSE),1,0)</f>
        <v>0</v>
      </c>
      <c r="AH101">
        <f>IF(VLOOKUP(AH$1,main!$A$3:$H$102,5,FALSE)-VLOOKUP($A101,main!$A$3:$H$102,6,FALSE)&gt;=main!$D$103+VLOOKUP(VLOOKUP(AH$1,main!$A$3:$I$102,7,FALSE),main!$K$26:$Q$29,3,FALSE),1,0)</f>
        <v>0</v>
      </c>
      <c r="AI101">
        <f>IF(VLOOKUP(AI$1,main!$A$3:$H$102,5,FALSE)-VLOOKUP($A101,main!$A$3:$H$102,6,FALSE)&gt;=main!$D$103+VLOOKUP(VLOOKUP(AI$1,main!$A$3:$I$102,7,FALSE),main!$K$26:$Q$29,3,FALSE),1,0)</f>
        <v>0</v>
      </c>
      <c r="AJ101">
        <f>IF(VLOOKUP(AJ$1,main!$A$3:$H$102,5,FALSE)-VLOOKUP($A101,main!$A$3:$H$102,6,FALSE)&gt;=main!$D$103+VLOOKUP(VLOOKUP(AJ$1,main!$A$3:$I$102,7,FALSE),main!$K$26:$Q$29,3,FALSE),1,0)</f>
        <v>0</v>
      </c>
      <c r="AK101">
        <f>IF(VLOOKUP(AK$1,main!$A$3:$H$102,5,FALSE)-VLOOKUP($A101,main!$A$3:$H$102,6,FALSE)&gt;=main!$D$103+VLOOKUP(VLOOKUP(AK$1,main!$A$3:$I$102,7,FALSE),main!$K$26:$Q$29,3,FALSE),1,0)</f>
        <v>0</v>
      </c>
      <c r="AL101">
        <f>IF(VLOOKUP(AL$1,main!$A$3:$H$102,5,FALSE)-VLOOKUP($A101,main!$A$3:$H$102,6,FALSE)&gt;=main!$D$103+VLOOKUP(VLOOKUP(AL$1,main!$A$3:$I$102,7,FALSE),main!$K$26:$Q$29,3,FALSE),1,0)</f>
        <v>0</v>
      </c>
      <c r="AM101">
        <f>IF(VLOOKUP(AM$1,main!$A$3:$H$102,5,FALSE)-VLOOKUP($A101,main!$A$3:$H$102,6,FALSE)&gt;=main!$D$103+VLOOKUP(VLOOKUP(AM$1,main!$A$3:$I$102,7,FALSE),main!$K$26:$Q$29,3,FALSE),1,0)</f>
        <v>0</v>
      </c>
      <c r="AN101">
        <f>IF(VLOOKUP(AN$1,main!$A$3:$H$102,5,FALSE)-VLOOKUP($A101,main!$A$3:$H$102,6,FALSE)&gt;=main!$D$103+VLOOKUP(VLOOKUP(AN$1,main!$A$3:$I$102,7,FALSE),main!$K$26:$Q$29,3,FALSE),1,0)</f>
        <v>1</v>
      </c>
      <c r="AO101">
        <f>IF(VLOOKUP(AO$1,main!$A$3:$H$102,5,FALSE)-VLOOKUP($A101,main!$A$3:$H$102,6,FALSE)&gt;=main!$D$103+VLOOKUP(VLOOKUP(AO$1,main!$A$3:$I$102,7,FALSE),main!$K$26:$Q$29,3,FALSE),1,0)</f>
        <v>0</v>
      </c>
      <c r="AP101">
        <f>IF(VLOOKUP(AP$1,main!$A$3:$H$102,5,FALSE)-VLOOKUP($A101,main!$A$3:$H$102,6,FALSE)&gt;=main!$D$103+VLOOKUP(VLOOKUP(AP$1,main!$A$3:$I$102,7,FALSE),main!$K$26:$Q$29,3,FALSE),1,0)</f>
        <v>1</v>
      </c>
      <c r="AQ101">
        <f>IF(VLOOKUP(AQ$1,main!$A$3:$H$102,5,FALSE)-VLOOKUP($A101,main!$A$3:$H$102,6,FALSE)&gt;=main!$D$103+VLOOKUP(VLOOKUP(AQ$1,main!$A$3:$I$102,7,FALSE),main!$K$26:$Q$29,3,FALSE),1,0)</f>
        <v>0</v>
      </c>
      <c r="AR101">
        <f>IF(VLOOKUP(AR$1,main!$A$3:$H$102,5,FALSE)-VLOOKUP($A101,main!$A$3:$H$102,6,FALSE)&gt;=main!$D$103+VLOOKUP(VLOOKUP(AR$1,main!$A$3:$I$102,7,FALSE),main!$K$26:$Q$29,3,FALSE),1,0)</f>
        <v>0</v>
      </c>
      <c r="AS101">
        <f>IF(VLOOKUP(AS$1,main!$A$3:$H$102,5,FALSE)-VLOOKUP($A101,main!$A$3:$H$102,6,FALSE)&gt;=main!$D$103+VLOOKUP(VLOOKUP(AS$1,main!$A$3:$I$102,7,FALSE),main!$K$26:$Q$29,3,FALSE),1,0)</f>
        <v>0</v>
      </c>
      <c r="AT101">
        <f>IF(VLOOKUP(AT$1,main!$A$3:$H$102,5,FALSE)-VLOOKUP($A101,main!$A$3:$H$102,6,FALSE)&gt;=main!$D$103+VLOOKUP(VLOOKUP(AT$1,main!$A$3:$I$102,7,FALSE),main!$K$26:$Q$29,3,FALSE),1,0)</f>
        <v>0</v>
      </c>
      <c r="AU101">
        <f>IF(VLOOKUP(AU$1,main!$A$3:$H$102,5,FALSE)-VLOOKUP($A101,main!$A$3:$H$102,6,FALSE)&gt;=main!$D$103+VLOOKUP(VLOOKUP(AU$1,main!$A$3:$I$102,7,FALSE),main!$K$26:$Q$29,3,FALSE),1,0)</f>
        <v>0</v>
      </c>
      <c r="AV101">
        <f>IF(VLOOKUP(AV$1,main!$A$3:$H$102,5,FALSE)-VLOOKUP($A101,main!$A$3:$H$102,6,FALSE)&gt;=main!$D$103+VLOOKUP(VLOOKUP(AV$1,main!$A$3:$I$102,7,FALSE),main!$K$26:$Q$29,3,FALSE),1,0)</f>
        <v>0</v>
      </c>
      <c r="AW101">
        <f>IF(VLOOKUP(AW$1,main!$A$3:$H$102,5,FALSE)-VLOOKUP($A101,main!$A$3:$H$102,6,FALSE)&gt;=main!$D$103+VLOOKUP(VLOOKUP(AW$1,main!$A$3:$I$102,7,FALSE),main!$K$26:$Q$29,3,FALSE),1,0)</f>
        <v>0</v>
      </c>
      <c r="AX101">
        <f>IF(VLOOKUP(AX$1,main!$A$3:$H$102,5,FALSE)-VLOOKUP($A101,main!$A$3:$H$102,6,FALSE)&gt;=main!$D$103+VLOOKUP(VLOOKUP(AX$1,main!$A$3:$I$102,7,FALSE),main!$K$26:$Q$29,3,FALSE),1,0)</f>
        <v>0</v>
      </c>
      <c r="AY101">
        <f>IF(VLOOKUP(AY$1,main!$A$3:$H$102,5,FALSE)-VLOOKUP($A101,main!$A$3:$H$102,6,FALSE)&gt;=main!$D$103+VLOOKUP(VLOOKUP(AY$1,main!$A$3:$I$102,7,FALSE),main!$K$26:$Q$29,3,FALSE),1,0)</f>
        <v>0</v>
      </c>
      <c r="AZ101">
        <f>IF(VLOOKUP(AZ$1,main!$A$3:$H$102,5,FALSE)-VLOOKUP($A101,main!$A$3:$H$102,6,FALSE)&gt;=main!$D$103+VLOOKUP(VLOOKUP(AZ$1,main!$A$3:$I$102,7,FALSE),main!$K$26:$Q$29,3,FALSE),1,0)</f>
        <v>0</v>
      </c>
      <c r="BA101">
        <f>IF(VLOOKUP(BA$1,main!$A$3:$H$102,5,FALSE)-VLOOKUP($A101,main!$A$3:$H$102,6,FALSE)&gt;=main!$D$103+VLOOKUP(VLOOKUP(BA$1,main!$A$3:$I$102,7,FALSE),main!$K$26:$Q$29,3,FALSE),1,0)</f>
        <v>0</v>
      </c>
      <c r="BB101">
        <f>IF(VLOOKUP(BB$1,main!$A$3:$H$102,5,FALSE)-VLOOKUP($A101,main!$A$3:$H$102,6,FALSE)&gt;=main!$D$103+VLOOKUP(VLOOKUP(BB$1,main!$A$3:$I$102,7,FALSE),main!$K$26:$Q$29,3,FALSE),1,0)</f>
        <v>0</v>
      </c>
      <c r="BC101">
        <f>IF(VLOOKUP(BC$1,main!$A$3:$H$102,5,FALSE)-VLOOKUP($A101,main!$A$3:$H$102,6,FALSE)&gt;=main!$D$103+VLOOKUP(VLOOKUP(BC$1,main!$A$3:$I$102,7,FALSE),main!$K$26:$Q$29,3,FALSE),1,0)</f>
        <v>0</v>
      </c>
      <c r="BD101">
        <f>IF(VLOOKUP(BD$1,main!$A$3:$H$102,5,FALSE)-VLOOKUP($A101,main!$A$3:$H$102,6,FALSE)&gt;=main!$D$103+VLOOKUP(VLOOKUP(BD$1,main!$A$3:$I$102,7,FALSE),main!$K$26:$Q$29,3,FALSE),1,0)</f>
        <v>0</v>
      </c>
      <c r="BE101">
        <f>IF(VLOOKUP(BE$1,main!$A$3:$H$102,5,FALSE)-VLOOKUP($A101,main!$A$3:$H$102,6,FALSE)&gt;=main!$D$103+VLOOKUP(VLOOKUP(BE$1,main!$A$3:$I$102,7,FALSE),main!$K$26:$Q$29,3,FALSE),1,0)</f>
        <v>0</v>
      </c>
      <c r="BF101">
        <f>IF(VLOOKUP(BF$1,main!$A$3:$H$102,5,FALSE)-VLOOKUP($A101,main!$A$3:$H$102,6,FALSE)&gt;=main!$D$103+VLOOKUP(VLOOKUP(BF$1,main!$A$3:$I$102,7,FALSE),main!$K$26:$Q$29,3,FALSE),1,0)</f>
        <v>0</v>
      </c>
      <c r="BG101">
        <f>IF(VLOOKUP(BG$1,main!$A$3:$H$102,5,FALSE)-VLOOKUP($A101,main!$A$3:$H$102,6,FALSE)&gt;=main!$D$103+VLOOKUP(VLOOKUP(BG$1,main!$A$3:$I$102,7,FALSE),main!$K$26:$Q$29,3,FALSE),1,0)</f>
        <v>0</v>
      </c>
      <c r="BH101">
        <f>IF(VLOOKUP(BH$1,main!$A$3:$H$102,5,FALSE)-VLOOKUP($A101,main!$A$3:$H$102,6,FALSE)&gt;=main!$D$103+VLOOKUP(VLOOKUP(BH$1,main!$A$3:$I$102,7,FALSE),main!$K$26:$Q$29,3,FALSE),1,0)</f>
        <v>0</v>
      </c>
      <c r="BI101">
        <f>IF(VLOOKUP(BI$1,main!$A$3:$H$102,5,FALSE)-VLOOKUP($A101,main!$A$3:$H$102,6,FALSE)&gt;=main!$D$103+VLOOKUP(VLOOKUP(BI$1,main!$A$3:$I$102,7,FALSE),main!$K$26:$Q$29,3,FALSE),1,0)</f>
        <v>1</v>
      </c>
      <c r="BJ101">
        <f>IF(VLOOKUP(BJ$1,main!$A$3:$H$102,5,FALSE)-VLOOKUP($A101,main!$A$3:$H$102,6,FALSE)&gt;=main!$D$103+VLOOKUP(VLOOKUP(BJ$1,main!$A$3:$I$102,7,FALSE),main!$K$26:$Q$29,3,FALSE),1,0)</f>
        <v>0</v>
      </c>
      <c r="BK101">
        <f>IF(VLOOKUP(BK$1,main!$A$3:$H$102,5,FALSE)-VLOOKUP($A101,main!$A$3:$H$102,6,FALSE)&gt;=main!$D$103+VLOOKUP(VLOOKUP(BK$1,main!$A$3:$I$102,7,FALSE),main!$K$26:$Q$29,3,FALSE),1,0)</f>
        <v>0</v>
      </c>
      <c r="BL101">
        <f>IF(VLOOKUP(BL$1,main!$A$3:$H$102,5,FALSE)-VLOOKUP($A101,main!$A$3:$H$102,6,FALSE)&gt;=main!$D$103+VLOOKUP(VLOOKUP(BL$1,main!$A$3:$I$102,7,FALSE),main!$K$26:$Q$29,3,FALSE),1,0)</f>
        <v>0</v>
      </c>
      <c r="BM101">
        <f>IF(VLOOKUP(BM$1,main!$A$3:$H$102,5,FALSE)-VLOOKUP($A101,main!$A$3:$H$102,6,FALSE)&gt;=main!$D$103+VLOOKUP(VLOOKUP(BM$1,main!$A$3:$I$102,7,FALSE),main!$K$26:$Q$29,3,FALSE),1,0)</f>
        <v>0</v>
      </c>
      <c r="BN101">
        <f>IF(VLOOKUP(BN$1,main!$A$3:$H$102,5,FALSE)-VLOOKUP($A101,main!$A$3:$H$102,6,FALSE)&gt;=main!$D$103+VLOOKUP(VLOOKUP(BN$1,main!$A$3:$I$102,7,FALSE),main!$K$26:$Q$29,3,FALSE),1,0)</f>
        <v>0</v>
      </c>
      <c r="BO101">
        <f>IF(VLOOKUP(BO$1,main!$A$3:$H$102,5,FALSE)-VLOOKUP($A101,main!$A$3:$H$102,6,FALSE)&gt;=main!$D$103+VLOOKUP(VLOOKUP(BO$1,main!$A$3:$I$102,7,FALSE),main!$K$26:$Q$29,3,FALSE),1,0)</f>
        <v>0</v>
      </c>
      <c r="BP101">
        <f>IF(VLOOKUP(BP$1,main!$A$3:$H$102,5,FALSE)-VLOOKUP($A101,main!$A$3:$H$102,6,FALSE)&gt;=main!$D$103+VLOOKUP(VLOOKUP(BP$1,main!$A$3:$I$102,7,FALSE),main!$K$26:$Q$29,3,FALSE),1,0)</f>
        <v>0</v>
      </c>
      <c r="BQ101">
        <f>IF(VLOOKUP(BQ$1,main!$A$3:$H$102,5,FALSE)-VLOOKUP($A101,main!$A$3:$H$102,6,FALSE)&gt;=main!$D$103+VLOOKUP(VLOOKUP(BQ$1,main!$A$3:$I$102,7,FALSE),main!$K$26:$Q$29,3,FALSE),1,0)</f>
        <v>0</v>
      </c>
      <c r="BR101">
        <f>IF(VLOOKUP(BR$1,main!$A$3:$H$102,5,FALSE)-VLOOKUP($A101,main!$A$3:$H$102,6,FALSE)&gt;=main!$D$103+VLOOKUP(VLOOKUP(BR$1,main!$A$3:$I$102,7,FALSE),main!$K$26:$Q$29,3,FALSE),1,0)</f>
        <v>0</v>
      </c>
      <c r="BS101">
        <f>IF(VLOOKUP(BS$1,main!$A$3:$H$102,5,FALSE)-VLOOKUP($A101,main!$A$3:$H$102,6,FALSE)&gt;=main!$D$103+VLOOKUP(VLOOKUP(BS$1,main!$A$3:$I$102,7,FALSE),main!$K$26:$Q$29,3,FALSE),1,0)</f>
        <v>0</v>
      </c>
      <c r="BT101">
        <f>IF(VLOOKUP(BT$1,main!$A$3:$H$102,5,FALSE)-VLOOKUP($A101,main!$A$3:$H$102,6,FALSE)&gt;=main!$D$103+VLOOKUP(VLOOKUP(BT$1,main!$A$3:$I$102,7,FALSE),main!$K$26:$Q$29,3,FALSE),1,0)</f>
        <v>0</v>
      </c>
      <c r="BU101">
        <f>IF(VLOOKUP(BU$1,main!$A$3:$H$102,5,FALSE)-VLOOKUP($A101,main!$A$3:$H$102,6,FALSE)&gt;=main!$D$103+VLOOKUP(VLOOKUP(BU$1,main!$A$3:$I$102,7,FALSE),main!$K$26:$Q$29,3,FALSE),1,0)</f>
        <v>0</v>
      </c>
      <c r="BV101">
        <f>IF(VLOOKUP(BV$1,main!$A$3:$H$102,5,FALSE)-VLOOKUP($A101,main!$A$3:$H$102,6,FALSE)&gt;=main!$D$103+VLOOKUP(VLOOKUP(BV$1,main!$A$3:$I$102,7,FALSE),main!$K$26:$Q$29,3,FALSE),1,0)</f>
        <v>0</v>
      </c>
      <c r="BW101">
        <f>IF(VLOOKUP(BW$1,main!$A$3:$H$102,5,FALSE)-VLOOKUP($A101,main!$A$3:$H$102,6,FALSE)&gt;=main!$D$103+VLOOKUP(VLOOKUP(BW$1,main!$A$3:$I$102,7,FALSE),main!$K$26:$Q$29,3,FALSE),1,0)</f>
        <v>0</v>
      </c>
      <c r="BX101">
        <f>IF(VLOOKUP(BX$1,main!$A$3:$H$102,5,FALSE)-VLOOKUP($A101,main!$A$3:$H$102,6,FALSE)&gt;=main!$D$103+VLOOKUP(VLOOKUP(BX$1,main!$A$3:$I$102,7,FALSE),main!$K$26:$Q$29,3,FALSE),1,0)</f>
        <v>0</v>
      </c>
      <c r="BY101">
        <f>IF(VLOOKUP(BY$1,main!$A$3:$H$102,5,FALSE)-VLOOKUP($A101,main!$A$3:$H$102,6,FALSE)&gt;=main!$D$103+VLOOKUP(VLOOKUP(BY$1,main!$A$3:$I$102,7,FALSE),main!$K$26:$Q$29,3,FALSE),1,0)</f>
        <v>0</v>
      </c>
      <c r="BZ101">
        <f>IF(VLOOKUP(BZ$1,main!$A$3:$H$102,5,FALSE)-VLOOKUP($A101,main!$A$3:$H$102,6,FALSE)&gt;=main!$D$103+VLOOKUP(VLOOKUP(BZ$1,main!$A$3:$I$102,7,FALSE),main!$K$26:$Q$29,3,FALSE),1,0)</f>
        <v>0</v>
      </c>
      <c r="CA101">
        <f>IF(VLOOKUP(CA$1,main!$A$3:$H$102,5,FALSE)-VLOOKUP($A101,main!$A$3:$H$102,6,FALSE)&gt;=main!$D$103+VLOOKUP(VLOOKUP(CA$1,main!$A$3:$I$102,7,FALSE),main!$K$26:$Q$29,3,FALSE),1,0)</f>
        <v>0</v>
      </c>
      <c r="CB101">
        <f>IF(VLOOKUP(CB$1,main!$A$3:$H$102,5,FALSE)-VLOOKUP($A101,main!$A$3:$H$102,6,FALSE)&gt;=main!$D$103+VLOOKUP(VLOOKUP(CB$1,main!$A$3:$I$102,7,FALSE),main!$K$26:$Q$29,3,FALSE),1,0)</f>
        <v>0</v>
      </c>
      <c r="CC101">
        <f>IF(VLOOKUP(CC$1,main!$A$3:$H$102,5,FALSE)-VLOOKUP($A101,main!$A$3:$H$102,6,FALSE)&gt;=main!$D$103+VLOOKUP(VLOOKUP(CC$1,main!$A$3:$I$102,7,FALSE),main!$K$26:$Q$29,3,FALSE),1,0)</f>
        <v>0</v>
      </c>
      <c r="CD101">
        <f>IF(VLOOKUP(CD$1,main!$A$3:$H$102,5,FALSE)-VLOOKUP($A101,main!$A$3:$H$102,6,FALSE)&gt;=main!$D$103+VLOOKUP(VLOOKUP(CD$1,main!$A$3:$I$102,7,FALSE),main!$K$26:$Q$29,3,FALSE),1,0)</f>
        <v>0</v>
      </c>
      <c r="CE101">
        <f>IF(VLOOKUP(CE$1,main!$A$3:$H$102,5,FALSE)-VLOOKUP($A101,main!$A$3:$H$102,6,FALSE)&gt;=main!$D$103+VLOOKUP(VLOOKUP(CE$1,main!$A$3:$I$102,7,FALSE),main!$K$26:$Q$29,3,FALSE),1,0)</f>
        <v>0</v>
      </c>
      <c r="CF101">
        <f>IF(VLOOKUP(CF$1,main!$A$3:$H$102,5,FALSE)-VLOOKUP($A101,main!$A$3:$H$102,6,FALSE)&gt;=main!$D$103+VLOOKUP(VLOOKUP(CF$1,main!$A$3:$I$102,7,FALSE),main!$K$26:$Q$29,3,FALSE),1,0)</f>
        <v>0</v>
      </c>
      <c r="CG101">
        <f>IF(VLOOKUP(CG$1,main!$A$3:$H$102,5,FALSE)-VLOOKUP($A101,main!$A$3:$H$102,6,FALSE)&gt;=main!$D$103+VLOOKUP(VLOOKUP(CG$1,main!$A$3:$I$102,7,FALSE),main!$K$26:$Q$29,3,FALSE),1,0)</f>
        <v>0</v>
      </c>
      <c r="CH101">
        <f>IF(VLOOKUP(CH$1,main!$A$3:$H$102,5,FALSE)-VLOOKUP($A101,main!$A$3:$H$102,6,FALSE)&gt;=main!$D$103+VLOOKUP(VLOOKUP(CH$1,main!$A$3:$I$102,7,FALSE),main!$K$26:$Q$29,3,FALSE),1,0)</f>
        <v>0</v>
      </c>
      <c r="CI101">
        <f>IF(VLOOKUP(CI$1,main!$A$3:$H$102,5,FALSE)-VLOOKUP($A101,main!$A$3:$H$102,6,FALSE)&gt;=main!$D$103+VLOOKUP(VLOOKUP(CI$1,main!$A$3:$I$102,7,FALSE),main!$K$26:$Q$29,3,FALSE),1,0)</f>
        <v>1</v>
      </c>
      <c r="CJ101">
        <f>IF(VLOOKUP(CJ$1,main!$A$3:$H$102,5,FALSE)-VLOOKUP($A101,main!$A$3:$H$102,6,FALSE)&gt;=main!$D$103+VLOOKUP(VLOOKUP(CJ$1,main!$A$3:$I$102,7,FALSE),main!$K$26:$Q$29,3,FALSE),1,0)</f>
        <v>0</v>
      </c>
      <c r="CK101">
        <f>IF(VLOOKUP(CK$1,main!$A$3:$H$102,5,FALSE)-VLOOKUP($A101,main!$A$3:$H$102,6,FALSE)&gt;=main!$D$103+VLOOKUP(VLOOKUP(CK$1,main!$A$3:$I$102,7,FALSE),main!$K$26:$Q$29,3,FALSE),1,0)</f>
        <v>0</v>
      </c>
      <c r="CL101">
        <f>IF(VLOOKUP(CL$1,main!$A$3:$H$102,5,FALSE)-VLOOKUP($A101,main!$A$3:$H$102,6,FALSE)&gt;=main!$D$103+VLOOKUP(VLOOKUP(CL$1,main!$A$3:$I$102,7,FALSE),main!$K$26:$Q$29,3,FALSE),1,0)</f>
        <v>0</v>
      </c>
      <c r="CM101">
        <f>IF(VLOOKUP(CM$1,main!$A$3:$H$102,5,FALSE)-VLOOKUP($A101,main!$A$3:$H$102,6,FALSE)&gt;=main!$D$103+VLOOKUP(VLOOKUP(CM$1,main!$A$3:$I$102,7,FALSE),main!$K$26:$Q$29,3,FALSE),1,0)</f>
        <v>0</v>
      </c>
      <c r="CN101">
        <f>IF(VLOOKUP(CN$1,main!$A$3:$H$102,5,FALSE)-VLOOKUP($A101,main!$A$3:$H$102,6,FALSE)&gt;=main!$D$103+VLOOKUP(VLOOKUP(CN$1,main!$A$3:$I$102,7,FALSE),main!$K$26:$Q$29,3,FALSE),1,0)</f>
        <v>1</v>
      </c>
      <c r="CO101">
        <f>IF(VLOOKUP(CO$1,main!$A$3:$H$102,5,FALSE)-VLOOKUP($A101,main!$A$3:$H$102,6,FALSE)&gt;=main!$D$103+VLOOKUP(VLOOKUP(CO$1,main!$A$3:$I$102,7,FALSE),main!$K$26:$Q$29,3,FALSE),1,0)</f>
        <v>0</v>
      </c>
      <c r="CP101">
        <f>IF(VLOOKUP(CP$1,main!$A$3:$H$102,5,FALSE)-VLOOKUP($A101,main!$A$3:$H$102,6,FALSE)&gt;=main!$D$103+VLOOKUP(VLOOKUP(CP$1,main!$A$3:$I$102,7,FALSE),main!$K$26:$Q$29,3,FALSE),1,0)</f>
        <v>0</v>
      </c>
      <c r="CQ101">
        <f>IF(VLOOKUP(CQ$1,main!$A$3:$H$102,5,FALSE)-VLOOKUP($A101,main!$A$3:$H$102,6,FALSE)&gt;=main!$D$103+VLOOKUP(VLOOKUP(CQ$1,main!$A$3:$I$102,7,FALSE),main!$K$26:$Q$29,3,FALSE),1,0)</f>
        <v>0</v>
      </c>
      <c r="CR101">
        <f>IF(VLOOKUP(CR$1,main!$A$3:$H$102,5,FALSE)-VLOOKUP($A101,main!$A$3:$H$102,6,FALSE)&gt;=main!$D$103+VLOOKUP(VLOOKUP(CR$1,main!$A$3:$I$102,7,FALSE),main!$K$26:$Q$29,3,FALSE),1,0)</f>
        <v>0</v>
      </c>
      <c r="CS101">
        <f>IF(VLOOKUP(CS$1,main!$A$3:$H$102,5,FALSE)-VLOOKUP($A101,main!$A$3:$H$102,6,FALSE)&gt;=main!$D$103+VLOOKUP(VLOOKUP(CS$1,main!$A$3:$I$102,7,FALSE),main!$K$26:$Q$29,3,FALSE),1,0)</f>
        <v>0</v>
      </c>
      <c r="CT101">
        <f>IF(VLOOKUP(CT$1,main!$A$3:$H$102,5,FALSE)-VLOOKUP($A101,main!$A$3:$H$102,6,FALSE)&gt;=main!$D$103+VLOOKUP(VLOOKUP(CT$1,main!$A$3:$I$102,7,FALSE),main!$K$26:$Q$29,3,FALSE),1,0)</f>
        <v>0</v>
      </c>
      <c r="CU101">
        <f>IF(VLOOKUP(CU$1,main!$A$3:$H$102,5,FALSE)-VLOOKUP($A101,main!$A$3:$H$102,6,FALSE)&gt;=main!$D$103+VLOOKUP(VLOOKUP(CU$1,main!$A$3:$I$102,7,FALSE),main!$K$26:$Q$29,3,FALSE),1,0)</f>
        <v>0</v>
      </c>
      <c r="CV101">
        <f>IF(VLOOKUP(CV$1,main!$A$3:$H$102,5,FALSE)-VLOOKUP($A101,main!$A$3:$H$102,6,FALSE)&gt;=main!$D$103+VLOOKUP(VLOOKUP(CV$1,main!$A$3:$I$102,7,FALSE),main!$K$26:$Q$29,3,FALSE),1,0)</f>
        <v>0</v>
      </c>
      <c r="CW101">
        <f>IF(VLOOKUP(CW$1,main!$A$3:$H$102,5,FALSE)-VLOOKUP($A101,main!$A$3:$H$102,6,FALSE)&gt;=main!$D$103+VLOOKUP(VLOOKUP(CW$1,main!$A$3:$I$102,7,FALSE),main!$K$26:$Q$29,3,FALSE),1,0)</f>
        <v>0</v>
      </c>
      <c r="CX101">
        <f>IF(VLOOKUP(CX$1,main!$A$3:$H$102,5,FALSE)-VLOOKUP($A101,main!$A$3:$H$102,6,FALSE)&gt;=main!$D$103+VLOOKUP(VLOOKUP(CX$1,main!$A$3:$I$102,7,FALSE),main!$K$26:$Q$29,3,FALSE),1,0)</f>
        <v>0</v>
      </c>
    </row>
    <row r="102" spans="1:102" x14ac:dyDescent="0.25">
      <c r="A102" s="1">
        <v>100</v>
      </c>
      <c r="B102">
        <v>0</v>
      </c>
      <c r="C102">
        <f>IF(VLOOKUP(C$1,main!$A$3:$H$102,5,FALSE)-VLOOKUP($A102,main!$A$3:$H$102,6,FALSE)&gt;=main!$D$103+VLOOKUP(VLOOKUP(C$1,main!$A$3:$I$102,7,FALSE),main!$K$26:$Q$29,3,FALSE),1,0)</f>
        <v>0</v>
      </c>
      <c r="D102">
        <f>IF(VLOOKUP(D$1,main!$A$3:$H$102,5,FALSE)-VLOOKUP($A102,main!$A$3:$H$102,6,FALSE)&gt;=main!$D$103+VLOOKUP(VLOOKUP(D$1,main!$A$3:$I$102,7,FALSE),main!$K$26:$Q$29,3,FALSE),1,0)</f>
        <v>0</v>
      </c>
      <c r="E102">
        <f>IF(VLOOKUP(E$1,main!$A$3:$H$102,5,FALSE)-VLOOKUP($A102,main!$A$3:$H$102,6,FALSE)&gt;=main!$D$103+VLOOKUP(VLOOKUP(E$1,main!$A$3:$I$102,7,FALSE),main!$K$26:$Q$29,3,FALSE),1,0)</f>
        <v>0</v>
      </c>
      <c r="F102">
        <f>IF(VLOOKUP(F$1,main!$A$3:$H$102,5,FALSE)-VLOOKUP($A102,main!$A$3:$H$102,6,FALSE)&gt;=main!$D$103+VLOOKUP(VLOOKUP(F$1,main!$A$3:$I$102,7,FALSE),main!$K$26:$Q$29,3,FALSE),1,0)</f>
        <v>0</v>
      </c>
      <c r="G102">
        <f>IF(VLOOKUP(G$1,main!$A$3:$H$102,5,FALSE)-VLOOKUP($A102,main!$A$3:$H$102,6,FALSE)&gt;=main!$D$103+VLOOKUP(VLOOKUP(G$1,main!$A$3:$I$102,7,FALSE),main!$K$26:$Q$29,3,FALSE),1,0)</f>
        <v>0</v>
      </c>
      <c r="H102">
        <f>IF(VLOOKUP(H$1,main!$A$3:$H$102,5,FALSE)-VLOOKUP($A102,main!$A$3:$H$102,6,FALSE)&gt;=main!$D$103+VLOOKUP(VLOOKUP(H$1,main!$A$3:$I$102,7,FALSE),main!$K$26:$Q$29,3,FALSE),1,0)</f>
        <v>0</v>
      </c>
      <c r="I102">
        <f>IF(VLOOKUP(I$1,main!$A$3:$H$102,5,FALSE)-VLOOKUP($A102,main!$A$3:$H$102,6,FALSE)&gt;=main!$D$103+VLOOKUP(VLOOKUP(I$1,main!$A$3:$I$102,7,FALSE),main!$K$26:$Q$29,3,FALSE),1,0)</f>
        <v>0</v>
      </c>
      <c r="J102">
        <f>IF(VLOOKUP(J$1,main!$A$3:$H$102,5,FALSE)-VLOOKUP($A102,main!$A$3:$H$102,6,FALSE)&gt;=main!$D$103+VLOOKUP(VLOOKUP(J$1,main!$A$3:$I$102,7,FALSE),main!$K$26:$Q$29,3,FALSE),1,0)</f>
        <v>0</v>
      </c>
      <c r="K102">
        <f>IF(VLOOKUP(K$1,main!$A$3:$H$102,5,FALSE)-VLOOKUP($A102,main!$A$3:$H$102,6,FALSE)&gt;=main!$D$103+VLOOKUP(VLOOKUP(K$1,main!$A$3:$I$102,7,FALSE),main!$K$26:$Q$29,3,FALSE),1,0)</f>
        <v>0</v>
      </c>
      <c r="L102">
        <f>IF(VLOOKUP(L$1,main!$A$3:$H$102,5,FALSE)-VLOOKUP($A102,main!$A$3:$H$102,6,FALSE)&gt;=main!$D$103+VLOOKUP(VLOOKUP(L$1,main!$A$3:$I$102,7,FALSE),main!$K$26:$Q$29,3,FALSE),1,0)</f>
        <v>1</v>
      </c>
      <c r="M102">
        <f>IF(VLOOKUP(M$1,main!$A$3:$H$102,5,FALSE)-VLOOKUP($A102,main!$A$3:$H$102,6,FALSE)&gt;=main!$D$103+VLOOKUP(VLOOKUP(M$1,main!$A$3:$I$102,7,FALSE),main!$K$26:$Q$29,3,FALSE),1,0)</f>
        <v>0</v>
      </c>
      <c r="N102">
        <f>IF(VLOOKUP(N$1,main!$A$3:$H$102,5,FALSE)-VLOOKUP($A102,main!$A$3:$H$102,6,FALSE)&gt;=main!$D$103+VLOOKUP(VLOOKUP(N$1,main!$A$3:$I$102,7,FALSE),main!$K$26:$Q$29,3,FALSE),1,0)</f>
        <v>0</v>
      </c>
      <c r="O102">
        <f>IF(VLOOKUP(O$1,main!$A$3:$H$102,5,FALSE)-VLOOKUP($A102,main!$A$3:$H$102,6,FALSE)&gt;=main!$D$103+VLOOKUP(VLOOKUP(O$1,main!$A$3:$I$102,7,FALSE),main!$K$26:$Q$29,3,FALSE),1,0)</f>
        <v>0</v>
      </c>
      <c r="P102">
        <f>IF(VLOOKUP(P$1,main!$A$3:$H$102,5,FALSE)-VLOOKUP($A102,main!$A$3:$H$102,6,FALSE)&gt;=main!$D$103+VLOOKUP(VLOOKUP(P$1,main!$A$3:$I$102,7,FALSE),main!$K$26:$Q$29,3,FALSE),1,0)</f>
        <v>0</v>
      </c>
      <c r="Q102">
        <f>IF(VLOOKUP(Q$1,main!$A$3:$H$102,5,FALSE)-VLOOKUP($A102,main!$A$3:$H$102,6,FALSE)&gt;=main!$D$103+VLOOKUP(VLOOKUP(Q$1,main!$A$3:$I$102,7,FALSE),main!$K$26:$Q$29,3,FALSE),1,0)</f>
        <v>0</v>
      </c>
      <c r="R102">
        <f>IF(VLOOKUP(R$1,main!$A$3:$H$102,5,FALSE)-VLOOKUP($A102,main!$A$3:$H$102,6,FALSE)&gt;=main!$D$103+VLOOKUP(VLOOKUP(R$1,main!$A$3:$I$102,7,FALSE),main!$K$26:$Q$29,3,FALSE),1,0)</f>
        <v>0</v>
      </c>
      <c r="S102">
        <f>IF(VLOOKUP(S$1,main!$A$3:$H$102,5,FALSE)-VLOOKUP($A102,main!$A$3:$H$102,6,FALSE)&gt;=main!$D$103+VLOOKUP(VLOOKUP(S$1,main!$A$3:$I$102,7,FALSE),main!$K$26:$Q$29,3,FALSE),1,0)</f>
        <v>0</v>
      </c>
      <c r="T102">
        <f>IF(VLOOKUP(T$1,main!$A$3:$H$102,5,FALSE)-VLOOKUP($A102,main!$A$3:$H$102,6,FALSE)&gt;=main!$D$103+VLOOKUP(VLOOKUP(T$1,main!$A$3:$I$102,7,FALSE),main!$K$26:$Q$29,3,FALSE),1,0)</f>
        <v>0</v>
      </c>
      <c r="U102">
        <f>IF(VLOOKUP(U$1,main!$A$3:$H$102,5,FALSE)-VLOOKUP($A102,main!$A$3:$H$102,6,FALSE)&gt;=main!$D$103+VLOOKUP(VLOOKUP(U$1,main!$A$3:$I$102,7,FALSE),main!$K$26:$Q$29,3,FALSE),1,0)</f>
        <v>0</v>
      </c>
      <c r="V102">
        <f>IF(VLOOKUP(V$1,main!$A$3:$H$102,5,FALSE)-VLOOKUP($A102,main!$A$3:$H$102,6,FALSE)&gt;=main!$D$103+VLOOKUP(VLOOKUP(V$1,main!$A$3:$I$102,7,FALSE),main!$K$26:$Q$29,3,FALSE),1,0)</f>
        <v>1</v>
      </c>
      <c r="W102">
        <f>IF(VLOOKUP(W$1,main!$A$3:$H$102,5,FALSE)-VLOOKUP($A102,main!$A$3:$H$102,6,FALSE)&gt;=main!$D$103+VLOOKUP(VLOOKUP(W$1,main!$A$3:$I$102,7,FALSE),main!$K$26:$Q$29,3,FALSE),1,0)</f>
        <v>0</v>
      </c>
      <c r="X102">
        <f>IF(VLOOKUP(X$1,main!$A$3:$H$102,5,FALSE)-VLOOKUP($A102,main!$A$3:$H$102,6,FALSE)&gt;=main!$D$103+VLOOKUP(VLOOKUP(X$1,main!$A$3:$I$102,7,FALSE),main!$K$26:$Q$29,3,FALSE),1,0)</f>
        <v>0</v>
      </c>
      <c r="Y102">
        <f>IF(VLOOKUP(Y$1,main!$A$3:$H$102,5,FALSE)-VLOOKUP($A102,main!$A$3:$H$102,6,FALSE)&gt;=main!$D$103+VLOOKUP(VLOOKUP(Y$1,main!$A$3:$I$102,7,FALSE),main!$K$26:$Q$29,3,FALSE),1,0)</f>
        <v>0</v>
      </c>
      <c r="Z102">
        <f>IF(VLOOKUP(Z$1,main!$A$3:$H$102,5,FALSE)-VLOOKUP($A102,main!$A$3:$H$102,6,FALSE)&gt;=main!$D$103+VLOOKUP(VLOOKUP(Z$1,main!$A$3:$I$102,7,FALSE),main!$K$26:$Q$29,3,FALSE),1,0)</f>
        <v>0</v>
      </c>
      <c r="AA102">
        <f>IF(VLOOKUP(AA$1,main!$A$3:$H$102,5,FALSE)-VLOOKUP($A102,main!$A$3:$H$102,6,FALSE)&gt;=main!$D$103+VLOOKUP(VLOOKUP(AA$1,main!$A$3:$I$102,7,FALSE),main!$K$26:$Q$29,3,FALSE),1,0)</f>
        <v>0</v>
      </c>
      <c r="AB102">
        <f>IF(VLOOKUP(AB$1,main!$A$3:$H$102,5,FALSE)-VLOOKUP($A102,main!$A$3:$H$102,6,FALSE)&gt;=main!$D$103+VLOOKUP(VLOOKUP(AB$1,main!$A$3:$I$102,7,FALSE),main!$K$26:$Q$29,3,FALSE),1,0)</f>
        <v>0</v>
      </c>
      <c r="AC102">
        <f>IF(VLOOKUP(AC$1,main!$A$3:$H$102,5,FALSE)-VLOOKUP($A102,main!$A$3:$H$102,6,FALSE)&gt;=main!$D$103+VLOOKUP(VLOOKUP(AC$1,main!$A$3:$I$102,7,FALSE),main!$K$26:$Q$29,3,FALSE),1,0)</f>
        <v>0</v>
      </c>
      <c r="AD102">
        <f>IF(VLOOKUP(AD$1,main!$A$3:$H$102,5,FALSE)-VLOOKUP($A102,main!$A$3:$H$102,6,FALSE)&gt;=main!$D$103+VLOOKUP(VLOOKUP(AD$1,main!$A$3:$I$102,7,FALSE),main!$K$26:$Q$29,3,FALSE),1,0)</f>
        <v>0</v>
      </c>
      <c r="AE102">
        <f>IF(VLOOKUP(AE$1,main!$A$3:$H$102,5,FALSE)-VLOOKUP($A102,main!$A$3:$H$102,6,FALSE)&gt;=main!$D$103+VLOOKUP(VLOOKUP(AE$1,main!$A$3:$I$102,7,FALSE),main!$K$26:$Q$29,3,FALSE),1,0)</f>
        <v>0</v>
      </c>
      <c r="AF102">
        <f>IF(VLOOKUP(AF$1,main!$A$3:$H$102,5,FALSE)-VLOOKUP($A102,main!$A$3:$H$102,6,FALSE)&gt;=main!$D$103+VLOOKUP(VLOOKUP(AF$1,main!$A$3:$I$102,7,FALSE),main!$K$26:$Q$29,3,FALSE),1,0)</f>
        <v>0</v>
      </c>
      <c r="AG102">
        <f>IF(VLOOKUP(AG$1,main!$A$3:$H$102,5,FALSE)-VLOOKUP($A102,main!$A$3:$H$102,6,FALSE)&gt;=main!$D$103+VLOOKUP(VLOOKUP(AG$1,main!$A$3:$I$102,7,FALSE),main!$K$26:$Q$29,3,FALSE),1,0)</f>
        <v>0</v>
      </c>
      <c r="AH102">
        <f>IF(VLOOKUP(AH$1,main!$A$3:$H$102,5,FALSE)-VLOOKUP($A102,main!$A$3:$H$102,6,FALSE)&gt;=main!$D$103+VLOOKUP(VLOOKUP(AH$1,main!$A$3:$I$102,7,FALSE),main!$K$26:$Q$29,3,FALSE),1,0)</f>
        <v>0</v>
      </c>
      <c r="AI102">
        <f>IF(VLOOKUP(AI$1,main!$A$3:$H$102,5,FALSE)-VLOOKUP($A102,main!$A$3:$H$102,6,FALSE)&gt;=main!$D$103+VLOOKUP(VLOOKUP(AI$1,main!$A$3:$I$102,7,FALSE),main!$K$26:$Q$29,3,FALSE),1,0)</f>
        <v>0</v>
      </c>
      <c r="AJ102">
        <f>IF(VLOOKUP(AJ$1,main!$A$3:$H$102,5,FALSE)-VLOOKUP($A102,main!$A$3:$H$102,6,FALSE)&gt;=main!$D$103+VLOOKUP(VLOOKUP(AJ$1,main!$A$3:$I$102,7,FALSE),main!$K$26:$Q$29,3,FALSE),1,0)</f>
        <v>0</v>
      </c>
      <c r="AK102">
        <f>IF(VLOOKUP(AK$1,main!$A$3:$H$102,5,FALSE)-VLOOKUP($A102,main!$A$3:$H$102,6,FALSE)&gt;=main!$D$103+VLOOKUP(VLOOKUP(AK$1,main!$A$3:$I$102,7,FALSE),main!$K$26:$Q$29,3,FALSE),1,0)</f>
        <v>0</v>
      </c>
      <c r="AL102">
        <f>IF(VLOOKUP(AL$1,main!$A$3:$H$102,5,FALSE)-VLOOKUP($A102,main!$A$3:$H$102,6,FALSE)&gt;=main!$D$103+VLOOKUP(VLOOKUP(AL$1,main!$A$3:$I$102,7,FALSE),main!$K$26:$Q$29,3,FALSE),1,0)</f>
        <v>0</v>
      </c>
      <c r="AM102">
        <f>IF(VLOOKUP(AM$1,main!$A$3:$H$102,5,FALSE)-VLOOKUP($A102,main!$A$3:$H$102,6,FALSE)&gt;=main!$D$103+VLOOKUP(VLOOKUP(AM$1,main!$A$3:$I$102,7,FALSE),main!$K$26:$Q$29,3,FALSE),1,0)</f>
        <v>0</v>
      </c>
      <c r="AN102">
        <f>IF(VLOOKUP(AN$1,main!$A$3:$H$102,5,FALSE)-VLOOKUP($A102,main!$A$3:$H$102,6,FALSE)&gt;=main!$D$103+VLOOKUP(VLOOKUP(AN$1,main!$A$3:$I$102,7,FALSE),main!$K$26:$Q$29,3,FALSE),1,0)</f>
        <v>0</v>
      </c>
      <c r="AO102">
        <f>IF(VLOOKUP(AO$1,main!$A$3:$H$102,5,FALSE)-VLOOKUP($A102,main!$A$3:$H$102,6,FALSE)&gt;=main!$D$103+VLOOKUP(VLOOKUP(AO$1,main!$A$3:$I$102,7,FALSE),main!$K$26:$Q$29,3,FALSE),1,0)</f>
        <v>0</v>
      </c>
      <c r="AP102">
        <f>IF(VLOOKUP(AP$1,main!$A$3:$H$102,5,FALSE)-VLOOKUP($A102,main!$A$3:$H$102,6,FALSE)&gt;=main!$D$103+VLOOKUP(VLOOKUP(AP$1,main!$A$3:$I$102,7,FALSE),main!$K$26:$Q$29,3,FALSE),1,0)</f>
        <v>1</v>
      </c>
      <c r="AQ102">
        <f>IF(VLOOKUP(AQ$1,main!$A$3:$H$102,5,FALSE)-VLOOKUP($A102,main!$A$3:$H$102,6,FALSE)&gt;=main!$D$103+VLOOKUP(VLOOKUP(AQ$1,main!$A$3:$I$102,7,FALSE),main!$K$26:$Q$29,3,FALSE),1,0)</f>
        <v>0</v>
      </c>
      <c r="AR102">
        <f>IF(VLOOKUP(AR$1,main!$A$3:$H$102,5,FALSE)-VLOOKUP($A102,main!$A$3:$H$102,6,FALSE)&gt;=main!$D$103+VLOOKUP(VLOOKUP(AR$1,main!$A$3:$I$102,7,FALSE),main!$K$26:$Q$29,3,FALSE),1,0)</f>
        <v>0</v>
      </c>
      <c r="AS102">
        <f>IF(VLOOKUP(AS$1,main!$A$3:$H$102,5,FALSE)-VLOOKUP($A102,main!$A$3:$H$102,6,FALSE)&gt;=main!$D$103+VLOOKUP(VLOOKUP(AS$1,main!$A$3:$I$102,7,FALSE),main!$K$26:$Q$29,3,FALSE),1,0)</f>
        <v>0</v>
      </c>
      <c r="AT102">
        <f>IF(VLOOKUP(AT$1,main!$A$3:$H$102,5,FALSE)-VLOOKUP($A102,main!$A$3:$H$102,6,FALSE)&gt;=main!$D$103+VLOOKUP(VLOOKUP(AT$1,main!$A$3:$I$102,7,FALSE),main!$K$26:$Q$29,3,FALSE),1,0)</f>
        <v>0</v>
      </c>
      <c r="AU102">
        <f>IF(VLOOKUP(AU$1,main!$A$3:$H$102,5,FALSE)-VLOOKUP($A102,main!$A$3:$H$102,6,FALSE)&gt;=main!$D$103+VLOOKUP(VLOOKUP(AU$1,main!$A$3:$I$102,7,FALSE),main!$K$26:$Q$29,3,FALSE),1,0)</f>
        <v>0</v>
      </c>
      <c r="AV102">
        <f>IF(VLOOKUP(AV$1,main!$A$3:$H$102,5,FALSE)-VLOOKUP($A102,main!$A$3:$H$102,6,FALSE)&gt;=main!$D$103+VLOOKUP(VLOOKUP(AV$1,main!$A$3:$I$102,7,FALSE),main!$K$26:$Q$29,3,FALSE),1,0)</f>
        <v>0</v>
      </c>
      <c r="AW102">
        <f>IF(VLOOKUP(AW$1,main!$A$3:$H$102,5,FALSE)-VLOOKUP($A102,main!$A$3:$H$102,6,FALSE)&gt;=main!$D$103+VLOOKUP(VLOOKUP(AW$1,main!$A$3:$I$102,7,FALSE),main!$K$26:$Q$29,3,FALSE),1,0)</f>
        <v>0</v>
      </c>
      <c r="AX102">
        <f>IF(VLOOKUP(AX$1,main!$A$3:$H$102,5,FALSE)-VLOOKUP($A102,main!$A$3:$H$102,6,FALSE)&gt;=main!$D$103+VLOOKUP(VLOOKUP(AX$1,main!$A$3:$I$102,7,FALSE),main!$K$26:$Q$29,3,FALSE),1,0)</f>
        <v>0</v>
      </c>
      <c r="AY102">
        <f>IF(VLOOKUP(AY$1,main!$A$3:$H$102,5,FALSE)-VLOOKUP($A102,main!$A$3:$H$102,6,FALSE)&gt;=main!$D$103+VLOOKUP(VLOOKUP(AY$1,main!$A$3:$I$102,7,FALSE),main!$K$26:$Q$29,3,FALSE),1,0)</f>
        <v>0</v>
      </c>
      <c r="AZ102">
        <f>IF(VLOOKUP(AZ$1,main!$A$3:$H$102,5,FALSE)-VLOOKUP($A102,main!$A$3:$H$102,6,FALSE)&gt;=main!$D$103+VLOOKUP(VLOOKUP(AZ$1,main!$A$3:$I$102,7,FALSE),main!$K$26:$Q$29,3,FALSE),1,0)</f>
        <v>0</v>
      </c>
      <c r="BA102">
        <f>IF(VLOOKUP(BA$1,main!$A$3:$H$102,5,FALSE)-VLOOKUP($A102,main!$A$3:$H$102,6,FALSE)&gt;=main!$D$103+VLOOKUP(VLOOKUP(BA$1,main!$A$3:$I$102,7,FALSE),main!$K$26:$Q$29,3,FALSE),1,0)</f>
        <v>0</v>
      </c>
      <c r="BB102">
        <f>IF(VLOOKUP(BB$1,main!$A$3:$H$102,5,FALSE)-VLOOKUP($A102,main!$A$3:$H$102,6,FALSE)&gt;=main!$D$103+VLOOKUP(VLOOKUP(BB$1,main!$A$3:$I$102,7,FALSE),main!$K$26:$Q$29,3,FALSE),1,0)</f>
        <v>0</v>
      </c>
      <c r="BC102">
        <f>IF(VLOOKUP(BC$1,main!$A$3:$H$102,5,FALSE)-VLOOKUP($A102,main!$A$3:$H$102,6,FALSE)&gt;=main!$D$103+VLOOKUP(VLOOKUP(BC$1,main!$A$3:$I$102,7,FALSE),main!$K$26:$Q$29,3,FALSE),1,0)</f>
        <v>0</v>
      </c>
      <c r="BD102">
        <f>IF(VLOOKUP(BD$1,main!$A$3:$H$102,5,FALSE)-VLOOKUP($A102,main!$A$3:$H$102,6,FALSE)&gt;=main!$D$103+VLOOKUP(VLOOKUP(BD$1,main!$A$3:$I$102,7,FALSE),main!$K$26:$Q$29,3,FALSE),1,0)</f>
        <v>0</v>
      </c>
      <c r="BE102">
        <f>IF(VLOOKUP(BE$1,main!$A$3:$H$102,5,FALSE)-VLOOKUP($A102,main!$A$3:$H$102,6,FALSE)&gt;=main!$D$103+VLOOKUP(VLOOKUP(BE$1,main!$A$3:$I$102,7,FALSE),main!$K$26:$Q$29,3,FALSE),1,0)</f>
        <v>0</v>
      </c>
      <c r="BF102">
        <f>IF(VLOOKUP(BF$1,main!$A$3:$H$102,5,FALSE)-VLOOKUP($A102,main!$A$3:$H$102,6,FALSE)&gt;=main!$D$103+VLOOKUP(VLOOKUP(BF$1,main!$A$3:$I$102,7,FALSE),main!$K$26:$Q$29,3,FALSE),1,0)</f>
        <v>0</v>
      </c>
      <c r="BG102">
        <f>IF(VLOOKUP(BG$1,main!$A$3:$H$102,5,FALSE)-VLOOKUP($A102,main!$A$3:$H$102,6,FALSE)&gt;=main!$D$103+VLOOKUP(VLOOKUP(BG$1,main!$A$3:$I$102,7,FALSE),main!$K$26:$Q$29,3,FALSE),1,0)</f>
        <v>0</v>
      </c>
      <c r="BH102">
        <f>IF(VLOOKUP(BH$1,main!$A$3:$H$102,5,FALSE)-VLOOKUP($A102,main!$A$3:$H$102,6,FALSE)&gt;=main!$D$103+VLOOKUP(VLOOKUP(BH$1,main!$A$3:$I$102,7,FALSE),main!$K$26:$Q$29,3,FALSE),1,0)</f>
        <v>0</v>
      </c>
      <c r="BI102">
        <f>IF(VLOOKUP(BI$1,main!$A$3:$H$102,5,FALSE)-VLOOKUP($A102,main!$A$3:$H$102,6,FALSE)&gt;=main!$D$103+VLOOKUP(VLOOKUP(BI$1,main!$A$3:$I$102,7,FALSE),main!$K$26:$Q$29,3,FALSE),1,0)</f>
        <v>1</v>
      </c>
      <c r="BJ102">
        <f>IF(VLOOKUP(BJ$1,main!$A$3:$H$102,5,FALSE)-VLOOKUP($A102,main!$A$3:$H$102,6,FALSE)&gt;=main!$D$103+VLOOKUP(VLOOKUP(BJ$1,main!$A$3:$I$102,7,FALSE),main!$K$26:$Q$29,3,FALSE),1,0)</f>
        <v>0</v>
      </c>
      <c r="BK102">
        <f>IF(VLOOKUP(BK$1,main!$A$3:$H$102,5,FALSE)-VLOOKUP($A102,main!$A$3:$H$102,6,FALSE)&gt;=main!$D$103+VLOOKUP(VLOOKUP(BK$1,main!$A$3:$I$102,7,FALSE),main!$K$26:$Q$29,3,FALSE),1,0)</f>
        <v>0</v>
      </c>
      <c r="BL102">
        <f>IF(VLOOKUP(BL$1,main!$A$3:$H$102,5,FALSE)-VLOOKUP($A102,main!$A$3:$H$102,6,FALSE)&gt;=main!$D$103+VLOOKUP(VLOOKUP(BL$1,main!$A$3:$I$102,7,FALSE),main!$K$26:$Q$29,3,FALSE),1,0)</f>
        <v>0</v>
      </c>
      <c r="BM102">
        <f>IF(VLOOKUP(BM$1,main!$A$3:$H$102,5,FALSE)-VLOOKUP($A102,main!$A$3:$H$102,6,FALSE)&gt;=main!$D$103+VLOOKUP(VLOOKUP(BM$1,main!$A$3:$I$102,7,FALSE),main!$K$26:$Q$29,3,FALSE),1,0)</f>
        <v>0</v>
      </c>
      <c r="BN102">
        <f>IF(VLOOKUP(BN$1,main!$A$3:$H$102,5,FALSE)-VLOOKUP($A102,main!$A$3:$H$102,6,FALSE)&gt;=main!$D$103+VLOOKUP(VLOOKUP(BN$1,main!$A$3:$I$102,7,FALSE),main!$K$26:$Q$29,3,FALSE),1,0)</f>
        <v>0</v>
      </c>
      <c r="BO102">
        <f>IF(VLOOKUP(BO$1,main!$A$3:$H$102,5,FALSE)-VLOOKUP($A102,main!$A$3:$H$102,6,FALSE)&gt;=main!$D$103+VLOOKUP(VLOOKUP(BO$1,main!$A$3:$I$102,7,FALSE),main!$K$26:$Q$29,3,FALSE),1,0)</f>
        <v>0</v>
      </c>
      <c r="BP102">
        <f>IF(VLOOKUP(BP$1,main!$A$3:$H$102,5,FALSE)-VLOOKUP($A102,main!$A$3:$H$102,6,FALSE)&gt;=main!$D$103+VLOOKUP(VLOOKUP(BP$1,main!$A$3:$I$102,7,FALSE),main!$K$26:$Q$29,3,FALSE),1,0)</f>
        <v>0</v>
      </c>
      <c r="BQ102">
        <f>IF(VLOOKUP(BQ$1,main!$A$3:$H$102,5,FALSE)-VLOOKUP($A102,main!$A$3:$H$102,6,FALSE)&gt;=main!$D$103+VLOOKUP(VLOOKUP(BQ$1,main!$A$3:$I$102,7,FALSE),main!$K$26:$Q$29,3,FALSE),1,0)</f>
        <v>0</v>
      </c>
      <c r="BR102">
        <f>IF(VLOOKUP(BR$1,main!$A$3:$H$102,5,FALSE)-VLOOKUP($A102,main!$A$3:$H$102,6,FALSE)&gt;=main!$D$103+VLOOKUP(VLOOKUP(BR$1,main!$A$3:$I$102,7,FALSE),main!$K$26:$Q$29,3,FALSE),1,0)</f>
        <v>0</v>
      </c>
      <c r="BS102">
        <f>IF(VLOOKUP(BS$1,main!$A$3:$H$102,5,FALSE)-VLOOKUP($A102,main!$A$3:$H$102,6,FALSE)&gt;=main!$D$103+VLOOKUP(VLOOKUP(BS$1,main!$A$3:$I$102,7,FALSE),main!$K$26:$Q$29,3,FALSE),1,0)</f>
        <v>0</v>
      </c>
      <c r="BT102">
        <f>IF(VLOOKUP(BT$1,main!$A$3:$H$102,5,FALSE)-VLOOKUP($A102,main!$A$3:$H$102,6,FALSE)&gt;=main!$D$103+VLOOKUP(VLOOKUP(BT$1,main!$A$3:$I$102,7,FALSE),main!$K$26:$Q$29,3,FALSE),1,0)</f>
        <v>0</v>
      </c>
      <c r="BU102">
        <f>IF(VLOOKUP(BU$1,main!$A$3:$H$102,5,FALSE)-VLOOKUP($A102,main!$A$3:$H$102,6,FALSE)&gt;=main!$D$103+VLOOKUP(VLOOKUP(BU$1,main!$A$3:$I$102,7,FALSE),main!$K$26:$Q$29,3,FALSE),1,0)</f>
        <v>0</v>
      </c>
      <c r="BV102">
        <f>IF(VLOOKUP(BV$1,main!$A$3:$H$102,5,FALSE)-VLOOKUP($A102,main!$A$3:$H$102,6,FALSE)&gt;=main!$D$103+VLOOKUP(VLOOKUP(BV$1,main!$A$3:$I$102,7,FALSE),main!$K$26:$Q$29,3,FALSE),1,0)</f>
        <v>0</v>
      </c>
      <c r="BW102">
        <f>IF(VLOOKUP(BW$1,main!$A$3:$H$102,5,FALSE)-VLOOKUP($A102,main!$A$3:$H$102,6,FALSE)&gt;=main!$D$103+VLOOKUP(VLOOKUP(BW$1,main!$A$3:$I$102,7,FALSE),main!$K$26:$Q$29,3,FALSE),1,0)</f>
        <v>0</v>
      </c>
      <c r="BX102">
        <f>IF(VLOOKUP(BX$1,main!$A$3:$H$102,5,FALSE)-VLOOKUP($A102,main!$A$3:$H$102,6,FALSE)&gt;=main!$D$103+VLOOKUP(VLOOKUP(BX$1,main!$A$3:$I$102,7,FALSE),main!$K$26:$Q$29,3,FALSE),1,0)</f>
        <v>0</v>
      </c>
      <c r="BY102">
        <f>IF(VLOOKUP(BY$1,main!$A$3:$H$102,5,FALSE)-VLOOKUP($A102,main!$A$3:$H$102,6,FALSE)&gt;=main!$D$103+VLOOKUP(VLOOKUP(BY$1,main!$A$3:$I$102,7,FALSE),main!$K$26:$Q$29,3,FALSE),1,0)</f>
        <v>0</v>
      </c>
      <c r="BZ102">
        <f>IF(VLOOKUP(BZ$1,main!$A$3:$H$102,5,FALSE)-VLOOKUP($A102,main!$A$3:$H$102,6,FALSE)&gt;=main!$D$103+VLOOKUP(VLOOKUP(BZ$1,main!$A$3:$I$102,7,FALSE),main!$K$26:$Q$29,3,FALSE),1,0)</f>
        <v>0</v>
      </c>
      <c r="CA102">
        <f>IF(VLOOKUP(CA$1,main!$A$3:$H$102,5,FALSE)-VLOOKUP($A102,main!$A$3:$H$102,6,FALSE)&gt;=main!$D$103+VLOOKUP(VLOOKUP(CA$1,main!$A$3:$I$102,7,FALSE),main!$K$26:$Q$29,3,FALSE),1,0)</f>
        <v>0</v>
      </c>
      <c r="CB102">
        <f>IF(VLOOKUP(CB$1,main!$A$3:$H$102,5,FALSE)-VLOOKUP($A102,main!$A$3:$H$102,6,FALSE)&gt;=main!$D$103+VLOOKUP(VLOOKUP(CB$1,main!$A$3:$I$102,7,FALSE),main!$K$26:$Q$29,3,FALSE),1,0)</f>
        <v>0</v>
      </c>
      <c r="CC102">
        <f>IF(VLOOKUP(CC$1,main!$A$3:$H$102,5,FALSE)-VLOOKUP($A102,main!$A$3:$H$102,6,FALSE)&gt;=main!$D$103+VLOOKUP(VLOOKUP(CC$1,main!$A$3:$I$102,7,FALSE),main!$K$26:$Q$29,3,FALSE),1,0)</f>
        <v>0</v>
      </c>
      <c r="CD102">
        <f>IF(VLOOKUP(CD$1,main!$A$3:$H$102,5,FALSE)-VLOOKUP($A102,main!$A$3:$H$102,6,FALSE)&gt;=main!$D$103+VLOOKUP(VLOOKUP(CD$1,main!$A$3:$I$102,7,FALSE),main!$K$26:$Q$29,3,FALSE),1,0)</f>
        <v>0</v>
      </c>
      <c r="CE102">
        <f>IF(VLOOKUP(CE$1,main!$A$3:$H$102,5,FALSE)-VLOOKUP($A102,main!$A$3:$H$102,6,FALSE)&gt;=main!$D$103+VLOOKUP(VLOOKUP(CE$1,main!$A$3:$I$102,7,FALSE),main!$K$26:$Q$29,3,FALSE),1,0)</f>
        <v>0</v>
      </c>
      <c r="CF102">
        <f>IF(VLOOKUP(CF$1,main!$A$3:$H$102,5,FALSE)-VLOOKUP($A102,main!$A$3:$H$102,6,FALSE)&gt;=main!$D$103+VLOOKUP(VLOOKUP(CF$1,main!$A$3:$I$102,7,FALSE),main!$K$26:$Q$29,3,FALSE),1,0)</f>
        <v>0</v>
      </c>
      <c r="CG102">
        <f>IF(VLOOKUP(CG$1,main!$A$3:$H$102,5,FALSE)-VLOOKUP($A102,main!$A$3:$H$102,6,FALSE)&gt;=main!$D$103+VLOOKUP(VLOOKUP(CG$1,main!$A$3:$I$102,7,FALSE),main!$K$26:$Q$29,3,FALSE),1,0)</f>
        <v>0</v>
      </c>
      <c r="CH102">
        <f>IF(VLOOKUP(CH$1,main!$A$3:$H$102,5,FALSE)-VLOOKUP($A102,main!$A$3:$H$102,6,FALSE)&gt;=main!$D$103+VLOOKUP(VLOOKUP(CH$1,main!$A$3:$I$102,7,FALSE),main!$K$26:$Q$29,3,FALSE),1,0)</f>
        <v>0</v>
      </c>
      <c r="CI102">
        <f>IF(VLOOKUP(CI$1,main!$A$3:$H$102,5,FALSE)-VLOOKUP($A102,main!$A$3:$H$102,6,FALSE)&gt;=main!$D$103+VLOOKUP(VLOOKUP(CI$1,main!$A$3:$I$102,7,FALSE),main!$K$26:$Q$29,3,FALSE),1,0)</f>
        <v>1</v>
      </c>
      <c r="CJ102">
        <f>IF(VLOOKUP(CJ$1,main!$A$3:$H$102,5,FALSE)-VLOOKUP($A102,main!$A$3:$H$102,6,FALSE)&gt;=main!$D$103+VLOOKUP(VLOOKUP(CJ$1,main!$A$3:$I$102,7,FALSE),main!$K$26:$Q$29,3,FALSE),1,0)</f>
        <v>0</v>
      </c>
      <c r="CK102">
        <f>IF(VLOOKUP(CK$1,main!$A$3:$H$102,5,FALSE)-VLOOKUP($A102,main!$A$3:$H$102,6,FALSE)&gt;=main!$D$103+VLOOKUP(VLOOKUP(CK$1,main!$A$3:$I$102,7,FALSE),main!$K$26:$Q$29,3,FALSE),1,0)</f>
        <v>0</v>
      </c>
      <c r="CL102">
        <f>IF(VLOOKUP(CL$1,main!$A$3:$H$102,5,FALSE)-VLOOKUP($A102,main!$A$3:$H$102,6,FALSE)&gt;=main!$D$103+VLOOKUP(VLOOKUP(CL$1,main!$A$3:$I$102,7,FALSE),main!$K$26:$Q$29,3,FALSE),1,0)</f>
        <v>0</v>
      </c>
      <c r="CM102">
        <f>IF(VLOOKUP(CM$1,main!$A$3:$H$102,5,FALSE)-VLOOKUP($A102,main!$A$3:$H$102,6,FALSE)&gt;=main!$D$103+VLOOKUP(VLOOKUP(CM$1,main!$A$3:$I$102,7,FALSE),main!$K$26:$Q$29,3,FALSE),1,0)</f>
        <v>0</v>
      </c>
      <c r="CN102">
        <f>IF(VLOOKUP(CN$1,main!$A$3:$H$102,5,FALSE)-VLOOKUP($A102,main!$A$3:$H$102,6,FALSE)&gt;=main!$D$103+VLOOKUP(VLOOKUP(CN$1,main!$A$3:$I$102,7,FALSE),main!$K$26:$Q$29,3,FALSE),1,0)</f>
        <v>1</v>
      </c>
      <c r="CO102">
        <f>IF(VLOOKUP(CO$1,main!$A$3:$H$102,5,FALSE)-VLOOKUP($A102,main!$A$3:$H$102,6,FALSE)&gt;=main!$D$103+VLOOKUP(VLOOKUP(CO$1,main!$A$3:$I$102,7,FALSE),main!$K$26:$Q$29,3,FALSE),1,0)</f>
        <v>0</v>
      </c>
      <c r="CP102">
        <f>IF(VLOOKUP(CP$1,main!$A$3:$H$102,5,FALSE)-VLOOKUP($A102,main!$A$3:$H$102,6,FALSE)&gt;=main!$D$103+VLOOKUP(VLOOKUP(CP$1,main!$A$3:$I$102,7,FALSE),main!$K$26:$Q$29,3,FALSE),1,0)</f>
        <v>0</v>
      </c>
      <c r="CQ102">
        <f>IF(VLOOKUP(CQ$1,main!$A$3:$H$102,5,FALSE)-VLOOKUP($A102,main!$A$3:$H$102,6,FALSE)&gt;=main!$D$103+VLOOKUP(VLOOKUP(CQ$1,main!$A$3:$I$102,7,FALSE),main!$K$26:$Q$29,3,FALSE),1,0)</f>
        <v>0</v>
      </c>
      <c r="CR102">
        <f>IF(VLOOKUP(CR$1,main!$A$3:$H$102,5,FALSE)-VLOOKUP($A102,main!$A$3:$H$102,6,FALSE)&gt;=main!$D$103+VLOOKUP(VLOOKUP(CR$1,main!$A$3:$I$102,7,FALSE),main!$K$26:$Q$29,3,FALSE),1,0)</f>
        <v>0</v>
      </c>
      <c r="CS102">
        <f>IF(VLOOKUP(CS$1,main!$A$3:$H$102,5,FALSE)-VLOOKUP($A102,main!$A$3:$H$102,6,FALSE)&gt;=main!$D$103+VLOOKUP(VLOOKUP(CS$1,main!$A$3:$I$102,7,FALSE),main!$K$26:$Q$29,3,FALSE),1,0)</f>
        <v>0</v>
      </c>
      <c r="CT102">
        <f>IF(VLOOKUP(CT$1,main!$A$3:$H$102,5,FALSE)-VLOOKUP($A102,main!$A$3:$H$102,6,FALSE)&gt;=main!$D$103+VLOOKUP(VLOOKUP(CT$1,main!$A$3:$I$102,7,FALSE),main!$K$26:$Q$29,3,FALSE),1,0)</f>
        <v>0</v>
      </c>
      <c r="CU102">
        <f>IF(VLOOKUP(CU$1,main!$A$3:$H$102,5,FALSE)-VLOOKUP($A102,main!$A$3:$H$102,6,FALSE)&gt;=main!$D$103+VLOOKUP(VLOOKUP(CU$1,main!$A$3:$I$102,7,FALSE),main!$K$26:$Q$29,3,FALSE),1,0)</f>
        <v>0</v>
      </c>
      <c r="CV102">
        <f>IF(VLOOKUP(CV$1,main!$A$3:$H$102,5,FALSE)-VLOOKUP($A102,main!$A$3:$H$102,6,FALSE)&gt;=main!$D$103+VLOOKUP(VLOOKUP(CV$1,main!$A$3:$I$102,7,FALSE),main!$K$26:$Q$29,3,FALSE),1,0)</f>
        <v>0</v>
      </c>
      <c r="CW102">
        <f>IF(VLOOKUP(CW$1,main!$A$3:$H$102,5,FALSE)-VLOOKUP($A102,main!$A$3:$H$102,6,FALSE)&gt;=main!$D$103+VLOOKUP(VLOOKUP(CW$1,main!$A$3:$I$102,7,FALSE),main!$K$26:$Q$29,3,FALSE),1,0)</f>
        <v>0</v>
      </c>
      <c r="CX102">
        <f>IF(VLOOKUP(CX$1,main!$A$3:$H$102,5,FALSE)-VLOOKUP($A102,main!$A$3:$H$102,6,FALSE)&gt;=main!$D$103+VLOOKUP(VLOOKUP(CX$1,main!$A$3:$I$102,7,FALSE),main!$K$26:$Q$29,3,FALSE),1,0)</f>
        <v>0</v>
      </c>
    </row>
    <row r="103" spans="1:102" x14ac:dyDescent="0.25">
      <c r="A103" s="1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</row>
    <row r="104" spans="1:102" x14ac:dyDescent="0.25">
      <c r="A104" s="1">
        <v>1</v>
      </c>
      <c r="B104">
        <v>0</v>
      </c>
      <c r="C104">
        <f>IF(AND(VLOOKUP(C$1,main!$A$3:$H$102,7,FALSE)=main!$G$104,VLOOKUP(C$1,main!$A$3:$H$102,5,FALSE)-VLOOKUP($A104,main!$A$3:$H$102,6,FALSE)&gt;=main!$D$103+VLOOKUP(VLOOKUP(C$1,main!$A$3:$I$102,7,FALSE),main!$K$26:$Q$29,4,FALSE)),1,0)</f>
        <v>0</v>
      </c>
      <c r="D104">
        <f>IF(AND(VLOOKUP(D$1,main!$A$3:$H$102,7,FALSE)=main!$G$104,VLOOKUP(D$1,main!$A$3:$H$102,5,FALSE)-VLOOKUP($A104,main!$A$3:$H$102,6,FALSE)&gt;=main!$D$103+VLOOKUP(VLOOKUP(D$1,main!$A$3:$I$102,7,FALSE),main!$K$26:$Q$29,4,FALSE)),1,0)</f>
        <v>0</v>
      </c>
      <c r="E104">
        <f>IF(AND(VLOOKUP(E$1,main!$A$3:$H$102,7,FALSE)=main!$G$104,VLOOKUP(E$1,main!$A$3:$H$102,5,FALSE)-VLOOKUP($A104,main!$A$3:$H$102,6,FALSE)&gt;=main!$D$103+VLOOKUP(VLOOKUP(E$1,main!$A$3:$I$102,7,FALSE),main!$K$26:$Q$29,4,FALSE)),1,0)</f>
        <v>1</v>
      </c>
      <c r="F104">
        <f>IF(AND(VLOOKUP(F$1,main!$A$3:$H$102,7,FALSE)=main!$G$104,VLOOKUP(F$1,main!$A$3:$H$102,5,FALSE)-VLOOKUP($A104,main!$A$3:$H$102,6,FALSE)&gt;=main!$D$103+VLOOKUP(VLOOKUP(F$1,main!$A$3:$I$102,7,FALSE),main!$K$26:$Q$29,4,FALSE)),1,0)</f>
        <v>1</v>
      </c>
      <c r="G104">
        <f>IF(AND(VLOOKUP(G$1,main!$A$3:$H$102,7,FALSE)=main!$G$104,VLOOKUP(G$1,main!$A$3:$H$102,5,FALSE)-VLOOKUP($A104,main!$A$3:$H$102,6,FALSE)&gt;=main!$D$103+VLOOKUP(VLOOKUP(G$1,main!$A$3:$I$102,7,FALSE),main!$K$26:$Q$29,4,FALSE)),1,0)</f>
        <v>1</v>
      </c>
      <c r="H104">
        <f>IF(AND(VLOOKUP(H$1,main!$A$3:$H$102,7,FALSE)=main!$G$104,VLOOKUP(H$1,main!$A$3:$H$102,5,FALSE)-VLOOKUP($A104,main!$A$3:$H$102,6,FALSE)&gt;=main!$D$103+VLOOKUP(VLOOKUP(H$1,main!$A$3:$I$102,7,FALSE),main!$K$26:$Q$29,4,FALSE)),1,0)</f>
        <v>1</v>
      </c>
      <c r="I104">
        <f>IF(AND(VLOOKUP(I$1,main!$A$3:$H$102,7,FALSE)=main!$G$104,VLOOKUP(I$1,main!$A$3:$H$102,5,FALSE)-VLOOKUP($A104,main!$A$3:$H$102,6,FALSE)&gt;=main!$D$103+VLOOKUP(VLOOKUP(I$1,main!$A$3:$I$102,7,FALSE),main!$K$26:$Q$29,4,FALSE)),1,0)</f>
        <v>1</v>
      </c>
      <c r="J104">
        <f>IF(AND(VLOOKUP(J$1,main!$A$3:$H$102,7,FALSE)=main!$G$104,VLOOKUP(J$1,main!$A$3:$H$102,5,FALSE)-VLOOKUP($A104,main!$A$3:$H$102,6,FALSE)&gt;=main!$D$103+VLOOKUP(VLOOKUP(J$1,main!$A$3:$I$102,7,FALSE),main!$K$26:$Q$29,4,FALSE)),1,0)</f>
        <v>1</v>
      </c>
      <c r="K104">
        <f>IF(AND(VLOOKUP(K$1,main!$A$3:$H$102,7,FALSE)=main!$G$104,VLOOKUP(K$1,main!$A$3:$H$102,5,FALSE)-VLOOKUP($A104,main!$A$3:$H$102,6,FALSE)&gt;=main!$D$103+VLOOKUP(VLOOKUP(K$1,main!$A$3:$I$102,7,FALSE),main!$K$26:$Q$29,4,FALSE)),1,0)</f>
        <v>1</v>
      </c>
      <c r="L104">
        <f>IF(AND(VLOOKUP(L$1,main!$A$3:$H$102,7,FALSE)=main!$G$104,VLOOKUP(L$1,main!$A$3:$H$102,5,FALSE)-VLOOKUP($A104,main!$A$3:$H$102,6,FALSE)&gt;=main!$D$103+VLOOKUP(VLOOKUP(L$1,main!$A$3:$I$102,7,FALSE),main!$K$26:$Q$29,4,FALSE)),1,0)</f>
        <v>1</v>
      </c>
      <c r="M104">
        <f>IF(AND(VLOOKUP(M$1,main!$A$3:$H$102,7,FALSE)=main!$G$104,VLOOKUP(M$1,main!$A$3:$H$102,5,FALSE)-VLOOKUP($A104,main!$A$3:$H$102,6,FALSE)&gt;=main!$D$103+VLOOKUP(VLOOKUP(M$1,main!$A$3:$I$102,7,FALSE),main!$K$26:$Q$29,4,FALSE)),1,0)</f>
        <v>0</v>
      </c>
      <c r="N104">
        <f>IF(AND(VLOOKUP(N$1,main!$A$3:$H$102,7,FALSE)=main!$G$104,VLOOKUP(N$1,main!$A$3:$H$102,5,FALSE)-VLOOKUP($A104,main!$A$3:$H$102,6,FALSE)&gt;=main!$D$103+VLOOKUP(VLOOKUP(N$1,main!$A$3:$I$102,7,FALSE),main!$K$26:$Q$29,4,FALSE)),1,0)</f>
        <v>0</v>
      </c>
      <c r="O104">
        <f>IF(AND(VLOOKUP(O$1,main!$A$3:$H$102,7,FALSE)=main!$G$104,VLOOKUP(O$1,main!$A$3:$H$102,5,FALSE)-VLOOKUP($A104,main!$A$3:$H$102,6,FALSE)&gt;=main!$D$103+VLOOKUP(VLOOKUP(O$1,main!$A$3:$I$102,7,FALSE),main!$K$26:$Q$29,4,FALSE)),1,0)</f>
        <v>0</v>
      </c>
      <c r="P104">
        <f>IF(AND(VLOOKUP(P$1,main!$A$3:$H$102,7,FALSE)=main!$G$104,VLOOKUP(P$1,main!$A$3:$H$102,5,FALSE)-VLOOKUP($A104,main!$A$3:$H$102,6,FALSE)&gt;=main!$D$103+VLOOKUP(VLOOKUP(P$1,main!$A$3:$I$102,7,FALSE),main!$K$26:$Q$29,4,FALSE)),1,0)</f>
        <v>1</v>
      </c>
      <c r="Q104">
        <f>IF(AND(VLOOKUP(Q$1,main!$A$3:$H$102,7,FALSE)=main!$G$104,VLOOKUP(Q$1,main!$A$3:$H$102,5,FALSE)-VLOOKUP($A104,main!$A$3:$H$102,6,FALSE)&gt;=main!$D$103+VLOOKUP(VLOOKUP(Q$1,main!$A$3:$I$102,7,FALSE),main!$K$26:$Q$29,4,FALSE)),1,0)</f>
        <v>1</v>
      </c>
      <c r="R104">
        <f>IF(AND(VLOOKUP(R$1,main!$A$3:$H$102,7,FALSE)=main!$G$104,VLOOKUP(R$1,main!$A$3:$H$102,5,FALSE)-VLOOKUP($A104,main!$A$3:$H$102,6,FALSE)&gt;=main!$D$103+VLOOKUP(VLOOKUP(R$1,main!$A$3:$I$102,7,FALSE),main!$K$26:$Q$29,4,FALSE)),1,0)</f>
        <v>1</v>
      </c>
      <c r="S104">
        <f>IF(AND(VLOOKUP(S$1,main!$A$3:$H$102,7,FALSE)=main!$G$104,VLOOKUP(S$1,main!$A$3:$H$102,5,FALSE)-VLOOKUP($A104,main!$A$3:$H$102,6,FALSE)&gt;=main!$D$103+VLOOKUP(VLOOKUP(S$1,main!$A$3:$I$102,7,FALSE),main!$K$26:$Q$29,4,FALSE)),1,0)</f>
        <v>1</v>
      </c>
      <c r="T104">
        <f>IF(AND(VLOOKUP(T$1,main!$A$3:$H$102,7,FALSE)=main!$G$104,VLOOKUP(T$1,main!$A$3:$H$102,5,FALSE)-VLOOKUP($A104,main!$A$3:$H$102,6,FALSE)&gt;=main!$D$103+VLOOKUP(VLOOKUP(T$1,main!$A$3:$I$102,7,FALSE),main!$K$26:$Q$29,4,FALSE)),1,0)</f>
        <v>1</v>
      </c>
      <c r="U104">
        <f>IF(AND(VLOOKUP(U$1,main!$A$3:$H$102,7,FALSE)=main!$G$104,VLOOKUP(U$1,main!$A$3:$H$102,5,FALSE)-VLOOKUP($A104,main!$A$3:$H$102,6,FALSE)&gt;=main!$D$103+VLOOKUP(VLOOKUP(U$1,main!$A$3:$I$102,7,FALSE),main!$K$26:$Q$29,4,FALSE)),1,0)</f>
        <v>1</v>
      </c>
      <c r="V104">
        <f>IF(AND(VLOOKUP(V$1,main!$A$3:$H$102,7,FALSE)=main!$G$104,VLOOKUP(V$1,main!$A$3:$H$102,5,FALSE)-VLOOKUP($A104,main!$A$3:$H$102,6,FALSE)&gt;=main!$D$103+VLOOKUP(VLOOKUP(V$1,main!$A$3:$I$102,7,FALSE),main!$K$26:$Q$29,4,FALSE)),1,0)</f>
        <v>1</v>
      </c>
      <c r="W104">
        <f>IF(AND(VLOOKUP(W$1,main!$A$3:$H$102,7,FALSE)=main!$G$104,VLOOKUP(W$1,main!$A$3:$H$102,5,FALSE)-VLOOKUP($A104,main!$A$3:$H$102,6,FALSE)&gt;=main!$D$103+VLOOKUP(VLOOKUP(W$1,main!$A$3:$I$102,7,FALSE),main!$K$26:$Q$29,4,FALSE)),1,0)</f>
        <v>0</v>
      </c>
      <c r="X104">
        <f>IF(AND(VLOOKUP(X$1,main!$A$3:$H$102,7,FALSE)=main!$G$104,VLOOKUP(X$1,main!$A$3:$H$102,5,FALSE)-VLOOKUP($A104,main!$A$3:$H$102,6,FALSE)&gt;=main!$D$103+VLOOKUP(VLOOKUP(X$1,main!$A$3:$I$102,7,FALSE),main!$K$26:$Q$29,4,FALSE)),1,0)</f>
        <v>1</v>
      </c>
      <c r="Y104">
        <f>IF(AND(VLOOKUP(Y$1,main!$A$3:$H$102,7,FALSE)=main!$G$104,VLOOKUP(Y$1,main!$A$3:$H$102,5,FALSE)-VLOOKUP($A104,main!$A$3:$H$102,6,FALSE)&gt;=main!$D$103+VLOOKUP(VLOOKUP(Y$1,main!$A$3:$I$102,7,FALSE),main!$K$26:$Q$29,4,FALSE)),1,0)</f>
        <v>1</v>
      </c>
      <c r="Z104">
        <f>IF(AND(VLOOKUP(Z$1,main!$A$3:$H$102,7,FALSE)=main!$G$104,VLOOKUP(Z$1,main!$A$3:$H$102,5,FALSE)-VLOOKUP($A104,main!$A$3:$H$102,6,FALSE)&gt;=main!$D$103+VLOOKUP(VLOOKUP(Z$1,main!$A$3:$I$102,7,FALSE),main!$K$26:$Q$29,4,FALSE)),1,0)</f>
        <v>1</v>
      </c>
      <c r="AA104">
        <f>IF(AND(VLOOKUP(AA$1,main!$A$3:$H$102,7,FALSE)=main!$G$104,VLOOKUP(AA$1,main!$A$3:$H$102,5,FALSE)-VLOOKUP($A104,main!$A$3:$H$102,6,FALSE)&gt;=main!$D$103+VLOOKUP(VLOOKUP(AA$1,main!$A$3:$I$102,7,FALSE),main!$K$26:$Q$29,4,FALSE)),1,0)</f>
        <v>1</v>
      </c>
      <c r="AB104">
        <f>IF(AND(VLOOKUP(AB$1,main!$A$3:$H$102,7,FALSE)=main!$G$104,VLOOKUP(AB$1,main!$A$3:$H$102,5,FALSE)-VLOOKUP($A104,main!$A$3:$H$102,6,FALSE)&gt;=main!$D$103+VLOOKUP(VLOOKUP(AB$1,main!$A$3:$I$102,7,FALSE),main!$K$26:$Q$29,4,FALSE)),1,0)</f>
        <v>0</v>
      </c>
      <c r="AC104">
        <f>IF(AND(VLOOKUP(AC$1,main!$A$3:$H$102,7,FALSE)=main!$G$104,VLOOKUP(AC$1,main!$A$3:$H$102,5,FALSE)-VLOOKUP($A104,main!$A$3:$H$102,6,FALSE)&gt;=main!$D$103+VLOOKUP(VLOOKUP(AC$1,main!$A$3:$I$102,7,FALSE),main!$K$26:$Q$29,4,FALSE)),1,0)</f>
        <v>0</v>
      </c>
      <c r="AD104">
        <f>IF(AND(VLOOKUP(AD$1,main!$A$3:$H$102,7,FALSE)=main!$G$104,VLOOKUP(AD$1,main!$A$3:$H$102,5,FALSE)-VLOOKUP($A104,main!$A$3:$H$102,6,FALSE)&gt;=main!$D$103+VLOOKUP(VLOOKUP(AD$1,main!$A$3:$I$102,7,FALSE),main!$K$26:$Q$29,4,FALSE)),1,0)</f>
        <v>1</v>
      </c>
      <c r="AE104">
        <f>IF(AND(VLOOKUP(AE$1,main!$A$3:$H$102,7,FALSE)=main!$G$104,VLOOKUP(AE$1,main!$A$3:$H$102,5,FALSE)-VLOOKUP($A104,main!$A$3:$H$102,6,FALSE)&gt;=main!$D$103+VLOOKUP(VLOOKUP(AE$1,main!$A$3:$I$102,7,FALSE),main!$K$26:$Q$29,4,FALSE)),1,0)</f>
        <v>1</v>
      </c>
      <c r="AF104">
        <f>IF(AND(VLOOKUP(AF$1,main!$A$3:$H$102,7,FALSE)=main!$G$104,VLOOKUP(AF$1,main!$A$3:$H$102,5,FALSE)-VLOOKUP($A104,main!$A$3:$H$102,6,FALSE)&gt;=main!$D$103+VLOOKUP(VLOOKUP(AF$1,main!$A$3:$I$102,7,FALSE),main!$K$26:$Q$29,4,FALSE)),1,0)</f>
        <v>1</v>
      </c>
      <c r="AG104">
        <f>IF(AND(VLOOKUP(AG$1,main!$A$3:$H$102,7,FALSE)=main!$G$104,VLOOKUP(AG$1,main!$A$3:$H$102,5,FALSE)-VLOOKUP($A104,main!$A$3:$H$102,6,FALSE)&gt;=main!$D$103+VLOOKUP(VLOOKUP(AG$1,main!$A$3:$I$102,7,FALSE),main!$K$26:$Q$29,4,FALSE)),1,0)</f>
        <v>0</v>
      </c>
      <c r="AH104">
        <f>IF(AND(VLOOKUP(AH$1,main!$A$3:$H$102,7,FALSE)=main!$G$104,VLOOKUP(AH$1,main!$A$3:$H$102,5,FALSE)-VLOOKUP($A104,main!$A$3:$H$102,6,FALSE)&gt;=main!$D$103+VLOOKUP(VLOOKUP(AH$1,main!$A$3:$I$102,7,FALSE),main!$K$26:$Q$29,4,FALSE)),1,0)</f>
        <v>0</v>
      </c>
      <c r="AI104">
        <f>IF(AND(VLOOKUP(AI$1,main!$A$3:$H$102,7,FALSE)=main!$G$104,VLOOKUP(AI$1,main!$A$3:$H$102,5,FALSE)-VLOOKUP($A104,main!$A$3:$H$102,6,FALSE)&gt;=main!$D$103+VLOOKUP(VLOOKUP(AI$1,main!$A$3:$I$102,7,FALSE),main!$K$26:$Q$29,4,FALSE)),1,0)</f>
        <v>0</v>
      </c>
      <c r="AJ104">
        <f>IF(AND(VLOOKUP(AJ$1,main!$A$3:$H$102,7,FALSE)=main!$G$104,VLOOKUP(AJ$1,main!$A$3:$H$102,5,FALSE)-VLOOKUP($A104,main!$A$3:$H$102,6,FALSE)&gt;=main!$D$103+VLOOKUP(VLOOKUP(AJ$1,main!$A$3:$I$102,7,FALSE),main!$K$26:$Q$29,4,FALSE)),1,0)</f>
        <v>0</v>
      </c>
      <c r="AK104">
        <f>IF(AND(VLOOKUP(AK$1,main!$A$3:$H$102,7,FALSE)=main!$G$104,VLOOKUP(AK$1,main!$A$3:$H$102,5,FALSE)-VLOOKUP($A104,main!$A$3:$H$102,6,FALSE)&gt;=main!$D$103+VLOOKUP(VLOOKUP(AK$1,main!$A$3:$I$102,7,FALSE),main!$K$26:$Q$29,4,FALSE)),1,0)</f>
        <v>0</v>
      </c>
      <c r="AL104">
        <f>IF(AND(VLOOKUP(AL$1,main!$A$3:$H$102,7,FALSE)=main!$G$104,VLOOKUP(AL$1,main!$A$3:$H$102,5,FALSE)-VLOOKUP($A104,main!$A$3:$H$102,6,FALSE)&gt;=main!$D$103+VLOOKUP(VLOOKUP(AL$1,main!$A$3:$I$102,7,FALSE),main!$K$26:$Q$29,4,FALSE)),1,0)</f>
        <v>0</v>
      </c>
      <c r="AM104">
        <f>IF(AND(VLOOKUP(AM$1,main!$A$3:$H$102,7,FALSE)=main!$G$104,VLOOKUP(AM$1,main!$A$3:$H$102,5,FALSE)-VLOOKUP($A104,main!$A$3:$H$102,6,FALSE)&gt;=main!$D$103+VLOOKUP(VLOOKUP(AM$1,main!$A$3:$I$102,7,FALSE),main!$K$26:$Q$29,4,FALSE)),1,0)</f>
        <v>0</v>
      </c>
      <c r="AN104">
        <f>IF(AND(VLOOKUP(AN$1,main!$A$3:$H$102,7,FALSE)=main!$G$104,VLOOKUP(AN$1,main!$A$3:$H$102,5,FALSE)-VLOOKUP($A104,main!$A$3:$H$102,6,FALSE)&gt;=main!$D$103+VLOOKUP(VLOOKUP(AN$1,main!$A$3:$I$102,7,FALSE),main!$K$26:$Q$29,4,FALSE)),1,0)</f>
        <v>0</v>
      </c>
      <c r="AO104">
        <f>IF(AND(VLOOKUP(AO$1,main!$A$3:$H$102,7,FALSE)=main!$G$104,VLOOKUP(AO$1,main!$A$3:$H$102,5,FALSE)-VLOOKUP($A104,main!$A$3:$H$102,6,FALSE)&gt;=main!$D$103+VLOOKUP(VLOOKUP(AO$1,main!$A$3:$I$102,7,FALSE),main!$K$26:$Q$29,4,FALSE)),1,0)</f>
        <v>0</v>
      </c>
      <c r="AP104">
        <f>IF(AND(VLOOKUP(AP$1,main!$A$3:$H$102,7,FALSE)=main!$G$104,VLOOKUP(AP$1,main!$A$3:$H$102,5,FALSE)-VLOOKUP($A104,main!$A$3:$H$102,6,FALSE)&gt;=main!$D$103+VLOOKUP(VLOOKUP(AP$1,main!$A$3:$I$102,7,FALSE),main!$K$26:$Q$29,4,FALSE)),1,0)</f>
        <v>0</v>
      </c>
      <c r="AQ104">
        <f>IF(AND(VLOOKUP(AQ$1,main!$A$3:$H$102,7,FALSE)=main!$G$104,VLOOKUP(AQ$1,main!$A$3:$H$102,5,FALSE)-VLOOKUP($A104,main!$A$3:$H$102,6,FALSE)&gt;=main!$D$103+VLOOKUP(VLOOKUP(AQ$1,main!$A$3:$I$102,7,FALSE),main!$K$26:$Q$29,4,FALSE)),1,0)</f>
        <v>0</v>
      </c>
      <c r="AR104">
        <f>IF(AND(VLOOKUP(AR$1,main!$A$3:$H$102,7,FALSE)=main!$G$104,VLOOKUP(AR$1,main!$A$3:$H$102,5,FALSE)-VLOOKUP($A104,main!$A$3:$H$102,6,FALSE)&gt;=main!$D$103+VLOOKUP(VLOOKUP(AR$1,main!$A$3:$I$102,7,FALSE),main!$K$26:$Q$29,4,FALSE)),1,0)</f>
        <v>0</v>
      </c>
      <c r="AS104">
        <f>IF(AND(VLOOKUP(AS$1,main!$A$3:$H$102,7,FALSE)=main!$G$104,VLOOKUP(AS$1,main!$A$3:$H$102,5,FALSE)-VLOOKUP($A104,main!$A$3:$H$102,6,FALSE)&gt;=main!$D$103+VLOOKUP(VLOOKUP(AS$1,main!$A$3:$I$102,7,FALSE),main!$K$26:$Q$29,4,FALSE)),1,0)</f>
        <v>0</v>
      </c>
      <c r="AT104">
        <f>IF(AND(VLOOKUP(AT$1,main!$A$3:$H$102,7,FALSE)=main!$G$104,VLOOKUP(AT$1,main!$A$3:$H$102,5,FALSE)-VLOOKUP($A104,main!$A$3:$H$102,6,FALSE)&gt;=main!$D$103+VLOOKUP(VLOOKUP(AT$1,main!$A$3:$I$102,7,FALSE),main!$K$26:$Q$29,4,FALSE)),1,0)</f>
        <v>0</v>
      </c>
      <c r="AU104">
        <f>IF(AND(VLOOKUP(AU$1,main!$A$3:$H$102,7,FALSE)=main!$G$104,VLOOKUP(AU$1,main!$A$3:$H$102,5,FALSE)-VLOOKUP($A104,main!$A$3:$H$102,6,FALSE)&gt;=main!$D$103+VLOOKUP(VLOOKUP(AU$1,main!$A$3:$I$102,7,FALSE),main!$K$26:$Q$29,4,FALSE)),1,0)</f>
        <v>0</v>
      </c>
      <c r="AV104">
        <f>IF(AND(VLOOKUP(AV$1,main!$A$3:$H$102,7,FALSE)=main!$G$104,VLOOKUP(AV$1,main!$A$3:$H$102,5,FALSE)-VLOOKUP($A104,main!$A$3:$H$102,6,FALSE)&gt;=main!$D$103+VLOOKUP(VLOOKUP(AV$1,main!$A$3:$I$102,7,FALSE),main!$K$26:$Q$29,4,FALSE)),1,0)</f>
        <v>0</v>
      </c>
      <c r="AW104">
        <f>IF(AND(VLOOKUP(AW$1,main!$A$3:$H$102,7,FALSE)=main!$G$104,VLOOKUP(AW$1,main!$A$3:$H$102,5,FALSE)-VLOOKUP($A104,main!$A$3:$H$102,6,FALSE)&gt;=main!$D$103+VLOOKUP(VLOOKUP(AW$1,main!$A$3:$I$102,7,FALSE),main!$K$26:$Q$29,4,FALSE)),1,0)</f>
        <v>0</v>
      </c>
      <c r="AX104">
        <f>IF(AND(VLOOKUP(AX$1,main!$A$3:$H$102,7,FALSE)=main!$G$104,VLOOKUP(AX$1,main!$A$3:$H$102,5,FALSE)-VLOOKUP($A104,main!$A$3:$H$102,6,FALSE)&gt;=main!$D$103+VLOOKUP(VLOOKUP(AX$1,main!$A$3:$I$102,7,FALSE),main!$K$26:$Q$29,4,FALSE)),1,0)</f>
        <v>0</v>
      </c>
      <c r="AY104">
        <f>IF(AND(VLOOKUP(AY$1,main!$A$3:$H$102,7,FALSE)=main!$G$104,VLOOKUP(AY$1,main!$A$3:$H$102,5,FALSE)-VLOOKUP($A104,main!$A$3:$H$102,6,FALSE)&gt;=main!$D$103+VLOOKUP(VLOOKUP(AY$1,main!$A$3:$I$102,7,FALSE),main!$K$26:$Q$29,4,FALSE)),1,0)</f>
        <v>0</v>
      </c>
      <c r="AZ104">
        <f>IF(AND(VLOOKUP(AZ$1,main!$A$3:$H$102,7,FALSE)=main!$G$104,VLOOKUP(AZ$1,main!$A$3:$H$102,5,FALSE)-VLOOKUP($A104,main!$A$3:$H$102,6,FALSE)&gt;=main!$D$103+VLOOKUP(VLOOKUP(AZ$1,main!$A$3:$I$102,7,FALSE),main!$K$26:$Q$29,4,FALSE)),1,0)</f>
        <v>0</v>
      </c>
      <c r="BA104">
        <f>IF(AND(VLOOKUP(BA$1,main!$A$3:$H$102,7,FALSE)=main!$G$104,VLOOKUP(BA$1,main!$A$3:$H$102,5,FALSE)-VLOOKUP($A104,main!$A$3:$H$102,6,FALSE)&gt;=main!$D$103+VLOOKUP(VLOOKUP(BA$1,main!$A$3:$I$102,7,FALSE),main!$K$26:$Q$29,4,FALSE)),1,0)</f>
        <v>0</v>
      </c>
      <c r="BB104">
        <f>IF(AND(VLOOKUP(BB$1,main!$A$3:$H$102,7,FALSE)=main!$G$104,VLOOKUP(BB$1,main!$A$3:$H$102,5,FALSE)-VLOOKUP($A104,main!$A$3:$H$102,6,FALSE)&gt;=main!$D$103+VLOOKUP(VLOOKUP(BB$1,main!$A$3:$I$102,7,FALSE),main!$K$26:$Q$29,4,FALSE)),1,0)</f>
        <v>0</v>
      </c>
      <c r="BC104">
        <f>IF(AND(VLOOKUP(BC$1,main!$A$3:$H$102,7,FALSE)=main!$G$104,VLOOKUP(BC$1,main!$A$3:$H$102,5,FALSE)-VLOOKUP($A104,main!$A$3:$H$102,6,FALSE)&gt;=main!$D$103+VLOOKUP(VLOOKUP(BC$1,main!$A$3:$I$102,7,FALSE),main!$K$26:$Q$29,4,FALSE)),1,0)</f>
        <v>0</v>
      </c>
      <c r="BD104">
        <f>IF(AND(VLOOKUP(BD$1,main!$A$3:$H$102,7,FALSE)=main!$G$104,VLOOKUP(BD$1,main!$A$3:$H$102,5,FALSE)-VLOOKUP($A104,main!$A$3:$H$102,6,FALSE)&gt;=main!$D$103+VLOOKUP(VLOOKUP(BD$1,main!$A$3:$I$102,7,FALSE),main!$K$26:$Q$29,4,FALSE)),1,0)</f>
        <v>0</v>
      </c>
      <c r="BE104">
        <f>IF(AND(VLOOKUP(BE$1,main!$A$3:$H$102,7,FALSE)=main!$G$104,VLOOKUP(BE$1,main!$A$3:$H$102,5,FALSE)-VLOOKUP($A104,main!$A$3:$H$102,6,FALSE)&gt;=main!$D$103+VLOOKUP(VLOOKUP(BE$1,main!$A$3:$I$102,7,FALSE),main!$K$26:$Q$29,4,FALSE)),1,0)</f>
        <v>0</v>
      </c>
      <c r="BF104">
        <f>IF(AND(VLOOKUP(BF$1,main!$A$3:$H$102,7,FALSE)=main!$G$104,VLOOKUP(BF$1,main!$A$3:$H$102,5,FALSE)-VLOOKUP($A104,main!$A$3:$H$102,6,FALSE)&gt;=main!$D$103+VLOOKUP(VLOOKUP(BF$1,main!$A$3:$I$102,7,FALSE),main!$K$26:$Q$29,4,FALSE)),1,0)</f>
        <v>0</v>
      </c>
      <c r="BG104">
        <f>IF(AND(VLOOKUP(BG$1,main!$A$3:$H$102,7,FALSE)=main!$G$104,VLOOKUP(BG$1,main!$A$3:$H$102,5,FALSE)-VLOOKUP($A104,main!$A$3:$H$102,6,FALSE)&gt;=main!$D$103+VLOOKUP(VLOOKUP(BG$1,main!$A$3:$I$102,7,FALSE),main!$K$26:$Q$29,4,FALSE)),1,0)</f>
        <v>0</v>
      </c>
      <c r="BH104">
        <f>IF(AND(VLOOKUP(BH$1,main!$A$3:$H$102,7,FALSE)=main!$G$104,VLOOKUP(BH$1,main!$A$3:$H$102,5,FALSE)-VLOOKUP($A104,main!$A$3:$H$102,6,FALSE)&gt;=main!$D$103+VLOOKUP(VLOOKUP(BH$1,main!$A$3:$I$102,7,FALSE),main!$K$26:$Q$29,4,FALSE)),1,0)</f>
        <v>0</v>
      </c>
      <c r="BI104">
        <f>IF(AND(VLOOKUP(BI$1,main!$A$3:$H$102,7,FALSE)=main!$G$104,VLOOKUP(BI$1,main!$A$3:$H$102,5,FALSE)-VLOOKUP($A104,main!$A$3:$H$102,6,FALSE)&gt;=main!$D$103+VLOOKUP(VLOOKUP(BI$1,main!$A$3:$I$102,7,FALSE),main!$K$26:$Q$29,4,FALSE)),1,0)</f>
        <v>0</v>
      </c>
      <c r="BJ104">
        <f>IF(AND(VLOOKUP(BJ$1,main!$A$3:$H$102,7,FALSE)=main!$G$104,VLOOKUP(BJ$1,main!$A$3:$H$102,5,FALSE)-VLOOKUP($A104,main!$A$3:$H$102,6,FALSE)&gt;=main!$D$103+VLOOKUP(VLOOKUP(BJ$1,main!$A$3:$I$102,7,FALSE),main!$K$26:$Q$29,4,FALSE)),1,0)</f>
        <v>0</v>
      </c>
      <c r="BK104">
        <f>IF(AND(VLOOKUP(BK$1,main!$A$3:$H$102,7,FALSE)=main!$G$104,VLOOKUP(BK$1,main!$A$3:$H$102,5,FALSE)-VLOOKUP($A104,main!$A$3:$H$102,6,FALSE)&gt;=main!$D$103+VLOOKUP(VLOOKUP(BK$1,main!$A$3:$I$102,7,FALSE),main!$K$26:$Q$29,4,FALSE)),1,0)</f>
        <v>0</v>
      </c>
      <c r="BL104">
        <f>IF(AND(VLOOKUP(BL$1,main!$A$3:$H$102,7,FALSE)=main!$G$104,VLOOKUP(BL$1,main!$A$3:$H$102,5,FALSE)-VLOOKUP($A104,main!$A$3:$H$102,6,FALSE)&gt;=main!$D$103+VLOOKUP(VLOOKUP(BL$1,main!$A$3:$I$102,7,FALSE),main!$K$26:$Q$29,4,FALSE)),1,0)</f>
        <v>0</v>
      </c>
      <c r="BM104">
        <f>IF(AND(VLOOKUP(BM$1,main!$A$3:$H$102,7,FALSE)=main!$G$104,VLOOKUP(BM$1,main!$A$3:$H$102,5,FALSE)-VLOOKUP($A104,main!$A$3:$H$102,6,FALSE)&gt;=main!$D$103+VLOOKUP(VLOOKUP(BM$1,main!$A$3:$I$102,7,FALSE),main!$K$26:$Q$29,4,FALSE)),1,0)</f>
        <v>0</v>
      </c>
      <c r="BN104">
        <f>IF(AND(VLOOKUP(BN$1,main!$A$3:$H$102,7,FALSE)=main!$G$104,VLOOKUP(BN$1,main!$A$3:$H$102,5,FALSE)-VLOOKUP($A104,main!$A$3:$H$102,6,FALSE)&gt;=main!$D$103+VLOOKUP(VLOOKUP(BN$1,main!$A$3:$I$102,7,FALSE),main!$K$26:$Q$29,4,FALSE)),1,0)</f>
        <v>0</v>
      </c>
      <c r="BO104">
        <f>IF(AND(VLOOKUP(BO$1,main!$A$3:$H$102,7,FALSE)=main!$G$104,VLOOKUP(BO$1,main!$A$3:$H$102,5,FALSE)-VLOOKUP($A104,main!$A$3:$H$102,6,FALSE)&gt;=main!$D$103+VLOOKUP(VLOOKUP(BO$1,main!$A$3:$I$102,7,FALSE),main!$K$26:$Q$29,4,FALSE)),1,0)</f>
        <v>0</v>
      </c>
      <c r="BP104">
        <f>IF(AND(VLOOKUP(BP$1,main!$A$3:$H$102,7,FALSE)=main!$G$104,VLOOKUP(BP$1,main!$A$3:$H$102,5,FALSE)-VLOOKUP($A104,main!$A$3:$H$102,6,FALSE)&gt;=main!$D$103+VLOOKUP(VLOOKUP(BP$1,main!$A$3:$I$102,7,FALSE),main!$K$26:$Q$29,4,FALSE)),1,0)</f>
        <v>0</v>
      </c>
      <c r="BQ104">
        <f>IF(AND(VLOOKUP(BQ$1,main!$A$3:$H$102,7,FALSE)=main!$G$104,VLOOKUP(BQ$1,main!$A$3:$H$102,5,FALSE)-VLOOKUP($A104,main!$A$3:$H$102,6,FALSE)&gt;=main!$D$103+VLOOKUP(VLOOKUP(BQ$1,main!$A$3:$I$102,7,FALSE),main!$K$26:$Q$29,4,FALSE)),1,0)</f>
        <v>0</v>
      </c>
      <c r="BR104">
        <f>IF(AND(VLOOKUP(BR$1,main!$A$3:$H$102,7,FALSE)=main!$G$104,VLOOKUP(BR$1,main!$A$3:$H$102,5,FALSE)-VLOOKUP($A104,main!$A$3:$H$102,6,FALSE)&gt;=main!$D$103+VLOOKUP(VLOOKUP(BR$1,main!$A$3:$I$102,7,FALSE),main!$K$26:$Q$29,4,FALSE)),1,0)</f>
        <v>0</v>
      </c>
      <c r="BS104">
        <f>IF(AND(VLOOKUP(BS$1,main!$A$3:$H$102,7,FALSE)=main!$G$104,VLOOKUP(BS$1,main!$A$3:$H$102,5,FALSE)-VLOOKUP($A104,main!$A$3:$H$102,6,FALSE)&gt;=main!$D$103+VLOOKUP(VLOOKUP(BS$1,main!$A$3:$I$102,7,FALSE),main!$K$26:$Q$29,4,FALSE)),1,0)</f>
        <v>0</v>
      </c>
      <c r="BT104">
        <f>IF(AND(VLOOKUP(BT$1,main!$A$3:$H$102,7,FALSE)=main!$G$104,VLOOKUP(BT$1,main!$A$3:$H$102,5,FALSE)-VLOOKUP($A104,main!$A$3:$H$102,6,FALSE)&gt;=main!$D$103+VLOOKUP(VLOOKUP(BT$1,main!$A$3:$I$102,7,FALSE),main!$K$26:$Q$29,4,FALSE)),1,0)</f>
        <v>0</v>
      </c>
      <c r="BU104">
        <f>IF(AND(VLOOKUP(BU$1,main!$A$3:$H$102,7,FALSE)=main!$G$104,VLOOKUP(BU$1,main!$A$3:$H$102,5,FALSE)-VLOOKUP($A104,main!$A$3:$H$102,6,FALSE)&gt;=main!$D$103+VLOOKUP(VLOOKUP(BU$1,main!$A$3:$I$102,7,FALSE),main!$K$26:$Q$29,4,FALSE)),1,0)</f>
        <v>0</v>
      </c>
      <c r="BV104">
        <f>IF(AND(VLOOKUP(BV$1,main!$A$3:$H$102,7,FALSE)=main!$G$104,VLOOKUP(BV$1,main!$A$3:$H$102,5,FALSE)-VLOOKUP($A104,main!$A$3:$H$102,6,FALSE)&gt;=main!$D$103+VLOOKUP(VLOOKUP(BV$1,main!$A$3:$I$102,7,FALSE),main!$K$26:$Q$29,4,FALSE)),1,0)</f>
        <v>0</v>
      </c>
      <c r="BW104">
        <f>IF(AND(VLOOKUP(BW$1,main!$A$3:$H$102,7,FALSE)=main!$G$104,VLOOKUP(BW$1,main!$A$3:$H$102,5,FALSE)-VLOOKUP($A104,main!$A$3:$H$102,6,FALSE)&gt;=main!$D$103+VLOOKUP(VLOOKUP(BW$1,main!$A$3:$I$102,7,FALSE),main!$K$26:$Q$29,4,FALSE)),1,0)</f>
        <v>0</v>
      </c>
      <c r="BX104">
        <f>IF(AND(VLOOKUP(BX$1,main!$A$3:$H$102,7,FALSE)=main!$G$104,VLOOKUP(BX$1,main!$A$3:$H$102,5,FALSE)-VLOOKUP($A104,main!$A$3:$H$102,6,FALSE)&gt;=main!$D$103+VLOOKUP(VLOOKUP(BX$1,main!$A$3:$I$102,7,FALSE),main!$K$26:$Q$29,4,FALSE)),1,0)</f>
        <v>0</v>
      </c>
      <c r="BY104">
        <f>IF(AND(VLOOKUP(BY$1,main!$A$3:$H$102,7,FALSE)=main!$G$104,VLOOKUP(BY$1,main!$A$3:$H$102,5,FALSE)-VLOOKUP($A104,main!$A$3:$H$102,6,FALSE)&gt;=main!$D$103+VLOOKUP(VLOOKUP(BY$1,main!$A$3:$I$102,7,FALSE),main!$K$26:$Q$29,4,FALSE)),1,0)</f>
        <v>0</v>
      </c>
      <c r="BZ104">
        <f>IF(AND(VLOOKUP(BZ$1,main!$A$3:$H$102,7,FALSE)=main!$G$104,VLOOKUP(BZ$1,main!$A$3:$H$102,5,FALSE)-VLOOKUP($A104,main!$A$3:$H$102,6,FALSE)&gt;=main!$D$103+VLOOKUP(VLOOKUP(BZ$1,main!$A$3:$I$102,7,FALSE),main!$K$26:$Q$29,4,FALSE)),1,0)</f>
        <v>0</v>
      </c>
      <c r="CA104">
        <f>IF(AND(VLOOKUP(CA$1,main!$A$3:$H$102,7,FALSE)=main!$G$104,VLOOKUP(CA$1,main!$A$3:$H$102,5,FALSE)-VLOOKUP($A104,main!$A$3:$H$102,6,FALSE)&gt;=main!$D$103+VLOOKUP(VLOOKUP(CA$1,main!$A$3:$I$102,7,FALSE),main!$K$26:$Q$29,4,FALSE)),1,0)</f>
        <v>0</v>
      </c>
      <c r="CB104">
        <f>IF(AND(VLOOKUP(CB$1,main!$A$3:$H$102,7,FALSE)=main!$G$104,VLOOKUP(CB$1,main!$A$3:$H$102,5,FALSE)-VLOOKUP($A104,main!$A$3:$H$102,6,FALSE)&gt;=main!$D$103+VLOOKUP(VLOOKUP(CB$1,main!$A$3:$I$102,7,FALSE),main!$K$26:$Q$29,4,FALSE)),1,0)</f>
        <v>0</v>
      </c>
      <c r="CC104">
        <f>IF(AND(VLOOKUP(CC$1,main!$A$3:$H$102,7,FALSE)=main!$G$104,VLOOKUP(CC$1,main!$A$3:$H$102,5,FALSE)-VLOOKUP($A104,main!$A$3:$H$102,6,FALSE)&gt;=main!$D$103+VLOOKUP(VLOOKUP(CC$1,main!$A$3:$I$102,7,FALSE),main!$K$26:$Q$29,4,FALSE)),1,0)</f>
        <v>0</v>
      </c>
      <c r="CD104">
        <f>IF(AND(VLOOKUP(CD$1,main!$A$3:$H$102,7,FALSE)=main!$G$104,VLOOKUP(CD$1,main!$A$3:$H$102,5,FALSE)-VLOOKUP($A104,main!$A$3:$H$102,6,FALSE)&gt;=main!$D$103+VLOOKUP(VLOOKUP(CD$1,main!$A$3:$I$102,7,FALSE),main!$K$26:$Q$29,4,FALSE)),1,0)</f>
        <v>0</v>
      </c>
      <c r="CE104">
        <f>IF(AND(VLOOKUP(CE$1,main!$A$3:$H$102,7,FALSE)=main!$G$104,VLOOKUP(CE$1,main!$A$3:$H$102,5,FALSE)-VLOOKUP($A104,main!$A$3:$H$102,6,FALSE)&gt;=main!$D$103+VLOOKUP(VLOOKUP(CE$1,main!$A$3:$I$102,7,FALSE),main!$K$26:$Q$29,4,FALSE)),1,0)</f>
        <v>0</v>
      </c>
      <c r="CF104">
        <f>IF(AND(VLOOKUP(CF$1,main!$A$3:$H$102,7,FALSE)=main!$G$104,VLOOKUP(CF$1,main!$A$3:$H$102,5,FALSE)-VLOOKUP($A104,main!$A$3:$H$102,6,FALSE)&gt;=main!$D$103+VLOOKUP(VLOOKUP(CF$1,main!$A$3:$I$102,7,FALSE),main!$K$26:$Q$29,4,FALSE)),1,0)</f>
        <v>0</v>
      </c>
      <c r="CG104">
        <f>IF(AND(VLOOKUP(CG$1,main!$A$3:$H$102,7,FALSE)=main!$G$104,VLOOKUP(CG$1,main!$A$3:$H$102,5,FALSE)-VLOOKUP($A104,main!$A$3:$H$102,6,FALSE)&gt;=main!$D$103+VLOOKUP(VLOOKUP(CG$1,main!$A$3:$I$102,7,FALSE),main!$K$26:$Q$29,4,FALSE)),1,0)</f>
        <v>0</v>
      </c>
      <c r="CH104">
        <f>IF(AND(VLOOKUP(CH$1,main!$A$3:$H$102,7,FALSE)=main!$G$104,VLOOKUP(CH$1,main!$A$3:$H$102,5,FALSE)-VLOOKUP($A104,main!$A$3:$H$102,6,FALSE)&gt;=main!$D$103+VLOOKUP(VLOOKUP(CH$1,main!$A$3:$I$102,7,FALSE),main!$K$26:$Q$29,4,FALSE)),1,0)</f>
        <v>0</v>
      </c>
      <c r="CI104">
        <f>IF(AND(VLOOKUP(CI$1,main!$A$3:$H$102,7,FALSE)=main!$G$104,VLOOKUP(CI$1,main!$A$3:$H$102,5,FALSE)-VLOOKUP($A104,main!$A$3:$H$102,6,FALSE)&gt;=main!$D$103+VLOOKUP(VLOOKUP(CI$1,main!$A$3:$I$102,7,FALSE),main!$K$26:$Q$29,4,FALSE)),1,0)</f>
        <v>0</v>
      </c>
      <c r="CJ104">
        <f>IF(AND(VLOOKUP(CJ$1,main!$A$3:$H$102,7,FALSE)=main!$G$104,VLOOKUP(CJ$1,main!$A$3:$H$102,5,FALSE)-VLOOKUP($A104,main!$A$3:$H$102,6,FALSE)&gt;=main!$D$103+VLOOKUP(VLOOKUP(CJ$1,main!$A$3:$I$102,7,FALSE),main!$K$26:$Q$29,4,FALSE)),1,0)</f>
        <v>0</v>
      </c>
      <c r="CK104">
        <f>IF(AND(VLOOKUP(CK$1,main!$A$3:$H$102,7,FALSE)=main!$G$104,VLOOKUP(CK$1,main!$A$3:$H$102,5,FALSE)-VLOOKUP($A104,main!$A$3:$H$102,6,FALSE)&gt;=main!$D$103+VLOOKUP(VLOOKUP(CK$1,main!$A$3:$I$102,7,FALSE),main!$K$26:$Q$29,4,FALSE)),1,0)</f>
        <v>0</v>
      </c>
      <c r="CL104">
        <f>IF(AND(VLOOKUP(CL$1,main!$A$3:$H$102,7,FALSE)=main!$G$104,VLOOKUP(CL$1,main!$A$3:$H$102,5,FALSE)-VLOOKUP($A104,main!$A$3:$H$102,6,FALSE)&gt;=main!$D$103+VLOOKUP(VLOOKUP(CL$1,main!$A$3:$I$102,7,FALSE),main!$K$26:$Q$29,4,FALSE)),1,0)</f>
        <v>0</v>
      </c>
      <c r="CM104">
        <f>IF(AND(VLOOKUP(CM$1,main!$A$3:$H$102,7,FALSE)=main!$G$104,VLOOKUP(CM$1,main!$A$3:$H$102,5,FALSE)-VLOOKUP($A104,main!$A$3:$H$102,6,FALSE)&gt;=main!$D$103+VLOOKUP(VLOOKUP(CM$1,main!$A$3:$I$102,7,FALSE),main!$K$26:$Q$29,4,FALSE)),1,0)</f>
        <v>0</v>
      </c>
      <c r="CN104">
        <f>IF(AND(VLOOKUP(CN$1,main!$A$3:$H$102,7,FALSE)=main!$G$104,VLOOKUP(CN$1,main!$A$3:$H$102,5,FALSE)-VLOOKUP($A104,main!$A$3:$H$102,6,FALSE)&gt;=main!$D$103+VLOOKUP(VLOOKUP(CN$1,main!$A$3:$I$102,7,FALSE),main!$K$26:$Q$29,4,FALSE)),1,0)</f>
        <v>0</v>
      </c>
      <c r="CO104">
        <f>IF(AND(VLOOKUP(CO$1,main!$A$3:$H$102,7,FALSE)=main!$G$104,VLOOKUP(CO$1,main!$A$3:$H$102,5,FALSE)-VLOOKUP($A104,main!$A$3:$H$102,6,FALSE)&gt;=main!$D$103+VLOOKUP(VLOOKUP(CO$1,main!$A$3:$I$102,7,FALSE),main!$K$26:$Q$29,4,FALSE)),1,0)</f>
        <v>0</v>
      </c>
      <c r="CP104">
        <f>IF(AND(VLOOKUP(CP$1,main!$A$3:$H$102,7,FALSE)=main!$G$104,VLOOKUP(CP$1,main!$A$3:$H$102,5,FALSE)-VLOOKUP($A104,main!$A$3:$H$102,6,FALSE)&gt;=main!$D$103+VLOOKUP(VLOOKUP(CP$1,main!$A$3:$I$102,7,FALSE),main!$K$26:$Q$29,4,FALSE)),1,0)</f>
        <v>0</v>
      </c>
      <c r="CQ104">
        <f>IF(AND(VLOOKUP(CQ$1,main!$A$3:$H$102,7,FALSE)=main!$G$104,VLOOKUP(CQ$1,main!$A$3:$H$102,5,FALSE)-VLOOKUP($A104,main!$A$3:$H$102,6,FALSE)&gt;=main!$D$103+VLOOKUP(VLOOKUP(CQ$1,main!$A$3:$I$102,7,FALSE),main!$K$26:$Q$29,4,FALSE)),1,0)</f>
        <v>0</v>
      </c>
      <c r="CR104">
        <f>IF(AND(VLOOKUP(CR$1,main!$A$3:$H$102,7,FALSE)=main!$G$104,VLOOKUP(CR$1,main!$A$3:$H$102,5,FALSE)-VLOOKUP($A104,main!$A$3:$H$102,6,FALSE)&gt;=main!$D$103+VLOOKUP(VLOOKUP(CR$1,main!$A$3:$I$102,7,FALSE),main!$K$26:$Q$29,4,FALSE)),1,0)</f>
        <v>0</v>
      </c>
      <c r="CS104">
        <f>IF(AND(VLOOKUP(CS$1,main!$A$3:$H$102,7,FALSE)=main!$G$104,VLOOKUP(CS$1,main!$A$3:$H$102,5,FALSE)-VLOOKUP($A104,main!$A$3:$H$102,6,FALSE)&gt;=main!$D$103+VLOOKUP(VLOOKUP(CS$1,main!$A$3:$I$102,7,FALSE),main!$K$26:$Q$29,4,FALSE)),1,0)</f>
        <v>0</v>
      </c>
      <c r="CT104">
        <f>IF(AND(VLOOKUP(CT$1,main!$A$3:$H$102,7,FALSE)=main!$G$104,VLOOKUP(CT$1,main!$A$3:$H$102,5,FALSE)-VLOOKUP($A104,main!$A$3:$H$102,6,FALSE)&gt;=main!$D$103+VLOOKUP(VLOOKUP(CT$1,main!$A$3:$I$102,7,FALSE),main!$K$26:$Q$29,4,FALSE)),1,0)</f>
        <v>0</v>
      </c>
      <c r="CU104">
        <f>IF(AND(VLOOKUP(CU$1,main!$A$3:$H$102,7,FALSE)=main!$G$104,VLOOKUP(CU$1,main!$A$3:$H$102,5,FALSE)-VLOOKUP($A104,main!$A$3:$H$102,6,FALSE)&gt;=main!$D$103+VLOOKUP(VLOOKUP(CU$1,main!$A$3:$I$102,7,FALSE),main!$K$26:$Q$29,4,FALSE)),1,0)</f>
        <v>0</v>
      </c>
      <c r="CV104">
        <f>IF(AND(VLOOKUP(CV$1,main!$A$3:$H$102,7,FALSE)=main!$G$104,VLOOKUP(CV$1,main!$A$3:$H$102,5,FALSE)-VLOOKUP($A104,main!$A$3:$H$102,6,FALSE)&gt;=main!$D$103+VLOOKUP(VLOOKUP(CV$1,main!$A$3:$I$102,7,FALSE),main!$K$26:$Q$29,4,FALSE)),1,0)</f>
        <v>0</v>
      </c>
      <c r="CW104">
        <f>IF(AND(VLOOKUP(CW$1,main!$A$3:$H$102,7,FALSE)=main!$G$104,VLOOKUP(CW$1,main!$A$3:$H$102,5,FALSE)-VLOOKUP($A104,main!$A$3:$H$102,6,FALSE)&gt;=main!$D$103+VLOOKUP(VLOOKUP(CW$1,main!$A$3:$I$102,7,FALSE),main!$K$26:$Q$29,4,FALSE)),1,0)</f>
        <v>0</v>
      </c>
      <c r="CX104">
        <f>IF(AND(VLOOKUP(CX$1,main!$A$3:$H$102,7,FALSE)=main!$G$104,VLOOKUP(CX$1,main!$A$3:$H$102,5,FALSE)-VLOOKUP($A104,main!$A$3:$H$102,6,FALSE)&gt;=main!$D$103+VLOOKUP(VLOOKUP(CX$1,main!$A$3:$I$102,7,FALSE),main!$K$26:$Q$29,4,FALSE)),1,0)</f>
        <v>0</v>
      </c>
    </row>
    <row r="105" spans="1:102" x14ac:dyDescent="0.25">
      <c r="A105" s="1">
        <v>2</v>
      </c>
      <c r="B105">
        <v>0</v>
      </c>
      <c r="C105">
        <f>IF(AND(VLOOKUP(C$1,main!$A$3:$H$102,7,FALSE)=main!$G$104,VLOOKUP(C$1,main!$A$3:$H$102,5,FALSE)-VLOOKUP($A105,main!$A$3:$H$102,6,FALSE)&gt;=main!$D$103+VLOOKUP(VLOOKUP(C$1,main!$A$3:$I$102,7,FALSE),main!$K$26:$Q$29,4,FALSE)),1,0)</f>
        <v>0</v>
      </c>
      <c r="D105">
        <f>IF(AND(VLOOKUP(D$1,main!$A$3:$H$102,7,FALSE)=main!$G$104,VLOOKUP(D$1,main!$A$3:$H$102,5,FALSE)-VLOOKUP($A105,main!$A$3:$H$102,6,FALSE)&gt;=main!$D$103+VLOOKUP(VLOOKUP(D$1,main!$A$3:$I$102,7,FALSE),main!$K$26:$Q$29,4,FALSE)),1,0)</f>
        <v>0</v>
      </c>
      <c r="E105">
        <f>IF(AND(VLOOKUP(E$1,main!$A$3:$H$102,7,FALSE)=main!$G$104,VLOOKUP(E$1,main!$A$3:$H$102,5,FALSE)-VLOOKUP($A105,main!$A$3:$H$102,6,FALSE)&gt;=main!$D$103+VLOOKUP(VLOOKUP(E$1,main!$A$3:$I$102,7,FALSE),main!$K$26:$Q$29,4,FALSE)),1,0)</f>
        <v>0</v>
      </c>
      <c r="F105">
        <f>IF(AND(VLOOKUP(F$1,main!$A$3:$H$102,7,FALSE)=main!$G$104,VLOOKUP(F$1,main!$A$3:$H$102,5,FALSE)-VLOOKUP($A105,main!$A$3:$H$102,6,FALSE)&gt;=main!$D$103+VLOOKUP(VLOOKUP(F$1,main!$A$3:$I$102,7,FALSE),main!$K$26:$Q$29,4,FALSE)),1,0)</f>
        <v>0</v>
      </c>
      <c r="G105">
        <f>IF(AND(VLOOKUP(G$1,main!$A$3:$H$102,7,FALSE)=main!$G$104,VLOOKUP(G$1,main!$A$3:$H$102,5,FALSE)-VLOOKUP($A105,main!$A$3:$H$102,6,FALSE)&gt;=main!$D$103+VLOOKUP(VLOOKUP(G$1,main!$A$3:$I$102,7,FALSE),main!$K$26:$Q$29,4,FALSE)),1,0)</f>
        <v>1</v>
      </c>
      <c r="H105">
        <f>IF(AND(VLOOKUP(H$1,main!$A$3:$H$102,7,FALSE)=main!$G$104,VLOOKUP(H$1,main!$A$3:$H$102,5,FALSE)-VLOOKUP($A105,main!$A$3:$H$102,6,FALSE)&gt;=main!$D$103+VLOOKUP(VLOOKUP(H$1,main!$A$3:$I$102,7,FALSE),main!$K$26:$Q$29,4,FALSE)),1,0)</f>
        <v>1</v>
      </c>
      <c r="I105">
        <f>IF(AND(VLOOKUP(I$1,main!$A$3:$H$102,7,FALSE)=main!$G$104,VLOOKUP(I$1,main!$A$3:$H$102,5,FALSE)-VLOOKUP($A105,main!$A$3:$H$102,6,FALSE)&gt;=main!$D$103+VLOOKUP(VLOOKUP(I$1,main!$A$3:$I$102,7,FALSE),main!$K$26:$Q$29,4,FALSE)),1,0)</f>
        <v>1</v>
      </c>
      <c r="J105">
        <f>IF(AND(VLOOKUP(J$1,main!$A$3:$H$102,7,FALSE)=main!$G$104,VLOOKUP(J$1,main!$A$3:$H$102,5,FALSE)-VLOOKUP($A105,main!$A$3:$H$102,6,FALSE)&gt;=main!$D$103+VLOOKUP(VLOOKUP(J$1,main!$A$3:$I$102,7,FALSE),main!$K$26:$Q$29,4,FALSE)),1,0)</f>
        <v>1</v>
      </c>
      <c r="K105">
        <f>IF(AND(VLOOKUP(K$1,main!$A$3:$H$102,7,FALSE)=main!$G$104,VLOOKUP(K$1,main!$A$3:$H$102,5,FALSE)-VLOOKUP($A105,main!$A$3:$H$102,6,FALSE)&gt;=main!$D$103+VLOOKUP(VLOOKUP(K$1,main!$A$3:$I$102,7,FALSE),main!$K$26:$Q$29,4,FALSE)),1,0)</f>
        <v>1</v>
      </c>
      <c r="L105">
        <f>IF(AND(VLOOKUP(L$1,main!$A$3:$H$102,7,FALSE)=main!$G$104,VLOOKUP(L$1,main!$A$3:$H$102,5,FALSE)-VLOOKUP($A105,main!$A$3:$H$102,6,FALSE)&gt;=main!$D$103+VLOOKUP(VLOOKUP(L$1,main!$A$3:$I$102,7,FALSE),main!$K$26:$Q$29,4,FALSE)),1,0)</f>
        <v>1</v>
      </c>
      <c r="M105">
        <f>IF(AND(VLOOKUP(M$1,main!$A$3:$H$102,7,FALSE)=main!$G$104,VLOOKUP(M$1,main!$A$3:$H$102,5,FALSE)-VLOOKUP($A105,main!$A$3:$H$102,6,FALSE)&gt;=main!$D$103+VLOOKUP(VLOOKUP(M$1,main!$A$3:$I$102,7,FALSE),main!$K$26:$Q$29,4,FALSE)),1,0)</f>
        <v>0</v>
      </c>
      <c r="N105">
        <f>IF(AND(VLOOKUP(N$1,main!$A$3:$H$102,7,FALSE)=main!$G$104,VLOOKUP(N$1,main!$A$3:$H$102,5,FALSE)-VLOOKUP($A105,main!$A$3:$H$102,6,FALSE)&gt;=main!$D$103+VLOOKUP(VLOOKUP(N$1,main!$A$3:$I$102,7,FALSE),main!$K$26:$Q$29,4,FALSE)),1,0)</f>
        <v>0</v>
      </c>
      <c r="O105">
        <f>IF(AND(VLOOKUP(O$1,main!$A$3:$H$102,7,FALSE)=main!$G$104,VLOOKUP(O$1,main!$A$3:$H$102,5,FALSE)-VLOOKUP($A105,main!$A$3:$H$102,6,FALSE)&gt;=main!$D$103+VLOOKUP(VLOOKUP(O$1,main!$A$3:$I$102,7,FALSE),main!$K$26:$Q$29,4,FALSE)),1,0)</f>
        <v>0</v>
      </c>
      <c r="P105">
        <f>IF(AND(VLOOKUP(P$1,main!$A$3:$H$102,7,FALSE)=main!$G$104,VLOOKUP(P$1,main!$A$3:$H$102,5,FALSE)-VLOOKUP($A105,main!$A$3:$H$102,6,FALSE)&gt;=main!$D$103+VLOOKUP(VLOOKUP(P$1,main!$A$3:$I$102,7,FALSE),main!$K$26:$Q$29,4,FALSE)),1,0)</f>
        <v>0</v>
      </c>
      <c r="Q105">
        <f>IF(AND(VLOOKUP(Q$1,main!$A$3:$H$102,7,FALSE)=main!$G$104,VLOOKUP(Q$1,main!$A$3:$H$102,5,FALSE)-VLOOKUP($A105,main!$A$3:$H$102,6,FALSE)&gt;=main!$D$103+VLOOKUP(VLOOKUP(Q$1,main!$A$3:$I$102,7,FALSE),main!$K$26:$Q$29,4,FALSE)),1,0)</f>
        <v>1</v>
      </c>
      <c r="R105">
        <f>IF(AND(VLOOKUP(R$1,main!$A$3:$H$102,7,FALSE)=main!$G$104,VLOOKUP(R$1,main!$A$3:$H$102,5,FALSE)-VLOOKUP($A105,main!$A$3:$H$102,6,FALSE)&gt;=main!$D$103+VLOOKUP(VLOOKUP(R$1,main!$A$3:$I$102,7,FALSE),main!$K$26:$Q$29,4,FALSE)),1,0)</f>
        <v>1</v>
      </c>
      <c r="S105">
        <f>IF(AND(VLOOKUP(S$1,main!$A$3:$H$102,7,FALSE)=main!$G$104,VLOOKUP(S$1,main!$A$3:$H$102,5,FALSE)-VLOOKUP($A105,main!$A$3:$H$102,6,FALSE)&gt;=main!$D$103+VLOOKUP(VLOOKUP(S$1,main!$A$3:$I$102,7,FALSE),main!$K$26:$Q$29,4,FALSE)),1,0)</f>
        <v>1</v>
      </c>
      <c r="T105">
        <f>IF(AND(VLOOKUP(T$1,main!$A$3:$H$102,7,FALSE)=main!$G$104,VLOOKUP(T$1,main!$A$3:$H$102,5,FALSE)-VLOOKUP($A105,main!$A$3:$H$102,6,FALSE)&gt;=main!$D$103+VLOOKUP(VLOOKUP(T$1,main!$A$3:$I$102,7,FALSE),main!$K$26:$Q$29,4,FALSE)),1,0)</f>
        <v>1</v>
      </c>
      <c r="U105">
        <f>IF(AND(VLOOKUP(U$1,main!$A$3:$H$102,7,FALSE)=main!$G$104,VLOOKUP(U$1,main!$A$3:$H$102,5,FALSE)-VLOOKUP($A105,main!$A$3:$H$102,6,FALSE)&gt;=main!$D$103+VLOOKUP(VLOOKUP(U$1,main!$A$3:$I$102,7,FALSE),main!$K$26:$Q$29,4,FALSE)),1,0)</f>
        <v>1</v>
      </c>
      <c r="V105">
        <f>IF(AND(VLOOKUP(V$1,main!$A$3:$H$102,7,FALSE)=main!$G$104,VLOOKUP(V$1,main!$A$3:$H$102,5,FALSE)-VLOOKUP($A105,main!$A$3:$H$102,6,FALSE)&gt;=main!$D$103+VLOOKUP(VLOOKUP(V$1,main!$A$3:$I$102,7,FALSE),main!$K$26:$Q$29,4,FALSE)),1,0)</f>
        <v>1</v>
      </c>
      <c r="W105">
        <f>IF(AND(VLOOKUP(W$1,main!$A$3:$H$102,7,FALSE)=main!$G$104,VLOOKUP(W$1,main!$A$3:$H$102,5,FALSE)-VLOOKUP($A105,main!$A$3:$H$102,6,FALSE)&gt;=main!$D$103+VLOOKUP(VLOOKUP(W$1,main!$A$3:$I$102,7,FALSE),main!$K$26:$Q$29,4,FALSE)),1,0)</f>
        <v>0</v>
      </c>
      <c r="X105">
        <f>IF(AND(VLOOKUP(X$1,main!$A$3:$H$102,7,FALSE)=main!$G$104,VLOOKUP(X$1,main!$A$3:$H$102,5,FALSE)-VLOOKUP($A105,main!$A$3:$H$102,6,FALSE)&gt;=main!$D$103+VLOOKUP(VLOOKUP(X$1,main!$A$3:$I$102,7,FALSE),main!$K$26:$Q$29,4,FALSE)),1,0)</f>
        <v>0</v>
      </c>
      <c r="Y105">
        <f>IF(AND(VLOOKUP(Y$1,main!$A$3:$H$102,7,FALSE)=main!$G$104,VLOOKUP(Y$1,main!$A$3:$H$102,5,FALSE)-VLOOKUP($A105,main!$A$3:$H$102,6,FALSE)&gt;=main!$D$103+VLOOKUP(VLOOKUP(Y$1,main!$A$3:$I$102,7,FALSE),main!$K$26:$Q$29,4,FALSE)),1,0)</f>
        <v>1</v>
      </c>
      <c r="Z105">
        <f>IF(AND(VLOOKUP(Z$1,main!$A$3:$H$102,7,FALSE)=main!$G$104,VLOOKUP(Z$1,main!$A$3:$H$102,5,FALSE)-VLOOKUP($A105,main!$A$3:$H$102,6,FALSE)&gt;=main!$D$103+VLOOKUP(VLOOKUP(Z$1,main!$A$3:$I$102,7,FALSE),main!$K$26:$Q$29,4,FALSE)),1,0)</f>
        <v>1</v>
      </c>
      <c r="AA105">
        <f>IF(AND(VLOOKUP(AA$1,main!$A$3:$H$102,7,FALSE)=main!$G$104,VLOOKUP(AA$1,main!$A$3:$H$102,5,FALSE)-VLOOKUP($A105,main!$A$3:$H$102,6,FALSE)&gt;=main!$D$103+VLOOKUP(VLOOKUP(AA$1,main!$A$3:$I$102,7,FALSE),main!$K$26:$Q$29,4,FALSE)),1,0)</f>
        <v>1</v>
      </c>
      <c r="AB105">
        <f>IF(AND(VLOOKUP(AB$1,main!$A$3:$H$102,7,FALSE)=main!$G$104,VLOOKUP(AB$1,main!$A$3:$H$102,5,FALSE)-VLOOKUP($A105,main!$A$3:$H$102,6,FALSE)&gt;=main!$D$103+VLOOKUP(VLOOKUP(AB$1,main!$A$3:$I$102,7,FALSE),main!$K$26:$Q$29,4,FALSE)),1,0)</f>
        <v>0</v>
      </c>
      <c r="AC105">
        <f>IF(AND(VLOOKUP(AC$1,main!$A$3:$H$102,7,FALSE)=main!$G$104,VLOOKUP(AC$1,main!$A$3:$H$102,5,FALSE)-VLOOKUP($A105,main!$A$3:$H$102,6,FALSE)&gt;=main!$D$103+VLOOKUP(VLOOKUP(AC$1,main!$A$3:$I$102,7,FALSE),main!$K$26:$Q$29,4,FALSE)),1,0)</f>
        <v>0</v>
      </c>
      <c r="AD105">
        <f>IF(AND(VLOOKUP(AD$1,main!$A$3:$H$102,7,FALSE)=main!$G$104,VLOOKUP(AD$1,main!$A$3:$H$102,5,FALSE)-VLOOKUP($A105,main!$A$3:$H$102,6,FALSE)&gt;=main!$D$103+VLOOKUP(VLOOKUP(AD$1,main!$A$3:$I$102,7,FALSE),main!$K$26:$Q$29,4,FALSE)),1,0)</f>
        <v>0</v>
      </c>
      <c r="AE105">
        <f>IF(AND(VLOOKUP(AE$1,main!$A$3:$H$102,7,FALSE)=main!$G$104,VLOOKUP(AE$1,main!$A$3:$H$102,5,FALSE)-VLOOKUP($A105,main!$A$3:$H$102,6,FALSE)&gt;=main!$D$103+VLOOKUP(VLOOKUP(AE$1,main!$A$3:$I$102,7,FALSE),main!$K$26:$Q$29,4,FALSE)),1,0)</f>
        <v>1</v>
      </c>
      <c r="AF105">
        <f>IF(AND(VLOOKUP(AF$1,main!$A$3:$H$102,7,FALSE)=main!$G$104,VLOOKUP(AF$1,main!$A$3:$H$102,5,FALSE)-VLOOKUP($A105,main!$A$3:$H$102,6,FALSE)&gt;=main!$D$103+VLOOKUP(VLOOKUP(AF$1,main!$A$3:$I$102,7,FALSE),main!$K$26:$Q$29,4,FALSE)),1,0)</f>
        <v>1</v>
      </c>
      <c r="AG105">
        <f>IF(AND(VLOOKUP(AG$1,main!$A$3:$H$102,7,FALSE)=main!$G$104,VLOOKUP(AG$1,main!$A$3:$H$102,5,FALSE)-VLOOKUP($A105,main!$A$3:$H$102,6,FALSE)&gt;=main!$D$103+VLOOKUP(VLOOKUP(AG$1,main!$A$3:$I$102,7,FALSE),main!$K$26:$Q$29,4,FALSE)),1,0)</f>
        <v>0</v>
      </c>
      <c r="AH105">
        <f>IF(AND(VLOOKUP(AH$1,main!$A$3:$H$102,7,FALSE)=main!$G$104,VLOOKUP(AH$1,main!$A$3:$H$102,5,FALSE)-VLOOKUP($A105,main!$A$3:$H$102,6,FALSE)&gt;=main!$D$103+VLOOKUP(VLOOKUP(AH$1,main!$A$3:$I$102,7,FALSE),main!$K$26:$Q$29,4,FALSE)),1,0)</f>
        <v>0</v>
      </c>
      <c r="AI105">
        <f>IF(AND(VLOOKUP(AI$1,main!$A$3:$H$102,7,FALSE)=main!$G$104,VLOOKUP(AI$1,main!$A$3:$H$102,5,FALSE)-VLOOKUP($A105,main!$A$3:$H$102,6,FALSE)&gt;=main!$D$103+VLOOKUP(VLOOKUP(AI$1,main!$A$3:$I$102,7,FALSE),main!$K$26:$Q$29,4,FALSE)),1,0)</f>
        <v>0</v>
      </c>
      <c r="AJ105">
        <f>IF(AND(VLOOKUP(AJ$1,main!$A$3:$H$102,7,FALSE)=main!$G$104,VLOOKUP(AJ$1,main!$A$3:$H$102,5,FALSE)-VLOOKUP($A105,main!$A$3:$H$102,6,FALSE)&gt;=main!$D$103+VLOOKUP(VLOOKUP(AJ$1,main!$A$3:$I$102,7,FALSE),main!$K$26:$Q$29,4,FALSE)),1,0)</f>
        <v>0</v>
      </c>
      <c r="AK105">
        <f>IF(AND(VLOOKUP(AK$1,main!$A$3:$H$102,7,FALSE)=main!$G$104,VLOOKUP(AK$1,main!$A$3:$H$102,5,FALSE)-VLOOKUP($A105,main!$A$3:$H$102,6,FALSE)&gt;=main!$D$103+VLOOKUP(VLOOKUP(AK$1,main!$A$3:$I$102,7,FALSE),main!$K$26:$Q$29,4,FALSE)),1,0)</f>
        <v>0</v>
      </c>
      <c r="AL105">
        <f>IF(AND(VLOOKUP(AL$1,main!$A$3:$H$102,7,FALSE)=main!$G$104,VLOOKUP(AL$1,main!$A$3:$H$102,5,FALSE)-VLOOKUP($A105,main!$A$3:$H$102,6,FALSE)&gt;=main!$D$103+VLOOKUP(VLOOKUP(AL$1,main!$A$3:$I$102,7,FALSE),main!$K$26:$Q$29,4,FALSE)),1,0)</f>
        <v>0</v>
      </c>
      <c r="AM105">
        <f>IF(AND(VLOOKUP(AM$1,main!$A$3:$H$102,7,FALSE)=main!$G$104,VLOOKUP(AM$1,main!$A$3:$H$102,5,FALSE)-VLOOKUP($A105,main!$A$3:$H$102,6,FALSE)&gt;=main!$D$103+VLOOKUP(VLOOKUP(AM$1,main!$A$3:$I$102,7,FALSE),main!$K$26:$Q$29,4,FALSE)),1,0)</f>
        <v>0</v>
      </c>
      <c r="AN105">
        <f>IF(AND(VLOOKUP(AN$1,main!$A$3:$H$102,7,FALSE)=main!$G$104,VLOOKUP(AN$1,main!$A$3:$H$102,5,FALSE)-VLOOKUP($A105,main!$A$3:$H$102,6,FALSE)&gt;=main!$D$103+VLOOKUP(VLOOKUP(AN$1,main!$A$3:$I$102,7,FALSE),main!$K$26:$Q$29,4,FALSE)),1,0)</f>
        <v>0</v>
      </c>
      <c r="AO105">
        <f>IF(AND(VLOOKUP(AO$1,main!$A$3:$H$102,7,FALSE)=main!$G$104,VLOOKUP(AO$1,main!$A$3:$H$102,5,FALSE)-VLOOKUP($A105,main!$A$3:$H$102,6,FALSE)&gt;=main!$D$103+VLOOKUP(VLOOKUP(AO$1,main!$A$3:$I$102,7,FALSE),main!$K$26:$Q$29,4,FALSE)),1,0)</f>
        <v>0</v>
      </c>
      <c r="AP105">
        <f>IF(AND(VLOOKUP(AP$1,main!$A$3:$H$102,7,FALSE)=main!$G$104,VLOOKUP(AP$1,main!$A$3:$H$102,5,FALSE)-VLOOKUP($A105,main!$A$3:$H$102,6,FALSE)&gt;=main!$D$103+VLOOKUP(VLOOKUP(AP$1,main!$A$3:$I$102,7,FALSE),main!$K$26:$Q$29,4,FALSE)),1,0)</f>
        <v>0</v>
      </c>
      <c r="AQ105">
        <f>IF(AND(VLOOKUP(AQ$1,main!$A$3:$H$102,7,FALSE)=main!$G$104,VLOOKUP(AQ$1,main!$A$3:$H$102,5,FALSE)-VLOOKUP($A105,main!$A$3:$H$102,6,FALSE)&gt;=main!$D$103+VLOOKUP(VLOOKUP(AQ$1,main!$A$3:$I$102,7,FALSE),main!$K$26:$Q$29,4,FALSE)),1,0)</f>
        <v>0</v>
      </c>
      <c r="AR105">
        <f>IF(AND(VLOOKUP(AR$1,main!$A$3:$H$102,7,FALSE)=main!$G$104,VLOOKUP(AR$1,main!$A$3:$H$102,5,FALSE)-VLOOKUP($A105,main!$A$3:$H$102,6,FALSE)&gt;=main!$D$103+VLOOKUP(VLOOKUP(AR$1,main!$A$3:$I$102,7,FALSE),main!$K$26:$Q$29,4,FALSE)),1,0)</f>
        <v>0</v>
      </c>
      <c r="AS105">
        <f>IF(AND(VLOOKUP(AS$1,main!$A$3:$H$102,7,FALSE)=main!$G$104,VLOOKUP(AS$1,main!$A$3:$H$102,5,FALSE)-VLOOKUP($A105,main!$A$3:$H$102,6,FALSE)&gt;=main!$D$103+VLOOKUP(VLOOKUP(AS$1,main!$A$3:$I$102,7,FALSE),main!$K$26:$Q$29,4,FALSE)),1,0)</f>
        <v>0</v>
      </c>
      <c r="AT105">
        <f>IF(AND(VLOOKUP(AT$1,main!$A$3:$H$102,7,FALSE)=main!$G$104,VLOOKUP(AT$1,main!$A$3:$H$102,5,FALSE)-VLOOKUP($A105,main!$A$3:$H$102,6,FALSE)&gt;=main!$D$103+VLOOKUP(VLOOKUP(AT$1,main!$A$3:$I$102,7,FALSE),main!$K$26:$Q$29,4,FALSE)),1,0)</f>
        <v>0</v>
      </c>
      <c r="AU105">
        <f>IF(AND(VLOOKUP(AU$1,main!$A$3:$H$102,7,FALSE)=main!$G$104,VLOOKUP(AU$1,main!$A$3:$H$102,5,FALSE)-VLOOKUP($A105,main!$A$3:$H$102,6,FALSE)&gt;=main!$D$103+VLOOKUP(VLOOKUP(AU$1,main!$A$3:$I$102,7,FALSE),main!$K$26:$Q$29,4,FALSE)),1,0)</f>
        <v>0</v>
      </c>
      <c r="AV105">
        <f>IF(AND(VLOOKUP(AV$1,main!$A$3:$H$102,7,FALSE)=main!$G$104,VLOOKUP(AV$1,main!$A$3:$H$102,5,FALSE)-VLOOKUP($A105,main!$A$3:$H$102,6,FALSE)&gt;=main!$D$103+VLOOKUP(VLOOKUP(AV$1,main!$A$3:$I$102,7,FALSE),main!$K$26:$Q$29,4,FALSE)),1,0)</f>
        <v>0</v>
      </c>
      <c r="AW105">
        <f>IF(AND(VLOOKUP(AW$1,main!$A$3:$H$102,7,FALSE)=main!$G$104,VLOOKUP(AW$1,main!$A$3:$H$102,5,FALSE)-VLOOKUP($A105,main!$A$3:$H$102,6,FALSE)&gt;=main!$D$103+VLOOKUP(VLOOKUP(AW$1,main!$A$3:$I$102,7,FALSE),main!$K$26:$Q$29,4,FALSE)),1,0)</f>
        <v>0</v>
      </c>
      <c r="AX105">
        <f>IF(AND(VLOOKUP(AX$1,main!$A$3:$H$102,7,FALSE)=main!$G$104,VLOOKUP(AX$1,main!$A$3:$H$102,5,FALSE)-VLOOKUP($A105,main!$A$3:$H$102,6,FALSE)&gt;=main!$D$103+VLOOKUP(VLOOKUP(AX$1,main!$A$3:$I$102,7,FALSE),main!$K$26:$Q$29,4,FALSE)),1,0)</f>
        <v>0</v>
      </c>
      <c r="AY105">
        <f>IF(AND(VLOOKUP(AY$1,main!$A$3:$H$102,7,FALSE)=main!$G$104,VLOOKUP(AY$1,main!$A$3:$H$102,5,FALSE)-VLOOKUP($A105,main!$A$3:$H$102,6,FALSE)&gt;=main!$D$103+VLOOKUP(VLOOKUP(AY$1,main!$A$3:$I$102,7,FALSE),main!$K$26:$Q$29,4,FALSE)),1,0)</f>
        <v>0</v>
      </c>
      <c r="AZ105">
        <f>IF(AND(VLOOKUP(AZ$1,main!$A$3:$H$102,7,FALSE)=main!$G$104,VLOOKUP(AZ$1,main!$A$3:$H$102,5,FALSE)-VLOOKUP($A105,main!$A$3:$H$102,6,FALSE)&gt;=main!$D$103+VLOOKUP(VLOOKUP(AZ$1,main!$A$3:$I$102,7,FALSE),main!$K$26:$Q$29,4,FALSE)),1,0)</f>
        <v>0</v>
      </c>
      <c r="BA105">
        <f>IF(AND(VLOOKUP(BA$1,main!$A$3:$H$102,7,FALSE)=main!$G$104,VLOOKUP(BA$1,main!$A$3:$H$102,5,FALSE)-VLOOKUP($A105,main!$A$3:$H$102,6,FALSE)&gt;=main!$D$103+VLOOKUP(VLOOKUP(BA$1,main!$A$3:$I$102,7,FALSE),main!$K$26:$Q$29,4,FALSE)),1,0)</f>
        <v>0</v>
      </c>
      <c r="BB105">
        <f>IF(AND(VLOOKUP(BB$1,main!$A$3:$H$102,7,FALSE)=main!$G$104,VLOOKUP(BB$1,main!$A$3:$H$102,5,FALSE)-VLOOKUP($A105,main!$A$3:$H$102,6,FALSE)&gt;=main!$D$103+VLOOKUP(VLOOKUP(BB$1,main!$A$3:$I$102,7,FALSE),main!$K$26:$Q$29,4,FALSE)),1,0)</f>
        <v>0</v>
      </c>
      <c r="BC105">
        <f>IF(AND(VLOOKUP(BC$1,main!$A$3:$H$102,7,FALSE)=main!$G$104,VLOOKUP(BC$1,main!$A$3:$H$102,5,FALSE)-VLOOKUP($A105,main!$A$3:$H$102,6,FALSE)&gt;=main!$D$103+VLOOKUP(VLOOKUP(BC$1,main!$A$3:$I$102,7,FALSE),main!$K$26:$Q$29,4,FALSE)),1,0)</f>
        <v>0</v>
      </c>
      <c r="BD105">
        <f>IF(AND(VLOOKUP(BD$1,main!$A$3:$H$102,7,FALSE)=main!$G$104,VLOOKUP(BD$1,main!$A$3:$H$102,5,FALSE)-VLOOKUP($A105,main!$A$3:$H$102,6,FALSE)&gt;=main!$D$103+VLOOKUP(VLOOKUP(BD$1,main!$A$3:$I$102,7,FALSE),main!$K$26:$Q$29,4,FALSE)),1,0)</f>
        <v>0</v>
      </c>
      <c r="BE105">
        <f>IF(AND(VLOOKUP(BE$1,main!$A$3:$H$102,7,FALSE)=main!$G$104,VLOOKUP(BE$1,main!$A$3:$H$102,5,FALSE)-VLOOKUP($A105,main!$A$3:$H$102,6,FALSE)&gt;=main!$D$103+VLOOKUP(VLOOKUP(BE$1,main!$A$3:$I$102,7,FALSE),main!$K$26:$Q$29,4,FALSE)),1,0)</f>
        <v>0</v>
      </c>
      <c r="BF105">
        <f>IF(AND(VLOOKUP(BF$1,main!$A$3:$H$102,7,FALSE)=main!$G$104,VLOOKUP(BF$1,main!$A$3:$H$102,5,FALSE)-VLOOKUP($A105,main!$A$3:$H$102,6,FALSE)&gt;=main!$D$103+VLOOKUP(VLOOKUP(BF$1,main!$A$3:$I$102,7,FALSE),main!$K$26:$Q$29,4,FALSE)),1,0)</f>
        <v>0</v>
      </c>
      <c r="BG105">
        <f>IF(AND(VLOOKUP(BG$1,main!$A$3:$H$102,7,FALSE)=main!$G$104,VLOOKUP(BG$1,main!$A$3:$H$102,5,FALSE)-VLOOKUP($A105,main!$A$3:$H$102,6,FALSE)&gt;=main!$D$103+VLOOKUP(VLOOKUP(BG$1,main!$A$3:$I$102,7,FALSE),main!$K$26:$Q$29,4,FALSE)),1,0)</f>
        <v>0</v>
      </c>
      <c r="BH105">
        <f>IF(AND(VLOOKUP(BH$1,main!$A$3:$H$102,7,FALSE)=main!$G$104,VLOOKUP(BH$1,main!$A$3:$H$102,5,FALSE)-VLOOKUP($A105,main!$A$3:$H$102,6,FALSE)&gt;=main!$D$103+VLOOKUP(VLOOKUP(BH$1,main!$A$3:$I$102,7,FALSE),main!$K$26:$Q$29,4,FALSE)),1,0)</f>
        <v>0</v>
      </c>
      <c r="BI105">
        <f>IF(AND(VLOOKUP(BI$1,main!$A$3:$H$102,7,FALSE)=main!$G$104,VLOOKUP(BI$1,main!$A$3:$H$102,5,FALSE)-VLOOKUP($A105,main!$A$3:$H$102,6,FALSE)&gt;=main!$D$103+VLOOKUP(VLOOKUP(BI$1,main!$A$3:$I$102,7,FALSE),main!$K$26:$Q$29,4,FALSE)),1,0)</f>
        <v>0</v>
      </c>
      <c r="BJ105">
        <f>IF(AND(VLOOKUP(BJ$1,main!$A$3:$H$102,7,FALSE)=main!$G$104,VLOOKUP(BJ$1,main!$A$3:$H$102,5,FALSE)-VLOOKUP($A105,main!$A$3:$H$102,6,FALSE)&gt;=main!$D$103+VLOOKUP(VLOOKUP(BJ$1,main!$A$3:$I$102,7,FALSE),main!$K$26:$Q$29,4,FALSE)),1,0)</f>
        <v>0</v>
      </c>
      <c r="BK105">
        <f>IF(AND(VLOOKUP(BK$1,main!$A$3:$H$102,7,FALSE)=main!$G$104,VLOOKUP(BK$1,main!$A$3:$H$102,5,FALSE)-VLOOKUP($A105,main!$A$3:$H$102,6,FALSE)&gt;=main!$D$103+VLOOKUP(VLOOKUP(BK$1,main!$A$3:$I$102,7,FALSE),main!$K$26:$Q$29,4,FALSE)),1,0)</f>
        <v>0</v>
      </c>
      <c r="BL105">
        <f>IF(AND(VLOOKUP(BL$1,main!$A$3:$H$102,7,FALSE)=main!$G$104,VLOOKUP(BL$1,main!$A$3:$H$102,5,FALSE)-VLOOKUP($A105,main!$A$3:$H$102,6,FALSE)&gt;=main!$D$103+VLOOKUP(VLOOKUP(BL$1,main!$A$3:$I$102,7,FALSE),main!$K$26:$Q$29,4,FALSE)),1,0)</f>
        <v>0</v>
      </c>
      <c r="BM105">
        <f>IF(AND(VLOOKUP(BM$1,main!$A$3:$H$102,7,FALSE)=main!$G$104,VLOOKUP(BM$1,main!$A$3:$H$102,5,FALSE)-VLOOKUP($A105,main!$A$3:$H$102,6,FALSE)&gt;=main!$D$103+VLOOKUP(VLOOKUP(BM$1,main!$A$3:$I$102,7,FALSE),main!$K$26:$Q$29,4,FALSE)),1,0)</f>
        <v>0</v>
      </c>
      <c r="BN105">
        <f>IF(AND(VLOOKUP(BN$1,main!$A$3:$H$102,7,FALSE)=main!$G$104,VLOOKUP(BN$1,main!$A$3:$H$102,5,FALSE)-VLOOKUP($A105,main!$A$3:$H$102,6,FALSE)&gt;=main!$D$103+VLOOKUP(VLOOKUP(BN$1,main!$A$3:$I$102,7,FALSE),main!$K$26:$Q$29,4,FALSE)),1,0)</f>
        <v>0</v>
      </c>
      <c r="BO105">
        <f>IF(AND(VLOOKUP(BO$1,main!$A$3:$H$102,7,FALSE)=main!$G$104,VLOOKUP(BO$1,main!$A$3:$H$102,5,FALSE)-VLOOKUP($A105,main!$A$3:$H$102,6,FALSE)&gt;=main!$D$103+VLOOKUP(VLOOKUP(BO$1,main!$A$3:$I$102,7,FALSE),main!$K$26:$Q$29,4,FALSE)),1,0)</f>
        <v>0</v>
      </c>
      <c r="BP105">
        <f>IF(AND(VLOOKUP(BP$1,main!$A$3:$H$102,7,FALSE)=main!$G$104,VLOOKUP(BP$1,main!$A$3:$H$102,5,FALSE)-VLOOKUP($A105,main!$A$3:$H$102,6,FALSE)&gt;=main!$D$103+VLOOKUP(VLOOKUP(BP$1,main!$A$3:$I$102,7,FALSE),main!$K$26:$Q$29,4,FALSE)),1,0)</f>
        <v>0</v>
      </c>
      <c r="BQ105">
        <f>IF(AND(VLOOKUP(BQ$1,main!$A$3:$H$102,7,FALSE)=main!$G$104,VLOOKUP(BQ$1,main!$A$3:$H$102,5,FALSE)-VLOOKUP($A105,main!$A$3:$H$102,6,FALSE)&gt;=main!$D$103+VLOOKUP(VLOOKUP(BQ$1,main!$A$3:$I$102,7,FALSE),main!$K$26:$Q$29,4,FALSE)),1,0)</f>
        <v>0</v>
      </c>
      <c r="BR105">
        <f>IF(AND(VLOOKUP(BR$1,main!$A$3:$H$102,7,FALSE)=main!$G$104,VLOOKUP(BR$1,main!$A$3:$H$102,5,FALSE)-VLOOKUP($A105,main!$A$3:$H$102,6,FALSE)&gt;=main!$D$103+VLOOKUP(VLOOKUP(BR$1,main!$A$3:$I$102,7,FALSE),main!$K$26:$Q$29,4,FALSE)),1,0)</f>
        <v>0</v>
      </c>
      <c r="BS105">
        <f>IF(AND(VLOOKUP(BS$1,main!$A$3:$H$102,7,FALSE)=main!$G$104,VLOOKUP(BS$1,main!$A$3:$H$102,5,FALSE)-VLOOKUP($A105,main!$A$3:$H$102,6,FALSE)&gt;=main!$D$103+VLOOKUP(VLOOKUP(BS$1,main!$A$3:$I$102,7,FALSE),main!$K$26:$Q$29,4,FALSE)),1,0)</f>
        <v>0</v>
      </c>
      <c r="BT105">
        <f>IF(AND(VLOOKUP(BT$1,main!$A$3:$H$102,7,FALSE)=main!$G$104,VLOOKUP(BT$1,main!$A$3:$H$102,5,FALSE)-VLOOKUP($A105,main!$A$3:$H$102,6,FALSE)&gt;=main!$D$103+VLOOKUP(VLOOKUP(BT$1,main!$A$3:$I$102,7,FALSE),main!$K$26:$Q$29,4,FALSE)),1,0)</f>
        <v>0</v>
      </c>
      <c r="BU105">
        <f>IF(AND(VLOOKUP(BU$1,main!$A$3:$H$102,7,FALSE)=main!$G$104,VLOOKUP(BU$1,main!$A$3:$H$102,5,FALSE)-VLOOKUP($A105,main!$A$3:$H$102,6,FALSE)&gt;=main!$D$103+VLOOKUP(VLOOKUP(BU$1,main!$A$3:$I$102,7,FALSE),main!$K$26:$Q$29,4,FALSE)),1,0)</f>
        <v>0</v>
      </c>
      <c r="BV105">
        <f>IF(AND(VLOOKUP(BV$1,main!$A$3:$H$102,7,FALSE)=main!$G$104,VLOOKUP(BV$1,main!$A$3:$H$102,5,FALSE)-VLOOKUP($A105,main!$A$3:$H$102,6,FALSE)&gt;=main!$D$103+VLOOKUP(VLOOKUP(BV$1,main!$A$3:$I$102,7,FALSE),main!$K$26:$Q$29,4,FALSE)),1,0)</f>
        <v>0</v>
      </c>
      <c r="BW105">
        <f>IF(AND(VLOOKUP(BW$1,main!$A$3:$H$102,7,FALSE)=main!$G$104,VLOOKUP(BW$1,main!$A$3:$H$102,5,FALSE)-VLOOKUP($A105,main!$A$3:$H$102,6,FALSE)&gt;=main!$D$103+VLOOKUP(VLOOKUP(BW$1,main!$A$3:$I$102,7,FALSE),main!$K$26:$Q$29,4,FALSE)),1,0)</f>
        <v>0</v>
      </c>
      <c r="BX105">
        <f>IF(AND(VLOOKUP(BX$1,main!$A$3:$H$102,7,FALSE)=main!$G$104,VLOOKUP(BX$1,main!$A$3:$H$102,5,FALSE)-VLOOKUP($A105,main!$A$3:$H$102,6,FALSE)&gt;=main!$D$103+VLOOKUP(VLOOKUP(BX$1,main!$A$3:$I$102,7,FALSE),main!$K$26:$Q$29,4,FALSE)),1,0)</f>
        <v>0</v>
      </c>
      <c r="BY105">
        <f>IF(AND(VLOOKUP(BY$1,main!$A$3:$H$102,7,FALSE)=main!$G$104,VLOOKUP(BY$1,main!$A$3:$H$102,5,FALSE)-VLOOKUP($A105,main!$A$3:$H$102,6,FALSE)&gt;=main!$D$103+VLOOKUP(VLOOKUP(BY$1,main!$A$3:$I$102,7,FALSE),main!$K$26:$Q$29,4,FALSE)),1,0)</f>
        <v>0</v>
      </c>
      <c r="BZ105">
        <f>IF(AND(VLOOKUP(BZ$1,main!$A$3:$H$102,7,FALSE)=main!$G$104,VLOOKUP(BZ$1,main!$A$3:$H$102,5,FALSE)-VLOOKUP($A105,main!$A$3:$H$102,6,FALSE)&gt;=main!$D$103+VLOOKUP(VLOOKUP(BZ$1,main!$A$3:$I$102,7,FALSE),main!$K$26:$Q$29,4,FALSE)),1,0)</f>
        <v>0</v>
      </c>
      <c r="CA105">
        <f>IF(AND(VLOOKUP(CA$1,main!$A$3:$H$102,7,FALSE)=main!$G$104,VLOOKUP(CA$1,main!$A$3:$H$102,5,FALSE)-VLOOKUP($A105,main!$A$3:$H$102,6,FALSE)&gt;=main!$D$103+VLOOKUP(VLOOKUP(CA$1,main!$A$3:$I$102,7,FALSE),main!$K$26:$Q$29,4,FALSE)),1,0)</f>
        <v>0</v>
      </c>
      <c r="CB105">
        <f>IF(AND(VLOOKUP(CB$1,main!$A$3:$H$102,7,FALSE)=main!$G$104,VLOOKUP(CB$1,main!$A$3:$H$102,5,FALSE)-VLOOKUP($A105,main!$A$3:$H$102,6,FALSE)&gt;=main!$D$103+VLOOKUP(VLOOKUP(CB$1,main!$A$3:$I$102,7,FALSE),main!$K$26:$Q$29,4,FALSE)),1,0)</f>
        <v>0</v>
      </c>
      <c r="CC105">
        <f>IF(AND(VLOOKUP(CC$1,main!$A$3:$H$102,7,FALSE)=main!$G$104,VLOOKUP(CC$1,main!$A$3:$H$102,5,FALSE)-VLOOKUP($A105,main!$A$3:$H$102,6,FALSE)&gt;=main!$D$103+VLOOKUP(VLOOKUP(CC$1,main!$A$3:$I$102,7,FALSE),main!$K$26:$Q$29,4,FALSE)),1,0)</f>
        <v>0</v>
      </c>
      <c r="CD105">
        <f>IF(AND(VLOOKUP(CD$1,main!$A$3:$H$102,7,FALSE)=main!$G$104,VLOOKUP(CD$1,main!$A$3:$H$102,5,FALSE)-VLOOKUP($A105,main!$A$3:$H$102,6,FALSE)&gt;=main!$D$103+VLOOKUP(VLOOKUP(CD$1,main!$A$3:$I$102,7,FALSE),main!$K$26:$Q$29,4,FALSE)),1,0)</f>
        <v>0</v>
      </c>
      <c r="CE105">
        <f>IF(AND(VLOOKUP(CE$1,main!$A$3:$H$102,7,FALSE)=main!$G$104,VLOOKUP(CE$1,main!$A$3:$H$102,5,FALSE)-VLOOKUP($A105,main!$A$3:$H$102,6,FALSE)&gt;=main!$D$103+VLOOKUP(VLOOKUP(CE$1,main!$A$3:$I$102,7,FALSE),main!$K$26:$Q$29,4,FALSE)),1,0)</f>
        <v>0</v>
      </c>
      <c r="CF105">
        <f>IF(AND(VLOOKUP(CF$1,main!$A$3:$H$102,7,FALSE)=main!$G$104,VLOOKUP(CF$1,main!$A$3:$H$102,5,FALSE)-VLOOKUP($A105,main!$A$3:$H$102,6,FALSE)&gt;=main!$D$103+VLOOKUP(VLOOKUP(CF$1,main!$A$3:$I$102,7,FALSE),main!$K$26:$Q$29,4,FALSE)),1,0)</f>
        <v>0</v>
      </c>
      <c r="CG105">
        <f>IF(AND(VLOOKUP(CG$1,main!$A$3:$H$102,7,FALSE)=main!$G$104,VLOOKUP(CG$1,main!$A$3:$H$102,5,FALSE)-VLOOKUP($A105,main!$A$3:$H$102,6,FALSE)&gt;=main!$D$103+VLOOKUP(VLOOKUP(CG$1,main!$A$3:$I$102,7,FALSE),main!$K$26:$Q$29,4,FALSE)),1,0)</f>
        <v>0</v>
      </c>
      <c r="CH105">
        <f>IF(AND(VLOOKUP(CH$1,main!$A$3:$H$102,7,FALSE)=main!$G$104,VLOOKUP(CH$1,main!$A$3:$H$102,5,FALSE)-VLOOKUP($A105,main!$A$3:$H$102,6,FALSE)&gt;=main!$D$103+VLOOKUP(VLOOKUP(CH$1,main!$A$3:$I$102,7,FALSE),main!$K$26:$Q$29,4,FALSE)),1,0)</f>
        <v>0</v>
      </c>
      <c r="CI105">
        <f>IF(AND(VLOOKUP(CI$1,main!$A$3:$H$102,7,FALSE)=main!$G$104,VLOOKUP(CI$1,main!$A$3:$H$102,5,FALSE)-VLOOKUP($A105,main!$A$3:$H$102,6,FALSE)&gt;=main!$D$103+VLOOKUP(VLOOKUP(CI$1,main!$A$3:$I$102,7,FALSE),main!$K$26:$Q$29,4,FALSE)),1,0)</f>
        <v>0</v>
      </c>
      <c r="CJ105">
        <f>IF(AND(VLOOKUP(CJ$1,main!$A$3:$H$102,7,FALSE)=main!$G$104,VLOOKUP(CJ$1,main!$A$3:$H$102,5,FALSE)-VLOOKUP($A105,main!$A$3:$H$102,6,FALSE)&gt;=main!$D$103+VLOOKUP(VLOOKUP(CJ$1,main!$A$3:$I$102,7,FALSE),main!$K$26:$Q$29,4,FALSE)),1,0)</f>
        <v>0</v>
      </c>
      <c r="CK105">
        <f>IF(AND(VLOOKUP(CK$1,main!$A$3:$H$102,7,FALSE)=main!$G$104,VLOOKUP(CK$1,main!$A$3:$H$102,5,FALSE)-VLOOKUP($A105,main!$A$3:$H$102,6,FALSE)&gt;=main!$D$103+VLOOKUP(VLOOKUP(CK$1,main!$A$3:$I$102,7,FALSE),main!$K$26:$Q$29,4,FALSE)),1,0)</f>
        <v>0</v>
      </c>
      <c r="CL105">
        <f>IF(AND(VLOOKUP(CL$1,main!$A$3:$H$102,7,FALSE)=main!$G$104,VLOOKUP(CL$1,main!$A$3:$H$102,5,FALSE)-VLOOKUP($A105,main!$A$3:$H$102,6,FALSE)&gt;=main!$D$103+VLOOKUP(VLOOKUP(CL$1,main!$A$3:$I$102,7,FALSE),main!$K$26:$Q$29,4,FALSE)),1,0)</f>
        <v>0</v>
      </c>
      <c r="CM105">
        <f>IF(AND(VLOOKUP(CM$1,main!$A$3:$H$102,7,FALSE)=main!$G$104,VLOOKUP(CM$1,main!$A$3:$H$102,5,FALSE)-VLOOKUP($A105,main!$A$3:$H$102,6,FALSE)&gt;=main!$D$103+VLOOKUP(VLOOKUP(CM$1,main!$A$3:$I$102,7,FALSE),main!$K$26:$Q$29,4,FALSE)),1,0)</f>
        <v>0</v>
      </c>
      <c r="CN105">
        <f>IF(AND(VLOOKUP(CN$1,main!$A$3:$H$102,7,FALSE)=main!$G$104,VLOOKUP(CN$1,main!$A$3:$H$102,5,FALSE)-VLOOKUP($A105,main!$A$3:$H$102,6,FALSE)&gt;=main!$D$103+VLOOKUP(VLOOKUP(CN$1,main!$A$3:$I$102,7,FALSE),main!$K$26:$Q$29,4,FALSE)),1,0)</f>
        <v>0</v>
      </c>
      <c r="CO105">
        <f>IF(AND(VLOOKUP(CO$1,main!$A$3:$H$102,7,FALSE)=main!$G$104,VLOOKUP(CO$1,main!$A$3:$H$102,5,FALSE)-VLOOKUP($A105,main!$A$3:$H$102,6,FALSE)&gt;=main!$D$103+VLOOKUP(VLOOKUP(CO$1,main!$A$3:$I$102,7,FALSE),main!$K$26:$Q$29,4,FALSE)),1,0)</f>
        <v>0</v>
      </c>
      <c r="CP105">
        <f>IF(AND(VLOOKUP(CP$1,main!$A$3:$H$102,7,FALSE)=main!$G$104,VLOOKUP(CP$1,main!$A$3:$H$102,5,FALSE)-VLOOKUP($A105,main!$A$3:$H$102,6,FALSE)&gt;=main!$D$103+VLOOKUP(VLOOKUP(CP$1,main!$A$3:$I$102,7,FALSE),main!$K$26:$Q$29,4,FALSE)),1,0)</f>
        <v>0</v>
      </c>
      <c r="CQ105">
        <f>IF(AND(VLOOKUP(CQ$1,main!$A$3:$H$102,7,FALSE)=main!$G$104,VLOOKUP(CQ$1,main!$A$3:$H$102,5,FALSE)-VLOOKUP($A105,main!$A$3:$H$102,6,FALSE)&gt;=main!$D$103+VLOOKUP(VLOOKUP(CQ$1,main!$A$3:$I$102,7,FALSE),main!$K$26:$Q$29,4,FALSE)),1,0)</f>
        <v>0</v>
      </c>
      <c r="CR105">
        <f>IF(AND(VLOOKUP(CR$1,main!$A$3:$H$102,7,FALSE)=main!$G$104,VLOOKUP(CR$1,main!$A$3:$H$102,5,FALSE)-VLOOKUP($A105,main!$A$3:$H$102,6,FALSE)&gt;=main!$D$103+VLOOKUP(VLOOKUP(CR$1,main!$A$3:$I$102,7,FALSE),main!$K$26:$Q$29,4,FALSE)),1,0)</f>
        <v>0</v>
      </c>
      <c r="CS105">
        <f>IF(AND(VLOOKUP(CS$1,main!$A$3:$H$102,7,FALSE)=main!$G$104,VLOOKUP(CS$1,main!$A$3:$H$102,5,FALSE)-VLOOKUP($A105,main!$A$3:$H$102,6,FALSE)&gt;=main!$D$103+VLOOKUP(VLOOKUP(CS$1,main!$A$3:$I$102,7,FALSE),main!$K$26:$Q$29,4,FALSE)),1,0)</f>
        <v>0</v>
      </c>
      <c r="CT105">
        <f>IF(AND(VLOOKUP(CT$1,main!$A$3:$H$102,7,FALSE)=main!$G$104,VLOOKUP(CT$1,main!$A$3:$H$102,5,FALSE)-VLOOKUP($A105,main!$A$3:$H$102,6,FALSE)&gt;=main!$D$103+VLOOKUP(VLOOKUP(CT$1,main!$A$3:$I$102,7,FALSE),main!$K$26:$Q$29,4,FALSE)),1,0)</f>
        <v>0</v>
      </c>
      <c r="CU105">
        <f>IF(AND(VLOOKUP(CU$1,main!$A$3:$H$102,7,FALSE)=main!$G$104,VLOOKUP(CU$1,main!$A$3:$H$102,5,FALSE)-VLOOKUP($A105,main!$A$3:$H$102,6,FALSE)&gt;=main!$D$103+VLOOKUP(VLOOKUP(CU$1,main!$A$3:$I$102,7,FALSE),main!$K$26:$Q$29,4,FALSE)),1,0)</f>
        <v>0</v>
      </c>
      <c r="CV105">
        <f>IF(AND(VLOOKUP(CV$1,main!$A$3:$H$102,7,FALSE)=main!$G$104,VLOOKUP(CV$1,main!$A$3:$H$102,5,FALSE)-VLOOKUP($A105,main!$A$3:$H$102,6,FALSE)&gt;=main!$D$103+VLOOKUP(VLOOKUP(CV$1,main!$A$3:$I$102,7,FALSE),main!$K$26:$Q$29,4,FALSE)),1,0)</f>
        <v>0</v>
      </c>
      <c r="CW105">
        <f>IF(AND(VLOOKUP(CW$1,main!$A$3:$H$102,7,FALSE)=main!$G$104,VLOOKUP(CW$1,main!$A$3:$H$102,5,FALSE)-VLOOKUP($A105,main!$A$3:$H$102,6,FALSE)&gt;=main!$D$103+VLOOKUP(VLOOKUP(CW$1,main!$A$3:$I$102,7,FALSE),main!$K$26:$Q$29,4,FALSE)),1,0)</f>
        <v>0</v>
      </c>
      <c r="CX105">
        <f>IF(AND(VLOOKUP(CX$1,main!$A$3:$H$102,7,FALSE)=main!$G$104,VLOOKUP(CX$1,main!$A$3:$H$102,5,FALSE)-VLOOKUP($A105,main!$A$3:$H$102,6,FALSE)&gt;=main!$D$103+VLOOKUP(VLOOKUP(CX$1,main!$A$3:$I$102,7,FALSE),main!$K$26:$Q$29,4,FALSE)),1,0)</f>
        <v>0</v>
      </c>
    </row>
    <row r="106" spans="1:102" x14ac:dyDescent="0.25">
      <c r="A106" s="1">
        <v>3</v>
      </c>
      <c r="B106">
        <v>0</v>
      </c>
      <c r="C106">
        <f>IF(AND(VLOOKUP(C$1,main!$A$3:$H$102,7,FALSE)=main!$G$104,VLOOKUP(C$1,main!$A$3:$H$102,5,FALSE)-VLOOKUP($A106,main!$A$3:$H$102,6,FALSE)&gt;=main!$D$103+VLOOKUP(VLOOKUP(C$1,main!$A$3:$I$102,7,FALSE),main!$K$26:$Q$29,4,FALSE)),1,0)</f>
        <v>0</v>
      </c>
      <c r="D106">
        <f>IF(AND(VLOOKUP(D$1,main!$A$3:$H$102,7,FALSE)=main!$G$104,VLOOKUP(D$1,main!$A$3:$H$102,5,FALSE)-VLOOKUP($A106,main!$A$3:$H$102,6,FALSE)&gt;=main!$D$103+VLOOKUP(VLOOKUP(D$1,main!$A$3:$I$102,7,FALSE),main!$K$26:$Q$29,4,FALSE)),1,0)</f>
        <v>0</v>
      </c>
      <c r="E106">
        <f>IF(AND(VLOOKUP(E$1,main!$A$3:$H$102,7,FALSE)=main!$G$104,VLOOKUP(E$1,main!$A$3:$H$102,5,FALSE)-VLOOKUP($A106,main!$A$3:$H$102,6,FALSE)&gt;=main!$D$103+VLOOKUP(VLOOKUP(E$1,main!$A$3:$I$102,7,FALSE),main!$K$26:$Q$29,4,FALSE)),1,0)</f>
        <v>0</v>
      </c>
      <c r="F106">
        <f>IF(AND(VLOOKUP(F$1,main!$A$3:$H$102,7,FALSE)=main!$G$104,VLOOKUP(F$1,main!$A$3:$H$102,5,FALSE)-VLOOKUP($A106,main!$A$3:$H$102,6,FALSE)&gt;=main!$D$103+VLOOKUP(VLOOKUP(F$1,main!$A$3:$I$102,7,FALSE),main!$K$26:$Q$29,4,FALSE)),1,0)</f>
        <v>0</v>
      </c>
      <c r="G106">
        <f>IF(AND(VLOOKUP(G$1,main!$A$3:$H$102,7,FALSE)=main!$G$104,VLOOKUP(G$1,main!$A$3:$H$102,5,FALSE)-VLOOKUP($A106,main!$A$3:$H$102,6,FALSE)&gt;=main!$D$103+VLOOKUP(VLOOKUP(G$1,main!$A$3:$I$102,7,FALSE),main!$K$26:$Q$29,4,FALSE)),1,0)</f>
        <v>0</v>
      </c>
      <c r="H106">
        <f>IF(AND(VLOOKUP(H$1,main!$A$3:$H$102,7,FALSE)=main!$G$104,VLOOKUP(H$1,main!$A$3:$H$102,5,FALSE)-VLOOKUP($A106,main!$A$3:$H$102,6,FALSE)&gt;=main!$D$103+VLOOKUP(VLOOKUP(H$1,main!$A$3:$I$102,7,FALSE),main!$K$26:$Q$29,4,FALSE)),1,0)</f>
        <v>1</v>
      </c>
      <c r="I106">
        <f>IF(AND(VLOOKUP(I$1,main!$A$3:$H$102,7,FALSE)=main!$G$104,VLOOKUP(I$1,main!$A$3:$H$102,5,FALSE)-VLOOKUP($A106,main!$A$3:$H$102,6,FALSE)&gt;=main!$D$103+VLOOKUP(VLOOKUP(I$1,main!$A$3:$I$102,7,FALSE),main!$K$26:$Q$29,4,FALSE)),1,0)</f>
        <v>1</v>
      </c>
      <c r="J106">
        <f>IF(AND(VLOOKUP(J$1,main!$A$3:$H$102,7,FALSE)=main!$G$104,VLOOKUP(J$1,main!$A$3:$H$102,5,FALSE)-VLOOKUP($A106,main!$A$3:$H$102,6,FALSE)&gt;=main!$D$103+VLOOKUP(VLOOKUP(J$1,main!$A$3:$I$102,7,FALSE),main!$K$26:$Q$29,4,FALSE)),1,0)</f>
        <v>1</v>
      </c>
      <c r="K106">
        <f>IF(AND(VLOOKUP(K$1,main!$A$3:$H$102,7,FALSE)=main!$G$104,VLOOKUP(K$1,main!$A$3:$H$102,5,FALSE)-VLOOKUP($A106,main!$A$3:$H$102,6,FALSE)&gt;=main!$D$103+VLOOKUP(VLOOKUP(K$1,main!$A$3:$I$102,7,FALSE),main!$K$26:$Q$29,4,FALSE)),1,0)</f>
        <v>1</v>
      </c>
      <c r="L106">
        <f>IF(AND(VLOOKUP(L$1,main!$A$3:$H$102,7,FALSE)=main!$G$104,VLOOKUP(L$1,main!$A$3:$H$102,5,FALSE)-VLOOKUP($A106,main!$A$3:$H$102,6,FALSE)&gt;=main!$D$103+VLOOKUP(VLOOKUP(L$1,main!$A$3:$I$102,7,FALSE),main!$K$26:$Q$29,4,FALSE)),1,0)</f>
        <v>1</v>
      </c>
      <c r="M106">
        <f>IF(AND(VLOOKUP(M$1,main!$A$3:$H$102,7,FALSE)=main!$G$104,VLOOKUP(M$1,main!$A$3:$H$102,5,FALSE)-VLOOKUP($A106,main!$A$3:$H$102,6,FALSE)&gt;=main!$D$103+VLOOKUP(VLOOKUP(M$1,main!$A$3:$I$102,7,FALSE),main!$K$26:$Q$29,4,FALSE)),1,0)</f>
        <v>0</v>
      </c>
      <c r="N106">
        <f>IF(AND(VLOOKUP(N$1,main!$A$3:$H$102,7,FALSE)=main!$G$104,VLOOKUP(N$1,main!$A$3:$H$102,5,FALSE)-VLOOKUP($A106,main!$A$3:$H$102,6,FALSE)&gt;=main!$D$103+VLOOKUP(VLOOKUP(N$1,main!$A$3:$I$102,7,FALSE),main!$K$26:$Q$29,4,FALSE)),1,0)</f>
        <v>0</v>
      </c>
      <c r="O106">
        <f>IF(AND(VLOOKUP(O$1,main!$A$3:$H$102,7,FALSE)=main!$G$104,VLOOKUP(O$1,main!$A$3:$H$102,5,FALSE)-VLOOKUP($A106,main!$A$3:$H$102,6,FALSE)&gt;=main!$D$103+VLOOKUP(VLOOKUP(O$1,main!$A$3:$I$102,7,FALSE),main!$K$26:$Q$29,4,FALSE)),1,0)</f>
        <v>0</v>
      </c>
      <c r="P106">
        <f>IF(AND(VLOOKUP(P$1,main!$A$3:$H$102,7,FALSE)=main!$G$104,VLOOKUP(P$1,main!$A$3:$H$102,5,FALSE)-VLOOKUP($A106,main!$A$3:$H$102,6,FALSE)&gt;=main!$D$103+VLOOKUP(VLOOKUP(P$1,main!$A$3:$I$102,7,FALSE),main!$K$26:$Q$29,4,FALSE)),1,0)</f>
        <v>0</v>
      </c>
      <c r="Q106">
        <f>IF(AND(VLOOKUP(Q$1,main!$A$3:$H$102,7,FALSE)=main!$G$104,VLOOKUP(Q$1,main!$A$3:$H$102,5,FALSE)-VLOOKUP($A106,main!$A$3:$H$102,6,FALSE)&gt;=main!$D$103+VLOOKUP(VLOOKUP(Q$1,main!$A$3:$I$102,7,FALSE),main!$K$26:$Q$29,4,FALSE)),1,0)</f>
        <v>0</v>
      </c>
      <c r="R106">
        <f>IF(AND(VLOOKUP(R$1,main!$A$3:$H$102,7,FALSE)=main!$G$104,VLOOKUP(R$1,main!$A$3:$H$102,5,FALSE)-VLOOKUP($A106,main!$A$3:$H$102,6,FALSE)&gt;=main!$D$103+VLOOKUP(VLOOKUP(R$1,main!$A$3:$I$102,7,FALSE),main!$K$26:$Q$29,4,FALSE)),1,0)</f>
        <v>0</v>
      </c>
      <c r="S106">
        <f>IF(AND(VLOOKUP(S$1,main!$A$3:$H$102,7,FALSE)=main!$G$104,VLOOKUP(S$1,main!$A$3:$H$102,5,FALSE)-VLOOKUP($A106,main!$A$3:$H$102,6,FALSE)&gt;=main!$D$103+VLOOKUP(VLOOKUP(S$1,main!$A$3:$I$102,7,FALSE),main!$K$26:$Q$29,4,FALSE)),1,0)</f>
        <v>1</v>
      </c>
      <c r="T106">
        <f>IF(AND(VLOOKUP(T$1,main!$A$3:$H$102,7,FALSE)=main!$G$104,VLOOKUP(T$1,main!$A$3:$H$102,5,FALSE)-VLOOKUP($A106,main!$A$3:$H$102,6,FALSE)&gt;=main!$D$103+VLOOKUP(VLOOKUP(T$1,main!$A$3:$I$102,7,FALSE),main!$K$26:$Q$29,4,FALSE)),1,0)</f>
        <v>1</v>
      </c>
      <c r="U106">
        <f>IF(AND(VLOOKUP(U$1,main!$A$3:$H$102,7,FALSE)=main!$G$104,VLOOKUP(U$1,main!$A$3:$H$102,5,FALSE)-VLOOKUP($A106,main!$A$3:$H$102,6,FALSE)&gt;=main!$D$103+VLOOKUP(VLOOKUP(U$1,main!$A$3:$I$102,7,FALSE),main!$K$26:$Q$29,4,FALSE)),1,0)</f>
        <v>1</v>
      </c>
      <c r="V106">
        <f>IF(AND(VLOOKUP(V$1,main!$A$3:$H$102,7,FALSE)=main!$G$104,VLOOKUP(V$1,main!$A$3:$H$102,5,FALSE)-VLOOKUP($A106,main!$A$3:$H$102,6,FALSE)&gt;=main!$D$103+VLOOKUP(VLOOKUP(V$1,main!$A$3:$I$102,7,FALSE),main!$K$26:$Q$29,4,FALSE)),1,0)</f>
        <v>1</v>
      </c>
      <c r="W106">
        <f>IF(AND(VLOOKUP(W$1,main!$A$3:$H$102,7,FALSE)=main!$G$104,VLOOKUP(W$1,main!$A$3:$H$102,5,FALSE)-VLOOKUP($A106,main!$A$3:$H$102,6,FALSE)&gt;=main!$D$103+VLOOKUP(VLOOKUP(W$1,main!$A$3:$I$102,7,FALSE),main!$K$26:$Q$29,4,FALSE)),1,0)</f>
        <v>0</v>
      </c>
      <c r="X106">
        <f>IF(AND(VLOOKUP(X$1,main!$A$3:$H$102,7,FALSE)=main!$G$104,VLOOKUP(X$1,main!$A$3:$H$102,5,FALSE)-VLOOKUP($A106,main!$A$3:$H$102,6,FALSE)&gt;=main!$D$103+VLOOKUP(VLOOKUP(X$1,main!$A$3:$I$102,7,FALSE),main!$K$26:$Q$29,4,FALSE)),1,0)</f>
        <v>0</v>
      </c>
      <c r="Y106">
        <f>IF(AND(VLOOKUP(Y$1,main!$A$3:$H$102,7,FALSE)=main!$G$104,VLOOKUP(Y$1,main!$A$3:$H$102,5,FALSE)-VLOOKUP($A106,main!$A$3:$H$102,6,FALSE)&gt;=main!$D$103+VLOOKUP(VLOOKUP(Y$1,main!$A$3:$I$102,7,FALSE),main!$K$26:$Q$29,4,FALSE)),1,0)</f>
        <v>0</v>
      </c>
      <c r="Z106">
        <f>IF(AND(VLOOKUP(Z$1,main!$A$3:$H$102,7,FALSE)=main!$G$104,VLOOKUP(Z$1,main!$A$3:$H$102,5,FALSE)-VLOOKUP($A106,main!$A$3:$H$102,6,FALSE)&gt;=main!$D$103+VLOOKUP(VLOOKUP(Z$1,main!$A$3:$I$102,7,FALSE),main!$K$26:$Q$29,4,FALSE)),1,0)</f>
        <v>1</v>
      </c>
      <c r="AA106">
        <f>IF(AND(VLOOKUP(AA$1,main!$A$3:$H$102,7,FALSE)=main!$G$104,VLOOKUP(AA$1,main!$A$3:$H$102,5,FALSE)-VLOOKUP($A106,main!$A$3:$H$102,6,FALSE)&gt;=main!$D$103+VLOOKUP(VLOOKUP(AA$1,main!$A$3:$I$102,7,FALSE),main!$K$26:$Q$29,4,FALSE)),1,0)</f>
        <v>1</v>
      </c>
      <c r="AB106">
        <f>IF(AND(VLOOKUP(AB$1,main!$A$3:$H$102,7,FALSE)=main!$G$104,VLOOKUP(AB$1,main!$A$3:$H$102,5,FALSE)-VLOOKUP($A106,main!$A$3:$H$102,6,FALSE)&gt;=main!$D$103+VLOOKUP(VLOOKUP(AB$1,main!$A$3:$I$102,7,FALSE),main!$K$26:$Q$29,4,FALSE)),1,0)</f>
        <v>0</v>
      </c>
      <c r="AC106">
        <f>IF(AND(VLOOKUP(AC$1,main!$A$3:$H$102,7,FALSE)=main!$G$104,VLOOKUP(AC$1,main!$A$3:$H$102,5,FALSE)-VLOOKUP($A106,main!$A$3:$H$102,6,FALSE)&gt;=main!$D$103+VLOOKUP(VLOOKUP(AC$1,main!$A$3:$I$102,7,FALSE),main!$K$26:$Q$29,4,FALSE)),1,0)</f>
        <v>0</v>
      </c>
      <c r="AD106">
        <f>IF(AND(VLOOKUP(AD$1,main!$A$3:$H$102,7,FALSE)=main!$G$104,VLOOKUP(AD$1,main!$A$3:$H$102,5,FALSE)-VLOOKUP($A106,main!$A$3:$H$102,6,FALSE)&gt;=main!$D$103+VLOOKUP(VLOOKUP(AD$1,main!$A$3:$I$102,7,FALSE),main!$K$26:$Q$29,4,FALSE)),1,0)</f>
        <v>0</v>
      </c>
      <c r="AE106">
        <f>IF(AND(VLOOKUP(AE$1,main!$A$3:$H$102,7,FALSE)=main!$G$104,VLOOKUP(AE$1,main!$A$3:$H$102,5,FALSE)-VLOOKUP($A106,main!$A$3:$H$102,6,FALSE)&gt;=main!$D$103+VLOOKUP(VLOOKUP(AE$1,main!$A$3:$I$102,7,FALSE),main!$K$26:$Q$29,4,FALSE)),1,0)</f>
        <v>1</v>
      </c>
      <c r="AF106">
        <f>IF(AND(VLOOKUP(AF$1,main!$A$3:$H$102,7,FALSE)=main!$G$104,VLOOKUP(AF$1,main!$A$3:$H$102,5,FALSE)-VLOOKUP($A106,main!$A$3:$H$102,6,FALSE)&gt;=main!$D$103+VLOOKUP(VLOOKUP(AF$1,main!$A$3:$I$102,7,FALSE),main!$K$26:$Q$29,4,FALSE)),1,0)</f>
        <v>1</v>
      </c>
      <c r="AG106">
        <f>IF(AND(VLOOKUP(AG$1,main!$A$3:$H$102,7,FALSE)=main!$G$104,VLOOKUP(AG$1,main!$A$3:$H$102,5,FALSE)-VLOOKUP($A106,main!$A$3:$H$102,6,FALSE)&gt;=main!$D$103+VLOOKUP(VLOOKUP(AG$1,main!$A$3:$I$102,7,FALSE),main!$K$26:$Q$29,4,FALSE)),1,0)</f>
        <v>0</v>
      </c>
      <c r="AH106">
        <f>IF(AND(VLOOKUP(AH$1,main!$A$3:$H$102,7,FALSE)=main!$G$104,VLOOKUP(AH$1,main!$A$3:$H$102,5,FALSE)-VLOOKUP($A106,main!$A$3:$H$102,6,FALSE)&gt;=main!$D$103+VLOOKUP(VLOOKUP(AH$1,main!$A$3:$I$102,7,FALSE),main!$K$26:$Q$29,4,FALSE)),1,0)</f>
        <v>0</v>
      </c>
      <c r="AI106">
        <f>IF(AND(VLOOKUP(AI$1,main!$A$3:$H$102,7,FALSE)=main!$G$104,VLOOKUP(AI$1,main!$A$3:$H$102,5,FALSE)-VLOOKUP($A106,main!$A$3:$H$102,6,FALSE)&gt;=main!$D$103+VLOOKUP(VLOOKUP(AI$1,main!$A$3:$I$102,7,FALSE),main!$K$26:$Q$29,4,FALSE)),1,0)</f>
        <v>0</v>
      </c>
      <c r="AJ106">
        <f>IF(AND(VLOOKUP(AJ$1,main!$A$3:$H$102,7,FALSE)=main!$G$104,VLOOKUP(AJ$1,main!$A$3:$H$102,5,FALSE)-VLOOKUP($A106,main!$A$3:$H$102,6,FALSE)&gt;=main!$D$103+VLOOKUP(VLOOKUP(AJ$1,main!$A$3:$I$102,7,FALSE),main!$K$26:$Q$29,4,FALSE)),1,0)</f>
        <v>0</v>
      </c>
      <c r="AK106">
        <f>IF(AND(VLOOKUP(AK$1,main!$A$3:$H$102,7,FALSE)=main!$G$104,VLOOKUP(AK$1,main!$A$3:$H$102,5,FALSE)-VLOOKUP($A106,main!$A$3:$H$102,6,FALSE)&gt;=main!$D$103+VLOOKUP(VLOOKUP(AK$1,main!$A$3:$I$102,7,FALSE),main!$K$26:$Q$29,4,FALSE)),1,0)</f>
        <v>0</v>
      </c>
      <c r="AL106">
        <f>IF(AND(VLOOKUP(AL$1,main!$A$3:$H$102,7,FALSE)=main!$G$104,VLOOKUP(AL$1,main!$A$3:$H$102,5,FALSE)-VLOOKUP($A106,main!$A$3:$H$102,6,FALSE)&gt;=main!$D$103+VLOOKUP(VLOOKUP(AL$1,main!$A$3:$I$102,7,FALSE),main!$K$26:$Q$29,4,FALSE)),1,0)</f>
        <v>0</v>
      </c>
      <c r="AM106">
        <f>IF(AND(VLOOKUP(AM$1,main!$A$3:$H$102,7,FALSE)=main!$G$104,VLOOKUP(AM$1,main!$A$3:$H$102,5,FALSE)-VLOOKUP($A106,main!$A$3:$H$102,6,FALSE)&gt;=main!$D$103+VLOOKUP(VLOOKUP(AM$1,main!$A$3:$I$102,7,FALSE),main!$K$26:$Q$29,4,FALSE)),1,0)</f>
        <v>0</v>
      </c>
      <c r="AN106">
        <f>IF(AND(VLOOKUP(AN$1,main!$A$3:$H$102,7,FALSE)=main!$G$104,VLOOKUP(AN$1,main!$A$3:$H$102,5,FALSE)-VLOOKUP($A106,main!$A$3:$H$102,6,FALSE)&gt;=main!$D$103+VLOOKUP(VLOOKUP(AN$1,main!$A$3:$I$102,7,FALSE),main!$K$26:$Q$29,4,FALSE)),1,0)</f>
        <v>0</v>
      </c>
      <c r="AO106">
        <f>IF(AND(VLOOKUP(AO$1,main!$A$3:$H$102,7,FALSE)=main!$G$104,VLOOKUP(AO$1,main!$A$3:$H$102,5,FALSE)-VLOOKUP($A106,main!$A$3:$H$102,6,FALSE)&gt;=main!$D$103+VLOOKUP(VLOOKUP(AO$1,main!$A$3:$I$102,7,FALSE),main!$K$26:$Q$29,4,FALSE)),1,0)</f>
        <v>0</v>
      </c>
      <c r="AP106">
        <f>IF(AND(VLOOKUP(AP$1,main!$A$3:$H$102,7,FALSE)=main!$G$104,VLOOKUP(AP$1,main!$A$3:$H$102,5,FALSE)-VLOOKUP($A106,main!$A$3:$H$102,6,FALSE)&gt;=main!$D$103+VLOOKUP(VLOOKUP(AP$1,main!$A$3:$I$102,7,FALSE),main!$K$26:$Q$29,4,FALSE)),1,0)</f>
        <v>0</v>
      </c>
      <c r="AQ106">
        <f>IF(AND(VLOOKUP(AQ$1,main!$A$3:$H$102,7,FALSE)=main!$G$104,VLOOKUP(AQ$1,main!$A$3:$H$102,5,FALSE)-VLOOKUP($A106,main!$A$3:$H$102,6,FALSE)&gt;=main!$D$103+VLOOKUP(VLOOKUP(AQ$1,main!$A$3:$I$102,7,FALSE),main!$K$26:$Q$29,4,FALSE)),1,0)</f>
        <v>0</v>
      </c>
      <c r="AR106">
        <f>IF(AND(VLOOKUP(AR$1,main!$A$3:$H$102,7,FALSE)=main!$G$104,VLOOKUP(AR$1,main!$A$3:$H$102,5,FALSE)-VLOOKUP($A106,main!$A$3:$H$102,6,FALSE)&gt;=main!$D$103+VLOOKUP(VLOOKUP(AR$1,main!$A$3:$I$102,7,FALSE),main!$K$26:$Q$29,4,FALSE)),1,0)</f>
        <v>0</v>
      </c>
      <c r="AS106">
        <f>IF(AND(VLOOKUP(AS$1,main!$A$3:$H$102,7,FALSE)=main!$G$104,VLOOKUP(AS$1,main!$A$3:$H$102,5,FALSE)-VLOOKUP($A106,main!$A$3:$H$102,6,FALSE)&gt;=main!$D$103+VLOOKUP(VLOOKUP(AS$1,main!$A$3:$I$102,7,FALSE),main!$K$26:$Q$29,4,FALSE)),1,0)</f>
        <v>0</v>
      </c>
      <c r="AT106">
        <f>IF(AND(VLOOKUP(AT$1,main!$A$3:$H$102,7,FALSE)=main!$G$104,VLOOKUP(AT$1,main!$A$3:$H$102,5,FALSE)-VLOOKUP($A106,main!$A$3:$H$102,6,FALSE)&gt;=main!$D$103+VLOOKUP(VLOOKUP(AT$1,main!$A$3:$I$102,7,FALSE),main!$K$26:$Q$29,4,FALSE)),1,0)</f>
        <v>0</v>
      </c>
      <c r="AU106">
        <f>IF(AND(VLOOKUP(AU$1,main!$A$3:$H$102,7,FALSE)=main!$G$104,VLOOKUP(AU$1,main!$A$3:$H$102,5,FALSE)-VLOOKUP($A106,main!$A$3:$H$102,6,FALSE)&gt;=main!$D$103+VLOOKUP(VLOOKUP(AU$1,main!$A$3:$I$102,7,FALSE),main!$K$26:$Q$29,4,FALSE)),1,0)</f>
        <v>0</v>
      </c>
      <c r="AV106">
        <f>IF(AND(VLOOKUP(AV$1,main!$A$3:$H$102,7,FALSE)=main!$G$104,VLOOKUP(AV$1,main!$A$3:$H$102,5,FALSE)-VLOOKUP($A106,main!$A$3:$H$102,6,FALSE)&gt;=main!$D$103+VLOOKUP(VLOOKUP(AV$1,main!$A$3:$I$102,7,FALSE),main!$K$26:$Q$29,4,FALSE)),1,0)</f>
        <v>0</v>
      </c>
      <c r="AW106">
        <f>IF(AND(VLOOKUP(AW$1,main!$A$3:$H$102,7,FALSE)=main!$G$104,VLOOKUP(AW$1,main!$A$3:$H$102,5,FALSE)-VLOOKUP($A106,main!$A$3:$H$102,6,FALSE)&gt;=main!$D$103+VLOOKUP(VLOOKUP(AW$1,main!$A$3:$I$102,7,FALSE),main!$K$26:$Q$29,4,FALSE)),1,0)</f>
        <v>0</v>
      </c>
      <c r="AX106">
        <f>IF(AND(VLOOKUP(AX$1,main!$A$3:$H$102,7,FALSE)=main!$G$104,VLOOKUP(AX$1,main!$A$3:$H$102,5,FALSE)-VLOOKUP($A106,main!$A$3:$H$102,6,FALSE)&gt;=main!$D$103+VLOOKUP(VLOOKUP(AX$1,main!$A$3:$I$102,7,FALSE),main!$K$26:$Q$29,4,FALSE)),1,0)</f>
        <v>0</v>
      </c>
      <c r="AY106">
        <f>IF(AND(VLOOKUP(AY$1,main!$A$3:$H$102,7,FALSE)=main!$G$104,VLOOKUP(AY$1,main!$A$3:$H$102,5,FALSE)-VLOOKUP($A106,main!$A$3:$H$102,6,FALSE)&gt;=main!$D$103+VLOOKUP(VLOOKUP(AY$1,main!$A$3:$I$102,7,FALSE),main!$K$26:$Q$29,4,FALSE)),1,0)</f>
        <v>0</v>
      </c>
      <c r="AZ106">
        <f>IF(AND(VLOOKUP(AZ$1,main!$A$3:$H$102,7,FALSE)=main!$G$104,VLOOKUP(AZ$1,main!$A$3:$H$102,5,FALSE)-VLOOKUP($A106,main!$A$3:$H$102,6,FALSE)&gt;=main!$D$103+VLOOKUP(VLOOKUP(AZ$1,main!$A$3:$I$102,7,FALSE),main!$K$26:$Q$29,4,FALSE)),1,0)</f>
        <v>0</v>
      </c>
      <c r="BA106">
        <f>IF(AND(VLOOKUP(BA$1,main!$A$3:$H$102,7,FALSE)=main!$G$104,VLOOKUP(BA$1,main!$A$3:$H$102,5,FALSE)-VLOOKUP($A106,main!$A$3:$H$102,6,FALSE)&gt;=main!$D$103+VLOOKUP(VLOOKUP(BA$1,main!$A$3:$I$102,7,FALSE),main!$K$26:$Q$29,4,FALSE)),1,0)</f>
        <v>0</v>
      </c>
      <c r="BB106">
        <f>IF(AND(VLOOKUP(BB$1,main!$A$3:$H$102,7,FALSE)=main!$G$104,VLOOKUP(BB$1,main!$A$3:$H$102,5,FALSE)-VLOOKUP($A106,main!$A$3:$H$102,6,FALSE)&gt;=main!$D$103+VLOOKUP(VLOOKUP(BB$1,main!$A$3:$I$102,7,FALSE),main!$K$26:$Q$29,4,FALSE)),1,0)</f>
        <v>0</v>
      </c>
      <c r="BC106">
        <f>IF(AND(VLOOKUP(BC$1,main!$A$3:$H$102,7,FALSE)=main!$G$104,VLOOKUP(BC$1,main!$A$3:$H$102,5,FALSE)-VLOOKUP($A106,main!$A$3:$H$102,6,FALSE)&gt;=main!$D$103+VLOOKUP(VLOOKUP(BC$1,main!$A$3:$I$102,7,FALSE),main!$K$26:$Q$29,4,FALSE)),1,0)</f>
        <v>0</v>
      </c>
      <c r="BD106">
        <f>IF(AND(VLOOKUP(BD$1,main!$A$3:$H$102,7,FALSE)=main!$G$104,VLOOKUP(BD$1,main!$A$3:$H$102,5,FALSE)-VLOOKUP($A106,main!$A$3:$H$102,6,FALSE)&gt;=main!$D$103+VLOOKUP(VLOOKUP(BD$1,main!$A$3:$I$102,7,FALSE),main!$K$26:$Q$29,4,FALSE)),1,0)</f>
        <v>0</v>
      </c>
      <c r="BE106">
        <f>IF(AND(VLOOKUP(BE$1,main!$A$3:$H$102,7,FALSE)=main!$G$104,VLOOKUP(BE$1,main!$A$3:$H$102,5,FALSE)-VLOOKUP($A106,main!$A$3:$H$102,6,FALSE)&gt;=main!$D$103+VLOOKUP(VLOOKUP(BE$1,main!$A$3:$I$102,7,FALSE),main!$K$26:$Q$29,4,FALSE)),1,0)</f>
        <v>0</v>
      </c>
      <c r="BF106">
        <f>IF(AND(VLOOKUP(BF$1,main!$A$3:$H$102,7,FALSE)=main!$G$104,VLOOKUP(BF$1,main!$A$3:$H$102,5,FALSE)-VLOOKUP($A106,main!$A$3:$H$102,6,FALSE)&gt;=main!$D$103+VLOOKUP(VLOOKUP(BF$1,main!$A$3:$I$102,7,FALSE),main!$K$26:$Q$29,4,FALSE)),1,0)</f>
        <v>0</v>
      </c>
      <c r="BG106">
        <f>IF(AND(VLOOKUP(BG$1,main!$A$3:$H$102,7,FALSE)=main!$G$104,VLOOKUP(BG$1,main!$A$3:$H$102,5,FALSE)-VLOOKUP($A106,main!$A$3:$H$102,6,FALSE)&gt;=main!$D$103+VLOOKUP(VLOOKUP(BG$1,main!$A$3:$I$102,7,FALSE),main!$K$26:$Q$29,4,FALSE)),1,0)</f>
        <v>0</v>
      </c>
      <c r="BH106">
        <f>IF(AND(VLOOKUP(BH$1,main!$A$3:$H$102,7,FALSE)=main!$G$104,VLOOKUP(BH$1,main!$A$3:$H$102,5,FALSE)-VLOOKUP($A106,main!$A$3:$H$102,6,FALSE)&gt;=main!$D$103+VLOOKUP(VLOOKUP(BH$1,main!$A$3:$I$102,7,FALSE),main!$K$26:$Q$29,4,FALSE)),1,0)</f>
        <v>0</v>
      </c>
      <c r="BI106">
        <f>IF(AND(VLOOKUP(BI$1,main!$A$3:$H$102,7,FALSE)=main!$G$104,VLOOKUP(BI$1,main!$A$3:$H$102,5,FALSE)-VLOOKUP($A106,main!$A$3:$H$102,6,FALSE)&gt;=main!$D$103+VLOOKUP(VLOOKUP(BI$1,main!$A$3:$I$102,7,FALSE),main!$K$26:$Q$29,4,FALSE)),1,0)</f>
        <v>0</v>
      </c>
      <c r="BJ106">
        <f>IF(AND(VLOOKUP(BJ$1,main!$A$3:$H$102,7,FALSE)=main!$G$104,VLOOKUP(BJ$1,main!$A$3:$H$102,5,FALSE)-VLOOKUP($A106,main!$A$3:$H$102,6,FALSE)&gt;=main!$D$103+VLOOKUP(VLOOKUP(BJ$1,main!$A$3:$I$102,7,FALSE),main!$K$26:$Q$29,4,FALSE)),1,0)</f>
        <v>0</v>
      </c>
      <c r="BK106">
        <f>IF(AND(VLOOKUP(BK$1,main!$A$3:$H$102,7,FALSE)=main!$G$104,VLOOKUP(BK$1,main!$A$3:$H$102,5,FALSE)-VLOOKUP($A106,main!$A$3:$H$102,6,FALSE)&gt;=main!$D$103+VLOOKUP(VLOOKUP(BK$1,main!$A$3:$I$102,7,FALSE),main!$K$26:$Q$29,4,FALSE)),1,0)</f>
        <v>0</v>
      </c>
      <c r="BL106">
        <f>IF(AND(VLOOKUP(BL$1,main!$A$3:$H$102,7,FALSE)=main!$G$104,VLOOKUP(BL$1,main!$A$3:$H$102,5,FALSE)-VLOOKUP($A106,main!$A$3:$H$102,6,FALSE)&gt;=main!$D$103+VLOOKUP(VLOOKUP(BL$1,main!$A$3:$I$102,7,FALSE),main!$K$26:$Q$29,4,FALSE)),1,0)</f>
        <v>0</v>
      </c>
      <c r="BM106">
        <f>IF(AND(VLOOKUP(BM$1,main!$A$3:$H$102,7,FALSE)=main!$G$104,VLOOKUP(BM$1,main!$A$3:$H$102,5,FALSE)-VLOOKUP($A106,main!$A$3:$H$102,6,FALSE)&gt;=main!$D$103+VLOOKUP(VLOOKUP(BM$1,main!$A$3:$I$102,7,FALSE),main!$K$26:$Q$29,4,FALSE)),1,0)</f>
        <v>0</v>
      </c>
      <c r="BN106">
        <f>IF(AND(VLOOKUP(BN$1,main!$A$3:$H$102,7,FALSE)=main!$G$104,VLOOKUP(BN$1,main!$A$3:$H$102,5,FALSE)-VLOOKUP($A106,main!$A$3:$H$102,6,FALSE)&gt;=main!$D$103+VLOOKUP(VLOOKUP(BN$1,main!$A$3:$I$102,7,FALSE),main!$K$26:$Q$29,4,FALSE)),1,0)</f>
        <v>0</v>
      </c>
      <c r="BO106">
        <f>IF(AND(VLOOKUP(BO$1,main!$A$3:$H$102,7,FALSE)=main!$G$104,VLOOKUP(BO$1,main!$A$3:$H$102,5,FALSE)-VLOOKUP($A106,main!$A$3:$H$102,6,FALSE)&gt;=main!$D$103+VLOOKUP(VLOOKUP(BO$1,main!$A$3:$I$102,7,FALSE),main!$K$26:$Q$29,4,FALSE)),1,0)</f>
        <v>0</v>
      </c>
      <c r="BP106">
        <f>IF(AND(VLOOKUP(BP$1,main!$A$3:$H$102,7,FALSE)=main!$G$104,VLOOKUP(BP$1,main!$A$3:$H$102,5,FALSE)-VLOOKUP($A106,main!$A$3:$H$102,6,FALSE)&gt;=main!$D$103+VLOOKUP(VLOOKUP(BP$1,main!$A$3:$I$102,7,FALSE),main!$K$26:$Q$29,4,FALSE)),1,0)</f>
        <v>0</v>
      </c>
      <c r="BQ106">
        <f>IF(AND(VLOOKUP(BQ$1,main!$A$3:$H$102,7,FALSE)=main!$G$104,VLOOKUP(BQ$1,main!$A$3:$H$102,5,FALSE)-VLOOKUP($A106,main!$A$3:$H$102,6,FALSE)&gt;=main!$D$103+VLOOKUP(VLOOKUP(BQ$1,main!$A$3:$I$102,7,FALSE),main!$K$26:$Q$29,4,FALSE)),1,0)</f>
        <v>0</v>
      </c>
      <c r="BR106">
        <f>IF(AND(VLOOKUP(BR$1,main!$A$3:$H$102,7,FALSE)=main!$G$104,VLOOKUP(BR$1,main!$A$3:$H$102,5,FALSE)-VLOOKUP($A106,main!$A$3:$H$102,6,FALSE)&gt;=main!$D$103+VLOOKUP(VLOOKUP(BR$1,main!$A$3:$I$102,7,FALSE),main!$K$26:$Q$29,4,FALSE)),1,0)</f>
        <v>0</v>
      </c>
      <c r="BS106">
        <f>IF(AND(VLOOKUP(BS$1,main!$A$3:$H$102,7,FALSE)=main!$G$104,VLOOKUP(BS$1,main!$A$3:$H$102,5,FALSE)-VLOOKUP($A106,main!$A$3:$H$102,6,FALSE)&gt;=main!$D$103+VLOOKUP(VLOOKUP(BS$1,main!$A$3:$I$102,7,FALSE),main!$K$26:$Q$29,4,FALSE)),1,0)</f>
        <v>0</v>
      </c>
      <c r="BT106">
        <f>IF(AND(VLOOKUP(BT$1,main!$A$3:$H$102,7,FALSE)=main!$G$104,VLOOKUP(BT$1,main!$A$3:$H$102,5,FALSE)-VLOOKUP($A106,main!$A$3:$H$102,6,FALSE)&gt;=main!$D$103+VLOOKUP(VLOOKUP(BT$1,main!$A$3:$I$102,7,FALSE),main!$K$26:$Q$29,4,FALSE)),1,0)</f>
        <v>0</v>
      </c>
      <c r="BU106">
        <f>IF(AND(VLOOKUP(BU$1,main!$A$3:$H$102,7,FALSE)=main!$G$104,VLOOKUP(BU$1,main!$A$3:$H$102,5,FALSE)-VLOOKUP($A106,main!$A$3:$H$102,6,FALSE)&gt;=main!$D$103+VLOOKUP(VLOOKUP(BU$1,main!$A$3:$I$102,7,FALSE),main!$K$26:$Q$29,4,FALSE)),1,0)</f>
        <v>0</v>
      </c>
      <c r="BV106">
        <f>IF(AND(VLOOKUP(BV$1,main!$A$3:$H$102,7,FALSE)=main!$G$104,VLOOKUP(BV$1,main!$A$3:$H$102,5,FALSE)-VLOOKUP($A106,main!$A$3:$H$102,6,FALSE)&gt;=main!$D$103+VLOOKUP(VLOOKUP(BV$1,main!$A$3:$I$102,7,FALSE),main!$K$26:$Q$29,4,FALSE)),1,0)</f>
        <v>0</v>
      </c>
      <c r="BW106">
        <f>IF(AND(VLOOKUP(BW$1,main!$A$3:$H$102,7,FALSE)=main!$G$104,VLOOKUP(BW$1,main!$A$3:$H$102,5,FALSE)-VLOOKUP($A106,main!$A$3:$H$102,6,FALSE)&gt;=main!$D$103+VLOOKUP(VLOOKUP(BW$1,main!$A$3:$I$102,7,FALSE),main!$K$26:$Q$29,4,FALSE)),1,0)</f>
        <v>0</v>
      </c>
      <c r="BX106">
        <f>IF(AND(VLOOKUP(BX$1,main!$A$3:$H$102,7,FALSE)=main!$G$104,VLOOKUP(BX$1,main!$A$3:$H$102,5,FALSE)-VLOOKUP($A106,main!$A$3:$H$102,6,FALSE)&gt;=main!$D$103+VLOOKUP(VLOOKUP(BX$1,main!$A$3:$I$102,7,FALSE),main!$K$26:$Q$29,4,FALSE)),1,0)</f>
        <v>0</v>
      </c>
      <c r="BY106">
        <f>IF(AND(VLOOKUP(BY$1,main!$A$3:$H$102,7,FALSE)=main!$G$104,VLOOKUP(BY$1,main!$A$3:$H$102,5,FALSE)-VLOOKUP($A106,main!$A$3:$H$102,6,FALSE)&gt;=main!$D$103+VLOOKUP(VLOOKUP(BY$1,main!$A$3:$I$102,7,FALSE),main!$K$26:$Q$29,4,FALSE)),1,0)</f>
        <v>0</v>
      </c>
      <c r="BZ106">
        <f>IF(AND(VLOOKUP(BZ$1,main!$A$3:$H$102,7,FALSE)=main!$G$104,VLOOKUP(BZ$1,main!$A$3:$H$102,5,FALSE)-VLOOKUP($A106,main!$A$3:$H$102,6,FALSE)&gt;=main!$D$103+VLOOKUP(VLOOKUP(BZ$1,main!$A$3:$I$102,7,FALSE),main!$K$26:$Q$29,4,FALSE)),1,0)</f>
        <v>0</v>
      </c>
      <c r="CA106">
        <f>IF(AND(VLOOKUP(CA$1,main!$A$3:$H$102,7,FALSE)=main!$G$104,VLOOKUP(CA$1,main!$A$3:$H$102,5,FALSE)-VLOOKUP($A106,main!$A$3:$H$102,6,FALSE)&gt;=main!$D$103+VLOOKUP(VLOOKUP(CA$1,main!$A$3:$I$102,7,FALSE),main!$K$26:$Q$29,4,FALSE)),1,0)</f>
        <v>0</v>
      </c>
      <c r="CB106">
        <f>IF(AND(VLOOKUP(CB$1,main!$A$3:$H$102,7,FALSE)=main!$G$104,VLOOKUP(CB$1,main!$A$3:$H$102,5,FALSE)-VLOOKUP($A106,main!$A$3:$H$102,6,FALSE)&gt;=main!$D$103+VLOOKUP(VLOOKUP(CB$1,main!$A$3:$I$102,7,FALSE),main!$K$26:$Q$29,4,FALSE)),1,0)</f>
        <v>0</v>
      </c>
      <c r="CC106">
        <f>IF(AND(VLOOKUP(CC$1,main!$A$3:$H$102,7,FALSE)=main!$G$104,VLOOKUP(CC$1,main!$A$3:$H$102,5,FALSE)-VLOOKUP($A106,main!$A$3:$H$102,6,FALSE)&gt;=main!$D$103+VLOOKUP(VLOOKUP(CC$1,main!$A$3:$I$102,7,FALSE),main!$K$26:$Q$29,4,FALSE)),1,0)</f>
        <v>0</v>
      </c>
      <c r="CD106">
        <f>IF(AND(VLOOKUP(CD$1,main!$A$3:$H$102,7,FALSE)=main!$G$104,VLOOKUP(CD$1,main!$A$3:$H$102,5,FALSE)-VLOOKUP($A106,main!$A$3:$H$102,6,FALSE)&gt;=main!$D$103+VLOOKUP(VLOOKUP(CD$1,main!$A$3:$I$102,7,FALSE),main!$K$26:$Q$29,4,FALSE)),1,0)</f>
        <v>0</v>
      </c>
      <c r="CE106">
        <f>IF(AND(VLOOKUP(CE$1,main!$A$3:$H$102,7,FALSE)=main!$G$104,VLOOKUP(CE$1,main!$A$3:$H$102,5,FALSE)-VLOOKUP($A106,main!$A$3:$H$102,6,FALSE)&gt;=main!$D$103+VLOOKUP(VLOOKUP(CE$1,main!$A$3:$I$102,7,FALSE),main!$K$26:$Q$29,4,FALSE)),1,0)</f>
        <v>0</v>
      </c>
      <c r="CF106">
        <f>IF(AND(VLOOKUP(CF$1,main!$A$3:$H$102,7,FALSE)=main!$G$104,VLOOKUP(CF$1,main!$A$3:$H$102,5,FALSE)-VLOOKUP($A106,main!$A$3:$H$102,6,FALSE)&gt;=main!$D$103+VLOOKUP(VLOOKUP(CF$1,main!$A$3:$I$102,7,FALSE),main!$K$26:$Q$29,4,FALSE)),1,0)</f>
        <v>0</v>
      </c>
      <c r="CG106">
        <f>IF(AND(VLOOKUP(CG$1,main!$A$3:$H$102,7,FALSE)=main!$G$104,VLOOKUP(CG$1,main!$A$3:$H$102,5,FALSE)-VLOOKUP($A106,main!$A$3:$H$102,6,FALSE)&gt;=main!$D$103+VLOOKUP(VLOOKUP(CG$1,main!$A$3:$I$102,7,FALSE),main!$K$26:$Q$29,4,FALSE)),1,0)</f>
        <v>0</v>
      </c>
      <c r="CH106">
        <f>IF(AND(VLOOKUP(CH$1,main!$A$3:$H$102,7,FALSE)=main!$G$104,VLOOKUP(CH$1,main!$A$3:$H$102,5,FALSE)-VLOOKUP($A106,main!$A$3:$H$102,6,FALSE)&gt;=main!$D$103+VLOOKUP(VLOOKUP(CH$1,main!$A$3:$I$102,7,FALSE),main!$K$26:$Q$29,4,FALSE)),1,0)</f>
        <v>0</v>
      </c>
      <c r="CI106">
        <f>IF(AND(VLOOKUP(CI$1,main!$A$3:$H$102,7,FALSE)=main!$G$104,VLOOKUP(CI$1,main!$A$3:$H$102,5,FALSE)-VLOOKUP($A106,main!$A$3:$H$102,6,FALSE)&gt;=main!$D$103+VLOOKUP(VLOOKUP(CI$1,main!$A$3:$I$102,7,FALSE),main!$K$26:$Q$29,4,FALSE)),1,0)</f>
        <v>0</v>
      </c>
      <c r="CJ106">
        <f>IF(AND(VLOOKUP(CJ$1,main!$A$3:$H$102,7,FALSE)=main!$G$104,VLOOKUP(CJ$1,main!$A$3:$H$102,5,FALSE)-VLOOKUP($A106,main!$A$3:$H$102,6,FALSE)&gt;=main!$D$103+VLOOKUP(VLOOKUP(CJ$1,main!$A$3:$I$102,7,FALSE),main!$K$26:$Q$29,4,FALSE)),1,0)</f>
        <v>0</v>
      </c>
      <c r="CK106">
        <f>IF(AND(VLOOKUP(CK$1,main!$A$3:$H$102,7,FALSE)=main!$G$104,VLOOKUP(CK$1,main!$A$3:$H$102,5,FALSE)-VLOOKUP($A106,main!$A$3:$H$102,6,FALSE)&gt;=main!$D$103+VLOOKUP(VLOOKUP(CK$1,main!$A$3:$I$102,7,FALSE),main!$K$26:$Q$29,4,FALSE)),1,0)</f>
        <v>0</v>
      </c>
      <c r="CL106">
        <f>IF(AND(VLOOKUP(CL$1,main!$A$3:$H$102,7,FALSE)=main!$G$104,VLOOKUP(CL$1,main!$A$3:$H$102,5,FALSE)-VLOOKUP($A106,main!$A$3:$H$102,6,FALSE)&gt;=main!$D$103+VLOOKUP(VLOOKUP(CL$1,main!$A$3:$I$102,7,FALSE),main!$K$26:$Q$29,4,FALSE)),1,0)</f>
        <v>0</v>
      </c>
      <c r="CM106">
        <f>IF(AND(VLOOKUP(CM$1,main!$A$3:$H$102,7,FALSE)=main!$G$104,VLOOKUP(CM$1,main!$A$3:$H$102,5,FALSE)-VLOOKUP($A106,main!$A$3:$H$102,6,FALSE)&gt;=main!$D$103+VLOOKUP(VLOOKUP(CM$1,main!$A$3:$I$102,7,FALSE),main!$K$26:$Q$29,4,FALSE)),1,0)</f>
        <v>0</v>
      </c>
      <c r="CN106">
        <f>IF(AND(VLOOKUP(CN$1,main!$A$3:$H$102,7,FALSE)=main!$G$104,VLOOKUP(CN$1,main!$A$3:$H$102,5,FALSE)-VLOOKUP($A106,main!$A$3:$H$102,6,FALSE)&gt;=main!$D$103+VLOOKUP(VLOOKUP(CN$1,main!$A$3:$I$102,7,FALSE),main!$K$26:$Q$29,4,FALSE)),1,0)</f>
        <v>0</v>
      </c>
      <c r="CO106">
        <f>IF(AND(VLOOKUP(CO$1,main!$A$3:$H$102,7,FALSE)=main!$G$104,VLOOKUP(CO$1,main!$A$3:$H$102,5,FALSE)-VLOOKUP($A106,main!$A$3:$H$102,6,FALSE)&gt;=main!$D$103+VLOOKUP(VLOOKUP(CO$1,main!$A$3:$I$102,7,FALSE),main!$K$26:$Q$29,4,FALSE)),1,0)</f>
        <v>0</v>
      </c>
      <c r="CP106">
        <f>IF(AND(VLOOKUP(CP$1,main!$A$3:$H$102,7,FALSE)=main!$G$104,VLOOKUP(CP$1,main!$A$3:$H$102,5,FALSE)-VLOOKUP($A106,main!$A$3:$H$102,6,FALSE)&gt;=main!$D$103+VLOOKUP(VLOOKUP(CP$1,main!$A$3:$I$102,7,FALSE),main!$K$26:$Q$29,4,FALSE)),1,0)</f>
        <v>0</v>
      </c>
      <c r="CQ106">
        <f>IF(AND(VLOOKUP(CQ$1,main!$A$3:$H$102,7,FALSE)=main!$G$104,VLOOKUP(CQ$1,main!$A$3:$H$102,5,FALSE)-VLOOKUP($A106,main!$A$3:$H$102,6,FALSE)&gt;=main!$D$103+VLOOKUP(VLOOKUP(CQ$1,main!$A$3:$I$102,7,FALSE),main!$K$26:$Q$29,4,FALSE)),1,0)</f>
        <v>0</v>
      </c>
      <c r="CR106">
        <f>IF(AND(VLOOKUP(CR$1,main!$A$3:$H$102,7,FALSE)=main!$G$104,VLOOKUP(CR$1,main!$A$3:$H$102,5,FALSE)-VLOOKUP($A106,main!$A$3:$H$102,6,FALSE)&gt;=main!$D$103+VLOOKUP(VLOOKUP(CR$1,main!$A$3:$I$102,7,FALSE),main!$K$26:$Q$29,4,FALSE)),1,0)</f>
        <v>0</v>
      </c>
      <c r="CS106">
        <f>IF(AND(VLOOKUP(CS$1,main!$A$3:$H$102,7,FALSE)=main!$G$104,VLOOKUP(CS$1,main!$A$3:$H$102,5,FALSE)-VLOOKUP($A106,main!$A$3:$H$102,6,FALSE)&gt;=main!$D$103+VLOOKUP(VLOOKUP(CS$1,main!$A$3:$I$102,7,FALSE),main!$K$26:$Q$29,4,FALSE)),1,0)</f>
        <v>0</v>
      </c>
      <c r="CT106">
        <f>IF(AND(VLOOKUP(CT$1,main!$A$3:$H$102,7,FALSE)=main!$G$104,VLOOKUP(CT$1,main!$A$3:$H$102,5,FALSE)-VLOOKUP($A106,main!$A$3:$H$102,6,FALSE)&gt;=main!$D$103+VLOOKUP(VLOOKUP(CT$1,main!$A$3:$I$102,7,FALSE),main!$K$26:$Q$29,4,FALSE)),1,0)</f>
        <v>0</v>
      </c>
      <c r="CU106">
        <f>IF(AND(VLOOKUP(CU$1,main!$A$3:$H$102,7,FALSE)=main!$G$104,VLOOKUP(CU$1,main!$A$3:$H$102,5,FALSE)-VLOOKUP($A106,main!$A$3:$H$102,6,FALSE)&gt;=main!$D$103+VLOOKUP(VLOOKUP(CU$1,main!$A$3:$I$102,7,FALSE),main!$K$26:$Q$29,4,FALSE)),1,0)</f>
        <v>0</v>
      </c>
      <c r="CV106">
        <f>IF(AND(VLOOKUP(CV$1,main!$A$3:$H$102,7,FALSE)=main!$G$104,VLOOKUP(CV$1,main!$A$3:$H$102,5,FALSE)-VLOOKUP($A106,main!$A$3:$H$102,6,FALSE)&gt;=main!$D$103+VLOOKUP(VLOOKUP(CV$1,main!$A$3:$I$102,7,FALSE),main!$K$26:$Q$29,4,FALSE)),1,0)</f>
        <v>0</v>
      </c>
      <c r="CW106">
        <f>IF(AND(VLOOKUP(CW$1,main!$A$3:$H$102,7,FALSE)=main!$G$104,VLOOKUP(CW$1,main!$A$3:$H$102,5,FALSE)-VLOOKUP($A106,main!$A$3:$H$102,6,FALSE)&gt;=main!$D$103+VLOOKUP(VLOOKUP(CW$1,main!$A$3:$I$102,7,FALSE),main!$K$26:$Q$29,4,FALSE)),1,0)</f>
        <v>0</v>
      </c>
      <c r="CX106">
        <f>IF(AND(VLOOKUP(CX$1,main!$A$3:$H$102,7,FALSE)=main!$G$104,VLOOKUP(CX$1,main!$A$3:$H$102,5,FALSE)-VLOOKUP($A106,main!$A$3:$H$102,6,FALSE)&gt;=main!$D$103+VLOOKUP(VLOOKUP(CX$1,main!$A$3:$I$102,7,FALSE),main!$K$26:$Q$29,4,FALSE)),1,0)</f>
        <v>0</v>
      </c>
    </row>
    <row r="107" spans="1:102" x14ac:dyDescent="0.25">
      <c r="A107" s="1">
        <v>4</v>
      </c>
      <c r="B107">
        <v>0</v>
      </c>
      <c r="C107">
        <f>IF(AND(VLOOKUP(C$1,main!$A$3:$H$102,7,FALSE)=main!$G$104,VLOOKUP(C$1,main!$A$3:$H$102,5,FALSE)-VLOOKUP($A107,main!$A$3:$H$102,6,FALSE)&gt;=main!$D$103+VLOOKUP(VLOOKUP(C$1,main!$A$3:$I$102,7,FALSE),main!$K$26:$Q$29,4,FALSE)),1,0)</f>
        <v>0</v>
      </c>
      <c r="D107">
        <f>IF(AND(VLOOKUP(D$1,main!$A$3:$H$102,7,FALSE)=main!$G$104,VLOOKUP(D$1,main!$A$3:$H$102,5,FALSE)-VLOOKUP($A107,main!$A$3:$H$102,6,FALSE)&gt;=main!$D$103+VLOOKUP(VLOOKUP(D$1,main!$A$3:$I$102,7,FALSE),main!$K$26:$Q$29,4,FALSE)),1,0)</f>
        <v>0</v>
      </c>
      <c r="E107">
        <f>IF(AND(VLOOKUP(E$1,main!$A$3:$H$102,7,FALSE)=main!$G$104,VLOOKUP(E$1,main!$A$3:$H$102,5,FALSE)-VLOOKUP($A107,main!$A$3:$H$102,6,FALSE)&gt;=main!$D$103+VLOOKUP(VLOOKUP(E$1,main!$A$3:$I$102,7,FALSE),main!$K$26:$Q$29,4,FALSE)),1,0)</f>
        <v>0</v>
      </c>
      <c r="F107">
        <f>IF(AND(VLOOKUP(F$1,main!$A$3:$H$102,7,FALSE)=main!$G$104,VLOOKUP(F$1,main!$A$3:$H$102,5,FALSE)-VLOOKUP($A107,main!$A$3:$H$102,6,FALSE)&gt;=main!$D$103+VLOOKUP(VLOOKUP(F$1,main!$A$3:$I$102,7,FALSE),main!$K$26:$Q$29,4,FALSE)),1,0)</f>
        <v>0</v>
      </c>
      <c r="G107">
        <f>IF(AND(VLOOKUP(G$1,main!$A$3:$H$102,7,FALSE)=main!$G$104,VLOOKUP(G$1,main!$A$3:$H$102,5,FALSE)-VLOOKUP($A107,main!$A$3:$H$102,6,FALSE)&gt;=main!$D$103+VLOOKUP(VLOOKUP(G$1,main!$A$3:$I$102,7,FALSE),main!$K$26:$Q$29,4,FALSE)),1,0)</f>
        <v>0</v>
      </c>
      <c r="H107">
        <f>IF(AND(VLOOKUP(H$1,main!$A$3:$H$102,7,FALSE)=main!$G$104,VLOOKUP(H$1,main!$A$3:$H$102,5,FALSE)-VLOOKUP($A107,main!$A$3:$H$102,6,FALSE)&gt;=main!$D$103+VLOOKUP(VLOOKUP(H$1,main!$A$3:$I$102,7,FALSE),main!$K$26:$Q$29,4,FALSE)),1,0)</f>
        <v>0</v>
      </c>
      <c r="I107">
        <f>IF(AND(VLOOKUP(I$1,main!$A$3:$H$102,7,FALSE)=main!$G$104,VLOOKUP(I$1,main!$A$3:$H$102,5,FALSE)-VLOOKUP($A107,main!$A$3:$H$102,6,FALSE)&gt;=main!$D$103+VLOOKUP(VLOOKUP(I$1,main!$A$3:$I$102,7,FALSE),main!$K$26:$Q$29,4,FALSE)),1,0)</f>
        <v>1</v>
      </c>
      <c r="J107">
        <f>IF(AND(VLOOKUP(J$1,main!$A$3:$H$102,7,FALSE)=main!$G$104,VLOOKUP(J$1,main!$A$3:$H$102,5,FALSE)-VLOOKUP($A107,main!$A$3:$H$102,6,FALSE)&gt;=main!$D$103+VLOOKUP(VLOOKUP(J$1,main!$A$3:$I$102,7,FALSE),main!$K$26:$Q$29,4,FALSE)),1,0)</f>
        <v>1</v>
      </c>
      <c r="K107">
        <f>IF(AND(VLOOKUP(K$1,main!$A$3:$H$102,7,FALSE)=main!$G$104,VLOOKUP(K$1,main!$A$3:$H$102,5,FALSE)-VLOOKUP($A107,main!$A$3:$H$102,6,FALSE)&gt;=main!$D$103+VLOOKUP(VLOOKUP(K$1,main!$A$3:$I$102,7,FALSE),main!$K$26:$Q$29,4,FALSE)),1,0)</f>
        <v>1</v>
      </c>
      <c r="L107">
        <f>IF(AND(VLOOKUP(L$1,main!$A$3:$H$102,7,FALSE)=main!$G$104,VLOOKUP(L$1,main!$A$3:$H$102,5,FALSE)-VLOOKUP($A107,main!$A$3:$H$102,6,FALSE)&gt;=main!$D$103+VLOOKUP(VLOOKUP(L$1,main!$A$3:$I$102,7,FALSE),main!$K$26:$Q$29,4,FALSE)),1,0)</f>
        <v>1</v>
      </c>
      <c r="M107">
        <f>IF(AND(VLOOKUP(M$1,main!$A$3:$H$102,7,FALSE)=main!$G$104,VLOOKUP(M$1,main!$A$3:$H$102,5,FALSE)-VLOOKUP($A107,main!$A$3:$H$102,6,FALSE)&gt;=main!$D$103+VLOOKUP(VLOOKUP(M$1,main!$A$3:$I$102,7,FALSE),main!$K$26:$Q$29,4,FALSE)),1,0)</f>
        <v>0</v>
      </c>
      <c r="N107">
        <f>IF(AND(VLOOKUP(N$1,main!$A$3:$H$102,7,FALSE)=main!$G$104,VLOOKUP(N$1,main!$A$3:$H$102,5,FALSE)-VLOOKUP($A107,main!$A$3:$H$102,6,FALSE)&gt;=main!$D$103+VLOOKUP(VLOOKUP(N$1,main!$A$3:$I$102,7,FALSE),main!$K$26:$Q$29,4,FALSE)),1,0)</f>
        <v>0</v>
      </c>
      <c r="O107">
        <f>IF(AND(VLOOKUP(O$1,main!$A$3:$H$102,7,FALSE)=main!$G$104,VLOOKUP(O$1,main!$A$3:$H$102,5,FALSE)-VLOOKUP($A107,main!$A$3:$H$102,6,FALSE)&gt;=main!$D$103+VLOOKUP(VLOOKUP(O$1,main!$A$3:$I$102,7,FALSE),main!$K$26:$Q$29,4,FALSE)),1,0)</f>
        <v>0</v>
      </c>
      <c r="P107">
        <f>IF(AND(VLOOKUP(P$1,main!$A$3:$H$102,7,FALSE)=main!$G$104,VLOOKUP(P$1,main!$A$3:$H$102,5,FALSE)-VLOOKUP($A107,main!$A$3:$H$102,6,FALSE)&gt;=main!$D$103+VLOOKUP(VLOOKUP(P$1,main!$A$3:$I$102,7,FALSE),main!$K$26:$Q$29,4,FALSE)),1,0)</f>
        <v>0</v>
      </c>
      <c r="Q107">
        <f>IF(AND(VLOOKUP(Q$1,main!$A$3:$H$102,7,FALSE)=main!$G$104,VLOOKUP(Q$1,main!$A$3:$H$102,5,FALSE)-VLOOKUP($A107,main!$A$3:$H$102,6,FALSE)&gt;=main!$D$103+VLOOKUP(VLOOKUP(Q$1,main!$A$3:$I$102,7,FALSE),main!$K$26:$Q$29,4,FALSE)),1,0)</f>
        <v>0</v>
      </c>
      <c r="R107">
        <f>IF(AND(VLOOKUP(R$1,main!$A$3:$H$102,7,FALSE)=main!$G$104,VLOOKUP(R$1,main!$A$3:$H$102,5,FALSE)-VLOOKUP($A107,main!$A$3:$H$102,6,FALSE)&gt;=main!$D$103+VLOOKUP(VLOOKUP(R$1,main!$A$3:$I$102,7,FALSE),main!$K$26:$Q$29,4,FALSE)),1,0)</f>
        <v>0</v>
      </c>
      <c r="S107">
        <f>IF(AND(VLOOKUP(S$1,main!$A$3:$H$102,7,FALSE)=main!$G$104,VLOOKUP(S$1,main!$A$3:$H$102,5,FALSE)-VLOOKUP($A107,main!$A$3:$H$102,6,FALSE)&gt;=main!$D$103+VLOOKUP(VLOOKUP(S$1,main!$A$3:$I$102,7,FALSE),main!$K$26:$Q$29,4,FALSE)),1,0)</f>
        <v>0</v>
      </c>
      <c r="T107">
        <f>IF(AND(VLOOKUP(T$1,main!$A$3:$H$102,7,FALSE)=main!$G$104,VLOOKUP(T$1,main!$A$3:$H$102,5,FALSE)-VLOOKUP($A107,main!$A$3:$H$102,6,FALSE)&gt;=main!$D$103+VLOOKUP(VLOOKUP(T$1,main!$A$3:$I$102,7,FALSE),main!$K$26:$Q$29,4,FALSE)),1,0)</f>
        <v>1</v>
      </c>
      <c r="U107">
        <f>IF(AND(VLOOKUP(U$1,main!$A$3:$H$102,7,FALSE)=main!$G$104,VLOOKUP(U$1,main!$A$3:$H$102,5,FALSE)-VLOOKUP($A107,main!$A$3:$H$102,6,FALSE)&gt;=main!$D$103+VLOOKUP(VLOOKUP(U$1,main!$A$3:$I$102,7,FALSE),main!$K$26:$Q$29,4,FALSE)),1,0)</f>
        <v>1</v>
      </c>
      <c r="V107">
        <f>IF(AND(VLOOKUP(V$1,main!$A$3:$H$102,7,FALSE)=main!$G$104,VLOOKUP(V$1,main!$A$3:$H$102,5,FALSE)-VLOOKUP($A107,main!$A$3:$H$102,6,FALSE)&gt;=main!$D$103+VLOOKUP(VLOOKUP(V$1,main!$A$3:$I$102,7,FALSE),main!$K$26:$Q$29,4,FALSE)),1,0)</f>
        <v>1</v>
      </c>
      <c r="W107">
        <f>IF(AND(VLOOKUP(W$1,main!$A$3:$H$102,7,FALSE)=main!$G$104,VLOOKUP(W$1,main!$A$3:$H$102,5,FALSE)-VLOOKUP($A107,main!$A$3:$H$102,6,FALSE)&gt;=main!$D$103+VLOOKUP(VLOOKUP(W$1,main!$A$3:$I$102,7,FALSE),main!$K$26:$Q$29,4,FALSE)),1,0)</f>
        <v>0</v>
      </c>
      <c r="X107">
        <f>IF(AND(VLOOKUP(X$1,main!$A$3:$H$102,7,FALSE)=main!$G$104,VLOOKUP(X$1,main!$A$3:$H$102,5,FALSE)-VLOOKUP($A107,main!$A$3:$H$102,6,FALSE)&gt;=main!$D$103+VLOOKUP(VLOOKUP(X$1,main!$A$3:$I$102,7,FALSE),main!$K$26:$Q$29,4,FALSE)),1,0)</f>
        <v>0</v>
      </c>
      <c r="Y107">
        <f>IF(AND(VLOOKUP(Y$1,main!$A$3:$H$102,7,FALSE)=main!$G$104,VLOOKUP(Y$1,main!$A$3:$H$102,5,FALSE)-VLOOKUP($A107,main!$A$3:$H$102,6,FALSE)&gt;=main!$D$103+VLOOKUP(VLOOKUP(Y$1,main!$A$3:$I$102,7,FALSE),main!$K$26:$Q$29,4,FALSE)),1,0)</f>
        <v>0</v>
      </c>
      <c r="Z107">
        <f>IF(AND(VLOOKUP(Z$1,main!$A$3:$H$102,7,FALSE)=main!$G$104,VLOOKUP(Z$1,main!$A$3:$H$102,5,FALSE)-VLOOKUP($A107,main!$A$3:$H$102,6,FALSE)&gt;=main!$D$103+VLOOKUP(VLOOKUP(Z$1,main!$A$3:$I$102,7,FALSE),main!$K$26:$Q$29,4,FALSE)),1,0)</f>
        <v>1</v>
      </c>
      <c r="AA107">
        <f>IF(AND(VLOOKUP(AA$1,main!$A$3:$H$102,7,FALSE)=main!$G$104,VLOOKUP(AA$1,main!$A$3:$H$102,5,FALSE)-VLOOKUP($A107,main!$A$3:$H$102,6,FALSE)&gt;=main!$D$103+VLOOKUP(VLOOKUP(AA$1,main!$A$3:$I$102,7,FALSE),main!$K$26:$Q$29,4,FALSE)),1,0)</f>
        <v>1</v>
      </c>
      <c r="AB107">
        <f>IF(AND(VLOOKUP(AB$1,main!$A$3:$H$102,7,FALSE)=main!$G$104,VLOOKUP(AB$1,main!$A$3:$H$102,5,FALSE)-VLOOKUP($A107,main!$A$3:$H$102,6,FALSE)&gt;=main!$D$103+VLOOKUP(VLOOKUP(AB$1,main!$A$3:$I$102,7,FALSE),main!$K$26:$Q$29,4,FALSE)),1,0)</f>
        <v>0</v>
      </c>
      <c r="AC107">
        <f>IF(AND(VLOOKUP(AC$1,main!$A$3:$H$102,7,FALSE)=main!$G$104,VLOOKUP(AC$1,main!$A$3:$H$102,5,FALSE)-VLOOKUP($A107,main!$A$3:$H$102,6,FALSE)&gt;=main!$D$103+VLOOKUP(VLOOKUP(AC$1,main!$A$3:$I$102,7,FALSE),main!$K$26:$Q$29,4,FALSE)),1,0)</f>
        <v>0</v>
      </c>
      <c r="AD107">
        <f>IF(AND(VLOOKUP(AD$1,main!$A$3:$H$102,7,FALSE)=main!$G$104,VLOOKUP(AD$1,main!$A$3:$H$102,5,FALSE)-VLOOKUP($A107,main!$A$3:$H$102,6,FALSE)&gt;=main!$D$103+VLOOKUP(VLOOKUP(AD$1,main!$A$3:$I$102,7,FALSE),main!$K$26:$Q$29,4,FALSE)),1,0)</f>
        <v>0</v>
      </c>
      <c r="AE107">
        <f>IF(AND(VLOOKUP(AE$1,main!$A$3:$H$102,7,FALSE)=main!$G$104,VLOOKUP(AE$1,main!$A$3:$H$102,5,FALSE)-VLOOKUP($A107,main!$A$3:$H$102,6,FALSE)&gt;=main!$D$103+VLOOKUP(VLOOKUP(AE$1,main!$A$3:$I$102,7,FALSE),main!$K$26:$Q$29,4,FALSE)),1,0)</f>
        <v>0</v>
      </c>
      <c r="AF107">
        <f>IF(AND(VLOOKUP(AF$1,main!$A$3:$H$102,7,FALSE)=main!$G$104,VLOOKUP(AF$1,main!$A$3:$H$102,5,FALSE)-VLOOKUP($A107,main!$A$3:$H$102,6,FALSE)&gt;=main!$D$103+VLOOKUP(VLOOKUP(AF$1,main!$A$3:$I$102,7,FALSE),main!$K$26:$Q$29,4,FALSE)),1,0)</f>
        <v>1</v>
      </c>
      <c r="AG107">
        <f>IF(AND(VLOOKUP(AG$1,main!$A$3:$H$102,7,FALSE)=main!$G$104,VLOOKUP(AG$1,main!$A$3:$H$102,5,FALSE)-VLOOKUP($A107,main!$A$3:$H$102,6,FALSE)&gt;=main!$D$103+VLOOKUP(VLOOKUP(AG$1,main!$A$3:$I$102,7,FALSE),main!$K$26:$Q$29,4,FALSE)),1,0)</f>
        <v>0</v>
      </c>
      <c r="AH107">
        <f>IF(AND(VLOOKUP(AH$1,main!$A$3:$H$102,7,FALSE)=main!$G$104,VLOOKUP(AH$1,main!$A$3:$H$102,5,FALSE)-VLOOKUP($A107,main!$A$3:$H$102,6,FALSE)&gt;=main!$D$103+VLOOKUP(VLOOKUP(AH$1,main!$A$3:$I$102,7,FALSE),main!$K$26:$Q$29,4,FALSE)),1,0)</f>
        <v>0</v>
      </c>
      <c r="AI107">
        <f>IF(AND(VLOOKUP(AI$1,main!$A$3:$H$102,7,FALSE)=main!$G$104,VLOOKUP(AI$1,main!$A$3:$H$102,5,FALSE)-VLOOKUP($A107,main!$A$3:$H$102,6,FALSE)&gt;=main!$D$103+VLOOKUP(VLOOKUP(AI$1,main!$A$3:$I$102,7,FALSE),main!$K$26:$Q$29,4,FALSE)),1,0)</f>
        <v>0</v>
      </c>
      <c r="AJ107">
        <f>IF(AND(VLOOKUP(AJ$1,main!$A$3:$H$102,7,FALSE)=main!$G$104,VLOOKUP(AJ$1,main!$A$3:$H$102,5,FALSE)-VLOOKUP($A107,main!$A$3:$H$102,6,FALSE)&gt;=main!$D$103+VLOOKUP(VLOOKUP(AJ$1,main!$A$3:$I$102,7,FALSE),main!$K$26:$Q$29,4,FALSE)),1,0)</f>
        <v>0</v>
      </c>
      <c r="AK107">
        <f>IF(AND(VLOOKUP(AK$1,main!$A$3:$H$102,7,FALSE)=main!$G$104,VLOOKUP(AK$1,main!$A$3:$H$102,5,FALSE)-VLOOKUP($A107,main!$A$3:$H$102,6,FALSE)&gt;=main!$D$103+VLOOKUP(VLOOKUP(AK$1,main!$A$3:$I$102,7,FALSE),main!$K$26:$Q$29,4,FALSE)),1,0)</f>
        <v>0</v>
      </c>
      <c r="AL107">
        <f>IF(AND(VLOOKUP(AL$1,main!$A$3:$H$102,7,FALSE)=main!$G$104,VLOOKUP(AL$1,main!$A$3:$H$102,5,FALSE)-VLOOKUP($A107,main!$A$3:$H$102,6,FALSE)&gt;=main!$D$103+VLOOKUP(VLOOKUP(AL$1,main!$A$3:$I$102,7,FALSE),main!$K$26:$Q$29,4,FALSE)),1,0)</f>
        <v>0</v>
      </c>
      <c r="AM107">
        <f>IF(AND(VLOOKUP(AM$1,main!$A$3:$H$102,7,FALSE)=main!$G$104,VLOOKUP(AM$1,main!$A$3:$H$102,5,FALSE)-VLOOKUP($A107,main!$A$3:$H$102,6,FALSE)&gt;=main!$D$103+VLOOKUP(VLOOKUP(AM$1,main!$A$3:$I$102,7,FALSE),main!$K$26:$Q$29,4,FALSE)),1,0)</f>
        <v>0</v>
      </c>
      <c r="AN107">
        <f>IF(AND(VLOOKUP(AN$1,main!$A$3:$H$102,7,FALSE)=main!$G$104,VLOOKUP(AN$1,main!$A$3:$H$102,5,FALSE)-VLOOKUP($A107,main!$A$3:$H$102,6,FALSE)&gt;=main!$D$103+VLOOKUP(VLOOKUP(AN$1,main!$A$3:$I$102,7,FALSE),main!$K$26:$Q$29,4,FALSE)),1,0)</f>
        <v>0</v>
      </c>
      <c r="AO107">
        <f>IF(AND(VLOOKUP(AO$1,main!$A$3:$H$102,7,FALSE)=main!$G$104,VLOOKUP(AO$1,main!$A$3:$H$102,5,FALSE)-VLOOKUP($A107,main!$A$3:$H$102,6,FALSE)&gt;=main!$D$103+VLOOKUP(VLOOKUP(AO$1,main!$A$3:$I$102,7,FALSE),main!$K$26:$Q$29,4,FALSE)),1,0)</f>
        <v>0</v>
      </c>
      <c r="AP107">
        <f>IF(AND(VLOOKUP(AP$1,main!$A$3:$H$102,7,FALSE)=main!$G$104,VLOOKUP(AP$1,main!$A$3:$H$102,5,FALSE)-VLOOKUP($A107,main!$A$3:$H$102,6,FALSE)&gt;=main!$D$103+VLOOKUP(VLOOKUP(AP$1,main!$A$3:$I$102,7,FALSE),main!$K$26:$Q$29,4,FALSE)),1,0)</f>
        <v>0</v>
      </c>
      <c r="AQ107">
        <f>IF(AND(VLOOKUP(AQ$1,main!$A$3:$H$102,7,FALSE)=main!$G$104,VLOOKUP(AQ$1,main!$A$3:$H$102,5,FALSE)-VLOOKUP($A107,main!$A$3:$H$102,6,FALSE)&gt;=main!$D$103+VLOOKUP(VLOOKUP(AQ$1,main!$A$3:$I$102,7,FALSE),main!$K$26:$Q$29,4,FALSE)),1,0)</f>
        <v>0</v>
      </c>
      <c r="AR107">
        <f>IF(AND(VLOOKUP(AR$1,main!$A$3:$H$102,7,FALSE)=main!$G$104,VLOOKUP(AR$1,main!$A$3:$H$102,5,FALSE)-VLOOKUP($A107,main!$A$3:$H$102,6,FALSE)&gt;=main!$D$103+VLOOKUP(VLOOKUP(AR$1,main!$A$3:$I$102,7,FALSE),main!$K$26:$Q$29,4,FALSE)),1,0)</f>
        <v>0</v>
      </c>
      <c r="AS107">
        <f>IF(AND(VLOOKUP(AS$1,main!$A$3:$H$102,7,FALSE)=main!$G$104,VLOOKUP(AS$1,main!$A$3:$H$102,5,FALSE)-VLOOKUP($A107,main!$A$3:$H$102,6,FALSE)&gt;=main!$D$103+VLOOKUP(VLOOKUP(AS$1,main!$A$3:$I$102,7,FALSE),main!$K$26:$Q$29,4,FALSE)),1,0)</f>
        <v>0</v>
      </c>
      <c r="AT107">
        <f>IF(AND(VLOOKUP(AT$1,main!$A$3:$H$102,7,FALSE)=main!$G$104,VLOOKUP(AT$1,main!$A$3:$H$102,5,FALSE)-VLOOKUP($A107,main!$A$3:$H$102,6,FALSE)&gt;=main!$D$103+VLOOKUP(VLOOKUP(AT$1,main!$A$3:$I$102,7,FALSE),main!$K$26:$Q$29,4,FALSE)),1,0)</f>
        <v>0</v>
      </c>
      <c r="AU107">
        <f>IF(AND(VLOOKUP(AU$1,main!$A$3:$H$102,7,FALSE)=main!$G$104,VLOOKUP(AU$1,main!$A$3:$H$102,5,FALSE)-VLOOKUP($A107,main!$A$3:$H$102,6,FALSE)&gt;=main!$D$103+VLOOKUP(VLOOKUP(AU$1,main!$A$3:$I$102,7,FALSE),main!$K$26:$Q$29,4,FALSE)),1,0)</f>
        <v>0</v>
      </c>
      <c r="AV107">
        <f>IF(AND(VLOOKUP(AV$1,main!$A$3:$H$102,7,FALSE)=main!$G$104,VLOOKUP(AV$1,main!$A$3:$H$102,5,FALSE)-VLOOKUP($A107,main!$A$3:$H$102,6,FALSE)&gt;=main!$D$103+VLOOKUP(VLOOKUP(AV$1,main!$A$3:$I$102,7,FALSE),main!$K$26:$Q$29,4,FALSE)),1,0)</f>
        <v>0</v>
      </c>
      <c r="AW107">
        <f>IF(AND(VLOOKUP(AW$1,main!$A$3:$H$102,7,FALSE)=main!$G$104,VLOOKUP(AW$1,main!$A$3:$H$102,5,FALSE)-VLOOKUP($A107,main!$A$3:$H$102,6,FALSE)&gt;=main!$D$103+VLOOKUP(VLOOKUP(AW$1,main!$A$3:$I$102,7,FALSE),main!$K$26:$Q$29,4,FALSE)),1,0)</f>
        <v>0</v>
      </c>
      <c r="AX107">
        <f>IF(AND(VLOOKUP(AX$1,main!$A$3:$H$102,7,FALSE)=main!$G$104,VLOOKUP(AX$1,main!$A$3:$H$102,5,FALSE)-VLOOKUP($A107,main!$A$3:$H$102,6,FALSE)&gt;=main!$D$103+VLOOKUP(VLOOKUP(AX$1,main!$A$3:$I$102,7,FALSE),main!$K$26:$Q$29,4,FALSE)),1,0)</f>
        <v>0</v>
      </c>
      <c r="AY107">
        <f>IF(AND(VLOOKUP(AY$1,main!$A$3:$H$102,7,FALSE)=main!$G$104,VLOOKUP(AY$1,main!$A$3:$H$102,5,FALSE)-VLOOKUP($A107,main!$A$3:$H$102,6,FALSE)&gt;=main!$D$103+VLOOKUP(VLOOKUP(AY$1,main!$A$3:$I$102,7,FALSE),main!$K$26:$Q$29,4,FALSE)),1,0)</f>
        <v>0</v>
      </c>
      <c r="AZ107">
        <f>IF(AND(VLOOKUP(AZ$1,main!$A$3:$H$102,7,FALSE)=main!$G$104,VLOOKUP(AZ$1,main!$A$3:$H$102,5,FALSE)-VLOOKUP($A107,main!$A$3:$H$102,6,FALSE)&gt;=main!$D$103+VLOOKUP(VLOOKUP(AZ$1,main!$A$3:$I$102,7,FALSE),main!$K$26:$Q$29,4,FALSE)),1,0)</f>
        <v>0</v>
      </c>
      <c r="BA107">
        <f>IF(AND(VLOOKUP(BA$1,main!$A$3:$H$102,7,FALSE)=main!$G$104,VLOOKUP(BA$1,main!$A$3:$H$102,5,FALSE)-VLOOKUP($A107,main!$A$3:$H$102,6,FALSE)&gt;=main!$D$103+VLOOKUP(VLOOKUP(BA$1,main!$A$3:$I$102,7,FALSE),main!$K$26:$Q$29,4,FALSE)),1,0)</f>
        <v>0</v>
      </c>
      <c r="BB107">
        <f>IF(AND(VLOOKUP(BB$1,main!$A$3:$H$102,7,FALSE)=main!$G$104,VLOOKUP(BB$1,main!$A$3:$H$102,5,FALSE)-VLOOKUP($A107,main!$A$3:$H$102,6,FALSE)&gt;=main!$D$103+VLOOKUP(VLOOKUP(BB$1,main!$A$3:$I$102,7,FALSE),main!$K$26:$Q$29,4,FALSE)),1,0)</f>
        <v>0</v>
      </c>
      <c r="BC107">
        <f>IF(AND(VLOOKUP(BC$1,main!$A$3:$H$102,7,FALSE)=main!$G$104,VLOOKUP(BC$1,main!$A$3:$H$102,5,FALSE)-VLOOKUP($A107,main!$A$3:$H$102,6,FALSE)&gt;=main!$D$103+VLOOKUP(VLOOKUP(BC$1,main!$A$3:$I$102,7,FALSE),main!$K$26:$Q$29,4,FALSE)),1,0)</f>
        <v>0</v>
      </c>
      <c r="BD107">
        <f>IF(AND(VLOOKUP(BD$1,main!$A$3:$H$102,7,FALSE)=main!$G$104,VLOOKUP(BD$1,main!$A$3:$H$102,5,FALSE)-VLOOKUP($A107,main!$A$3:$H$102,6,FALSE)&gt;=main!$D$103+VLOOKUP(VLOOKUP(BD$1,main!$A$3:$I$102,7,FALSE),main!$K$26:$Q$29,4,FALSE)),1,0)</f>
        <v>0</v>
      </c>
      <c r="BE107">
        <f>IF(AND(VLOOKUP(BE$1,main!$A$3:$H$102,7,FALSE)=main!$G$104,VLOOKUP(BE$1,main!$A$3:$H$102,5,FALSE)-VLOOKUP($A107,main!$A$3:$H$102,6,FALSE)&gt;=main!$D$103+VLOOKUP(VLOOKUP(BE$1,main!$A$3:$I$102,7,FALSE),main!$K$26:$Q$29,4,FALSE)),1,0)</f>
        <v>0</v>
      </c>
      <c r="BF107">
        <f>IF(AND(VLOOKUP(BF$1,main!$A$3:$H$102,7,FALSE)=main!$G$104,VLOOKUP(BF$1,main!$A$3:$H$102,5,FALSE)-VLOOKUP($A107,main!$A$3:$H$102,6,FALSE)&gt;=main!$D$103+VLOOKUP(VLOOKUP(BF$1,main!$A$3:$I$102,7,FALSE),main!$K$26:$Q$29,4,FALSE)),1,0)</f>
        <v>0</v>
      </c>
      <c r="BG107">
        <f>IF(AND(VLOOKUP(BG$1,main!$A$3:$H$102,7,FALSE)=main!$G$104,VLOOKUP(BG$1,main!$A$3:$H$102,5,FALSE)-VLOOKUP($A107,main!$A$3:$H$102,6,FALSE)&gt;=main!$D$103+VLOOKUP(VLOOKUP(BG$1,main!$A$3:$I$102,7,FALSE),main!$K$26:$Q$29,4,FALSE)),1,0)</f>
        <v>0</v>
      </c>
      <c r="BH107">
        <f>IF(AND(VLOOKUP(BH$1,main!$A$3:$H$102,7,FALSE)=main!$G$104,VLOOKUP(BH$1,main!$A$3:$H$102,5,FALSE)-VLOOKUP($A107,main!$A$3:$H$102,6,FALSE)&gt;=main!$D$103+VLOOKUP(VLOOKUP(BH$1,main!$A$3:$I$102,7,FALSE),main!$K$26:$Q$29,4,FALSE)),1,0)</f>
        <v>0</v>
      </c>
      <c r="BI107">
        <f>IF(AND(VLOOKUP(BI$1,main!$A$3:$H$102,7,FALSE)=main!$G$104,VLOOKUP(BI$1,main!$A$3:$H$102,5,FALSE)-VLOOKUP($A107,main!$A$3:$H$102,6,FALSE)&gt;=main!$D$103+VLOOKUP(VLOOKUP(BI$1,main!$A$3:$I$102,7,FALSE),main!$K$26:$Q$29,4,FALSE)),1,0)</f>
        <v>0</v>
      </c>
      <c r="BJ107">
        <f>IF(AND(VLOOKUP(BJ$1,main!$A$3:$H$102,7,FALSE)=main!$G$104,VLOOKUP(BJ$1,main!$A$3:$H$102,5,FALSE)-VLOOKUP($A107,main!$A$3:$H$102,6,FALSE)&gt;=main!$D$103+VLOOKUP(VLOOKUP(BJ$1,main!$A$3:$I$102,7,FALSE),main!$K$26:$Q$29,4,FALSE)),1,0)</f>
        <v>0</v>
      </c>
      <c r="BK107">
        <f>IF(AND(VLOOKUP(BK$1,main!$A$3:$H$102,7,FALSE)=main!$G$104,VLOOKUP(BK$1,main!$A$3:$H$102,5,FALSE)-VLOOKUP($A107,main!$A$3:$H$102,6,FALSE)&gt;=main!$D$103+VLOOKUP(VLOOKUP(BK$1,main!$A$3:$I$102,7,FALSE),main!$K$26:$Q$29,4,FALSE)),1,0)</f>
        <v>0</v>
      </c>
      <c r="BL107">
        <f>IF(AND(VLOOKUP(BL$1,main!$A$3:$H$102,7,FALSE)=main!$G$104,VLOOKUP(BL$1,main!$A$3:$H$102,5,FALSE)-VLOOKUP($A107,main!$A$3:$H$102,6,FALSE)&gt;=main!$D$103+VLOOKUP(VLOOKUP(BL$1,main!$A$3:$I$102,7,FALSE),main!$K$26:$Q$29,4,FALSE)),1,0)</f>
        <v>0</v>
      </c>
      <c r="BM107">
        <f>IF(AND(VLOOKUP(BM$1,main!$A$3:$H$102,7,FALSE)=main!$G$104,VLOOKUP(BM$1,main!$A$3:$H$102,5,FALSE)-VLOOKUP($A107,main!$A$3:$H$102,6,FALSE)&gt;=main!$D$103+VLOOKUP(VLOOKUP(BM$1,main!$A$3:$I$102,7,FALSE),main!$K$26:$Q$29,4,FALSE)),1,0)</f>
        <v>0</v>
      </c>
      <c r="BN107">
        <f>IF(AND(VLOOKUP(BN$1,main!$A$3:$H$102,7,FALSE)=main!$G$104,VLOOKUP(BN$1,main!$A$3:$H$102,5,FALSE)-VLOOKUP($A107,main!$A$3:$H$102,6,FALSE)&gt;=main!$D$103+VLOOKUP(VLOOKUP(BN$1,main!$A$3:$I$102,7,FALSE),main!$K$26:$Q$29,4,FALSE)),1,0)</f>
        <v>0</v>
      </c>
      <c r="BO107">
        <f>IF(AND(VLOOKUP(BO$1,main!$A$3:$H$102,7,FALSE)=main!$G$104,VLOOKUP(BO$1,main!$A$3:$H$102,5,FALSE)-VLOOKUP($A107,main!$A$3:$H$102,6,FALSE)&gt;=main!$D$103+VLOOKUP(VLOOKUP(BO$1,main!$A$3:$I$102,7,FALSE),main!$K$26:$Q$29,4,FALSE)),1,0)</f>
        <v>0</v>
      </c>
      <c r="BP107">
        <f>IF(AND(VLOOKUP(BP$1,main!$A$3:$H$102,7,FALSE)=main!$G$104,VLOOKUP(BP$1,main!$A$3:$H$102,5,FALSE)-VLOOKUP($A107,main!$A$3:$H$102,6,FALSE)&gt;=main!$D$103+VLOOKUP(VLOOKUP(BP$1,main!$A$3:$I$102,7,FALSE),main!$K$26:$Q$29,4,FALSE)),1,0)</f>
        <v>0</v>
      </c>
      <c r="BQ107">
        <f>IF(AND(VLOOKUP(BQ$1,main!$A$3:$H$102,7,FALSE)=main!$G$104,VLOOKUP(BQ$1,main!$A$3:$H$102,5,FALSE)-VLOOKUP($A107,main!$A$3:$H$102,6,FALSE)&gt;=main!$D$103+VLOOKUP(VLOOKUP(BQ$1,main!$A$3:$I$102,7,FALSE),main!$K$26:$Q$29,4,FALSE)),1,0)</f>
        <v>0</v>
      </c>
      <c r="BR107">
        <f>IF(AND(VLOOKUP(BR$1,main!$A$3:$H$102,7,FALSE)=main!$G$104,VLOOKUP(BR$1,main!$A$3:$H$102,5,FALSE)-VLOOKUP($A107,main!$A$3:$H$102,6,FALSE)&gt;=main!$D$103+VLOOKUP(VLOOKUP(BR$1,main!$A$3:$I$102,7,FALSE),main!$K$26:$Q$29,4,FALSE)),1,0)</f>
        <v>0</v>
      </c>
      <c r="BS107">
        <f>IF(AND(VLOOKUP(BS$1,main!$A$3:$H$102,7,FALSE)=main!$G$104,VLOOKUP(BS$1,main!$A$3:$H$102,5,FALSE)-VLOOKUP($A107,main!$A$3:$H$102,6,FALSE)&gt;=main!$D$103+VLOOKUP(VLOOKUP(BS$1,main!$A$3:$I$102,7,FALSE),main!$K$26:$Q$29,4,FALSE)),1,0)</f>
        <v>0</v>
      </c>
      <c r="BT107">
        <f>IF(AND(VLOOKUP(BT$1,main!$A$3:$H$102,7,FALSE)=main!$G$104,VLOOKUP(BT$1,main!$A$3:$H$102,5,FALSE)-VLOOKUP($A107,main!$A$3:$H$102,6,FALSE)&gt;=main!$D$103+VLOOKUP(VLOOKUP(BT$1,main!$A$3:$I$102,7,FALSE),main!$K$26:$Q$29,4,FALSE)),1,0)</f>
        <v>0</v>
      </c>
      <c r="BU107">
        <f>IF(AND(VLOOKUP(BU$1,main!$A$3:$H$102,7,FALSE)=main!$G$104,VLOOKUP(BU$1,main!$A$3:$H$102,5,FALSE)-VLOOKUP($A107,main!$A$3:$H$102,6,FALSE)&gt;=main!$D$103+VLOOKUP(VLOOKUP(BU$1,main!$A$3:$I$102,7,FALSE),main!$K$26:$Q$29,4,FALSE)),1,0)</f>
        <v>0</v>
      </c>
      <c r="BV107">
        <f>IF(AND(VLOOKUP(BV$1,main!$A$3:$H$102,7,FALSE)=main!$G$104,VLOOKUP(BV$1,main!$A$3:$H$102,5,FALSE)-VLOOKUP($A107,main!$A$3:$H$102,6,FALSE)&gt;=main!$D$103+VLOOKUP(VLOOKUP(BV$1,main!$A$3:$I$102,7,FALSE),main!$K$26:$Q$29,4,FALSE)),1,0)</f>
        <v>0</v>
      </c>
      <c r="BW107">
        <f>IF(AND(VLOOKUP(BW$1,main!$A$3:$H$102,7,FALSE)=main!$G$104,VLOOKUP(BW$1,main!$A$3:$H$102,5,FALSE)-VLOOKUP($A107,main!$A$3:$H$102,6,FALSE)&gt;=main!$D$103+VLOOKUP(VLOOKUP(BW$1,main!$A$3:$I$102,7,FALSE),main!$K$26:$Q$29,4,FALSE)),1,0)</f>
        <v>0</v>
      </c>
      <c r="BX107">
        <f>IF(AND(VLOOKUP(BX$1,main!$A$3:$H$102,7,FALSE)=main!$G$104,VLOOKUP(BX$1,main!$A$3:$H$102,5,FALSE)-VLOOKUP($A107,main!$A$3:$H$102,6,FALSE)&gt;=main!$D$103+VLOOKUP(VLOOKUP(BX$1,main!$A$3:$I$102,7,FALSE),main!$K$26:$Q$29,4,FALSE)),1,0)</f>
        <v>0</v>
      </c>
      <c r="BY107">
        <f>IF(AND(VLOOKUP(BY$1,main!$A$3:$H$102,7,FALSE)=main!$G$104,VLOOKUP(BY$1,main!$A$3:$H$102,5,FALSE)-VLOOKUP($A107,main!$A$3:$H$102,6,FALSE)&gt;=main!$D$103+VLOOKUP(VLOOKUP(BY$1,main!$A$3:$I$102,7,FALSE),main!$K$26:$Q$29,4,FALSE)),1,0)</f>
        <v>0</v>
      </c>
      <c r="BZ107">
        <f>IF(AND(VLOOKUP(BZ$1,main!$A$3:$H$102,7,FALSE)=main!$G$104,VLOOKUP(BZ$1,main!$A$3:$H$102,5,FALSE)-VLOOKUP($A107,main!$A$3:$H$102,6,FALSE)&gt;=main!$D$103+VLOOKUP(VLOOKUP(BZ$1,main!$A$3:$I$102,7,FALSE),main!$K$26:$Q$29,4,FALSE)),1,0)</f>
        <v>0</v>
      </c>
      <c r="CA107">
        <f>IF(AND(VLOOKUP(CA$1,main!$A$3:$H$102,7,FALSE)=main!$G$104,VLOOKUP(CA$1,main!$A$3:$H$102,5,FALSE)-VLOOKUP($A107,main!$A$3:$H$102,6,FALSE)&gt;=main!$D$103+VLOOKUP(VLOOKUP(CA$1,main!$A$3:$I$102,7,FALSE),main!$K$26:$Q$29,4,FALSE)),1,0)</f>
        <v>0</v>
      </c>
      <c r="CB107">
        <f>IF(AND(VLOOKUP(CB$1,main!$A$3:$H$102,7,FALSE)=main!$G$104,VLOOKUP(CB$1,main!$A$3:$H$102,5,FALSE)-VLOOKUP($A107,main!$A$3:$H$102,6,FALSE)&gt;=main!$D$103+VLOOKUP(VLOOKUP(CB$1,main!$A$3:$I$102,7,FALSE),main!$K$26:$Q$29,4,FALSE)),1,0)</f>
        <v>0</v>
      </c>
      <c r="CC107">
        <f>IF(AND(VLOOKUP(CC$1,main!$A$3:$H$102,7,FALSE)=main!$G$104,VLOOKUP(CC$1,main!$A$3:$H$102,5,FALSE)-VLOOKUP($A107,main!$A$3:$H$102,6,FALSE)&gt;=main!$D$103+VLOOKUP(VLOOKUP(CC$1,main!$A$3:$I$102,7,FALSE),main!$K$26:$Q$29,4,FALSE)),1,0)</f>
        <v>0</v>
      </c>
      <c r="CD107">
        <f>IF(AND(VLOOKUP(CD$1,main!$A$3:$H$102,7,FALSE)=main!$G$104,VLOOKUP(CD$1,main!$A$3:$H$102,5,FALSE)-VLOOKUP($A107,main!$A$3:$H$102,6,FALSE)&gt;=main!$D$103+VLOOKUP(VLOOKUP(CD$1,main!$A$3:$I$102,7,FALSE),main!$K$26:$Q$29,4,FALSE)),1,0)</f>
        <v>0</v>
      </c>
      <c r="CE107">
        <f>IF(AND(VLOOKUP(CE$1,main!$A$3:$H$102,7,FALSE)=main!$G$104,VLOOKUP(CE$1,main!$A$3:$H$102,5,FALSE)-VLOOKUP($A107,main!$A$3:$H$102,6,FALSE)&gt;=main!$D$103+VLOOKUP(VLOOKUP(CE$1,main!$A$3:$I$102,7,FALSE),main!$K$26:$Q$29,4,FALSE)),1,0)</f>
        <v>0</v>
      </c>
      <c r="CF107">
        <f>IF(AND(VLOOKUP(CF$1,main!$A$3:$H$102,7,FALSE)=main!$G$104,VLOOKUP(CF$1,main!$A$3:$H$102,5,FALSE)-VLOOKUP($A107,main!$A$3:$H$102,6,FALSE)&gt;=main!$D$103+VLOOKUP(VLOOKUP(CF$1,main!$A$3:$I$102,7,FALSE),main!$K$26:$Q$29,4,FALSE)),1,0)</f>
        <v>0</v>
      </c>
      <c r="CG107">
        <f>IF(AND(VLOOKUP(CG$1,main!$A$3:$H$102,7,FALSE)=main!$G$104,VLOOKUP(CG$1,main!$A$3:$H$102,5,FALSE)-VLOOKUP($A107,main!$A$3:$H$102,6,FALSE)&gt;=main!$D$103+VLOOKUP(VLOOKUP(CG$1,main!$A$3:$I$102,7,FALSE),main!$K$26:$Q$29,4,FALSE)),1,0)</f>
        <v>0</v>
      </c>
      <c r="CH107">
        <f>IF(AND(VLOOKUP(CH$1,main!$A$3:$H$102,7,FALSE)=main!$G$104,VLOOKUP(CH$1,main!$A$3:$H$102,5,FALSE)-VLOOKUP($A107,main!$A$3:$H$102,6,FALSE)&gt;=main!$D$103+VLOOKUP(VLOOKUP(CH$1,main!$A$3:$I$102,7,FALSE),main!$K$26:$Q$29,4,FALSE)),1,0)</f>
        <v>0</v>
      </c>
      <c r="CI107">
        <f>IF(AND(VLOOKUP(CI$1,main!$A$3:$H$102,7,FALSE)=main!$G$104,VLOOKUP(CI$1,main!$A$3:$H$102,5,FALSE)-VLOOKUP($A107,main!$A$3:$H$102,6,FALSE)&gt;=main!$D$103+VLOOKUP(VLOOKUP(CI$1,main!$A$3:$I$102,7,FALSE),main!$K$26:$Q$29,4,FALSE)),1,0)</f>
        <v>0</v>
      </c>
      <c r="CJ107">
        <f>IF(AND(VLOOKUP(CJ$1,main!$A$3:$H$102,7,FALSE)=main!$G$104,VLOOKUP(CJ$1,main!$A$3:$H$102,5,FALSE)-VLOOKUP($A107,main!$A$3:$H$102,6,FALSE)&gt;=main!$D$103+VLOOKUP(VLOOKUP(CJ$1,main!$A$3:$I$102,7,FALSE),main!$K$26:$Q$29,4,FALSE)),1,0)</f>
        <v>0</v>
      </c>
      <c r="CK107">
        <f>IF(AND(VLOOKUP(CK$1,main!$A$3:$H$102,7,FALSE)=main!$G$104,VLOOKUP(CK$1,main!$A$3:$H$102,5,FALSE)-VLOOKUP($A107,main!$A$3:$H$102,6,FALSE)&gt;=main!$D$103+VLOOKUP(VLOOKUP(CK$1,main!$A$3:$I$102,7,FALSE),main!$K$26:$Q$29,4,FALSE)),1,0)</f>
        <v>0</v>
      </c>
      <c r="CL107">
        <f>IF(AND(VLOOKUP(CL$1,main!$A$3:$H$102,7,FALSE)=main!$G$104,VLOOKUP(CL$1,main!$A$3:$H$102,5,FALSE)-VLOOKUP($A107,main!$A$3:$H$102,6,FALSE)&gt;=main!$D$103+VLOOKUP(VLOOKUP(CL$1,main!$A$3:$I$102,7,FALSE),main!$K$26:$Q$29,4,FALSE)),1,0)</f>
        <v>0</v>
      </c>
      <c r="CM107">
        <f>IF(AND(VLOOKUP(CM$1,main!$A$3:$H$102,7,FALSE)=main!$G$104,VLOOKUP(CM$1,main!$A$3:$H$102,5,FALSE)-VLOOKUP($A107,main!$A$3:$H$102,6,FALSE)&gt;=main!$D$103+VLOOKUP(VLOOKUP(CM$1,main!$A$3:$I$102,7,FALSE),main!$K$26:$Q$29,4,FALSE)),1,0)</f>
        <v>0</v>
      </c>
      <c r="CN107">
        <f>IF(AND(VLOOKUP(CN$1,main!$A$3:$H$102,7,FALSE)=main!$G$104,VLOOKUP(CN$1,main!$A$3:$H$102,5,FALSE)-VLOOKUP($A107,main!$A$3:$H$102,6,FALSE)&gt;=main!$D$103+VLOOKUP(VLOOKUP(CN$1,main!$A$3:$I$102,7,FALSE),main!$K$26:$Q$29,4,FALSE)),1,0)</f>
        <v>0</v>
      </c>
      <c r="CO107">
        <f>IF(AND(VLOOKUP(CO$1,main!$A$3:$H$102,7,FALSE)=main!$G$104,VLOOKUP(CO$1,main!$A$3:$H$102,5,FALSE)-VLOOKUP($A107,main!$A$3:$H$102,6,FALSE)&gt;=main!$D$103+VLOOKUP(VLOOKUP(CO$1,main!$A$3:$I$102,7,FALSE),main!$K$26:$Q$29,4,FALSE)),1,0)</f>
        <v>0</v>
      </c>
      <c r="CP107">
        <f>IF(AND(VLOOKUP(CP$1,main!$A$3:$H$102,7,FALSE)=main!$G$104,VLOOKUP(CP$1,main!$A$3:$H$102,5,FALSE)-VLOOKUP($A107,main!$A$3:$H$102,6,FALSE)&gt;=main!$D$103+VLOOKUP(VLOOKUP(CP$1,main!$A$3:$I$102,7,FALSE),main!$K$26:$Q$29,4,FALSE)),1,0)</f>
        <v>0</v>
      </c>
      <c r="CQ107">
        <f>IF(AND(VLOOKUP(CQ$1,main!$A$3:$H$102,7,FALSE)=main!$G$104,VLOOKUP(CQ$1,main!$A$3:$H$102,5,FALSE)-VLOOKUP($A107,main!$A$3:$H$102,6,FALSE)&gt;=main!$D$103+VLOOKUP(VLOOKUP(CQ$1,main!$A$3:$I$102,7,FALSE),main!$K$26:$Q$29,4,FALSE)),1,0)</f>
        <v>0</v>
      </c>
      <c r="CR107">
        <f>IF(AND(VLOOKUP(CR$1,main!$A$3:$H$102,7,FALSE)=main!$G$104,VLOOKUP(CR$1,main!$A$3:$H$102,5,FALSE)-VLOOKUP($A107,main!$A$3:$H$102,6,FALSE)&gt;=main!$D$103+VLOOKUP(VLOOKUP(CR$1,main!$A$3:$I$102,7,FALSE),main!$K$26:$Q$29,4,FALSE)),1,0)</f>
        <v>0</v>
      </c>
      <c r="CS107">
        <f>IF(AND(VLOOKUP(CS$1,main!$A$3:$H$102,7,FALSE)=main!$G$104,VLOOKUP(CS$1,main!$A$3:$H$102,5,FALSE)-VLOOKUP($A107,main!$A$3:$H$102,6,FALSE)&gt;=main!$D$103+VLOOKUP(VLOOKUP(CS$1,main!$A$3:$I$102,7,FALSE),main!$K$26:$Q$29,4,FALSE)),1,0)</f>
        <v>0</v>
      </c>
      <c r="CT107">
        <f>IF(AND(VLOOKUP(CT$1,main!$A$3:$H$102,7,FALSE)=main!$G$104,VLOOKUP(CT$1,main!$A$3:$H$102,5,FALSE)-VLOOKUP($A107,main!$A$3:$H$102,6,FALSE)&gt;=main!$D$103+VLOOKUP(VLOOKUP(CT$1,main!$A$3:$I$102,7,FALSE),main!$K$26:$Q$29,4,FALSE)),1,0)</f>
        <v>0</v>
      </c>
      <c r="CU107">
        <f>IF(AND(VLOOKUP(CU$1,main!$A$3:$H$102,7,FALSE)=main!$G$104,VLOOKUP(CU$1,main!$A$3:$H$102,5,FALSE)-VLOOKUP($A107,main!$A$3:$H$102,6,FALSE)&gt;=main!$D$103+VLOOKUP(VLOOKUP(CU$1,main!$A$3:$I$102,7,FALSE),main!$K$26:$Q$29,4,FALSE)),1,0)</f>
        <v>0</v>
      </c>
      <c r="CV107">
        <f>IF(AND(VLOOKUP(CV$1,main!$A$3:$H$102,7,FALSE)=main!$G$104,VLOOKUP(CV$1,main!$A$3:$H$102,5,FALSE)-VLOOKUP($A107,main!$A$3:$H$102,6,FALSE)&gt;=main!$D$103+VLOOKUP(VLOOKUP(CV$1,main!$A$3:$I$102,7,FALSE),main!$K$26:$Q$29,4,FALSE)),1,0)</f>
        <v>0</v>
      </c>
      <c r="CW107">
        <f>IF(AND(VLOOKUP(CW$1,main!$A$3:$H$102,7,FALSE)=main!$G$104,VLOOKUP(CW$1,main!$A$3:$H$102,5,FALSE)-VLOOKUP($A107,main!$A$3:$H$102,6,FALSE)&gt;=main!$D$103+VLOOKUP(VLOOKUP(CW$1,main!$A$3:$I$102,7,FALSE),main!$K$26:$Q$29,4,FALSE)),1,0)</f>
        <v>0</v>
      </c>
      <c r="CX107">
        <f>IF(AND(VLOOKUP(CX$1,main!$A$3:$H$102,7,FALSE)=main!$G$104,VLOOKUP(CX$1,main!$A$3:$H$102,5,FALSE)-VLOOKUP($A107,main!$A$3:$H$102,6,FALSE)&gt;=main!$D$103+VLOOKUP(VLOOKUP(CX$1,main!$A$3:$I$102,7,FALSE),main!$K$26:$Q$29,4,FALSE)),1,0)</f>
        <v>0</v>
      </c>
    </row>
    <row r="108" spans="1:102" x14ac:dyDescent="0.25">
      <c r="A108" s="1">
        <v>5</v>
      </c>
      <c r="B108">
        <v>0</v>
      </c>
      <c r="C108">
        <f>IF(AND(VLOOKUP(C$1,main!$A$3:$H$102,7,FALSE)=main!$G$104,VLOOKUP(C$1,main!$A$3:$H$102,5,FALSE)-VLOOKUP($A108,main!$A$3:$H$102,6,FALSE)&gt;=main!$D$103+VLOOKUP(VLOOKUP(C$1,main!$A$3:$I$102,7,FALSE),main!$K$26:$Q$29,4,FALSE)),1,0)</f>
        <v>0</v>
      </c>
      <c r="D108">
        <f>IF(AND(VLOOKUP(D$1,main!$A$3:$H$102,7,FALSE)=main!$G$104,VLOOKUP(D$1,main!$A$3:$H$102,5,FALSE)-VLOOKUP($A108,main!$A$3:$H$102,6,FALSE)&gt;=main!$D$103+VLOOKUP(VLOOKUP(D$1,main!$A$3:$I$102,7,FALSE),main!$K$26:$Q$29,4,FALSE)),1,0)</f>
        <v>0</v>
      </c>
      <c r="E108">
        <f>IF(AND(VLOOKUP(E$1,main!$A$3:$H$102,7,FALSE)=main!$G$104,VLOOKUP(E$1,main!$A$3:$H$102,5,FALSE)-VLOOKUP($A108,main!$A$3:$H$102,6,FALSE)&gt;=main!$D$103+VLOOKUP(VLOOKUP(E$1,main!$A$3:$I$102,7,FALSE),main!$K$26:$Q$29,4,FALSE)),1,0)</f>
        <v>0</v>
      </c>
      <c r="F108">
        <f>IF(AND(VLOOKUP(F$1,main!$A$3:$H$102,7,FALSE)=main!$G$104,VLOOKUP(F$1,main!$A$3:$H$102,5,FALSE)-VLOOKUP($A108,main!$A$3:$H$102,6,FALSE)&gt;=main!$D$103+VLOOKUP(VLOOKUP(F$1,main!$A$3:$I$102,7,FALSE),main!$K$26:$Q$29,4,FALSE)),1,0)</f>
        <v>0</v>
      </c>
      <c r="G108">
        <f>IF(AND(VLOOKUP(G$1,main!$A$3:$H$102,7,FALSE)=main!$G$104,VLOOKUP(G$1,main!$A$3:$H$102,5,FALSE)-VLOOKUP($A108,main!$A$3:$H$102,6,FALSE)&gt;=main!$D$103+VLOOKUP(VLOOKUP(G$1,main!$A$3:$I$102,7,FALSE),main!$K$26:$Q$29,4,FALSE)),1,0)</f>
        <v>0</v>
      </c>
      <c r="H108">
        <f>IF(AND(VLOOKUP(H$1,main!$A$3:$H$102,7,FALSE)=main!$G$104,VLOOKUP(H$1,main!$A$3:$H$102,5,FALSE)-VLOOKUP($A108,main!$A$3:$H$102,6,FALSE)&gt;=main!$D$103+VLOOKUP(VLOOKUP(H$1,main!$A$3:$I$102,7,FALSE),main!$K$26:$Q$29,4,FALSE)),1,0)</f>
        <v>0</v>
      </c>
      <c r="I108">
        <f>IF(AND(VLOOKUP(I$1,main!$A$3:$H$102,7,FALSE)=main!$G$104,VLOOKUP(I$1,main!$A$3:$H$102,5,FALSE)-VLOOKUP($A108,main!$A$3:$H$102,6,FALSE)&gt;=main!$D$103+VLOOKUP(VLOOKUP(I$1,main!$A$3:$I$102,7,FALSE),main!$K$26:$Q$29,4,FALSE)),1,0)</f>
        <v>0</v>
      </c>
      <c r="J108">
        <f>IF(AND(VLOOKUP(J$1,main!$A$3:$H$102,7,FALSE)=main!$G$104,VLOOKUP(J$1,main!$A$3:$H$102,5,FALSE)-VLOOKUP($A108,main!$A$3:$H$102,6,FALSE)&gt;=main!$D$103+VLOOKUP(VLOOKUP(J$1,main!$A$3:$I$102,7,FALSE),main!$K$26:$Q$29,4,FALSE)),1,0)</f>
        <v>1</v>
      </c>
      <c r="K108">
        <f>IF(AND(VLOOKUP(K$1,main!$A$3:$H$102,7,FALSE)=main!$G$104,VLOOKUP(K$1,main!$A$3:$H$102,5,FALSE)-VLOOKUP($A108,main!$A$3:$H$102,6,FALSE)&gt;=main!$D$103+VLOOKUP(VLOOKUP(K$1,main!$A$3:$I$102,7,FALSE),main!$K$26:$Q$29,4,FALSE)),1,0)</f>
        <v>1</v>
      </c>
      <c r="L108">
        <f>IF(AND(VLOOKUP(L$1,main!$A$3:$H$102,7,FALSE)=main!$G$104,VLOOKUP(L$1,main!$A$3:$H$102,5,FALSE)-VLOOKUP($A108,main!$A$3:$H$102,6,FALSE)&gt;=main!$D$103+VLOOKUP(VLOOKUP(L$1,main!$A$3:$I$102,7,FALSE),main!$K$26:$Q$29,4,FALSE)),1,0)</f>
        <v>1</v>
      </c>
      <c r="M108">
        <f>IF(AND(VLOOKUP(M$1,main!$A$3:$H$102,7,FALSE)=main!$G$104,VLOOKUP(M$1,main!$A$3:$H$102,5,FALSE)-VLOOKUP($A108,main!$A$3:$H$102,6,FALSE)&gt;=main!$D$103+VLOOKUP(VLOOKUP(M$1,main!$A$3:$I$102,7,FALSE),main!$K$26:$Q$29,4,FALSE)),1,0)</f>
        <v>0</v>
      </c>
      <c r="N108">
        <f>IF(AND(VLOOKUP(N$1,main!$A$3:$H$102,7,FALSE)=main!$G$104,VLOOKUP(N$1,main!$A$3:$H$102,5,FALSE)-VLOOKUP($A108,main!$A$3:$H$102,6,FALSE)&gt;=main!$D$103+VLOOKUP(VLOOKUP(N$1,main!$A$3:$I$102,7,FALSE),main!$K$26:$Q$29,4,FALSE)),1,0)</f>
        <v>0</v>
      </c>
      <c r="O108">
        <f>IF(AND(VLOOKUP(O$1,main!$A$3:$H$102,7,FALSE)=main!$G$104,VLOOKUP(O$1,main!$A$3:$H$102,5,FALSE)-VLOOKUP($A108,main!$A$3:$H$102,6,FALSE)&gt;=main!$D$103+VLOOKUP(VLOOKUP(O$1,main!$A$3:$I$102,7,FALSE),main!$K$26:$Q$29,4,FALSE)),1,0)</f>
        <v>0</v>
      </c>
      <c r="P108">
        <f>IF(AND(VLOOKUP(P$1,main!$A$3:$H$102,7,FALSE)=main!$G$104,VLOOKUP(P$1,main!$A$3:$H$102,5,FALSE)-VLOOKUP($A108,main!$A$3:$H$102,6,FALSE)&gt;=main!$D$103+VLOOKUP(VLOOKUP(P$1,main!$A$3:$I$102,7,FALSE),main!$K$26:$Q$29,4,FALSE)),1,0)</f>
        <v>0</v>
      </c>
      <c r="Q108">
        <f>IF(AND(VLOOKUP(Q$1,main!$A$3:$H$102,7,FALSE)=main!$G$104,VLOOKUP(Q$1,main!$A$3:$H$102,5,FALSE)-VLOOKUP($A108,main!$A$3:$H$102,6,FALSE)&gt;=main!$D$103+VLOOKUP(VLOOKUP(Q$1,main!$A$3:$I$102,7,FALSE),main!$K$26:$Q$29,4,FALSE)),1,0)</f>
        <v>0</v>
      </c>
      <c r="R108">
        <f>IF(AND(VLOOKUP(R$1,main!$A$3:$H$102,7,FALSE)=main!$G$104,VLOOKUP(R$1,main!$A$3:$H$102,5,FALSE)-VLOOKUP($A108,main!$A$3:$H$102,6,FALSE)&gt;=main!$D$103+VLOOKUP(VLOOKUP(R$1,main!$A$3:$I$102,7,FALSE),main!$K$26:$Q$29,4,FALSE)),1,0)</f>
        <v>0</v>
      </c>
      <c r="S108">
        <f>IF(AND(VLOOKUP(S$1,main!$A$3:$H$102,7,FALSE)=main!$G$104,VLOOKUP(S$1,main!$A$3:$H$102,5,FALSE)-VLOOKUP($A108,main!$A$3:$H$102,6,FALSE)&gt;=main!$D$103+VLOOKUP(VLOOKUP(S$1,main!$A$3:$I$102,7,FALSE),main!$K$26:$Q$29,4,FALSE)),1,0)</f>
        <v>0</v>
      </c>
      <c r="T108">
        <f>IF(AND(VLOOKUP(T$1,main!$A$3:$H$102,7,FALSE)=main!$G$104,VLOOKUP(T$1,main!$A$3:$H$102,5,FALSE)-VLOOKUP($A108,main!$A$3:$H$102,6,FALSE)&gt;=main!$D$103+VLOOKUP(VLOOKUP(T$1,main!$A$3:$I$102,7,FALSE),main!$K$26:$Q$29,4,FALSE)),1,0)</f>
        <v>0</v>
      </c>
      <c r="U108">
        <f>IF(AND(VLOOKUP(U$1,main!$A$3:$H$102,7,FALSE)=main!$G$104,VLOOKUP(U$1,main!$A$3:$H$102,5,FALSE)-VLOOKUP($A108,main!$A$3:$H$102,6,FALSE)&gt;=main!$D$103+VLOOKUP(VLOOKUP(U$1,main!$A$3:$I$102,7,FALSE),main!$K$26:$Q$29,4,FALSE)),1,0)</f>
        <v>1</v>
      </c>
      <c r="V108">
        <f>IF(AND(VLOOKUP(V$1,main!$A$3:$H$102,7,FALSE)=main!$G$104,VLOOKUP(V$1,main!$A$3:$H$102,5,FALSE)-VLOOKUP($A108,main!$A$3:$H$102,6,FALSE)&gt;=main!$D$103+VLOOKUP(VLOOKUP(V$1,main!$A$3:$I$102,7,FALSE),main!$K$26:$Q$29,4,FALSE)),1,0)</f>
        <v>1</v>
      </c>
      <c r="W108">
        <f>IF(AND(VLOOKUP(W$1,main!$A$3:$H$102,7,FALSE)=main!$G$104,VLOOKUP(W$1,main!$A$3:$H$102,5,FALSE)-VLOOKUP($A108,main!$A$3:$H$102,6,FALSE)&gt;=main!$D$103+VLOOKUP(VLOOKUP(W$1,main!$A$3:$I$102,7,FALSE),main!$K$26:$Q$29,4,FALSE)),1,0)</f>
        <v>0</v>
      </c>
      <c r="X108">
        <f>IF(AND(VLOOKUP(X$1,main!$A$3:$H$102,7,FALSE)=main!$G$104,VLOOKUP(X$1,main!$A$3:$H$102,5,FALSE)-VLOOKUP($A108,main!$A$3:$H$102,6,FALSE)&gt;=main!$D$103+VLOOKUP(VLOOKUP(X$1,main!$A$3:$I$102,7,FALSE),main!$K$26:$Q$29,4,FALSE)),1,0)</f>
        <v>0</v>
      </c>
      <c r="Y108">
        <f>IF(AND(VLOOKUP(Y$1,main!$A$3:$H$102,7,FALSE)=main!$G$104,VLOOKUP(Y$1,main!$A$3:$H$102,5,FALSE)-VLOOKUP($A108,main!$A$3:$H$102,6,FALSE)&gt;=main!$D$103+VLOOKUP(VLOOKUP(Y$1,main!$A$3:$I$102,7,FALSE),main!$K$26:$Q$29,4,FALSE)),1,0)</f>
        <v>0</v>
      </c>
      <c r="Z108">
        <f>IF(AND(VLOOKUP(Z$1,main!$A$3:$H$102,7,FALSE)=main!$G$104,VLOOKUP(Z$1,main!$A$3:$H$102,5,FALSE)-VLOOKUP($A108,main!$A$3:$H$102,6,FALSE)&gt;=main!$D$103+VLOOKUP(VLOOKUP(Z$1,main!$A$3:$I$102,7,FALSE),main!$K$26:$Q$29,4,FALSE)),1,0)</f>
        <v>0</v>
      </c>
      <c r="AA108">
        <f>IF(AND(VLOOKUP(AA$1,main!$A$3:$H$102,7,FALSE)=main!$G$104,VLOOKUP(AA$1,main!$A$3:$H$102,5,FALSE)-VLOOKUP($A108,main!$A$3:$H$102,6,FALSE)&gt;=main!$D$103+VLOOKUP(VLOOKUP(AA$1,main!$A$3:$I$102,7,FALSE),main!$K$26:$Q$29,4,FALSE)),1,0)</f>
        <v>1</v>
      </c>
      <c r="AB108">
        <f>IF(AND(VLOOKUP(AB$1,main!$A$3:$H$102,7,FALSE)=main!$G$104,VLOOKUP(AB$1,main!$A$3:$H$102,5,FALSE)-VLOOKUP($A108,main!$A$3:$H$102,6,FALSE)&gt;=main!$D$103+VLOOKUP(VLOOKUP(AB$1,main!$A$3:$I$102,7,FALSE),main!$K$26:$Q$29,4,FALSE)),1,0)</f>
        <v>0</v>
      </c>
      <c r="AC108">
        <f>IF(AND(VLOOKUP(AC$1,main!$A$3:$H$102,7,FALSE)=main!$G$104,VLOOKUP(AC$1,main!$A$3:$H$102,5,FALSE)-VLOOKUP($A108,main!$A$3:$H$102,6,FALSE)&gt;=main!$D$103+VLOOKUP(VLOOKUP(AC$1,main!$A$3:$I$102,7,FALSE),main!$K$26:$Q$29,4,FALSE)),1,0)</f>
        <v>0</v>
      </c>
      <c r="AD108">
        <f>IF(AND(VLOOKUP(AD$1,main!$A$3:$H$102,7,FALSE)=main!$G$104,VLOOKUP(AD$1,main!$A$3:$H$102,5,FALSE)-VLOOKUP($A108,main!$A$3:$H$102,6,FALSE)&gt;=main!$D$103+VLOOKUP(VLOOKUP(AD$1,main!$A$3:$I$102,7,FALSE),main!$K$26:$Q$29,4,FALSE)),1,0)</f>
        <v>0</v>
      </c>
      <c r="AE108">
        <f>IF(AND(VLOOKUP(AE$1,main!$A$3:$H$102,7,FALSE)=main!$G$104,VLOOKUP(AE$1,main!$A$3:$H$102,5,FALSE)-VLOOKUP($A108,main!$A$3:$H$102,6,FALSE)&gt;=main!$D$103+VLOOKUP(VLOOKUP(AE$1,main!$A$3:$I$102,7,FALSE),main!$K$26:$Q$29,4,FALSE)),1,0)</f>
        <v>0</v>
      </c>
      <c r="AF108">
        <f>IF(AND(VLOOKUP(AF$1,main!$A$3:$H$102,7,FALSE)=main!$G$104,VLOOKUP(AF$1,main!$A$3:$H$102,5,FALSE)-VLOOKUP($A108,main!$A$3:$H$102,6,FALSE)&gt;=main!$D$103+VLOOKUP(VLOOKUP(AF$1,main!$A$3:$I$102,7,FALSE),main!$K$26:$Q$29,4,FALSE)),1,0)</f>
        <v>1</v>
      </c>
      <c r="AG108">
        <f>IF(AND(VLOOKUP(AG$1,main!$A$3:$H$102,7,FALSE)=main!$G$104,VLOOKUP(AG$1,main!$A$3:$H$102,5,FALSE)-VLOOKUP($A108,main!$A$3:$H$102,6,FALSE)&gt;=main!$D$103+VLOOKUP(VLOOKUP(AG$1,main!$A$3:$I$102,7,FALSE),main!$K$26:$Q$29,4,FALSE)),1,0)</f>
        <v>0</v>
      </c>
      <c r="AH108">
        <f>IF(AND(VLOOKUP(AH$1,main!$A$3:$H$102,7,FALSE)=main!$G$104,VLOOKUP(AH$1,main!$A$3:$H$102,5,FALSE)-VLOOKUP($A108,main!$A$3:$H$102,6,FALSE)&gt;=main!$D$103+VLOOKUP(VLOOKUP(AH$1,main!$A$3:$I$102,7,FALSE),main!$K$26:$Q$29,4,FALSE)),1,0)</f>
        <v>0</v>
      </c>
      <c r="AI108">
        <f>IF(AND(VLOOKUP(AI$1,main!$A$3:$H$102,7,FALSE)=main!$G$104,VLOOKUP(AI$1,main!$A$3:$H$102,5,FALSE)-VLOOKUP($A108,main!$A$3:$H$102,6,FALSE)&gt;=main!$D$103+VLOOKUP(VLOOKUP(AI$1,main!$A$3:$I$102,7,FALSE),main!$K$26:$Q$29,4,FALSE)),1,0)</f>
        <v>0</v>
      </c>
      <c r="AJ108">
        <f>IF(AND(VLOOKUP(AJ$1,main!$A$3:$H$102,7,FALSE)=main!$G$104,VLOOKUP(AJ$1,main!$A$3:$H$102,5,FALSE)-VLOOKUP($A108,main!$A$3:$H$102,6,FALSE)&gt;=main!$D$103+VLOOKUP(VLOOKUP(AJ$1,main!$A$3:$I$102,7,FALSE),main!$K$26:$Q$29,4,FALSE)),1,0)</f>
        <v>0</v>
      </c>
      <c r="AK108">
        <f>IF(AND(VLOOKUP(AK$1,main!$A$3:$H$102,7,FALSE)=main!$G$104,VLOOKUP(AK$1,main!$A$3:$H$102,5,FALSE)-VLOOKUP($A108,main!$A$3:$H$102,6,FALSE)&gt;=main!$D$103+VLOOKUP(VLOOKUP(AK$1,main!$A$3:$I$102,7,FALSE),main!$K$26:$Q$29,4,FALSE)),1,0)</f>
        <v>0</v>
      </c>
      <c r="AL108">
        <f>IF(AND(VLOOKUP(AL$1,main!$A$3:$H$102,7,FALSE)=main!$G$104,VLOOKUP(AL$1,main!$A$3:$H$102,5,FALSE)-VLOOKUP($A108,main!$A$3:$H$102,6,FALSE)&gt;=main!$D$103+VLOOKUP(VLOOKUP(AL$1,main!$A$3:$I$102,7,FALSE),main!$K$26:$Q$29,4,FALSE)),1,0)</f>
        <v>0</v>
      </c>
      <c r="AM108">
        <f>IF(AND(VLOOKUP(AM$1,main!$A$3:$H$102,7,FALSE)=main!$G$104,VLOOKUP(AM$1,main!$A$3:$H$102,5,FALSE)-VLOOKUP($A108,main!$A$3:$H$102,6,FALSE)&gt;=main!$D$103+VLOOKUP(VLOOKUP(AM$1,main!$A$3:$I$102,7,FALSE),main!$K$26:$Q$29,4,FALSE)),1,0)</f>
        <v>0</v>
      </c>
      <c r="AN108">
        <f>IF(AND(VLOOKUP(AN$1,main!$A$3:$H$102,7,FALSE)=main!$G$104,VLOOKUP(AN$1,main!$A$3:$H$102,5,FALSE)-VLOOKUP($A108,main!$A$3:$H$102,6,FALSE)&gt;=main!$D$103+VLOOKUP(VLOOKUP(AN$1,main!$A$3:$I$102,7,FALSE),main!$K$26:$Q$29,4,FALSE)),1,0)</f>
        <v>0</v>
      </c>
      <c r="AO108">
        <f>IF(AND(VLOOKUP(AO$1,main!$A$3:$H$102,7,FALSE)=main!$G$104,VLOOKUP(AO$1,main!$A$3:$H$102,5,FALSE)-VLOOKUP($A108,main!$A$3:$H$102,6,FALSE)&gt;=main!$D$103+VLOOKUP(VLOOKUP(AO$1,main!$A$3:$I$102,7,FALSE),main!$K$26:$Q$29,4,FALSE)),1,0)</f>
        <v>0</v>
      </c>
      <c r="AP108">
        <f>IF(AND(VLOOKUP(AP$1,main!$A$3:$H$102,7,FALSE)=main!$G$104,VLOOKUP(AP$1,main!$A$3:$H$102,5,FALSE)-VLOOKUP($A108,main!$A$3:$H$102,6,FALSE)&gt;=main!$D$103+VLOOKUP(VLOOKUP(AP$1,main!$A$3:$I$102,7,FALSE),main!$K$26:$Q$29,4,FALSE)),1,0)</f>
        <v>0</v>
      </c>
      <c r="AQ108">
        <f>IF(AND(VLOOKUP(AQ$1,main!$A$3:$H$102,7,FALSE)=main!$G$104,VLOOKUP(AQ$1,main!$A$3:$H$102,5,FALSE)-VLOOKUP($A108,main!$A$3:$H$102,6,FALSE)&gt;=main!$D$103+VLOOKUP(VLOOKUP(AQ$1,main!$A$3:$I$102,7,FALSE),main!$K$26:$Q$29,4,FALSE)),1,0)</f>
        <v>0</v>
      </c>
      <c r="AR108">
        <f>IF(AND(VLOOKUP(AR$1,main!$A$3:$H$102,7,FALSE)=main!$G$104,VLOOKUP(AR$1,main!$A$3:$H$102,5,FALSE)-VLOOKUP($A108,main!$A$3:$H$102,6,FALSE)&gt;=main!$D$103+VLOOKUP(VLOOKUP(AR$1,main!$A$3:$I$102,7,FALSE),main!$K$26:$Q$29,4,FALSE)),1,0)</f>
        <v>0</v>
      </c>
      <c r="AS108">
        <f>IF(AND(VLOOKUP(AS$1,main!$A$3:$H$102,7,FALSE)=main!$G$104,VLOOKUP(AS$1,main!$A$3:$H$102,5,FALSE)-VLOOKUP($A108,main!$A$3:$H$102,6,FALSE)&gt;=main!$D$103+VLOOKUP(VLOOKUP(AS$1,main!$A$3:$I$102,7,FALSE),main!$K$26:$Q$29,4,FALSE)),1,0)</f>
        <v>0</v>
      </c>
      <c r="AT108">
        <f>IF(AND(VLOOKUP(AT$1,main!$A$3:$H$102,7,FALSE)=main!$G$104,VLOOKUP(AT$1,main!$A$3:$H$102,5,FALSE)-VLOOKUP($A108,main!$A$3:$H$102,6,FALSE)&gt;=main!$D$103+VLOOKUP(VLOOKUP(AT$1,main!$A$3:$I$102,7,FALSE),main!$K$26:$Q$29,4,FALSE)),1,0)</f>
        <v>0</v>
      </c>
      <c r="AU108">
        <f>IF(AND(VLOOKUP(AU$1,main!$A$3:$H$102,7,FALSE)=main!$G$104,VLOOKUP(AU$1,main!$A$3:$H$102,5,FALSE)-VLOOKUP($A108,main!$A$3:$H$102,6,FALSE)&gt;=main!$D$103+VLOOKUP(VLOOKUP(AU$1,main!$A$3:$I$102,7,FALSE),main!$K$26:$Q$29,4,FALSE)),1,0)</f>
        <v>0</v>
      </c>
      <c r="AV108">
        <f>IF(AND(VLOOKUP(AV$1,main!$A$3:$H$102,7,FALSE)=main!$G$104,VLOOKUP(AV$1,main!$A$3:$H$102,5,FALSE)-VLOOKUP($A108,main!$A$3:$H$102,6,FALSE)&gt;=main!$D$103+VLOOKUP(VLOOKUP(AV$1,main!$A$3:$I$102,7,FALSE),main!$K$26:$Q$29,4,FALSE)),1,0)</f>
        <v>0</v>
      </c>
      <c r="AW108">
        <f>IF(AND(VLOOKUP(AW$1,main!$A$3:$H$102,7,FALSE)=main!$G$104,VLOOKUP(AW$1,main!$A$3:$H$102,5,FALSE)-VLOOKUP($A108,main!$A$3:$H$102,6,FALSE)&gt;=main!$D$103+VLOOKUP(VLOOKUP(AW$1,main!$A$3:$I$102,7,FALSE),main!$K$26:$Q$29,4,FALSE)),1,0)</f>
        <v>0</v>
      </c>
      <c r="AX108">
        <f>IF(AND(VLOOKUP(AX$1,main!$A$3:$H$102,7,FALSE)=main!$G$104,VLOOKUP(AX$1,main!$A$3:$H$102,5,FALSE)-VLOOKUP($A108,main!$A$3:$H$102,6,FALSE)&gt;=main!$D$103+VLOOKUP(VLOOKUP(AX$1,main!$A$3:$I$102,7,FALSE),main!$K$26:$Q$29,4,FALSE)),1,0)</f>
        <v>0</v>
      </c>
      <c r="AY108">
        <f>IF(AND(VLOOKUP(AY$1,main!$A$3:$H$102,7,FALSE)=main!$G$104,VLOOKUP(AY$1,main!$A$3:$H$102,5,FALSE)-VLOOKUP($A108,main!$A$3:$H$102,6,FALSE)&gt;=main!$D$103+VLOOKUP(VLOOKUP(AY$1,main!$A$3:$I$102,7,FALSE),main!$K$26:$Q$29,4,FALSE)),1,0)</f>
        <v>0</v>
      </c>
      <c r="AZ108">
        <f>IF(AND(VLOOKUP(AZ$1,main!$A$3:$H$102,7,FALSE)=main!$G$104,VLOOKUP(AZ$1,main!$A$3:$H$102,5,FALSE)-VLOOKUP($A108,main!$A$3:$H$102,6,FALSE)&gt;=main!$D$103+VLOOKUP(VLOOKUP(AZ$1,main!$A$3:$I$102,7,FALSE),main!$K$26:$Q$29,4,FALSE)),1,0)</f>
        <v>0</v>
      </c>
      <c r="BA108">
        <f>IF(AND(VLOOKUP(BA$1,main!$A$3:$H$102,7,FALSE)=main!$G$104,VLOOKUP(BA$1,main!$A$3:$H$102,5,FALSE)-VLOOKUP($A108,main!$A$3:$H$102,6,FALSE)&gt;=main!$D$103+VLOOKUP(VLOOKUP(BA$1,main!$A$3:$I$102,7,FALSE),main!$K$26:$Q$29,4,FALSE)),1,0)</f>
        <v>0</v>
      </c>
      <c r="BB108">
        <f>IF(AND(VLOOKUP(BB$1,main!$A$3:$H$102,7,FALSE)=main!$G$104,VLOOKUP(BB$1,main!$A$3:$H$102,5,FALSE)-VLOOKUP($A108,main!$A$3:$H$102,6,FALSE)&gt;=main!$D$103+VLOOKUP(VLOOKUP(BB$1,main!$A$3:$I$102,7,FALSE),main!$K$26:$Q$29,4,FALSE)),1,0)</f>
        <v>0</v>
      </c>
      <c r="BC108">
        <f>IF(AND(VLOOKUP(BC$1,main!$A$3:$H$102,7,FALSE)=main!$G$104,VLOOKUP(BC$1,main!$A$3:$H$102,5,FALSE)-VLOOKUP($A108,main!$A$3:$H$102,6,FALSE)&gt;=main!$D$103+VLOOKUP(VLOOKUP(BC$1,main!$A$3:$I$102,7,FALSE),main!$K$26:$Q$29,4,FALSE)),1,0)</f>
        <v>0</v>
      </c>
      <c r="BD108">
        <f>IF(AND(VLOOKUP(BD$1,main!$A$3:$H$102,7,FALSE)=main!$G$104,VLOOKUP(BD$1,main!$A$3:$H$102,5,FALSE)-VLOOKUP($A108,main!$A$3:$H$102,6,FALSE)&gt;=main!$D$103+VLOOKUP(VLOOKUP(BD$1,main!$A$3:$I$102,7,FALSE),main!$K$26:$Q$29,4,FALSE)),1,0)</f>
        <v>0</v>
      </c>
      <c r="BE108">
        <f>IF(AND(VLOOKUP(BE$1,main!$A$3:$H$102,7,FALSE)=main!$G$104,VLOOKUP(BE$1,main!$A$3:$H$102,5,FALSE)-VLOOKUP($A108,main!$A$3:$H$102,6,FALSE)&gt;=main!$D$103+VLOOKUP(VLOOKUP(BE$1,main!$A$3:$I$102,7,FALSE),main!$K$26:$Q$29,4,FALSE)),1,0)</f>
        <v>0</v>
      </c>
      <c r="BF108">
        <f>IF(AND(VLOOKUP(BF$1,main!$A$3:$H$102,7,FALSE)=main!$G$104,VLOOKUP(BF$1,main!$A$3:$H$102,5,FALSE)-VLOOKUP($A108,main!$A$3:$H$102,6,FALSE)&gt;=main!$D$103+VLOOKUP(VLOOKUP(BF$1,main!$A$3:$I$102,7,FALSE),main!$K$26:$Q$29,4,FALSE)),1,0)</f>
        <v>0</v>
      </c>
      <c r="BG108">
        <f>IF(AND(VLOOKUP(BG$1,main!$A$3:$H$102,7,FALSE)=main!$G$104,VLOOKUP(BG$1,main!$A$3:$H$102,5,FALSE)-VLOOKUP($A108,main!$A$3:$H$102,6,FALSE)&gt;=main!$D$103+VLOOKUP(VLOOKUP(BG$1,main!$A$3:$I$102,7,FALSE),main!$K$26:$Q$29,4,FALSE)),1,0)</f>
        <v>0</v>
      </c>
      <c r="BH108">
        <f>IF(AND(VLOOKUP(BH$1,main!$A$3:$H$102,7,FALSE)=main!$G$104,VLOOKUP(BH$1,main!$A$3:$H$102,5,FALSE)-VLOOKUP($A108,main!$A$3:$H$102,6,FALSE)&gt;=main!$D$103+VLOOKUP(VLOOKUP(BH$1,main!$A$3:$I$102,7,FALSE),main!$K$26:$Q$29,4,FALSE)),1,0)</f>
        <v>0</v>
      </c>
      <c r="BI108">
        <f>IF(AND(VLOOKUP(BI$1,main!$A$3:$H$102,7,FALSE)=main!$G$104,VLOOKUP(BI$1,main!$A$3:$H$102,5,FALSE)-VLOOKUP($A108,main!$A$3:$H$102,6,FALSE)&gt;=main!$D$103+VLOOKUP(VLOOKUP(BI$1,main!$A$3:$I$102,7,FALSE),main!$K$26:$Q$29,4,FALSE)),1,0)</f>
        <v>0</v>
      </c>
      <c r="BJ108">
        <f>IF(AND(VLOOKUP(BJ$1,main!$A$3:$H$102,7,FALSE)=main!$G$104,VLOOKUP(BJ$1,main!$A$3:$H$102,5,FALSE)-VLOOKUP($A108,main!$A$3:$H$102,6,FALSE)&gt;=main!$D$103+VLOOKUP(VLOOKUP(BJ$1,main!$A$3:$I$102,7,FALSE),main!$K$26:$Q$29,4,FALSE)),1,0)</f>
        <v>0</v>
      </c>
      <c r="BK108">
        <f>IF(AND(VLOOKUP(BK$1,main!$A$3:$H$102,7,FALSE)=main!$G$104,VLOOKUP(BK$1,main!$A$3:$H$102,5,FALSE)-VLOOKUP($A108,main!$A$3:$H$102,6,FALSE)&gt;=main!$D$103+VLOOKUP(VLOOKUP(BK$1,main!$A$3:$I$102,7,FALSE),main!$K$26:$Q$29,4,FALSE)),1,0)</f>
        <v>0</v>
      </c>
      <c r="BL108">
        <f>IF(AND(VLOOKUP(BL$1,main!$A$3:$H$102,7,FALSE)=main!$G$104,VLOOKUP(BL$1,main!$A$3:$H$102,5,FALSE)-VLOOKUP($A108,main!$A$3:$H$102,6,FALSE)&gt;=main!$D$103+VLOOKUP(VLOOKUP(BL$1,main!$A$3:$I$102,7,FALSE),main!$K$26:$Q$29,4,FALSE)),1,0)</f>
        <v>0</v>
      </c>
      <c r="BM108">
        <f>IF(AND(VLOOKUP(BM$1,main!$A$3:$H$102,7,FALSE)=main!$G$104,VLOOKUP(BM$1,main!$A$3:$H$102,5,FALSE)-VLOOKUP($A108,main!$A$3:$H$102,6,FALSE)&gt;=main!$D$103+VLOOKUP(VLOOKUP(BM$1,main!$A$3:$I$102,7,FALSE),main!$K$26:$Q$29,4,FALSE)),1,0)</f>
        <v>0</v>
      </c>
      <c r="BN108">
        <f>IF(AND(VLOOKUP(BN$1,main!$A$3:$H$102,7,FALSE)=main!$G$104,VLOOKUP(BN$1,main!$A$3:$H$102,5,FALSE)-VLOOKUP($A108,main!$A$3:$H$102,6,FALSE)&gt;=main!$D$103+VLOOKUP(VLOOKUP(BN$1,main!$A$3:$I$102,7,FALSE),main!$K$26:$Q$29,4,FALSE)),1,0)</f>
        <v>0</v>
      </c>
      <c r="BO108">
        <f>IF(AND(VLOOKUP(BO$1,main!$A$3:$H$102,7,FALSE)=main!$G$104,VLOOKUP(BO$1,main!$A$3:$H$102,5,FALSE)-VLOOKUP($A108,main!$A$3:$H$102,6,FALSE)&gt;=main!$D$103+VLOOKUP(VLOOKUP(BO$1,main!$A$3:$I$102,7,FALSE),main!$K$26:$Q$29,4,FALSE)),1,0)</f>
        <v>0</v>
      </c>
      <c r="BP108">
        <f>IF(AND(VLOOKUP(BP$1,main!$A$3:$H$102,7,FALSE)=main!$G$104,VLOOKUP(BP$1,main!$A$3:$H$102,5,FALSE)-VLOOKUP($A108,main!$A$3:$H$102,6,FALSE)&gt;=main!$D$103+VLOOKUP(VLOOKUP(BP$1,main!$A$3:$I$102,7,FALSE),main!$K$26:$Q$29,4,FALSE)),1,0)</f>
        <v>0</v>
      </c>
      <c r="BQ108">
        <f>IF(AND(VLOOKUP(BQ$1,main!$A$3:$H$102,7,FALSE)=main!$G$104,VLOOKUP(BQ$1,main!$A$3:$H$102,5,FALSE)-VLOOKUP($A108,main!$A$3:$H$102,6,FALSE)&gt;=main!$D$103+VLOOKUP(VLOOKUP(BQ$1,main!$A$3:$I$102,7,FALSE),main!$K$26:$Q$29,4,FALSE)),1,0)</f>
        <v>0</v>
      </c>
      <c r="BR108">
        <f>IF(AND(VLOOKUP(BR$1,main!$A$3:$H$102,7,FALSE)=main!$G$104,VLOOKUP(BR$1,main!$A$3:$H$102,5,FALSE)-VLOOKUP($A108,main!$A$3:$H$102,6,FALSE)&gt;=main!$D$103+VLOOKUP(VLOOKUP(BR$1,main!$A$3:$I$102,7,FALSE),main!$K$26:$Q$29,4,FALSE)),1,0)</f>
        <v>0</v>
      </c>
      <c r="BS108">
        <f>IF(AND(VLOOKUP(BS$1,main!$A$3:$H$102,7,FALSE)=main!$G$104,VLOOKUP(BS$1,main!$A$3:$H$102,5,FALSE)-VLOOKUP($A108,main!$A$3:$H$102,6,FALSE)&gt;=main!$D$103+VLOOKUP(VLOOKUP(BS$1,main!$A$3:$I$102,7,FALSE),main!$K$26:$Q$29,4,FALSE)),1,0)</f>
        <v>0</v>
      </c>
      <c r="BT108">
        <f>IF(AND(VLOOKUP(BT$1,main!$A$3:$H$102,7,FALSE)=main!$G$104,VLOOKUP(BT$1,main!$A$3:$H$102,5,FALSE)-VLOOKUP($A108,main!$A$3:$H$102,6,FALSE)&gt;=main!$D$103+VLOOKUP(VLOOKUP(BT$1,main!$A$3:$I$102,7,FALSE),main!$K$26:$Q$29,4,FALSE)),1,0)</f>
        <v>0</v>
      </c>
      <c r="BU108">
        <f>IF(AND(VLOOKUP(BU$1,main!$A$3:$H$102,7,FALSE)=main!$G$104,VLOOKUP(BU$1,main!$A$3:$H$102,5,FALSE)-VLOOKUP($A108,main!$A$3:$H$102,6,FALSE)&gt;=main!$D$103+VLOOKUP(VLOOKUP(BU$1,main!$A$3:$I$102,7,FALSE),main!$K$26:$Q$29,4,FALSE)),1,0)</f>
        <v>0</v>
      </c>
      <c r="BV108">
        <f>IF(AND(VLOOKUP(BV$1,main!$A$3:$H$102,7,FALSE)=main!$G$104,VLOOKUP(BV$1,main!$A$3:$H$102,5,FALSE)-VLOOKUP($A108,main!$A$3:$H$102,6,FALSE)&gt;=main!$D$103+VLOOKUP(VLOOKUP(BV$1,main!$A$3:$I$102,7,FALSE),main!$K$26:$Q$29,4,FALSE)),1,0)</f>
        <v>0</v>
      </c>
      <c r="BW108">
        <f>IF(AND(VLOOKUP(BW$1,main!$A$3:$H$102,7,FALSE)=main!$G$104,VLOOKUP(BW$1,main!$A$3:$H$102,5,FALSE)-VLOOKUP($A108,main!$A$3:$H$102,6,FALSE)&gt;=main!$D$103+VLOOKUP(VLOOKUP(BW$1,main!$A$3:$I$102,7,FALSE),main!$K$26:$Q$29,4,FALSE)),1,0)</f>
        <v>0</v>
      </c>
      <c r="BX108">
        <f>IF(AND(VLOOKUP(BX$1,main!$A$3:$H$102,7,FALSE)=main!$G$104,VLOOKUP(BX$1,main!$A$3:$H$102,5,FALSE)-VLOOKUP($A108,main!$A$3:$H$102,6,FALSE)&gt;=main!$D$103+VLOOKUP(VLOOKUP(BX$1,main!$A$3:$I$102,7,FALSE),main!$K$26:$Q$29,4,FALSE)),1,0)</f>
        <v>0</v>
      </c>
      <c r="BY108">
        <f>IF(AND(VLOOKUP(BY$1,main!$A$3:$H$102,7,FALSE)=main!$G$104,VLOOKUP(BY$1,main!$A$3:$H$102,5,FALSE)-VLOOKUP($A108,main!$A$3:$H$102,6,FALSE)&gt;=main!$D$103+VLOOKUP(VLOOKUP(BY$1,main!$A$3:$I$102,7,FALSE),main!$K$26:$Q$29,4,FALSE)),1,0)</f>
        <v>0</v>
      </c>
      <c r="BZ108">
        <f>IF(AND(VLOOKUP(BZ$1,main!$A$3:$H$102,7,FALSE)=main!$G$104,VLOOKUP(BZ$1,main!$A$3:$H$102,5,FALSE)-VLOOKUP($A108,main!$A$3:$H$102,6,FALSE)&gt;=main!$D$103+VLOOKUP(VLOOKUP(BZ$1,main!$A$3:$I$102,7,FALSE),main!$K$26:$Q$29,4,FALSE)),1,0)</f>
        <v>0</v>
      </c>
      <c r="CA108">
        <f>IF(AND(VLOOKUP(CA$1,main!$A$3:$H$102,7,FALSE)=main!$G$104,VLOOKUP(CA$1,main!$A$3:$H$102,5,FALSE)-VLOOKUP($A108,main!$A$3:$H$102,6,FALSE)&gt;=main!$D$103+VLOOKUP(VLOOKUP(CA$1,main!$A$3:$I$102,7,FALSE),main!$K$26:$Q$29,4,FALSE)),1,0)</f>
        <v>0</v>
      </c>
      <c r="CB108">
        <f>IF(AND(VLOOKUP(CB$1,main!$A$3:$H$102,7,FALSE)=main!$G$104,VLOOKUP(CB$1,main!$A$3:$H$102,5,FALSE)-VLOOKUP($A108,main!$A$3:$H$102,6,FALSE)&gt;=main!$D$103+VLOOKUP(VLOOKUP(CB$1,main!$A$3:$I$102,7,FALSE),main!$K$26:$Q$29,4,FALSE)),1,0)</f>
        <v>0</v>
      </c>
      <c r="CC108">
        <f>IF(AND(VLOOKUP(CC$1,main!$A$3:$H$102,7,FALSE)=main!$G$104,VLOOKUP(CC$1,main!$A$3:$H$102,5,FALSE)-VLOOKUP($A108,main!$A$3:$H$102,6,FALSE)&gt;=main!$D$103+VLOOKUP(VLOOKUP(CC$1,main!$A$3:$I$102,7,FALSE),main!$K$26:$Q$29,4,FALSE)),1,0)</f>
        <v>0</v>
      </c>
      <c r="CD108">
        <f>IF(AND(VLOOKUP(CD$1,main!$A$3:$H$102,7,FALSE)=main!$G$104,VLOOKUP(CD$1,main!$A$3:$H$102,5,FALSE)-VLOOKUP($A108,main!$A$3:$H$102,6,FALSE)&gt;=main!$D$103+VLOOKUP(VLOOKUP(CD$1,main!$A$3:$I$102,7,FALSE),main!$K$26:$Q$29,4,FALSE)),1,0)</f>
        <v>0</v>
      </c>
      <c r="CE108">
        <f>IF(AND(VLOOKUP(CE$1,main!$A$3:$H$102,7,FALSE)=main!$G$104,VLOOKUP(CE$1,main!$A$3:$H$102,5,FALSE)-VLOOKUP($A108,main!$A$3:$H$102,6,FALSE)&gt;=main!$D$103+VLOOKUP(VLOOKUP(CE$1,main!$A$3:$I$102,7,FALSE),main!$K$26:$Q$29,4,FALSE)),1,0)</f>
        <v>0</v>
      </c>
      <c r="CF108">
        <f>IF(AND(VLOOKUP(CF$1,main!$A$3:$H$102,7,FALSE)=main!$G$104,VLOOKUP(CF$1,main!$A$3:$H$102,5,FALSE)-VLOOKUP($A108,main!$A$3:$H$102,6,FALSE)&gt;=main!$D$103+VLOOKUP(VLOOKUP(CF$1,main!$A$3:$I$102,7,FALSE),main!$K$26:$Q$29,4,FALSE)),1,0)</f>
        <v>0</v>
      </c>
      <c r="CG108">
        <f>IF(AND(VLOOKUP(CG$1,main!$A$3:$H$102,7,FALSE)=main!$G$104,VLOOKUP(CG$1,main!$A$3:$H$102,5,FALSE)-VLOOKUP($A108,main!$A$3:$H$102,6,FALSE)&gt;=main!$D$103+VLOOKUP(VLOOKUP(CG$1,main!$A$3:$I$102,7,FALSE),main!$K$26:$Q$29,4,FALSE)),1,0)</f>
        <v>0</v>
      </c>
      <c r="CH108">
        <f>IF(AND(VLOOKUP(CH$1,main!$A$3:$H$102,7,FALSE)=main!$G$104,VLOOKUP(CH$1,main!$A$3:$H$102,5,FALSE)-VLOOKUP($A108,main!$A$3:$H$102,6,FALSE)&gt;=main!$D$103+VLOOKUP(VLOOKUP(CH$1,main!$A$3:$I$102,7,FALSE),main!$K$26:$Q$29,4,FALSE)),1,0)</f>
        <v>0</v>
      </c>
      <c r="CI108">
        <f>IF(AND(VLOOKUP(CI$1,main!$A$3:$H$102,7,FALSE)=main!$G$104,VLOOKUP(CI$1,main!$A$3:$H$102,5,FALSE)-VLOOKUP($A108,main!$A$3:$H$102,6,FALSE)&gt;=main!$D$103+VLOOKUP(VLOOKUP(CI$1,main!$A$3:$I$102,7,FALSE),main!$K$26:$Q$29,4,FALSE)),1,0)</f>
        <v>0</v>
      </c>
      <c r="CJ108">
        <f>IF(AND(VLOOKUP(CJ$1,main!$A$3:$H$102,7,FALSE)=main!$G$104,VLOOKUP(CJ$1,main!$A$3:$H$102,5,FALSE)-VLOOKUP($A108,main!$A$3:$H$102,6,FALSE)&gt;=main!$D$103+VLOOKUP(VLOOKUP(CJ$1,main!$A$3:$I$102,7,FALSE),main!$K$26:$Q$29,4,FALSE)),1,0)</f>
        <v>0</v>
      </c>
      <c r="CK108">
        <f>IF(AND(VLOOKUP(CK$1,main!$A$3:$H$102,7,FALSE)=main!$G$104,VLOOKUP(CK$1,main!$A$3:$H$102,5,FALSE)-VLOOKUP($A108,main!$A$3:$H$102,6,FALSE)&gt;=main!$D$103+VLOOKUP(VLOOKUP(CK$1,main!$A$3:$I$102,7,FALSE),main!$K$26:$Q$29,4,FALSE)),1,0)</f>
        <v>0</v>
      </c>
      <c r="CL108">
        <f>IF(AND(VLOOKUP(CL$1,main!$A$3:$H$102,7,FALSE)=main!$G$104,VLOOKUP(CL$1,main!$A$3:$H$102,5,FALSE)-VLOOKUP($A108,main!$A$3:$H$102,6,FALSE)&gt;=main!$D$103+VLOOKUP(VLOOKUP(CL$1,main!$A$3:$I$102,7,FALSE),main!$K$26:$Q$29,4,FALSE)),1,0)</f>
        <v>0</v>
      </c>
      <c r="CM108">
        <f>IF(AND(VLOOKUP(CM$1,main!$A$3:$H$102,7,FALSE)=main!$G$104,VLOOKUP(CM$1,main!$A$3:$H$102,5,FALSE)-VLOOKUP($A108,main!$A$3:$H$102,6,FALSE)&gt;=main!$D$103+VLOOKUP(VLOOKUP(CM$1,main!$A$3:$I$102,7,FALSE),main!$K$26:$Q$29,4,FALSE)),1,0)</f>
        <v>0</v>
      </c>
      <c r="CN108">
        <f>IF(AND(VLOOKUP(CN$1,main!$A$3:$H$102,7,FALSE)=main!$G$104,VLOOKUP(CN$1,main!$A$3:$H$102,5,FALSE)-VLOOKUP($A108,main!$A$3:$H$102,6,FALSE)&gt;=main!$D$103+VLOOKUP(VLOOKUP(CN$1,main!$A$3:$I$102,7,FALSE),main!$K$26:$Q$29,4,FALSE)),1,0)</f>
        <v>0</v>
      </c>
      <c r="CO108">
        <f>IF(AND(VLOOKUP(CO$1,main!$A$3:$H$102,7,FALSE)=main!$G$104,VLOOKUP(CO$1,main!$A$3:$H$102,5,FALSE)-VLOOKUP($A108,main!$A$3:$H$102,6,FALSE)&gt;=main!$D$103+VLOOKUP(VLOOKUP(CO$1,main!$A$3:$I$102,7,FALSE),main!$K$26:$Q$29,4,FALSE)),1,0)</f>
        <v>0</v>
      </c>
      <c r="CP108">
        <f>IF(AND(VLOOKUP(CP$1,main!$A$3:$H$102,7,FALSE)=main!$G$104,VLOOKUP(CP$1,main!$A$3:$H$102,5,FALSE)-VLOOKUP($A108,main!$A$3:$H$102,6,FALSE)&gt;=main!$D$103+VLOOKUP(VLOOKUP(CP$1,main!$A$3:$I$102,7,FALSE),main!$K$26:$Q$29,4,FALSE)),1,0)</f>
        <v>0</v>
      </c>
      <c r="CQ108">
        <f>IF(AND(VLOOKUP(CQ$1,main!$A$3:$H$102,7,FALSE)=main!$G$104,VLOOKUP(CQ$1,main!$A$3:$H$102,5,FALSE)-VLOOKUP($A108,main!$A$3:$H$102,6,FALSE)&gt;=main!$D$103+VLOOKUP(VLOOKUP(CQ$1,main!$A$3:$I$102,7,FALSE),main!$K$26:$Q$29,4,FALSE)),1,0)</f>
        <v>0</v>
      </c>
      <c r="CR108">
        <f>IF(AND(VLOOKUP(CR$1,main!$A$3:$H$102,7,FALSE)=main!$G$104,VLOOKUP(CR$1,main!$A$3:$H$102,5,FALSE)-VLOOKUP($A108,main!$A$3:$H$102,6,FALSE)&gt;=main!$D$103+VLOOKUP(VLOOKUP(CR$1,main!$A$3:$I$102,7,FALSE),main!$K$26:$Q$29,4,FALSE)),1,0)</f>
        <v>0</v>
      </c>
      <c r="CS108">
        <f>IF(AND(VLOOKUP(CS$1,main!$A$3:$H$102,7,FALSE)=main!$G$104,VLOOKUP(CS$1,main!$A$3:$H$102,5,FALSE)-VLOOKUP($A108,main!$A$3:$H$102,6,FALSE)&gt;=main!$D$103+VLOOKUP(VLOOKUP(CS$1,main!$A$3:$I$102,7,FALSE),main!$K$26:$Q$29,4,FALSE)),1,0)</f>
        <v>0</v>
      </c>
      <c r="CT108">
        <f>IF(AND(VLOOKUP(CT$1,main!$A$3:$H$102,7,FALSE)=main!$G$104,VLOOKUP(CT$1,main!$A$3:$H$102,5,FALSE)-VLOOKUP($A108,main!$A$3:$H$102,6,FALSE)&gt;=main!$D$103+VLOOKUP(VLOOKUP(CT$1,main!$A$3:$I$102,7,FALSE),main!$K$26:$Q$29,4,FALSE)),1,0)</f>
        <v>0</v>
      </c>
      <c r="CU108">
        <f>IF(AND(VLOOKUP(CU$1,main!$A$3:$H$102,7,FALSE)=main!$G$104,VLOOKUP(CU$1,main!$A$3:$H$102,5,FALSE)-VLOOKUP($A108,main!$A$3:$H$102,6,FALSE)&gt;=main!$D$103+VLOOKUP(VLOOKUP(CU$1,main!$A$3:$I$102,7,FALSE),main!$K$26:$Q$29,4,FALSE)),1,0)</f>
        <v>0</v>
      </c>
      <c r="CV108">
        <f>IF(AND(VLOOKUP(CV$1,main!$A$3:$H$102,7,FALSE)=main!$G$104,VLOOKUP(CV$1,main!$A$3:$H$102,5,FALSE)-VLOOKUP($A108,main!$A$3:$H$102,6,FALSE)&gt;=main!$D$103+VLOOKUP(VLOOKUP(CV$1,main!$A$3:$I$102,7,FALSE),main!$K$26:$Q$29,4,FALSE)),1,0)</f>
        <v>0</v>
      </c>
      <c r="CW108">
        <f>IF(AND(VLOOKUP(CW$1,main!$A$3:$H$102,7,FALSE)=main!$G$104,VLOOKUP(CW$1,main!$A$3:$H$102,5,FALSE)-VLOOKUP($A108,main!$A$3:$H$102,6,FALSE)&gt;=main!$D$103+VLOOKUP(VLOOKUP(CW$1,main!$A$3:$I$102,7,FALSE),main!$K$26:$Q$29,4,FALSE)),1,0)</f>
        <v>0</v>
      </c>
      <c r="CX108">
        <f>IF(AND(VLOOKUP(CX$1,main!$A$3:$H$102,7,FALSE)=main!$G$104,VLOOKUP(CX$1,main!$A$3:$H$102,5,FALSE)-VLOOKUP($A108,main!$A$3:$H$102,6,FALSE)&gt;=main!$D$103+VLOOKUP(VLOOKUP(CX$1,main!$A$3:$I$102,7,FALSE),main!$K$26:$Q$29,4,FALSE)),1,0)</f>
        <v>0</v>
      </c>
    </row>
    <row r="109" spans="1:102" x14ac:dyDescent="0.25">
      <c r="A109" s="1">
        <v>6</v>
      </c>
      <c r="B109">
        <v>0</v>
      </c>
      <c r="C109">
        <f>IF(AND(VLOOKUP(C$1,main!$A$3:$H$102,7,FALSE)=main!$G$104,VLOOKUP(C$1,main!$A$3:$H$102,5,FALSE)-VLOOKUP($A109,main!$A$3:$H$102,6,FALSE)&gt;=main!$D$103+VLOOKUP(VLOOKUP(C$1,main!$A$3:$I$102,7,FALSE),main!$K$26:$Q$29,4,FALSE)),1,0)</f>
        <v>0</v>
      </c>
      <c r="D109">
        <f>IF(AND(VLOOKUP(D$1,main!$A$3:$H$102,7,FALSE)=main!$G$104,VLOOKUP(D$1,main!$A$3:$H$102,5,FALSE)-VLOOKUP($A109,main!$A$3:$H$102,6,FALSE)&gt;=main!$D$103+VLOOKUP(VLOOKUP(D$1,main!$A$3:$I$102,7,FALSE),main!$K$26:$Q$29,4,FALSE)),1,0)</f>
        <v>0</v>
      </c>
      <c r="E109">
        <f>IF(AND(VLOOKUP(E$1,main!$A$3:$H$102,7,FALSE)=main!$G$104,VLOOKUP(E$1,main!$A$3:$H$102,5,FALSE)-VLOOKUP($A109,main!$A$3:$H$102,6,FALSE)&gt;=main!$D$103+VLOOKUP(VLOOKUP(E$1,main!$A$3:$I$102,7,FALSE),main!$K$26:$Q$29,4,FALSE)),1,0)</f>
        <v>0</v>
      </c>
      <c r="F109">
        <f>IF(AND(VLOOKUP(F$1,main!$A$3:$H$102,7,FALSE)=main!$G$104,VLOOKUP(F$1,main!$A$3:$H$102,5,FALSE)-VLOOKUP($A109,main!$A$3:$H$102,6,FALSE)&gt;=main!$D$103+VLOOKUP(VLOOKUP(F$1,main!$A$3:$I$102,7,FALSE),main!$K$26:$Q$29,4,FALSE)),1,0)</f>
        <v>0</v>
      </c>
      <c r="G109">
        <f>IF(AND(VLOOKUP(G$1,main!$A$3:$H$102,7,FALSE)=main!$G$104,VLOOKUP(G$1,main!$A$3:$H$102,5,FALSE)-VLOOKUP($A109,main!$A$3:$H$102,6,FALSE)&gt;=main!$D$103+VLOOKUP(VLOOKUP(G$1,main!$A$3:$I$102,7,FALSE),main!$K$26:$Q$29,4,FALSE)),1,0)</f>
        <v>0</v>
      </c>
      <c r="H109">
        <f>IF(AND(VLOOKUP(H$1,main!$A$3:$H$102,7,FALSE)=main!$G$104,VLOOKUP(H$1,main!$A$3:$H$102,5,FALSE)-VLOOKUP($A109,main!$A$3:$H$102,6,FALSE)&gt;=main!$D$103+VLOOKUP(VLOOKUP(H$1,main!$A$3:$I$102,7,FALSE),main!$K$26:$Q$29,4,FALSE)),1,0)</f>
        <v>0</v>
      </c>
      <c r="I109">
        <f>IF(AND(VLOOKUP(I$1,main!$A$3:$H$102,7,FALSE)=main!$G$104,VLOOKUP(I$1,main!$A$3:$H$102,5,FALSE)-VLOOKUP($A109,main!$A$3:$H$102,6,FALSE)&gt;=main!$D$103+VLOOKUP(VLOOKUP(I$1,main!$A$3:$I$102,7,FALSE),main!$K$26:$Q$29,4,FALSE)),1,0)</f>
        <v>0</v>
      </c>
      <c r="J109">
        <f>IF(AND(VLOOKUP(J$1,main!$A$3:$H$102,7,FALSE)=main!$G$104,VLOOKUP(J$1,main!$A$3:$H$102,5,FALSE)-VLOOKUP($A109,main!$A$3:$H$102,6,FALSE)&gt;=main!$D$103+VLOOKUP(VLOOKUP(J$1,main!$A$3:$I$102,7,FALSE),main!$K$26:$Q$29,4,FALSE)),1,0)</f>
        <v>0</v>
      </c>
      <c r="K109">
        <f>IF(AND(VLOOKUP(K$1,main!$A$3:$H$102,7,FALSE)=main!$G$104,VLOOKUP(K$1,main!$A$3:$H$102,5,FALSE)-VLOOKUP($A109,main!$A$3:$H$102,6,FALSE)&gt;=main!$D$103+VLOOKUP(VLOOKUP(K$1,main!$A$3:$I$102,7,FALSE),main!$K$26:$Q$29,4,FALSE)),1,0)</f>
        <v>0</v>
      </c>
      <c r="L109">
        <f>IF(AND(VLOOKUP(L$1,main!$A$3:$H$102,7,FALSE)=main!$G$104,VLOOKUP(L$1,main!$A$3:$H$102,5,FALSE)-VLOOKUP($A109,main!$A$3:$H$102,6,FALSE)&gt;=main!$D$103+VLOOKUP(VLOOKUP(L$1,main!$A$3:$I$102,7,FALSE),main!$K$26:$Q$29,4,FALSE)),1,0)</f>
        <v>1</v>
      </c>
      <c r="M109">
        <f>IF(AND(VLOOKUP(M$1,main!$A$3:$H$102,7,FALSE)=main!$G$104,VLOOKUP(M$1,main!$A$3:$H$102,5,FALSE)-VLOOKUP($A109,main!$A$3:$H$102,6,FALSE)&gt;=main!$D$103+VLOOKUP(VLOOKUP(M$1,main!$A$3:$I$102,7,FALSE),main!$K$26:$Q$29,4,FALSE)),1,0)</f>
        <v>0</v>
      </c>
      <c r="N109">
        <f>IF(AND(VLOOKUP(N$1,main!$A$3:$H$102,7,FALSE)=main!$G$104,VLOOKUP(N$1,main!$A$3:$H$102,5,FALSE)-VLOOKUP($A109,main!$A$3:$H$102,6,FALSE)&gt;=main!$D$103+VLOOKUP(VLOOKUP(N$1,main!$A$3:$I$102,7,FALSE),main!$K$26:$Q$29,4,FALSE)),1,0)</f>
        <v>0</v>
      </c>
      <c r="O109">
        <f>IF(AND(VLOOKUP(O$1,main!$A$3:$H$102,7,FALSE)=main!$G$104,VLOOKUP(O$1,main!$A$3:$H$102,5,FALSE)-VLOOKUP($A109,main!$A$3:$H$102,6,FALSE)&gt;=main!$D$103+VLOOKUP(VLOOKUP(O$1,main!$A$3:$I$102,7,FALSE),main!$K$26:$Q$29,4,FALSE)),1,0)</f>
        <v>0</v>
      </c>
      <c r="P109">
        <f>IF(AND(VLOOKUP(P$1,main!$A$3:$H$102,7,FALSE)=main!$G$104,VLOOKUP(P$1,main!$A$3:$H$102,5,FALSE)-VLOOKUP($A109,main!$A$3:$H$102,6,FALSE)&gt;=main!$D$103+VLOOKUP(VLOOKUP(P$1,main!$A$3:$I$102,7,FALSE),main!$K$26:$Q$29,4,FALSE)),1,0)</f>
        <v>0</v>
      </c>
      <c r="Q109">
        <f>IF(AND(VLOOKUP(Q$1,main!$A$3:$H$102,7,FALSE)=main!$G$104,VLOOKUP(Q$1,main!$A$3:$H$102,5,FALSE)-VLOOKUP($A109,main!$A$3:$H$102,6,FALSE)&gt;=main!$D$103+VLOOKUP(VLOOKUP(Q$1,main!$A$3:$I$102,7,FALSE),main!$K$26:$Q$29,4,FALSE)),1,0)</f>
        <v>0</v>
      </c>
      <c r="R109">
        <f>IF(AND(VLOOKUP(R$1,main!$A$3:$H$102,7,FALSE)=main!$G$104,VLOOKUP(R$1,main!$A$3:$H$102,5,FALSE)-VLOOKUP($A109,main!$A$3:$H$102,6,FALSE)&gt;=main!$D$103+VLOOKUP(VLOOKUP(R$1,main!$A$3:$I$102,7,FALSE),main!$K$26:$Q$29,4,FALSE)),1,0)</f>
        <v>0</v>
      </c>
      <c r="S109">
        <f>IF(AND(VLOOKUP(S$1,main!$A$3:$H$102,7,FALSE)=main!$G$104,VLOOKUP(S$1,main!$A$3:$H$102,5,FALSE)-VLOOKUP($A109,main!$A$3:$H$102,6,FALSE)&gt;=main!$D$103+VLOOKUP(VLOOKUP(S$1,main!$A$3:$I$102,7,FALSE),main!$K$26:$Q$29,4,FALSE)),1,0)</f>
        <v>0</v>
      </c>
      <c r="T109">
        <f>IF(AND(VLOOKUP(T$1,main!$A$3:$H$102,7,FALSE)=main!$G$104,VLOOKUP(T$1,main!$A$3:$H$102,5,FALSE)-VLOOKUP($A109,main!$A$3:$H$102,6,FALSE)&gt;=main!$D$103+VLOOKUP(VLOOKUP(T$1,main!$A$3:$I$102,7,FALSE),main!$K$26:$Q$29,4,FALSE)),1,0)</f>
        <v>0</v>
      </c>
      <c r="U109">
        <f>IF(AND(VLOOKUP(U$1,main!$A$3:$H$102,7,FALSE)=main!$G$104,VLOOKUP(U$1,main!$A$3:$H$102,5,FALSE)-VLOOKUP($A109,main!$A$3:$H$102,6,FALSE)&gt;=main!$D$103+VLOOKUP(VLOOKUP(U$1,main!$A$3:$I$102,7,FALSE),main!$K$26:$Q$29,4,FALSE)),1,0)</f>
        <v>1</v>
      </c>
      <c r="V109">
        <f>IF(AND(VLOOKUP(V$1,main!$A$3:$H$102,7,FALSE)=main!$G$104,VLOOKUP(V$1,main!$A$3:$H$102,5,FALSE)-VLOOKUP($A109,main!$A$3:$H$102,6,FALSE)&gt;=main!$D$103+VLOOKUP(VLOOKUP(V$1,main!$A$3:$I$102,7,FALSE),main!$K$26:$Q$29,4,FALSE)),1,0)</f>
        <v>1</v>
      </c>
      <c r="W109">
        <f>IF(AND(VLOOKUP(W$1,main!$A$3:$H$102,7,FALSE)=main!$G$104,VLOOKUP(W$1,main!$A$3:$H$102,5,FALSE)-VLOOKUP($A109,main!$A$3:$H$102,6,FALSE)&gt;=main!$D$103+VLOOKUP(VLOOKUP(W$1,main!$A$3:$I$102,7,FALSE),main!$K$26:$Q$29,4,FALSE)),1,0)</f>
        <v>0</v>
      </c>
      <c r="X109">
        <f>IF(AND(VLOOKUP(X$1,main!$A$3:$H$102,7,FALSE)=main!$G$104,VLOOKUP(X$1,main!$A$3:$H$102,5,FALSE)-VLOOKUP($A109,main!$A$3:$H$102,6,FALSE)&gt;=main!$D$103+VLOOKUP(VLOOKUP(X$1,main!$A$3:$I$102,7,FALSE),main!$K$26:$Q$29,4,FALSE)),1,0)</f>
        <v>0</v>
      </c>
      <c r="Y109">
        <f>IF(AND(VLOOKUP(Y$1,main!$A$3:$H$102,7,FALSE)=main!$G$104,VLOOKUP(Y$1,main!$A$3:$H$102,5,FALSE)-VLOOKUP($A109,main!$A$3:$H$102,6,FALSE)&gt;=main!$D$103+VLOOKUP(VLOOKUP(Y$1,main!$A$3:$I$102,7,FALSE),main!$K$26:$Q$29,4,FALSE)),1,0)</f>
        <v>0</v>
      </c>
      <c r="Z109">
        <f>IF(AND(VLOOKUP(Z$1,main!$A$3:$H$102,7,FALSE)=main!$G$104,VLOOKUP(Z$1,main!$A$3:$H$102,5,FALSE)-VLOOKUP($A109,main!$A$3:$H$102,6,FALSE)&gt;=main!$D$103+VLOOKUP(VLOOKUP(Z$1,main!$A$3:$I$102,7,FALSE),main!$K$26:$Q$29,4,FALSE)),1,0)</f>
        <v>0</v>
      </c>
      <c r="AA109">
        <f>IF(AND(VLOOKUP(AA$1,main!$A$3:$H$102,7,FALSE)=main!$G$104,VLOOKUP(AA$1,main!$A$3:$H$102,5,FALSE)-VLOOKUP($A109,main!$A$3:$H$102,6,FALSE)&gt;=main!$D$103+VLOOKUP(VLOOKUP(AA$1,main!$A$3:$I$102,7,FALSE),main!$K$26:$Q$29,4,FALSE)),1,0)</f>
        <v>1</v>
      </c>
      <c r="AB109">
        <f>IF(AND(VLOOKUP(AB$1,main!$A$3:$H$102,7,FALSE)=main!$G$104,VLOOKUP(AB$1,main!$A$3:$H$102,5,FALSE)-VLOOKUP($A109,main!$A$3:$H$102,6,FALSE)&gt;=main!$D$103+VLOOKUP(VLOOKUP(AB$1,main!$A$3:$I$102,7,FALSE),main!$K$26:$Q$29,4,FALSE)),1,0)</f>
        <v>0</v>
      </c>
      <c r="AC109">
        <f>IF(AND(VLOOKUP(AC$1,main!$A$3:$H$102,7,FALSE)=main!$G$104,VLOOKUP(AC$1,main!$A$3:$H$102,5,FALSE)-VLOOKUP($A109,main!$A$3:$H$102,6,FALSE)&gt;=main!$D$103+VLOOKUP(VLOOKUP(AC$1,main!$A$3:$I$102,7,FALSE),main!$K$26:$Q$29,4,FALSE)),1,0)</f>
        <v>0</v>
      </c>
      <c r="AD109">
        <f>IF(AND(VLOOKUP(AD$1,main!$A$3:$H$102,7,FALSE)=main!$G$104,VLOOKUP(AD$1,main!$A$3:$H$102,5,FALSE)-VLOOKUP($A109,main!$A$3:$H$102,6,FALSE)&gt;=main!$D$103+VLOOKUP(VLOOKUP(AD$1,main!$A$3:$I$102,7,FALSE),main!$K$26:$Q$29,4,FALSE)),1,0)</f>
        <v>0</v>
      </c>
      <c r="AE109">
        <f>IF(AND(VLOOKUP(AE$1,main!$A$3:$H$102,7,FALSE)=main!$G$104,VLOOKUP(AE$1,main!$A$3:$H$102,5,FALSE)-VLOOKUP($A109,main!$A$3:$H$102,6,FALSE)&gt;=main!$D$103+VLOOKUP(VLOOKUP(AE$1,main!$A$3:$I$102,7,FALSE),main!$K$26:$Q$29,4,FALSE)),1,0)</f>
        <v>0</v>
      </c>
      <c r="AF109">
        <f>IF(AND(VLOOKUP(AF$1,main!$A$3:$H$102,7,FALSE)=main!$G$104,VLOOKUP(AF$1,main!$A$3:$H$102,5,FALSE)-VLOOKUP($A109,main!$A$3:$H$102,6,FALSE)&gt;=main!$D$103+VLOOKUP(VLOOKUP(AF$1,main!$A$3:$I$102,7,FALSE),main!$K$26:$Q$29,4,FALSE)),1,0)</f>
        <v>0</v>
      </c>
      <c r="AG109">
        <f>IF(AND(VLOOKUP(AG$1,main!$A$3:$H$102,7,FALSE)=main!$G$104,VLOOKUP(AG$1,main!$A$3:$H$102,5,FALSE)-VLOOKUP($A109,main!$A$3:$H$102,6,FALSE)&gt;=main!$D$103+VLOOKUP(VLOOKUP(AG$1,main!$A$3:$I$102,7,FALSE),main!$K$26:$Q$29,4,FALSE)),1,0)</f>
        <v>0</v>
      </c>
      <c r="AH109">
        <f>IF(AND(VLOOKUP(AH$1,main!$A$3:$H$102,7,FALSE)=main!$G$104,VLOOKUP(AH$1,main!$A$3:$H$102,5,FALSE)-VLOOKUP($A109,main!$A$3:$H$102,6,FALSE)&gt;=main!$D$103+VLOOKUP(VLOOKUP(AH$1,main!$A$3:$I$102,7,FALSE),main!$K$26:$Q$29,4,FALSE)),1,0)</f>
        <v>0</v>
      </c>
      <c r="AI109">
        <f>IF(AND(VLOOKUP(AI$1,main!$A$3:$H$102,7,FALSE)=main!$G$104,VLOOKUP(AI$1,main!$A$3:$H$102,5,FALSE)-VLOOKUP($A109,main!$A$3:$H$102,6,FALSE)&gt;=main!$D$103+VLOOKUP(VLOOKUP(AI$1,main!$A$3:$I$102,7,FALSE),main!$K$26:$Q$29,4,FALSE)),1,0)</f>
        <v>0</v>
      </c>
      <c r="AJ109">
        <f>IF(AND(VLOOKUP(AJ$1,main!$A$3:$H$102,7,FALSE)=main!$G$104,VLOOKUP(AJ$1,main!$A$3:$H$102,5,FALSE)-VLOOKUP($A109,main!$A$3:$H$102,6,FALSE)&gt;=main!$D$103+VLOOKUP(VLOOKUP(AJ$1,main!$A$3:$I$102,7,FALSE),main!$K$26:$Q$29,4,FALSE)),1,0)</f>
        <v>0</v>
      </c>
      <c r="AK109">
        <f>IF(AND(VLOOKUP(AK$1,main!$A$3:$H$102,7,FALSE)=main!$G$104,VLOOKUP(AK$1,main!$A$3:$H$102,5,FALSE)-VLOOKUP($A109,main!$A$3:$H$102,6,FALSE)&gt;=main!$D$103+VLOOKUP(VLOOKUP(AK$1,main!$A$3:$I$102,7,FALSE),main!$K$26:$Q$29,4,FALSE)),1,0)</f>
        <v>0</v>
      </c>
      <c r="AL109">
        <f>IF(AND(VLOOKUP(AL$1,main!$A$3:$H$102,7,FALSE)=main!$G$104,VLOOKUP(AL$1,main!$A$3:$H$102,5,FALSE)-VLOOKUP($A109,main!$A$3:$H$102,6,FALSE)&gt;=main!$D$103+VLOOKUP(VLOOKUP(AL$1,main!$A$3:$I$102,7,FALSE),main!$K$26:$Q$29,4,FALSE)),1,0)</f>
        <v>0</v>
      </c>
      <c r="AM109">
        <f>IF(AND(VLOOKUP(AM$1,main!$A$3:$H$102,7,FALSE)=main!$G$104,VLOOKUP(AM$1,main!$A$3:$H$102,5,FALSE)-VLOOKUP($A109,main!$A$3:$H$102,6,FALSE)&gt;=main!$D$103+VLOOKUP(VLOOKUP(AM$1,main!$A$3:$I$102,7,FALSE),main!$K$26:$Q$29,4,FALSE)),1,0)</f>
        <v>0</v>
      </c>
      <c r="AN109">
        <f>IF(AND(VLOOKUP(AN$1,main!$A$3:$H$102,7,FALSE)=main!$G$104,VLOOKUP(AN$1,main!$A$3:$H$102,5,FALSE)-VLOOKUP($A109,main!$A$3:$H$102,6,FALSE)&gt;=main!$D$103+VLOOKUP(VLOOKUP(AN$1,main!$A$3:$I$102,7,FALSE),main!$K$26:$Q$29,4,FALSE)),1,0)</f>
        <v>0</v>
      </c>
      <c r="AO109">
        <f>IF(AND(VLOOKUP(AO$1,main!$A$3:$H$102,7,FALSE)=main!$G$104,VLOOKUP(AO$1,main!$A$3:$H$102,5,FALSE)-VLOOKUP($A109,main!$A$3:$H$102,6,FALSE)&gt;=main!$D$103+VLOOKUP(VLOOKUP(AO$1,main!$A$3:$I$102,7,FALSE),main!$K$26:$Q$29,4,FALSE)),1,0)</f>
        <v>0</v>
      </c>
      <c r="AP109">
        <f>IF(AND(VLOOKUP(AP$1,main!$A$3:$H$102,7,FALSE)=main!$G$104,VLOOKUP(AP$1,main!$A$3:$H$102,5,FALSE)-VLOOKUP($A109,main!$A$3:$H$102,6,FALSE)&gt;=main!$D$103+VLOOKUP(VLOOKUP(AP$1,main!$A$3:$I$102,7,FALSE),main!$K$26:$Q$29,4,FALSE)),1,0)</f>
        <v>0</v>
      </c>
      <c r="AQ109">
        <f>IF(AND(VLOOKUP(AQ$1,main!$A$3:$H$102,7,FALSE)=main!$G$104,VLOOKUP(AQ$1,main!$A$3:$H$102,5,FALSE)-VLOOKUP($A109,main!$A$3:$H$102,6,FALSE)&gt;=main!$D$103+VLOOKUP(VLOOKUP(AQ$1,main!$A$3:$I$102,7,FALSE),main!$K$26:$Q$29,4,FALSE)),1,0)</f>
        <v>0</v>
      </c>
      <c r="AR109">
        <f>IF(AND(VLOOKUP(AR$1,main!$A$3:$H$102,7,FALSE)=main!$G$104,VLOOKUP(AR$1,main!$A$3:$H$102,5,FALSE)-VLOOKUP($A109,main!$A$3:$H$102,6,FALSE)&gt;=main!$D$103+VLOOKUP(VLOOKUP(AR$1,main!$A$3:$I$102,7,FALSE),main!$K$26:$Q$29,4,FALSE)),1,0)</f>
        <v>0</v>
      </c>
      <c r="AS109">
        <f>IF(AND(VLOOKUP(AS$1,main!$A$3:$H$102,7,FALSE)=main!$G$104,VLOOKUP(AS$1,main!$A$3:$H$102,5,FALSE)-VLOOKUP($A109,main!$A$3:$H$102,6,FALSE)&gt;=main!$D$103+VLOOKUP(VLOOKUP(AS$1,main!$A$3:$I$102,7,FALSE),main!$K$26:$Q$29,4,FALSE)),1,0)</f>
        <v>0</v>
      </c>
      <c r="AT109">
        <f>IF(AND(VLOOKUP(AT$1,main!$A$3:$H$102,7,FALSE)=main!$G$104,VLOOKUP(AT$1,main!$A$3:$H$102,5,FALSE)-VLOOKUP($A109,main!$A$3:$H$102,6,FALSE)&gt;=main!$D$103+VLOOKUP(VLOOKUP(AT$1,main!$A$3:$I$102,7,FALSE),main!$K$26:$Q$29,4,FALSE)),1,0)</f>
        <v>0</v>
      </c>
      <c r="AU109">
        <f>IF(AND(VLOOKUP(AU$1,main!$A$3:$H$102,7,FALSE)=main!$G$104,VLOOKUP(AU$1,main!$A$3:$H$102,5,FALSE)-VLOOKUP($A109,main!$A$3:$H$102,6,FALSE)&gt;=main!$D$103+VLOOKUP(VLOOKUP(AU$1,main!$A$3:$I$102,7,FALSE),main!$K$26:$Q$29,4,FALSE)),1,0)</f>
        <v>0</v>
      </c>
      <c r="AV109">
        <f>IF(AND(VLOOKUP(AV$1,main!$A$3:$H$102,7,FALSE)=main!$G$104,VLOOKUP(AV$1,main!$A$3:$H$102,5,FALSE)-VLOOKUP($A109,main!$A$3:$H$102,6,FALSE)&gt;=main!$D$103+VLOOKUP(VLOOKUP(AV$1,main!$A$3:$I$102,7,FALSE),main!$K$26:$Q$29,4,FALSE)),1,0)</f>
        <v>0</v>
      </c>
      <c r="AW109">
        <f>IF(AND(VLOOKUP(AW$1,main!$A$3:$H$102,7,FALSE)=main!$G$104,VLOOKUP(AW$1,main!$A$3:$H$102,5,FALSE)-VLOOKUP($A109,main!$A$3:$H$102,6,FALSE)&gt;=main!$D$103+VLOOKUP(VLOOKUP(AW$1,main!$A$3:$I$102,7,FALSE),main!$K$26:$Q$29,4,FALSE)),1,0)</f>
        <v>0</v>
      </c>
      <c r="AX109">
        <f>IF(AND(VLOOKUP(AX$1,main!$A$3:$H$102,7,FALSE)=main!$G$104,VLOOKUP(AX$1,main!$A$3:$H$102,5,FALSE)-VLOOKUP($A109,main!$A$3:$H$102,6,FALSE)&gt;=main!$D$103+VLOOKUP(VLOOKUP(AX$1,main!$A$3:$I$102,7,FALSE),main!$K$26:$Q$29,4,FALSE)),1,0)</f>
        <v>0</v>
      </c>
      <c r="AY109">
        <f>IF(AND(VLOOKUP(AY$1,main!$A$3:$H$102,7,FALSE)=main!$G$104,VLOOKUP(AY$1,main!$A$3:$H$102,5,FALSE)-VLOOKUP($A109,main!$A$3:$H$102,6,FALSE)&gt;=main!$D$103+VLOOKUP(VLOOKUP(AY$1,main!$A$3:$I$102,7,FALSE),main!$K$26:$Q$29,4,FALSE)),1,0)</f>
        <v>0</v>
      </c>
      <c r="AZ109">
        <f>IF(AND(VLOOKUP(AZ$1,main!$A$3:$H$102,7,FALSE)=main!$G$104,VLOOKUP(AZ$1,main!$A$3:$H$102,5,FALSE)-VLOOKUP($A109,main!$A$3:$H$102,6,FALSE)&gt;=main!$D$103+VLOOKUP(VLOOKUP(AZ$1,main!$A$3:$I$102,7,FALSE),main!$K$26:$Q$29,4,FALSE)),1,0)</f>
        <v>0</v>
      </c>
      <c r="BA109">
        <f>IF(AND(VLOOKUP(BA$1,main!$A$3:$H$102,7,FALSE)=main!$G$104,VLOOKUP(BA$1,main!$A$3:$H$102,5,FALSE)-VLOOKUP($A109,main!$A$3:$H$102,6,FALSE)&gt;=main!$D$103+VLOOKUP(VLOOKUP(BA$1,main!$A$3:$I$102,7,FALSE),main!$K$26:$Q$29,4,FALSE)),1,0)</f>
        <v>0</v>
      </c>
      <c r="BB109">
        <f>IF(AND(VLOOKUP(BB$1,main!$A$3:$H$102,7,FALSE)=main!$G$104,VLOOKUP(BB$1,main!$A$3:$H$102,5,FALSE)-VLOOKUP($A109,main!$A$3:$H$102,6,FALSE)&gt;=main!$D$103+VLOOKUP(VLOOKUP(BB$1,main!$A$3:$I$102,7,FALSE),main!$K$26:$Q$29,4,FALSE)),1,0)</f>
        <v>0</v>
      </c>
      <c r="BC109">
        <f>IF(AND(VLOOKUP(BC$1,main!$A$3:$H$102,7,FALSE)=main!$G$104,VLOOKUP(BC$1,main!$A$3:$H$102,5,FALSE)-VLOOKUP($A109,main!$A$3:$H$102,6,FALSE)&gt;=main!$D$103+VLOOKUP(VLOOKUP(BC$1,main!$A$3:$I$102,7,FALSE),main!$K$26:$Q$29,4,FALSE)),1,0)</f>
        <v>0</v>
      </c>
      <c r="BD109">
        <f>IF(AND(VLOOKUP(BD$1,main!$A$3:$H$102,7,FALSE)=main!$G$104,VLOOKUP(BD$1,main!$A$3:$H$102,5,FALSE)-VLOOKUP($A109,main!$A$3:$H$102,6,FALSE)&gt;=main!$D$103+VLOOKUP(VLOOKUP(BD$1,main!$A$3:$I$102,7,FALSE),main!$K$26:$Q$29,4,FALSE)),1,0)</f>
        <v>0</v>
      </c>
      <c r="BE109">
        <f>IF(AND(VLOOKUP(BE$1,main!$A$3:$H$102,7,FALSE)=main!$G$104,VLOOKUP(BE$1,main!$A$3:$H$102,5,FALSE)-VLOOKUP($A109,main!$A$3:$H$102,6,FALSE)&gt;=main!$D$103+VLOOKUP(VLOOKUP(BE$1,main!$A$3:$I$102,7,FALSE),main!$K$26:$Q$29,4,FALSE)),1,0)</f>
        <v>0</v>
      </c>
      <c r="BF109">
        <f>IF(AND(VLOOKUP(BF$1,main!$A$3:$H$102,7,FALSE)=main!$G$104,VLOOKUP(BF$1,main!$A$3:$H$102,5,FALSE)-VLOOKUP($A109,main!$A$3:$H$102,6,FALSE)&gt;=main!$D$103+VLOOKUP(VLOOKUP(BF$1,main!$A$3:$I$102,7,FALSE),main!$K$26:$Q$29,4,FALSE)),1,0)</f>
        <v>0</v>
      </c>
      <c r="BG109">
        <f>IF(AND(VLOOKUP(BG$1,main!$A$3:$H$102,7,FALSE)=main!$G$104,VLOOKUP(BG$1,main!$A$3:$H$102,5,FALSE)-VLOOKUP($A109,main!$A$3:$H$102,6,FALSE)&gt;=main!$D$103+VLOOKUP(VLOOKUP(BG$1,main!$A$3:$I$102,7,FALSE),main!$K$26:$Q$29,4,FALSE)),1,0)</f>
        <v>0</v>
      </c>
      <c r="BH109">
        <f>IF(AND(VLOOKUP(BH$1,main!$A$3:$H$102,7,FALSE)=main!$G$104,VLOOKUP(BH$1,main!$A$3:$H$102,5,FALSE)-VLOOKUP($A109,main!$A$3:$H$102,6,FALSE)&gt;=main!$D$103+VLOOKUP(VLOOKUP(BH$1,main!$A$3:$I$102,7,FALSE),main!$K$26:$Q$29,4,FALSE)),1,0)</f>
        <v>0</v>
      </c>
      <c r="BI109">
        <f>IF(AND(VLOOKUP(BI$1,main!$A$3:$H$102,7,FALSE)=main!$G$104,VLOOKUP(BI$1,main!$A$3:$H$102,5,FALSE)-VLOOKUP($A109,main!$A$3:$H$102,6,FALSE)&gt;=main!$D$103+VLOOKUP(VLOOKUP(BI$1,main!$A$3:$I$102,7,FALSE),main!$K$26:$Q$29,4,FALSE)),1,0)</f>
        <v>0</v>
      </c>
      <c r="BJ109">
        <f>IF(AND(VLOOKUP(BJ$1,main!$A$3:$H$102,7,FALSE)=main!$G$104,VLOOKUP(BJ$1,main!$A$3:$H$102,5,FALSE)-VLOOKUP($A109,main!$A$3:$H$102,6,FALSE)&gt;=main!$D$103+VLOOKUP(VLOOKUP(BJ$1,main!$A$3:$I$102,7,FALSE),main!$K$26:$Q$29,4,FALSE)),1,0)</f>
        <v>0</v>
      </c>
      <c r="BK109">
        <f>IF(AND(VLOOKUP(BK$1,main!$A$3:$H$102,7,FALSE)=main!$G$104,VLOOKUP(BK$1,main!$A$3:$H$102,5,FALSE)-VLOOKUP($A109,main!$A$3:$H$102,6,FALSE)&gt;=main!$D$103+VLOOKUP(VLOOKUP(BK$1,main!$A$3:$I$102,7,FALSE),main!$K$26:$Q$29,4,FALSE)),1,0)</f>
        <v>0</v>
      </c>
      <c r="BL109">
        <f>IF(AND(VLOOKUP(BL$1,main!$A$3:$H$102,7,FALSE)=main!$G$104,VLOOKUP(BL$1,main!$A$3:$H$102,5,FALSE)-VLOOKUP($A109,main!$A$3:$H$102,6,FALSE)&gt;=main!$D$103+VLOOKUP(VLOOKUP(BL$1,main!$A$3:$I$102,7,FALSE),main!$K$26:$Q$29,4,FALSE)),1,0)</f>
        <v>0</v>
      </c>
      <c r="BM109">
        <f>IF(AND(VLOOKUP(BM$1,main!$A$3:$H$102,7,FALSE)=main!$G$104,VLOOKUP(BM$1,main!$A$3:$H$102,5,FALSE)-VLOOKUP($A109,main!$A$3:$H$102,6,FALSE)&gt;=main!$D$103+VLOOKUP(VLOOKUP(BM$1,main!$A$3:$I$102,7,FALSE),main!$K$26:$Q$29,4,FALSE)),1,0)</f>
        <v>0</v>
      </c>
      <c r="BN109">
        <f>IF(AND(VLOOKUP(BN$1,main!$A$3:$H$102,7,FALSE)=main!$G$104,VLOOKUP(BN$1,main!$A$3:$H$102,5,FALSE)-VLOOKUP($A109,main!$A$3:$H$102,6,FALSE)&gt;=main!$D$103+VLOOKUP(VLOOKUP(BN$1,main!$A$3:$I$102,7,FALSE),main!$K$26:$Q$29,4,FALSE)),1,0)</f>
        <v>0</v>
      </c>
      <c r="BO109">
        <f>IF(AND(VLOOKUP(BO$1,main!$A$3:$H$102,7,FALSE)=main!$G$104,VLOOKUP(BO$1,main!$A$3:$H$102,5,FALSE)-VLOOKUP($A109,main!$A$3:$H$102,6,FALSE)&gt;=main!$D$103+VLOOKUP(VLOOKUP(BO$1,main!$A$3:$I$102,7,FALSE),main!$K$26:$Q$29,4,FALSE)),1,0)</f>
        <v>0</v>
      </c>
      <c r="BP109">
        <f>IF(AND(VLOOKUP(BP$1,main!$A$3:$H$102,7,FALSE)=main!$G$104,VLOOKUP(BP$1,main!$A$3:$H$102,5,FALSE)-VLOOKUP($A109,main!$A$3:$H$102,6,FALSE)&gt;=main!$D$103+VLOOKUP(VLOOKUP(BP$1,main!$A$3:$I$102,7,FALSE),main!$K$26:$Q$29,4,FALSE)),1,0)</f>
        <v>0</v>
      </c>
      <c r="BQ109">
        <f>IF(AND(VLOOKUP(BQ$1,main!$A$3:$H$102,7,FALSE)=main!$G$104,VLOOKUP(BQ$1,main!$A$3:$H$102,5,FALSE)-VLOOKUP($A109,main!$A$3:$H$102,6,FALSE)&gt;=main!$D$103+VLOOKUP(VLOOKUP(BQ$1,main!$A$3:$I$102,7,FALSE),main!$K$26:$Q$29,4,FALSE)),1,0)</f>
        <v>0</v>
      </c>
      <c r="BR109">
        <f>IF(AND(VLOOKUP(BR$1,main!$A$3:$H$102,7,FALSE)=main!$G$104,VLOOKUP(BR$1,main!$A$3:$H$102,5,FALSE)-VLOOKUP($A109,main!$A$3:$H$102,6,FALSE)&gt;=main!$D$103+VLOOKUP(VLOOKUP(BR$1,main!$A$3:$I$102,7,FALSE),main!$K$26:$Q$29,4,FALSE)),1,0)</f>
        <v>0</v>
      </c>
      <c r="BS109">
        <f>IF(AND(VLOOKUP(BS$1,main!$A$3:$H$102,7,FALSE)=main!$G$104,VLOOKUP(BS$1,main!$A$3:$H$102,5,FALSE)-VLOOKUP($A109,main!$A$3:$H$102,6,FALSE)&gt;=main!$D$103+VLOOKUP(VLOOKUP(BS$1,main!$A$3:$I$102,7,FALSE),main!$K$26:$Q$29,4,FALSE)),1,0)</f>
        <v>0</v>
      </c>
      <c r="BT109">
        <f>IF(AND(VLOOKUP(BT$1,main!$A$3:$H$102,7,FALSE)=main!$G$104,VLOOKUP(BT$1,main!$A$3:$H$102,5,FALSE)-VLOOKUP($A109,main!$A$3:$H$102,6,FALSE)&gt;=main!$D$103+VLOOKUP(VLOOKUP(BT$1,main!$A$3:$I$102,7,FALSE),main!$K$26:$Q$29,4,FALSE)),1,0)</f>
        <v>0</v>
      </c>
      <c r="BU109">
        <f>IF(AND(VLOOKUP(BU$1,main!$A$3:$H$102,7,FALSE)=main!$G$104,VLOOKUP(BU$1,main!$A$3:$H$102,5,FALSE)-VLOOKUP($A109,main!$A$3:$H$102,6,FALSE)&gt;=main!$D$103+VLOOKUP(VLOOKUP(BU$1,main!$A$3:$I$102,7,FALSE),main!$K$26:$Q$29,4,FALSE)),1,0)</f>
        <v>0</v>
      </c>
      <c r="BV109">
        <f>IF(AND(VLOOKUP(BV$1,main!$A$3:$H$102,7,FALSE)=main!$G$104,VLOOKUP(BV$1,main!$A$3:$H$102,5,FALSE)-VLOOKUP($A109,main!$A$3:$H$102,6,FALSE)&gt;=main!$D$103+VLOOKUP(VLOOKUP(BV$1,main!$A$3:$I$102,7,FALSE),main!$K$26:$Q$29,4,FALSE)),1,0)</f>
        <v>0</v>
      </c>
      <c r="BW109">
        <f>IF(AND(VLOOKUP(BW$1,main!$A$3:$H$102,7,FALSE)=main!$G$104,VLOOKUP(BW$1,main!$A$3:$H$102,5,FALSE)-VLOOKUP($A109,main!$A$3:$H$102,6,FALSE)&gt;=main!$D$103+VLOOKUP(VLOOKUP(BW$1,main!$A$3:$I$102,7,FALSE),main!$K$26:$Q$29,4,FALSE)),1,0)</f>
        <v>0</v>
      </c>
      <c r="BX109">
        <f>IF(AND(VLOOKUP(BX$1,main!$A$3:$H$102,7,FALSE)=main!$G$104,VLOOKUP(BX$1,main!$A$3:$H$102,5,FALSE)-VLOOKUP($A109,main!$A$3:$H$102,6,FALSE)&gt;=main!$D$103+VLOOKUP(VLOOKUP(BX$1,main!$A$3:$I$102,7,FALSE),main!$K$26:$Q$29,4,FALSE)),1,0)</f>
        <v>0</v>
      </c>
      <c r="BY109">
        <f>IF(AND(VLOOKUP(BY$1,main!$A$3:$H$102,7,FALSE)=main!$G$104,VLOOKUP(BY$1,main!$A$3:$H$102,5,FALSE)-VLOOKUP($A109,main!$A$3:$H$102,6,FALSE)&gt;=main!$D$103+VLOOKUP(VLOOKUP(BY$1,main!$A$3:$I$102,7,FALSE),main!$K$26:$Q$29,4,FALSE)),1,0)</f>
        <v>0</v>
      </c>
      <c r="BZ109">
        <f>IF(AND(VLOOKUP(BZ$1,main!$A$3:$H$102,7,FALSE)=main!$G$104,VLOOKUP(BZ$1,main!$A$3:$H$102,5,FALSE)-VLOOKUP($A109,main!$A$3:$H$102,6,FALSE)&gt;=main!$D$103+VLOOKUP(VLOOKUP(BZ$1,main!$A$3:$I$102,7,FALSE),main!$K$26:$Q$29,4,FALSE)),1,0)</f>
        <v>0</v>
      </c>
      <c r="CA109">
        <f>IF(AND(VLOOKUP(CA$1,main!$A$3:$H$102,7,FALSE)=main!$G$104,VLOOKUP(CA$1,main!$A$3:$H$102,5,FALSE)-VLOOKUP($A109,main!$A$3:$H$102,6,FALSE)&gt;=main!$D$103+VLOOKUP(VLOOKUP(CA$1,main!$A$3:$I$102,7,FALSE),main!$K$26:$Q$29,4,FALSE)),1,0)</f>
        <v>0</v>
      </c>
      <c r="CB109">
        <f>IF(AND(VLOOKUP(CB$1,main!$A$3:$H$102,7,FALSE)=main!$G$104,VLOOKUP(CB$1,main!$A$3:$H$102,5,FALSE)-VLOOKUP($A109,main!$A$3:$H$102,6,FALSE)&gt;=main!$D$103+VLOOKUP(VLOOKUP(CB$1,main!$A$3:$I$102,7,FALSE),main!$K$26:$Q$29,4,FALSE)),1,0)</f>
        <v>0</v>
      </c>
      <c r="CC109">
        <f>IF(AND(VLOOKUP(CC$1,main!$A$3:$H$102,7,FALSE)=main!$G$104,VLOOKUP(CC$1,main!$A$3:$H$102,5,FALSE)-VLOOKUP($A109,main!$A$3:$H$102,6,FALSE)&gt;=main!$D$103+VLOOKUP(VLOOKUP(CC$1,main!$A$3:$I$102,7,FALSE),main!$K$26:$Q$29,4,FALSE)),1,0)</f>
        <v>0</v>
      </c>
      <c r="CD109">
        <f>IF(AND(VLOOKUP(CD$1,main!$A$3:$H$102,7,FALSE)=main!$G$104,VLOOKUP(CD$1,main!$A$3:$H$102,5,FALSE)-VLOOKUP($A109,main!$A$3:$H$102,6,FALSE)&gt;=main!$D$103+VLOOKUP(VLOOKUP(CD$1,main!$A$3:$I$102,7,FALSE),main!$K$26:$Q$29,4,FALSE)),1,0)</f>
        <v>0</v>
      </c>
      <c r="CE109">
        <f>IF(AND(VLOOKUP(CE$1,main!$A$3:$H$102,7,FALSE)=main!$G$104,VLOOKUP(CE$1,main!$A$3:$H$102,5,FALSE)-VLOOKUP($A109,main!$A$3:$H$102,6,FALSE)&gt;=main!$D$103+VLOOKUP(VLOOKUP(CE$1,main!$A$3:$I$102,7,FALSE),main!$K$26:$Q$29,4,FALSE)),1,0)</f>
        <v>0</v>
      </c>
      <c r="CF109">
        <f>IF(AND(VLOOKUP(CF$1,main!$A$3:$H$102,7,FALSE)=main!$G$104,VLOOKUP(CF$1,main!$A$3:$H$102,5,FALSE)-VLOOKUP($A109,main!$A$3:$H$102,6,FALSE)&gt;=main!$D$103+VLOOKUP(VLOOKUP(CF$1,main!$A$3:$I$102,7,FALSE),main!$K$26:$Q$29,4,FALSE)),1,0)</f>
        <v>0</v>
      </c>
      <c r="CG109">
        <f>IF(AND(VLOOKUP(CG$1,main!$A$3:$H$102,7,FALSE)=main!$G$104,VLOOKUP(CG$1,main!$A$3:$H$102,5,FALSE)-VLOOKUP($A109,main!$A$3:$H$102,6,FALSE)&gt;=main!$D$103+VLOOKUP(VLOOKUP(CG$1,main!$A$3:$I$102,7,FALSE),main!$K$26:$Q$29,4,FALSE)),1,0)</f>
        <v>0</v>
      </c>
      <c r="CH109">
        <f>IF(AND(VLOOKUP(CH$1,main!$A$3:$H$102,7,FALSE)=main!$G$104,VLOOKUP(CH$1,main!$A$3:$H$102,5,FALSE)-VLOOKUP($A109,main!$A$3:$H$102,6,FALSE)&gt;=main!$D$103+VLOOKUP(VLOOKUP(CH$1,main!$A$3:$I$102,7,FALSE),main!$K$26:$Q$29,4,FALSE)),1,0)</f>
        <v>0</v>
      </c>
      <c r="CI109">
        <f>IF(AND(VLOOKUP(CI$1,main!$A$3:$H$102,7,FALSE)=main!$G$104,VLOOKUP(CI$1,main!$A$3:$H$102,5,FALSE)-VLOOKUP($A109,main!$A$3:$H$102,6,FALSE)&gt;=main!$D$103+VLOOKUP(VLOOKUP(CI$1,main!$A$3:$I$102,7,FALSE),main!$K$26:$Q$29,4,FALSE)),1,0)</f>
        <v>0</v>
      </c>
      <c r="CJ109">
        <f>IF(AND(VLOOKUP(CJ$1,main!$A$3:$H$102,7,FALSE)=main!$G$104,VLOOKUP(CJ$1,main!$A$3:$H$102,5,FALSE)-VLOOKUP($A109,main!$A$3:$H$102,6,FALSE)&gt;=main!$D$103+VLOOKUP(VLOOKUP(CJ$1,main!$A$3:$I$102,7,FALSE),main!$K$26:$Q$29,4,FALSE)),1,0)</f>
        <v>0</v>
      </c>
      <c r="CK109">
        <f>IF(AND(VLOOKUP(CK$1,main!$A$3:$H$102,7,FALSE)=main!$G$104,VLOOKUP(CK$1,main!$A$3:$H$102,5,FALSE)-VLOOKUP($A109,main!$A$3:$H$102,6,FALSE)&gt;=main!$D$103+VLOOKUP(VLOOKUP(CK$1,main!$A$3:$I$102,7,FALSE),main!$K$26:$Q$29,4,FALSE)),1,0)</f>
        <v>0</v>
      </c>
      <c r="CL109">
        <f>IF(AND(VLOOKUP(CL$1,main!$A$3:$H$102,7,FALSE)=main!$G$104,VLOOKUP(CL$1,main!$A$3:$H$102,5,FALSE)-VLOOKUP($A109,main!$A$3:$H$102,6,FALSE)&gt;=main!$D$103+VLOOKUP(VLOOKUP(CL$1,main!$A$3:$I$102,7,FALSE),main!$K$26:$Q$29,4,FALSE)),1,0)</f>
        <v>0</v>
      </c>
      <c r="CM109">
        <f>IF(AND(VLOOKUP(CM$1,main!$A$3:$H$102,7,FALSE)=main!$G$104,VLOOKUP(CM$1,main!$A$3:$H$102,5,FALSE)-VLOOKUP($A109,main!$A$3:$H$102,6,FALSE)&gt;=main!$D$103+VLOOKUP(VLOOKUP(CM$1,main!$A$3:$I$102,7,FALSE),main!$K$26:$Q$29,4,FALSE)),1,0)</f>
        <v>0</v>
      </c>
      <c r="CN109">
        <f>IF(AND(VLOOKUP(CN$1,main!$A$3:$H$102,7,FALSE)=main!$G$104,VLOOKUP(CN$1,main!$A$3:$H$102,5,FALSE)-VLOOKUP($A109,main!$A$3:$H$102,6,FALSE)&gt;=main!$D$103+VLOOKUP(VLOOKUP(CN$1,main!$A$3:$I$102,7,FALSE),main!$K$26:$Q$29,4,FALSE)),1,0)</f>
        <v>0</v>
      </c>
      <c r="CO109">
        <f>IF(AND(VLOOKUP(CO$1,main!$A$3:$H$102,7,FALSE)=main!$G$104,VLOOKUP(CO$1,main!$A$3:$H$102,5,FALSE)-VLOOKUP($A109,main!$A$3:$H$102,6,FALSE)&gt;=main!$D$103+VLOOKUP(VLOOKUP(CO$1,main!$A$3:$I$102,7,FALSE),main!$K$26:$Q$29,4,FALSE)),1,0)</f>
        <v>0</v>
      </c>
      <c r="CP109">
        <f>IF(AND(VLOOKUP(CP$1,main!$A$3:$H$102,7,FALSE)=main!$G$104,VLOOKUP(CP$1,main!$A$3:$H$102,5,FALSE)-VLOOKUP($A109,main!$A$3:$H$102,6,FALSE)&gt;=main!$D$103+VLOOKUP(VLOOKUP(CP$1,main!$A$3:$I$102,7,FALSE),main!$K$26:$Q$29,4,FALSE)),1,0)</f>
        <v>0</v>
      </c>
      <c r="CQ109">
        <f>IF(AND(VLOOKUP(CQ$1,main!$A$3:$H$102,7,FALSE)=main!$G$104,VLOOKUP(CQ$1,main!$A$3:$H$102,5,FALSE)-VLOOKUP($A109,main!$A$3:$H$102,6,FALSE)&gt;=main!$D$103+VLOOKUP(VLOOKUP(CQ$1,main!$A$3:$I$102,7,FALSE),main!$K$26:$Q$29,4,FALSE)),1,0)</f>
        <v>0</v>
      </c>
      <c r="CR109">
        <f>IF(AND(VLOOKUP(CR$1,main!$A$3:$H$102,7,FALSE)=main!$G$104,VLOOKUP(CR$1,main!$A$3:$H$102,5,FALSE)-VLOOKUP($A109,main!$A$3:$H$102,6,FALSE)&gt;=main!$D$103+VLOOKUP(VLOOKUP(CR$1,main!$A$3:$I$102,7,FALSE),main!$K$26:$Q$29,4,FALSE)),1,0)</f>
        <v>0</v>
      </c>
      <c r="CS109">
        <f>IF(AND(VLOOKUP(CS$1,main!$A$3:$H$102,7,FALSE)=main!$G$104,VLOOKUP(CS$1,main!$A$3:$H$102,5,FALSE)-VLOOKUP($A109,main!$A$3:$H$102,6,FALSE)&gt;=main!$D$103+VLOOKUP(VLOOKUP(CS$1,main!$A$3:$I$102,7,FALSE),main!$K$26:$Q$29,4,FALSE)),1,0)</f>
        <v>0</v>
      </c>
      <c r="CT109">
        <f>IF(AND(VLOOKUP(CT$1,main!$A$3:$H$102,7,FALSE)=main!$G$104,VLOOKUP(CT$1,main!$A$3:$H$102,5,FALSE)-VLOOKUP($A109,main!$A$3:$H$102,6,FALSE)&gt;=main!$D$103+VLOOKUP(VLOOKUP(CT$1,main!$A$3:$I$102,7,FALSE),main!$K$26:$Q$29,4,FALSE)),1,0)</f>
        <v>0</v>
      </c>
      <c r="CU109">
        <f>IF(AND(VLOOKUP(CU$1,main!$A$3:$H$102,7,FALSE)=main!$G$104,VLOOKUP(CU$1,main!$A$3:$H$102,5,FALSE)-VLOOKUP($A109,main!$A$3:$H$102,6,FALSE)&gt;=main!$D$103+VLOOKUP(VLOOKUP(CU$1,main!$A$3:$I$102,7,FALSE),main!$K$26:$Q$29,4,FALSE)),1,0)</f>
        <v>0</v>
      </c>
      <c r="CV109">
        <f>IF(AND(VLOOKUP(CV$1,main!$A$3:$H$102,7,FALSE)=main!$G$104,VLOOKUP(CV$1,main!$A$3:$H$102,5,FALSE)-VLOOKUP($A109,main!$A$3:$H$102,6,FALSE)&gt;=main!$D$103+VLOOKUP(VLOOKUP(CV$1,main!$A$3:$I$102,7,FALSE),main!$K$26:$Q$29,4,FALSE)),1,0)</f>
        <v>0</v>
      </c>
      <c r="CW109">
        <f>IF(AND(VLOOKUP(CW$1,main!$A$3:$H$102,7,FALSE)=main!$G$104,VLOOKUP(CW$1,main!$A$3:$H$102,5,FALSE)-VLOOKUP($A109,main!$A$3:$H$102,6,FALSE)&gt;=main!$D$103+VLOOKUP(VLOOKUP(CW$1,main!$A$3:$I$102,7,FALSE),main!$K$26:$Q$29,4,FALSE)),1,0)</f>
        <v>0</v>
      </c>
      <c r="CX109">
        <f>IF(AND(VLOOKUP(CX$1,main!$A$3:$H$102,7,FALSE)=main!$G$104,VLOOKUP(CX$1,main!$A$3:$H$102,5,FALSE)-VLOOKUP($A109,main!$A$3:$H$102,6,FALSE)&gt;=main!$D$103+VLOOKUP(VLOOKUP(CX$1,main!$A$3:$I$102,7,FALSE),main!$K$26:$Q$29,4,FALSE)),1,0)</f>
        <v>0</v>
      </c>
    </row>
    <row r="110" spans="1:102" x14ac:dyDescent="0.25">
      <c r="A110" s="1">
        <v>7</v>
      </c>
      <c r="B110">
        <v>0</v>
      </c>
      <c r="C110">
        <f>IF(AND(VLOOKUP(C$1,main!$A$3:$H$102,7,FALSE)=main!$G$104,VLOOKUP(C$1,main!$A$3:$H$102,5,FALSE)-VLOOKUP($A110,main!$A$3:$H$102,6,FALSE)&gt;=main!$D$103+VLOOKUP(VLOOKUP(C$1,main!$A$3:$I$102,7,FALSE),main!$K$26:$Q$29,4,FALSE)),1,0)</f>
        <v>0</v>
      </c>
      <c r="D110">
        <f>IF(AND(VLOOKUP(D$1,main!$A$3:$H$102,7,FALSE)=main!$G$104,VLOOKUP(D$1,main!$A$3:$H$102,5,FALSE)-VLOOKUP($A110,main!$A$3:$H$102,6,FALSE)&gt;=main!$D$103+VLOOKUP(VLOOKUP(D$1,main!$A$3:$I$102,7,FALSE),main!$K$26:$Q$29,4,FALSE)),1,0)</f>
        <v>0</v>
      </c>
      <c r="E110">
        <f>IF(AND(VLOOKUP(E$1,main!$A$3:$H$102,7,FALSE)=main!$G$104,VLOOKUP(E$1,main!$A$3:$H$102,5,FALSE)-VLOOKUP($A110,main!$A$3:$H$102,6,FALSE)&gt;=main!$D$103+VLOOKUP(VLOOKUP(E$1,main!$A$3:$I$102,7,FALSE),main!$K$26:$Q$29,4,FALSE)),1,0)</f>
        <v>0</v>
      </c>
      <c r="F110">
        <f>IF(AND(VLOOKUP(F$1,main!$A$3:$H$102,7,FALSE)=main!$G$104,VLOOKUP(F$1,main!$A$3:$H$102,5,FALSE)-VLOOKUP($A110,main!$A$3:$H$102,6,FALSE)&gt;=main!$D$103+VLOOKUP(VLOOKUP(F$1,main!$A$3:$I$102,7,FALSE),main!$K$26:$Q$29,4,FALSE)),1,0)</f>
        <v>0</v>
      </c>
      <c r="G110">
        <f>IF(AND(VLOOKUP(G$1,main!$A$3:$H$102,7,FALSE)=main!$G$104,VLOOKUP(G$1,main!$A$3:$H$102,5,FALSE)-VLOOKUP($A110,main!$A$3:$H$102,6,FALSE)&gt;=main!$D$103+VLOOKUP(VLOOKUP(G$1,main!$A$3:$I$102,7,FALSE),main!$K$26:$Q$29,4,FALSE)),1,0)</f>
        <v>0</v>
      </c>
      <c r="H110">
        <f>IF(AND(VLOOKUP(H$1,main!$A$3:$H$102,7,FALSE)=main!$G$104,VLOOKUP(H$1,main!$A$3:$H$102,5,FALSE)-VLOOKUP($A110,main!$A$3:$H$102,6,FALSE)&gt;=main!$D$103+VLOOKUP(VLOOKUP(H$1,main!$A$3:$I$102,7,FALSE),main!$K$26:$Q$29,4,FALSE)),1,0)</f>
        <v>0</v>
      </c>
      <c r="I110">
        <f>IF(AND(VLOOKUP(I$1,main!$A$3:$H$102,7,FALSE)=main!$G$104,VLOOKUP(I$1,main!$A$3:$H$102,5,FALSE)-VLOOKUP($A110,main!$A$3:$H$102,6,FALSE)&gt;=main!$D$103+VLOOKUP(VLOOKUP(I$1,main!$A$3:$I$102,7,FALSE),main!$K$26:$Q$29,4,FALSE)),1,0)</f>
        <v>0</v>
      </c>
      <c r="J110">
        <f>IF(AND(VLOOKUP(J$1,main!$A$3:$H$102,7,FALSE)=main!$G$104,VLOOKUP(J$1,main!$A$3:$H$102,5,FALSE)-VLOOKUP($A110,main!$A$3:$H$102,6,FALSE)&gt;=main!$D$103+VLOOKUP(VLOOKUP(J$1,main!$A$3:$I$102,7,FALSE),main!$K$26:$Q$29,4,FALSE)),1,0)</f>
        <v>0</v>
      </c>
      <c r="K110">
        <f>IF(AND(VLOOKUP(K$1,main!$A$3:$H$102,7,FALSE)=main!$G$104,VLOOKUP(K$1,main!$A$3:$H$102,5,FALSE)-VLOOKUP($A110,main!$A$3:$H$102,6,FALSE)&gt;=main!$D$103+VLOOKUP(VLOOKUP(K$1,main!$A$3:$I$102,7,FALSE),main!$K$26:$Q$29,4,FALSE)),1,0)</f>
        <v>0</v>
      </c>
      <c r="L110">
        <f>IF(AND(VLOOKUP(L$1,main!$A$3:$H$102,7,FALSE)=main!$G$104,VLOOKUP(L$1,main!$A$3:$H$102,5,FALSE)-VLOOKUP($A110,main!$A$3:$H$102,6,FALSE)&gt;=main!$D$103+VLOOKUP(VLOOKUP(L$1,main!$A$3:$I$102,7,FALSE),main!$K$26:$Q$29,4,FALSE)),1,0)</f>
        <v>1</v>
      </c>
      <c r="M110">
        <f>IF(AND(VLOOKUP(M$1,main!$A$3:$H$102,7,FALSE)=main!$G$104,VLOOKUP(M$1,main!$A$3:$H$102,5,FALSE)-VLOOKUP($A110,main!$A$3:$H$102,6,FALSE)&gt;=main!$D$103+VLOOKUP(VLOOKUP(M$1,main!$A$3:$I$102,7,FALSE),main!$K$26:$Q$29,4,FALSE)),1,0)</f>
        <v>0</v>
      </c>
      <c r="N110">
        <f>IF(AND(VLOOKUP(N$1,main!$A$3:$H$102,7,FALSE)=main!$G$104,VLOOKUP(N$1,main!$A$3:$H$102,5,FALSE)-VLOOKUP($A110,main!$A$3:$H$102,6,FALSE)&gt;=main!$D$103+VLOOKUP(VLOOKUP(N$1,main!$A$3:$I$102,7,FALSE),main!$K$26:$Q$29,4,FALSE)),1,0)</f>
        <v>0</v>
      </c>
      <c r="O110">
        <f>IF(AND(VLOOKUP(O$1,main!$A$3:$H$102,7,FALSE)=main!$G$104,VLOOKUP(O$1,main!$A$3:$H$102,5,FALSE)-VLOOKUP($A110,main!$A$3:$H$102,6,FALSE)&gt;=main!$D$103+VLOOKUP(VLOOKUP(O$1,main!$A$3:$I$102,7,FALSE),main!$K$26:$Q$29,4,FALSE)),1,0)</f>
        <v>0</v>
      </c>
      <c r="P110">
        <f>IF(AND(VLOOKUP(P$1,main!$A$3:$H$102,7,FALSE)=main!$G$104,VLOOKUP(P$1,main!$A$3:$H$102,5,FALSE)-VLOOKUP($A110,main!$A$3:$H$102,6,FALSE)&gt;=main!$D$103+VLOOKUP(VLOOKUP(P$1,main!$A$3:$I$102,7,FALSE),main!$K$26:$Q$29,4,FALSE)),1,0)</f>
        <v>0</v>
      </c>
      <c r="Q110">
        <f>IF(AND(VLOOKUP(Q$1,main!$A$3:$H$102,7,FALSE)=main!$G$104,VLOOKUP(Q$1,main!$A$3:$H$102,5,FALSE)-VLOOKUP($A110,main!$A$3:$H$102,6,FALSE)&gt;=main!$D$103+VLOOKUP(VLOOKUP(Q$1,main!$A$3:$I$102,7,FALSE),main!$K$26:$Q$29,4,FALSE)),1,0)</f>
        <v>0</v>
      </c>
      <c r="R110">
        <f>IF(AND(VLOOKUP(R$1,main!$A$3:$H$102,7,FALSE)=main!$G$104,VLOOKUP(R$1,main!$A$3:$H$102,5,FALSE)-VLOOKUP($A110,main!$A$3:$H$102,6,FALSE)&gt;=main!$D$103+VLOOKUP(VLOOKUP(R$1,main!$A$3:$I$102,7,FALSE),main!$K$26:$Q$29,4,FALSE)),1,0)</f>
        <v>0</v>
      </c>
      <c r="S110">
        <f>IF(AND(VLOOKUP(S$1,main!$A$3:$H$102,7,FALSE)=main!$G$104,VLOOKUP(S$1,main!$A$3:$H$102,5,FALSE)-VLOOKUP($A110,main!$A$3:$H$102,6,FALSE)&gt;=main!$D$103+VLOOKUP(VLOOKUP(S$1,main!$A$3:$I$102,7,FALSE),main!$K$26:$Q$29,4,FALSE)),1,0)</f>
        <v>0</v>
      </c>
      <c r="T110">
        <f>IF(AND(VLOOKUP(T$1,main!$A$3:$H$102,7,FALSE)=main!$G$104,VLOOKUP(T$1,main!$A$3:$H$102,5,FALSE)-VLOOKUP($A110,main!$A$3:$H$102,6,FALSE)&gt;=main!$D$103+VLOOKUP(VLOOKUP(T$1,main!$A$3:$I$102,7,FALSE),main!$K$26:$Q$29,4,FALSE)),1,0)</f>
        <v>0</v>
      </c>
      <c r="U110">
        <f>IF(AND(VLOOKUP(U$1,main!$A$3:$H$102,7,FALSE)=main!$G$104,VLOOKUP(U$1,main!$A$3:$H$102,5,FALSE)-VLOOKUP($A110,main!$A$3:$H$102,6,FALSE)&gt;=main!$D$103+VLOOKUP(VLOOKUP(U$1,main!$A$3:$I$102,7,FALSE),main!$K$26:$Q$29,4,FALSE)),1,0)</f>
        <v>0</v>
      </c>
      <c r="V110">
        <f>IF(AND(VLOOKUP(V$1,main!$A$3:$H$102,7,FALSE)=main!$G$104,VLOOKUP(V$1,main!$A$3:$H$102,5,FALSE)-VLOOKUP($A110,main!$A$3:$H$102,6,FALSE)&gt;=main!$D$103+VLOOKUP(VLOOKUP(V$1,main!$A$3:$I$102,7,FALSE),main!$K$26:$Q$29,4,FALSE)),1,0)</f>
        <v>1</v>
      </c>
      <c r="W110">
        <f>IF(AND(VLOOKUP(W$1,main!$A$3:$H$102,7,FALSE)=main!$G$104,VLOOKUP(W$1,main!$A$3:$H$102,5,FALSE)-VLOOKUP($A110,main!$A$3:$H$102,6,FALSE)&gt;=main!$D$103+VLOOKUP(VLOOKUP(W$1,main!$A$3:$I$102,7,FALSE),main!$K$26:$Q$29,4,FALSE)),1,0)</f>
        <v>0</v>
      </c>
      <c r="X110">
        <f>IF(AND(VLOOKUP(X$1,main!$A$3:$H$102,7,FALSE)=main!$G$104,VLOOKUP(X$1,main!$A$3:$H$102,5,FALSE)-VLOOKUP($A110,main!$A$3:$H$102,6,FALSE)&gt;=main!$D$103+VLOOKUP(VLOOKUP(X$1,main!$A$3:$I$102,7,FALSE),main!$K$26:$Q$29,4,FALSE)),1,0)</f>
        <v>0</v>
      </c>
      <c r="Y110">
        <f>IF(AND(VLOOKUP(Y$1,main!$A$3:$H$102,7,FALSE)=main!$G$104,VLOOKUP(Y$1,main!$A$3:$H$102,5,FALSE)-VLOOKUP($A110,main!$A$3:$H$102,6,FALSE)&gt;=main!$D$103+VLOOKUP(VLOOKUP(Y$1,main!$A$3:$I$102,7,FALSE),main!$K$26:$Q$29,4,FALSE)),1,0)</f>
        <v>0</v>
      </c>
      <c r="Z110">
        <f>IF(AND(VLOOKUP(Z$1,main!$A$3:$H$102,7,FALSE)=main!$G$104,VLOOKUP(Z$1,main!$A$3:$H$102,5,FALSE)-VLOOKUP($A110,main!$A$3:$H$102,6,FALSE)&gt;=main!$D$103+VLOOKUP(VLOOKUP(Z$1,main!$A$3:$I$102,7,FALSE),main!$K$26:$Q$29,4,FALSE)),1,0)</f>
        <v>0</v>
      </c>
      <c r="AA110">
        <f>IF(AND(VLOOKUP(AA$1,main!$A$3:$H$102,7,FALSE)=main!$G$104,VLOOKUP(AA$1,main!$A$3:$H$102,5,FALSE)-VLOOKUP($A110,main!$A$3:$H$102,6,FALSE)&gt;=main!$D$103+VLOOKUP(VLOOKUP(AA$1,main!$A$3:$I$102,7,FALSE),main!$K$26:$Q$29,4,FALSE)),1,0)</f>
        <v>0</v>
      </c>
      <c r="AB110">
        <f>IF(AND(VLOOKUP(AB$1,main!$A$3:$H$102,7,FALSE)=main!$G$104,VLOOKUP(AB$1,main!$A$3:$H$102,5,FALSE)-VLOOKUP($A110,main!$A$3:$H$102,6,FALSE)&gt;=main!$D$103+VLOOKUP(VLOOKUP(AB$1,main!$A$3:$I$102,7,FALSE),main!$K$26:$Q$29,4,FALSE)),1,0)</f>
        <v>0</v>
      </c>
      <c r="AC110">
        <f>IF(AND(VLOOKUP(AC$1,main!$A$3:$H$102,7,FALSE)=main!$G$104,VLOOKUP(AC$1,main!$A$3:$H$102,5,FALSE)-VLOOKUP($A110,main!$A$3:$H$102,6,FALSE)&gt;=main!$D$103+VLOOKUP(VLOOKUP(AC$1,main!$A$3:$I$102,7,FALSE),main!$K$26:$Q$29,4,FALSE)),1,0)</f>
        <v>0</v>
      </c>
      <c r="AD110">
        <f>IF(AND(VLOOKUP(AD$1,main!$A$3:$H$102,7,FALSE)=main!$G$104,VLOOKUP(AD$1,main!$A$3:$H$102,5,FALSE)-VLOOKUP($A110,main!$A$3:$H$102,6,FALSE)&gt;=main!$D$103+VLOOKUP(VLOOKUP(AD$1,main!$A$3:$I$102,7,FALSE),main!$K$26:$Q$29,4,FALSE)),1,0)</f>
        <v>0</v>
      </c>
      <c r="AE110">
        <f>IF(AND(VLOOKUP(AE$1,main!$A$3:$H$102,7,FALSE)=main!$G$104,VLOOKUP(AE$1,main!$A$3:$H$102,5,FALSE)-VLOOKUP($A110,main!$A$3:$H$102,6,FALSE)&gt;=main!$D$103+VLOOKUP(VLOOKUP(AE$1,main!$A$3:$I$102,7,FALSE),main!$K$26:$Q$29,4,FALSE)),1,0)</f>
        <v>0</v>
      </c>
      <c r="AF110">
        <f>IF(AND(VLOOKUP(AF$1,main!$A$3:$H$102,7,FALSE)=main!$G$104,VLOOKUP(AF$1,main!$A$3:$H$102,5,FALSE)-VLOOKUP($A110,main!$A$3:$H$102,6,FALSE)&gt;=main!$D$103+VLOOKUP(VLOOKUP(AF$1,main!$A$3:$I$102,7,FALSE),main!$K$26:$Q$29,4,FALSE)),1,0)</f>
        <v>0</v>
      </c>
      <c r="AG110">
        <f>IF(AND(VLOOKUP(AG$1,main!$A$3:$H$102,7,FALSE)=main!$G$104,VLOOKUP(AG$1,main!$A$3:$H$102,5,FALSE)-VLOOKUP($A110,main!$A$3:$H$102,6,FALSE)&gt;=main!$D$103+VLOOKUP(VLOOKUP(AG$1,main!$A$3:$I$102,7,FALSE),main!$K$26:$Q$29,4,FALSE)),1,0)</f>
        <v>0</v>
      </c>
      <c r="AH110">
        <f>IF(AND(VLOOKUP(AH$1,main!$A$3:$H$102,7,FALSE)=main!$G$104,VLOOKUP(AH$1,main!$A$3:$H$102,5,FALSE)-VLOOKUP($A110,main!$A$3:$H$102,6,FALSE)&gt;=main!$D$103+VLOOKUP(VLOOKUP(AH$1,main!$A$3:$I$102,7,FALSE),main!$K$26:$Q$29,4,FALSE)),1,0)</f>
        <v>0</v>
      </c>
      <c r="AI110">
        <f>IF(AND(VLOOKUP(AI$1,main!$A$3:$H$102,7,FALSE)=main!$G$104,VLOOKUP(AI$1,main!$A$3:$H$102,5,FALSE)-VLOOKUP($A110,main!$A$3:$H$102,6,FALSE)&gt;=main!$D$103+VLOOKUP(VLOOKUP(AI$1,main!$A$3:$I$102,7,FALSE),main!$K$26:$Q$29,4,FALSE)),1,0)</f>
        <v>0</v>
      </c>
      <c r="AJ110">
        <f>IF(AND(VLOOKUP(AJ$1,main!$A$3:$H$102,7,FALSE)=main!$G$104,VLOOKUP(AJ$1,main!$A$3:$H$102,5,FALSE)-VLOOKUP($A110,main!$A$3:$H$102,6,FALSE)&gt;=main!$D$103+VLOOKUP(VLOOKUP(AJ$1,main!$A$3:$I$102,7,FALSE),main!$K$26:$Q$29,4,FALSE)),1,0)</f>
        <v>0</v>
      </c>
      <c r="AK110">
        <f>IF(AND(VLOOKUP(AK$1,main!$A$3:$H$102,7,FALSE)=main!$G$104,VLOOKUP(AK$1,main!$A$3:$H$102,5,FALSE)-VLOOKUP($A110,main!$A$3:$H$102,6,FALSE)&gt;=main!$D$103+VLOOKUP(VLOOKUP(AK$1,main!$A$3:$I$102,7,FALSE),main!$K$26:$Q$29,4,FALSE)),1,0)</f>
        <v>0</v>
      </c>
      <c r="AL110">
        <f>IF(AND(VLOOKUP(AL$1,main!$A$3:$H$102,7,FALSE)=main!$G$104,VLOOKUP(AL$1,main!$A$3:$H$102,5,FALSE)-VLOOKUP($A110,main!$A$3:$H$102,6,FALSE)&gt;=main!$D$103+VLOOKUP(VLOOKUP(AL$1,main!$A$3:$I$102,7,FALSE),main!$K$26:$Q$29,4,FALSE)),1,0)</f>
        <v>0</v>
      </c>
      <c r="AM110">
        <f>IF(AND(VLOOKUP(AM$1,main!$A$3:$H$102,7,FALSE)=main!$G$104,VLOOKUP(AM$1,main!$A$3:$H$102,5,FALSE)-VLOOKUP($A110,main!$A$3:$H$102,6,FALSE)&gt;=main!$D$103+VLOOKUP(VLOOKUP(AM$1,main!$A$3:$I$102,7,FALSE),main!$K$26:$Q$29,4,FALSE)),1,0)</f>
        <v>0</v>
      </c>
      <c r="AN110">
        <f>IF(AND(VLOOKUP(AN$1,main!$A$3:$H$102,7,FALSE)=main!$G$104,VLOOKUP(AN$1,main!$A$3:$H$102,5,FALSE)-VLOOKUP($A110,main!$A$3:$H$102,6,FALSE)&gt;=main!$D$103+VLOOKUP(VLOOKUP(AN$1,main!$A$3:$I$102,7,FALSE),main!$K$26:$Q$29,4,FALSE)),1,0)</f>
        <v>0</v>
      </c>
      <c r="AO110">
        <f>IF(AND(VLOOKUP(AO$1,main!$A$3:$H$102,7,FALSE)=main!$G$104,VLOOKUP(AO$1,main!$A$3:$H$102,5,FALSE)-VLOOKUP($A110,main!$A$3:$H$102,6,FALSE)&gt;=main!$D$103+VLOOKUP(VLOOKUP(AO$1,main!$A$3:$I$102,7,FALSE),main!$K$26:$Q$29,4,FALSE)),1,0)</f>
        <v>0</v>
      </c>
      <c r="AP110">
        <f>IF(AND(VLOOKUP(AP$1,main!$A$3:$H$102,7,FALSE)=main!$G$104,VLOOKUP(AP$1,main!$A$3:$H$102,5,FALSE)-VLOOKUP($A110,main!$A$3:$H$102,6,FALSE)&gt;=main!$D$103+VLOOKUP(VLOOKUP(AP$1,main!$A$3:$I$102,7,FALSE),main!$K$26:$Q$29,4,FALSE)),1,0)</f>
        <v>0</v>
      </c>
      <c r="AQ110">
        <f>IF(AND(VLOOKUP(AQ$1,main!$A$3:$H$102,7,FALSE)=main!$G$104,VLOOKUP(AQ$1,main!$A$3:$H$102,5,FALSE)-VLOOKUP($A110,main!$A$3:$H$102,6,FALSE)&gt;=main!$D$103+VLOOKUP(VLOOKUP(AQ$1,main!$A$3:$I$102,7,FALSE),main!$K$26:$Q$29,4,FALSE)),1,0)</f>
        <v>0</v>
      </c>
      <c r="AR110">
        <f>IF(AND(VLOOKUP(AR$1,main!$A$3:$H$102,7,FALSE)=main!$G$104,VLOOKUP(AR$1,main!$A$3:$H$102,5,FALSE)-VLOOKUP($A110,main!$A$3:$H$102,6,FALSE)&gt;=main!$D$103+VLOOKUP(VLOOKUP(AR$1,main!$A$3:$I$102,7,FALSE),main!$K$26:$Q$29,4,FALSE)),1,0)</f>
        <v>0</v>
      </c>
      <c r="AS110">
        <f>IF(AND(VLOOKUP(AS$1,main!$A$3:$H$102,7,FALSE)=main!$G$104,VLOOKUP(AS$1,main!$A$3:$H$102,5,FALSE)-VLOOKUP($A110,main!$A$3:$H$102,6,FALSE)&gt;=main!$D$103+VLOOKUP(VLOOKUP(AS$1,main!$A$3:$I$102,7,FALSE),main!$K$26:$Q$29,4,FALSE)),1,0)</f>
        <v>0</v>
      </c>
      <c r="AT110">
        <f>IF(AND(VLOOKUP(AT$1,main!$A$3:$H$102,7,FALSE)=main!$G$104,VLOOKUP(AT$1,main!$A$3:$H$102,5,FALSE)-VLOOKUP($A110,main!$A$3:$H$102,6,FALSE)&gt;=main!$D$103+VLOOKUP(VLOOKUP(AT$1,main!$A$3:$I$102,7,FALSE),main!$K$26:$Q$29,4,FALSE)),1,0)</f>
        <v>0</v>
      </c>
      <c r="AU110">
        <f>IF(AND(VLOOKUP(AU$1,main!$A$3:$H$102,7,FALSE)=main!$G$104,VLOOKUP(AU$1,main!$A$3:$H$102,5,FALSE)-VLOOKUP($A110,main!$A$3:$H$102,6,FALSE)&gt;=main!$D$103+VLOOKUP(VLOOKUP(AU$1,main!$A$3:$I$102,7,FALSE),main!$K$26:$Q$29,4,FALSE)),1,0)</f>
        <v>0</v>
      </c>
      <c r="AV110">
        <f>IF(AND(VLOOKUP(AV$1,main!$A$3:$H$102,7,FALSE)=main!$G$104,VLOOKUP(AV$1,main!$A$3:$H$102,5,FALSE)-VLOOKUP($A110,main!$A$3:$H$102,6,FALSE)&gt;=main!$D$103+VLOOKUP(VLOOKUP(AV$1,main!$A$3:$I$102,7,FALSE),main!$K$26:$Q$29,4,FALSE)),1,0)</f>
        <v>0</v>
      </c>
      <c r="AW110">
        <f>IF(AND(VLOOKUP(AW$1,main!$A$3:$H$102,7,FALSE)=main!$G$104,VLOOKUP(AW$1,main!$A$3:$H$102,5,FALSE)-VLOOKUP($A110,main!$A$3:$H$102,6,FALSE)&gt;=main!$D$103+VLOOKUP(VLOOKUP(AW$1,main!$A$3:$I$102,7,FALSE),main!$K$26:$Q$29,4,FALSE)),1,0)</f>
        <v>0</v>
      </c>
      <c r="AX110">
        <f>IF(AND(VLOOKUP(AX$1,main!$A$3:$H$102,7,FALSE)=main!$G$104,VLOOKUP(AX$1,main!$A$3:$H$102,5,FALSE)-VLOOKUP($A110,main!$A$3:$H$102,6,FALSE)&gt;=main!$D$103+VLOOKUP(VLOOKUP(AX$1,main!$A$3:$I$102,7,FALSE),main!$K$26:$Q$29,4,FALSE)),1,0)</f>
        <v>0</v>
      </c>
      <c r="AY110">
        <f>IF(AND(VLOOKUP(AY$1,main!$A$3:$H$102,7,FALSE)=main!$G$104,VLOOKUP(AY$1,main!$A$3:$H$102,5,FALSE)-VLOOKUP($A110,main!$A$3:$H$102,6,FALSE)&gt;=main!$D$103+VLOOKUP(VLOOKUP(AY$1,main!$A$3:$I$102,7,FALSE),main!$K$26:$Q$29,4,FALSE)),1,0)</f>
        <v>0</v>
      </c>
      <c r="AZ110">
        <f>IF(AND(VLOOKUP(AZ$1,main!$A$3:$H$102,7,FALSE)=main!$G$104,VLOOKUP(AZ$1,main!$A$3:$H$102,5,FALSE)-VLOOKUP($A110,main!$A$3:$H$102,6,FALSE)&gt;=main!$D$103+VLOOKUP(VLOOKUP(AZ$1,main!$A$3:$I$102,7,FALSE),main!$K$26:$Q$29,4,FALSE)),1,0)</f>
        <v>0</v>
      </c>
      <c r="BA110">
        <f>IF(AND(VLOOKUP(BA$1,main!$A$3:$H$102,7,FALSE)=main!$G$104,VLOOKUP(BA$1,main!$A$3:$H$102,5,FALSE)-VLOOKUP($A110,main!$A$3:$H$102,6,FALSE)&gt;=main!$D$103+VLOOKUP(VLOOKUP(BA$1,main!$A$3:$I$102,7,FALSE),main!$K$26:$Q$29,4,FALSE)),1,0)</f>
        <v>0</v>
      </c>
      <c r="BB110">
        <f>IF(AND(VLOOKUP(BB$1,main!$A$3:$H$102,7,FALSE)=main!$G$104,VLOOKUP(BB$1,main!$A$3:$H$102,5,FALSE)-VLOOKUP($A110,main!$A$3:$H$102,6,FALSE)&gt;=main!$D$103+VLOOKUP(VLOOKUP(BB$1,main!$A$3:$I$102,7,FALSE),main!$K$26:$Q$29,4,FALSE)),1,0)</f>
        <v>0</v>
      </c>
      <c r="BC110">
        <f>IF(AND(VLOOKUP(BC$1,main!$A$3:$H$102,7,FALSE)=main!$G$104,VLOOKUP(BC$1,main!$A$3:$H$102,5,FALSE)-VLOOKUP($A110,main!$A$3:$H$102,6,FALSE)&gt;=main!$D$103+VLOOKUP(VLOOKUP(BC$1,main!$A$3:$I$102,7,FALSE),main!$K$26:$Q$29,4,FALSE)),1,0)</f>
        <v>0</v>
      </c>
      <c r="BD110">
        <f>IF(AND(VLOOKUP(BD$1,main!$A$3:$H$102,7,FALSE)=main!$G$104,VLOOKUP(BD$1,main!$A$3:$H$102,5,FALSE)-VLOOKUP($A110,main!$A$3:$H$102,6,FALSE)&gt;=main!$D$103+VLOOKUP(VLOOKUP(BD$1,main!$A$3:$I$102,7,FALSE),main!$K$26:$Q$29,4,FALSE)),1,0)</f>
        <v>0</v>
      </c>
      <c r="BE110">
        <f>IF(AND(VLOOKUP(BE$1,main!$A$3:$H$102,7,FALSE)=main!$G$104,VLOOKUP(BE$1,main!$A$3:$H$102,5,FALSE)-VLOOKUP($A110,main!$A$3:$H$102,6,FALSE)&gt;=main!$D$103+VLOOKUP(VLOOKUP(BE$1,main!$A$3:$I$102,7,FALSE),main!$K$26:$Q$29,4,FALSE)),1,0)</f>
        <v>0</v>
      </c>
      <c r="BF110">
        <f>IF(AND(VLOOKUP(BF$1,main!$A$3:$H$102,7,FALSE)=main!$G$104,VLOOKUP(BF$1,main!$A$3:$H$102,5,FALSE)-VLOOKUP($A110,main!$A$3:$H$102,6,FALSE)&gt;=main!$D$103+VLOOKUP(VLOOKUP(BF$1,main!$A$3:$I$102,7,FALSE),main!$K$26:$Q$29,4,FALSE)),1,0)</f>
        <v>0</v>
      </c>
      <c r="BG110">
        <f>IF(AND(VLOOKUP(BG$1,main!$A$3:$H$102,7,FALSE)=main!$G$104,VLOOKUP(BG$1,main!$A$3:$H$102,5,FALSE)-VLOOKUP($A110,main!$A$3:$H$102,6,FALSE)&gt;=main!$D$103+VLOOKUP(VLOOKUP(BG$1,main!$A$3:$I$102,7,FALSE),main!$K$26:$Q$29,4,FALSE)),1,0)</f>
        <v>0</v>
      </c>
      <c r="BH110">
        <f>IF(AND(VLOOKUP(BH$1,main!$A$3:$H$102,7,FALSE)=main!$G$104,VLOOKUP(BH$1,main!$A$3:$H$102,5,FALSE)-VLOOKUP($A110,main!$A$3:$H$102,6,FALSE)&gt;=main!$D$103+VLOOKUP(VLOOKUP(BH$1,main!$A$3:$I$102,7,FALSE),main!$K$26:$Q$29,4,FALSE)),1,0)</f>
        <v>0</v>
      </c>
      <c r="BI110">
        <f>IF(AND(VLOOKUP(BI$1,main!$A$3:$H$102,7,FALSE)=main!$G$104,VLOOKUP(BI$1,main!$A$3:$H$102,5,FALSE)-VLOOKUP($A110,main!$A$3:$H$102,6,FALSE)&gt;=main!$D$103+VLOOKUP(VLOOKUP(BI$1,main!$A$3:$I$102,7,FALSE),main!$K$26:$Q$29,4,FALSE)),1,0)</f>
        <v>0</v>
      </c>
      <c r="BJ110">
        <f>IF(AND(VLOOKUP(BJ$1,main!$A$3:$H$102,7,FALSE)=main!$G$104,VLOOKUP(BJ$1,main!$A$3:$H$102,5,FALSE)-VLOOKUP($A110,main!$A$3:$H$102,6,FALSE)&gt;=main!$D$103+VLOOKUP(VLOOKUP(BJ$1,main!$A$3:$I$102,7,FALSE),main!$K$26:$Q$29,4,FALSE)),1,0)</f>
        <v>0</v>
      </c>
      <c r="BK110">
        <f>IF(AND(VLOOKUP(BK$1,main!$A$3:$H$102,7,FALSE)=main!$G$104,VLOOKUP(BK$1,main!$A$3:$H$102,5,FALSE)-VLOOKUP($A110,main!$A$3:$H$102,6,FALSE)&gt;=main!$D$103+VLOOKUP(VLOOKUP(BK$1,main!$A$3:$I$102,7,FALSE),main!$K$26:$Q$29,4,FALSE)),1,0)</f>
        <v>0</v>
      </c>
      <c r="BL110">
        <f>IF(AND(VLOOKUP(BL$1,main!$A$3:$H$102,7,FALSE)=main!$G$104,VLOOKUP(BL$1,main!$A$3:$H$102,5,FALSE)-VLOOKUP($A110,main!$A$3:$H$102,6,FALSE)&gt;=main!$D$103+VLOOKUP(VLOOKUP(BL$1,main!$A$3:$I$102,7,FALSE),main!$K$26:$Q$29,4,FALSE)),1,0)</f>
        <v>0</v>
      </c>
      <c r="BM110">
        <f>IF(AND(VLOOKUP(BM$1,main!$A$3:$H$102,7,FALSE)=main!$G$104,VLOOKUP(BM$1,main!$A$3:$H$102,5,FALSE)-VLOOKUP($A110,main!$A$3:$H$102,6,FALSE)&gt;=main!$D$103+VLOOKUP(VLOOKUP(BM$1,main!$A$3:$I$102,7,FALSE),main!$K$26:$Q$29,4,FALSE)),1,0)</f>
        <v>0</v>
      </c>
      <c r="BN110">
        <f>IF(AND(VLOOKUP(BN$1,main!$A$3:$H$102,7,FALSE)=main!$G$104,VLOOKUP(BN$1,main!$A$3:$H$102,5,FALSE)-VLOOKUP($A110,main!$A$3:$H$102,6,FALSE)&gt;=main!$D$103+VLOOKUP(VLOOKUP(BN$1,main!$A$3:$I$102,7,FALSE),main!$K$26:$Q$29,4,FALSE)),1,0)</f>
        <v>0</v>
      </c>
      <c r="BO110">
        <f>IF(AND(VLOOKUP(BO$1,main!$A$3:$H$102,7,FALSE)=main!$G$104,VLOOKUP(BO$1,main!$A$3:$H$102,5,FALSE)-VLOOKUP($A110,main!$A$3:$H$102,6,FALSE)&gt;=main!$D$103+VLOOKUP(VLOOKUP(BO$1,main!$A$3:$I$102,7,FALSE),main!$K$26:$Q$29,4,FALSE)),1,0)</f>
        <v>0</v>
      </c>
      <c r="BP110">
        <f>IF(AND(VLOOKUP(BP$1,main!$A$3:$H$102,7,FALSE)=main!$G$104,VLOOKUP(BP$1,main!$A$3:$H$102,5,FALSE)-VLOOKUP($A110,main!$A$3:$H$102,6,FALSE)&gt;=main!$D$103+VLOOKUP(VLOOKUP(BP$1,main!$A$3:$I$102,7,FALSE),main!$K$26:$Q$29,4,FALSE)),1,0)</f>
        <v>0</v>
      </c>
      <c r="BQ110">
        <f>IF(AND(VLOOKUP(BQ$1,main!$A$3:$H$102,7,FALSE)=main!$G$104,VLOOKUP(BQ$1,main!$A$3:$H$102,5,FALSE)-VLOOKUP($A110,main!$A$3:$H$102,6,FALSE)&gt;=main!$D$103+VLOOKUP(VLOOKUP(BQ$1,main!$A$3:$I$102,7,FALSE),main!$K$26:$Q$29,4,FALSE)),1,0)</f>
        <v>0</v>
      </c>
      <c r="BR110">
        <f>IF(AND(VLOOKUP(BR$1,main!$A$3:$H$102,7,FALSE)=main!$G$104,VLOOKUP(BR$1,main!$A$3:$H$102,5,FALSE)-VLOOKUP($A110,main!$A$3:$H$102,6,FALSE)&gt;=main!$D$103+VLOOKUP(VLOOKUP(BR$1,main!$A$3:$I$102,7,FALSE),main!$K$26:$Q$29,4,FALSE)),1,0)</f>
        <v>0</v>
      </c>
      <c r="BS110">
        <f>IF(AND(VLOOKUP(BS$1,main!$A$3:$H$102,7,FALSE)=main!$G$104,VLOOKUP(BS$1,main!$A$3:$H$102,5,FALSE)-VLOOKUP($A110,main!$A$3:$H$102,6,FALSE)&gt;=main!$D$103+VLOOKUP(VLOOKUP(BS$1,main!$A$3:$I$102,7,FALSE),main!$K$26:$Q$29,4,FALSE)),1,0)</f>
        <v>0</v>
      </c>
      <c r="BT110">
        <f>IF(AND(VLOOKUP(BT$1,main!$A$3:$H$102,7,FALSE)=main!$G$104,VLOOKUP(BT$1,main!$A$3:$H$102,5,FALSE)-VLOOKUP($A110,main!$A$3:$H$102,6,FALSE)&gt;=main!$D$103+VLOOKUP(VLOOKUP(BT$1,main!$A$3:$I$102,7,FALSE),main!$K$26:$Q$29,4,FALSE)),1,0)</f>
        <v>0</v>
      </c>
      <c r="BU110">
        <f>IF(AND(VLOOKUP(BU$1,main!$A$3:$H$102,7,FALSE)=main!$G$104,VLOOKUP(BU$1,main!$A$3:$H$102,5,FALSE)-VLOOKUP($A110,main!$A$3:$H$102,6,FALSE)&gt;=main!$D$103+VLOOKUP(VLOOKUP(BU$1,main!$A$3:$I$102,7,FALSE),main!$K$26:$Q$29,4,FALSE)),1,0)</f>
        <v>0</v>
      </c>
      <c r="BV110">
        <f>IF(AND(VLOOKUP(BV$1,main!$A$3:$H$102,7,FALSE)=main!$G$104,VLOOKUP(BV$1,main!$A$3:$H$102,5,FALSE)-VLOOKUP($A110,main!$A$3:$H$102,6,FALSE)&gt;=main!$D$103+VLOOKUP(VLOOKUP(BV$1,main!$A$3:$I$102,7,FALSE),main!$K$26:$Q$29,4,FALSE)),1,0)</f>
        <v>0</v>
      </c>
      <c r="BW110">
        <f>IF(AND(VLOOKUP(BW$1,main!$A$3:$H$102,7,FALSE)=main!$G$104,VLOOKUP(BW$1,main!$A$3:$H$102,5,FALSE)-VLOOKUP($A110,main!$A$3:$H$102,6,FALSE)&gt;=main!$D$103+VLOOKUP(VLOOKUP(BW$1,main!$A$3:$I$102,7,FALSE),main!$K$26:$Q$29,4,FALSE)),1,0)</f>
        <v>0</v>
      </c>
      <c r="BX110">
        <f>IF(AND(VLOOKUP(BX$1,main!$A$3:$H$102,7,FALSE)=main!$G$104,VLOOKUP(BX$1,main!$A$3:$H$102,5,FALSE)-VLOOKUP($A110,main!$A$3:$H$102,6,FALSE)&gt;=main!$D$103+VLOOKUP(VLOOKUP(BX$1,main!$A$3:$I$102,7,FALSE),main!$K$26:$Q$29,4,FALSE)),1,0)</f>
        <v>0</v>
      </c>
      <c r="BY110">
        <f>IF(AND(VLOOKUP(BY$1,main!$A$3:$H$102,7,FALSE)=main!$G$104,VLOOKUP(BY$1,main!$A$3:$H$102,5,FALSE)-VLOOKUP($A110,main!$A$3:$H$102,6,FALSE)&gt;=main!$D$103+VLOOKUP(VLOOKUP(BY$1,main!$A$3:$I$102,7,FALSE),main!$K$26:$Q$29,4,FALSE)),1,0)</f>
        <v>0</v>
      </c>
      <c r="BZ110">
        <f>IF(AND(VLOOKUP(BZ$1,main!$A$3:$H$102,7,FALSE)=main!$G$104,VLOOKUP(BZ$1,main!$A$3:$H$102,5,FALSE)-VLOOKUP($A110,main!$A$3:$H$102,6,FALSE)&gt;=main!$D$103+VLOOKUP(VLOOKUP(BZ$1,main!$A$3:$I$102,7,FALSE),main!$K$26:$Q$29,4,FALSE)),1,0)</f>
        <v>0</v>
      </c>
      <c r="CA110">
        <f>IF(AND(VLOOKUP(CA$1,main!$A$3:$H$102,7,FALSE)=main!$G$104,VLOOKUP(CA$1,main!$A$3:$H$102,5,FALSE)-VLOOKUP($A110,main!$A$3:$H$102,6,FALSE)&gt;=main!$D$103+VLOOKUP(VLOOKUP(CA$1,main!$A$3:$I$102,7,FALSE),main!$K$26:$Q$29,4,FALSE)),1,0)</f>
        <v>0</v>
      </c>
      <c r="CB110">
        <f>IF(AND(VLOOKUP(CB$1,main!$A$3:$H$102,7,FALSE)=main!$G$104,VLOOKUP(CB$1,main!$A$3:$H$102,5,FALSE)-VLOOKUP($A110,main!$A$3:$H$102,6,FALSE)&gt;=main!$D$103+VLOOKUP(VLOOKUP(CB$1,main!$A$3:$I$102,7,FALSE),main!$K$26:$Q$29,4,FALSE)),1,0)</f>
        <v>0</v>
      </c>
      <c r="CC110">
        <f>IF(AND(VLOOKUP(CC$1,main!$A$3:$H$102,7,FALSE)=main!$G$104,VLOOKUP(CC$1,main!$A$3:$H$102,5,FALSE)-VLOOKUP($A110,main!$A$3:$H$102,6,FALSE)&gt;=main!$D$103+VLOOKUP(VLOOKUP(CC$1,main!$A$3:$I$102,7,FALSE),main!$K$26:$Q$29,4,FALSE)),1,0)</f>
        <v>0</v>
      </c>
      <c r="CD110">
        <f>IF(AND(VLOOKUP(CD$1,main!$A$3:$H$102,7,FALSE)=main!$G$104,VLOOKUP(CD$1,main!$A$3:$H$102,5,FALSE)-VLOOKUP($A110,main!$A$3:$H$102,6,FALSE)&gt;=main!$D$103+VLOOKUP(VLOOKUP(CD$1,main!$A$3:$I$102,7,FALSE),main!$K$26:$Q$29,4,FALSE)),1,0)</f>
        <v>0</v>
      </c>
      <c r="CE110">
        <f>IF(AND(VLOOKUP(CE$1,main!$A$3:$H$102,7,FALSE)=main!$G$104,VLOOKUP(CE$1,main!$A$3:$H$102,5,FALSE)-VLOOKUP($A110,main!$A$3:$H$102,6,FALSE)&gt;=main!$D$103+VLOOKUP(VLOOKUP(CE$1,main!$A$3:$I$102,7,FALSE),main!$K$26:$Q$29,4,FALSE)),1,0)</f>
        <v>0</v>
      </c>
      <c r="CF110">
        <f>IF(AND(VLOOKUP(CF$1,main!$A$3:$H$102,7,FALSE)=main!$G$104,VLOOKUP(CF$1,main!$A$3:$H$102,5,FALSE)-VLOOKUP($A110,main!$A$3:$H$102,6,FALSE)&gt;=main!$D$103+VLOOKUP(VLOOKUP(CF$1,main!$A$3:$I$102,7,FALSE),main!$K$26:$Q$29,4,FALSE)),1,0)</f>
        <v>0</v>
      </c>
      <c r="CG110">
        <f>IF(AND(VLOOKUP(CG$1,main!$A$3:$H$102,7,FALSE)=main!$G$104,VLOOKUP(CG$1,main!$A$3:$H$102,5,FALSE)-VLOOKUP($A110,main!$A$3:$H$102,6,FALSE)&gt;=main!$D$103+VLOOKUP(VLOOKUP(CG$1,main!$A$3:$I$102,7,FALSE),main!$K$26:$Q$29,4,FALSE)),1,0)</f>
        <v>0</v>
      </c>
      <c r="CH110">
        <f>IF(AND(VLOOKUP(CH$1,main!$A$3:$H$102,7,FALSE)=main!$G$104,VLOOKUP(CH$1,main!$A$3:$H$102,5,FALSE)-VLOOKUP($A110,main!$A$3:$H$102,6,FALSE)&gt;=main!$D$103+VLOOKUP(VLOOKUP(CH$1,main!$A$3:$I$102,7,FALSE),main!$K$26:$Q$29,4,FALSE)),1,0)</f>
        <v>0</v>
      </c>
      <c r="CI110">
        <f>IF(AND(VLOOKUP(CI$1,main!$A$3:$H$102,7,FALSE)=main!$G$104,VLOOKUP(CI$1,main!$A$3:$H$102,5,FALSE)-VLOOKUP($A110,main!$A$3:$H$102,6,FALSE)&gt;=main!$D$103+VLOOKUP(VLOOKUP(CI$1,main!$A$3:$I$102,7,FALSE),main!$K$26:$Q$29,4,FALSE)),1,0)</f>
        <v>0</v>
      </c>
      <c r="CJ110">
        <f>IF(AND(VLOOKUP(CJ$1,main!$A$3:$H$102,7,FALSE)=main!$G$104,VLOOKUP(CJ$1,main!$A$3:$H$102,5,FALSE)-VLOOKUP($A110,main!$A$3:$H$102,6,FALSE)&gt;=main!$D$103+VLOOKUP(VLOOKUP(CJ$1,main!$A$3:$I$102,7,FALSE),main!$K$26:$Q$29,4,FALSE)),1,0)</f>
        <v>0</v>
      </c>
      <c r="CK110">
        <f>IF(AND(VLOOKUP(CK$1,main!$A$3:$H$102,7,FALSE)=main!$G$104,VLOOKUP(CK$1,main!$A$3:$H$102,5,FALSE)-VLOOKUP($A110,main!$A$3:$H$102,6,FALSE)&gt;=main!$D$103+VLOOKUP(VLOOKUP(CK$1,main!$A$3:$I$102,7,FALSE),main!$K$26:$Q$29,4,FALSE)),1,0)</f>
        <v>0</v>
      </c>
      <c r="CL110">
        <f>IF(AND(VLOOKUP(CL$1,main!$A$3:$H$102,7,FALSE)=main!$G$104,VLOOKUP(CL$1,main!$A$3:$H$102,5,FALSE)-VLOOKUP($A110,main!$A$3:$H$102,6,FALSE)&gt;=main!$D$103+VLOOKUP(VLOOKUP(CL$1,main!$A$3:$I$102,7,FALSE),main!$K$26:$Q$29,4,FALSE)),1,0)</f>
        <v>0</v>
      </c>
      <c r="CM110">
        <f>IF(AND(VLOOKUP(CM$1,main!$A$3:$H$102,7,FALSE)=main!$G$104,VLOOKUP(CM$1,main!$A$3:$H$102,5,FALSE)-VLOOKUP($A110,main!$A$3:$H$102,6,FALSE)&gt;=main!$D$103+VLOOKUP(VLOOKUP(CM$1,main!$A$3:$I$102,7,FALSE),main!$K$26:$Q$29,4,FALSE)),1,0)</f>
        <v>0</v>
      </c>
      <c r="CN110">
        <f>IF(AND(VLOOKUP(CN$1,main!$A$3:$H$102,7,FALSE)=main!$G$104,VLOOKUP(CN$1,main!$A$3:$H$102,5,FALSE)-VLOOKUP($A110,main!$A$3:$H$102,6,FALSE)&gt;=main!$D$103+VLOOKUP(VLOOKUP(CN$1,main!$A$3:$I$102,7,FALSE),main!$K$26:$Q$29,4,FALSE)),1,0)</f>
        <v>0</v>
      </c>
      <c r="CO110">
        <f>IF(AND(VLOOKUP(CO$1,main!$A$3:$H$102,7,FALSE)=main!$G$104,VLOOKUP(CO$1,main!$A$3:$H$102,5,FALSE)-VLOOKUP($A110,main!$A$3:$H$102,6,FALSE)&gt;=main!$D$103+VLOOKUP(VLOOKUP(CO$1,main!$A$3:$I$102,7,FALSE),main!$K$26:$Q$29,4,FALSE)),1,0)</f>
        <v>0</v>
      </c>
      <c r="CP110">
        <f>IF(AND(VLOOKUP(CP$1,main!$A$3:$H$102,7,FALSE)=main!$G$104,VLOOKUP(CP$1,main!$A$3:$H$102,5,FALSE)-VLOOKUP($A110,main!$A$3:$H$102,6,FALSE)&gt;=main!$D$103+VLOOKUP(VLOOKUP(CP$1,main!$A$3:$I$102,7,FALSE),main!$K$26:$Q$29,4,FALSE)),1,0)</f>
        <v>0</v>
      </c>
      <c r="CQ110">
        <f>IF(AND(VLOOKUP(CQ$1,main!$A$3:$H$102,7,FALSE)=main!$G$104,VLOOKUP(CQ$1,main!$A$3:$H$102,5,FALSE)-VLOOKUP($A110,main!$A$3:$H$102,6,FALSE)&gt;=main!$D$103+VLOOKUP(VLOOKUP(CQ$1,main!$A$3:$I$102,7,FALSE),main!$K$26:$Q$29,4,FALSE)),1,0)</f>
        <v>0</v>
      </c>
      <c r="CR110">
        <f>IF(AND(VLOOKUP(CR$1,main!$A$3:$H$102,7,FALSE)=main!$G$104,VLOOKUP(CR$1,main!$A$3:$H$102,5,FALSE)-VLOOKUP($A110,main!$A$3:$H$102,6,FALSE)&gt;=main!$D$103+VLOOKUP(VLOOKUP(CR$1,main!$A$3:$I$102,7,FALSE),main!$K$26:$Q$29,4,FALSE)),1,0)</f>
        <v>0</v>
      </c>
      <c r="CS110">
        <f>IF(AND(VLOOKUP(CS$1,main!$A$3:$H$102,7,FALSE)=main!$G$104,VLOOKUP(CS$1,main!$A$3:$H$102,5,FALSE)-VLOOKUP($A110,main!$A$3:$H$102,6,FALSE)&gt;=main!$D$103+VLOOKUP(VLOOKUP(CS$1,main!$A$3:$I$102,7,FALSE),main!$K$26:$Q$29,4,FALSE)),1,0)</f>
        <v>0</v>
      </c>
      <c r="CT110">
        <f>IF(AND(VLOOKUP(CT$1,main!$A$3:$H$102,7,FALSE)=main!$G$104,VLOOKUP(CT$1,main!$A$3:$H$102,5,FALSE)-VLOOKUP($A110,main!$A$3:$H$102,6,FALSE)&gt;=main!$D$103+VLOOKUP(VLOOKUP(CT$1,main!$A$3:$I$102,7,FALSE),main!$K$26:$Q$29,4,FALSE)),1,0)</f>
        <v>0</v>
      </c>
      <c r="CU110">
        <f>IF(AND(VLOOKUP(CU$1,main!$A$3:$H$102,7,FALSE)=main!$G$104,VLOOKUP(CU$1,main!$A$3:$H$102,5,FALSE)-VLOOKUP($A110,main!$A$3:$H$102,6,FALSE)&gt;=main!$D$103+VLOOKUP(VLOOKUP(CU$1,main!$A$3:$I$102,7,FALSE),main!$K$26:$Q$29,4,FALSE)),1,0)</f>
        <v>0</v>
      </c>
      <c r="CV110">
        <f>IF(AND(VLOOKUP(CV$1,main!$A$3:$H$102,7,FALSE)=main!$G$104,VLOOKUP(CV$1,main!$A$3:$H$102,5,FALSE)-VLOOKUP($A110,main!$A$3:$H$102,6,FALSE)&gt;=main!$D$103+VLOOKUP(VLOOKUP(CV$1,main!$A$3:$I$102,7,FALSE),main!$K$26:$Q$29,4,FALSE)),1,0)</f>
        <v>0</v>
      </c>
      <c r="CW110">
        <f>IF(AND(VLOOKUP(CW$1,main!$A$3:$H$102,7,FALSE)=main!$G$104,VLOOKUP(CW$1,main!$A$3:$H$102,5,FALSE)-VLOOKUP($A110,main!$A$3:$H$102,6,FALSE)&gt;=main!$D$103+VLOOKUP(VLOOKUP(CW$1,main!$A$3:$I$102,7,FALSE),main!$K$26:$Q$29,4,FALSE)),1,0)</f>
        <v>0</v>
      </c>
      <c r="CX110">
        <f>IF(AND(VLOOKUP(CX$1,main!$A$3:$H$102,7,FALSE)=main!$G$104,VLOOKUP(CX$1,main!$A$3:$H$102,5,FALSE)-VLOOKUP($A110,main!$A$3:$H$102,6,FALSE)&gt;=main!$D$103+VLOOKUP(VLOOKUP(CX$1,main!$A$3:$I$102,7,FALSE),main!$K$26:$Q$29,4,FALSE)),1,0)</f>
        <v>0</v>
      </c>
    </row>
    <row r="111" spans="1:102" x14ac:dyDescent="0.25">
      <c r="A111" s="1">
        <v>8</v>
      </c>
      <c r="B111">
        <v>0</v>
      </c>
      <c r="C111">
        <f>IF(AND(VLOOKUP(C$1,main!$A$3:$H$102,7,FALSE)=main!$G$104,VLOOKUP(C$1,main!$A$3:$H$102,5,FALSE)-VLOOKUP($A111,main!$A$3:$H$102,6,FALSE)&gt;=main!$D$103+VLOOKUP(VLOOKUP(C$1,main!$A$3:$I$102,7,FALSE),main!$K$26:$Q$29,4,FALSE)),1,0)</f>
        <v>0</v>
      </c>
      <c r="D111">
        <f>IF(AND(VLOOKUP(D$1,main!$A$3:$H$102,7,FALSE)=main!$G$104,VLOOKUP(D$1,main!$A$3:$H$102,5,FALSE)-VLOOKUP($A111,main!$A$3:$H$102,6,FALSE)&gt;=main!$D$103+VLOOKUP(VLOOKUP(D$1,main!$A$3:$I$102,7,FALSE),main!$K$26:$Q$29,4,FALSE)),1,0)</f>
        <v>0</v>
      </c>
      <c r="E111">
        <f>IF(AND(VLOOKUP(E$1,main!$A$3:$H$102,7,FALSE)=main!$G$104,VLOOKUP(E$1,main!$A$3:$H$102,5,FALSE)-VLOOKUP($A111,main!$A$3:$H$102,6,FALSE)&gt;=main!$D$103+VLOOKUP(VLOOKUP(E$1,main!$A$3:$I$102,7,FALSE),main!$K$26:$Q$29,4,FALSE)),1,0)</f>
        <v>0</v>
      </c>
      <c r="F111">
        <f>IF(AND(VLOOKUP(F$1,main!$A$3:$H$102,7,FALSE)=main!$G$104,VLOOKUP(F$1,main!$A$3:$H$102,5,FALSE)-VLOOKUP($A111,main!$A$3:$H$102,6,FALSE)&gt;=main!$D$103+VLOOKUP(VLOOKUP(F$1,main!$A$3:$I$102,7,FALSE),main!$K$26:$Q$29,4,FALSE)),1,0)</f>
        <v>0</v>
      </c>
      <c r="G111">
        <f>IF(AND(VLOOKUP(G$1,main!$A$3:$H$102,7,FALSE)=main!$G$104,VLOOKUP(G$1,main!$A$3:$H$102,5,FALSE)-VLOOKUP($A111,main!$A$3:$H$102,6,FALSE)&gt;=main!$D$103+VLOOKUP(VLOOKUP(G$1,main!$A$3:$I$102,7,FALSE),main!$K$26:$Q$29,4,FALSE)),1,0)</f>
        <v>0</v>
      </c>
      <c r="H111">
        <f>IF(AND(VLOOKUP(H$1,main!$A$3:$H$102,7,FALSE)=main!$G$104,VLOOKUP(H$1,main!$A$3:$H$102,5,FALSE)-VLOOKUP($A111,main!$A$3:$H$102,6,FALSE)&gt;=main!$D$103+VLOOKUP(VLOOKUP(H$1,main!$A$3:$I$102,7,FALSE),main!$K$26:$Q$29,4,FALSE)),1,0)</f>
        <v>0</v>
      </c>
      <c r="I111">
        <f>IF(AND(VLOOKUP(I$1,main!$A$3:$H$102,7,FALSE)=main!$G$104,VLOOKUP(I$1,main!$A$3:$H$102,5,FALSE)-VLOOKUP($A111,main!$A$3:$H$102,6,FALSE)&gt;=main!$D$103+VLOOKUP(VLOOKUP(I$1,main!$A$3:$I$102,7,FALSE),main!$K$26:$Q$29,4,FALSE)),1,0)</f>
        <v>0</v>
      </c>
      <c r="J111">
        <f>IF(AND(VLOOKUP(J$1,main!$A$3:$H$102,7,FALSE)=main!$G$104,VLOOKUP(J$1,main!$A$3:$H$102,5,FALSE)-VLOOKUP($A111,main!$A$3:$H$102,6,FALSE)&gt;=main!$D$103+VLOOKUP(VLOOKUP(J$1,main!$A$3:$I$102,7,FALSE),main!$K$26:$Q$29,4,FALSE)),1,0)</f>
        <v>0</v>
      </c>
      <c r="K111">
        <f>IF(AND(VLOOKUP(K$1,main!$A$3:$H$102,7,FALSE)=main!$G$104,VLOOKUP(K$1,main!$A$3:$H$102,5,FALSE)-VLOOKUP($A111,main!$A$3:$H$102,6,FALSE)&gt;=main!$D$103+VLOOKUP(VLOOKUP(K$1,main!$A$3:$I$102,7,FALSE),main!$K$26:$Q$29,4,FALSE)),1,0)</f>
        <v>0</v>
      </c>
      <c r="L111">
        <f>IF(AND(VLOOKUP(L$1,main!$A$3:$H$102,7,FALSE)=main!$G$104,VLOOKUP(L$1,main!$A$3:$H$102,5,FALSE)-VLOOKUP($A111,main!$A$3:$H$102,6,FALSE)&gt;=main!$D$103+VLOOKUP(VLOOKUP(L$1,main!$A$3:$I$102,7,FALSE),main!$K$26:$Q$29,4,FALSE)),1,0)</f>
        <v>0</v>
      </c>
      <c r="M111">
        <f>IF(AND(VLOOKUP(M$1,main!$A$3:$H$102,7,FALSE)=main!$G$104,VLOOKUP(M$1,main!$A$3:$H$102,5,FALSE)-VLOOKUP($A111,main!$A$3:$H$102,6,FALSE)&gt;=main!$D$103+VLOOKUP(VLOOKUP(M$1,main!$A$3:$I$102,7,FALSE),main!$K$26:$Q$29,4,FALSE)),1,0)</f>
        <v>0</v>
      </c>
      <c r="N111">
        <f>IF(AND(VLOOKUP(N$1,main!$A$3:$H$102,7,FALSE)=main!$G$104,VLOOKUP(N$1,main!$A$3:$H$102,5,FALSE)-VLOOKUP($A111,main!$A$3:$H$102,6,FALSE)&gt;=main!$D$103+VLOOKUP(VLOOKUP(N$1,main!$A$3:$I$102,7,FALSE),main!$K$26:$Q$29,4,FALSE)),1,0)</f>
        <v>0</v>
      </c>
      <c r="O111">
        <f>IF(AND(VLOOKUP(O$1,main!$A$3:$H$102,7,FALSE)=main!$G$104,VLOOKUP(O$1,main!$A$3:$H$102,5,FALSE)-VLOOKUP($A111,main!$A$3:$H$102,6,FALSE)&gt;=main!$D$103+VLOOKUP(VLOOKUP(O$1,main!$A$3:$I$102,7,FALSE),main!$K$26:$Q$29,4,FALSE)),1,0)</f>
        <v>0</v>
      </c>
      <c r="P111">
        <f>IF(AND(VLOOKUP(P$1,main!$A$3:$H$102,7,FALSE)=main!$G$104,VLOOKUP(P$1,main!$A$3:$H$102,5,FALSE)-VLOOKUP($A111,main!$A$3:$H$102,6,FALSE)&gt;=main!$D$103+VLOOKUP(VLOOKUP(P$1,main!$A$3:$I$102,7,FALSE),main!$K$26:$Q$29,4,FALSE)),1,0)</f>
        <v>0</v>
      </c>
      <c r="Q111">
        <f>IF(AND(VLOOKUP(Q$1,main!$A$3:$H$102,7,FALSE)=main!$G$104,VLOOKUP(Q$1,main!$A$3:$H$102,5,FALSE)-VLOOKUP($A111,main!$A$3:$H$102,6,FALSE)&gt;=main!$D$103+VLOOKUP(VLOOKUP(Q$1,main!$A$3:$I$102,7,FALSE),main!$K$26:$Q$29,4,FALSE)),1,0)</f>
        <v>0</v>
      </c>
      <c r="R111">
        <f>IF(AND(VLOOKUP(R$1,main!$A$3:$H$102,7,FALSE)=main!$G$104,VLOOKUP(R$1,main!$A$3:$H$102,5,FALSE)-VLOOKUP($A111,main!$A$3:$H$102,6,FALSE)&gt;=main!$D$103+VLOOKUP(VLOOKUP(R$1,main!$A$3:$I$102,7,FALSE),main!$K$26:$Q$29,4,FALSE)),1,0)</f>
        <v>0</v>
      </c>
      <c r="S111">
        <f>IF(AND(VLOOKUP(S$1,main!$A$3:$H$102,7,FALSE)=main!$G$104,VLOOKUP(S$1,main!$A$3:$H$102,5,FALSE)-VLOOKUP($A111,main!$A$3:$H$102,6,FALSE)&gt;=main!$D$103+VLOOKUP(VLOOKUP(S$1,main!$A$3:$I$102,7,FALSE),main!$K$26:$Q$29,4,FALSE)),1,0)</f>
        <v>0</v>
      </c>
      <c r="T111">
        <f>IF(AND(VLOOKUP(T$1,main!$A$3:$H$102,7,FALSE)=main!$G$104,VLOOKUP(T$1,main!$A$3:$H$102,5,FALSE)-VLOOKUP($A111,main!$A$3:$H$102,6,FALSE)&gt;=main!$D$103+VLOOKUP(VLOOKUP(T$1,main!$A$3:$I$102,7,FALSE),main!$K$26:$Q$29,4,FALSE)),1,0)</f>
        <v>0</v>
      </c>
      <c r="U111">
        <f>IF(AND(VLOOKUP(U$1,main!$A$3:$H$102,7,FALSE)=main!$G$104,VLOOKUP(U$1,main!$A$3:$H$102,5,FALSE)-VLOOKUP($A111,main!$A$3:$H$102,6,FALSE)&gt;=main!$D$103+VLOOKUP(VLOOKUP(U$1,main!$A$3:$I$102,7,FALSE),main!$K$26:$Q$29,4,FALSE)),1,0)</f>
        <v>0</v>
      </c>
      <c r="V111">
        <f>IF(AND(VLOOKUP(V$1,main!$A$3:$H$102,7,FALSE)=main!$G$104,VLOOKUP(V$1,main!$A$3:$H$102,5,FALSE)-VLOOKUP($A111,main!$A$3:$H$102,6,FALSE)&gt;=main!$D$103+VLOOKUP(VLOOKUP(V$1,main!$A$3:$I$102,7,FALSE),main!$K$26:$Q$29,4,FALSE)),1,0)</f>
        <v>0</v>
      </c>
      <c r="W111">
        <f>IF(AND(VLOOKUP(W$1,main!$A$3:$H$102,7,FALSE)=main!$G$104,VLOOKUP(W$1,main!$A$3:$H$102,5,FALSE)-VLOOKUP($A111,main!$A$3:$H$102,6,FALSE)&gt;=main!$D$103+VLOOKUP(VLOOKUP(W$1,main!$A$3:$I$102,7,FALSE),main!$K$26:$Q$29,4,FALSE)),1,0)</f>
        <v>0</v>
      </c>
      <c r="X111">
        <f>IF(AND(VLOOKUP(X$1,main!$A$3:$H$102,7,FALSE)=main!$G$104,VLOOKUP(X$1,main!$A$3:$H$102,5,FALSE)-VLOOKUP($A111,main!$A$3:$H$102,6,FALSE)&gt;=main!$D$103+VLOOKUP(VLOOKUP(X$1,main!$A$3:$I$102,7,FALSE),main!$K$26:$Q$29,4,FALSE)),1,0)</f>
        <v>0</v>
      </c>
      <c r="Y111">
        <f>IF(AND(VLOOKUP(Y$1,main!$A$3:$H$102,7,FALSE)=main!$G$104,VLOOKUP(Y$1,main!$A$3:$H$102,5,FALSE)-VLOOKUP($A111,main!$A$3:$H$102,6,FALSE)&gt;=main!$D$103+VLOOKUP(VLOOKUP(Y$1,main!$A$3:$I$102,7,FALSE),main!$K$26:$Q$29,4,FALSE)),1,0)</f>
        <v>0</v>
      </c>
      <c r="Z111">
        <f>IF(AND(VLOOKUP(Z$1,main!$A$3:$H$102,7,FALSE)=main!$G$104,VLOOKUP(Z$1,main!$A$3:$H$102,5,FALSE)-VLOOKUP($A111,main!$A$3:$H$102,6,FALSE)&gt;=main!$D$103+VLOOKUP(VLOOKUP(Z$1,main!$A$3:$I$102,7,FALSE),main!$K$26:$Q$29,4,FALSE)),1,0)</f>
        <v>0</v>
      </c>
      <c r="AA111">
        <f>IF(AND(VLOOKUP(AA$1,main!$A$3:$H$102,7,FALSE)=main!$G$104,VLOOKUP(AA$1,main!$A$3:$H$102,5,FALSE)-VLOOKUP($A111,main!$A$3:$H$102,6,FALSE)&gt;=main!$D$103+VLOOKUP(VLOOKUP(AA$1,main!$A$3:$I$102,7,FALSE),main!$K$26:$Q$29,4,FALSE)),1,0)</f>
        <v>0</v>
      </c>
      <c r="AB111">
        <f>IF(AND(VLOOKUP(AB$1,main!$A$3:$H$102,7,FALSE)=main!$G$104,VLOOKUP(AB$1,main!$A$3:$H$102,5,FALSE)-VLOOKUP($A111,main!$A$3:$H$102,6,FALSE)&gt;=main!$D$103+VLOOKUP(VLOOKUP(AB$1,main!$A$3:$I$102,7,FALSE),main!$K$26:$Q$29,4,FALSE)),1,0)</f>
        <v>0</v>
      </c>
      <c r="AC111">
        <f>IF(AND(VLOOKUP(AC$1,main!$A$3:$H$102,7,FALSE)=main!$G$104,VLOOKUP(AC$1,main!$A$3:$H$102,5,FALSE)-VLOOKUP($A111,main!$A$3:$H$102,6,FALSE)&gt;=main!$D$103+VLOOKUP(VLOOKUP(AC$1,main!$A$3:$I$102,7,FALSE),main!$K$26:$Q$29,4,FALSE)),1,0)</f>
        <v>0</v>
      </c>
      <c r="AD111">
        <f>IF(AND(VLOOKUP(AD$1,main!$A$3:$H$102,7,FALSE)=main!$G$104,VLOOKUP(AD$1,main!$A$3:$H$102,5,FALSE)-VLOOKUP($A111,main!$A$3:$H$102,6,FALSE)&gt;=main!$D$103+VLOOKUP(VLOOKUP(AD$1,main!$A$3:$I$102,7,FALSE),main!$K$26:$Q$29,4,FALSE)),1,0)</f>
        <v>0</v>
      </c>
      <c r="AE111">
        <f>IF(AND(VLOOKUP(AE$1,main!$A$3:$H$102,7,FALSE)=main!$G$104,VLOOKUP(AE$1,main!$A$3:$H$102,5,FALSE)-VLOOKUP($A111,main!$A$3:$H$102,6,FALSE)&gt;=main!$D$103+VLOOKUP(VLOOKUP(AE$1,main!$A$3:$I$102,7,FALSE),main!$K$26:$Q$29,4,FALSE)),1,0)</f>
        <v>0</v>
      </c>
      <c r="AF111">
        <f>IF(AND(VLOOKUP(AF$1,main!$A$3:$H$102,7,FALSE)=main!$G$104,VLOOKUP(AF$1,main!$A$3:$H$102,5,FALSE)-VLOOKUP($A111,main!$A$3:$H$102,6,FALSE)&gt;=main!$D$103+VLOOKUP(VLOOKUP(AF$1,main!$A$3:$I$102,7,FALSE),main!$K$26:$Q$29,4,FALSE)),1,0)</f>
        <v>0</v>
      </c>
      <c r="AG111">
        <f>IF(AND(VLOOKUP(AG$1,main!$A$3:$H$102,7,FALSE)=main!$G$104,VLOOKUP(AG$1,main!$A$3:$H$102,5,FALSE)-VLOOKUP($A111,main!$A$3:$H$102,6,FALSE)&gt;=main!$D$103+VLOOKUP(VLOOKUP(AG$1,main!$A$3:$I$102,7,FALSE),main!$K$26:$Q$29,4,FALSE)),1,0)</f>
        <v>0</v>
      </c>
      <c r="AH111">
        <f>IF(AND(VLOOKUP(AH$1,main!$A$3:$H$102,7,FALSE)=main!$G$104,VLOOKUP(AH$1,main!$A$3:$H$102,5,FALSE)-VLOOKUP($A111,main!$A$3:$H$102,6,FALSE)&gt;=main!$D$103+VLOOKUP(VLOOKUP(AH$1,main!$A$3:$I$102,7,FALSE),main!$K$26:$Q$29,4,FALSE)),1,0)</f>
        <v>0</v>
      </c>
      <c r="AI111">
        <f>IF(AND(VLOOKUP(AI$1,main!$A$3:$H$102,7,FALSE)=main!$G$104,VLOOKUP(AI$1,main!$A$3:$H$102,5,FALSE)-VLOOKUP($A111,main!$A$3:$H$102,6,FALSE)&gt;=main!$D$103+VLOOKUP(VLOOKUP(AI$1,main!$A$3:$I$102,7,FALSE),main!$K$26:$Q$29,4,FALSE)),1,0)</f>
        <v>0</v>
      </c>
      <c r="AJ111">
        <f>IF(AND(VLOOKUP(AJ$1,main!$A$3:$H$102,7,FALSE)=main!$G$104,VLOOKUP(AJ$1,main!$A$3:$H$102,5,FALSE)-VLOOKUP($A111,main!$A$3:$H$102,6,FALSE)&gt;=main!$D$103+VLOOKUP(VLOOKUP(AJ$1,main!$A$3:$I$102,7,FALSE),main!$K$26:$Q$29,4,FALSE)),1,0)</f>
        <v>0</v>
      </c>
      <c r="AK111">
        <f>IF(AND(VLOOKUP(AK$1,main!$A$3:$H$102,7,FALSE)=main!$G$104,VLOOKUP(AK$1,main!$A$3:$H$102,5,FALSE)-VLOOKUP($A111,main!$A$3:$H$102,6,FALSE)&gt;=main!$D$103+VLOOKUP(VLOOKUP(AK$1,main!$A$3:$I$102,7,FALSE),main!$K$26:$Q$29,4,FALSE)),1,0)</f>
        <v>0</v>
      </c>
      <c r="AL111">
        <f>IF(AND(VLOOKUP(AL$1,main!$A$3:$H$102,7,FALSE)=main!$G$104,VLOOKUP(AL$1,main!$A$3:$H$102,5,FALSE)-VLOOKUP($A111,main!$A$3:$H$102,6,FALSE)&gt;=main!$D$103+VLOOKUP(VLOOKUP(AL$1,main!$A$3:$I$102,7,FALSE),main!$K$26:$Q$29,4,FALSE)),1,0)</f>
        <v>0</v>
      </c>
      <c r="AM111">
        <f>IF(AND(VLOOKUP(AM$1,main!$A$3:$H$102,7,FALSE)=main!$G$104,VLOOKUP(AM$1,main!$A$3:$H$102,5,FALSE)-VLOOKUP($A111,main!$A$3:$H$102,6,FALSE)&gt;=main!$D$103+VLOOKUP(VLOOKUP(AM$1,main!$A$3:$I$102,7,FALSE),main!$K$26:$Q$29,4,FALSE)),1,0)</f>
        <v>0</v>
      </c>
      <c r="AN111">
        <f>IF(AND(VLOOKUP(AN$1,main!$A$3:$H$102,7,FALSE)=main!$G$104,VLOOKUP(AN$1,main!$A$3:$H$102,5,FALSE)-VLOOKUP($A111,main!$A$3:$H$102,6,FALSE)&gt;=main!$D$103+VLOOKUP(VLOOKUP(AN$1,main!$A$3:$I$102,7,FALSE),main!$K$26:$Q$29,4,FALSE)),1,0)</f>
        <v>0</v>
      </c>
      <c r="AO111">
        <f>IF(AND(VLOOKUP(AO$1,main!$A$3:$H$102,7,FALSE)=main!$G$104,VLOOKUP(AO$1,main!$A$3:$H$102,5,FALSE)-VLOOKUP($A111,main!$A$3:$H$102,6,FALSE)&gt;=main!$D$103+VLOOKUP(VLOOKUP(AO$1,main!$A$3:$I$102,7,FALSE),main!$K$26:$Q$29,4,FALSE)),1,0)</f>
        <v>0</v>
      </c>
      <c r="AP111">
        <f>IF(AND(VLOOKUP(AP$1,main!$A$3:$H$102,7,FALSE)=main!$G$104,VLOOKUP(AP$1,main!$A$3:$H$102,5,FALSE)-VLOOKUP($A111,main!$A$3:$H$102,6,FALSE)&gt;=main!$D$103+VLOOKUP(VLOOKUP(AP$1,main!$A$3:$I$102,7,FALSE),main!$K$26:$Q$29,4,FALSE)),1,0)</f>
        <v>0</v>
      </c>
      <c r="AQ111">
        <f>IF(AND(VLOOKUP(AQ$1,main!$A$3:$H$102,7,FALSE)=main!$G$104,VLOOKUP(AQ$1,main!$A$3:$H$102,5,FALSE)-VLOOKUP($A111,main!$A$3:$H$102,6,FALSE)&gt;=main!$D$103+VLOOKUP(VLOOKUP(AQ$1,main!$A$3:$I$102,7,FALSE),main!$K$26:$Q$29,4,FALSE)),1,0)</f>
        <v>0</v>
      </c>
      <c r="AR111">
        <f>IF(AND(VLOOKUP(AR$1,main!$A$3:$H$102,7,FALSE)=main!$G$104,VLOOKUP(AR$1,main!$A$3:$H$102,5,FALSE)-VLOOKUP($A111,main!$A$3:$H$102,6,FALSE)&gt;=main!$D$103+VLOOKUP(VLOOKUP(AR$1,main!$A$3:$I$102,7,FALSE),main!$K$26:$Q$29,4,FALSE)),1,0)</f>
        <v>0</v>
      </c>
      <c r="AS111">
        <f>IF(AND(VLOOKUP(AS$1,main!$A$3:$H$102,7,FALSE)=main!$G$104,VLOOKUP(AS$1,main!$A$3:$H$102,5,FALSE)-VLOOKUP($A111,main!$A$3:$H$102,6,FALSE)&gt;=main!$D$103+VLOOKUP(VLOOKUP(AS$1,main!$A$3:$I$102,7,FALSE),main!$K$26:$Q$29,4,FALSE)),1,0)</f>
        <v>0</v>
      </c>
      <c r="AT111">
        <f>IF(AND(VLOOKUP(AT$1,main!$A$3:$H$102,7,FALSE)=main!$G$104,VLOOKUP(AT$1,main!$A$3:$H$102,5,FALSE)-VLOOKUP($A111,main!$A$3:$H$102,6,FALSE)&gt;=main!$D$103+VLOOKUP(VLOOKUP(AT$1,main!$A$3:$I$102,7,FALSE),main!$K$26:$Q$29,4,FALSE)),1,0)</f>
        <v>0</v>
      </c>
      <c r="AU111">
        <f>IF(AND(VLOOKUP(AU$1,main!$A$3:$H$102,7,FALSE)=main!$G$104,VLOOKUP(AU$1,main!$A$3:$H$102,5,FALSE)-VLOOKUP($A111,main!$A$3:$H$102,6,FALSE)&gt;=main!$D$103+VLOOKUP(VLOOKUP(AU$1,main!$A$3:$I$102,7,FALSE),main!$K$26:$Q$29,4,FALSE)),1,0)</f>
        <v>0</v>
      </c>
      <c r="AV111">
        <f>IF(AND(VLOOKUP(AV$1,main!$A$3:$H$102,7,FALSE)=main!$G$104,VLOOKUP(AV$1,main!$A$3:$H$102,5,FALSE)-VLOOKUP($A111,main!$A$3:$H$102,6,FALSE)&gt;=main!$D$103+VLOOKUP(VLOOKUP(AV$1,main!$A$3:$I$102,7,FALSE),main!$K$26:$Q$29,4,FALSE)),1,0)</f>
        <v>0</v>
      </c>
      <c r="AW111">
        <f>IF(AND(VLOOKUP(AW$1,main!$A$3:$H$102,7,FALSE)=main!$G$104,VLOOKUP(AW$1,main!$A$3:$H$102,5,FALSE)-VLOOKUP($A111,main!$A$3:$H$102,6,FALSE)&gt;=main!$D$103+VLOOKUP(VLOOKUP(AW$1,main!$A$3:$I$102,7,FALSE),main!$K$26:$Q$29,4,FALSE)),1,0)</f>
        <v>0</v>
      </c>
      <c r="AX111">
        <f>IF(AND(VLOOKUP(AX$1,main!$A$3:$H$102,7,FALSE)=main!$G$104,VLOOKUP(AX$1,main!$A$3:$H$102,5,FALSE)-VLOOKUP($A111,main!$A$3:$H$102,6,FALSE)&gt;=main!$D$103+VLOOKUP(VLOOKUP(AX$1,main!$A$3:$I$102,7,FALSE),main!$K$26:$Q$29,4,FALSE)),1,0)</f>
        <v>0</v>
      </c>
      <c r="AY111">
        <f>IF(AND(VLOOKUP(AY$1,main!$A$3:$H$102,7,FALSE)=main!$G$104,VLOOKUP(AY$1,main!$A$3:$H$102,5,FALSE)-VLOOKUP($A111,main!$A$3:$H$102,6,FALSE)&gt;=main!$D$103+VLOOKUP(VLOOKUP(AY$1,main!$A$3:$I$102,7,FALSE),main!$K$26:$Q$29,4,FALSE)),1,0)</f>
        <v>0</v>
      </c>
      <c r="AZ111">
        <f>IF(AND(VLOOKUP(AZ$1,main!$A$3:$H$102,7,FALSE)=main!$G$104,VLOOKUP(AZ$1,main!$A$3:$H$102,5,FALSE)-VLOOKUP($A111,main!$A$3:$H$102,6,FALSE)&gt;=main!$D$103+VLOOKUP(VLOOKUP(AZ$1,main!$A$3:$I$102,7,FALSE),main!$K$26:$Q$29,4,FALSE)),1,0)</f>
        <v>0</v>
      </c>
      <c r="BA111">
        <f>IF(AND(VLOOKUP(BA$1,main!$A$3:$H$102,7,FALSE)=main!$G$104,VLOOKUP(BA$1,main!$A$3:$H$102,5,FALSE)-VLOOKUP($A111,main!$A$3:$H$102,6,FALSE)&gt;=main!$D$103+VLOOKUP(VLOOKUP(BA$1,main!$A$3:$I$102,7,FALSE),main!$K$26:$Q$29,4,FALSE)),1,0)</f>
        <v>0</v>
      </c>
      <c r="BB111">
        <f>IF(AND(VLOOKUP(BB$1,main!$A$3:$H$102,7,FALSE)=main!$G$104,VLOOKUP(BB$1,main!$A$3:$H$102,5,FALSE)-VLOOKUP($A111,main!$A$3:$H$102,6,FALSE)&gt;=main!$D$103+VLOOKUP(VLOOKUP(BB$1,main!$A$3:$I$102,7,FALSE),main!$K$26:$Q$29,4,FALSE)),1,0)</f>
        <v>0</v>
      </c>
      <c r="BC111">
        <f>IF(AND(VLOOKUP(BC$1,main!$A$3:$H$102,7,FALSE)=main!$G$104,VLOOKUP(BC$1,main!$A$3:$H$102,5,FALSE)-VLOOKUP($A111,main!$A$3:$H$102,6,FALSE)&gt;=main!$D$103+VLOOKUP(VLOOKUP(BC$1,main!$A$3:$I$102,7,FALSE),main!$K$26:$Q$29,4,FALSE)),1,0)</f>
        <v>0</v>
      </c>
      <c r="BD111">
        <f>IF(AND(VLOOKUP(BD$1,main!$A$3:$H$102,7,FALSE)=main!$G$104,VLOOKUP(BD$1,main!$A$3:$H$102,5,FALSE)-VLOOKUP($A111,main!$A$3:$H$102,6,FALSE)&gt;=main!$D$103+VLOOKUP(VLOOKUP(BD$1,main!$A$3:$I$102,7,FALSE),main!$K$26:$Q$29,4,FALSE)),1,0)</f>
        <v>0</v>
      </c>
      <c r="BE111">
        <f>IF(AND(VLOOKUP(BE$1,main!$A$3:$H$102,7,FALSE)=main!$G$104,VLOOKUP(BE$1,main!$A$3:$H$102,5,FALSE)-VLOOKUP($A111,main!$A$3:$H$102,6,FALSE)&gt;=main!$D$103+VLOOKUP(VLOOKUP(BE$1,main!$A$3:$I$102,7,FALSE),main!$K$26:$Q$29,4,FALSE)),1,0)</f>
        <v>0</v>
      </c>
      <c r="BF111">
        <f>IF(AND(VLOOKUP(BF$1,main!$A$3:$H$102,7,FALSE)=main!$G$104,VLOOKUP(BF$1,main!$A$3:$H$102,5,FALSE)-VLOOKUP($A111,main!$A$3:$H$102,6,FALSE)&gt;=main!$D$103+VLOOKUP(VLOOKUP(BF$1,main!$A$3:$I$102,7,FALSE),main!$K$26:$Q$29,4,FALSE)),1,0)</f>
        <v>0</v>
      </c>
      <c r="BG111">
        <f>IF(AND(VLOOKUP(BG$1,main!$A$3:$H$102,7,FALSE)=main!$G$104,VLOOKUP(BG$1,main!$A$3:$H$102,5,FALSE)-VLOOKUP($A111,main!$A$3:$H$102,6,FALSE)&gt;=main!$D$103+VLOOKUP(VLOOKUP(BG$1,main!$A$3:$I$102,7,FALSE),main!$K$26:$Q$29,4,FALSE)),1,0)</f>
        <v>0</v>
      </c>
      <c r="BH111">
        <f>IF(AND(VLOOKUP(BH$1,main!$A$3:$H$102,7,FALSE)=main!$G$104,VLOOKUP(BH$1,main!$A$3:$H$102,5,FALSE)-VLOOKUP($A111,main!$A$3:$H$102,6,FALSE)&gt;=main!$D$103+VLOOKUP(VLOOKUP(BH$1,main!$A$3:$I$102,7,FALSE),main!$K$26:$Q$29,4,FALSE)),1,0)</f>
        <v>0</v>
      </c>
      <c r="BI111">
        <f>IF(AND(VLOOKUP(BI$1,main!$A$3:$H$102,7,FALSE)=main!$G$104,VLOOKUP(BI$1,main!$A$3:$H$102,5,FALSE)-VLOOKUP($A111,main!$A$3:$H$102,6,FALSE)&gt;=main!$D$103+VLOOKUP(VLOOKUP(BI$1,main!$A$3:$I$102,7,FALSE),main!$K$26:$Q$29,4,FALSE)),1,0)</f>
        <v>0</v>
      </c>
      <c r="BJ111">
        <f>IF(AND(VLOOKUP(BJ$1,main!$A$3:$H$102,7,FALSE)=main!$G$104,VLOOKUP(BJ$1,main!$A$3:$H$102,5,FALSE)-VLOOKUP($A111,main!$A$3:$H$102,6,FALSE)&gt;=main!$D$103+VLOOKUP(VLOOKUP(BJ$1,main!$A$3:$I$102,7,FALSE),main!$K$26:$Q$29,4,FALSE)),1,0)</f>
        <v>0</v>
      </c>
      <c r="BK111">
        <f>IF(AND(VLOOKUP(BK$1,main!$A$3:$H$102,7,FALSE)=main!$G$104,VLOOKUP(BK$1,main!$A$3:$H$102,5,FALSE)-VLOOKUP($A111,main!$A$3:$H$102,6,FALSE)&gt;=main!$D$103+VLOOKUP(VLOOKUP(BK$1,main!$A$3:$I$102,7,FALSE),main!$K$26:$Q$29,4,FALSE)),1,0)</f>
        <v>0</v>
      </c>
      <c r="BL111">
        <f>IF(AND(VLOOKUP(BL$1,main!$A$3:$H$102,7,FALSE)=main!$G$104,VLOOKUP(BL$1,main!$A$3:$H$102,5,FALSE)-VLOOKUP($A111,main!$A$3:$H$102,6,FALSE)&gt;=main!$D$103+VLOOKUP(VLOOKUP(BL$1,main!$A$3:$I$102,7,FALSE),main!$K$26:$Q$29,4,FALSE)),1,0)</f>
        <v>0</v>
      </c>
      <c r="BM111">
        <f>IF(AND(VLOOKUP(BM$1,main!$A$3:$H$102,7,FALSE)=main!$G$104,VLOOKUP(BM$1,main!$A$3:$H$102,5,FALSE)-VLOOKUP($A111,main!$A$3:$H$102,6,FALSE)&gt;=main!$D$103+VLOOKUP(VLOOKUP(BM$1,main!$A$3:$I$102,7,FALSE),main!$K$26:$Q$29,4,FALSE)),1,0)</f>
        <v>0</v>
      </c>
      <c r="BN111">
        <f>IF(AND(VLOOKUP(BN$1,main!$A$3:$H$102,7,FALSE)=main!$G$104,VLOOKUP(BN$1,main!$A$3:$H$102,5,FALSE)-VLOOKUP($A111,main!$A$3:$H$102,6,FALSE)&gt;=main!$D$103+VLOOKUP(VLOOKUP(BN$1,main!$A$3:$I$102,7,FALSE),main!$K$26:$Q$29,4,FALSE)),1,0)</f>
        <v>0</v>
      </c>
      <c r="BO111">
        <f>IF(AND(VLOOKUP(BO$1,main!$A$3:$H$102,7,FALSE)=main!$G$104,VLOOKUP(BO$1,main!$A$3:$H$102,5,FALSE)-VLOOKUP($A111,main!$A$3:$H$102,6,FALSE)&gt;=main!$D$103+VLOOKUP(VLOOKUP(BO$1,main!$A$3:$I$102,7,FALSE),main!$K$26:$Q$29,4,FALSE)),1,0)</f>
        <v>0</v>
      </c>
      <c r="BP111">
        <f>IF(AND(VLOOKUP(BP$1,main!$A$3:$H$102,7,FALSE)=main!$G$104,VLOOKUP(BP$1,main!$A$3:$H$102,5,FALSE)-VLOOKUP($A111,main!$A$3:$H$102,6,FALSE)&gt;=main!$D$103+VLOOKUP(VLOOKUP(BP$1,main!$A$3:$I$102,7,FALSE),main!$K$26:$Q$29,4,FALSE)),1,0)</f>
        <v>0</v>
      </c>
      <c r="BQ111">
        <f>IF(AND(VLOOKUP(BQ$1,main!$A$3:$H$102,7,FALSE)=main!$G$104,VLOOKUP(BQ$1,main!$A$3:$H$102,5,FALSE)-VLOOKUP($A111,main!$A$3:$H$102,6,FALSE)&gt;=main!$D$103+VLOOKUP(VLOOKUP(BQ$1,main!$A$3:$I$102,7,FALSE),main!$K$26:$Q$29,4,FALSE)),1,0)</f>
        <v>0</v>
      </c>
      <c r="BR111">
        <f>IF(AND(VLOOKUP(BR$1,main!$A$3:$H$102,7,FALSE)=main!$G$104,VLOOKUP(BR$1,main!$A$3:$H$102,5,FALSE)-VLOOKUP($A111,main!$A$3:$H$102,6,FALSE)&gt;=main!$D$103+VLOOKUP(VLOOKUP(BR$1,main!$A$3:$I$102,7,FALSE),main!$K$26:$Q$29,4,FALSE)),1,0)</f>
        <v>0</v>
      </c>
      <c r="BS111">
        <f>IF(AND(VLOOKUP(BS$1,main!$A$3:$H$102,7,FALSE)=main!$G$104,VLOOKUP(BS$1,main!$A$3:$H$102,5,FALSE)-VLOOKUP($A111,main!$A$3:$H$102,6,FALSE)&gt;=main!$D$103+VLOOKUP(VLOOKUP(BS$1,main!$A$3:$I$102,7,FALSE),main!$K$26:$Q$29,4,FALSE)),1,0)</f>
        <v>0</v>
      </c>
      <c r="BT111">
        <f>IF(AND(VLOOKUP(BT$1,main!$A$3:$H$102,7,FALSE)=main!$G$104,VLOOKUP(BT$1,main!$A$3:$H$102,5,FALSE)-VLOOKUP($A111,main!$A$3:$H$102,6,FALSE)&gt;=main!$D$103+VLOOKUP(VLOOKUP(BT$1,main!$A$3:$I$102,7,FALSE),main!$K$26:$Q$29,4,FALSE)),1,0)</f>
        <v>0</v>
      </c>
      <c r="BU111">
        <f>IF(AND(VLOOKUP(BU$1,main!$A$3:$H$102,7,FALSE)=main!$G$104,VLOOKUP(BU$1,main!$A$3:$H$102,5,FALSE)-VLOOKUP($A111,main!$A$3:$H$102,6,FALSE)&gt;=main!$D$103+VLOOKUP(VLOOKUP(BU$1,main!$A$3:$I$102,7,FALSE),main!$K$26:$Q$29,4,FALSE)),1,0)</f>
        <v>0</v>
      </c>
      <c r="BV111">
        <f>IF(AND(VLOOKUP(BV$1,main!$A$3:$H$102,7,FALSE)=main!$G$104,VLOOKUP(BV$1,main!$A$3:$H$102,5,FALSE)-VLOOKUP($A111,main!$A$3:$H$102,6,FALSE)&gt;=main!$D$103+VLOOKUP(VLOOKUP(BV$1,main!$A$3:$I$102,7,FALSE),main!$K$26:$Q$29,4,FALSE)),1,0)</f>
        <v>0</v>
      </c>
      <c r="BW111">
        <f>IF(AND(VLOOKUP(BW$1,main!$A$3:$H$102,7,FALSE)=main!$G$104,VLOOKUP(BW$1,main!$A$3:$H$102,5,FALSE)-VLOOKUP($A111,main!$A$3:$H$102,6,FALSE)&gt;=main!$D$103+VLOOKUP(VLOOKUP(BW$1,main!$A$3:$I$102,7,FALSE),main!$K$26:$Q$29,4,FALSE)),1,0)</f>
        <v>0</v>
      </c>
      <c r="BX111">
        <f>IF(AND(VLOOKUP(BX$1,main!$A$3:$H$102,7,FALSE)=main!$G$104,VLOOKUP(BX$1,main!$A$3:$H$102,5,FALSE)-VLOOKUP($A111,main!$A$3:$H$102,6,FALSE)&gt;=main!$D$103+VLOOKUP(VLOOKUP(BX$1,main!$A$3:$I$102,7,FALSE),main!$K$26:$Q$29,4,FALSE)),1,0)</f>
        <v>0</v>
      </c>
      <c r="BY111">
        <f>IF(AND(VLOOKUP(BY$1,main!$A$3:$H$102,7,FALSE)=main!$G$104,VLOOKUP(BY$1,main!$A$3:$H$102,5,FALSE)-VLOOKUP($A111,main!$A$3:$H$102,6,FALSE)&gt;=main!$D$103+VLOOKUP(VLOOKUP(BY$1,main!$A$3:$I$102,7,FALSE),main!$K$26:$Q$29,4,FALSE)),1,0)</f>
        <v>0</v>
      </c>
      <c r="BZ111">
        <f>IF(AND(VLOOKUP(BZ$1,main!$A$3:$H$102,7,FALSE)=main!$G$104,VLOOKUP(BZ$1,main!$A$3:$H$102,5,FALSE)-VLOOKUP($A111,main!$A$3:$H$102,6,FALSE)&gt;=main!$D$103+VLOOKUP(VLOOKUP(BZ$1,main!$A$3:$I$102,7,FALSE),main!$K$26:$Q$29,4,FALSE)),1,0)</f>
        <v>0</v>
      </c>
      <c r="CA111">
        <f>IF(AND(VLOOKUP(CA$1,main!$A$3:$H$102,7,FALSE)=main!$G$104,VLOOKUP(CA$1,main!$A$3:$H$102,5,FALSE)-VLOOKUP($A111,main!$A$3:$H$102,6,FALSE)&gt;=main!$D$103+VLOOKUP(VLOOKUP(CA$1,main!$A$3:$I$102,7,FALSE),main!$K$26:$Q$29,4,FALSE)),1,0)</f>
        <v>0</v>
      </c>
      <c r="CB111">
        <f>IF(AND(VLOOKUP(CB$1,main!$A$3:$H$102,7,FALSE)=main!$G$104,VLOOKUP(CB$1,main!$A$3:$H$102,5,FALSE)-VLOOKUP($A111,main!$A$3:$H$102,6,FALSE)&gt;=main!$D$103+VLOOKUP(VLOOKUP(CB$1,main!$A$3:$I$102,7,FALSE),main!$K$26:$Q$29,4,FALSE)),1,0)</f>
        <v>0</v>
      </c>
      <c r="CC111">
        <f>IF(AND(VLOOKUP(CC$1,main!$A$3:$H$102,7,FALSE)=main!$G$104,VLOOKUP(CC$1,main!$A$3:$H$102,5,FALSE)-VLOOKUP($A111,main!$A$3:$H$102,6,FALSE)&gt;=main!$D$103+VLOOKUP(VLOOKUP(CC$1,main!$A$3:$I$102,7,FALSE),main!$K$26:$Q$29,4,FALSE)),1,0)</f>
        <v>0</v>
      </c>
      <c r="CD111">
        <f>IF(AND(VLOOKUP(CD$1,main!$A$3:$H$102,7,FALSE)=main!$G$104,VLOOKUP(CD$1,main!$A$3:$H$102,5,FALSE)-VLOOKUP($A111,main!$A$3:$H$102,6,FALSE)&gt;=main!$D$103+VLOOKUP(VLOOKUP(CD$1,main!$A$3:$I$102,7,FALSE),main!$K$26:$Q$29,4,FALSE)),1,0)</f>
        <v>0</v>
      </c>
      <c r="CE111">
        <f>IF(AND(VLOOKUP(CE$1,main!$A$3:$H$102,7,FALSE)=main!$G$104,VLOOKUP(CE$1,main!$A$3:$H$102,5,FALSE)-VLOOKUP($A111,main!$A$3:$H$102,6,FALSE)&gt;=main!$D$103+VLOOKUP(VLOOKUP(CE$1,main!$A$3:$I$102,7,FALSE),main!$K$26:$Q$29,4,FALSE)),1,0)</f>
        <v>0</v>
      </c>
      <c r="CF111">
        <f>IF(AND(VLOOKUP(CF$1,main!$A$3:$H$102,7,FALSE)=main!$G$104,VLOOKUP(CF$1,main!$A$3:$H$102,5,FALSE)-VLOOKUP($A111,main!$A$3:$H$102,6,FALSE)&gt;=main!$D$103+VLOOKUP(VLOOKUP(CF$1,main!$A$3:$I$102,7,FALSE),main!$K$26:$Q$29,4,FALSE)),1,0)</f>
        <v>0</v>
      </c>
      <c r="CG111">
        <f>IF(AND(VLOOKUP(CG$1,main!$A$3:$H$102,7,FALSE)=main!$G$104,VLOOKUP(CG$1,main!$A$3:$H$102,5,FALSE)-VLOOKUP($A111,main!$A$3:$H$102,6,FALSE)&gt;=main!$D$103+VLOOKUP(VLOOKUP(CG$1,main!$A$3:$I$102,7,FALSE),main!$K$26:$Q$29,4,FALSE)),1,0)</f>
        <v>0</v>
      </c>
      <c r="CH111">
        <f>IF(AND(VLOOKUP(CH$1,main!$A$3:$H$102,7,FALSE)=main!$G$104,VLOOKUP(CH$1,main!$A$3:$H$102,5,FALSE)-VLOOKUP($A111,main!$A$3:$H$102,6,FALSE)&gt;=main!$D$103+VLOOKUP(VLOOKUP(CH$1,main!$A$3:$I$102,7,FALSE),main!$K$26:$Q$29,4,FALSE)),1,0)</f>
        <v>0</v>
      </c>
      <c r="CI111">
        <f>IF(AND(VLOOKUP(CI$1,main!$A$3:$H$102,7,FALSE)=main!$G$104,VLOOKUP(CI$1,main!$A$3:$H$102,5,FALSE)-VLOOKUP($A111,main!$A$3:$H$102,6,FALSE)&gt;=main!$D$103+VLOOKUP(VLOOKUP(CI$1,main!$A$3:$I$102,7,FALSE),main!$K$26:$Q$29,4,FALSE)),1,0)</f>
        <v>0</v>
      </c>
      <c r="CJ111">
        <f>IF(AND(VLOOKUP(CJ$1,main!$A$3:$H$102,7,FALSE)=main!$G$104,VLOOKUP(CJ$1,main!$A$3:$H$102,5,FALSE)-VLOOKUP($A111,main!$A$3:$H$102,6,FALSE)&gt;=main!$D$103+VLOOKUP(VLOOKUP(CJ$1,main!$A$3:$I$102,7,FALSE),main!$K$26:$Q$29,4,FALSE)),1,0)</f>
        <v>0</v>
      </c>
      <c r="CK111">
        <f>IF(AND(VLOOKUP(CK$1,main!$A$3:$H$102,7,FALSE)=main!$G$104,VLOOKUP(CK$1,main!$A$3:$H$102,5,FALSE)-VLOOKUP($A111,main!$A$3:$H$102,6,FALSE)&gt;=main!$D$103+VLOOKUP(VLOOKUP(CK$1,main!$A$3:$I$102,7,FALSE),main!$K$26:$Q$29,4,FALSE)),1,0)</f>
        <v>0</v>
      </c>
      <c r="CL111">
        <f>IF(AND(VLOOKUP(CL$1,main!$A$3:$H$102,7,FALSE)=main!$G$104,VLOOKUP(CL$1,main!$A$3:$H$102,5,FALSE)-VLOOKUP($A111,main!$A$3:$H$102,6,FALSE)&gt;=main!$D$103+VLOOKUP(VLOOKUP(CL$1,main!$A$3:$I$102,7,FALSE),main!$K$26:$Q$29,4,FALSE)),1,0)</f>
        <v>0</v>
      </c>
      <c r="CM111">
        <f>IF(AND(VLOOKUP(CM$1,main!$A$3:$H$102,7,FALSE)=main!$G$104,VLOOKUP(CM$1,main!$A$3:$H$102,5,FALSE)-VLOOKUP($A111,main!$A$3:$H$102,6,FALSE)&gt;=main!$D$103+VLOOKUP(VLOOKUP(CM$1,main!$A$3:$I$102,7,FALSE),main!$K$26:$Q$29,4,FALSE)),1,0)</f>
        <v>0</v>
      </c>
      <c r="CN111">
        <f>IF(AND(VLOOKUP(CN$1,main!$A$3:$H$102,7,FALSE)=main!$G$104,VLOOKUP(CN$1,main!$A$3:$H$102,5,FALSE)-VLOOKUP($A111,main!$A$3:$H$102,6,FALSE)&gt;=main!$D$103+VLOOKUP(VLOOKUP(CN$1,main!$A$3:$I$102,7,FALSE),main!$K$26:$Q$29,4,FALSE)),1,0)</f>
        <v>0</v>
      </c>
      <c r="CO111">
        <f>IF(AND(VLOOKUP(CO$1,main!$A$3:$H$102,7,FALSE)=main!$G$104,VLOOKUP(CO$1,main!$A$3:$H$102,5,FALSE)-VLOOKUP($A111,main!$A$3:$H$102,6,FALSE)&gt;=main!$D$103+VLOOKUP(VLOOKUP(CO$1,main!$A$3:$I$102,7,FALSE),main!$K$26:$Q$29,4,FALSE)),1,0)</f>
        <v>0</v>
      </c>
      <c r="CP111">
        <f>IF(AND(VLOOKUP(CP$1,main!$A$3:$H$102,7,FALSE)=main!$G$104,VLOOKUP(CP$1,main!$A$3:$H$102,5,FALSE)-VLOOKUP($A111,main!$A$3:$H$102,6,FALSE)&gt;=main!$D$103+VLOOKUP(VLOOKUP(CP$1,main!$A$3:$I$102,7,FALSE),main!$K$26:$Q$29,4,FALSE)),1,0)</f>
        <v>0</v>
      </c>
      <c r="CQ111">
        <f>IF(AND(VLOOKUP(CQ$1,main!$A$3:$H$102,7,FALSE)=main!$G$104,VLOOKUP(CQ$1,main!$A$3:$H$102,5,FALSE)-VLOOKUP($A111,main!$A$3:$H$102,6,FALSE)&gt;=main!$D$103+VLOOKUP(VLOOKUP(CQ$1,main!$A$3:$I$102,7,FALSE),main!$K$26:$Q$29,4,FALSE)),1,0)</f>
        <v>0</v>
      </c>
      <c r="CR111">
        <f>IF(AND(VLOOKUP(CR$1,main!$A$3:$H$102,7,FALSE)=main!$G$104,VLOOKUP(CR$1,main!$A$3:$H$102,5,FALSE)-VLOOKUP($A111,main!$A$3:$H$102,6,FALSE)&gt;=main!$D$103+VLOOKUP(VLOOKUP(CR$1,main!$A$3:$I$102,7,FALSE),main!$K$26:$Q$29,4,FALSE)),1,0)</f>
        <v>0</v>
      </c>
      <c r="CS111">
        <f>IF(AND(VLOOKUP(CS$1,main!$A$3:$H$102,7,FALSE)=main!$G$104,VLOOKUP(CS$1,main!$A$3:$H$102,5,FALSE)-VLOOKUP($A111,main!$A$3:$H$102,6,FALSE)&gt;=main!$D$103+VLOOKUP(VLOOKUP(CS$1,main!$A$3:$I$102,7,FALSE),main!$K$26:$Q$29,4,FALSE)),1,0)</f>
        <v>0</v>
      </c>
      <c r="CT111">
        <f>IF(AND(VLOOKUP(CT$1,main!$A$3:$H$102,7,FALSE)=main!$G$104,VLOOKUP(CT$1,main!$A$3:$H$102,5,FALSE)-VLOOKUP($A111,main!$A$3:$H$102,6,FALSE)&gt;=main!$D$103+VLOOKUP(VLOOKUP(CT$1,main!$A$3:$I$102,7,FALSE),main!$K$26:$Q$29,4,FALSE)),1,0)</f>
        <v>0</v>
      </c>
      <c r="CU111">
        <f>IF(AND(VLOOKUP(CU$1,main!$A$3:$H$102,7,FALSE)=main!$G$104,VLOOKUP(CU$1,main!$A$3:$H$102,5,FALSE)-VLOOKUP($A111,main!$A$3:$H$102,6,FALSE)&gt;=main!$D$103+VLOOKUP(VLOOKUP(CU$1,main!$A$3:$I$102,7,FALSE),main!$K$26:$Q$29,4,FALSE)),1,0)</f>
        <v>0</v>
      </c>
      <c r="CV111">
        <f>IF(AND(VLOOKUP(CV$1,main!$A$3:$H$102,7,FALSE)=main!$G$104,VLOOKUP(CV$1,main!$A$3:$H$102,5,FALSE)-VLOOKUP($A111,main!$A$3:$H$102,6,FALSE)&gt;=main!$D$103+VLOOKUP(VLOOKUP(CV$1,main!$A$3:$I$102,7,FALSE),main!$K$26:$Q$29,4,FALSE)),1,0)</f>
        <v>0</v>
      </c>
      <c r="CW111">
        <f>IF(AND(VLOOKUP(CW$1,main!$A$3:$H$102,7,FALSE)=main!$G$104,VLOOKUP(CW$1,main!$A$3:$H$102,5,FALSE)-VLOOKUP($A111,main!$A$3:$H$102,6,FALSE)&gt;=main!$D$103+VLOOKUP(VLOOKUP(CW$1,main!$A$3:$I$102,7,FALSE),main!$K$26:$Q$29,4,FALSE)),1,0)</f>
        <v>0</v>
      </c>
      <c r="CX111">
        <f>IF(AND(VLOOKUP(CX$1,main!$A$3:$H$102,7,FALSE)=main!$G$104,VLOOKUP(CX$1,main!$A$3:$H$102,5,FALSE)-VLOOKUP($A111,main!$A$3:$H$102,6,FALSE)&gt;=main!$D$103+VLOOKUP(VLOOKUP(CX$1,main!$A$3:$I$102,7,FALSE),main!$K$26:$Q$29,4,FALSE)),1,0)</f>
        <v>0</v>
      </c>
    </row>
    <row r="112" spans="1:102" x14ac:dyDescent="0.25">
      <c r="A112" s="1">
        <v>9</v>
      </c>
      <c r="B112">
        <v>0</v>
      </c>
      <c r="C112">
        <f>IF(AND(VLOOKUP(C$1,main!$A$3:$H$102,7,FALSE)=main!$G$104,VLOOKUP(C$1,main!$A$3:$H$102,5,FALSE)-VLOOKUP($A112,main!$A$3:$H$102,6,FALSE)&gt;=main!$D$103+VLOOKUP(VLOOKUP(C$1,main!$A$3:$I$102,7,FALSE),main!$K$26:$Q$29,4,FALSE)),1,0)</f>
        <v>0</v>
      </c>
      <c r="D112">
        <f>IF(AND(VLOOKUP(D$1,main!$A$3:$H$102,7,FALSE)=main!$G$104,VLOOKUP(D$1,main!$A$3:$H$102,5,FALSE)-VLOOKUP($A112,main!$A$3:$H$102,6,FALSE)&gt;=main!$D$103+VLOOKUP(VLOOKUP(D$1,main!$A$3:$I$102,7,FALSE),main!$K$26:$Q$29,4,FALSE)),1,0)</f>
        <v>0</v>
      </c>
      <c r="E112">
        <f>IF(AND(VLOOKUP(E$1,main!$A$3:$H$102,7,FALSE)=main!$G$104,VLOOKUP(E$1,main!$A$3:$H$102,5,FALSE)-VLOOKUP($A112,main!$A$3:$H$102,6,FALSE)&gt;=main!$D$103+VLOOKUP(VLOOKUP(E$1,main!$A$3:$I$102,7,FALSE),main!$K$26:$Q$29,4,FALSE)),1,0)</f>
        <v>0</v>
      </c>
      <c r="F112">
        <f>IF(AND(VLOOKUP(F$1,main!$A$3:$H$102,7,FALSE)=main!$G$104,VLOOKUP(F$1,main!$A$3:$H$102,5,FALSE)-VLOOKUP($A112,main!$A$3:$H$102,6,FALSE)&gt;=main!$D$103+VLOOKUP(VLOOKUP(F$1,main!$A$3:$I$102,7,FALSE),main!$K$26:$Q$29,4,FALSE)),1,0)</f>
        <v>0</v>
      </c>
      <c r="G112">
        <f>IF(AND(VLOOKUP(G$1,main!$A$3:$H$102,7,FALSE)=main!$G$104,VLOOKUP(G$1,main!$A$3:$H$102,5,FALSE)-VLOOKUP($A112,main!$A$3:$H$102,6,FALSE)&gt;=main!$D$103+VLOOKUP(VLOOKUP(G$1,main!$A$3:$I$102,7,FALSE),main!$K$26:$Q$29,4,FALSE)),1,0)</f>
        <v>0</v>
      </c>
      <c r="H112">
        <f>IF(AND(VLOOKUP(H$1,main!$A$3:$H$102,7,FALSE)=main!$G$104,VLOOKUP(H$1,main!$A$3:$H$102,5,FALSE)-VLOOKUP($A112,main!$A$3:$H$102,6,FALSE)&gt;=main!$D$103+VLOOKUP(VLOOKUP(H$1,main!$A$3:$I$102,7,FALSE),main!$K$26:$Q$29,4,FALSE)),1,0)</f>
        <v>0</v>
      </c>
      <c r="I112">
        <f>IF(AND(VLOOKUP(I$1,main!$A$3:$H$102,7,FALSE)=main!$G$104,VLOOKUP(I$1,main!$A$3:$H$102,5,FALSE)-VLOOKUP($A112,main!$A$3:$H$102,6,FALSE)&gt;=main!$D$103+VLOOKUP(VLOOKUP(I$1,main!$A$3:$I$102,7,FALSE),main!$K$26:$Q$29,4,FALSE)),1,0)</f>
        <v>0</v>
      </c>
      <c r="J112">
        <f>IF(AND(VLOOKUP(J$1,main!$A$3:$H$102,7,FALSE)=main!$G$104,VLOOKUP(J$1,main!$A$3:$H$102,5,FALSE)-VLOOKUP($A112,main!$A$3:$H$102,6,FALSE)&gt;=main!$D$103+VLOOKUP(VLOOKUP(J$1,main!$A$3:$I$102,7,FALSE),main!$K$26:$Q$29,4,FALSE)),1,0)</f>
        <v>0</v>
      </c>
      <c r="K112">
        <f>IF(AND(VLOOKUP(K$1,main!$A$3:$H$102,7,FALSE)=main!$G$104,VLOOKUP(K$1,main!$A$3:$H$102,5,FALSE)-VLOOKUP($A112,main!$A$3:$H$102,6,FALSE)&gt;=main!$D$103+VLOOKUP(VLOOKUP(K$1,main!$A$3:$I$102,7,FALSE),main!$K$26:$Q$29,4,FALSE)),1,0)</f>
        <v>0</v>
      </c>
      <c r="L112">
        <f>IF(AND(VLOOKUP(L$1,main!$A$3:$H$102,7,FALSE)=main!$G$104,VLOOKUP(L$1,main!$A$3:$H$102,5,FALSE)-VLOOKUP($A112,main!$A$3:$H$102,6,FALSE)&gt;=main!$D$103+VLOOKUP(VLOOKUP(L$1,main!$A$3:$I$102,7,FALSE),main!$K$26:$Q$29,4,FALSE)),1,0)</f>
        <v>0</v>
      </c>
      <c r="M112">
        <f>IF(AND(VLOOKUP(M$1,main!$A$3:$H$102,7,FALSE)=main!$G$104,VLOOKUP(M$1,main!$A$3:$H$102,5,FALSE)-VLOOKUP($A112,main!$A$3:$H$102,6,FALSE)&gt;=main!$D$103+VLOOKUP(VLOOKUP(M$1,main!$A$3:$I$102,7,FALSE),main!$K$26:$Q$29,4,FALSE)),1,0)</f>
        <v>0</v>
      </c>
      <c r="N112">
        <f>IF(AND(VLOOKUP(N$1,main!$A$3:$H$102,7,FALSE)=main!$G$104,VLOOKUP(N$1,main!$A$3:$H$102,5,FALSE)-VLOOKUP($A112,main!$A$3:$H$102,6,FALSE)&gt;=main!$D$103+VLOOKUP(VLOOKUP(N$1,main!$A$3:$I$102,7,FALSE),main!$K$26:$Q$29,4,FALSE)),1,0)</f>
        <v>0</v>
      </c>
      <c r="O112">
        <f>IF(AND(VLOOKUP(O$1,main!$A$3:$H$102,7,FALSE)=main!$G$104,VLOOKUP(O$1,main!$A$3:$H$102,5,FALSE)-VLOOKUP($A112,main!$A$3:$H$102,6,FALSE)&gt;=main!$D$103+VLOOKUP(VLOOKUP(O$1,main!$A$3:$I$102,7,FALSE),main!$K$26:$Q$29,4,FALSE)),1,0)</f>
        <v>0</v>
      </c>
      <c r="P112">
        <f>IF(AND(VLOOKUP(P$1,main!$A$3:$H$102,7,FALSE)=main!$G$104,VLOOKUP(P$1,main!$A$3:$H$102,5,FALSE)-VLOOKUP($A112,main!$A$3:$H$102,6,FALSE)&gt;=main!$D$103+VLOOKUP(VLOOKUP(P$1,main!$A$3:$I$102,7,FALSE),main!$K$26:$Q$29,4,FALSE)),1,0)</f>
        <v>0</v>
      </c>
      <c r="Q112">
        <f>IF(AND(VLOOKUP(Q$1,main!$A$3:$H$102,7,FALSE)=main!$G$104,VLOOKUP(Q$1,main!$A$3:$H$102,5,FALSE)-VLOOKUP($A112,main!$A$3:$H$102,6,FALSE)&gt;=main!$D$103+VLOOKUP(VLOOKUP(Q$1,main!$A$3:$I$102,7,FALSE),main!$K$26:$Q$29,4,FALSE)),1,0)</f>
        <v>0</v>
      </c>
      <c r="R112">
        <f>IF(AND(VLOOKUP(R$1,main!$A$3:$H$102,7,FALSE)=main!$G$104,VLOOKUP(R$1,main!$A$3:$H$102,5,FALSE)-VLOOKUP($A112,main!$A$3:$H$102,6,FALSE)&gt;=main!$D$103+VLOOKUP(VLOOKUP(R$1,main!$A$3:$I$102,7,FALSE),main!$K$26:$Q$29,4,FALSE)),1,0)</f>
        <v>0</v>
      </c>
      <c r="S112">
        <f>IF(AND(VLOOKUP(S$1,main!$A$3:$H$102,7,FALSE)=main!$G$104,VLOOKUP(S$1,main!$A$3:$H$102,5,FALSE)-VLOOKUP($A112,main!$A$3:$H$102,6,FALSE)&gt;=main!$D$103+VLOOKUP(VLOOKUP(S$1,main!$A$3:$I$102,7,FALSE),main!$K$26:$Q$29,4,FALSE)),1,0)</f>
        <v>0</v>
      </c>
      <c r="T112">
        <f>IF(AND(VLOOKUP(T$1,main!$A$3:$H$102,7,FALSE)=main!$G$104,VLOOKUP(T$1,main!$A$3:$H$102,5,FALSE)-VLOOKUP($A112,main!$A$3:$H$102,6,FALSE)&gt;=main!$D$103+VLOOKUP(VLOOKUP(T$1,main!$A$3:$I$102,7,FALSE),main!$K$26:$Q$29,4,FALSE)),1,0)</f>
        <v>0</v>
      </c>
      <c r="U112">
        <f>IF(AND(VLOOKUP(U$1,main!$A$3:$H$102,7,FALSE)=main!$G$104,VLOOKUP(U$1,main!$A$3:$H$102,5,FALSE)-VLOOKUP($A112,main!$A$3:$H$102,6,FALSE)&gt;=main!$D$103+VLOOKUP(VLOOKUP(U$1,main!$A$3:$I$102,7,FALSE),main!$K$26:$Q$29,4,FALSE)),1,0)</f>
        <v>0</v>
      </c>
      <c r="V112">
        <f>IF(AND(VLOOKUP(V$1,main!$A$3:$H$102,7,FALSE)=main!$G$104,VLOOKUP(V$1,main!$A$3:$H$102,5,FALSE)-VLOOKUP($A112,main!$A$3:$H$102,6,FALSE)&gt;=main!$D$103+VLOOKUP(VLOOKUP(V$1,main!$A$3:$I$102,7,FALSE),main!$K$26:$Q$29,4,FALSE)),1,0)</f>
        <v>0</v>
      </c>
      <c r="W112">
        <f>IF(AND(VLOOKUP(W$1,main!$A$3:$H$102,7,FALSE)=main!$G$104,VLOOKUP(W$1,main!$A$3:$H$102,5,FALSE)-VLOOKUP($A112,main!$A$3:$H$102,6,FALSE)&gt;=main!$D$103+VLOOKUP(VLOOKUP(W$1,main!$A$3:$I$102,7,FALSE),main!$K$26:$Q$29,4,FALSE)),1,0)</f>
        <v>0</v>
      </c>
      <c r="X112">
        <f>IF(AND(VLOOKUP(X$1,main!$A$3:$H$102,7,FALSE)=main!$G$104,VLOOKUP(X$1,main!$A$3:$H$102,5,FALSE)-VLOOKUP($A112,main!$A$3:$H$102,6,FALSE)&gt;=main!$D$103+VLOOKUP(VLOOKUP(X$1,main!$A$3:$I$102,7,FALSE),main!$K$26:$Q$29,4,FALSE)),1,0)</f>
        <v>0</v>
      </c>
      <c r="Y112">
        <f>IF(AND(VLOOKUP(Y$1,main!$A$3:$H$102,7,FALSE)=main!$G$104,VLOOKUP(Y$1,main!$A$3:$H$102,5,FALSE)-VLOOKUP($A112,main!$A$3:$H$102,6,FALSE)&gt;=main!$D$103+VLOOKUP(VLOOKUP(Y$1,main!$A$3:$I$102,7,FALSE),main!$K$26:$Q$29,4,FALSE)),1,0)</f>
        <v>0</v>
      </c>
      <c r="Z112">
        <f>IF(AND(VLOOKUP(Z$1,main!$A$3:$H$102,7,FALSE)=main!$G$104,VLOOKUP(Z$1,main!$A$3:$H$102,5,FALSE)-VLOOKUP($A112,main!$A$3:$H$102,6,FALSE)&gt;=main!$D$103+VLOOKUP(VLOOKUP(Z$1,main!$A$3:$I$102,7,FALSE),main!$K$26:$Q$29,4,FALSE)),1,0)</f>
        <v>0</v>
      </c>
      <c r="AA112">
        <f>IF(AND(VLOOKUP(AA$1,main!$A$3:$H$102,7,FALSE)=main!$G$104,VLOOKUP(AA$1,main!$A$3:$H$102,5,FALSE)-VLOOKUP($A112,main!$A$3:$H$102,6,FALSE)&gt;=main!$D$103+VLOOKUP(VLOOKUP(AA$1,main!$A$3:$I$102,7,FALSE),main!$K$26:$Q$29,4,FALSE)),1,0)</f>
        <v>0</v>
      </c>
      <c r="AB112">
        <f>IF(AND(VLOOKUP(AB$1,main!$A$3:$H$102,7,FALSE)=main!$G$104,VLOOKUP(AB$1,main!$A$3:$H$102,5,FALSE)-VLOOKUP($A112,main!$A$3:$H$102,6,FALSE)&gt;=main!$D$103+VLOOKUP(VLOOKUP(AB$1,main!$A$3:$I$102,7,FALSE),main!$K$26:$Q$29,4,FALSE)),1,0)</f>
        <v>0</v>
      </c>
      <c r="AC112">
        <f>IF(AND(VLOOKUP(AC$1,main!$A$3:$H$102,7,FALSE)=main!$G$104,VLOOKUP(AC$1,main!$A$3:$H$102,5,FALSE)-VLOOKUP($A112,main!$A$3:$H$102,6,FALSE)&gt;=main!$D$103+VLOOKUP(VLOOKUP(AC$1,main!$A$3:$I$102,7,FALSE),main!$K$26:$Q$29,4,FALSE)),1,0)</f>
        <v>0</v>
      </c>
      <c r="AD112">
        <f>IF(AND(VLOOKUP(AD$1,main!$A$3:$H$102,7,FALSE)=main!$G$104,VLOOKUP(AD$1,main!$A$3:$H$102,5,FALSE)-VLOOKUP($A112,main!$A$3:$H$102,6,FALSE)&gt;=main!$D$103+VLOOKUP(VLOOKUP(AD$1,main!$A$3:$I$102,7,FALSE),main!$K$26:$Q$29,4,FALSE)),1,0)</f>
        <v>0</v>
      </c>
      <c r="AE112">
        <f>IF(AND(VLOOKUP(AE$1,main!$A$3:$H$102,7,FALSE)=main!$G$104,VLOOKUP(AE$1,main!$A$3:$H$102,5,FALSE)-VLOOKUP($A112,main!$A$3:$H$102,6,FALSE)&gt;=main!$D$103+VLOOKUP(VLOOKUP(AE$1,main!$A$3:$I$102,7,FALSE),main!$K$26:$Q$29,4,FALSE)),1,0)</f>
        <v>0</v>
      </c>
      <c r="AF112">
        <f>IF(AND(VLOOKUP(AF$1,main!$A$3:$H$102,7,FALSE)=main!$G$104,VLOOKUP(AF$1,main!$A$3:$H$102,5,FALSE)-VLOOKUP($A112,main!$A$3:$H$102,6,FALSE)&gt;=main!$D$103+VLOOKUP(VLOOKUP(AF$1,main!$A$3:$I$102,7,FALSE),main!$K$26:$Q$29,4,FALSE)),1,0)</f>
        <v>0</v>
      </c>
      <c r="AG112">
        <f>IF(AND(VLOOKUP(AG$1,main!$A$3:$H$102,7,FALSE)=main!$G$104,VLOOKUP(AG$1,main!$A$3:$H$102,5,FALSE)-VLOOKUP($A112,main!$A$3:$H$102,6,FALSE)&gt;=main!$D$103+VLOOKUP(VLOOKUP(AG$1,main!$A$3:$I$102,7,FALSE),main!$K$26:$Q$29,4,FALSE)),1,0)</f>
        <v>0</v>
      </c>
      <c r="AH112">
        <f>IF(AND(VLOOKUP(AH$1,main!$A$3:$H$102,7,FALSE)=main!$G$104,VLOOKUP(AH$1,main!$A$3:$H$102,5,FALSE)-VLOOKUP($A112,main!$A$3:$H$102,6,FALSE)&gt;=main!$D$103+VLOOKUP(VLOOKUP(AH$1,main!$A$3:$I$102,7,FALSE),main!$K$26:$Q$29,4,FALSE)),1,0)</f>
        <v>0</v>
      </c>
      <c r="AI112">
        <f>IF(AND(VLOOKUP(AI$1,main!$A$3:$H$102,7,FALSE)=main!$G$104,VLOOKUP(AI$1,main!$A$3:$H$102,5,FALSE)-VLOOKUP($A112,main!$A$3:$H$102,6,FALSE)&gt;=main!$D$103+VLOOKUP(VLOOKUP(AI$1,main!$A$3:$I$102,7,FALSE),main!$K$26:$Q$29,4,FALSE)),1,0)</f>
        <v>0</v>
      </c>
      <c r="AJ112">
        <f>IF(AND(VLOOKUP(AJ$1,main!$A$3:$H$102,7,FALSE)=main!$G$104,VLOOKUP(AJ$1,main!$A$3:$H$102,5,FALSE)-VLOOKUP($A112,main!$A$3:$H$102,6,FALSE)&gt;=main!$D$103+VLOOKUP(VLOOKUP(AJ$1,main!$A$3:$I$102,7,FALSE),main!$K$26:$Q$29,4,FALSE)),1,0)</f>
        <v>0</v>
      </c>
      <c r="AK112">
        <f>IF(AND(VLOOKUP(AK$1,main!$A$3:$H$102,7,FALSE)=main!$G$104,VLOOKUP(AK$1,main!$A$3:$H$102,5,FALSE)-VLOOKUP($A112,main!$A$3:$H$102,6,FALSE)&gt;=main!$D$103+VLOOKUP(VLOOKUP(AK$1,main!$A$3:$I$102,7,FALSE),main!$K$26:$Q$29,4,FALSE)),1,0)</f>
        <v>0</v>
      </c>
      <c r="AL112">
        <f>IF(AND(VLOOKUP(AL$1,main!$A$3:$H$102,7,FALSE)=main!$G$104,VLOOKUP(AL$1,main!$A$3:$H$102,5,FALSE)-VLOOKUP($A112,main!$A$3:$H$102,6,FALSE)&gt;=main!$D$103+VLOOKUP(VLOOKUP(AL$1,main!$A$3:$I$102,7,FALSE),main!$K$26:$Q$29,4,FALSE)),1,0)</f>
        <v>0</v>
      </c>
      <c r="AM112">
        <f>IF(AND(VLOOKUP(AM$1,main!$A$3:$H$102,7,FALSE)=main!$G$104,VLOOKUP(AM$1,main!$A$3:$H$102,5,FALSE)-VLOOKUP($A112,main!$A$3:$H$102,6,FALSE)&gt;=main!$D$103+VLOOKUP(VLOOKUP(AM$1,main!$A$3:$I$102,7,FALSE),main!$K$26:$Q$29,4,FALSE)),1,0)</f>
        <v>0</v>
      </c>
      <c r="AN112">
        <f>IF(AND(VLOOKUP(AN$1,main!$A$3:$H$102,7,FALSE)=main!$G$104,VLOOKUP(AN$1,main!$A$3:$H$102,5,FALSE)-VLOOKUP($A112,main!$A$3:$H$102,6,FALSE)&gt;=main!$D$103+VLOOKUP(VLOOKUP(AN$1,main!$A$3:$I$102,7,FALSE),main!$K$26:$Q$29,4,FALSE)),1,0)</f>
        <v>0</v>
      </c>
      <c r="AO112">
        <f>IF(AND(VLOOKUP(AO$1,main!$A$3:$H$102,7,FALSE)=main!$G$104,VLOOKUP(AO$1,main!$A$3:$H$102,5,FALSE)-VLOOKUP($A112,main!$A$3:$H$102,6,FALSE)&gt;=main!$D$103+VLOOKUP(VLOOKUP(AO$1,main!$A$3:$I$102,7,FALSE),main!$K$26:$Q$29,4,FALSE)),1,0)</f>
        <v>0</v>
      </c>
      <c r="AP112">
        <f>IF(AND(VLOOKUP(AP$1,main!$A$3:$H$102,7,FALSE)=main!$G$104,VLOOKUP(AP$1,main!$A$3:$H$102,5,FALSE)-VLOOKUP($A112,main!$A$3:$H$102,6,FALSE)&gt;=main!$D$103+VLOOKUP(VLOOKUP(AP$1,main!$A$3:$I$102,7,FALSE),main!$K$26:$Q$29,4,FALSE)),1,0)</f>
        <v>0</v>
      </c>
      <c r="AQ112">
        <f>IF(AND(VLOOKUP(AQ$1,main!$A$3:$H$102,7,FALSE)=main!$G$104,VLOOKUP(AQ$1,main!$A$3:$H$102,5,FALSE)-VLOOKUP($A112,main!$A$3:$H$102,6,FALSE)&gt;=main!$D$103+VLOOKUP(VLOOKUP(AQ$1,main!$A$3:$I$102,7,FALSE),main!$K$26:$Q$29,4,FALSE)),1,0)</f>
        <v>0</v>
      </c>
      <c r="AR112">
        <f>IF(AND(VLOOKUP(AR$1,main!$A$3:$H$102,7,FALSE)=main!$G$104,VLOOKUP(AR$1,main!$A$3:$H$102,5,FALSE)-VLOOKUP($A112,main!$A$3:$H$102,6,FALSE)&gt;=main!$D$103+VLOOKUP(VLOOKUP(AR$1,main!$A$3:$I$102,7,FALSE),main!$K$26:$Q$29,4,FALSE)),1,0)</f>
        <v>0</v>
      </c>
      <c r="AS112">
        <f>IF(AND(VLOOKUP(AS$1,main!$A$3:$H$102,7,FALSE)=main!$G$104,VLOOKUP(AS$1,main!$A$3:$H$102,5,FALSE)-VLOOKUP($A112,main!$A$3:$H$102,6,FALSE)&gt;=main!$D$103+VLOOKUP(VLOOKUP(AS$1,main!$A$3:$I$102,7,FALSE),main!$K$26:$Q$29,4,FALSE)),1,0)</f>
        <v>0</v>
      </c>
      <c r="AT112">
        <f>IF(AND(VLOOKUP(AT$1,main!$A$3:$H$102,7,FALSE)=main!$G$104,VLOOKUP(AT$1,main!$A$3:$H$102,5,FALSE)-VLOOKUP($A112,main!$A$3:$H$102,6,FALSE)&gt;=main!$D$103+VLOOKUP(VLOOKUP(AT$1,main!$A$3:$I$102,7,FALSE),main!$K$26:$Q$29,4,FALSE)),1,0)</f>
        <v>0</v>
      </c>
      <c r="AU112">
        <f>IF(AND(VLOOKUP(AU$1,main!$A$3:$H$102,7,FALSE)=main!$G$104,VLOOKUP(AU$1,main!$A$3:$H$102,5,FALSE)-VLOOKUP($A112,main!$A$3:$H$102,6,FALSE)&gt;=main!$D$103+VLOOKUP(VLOOKUP(AU$1,main!$A$3:$I$102,7,FALSE),main!$K$26:$Q$29,4,FALSE)),1,0)</f>
        <v>0</v>
      </c>
      <c r="AV112">
        <f>IF(AND(VLOOKUP(AV$1,main!$A$3:$H$102,7,FALSE)=main!$G$104,VLOOKUP(AV$1,main!$A$3:$H$102,5,FALSE)-VLOOKUP($A112,main!$A$3:$H$102,6,FALSE)&gt;=main!$D$103+VLOOKUP(VLOOKUP(AV$1,main!$A$3:$I$102,7,FALSE),main!$K$26:$Q$29,4,FALSE)),1,0)</f>
        <v>0</v>
      </c>
      <c r="AW112">
        <f>IF(AND(VLOOKUP(AW$1,main!$A$3:$H$102,7,FALSE)=main!$G$104,VLOOKUP(AW$1,main!$A$3:$H$102,5,FALSE)-VLOOKUP($A112,main!$A$3:$H$102,6,FALSE)&gt;=main!$D$103+VLOOKUP(VLOOKUP(AW$1,main!$A$3:$I$102,7,FALSE),main!$K$26:$Q$29,4,FALSE)),1,0)</f>
        <v>0</v>
      </c>
      <c r="AX112">
        <f>IF(AND(VLOOKUP(AX$1,main!$A$3:$H$102,7,FALSE)=main!$G$104,VLOOKUP(AX$1,main!$A$3:$H$102,5,FALSE)-VLOOKUP($A112,main!$A$3:$H$102,6,FALSE)&gt;=main!$D$103+VLOOKUP(VLOOKUP(AX$1,main!$A$3:$I$102,7,FALSE),main!$K$26:$Q$29,4,FALSE)),1,0)</f>
        <v>0</v>
      </c>
      <c r="AY112">
        <f>IF(AND(VLOOKUP(AY$1,main!$A$3:$H$102,7,FALSE)=main!$G$104,VLOOKUP(AY$1,main!$A$3:$H$102,5,FALSE)-VLOOKUP($A112,main!$A$3:$H$102,6,FALSE)&gt;=main!$D$103+VLOOKUP(VLOOKUP(AY$1,main!$A$3:$I$102,7,FALSE),main!$K$26:$Q$29,4,FALSE)),1,0)</f>
        <v>0</v>
      </c>
      <c r="AZ112">
        <f>IF(AND(VLOOKUP(AZ$1,main!$A$3:$H$102,7,FALSE)=main!$G$104,VLOOKUP(AZ$1,main!$A$3:$H$102,5,FALSE)-VLOOKUP($A112,main!$A$3:$H$102,6,FALSE)&gt;=main!$D$103+VLOOKUP(VLOOKUP(AZ$1,main!$A$3:$I$102,7,FALSE),main!$K$26:$Q$29,4,FALSE)),1,0)</f>
        <v>0</v>
      </c>
      <c r="BA112">
        <f>IF(AND(VLOOKUP(BA$1,main!$A$3:$H$102,7,FALSE)=main!$G$104,VLOOKUP(BA$1,main!$A$3:$H$102,5,FALSE)-VLOOKUP($A112,main!$A$3:$H$102,6,FALSE)&gt;=main!$D$103+VLOOKUP(VLOOKUP(BA$1,main!$A$3:$I$102,7,FALSE),main!$K$26:$Q$29,4,FALSE)),1,0)</f>
        <v>0</v>
      </c>
      <c r="BB112">
        <f>IF(AND(VLOOKUP(BB$1,main!$A$3:$H$102,7,FALSE)=main!$G$104,VLOOKUP(BB$1,main!$A$3:$H$102,5,FALSE)-VLOOKUP($A112,main!$A$3:$H$102,6,FALSE)&gt;=main!$D$103+VLOOKUP(VLOOKUP(BB$1,main!$A$3:$I$102,7,FALSE),main!$K$26:$Q$29,4,FALSE)),1,0)</f>
        <v>0</v>
      </c>
      <c r="BC112">
        <f>IF(AND(VLOOKUP(BC$1,main!$A$3:$H$102,7,FALSE)=main!$G$104,VLOOKUP(BC$1,main!$A$3:$H$102,5,FALSE)-VLOOKUP($A112,main!$A$3:$H$102,6,FALSE)&gt;=main!$D$103+VLOOKUP(VLOOKUP(BC$1,main!$A$3:$I$102,7,FALSE),main!$K$26:$Q$29,4,FALSE)),1,0)</f>
        <v>0</v>
      </c>
      <c r="BD112">
        <f>IF(AND(VLOOKUP(BD$1,main!$A$3:$H$102,7,FALSE)=main!$G$104,VLOOKUP(BD$1,main!$A$3:$H$102,5,FALSE)-VLOOKUP($A112,main!$A$3:$H$102,6,FALSE)&gt;=main!$D$103+VLOOKUP(VLOOKUP(BD$1,main!$A$3:$I$102,7,FALSE),main!$K$26:$Q$29,4,FALSE)),1,0)</f>
        <v>0</v>
      </c>
      <c r="BE112">
        <f>IF(AND(VLOOKUP(BE$1,main!$A$3:$H$102,7,FALSE)=main!$G$104,VLOOKUP(BE$1,main!$A$3:$H$102,5,FALSE)-VLOOKUP($A112,main!$A$3:$H$102,6,FALSE)&gt;=main!$D$103+VLOOKUP(VLOOKUP(BE$1,main!$A$3:$I$102,7,FALSE),main!$K$26:$Q$29,4,FALSE)),1,0)</f>
        <v>0</v>
      </c>
      <c r="BF112">
        <f>IF(AND(VLOOKUP(BF$1,main!$A$3:$H$102,7,FALSE)=main!$G$104,VLOOKUP(BF$1,main!$A$3:$H$102,5,FALSE)-VLOOKUP($A112,main!$A$3:$H$102,6,FALSE)&gt;=main!$D$103+VLOOKUP(VLOOKUP(BF$1,main!$A$3:$I$102,7,FALSE),main!$K$26:$Q$29,4,FALSE)),1,0)</f>
        <v>0</v>
      </c>
      <c r="BG112">
        <f>IF(AND(VLOOKUP(BG$1,main!$A$3:$H$102,7,FALSE)=main!$G$104,VLOOKUP(BG$1,main!$A$3:$H$102,5,FALSE)-VLOOKUP($A112,main!$A$3:$H$102,6,FALSE)&gt;=main!$D$103+VLOOKUP(VLOOKUP(BG$1,main!$A$3:$I$102,7,FALSE),main!$K$26:$Q$29,4,FALSE)),1,0)</f>
        <v>0</v>
      </c>
      <c r="BH112">
        <f>IF(AND(VLOOKUP(BH$1,main!$A$3:$H$102,7,FALSE)=main!$G$104,VLOOKUP(BH$1,main!$A$3:$H$102,5,FALSE)-VLOOKUP($A112,main!$A$3:$H$102,6,FALSE)&gt;=main!$D$103+VLOOKUP(VLOOKUP(BH$1,main!$A$3:$I$102,7,FALSE),main!$K$26:$Q$29,4,FALSE)),1,0)</f>
        <v>0</v>
      </c>
      <c r="BI112">
        <f>IF(AND(VLOOKUP(BI$1,main!$A$3:$H$102,7,FALSE)=main!$G$104,VLOOKUP(BI$1,main!$A$3:$H$102,5,FALSE)-VLOOKUP($A112,main!$A$3:$H$102,6,FALSE)&gt;=main!$D$103+VLOOKUP(VLOOKUP(BI$1,main!$A$3:$I$102,7,FALSE),main!$K$26:$Q$29,4,FALSE)),1,0)</f>
        <v>0</v>
      </c>
      <c r="BJ112">
        <f>IF(AND(VLOOKUP(BJ$1,main!$A$3:$H$102,7,FALSE)=main!$G$104,VLOOKUP(BJ$1,main!$A$3:$H$102,5,FALSE)-VLOOKUP($A112,main!$A$3:$H$102,6,FALSE)&gt;=main!$D$103+VLOOKUP(VLOOKUP(BJ$1,main!$A$3:$I$102,7,FALSE),main!$K$26:$Q$29,4,FALSE)),1,0)</f>
        <v>0</v>
      </c>
      <c r="BK112">
        <f>IF(AND(VLOOKUP(BK$1,main!$A$3:$H$102,7,FALSE)=main!$G$104,VLOOKUP(BK$1,main!$A$3:$H$102,5,FALSE)-VLOOKUP($A112,main!$A$3:$H$102,6,FALSE)&gt;=main!$D$103+VLOOKUP(VLOOKUP(BK$1,main!$A$3:$I$102,7,FALSE),main!$K$26:$Q$29,4,FALSE)),1,0)</f>
        <v>0</v>
      </c>
      <c r="BL112">
        <f>IF(AND(VLOOKUP(BL$1,main!$A$3:$H$102,7,FALSE)=main!$G$104,VLOOKUP(BL$1,main!$A$3:$H$102,5,FALSE)-VLOOKUP($A112,main!$A$3:$H$102,6,FALSE)&gt;=main!$D$103+VLOOKUP(VLOOKUP(BL$1,main!$A$3:$I$102,7,FALSE),main!$K$26:$Q$29,4,FALSE)),1,0)</f>
        <v>0</v>
      </c>
      <c r="BM112">
        <f>IF(AND(VLOOKUP(BM$1,main!$A$3:$H$102,7,FALSE)=main!$G$104,VLOOKUP(BM$1,main!$A$3:$H$102,5,FALSE)-VLOOKUP($A112,main!$A$3:$H$102,6,FALSE)&gt;=main!$D$103+VLOOKUP(VLOOKUP(BM$1,main!$A$3:$I$102,7,FALSE),main!$K$26:$Q$29,4,FALSE)),1,0)</f>
        <v>0</v>
      </c>
      <c r="BN112">
        <f>IF(AND(VLOOKUP(BN$1,main!$A$3:$H$102,7,FALSE)=main!$G$104,VLOOKUP(BN$1,main!$A$3:$H$102,5,FALSE)-VLOOKUP($A112,main!$A$3:$H$102,6,FALSE)&gt;=main!$D$103+VLOOKUP(VLOOKUP(BN$1,main!$A$3:$I$102,7,FALSE),main!$K$26:$Q$29,4,FALSE)),1,0)</f>
        <v>0</v>
      </c>
      <c r="BO112">
        <f>IF(AND(VLOOKUP(BO$1,main!$A$3:$H$102,7,FALSE)=main!$G$104,VLOOKUP(BO$1,main!$A$3:$H$102,5,FALSE)-VLOOKUP($A112,main!$A$3:$H$102,6,FALSE)&gt;=main!$D$103+VLOOKUP(VLOOKUP(BO$1,main!$A$3:$I$102,7,FALSE),main!$K$26:$Q$29,4,FALSE)),1,0)</f>
        <v>0</v>
      </c>
      <c r="BP112">
        <f>IF(AND(VLOOKUP(BP$1,main!$A$3:$H$102,7,FALSE)=main!$G$104,VLOOKUP(BP$1,main!$A$3:$H$102,5,FALSE)-VLOOKUP($A112,main!$A$3:$H$102,6,FALSE)&gt;=main!$D$103+VLOOKUP(VLOOKUP(BP$1,main!$A$3:$I$102,7,FALSE),main!$K$26:$Q$29,4,FALSE)),1,0)</f>
        <v>0</v>
      </c>
      <c r="BQ112">
        <f>IF(AND(VLOOKUP(BQ$1,main!$A$3:$H$102,7,FALSE)=main!$G$104,VLOOKUP(BQ$1,main!$A$3:$H$102,5,FALSE)-VLOOKUP($A112,main!$A$3:$H$102,6,FALSE)&gt;=main!$D$103+VLOOKUP(VLOOKUP(BQ$1,main!$A$3:$I$102,7,FALSE),main!$K$26:$Q$29,4,FALSE)),1,0)</f>
        <v>0</v>
      </c>
      <c r="BR112">
        <f>IF(AND(VLOOKUP(BR$1,main!$A$3:$H$102,7,FALSE)=main!$G$104,VLOOKUP(BR$1,main!$A$3:$H$102,5,FALSE)-VLOOKUP($A112,main!$A$3:$H$102,6,FALSE)&gt;=main!$D$103+VLOOKUP(VLOOKUP(BR$1,main!$A$3:$I$102,7,FALSE),main!$K$26:$Q$29,4,FALSE)),1,0)</f>
        <v>0</v>
      </c>
      <c r="BS112">
        <f>IF(AND(VLOOKUP(BS$1,main!$A$3:$H$102,7,FALSE)=main!$G$104,VLOOKUP(BS$1,main!$A$3:$H$102,5,FALSE)-VLOOKUP($A112,main!$A$3:$H$102,6,FALSE)&gt;=main!$D$103+VLOOKUP(VLOOKUP(BS$1,main!$A$3:$I$102,7,FALSE),main!$K$26:$Q$29,4,FALSE)),1,0)</f>
        <v>0</v>
      </c>
      <c r="BT112">
        <f>IF(AND(VLOOKUP(BT$1,main!$A$3:$H$102,7,FALSE)=main!$G$104,VLOOKUP(BT$1,main!$A$3:$H$102,5,FALSE)-VLOOKUP($A112,main!$A$3:$H$102,6,FALSE)&gt;=main!$D$103+VLOOKUP(VLOOKUP(BT$1,main!$A$3:$I$102,7,FALSE),main!$K$26:$Q$29,4,FALSE)),1,0)</f>
        <v>0</v>
      </c>
      <c r="BU112">
        <f>IF(AND(VLOOKUP(BU$1,main!$A$3:$H$102,7,FALSE)=main!$G$104,VLOOKUP(BU$1,main!$A$3:$H$102,5,FALSE)-VLOOKUP($A112,main!$A$3:$H$102,6,FALSE)&gt;=main!$D$103+VLOOKUP(VLOOKUP(BU$1,main!$A$3:$I$102,7,FALSE),main!$K$26:$Q$29,4,FALSE)),1,0)</f>
        <v>0</v>
      </c>
      <c r="BV112">
        <f>IF(AND(VLOOKUP(BV$1,main!$A$3:$H$102,7,FALSE)=main!$G$104,VLOOKUP(BV$1,main!$A$3:$H$102,5,FALSE)-VLOOKUP($A112,main!$A$3:$H$102,6,FALSE)&gt;=main!$D$103+VLOOKUP(VLOOKUP(BV$1,main!$A$3:$I$102,7,FALSE),main!$K$26:$Q$29,4,FALSE)),1,0)</f>
        <v>0</v>
      </c>
      <c r="BW112">
        <f>IF(AND(VLOOKUP(BW$1,main!$A$3:$H$102,7,FALSE)=main!$G$104,VLOOKUP(BW$1,main!$A$3:$H$102,5,FALSE)-VLOOKUP($A112,main!$A$3:$H$102,6,FALSE)&gt;=main!$D$103+VLOOKUP(VLOOKUP(BW$1,main!$A$3:$I$102,7,FALSE),main!$K$26:$Q$29,4,FALSE)),1,0)</f>
        <v>0</v>
      </c>
      <c r="BX112">
        <f>IF(AND(VLOOKUP(BX$1,main!$A$3:$H$102,7,FALSE)=main!$G$104,VLOOKUP(BX$1,main!$A$3:$H$102,5,FALSE)-VLOOKUP($A112,main!$A$3:$H$102,6,FALSE)&gt;=main!$D$103+VLOOKUP(VLOOKUP(BX$1,main!$A$3:$I$102,7,FALSE),main!$K$26:$Q$29,4,FALSE)),1,0)</f>
        <v>0</v>
      </c>
      <c r="BY112">
        <f>IF(AND(VLOOKUP(BY$1,main!$A$3:$H$102,7,FALSE)=main!$G$104,VLOOKUP(BY$1,main!$A$3:$H$102,5,FALSE)-VLOOKUP($A112,main!$A$3:$H$102,6,FALSE)&gt;=main!$D$103+VLOOKUP(VLOOKUP(BY$1,main!$A$3:$I$102,7,FALSE),main!$K$26:$Q$29,4,FALSE)),1,0)</f>
        <v>0</v>
      </c>
      <c r="BZ112">
        <f>IF(AND(VLOOKUP(BZ$1,main!$A$3:$H$102,7,FALSE)=main!$G$104,VLOOKUP(BZ$1,main!$A$3:$H$102,5,FALSE)-VLOOKUP($A112,main!$A$3:$H$102,6,FALSE)&gt;=main!$D$103+VLOOKUP(VLOOKUP(BZ$1,main!$A$3:$I$102,7,FALSE),main!$K$26:$Q$29,4,FALSE)),1,0)</f>
        <v>0</v>
      </c>
      <c r="CA112">
        <f>IF(AND(VLOOKUP(CA$1,main!$A$3:$H$102,7,FALSE)=main!$G$104,VLOOKUP(CA$1,main!$A$3:$H$102,5,FALSE)-VLOOKUP($A112,main!$A$3:$H$102,6,FALSE)&gt;=main!$D$103+VLOOKUP(VLOOKUP(CA$1,main!$A$3:$I$102,7,FALSE),main!$K$26:$Q$29,4,FALSE)),1,0)</f>
        <v>0</v>
      </c>
      <c r="CB112">
        <f>IF(AND(VLOOKUP(CB$1,main!$A$3:$H$102,7,FALSE)=main!$G$104,VLOOKUP(CB$1,main!$A$3:$H$102,5,FALSE)-VLOOKUP($A112,main!$A$3:$H$102,6,FALSE)&gt;=main!$D$103+VLOOKUP(VLOOKUP(CB$1,main!$A$3:$I$102,7,FALSE),main!$K$26:$Q$29,4,FALSE)),1,0)</f>
        <v>0</v>
      </c>
      <c r="CC112">
        <f>IF(AND(VLOOKUP(CC$1,main!$A$3:$H$102,7,FALSE)=main!$G$104,VLOOKUP(CC$1,main!$A$3:$H$102,5,FALSE)-VLOOKUP($A112,main!$A$3:$H$102,6,FALSE)&gt;=main!$D$103+VLOOKUP(VLOOKUP(CC$1,main!$A$3:$I$102,7,FALSE),main!$K$26:$Q$29,4,FALSE)),1,0)</f>
        <v>0</v>
      </c>
      <c r="CD112">
        <f>IF(AND(VLOOKUP(CD$1,main!$A$3:$H$102,7,FALSE)=main!$G$104,VLOOKUP(CD$1,main!$A$3:$H$102,5,FALSE)-VLOOKUP($A112,main!$A$3:$H$102,6,FALSE)&gt;=main!$D$103+VLOOKUP(VLOOKUP(CD$1,main!$A$3:$I$102,7,FALSE),main!$K$26:$Q$29,4,FALSE)),1,0)</f>
        <v>0</v>
      </c>
      <c r="CE112">
        <f>IF(AND(VLOOKUP(CE$1,main!$A$3:$H$102,7,FALSE)=main!$G$104,VLOOKUP(CE$1,main!$A$3:$H$102,5,FALSE)-VLOOKUP($A112,main!$A$3:$H$102,6,FALSE)&gt;=main!$D$103+VLOOKUP(VLOOKUP(CE$1,main!$A$3:$I$102,7,FALSE),main!$K$26:$Q$29,4,FALSE)),1,0)</f>
        <v>0</v>
      </c>
      <c r="CF112">
        <f>IF(AND(VLOOKUP(CF$1,main!$A$3:$H$102,7,FALSE)=main!$G$104,VLOOKUP(CF$1,main!$A$3:$H$102,5,FALSE)-VLOOKUP($A112,main!$A$3:$H$102,6,FALSE)&gt;=main!$D$103+VLOOKUP(VLOOKUP(CF$1,main!$A$3:$I$102,7,FALSE),main!$K$26:$Q$29,4,FALSE)),1,0)</f>
        <v>0</v>
      </c>
      <c r="CG112">
        <f>IF(AND(VLOOKUP(CG$1,main!$A$3:$H$102,7,FALSE)=main!$G$104,VLOOKUP(CG$1,main!$A$3:$H$102,5,FALSE)-VLOOKUP($A112,main!$A$3:$H$102,6,FALSE)&gt;=main!$D$103+VLOOKUP(VLOOKUP(CG$1,main!$A$3:$I$102,7,FALSE),main!$K$26:$Q$29,4,FALSE)),1,0)</f>
        <v>0</v>
      </c>
      <c r="CH112">
        <f>IF(AND(VLOOKUP(CH$1,main!$A$3:$H$102,7,FALSE)=main!$G$104,VLOOKUP(CH$1,main!$A$3:$H$102,5,FALSE)-VLOOKUP($A112,main!$A$3:$H$102,6,FALSE)&gt;=main!$D$103+VLOOKUP(VLOOKUP(CH$1,main!$A$3:$I$102,7,FALSE),main!$K$26:$Q$29,4,FALSE)),1,0)</f>
        <v>0</v>
      </c>
      <c r="CI112">
        <f>IF(AND(VLOOKUP(CI$1,main!$A$3:$H$102,7,FALSE)=main!$G$104,VLOOKUP(CI$1,main!$A$3:$H$102,5,FALSE)-VLOOKUP($A112,main!$A$3:$H$102,6,FALSE)&gt;=main!$D$103+VLOOKUP(VLOOKUP(CI$1,main!$A$3:$I$102,7,FALSE),main!$K$26:$Q$29,4,FALSE)),1,0)</f>
        <v>0</v>
      </c>
      <c r="CJ112">
        <f>IF(AND(VLOOKUP(CJ$1,main!$A$3:$H$102,7,FALSE)=main!$G$104,VLOOKUP(CJ$1,main!$A$3:$H$102,5,FALSE)-VLOOKUP($A112,main!$A$3:$H$102,6,FALSE)&gt;=main!$D$103+VLOOKUP(VLOOKUP(CJ$1,main!$A$3:$I$102,7,FALSE),main!$K$26:$Q$29,4,FALSE)),1,0)</f>
        <v>0</v>
      </c>
      <c r="CK112">
        <f>IF(AND(VLOOKUP(CK$1,main!$A$3:$H$102,7,FALSE)=main!$G$104,VLOOKUP(CK$1,main!$A$3:$H$102,5,FALSE)-VLOOKUP($A112,main!$A$3:$H$102,6,FALSE)&gt;=main!$D$103+VLOOKUP(VLOOKUP(CK$1,main!$A$3:$I$102,7,FALSE),main!$K$26:$Q$29,4,FALSE)),1,0)</f>
        <v>0</v>
      </c>
      <c r="CL112">
        <f>IF(AND(VLOOKUP(CL$1,main!$A$3:$H$102,7,FALSE)=main!$G$104,VLOOKUP(CL$1,main!$A$3:$H$102,5,FALSE)-VLOOKUP($A112,main!$A$3:$H$102,6,FALSE)&gt;=main!$D$103+VLOOKUP(VLOOKUP(CL$1,main!$A$3:$I$102,7,FALSE),main!$K$26:$Q$29,4,FALSE)),1,0)</f>
        <v>0</v>
      </c>
      <c r="CM112">
        <f>IF(AND(VLOOKUP(CM$1,main!$A$3:$H$102,7,FALSE)=main!$G$104,VLOOKUP(CM$1,main!$A$3:$H$102,5,FALSE)-VLOOKUP($A112,main!$A$3:$H$102,6,FALSE)&gt;=main!$D$103+VLOOKUP(VLOOKUP(CM$1,main!$A$3:$I$102,7,FALSE),main!$K$26:$Q$29,4,FALSE)),1,0)</f>
        <v>0</v>
      </c>
      <c r="CN112">
        <f>IF(AND(VLOOKUP(CN$1,main!$A$3:$H$102,7,FALSE)=main!$G$104,VLOOKUP(CN$1,main!$A$3:$H$102,5,FALSE)-VLOOKUP($A112,main!$A$3:$H$102,6,FALSE)&gt;=main!$D$103+VLOOKUP(VLOOKUP(CN$1,main!$A$3:$I$102,7,FALSE),main!$K$26:$Q$29,4,FALSE)),1,0)</f>
        <v>0</v>
      </c>
      <c r="CO112">
        <f>IF(AND(VLOOKUP(CO$1,main!$A$3:$H$102,7,FALSE)=main!$G$104,VLOOKUP(CO$1,main!$A$3:$H$102,5,FALSE)-VLOOKUP($A112,main!$A$3:$H$102,6,FALSE)&gt;=main!$D$103+VLOOKUP(VLOOKUP(CO$1,main!$A$3:$I$102,7,FALSE),main!$K$26:$Q$29,4,FALSE)),1,0)</f>
        <v>0</v>
      </c>
      <c r="CP112">
        <f>IF(AND(VLOOKUP(CP$1,main!$A$3:$H$102,7,FALSE)=main!$G$104,VLOOKUP(CP$1,main!$A$3:$H$102,5,FALSE)-VLOOKUP($A112,main!$A$3:$H$102,6,FALSE)&gt;=main!$D$103+VLOOKUP(VLOOKUP(CP$1,main!$A$3:$I$102,7,FALSE),main!$K$26:$Q$29,4,FALSE)),1,0)</f>
        <v>0</v>
      </c>
      <c r="CQ112">
        <f>IF(AND(VLOOKUP(CQ$1,main!$A$3:$H$102,7,FALSE)=main!$G$104,VLOOKUP(CQ$1,main!$A$3:$H$102,5,FALSE)-VLOOKUP($A112,main!$A$3:$H$102,6,FALSE)&gt;=main!$D$103+VLOOKUP(VLOOKUP(CQ$1,main!$A$3:$I$102,7,FALSE),main!$K$26:$Q$29,4,FALSE)),1,0)</f>
        <v>0</v>
      </c>
      <c r="CR112">
        <f>IF(AND(VLOOKUP(CR$1,main!$A$3:$H$102,7,FALSE)=main!$G$104,VLOOKUP(CR$1,main!$A$3:$H$102,5,FALSE)-VLOOKUP($A112,main!$A$3:$H$102,6,FALSE)&gt;=main!$D$103+VLOOKUP(VLOOKUP(CR$1,main!$A$3:$I$102,7,FALSE),main!$K$26:$Q$29,4,FALSE)),1,0)</f>
        <v>0</v>
      </c>
      <c r="CS112">
        <f>IF(AND(VLOOKUP(CS$1,main!$A$3:$H$102,7,FALSE)=main!$G$104,VLOOKUP(CS$1,main!$A$3:$H$102,5,FALSE)-VLOOKUP($A112,main!$A$3:$H$102,6,FALSE)&gt;=main!$D$103+VLOOKUP(VLOOKUP(CS$1,main!$A$3:$I$102,7,FALSE),main!$K$26:$Q$29,4,FALSE)),1,0)</f>
        <v>0</v>
      </c>
      <c r="CT112">
        <f>IF(AND(VLOOKUP(CT$1,main!$A$3:$H$102,7,FALSE)=main!$G$104,VLOOKUP(CT$1,main!$A$3:$H$102,5,FALSE)-VLOOKUP($A112,main!$A$3:$H$102,6,FALSE)&gt;=main!$D$103+VLOOKUP(VLOOKUP(CT$1,main!$A$3:$I$102,7,FALSE),main!$K$26:$Q$29,4,FALSE)),1,0)</f>
        <v>0</v>
      </c>
      <c r="CU112">
        <f>IF(AND(VLOOKUP(CU$1,main!$A$3:$H$102,7,FALSE)=main!$G$104,VLOOKUP(CU$1,main!$A$3:$H$102,5,FALSE)-VLOOKUP($A112,main!$A$3:$H$102,6,FALSE)&gt;=main!$D$103+VLOOKUP(VLOOKUP(CU$1,main!$A$3:$I$102,7,FALSE),main!$K$26:$Q$29,4,FALSE)),1,0)</f>
        <v>0</v>
      </c>
      <c r="CV112">
        <f>IF(AND(VLOOKUP(CV$1,main!$A$3:$H$102,7,FALSE)=main!$G$104,VLOOKUP(CV$1,main!$A$3:$H$102,5,FALSE)-VLOOKUP($A112,main!$A$3:$H$102,6,FALSE)&gt;=main!$D$103+VLOOKUP(VLOOKUP(CV$1,main!$A$3:$I$102,7,FALSE),main!$K$26:$Q$29,4,FALSE)),1,0)</f>
        <v>0</v>
      </c>
      <c r="CW112">
        <f>IF(AND(VLOOKUP(CW$1,main!$A$3:$H$102,7,FALSE)=main!$G$104,VLOOKUP(CW$1,main!$A$3:$H$102,5,FALSE)-VLOOKUP($A112,main!$A$3:$H$102,6,FALSE)&gt;=main!$D$103+VLOOKUP(VLOOKUP(CW$1,main!$A$3:$I$102,7,FALSE),main!$K$26:$Q$29,4,FALSE)),1,0)</f>
        <v>0</v>
      </c>
      <c r="CX112">
        <f>IF(AND(VLOOKUP(CX$1,main!$A$3:$H$102,7,FALSE)=main!$G$104,VLOOKUP(CX$1,main!$A$3:$H$102,5,FALSE)-VLOOKUP($A112,main!$A$3:$H$102,6,FALSE)&gt;=main!$D$103+VLOOKUP(VLOOKUP(CX$1,main!$A$3:$I$102,7,FALSE),main!$K$26:$Q$29,4,FALSE)),1,0)</f>
        <v>0</v>
      </c>
    </row>
    <row r="113" spans="1:102" x14ac:dyDescent="0.25">
      <c r="A113" s="1">
        <v>10</v>
      </c>
      <c r="B113">
        <v>0</v>
      </c>
      <c r="C113">
        <f>IF(AND(VLOOKUP(C$1,main!$A$3:$H$102,7,FALSE)=main!$G$104,VLOOKUP(C$1,main!$A$3:$H$102,5,FALSE)-VLOOKUP($A113,main!$A$3:$H$102,6,FALSE)&gt;=main!$D$103+VLOOKUP(VLOOKUP(C$1,main!$A$3:$I$102,7,FALSE),main!$K$26:$Q$29,4,FALSE)),1,0)</f>
        <v>0</v>
      </c>
      <c r="D113">
        <f>IF(AND(VLOOKUP(D$1,main!$A$3:$H$102,7,FALSE)=main!$G$104,VLOOKUP(D$1,main!$A$3:$H$102,5,FALSE)-VLOOKUP($A113,main!$A$3:$H$102,6,FALSE)&gt;=main!$D$103+VLOOKUP(VLOOKUP(D$1,main!$A$3:$I$102,7,FALSE),main!$K$26:$Q$29,4,FALSE)),1,0)</f>
        <v>0</v>
      </c>
      <c r="E113">
        <f>IF(AND(VLOOKUP(E$1,main!$A$3:$H$102,7,FALSE)=main!$G$104,VLOOKUP(E$1,main!$A$3:$H$102,5,FALSE)-VLOOKUP($A113,main!$A$3:$H$102,6,FALSE)&gt;=main!$D$103+VLOOKUP(VLOOKUP(E$1,main!$A$3:$I$102,7,FALSE),main!$K$26:$Q$29,4,FALSE)),1,0)</f>
        <v>0</v>
      </c>
      <c r="F113">
        <f>IF(AND(VLOOKUP(F$1,main!$A$3:$H$102,7,FALSE)=main!$G$104,VLOOKUP(F$1,main!$A$3:$H$102,5,FALSE)-VLOOKUP($A113,main!$A$3:$H$102,6,FALSE)&gt;=main!$D$103+VLOOKUP(VLOOKUP(F$1,main!$A$3:$I$102,7,FALSE),main!$K$26:$Q$29,4,FALSE)),1,0)</f>
        <v>0</v>
      </c>
      <c r="G113">
        <f>IF(AND(VLOOKUP(G$1,main!$A$3:$H$102,7,FALSE)=main!$G$104,VLOOKUP(G$1,main!$A$3:$H$102,5,FALSE)-VLOOKUP($A113,main!$A$3:$H$102,6,FALSE)&gt;=main!$D$103+VLOOKUP(VLOOKUP(G$1,main!$A$3:$I$102,7,FALSE),main!$K$26:$Q$29,4,FALSE)),1,0)</f>
        <v>0</v>
      </c>
      <c r="H113">
        <f>IF(AND(VLOOKUP(H$1,main!$A$3:$H$102,7,FALSE)=main!$G$104,VLOOKUP(H$1,main!$A$3:$H$102,5,FALSE)-VLOOKUP($A113,main!$A$3:$H$102,6,FALSE)&gt;=main!$D$103+VLOOKUP(VLOOKUP(H$1,main!$A$3:$I$102,7,FALSE),main!$K$26:$Q$29,4,FALSE)),1,0)</f>
        <v>0</v>
      </c>
      <c r="I113">
        <f>IF(AND(VLOOKUP(I$1,main!$A$3:$H$102,7,FALSE)=main!$G$104,VLOOKUP(I$1,main!$A$3:$H$102,5,FALSE)-VLOOKUP($A113,main!$A$3:$H$102,6,FALSE)&gt;=main!$D$103+VLOOKUP(VLOOKUP(I$1,main!$A$3:$I$102,7,FALSE),main!$K$26:$Q$29,4,FALSE)),1,0)</f>
        <v>0</v>
      </c>
      <c r="J113">
        <f>IF(AND(VLOOKUP(J$1,main!$A$3:$H$102,7,FALSE)=main!$G$104,VLOOKUP(J$1,main!$A$3:$H$102,5,FALSE)-VLOOKUP($A113,main!$A$3:$H$102,6,FALSE)&gt;=main!$D$103+VLOOKUP(VLOOKUP(J$1,main!$A$3:$I$102,7,FALSE),main!$K$26:$Q$29,4,FALSE)),1,0)</f>
        <v>0</v>
      </c>
      <c r="K113">
        <f>IF(AND(VLOOKUP(K$1,main!$A$3:$H$102,7,FALSE)=main!$G$104,VLOOKUP(K$1,main!$A$3:$H$102,5,FALSE)-VLOOKUP($A113,main!$A$3:$H$102,6,FALSE)&gt;=main!$D$103+VLOOKUP(VLOOKUP(K$1,main!$A$3:$I$102,7,FALSE),main!$K$26:$Q$29,4,FALSE)),1,0)</f>
        <v>0</v>
      </c>
      <c r="L113">
        <f>IF(AND(VLOOKUP(L$1,main!$A$3:$H$102,7,FALSE)=main!$G$104,VLOOKUP(L$1,main!$A$3:$H$102,5,FALSE)-VLOOKUP($A113,main!$A$3:$H$102,6,FALSE)&gt;=main!$D$103+VLOOKUP(VLOOKUP(L$1,main!$A$3:$I$102,7,FALSE),main!$K$26:$Q$29,4,FALSE)),1,0)</f>
        <v>0</v>
      </c>
      <c r="M113">
        <f>IF(AND(VLOOKUP(M$1,main!$A$3:$H$102,7,FALSE)=main!$G$104,VLOOKUP(M$1,main!$A$3:$H$102,5,FALSE)-VLOOKUP($A113,main!$A$3:$H$102,6,FALSE)&gt;=main!$D$103+VLOOKUP(VLOOKUP(M$1,main!$A$3:$I$102,7,FALSE),main!$K$26:$Q$29,4,FALSE)),1,0)</f>
        <v>0</v>
      </c>
      <c r="N113">
        <f>IF(AND(VLOOKUP(N$1,main!$A$3:$H$102,7,FALSE)=main!$G$104,VLOOKUP(N$1,main!$A$3:$H$102,5,FALSE)-VLOOKUP($A113,main!$A$3:$H$102,6,FALSE)&gt;=main!$D$103+VLOOKUP(VLOOKUP(N$1,main!$A$3:$I$102,7,FALSE),main!$K$26:$Q$29,4,FALSE)),1,0)</f>
        <v>0</v>
      </c>
      <c r="O113">
        <f>IF(AND(VLOOKUP(O$1,main!$A$3:$H$102,7,FALSE)=main!$G$104,VLOOKUP(O$1,main!$A$3:$H$102,5,FALSE)-VLOOKUP($A113,main!$A$3:$H$102,6,FALSE)&gt;=main!$D$103+VLOOKUP(VLOOKUP(O$1,main!$A$3:$I$102,7,FALSE),main!$K$26:$Q$29,4,FALSE)),1,0)</f>
        <v>0</v>
      </c>
      <c r="P113">
        <f>IF(AND(VLOOKUP(P$1,main!$A$3:$H$102,7,FALSE)=main!$G$104,VLOOKUP(P$1,main!$A$3:$H$102,5,FALSE)-VLOOKUP($A113,main!$A$3:$H$102,6,FALSE)&gt;=main!$D$103+VLOOKUP(VLOOKUP(P$1,main!$A$3:$I$102,7,FALSE),main!$K$26:$Q$29,4,FALSE)),1,0)</f>
        <v>0</v>
      </c>
      <c r="Q113">
        <f>IF(AND(VLOOKUP(Q$1,main!$A$3:$H$102,7,FALSE)=main!$G$104,VLOOKUP(Q$1,main!$A$3:$H$102,5,FALSE)-VLOOKUP($A113,main!$A$3:$H$102,6,FALSE)&gt;=main!$D$103+VLOOKUP(VLOOKUP(Q$1,main!$A$3:$I$102,7,FALSE),main!$K$26:$Q$29,4,FALSE)),1,0)</f>
        <v>0</v>
      </c>
      <c r="R113">
        <f>IF(AND(VLOOKUP(R$1,main!$A$3:$H$102,7,FALSE)=main!$G$104,VLOOKUP(R$1,main!$A$3:$H$102,5,FALSE)-VLOOKUP($A113,main!$A$3:$H$102,6,FALSE)&gt;=main!$D$103+VLOOKUP(VLOOKUP(R$1,main!$A$3:$I$102,7,FALSE),main!$K$26:$Q$29,4,FALSE)),1,0)</f>
        <v>0</v>
      </c>
      <c r="S113">
        <f>IF(AND(VLOOKUP(S$1,main!$A$3:$H$102,7,FALSE)=main!$G$104,VLOOKUP(S$1,main!$A$3:$H$102,5,FALSE)-VLOOKUP($A113,main!$A$3:$H$102,6,FALSE)&gt;=main!$D$103+VLOOKUP(VLOOKUP(S$1,main!$A$3:$I$102,7,FALSE),main!$K$26:$Q$29,4,FALSE)),1,0)</f>
        <v>0</v>
      </c>
      <c r="T113">
        <f>IF(AND(VLOOKUP(T$1,main!$A$3:$H$102,7,FALSE)=main!$G$104,VLOOKUP(T$1,main!$A$3:$H$102,5,FALSE)-VLOOKUP($A113,main!$A$3:$H$102,6,FALSE)&gt;=main!$D$103+VLOOKUP(VLOOKUP(T$1,main!$A$3:$I$102,7,FALSE),main!$K$26:$Q$29,4,FALSE)),1,0)</f>
        <v>0</v>
      </c>
      <c r="U113">
        <f>IF(AND(VLOOKUP(U$1,main!$A$3:$H$102,7,FALSE)=main!$G$104,VLOOKUP(U$1,main!$A$3:$H$102,5,FALSE)-VLOOKUP($A113,main!$A$3:$H$102,6,FALSE)&gt;=main!$D$103+VLOOKUP(VLOOKUP(U$1,main!$A$3:$I$102,7,FALSE),main!$K$26:$Q$29,4,FALSE)),1,0)</f>
        <v>0</v>
      </c>
      <c r="V113">
        <f>IF(AND(VLOOKUP(V$1,main!$A$3:$H$102,7,FALSE)=main!$G$104,VLOOKUP(V$1,main!$A$3:$H$102,5,FALSE)-VLOOKUP($A113,main!$A$3:$H$102,6,FALSE)&gt;=main!$D$103+VLOOKUP(VLOOKUP(V$1,main!$A$3:$I$102,7,FALSE),main!$K$26:$Q$29,4,FALSE)),1,0)</f>
        <v>0</v>
      </c>
      <c r="W113">
        <f>IF(AND(VLOOKUP(W$1,main!$A$3:$H$102,7,FALSE)=main!$G$104,VLOOKUP(W$1,main!$A$3:$H$102,5,FALSE)-VLOOKUP($A113,main!$A$3:$H$102,6,FALSE)&gt;=main!$D$103+VLOOKUP(VLOOKUP(W$1,main!$A$3:$I$102,7,FALSE),main!$K$26:$Q$29,4,FALSE)),1,0)</f>
        <v>0</v>
      </c>
      <c r="X113">
        <f>IF(AND(VLOOKUP(X$1,main!$A$3:$H$102,7,FALSE)=main!$G$104,VLOOKUP(X$1,main!$A$3:$H$102,5,FALSE)-VLOOKUP($A113,main!$A$3:$H$102,6,FALSE)&gt;=main!$D$103+VLOOKUP(VLOOKUP(X$1,main!$A$3:$I$102,7,FALSE),main!$K$26:$Q$29,4,FALSE)),1,0)</f>
        <v>0</v>
      </c>
      <c r="Y113">
        <f>IF(AND(VLOOKUP(Y$1,main!$A$3:$H$102,7,FALSE)=main!$G$104,VLOOKUP(Y$1,main!$A$3:$H$102,5,FALSE)-VLOOKUP($A113,main!$A$3:$H$102,6,FALSE)&gt;=main!$D$103+VLOOKUP(VLOOKUP(Y$1,main!$A$3:$I$102,7,FALSE),main!$K$26:$Q$29,4,FALSE)),1,0)</f>
        <v>0</v>
      </c>
      <c r="Z113">
        <f>IF(AND(VLOOKUP(Z$1,main!$A$3:$H$102,7,FALSE)=main!$G$104,VLOOKUP(Z$1,main!$A$3:$H$102,5,FALSE)-VLOOKUP($A113,main!$A$3:$H$102,6,FALSE)&gt;=main!$D$103+VLOOKUP(VLOOKUP(Z$1,main!$A$3:$I$102,7,FALSE),main!$K$26:$Q$29,4,FALSE)),1,0)</f>
        <v>0</v>
      </c>
      <c r="AA113">
        <f>IF(AND(VLOOKUP(AA$1,main!$A$3:$H$102,7,FALSE)=main!$G$104,VLOOKUP(AA$1,main!$A$3:$H$102,5,FALSE)-VLOOKUP($A113,main!$A$3:$H$102,6,FALSE)&gt;=main!$D$103+VLOOKUP(VLOOKUP(AA$1,main!$A$3:$I$102,7,FALSE),main!$K$26:$Q$29,4,FALSE)),1,0)</f>
        <v>0</v>
      </c>
      <c r="AB113">
        <f>IF(AND(VLOOKUP(AB$1,main!$A$3:$H$102,7,FALSE)=main!$G$104,VLOOKUP(AB$1,main!$A$3:$H$102,5,FALSE)-VLOOKUP($A113,main!$A$3:$H$102,6,FALSE)&gt;=main!$D$103+VLOOKUP(VLOOKUP(AB$1,main!$A$3:$I$102,7,FALSE),main!$K$26:$Q$29,4,FALSE)),1,0)</f>
        <v>0</v>
      </c>
      <c r="AC113">
        <f>IF(AND(VLOOKUP(AC$1,main!$A$3:$H$102,7,FALSE)=main!$G$104,VLOOKUP(AC$1,main!$A$3:$H$102,5,FALSE)-VLOOKUP($A113,main!$A$3:$H$102,6,FALSE)&gt;=main!$D$103+VLOOKUP(VLOOKUP(AC$1,main!$A$3:$I$102,7,FALSE),main!$K$26:$Q$29,4,FALSE)),1,0)</f>
        <v>0</v>
      </c>
      <c r="AD113">
        <f>IF(AND(VLOOKUP(AD$1,main!$A$3:$H$102,7,FALSE)=main!$G$104,VLOOKUP(AD$1,main!$A$3:$H$102,5,FALSE)-VLOOKUP($A113,main!$A$3:$H$102,6,FALSE)&gt;=main!$D$103+VLOOKUP(VLOOKUP(AD$1,main!$A$3:$I$102,7,FALSE),main!$K$26:$Q$29,4,FALSE)),1,0)</f>
        <v>0</v>
      </c>
      <c r="AE113">
        <f>IF(AND(VLOOKUP(AE$1,main!$A$3:$H$102,7,FALSE)=main!$G$104,VLOOKUP(AE$1,main!$A$3:$H$102,5,FALSE)-VLOOKUP($A113,main!$A$3:$H$102,6,FALSE)&gt;=main!$D$103+VLOOKUP(VLOOKUP(AE$1,main!$A$3:$I$102,7,FALSE),main!$K$26:$Q$29,4,FALSE)),1,0)</f>
        <v>0</v>
      </c>
      <c r="AF113">
        <f>IF(AND(VLOOKUP(AF$1,main!$A$3:$H$102,7,FALSE)=main!$G$104,VLOOKUP(AF$1,main!$A$3:$H$102,5,FALSE)-VLOOKUP($A113,main!$A$3:$H$102,6,FALSE)&gt;=main!$D$103+VLOOKUP(VLOOKUP(AF$1,main!$A$3:$I$102,7,FALSE),main!$K$26:$Q$29,4,FALSE)),1,0)</f>
        <v>0</v>
      </c>
      <c r="AG113">
        <f>IF(AND(VLOOKUP(AG$1,main!$A$3:$H$102,7,FALSE)=main!$G$104,VLOOKUP(AG$1,main!$A$3:$H$102,5,FALSE)-VLOOKUP($A113,main!$A$3:$H$102,6,FALSE)&gt;=main!$D$103+VLOOKUP(VLOOKUP(AG$1,main!$A$3:$I$102,7,FALSE),main!$K$26:$Q$29,4,FALSE)),1,0)</f>
        <v>0</v>
      </c>
      <c r="AH113">
        <f>IF(AND(VLOOKUP(AH$1,main!$A$3:$H$102,7,FALSE)=main!$G$104,VLOOKUP(AH$1,main!$A$3:$H$102,5,FALSE)-VLOOKUP($A113,main!$A$3:$H$102,6,FALSE)&gt;=main!$D$103+VLOOKUP(VLOOKUP(AH$1,main!$A$3:$I$102,7,FALSE),main!$K$26:$Q$29,4,FALSE)),1,0)</f>
        <v>0</v>
      </c>
      <c r="AI113">
        <f>IF(AND(VLOOKUP(AI$1,main!$A$3:$H$102,7,FALSE)=main!$G$104,VLOOKUP(AI$1,main!$A$3:$H$102,5,FALSE)-VLOOKUP($A113,main!$A$3:$H$102,6,FALSE)&gt;=main!$D$103+VLOOKUP(VLOOKUP(AI$1,main!$A$3:$I$102,7,FALSE),main!$K$26:$Q$29,4,FALSE)),1,0)</f>
        <v>0</v>
      </c>
      <c r="AJ113">
        <f>IF(AND(VLOOKUP(AJ$1,main!$A$3:$H$102,7,FALSE)=main!$G$104,VLOOKUP(AJ$1,main!$A$3:$H$102,5,FALSE)-VLOOKUP($A113,main!$A$3:$H$102,6,FALSE)&gt;=main!$D$103+VLOOKUP(VLOOKUP(AJ$1,main!$A$3:$I$102,7,FALSE),main!$K$26:$Q$29,4,FALSE)),1,0)</f>
        <v>0</v>
      </c>
      <c r="AK113">
        <f>IF(AND(VLOOKUP(AK$1,main!$A$3:$H$102,7,FALSE)=main!$G$104,VLOOKUP(AK$1,main!$A$3:$H$102,5,FALSE)-VLOOKUP($A113,main!$A$3:$H$102,6,FALSE)&gt;=main!$D$103+VLOOKUP(VLOOKUP(AK$1,main!$A$3:$I$102,7,FALSE),main!$K$26:$Q$29,4,FALSE)),1,0)</f>
        <v>0</v>
      </c>
      <c r="AL113">
        <f>IF(AND(VLOOKUP(AL$1,main!$A$3:$H$102,7,FALSE)=main!$G$104,VLOOKUP(AL$1,main!$A$3:$H$102,5,FALSE)-VLOOKUP($A113,main!$A$3:$H$102,6,FALSE)&gt;=main!$D$103+VLOOKUP(VLOOKUP(AL$1,main!$A$3:$I$102,7,FALSE),main!$K$26:$Q$29,4,FALSE)),1,0)</f>
        <v>0</v>
      </c>
      <c r="AM113">
        <f>IF(AND(VLOOKUP(AM$1,main!$A$3:$H$102,7,FALSE)=main!$G$104,VLOOKUP(AM$1,main!$A$3:$H$102,5,FALSE)-VLOOKUP($A113,main!$A$3:$H$102,6,FALSE)&gt;=main!$D$103+VLOOKUP(VLOOKUP(AM$1,main!$A$3:$I$102,7,FALSE),main!$K$26:$Q$29,4,FALSE)),1,0)</f>
        <v>0</v>
      </c>
      <c r="AN113">
        <f>IF(AND(VLOOKUP(AN$1,main!$A$3:$H$102,7,FALSE)=main!$G$104,VLOOKUP(AN$1,main!$A$3:$H$102,5,FALSE)-VLOOKUP($A113,main!$A$3:$H$102,6,FALSE)&gt;=main!$D$103+VLOOKUP(VLOOKUP(AN$1,main!$A$3:$I$102,7,FALSE),main!$K$26:$Q$29,4,FALSE)),1,0)</f>
        <v>0</v>
      </c>
      <c r="AO113">
        <f>IF(AND(VLOOKUP(AO$1,main!$A$3:$H$102,7,FALSE)=main!$G$104,VLOOKUP(AO$1,main!$A$3:$H$102,5,FALSE)-VLOOKUP($A113,main!$A$3:$H$102,6,FALSE)&gt;=main!$D$103+VLOOKUP(VLOOKUP(AO$1,main!$A$3:$I$102,7,FALSE),main!$K$26:$Q$29,4,FALSE)),1,0)</f>
        <v>0</v>
      </c>
      <c r="AP113">
        <f>IF(AND(VLOOKUP(AP$1,main!$A$3:$H$102,7,FALSE)=main!$G$104,VLOOKUP(AP$1,main!$A$3:$H$102,5,FALSE)-VLOOKUP($A113,main!$A$3:$H$102,6,FALSE)&gt;=main!$D$103+VLOOKUP(VLOOKUP(AP$1,main!$A$3:$I$102,7,FALSE),main!$K$26:$Q$29,4,FALSE)),1,0)</f>
        <v>0</v>
      </c>
      <c r="AQ113">
        <f>IF(AND(VLOOKUP(AQ$1,main!$A$3:$H$102,7,FALSE)=main!$G$104,VLOOKUP(AQ$1,main!$A$3:$H$102,5,FALSE)-VLOOKUP($A113,main!$A$3:$H$102,6,FALSE)&gt;=main!$D$103+VLOOKUP(VLOOKUP(AQ$1,main!$A$3:$I$102,7,FALSE),main!$K$26:$Q$29,4,FALSE)),1,0)</f>
        <v>0</v>
      </c>
      <c r="AR113">
        <f>IF(AND(VLOOKUP(AR$1,main!$A$3:$H$102,7,FALSE)=main!$G$104,VLOOKUP(AR$1,main!$A$3:$H$102,5,FALSE)-VLOOKUP($A113,main!$A$3:$H$102,6,FALSE)&gt;=main!$D$103+VLOOKUP(VLOOKUP(AR$1,main!$A$3:$I$102,7,FALSE),main!$K$26:$Q$29,4,FALSE)),1,0)</f>
        <v>0</v>
      </c>
      <c r="AS113">
        <f>IF(AND(VLOOKUP(AS$1,main!$A$3:$H$102,7,FALSE)=main!$G$104,VLOOKUP(AS$1,main!$A$3:$H$102,5,FALSE)-VLOOKUP($A113,main!$A$3:$H$102,6,FALSE)&gt;=main!$D$103+VLOOKUP(VLOOKUP(AS$1,main!$A$3:$I$102,7,FALSE),main!$K$26:$Q$29,4,FALSE)),1,0)</f>
        <v>0</v>
      </c>
      <c r="AT113">
        <f>IF(AND(VLOOKUP(AT$1,main!$A$3:$H$102,7,FALSE)=main!$G$104,VLOOKUP(AT$1,main!$A$3:$H$102,5,FALSE)-VLOOKUP($A113,main!$A$3:$H$102,6,FALSE)&gt;=main!$D$103+VLOOKUP(VLOOKUP(AT$1,main!$A$3:$I$102,7,FALSE),main!$K$26:$Q$29,4,FALSE)),1,0)</f>
        <v>0</v>
      </c>
      <c r="AU113">
        <f>IF(AND(VLOOKUP(AU$1,main!$A$3:$H$102,7,FALSE)=main!$G$104,VLOOKUP(AU$1,main!$A$3:$H$102,5,FALSE)-VLOOKUP($A113,main!$A$3:$H$102,6,FALSE)&gt;=main!$D$103+VLOOKUP(VLOOKUP(AU$1,main!$A$3:$I$102,7,FALSE),main!$K$26:$Q$29,4,FALSE)),1,0)</f>
        <v>0</v>
      </c>
      <c r="AV113">
        <f>IF(AND(VLOOKUP(AV$1,main!$A$3:$H$102,7,FALSE)=main!$G$104,VLOOKUP(AV$1,main!$A$3:$H$102,5,FALSE)-VLOOKUP($A113,main!$A$3:$H$102,6,FALSE)&gt;=main!$D$103+VLOOKUP(VLOOKUP(AV$1,main!$A$3:$I$102,7,FALSE),main!$K$26:$Q$29,4,FALSE)),1,0)</f>
        <v>0</v>
      </c>
      <c r="AW113">
        <f>IF(AND(VLOOKUP(AW$1,main!$A$3:$H$102,7,FALSE)=main!$G$104,VLOOKUP(AW$1,main!$A$3:$H$102,5,FALSE)-VLOOKUP($A113,main!$A$3:$H$102,6,FALSE)&gt;=main!$D$103+VLOOKUP(VLOOKUP(AW$1,main!$A$3:$I$102,7,FALSE),main!$K$26:$Q$29,4,FALSE)),1,0)</f>
        <v>0</v>
      </c>
      <c r="AX113">
        <f>IF(AND(VLOOKUP(AX$1,main!$A$3:$H$102,7,FALSE)=main!$G$104,VLOOKUP(AX$1,main!$A$3:$H$102,5,FALSE)-VLOOKUP($A113,main!$A$3:$H$102,6,FALSE)&gt;=main!$D$103+VLOOKUP(VLOOKUP(AX$1,main!$A$3:$I$102,7,FALSE),main!$K$26:$Q$29,4,FALSE)),1,0)</f>
        <v>0</v>
      </c>
      <c r="AY113">
        <f>IF(AND(VLOOKUP(AY$1,main!$A$3:$H$102,7,FALSE)=main!$G$104,VLOOKUP(AY$1,main!$A$3:$H$102,5,FALSE)-VLOOKUP($A113,main!$A$3:$H$102,6,FALSE)&gt;=main!$D$103+VLOOKUP(VLOOKUP(AY$1,main!$A$3:$I$102,7,FALSE),main!$K$26:$Q$29,4,FALSE)),1,0)</f>
        <v>0</v>
      </c>
      <c r="AZ113">
        <f>IF(AND(VLOOKUP(AZ$1,main!$A$3:$H$102,7,FALSE)=main!$G$104,VLOOKUP(AZ$1,main!$A$3:$H$102,5,FALSE)-VLOOKUP($A113,main!$A$3:$H$102,6,FALSE)&gt;=main!$D$103+VLOOKUP(VLOOKUP(AZ$1,main!$A$3:$I$102,7,FALSE),main!$K$26:$Q$29,4,FALSE)),1,0)</f>
        <v>0</v>
      </c>
      <c r="BA113">
        <f>IF(AND(VLOOKUP(BA$1,main!$A$3:$H$102,7,FALSE)=main!$G$104,VLOOKUP(BA$1,main!$A$3:$H$102,5,FALSE)-VLOOKUP($A113,main!$A$3:$H$102,6,FALSE)&gt;=main!$D$103+VLOOKUP(VLOOKUP(BA$1,main!$A$3:$I$102,7,FALSE),main!$K$26:$Q$29,4,FALSE)),1,0)</f>
        <v>0</v>
      </c>
      <c r="BB113">
        <f>IF(AND(VLOOKUP(BB$1,main!$A$3:$H$102,7,FALSE)=main!$G$104,VLOOKUP(BB$1,main!$A$3:$H$102,5,FALSE)-VLOOKUP($A113,main!$A$3:$H$102,6,FALSE)&gt;=main!$D$103+VLOOKUP(VLOOKUP(BB$1,main!$A$3:$I$102,7,FALSE),main!$K$26:$Q$29,4,FALSE)),1,0)</f>
        <v>0</v>
      </c>
      <c r="BC113">
        <f>IF(AND(VLOOKUP(BC$1,main!$A$3:$H$102,7,FALSE)=main!$G$104,VLOOKUP(BC$1,main!$A$3:$H$102,5,FALSE)-VLOOKUP($A113,main!$A$3:$H$102,6,FALSE)&gt;=main!$D$103+VLOOKUP(VLOOKUP(BC$1,main!$A$3:$I$102,7,FALSE),main!$K$26:$Q$29,4,FALSE)),1,0)</f>
        <v>0</v>
      </c>
      <c r="BD113">
        <f>IF(AND(VLOOKUP(BD$1,main!$A$3:$H$102,7,FALSE)=main!$G$104,VLOOKUP(BD$1,main!$A$3:$H$102,5,FALSE)-VLOOKUP($A113,main!$A$3:$H$102,6,FALSE)&gt;=main!$D$103+VLOOKUP(VLOOKUP(BD$1,main!$A$3:$I$102,7,FALSE),main!$K$26:$Q$29,4,FALSE)),1,0)</f>
        <v>0</v>
      </c>
      <c r="BE113">
        <f>IF(AND(VLOOKUP(BE$1,main!$A$3:$H$102,7,FALSE)=main!$G$104,VLOOKUP(BE$1,main!$A$3:$H$102,5,FALSE)-VLOOKUP($A113,main!$A$3:$H$102,6,FALSE)&gt;=main!$D$103+VLOOKUP(VLOOKUP(BE$1,main!$A$3:$I$102,7,FALSE),main!$K$26:$Q$29,4,FALSE)),1,0)</f>
        <v>0</v>
      </c>
      <c r="BF113">
        <f>IF(AND(VLOOKUP(BF$1,main!$A$3:$H$102,7,FALSE)=main!$G$104,VLOOKUP(BF$1,main!$A$3:$H$102,5,FALSE)-VLOOKUP($A113,main!$A$3:$H$102,6,FALSE)&gt;=main!$D$103+VLOOKUP(VLOOKUP(BF$1,main!$A$3:$I$102,7,FALSE),main!$K$26:$Q$29,4,FALSE)),1,0)</f>
        <v>0</v>
      </c>
      <c r="BG113">
        <f>IF(AND(VLOOKUP(BG$1,main!$A$3:$H$102,7,FALSE)=main!$G$104,VLOOKUP(BG$1,main!$A$3:$H$102,5,FALSE)-VLOOKUP($A113,main!$A$3:$H$102,6,FALSE)&gt;=main!$D$103+VLOOKUP(VLOOKUP(BG$1,main!$A$3:$I$102,7,FALSE),main!$K$26:$Q$29,4,FALSE)),1,0)</f>
        <v>0</v>
      </c>
      <c r="BH113">
        <f>IF(AND(VLOOKUP(BH$1,main!$A$3:$H$102,7,FALSE)=main!$G$104,VLOOKUP(BH$1,main!$A$3:$H$102,5,FALSE)-VLOOKUP($A113,main!$A$3:$H$102,6,FALSE)&gt;=main!$D$103+VLOOKUP(VLOOKUP(BH$1,main!$A$3:$I$102,7,FALSE),main!$K$26:$Q$29,4,FALSE)),1,0)</f>
        <v>0</v>
      </c>
      <c r="BI113">
        <f>IF(AND(VLOOKUP(BI$1,main!$A$3:$H$102,7,FALSE)=main!$G$104,VLOOKUP(BI$1,main!$A$3:$H$102,5,FALSE)-VLOOKUP($A113,main!$A$3:$H$102,6,FALSE)&gt;=main!$D$103+VLOOKUP(VLOOKUP(BI$1,main!$A$3:$I$102,7,FALSE),main!$K$26:$Q$29,4,FALSE)),1,0)</f>
        <v>0</v>
      </c>
      <c r="BJ113">
        <f>IF(AND(VLOOKUP(BJ$1,main!$A$3:$H$102,7,FALSE)=main!$G$104,VLOOKUP(BJ$1,main!$A$3:$H$102,5,FALSE)-VLOOKUP($A113,main!$A$3:$H$102,6,FALSE)&gt;=main!$D$103+VLOOKUP(VLOOKUP(BJ$1,main!$A$3:$I$102,7,FALSE),main!$K$26:$Q$29,4,FALSE)),1,0)</f>
        <v>0</v>
      </c>
      <c r="BK113">
        <f>IF(AND(VLOOKUP(BK$1,main!$A$3:$H$102,7,FALSE)=main!$G$104,VLOOKUP(BK$1,main!$A$3:$H$102,5,FALSE)-VLOOKUP($A113,main!$A$3:$H$102,6,FALSE)&gt;=main!$D$103+VLOOKUP(VLOOKUP(BK$1,main!$A$3:$I$102,7,FALSE),main!$K$26:$Q$29,4,FALSE)),1,0)</f>
        <v>0</v>
      </c>
      <c r="BL113">
        <f>IF(AND(VLOOKUP(BL$1,main!$A$3:$H$102,7,FALSE)=main!$G$104,VLOOKUP(BL$1,main!$A$3:$H$102,5,FALSE)-VLOOKUP($A113,main!$A$3:$H$102,6,FALSE)&gt;=main!$D$103+VLOOKUP(VLOOKUP(BL$1,main!$A$3:$I$102,7,FALSE),main!$K$26:$Q$29,4,FALSE)),1,0)</f>
        <v>0</v>
      </c>
      <c r="BM113">
        <f>IF(AND(VLOOKUP(BM$1,main!$A$3:$H$102,7,FALSE)=main!$G$104,VLOOKUP(BM$1,main!$A$3:$H$102,5,FALSE)-VLOOKUP($A113,main!$A$3:$H$102,6,FALSE)&gt;=main!$D$103+VLOOKUP(VLOOKUP(BM$1,main!$A$3:$I$102,7,FALSE),main!$K$26:$Q$29,4,FALSE)),1,0)</f>
        <v>0</v>
      </c>
      <c r="BN113">
        <f>IF(AND(VLOOKUP(BN$1,main!$A$3:$H$102,7,FALSE)=main!$G$104,VLOOKUP(BN$1,main!$A$3:$H$102,5,FALSE)-VLOOKUP($A113,main!$A$3:$H$102,6,FALSE)&gt;=main!$D$103+VLOOKUP(VLOOKUP(BN$1,main!$A$3:$I$102,7,FALSE),main!$K$26:$Q$29,4,FALSE)),1,0)</f>
        <v>0</v>
      </c>
      <c r="BO113">
        <f>IF(AND(VLOOKUP(BO$1,main!$A$3:$H$102,7,FALSE)=main!$G$104,VLOOKUP(BO$1,main!$A$3:$H$102,5,FALSE)-VLOOKUP($A113,main!$A$3:$H$102,6,FALSE)&gt;=main!$D$103+VLOOKUP(VLOOKUP(BO$1,main!$A$3:$I$102,7,FALSE),main!$K$26:$Q$29,4,FALSE)),1,0)</f>
        <v>0</v>
      </c>
      <c r="BP113">
        <f>IF(AND(VLOOKUP(BP$1,main!$A$3:$H$102,7,FALSE)=main!$G$104,VLOOKUP(BP$1,main!$A$3:$H$102,5,FALSE)-VLOOKUP($A113,main!$A$3:$H$102,6,FALSE)&gt;=main!$D$103+VLOOKUP(VLOOKUP(BP$1,main!$A$3:$I$102,7,FALSE),main!$K$26:$Q$29,4,FALSE)),1,0)</f>
        <v>0</v>
      </c>
      <c r="BQ113">
        <f>IF(AND(VLOOKUP(BQ$1,main!$A$3:$H$102,7,FALSE)=main!$G$104,VLOOKUP(BQ$1,main!$A$3:$H$102,5,FALSE)-VLOOKUP($A113,main!$A$3:$H$102,6,FALSE)&gt;=main!$D$103+VLOOKUP(VLOOKUP(BQ$1,main!$A$3:$I$102,7,FALSE),main!$K$26:$Q$29,4,FALSE)),1,0)</f>
        <v>0</v>
      </c>
      <c r="BR113">
        <f>IF(AND(VLOOKUP(BR$1,main!$A$3:$H$102,7,FALSE)=main!$G$104,VLOOKUP(BR$1,main!$A$3:$H$102,5,FALSE)-VLOOKUP($A113,main!$A$3:$H$102,6,FALSE)&gt;=main!$D$103+VLOOKUP(VLOOKUP(BR$1,main!$A$3:$I$102,7,FALSE),main!$K$26:$Q$29,4,FALSE)),1,0)</f>
        <v>0</v>
      </c>
      <c r="BS113">
        <f>IF(AND(VLOOKUP(BS$1,main!$A$3:$H$102,7,FALSE)=main!$G$104,VLOOKUP(BS$1,main!$A$3:$H$102,5,FALSE)-VLOOKUP($A113,main!$A$3:$H$102,6,FALSE)&gt;=main!$D$103+VLOOKUP(VLOOKUP(BS$1,main!$A$3:$I$102,7,FALSE),main!$K$26:$Q$29,4,FALSE)),1,0)</f>
        <v>0</v>
      </c>
      <c r="BT113">
        <f>IF(AND(VLOOKUP(BT$1,main!$A$3:$H$102,7,FALSE)=main!$G$104,VLOOKUP(BT$1,main!$A$3:$H$102,5,FALSE)-VLOOKUP($A113,main!$A$3:$H$102,6,FALSE)&gt;=main!$D$103+VLOOKUP(VLOOKUP(BT$1,main!$A$3:$I$102,7,FALSE),main!$K$26:$Q$29,4,FALSE)),1,0)</f>
        <v>0</v>
      </c>
      <c r="BU113">
        <f>IF(AND(VLOOKUP(BU$1,main!$A$3:$H$102,7,FALSE)=main!$G$104,VLOOKUP(BU$1,main!$A$3:$H$102,5,FALSE)-VLOOKUP($A113,main!$A$3:$H$102,6,FALSE)&gt;=main!$D$103+VLOOKUP(VLOOKUP(BU$1,main!$A$3:$I$102,7,FALSE),main!$K$26:$Q$29,4,FALSE)),1,0)</f>
        <v>0</v>
      </c>
      <c r="BV113">
        <f>IF(AND(VLOOKUP(BV$1,main!$A$3:$H$102,7,FALSE)=main!$G$104,VLOOKUP(BV$1,main!$A$3:$H$102,5,FALSE)-VLOOKUP($A113,main!$A$3:$H$102,6,FALSE)&gt;=main!$D$103+VLOOKUP(VLOOKUP(BV$1,main!$A$3:$I$102,7,FALSE),main!$K$26:$Q$29,4,FALSE)),1,0)</f>
        <v>0</v>
      </c>
      <c r="BW113">
        <f>IF(AND(VLOOKUP(BW$1,main!$A$3:$H$102,7,FALSE)=main!$G$104,VLOOKUP(BW$1,main!$A$3:$H$102,5,FALSE)-VLOOKUP($A113,main!$A$3:$H$102,6,FALSE)&gt;=main!$D$103+VLOOKUP(VLOOKUP(BW$1,main!$A$3:$I$102,7,FALSE),main!$K$26:$Q$29,4,FALSE)),1,0)</f>
        <v>0</v>
      </c>
      <c r="BX113">
        <f>IF(AND(VLOOKUP(BX$1,main!$A$3:$H$102,7,FALSE)=main!$G$104,VLOOKUP(BX$1,main!$A$3:$H$102,5,FALSE)-VLOOKUP($A113,main!$A$3:$H$102,6,FALSE)&gt;=main!$D$103+VLOOKUP(VLOOKUP(BX$1,main!$A$3:$I$102,7,FALSE),main!$K$26:$Q$29,4,FALSE)),1,0)</f>
        <v>0</v>
      </c>
      <c r="BY113">
        <f>IF(AND(VLOOKUP(BY$1,main!$A$3:$H$102,7,FALSE)=main!$G$104,VLOOKUP(BY$1,main!$A$3:$H$102,5,FALSE)-VLOOKUP($A113,main!$A$3:$H$102,6,FALSE)&gt;=main!$D$103+VLOOKUP(VLOOKUP(BY$1,main!$A$3:$I$102,7,FALSE),main!$K$26:$Q$29,4,FALSE)),1,0)</f>
        <v>0</v>
      </c>
      <c r="BZ113">
        <f>IF(AND(VLOOKUP(BZ$1,main!$A$3:$H$102,7,FALSE)=main!$G$104,VLOOKUP(BZ$1,main!$A$3:$H$102,5,FALSE)-VLOOKUP($A113,main!$A$3:$H$102,6,FALSE)&gt;=main!$D$103+VLOOKUP(VLOOKUP(BZ$1,main!$A$3:$I$102,7,FALSE),main!$K$26:$Q$29,4,FALSE)),1,0)</f>
        <v>0</v>
      </c>
      <c r="CA113">
        <f>IF(AND(VLOOKUP(CA$1,main!$A$3:$H$102,7,FALSE)=main!$G$104,VLOOKUP(CA$1,main!$A$3:$H$102,5,FALSE)-VLOOKUP($A113,main!$A$3:$H$102,6,FALSE)&gt;=main!$D$103+VLOOKUP(VLOOKUP(CA$1,main!$A$3:$I$102,7,FALSE),main!$K$26:$Q$29,4,FALSE)),1,0)</f>
        <v>0</v>
      </c>
      <c r="CB113">
        <f>IF(AND(VLOOKUP(CB$1,main!$A$3:$H$102,7,FALSE)=main!$G$104,VLOOKUP(CB$1,main!$A$3:$H$102,5,FALSE)-VLOOKUP($A113,main!$A$3:$H$102,6,FALSE)&gt;=main!$D$103+VLOOKUP(VLOOKUP(CB$1,main!$A$3:$I$102,7,FALSE),main!$K$26:$Q$29,4,FALSE)),1,0)</f>
        <v>0</v>
      </c>
      <c r="CC113">
        <f>IF(AND(VLOOKUP(CC$1,main!$A$3:$H$102,7,FALSE)=main!$G$104,VLOOKUP(CC$1,main!$A$3:$H$102,5,FALSE)-VLOOKUP($A113,main!$A$3:$H$102,6,FALSE)&gt;=main!$D$103+VLOOKUP(VLOOKUP(CC$1,main!$A$3:$I$102,7,FALSE),main!$K$26:$Q$29,4,FALSE)),1,0)</f>
        <v>0</v>
      </c>
      <c r="CD113">
        <f>IF(AND(VLOOKUP(CD$1,main!$A$3:$H$102,7,FALSE)=main!$G$104,VLOOKUP(CD$1,main!$A$3:$H$102,5,FALSE)-VLOOKUP($A113,main!$A$3:$H$102,6,FALSE)&gt;=main!$D$103+VLOOKUP(VLOOKUP(CD$1,main!$A$3:$I$102,7,FALSE),main!$K$26:$Q$29,4,FALSE)),1,0)</f>
        <v>0</v>
      </c>
      <c r="CE113">
        <f>IF(AND(VLOOKUP(CE$1,main!$A$3:$H$102,7,FALSE)=main!$G$104,VLOOKUP(CE$1,main!$A$3:$H$102,5,FALSE)-VLOOKUP($A113,main!$A$3:$H$102,6,FALSE)&gt;=main!$D$103+VLOOKUP(VLOOKUP(CE$1,main!$A$3:$I$102,7,FALSE),main!$K$26:$Q$29,4,FALSE)),1,0)</f>
        <v>0</v>
      </c>
      <c r="CF113">
        <f>IF(AND(VLOOKUP(CF$1,main!$A$3:$H$102,7,FALSE)=main!$G$104,VLOOKUP(CF$1,main!$A$3:$H$102,5,FALSE)-VLOOKUP($A113,main!$A$3:$H$102,6,FALSE)&gt;=main!$D$103+VLOOKUP(VLOOKUP(CF$1,main!$A$3:$I$102,7,FALSE),main!$K$26:$Q$29,4,FALSE)),1,0)</f>
        <v>0</v>
      </c>
      <c r="CG113">
        <f>IF(AND(VLOOKUP(CG$1,main!$A$3:$H$102,7,FALSE)=main!$G$104,VLOOKUP(CG$1,main!$A$3:$H$102,5,FALSE)-VLOOKUP($A113,main!$A$3:$H$102,6,FALSE)&gt;=main!$D$103+VLOOKUP(VLOOKUP(CG$1,main!$A$3:$I$102,7,FALSE),main!$K$26:$Q$29,4,FALSE)),1,0)</f>
        <v>0</v>
      </c>
      <c r="CH113">
        <f>IF(AND(VLOOKUP(CH$1,main!$A$3:$H$102,7,FALSE)=main!$G$104,VLOOKUP(CH$1,main!$A$3:$H$102,5,FALSE)-VLOOKUP($A113,main!$A$3:$H$102,6,FALSE)&gt;=main!$D$103+VLOOKUP(VLOOKUP(CH$1,main!$A$3:$I$102,7,FALSE),main!$K$26:$Q$29,4,FALSE)),1,0)</f>
        <v>0</v>
      </c>
      <c r="CI113">
        <f>IF(AND(VLOOKUP(CI$1,main!$A$3:$H$102,7,FALSE)=main!$G$104,VLOOKUP(CI$1,main!$A$3:$H$102,5,FALSE)-VLOOKUP($A113,main!$A$3:$H$102,6,FALSE)&gt;=main!$D$103+VLOOKUP(VLOOKUP(CI$1,main!$A$3:$I$102,7,FALSE),main!$K$26:$Q$29,4,FALSE)),1,0)</f>
        <v>0</v>
      </c>
      <c r="CJ113">
        <f>IF(AND(VLOOKUP(CJ$1,main!$A$3:$H$102,7,FALSE)=main!$G$104,VLOOKUP(CJ$1,main!$A$3:$H$102,5,FALSE)-VLOOKUP($A113,main!$A$3:$H$102,6,FALSE)&gt;=main!$D$103+VLOOKUP(VLOOKUP(CJ$1,main!$A$3:$I$102,7,FALSE),main!$K$26:$Q$29,4,FALSE)),1,0)</f>
        <v>0</v>
      </c>
      <c r="CK113">
        <f>IF(AND(VLOOKUP(CK$1,main!$A$3:$H$102,7,FALSE)=main!$G$104,VLOOKUP(CK$1,main!$A$3:$H$102,5,FALSE)-VLOOKUP($A113,main!$A$3:$H$102,6,FALSE)&gt;=main!$D$103+VLOOKUP(VLOOKUP(CK$1,main!$A$3:$I$102,7,FALSE),main!$K$26:$Q$29,4,FALSE)),1,0)</f>
        <v>0</v>
      </c>
      <c r="CL113">
        <f>IF(AND(VLOOKUP(CL$1,main!$A$3:$H$102,7,FALSE)=main!$G$104,VLOOKUP(CL$1,main!$A$3:$H$102,5,FALSE)-VLOOKUP($A113,main!$A$3:$H$102,6,FALSE)&gt;=main!$D$103+VLOOKUP(VLOOKUP(CL$1,main!$A$3:$I$102,7,FALSE),main!$K$26:$Q$29,4,FALSE)),1,0)</f>
        <v>0</v>
      </c>
      <c r="CM113">
        <f>IF(AND(VLOOKUP(CM$1,main!$A$3:$H$102,7,FALSE)=main!$G$104,VLOOKUP(CM$1,main!$A$3:$H$102,5,FALSE)-VLOOKUP($A113,main!$A$3:$H$102,6,FALSE)&gt;=main!$D$103+VLOOKUP(VLOOKUP(CM$1,main!$A$3:$I$102,7,FALSE),main!$K$26:$Q$29,4,FALSE)),1,0)</f>
        <v>0</v>
      </c>
      <c r="CN113">
        <f>IF(AND(VLOOKUP(CN$1,main!$A$3:$H$102,7,FALSE)=main!$G$104,VLOOKUP(CN$1,main!$A$3:$H$102,5,FALSE)-VLOOKUP($A113,main!$A$3:$H$102,6,FALSE)&gt;=main!$D$103+VLOOKUP(VLOOKUP(CN$1,main!$A$3:$I$102,7,FALSE),main!$K$26:$Q$29,4,FALSE)),1,0)</f>
        <v>0</v>
      </c>
      <c r="CO113">
        <f>IF(AND(VLOOKUP(CO$1,main!$A$3:$H$102,7,FALSE)=main!$G$104,VLOOKUP(CO$1,main!$A$3:$H$102,5,FALSE)-VLOOKUP($A113,main!$A$3:$H$102,6,FALSE)&gt;=main!$D$103+VLOOKUP(VLOOKUP(CO$1,main!$A$3:$I$102,7,FALSE),main!$K$26:$Q$29,4,FALSE)),1,0)</f>
        <v>0</v>
      </c>
      <c r="CP113">
        <f>IF(AND(VLOOKUP(CP$1,main!$A$3:$H$102,7,FALSE)=main!$G$104,VLOOKUP(CP$1,main!$A$3:$H$102,5,FALSE)-VLOOKUP($A113,main!$A$3:$H$102,6,FALSE)&gt;=main!$D$103+VLOOKUP(VLOOKUP(CP$1,main!$A$3:$I$102,7,FALSE),main!$K$26:$Q$29,4,FALSE)),1,0)</f>
        <v>0</v>
      </c>
      <c r="CQ113">
        <f>IF(AND(VLOOKUP(CQ$1,main!$A$3:$H$102,7,FALSE)=main!$G$104,VLOOKUP(CQ$1,main!$A$3:$H$102,5,FALSE)-VLOOKUP($A113,main!$A$3:$H$102,6,FALSE)&gt;=main!$D$103+VLOOKUP(VLOOKUP(CQ$1,main!$A$3:$I$102,7,FALSE),main!$K$26:$Q$29,4,FALSE)),1,0)</f>
        <v>0</v>
      </c>
      <c r="CR113">
        <f>IF(AND(VLOOKUP(CR$1,main!$A$3:$H$102,7,FALSE)=main!$G$104,VLOOKUP(CR$1,main!$A$3:$H$102,5,FALSE)-VLOOKUP($A113,main!$A$3:$H$102,6,FALSE)&gt;=main!$D$103+VLOOKUP(VLOOKUP(CR$1,main!$A$3:$I$102,7,FALSE),main!$K$26:$Q$29,4,FALSE)),1,0)</f>
        <v>0</v>
      </c>
      <c r="CS113">
        <f>IF(AND(VLOOKUP(CS$1,main!$A$3:$H$102,7,FALSE)=main!$G$104,VLOOKUP(CS$1,main!$A$3:$H$102,5,FALSE)-VLOOKUP($A113,main!$A$3:$H$102,6,FALSE)&gt;=main!$D$103+VLOOKUP(VLOOKUP(CS$1,main!$A$3:$I$102,7,FALSE),main!$K$26:$Q$29,4,FALSE)),1,0)</f>
        <v>0</v>
      </c>
      <c r="CT113">
        <f>IF(AND(VLOOKUP(CT$1,main!$A$3:$H$102,7,FALSE)=main!$G$104,VLOOKUP(CT$1,main!$A$3:$H$102,5,FALSE)-VLOOKUP($A113,main!$A$3:$H$102,6,FALSE)&gt;=main!$D$103+VLOOKUP(VLOOKUP(CT$1,main!$A$3:$I$102,7,FALSE),main!$K$26:$Q$29,4,FALSE)),1,0)</f>
        <v>0</v>
      </c>
      <c r="CU113">
        <f>IF(AND(VLOOKUP(CU$1,main!$A$3:$H$102,7,FALSE)=main!$G$104,VLOOKUP(CU$1,main!$A$3:$H$102,5,FALSE)-VLOOKUP($A113,main!$A$3:$H$102,6,FALSE)&gt;=main!$D$103+VLOOKUP(VLOOKUP(CU$1,main!$A$3:$I$102,7,FALSE),main!$K$26:$Q$29,4,FALSE)),1,0)</f>
        <v>0</v>
      </c>
      <c r="CV113">
        <f>IF(AND(VLOOKUP(CV$1,main!$A$3:$H$102,7,FALSE)=main!$G$104,VLOOKUP(CV$1,main!$A$3:$H$102,5,FALSE)-VLOOKUP($A113,main!$A$3:$H$102,6,FALSE)&gt;=main!$D$103+VLOOKUP(VLOOKUP(CV$1,main!$A$3:$I$102,7,FALSE),main!$K$26:$Q$29,4,FALSE)),1,0)</f>
        <v>0</v>
      </c>
      <c r="CW113">
        <f>IF(AND(VLOOKUP(CW$1,main!$A$3:$H$102,7,FALSE)=main!$G$104,VLOOKUP(CW$1,main!$A$3:$H$102,5,FALSE)-VLOOKUP($A113,main!$A$3:$H$102,6,FALSE)&gt;=main!$D$103+VLOOKUP(VLOOKUP(CW$1,main!$A$3:$I$102,7,FALSE),main!$K$26:$Q$29,4,FALSE)),1,0)</f>
        <v>0</v>
      </c>
      <c r="CX113">
        <f>IF(AND(VLOOKUP(CX$1,main!$A$3:$H$102,7,FALSE)=main!$G$104,VLOOKUP(CX$1,main!$A$3:$H$102,5,FALSE)-VLOOKUP($A113,main!$A$3:$H$102,6,FALSE)&gt;=main!$D$103+VLOOKUP(VLOOKUP(CX$1,main!$A$3:$I$102,7,FALSE),main!$K$26:$Q$29,4,FALSE)),1,0)</f>
        <v>0</v>
      </c>
    </row>
    <row r="114" spans="1:102" x14ac:dyDescent="0.25">
      <c r="A114" s="1">
        <v>11</v>
      </c>
      <c r="B114">
        <v>0</v>
      </c>
      <c r="C114">
        <f>IF(AND(VLOOKUP(C$1,main!$A$3:$H$102,7,FALSE)=main!$G$104,VLOOKUP(C$1,main!$A$3:$H$102,5,FALSE)-VLOOKUP($A114,main!$A$3:$H$102,6,FALSE)&gt;=main!$D$103+VLOOKUP(VLOOKUP(C$1,main!$A$3:$I$102,7,FALSE),main!$K$26:$Q$29,4,FALSE)),1,0)</f>
        <v>0</v>
      </c>
      <c r="D114">
        <f>IF(AND(VLOOKUP(D$1,main!$A$3:$H$102,7,FALSE)=main!$G$104,VLOOKUP(D$1,main!$A$3:$H$102,5,FALSE)-VLOOKUP($A114,main!$A$3:$H$102,6,FALSE)&gt;=main!$D$103+VLOOKUP(VLOOKUP(D$1,main!$A$3:$I$102,7,FALSE),main!$K$26:$Q$29,4,FALSE)),1,0)</f>
        <v>0</v>
      </c>
      <c r="E114">
        <f>IF(AND(VLOOKUP(E$1,main!$A$3:$H$102,7,FALSE)=main!$G$104,VLOOKUP(E$1,main!$A$3:$H$102,5,FALSE)-VLOOKUP($A114,main!$A$3:$H$102,6,FALSE)&gt;=main!$D$103+VLOOKUP(VLOOKUP(E$1,main!$A$3:$I$102,7,FALSE),main!$K$26:$Q$29,4,FALSE)),1,0)</f>
        <v>0</v>
      </c>
      <c r="F114">
        <f>IF(AND(VLOOKUP(F$1,main!$A$3:$H$102,7,FALSE)=main!$G$104,VLOOKUP(F$1,main!$A$3:$H$102,5,FALSE)-VLOOKUP($A114,main!$A$3:$H$102,6,FALSE)&gt;=main!$D$103+VLOOKUP(VLOOKUP(F$1,main!$A$3:$I$102,7,FALSE),main!$K$26:$Q$29,4,FALSE)),1,0)</f>
        <v>0</v>
      </c>
      <c r="G114">
        <f>IF(AND(VLOOKUP(G$1,main!$A$3:$H$102,7,FALSE)=main!$G$104,VLOOKUP(G$1,main!$A$3:$H$102,5,FALSE)-VLOOKUP($A114,main!$A$3:$H$102,6,FALSE)&gt;=main!$D$103+VLOOKUP(VLOOKUP(G$1,main!$A$3:$I$102,7,FALSE),main!$K$26:$Q$29,4,FALSE)),1,0)</f>
        <v>1</v>
      </c>
      <c r="H114">
        <f>IF(AND(VLOOKUP(H$1,main!$A$3:$H$102,7,FALSE)=main!$G$104,VLOOKUP(H$1,main!$A$3:$H$102,5,FALSE)-VLOOKUP($A114,main!$A$3:$H$102,6,FALSE)&gt;=main!$D$103+VLOOKUP(VLOOKUP(H$1,main!$A$3:$I$102,7,FALSE),main!$K$26:$Q$29,4,FALSE)),1,0)</f>
        <v>1</v>
      </c>
      <c r="I114">
        <f>IF(AND(VLOOKUP(I$1,main!$A$3:$H$102,7,FALSE)=main!$G$104,VLOOKUP(I$1,main!$A$3:$H$102,5,FALSE)-VLOOKUP($A114,main!$A$3:$H$102,6,FALSE)&gt;=main!$D$103+VLOOKUP(VLOOKUP(I$1,main!$A$3:$I$102,7,FALSE),main!$K$26:$Q$29,4,FALSE)),1,0)</f>
        <v>1</v>
      </c>
      <c r="J114">
        <f>IF(AND(VLOOKUP(J$1,main!$A$3:$H$102,7,FALSE)=main!$G$104,VLOOKUP(J$1,main!$A$3:$H$102,5,FALSE)-VLOOKUP($A114,main!$A$3:$H$102,6,FALSE)&gt;=main!$D$103+VLOOKUP(VLOOKUP(J$1,main!$A$3:$I$102,7,FALSE),main!$K$26:$Q$29,4,FALSE)),1,0)</f>
        <v>1</v>
      </c>
      <c r="K114">
        <f>IF(AND(VLOOKUP(K$1,main!$A$3:$H$102,7,FALSE)=main!$G$104,VLOOKUP(K$1,main!$A$3:$H$102,5,FALSE)-VLOOKUP($A114,main!$A$3:$H$102,6,FALSE)&gt;=main!$D$103+VLOOKUP(VLOOKUP(K$1,main!$A$3:$I$102,7,FALSE),main!$K$26:$Q$29,4,FALSE)),1,0)</f>
        <v>1</v>
      </c>
      <c r="L114">
        <f>IF(AND(VLOOKUP(L$1,main!$A$3:$H$102,7,FALSE)=main!$G$104,VLOOKUP(L$1,main!$A$3:$H$102,5,FALSE)-VLOOKUP($A114,main!$A$3:$H$102,6,FALSE)&gt;=main!$D$103+VLOOKUP(VLOOKUP(L$1,main!$A$3:$I$102,7,FALSE),main!$K$26:$Q$29,4,FALSE)),1,0)</f>
        <v>1</v>
      </c>
      <c r="M114">
        <f>IF(AND(VLOOKUP(M$1,main!$A$3:$H$102,7,FALSE)=main!$G$104,VLOOKUP(M$1,main!$A$3:$H$102,5,FALSE)-VLOOKUP($A114,main!$A$3:$H$102,6,FALSE)&gt;=main!$D$103+VLOOKUP(VLOOKUP(M$1,main!$A$3:$I$102,7,FALSE),main!$K$26:$Q$29,4,FALSE)),1,0)</f>
        <v>0</v>
      </c>
      <c r="N114">
        <f>IF(AND(VLOOKUP(N$1,main!$A$3:$H$102,7,FALSE)=main!$G$104,VLOOKUP(N$1,main!$A$3:$H$102,5,FALSE)-VLOOKUP($A114,main!$A$3:$H$102,6,FALSE)&gt;=main!$D$103+VLOOKUP(VLOOKUP(N$1,main!$A$3:$I$102,7,FALSE),main!$K$26:$Q$29,4,FALSE)),1,0)</f>
        <v>0</v>
      </c>
      <c r="O114">
        <f>IF(AND(VLOOKUP(O$1,main!$A$3:$H$102,7,FALSE)=main!$G$104,VLOOKUP(O$1,main!$A$3:$H$102,5,FALSE)-VLOOKUP($A114,main!$A$3:$H$102,6,FALSE)&gt;=main!$D$103+VLOOKUP(VLOOKUP(O$1,main!$A$3:$I$102,7,FALSE),main!$K$26:$Q$29,4,FALSE)),1,0)</f>
        <v>0</v>
      </c>
      <c r="P114">
        <f>IF(AND(VLOOKUP(P$1,main!$A$3:$H$102,7,FALSE)=main!$G$104,VLOOKUP(P$1,main!$A$3:$H$102,5,FALSE)-VLOOKUP($A114,main!$A$3:$H$102,6,FALSE)&gt;=main!$D$103+VLOOKUP(VLOOKUP(P$1,main!$A$3:$I$102,7,FALSE),main!$K$26:$Q$29,4,FALSE)),1,0)</f>
        <v>0</v>
      </c>
      <c r="Q114">
        <f>IF(AND(VLOOKUP(Q$1,main!$A$3:$H$102,7,FALSE)=main!$G$104,VLOOKUP(Q$1,main!$A$3:$H$102,5,FALSE)-VLOOKUP($A114,main!$A$3:$H$102,6,FALSE)&gt;=main!$D$103+VLOOKUP(VLOOKUP(Q$1,main!$A$3:$I$102,7,FALSE),main!$K$26:$Q$29,4,FALSE)),1,0)</f>
        <v>1</v>
      </c>
      <c r="R114">
        <f>IF(AND(VLOOKUP(R$1,main!$A$3:$H$102,7,FALSE)=main!$G$104,VLOOKUP(R$1,main!$A$3:$H$102,5,FALSE)-VLOOKUP($A114,main!$A$3:$H$102,6,FALSE)&gt;=main!$D$103+VLOOKUP(VLOOKUP(R$1,main!$A$3:$I$102,7,FALSE),main!$K$26:$Q$29,4,FALSE)),1,0)</f>
        <v>1</v>
      </c>
      <c r="S114">
        <f>IF(AND(VLOOKUP(S$1,main!$A$3:$H$102,7,FALSE)=main!$G$104,VLOOKUP(S$1,main!$A$3:$H$102,5,FALSE)-VLOOKUP($A114,main!$A$3:$H$102,6,FALSE)&gt;=main!$D$103+VLOOKUP(VLOOKUP(S$1,main!$A$3:$I$102,7,FALSE),main!$K$26:$Q$29,4,FALSE)),1,0)</f>
        <v>1</v>
      </c>
      <c r="T114">
        <f>IF(AND(VLOOKUP(T$1,main!$A$3:$H$102,7,FALSE)=main!$G$104,VLOOKUP(T$1,main!$A$3:$H$102,5,FALSE)-VLOOKUP($A114,main!$A$3:$H$102,6,FALSE)&gt;=main!$D$103+VLOOKUP(VLOOKUP(T$1,main!$A$3:$I$102,7,FALSE),main!$K$26:$Q$29,4,FALSE)),1,0)</f>
        <v>1</v>
      </c>
      <c r="U114">
        <f>IF(AND(VLOOKUP(U$1,main!$A$3:$H$102,7,FALSE)=main!$G$104,VLOOKUP(U$1,main!$A$3:$H$102,5,FALSE)-VLOOKUP($A114,main!$A$3:$H$102,6,FALSE)&gt;=main!$D$103+VLOOKUP(VLOOKUP(U$1,main!$A$3:$I$102,7,FALSE),main!$K$26:$Q$29,4,FALSE)),1,0)</f>
        <v>1</v>
      </c>
      <c r="V114">
        <f>IF(AND(VLOOKUP(V$1,main!$A$3:$H$102,7,FALSE)=main!$G$104,VLOOKUP(V$1,main!$A$3:$H$102,5,FALSE)-VLOOKUP($A114,main!$A$3:$H$102,6,FALSE)&gt;=main!$D$103+VLOOKUP(VLOOKUP(V$1,main!$A$3:$I$102,7,FALSE),main!$K$26:$Q$29,4,FALSE)),1,0)</f>
        <v>1</v>
      </c>
      <c r="W114">
        <f>IF(AND(VLOOKUP(W$1,main!$A$3:$H$102,7,FALSE)=main!$G$104,VLOOKUP(W$1,main!$A$3:$H$102,5,FALSE)-VLOOKUP($A114,main!$A$3:$H$102,6,FALSE)&gt;=main!$D$103+VLOOKUP(VLOOKUP(W$1,main!$A$3:$I$102,7,FALSE),main!$K$26:$Q$29,4,FALSE)),1,0)</f>
        <v>0</v>
      </c>
      <c r="X114">
        <f>IF(AND(VLOOKUP(X$1,main!$A$3:$H$102,7,FALSE)=main!$G$104,VLOOKUP(X$1,main!$A$3:$H$102,5,FALSE)-VLOOKUP($A114,main!$A$3:$H$102,6,FALSE)&gt;=main!$D$103+VLOOKUP(VLOOKUP(X$1,main!$A$3:$I$102,7,FALSE),main!$K$26:$Q$29,4,FALSE)),1,0)</f>
        <v>0</v>
      </c>
      <c r="Y114">
        <f>IF(AND(VLOOKUP(Y$1,main!$A$3:$H$102,7,FALSE)=main!$G$104,VLOOKUP(Y$1,main!$A$3:$H$102,5,FALSE)-VLOOKUP($A114,main!$A$3:$H$102,6,FALSE)&gt;=main!$D$103+VLOOKUP(VLOOKUP(Y$1,main!$A$3:$I$102,7,FALSE),main!$K$26:$Q$29,4,FALSE)),1,0)</f>
        <v>1</v>
      </c>
      <c r="Z114">
        <f>IF(AND(VLOOKUP(Z$1,main!$A$3:$H$102,7,FALSE)=main!$G$104,VLOOKUP(Z$1,main!$A$3:$H$102,5,FALSE)-VLOOKUP($A114,main!$A$3:$H$102,6,FALSE)&gt;=main!$D$103+VLOOKUP(VLOOKUP(Z$1,main!$A$3:$I$102,7,FALSE),main!$K$26:$Q$29,4,FALSE)),1,0)</f>
        <v>1</v>
      </c>
      <c r="AA114">
        <f>IF(AND(VLOOKUP(AA$1,main!$A$3:$H$102,7,FALSE)=main!$G$104,VLOOKUP(AA$1,main!$A$3:$H$102,5,FALSE)-VLOOKUP($A114,main!$A$3:$H$102,6,FALSE)&gt;=main!$D$103+VLOOKUP(VLOOKUP(AA$1,main!$A$3:$I$102,7,FALSE),main!$K$26:$Q$29,4,FALSE)),1,0)</f>
        <v>1</v>
      </c>
      <c r="AB114">
        <f>IF(AND(VLOOKUP(AB$1,main!$A$3:$H$102,7,FALSE)=main!$G$104,VLOOKUP(AB$1,main!$A$3:$H$102,5,FALSE)-VLOOKUP($A114,main!$A$3:$H$102,6,FALSE)&gt;=main!$D$103+VLOOKUP(VLOOKUP(AB$1,main!$A$3:$I$102,7,FALSE),main!$K$26:$Q$29,4,FALSE)),1,0)</f>
        <v>0</v>
      </c>
      <c r="AC114">
        <f>IF(AND(VLOOKUP(AC$1,main!$A$3:$H$102,7,FALSE)=main!$G$104,VLOOKUP(AC$1,main!$A$3:$H$102,5,FALSE)-VLOOKUP($A114,main!$A$3:$H$102,6,FALSE)&gt;=main!$D$103+VLOOKUP(VLOOKUP(AC$1,main!$A$3:$I$102,7,FALSE),main!$K$26:$Q$29,4,FALSE)),1,0)</f>
        <v>0</v>
      </c>
      <c r="AD114">
        <f>IF(AND(VLOOKUP(AD$1,main!$A$3:$H$102,7,FALSE)=main!$G$104,VLOOKUP(AD$1,main!$A$3:$H$102,5,FALSE)-VLOOKUP($A114,main!$A$3:$H$102,6,FALSE)&gt;=main!$D$103+VLOOKUP(VLOOKUP(AD$1,main!$A$3:$I$102,7,FALSE),main!$K$26:$Q$29,4,FALSE)),1,0)</f>
        <v>0</v>
      </c>
      <c r="AE114">
        <f>IF(AND(VLOOKUP(AE$1,main!$A$3:$H$102,7,FALSE)=main!$G$104,VLOOKUP(AE$1,main!$A$3:$H$102,5,FALSE)-VLOOKUP($A114,main!$A$3:$H$102,6,FALSE)&gt;=main!$D$103+VLOOKUP(VLOOKUP(AE$1,main!$A$3:$I$102,7,FALSE),main!$K$26:$Q$29,4,FALSE)),1,0)</f>
        <v>1</v>
      </c>
      <c r="AF114">
        <f>IF(AND(VLOOKUP(AF$1,main!$A$3:$H$102,7,FALSE)=main!$G$104,VLOOKUP(AF$1,main!$A$3:$H$102,5,FALSE)-VLOOKUP($A114,main!$A$3:$H$102,6,FALSE)&gt;=main!$D$103+VLOOKUP(VLOOKUP(AF$1,main!$A$3:$I$102,7,FALSE),main!$K$26:$Q$29,4,FALSE)),1,0)</f>
        <v>1</v>
      </c>
      <c r="AG114">
        <f>IF(AND(VLOOKUP(AG$1,main!$A$3:$H$102,7,FALSE)=main!$G$104,VLOOKUP(AG$1,main!$A$3:$H$102,5,FALSE)-VLOOKUP($A114,main!$A$3:$H$102,6,FALSE)&gt;=main!$D$103+VLOOKUP(VLOOKUP(AG$1,main!$A$3:$I$102,7,FALSE),main!$K$26:$Q$29,4,FALSE)),1,0)</f>
        <v>0</v>
      </c>
      <c r="AH114">
        <f>IF(AND(VLOOKUP(AH$1,main!$A$3:$H$102,7,FALSE)=main!$G$104,VLOOKUP(AH$1,main!$A$3:$H$102,5,FALSE)-VLOOKUP($A114,main!$A$3:$H$102,6,FALSE)&gt;=main!$D$103+VLOOKUP(VLOOKUP(AH$1,main!$A$3:$I$102,7,FALSE),main!$K$26:$Q$29,4,FALSE)),1,0)</f>
        <v>0</v>
      </c>
      <c r="AI114">
        <f>IF(AND(VLOOKUP(AI$1,main!$A$3:$H$102,7,FALSE)=main!$G$104,VLOOKUP(AI$1,main!$A$3:$H$102,5,FALSE)-VLOOKUP($A114,main!$A$3:$H$102,6,FALSE)&gt;=main!$D$103+VLOOKUP(VLOOKUP(AI$1,main!$A$3:$I$102,7,FALSE),main!$K$26:$Q$29,4,FALSE)),1,0)</f>
        <v>0</v>
      </c>
      <c r="AJ114">
        <f>IF(AND(VLOOKUP(AJ$1,main!$A$3:$H$102,7,FALSE)=main!$G$104,VLOOKUP(AJ$1,main!$A$3:$H$102,5,FALSE)-VLOOKUP($A114,main!$A$3:$H$102,6,FALSE)&gt;=main!$D$103+VLOOKUP(VLOOKUP(AJ$1,main!$A$3:$I$102,7,FALSE),main!$K$26:$Q$29,4,FALSE)),1,0)</f>
        <v>0</v>
      </c>
      <c r="AK114">
        <f>IF(AND(VLOOKUP(AK$1,main!$A$3:$H$102,7,FALSE)=main!$G$104,VLOOKUP(AK$1,main!$A$3:$H$102,5,FALSE)-VLOOKUP($A114,main!$A$3:$H$102,6,FALSE)&gt;=main!$D$103+VLOOKUP(VLOOKUP(AK$1,main!$A$3:$I$102,7,FALSE),main!$K$26:$Q$29,4,FALSE)),1,0)</f>
        <v>0</v>
      </c>
      <c r="AL114">
        <f>IF(AND(VLOOKUP(AL$1,main!$A$3:$H$102,7,FALSE)=main!$G$104,VLOOKUP(AL$1,main!$A$3:$H$102,5,FALSE)-VLOOKUP($A114,main!$A$3:$H$102,6,FALSE)&gt;=main!$D$103+VLOOKUP(VLOOKUP(AL$1,main!$A$3:$I$102,7,FALSE),main!$K$26:$Q$29,4,FALSE)),1,0)</f>
        <v>0</v>
      </c>
      <c r="AM114">
        <f>IF(AND(VLOOKUP(AM$1,main!$A$3:$H$102,7,FALSE)=main!$G$104,VLOOKUP(AM$1,main!$A$3:$H$102,5,FALSE)-VLOOKUP($A114,main!$A$3:$H$102,6,FALSE)&gt;=main!$D$103+VLOOKUP(VLOOKUP(AM$1,main!$A$3:$I$102,7,FALSE),main!$K$26:$Q$29,4,FALSE)),1,0)</f>
        <v>0</v>
      </c>
      <c r="AN114">
        <f>IF(AND(VLOOKUP(AN$1,main!$A$3:$H$102,7,FALSE)=main!$G$104,VLOOKUP(AN$1,main!$A$3:$H$102,5,FALSE)-VLOOKUP($A114,main!$A$3:$H$102,6,FALSE)&gt;=main!$D$103+VLOOKUP(VLOOKUP(AN$1,main!$A$3:$I$102,7,FALSE),main!$K$26:$Q$29,4,FALSE)),1,0)</f>
        <v>0</v>
      </c>
      <c r="AO114">
        <f>IF(AND(VLOOKUP(AO$1,main!$A$3:$H$102,7,FALSE)=main!$G$104,VLOOKUP(AO$1,main!$A$3:$H$102,5,FALSE)-VLOOKUP($A114,main!$A$3:$H$102,6,FALSE)&gt;=main!$D$103+VLOOKUP(VLOOKUP(AO$1,main!$A$3:$I$102,7,FALSE),main!$K$26:$Q$29,4,FALSE)),1,0)</f>
        <v>0</v>
      </c>
      <c r="AP114">
        <f>IF(AND(VLOOKUP(AP$1,main!$A$3:$H$102,7,FALSE)=main!$G$104,VLOOKUP(AP$1,main!$A$3:$H$102,5,FALSE)-VLOOKUP($A114,main!$A$3:$H$102,6,FALSE)&gt;=main!$D$103+VLOOKUP(VLOOKUP(AP$1,main!$A$3:$I$102,7,FALSE),main!$K$26:$Q$29,4,FALSE)),1,0)</f>
        <v>0</v>
      </c>
      <c r="AQ114">
        <f>IF(AND(VLOOKUP(AQ$1,main!$A$3:$H$102,7,FALSE)=main!$G$104,VLOOKUP(AQ$1,main!$A$3:$H$102,5,FALSE)-VLOOKUP($A114,main!$A$3:$H$102,6,FALSE)&gt;=main!$D$103+VLOOKUP(VLOOKUP(AQ$1,main!$A$3:$I$102,7,FALSE),main!$K$26:$Q$29,4,FALSE)),1,0)</f>
        <v>0</v>
      </c>
      <c r="AR114">
        <f>IF(AND(VLOOKUP(AR$1,main!$A$3:$H$102,7,FALSE)=main!$G$104,VLOOKUP(AR$1,main!$A$3:$H$102,5,FALSE)-VLOOKUP($A114,main!$A$3:$H$102,6,FALSE)&gt;=main!$D$103+VLOOKUP(VLOOKUP(AR$1,main!$A$3:$I$102,7,FALSE),main!$K$26:$Q$29,4,FALSE)),1,0)</f>
        <v>0</v>
      </c>
      <c r="AS114">
        <f>IF(AND(VLOOKUP(AS$1,main!$A$3:$H$102,7,FALSE)=main!$G$104,VLOOKUP(AS$1,main!$A$3:$H$102,5,FALSE)-VLOOKUP($A114,main!$A$3:$H$102,6,FALSE)&gt;=main!$D$103+VLOOKUP(VLOOKUP(AS$1,main!$A$3:$I$102,7,FALSE),main!$K$26:$Q$29,4,FALSE)),1,0)</f>
        <v>0</v>
      </c>
      <c r="AT114">
        <f>IF(AND(VLOOKUP(AT$1,main!$A$3:$H$102,7,FALSE)=main!$G$104,VLOOKUP(AT$1,main!$A$3:$H$102,5,FALSE)-VLOOKUP($A114,main!$A$3:$H$102,6,FALSE)&gt;=main!$D$103+VLOOKUP(VLOOKUP(AT$1,main!$A$3:$I$102,7,FALSE),main!$K$26:$Q$29,4,FALSE)),1,0)</f>
        <v>0</v>
      </c>
      <c r="AU114">
        <f>IF(AND(VLOOKUP(AU$1,main!$A$3:$H$102,7,FALSE)=main!$G$104,VLOOKUP(AU$1,main!$A$3:$H$102,5,FALSE)-VLOOKUP($A114,main!$A$3:$H$102,6,FALSE)&gt;=main!$D$103+VLOOKUP(VLOOKUP(AU$1,main!$A$3:$I$102,7,FALSE),main!$K$26:$Q$29,4,FALSE)),1,0)</f>
        <v>0</v>
      </c>
      <c r="AV114">
        <f>IF(AND(VLOOKUP(AV$1,main!$A$3:$H$102,7,FALSE)=main!$G$104,VLOOKUP(AV$1,main!$A$3:$H$102,5,FALSE)-VLOOKUP($A114,main!$A$3:$H$102,6,FALSE)&gt;=main!$D$103+VLOOKUP(VLOOKUP(AV$1,main!$A$3:$I$102,7,FALSE),main!$K$26:$Q$29,4,FALSE)),1,0)</f>
        <v>0</v>
      </c>
      <c r="AW114">
        <f>IF(AND(VLOOKUP(AW$1,main!$A$3:$H$102,7,FALSE)=main!$G$104,VLOOKUP(AW$1,main!$A$3:$H$102,5,FALSE)-VLOOKUP($A114,main!$A$3:$H$102,6,FALSE)&gt;=main!$D$103+VLOOKUP(VLOOKUP(AW$1,main!$A$3:$I$102,7,FALSE),main!$K$26:$Q$29,4,FALSE)),1,0)</f>
        <v>0</v>
      </c>
      <c r="AX114">
        <f>IF(AND(VLOOKUP(AX$1,main!$A$3:$H$102,7,FALSE)=main!$G$104,VLOOKUP(AX$1,main!$A$3:$H$102,5,FALSE)-VLOOKUP($A114,main!$A$3:$H$102,6,FALSE)&gt;=main!$D$103+VLOOKUP(VLOOKUP(AX$1,main!$A$3:$I$102,7,FALSE),main!$K$26:$Q$29,4,FALSE)),1,0)</f>
        <v>0</v>
      </c>
      <c r="AY114">
        <f>IF(AND(VLOOKUP(AY$1,main!$A$3:$H$102,7,FALSE)=main!$G$104,VLOOKUP(AY$1,main!$A$3:$H$102,5,FALSE)-VLOOKUP($A114,main!$A$3:$H$102,6,FALSE)&gt;=main!$D$103+VLOOKUP(VLOOKUP(AY$1,main!$A$3:$I$102,7,FALSE),main!$K$26:$Q$29,4,FALSE)),1,0)</f>
        <v>0</v>
      </c>
      <c r="AZ114">
        <f>IF(AND(VLOOKUP(AZ$1,main!$A$3:$H$102,7,FALSE)=main!$G$104,VLOOKUP(AZ$1,main!$A$3:$H$102,5,FALSE)-VLOOKUP($A114,main!$A$3:$H$102,6,FALSE)&gt;=main!$D$103+VLOOKUP(VLOOKUP(AZ$1,main!$A$3:$I$102,7,FALSE),main!$K$26:$Q$29,4,FALSE)),1,0)</f>
        <v>0</v>
      </c>
      <c r="BA114">
        <f>IF(AND(VLOOKUP(BA$1,main!$A$3:$H$102,7,FALSE)=main!$G$104,VLOOKUP(BA$1,main!$A$3:$H$102,5,FALSE)-VLOOKUP($A114,main!$A$3:$H$102,6,FALSE)&gt;=main!$D$103+VLOOKUP(VLOOKUP(BA$1,main!$A$3:$I$102,7,FALSE),main!$K$26:$Q$29,4,FALSE)),1,0)</f>
        <v>0</v>
      </c>
      <c r="BB114">
        <f>IF(AND(VLOOKUP(BB$1,main!$A$3:$H$102,7,FALSE)=main!$G$104,VLOOKUP(BB$1,main!$A$3:$H$102,5,FALSE)-VLOOKUP($A114,main!$A$3:$H$102,6,FALSE)&gt;=main!$D$103+VLOOKUP(VLOOKUP(BB$1,main!$A$3:$I$102,7,FALSE),main!$K$26:$Q$29,4,FALSE)),1,0)</f>
        <v>0</v>
      </c>
      <c r="BC114">
        <f>IF(AND(VLOOKUP(BC$1,main!$A$3:$H$102,7,FALSE)=main!$G$104,VLOOKUP(BC$1,main!$A$3:$H$102,5,FALSE)-VLOOKUP($A114,main!$A$3:$H$102,6,FALSE)&gt;=main!$D$103+VLOOKUP(VLOOKUP(BC$1,main!$A$3:$I$102,7,FALSE),main!$K$26:$Q$29,4,FALSE)),1,0)</f>
        <v>0</v>
      </c>
      <c r="BD114">
        <f>IF(AND(VLOOKUP(BD$1,main!$A$3:$H$102,7,FALSE)=main!$G$104,VLOOKUP(BD$1,main!$A$3:$H$102,5,FALSE)-VLOOKUP($A114,main!$A$3:$H$102,6,FALSE)&gt;=main!$D$103+VLOOKUP(VLOOKUP(BD$1,main!$A$3:$I$102,7,FALSE),main!$K$26:$Q$29,4,FALSE)),1,0)</f>
        <v>0</v>
      </c>
      <c r="BE114">
        <f>IF(AND(VLOOKUP(BE$1,main!$A$3:$H$102,7,FALSE)=main!$G$104,VLOOKUP(BE$1,main!$A$3:$H$102,5,FALSE)-VLOOKUP($A114,main!$A$3:$H$102,6,FALSE)&gt;=main!$D$103+VLOOKUP(VLOOKUP(BE$1,main!$A$3:$I$102,7,FALSE),main!$K$26:$Q$29,4,FALSE)),1,0)</f>
        <v>0</v>
      </c>
      <c r="BF114">
        <f>IF(AND(VLOOKUP(BF$1,main!$A$3:$H$102,7,FALSE)=main!$G$104,VLOOKUP(BF$1,main!$A$3:$H$102,5,FALSE)-VLOOKUP($A114,main!$A$3:$H$102,6,FALSE)&gt;=main!$D$103+VLOOKUP(VLOOKUP(BF$1,main!$A$3:$I$102,7,FALSE),main!$K$26:$Q$29,4,FALSE)),1,0)</f>
        <v>0</v>
      </c>
      <c r="BG114">
        <f>IF(AND(VLOOKUP(BG$1,main!$A$3:$H$102,7,FALSE)=main!$G$104,VLOOKUP(BG$1,main!$A$3:$H$102,5,FALSE)-VLOOKUP($A114,main!$A$3:$H$102,6,FALSE)&gt;=main!$D$103+VLOOKUP(VLOOKUP(BG$1,main!$A$3:$I$102,7,FALSE),main!$K$26:$Q$29,4,FALSE)),1,0)</f>
        <v>0</v>
      </c>
      <c r="BH114">
        <f>IF(AND(VLOOKUP(BH$1,main!$A$3:$H$102,7,FALSE)=main!$G$104,VLOOKUP(BH$1,main!$A$3:$H$102,5,FALSE)-VLOOKUP($A114,main!$A$3:$H$102,6,FALSE)&gt;=main!$D$103+VLOOKUP(VLOOKUP(BH$1,main!$A$3:$I$102,7,FALSE),main!$K$26:$Q$29,4,FALSE)),1,0)</f>
        <v>0</v>
      </c>
      <c r="BI114">
        <f>IF(AND(VLOOKUP(BI$1,main!$A$3:$H$102,7,FALSE)=main!$G$104,VLOOKUP(BI$1,main!$A$3:$H$102,5,FALSE)-VLOOKUP($A114,main!$A$3:$H$102,6,FALSE)&gt;=main!$D$103+VLOOKUP(VLOOKUP(BI$1,main!$A$3:$I$102,7,FALSE),main!$K$26:$Q$29,4,FALSE)),1,0)</f>
        <v>0</v>
      </c>
      <c r="BJ114">
        <f>IF(AND(VLOOKUP(BJ$1,main!$A$3:$H$102,7,FALSE)=main!$G$104,VLOOKUP(BJ$1,main!$A$3:$H$102,5,FALSE)-VLOOKUP($A114,main!$A$3:$H$102,6,FALSE)&gt;=main!$D$103+VLOOKUP(VLOOKUP(BJ$1,main!$A$3:$I$102,7,FALSE),main!$K$26:$Q$29,4,FALSE)),1,0)</f>
        <v>0</v>
      </c>
      <c r="BK114">
        <f>IF(AND(VLOOKUP(BK$1,main!$A$3:$H$102,7,FALSE)=main!$G$104,VLOOKUP(BK$1,main!$A$3:$H$102,5,FALSE)-VLOOKUP($A114,main!$A$3:$H$102,6,FALSE)&gt;=main!$D$103+VLOOKUP(VLOOKUP(BK$1,main!$A$3:$I$102,7,FALSE),main!$K$26:$Q$29,4,FALSE)),1,0)</f>
        <v>0</v>
      </c>
      <c r="BL114">
        <f>IF(AND(VLOOKUP(BL$1,main!$A$3:$H$102,7,FALSE)=main!$G$104,VLOOKUP(BL$1,main!$A$3:$H$102,5,FALSE)-VLOOKUP($A114,main!$A$3:$H$102,6,FALSE)&gt;=main!$D$103+VLOOKUP(VLOOKUP(BL$1,main!$A$3:$I$102,7,FALSE),main!$K$26:$Q$29,4,FALSE)),1,0)</f>
        <v>0</v>
      </c>
      <c r="BM114">
        <f>IF(AND(VLOOKUP(BM$1,main!$A$3:$H$102,7,FALSE)=main!$G$104,VLOOKUP(BM$1,main!$A$3:$H$102,5,FALSE)-VLOOKUP($A114,main!$A$3:$H$102,6,FALSE)&gt;=main!$D$103+VLOOKUP(VLOOKUP(BM$1,main!$A$3:$I$102,7,FALSE),main!$K$26:$Q$29,4,FALSE)),1,0)</f>
        <v>0</v>
      </c>
      <c r="BN114">
        <f>IF(AND(VLOOKUP(BN$1,main!$A$3:$H$102,7,FALSE)=main!$G$104,VLOOKUP(BN$1,main!$A$3:$H$102,5,FALSE)-VLOOKUP($A114,main!$A$3:$H$102,6,FALSE)&gt;=main!$D$103+VLOOKUP(VLOOKUP(BN$1,main!$A$3:$I$102,7,FALSE),main!$K$26:$Q$29,4,FALSE)),1,0)</f>
        <v>0</v>
      </c>
      <c r="BO114">
        <f>IF(AND(VLOOKUP(BO$1,main!$A$3:$H$102,7,FALSE)=main!$G$104,VLOOKUP(BO$1,main!$A$3:$H$102,5,FALSE)-VLOOKUP($A114,main!$A$3:$H$102,6,FALSE)&gt;=main!$D$103+VLOOKUP(VLOOKUP(BO$1,main!$A$3:$I$102,7,FALSE),main!$K$26:$Q$29,4,FALSE)),1,0)</f>
        <v>0</v>
      </c>
      <c r="BP114">
        <f>IF(AND(VLOOKUP(BP$1,main!$A$3:$H$102,7,FALSE)=main!$G$104,VLOOKUP(BP$1,main!$A$3:$H$102,5,FALSE)-VLOOKUP($A114,main!$A$3:$H$102,6,FALSE)&gt;=main!$D$103+VLOOKUP(VLOOKUP(BP$1,main!$A$3:$I$102,7,FALSE),main!$K$26:$Q$29,4,FALSE)),1,0)</f>
        <v>0</v>
      </c>
      <c r="BQ114">
        <f>IF(AND(VLOOKUP(BQ$1,main!$A$3:$H$102,7,FALSE)=main!$G$104,VLOOKUP(BQ$1,main!$A$3:$H$102,5,FALSE)-VLOOKUP($A114,main!$A$3:$H$102,6,FALSE)&gt;=main!$D$103+VLOOKUP(VLOOKUP(BQ$1,main!$A$3:$I$102,7,FALSE),main!$K$26:$Q$29,4,FALSE)),1,0)</f>
        <v>0</v>
      </c>
      <c r="BR114">
        <f>IF(AND(VLOOKUP(BR$1,main!$A$3:$H$102,7,FALSE)=main!$G$104,VLOOKUP(BR$1,main!$A$3:$H$102,5,FALSE)-VLOOKUP($A114,main!$A$3:$H$102,6,FALSE)&gt;=main!$D$103+VLOOKUP(VLOOKUP(BR$1,main!$A$3:$I$102,7,FALSE),main!$K$26:$Q$29,4,FALSE)),1,0)</f>
        <v>0</v>
      </c>
      <c r="BS114">
        <f>IF(AND(VLOOKUP(BS$1,main!$A$3:$H$102,7,FALSE)=main!$G$104,VLOOKUP(BS$1,main!$A$3:$H$102,5,FALSE)-VLOOKUP($A114,main!$A$3:$H$102,6,FALSE)&gt;=main!$D$103+VLOOKUP(VLOOKUP(BS$1,main!$A$3:$I$102,7,FALSE),main!$K$26:$Q$29,4,FALSE)),1,0)</f>
        <v>0</v>
      </c>
      <c r="BT114">
        <f>IF(AND(VLOOKUP(BT$1,main!$A$3:$H$102,7,FALSE)=main!$G$104,VLOOKUP(BT$1,main!$A$3:$H$102,5,FALSE)-VLOOKUP($A114,main!$A$3:$H$102,6,FALSE)&gt;=main!$D$103+VLOOKUP(VLOOKUP(BT$1,main!$A$3:$I$102,7,FALSE),main!$K$26:$Q$29,4,FALSE)),1,0)</f>
        <v>0</v>
      </c>
      <c r="BU114">
        <f>IF(AND(VLOOKUP(BU$1,main!$A$3:$H$102,7,FALSE)=main!$G$104,VLOOKUP(BU$1,main!$A$3:$H$102,5,FALSE)-VLOOKUP($A114,main!$A$3:$H$102,6,FALSE)&gt;=main!$D$103+VLOOKUP(VLOOKUP(BU$1,main!$A$3:$I$102,7,FALSE),main!$K$26:$Q$29,4,FALSE)),1,0)</f>
        <v>0</v>
      </c>
      <c r="BV114">
        <f>IF(AND(VLOOKUP(BV$1,main!$A$3:$H$102,7,FALSE)=main!$G$104,VLOOKUP(BV$1,main!$A$3:$H$102,5,FALSE)-VLOOKUP($A114,main!$A$3:$H$102,6,FALSE)&gt;=main!$D$103+VLOOKUP(VLOOKUP(BV$1,main!$A$3:$I$102,7,FALSE),main!$K$26:$Q$29,4,FALSE)),1,0)</f>
        <v>0</v>
      </c>
      <c r="BW114">
        <f>IF(AND(VLOOKUP(BW$1,main!$A$3:$H$102,7,FALSE)=main!$G$104,VLOOKUP(BW$1,main!$A$3:$H$102,5,FALSE)-VLOOKUP($A114,main!$A$3:$H$102,6,FALSE)&gt;=main!$D$103+VLOOKUP(VLOOKUP(BW$1,main!$A$3:$I$102,7,FALSE),main!$K$26:$Q$29,4,FALSE)),1,0)</f>
        <v>0</v>
      </c>
      <c r="BX114">
        <f>IF(AND(VLOOKUP(BX$1,main!$A$3:$H$102,7,FALSE)=main!$G$104,VLOOKUP(BX$1,main!$A$3:$H$102,5,FALSE)-VLOOKUP($A114,main!$A$3:$H$102,6,FALSE)&gt;=main!$D$103+VLOOKUP(VLOOKUP(BX$1,main!$A$3:$I$102,7,FALSE),main!$K$26:$Q$29,4,FALSE)),1,0)</f>
        <v>0</v>
      </c>
      <c r="BY114">
        <f>IF(AND(VLOOKUP(BY$1,main!$A$3:$H$102,7,FALSE)=main!$G$104,VLOOKUP(BY$1,main!$A$3:$H$102,5,FALSE)-VLOOKUP($A114,main!$A$3:$H$102,6,FALSE)&gt;=main!$D$103+VLOOKUP(VLOOKUP(BY$1,main!$A$3:$I$102,7,FALSE),main!$K$26:$Q$29,4,FALSE)),1,0)</f>
        <v>0</v>
      </c>
      <c r="BZ114">
        <f>IF(AND(VLOOKUP(BZ$1,main!$A$3:$H$102,7,FALSE)=main!$G$104,VLOOKUP(BZ$1,main!$A$3:$H$102,5,FALSE)-VLOOKUP($A114,main!$A$3:$H$102,6,FALSE)&gt;=main!$D$103+VLOOKUP(VLOOKUP(BZ$1,main!$A$3:$I$102,7,FALSE),main!$K$26:$Q$29,4,FALSE)),1,0)</f>
        <v>0</v>
      </c>
      <c r="CA114">
        <f>IF(AND(VLOOKUP(CA$1,main!$A$3:$H$102,7,FALSE)=main!$G$104,VLOOKUP(CA$1,main!$A$3:$H$102,5,FALSE)-VLOOKUP($A114,main!$A$3:$H$102,6,FALSE)&gt;=main!$D$103+VLOOKUP(VLOOKUP(CA$1,main!$A$3:$I$102,7,FALSE),main!$K$26:$Q$29,4,FALSE)),1,0)</f>
        <v>0</v>
      </c>
      <c r="CB114">
        <f>IF(AND(VLOOKUP(CB$1,main!$A$3:$H$102,7,FALSE)=main!$G$104,VLOOKUP(CB$1,main!$A$3:$H$102,5,FALSE)-VLOOKUP($A114,main!$A$3:$H$102,6,FALSE)&gt;=main!$D$103+VLOOKUP(VLOOKUP(CB$1,main!$A$3:$I$102,7,FALSE),main!$K$26:$Q$29,4,FALSE)),1,0)</f>
        <v>0</v>
      </c>
      <c r="CC114">
        <f>IF(AND(VLOOKUP(CC$1,main!$A$3:$H$102,7,FALSE)=main!$G$104,VLOOKUP(CC$1,main!$A$3:$H$102,5,FALSE)-VLOOKUP($A114,main!$A$3:$H$102,6,FALSE)&gt;=main!$D$103+VLOOKUP(VLOOKUP(CC$1,main!$A$3:$I$102,7,FALSE),main!$K$26:$Q$29,4,FALSE)),1,0)</f>
        <v>0</v>
      </c>
      <c r="CD114">
        <f>IF(AND(VLOOKUP(CD$1,main!$A$3:$H$102,7,FALSE)=main!$G$104,VLOOKUP(CD$1,main!$A$3:$H$102,5,FALSE)-VLOOKUP($A114,main!$A$3:$H$102,6,FALSE)&gt;=main!$D$103+VLOOKUP(VLOOKUP(CD$1,main!$A$3:$I$102,7,FALSE),main!$K$26:$Q$29,4,FALSE)),1,0)</f>
        <v>0</v>
      </c>
      <c r="CE114">
        <f>IF(AND(VLOOKUP(CE$1,main!$A$3:$H$102,7,FALSE)=main!$G$104,VLOOKUP(CE$1,main!$A$3:$H$102,5,FALSE)-VLOOKUP($A114,main!$A$3:$H$102,6,FALSE)&gt;=main!$D$103+VLOOKUP(VLOOKUP(CE$1,main!$A$3:$I$102,7,FALSE),main!$K$26:$Q$29,4,FALSE)),1,0)</f>
        <v>0</v>
      </c>
      <c r="CF114">
        <f>IF(AND(VLOOKUP(CF$1,main!$A$3:$H$102,7,FALSE)=main!$G$104,VLOOKUP(CF$1,main!$A$3:$H$102,5,FALSE)-VLOOKUP($A114,main!$A$3:$H$102,6,FALSE)&gt;=main!$D$103+VLOOKUP(VLOOKUP(CF$1,main!$A$3:$I$102,7,FALSE),main!$K$26:$Q$29,4,FALSE)),1,0)</f>
        <v>0</v>
      </c>
      <c r="CG114">
        <f>IF(AND(VLOOKUP(CG$1,main!$A$3:$H$102,7,FALSE)=main!$G$104,VLOOKUP(CG$1,main!$A$3:$H$102,5,FALSE)-VLOOKUP($A114,main!$A$3:$H$102,6,FALSE)&gt;=main!$D$103+VLOOKUP(VLOOKUP(CG$1,main!$A$3:$I$102,7,FALSE),main!$K$26:$Q$29,4,FALSE)),1,0)</f>
        <v>0</v>
      </c>
      <c r="CH114">
        <f>IF(AND(VLOOKUP(CH$1,main!$A$3:$H$102,7,FALSE)=main!$G$104,VLOOKUP(CH$1,main!$A$3:$H$102,5,FALSE)-VLOOKUP($A114,main!$A$3:$H$102,6,FALSE)&gt;=main!$D$103+VLOOKUP(VLOOKUP(CH$1,main!$A$3:$I$102,7,FALSE),main!$K$26:$Q$29,4,FALSE)),1,0)</f>
        <v>0</v>
      </c>
      <c r="CI114">
        <f>IF(AND(VLOOKUP(CI$1,main!$A$3:$H$102,7,FALSE)=main!$G$104,VLOOKUP(CI$1,main!$A$3:$H$102,5,FALSE)-VLOOKUP($A114,main!$A$3:$H$102,6,FALSE)&gt;=main!$D$103+VLOOKUP(VLOOKUP(CI$1,main!$A$3:$I$102,7,FALSE),main!$K$26:$Q$29,4,FALSE)),1,0)</f>
        <v>0</v>
      </c>
      <c r="CJ114">
        <f>IF(AND(VLOOKUP(CJ$1,main!$A$3:$H$102,7,FALSE)=main!$G$104,VLOOKUP(CJ$1,main!$A$3:$H$102,5,FALSE)-VLOOKUP($A114,main!$A$3:$H$102,6,FALSE)&gt;=main!$D$103+VLOOKUP(VLOOKUP(CJ$1,main!$A$3:$I$102,7,FALSE),main!$K$26:$Q$29,4,FALSE)),1,0)</f>
        <v>0</v>
      </c>
      <c r="CK114">
        <f>IF(AND(VLOOKUP(CK$1,main!$A$3:$H$102,7,FALSE)=main!$G$104,VLOOKUP(CK$1,main!$A$3:$H$102,5,FALSE)-VLOOKUP($A114,main!$A$3:$H$102,6,FALSE)&gt;=main!$D$103+VLOOKUP(VLOOKUP(CK$1,main!$A$3:$I$102,7,FALSE),main!$K$26:$Q$29,4,FALSE)),1,0)</f>
        <v>0</v>
      </c>
      <c r="CL114">
        <f>IF(AND(VLOOKUP(CL$1,main!$A$3:$H$102,7,FALSE)=main!$G$104,VLOOKUP(CL$1,main!$A$3:$H$102,5,FALSE)-VLOOKUP($A114,main!$A$3:$H$102,6,FALSE)&gt;=main!$D$103+VLOOKUP(VLOOKUP(CL$1,main!$A$3:$I$102,7,FALSE),main!$K$26:$Q$29,4,FALSE)),1,0)</f>
        <v>0</v>
      </c>
      <c r="CM114">
        <f>IF(AND(VLOOKUP(CM$1,main!$A$3:$H$102,7,FALSE)=main!$G$104,VLOOKUP(CM$1,main!$A$3:$H$102,5,FALSE)-VLOOKUP($A114,main!$A$3:$H$102,6,FALSE)&gt;=main!$D$103+VLOOKUP(VLOOKUP(CM$1,main!$A$3:$I$102,7,FALSE),main!$K$26:$Q$29,4,FALSE)),1,0)</f>
        <v>0</v>
      </c>
      <c r="CN114">
        <f>IF(AND(VLOOKUP(CN$1,main!$A$3:$H$102,7,FALSE)=main!$G$104,VLOOKUP(CN$1,main!$A$3:$H$102,5,FALSE)-VLOOKUP($A114,main!$A$3:$H$102,6,FALSE)&gt;=main!$D$103+VLOOKUP(VLOOKUP(CN$1,main!$A$3:$I$102,7,FALSE),main!$K$26:$Q$29,4,FALSE)),1,0)</f>
        <v>0</v>
      </c>
      <c r="CO114">
        <f>IF(AND(VLOOKUP(CO$1,main!$A$3:$H$102,7,FALSE)=main!$G$104,VLOOKUP(CO$1,main!$A$3:$H$102,5,FALSE)-VLOOKUP($A114,main!$A$3:$H$102,6,FALSE)&gt;=main!$D$103+VLOOKUP(VLOOKUP(CO$1,main!$A$3:$I$102,7,FALSE),main!$K$26:$Q$29,4,FALSE)),1,0)</f>
        <v>0</v>
      </c>
      <c r="CP114">
        <f>IF(AND(VLOOKUP(CP$1,main!$A$3:$H$102,7,FALSE)=main!$G$104,VLOOKUP(CP$1,main!$A$3:$H$102,5,FALSE)-VLOOKUP($A114,main!$A$3:$H$102,6,FALSE)&gt;=main!$D$103+VLOOKUP(VLOOKUP(CP$1,main!$A$3:$I$102,7,FALSE),main!$K$26:$Q$29,4,FALSE)),1,0)</f>
        <v>0</v>
      </c>
      <c r="CQ114">
        <f>IF(AND(VLOOKUP(CQ$1,main!$A$3:$H$102,7,FALSE)=main!$G$104,VLOOKUP(CQ$1,main!$A$3:$H$102,5,FALSE)-VLOOKUP($A114,main!$A$3:$H$102,6,FALSE)&gt;=main!$D$103+VLOOKUP(VLOOKUP(CQ$1,main!$A$3:$I$102,7,FALSE),main!$K$26:$Q$29,4,FALSE)),1,0)</f>
        <v>0</v>
      </c>
      <c r="CR114">
        <f>IF(AND(VLOOKUP(CR$1,main!$A$3:$H$102,7,FALSE)=main!$G$104,VLOOKUP(CR$1,main!$A$3:$H$102,5,FALSE)-VLOOKUP($A114,main!$A$3:$H$102,6,FALSE)&gt;=main!$D$103+VLOOKUP(VLOOKUP(CR$1,main!$A$3:$I$102,7,FALSE),main!$K$26:$Q$29,4,FALSE)),1,0)</f>
        <v>0</v>
      </c>
      <c r="CS114">
        <f>IF(AND(VLOOKUP(CS$1,main!$A$3:$H$102,7,FALSE)=main!$G$104,VLOOKUP(CS$1,main!$A$3:$H$102,5,FALSE)-VLOOKUP($A114,main!$A$3:$H$102,6,FALSE)&gt;=main!$D$103+VLOOKUP(VLOOKUP(CS$1,main!$A$3:$I$102,7,FALSE),main!$K$26:$Q$29,4,FALSE)),1,0)</f>
        <v>0</v>
      </c>
      <c r="CT114">
        <f>IF(AND(VLOOKUP(CT$1,main!$A$3:$H$102,7,FALSE)=main!$G$104,VLOOKUP(CT$1,main!$A$3:$H$102,5,FALSE)-VLOOKUP($A114,main!$A$3:$H$102,6,FALSE)&gt;=main!$D$103+VLOOKUP(VLOOKUP(CT$1,main!$A$3:$I$102,7,FALSE),main!$K$26:$Q$29,4,FALSE)),1,0)</f>
        <v>0</v>
      </c>
      <c r="CU114">
        <f>IF(AND(VLOOKUP(CU$1,main!$A$3:$H$102,7,FALSE)=main!$G$104,VLOOKUP(CU$1,main!$A$3:$H$102,5,FALSE)-VLOOKUP($A114,main!$A$3:$H$102,6,FALSE)&gt;=main!$D$103+VLOOKUP(VLOOKUP(CU$1,main!$A$3:$I$102,7,FALSE),main!$K$26:$Q$29,4,FALSE)),1,0)</f>
        <v>0</v>
      </c>
      <c r="CV114">
        <f>IF(AND(VLOOKUP(CV$1,main!$A$3:$H$102,7,FALSE)=main!$G$104,VLOOKUP(CV$1,main!$A$3:$H$102,5,FALSE)-VLOOKUP($A114,main!$A$3:$H$102,6,FALSE)&gt;=main!$D$103+VLOOKUP(VLOOKUP(CV$1,main!$A$3:$I$102,7,FALSE),main!$K$26:$Q$29,4,FALSE)),1,0)</f>
        <v>0</v>
      </c>
      <c r="CW114">
        <f>IF(AND(VLOOKUP(CW$1,main!$A$3:$H$102,7,FALSE)=main!$G$104,VLOOKUP(CW$1,main!$A$3:$H$102,5,FALSE)-VLOOKUP($A114,main!$A$3:$H$102,6,FALSE)&gt;=main!$D$103+VLOOKUP(VLOOKUP(CW$1,main!$A$3:$I$102,7,FALSE),main!$K$26:$Q$29,4,FALSE)),1,0)</f>
        <v>0</v>
      </c>
      <c r="CX114">
        <f>IF(AND(VLOOKUP(CX$1,main!$A$3:$H$102,7,FALSE)=main!$G$104,VLOOKUP(CX$1,main!$A$3:$H$102,5,FALSE)-VLOOKUP($A114,main!$A$3:$H$102,6,FALSE)&gt;=main!$D$103+VLOOKUP(VLOOKUP(CX$1,main!$A$3:$I$102,7,FALSE),main!$K$26:$Q$29,4,FALSE)),1,0)</f>
        <v>0</v>
      </c>
    </row>
    <row r="115" spans="1:102" x14ac:dyDescent="0.25">
      <c r="A115" s="1">
        <v>12</v>
      </c>
      <c r="B115">
        <v>0</v>
      </c>
      <c r="C115">
        <f>IF(AND(VLOOKUP(C$1,main!$A$3:$H$102,7,FALSE)=main!$G$104,VLOOKUP(C$1,main!$A$3:$H$102,5,FALSE)-VLOOKUP($A115,main!$A$3:$H$102,6,FALSE)&gt;=main!$D$103+VLOOKUP(VLOOKUP(C$1,main!$A$3:$I$102,7,FALSE),main!$K$26:$Q$29,4,FALSE)),1,0)</f>
        <v>0</v>
      </c>
      <c r="D115">
        <f>IF(AND(VLOOKUP(D$1,main!$A$3:$H$102,7,FALSE)=main!$G$104,VLOOKUP(D$1,main!$A$3:$H$102,5,FALSE)-VLOOKUP($A115,main!$A$3:$H$102,6,FALSE)&gt;=main!$D$103+VLOOKUP(VLOOKUP(D$1,main!$A$3:$I$102,7,FALSE),main!$K$26:$Q$29,4,FALSE)),1,0)</f>
        <v>0</v>
      </c>
      <c r="E115">
        <f>IF(AND(VLOOKUP(E$1,main!$A$3:$H$102,7,FALSE)=main!$G$104,VLOOKUP(E$1,main!$A$3:$H$102,5,FALSE)-VLOOKUP($A115,main!$A$3:$H$102,6,FALSE)&gt;=main!$D$103+VLOOKUP(VLOOKUP(E$1,main!$A$3:$I$102,7,FALSE),main!$K$26:$Q$29,4,FALSE)),1,0)</f>
        <v>0</v>
      </c>
      <c r="F115">
        <f>IF(AND(VLOOKUP(F$1,main!$A$3:$H$102,7,FALSE)=main!$G$104,VLOOKUP(F$1,main!$A$3:$H$102,5,FALSE)-VLOOKUP($A115,main!$A$3:$H$102,6,FALSE)&gt;=main!$D$103+VLOOKUP(VLOOKUP(F$1,main!$A$3:$I$102,7,FALSE),main!$K$26:$Q$29,4,FALSE)),1,0)</f>
        <v>0</v>
      </c>
      <c r="G115">
        <f>IF(AND(VLOOKUP(G$1,main!$A$3:$H$102,7,FALSE)=main!$G$104,VLOOKUP(G$1,main!$A$3:$H$102,5,FALSE)-VLOOKUP($A115,main!$A$3:$H$102,6,FALSE)&gt;=main!$D$103+VLOOKUP(VLOOKUP(G$1,main!$A$3:$I$102,7,FALSE),main!$K$26:$Q$29,4,FALSE)),1,0)</f>
        <v>1</v>
      </c>
      <c r="H115">
        <f>IF(AND(VLOOKUP(H$1,main!$A$3:$H$102,7,FALSE)=main!$G$104,VLOOKUP(H$1,main!$A$3:$H$102,5,FALSE)-VLOOKUP($A115,main!$A$3:$H$102,6,FALSE)&gt;=main!$D$103+VLOOKUP(VLOOKUP(H$1,main!$A$3:$I$102,7,FALSE),main!$K$26:$Q$29,4,FALSE)),1,0)</f>
        <v>1</v>
      </c>
      <c r="I115">
        <f>IF(AND(VLOOKUP(I$1,main!$A$3:$H$102,7,FALSE)=main!$G$104,VLOOKUP(I$1,main!$A$3:$H$102,5,FALSE)-VLOOKUP($A115,main!$A$3:$H$102,6,FALSE)&gt;=main!$D$103+VLOOKUP(VLOOKUP(I$1,main!$A$3:$I$102,7,FALSE),main!$K$26:$Q$29,4,FALSE)),1,0)</f>
        <v>1</v>
      </c>
      <c r="J115">
        <f>IF(AND(VLOOKUP(J$1,main!$A$3:$H$102,7,FALSE)=main!$G$104,VLOOKUP(J$1,main!$A$3:$H$102,5,FALSE)-VLOOKUP($A115,main!$A$3:$H$102,6,FALSE)&gt;=main!$D$103+VLOOKUP(VLOOKUP(J$1,main!$A$3:$I$102,7,FALSE),main!$K$26:$Q$29,4,FALSE)),1,0)</f>
        <v>1</v>
      </c>
      <c r="K115">
        <f>IF(AND(VLOOKUP(K$1,main!$A$3:$H$102,7,FALSE)=main!$G$104,VLOOKUP(K$1,main!$A$3:$H$102,5,FALSE)-VLOOKUP($A115,main!$A$3:$H$102,6,FALSE)&gt;=main!$D$103+VLOOKUP(VLOOKUP(K$1,main!$A$3:$I$102,7,FALSE),main!$K$26:$Q$29,4,FALSE)),1,0)</f>
        <v>1</v>
      </c>
      <c r="L115">
        <f>IF(AND(VLOOKUP(L$1,main!$A$3:$H$102,7,FALSE)=main!$G$104,VLOOKUP(L$1,main!$A$3:$H$102,5,FALSE)-VLOOKUP($A115,main!$A$3:$H$102,6,FALSE)&gt;=main!$D$103+VLOOKUP(VLOOKUP(L$1,main!$A$3:$I$102,7,FALSE),main!$K$26:$Q$29,4,FALSE)),1,0)</f>
        <v>1</v>
      </c>
      <c r="M115">
        <f>IF(AND(VLOOKUP(M$1,main!$A$3:$H$102,7,FALSE)=main!$G$104,VLOOKUP(M$1,main!$A$3:$H$102,5,FALSE)-VLOOKUP($A115,main!$A$3:$H$102,6,FALSE)&gt;=main!$D$103+VLOOKUP(VLOOKUP(M$1,main!$A$3:$I$102,7,FALSE),main!$K$26:$Q$29,4,FALSE)),1,0)</f>
        <v>0</v>
      </c>
      <c r="N115">
        <f>IF(AND(VLOOKUP(N$1,main!$A$3:$H$102,7,FALSE)=main!$G$104,VLOOKUP(N$1,main!$A$3:$H$102,5,FALSE)-VLOOKUP($A115,main!$A$3:$H$102,6,FALSE)&gt;=main!$D$103+VLOOKUP(VLOOKUP(N$1,main!$A$3:$I$102,7,FALSE),main!$K$26:$Q$29,4,FALSE)),1,0)</f>
        <v>0</v>
      </c>
      <c r="O115">
        <f>IF(AND(VLOOKUP(O$1,main!$A$3:$H$102,7,FALSE)=main!$G$104,VLOOKUP(O$1,main!$A$3:$H$102,5,FALSE)-VLOOKUP($A115,main!$A$3:$H$102,6,FALSE)&gt;=main!$D$103+VLOOKUP(VLOOKUP(O$1,main!$A$3:$I$102,7,FALSE),main!$K$26:$Q$29,4,FALSE)),1,0)</f>
        <v>0</v>
      </c>
      <c r="P115">
        <f>IF(AND(VLOOKUP(P$1,main!$A$3:$H$102,7,FALSE)=main!$G$104,VLOOKUP(P$1,main!$A$3:$H$102,5,FALSE)-VLOOKUP($A115,main!$A$3:$H$102,6,FALSE)&gt;=main!$D$103+VLOOKUP(VLOOKUP(P$1,main!$A$3:$I$102,7,FALSE),main!$K$26:$Q$29,4,FALSE)),1,0)</f>
        <v>0</v>
      </c>
      <c r="Q115">
        <f>IF(AND(VLOOKUP(Q$1,main!$A$3:$H$102,7,FALSE)=main!$G$104,VLOOKUP(Q$1,main!$A$3:$H$102,5,FALSE)-VLOOKUP($A115,main!$A$3:$H$102,6,FALSE)&gt;=main!$D$103+VLOOKUP(VLOOKUP(Q$1,main!$A$3:$I$102,7,FALSE),main!$K$26:$Q$29,4,FALSE)),1,0)</f>
        <v>0</v>
      </c>
      <c r="R115">
        <f>IF(AND(VLOOKUP(R$1,main!$A$3:$H$102,7,FALSE)=main!$G$104,VLOOKUP(R$1,main!$A$3:$H$102,5,FALSE)-VLOOKUP($A115,main!$A$3:$H$102,6,FALSE)&gt;=main!$D$103+VLOOKUP(VLOOKUP(R$1,main!$A$3:$I$102,7,FALSE),main!$K$26:$Q$29,4,FALSE)),1,0)</f>
        <v>1</v>
      </c>
      <c r="S115">
        <f>IF(AND(VLOOKUP(S$1,main!$A$3:$H$102,7,FALSE)=main!$G$104,VLOOKUP(S$1,main!$A$3:$H$102,5,FALSE)-VLOOKUP($A115,main!$A$3:$H$102,6,FALSE)&gt;=main!$D$103+VLOOKUP(VLOOKUP(S$1,main!$A$3:$I$102,7,FALSE),main!$K$26:$Q$29,4,FALSE)),1,0)</f>
        <v>1</v>
      </c>
      <c r="T115">
        <f>IF(AND(VLOOKUP(T$1,main!$A$3:$H$102,7,FALSE)=main!$G$104,VLOOKUP(T$1,main!$A$3:$H$102,5,FALSE)-VLOOKUP($A115,main!$A$3:$H$102,6,FALSE)&gt;=main!$D$103+VLOOKUP(VLOOKUP(T$1,main!$A$3:$I$102,7,FALSE),main!$K$26:$Q$29,4,FALSE)),1,0)</f>
        <v>1</v>
      </c>
      <c r="U115">
        <f>IF(AND(VLOOKUP(U$1,main!$A$3:$H$102,7,FALSE)=main!$G$104,VLOOKUP(U$1,main!$A$3:$H$102,5,FALSE)-VLOOKUP($A115,main!$A$3:$H$102,6,FALSE)&gt;=main!$D$103+VLOOKUP(VLOOKUP(U$1,main!$A$3:$I$102,7,FALSE),main!$K$26:$Q$29,4,FALSE)),1,0)</f>
        <v>1</v>
      </c>
      <c r="V115">
        <f>IF(AND(VLOOKUP(V$1,main!$A$3:$H$102,7,FALSE)=main!$G$104,VLOOKUP(V$1,main!$A$3:$H$102,5,FALSE)-VLOOKUP($A115,main!$A$3:$H$102,6,FALSE)&gt;=main!$D$103+VLOOKUP(VLOOKUP(V$1,main!$A$3:$I$102,7,FALSE),main!$K$26:$Q$29,4,FALSE)),1,0)</f>
        <v>1</v>
      </c>
      <c r="W115">
        <f>IF(AND(VLOOKUP(W$1,main!$A$3:$H$102,7,FALSE)=main!$G$104,VLOOKUP(W$1,main!$A$3:$H$102,5,FALSE)-VLOOKUP($A115,main!$A$3:$H$102,6,FALSE)&gt;=main!$D$103+VLOOKUP(VLOOKUP(W$1,main!$A$3:$I$102,7,FALSE),main!$K$26:$Q$29,4,FALSE)),1,0)</f>
        <v>0</v>
      </c>
      <c r="X115">
        <f>IF(AND(VLOOKUP(X$1,main!$A$3:$H$102,7,FALSE)=main!$G$104,VLOOKUP(X$1,main!$A$3:$H$102,5,FALSE)-VLOOKUP($A115,main!$A$3:$H$102,6,FALSE)&gt;=main!$D$103+VLOOKUP(VLOOKUP(X$1,main!$A$3:$I$102,7,FALSE),main!$K$26:$Q$29,4,FALSE)),1,0)</f>
        <v>0</v>
      </c>
      <c r="Y115">
        <f>IF(AND(VLOOKUP(Y$1,main!$A$3:$H$102,7,FALSE)=main!$G$104,VLOOKUP(Y$1,main!$A$3:$H$102,5,FALSE)-VLOOKUP($A115,main!$A$3:$H$102,6,FALSE)&gt;=main!$D$103+VLOOKUP(VLOOKUP(Y$1,main!$A$3:$I$102,7,FALSE),main!$K$26:$Q$29,4,FALSE)),1,0)</f>
        <v>1</v>
      </c>
      <c r="Z115">
        <f>IF(AND(VLOOKUP(Z$1,main!$A$3:$H$102,7,FALSE)=main!$G$104,VLOOKUP(Z$1,main!$A$3:$H$102,5,FALSE)-VLOOKUP($A115,main!$A$3:$H$102,6,FALSE)&gt;=main!$D$103+VLOOKUP(VLOOKUP(Z$1,main!$A$3:$I$102,7,FALSE),main!$K$26:$Q$29,4,FALSE)),1,0)</f>
        <v>1</v>
      </c>
      <c r="AA115">
        <f>IF(AND(VLOOKUP(AA$1,main!$A$3:$H$102,7,FALSE)=main!$G$104,VLOOKUP(AA$1,main!$A$3:$H$102,5,FALSE)-VLOOKUP($A115,main!$A$3:$H$102,6,FALSE)&gt;=main!$D$103+VLOOKUP(VLOOKUP(AA$1,main!$A$3:$I$102,7,FALSE),main!$K$26:$Q$29,4,FALSE)),1,0)</f>
        <v>1</v>
      </c>
      <c r="AB115">
        <f>IF(AND(VLOOKUP(AB$1,main!$A$3:$H$102,7,FALSE)=main!$G$104,VLOOKUP(AB$1,main!$A$3:$H$102,5,FALSE)-VLOOKUP($A115,main!$A$3:$H$102,6,FALSE)&gt;=main!$D$103+VLOOKUP(VLOOKUP(AB$1,main!$A$3:$I$102,7,FALSE),main!$K$26:$Q$29,4,FALSE)),1,0)</f>
        <v>0</v>
      </c>
      <c r="AC115">
        <f>IF(AND(VLOOKUP(AC$1,main!$A$3:$H$102,7,FALSE)=main!$G$104,VLOOKUP(AC$1,main!$A$3:$H$102,5,FALSE)-VLOOKUP($A115,main!$A$3:$H$102,6,FALSE)&gt;=main!$D$103+VLOOKUP(VLOOKUP(AC$1,main!$A$3:$I$102,7,FALSE),main!$K$26:$Q$29,4,FALSE)),1,0)</f>
        <v>0</v>
      </c>
      <c r="AD115">
        <f>IF(AND(VLOOKUP(AD$1,main!$A$3:$H$102,7,FALSE)=main!$G$104,VLOOKUP(AD$1,main!$A$3:$H$102,5,FALSE)-VLOOKUP($A115,main!$A$3:$H$102,6,FALSE)&gt;=main!$D$103+VLOOKUP(VLOOKUP(AD$1,main!$A$3:$I$102,7,FALSE),main!$K$26:$Q$29,4,FALSE)),1,0)</f>
        <v>0</v>
      </c>
      <c r="AE115">
        <f>IF(AND(VLOOKUP(AE$1,main!$A$3:$H$102,7,FALSE)=main!$G$104,VLOOKUP(AE$1,main!$A$3:$H$102,5,FALSE)-VLOOKUP($A115,main!$A$3:$H$102,6,FALSE)&gt;=main!$D$103+VLOOKUP(VLOOKUP(AE$1,main!$A$3:$I$102,7,FALSE),main!$K$26:$Q$29,4,FALSE)),1,0)</f>
        <v>1</v>
      </c>
      <c r="AF115">
        <f>IF(AND(VLOOKUP(AF$1,main!$A$3:$H$102,7,FALSE)=main!$G$104,VLOOKUP(AF$1,main!$A$3:$H$102,5,FALSE)-VLOOKUP($A115,main!$A$3:$H$102,6,FALSE)&gt;=main!$D$103+VLOOKUP(VLOOKUP(AF$1,main!$A$3:$I$102,7,FALSE),main!$K$26:$Q$29,4,FALSE)),1,0)</f>
        <v>1</v>
      </c>
      <c r="AG115">
        <f>IF(AND(VLOOKUP(AG$1,main!$A$3:$H$102,7,FALSE)=main!$G$104,VLOOKUP(AG$1,main!$A$3:$H$102,5,FALSE)-VLOOKUP($A115,main!$A$3:$H$102,6,FALSE)&gt;=main!$D$103+VLOOKUP(VLOOKUP(AG$1,main!$A$3:$I$102,7,FALSE),main!$K$26:$Q$29,4,FALSE)),1,0)</f>
        <v>0</v>
      </c>
      <c r="AH115">
        <f>IF(AND(VLOOKUP(AH$1,main!$A$3:$H$102,7,FALSE)=main!$G$104,VLOOKUP(AH$1,main!$A$3:$H$102,5,FALSE)-VLOOKUP($A115,main!$A$3:$H$102,6,FALSE)&gt;=main!$D$103+VLOOKUP(VLOOKUP(AH$1,main!$A$3:$I$102,7,FALSE),main!$K$26:$Q$29,4,FALSE)),1,0)</f>
        <v>0</v>
      </c>
      <c r="AI115">
        <f>IF(AND(VLOOKUP(AI$1,main!$A$3:$H$102,7,FALSE)=main!$G$104,VLOOKUP(AI$1,main!$A$3:$H$102,5,FALSE)-VLOOKUP($A115,main!$A$3:$H$102,6,FALSE)&gt;=main!$D$103+VLOOKUP(VLOOKUP(AI$1,main!$A$3:$I$102,7,FALSE),main!$K$26:$Q$29,4,FALSE)),1,0)</f>
        <v>0</v>
      </c>
      <c r="AJ115">
        <f>IF(AND(VLOOKUP(AJ$1,main!$A$3:$H$102,7,FALSE)=main!$G$104,VLOOKUP(AJ$1,main!$A$3:$H$102,5,FALSE)-VLOOKUP($A115,main!$A$3:$H$102,6,FALSE)&gt;=main!$D$103+VLOOKUP(VLOOKUP(AJ$1,main!$A$3:$I$102,7,FALSE),main!$K$26:$Q$29,4,FALSE)),1,0)</f>
        <v>0</v>
      </c>
      <c r="AK115">
        <f>IF(AND(VLOOKUP(AK$1,main!$A$3:$H$102,7,FALSE)=main!$G$104,VLOOKUP(AK$1,main!$A$3:$H$102,5,FALSE)-VLOOKUP($A115,main!$A$3:$H$102,6,FALSE)&gt;=main!$D$103+VLOOKUP(VLOOKUP(AK$1,main!$A$3:$I$102,7,FALSE),main!$K$26:$Q$29,4,FALSE)),1,0)</f>
        <v>0</v>
      </c>
      <c r="AL115">
        <f>IF(AND(VLOOKUP(AL$1,main!$A$3:$H$102,7,FALSE)=main!$G$104,VLOOKUP(AL$1,main!$A$3:$H$102,5,FALSE)-VLOOKUP($A115,main!$A$3:$H$102,6,FALSE)&gt;=main!$D$103+VLOOKUP(VLOOKUP(AL$1,main!$A$3:$I$102,7,FALSE),main!$K$26:$Q$29,4,FALSE)),1,0)</f>
        <v>0</v>
      </c>
      <c r="AM115">
        <f>IF(AND(VLOOKUP(AM$1,main!$A$3:$H$102,7,FALSE)=main!$G$104,VLOOKUP(AM$1,main!$A$3:$H$102,5,FALSE)-VLOOKUP($A115,main!$A$3:$H$102,6,FALSE)&gt;=main!$D$103+VLOOKUP(VLOOKUP(AM$1,main!$A$3:$I$102,7,FALSE),main!$K$26:$Q$29,4,FALSE)),1,0)</f>
        <v>0</v>
      </c>
      <c r="AN115">
        <f>IF(AND(VLOOKUP(AN$1,main!$A$3:$H$102,7,FALSE)=main!$G$104,VLOOKUP(AN$1,main!$A$3:$H$102,5,FALSE)-VLOOKUP($A115,main!$A$3:$H$102,6,FALSE)&gt;=main!$D$103+VLOOKUP(VLOOKUP(AN$1,main!$A$3:$I$102,7,FALSE),main!$K$26:$Q$29,4,FALSE)),1,0)</f>
        <v>0</v>
      </c>
      <c r="AO115">
        <f>IF(AND(VLOOKUP(AO$1,main!$A$3:$H$102,7,FALSE)=main!$G$104,VLOOKUP(AO$1,main!$A$3:$H$102,5,FALSE)-VLOOKUP($A115,main!$A$3:$H$102,6,FALSE)&gt;=main!$D$103+VLOOKUP(VLOOKUP(AO$1,main!$A$3:$I$102,7,FALSE),main!$K$26:$Q$29,4,FALSE)),1,0)</f>
        <v>0</v>
      </c>
      <c r="AP115">
        <f>IF(AND(VLOOKUP(AP$1,main!$A$3:$H$102,7,FALSE)=main!$G$104,VLOOKUP(AP$1,main!$A$3:$H$102,5,FALSE)-VLOOKUP($A115,main!$A$3:$H$102,6,FALSE)&gt;=main!$D$103+VLOOKUP(VLOOKUP(AP$1,main!$A$3:$I$102,7,FALSE),main!$K$26:$Q$29,4,FALSE)),1,0)</f>
        <v>0</v>
      </c>
      <c r="AQ115">
        <f>IF(AND(VLOOKUP(AQ$1,main!$A$3:$H$102,7,FALSE)=main!$G$104,VLOOKUP(AQ$1,main!$A$3:$H$102,5,FALSE)-VLOOKUP($A115,main!$A$3:$H$102,6,FALSE)&gt;=main!$D$103+VLOOKUP(VLOOKUP(AQ$1,main!$A$3:$I$102,7,FALSE),main!$K$26:$Q$29,4,FALSE)),1,0)</f>
        <v>0</v>
      </c>
      <c r="AR115">
        <f>IF(AND(VLOOKUP(AR$1,main!$A$3:$H$102,7,FALSE)=main!$G$104,VLOOKUP(AR$1,main!$A$3:$H$102,5,FALSE)-VLOOKUP($A115,main!$A$3:$H$102,6,FALSE)&gt;=main!$D$103+VLOOKUP(VLOOKUP(AR$1,main!$A$3:$I$102,7,FALSE),main!$K$26:$Q$29,4,FALSE)),1,0)</f>
        <v>0</v>
      </c>
      <c r="AS115">
        <f>IF(AND(VLOOKUP(AS$1,main!$A$3:$H$102,7,FALSE)=main!$G$104,VLOOKUP(AS$1,main!$A$3:$H$102,5,FALSE)-VLOOKUP($A115,main!$A$3:$H$102,6,FALSE)&gt;=main!$D$103+VLOOKUP(VLOOKUP(AS$1,main!$A$3:$I$102,7,FALSE),main!$K$26:$Q$29,4,FALSE)),1,0)</f>
        <v>0</v>
      </c>
      <c r="AT115">
        <f>IF(AND(VLOOKUP(AT$1,main!$A$3:$H$102,7,FALSE)=main!$G$104,VLOOKUP(AT$1,main!$A$3:$H$102,5,FALSE)-VLOOKUP($A115,main!$A$3:$H$102,6,FALSE)&gt;=main!$D$103+VLOOKUP(VLOOKUP(AT$1,main!$A$3:$I$102,7,FALSE),main!$K$26:$Q$29,4,FALSE)),1,0)</f>
        <v>0</v>
      </c>
      <c r="AU115">
        <f>IF(AND(VLOOKUP(AU$1,main!$A$3:$H$102,7,FALSE)=main!$G$104,VLOOKUP(AU$1,main!$A$3:$H$102,5,FALSE)-VLOOKUP($A115,main!$A$3:$H$102,6,FALSE)&gt;=main!$D$103+VLOOKUP(VLOOKUP(AU$1,main!$A$3:$I$102,7,FALSE),main!$K$26:$Q$29,4,FALSE)),1,0)</f>
        <v>0</v>
      </c>
      <c r="AV115">
        <f>IF(AND(VLOOKUP(AV$1,main!$A$3:$H$102,7,FALSE)=main!$G$104,VLOOKUP(AV$1,main!$A$3:$H$102,5,FALSE)-VLOOKUP($A115,main!$A$3:$H$102,6,FALSE)&gt;=main!$D$103+VLOOKUP(VLOOKUP(AV$1,main!$A$3:$I$102,7,FALSE),main!$K$26:$Q$29,4,FALSE)),1,0)</f>
        <v>0</v>
      </c>
      <c r="AW115">
        <f>IF(AND(VLOOKUP(AW$1,main!$A$3:$H$102,7,FALSE)=main!$G$104,VLOOKUP(AW$1,main!$A$3:$H$102,5,FALSE)-VLOOKUP($A115,main!$A$3:$H$102,6,FALSE)&gt;=main!$D$103+VLOOKUP(VLOOKUP(AW$1,main!$A$3:$I$102,7,FALSE),main!$K$26:$Q$29,4,FALSE)),1,0)</f>
        <v>0</v>
      </c>
      <c r="AX115">
        <f>IF(AND(VLOOKUP(AX$1,main!$A$3:$H$102,7,FALSE)=main!$G$104,VLOOKUP(AX$1,main!$A$3:$H$102,5,FALSE)-VLOOKUP($A115,main!$A$3:$H$102,6,FALSE)&gt;=main!$D$103+VLOOKUP(VLOOKUP(AX$1,main!$A$3:$I$102,7,FALSE),main!$K$26:$Q$29,4,FALSE)),1,0)</f>
        <v>0</v>
      </c>
      <c r="AY115">
        <f>IF(AND(VLOOKUP(AY$1,main!$A$3:$H$102,7,FALSE)=main!$G$104,VLOOKUP(AY$1,main!$A$3:$H$102,5,FALSE)-VLOOKUP($A115,main!$A$3:$H$102,6,FALSE)&gt;=main!$D$103+VLOOKUP(VLOOKUP(AY$1,main!$A$3:$I$102,7,FALSE),main!$K$26:$Q$29,4,FALSE)),1,0)</f>
        <v>0</v>
      </c>
      <c r="AZ115">
        <f>IF(AND(VLOOKUP(AZ$1,main!$A$3:$H$102,7,FALSE)=main!$G$104,VLOOKUP(AZ$1,main!$A$3:$H$102,5,FALSE)-VLOOKUP($A115,main!$A$3:$H$102,6,FALSE)&gt;=main!$D$103+VLOOKUP(VLOOKUP(AZ$1,main!$A$3:$I$102,7,FALSE),main!$K$26:$Q$29,4,FALSE)),1,0)</f>
        <v>0</v>
      </c>
      <c r="BA115">
        <f>IF(AND(VLOOKUP(BA$1,main!$A$3:$H$102,7,FALSE)=main!$G$104,VLOOKUP(BA$1,main!$A$3:$H$102,5,FALSE)-VLOOKUP($A115,main!$A$3:$H$102,6,FALSE)&gt;=main!$D$103+VLOOKUP(VLOOKUP(BA$1,main!$A$3:$I$102,7,FALSE),main!$K$26:$Q$29,4,FALSE)),1,0)</f>
        <v>0</v>
      </c>
      <c r="BB115">
        <f>IF(AND(VLOOKUP(BB$1,main!$A$3:$H$102,7,FALSE)=main!$G$104,VLOOKUP(BB$1,main!$A$3:$H$102,5,FALSE)-VLOOKUP($A115,main!$A$3:$H$102,6,FALSE)&gt;=main!$D$103+VLOOKUP(VLOOKUP(BB$1,main!$A$3:$I$102,7,FALSE),main!$K$26:$Q$29,4,FALSE)),1,0)</f>
        <v>0</v>
      </c>
      <c r="BC115">
        <f>IF(AND(VLOOKUP(BC$1,main!$A$3:$H$102,7,FALSE)=main!$G$104,VLOOKUP(BC$1,main!$A$3:$H$102,5,FALSE)-VLOOKUP($A115,main!$A$3:$H$102,6,FALSE)&gt;=main!$D$103+VLOOKUP(VLOOKUP(BC$1,main!$A$3:$I$102,7,FALSE),main!$K$26:$Q$29,4,FALSE)),1,0)</f>
        <v>0</v>
      </c>
      <c r="BD115">
        <f>IF(AND(VLOOKUP(BD$1,main!$A$3:$H$102,7,FALSE)=main!$G$104,VLOOKUP(BD$1,main!$A$3:$H$102,5,FALSE)-VLOOKUP($A115,main!$A$3:$H$102,6,FALSE)&gt;=main!$D$103+VLOOKUP(VLOOKUP(BD$1,main!$A$3:$I$102,7,FALSE),main!$K$26:$Q$29,4,FALSE)),1,0)</f>
        <v>0</v>
      </c>
      <c r="BE115">
        <f>IF(AND(VLOOKUP(BE$1,main!$A$3:$H$102,7,FALSE)=main!$G$104,VLOOKUP(BE$1,main!$A$3:$H$102,5,FALSE)-VLOOKUP($A115,main!$A$3:$H$102,6,FALSE)&gt;=main!$D$103+VLOOKUP(VLOOKUP(BE$1,main!$A$3:$I$102,7,FALSE),main!$K$26:$Q$29,4,FALSE)),1,0)</f>
        <v>0</v>
      </c>
      <c r="BF115">
        <f>IF(AND(VLOOKUP(BF$1,main!$A$3:$H$102,7,FALSE)=main!$G$104,VLOOKUP(BF$1,main!$A$3:$H$102,5,FALSE)-VLOOKUP($A115,main!$A$3:$H$102,6,FALSE)&gt;=main!$D$103+VLOOKUP(VLOOKUP(BF$1,main!$A$3:$I$102,7,FALSE),main!$K$26:$Q$29,4,FALSE)),1,0)</f>
        <v>0</v>
      </c>
      <c r="BG115">
        <f>IF(AND(VLOOKUP(BG$1,main!$A$3:$H$102,7,FALSE)=main!$G$104,VLOOKUP(BG$1,main!$A$3:$H$102,5,FALSE)-VLOOKUP($A115,main!$A$3:$H$102,6,FALSE)&gt;=main!$D$103+VLOOKUP(VLOOKUP(BG$1,main!$A$3:$I$102,7,FALSE),main!$K$26:$Q$29,4,FALSE)),1,0)</f>
        <v>0</v>
      </c>
      <c r="BH115">
        <f>IF(AND(VLOOKUP(BH$1,main!$A$3:$H$102,7,FALSE)=main!$G$104,VLOOKUP(BH$1,main!$A$3:$H$102,5,FALSE)-VLOOKUP($A115,main!$A$3:$H$102,6,FALSE)&gt;=main!$D$103+VLOOKUP(VLOOKUP(BH$1,main!$A$3:$I$102,7,FALSE),main!$K$26:$Q$29,4,FALSE)),1,0)</f>
        <v>0</v>
      </c>
      <c r="BI115">
        <f>IF(AND(VLOOKUP(BI$1,main!$A$3:$H$102,7,FALSE)=main!$G$104,VLOOKUP(BI$1,main!$A$3:$H$102,5,FALSE)-VLOOKUP($A115,main!$A$3:$H$102,6,FALSE)&gt;=main!$D$103+VLOOKUP(VLOOKUP(BI$1,main!$A$3:$I$102,7,FALSE),main!$K$26:$Q$29,4,FALSE)),1,0)</f>
        <v>0</v>
      </c>
      <c r="BJ115">
        <f>IF(AND(VLOOKUP(BJ$1,main!$A$3:$H$102,7,FALSE)=main!$G$104,VLOOKUP(BJ$1,main!$A$3:$H$102,5,FALSE)-VLOOKUP($A115,main!$A$3:$H$102,6,FALSE)&gt;=main!$D$103+VLOOKUP(VLOOKUP(BJ$1,main!$A$3:$I$102,7,FALSE),main!$K$26:$Q$29,4,FALSE)),1,0)</f>
        <v>0</v>
      </c>
      <c r="BK115">
        <f>IF(AND(VLOOKUP(BK$1,main!$A$3:$H$102,7,FALSE)=main!$G$104,VLOOKUP(BK$1,main!$A$3:$H$102,5,FALSE)-VLOOKUP($A115,main!$A$3:$H$102,6,FALSE)&gt;=main!$D$103+VLOOKUP(VLOOKUP(BK$1,main!$A$3:$I$102,7,FALSE),main!$K$26:$Q$29,4,FALSE)),1,0)</f>
        <v>0</v>
      </c>
      <c r="BL115">
        <f>IF(AND(VLOOKUP(BL$1,main!$A$3:$H$102,7,FALSE)=main!$G$104,VLOOKUP(BL$1,main!$A$3:$H$102,5,FALSE)-VLOOKUP($A115,main!$A$3:$H$102,6,FALSE)&gt;=main!$D$103+VLOOKUP(VLOOKUP(BL$1,main!$A$3:$I$102,7,FALSE),main!$K$26:$Q$29,4,FALSE)),1,0)</f>
        <v>0</v>
      </c>
      <c r="BM115">
        <f>IF(AND(VLOOKUP(BM$1,main!$A$3:$H$102,7,FALSE)=main!$G$104,VLOOKUP(BM$1,main!$A$3:$H$102,5,FALSE)-VLOOKUP($A115,main!$A$3:$H$102,6,FALSE)&gt;=main!$D$103+VLOOKUP(VLOOKUP(BM$1,main!$A$3:$I$102,7,FALSE),main!$K$26:$Q$29,4,FALSE)),1,0)</f>
        <v>0</v>
      </c>
      <c r="BN115">
        <f>IF(AND(VLOOKUP(BN$1,main!$A$3:$H$102,7,FALSE)=main!$G$104,VLOOKUP(BN$1,main!$A$3:$H$102,5,FALSE)-VLOOKUP($A115,main!$A$3:$H$102,6,FALSE)&gt;=main!$D$103+VLOOKUP(VLOOKUP(BN$1,main!$A$3:$I$102,7,FALSE),main!$K$26:$Q$29,4,FALSE)),1,0)</f>
        <v>0</v>
      </c>
      <c r="BO115">
        <f>IF(AND(VLOOKUP(BO$1,main!$A$3:$H$102,7,FALSE)=main!$G$104,VLOOKUP(BO$1,main!$A$3:$H$102,5,FALSE)-VLOOKUP($A115,main!$A$3:$H$102,6,FALSE)&gt;=main!$D$103+VLOOKUP(VLOOKUP(BO$1,main!$A$3:$I$102,7,FALSE),main!$K$26:$Q$29,4,FALSE)),1,0)</f>
        <v>0</v>
      </c>
      <c r="BP115">
        <f>IF(AND(VLOOKUP(BP$1,main!$A$3:$H$102,7,FALSE)=main!$G$104,VLOOKUP(BP$1,main!$A$3:$H$102,5,FALSE)-VLOOKUP($A115,main!$A$3:$H$102,6,FALSE)&gt;=main!$D$103+VLOOKUP(VLOOKUP(BP$1,main!$A$3:$I$102,7,FALSE),main!$K$26:$Q$29,4,FALSE)),1,0)</f>
        <v>0</v>
      </c>
      <c r="BQ115">
        <f>IF(AND(VLOOKUP(BQ$1,main!$A$3:$H$102,7,FALSE)=main!$G$104,VLOOKUP(BQ$1,main!$A$3:$H$102,5,FALSE)-VLOOKUP($A115,main!$A$3:$H$102,6,FALSE)&gt;=main!$D$103+VLOOKUP(VLOOKUP(BQ$1,main!$A$3:$I$102,7,FALSE),main!$K$26:$Q$29,4,FALSE)),1,0)</f>
        <v>0</v>
      </c>
      <c r="BR115">
        <f>IF(AND(VLOOKUP(BR$1,main!$A$3:$H$102,7,FALSE)=main!$G$104,VLOOKUP(BR$1,main!$A$3:$H$102,5,FALSE)-VLOOKUP($A115,main!$A$3:$H$102,6,FALSE)&gt;=main!$D$103+VLOOKUP(VLOOKUP(BR$1,main!$A$3:$I$102,7,FALSE),main!$K$26:$Q$29,4,FALSE)),1,0)</f>
        <v>0</v>
      </c>
      <c r="BS115">
        <f>IF(AND(VLOOKUP(BS$1,main!$A$3:$H$102,7,FALSE)=main!$G$104,VLOOKUP(BS$1,main!$A$3:$H$102,5,FALSE)-VLOOKUP($A115,main!$A$3:$H$102,6,FALSE)&gt;=main!$D$103+VLOOKUP(VLOOKUP(BS$1,main!$A$3:$I$102,7,FALSE),main!$K$26:$Q$29,4,FALSE)),1,0)</f>
        <v>0</v>
      </c>
      <c r="BT115">
        <f>IF(AND(VLOOKUP(BT$1,main!$A$3:$H$102,7,FALSE)=main!$G$104,VLOOKUP(BT$1,main!$A$3:$H$102,5,FALSE)-VLOOKUP($A115,main!$A$3:$H$102,6,FALSE)&gt;=main!$D$103+VLOOKUP(VLOOKUP(BT$1,main!$A$3:$I$102,7,FALSE),main!$K$26:$Q$29,4,FALSE)),1,0)</f>
        <v>0</v>
      </c>
      <c r="BU115">
        <f>IF(AND(VLOOKUP(BU$1,main!$A$3:$H$102,7,FALSE)=main!$G$104,VLOOKUP(BU$1,main!$A$3:$H$102,5,FALSE)-VLOOKUP($A115,main!$A$3:$H$102,6,FALSE)&gt;=main!$D$103+VLOOKUP(VLOOKUP(BU$1,main!$A$3:$I$102,7,FALSE),main!$K$26:$Q$29,4,FALSE)),1,0)</f>
        <v>0</v>
      </c>
      <c r="BV115">
        <f>IF(AND(VLOOKUP(BV$1,main!$A$3:$H$102,7,FALSE)=main!$G$104,VLOOKUP(BV$1,main!$A$3:$H$102,5,FALSE)-VLOOKUP($A115,main!$A$3:$H$102,6,FALSE)&gt;=main!$D$103+VLOOKUP(VLOOKUP(BV$1,main!$A$3:$I$102,7,FALSE),main!$K$26:$Q$29,4,FALSE)),1,0)</f>
        <v>0</v>
      </c>
      <c r="BW115">
        <f>IF(AND(VLOOKUP(BW$1,main!$A$3:$H$102,7,FALSE)=main!$G$104,VLOOKUP(BW$1,main!$A$3:$H$102,5,FALSE)-VLOOKUP($A115,main!$A$3:$H$102,6,FALSE)&gt;=main!$D$103+VLOOKUP(VLOOKUP(BW$1,main!$A$3:$I$102,7,FALSE),main!$K$26:$Q$29,4,FALSE)),1,0)</f>
        <v>0</v>
      </c>
      <c r="BX115">
        <f>IF(AND(VLOOKUP(BX$1,main!$A$3:$H$102,7,FALSE)=main!$G$104,VLOOKUP(BX$1,main!$A$3:$H$102,5,FALSE)-VLOOKUP($A115,main!$A$3:$H$102,6,FALSE)&gt;=main!$D$103+VLOOKUP(VLOOKUP(BX$1,main!$A$3:$I$102,7,FALSE),main!$K$26:$Q$29,4,FALSE)),1,0)</f>
        <v>0</v>
      </c>
      <c r="BY115">
        <f>IF(AND(VLOOKUP(BY$1,main!$A$3:$H$102,7,FALSE)=main!$G$104,VLOOKUP(BY$1,main!$A$3:$H$102,5,FALSE)-VLOOKUP($A115,main!$A$3:$H$102,6,FALSE)&gt;=main!$D$103+VLOOKUP(VLOOKUP(BY$1,main!$A$3:$I$102,7,FALSE),main!$K$26:$Q$29,4,FALSE)),1,0)</f>
        <v>0</v>
      </c>
      <c r="BZ115">
        <f>IF(AND(VLOOKUP(BZ$1,main!$A$3:$H$102,7,FALSE)=main!$G$104,VLOOKUP(BZ$1,main!$A$3:$H$102,5,FALSE)-VLOOKUP($A115,main!$A$3:$H$102,6,FALSE)&gt;=main!$D$103+VLOOKUP(VLOOKUP(BZ$1,main!$A$3:$I$102,7,FALSE),main!$K$26:$Q$29,4,FALSE)),1,0)</f>
        <v>0</v>
      </c>
      <c r="CA115">
        <f>IF(AND(VLOOKUP(CA$1,main!$A$3:$H$102,7,FALSE)=main!$G$104,VLOOKUP(CA$1,main!$A$3:$H$102,5,FALSE)-VLOOKUP($A115,main!$A$3:$H$102,6,FALSE)&gt;=main!$D$103+VLOOKUP(VLOOKUP(CA$1,main!$A$3:$I$102,7,FALSE),main!$K$26:$Q$29,4,FALSE)),1,0)</f>
        <v>0</v>
      </c>
      <c r="CB115">
        <f>IF(AND(VLOOKUP(CB$1,main!$A$3:$H$102,7,FALSE)=main!$G$104,VLOOKUP(CB$1,main!$A$3:$H$102,5,FALSE)-VLOOKUP($A115,main!$A$3:$H$102,6,FALSE)&gt;=main!$D$103+VLOOKUP(VLOOKUP(CB$1,main!$A$3:$I$102,7,FALSE),main!$K$26:$Q$29,4,FALSE)),1,0)</f>
        <v>0</v>
      </c>
      <c r="CC115">
        <f>IF(AND(VLOOKUP(CC$1,main!$A$3:$H$102,7,FALSE)=main!$G$104,VLOOKUP(CC$1,main!$A$3:$H$102,5,FALSE)-VLOOKUP($A115,main!$A$3:$H$102,6,FALSE)&gt;=main!$D$103+VLOOKUP(VLOOKUP(CC$1,main!$A$3:$I$102,7,FALSE),main!$K$26:$Q$29,4,FALSE)),1,0)</f>
        <v>0</v>
      </c>
      <c r="CD115">
        <f>IF(AND(VLOOKUP(CD$1,main!$A$3:$H$102,7,FALSE)=main!$G$104,VLOOKUP(CD$1,main!$A$3:$H$102,5,FALSE)-VLOOKUP($A115,main!$A$3:$H$102,6,FALSE)&gt;=main!$D$103+VLOOKUP(VLOOKUP(CD$1,main!$A$3:$I$102,7,FALSE),main!$K$26:$Q$29,4,FALSE)),1,0)</f>
        <v>0</v>
      </c>
      <c r="CE115">
        <f>IF(AND(VLOOKUP(CE$1,main!$A$3:$H$102,7,FALSE)=main!$G$104,VLOOKUP(CE$1,main!$A$3:$H$102,5,FALSE)-VLOOKUP($A115,main!$A$3:$H$102,6,FALSE)&gt;=main!$D$103+VLOOKUP(VLOOKUP(CE$1,main!$A$3:$I$102,7,FALSE),main!$K$26:$Q$29,4,FALSE)),1,0)</f>
        <v>0</v>
      </c>
      <c r="CF115">
        <f>IF(AND(VLOOKUP(CF$1,main!$A$3:$H$102,7,FALSE)=main!$G$104,VLOOKUP(CF$1,main!$A$3:$H$102,5,FALSE)-VLOOKUP($A115,main!$A$3:$H$102,6,FALSE)&gt;=main!$D$103+VLOOKUP(VLOOKUP(CF$1,main!$A$3:$I$102,7,FALSE),main!$K$26:$Q$29,4,FALSE)),1,0)</f>
        <v>0</v>
      </c>
      <c r="CG115">
        <f>IF(AND(VLOOKUP(CG$1,main!$A$3:$H$102,7,FALSE)=main!$G$104,VLOOKUP(CG$1,main!$A$3:$H$102,5,FALSE)-VLOOKUP($A115,main!$A$3:$H$102,6,FALSE)&gt;=main!$D$103+VLOOKUP(VLOOKUP(CG$1,main!$A$3:$I$102,7,FALSE),main!$K$26:$Q$29,4,FALSE)),1,0)</f>
        <v>0</v>
      </c>
      <c r="CH115">
        <f>IF(AND(VLOOKUP(CH$1,main!$A$3:$H$102,7,FALSE)=main!$G$104,VLOOKUP(CH$1,main!$A$3:$H$102,5,FALSE)-VLOOKUP($A115,main!$A$3:$H$102,6,FALSE)&gt;=main!$D$103+VLOOKUP(VLOOKUP(CH$1,main!$A$3:$I$102,7,FALSE),main!$K$26:$Q$29,4,FALSE)),1,0)</f>
        <v>0</v>
      </c>
      <c r="CI115">
        <f>IF(AND(VLOOKUP(CI$1,main!$A$3:$H$102,7,FALSE)=main!$G$104,VLOOKUP(CI$1,main!$A$3:$H$102,5,FALSE)-VLOOKUP($A115,main!$A$3:$H$102,6,FALSE)&gt;=main!$D$103+VLOOKUP(VLOOKUP(CI$1,main!$A$3:$I$102,7,FALSE),main!$K$26:$Q$29,4,FALSE)),1,0)</f>
        <v>0</v>
      </c>
      <c r="CJ115">
        <f>IF(AND(VLOOKUP(CJ$1,main!$A$3:$H$102,7,FALSE)=main!$G$104,VLOOKUP(CJ$1,main!$A$3:$H$102,5,FALSE)-VLOOKUP($A115,main!$A$3:$H$102,6,FALSE)&gt;=main!$D$103+VLOOKUP(VLOOKUP(CJ$1,main!$A$3:$I$102,7,FALSE),main!$K$26:$Q$29,4,FALSE)),1,0)</f>
        <v>0</v>
      </c>
      <c r="CK115">
        <f>IF(AND(VLOOKUP(CK$1,main!$A$3:$H$102,7,FALSE)=main!$G$104,VLOOKUP(CK$1,main!$A$3:$H$102,5,FALSE)-VLOOKUP($A115,main!$A$3:$H$102,6,FALSE)&gt;=main!$D$103+VLOOKUP(VLOOKUP(CK$1,main!$A$3:$I$102,7,FALSE),main!$K$26:$Q$29,4,FALSE)),1,0)</f>
        <v>0</v>
      </c>
      <c r="CL115">
        <f>IF(AND(VLOOKUP(CL$1,main!$A$3:$H$102,7,FALSE)=main!$G$104,VLOOKUP(CL$1,main!$A$3:$H$102,5,FALSE)-VLOOKUP($A115,main!$A$3:$H$102,6,FALSE)&gt;=main!$D$103+VLOOKUP(VLOOKUP(CL$1,main!$A$3:$I$102,7,FALSE),main!$K$26:$Q$29,4,FALSE)),1,0)</f>
        <v>0</v>
      </c>
      <c r="CM115">
        <f>IF(AND(VLOOKUP(CM$1,main!$A$3:$H$102,7,FALSE)=main!$G$104,VLOOKUP(CM$1,main!$A$3:$H$102,5,FALSE)-VLOOKUP($A115,main!$A$3:$H$102,6,FALSE)&gt;=main!$D$103+VLOOKUP(VLOOKUP(CM$1,main!$A$3:$I$102,7,FALSE),main!$K$26:$Q$29,4,FALSE)),1,0)</f>
        <v>0</v>
      </c>
      <c r="CN115">
        <f>IF(AND(VLOOKUP(CN$1,main!$A$3:$H$102,7,FALSE)=main!$G$104,VLOOKUP(CN$1,main!$A$3:$H$102,5,FALSE)-VLOOKUP($A115,main!$A$3:$H$102,6,FALSE)&gt;=main!$D$103+VLOOKUP(VLOOKUP(CN$1,main!$A$3:$I$102,7,FALSE),main!$K$26:$Q$29,4,FALSE)),1,0)</f>
        <v>0</v>
      </c>
      <c r="CO115">
        <f>IF(AND(VLOOKUP(CO$1,main!$A$3:$H$102,7,FALSE)=main!$G$104,VLOOKUP(CO$1,main!$A$3:$H$102,5,FALSE)-VLOOKUP($A115,main!$A$3:$H$102,6,FALSE)&gt;=main!$D$103+VLOOKUP(VLOOKUP(CO$1,main!$A$3:$I$102,7,FALSE),main!$K$26:$Q$29,4,FALSE)),1,0)</f>
        <v>0</v>
      </c>
      <c r="CP115">
        <f>IF(AND(VLOOKUP(CP$1,main!$A$3:$H$102,7,FALSE)=main!$G$104,VLOOKUP(CP$1,main!$A$3:$H$102,5,FALSE)-VLOOKUP($A115,main!$A$3:$H$102,6,FALSE)&gt;=main!$D$103+VLOOKUP(VLOOKUP(CP$1,main!$A$3:$I$102,7,FALSE),main!$K$26:$Q$29,4,FALSE)),1,0)</f>
        <v>0</v>
      </c>
      <c r="CQ115">
        <f>IF(AND(VLOOKUP(CQ$1,main!$A$3:$H$102,7,FALSE)=main!$G$104,VLOOKUP(CQ$1,main!$A$3:$H$102,5,FALSE)-VLOOKUP($A115,main!$A$3:$H$102,6,FALSE)&gt;=main!$D$103+VLOOKUP(VLOOKUP(CQ$1,main!$A$3:$I$102,7,FALSE),main!$K$26:$Q$29,4,FALSE)),1,0)</f>
        <v>0</v>
      </c>
      <c r="CR115">
        <f>IF(AND(VLOOKUP(CR$1,main!$A$3:$H$102,7,FALSE)=main!$G$104,VLOOKUP(CR$1,main!$A$3:$H$102,5,FALSE)-VLOOKUP($A115,main!$A$3:$H$102,6,FALSE)&gt;=main!$D$103+VLOOKUP(VLOOKUP(CR$1,main!$A$3:$I$102,7,FALSE),main!$K$26:$Q$29,4,FALSE)),1,0)</f>
        <v>0</v>
      </c>
      <c r="CS115">
        <f>IF(AND(VLOOKUP(CS$1,main!$A$3:$H$102,7,FALSE)=main!$G$104,VLOOKUP(CS$1,main!$A$3:$H$102,5,FALSE)-VLOOKUP($A115,main!$A$3:$H$102,6,FALSE)&gt;=main!$D$103+VLOOKUP(VLOOKUP(CS$1,main!$A$3:$I$102,7,FALSE),main!$K$26:$Q$29,4,FALSE)),1,0)</f>
        <v>0</v>
      </c>
      <c r="CT115">
        <f>IF(AND(VLOOKUP(CT$1,main!$A$3:$H$102,7,FALSE)=main!$G$104,VLOOKUP(CT$1,main!$A$3:$H$102,5,FALSE)-VLOOKUP($A115,main!$A$3:$H$102,6,FALSE)&gt;=main!$D$103+VLOOKUP(VLOOKUP(CT$1,main!$A$3:$I$102,7,FALSE),main!$K$26:$Q$29,4,FALSE)),1,0)</f>
        <v>0</v>
      </c>
      <c r="CU115">
        <f>IF(AND(VLOOKUP(CU$1,main!$A$3:$H$102,7,FALSE)=main!$G$104,VLOOKUP(CU$1,main!$A$3:$H$102,5,FALSE)-VLOOKUP($A115,main!$A$3:$H$102,6,FALSE)&gt;=main!$D$103+VLOOKUP(VLOOKUP(CU$1,main!$A$3:$I$102,7,FALSE),main!$K$26:$Q$29,4,FALSE)),1,0)</f>
        <v>0</v>
      </c>
      <c r="CV115">
        <f>IF(AND(VLOOKUP(CV$1,main!$A$3:$H$102,7,FALSE)=main!$G$104,VLOOKUP(CV$1,main!$A$3:$H$102,5,FALSE)-VLOOKUP($A115,main!$A$3:$H$102,6,FALSE)&gt;=main!$D$103+VLOOKUP(VLOOKUP(CV$1,main!$A$3:$I$102,7,FALSE),main!$K$26:$Q$29,4,FALSE)),1,0)</f>
        <v>0</v>
      </c>
      <c r="CW115">
        <f>IF(AND(VLOOKUP(CW$1,main!$A$3:$H$102,7,FALSE)=main!$G$104,VLOOKUP(CW$1,main!$A$3:$H$102,5,FALSE)-VLOOKUP($A115,main!$A$3:$H$102,6,FALSE)&gt;=main!$D$103+VLOOKUP(VLOOKUP(CW$1,main!$A$3:$I$102,7,FALSE),main!$K$26:$Q$29,4,FALSE)),1,0)</f>
        <v>0</v>
      </c>
      <c r="CX115">
        <f>IF(AND(VLOOKUP(CX$1,main!$A$3:$H$102,7,FALSE)=main!$G$104,VLOOKUP(CX$1,main!$A$3:$H$102,5,FALSE)-VLOOKUP($A115,main!$A$3:$H$102,6,FALSE)&gt;=main!$D$103+VLOOKUP(VLOOKUP(CX$1,main!$A$3:$I$102,7,FALSE),main!$K$26:$Q$29,4,FALSE)),1,0)</f>
        <v>0</v>
      </c>
    </row>
    <row r="116" spans="1:102" x14ac:dyDescent="0.25">
      <c r="A116" s="1">
        <v>13</v>
      </c>
      <c r="B116">
        <v>0</v>
      </c>
      <c r="C116">
        <f>IF(AND(VLOOKUP(C$1,main!$A$3:$H$102,7,FALSE)=main!$G$104,VLOOKUP(C$1,main!$A$3:$H$102,5,FALSE)-VLOOKUP($A116,main!$A$3:$H$102,6,FALSE)&gt;=main!$D$103+VLOOKUP(VLOOKUP(C$1,main!$A$3:$I$102,7,FALSE),main!$K$26:$Q$29,4,FALSE)),1,0)</f>
        <v>0</v>
      </c>
      <c r="D116">
        <f>IF(AND(VLOOKUP(D$1,main!$A$3:$H$102,7,FALSE)=main!$G$104,VLOOKUP(D$1,main!$A$3:$H$102,5,FALSE)-VLOOKUP($A116,main!$A$3:$H$102,6,FALSE)&gt;=main!$D$103+VLOOKUP(VLOOKUP(D$1,main!$A$3:$I$102,7,FALSE),main!$K$26:$Q$29,4,FALSE)),1,0)</f>
        <v>0</v>
      </c>
      <c r="E116">
        <f>IF(AND(VLOOKUP(E$1,main!$A$3:$H$102,7,FALSE)=main!$G$104,VLOOKUP(E$1,main!$A$3:$H$102,5,FALSE)-VLOOKUP($A116,main!$A$3:$H$102,6,FALSE)&gt;=main!$D$103+VLOOKUP(VLOOKUP(E$1,main!$A$3:$I$102,7,FALSE),main!$K$26:$Q$29,4,FALSE)),1,0)</f>
        <v>0</v>
      </c>
      <c r="F116">
        <f>IF(AND(VLOOKUP(F$1,main!$A$3:$H$102,7,FALSE)=main!$G$104,VLOOKUP(F$1,main!$A$3:$H$102,5,FALSE)-VLOOKUP($A116,main!$A$3:$H$102,6,FALSE)&gt;=main!$D$103+VLOOKUP(VLOOKUP(F$1,main!$A$3:$I$102,7,FALSE),main!$K$26:$Q$29,4,FALSE)),1,0)</f>
        <v>0</v>
      </c>
      <c r="G116">
        <f>IF(AND(VLOOKUP(G$1,main!$A$3:$H$102,7,FALSE)=main!$G$104,VLOOKUP(G$1,main!$A$3:$H$102,5,FALSE)-VLOOKUP($A116,main!$A$3:$H$102,6,FALSE)&gt;=main!$D$103+VLOOKUP(VLOOKUP(G$1,main!$A$3:$I$102,7,FALSE),main!$K$26:$Q$29,4,FALSE)),1,0)</f>
        <v>1</v>
      </c>
      <c r="H116">
        <f>IF(AND(VLOOKUP(H$1,main!$A$3:$H$102,7,FALSE)=main!$G$104,VLOOKUP(H$1,main!$A$3:$H$102,5,FALSE)-VLOOKUP($A116,main!$A$3:$H$102,6,FALSE)&gt;=main!$D$103+VLOOKUP(VLOOKUP(H$1,main!$A$3:$I$102,7,FALSE),main!$K$26:$Q$29,4,FALSE)),1,0)</f>
        <v>1</v>
      </c>
      <c r="I116">
        <f>IF(AND(VLOOKUP(I$1,main!$A$3:$H$102,7,FALSE)=main!$G$104,VLOOKUP(I$1,main!$A$3:$H$102,5,FALSE)-VLOOKUP($A116,main!$A$3:$H$102,6,FALSE)&gt;=main!$D$103+VLOOKUP(VLOOKUP(I$1,main!$A$3:$I$102,7,FALSE),main!$K$26:$Q$29,4,FALSE)),1,0)</f>
        <v>1</v>
      </c>
      <c r="J116">
        <f>IF(AND(VLOOKUP(J$1,main!$A$3:$H$102,7,FALSE)=main!$G$104,VLOOKUP(J$1,main!$A$3:$H$102,5,FALSE)-VLOOKUP($A116,main!$A$3:$H$102,6,FALSE)&gt;=main!$D$103+VLOOKUP(VLOOKUP(J$1,main!$A$3:$I$102,7,FALSE),main!$K$26:$Q$29,4,FALSE)),1,0)</f>
        <v>1</v>
      </c>
      <c r="K116">
        <f>IF(AND(VLOOKUP(K$1,main!$A$3:$H$102,7,FALSE)=main!$G$104,VLOOKUP(K$1,main!$A$3:$H$102,5,FALSE)-VLOOKUP($A116,main!$A$3:$H$102,6,FALSE)&gt;=main!$D$103+VLOOKUP(VLOOKUP(K$1,main!$A$3:$I$102,7,FALSE),main!$K$26:$Q$29,4,FALSE)),1,0)</f>
        <v>1</v>
      </c>
      <c r="L116">
        <f>IF(AND(VLOOKUP(L$1,main!$A$3:$H$102,7,FALSE)=main!$G$104,VLOOKUP(L$1,main!$A$3:$H$102,5,FALSE)-VLOOKUP($A116,main!$A$3:$H$102,6,FALSE)&gt;=main!$D$103+VLOOKUP(VLOOKUP(L$1,main!$A$3:$I$102,7,FALSE),main!$K$26:$Q$29,4,FALSE)),1,0)</f>
        <v>1</v>
      </c>
      <c r="M116">
        <f>IF(AND(VLOOKUP(M$1,main!$A$3:$H$102,7,FALSE)=main!$G$104,VLOOKUP(M$1,main!$A$3:$H$102,5,FALSE)-VLOOKUP($A116,main!$A$3:$H$102,6,FALSE)&gt;=main!$D$103+VLOOKUP(VLOOKUP(M$1,main!$A$3:$I$102,7,FALSE),main!$K$26:$Q$29,4,FALSE)),1,0)</f>
        <v>0</v>
      </c>
      <c r="N116">
        <f>IF(AND(VLOOKUP(N$1,main!$A$3:$H$102,7,FALSE)=main!$G$104,VLOOKUP(N$1,main!$A$3:$H$102,5,FALSE)-VLOOKUP($A116,main!$A$3:$H$102,6,FALSE)&gt;=main!$D$103+VLOOKUP(VLOOKUP(N$1,main!$A$3:$I$102,7,FALSE),main!$K$26:$Q$29,4,FALSE)),1,0)</f>
        <v>0</v>
      </c>
      <c r="O116">
        <f>IF(AND(VLOOKUP(O$1,main!$A$3:$H$102,7,FALSE)=main!$G$104,VLOOKUP(O$1,main!$A$3:$H$102,5,FALSE)-VLOOKUP($A116,main!$A$3:$H$102,6,FALSE)&gt;=main!$D$103+VLOOKUP(VLOOKUP(O$1,main!$A$3:$I$102,7,FALSE),main!$K$26:$Q$29,4,FALSE)),1,0)</f>
        <v>0</v>
      </c>
      <c r="P116">
        <f>IF(AND(VLOOKUP(P$1,main!$A$3:$H$102,7,FALSE)=main!$G$104,VLOOKUP(P$1,main!$A$3:$H$102,5,FALSE)-VLOOKUP($A116,main!$A$3:$H$102,6,FALSE)&gt;=main!$D$103+VLOOKUP(VLOOKUP(P$1,main!$A$3:$I$102,7,FALSE),main!$K$26:$Q$29,4,FALSE)),1,0)</f>
        <v>0</v>
      </c>
      <c r="Q116">
        <f>IF(AND(VLOOKUP(Q$1,main!$A$3:$H$102,7,FALSE)=main!$G$104,VLOOKUP(Q$1,main!$A$3:$H$102,5,FALSE)-VLOOKUP($A116,main!$A$3:$H$102,6,FALSE)&gt;=main!$D$103+VLOOKUP(VLOOKUP(Q$1,main!$A$3:$I$102,7,FALSE),main!$K$26:$Q$29,4,FALSE)),1,0)</f>
        <v>0</v>
      </c>
      <c r="R116">
        <f>IF(AND(VLOOKUP(R$1,main!$A$3:$H$102,7,FALSE)=main!$G$104,VLOOKUP(R$1,main!$A$3:$H$102,5,FALSE)-VLOOKUP($A116,main!$A$3:$H$102,6,FALSE)&gt;=main!$D$103+VLOOKUP(VLOOKUP(R$1,main!$A$3:$I$102,7,FALSE),main!$K$26:$Q$29,4,FALSE)),1,0)</f>
        <v>0</v>
      </c>
      <c r="S116">
        <f>IF(AND(VLOOKUP(S$1,main!$A$3:$H$102,7,FALSE)=main!$G$104,VLOOKUP(S$1,main!$A$3:$H$102,5,FALSE)-VLOOKUP($A116,main!$A$3:$H$102,6,FALSE)&gt;=main!$D$103+VLOOKUP(VLOOKUP(S$1,main!$A$3:$I$102,7,FALSE),main!$K$26:$Q$29,4,FALSE)),1,0)</f>
        <v>1</v>
      </c>
      <c r="T116">
        <f>IF(AND(VLOOKUP(T$1,main!$A$3:$H$102,7,FALSE)=main!$G$104,VLOOKUP(T$1,main!$A$3:$H$102,5,FALSE)-VLOOKUP($A116,main!$A$3:$H$102,6,FALSE)&gt;=main!$D$103+VLOOKUP(VLOOKUP(T$1,main!$A$3:$I$102,7,FALSE),main!$K$26:$Q$29,4,FALSE)),1,0)</f>
        <v>1</v>
      </c>
      <c r="U116">
        <f>IF(AND(VLOOKUP(U$1,main!$A$3:$H$102,7,FALSE)=main!$G$104,VLOOKUP(U$1,main!$A$3:$H$102,5,FALSE)-VLOOKUP($A116,main!$A$3:$H$102,6,FALSE)&gt;=main!$D$103+VLOOKUP(VLOOKUP(U$1,main!$A$3:$I$102,7,FALSE),main!$K$26:$Q$29,4,FALSE)),1,0)</f>
        <v>1</v>
      </c>
      <c r="V116">
        <f>IF(AND(VLOOKUP(V$1,main!$A$3:$H$102,7,FALSE)=main!$G$104,VLOOKUP(V$1,main!$A$3:$H$102,5,FALSE)-VLOOKUP($A116,main!$A$3:$H$102,6,FALSE)&gt;=main!$D$103+VLOOKUP(VLOOKUP(V$1,main!$A$3:$I$102,7,FALSE),main!$K$26:$Q$29,4,FALSE)),1,0)</f>
        <v>1</v>
      </c>
      <c r="W116">
        <f>IF(AND(VLOOKUP(W$1,main!$A$3:$H$102,7,FALSE)=main!$G$104,VLOOKUP(W$1,main!$A$3:$H$102,5,FALSE)-VLOOKUP($A116,main!$A$3:$H$102,6,FALSE)&gt;=main!$D$103+VLOOKUP(VLOOKUP(W$1,main!$A$3:$I$102,7,FALSE),main!$K$26:$Q$29,4,FALSE)),1,0)</f>
        <v>0</v>
      </c>
      <c r="X116">
        <f>IF(AND(VLOOKUP(X$1,main!$A$3:$H$102,7,FALSE)=main!$G$104,VLOOKUP(X$1,main!$A$3:$H$102,5,FALSE)-VLOOKUP($A116,main!$A$3:$H$102,6,FALSE)&gt;=main!$D$103+VLOOKUP(VLOOKUP(X$1,main!$A$3:$I$102,7,FALSE),main!$K$26:$Q$29,4,FALSE)),1,0)</f>
        <v>0</v>
      </c>
      <c r="Y116">
        <f>IF(AND(VLOOKUP(Y$1,main!$A$3:$H$102,7,FALSE)=main!$G$104,VLOOKUP(Y$1,main!$A$3:$H$102,5,FALSE)-VLOOKUP($A116,main!$A$3:$H$102,6,FALSE)&gt;=main!$D$103+VLOOKUP(VLOOKUP(Y$1,main!$A$3:$I$102,7,FALSE),main!$K$26:$Q$29,4,FALSE)),1,0)</f>
        <v>0</v>
      </c>
      <c r="Z116">
        <f>IF(AND(VLOOKUP(Z$1,main!$A$3:$H$102,7,FALSE)=main!$G$104,VLOOKUP(Z$1,main!$A$3:$H$102,5,FALSE)-VLOOKUP($A116,main!$A$3:$H$102,6,FALSE)&gt;=main!$D$103+VLOOKUP(VLOOKUP(Z$1,main!$A$3:$I$102,7,FALSE),main!$K$26:$Q$29,4,FALSE)),1,0)</f>
        <v>1</v>
      </c>
      <c r="AA116">
        <f>IF(AND(VLOOKUP(AA$1,main!$A$3:$H$102,7,FALSE)=main!$G$104,VLOOKUP(AA$1,main!$A$3:$H$102,5,FALSE)-VLOOKUP($A116,main!$A$3:$H$102,6,FALSE)&gt;=main!$D$103+VLOOKUP(VLOOKUP(AA$1,main!$A$3:$I$102,7,FALSE),main!$K$26:$Q$29,4,FALSE)),1,0)</f>
        <v>1</v>
      </c>
      <c r="AB116">
        <f>IF(AND(VLOOKUP(AB$1,main!$A$3:$H$102,7,FALSE)=main!$G$104,VLOOKUP(AB$1,main!$A$3:$H$102,5,FALSE)-VLOOKUP($A116,main!$A$3:$H$102,6,FALSE)&gt;=main!$D$103+VLOOKUP(VLOOKUP(AB$1,main!$A$3:$I$102,7,FALSE),main!$K$26:$Q$29,4,FALSE)),1,0)</f>
        <v>0</v>
      </c>
      <c r="AC116">
        <f>IF(AND(VLOOKUP(AC$1,main!$A$3:$H$102,7,FALSE)=main!$G$104,VLOOKUP(AC$1,main!$A$3:$H$102,5,FALSE)-VLOOKUP($A116,main!$A$3:$H$102,6,FALSE)&gt;=main!$D$103+VLOOKUP(VLOOKUP(AC$1,main!$A$3:$I$102,7,FALSE),main!$K$26:$Q$29,4,FALSE)),1,0)</f>
        <v>0</v>
      </c>
      <c r="AD116">
        <f>IF(AND(VLOOKUP(AD$1,main!$A$3:$H$102,7,FALSE)=main!$G$104,VLOOKUP(AD$1,main!$A$3:$H$102,5,FALSE)-VLOOKUP($A116,main!$A$3:$H$102,6,FALSE)&gt;=main!$D$103+VLOOKUP(VLOOKUP(AD$1,main!$A$3:$I$102,7,FALSE),main!$K$26:$Q$29,4,FALSE)),1,0)</f>
        <v>0</v>
      </c>
      <c r="AE116">
        <f>IF(AND(VLOOKUP(AE$1,main!$A$3:$H$102,7,FALSE)=main!$G$104,VLOOKUP(AE$1,main!$A$3:$H$102,5,FALSE)-VLOOKUP($A116,main!$A$3:$H$102,6,FALSE)&gt;=main!$D$103+VLOOKUP(VLOOKUP(AE$1,main!$A$3:$I$102,7,FALSE),main!$K$26:$Q$29,4,FALSE)),1,0)</f>
        <v>1</v>
      </c>
      <c r="AF116">
        <f>IF(AND(VLOOKUP(AF$1,main!$A$3:$H$102,7,FALSE)=main!$G$104,VLOOKUP(AF$1,main!$A$3:$H$102,5,FALSE)-VLOOKUP($A116,main!$A$3:$H$102,6,FALSE)&gt;=main!$D$103+VLOOKUP(VLOOKUP(AF$1,main!$A$3:$I$102,7,FALSE),main!$K$26:$Q$29,4,FALSE)),1,0)</f>
        <v>1</v>
      </c>
      <c r="AG116">
        <f>IF(AND(VLOOKUP(AG$1,main!$A$3:$H$102,7,FALSE)=main!$G$104,VLOOKUP(AG$1,main!$A$3:$H$102,5,FALSE)-VLOOKUP($A116,main!$A$3:$H$102,6,FALSE)&gt;=main!$D$103+VLOOKUP(VLOOKUP(AG$1,main!$A$3:$I$102,7,FALSE),main!$K$26:$Q$29,4,FALSE)),1,0)</f>
        <v>0</v>
      </c>
      <c r="AH116">
        <f>IF(AND(VLOOKUP(AH$1,main!$A$3:$H$102,7,FALSE)=main!$G$104,VLOOKUP(AH$1,main!$A$3:$H$102,5,FALSE)-VLOOKUP($A116,main!$A$3:$H$102,6,FALSE)&gt;=main!$D$103+VLOOKUP(VLOOKUP(AH$1,main!$A$3:$I$102,7,FALSE),main!$K$26:$Q$29,4,FALSE)),1,0)</f>
        <v>0</v>
      </c>
      <c r="AI116">
        <f>IF(AND(VLOOKUP(AI$1,main!$A$3:$H$102,7,FALSE)=main!$G$104,VLOOKUP(AI$1,main!$A$3:$H$102,5,FALSE)-VLOOKUP($A116,main!$A$3:$H$102,6,FALSE)&gt;=main!$D$103+VLOOKUP(VLOOKUP(AI$1,main!$A$3:$I$102,7,FALSE),main!$K$26:$Q$29,4,FALSE)),1,0)</f>
        <v>0</v>
      </c>
      <c r="AJ116">
        <f>IF(AND(VLOOKUP(AJ$1,main!$A$3:$H$102,7,FALSE)=main!$G$104,VLOOKUP(AJ$1,main!$A$3:$H$102,5,FALSE)-VLOOKUP($A116,main!$A$3:$H$102,6,FALSE)&gt;=main!$D$103+VLOOKUP(VLOOKUP(AJ$1,main!$A$3:$I$102,7,FALSE),main!$K$26:$Q$29,4,FALSE)),1,0)</f>
        <v>0</v>
      </c>
      <c r="AK116">
        <f>IF(AND(VLOOKUP(AK$1,main!$A$3:$H$102,7,FALSE)=main!$G$104,VLOOKUP(AK$1,main!$A$3:$H$102,5,FALSE)-VLOOKUP($A116,main!$A$3:$H$102,6,FALSE)&gt;=main!$D$103+VLOOKUP(VLOOKUP(AK$1,main!$A$3:$I$102,7,FALSE),main!$K$26:$Q$29,4,FALSE)),1,0)</f>
        <v>0</v>
      </c>
      <c r="AL116">
        <f>IF(AND(VLOOKUP(AL$1,main!$A$3:$H$102,7,FALSE)=main!$G$104,VLOOKUP(AL$1,main!$A$3:$H$102,5,FALSE)-VLOOKUP($A116,main!$A$3:$H$102,6,FALSE)&gt;=main!$D$103+VLOOKUP(VLOOKUP(AL$1,main!$A$3:$I$102,7,FALSE),main!$K$26:$Q$29,4,FALSE)),1,0)</f>
        <v>0</v>
      </c>
      <c r="AM116">
        <f>IF(AND(VLOOKUP(AM$1,main!$A$3:$H$102,7,FALSE)=main!$G$104,VLOOKUP(AM$1,main!$A$3:$H$102,5,FALSE)-VLOOKUP($A116,main!$A$3:$H$102,6,FALSE)&gt;=main!$D$103+VLOOKUP(VLOOKUP(AM$1,main!$A$3:$I$102,7,FALSE),main!$K$26:$Q$29,4,FALSE)),1,0)</f>
        <v>0</v>
      </c>
      <c r="AN116">
        <f>IF(AND(VLOOKUP(AN$1,main!$A$3:$H$102,7,FALSE)=main!$G$104,VLOOKUP(AN$1,main!$A$3:$H$102,5,FALSE)-VLOOKUP($A116,main!$A$3:$H$102,6,FALSE)&gt;=main!$D$103+VLOOKUP(VLOOKUP(AN$1,main!$A$3:$I$102,7,FALSE),main!$K$26:$Q$29,4,FALSE)),1,0)</f>
        <v>0</v>
      </c>
      <c r="AO116">
        <f>IF(AND(VLOOKUP(AO$1,main!$A$3:$H$102,7,FALSE)=main!$G$104,VLOOKUP(AO$1,main!$A$3:$H$102,5,FALSE)-VLOOKUP($A116,main!$A$3:$H$102,6,FALSE)&gt;=main!$D$103+VLOOKUP(VLOOKUP(AO$1,main!$A$3:$I$102,7,FALSE),main!$K$26:$Q$29,4,FALSE)),1,0)</f>
        <v>0</v>
      </c>
      <c r="AP116">
        <f>IF(AND(VLOOKUP(AP$1,main!$A$3:$H$102,7,FALSE)=main!$G$104,VLOOKUP(AP$1,main!$A$3:$H$102,5,FALSE)-VLOOKUP($A116,main!$A$3:$H$102,6,FALSE)&gt;=main!$D$103+VLOOKUP(VLOOKUP(AP$1,main!$A$3:$I$102,7,FALSE),main!$K$26:$Q$29,4,FALSE)),1,0)</f>
        <v>0</v>
      </c>
      <c r="AQ116">
        <f>IF(AND(VLOOKUP(AQ$1,main!$A$3:$H$102,7,FALSE)=main!$G$104,VLOOKUP(AQ$1,main!$A$3:$H$102,5,FALSE)-VLOOKUP($A116,main!$A$3:$H$102,6,FALSE)&gt;=main!$D$103+VLOOKUP(VLOOKUP(AQ$1,main!$A$3:$I$102,7,FALSE),main!$K$26:$Q$29,4,FALSE)),1,0)</f>
        <v>0</v>
      </c>
      <c r="AR116">
        <f>IF(AND(VLOOKUP(AR$1,main!$A$3:$H$102,7,FALSE)=main!$G$104,VLOOKUP(AR$1,main!$A$3:$H$102,5,FALSE)-VLOOKUP($A116,main!$A$3:$H$102,6,FALSE)&gt;=main!$D$103+VLOOKUP(VLOOKUP(AR$1,main!$A$3:$I$102,7,FALSE),main!$K$26:$Q$29,4,FALSE)),1,0)</f>
        <v>0</v>
      </c>
      <c r="AS116">
        <f>IF(AND(VLOOKUP(AS$1,main!$A$3:$H$102,7,FALSE)=main!$G$104,VLOOKUP(AS$1,main!$A$3:$H$102,5,FALSE)-VLOOKUP($A116,main!$A$3:$H$102,6,FALSE)&gt;=main!$D$103+VLOOKUP(VLOOKUP(AS$1,main!$A$3:$I$102,7,FALSE),main!$K$26:$Q$29,4,FALSE)),1,0)</f>
        <v>0</v>
      </c>
      <c r="AT116">
        <f>IF(AND(VLOOKUP(AT$1,main!$A$3:$H$102,7,FALSE)=main!$G$104,VLOOKUP(AT$1,main!$A$3:$H$102,5,FALSE)-VLOOKUP($A116,main!$A$3:$H$102,6,FALSE)&gt;=main!$D$103+VLOOKUP(VLOOKUP(AT$1,main!$A$3:$I$102,7,FALSE),main!$K$26:$Q$29,4,FALSE)),1,0)</f>
        <v>0</v>
      </c>
      <c r="AU116">
        <f>IF(AND(VLOOKUP(AU$1,main!$A$3:$H$102,7,FALSE)=main!$G$104,VLOOKUP(AU$1,main!$A$3:$H$102,5,FALSE)-VLOOKUP($A116,main!$A$3:$H$102,6,FALSE)&gt;=main!$D$103+VLOOKUP(VLOOKUP(AU$1,main!$A$3:$I$102,7,FALSE),main!$K$26:$Q$29,4,FALSE)),1,0)</f>
        <v>0</v>
      </c>
      <c r="AV116">
        <f>IF(AND(VLOOKUP(AV$1,main!$A$3:$H$102,7,FALSE)=main!$G$104,VLOOKUP(AV$1,main!$A$3:$H$102,5,FALSE)-VLOOKUP($A116,main!$A$3:$H$102,6,FALSE)&gt;=main!$D$103+VLOOKUP(VLOOKUP(AV$1,main!$A$3:$I$102,7,FALSE),main!$K$26:$Q$29,4,FALSE)),1,0)</f>
        <v>0</v>
      </c>
      <c r="AW116">
        <f>IF(AND(VLOOKUP(AW$1,main!$A$3:$H$102,7,FALSE)=main!$G$104,VLOOKUP(AW$1,main!$A$3:$H$102,5,FALSE)-VLOOKUP($A116,main!$A$3:$H$102,6,FALSE)&gt;=main!$D$103+VLOOKUP(VLOOKUP(AW$1,main!$A$3:$I$102,7,FALSE),main!$K$26:$Q$29,4,FALSE)),1,0)</f>
        <v>0</v>
      </c>
      <c r="AX116">
        <f>IF(AND(VLOOKUP(AX$1,main!$A$3:$H$102,7,FALSE)=main!$G$104,VLOOKUP(AX$1,main!$A$3:$H$102,5,FALSE)-VLOOKUP($A116,main!$A$3:$H$102,6,FALSE)&gt;=main!$D$103+VLOOKUP(VLOOKUP(AX$1,main!$A$3:$I$102,7,FALSE),main!$K$26:$Q$29,4,FALSE)),1,0)</f>
        <v>0</v>
      </c>
      <c r="AY116">
        <f>IF(AND(VLOOKUP(AY$1,main!$A$3:$H$102,7,FALSE)=main!$G$104,VLOOKUP(AY$1,main!$A$3:$H$102,5,FALSE)-VLOOKUP($A116,main!$A$3:$H$102,6,FALSE)&gt;=main!$D$103+VLOOKUP(VLOOKUP(AY$1,main!$A$3:$I$102,7,FALSE),main!$K$26:$Q$29,4,FALSE)),1,0)</f>
        <v>0</v>
      </c>
      <c r="AZ116">
        <f>IF(AND(VLOOKUP(AZ$1,main!$A$3:$H$102,7,FALSE)=main!$G$104,VLOOKUP(AZ$1,main!$A$3:$H$102,5,FALSE)-VLOOKUP($A116,main!$A$3:$H$102,6,FALSE)&gt;=main!$D$103+VLOOKUP(VLOOKUP(AZ$1,main!$A$3:$I$102,7,FALSE),main!$K$26:$Q$29,4,FALSE)),1,0)</f>
        <v>0</v>
      </c>
      <c r="BA116">
        <f>IF(AND(VLOOKUP(BA$1,main!$A$3:$H$102,7,FALSE)=main!$G$104,VLOOKUP(BA$1,main!$A$3:$H$102,5,FALSE)-VLOOKUP($A116,main!$A$3:$H$102,6,FALSE)&gt;=main!$D$103+VLOOKUP(VLOOKUP(BA$1,main!$A$3:$I$102,7,FALSE),main!$K$26:$Q$29,4,FALSE)),1,0)</f>
        <v>0</v>
      </c>
      <c r="BB116">
        <f>IF(AND(VLOOKUP(BB$1,main!$A$3:$H$102,7,FALSE)=main!$G$104,VLOOKUP(BB$1,main!$A$3:$H$102,5,FALSE)-VLOOKUP($A116,main!$A$3:$H$102,6,FALSE)&gt;=main!$D$103+VLOOKUP(VLOOKUP(BB$1,main!$A$3:$I$102,7,FALSE),main!$K$26:$Q$29,4,FALSE)),1,0)</f>
        <v>0</v>
      </c>
      <c r="BC116">
        <f>IF(AND(VLOOKUP(BC$1,main!$A$3:$H$102,7,FALSE)=main!$G$104,VLOOKUP(BC$1,main!$A$3:$H$102,5,FALSE)-VLOOKUP($A116,main!$A$3:$H$102,6,FALSE)&gt;=main!$D$103+VLOOKUP(VLOOKUP(BC$1,main!$A$3:$I$102,7,FALSE),main!$K$26:$Q$29,4,FALSE)),1,0)</f>
        <v>0</v>
      </c>
      <c r="BD116">
        <f>IF(AND(VLOOKUP(BD$1,main!$A$3:$H$102,7,FALSE)=main!$G$104,VLOOKUP(BD$1,main!$A$3:$H$102,5,FALSE)-VLOOKUP($A116,main!$A$3:$H$102,6,FALSE)&gt;=main!$D$103+VLOOKUP(VLOOKUP(BD$1,main!$A$3:$I$102,7,FALSE),main!$K$26:$Q$29,4,FALSE)),1,0)</f>
        <v>0</v>
      </c>
      <c r="BE116">
        <f>IF(AND(VLOOKUP(BE$1,main!$A$3:$H$102,7,FALSE)=main!$G$104,VLOOKUP(BE$1,main!$A$3:$H$102,5,FALSE)-VLOOKUP($A116,main!$A$3:$H$102,6,FALSE)&gt;=main!$D$103+VLOOKUP(VLOOKUP(BE$1,main!$A$3:$I$102,7,FALSE),main!$K$26:$Q$29,4,FALSE)),1,0)</f>
        <v>0</v>
      </c>
      <c r="BF116">
        <f>IF(AND(VLOOKUP(BF$1,main!$A$3:$H$102,7,FALSE)=main!$G$104,VLOOKUP(BF$1,main!$A$3:$H$102,5,FALSE)-VLOOKUP($A116,main!$A$3:$H$102,6,FALSE)&gt;=main!$D$103+VLOOKUP(VLOOKUP(BF$1,main!$A$3:$I$102,7,FALSE),main!$K$26:$Q$29,4,FALSE)),1,0)</f>
        <v>0</v>
      </c>
      <c r="BG116">
        <f>IF(AND(VLOOKUP(BG$1,main!$A$3:$H$102,7,FALSE)=main!$G$104,VLOOKUP(BG$1,main!$A$3:$H$102,5,FALSE)-VLOOKUP($A116,main!$A$3:$H$102,6,FALSE)&gt;=main!$D$103+VLOOKUP(VLOOKUP(BG$1,main!$A$3:$I$102,7,FALSE),main!$K$26:$Q$29,4,FALSE)),1,0)</f>
        <v>0</v>
      </c>
      <c r="BH116">
        <f>IF(AND(VLOOKUP(BH$1,main!$A$3:$H$102,7,FALSE)=main!$G$104,VLOOKUP(BH$1,main!$A$3:$H$102,5,FALSE)-VLOOKUP($A116,main!$A$3:$H$102,6,FALSE)&gt;=main!$D$103+VLOOKUP(VLOOKUP(BH$1,main!$A$3:$I$102,7,FALSE),main!$K$26:$Q$29,4,FALSE)),1,0)</f>
        <v>0</v>
      </c>
      <c r="BI116">
        <f>IF(AND(VLOOKUP(BI$1,main!$A$3:$H$102,7,FALSE)=main!$G$104,VLOOKUP(BI$1,main!$A$3:$H$102,5,FALSE)-VLOOKUP($A116,main!$A$3:$H$102,6,FALSE)&gt;=main!$D$103+VLOOKUP(VLOOKUP(BI$1,main!$A$3:$I$102,7,FALSE),main!$K$26:$Q$29,4,FALSE)),1,0)</f>
        <v>0</v>
      </c>
      <c r="BJ116">
        <f>IF(AND(VLOOKUP(BJ$1,main!$A$3:$H$102,7,FALSE)=main!$G$104,VLOOKUP(BJ$1,main!$A$3:$H$102,5,FALSE)-VLOOKUP($A116,main!$A$3:$H$102,6,FALSE)&gt;=main!$D$103+VLOOKUP(VLOOKUP(BJ$1,main!$A$3:$I$102,7,FALSE),main!$K$26:$Q$29,4,FALSE)),1,0)</f>
        <v>0</v>
      </c>
      <c r="BK116">
        <f>IF(AND(VLOOKUP(BK$1,main!$A$3:$H$102,7,FALSE)=main!$G$104,VLOOKUP(BK$1,main!$A$3:$H$102,5,FALSE)-VLOOKUP($A116,main!$A$3:$H$102,6,FALSE)&gt;=main!$D$103+VLOOKUP(VLOOKUP(BK$1,main!$A$3:$I$102,7,FALSE),main!$K$26:$Q$29,4,FALSE)),1,0)</f>
        <v>0</v>
      </c>
      <c r="BL116">
        <f>IF(AND(VLOOKUP(BL$1,main!$A$3:$H$102,7,FALSE)=main!$G$104,VLOOKUP(BL$1,main!$A$3:$H$102,5,FALSE)-VLOOKUP($A116,main!$A$3:$H$102,6,FALSE)&gt;=main!$D$103+VLOOKUP(VLOOKUP(BL$1,main!$A$3:$I$102,7,FALSE),main!$K$26:$Q$29,4,FALSE)),1,0)</f>
        <v>0</v>
      </c>
      <c r="BM116">
        <f>IF(AND(VLOOKUP(BM$1,main!$A$3:$H$102,7,FALSE)=main!$G$104,VLOOKUP(BM$1,main!$A$3:$H$102,5,FALSE)-VLOOKUP($A116,main!$A$3:$H$102,6,FALSE)&gt;=main!$D$103+VLOOKUP(VLOOKUP(BM$1,main!$A$3:$I$102,7,FALSE),main!$K$26:$Q$29,4,FALSE)),1,0)</f>
        <v>0</v>
      </c>
      <c r="BN116">
        <f>IF(AND(VLOOKUP(BN$1,main!$A$3:$H$102,7,FALSE)=main!$G$104,VLOOKUP(BN$1,main!$A$3:$H$102,5,FALSE)-VLOOKUP($A116,main!$A$3:$H$102,6,FALSE)&gt;=main!$D$103+VLOOKUP(VLOOKUP(BN$1,main!$A$3:$I$102,7,FALSE),main!$K$26:$Q$29,4,FALSE)),1,0)</f>
        <v>0</v>
      </c>
      <c r="BO116">
        <f>IF(AND(VLOOKUP(BO$1,main!$A$3:$H$102,7,FALSE)=main!$G$104,VLOOKUP(BO$1,main!$A$3:$H$102,5,FALSE)-VLOOKUP($A116,main!$A$3:$H$102,6,FALSE)&gt;=main!$D$103+VLOOKUP(VLOOKUP(BO$1,main!$A$3:$I$102,7,FALSE),main!$K$26:$Q$29,4,FALSE)),1,0)</f>
        <v>0</v>
      </c>
      <c r="BP116">
        <f>IF(AND(VLOOKUP(BP$1,main!$A$3:$H$102,7,FALSE)=main!$G$104,VLOOKUP(BP$1,main!$A$3:$H$102,5,FALSE)-VLOOKUP($A116,main!$A$3:$H$102,6,FALSE)&gt;=main!$D$103+VLOOKUP(VLOOKUP(BP$1,main!$A$3:$I$102,7,FALSE),main!$K$26:$Q$29,4,FALSE)),1,0)</f>
        <v>0</v>
      </c>
      <c r="BQ116">
        <f>IF(AND(VLOOKUP(BQ$1,main!$A$3:$H$102,7,FALSE)=main!$G$104,VLOOKUP(BQ$1,main!$A$3:$H$102,5,FALSE)-VLOOKUP($A116,main!$A$3:$H$102,6,FALSE)&gt;=main!$D$103+VLOOKUP(VLOOKUP(BQ$1,main!$A$3:$I$102,7,FALSE),main!$K$26:$Q$29,4,FALSE)),1,0)</f>
        <v>0</v>
      </c>
      <c r="BR116">
        <f>IF(AND(VLOOKUP(BR$1,main!$A$3:$H$102,7,FALSE)=main!$G$104,VLOOKUP(BR$1,main!$A$3:$H$102,5,FALSE)-VLOOKUP($A116,main!$A$3:$H$102,6,FALSE)&gt;=main!$D$103+VLOOKUP(VLOOKUP(BR$1,main!$A$3:$I$102,7,FALSE),main!$K$26:$Q$29,4,FALSE)),1,0)</f>
        <v>0</v>
      </c>
      <c r="BS116">
        <f>IF(AND(VLOOKUP(BS$1,main!$A$3:$H$102,7,FALSE)=main!$G$104,VLOOKUP(BS$1,main!$A$3:$H$102,5,FALSE)-VLOOKUP($A116,main!$A$3:$H$102,6,FALSE)&gt;=main!$D$103+VLOOKUP(VLOOKUP(BS$1,main!$A$3:$I$102,7,FALSE),main!$K$26:$Q$29,4,FALSE)),1,0)</f>
        <v>0</v>
      </c>
      <c r="BT116">
        <f>IF(AND(VLOOKUP(BT$1,main!$A$3:$H$102,7,FALSE)=main!$G$104,VLOOKUP(BT$1,main!$A$3:$H$102,5,FALSE)-VLOOKUP($A116,main!$A$3:$H$102,6,FALSE)&gt;=main!$D$103+VLOOKUP(VLOOKUP(BT$1,main!$A$3:$I$102,7,FALSE),main!$K$26:$Q$29,4,FALSE)),1,0)</f>
        <v>0</v>
      </c>
      <c r="BU116">
        <f>IF(AND(VLOOKUP(BU$1,main!$A$3:$H$102,7,FALSE)=main!$G$104,VLOOKUP(BU$1,main!$A$3:$H$102,5,FALSE)-VLOOKUP($A116,main!$A$3:$H$102,6,FALSE)&gt;=main!$D$103+VLOOKUP(VLOOKUP(BU$1,main!$A$3:$I$102,7,FALSE),main!$K$26:$Q$29,4,FALSE)),1,0)</f>
        <v>0</v>
      </c>
      <c r="BV116">
        <f>IF(AND(VLOOKUP(BV$1,main!$A$3:$H$102,7,FALSE)=main!$G$104,VLOOKUP(BV$1,main!$A$3:$H$102,5,FALSE)-VLOOKUP($A116,main!$A$3:$H$102,6,FALSE)&gt;=main!$D$103+VLOOKUP(VLOOKUP(BV$1,main!$A$3:$I$102,7,FALSE),main!$K$26:$Q$29,4,FALSE)),1,0)</f>
        <v>0</v>
      </c>
      <c r="BW116">
        <f>IF(AND(VLOOKUP(BW$1,main!$A$3:$H$102,7,FALSE)=main!$G$104,VLOOKUP(BW$1,main!$A$3:$H$102,5,FALSE)-VLOOKUP($A116,main!$A$3:$H$102,6,FALSE)&gt;=main!$D$103+VLOOKUP(VLOOKUP(BW$1,main!$A$3:$I$102,7,FALSE),main!$K$26:$Q$29,4,FALSE)),1,0)</f>
        <v>0</v>
      </c>
      <c r="BX116">
        <f>IF(AND(VLOOKUP(BX$1,main!$A$3:$H$102,7,FALSE)=main!$G$104,VLOOKUP(BX$1,main!$A$3:$H$102,5,FALSE)-VLOOKUP($A116,main!$A$3:$H$102,6,FALSE)&gt;=main!$D$103+VLOOKUP(VLOOKUP(BX$1,main!$A$3:$I$102,7,FALSE),main!$K$26:$Q$29,4,FALSE)),1,0)</f>
        <v>0</v>
      </c>
      <c r="BY116">
        <f>IF(AND(VLOOKUP(BY$1,main!$A$3:$H$102,7,FALSE)=main!$G$104,VLOOKUP(BY$1,main!$A$3:$H$102,5,FALSE)-VLOOKUP($A116,main!$A$3:$H$102,6,FALSE)&gt;=main!$D$103+VLOOKUP(VLOOKUP(BY$1,main!$A$3:$I$102,7,FALSE),main!$K$26:$Q$29,4,FALSE)),1,0)</f>
        <v>0</v>
      </c>
      <c r="BZ116">
        <f>IF(AND(VLOOKUP(BZ$1,main!$A$3:$H$102,7,FALSE)=main!$G$104,VLOOKUP(BZ$1,main!$A$3:$H$102,5,FALSE)-VLOOKUP($A116,main!$A$3:$H$102,6,FALSE)&gt;=main!$D$103+VLOOKUP(VLOOKUP(BZ$1,main!$A$3:$I$102,7,FALSE),main!$K$26:$Q$29,4,FALSE)),1,0)</f>
        <v>0</v>
      </c>
      <c r="CA116">
        <f>IF(AND(VLOOKUP(CA$1,main!$A$3:$H$102,7,FALSE)=main!$G$104,VLOOKUP(CA$1,main!$A$3:$H$102,5,FALSE)-VLOOKUP($A116,main!$A$3:$H$102,6,FALSE)&gt;=main!$D$103+VLOOKUP(VLOOKUP(CA$1,main!$A$3:$I$102,7,FALSE),main!$K$26:$Q$29,4,FALSE)),1,0)</f>
        <v>0</v>
      </c>
      <c r="CB116">
        <f>IF(AND(VLOOKUP(CB$1,main!$A$3:$H$102,7,FALSE)=main!$G$104,VLOOKUP(CB$1,main!$A$3:$H$102,5,FALSE)-VLOOKUP($A116,main!$A$3:$H$102,6,FALSE)&gt;=main!$D$103+VLOOKUP(VLOOKUP(CB$1,main!$A$3:$I$102,7,FALSE),main!$K$26:$Q$29,4,FALSE)),1,0)</f>
        <v>0</v>
      </c>
      <c r="CC116">
        <f>IF(AND(VLOOKUP(CC$1,main!$A$3:$H$102,7,FALSE)=main!$G$104,VLOOKUP(CC$1,main!$A$3:$H$102,5,FALSE)-VLOOKUP($A116,main!$A$3:$H$102,6,FALSE)&gt;=main!$D$103+VLOOKUP(VLOOKUP(CC$1,main!$A$3:$I$102,7,FALSE),main!$K$26:$Q$29,4,FALSE)),1,0)</f>
        <v>0</v>
      </c>
      <c r="CD116">
        <f>IF(AND(VLOOKUP(CD$1,main!$A$3:$H$102,7,FALSE)=main!$G$104,VLOOKUP(CD$1,main!$A$3:$H$102,5,FALSE)-VLOOKUP($A116,main!$A$3:$H$102,6,FALSE)&gt;=main!$D$103+VLOOKUP(VLOOKUP(CD$1,main!$A$3:$I$102,7,FALSE),main!$K$26:$Q$29,4,FALSE)),1,0)</f>
        <v>0</v>
      </c>
      <c r="CE116">
        <f>IF(AND(VLOOKUP(CE$1,main!$A$3:$H$102,7,FALSE)=main!$G$104,VLOOKUP(CE$1,main!$A$3:$H$102,5,FALSE)-VLOOKUP($A116,main!$A$3:$H$102,6,FALSE)&gt;=main!$D$103+VLOOKUP(VLOOKUP(CE$1,main!$A$3:$I$102,7,FALSE),main!$K$26:$Q$29,4,FALSE)),1,0)</f>
        <v>0</v>
      </c>
      <c r="CF116">
        <f>IF(AND(VLOOKUP(CF$1,main!$A$3:$H$102,7,FALSE)=main!$G$104,VLOOKUP(CF$1,main!$A$3:$H$102,5,FALSE)-VLOOKUP($A116,main!$A$3:$H$102,6,FALSE)&gt;=main!$D$103+VLOOKUP(VLOOKUP(CF$1,main!$A$3:$I$102,7,FALSE),main!$K$26:$Q$29,4,FALSE)),1,0)</f>
        <v>0</v>
      </c>
      <c r="CG116">
        <f>IF(AND(VLOOKUP(CG$1,main!$A$3:$H$102,7,FALSE)=main!$G$104,VLOOKUP(CG$1,main!$A$3:$H$102,5,FALSE)-VLOOKUP($A116,main!$A$3:$H$102,6,FALSE)&gt;=main!$D$103+VLOOKUP(VLOOKUP(CG$1,main!$A$3:$I$102,7,FALSE),main!$K$26:$Q$29,4,FALSE)),1,0)</f>
        <v>0</v>
      </c>
      <c r="CH116">
        <f>IF(AND(VLOOKUP(CH$1,main!$A$3:$H$102,7,FALSE)=main!$G$104,VLOOKUP(CH$1,main!$A$3:$H$102,5,FALSE)-VLOOKUP($A116,main!$A$3:$H$102,6,FALSE)&gt;=main!$D$103+VLOOKUP(VLOOKUP(CH$1,main!$A$3:$I$102,7,FALSE),main!$K$26:$Q$29,4,FALSE)),1,0)</f>
        <v>0</v>
      </c>
      <c r="CI116">
        <f>IF(AND(VLOOKUP(CI$1,main!$A$3:$H$102,7,FALSE)=main!$G$104,VLOOKUP(CI$1,main!$A$3:$H$102,5,FALSE)-VLOOKUP($A116,main!$A$3:$H$102,6,FALSE)&gt;=main!$D$103+VLOOKUP(VLOOKUP(CI$1,main!$A$3:$I$102,7,FALSE),main!$K$26:$Q$29,4,FALSE)),1,0)</f>
        <v>0</v>
      </c>
      <c r="CJ116">
        <f>IF(AND(VLOOKUP(CJ$1,main!$A$3:$H$102,7,FALSE)=main!$G$104,VLOOKUP(CJ$1,main!$A$3:$H$102,5,FALSE)-VLOOKUP($A116,main!$A$3:$H$102,6,FALSE)&gt;=main!$D$103+VLOOKUP(VLOOKUP(CJ$1,main!$A$3:$I$102,7,FALSE),main!$K$26:$Q$29,4,FALSE)),1,0)</f>
        <v>0</v>
      </c>
      <c r="CK116">
        <f>IF(AND(VLOOKUP(CK$1,main!$A$3:$H$102,7,FALSE)=main!$G$104,VLOOKUP(CK$1,main!$A$3:$H$102,5,FALSE)-VLOOKUP($A116,main!$A$3:$H$102,6,FALSE)&gt;=main!$D$103+VLOOKUP(VLOOKUP(CK$1,main!$A$3:$I$102,7,FALSE),main!$K$26:$Q$29,4,FALSE)),1,0)</f>
        <v>0</v>
      </c>
      <c r="CL116">
        <f>IF(AND(VLOOKUP(CL$1,main!$A$3:$H$102,7,FALSE)=main!$G$104,VLOOKUP(CL$1,main!$A$3:$H$102,5,FALSE)-VLOOKUP($A116,main!$A$3:$H$102,6,FALSE)&gt;=main!$D$103+VLOOKUP(VLOOKUP(CL$1,main!$A$3:$I$102,7,FALSE),main!$K$26:$Q$29,4,FALSE)),1,0)</f>
        <v>0</v>
      </c>
      <c r="CM116">
        <f>IF(AND(VLOOKUP(CM$1,main!$A$3:$H$102,7,FALSE)=main!$G$104,VLOOKUP(CM$1,main!$A$3:$H$102,5,FALSE)-VLOOKUP($A116,main!$A$3:$H$102,6,FALSE)&gt;=main!$D$103+VLOOKUP(VLOOKUP(CM$1,main!$A$3:$I$102,7,FALSE),main!$K$26:$Q$29,4,FALSE)),1,0)</f>
        <v>0</v>
      </c>
      <c r="CN116">
        <f>IF(AND(VLOOKUP(CN$1,main!$A$3:$H$102,7,FALSE)=main!$G$104,VLOOKUP(CN$1,main!$A$3:$H$102,5,FALSE)-VLOOKUP($A116,main!$A$3:$H$102,6,FALSE)&gt;=main!$D$103+VLOOKUP(VLOOKUP(CN$1,main!$A$3:$I$102,7,FALSE),main!$K$26:$Q$29,4,FALSE)),1,0)</f>
        <v>0</v>
      </c>
      <c r="CO116">
        <f>IF(AND(VLOOKUP(CO$1,main!$A$3:$H$102,7,FALSE)=main!$G$104,VLOOKUP(CO$1,main!$A$3:$H$102,5,FALSE)-VLOOKUP($A116,main!$A$3:$H$102,6,FALSE)&gt;=main!$D$103+VLOOKUP(VLOOKUP(CO$1,main!$A$3:$I$102,7,FALSE),main!$K$26:$Q$29,4,FALSE)),1,0)</f>
        <v>0</v>
      </c>
      <c r="CP116">
        <f>IF(AND(VLOOKUP(CP$1,main!$A$3:$H$102,7,FALSE)=main!$G$104,VLOOKUP(CP$1,main!$A$3:$H$102,5,FALSE)-VLOOKUP($A116,main!$A$3:$H$102,6,FALSE)&gt;=main!$D$103+VLOOKUP(VLOOKUP(CP$1,main!$A$3:$I$102,7,FALSE),main!$K$26:$Q$29,4,FALSE)),1,0)</f>
        <v>0</v>
      </c>
      <c r="CQ116">
        <f>IF(AND(VLOOKUP(CQ$1,main!$A$3:$H$102,7,FALSE)=main!$G$104,VLOOKUP(CQ$1,main!$A$3:$H$102,5,FALSE)-VLOOKUP($A116,main!$A$3:$H$102,6,FALSE)&gt;=main!$D$103+VLOOKUP(VLOOKUP(CQ$1,main!$A$3:$I$102,7,FALSE),main!$K$26:$Q$29,4,FALSE)),1,0)</f>
        <v>0</v>
      </c>
      <c r="CR116">
        <f>IF(AND(VLOOKUP(CR$1,main!$A$3:$H$102,7,FALSE)=main!$G$104,VLOOKUP(CR$1,main!$A$3:$H$102,5,FALSE)-VLOOKUP($A116,main!$A$3:$H$102,6,FALSE)&gt;=main!$D$103+VLOOKUP(VLOOKUP(CR$1,main!$A$3:$I$102,7,FALSE),main!$K$26:$Q$29,4,FALSE)),1,0)</f>
        <v>0</v>
      </c>
      <c r="CS116">
        <f>IF(AND(VLOOKUP(CS$1,main!$A$3:$H$102,7,FALSE)=main!$G$104,VLOOKUP(CS$1,main!$A$3:$H$102,5,FALSE)-VLOOKUP($A116,main!$A$3:$H$102,6,FALSE)&gt;=main!$D$103+VLOOKUP(VLOOKUP(CS$1,main!$A$3:$I$102,7,FALSE),main!$K$26:$Q$29,4,FALSE)),1,0)</f>
        <v>0</v>
      </c>
      <c r="CT116">
        <f>IF(AND(VLOOKUP(CT$1,main!$A$3:$H$102,7,FALSE)=main!$G$104,VLOOKUP(CT$1,main!$A$3:$H$102,5,FALSE)-VLOOKUP($A116,main!$A$3:$H$102,6,FALSE)&gt;=main!$D$103+VLOOKUP(VLOOKUP(CT$1,main!$A$3:$I$102,7,FALSE),main!$K$26:$Q$29,4,FALSE)),1,0)</f>
        <v>0</v>
      </c>
      <c r="CU116">
        <f>IF(AND(VLOOKUP(CU$1,main!$A$3:$H$102,7,FALSE)=main!$G$104,VLOOKUP(CU$1,main!$A$3:$H$102,5,FALSE)-VLOOKUP($A116,main!$A$3:$H$102,6,FALSE)&gt;=main!$D$103+VLOOKUP(VLOOKUP(CU$1,main!$A$3:$I$102,7,FALSE),main!$K$26:$Q$29,4,FALSE)),1,0)</f>
        <v>0</v>
      </c>
      <c r="CV116">
        <f>IF(AND(VLOOKUP(CV$1,main!$A$3:$H$102,7,FALSE)=main!$G$104,VLOOKUP(CV$1,main!$A$3:$H$102,5,FALSE)-VLOOKUP($A116,main!$A$3:$H$102,6,FALSE)&gt;=main!$D$103+VLOOKUP(VLOOKUP(CV$1,main!$A$3:$I$102,7,FALSE),main!$K$26:$Q$29,4,FALSE)),1,0)</f>
        <v>0</v>
      </c>
      <c r="CW116">
        <f>IF(AND(VLOOKUP(CW$1,main!$A$3:$H$102,7,FALSE)=main!$G$104,VLOOKUP(CW$1,main!$A$3:$H$102,5,FALSE)-VLOOKUP($A116,main!$A$3:$H$102,6,FALSE)&gt;=main!$D$103+VLOOKUP(VLOOKUP(CW$1,main!$A$3:$I$102,7,FALSE),main!$K$26:$Q$29,4,FALSE)),1,0)</f>
        <v>0</v>
      </c>
      <c r="CX116">
        <f>IF(AND(VLOOKUP(CX$1,main!$A$3:$H$102,7,FALSE)=main!$G$104,VLOOKUP(CX$1,main!$A$3:$H$102,5,FALSE)-VLOOKUP($A116,main!$A$3:$H$102,6,FALSE)&gt;=main!$D$103+VLOOKUP(VLOOKUP(CX$1,main!$A$3:$I$102,7,FALSE),main!$K$26:$Q$29,4,FALSE)),1,0)</f>
        <v>0</v>
      </c>
    </row>
    <row r="117" spans="1:102" x14ac:dyDescent="0.25">
      <c r="A117" s="1">
        <v>14</v>
      </c>
      <c r="B117">
        <v>0</v>
      </c>
      <c r="C117">
        <f>IF(AND(VLOOKUP(C$1,main!$A$3:$H$102,7,FALSE)=main!$G$104,VLOOKUP(C$1,main!$A$3:$H$102,5,FALSE)-VLOOKUP($A117,main!$A$3:$H$102,6,FALSE)&gt;=main!$D$103+VLOOKUP(VLOOKUP(C$1,main!$A$3:$I$102,7,FALSE),main!$K$26:$Q$29,4,FALSE)),1,0)</f>
        <v>0</v>
      </c>
      <c r="D117">
        <f>IF(AND(VLOOKUP(D$1,main!$A$3:$H$102,7,FALSE)=main!$G$104,VLOOKUP(D$1,main!$A$3:$H$102,5,FALSE)-VLOOKUP($A117,main!$A$3:$H$102,6,FALSE)&gt;=main!$D$103+VLOOKUP(VLOOKUP(D$1,main!$A$3:$I$102,7,FALSE),main!$K$26:$Q$29,4,FALSE)),1,0)</f>
        <v>0</v>
      </c>
      <c r="E117">
        <f>IF(AND(VLOOKUP(E$1,main!$A$3:$H$102,7,FALSE)=main!$G$104,VLOOKUP(E$1,main!$A$3:$H$102,5,FALSE)-VLOOKUP($A117,main!$A$3:$H$102,6,FALSE)&gt;=main!$D$103+VLOOKUP(VLOOKUP(E$1,main!$A$3:$I$102,7,FALSE),main!$K$26:$Q$29,4,FALSE)),1,0)</f>
        <v>0</v>
      </c>
      <c r="F117">
        <f>IF(AND(VLOOKUP(F$1,main!$A$3:$H$102,7,FALSE)=main!$G$104,VLOOKUP(F$1,main!$A$3:$H$102,5,FALSE)-VLOOKUP($A117,main!$A$3:$H$102,6,FALSE)&gt;=main!$D$103+VLOOKUP(VLOOKUP(F$1,main!$A$3:$I$102,7,FALSE),main!$K$26:$Q$29,4,FALSE)),1,0)</f>
        <v>0</v>
      </c>
      <c r="G117">
        <f>IF(AND(VLOOKUP(G$1,main!$A$3:$H$102,7,FALSE)=main!$G$104,VLOOKUP(G$1,main!$A$3:$H$102,5,FALSE)-VLOOKUP($A117,main!$A$3:$H$102,6,FALSE)&gt;=main!$D$103+VLOOKUP(VLOOKUP(G$1,main!$A$3:$I$102,7,FALSE),main!$K$26:$Q$29,4,FALSE)),1,0)</f>
        <v>0</v>
      </c>
      <c r="H117">
        <f>IF(AND(VLOOKUP(H$1,main!$A$3:$H$102,7,FALSE)=main!$G$104,VLOOKUP(H$1,main!$A$3:$H$102,5,FALSE)-VLOOKUP($A117,main!$A$3:$H$102,6,FALSE)&gt;=main!$D$103+VLOOKUP(VLOOKUP(H$1,main!$A$3:$I$102,7,FALSE),main!$K$26:$Q$29,4,FALSE)),1,0)</f>
        <v>1</v>
      </c>
      <c r="I117">
        <f>IF(AND(VLOOKUP(I$1,main!$A$3:$H$102,7,FALSE)=main!$G$104,VLOOKUP(I$1,main!$A$3:$H$102,5,FALSE)-VLOOKUP($A117,main!$A$3:$H$102,6,FALSE)&gt;=main!$D$103+VLOOKUP(VLOOKUP(I$1,main!$A$3:$I$102,7,FALSE),main!$K$26:$Q$29,4,FALSE)),1,0)</f>
        <v>1</v>
      </c>
      <c r="J117">
        <f>IF(AND(VLOOKUP(J$1,main!$A$3:$H$102,7,FALSE)=main!$G$104,VLOOKUP(J$1,main!$A$3:$H$102,5,FALSE)-VLOOKUP($A117,main!$A$3:$H$102,6,FALSE)&gt;=main!$D$103+VLOOKUP(VLOOKUP(J$1,main!$A$3:$I$102,7,FALSE),main!$K$26:$Q$29,4,FALSE)),1,0)</f>
        <v>1</v>
      </c>
      <c r="K117">
        <f>IF(AND(VLOOKUP(K$1,main!$A$3:$H$102,7,FALSE)=main!$G$104,VLOOKUP(K$1,main!$A$3:$H$102,5,FALSE)-VLOOKUP($A117,main!$A$3:$H$102,6,FALSE)&gt;=main!$D$103+VLOOKUP(VLOOKUP(K$1,main!$A$3:$I$102,7,FALSE),main!$K$26:$Q$29,4,FALSE)),1,0)</f>
        <v>1</v>
      </c>
      <c r="L117">
        <f>IF(AND(VLOOKUP(L$1,main!$A$3:$H$102,7,FALSE)=main!$G$104,VLOOKUP(L$1,main!$A$3:$H$102,5,FALSE)-VLOOKUP($A117,main!$A$3:$H$102,6,FALSE)&gt;=main!$D$103+VLOOKUP(VLOOKUP(L$1,main!$A$3:$I$102,7,FALSE),main!$K$26:$Q$29,4,FALSE)),1,0)</f>
        <v>1</v>
      </c>
      <c r="M117">
        <f>IF(AND(VLOOKUP(M$1,main!$A$3:$H$102,7,FALSE)=main!$G$104,VLOOKUP(M$1,main!$A$3:$H$102,5,FALSE)-VLOOKUP($A117,main!$A$3:$H$102,6,FALSE)&gt;=main!$D$103+VLOOKUP(VLOOKUP(M$1,main!$A$3:$I$102,7,FALSE),main!$K$26:$Q$29,4,FALSE)),1,0)</f>
        <v>0</v>
      </c>
      <c r="N117">
        <f>IF(AND(VLOOKUP(N$1,main!$A$3:$H$102,7,FALSE)=main!$G$104,VLOOKUP(N$1,main!$A$3:$H$102,5,FALSE)-VLOOKUP($A117,main!$A$3:$H$102,6,FALSE)&gt;=main!$D$103+VLOOKUP(VLOOKUP(N$1,main!$A$3:$I$102,7,FALSE),main!$K$26:$Q$29,4,FALSE)),1,0)</f>
        <v>0</v>
      </c>
      <c r="O117">
        <f>IF(AND(VLOOKUP(O$1,main!$A$3:$H$102,7,FALSE)=main!$G$104,VLOOKUP(O$1,main!$A$3:$H$102,5,FALSE)-VLOOKUP($A117,main!$A$3:$H$102,6,FALSE)&gt;=main!$D$103+VLOOKUP(VLOOKUP(O$1,main!$A$3:$I$102,7,FALSE),main!$K$26:$Q$29,4,FALSE)),1,0)</f>
        <v>0</v>
      </c>
      <c r="P117">
        <f>IF(AND(VLOOKUP(P$1,main!$A$3:$H$102,7,FALSE)=main!$G$104,VLOOKUP(P$1,main!$A$3:$H$102,5,FALSE)-VLOOKUP($A117,main!$A$3:$H$102,6,FALSE)&gt;=main!$D$103+VLOOKUP(VLOOKUP(P$1,main!$A$3:$I$102,7,FALSE),main!$K$26:$Q$29,4,FALSE)),1,0)</f>
        <v>0</v>
      </c>
      <c r="Q117">
        <f>IF(AND(VLOOKUP(Q$1,main!$A$3:$H$102,7,FALSE)=main!$G$104,VLOOKUP(Q$1,main!$A$3:$H$102,5,FALSE)-VLOOKUP($A117,main!$A$3:$H$102,6,FALSE)&gt;=main!$D$103+VLOOKUP(VLOOKUP(Q$1,main!$A$3:$I$102,7,FALSE),main!$K$26:$Q$29,4,FALSE)),1,0)</f>
        <v>0</v>
      </c>
      <c r="R117">
        <f>IF(AND(VLOOKUP(R$1,main!$A$3:$H$102,7,FALSE)=main!$G$104,VLOOKUP(R$1,main!$A$3:$H$102,5,FALSE)-VLOOKUP($A117,main!$A$3:$H$102,6,FALSE)&gt;=main!$D$103+VLOOKUP(VLOOKUP(R$1,main!$A$3:$I$102,7,FALSE),main!$K$26:$Q$29,4,FALSE)),1,0)</f>
        <v>0</v>
      </c>
      <c r="S117">
        <f>IF(AND(VLOOKUP(S$1,main!$A$3:$H$102,7,FALSE)=main!$G$104,VLOOKUP(S$1,main!$A$3:$H$102,5,FALSE)-VLOOKUP($A117,main!$A$3:$H$102,6,FALSE)&gt;=main!$D$103+VLOOKUP(VLOOKUP(S$1,main!$A$3:$I$102,7,FALSE),main!$K$26:$Q$29,4,FALSE)),1,0)</f>
        <v>1</v>
      </c>
      <c r="T117">
        <f>IF(AND(VLOOKUP(T$1,main!$A$3:$H$102,7,FALSE)=main!$G$104,VLOOKUP(T$1,main!$A$3:$H$102,5,FALSE)-VLOOKUP($A117,main!$A$3:$H$102,6,FALSE)&gt;=main!$D$103+VLOOKUP(VLOOKUP(T$1,main!$A$3:$I$102,7,FALSE),main!$K$26:$Q$29,4,FALSE)),1,0)</f>
        <v>1</v>
      </c>
      <c r="U117">
        <f>IF(AND(VLOOKUP(U$1,main!$A$3:$H$102,7,FALSE)=main!$G$104,VLOOKUP(U$1,main!$A$3:$H$102,5,FALSE)-VLOOKUP($A117,main!$A$3:$H$102,6,FALSE)&gt;=main!$D$103+VLOOKUP(VLOOKUP(U$1,main!$A$3:$I$102,7,FALSE),main!$K$26:$Q$29,4,FALSE)),1,0)</f>
        <v>1</v>
      </c>
      <c r="V117">
        <f>IF(AND(VLOOKUP(V$1,main!$A$3:$H$102,7,FALSE)=main!$G$104,VLOOKUP(V$1,main!$A$3:$H$102,5,FALSE)-VLOOKUP($A117,main!$A$3:$H$102,6,FALSE)&gt;=main!$D$103+VLOOKUP(VLOOKUP(V$1,main!$A$3:$I$102,7,FALSE),main!$K$26:$Q$29,4,FALSE)),1,0)</f>
        <v>1</v>
      </c>
      <c r="W117">
        <f>IF(AND(VLOOKUP(W$1,main!$A$3:$H$102,7,FALSE)=main!$G$104,VLOOKUP(W$1,main!$A$3:$H$102,5,FALSE)-VLOOKUP($A117,main!$A$3:$H$102,6,FALSE)&gt;=main!$D$103+VLOOKUP(VLOOKUP(W$1,main!$A$3:$I$102,7,FALSE),main!$K$26:$Q$29,4,FALSE)),1,0)</f>
        <v>0</v>
      </c>
      <c r="X117">
        <f>IF(AND(VLOOKUP(X$1,main!$A$3:$H$102,7,FALSE)=main!$G$104,VLOOKUP(X$1,main!$A$3:$H$102,5,FALSE)-VLOOKUP($A117,main!$A$3:$H$102,6,FALSE)&gt;=main!$D$103+VLOOKUP(VLOOKUP(X$1,main!$A$3:$I$102,7,FALSE),main!$K$26:$Q$29,4,FALSE)),1,0)</f>
        <v>0</v>
      </c>
      <c r="Y117">
        <f>IF(AND(VLOOKUP(Y$1,main!$A$3:$H$102,7,FALSE)=main!$G$104,VLOOKUP(Y$1,main!$A$3:$H$102,5,FALSE)-VLOOKUP($A117,main!$A$3:$H$102,6,FALSE)&gt;=main!$D$103+VLOOKUP(VLOOKUP(Y$1,main!$A$3:$I$102,7,FALSE),main!$K$26:$Q$29,4,FALSE)),1,0)</f>
        <v>0</v>
      </c>
      <c r="Z117">
        <f>IF(AND(VLOOKUP(Z$1,main!$A$3:$H$102,7,FALSE)=main!$G$104,VLOOKUP(Z$1,main!$A$3:$H$102,5,FALSE)-VLOOKUP($A117,main!$A$3:$H$102,6,FALSE)&gt;=main!$D$103+VLOOKUP(VLOOKUP(Z$1,main!$A$3:$I$102,7,FALSE),main!$K$26:$Q$29,4,FALSE)),1,0)</f>
        <v>1</v>
      </c>
      <c r="AA117">
        <f>IF(AND(VLOOKUP(AA$1,main!$A$3:$H$102,7,FALSE)=main!$G$104,VLOOKUP(AA$1,main!$A$3:$H$102,5,FALSE)-VLOOKUP($A117,main!$A$3:$H$102,6,FALSE)&gt;=main!$D$103+VLOOKUP(VLOOKUP(AA$1,main!$A$3:$I$102,7,FALSE),main!$K$26:$Q$29,4,FALSE)),1,0)</f>
        <v>1</v>
      </c>
      <c r="AB117">
        <f>IF(AND(VLOOKUP(AB$1,main!$A$3:$H$102,7,FALSE)=main!$G$104,VLOOKUP(AB$1,main!$A$3:$H$102,5,FALSE)-VLOOKUP($A117,main!$A$3:$H$102,6,FALSE)&gt;=main!$D$103+VLOOKUP(VLOOKUP(AB$1,main!$A$3:$I$102,7,FALSE),main!$K$26:$Q$29,4,FALSE)),1,0)</f>
        <v>0</v>
      </c>
      <c r="AC117">
        <f>IF(AND(VLOOKUP(AC$1,main!$A$3:$H$102,7,FALSE)=main!$G$104,VLOOKUP(AC$1,main!$A$3:$H$102,5,FALSE)-VLOOKUP($A117,main!$A$3:$H$102,6,FALSE)&gt;=main!$D$103+VLOOKUP(VLOOKUP(AC$1,main!$A$3:$I$102,7,FALSE),main!$K$26:$Q$29,4,FALSE)),1,0)</f>
        <v>0</v>
      </c>
      <c r="AD117">
        <f>IF(AND(VLOOKUP(AD$1,main!$A$3:$H$102,7,FALSE)=main!$G$104,VLOOKUP(AD$1,main!$A$3:$H$102,5,FALSE)-VLOOKUP($A117,main!$A$3:$H$102,6,FALSE)&gt;=main!$D$103+VLOOKUP(VLOOKUP(AD$1,main!$A$3:$I$102,7,FALSE),main!$K$26:$Q$29,4,FALSE)),1,0)</f>
        <v>0</v>
      </c>
      <c r="AE117">
        <f>IF(AND(VLOOKUP(AE$1,main!$A$3:$H$102,7,FALSE)=main!$G$104,VLOOKUP(AE$1,main!$A$3:$H$102,5,FALSE)-VLOOKUP($A117,main!$A$3:$H$102,6,FALSE)&gt;=main!$D$103+VLOOKUP(VLOOKUP(AE$1,main!$A$3:$I$102,7,FALSE),main!$K$26:$Q$29,4,FALSE)),1,0)</f>
        <v>1</v>
      </c>
      <c r="AF117">
        <f>IF(AND(VLOOKUP(AF$1,main!$A$3:$H$102,7,FALSE)=main!$G$104,VLOOKUP(AF$1,main!$A$3:$H$102,5,FALSE)-VLOOKUP($A117,main!$A$3:$H$102,6,FALSE)&gt;=main!$D$103+VLOOKUP(VLOOKUP(AF$1,main!$A$3:$I$102,7,FALSE),main!$K$26:$Q$29,4,FALSE)),1,0)</f>
        <v>1</v>
      </c>
      <c r="AG117">
        <f>IF(AND(VLOOKUP(AG$1,main!$A$3:$H$102,7,FALSE)=main!$G$104,VLOOKUP(AG$1,main!$A$3:$H$102,5,FALSE)-VLOOKUP($A117,main!$A$3:$H$102,6,FALSE)&gt;=main!$D$103+VLOOKUP(VLOOKUP(AG$1,main!$A$3:$I$102,7,FALSE),main!$K$26:$Q$29,4,FALSE)),1,0)</f>
        <v>0</v>
      </c>
      <c r="AH117">
        <f>IF(AND(VLOOKUP(AH$1,main!$A$3:$H$102,7,FALSE)=main!$G$104,VLOOKUP(AH$1,main!$A$3:$H$102,5,FALSE)-VLOOKUP($A117,main!$A$3:$H$102,6,FALSE)&gt;=main!$D$103+VLOOKUP(VLOOKUP(AH$1,main!$A$3:$I$102,7,FALSE),main!$K$26:$Q$29,4,FALSE)),1,0)</f>
        <v>0</v>
      </c>
      <c r="AI117">
        <f>IF(AND(VLOOKUP(AI$1,main!$A$3:$H$102,7,FALSE)=main!$G$104,VLOOKUP(AI$1,main!$A$3:$H$102,5,FALSE)-VLOOKUP($A117,main!$A$3:$H$102,6,FALSE)&gt;=main!$D$103+VLOOKUP(VLOOKUP(AI$1,main!$A$3:$I$102,7,FALSE),main!$K$26:$Q$29,4,FALSE)),1,0)</f>
        <v>0</v>
      </c>
      <c r="AJ117">
        <f>IF(AND(VLOOKUP(AJ$1,main!$A$3:$H$102,7,FALSE)=main!$G$104,VLOOKUP(AJ$1,main!$A$3:$H$102,5,FALSE)-VLOOKUP($A117,main!$A$3:$H$102,6,FALSE)&gt;=main!$D$103+VLOOKUP(VLOOKUP(AJ$1,main!$A$3:$I$102,7,FALSE),main!$K$26:$Q$29,4,FALSE)),1,0)</f>
        <v>0</v>
      </c>
      <c r="AK117">
        <f>IF(AND(VLOOKUP(AK$1,main!$A$3:$H$102,7,FALSE)=main!$G$104,VLOOKUP(AK$1,main!$A$3:$H$102,5,FALSE)-VLOOKUP($A117,main!$A$3:$H$102,6,FALSE)&gt;=main!$D$103+VLOOKUP(VLOOKUP(AK$1,main!$A$3:$I$102,7,FALSE),main!$K$26:$Q$29,4,FALSE)),1,0)</f>
        <v>0</v>
      </c>
      <c r="AL117">
        <f>IF(AND(VLOOKUP(AL$1,main!$A$3:$H$102,7,FALSE)=main!$G$104,VLOOKUP(AL$1,main!$A$3:$H$102,5,FALSE)-VLOOKUP($A117,main!$A$3:$H$102,6,FALSE)&gt;=main!$D$103+VLOOKUP(VLOOKUP(AL$1,main!$A$3:$I$102,7,FALSE),main!$K$26:$Q$29,4,FALSE)),1,0)</f>
        <v>0</v>
      </c>
      <c r="AM117">
        <f>IF(AND(VLOOKUP(AM$1,main!$A$3:$H$102,7,FALSE)=main!$G$104,VLOOKUP(AM$1,main!$A$3:$H$102,5,FALSE)-VLOOKUP($A117,main!$A$3:$H$102,6,FALSE)&gt;=main!$D$103+VLOOKUP(VLOOKUP(AM$1,main!$A$3:$I$102,7,FALSE),main!$K$26:$Q$29,4,FALSE)),1,0)</f>
        <v>0</v>
      </c>
      <c r="AN117">
        <f>IF(AND(VLOOKUP(AN$1,main!$A$3:$H$102,7,FALSE)=main!$G$104,VLOOKUP(AN$1,main!$A$3:$H$102,5,FALSE)-VLOOKUP($A117,main!$A$3:$H$102,6,FALSE)&gt;=main!$D$103+VLOOKUP(VLOOKUP(AN$1,main!$A$3:$I$102,7,FALSE),main!$K$26:$Q$29,4,FALSE)),1,0)</f>
        <v>0</v>
      </c>
      <c r="AO117">
        <f>IF(AND(VLOOKUP(AO$1,main!$A$3:$H$102,7,FALSE)=main!$G$104,VLOOKUP(AO$1,main!$A$3:$H$102,5,FALSE)-VLOOKUP($A117,main!$A$3:$H$102,6,FALSE)&gt;=main!$D$103+VLOOKUP(VLOOKUP(AO$1,main!$A$3:$I$102,7,FALSE),main!$K$26:$Q$29,4,FALSE)),1,0)</f>
        <v>0</v>
      </c>
      <c r="AP117">
        <f>IF(AND(VLOOKUP(AP$1,main!$A$3:$H$102,7,FALSE)=main!$G$104,VLOOKUP(AP$1,main!$A$3:$H$102,5,FALSE)-VLOOKUP($A117,main!$A$3:$H$102,6,FALSE)&gt;=main!$D$103+VLOOKUP(VLOOKUP(AP$1,main!$A$3:$I$102,7,FALSE),main!$K$26:$Q$29,4,FALSE)),1,0)</f>
        <v>0</v>
      </c>
      <c r="AQ117">
        <f>IF(AND(VLOOKUP(AQ$1,main!$A$3:$H$102,7,FALSE)=main!$G$104,VLOOKUP(AQ$1,main!$A$3:$H$102,5,FALSE)-VLOOKUP($A117,main!$A$3:$H$102,6,FALSE)&gt;=main!$D$103+VLOOKUP(VLOOKUP(AQ$1,main!$A$3:$I$102,7,FALSE),main!$K$26:$Q$29,4,FALSE)),1,0)</f>
        <v>0</v>
      </c>
      <c r="AR117">
        <f>IF(AND(VLOOKUP(AR$1,main!$A$3:$H$102,7,FALSE)=main!$G$104,VLOOKUP(AR$1,main!$A$3:$H$102,5,FALSE)-VLOOKUP($A117,main!$A$3:$H$102,6,FALSE)&gt;=main!$D$103+VLOOKUP(VLOOKUP(AR$1,main!$A$3:$I$102,7,FALSE),main!$K$26:$Q$29,4,FALSE)),1,0)</f>
        <v>0</v>
      </c>
      <c r="AS117">
        <f>IF(AND(VLOOKUP(AS$1,main!$A$3:$H$102,7,FALSE)=main!$G$104,VLOOKUP(AS$1,main!$A$3:$H$102,5,FALSE)-VLOOKUP($A117,main!$A$3:$H$102,6,FALSE)&gt;=main!$D$103+VLOOKUP(VLOOKUP(AS$1,main!$A$3:$I$102,7,FALSE),main!$K$26:$Q$29,4,FALSE)),1,0)</f>
        <v>0</v>
      </c>
      <c r="AT117">
        <f>IF(AND(VLOOKUP(AT$1,main!$A$3:$H$102,7,FALSE)=main!$G$104,VLOOKUP(AT$1,main!$A$3:$H$102,5,FALSE)-VLOOKUP($A117,main!$A$3:$H$102,6,FALSE)&gt;=main!$D$103+VLOOKUP(VLOOKUP(AT$1,main!$A$3:$I$102,7,FALSE),main!$K$26:$Q$29,4,FALSE)),1,0)</f>
        <v>0</v>
      </c>
      <c r="AU117">
        <f>IF(AND(VLOOKUP(AU$1,main!$A$3:$H$102,7,FALSE)=main!$G$104,VLOOKUP(AU$1,main!$A$3:$H$102,5,FALSE)-VLOOKUP($A117,main!$A$3:$H$102,6,FALSE)&gt;=main!$D$103+VLOOKUP(VLOOKUP(AU$1,main!$A$3:$I$102,7,FALSE),main!$K$26:$Q$29,4,FALSE)),1,0)</f>
        <v>0</v>
      </c>
      <c r="AV117">
        <f>IF(AND(VLOOKUP(AV$1,main!$A$3:$H$102,7,FALSE)=main!$G$104,VLOOKUP(AV$1,main!$A$3:$H$102,5,FALSE)-VLOOKUP($A117,main!$A$3:$H$102,6,FALSE)&gt;=main!$D$103+VLOOKUP(VLOOKUP(AV$1,main!$A$3:$I$102,7,FALSE),main!$K$26:$Q$29,4,FALSE)),1,0)</f>
        <v>0</v>
      </c>
      <c r="AW117">
        <f>IF(AND(VLOOKUP(AW$1,main!$A$3:$H$102,7,FALSE)=main!$G$104,VLOOKUP(AW$1,main!$A$3:$H$102,5,FALSE)-VLOOKUP($A117,main!$A$3:$H$102,6,FALSE)&gt;=main!$D$103+VLOOKUP(VLOOKUP(AW$1,main!$A$3:$I$102,7,FALSE),main!$K$26:$Q$29,4,FALSE)),1,0)</f>
        <v>0</v>
      </c>
      <c r="AX117">
        <f>IF(AND(VLOOKUP(AX$1,main!$A$3:$H$102,7,FALSE)=main!$G$104,VLOOKUP(AX$1,main!$A$3:$H$102,5,FALSE)-VLOOKUP($A117,main!$A$3:$H$102,6,FALSE)&gt;=main!$D$103+VLOOKUP(VLOOKUP(AX$1,main!$A$3:$I$102,7,FALSE),main!$K$26:$Q$29,4,FALSE)),1,0)</f>
        <v>0</v>
      </c>
      <c r="AY117">
        <f>IF(AND(VLOOKUP(AY$1,main!$A$3:$H$102,7,FALSE)=main!$G$104,VLOOKUP(AY$1,main!$A$3:$H$102,5,FALSE)-VLOOKUP($A117,main!$A$3:$H$102,6,FALSE)&gt;=main!$D$103+VLOOKUP(VLOOKUP(AY$1,main!$A$3:$I$102,7,FALSE),main!$K$26:$Q$29,4,FALSE)),1,0)</f>
        <v>0</v>
      </c>
      <c r="AZ117">
        <f>IF(AND(VLOOKUP(AZ$1,main!$A$3:$H$102,7,FALSE)=main!$G$104,VLOOKUP(AZ$1,main!$A$3:$H$102,5,FALSE)-VLOOKUP($A117,main!$A$3:$H$102,6,FALSE)&gt;=main!$D$103+VLOOKUP(VLOOKUP(AZ$1,main!$A$3:$I$102,7,FALSE),main!$K$26:$Q$29,4,FALSE)),1,0)</f>
        <v>0</v>
      </c>
      <c r="BA117">
        <f>IF(AND(VLOOKUP(BA$1,main!$A$3:$H$102,7,FALSE)=main!$G$104,VLOOKUP(BA$1,main!$A$3:$H$102,5,FALSE)-VLOOKUP($A117,main!$A$3:$H$102,6,FALSE)&gt;=main!$D$103+VLOOKUP(VLOOKUP(BA$1,main!$A$3:$I$102,7,FALSE),main!$K$26:$Q$29,4,FALSE)),1,0)</f>
        <v>0</v>
      </c>
      <c r="BB117">
        <f>IF(AND(VLOOKUP(BB$1,main!$A$3:$H$102,7,FALSE)=main!$G$104,VLOOKUP(BB$1,main!$A$3:$H$102,5,FALSE)-VLOOKUP($A117,main!$A$3:$H$102,6,FALSE)&gt;=main!$D$103+VLOOKUP(VLOOKUP(BB$1,main!$A$3:$I$102,7,FALSE),main!$K$26:$Q$29,4,FALSE)),1,0)</f>
        <v>0</v>
      </c>
      <c r="BC117">
        <f>IF(AND(VLOOKUP(BC$1,main!$A$3:$H$102,7,FALSE)=main!$G$104,VLOOKUP(BC$1,main!$A$3:$H$102,5,FALSE)-VLOOKUP($A117,main!$A$3:$H$102,6,FALSE)&gt;=main!$D$103+VLOOKUP(VLOOKUP(BC$1,main!$A$3:$I$102,7,FALSE),main!$K$26:$Q$29,4,FALSE)),1,0)</f>
        <v>0</v>
      </c>
      <c r="BD117">
        <f>IF(AND(VLOOKUP(BD$1,main!$A$3:$H$102,7,FALSE)=main!$G$104,VLOOKUP(BD$1,main!$A$3:$H$102,5,FALSE)-VLOOKUP($A117,main!$A$3:$H$102,6,FALSE)&gt;=main!$D$103+VLOOKUP(VLOOKUP(BD$1,main!$A$3:$I$102,7,FALSE),main!$K$26:$Q$29,4,FALSE)),1,0)</f>
        <v>0</v>
      </c>
      <c r="BE117">
        <f>IF(AND(VLOOKUP(BE$1,main!$A$3:$H$102,7,FALSE)=main!$G$104,VLOOKUP(BE$1,main!$A$3:$H$102,5,FALSE)-VLOOKUP($A117,main!$A$3:$H$102,6,FALSE)&gt;=main!$D$103+VLOOKUP(VLOOKUP(BE$1,main!$A$3:$I$102,7,FALSE),main!$K$26:$Q$29,4,FALSE)),1,0)</f>
        <v>0</v>
      </c>
      <c r="BF117">
        <f>IF(AND(VLOOKUP(BF$1,main!$A$3:$H$102,7,FALSE)=main!$G$104,VLOOKUP(BF$1,main!$A$3:$H$102,5,FALSE)-VLOOKUP($A117,main!$A$3:$H$102,6,FALSE)&gt;=main!$D$103+VLOOKUP(VLOOKUP(BF$1,main!$A$3:$I$102,7,FALSE),main!$K$26:$Q$29,4,FALSE)),1,0)</f>
        <v>0</v>
      </c>
      <c r="BG117">
        <f>IF(AND(VLOOKUP(BG$1,main!$A$3:$H$102,7,FALSE)=main!$G$104,VLOOKUP(BG$1,main!$A$3:$H$102,5,FALSE)-VLOOKUP($A117,main!$A$3:$H$102,6,FALSE)&gt;=main!$D$103+VLOOKUP(VLOOKUP(BG$1,main!$A$3:$I$102,7,FALSE),main!$K$26:$Q$29,4,FALSE)),1,0)</f>
        <v>0</v>
      </c>
      <c r="BH117">
        <f>IF(AND(VLOOKUP(BH$1,main!$A$3:$H$102,7,FALSE)=main!$G$104,VLOOKUP(BH$1,main!$A$3:$H$102,5,FALSE)-VLOOKUP($A117,main!$A$3:$H$102,6,FALSE)&gt;=main!$D$103+VLOOKUP(VLOOKUP(BH$1,main!$A$3:$I$102,7,FALSE),main!$K$26:$Q$29,4,FALSE)),1,0)</f>
        <v>0</v>
      </c>
      <c r="BI117">
        <f>IF(AND(VLOOKUP(BI$1,main!$A$3:$H$102,7,FALSE)=main!$G$104,VLOOKUP(BI$1,main!$A$3:$H$102,5,FALSE)-VLOOKUP($A117,main!$A$3:$H$102,6,FALSE)&gt;=main!$D$103+VLOOKUP(VLOOKUP(BI$1,main!$A$3:$I$102,7,FALSE),main!$K$26:$Q$29,4,FALSE)),1,0)</f>
        <v>0</v>
      </c>
      <c r="BJ117">
        <f>IF(AND(VLOOKUP(BJ$1,main!$A$3:$H$102,7,FALSE)=main!$G$104,VLOOKUP(BJ$1,main!$A$3:$H$102,5,FALSE)-VLOOKUP($A117,main!$A$3:$H$102,6,FALSE)&gt;=main!$D$103+VLOOKUP(VLOOKUP(BJ$1,main!$A$3:$I$102,7,FALSE),main!$K$26:$Q$29,4,FALSE)),1,0)</f>
        <v>0</v>
      </c>
      <c r="BK117">
        <f>IF(AND(VLOOKUP(BK$1,main!$A$3:$H$102,7,FALSE)=main!$G$104,VLOOKUP(BK$1,main!$A$3:$H$102,5,FALSE)-VLOOKUP($A117,main!$A$3:$H$102,6,FALSE)&gt;=main!$D$103+VLOOKUP(VLOOKUP(BK$1,main!$A$3:$I$102,7,FALSE),main!$K$26:$Q$29,4,FALSE)),1,0)</f>
        <v>0</v>
      </c>
      <c r="BL117">
        <f>IF(AND(VLOOKUP(BL$1,main!$A$3:$H$102,7,FALSE)=main!$G$104,VLOOKUP(BL$1,main!$A$3:$H$102,5,FALSE)-VLOOKUP($A117,main!$A$3:$H$102,6,FALSE)&gt;=main!$D$103+VLOOKUP(VLOOKUP(BL$1,main!$A$3:$I$102,7,FALSE),main!$K$26:$Q$29,4,FALSE)),1,0)</f>
        <v>0</v>
      </c>
      <c r="BM117">
        <f>IF(AND(VLOOKUP(BM$1,main!$A$3:$H$102,7,FALSE)=main!$G$104,VLOOKUP(BM$1,main!$A$3:$H$102,5,FALSE)-VLOOKUP($A117,main!$A$3:$H$102,6,FALSE)&gt;=main!$D$103+VLOOKUP(VLOOKUP(BM$1,main!$A$3:$I$102,7,FALSE),main!$K$26:$Q$29,4,FALSE)),1,0)</f>
        <v>0</v>
      </c>
      <c r="BN117">
        <f>IF(AND(VLOOKUP(BN$1,main!$A$3:$H$102,7,FALSE)=main!$G$104,VLOOKUP(BN$1,main!$A$3:$H$102,5,FALSE)-VLOOKUP($A117,main!$A$3:$H$102,6,FALSE)&gt;=main!$D$103+VLOOKUP(VLOOKUP(BN$1,main!$A$3:$I$102,7,FALSE),main!$K$26:$Q$29,4,FALSE)),1,0)</f>
        <v>0</v>
      </c>
      <c r="BO117">
        <f>IF(AND(VLOOKUP(BO$1,main!$A$3:$H$102,7,FALSE)=main!$G$104,VLOOKUP(BO$1,main!$A$3:$H$102,5,FALSE)-VLOOKUP($A117,main!$A$3:$H$102,6,FALSE)&gt;=main!$D$103+VLOOKUP(VLOOKUP(BO$1,main!$A$3:$I$102,7,FALSE),main!$K$26:$Q$29,4,FALSE)),1,0)</f>
        <v>0</v>
      </c>
      <c r="BP117">
        <f>IF(AND(VLOOKUP(BP$1,main!$A$3:$H$102,7,FALSE)=main!$G$104,VLOOKUP(BP$1,main!$A$3:$H$102,5,FALSE)-VLOOKUP($A117,main!$A$3:$H$102,6,FALSE)&gt;=main!$D$103+VLOOKUP(VLOOKUP(BP$1,main!$A$3:$I$102,7,FALSE),main!$K$26:$Q$29,4,FALSE)),1,0)</f>
        <v>0</v>
      </c>
      <c r="BQ117">
        <f>IF(AND(VLOOKUP(BQ$1,main!$A$3:$H$102,7,FALSE)=main!$G$104,VLOOKUP(BQ$1,main!$A$3:$H$102,5,FALSE)-VLOOKUP($A117,main!$A$3:$H$102,6,FALSE)&gt;=main!$D$103+VLOOKUP(VLOOKUP(BQ$1,main!$A$3:$I$102,7,FALSE),main!$K$26:$Q$29,4,FALSE)),1,0)</f>
        <v>0</v>
      </c>
      <c r="BR117">
        <f>IF(AND(VLOOKUP(BR$1,main!$A$3:$H$102,7,FALSE)=main!$G$104,VLOOKUP(BR$1,main!$A$3:$H$102,5,FALSE)-VLOOKUP($A117,main!$A$3:$H$102,6,FALSE)&gt;=main!$D$103+VLOOKUP(VLOOKUP(BR$1,main!$A$3:$I$102,7,FALSE),main!$K$26:$Q$29,4,FALSE)),1,0)</f>
        <v>0</v>
      </c>
      <c r="BS117">
        <f>IF(AND(VLOOKUP(BS$1,main!$A$3:$H$102,7,FALSE)=main!$G$104,VLOOKUP(BS$1,main!$A$3:$H$102,5,FALSE)-VLOOKUP($A117,main!$A$3:$H$102,6,FALSE)&gt;=main!$D$103+VLOOKUP(VLOOKUP(BS$1,main!$A$3:$I$102,7,FALSE),main!$K$26:$Q$29,4,FALSE)),1,0)</f>
        <v>0</v>
      </c>
      <c r="BT117">
        <f>IF(AND(VLOOKUP(BT$1,main!$A$3:$H$102,7,FALSE)=main!$G$104,VLOOKUP(BT$1,main!$A$3:$H$102,5,FALSE)-VLOOKUP($A117,main!$A$3:$H$102,6,FALSE)&gt;=main!$D$103+VLOOKUP(VLOOKUP(BT$1,main!$A$3:$I$102,7,FALSE),main!$K$26:$Q$29,4,FALSE)),1,0)</f>
        <v>0</v>
      </c>
      <c r="BU117">
        <f>IF(AND(VLOOKUP(BU$1,main!$A$3:$H$102,7,FALSE)=main!$G$104,VLOOKUP(BU$1,main!$A$3:$H$102,5,FALSE)-VLOOKUP($A117,main!$A$3:$H$102,6,FALSE)&gt;=main!$D$103+VLOOKUP(VLOOKUP(BU$1,main!$A$3:$I$102,7,FALSE),main!$K$26:$Q$29,4,FALSE)),1,0)</f>
        <v>0</v>
      </c>
      <c r="BV117">
        <f>IF(AND(VLOOKUP(BV$1,main!$A$3:$H$102,7,FALSE)=main!$G$104,VLOOKUP(BV$1,main!$A$3:$H$102,5,FALSE)-VLOOKUP($A117,main!$A$3:$H$102,6,FALSE)&gt;=main!$D$103+VLOOKUP(VLOOKUP(BV$1,main!$A$3:$I$102,7,FALSE),main!$K$26:$Q$29,4,FALSE)),1,0)</f>
        <v>0</v>
      </c>
      <c r="BW117">
        <f>IF(AND(VLOOKUP(BW$1,main!$A$3:$H$102,7,FALSE)=main!$G$104,VLOOKUP(BW$1,main!$A$3:$H$102,5,FALSE)-VLOOKUP($A117,main!$A$3:$H$102,6,FALSE)&gt;=main!$D$103+VLOOKUP(VLOOKUP(BW$1,main!$A$3:$I$102,7,FALSE),main!$K$26:$Q$29,4,FALSE)),1,0)</f>
        <v>0</v>
      </c>
      <c r="BX117">
        <f>IF(AND(VLOOKUP(BX$1,main!$A$3:$H$102,7,FALSE)=main!$G$104,VLOOKUP(BX$1,main!$A$3:$H$102,5,FALSE)-VLOOKUP($A117,main!$A$3:$H$102,6,FALSE)&gt;=main!$D$103+VLOOKUP(VLOOKUP(BX$1,main!$A$3:$I$102,7,FALSE),main!$K$26:$Q$29,4,FALSE)),1,0)</f>
        <v>0</v>
      </c>
      <c r="BY117">
        <f>IF(AND(VLOOKUP(BY$1,main!$A$3:$H$102,7,FALSE)=main!$G$104,VLOOKUP(BY$1,main!$A$3:$H$102,5,FALSE)-VLOOKUP($A117,main!$A$3:$H$102,6,FALSE)&gt;=main!$D$103+VLOOKUP(VLOOKUP(BY$1,main!$A$3:$I$102,7,FALSE),main!$K$26:$Q$29,4,FALSE)),1,0)</f>
        <v>0</v>
      </c>
      <c r="BZ117">
        <f>IF(AND(VLOOKUP(BZ$1,main!$A$3:$H$102,7,FALSE)=main!$G$104,VLOOKUP(BZ$1,main!$A$3:$H$102,5,FALSE)-VLOOKUP($A117,main!$A$3:$H$102,6,FALSE)&gt;=main!$D$103+VLOOKUP(VLOOKUP(BZ$1,main!$A$3:$I$102,7,FALSE),main!$K$26:$Q$29,4,FALSE)),1,0)</f>
        <v>0</v>
      </c>
      <c r="CA117">
        <f>IF(AND(VLOOKUP(CA$1,main!$A$3:$H$102,7,FALSE)=main!$G$104,VLOOKUP(CA$1,main!$A$3:$H$102,5,FALSE)-VLOOKUP($A117,main!$A$3:$H$102,6,FALSE)&gt;=main!$D$103+VLOOKUP(VLOOKUP(CA$1,main!$A$3:$I$102,7,FALSE),main!$K$26:$Q$29,4,FALSE)),1,0)</f>
        <v>0</v>
      </c>
      <c r="CB117">
        <f>IF(AND(VLOOKUP(CB$1,main!$A$3:$H$102,7,FALSE)=main!$G$104,VLOOKUP(CB$1,main!$A$3:$H$102,5,FALSE)-VLOOKUP($A117,main!$A$3:$H$102,6,FALSE)&gt;=main!$D$103+VLOOKUP(VLOOKUP(CB$1,main!$A$3:$I$102,7,FALSE),main!$K$26:$Q$29,4,FALSE)),1,0)</f>
        <v>0</v>
      </c>
      <c r="CC117">
        <f>IF(AND(VLOOKUP(CC$1,main!$A$3:$H$102,7,FALSE)=main!$G$104,VLOOKUP(CC$1,main!$A$3:$H$102,5,FALSE)-VLOOKUP($A117,main!$A$3:$H$102,6,FALSE)&gt;=main!$D$103+VLOOKUP(VLOOKUP(CC$1,main!$A$3:$I$102,7,FALSE),main!$K$26:$Q$29,4,FALSE)),1,0)</f>
        <v>0</v>
      </c>
      <c r="CD117">
        <f>IF(AND(VLOOKUP(CD$1,main!$A$3:$H$102,7,FALSE)=main!$G$104,VLOOKUP(CD$1,main!$A$3:$H$102,5,FALSE)-VLOOKUP($A117,main!$A$3:$H$102,6,FALSE)&gt;=main!$D$103+VLOOKUP(VLOOKUP(CD$1,main!$A$3:$I$102,7,FALSE),main!$K$26:$Q$29,4,FALSE)),1,0)</f>
        <v>0</v>
      </c>
      <c r="CE117">
        <f>IF(AND(VLOOKUP(CE$1,main!$A$3:$H$102,7,FALSE)=main!$G$104,VLOOKUP(CE$1,main!$A$3:$H$102,5,FALSE)-VLOOKUP($A117,main!$A$3:$H$102,6,FALSE)&gt;=main!$D$103+VLOOKUP(VLOOKUP(CE$1,main!$A$3:$I$102,7,FALSE),main!$K$26:$Q$29,4,FALSE)),1,0)</f>
        <v>0</v>
      </c>
      <c r="CF117">
        <f>IF(AND(VLOOKUP(CF$1,main!$A$3:$H$102,7,FALSE)=main!$G$104,VLOOKUP(CF$1,main!$A$3:$H$102,5,FALSE)-VLOOKUP($A117,main!$A$3:$H$102,6,FALSE)&gt;=main!$D$103+VLOOKUP(VLOOKUP(CF$1,main!$A$3:$I$102,7,FALSE),main!$K$26:$Q$29,4,FALSE)),1,0)</f>
        <v>0</v>
      </c>
      <c r="CG117">
        <f>IF(AND(VLOOKUP(CG$1,main!$A$3:$H$102,7,FALSE)=main!$G$104,VLOOKUP(CG$1,main!$A$3:$H$102,5,FALSE)-VLOOKUP($A117,main!$A$3:$H$102,6,FALSE)&gt;=main!$D$103+VLOOKUP(VLOOKUP(CG$1,main!$A$3:$I$102,7,FALSE),main!$K$26:$Q$29,4,FALSE)),1,0)</f>
        <v>0</v>
      </c>
      <c r="CH117">
        <f>IF(AND(VLOOKUP(CH$1,main!$A$3:$H$102,7,FALSE)=main!$G$104,VLOOKUP(CH$1,main!$A$3:$H$102,5,FALSE)-VLOOKUP($A117,main!$A$3:$H$102,6,FALSE)&gt;=main!$D$103+VLOOKUP(VLOOKUP(CH$1,main!$A$3:$I$102,7,FALSE),main!$K$26:$Q$29,4,FALSE)),1,0)</f>
        <v>0</v>
      </c>
      <c r="CI117">
        <f>IF(AND(VLOOKUP(CI$1,main!$A$3:$H$102,7,FALSE)=main!$G$104,VLOOKUP(CI$1,main!$A$3:$H$102,5,FALSE)-VLOOKUP($A117,main!$A$3:$H$102,6,FALSE)&gt;=main!$D$103+VLOOKUP(VLOOKUP(CI$1,main!$A$3:$I$102,7,FALSE),main!$K$26:$Q$29,4,FALSE)),1,0)</f>
        <v>0</v>
      </c>
      <c r="CJ117">
        <f>IF(AND(VLOOKUP(CJ$1,main!$A$3:$H$102,7,FALSE)=main!$G$104,VLOOKUP(CJ$1,main!$A$3:$H$102,5,FALSE)-VLOOKUP($A117,main!$A$3:$H$102,6,FALSE)&gt;=main!$D$103+VLOOKUP(VLOOKUP(CJ$1,main!$A$3:$I$102,7,FALSE),main!$K$26:$Q$29,4,FALSE)),1,0)</f>
        <v>0</v>
      </c>
      <c r="CK117">
        <f>IF(AND(VLOOKUP(CK$1,main!$A$3:$H$102,7,FALSE)=main!$G$104,VLOOKUP(CK$1,main!$A$3:$H$102,5,FALSE)-VLOOKUP($A117,main!$A$3:$H$102,6,FALSE)&gt;=main!$D$103+VLOOKUP(VLOOKUP(CK$1,main!$A$3:$I$102,7,FALSE),main!$K$26:$Q$29,4,FALSE)),1,0)</f>
        <v>0</v>
      </c>
      <c r="CL117">
        <f>IF(AND(VLOOKUP(CL$1,main!$A$3:$H$102,7,FALSE)=main!$G$104,VLOOKUP(CL$1,main!$A$3:$H$102,5,FALSE)-VLOOKUP($A117,main!$A$3:$H$102,6,FALSE)&gt;=main!$D$103+VLOOKUP(VLOOKUP(CL$1,main!$A$3:$I$102,7,FALSE),main!$K$26:$Q$29,4,FALSE)),1,0)</f>
        <v>0</v>
      </c>
      <c r="CM117">
        <f>IF(AND(VLOOKUP(CM$1,main!$A$3:$H$102,7,FALSE)=main!$G$104,VLOOKUP(CM$1,main!$A$3:$H$102,5,FALSE)-VLOOKUP($A117,main!$A$3:$H$102,6,FALSE)&gt;=main!$D$103+VLOOKUP(VLOOKUP(CM$1,main!$A$3:$I$102,7,FALSE),main!$K$26:$Q$29,4,FALSE)),1,0)</f>
        <v>0</v>
      </c>
      <c r="CN117">
        <f>IF(AND(VLOOKUP(CN$1,main!$A$3:$H$102,7,FALSE)=main!$G$104,VLOOKUP(CN$1,main!$A$3:$H$102,5,FALSE)-VLOOKUP($A117,main!$A$3:$H$102,6,FALSE)&gt;=main!$D$103+VLOOKUP(VLOOKUP(CN$1,main!$A$3:$I$102,7,FALSE),main!$K$26:$Q$29,4,FALSE)),1,0)</f>
        <v>0</v>
      </c>
      <c r="CO117">
        <f>IF(AND(VLOOKUP(CO$1,main!$A$3:$H$102,7,FALSE)=main!$G$104,VLOOKUP(CO$1,main!$A$3:$H$102,5,FALSE)-VLOOKUP($A117,main!$A$3:$H$102,6,FALSE)&gt;=main!$D$103+VLOOKUP(VLOOKUP(CO$1,main!$A$3:$I$102,7,FALSE),main!$K$26:$Q$29,4,FALSE)),1,0)</f>
        <v>0</v>
      </c>
      <c r="CP117">
        <f>IF(AND(VLOOKUP(CP$1,main!$A$3:$H$102,7,FALSE)=main!$G$104,VLOOKUP(CP$1,main!$A$3:$H$102,5,FALSE)-VLOOKUP($A117,main!$A$3:$H$102,6,FALSE)&gt;=main!$D$103+VLOOKUP(VLOOKUP(CP$1,main!$A$3:$I$102,7,FALSE),main!$K$26:$Q$29,4,FALSE)),1,0)</f>
        <v>0</v>
      </c>
      <c r="CQ117">
        <f>IF(AND(VLOOKUP(CQ$1,main!$A$3:$H$102,7,FALSE)=main!$G$104,VLOOKUP(CQ$1,main!$A$3:$H$102,5,FALSE)-VLOOKUP($A117,main!$A$3:$H$102,6,FALSE)&gt;=main!$D$103+VLOOKUP(VLOOKUP(CQ$1,main!$A$3:$I$102,7,FALSE),main!$K$26:$Q$29,4,FALSE)),1,0)</f>
        <v>0</v>
      </c>
      <c r="CR117">
        <f>IF(AND(VLOOKUP(CR$1,main!$A$3:$H$102,7,FALSE)=main!$G$104,VLOOKUP(CR$1,main!$A$3:$H$102,5,FALSE)-VLOOKUP($A117,main!$A$3:$H$102,6,FALSE)&gt;=main!$D$103+VLOOKUP(VLOOKUP(CR$1,main!$A$3:$I$102,7,FALSE),main!$K$26:$Q$29,4,FALSE)),1,0)</f>
        <v>0</v>
      </c>
      <c r="CS117">
        <f>IF(AND(VLOOKUP(CS$1,main!$A$3:$H$102,7,FALSE)=main!$G$104,VLOOKUP(CS$1,main!$A$3:$H$102,5,FALSE)-VLOOKUP($A117,main!$A$3:$H$102,6,FALSE)&gt;=main!$D$103+VLOOKUP(VLOOKUP(CS$1,main!$A$3:$I$102,7,FALSE),main!$K$26:$Q$29,4,FALSE)),1,0)</f>
        <v>0</v>
      </c>
      <c r="CT117">
        <f>IF(AND(VLOOKUP(CT$1,main!$A$3:$H$102,7,FALSE)=main!$G$104,VLOOKUP(CT$1,main!$A$3:$H$102,5,FALSE)-VLOOKUP($A117,main!$A$3:$H$102,6,FALSE)&gt;=main!$D$103+VLOOKUP(VLOOKUP(CT$1,main!$A$3:$I$102,7,FALSE),main!$K$26:$Q$29,4,FALSE)),1,0)</f>
        <v>0</v>
      </c>
      <c r="CU117">
        <f>IF(AND(VLOOKUP(CU$1,main!$A$3:$H$102,7,FALSE)=main!$G$104,VLOOKUP(CU$1,main!$A$3:$H$102,5,FALSE)-VLOOKUP($A117,main!$A$3:$H$102,6,FALSE)&gt;=main!$D$103+VLOOKUP(VLOOKUP(CU$1,main!$A$3:$I$102,7,FALSE),main!$K$26:$Q$29,4,FALSE)),1,0)</f>
        <v>0</v>
      </c>
      <c r="CV117">
        <f>IF(AND(VLOOKUP(CV$1,main!$A$3:$H$102,7,FALSE)=main!$G$104,VLOOKUP(CV$1,main!$A$3:$H$102,5,FALSE)-VLOOKUP($A117,main!$A$3:$H$102,6,FALSE)&gt;=main!$D$103+VLOOKUP(VLOOKUP(CV$1,main!$A$3:$I$102,7,FALSE),main!$K$26:$Q$29,4,FALSE)),1,0)</f>
        <v>0</v>
      </c>
      <c r="CW117">
        <f>IF(AND(VLOOKUP(CW$1,main!$A$3:$H$102,7,FALSE)=main!$G$104,VLOOKUP(CW$1,main!$A$3:$H$102,5,FALSE)-VLOOKUP($A117,main!$A$3:$H$102,6,FALSE)&gt;=main!$D$103+VLOOKUP(VLOOKUP(CW$1,main!$A$3:$I$102,7,FALSE),main!$K$26:$Q$29,4,FALSE)),1,0)</f>
        <v>0</v>
      </c>
      <c r="CX117">
        <f>IF(AND(VLOOKUP(CX$1,main!$A$3:$H$102,7,FALSE)=main!$G$104,VLOOKUP(CX$1,main!$A$3:$H$102,5,FALSE)-VLOOKUP($A117,main!$A$3:$H$102,6,FALSE)&gt;=main!$D$103+VLOOKUP(VLOOKUP(CX$1,main!$A$3:$I$102,7,FALSE),main!$K$26:$Q$29,4,FALSE)),1,0)</f>
        <v>0</v>
      </c>
    </row>
    <row r="118" spans="1:102" x14ac:dyDescent="0.25">
      <c r="A118" s="1">
        <v>15</v>
      </c>
      <c r="B118">
        <v>0</v>
      </c>
      <c r="C118">
        <f>IF(AND(VLOOKUP(C$1,main!$A$3:$H$102,7,FALSE)=main!$G$104,VLOOKUP(C$1,main!$A$3:$H$102,5,FALSE)-VLOOKUP($A118,main!$A$3:$H$102,6,FALSE)&gt;=main!$D$103+VLOOKUP(VLOOKUP(C$1,main!$A$3:$I$102,7,FALSE),main!$K$26:$Q$29,4,FALSE)),1,0)</f>
        <v>0</v>
      </c>
      <c r="D118">
        <f>IF(AND(VLOOKUP(D$1,main!$A$3:$H$102,7,FALSE)=main!$G$104,VLOOKUP(D$1,main!$A$3:$H$102,5,FALSE)-VLOOKUP($A118,main!$A$3:$H$102,6,FALSE)&gt;=main!$D$103+VLOOKUP(VLOOKUP(D$1,main!$A$3:$I$102,7,FALSE),main!$K$26:$Q$29,4,FALSE)),1,0)</f>
        <v>0</v>
      </c>
      <c r="E118">
        <f>IF(AND(VLOOKUP(E$1,main!$A$3:$H$102,7,FALSE)=main!$G$104,VLOOKUP(E$1,main!$A$3:$H$102,5,FALSE)-VLOOKUP($A118,main!$A$3:$H$102,6,FALSE)&gt;=main!$D$103+VLOOKUP(VLOOKUP(E$1,main!$A$3:$I$102,7,FALSE),main!$K$26:$Q$29,4,FALSE)),1,0)</f>
        <v>0</v>
      </c>
      <c r="F118">
        <f>IF(AND(VLOOKUP(F$1,main!$A$3:$H$102,7,FALSE)=main!$G$104,VLOOKUP(F$1,main!$A$3:$H$102,5,FALSE)-VLOOKUP($A118,main!$A$3:$H$102,6,FALSE)&gt;=main!$D$103+VLOOKUP(VLOOKUP(F$1,main!$A$3:$I$102,7,FALSE),main!$K$26:$Q$29,4,FALSE)),1,0)</f>
        <v>0</v>
      </c>
      <c r="G118">
        <f>IF(AND(VLOOKUP(G$1,main!$A$3:$H$102,7,FALSE)=main!$G$104,VLOOKUP(G$1,main!$A$3:$H$102,5,FALSE)-VLOOKUP($A118,main!$A$3:$H$102,6,FALSE)&gt;=main!$D$103+VLOOKUP(VLOOKUP(G$1,main!$A$3:$I$102,7,FALSE),main!$K$26:$Q$29,4,FALSE)),1,0)</f>
        <v>0</v>
      </c>
      <c r="H118">
        <f>IF(AND(VLOOKUP(H$1,main!$A$3:$H$102,7,FALSE)=main!$G$104,VLOOKUP(H$1,main!$A$3:$H$102,5,FALSE)-VLOOKUP($A118,main!$A$3:$H$102,6,FALSE)&gt;=main!$D$103+VLOOKUP(VLOOKUP(H$1,main!$A$3:$I$102,7,FALSE),main!$K$26:$Q$29,4,FALSE)),1,0)</f>
        <v>0</v>
      </c>
      <c r="I118">
        <f>IF(AND(VLOOKUP(I$1,main!$A$3:$H$102,7,FALSE)=main!$G$104,VLOOKUP(I$1,main!$A$3:$H$102,5,FALSE)-VLOOKUP($A118,main!$A$3:$H$102,6,FALSE)&gt;=main!$D$103+VLOOKUP(VLOOKUP(I$1,main!$A$3:$I$102,7,FALSE),main!$K$26:$Q$29,4,FALSE)),1,0)</f>
        <v>1</v>
      </c>
      <c r="J118">
        <f>IF(AND(VLOOKUP(J$1,main!$A$3:$H$102,7,FALSE)=main!$G$104,VLOOKUP(J$1,main!$A$3:$H$102,5,FALSE)-VLOOKUP($A118,main!$A$3:$H$102,6,FALSE)&gt;=main!$D$103+VLOOKUP(VLOOKUP(J$1,main!$A$3:$I$102,7,FALSE),main!$K$26:$Q$29,4,FALSE)),1,0)</f>
        <v>1</v>
      </c>
      <c r="K118">
        <f>IF(AND(VLOOKUP(K$1,main!$A$3:$H$102,7,FALSE)=main!$G$104,VLOOKUP(K$1,main!$A$3:$H$102,5,FALSE)-VLOOKUP($A118,main!$A$3:$H$102,6,FALSE)&gt;=main!$D$103+VLOOKUP(VLOOKUP(K$1,main!$A$3:$I$102,7,FALSE),main!$K$26:$Q$29,4,FALSE)),1,0)</f>
        <v>1</v>
      </c>
      <c r="L118">
        <f>IF(AND(VLOOKUP(L$1,main!$A$3:$H$102,7,FALSE)=main!$G$104,VLOOKUP(L$1,main!$A$3:$H$102,5,FALSE)-VLOOKUP($A118,main!$A$3:$H$102,6,FALSE)&gt;=main!$D$103+VLOOKUP(VLOOKUP(L$1,main!$A$3:$I$102,7,FALSE),main!$K$26:$Q$29,4,FALSE)),1,0)</f>
        <v>1</v>
      </c>
      <c r="M118">
        <f>IF(AND(VLOOKUP(M$1,main!$A$3:$H$102,7,FALSE)=main!$G$104,VLOOKUP(M$1,main!$A$3:$H$102,5,FALSE)-VLOOKUP($A118,main!$A$3:$H$102,6,FALSE)&gt;=main!$D$103+VLOOKUP(VLOOKUP(M$1,main!$A$3:$I$102,7,FALSE),main!$K$26:$Q$29,4,FALSE)),1,0)</f>
        <v>0</v>
      </c>
      <c r="N118">
        <f>IF(AND(VLOOKUP(N$1,main!$A$3:$H$102,7,FALSE)=main!$G$104,VLOOKUP(N$1,main!$A$3:$H$102,5,FALSE)-VLOOKUP($A118,main!$A$3:$H$102,6,FALSE)&gt;=main!$D$103+VLOOKUP(VLOOKUP(N$1,main!$A$3:$I$102,7,FALSE),main!$K$26:$Q$29,4,FALSE)),1,0)</f>
        <v>0</v>
      </c>
      <c r="O118">
        <f>IF(AND(VLOOKUP(O$1,main!$A$3:$H$102,7,FALSE)=main!$G$104,VLOOKUP(O$1,main!$A$3:$H$102,5,FALSE)-VLOOKUP($A118,main!$A$3:$H$102,6,FALSE)&gt;=main!$D$103+VLOOKUP(VLOOKUP(O$1,main!$A$3:$I$102,7,FALSE),main!$K$26:$Q$29,4,FALSE)),1,0)</f>
        <v>0</v>
      </c>
      <c r="P118">
        <f>IF(AND(VLOOKUP(P$1,main!$A$3:$H$102,7,FALSE)=main!$G$104,VLOOKUP(P$1,main!$A$3:$H$102,5,FALSE)-VLOOKUP($A118,main!$A$3:$H$102,6,FALSE)&gt;=main!$D$103+VLOOKUP(VLOOKUP(P$1,main!$A$3:$I$102,7,FALSE),main!$K$26:$Q$29,4,FALSE)),1,0)</f>
        <v>0</v>
      </c>
      <c r="Q118">
        <f>IF(AND(VLOOKUP(Q$1,main!$A$3:$H$102,7,FALSE)=main!$G$104,VLOOKUP(Q$1,main!$A$3:$H$102,5,FALSE)-VLOOKUP($A118,main!$A$3:$H$102,6,FALSE)&gt;=main!$D$103+VLOOKUP(VLOOKUP(Q$1,main!$A$3:$I$102,7,FALSE),main!$K$26:$Q$29,4,FALSE)),1,0)</f>
        <v>0</v>
      </c>
      <c r="R118">
        <f>IF(AND(VLOOKUP(R$1,main!$A$3:$H$102,7,FALSE)=main!$G$104,VLOOKUP(R$1,main!$A$3:$H$102,5,FALSE)-VLOOKUP($A118,main!$A$3:$H$102,6,FALSE)&gt;=main!$D$103+VLOOKUP(VLOOKUP(R$1,main!$A$3:$I$102,7,FALSE),main!$K$26:$Q$29,4,FALSE)),1,0)</f>
        <v>0</v>
      </c>
      <c r="S118">
        <f>IF(AND(VLOOKUP(S$1,main!$A$3:$H$102,7,FALSE)=main!$G$104,VLOOKUP(S$1,main!$A$3:$H$102,5,FALSE)-VLOOKUP($A118,main!$A$3:$H$102,6,FALSE)&gt;=main!$D$103+VLOOKUP(VLOOKUP(S$1,main!$A$3:$I$102,7,FALSE),main!$K$26:$Q$29,4,FALSE)),1,0)</f>
        <v>0</v>
      </c>
      <c r="T118">
        <f>IF(AND(VLOOKUP(T$1,main!$A$3:$H$102,7,FALSE)=main!$G$104,VLOOKUP(T$1,main!$A$3:$H$102,5,FALSE)-VLOOKUP($A118,main!$A$3:$H$102,6,FALSE)&gt;=main!$D$103+VLOOKUP(VLOOKUP(T$1,main!$A$3:$I$102,7,FALSE),main!$K$26:$Q$29,4,FALSE)),1,0)</f>
        <v>1</v>
      </c>
      <c r="U118">
        <f>IF(AND(VLOOKUP(U$1,main!$A$3:$H$102,7,FALSE)=main!$G$104,VLOOKUP(U$1,main!$A$3:$H$102,5,FALSE)-VLOOKUP($A118,main!$A$3:$H$102,6,FALSE)&gt;=main!$D$103+VLOOKUP(VLOOKUP(U$1,main!$A$3:$I$102,7,FALSE),main!$K$26:$Q$29,4,FALSE)),1,0)</f>
        <v>1</v>
      </c>
      <c r="V118">
        <f>IF(AND(VLOOKUP(V$1,main!$A$3:$H$102,7,FALSE)=main!$G$104,VLOOKUP(V$1,main!$A$3:$H$102,5,FALSE)-VLOOKUP($A118,main!$A$3:$H$102,6,FALSE)&gt;=main!$D$103+VLOOKUP(VLOOKUP(V$1,main!$A$3:$I$102,7,FALSE),main!$K$26:$Q$29,4,FALSE)),1,0)</f>
        <v>1</v>
      </c>
      <c r="W118">
        <f>IF(AND(VLOOKUP(W$1,main!$A$3:$H$102,7,FALSE)=main!$G$104,VLOOKUP(W$1,main!$A$3:$H$102,5,FALSE)-VLOOKUP($A118,main!$A$3:$H$102,6,FALSE)&gt;=main!$D$103+VLOOKUP(VLOOKUP(W$1,main!$A$3:$I$102,7,FALSE),main!$K$26:$Q$29,4,FALSE)),1,0)</f>
        <v>0</v>
      </c>
      <c r="X118">
        <f>IF(AND(VLOOKUP(X$1,main!$A$3:$H$102,7,FALSE)=main!$G$104,VLOOKUP(X$1,main!$A$3:$H$102,5,FALSE)-VLOOKUP($A118,main!$A$3:$H$102,6,FALSE)&gt;=main!$D$103+VLOOKUP(VLOOKUP(X$1,main!$A$3:$I$102,7,FALSE),main!$K$26:$Q$29,4,FALSE)),1,0)</f>
        <v>0</v>
      </c>
      <c r="Y118">
        <f>IF(AND(VLOOKUP(Y$1,main!$A$3:$H$102,7,FALSE)=main!$G$104,VLOOKUP(Y$1,main!$A$3:$H$102,5,FALSE)-VLOOKUP($A118,main!$A$3:$H$102,6,FALSE)&gt;=main!$D$103+VLOOKUP(VLOOKUP(Y$1,main!$A$3:$I$102,7,FALSE),main!$K$26:$Q$29,4,FALSE)),1,0)</f>
        <v>0</v>
      </c>
      <c r="Z118">
        <f>IF(AND(VLOOKUP(Z$1,main!$A$3:$H$102,7,FALSE)=main!$G$104,VLOOKUP(Z$1,main!$A$3:$H$102,5,FALSE)-VLOOKUP($A118,main!$A$3:$H$102,6,FALSE)&gt;=main!$D$103+VLOOKUP(VLOOKUP(Z$1,main!$A$3:$I$102,7,FALSE),main!$K$26:$Q$29,4,FALSE)),1,0)</f>
        <v>1</v>
      </c>
      <c r="AA118">
        <f>IF(AND(VLOOKUP(AA$1,main!$A$3:$H$102,7,FALSE)=main!$G$104,VLOOKUP(AA$1,main!$A$3:$H$102,5,FALSE)-VLOOKUP($A118,main!$A$3:$H$102,6,FALSE)&gt;=main!$D$103+VLOOKUP(VLOOKUP(AA$1,main!$A$3:$I$102,7,FALSE),main!$K$26:$Q$29,4,FALSE)),1,0)</f>
        <v>1</v>
      </c>
      <c r="AB118">
        <f>IF(AND(VLOOKUP(AB$1,main!$A$3:$H$102,7,FALSE)=main!$G$104,VLOOKUP(AB$1,main!$A$3:$H$102,5,FALSE)-VLOOKUP($A118,main!$A$3:$H$102,6,FALSE)&gt;=main!$D$103+VLOOKUP(VLOOKUP(AB$1,main!$A$3:$I$102,7,FALSE),main!$K$26:$Q$29,4,FALSE)),1,0)</f>
        <v>0</v>
      </c>
      <c r="AC118">
        <f>IF(AND(VLOOKUP(AC$1,main!$A$3:$H$102,7,FALSE)=main!$G$104,VLOOKUP(AC$1,main!$A$3:$H$102,5,FALSE)-VLOOKUP($A118,main!$A$3:$H$102,6,FALSE)&gt;=main!$D$103+VLOOKUP(VLOOKUP(AC$1,main!$A$3:$I$102,7,FALSE),main!$K$26:$Q$29,4,FALSE)),1,0)</f>
        <v>0</v>
      </c>
      <c r="AD118">
        <f>IF(AND(VLOOKUP(AD$1,main!$A$3:$H$102,7,FALSE)=main!$G$104,VLOOKUP(AD$1,main!$A$3:$H$102,5,FALSE)-VLOOKUP($A118,main!$A$3:$H$102,6,FALSE)&gt;=main!$D$103+VLOOKUP(VLOOKUP(AD$1,main!$A$3:$I$102,7,FALSE),main!$K$26:$Q$29,4,FALSE)),1,0)</f>
        <v>0</v>
      </c>
      <c r="AE118">
        <f>IF(AND(VLOOKUP(AE$1,main!$A$3:$H$102,7,FALSE)=main!$G$104,VLOOKUP(AE$1,main!$A$3:$H$102,5,FALSE)-VLOOKUP($A118,main!$A$3:$H$102,6,FALSE)&gt;=main!$D$103+VLOOKUP(VLOOKUP(AE$1,main!$A$3:$I$102,7,FALSE),main!$K$26:$Q$29,4,FALSE)),1,0)</f>
        <v>0</v>
      </c>
      <c r="AF118">
        <f>IF(AND(VLOOKUP(AF$1,main!$A$3:$H$102,7,FALSE)=main!$G$104,VLOOKUP(AF$1,main!$A$3:$H$102,5,FALSE)-VLOOKUP($A118,main!$A$3:$H$102,6,FALSE)&gt;=main!$D$103+VLOOKUP(VLOOKUP(AF$1,main!$A$3:$I$102,7,FALSE),main!$K$26:$Q$29,4,FALSE)),1,0)</f>
        <v>1</v>
      </c>
      <c r="AG118">
        <f>IF(AND(VLOOKUP(AG$1,main!$A$3:$H$102,7,FALSE)=main!$G$104,VLOOKUP(AG$1,main!$A$3:$H$102,5,FALSE)-VLOOKUP($A118,main!$A$3:$H$102,6,FALSE)&gt;=main!$D$103+VLOOKUP(VLOOKUP(AG$1,main!$A$3:$I$102,7,FALSE),main!$K$26:$Q$29,4,FALSE)),1,0)</f>
        <v>0</v>
      </c>
      <c r="AH118">
        <f>IF(AND(VLOOKUP(AH$1,main!$A$3:$H$102,7,FALSE)=main!$G$104,VLOOKUP(AH$1,main!$A$3:$H$102,5,FALSE)-VLOOKUP($A118,main!$A$3:$H$102,6,FALSE)&gt;=main!$D$103+VLOOKUP(VLOOKUP(AH$1,main!$A$3:$I$102,7,FALSE),main!$K$26:$Q$29,4,FALSE)),1,0)</f>
        <v>0</v>
      </c>
      <c r="AI118">
        <f>IF(AND(VLOOKUP(AI$1,main!$A$3:$H$102,7,FALSE)=main!$G$104,VLOOKUP(AI$1,main!$A$3:$H$102,5,FALSE)-VLOOKUP($A118,main!$A$3:$H$102,6,FALSE)&gt;=main!$D$103+VLOOKUP(VLOOKUP(AI$1,main!$A$3:$I$102,7,FALSE),main!$K$26:$Q$29,4,FALSE)),1,0)</f>
        <v>0</v>
      </c>
      <c r="AJ118">
        <f>IF(AND(VLOOKUP(AJ$1,main!$A$3:$H$102,7,FALSE)=main!$G$104,VLOOKUP(AJ$1,main!$A$3:$H$102,5,FALSE)-VLOOKUP($A118,main!$A$3:$H$102,6,FALSE)&gt;=main!$D$103+VLOOKUP(VLOOKUP(AJ$1,main!$A$3:$I$102,7,FALSE),main!$K$26:$Q$29,4,FALSE)),1,0)</f>
        <v>0</v>
      </c>
      <c r="AK118">
        <f>IF(AND(VLOOKUP(AK$1,main!$A$3:$H$102,7,FALSE)=main!$G$104,VLOOKUP(AK$1,main!$A$3:$H$102,5,FALSE)-VLOOKUP($A118,main!$A$3:$H$102,6,FALSE)&gt;=main!$D$103+VLOOKUP(VLOOKUP(AK$1,main!$A$3:$I$102,7,FALSE),main!$K$26:$Q$29,4,FALSE)),1,0)</f>
        <v>0</v>
      </c>
      <c r="AL118">
        <f>IF(AND(VLOOKUP(AL$1,main!$A$3:$H$102,7,FALSE)=main!$G$104,VLOOKUP(AL$1,main!$A$3:$H$102,5,FALSE)-VLOOKUP($A118,main!$A$3:$H$102,6,FALSE)&gt;=main!$D$103+VLOOKUP(VLOOKUP(AL$1,main!$A$3:$I$102,7,FALSE),main!$K$26:$Q$29,4,FALSE)),1,0)</f>
        <v>0</v>
      </c>
      <c r="AM118">
        <f>IF(AND(VLOOKUP(AM$1,main!$A$3:$H$102,7,FALSE)=main!$G$104,VLOOKUP(AM$1,main!$A$3:$H$102,5,FALSE)-VLOOKUP($A118,main!$A$3:$H$102,6,FALSE)&gt;=main!$D$103+VLOOKUP(VLOOKUP(AM$1,main!$A$3:$I$102,7,FALSE),main!$K$26:$Q$29,4,FALSE)),1,0)</f>
        <v>0</v>
      </c>
      <c r="AN118">
        <f>IF(AND(VLOOKUP(AN$1,main!$A$3:$H$102,7,FALSE)=main!$G$104,VLOOKUP(AN$1,main!$A$3:$H$102,5,FALSE)-VLOOKUP($A118,main!$A$3:$H$102,6,FALSE)&gt;=main!$D$103+VLOOKUP(VLOOKUP(AN$1,main!$A$3:$I$102,7,FALSE),main!$K$26:$Q$29,4,FALSE)),1,0)</f>
        <v>0</v>
      </c>
      <c r="AO118">
        <f>IF(AND(VLOOKUP(AO$1,main!$A$3:$H$102,7,FALSE)=main!$G$104,VLOOKUP(AO$1,main!$A$3:$H$102,5,FALSE)-VLOOKUP($A118,main!$A$3:$H$102,6,FALSE)&gt;=main!$D$103+VLOOKUP(VLOOKUP(AO$1,main!$A$3:$I$102,7,FALSE),main!$K$26:$Q$29,4,FALSE)),1,0)</f>
        <v>0</v>
      </c>
      <c r="AP118">
        <f>IF(AND(VLOOKUP(AP$1,main!$A$3:$H$102,7,FALSE)=main!$G$104,VLOOKUP(AP$1,main!$A$3:$H$102,5,FALSE)-VLOOKUP($A118,main!$A$3:$H$102,6,FALSE)&gt;=main!$D$103+VLOOKUP(VLOOKUP(AP$1,main!$A$3:$I$102,7,FALSE),main!$K$26:$Q$29,4,FALSE)),1,0)</f>
        <v>0</v>
      </c>
      <c r="AQ118">
        <f>IF(AND(VLOOKUP(AQ$1,main!$A$3:$H$102,7,FALSE)=main!$G$104,VLOOKUP(AQ$1,main!$A$3:$H$102,5,FALSE)-VLOOKUP($A118,main!$A$3:$H$102,6,FALSE)&gt;=main!$D$103+VLOOKUP(VLOOKUP(AQ$1,main!$A$3:$I$102,7,FALSE),main!$K$26:$Q$29,4,FALSE)),1,0)</f>
        <v>0</v>
      </c>
      <c r="AR118">
        <f>IF(AND(VLOOKUP(AR$1,main!$A$3:$H$102,7,FALSE)=main!$G$104,VLOOKUP(AR$1,main!$A$3:$H$102,5,FALSE)-VLOOKUP($A118,main!$A$3:$H$102,6,FALSE)&gt;=main!$D$103+VLOOKUP(VLOOKUP(AR$1,main!$A$3:$I$102,7,FALSE),main!$K$26:$Q$29,4,FALSE)),1,0)</f>
        <v>0</v>
      </c>
      <c r="AS118">
        <f>IF(AND(VLOOKUP(AS$1,main!$A$3:$H$102,7,FALSE)=main!$G$104,VLOOKUP(AS$1,main!$A$3:$H$102,5,FALSE)-VLOOKUP($A118,main!$A$3:$H$102,6,FALSE)&gt;=main!$D$103+VLOOKUP(VLOOKUP(AS$1,main!$A$3:$I$102,7,FALSE),main!$K$26:$Q$29,4,FALSE)),1,0)</f>
        <v>0</v>
      </c>
      <c r="AT118">
        <f>IF(AND(VLOOKUP(AT$1,main!$A$3:$H$102,7,FALSE)=main!$G$104,VLOOKUP(AT$1,main!$A$3:$H$102,5,FALSE)-VLOOKUP($A118,main!$A$3:$H$102,6,FALSE)&gt;=main!$D$103+VLOOKUP(VLOOKUP(AT$1,main!$A$3:$I$102,7,FALSE),main!$K$26:$Q$29,4,FALSE)),1,0)</f>
        <v>0</v>
      </c>
      <c r="AU118">
        <f>IF(AND(VLOOKUP(AU$1,main!$A$3:$H$102,7,FALSE)=main!$G$104,VLOOKUP(AU$1,main!$A$3:$H$102,5,FALSE)-VLOOKUP($A118,main!$A$3:$H$102,6,FALSE)&gt;=main!$D$103+VLOOKUP(VLOOKUP(AU$1,main!$A$3:$I$102,7,FALSE),main!$K$26:$Q$29,4,FALSE)),1,0)</f>
        <v>0</v>
      </c>
      <c r="AV118">
        <f>IF(AND(VLOOKUP(AV$1,main!$A$3:$H$102,7,FALSE)=main!$G$104,VLOOKUP(AV$1,main!$A$3:$H$102,5,FALSE)-VLOOKUP($A118,main!$A$3:$H$102,6,FALSE)&gt;=main!$D$103+VLOOKUP(VLOOKUP(AV$1,main!$A$3:$I$102,7,FALSE),main!$K$26:$Q$29,4,FALSE)),1,0)</f>
        <v>0</v>
      </c>
      <c r="AW118">
        <f>IF(AND(VLOOKUP(AW$1,main!$A$3:$H$102,7,FALSE)=main!$G$104,VLOOKUP(AW$1,main!$A$3:$H$102,5,FALSE)-VLOOKUP($A118,main!$A$3:$H$102,6,FALSE)&gt;=main!$D$103+VLOOKUP(VLOOKUP(AW$1,main!$A$3:$I$102,7,FALSE),main!$K$26:$Q$29,4,FALSE)),1,0)</f>
        <v>0</v>
      </c>
      <c r="AX118">
        <f>IF(AND(VLOOKUP(AX$1,main!$A$3:$H$102,7,FALSE)=main!$G$104,VLOOKUP(AX$1,main!$A$3:$H$102,5,FALSE)-VLOOKUP($A118,main!$A$3:$H$102,6,FALSE)&gt;=main!$D$103+VLOOKUP(VLOOKUP(AX$1,main!$A$3:$I$102,7,FALSE),main!$K$26:$Q$29,4,FALSE)),1,0)</f>
        <v>0</v>
      </c>
      <c r="AY118">
        <f>IF(AND(VLOOKUP(AY$1,main!$A$3:$H$102,7,FALSE)=main!$G$104,VLOOKUP(AY$1,main!$A$3:$H$102,5,FALSE)-VLOOKUP($A118,main!$A$3:$H$102,6,FALSE)&gt;=main!$D$103+VLOOKUP(VLOOKUP(AY$1,main!$A$3:$I$102,7,FALSE),main!$K$26:$Q$29,4,FALSE)),1,0)</f>
        <v>0</v>
      </c>
      <c r="AZ118">
        <f>IF(AND(VLOOKUP(AZ$1,main!$A$3:$H$102,7,FALSE)=main!$G$104,VLOOKUP(AZ$1,main!$A$3:$H$102,5,FALSE)-VLOOKUP($A118,main!$A$3:$H$102,6,FALSE)&gt;=main!$D$103+VLOOKUP(VLOOKUP(AZ$1,main!$A$3:$I$102,7,FALSE),main!$K$26:$Q$29,4,FALSE)),1,0)</f>
        <v>0</v>
      </c>
      <c r="BA118">
        <f>IF(AND(VLOOKUP(BA$1,main!$A$3:$H$102,7,FALSE)=main!$G$104,VLOOKUP(BA$1,main!$A$3:$H$102,5,FALSE)-VLOOKUP($A118,main!$A$3:$H$102,6,FALSE)&gt;=main!$D$103+VLOOKUP(VLOOKUP(BA$1,main!$A$3:$I$102,7,FALSE),main!$K$26:$Q$29,4,FALSE)),1,0)</f>
        <v>0</v>
      </c>
      <c r="BB118">
        <f>IF(AND(VLOOKUP(BB$1,main!$A$3:$H$102,7,FALSE)=main!$G$104,VLOOKUP(BB$1,main!$A$3:$H$102,5,FALSE)-VLOOKUP($A118,main!$A$3:$H$102,6,FALSE)&gt;=main!$D$103+VLOOKUP(VLOOKUP(BB$1,main!$A$3:$I$102,7,FALSE),main!$K$26:$Q$29,4,FALSE)),1,0)</f>
        <v>0</v>
      </c>
      <c r="BC118">
        <f>IF(AND(VLOOKUP(BC$1,main!$A$3:$H$102,7,FALSE)=main!$G$104,VLOOKUP(BC$1,main!$A$3:$H$102,5,FALSE)-VLOOKUP($A118,main!$A$3:$H$102,6,FALSE)&gt;=main!$D$103+VLOOKUP(VLOOKUP(BC$1,main!$A$3:$I$102,7,FALSE),main!$K$26:$Q$29,4,FALSE)),1,0)</f>
        <v>0</v>
      </c>
      <c r="BD118">
        <f>IF(AND(VLOOKUP(BD$1,main!$A$3:$H$102,7,FALSE)=main!$G$104,VLOOKUP(BD$1,main!$A$3:$H$102,5,FALSE)-VLOOKUP($A118,main!$A$3:$H$102,6,FALSE)&gt;=main!$D$103+VLOOKUP(VLOOKUP(BD$1,main!$A$3:$I$102,7,FALSE),main!$K$26:$Q$29,4,FALSE)),1,0)</f>
        <v>0</v>
      </c>
      <c r="BE118">
        <f>IF(AND(VLOOKUP(BE$1,main!$A$3:$H$102,7,FALSE)=main!$G$104,VLOOKUP(BE$1,main!$A$3:$H$102,5,FALSE)-VLOOKUP($A118,main!$A$3:$H$102,6,FALSE)&gt;=main!$D$103+VLOOKUP(VLOOKUP(BE$1,main!$A$3:$I$102,7,FALSE),main!$K$26:$Q$29,4,FALSE)),1,0)</f>
        <v>0</v>
      </c>
      <c r="BF118">
        <f>IF(AND(VLOOKUP(BF$1,main!$A$3:$H$102,7,FALSE)=main!$G$104,VLOOKUP(BF$1,main!$A$3:$H$102,5,FALSE)-VLOOKUP($A118,main!$A$3:$H$102,6,FALSE)&gt;=main!$D$103+VLOOKUP(VLOOKUP(BF$1,main!$A$3:$I$102,7,FALSE),main!$K$26:$Q$29,4,FALSE)),1,0)</f>
        <v>0</v>
      </c>
      <c r="BG118">
        <f>IF(AND(VLOOKUP(BG$1,main!$A$3:$H$102,7,FALSE)=main!$G$104,VLOOKUP(BG$1,main!$A$3:$H$102,5,FALSE)-VLOOKUP($A118,main!$A$3:$H$102,6,FALSE)&gt;=main!$D$103+VLOOKUP(VLOOKUP(BG$1,main!$A$3:$I$102,7,FALSE),main!$K$26:$Q$29,4,FALSE)),1,0)</f>
        <v>0</v>
      </c>
      <c r="BH118">
        <f>IF(AND(VLOOKUP(BH$1,main!$A$3:$H$102,7,FALSE)=main!$G$104,VLOOKUP(BH$1,main!$A$3:$H$102,5,FALSE)-VLOOKUP($A118,main!$A$3:$H$102,6,FALSE)&gt;=main!$D$103+VLOOKUP(VLOOKUP(BH$1,main!$A$3:$I$102,7,FALSE),main!$K$26:$Q$29,4,FALSE)),1,0)</f>
        <v>0</v>
      </c>
      <c r="BI118">
        <f>IF(AND(VLOOKUP(BI$1,main!$A$3:$H$102,7,FALSE)=main!$G$104,VLOOKUP(BI$1,main!$A$3:$H$102,5,FALSE)-VLOOKUP($A118,main!$A$3:$H$102,6,FALSE)&gt;=main!$D$103+VLOOKUP(VLOOKUP(BI$1,main!$A$3:$I$102,7,FALSE),main!$K$26:$Q$29,4,FALSE)),1,0)</f>
        <v>0</v>
      </c>
      <c r="BJ118">
        <f>IF(AND(VLOOKUP(BJ$1,main!$A$3:$H$102,7,FALSE)=main!$G$104,VLOOKUP(BJ$1,main!$A$3:$H$102,5,FALSE)-VLOOKUP($A118,main!$A$3:$H$102,6,FALSE)&gt;=main!$D$103+VLOOKUP(VLOOKUP(BJ$1,main!$A$3:$I$102,7,FALSE),main!$K$26:$Q$29,4,FALSE)),1,0)</f>
        <v>0</v>
      </c>
      <c r="BK118">
        <f>IF(AND(VLOOKUP(BK$1,main!$A$3:$H$102,7,FALSE)=main!$G$104,VLOOKUP(BK$1,main!$A$3:$H$102,5,FALSE)-VLOOKUP($A118,main!$A$3:$H$102,6,FALSE)&gt;=main!$D$103+VLOOKUP(VLOOKUP(BK$1,main!$A$3:$I$102,7,FALSE),main!$K$26:$Q$29,4,FALSE)),1,0)</f>
        <v>0</v>
      </c>
      <c r="BL118">
        <f>IF(AND(VLOOKUP(BL$1,main!$A$3:$H$102,7,FALSE)=main!$G$104,VLOOKUP(BL$1,main!$A$3:$H$102,5,FALSE)-VLOOKUP($A118,main!$A$3:$H$102,6,FALSE)&gt;=main!$D$103+VLOOKUP(VLOOKUP(BL$1,main!$A$3:$I$102,7,FALSE),main!$K$26:$Q$29,4,FALSE)),1,0)</f>
        <v>0</v>
      </c>
      <c r="BM118">
        <f>IF(AND(VLOOKUP(BM$1,main!$A$3:$H$102,7,FALSE)=main!$G$104,VLOOKUP(BM$1,main!$A$3:$H$102,5,FALSE)-VLOOKUP($A118,main!$A$3:$H$102,6,FALSE)&gt;=main!$D$103+VLOOKUP(VLOOKUP(BM$1,main!$A$3:$I$102,7,FALSE),main!$K$26:$Q$29,4,FALSE)),1,0)</f>
        <v>0</v>
      </c>
      <c r="BN118">
        <f>IF(AND(VLOOKUP(BN$1,main!$A$3:$H$102,7,FALSE)=main!$G$104,VLOOKUP(BN$1,main!$A$3:$H$102,5,FALSE)-VLOOKUP($A118,main!$A$3:$H$102,6,FALSE)&gt;=main!$D$103+VLOOKUP(VLOOKUP(BN$1,main!$A$3:$I$102,7,FALSE),main!$K$26:$Q$29,4,FALSE)),1,0)</f>
        <v>0</v>
      </c>
      <c r="BO118">
        <f>IF(AND(VLOOKUP(BO$1,main!$A$3:$H$102,7,FALSE)=main!$G$104,VLOOKUP(BO$1,main!$A$3:$H$102,5,FALSE)-VLOOKUP($A118,main!$A$3:$H$102,6,FALSE)&gt;=main!$D$103+VLOOKUP(VLOOKUP(BO$1,main!$A$3:$I$102,7,FALSE),main!$K$26:$Q$29,4,FALSE)),1,0)</f>
        <v>0</v>
      </c>
      <c r="BP118">
        <f>IF(AND(VLOOKUP(BP$1,main!$A$3:$H$102,7,FALSE)=main!$G$104,VLOOKUP(BP$1,main!$A$3:$H$102,5,FALSE)-VLOOKUP($A118,main!$A$3:$H$102,6,FALSE)&gt;=main!$D$103+VLOOKUP(VLOOKUP(BP$1,main!$A$3:$I$102,7,FALSE),main!$K$26:$Q$29,4,FALSE)),1,0)</f>
        <v>0</v>
      </c>
      <c r="BQ118">
        <f>IF(AND(VLOOKUP(BQ$1,main!$A$3:$H$102,7,FALSE)=main!$G$104,VLOOKUP(BQ$1,main!$A$3:$H$102,5,FALSE)-VLOOKUP($A118,main!$A$3:$H$102,6,FALSE)&gt;=main!$D$103+VLOOKUP(VLOOKUP(BQ$1,main!$A$3:$I$102,7,FALSE),main!$K$26:$Q$29,4,FALSE)),1,0)</f>
        <v>0</v>
      </c>
      <c r="BR118">
        <f>IF(AND(VLOOKUP(BR$1,main!$A$3:$H$102,7,FALSE)=main!$G$104,VLOOKUP(BR$1,main!$A$3:$H$102,5,FALSE)-VLOOKUP($A118,main!$A$3:$H$102,6,FALSE)&gt;=main!$D$103+VLOOKUP(VLOOKUP(BR$1,main!$A$3:$I$102,7,FALSE),main!$K$26:$Q$29,4,FALSE)),1,0)</f>
        <v>0</v>
      </c>
      <c r="BS118">
        <f>IF(AND(VLOOKUP(BS$1,main!$A$3:$H$102,7,FALSE)=main!$G$104,VLOOKUP(BS$1,main!$A$3:$H$102,5,FALSE)-VLOOKUP($A118,main!$A$3:$H$102,6,FALSE)&gt;=main!$D$103+VLOOKUP(VLOOKUP(BS$1,main!$A$3:$I$102,7,FALSE),main!$K$26:$Q$29,4,FALSE)),1,0)</f>
        <v>0</v>
      </c>
      <c r="BT118">
        <f>IF(AND(VLOOKUP(BT$1,main!$A$3:$H$102,7,FALSE)=main!$G$104,VLOOKUP(BT$1,main!$A$3:$H$102,5,FALSE)-VLOOKUP($A118,main!$A$3:$H$102,6,FALSE)&gt;=main!$D$103+VLOOKUP(VLOOKUP(BT$1,main!$A$3:$I$102,7,FALSE),main!$K$26:$Q$29,4,FALSE)),1,0)</f>
        <v>0</v>
      </c>
      <c r="BU118">
        <f>IF(AND(VLOOKUP(BU$1,main!$A$3:$H$102,7,FALSE)=main!$G$104,VLOOKUP(BU$1,main!$A$3:$H$102,5,FALSE)-VLOOKUP($A118,main!$A$3:$H$102,6,FALSE)&gt;=main!$D$103+VLOOKUP(VLOOKUP(BU$1,main!$A$3:$I$102,7,FALSE),main!$K$26:$Q$29,4,FALSE)),1,0)</f>
        <v>0</v>
      </c>
      <c r="BV118">
        <f>IF(AND(VLOOKUP(BV$1,main!$A$3:$H$102,7,FALSE)=main!$G$104,VLOOKUP(BV$1,main!$A$3:$H$102,5,FALSE)-VLOOKUP($A118,main!$A$3:$H$102,6,FALSE)&gt;=main!$D$103+VLOOKUP(VLOOKUP(BV$1,main!$A$3:$I$102,7,FALSE),main!$K$26:$Q$29,4,FALSE)),1,0)</f>
        <v>0</v>
      </c>
      <c r="BW118">
        <f>IF(AND(VLOOKUP(BW$1,main!$A$3:$H$102,7,FALSE)=main!$G$104,VLOOKUP(BW$1,main!$A$3:$H$102,5,FALSE)-VLOOKUP($A118,main!$A$3:$H$102,6,FALSE)&gt;=main!$D$103+VLOOKUP(VLOOKUP(BW$1,main!$A$3:$I$102,7,FALSE),main!$K$26:$Q$29,4,FALSE)),1,0)</f>
        <v>0</v>
      </c>
      <c r="BX118">
        <f>IF(AND(VLOOKUP(BX$1,main!$A$3:$H$102,7,FALSE)=main!$G$104,VLOOKUP(BX$1,main!$A$3:$H$102,5,FALSE)-VLOOKUP($A118,main!$A$3:$H$102,6,FALSE)&gt;=main!$D$103+VLOOKUP(VLOOKUP(BX$1,main!$A$3:$I$102,7,FALSE),main!$K$26:$Q$29,4,FALSE)),1,0)</f>
        <v>0</v>
      </c>
      <c r="BY118">
        <f>IF(AND(VLOOKUP(BY$1,main!$A$3:$H$102,7,FALSE)=main!$G$104,VLOOKUP(BY$1,main!$A$3:$H$102,5,FALSE)-VLOOKUP($A118,main!$A$3:$H$102,6,FALSE)&gt;=main!$D$103+VLOOKUP(VLOOKUP(BY$1,main!$A$3:$I$102,7,FALSE),main!$K$26:$Q$29,4,FALSE)),1,0)</f>
        <v>0</v>
      </c>
      <c r="BZ118">
        <f>IF(AND(VLOOKUP(BZ$1,main!$A$3:$H$102,7,FALSE)=main!$G$104,VLOOKUP(BZ$1,main!$A$3:$H$102,5,FALSE)-VLOOKUP($A118,main!$A$3:$H$102,6,FALSE)&gt;=main!$D$103+VLOOKUP(VLOOKUP(BZ$1,main!$A$3:$I$102,7,FALSE),main!$K$26:$Q$29,4,FALSE)),1,0)</f>
        <v>0</v>
      </c>
      <c r="CA118">
        <f>IF(AND(VLOOKUP(CA$1,main!$A$3:$H$102,7,FALSE)=main!$G$104,VLOOKUP(CA$1,main!$A$3:$H$102,5,FALSE)-VLOOKUP($A118,main!$A$3:$H$102,6,FALSE)&gt;=main!$D$103+VLOOKUP(VLOOKUP(CA$1,main!$A$3:$I$102,7,FALSE),main!$K$26:$Q$29,4,FALSE)),1,0)</f>
        <v>0</v>
      </c>
      <c r="CB118">
        <f>IF(AND(VLOOKUP(CB$1,main!$A$3:$H$102,7,FALSE)=main!$G$104,VLOOKUP(CB$1,main!$A$3:$H$102,5,FALSE)-VLOOKUP($A118,main!$A$3:$H$102,6,FALSE)&gt;=main!$D$103+VLOOKUP(VLOOKUP(CB$1,main!$A$3:$I$102,7,FALSE),main!$K$26:$Q$29,4,FALSE)),1,0)</f>
        <v>0</v>
      </c>
      <c r="CC118">
        <f>IF(AND(VLOOKUP(CC$1,main!$A$3:$H$102,7,FALSE)=main!$G$104,VLOOKUP(CC$1,main!$A$3:$H$102,5,FALSE)-VLOOKUP($A118,main!$A$3:$H$102,6,FALSE)&gt;=main!$D$103+VLOOKUP(VLOOKUP(CC$1,main!$A$3:$I$102,7,FALSE),main!$K$26:$Q$29,4,FALSE)),1,0)</f>
        <v>0</v>
      </c>
      <c r="CD118">
        <f>IF(AND(VLOOKUP(CD$1,main!$A$3:$H$102,7,FALSE)=main!$G$104,VLOOKUP(CD$1,main!$A$3:$H$102,5,FALSE)-VLOOKUP($A118,main!$A$3:$H$102,6,FALSE)&gt;=main!$D$103+VLOOKUP(VLOOKUP(CD$1,main!$A$3:$I$102,7,FALSE),main!$K$26:$Q$29,4,FALSE)),1,0)</f>
        <v>0</v>
      </c>
      <c r="CE118">
        <f>IF(AND(VLOOKUP(CE$1,main!$A$3:$H$102,7,FALSE)=main!$G$104,VLOOKUP(CE$1,main!$A$3:$H$102,5,FALSE)-VLOOKUP($A118,main!$A$3:$H$102,6,FALSE)&gt;=main!$D$103+VLOOKUP(VLOOKUP(CE$1,main!$A$3:$I$102,7,FALSE),main!$K$26:$Q$29,4,FALSE)),1,0)</f>
        <v>0</v>
      </c>
      <c r="CF118">
        <f>IF(AND(VLOOKUP(CF$1,main!$A$3:$H$102,7,FALSE)=main!$G$104,VLOOKUP(CF$1,main!$A$3:$H$102,5,FALSE)-VLOOKUP($A118,main!$A$3:$H$102,6,FALSE)&gt;=main!$D$103+VLOOKUP(VLOOKUP(CF$1,main!$A$3:$I$102,7,FALSE),main!$K$26:$Q$29,4,FALSE)),1,0)</f>
        <v>0</v>
      </c>
      <c r="CG118">
        <f>IF(AND(VLOOKUP(CG$1,main!$A$3:$H$102,7,FALSE)=main!$G$104,VLOOKUP(CG$1,main!$A$3:$H$102,5,FALSE)-VLOOKUP($A118,main!$A$3:$H$102,6,FALSE)&gt;=main!$D$103+VLOOKUP(VLOOKUP(CG$1,main!$A$3:$I$102,7,FALSE),main!$K$26:$Q$29,4,FALSE)),1,0)</f>
        <v>0</v>
      </c>
      <c r="CH118">
        <f>IF(AND(VLOOKUP(CH$1,main!$A$3:$H$102,7,FALSE)=main!$G$104,VLOOKUP(CH$1,main!$A$3:$H$102,5,FALSE)-VLOOKUP($A118,main!$A$3:$H$102,6,FALSE)&gt;=main!$D$103+VLOOKUP(VLOOKUP(CH$1,main!$A$3:$I$102,7,FALSE),main!$K$26:$Q$29,4,FALSE)),1,0)</f>
        <v>0</v>
      </c>
      <c r="CI118">
        <f>IF(AND(VLOOKUP(CI$1,main!$A$3:$H$102,7,FALSE)=main!$G$104,VLOOKUP(CI$1,main!$A$3:$H$102,5,FALSE)-VLOOKUP($A118,main!$A$3:$H$102,6,FALSE)&gt;=main!$D$103+VLOOKUP(VLOOKUP(CI$1,main!$A$3:$I$102,7,FALSE),main!$K$26:$Q$29,4,FALSE)),1,0)</f>
        <v>0</v>
      </c>
      <c r="CJ118">
        <f>IF(AND(VLOOKUP(CJ$1,main!$A$3:$H$102,7,FALSE)=main!$G$104,VLOOKUP(CJ$1,main!$A$3:$H$102,5,FALSE)-VLOOKUP($A118,main!$A$3:$H$102,6,FALSE)&gt;=main!$D$103+VLOOKUP(VLOOKUP(CJ$1,main!$A$3:$I$102,7,FALSE),main!$K$26:$Q$29,4,FALSE)),1,0)</f>
        <v>0</v>
      </c>
      <c r="CK118">
        <f>IF(AND(VLOOKUP(CK$1,main!$A$3:$H$102,7,FALSE)=main!$G$104,VLOOKUP(CK$1,main!$A$3:$H$102,5,FALSE)-VLOOKUP($A118,main!$A$3:$H$102,6,FALSE)&gt;=main!$D$103+VLOOKUP(VLOOKUP(CK$1,main!$A$3:$I$102,7,FALSE),main!$K$26:$Q$29,4,FALSE)),1,0)</f>
        <v>0</v>
      </c>
      <c r="CL118">
        <f>IF(AND(VLOOKUP(CL$1,main!$A$3:$H$102,7,FALSE)=main!$G$104,VLOOKUP(CL$1,main!$A$3:$H$102,5,FALSE)-VLOOKUP($A118,main!$A$3:$H$102,6,FALSE)&gt;=main!$D$103+VLOOKUP(VLOOKUP(CL$1,main!$A$3:$I$102,7,FALSE),main!$K$26:$Q$29,4,FALSE)),1,0)</f>
        <v>0</v>
      </c>
      <c r="CM118">
        <f>IF(AND(VLOOKUP(CM$1,main!$A$3:$H$102,7,FALSE)=main!$G$104,VLOOKUP(CM$1,main!$A$3:$H$102,5,FALSE)-VLOOKUP($A118,main!$A$3:$H$102,6,FALSE)&gt;=main!$D$103+VLOOKUP(VLOOKUP(CM$1,main!$A$3:$I$102,7,FALSE),main!$K$26:$Q$29,4,FALSE)),1,0)</f>
        <v>0</v>
      </c>
      <c r="CN118">
        <f>IF(AND(VLOOKUP(CN$1,main!$A$3:$H$102,7,FALSE)=main!$G$104,VLOOKUP(CN$1,main!$A$3:$H$102,5,FALSE)-VLOOKUP($A118,main!$A$3:$H$102,6,FALSE)&gt;=main!$D$103+VLOOKUP(VLOOKUP(CN$1,main!$A$3:$I$102,7,FALSE),main!$K$26:$Q$29,4,FALSE)),1,0)</f>
        <v>0</v>
      </c>
      <c r="CO118">
        <f>IF(AND(VLOOKUP(CO$1,main!$A$3:$H$102,7,FALSE)=main!$G$104,VLOOKUP(CO$1,main!$A$3:$H$102,5,FALSE)-VLOOKUP($A118,main!$A$3:$H$102,6,FALSE)&gt;=main!$D$103+VLOOKUP(VLOOKUP(CO$1,main!$A$3:$I$102,7,FALSE),main!$K$26:$Q$29,4,FALSE)),1,0)</f>
        <v>0</v>
      </c>
      <c r="CP118">
        <f>IF(AND(VLOOKUP(CP$1,main!$A$3:$H$102,7,FALSE)=main!$G$104,VLOOKUP(CP$1,main!$A$3:$H$102,5,FALSE)-VLOOKUP($A118,main!$A$3:$H$102,6,FALSE)&gt;=main!$D$103+VLOOKUP(VLOOKUP(CP$1,main!$A$3:$I$102,7,FALSE),main!$K$26:$Q$29,4,FALSE)),1,0)</f>
        <v>0</v>
      </c>
      <c r="CQ118">
        <f>IF(AND(VLOOKUP(CQ$1,main!$A$3:$H$102,7,FALSE)=main!$G$104,VLOOKUP(CQ$1,main!$A$3:$H$102,5,FALSE)-VLOOKUP($A118,main!$A$3:$H$102,6,FALSE)&gt;=main!$D$103+VLOOKUP(VLOOKUP(CQ$1,main!$A$3:$I$102,7,FALSE),main!$K$26:$Q$29,4,FALSE)),1,0)</f>
        <v>0</v>
      </c>
      <c r="CR118">
        <f>IF(AND(VLOOKUP(CR$1,main!$A$3:$H$102,7,FALSE)=main!$G$104,VLOOKUP(CR$1,main!$A$3:$H$102,5,FALSE)-VLOOKUP($A118,main!$A$3:$H$102,6,FALSE)&gt;=main!$D$103+VLOOKUP(VLOOKUP(CR$1,main!$A$3:$I$102,7,FALSE),main!$K$26:$Q$29,4,FALSE)),1,0)</f>
        <v>0</v>
      </c>
      <c r="CS118">
        <f>IF(AND(VLOOKUP(CS$1,main!$A$3:$H$102,7,FALSE)=main!$G$104,VLOOKUP(CS$1,main!$A$3:$H$102,5,FALSE)-VLOOKUP($A118,main!$A$3:$H$102,6,FALSE)&gt;=main!$D$103+VLOOKUP(VLOOKUP(CS$1,main!$A$3:$I$102,7,FALSE),main!$K$26:$Q$29,4,FALSE)),1,0)</f>
        <v>0</v>
      </c>
      <c r="CT118">
        <f>IF(AND(VLOOKUP(CT$1,main!$A$3:$H$102,7,FALSE)=main!$G$104,VLOOKUP(CT$1,main!$A$3:$H$102,5,FALSE)-VLOOKUP($A118,main!$A$3:$H$102,6,FALSE)&gt;=main!$D$103+VLOOKUP(VLOOKUP(CT$1,main!$A$3:$I$102,7,FALSE),main!$K$26:$Q$29,4,FALSE)),1,0)</f>
        <v>0</v>
      </c>
      <c r="CU118">
        <f>IF(AND(VLOOKUP(CU$1,main!$A$3:$H$102,7,FALSE)=main!$G$104,VLOOKUP(CU$1,main!$A$3:$H$102,5,FALSE)-VLOOKUP($A118,main!$A$3:$H$102,6,FALSE)&gt;=main!$D$103+VLOOKUP(VLOOKUP(CU$1,main!$A$3:$I$102,7,FALSE),main!$K$26:$Q$29,4,FALSE)),1,0)</f>
        <v>0</v>
      </c>
      <c r="CV118">
        <f>IF(AND(VLOOKUP(CV$1,main!$A$3:$H$102,7,FALSE)=main!$G$104,VLOOKUP(CV$1,main!$A$3:$H$102,5,FALSE)-VLOOKUP($A118,main!$A$3:$H$102,6,FALSE)&gt;=main!$D$103+VLOOKUP(VLOOKUP(CV$1,main!$A$3:$I$102,7,FALSE),main!$K$26:$Q$29,4,FALSE)),1,0)</f>
        <v>0</v>
      </c>
      <c r="CW118">
        <f>IF(AND(VLOOKUP(CW$1,main!$A$3:$H$102,7,FALSE)=main!$G$104,VLOOKUP(CW$1,main!$A$3:$H$102,5,FALSE)-VLOOKUP($A118,main!$A$3:$H$102,6,FALSE)&gt;=main!$D$103+VLOOKUP(VLOOKUP(CW$1,main!$A$3:$I$102,7,FALSE),main!$K$26:$Q$29,4,FALSE)),1,0)</f>
        <v>0</v>
      </c>
      <c r="CX118">
        <f>IF(AND(VLOOKUP(CX$1,main!$A$3:$H$102,7,FALSE)=main!$G$104,VLOOKUP(CX$1,main!$A$3:$H$102,5,FALSE)-VLOOKUP($A118,main!$A$3:$H$102,6,FALSE)&gt;=main!$D$103+VLOOKUP(VLOOKUP(CX$1,main!$A$3:$I$102,7,FALSE),main!$K$26:$Q$29,4,FALSE)),1,0)</f>
        <v>0</v>
      </c>
    </row>
    <row r="119" spans="1:102" x14ac:dyDescent="0.25">
      <c r="A119" s="1">
        <v>16</v>
      </c>
      <c r="B119">
        <v>0</v>
      </c>
      <c r="C119">
        <f>IF(AND(VLOOKUP(C$1,main!$A$3:$H$102,7,FALSE)=main!$G$104,VLOOKUP(C$1,main!$A$3:$H$102,5,FALSE)-VLOOKUP($A119,main!$A$3:$H$102,6,FALSE)&gt;=main!$D$103+VLOOKUP(VLOOKUP(C$1,main!$A$3:$I$102,7,FALSE),main!$K$26:$Q$29,4,FALSE)),1,0)</f>
        <v>0</v>
      </c>
      <c r="D119">
        <f>IF(AND(VLOOKUP(D$1,main!$A$3:$H$102,7,FALSE)=main!$G$104,VLOOKUP(D$1,main!$A$3:$H$102,5,FALSE)-VLOOKUP($A119,main!$A$3:$H$102,6,FALSE)&gt;=main!$D$103+VLOOKUP(VLOOKUP(D$1,main!$A$3:$I$102,7,FALSE),main!$K$26:$Q$29,4,FALSE)),1,0)</f>
        <v>0</v>
      </c>
      <c r="E119">
        <f>IF(AND(VLOOKUP(E$1,main!$A$3:$H$102,7,FALSE)=main!$G$104,VLOOKUP(E$1,main!$A$3:$H$102,5,FALSE)-VLOOKUP($A119,main!$A$3:$H$102,6,FALSE)&gt;=main!$D$103+VLOOKUP(VLOOKUP(E$1,main!$A$3:$I$102,7,FALSE),main!$K$26:$Q$29,4,FALSE)),1,0)</f>
        <v>0</v>
      </c>
      <c r="F119">
        <f>IF(AND(VLOOKUP(F$1,main!$A$3:$H$102,7,FALSE)=main!$G$104,VLOOKUP(F$1,main!$A$3:$H$102,5,FALSE)-VLOOKUP($A119,main!$A$3:$H$102,6,FALSE)&gt;=main!$D$103+VLOOKUP(VLOOKUP(F$1,main!$A$3:$I$102,7,FALSE),main!$K$26:$Q$29,4,FALSE)),1,0)</f>
        <v>0</v>
      </c>
      <c r="G119">
        <f>IF(AND(VLOOKUP(G$1,main!$A$3:$H$102,7,FALSE)=main!$G$104,VLOOKUP(G$1,main!$A$3:$H$102,5,FALSE)-VLOOKUP($A119,main!$A$3:$H$102,6,FALSE)&gt;=main!$D$103+VLOOKUP(VLOOKUP(G$1,main!$A$3:$I$102,7,FALSE),main!$K$26:$Q$29,4,FALSE)),1,0)</f>
        <v>0</v>
      </c>
      <c r="H119">
        <f>IF(AND(VLOOKUP(H$1,main!$A$3:$H$102,7,FALSE)=main!$G$104,VLOOKUP(H$1,main!$A$3:$H$102,5,FALSE)-VLOOKUP($A119,main!$A$3:$H$102,6,FALSE)&gt;=main!$D$103+VLOOKUP(VLOOKUP(H$1,main!$A$3:$I$102,7,FALSE),main!$K$26:$Q$29,4,FALSE)),1,0)</f>
        <v>0</v>
      </c>
      <c r="I119">
        <f>IF(AND(VLOOKUP(I$1,main!$A$3:$H$102,7,FALSE)=main!$G$104,VLOOKUP(I$1,main!$A$3:$H$102,5,FALSE)-VLOOKUP($A119,main!$A$3:$H$102,6,FALSE)&gt;=main!$D$103+VLOOKUP(VLOOKUP(I$1,main!$A$3:$I$102,7,FALSE),main!$K$26:$Q$29,4,FALSE)),1,0)</f>
        <v>0</v>
      </c>
      <c r="J119">
        <f>IF(AND(VLOOKUP(J$1,main!$A$3:$H$102,7,FALSE)=main!$G$104,VLOOKUP(J$1,main!$A$3:$H$102,5,FALSE)-VLOOKUP($A119,main!$A$3:$H$102,6,FALSE)&gt;=main!$D$103+VLOOKUP(VLOOKUP(J$1,main!$A$3:$I$102,7,FALSE),main!$K$26:$Q$29,4,FALSE)),1,0)</f>
        <v>1</v>
      </c>
      <c r="K119">
        <f>IF(AND(VLOOKUP(K$1,main!$A$3:$H$102,7,FALSE)=main!$G$104,VLOOKUP(K$1,main!$A$3:$H$102,5,FALSE)-VLOOKUP($A119,main!$A$3:$H$102,6,FALSE)&gt;=main!$D$103+VLOOKUP(VLOOKUP(K$1,main!$A$3:$I$102,7,FALSE),main!$K$26:$Q$29,4,FALSE)),1,0)</f>
        <v>1</v>
      </c>
      <c r="L119">
        <f>IF(AND(VLOOKUP(L$1,main!$A$3:$H$102,7,FALSE)=main!$G$104,VLOOKUP(L$1,main!$A$3:$H$102,5,FALSE)-VLOOKUP($A119,main!$A$3:$H$102,6,FALSE)&gt;=main!$D$103+VLOOKUP(VLOOKUP(L$1,main!$A$3:$I$102,7,FALSE),main!$K$26:$Q$29,4,FALSE)),1,0)</f>
        <v>1</v>
      </c>
      <c r="M119">
        <f>IF(AND(VLOOKUP(M$1,main!$A$3:$H$102,7,FALSE)=main!$G$104,VLOOKUP(M$1,main!$A$3:$H$102,5,FALSE)-VLOOKUP($A119,main!$A$3:$H$102,6,FALSE)&gt;=main!$D$103+VLOOKUP(VLOOKUP(M$1,main!$A$3:$I$102,7,FALSE),main!$K$26:$Q$29,4,FALSE)),1,0)</f>
        <v>0</v>
      </c>
      <c r="N119">
        <f>IF(AND(VLOOKUP(N$1,main!$A$3:$H$102,7,FALSE)=main!$G$104,VLOOKUP(N$1,main!$A$3:$H$102,5,FALSE)-VLOOKUP($A119,main!$A$3:$H$102,6,FALSE)&gt;=main!$D$103+VLOOKUP(VLOOKUP(N$1,main!$A$3:$I$102,7,FALSE),main!$K$26:$Q$29,4,FALSE)),1,0)</f>
        <v>0</v>
      </c>
      <c r="O119">
        <f>IF(AND(VLOOKUP(O$1,main!$A$3:$H$102,7,FALSE)=main!$G$104,VLOOKUP(O$1,main!$A$3:$H$102,5,FALSE)-VLOOKUP($A119,main!$A$3:$H$102,6,FALSE)&gt;=main!$D$103+VLOOKUP(VLOOKUP(O$1,main!$A$3:$I$102,7,FALSE),main!$K$26:$Q$29,4,FALSE)),1,0)</f>
        <v>0</v>
      </c>
      <c r="P119">
        <f>IF(AND(VLOOKUP(P$1,main!$A$3:$H$102,7,FALSE)=main!$G$104,VLOOKUP(P$1,main!$A$3:$H$102,5,FALSE)-VLOOKUP($A119,main!$A$3:$H$102,6,FALSE)&gt;=main!$D$103+VLOOKUP(VLOOKUP(P$1,main!$A$3:$I$102,7,FALSE),main!$K$26:$Q$29,4,FALSE)),1,0)</f>
        <v>0</v>
      </c>
      <c r="Q119">
        <f>IF(AND(VLOOKUP(Q$1,main!$A$3:$H$102,7,FALSE)=main!$G$104,VLOOKUP(Q$1,main!$A$3:$H$102,5,FALSE)-VLOOKUP($A119,main!$A$3:$H$102,6,FALSE)&gt;=main!$D$103+VLOOKUP(VLOOKUP(Q$1,main!$A$3:$I$102,7,FALSE),main!$K$26:$Q$29,4,FALSE)),1,0)</f>
        <v>0</v>
      </c>
      <c r="R119">
        <f>IF(AND(VLOOKUP(R$1,main!$A$3:$H$102,7,FALSE)=main!$G$104,VLOOKUP(R$1,main!$A$3:$H$102,5,FALSE)-VLOOKUP($A119,main!$A$3:$H$102,6,FALSE)&gt;=main!$D$103+VLOOKUP(VLOOKUP(R$1,main!$A$3:$I$102,7,FALSE),main!$K$26:$Q$29,4,FALSE)),1,0)</f>
        <v>0</v>
      </c>
      <c r="S119">
        <f>IF(AND(VLOOKUP(S$1,main!$A$3:$H$102,7,FALSE)=main!$G$104,VLOOKUP(S$1,main!$A$3:$H$102,5,FALSE)-VLOOKUP($A119,main!$A$3:$H$102,6,FALSE)&gt;=main!$D$103+VLOOKUP(VLOOKUP(S$1,main!$A$3:$I$102,7,FALSE),main!$K$26:$Q$29,4,FALSE)),1,0)</f>
        <v>0</v>
      </c>
      <c r="T119">
        <f>IF(AND(VLOOKUP(T$1,main!$A$3:$H$102,7,FALSE)=main!$G$104,VLOOKUP(T$1,main!$A$3:$H$102,5,FALSE)-VLOOKUP($A119,main!$A$3:$H$102,6,FALSE)&gt;=main!$D$103+VLOOKUP(VLOOKUP(T$1,main!$A$3:$I$102,7,FALSE),main!$K$26:$Q$29,4,FALSE)),1,0)</f>
        <v>1</v>
      </c>
      <c r="U119">
        <f>IF(AND(VLOOKUP(U$1,main!$A$3:$H$102,7,FALSE)=main!$G$104,VLOOKUP(U$1,main!$A$3:$H$102,5,FALSE)-VLOOKUP($A119,main!$A$3:$H$102,6,FALSE)&gt;=main!$D$103+VLOOKUP(VLOOKUP(U$1,main!$A$3:$I$102,7,FALSE),main!$K$26:$Q$29,4,FALSE)),1,0)</f>
        <v>1</v>
      </c>
      <c r="V119">
        <f>IF(AND(VLOOKUP(V$1,main!$A$3:$H$102,7,FALSE)=main!$G$104,VLOOKUP(V$1,main!$A$3:$H$102,5,FALSE)-VLOOKUP($A119,main!$A$3:$H$102,6,FALSE)&gt;=main!$D$103+VLOOKUP(VLOOKUP(V$1,main!$A$3:$I$102,7,FALSE),main!$K$26:$Q$29,4,FALSE)),1,0)</f>
        <v>1</v>
      </c>
      <c r="W119">
        <f>IF(AND(VLOOKUP(W$1,main!$A$3:$H$102,7,FALSE)=main!$G$104,VLOOKUP(W$1,main!$A$3:$H$102,5,FALSE)-VLOOKUP($A119,main!$A$3:$H$102,6,FALSE)&gt;=main!$D$103+VLOOKUP(VLOOKUP(W$1,main!$A$3:$I$102,7,FALSE),main!$K$26:$Q$29,4,FALSE)),1,0)</f>
        <v>0</v>
      </c>
      <c r="X119">
        <f>IF(AND(VLOOKUP(X$1,main!$A$3:$H$102,7,FALSE)=main!$G$104,VLOOKUP(X$1,main!$A$3:$H$102,5,FALSE)-VLOOKUP($A119,main!$A$3:$H$102,6,FALSE)&gt;=main!$D$103+VLOOKUP(VLOOKUP(X$1,main!$A$3:$I$102,7,FALSE),main!$K$26:$Q$29,4,FALSE)),1,0)</f>
        <v>0</v>
      </c>
      <c r="Y119">
        <f>IF(AND(VLOOKUP(Y$1,main!$A$3:$H$102,7,FALSE)=main!$G$104,VLOOKUP(Y$1,main!$A$3:$H$102,5,FALSE)-VLOOKUP($A119,main!$A$3:$H$102,6,FALSE)&gt;=main!$D$103+VLOOKUP(VLOOKUP(Y$1,main!$A$3:$I$102,7,FALSE),main!$K$26:$Q$29,4,FALSE)),1,0)</f>
        <v>0</v>
      </c>
      <c r="Z119">
        <f>IF(AND(VLOOKUP(Z$1,main!$A$3:$H$102,7,FALSE)=main!$G$104,VLOOKUP(Z$1,main!$A$3:$H$102,5,FALSE)-VLOOKUP($A119,main!$A$3:$H$102,6,FALSE)&gt;=main!$D$103+VLOOKUP(VLOOKUP(Z$1,main!$A$3:$I$102,7,FALSE),main!$K$26:$Q$29,4,FALSE)),1,0)</f>
        <v>0</v>
      </c>
      <c r="AA119">
        <f>IF(AND(VLOOKUP(AA$1,main!$A$3:$H$102,7,FALSE)=main!$G$104,VLOOKUP(AA$1,main!$A$3:$H$102,5,FALSE)-VLOOKUP($A119,main!$A$3:$H$102,6,FALSE)&gt;=main!$D$103+VLOOKUP(VLOOKUP(AA$1,main!$A$3:$I$102,7,FALSE),main!$K$26:$Q$29,4,FALSE)),1,0)</f>
        <v>1</v>
      </c>
      <c r="AB119">
        <f>IF(AND(VLOOKUP(AB$1,main!$A$3:$H$102,7,FALSE)=main!$G$104,VLOOKUP(AB$1,main!$A$3:$H$102,5,FALSE)-VLOOKUP($A119,main!$A$3:$H$102,6,FALSE)&gt;=main!$D$103+VLOOKUP(VLOOKUP(AB$1,main!$A$3:$I$102,7,FALSE),main!$K$26:$Q$29,4,FALSE)),1,0)</f>
        <v>0</v>
      </c>
      <c r="AC119">
        <f>IF(AND(VLOOKUP(AC$1,main!$A$3:$H$102,7,FALSE)=main!$G$104,VLOOKUP(AC$1,main!$A$3:$H$102,5,FALSE)-VLOOKUP($A119,main!$A$3:$H$102,6,FALSE)&gt;=main!$D$103+VLOOKUP(VLOOKUP(AC$1,main!$A$3:$I$102,7,FALSE),main!$K$26:$Q$29,4,FALSE)),1,0)</f>
        <v>0</v>
      </c>
      <c r="AD119">
        <f>IF(AND(VLOOKUP(AD$1,main!$A$3:$H$102,7,FALSE)=main!$G$104,VLOOKUP(AD$1,main!$A$3:$H$102,5,FALSE)-VLOOKUP($A119,main!$A$3:$H$102,6,FALSE)&gt;=main!$D$103+VLOOKUP(VLOOKUP(AD$1,main!$A$3:$I$102,7,FALSE),main!$K$26:$Q$29,4,FALSE)),1,0)</f>
        <v>0</v>
      </c>
      <c r="AE119">
        <f>IF(AND(VLOOKUP(AE$1,main!$A$3:$H$102,7,FALSE)=main!$G$104,VLOOKUP(AE$1,main!$A$3:$H$102,5,FALSE)-VLOOKUP($A119,main!$A$3:$H$102,6,FALSE)&gt;=main!$D$103+VLOOKUP(VLOOKUP(AE$1,main!$A$3:$I$102,7,FALSE),main!$K$26:$Q$29,4,FALSE)),1,0)</f>
        <v>0</v>
      </c>
      <c r="AF119">
        <f>IF(AND(VLOOKUP(AF$1,main!$A$3:$H$102,7,FALSE)=main!$G$104,VLOOKUP(AF$1,main!$A$3:$H$102,5,FALSE)-VLOOKUP($A119,main!$A$3:$H$102,6,FALSE)&gt;=main!$D$103+VLOOKUP(VLOOKUP(AF$1,main!$A$3:$I$102,7,FALSE),main!$K$26:$Q$29,4,FALSE)),1,0)</f>
        <v>1</v>
      </c>
      <c r="AG119">
        <f>IF(AND(VLOOKUP(AG$1,main!$A$3:$H$102,7,FALSE)=main!$G$104,VLOOKUP(AG$1,main!$A$3:$H$102,5,FALSE)-VLOOKUP($A119,main!$A$3:$H$102,6,FALSE)&gt;=main!$D$103+VLOOKUP(VLOOKUP(AG$1,main!$A$3:$I$102,7,FALSE),main!$K$26:$Q$29,4,FALSE)),1,0)</f>
        <v>0</v>
      </c>
      <c r="AH119">
        <f>IF(AND(VLOOKUP(AH$1,main!$A$3:$H$102,7,FALSE)=main!$G$104,VLOOKUP(AH$1,main!$A$3:$H$102,5,FALSE)-VLOOKUP($A119,main!$A$3:$H$102,6,FALSE)&gt;=main!$D$103+VLOOKUP(VLOOKUP(AH$1,main!$A$3:$I$102,7,FALSE),main!$K$26:$Q$29,4,FALSE)),1,0)</f>
        <v>0</v>
      </c>
      <c r="AI119">
        <f>IF(AND(VLOOKUP(AI$1,main!$A$3:$H$102,7,FALSE)=main!$G$104,VLOOKUP(AI$1,main!$A$3:$H$102,5,FALSE)-VLOOKUP($A119,main!$A$3:$H$102,6,FALSE)&gt;=main!$D$103+VLOOKUP(VLOOKUP(AI$1,main!$A$3:$I$102,7,FALSE),main!$K$26:$Q$29,4,FALSE)),1,0)</f>
        <v>0</v>
      </c>
      <c r="AJ119">
        <f>IF(AND(VLOOKUP(AJ$1,main!$A$3:$H$102,7,FALSE)=main!$G$104,VLOOKUP(AJ$1,main!$A$3:$H$102,5,FALSE)-VLOOKUP($A119,main!$A$3:$H$102,6,FALSE)&gt;=main!$D$103+VLOOKUP(VLOOKUP(AJ$1,main!$A$3:$I$102,7,FALSE),main!$K$26:$Q$29,4,FALSE)),1,0)</f>
        <v>0</v>
      </c>
      <c r="AK119">
        <f>IF(AND(VLOOKUP(AK$1,main!$A$3:$H$102,7,FALSE)=main!$G$104,VLOOKUP(AK$1,main!$A$3:$H$102,5,FALSE)-VLOOKUP($A119,main!$A$3:$H$102,6,FALSE)&gt;=main!$D$103+VLOOKUP(VLOOKUP(AK$1,main!$A$3:$I$102,7,FALSE),main!$K$26:$Q$29,4,FALSE)),1,0)</f>
        <v>0</v>
      </c>
      <c r="AL119">
        <f>IF(AND(VLOOKUP(AL$1,main!$A$3:$H$102,7,FALSE)=main!$G$104,VLOOKUP(AL$1,main!$A$3:$H$102,5,FALSE)-VLOOKUP($A119,main!$A$3:$H$102,6,FALSE)&gt;=main!$D$103+VLOOKUP(VLOOKUP(AL$1,main!$A$3:$I$102,7,FALSE),main!$K$26:$Q$29,4,FALSE)),1,0)</f>
        <v>0</v>
      </c>
      <c r="AM119">
        <f>IF(AND(VLOOKUP(AM$1,main!$A$3:$H$102,7,FALSE)=main!$G$104,VLOOKUP(AM$1,main!$A$3:$H$102,5,FALSE)-VLOOKUP($A119,main!$A$3:$H$102,6,FALSE)&gt;=main!$D$103+VLOOKUP(VLOOKUP(AM$1,main!$A$3:$I$102,7,FALSE),main!$K$26:$Q$29,4,FALSE)),1,0)</f>
        <v>0</v>
      </c>
      <c r="AN119">
        <f>IF(AND(VLOOKUP(AN$1,main!$A$3:$H$102,7,FALSE)=main!$G$104,VLOOKUP(AN$1,main!$A$3:$H$102,5,FALSE)-VLOOKUP($A119,main!$A$3:$H$102,6,FALSE)&gt;=main!$D$103+VLOOKUP(VLOOKUP(AN$1,main!$A$3:$I$102,7,FALSE),main!$K$26:$Q$29,4,FALSE)),1,0)</f>
        <v>0</v>
      </c>
      <c r="AO119">
        <f>IF(AND(VLOOKUP(AO$1,main!$A$3:$H$102,7,FALSE)=main!$G$104,VLOOKUP(AO$1,main!$A$3:$H$102,5,FALSE)-VLOOKUP($A119,main!$A$3:$H$102,6,FALSE)&gt;=main!$D$103+VLOOKUP(VLOOKUP(AO$1,main!$A$3:$I$102,7,FALSE),main!$K$26:$Q$29,4,FALSE)),1,0)</f>
        <v>0</v>
      </c>
      <c r="AP119">
        <f>IF(AND(VLOOKUP(AP$1,main!$A$3:$H$102,7,FALSE)=main!$G$104,VLOOKUP(AP$1,main!$A$3:$H$102,5,FALSE)-VLOOKUP($A119,main!$A$3:$H$102,6,FALSE)&gt;=main!$D$103+VLOOKUP(VLOOKUP(AP$1,main!$A$3:$I$102,7,FALSE),main!$K$26:$Q$29,4,FALSE)),1,0)</f>
        <v>0</v>
      </c>
      <c r="AQ119">
        <f>IF(AND(VLOOKUP(AQ$1,main!$A$3:$H$102,7,FALSE)=main!$G$104,VLOOKUP(AQ$1,main!$A$3:$H$102,5,FALSE)-VLOOKUP($A119,main!$A$3:$H$102,6,FALSE)&gt;=main!$D$103+VLOOKUP(VLOOKUP(AQ$1,main!$A$3:$I$102,7,FALSE),main!$K$26:$Q$29,4,FALSE)),1,0)</f>
        <v>0</v>
      </c>
      <c r="AR119">
        <f>IF(AND(VLOOKUP(AR$1,main!$A$3:$H$102,7,FALSE)=main!$G$104,VLOOKUP(AR$1,main!$A$3:$H$102,5,FALSE)-VLOOKUP($A119,main!$A$3:$H$102,6,FALSE)&gt;=main!$D$103+VLOOKUP(VLOOKUP(AR$1,main!$A$3:$I$102,7,FALSE),main!$K$26:$Q$29,4,FALSE)),1,0)</f>
        <v>0</v>
      </c>
      <c r="AS119">
        <f>IF(AND(VLOOKUP(AS$1,main!$A$3:$H$102,7,FALSE)=main!$G$104,VLOOKUP(AS$1,main!$A$3:$H$102,5,FALSE)-VLOOKUP($A119,main!$A$3:$H$102,6,FALSE)&gt;=main!$D$103+VLOOKUP(VLOOKUP(AS$1,main!$A$3:$I$102,7,FALSE),main!$K$26:$Q$29,4,FALSE)),1,0)</f>
        <v>0</v>
      </c>
      <c r="AT119">
        <f>IF(AND(VLOOKUP(AT$1,main!$A$3:$H$102,7,FALSE)=main!$G$104,VLOOKUP(AT$1,main!$A$3:$H$102,5,FALSE)-VLOOKUP($A119,main!$A$3:$H$102,6,FALSE)&gt;=main!$D$103+VLOOKUP(VLOOKUP(AT$1,main!$A$3:$I$102,7,FALSE),main!$K$26:$Q$29,4,FALSE)),1,0)</f>
        <v>0</v>
      </c>
      <c r="AU119">
        <f>IF(AND(VLOOKUP(AU$1,main!$A$3:$H$102,7,FALSE)=main!$G$104,VLOOKUP(AU$1,main!$A$3:$H$102,5,FALSE)-VLOOKUP($A119,main!$A$3:$H$102,6,FALSE)&gt;=main!$D$103+VLOOKUP(VLOOKUP(AU$1,main!$A$3:$I$102,7,FALSE),main!$K$26:$Q$29,4,FALSE)),1,0)</f>
        <v>0</v>
      </c>
      <c r="AV119">
        <f>IF(AND(VLOOKUP(AV$1,main!$A$3:$H$102,7,FALSE)=main!$G$104,VLOOKUP(AV$1,main!$A$3:$H$102,5,FALSE)-VLOOKUP($A119,main!$A$3:$H$102,6,FALSE)&gt;=main!$D$103+VLOOKUP(VLOOKUP(AV$1,main!$A$3:$I$102,7,FALSE),main!$K$26:$Q$29,4,FALSE)),1,0)</f>
        <v>0</v>
      </c>
      <c r="AW119">
        <f>IF(AND(VLOOKUP(AW$1,main!$A$3:$H$102,7,FALSE)=main!$G$104,VLOOKUP(AW$1,main!$A$3:$H$102,5,FALSE)-VLOOKUP($A119,main!$A$3:$H$102,6,FALSE)&gt;=main!$D$103+VLOOKUP(VLOOKUP(AW$1,main!$A$3:$I$102,7,FALSE),main!$K$26:$Q$29,4,FALSE)),1,0)</f>
        <v>0</v>
      </c>
      <c r="AX119">
        <f>IF(AND(VLOOKUP(AX$1,main!$A$3:$H$102,7,FALSE)=main!$G$104,VLOOKUP(AX$1,main!$A$3:$H$102,5,FALSE)-VLOOKUP($A119,main!$A$3:$H$102,6,FALSE)&gt;=main!$D$103+VLOOKUP(VLOOKUP(AX$1,main!$A$3:$I$102,7,FALSE),main!$K$26:$Q$29,4,FALSE)),1,0)</f>
        <v>0</v>
      </c>
      <c r="AY119">
        <f>IF(AND(VLOOKUP(AY$1,main!$A$3:$H$102,7,FALSE)=main!$G$104,VLOOKUP(AY$1,main!$A$3:$H$102,5,FALSE)-VLOOKUP($A119,main!$A$3:$H$102,6,FALSE)&gt;=main!$D$103+VLOOKUP(VLOOKUP(AY$1,main!$A$3:$I$102,7,FALSE),main!$K$26:$Q$29,4,FALSE)),1,0)</f>
        <v>0</v>
      </c>
      <c r="AZ119">
        <f>IF(AND(VLOOKUP(AZ$1,main!$A$3:$H$102,7,FALSE)=main!$G$104,VLOOKUP(AZ$1,main!$A$3:$H$102,5,FALSE)-VLOOKUP($A119,main!$A$3:$H$102,6,FALSE)&gt;=main!$D$103+VLOOKUP(VLOOKUP(AZ$1,main!$A$3:$I$102,7,FALSE),main!$K$26:$Q$29,4,FALSE)),1,0)</f>
        <v>0</v>
      </c>
      <c r="BA119">
        <f>IF(AND(VLOOKUP(BA$1,main!$A$3:$H$102,7,FALSE)=main!$G$104,VLOOKUP(BA$1,main!$A$3:$H$102,5,FALSE)-VLOOKUP($A119,main!$A$3:$H$102,6,FALSE)&gt;=main!$D$103+VLOOKUP(VLOOKUP(BA$1,main!$A$3:$I$102,7,FALSE),main!$K$26:$Q$29,4,FALSE)),1,0)</f>
        <v>0</v>
      </c>
      <c r="BB119">
        <f>IF(AND(VLOOKUP(BB$1,main!$A$3:$H$102,7,FALSE)=main!$G$104,VLOOKUP(BB$1,main!$A$3:$H$102,5,FALSE)-VLOOKUP($A119,main!$A$3:$H$102,6,FALSE)&gt;=main!$D$103+VLOOKUP(VLOOKUP(BB$1,main!$A$3:$I$102,7,FALSE),main!$K$26:$Q$29,4,FALSE)),1,0)</f>
        <v>0</v>
      </c>
      <c r="BC119">
        <f>IF(AND(VLOOKUP(BC$1,main!$A$3:$H$102,7,FALSE)=main!$G$104,VLOOKUP(BC$1,main!$A$3:$H$102,5,FALSE)-VLOOKUP($A119,main!$A$3:$H$102,6,FALSE)&gt;=main!$D$103+VLOOKUP(VLOOKUP(BC$1,main!$A$3:$I$102,7,FALSE),main!$K$26:$Q$29,4,FALSE)),1,0)</f>
        <v>0</v>
      </c>
      <c r="BD119">
        <f>IF(AND(VLOOKUP(BD$1,main!$A$3:$H$102,7,FALSE)=main!$G$104,VLOOKUP(BD$1,main!$A$3:$H$102,5,FALSE)-VLOOKUP($A119,main!$A$3:$H$102,6,FALSE)&gt;=main!$D$103+VLOOKUP(VLOOKUP(BD$1,main!$A$3:$I$102,7,FALSE),main!$K$26:$Q$29,4,FALSE)),1,0)</f>
        <v>0</v>
      </c>
      <c r="BE119">
        <f>IF(AND(VLOOKUP(BE$1,main!$A$3:$H$102,7,FALSE)=main!$G$104,VLOOKUP(BE$1,main!$A$3:$H$102,5,FALSE)-VLOOKUP($A119,main!$A$3:$H$102,6,FALSE)&gt;=main!$D$103+VLOOKUP(VLOOKUP(BE$1,main!$A$3:$I$102,7,FALSE),main!$K$26:$Q$29,4,FALSE)),1,0)</f>
        <v>0</v>
      </c>
      <c r="BF119">
        <f>IF(AND(VLOOKUP(BF$1,main!$A$3:$H$102,7,FALSE)=main!$G$104,VLOOKUP(BF$1,main!$A$3:$H$102,5,FALSE)-VLOOKUP($A119,main!$A$3:$H$102,6,FALSE)&gt;=main!$D$103+VLOOKUP(VLOOKUP(BF$1,main!$A$3:$I$102,7,FALSE),main!$K$26:$Q$29,4,FALSE)),1,0)</f>
        <v>0</v>
      </c>
      <c r="BG119">
        <f>IF(AND(VLOOKUP(BG$1,main!$A$3:$H$102,7,FALSE)=main!$G$104,VLOOKUP(BG$1,main!$A$3:$H$102,5,FALSE)-VLOOKUP($A119,main!$A$3:$H$102,6,FALSE)&gt;=main!$D$103+VLOOKUP(VLOOKUP(BG$1,main!$A$3:$I$102,7,FALSE),main!$K$26:$Q$29,4,FALSE)),1,0)</f>
        <v>0</v>
      </c>
      <c r="BH119">
        <f>IF(AND(VLOOKUP(BH$1,main!$A$3:$H$102,7,FALSE)=main!$G$104,VLOOKUP(BH$1,main!$A$3:$H$102,5,FALSE)-VLOOKUP($A119,main!$A$3:$H$102,6,FALSE)&gt;=main!$D$103+VLOOKUP(VLOOKUP(BH$1,main!$A$3:$I$102,7,FALSE),main!$K$26:$Q$29,4,FALSE)),1,0)</f>
        <v>0</v>
      </c>
      <c r="BI119">
        <f>IF(AND(VLOOKUP(BI$1,main!$A$3:$H$102,7,FALSE)=main!$G$104,VLOOKUP(BI$1,main!$A$3:$H$102,5,FALSE)-VLOOKUP($A119,main!$A$3:$H$102,6,FALSE)&gt;=main!$D$103+VLOOKUP(VLOOKUP(BI$1,main!$A$3:$I$102,7,FALSE),main!$K$26:$Q$29,4,FALSE)),1,0)</f>
        <v>0</v>
      </c>
      <c r="BJ119">
        <f>IF(AND(VLOOKUP(BJ$1,main!$A$3:$H$102,7,FALSE)=main!$G$104,VLOOKUP(BJ$1,main!$A$3:$H$102,5,FALSE)-VLOOKUP($A119,main!$A$3:$H$102,6,FALSE)&gt;=main!$D$103+VLOOKUP(VLOOKUP(BJ$1,main!$A$3:$I$102,7,FALSE),main!$K$26:$Q$29,4,FALSE)),1,0)</f>
        <v>0</v>
      </c>
      <c r="BK119">
        <f>IF(AND(VLOOKUP(BK$1,main!$A$3:$H$102,7,FALSE)=main!$G$104,VLOOKUP(BK$1,main!$A$3:$H$102,5,FALSE)-VLOOKUP($A119,main!$A$3:$H$102,6,FALSE)&gt;=main!$D$103+VLOOKUP(VLOOKUP(BK$1,main!$A$3:$I$102,7,FALSE),main!$K$26:$Q$29,4,FALSE)),1,0)</f>
        <v>0</v>
      </c>
      <c r="BL119">
        <f>IF(AND(VLOOKUP(BL$1,main!$A$3:$H$102,7,FALSE)=main!$G$104,VLOOKUP(BL$1,main!$A$3:$H$102,5,FALSE)-VLOOKUP($A119,main!$A$3:$H$102,6,FALSE)&gt;=main!$D$103+VLOOKUP(VLOOKUP(BL$1,main!$A$3:$I$102,7,FALSE),main!$K$26:$Q$29,4,FALSE)),1,0)</f>
        <v>0</v>
      </c>
      <c r="BM119">
        <f>IF(AND(VLOOKUP(BM$1,main!$A$3:$H$102,7,FALSE)=main!$G$104,VLOOKUP(BM$1,main!$A$3:$H$102,5,FALSE)-VLOOKUP($A119,main!$A$3:$H$102,6,FALSE)&gt;=main!$D$103+VLOOKUP(VLOOKUP(BM$1,main!$A$3:$I$102,7,FALSE),main!$K$26:$Q$29,4,FALSE)),1,0)</f>
        <v>0</v>
      </c>
      <c r="BN119">
        <f>IF(AND(VLOOKUP(BN$1,main!$A$3:$H$102,7,FALSE)=main!$G$104,VLOOKUP(BN$1,main!$A$3:$H$102,5,FALSE)-VLOOKUP($A119,main!$A$3:$H$102,6,FALSE)&gt;=main!$D$103+VLOOKUP(VLOOKUP(BN$1,main!$A$3:$I$102,7,FALSE),main!$K$26:$Q$29,4,FALSE)),1,0)</f>
        <v>0</v>
      </c>
      <c r="BO119">
        <f>IF(AND(VLOOKUP(BO$1,main!$A$3:$H$102,7,FALSE)=main!$G$104,VLOOKUP(BO$1,main!$A$3:$H$102,5,FALSE)-VLOOKUP($A119,main!$A$3:$H$102,6,FALSE)&gt;=main!$D$103+VLOOKUP(VLOOKUP(BO$1,main!$A$3:$I$102,7,FALSE),main!$K$26:$Q$29,4,FALSE)),1,0)</f>
        <v>0</v>
      </c>
      <c r="BP119">
        <f>IF(AND(VLOOKUP(BP$1,main!$A$3:$H$102,7,FALSE)=main!$G$104,VLOOKUP(BP$1,main!$A$3:$H$102,5,FALSE)-VLOOKUP($A119,main!$A$3:$H$102,6,FALSE)&gt;=main!$D$103+VLOOKUP(VLOOKUP(BP$1,main!$A$3:$I$102,7,FALSE),main!$K$26:$Q$29,4,FALSE)),1,0)</f>
        <v>0</v>
      </c>
      <c r="BQ119">
        <f>IF(AND(VLOOKUP(BQ$1,main!$A$3:$H$102,7,FALSE)=main!$G$104,VLOOKUP(BQ$1,main!$A$3:$H$102,5,FALSE)-VLOOKUP($A119,main!$A$3:$H$102,6,FALSE)&gt;=main!$D$103+VLOOKUP(VLOOKUP(BQ$1,main!$A$3:$I$102,7,FALSE),main!$K$26:$Q$29,4,FALSE)),1,0)</f>
        <v>0</v>
      </c>
      <c r="BR119">
        <f>IF(AND(VLOOKUP(BR$1,main!$A$3:$H$102,7,FALSE)=main!$G$104,VLOOKUP(BR$1,main!$A$3:$H$102,5,FALSE)-VLOOKUP($A119,main!$A$3:$H$102,6,FALSE)&gt;=main!$D$103+VLOOKUP(VLOOKUP(BR$1,main!$A$3:$I$102,7,FALSE),main!$K$26:$Q$29,4,FALSE)),1,0)</f>
        <v>0</v>
      </c>
      <c r="BS119">
        <f>IF(AND(VLOOKUP(BS$1,main!$A$3:$H$102,7,FALSE)=main!$G$104,VLOOKUP(BS$1,main!$A$3:$H$102,5,FALSE)-VLOOKUP($A119,main!$A$3:$H$102,6,FALSE)&gt;=main!$D$103+VLOOKUP(VLOOKUP(BS$1,main!$A$3:$I$102,7,FALSE),main!$K$26:$Q$29,4,FALSE)),1,0)</f>
        <v>0</v>
      </c>
      <c r="BT119">
        <f>IF(AND(VLOOKUP(BT$1,main!$A$3:$H$102,7,FALSE)=main!$G$104,VLOOKUP(BT$1,main!$A$3:$H$102,5,FALSE)-VLOOKUP($A119,main!$A$3:$H$102,6,FALSE)&gt;=main!$D$103+VLOOKUP(VLOOKUP(BT$1,main!$A$3:$I$102,7,FALSE),main!$K$26:$Q$29,4,FALSE)),1,0)</f>
        <v>0</v>
      </c>
      <c r="BU119">
        <f>IF(AND(VLOOKUP(BU$1,main!$A$3:$H$102,7,FALSE)=main!$G$104,VLOOKUP(BU$1,main!$A$3:$H$102,5,FALSE)-VLOOKUP($A119,main!$A$3:$H$102,6,FALSE)&gt;=main!$D$103+VLOOKUP(VLOOKUP(BU$1,main!$A$3:$I$102,7,FALSE),main!$K$26:$Q$29,4,FALSE)),1,0)</f>
        <v>0</v>
      </c>
      <c r="BV119">
        <f>IF(AND(VLOOKUP(BV$1,main!$A$3:$H$102,7,FALSE)=main!$G$104,VLOOKUP(BV$1,main!$A$3:$H$102,5,FALSE)-VLOOKUP($A119,main!$A$3:$H$102,6,FALSE)&gt;=main!$D$103+VLOOKUP(VLOOKUP(BV$1,main!$A$3:$I$102,7,FALSE),main!$K$26:$Q$29,4,FALSE)),1,0)</f>
        <v>0</v>
      </c>
      <c r="BW119">
        <f>IF(AND(VLOOKUP(BW$1,main!$A$3:$H$102,7,FALSE)=main!$G$104,VLOOKUP(BW$1,main!$A$3:$H$102,5,FALSE)-VLOOKUP($A119,main!$A$3:$H$102,6,FALSE)&gt;=main!$D$103+VLOOKUP(VLOOKUP(BW$1,main!$A$3:$I$102,7,FALSE),main!$K$26:$Q$29,4,FALSE)),1,0)</f>
        <v>0</v>
      </c>
      <c r="BX119">
        <f>IF(AND(VLOOKUP(BX$1,main!$A$3:$H$102,7,FALSE)=main!$G$104,VLOOKUP(BX$1,main!$A$3:$H$102,5,FALSE)-VLOOKUP($A119,main!$A$3:$H$102,6,FALSE)&gt;=main!$D$103+VLOOKUP(VLOOKUP(BX$1,main!$A$3:$I$102,7,FALSE),main!$K$26:$Q$29,4,FALSE)),1,0)</f>
        <v>0</v>
      </c>
      <c r="BY119">
        <f>IF(AND(VLOOKUP(BY$1,main!$A$3:$H$102,7,FALSE)=main!$G$104,VLOOKUP(BY$1,main!$A$3:$H$102,5,FALSE)-VLOOKUP($A119,main!$A$3:$H$102,6,FALSE)&gt;=main!$D$103+VLOOKUP(VLOOKUP(BY$1,main!$A$3:$I$102,7,FALSE),main!$K$26:$Q$29,4,FALSE)),1,0)</f>
        <v>0</v>
      </c>
      <c r="BZ119">
        <f>IF(AND(VLOOKUP(BZ$1,main!$A$3:$H$102,7,FALSE)=main!$G$104,VLOOKUP(BZ$1,main!$A$3:$H$102,5,FALSE)-VLOOKUP($A119,main!$A$3:$H$102,6,FALSE)&gt;=main!$D$103+VLOOKUP(VLOOKUP(BZ$1,main!$A$3:$I$102,7,FALSE),main!$K$26:$Q$29,4,FALSE)),1,0)</f>
        <v>0</v>
      </c>
      <c r="CA119">
        <f>IF(AND(VLOOKUP(CA$1,main!$A$3:$H$102,7,FALSE)=main!$G$104,VLOOKUP(CA$1,main!$A$3:$H$102,5,FALSE)-VLOOKUP($A119,main!$A$3:$H$102,6,FALSE)&gt;=main!$D$103+VLOOKUP(VLOOKUP(CA$1,main!$A$3:$I$102,7,FALSE),main!$K$26:$Q$29,4,FALSE)),1,0)</f>
        <v>0</v>
      </c>
      <c r="CB119">
        <f>IF(AND(VLOOKUP(CB$1,main!$A$3:$H$102,7,FALSE)=main!$G$104,VLOOKUP(CB$1,main!$A$3:$H$102,5,FALSE)-VLOOKUP($A119,main!$A$3:$H$102,6,FALSE)&gt;=main!$D$103+VLOOKUP(VLOOKUP(CB$1,main!$A$3:$I$102,7,FALSE),main!$K$26:$Q$29,4,FALSE)),1,0)</f>
        <v>0</v>
      </c>
      <c r="CC119">
        <f>IF(AND(VLOOKUP(CC$1,main!$A$3:$H$102,7,FALSE)=main!$G$104,VLOOKUP(CC$1,main!$A$3:$H$102,5,FALSE)-VLOOKUP($A119,main!$A$3:$H$102,6,FALSE)&gt;=main!$D$103+VLOOKUP(VLOOKUP(CC$1,main!$A$3:$I$102,7,FALSE),main!$K$26:$Q$29,4,FALSE)),1,0)</f>
        <v>0</v>
      </c>
      <c r="CD119">
        <f>IF(AND(VLOOKUP(CD$1,main!$A$3:$H$102,7,FALSE)=main!$G$104,VLOOKUP(CD$1,main!$A$3:$H$102,5,FALSE)-VLOOKUP($A119,main!$A$3:$H$102,6,FALSE)&gt;=main!$D$103+VLOOKUP(VLOOKUP(CD$1,main!$A$3:$I$102,7,FALSE),main!$K$26:$Q$29,4,FALSE)),1,0)</f>
        <v>0</v>
      </c>
      <c r="CE119">
        <f>IF(AND(VLOOKUP(CE$1,main!$A$3:$H$102,7,FALSE)=main!$G$104,VLOOKUP(CE$1,main!$A$3:$H$102,5,FALSE)-VLOOKUP($A119,main!$A$3:$H$102,6,FALSE)&gt;=main!$D$103+VLOOKUP(VLOOKUP(CE$1,main!$A$3:$I$102,7,FALSE),main!$K$26:$Q$29,4,FALSE)),1,0)</f>
        <v>0</v>
      </c>
      <c r="CF119">
        <f>IF(AND(VLOOKUP(CF$1,main!$A$3:$H$102,7,FALSE)=main!$G$104,VLOOKUP(CF$1,main!$A$3:$H$102,5,FALSE)-VLOOKUP($A119,main!$A$3:$H$102,6,FALSE)&gt;=main!$D$103+VLOOKUP(VLOOKUP(CF$1,main!$A$3:$I$102,7,FALSE),main!$K$26:$Q$29,4,FALSE)),1,0)</f>
        <v>0</v>
      </c>
      <c r="CG119">
        <f>IF(AND(VLOOKUP(CG$1,main!$A$3:$H$102,7,FALSE)=main!$G$104,VLOOKUP(CG$1,main!$A$3:$H$102,5,FALSE)-VLOOKUP($A119,main!$A$3:$H$102,6,FALSE)&gt;=main!$D$103+VLOOKUP(VLOOKUP(CG$1,main!$A$3:$I$102,7,FALSE),main!$K$26:$Q$29,4,FALSE)),1,0)</f>
        <v>0</v>
      </c>
      <c r="CH119">
        <f>IF(AND(VLOOKUP(CH$1,main!$A$3:$H$102,7,FALSE)=main!$G$104,VLOOKUP(CH$1,main!$A$3:$H$102,5,FALSE)-VLOOKUP($A119,main!$A$3:$H$102,6,FALSE)&gt;=main!$D$103+VLOOKUP(VLOOKUP(CH$1,main!$A$3:$I$102,7,FALSE),main!$K$26:$Q$29,4,FALSE)),1,0)</f>
        <v>0</v>
      </c>
      <c r="CI119">
        <f>IF(AND(VLOOKUP(CI$1,main!$A$3:$H$102,7,FALSE)=main!$G$104,VLOOKUP(CI$1,main!$A$3:$H$102,5,FALSE)-VLOOKUP($A119,main!$A$3:$H$102,6,FALSE)&gt;=main!$D$103+VLOOKUP(VLOOKUP(CI$1,main!$A$3:$I$102,7,FALSE),main!$K$26:$Q$29,4,FALSE)),1,0)</f>
        <v>0</v>
      </c>
      <c r="CJ119">
        <f>IF(AND(VLOOKUP(CJ$1,main!$A$3:$H$102,7,FALSE)=main!$G$104,VLOOKUP(CJ$1,main!$A$3:$H$102,5,FALSE)-VLOOKUP($A119,main!$A$3:$H$102,6,FALSE)&gt;=main!$D$103+VLOOKUP(VLOOKUP(CJ$1,main!$A$3:$I$102,7,FALSE),main!$K$26:$Q$29,4,FALSE)),1,0)</f>
        <v>0</v>
      </c>
      <c r="CK119">
        <f>IF(AND(VLOOKUP(CK$1,main!$A$3:$H$102,7,FALSE)=main!$G$104,VLOOKUP(CK$1,main!$A$3:$H$102,5,FALSE)-VLOOKUP($A119,main!$A$3:$H$102,6,FALSE)&gt;=main!$D$103+VLOOKUP(VLOOKUP(CK$1,main!$A$3:$I$102,7,FALSE),main!$K$26:$Q$29,4,FALSE)),1,0)</f>
        <v>0</v>
      </c>
      <c r="CL119">
        <f>IF(AND(VLOOKUP(CL$1,main!$A$3:$H$102,7,FALSE)=main!$G$104,VLOOKUP(CL$1,main!$A$3:$H$102,5,FALSE)-VLOOKUP($A119,main!$A$3:$H$102,6,FALSE)&gt;=main!$D$103+VLOOKUP(VLOOKUP(CL$1,main!$A$3:$I$102,7,FALSE),main!$K$26:$Q$29,4,FALSE)),1,0)</f>
        <v>0</v>
      </c>
      <c r="CM119">
        <f>IF(AND(VLOOKUP(CM$1,main!$A$3:$H$102,7,FALSE)=main!$G$104,VLOOKUP(CM$1,main!$A$3:$H$102,5,FALSE)-VLOOKUP($A119,main!$A$3:$H$102,6,FALSE)&gt;=main!$D$103+VLOOKUP(VLOOKUP(CM$1,main!$A$3:$I$102,7,FALSE),main!$K$26:$Q$29,4,FALSE)),1,0)</f>
        <v>0</v>
      </c>
      <c r="CN119">
        <f>IF(AND(VLOOKUP(CN$1,main!$A$3:$H$102,7,FALSE)=main!$G$104,VLOOKUP(CN$1,main!$A$3:$H$102,5,FALSE)-VLOOKUP($A119,main!$A$3:$H$102,6,FALSE)&gt;=main!$D$103+VLOOKUP(VLOOKUP(CN$1,main!$A$3:$I$102,7,FALSE),main!$K$26:$Q$29,4,FALSE)),1,0)</f>
        <v>0</v>
      </c>
      <c r="CO119">
        <f>IF(AND(VLOOKUP(CO$1,main!$A$3:$H$102,7,FALSE)=main!$G$104,VLOOKUP(CO$1,main!$A$3:$H$102,5,FALSE)-VLOOKUP($A119,main!$A$3:$H$102,6,FALSE)&gt;=main!$D$103+VLOOKUP(VLOOKUP(CO$1,main!$A$3:$I$102,7,FALSE),main!$K$26:$Q$29,4,FALSE)),1,0)</f>
        <v>0</v>
      </c>
      <c r="CP119">
        <f>IF(AND(VLOOKUP(CP$1,main!$A$3:$H$102,7,FALSE)=main!$G$104,VLOOKUP(CP$1,main!$A$3:$H$102,5,FALSE)-VLOOKUP($A119,main!$A$3:$H$102,6,FALSE)&gt;=main!$D$103+VLOOKUP(VLOOKUP(CP$1,main!$A$3:$I$102,7,FALSE),main!$K$26:$Q$29,4,FALSE)),1,0)</f>
        <v>0</v>
      </c>
      <c r="CQ119">
        <f>IF(AND(VLOOKUP(CQ$1,main!$A$3:$H$102,7,FALSE)=main!$G$104,VLOOKUP(CQ$1,main!$A$3:$H$102,5,FALSE)-VLOOKUP($A119,main!$A$3:$H$102,6,FALSE)&gt;=main!$D$103+VLOOKUP(VLOOKUP(CQ$1,main!$A$3:$I$102,7,FALSE),main!$K$26:$Q$29,4,FALSE)),1,0)</f>
        <v>0</v>
      </c>
      <c r="CR119">
        <f>IF(AND(VLOOKUP(CR$1,main!$A$3:$H$102,7,FALSE)=main!$G$104,VLOOKUP(CR$1,main!$A$3:$H$102,5,FALSE)-VLOOKUP($A119,main!$A$3:$H$102,6,FALSE)&gt;=main!$D$103+VLOOKUP(VLOOKUP(CR$1,main!$A$3:$I$102,7,FALSE),main!$K$26:$Q$29,4,FALSE)),1,0)</f>
        <v>0</v>
      </c>
      <c r="CS119">
        <f>IF(AND(VLOOKUP(CS$1,main!$A$3:$H$102,7,FALSE)=main!$G$104,VLOOKUP(CS$1,main!$A$3:$H$102,5,FALSE)-VLOOKUP($A119,main!$A$3:$H$102,6,FALSE)&gt;=main!$D$103+VLOOKUP(VLOOKUP(CS$1,main!$A$3:$I$102,7,FALSE),main!$K$26:$Q$29,4,FALSE)),1,0)</f>
        <v>0</v>
      </c>
      <c r="CT119">
        <f>IF(AND(VLOOKUP(CT$1,main!$A$3:$H$102,7,FALSE)=main!$G$104,VLOOKUP(CT$1,main!$A$3:$H$102,5,FALSE)-VLOOKUP($A119,main!$A$3:$H$102,6,FALSE)&gt;=main!$D$103+VLOOKUP(VLOOKUP(CT$1,main!$A$3:$I$102,7,FALSE),main!$K$26:$Q$29,4,FALSE)),1,0)</f>
        <v>0</v>
      </c>
      <c r="CU119">
        <f>IF(AND(VLOOKUP(CU$1,main!$A$3:$H$102,7,FALSE)=main!$G$104,VLOOKUP(CU$1,main!$A$3:$H$102,5,FALSE)-VLOOKUP($A119,main!$A$3:$H$102,6,FALSE)&gt;=main!$D$103+VLOOKUP(VLOOKUP(CU$1,main!$A$3:$I$102,7,FALSE),main!$K$26:$Q$29,4,FALSE)),1,0)</f>
        <v>0</v>
      </c>
      <c r="CV119">
        <f>IF(AND(VLOOKUP(CV$1,main!$A$3:$H$102,7,FALSE)=main!$G$104,VLOOKUP(CV$1,main!$A$3:$H$102,5,FALSE)-VLOOKUP($A119,main!$A$3:$H$102,6,FALSE)&gt;=main!$D$103+VLOOKUP(VLOOKUP(CV$1,main!$A$3:$I$102,7,FALSE),main!$K$26:$Q$29,4,FALSE)),1,0)</f>
        <v>0</v>
      </c>
      <c r="CW119">
        <f>IF(AND(VLOOKUP(CW$1,main!$A$3:$H$102,7,FALSE)=main!$G$104,VLOOKUP(CW$1,main!$A$3:$H$102,5,FALSE)-VLOOKUP($A119,main!$A$3:$H$102,6,FALSE)&gt;=main!$D$103+VLOOKUP(VLOOKUP(CW$1,main!$A$3:$I$102,7,FALSE),main!$K$26:$Q$29,4,FALSE)),1,0)</f>
        <v>0</v>
      </c>
      <c r="CX119">
        <f>IF(AND(VLOOKUP(CX$1,main!$A$3:$H$102,7,FALSE)=main!$G$104,VLOOKUP(CX$1,main!$A$3:$H$102,5,FALSE)-VLOOKUP($A119,main!$A$3:$H$102,6,FALSE)&gt;=main!$D$103+VLOOKUP(VLOOKUP(CX$1,main!$A$3:$I$102,7,FALSE),main!$K$26:$Q$29,4,FALSE)),1,0)</f>
        <v>0</v>
      </c>
    </row>
    <row r="120" spans="1:102" x14ac:dyDescent="0.25">
      <c r="A120" s="1">
        <v>17</v>
      </c>
      <c r="B120">
        <v>0</v>
      </c>
      <c r="C120">
        <f>IF(AND(VLOOKUP(C$1,main!$A$3:$H$102,7,FALSE)=main!$G$104,VLOOKUP(C$1,main!$A$3:$H$102,5,FALSE)-VLOOKUP($A120,main!$A$3:$H$102,6,FALSE)&gt;=main!$D$103+VLOOKUP(VLOOKUP(C$1,main!$A$3:$I$102,7,FALSE),main!$K$26:$Q$29,4,FALSE)),1,0)</f>
        <v>0</v>
      </c>
      <c r="D120">
        <f>IF(AND(VLOOKUP(D$1,main!$A$3:$H$102,7,FALSE)=main!$G$104,VLOOKUP(D$1,main!$A$3:$H$102,5,FALSE)-VLOOKUP($A120,main!$A$3:$H$102,6,FALSE)&gt;=main!$D$103+VLOOKUP(VLOOKUP(D$1,main!$A$3:$I$102,7,FALSE),main!$K$26:$Q$29,4,FALSE)),1,0)</f>
        <v>0</v>
      </c>
      <c r="E120">
        <f>IF(AND(VLOOKUP(E$1,main!$A$3:$H$102,7,FALSE)=main!$G$104,VLOOKUP(E$1,main!$A$3:$H$102,5,FALSE)-VLOOKUP($A120,main!$A$3:$H$102,6,FALSE)&gt;=main!$D$103+VLOOKUP(VLOOKUP(E$1,main!$A$3:$I$102,7,FALSE),main!$K$26:$Q$29,4,FALSE)),1,0)</f>
        <v>0</v>
      </c>
      <c r="F120">
        <f>IF(AND(VLOOKUP(F$1,main!$A$3:$H$102,7,FALSE)=main!$G$104,VLOOKUP(F$1,main!$A$3:$H$102,5,FALSE)-VLOOKUP($A120,main!$A$3:$H$102,6,FALSE)&gt;=main!$D$103+VLOOKUP(VLOOKUP(F$1,main!$A$3:$I$102,7,FALSE),main!$K$26:$Q$29,4,FALSE)),1,0)</f>
        <v>0</v>
      </c>
      <c r="G120">
        <f>IF(AND(VLOOKUP(G$1,main!$A$3:$H$102,7,FALSE)=main!$G$104,VLOOKUP(G$1,main!$A$3:$H$102,5,FALSE)-VLOOKUP($A120,main!$A$3:$H$102,6,FALSE)&gt;=main!$D$103+VLOOKUP(VLOOKUP(G$1,main!$A$3:$I$102,7,FALSE),main!$K$26:$Q$29,4,FALSE)),1,0)</f>
        <v>0</v>
      </c>
      <c r="H120">
        <f>IF(AND(VLOOKUP(H$1,main!$A$3:$H$102,7,FALSE)=main!$G$104,VLOOKUP(H$1,main!$A$3:$H$102,5,FALSE)-VLOOKUP($A120,main!$A$3:$H$102,6,FALSE)&gt;=main!$D$103+VLOOKUP(VLOOKUP(H$1,main!$A$3:$I$102,7,FALSE),main!$K$26:$Q$29,4,FALSE)),1,0)</f>
        <v>0</v>
      </c>
      <c r="I120">
        <f>IF(AND(VLOOKUP(I$1,main!$A$3:$H$102,7,FALSE)=main!$G$104,VLOOKUP(I$1,main!$A$3:$H$102,5,FALSE)-VLOOKUP($A120,main!$A$3:$H$102,6,FALSE)&gt;=main!$D$103+VLOOKUP(VLOOKUP(I$1,main!$A$3:$I$102,7,FALSE),main!$K$26:$Q$29,4,FALSE)),1,0)</f>
        <v>0</v>
      </c>
      <c r="J120">
        <f>IF(AND(VLOOKUP(J$1,main!$A$3:$H$102,7,FALSE)=main!$G$104,VLOOKUP(J$1,main!$A$3:$H$102,5,FALSE)-VLOOKUP($A120,main!$A$3:$H$102,6,FALSE)&gt;=main!$D$103+VLOOKUP(VLOOKUP(J$1,main!$A$3:$I$102,7,FALSE),main!$K$26:$Q$29,4,FALSE)),1,0)</f>
        <v>0</v>
      </c>
      <c r="K120">
        <f>IF(AND(VLOOKUP(K$1,main!$A$3:$H$102,7,FALSE)=main!$G$104,VLOOKUP(K$1,main!$A$3:$H$102,5,FALSE)-VLOOKUP($A120,main!$A$3:$H$102,6,FALSE)&gt;=main!$D$103+VLOOKUP(VLOOKUP(K$1,main!$A$3:$I$102,7,FALSE),main!$K$26:$Q$29,4,FALSE)),1,0)</f>
        <v>0</v>
      </c>
      <c r="L120">
        <f>IF(AND(VLOOKUP(L$1,main!$A$3:$H$102,7,FALSE)=main!$G$104,VLOOKUP(L$1,main!$A$3:$H$102,5,FALSE)-VLOOKUP($A120,main!$A$3:$H$102,6,FALSE)&gt;=main!$D$103+VLOOKUP(VLOOKUP(L$1,main!$A$3:$I$102,7,FALSE),main!$K$26:$Q$29,4,FALSE)),1,0)</f>
        <v>1</v>
      </c>
      <c r="M120">
        <f>IF(AND(VLOOKUP(M$1,main!$A$3:$H$102,7,FALSE)=main!$G$104,VLOOKUP(M$1,main!$A$3:$H$102,5,FALSE)-VLOOKUP($A120,main!$A$3:$H$102,6,FALSE)&gt;=main!$D$103+VLOOKUP(VLOOKUP(M$1,main!$A$3:$I$102,7,FALSE),main!$K$26:$Q$29,4,FALSE)),1,0)</f>
        <v>0</v>
      </c>
      <c r="N120">
        <f>IF(AND(VLOOKUP(N$1,main!$A$3:$H$102,7,FALSE)=main!$G$104,VLOOKUP(N$1,main!$A$3:$H$102,5,FALSE)-VLOOKUP($A120,main!$A$3:$H$102,6,FALSE)&gt;=main!$D$103+VLOOKUP(VLOOKUP(N$1,main!$A$3:$I$102,7,FALSE),main!$K$26:$Q$29,4,FALSE)),1,0)</f>
        <v>0</v>
      </c>
      <c r="O120">
        <f>IF(AND(VLOOKUP(O$1,main!$A$3:$H$102,7,FALSE)=main!$G$104,VLOOKUP(O$1,main!$A$3:$H$102,5,FALSE)-VLOOKUP($A120,main!$A$3:$H$102,6,FALSE)&gt;=main!$D$103+VLOOKUP(VLOOKUP(O$1,main!$A$3:$I$102,7,FALSE),main!$K$26:$Q$29,4,FALSE)),1,0)</f>
        <v>0</v>
      </c>
      <c r="P120">
        <f>IF(AND(VLOOKUP(P$1,main!$A$3:$H$102,7,FALSE)=main!$G$104,VLOOKUP(P$1,main!$A$3:$H$102,5,FALSE)-VLOOKUP($A120,main!$A$3:$H$102,6,FALSE)&gt;=main!$D$103+VLOOKUP(VLOOKUP(P$1,main!$A$3:$I$102,7,FALSE),main!$K$26:$Q$29,4,FALSE)),1,0)</f>
        <v>0</v>
      </c>
      <c r="Q120">
        <f>IF(AND(VLOOKUP(Q$1,main!$A$3:$H$102,7,FALSE)=main!$G$104,VLOOKUP(Q$1,main!$A$3:$H$102,5,FALSE)-VLOOKUP($A120,main!$A$3:$H$102,6,FALSE)&gt;=main!$D$103+VLOOKUP(VLOOKUP(Q$1,main!$A$3:$I$102,7,FALSE),main!$K$26:$Q$29,4,FALSE)),1,0)</f>
        <v>0</v>
      </c>
      <c r="R120">
        <f>IF(AND(VLOOKUP(R$1,main!$A$3:$H$102,7,FALSE)=main!$G$104,VLOOKUP(R$1,main!$A$3:$H$102,5,FALSE)-VLOOKUP($A120,main!$A$3:$H$102,6,FALSE)&gt;=main!$D$103+VLOOKUP(VLOOKUP(R$1,main!$A$3:$I$102,7,FALSE),main!$K$26:$Q$29,4,FALSE)),1,0)</f>
        <v>0</v>
      </c>
      <c r="S120">
        <f>IF(AND(VLOOKUP(S$1,main!$A$3:$H$102,7,FALSE)=main!$G$104,VLOOKUP(S$1,main!$A$3:$H$102,5,FALSE)-VLOOKUP($A120,main!$A$3:$H$102,6,FALSE)&gt;=main!$D$103+VLOOKUP(VLOOKUP(S$1,main!$A$3:$I$102,7,FALSE),main!$K$26:$Q$29,4,FALSE)),1,0)</f>
        <v>0</v>
      </c>
      <c r="T120">
        <f>IF(AND(VLOOKUP(T$1,main!$A$3:$H$102,7,FALSE)=main!$G$104,VLOOKUP(T$1,main!$A$3:$H$102,5,FALSE)-VLOOKUP($A120,main!$A$3:$H$102,6,FALSE)&gt;=main!$D$103+VLOOKUP(VLOOKUP(T$1,main!$A$3:$I$102,7,FALSE),main!$K$26:$Q$29,4,FALSE)),1,0)</f>
        <v>0</v>
      </c>
      <c r="U120">
        <f>IF(AND(VLOOKUP(U$1,main!$A$3:$H$102,7,FALSE)=main!$G$104,VLOOKUP(U$1,main!$A$3:$H$102,5,FALSE)-VLOOKUP($A120,main!$A$3:$H$102,6,FALSE)&gt;=main!$D$103+VLOOKUP(VLOOKUP(U$1,main!$A$3:$I$102,7,FALSE),main!$K$26:$Q$29,4,FALSE)),1,0)</f>
        <v>1</v>
      </c>
      <c r="V120">
        <f>IF(AND(VLOOKUP(V$1,main!$A$3:$H$102,7,FALSE)=main!$G$104,VLOOKUP(V$1,main!$A$3:$H$102,5,FALSE)-VLOOKUP($A120,main!$A$3:$H$102,6,FALSE)&gt;=main!$D$103+VLOOKUP(VLOOKUP(V$1,main!$A$3:$I$102,7,FALSE),main!$K$26:$Q$29,4,FALSE)),1,0)</f>
        <v>1</v>
      </c>
      <c r="W120">
        <f>IF(AND(VLOOKUP(W$1,main!$A$3:$H$102,7,FALSE)=main!$G$104,VLOOKUP(W$1,main!$A$3:$H$102,5,FALSE)-VLOOKUP($A120,main!$A$3:$H$102,6,FALSE)&gt;=main!$D$103+VLOOKUP(VLOOKUP(W$1,main!$A$3:$I$102,7,FALSE),main!$K$26:$Q$29,4,FALSE)),1,0)</f>
        <v>0</v>
      </c>
      <c r="X120">
        <f>IF(AND(VLOOKUP(X$1,main!$A$3:$H$102,7,FALSE)=main!$G$104,VLOOKUP(X$1,main!$A$3:$H$102,5,FALSE)-VLOOKUP($A120,main!$A$3:$H$102,6,FALSE)&gt;=main!$D$103+VLOOKUP(VLOOKUP(X$1,main!$A$3:$I$102,7,FALSE),main!$K$26:$Q$29,4,FALSE)),1,0)</f>
        <v>0</v>
      </c>
      <c r="Y120">
        <f>IF(AND(VLOOKUP(Y$1,main!$A$3:$H$102,7,FALSE)=main!$G$104,VLOOKUP(Y$1,main!$A$3:$H$102,5,FALSE)-VLOOKUP($A120,main!$A$3:$H$102,6,FALSE)&gt;=main!$D$103+VLOOKUP(VLOOKUP(Y$1,main!$A$3:$I$102,7,FALSE),main!$K$26:$Q$29,4,FALSE)),1,0)</f>
        <v>0</v>
      </c>
      <c r="Z120">
        <f>IF(AND(VLOOKUP(Z$1,main!$A$3:$H$102,7,FALSE)=main!$G$104,VLOOKUP(Z$1,main!$A$3:$H$102,5,FALSE)-VLOOKUP($A120,main!$A$3:$H$102,6,FALSE)&gt;=main!$D$103+VLOOKUP(VLOOKUP(Z$1,main!$A$3:$I$102,7,FALSE),main!$K$26:$Q$29,4,FALSE)),1,0)</f>
        <v>0</v>
      </c>
      <c r="AA120">
        <f>IF(AND(VLOOKUP(AA$1,main!$A$3:$H$102,7,FALSE)=main!$G$104,VLOOKUP(AA$1,main!$A$3:$H$102,5,FALSE)-VLOOKUP($A120,main!$A$3:$H$102,6,FALSE)&gt;=main!$D$103+VLOOKUP(VLOOKUP(AA$1,main!$A$3:$I$102,7,FALSE),main!$K$26:$Q$29,4,FALSE)),1,0)</f>
        <v>1</v>
      </c>
      <c r="AB120">
        <f>IF(AND(VLOOKUP(AB$1,main!$A$3:$H$102,7,FALSE)=main!$G$104,VLOOKUP(AB$1,main!$A$3:$H$102,5,FALSE)-VLOOKUP($A120,main!$A$3:$H$102,6,FALSE)&gt;=main!$D$103+VLOOKUP(VLOOKUP(AB$1,main!$A$3:$I$102,7,FALSE),main!$K$26:$Q$29,4,FALSE)),1,0)</f>
        <v>0</v>
      </c>
      <c r="AC120">
        <f>IF(AND(VLOOKUP(AC$1,main!$A$3:$H$102,7,FALSE)=main!$G$104,VLOOKUP(AC$1,main!$A$3:$H$102,5,FALSE)-VLOOKUP($A120,main!$A$3:$H$102,6,FALSE)&gt;=main!$D$103+VLOOKUP(VLOOKUP(AC$1,main!$A$3:$I$102,7,FALSE),main!$K$26:$Q$29,4,FALSE)),1,0)</f>
        <v>0</v>
      </c>
      <c r="AD120">
        <f>IF(AND(VLOOKUP(AD$1,main!$A$3:$H$102,7,FALSE)=main!$G$104,VLOOKUP(AD$1,main!$A$3:$H$102,5,FALSE)-VLOOKUP($A120,main!$A$3:$H$102,6,FALSE)&gt;=main!$D$103+VLOOKUP(VLOOKUP(AD$1,main!$A$3:$I$102,7,FALSE),main!$K$26:$Q$29,4,FALSE)),1,0)</f>
        <v>0</v>
      </c>
      <c r="AE120">
        <f>IF(AND(VLOOKUP(AE$1,main!$A$3:$H$102,7,FALSE)=main!$G$104,VLOOKUP(AE$1,main!$A$3:$H$102,5,FALSE)-VLOOKUP($A120,main!$A$3:$H$102,6,FALSE)&gt;=main!$D$103+VLOOKUP(VLOOKUP(AE$1,main!$A$3:$I$102,7,FALSE),main!$K$26:$Q$29,4,FALSE)),1,0)</f>
        <v>0</v>
      </c>
      <c r="AF120">
        <f>IF(AND(VLOOKUP(AF$1,main!$A$3:$H$102,7,FALSE)=main!$G$104,VLOOKUP(AF$1,main!$A$3:$H$102,5,FALSE)-VLOOKUP($A120,main!$A$3:$H$102,6,FALSE)&gt;=main!$D$103+VLOOKUP(VLOOKUP(AF$1,main!$A$3:$I$102,7,FALSE),main!$K$26:$Q$29,4,FALSE)),1,0)</f>
        <v>0</v>
      </c>
      <c r="AG120">
        <f>IF(AND(VLOOKUP(AG$1,main!$A$3:$H$102,7,FALSE)=main!$G$104,VLOOKUP(AG$1,main!$A$3:$H$102,5,FALSE)-VLOOKUP($A120,main!$A$3:$H$102,6,FALSE)&gt;=main!$D$103+VLOOKUP(VLOOKUP(AG$1,main!$A$3:$I$102,7,FALSE),main!$K$26:$Q$29,4,FALSE)),1,0)</f>
        <v>0</v>
      </c>
      <c r="AH120">
        <f>IF(AND(VLOOKUP(AH$1,main!$A$3:$H$102,7,FALSE)=main!$G$104,VLOOKUP(AH$1,main!$A$3:$H$102,5,FALSE)-VLOOKUP($A120,main!$A$3:$H$102,6,FALSE)&gt;=main!$D$103+VLOOKUP(VLOOKUP(AH$1,main!$A$3:$I$102,7,FALSE),main!$K$26:$Q$29,4,FALSE)),1,0)</f>
        <v>0</v>
      </c>
      <c r="AI120">
        <f>IF(AND(VLOOKUP(AI$1,main!$A$3:$H$102,7,FALSE)=main!$G$104,VLOOKUP(AI$1,main!$A$3:$H$102,5,FALSE)-VLOOKUP($A120,main!$A$3:$H$102,6,FALSE)&gt;=main!$D$103+VLOOKUP(VLOOKUP(AI$1,main!$A$3:$I$102,7,FALSE),main!$K$26:$Q$29,4,FALSE)),1,0)</f>
        <v>0</v>
      </c>
      <c r="AJ120">
        <f>IF(AND(VLOOKUP(AJ$1,main!$A$3:$H$102,7,FALSE)=main!$G$104,VLOOKUP(AJ$1,main!$A$3:$H$102,5,FALSE)-VLOOKUP($A120,main!$A$3:$H$102,6,FALSE)&gt;=main!$D$103+VLOOKUP(VLOOKUP(AJ$1,main!$A$3:$I$102,7,FALSE),main!$K$26:$Q$29,4,FALSE)),1,0)</f>
        <v>0</v>
      </c>
      <c r="AK120">
        <f>IF(AND(VLOOKUP(AK$1,main!$A$3:$H$102,7,FALSE)=main!$G$104,VLOOKUP(AK$1,main!$A$3:$H$102,5,FALSE)-VLOOKUP($A120,main!$A$3:$H$102,6,FALSE)&gt;=main!$D$103+VLOOKUP(VLOOKUP(AK$1,main!$A$3:$I$102,7,FALSE),main!$K$26:$Q$29,4,FALSE)),1,0)</f>
        <v>0</v>
      </c>
      <c r="AL120">
        <f>IF(AND(VLOOKUP(AL$1,main!$A$3:$H$102,7,FALSE)=main!$G$104,VLOOKUP(AL$1,main!$A$3:$H$102,5,FALSE)-VLOOKUP($A120,main!$A$3:$H$102,6,FALSE)&gt;=main!$D$103+VLOOKUP(VLOOKUP(AL$1,main!$A$3:$I$102,7,FALSE),main!$K$26:$Q$29,4,FALSE)),1,0)</f>
        <v>0</v>
      </c>
      <c r="AM120">
        <f>IF(AND(VLOOKUP(AM$1,main!$A$3:$H$102,7,FALSE)=main!$G$104,VLOOKUP(AM$1,main!$A$3:$H$102,5,FALSE)-VLOOKUP($A120,main!$A$3:$H$102,6,FALSE)&gt;=main!$D$103+VLOOKUP(VLOOKUP(AM$1,main!$A$3:$I$102,7,FALSE),main!$K$26:$Q$29,4,FALSE)),1,0)</f>
        <v>0</v>
      </c>
      <c r="AN120">
        <f>IF(AND(VLOOKUP(AN$1,main!$A$3:$H$102,7,FALSE)=main!$G$104,VLOOKUP(AN$1,main!$A$3:$H$102,5,FALSE)-VLOOKUP($A120,main!$A$3:$H$102,6,FALSE)&gt;=main!$D$103+VLOOKUP(VLOOKUP(AN$1,main!$A$3:$I$102,7,FALSE),main!$K$26:$Q$29,4,FALSE)),1,0)</f>
        <v>0</v>
      </c>
      <c r="AO120">
        <f>IF(AND(VLOOKUP(AO$1,main!$A$3:$H$102,7,FALSE)=main!$G$104,VLOOKUP(AO$1,main!$A$3:$H$102,5,FALSE)-VLOOKUP($A120,main!$A$3:$H$102,6,FALSE)&gt;=main!$D$103+VLOOKUP(VLOOKUP(AO$1,main!$A$3:$I$102,7,FALSE),main!$K$26:$Q$29,4,FALSE)),1,0)</f>
        <v>0</v>
      </c>
      <c r="AP120">
        <f>IF(AND(VLOOKUP(AP$1,main!$A$3:$H$102,7,FALSE)=main!$G$104,VLOOKUP(AP$1,main!$A$3:$H$102,5,FALSE)-VLOOKUP($A120,main!$A$3:$H$102,6,FALSE)&gt;=main!$D$103+VLOOKUP(VLOOKUP(AP$1,main!$A$3:$I$102,7,FALSE),main!$K$26:$Q$29,4,FALSE)),1,0)</f>
        <v>0</v>
      </c>
      <c r="AQ120">
        <f>IF(AND(VLOOKUP(AQ$1,main!$A$3:$H$102,7,FALSE)=main!$G$104,VLOOKUP(AQ$1,main!$A$3:$H$102,5,FALSE)-VLOOKUP($A120,main!$A$3:$H$102,6,FALSE)&gt;=main!$D$103+VLOOKUP(VLOOKUP(AQ$1,main!$A$3:$I$102,7,FALSE),main!$K$26:$Q$29,4,FALSE)),1,0)</f>
        <v>0</v>
      </c>
      <c r="AR120">
        <f>IF(AND(VLOOKUP(AR$1,main!$A$3:$H$102,7,FALSE)=main!$G$104,VLOOKUP(AR$1,main!$A$3:$H$102,5,FALSE)-VLOOKUP($A120,main!$A$3:$H$102,6,FALSE)&gt;=main!$D$103+VLOOKUP(VLOOKUP(AR$1,main!$A$3:$I$102,7,FALSE),main!$K$26:$Q$29,4,FALSE)),1,0)</f>
        <v>0</v>
      </c>
      <c r="AS120">
        <f>IF(AND(VLOOKUP(AS$1,main!$A$3:$H$102,7,FALSE)=main!$G$104,VLOOKUP(AS$1,main!$A$3:$H$102,5,FALSE)-VLOOKUP($A120,main!$A$3:$H$102,6,FALSE)&gt;=main!$D$103+VLOOKUP(VLOOKUP(AS$1,main!$A$3:$I$102,7,FALSE),main!$K$26:$Q$29,4,FALSE)),1,0)</f>
        <v>0</v>
      </c>
      <c r="AT120">
        <f>IF(AND(VLOOKUP(AT$1,main!$A$3:$H$102,7,FALSE)=main!$G$104,VLOOKUP(AT$1,main!$A$3:$H$102,5,FALSE)-VLOOKUP($A120,main!$A$3:$H$102,6,FALSE)&gt;=main!$D$103+VLOOKUP(VLOOKUP(AT$1,main!$A$3:$I$102,7,FALSE),main!$K$26:$Q$29,4,FALSE)),1,0)</f>
        <v>0</v>
      </c>
      <c r="AU120">
        <f>IF(AND(VLOOKUP(AU$1,main!$A$3:$H$102,7,FALSE)=main!$G$104,VLOOKUP(AU$1,main!$A$3:$H$102,5,FALSE)-VLOOKUP($A120,main!$A$3:$H$102,6,FALSE)&gt;=main!$D$103+VLOOKUP(VLOOKUP(AU$1,main!$A$3:$I$102,7,FALSE),main!$K$26:$Q$29,4,FALSE)),1,0)</f>
        <v>0</v>
      </c>
      <c r="AV120">
        <f>IF(AND(VLOOKUP(AV$1,main!$A$3:$H$102,7,FALSE)=main!$G$104,VLOOKUP(AV$1,main!$A$3:$H$102,5,FALSE)-VLOOKUP($A120,main!$A$3:$H$102,6,FALSE)&gt;=main!$D$103+VLOOKUP(VLOOKUP(AV$1,main!$A$3:$I$102,7,FALSE),main!$K$26:$Q$29,4,FALSE)),1,0)</f>
        <v>0</v>
      </c>
      <c r="AW120">
        <f>IF(AND(VLOOKUP(AW$1,main!$A$3:$H$102,7,FALSE)=main!$G$104,VLOOKUP(AW$1,main!$A$3:$H$102,5,FALSE)-VLOOKUP($A120,main!$A$3:$H$102,6,FALSE)&gt;=main!$D$103+VLOOKUP(VLOOKUP(AW$1,main!$A$3:$I$102,7,FALSE),main!$K$26:$Q$29,4,FALSE)),1,0)</f>
        <v>0</v>
      </c>
      <c r="AX120">
        <f>IF(AND(VLOOKUP(AX$1,main!$A$3:$H$102,7,FALSE)=main!$G$104,VLOOKUP(AX$1,main!$A$3:$H$102,5,FALSE)-VLOOKUP($A120,main!$A$3:$H$102,6,FALSE)&gt;=main!$D$103+VLOOKUP(VLOOKUP(AX$1,main!$A$3:$I$102,7,FALSE),main!$K$26:$Q$29,4,FALSE)),1,0)</f>
        <v>0</v>
      </c>
      <c r="AY120">
        <f>IF(AND(VLOOKUP(AY$1,main!$A$3:$H$102,7,FALSE)=main!$G$104,VLOOKUP(AY$1,main!$A$3:$H$102,5,FALSE)-VLOOKUP($A120,main!$A$3:$H$102,6,FALSE)&gt;=main!$D$103+VLOOKUP(VLOOKUP(AY$1,main!$A$3:$I$102,7,FALSE),main!$K$26:$Q$29,4,FALSE)),1,0)</f>
        <v>0</v>
      </c>
      <c r="AZ120">
        <f>IF(AND(VLOOKUP(AZ$1,main!$A$3:$H$102,7,FALSE)=main!$G$104,VLOOKUP(AZ$1,main!$A$3:$H$102,5,FALSE)-VLOOKUP($A120,main!$A$3:$H$102,6,FALSE)&gt;=main!$D$103+VLOOKUP(VLOOKUP(AZ$1,main!$A$3:$I$102,7,FALSE),main!$K$26:$Q$29,4,FALSE)),1,0)</f>
        <v>0</v>
      </c>
      <c r="BA120">
        <f>IF(AND(VLOOKUP(BA$1,main!$A$3:$H$102,7,FALSE)=main!$G$104,VLOOKUP(BA$1,main!$A$3:$H$102,5,FALSE)-VLOOKUP($A120,main!$A$3:$H$102,6,FALSE)&gt;=main!$D$103+VLOOKUP(VLOOKUP(BA$1,main!$A$3:$I$102,7,FALSE),main!$K$26:$Q$29,4,FALSE)),1,0)</f>
        <v>0</v>
      </c>
      <c r="BB120">
        <f>IF(AND(VLOOKUP(BB$1,main!$A$3:$H$102,7,FALSE)=main!$G$104,VLOOKUP(BB$1,main!$A$3:$H$102,5,FALSE)-VLOOKUP($A120,main!$A$3:$H$102,6,FALSE)&gt;=main!$D$103+VLOOKUP(VLOOKUP(BB$1,main!$A$3:$I$102,7,FALSE),main!$K$26:$Q$29,4,FALSE)),1,0)</f>
        <v>0</v>
      </c>
      <c r="BC120">
        <f>IF(AND(VLOOKUP(BC$1,main!$A$3:$H$102,7,FALSE)=main!$G$104,VLOOKUP(BC$1,main!$A$3:$H$102,5,FALSE)-VLOOKUP($A120,main!$A$3:$H$102,6,FALSE)&gt;=main!$D$103+VLOOKUP(VLOOKUP(BC$1,main!$A$3:$I$102,7,FALSE),main!$K$26:$Q$29,4,FALSE)),1,0)</f>
        <v>0</v>
      </c>
      <c r="BD120">
        <f>IF(AND(VLOOKUP(BD$1,main!$A$3:$H$102,7,FALSE)=main!$G$104,VLOOKUP(BD$1,main!$A$3:$H$102,5,FALSE)-VLOOKUP($A120,main!$A$3:$H$102,6,FALSE)&gt;=main!$D$103+VLOOKUP(VLOOKUP(BD$1,main!$A$3:$I$102,7,FALSE),main!$K$26:$Q$29,4,FALSE)),1,0)</f>
        <v>0</v>
      </c>
      <c r="BE120">
        <f>IF(AND(VLOOKUP(BE$1,main!$A$3:$H$102,7,FALSE)=main!$G$104,VLOOKUP(BE$1,main!$A$3:$H$102,5,FALSE)-VLOOKUP($A120,main!$A$3:$H$102,6,FALSE)&gt;=main!$D$103+VLOOKUP(VLOOKUP(BE$1,main!$A$3:$I$102,7,FALSE),main!$K$26:$Q$29,4,FALSE)),1,0)</f>
        <v>0</v>
      </c>
      <c r="BF120">
        <f>IF(AND(VLOOKUP(BF$1,main!$A$3:$H$102,7,FALSE)=main!$G$104,VLOOKUP(BF$1,main!$A$3:$H$102,5,FALSE)-VLOOKUP($A120,main!$A$3:$H$102,6,FALSE)&gt;=main!$D$103+VLOOKUP(VLOOKUP(BF$1,main!$A$3:$I$102,7,FALSE),main!$K$26:$Q$29,4,FALSE)),1,0)</f>
        <v>0</v>
      </c>
      <c r="BG120">
        <f>IF(AND(VLOOKUP(BG$1,main!$A$3:$H$102,7,FALSE)=main!$G$104,VLOOKUP(BG$1,main!$A$3:$H$102,5,FALSE)-VLOOKUP($A120,main!$A$3:$H$102,6,FALSE)&gt;=main!$D$103+VLOOKUP(VLOOKUP(BG$1,main!$A$3:$I$102,7,FALSE),main!$K$26:$Q$29,4,FALSE)),1,0)</f>
        <v>0</v>
      </c>
      <c r="BH120">
        <f>IF(AND(VLOOKUP(BH$1,main!$A$3:$H$102,7,FALSE)=main!$G$104,VLOOKUP(BH$1,main!$A$3:$H$102,5,FALSE)-VLOOKUP($A120,main!$A$3:$H$102,6,FALSE)&gt;=main!$D$103+VLOOKUP(VLOOKUP(BH$1,main!$A$3:$I$102,7,FALSE),main!$K$26:$Q$29,4,FALSE)),1,0)</f>
        <v>0</v>
      </c>
      <c r="BI120">
        <f>IF(AND(VLOOKUP(BI$1,main!$A$3:$H$102,7,FALSE)=main!$G$104,VLOOKUP(BI$1,main!$A$3:$H$102,5,FALSE)-VLOOKUP($A120,main!$A$3:$H$102,6,FALSE)&gt;=main!$D$103+VLOOKUP(VLOOKUP(BI$1,main!$A$3:$I$102,7,FALSE),main!$K$26:$Q$29,4,FALSE)),1,0)</f>
        <v>0</v>
      </c>
      <c r="BJ120">
        <f>IF(AND(VLOOKUP(BJ$1,main!$A$3:$H$102,7,FALSE)=main!$G$104,VLOOKUP(BJ$1,main!$A$3:$H$102,5,FALSE)-VLOOKUP($A120,main!$A$3:$H$102,6,FALSE)&gt;=main!$D$103+VLOOKUP(VLOOKUP(BJ$1,main!$A$3:$I$102,7,FALSE),main!$K$26:$Q$29,4,FALSE)),1,0)</f>
        <v>0</v>
      </c>
      <c r="BK120">
        <f>IF(AND(VLOOKUP(BK$1,main!$A$3:$H$102,7,FALSE)=main!$G$104,VLOOKUP(BK$1,main!$A$3:$H$102,5,FALSE)-VLOOKUP($A120,main!$A$3:$H$102,6,FALSE)&gt;=main!$D$103+VLOOKUP(VLOOKUP(BK$1,main!$A$3:$I$102,7,FALSE),main!$K$26:$Q$29,4,FALSE)),1,0)</f>
        <v>0</v>
      </c>
      <c r="BL120">
        <f>IF(AND(VLOOKUP(BL$1,main!$A$3:$H$102,7,FALSE)=main!$G$104,VLOOKUP(BL$1,main!$A$3:$H$102,5,FALSE)-VLOOKUP($A120,main!$A$3:$H$102,6,FALSE)&gt;=main!$D$103+VLOOKUP(VLOOKUP(BL$1,main!$A$3:$I$102,7,FALSE),main!$K$26:$Q$29,4,FALSE)),1,0)</f>
        <v>0</v>
      </c>
      <c r="BM120">
        <f>IF(AND(VLOOKUP(BM$1,main!$A$3:$H$102,7,FALSE)=main!$G$104,VLOOKUP(BM$1,main!$A$3:$H$102,5,FALSE)-VLOOKUP($A120,main!$A$3:$H$102,6,FALSE)&gt;=main!$D$103+VLOOKUP(VLOOKUP(BM$1,main!$A$3:$I$102,7,FALSE),main!$K$26:$Q$29,4,FALSE)),1,0)</f>
        <v>0</v>
      </c>
      <c r="BN120">
        <f>IF(AND(VLOOKUP(BN$1,main!$A$3:$H$102,7,FALSE)=main!$G$104,VLOOKUP(BN$1,main!$A$3:$H$102,5,FALSE)-VLOOKUP($A120,main!$A$3:$H$102,6,FALSE)&gt;=main!$D$103+VLOOKUP(VLOOKUP(BN$1,main!$A$3:$I$102,7,FALSE),main!$K$26:$Q$29,4,FALSE)),1,0)</f>
        <v>0</v>
      </c>
      <c r="BO120">
        <f>IF(AND(VLOOKUP(BO$1,main!$A$3:$H$102,7,FALSE)=main!$G$104,VLOOKUP(BO$1,main!$A$3:$H$102,5,FALSE)-VLOOKUP($A120,main!$A$3:$H$102,6,FALSE)&gt;=main!$D$103+VLOOKUP(VLOOKUP(BO$1,main!$A$3:$I$102,7,FALSE),main!$K$26:$Q$29,4,FALSE)),1,0)</f>
        <v>0</v>
      </c>
      <c r="BP120">
        <f>IF(AND(VLOOKUP(BP$1,main!$A$3:$H$102,7,FALSE)=main!$G$104,VLOOKUP(BP$1,main!$A$3:$H$102,5,FALSE)-VLOOKUP($A120,main!$A$3:$H$102,6,FALSE)&gt;=main!$D$103+VLOOKUP(VLOOKUP(BP$1,main!$A$3:$I$102,7,FALSE),main!$K$26:$Q$29,4,FALSE)),1,0)</f>
        <v>0</v>
      </c>
      <c r="BQ120">
        <f>IF(AND(VLOOKUP(BQ$1,main!$A$3:$H$102,7,FALSE)=main!$G$104,VLOOKUP(BQ$1,main!$A$3:$H$102,5,FALSE)-VLOOKUP($A120,main!$A$3:$H$102,6,FALSE)&gt;=main!$D$103+VLOOKUP(VLOOKUP(BQ$1,main!$A$3:$I$102,7,FALSE),main!$K$26:$Q$29,4,FALSE)),1,0)</f>
        <v>0</v>
      </c>
      <c r="BR120">
        <f>IF(AND(VLOOKUP(BR$1,main!$A$3:$H$102,7,FALSE)=main!$G$104,VLOOKUP(BR$1,main!$A$3:$H$102,5,FALSE)-VLOOKUP($A120,main!$A$3:$H$102,6,FALSE)&gt;=main!$D$103+VLOOKUP(VLOOKUP(BR$1,main!$A$3:$I$102,7,FALSE),main!$K$26:$Q$29,4,FALSE)),1,0)</f>
        <v>0</v>
      </c>
      <c r="BS120">
        <f>IF(AND(VLOOKUP(BS$1,main!$A$3:$H$102,7,FALSE)=main!$G$104,VLOOKUP(BS$1,main!$A$3:$H$102,5,FALSE)-VLOOKUP($A120,main!$A$3:$H$102,6,FALSE)&gt;=main!$D$103+VLOOKUP(VLOOKUP(BS$1,main!$A$3:$I$102,7,FALSE),main!$K$26:$Q$29,4,FALSE)),1,0)</f>
        <v>0</v>
      </c>
      <c r="BT120">
        <f>IF(AND(VLOOKUP(BT$1,main!$A$3:$H$102,7,FALSE)=main!$G$104,VLOOKUP(BT$1,main!$A$3:$H$102,5,FALSE)-VLOOKUP($A120,main!$A$3:$H$102,6,FALSE)&gt;=main!$D$103+VLOOKUP(VLOOKUP(BT$1,main!$A$3:$I$102,7,FALSE),main!$K$26:$Q$29,4,FALSE)),1,0)</f>
        <v>0</v>
      </c>
      <c r="BU120">
        <f>IF(AND(VLOOKUP(BU$1,main!$A$3:$H$102,7,FALSE)=main!$G$104,VLOOKUP(BU$1,main!$A$3:$H$102,5,FALSE)-VLOOKUP($A120,main!$A$3:$H$102,6,FALSE)&gt;=main!$D$103+VLOOKUP(VLOOKUP(BU$1,main!$A$3:$I$102,7,FALSE),main!$K$26:$Q$29,4,FALSE)),1,0)</f>
        <v>0</v>
      </c>
      <c r="BV120">
        <f>IF(AND(VLOOKUP(BV$1,main!$A$3:$H$102,7,FALSE)=main!$G$104,VLOOKUP(BV$1,main!$A$3:$H$102,5,FALSE)-VLOOKUP($A120,main!$A$3:$H$102,6,FALSE)&gt;=main!$D$103+VLOOKUP(VLOOKUP(BV$1,main!$A$3:$I$102,7,FALSE),main!$K$26:$Q$29,4,FALSE)),1,0)</f>
        <v>0</v>
      </c>
      <c r="BW120">
        <f>IF(AND(VLOOKUP(BW$1,main!$A$3:$H$102,7,FALSE)=main!$G$104,VLOOKUP(BW$1,main!$A$3:$H$102,5,FALSE)-VLOOKUP($A120,main!$A$3:$H$102,6,FALSE)&gt;=main!$D$103+VLOOKUP(VLOOKUP(BW$1,main!$A$3:$I$102,7,FALSE),main!$K$26:$Q$29,4,FALSE)),1,0)</f>
        <v>0</v>
      </c>
      <c r="BX120">
        <f>IF(AND(VLOOKUP(BX$1,main!$A$3:$H$102,7,FALSE)=main!$G$104,VLOOKUP(BX$1,main!$A$3:$H$102,5,FALSE)-VLOOKUP($A120,main!$A$3:$H$102,6,FALSE)&gt;=main!$D$103+VLOOKUP(VLOOKUP(BX$1,main!$A$3:$I$102,7,FALSE),main!$K$26:$Q$29,4,FALSE)),1,0)</f>
        <v>0</v>
      </c>
      <c r="BY120">
        <f>IF(AND(VLOOKUP(BY$1,main!$A$3:$H$102,7,FALSE)=main!$G$104,VLOOKUP(BY$1,main!$A$3:$H$102,5,FALSE)-VLOOKUP($A120,main!$A$3:$H$102,6,FALSE)&gt;=main!$D$103+VLOOKUP(VLOOKUP(BY$1,main!$A$3:$I$102,7,FALSE),main!$K$26:$Q$29,4,FALSE)),1,0)</f>
        <v>0</v>
      </c>
      <c r="BZ120">
        <f>IF(AND(VLOOKUP(BZ$1,main!$A$3:$H$102,7,FALSE)=main!$G$104,VLOOKUP(BZ$1,main!$A$3:$H$102,5,FALSE)-VLOOKUP($A120,main!$A$3:$H$102,6,FALSE)&gt;=main!$D$103+VLOOKUP(VLOOKUP(BZ$1,main!$A$3:$I$102,7,FALSE),main!$K$26:$Q$29,4,FALSE)),1,0)</f>
        <v>0</v>
      </c>
      <c r="CA120">
        <f>IF(AND(VLOOKUP(CA$1,main!$A$3:$H$102,7,FALSE)=main!$G$104,VLOOKUP(CA$1,main!$A$3:$H$102,5,FALSE)-VLOOKUP($A120,main!$A$3:$H$102,6,FALSE)&gt;=main!$D$103+VLOOKUP(VLOOKUP(CA$1,main!$A$3:$I$102,7,FALSE),main!$K$26:$Q$29,4,FALSE)),1,0)</f>
        <v>0</v>
      </c>
      <c r="CB120">
        <f>IF(AND(VLOOKUP(CB$1,main!$A$3:$H$102,7,FALSE)=main!$G$104,VLOOKUP(CB$1,main!$A$3:$H$102,5,FALSE)-VLOOKUP($A120,main!$A$3:$H$102,6,FALSE)&gt;=main!$D$103+VLOOKUP(VLOOKUP(CB$1,main!$A$3:$I$102,7,FALSE),main!$K$26:$Q$29,4,FALSE)),1,0)</f>
        <v>0</v>
      </c>
      <c r="CC120">
        <f>IF(AND(VLOOKUP(CC$1,main!$A$3:$H$102,7,FALSE)=main!$G$104,VLOOKUP(CC$1,main!$A$3:$H$102,5,FALSE)-VLOOKUP($A120,main!$A$3:$H$102,6,FALSE)&gt;=main!$D$103+VLOOKUP(VLOOKUP(CC$1,main!$A$3:$I$102,7,FALSE),main!$K$26:$Q$29,4,FALSE)),1,0)</f>
        <v>0</v>
      </c>
      <c r="CD120">
        <f>IF(AND(VLOOKUP(CD$1,main!$A$3:$H$102,7,FALSE)=main!$G$104,VLOOKUP(CD$1,main!$A$3:$H$102,5,FALSE)-VLOOKUP($A120,main!$A$3:$H$102,6,FALSE)&gt;=main!$D$103+VLOOKUP(VLOOKUP(CD$1,main!$A$3:$I$102,7,FALSE),main!$K$26:$Q$29,4,FALSE)),1,0)</f>
        <v>0</v>
      </c>
      <c r="CE120">
        <f>IF(AND(VLOOKUP(CE$1,main!$A$3:$H$102,7,FALSE)=main!$G$104,VLOOKUP(CE$1,main!$A$3:$H$102,5,FALSE)-VLOOKUP($A120,main!$A$3:$H$102,6,FALSE)&gt;=main!$D$103+VLOOKUP(VLOOKUP(CE$1,main!$A$3:$I$102,7,FALSE),main!$K$26:$Q$29,4,FALSE)),1,0)</f>
        <v>0</v>
      </c>
      <c r="CF120">
        <f>IF(AND(VLOOKUP(CF$1,main!$A$3:$H$102,7,FALSE)=main!$G$104,VLOOKUP(CF$1,main!$A$3:$H$102,5,FALSE)-VLOOKUP($A120,main!$A$3:$H$102,6,FALSE)&gt;=main!$D$103+VLOOKUP(VLOOKUP(CF$1,main!$A$3:$I$102,7,FALSE),main!$K$26:$Q$29,4,FALSE)),1,0)</f>
        <v>0</v>
      </c>
      <c r="CG120">
        <f>IF(AND(VLOOKUP(CG$1,main!$A$3:$H$102,7,FALSE)=main!$G$104,VLOOKUP(CG$1,main!$A$3:$H$102,5,FALSE)-VLOOKUP($A120,main!$A$3:$H$102,6,FALSE)&gt;=main!$D$103+VLOOKUP(VLOOKUP(CG$1,main!$A$3:$I$102,7,FALSE),main!$K$26:$Q$29,4,FALSE)),1,0)</f>
        <v>0</v>
      </c>
      <c r="CH120">
        <f>IF(AND(VLOOKUP(CH$1,main!$A$3:$H$102,7,FALSE)=main!$G$104,VLOOKUP(CH$1,main!$A$3:$H$102,5,FALSE)-VLOOKUP($A120,main!$A$3:$H$102,6,FALSE)&gt;=main!$D$103+VLOOKUP(VLOOKUP(CH$1,main!$A$3:$I$102,7,FALSE),main!$K$26:$Q$29,4,FALSE)),1,0)</f>
        <v>0</v>
      </c>
      <c r="CI120">
        <f>IF(AND(VLOOKUP(CI$1,main!$A$3:$H$102,7,FALSE)=main!$G$104,VLOOKUP(CI$1,main!$A$3:$H$102,5,FALSE)-VLOOKUP($A120,main!$A$3:$H$102,6,FALSE)&gt;=main!$D$103+VLOOKUP(VLOOKUP(CI$1,main!$A$3:$I$102,7,FALSE),main!$K$26:$Q$29,4,FALSE)),1,0)</f>
        <v>0</v>
      </c>
      <c r="CJ120">
        <f>IF(AND(VLOOKUP(CJ$1,main!$A$3:$H$102,7,FALSE)=main!$G$104,VLOOKUP(CJ$1,main!$A$3:$H$102,5,FALSE)-VLOOKUP($A120,main!$A$3:$H$102,6,FALSE)&gt;=main!$D$103+VLOOKUP(VLOOKUP(CJ$1,main!$A$3:$I$102,7,FALSE),main!$K$26:$Q$29,4,FALSE)),1,0)</f>
        <v>0</v>
      </c>
      <c r="CK120">
        <f>IF(AND(VLOOKUP(CK$1,main!$A$3:$H$102,7,FALSE)=main!$G$104,VLOOKUP(CK$1,main!$A$3:$H$102,5,FALSE)-VLOOKUP($A120,main!$A$3:$H$102,6,FALSE)&gt;=main!$D$103+VLOOKUP(VLOOKUP(CK$1,main!$A$3:$I$102,7,FALSE),main!$K$26:$Q$29,4,FALSE)),1,0)</f>
        <v>0</v>
      </c>
      <c r="CL120">
        <f>IF(AND(VLOOKUP(CL$1,main!$A$3:$H$102,7,FALSE)=main!$G$104,VLOOKUP(CL$1,main!$A$3:$H$102,5,FALSE)-VLOOKUP($A120,main!$A$3:$H$102,6,FALSE)&gt;=main!$D$103+VLOOKUP(VLOOKUP(CL$1,main!$A$3:$I$102,7,FALSE),main!$K$26:$Q$29,4,FALSE)),1,0)</f>
        <v>0</v>
      </c>
      <c r="CM120">
        <f>IF(AND(VLOOKUP(CM$1,main!$A$3:$H$102,7,FALSE)=main!$G$104,VLOOKUP(CM$1,main!$A$3:$H$102,5,FALSE)-VLOOKUP($A120,main!$A$3:$H$102,6,FALSE)&gt;=main!$D$103+VLOOKUP(VLOOKUP(CM$1,main!$A$3:$I$102,7,FALSE),main!$K$26:$Q$29,4,FALSE)),1,0)</f>
        <v>0</v>
      </c>
      <c r="CN120">
        <f>IF(AND(VLOOKUP(CN$1,main!$A$3:$H$102,7,FALSE)=main!$G$104,VLOOKUP(CN$1,main!$A$3:$H$102,5,FALSE)-VLOOKUP($A120,main!$A$3:$H$102,6,FALSE)&gt;=main!$D$103+VLOOKUP(VLOOKUP(CN$1,main!$A$3:$I$102,7,FALSE),main!$K$26:$Q$29,4,FALSE)),1,0)</f>
        <v>0</v>
      </c>
      <c r="CO120">
        <f>IF(AND(VLOOKUP(CO$1,main!$A$3:$H$102,7,FALSE)=main!$G$104,VLOOKUP(CO$1,main!$A$3:$H$102,5,FALSE)-VLOOKUP($A120,main!$A$3:$H$102,6,FALSE)&gt;=main!$D$103+VLOOKUP(VLOOKUP(CO$1,main!$A$3:$I$102,7,FALSE),main!$K$26:$Q$29,4,FALSE)),1,0)</f>
        <v>0</v>
      </c>
      <c r="CP120">
        <f>IF(AND(VLOOKUP(CP$1,main!$A$3:$H$102,7,FALSE)=main!$G$104,VLOOKUP(CP$1,main!$A$3:$H$102,5,FALSE)-VLOOKUP($A120,main!$A$3:$H$102,6,FALSE)&gt;=main!$D$103+VLOOKUP(VLOOKUP(CP$1,main!$A$3:$I$102,7,FALSE),main!$K$26:$Q$29,4,FALSE)),1,0)</f>
        <v>0</v>
      </c>
      <c r="CQ120">
        <f>IF(AND(VLOOKUP(CQ$1,main!$A$3:$H$102,7,FALSE)=main!$G$104,VLOOKUP(CQ$1,main!$A$3:$H$102,5,FALSE)-VLOOKUP($A120,main!$A$3:$H$102,6,FALSE)&gt;=main!$D$103+VLOOKUP(VLOOKUP(CQ$1,main!$A$3:$I$102,7,FALSE),main!$K$26:$Q$29,4,FALSE)),1,0)</f>
        <v>0</v>
      </c>
      <c r="CR120">
        <f>IF(AND(VLOOKUP(CR$1,main!$A$3:$H$102,7,FALSE)=main!$G$104,VLOOKUP(CR$1,main!$A$3:$H$102,5,FALSE)-VLOOKUP($A120,main!$A$3:$H$102,6,FALSE)&gt;=main!$D$103+VLOOKUP(VLOOKUP(CR$1,main!$A$3:$I$102,7,FALSE),main!$K$26:$Q$29,4,FALSE)),1,0)</f>
        <v>0</v>
      </c>
      <c r="CS120">
        <f>IF(AND(VLOOKUP(CS$1,main!$A$3:$H$102,7,FALSE)=main!$G$104,VLOOKUP(CS$1,main!$A$3:$H$102,5,FALSE)-VLOOKUP($A120,main!$A$3:$H$102,6,FALSE)&gt;=main!$D$103+VLOOKUP(VLOOKUP(CS$1,main!$A$3:$I$102,7,FALSE),main!$K$26:$Q$29,4,FALSE)),1,0)</f>
        <v>0</v>
      </c>
      <c r="CT120">
        <f>IF(AND(VLOOKUP(CT$1,main!$A$3:$H$102,7,FALSE)=main!$G$104,VLOOKUP(CT$1,main!$A$3:$H$102,5,FALSE)-VLOOKUP($A120,main!$A$3:$H$102,6,FALSE)&gt;=main!$D$103+VLOOKUP(VLOOKUP(CT$1,main!$A$3:$I$102,7,FALSE),main!$K$26:$Q$29,4,FALSE)),1,0)</f>
        <v>0</v>
      </c>
      <c r="CU120">
        <f>IF(AND(VLOOKUP(CU$1,main!$A$3:$H$102,7,FALSE)=main!$G$104,VLOOKUP(CU$1,main!$A$3:$H$102,5,FALSE)-VLOOKUP($A120,main!$A$3:$H$102,6,FALSE)&gt;=main!$D$103+VLOOKUP(VLOOKUP(CU$1,main!$A$3:$I$102,7,FALSE),main!$K$26:$Q$29,4,FALSE)),1,0)</f>
        <v>0</v>
      </c>
      <c r="CV120">
        <f>IF(AND(VLOOKUP(CV$1,main!$A$3:$H$102,7,FALSE)=main!$G$104,VLOOKUP(CV$1,main!$A$3:$H$102,5,FALSE)-VLOOKUP($A120,main!$A$3:$H$102,6,FALSE)&gt;=main!$D$103+VLOOKUP(VLOOKUP(CV$1,main!$A$3:$I$102,7,FALSE),main!$K$26:$Q$29,4,FALSE)),1,0)</f>
        <v>0</v>
      </c>
      <c r="CW120">
        <f>IF(AND(VLOOKUP(CW$1,main!$A$3:$H$102,7,FALSE)=main!$G$104,VLOOKUP(CW$1,main!$A$3:$H$102,5,FALSE)-VLOOKUP($A120,main!$A$3:$H$102,6,FALSE)&gt;=main!$D$103+VLOOKUP(VLOOKUP(CW$1,main!$A$3:$I$102,7,FALSE),main!$K$26:$Q$29,4,FALSE)),1,0)</f>
        <v>0</v>
      </c>
      <c r="CX120">
        <f>IF(AND(VLOOKUP(CX$1,main!$A$3:$H$102,7,FALSE)=main!$G$104,VLOOKUP(CX$1,main!$A$3:$H$102,5,FALSE)-VLOOKUP($A120,main!$A$3:$H$102,6,FALSE)&gt;=main!$D$103+VLOOKUP(VLOOKUP(CX$1,main!$A$3:$I$102,7,FALSE),main!$K$26:$Q$29,4,FALSE)),1,0)</f>
        <v>0</v>
      </c>
    </row>
    <row r="121" spans="1:102" x14ac:dyDescent="0.25">
      <c r="A121" s="1">
        <v>18</v>
      </c>
      <c r="B121">
        <v>0</v>
      </c>
      <c r="C121">
        <f>IF(AND(VLOOKUP(C$1,main!$A$3:$H$102,7,FALSE)=main!$G$104,VLOOKUP(C$1,main!$A$3:$H$102,5,FALSE)-VLOOKUP($A121,main!$A$3:$H$102,6,FALSE)&gt;=main!$D$103+VLOOKUP(VLOOKUP(C$1,main!$A$3:$I$102,7,FALSE),main!$K$26:$Q$29,4,FALSE)),1,0)</f>
        <v>0</v>
      </c>
      <c r="D121">
        <f>IF(AND(VLOOKUP(D$1,main!$A$3:$H$102,7,FALSE)=main!$G$104,VLOOKUP(D$1,main!$A$3:$H$102,5,FALSE)-VLOOKUP($A121,main!$A$3:$H$102,6,FALSE)&gt;=main!$D$103+VLOOKUP(VLOOKUP(D$1,main!$A$3:$I$102,7,FALSE),main!$K$26:$Q$29,4,FALSE)),1,0)</f>
        <v>0</v>
      </c>
      <c r="E121">
        <f>IF(AND(VLOOKUP(E$1,main!$A$3:$H$102,7,FALSE)=main!$G$104,VLOOKUP(E$1,main!$A$3:$H$102,5,FALSE)-VLOOKUP($A121,main!$A$3:$H$102,6,FALSE)&gt;=main!$D$103+VLOOKUP(VLOOKUP(E$1,main!$A$3:$I$102,7,FALSE),main!$K$26:$Q$29,4,FALSE)),1,0)</f>
        <v>0</v>
      </c>
      <c r="F121">
        <f>IF(AND(VLOOKUP(F$1,main!$A$3:$H$102,7,FALSE)=main!$G$104,VLOOKUP(F$1,main!$A$3:$H$102,5,FALSE)-VLOOKUP($A121,main!$A$3:$H$102,6,FALSE)&gt;=main!$D$103+VLOOKUP(VLOOKUP(F$1,main!$A$3:$I$102,7,FALSE),main!$K$26:$Q$29,4,FALSE)),1,0)</f>
        <v>0</v>
      </c>
      <c r="G121">
        <f>IF(AND(VLOOKUP(G$1,main!$A$3:$H$102,7,FALSE)=main!$G$104,VLOOKUP(G$1,main!$A$3:$H$102,5,FALSE)-VLOOKUP($A121,main!$A$3:$H$102,6,FALSE)&gt;=main!$D$103+VLOOKUP(VLOOKUP(G$1,main!$A$3:$I$102,7,FALSE),main!$K$26:$Q$29,4,FALSE)),1,0)</f>
        <v>0</v>
      </c>
      <c r="H121">
        <f>IF(AND(VLOOKUP(H$1,main!$A$3:$H$102,7,FALSE)=main!$G$104,VLOOKUP(H$1,main!$A$3:$H$102,5,FALSE)-VLOOKUP($A121,main!$A$3:$H$102,6,FALSE)&gt;=main!$D$103+VLOOKUP(VLOOKUP(H$1,main!$A$3:$I$102,7,FALSE),main!$K$26:$Q$29,4,FALSE)),1,0)</f>
        <v>0</v>
      </c>
      <c r="I121">
        <f>IF(AND(VLOOKUP(I$1,main!$A$3:$H$102,7,FALSE)=main!$G$104,VLOOKUP(I$1,main!$A$3:$H$102,5,FALSE)-VLOOKUP($A121,main!$A$3:$H$102,6,FALSE)&gt;=main!$D$103+VLOOKUP(VLOOKUP(I$1,main!$A$3:$I$102,7,FALSE),main!$K$26:$Q$29,4,FALSE)),1,0)</f>
        <v>0</v>
      </c>
      <c r="J121">
        <f>IF(AND(VLOOKUP(J$1,main!$A$3:$H$102,7,FALSE)=main!$G$104,VLOOKUP(J$1,main!$A$3:$H$102,5,FALSE)-VLOOKUP($A121,main!$A$3:$H$102,6,FALSE)&gt;=main!$D$103+VLOOKUP(VLOOKUP(J$1,main!$A$3:$I$102,7,FALSE),main!$K$26:$Q$29,4,FALSE)),1,0)</f>
        <v>0</v>
      </c>
      <c r="K121">
        <f>IF(AND(VLOOKUP(K$1,main!$A$3:$H$102,7,FALSE)=main!$G$104,VLOOKUP(K$1,main!$A$3:$H$102,5,FALSE)-VLOOKUP($A121,main!$A$3:$H$102,6,FALSE)&gt;=main!$D$103+VLOOKUP(VLOOKUP(K$1,main!$A$3:$I$102,7,FALSE),main!$K$26:$Q$29,4,FALSE)),1,0)</f>
        <v>0</v>
      </c>
      <c r="L121">
        <f>IF(AND(VLOOKUP(L$1,main!$A$3:$H$102,7,FALSE)=main!$G$104,VLOOKUP(L$1,main!$A$3:$H$102,5,FALSE)-VLOOKUP($A121,main!$A$3:$H$102,6,FALSE)&gt;=main!$D$103+VLOOKUP(VLOOKUP(L$1,main!$A$3:$I$102,7,FALSE),main!$K$26:$Q$29,4,FALSE)),1,0)</f>
        <v>0</v>
      </c>
      <c r="M121">
        <f>IF(AND(VLOOKUP(M$1,main!$A$3:$H$102,7,FALSE)=main!$G$104,VLOOKUP(M$1,main!$A$3:$H$102,5,FALSE)-VLOOKUP($A121,main!$A$3:$H$102,6,FALSE)&gt;=main!$D$103+VLOOKUP(VLOOKUP(M$1,main!$A$3:$I$102,7,FALSE),main!$K$26:$Q$29,4,FALSE)),1,0)</f>
        <v>0</v>
      </c>
      <c r="N121">
        <f>IF(AND(VLOOKUP(N$1,main!$A$3:$H$102,7,FALSE)=main!$G$104,VLOOKUP(N$1,main!$A$3:$H$102,5,FALSE)-VLOOKUP($A121,main!$A$3:$H$102,6,FALSE)&gt;=main!$D$103+VLOOKUP(VLOOKUP(N$1,main!$A$3:$I$102,7,FALSE),main!$K$26:$Q$29,4,FALSE)),1,0)</f>
        <v>0</v>
      </c>
      <c r="O121">
        <f>IF(AND(VLOOKUP(O$1,main!$A$3:$H$102,7,FALSE)=main!$G$104,VLOOKUP(O$1,main!$A$3:$H$102,5,FALSE)-VLOOKUP($A121,main!$A$3:$H$102,6,FALSE)&gt;=main!$D$103+VLOOKUP(VLOOKUP(O$1,main!$A$3:$I$102,7,FALSE),main!$K$26:$Q$29,4,FALSE)),1,0)</f>
        <v>0</v>
      </c>
      <c r="P121">
        <f>IF(AND(VLOOKUP(P$1,main!$A$3:$H$102,7,FALSE)=main!$G$104,VLOOKUP(P$1,main!$A$3:$H$102,5,FALSE)-VLOOKUP($A121,main!$A$3:$H$102,6,FALSE)&gt;=main!$D$103+VLOOKUP(VLOOKUP(P$1,main!$A$3:$I$102,7,FALSE),main!$K$26:$Q$29,4,FALSE)),1,0)</f>
        <v>0</v>
      </c>
      <c r="Q121">
        <f>IF(AND(VLOOKUP(Q$1,main!$A$3:$H$102,7,FALSE)=main!$G$104,VLOOKUP(Q$1,main!$A$3:$H$102,5,FALSE)-VLOOKUP($A121,main!$A$3:$H$102,6,FALSE)&gt;=main!$D$103+VLOOKUP(VLOOKUP(Q$1,main!$A$3:$I$102,7,FALSE),main!$K$26:$Q$29,4,FALSE)),1,0)</f>
        <v>0</v>
      </c>
      <c r="R121">
        <f>IF(AND(VLOOKUP(R$1,main!$A$3:$H$102,7,FALSE)=main!$G$104,VLOOKUP(R$1,main!$A$3:$H$102,5,FALSE)-VLOOKUP($A121,main!$A$3:$H$102,6,FALSE)&gt;=main!$D$103+VLOOKUP(VLOOKUP(R$1,main!$A$3:$I$102,7,FALSE),main!$K$26:$Q$29,4,FALSE)),1,0)</f>
        <v>0</v>
      </c>
      <c r="S121">
        <f>IF(AND(VLOOKUP(S$1,main!$A$3:$H$102,7,FALSE)=main!$G$104,VLOOKUP(S$1,main!$A$3:$H$102,5,FALSE)-VLOOKUP($A121,main!$A$3:$H$102,6,FALSE)&gt;=main!$D$103+VLOOKUP(VLOOKUP(S$1,main!$A$3:$I$102,7,FALSE),main!$K$26:$Q$29,4,FALSE)),1,0)</f>
        <v>0</v>
      </c>
      <c r="T121">
        <f>IF(AND(VLOOKUP(T$1,main!$A$3:$H$102,7,FALSE)=main!$G$104,VLOOKUP(T$1,main!$A$3:$H$102,5,FALSE)-VLOOKUP($A121,main!$A$3:$H$102,6,FALSE)&gt;=main!$D$103+VLOOKUP(VLOOKUP(T$1,main!$A$3:$I$102,7,FALSE),main!$K$26:$Q$29,4,FALSE)),1,0)</f>
        <v>0</v>
      </c>
      <c r="U121">
        <f>IF(AND(VLOOKUP(U$1,main!$A$3:$H$102,7,FALSE)=main!$G$104,VLOOKUP(U$1,main!$A$3:$H$102,5,FALSE)-VLOOKUP($A121,main!$A$3:$H$102,6,FALSE)&gt;=main!$D$103+VLOOKUP(VLOOKUP(U$1,main!$A$3:$I$102,7,FALSE),main!$K$26:$Q$29,4,FALSE)),1,0)</f>
        <v>0</v>
      </c>
      <c r="V121">
        <f>IF(AND(VLOOKUP(V$1,main!$A$3:$H$102,7,FALSE)=main!$G$104,VLOOKUP(V$1,main!$A$3:$H$102,5,FALSE)-VLOOKUP($A121,main!$A$3:$H$102,6,FALSE)&gt;=main!$D$103+VLOOKUP(VLOOKUP(V$1,main!$A$3:$I$102,7,FALSE),main!$K$26:$Q$29,4,FALSE)),1,0)</f>
        <v>1</v>
      </c>
      <c r="W121">
        <f>IF(AND(VLOOKUP(W$1,main!$A$3:$H$102,7,FALSE)=main!$G$104,VLOOKUP(W$1,main!$A$3:$H$102,5,FALSE)-VLOOKUP($A121,main!$A$3:$H$102,6,FALSE)&gt;=main!$D$103+VLOOKUP(VLOOKUP(W$1,main!$A$3:$I$102,7,FALSE),main!$K$26:$Q$29,4,FALSE)),1,0)</f>
        <v>0</v>
      </c>
      <c r="X121">
        <f>IF(AND(VLOOKUP(X$1,main!$A$3:$H$102,7,FALSE)=main!$G$104,VLOOKUP(X$1,main!$A$3:$H$102,5,FALSE)-VLOOKUP($A121,main!$A$3:$H$102,6,FALSE)&gt;=main!$D$103+VLOOKUP(VLOOKUP(X$1,main!$A$3:$I$102,7,FALSE),main!$K$26:$Q$29,4,FALSE)),1,0)</f>
        <v>0</v>
      </c>
      <c r="Y121">
        <f>IF(AND(VLOOKUP(Y$1,main!$A$3:$H$102,7,FALSE)=main!$G$104,VLOOKUP(Y$1,main!$A$3:$H$102,5,FALSE)-VLOOKUP($A121,main!$A$3:$H$102,6,FALSE)&gt;=main!$D$103+VLOOKUP(VLOOKUP(Y$1,main!$A$3:$I$102,7,FALSE),main!$K$26:$Q$29,4,FALSE)),1,0)</f>
        <v>0</v>
      </c>
      <c r="Z121">
        <f>IF(AND(VLOOKUP(Z$1,main!$A$3:$H$102,7,FALSE)=main!$G$104,VLOOKUP(Z$1,main!$A$3:$H$102,5,FALSE)-VLOOKUP($A121,main!$A$3:$H$102,6,FALSE)&gt;=main!$D$103+VLOOKUP(VLOOKUP(Z$1,main!$A$3:$I$102,7,FALSE),main!$K$26:$Q$29,4,FALSE)),1,0)</f>
        <v>0</v>
      </c>
      <c r="AA121">
        <f>IF(AND(VLOOKUP(AA$1,main!$A$3:$H$102,7,FALSE)=main!$G$104,VLOOKUP(AA$1,main!$A$3:$H$102,5,FALSE)-VLOOKUP($A121,main!$A$3:$H$102,6,FALSE)&gt;=main!$D$103+VLOOKUP(VLOOKUP(AA$1,main!$A$3:$I$102,7,FALSE),main!$K$26:$Q$29,4,FALSE)),1,0)</f>
        <v>0</v>
      </c>
      <c r="AB121">
        <f>IF(AND(VLOOKUP(AB$1,main!$A$3:$H$102,7,FALSE)=main!$G$104,VLOOKUP(AB$1,main!$A$3:$H$102,5,FALSE)-VLOOKUP($A121,main!$A$3:$H$102,6,FALSE)&gt;=main!$D$103+VLOOKUP(VLOOKUP(AB$1,main!$A$3:$I$102,7,FALSE),main!$K$26:$Q$29,4,FALSE)),1,0)</f>
        <v>0</v>
      </c>
      <c r="AC121">
        <f>IF(AND(VLOOKUP(AC$1,main!$A$3:$H$102,7,FALSE)=main!$G$104,VLOOKUP(AC$1,main!$A$3:$H$102,5,FALSE)-VLOOKUP($A121,main!$A$3:$H$102,6,FALSE)&gt;=main!$D$103+VLOOKUP(VLOOKUP(AC$1,main!$A$3:$I$102,7,FALSE),main!$K$26:$Q$29,4,FALSE)),1,0)</f>
        <v>0</v>
      </c>
      <c r="AD121">
        <f>IF(AND(VLOOKUP(AD$1,main!$A$3:$H$102,7,FALSE)=main!$G$104,VLOOKUP(AD$1,main!$A$3:$H$102,5,FALSE)-VLOOKUP($A121,main!$A$3:$H$102,6,FALSE)&gt;=main!$D$103+VLOOKUP(VLOOKUP(AD$1,main!$A$3:$I$102,7,FALSE),main!$K$26:$Q$29,4,FALSE)),1,0)</f>
        <v>0</v>
      </c>
      <c r="AE121">
        <f>IF(AND(VLOOKUP(AE$1,main!$A$3:$H$102,7,FALSE)=main!$G$104,VLOOKUP(AE$1,main!$A$3:$H$102,5,FALSE)-VLOOKUP($A121,main!$A$3:$H$102,6,FALSE)&gt;=main!$D$103+VLOOKUP(VLOOKUP(AE$1,main!$A$3:$I$102,7,FALSE),main!$K$26:$Q$29,4,FALSE)),1,0)</f>
        <v>0</v>
      </c>
      <c r="AF121">
        <f>IF(AND(VLOOKUP(AF$1,main!$A$3:$H$102,7,FALSE)=main!$G$104,VLOOKUP(AF$1,main!$A$3:$H$102,5,FALSE)-VLOOKUP($A121,main!$A$3:$H$102,6,FALSE)&gt;=main!$D$103+VLOOKUP(VLOOKUP(AF$1,main!$A$3:$I$102,7,FALSE),main!$K$26:$Q$29,4,FALSE)),1,0)</f>
        <v>0</v>
      </c>
      <c r="AG121">
        <f>IF(AND(VLOOKUP(AG$1,main!$A$3:$H$102,7,FALSE)=main!$G$104,VLOOKUP(AG$1,main!$A$3:$H$102,5,FALSE)-VLOOKUP($A121,main!$A$3:$H$102,6,FALSE)&gt;=main!$D$103+VLOOKUP(VLOOKUP(AG$1,main!$A$3:$I$102,7,FALSE),main!$K$26:$Q$29,4,FALSE)),1,0)</f>
        <v>0</v>
      </c>
      <c r="AH121">
        <f>IF(AND(VLOOKUP(AH$1,main!$A$3:$H$102,7,FALSE)=main!$G$104,VLOOKUP(AH$1,main!$A$3:$H$102,5,FALSE)-VLOOKUP($A121,main!$A$3:$H$102,6,FALSE)&gt;=main!$D$103+VLOOKUP(VLOOKUP(AH$1,main!$A$3:$I$102,7,FALSE),main!$K$26:$Q$29,4,FALSE)),1,0)</f>
        <v>0</v>
      </c>
      <c r="AI121">
        <f>IF(AND(VLOOKUP(AI$1,main!$A$3:$H$102,7,FALSE)=main!$G$104,VLOOKUP(AI$1,main!$A$3:$H$102,5,FALSE)-VLOOKUP($A121,main!$A$3:$H$102,6,FALSE)&gt;=main!$D$103+VLOOKUP(VLOOKUP(AI$1,main!$A$3:$I$102,7,FALSE),main!$K$26:$Q$29,4,FALSE)),1,0)</f>
        <v>0</v>
      </c>
      <c r="AJ121">
        <f>IF(AND(VLOOKUP(AJ$1,main!$A$3:$H$102,7,FALSE)=main!$G$104,VLOOKUP(AJ$1,main!$A$3:$H$102,5,FALSE)-VLOOKUP($A121,main!$A$3:$H$102,6,FALSE)&gt;=main!$D$103+VLOOKUP(VLOOKUP(AJ$1,main!$A$3:$I$102,7,FALSE),main!$K$26:$Q$29,4,FALSE)),1,0)</f>
        <v>0</v>
      </c>
      <c r="AK121">
        <f>IF(AND(VLOOKUP(AK$1,main!$A$3:$H$102,7,FALSE)=main!$G$104,VLOOKUP(AK$1,main!$A$3:$H$102,5,FALSE)-VLOOKUP($A121,main!$A$3:$H$102,6,FALSE)&gt;=main!$D$103+VLOOKUP(VLOOKUP(AK$1,main!$A$3:$I$102,7,FALSE),main!$K$26:$Q$29,4,FALSE)),1,0)</f>
        <v>0</v>
      </c>
      <c r="AL121">
        <f>IF(AND(VLOOKUP(AL$1,main!$A$3:$H$102,7,FALSE)=main!$G$104,VLOOKUP(AL$1,main!$A$3:$H$102,5,FALSE)-VLOOKUP($A121,main!$A$3:$H$102,6,FALSE)&gt;=main!$D$103+VLOOKUP(VLOOKUP(AL$1,main!$A$3:$I$102,7,FALSE),main!$K$26:$Q$29,4,FALSE)),1,0)</f>
        <v>0</v>
      </c>
      <c r="AM121">
        <f>IF(AND(VLOOKUP(AM$1,main!$A$3:$H$102,7,FALSE)=main!$G$104,VLOOKUP(AM$1,main!$A$3:$H$102,5,FALSE)-VLOOKUP($A121,main!$A$3:$H$102,6,FALSE)&gt;=main!$D$103+VLOOKUP(VLOOKUP(AM$1,main!$A$3:$I$102,7,FALSE),main!$K$26:$Q$29,4,FALSE)),1,0)</f>
        <v>0</v>
      </c>
      <c r="AN121">
        <f>IF(AND(VLOOKUP(AN$1,main!$A$3:$H$102,7,FALSE)=main!$G$104,VLOOKUP(AN$1,main!$A$3:$H$102,5,FALSE)-VLOOKUP($A121,main!$A$3:$H$102,6,FALSE)&gt;=main!$D$103+VLOOKUP(VLOOKUP(AN$1,main!$A$3:$I$102,7,FALSE),main!$K$26:$Q$29,4,FALSE)),1,0)</f>
        <v>0</v>
      </c>
      <c r="AO121">
        <f>IF(AND(VLOOKUP(AO$1,main!$A$3:$H$102,7,FALSE)=main!$G$104,VLOOKUP(AO$1,main!$A$3:$H$102,5,FALSE)-VLOOKUP($A121,main!$A$3:$H$102,6,FALSE)&gt;=main!$D$103+VLOOKUP(VLOOKUP(AO$1,main!$A$3:$I$102,7,FALSE),main!$K$26:$Q$29,4,FALSE)),1,0)</f>
        <v>0</v>
      </c>
      <c r="AP121">
        <f>IF(AND(VLOOKUP(AP$1,main!$A$3:$H$102,7,FALSE)=main!$G$104,VLOOKUP(AP$1,main!$A$3:$H$102,5,FALSE)-VLOOKUP($A121,main!$A$3:$H$102,6,FALSE)&gt;=main!$D$103+VLOOKUP(VLOOKUP(AP$1,main!$A$3:$I$102,7,FALSE),main!$K$26:$Q$29,4,FALSE)),1,0)</f>
        <v>0</v>
      </c>
      <c r="AQ121">
        <f>IF(AND(VLOOKUP(AQ$1,main!$A$3:$H$102,7,FALSE)=main!$G$104,VLOOKUP(AQ$1,main!$A$3:$H$102,5,FALSE)-VLOOKUP($A121,main!$A$3:$H$102,6,FALSE)&gt;=main!$D$103+VLOOKUP(VLOOKUP(AQ$1,main!$A$3:$I$102,7,FALSE),main!$K$26:$Q$29,4,FALSE)),1,0)</f>
        <v>0</v>
      </c>
      <c r="AR121">
        <f>IF(AND(VLOOKUP(AR$1,main!$A$3:$H$102,7,FALSE)=main!$G$104,VLOOKUP(AR$1,main!$A$3:$H$102,5,FALSE)-VLOOKUP($A121,main!$A$3:$H$102,6,FALSE)&gt;=main!$D$103+VLOOKUP(VLOOKUP(AR$1,main!$A$3:$I$102,7,FALSE),main!$K$26:$Q$29,4,FALSE)),1,0)</f>
        <v>0</v>
      </c>
      <c r="AS121">
        <f>IF(AND(VLOOKUP(AS$1,main!$A$3:$H$102,7,FALSE)=main!$G$104,VLOOKUP(AS$1,main!$A$3:$H$102,5,FALSE)-VLOOKUP($A121,main!$A$3:$H$102,6,FALSE)&gt;=main!$D$103+VLOOKUP(VLOOKUP(AS$1,main!$A$3:$I$102,7,FALSE),main!$K$26:$Q$29,4,FALSE)),1,0)</f>
        <v>0</v>
      </c>
      <c r="AT121">
        <f>IF(AND(VLOOKUP(AT$1,main!$A$3:$H$102,7,FALSE)=main!$G$104,VLOOKUP(AT$1,main!$A$3:$H$102,5,FALSE)-VLOOKUP($A121,main!$A$3:$H$102,6,FALSE)&gt;=main!$D$103+VLOOKUP(VLOOKUP(AT$1,main!$A$3:$I$102,7,FALSE),main!$K$26:$Q$29,4,FALSE)),1,0)</f>
        <v>0</v>
      </c>
      <c r="AU121">
        <f>IF(AND(VLOOKUP(AU$1,main!$A$3:$H$102,7,FALSE)=main!$G$104,VLOOKUP(AU$1,main!$A$3:$H$102,5,FALSE)-VLOOKUP($A121,main!$A$3:$H$102,6,FALSE)&gt;=main!$D$103+VLOOKUP(VLOOKUP(AU$1,main!$A$3:$I$102,7,FALSE),main!$K$26:$Q$29,4,FALSE)),1,0)</f>
        <v>0</v>
      </c>
      <c r="AV121">
        <f>IF(AND(VLOOKUP(AV$1,main!$A$3:$H$102,7,FALSE)=main!$G$104,VLOOKUP(AV$1,main!$A$3:$H$102,5,FALSE)-VLOOKUP($A121,main!$A$3:$H$102,6,FALSE)&gt;=main!$D$103+VLOOKUP(VLOOKUP(AV$1,main!$A$3:$I$102,7,FALSE),main!$K$26:$Q$29,4,FALSE)),1,0)</f>
        <v>0</v>
      </c>
      <c r="AW121">
        <f>IF(AND(VLOOKUP(AW$1,main!$A$3:$H$102,7,FALSE)=main!$G$104,VLOOKUP(AW$1,main!$A$3:$H$102,5,FALSE)-VLOOKUP($A121,main!$A$3:$H$102,6,FALSE)&gt;=main!$D$103+VLOOKUP(VLOOKUP(AW$1,main!$A$3:$I$102,7,FALSE),main!$K$26:$Q$29,4,FALSE)),1,0)</f>
        <v>0</v>
      </c>
      <c r="AX121">
        <f>IF(AND(VLOOKUP(AX$1,main!$A$3:$H$102,7,FALSE)=main!$G$104,VLOOKUP(AX$1,main!$A$3:$H$102,5,FALSE)-VLOOKUP($A121,main!$A$3:$H$102,6,FALSE)&gt;=main!$D$103+VLOOKUP(VLOOKUP(AX$1,main!$A$3:$I$102,7,FALSE),main!$K$26:$Q$29,4,FALSE)),1,0)</f>
        <v>0</v>
      </c>
      <c r="AY121">
        <f>IF(AND(VLOOKUP(AY$1,main!$A$3:$H$102,7,FALSE)=main!$G$104,VLOOKUP(AY$1,main!$A$3:$H$102,5,FALSE)-VLOOKUP($A121,main!$A$3:$H$102,6,FALSE)&gt;=main!$D$103+VLOOKUP(VLOOKUP(AY$1,main!$A$3:$I$102,7,FALSE),main!$K$26:$Q$29,4,FALSE)),1,0)</f>
        <v>0</v>
      </c>
      <c r="AZ121">
        <f>IF(AND(VLOOKUP(AZ$1,main!$A$3:$H$102,7,FALSE)=main!$G$104,VLOOKUP(AZ$1,main!$A$3:$H$102,5,FALSE)-VLOOKUP($A121,main!$A$3:$H$102,6,FALSE)&gt;=main!$D$103+VLOOKUP(VLOOKUP(AZ$1,main!$A$3:$I$102,7,FALSE),main!$K$26:$Q$29,4,FALSE)),1,0)</f>
        <v>0</v>
      </c>
      <c r="BA121">
        <f>IF(AND(VLOOKUP(BA$1,main!$A$3:$H$102,7,FALSE)=main!$G$104,VLOOKUP(BA$1,main!$A$3:$H$102,5,FALSE)-VLOOKUP($A121,main!$A$3:$H$102,6,FALSE)&gt;=main!$D$103+VLOOKUP(VLOOKUP(BA$1,main!$A$3:$I$102,7,FALSE),main!$K$26:$Q$29,4,FALSE)),1,0)</f>
        <v>0</v>
      </c>
      <c r="BB121">
        <f>IF(AND(VLOOKUP(BB$1,main!$A$3:$H$102,7,FALSE)=main!$G$104,VLOOKUP(BB$1,main!$A$3:$H$102,5,FALSE)-VLOOKUP($A121,main!$A$3:$H$102,6,FALSE)&gt;=main!$D$103+VLOOKUP(VLOOKUP(BB$1,main!$A$3:$I$102,7,FALSE),main!$K$26:$Q$29,4,FALSE)),1,0)</f>
        <v>0</v>
      </c>
      <c r="BC121">
        <f>IF(AND(VLOOKUP(BC$1,main!$A$3:$H$102,7,FALSE)=main!$G$104,VLOOKUP(BC$1,main!$A$3:$H$102,5,FALSE)-VLOOKUP($A121,main!$A$3:$H$102,6,FALSE)&gt;=main!$D$103+VLOOKUP(VLOOKUP(BC$1,main!$A$3:$I$102,7,FALSE),main!$K$26:$Q$29,4,FALSE)),1,0)</f>
        <v>0</v>
      </c>
      <c r="BD121">
        <f>IF(AND(VLOOKUP(BD$1,main!$A$3:$H$102,7,FALSE)=main!$G$104,VLOOKUP(BD$1,main!$A$3:$H$102,5,FALSE)-VLOOKUP($A121,main!$A$3:$H$102,6,FALSE)&gt;=main!$D$103+VLOOKUP(VLOOKUP(BD$1,main!$A$3:$I$102,7,FALSE),main!$K$26:$Q$29,4,FALSE)),1,0)</f>
        <v>0</v>
      </c>
      <c r="BE121">
        <f>IF(AND(VLOOKUP(BE$1,main!$A$3:$H$102,7,FALSE)=main!$G$104,VLOOKUP(BE$1,main!$A$3:$H$102,5,FALSE)-VLOOKUP($A121,main!$A$3:$H$102,6,FALSE)&gt;=main!$D$103+VLOOKUP(VLOOKUP(BE$1,main!$A$3:$I$102,7,FALSE),main!$K$26:$Q$29,4,FALSE)),1,0)</f>
        <v>0</v>
      </c>
      <c r="BF121">
        <f>IF(AND(VLOOKUP(BF$1,main!$A$3:$H$102,7,FALSE)=main!$G$104,VLOOKUP(BF$1,main!$A$3:$H$102,5,FALSE)-VLOOKUP($A121,main!$A$3:$H$102,6,FALSE)&gt;=main!$D$103+VLOOKUP(VLOOKUP(BF$1,main!$A$3:$I$102,7,FALSE),main!$K$26:$Q$29,4,FALSE)),1,0)</f>
        <v>0</v>
      </c>
      <c r="BG121">
        <f>IF(AND(VLOOKUP(BG$1,main!$A$3:$H$102,7,FALSE)=main!$G$104,VLOOKUP(BG$1,main!$A$3:$H$102,5,FALSE)-VLOOKUP($A121,main!$A$3:$H$102,6,FALSE)&gt;=main!$D$103+VLOOKUP(VLOOKUP(BG$1,main!$A$3:$I$102,7,FALSE),main!$K$26:$Q$29,4,FALSE)),1,0)</f>
        <v>0</v>
      </c>
      <c r="BH121">
        <f>IF(AND(VLOOKUP(BH$1,main!$A$3:$H$102,7,FALSE)=main!$G$104,VLOOKUP(BH$1,main!$A$3:$H$102,5,FALSE)-VLOOKUP($A121,main!$A$3:$H$102,6,FALSE)&gt;=main!$D$103+VLOOKUP(VLOOKUP(BH$1,main!$A$3:$I$102,7,FALSE),main!$K$26:$Q$29,4,FALSE)),1,0)</f>
        <v>0</v>
      </c>
      <c r="BI121">
        <f>IF(AND(VLOOKUP(BI$1,main!$A$3:$H$102,7,FALSE)=main!$G$104,VLOOKUP(BI$1,main!$A$3:$H$102,5,FALSE)-VLOOKUP($A121,main!$A$3:$H$102,6,FALSE)&gt;=main!$D$103+VLOOKUP(VLOOKUP(BI$1,main!$A$3:$I$102,7,FALSE),main!$K$26:$Q$29,4,FALSE)),1,0)</f>
        <v>0</v>
      </c>
      <c r="BJ121">
        <f>IF(AND(VLOOKUP(BJ$1,main!$A$3:$H$102,7,FALSE)=main!$G$104,VLOOKUP(BJ$1,main!$A$3:$H$102,5,FALSE)-VLOOKUP($A121,main!$A$3:$H$102,6,FALSE)&gt;=main!$D$103+VLOOKUP(VLOOKUP(BJ$1,main!$A$3:$I$102,7,FALSE),main!$K$26:$Q$29,4,FALSE)),1,0)</f>
        <v>0</v>
      </c>
      <c r="BK121">
        <f>IF(AND(VLOOKUP(BK$1,main!$A$3:$H$102,7,FALSE)=main!$G$104,VLOOKUP(BK$1,main!$A$3:$H$102,5,FALSE)-VLOOKUP($A121,main!$A$3:$H$102,6,FALSE)&gt;=main!$D$103+VLOOKUP(VLOOKUP(BK$1,main!$A$3:$I$102,7,FALSE),main!$K$26:$Q$29,4,FALSE)),1,0)</f>
        <v>0</v>
      </c>
      <c r="BL121">
        <f>IF(AND(VLOOKUP(BL$1,main!$A$3:$H$102,7,FALSE)=main!$G$104,VLOOKUP(BL$1,main!$A$3:$H$102,5,FALSE)-VLOOKUP($A121,main!$A$3:$H$102,6,FALSE)&gt;=main!$D$103+VLOOKUP(VLOOKUP(BL$1,main!$A$3:$I$102,7,FALSE),main!$K$26:$Q$29,4,FALSE)),1,0)</f>
        <v>0</v>
      </c>
      <c r="BM121">
        <f>IF(AND(VLOOKUP(BM$1,main!$A$3:$H$102,7,FALSE)=main!$G$104,VLOOKUP(BM$1,main!$A$3:$H$102,5,FALSE)-VLOOKUP($A121,main!$A$3:$H$102,6,FALSE)&gt;=main!$D$103+VLOOKUP(VLOOKUP(BM$1,main!$A$3:$I$102,7,FALSE),main!$K$26:$Q$29,4,FALSE)),1,0)</f>
        <v>0</v>
      </c>
      <c r="BN121">
        <f>IF(AND(VLOOKUP(BN$1,main!$A$3:$H$102,7,FALSE)=main!$G$104,VLOOKUP(BN$1,main!$A$3:$H$102,5,FALSE)-VLOOKUP($A121,main!$A$3:$H$102,6,FALSE)&gt;=main!$D$103+VLOOKUP(VLOOKUP(BN$1,main!$A$3:$I$102,7,FALSE),main!$K$26:$Q$29,4,FALSE)),1,0)</f>
        <v>0</v>
      </c>
      <c r="BO121">
        <f>IF(AND(VLOOKUP(BO$1,main!$A$3:$H$102,7,FALSE)=main!$G$104,VLOOKUP(BO$1,main!$A$3:$H$102,5,FALSE)-VLOOKUP($A121,main!$A$3:$H$102,6,FALSE)&gt;=main!$D$103+VLOOKUP(VLOOKUP(BO$1,main!$A$3:$I$102,7,FALSE),main!$K$26:$Q$29,4,FALSE)),1,0)</f>
        <v>0</v>
      </c>
      <c r="BP121">
        <f>IF(AND(VLOOKUP(BP$1,main!$A$3:$H$102,7,FALSE)=main!$G$104,VLOOKUP(BP$1,main!$A$3:$H$102,5,FALSE)-VLOOKUP($A121,main!$A$3:$H$102,6,FALSE)&gt;=main!$D$103+VLOOKUP(VLOOKUP(BP$1,main!$A$3:$I$102,7,FALSE),main!$K$26:$Q$29,4,FALSE)),1,0)</f>
        <v>0</v>
      </c>
      <c r="BQ121">
        <f>IF(AND(VLOOKUP(BQ$1,main!$A$3:$H$102,7,FALSE)=main!$G$104,VLOOKUP(BQ$1,main!$A$3:$H$102,5,FALSE)-VLOOKUP($A121,main!$A$3:$H$102,6,FALSE)&gt;=main!$D$103+VLOOKUP(VLOOKUP(BQ$1,main!$A$3:$I$102,7,FALSE),main!$K$26:$Q$29,4,FALSE)),1,0)</f>
        <v>0</v>
      </c>
      <c r="BR121">
        <f>IF(AND(VLOOKUP(BR$1,main!$A$3:$H$102,7,FALSE)=main!$G$104,VLOOKUP(BR$1,main!$A$3:$H$102,5,FALSE)-VLOOKUP($A121,main!$A$3:$H$102,6,FALSE)&gt;=main!$D$103+VLOOKUP(VLOOKUP(BR$1,main!$A$3:$I$102,7,FALSE),main!$K$26:$Q$29,4,FALSE)),1,0)</f>
        <v>0</v>
      </c>
      <c r="BS121">
        <f>IF(AND(VLOOKUP(BS$1,main!$A$3:$H$102,7,FALSE)=main!$G$104,VLOOKUP(BS$1,main!$A$3:$H$102,5,FALSE)-VLOOKUP($A121,main!$A$3:$H$102,6,FALSE)&gt;=main!$D$103+VLOOKUP(VLOOKUP(BS$1,main!$A$3:$I$102,7,FALSE),main!$K$26:$Q$29,4,FALSE)),1,0)</f>
        <v>0</v>
      </c>
      <c r="BT121">
        <f>IF(AND(VLOOKUP(BT$1,main!$A$3:$H$102,7,FALSE)=main!$G$104,VLOOKUP(BT$1,main!$A$3:$H$102,5,FALSE)-VLOOKUP($A121,main!$A$3:$H$102,6,FALSE)&gt;=main!$D$103+VLOOKUP(VLOOKUP(BT$1,main!$A$3:$I$102,7,FALSE),main!$K$26:$Q$29,4,FALSE)),1,0)</f>
        <v>0</v>
      </c>
      <c r="BU121">
        <f>IF(AND(VLOOKUP(BU$1,main!$A$3:$H$102,7,FALSE)=main!$G$104,VLOOKUP(BU$1,main!$A$3:$H$102,5,FALSE)-VLOOKUP($A121,main!$A$3:$H$102,6,FALSE)&gt;=main!$D$103+VLOOKUP(VLOOKUP(BU$1,main!$A$3:$I$102,7,FALSE),main!$K$26:$Q$29,4,FALSE)),1,0)</f>
        <v>0</v>
      </c>
      <c r="BV121">
        <f>IF(AND(VLOOKUP(BV$1,main!$A$3:$H$102,7,FALSE)=main!$G$104,VLOOKUP(BV$1,main!$A$3:$H$102,5,FALSE)-VLOOKUP($A121,main!$A$3:$H$102,6,FALSE)&gt;=main!$D$103+VLOOKUP(VLOOKUP(BV$1,main!$A$3:$I$102,7,FALSE),main!$K$26:$Q$29,4,FALSE)),1,0)</f>
        <v>0</v>
      </c>
      <c r="BW121">
        <f>IF(AND(VLOOKUP(BW$1,main!$A$3:$H$102,7,FALSE)=main!$G$104,VLOOKUP(BW$1,main!$A$3:$H$102,5,FALSE)-VLOOKUP($A121,main!$A$3:$H$102,6,FALSE)&gt;=main!$D$103+VLOOKUP(VLOOKUP(BW$1,main!$A$3:$I$102,7,FALSE),main!$K$26:$Q$29,4,FALSE)),1,0)</f>
        <v>0</v>
      </c>
      <c r="BX121">
        <f>IF(AND(VLOOKUP(BX$1,main!$A$3:$H$102,7,FALSE)=main!$G$104,VLOOKUP(BX$1,main!$A$3:$H$102,5,FALSE)-VLOOKUP($A121,main!$A$3:$H$102,6,FALSE)&gt;=main!$D$103+VLOOKUP(VLOOKUP(BX$1,main!$A$3:$I$102,7,FALSE),main!$K$26:$Q$29,4,FALSE)),1,0)</f>
        <v>0</v>
      </c>
      <c r="BY121">
        <f>IF(AND(VLOOKUP(BY$1,main!$A$3:$H$102,7,FALSE)=main!$G$104,VLOOKUP(BY$1,main!$A$3:$H$102,5,FALSE)-VLOOKUP($A121,main!$A$3:$H$102,6,FALSE)&gt;=main!$D$103+VLOOKUP(VLOOKUP(BY$1,main!$A$3:$I$102,7,FALSE),main!$K$26:$Q$29,4,FALSE)),1,0)</f>
        <v>0</v>
      </c>
      <c r="BZ121">
        <f>IF(AND(VLOOKUP(BZ$1,main!$A$3:$H$102,7,FALSE)=main!$G$104,VLOOKUP(BZ$1,main!$A$3:$H$102,5,FALSE)-VLOOKUP($A121,main!$A$3:$H$102,6,FALSE)&gt;=main!$D$103+VLOOKUP(VLOOKUP(BZ$1,main!$A$3:$I$102,7,FALSE),main!$K$26:$Q$29,4,FALSE)),1,0)</f>
        <v>0</v>
      </c>
      <c r="CA121">
        <f>IF(AND(VLOOKUP(CA$1,main!$A$3:$H$102,7,FALSE)=main!$G$104,VLOOKUP(CA$1,main!$A$3:$H$102,5,FALSE)-VLOOKUP($A121,main!$A$3:$H$102,6,FALSE)&gt;=main!$D$103+VLOOKUP(VLOOKUP(CA$1,main!$A$3:$I$102,7,FALSE),main!$K$26:$Q$29,4,FALSE)),1,0)</f>
        <v>0</v>
      </c>
      <c r="CB121">
        <f>IF(AND(VLOOKUP(CB$1,main!$A$3:$H$102,7,FALSE)=main!$G$104,VLOOKUP(CB$1,main!$A$3:$H$102,5,FALSE)-VLOOKUP($A121,main!$A$3:$H$102,6,FALSE)&gt;=main!$D$103+VLOOKUP(VLOOKUP(CB$1,main!$A$3:$I$102,7,FALSE),main!$K$26:$Q$29,4,FALSE)),1,0)</f>
        <v>0</v>
      </c>
      <c r="CC121">
        <f>IF(AND(VLOOKUP(CC$1,main!$A$3:$H$102,7,FALSE)=main!$G$104,VLOOKUP(CC$1,main!$A$3:$H$102,5,FALSE)-VLOOKUP($A121,main!$A$3:$H$102,6,FALSE)&gt;=main!$D$103+VLOOKUP(VLOOKUP(CC$1,main!$A$3:$I$102,7,FALSE),main!$K$26:$Q$29,4,FALSE)),1,0)</f>
        <v>0</v>
      </c>
      <c r="CD121">
        <f>IF(AND(VLOOKUP(CD$1,main!$A$3:$H$102,7,FALSE)=main!$G$104,VLOOKUP(CD$1,main!$A$3:$H$102,5,FALSE)-VLOOKUP($A121,main!$A$3:$H$102,6,FALSE)&gt;=main!$D$103+VLOOKUP(VLOOKUP(CD$1,main!$A$3:$I$102,7,FALSE),main!$K$26:$Q$29,4,FALSE)),1,0)</f>
        <v>0</v>
      </c>
      <c r="CE121">
        <f>IF(AND(VLOOKUP(CE$1,main!$A$3:$H$102,7,FALSE)=main!$G$104,VLOOKUP(CE$1,main!$A$3:$H$102,5,FALSE)-VLOOKUP($A121,main!$A$3:$H$102,6,FALSE)&gt;=main!$D$103+VLOOKUP(VLOOKUP(CE$1,main!$A$3:$I$102,7,FALSE),main!$K$26:$Q$29,4,FALSE)),1,0)</f>
        <v>0</v>
      </c>
      <c r="CF121">
        <f>IF(AND(VLOOKUP(CF$1,main!$A$3:$H$102,7,FALSE)=main!$G$104,VLOOKUP(CF$1,main!$A$3:$H$102,5,FALSE)-VLOOKUP($A121,main!$A$3:$H$102,6,FALSE)&gt;=main!$D$103+VLOOKUP(VLOOKUP(CF$1,main!$A$3:$I$102,7,FALSE),main!$K$26:$Q$29,4,FALSE)),1,0)</f>
        <v>0</v>
      </c>
      <c r="CG121">
        <f>IF(AND(VLOOKUP(CG$1,main!$A$3:$H$102,7,FALSE)=main!$G$104,VLOOKUP(CG$1,main!$A$3:$H$102,5,FALSE)-VLOOKUP($A121,main!$A$3:$H$102,6,FALSE)&gt;=main!$D$103+VLOOKUP(VLOOKUP(CG$1,main!$A$3:$I$102,7,FALSE),main!$K$26:$Q$29,4,FALSE)),1,0)</f>
        <v>0</v>
      </c>
      <c r="CH121">
        <f>IF(AND(VLOOKUP(CH$1,main!$A$3:$H$102,7,FALSE)=main!$G$104,VLOOKUP(CH$1,main!$A$3:$H$102,5,FALSE)-VLOOKUP($A121,main!$A$3:$H$102,6,FALSE)&gt;=main!$D$103+VLOOKUP(VLOOKUP(CH$1,main!$A$3:$I$102,7,FALSE),main!$K$26:$Q$29,4,FALSE)),1,0)</f>
        <v>0</v>
      </c>
      <c r="CI121">
        <f>IF(AND(VLOOKUP(CI$1,main!$A$3:$H$102,7,FALSE)=main!$G$104,VLOOKUP(CI$1,main!$A$3:$H$102,5,FALSE)-VLOOKUP($A121,main!$A$3:$H$102,6,FALSE)&gt;=main!$D$103+VLOOKUP(VLOOKUP(CI$1,main!$A$3:$I$102,7,FALSE),main!$K$26:$Q$29,4,FALSE)),1,0)</f>
        <v>0</v>
      </c>
      <c r="CJ121">
        <f>IF(AND(VLOOKUP(CJ$1,main!$A$3:$H$102,7,FALSE)=main!$G$104,VLOOKUP(CJ$1,main!$A$3:$H$102,5,FALSE)-VLOOKUP($A121,main!$A$3:$H$102,6,FALSE)&gt;=main!$D$103+VLOOKUP(VLOOKUP(CJ$1,main!$A$3:$I$102,7,FALSE),main!$K$26:$Q$29,4,FALSE)),1,0)</f>
        <v>0</v>
      </c>
      <c r="CK121">
        <f>IF(AND(VLOOKUP(CK$1,main!$A$3:$H$102,7,FALSE)=main!$G$104,VLOOKUP(CK$1,main!$A$3:$H$102,5,FALSE)-VLOOKUP($A121,main!$A$3:$H$102,6,FALSE)&gt;=main!$D$103+VLOOKUP(VLOOKUP(CK$1,main!$A$3:$I$102,7,FALSE),main!$K$26:$Q$29,4,FALSE)),1,0)</f>
        <v>0</v>
      </c>
      <c r="CL121">
        <f>IF(AND(VLOOKUP(CL$1,main!$A$3:$H$102,7,FALSE)=main!$G$104,VLOOKUP(CL$1,main!$A$3:$H$102,5,FALSE)-VLOOKUP($A121,main!$A$3:$H$102,6,FALSE)&gt;=main!$D$103+VLOOKUP(VLOOKUP(CL$1,main!$A$3:$I$102,7,FALSE),main!$K$26:$Q$29,4,FALSE)),1,0)</f>
        <v>0</v>
      </c>
      <c r="CM121">
        <f>IF(AND(VLOOKUP(CM$1,main!$A$3:$H$102,7,FALSE)=main!$G$104,VLOOKUP(CM$1,main!$A$3:$H$102,5,FALSE)-VLOOKUP($A121,main!$A$3:$H$102,6,FALSE)&gt;=main!$D$103+VLOOKUP(VLOOKUP(CM$1,main!$A$3:$I$102,7,FALSE),main!$K$26:$Q$29,4,FALSE)),1,0)</f>
        <v>0</v>
      </c>
      <c r="CN121">
        <f>IF(AND(VLOOKUP(CN$1,main!$A$3:$H$102,7,FALSE)=main!$G$104,VLOOKUP(CN$1,main!$A$3:$H$102,5,FALSE)-VLOOKUP($A121,main!$A$3:$H$102,6,FALSE)&gt;=main!$D$103+VLOOKUP(VLOOKUP(CN$1,main!$A$3:$I$102,7,FALSE),main!$K$26:$Q$29,4,FALSE)),1,0)</f>
        <v>0</v>
      </c>
      <c r="CO121">
        <f>IF(AND(VLOOKUP(CO$1,main!$A$3:$H$102,7,FALSE)=main!$G$104,VLOOKUP(CO$1,main!$A$3:$H$102,5,FALSE)-VLOOKUP($A121,main!$A$3:$H$102,6,FALSE)&gt;=main!$D$103+VLOOKUP(VLOOKUP(CO$1,main!$A$3:$I$102,7,FALSE),main!$K$26:$Q$29,4,FALSE)),1,0)</f>
        <v>0</v>
      </c>
      <c r="CP121">
        <f>IF(AND(VLOOKUP(CP$1,main!$A$3:$H$102,7,FALSE)=main!$G$104,VLOOKUP(CP$1,main!$A$3:$H$102,5,FALSE)-VLOOKUP($A121,main!$A$3:$H$102,6,FALSE)&gt;=main!$D$103+VLOOKUP(VLOOKUP(CP$1,main!$A$3:$I$102,7,FALSE),main!$K$26:$Q$29,4,FALSE)),1,0)</f>
        <v>0</v>
      </c>
      <c r="CQ121">
        <f>IF(AND(VLOOKUP(CQ$1,main!$A$3:$H$102,7,FALSE)=main!$G$104,VLOOKUP(CQ$1,main!$A$3:$H$102,5,FALSE)-VLOOKUP($A121,main!$A$3:$H$102,6,FALSE)&gt;=main!$D$103+VLOOKUP(VLOOKUP(CQ$1,main!$A$3:$I$102,7,FALSE),main!$K$26:$Q$29,4,FALSE)),1,0)</f>
        <v>0</v>
      </c>
      <c r="CR121">
        <f>IF(AND(VLOOKUP(CR$1,main!$A$3:$H$102,7,FALSE)=main!$G$104,VLOOKUP(CR$1,main!$A$3:$H$102,5,FALSE)-VLOOKUP($A121,main!$A$3:$H$102,6,FALSE)&gt;=main!$D$103+VLOOKUP(VLOOKUP(CR$1,main!$A$3:$I$102,7,FALSE),main!$K$26:$Q$29,4,FALSE)),1,0)</f>
        <v>0</v>
      </c>
      <c r="CS121">
        <f>IF(AND(VLOOKUP(CS$1,main!$A$3:$H$102,7,FALSE)=main!$G$104,VLOOKUP(CS$1,main!$A$3:$H$102,5,FALSE)-VLOOKUP($A121,main!$A$3:$H$102,6,FALSE)&gt;=main!$D$103+VLOOKUP(VLOOKUP(CS$1,main!$A$3:$I$102,7,FALSE),main!$K$26:$Q$29,4,FALSE)),1,0)</f>
        <v>0</v>
      </c>
      <c r="CT121">
        <f>IF(AND(VLOOKUP(CT$1,main!$A$3:$H$102,7,FALSE)=main!$G$104,VLOOKUP(CT$1,main!$A$3:$H$102,5,FALSE)-VLOOKUP($A121,main!$A$3:$H$102,6,FALSE)&gt;=main!$D$103+VLOOKUP(VLOOKUP(CT$1,main!$A$3:$I$102,7,FALSE),main!$K$26:$Q$29,4,FALSE)),1,0)</f>
        <v>0</v>
      </c>
      <c r="CU121">
        <f>IF(AND(VLOOKUP(CU$1,main!$A$3:$H$102,7,FALSE)=main!$G$104,VLOOKUP(CU$1,main!$A$3:$H$102,5,FALSE)-VLOOKUP($A121,main!$A$3:$H$102,6,FALSE)&gt;=main!$D$103+VLOOKUP(VLOOKUP(CU$1,main!$A$3:$I$102,7,FALSE),main!$K$26:$Q$29,4,FALSE)),1,0)</f>
        <v>0</v>
      </c>
      <c r="CV121">
        <f>IF(AND(VLOOKUP(CV$1,main!$A$3:$H$102,7,FALSE)=main!$G$104,VLOOKUP(CV$1,main!$A$3:$H$102,5,FALSE)-VLOOKUP($A121,main!$A$3:$H$102,6,FALSE)&gt;=main!$D$103+VLOOKUP(VLOOKUP(CV$1,main!$A$3:$I$102,7,FALSE),main!$K$26:$Q$29,4,FALSE)),1,0)</f>
        <v>0</v>
      </c>
      <c r="CW121">
        <f>IF(AND(VLOOKUP(CW$1,main!$A$3:$H$102,7,FALSE)=main!$G$104,VLOOKUP(CW$1,main!$A$3:$H$102,5,FALSE)-VLOOKUP($A121,main!$A$3:$H$102,6,FALSE)&gt;=main!$D$103+VLOOKUP(VLOOKUP(CW$1,main!$A$3:$I$102,7,FALSE),main!$K$26:$Q$29,4,FALSE)),1,0)</f>
        <v>0</v>
      </c>
      <c r="CX121">
        <f>IF(AND(VLOOKUP(CX$1,main!$A$3:$H$102,7,FALSE)=main!$G$104,VLOOKUP(CX$1,main!$A$3:$H$102,5,FALSE)-VLOOKUP($A121,main!$A$3:$H$102,6,FALSE)&gt;=main!$D$103+VLOOKUP(VLOOKUP(CX$1,main!$A$3:$I$102,7,FALSE),main!$K$26:$Q$29,4,FALSE)),1,0)</f>
        <v>0</v>
      </c>
    </row>
    <row r="122" spans="1:102" x14ac:dyDescent="0.25">
      <c r="A122" s="1">
        <v>19</v>
      </c>
      <c r="B122">
        <v>0</v>
      </c>
      <c r="C122">
        <f>IF(AND(VLOOKUP(C$1,main!$A$3:$H$102,7,FALSE)=main!$G$104,VLOOKUP(C$1,main!$A$3:$H$102,5,FALSE)-VLOOKUP($A122,main!$A$3:$H$102,6,FALSE)&gt;=main!$D$103+VLOOKUP(VLOOKUP(C$1,main!$A$3:$I$102,7,FALSE),main!$K$26:$Q$29,4,FALSE)),1,0)</f>
        <v>0</v>
      </c>
      <c r="D122">
        <f>IF(AND(VLOOKUP(D$1,main!$A$3:$H$102,7,FALSE)=main!$G$104,VLOOKUP(D$1,main!$A$3:$H$102,5,FALSE)-VLOOKUP($A122,main!$A$3:$H$102,6,FALSE)&gt;=main!$D$103+VLOOKUP(VLOOKUP(D$1,main!$A$3:$I$102,7,FALSE),main!$K$26:$Q$29,4,FALSE)),1,0)</f>
        <v>0</v>
      </c>
      <c r="E122">
        <f>IF(AND(VLOOKUP(E$1,main!$A$3:$H$102,7,FALSE)=main!$G$104,VLOOKUP(E$1,main!$A$3:$H$102,5,FALSE)-VLOOKUP($A122,main!$A$3:$H$102,6,FALSE)&gt;=main!$D$103+VLOOKUP(VLOOKUP(E$1,main!$A$3:$I$102,7,FALSE),main!$K$26:$Q$29,4,FALSE)),1,0)</f>
        <v>0</v>
      </c>
      <c r="F122">
        <f>IF(AND(VLOOKUP(F$1,main!$A$3:$H$102,7,FALSE)=main!$G$104,VLOOKUP(F$1,main!$A$3:$H$102,5,FALSE)-VLOOKUP($A122,main!$A$3:$H$102,6,FALSE)&gt;=main!$D$103+VLOOKUP(VLOOKUP(F$1,main!$A$3:$I$102,7,FALSE),main!$K$26:$Q$29,4,FALSE)),1,0)</f>
        <v>0</v>
      </c>
      <c r="G122">
        <f>IF(AND(VLOOKUP(G$1,main!$A$3:$H$102,7,FALSE)=main!$G$104,VLOOKUP(G$1,main!$A$3:$H$102,5,FALSE)-VLOOKUP($A122,main!$A$3:$H$102,6,FALSE)&gt;=main!$D$103+VLOOKUP(VLOOKUP(G$1,main!$A$3:$I$102,7,FALSE),main!$K$26:$Q$29,4,FALSE)),1,0)</f>
        <v>0</v>
      </c>
      <c r="H122">
        <f>IF(AND(VLOOKUP(H$1,main!$A$3:$H$102,7,FALSE)=main!$G$104,VLOOKUP(H$1,main!$A$3:$H$102,5,FALSE)-VLOOKUP($A122,main!$A$3:$H$102,6,FALSE)&gt;=main!$D$103+VLOOKUP(VLOOKUP(H$1,main!$A$3:$I$102,7,FALSE),main!$K$26:$Q$29,4,FALSE)),1,0)</f>
        <v>0</v>
      </c>
      <c r="I122">
        <f>IF(AND(VLOOKUP(I$1,main!$A$3:$H$102,7,FALSE)=main!$G$104,VLOOKUP(I$1,main!$A$3:$H$102,5,FALSE)-VLOOKUP($A122,main!$A$3:$H$102,6,FALSE)&gt;=main!$D$103+VLOOKUP(VLOOKUP(I$1,main!$A$3:$I$102,7,FALSE),main!$K$26:$Q$29,4,FALSE)),1,0)</f>
        <v>0</v>
      </c>
      <c r="J122">
        <f>IF(AND(VLOOKUP(J$1,main!$A$3:$H$102,7,FALSE)=main!$G$104,VLOOKUP(J$1,main!$A$3:$H$102,5,FALSE)-VLOOKUP($A122,main!$A$3:$H$102,6,FALSE)&gt;=main!$D$103+VLOOKUP(VLOOKUP(J$1,main!$A$3:$I$102,7,FALSE),main!$K$26:$Q$29,4,FALSE)),1,0)</f>
        <v>0</v>
      </c>
      <c r="K122">
        <f>IF(AND(VLOOKUP(K$1,main!$A$3:$H$102,7,FALSE)=main!$G$104,VLOOKUP(K$1,main!$A$3:$H$102,5,FALSE)-VLOOKUP($A122,main!$A$3:$H$102,6,FALSE)&gt;=main!$D$103+VLOOKUP(VLOOKUP(K$1,main!$A$3:$I$102,7,FALSE),main!$K$26:$Q$29,4,FALSE)),1,0)</f>
        <v>0</v>
      </c>
      <c r="L122">
        <f>IF(AND(VLOOKUP(L$1,main!$A$3:$H$102,7,FALSE)=main!$G$104,VLOOKUP(L$1,main!$A$3:$H$102,5,FALSE)-VLOOKUP($A122,main!$A$3:$H$102,6,FALSE)&gt;=main!$D$103+VLOOKUP(VLOOKUP(L$1,main!$A$3:$I$102,7,FALSE),main!$K$26:$Q$29,4,FALSE)),1,0)</f>
        <v>0</v>
      </c>
      <c r="M122">
        <f>IF(AND(VLOOKUP(M$1,main!$A$3:$H$102,7,FALSE)=main!$G$104,VLOOKUP(M$1,main!$A$3:$H$102,5,FALSE)-VLOOKUP($A122,main!$A$3:$H$102,6,FALSE)&gt;=main!$D$103+VLOOKUP(VLOOKUP(M$1,main!$A$3:$I$102,7,FALSE),main!$K$26:$Q$29,4,FALSE)),1,0)</f>
        <v>0</v>
      </c>
      <c r="N122">
        <f>IF(AND(VLOOKUP(N$1,main!$A$3:$H$102,7,FALSE)=main!$G$104,VLOOKUP(N$1,main!$A$3:$H$102,5,FALSE)-VLOOKUP($A122,main!$A$3:$H$102,6,FALSE)&gt;=main!$D$103+VLOOKUP(VLOOKUP(N$1,main!$A$3:$I$102,7,FALSE),main!$K$26:$Q$29,4,FALSE)),1,0)</f>
        <v>0</v>
      </c>
      <c r="O122">
        <f>IF(AND(VLOOKUP(O$1,main!$A$3:$H$102,7,FALSE)=main!$G$104,VLOOKUP(O$1,main!$A$3:$H$102,5,FALSE)-VLOOKUP($A122,main!$A$3:$H$102,6,FALSE)&gt;=main!$D$103+VLOOKUP(VLOOKUP(O$1,main!$A$3:$I$102,7,FALSE),main!$K$26:$Q$29,4,FALSE)),1,0)</f>
        <v>0</v>
      </c>
      <c r="P122">
        <f>IF(AND(VLOOKUP(P$1,main!$A$3:$H$102,7,FALSE)=main!$G$104,VLOOKUP(P$1,main!$A$3:$H$102,5,FALSE)-VLOOKUP($A122,main!$A$3:$H$102,6,FALSE)&gt;=main!$D$103+VLOOKUP(VLOOKUP(P$1,main!$A$3:$I$102,7,FALSE),main!$K$26:$Q$29,4,FALSE)),1,0)</f>
        <v>0</v>
      </c>
      <c r="Q122">
        <f>IF(AND(VLOOKUP(Q$1,main!$A$3:$H$102,7,FALSE)=main!$G$104,VLOOKUP(Q$1,main!$A$3:$H$102,5,FALSE)-VLOOKUP($A122,main!$A$3:$H$102,6,FALSE)&gt;=main!$D$103+VLOOKUP(VLOOKUP(Q$1,main!$A$3:$I$102,7,FALSE),main!$K$26:$Q$29,4,FALSE)),1,0)</f>
        <v>0</v>
      </c>
      <c r="R122">
        <f>IF(AND(VLOOKUP(R$1,main!$A$3:$H$102,7,FALSE)=main!$G$104,VLOOKUP(R$1,main!$A$3:$H$102,5,FALSE)-VLOOKUP($A122,main!$A$3:$H$102,6,FALSE)&gt;=main!$D$103+VLOOKUP(VLOOKUP(R$1,main!$A$3:$I$102,7,FALSE),main!$K$26:$Q$29,4,FALSE)),1,0)</f>
        <v>0</v>
      </c>
      <c r="S122">
        <f>IF(AND(VLOOKUP(S$1,main!$A$3:$H$102,7,FALSE)=main!$G$104,VLOOKUP(S$1,main!$A$3:$H$102,5,FALSE)-VLOOKUP($A122,main!$A$3:$H$102,6,FALSE)&gt;=main!$D$103+VLOOKUP(VLOOKUP(S$1,main!$A$3:$I$102,7,FALSE),main!$K$26:$Q$29,4,FALSE)),1,0)</f>
        <v>0</v>
      </c>
      <c r="T122">
        <f>IF(AND(VLOOKUP(T$1,main!$A$3:$H$102,7,FALSE)=main!$G$104,VLOOKUP(T$1,main!$A$3:$H$102,5,FALSE)-VLOOKUP($A122,main!$A$3:$H$102,6,FALSE)&gt;=main!$D$103+VLOOKUP(VLOOKUP(T$1,main!$A$3:$I$102,7,FALSE),main!$K$26:$Q$29,4,FALSE)),1,0)</f>
        <v>0</v>
      </c>
      <c r="U122">
        <f>IF(AND(VLOOKUP(U$1,main!$A$3:$H$102,7,FALSE)=main!$G$104,VLOOKUP(U$1,main!$A$3:$H$102,5,FALSE)-VLOOKUP($A122,main!$A$3:$H$102,6,FALSE)&gt;=main!$D$103+VLOOKUP(VLOOKUP(U$1,main!$A$3:$I$102,7,FALSE),main!$K$26:$Q$29,4,FALSE)),1,0)</f>
        <v>0</v>
      </c>
      <c r="V122">
        <f>IF(AND(VLOOKUP(V$1,main!$A$3:$H$102,7,FALSE)=main!$G$104,VLOOKUP(V$1,main!$A$3:$H$102,5,FALSE)-VLOOKUP($A122,main!$A$3:$H$102,6,FALSE)&gt;=main!$D$103+VLOOKUP(VLOOKUP(V$1,main!$A$3:$I$102,7,FALSE),main!$K$26:$Q$29,4,FALSE)),1,0)</f>
        <v>0</v>
      </c>
      <c r="W122">
        <f>IF(AND(VLOOKUP(W$1,main!$A$3:$H$102,7,FALSE)=main!$G$104,VLOOKUP(W$1,main!$A$3:$H$102,5,FALSE)-VLOOKUP($A122,main!$A$3:$H$102,6,FALSE)&gt;=main!$D$103+VLOOKUP(VLOOKUP(W$1,main!$A$3:$I$102,7,FALSE),main!$K$26:$Q$29,4,FALSE)),1,0)</f>
        <v>0</v>
      </c>
      <c r="X122">
        <f>IF(AND(VLOOKUP(X$1,main!$A$3:$H$102,7,FALSE)=main!$G$104,VLOOKUP(X$1,main!$A$3:$H$102,5,FALSE)-VLOOKUP($A122,main!$A$3:$H$102,6,FALSE)&gt;=main!$D$103+VLOOKUP(VLOOKUP(X$1,main!$A$3:$I$102,7,FALSE),main!$K$26:$Q$29,4,FALSE)),1,0)</f>
        <v>0</v>
      </c>
      <c r="Y122">
        <f>IF(AND(VLOOKUP(Y$1,main!$A$3:$H$102,7,FALSE)=main!$G$104,VLOOKUP(Y$1,main!$A$3:$H$102,5,FALSE)-VLOOKUP($A122,main!$A$3:$H$102,6,FALSE)&gt;=main!$D$103+VLOOKUP(VLOOKUP(Y$1,main!$A$3:$I$102,7,FALSE),main!$K$26:$Q$29,4,FALSE)),1,0)</f>
        <v>0</v>
      </c>
      <c r="Z122">
        <f>IF(AND(VLOOKUP(Z$1,main!$A$3:$H$102,7,FALSE)=main!$G$104,VLOOKUP(Z$1,main!$A$3:$H$102,5,FALSE)-VLOOKUP($A122,main!$A$3:$H$102,6,FALSE)&gt;=main!$D$103+VLOOKUP(VLOOKUP(Z$1,main!$A$3:$I$102,7,FALSE),main!$K$26:$Q$29,4,FALSE)),1,0)</f>
        <v>0</v>
      </c>
      <c r="AA122">
        <f>IF(AND(VLOOKUP(AA$1,main!$A$3:$H$102,7,FALSE)=main!$G$104,VLOOKUP(AA$1,main!$A$3:$H$102,5,FALSE)-VLOOKUP($A122,main!$A$3:$H$102,6,FALSE)&gt;=main!$D$103+VLOOKUP(VLOOKUP(AA$1,main!$A$3:$I$102,7,FALSE),main!$K$26:$Q$29,4,FALSE)),1,0)</f>
        <v>0</v>
      </c>
      <c r="AB122">
        <f>IF(AND(VLOOKUP(AB$1,main!$A$3:$H$102,7,FALSE)=main!$G$104,VLOOKUP(AB$1,main!$A$3:$H$102,5,FALSE)-VLOOKUP($A122,main!$A$3:$H$102,6,FALSE)&gt;=main!$D$103+VLOOKUP(VLOOKUP(AB$1,main!$A$3:$I$102,7,FALSE),main!$K$26:$Q$29,4,FALSE)),1,0)</f>
        <v>0</v>
      </c>
      <c r="AC122">
        <f>IF(AND(VLOOKUP(AC$1,main!$A$3:$H$102,7,FALSE)=main!$G$104,VLOOKUP(AC$1,main!$A$3:$H$102,5,FALSE)-VLOOKUP($A122,main!$A$3:$H$102,6,FALSE)&gt;=main!$D$103+VLOOKUP(VLOOKUP(AC$1,main!$A$3:$I$102,7,FALSE),main!$K$26:$Q$29,4,FALSE)),1,0)</f>
        <v>0</v>
      </c>
      <c r="AD122">
        <f>IF(AND(VLOOKUP(AD$1,main!$A$3:$H$102,7,FALSE)=main!$G$104,VLOOKUP(AD$1,main!$A$3:$H$102,5,FALSE)-VLOOKUP($A122,main!$A$3:$H$102,6,FALSE)&gt;=main!$D$103+VLOOKUP(VLOOKUP(AD$1,main!$A$3:$I$102,7,FALSE),main!$K$26:$Q$29,4,FALSE)),1,0)</f>
        <v>0</v>
      </c>
      <c r="AE122">
        <f>IF(AND(VLOOKUP(AE$1,main!$A$3:$H$102,7,FALSE)=main!$G$104,VLOOKUP(AE$1,main!$A$3:$H$102,5,FALSE)-VLOOKUP($A122,main!$A$3:$H$102,6,FALSE)&gt;=main!$D$103+VLOOKUP(VLOOKUP(AE$1,main!$A$3:$I$102,7,FALSE),main!$K$26:$Q$29,4,FALSE)),1,0)</f>
        <v>0</v>
      </c>
      <c r="AF122">
        <f>IF(AND(VLOOKUP(AF$1,main!$A$3:$H$102,7,FALSE)=main!$G$104,VLOOKUP(AF$1,main!$A$3:$H$102,5,FALSE)-VLOOKUP($A122,main!$A$3:$H$102,6,FALSE)&gt;=main!$D$103+VLOOKUP(VLOOKUP(AF$1,main!$A$3:$I$102,7,FALSE),main!$K$26:$Q$29,4,FALSE)),1,0)</f>
        <v>0</v>
      </c>
      <c r="AG122">
        <f>IF(AND(VLOOKUP(AG$1,main!$A$3:$H$102,7,FALSE)=main!$G$104,VLOOKUP(AG$1,main!$A$3:$H$102,5,FALSE)-VLOOKUP($A122,main!$A$3:$H$102,6,FALSE)&gt;=main!$D$103+VLOOKUP(VLOOKUP(AG$1,main!$A$3:$I$102,7,FALSE),main!$K$26:$Q$29,4,FALSE)),1,0)</f>
        <v>0</v>
      </c>
      <c r="AH122">
        <f>IF(AND(VLOOKUP(AH$1,main!$A$3:$H$102,7,FALSE)=main!$G$104,VLOOKUP(AH$1,main!$A$3:$H$102,5,FALSE)-VLOOKUP($A122,main!$A$3:$H$102,6,FALSE)&gt;=main!$D$103+VLOOKUP(VLOOKUP(AH$1,main!$A$3:$I$102,7,FALSE),main!$K$26:$Q$29,4,FALSE)),1,0)</f>
        <v>0</v>
      </c>
      <c r="AI122">
        <f>IF(AND(VLOOKUP(AI$1,main!$A$3:$H$102,7,FALSE)=main!$G$104,VLOOKUP(AI$1,main!$A$3:$H$102,5,FALSE)-VLOOKUP($A122,main!$A$3:$H$102,6,FALSE)&gt;=main!$D$103+VLOOKUP(VLOOKUP(AI$1,main!$A$3:$I$102,7,FALSE),main!$K$26:$Q$29,4,FALSE)),1,0)</f>
        <v>0</v>
      </c>
      <c r="AJ122">
        <f>IF(AND(VLOOKUP(AJ$1,main!$A$3:$H$102,7,FALSE)=main!$G$104,VLOOKUP(AJ$1,main!$A$3:$H$102,5,FALSE)-VLOOKUP($A122,main!$A$3:$H$102,6,FALSE)&gt;=main!$D$103+VLOOKUP(VLOOKUP(AJ$1,main!$A$3:$I$102,7,FALSE),main!$K$26:$Q$29,4,FALSE)),1,0)</f>
        <v>0</v>
      </c>
      <c r="AK122">
        <f>IF(AND(VLOOKUP(AK$1,main!$A$3:$H$102,7,FALSE)=main!$G$104,VLOOKUP(AK$1,main!$A$3:$H$102,5,FALSE)-VLOOKUP($A122,main!$A$3:$H$102,6,FALSE)&gt;=main!$D$103+VLOOKUP(VLOOKUP(AK$1,main!$A$3:$I$102,7,FALSE),main!$K$26:$Q$29,4,FALSE)),1,0)</f>
        <v>0</v>
      </c>
      <c r="AL122">
        <f>IF(AND(VLOOKUP(AL$1,main!$A$3:$H$102,7,FALSE)=main!$G$104,VLOOKUP(AL$1,main!$A$3:$H$102,5,FALSE)-VLOOKUP($A122,main!$A$3:$H$102,6,FALSE)&gt;=main!$D$103+VLOOKUP(VLOOKUP(AL$1,main!$A$3:$I$102,7,FALSE),main!$K$26:$Q$29,4,FALSE)),1,0)</f>
        <v>0</v>
      </c>
      <c r="AM122">
        <f>IF(AND(VLOOKUP(AM$1,main!$A$3:$H$102,7,FALSE)=main!$G$104,VLOOKUP(AM$1,main!$A$3:$H$102,5,FALSE)-VLOOKUP($A122,main!$A$3:$H$102,6,FALSE)&gt;=main!$D$103+VLOOKUP(VLOOKUP(AM$1,main!$A$3:$I$102,7,FALSE),main!$K$26:$Q$29,4,FALSE)),1,0)</f>
        <v>0</v>
      </c>
      <c r="AN122">
        <f>IF(AND(VLOOKUP(AN$1,main!$A$3:$H$102,7,FALSE)=main!$G$104,VLOOKUP(AN$1,main!$A$3:$H$102,5,FALSE)-VLOOKUP($A122,main!$A$3:$H$102,6,FALSE)&gt;=main!$D$103+VLOOKUP(VLOOKUP(AN$1,main!$A$3:$I$102,7,FALSE),main!$K$26:$Q$29,4,FALSE)),1,0)</f>
        <v>0</v>
      </c>
      <c r="AO122">
        <f>IF(AND(VLOOKUP(AO$1,main!$A$3:$H$102,7,FALSE)=main!$G$104,VLOOKUP(AO$1,main!$A$3:$H$102,5,FALSE)-VLOOKUP($A122,main!$A$3:$H$102,6,FALSE)&gt;=main!$D$103+VLOOKUP(VLOOKUP(AO$1,main!$A$3:$I$102,7,FALSE),main!$K$26:$Q$29,4,FALSE)),1,0)</f>
        <v>0</v>
      </c>
      <c r="AP122">
        <f>IF(AND(VLOOKUP(AP$1,main!$A$3:$H$102,7,FALSE)=main!$G$104,VLOOKUP(AP$1,main!$A$3:$H$102,5,FALSE)-VLOOKUP($A122,main!$A$3:$H$102,6,FALSE)&gt;=main!$D$103+VLOOKUP(VLOOKUP(AP$1,main!$A$3:$I$102,7,FALSE),main!$K$26:$Q$29,4,FALSE)),1,0)</f>
        <v>0</v>
      </c>
      <c r="AQ122">
        <f>IF(AND(VLOOKUP(AQ$1,main!$A$3:$H$102,7,FALSE)=main!$G$104,VLOOKUP(AQ$1,main!$A$3:$H$102,5,FALSE)-VLOOKUP($A122,main!$A$3:$H$102,6,FALSE)&gt;=main!$D$103+VLOOKUP(VLOOKUP(AQ$1,main!$A$3:$I$102,7,FALSE),main!$K$26:$Q$29,4,FALSE)),1,0)</f>
        <v>0</v>
      </c>
      <c r="AR122">
        <f>IF(AND(VLOOKUP(AR$1,main!$A$3:$H$102,7,FALSE)=main!$G$104,VLOOKUP(AR$1,main!$A$3:$H$102,5,FALSE)-VLOOKUP($A122,main!$A$3:$H$102,6,FALSE)&gt;=main!$D$103+VLOOKUP(VLOOKUP(AR$1,main!$A$3:$I$102,7,FALSE),main!$K$26:$Q$29,4,FALSE)),1,0)</f>
        <v>0</v>
      </c>
      <c r="AS122">
        <f>IF(AND(VLOOKUP(AS$1,main!$A$3:$H$102,7,FALSE)=main!$G$104,VLOOKUP(AS$1,main!$A$3:$H$102,5,FALSE)-VLOOKUP($A122,main!$A$3:$H$102,6,FALSE)&gt;=main!$D$103+VLOOKUP(VLOOKUP(AS$1,main!$A$3:$I$102,7,FALSE),main!$K$26:$Q$29,4,FALSE)),1,0)</f>
        <v>0</v>
      </c>
      <c r="AT122">
        <f>IF(AND(VLOOKUP(AT$1,main!$A$3:$H$102,7,FALSE)=main!$G$104,VLOOKUP(AT$1,main!$A$3:$H$102,5,FALSE)-VLOOKUP($A122,main!$A$3:$H$102,6,FALSE)&gt;=main!$D$103+VLOOKUP(VLOOKUP(AT$1,main!$A$3:$I$102,7,FALSE),main!$K$26:$Q$29,4,FALSE)),1,0)</f>
        <v>0</v>
      </c>
      <c r="AU122">
        <f>IF(AND(VLOOKUP(AU$1,main!$A$3:$H$102,7,FALSE)=main!$G$104,VLOOKUP(AU$1,main!$A$3:$H$102,5,FALSE)-VLOOKUP($A122,main!$A$3:$H$102,6,FALSE)&gt;=main!$D$103+VLOOKUP(VLOOKUP(AU$1,main!$A$3:$I$102,7,FALSE),main!$K$26:$Q$29,4,FALSE)),1,0)</f>
        <v>0</v>
      </c>
      <c r="AV122">
        <f>IF(AND(VLOOKUP(AV$1,main!$A$3:$H$102,7,FALSE)=main!$G$104,VLOOKUP(AV$1,main!$A$3:$H$102,5,FALSE)-VLOOKUP($A122,main!$A$3:$H$102,6,FALSE)&gt;=main!$D$103+VLOOKUP(VLOOKUP(AV$1,main!$A$3:$I$102,7,FALSE),main!$K$26:$Q$29,4,FALSE)),1,0)</f>
        <v>0</v>
      </c>
      <c r="AW122">
        <f>IF(AND(VLOOKUP(AW$1,main!$A$3:$H$102,7,FALSE)=main!$G$104,VLOOKUP(AW$1,main!$A$3:$H$102,5,FALSE)-VLOOKUP($A122,main!$A$3:$H$102,6,FALSE)&gt;=main!$D$103+VLOOKUP(VLOOKUP(AW$1,main!$A$3:$I$102,7,FALSE),main!$K$26:$Q$29,4,FALSE)),1,0)</f>
        <v>0</v>
      </c>
      <c r="AX122">
        <f>IF(AND(VLOOKUP(AX$1,main!$A$3:$H$102,7,FALSE)=main!$G$104,VLOOKUP(AX$1,main!$A$3:$H$102,5,FALSE)-VLOOKUP($A122,main!$A$3:$H$102,6,FALSE)&gt;=main!$D$103+VLOOKUP(VLOOKUP(AX$1,main!$A$3:$I$102,7,FALSE),main!$K$26:$Q$29,4,FALSE)),1,0)</f>
        <v>0</v>
      </c>
      <c r="AY122">
        <f>IF(AND(VLOOKUP(AY$1,main!$A$3:$H$102,7,FALSE)=main!$G$104,VLOOKUP(AY$1,main!$A$3:$H$102,5,FALSE)-VLOOKUP($A122,main!$A$3:$H$102,6,FALSE)&gt;=main!$D$103+VLOOKUP(VLOOKUP(AY$1,main!$A$3:$I$102,7,FALSE),main!$K$26:$Q$29,4,FALSE)),1,0)</f>
        <v>0</v>
      </c>
      <c r="AZ122">
        <f>IF(AND(VLOOKUP(AZ$1,main!$A$3:$H$102,7,FALSE)=main!$G$104,VLOOKUP(AZ$1,main!$A$3:$H$102,5,FALSE)-VLOOKUP($A122,main!$A$3:$H$102,6,FALSE)&gt;=main!$D$103+VLOOKUP(VLOOKUP(AZ$1,main!$A$3:$I$102,7,FALSE),main!$K$26:$Q$29,4,FALSE)),1,0)</f>
        <v>0</v>
      </c>
      <c r="BA122">
        <f>IF(AND(VLOOKUP(BA$1,main!$A$3:$H$102,7,FALSE)=main!$G$104,VLOOKUP(BA$1,main!$A$3:$H$102,5,FALSE)-VLOOKUP($A122,main!$A$3:$H$102,6,FALSE)&gt;=main!$D$103+VLOOKUP(VLOOKUP(BA$1,main!$A$3:$I$102,7,FALSE),main!$K$26:$Q$29,4,FALSE)),1,0)</f>
        <v>0</v>
      </c>
      <c r="BB122">
        <f>IF(AND(VLOOKUP(BB$1,main!$A$3:$H$102,7,FALSE)=main!$G$104,VLOOKUP(BB$1,main!$A$3:$H$102,5,FALSE)-VLOOKUP($A122,main!$A$3:$H$102,6,FALSE)&gt;=main!$D$103+VLOOKUP(VLOOKUP(BB$1,main!$A$3:$I$102,7,FALSE),main!$K$26:$Q$29,4,FALSE)),1,0)</f>
        <v>0</v>
      </c>
      <c r="BC122">
        <f>IF(AND(VLOOKUP(BC$1,main!$A$3:$H$102,7,FALSE)=main!$G$104,VLOOKUP(BC$1,main!$A$3:$H$102,5,FALSE)-VLOOKUP($A122,main!$A$3:$H$102,6,FALSE)&gt;=main!$D$103+VLOOKUP(VLOOKUP(BC$1,main!$A$3:$I$102,7,FALSE),main!$K$26:$Q$29,4,FALSE)),1,0)</f>
        <v>0</v>
      </c>
      <c r="BD122">
        <f>IF(AND(VLOOKUP(BD$1,main!$A$3:$H$102,7,FALSE)=main!$G$104,VLOOKUP(BD$1,main!$A$3:$H$102,5,FALSE)-VLOOKUP($A122,main!$A$3:$H$102,6,FALSE)&gt;=main!$D$103+VLOOKUP(VLOOKUP(BD$1,main!$A$3:$I$102,7,FALSE),main!$K$26:$Q$29,4,FALSE)),1,0)</f>
        <v>0</v>
      </c>
      <c r="BE122">
        <f>IF(AND(VLOOKUP(BE$1,main!$A$3:$H$102,7,FALSE)=main!$G$104,VLOOKUP(BE$1,main!$A$3:$H$102,5,FALSE)-VLOOKUP($A122,main!$A$3:$H$102,6,FALSE)&gt;=main!$D$103+VLOOKUP(VLOOKUP(BE$1,main!$A$3:$I$102,7,FALSE),main!$K$26:$Q$29,4,FALSE)),1,0)</f>
        <v>0</v>
      </c>
      <c r="BF122">
        <f>IF(AND(VLOOKUP(BF$1,main!$A$3:$H$102,7,FALSE)=main!$G$104,VLOOKUP(BF$1,main!$A$3:$H$102,5,FALSE)-VLOOKUP($A122,main!$A$3:$H$102,6,FALSE)&gt;=main!$D$103+VLOOKUP(VLOOKUP(BF$1,main!$A$3:$I$102,7,FALSE),main!$K$26:$Q$29,4,FALSE)),1,0)</f>
        <v>0</v>
      </c>
      <c r="BG122">
        <f>IF(AND(VLOOKUP(BG$1,main!$A$3:$H$102,7,FALSE)=main!$G$104,VLOOKUP(BG$1,main!$A$3:$H$102,5,FALSE)-VLOOKUP($A122,main!$A$3:$H$102,6,FALSE)&gt;=main!$D$103+VLOOKUP(VLOOKUP(BG$1,main!$A$3:$I$102,7,FALSE),main!$K$26:$Q$29,4,FALSE)),1,0)</f>
        <v>0</v>
      </c>
      <c r="BH122">
        <f>IF(AND(VLOOKUP(BH$1,main!$A$3:$H$102,7,FALSE)=main!$G$104,VLOOKUP(BH$1,main!$A$3:$H$102,5,FALSE)-VLOOKUP($A122,main!$A$3:$H$102,6,FALSE)&gt;=main!$D$103+VLOOKUP(VLOOKUP(BH$1,main!$A$3:$I$102,7,FALSE),main!$K$26:$Q$29,4,FALSE)),1,0)</f>
        <v>0</v>
      </c>
      <c r="BI122">
        <f>IF(AND(VLOOKUP(BI$1,main!$A$3:$H$102,7,FALSE)=main!$G$104,VLOOKUP(BI$1,main!$A$3:$H$102,5,FALSE)-VLOOKUP($A122,main!$A$3:$H$102,6,FALSE)&gt;=main!$D$103+VLOOKUP(VLOOKUP(BI$1,main!$A$3:$I$102,7,FALSE),main!$K$26:$Q$29,4,FALSE)),1,0)</f>
        <v>0</v>
      </c>
      <c r="BJ122">
        <f>IF(AND(VLOOKUP(BJ$1,main!$A$3:$H$102,7,FALSE)=main!$G$104,VLOOKUP(BJ$1,main!$A$3:$H$102,5,FALSE)-VLOOKUP($A122,main!$A$3:$H$102,6,FALSE)&gt;=main!$D$103+VLOOKUP(VLOOKUP(BJ$1,main!$A$3:$I$102,7,FALSE),main!$K$26:$Q$29,4,FALSE)),1,0)</f>
        <v>0</v>
      </c>
      <c r="BK122">
        <f>IF(AND(VLOOKUP(BK$1,main!$A$3:$H$102,7,FALSE)=main!$G$104,VLOOKUP(BK$1,main!$A$3:$H$102,5,FALSE)-VLOOKUP($A122,main!$A$3:$H$102,6,FALSE)&gt;=main!$D$103+VLOOKUP(VLOOKUP(BK$1,main!$A$3:$I$102,7,FALSE),main!$K$26:$Q$29,4,FALSE)),1,0)</f>
        <v>0</v>
      </c>
      <c r="BL122">
        <f>IF(AND(VLOOKUP(BL$1,main!$A$3:$H$102,7,FALSE)=main!$G$104,VLOOKUP(BL$1,main!$A$3:$H$102,5,FALSE)-VLOOKUP($A122,main!$A$3:$H$102,6,FALSE)&gt;=main!$D$103+VLOOKUP(VLOOKUP(BL$1,main!$A$3:$I$102,7,FALSE),main!$K$26:$Q$29,4,FALSE)),1,0)</f>
        <v>0</v>
      </c>
      <c r="BM122">
        <f>IF(AND(VLOOKUP(BM$1,main!$A$3:$H$102,7,FALSE)=main!$G$104,VLOOKUP(BM$1,main!$A$3:$H$102,5,FALSE)-VLOOKUP($A122,main!$A$3:$H$102,6,FALSE)&gt;=main!$D$103+VLOOKUP(VLOOKUP(BM$1,main!$A$3:$I$102,7,FALSE),main!$K$26:$Q$29,4,FALSE)),1,0)</f>
        <v>0</v>
      </c>
      <c r="BN122">
        <f>IF(AND(VLOOKUP(BN$1,main!$A$3:$H$102,7,FALSE)=main!$G$104,VLOOKUP(BN$1,main!$A$3:$H$102,5,FALSE)-VLOOKUP($A122,main!$A$3:$H$102,6,FALSE)&gt;=main!$D$103+VLOOKUP(VLOOKUP(BN$1,main!$A$3:$I$102,7,FALSE),main!$K$26:$Q$29,4,FALSE)),1,0)</f>
        <v>0</v>
      </c>
      <c r="BO122">
        <f>IF(AND(VLOOKUP(BO$1,main!$A$3:$H$102,7,FALSE)=main!$G$104,VLOOKUP(BO$1,main!$A$3:$H$102,5,FALSE)-VLOOKUP($A122,main!$A$3:$H$102,6,FALSE)&gt;=main!$D$103+VLOOKUP(VLOOKUP(BO$1,main!$A$3:$I$102,7,FALSE),main!$K$26:$Q$29,4,FALSE)),1,0)</f>
        <v>0</v>
      </c>
      <c r="BP122">
        <f>IF(AND(VLOOKUP(BP$1,main!$A$3:$H$102,7,FALSE)=main!$G$104,VLOOKUP(BP$1,main!$A$3:$H$102,5,FALSE)-VLOOKUP($A122,main!$A$3:$H$102,6,FALSE)&gt;=main!$D$103+VLOOKUP(VLOOKUP(BP$1,main!$A$3:$I$102,7,FALSE),main!$K$26:$Q$29,4,FALSE)),1,0)</f>
        <v>0</v>
      </c>
      <c r="BQ122">
        <f>IF(AND(VLOOKUP(BQ$1,main!$A$3:$H$102,7,FALSE)=main!$G$104,VLOOKUP(BQ$1,main!$A$3:$H$102,5,FALSE)-VLOOKUP($A122,main!$A$3:$H$102,6,FALSE)&gt;=main!$D$103+VLOOKUP(VLOOKUP(BQ$1,main!$A$3:$I$102,7,FALSE),main!$K$26:$Q$29,4,FALSE)),1,0)</f>
        <v>0</v>
      </c>
      <c r="BR122">
        <f>IF(AND(VLOOKUP(BR$1,main!$A$3:$H$102,7,FALSE)=main!$G$104,VLOOKUP(BR$1,main!$A$3:$H$102,5,FALSE)-VLOOKUP($A122,main!$A$3:$H$102,6,FALSE)&gt;=main!$D$103+VLOOKUP(VLOOKUP(BR$1,main!$A$3:$I$102,7,FALSE),main!$K$26:$Q$29,4,FALSE)),1,0)</f>
        <v>0</v>
      </c>
      <c r="BS122">
        <f>IF(AND(VLOOKUP(BS$1,main!$A$3:$H$102,7,FALSE)=main!$G$104,VLOOKUP(BS$1,main!$A$3:$H$102,5,FALSE)-VLOOKUP($A122,main!$A$3:$H$102,6,FALSE)&gt;=main!$D$103+VLOOKUP(VLOOKUP(BS$1,main!$A$3:$I$102,7,FALSE),main!$K$26:$Q$29,4,FALSE)),1,0)</f>
        <v>0</v>
      </c>
      <c r="BT122">
        <f>IF(AND(VLOOKUP(BT$1,main!$A$3:$H$102,7,FALSE)=main!$G$104,VLOOKUP(BT$1,main!$A$3:$H$102,5,FALSE)-VLOOKUP($A122,main!$A$3:$H$102,6,FALSE)&gt;=main!$D$103+VLOOKUP(VLOOKUP(BT$1,main!$A$3:$I$102,7,FALSE),main!$K$26:$Q$29,4,FALSE)),1,0)</f>
        <v>0</v>
      </c>
      <c r="BU122">
        <f>IF(AND(VLOOKUP(BU$1,main!$A$3:$H$102,7,FALSE)=main!$G$104,VLOOKUP(BU$1,main!$A$3:$H$102,5,FALSE)-VLOOKUP($A122,main!$A$3:$H$102,6,FALSE)&gt;=main!$D$103+VLOOKUP(VLOOKUP(BU$1,main!$A$3:$I$102,7,FALSE),main!$K$26:$Q$29,4,FALSE)),1,0)</f>
        <v>0</v>
      </c>
      <c r="BV122">
        <f>IF(AND(VLOOKUP(BV$1,main!$A$3:$H$102,7,FALSE)=main!$G$104,VLOOKUP(BV$1,main!$A$3:$H$102,5,FALSE)-VLOOKUP($A122,main!$A$3:$H$102,6,FALSE)&gt;=main!$D$103+VLOOKUP(VLOOKUP(BV$1,main!$A$3:$I$102,7,FALSE),main!$K$26:$Q$29,4,FALSE)),1,0)</f>
        <v>0</v>
      </c>
      <c r="BW122">
        <f>IF(AND(VLOOKUP(BW$1,main!$A$3:$H$102,7,FALSE)=main!$G$104,VLOOKUP(BW$1,main!$A$3:$H$102,5,FALSE)-VLOOKUP($A122,main!$A$3:$H$102,6,FALSE)&gt;=main!$D$103+VLOOKUP(VLOOKUP(BW$1,main!$A$3:$I$102,7,FALSE),main!$K$26:$Q$29,4,FALSE)),1,0)</f>
        <v>0</v>
      </c>
      <c r="BX122">
        <f>IF(AND(VLOOKUP(BX$1,main!$A$3:$H$102,7,FALSE)=main!$G$104,VLOOKUP(BX$1,main!$A$3:$H$102,5,FALSE)-VLOOKUP($A122,main!$A$3:$H$102,6,FALSE)&gt;=main!$D$103+VLOOKUP(VLOOKUP(BX$1,main!$A$3:$I$102,7,FALSE),main!$K$26:$Q$29,4,FALSE)),1,0)</f>
        <v>0</v>
      </c>
      <c r="BY122">
        <f>IF(AND(VLOOKUP(BY$1,main!$A$3:$H$102,7,FALSE)=main!$G$104,VLOOKUP(BY$1,main!$A$3:$H$102,5,FALSE)-VLOOKUP($A122,main!$A$3:$H$102,6,FALSE)&gt;=main!$D$103+VLOOKUP(VLOOKUP(BY$1,main!$A$3:$I$102,7,FALSE),main!$K$26:$Q$29,4,FALSE)),1,0)</f>
        <v>0</v>
      </c>
      <c r="BZ122">
        <f>IF(AND(VLOOKUP(BZ$1,main!$A$3:$H$102,7,FALSE)=main!$G$104,VLOOKUP(BZ$1,main!$A$3:$H$102,5,FALSE)-VLOOKUP($A122,main!$A$3:$H$102,6,FALSE)&gt;=main!$D$103+VLOOKUP(VLOOKUP(BZ$1,main!$A$3:$I$102,7,FALSE),main!$K$26:$Q$29,4,FALSE)),1,0)</f>
        <v>0</v>
      </c>
      <c r="CA122">
        <f>IF(AND(VLOOKUP(CA$1,main!$A$3:$H$102,7,FALSE)=main!$G$104,VLOOKUP(CA$1,main!$A$3:$H$102,5,FALSE)-VLOOKUP($A122,main!$A$3:$H$102,6,FALSE)&gt;=main!$D$103+VLOOKUP(VLOOKUP(CA$1,main!$A$3:$I$102,7,FALSE),main!$K$26:$Q$29,4,FALSE)),1,0)</f>
        <v>0</v>
      </c>
      <c r="CB122">
        <f>IF(AND(VLOOKUP(CB$1,main!$A$3:$H$102,7,FALSE)=main!$G$104,VLOOKUP(CB$1,main!$A$3:$H$102,5,FALSE)-VLOOKUP($A122,main!$A$3:$H$102,6,FALSE)&gt;=main!$D$103+VLOOKUP(VLOOKUP(CB$1,main!$A$3:$I$102,7,FALSE),main!$K$26:$Q$29,4,FALSE)),1,0)</f>
        <v>0</v>
      </c>
      <c r="CC122">
        <f>IF(AND(VLOOKUP(CC$1,main!$A$3:$H$102,7,FALSE)=main!$G$104,VLOOKUP(CC$1,main!$A$3:$H$102,5,FALSE)-VLOOKUP($A122,main!$A$3:$H$102,6,FALSE)&gt;=main!$D$103+VLOOKUP(VLOOKUP(CC$1,main!$A$3:$I$102,7,FALSE),main!$K$26:$Q$29,4,FALSE)),1,0)</f>
        <v>0</v>
      </c>
      <c r="CD122">
        <f>IF(AND(VLOOKUP(CD$1,main!$A$3:$H$102,7,FALSE)=main!$G$104,VLOOKUP(CD$1,main!$A$3:$H$102,5,FALSE)-VLOOKUP($A122,main!$A$3:$H$102,6,FALSE)&gt;=main!$D$103+VLOOKUP(VLOOKUP(CD$1,main!$A$3:$I$102,7,FALSE),main!$K$26:$Q$29,4,FALSE)),1,0)</f>
        <v>0</v>
      </c>
      <c r="CE122">
        <f>IF(AND(VLOOKUP(CE$1,main!$A$3:$H$102,7,FALSE)=main!$G$104,VLOOKUP(CE$1,main!$A$3:$H$102,5,FALSE)-VLOOKUP($A122,main!$A$3:$H$102,6,FALSE)&gt;=main!$D$103+VLOOKUP(VLOOKUP(CE$1,main!$A$3:$I$102,7,FALSE),main!$K$26:$Q$29,4,FALSE)),1,0)</f>
        <v>0</v>
      </c>
      <c r="CF122">
        <f>IF(AND(VLOOKUP(CF$1,main!$A$3:$H$102,7,FALSE)=main!$G$104,VLOOKUP(CF$1,main!$A$3:$H$102,5,FALSE)-VLOOKUP($A122,main!$A$3:$H$102,6,FALSE)&gt;=main!$D$103+VLOOKUP(VLOOKUP(CF$1,main!$A$3:$I$102,7,FALSE),main!$K$26:$Q$29,4,FALSE)),1,0)</f>
        <v>0</v>
      </c>
      <c r="CG122">
        <f>IF(AND(VLOOKUP(CG$1,main!$A$3:$H$102,7,FALSE)=main!$G$104,VLOOKUP(CG$1,main!$A$3:$H$102,5,FALSE)-VLOOKUP($A122,main!$A$3:$H$102,6,FALSE)&gt;=main!$D$103+VLOOKUP(VLOOKUP(CG$1,main!$A$3:$I$102,7,FALSE),main!$K$26:$Q$29,4,FALSE)),1,0)</f>
        <v>0</v>
      </c>
      <c r="CH122">
        <f>IF(AND(VLOOKUP(CH$1,main!$A$3:$H$102,7,FALSE)=main!$G$104,VLOOKUP(CH$1,main!$A$3:$H$102,5,FALSE)-VLOOKUP($A122,main!$A$3:$H$102,6,FALSE)&gt;=main!$D$103+VLOOKUP(VLOOKUP(CH$1,main!$A$3:$I$102,7,FALSE),main!$K$26:$Q$29,4,FALSE)),1,0)</f>
        <v>0</v>
      </c>
      <c r="CI122">
        <f>IF(AND(VLOOKUP(CI$1,main!$A$3:$H$102,7,FALSE)=main!$G$104,VLOOKUP(CI$1,main!$A$3:$H$102,5,FALSE)-VLOOKUP($A122,main!$A$3:$H$102,6,FALSE)&gt;=main!$D$103+VLOOKUP(VLOOKUP(CI$1,main!$A$3:$I$102,7,FALSE),main!$K$26:$Q$29,4,FALSE)),1,0)</f>
        <v>0</v>
      </c>
      <c r="CJ122">
        <f>IF(AND(VLOOKUP(CJ$1,main!$A$3:$H$102,7,FALSE)=main!$G$104,VLOOKUP(CJ$1,main!$A$3:$H$102,5,FALSE)-VLOOKUP($A122,main!$A$3:$H$102,6,FALSE)&gt;=main!$D$103+VLOOKUP(VLOOKUP(CJ$1,main!$A$3:$I$102,7,FALSE),main!$K$26:$Q$29,4,FALSE)),1,0)</f>
        <v>0</v>
      </c>
      <c r="CK122">
        <f>IF(AND(VLOOKUP(CK$1,main!$A$3:$H$102,7,FALSE)=main!$G$104,VLOOKUP(CK$1,main!$A$3:$H$102,5,FALSE)-VLOOKUP($A122,main!$A$3:$H$102,6,FALSE)&gt;=main!$D$103+VLOOKUP(VLOOKUP(CK$1,main!$A$3:$I$102,7,FALSE),main!$K$26:$Q$29,4,FALSE)),1,0)</f>
        <v>0</v>
      </c>
      <c r="CL122">
        <f>IF(AND(VLOOKUP(CL$1,main!$A$3:$H$102,7,FALSE)=main!$G$104,VLOOKUP(CL$1,main!$A$3:$H$102,5,FALSE)-VLOOKUP($A122,main!$A$3:$H$102,6,FALSE)&gt;=main!$D$103+VLOOKUP(VLOOKUP(CL$1,main!$A$3:$I$102,7,FALSE),main!$K$26:$Q$29,4,FALSE)),1,0)</f>
        <v>0</v>
      </c>
      <c r="CM122">
        <f>IF(AND(VLOOKUP(CM$1,main!$A$3:$H$102,7,FALSE)=main!$G$104,VLOOKUP(CM$1,main!$A$3:$H$102,5,FALSE)-VLOOKUP($A122,main!$A$3:$H$102,6,FALSE)&gt;=main!$D$103+VLOOKUP(VLOOKUP(CM$1,main!$A$3:$I$102,7,FALSE),main!$K$26:$Q$29,4,FALSE)),1,0)</f>
        <v>0</v>
      </c>
      <c r="CN122">
        <f>IF(AND(VLOOKUP(CN$1,main!$A$3:$H$102,7,FALSE)=main!$G$104,VLOOKUP(CN$1,main!$A$3:$H$102,5,FALSE)-VLOOKUP($A122,main!$A$3:$H$102,6,FALSE)&gt;=main!$D$103+VLOOKUP(VLOOKUP(CN$1,main!$A$3:$I$102,7,FALSE),main!$K$26:$Q$29,4,FALSE)),1,0)</f>
        <v>0</v>
      </c>
      <c r="CO122">
        <f>IF(AND(VLOOKUP(CO$1,main!$A$3:$H$102,7,FALSE)=main!$G$104,VLOOKUP(CO$1,main!$A$3:$H$102,5,FALSE)-VLOOKUP($A122,main!$A$3:$H$102,6,FALSE)&gt;=main!$D$103+VLOOKUP(VLOOKUP(CO$1,main!$A$3:$I$102,7,FALSE),main!$K$26:$Q$29,4,FALSE)),1,0)</f>
        <v>0</v>
      </c>
      <c r="CP122">
        <f>IF(AND(VLOOKUP(CP$1,main!$A$3:$H$102,7,FALSE)=main!$G$104,VLOOKUP(CP$1,main!$A$3:$H$102,5,FALSE)-VLOOKUP($A122,main!$A$3:$H$102,6,FALSE)&gt;=main!$D$103+VLOOKUP(VLOOKUP(CP$1,main!$A$3:$I$102,7,FALSE),main!$K$26:$Q$29,4,FALSE)),1,0)</f>
        <v>0</v>
      </c>
      <c r="CQ122">
        <f>IF(AND(VLOOKUP(CQ$1,main!$A$3:$H$102,7,FALSE)=main!$G$104,VLOOKUP(CQ$1,main!$A$3:$H$102,5,FALSE)-VLOOKUP($A122,main!$A$3:$H$102,6,FALSE)&gt;=main!$D$103+VLOOKUP(VLOOKUP(CQ$1,main!$A$3:$I$102,7,FALSE),main!$K$26:$Q$29,4,FALSE)),1,0)</f>
        <v>0</v>
      </c>
      <c r="CR122">
        <f>IF(AND(VLOOKUP(CR$1,main!$A$3:$H$102,7,FALSE)=main!$G$104,VLOOKUP(CR$1,main!$A$3:$H$102,5,FALSE)-VLOOKUP($A122,main!$A$3:$H$102,6,FALSE)&gt;=main!$D$103+VLOOKUP(VLOOKUP(CR$1,main!$A$3:$I$102,7,FALSE),main!$K$26:$Q$29,4,FALSE)),1,0)</f>
        <v>0</v>
      </c>
      <c r="CS122">
        <f>IF(AND(VLOOKUP(CS$1,main!$A$3:$H$102,7,FALSE)=main!$G$104,VLOOKUP(CS$1,main!$A$3:$H$102,5,FALSE)-VLOOKUP($A122,main!$A$3:$H$102,6,FALSE)&gt;=main!$D$103+VLOOKUP(VLOOKUP(CS$1,main!$A$3:$I$102,7,FALSE),main!$K$26:$Q$29,4,FALSE)),1,0)</f>
        <v>0</v>
      </c>
      <c r="CT122">
        <f>IF(AND(VLOOKUP(CT$1,main!$A$3:$H$102,7,FALSE)=main!$G$104,VLOOKUP(CT$1,main!$A$3:$H$102,5,FALSE)-VLOOKUP($A122,main!$A$3:$H$102,6,FALSE)&gt;=main!$D$103+VLOOKUP(VLOOKUP(CT$1,main!$A$3:$I$102,7,FALSE),main!$K$26:$Q$29,4,FALSE)),1,0)</f>
        <v>0</v>
      </c>
      <c r="CU122">
        <f>IF(AND(VLOOKUP(CU$1,main!$A$3:$H$102,7,FALSE)=main!$G$104,VLOOKUP(CU$1,main!$A$3:$H$102,5,FALSE)-VLOOKUP($A122,main!$A$3:$H$102,6,FALSE)&gt;=main!$D$103+VLOOKUP(VLOOKUP(CU$1,main!$A$3:$I$102,7,FALSE),main!$K$26:$Q$29,4,FALSE)),1,0)</f>
        <v>0</v>
      </c>
      <c r="CV122">
        <f>IF(AND(VLOOKUP(CV$1,main!$A$3:$H$102,7,FALSE)=main!$G$104,VLOOKUP(CV$1,main!$A$3:$H$102,5,FALSE)-VLOOKUP($A122,main!$A$3:$H$102,6,FALSE)&gt;=main!$D$103+VLOOKUP(VLOOKUP(CV$1,main!$A$3:$I$102,7,FALSE),main!$K$26:$Q$29,4,FALSE)),1,0)</f>
        <v>0</v>
      </c>
      <c r="CW122">
        <f>IF(AND(VLOOKUP(CW$1,main!$A$3:$H$102,7,FALSE)=main!$G$104,VLOOKUP(CW$1,main!$A$3:$H$102,5,FALSE)-VLOOKUP($A122,main!$A$3:$H$102,6,FALSE)&gt;=main!$D$103+VLOOKUP(VLOOKUP(CW$1,main!$A$3:$I$102,7,FALSE),main!$K$26:$Q$29,4,FALSE)),1,0)</f>
        <v>0</v>
      </c>
      <c r="CX122">
        <f>IF(AND(VLOOKUP(CX$1,main!$A$3:$H$102,7,FALSE)=main!$G$104,VLOOKUP(CX$1,main!$A$3:$H$102,5,FALSE)-VLOOKUP($A122,main!$A$3:$H$102,6,FALSE)&gt;=main!$D$103+VLOOKUP(VLOOKUP(CX$1,main!$A$3:$I$102,7,FALSE),main!$K$26:$Q$29,4,FALSE)),1,0)</f>
        <v>0</v>
      </c>
    </row>
    <row r="123" spans="1:102" x14ac:dyDescent="0.25">
      <c r="A123" s="1">
        <v>20</v>
      </c>
      <c r="B123">
        <v>0</v>
      </c>
      <c r="C123">
        <f>IF(AND(VLOOKUP(C$1,main!$A$3:$H$102,7,FALSE)=main!$G$104,VLOOKUP(C$1,main!$A$3:$H$102,5,FALSE)-VLOOKUP($A123,main!$A$3:$H$102,6,FALSE)&gt;=main!$D$103+VLOOKUP(VLOOKUP(C$1,main!$A$3:$I$102,7,FALSE),main!$K$26:$Q$29,4,FALSE)),1,0)</f>
        <v>0</v>
      </c>
      <c r="D123">
        <f>IF(AND(VLOOKUP(D$1,main!$A$3:$H$102,7,FALSE)=main!$G$104,VLOOKUP(D$1,main!$A$3:$H$102,5,FALSE)-VLOOKUP($A123,main!$A$3:$H$102,6,FALSE)&gt;=main!$D$103+VLOOKUP(VLOOKUP(D$1,main!$A$3:$I$102,7,FALSE),main!$K$26:$Q$29,4,FALSE)),1,0)</f>
        <v>0</v>
      </c>
      <c r="E123">
        <f>IF(AND(VLOOKUP(E$1,main!$A$3:$H$102,7,FALSE)=main!$G$104,VLOOKUP(E$1,main!$A$3:$H$102,5,FALSE)-VLOOKUP($A123,main!$A$3:$H$102,6,FALSE)&gt;=main!$D$103+VLOOKUP(VLOOKUP(E$1,main!$A$3:$I$102,7,FALSE),main!$K$26:$Q$29,4,FALSE)),1,0)</f>
        <v>0</v>
      </c>
      <c r="F123">
        <f>IF(AND(VLOOKUP(F$1,main!$A$3:$H$102,7,FALSE)=main!$G$104,VLOOKUP(F$1,main!$A$3:$H$102,5,FALSE)-VLOOKUP($A123,main!$A$3:$H$102,6,FALSE)&gt;=main!$D$103+VLOOKUP(VLOOKUP(F$1,main!$A$3:$I$102,7,FALSE),main!$K$26:$Q$29,4,FALSE)),1,0)</f>
        <v>0</v>
      </c>
      <c r="G123">
        <f>IF(AND(VLOOKUP(G$1,main!$A$3:$H$102,7,FALSE)=main!$G$104,VLOOKUP(G$1,main!$A$3:$H$102,5,FALSE)-VLOOKUP($A123,main!$A$3:$H$102,6,FALSE)&gt;=main!$D$103+VLOOKUP(VLOOKUP(G$1,main!$A$3:$I$102,7,FALSE),main!$K$26:$Q$29,4,FALSE)),1,0)</f>
        <v>0</v>
      </c>
      <c r="H123">
        <f>IF(AND(VLOOKUP(H$1,main!$A$3:$H$102,7,FALSE)=main!$G$104,VLOOKUP(H$1,main!$A$3:$H$102,5,FALSE)-VLOOKUP($A123,main!$A$3:$H$102,6,FALSE)&gt;=main!$D$103+VLOOKUP(VLOOKUP(H$1,main!$A$3:$I$102,7,FALSE),main!$K$26:$Q$29,4,FALSE)),1,0)</f>
        <v>0</v>
      </c>
      <c r="I123">
        <f>IF(AND(VLOOKUP(I$1,main!$A$3:$H$102,7,FALSE)=main!$G$104,VLOOKUP(I$1,main!$A$3:$H$102,5,FALSE)-VLOOKUP($A123,main!$A$3:$H$102,6,FALSE)&gt;=main!$D$103+VLOOKUP(VLOOKUP(I$1,main!$A$3:$I$102,7,FALSE),main!$K$26:$Q$29,4,FALSE)),1,0)</f>
        <v>0</v>
      </c>
      <c r="J123">
        <f>IF(AND(VLOOKUP(J$1,main!$A$3:$H$102,7,FALSE)=main!$G$104,VLOOKUP(J$1,main!$A$3:$H$102,5,FALSE)-VLOOKUP($A123,main!$A$3:$H$102,6,FALSE)&gt;=main!$D$103+VLOOKUP(VLOOKUP(J$1,main!$A$3:$I$102,7,FALSE),main!$K$26:$Q$29,4,FALSE)),1,0)</f>
        <v>0</v>
      </c>
      <c r="K123">
        <f>IF(AND(VLOOKUP(K$1,main!$A$3:$H$102,7,FALSE)=main!$G$104,VLOOKUP(K$1,main!$A$3:$H$102,5,FALSE)-VLOOKUP($A123,main!$A$3:$H$102,6,FALSE)&gt;=main!$D$103+VLOOKUP(VLOOKUP(K$1,main!$A$3:$I$102,7,FALSE),main!$K$26:$Q$29,4,FALSE)),1,0)</f>
        <v>0</v>
      </c>
      <c r="L123">
        <f>IF(AND(VLOOKUP(L$1,main!$A$3:$H$102,7,FALSE)=main!$G$104,VLOOKUP(L$1,main!$A$3:$H$102,5,FALSE)-VLOOKUP($A123,main!$A$3:$H$102,6,FALSE)&gt;=main!$D$103+VLOOKUP(VLOOKUP(L$1,main!$A$3:$I$102,7,FALSE),main!$K$26:$Q$29,4,FALSE)),1,0)</f>
        <v>0</v>
      </c>
      <c r="M123">
        <f>IF(AND(VLOOKUP(M$1,main!$A$3:$H$102,7,FALSE)=main!$G$104,VLOOKUP(M$1,main!$A$3:$H$102,5,FALSE)-VLOOKUP($A123,main!$A$3:$H$102,6,FALSE)&gt;=main!$D$103+VLOOKUP(VLOOKUP(M$1,main!$A$3:$I$102,7,FALSE),main!$K$26:$Q$29,4,FALSE)),1,0)</f>
        <v>0</v>
      </c>
      <c r="N123">
        <f>IF(AND(VLOOKUP(N$1,main!$A$3:$H$102,7,FALSE)=main!$G$104,VLOOKUP(N$1,main!$A$3:$H$102,5,FALSE)-VLOOKUP($A123,main!$A$3:$H$102,6,FALSE)&gt;=main!$D$103+VLOOKUP(VLOOKUP(N$1,main!$A$3:$I$102,7,FALSE),main!$K$26:$Q$29,4,FALSE)),1,0)</f>
        <v>0</v>
      </c>
      <c r="O123">
        <f>IF(AND(VLOOKUP(O$1,main!$A$3:$H$102,7,FALSE)=main!$G$104,VLOOKUP(O$1,main!$A$3:$H$102,5,FALSE)-VLOOKUP($A123,main!$A$3:$H$102,6,FALSE)&gt;=main!$D$103+VLOOKUP(VLOOKUP(O$1,main!$A$3:$I$102,7,FALSE),main!$K$26:$Q$29,4,FALSE)),1,0)</f>
        <v>0</v>
      </c>
      <c r="P123">
        <f>IF(AND(VLOOKUP(P$1,main!$A$3:$H$102,7,FALSE)=main!$G$104,VLOOKUP(P$1,main!$A$3:$H$102,5,FALSE)-VLOOKUP($A123,main!$A$3:$H$102,6,FALSE)&gt;=main!$D$103+VLOOKUP(VLOOKUP(P$1,main!$A$3:$I$102,7,FALSE),main!$K$26:$Q$29,4,FALSE)),1,0)</f>
        <v>0</v>
      </c>
      <c r="Q123">
        <f>IF(AND(VLOOKUP(Q$1,main!$A$3:$H$102,7,FALSE)=main!$G$104,VLOOKUP(Q$1,main!$A$3:$H$102,5,FALSE)-VLOOKUP($A123,main!$A$3:$H$102,6,FALSE)&gt;=main!$D$103+VLOOKUP(VLOOKUP(Q$1,main!$A$3:$I$102,7,FALSE),main!$K$26:$Q$29,4,FALSE)),1,0)</f>
        <v>0</v>
      </c>
      <c r="R123">
        <f>IF(AND(VLOOKUP(R$1,main!$A$3:$H$102,7,FALSE)=main!$G$104,VLOOKUP(R$1,main!$A$3:$H$102,5,FALSE)-VLOOKUP($A123,main!$A$3:$H$102,6,FALSE)&gt;=main!$D$103+VLOOKUP(VLOOKUP(R$1,main!$A$3:$I$102,7,FALSE),main!$K$26:$Q$29,4,FALSE)),1,0)</f>
        <v>0</v>
      </c>
      <c r="S123">
        <f>IF(AND(VLOOKUP(S$1,main!$A$3:$H$102,7,FALSE)=main!$G$104,VLOOKUP(S$1,main!$A$3:$H$102,5,FALSE)-VLOOKUP($A123,main!$A$3:$H$102,6,FALSE)&gt;=main!$D$103+VLOOKUP(VLOOKUP(S$1,main!$A$3:$I$102,7,FALSE),main!$K$26:$Q$29,4,FALSE)),1,0)</f>
        <v>0</v>
      </c>
      <c r="T123">
        <f>IF(AND(VLOOKUP(T$1,main!$A$3:$H$102,7,FALSE)=main!$G$104,VLOOKUP(T$1,main!$A$3:$H$102,5,FALSE)-VLOOKUP($A123,main!$A$3:$H$102,6,FALSE)&gt;=main!$D$103+VLOOKUP(VLOOKUP(T$1,main!$A$3:$I$102,7,FALSE),main!$K$26:$Q$29,4,FALSE)),1,0)</f>
        <v>0</v>
      </c>
      <c r="U123">
        <f>IF(AND(VLOOKUP(U$1,main!$A$3:$H$102,7,FALSE)=main!$G$104,VLOOKUP(U$1,main!$A$3:$H$102,5,FALSE)-VLOOKUP($A123,main!$A$3:$H$102,6,FALSE)&gt;=main!$D$103+VLOOKUP(VLOOKUP(U$1,main!$A$3:$I$102,7,FALSE),main!$K$26:$Q$29,4,FALSE)),1,0)</f>
        <v>0</v>
      </c>
      <c r="V123">
        <f>IF(AND(VLOOKUP(V$1,main!$A$3:$H$102,7,FALSE)=main!$G$104,VLOOKUP(V$1,main!$A$3:$H$102,5,FALSE)-VLOOKUP($A123,main!$A$3:$H$102,6,FALSE)&gt;=main!$D$103+VLOOKUP(VLOOKUP(V$1,main!$A$3:$I$102,7,FALSE),main!$K$26:$Q$29,4,FALSE)),1,0)</f>
        <v>0</v>
      </c>
      <c r="W123">
        <f>IF(AND(VLOOKUP(W$1,main!$A$3:$H$102,7,FALSE)=main!$G$104,VLOOKUP(W$1,main!$A$3:$H$102,5,FALSE)-VLOOKUP($A123,main!$A$3:$H$102,6,FALSE)&gt;=main!$D$103+VLOOKUP(VLOOKUP(W$1,main!$A$3:$I$102,7,FALSE),main!$K$26:$Q$29,4,FALSE)),1,0)</f>
        <v>0</v>
      </c>
      <c r="X123">
        <f>IF(AND(VLOOKUP(X$1,main!$A$3:$H$102,7,FALSE)=main!$G$104,VLOOKUP(X$1,main!$A$3:$H$102,5,FALSE)-VLOOKUP($A123,main!$A$3:$H$102,6,FALSE)&gt;=main!$D$103+VLOOKUP(VLOOKUP(X$1,main!$A$3:$I$102,7,FALSE),main!$K$26:$Q$29,4,FALSE)),1,0)</f>
        <v>0</v>
      </c>
      <c r="Y123">
        <f>IF(AND(VLOOKUP(Y$1,main!$A$3:$H$102,7,FALSE)=main!$G$104,VLOOKUP(Y$1,main!$A$3:$H$102,5,FALSE)-VLOOKUP($A123,main!$A$3:$H$102,6,FALSE)&gt;=main!$D$103+VLOOKUP(VLOOKUP(Y$1,main!$A$3:$I$102,7,FALSE),main!$K$26:$Q$29,4,FALSE)),1,0)</f>
        <v>0</v>
      </c>
      <c r="Z123">
        <f>IF(AND(VLOOKUP(Z$1,main!$A$3:$H$102,7,FALSE)=main!$G$104,VLOOKUP(Z$1,main!$A$3:$H$102,5,FALSE)-VLOOKUP($A123,main!$A$3:$H$102,6,FALSE)&gt;=main!$D$103+VLOOKUP(VLOOKUP(Z$1,main!$A$3:$I$102,7,FALSE),main!$K$26:$Q$29,4,FALSE)),1,0)</f>
        <v>0</v>
      </c>
      <c r="AA123">
        <f>IF(AND(VLOOKUP(AA$1,main!$A$3:$H$102,7,FALSE)=main!$G$104,VLOOKUP(AA$1,main!$A$3:$H$102,5,FALSE)-VLOOKUP($A123,main!$A$3:$H$102,6,FALSE)&gt;=main!$D$103+VLOOKUP(VLOOKUP(AA$1,main!$A$3:$I$102,7,FALSE),main!$K$26:$Q$29,4,FALSE)),1,0)</f>
        <v>0</v>
      </c>
      <c r="AB123">
        <f>IF(AND(VLOOKUP(AB$1,main!$A$3:$H$102,7,FALSE)=main!$G$104,VLOOKUP(AB$1,main!$A$3:$H$102,5,FALSE)-VLOOKUP($A123,main!$A$3:$H$102,6,FALSE)&gt;=main!$D$103+VLOOKUP(VLOOKUP(AB$1,main!$A$3:$I$102,7,FALSE),main!$K$26:$Q$29,4,FALSE)),1,0)</f>
        <v>0</v>
      </c>
      <c r="AC123">
        <f>IF(AND(VLOOKUP(AC$1,main!$A$3:$H$102,7,FALSE)=main!$G$104,VLOOKUP(AC$1,main!$A$3:$H$102,5,FALSE)-VLOOKUP($A123,main!$A$3:$H$102,6,FALSE)&gt;=main!$D$103+VLOOKUP(VLOOKUP(AC$1,main!$A$3:$I$102,7,FALSE),main!$K$26:$Q$29,4,FALSE)),1,0)</f>
        <v>0</v>
      </c>
      <c r="AD123">
        <f>IF(AND(VLOOKUP(AD$1,main!$A$3:$H$102,7,FALSE)=main!$G$104,VLOOKUP(AD$1,main!$A$3:$H$102,5,FALSE)-VLOOKUP($A123,main!$A$3:$H$102,6,FALSE)&gt;=main!$D$103+VLOOKUP(VLOOKUP(AD$1,main!$A$3:$I$102,7,FALSE),main!$K$26:$Q$29,4,FALSE)),1,0)</f>
        <v>0</v>
      </c>
      <c r="AE123">
        <f>IF(AND(VLOOKUP(AE$1,main!$A$3:$H$102,7,FALSE)=main!$G$104,VLOOKUP(AE$1,main!$A$3:$H$102,5,FALSE)-VLOOKUP($A123,main!$A$3:$H$102,6,FALSE)&gt;=main!$D$103+VLOOKUP(VLOOKUP(AE$1,main!$A$3:$I$102,7,FALSE),main!$K$26:$Q$29,4,FALSE)),1,0)</f>
        <v>0</v>
      </c>
      <c r="AF123">
        <f>IF(AND(VLOOKUP(AF$1,main!$A$3:$H$102,7,FALSE)=main!$G$104,VLOOKUP(AF$1,main!$A$3:$H$102,5,FALSE)-VLOOKUP($A123,main!$A$3:$H$102,6,FALSE)&gt;=main!$D$103+VLOOKUP(VLOOKUP(AF$1,main!$A$3:$I$102,7,FALSE),main!$K$26:$Q$29,4,FALSE)),1,0)</f>
        <v>0</v>
      </c>
      <c r="AG123">
        <f>IF(AND(VLOOKUP(AG$1,main!$A$3:$H$102,7,FALSE)=main!$G$104,VLOOKUP(AG$1,main!$A$3:$H$102,5,FALSE)-VLOOKUP($A123,main!$A$3:$H$102,6,FALSE)&gt;=main!$D$103+VLOOKUP(VLOOKUP(AG$1,main!$A$3:$I$102,7,FALSE),main!$K$26:$Q$29,4,FALSE)),1,0)</f>
        <v>0</v>
      </c>
      <c r="AH123">
        <f>IF(AND(VLOOKUP(AH$1,main!$A$3:$H$102,7,FALSE)=main!$G$104,VLOOKUP(AH$1,main!$A$3:$H$102,5,FALSE)-VLOOKUP($A123,main!$A$3:$H$102,6,FALSE)&gt;=main!$D$103+VLOOKUP(VLOOKUP(AH$1,main!$A$3:$I$102,7,FALSE),main!$K$26:$Q$29,4,FALSE)),1,0)</f>
        <v>0</v>
      </c>
      <c r="AI123">
        <f>IF(AND(VLOOKUP(AI$1,main!$A$3:$H$102,7,FALSE)=main!$G$104,VLOOKUP(AI$1,main!$A$3:$H$102,5,FALSE)-VLOOKUP($A123,main!$A$3:$H$102,6,FALSE)&gt;=main!$D$103+VLOOKUP(VLOOKUP(AI$1,main!$A$3:$I$102,7,FALSE),main!$K$26:$Q$29,4,FALSE)),1,0)</f>
        <v>0</v>
      </c>
      <c r="AJ123">
        <f>IF(AND(VLOOKUP(AJ$1,main!$A$3:$H$102,7,FALSE)=main!$G$104,VLOOKUP(AJ$1,main!$A$3:$H$102,5,FALSE)-VLOOKUP($A123,main!$A$3:$H$102,6,FALSE)&gt;=main!$D$103+VLOOKUP(VLOOKUP(AJ$1,main!$A$3:$I$102,7,FALSE),main!$K$26:$Q$29,4,FALSE)),1,0)</f>
        <v>0</v>
      </c>
      <c r="AK123">
        <f>IF(AND(VLOOKUP(AK$1,main!$A$3:$H$102,7,FALSE)=main!$G$104,VLOOKUP(AK$1,main!$A$3:$H$102,5,FALSE)-VLOOKUP($A123,main!$A$3:$H$102,6,FALSE)&gt;=main!$D$103+VLOOKUP(VLOOKUP(AK$1,main!$A$3:$I$102,7,FALSE),main!$K$26:$Q$29,4,FALSE)),1,0)</f>
        <v>0</v>
      </c>
      <c r="AL123">
        <f>IF(AND(VLOOKUP(AL$1,main!$A$3:$H$102,7,FALSE)=main!$G$104,VLOOKUP(AL$1,main!$A$3:$H$102,5,FALSE)-VLOOKUP($A123,main!$A$3:$H$102,6,FALSE)&gt;=main!$D$103+VLOOKUP(VLOOKUP(AL$1,main!$A$3:$I$102,7,FALSE),main!$K$26:$Q$29,4,FALSE)),1,0)</f>
        <v>0</v>
      </c>
      <c r="AM123">
        <f>IF(AND(VLOOKUP(AM$1,main!$A$3:$H$102,7,FALSE)=main!$G$104,VLOOKUP(AM$1,main!$A$3:$H$102,5,FALSE)-VLOOKUP($A123,main!$A$3:$H$102,6,FALSE)&gt;=main!$D$103+VLOOKUP(VLOOKUP(AM$1,main!$A$3:$I$102,7,FALSE),main!$K$26:$Q$29,4,FALSE)),1,0)</f>
        <v>0</v>
      </c>
      <c r="AN123">
        <f>IF(AND(VLOOKUP(AN$1,main!$A$3:$H$102,7,FALSE)=main!$G$104,VLOOKUP(AN$1,main!$A$3:$H$102,5,FALSE)-VLOOKUP($A123,main!$A$3:$H$102,6,FALSE)&gt;=main!$D$103+VLOOKUP(VLOOKUP(AN$1,main!$A$3:$I$102,7,FALSE),main!$K$26:$Q$29,4,FALSE)),1,0)</f>
        <v>0</v>
      </c>
      <c r="AO123">
        <f>IF(AND(VLOOKUP(AO$1,main!$A$3:$H$102,7,FALSE)=main!$G$104,VLOOKUP(AO$1,main!$A$3:$H$102,5,FALSE)-VLOOKUP($A123,main!$A$3:$H$102,6,FALSE)&gt;=main!$D$103+VLOOKUP(VLOOKUP(AO$1,main!$A$3:$I$102,7,FALSE),main!$K$26:$Q$29,4,FALSE)),1,0)</f>
        <v>0</v>
      </c>
      <c r="AP123">
        <f>IF(AND(VLOOKUP(AP$1,main!$A$3:$H$102,7,FALSE)=main!$G$104,VLOOKUP(AP$1,main!$A$3:$H$102,5,FALSE)-VLOOKUP($A123,main!$A$3:$H$102,6,FALSE)&gt;=main!$D$103+VLOOKUP(VLOOKUP(AP$1,main!$A$3:$I$102,7,FALSE),main!$K$26:$Q$29,4,FALSE)),1,0)</f>
        <v>0</v>
      </c>
      <c r="AQ123">
        <f>IF(AND(VLOOKUP(AQ$1,main!$A$3:$H$102,7,FALSE)=main!$G$104,VLOOKUP(AQ$1,main!$A$3:$H$102,5,FALSE)-VLOOKUP($A123,main!$A$3:$H$102,6,FALSE)&gt;=main!$D$103+VLOOKUP(VLOOKUP(AQ$1,main!$A$3:$I$102,7,FALSE),main!$K$26:$Q$29,4,FALSE)),1,0)</f>
        <v>0</v>
      </c>
      <c r="AR123">
        <f>IF(AND(VLOOKUP(AR$1,main!$A$3:$H$102,7,FALSE)=main!$G$104,VLOOKUP(AR$1,main!$A$3:$H$102,5,FALSE)-VLOOKUP($A123,main!$A$3:$H$102,6,FALSE)&gt;=main!$D$103+VLOOKUP(VLOOKUP(AR$1,main!$A$3:$I$102,7,FALSE),main!$K$26:$Q$29,4,FALSE)),1,0)</f>
        <v>0</v>
      </c>
      <c r="AS123">
        <f>IF(AND(VLOOKUP(AS$1,main!$A$3:$H$102,7,FALSE)=main!$G$104,VLOOKUP(AS$1,main!$A$3:$H$102,5,FALSE)-VLOOKUP($A123,main!$A$3:$H$102,6,FALSE)&gt;=main!$D$103+VLOOKUP(VLOOKUP(AS$1,main!$A$3:$I$102,7,FALSE),main!$K$26:$Q$29,4,FALSE)),1,0)</f>
        <v>0</v>
      </c>
      <c r="AT123">
        <f>IF(AND(VLOOKUP(AT$1,main!$A$3:$H$102,7,FALSE)=main!$G$104,VLOOKUP(AT$1,main!$A$3:$H$102,5,FALSE)-VLOOKUP($A123,main!$A$3:$H$102,6,FALSE)&gt;=main!$D$103+VLOOKUP(VLOOKUP(AT$1,main!$A$3:$I$102,7,FALSE),main!$K$26:$Q$29,4,FALSE)),1,0)</f>
        <v>0</v>
      </c>
      <c r="AU123">
        <f>IF(AND(VLOOKUP(AU$1,main!$A$3:$H$102,7,FALSE)=main!$G$104,VLOOKUP(AU$1,main!$A$3:$H$102,5,FALSE)-VLOOKUP($A123,main!$A$3:$H$102,6,FALSE)&gt;=main!$D$103+VLOOKUP(VLOOKUP(AU$1,main!$A$3:$I$102,7,FALSE),main!$K$26:$Q$29,4,FALSE)),1,0)</f>
        <v>0</v>
      </c>
      <c r="AV123">
        <f>IF(AND(VLOOKUP(AV$1,main!$A$3:$H$102,7,FALSE)=main!$G$104,VLOOKUP(AV$1,main!$A$3:$H$102,5,FALSE)-VLOOKUP($A123,main!$A$3:$H$102,6,FALSE)&gt;=main!$D$103+VLOOKUP(VLOOKUP(AV$1,main!$A$3:$I$102,7,FALSE),main!$K$26:$Q$29,4,FALSE)),1,0)</f>
        <v>0</v>
      </c>
      <c r="AW123">
        <f>IF(AND(VLOOKUP(AW$1,main!$A$3:$H$102,7,FALSE)=main!$G$104,VLOOKUP(AW$1,main!$A$3:$H$102,5,FALSE)-VLOOKUP($A123,main!$A$3:$H$102,6,FALSE)&gt;=main!$D$103+VLOOKUP(VLOOKUP(AW$1,main!$A$3:$I$102,7,FALSE),main!$K$26:$Q$29,4,FALSE)),1,0)</f>
        <v>0</v>
      </c>
      <c r="AX123">
        <f>IF(AND(VLOOKUP(AX$1,main!$A$3:$H$102,7,FALSE)=main!$G$104,VLOOKUP(AX$1,main!$A$3:$H$102,5,FALSE)-VLOOKUP($A123,main!$A$3:$H$102,6,FALSE)&gt;=main!$D$103+VLOOKUP(VLOOKUP(AX$1,main!$A$3:$I$102,7,FALSE),main!$K$26:$Q$29,4,FALSE)),1,0)</f>
        <v>0</v>
      </c>
      <c r="AY123">
        <f>IF(AND(VLOOKUP(AY$1,main!$A$3:$H$102,7,FALSE)=main!$G$104,VLOOKUP(AY$1,main!$A$3:$H$102,5,FALSE)-VLOOKUP($A123,main!$A$3:$H$102,6,FALSE)&gt;=main!$D$103+VLOOKUP(VLOOKUP(AY$1,main!$A$3:$I$102,7,FALSE),main!$K$26:$Q$29,4,FALSE)),1,0)</f>
        <v>0</v>
      </c>
      <c r="AZ123">
        <f>IF(AND(VLOOKUP(AZ$1,main!$A$3:$H$102,7,FALSE)=main!$G$104,VLOOKUP(AZ$1,main!$A$3:$H$102,5,FALSE)-VLOOKUP($A123,main!$A$3:$H$102,6,FALSE)&gt;=main!$D$103+VLOOKUP(VLOOKUP(AZ$1,main!$A$3:$I$102,7,FALSE),main!$K$26:$Q$29,4,FALSE)),1,0)</f>
        <v>0</v>
      </c>
      <c r="BA123">
        <f>IF(AND(VLOOKUP(BA$1,main!$A$3:$H$102,7,FALSE)=main!$G$104,VLOOKUP(BA$1,main!$A$3:$H$102,5,FALSE)-VLOOKUP($A123,main!$A$3:$H$102,6,FALSE)&gt;=main!$D$103+VLOOKUP(VLOOKUP(BA$1,main!$A$3:$I$102,7,FALSE),main!$K$26:$Q$29,4,FALSE)),1,0)</f>
        <v>0</v>
      </c>
      <c r="BB123">
        <f>IF(AND(VLOOKUP(BB$1,main!$A$3:$H$102,7,FALSE)=main!$G$104,VLOOKUP(BB$1,main!$A$3:$H$102,5,FALSE)-VLOOKUP($A123,main!$A$3:$H$102,6,FALSE)&gt;=main!$D$103+VLOOKUP(VLOOKUP(BB$1,main!$A$3:$I$102,7,FALSE),main!$K$26:$Q$29,4,FALSE)),1,0)</f>
        <v>0</v>
      </c>
      <c r="BC123">
        <f>IF(AND(VLOOKUP(BC$1,main!$A$3:$H$102,7,FALSE)=main!$G$104,VLOOKUP(BC$1,main!$A$3:$H$102,5,FALSE)-VLOOKUP($A123,main!$A$3:$H$102,6,FALSE)&gt;=main!$D$103+VLOOKUP(VLOOKUP(BC$1,main!$A$3:$I$102,7,FALSE),main!$K$26:$Q$29,4,FALSE)),1,0)</f>
        <v>0</v>
      </c>
      <c r="BD123">
        <f>IF(AND(VLOOKUP(BD$1,main!$A$3:$H$102,7,FALSE)=main!$G$104,VLOOKUP(BD$1,main!$A$3:$H$102,5,FALSE)-VLOOKUP($A123,main!$A$3:$H$102,6,FALSE)&gt;=main!$D$103+VLOOKUP(VLOOKUP(BD$1,main!$A$3:$I$102,7,FALSE),main!$K$26:$Q$29,4,FALSE)),1,0)</f>
        <v>0</v>
      </c>
      <c r="BE123">
        <f>IF(AND(VLOOKUP(BE$1,main!$A$3:$H$102,7,FALSE)=main!$G$104,VLOOKUP(BE$1,main!$A$3:$H$102,5,FALSE)-VLOOKUP($A123,main!$A$3:$H$102,6,FALSE)&gt;=main!$D$103+VLOOKUP(VLOOKUP(BE$1,main!$A$3:$I$102,7,FALSE),main!$K$26:$Q$29,4,FALSE)),1,0)</f>
        <v>0</v>
      </c>
      <c r="BF123">
        <f>IF(AND(VLOOKUP(BF$1,main!$A$3:$H$102,7,FALSE)=main!$G$104,VLOOKUP(BF$1,main!$A$3:$H$102,5,FALSE)-VLOOKUP($A123,main!$A$3:$H$102,6,FALSE)&gt;=main!$D$103+VLOOKUP(VLOOKUP(BF$1,main!$A$3:$I$102,7,FALSE),main!$K$26:$Q$29,4,FALSE)),1,0)</f>
        <v>0</v>
      </c>
      <c r="BG123">
        <f>IF(AND(VLOOKUP(BG$1,main!$A$3:$H$102,7,FALSE)=main!$G$104,VLOOKUP(BG$1,main!$A$3:$H$102,5,FALSE)-VLOOKUP($A123,main!$A$3:$H$102,6,FALSE)&gt;=main!$D$103+VLOOKUP(VLOOKUP(BG$1,main!$A$3:$I$102,7,FALSE),main!$K$26:$Q$29,4,FALSE)),1,0)</f>
        <v>0</v>
      </c>
      <c r="BH123">
        <f>IF(AND(VLOOKUP(BH$1,main!$A$3:$H$102,7,FALSE)=main!$G$104,VLOOKUP(BH$1,main!$A$3:$H$102,5,FALSE)-VLOOKUP($A123,main!$A$3:$H$102,6,FALSE)&gt;=main!$D$103+VLOOKUP(VLOOKUP(BH$1,main!$A$3:$I$102,7,FALSE),main!$K$26:$Q$29,4,FALSE)),1,0)</f>
        <v>0</v>
      </c>
      <c r="BI123">
        <f>IF(AND(VLOOKUP(BI$1,main!$A$3:$H$102,7,FALSE)=main!$G$104,VLOOKUP(BI$1,main!$A$3:$H$102,5,FALSE)-VLOOKUP($A123,main!$A$3:$H$102,6,FALSE)&gt;=main!$D$103+VLOOKUP(VLOOKUP(BI$1,main!$A$3:$I$102,7,FALSE),main!$K$26:$Q$29,4,FALSE)),1,0)</f>
        <v>0</v>
      </c>
      <c r="BJ123">
        <f>IF(AND(VLOOKUP(BJ$1,main!$A$3:$H$102,7,FALSE)=main!$G$104,VLOOKUP(BJ$1,main!$A$3:$H$102,5,FALSE)-VLOOKUP($A123,main!$A$3:$H$102,6,FALSE)&gt;=main!$D$103+VLOOKUP(VLOOKUP(BJ$1,main!$A$3:$I$102,7,FALSE),main!$K$26:$Q$29,4,FALSE)),1,0)</f>
        <v>0</v>
      </c>
      <c r="BK123">
        <f>IF(AND(VLOOKUP(BK$1,main!$A$3:$H$102,7,FALSE)=main!$G$104,VLOOKUP(BK$1,main!$A$3:$H$102,5,FALSE)-VLOOKUP($A123,main!$A$3:$H$102,6,FALSE)&gt;=main!$D$103+VLOOKUP(VLOOKUP(BK$1,main!$A$3:$I$102,7,FALSE),main!$K$26:$Q$29,4,FALSE)),1,0)</f>
        <v>0</v>
      </c>
      <c r="BL123">
        <f>IF(AND(VLOOKUP(BL$1,main!$A$3:$H$102,7,FALSE)=main!$G$104,VLOOKUP(BL$1,main!$A$3:$H$102,5,FALSE)-VLOOKUP($A123,main!$A$3:$H$102,6,FALSE)&gt;=main!$D$103+VLOOKUP(VLOOKUP(BL$1,main!$A$3:$I$102,7,FALSE),main!$K$26:$Q$29,4,FALSE)),1,0)</f>
        <v>0</v>
      </c>
      <c r="BM123">
        <f>IF(AND(VLOOKUP(BM$1,main!$A$3:$H$102,7,FALSE)=main!$G$104,VLOOKUP(BM$1,main!$A$3:$H$102,5,FALSE)-VLOOKUP($A123,main!$A$3:$H$102,6,FALSE)&gt;=main!$D$103+VLOOKUP(VLOOKUP(BM$1,main!$A$3:$I$102,7,FALSE),main!$K$26:$Q$29,4,FALSE)),1,0)</f>
        <v>0</v>
      </c>
      <c r="BN123">
        <f>IF(AND(VLOOKUP(BN$1,main!$A$3:$H$102,7,FALSE)=main!$G$104,VLOOKUP(BN$1,main!$A$3:$H$102,5,FALSE)-VLOOKUP($A123,main!$A$3:$H$102,6,FALSE)&gt;=main!$D$103+VLOOKUP(VLOOKUP(BN$1,main!$A$3:$I$102,7,FALSE),main!$K$26:$Q$29,4,FALSE)),1,0)</f>
        <v>0</v>
      </c>
      <c r="BO123">
        <f>IF(AND(VLOOKUP(BO$1,main!$A$3:$H$102,7,FALSE)=main!$G$104,VLOOKUP(BO$1,main!$A$3:$H$102,5,FALSE)-VLOOKUP($A123,main!$A$3:$H$102,6,FALSE)&gt;=main!$D$103+VLOOKUP(VLOOKUP(BO$1,main!$A$3:$I$102,7,FALSE),main!$K$26:$Q$29,4,FALSE)),1,0)</f>
        <v>0</v>
      </c>
      <c r="BP123">
        <f>IF(AND(VLOOKUP(BP$1,main!$A$3:$H$102,7,FALSE)=main!$G$104,VLOOKUP(BP$1,main!$A$3:$H$102,5,FALSE)-VLOOKUP($A123,main!$A$3:$H$102,6,FALSE)&gt;=main!$D$103+VLOOKUP(VLOOKUP(BP$1,main!$A$3:$I$102,7,FALSE),main!$K$26:$Q$29,4,FALSE)),1,0)</f>
        <v>0</v>
      </c>
      <c r="BQ123">
        <f>IF(AND(VLOOKUP(BQ$1,main!$A$3:$H$102,7,FALSE)=main!$G$104,VLOOKUP(BQ$1,main!$A$3:$H$102,5,FALSE)-VLOOKUP($A123,main!$A$3:$H$102,6,FALSE)&gt;=main!$D$103+VLOOKUP(VLOOKUP(BQ$1,main!$A$3:$I$102,7,FALSE),main!$K$26:$Q$29,4,FALSE)),1,0)</f>
        <v>0</v>
      </c>
      <c r="BR123">
        <f>IF(AND(VLOOKUP(BR$1,main!$A$3:$H$102,7,FALSE)=main!$G$104,VLOOKUP(BR$1,main!$A$3:$H$102,5,FALSE)-VLOOKUP($A123,main!$A$3:$H$102,6,FALSE)&gt;=main!$D$103+VLOOKUP(VLOOKUP(BR$1,main!$A$3:$I$102,7,FALSE),main!$K$26:$Q$29,4,FALSE)),1,0)</f>
        <v>0</v>
      </c>
      <c r="BS123">
        <f>IF(AND(VLOOKUP(BS$1,main!$A$3:$H$102,7,FALSE)=main!$G$104,VLOOKUP(BS$1,main!$A$3:$H$102,5,FALSE)-VLOOKUP($A123,main!$A$3:$H$102,6,FALSE)&gt;=main!$D$103+VLOOKUP(VLOOKUP(BS$1,main!$A$3:$I$102,7,FALSE),main!$K$26:$Q$29,4,FALSE)),1,0)</f>
        <v>0</v>
      </c>
      <c r="BT123">
        <f>IF(AND(VLOOKUP(BT$1,main!$A$3:$H$102,7,FALSE)=main!$G$104,VLOOKUP(BT$1,main!$A$3:$H$102,5,FALSE)-VLOOKUP($A123,main!$A$3:$H$102,6,FALSE)&gt;=main!$D$103+VLOOKUP(VLOOKUP(BT$1,main!$A$3:$I$102,7,FALSE),main!$K$26:$Q$29,4,FALSE)),1,0)</f>
        <v>0</v>
      </c>
      <c r="BU123">
        <f>IF(AND(VLOOKUP(BU$1,main!$A$3:$H$102,7,FALSE)=main!$G$104,VLOOKUP(BU$1,main!$A$3:$H$102,5,FALSE)-VLOOKUP($A123,main!$A$3:$H$102,6,FALSE)&gt;=main!$D$103+VLOOKUP(VLOOKUP(BU$1,main!$A$3:$I$102,7,FALSE),main!$K$26:$Q$29,4,FALSE)),1,0)</f>
        <v>0</v>
      </c>
      <c r="BV123">
        <f>IF(AND(VLOOKUP(BV$1,main!$A$3:$H$102,7,FALSE)=main!$G$104,VLOOKUP(BV$1,main!$A$3:$H$102,5,FALSE)-VLOOKUP($A123,main!$A$3:$H$102,6,FALSE)&gt;=main!$D$103+VLOOKUP(VLOOKUP(BV$1,main!$A$3:$I$102,7,FALSE),main!$K$26:$Q$29,4,FALSE)),1,0)</f>
        <v>0</v>
      </c>
      <c r="BW123">
        <f>IF(AND(VLOOKUP(BW$1,main!$A$3:$H$102,7,FALSE)=main!$G$104,VLOOKUP(BW$1,main!$A$3:$H$102,5,FALSE)-VLOOKUP($A123,main!$A$3:$H$102,6,FALSE)&gt;=main!$D$103+VLOOKUP(VLOOKUP(BW$1,main!$A$3:$I$102,7,FALSE),main!$K$26:$Q$29,4,FALSE)),1,0)</f>
        <v>0</v>
      </c>
      <c r="BX123">
        <f>IF(AND(VLOOKUP(BX$1,main!$A$3:$H$102,7,FALSE)=main!$G$104,VLOOKUP(BX$1,main!$A$3:$H$102,5,FALSE)-VLOOKUP($A123,main!$A$3:$H$102,6,FALSE)&gt;=main!$D$103+VLOOKUP(VLOOKUP(BX$1,main!$A$3:$I$102,7,FALSE),main!$K$26:$Q$29,4,FALSE)),1,0)</f>
        <v>0</v>
      </c>
      <c r="BY123">
        <f>IF(AND(VLOOKUP(BY$1,main!$A$3:$H$102,7,FALSE)=main!$G$104,VLOOKUP(BY$1,main!$A$3:$H$102,5,FALSE)-VLOOKUP($A123,main!$A$3:$H$102,6,FALSE)&gt;=main!$D$103+VLOOKUP(VLOOKUP(BY$1,main!$A$3:$I$102,7,FALSE),main!$K$26:$Q$29,4,FALSE)),1,0)</f>
        <v>0</v>
      </c>
      <c r="BZ123">
        <f>IF(AND(VLOOKUP(BZ$1,main!$A$3:$H$102,7,FALSE)=main!$G$104,VLOOKUP(BZ$1,main!$A$3:$H$102,5,FALSE)-VLOOKUP($A123,main!$A$3:$H$102,6,FALSE)&gt;=main!$D$103+VLOOKUP(VLOOKUP(BZ$1,main!$A$3:$I$102,7,FALSE),main!$K$26:$Q$29,4,FALSE)),1,0)</f>
        <v>0</v>
      </c>
      <c r="CA123">
        <f>IF(AND(VLOOKUP(CA$1,main!$A$3:$H$102,7,FALSE)=main!$G$104,VLOOKUP(CA$1,main!$A$3:$H$102,5,FALSE)-VLOOKUP($A123,main!$A$3:$H$102,6,FALSE)&gt;=main!$D$103+VLOOKUP(VLOOKUP(CA$1,main!$A$3:$I$102,7,FALSE),main!$K$26:$Q$29,4,FALSE)),1,0)</f>
        <v>0</v>
      </c>
      <c r="CB123">
        <f>IF(AND(VLOOKUP(CB$1,main!$A$3:$H$102,7,FALSE)=main!$G$104,VLOOKUP(CB$1,main!$A$3:$H$102,5,FALSE)-VLOOKUP($A123,main!$A$3:$H$102,6,FALSE)&gt;=main!$D$103+VLOOKUP(VLOOKUP(CB$1,main!$A$3:$I$102,7,FALSE),main!$K$26:$Q$29,4,FALSE)),1,0)</f>
        <v>0</v>
      </c>
      <c r="CC123">
        <f>IF(AND(VLOOKUP(CC$1,main!$A$3:$H$102,7,FALSE)=main!$G$104,VLOOKUP(CC$1,main!$A$3:$H$102,5,FALSE)-VLOOKUP($A123,main!$A$3:$H$102,6,FALSE)&gt;=main!$D$103+VLOOKUP(VLOOKUP(CC$1,main!$A$3:$I$102,7,FALSE),main!$K$26:$Q$29,4,FALSE)),1,0)</f>
        <v>0</v>
      </c>
      <c r="CD123">
        <f>IF(AND(VLOOKUP(CD$1,main!$A$3:$H$102,7,FALSE)=main!$G$104,VLOOKUP(CD$1,main!$A$3:$H$102,5,FALSE)-VLOOKUP($A123,main!$A$3:$H$102,6,FALSE)&gt;=main!$D$103+VLOOKUP(VLOOKUP(CD$1,main!$A$3:$I$102,7,FALSE),main!$K$26:$Q$29,4,FALSE)),1,0)</f>
        <v>0</v>
      </c>
      <c r="CE123">
        <f>IF(AND(VLOOKUP(CE$1,main!$A$3:$H$102,7,FALSE)=main!$G$104,VLOOKUP(CE$1,main!$A$3:$H$102,5,FALSE)-VLOOKUP($A123,main!$A$3:$H$102,6,FALSE)&gt;=main!$D$103+VLOOKUP(VLOOKUP(CE$1,main!$A$3:$I$102,7,FALSE),main!$K$26:$Q$29,4,FALSE)),1,0)</f>
        <v>0</v>
      </c>
      <c r="CF123">
        <f>IF(AND(VLOOKUP(CF$1,main!$A$3:$H$102,7,FALSE)=main!$G$104,VLOOKUP(CF$1,main!$A$3:$H$102,5,FALSE)-VLOOKUP($A123,main!$A$3:$H$102,6,FALSE)&gt;=main!$D$103+VLOOKUP(VLOOKUP(CF$1,main!$A$3:$I$102,7,FALSE),main!$K$26:$Q$29,4,FALSE)),1,0)</f>
        <v>0</v>
      </c>
      <c r="CG123">
        <f>IF(AND(VLOOKUP(CG$1,main!$A$3:$H$102,7,FALSE)=main!$G$104,VLOOKUP(CG$1,main!$A$3:$H$102,5,FALSE)-VLOOKUP($A123,main!$A$3:$H$102,6,FALSE)&gt;=main!$D$103+VLOOKUP(VLOOKUP(CG$1,main!$A$3:$I$102,7,FALSE),main!$K$26:$Q$29,4,FALSE)),1,0)</f>
        <v>0</v>
      </c>
      <c r="CH123">
        <f>IF(AND(VLOOKUP(CH$1,main!$A$3:$H$102,7,FALSE)=main!$G$104,VLOOKUP(CH$1,main!$A$3:$H$102,5,FALSE)-VLOOKUP($A123,main!$A$3:$H$102,6,FALSE)&gt;=main!$D$103+VLOOKUP(VLOOKUP(CH$1,main!$A$3:$I$102,7,FALSE),main!$K$26:$Q$29,4,FALSE)),1,0)</f>
        <v>0</v>
      </c>
      <c r="CI123">
        <f>IF(AND(VLOOKUP(CI$1,main!$A$3:$H$102,7,FALSE)=main!$G$104,VLOOKUP(CI$1,main!$A$3:$H$102,5,FALSE)-VLOOKUP($A123,main!$A$3:$H$102,6,FALSE)&gt;=main!$D$103+VLOOKUP(VLOOKUP(CI$1,main!$A$3:$I$102,7,FALSE),main!$K$26:$Q$29,4,FALSE)),1,0)</f>
        <v>0</v>
      </c>
      <c r="CJ123">
        <f>IF(AND(VLOOKUP(CJ$1,main!$A$3:$H$102,7,FALSE)=main!$G$104,VLOOKUP(CJ$1,main!$A$3:$H$102,5,FALSE)-VLOOKUP($A123,main!$A$3:$H$102,6,FALSE)&gt;=main!$D$103+VLOOKUP(VLOOKUP(CJ$1,main!$A$3:$I$102,7,FALSE),main!$K$26:$Q$29,4,FALSE)),1,0)</f>
        <v>0</v>
      </c>
      <c r="CK123">
        <f>IF(AND(VLOOKUP(CK$1,main!$A$3:$H$102,7,FALSE)=main!$G$104,VLOOKUP(CK$1,main!$A$3:$H$102,5,FALSE)-VLOOKUP($A123,main!$A$3:$H$102,6,FALSE)&gt;=main!$D$103+VLOOKUP(VLOOKUP(CK$1,main!$A$3:$I$102,7,FALSE),main!$K$26:$Q$29,4,FALSE)),1,0)</f>
        <v>0</v>
      </c>
      <c r="CL123">
        <f>IF(AND(VLOOKUP(CL$1,main!$A$3:$H$102,7,FALSE)=main!$G$104,VLOOKUP(CL$1,main!$A$3:$H$102,5,FALSE)-VLOOKUP($A123,main!$A$3:$H$102,6,FALSE)&gt;=main!$D$103+VLOOKUP(VLOOKUP(CL$1,main!$A$3:$I$102,7,FALSE),main!$K$26:$Q$29,4,FALSE)),1,0)</f>
        <v>0</v>
      </c>
      <c r="CM123">
        <f>IF(AND(VLOOKUP(CM$1,main!$A$3:$H$102,7,FALSE)=main!$G$104,VLOOKUP(CM$1,main!$A$3:$H$102,5,FALSE)-VLOOKUP($A123,main!$A$3:$H$102,6,FALSE)&gt;=main!$D$103+VLOOKUP(VLOOKUP(CM$1,main!$A$3:$I$102,7,FALSE),main!$K$26:$Q$29,4,FALSE)),1,0)</f>
        <v>0</v>
      </c>
      <c r="CN123">
        <f>IF(AND(VLOOKUP(CN$1,main!$A$3:$H$102,7,FALSE)=main!$G$104,VLOOKUP(CN$1,main!$A$3:$H$102,5,FALSE)-VLOOKUP($A123,main!$A$3:$H$102,6,FALSE)&gt;=main!$D$103+VLOOKUP(VLOOKUP(CN$1,main!$A$3:$I$102,7,FALSE),main!$K$26:$Q$29,4,FALSE)),1,0)</f>
        <v>0</v>
      </c>
      <c r="CO123">
        <f>IF(AND(VLOOKUP(CO$1,main!$A$3:$H$102,7,FALSE)=main!$G$104,VLOOKUP(CO$1,main!$A$3:$H$102,5,FALSE)-VLOOKUP($A123,main!$A$3:$H$102,6,FALSE)&gt;=main!$D$103+VLOOKUP(VLOOKUP(CO$1,main!$A$3:$I$102,7,FALSE),main!$K$26:$Q$29,4,FALSE)),1,0)</f>
        <v>0</v>
      </c>
      <c r="CP123">
        <f>IF(AND(VLOOKUP(CP$1,main!$A$3:$H$102,7,FALSE)=main!$G$104,VLOOKUP(CP$1,main!$A$3:$H$102,5,FALSE)-VLOOKUP($A123,main!$A$3:$H$102,6,FALSE)&gt;=main!$D$103+VLOOKUP(VLOOKUP(CP$1,main!$A$3:$I$102,7,FALSE),main!$K$26:$Q$29,4,FALSE)),1,0)</f>
        <v>0</v>
      </c>
      <c r="CQ123">
        <f>IF(AND(VLOOKUP(CQ$1,main!$A$3:$H$102,7,FALSE)=main!$G$104,VLOOKUP(CQ$1,main!$A$3:$H$102,5,FALSE)-VLOOKUP($A123,main!$A$3:$H$102,6,FALSE)&gt;=main!$D$103+VLOOKUP(VLOOKUP(CQ$1,main!$A$3:$I$102,7,FALSE),main!$K$26:$Q$29,4,FALSE)),1,0)</f>
        <v>0</v>
      </c>
      <c r="CR123">
        <f>IF(AND(VLOOKUP(CR$1,main!$A$3:$H$102,7,FALSE)=main!$G$104,VLOOKUP(CR$1,main!$A$3:$H$102,5,FALSE)-VLOOKUP($A123,main!$A$3:$H$102,6,FALSE)&gt;=main!$D$103+VLOOKUP(VLOOKUP(CR$1,main!$A$3:$I$102,7,FALSE),main!$K$26:$Q$29,4,FALSE)),1,0)</f>
        <v>0</v>
      </c>
      <c r="CS123">
        <f>IF(AND(VLOOKUP(CS$1,main!$A$3:$H$102,7,FALSE)=main!$G$104,VLOOKUP(CS$1,main!$A$3:$H$102,5,FALSE)-VLOOKUP($A123,main!$A$3:$H$102,6,FALSE)&gt;=main!$D$103+VLOOKUP(VLOOKUP(CS$1,main!$A$3:$I$102,7,FALSE),main!$K$26:$Q$29,4,FALSE)),1,0)</f>
        <v>0</v>
      </c>
      <c r="CT123">
        <f>IF(AND(VLOOKUP(CT$1,main!$A$3:$H$102,7,FALSE)=main!$G$104,VLOOKUP(CT$1,main!$A$3:$H$102,5,FALSE)-VLOOKUP($A123,main!$A$3:$H$102,6,FALSE)&gt;=main!$D$103+VLOOKUP(VLOOKUP(CT$1,main!$A$3:$I$102,7,FALSE),main!$K$26:$Q$29,4,FALSE)),1,0)</f>
        <v>0</v>
      </c>
      <c r="CU123">
        <f>IF(AND(VLOOKUP(CU$1,main!$A$3:$H$102,7,FALSE)=main!$G$104,VLOOKUP(CU$1,main!$A$3:$H$102,5,FALSE)-VLOOKUP($A123,main!$A$3:$H$102,6,FALSE)&gt;=main!$D$103+VLOOKUP(VLOOKUP(CU$1,main!$A$3:$I$102,7,FALSE),main!$K$26:$Q$29,4,FALSE)),1,0)</f>
        <v>0</v>
      </c>
      <c r="CV123">
        <f>IF(AND(VLOOKUP(CV$1,main!$A$3:$H$102,7,FALSE)=main!$G$104,VLOOKUP(CV$1,main!$A$3:$H$102,5,FALSE)-VLOOKUP($A123,main!$A$3:$H$102,6,FALSE)&gt;=main!$D$103+VLOOKUP(VLOOKUP(CV$1,main!$A$3:$I$102,7,FALSE),main!$K$26:$Q$29,4,FALSE)),1,0)</f>
        <v>0</v>
      </c>
      <c r="CW123">
        <f>IF(AND(VLOOKUP(CW$1,main!$A$3:$H$102,7,FALSE)=main!$G$104,VLOOKUP(CW$1,main!$A$3:$H$102,5,FALSE)-VLOOKUP($A123,main!$A$3:$H$102,6,FALSE)&gt;=main!$D$103+VLOOKUP(VLOOKUP(CW$1,main!$A$3:$I$102,7,FALSE),main!$K$26:$Q$29,4,FALSE)),1,0)</f>
        <v>0</v>
      </c>
      <c r="CX123">
        <f>IF(AND(VLOOKUP(CX$1,main!$A$3:$H$102,7,FALSE)=main!$G$104,VLOOKUP(CX$1,main!$A$3:$H$102,5,FALSE)-VLOOKUP($A123,main!$A$3:$H$102,6,FALSE)&gt;=main!$D$103+VLOOKUP(VLOOKUP(CX$1,main!$A$3:$I$102,7,FALSE),main!$K$26:$Q$29,4,FALSE)),1,0)</f>
        <v>0</v>
      </c>
    </row>
    <row r="124" spans="1:102" x14ac:dyDescent="0.25">
      <c r="A124" s="1">
        <v>21</v>
      </c>
      <c r="B124">
        <v>0</v>
      </c>
      <c r="C124">
        <f>IF(AND(VLOOKUP(C$1,main!$A$3:$H$102,7,FALSE)=main!$G$104,VLOOKUP(C$1,main!$A$3:$H$102,5,FALSE)-VLOOKUP($A124,main!$A$3:$H$102,6,FALSE)&gt;=main!$D$103+VLOOKUP(VLOOKUP(C$1,main!$A$3:$I$102,7,FALSE),main!$K$26:$Q$29,4,FALSE)),1,0)</f>
        <v>0</v>
      </c>
      <c r="D124">
        <f>IF(AND(VLOOKUP(D$1,main!$A$3:$H$102,7,FALSE)=main!$G$104,VLOOKUP(D$1,main!$A$3:$H$102,5,FALSE)-VLOOKUP($A124,main!$A$3:$H$102,6,FALSE)&gt;=main!$D$103+VLOOKUP(VLOOKUP(D$1,main!$A$3:$I$102,7,FALSE),main!$K$26:$Q$29,4,FALSE)),1,0)</f>
        <v>0</v>
      </c>
      <c r="E124">
        <f>IF(AND(VLOOKUP(E$1,main!$A$3:$H$102,7,FALSE)=main!$G$104,VLOOKUP(E$1,main!$A$3:$H$102,5,FALSE)-VLOOKUP($A124,main!$A$3:$H$102,6,FALSE)&gt;=main!$D$103+VLOOKUP(VLOOKUP(E$1,main!$A$3:$I$102,7,FALSE),main!$K$26:$Q$29,4,FALSE)),1,0)</f>
        <v>0</v>
      </c>
      <c r="F124">
        <f>IF(AND(VLOOKUP(F$1,main!$A$3:$H$102,7,FALSE)=main!$G$104,VLOOKUP(F$1,main!$A$3:$H$102,5,FALSE)-VLOOKUP($A124,main!$A$3:$H$102,6,FALSE)&gt;=main!$D$103+VLOOKUP(VLOOKUP(F$1,main!$A$3:$I$102,7,FALSE),main!$K$26:$Q$29,4,FALSE)),1,0)</f>
        <v>0</v>
      </c>
      <c r="G124">
        <f>IF(AND(VLOOKUP(G$1,main!$A$3:$H$102,7,FALSE)=main!$G$104,VLOOKUP(G$1,main!$A$3:$H$102,5,FALSE)-VLOOKUP($A124,main!$A$3:$H$102,6,FALSE)&gt;=main!$D$103+VLOOKUP(VLOOKUP(G$1,main!$A$3:$I$102,7,FALSE),main!$K$26:$Q$29,4,FALSE)),1,0)</f>
        <v>1</v>
      </c>
      <c r="H124">
        <f>IF(AND(VLOOKUP(H$1,main!$A$3:$H$102,7,FALSE)=main!$G$104,VLOOKUP(H$1,main!$A$3:$H$102,5,FALSE)-VLOOKUP($A124,main!$A$3:$H$102,6,FALSE)&gt;=main!$D$103+VLOOKUP(VLOOKUP(H$1,main!$A$3:$I$102,7,FALSE),main!$K$26:$Q$29,4,FALSE)),1,0)</f>
        <v>1</v>
      </c>
      <c r="I124">
        <f>IF(AND(VLOOKUP(I$1,main!$A$3:$H$102,7,FALSE)=main!$G$104,VLOOKUP(I$1,main!$A$3:$H$102,5,FALSE)-VLOOKUP($A124,main!$A$3:$H$102,6,FALSE)&gt;=main!$D$103+VLOOKUP(VLOOKUP(I$1,main!$A$3:$I$102,7,FALSE),main!$K$26:$Q$29,4,FALSE)),1,0)</f>
        <v>1</v>
      </c>
      <c r="J124">
        <f>IF(AND(VLOOKUP(J$1,main!$A$3:$H$102,7,FALSE)=main!$G$104,VLOOKUP(J$1,main!$A$3:$H$102,5,FALSE)-VLOOKUP($A124,main!$A$3:$H$102,6,FALSE)&gt;=main!$D$103+VLOOKUP(VLOOKUP(J$1,main!$A$3:$I$102,7,FALSE),main!$K$26:$Q$29,4,FALSE)),1,0)</f>
        <v>1</v>
      </c>
      <c r="K124">
        <f>IF(AND(VLOOKUP(K$1,main!$A$3:$H$102,7,FALSE)=main!$G$104,VLOOKUP(K$1,main!$A$3:$H$102,5,FALSE)-VLOOKUP($A124,main!$A$3:$H$102,6,FALSE)&gt;=main!$D$103+VLOOKUP(VLOOKUP(K$1,main!$A$3:$I$102,7,FALSE),main!$K$26:$Q$29,4,FALSE)),1,0)</f>
        <v>1</v>
      </c>
      <c r="L124">
        <f>IF(AND(VLOOKUP(L$1,main!$A$3:$H$102,7,FALSE)=main!$G$104,VLOOKUP(L$1,main!$A$3:$H$102,5,FALSE)-VLOOKUP($A124,main!$A$3:$H$102,6,FALSE)&gt;=main!$D$103+VLOOKUP(VLOOKUP(L$1,main!$A$3:$I$102,7,FALSE),main!$K$26:$Q$29,4,FALSE)),1,0)</f>
        <v>1</v>
      </c>
      <c r="M124">
        <f>IF(AND(VLOOKUP(M$1,main!$A$3:$H$102,7,FALSE)=main!$G$104,VLOOKUP(M$1,main!$A$3:$H$102,5,FALSE)-VLOOKUP($A124,main!$A$3:$H$102,6,FALSE)&gt;=main!$D$103+VLOOKUP(VLOOKUP(M$1,main!$A$3:$I$102,7,FALSE),main!$K$26:$Q$29,4,FALSE)),1,0)</f>
        <v>0</v>
      </c>
      <c r="N124">
        <f>IF(AND(VLOOKUP(N$1,main!$A$3:$H$102,7,FALSE)=main!$G$104,VLOOKUP(N$1,main!$A$3:$H$102,5,FALSE)-VLOOKUP($A124,main!$A$3:$H$102,6,FALSE)&gt;=main!$D$103+VLOOKUP(VLOOKUP(N$1,main!$A$3:$I$102,7,FALSE),main!$K$26:$Q$29,4,FALSE)),1,0)</f>
        <v>0</v>
      </c>
      <c r="O124">
        <f>IF(AND(VLOOKUP(O$1,main!$A$3:$H$102,7,FALSE)=main!$G$104,VLOOKUP(O$1,main!$A$3:$H$102,5,FALSE)-VLOOKUP($A124,main!$A$3:$H$102,6,FALSE)&gt;=main!$D$103+VLOOKUP(VLOOKUP(O$1,main!$A$3:$I$102,7,FALSE),main!$K$26:$Q$29,4,FALSE)),1,0)</f>
        <v>0</v>
      </c>
      <c r="P124">
        <f>IF(AND(VLOOKUP(P$1,main!$A$3:$H$102,7,FALSE)=main!$G$104,VLOOKUP(P$1,main!$A$3:$H$102,5,FALSE)-VLOOKUP($A124,main!$A$3:$H$102,6,FALSE)&gt;=main!$D$103+VLOOKUP(VLOOKUP(P$1,main!$A$3:$I$102,7,FALSE),main!$K$26:$Q$29,4,FALSE)),1,0)</f>
        <v>0</v>
      </c>
      <c r="Q124">
        <f>IF(AND(VLOOKUP(Q$1,main!$A$3:$H$102,7,FALSE)=main!$G$104,VLOOKUP(Q$1,main!$A$3:$H$102,5,FALSE)-VLOOKUP($A124,main!$A$3:$H$102,6,FALSE)&gt;=main!$D$103+VLOOKUP(VLOOKUP(Q$1,main!$A$3:$I$102,7,FALSE),main!$K$26:$Q$29,4,FALSE)),1,0)</f>
        <v>0</v>
      </c>
      <c r="R124">
        <f>IF(AND(VLOOKUP(R$1,main!$A$3:$H$102,7,FALSE)=main!$G$104,VLOOKUP(R$1,main!$A$3:$H$102,5,FALSE)-VLOOKUP($A124,main!$A$3:$H$102,6,FALSE)&gt;=main!$D$103+VLOOKUP(VLOOKUP(R$1,main!$A$3:$I$102,7,FALSE),main!$K$26:$Q$29,4,FALSE)),1,0)</f>
        <v>1</v>
      </c>
      <c r="S124">
        <f>IF(AND(VLOOKUP(S$1,main!$A$3:$H$102,7,FALSE)=main!$G$104,VLOOKUP(S$1,main!$A$3:$H$102,5,FALSE)-VLOOKUP($A124,main!$A$3:$H$102,6,FALSE)&gt;=main!$D$103+VLOOKUP(VLOOKUP(S$1,main!$A$3:$I$102,7,FALSE),main!$K$26:$Q$29,4,FALSE)),1,0)</f>
        <v>1</v>
      </c>
      <c r="T124">
        <f>IF(AND(VLOOKUP(T$1,main!$A$3:$H$102,7,FALSE)=main!$G$104,VLOOKUP(T$1,main!$A$3:$H$102,5,FALSE)-VLOOKUP($A124,main!$A$3:$H$102,6,FALSE)&gt;=main!$D$103+VLOOKUP(VLOOKUP(T$1,main!$A$3:$I$102,7,FALSE),main!$K$26:$Q$29,4,FALSE)),1,0)</f>
        <v>1</v>
      </c>
      <c r="U124">
        <f>IF(AND(VLOOKUP(U$1,main!$A$3:$H$102,7,FALSE)=main!$G$104,VLOOKUP(U$1,main!$A$3:$H$102,5,FALSE)-VLOOKUP($A124,main!$A$3:$H$102,6,FALSE)&gt;=main!$D$103+VLOOKUP(VLOOKUP(U$1,main!$A$3:$I$102,7,FALSE),main!$K$26:$Q$29,4,FALSE)),1,0)</f>
        <v>1</v>
      </c>
      <c r="V124">
        <f>IF(AND(VLOOKUP(V$1,main!$A$3:$H$102,7,FALSE)=main!$G$104,VLOOKUP(V$1,main!$A$3:$H$102,5,FALSE)-VLOOKUP($A124,main!$A$3:$H$102,6,FALSE)&gt;=main!$D$103+VLOOKUP(VLOOKUP(V$1,main!$A$3:$I$102,7,FALSE),main!$K$26:$Q$29,4,FALSE)),1,0)</f>
        <v>1</v>
      </c>
      <c r="W124">
        <f>IF(AND(VLOOKUP(W$1,main!$A$3:$H$102,7,FALSE)=main!$G$104,VLOOKUP(W$1,main!$A$3:$H$102,5,FALSE)-VLOOKUP($A124,main!$A$3:$H$102,6,FALSE)&gt;=main!$D$103+VLOOKUP(VLOOKUP(W$1,main!$A$3:$I$102,7,FALSE),main!$K$26:$Q$29,4,FALSE)),1,0)</f>
        <v>0</v>
      </c>
      <c r="X124">
        <f>IF(AND(VLOOKUP(X$1,main!$A$3:$H$102,7,FALSE)=main!$G$104,VLOOKUP(X$1,main!$A$3:$H$102,5,FALSE)-VLOOKUP($A124,main!$A$3:$H$102,6,FALSE)&gt;=main!$D$103+VLOOKUP(VLOOKUP(X$1,main!$A$3:$I$102,7,FALSE),main!$K$26:$Q$29,4,FALSE)),1,0)</f>
        <v>0</v>
      </c>
      <c r="Y124">
        <f>IF(AND(VLOOKUP(Y$1,main!$A$3:$H$102,7,FALSE)=main!$G$104,VLOOKUP(Y$1,main!$A$3:$H$102,5,FALSE)-VLOOKUP($A124,main!$A$3:$H$102,6,FALSE)&gt;=main!$D$103+VLOOKUP(VLOOKUP(Y$1,main!$A$3:$I$102,7,FALSE),main!$K$26:$Q$29,4,FALSE)),1,0)</f>
        <v>1</v>
      </c>
      <c r="Z124">
        <f>IF(AND(VLOOKUP(Z$1,main!$A$3:$H$102,7,FALSE)=main!$G$104,VLOOKUP(Z$1,main!$A$3:$H$102,5,FALSE)-VLOOKUP($A124,main!$A$3:$H$102,6,FALSE)&gt;=main!$D$103+VLOOKUP(VLOOKUP(Z$1,main!$A$3:$I$102,7,FALSE),main!$K$26:$Q$29,4,FALSE)),1,0)</f>
        <v>1</v>
      </c>
      <c r="AA124">
        <f>IF(AND(VLOOKUP(AA$1,main!$A$3:$H$102,7,FALSE)=main!$G$104,VLOOKUP(AA$1,main!$A$3:$H$102,5,FALSE)-VLOOKUP($A124,main!$A$3:$H$102,6,FALSE)&gt;=main!$D$103+VLOOKUP(VLOOKUP(AA$1,main!$A$3:$I$102,7,FALSE),main!$K$26:$Q$29,4,FALSE)),1,0)</f>
        <v>1</v>
      </c>
      <c r="AB124">
        <f>IF(AND(VLOOKUP(AB$1,main!$A$3:$H$102,7,FALSE)=main!$G$104,VLOOKUP(AB$1,main!$A$3:$H$102,5,FALSE)-VLOOKUP($A124,main!$A$3:$H$102,6,FALSE)&gt;=main!$D$103+VLOOKUP(VLOOKUP(AB$1,main!$A$3:$I$102,7,FALSE),main!$K$26:$Q$29,4,FALSE)),1,0)</f>
        <v>0</v>
      </c>
      <c r="AC124">
        <f>IF(AND(VLOOKUP(AC$1,main!$A$3:$H$102,7,FALSE)=main!$G$104,VLOOKUP(AC$1,main!$A$3:$H$102,5,FALSE)-VLOOKUP($A124,main!$A$3:$H$102,6,FALSE)&gt;=main!$D$103+VLOOKUP(VLOOKUP(AC$1,main!$A$3:$I$102,7,FALSE),main!$K$26:$Q$29,4,FALSE)),1,0)</f>
        <v>0</v>
      </c>
      <c r="AD124">
        <f>IF(AND(VLOOKUP(AD$1,main!$A$3:$H$102,7,FALSE)=main!$G$104,VLOOKUP(AD$1,main!$A$3:$H$102,5,FALSE)-VLOOKUP($A124,main!$A$3:$H$102,6,FALSE)&gt;=main!$D$103+VLOOKUP(VLOOKUP(AD$1,main!$A$3:$I$102,7,FALSE),main!$K$26:$Q$29,4,FALSE)),1,0)</f>
        <v>0</v>
      </c>
      <c r="AE124">
        <f>IF(AND(VLOOKUP(AE$1,main!$A$3:$H$102,7,FALSE)=main!$G$104,VLOOKUP(AE$1,main!$A$3:$H$102,5,FALSE)-VLOOKUP($A124,main!$A$3:$H$102,6,FALSE)&gt;=main!$D$103+VLOOKUP(VLOOKUP(AE$1,main!$A$3:$I$102,7,FALSE),main!$K$26:$Q$29,4,FALSE)),1,0)</f>
        <v>1</v>
      </c>
      <c r="AF124">
        <f>IF(AND(VLOOKUP(AF$1,main!$A$3:$H$102,7,FALSE)=main!$G$104,VLOOKUP(AF$1,main!$A$3:$H$102,5,FALSE)-VLOOKUP($A124,main!$A$3:$H$102,6,FALSE)&gt;=main!$D$103+VLOOKUP(VLOOKUP(AF$1,main!$A$3:$I$102,7,FALSE),main!$K$26:$Q$29,4,FALSE)),1,0)</f>
        <v>1</v>
      </c>
      <c r="AG124">
        <f>IF(AND(VLOOKUP(AG$1,main!$A$3:$H$102,7,FALSE)=main!$G$104,VLOOKUP(AG$1,main!$A$3:$H$102,5,FALSE)-VLOOKUP($A124,main!$A$3:$H$102,6,FALSE)&gt;=main!$D$103+VLOOKUP(VLOOKUP(AG$1,main!$A$3:$I$102,7,FALSE),main!$K$26:$Q$29,4,FALSE)),1,0)</f>
        <v>0</v>
      </c>
      <c r="AH124">
        <f>IF(AND(VLOOKUP(AH$1,main!$A$3:$H$102,7,FALSE)=main!$G$104,VLOOKUP(AH$1,main!$A$3:$H$102,5,FALSE)-VLOOKUP($A124,main!$A$3:$H$102,6,FALSE)&gt;=main!$D$103+VLOOKUP(VLOOKUP(AH$1,main!$A$3:$I$102,7,FALSE),main!$K$26:$Q$29,4,FALSE)),1,0)</f>
        <v>0</v>
      </c>
      <c r="AI124">
        <f>IF(AND(VLOOKUP(AI$1,main!$A$3:$H$102,7,FALSE)=main!$G$104,VLOOKUP(AI$1,main!$A$3:$H$102,5,FALSE)-VLOOKUP($A124,main!$A$3:$H$102,6,FALSE)&gt;=main!$D$103+VLOOKUP(VLOOKUP(AI$1,main!$A$3:$I$102,7,FALSE),main!$K$26:$Q$29,4,FALSE)),1,0)</f>
        <v>0</v>
      </c>
      <c r="AJ124">
        <f>IF(AND(VLOOKUP(AJ$1,main!$A$3:$H$102,7,FALSE)=main!$G$104,VLOOKUP(AJ$1,main!$A$3:$H$102,5,FALSE)-VLOOKUP($A124,main!$A$3:$H$102,6,FALSE)&gt;=main!$D$103+VLOOKUP(VLOOKUP(AJ$1,main!$A$3:$I$102,7,FALSE),main!$K$26:$Q$29,4,FALSE)),1,0)</f>
        <v>0</v>
      </c>
      <c r="AK124">
        <f>IF(AND(VLOOKUP(AK$1,main!$A$3:$H$102,7,FALSE)=main!$G$104,VLOOKUP(AK$1,main!$A$3:$H$102,5,FALSE)-VLOOKUP($A124,main!$A$3:$H$102,6,FALSE)&gt;=main!$D$103+VLOOKUP(VLOOKUP(AK$1,main!$A$3:$I$102,7,FALSE),main!$K$26:$Q$29,4,FALSE)),1,0)</f>
        <v>0</v>
      </c>
      <c r="AL124">
        <f>IF(AND(VLOOKUP(AL$1,main!$A$3:$H$102,7,FALSE)=main!$G$104,VLOOKUP(AL$1,main!$A$3:$H$102,5,FALSE)-VLOOKUP($A124,main!$A$3:$H$102,6,FALSE)&gt;=main!$D$103+VLOOKUP(VLOOKUP(AL$1,main!$A$3:$I$102,7,FALSE),main!$K$26:$Q$29,4,FALSE)),1,0)</f>
        <v>0</v>
      </c>
      <c r="AM124">
        <f>IF(AND(VLOOKUP(AM$1,main!$A$3:$H$102,7,FALSE)=main!$G$104,VLOOKUP(AM$1,main!$A$3:$H$102,5,FALSE)-VLOOKUP($A124,main!$A$3:$H$102,6,FALSE)&gt;=main!$D$103+VLOOKUP(VLOOKUP(AM$1,main!$A$3:$I$102,7,FALSE),main!$K$26:$Q$29,4,FALSE)),1,0)</f>
        <v>0</v>
      </c>
      <c r="AN124">
        <f>IF(AND(VLOOKUP(AN$1,main!$A$3:$H$102,7,FALSE)=main!$G$104,VLOOKUP(AN$1,main!$A$3:$H$102,5,FALSE)-VLOOKUP($A124,main!$A$3:$H$102,6,FALSE)&gt;=main!$D$103+VLOOKUP(VLOOKUP(AN$1,main!$A$3:$I$102,7,FALSE),main!$K$26:$Q$29,4,FALSE)),1,0)</f>
        <v>0</v>
      </c>
      <c r="AO124">
        <f>IF(AND(VLOOKUP(AO$1,main!$A$3:$H$102,7,FALSE)=main!$G$104,VLOOKUP(AO$1,main!$A$3:$H$102,5,FALSE)-VLOOKUP($A124,main!$A$3:$H$102,6,FALSE)&gt;=main!$D$103+VLOOKUP(VLOOKUP(AO$1,main!$A$3:$I$102,7,FALSE),main!$K$26:$Q$29,4,FALSE)),1,0)</f>
        <v>0</v>
      </c>
      <c r="AP124">
        <f>IF(AND(VLOOKUP(AP$1,main!$A$3:$H$102,7,FALSE)=main!$G$104,VLOOKUP(AP$1,main!$A$3:$H$102,5,FALSE)-VLOOKUP($A124,main!$A$3:$H$102,6,FALSE)&gt;=main!$D$103+VLOOKUP(VLOOKUP(AP$1,main!$A$3:$I$102,7,FALSE),main!$K$26:$Q$29,4,FALSE)),1,0)</f>
        <v>0</v>
      </c>
      <c r="AQ124">
        <f>IF(AND(VLOOKUP(AQ$1,main!$A$3:$H$102,7,FALSE)=main!$G$104,VLOOKUP(AQ$1,main!$A$3:$H$102,5,FALSE)-VLOOKUP($A124,main!$A$3:$H$102,6,FALSE)&gt;=main!$D$103+VLOOKUP(VLOOKUP(AQ$1,main!$A$3:$I$102,7,FALSE),main!$K$26:$Q$29,4,FALSE)),1,0)</f>
        <v>0</v>
      </c>
      <c r="AR124">
        <f>IF(AND(VLOOKUP(AR$1,main!$A$3:$H$102,7,FALSE)=main!$G$104,VLOOKUP(AR$1,main!$A$3:$H$102,5,FALSE)-VLOOKUP($A124,main!$A$3:$H$102,6,FALSE)&gt;=main!$D$103+VLOOKUP(VLOOKUP(AR$1,main!$A$3:$I$102,7,FALSE),main!$K$26:$Q$29,4,FALSE)),1,0)</f>
        <v>0</v>
      </c>
      <c r="AS124">
        <f>IF(AND(VLOOKUP(AS$1,main!$A$3:$H$102,7,FALSE)=main!$G$104,VLOOKUP(AS$1,main!$A$3:$H$102,5,FALSE)-VLOOKUP($A124,main!$A$3:$H$102,6,FALSE)&gt;=main!$D$103+VLOOKUP(VLOOKUP(AS$1,main!$A$3:$I$102,7,FALSE),main!$K$26:$Q$29,4,FALSE)),1,0)</f>
        <v>0</v>
      </c>
      <c r="AT124">
        <f>IF(AND(VLOOKUP(AT$1,main!$A$3:$H$102,7,FALSE)=main!$G$104,VLOOKUP(AT$1,main!$A$3:$H$102,5,FALSE)-VLOOKUP($A124,main!$A$3:$H$102,6,FALSE)&gt;=main!$D$103+VLOOKUP(VLOOKUP(AT$1,main!$A$3:$I$102,7,FALSE),main!$K$26:$Q$29,4,FALSE)),1,0)</f>
        <v>0</v>
      </c>
      <c r="AU124">
        <f>IF(AND(VLOOKUP(AU$1,main!$A$3:$H$102,7,FALSE)=main!$G$104,VLOOKUP(AU$1,main!$A$3:$H$102,5,FALSE)-VLOOKUP($A124,main!$A$3:$H$102,6,FALSE)&gt;=main!$D$103+VLOOKUP(VLOOKUP(AU$1,main!$A$3:$I$102,7,FALSE),main!$K$26:$Q$29,4,FALSE)),1,0)</f>
        <v>0</v>
      </c>
      <c r="AV124">
        <f>IF(AND(VLOOKUP(AV$1,main!$A$3:$H$102,7,FALSE)=main!$G$104,VLOOKUP(AV$1,main!$A$3:$H$102,5,FALSE)-VLOOKUP($A124,main!$A$3:$H$102,6,FALSE)&gt;=main!$D$103+VLOOKUP(VLOOKUP(AV$1,main!$A$3:$I$102,7,FALSE),main!$K$26:$Q$29,4,FALSE)),1,0)</f>
        <v>0</v>
      </c>
      <c r="AW124">
        <f>IF(AND(VLOOKUP(AW$1,main!$A$3:$H$102,7,FALSE)=main!$G$104,VLOOKUP(AW$1,main!$A$3:$H$102,5,FALSE)-VLOOKUP($A124,main!$A$3:$H$102,6,FALSE)&gt;=main!$D$103+VLOOKUP(VLOOKUP(AW$1,main!$A$3:$I$102,7,FALSE),main!$K$26:$Q$29,4,FALSE)),1,0)</f>
        <v>0</v>
      </c>
      <c r="AX124">
        <f>IF(AND(VLOOKUP(AX$1,main!$A$3:$H$102,7,FALSE)=main!$G$104,VLOOKUP(AX$1,main!$A$3:$H$102,5,FALSE)-VLOOKUP($A124,main!$A$3:$H$102,6,FALSE)&gt;=main!$D$103+VLOOKUP(VLOOKUP(AX$1,main!$A$3:$I$102,7,FALSE),main!$K$26:$Q$29,4,FALSE)),1,0)</f>
        <v>0</v>
      </c>
      <c r="AY124">
        <f>IF(AND(VLOOKUP(AY$1,main!$A$3:$H$102,7,FALSE)=main!$G$104,VLOOKUP(AY$1,main!$A$3:$H$102,5,FALSE)-VLOOKUP($A124,main!$A$3:$H$102,6,FALSE)&gt;=main!$D$103+VLOOKUP(VLOOKUP(AY$1,main!$A$3:$I$102,7,FALSE),main!$K$26:$Q$29,4,FALSE)),1,0)</f>
        <v>0</v>
      </c>
      <c r="AZ124">
        <f>IF(AND(VLOOKUP(AZ$1,main!$A$3:$H$102,7,FALSE)=main!$G$104,VLOOKUP(AZ$1,main!$A$3:$H$102,5,FALSE)-VLOOKUP($A124,main!$A$3:$H$102,6,FALSE)&gt;=main!$D$103+VLOOKUP(VLOOKUP(AZ$1,main!$A$3:$I$102,7,FALSE),main!$K$26:$Q$29,4,FALSE)),1,0)</f>
        <v>0</v>
      </c>
      <c r="BA124">
        <f>IF(AND(VLOOKUP(BA$1,main!$A$3:$H$102,7,FALSE)=main!$G$104,VLOOKUP(BA$1,main!$A$3:$H$102,5,FALSE)-VLOOKUP($A124,main!$A$3:$H$102,6,FALSE)&gt;=main!$D$103+VLOOKUP(VLOOKUP(BA$1,main!$A$3:$I$102,7,FALSE),main!$K$26:$Q$29,4,FALSE)),1,0)</f>
        <v>0</v>
      </c>
      <c r="BB124">
        <f>IF(AND(VLOOKUP(BB$1,main!$A$3:$H$102,7,FALSE)=main!$G$104,VLOOKUP(BB$1,main!$A$3:$H$102,5,FALSE)-VLOOKUP($A124,main!$A$3:$H$102,6,FALSE)&gt;=main!$D$103+VLOOKUP(VLOOKUP(BB$1,main!$A$3:$I$102,7,FALSE),main!$K$26:$Q$29,4,FALSE)),1,0)</f>
        <v>0</v>
      </c>
      <c r="BC124">
        <f>IF(AND(VLOOKUP(BC$1,main!$A$3:$H$102,7,FALSE)=main!$G$104,VLOOKUP(BC$1,main!$A$3:$H$102,5,FALSE)-VLOOKUP($A124,main!$A$3:$H$102,6,FALSE)&gt;=main!$D$103+VLOOKUP(VLOOKUP(BC$1,main!$A$3:$I$102,7,FALSE),main!$K$26:$Q$29,4,FALSE)),1,0)</f>
        <v>0</v>
      </c>
      <c r="BD124">
        <f>IF(AND(VLOOKUP(BD$1,main!$A$3:$H$102,7,FALSE)=main!$G$104,VLOOKUP(BD$1,main!$A$3:$H$102,5,FALSE)-VLOOKUP($A124,main!$A$3:$H$102,6,FALSE)&gt;=main!$D$103+VLOOKUP(VLOOKUP(BD$1,main!$A$3:$I$102,7,FALSE),main!$K$26:$Q$29,4,FALSE)),1,0)</f>
        <v>0</v>
      </c>
      <c r="BE124">
        <f>IF(AND(VLOOKUP(BE$1,main!$A$3:$H$102,7,FALSE)=main!$G$104,VLOOKUP(BE$1,main!$A$3:$H$102,5,FALSE)-VLOOKUP($A124,main!$A$3:$H$102,6,FALSE)&gt;=main!$D$103+VLOOKUP(VLOOKUP(BE$1,main!$A$3:$I$102,7,FALSE),main!$K$26:$Q$29,4,FALSE)),1,0)</f>
        <v>0</v>
      </c>
      <c r="BF124">
        <f>IF(AND(VLOOKUP(BF$1,main!$A$3:$H$102,7,FALSE)=main!$G$104,VLOOKUP(BF$1,main!$A$3:$H$102,5,FALSE)-VLOOKUP($A124,main!$A$3:$H$102,6,FALSE)&gt;=main!$D$103+VLOOKUP(VLOOKUP(BF$1,main!$A$3:$I$102,7,FALSE),main!$K$26:$Q$29,4,FALSE)),1,0)</f>
        <v>0</v>
      </c>
      <c r="BG124">
        <f>IF(AND(VLOOKUP(BG$1,main!$A$3:$H$102,7,FALSE)=main!$G$104,VLOOKUP(BG$1,main!$A$3:$H$102,5,FALSE)-VLOOKUP($A124,main!$A$3:$H$102,6,FALSE)&gt;=main!$D$103+VLOOKUP(VLOOKUP(BG$1,main!$A$3:$I$102,7,FALSE),main!$K$26:$Q$29,4,FALSE)),1,0)</f>
        <v>0</v>
      </c>
      <c r="BH124">
        <f>IF(AND(VLOOKUP(BH$1,main!$A$3:$H$102,7,FALSE)=main!$G$104,VLOOKUP(BH$1,main!$A$3:$H$102,5,FALSE)-VLOOKUP($A124,main!$A$3:$H$102,6,FALSE)&gt;=main!$D$103+VLOOKUP(VLOOKUP(BH$1,main!$A$3:$I$102,7,FALSE),main!$K$26:$Q$29,4,FALSE)),1,0)</f>
        <v>0</v>
      </c>
      <c r="BI124">
        <f>IF(AND(VLOOKUP(BI$1,main!$A$3:$H$102,7,FALSE)=main!$G$104,VLOOKUP(BI$1,main!$A$3:$H$102,5,FALSE)-VLOOKUP($A124,main!$A$3:$H$102,6,FALSE)&gt;=main!$D$103+VLOOKUP(VLOOKUP(BI$1,main!$A$3:$I$102,7,FALSE),main!$K$26:$Q$29,4,FALSE)),1,0)</f>
        <v>0</v>
      </c>
      <c r="BJ124">
        <f>IF(AND(VLOOKUP(BJ$1,main!$A$3:$H$102,7,FALSE)=main!$G$104,VLOOKUP(BJ$1,main!$A$3:$H$102,5,FALSE)-VLOOKUP($A124,main!$A$3:$H$102,6,FALSE)&gt;=main!$D$103+VLOOKUP(VLOOKUP(BJ$1,main!$A$3:$I$102,7,FALSE),main!$K$26:$Q$29,4,FALSE)),1,0)</f>
        <v>0</v>
      </c>
      <c r="BK124">
        <f>IF(AND(VLOOKUP(BK$1,main!$A$3:$H$102,7,FALSE)=main!$G$104,VLOOKUP(BK$1,main!$A$3:$H$102,5,FALSE)-VLOOKUP($A124,main!$A$3:$H$102,6,FALSE)&gt;=main!$D$103+VLOOKUP(VLOOKUP(BK$1,main!$A$3:$I$102,7,FALSE),main!$K$26:$Q$29,4,FALSE)),1,0)</f>
        <v>0</v>
      </c>
      <c r="BL124">
        <f>IF(AND(VLOOKUP(BL$1,main!$A$3:$H$102,7,FALSE)=main!$G$104,VLOOKUP(BL$1,main!$A$3:$H$102,5,FALSE)-VLOOKUP($A124,main!$A$3:$H$102,6,FALSE)&gt;=main!$D$103+VLOOKUP(VLOOKUP(BL$1,main!$A$3:$I$102,7,FALSE),main!$K$26:$Q$29,4,FALSE)),1,0)</f>
        <v>0</v>
      </c>
      <c r="BM124">
        <f>IF(AND(VLOOKUP(BM$1,main!$A$3:$H$102,7,FALSE)=main!$G$104,VLOOKUP(BM$1,main!$A$3:$H$102,5,FALSE)-VLOOKUP($A124,main!$A$3:$H$102,6,FALSE)&gt;=main!$D$103+VLOOKUP(VLOOKUP(BM$1,main!$A$3:$I$102,7,FALSE),main!$K$26:$Q$29,4,FALSE)),1,0)</f>
        <v>0</v>
      </c>
      <c r="BN124">
        <f>IF(AND(VLOOKUP(BN$1,main!$A$3:$H$102,7,FALSE)=main!$G$104,VLOOKUP(BN$1,main!$A$3:$H$102,5,FALSE)-VLOOKUP($A124,main!$A$3:$H$102,6,FALSE)&gt;=main!$D$103+VLOOKUP(VLOOKUP(BN$1,main!$A$3:$I$102,7,FALSE),main!$K$26:$Q$29,4,FALSE)),1,0)</f>
        <v>0</v>
      </c>
      <c r="BO124">
        <f>IF(AND(VLOOKUP(BO$1,main!$A$3:$H$102,7,FALSE)=main!$G$104,VLOOKUP(BO$1,main!$A$3:$H$102,5,FALSE)-VLOOKUP($A124,main!$A$3:$H$102,6,FALSE)&gt;=main!$D$103+VLOOKUP(VLOOKUP(BO$1,main!$A$3:$I$102,7,FALSE),main!$K$26:$Q$29,4,FALSE)),1,0)</f>
        <v>0</v>
      </c>
      <c r="BP124">
        <f>IF(AND(VLOOKUP(BP$1,main!$A$3:$H$102,7,FALSE)=main!$G$104,VLOOKUP(BP$1,main!$A$3:$H$102,5,FALSE)-VLOOKUP($A124,main!$A$3:$H$102,6,FALSE)&gt;=main!$D$103+VLOOKUP(VLOOKUP(BP$1,main!$A$3:$I$102,7,FALSE),main!$K$26:$Q$29,4,FALSE)),1,0)</f>
        <v>0</v>
      </c>
      <c r="BQ124">
        <f>IF(AND(VLOOKUP(BQ$1,main!$A$3:$H$102,7,FALSE)=main!$G$104,VLOOKUP(BQ$1,main!$A$3:$H$102,5,FALSE)-VLOOKUP($A124,main!$A$3:$H$102,6,FALSE)&gt;=main!$D$103+VLOOKUP(VLOOKUP(BQ$1,main!$A$3:$I$102,7,FALSE),main!$K$26:$Q$29,4,FALSE)),1,0)</f>
        <v>0</v>
      </c>
      <c r="BR124">
        <f>IF(AND(VLOOKUP(BR$1,main!$A$3:$H$102,7,FALSE)=main!$G$104,VLOOKUP(BR$1,main!$A$3:$H$102,5,FALSE)-VLOOKUP($A124,main!$A$3:$H$102,6,FALSE)&gt;=main!$D$103+VLOOKUP(VLOOKUP(BR$1,main!$A$3:$I$102,7,FALSE),main!$K$26:$Q$29,4,FALSE)),1,0)</f>
        <v>0</v>
      </c>
      <c r="BS124">
        <f>IF(AND(VLOOKUP(BS$1,main!$A$3:$H$102,7,FALSE)=main!$G$104,VLOOKUP(BS$1,main!$A$3:$H$102,5,FALSE)-VLOOKUP($A124,main!$A$3:$H$102,6,FALSE)&gt;=main!$D$103+VLOOKUP(VLOOKUP(BS$1,main!$A$3:$I$102,7,FALSE),main!$K$26:$Q$29,4,FALSE)),1,0)</f>
        <v>0</v>
      </c>
      <c r="BT124">
        <f>IF(AND(VLOOKUP(BT$1,main!$A$3:$H$102,7,FALSE)=main!$G$104,VLOOKUP(BT$1,main!$A$3:$H$102,5,FALSE)-VLOOKUP($A124,main!$A$3:$H$102,6,FALSE)&gt;=main!$D$103+VLOOKUP(VLOOKUP(BT$1,main!$A$3:$I$102,7,FALSE),main!$K$26:$Q$29,4,FALSE)),1,0)</f>
        <v>0</v>
      </c>
      <c r="BU124">
        <f>IF(AND(VLOOKUP(BU$1,main!$A$3:$H$102,7,FALSE)=main!$G$104,VLOOKUP(BU$1,main!$A$3:$H$102,5,FALSE)-VLOOKUP($A124,main!$A$3:$H$102,6,FALSE)&gt;=main!$D$103+VLOOKUP(VLOOKUP(BU$1,main!$A$3:$I$102,7,FALSE),main!$K$26:$Q$29,4,FALSE)),1,0)</f>
        <v>0</v>
      </c>
      <c r="BV124">
        <f>IF(AND(VLOOKUP(BV$1,main!$A$3:$H$102,7,FALSE)=main!$G$104,VLOOKUP(BV$1,main!$A$3:$H$102,5,FALSE)-VLOOKUP($A124,main!$A$3:$H$102,6,FALSE)&gt;=main!$D$103+VLOOKUP(VLOOKUP(BV$1,main!$A$3:$I$102,7,FALSE),main!$K$26:$Q$29,4,FALSE)),1,0)</f>
        <v>0</v>
      </c>
      <c r="BW124">
        <f>IF(AND(VLOOKUP(BW$1,main!$A$3:$H$102,7,FALSE)=main!$G$104,VLOOKUP(BW$1,main!$A$3:$H$102,5,FALSE)-VLOOKUP($A124,main!$A$3:$H$102,6,FALSE)&gt;=main!$D$103+VLOOKUP(VLOOKUP(BW$1,main!$A$3:$I$102,7,FALSE),main!$K$26:$Q$29,4,FALSE)),1,0)</f>
        <v>0</v>
      </c>
      <c r="BX124">
        <f>IF(AND(VLOOKUP(BX$1,main!$A$3:$H$102,7,FALSE)=main!$G$104,VLOOKUP(BX$1,main!$A$3:$H$102,5,FALSE)-VLOOKUP($A124,main!$A$3:$H$102,6,FALSE)&gt;=main!$D$103+VLOOKUP(VLOOKUP(BX$1,main!$A$3:$I$102,7,FALSE),main!$K$26:$Q$29,4,FALSE)),1,0)</f>
        <v>0</v>
      </c>
      <c r="BY124">
        <f>IF(AND(VLOOKUP(BY$1,main!$A$3:$H$102,7,FALSE)=main!$G$104,VLOOKUP(BY$1,main!$A$3:$H$102,5,FALSE)-VLOOKUP($A124,main!$A$3:$H$102,6,FALSE)&gt;=main!$D$103+VLOOKUP(VLOOKUP(BY$1,main!$A$3:$I$102,7,FALSE),main!$K$26:$Q$29,4,FALSE)),1,0)</f>
        <v>0</v>
      </c>
      <c r="BZ124">
        <f>IF(AND(VLOOKUP(BZ$1,main!$A$3:$H$102,7,FALSE)=main!$G$104,VLOOKUP(BZ$1,main!$A$3:$H$102,5,FALSE)-VLOOKUP($A124,main!$A$3:$H$102,6,FALSE)&gt;=main!$D$103+VLOOKUP(VLOOKUP(BZ$1,main!$A$3:$I$102,7,FALSE),main!$K$26:$Q$29,4,FALSE)),1,0)</f>
        <v>0</v>
      </c>
      <c r="CA124">
        <f>IF(AND(VLOOKUP(CA$1,main!$A$3:$H$102,7,FALSE)=main!$G$104,VLOOKUP(CA$1,main!$A$3:$H$102,5,FALSE)-VLOOKUP($A124,main!$A$3:$H$102,6,FALSE)&gt;=main!$D$103+VLOOKUP(VLOOKUP(CA$1,main!$A$3:$I$102,7,FALSE),main!$K$26:$Q$29,4,FALSE)),1,0)</f>
        <v>0</v>
      </c>
      <c r="CB124">
        <f>IF(AND(VLOOKUP(CB$1,main!$A$3:$H$102,7,FALSE)=main!$G$104,VLOOKUP(CB$1,main!$A$3:$H$102,5,FALSE)-VLOOKUP($A124,main!$A$3:$H$102,6,FALSE)&gt;=main!$D$103+VLOOKUP(VLOOKUP(CB$1,main!$A$3:$I$102,7,FALSE),main!$K$26:$Q$29,4,FALSE)),1,0)</f>
        <v>0</v>
      </c>
      <c r="CC124">
        <f>IF(AND(VLOOKUP(CC$1,main!$A$3:$H$102,7,FALSE)=main!$G$104,VLOOKUP(CC$1,main!$A$3:$H$102,5,FALSE)-VLOOKUP($A124,main!$A$3:$H$102,6,FALSE)&gt;=main!$D$103+VLOOKUP(VLOOKUP(CC$1,main!$A$3:$I$102,7,FALSE),main!$K$26:$Q$29,4,FALSE)),1,0)</f>
        <v>0</v>
      </c>
      <c r="CD124">
        <f>IF(AND(VLOOKUP(CD$1,main!$A$3:$H$102,7,FALSE)=main!$G$104,VLOOKUP(CD$1,main!$A$3:$H$102,5,FALSE)-VLOOKUP($A124,main!$A$3:$H$102,6,FALSE)&gt;=main!$D$103+VLOOKUP(VLOOKUP(CD$1,main!$A$3:$I$102,7,FALSE),main!$K$26:$Q$29,4,FALSE)),1,0)</f>
        <v>0</v>
      </c>
      <c r="CE124">
        <f>IF(AND(VLOOKUP(CE$1,main!$A$3:$H$102,7,FALSE)=main!$G$104,VLOOKUP(CE$1,main!$A$3:$H$102,5,FALSE)-VLOOKUP($A124,main!$A$3:$H$102,6,FALSE)&gt;=main!$D$103+VLOOKUP(VLOOKUP(CE$1,main!$A$3:$I$102,7,FALSE),main!$K$26:$Q$29,4,FALSE)),1,0)</f>
        <v>0</v>
      </c>
      <c r="CF124">
        <f>IF(AND(VLOOKUP(CF$1,main!$A$3:$H$102,7,FALSE)=main!$G$104,VLOOKUP(CF$1,main!$A$3:$H$102,5,FALSE)-VLOOKUP($A124,main!$A$3:$H$102,6,FALSE)&gt;=main!$D$103+VLOOKUP(VLOOKUP(CF$1,main!$A$3:$I$102,7,FALSE),main!$K$26:$Q$29,4,FALSE)),1,0)</f>
        <v>0</v>
      </c>
      <c r="CG124">
        <f>IF(AND(VLOOKUP(CG$1,main!$A$3:$H$102,7,FALSE)=main!$G$104,VLOOKUP(CG$1,main!$A$3:$H$102,5,FALSE)-VLOOKUP($A124,main!$A$3:$H$102,6,FALSE)&gt;=main!$D$103+VLOOKUP(VLOOKUP(CG$1,main!$A$3:$I$102,7,FALSE),main!$K$26:$Q$29,4,FALSE)),1,0)</f>
        <v>0</v>
      </c>
      <c r="CH124">
        <f>IF(AND(VLOOKUP(CH$1,main!$A$3:$H$102,7,FALSE)=main!$G$104,VLOOKUP(CH$1,main!$A$3:$H$102,5,FALSE)-VLOOKUP($A124,main!$A$3:$H$102,6,FALSE)&gt;=main!$D$103+VLOOKUP(VLOOKUP(CH$1,main!$A$3:$I$102,7,FALSE),main!$K$26:$Q$29,4,FALSE)),1,0)</f>
        <v>0</v>
      </c>
      <c r="CI124">
        <f>IF(AND(VLOOKUP(CI$1,main!$A$3:$H$102,7,FALSE)=main!$G$104,VLOOKUP(CI$1,main!$A$3:$H$102,5,FALSE)-VLOOKUP($A124,main!$A$3:$H$102,6,FALSE)&gt;=main!$D$103+VLOOKUP(VLOOKUP(CI$1,main!$A$3:$I$102,7,FALSE),main!$K$26:$Q$29,4,FALSE)),1,0)</f>
        <v>0</v>
      </c>
      <c r="CJ124">
        <f>IF(AND(VLOOKUP(CJ$1,main!$A$3:$H$102,7,FALSE)=main!$G$104,VLOOKUP(CJ$1,main!$A$3:$H$102,5,FALSE)-VLOOKUP($A124,main!$A$3:$H$102,6,FALSE)&gt;=main!$D$103+VLOOKUP(VLOOKUP(CJ$1,main!$A$3:$I$102,7,FALSE),main!$K$26:$Q$29,4,FALSE)),1,0)</f>
        <v>0</v>
      </c>
      <c r="CK124">
        <f>IF(AND(VLOOKUP(CK$1,main!$A$3:$H$102,7,FALSE)=main!$G$104,VLOOKUP(CK$1,main!$A$3:$H$102,5,FALSE)-VLOOKUP($A124,main!$A$3:$H$102,6,FALSE)&gt;=main!$D$103+VLOOKUP(VLOOKUP(CK$1,main!$A$3:$I$102,7,FALSE),main!$K$26:$Q$29,4,FALSE)),1,0)</f>
        <v>0</v>
      </c>
      <c r="CL124">
        <f>IF(AND(VLOOKUP(CL$1,main!$A$3:$H$102,7,FALSE)=main!$G$104,VLOOKUP(CL$1,main!$A$3:$H$102,5,FALSE)-VLOOKUP($A124,main!$A$3:$H$102,6,FALSE)&gt;=main!$D$103+VLOOKUP(VLOOKUP(CL$1,main!$A$3:$I$102,7,FALSE),main!$K$26:$Q$29,4,FALSE)),1,0)</f>
        <v>0</v>
      </c>
      <c r="CM124">
        <f>IF(AND(VLOOKUP(CM$1,main!$A$3:$H$102,7,FALSE)=main!$G$104,VLOOKUP(CM$1,main!$A$3:$H$102,5,FALSE)-VLOOKUP($A124,main!$A$3:$H$102,6,FALSE)&gt;=main!$D$103+VLOOKUP(VLOOKUP(CM$1,main!$A$3:$I$102,7,FALSE),main!$K$26:$Q$29,4,FALSE)),1,0)</f>
        <v>0</v>
      </c>
      <c r="CN124">
        <f>IF(AND(VLOOKUP(CN$1,main!$A$3:$H$102,7,FALSE)=main!$G$104,VLOOKUP(CN$1,main!$A$3:$H$102,5,FALSE)-VLOOKUP($A124,main!$A$3:$H$102,6,FALSE)&gt;=main!$D$103+VLOOKUP(VLOOKUP(CN$1,main!$A$3:$I$102,7,FALSE),main!$K$26:$Q$29,4,FALSE)),1,0)</f>
        <v>0</v>
      </c>
      <c r="CO124">
        <f>IF(AND(VLOOKUP(CO$1,main!$A$3:$H$102,7,FALSE)=main!$G$104,VLOOKUP(CO$1,main!$A$3:$H$102,5,FALSE)-VLOOKUP($A124,main!$A$3:$H$102,6,FALSE)&gt;=main!$D$103+VLOOKUP(VLOOKUP(CO$1,main!$A$3:$I$102,7,FALSE),main!$K$26:$Q$29,4,FALSE)),1,0)</f>
        <v>0</v>
      </c>
      <c r="CP124">
        <f>IF(AND(VLOOKUP(CP$1,main!$A$3:$H$102,7,FALSE)=main!$G$104,VLOOKUP(CP$1,main!$A$3:$H$102,5,FALSE)-VLOOKUP($A124,main!$A$3:$H$102,6,FALSE)&gt;=main!$D$103+VLOOKUP(VLOOKUP(CP$1,main!$A$3:$I$102,7,FALSE),main!$K$26:$Q$29,4,FALSE)),1,0)</f>
        <v>0</v>
      </c>
      <c r="CQ124">
        <f>IF(AND(VLOOKUP(CQ$1,main!$A$3:$H$102,7,FALSE)=main!$G$104,VLOOKUP(CQ$1,main!$A$3:$H$102,5,FALSE)-VLOOKUP($A124,main!$A$3:$H$102,6,FALSE)&gt;=main!$D$103+VLOOKUP(VLOOKUP(CQ$1,main!$A$3:$I$102,7,FALSE),main!$K$26:$Q$29,4,FALSE)),1,0)</f>
        <v>0</v>
      </c>
      <c r="CR124">
        <f>IF(AND(VLOOKUP(CR$1,main!$A$3:$H$102,7,FALSE)=main!$G$104,VLOOKUP(CR$1,main!$A$3:$H$102,5,FALSE)-VLOOKUP($A124,main!$A$3:$H$102,6,FALSE)&gt;=main!$D$103+VLOOKUP(VLOOKUP(CR$1,main!$A$3:$I$102,7,FALSE),main!$K$26:$Q$29,4,FALSE)),1,0)</f>
        <v>0</v>
      </c>
      <c r="CS124">
        <f>IF(AND(VLOOKUP(CS$1,main!$A$3:$H$102,7,FALSE)=main!$G$104,VLOOKUP(CS$1,main!$A$3:$H$102,5,FALSE)-VLOOKUP($A124,main!$A$3:$H$102,6,FALSE)&gt;=main!$D$103+VLOOKUP(VLOOKUP(CS$1,main!$A$3:$I$102,7,FALSE),main!$K$26:$Q$29,4,FALSE)),1,0)</f>
        <v>0</v>
      </c>
      <c r="CT124">
        <f>IF(AND(VLOOKUP(CT$1,main!$A$3:$H$102,7,FALSE)=main!$G$104,VLOOKUP(CT$1,main!$A$3:$H$102,5,FALSE)-VLOOKUP($A124,main!$A$3:$H$102,6,FALSE)&gt;=main!$D$103+VLOOKUP(VLOOKUP(CT$1,main!$A$3:$I$102,7,FALSE),main!$K$26:$Q$29,4,FALSE)),1,0)</f>
        <v>0</v>
      </c>
      <c r="CU124">
        <f>IF(AND(VLOOKUP(CU$1,main!$A$3:$H$102,7,FALSE)=main!$G$104,VLOOKUP(CU$1,main!$A$3:$H$102,5,FALSE)-VLOOKUP($A124,main!$A$3:$H$102,6,FALSE)&gt;=main!$D$103+VLOOKUP(VLOOKUP(CU$1,main!$A$3:$I$102,7,FALSE),main!$K$26:$Q$29,4,FALSE)),1,0)</f>
        <v>0</v>
      </c>
      <c r="CV124">
        <f>IF(AND(VLOOKUP(CV$1,main!$A$3:$H$102,7,FALSE)=main!$G$104,VLOOKUP(CV$1,main!$A$3:$H$102,5,FALSE)-VLOOKUP($A124,main!$A$3:$H$102,6,FALSE)&gt;=main!$D$103+VLOOKUP(VLOOKUP(CV$1,main!$A$3:$I$102,7,FALSE),main!$K$26:$Q$29,4,FALSE)),1,0)</f>
        <v>0</v>
      </c>
      <c r="CW124">
        <f>IF(AND(VLOOKUP(CW$1,main!$A$3:$H$102,7,FALSE)=main!$G$104,VLOOKUP(CW$1,main!$A$3:$H$102,5,FALSE)-VLOOKUP($A124,main!$A$3:$H$102,6,FALSE)&gt;=main!$D$103+VLOOKUP(VLOOKUP(CW$1,main!$A$3:$I$102,7,FALSE),main!$K$26:$Q$29,4,FALSE)),1,0)</f>
        <v>0</v>
      </c>
      <c r="CX124">
        <f>IF(AND(VLOOKUP(CX$1,main!$A$3:$H$102,7,FALSE)=main!$G$104,VLOOKUP(CX$1,main!$A$3:$H$102,5,FALSE)-VLOOKUP($A124,main!$A$3:$H$102,6,FALSE)&gt;=main!$D$103+VLOOKUP(VLOOKUP(CX$1,main!$A$3:$I$102,7,FALSE),main!$K$26:$Q$29,4,FALSE)),1,0)</f>
        <v>0</v>
      </c>
    </row>
    <row r="125" spans="1:102" x14ac:dyDescent="0.25">
      <c r="A125" s="1">
        <v>22</v>
      </c>
      <c r="B125">
        <v>0</v>
      </c>
      <c r="C125">
        <f>IF(AND(VLOOKUP(C$1,main!$A$3:$H$102,7,FALSE)=main!$G$104,VLOOKUP(C$1,main!$A$3:$H$102,5,FALSE)-VLOOKUP($A125,main!$A$3:$H$102,6,FALSE)&gt;=main!$D$103+VLOOKUP(VLOOKUP(C$1,main!$A$3:$I$102,7,FALSE),main!$K$26:$Q$29,4,FALSE)),1,0)</f>
        <v>0</v>
      </c>
      <c r="D125">
        <f>IF(AND(VLOOKUP(D$1,main!$A$3:$H$102,7,FALSE)=main!$G$104,VLOOKUP(D$1,main!$A$3:$H$102,5,FALSE)-VLOOKUP($A125,main!$A$3:$H$102,6,FALSE)&gt;=main!$D$103+VLOOKUP(VLOOKUP(D$1,main!$A$3:$I$102,7,FALSE),main!$K$26:$Q$29,4,FALSE)),1,0)</f>
        <v>0</v>
      </c>
      <c r="E125">
        <f>IF(AND(VLOOKUP(E$1,main!$A$3:$H$102,7,FALSE)=main!$G$104,VLOOKUP(E$1,main!$A$3:$H$102,5,FALSE)-VLOOKUP($A125,main!$A$3:$H$102,6,FALSE)&gt;=main!$D$103+VLOOKUP(VLOOKUP(E$1,main!$A$3:$I$102,7,FALSE),main!$K$26:$Q$29,4,FALSE)),1,0)</f>
        <v>0</v>
      </c>
      <c r="F125">
        <f>IF(AND(VLOOKUP(F$1,main!$A$3:$H$102,7,FALSE)=main!$G$104,VLOOKUP(F$1,main!$A$3:$H$102,5,FALSE)-VLOOKUP($A125,main!$A$3:$H$102,6,FALSE)&gt;=main!$D$103+VLOOKUP(VLOOKUP(F$1,main!$A$3:$I$102,7,FALSE),main!$K$26:$Q$29,4,FALSE)),1,0)</f>
        <v>0</v>
      </c>
      <c r="G125">
        <f>IF(AND(VLOOKUP(G$1,main!$A$3:$H$102,7,FALSE)=main!$G$104,VLOOKUP(G$1,main!$A$3:$H$102,5,FALSE)-VLOOKUP($A125,main!$A$3:$H$102,6,FALSE)&gt;=main!$D$103+VLOOKUP(VLOOKUP(G$1,main!$A$3:$I$102,7,FALSE),main!$K$26:$Q$29,4,FALSE)),1,0)</f>
        <v>1</v>
      </c>
      <c r="H125">
        <f>IF(AND(VLOOKUP(H$1,main!$A$3:$H$102,7,FALSE)=main!$G$104,VLOOKUP(H$1,main!$A$3:$H$102,5,FALSE)-VLOOKUP($A125,main!$A$3:$H$102,6,FALSE)&gt;=main!$D$103+VLOOKUP(VLOOKUP(H$1,main!$A$3:$I$102,7,FALSE),main!$K$26:$Q$29,4,FALSE)),1,0)</f>
        <v>1</v>
      </c>
      <c r="I125">
        <f>IF(AND(VLOOKUP(I$1,main!$A$3:$H$102,7,FALSE)=main!$G$104,VLOOKUP(I$1,main!$A$3:$H$102,5,FALSE)-VLOOKUP($A125,main!$A$3:$H$102,6,FALSE)&gt;=main!$D$103+VLOOKUP(VLOOKUP(I$1,main!$A$3:$I$102,7,FALSE),main!$K$26:$Q$29,4,FALSE)),1,0)</f>
        <v>1</v>
      </c>
      <c r="J125">
        <f>IF(AND(VLOOKUP(J$1,main!$A$3:$H$102,7,FALSE)=main!$G$104,VLOOKUP(J$1,main!$A$3:$H$102,5,FALSE)-VLOOKUP($A125,main!$A$3:$H$102,6,FALSE)&gt;=main!$D$103+VLOOKUP(VLOOKUP(J$1,main!$A$3:$I$102,7,FALSE),main!$K$26:$Q$29,4,FALSE)),1,0)</f>
        <v>1</v>
      </c>
      <c r="K125">
        <f>IF(AND(VLOOKUP(K$1,main!$A$3:$H$102,7,FALSE)=main!$G$104,VLOOKUP(K$1,main!$A$3:$H$102,5,FALSE)-VLOOKUP($A125,main!$A$3:$H$102,6,FALSE)&gt;=main!$D$103+VLOOKUP(VLOOKUP(K$1,main!$A$3:$I$102,7,FALSE),main!$K$26:$Q$29,4,FALSE)),1,0)</f>
        <v>1</v>
      </c>
      <c r="L125">
        <f>IF(AND(VLOOKUP(L$1,main!$A$3:$H$102,7,FALSE)=main!$G$104,VLOOKUP(L$1,main!$A$3:$H$102,5,FALSE)-VLOOKUP($A125,main!$A$3:$H$102,6,FALSE)&gt;=main!$D$103+VLOOKUP(VLOOKUP(L$1,main!$A$3:$I$102,7,FALSE),main!$K$26:$Q$29,4,FALSE)),1,0)</f>
        <v>1</v>
      </c>
      <c r="M125">
        <f>IF(AND(VLOOKUP(M$1,main!$A$3:$H$102,7,FALSE)=main!$G$104,VLOOKUP(M$1,main!$A$3:$H$102,5,FALSE)-VLOOKUP($A125,main!$A$3:$H$102,6,FALSE)&gt;=main!$D$103+VLOOKUP(VLOOKUP(M$1,main!$A$3:$I$102,7,FALSE),main!$K$26:$Q$29,4,FALSE)),1,0)</f>
        <v>0</v>
      </c>
      <c r="N125">
        <f>IF(AND(VLOOKUP(N$1,main!$A$3:$H$102,7,FALSE)=main!$G$104,VLOOKUP(N$1,main!$A$3:$H$102,5,FALSE)-VLOOKUP($A125,main!$A$3:$H$102,6,FALSE)&gt;=main!$D$103+VLOOKUP(VLOOKUP(N$1,main!$A$3:$I$102,7,FALSE),main!$K$26:$Q$29,4,FALSE)),1,0)</f>
        <v>0</v>
      </c>
      <c r="O125">
        <f>IF(AND(VLOOKUP(O$1,main!$A$3:$H$102,7,FALSE)=main!$G$104,VLOOKUP(O$1,main!$A$3:$H$102,5,FALSE)-VLOOKUP($A125,main!$A$3:$H$102,6,FALSE)&gt;=main!$D$103+VLOOKUP(VLOOKUP(O$1,main!$A$3:$I$102,7,FALSE),main!$K$26:$Q$29,4,FALSE)),1,0)</f>
        <v>0</v>
      </c>
      <c r="P125">
        <f>IF(AND(VLOOKUP(P$1,main!$A$3:$H$102,7,FALSE)=main!$G$104,VLOOKUP(P$1,main!$A$3:$H$102,5,FALSE)-VLOOKUP($A125,main!$A$3:$H$102,6,FALSE)&gt;=main!$D$103+VLOOKUP(VLOOKUP(P$1,main!$A$3:$I$102,7,FALSE),main!$K$26:$Q$29,4,FALSE)),1,0)</f>
        <v>0</v>
      </c>
      <c r="Q125">
        <f>IF(AND(VLOOKUP(Q$1,main!$A$3:$H$102,7,FALSE)=main!$G$104,VLOOKUP(Q$1,main!$A$3:$H$102,5,FALSE)-VLOOKUP($A125,main!$A$3:$H$102,6,FALSE)&gt;=main!$D$103+VLOOKUP(VLOOKUP(Q$1,main!$A$3:$I$102,7,FALSE),main!$K$26:$Q$29,4,FALSE)),1,0)</f>
        <v>0</v>
      </c>
      <c r="R125">
        <f>IF(AND(VLOOKUP(R$1,main!$A$3:$H$102,7,FALSE)=main!$G$104,VLOOKUP(R$1,main!$A$3:$H$102,5,FALSE)-VLOOKUP($A125,main!$A$3:$H$102,6,FALSE)&gt;=main!$D$103+VLOOKUP(VLOOKUP(R$1,main!$A$3:$I$102,7,FALSE),main!$K$26:$Q$29,4,FALSE)),1,0)</f>
        <v>0</v>
      </c>
      <c r="S125">
        <f>IF(AND(VLOOKUP(S$1,main!$A$3:$H$102,7,FALSE)=main!$G$104,VLOOKUP(S$1,main!$A$3:$H$102,5,FALSE)-VLOOKUP($A125,main!$A$3:$H$102,6,FALSE)&gt;=main!$D$103+VLOOKUP(VLOOKUP(S$1,main!$A$3:$I$102,7,FALSE),main!$K$26:$Q$29,4,FALSE)),1,0)</f>
        <v>1</v>
      </c>
      <c r="T125">
        <f>IF(AND(VLOOKUP(T$1,main!$A$3:$H$102,7,FALSE)=main!$G$104,VLOOKUP(T$1,main!$A$3:$H$102,5,FALSE)-VLOOKUP($A125,main!$A$3:$H$102,6,FALSE)&gt;=main!$D$103+VLOOKUP(VLOOKUP(T$1,main!$A$3:$I$102,7,FALSE),main!$K$26:$Q$29,4,FALSE)),1,0)</f>
        <v>1</v>
      </c>
      <c r="U125">
        <f>IF(AND(VLOOKUP(U$1,main!$A$3:$H$102,7,FALSE)=main!$G$104,VLOOKUP(U$1,main!$A$3:$H$102,5,FALSE)-VLOOKUP($A125,main!$A$3:$H$102,6,FALSE)&gt;=main!$D$103+VLOOKUP(VLOOKUP(U$1,main!$A$3:$I$102,7,FALSE),main!$K$26:$Q$29,4,FALSE)),1,0)</f>
        <v>1</v>
      </c>
      <c r="V125">
        <f>IF(AND(VLOOKUP(V$1,main!$A$3:$H$102,7,FALSE)=main!$G$104,VLOOKUP(V$1,main!$A$3:$H$102,5,FALSE)-VLOOKUP($A125,main!$A$3:$H$102,6,FALSE)&gt;=main!$D$103+VLOOKUP(VLOOKUP(V$1,main!$A$3:$I$102,7,FALSE),main!$K$26:$Q$29,4,FALSE)),1,0)</f>
        <v>1</v>
      </c>
      <c r="W125">
        <f>IF(AND(VLOOKUP(W$1,main!$A$3:$H$102,7,FALSE)=main!$G$104,VLOOKUP(W$1,main!$A$3:$H$102,5,FALSE)-VLOOKUP($A125,main!$A$3:$H$102,6,FALSE)&gt;=main!$D$103+VLOOKUP(VLOOKUP(W$1,main!$A$3:$I$102,7,FALSE),main!$K$26:$Q$29,4,FALSE)),1,0)</f>
        <v>0</v>
      </c>
      <c r="X125">
        <f>IF(AND(VLOOKUP(X$1,main!$A$3:$H$102,7,FALSE)=main!$G$104,VLOOKUP(X$1,main!$A$3:$H$102,5,FALSE)-VLOOKUP($A125,main!$A$3:$H$102,6,FALSE)&gt;=main!$D$103+VLOOKUP(VLOOKUP(X$1,main!$A$3:$I$102,7,FALSE),main!$K$26:$Q$29,4,FALSE)),1,0)</f>
        <v>0</v>
      </c>
      <c r="Y125">
        <f>IF(AND(VLOOKUP(Y$1,main!$A$3:$H$102,7,FALSE)=main!$G$104,VLOOKUP(Y$1,main!$A$3:$H$102,5,FALSE)-VLOOKUP($A125,main!$A$3:$H$102,6,FALSE)&gt;=main!$D$103+VLOOKUP(VLOOKUP(Y$1,main!$A$3:$I$102,7,FALSE),main!$K$26:$Q$29,4,FALSE)),1,0)</f>
        <v>0</v>
      </c>
      <c r="Z125">
        <f>IF(AND(VLOOKUP(Z$1,main!$A$3:$H$102,7,FALSE)=main!$G$104,VLOOKUP(Z$1,main!$A$3:$H$102,5,FALSE)-VLOOKUP($A125,main!$A$3:$H$102,6,FALSE)&gt;=main!$D$103+VLOOKUP(VLOOKUP(Z$1,main!$A$3:$I$102,7,FALSE),main!$K$26:$Q$29,4,FALSE)),1,0)</f>
        <v>1</v>
      </c>
      <c r="AA125">
        <f>IF(AND(VLOOKUP(AA$1,main!$A$3:$H$102,7,FALSE)=main!$G$104,VLOOKUP(AA$1,main!$A$3:$H$102,5,FALSE)-VLOOKUP($A125,main!$A$3:$H$102,6,FALSE)&gt;=main!$D$103+VLOOKUP(VLOOKUP(AA$1,main!$A$3:$I$102,7,FALSE),main!$K$26:$Q$29,4,FALSE)),1,0)</f>
        <v>1</v>
      </c>
      <c r="AB125">
        <f>IF(AND(VLOOKUP(AB$1,main!$A$3:$H$102,7,FALSE)=main!$G$104,VLOOKUP(AB$1,main!$A$3:$H$102,5,FALSE)-VLOOKUP($A125,main!$A$3:$H$102,6,FALSE)&gt;=main!$D$103+VLOOKUP(VLOOKUP(AB$1,main!$A$3:$I$102,7,FALSE),main!$K$26:$Q$29,4,FALSE)),1,0)</f>
        <v>0</v>
      </c>
      <c r="AC125">
        <f>IF(AND(VLOOKUP(AC$1,main!$A$3:$H$102,7,FALSE)=main!$G$104,VLOOKUP(AC$1,main!$A$3:$H$102,5,FALSE)-VLOOKUP($A125,main!$A$3:$H$102,6,FALSE)&gt;=main!$D$103+VLOOKUP(VLOOKUP(AC$1,main!$A$3:$I$102,7,FALSE),main!$K$26:$Q$29,4,FALSE)),1,0)</f>
        <v>0</v>
      </c>
      <c r="AD125">
        <f>IF(AND(VLOOKUP(AD$1,main!$A$3:$H$102,7,FALSE)=main!$G$104,VLOOKUP(AD$1,main!$A$3:$H$102,5,FALSE)-VLOOKUP($A125,main!$A$3:$H$102,6,FALSE)&gt;=main!$D$103+VLOOKUP(VLOOKUP(AD$1,main!$A$3:$I$102,7,FALSE),main!$K$26:$Q$29,4,FALSE)),1,0)</f>
        <v>0</v>
      </c>
      <c r="AE125">
        <f>IF(AND(VLOOKUP(AE$1,main!$A$3:$H$102,7,FALSE)=main!$G$104,VLOOKUP(AE$1,main!$A$3:$H$102,5,FALSE)-VLOOKUP($A125,main!$A$3:$H$102,6,FALSE)&gt;=main!$D$103+VLOOKUP(VLOOKUP(AE$1,main!$A$3:$I$102,7,FALSE),main!$K$26:$Q$29,4,FALSE)),1,0)</f>
        <v>1</v>
      </c>
      <c r="AF125">
        <f>IF(AND(VLOOKUP(AF$1,main!$A$3:$H$102,7,FALSE)=main!$G$104,VLOOKUP(AF$1,main!$A$3:$H$102,5,FALSE)-VLOOKUP($A125,main!$A$3:$H$102,6,FALSE)&gt;=main!$D$103+VLOOKUP(VLOOKUP(AF$1,main!$A$3:$I$102,7,FALSE),main!$K$26:$Q$29,4,FALSE)),1,0)</f>
        <v>1</v>
      </c>
      <c r="AG125">
        <f>IF(AND(VLOOKUP(AG$1,main!$A$3:$H$102,7,FALSE)=main!$G$104,VLOOKUP(AG$1,main!$A$3:$H$102,5,FALSE)-VLOOKUP($A125,main!$A$3:$H$102,6,FALSE)&gt;=main!$D$103+VLOOKUP(VLOOKUP(AG$1,main!$A$3:$I$102,7,FALSE),main!$K$26:$Q$29,4,FALSE)),1,0)</f>
        <v>0</v>
      </c>
      <c r="AH125">
        <f>IF(AND(VLOOKUP(AH$1,main!$A$3:$H$102,7,FALSE)=main!$G$104,VLOOKUP(AH$1,main!$A$3:$H$102,5,FALSE)-VLOOKUP($A125,main!$A$3:$H$102,6,FALSE)&gt;=main!$D$103+VLOOKUP(VLOOKUP(AH$1,main!$A$3:$I$102,7,FALSE),main!$K$26:$Q$29,4,FALSE)),1,0)</f>
        <v>0</v>
      </c>
      <c r="AI125">
        <f>IF(AND(VLOOKUP(AI$1,main!$A$3:$H$102,7,FALSE)=main!$G$104,VLOOKUP(AI$1,main!$A$3:$H$102,5,FALSE)-VLOOKUP($A125,main!$A$3:$H$102,6,FALSE)&gt;=main!$D$103+VLOOKUP(VLOOKUP(AI$1,main!$A$3:$I$102,7,FALSE),main!$K$26:$Q$29,4,FALSE)),1,0)</f>
        <v>0</v>
      </c>
      <c r="AJ125">
        <f>IF(AND(VLOOKUP(AJ$1,main!$A$3:$H$102,7,FALSE)=main!$G$104,VLOOKUP(AJ$1,main!$A$3:$H$102,5,FALSE)-VLOOKUP($A125,main!$A$3:$H$102,6,FALSE)&gt;=main!$D$103+VLOOKUP(VLOOKUP(AJ$1,main!$A$3:$I$102,7,FALSE),main!$K$26:$Q$29,4,FALSE)),1,0)</f>
        <v>0</v>
      </c>
      <c r="AK125">
        <f>IF(AND(VLOOKUP(AK$1,main!$A$3:$H$102,7,FALSE)=main!$G$104,VLOOKUP(AK$1,main!$A$3:$H$102,5,FALSE)-VLOOKUP($A125,main!$A$3:$H$102,6,FALSE)&gt;=main!$D$103+VLOOKUP(VLOOKUP(AK$1,main!$A$3:$I$102,7,FALSE),main!$K$26:$Q$29,4,FALSE)),1,0)</f>
        <v>0</v>
      </c>
      <c r="AL125">
        <f>IF(AND(VLOOKUP(AL$1,main!$A$3:$H$102,7,FALSE)=main!$G$104,VLOOKUP(AL$1,main!$A$3:$H$102,5,FALSE)-VLOOKUP($A125,main!$A$3:$H$102,6,FALSE)&gt;=main!$D$103+VLOOKUP(VLOOKUP(AL$1,main!$A$3:$I$102,7,FALSE),main!$K$26:$Q$29,4,FALSE)),1,0)</f>
        <v>0</v>
      </c>
      <c r="AM125">
        <f>IF(AND(VLOOKUP(AM$1,main!$A$3:$H$102,7,FALSE)=main!$G$104,VLOOKUP(AM$1,main!$A$3:$H$102,5,FALSE)-VLOOKUP($A125,main!$A$3:$H$102,6,FALSE)&gt;=main!$D$103+VLOOKUP(VLOOKUP(AM$1,main!$A$3:$I$102,7,FALSE),main!$K$26:$Q$29,4,FALSE)),1,0)</f>
        <v>0</v>
      </c>
      <c r="AN125">
        <f>IF(AND(VLOOKUP(AN$1,main!$A$3:$H$102,7,FALSE)=main!$G$104,VLOOKUP(AN$1,main!$A$3:$H$102,5,FALSE)-VLOOKUP($A125,main!$A$3:$H$102,6,FALSE)&gt;=main!$D$103+VLOOKUP(VLOOKUP(AN$1,main!$A$3:$I$102,7,FALSE),main!$K$26:$Q$29,4,FALSE)),1,0)</f>
        <v>0</v>
      </c>
      <c r="AO125">
        <f>IF(AND(VLOOKUP(AO$1,main!$A$3:$H$102,7,FALSE)=main!$G$104,VLOOKUP(AO$1,main!$A$3:$H$102,5,FALSE)-VLOOKUP($A125,main!$A$3:$H$102,6,FALSE)&gt;=main!$D$103+VLOOKUP(VLOOKUP(AO$1,main!$A$3:$I$102,7,FALSE),main!$K$26:$Q$29,4,FALSE)),1,0)</f>
        <v>0</v>
      </c>
      <c r="AP125">
        <f>IF(AND(VLOOKUP(AP$1,main!$A$3:$H$102,7,FALSE)=main!$G$104,VLOOKUP(AP$1,main!$A$3:$H$102,5,FALSE)-VLOOKUP($A125,main!$A$3:$H$102,6,FALSE)&gt;=main!$D$103+VLOOKUP(VLOOKUP(AP$1,main!$A$3:$I$102,7,FALSE),main!$K$26:$Q$29,4,FALSE)),1,0)</f>
        <v>0</v>
      </c>
      <c r="AQ125">
        <f>IF(AND(VLOOKUP(AQ$1,main!$A$3:$H$102,7,FALSE)=main!$G$104,VLOOKUP(AQ$1,main!$A$3:$H$102,5,FALSE)-VLOOKUP($A125,main!$A$3:$H$102,6,FALSE)&gt;=main!$D$103+VLOOKUP(VLOOKUP(AQ$1,main!$A$3:$I$102,7,FALSE),main!$K$26:$Q$29,4,FALSE)),1,0)</f>
        <v>0</v>
      </c>
      <c r="AR125">
        <f>IF(AND(VLOOKUP(AR$1,main!$A$3:$H$102,7,FALSE)=main!$G$104,VLOOKUP(AR$1,main!$A$3:$H$102,5,FALSE)-VLOOKUP($A125,main!$A$3:$H$102,6,FALSE)&gt;=main!$D$103+VLOOKUP(VLOOKUP(AR$1,main!$A$3:$I$102,7,FALSE),main!$K$26:$Q$29,4,FALSE)),1,0)</f>
        <v>0</v>
      </c>
      <c r="AS125">
        <f>IF(AND(VLOOKUP(AS$1,main!$A$3:$H$102,7,FALSE)=main!$G$104,VLOOKUP(AS$1,main!$A$3:$H$102,5,FALSE)-VLOOKUP($A125,main!$A$3:$H$102,6,FALSE)&gt;=main!$D$103+VLOOKUP(VLOOKUP(AS$1,main!$A$3:$I$102,7,FALSE),main!$K$26:$Q$29,4,FALSE)),1,0)</f>
        <v>0</v>
      </c>
      <c r="AT125">
        <f>IF(AND(VLOOKUP(AT$1,main!$A$3:$H$102,7,FALSE)=main!$G$104,VLOOKUP(AT$1,main!$A$3:$H$102,5,FALSE)-VLOOKUP($A125,main!$A$3:$H$102,6,FALSE)&gt;=main!$D$103+VLOOKUP(VLOOKUP(AT$1,main!$A$3:$I$102,7,FALSE),main!$K$26:$Q$29,4,FALSE)),1,0)</f>
        <v>0</v>
      </c>
      <c r="AU125">
        <f>IF(AND(VLOOKUP(AU$1,main!$A$3:$H$102,7,FALSE)=main!$G$104,VLOOKUP(AU$1,main!$A$3:$H$102,5,FALSE)-VLOOKUP($A125,main!$A$3:$H$102,6,FALSE)&gt;=main!$D$103+VLOOKUP(VLOOKUP(AU$1,main!$A$3:$I$102,7,FALSE),main!$K$26:$Q$29,4,FALSE)),1,0)</f>
        <v>0</v>
      </c>
      <c r="AV125">
        <f>IF(AND(VLOOKUP(AV$1,main!$A$3:$H$102,7,FALSE)=main!$G$104,VLOOKUP(AV$1,main!$A$3:$H$102,5,FALSE)-VLOOKUP($A125,main!$A$3:$H$102,6,FALSE)&gt;=main!$D$103+VLOOKUP(VLOOKUP(AV$1,main!$A$3:$I$102,7,FALSE),main!$K$26:$Q$29,4,FALSE)),1,0)</f>
        <v>0</v>
      </c>
      <c r="AW125">
        <f>IF(AND(VLOOKUP(AW$1,main!$A$3:$H$102,7,FALSE)=main!$G$104,VLOOKUP(AW$1,main!$A$3:$H$102,5,FALSE)-VLOOKUP($A125,main!$A$3:$H$102,6,FALSE)&gt;=main!$D$103+VLOOKUP(VLOOKUP(AW$1,main!$A$3:$I$102,7,FALSE),main!$K$26:$Q$29,4,FALSE)),1,0)</f>
        <v>0</v>
      </c>
      <c r="AX125">
        <f>IF(AND(VLOOKUP(AX$1,main!$A$3:$H$102,7,FALSE)=main!$G$104,VLOOKUP(AX$1,main!$A$3:$H$102,5,FALSE)-VLOOKUP($A125,main!$A$3:$H$102,6,FALSE)&gt;=main!$D$103+VLOOKUP(VLOOKUP(AX$1,main!$A$3:$I$102,7,FALSE),main!$K$26:$Q$29,4,FALSE)),1,0)</f>
        <v>0</v>
      </c>
      <c r="AY125">
        <f>IF(AND(VLOOKUP(AY$1,main!$A$3:$H$102,7,FALSE)=main!$G$104,VLOOKUP(AY$1,main!$A$3:$H$102,5,FALSE)-VLOOKUP($A125,main!$A$3:$H$102,6,FALSE)&gt;=main!$D$103+VLOOKUP(VLOOKUP(AY$1,main!$A$3:$I$102,7,FALSE),main!$K$26:$Q$29,4,FALSE)),1,0)</f>
        <v>0</v>
      </c>
      <c r="AZ125">
        <f>IF(AND(VLOOKUP(AZ$1,main!$A$3:$H$102,7,FALSE)=main!$G$104,VLOOKUP(AZ$1,main!$A$3:$H$102,5,FALSE)-VLOOKUP($A125,main!$A$3:$H$102,6,FALSE)&gt;=main!$D$103+VLOOKUP(VLOOKUP(AZ$1,main!$A$3:$I$102,7,FALSE),main!$K$26:$Q$29,4,FALSE)),1,0)</f>
        <v>0</v>
      </c>
      <c r="BA125">
        <f>IF(AND(VLOOKUP(BA$1,main!$A$3:$H$102,7,FALSE)=main!$G$104,VLOOKUP(BA$1,main!$A$3:$H$102,5,FALSE)-VLOOKUP($A125,main!$A$3:$H$102,6,FALSE)&gt;=main!$D$103+VLOOKUP(VLOOKUP(BA$1,main!$A$3:$I$102,7,FALSE),main!$K$26:$Q$29,4,FALSE)),1,0)</f>
        <v>0</v>
      </c>
      <c r="BB125">
        <f>IF(AND(VLOOKUP(BB$1,main!$A$3:$H$102,7,FALSE)=main!$G$104,VLOOKUP(BB$1,main!$A$3:$H$102,5,FALSE)-VLOOKUP($A125,main!$A$3:$H$102,6,FALSE)&gt;=main!$D$103+VLOOKUP(VLOOKUP(BB$1,main!$A$3:$I$102,7,FALSE),main!$K$26:$Q$29,4,FALSE)),1,0)</f>
        <v>0</v>
      </c>
      <c r="BC125">
        <f>IF(AND(VLOOKUP(BC$1,main!$A$3:$H$102,7,FALSE)=main!$G$104,VLOOKUP(BC$1,main!$A$3:$H$102,5,FALSE)-VLOOKUP($A125,main!$A$3:$H$102,6,FALSE)&gt;=main!$D$103+VLOOKUP(VLOOKUP(BC$1,main!$A$3:$I$102,7,FALSE),main!$K$26:$Q$29,4,FALSE)),1,0)</f>
        <v>0</v>
      </c>
      <c r="BD125">
        <f>IF(AND(VLOOKUP(BD$1,main!$A$3:$H$102,7,FALSE)=main!$G$104,VLOOKUP(BD$1,main!$A$3:$H$102,5,FALSE)-VLOOKUP($A125,main!$A$3:$H$102,6,FALSE)&gt;=main!$D$103+VLOOKUP(VLOOKUP(BD$1,main!$A$3:$I$102,7,FALSE),main!$K$26:$Q$29,4,FALSE)),1,0)</f>
        <v>0</v>
      </c>
      <c r="BE125">
        <f>IF(AND(VLOOKUP(BE$1,main!$A$3:$H$102,7,FALSE)=main!$G$104,VLOOKUP(BE$1,main!$A$3:$H$102,5,FALSE)-VLOOKUP($A125,main!$A$3:$H$102,6,FALSE)&gt;=main!$D$103+VLOOKUP(VLOOKUP(BE$1,main!$A$3:$I$102,7,FALSE),main!$K$26:$Q$29,4,FALSE)),1,0)</f>
        <v>0</v>
      </c>
      <c r="BF125">
        <f>IF(AND(VLOOKUP(BF$1,main!$A$3:$H$102,7,FALSE)=main!$G$104,VLOOKUP(BF$1,main!$A$3:$H$102,5,FALSE)-VLOOKUP($A125,main!$A$3:$H$102,6,FALSE)&gt;=main!$D$103+VLOOKUP(VLOOKUP(BF$1,main!$A$3:$I$102,7,FALSE),main!$K$26:$Q$29,4,FALSE)),1,0)</f>
        <v>0</v>
      </c>
      <c r="BG125">
        <f>IF(AND(VLOOKUP(BG$1,main!$A$3:$H$102,7,FALSE)=main!$G$104,VLOOKUP(BG$1,main!$A$3:$H$102,5,FALSE)-VLOOKUP($A125,main!$A$3:$H$102,6,FALSE)&gt;=main!$D$103+VLOOKUP(VLOOKUP(BG$1,main!$A$3:$I$102,7,FALSE),main!$K$26:$Q$29,4,FALSE)),1,0)</f>
        <v>0</v>
      </c>
      <c r="BH125">
        <f>IF(AND(VLOOKUP(BH$1,main!$A$3:$H$102,7,FALSE)=main!$G$104,VLOOKUP(BH$1,main!$A$3:$H$102,5,FALSE)-VLOOKUP($A125,main!$A$3:$H$102,6,FALSE)&gt;=main!$D$103+VLOOKUP(VLOOKUP(BH$1,main!$A$3:$I$102,7,FALSE),main!$K$26:$Q$29,4,FALSE)),1,0)</f>
        <v>0</v>
      </c>
      <c r="BI125">
        <f>IF(AND(VLOOKUP(BI$1,main!$A$3:$H$102,7,FALSE)=main!$G$104,VLOOKUP(BI$1,main!$A$3:$H$102,5,FALSE)-VLOOKUP($A125,main!$A$3:$H$102,6,FALSE)&gt;=main!$D$103+VLOOKUP(VLOOKUP(BI$1,main!$A$3:$I$102,7,FALSE),main!$K$26:$Q$29,4,FALSE)),1,0)</f>
        <v>0</v>
      </c>
      <c r="BJ125">
        <f>IF(AND(VLOOKUP(BJ$1,main!$A$3:$H$102,7,FALSE)=main!$G$104,VLOOKUP(BJ$1,main!$A$3:$H$102,5,FALSE)-VLOOKUP($A125,main!$A$3:$H$102,6,FALSE)&gt;=main!$D$103+VLOOKUP(VLOOKUP(BJ$1,main!$A$3:$I$102,7,FALSE),main!$K$26:$Q$29,4,FALSE)),1,0)</f>
        <v>0</v>
      </c>
      <c r="BK125">
        <f>IF(AND(VLOOKUP(BK$1,main!$A$3:$H$102,7,FALSE)=main!$G$104,VLOOKUP(BK$1,main!$A$3:$H$102,5,FALSE)-VLOOKUP($A125,main!$A$3:$H$102,6,FALSE)&gt;=main!$D$103+VLOOKUP(VLOOKUP(BK$1,main!$A$3:$I$102,7,FALSE),main!$K$26:$Q$29,4,FALSE)),1,0)</f>
        <v>0</v>
      </c>
      <c r="BL125">
        <f>IF(AND(VLOOKUP(BL$1,main!$A$3:$H$102,7,FALSE)=main!$G$104,VLOOKUP(BL$1,main!$A$3:$H$102,5,FALSE)-VLOOKUP($A125,main!$A$3:$H$102,6,FALSE)&gt;=main!$D$103+VLOOKUP(VLOOKUP(BL$1,main!$A$3:$I$102,7,FALSE),main!$K$26:$Q$29,4,FALSE)),1,0)</f>
        <v>0</v>
      </c>
      <c r="BM125">
        <f>IF(AND(VLOOKUP(BM$1,main!$A$3:$H$102,7,FALSE)=main!$G$104,VLOOKUP(BM$1,main!$A$3:$H$102,5,FALSE)-VLOOKUP($A125,main!$A$3:$H$102,6,FALSE)&gt;=main!$D$103+VLOOKUP(VLOOKUP(BM$1,main!$A$3:$I$102,7,FALSE),main!$K$26:$Q$29,4,FALSE)),1,0)</f>
        <v>0</v>
      </c>
      <c r="BN125">
        <f>IF(AND(VLOOKUP(BN$1,main!$A$3:$H$102,7,FALSE)=main!$G$104,VLOOKUP(BN$1,main!$A$3:$H$102,5,FALSE)-VLOOKUP($A125,main!$A$3:$H$102,6,FALSE)&gt;=main!$D$103+VLOOKUP(VLOOKUP(BN$1,main!$A$3:$I$102,7,FALSE),main!$K$26:$Q$29,4,FALSE)),1,0)</f>
        <v>0</v>
      </c>
      <c r="BO125">
        <f>IF(AND(VLOOKUP(BO$1,main!$A$3:$H$102,7,FALSE)=main!$G$104,VLOOKUP(BO$1,main!$A$3:$H$102,5,FALSE)-VLOOKUP($A125,main!$A$3:$H$102,6,FALSE)&gt;=main!$D$103+VLOOKUP(VLOOKUP(BO$1,main!$A$3:$I$102,7,FALSE),main!$K$26:$Q$29,4,FALSE)),1,0)</f>
        <v>0</v>
      </c>
      <c r="BP125">
        <f>IF(AND(VLOOKUP(BP$1,main!$A$3:$H$102,7,FALSE)=main!$G$104,VLOOKUP(BP$1,main!$A$3:$H$102,5,FALSE)-VLOOKUP($A125,main!$A$3:$H$102,6,FALSE)&gt;=main!$D$103+VLOOKUP(VLOOKUP(BP$1,main!$A$3:$I$102,7,FALSE),main!$K$26:$Q$29,4,FALSE)),1,0)</f>
        <v>0</v>
      </c>
      <c r="BQ125">
        <f>IF(AND(VLOOKUP(BQ$1,main!$A$3:$H$102,7,FALSE)=main!$G$104,VLOOKUP(BQ$1,main!$A$3:$H$102,5,FALSE)-VLOOKUP($A125,main!$A$3:$H$102,6,FALSE)&gt;=main!$D$103+VLOOKUP(VLOOKUP(BQ$1,main!$A$3:$I$102,7,FALSE),main!$K$26:$Q$29,4,FALSE)),1,0)</f>
        <v>0</v>
      </c>
      <c r="BR125">
        <f>IF(AND(VLOOKUP(BR$1,main!$A$3:$H$102,7,FALSE)=main!$G$104,VLOOKUP(BR$1,main!$A$3:$H$102,5,FALSE)-VLOOKUP($A125,main!$A$3:$H$102,6,FALSE)&gt;=main!$D$103+VLOOKUP(VLOOKUP(BR$1,main!$A$3:$I$102,7,FALSE),main!$K$26:$Q$29,4,FALSE)),1,0)</f>
        <v>0</v>
      </c>
      <c r="BS125">
        <f>IF(AND(VLOOKUP(BS$1,main!$A$3:$H$102,7,FALSE)=main!$G$104,VLOOKUP(BS$1,main!$A$3:$H$102,5,FALSE)-VLOOKUP($A125,main!$A$3:$H$102,6,FALSE)&gt;=main!$D$103+VLOOKUP(VLOOKUP(BS$1,main!$A$3:$I$102,7,FALSE),main!$K$26:$Q$29,4,FALSE)),1,0)</f>
        <v>0</v>
      </c>
      <c r="BT125">
        <f>IF(AND(VLOOKUP(BT$1,main!$A$3:$H$102,7,FALSE)=main!$G$104,VLOOKUP(BT$1,main!$A$3:$H$102,5,FALSE)-VLOOKUP($A125,main!$A$3:$H$102,6,FALSE)&gt;=main!$D$103+VLOOKUP(VLOOKUP(BT$1,main!$A$3:$I$102,7,FALSE),main!$K$26:$Q$29,4,FALSE)),1,0)</f>
        <v>0</v>
      </c>
      <c r="BU125">
        <f>IF(AND(VLOOKUP(BU$1,main!$A$3:$H$102,7,FALSE)=main!$G$104,VLOOKUP(BU$1,main!$A$3:$H$102,5,FALSE)-VLOOKUP($A125,main!$A$3:$H$102,6,FALSE)&gt;=main!$D$103+VLOOKUP(VLOOKUP(BU$1,main!$A$3:$I$102,7,FALSE),main!$K$26:$Q$29,4,FALSE)),1,0)</f>
        <v>0</v>
      </c>
      <c r="BV125">
        <f>IF(AND(VLOOKUP(BV$1,main!$A$3:$H$102,7,FALSE)=main!$G$104,VLOOKUP(BV$1,main!$A$3:$H$102,5,FALSE)-VLOOKUP($A125,main!$A$3:$H$102,6,FALSE)&gt;=main!$D$103+VLOOKUP(VLOOKUP(BV$1,main!$A$3:$I$102,7,FALSE),main!$K$26:$Q$29,4,FALSE)),1,0)</f>
        <v>0</v>
      </c>
      <c r="BW125">
        <f>IF(AND(VLOOKUP(BW$1,main!$A$3:$H$102,7,FALSE)=main!$G$104,VLOOKUP(BW$1,main!$A$3:$H$102,5,FALSE)-VLOOKUP($A125,main!$A$3:$H$102,6,FALSE)&gt;=main!$D$103+VLOOKUP(VLOOKUP(BW$1,main!$A$3:$I$102,7,FALSE),main!$K$26:$Q$29,4,FALSE)),1,0)</f>
        <v>0</v>
      </c>
      <c r="BX125">
        <f>IF(AND(VLOOKUP(BX$1,main!$A$3:$H$102,7,FALSE)=main!$G$104,VLOOKUP(BX$1,main!$A$3:$H$102,5,FALSE)-VLOOKUP($A125,main!$A$3:$H$102,6,FALSE)&gt;=main!$D$103+VLOOKUP(VLOOKUP(BX$1,main!$A$3:$I$102,7,FALSE),main!$K$26:$Q$29,4,FALSE)),1,0)</f>
        <v>0</v>
      </c>
      <c r="BY125">
        <f>IF(AND(VLOOKUP(BY$1,main!$A$3:$H$102,7,FALSE)=main!$G$104,VLOOKUP(BY$1,main!$A$3:$H$102,5,FALSE)-VLOOKUP($A125,main!$A$3:$H$102,6,FALSE)&gt;=main!$D$103+VLOOKUP(VLOOKUP(BY$1,main!$A$3:$I$102,7,FALSE),main!$K$26:$Q$29,4,FALSE)),1,0)</f>
        <v>0</v>
      </c>
      <c r="BZ125">
        <f>IF(AND(VLOOKUP(BZ$1,main!$A$3:$H$102,7,FALSE)=main!$G$104,VLOOKUP(BZ$1,main!$A$3:$H$102,5,FALSE)-VLOOKUP($A125,main!$A$3:$H$102,6,FALSE)&gt;=main!$D$103+VLOOKUP(VLOOKUP(BZ$1,main!$A$3:$I$102,7,FALSE),main!$K$26:$Q$29,4,FALSE)),1,0)</f>
        <v>0</v>
      </c>
      <c r="CA125">
        <f>IF(AND(VLOOKUP(CA$1,main!$A$3:$H$102,7,FALSE)=main!$G$104,VLOOKUP(CA$1,main!$A$3:$H$102,5,FALSE)-VLOOKUP($A125,main!$A$3:$H$102,6,FALSE)&gt;=main!$D$103+VLOOKUP(VLOOKUP(CA$1,main!$A$3:$I$102,7,FALSE),main!$K$26:$Q$29,4,FALSE)),1,0)</f>
        <v>0</v>
      </c>
      <c r="CB125">
        <f>IF(AND(VLOOKUP(CB$1,main!$A$3:$H$102,7,FALSE)=main!$G$104,VLOOKUP(CB$1,main!$A$3:$H$102,5,FALSE)-VLOOKUP($A125,main!$A$3:$H$102,6,FALSE)&gt;=main!$D$103+VLOOKUP(VLOOKUP(CB$1,main!$A$3:$I$102,7,FALSE),main!$K$26:$Q$29,4,FALSE)),1,0)</f>
        <v>0</v>
      </c>
      <c r="CC125">
        <f>IF(AND(VLOOKUP(CC$1,main!$A$3:$H$102,7,FALSE)=main!$G$104,VLOOKUP(CC$1,main!$A$3:$H$102,5,FALSE)-VLOOKUP($A125,main!$A$3:$H$102,6,FALSE)&gt;=main!$D$103+VLOOKUP(VLOOKUP(CC$1,main!$A$3:$I$102,7,FALSE),main!$K$26:$Q$29,4,FALSE)),1,0)</f>
        <v>0</v>
      </c>
      <c r="CD125">
        <f>IF(AND(VLOOKUP(CD$1,main!$A$3:$H$102,7,FALSE)=main!$G$104,VLOOKUP(CD$1,main!$A$3:$H$102,5,FALSE)-VLOOKUP($A125,main!$A$3:$H$102,6,FALSE)&gt;=main!$D$103+VLOOKUP(VLOOKUP(CD$1,main!$A$3:$I$102,7,FALSE),main!$K$26:$Q$29,4,FALSE)),1,0)</f>
        <v>0</v>
      </c>
      <c r="CE125">
        <f>IF(AND(VLOOKUP(CE$1,main!$A$3:$H$102,7,FALSE)=main!$G$104,VLOOKUP(CE$1,main!$A$3:$H$102,5,FALSE)-VLOOKUP($A125,main!$A$3:$H$102,6,FALSE)&gt;=main!$D$103+VLOOKUP(VLOOKUP(CE$1,main!$A$3:$I$102,7,FALSE),main!$K$26:$Q$29,4,FALSE)),1,0)</f>
        <v>0</v>
      </c>
      <c r="CF125">
        <f>IF(AND(VLOOKUP(CF$1,main!$A$3:$H$102,7,FALSE)=main!$G$104,VLOOKUP(CF$1,main!$A$3:$H$102,5,FALSE)-VLOOKUP($A125,main!$A$3:$H$102,6,FALSE)&gt;=main!$D$103+VLOOKUP(VLOOKUP(CF$1,main!$A$3:$I$102,7,FALSE),main!$K$26:$Q$29,4,FALSE)),1,0)</f>
        <v>0</v>
      </c>
      <c r="CG125">
        <f>IF(AND(VLOOKUP(CG$1,main!$A$3:$H$102,7,FALSE)=main!$G$104,VLOOKUP(CG$1,main!$A$3:$H$102,5,FALSE)-VLOOKUP($A125,main!$A$3:$H$102,6,FALSE)&gt;=main!$D$103+VLOOKUP(VLOOKUP(CG$1,main!$A$3:$I$102,7,FALSE),main!$K$26:$Q$29,4,FALSE)),1,0)</f>
        <v>0</v>
      </c>
      <c r="CH125">
        <f>IF(AND(VLOOKUP(CH$1,main!$A$3:$H$102,7,FALSE)=main!$G$104,VLOOKUP(CH$1,main!$A$3:$H$102,5,FALSE)-VLOOKUP($A125,main!$A$3:$H$102,6,FALSE)&gt;=main!$D$103+VLOOKUP(VLOOKUP(CH$1,main!$A$3:$I$102,7,FALSE),main!$K$26:$Q$29,4,FALSE)),1,0)</f>
        <v>0</v>
      </c>
      <c r="CI125">
        <f>IF(AND(VLOOKUP(CI$1,main!$A$3:$H$102,7,FALSE)=main!$G$104,VLOOKUP(CI$1,main!$A$3:$H$102,5,FALSE)-VLOOKUP($A125,main!$A$3:$H$102,6,FALSE)&gt;=main!$D$103+VLOOKUP(VLOOKUP(CI$1,main!$A$3:$I$102,7,FALSE),main!$K$26:$Q$29,4,FALSE)),1,0)</f>
        <v>0</v>
      </c>
      <c r="CJ125">
        <f>IF(AND(VLOOKUP(CJ$1,main!$A$3:$H$102,7,FALSE)=main!$G$104,VLOOKUP(CJ$1,main!$A$3:$H$102,5,FALSE)-VLOOKUP($A125,main!$A$3:$H$102,6,FALSE)&gt;=main!$D$103+VLOOKUP(VLOOKUP(CJ$1,main!$A$3:$I$102,7,FALSE),main!$K$26:$Q$29,4,FALSE)),1,0)</f>
        <v>0</v>
      </c>
      <c r="CK125">
        <f>IF(AND(VLOOKUP(CK$1,main!$A$3:$H$102,7,FALSE)=main!$G$104,VLOOKUP(CK$1,main!$A$3:$H$102,5,FALSE)-VLOOKUP($A125,main!$A$3:$H$102,6,FALSE)&gt;=main!$D$103+VLOOKUP(VLOOKUP(CK$1,main!$A$3:$I$102,7,FALSE),main!$K$26:$Q$29,4,FALSE)),1,0)</f>
        <v>0</v>
      </c>
      <c r="CL125">
        <f>IF(AND(VLOOKUP(CL$1,main!$A$3:$H$102,7,FALSE)=main!$G$104,VLOOKUP(CL$1,main!$A$3:$H$102,5,FALSE)-VLOOKUP($A125,main!$A$3:$H$102,6,FALSE)&gt;=main!$D$103+VLOOKUP(VLOOKUP(CL$1,main!$A$3:$I$102,7,FALSE),main!$K$26:$Q$29,4,FALSE)),1,0)</f>
        <v>0</v>
      </c>
      <c r="CM125">
        <f>IF(AND(VLOOKUP(CM$1,main!$A$3:$H$102,7,FALSE)=main!$G$104,VLOOKUP(CM$1,main!$A$3:$H$102,5,FALSE)-VLOOKUP($A125,main!$A$3:$H$102,6,FALSE)&gt;=main!$D$103+VLOOKUP(VLOOKUP(CM$1,main!$A$3:$I$102,7,FALSE),main!$K$26:$Q$29,4,FALSE)),1,0)</f>
        <v>0</v>
      </c>
      <c r="CN125">
        <f>IF(AND(VLOOKUP(CN$1,main!$A$3:$H$102,7,FALSE)=main!$G$104,VLOOKUP(CN$1,main!$A$3:$H$102,5,FALSE)-VLOOKUP($A125,main!$A$3:$H$102,6,FALSE)&gt;=main!$D$103+VLOOKUP(VLOOKUP(CN$1,main!$A$3:$I$102,7,FALSE),main!$K$26:$Q$29,4,FALSE)),1,0)</f>
        <v>0</v>
      </c>
      <c r="CO125">
        <f>IF(AND(VLOOKUP(CO$1,main!$A$3:$H$102,7,FALSE)=main!$G$104,VLOOKUP(CO$1,main!$A$3:$H$102,5,FALSE)-VLOOKUP($A125,main!$A$3:$H$102,6,FALSE)&gt;=main!$D$103+VLOOKUP(VLOOKUP(CO$1,main!$A$3:$I$102,7,FALSE),main!$K$26:$Q$29,4,FALSE)),1,0)</f>
        <v>0</v>
      </c>
      <c r="CP125">
        <f>IF(AND(VLOOKUP(CP$1,main!$A$3:$H$102,7,FALSE)=main!$G$104,VLOOKUP(CP$1,main!$A$3:$H$102,5,FALSE)-VLOOKUP($A125,main!$A$3:$H$102,6,FALSE)&gt;=main!$D$103+VLOOKUP(VLOOKUP(CP$1,main!$A$3:$I$102,7,FALSE),main!$K$26:$Q$29,4,FALSE)),1,0)</f>
        <v>0</v>
      </c>
      <c r="CQ125">
        <f>IF(AND(VLOOKUP(CQ$1,main!$A$3:$H$102,7,FALSE)=main!$G$104,VLOOKUP(CQ$1,main!$A$3:$H$102,5,FALSE)-VLOOKUP($A125,main!$A$3:$H$102,6,FALSE)&gt;=main!$D$103+VLOOKUP(VLOOKUP(CQ$1,main!$A$3:$I$102,7,FALSE),main!$K$26:$Q$29,4,FALSE)),1,0)</f>
        <v>0</v>
      </c>
      <c r="CR125">
        <f>IF(AND(VLOOKUP(CR$1,main!$A$3:$H$102,7,FALSE)=main!$G$104,VLOOKUP(CR$1,main!$A$3:$H$102,5,FALSE)-VLOOKUP($A125,main!$A$3:$H$102,6,FALSE)&gt;=main!$D$103+VLOOKUP(VLOOKUP(CR$1,main!$A$3:$I$102,7,FALSE),main!$K$26:$Q$29,4,FALSE)),1,0)</f>
        <v>0</v>
      </c>
      <c r="CS125">
        <f>IF(AND(VLOOKUP(CS$1,main!$A$3:$H$102,7,FALSE)=main!$G$104,VLOOKUP(CS$1,main!$A$3:$H$102,5,FALSE)-VLOOKUP($A125,main!$A$3:$H$102,6,FALSE)&gt;=main!$D$103+VLOOKUP(VLOOKUP(CS$1,main!$A$3:$I$102,7,FALSE),main!$K$26:$Q$29,4,FALSE)),1,0)</f>
        <v>0</v>
      </c>
      <c r="CT125">
        <f>IF(AND(VLOOKUP(CT$1,main!$A$3:$H$102,7,FALSE)=main!$G$104,VLOOKUP(CT$1,main!$A$3:$H$102,5,FALSE)-VLOOKUP($A125,main!$A$3:$H$102,6,FALSE)&gt;=main!$D$103+VLOOKUP(VLOOKUP(CT$1,main!$A$3:$I$102,7,FALSE),main!$K$26:$Q$29,4,FALSE)),1,0)</f>
        <v>0</v>
      </c>
      <c r="CU125">
        <f>IF(AND(VLOOKUP(CU$1,main!$A$3:$H$102,7,FALSE)=main!$G$104,VLOOKUP(CU$1,main!$A$3:$H$102,5,FALSE)-VLOOKUP($A125,main!$A$3:$H$102,6,FALSE)&gt;=main!$D$103+VLOOKUP(VLOOKUP(CU$1,main!$A$3:$I$102,7,FALSE),main!$K$26:$Q$29,4,FALSE)),1,0)</f>
        <v>0</v>
      </c>
      <c r="CV125">
        <f>IF(AND(VLOOKUP(CV$1,main!$A$3:$H$102,7,FALSE)=main!$G$104,VLOOKUP(CV$1,main!$A$3:$H$102,5,FALSE)-VLOOKUP($A125,main!$A$3:$H$102,6,FALSE)&gt;=main!$D$103+VLOOKUP(VLOOKUP(CV$1,main!$A$3:$I$102,7,FALSE),main!$K$26:$Q$29,4,FALSE)),1,0)</f>
        <v>0</v>
      </c>
      <c r="CW125">
        <f>IF(AND(VLOOKUP(CW$1,main!$A$3:$H$102,7,FALSE)=main!$G$104,VLOOKUP(CW$1,main!$A$3:$H$102,5,FALSE)-VLOOKUP($A125,main!$A$3:$H$102,6,FALSE)&gt;=main!$D$103+VLOOKUP(VLOOKUP(CW$1,main!$A$3:$I$102,7,FALSE),main!$K$26:$Q$29,4,FALSE)),1,0)</f>
        <v>0</v>
      </c>
      <c r="CX125">
        <f>IF(AND(VLOOKUP(CX$1,main!$A$3:$H$102,7,FALSE)=main!$G$104,VLOOKUP(CX$1,main!$A$3:$H$102,5,FALSE)-VLOOKUP($A125,main!$A$3:$H$102,6,FALSE)&gt;=main!$D$103+VLOOKUP(VLOOKUP(CX$1,main!$A$3:$I$102,7,FALSE),main!$K$26:$Q$29,4,FALSE)),1,0)</f>
        <v>0</v>
      </c>
    </row>
    <row r="126" spans="1:102" x14ac:dyDescent="0.25">
      <c r="A126" s="1">
        <v>23</v>
      </c>
      <c r="B126">
        <v>0</v>
      </c>
      <c r="C126">
        <f>IF(AND(VLOOKUP(C$1,main!$A$3:$H$102,7,FALSE)=main!$G$104,VLOOKUP(C$1,main!$A$3:$H$102,5,FALSE)-VLOOKUP($A126,main!$A$3:$H$102,6,FALSE)&gt;=main!$D$103+VLOOKUP(VLOOKUP(C$1,main!$A$3:$I$102,7,FALSE),main!$K$26:$Q$29,4,FALSE)),1,0)</f>
        <v>0</v>
      </c>
      <c r="D126">
        <f>IF(AND(VLOOKUP(D$1,main!$A$3:$H$102,7,FALSE)=main!$G$104,VLOOKUP(D$1,main!$A$3:$H$102,5,FALSE)-VLOOKUP($A126,main!$A$3:$H$102,6,FALSE)&gt;=main!$D$103+VLOOKUP(VLOOKUP(D$1,main!$A$3:$I$102,7,FALSE),main!$K$26:$Q$29,4,FALSE)),1,0)</f>
        <v>0</v>
      </c>
      <c r="E126">
        <f>IF(AND(VLOOKUP(E$1,main!$A$3:$H$102,7,FALSE)=main!$G$104,VLOOKUP(E$1,main!$A$3:$H$102,5,FALSE)-VLOOKUP($A126,main!$A$3:$H$102,6,FALSE)&gt;=main!$D$103+VLOOKUP(VLOOKUP(E$1,main!$A$3:$I$102,7,FALSE),main!$K$26:$Q$29,4,FALSE)),1,0)</f>
        <v>0</v>
      </c>
      <c r="F126">
        <f>IF(AND(VLOOKUP(F$1,main!$A$3:$H$102,7,FALSE)=main!$G$104,VLOOKUP(F$1,main!$A$3:$H$102,5,FALSE)-VLOOKUP($A126,main!$A$3:$H$102,6,FALSE)&gt;=main!$D$103+VLOOKUP(VLOOKUP(F$1,main!$A$3:$I$102,7,FALSE),main!$K$26:$Q$29,4,FALSE)),1,0)</f>
        <v>0</v>
      </c>
      <c r="G126">
        <f>IF(AND(VLOOKUP(G$1,main!$A$3:$H$102,7,FALSE)=main!$G$104,VLOOKUP(G$1,main!$A$3:$H$102,5,FALSE)-VLOOKUP($A126,main!$A$3:$H$102,6,FALSE)&gt;=main!$D$103+VLOOKUP(VLOOKUP(G$1,main!$A$3:$I$102,7,FALSE),main!$K$26:$Q$29,4,FALSE)),1,0)</f>
        <v>0</v>
      </c>
      <c r="H126">
        <f>IF(AND(VLOOKUP(H$1,main!$A$3:$H$102,7,FALSE)=main!$G$104,VLOOKUP(H$1,main!$A$3:$H$102,5,FALSE)-VLOOKUP($A126,main!$A$3:$H$102,6,FALSE)&gt;=main!$D$103+VLOOKUP(VLOOKUP(H$1,main!$A$3:$I$102,7,FALSE),main!$K$26:$Q$29,4,FALSE)),1,0)</f>
        <v>0</v>
      </c>
      <c r="I126">
        <f>IF(AND(VLOOKUP(I$1,main!$A$3:$H$102,7,FALSE)=main!$G$104,VLOOKUP(I$1,main!$A$3:$H$102,5,FALSE)-VLOOKUP($A126,main!$A$3:$H$102,6,FALSE)&gt;=main!$D$103+VLOOKUP(VLOOKUP(I$1,main!$A$3:$I$102,7,FALSE),main!$K$26:$Q$29,4,FALSE)),1,0)</f>
        <v>0</v>
      </c>
      <c r="J126">
        <f>IF(AND(VLOOKUP(J$1,main!$A$3:$H$102,7,FALSE)=main!$G$104,VLOOKUP(J$1,main!$A$3:$H$102,5,FALSE)-VLOOKUP($A126,main!$A$3:$H$102,6,FALSE)&gt;=main!$D$103+VLOOKUP(VLOOKUP(J$1,main!$A$3:$I$102,7,FALSE),main!$K$26:$Q$29,4,FALSE)),1,0)</f>
        <v>1</v>
      </c>
      <c r="K126">
        <f>IF(AND(VLOOKUP(K$1,main!$A$3:$H$102,7,FALSE)=main!$G$104,VLOOKUP(K$1,main!$A$3:$H$102,5,FALSE)-VLOOKUP($A126,main!$A$3:$H$102,6,FALSE)&gt;=main!$D$103+VLOOKUP(VLOOKUP(K$1,main!$A$3:$I$102,7,FALSE),main!$K$26:$Q$29,4,FALSE)),1,0)</f>
        <v>1</v>
      </c>
      <c r="L126">
        <f>IF(AND(VLOOKUP(L$1,main!$A$3:$H$102,7,FALSE)=main!$G$104,VLOOKUP(L$1,main!$A$3:$H$102,5,FALSE)-VLOOKUP($A126,main!$A$3:$H$102,6,FALSE)&gt;=main!$D$103+VLOOKUP(VLOOKUP(L$1,main!$A$3:$I$102,7,FALSE),main!$K$26:$Q$29,4,FALSE)),1,0)</f>
        <v>1</v>
      </c>
      <c r="M126">
        <f>IF(AND(VLOOKUP(M$1,main!$A$3:$H$102,7,FALSE)=main!$G$104,VLOOKUP(M$1,main!$A$3:$H$102,5,FALSE)-VLOOKUP($A126,main!$A$3:$H$102,6,FALSE)&gt;=main!$D$103+VLOOKUP(VLOOKUP(M$1,main!$A$3:$I$102,7,FALSE),main!$K$26:$Q$29,4,FALSE)),1,0)</f>
        <v>0</v>
      </c>
      <c r="N126">
        <f>IF(AND(VLOOKUP(N$1,main!$A$3:$H$102,7,FALSE)=main!$G$104,VLOOKUP(N$1,main!$A$3:$H$102,5,FALSE)-VLOOKUP($A126,main!$A$3:$H$102,6,FALSE)&gt;=main!$D$103+VLOOKUP(VLOOKUP(N$1,main!$A$3:$I$102,7,FALSE),main!$K$26:$Q$29,4,FALSE)),1,0)</f>
        <v>0</v>
      </c>
      <c r="O126">
        <f>IF(AND(VLOOKUP(O$1,main!$A$3:$H$102,7,FALSE)=main!$G$104,VLOOKUP(O$1,main!$A$3:$H$102,5,FALSE)-VLOOKUP($A126,main!$A$3:$H$102,6,FALSE)&gt;=main!$D$103+VLOOKUP(VLOOKUP(O$1,main!$A$3:$I$102,7,FALSE),main!$K$26:$Q$29,4,FALSE)),1,0)</f>
        <v>0</v>
      </c>
      <c r="P126">
        <f>IF(AND(VLOOKUP(P$1,main!$A$3:$H$102,7,FALSE)=main!$G$104,VLOOKUP(P$1,main!$A$3:$H$102,5,FALSE)-VLOOKUP($A126,main!$A$3:$H$102,6,FALSE)&gt;=main!$D$103+VLOOKUP(VLOOKUP(P$1,main!$A$3:$I$102,7,FALSE),main!$K$26:$Q$29,4,FALSE)),1,0)</f>
        <v>0</v>
      </c>
      <c r="Q126">
        <f>IF(AND(VLOOKUP(Q$1,main!$A$3:$H$102,7,FALSE)=main!$G$104,VLOOKUP(Q$1,main!$A$3:$H$102,5,FALSE)-VLOOKUP($A126,main!$A$3:$H$102,6,FALSE)&gt;=main!$D$103+VLOOKUP(VLOOKUP(Q$1,main!$A$3:$I$102,7,FALSE),main!$K$26:$Q$29,4,FALSE)),1,0)</f>
        <v>0</v>
      </c>
      <c r="R126">
        <f>IF(AND(VLOOKUP(R$1,main!$A$3:$H$102,7,FALSE)=main!$G$104,VLOOKUP(R$1,main!$A$3:$H$102,5,FALSE)-VLOOKUP($A126,main!$A$3:$H$102,6,FALSE)&gt;=main!$D$103+VLOOKUP(VLOOKUP(R$1,main!$A$3:$I$102,7,FALSE),main!$K$26:$Q$29,4,FALSE)),1,0)</f>
        <v>0</v>
      </c>
      <c r="S126">
        <f>IF(AND(VLOOKUP(S$1,main!$A$3:$H$102,7,FALSE)=main!$G$104,VLOOKUP(S$1,main!$A$3:$H$102,5,FALSE)-VLOOKUP($A126,main!$A$3:$H$102,6,FALSE)&gt;=main!$D$103+VLOOKUP(VLOOKUP(S$1,main!$A$3:$I$102,7,FALSE),main!$K$26:$Q$29,4,FALSE)),1,0)</f>
        <v>0</v>
      </c>
      <c r="T126">
        <f>IF(AND(VLOOKUP(T$1,main!$A$3:$H$102,7,FALSE)=main!$G$104,VLOOKUP(T$1,main!$A$3:$H$102,5,FALSE)-VLOOKUP($A126,main!$A$3:$H$102,6,FALSE)&gt;=main!$D$103+VLOOKUP(VLOOKUP(T$1,main!$A$3:$I$102,7,FALSE),main!$K$26:$Q$29,4,FALSE)),1,0)</f>
        <v>1</v>
      </c>
      <c r="U126">
        <f>IF(AND(VLOOKUP(U$1,main!$A$3:$H$102,7,FALSE)=main!$G$104,VLOOKUP(U$1,main!$A$3:$H$102,5,FALSE)-VLOOKUP($A126,main!$A$3:$H$102,6,FALSE)&gt;=main!$D$103+VLOOKUP(VLOOKUP(U$1,main!$A$3:$I$102,7,FALSE),main!$K$26:$Q$29,4,FALSE)),1,0)</f>
        <v>1</v>
      </c>
      <c r="V126">
        <f>IF(AND(VLOOKUP(V$1,main!$A$3:$H$102,7,FALSE)=main!$G$104,VLOOKUP(V$1,main!$A$3:$H$102,5,FALSE)-VLOOKUP($A126,main!$A$3:$H$102,6,FALSE)&gt;=main!$D$103+VLOOKUP(VLOOKUP(V$1,main!$A$3:$I$102,7,FALSE),main!$K$26:$Q$29,4,FALSE)),1,0)</f>
        <v>1</v>
      </c>
      <c r="W126">
        <f>IF(AND(VLOOKUP(W$1,main!$A$3:$H$102,7,FALSE)=main!$G$104,VLOOKUP(W$1,main!$A$3:$H$102,5,FALSE)-VLOOKUP($A126,main!$A$3:$H$102,6,FALSE)&gt;=main!$D$103+VLOOKUP(VLOOKUP(W$1,main!$A$3:$I$102,7,FALSE),main!$K$26:$Q$29,4,FALSE)),1,0)</f>
        <v>0</v>
      </c>
      <c r="X126">
        <f>IF(AND(VLOOKUP(X$1,main!$A$3:$H$102,7,FALSE)=main!$G$104,VLOOKUP(X$1,main!$A$3:$H$102,5,FALSE)-VLOOKUP($A126,main!$A$3:$H$102,6,FALSE)&gt;=main!$D$103+VLOOKUP(VLOOKUP(X$1,main!$A$3:$I$102,7,FALSE),main!$K$26:$Q$29,4,FALSE)),1,0)</f>
        <v>0</v>
      </c>
      <c r="Y126">
        <f>IF(AND(VLOOKUP(Y$1,main!$A$3:$H$102,7,FALSE)=main!$G$104,VLOOKUP(Y$1,main!$A$3:$H$102,5,FALSE)-VLOOKUP($A126,main!$A$3:$H$102,6,FALSE)&gt;=main!$D$103+VLOOKUP(VLOOKUP(Y$1,main!$A$3:$I$102,7,FALSE),main!$K$26:$Q$29,4,FALSE)),1,0)</f>
        <v>0</v>
      </c>
      <c r="Z126">
        <f>IF(AND(VLOOKUP(Z$1,main!$A$3:$H$102,7,FALSE)=main!$G$104,VLOOKUP(Z$1,main!$A$3:$H$102,5,FALSE)-VLOOKUP($A126,main!$A$3:$H$102,6,FALSE)&gt;=main!$D$103+VLOOKUP(VLOOKUP(Z$1,main!$A$3:$I$102,7,FALSE),main!$K$26:$Q$29,4,FALSE)),1,0)</f>
        <v>0</v>
      </c>
      <c r="AA126">
        <f>IF(AND(VLOOKUP(AA$1,main!$A$3:$H$102,7,FALSE)=main!$G$104,VLOOKUP(AA$1,main!$A$3:$H$102,5,FALSE)-VLOOKUP($A126,main!$A$3:$H$102,6,FALSE)&gt;=main!$D$103+VLOOKUP(VLOOKUP(AA$1,main!$A$3:$I$102,7,FALSE),main!$K$26:$Q$29,4,FALSE)),1,0)</f>
        <v>1</v>
      </c>
      <c r="AB126">
        <f>IF(AND(VLOOKUP(AB$1,main!$A$3:$H$102,7,FALSE)=main!$G$104,VLOOKUP(AB$1,main!$A$3:$H$102,5,FALSE)-VLOOKUP($A126,main!$A$3:$H$102,6,FALSE)&gt;=main!$D$103+VLOOKUP(VLOOKUP(AB$1,main!$A$3:$I$102,7,FALSE),main!$K$26:$Q$29,4,FALSE)),1,0)</f>
        <v>0</v>
      </c>
      <c r="AC126">
        <f>IF(AND(VLOOKUP(AC$1,main!$A$3:$H$102,7,FALSE)=main!$G$104,VLOOKUP(AC$1,main!$A$3:$H$102,5,FALSE)-VLOOKUP($A126,main!$A$3:$H$102,6,FALSE)&gt;=main!$D$103+VLOOKUP(VLOOKUP(AC$1,main!$A$3:$I$102,7,FALSE),main!$K$26:$Q$29,4,FALSE)),1,0)</f>
        <v>0</v>
      </c>
      <c r="AD126">
        <f>IF(AND(VLOOKUP(AD$1,main!$A$3:$H$102,7,FALSE)=main!$G$104,VLOOKUP(AD$1,main!$A$3:$H$102,5,FALSE)-VLOOKUP($A126,main!$A$3:$H$102,6,FALSE)&gt;=main!$D$103+VLOOKUP(VLOOKUP(AD$1,main!$A$3:$I$102,7,FALSE),main!$K$26:$Q$29,4,FALSE)),1,0)</f>
        <v>0</v>
      </c>
      <c r="AE126">
        <f>IF(AND(VLOOKUP(AE$1,main!$A$3:$H$102,7,FALSE)=main!$G$104,VLOOKUP(AE$1,main!$A$3:$H$102,5,FALSE)-VLOOKUP($A126,main!$A$3:$H$102,6,FALSE)&gt;=main!$D$103+VLOOKUP(VLOOKUP(AE$1,main!$A$3:$I$102,7,FALSE),main!$K$26:$Q$29,4,FALSE)),1,0)</f>
        <v>0</v>
      </c>
      <c r="AF126">
        <f>IF(AND(VLOOKUP(AF$1,main!$A$3:$H$102,7,FALSE)=main!$G$104,VLOOKUP(AF$1,main!$A$3:$H$102,5,FALSE)-VLOOKUP($A126,main!$A$3:$H$102,6,FALSE)&gt;=main!$D$103+VLOOKUP(VLOOKUP(AF$1,main!$A$3:$I$102,7,FALSE),main!$K$26:$Q$29,4,FALSE)),1,0)</f>
        <v>1</v>
      </c>
      <c r="AG126">
        <f>IF(AND(VLOOKUP(AG$1,main!$A$3:$H$102,7,FALSE)=main!$G$104,VLOOKUP(AG$1,main!$A$3:$H$102,5,FALSE)-VLOOKUP($A126,main!$A$3:$H$102,6,FALSE)&gt;=main!$D$103+VLOOKUP(VLOOKUP(AG$1,main!$A$3:$I$102,7,FALSE),main!$K$26:$Q$29,4,FALSE)),1,0)</f>
        <v>0</v>
      </c>
      <c r="AH126">
        <f>IF(AND(VLOOKUP(AH$1,main!$A$3:$H$102,7,FALSE)=main!$G$104,VLOOKUP(AH$1,main!$A$3:$H$102,5,FALSE)-VLOOKUP($A126,main!$A$3:$H$102,6,FALSE)&gt;=main!$D$103+VLOOKUP(VLOOKUP(AH$1,main!$A$3:$I$102,7,FALSE),main!$K$26:$Q$29,4,FALSE)),1,0)</f>
        <v>0</v>
      </c>
      <c r="AI126">
        <f>IF(AND(VLOOKUP(AI$1,main!$A$3:$H$102,7,FALSE)=main!$G$104,VLOOKUP(AI$1,main!$A$3:$H$102,5,FALSE)-VLOOKUP($A126,main!$A$3:$H$102,6,FALSE)&gt;=main!$D$103+VLOOKUP(VLOOKUP(AI$1,main!$A$3:$I$102,7,FALSE),main!$K$26:$Q$29,4,FALSE)),1,0)</f>
        <v>0</v>
      </c>
      <c r="AJ126">
        <f>IF(AND(VLOOKUP(AJ$1,main!$A$3:$H$102,7,FALSE)=main!$G$104,VLOOKUP(AJ$1,main!$A$3:$H$102,5,FALSE)-VLOOKUP($A126,main!$A$3:$H$102,6,FALSE)&gt;=main!$D$103+VLOOKUP(VLOOKUP(AJ$1,main!$A$3:$I$102,7,FALSE),main!$K$26:$Q$29,4,FALSE)),1,0)</f>
        <v>0</v>
      </c>
      <c r="AK126">
        <f>IF(AND(VLOOKUP(AK$1,main!$A$3:$H$102,7,FALSE)=main!$G$104,VLOOKUP(AK$1,main!$A$3:$H$102,5,FALSE)-VLOOKUP($A126,main!$A$3:$H$102,6,FALSE)&gt;=main!$D$103+VLOOKUP(VLOOKUP(AK$1,main!$A$3:$I$102,7,FALSE),main!$K$26:$Q$29,4,FALSE)),1,0)</f>
        <v>0</v>
      </c>
      <c r="AL126">
        <f>IF(AND(VLOOKUP(AL$1,main!$A$3:$H$102,7,FALSE)=main!$G$104,VLOOKUP(AL$1,main!$A$3:$H$102,5,FALSE)-VLOOKUP($A126,main!$A$3:$H$102,6,FALSE)&gt;=main!$D$103+VLOOKUP(VLOOKUP(AL$1,main!$A$3:$I$102,7,FALSE),main!$K$26:$Q$29,4,FALSE)),1,0)</f>
        <v>0</v>
      </c>
      <c r="AM126">
        <f>IF(AND(VLOOKUP(AM$1,main!$A$3:$H$102,7,FALSE)=main!$G$104,VLOOKUP(AM$1,main!$A$3:$H$102,5,FALSE)-VLOOKUP($A126,main!$A$3:$H$102,6,FALSE)&gt;=main!$D$103+VLOOKUP(VLOOKUP(AM$1,main!$A$3:$I$102,7,FALSE),main!$K$26:$Q$29,4,FALSE)),1,0)</f>
        <v>0</v>
      </c>
      <c r="AN126">
        <f>IF(AND(VLOOKUP(AN$1,main!$A$3:$H$102,7,FALSE)=main!$G$104,VLOOKUP(AN$1,main!$A$3:$H$102,5,FALSE)-VLOOKUP($A126,main!$A$3:$H$102,6,FALSE)&gt;=main!$D$103+VLOOKUP(VLOOKUP(AN$1,main!$A$3:$I$102,7,FALSE),main!$K$26:$Q$29,4,FALSE)),1,0)</f>
        <v>0</v>
      </c>
      <c r="AO126">
        <f>IF(AND(VLOOKUP(AO$1,main!$A$3:$H$102,7,FALSE)=main!$G$104,VLOOKUP(AO$1,main!$A$3:$H$102,5,FALSE)-VLOOKUP($A126,main!$A$3:$H$102,6,FALSE)&gt;=main!$D$103+VLOOKUP(VLOOKUP(AO$1,main!$A$3:$I$102,7,FALSE),main!$K$26:$Q$29,4,FALSE)),1,0)</f>
        <v>0</v>
      </c>
      <c r="AP126">
        <f>IF(AND(VLOOKUP(AP$1,main!$A$3:$H$102,7,FALSE)=main!$G$104,VLOOKUP(AP$1,main!$A$3:$H$102,5,FALSE)-VLOOKUP($A126,main!$A$3:$H$102,6,FALSE)&gt;=main!$D$103+VLOOKUP(VLOOKUP(AP$1,main!$A$3:$I$102,7,FALSE),main!$K$26:$Q$29,4,FALSE)),1,0)</f>
        <v>0</v>
      </c>
      <c r="AQ126">
        <f>IF(AND(VLOOKUP(AQ$1,main!$A$3:$H$102,7,FALSE)=main!$G$104,VLOOKUP(AQ$1,main!$A$3:$H$102,5,FALSE)-VLOOKUP($A126,main!$A$3:$H$102,6,FALSE)&gt;=main!$D$103+VLOOKUP(VLOOKUP(AQ$1,main!$A$3:$I$102,7,FALSE),main!$K$26:$Q$29,4,FALSE)),1,0)</f>
        <v>0</v>
      </c>
      <c r="AR126">
        <f>IF(AND(VLOOKUP(AR$1,main!$A$3:$H$102,7,FALSE)=main!$G$104,VLOOKUP(AR$1,main!$A$3:$H$102,5,FALSE)-VLOOKUP($A126,main!$A$3:$H$102,6,FALSE)&gt;=main!$D$103+VLOOKUP(VLOOKUP(AR$1,main!$A$3:$I$102,7,FALSE),main!$K$26:$Q$29,4,FALSE)),1,0)</f>
        <v>0</v>
      </c>
      <c r="AS126">
        <f>IF(AND(VLOOKUP(AS$1,main!$A$3:$H$102,7,FALSE)=main!$G$104,VLOOKUP(AS$1,main!$A$3:$H$102,5,FALSE)-VLOOKUP($A126,main!$A$3:$H$102,6,FALSE)&gt;=main!$D$103+VLOOKUP(VLOOKUP(AS$1,main!$A$3:$I$102,7,FALSE),main!$K$26:$Q$29,4,FALSE)),1,0)</f>
        <v>0</v>
      </c>
      <c r="AT126">
        <f>IF(AND(VLOOKUP(AT$1,main!$A$3:$H$102,7,FALSE)=main!$G$104,VLOOKUP(AT$1,main!$A$3:$H$102,5,FALSE)-VLOOKUP($A126,main!$A$3:$H$102,6,FALSE)&gt;=main!$D$103+VLOOKUP(VLOOKUP(AT$1,main!$A$3:$I$102,7,FALSE),main!$K$26:$Q$29,4,FALSE)),1,0)</f>
        <v>0</v>
      </c>
      <c r="AU126">
        <f>IF(AND(VLOOKUP(AU$1,main!$A$3:$H$102,7,FALSE)=main!$G$104,VLOOKUP(AU$1,main!$A$3:$H$102,5,FALSE)-VLOOKUP($A126,main!$A$3:$H$102,6,FALSE)&gt;=main!$D$103+VLOOKUP(VLOOKUP(AU$1,main!$A$3:$I$102,7,FALSE),main!$K$26:$Q$29,4,FALSE)),1,0)</f>
        <v>0</v>
      </c>
      <c r="AV126">
        <f>IF(AND(VLOOKUP(AV$1,main!$A$3:$H$102,7,FALSE)=main!$G$104,VLOOKUP(AV$1,main!$A$3:$H$102,5,FALSE)-VLOOKUP($A126,main!$A$3:$H$102,6,FALSE)&gt;=main!$D$103+VLOOKUP(VLOOKUP(AV$1,main!$A$3:$I$102,7,FALSE),main!$K$26:$Q$29,4,FALSE)),1,0)</f>
        <v>0</v>
      </c>
      <c r="AW126">
        <f>IF(AND(VLOOKUP(AW$1,main!$A$3:$H$102,7,FALSE)=main!$G$104,VLOOKUP(AW$1,main!$A$3:$H$102,5,FALSE)-VLOOKUP($A126,main!$A$3:$H$102,6,FALSE)&gt;=main!$D$103+VLOOKUP(VLOOKUP(AW$1,main!$A$3:$I$102,7,FALSE),main!$K$26:$Q$29,4,FALSE)),1,0)</f>
        <v>0</v>
      </c>
      <c r="AX126">
        <f>IF(AND(VLOOKUP(AX$1,main!$A$3:$H$102,7,FALSE)=main!$G$104,VLOOKUP(AX$1,main!$A$3:$H$102,5,FALSE)-VLOOKUP($A126,main!$A$3:$H$102,6,FALSE)&gt;=main!$D$103+VLOOKUP(VLOOKUP(AX$1,main!$A$3:$I$102,7,FALSE),main!$K$26:$Q$29,4,FALSE)),1,0)</f>
        <v>0</v>
      </c>
      <c r="AY126">
        <f>IF(AND(VLOOKUP(AY$1,main!$A$3:$H$102,7,FALSE)=main!$G$104,VLOOKUP(AY$1,main!$A$3:$H$102,5,FALSE)-VLOOKUP($A126,main!$A$3:$H$102,6,FALSE)&gt;=main!$D$103+VLOOKUP(VLOOKUP(AY$1,main!$A$3:$I$102,7,FALSE),main!$K$26:$Q$29,4,FALSE)),1,0)</f>
        <v>0</v>
      </c>
      <c r="AZ126">
        <f>IF(AND(VLOOKUP(AZ$1,main!$A$3:$H$102,7,FALSE)=main!$G$104,VLOOKUP(AZ$1,main!$A$3:$H$102,5,FALSE)-VLOOKUP($A126,main!$A$3:$H$102,6,FALSE)&gt;=main!$D$103+VLOOKUP(VLOOKUP(AZ$1,main!$A$3:$I$102,7,FALSE),main!$K$26:$Q$29,4,FALSE)),1,0)</f>
        <v>0</v>
      </c>
      <c r="BA126">
        <f>IF(AND(VLOOKUP(BA$1,main!$A$3:$H$102,7,FALSE)=main!$G$104,VLOOKUP(BA$1,main!$A$3:$H$102,5,FALSE)-VLOOKUP($A126,main!$A$3:$H$102,6,FALSE)&gt;=main!$D$103+VLOOKUP(VLOOKUP(BA$1,main!$A$3:$I$102,7,FALSE),main!$K$26:$Q$29,4,FALSE)),1,0)</f>
        <v>0</v>
      </c>
      <c r="BB126">
        <f>IF(AND(VLOOKUP(BB$1,main!$A$3:$H$102,7,FALSE)=main!$G$104,VLOOKUP(BB$1,main!$A$3:$H$102,5,FALSE)-VLOOKUP($A126,main!$A$3:$H$102,6,FALSE)&gt;=main!$D$103+VLOOKUP(VLOOKUP(BB$1,main!$A$3:$I$102,7,FALSE),main!$K$26:$Q$29,4,FALSE)),1,0)</f>
        <v>0</v>
      </c>
      <c r="BC126">
        <f>IF(AND(VLOOKUP(BC$1,main!$A$3:$H$102,7,FALSE)=main!$G$104,VLOOKUP(BC$1,main!$A$3:$H$102,5,FALSE)-VLOOKUP($A126,main!$A$3:$H$102,6,FALSE)&gt;=main!$D$103+VLOOKUP(VLOOKUP(BC$1,main!$A$3:$I$102,7,FALSE),main!$K$26:$Q$29,4,FALSE)),1,0)</f>
        <v>0</v>
      </c>
      <c r="BD126">
        <f>IF(AND(VLOOKUP(BD$1,main!$A$3:$H$102,7,FALSE)=main!$G$104,VLOOKUP(BD$1,main!$A$3:$H$102,5,FALSE)-VLOOKUP($A126,main!$A$3:$H$102,6,FALSE)&gt;=main!$D$103+VLOOKUP(VLOOKUP(BD$1,main!$A$3:$I$102,7,FALSE),main!$K$26:$Q$29,4,FALSE)),1,0)</f>
        <v>0</v>
      </c>
      <c r="BE126">
        <f>IF(AND(VLOOKUP(BE$1,main!$A$3:$H$102,7,FALSE)=main!$G$104,VLOOKUP(BE$1,main!$A$3:$H$102,5,FALSE)-VLOOKUP($A126,main!$A$3:$H$102,6,FALSE)&gt;=main!$D$103+VLOOKUP(VLOOKUP(BE$1,main!$A$3:$I$102,7,FALSE),main!$K$26:$Q$29,4,FALSE)),1,0)</f>
        <v>0</v>
      </c>
      <c r="BF126">
        <f>IF(AND(VLOOKUP(BF$1,main!$A$3:$H$102,7,FALSE)=main!$G$104,VLOOKUP(BF$1,main!$A$3:$H$102,5,FALSE)-VLOOKUP($A126,main!$A$3:$H$102,6,FALSE)&gt;=main!$D$103+VLOOKUP(VLOOKUP(BF$1,main!$A$3:$I$102,7,FALSE),main!$K$26:$Q$29,4,FALSE)),1,0)</f>
        <v>0</v>
      </c>
      <c r="BG126">
        <f>IF(AND(VLOOKUP(BG$1,main!$A$3:$H$102,7,FALSE)=main!$G$104,VLOOKUP(BG$1,main!$A$3:$H$102,5,FALSE)-VLOOKUP($A126,main!$A$3:$H$102,6,FALSE)&gt;=main!$D$103+VLOOKUP(VLOOKUP(BG$1,main!$A$3:$I$102,7,FALSE),main!$K$26:$Q$29,4,FALSE)),1,0)</f>
        <v>0</v>
      </c>
      <c r="BH126">
        <f>IF(AND(VLOOKUP(BH$1,main!$A$3:$H$102,7,FALSE)=main!$G$104,VLOOKUP(BH$1,main!$A$3:$H$102,5,FALSE)-VLOOKUP($A126,main!$A$3:$H$102,6,FALSE)&gt;=main!$D$103+VLOOKUP(VLOOKUP(BH$1,main!$A$3:$I$102,7,FALSE),main!$K$26:$Q$29,4,FALSE)),1,0)</f>
        <v>0</v>
      </c>
      <c r="BI126">
        <f>IF(AND(VLOOKUP(BI$1,main!$A$3:$H$102,7,FALSE)=main!$G$104,VLOOKUP(BI$1,main!$A$3:$H$102,5,FALSE)-VLOOKUP($A126,main!$A$3:$H$102,6,FALSE)&gt;=main!$D$103+VLOOKUP(VLOOKUP(BI$1,main!$A$3:$I$102,7,FALSE),main!$K$26:$Q$29,4,FALSE)),1,0)</f>
        <v>0</v>
      </c>
      <c r="BJ126">
        <f>IF(AND(VLOOKUP(BJ$1,main!$A$3:$H$102,7,FALSE)=main!$G$104,VLOOKUP(BJ$1,main!$A$3:$H$102,5,FALSE)-VLOOKUP($A126,main!$A$3:$H$102,6,FALSE)&gt;=main!$D$103+VLOOKUP(VLOOKUP(BJ$1,main!$A$3:$I$102,7,FALSE),main!$K$26:$Q$29,4,FALSE)),1,0)</f>
        <v>0</v>
      </c>
      <c r="BK126">
        <f>IF(AND(VLOOKUP(BK$1,main!$A$3:$H$102,7,FALSE)=main!$G$104,VLOOKUP(BK$1,main!$A$3:$H$102,5,FALSE)-VLOOKUP($A126,main!$A$3:$H$102,6,FALSE)&gt;=main!$D$103+VLOOKUP(VLOOKUP(BK$1,main!$A$3:$I$102,7,FALSE),main!$K$26:$Q$29,4,FALSE)),1,0)</f>
        <v>0</v>
      </c>
      <c r="BL126">
        <f>IF(AND(VLOOKUP(BL$1,main!$A$3:$H$102,7,FALSE)=main!$G$104,VLOOKUP(BL$1,main!$A$3:$H$102,5,FALSE)-VLOOKUP($A126,main!$A$3:$H$102,6,FALSE)&gt;=main!$D$103+VLOOKUP(VLOOKUP(BL$1,main!$A$3:$I$102,7,FALSE),main!$K$26:$Q$29,4,FALSE)),1,0)</f>
        <v>0</v>
      </c>
      <c r="BM126">
        <f>IF(AND(VLOOKUP(BM$1,main!$A$3:$H$102,7,FALSE)=main!$G$104,VLOOKUP(BM$1,main!$A$3:$H$102,5,FALSE)-VLOOKUP($A126,main!$A$3:$H$102,6,FALSE)&gt;=main!$D$103+VLOOKUP(VLOOKUP(BM$1,main!$A$3:$I$102,7,FALSE),main!$K$26:$Q$29,4,FALSE)),1,0)</f>
        <v>0</v>
      </c>
      <c r="BN126">
        <f>IF(AND(VLOOKUP(BN$1,main!$A$3:$H$102,7,FALSE)=main!$G$104,VLOOKUP(BN$1,main!$A$3:$H$102,5,FALSE)-VLOOKUP($A126,main!$A$3:$H$102,6,FALSE)&gt;=main!$D$103+VLOOKUP(VLOOKUP(BN$1,main!$A$3:$I$102,7,FALSE),main!$K$26:$Q$29,4,FALSE)),1,0)</f>
        <v>0</v>
      </c>
      <c r="BO126">
        <f>IF(AND(VLOOKUP(BO$1,main!$A$3:$H$102,7,FALSE)=main!$G$104,VLOOKUP(BO$1,main!$A$3:$H$102,5,FALSE)-VLOOKUP($A126,main!$A$3:$H$102,6,FALSE)&gt;=main!$D$103+VLOOKUP(VLOOKUP(BO$1,main!$A$3:$I$102,7,FALSE),main!$K$26:$Q$29,4,FALSE)),1,0)</f>
        <v>0</v>
      </c>
      <c r="BP126">
        <f>IF(AND(VLOOKUP(BP$1,main!$A$3:$H$102,7,FALSE)=main!$G$104,VLOOKUP(BP$1,main!$A$3:$H$102,5,FALSE)-VLOOKUP($A126,main!$A$3:$H$102,6,FALSE)&gt;=main!$D$103+VLOOKUP(VLOOKUP(BP$1,main!$A$3:$I$102,7,FALSE),main!$K$26:$Q$29,4,FALSE)),1,0)</f>
        <v>0</v>
      </c>
      <c r="BQ126">
        <f>IF(AND(VLOOKUP(BQ$1,main!$A$3:$H$102,7,FALSE)=main!$G$104,VLOOKUP(BQ$1,main!$A$3:$H$102,5,FALSE)-VLOOKUP($A126,main!$A$3:$H$102,6,FALSE)&gt;=main!$D$103+VLOOKUP(VLOOKUP(BQ$1,main!$A$3:$I$102,7,FALSE),main!$K$26:$Q$29,4,FALSE)),1,0)</f>
        <v>0</v>
      </c>
      <c r="BR126">
        <f>IF(AND(VLOOKUP(BR$1,main!$A$3:$H$102,7,FALSE)=main!$G$104,VLOOKUP(BR$1,main!$A$3:$H$102,5,FALSE)-VLOOKUP($A126,main!$A$3:$H$102,6,FALSE)&gt;=main!$D$103+VLOOKUP(VLOOKUP(BR$1,main!$A$3:$I$102,7,FALSE),main!$K$26:$Q$29,4,FALSE)),1,0)</f>
        <v>0</v>
      </c>
      <c r="BS126">
        <f>IF(AND(VLOOKUP(BS$1,main!$A$3:$H$102,7,FALSE)=main!$G$104,VLOOKUP(BS$1,main!$A$3:$H$102,5,FALSE)-VLOOKUP($A126,main!$A$3:$H$102,6,FALSE)&gt;=main!$D$103+VLOOKUP(VLOOKUP(BS$1,main!$A$3:$I$102,7,FALSE),main!$K$26:$Q$29,4,FALSE)),1,0)</f>
        <v>0</v>
      </c>
      <c r="BT126">
        <f>IF(AND(VLOOKUP(BT$1,main!$A$3:$H$102,7,FALSE)=main!$G$104,VLOOKUP(BT$1,main!$A$3:$H$102,5,FALSE)-VLOOKUP($A126,main!$A$3:$H$102,6,FALSE)&gt;=main!$D$103+VLOOKUP(VLOOKUP(BT$1,main!$A$3:$I$102,7,FALSE),main!$K$26:$Q$29,4,FALSE)),1,0)</f>
        <v>0</v>
      </c>
      <c r="BU126">
        <f>IF(AND(VLOOKUP(BU$1,main!$A$3:$H$102,7,FALSE)=main!$G$104,VLOOKUP(BU$1,main!$A$3:$H$102,5,FALSE)-VLOOKUP($A126,main!$A$3:$H$102,6,FALSE)&gt;=main!$D$103+VLOOKUP(VLOOKUP(BU$1,main!$A$3:$I$102,7,FALSE),main!$K$26:$Q$29,4,FALSE)),1,0)</f>
        <v>0</v>
      </c>
      <c r="BV126">
        <f>IF(AND(VLOOKUP(BV$1,main!$A$3:$H$102,7,FALSE)=main!$G$104,VLOOKUP(BV$1,main!$A$3:$H$102,5,FALSE)-VLOOKUP($A126,main!$A$3:$H$102,6,FALSE)&gt;=main!$D$103+VLOOKUP(VLOOKUP(BV$1,main!$A$3:$I$102,7,FALSE),main!$K$26:$Q$29,4,FALSE)),1,0)</f>
        <v>0</v>
      </c>
      <c r="BW126">
        <f>IF(AND(VLOOKUP(BW$1,main!$A$3:$H$102,7,FALSE)=main!$G$104,VLOOKUP(BW$1,main!$A$3:$H$102,5,FALSE)-VLOOKUP($A126,main!$A$3:$H$102,6,FALSE)&gt;=main!$D$103+VLOOKUP(VLOOKUP(BW$1,main!$A$3:$I$102,7,FALSE),main!$K$26:$Q$29,4,FALSE)),1,0)</f>
        <v>0</v>
      </c>
      <c r="BX126">
        <f>IF(AND(VLOOKUP(BX$1,main!$A$3:$H$102,7,FALSE)=main!$G$104,VLOOKUP(BX$1,main!$A$3:$H$102,5,FALSE)-VLOOKUP($A126,main!$A$3:$H$102,6,FALSE)&gt;=main!$D$103+VLOOKUP(VLOOKUP(BX$1,main!$A$3:$I$102,7,FALSE),main!$K$26:$Q$29,4,FALSE)),1,0)</f>
        <v>0</v>
      </c>
      <c r="BY126">
        <f>IF(AND(VLOOKUP(BY$1,main!$A$3:$H$102,7,FALSE)=main!$G$104,VLOOKUP(BY$1,main!$A$3:$H$102,5,FALSE)-VLOOKUP($A126,main!$A$3:$H$102,6,FALSE)&gt;=main!$D$103+VLOOKUP(VLOOKUP(BY$1,main!$A$3:$I$102,7,FALSE),main!$K$26:$Q$29,4,FALSE)),1,0)</f>
        <v>0</v>
      </c>
      <c r="BZ126">
        <f>IF(AND(VLOOKUP(BZ$1,main!$A$3:$H$102,7,FALSE)=main!$G$104,VLOOKUP(BZ$1,main!$A$3:$H$102,5,FALSE)-VLOOKUP($A126,main!$A$3:$H$102,6,FALSE)&gt;=main!$D$103+VLOOKUP(VLOOKUP(BZ$1,main!$A$3:$I$102,7,FALSE),main!$K$26:$Q$29,4,FALSE)),1,0)</f>
        <v>0</v>
      </c>
      <c r="CA126">
        <f>IF(AND(VLOOKUP(CA$1,main!$A$3:$H$102,7,FALSE)=main!$G$104,VLOOKUP(CA$1,main!$A$3:$H$102,5,FALSE)-VLOOKUP($A126,main!$A$3:$H$102,6,FALSE)&gt;=main!$D$103+VLOOKUP(VLOOKUP(CA$1,main!$A$3:$I$102,7,FALSE),main!$K$26:$Q$29,4,FALSE)),1,0)</f>
        <v>0</v>
      </c>
      <c r="CB126">
        <f>IF(AND(VLOOKUP(CB$1,main!$A$3:$H$102,7,FALSE)=main!$G$104,VLOOKUP(CB$1,main!$A$3:$H$102,5,FALSE)-VLOOKUP($A126,main!$A$3:$H$102,6,FALSE)&gt;=main!$D$103+VLOOKUP(VLOOKUP(CB$1,main!$A$3:$I$102,7,FALSE),main!$K$26:$Q$29,4,FALSE)),1,0)</f>
        <v>0</v>
      </c>
      <c r="CC126">
        <f>IF(AND(VLOOKUP(CC$1,main!$A$3:$H$102,7,FALSE)=main!$G$104,VLOOKUP(CC$1,main!$A$3:$H$102,5,FALSE)-VLOOKUP($A126,main!$A$3:$H$102,6,FALSE)&gt;=main!$D$103+VLOOKUP(VLOOKUP(CC$1,main!$A$3:$I$102,7,FALSE),main!$K$26:$Q$29,4,FALSE)),1,0)</f>
        <v>0</v>
      </c>
      <c r="CD126">
        <f>IF(AND(VLOOKUP(CD$1,main!$A$3:$H$102,7,FALSE)=main!$G$104,VLOOKUP(CD$1,main!$A$3:$H$102,5,FALSE)-VLOOKUP($A126,main!$A$3:$H$102,6,FALSE)&gt;=main!$D$103+VLOOKUP(VLOOKUP(CD$1,main!$A$3:$I$102,7,FALSE),main!$K$26:$Q$29,4,FALSE)),1,0)</f>
        <v>0</v>
      </c>
      <c r="CE126">
        <f>IF(AND(VLOOKUP(CE$1,main!$A$3:$H$102,7,FALSE)=main!$G$104,VLOOKUP(CE$1,main!$A$3:$H$102,5,FALSE)-VLOOKUP($A126,main!$A$3:$H$102,6,FALSE)&gt;=main!$D$103+VLOOKUP(VLOOKUP(CE$1,main!$A$3:$I$102,7,FALSE),main!$K$26:$Q$29,4,FALSE)),1,0)</f>
        <v>0</v>
      </c>
      <c r="CF126">
        <f>IF(AND(VLOOKUP(CF$1,main!$A$3:$H$102,7,FALSE)=main!$G$104,VLOOKUP(CF$1,main!$A$3:$H$102,5,FALSE)-VLOOKUP($A126,main!$A$3:$H$102,6,FALSE)&gt;=main!$D$103+VLOOKUP(VLOOKUP(CF$1,main!$A$3:$I$102,7,FALSE),main!$K$26:$Q$29,4,FALSE)),1,0)</f>
        <v>0</v>
      </c>
      <c r="CG126">
        <f>IF(AND(VLOOKUP(CG$1,main!$A$3:$H$102,7,FALSE)=main!$G$104,VLOOKUP(CG$1,main!$A$3:$H$102,5,FALSE)-VLOOKUP($A126,main!$A$3:$H$102,6,FALSE)&gt;=main!$D$103+VLOOKUP(VLOOKUP(CG$1,main!$A$3:$I$102,7,FALSE),main!$K$26:$Q$29,4,FALSE)),1,0)</f>
        <v>0</v>
      </c>
      <c r="CH126">
        <f>IF(AND(VLOOKUP(CH$1,main!$A$3:$H$102,7,FALSE)=main!$G$104,VLOOKUP(CH$1,main!$A$3:$H$102,5,FALSE)-VLOOKUP($A126,main!$A$3:$H$102,6,FALSE)&gt;=main!$D$103+VLOOKUP(VLOOKUP(CH$1,main!$A$3:$I$102,7,FALSE),main!$K$26:$Q$29,4,FALSE)),1,0)</f>
        <v>0</v>
      </c>
      <c r="CI126">
        <f>IF(AND(VLOOKUP(CI$1,main!$A$3:$H$102,7,FALSE)=main!$G$104,VLOOKUP(CI$1,main!$A$3:$H$102,5,FALSE)-VLOOKUP($A126,main!$A$3:$H$102,6,FALSE)&gt;=main!$D$103+VLOOKUP(VLOOKUP(CI$1,main!$A$3:$I$102,7,FALSE),main!$K$26:$Q$29,4,FALSE)),1,0)</f>
        <v>0</v>
      </c>
      <c r="CJ126">
        <f>IF(AND(VLOOKUP(CJ$1,main!$A$3:$H$102,7,FALSE)=main!$G$104,VLOOKUP(CJ$1,main!$A$3:$H$102,5,FALSE)-VLOOKUP($A126,main!$A$3:$H$102,6,FALSE)&gt;=main!$D$103+VLOOKUP(VLOOKUP(CJ$1,main!$A$3:$I$102,7,FALSE),main!$K$26:$Q$29,4,FALSE)),1,0)</f>
        <v>0</v>
      </c>
      <c r="CK126">
        <f>IF(AND(VLOOKUP(CK$1,main!$A$3:$H$102,7,FALSE)=main!$G$104,VLOOKUP(CK$1,main!$A$3:$H$102,5,FALSE)-VLOOKUP($A126,main!$A$3:$H$102,6,FALSE)&gt;=main!$D$103+VLOOKUP(VLOOKUP(CK$1,main!$A$3:$I$102,7,FALSE),main!$K$26:$Q$29,4,FALSE)),1,0)</f>
        <v>0</v>
      </c>
      <c r="CL126">
        <f>IF(AND(VLOOKUP(CL$1,main!$A$3:$H$102,7,FALSE)=main!$G$104,VLOOKUP(CL$1,main!$A$3:$H$102,5,FALSE)-VLOOKUP($A126,main!$A$3:$H$102,6,FALSE)&gt;=main!$D$103+VLOOKUP(VLOOKUP(CL$1,main!$A$3:$I$102,7,FALSE),main!$K$26:$Q$29,4,FALSE)),1,0)</f>
        <v>0</v>
      </c>
      <c r="CM126">
        <f>IF(AND(VLOOKUP(CM$1,main!$A$3:$H$102,7,FALSE)=main!$G$104,VLOOKUP(CM$1,main!$A$3:$H$102,5,FALSE)-VLOOKUP($A126,main!$A$3:$H$102,6,FALSE)&gt;=main!$D$103+VLOOKUP(VLOOKUP(CM$1,main!$A$3:$I$102,7,FALSE),main!$K$26:$Q$29,4,FALSE)),1,0)</f>
        <v>0</v>
      </c>
      <c r="CN126">
        <f>IF(AND(VLOOKUP(CN$1,main!$A$3:$H$102,7,FALSE)=main!$G$104,VLOOKUP(CN$1,main!$A$3:$H$102,5,FALSE)-VLOOKUP($A126,main!$A$3:$H$102,6,FALSE)&gt;=main!$D$103+VLOOKUP(VLOOKUP(CN$1,main!$A$3:$I$102,7,FALSE),main!$K$26:$Q$29,4,FALSE)),1,0)</f>
        <v>0</v>
      </c>
      <c r="CO126">
        <f>IF(AND(VLOOKUP(CO$1,main!$A$3:$H$102,7,FALSE)=main!$G$104,VLOOKUP(CO$1,main!$A$3:$H$102,5,FALSE)-VLOOKUP($A126,main!$A$3:$H$102,6,FALSE)&gt;=main!$D$103+VLOOKUP(VLOOKUP(CO$1,main!$A$3:$I$102,7,FALSE),main!$K$26:$Q$29,4,FALSE)),1,0)</f>
        <v>0</v>
      </c>
      <c r="CP126">
        <f>IF(AND(VLOOKUP(CP$1,main!$A$3:$H$102,7,FALSE)=main!$G$104,VLOOKUP(CP$1,main!$A$3:$H$102,5,FALSE)-VLOOKUP($A126,main!$A$3:$H$102,6,FALSE)&gt;=main!$D$103+VLOOKUP(VLOOKUP(CP$1,main!$A$3:$I$102,7,FALSE),main!$K$26:$Q$29,4,FALSE)),1,0)</f>
        <v>0</v>
      </c>
      <c r="CQ126">
        <f>IF(AND(VLOOKUP(CQ$1,main!$A$3:$H$102,7,FALSE)=main!$G$104,VLOOKUP(CQ$1,main!$A$3:$H$102,5,FALSE)-VLOOKUP($A126,main!$A$3:$H$102,6,FALSE)&gt;=main!$D$103+VLOOKUP(VLOOKUP(CQ$1,main!$A$3:$I$102,7,FALSE),main!$K$26:$Q$29,4,FALSE)),1,0)</f>
        <v>0</v>
      </c>
      <c r="CR126">
        <f>IF(AND(VLOOKUP(CR$1,main!$A$3:$H$102,7,FALSE)=main!$G$104,VLOOKUP(CR$1,main!$A$3:$H$102,5,FALSE)-VLOOKUP($A126,main!$A$3:$H$102,6,FALSE)&gt;=main!$D$103+VLOOKUP(VLOOKUP(CR$1,main!$A$3:$I$102,7,FALSE),main!$K$26:$Q$29,4,FALSE)),1,0)</f>
        <v>0</v>
      </c>
      <c r="CS126">
        <f>IF(AND(VLOOKUP(CS$1,main!$A$3:$H$102,7,FALSE)=main!$G$104,VLOOKUP(CS$1,main!$A$3:$H$102,5,FALSE)-VLOOKUP($A126,main!$A$3:$H$102,6,FALSE)&gt;=main!$D$103+VLOOKUP(VLOOKUP(CS$1,main!$A$3:$I$102,7,FALSE),main!$K$26:$Q$29,4,FALSE)),1,0)</f>
        <v>0</v>
      </c>
      <c r="CT126">
        <f>IF(AND(VLOOKUP(CT$1,main!$A$3:$H$102,7,FALSE)=main!$G$104,VLOOKUP(CT$1,main!$A$3:$H$102,5,FALSE)-VLOOKUP($A126,main!$A$3:$H$102,6,FALSE)&gt;=main!$D$103+VLOOKUP(VLOOKUP(CT$1,main!$A$3:$I$102,7,FALSE),main!$K$26:$Q$29,4,FALSE)),1,0)</f>
        <v>0</v>
      </c>
      <c r="CU126">
        <f>IF(AND(VLOOKUP(CU$1,main!$A$3:$H$102,7,FALSE)=main!$G$104,VLOOKUP(CU$1,main!$A$3:$H$102,5,FALSE)-VLOOKUP($A126,main!$A$3:$H$102,6,FALSE)&gt;=main!$D$103+VLOOKUP(VLOOKUP(CU$1,main!$A$3:$I$102,7,FALSE),main!$K$26:$Q$29,4,FALSE)),1,0)</f>
        <v>0</v>
      </c>
      <c r="CV126">
        <f>IF(AND(VLOOKUP(CV$1,main!$A$3:$H$102,7,FALSE)=main!$G$104,VLOOKUP(CV$1,main!$A$3:$H$102,5,FALSE)-VLOOKUP($A126,main!$A$3:$H$102,6,FALSE)&gt;=main!$D$103+VLOOKUP(VLOOKUP(CV$1,main!$A$3:$I$102,7,FALSE),main!$K$26:$Q$29,4,FALSE)),1,0)</f>
        <v>0</v>
      </c>
      <c r="CW126">
        <f>IF(AND(VLOOKUP(CW$1,main!$A$3:$H$102,7,FALSE)=main!$G$104,VLOOKUP(CW$1,main!$A$3:$H$102,5,FALSE)-VLOOKUP($A126,main!$A$3:$H$102,6,FALSE)&gt;=main!$D$103+VLOOKUP(VLOOKUP(CW$1,main!$A$3:$I$102,7,FALSE),main!$K$26:$Q$29,4,FALSE)),1,0)</f>
        <v>0</v>
      </c>
      <c r="CX126">
        <f>IF(AND(VLOOKUP(CX$1,main!$A$3:$H$102,7,FALSE)=main!$G$104,VLOOKUP(CX$1,main!$A$3:$H$102,5,FALSE)-VLOOKUP($A126,main!$A$3:$H$102,6,FALSE)&gt;=main!$D$103+VLOOKUP(VLOOKUP(CX$1,main!$A$3:$I$102,7,FALSE),main!$K$26:$Q$29,4,FALSE)),1,0)</f>
        <v>0</v>
      </c>
    </row>
    <row r="127" spans="1:102" x14ac:dyDescent="0.25">
      <c r="A127" s="1">
        <v>24</v>
      </c>
      <c r="B127">
        <v>0</v>
      </c>
      <c r="C127">
        <f>IF(AND(VLOOKUP(C$1,main!$A$3:$H$102,7,FALSE)=main!$G$104,VLOOKUP(C$1,main!$A$3:$H$102,5,FALSE)-VLOOKUP($A127,main!$A$3:$H$102,6,FALSE)&gt;=main!$D$103+VLOOKUP(VLOOKUP(C$1,main!$A$3:$I$102,7,FALSE),main!$K$26:$Q$29,4,FALSE)),1,0)</f>
        <v>0</v>
      </c>
      <c r="D127">
        <f>IF(AND(VLOOKUP(D$1,main!$A$3:$H$102,7,FALSE)=main!$G$104,VLOOKUP(D$1,main!$A$3:$H$102,5,FALSE)-VLOOKUP($A127,main!$A$3:$H$102,6,FALSE)&gt;=main!$D$103+VLOOKUP(VLOOKUP(D$1,main!$A$3:$I$102,7,FALSE),main!$K$26:$Q$29,4,FALSE)),1,0)</f>
        <v>0</v>
      </c>
      <c r="E127">
        <f>IF(AND(VLOOKUP(E$1,main!$A$3:$H$102,7,FALSE)=main!$G$104,VLOOKUP(E$1,main!$A$3:$H$102,5,FALSE)-VLOOKUP($A127,main!$A$3:$H$102,6,FALSE)&gt;=main!$D$103+VLOOKUP(VLOOKUP(E$1,main!$A$3:$I$102,7,FALSE),main!$K$26:$Q$29,4,FALSE)),1,0)</f>
        <v>0</v>
      </c>
      <c r="F127">
        <f>IF(AND(VLOOKUP(F$1,main!$A$3:$H$102,7,FALSE)=main!$G$104,VLOOKUP(F$1,main!$A$3:$H$102,5,FALSE)-VLOOKUP($A127,main!$A$3:$H$102,6,FALSE)&gt;=main!$D$103+VLOOKUP(VLOOKUP(F$1,main!$A$3:$I$102,7,FALSE),main!$K$26:$Q$29,4,FALSE)),1,0)</f>
        <v>0</v>
      </c>
      <c r="G127">
        <f>IF(AND(VLOOKUP(G$1,main!$A$3:$H$102,7,FALSE)=main!$G$104,VLOOKUP(G$1,main!$A$3:$H$102,5,FALSE)-VLOOKUP($A127,main!$A$3:$H$102,6,FALSE)&gt;=main!$D$103+VLOOKUP(VLOOKUP(G$1,main!$A$3:$I$102,7,FALSE),main!$K$26:$Q$29,4,FALSE)),1,0)</f>
        <v>0</v>
      </c>
      <c r="H127">
        <f>IF(AND(VLOOKUP(H$1,main!$A$3:$H$102,7,FALSE)=main!$G$104,VLOOKUP(H$1,main!$A$3:$H$102,5,FALSE)-VLOOKUP($A127,main!$A$3:$H$102,6,FALSE)&gt;=main!$D$103+VLOOKUP(VLOOKUP(H$1,main!$A$3:$I$102,7,FALSE),main!$K$26:$Q$29,4,FALSE)),1,0)</f>
        <v>0</v>
      </c>
      <c r="I127">
        <f>IF(AND(VLOOKUP(I$1,main!$A$3:$H$102,7,FALSE)=main!$G$104,VLOOKUP(I$1,main!$A$3:$H$102,5,FALSE)-VLOOKUP($A127,main!$A$3:$H$102,6,FALSE)&gt;=main!$D$103+VLOOKUP(VLOOKUP(I$1,main!$A$3:$I$102,7,FALSE),main!$K$26:$Q$29,4,FALSE)),1,0)</f>
        <v>0</v>
      </c>
      <c r="J127">
        <f>IF(AND(VLOOKUP(J$1,main!$A$3:$H$102,7,FALSE)=main!$G$104,VLOOKUP(J$1,main!$A$3:$H$102,5,FALSE)-VLOOKUP($A127,main!$A$3:$H$102,6,FALSE)&gt;=main!$D$103+VLOOKUP(VLOOKUP(J$1,main!$A$3:$I$102,7,FALSE),main!$K$26:$Q$29,4,FALSE)),1,0)</f>
        <v>0</v>
      </c>
      <c r="K127">
        <f>IF(AND(VLOOKUP(K$1,main!$A$3:$H$102,7,FALSE)=main!$G$104,VLOOKUP(K$1,main!$A$3:$H$102,5,FALSE)-VLOOKUP($A127,main!$A$3:$H$102,6,FALSE)&gt;=main!$D$103+VLOOKUP(VLOOKUP(K$1,main!$A$3:$I$102,7,FALSE),main!$K$26:$Q$29,4,FALSE)),1,0)</f>
        <v>0</v>
      </c>
      <c r="L127">
        <f>IF(AND(VLOOKUP(L$1,main!$A$3:$H$102,7,FALSE)=main!$G$104,VLOOKUP(L$1,main!$A$3:$H$102,5,FALSE)-VLOOKUP($A127,main!$A$3:$H$102,6,FALSE)&gt;=main!$D$103+VLOOKUP(VLOOKUP(L$1,main!$A$3:$I$102,7,FALSE),main!$K$26:$Q$29,4,FALSE)),1,0)</f>
        <v>1</v>
      </c>
      <c r="M127">
        <f>IF(AND(VLOOKUP(M$1,main!$A$3:$H$102,7,FALSE)=main!$G$104,VLOOKUP(M$1,main!$A$3:$H$102,5,FALSE)-VLOOKUP($A127,main!$A$3:$H$102,6,FALSE)&gt;=main!$D$103+VLOOKUP(VLOOKUP(M$1,main!$A$3:$I$102,7,FALSE),main!$K$26:$Q$29,4,FALSE)),1,0)</f>
        <v>0</v>
      </c>
      <c r="N127">
        <f>IF(AND(VLOOKUP(N$1,main!$A$3:$H$102,7,FALSE)=main!$G$104,VLOOKUP(N$1,main!$A$3:$H$102,5,FALSE)-VLOOKUP($A127,main!$A$3:$H$102,6,FALSE)&gt;=main!$D$103+VLOOKUP(VLOOKUP(N$1,main!$A$3:$I$102,7,FALSE),main!$K$26:$Q$29,4,FALSE)),1,0)</f>
        <v>0</v>
      </c>
      <c r="O127">
        <f>IF(AND(VLOOKUP(O$1,main!$A$3:$H$102,7,FALSE)=main!$G$104,VLOOKUP(O$1,main!$A$3:$H$102,5,FALSE)-VLOOKUP($A127,main!$A$3:$H$102,6,FALSE)&gt;=main!$D$103+VLOOKUP(VLOOKUP(O$1,main!$A$3:$I$102,7,FALSE),main!$K$26:$Q$29,4,FALSE)),1,0)</f>
        <v>0</v>
      </c>
      <c r="P127">
        <f>IF(AND(VLOOKUP(P$1,main!$A$3:$H$102,7,FALSE)=main!$G$104,VLOOKUP(P$1,main!$A$3:$H$102,5,FALSE)-VLOOKUP($A127,main!$A$3:$H$102,6,FALSE)&gt;=main!$D$103+VLOOKUP(VLOOKUP(P$1,main!$A$3:$I$102,7,FALSE),main!$K$26:$Q$29,4,FALSE)),1,0)</f>
        <v>0</v>
      </c>
      <c r="Q127">
        <f>IF(AND(VLOOKUP(Q$1,main!$A$3:$H$102,7,FALSE)=main!$G$104,VLOOKUP(Q$1,main!$A$3:$H$102,5,FALSE)-VLOOKUP($A127,main!$A$3:$H$102,6,FALSE)&gt;=main!$D$103+VLOOKUP(VLOOKUP(Q$1,main!$A$3:$I$102,7,FALSE),main!$K$26:$Q$29,4,FALSE)),1,0)</f>
        <v>0</v>
      </c>
      <c r="R127">
        <f>IF(AND(VLOOKUP(R$1,main!$A$3:$H$102,7,FALSE)=main!$G$104,VLOOKUP(R$1,main!$A$3:$H$102,5,FALSE)-VLOOKUP($A127,main!$A$3:$H$102,6,FALSE)&gt;=main!$D$103+VLOOKUP(VLOOKUP(R$1,main!$A$3:$I$102,7,FALSE),main!$K$26:$Q$29,4,FALSE)),1,0)</f>
        <v>0</v>
      </c>
      <c r="S127">
        <f>IF(AND(VLOOKUP(S$1,main!$A$3:$H$102,7,FALSE)=main!$G$104,VLOOKUP(S$1,main!$A$3:$H$102,5,FALSE)-VLOOKUP($A127,main!$A$3:$H$102,6,FALSE)&gt;=main!$D$103+VLOOKUP(VLOOKUP(S$1,main!$A$3:$I$102,7,FALSE),main!$K$26:$Q$29,4,FALSE)),1,0)</f>
        <v>0</v>
      </c>
      <c r="T127">
        <f>IF(AND(VLOOKUP(T$1,main!$A$3:$H$102,7,FALSE)=main!$G$104,VLOOKUP(T$1,main!$A$3:$H$102,5,FALSE)-VLOOKUP($A127,main!$A$3:$H$102,6,FALSE)&gt;=main!$D$103+VLOOKUP(VLOOKUP(T$1,main!$A$3:$I$102,7,FALSE),main!$K$26:$Q$29,4,FALSE)),1,0)</f>
        <v>0</v>
      </c>
      <c r="U127">
        <f>IF(AND(VLOOKUP(U$1,main!$A$3:$H$102,7,FALSE)=main!$G$104,VLOOKUP(U$1,main!$A$3:$H$102,5,FALSE)-VLOOKUP($A127,main!$A$3:$H$102,6,FALSE)&gt;=main!$D$103+VLOOKUP(VLOOKUP(U$1,main!$A$3:$I$102,7,FALSE),main!$K$26:$Q$29,4,FALSE)),1,0)</f>
        <v>0</v>
      </c>
      <c r="V127">
        <f>IF(AND(VLOOKUP(V$1,main!$A$3:$H$102,7,FALSE)=main!$G$104,VLOOKUP(V$1,main!$A$3:$H$102,5,FALSE)-VLOOKUP($A127,main!$A$3:$H$102,6,FALSE)&gt;=main!$D$103+VLOOKUP(VLOOKUP(V$1,main!$A$3:$I$102,7,FALSE),main!$K$26:$Q$29,4,FALSE)),1,0)</f>
        <v>1</v>
      </c>
      <c r="W127">
        <f>IF(AND(VLOOKUP(W$1,main!$A$3:$H$102,7,FALSE)=main!$G$104,VLOOKUP(W$1,main!$A$3:$H$102,5,FALSE)-VLOOKUP($A127,main!$A$3:$H$102,6,FALSE)&gt;=main!$D$103+VLOOKUP(VLOOKUP(W$1,main!$A$3:$I$102,7,FALSE),main!$K$26:$Q$29,4,FALSE)),1,0)</f>
        <v>0</v>
      </c>
      <c r="X127">
        <f>IF(AND(VLOOKUP(X$1,main!$A$3:$H$102,7,FALSE)=main!$G$104,VLOOKUP(X$1,main!$A$3:$H$102,5,FALSE)-VLOOKUP($A127,main!$A$3:$H$102,6,FALSE)&gt;=main!$D$103+VLOOKUP(VLOOKUP(X$1,main!$A$3:$I$102,7,FALSE),main!$K$26:$Q$29,4,FALSE)),1,0)</f>
        <v>0</v>
      </c>
      <c r="Y127">
        <f>IF(AND(VLOOKUP(Y$1,main!$A$3:$H$102,7,FALSE)=main!$G$104,VLOOKUP(Y$1,main!$A$3:$H$102,5,FALSE)-VLOOKUP($A127,main!$A$3:$H$102,6,FALSE)&gt;=main!$D$103+VLOOKUP(VLOOKUP(Y$1,main!$A$3:$I$102,7,FALSE),main!$K$26:$Q$29,4,FALSE)),1,0)</f>
        <v>0</v>
      </c>
      <c r="Z127">
        <f>IF(AND(VLOOKUP(Z$1,main!$A$3:$H$102,7,FALSE)=main!$G$104,VLOOKUP(Z$1,main!$A$3:$H$102,5,FALSE)-VLOOKUP($A127,main!$A$3:$H$102,6,FALSE)&gt;=main!$D$103+VLOOKUP(VLOOKUP(Z$1,main!$A$3:$I$102,7,FALSE),main!$K$26:$Q$29,4,FALSE)),1,0)</f>
        <v>0</v>
      </c>
      <c r="AA127">
        <f>IF(AND(VLOOKUP(AA$1,main!$A$3:$H$102,7,FALSE)=main!$G$104,VLOOKUP(AA$1,main!$A$3:$H$102,5,FALSE)-VLOOKUP($A127,main!$A$3:$H$102,6,FALSE)&gt;=main!$D$103+VLOOKUP(VLOOKUP(AA$1,main!$A$3:$I$102,7,FALSE),main!$K$26:$Q$29,4,FALSE)),1,0)</f>
        <v>0</v>
      </c>
      <c r="AB127">
        <f>IF(AND(VLOOKUP(AB$1,main!$A$3:$H$102,7,FALSE)=main!$G$104,VLOOKUP(AB$1,main!$A$3:$H$102,5,FALSE)-VLOOKUP($A127,main!$A$3:$H$102,6,FALSE)&gt;=main!$D$103+VLOOKUP(VLOOKUP(AB$1,main!$A$3:$I$102,7,FALSE),main!$K$26:$Q$29,4,FALSE)),1,0)</f>
        <v>0</v>
      </c>
      <c r="AC127">
        <f>IF(AND(VLOOKUP(AC$1,main!$A$3:$H$102,7,FALSE)=main!$G$104,VLOOKUP(AC$1,main!$A$3:$H$102,5,FALSE)-VLOOKUP($A127,main!$A$3:$H$102,6,FALSE)&gt;=main!$D$103+VLOOKUP(VLOOKUP(AC$1,main!$A$3:$I$102,7,FALSE),main!$K$26:$Q$29,4,FALSE)),1,0)</f>
        <v>0</v>
      </c>
      <c r="AD127">
        <f>IF(AND(VLOOKUP(AD$1,main!$A$3:$H$102,7,FALSE)=main!$G$104,VLOOKUP(AD$1,main!$A$3:$H$102,5,FALSE)-VLOOKUP($A127,main!$A$3:$H$102,6,FALSE)&gt;=main!$D$103+VLOOKUP(VLOOKUP(AD$1,main!$A$3:$I$102,7,FALSE),main!$K$26:$Q$29,4,FALSE)),1,0)</f>
        <v>0</v>
      </c>
      <c r="AE127">
        <f>IF(AND(VLOOKUP(AE$1,main!$A$3:$H$102,7,FALSE)=main!$G$104,VLOOKUP(AE$1,main!$A$3:$H$102,5,FALSE)-VLOOKUP($A127,main!$A$3:$H$102,6,FALSE)&gt;=main!$D$103+VLOOKUP(VLOOKUP(AE$1,main!$A$3:$I$102,7,FALSE),main!$K$26:$Q$29,4,FALSE)),1,0)</f>
        <v>0</v>
      </c>
      <c r="AF127">
        <f>IF(AND(VLOOKUP(AF$1,main!$A$3:$H$102,7,FALSE)=main!$G$104,VLOOKUP(AF$1,main!$A$3:$H$102,5,FALSE)-VLOOKUP($A127,main!$A$3:$H$102,6,FALSE)&gt;=main!$D$103+VLOOKUP(VLOOKUP(AF$1,main!$A$3:$I$102,7,FALSE),main!$K$26:$Q$29,4,FALSE)),1,0)</f>
        <v>0</v>
      </c>
      <c r="AG127">
        <f>IF(AND(VLOOKUP(AG$1,main!$A$3:$H$102,7,FALSE)=main!$G$104,VLOOKUP(AG$1,main!$A$3:$H$102,5,FALSE)-VLOOKUP($A127,main!$A$3:$H$102,6,FALSE)&gt;=main!$D$103+VLOOKUP(VLOOKUP(AG$1,main!$A$3:$I$102,7,FALSE),main!$K$26:$Q$29,4,FALSE)),1,0)</f>
        <v>0</v>
      </c>
      <c r="AH127">
        <f>IF(AND(VLOOKUP(AH$1,main!$A$3:$H$102,7,FALSE)=main!$G$104,VLOOKUP(AH$1,main!$A$3:$H$102,5,FALSE)-VLOOKUP($A127,main!$A$3:$H$102,6,FALSE)&gt;=main!$D$103+VLOOKUP(VLOOKUP(AH$1,main!$A$3:$I$102,7,FALSE),main!$K$26:$Q$29,4,FALSE)),1,0)</f>
        <v>0</v>
      </c>
      <c r="AI127">
        <f>IF(AND(VLOOKUP(AI$1,main!$A$3:$H$102,7,FALSE)=main!$G$104,VLOOKUP(AI$1,main!$A$3:$H$102,5,FALSE)-VLOOKUP($A127,main!$A$3:$H$102,6,FALSE)&gt;=main!$D$103+VLOOKUP(VLOOKUP(AI$1,main!$A$3:$I$102,7,FALSE),main!$K$26:$Q$29,4,FALSE)),1,0)</f>
        <v>0</v>
      </c>
      <c r="AJ127">
        <f>IF(AND(VLOOKUP(AJ$1,main!$A$3:$H$102,7,FALSE)=main!$G$104,VLOOKUP(AJ$1,main!$A$3:$H$102,5,FALSE)-VLOOKUP($A127,main!$A$3:$H$102,6,FALSE)&gt;=main!$D$103+VLOOKUP(VLOOKUP(AJ$1,main!$A$3:$I$102,7,FALSE),main!$K$26:$Q$29,4,FALSE)),1,0)</f>
        <v>0</v>
      </c>
      <c r="AK127">
        <f>IF(AND(VLOOKUP(AK$1,main!$A$3:$H$102,7,FALSE)=main!$G$104,VLOOKUP(AK$1,main!$A$3:$H$102,5,FALSE)-VLOOKUP($A127,main!$A$3:$H$102,6,FALSE)&gt;=main!$D$103+VLOOKUP(VLOOKUP(AK$1,main!$A$3:$I$102,7,FALSE),main!$K$26:$Q$29,4,FALSE)),1,0)</f>
        <v>0</v>
      </c>
      <c r="AL127">
        <f>IF(AND(VLOOKUP(AL$1,main!$A$3:$H$102,7,FALSE)=main!$G$104,VLOOKUP(AL$1,main!$A$3:$H$102,5,FALSE)-VLOOKUP($A127,main!$A$3:$H$102,6,FALSE)&gt;=main!$D$103+VLOOKUP(VLOOKUP(AL$1,main!$A$3:$I$102,7,FALSE),main!$K$26:$Q$29,4,FALSE)),1,0)</f>
        <v>0</v>
      </c>
      <c r="AM127">
        <f>IF(AND(VLOOKUP(AM$1,main!$A$3:$H$102,7,FALSE)=main!$G$104,VLOOKUP(AM$1,main!$A$3:$H$102,5,FALSE)-VLOOKUP($A127,main!$A$3:$H$102,6,FALSE)&gt;=main!$D$103+VLOOKUP(VLOOKUP(AM$1,main!$A$3:$I$102,7,FALSE),main!$K$26:$Q$29,4,FALSE)),1,0)</f>
        <v>0</v>
      </c>
      <c r="AN127">
        <f>IF(AND(VLOOKUP(AN$1,main!$A$3:$H$102,7,FALSE)=main!$G$104,VLOOKUP(AN$1,main!$A$3:$H$102,5,FALSE)-VLOOKUP($A127,main!$A$3:$H$102,6,FALSE)&gt;=main!$D$103+VLOOKUP(VLOOKUP(AN$1,main!$A$3:$I$102,7,FALSE),main!$K$26:$Q$29,4,FALSE)),1,0)</f>
        <v>0</v>
      </c>
      <c r="AO127">
        <f>IF(AND(VLOOKUP(AO$1,main!$A$3:$H$102,7,FALSE)=main!$G$104,VLOOKUP(AO$1,main!$A$3:$H$102,5,FALSE)-VLOOKUP($A127,main!$A$3:$H$102,6,FALSE)&gt;=main!$D$103+VLOOKUP(VLOOKUP(AO$1,main!$A$3:$I$102,7,FALSE),main!$K$26:$Q$29,4,FALSE)),1,0)</f>
        <v>0</v>
      </c>
      <c r="AP127">
        <f>IF(AND(VLOOKUP(AP$1,main!$A$3:$H$102,7,FALSE)=main!$G$104,VLOOKUP(AP$1,main!$A$3:$H$102,5,FALSE)-VLOOKUP($A127,main!$A$3:$H$102,6,FALSE)&gt;=main!$D$103+VLOOKUP(VLOOKUP(AP$1,main!$A$3:$I$102,7,FALSE),main!$K$26:$Q$29,4,FALSE)),1,0)</f>
        <v>0</v>
      </c>
      <c r="AQ127">
        <f>IF(AND(VLOOKUP(AQ$1,main!$A$3:$H$102,7,FALSE)=main!$G$104,VLOOKUP(AQ$1,main!$A$3:$H$102,5,FALSE)-VLOOKUP($A127,main!$A$3:$H$102,6,FALSE)&gt;=main!$D$103+VLOOKUP(VLOOKUP(AQ$1,main!$A$3:$I$102,7,FALSE),main!$K$26:$Q$29,4,FALSE)),1,0)</f>
        <v>0</v>
      </c>
      <c r="AR127">
        <f>IF(AND(VLOOKUP(AR$1,main!$A$3:$H$102,7,FALSE)=main!$G$104,VLOOKUP(AR$1,main!$A$3:$H$102,5,FALSE)-VLOOKUP($A127,main!$A$3:$H$102,6,FALSE)&gt;=main!$D$103+VLOOKUP(VLOOKUP(AR$1,main!$A$3:$I$102,7,FALSE),main!$K$26:$Q$29,4,FALSE)),1,0)</f>
        <v>0</v>
      </c>
      <c r="AS127">
        <f>IF(AND(VLOOKUP(AS$1,main!$A$3:$H$102,7,FALSE)=main!$G$104,VLOOKUP(AS$1,main!$A$3:$H$102,5,FALSE)-VLOOKUP($A127,main!$A$3:$H$102,6,FALSE)&gt;=main!$D$103+VLOOKUP(VLOOKUP(AS$1,main!$A$3:$I$102,7,FALSE),main!$K$26:$Q$29,4,FALSE)),1,0)</f>
        <v>0</v>
      </c>
      <c r="AT127">
        <f>IF(AND(VLOOKUP(AT$1,main!$A$3:$H$102,7,FALSE)=main!$G$104,VLOOKUP(AT$1,main!$A$3:$H$102,5,FALSE)-VLOOKUP($A127,main!$A$3:$H$102,6,FALSE)&gt;=main!$D$103+VLOOKUP(VLOOKUP(AT$1,main!$A$3:$I$102,7,FALSE),main!$K$26:$Q$29,4,FALSE)),1,0)</f>
        <v>0</v>
      </c>
      <c r="AU127">
        <f>IF(AND(VLOOKUP(AU$1,main!$A$3:$H$102,7,FALSE)=main!$G$104,VLOOKUP(AU$1,main!$A$3:$H$102,5,FALSE)-VLOOKUP($A127,main!$A$3:$H$102,6,FALSE)&gt;=main!$D$103+VLOOKUP(VLOOKUP(AU$1,main!$A$3:$I$102,7,FALSE),main!$K$26:$Q$29,4,FALSE)),1,0)</f>
        <v>0</v>
      </c>
      <c r="AV127">
        <f>IF(AND(VLOOKUP(AV$1,main!$A$3:$H$102,7,FALSE)=main!$G$104,VLOOKUP(AV$1,main!$A$3:$H$102,5,FALSE)-VLOOKUP($A127,main!$A$3:$H$102,6,FALSE)&gt;=main!$D$103+VLOOKUP(VLOOKUP(AV$1,main!$A$3:$I$102,7,FALSE),main!$K$26:$Q$29,4,FALSE)),1,0)</f>
        <v>0</v>
      </c>
      <c r="AW127">
        <f>IF(AND(VLOOKUP(AW$1,main!$A$3:$H$102,7,FALSE)=main!$G$104,VLOOKUP(AW$1,main!$A$3:$H$102,5,FALSE)-VLOOKUP($A127,main!$A$3:$H$102,6,FALSE)&gt;=main!$D$103+VLOOKUP(VLOOKUP(AW$1,main!$A$3:$I$102,7,FALSE),main!$K$26:$Q$29,4,FALSE)),1,0)</f>
        <v>0</v>
      </c>
      <c r="AX127">
        <f>IF(AND(VLOOKUP(AX$1,main!$A$3:$H$102,7,FALSE)=main!$G$104,VLOOKUP(AX$1,main!$A$3:$H$102,5,FALSE)-VLOOKUP($A127,main!$A$3:$H$102,6,FALSE)&gt;=main!$D$103+VLOOKUP(VLOOKUP(AX$1,main!$A$3:$I$102,7,FALSE),main!$K$26:$Q$29,4,FALSE)),1,0)</f>
        <v>0</v>
      </c>
      <c r="AY127">
        <f>IF(AND(VLOOKUP(AY$1,main!$A$3:$H$102,7,FALSE)=main!$G$104,VLOOKUP(AY$1,main!$A$3:$H$102,5,FALSE)-VLOOKUP($A127,main!$A$3:$H$102,6,FALSE)&gt;=main!$D$103+VLOOKUP(VLOOKUP(AY$1,main!$A$3:$I$102,7,FALSE),main!$K$26:$Q$29,4,FALSE)),1,0)</f>
        <v>0</v>
      </c>
      <c r="AZ127">
        <f>IF(AND(VLOOKUP(AZ$1,main!$A$3:$H$102,7,FALSE)=main!$G$104,VLOOKUP(AZ$1,main!$A$3:$H$102,5,FALSE)-VLOOKUP($A127,main!$A$3:$H$102,6,FALSE)&gt;=main!$D$103+VLOOKUP(VLOOKUP(AZ$1,main!$A$3:$I$102,7,FALSE),main!$K$26:$Q$29,4,FALSE)),1,0)</f>
        <v>0</v>
      </c>
      <c r="BA127">
        <f>IF(AND(VLOOKUP(BA$1,main!$A$3:$H$102,7,FALSE)=main!$G$104,VLOOKUP(BA$1,main!$A$3:$H$102,5,FALSE)-VLOOKUP($A127,main!$A$3:$H$102,6,FALSE)&gt;=main!$D$103+VLOOKUP(VLOOKUP(BA$1,main!$A$3:$I$102,7,FALSE),main!$K$26:$Q$29,4,FALSE)),1,0)</f>
        <v>0</v>
      </c>
      <c r="BB127">
        <f>IF(AND(VLOOKUP(BB$1,main!$A$3:$H$102,7,FALSE)=main!$G$104,VLOOKUP(BB$1,main!$A$3:$H$102,5,FALSE)-VLOOKUP($A127,main!$A$3:$H$102,6,FALSE)&gt;=main!$D$103+VLOOKUP(VLOOKUP(BB$1,main!$A$3:$I$102,7,FALSE),main!$K$26:$Q$29,4,FALSE)),1,0)</f>
        <v>0</v>
      </c>
      <c r="BC127">
        <f>IF(AND(VLOOKUP(BC$1,main!$A$3:$H$102,7,FALSE)=main!$G$104,VLOOKUP(BC$1,main!$A$3:$H$102,5,FALSE)-VLOOKUP($A127,main!$A$3:$H$102,6,FALSE)&gt;=main!$D$103+VLOOKUP(VLOOKUP(BC$1,main!$A$3:$I$102,7,FALSE),main!$K$26:$Q$29,4,FALSE)),1,0)</f>
        <v>0</v>
      </c>
      <c r="BD127">
        <f>IF(AND(VLOOKUP(BD$1,main!$A$3:$H$102,7,FALSE)=main!$G$104,VLOOKUP(BD$1,main!$A$3:$H$102,5,FALSE)-VLOOKUP($A127,main!$A$3:$H$102,6,FALSE)&gt;=main!$D$103+VLOOKUP(VLOOKUP(BD$1,main!$A$3:$I$102,7,FALSE),main!$K$26:$Q$29,4,FALSE)),1,0)</f>
        <v>0</v>
      </c>
      <c r="BE127">
        <f>IF(AND(VLOOKUP(BE$1,main!$A$3:$H$102,7,FALSE)=main!$G$104,VLOOKUP(BE$1,main!$A$3:$H$102,5,FALSE)-VLOOKUP($A127,main!$A$3:$H$102,6,FALSE)&gt;=main!$D$103+VLOOKUP(VLOOKUP(BE$1,main!$A$3:$I$102,7,FALSE),main!$K$26:$Q$29,4,FALSE)),1,0)</f>
        <v>0</v>
      </c>
      <c r="BF127">
        <f>IF(AND(VLOOKUP(BF$1,main!$A$3:$H$102,7,FALSE)=main!$G$104,VLOOKUP(BF$1,main!$A$3:$H$102,5,FALSE)-VLOOKUP($A127,main!$A$3:$H$102,6,FALSE)&gt;=main!$D$103+VLOOKUP(VLOOKUP(BF$1,main!$A$3:$I$102,7,FALSE),main!$K$26:$Q$29,4,FALSE)),1,0)</f>
        <v>0</v>
      </c>
      <c r="BG127">
        <f>IF(AND(VLOOKUP(BG$1,main!$A$3:$H$102,7,FALSE)=main!$G$104,VLOOKUP(BG$1,main!$A$3:$H$102,5,FALSE)-VLOOKUP($A127,main!$A$3:$H$102,6,FALSE)&gt;=main!$D$103+VLOOKUP(VLOOKUP(BG$1,main!$A$3:$I$102,7,FALSE),main!$K$26:$Q$29,4,FALSE)),1,0)</f>
        <v>0</v>
      </c>
      <c r="BH127">
        <f>IF(AND(VLOOKUP(BH$1,main!$A$3:$H$102,7,FALSE)=main!$G$104,VLOOKUP(BH$1,main!$A$3:$H$102,5,FALSE)-VLOOKUP($A127,main!$A$3:$H$102,6,FALSE)&gt;=main!$D$103+VLOOKUP(VLOOKUP(BH$1,main!$A$3:$I$102,7,FALSE),main!$K$26:$Q$29,4,FALSE)),1,0)</f>
        <v>0</v>
      </c>
      <c r="BI127">
        <f>IF(AND(VLOOKUP(BI$1,main!$A$3:$H$102,7,FALSE)=main!$G$104,VLOOKUP(BI$1,main!$A$3:$H$102,5,FALSE)-VLOOKUP($A127,main!$A$3:$H$102,6,FALSE)&gt;=main!$D$103+VLOOKUP(VLOOKUP(BI$1,main!$A$3:$I$102,7,FALSE),main!$K$26:$Q$29,4,FALSE)),1,0)</f>
        <v>0</v>
      </c>
      <c r="BJ127">
        <f>IF(AND(VLOOKUP(BJ$1,main!$A$3:$H$102,7,FALSE)=main!$G$104,VLOOKUP(BJ$1,main!$A$3:$H$102,5,FALSE)-VLOOKUP($A127,main!$A$3:$H$102,6,FALSE)&gt;=main!$D$103+VLOOKUP(VLOOKUP(BJ$1,main!$A$3:$I$102,7,FALSE),main!$K$26:$Q$29,4,FALSE)),1,0)</f>
        <v>0</v>
      </c>
      <c r="BK127">
        <f>IF(AND(VLOOKUP(BK$1,main!$A$3:$H$102,7,FALSE)=main!$G$104,VLOOKUP(BK$1,main!$A$3:$H$102,5,FALSE)-VLOOKUP($A127,main!$A$3:$H$102,6,FALSE)&gt;=main!$D$103+VLOOKUP(VLOOKUP(BK$1,main!$A$3:$I$102,7,FALSE),main!$K$26:$Q$29,4,FALSE)),1,0)</f>
        <v>0</v>
      </c>
      <c r="BL127">
        <f>IF(AND(VLOOKUP(BL$1,main!$A$3:$H$102,7,FALSE)=main!$G$104,VLOOKUP(BL$1,main!$A$3:$H$102,5,FALSE)-VLOOKUP($A127,main!$A$3:$H$102,6,FALSE)&gt;=main!$D$103+VLOOKUP(VLOOKUP(BL$1,main!$A$3:$I$102,7,FALSE),main!$K$26:$Q$29,4,FALSE)),1,0)</f>
        <v>0</v>
      </c>
      <c r="BM127">
        <f>IF(AND(VLOOKUP(BM$1,main!$A$3:$H$102,7,FALSE)=main!$G$104,VLOOKUP(BM$1,main!$A$3:$H$102,5,FALSE)-VLOOKUP($A127,main!$A$3:$H$102,6,FALSE)&gt;=main!$D$103+VLOOKUP(VLOOKUP(BM$1,main!$A$3:$I$102,7,FALSE),main!$K$26:$Q$29,4,FALSE)),1,0)</f>
        <v>0</v>
      </c>
      <c r="BN127">
        <f>IF(AND(VLOOKUP(BN$1,main!$A$3:$H$102,7,FALSE)=main!$G$104,VLOOKUP(BN$1,main!$A$3:$H$102,5,FALSE)-VLOOKUP($A127,main!$A$3:$H$102,6,FALSE)&gt;=main!$D$103+VLOOKUP(VLOOKUP(BN$1,main!$A$3:$I$102,7,FALSE),main!$K$26:$Q$29,4,FALSE)),1,0)</f>
        <v>0</v>
      </c>
      <c r="BO127">
        <f>IF(AND(VLOOKUP(BO$1,main!$A$3:$H$102,7,FALSE)=main!$G$104,VLOOKUP(BO$1,main!$A$3:$H$102,5,FALSE)-VLOOKUP($A127,main!$A$3:$H$102,6,FALSE)&gt;=main!$D$103+VLOOKUP(VLOOKUP(BO$1,main!$A$3:$I$102,7,FALSE),main!$K$26:$Q$29,4,FALSE)),1,0)</f>
        <v>0</v>
      </c>
      <c r="BP127">
        <f>IF(AND(VLOOKUP(BP$1,main!$A$3:$H$102,7,FALSE)=main!$G$104,VLOOKUP(BP$1,main!$A$3:$H$102,5,FALSE)-VLOOKUP($A127,main!$A$3:$H$102,6,FALSE)&gt;=main!$D$103+VLOOKUP(VLOOKUP(BP$1,main!$A$3:$I$102,7,FALSE),main!$K$26:$Q$29,4,FALSE)),1,0)</f>
        <v>0</v>
      </c>
      <c r="BQ127">
        <f>IF(AND(VLOOKUP(BQ$1,main!$A$3:$H$102,7,FALSE)=main!$G$104,VLOOKUP(BQ$1,main!$A$3:$H$102,5,FALSE)-VLOOKUP($A127,main!$A$3:$H$102,6,FALSE)&gt;=main!$D$103+VLOOKUP(VLOOKUP(BQ$1,main!$A$3:$I$102,7,FALSE),main!$K$26:$Q$29,4,FALSE)),1,0)</f>
        <v>0</v>
      </c>
      <c r="BR127">
        <f>IF(AND(VLOOKUP(BR$1,main!$A$3:$H$102,7,FALSE)=main!$G$104,VLOOKUP(BR$1,main!$A$3:$H$102,5,FALSE)-VLOOKUP($A127,main!$A$3:$H$102,6,FALSE)&gt;=main!$D$103+VLOOKUP(VLOOKUP(BR$1,main!$A$3:$I$102,7,FALSE),main!$K$26:$Q$29,4,FALSE)),1,0)</f>
        <v>0</v>
      </c>
      <c r="BS127">
        <f>IF(AND(VLOOKUP(BS$1,main!$A$3:$H$102,7,FALSE)=main!$G$104,VLOOKUP(BS$1,main!$A$3:$H$102,5,FALSE)-VLOOKUP($A127,main!$A$3:$H$102,6,FALSE)&gt;=main!$D$103+VLOOKUP(VLOOKUP(BS$1,main!$A$3:$I$102,7,FALSE),main!$K$26:$Q$29,4,FALSE)),1,0)</f>
        <v>0</v>
      </c>
      <c r="BT127">
        <f>IF(AND(VLOOKUP(BT$1,main!$A$3:$H$102,7,FALSE)=main!$G$104,VLOOKUP(BT$1,main!$A$3:$H$102,5,FALSE)-VLOOKUP($A127,main!$A$3:$H$102,6,FALSE)&gt;=main!$D$103+VLOOKUP(VLOOKUP(BT$1,main!$A$3:$I$102,7,FALSE),main!$K$26:$Q$29,4,FALSE)),1,0)</f>
        <v>0</v>
      </c>
      <c r="BU127">
        <f>IF(AND(VLOOKUP(BU$1,main!$A$3:$H$102,7,FALSE)=main!$G$104,VLOOKUP(BU$1,main!$A$3:$H$102,5,FALSE)-VLOOKUP($A127,main!$A$3:$H$102,6,FALSE)&gt;=main!$D$103+VLOOKUP(VLOOKUP(BU$1,main!$A$3:$I$102,7,FALSE),main!$K$26:$Q$29,4,FALSE)),1,0)</f>
        <v>0</v>
      </c>
      <c r="BV127">
        <f>IF(AND(VLOOKUP(BV$1,main!$A$3:$H$102,7,FALSE)=main!$G$104,VLOOKUP(BV$1,main!$A$3:$H$102,5,FALSE)-VLOOKUP($A127,main!$A$3:$H$102,6,FALSE)&gt;=main!$D$103+VLOOKUP(VLOOKUP(BV$1,main!$A$3:$I$102,7,FALSE),main!$K$26:$Q$29,4,FALSE)),1,0)</f>
        <v>0</v>
      </c>
      <c r="BW127">
        <f>IF(AND(VLOOKUP(BW$1,main!$A$3:$H$102,7,FALSE)=main!$G$104,VLOOKUP(BW$1,main!$A$3:$H$102,5,FALSE)-VLOOKUP($A127,main!$A$3:$H$102,6,FALSE)&gt;=main!$D$103+VLOOKUP(VLOOKUP(BW$1,main!$A$3:$I$102,7,FALSE),main!$K$26:$Q$29,4,FALSE)),1,0)</f>
        <v>0</v>
      </c>
      <c r="BX127">
        <f>IF(AND(VLOOKUP(BX$1,main!$A$3:$H$102,7,FALSE)=main!$G$104,VLOOKUP(BX$1,main!$A$3:$H$102,5,FALSE)-VLOOKUP($A127,main!$A$3:$H$102,6,FALSE)&gt;=main!$D$103+VLOOKUP(VLOOKUP(BX$1,main!$A$3:$I$102,7,FALSE),main!$K$26:$Q$29,4,FALSE)),1,0)</f>
        <v>0</v>
      </c>
      <c r="BY127">
        <f>IF(AND(VLOOKUP(BY$1,main!$A$3:$H$102,7,FALSE)=main!$G$104,VLOOKUP(BY$1,main!$A$3:$H$102,5,FALSE)-VLOOKUP($A127,main!$A$3:$H$102,6,FALSE)&gt;=main!$D$103+VLOOKUP(VLOOKUP(BY$1,main!$A$3:$I$102,7,FALSE),main!$K$26:$Q$29,4,FALSE)),1,0)</f>
        <v>0</v>
      </c>
      <c r="BZ127">
        <f>IF(AND(VLOOKUP(BZ$1,main!$A$3:$H$102,7,FALSE)=main!$G$104,VLOOKUP(BZ$1,main!$A$3:$H$102,5,FALSE)-VLOOKUP($A127,main!$A$3:$H$102,6,FALSE)&gt;=main!$D$103+VLOOKUP(VLOOKUP(BZ$1,main!$A$3:$I$102,7,FALSE),main!$K$26:$Q$29,4,FALSE)),1,0)</f>
        <v>0</v>
      </c>
      <c r="CA127">
        <f>IF(AND(VLOOKUP(CA$1,main!$A$3:$H$102,7,FALSE)=main!$G$104,VLOOKUP(CA$1,main!$A$3:$H$102,5,FALSE)-VLOOKUP($A127,main!$A$3:$H$102,6,FALSE)&gt;=main!$D$103+VLOOKUP(VLOOKUP(CA$1,main!$A$3:$I$102,7,FALSE),main!$K$26:$Q$29,4,FALSE)),1,0)</f>
        <v>0</v>
      </c>
      <c r="CB127">
        <f>IF(AND(VLOOKUP(CB$1,main!$A$3:$H$102,7,FALSE)=main!$G$104,VLOOKUP(CB$1,main!$A$3:$H$102,5,FALSE)-VLOOKUP($A127,main!$A$3:$H$102,6,FALSE)&gt;=main!$D$103+VLOOKUP(VLOOKUP(CB$1,main!$A$3:$I$102,7,FALSE),main!$K$26:$Q$29,4,FALSE)),1,0)</f>
        <v>0</v>
      </c>
      <c r="CC127">
        <f>IF(AND(VLOOKUP(CC$1,main!$A$3:$H$102,7,FALSE)=main!$G$104,VLOOKUP(CC$1,main!$A$3:$H$102,5,FALSE)-VLOOKUP($A127,main!$A$3:$H$102,6,FALSE)&gt;=main!$D$103+VLOOKUP(VLOOKUP(CC$1,main!$A$3:$I$102,7,FALSE),main!$K$26:$Q$29,4,FALSE)),1,0)</f>
        <v>0</v>
      </c>
      <c r="CD127">
        <f>IF(AND(VLOOKUP(CD$1,main!$A$3:$H$102,7,FALSE)=main!$G$104,VLOOKUP(CD$1,main!$A$3:$H$102,5,FALSE)-VLOOKUP($A127,main!$A$3:$H$102,6,FALSE)&gt;=main!$D$103+VLOOKUP(VLOOKUP(CD$1,main!$A$3:$I$102,7,FALSE),main!$K$26:$Q$29,4,FALSE)),1,0)</f>
        <v>0</v>
      </c>
      <c r="CE127">
        <f>IF(AND(VLOOKUP(CE$1,main!$A$3:$H$102,7,FALSE)=main!$G$104,VLOOKUP(CE$1,main!$A$3:$H$102,5,FALSE)-VLOOKUP($A127,main!$A$3:$H$102,6,FALSE)&gt;=main!$D$103+VLOOKUP(VLOOKUP(CE$1,main!$A$3:$I$102,7,FALSE),main!$K$26:$Q$29,4,FALSE)),1,0)</f>
        <v>0</v>
      </c>
      <c r="CF127">
        <f>IF(AND(VLOOKUP(CF$1,main!$A$3:$H$102,7,FALSE)=main!$G$104,VLOOKUP(CF$1,main!$A$3:$H$102,5,FALSE)-VLOOKUP($A127,main!$A$3:$H$102,6,FALSE)&gt;=main!$D$103+VLOOKUP(VLOOKUP(CF$1,main!$A$3:$I$102,7,FALSE),main!$K$26:$Q$29,4,FALSE)),1,0)</f>
        <v>0</v>
      </c>
      <c r="CG127">
        <f>IF(AND(VLOOKUP(CG$1,main!$A$3:$H$102,7,FALSE)=main!$G$104,VLOOKUP(CG$1,main!$A$3:$H$102,5,FALSE)-VLOOKUP($A127,main!$A$3:$H$102,6,FALSE)&gt;=main!$D$103+VLOOKUP(VLOOKUP(CG$1,main!$A$3:$I$102,7,FALSE),main!$K$26:$Q$29,4,FALSE)),1,0)</f>
        <v>0</v>
      </c>
      <c r="CH127">
        <f>IF(AND(VLOOKUP(CH$1,main!$A$3:$H$102,7,FALSE)=main!$G$104,VLOOKUP(CH$1,main!$A$3:$H$102,5,FALSE)-VLOOKUP($A127,main!$A$3:$H$102,6,FALSE)&gt;=main!$D$103+VLOOKUP(VLOOKUP(CH$1,main!$A$3:$I$102,7,FALSE),main!$K$26:$Q$29,4,FALSE)),1,0)</f>
        <v>0</v>
      </c>
      <c r="CI127">
        <f>IF(AND(VLOOKUP(CI$1,main!$A$3:$H$102,7,FALSE)=main!$G$104,VLOOKUP(CI$1,main!$A$3:$H$102,5,FALSE)-VLOOKUP($A127,main!$A$3:$H$102,6,FALSE)&gt;=main!$D$103+VLOOKUP(VLOOKUP(CI$1,main!$A$3:$I$102,7,FALSE),main!$K$26:$Q$29,4,FALSE)),1,0)</f>
        <v>0</v>
      </c>
      <c r="CJ127">
        <f>IF(AND(VLOOKUP(CJ$1,main!$A$3:$H$102,7,FALSE)=main!$G$104,VLOOKUP(CJ$1,main!$A$3:$H$102,5,FALSE)-VLOOKUP($A127,main!$A$3:$H$102,6,FALSE)&gt;=main!$D$103+VLOOKUP(VLOOKUP(CJ$1,main!$A$3:$I$102,7,FALSE),main!$K$26:$Q$29,4,FALSE)),1,0)</f>
        <v>0</v>
      </c>
      <c r="CK127">
        <f>IF(AND(VLOOKUP(CK$1,main!$A$3:$H$102,7,FALSE)=main!$G$104,VLOOKUP(CK$1,main!$A$3:$H$102,5,FALSE)-VLOOKUP($A127,main!$A$3:$H$102,6,FALSE)&gt;=main!$D$103+VLOOKUP(VLOOKUP(CK$1,main!$A$3:$I$102,7,FALSE),main!$K$26:$Q$29,4,FALSE)),1,0)</f>
        <v>0</v>
      </c>
      <c r="CL127">
        <f>IF(AND(VLOOKUP(CL$1,main!$A$3:$H$102,7,FALSE)=main!$G$104,VLOOKUP(CL$1,main!$A$3:$H$102,5,FALSE)-VLOOKUP($A127,main!$A$3:$H$102,6,FALSE)&gt;=main!$D$103+VLOOKUP(VLOOKUP(CL$1,main!$A$3:$I$102,7,FALSE),main!$K$26:$Q$29,4,FALSE)),1,0)</f>
        <v>0</v>
      </c>
      <c r="CM127">
        <f>IF(AND(VLOOKUP(CM$1,main!$A$3:$H$102,7,FALSE)=main!$G$104,VLOOKUP(CM$1,main!$A$3:$H$102,5,FALSE)-VLOOKUP($A127,main!$A$3:$H$102,6,FALSE)&gt;=main!$D$103+VLOOKUP(VLOOKUP(CM$1,main!$A$3:$I$102,7,FALSE),main!$K$26:$Q$29,4,FALSE)),1,0)</f>
        <v>0</v>
      </c>
      <c r="CN127">
        <f>IF(AND(VLOOKUP(CN$1,main!$A$3:$H$102,7,FALSE)=main!$G$104,VLOOKUP(CN$1,main!$A$3:$H$102,5,FALSE)-VLOOKUP($A127,main!$A$3:$H$102,6,FALSE)&gt;=main!$D$103+VLOOKUP(VLOOKUP(CN$1,main!$A$3:$I$102,7,FALSE),main!$K$26:$Q$29,4,FALSE)),1,0)</f>
        <v>0</v>
      </c>
      <c r="CO127">
        <f>IF(AND(VLOOKUP(CO$1,main!$A$3:$H$102,7,FALSE)=main!$G$104,VLOOKUP(CO$1,main!$A$3:$H$102,5,FALSE)-VLOOKUP($A127,main!$A$3:$H$102,6,FALSE)&gt;=main!$D$103+VLOOKUP(VLOOKUP(CO$1,main!$A$3:$I$102,7,FALSE),main!$K$26:$Q$29,4,FALSE)),1,0)</f>
        <v>0</v>
      </c>
      <c r="CP127">
        <f>IF(AND(VLOOKUP(CP$1,main!$A$3:$H$102,7,FALSE)=main!$G$104,VLOOKUP(CP$1,main!$A$3:$H$102,5,FALSE)-VLOOKUP($A127,main!$A$3:$H$102,6,FALSE)&gt;=main!$D$103+VLOOKUP(VLOOKUP(CP$1,main!$A$3:$I$102,7,FALSE),main!$K$26:$Q$29,4,FALSE)),1,0)</f>
        <v>0</v>
      </c>
      <c r="CQ127">
        <f>IF(AND(VLOOKUP(CQ$1,main!$A$3:$H$102,7,FALSE)=main!$G$104,VLOOKUP(CQ$1,main!$A$3:$H$102,5,FALSE)-VLOOKUP($A127,main!$A$3:$H$102,6,FALSE)&gt;=main!$D$103+VLOOKUP(VLOOKUP(CQ$1,main!$A$3:$I$102,7,FALSE),main!$K$26:$Q$29,4,FALSE)),1,0)</f>
        <v>0</v>
      </c>
      <c r="CR127">
        <f>IF(AND(VLOOKUP(CR$1,main!$A$3:$H$102,7,FALSE)=main!$G$104,VLOOKUP(CR$1,main!$A$3:$H$102,5,FALSE)-VLOOKUP($A127,main!$A$3:$H$102,6,FALSE)&gt;=main!$D$103+VLOOKUP(VLOOKUP(CR$1,main!$A$3:$I$102,7,FALSE),main!$K$26:$Q$29,4,FALSE)),1,0)</f>
        <v>0</v>
      </c>
      <c r="CS127">
        <f>IF(AND(VLOOKUP(CS$1,main!$A$3:$H$102,7,FALSE)=main!$G$104,VLOOKUP(CS$1,main!$A$3:$H$102,5,FALSE)-VLOOKUP($A127,main!$A$3:$H$102,6,FALSE)&gt;=main!$D$103+VLOOKUP(VLOOKUP(CS$1,main!$A$3:$I$102,7,FALSE),main!$K$26:$Q$29,4,FALSE)),1,0)</f>
        <v>0</v>
      </c>
      <c r="CT127">
        <f>IF(AND(VLOOKUP(CT$1,main!$A$3:$H$102,7,FALSE)=main!$G$104,VLOOKUP(CT$1,main!$A$3:$H$102,5,FALSE)-VLOOKUP($A127,main!$A$3:$H$102,6,FALSE)&gt;=main!$D$103+VLOOKUP(VLOOKUP(CT$1,main!$A$3:$I$102,7,FALSE),main!$K$26:$Q$29,4,FALSE)),1,0)</f>
        <v>0</v>
      </c>
      <c r="CU127">
        <f>IF(AND(VLOOKUP(CU$1,main!$A$3:$H$102,7,FALSE)=main!$G$104,VLOOKUP(CU$1,main!$A$3:$H$102,5,FALSE)-VLOOKUP($A127,main!$A$3:$H$102,6,FALSE)&gt;=main!$D$103+VLOOKUP(VLOOKUP(CU$1,main!$A$3:$I$102,7,FALSE),main!$K$26:$Q$29,4,FALSE)),1,0)</f>
        <v>0</v>
      </c>
      <c r="CV127">
        <f>IF(AND(VLOOKUP(CV$1,main!$A$3:$H$102,7,FALSE)=main!$G$104,VLOOKUP(CV$1,main!$A$3:$H$102,5,FALSE)-VLOOKUP($A127,main!$A$3:$H$102,6,FALSE)&gt;=main!$D$103+VLOOKUP(VLOOKUP(CV$1,main!$A$3:$I$102,7,FALSE),main!$K$26:$Q$29,4,FALSE)),1,0)</f>
        <v>0</v>
      </c>
      <c r="CW127">
        <f>IF(AND(VLOOKUP(CW$1,main!$A$3:$H$102,7,FALSE)=main!$G$104,VLOOKUP(CW$1,main!$A$3:$H$102,5,FALSE)-VLOOKUP($A127,main!$A$3:$H$102,6,FALSE)&gt;=main!$D$103+VLOOKUP(VLOOKUP(CW$1,main!$A$3:$I$102,7,FALSE),main!$K$26:$Q$29,4,FALSE)),1,0)</f>
        <v>0</v>
      </c>
      <c r="CX127">
        <f>IF(AND(VLOOKUP(CX$1,main!$A$3:$H$102,7,FALSE)=main!$G$104,VLOOKUP(CX$1,main!$A$3:$H$102,5,FALSE)-VLOOKUP($A127,main!$A$3:$H$102,6,FALSE)&gt;=main!$D$103+VLOOKUP(VLOOKUP(CX$1,main!$A$3:$I$102,7,FALSE),main!$K$26:$Q$29,4,FALSE)),1,0)</f>
        <v>0</v>
      </c>
    </row>
    <row r="128" spans="1:102" x14ac:dyDescent="0.25">
      <c r="A128" s="1">
        <v>25</v>
      </c>
      <c r="B128">
        <v>0</v>
      </c>
      <c r="C128">
        <f>IF(AND(VLOOKUP(C$1,main!$A$3:$H$102,7,FALSE)=main!$G$104,VLOOKUP(C$1,main!$A$3:$H$102,5,FALSE)-VLOOKUP($A128,main!$A$3:$H$102,6,FALSE)&gt;=main!$D$103+VLOOKUP(VLOOKUP(C$1,main!$A$3:$I$102,7,FALSE),main!$K$26:$Q$29,4,FALSE)),1,0)</f>
        <v>0</v>
      </c>
      <c r="D128">
        <f>IF(AND(VLOOKUP(D$1,main!$A$3:$H$102,7,FALSE)=main!$G$104,VLOOKUP(D$1,main!$A$3:$H$102,5,FALSE)-VLOOKUP($A128,main!$A$3:$H$102,6,FALSE)&gt;=main!$D$103+VLOOKUP(VLOOKUP(D$1,main!$A$3:$I$102,7,FALSE),main!$K$26:$Q$29,4,FALSE)),1,0)</f>
        <v>0</v>
      </c>
      <c r="E128">
        <f>IF(AND(VLOOKUP(E$1,main!$A$3:$H$102,7,FALSE)=main!$G$104,VLOOKUP(E$1,main!$A$3:$H$102,5,FALSE)-VLOOKUP($A128,main!$A$3:$H$102,6,FALSE)&gt;=main!$D$103+VLOOKUP(VLOOKUP(E$1,main!$A$3:$I$102,7,FALSE),main!$K$26:$Q$29,4,FALSE)),1,0)</f>
        <v>0</v>
      </c>
      <c r="F128">
        <f>IF(AND(VLOOKUP(F$1,main!$A$3:$H$102,7,FALSE)=main!$G$104,VLOOKUP(F$1,main!$A$3:$H$102,5,FALSE)-VLOOKUP($A128,main!$A$3:$H$102,6,FALSE)&gt;=main!$D$103+VLOOKUP(VLOOKUP(F$1,main!$A$3:$I$102,7,FALSE),main!$K$26:$Q$29,4,FALSE)),1,0)</f>
        <v>0</v>
      </c>
      <c r="G128">
        <f>IF(AND(VLOOKUP(G$1,main!$A$3:$H$102,7,FALSE)=main!$G$104,VLOOKUP(G$1,main!$A$3:$H$102,5,FALSE)-VLOOKUP($A128,main!$A$3:$H$102,6,FALSE)&gt;=main!$D$103+VLOOKUP(VLOOKUP(G$1,main!$A$3:$I$102,7,FALSE),main!$K$26:$Q$29,4,FALSE)),1,0)</f>
        <v>0</v>
      </c>
      <c r="H128">
        <f>IF(AND(VLOOKUP(H$1,main!$A$3:$H$102,7,FALSE)=main!$G$104,VLOOKUP(H$1,main!$A$3:$H$102,5,FALSE)-VLOOKUP($A128,main!$A$3:$H$102,6,FALSE)&gt;=main!$D$103+VLOOKUP(VLOOKUP(H$1,main!$A$3:$I$102,7,FALSE),main!$K$26:$Q$29,4,FALSE)),1,0)</f>
        <v>0</v>
      </c>
      <c r="I128">
        <f>IF(AND(VLOOKUP(I$1,main!$A$3:$H$102,7,FALSE)=main!$G$104,VLOOKUP(I$1,main!$A$3:$H$102,5,FALSE)-VLOOKUP($A128,main!$A$3:$H$102,6,FALSE)&gt;=main!$D$103+VLOOKUP(VLOOKUP(I$1,main!$A$3:$I$102,7,FALSE),main!$K$26:$Q$29,4,FALSE)),1,0)</f>
        <v>0</v>
      </c>
      <c r="J128">
        <f>IF(AND(VLOOKUP(J$1,main!$A$3:$H$102,7,FALSE)=main!$G$104,VLOOKUP(J$1,main!$A$3:$H$102,5,FALSE)-VLOOKUP($A128,main!$A$3:$H$102,6,FALSE)&gt;=main!$D$103+VLOOKUP(VLOOKUP(J$1,main!$A$3:$I$102,7,FALSE),main!$K$26:$Q$29,4,FALSE)),1,0)</f>
        <v>0</v>
      </c>
      <c r="K128">
        <f>IF(AND(VLOOKUP(K$1,main!$A$3:$H$102,7,FALSE)=main!$G$104,VLOOKUP(K$1,main!$A$3:$H$102,5,FALSE)-VLOOKUP($A128,main!$A$3:$H$102,6,FALSE)&gt;=main!$D$103+VLOOKUP(VLOOKUP(K$1,main!$A$3:$I$102,7,FALSE),main!$K$26:$Q$29,4,FALSE)),1,0)</f>
        <v>0</v>
      </c>
      <c r="L128">
        <f>IF(AND(VLOOKUP(L$1,main!$A$3:$H$102,7,FALSE)=main!$G$104,VLOOKUP(L$1,main!$A$3:$H$102,5,FALSE)-VLOOKUP($A128,main!$A$3:$H$102,6,FALSE)&gt;=main!$D$103+VLOOKUP(VLOOKUP(L$1,main!$A$3:$I$102,7,FALSE),main!$K$26:$Q$29,4,FALSE)),1,0)</f>
        <v>0</v>
      </c>
      <c r="M128">
        <f>IF(AND(VLOOKUP(M$1,main!$A$3:$H$102,7,FALSE)=main!$G$104,VLOOKUP(M$1,main!$A$3:$H$102,5,FALSE)-VLOOKUP($A128,main!$A$3:$H$102,6,FALSE)&gt;=main!$D$103+VLOOKUP(VLOOKUP(M$1,main!$A$3:$I$102,7,FALSE),main!$K$26:$Q$29,4,FALSE)),1,0)</f>
        <v>0</v>
      </c>
      <c r="N128">
        <f>IF(AND(VLOOKUP(N$1,main!$A$3:$H$102,7,FALSE)=main!$G$104,VLOOKUP(N$1,main!$A$3:$H$102,5,FALSE)-VLOOKUP($A128,main!$A$3:$H$102,6,FALSE)&gt;=main!$D$103+VLOOKUP(VLOOKUP(N$1,main!$A$3:$I$102,7,FALSE),main!$K$26:$Q$29,4,FALSE)),1,0)</f>
        <v>0</v>
      </c>
      <c r="O128">
        <f>IF(AND(VLOOKUP(O$1,main!$A$3:$H$102,7,FALSE)=main!$G$104,VLOOKUP(O$1,main!$A$3:$H$102,5,FALSE)-VLOOKUP($A128,main!$A$3:$H$102,6,FALSE)&gt;=main!$D$103+VLOOKUP(VLOOKUP(O$1,main!$A$3:$I$102,7,FALSE),main!$K$26:$Q$29,4,FALSE)),1,0)</f>
        <v>0</v>
      </c>
      <c r="P128">
        <f>IF(AND(VLOOKUP(P$1,main!$A$3:$H$102,7,FALSE)=main!$G$104,VLOOKUP(P$1,main!$A$3:$H$102,5,FALSE)-VLOOKUP($A128,main!$A$3:$H$102,6,FALSE)&gt;=main!$D$103+VLOOKUP(VLOOKUP(P$1,main!$A$3:$I$102,7,FALSE),main!$K$26:$Q$29,4,FALSE)),1,0)</f>
        <v>0</v>
      </c>
      <c r="Q128">
        <f>IF(AND(VLOOKUP(Q$1,main!$A$3:$H$102,7,FALSE)=main!$G$104,VLOOKUP(Q$1,main!$A$3:$H$102,5,FALSE)-VLOOKUP($A128,main!$A$3:$H$102,6,FALSE)&gt;=main!$D$103+VLOOKUP(VLOOKUP(Q$1,main!$A$3:$I$102,7,FALSE),main!$K$26:$Q$29,4,FALSE)),1,0)</f>
        <v>0</v>
      </c>
      <c r="R128">
        <f>IF(AND(VLOOKUP(R$1,main!$A$3:$H$102,7,FALSE)=main!$G$104,VLOOKUP(R$1,main!$A$3:$H$102,5,FALSE)-VLOOKUP($A128,main!$A$3:$H$102,6,FALSE)&gt;=main!$D$103+VLOOKUP(VLOOKUP(R$1,main!$A$3:$I$102,7,FALSE),main!$K$26:$Q$29,4,FALSE)),1,0)</f>
        <v>0</v>
      </c>
      <c r="S128">
        <f>IF(AND(VLOOKUP(S$1,main!$A$3:$H$102,7,FALSE)=main!$G$104,VLOOKUP(S$1,main!$A$3:$H$102,5,FALSE)-VLOOKUP($A128,main!$A$3:$H$102,6,FALSE)&gt;=main!$D$103+VLOOKUP(VLOOKUP(S$1,main!$A$3:$I$102,7,FALSE),main!$K$26:$Q$29,4,FALSE)),1,0)</f>
        <v>0</v>
      </c>
      <c r="T128">
        <f>IF(AND(VLOOKUP(T$1,main!$A$3:$H$102,7,FALSE)=main!$G$104,VLOOKUP(T$1,main!$A$3:$H$102,5,FALSE)-VLOOKUP($A128,main!$A$3:$H$102,6,FALSE)&gt;=main!$D$103+VLOOKUP(VLOOKUP(T$1,main!$A$3:$I$102,7,FALSE),main!$K$26:$Q$29,4,FALSE)),1,0)</f>
        <v>0</v>
      </c>
      <c r="U128">
        <f>IF(AND(VLOOKUP(U$1,main!$A$3:$H$102,7,FALSE)=main!$G$104,VLOOKUP(U$1,main!$A$3:$H$102,5,FALSE)-VLOOKUP($A128,main!$A$3:$H$102,6,FALSE)&gt;=main!$D$103+VLOOKUP(VLOOKUP(U$1,main!$A$3:$I$102,7,FALSE),main!$K$26:$Q$29,4,FALSE)),1,0)</f>
        <v>0</v>
      </c>
      <c r="V128">
        <f>IF(AND(VLOOKUP(V$1,main!$A$3:$H$102,7,FALSE)=main!$G$104,VLOOKUP(V$1,main!$A$3:$H$102,5,FALSE)-VLOOKUP($A128,main!$A$3:$H$102,6,FALSE)&gt;=main!$D$103+VLOOKUP(VLOOKUP(V$1,main!$A$3:$I$102,7,FALSE),main!$K$26:$Q$29,4,FALSE)),1,0)</f>
        <v>0</v>
      </c>
      <c r="W128">
        <f>IF(AND(VLOOKUP(W$1,main!$A$3:$H$102,7,FALSE)=main!$G$104,VLOOKUP(W$1,main!$A$3:$H$102,5,FALSE)-VLOOKUP($A128,main!$A$3:$H$102,6,FALSE)&gt;=main!$D$103+VLOOKUP(VLOOKUP(W$1,main!$A$3:$I$102,7,FALSE),main!$K$26:$Q$29,4,FALSE)),1,0)</f>
        <v>0</v>
      </c>
      <c r="X128">
        <f>IF(AND(VLOOKUP(X$1,main!$A$3:$H$102,7,FALSE)=main!$G$104,VLOOKUP(X$1,main!$A$3:$H$102,5,FALSE)-VLOOKUP($A128,main!$A$3:$H$102,6,FALSE)&gt;=main!$D$103+VLOOKUP(VLOOKUP(X$1,main!$A$3:$I$102,7,FALSE),main!$K$26:$Q$29,4,FALSE)),1,0)</f>
        <v>0</v>
      </c>
      <c r="Y128">
        <f>IF(AND(VLOOKUP(Y$1,main!$A$3:$H$102,7,FALSE)=main!$G$104,VLOOKUP(Y$1,main!$A$3:$H$102,5,FALSE)-VLOOKUP($A128,main!$A$3:$H$102,6,FALSE)&gt;=main!$D$103+VLOOKUP(VLOOKUP(Y$1,main!$A$3:$I$102,7,FALSE),main!$K$26:$Q$29,4,FALSE)),1,0)</f>
        <v>0</v>
      </c>
      <c r="Z128">
        <f>IF(AND(VLOOKUP(Z$1,main!$A$3:$H$102,7,FALSE)=main!$G$104,VLOOKUP(Z$1,main!$A$3:$H$102,5,FALSE)-VLOOKUP($A128,main!$A$3:$H$102,6,FALSE)&gt;=main!$D$103+VLOOKUP(VLOOKUP(Z$1,main!$A$3:$I$102,7,FALSE),main!$K$26:$Q$29,4,FALSE)),1,0)</f>
        <v>0</v>
      </c>
      <c r="AA128">
        <f>IF(AND(VLOOKUP(AA$1,main!$A$3:$H$102,7,FALSE)=main!$G$104,VLOOKUP(AA$1,main!$A$3:$H$102,5,FALSE)-VLOOKUP($A128,main!$A$3:$H$102,6,FALSE)&gt;=main!$D$103+VLOOKUP(VLOOKUP(AA$1,main!$A$3:$I$102,7,FALSE),main!$K$26:$Q$29,4,FALSE)),1,0)</f>
        <v>0</v>
      </c>
      <c r="AB128">
        <f>IF(AND(VLOOKUP(AB$1,main!$A$3:$H$102,7,FALSE)=main!$G$104,VLOOKUP(AB$1,main!$A$3:$H$102,5,FALSE)-VLOOKUP($A128,main!$A$3:$H$102,6,FALSE)&gt;=main!$D$103+VLOOKUP(VLOOKUP(AB$1,main!$A$3:$I$102,7,FALSE),main!$K$26:$Q$29,4,FALSE)),1,0)</f>
        <v>0</v>
      </c>
      <c r="AC128">
        <f>IF(AND(VLOOKUP(AC$1,main!$A$3:$H$102,7,FALSE)=main!$G$104,VLOOKUP(AC$1,main!$A$3:$H$102,5,FALSE)-VLOOKUP($A128,main!$A$3:$H$102,6,FALSE)&gt;=main!$D$103+VLOOKUP(VLOOKUP(AC$1,main!$A$3:$I$102,7,FALSE),main!$K$26:$Q$29,4,FALSE)),1,0)</f>
        <v>0</v>
      </c>
      <c r="AD128">
        <f>IF(AND(VLOOKUP(AD$1,main!$A$3:$H$102,7,FALSE)=main!$G$104,VLOOKUP(AD$1,main!$A$3:$H$102,5,FALSE)-VLOOKUP($A128,main!$A$3:$H$102,6,FALSE)&gt;=main!$D$103+VLOOKUP(VLOOKUP(AD$1,main!$A$3:$I$102,7,FALSE),main!$K$26:$Q$29,4,FALSE)),1,0)</f>
        <v>0</v>
      </c>
      <c r="AE128">
        <f>IF(AND(VLOOKUP(AE$1,main!$A$3:$H$102,7,FALSE)=main!$G$104,VLOOKUP(AE$1,main!$A$3:$H$102,5,FALSE)-VLOOKUP($A128,main!$A$3:$H$102,6,FALSE)&gt;=main!$D$103+VLOOKUP(VLOOKUP(AE$1,main!$A$3:$I$102,7,FALSE),main!$K$26:$Q$29,4,FALSE)),1,0)</f>
        <v>0</v>
      </c>
      <c r="AF128">
        <f>IF(AND(VLOOKUP(AF$1,main!$A$3:$H$102,7,FALSE)=main!$G$104,VLOOKUP(AF$1,main!$A$3:$H$102,5,FALSE)-VLOOKUP($A128,main!$A$3:$H$102,6,FALSE)&gt;=main!$D$103+VLOOKUP(VLOOKUP(AF$1,main!$A$3:$I$102,7,FALSE),main!$K$26:$Q$29,4,FALSE)),1,0)</f>
        <v>0</v>
      </c>
      <c r="AG128">
        <f>IF(AND(VLOOKUP(AG$1,main!$A$3:$H$102,7,FALSE)=main!$G$104,VLOOKUP(AG$1,main!$A$3:$H$102,5,FALSE)-VLOOKUP($A128,main!$A$3:$H$102,6,FALSE)&gt;=main!$D$103+VLOOKUP(VLOOKUP(AG$1,main!$A$3:$I$102,7,FALSE),main!$K$26:$Q$29,4,FALSE)),1,0)</f>
        <v>0</v>
      </c>
      <c r="AH128">
        <f>IF(AND(VLOOKUP(AH$1,main!$A$3:$H$102,7,FALSE)=main!$G$104,VLOOKUP(AH$1,main!$A$3:$H$102,5,FALSE)-VLOOKUP($A128,main!$A$3:$H$102,6,FALSE)&gt;=main!$D$103+VLOOKUP(VLOOKUP(AH$1,main!$A$3:$I$102,7,FALSE),main!$K$26:$Q$29,4,FALSE)),1,0)</f>
        <v>0</v>
      </c>
      <c r="AI128">
        <f>IF(AND(VLOOKUP(AI$1,main!$A$3:$H$102,7,FALSE)=main!$G$104,VLOOKUP(AI$1,main!$A$3:$H$102,5,FALSE)-VLOOKUP($A128,main!$A$3:$H$102,6,FALSE)&gt;=main!$D$103+VLOOKUP(VLOOKUP(AI$1,main!$A$3:$I$102,7,FALSE),main!$K$26:$Q$29,4,FALSE)),1,0)</f>
        <v>0</v>
      </c>
      <c r="AJ128">
        <f>IF(AND(VLOOKUP(AJ$1,main!$A$3:$H$102,7,FALSE)=main!$G$104,VLOOKUP(AJ$1,main!$A$3:$H$102,5,FALSE)-VLOOKUP($A128,main!$A$3:$H$102,6,FALSE)&gt;=main!$D$103+VLOOKUP(VLOOKUP(AJ$1,main!$A$3:$I$102,7,FALSE),main!$K$26:$Q$29,4,FALSE)),1,0)</f>
        <v>0</v>
      </c>
      <c r="AK128">
        <f>IF(AND(VLOOKUP(AK$1,main!$A$3:$H$102,7,FALSE)=main!$G$104,VLOOKUP(AK$1,main!$A$3:$H$102,5,FALSE)-VLOOKUP($A128,main!$A$3:$H$102,6,FALSE)&gt;=main!$D$103+VLOOKUP(VLOOKUP(AK$1,main!$A$3:$I$102,7,FALSE),main!$K$26:$Q$29,4,FALSE)),1,0)</f>
        <v>0</v>
      </c>
      <c r="AL128">
        <f>IF(AND(VLOOKUP(AL$1,main!$A$3:$H$102,7,FALSE)=main!$G$104,VLOOKUP(AL$1,main!$A$3:$H$102,5,FALSE)-VLOOKUP($A128,main!$A$3:$H$102,6,FALSE)&gt;=main!$D$103+VLOOKUP(VLOOKUP(AL$1,main!$A$3:$I$102,7,FALSE),main!$K$26:$Q$29,4,FALSE)),1,0)</f>
        <v>0</v>
      </c>
      <c r="AM128">
        <f>IF(AND(VLOOKUP(AM$1,main!$A$3:$H$102,7,FALSE)=main!$G$104,VLOOKUP(AM$1,main!$A$3:$H$102,5,FALSE)-VLOOKUP($A128,main!$A$3:$H$102,6,FALSE)&gt;=main!$D$103+VLOOKUP(VLOOKUP(AM$1,main!$A$3:$I$102,7,FALSE),main!$K$26:$Q$29,4,FALSE)),1,0)</f>
        <v>0</v>
      </c>
      <c r="AN128">
        <f>IF(AND(VLOOKUP(AN$1,main!$A$3:$H$102,7,FALSE)=main!$G$104,VLOOKUP(AN$1,main!$A$3:$H$102,5,FALSE)-VLOOKUP($A128,main!$A$3:$H$102,6,FALSE)&gt;=main!$D$103+VLOOKUP(VLOOKUP(AN$1,main!$A$3:$I$102,7,FALSE),main!$K$26:$Q$29,4,FALSE)),1,0)</f>
        <v>0</v>
      </c>
      <c r="AO128">
        <f>IF(AND(VLOOKUP(AO$1,main!$A$3:$H$102,7,FALSE)=main!$G$104,VLOOKUP(AO$1,main!$A$3:$H$102,5,FALSE)-VLOOKUP($A128,main!$A$3:$H$102,6,FALSE)&gt;=main!$D$103+VLOOKUP(VLOOKUP(AO$1,main!$A$3:$I$102,7,FALSE),main!$K$26:$Q$29,4,FALSE)),1,0)</f>
        <v>0</v>
      </c>
      <c r="AP128">
        <f>IF(AND(VLOOKUP(AP$1,main!$A$3:$H$102,7,FALSE)=main!$G$104,VLOOKUP(AP$1,main!$A$3:$H$102,5,FALSE)-VLOOKUP($A128,main!$A$3:$H$102,6,FALSE)&gt;=main!$D$103+VLOOKUP(VLOOKUP(AP$1,main!$A$3:$I$102,7,FALSE),main!$K$26:$Q$29,4,FALSE)),1,0)</f>
        <v>0</v>
      </c>
      <c r="AQ128">
        <f>IF(AND(VLOOKUP(AQ$1,main!$A$3:$H$102,7,FALSE)=main!$G$104,VLOOKUP(AQ$1,main!$A$3:$H$102,5,FALSE)-VLOOKUP($A128,main!$A$3:$H$102,6,FALSE)&gt;=main!$D$103+VLOOKUP(VLOOKUP(AQ$1,main!$A$3:$I$102,7,FALSE),main!$K$26:$Q$29,4,FALSE)),1,0)</f>
        <v>0</v>
      </c>
      <c r="AR128">
        <f>IF(AND(VLOOKUP(AR$1,main!$A$3:$H$102,7,FALSE)=main!$G$104,VLOOKUP(AR$1,main!$A$3:$H$102,5,FALSE)-VLOOKUP($A128,main!$A$3:$H$102,6,FALSE)&gt;=main!$D$103+VLOOKUP(VLOOKUP(AR$1,main!$A$3:$I$102,7,FALSE),main!$K$26:$Q$29,4,FALSE)),1,0)</f>
        <v>0</v>
      </c>
      <c r="AS128">
        <f>IF(AND(VLOOKUP(AS$1,main!$A$3:$H$102,7,FALSE)=main!$G$104,VLOOKUP(AS$1,main!$A$3:$H$102,5,FALSE)-VLOOKUP($A128,main!$A$3:$H$102,6,FALSE)&gt;=main!$D$103+VLOOKUP(VLOOKUP(AS$1,main!$A$3:$I$102,7,FALSE),main!$K$26:$Q$29,4,FALSE)),1,0)</f>
        <v>0</v>
      </c>
      <c r="AT128">
        <f>IF(AND(VLOOKUP(AT$1,main!$A$3:$H$102,7,FALSE)=main!$G$104,VLOOKUP(AT$1,main!$A$3:$H$102,5,FALSE)-VLOOKUP($A128,main!$A$3:$H$102,6,FALSE)&gt;=main!$D$103+VLOOKUP(VLOOKUP(AT$1,main!$A$3:$I$102,7,FALSE),main!$K$26:$Q$29,4,FALSE)),1,0)</f>
        <v>0</v>
      </c>
      <c r="AU128">
        <f>IF(AND(VLOOKUP(AU$1,main!$A$3:$H$102,7,FALSE)=main!$G$104,VLOOKUP(AU$1,main!$A$3:$H$102,5,FALSE)-VLOOKUP($A128,main!$A$3:$H$102,6,FALSE)&gt;=main!$D$103+VLOOKUP(VLOOKUP(AU$1,main!$A$3:$I$102,7,FALSE),main!$K$26:$Q$29,4,FALSE)),1,0)</f>
        <v>0</v>
      </c>
      <c r="AV128">
        <f>IF(AND(VLOOKUP(AV$1,main!$A$3:$H$102,7,FALSE)=main!$G$104,VLOOKUP(AV$1,main!$A$3:$H$102,5,FALSE)-VLOOKUP($A128,main!$A$3:$H$102,6,FALSE)&gt;=main!$D$103+VLOOKUP(VLOOKUP(AV$1,main!$A$3:$I$102,7,FALSE),main!$K$26:$Q$29,4,FALSE)),1,0)</f>
        <v>0</v>
      </c>
      <c r="AW128">
        <f>IF(AND(VLOOKUP(AW$1,main!$A$3:$H$102,7,FALSE)=main!$G$104,VLOOKUP(AW$1,main!$A$3:$H$102,5,FALSE)-VLOOKUP($A128,main!$A$3:$H$102,6,FALSE)&gt;=main!$D$103+VLOOKUP(VLOOKUP(AW$1,main!$A$3:$I$102,7,FALSE),main!$K$26:$Q$29,4,FALSE)),1,0)</f>
        <v>0</v>
      </c>
      <c r="AX128">
        <f>IF(AND(VLOOKUP(AX$1,main!$A$3:$H$102,7,FALSE)=main!$G$104,VLOOKUP(AX$1,main!$A$3:$H$102,5,FALSE)-VLOOKUP($A128,main!$A$3:$H$102,6,FALSE)&gt;=main!$D$103+VLOOKUP(VLOOKUP(AX$1,main!$A$3:$I$102,7,FALSE),main!$K$26:$Q$29,4,FALSE)),1,0)</f>
        <v>0</v>
      </c>
      <c r="AY128">
        <f>IF(AND(VLOOKUP(AY$1,main!$A$3:$H$102,7,FALSE)=main!$G$104,VLOOKUP(AY$1,main!$A$3:$H$102,5,FALSE)-VLOOKUP($A128,main!$A$3:$H$102,6,FALSE)&gt;=main!$D$103+VLOOKUP(VLOOKUP(AY$1,main!$A$3:$I$102,7,FALSE),main!$K$26:$Q$29,4,FALSE)),1,0)</f>
        <v>0</v>
      </c>
      <c r="AZ128">
        <f>IF(AND(VLOOKUP(AZ$1,main!$A$3:$H$102,7,FALSE)=main!$G$104,VLOOKUP(AZ$1,main!$A$3:$H$102,5,FALSE)-VLOOKUP($A128,main!$A$3:$H$102,6,FALSE)&gt;=main!$D$103+VLOOKUP(VLOOKUP(AZ$1,main!$A$3:$I$102,7,FALSE),main!$K$26:$Q$29,4,FALSE)),1,0)</f>
        <v>0</v>
      </c>
      <c r="BA128">
        <f>IF(AND(VLOOKUP(BA$1,main!$A$3:$H$102,7,FALSE)=main!$G$104,VLOOKUP(BA$1,main!$A$3:$H$102,5,FALSE)-VLOOKUP($A128,main!$A$3:$H$102,6,FALSE)&gt;=main!$D$103+VLOOKUP(VLOOKUP(BA$1,main!$A$3:$I$102,7,FALSE),main!$K$26:$Q$29,4,FALSE)),1,0)</f>
        <v>0</v>
      </c>
      <c r="BB128">
        <f>IF(AND(VLOOKUP(BB$1,main!$A$3:$H$102,7,FALSE)=main!$G$104,VLOOKUP(BB$1,main!$A$3:$H$102,5,FALSE)-VLOOKUP($A128,main!$A$3:$H$102,6,FALSE)&gt;=main!$D$103+VLOOKUP(VLOOKUP(BB$1,main!$A$3:$I$102,7,FALSE),main!$K$26:$Q$29,4,FALSE)),1,0)</f>
        <v>0</v>
      </c>
      <c r="BC128">
        <f>IF(AND(VLOOKUP(BC$1,main!$A$3:$H$102,7,FALSE)=main!$G$104,VLOOKUP(BC$1,main!$A$3:$H$102,5,FALSE)-VLOOKUP($A128,main!$A$3:$H$102,6,FALSE)&gt;=main!$D$103+VLOOKUP(VLOOKUP(BC$1,main!$A$3:$I$102,7,FALSE),main!$K$26:$Q$29,4,FALSE)),1,0)</f>
        <v>0</v>
      </c>
      <c r="BD128">
        <f>IF(AND(VLOOKUP(BD$1,main!$A$3:$H$102,7,FALSE)=main!$G$104,VLOOKUP(BD$1,main!$A$3:$H$102,5,FALSE)-VLOOKUP($A128,main!$A$3:$H$102,6,FALSE)&gt;=main!$D$103+VLOOKUP(VLOOKUP(BD$1,main!$A$3:$I$102,7,FALSE),main!$K$26:$Q$29,4,FALSE)),1,0)</f>
        <v>0</v>
      </c>
      <c r="BE128">
        <f>IF(AND(VLOOKUP(BE$1,main!$A$3:$H$102,7,FALSE)=main!$G$104,VLOOKUP(BE$1,main!$A$3:$H$102,5,FALSE)-VLOOKUP($A128,main!$A$3:$H$102,6,FALSE)&gt;=main!$D$103+VLOOKUP(VLOOKUP(BE$1,main!$A$3:$I$102,7,FALSE),main!$K$26:$Q$29,4,FALSE)),1,0)</f>
        <v>0</v>
      </c>
      <c r="BF128">
        <f>IF(AND(VLOOKUP(BF$1,main!$A$3:$H$102,7,FALSE)=main!$G$104,VLOOKUP(BF$1,main!$A$3:$H$102,5,FALSE)-VLOOKUP($A128,main!$A$3:$H$102,6,FALSE)&gt;=main!$D$103+VLOOKUP(VLOOKUP(BF$1,main!$A$3:$I$102,7,FALSE),main!$K$26:$Q$29,4,FALSE)),1,0)</f>
        <v>0</v>
      </c>
      <c r="BG128">
        <f>IF(AND(VLOOKUP(BG$1,main!$A$3:$H$102,7,FALSE)=main!$G$104,VLOOKUP(BG$1,main!$A$3:$H$102,5,FALSE)-VLOOKUP($A128,main!$A$3:$H$102,6,FALSE)&gt;=main!$D$103+VLOOKUP(VLOOKUP(BG$1,main!$A$3:$I$102,7,FALSE),main!$K$26:$Q$29,4,FALSE)),1,0)</f>
        <v>0</v>
      </c>
      <c r="BH128">
        <f>IF(AND(VLOOKUP(BH$1,main!$A$3:$H$102,7,FALSE)=main!$G$104,VLOOKUP(BH$1,main!$A$3:$H$102,5,FALSE)-VLOOKUP($A128,main!$A$3:$H$102,6,FALSE)&gt;=main!$D$103+VLOOKUP(VLOOKUP(BH$1,main!$A$3:$I$102,7,FALSE),main!$K$26:$Q$29,4,FALSE)),1,0)</f>
        <v>0</v>
      </c>
      <c r="BI128">
        <f>IF(AND(VLOOKUP(BI$1,main!$A$3:$H$102,7,FALSE)=main!$G$104,VLOOKUP(BI$1,main!$A$3:$H$102,5,FALSE)-VLOOKUP($A128,main!$A$3:$H$102,6,FALSE)&gt;=main!$D$103+VLOOKUP(VLOOKUP(BI$1,main!$A$3:$I$102,7,FALSE),main!$K$26:$Q$29,4,FALSE)),1,0)</f>
        <v>0</v>
      </c>
      <c r="BJ128">
        <f>IF(AND(VLOOKUP(BJ$1,main!$A$3:$H$102,7,FALSE)=main!$G$104,VLOOKUP(BJ$1,main!$A$3:$H$102,5,FALSE)-VLOOKUP($A128,main!$A$3:$H$102,6,FALSE)&gt;=main!$D$103+VLOOKUP(VLOOKUP(BJ$1,main!$A$3:$I$102,7,FALSE),main!$K$26:$Q$29,4,FALSE)),1,0)</f>
        <v>0</v>
      </c>
      <c r="BK128">
        <f>IF(AND(VLOOKUP(BK$1,main!$A$3:$H$102,7,FALSE)=main!$G$104,VLOOKUP(BK$1,main!$A$3:$H$102,5,FALSE)-VLOOKUP($A128,main!$A$3:$H$102,6,FALSE)&gt;=main!$D$103+VLOOKUP(VLOOKUP(BK$1,main!$A$3:$I$102,7,FALSE),main!$K$26:$Q$29,4,FALSE)),1,0)</f>
        <v>0</v>
      </c>
      <c r="BL128">
        <f>IF(AND(VLOOKUP(BL$1,main!$A$3:$H$102,7,FALSE)=main!$G$104,VLOOKUP(BL$1,main!$A$3:$H$102,5,FALSE)-VLOOKUP($A128,main!$A$3:$H$102,6,FALSE)&gt;=main!$D$103+VLOOKUP(VLOOKUP(BL$1,main!$A$3:$I$102,7,FALSE),main!$K$26:$Q$29,4,FALSE)),1,0)</f>
        <v>0</v>
      </c>
      <c r="BM128">
        <f>IF(AND(VLOOKUP(BM$1,main!$A$3:$H$102,7,FALSE)=main!$G$104,VLOOKUP(BM$1,main!$A$3:$H$102,5,FALSE)-VLOOKUP($A128,main!$A$3:$H$102,6,FALSE)&gt;=main!$D$103+VLOOKUP(VLOOKUP(BM$1,main!$A$3:$I$102,7,FALSE),main!$K$26:$Q$29,4,FALSE)),1,0)</f>
        <v>0</v>
      </c>
      <c r="BN128">
        <f>IF(AND(VLOOKUP(BN$1,main!$A$3:$H$102,7,FALSE)=main!$G$104,VLOOKUP(BN$1,main!$A$3:$H$102,5,FALSE)-VLOOKUP($A128,main!$A$3:$H$102,6,FALSE)&gt;=main!$D$103+VLOOKUP(VLOOKUP(BN$1,main!$A$3:$I$102,7,FALSE),main!$K$26:$Q$29,4,FALSE)),1,0)</f>
        <v>0</v>
      </c>
      <c r="BO128">
        <f>IF(AND(VLOOKUP(BO$1,main!$A$3:$H$102,7,FALSE)=main!$G$104,VLOOKUP(BO$1,main!$A$3:$H$102,5,FALSE)-VLOOKUP($A128,main!$A$3:$H$102,6,FALSE)&gt;=main!$D$103+VLOOKUP(VLOOKUP(BO$1,main!$A$3:$I$102,7,FALSE),main!$K$26:$Q$29,4,FALSE)),1,0)</f>
        <v>0</v>
      </c>
      <c r="BP128">
        <f>IF(AND(VLOOKUP(BP$1,main!$A$3:$H$102,7,FALSE)=main!$G$104,VLOOKUP(BP$1,main!$A$3:$H$102,5,FALSE)-VLOOKUP($A128,main!$A$3:$H$102,6,FALSE)&gt;=main!$D$103+VLOOKUP(VLOOKUP(BP$1,main!$A$3:$I$102,7,FALSE),main!$K$26:$Q$29,4,FALSE)),1,0)</f>
        <v>0</v>
      </c>
      <c r="BQ128">
        <f>IF(AND(VLOOKUP(BQ$1,main!$A$3:$H$102,7,FALSE)=main!$G$104,VLOOKUP(BQ$1,main!$A$3:$H$102,5,FALSE)-VLOOKUP($A128,main!$A$3:$H$102,6,FALSE)&gt;=main!$D$103+VLOOKUP(VLOOKUP(BQ$1,main!$A$3:$I$102,7,FALSE),main!$K$26:$Q$29,4,FALSE)),1,0)</f>
        <v>0</v>
      </c>
      <c r="BR128">
        <f>IF(AND(VLOOKUP(BR$1,main!$A$3:$H$102,7,FALSE)=main!$G$104,VLOOKUP(BR$1,main!$A$3:$H$102,5,FALSE)-VLOOKUP($A128,main!$A$3:$H$102,6,FALSE)&gt;=main!$D$103+VLOOKUP(VLOOKUP(BR$1,main!$A$3:$I$102,7,FALSE),main!$K$26:$Q$29,4,FALSE)),1,0)</f>
        <v>0</v>
      </c>
      <c r="BS128">
        <f>IF(AND(VLOOKUP(BS$1,main!$A$3:$H$102,7,FALSE)=main!$G$104,VLOOKUP(BS$1,main!$A$3:$H$102,5,FALSE)-VLOOKUP($A128,main!$A$3:$H$102,6,FALSE)&gt;=main!$D$103+VLOOKUP(VLOOKUP(BS$1,main!$A$3:$I$102,7,FALSE),main!$K$26:$Q$29,4,FALSE)),1,0)</f>
        <v>0</v>
      </c>
      <c r="BT128">
        <f>IF(AND(VLOOKUP(BT$1,main!$A$3:$H$102,7,FALSE)=main!$G$104,VLOOKUP(BT$1,main!$A$3:$H$102,5,FALSE)-VLOOKUP($A128,main!$A$3:$H$102,6,FALSE)&gt;=main!$D$103+VLOOKUP(VLOOKUP(BT$1,main!$A$3:$I$102,7,FALSE),main!$K$26:$Q$29,4,FALSE)),1,0)</f>
        <v>0</v>
      </c>
      <c r="BU128">
        <f>IF(AND(VLOOKUP(BU$1,main!$A$3:$H$102,7,FALSE)=main!$G$104,VLOOKUP(BU$1,main!$A$3:$H$102,5,FALSE)-VLOOKUP($A128,main!$A$3:$H$102,6,FALSE)&gt;=main!$D$103+VLOOKUP(VLOOKUP(BU$1,main!$A$3:$I$102,7,FALSE),main!$K$26:$Q$29,4,FALSE)),1,0)</f>
        <v>0</v>
      </c>
      <c r="BV128">
        <f>IF(AND(VLOOKUP(BV$1,main!$A$3:$H$102,7,FALSE)=main!$G$104,VLOOKUP(BV$1,main!$A$3:$H$102,5,FALSE)-VLOOKUP($A128,main!$A$3:$H$102,6,FALSE)&gt;=main!$D$103+VLOOKUP(VLOOKUP(BV$1,main!$A$3:$I$102,7,FALSE),main!$K$26:$Q$29,4,FALSE)),1,0)</f>
        <v>0</v>
      </c>
      <c r="BW128">
        <f>IF(AND(VLOOKUP(BW$1,main!$A$3:$H$102,7,FALSE)=main!$G$104,VLOOKUP(BW$1,main!$A$3:$H$102,5,FALSE)-VLOOKUP($A128,main!$A$3:$H$102,6,FALSE)&gt;=main!$D$103+VLOOKUP(VLOOKUP(BW$1,main!$A$3:$I$102,7,FALSE),main!$K$26:$Q$29,4,FALSE)),1,0)</f>
        <v>0</v>
      </c>
      <c r="BX128">
        <f>IF(AND(VLOOKUP(BX$1,main!$A$3:$H$102,7,FALSE)=main!$G$104,VLOOKUP(BX$1,main!$A$3:$H$102,5,FALSE)-VLOOKUP($A128,main!$A$3:$H$102,6,FALSE)&gt;=main!$D$103+VLOOKUP(VLOOKUP(BX$1,main!$A$3:$I$102,7,FALSE),main!$K$26:$Q$29,4,FALSE)),1,0)</f>
        <v>0</v>
      </c>
      <c r="BY128">
        <f>IF(AND(VLOOKUP(BY$1,main!$A$3:$H$102,7,FALSE)=main!$G$104,VLOOKUP(BY$1,main!$A$3:$H$102,5,FALSE)-VLOOKUP($A128,main!$A$3:$H$102,6,FALSE)&gt;=main!$D$103+VLOOKUP(VLOOKUP(BY$1,main!$A$3:$I$102,7,FALSE),main!$K$26:$Q$29,4,FALSE)),1,0)</f>
        <v>0</v>
      </c>
      <c r="BZ128">
        <f>IF(AND(VLOOKUP(BZ$1,main!$A$3:$H$102,7,FALSE)=main!$G$104,VLOOKUP(BZ$1,main!$A$3:$H$102,5,FALSE)-VLOOKUP($A128,main!$A$3:$H$102,6,FALSE)&gt;=main!$D$103+VLOOKUP(VLOOKUP(BZ$1,main!$A$3:$I$102,7,FALSE),main!$K$26:$Q$29,4,FALSE)),1,0)</f>
        <v>0</v>
      </c>
      <c r="CA128">
        <f>IF(AND(VLOOKUP(CA$1,main!$A$3:$H$102,7,FALSE)=main!$G$104,VLOOKUP(CA$1,main!$A$3:$H$102,5,FALSE)-VLOOKUP($A128,main!$A$3:$H$102,6,FALSE)&gt;=main!$D$103+VLOOKUP(VLOOKUP(CA$1,main!$A$3:$I$102,7,FALSE),main!$K$26:$Q$29,4,FALSE)),1,0)</f>
        <v>0</v>
      </c>
      <c r="CB128">
        <f>IF(AND(VLOOKUP(CB$1,main!$A$3:$H$102,7,FALSE)=main!$G$104,VLOOKUP(CB$1,main!$A$3:$H$102,5,FALSE)-VLOOKUP($A128,main!$A$3:$H$102,6,FALSE)&gt;=main!$D$103+VLOOKUP(VLOOKUP(CB$1,main!$A$3:$I$102,7,FALSE),main!$K$26:$Q$29,4,FALSE)),1,0)</f>
        <v>0</v>
      </c>
      <c r="CC128">
        <f>IF(AND(VLOOKUP(CC$1,main!$A$3:$H$102,7,FALSE)=main!$G$104,VLOOKUP(CC$1,main!$A$3:$H$102,5,FALSE)-VLOOKUP($A128,main!$A$3:$H$102,6,FALSE)&gt;=main!$D$103+VLOOKUP(VLOOKUP(CC$1,main!$A$3:$I$102,7,FALSE),main!$K$26:$Q$29,4,FALSE)),1,0)</f>
        <v>0</v>
      </c>
      <c r="CD128">
        <f>IF(AND(VLOOKUP(CD$1,main!$A$3:$H$102,7,FALSE)=main!$G$104,VLOOKUP(CD$1,main!$A$3:$H$102,5,FALSE)-VLOOKUP($A128,main!$A$3:$H$102,6,FALSE)&gt;=main!$D$103+VLOOKUP(VLOOKUP(CD$1,main!$A$3:$I$102,7,FALSE),main!$K$26:$Q$29,4,FALSE)),1,0)</f>
        <v>0</v>
      </c>
      <c r="CE128">
        <f>IF(AND(VLOOKUP(CE$1,main!$A$3:$H$102,7,FALSE)=main!$G$104,VLOOKUP(CE$1,main!$A$3:$H$102,5,FALSE)-VLOOKUP($A128,main!$A$3:$H$102,6,FALSE)&gt;=main!$D$103+VLOOKUP(VLOOKUP(CE$1,main!$A$3:$I$102,7,FALSE),main!$K$26:$Q$29,4,FALSE)),1,0)</f>
        <v>0</v>
      </c>
      <c r="CF128">
        <f>IF(AND(VLOOKUP(CF$1,main!$A$3:$H$102,7,FALSE)=main!$G$104,VLOOKUP(CF$1,main!$A$3:$H$102,5,FALSE)-VLOOKUP($A128,main!$A$3:$H$102,6,FALSE)&gt;=main!$D$103+VLOOKUP(VLOOKUP(CF$1,main!$A$3:$I$102,7,FALSE),main!$K$26:$Q$29,4,FALSE)),1,0)</f>
        <v>0</v>
      </c>
      <c r="CG128">
        <f>IF(AND(VLOOKUP(CG$1,main!$A$3:$H$102,7,FALSE)=main!$G$104,VLOOKUP(CG$1,main!$A$3:$H$102,5,FALSE)-VLOOKUP($A128,main!$A$3:$H$102,6,FALSE)&gt;=main!$D$103+VLOOKUP(VLOOKUP(CG$1,main!$A$3:$I$102,7,FALSE),main!$K$26:$Q$29,4,FALSE)),1,0)</f>
        <v>0</v>
      </c>
      <c r="CH128">
        <f>IF(AND(VLOOKUP(CH$1,main!$A$3:$H$102,7,FALSE)=main!$G$104,VLOOKUP(CH$1,main!$A$3:$H$102,5,FALSE)-VLOOKUP($A128,main!$A$3:$H$102,6,FALSE)&gt;=main!$D$103+VLOOKUP(VLOOKUP(CH$1,main!$A$3:$I$102,7,FALSE),main!$K$26:$Q$29,4,FALSE)),1,0)</f>
        <v>0</v>
      </c>
      <c r="CI128">
        <f>IF(AND(VLOOKUP(CI$1,main!$A$3:$H$102,7,FALSE)=main!$G$104,VLOOKUP(CI$1,main!$A$3:$H$102,5,FALSE)-VLOOKUP($A128,main!$A$3:$H$102,6,FALSE)&gt;=main!$D$103+VLOOKUP(VLOOKUP(CI$1,main!$A$3:$I$102,7,FALSE),main!$K$26:$Q$29,4,FALSE)),1,0)</f>
        <v>0</v>
      </c>
      <c r="CJ128">
        <f>IF(AND(VLOOKUP(CJ$1,main!$A$3:$H$102,7,FALSE)=main!$G$104,VLOOKUP(CJ$1,main!$A$3:$H$102,5,FALSE)-VLOOKUP($A128,main!$A$3:$H$102,6,FALSE)&gt;=main!$D$103+VLOOKUP(VLOOKUP(CJ$1,main!$A$3:$I$102,7,FALSE),main!$K$26:$Q$29,4,FALSE)),1,0)</f>
        <v>0</v>
      </c>
      <c r="CK128">
        <f>IF(AND(VLOOKUP(CK$1,main!$A$3:$H$102,7,FALSE)=main!$G$104,VLOOKUP(CK$1,main!$A$3:$H$102,5,FALSE)-VLOOKUP($A128,main!$A$3:$H$102,6,FALSE)&gt;=main!$D$103+VLOOKUP(VLOOKUP(CK$1,main!$A$3:$I$102,7,FALSE),main!$K$26:$Q$29,4,FALSE)),1,0)</f>
        <v>0</v>
      </c>
      <c r="CL128">
        <f>IF(AND(VLOOKUP(CL$1,main!$A$3:$H$102,7,FALSE)=main!$G$104,VLOOKUP(CL$1,main!$A$3:$H$102,5,FALSE)-VLOOKUP($A128,main!$A$3:$H$102,6,FALSE)&gt;=main!$D$103+VLOOKUP(VLOOKUP(CL$1,main!$A$3:$I$102,7,FALSE),main!$K$26:$Q$29,4,FALSE)),1,0)</f>
        <v>0</v>
      </c>
      <c r="CM128">
        <f>IF(AND(VLOOKUP(CM$1,main!$A$3:$H$102,7,FALSE)=main!$G$104,VLOOKUP(CM$1,main!$A$3:$H$102,5,FALSE)-VLOOKUP($A128,main!$A$3:$H$102,6,FALSE)&gt;=main!$D$103+VLOOKUP(VLOOKUP(CM$1,main!$A$3:$I$102,7,FALSE),main!$K$26:$Q$29,4,FALSE)),1,0)</f>
        <v>0</v>
      </c>
      <c r="CN128">
        <f>IF(AND(VLOOKUP(CN$1,main!$A$3:$H$102,7,FALSE)=main!$G$104,VLOOKUP(CN$1,main!$A$3:$H$102,5,FALSE)-VLOOKUP($A128,main!$A$3:$H$102,6,FALSE)&gt;=main!$D$103+VLOOKUP(VLOOKUP(CN$1,main!$A$3:$I$102,7,FALSE),main!$K$26:$Q$29,4,FALSE)),1,0)</f>
        <v>0</v>
      </c>
      <c r="CO128">
        <f>IF(AND(VLOOKUP(CO$1,main!$A$3:$H$102,7,FALSE)=main!$G$104,VLOOKUP(CO$1,main!$A$3:$H$102,5,FALSE)-VLOOKUP($A128,main!$A$3:$H$102,6,FALSE)&gt;=main!$D$103+VLOOKUP(VLOOKUP(CO$1,main!$A$3:$I$102,7,FALSE),main!$K$26:$Q$29,4,FALSE)),1,0)</f>
        <v>0</v>
      </c>
      <c r="CP128">
        <f>IF(AND(VLOOKUP(CP$1,main!$A$3:$H$102,7,FALSE)=main!$G$104,VLOOKUP(CP$1,main!$A$3:$H$102,5,FALSE)-VLOOKUP($A128,main!$A$3:$H$102,6,FALSE)&gt;=main!$D$103+VLOOKUP(VLOOKUP(CP$1,main!$A$3:$I$102,7,FALSE),main!$K$26:$Q$29,4,FALSE)),1,0)</f>
        <v>0</v>
      </c>
      <c r="CQ128">
        <f>IF(AND(VLOOKUP(CQ$1,main!$A$3:$H$102,7,FALSE)=main!$G$104,VLOOKUP(CQ$1,main!$A$3:$H$102,5,FALSE)-VLOOKUP($A128,main!$A$3:$H$102,6,FALSE)&gt;=main!$D$103+VLOOKUP(VLOOKUP(CQ$1,main!$A$3:$I$102,7,FALSE),main!$K$26:$Q$29,4,FALSE)),1,0)</f>
        <v>0</v>
      </c>
      <c r="CR128">
        <f>IF(AND(VLOOKUP(CR$1,main!$A$3:$H$102,7,FALSE)=main!$G$104,VLOOKUP(CR$1,main!$A$3:$H$102,5,FALSE)-VLOOKUP($A128,main!$A$3:$H$102,6,FALSE)&gt;=main!$D$103+VLOOKUP(VLOOKUP(CR$1,main!$A$3:$I$102,7,FALSE),main!$K$26:$Q$29,4,FALSE)),1,0)</f>
        <v>0</v>
      </c>
      <c r="CS128">
        <f>IF(AND(VLOOKUP(CS$1,main!$A$3:$H$102,7,FALSE)=main!$G$104,VLOOKUP(CS$1,main!$A$3:$H$102,5,FALSE)-VLOOKUP($A128,main!$A$3:$H$102,6,FALSE)&gt;=main!$D$103+VLOOKUP(VLOOKUP(CS$1,main!$A$3:$I$102,7,FALSE),main!$K$26:$Q$29,4,FALSE)),1,0)</f>
        <v>0</v>
      </c>
      <c r="CT128">
        <f>IF(AND(VLOOKUP(CT$1,main!$A$3:$H$102,7,FALSE)=main!$G$104,VLOOKUP(CT$1,main!$A$3:$H$102,5,FALSE)-VLOOKUP($A128,main!$A$3:$H$102,6,FALSE)&gt;=main!$D$103+VLOOKUP(VLOOKUP(CT$1,main!$A$3:$I$102,7,FALSE),main!$K$26:$Q$29,4,FALSE)),1,0)</f>
        <v>0</v>
      </c>
      <c r="CU128">
        <f>IF(AND(VLOOKUP(CU$1,main!$A$3:$H$102,7,FALSE)=main!$G$104,VLOOKUP(CU$1,main!$A$3:$H$102,5,FALSE)-VLOOKUP($A128,main!$A$3:$H$102,6,FALSE)&gt;=main!$D$103+VLOOKUP(VLOOKUP(CU$1,main!$A$3:$I$102,7,FALSE),main!$K$26:$Q$29,4,FALSE)),1,0)</f>
        <v>0</v>
      </c>
      <c r="CV128">
        <f>IF(AND(VLOOKUP(CV$1,main!$A$3:$H$102,7,FALSE)=main!$G$104,VLOOKUP(CV$1,main!$A$3:$H$102,5,FALSE)-VLOOKUP($A128,main!$A$3:$H$102,6,FALSE)&gt;=main!$D$103+VLOOKUP(VLOOKUP(CV$1,main!$A$3:$I$102,7,FALSE),main!$K$26:$Q$29,4,FALSE)),1,0)</f>
        <v>0</v>
      </c>
      <c r="CW128">
        <f>IF(AND(VLOOKUP(CW$1,main!$A$3:$H$102,7,FALSE)=main!$G$104,VLOOKUP(CW$1,main!$A$3:$H$102,5,FALSE)-VLOOKUP($A128,main!$A$3:$H$102,6,FALSE)&gt;=main!$D$103+VLOOKUP(VLOOKUP(CW$1,main!$A$3:$I$102,7,FALSE),main!$K$26:$Q$29,4,FALSE)),1,0)</f>
        <v>0</v>
      </c>
      <c r="CX128">
        <f>IF(AND(VLOOKUP(CX$1,main!$A$3:$H$102,7,FALSE)=main!$G$104,VLOOKUP(CX$1,main!$A$3:$H$102,5,FALSE)-VLOOKUP($A128,main!$A$3:$H$102,6,FALSE)&gt;=main!$D$103+VLOOKUP(VLOOKUP(CX$1,main!$A$3:$I$102,7,FALSE),main!$K$26:$Q$29,4,FALSE)),1,0)</f>
        <v>0</v>
      </c>
    </row>
    <row r="129" spans="1:109" x14ac:dyDescent="0.25">
      <c r="A129" s="1">
        <v>26</v>
      </c>
      <c r="B129">
        <v>0</v>
      </c>
      <c r="C129">
        <f>IF(AND(VLOOKUP(C$1,main!$A$3:$H$102,7,FALSE)=main!$G$104,VLOOKUP(C$1,main!$A$3:$H$102,5,FALSE)-VLOOKUP($A129,main!$A$3:$H$102,6,FALSE)&gt;=main!$D$103+VLOOKUP(VLOOKUP(C$1,main!$A$3:$I$102,7,FALSE),main!$K$26:$Q$29,4,FALSE)),1,0)</f>
        <v>0</v>
      </c>
      <c r="D129">
        <f>IF(AND(VLOOKUP(D$1,main!$A$3:$H$102,7,FALSE)=main!$G$104,VLOOKUP(D$1,main!$A$3:$H$102,5,FALSE)-VLOOKUP($A129,main!$A$3:$H$102,6,FALSE)&gt;=main!$D$103+VLOOKUP(VLOOKUP(D$1,main!$A$3:$I$102,7,FALSE),main!$K$26:$Q$29,4,FALSE)),1,0)</f>
        <v>0</v>
      </c>
      <c r="E129">
        <f>IF(AND(VLOOKUP(E$1,main!$A$3:$H$102,7,FALSE)=main!$G$104,VLOOKUP(E$1,main!$A$3:$H$102,5,FALSE)-VLOOKUP($A129,main!$A$3:$H$102,6,FALSE)&gt;=main!$D$103+VLOOKUP(VLOOKUP(E$1,main!$A$3:$I$102,7,FALSE),main!$K$26:$Q$29,4,FALSE)),1,0)</f>
        <v>1</v>
      </c>
      <c r="F129">
        <f>IF(AND(VLOOKUP(F$1,main!$A$3:$H$102,7,FALSE)=main!$G$104,VLOOKUP(F$1,main!$A$3:$H$102,5,FALSE)-VLOOKUP($A129,main!$A$3:$H$102,6,FALSE)&gt;=main!$D$103+VLOOKUP(VLOOKUP(F$1,main!$A$3:$I$102,7,FALSE),main!$K$26:$Q$29,4,FALSE)),1,0)</f>
        <v>1</v>
      </c>
      <c r="G129">
        <f>IF(AND(VLOOKUP(G$1,main!$A$3:$H$102,7,FALSE)=main!$G$104,VLOOKUP(G$1,main!$A$3:$H$102,5,FALSE)-VLOOKUP($A129,main!$A$3:$H$102,6,FALSE)&gt;=main!$D$103+VLOOKUP(VLOOKUP(G$1,main!$A$3:$I$102,7,FALSE),main!$K$26:$Q$29,4,FALSE)),1,0)</f>
        <v>1</v>
      </c>
      <c r="H129">
        <f>IF(AND(VLOOKUP(H$1,main!$A$3:$H$102,7,FALSE)=main!$G$104,VLOOKUP(H$1,main!$A$3:$H$102,5,FALSE)-VLOOKUP($A129,main!$A$3:$H$102,6,FALSE)&gt;=main!$D$103+VLOOKUP(VLOOKUP(H$1,main!$A$3:$I$102,7,FALSE),main!$K$26:$Q$29,4,FALSE)),1,0)</f>
        <v>1</v>
      </c>
      <c r="I129">
        <f>IF(AND(VLOOKUP(I$1,main!$A$3:$H$102,7,FALSE)=main!$G$104,VLOOKUP(I$1,main!$A$3:$H$102,5,FALSE)-VLOOKUP($A129,main!$A$3:$H$102,6,FALSE)&gt;=main!$D$103+VLOOKUP(VLOOKUP(I$1,main!$A$3:$I$102,7,FALSE),main!$K$26:$Q$29,4,FALSE)),1,0)</f>
        <v>1</v>
      </c>
      <c r="J129">
        <f>IF(AND(VLOOKUP(J$1,main!$A$3:$H$102,7,FALSE)=main!$G$104,VLOOKUP(J$1,main!$A$3:$H$102,5,FALSE)-VLOOKUP($A129,main!$A$3:$H$102,6,FALSE)&gt;=main!$D$103+VLOOKUP(VLOOKUP(J$1,main!$A$3:$I$102,7,FALSE),main!$K$26:$Q$29,4,FALSE)),1,0)</f>
        <v>1</v>
      </c>
      <c r="K129">
        <f>IF(AND(VLOOKUP(K$1,main!$A$3:$H$102,7,FALSE)=main!$G$104,VLOOKUP(K$1,main!$A$3:$H$102,5,FALSE)-VLOOKUP($A129,main!$A$3:$H$102,6,FALSE)&gt;=main!$D$103+VLOOKUP(VLOOKUP(K$1,main!$A$3:$I$102,7,FALSE),main!$K$26:$Q$29,4,FALSE)),1,0)</f>
        <v>1</v>
      </c>
      <c r="L129">
        <f>IF(AND(VLOOKUP(L$1,main!$A$3:$H$102,7,FALSE)=main!$G$104,VLOOKUP(L$1,main!$A$3:$H$102,5,FALSE)-VLOOKUP($A129,main!$A$3:$H$102,6,FALSE)&gt;=main!$D$103+VLOOKUP(VLOOKUP(L$1,main!$A$3:$I$102,7,FALSE),main!$K$26:$Q$29,4,FALSE)),1,0)</f>
        <v>1</v>
      </c>
      <c r="M129">
        <f>IF(AND(VLOOKUP(M$1,main!$A$3:$H$102,7,FALSE)=main!$G$104,VLOOKUP(M$1,main!$A$3:$H$102,5,FALSE)-VLOOKUP($A129,main!$A$3:$H$102,6,FALSE)&gt;=main!$D$103+VLOOKUP(VLOOKUP(M$1,main!$A$3:$I$102,7,FALSE),main!$K$26:$Q$29,4,FALSE)),1,0)</f>
        <v>0</v>
      </c>
      <c r="N129">
        <f>IF(AND(VLOOKUP(N$1,main!$A$3:$H$102,7,FALSE)=main!$G$104,VLOOKUP(N$1,main!$A$3:$H$102,5,FALSE)-VLOOKUP($A129,main!$A$3:$H$102,6,FALSE)&gt;=main!$D$103+VLOOKUP(VLOOKUP(N$1,main!$A$3:$I$102,7,FALSE),main!$K$26:$Q$29,4,FALSE)),1,0)</f>
        <v>0</v>
      </c>
      <c r="O129">
        <f>IF(AND(VLOOKUP(O$1,main!$A$3:$H$102,7,FALSE)=main!$G$104,VLOOKUP(O$1,main!$A$3:$H$102,5,FALSE)-VLOOKUP($A129,main!$A$3:$H$102,6,FALSE)&gt;=main!$D$103+VLOOKUP(VLOOKUP(O$1,main!$A$3:$I$102,7,FALSE),main!$K$26:$Q$29,4,FALSE)),1,0)</f>
        <v>0</v>
      </c>
      <c r="P129">
        <f>IF(AND(VLOOKUP(P$1,main!$A$3:$H$102,7,FALSE)=main!$G$104,VLOOKUP(P$1,main!$A$3:$H$102,5,FALSE)-VLOOKUP($A129,main!$A$3:$H$102,6,FALSE)&gt;=main!$D$103+VLOOKUP(VLOOKUP(P$1,main!$A$3:$I$102,7,FALSE),main!$K$26:$Q$29,4,FALSE)),1,0)</f>
        <v>0</v>
      </c>
      <c r="Q129">
        <f>IF(AND(VLOOKUP(Q$1,main!$A$3:$H$102,7,FALSE)=main!$G$104,VLOOKUP(Q$1,main!$A$3:$H$102,5,FALSE)-VLOOKUP($A129,main!$A$3:$H$102,6,FALSE)&gt;=main!$D$103+VLOOKUP(VLOOKUP(Q$1,main!$A$3:$I$102,7,FALSE),main!$K$26:$Q$29,4,FALSE)),1,0)</f>
        <v>1</v>
      </c>
      <c r="R129">
        <f>IF(AND(VLOOKUP(R$1,main!$A$3:$H$102,7,FALSE)=main!$G$104,VLOOKUP(R$1,main!$A$3:$H$102,5,FALSE)-VLOOKUP($A129,main!$A$3:$H$102,6,FALSE)&gt;=main!$D$103+VLOOKUP(VLOOKUP(R$1,main!$A$3:$I$102,7,FALSE),main!$K$26:$Q$29,4,FALSE)),1,0)</f>
        <v>1</v>
      </c>
      <c r="S129">
        <f>IF(AND(VLOOKUP(S$1,main!$A$3:$H$102,7,FALSE)=main!$G$104,VLOOKUP(S$1,main!$A$3:$H$102,5,FALSE)-VLOOKUP($A129,main!$A$3:$H$102,6,FALSE)&gt;=main!$D$103+VLOOKUP(VLOOKUP(S$1,main!$A$3:$I$102,7,FALSE),main!$K$26:$Q$29,4,FALSE)),1,0)</f>
        <v>1</v>
      </c>
      <c r="T129">
        <f>IF(AND(VLOOKUP(T$1,main!$A$3:$H$102,7,FALSE)=main!$G$104,VLOOKUP(T$1,main!$A$3:$H$102,5,FALSE)-VLOOKUP($A129,main!$A$3:$H$102,6,FALSE)&gt;=main!$D$103+VLOOKUP(VLOOKUP(T$1,main!$A$3:$I$102,7,FALSE),main!$K$26:$Q$29,4,FALSE)),1,0)</f>
        <v>1</v>
      </c>
      <c r="U129">
        <f>IF(AND(VLOOKUP(U$1,main!$A$3:$H$102,7,FALSE)=main!$G$104,VLOOKUP(U$1,main!$A$3:$H$102,5,FALSE)-VLOOKUP($A129,main!$A$3:$H$102,6,FALSE)&gt;=main!$D$103+VLOOKUP(VLOOKUP(U$1,main!$A$3:$I$102,7,FALSE),main!$K$26:$Q$29,4,FALSE)),1,0)</f>
        <v>1</v>
      </c>
      <c r="V129">
        <f>IF(AND(VLOOKUP(V$1,main!$A$3:$H$102,7,FALSE)=main!$G$104,VLOOKUP(V$1,main!$A$3:$H$102,5,FALSE)-VLOOKUP($A129,main!$A$3:$H$102,6,FALSE)&gt;=main!$D$103+VLOOKUP(VLOOKUP(V$1,main!$A$3:$I$102,7,FALSE),main!$K$26:$Q$29,4,FALSE)),1,0)</f>
        <v>1</v>
      </c>
      <c r="W129">
        <f>IF(AND(VLOOKUP(W$1,main!$A$3:$H$102,7,FALSE)=main!$G$104,VLOOKUP(W$1,main!$A$3:$H$102,5,FALSE)-VLOOKUP($A129,main!$A$3:$H$102,6,FALSE)&gt;=main!$D$103+VLOOKUP(VLOOKUP(W$1,main!$A$3:$I$102,7,FALSE),main!$K$26:$Q$29,4,FALSE)),1,0)</f>
        <v>0</v>
      </c>
      <c r="X129">
        <f>IF(AND(VLOOKUP(X$1,main!$A$3:$H$102,7,FALSE)=main!$G$104,VLOOKUP(X$1,main!$A$3:$H$102,5,FALSE)-VLOOKUP($A129,main!$A$3:$H$102,6,FALSE)&gt;=main!$D$103+VLOOKUP(VLOOKUP(X$1,main!$A$3:$I$102,7,FALSE),main!$K$26:$Q$29,4,FALSE)),1,0)</f>
        <v>0</v>
      </c>
      <c r="Y129">
        <f>IF(AND(VLOOKUP(Y$1,main!$A$3:$H$102,7,FALSE)=main!$G$104,VLOOKUP(Y$1,main!$A$3:$H$102,5,FALSE)-VLOOKUP($A129,main!$A$3:$H$102,6,FALSE)&gt;=main!$D$103+VLOOKUP(VLOOKUP(Y$1,main!$A$3:$I$102,7,FALSE),main!$K$26:$Q$29,4,FALSE)),1,0)</f>
        <v>1</v>
      </c>
      <c r="Z129">
        <f>IF(AND(VLOOKUP(Z$1,main!$A$3:$H$102,7,FALSE)=main!$G$104,VLOOKUP(Z$1,main!$A$3:$H$102,5,FALSE)-VLOOKUP($A129,main!$A$3:$H$102,6,FALSE)&gt;=main!$D$103+VLOOKUP(VLOOKUP(Z$1,main!$A$3:$I$102,7,FALSE),main!$K$26:$Q$29,4,FALSE)),1,0)</f>
        <v>1</v>
      </c>
      <c r="AA129">
        <f>IF(AND(VLOOKUP(AA$1,main!$A$3:$H$102,7,FALSE)=main!$G$104,VLOOKUP(AA$1,main!$A$3:$H$102,5,FALSE)-VLOOKUP($A129,main!$A$3:$H$102,6,FALSE)&gt;=main!$D$103+VLOOKUP(VLOOKUP(AA$1,main!$A$3:$I$102,7,FALSE),main!$K$26:$Q$29,4,FALSE)),1,0)</f>
        <v>1</v>
      </c>
      <c r="AB129">
        <f>IF(AND(VLOOKUP(AB$1,main!$A$3:$H$102,7,FALSE)=main!$G$104,VLOOKUP(AB$1,main!$A$3:$H$102,5,FALSE)-VLOOKUP($A129,main!$A$3:$H$102,6,FALSE)&gt;=main!$D$103+VLOOKUP(VLOOKUP(AB$1,main!$A$3:$I$102,7,FALSE),main!$K$26:$Q$29,4,FALSE)),1,0)</f>
        <v>0</v>
      </c>
      <c r="AC129">
        <f>IF(AND(VLOOKUP(AC$1,main!$A$3:$H$102,7,FALSE)=main!$G$104,VLOOKUP(AC$1,main!$A$3:$H$102,5,FALSE)-VLOOKUP($A129,main!$A$3:$H$102,6,FALSE)&gt;=main!$D$103+VLOOKUP(VLOOKUP(AC$1,main!$A$3:$I$102,7,FALSE),main!$K$26:$Q$29,4,FALSE)),1,0)</f>
        <v>0</v>
      </c>
      <c r="AD129">
        <f>IF(AND(VLOOKUP(AD$1,main!$A$3:$H$102,7,FALSE)=main!$G$104,VLOOKUP(AD$1,main!$A$3:$H$102,5,FALSE)-VLOOKUP($A129,main!$A$3:$H$102,6,FALSE)&gt;=main!$D$103+VLOOKUP(VLOOKUP(AD$1,main!$A$3:$I$102,7,FALSE),main!$K$26:$Q$29,4,FALSE)),1,0)</f>
        <v>1</v>
      </c>
      <c r="AE129">
        <f>IF(AND(VLOOKUP(AE$1,main!$A$3:$H$102,7,FALSE)=main!$G$104,VLOOKUP(AE$1,main!$A$3:$H$102,5,FALSE)-VLOOKUP($A129,main!$A$3:$H$102,6,FALSE)&gt;=main!$D$103+VLOOKUP(VLOOKUP(AE$1,main!$A$3:$I$102,7,FALSE),main!$K$26:$Q$29,4,FALSE)),1,0)</f>
        <v>1</v>
      </c>
      <c r="AF129">
        <f>IF(AND(VLOOKUP(AF$1,main!$A$3:$H$102,7,FALSE)=main!$G$104,VLOOKUP(AF$1,main!$A$3:$H$102,5,FALSE)-VLOOKUP($A129,main!$A$3:$H$102,6,FALSE)&gt;=main!$D$103+VLOOKUP(VLOOKUP(AF$1,main!$A$3:$I$102,7,FALSE),main!$K$26:$Q$29,4,FALSE)),1,0)</f>
        <v>1</v>
      </c>
      <c r="AG129">
        <f>IF(AND(VLOOKUP(AG$1,main!$A$3:$H$102,7,FALSE)=main!$G$104,VLOOKUP(AG$1,main!$A$3:$H$102,5,FALSE)-VLOOKUP($A129,main!$A$3:$H$102,6,FALSE)&gt;=main!$D$103+VLOOKUP(VLOOKUP(AG$1,main!$A$3:$I$102,7,FALSE),main!$K$26:$Q$29,4,FALSE)),1,0)</f>
        <v>0</v>
      </c>
      <c r="AH129">
        <f>IF(AND(VLOOKUP(AH$1,main!$A$3:$H$102,7,FALSE)=main!$G$104,VLOOKUP(AH$1,main!$A$3:$H$102,5,FALSE)-VLOOKUP($A129,main!$A$3:$H$102,6,FALSE)&gt;=main!$D$103+VLOOKUP(VLOOKUP(AH$1,main!$A$3:$I$102,7,FALSE),main!$K$26:$Q$29,4,FALSE)),1,0)</f>
        <v>0</v>
      </c>
      <c r="AI129">
        <f>IF(AND(VLOOKUP(AI$1,main!$A$3:$H$102,7,FALSE)=main!$G$104,VLOOKUP(AI$1,main!$A$3:$H$102,5,FALSE)-VLOOKUP($A129,main!$A$3:$H$102,6,FALSE)&gt;=main!$D$103+VLOOKUP(VLOOKUP(AI$1,main!$A$3:$I$102,7,FALSE),main!$K$26:$Q$29,4,FALSE)),1,0)</f>
        <v>0</v>
      </c>
      <c r="AJ129">
        <f>IF(AND(VLOOKUP(AJ$1,main!$A$3:$H$102,7,FALSE)=main!$G$104,VLOOKUP(AJ$1,main!$A$3:$H$102,5,FALSE)-VLOOKUP($A129,main!$A$3:$H$102,6,FALSE)&gt;=main!$D$103+VLOOKUP(VLOOKUP(AJ$1,main!$A$3:$I$102,7,FALSE),main!$K$26:$Q$29,4,FALSE)),1,0)</f>
        <v>0</v>
      </c>
      <c r="AK129">
        <f>IF(AND(VLOOKUP(AK$1,main!$A$3:$H$102,7,FALSE)=main!$G$104,VLOOKUP(AK$1,main!$A$3:$H$102,5,FALSE)-VLOOKUP($A129,main!$A$3:$H$102,6,FALSE)&gt;=main!$D$103+VLOOKUP(VLOOKUP(AK$1,main!$A$3:$I$102,7,FALSE),main!$K$26:$Q$29,4,FALSE)),1,0)</f>
        <v>0</v>
      </c>
      <c r="AL129">
        <f>IF(AND(VLOOKUP(AL$1,main!$A$3:$H$102,7,FALSE)=main!$G$104,VLOOKUP(AL$1,main!$A$3:$H$102,5,FALSE)-VLOOKUP($A129,main!$A$3:$H$102,6,FALSE)&gt;=main!$D$103+VLOOKUP(VLOOKUP(AL$1,main!$A$3:$I$102,7,FALSE),main!$K$26:$Q$29,4,FALSE)),1,0)</f>
        <v>0</v>
      </c>
      <c r="AM129">
        <f>IF(AND(VLOOKUP(AM$1,main!$A$3:$H$102,7,FALSE)=main!$G$104,VLOOKUP(AM$1,main!$A$3:$H$102,5,FALSE)-VLOOKUP($A129,main!$A$3:$H$102,6,FALSE)&gt;=main!$D$103+VLOOKUP(VLOOKUP(AM$1,main!$A$3:$I$102,7,FALSE),main!$K$26:$Q$29,4,FALSE)),1,0)</f>
        <v>0</v>
      </c>
      <c r="AN129">
        <f>IF(AND(VLOOKUP(AN$1,main!$A$3:$H$102,7,FALSE)=main!$G$104,VLOOKUP(AN$1,main!$A$3:$H$102,5,FALSE)-VLOOKUP($A129,main!$A$3:$H$102,6,FALSE)&gt;=main!$D$103+VLOOKUP(VLOOKUP(AN$1,main!$A$3:$I$102,7,FALSE),main!$K$26:$Q$29,4,FALSE)),1,0)</f>
        <v>0</v>
      </c>
      <c r="AO129">
        <f>IF(AND(VLOOKUP(AO$1,main!$A$3:$H$102,7,FALSE)=main!$G$104,VLOOKUP(AO$1,main!$A$3:$H$102,5,FALSE)-VLOOKUP($A129,main!$A$3:$H$102,6,FALSE)&gt;=main!$D$103+VLOOKUP(VLOOKUP(AO$1,main!$A$3:$I$102,7,FALSE),main!$K$26:$Q$29,4,FALSE)),1,0)</f>
        <v>0</v>
      </c>
      <c r="AP129">
        <f>IF(AND(VLOOKUP(AP$1,main!$A$3:$H$102,7,FALSE)=main!$G$104,VLOOKUP(AP$1,main!$A$3:$H$102,5,FALSE)-VLOOKUP($A129,main!$A$3:$H$102,6,FALSE)&gt;=main!$D$103+VLOOKUP(VLOOKUP(AP$1,main!$A$3:$I$102,7,FALSE),main!$K$26:$Q$29,4,FALSE)),1,0)</f>
        <v>0</v>
      </c>
      <c r="AQ129">
        <f>IF(AND(VLOOKUP(AQ$1,main!$A$3:$H$102,7,FALSE)=main!$G$104,VLOOKUP(AQ$1,main!$A$3:$H$102,5,FALSE)-VLOOKUP($A129,main!$A$3:$H$102,6,FALSE)&gt;=main!$D$103+VLOOKUP(VLOOKUP(AQ$1,main!$A$3:$I$102,7,FALSE),main!$K$26:$Q$29,4,FALSE)),1,0)</f>
        <v>0</v>
      </c>
      <c r="AR129">
        <f>IF(AND(VLOOKUP(AR$1,main!$A$3:$H$102,7,FALSE)=main!$G$104,VLOOKUP(AR$1,main!$A$3:$H$102,5,FALSE)-VLOOKUP($A129,main!$A$3:$H$102,6,FALSE)&gt;=main!$D$103+VLOOKUP(VLOOKUP(AR$1,main!$A$3:$I$102,7,FALSE),main!$K$26:$Q$29,4,FALSE)),1,0)</f>
        <v>0</v>
      </c>
      <c r="AS129">
        <f>IF(AND(VLOOKUP(AS$1,main!$A$3:$H$102,7,FALSE)=main!$G$104,VLOOKUP(AS$1,main!$A$3:$H$102,5,FALSE)-VLOOKUP($A129,main!$A$3:$H$102,6,FALSE)&gt;=main!$D$103+VLOOKUP(VLOOKUP(AS$1,main!$A$3:$I$102,7,FALSE),main!$K$26:$Q$29,4,FALSE)),1,0)</f>
        <v>0</v>
      </c>
      <c r="AT129">
        <f>IF(AND(VLOOKUP(AT$1,main!$A$3:$H$102,7,FALSE)=main!$G$104,VLOOKUP(AT$1,main!$A$3:$H$102,5,FALSE)-VLOOKUP($A129,main!$A$3:$H$102,6,FALSE)&gt;=main!$D$103+VLOOKUP(VLOOKUP(AT$1,main!$A$3:$I$102,7,FALSE),main!$K$26:$Q$29,4,FALSE)),1,0)</f>
        <v>0</v>
      </c>
      <c r="AU129">
        <f>IF(AND(VLOOKUP(AU$1,main!$A$3:$H$102,7,FALSE)=main!$G$104,VLOOKUP(AU$1,main!$A$3:$H$102,5,FALSE)-VLOOKUP($A129,main!$A$3:$H$102,6,FALSE)&gt;=main!$D$103+VLOOKUP(VLOOKUP(AU$1,main!$A$3:$I$102,7,FALSE),main!$K$26:$Q$29,4,FALSE)),1,0)</f>
        <v>0</v>
      </c>
      <c r="AV129">
        <f>IF(AND(VLOOKUP(AV$1,main!$A$3:$H$102,7,FALSE)=main!$G$104,VLOOKUP(AV$1,main!$A$3:$H$102,5,FALSE)-VLOOKUP($A129,main!$A$3:$H$102,6,FALSE)&gt;=main!$D$103+VLOOKUP(VLOOKUP(AV$1,main!$A$3:$I$102,7,FALSE),main!$K$26:$Q$29,4,FALSE)),1,0)</f>
        <v>0</v>
      </c>
      <c r="AW129">
        <f>IF(AND(VLOOKUP(AW$1,main!$A$3:$H$102,7,FALSE)=main!$G$104,VLOOKUP(AW$1,main!$A$3:$H$102,5,FALSE)-VLOOKUP($A129,main!$A$3:$H$102,6,FALSE)&gt;=main!$D$103+VLOOKUP(VLOOKUP(AW$1,main!$A$3:$I$102,7,FALSE),main!$K$26:$Q$29,4,FALSE)),1,0)</f>
        <v>0</v>
      </c>
      <c r="AX129">
        <f>IF(AND(VLOOKUP(AX$1,main!$A$3:$H$102,7,FALSE)=main!$G$104,VLOOKUP(AX$1,main!$A$3:$H$102,5,FALSE)-VLOOKUP($A129,main!$A$3:$H$102,6,FALSE)&gt;=main!$D$103+VLOOKUP(VLOOKUP(AX$1,main!$A$3:$I$102,7,FALSE),main!$K$26:$Q$29,4,FALSE)),1,0)</f>
        <v>0</v>
      </c>
      <c r="AY129">
        <f>IF(AND(VLOOKUP(AY$1,main!$A$3:$H$102,7,FALSE)=main!$G$104,VLOOKUP(AY$1,main!$A$3:$H$102,5,FALSE)-VLOOKUP($A129,main!$A$3:$H$102,6,FALSE)&gt;=main!$D$103+VLOOKUP(VLOOKUP(AY$1,main!$A$3:$I$102,7,FALSE),main!$K$26:$Q$29,4,FALSE)),1,0)</f>
        <v>0</v>
      </c>
      <c r="AZ129">
        <f>IF(AND(VLOOKUP(AZ$1,main!$A$3:$H$102,7,FALSE)=main!$G$104,VLOOKUP(AZ$1,main!$A$3:$H$102,5,FALSE)-VLOOKUP($A129,main!$A$3:$H$102,6,FALSE)&gt;=main!$D$103+VLOOKUP(VLOOKUP(AZ$1,main!$A$3:$I$102,7,FALSE),main!$K$26:$Q$29,4,FALSE)),1,0)</f>
        <v>0</v>
      </c>
      <c r="BA129">
        <f>IF(AND(VLOOKUP(BA$1,main!$A$3:$H$102,7,FALSE)=main!$G$104,VLOOKUP(BA$1,main!$A$3:$H$102,5,FALSE)-VLOOKUP($A129,main!$A$3:$H$102,6,FALSE)&gt;=main!$D$103+VLOOKUP(VLOOKUP(BA$1,main!$A$3:$I$102,7,FALSE),main!$K$26:$Q$29,4,FALSE)),1,0)</f>
        <v>0</v>
      </c>
      <c r="BB129">
        <f>IF(AND(VLOOKUP(BB$1,main!$A$3:$H$102,7,FALSE)=main!$G$104,VLOOKUP(BB$1,main!$A$3:$H$102,5,FALSE)-VLOOKUP($A129,main!$A$3:$H$102,6,FALSE)&gt;=main!$D$103+VLOOKUP(VLOOKUP(BB$1,main!$A$3:$I$102,7,FALSE),main!$K$26:$Q$29,4,FALSE)),1,0)</f>
        <v>0</v>
      </c>
      <c r="BC129">
        <f>IF(AND(VLOOKUP(BC$1,main!$A$3:$H$102,7,FALSE)=main!$G$104,VLOOKUP(BC$1,main!$A$3:$H$102,5,FALSE)-VLOOKUP($A129,main!$A$3:$H$102,6,FALSE)&gt;=main!$D$103+VLOOKUP(VLOOKUP(BC$1,main!$A$3:$I$102,7,FALSE),main!$K$26:$Q$29,4,FALSE)),1,0)</f>
        <v>0</v>
      </c>
      <c r="BD129">
        <f>IF(AND(VLOOKUP(BD$1,main!$A$3:$H$102,7,FALSE)=main!$G$104,VLOOKUP(BD$1,main!$A$3:$H$102,5,FALSE)-VLOOKUP($A129,main!$A$3:$H$102,6,FALSE)&gt;=main!$D$103+VLOOKUP(VLOOKUP(BD$1,main!$A$3:$I$102,7,FALSE),main!$K$26:$Q$29,4,FALSE)),1,0)</f>
        <v>0</v>
      </c>
      <c r="BE129">
        <f>IF(AND(VLOOKUP(BE$1,main!$A$3:$H$102,7,FALSE)=main!$G$104,VLOOKUP(BE$1,main!$A$3:$H$102,5,FALSE)-VLOOKUP($A129,main!$A$3:$H$102,6,FALSE)&gt;=main!$D$103+VLOOKUP(VLOOKUP(BE$1,main!$A$3:$I$102,7,FALSE),main!$K$26:$Q$29,4,FALSE)),1,0)</f>
        <v>0</v>
      </c>
      <c r="BF129">
        <f>IF(AND(VLOOKUP(BF$1,main!$A$3:$H$102,7,FALSE)=main!$G$104,VLOOKUP(BF$1,main!$A$3:$H$102,5,FALSE)-VLOOKUP($A129,main!$A$3:$H$102,6,FALSE)&gt;=main!$D$103+VLOOKUP(VLOOKUP(BF$1,main!$A$3:$I$102,7,FALSE),main!$K$26:$Q$29,4,FALSE)),1,0)</f>
        <v>0</v>
      </c>
      <c r="BG129">
        <f>IF(AND(VLOOKUP(BG$1,main!$A$3:$H$102,7,FALSE)=main!$G$104,VLOOKUP(BG$1,main!$A$3:$H$102,5,FALSE)-VLOOKUP($A129,main!$A$3:$H$102,6,FALSE)&gt;=main!$D$103+VLOOKUP(VLOOKUP(BG$1,main!$A$3:$I$102,7,FALSE),main!$K$26:$Q$29,4,FALSE)),1,0)</f>
        <v>0</v>
      </c>
      <c r="BH129">
        <f>IF(AND(VLOOKUP(BH$1,main!$A$3:$H$102,7,FALSE)=main!$G$104,VLOOKUP(BH$1,main!$A$3:$H$102,5,FALSE)-VLOOKUP($A129,main!$A$3:$H$102,6,FALSE)&gt;=main!$D$103+VLOOKUP(VLOOKUP(BH$1,main!$A$3:$I$102,7,FALSE),main!$K$26:$Q$29,4,FALSE)),1,0)</f>
        <v>0</v>
      </c>
      <c r="BI129">
        <f>IF(AND(VLOOKUP(BI$1,main!$A$3:$H$102,7,FALSE)=main!$G$104,VLOOKUP(BI$1,main!$A$3:$H$102,5,FALSE)-VLOOKUP($A129,main!$A$3:$H$102,6,FALSE)&gt;=main!$D$103+VLOOKUP(VLOOKUP(BI$1,main!$A$3:$I$102,7,FALSE),main!$K$26:$Q$29,4,FALSE)),1,0)</f>
        <v>0</v>
      </c>
      <c r="BJ129">
        <f>IF(AND(VLOOKUP(BJ$1,main!$A$3:$H$102,7,FALSE)=main!$G$104,VLOOKUP(BJ$1,main!$A$3:$H$102,5,FALSE)-VLOOKUP($A129,main!$A$3:$H$102,6,FALSE)&gt;=main!$D$103+VLOOKUP(VLOOKUP(BJ$1,main!$A$3:$I$102,7,FALSE),main!$K$26:$Q$29,4,FALSE)),1,0)</f>
        <v>0</v>
      </c>
      <c r="BK129">
        <f>IF(AND(VLOOKUP(BK$1,main!$A$3:$H$102,7,FALSE)=main!$G$104,VLOOKUP(BK$1,main!$A$3:$H$102,5,FALSE)-VLOOKUP($A129,main!$A$3:$H$102,6,FALSE)&gt;=main!$D$103+VLOOKUP(VLOOKUP(BK$1,main!$A$3:$I$102,7,FALSE),main!$K$26:$Q$29,4,FALSE)),1,0)</f>
        <v>0</v>
      </c>
      <c r="BL129">
        <f>IF(AND(VLOOKUP(BL$1,main!$A$3:$H$102,7,FALSE)=main!$G$104,VLOOKUP(BL$1,main!$A$3:$H$102,5,FALSE)-VLOOKUP($A129,main!$A$3:$H$102,6,FALSE)&gt;=main!$D$103+VLOOKUP(VLOOKUP(BL$1,main!$A$3:$I$102,7,FALSE),main!$K$26:$Q$29,4,FALSE)),1,0)</f>
        <v>0</v>
      </c>
      <c r="BM129">
        <f>IF(AND(VLOOKUP(BM$1,main!$A$3:$H$102,7,FALSE)=main!$G$104,VLOOKUP(BM$1,main!$A$3:$H$102,5,FALSE)-VLOOKUP($A129,main!$A$3:$H$102,6,FALSE)&gt;=main!$D$103+VLOOKUP(VLOOKUP(BM$1,main!$A$3:$I$102,7,FALSE),main!$K$26:$Q$29,4,FALSE)),1,0)</f>
        <v>0</v>
      </c>
      <c r="BN129">
        <f>IF(AND(VLOOKUP(BN$1,main!$A$3:$H$102,7,FALSE)=main!$G$104,VLOOKUP(BN$1,main!$A$3:$H$102,5,FALSE)-VLOOKUP($A129,main!$A$3:$H$102,6,FALSE)&gt;=main!$D$103+VLOOKUP(VLOOKUP(BN$1,main!$A$3:$I$102,7,FALSE),main!$K$26:$Q$29,4,FALSE)),1,0)</f>
        <v>0</v>
      </c>
      <c r="BO129">
        <f>IF(AND(VLOOKUP(BO$1,main!$A$3:$H$102,7,FALSE)=main!$G$104,VLOOKUP(BO$1,main!$A$3:$H$102,5,FALSE)-VLOOKUP($A129,main!$A$3:$H$102,6,FALSE)&gt;=main!$D$103+VLOOKUP(VLOOKUP(BO$1,main!$A$3:$I$102,7,FALSE),main!$K$26:$Q$29,4,FALSE)),1,0)</f>
        <v>0</v>
      </c>
      <c r="BP129">
        <f>IF(AND(VLOOKUP(BP$1,main!$A$3:$H$102,7,FALSE)=main!$G$104,VLOOKUP(BP$1,main!$A$3:$H$102,5,FALSE)-VLOOKUP($A129,main!$A$3:$H$102,6,FALSE)&gt;=main!$D$103+VLOOKUP(VLOOKUP(BP$1,main!$A$3:$I$102,7,FALSE),main!$K$26:$Q$29,4,FALSE)),1,0)</f>
        <v>0</v>
      </c>
      <c r="BQ129">
        <f>IF(AND(VLOOKUP(BQ$1,main!$A$3:$H$102,7,FALSE)=main!$G$104,VLOOKUP(BQ$1,main!$A$3:$H$102,5,FALSE)-VLOOKUP($A129,main!$A$3:$H$102,6,FALSE)&gt;=main!$D$103+VLOOKUP(VLOOKUP(BQ$1,main!$A$3:$I$102,7,FALSE),main!$K$26:$Q$29,4,FALSE)),1,0)</f>
        <v>0</v>
      </c>
      <c r="BR129">
        <f>IF(AND(VLOOKUP(BR$1,main!$A$3:$H$102,7,FALSE)=main!$G$104,VLOOKUP(BR$1,main!$A$3:$H$102,5,FALSE)-VLOOKUP($A129,main!$A$3:$H$102,6,FALSE)&gt;=main!$D$103+VLOOKUP(VLOOKUP(BR$1,main!$A$3:$I$102,7,FALSE),main!$K$26:$Q$29,4,FALSE)),1,0)</f>
        <v>0</v>
      </c>
      <c r="BS129">
        <f>IF(AND(VLOOKUP(BS$1,main!$A$3:$H$102,7,FALSE)=main!$G$104,VLOOKUP(BS$1,main!$A$3:$H$102,5,FALSE)-VLOOKUP($A129,main!$A$3:$H$102,6,FALSE)&gt;=main!$D$103+VLOOKUP(VLOOKUP(BS$1,main!$A$3:$I$102,7,FALSE),main!$K$26:$Q$29,4,FALSE)),1,0)</f>
        <v>0</v>
      </c>
      <c r="BT129">
        <f>IF(AND(VLOOKUP(BT$1,main!$A$3:$H$102,7,FALSE)=main!$G$104,VLOOKUP(BT$1,main!$A$3:$H$102,5,FALSE)-VLOOKUP($A129,main!$A$3:$H$102,6,FALSE)&gt;=main!$D$103+VLOOKUP(VLOOKUP(BT$1,main!$A$3:$I$102,7,FALSE),main!$K$26:$Q$29,4,FALSE)),1,0)</f>
        <v>0</v>
      </c>
      <c r="BU129">
        <f>IF(AND(VLOOKUP(BU$1,main!$A$3:$H$102,7,FALSE)=main!$G$104,VLOOKUP(BU$1,main!$A$3:$H$102,5,FALSE)-VLOOKUP($A129,main!$A$3:$H$102,6,FALSE)&gt;=main!$D$103+VLOOKUP(VLOOKUP(BU$1,main!$A$3:$I$102,7,FALSE),main!$K$26:$Q$29,4,FALSE)),1,0)</f>
        <v>0</v>
      </c>
      <c r="BV129">
        <f>IF(AND(VLOOKUP(BV$1,main!$A$3:$H$102,7,FALSE)=main!$G$104,VLOOKUP(BV$1,main!$A$3:$H$102,5,FALSE)-VLOOKUP($A129,main!$A$3:$H$102,6,FALSE)&gt;=main!$D$103+VLOOKUP(VLOOKUP(BV$1,main!$A$3:$I$102,7,FALSE),main!$K$26:$Q$29,4,FALSE)),1,0)</f>
        <v>0</v>
      </c>
      <c r="BW129">
        <f>IF(AND(VLOOKUP(BW$1,main!$A$3:$H$102,7,FALSE)=main!$G$104,VLOOKUP(BW$1,main!$A$3:$H$102,5,FALSE)-VLOOKUP($A129,main!$A$3:$H$102,6,FALSE)&gt;=main!$D$103+VLOOKUP(VLOOKUP(BW$1,main!$A$3:$I$102,7,FALSE),main!$K$26:$Q$29,4,FALSE)),1,0)</f>
        <v>0</v>
      </c>
      <c r="BX129">
        <f>IF(AND(VLOOKUP(BX$1,main!$A$3:$H$102,7,FALSE)=main!$G$104,VLOOKUP(BX$1,main!$A$3:$H$102,5,FALSE)-VLOOKUP($A129,main!$A$3:$H$102,6,FALSE)&gt;=main!$D$103+VLOOKUP(VLOOKUP(BX$1,main!$A$3:$I$102,7,FALSE),main!$K$26:$Q$29,4,FALSE)),1,0)</f>
        <v>0</v>
      </c>
      <c r="BY129">
        <f>IF(AND(VLOOKUP(BY$1,main!$A$3:$H$102,7,FALSE)=main!$G$104,VLOOKUP(BY$1,main!$A$3:$H$102,5,FALSE)-VLOOKUP($A129,main!$A$3:$H$102,6,FALSE)&gt;=main!$D$103+VLOOKUP(VLOOKUP(BY$1,main!$A$3:$I$102,7,FALSE),main!$K$26:$Q$29,4,FALSE)),1,0)</f>
        <v>0</v>
      </c>
      <c r="BZ129">
        <f>IF(AND(VLOOKUP(BZ$1,main!$A$3:$H$102,7,FALSE)=main!$G$104,VLOOKUP(BZ$1,main!$A$3:$H$102,5,FALSE)-VLOOKUP($A129,main!$A$3:$H$102,6,FALSE)&gt;=main!$D$103+VLOOKUP(VLOOKUP(BZ$1,main!$A$3:$I$102,7,FALSE),main!$K$26:$Q$29,4,FALSE)),1,0)</f>
        <v>0</v>
      </c>
      <c r="CA129">
        <f>IF(AND(VLOOKUP(CA$1,main!$A$3:$H$102,7,FALSE)=main!$G$104,VLOOKUP(CA$1,main!$A$3:$H$102,5,FALSE)-VLOOKUP($A129,main!$A$3:$H$102,6,FALSE)&gt;=main!$D$103+VLOOKUP(VLOOKUP(CA$1,main!$A$3:$I$102,7,FALSE),main!$K$26:$Q$29,4,FALSE)),1,0)</f>
        <v>0</v>
      </c>
      <c r="CB129">
        <f>IF(AND(VLOOKUP(CB$1,main!$A$3:$H$102,7,FALSE)=main!$G$104,VLOOKUP(CB$1,main!$A$3:$H$102,5,FALSE)-VLOOKUP($A129,main!$A$3:$H$102,6,FALSE)&gt;=main!$D$103+VLOOKUP(VLOOKUP(CB$1,main!$A$3:$I$102,7,FALSE),main!$K$26:$Q$29,4,FALSE)),1,0)</f>
        <v>0</v>
      </c>
      <c r="CC129">
        <f>IF(AND(VLOOKUP(CC$1,main!$A$3:$H$102,7,FALSE)=main!$G$104,VLOOKUP(CC$1,main!$A$3:$H$102,5,FALSE)-VLOOKUP($A129,main!$A$3:$H$102,6,FALSE)&gt;=main!$D$103+VLOOKUP(VLOOKUP(CC$1,main!$A$3:$I$102,7,FALSE),main!$K$26:$Q$29,4,FALSE)),1,0)</f>
        <v>0</v>
      </c>
      <c r="CD129">
        <f>IF(AND(VLOOKUP(CD$1,main!$A$3:$H$102,7,FALSE)=main!$G$104,VLOOKUP(CD$1,main!$A$3:$H$102,5,FALSE)-VLOOKUP($A129,main!$A$3:$H$102,6,FALSE)&gt;=main!$D$103+VLOOKUP(VLOOKUP(CD$1,main!$A$3:$I$102,7,FALSE),main!$K$26:$Q$29,4,FALSE)),1,0)</f>
        <v>0</v>
      </c>
      <c r="CE129">
        <f>IF(AND(VLOOKUP(CE$1,main!$A$3:$H$102,7,FALSE)=main!$G$104,VLOOKUP(CE$1,main!$A$3:$H$102,5,FALSE)-VLOOKUP($A129,main!$A$3:$H$102,6,FALSE)&gt;=main!$D$103+VLOOKUP(VLOOKUP(CE$1,main!$A$3:$I$102,7,FALSE),main!$K$26:$Q$29,4,FALSE)),1,0)</f>
        <v>0</v>
      </c>
      <c r="CF129">
        <f>IF(AND(VLOOKUP(CF$1,main!$A$3:$H$102,7,FALSE)=main!$G$104,VLOOKUP(CF$1,main!$A$3:$H$102,5,FALSE)-VLOOKUP($A129,main!$A$3:$H$102,6,FALSE)&gt;=main!$D$103+VLOOKUP(VLOOKUP(CF$1,main!$A$3:$I$102,7,FALSE),main!$K$26:$Q$29,4,FALSE)),1,0)</f>
        <v>0</v>
      </c>
      <c r="CG129">
        <f>IF(AND(VLOOKUP(CG$1,main!$A$3:$H$102,7,FALSE)=main!$G$104,VLOOKUP(CG$1,main!$A$3:$H$102,5,FALSE)-VLOOKUP($A129,main!$A$3:$H$102,6,FALSE)&gt;=main!$D$103+VLOOKUP(VLOOKUP(CG$1,main!$A$3:$I$102,7,FALSE),main!$K$26:$Q$29,4,FALSE)),1,0)</f>
        <v>0</v>
      </c>
      <c r="CH129">
        <f>IF(AND(VLOOKUP(CH$1,main!$A$3:$H$102,7,FALSE)=main!$G$104,VLOOKUP(CH$1,main!$A$3:$H$102,5,FALSE)-VLOOKUP($A129,main!$A$3:$H$102,6,FALSE)&gt;=main!$D$103+VLOOKUP(VLOOKUP(CH$1,main!$A$3:$I$102,7,FALSE),main!$K$26:$Q$29,4,FALSE)),1,0)</f>
        <v>0</v>
      </c>
      <c r="CI129">
        <f>IF(AND(VLOOKUP(CI$1,main!$A$3:$H$102,7,FALSE)=main!$G$104,VLOOKUP(CI$1,main!$A$3:$H$102,5,FALSE)-VLOOKUP($A129,main!$A$3:$H$102,6,FALSE)&gt;=main!$D$103+VLOOKUP(VLOOKUP(CI$1,main!$A$3:$I$102,7,FALSE),main!$K$26:$Q$29,4,FALSE)),1,0)</f>
        <v>0</v>
      </c>
      <c r="CJ129">
        <f>IF(AND(VLOOKUP(CJ$1,main!$A$3:$H$102,7,FALSE)=main!$G$104,VLOOKUP(CJ$1,main!$A$3:$H$102,5,FALSE)-VLOOKUP($A129,main!$A$3:$H$102,6,FALSE)&gt;=main!$D$103+VLOOKUP(VLOOKUP(CJ$1,main!$A$3:$I$102,7,FALSE),main!$K$26:$Q$29,4,FALSE)),1,0)</f>
        <v>0</v>
      </c>
      <c r="CK129">
        <f>IF(AND(VLOOKUP(CK$1,main!$A$3:$H$102,7,FALSE)=main!$G$104,VLOOKUP(CK$1,main!$A$3:$H$102,5,FALSE)-VLOOKUP($A129,main!$A$3:$H$102,6,FALSE)&gt;=main!$D$103+VLOOKUP(VLOOKUP(CK$1,main!$A$3:$I$102,7,FALSE),main!$K$26:$Q$29,4,FALSE)),1,0)</f>
        <v>0</v>
      </c>
      <c r="CL129">
        <f>IF(AND(VLOOKUP(CL$1,main!$A$3:$H$102,7,FALSE)=main!$G$104,VLOOKUP(CL$1,main!$A$3:$H$102,5,FALSE)-VLOOKUP($A129,main!$A$3:$H$102,6,FALSE)&gt;=main!$D$103+VLOOKUP(VLOOKUP(CL$1,main!$A$3:$I$102,7,FALSE),main!$K$26:$Q$29,4,FALSE)),1,0)</f>
        <v>0</v>
      </c>
      <c r="CM129">
        <f>IF(AND(VLOOKUP(CM$1,main!$A$3:$H$102,7,FALSE)=main!$G$104,VLOOKUP(CM$1,main!$A$3:$H$102,5,FALSE)-VLOOKUP($A129,main!$A$3:$H$102,6,FALSE)&gt;=main!$D$103+VLOOKUP(VLOOKUP(CM$1,main!$A$3:$I$102,7,FALSE),main!$K$26:$Q$29,4,FALSE)),1,0)</f>
        <v>0</v>
      </c>
      <c r="CN129">
        <f>IF(AND(VLOOKUP(CN$1,main!$A$3:$H$102,7,FALSE)=main!$G$104,VLOOKUP(CN$1,main!$A$3:$H$102,5,FALSE)-VLOOKUP($A129,main!$A$3:$H$102,6,FALSE)&gt;=main!$D$103+VLOOKUP(VLOOKUP(CN$1,main!$A$3:$I$102,7,FALSE),main!$K$26:$Q$29,4,FALSE)),1,0)</f>
        <v>0</v>
      </c>
      <c r="CO129">
        <f>IF(AND(VLOOKUP(CO$1,main!$A$3:$H$102,7,FALSE)=main!$G$104,VLOOKUP(CO$1,main!$A$3:$H$102,5,FALSE)-VLOOKUP($A129,main!$A$3:$H$102,6,FALSE)&gt;=main!$D$103+VLOOKUP(VLOOKUP(CO$1,main!$A$3:$I$102,7,FALSE),main!$K$26:$Q$29,4,FALSE)),1,0)</f>
        <v>0</v>
      </c>
      <c r="CP129">
        <f>IF(AND(VLOOKUP(CP$1,main!$A$3:$H$102,7,FALSE)=main!$G$104,VLOOKUP(CP$1,main!$A$3:$H$102,5,FALSE)-VLOOKUP($A129,main!$A$3:$H$102,6,FALSE)&gt;=main!$D$103+VLOOKUP(VLOOKUP(CP$1,main!$A$3:$I$102,7,FALSE),main!$K$26:$Q$29,4,FALSE)),1,0)</f>
        <v>0</v>
      </c>
      <c r="CQ129">
        <f>IF(AND(VLOOKUP(CQ$1,main!$A$3:$H$102,7,FALSE)=main!$G$104,VLOOKUP(CQ$1,main!$A$3:$H$102,5,FALSE)-VLOOKUP($A129,main!$A$3:$H$102,6,FALSE)&gt;=main!$D$103+VLOOKUP(VLOOKUP(CQ$1,main!$A$3:$I$102,7,FALSE),main!$K$26:$Q$29,4,FALSE)),1,0)</f>
        <v>0</v>
      </c>
      <c r="CR129">
        <f>IF(AND(VLOOKUP(CR$1,main!$A$3:$H$102,7,FALSE)=main!$G$104,VLOOKUP(CR$1,main!$A$3:$H$102,5,FALSE)-VLOOKUP($A129,main!$A$3:$H$102,6,FALSE)&gt;=main!$D$103+VLOOKUP(VLOOKUP(CR$1,main!$A$3:$I$102,7,FALSE),main!$K$26:$Q$29,4,FALSE)),1,0)</f>
        <v>0</v>
      </c>
      <c r="CS129">
        <f>IF(AND(VLOOKUP(CS$1,main!$A$3:$H$102,7,FALSE)=main!$G$104,VLOOKUP(CS$1,main!$A$3:$H$102,5,FALSE)-VLOOKUP($A129,main!$A$3:$H$102,6,FALSE)&gt;=main!$D$103+VLOOKUP(VLOOKUP(CS$1,main!$A$3:$I$102,7,FALSE),main!$K$26:$Q$29,4,FALSE)),1,0)</f>
        <v>0</v>
      </c>
      <c r="CT129">
        <f>IF(AND(VLOOKUP(CT$1,main!$A$3:$H$102,7,FALSE)=main!$G$104,VLOOKUP(CT$1,main!$A$3:$H$102,5,FALSE)-VLOOKUP($A129,main!$A$3:$H$102,6,FALSE)&gt;=main!$D$103+VLOOKUP(VLOOKUP(CT$1,main!$A$3:$I$102,7,FALSE),main!$K$26:$Q$29,4,FALSE)),1,0)</f>
        <v>0</v>
      </c>
      <c r="CU129">
        <f>IF(AND(VLOOKUP(CU$1,main!$A$3:$H$102,7,FALSE)=main!$G$104,VLOOKUP(CU$1,main!$A$3:$H$102,5,FALSE)-VLOOKUP($A129,main!$A$3:$H$102,6,FALSE)&gt;=main!$D$103+VLOOKUP(VLOOKUP(CU$1,main!$A$3:$I$102,7,FALSE),main!$K$26:$Q$29,4,FALSE)),1,0)</f>
        <v>0</v>
      </c>
      <c r="CV129">
        <f>IF(AND(VLOOKUP(CV$1,main!$A$3:$H$102,7,FALSE)=main!$G$104,VLOOKUP(CV$1,main!$A$3:$H$102,5,FALSE)-VLOOKUP($A129,main!$A$3:$H$102,6,FALSE)&gt;=main!$D$103+VLOOKUP(VLOOKUP(CV$1,main!$A$3:$I$102,7,FALSE),main!$K$26:$Q$29,4,FALSE)),1,0)</f>
        <v>0</v>
      </c>
      <c r="CW129">
        <f>IF(AND(VLOOKUP(CW$1,main!$A$3:$H$102,7,FALSE)=main!$G$104,VLOOKUP(CW$1,main!$A$3:$H$102,5,FALSE)-VLOOKUP($A129,main!$A$3:$H$102,6,FALSE)&gt;=main!$D$103+VLOOKUP(VLOOKUP(CW$1,main!$A$3:$I$102,7,FALSE),main!$K$26:$Q$29,4,FALSE)),1,0)</f>
        <v>0</v>
      </c>
      <c r="CX129">
        <f>IF(AND(VLOOKUP(CX$1,main!$A$3:$H$102,7,FALSE)=main!$G$104,VLOOKUP(CX$1,main!$A$3:$H$102,5,FALSE)-VLOOKUP($A129,main!$A$3:$H$102,6,FALSE)&gt;=main!$D$103+VLOOKUP(VLOOKUP(CX$1,main!$A$3:$I$102,7,FALSE),main!$K$26:$Q$29,4,FALSE)),1,0)</f>
        <v>0</v>
      </c>
    </row>
    <row r="130" spans="1:109" x14ac:dyDescent="0.25">
      <c r="A130" s="1">
        <v>27</v>
      </c>
      <c r="B130">
        <v>0</v>
      </c>
      <c r="C130">
        <f>IF(AND(VLOOKUP(C$1,main!$A$3:$H$102,7,FALSE)=main!$G$104,VLOOKUP(C$1,main!$A$3:$H$102,5,FALSE)-VLOOKUP($A130,main!$A$3:$H$102,6,FALSE)&gt;=main!$D$103+VLOOKUP(VLOOKUP(C$1,main!$A$3:$I$102,7,FALSE),main!$K$26:$Q$29,4,FALSE)),1,0)</f>
        <v>0</v>
      </c>
      <c r="D130">
        <f>IF(AND(VLOOKUP(D$1,main!$A$3:$H$102,7,FALSE)=main!$G$104,VLOOKUP(D$1,main!$A$3:$H$102,5,FALSE)-VLOOKUP($A130,main!$A$3:$H$102,6,FALSE)&gt;=main!$D$103+VLOOKUP(VLOOKUP(D$1,main!$A$3:$I$102,7,FALSE),main!$K$26:$Q$29,4,FALSE)),1,0)</f>
        <v>0</v>
      </c>
      <c r="E130">
        <f>IF(AND(VLOOKUP(E$1,main!$A$3:$H$102,7,FALSE)=main!$G$104,VLOOKUP(E$1,main!$A$3:$H$102,5,FALSE)-VLOOKUP($A130,main!$A$3:$H$102,6,FALSE)&gt;=main!$D$103+VLOOKUP(VLOOKUP(E$1,main!$A$3:$I$102,7,FALSE),main!$K$26:$Q$29,4,FALSE)),1,0)</f>
        <v>1</v>
      </c>
      <c r="F130">
        <f>IF(AND(VLOOKUP(F$1,main!$A$3:$H$102,7,FALSE)=main!$G$104,VLOOKUP(F$1,main!$A$3:$H$102,5,FALSE)-VLOOKUP($A130,main!$A$3:$H$102,6,FALSE)&gt;=main!$D$103+VLOOKUP(VLOOKUP(F$1,main!$A$3:$I$102,7,FALSE),main!$K$26:$Q$29,4,FALSE)),1,0)</f>
        <v>1</v>
      </c>
      <c r="G130">
        <f>IF(AND(VLOOKUP(G$1,main!$A$3:$H$102,7,FALSE)=main!$G$104,VLOOKUP(G$1,main!$A$3:$H$102,5,FALSE)-VLOOKUP($A130,main!$A$3:$H$102,6,FALSE)&gt;=main!$D$103+VLOOKUP(VLOOKUP(G$1,main!$A$3:$I$102,7,FALSE),main!$K$26:$Q$29,4,FALSE)),1,0)</f>
        <v>1</v>
      </c>
      <c r="H130">
        <f>IF(AND(VLOOKUP(H$1,main!$A$3:$H$102,7,FALSE)=main!$G$104,VLOOKUP(H$1,main!$A$3:$H$102,5,FALSE)-VLOOKUP($A130,main!$A$3:$H$102,6,FALSE)&gt;=main!$D$103+VLOOKUP(VLOOKUP(H$1,main!$A$3:$I$102,7,FALSE),main!$K$26:$Q$29,4,FALSE)),1,0)</f>
        <v>1</v>
      </c>
      <c r="I130">
        <f>IF(AND(VLOOKUP(I$1,main!$A$3:$H$102,7,FALSE)=main!$G$104,VLOOKUP(I$1,main!$A$3:$H$102,5,FALSE)-VLOOKUP($A130,main!$A$3:$H$102,6,FALSE)&gt;=main!$D$103+VLOOKUP(VLOOKUP(I$1,main!$A$3:$I$102,7,FALSE),main!$K$26:$Q$29,4,FALSE)),1,0)</f>
        <v>1</v>
      </c>
      <c r="J130">
        <f>IF(AND(VLOOKUP(J$1,main!$A$3:$H$102,7,FALSE)=main!$G$104,VLOOKUP(J$1,main!$A$3:$H$102,5,FALSE)-VLOOKUP($A130,main!$A$3:$H$102,6,FALSE)&gt;=main!$D$103+VLOOKUP(VLOOKUP(J$1,main!$A$3:$I$102,7,FALSE),main!$K$26:$Q$29,4,FALSE)),1,0)</f>
        <v>1</v>
      </c>
      <c r="K130">
        <f>IF(AND(VLOOKUP(K$1,main!$A$3:$H$102,7,FALSE)=main!$G$104,VLOOKUP(K$1,main!$A$3:$H$102,5,FALSE)-VLOOKUP($A130,main!$A$3:$H$102,6,FALSE)&gt;=main!$D$103+VLOOKUP(VLOOKUP(K$1,main!$A$3:$I$102,7,FALSE),main!$K$26:$Q$29,4,FALSE)),1,0)</f>
        <v>1</v>
      </c>
      <c r="L130">
        <f>IF(AND(VLOOKUP(L$1,main!$A$3:$H$102,7,FALSE)=main!$G$104,VLOOKUP(L$1,main!$A$3:$H$102,5,FALSE)-VLOOKUP($A130,main!$A$3:$H$102,6,FALSE)&gt;=main!$D$103+VLOOKUP(VLOOKUP(L$1,main!$A$3:$I$102,7,FALSE),main!$K$26:$Q$29,4,FALSE)),1,0)</f>
        <v>1</v>
      </c>
      <c r="M130">
        <f>IF(AND(VLOOKUP(M$1,main!$A$3:$H$102,7,FALSE)=main!$G$104,VLOOKUP(M$1,main!$A$3:$H$102,5,FALSE)-VLOOKUP($A130,main!$A$3:$H$102,6,FALSE)&gt;=main!$D$103+VLOOKUP(VLOOKUP(M$1,main!$A$3:$I$102,7,FALSE),main!$K$26:$Q$29,4,FALSE)),1,0)</f>
        <v>0</v>
      </c>
      <c r="N130">
        <f>IF(AND(VLOOKUP(N$1,main!$A$3:$H$102,7,FALSE)=main!$G$104,VLOOKUP(N$1,main!$A$3:$H$102,5,FALSE)-VLOOKUP($A130,main!$A$3:$H$102,6,FALSE)&gt;=main!$D$103+VLOOKUP(VLOOKUP(N$1,main!$A$3:$I$102,7,FALSE),main!$K$26:$Q$29,4,FALSE)),1,0)</f>
        <v>0</v>
      </c>
      <c r="O130">
        <f>IF(AND(VLOOKUP(O$1,main!$A$3:$H$102,7,FALSE)=main!$G$104,VLOOKUP(O$1,main!$A$3:$H$102,5,FALSE)-VLOOKUP($A130,main!$A$3:$H$102,6,FALSE)&gt;=main!$D$103+VLOOKUP(VLOOKUP(O$1,main!$A$3:$I$102,7,FALSE),main!$K$26:$Q$29,4,FALSE)),1,0)</f>
        <v>0</v>
      </c>
      <c r="P130">
        <f>IF(AND(VLOOKUP(P$1,main!$A$3:$H$102,7,FALSE)=main!$G$104,VLOOKUP(P$1,main!$A$3:$H$102,5,FALSE)-VLOOKUP($A130,main!$A$3:$H$102,6,FALSE)&gt;=main!$D$103+VLOOKUP(VLOOKUP(P$1,main!$A$3:$I$102,7,FALSE),main!$K$26:$Q$29,4,FALSE)),1,0)</f>
        <v>0</v>
      </c>
      <c r="Q130">
        <f>IF(AND(VLOOKUP(Q$1,main!$A$3:$H$102,7,FALSE)=main!$G$104,VLOOKUP(Q$1,main!$A$3:$H$102,5,FALSE)-VLOOKUP($A130,main!$A$3:$H$102,6,FALSE)&gt;=main!$D$103+VLOOKUP(VLOOKUP(Q$1,main!$A$3:$I$102,7,FALSE),main!$K$26:$Q$29,4,FALSE)),1,0)</f>
        <v>1</v>
      </c>
      <c r="R130">
        <f>IF(AND(VLOOKUP(R$1,main!$A$3:$H$102,7,FALSE)=main!$G$104,VLOOKUP(R$1,main!$A$3:$H$102,5,FALSE)-VLOOKUP($A130,main!$A$3:$H$102,6,FALSE)&gt;=main!$D$103+VLOOKUP(VLOOKUP(R$1,main!$A$3:$I$102,7,FALSE),main!$K$26:$Q$29,4,FALSE)),1,0)</f>
        <v>1</v>
      </c>
      <c r="S130">
        <f>IF(AND(VLOOKUP(S$1,main!$A$3:$H$102,7,FALSE)=main!$G$104,VLOOKUP(S$1,main!$A$3:$H$102,5,FALSE)-VLOOKUP($A130,main!$A$3:$H$102,6,FALSE)&gt;=main!$D$103+VLOOKUP(VLOOKUP(S$1,main!$A$3:$I$102,7,FALSE),main!$K$26:$Q$29,4,FALSE)),1,0)</f>
        <v>1</v>
      </c>
      <c r="T130">
        <f>IF(AND(VLOOKUP(T$1,main!$A$3:$H$102,7,FALSE)=main!$G$104,VLOOKUP(T$1,main!$A$3:$H$102,5,FALSE)-VLOOKUP($A130,main!$A$3:$H$102,6,FALSE)&gt;=main!$D$103+VLOOKUP(VLOOKUP(T$1,main!$A$3:$I$102,7,FALSE),main!$K$26:$Q$29,4,FALSE)),1,0)</f>
        <v>1</v>
      </c>
      <c r="U130">
        <f>IF(AND(VLOOKUP(U$1,main!$A$3:$H$102,7,FALSE)=main!$G$104,VLOOKUP(U$1,main!$A$3:$H$102,5,FALSE)-VLOOKUP($A130,main!$A$3:$H$102,6,FALSE)&gt;=main!$D$103+VLOOKUP(VLOOKUP(U$1,main!$A$3:$I$102,7,FALSE),main!$K$26:$Q$29,4,FALSE)),1,0)</f>
        <v>1</v>
      </c>
      <c r="V130">
        <f>IF(AND(VLOOKUP(V$1,main!$A$3:$H$102,7,FALSE)=main!$G$104,VLOOKUP(V$1,main!$A$3:$H$102,5,FALSE)-VLOOKUP($A130,main!$A$3:$H$102,6,FALSE)&gt;=main!$D$103+VLOOKUP(VLOOKUP(V$1,main!$A$3:$I$102,7,FALSE),main!$K$26:$Q$29,4,FALSE)),1,0)</f>
        <v>1</v>
      </c>
      <c r="W130">
        <f>IF(AND(VLOOKUP(W$1,main!$A$3:$H$102,7,FALSE)=main!$G$104,VLOOKUP(W$1,main!$A$3:$H$102,5,FALSE)-VLOOKUP($A130,main!$A$3:$H$102,6,FALSE)&gt;=main!$D$103+VLOOKUP(VLOOKUP(W$1,main!$A$3:$I$102,7,FALSE),main!$K$26:$Q$29,4,FALSE)),1,0)</f>
        <v>0</v>
      </c>
      <c r="X130">
        <f>IF(AND(VLOOKUP(X$1,main!$A$3:$H$102,7,FALSE)=main!$G$104,VLOOKUP(X$1,main!$A$3:$H$102,5,FALSE)-VLOOKUP($A130,main!$A$3:$H$102,6,FALSE)&gt;=main!$D$103+VLOOKUP(VLOOKUP(X$1,main!$A$3:$I$102,7,FALSE),main!$K$26:$Q$29,4,FALSE)),1,0)</f>
        <v>0</v>
      </c>
      <c r="Y130">
        <f>IF(AND(VLOOKUP(Y$1,main!$A$3:$H$102,7,FALSE)=main!$G$104,VLOOKUP(Y$1,main!$A$3:$H$102,5,FALSE)-VLOOKUP($A130,main!$A$3:$H$102,6,FALSE)&gt;=main!$D$103+VLOOKUP(VLOOKUP(Y$1,main!$A$3:$I$102,7,FALSE),main!$K$26:$Q$29,4,FALSE)),1,0)</f>
        <v>1</v>
      </c>
      <c r="Z130">
        <f>IF(AND(VLOOKUP(Z$1,main!$A$3:$H$102,7,FALSE)=main!$G$104,VLOOKUP(Z$1,main!$A$3:$H$102,5,FALSE)-VLOOKUP($A130,main!$A$3:$H$102,6,FALSE)&gt;=main!$D$103+VLOOKUP(VLOOKUP(Z$1,main!$A$3:$I$102,7,FALSE),main!$K$26:$Q$29,4,FALSE)),1,0)</f>
        <v>1</v>
      </c>
      <c r="AA130">
        <f>IF(AND(VLOOKUP(AA$1,main!$A$3:$H$102,7,FALSE)=main!$G$104,VLOOKUP(AA$1,main!$A$3:$H$102,5,FALSE)-VLOOKUP($A130,main!$A$3:$H$102,6,FALSE)&gt;=main!$D$103+VLOOKUP(VLOOKUP(AA$1,main!$A$3:$I$102,7,FALSE),main!$K$26:$Q$29,4,FALSE)),1,0)</f>
        <v>1</v>
      </c>
      <c r="AB130">
        <f>IF(AND(VLOOKUP(AB$1,main!$A$3:$H$102,7,FALSE)=main!$G$104,VLOOKUP(AB$1,main!$A$3:$H$102,5,FALSE)-VLOOKUP($A130,main!$A$3:$H$102,6,FALSE)&gt;=main!$D$103+VLOOKUP(VLOOKUP(AB$1,main!$A$3:$I$102,7,FALSE),main!$K$26:$Q$29,4,FALSE)),1,0)</f>
        <v>0</v>
      </c>
      <c r="AC130">
        <f>IF(AND(VLOOKUP(AC$1,main!$A$3:$H$102,7,FALSE)=main!$G$104,VLOOKUP(AC$1,main!$A$3:$H$102,5,FALSE)-VLOOKUP($A130,main!$A$3:$H$102,6,FALSE)&gt;=main!$D$103+VLOOKUP(VLOOKUP(AC$1,main!$A$3:$I$102,7,FALSE),main!$K$26:$Q$29,4,FALSE)),1,0)</f>
        <v>0</v>
      </c>
      <c r="AD130">
        <f>IF(AND(VLOOKUP(AD$1,main!$A$3:$H$102,7,FALSE)=main!$G$104,VLOOKUP(AD$1,main!$A$3:$H$102,5,FALSE)-VLOOKUP($A130,main!$A$3:$H$102,6,FALSE)&gt;=main!$D$103+VLOOKUP(VLOOKUP(AD$1,main!$A$3:$I$102,7,FALSE),main!$K$26:$Q$29,4,FALSE)),1,0)</f>
        <v>1</v>
      </c>
      <c r="AE130">
        <f>IF(AND(VLOOKUP(AE$1,main!$A$3:$H$102,7,FALSE)=main!$G$104,VLOOKUP(AE$1,main!$A$3:$H$102,5,FALSE)-VLOOKUP($A130,main!$A$3:$H$102,6,FALSE)&gt;=main!$D$103+VLOOKUP(VLOOKUP(AE$1,main!$A$3:$I$102,7,FALSE),main!$K$26:$Q$29,4,FALSE)),1,0)</f>
        <v>1</v>
      </c>
      <c r="AF130">
        <f>IF(AND(VLOOKUP(AF$1,main!$A$3:$H$102,7,FALSE)=main!$G$104,VLOOKUP(AF$1,main!$A$3:$H$102,5,FALSE)-VLOOKUP($A130,main!$A$3:$H$102,6,FALSE)&gt;=main!$D$103+VLOOKUP(VLOOKUP(AF$1,main!$A$3:$I$102,7,FALSE),main!$K$26:$Q$29,4,FALSE)),1,0)</f>
        <v>1</v>
      </c>
      <c r="AG130">
        <f>IF(AND(VLOOKUP(AG$1,main!$A$3:$H$102,7,FALSE)=main!$G$104,VLOOKUP(AG$1,main!$A$3:$H$102,5,FALSE)-VLOOKUP($A130,main!$A$3:$H$102,6,FALSE)&gt;=main!$D$103+VLOOKUP(VLOOKUP(AG$1,main!$A$3:$I$102,7,FALSE),main!$K$26:$Q$29,4,FALSE)),1,0)</f>
        <v>0</v>
      </c>
      <c r="AH130">
        <f>IF(AND(VLOOKUP(AH$1,main!$A$3:$H$102,7,FALSE)=main!$G$104,VLOOKUP(AH$1,main!$A$3:$H$102,5,FALSE)-VLOOKUP($A130,main!$A$3:$H$102,6,FALSE)&gt;=main!$D$103+VLOOKUP(VLOOKUP(AH$1,main!$A$3:$I$102,7,FALSE),main!$K$26:$Q$29,4,FALSE)),1,0)</f>
        <v>0</v>
      </c>
      <c r="AI130">
        <f>IF(AND(VLOOKUP(AI$1,main!$A$3:$H$102,7,FALSE)=main!$G$104,VLOOKUP(AI$1,main!$A$3:$H$102,5,FALSE)-VLOOKUP($A130,main!$A$3:$H$102,6,FALSE)&gt;=main!$D$103+VLOOKUP(VLOOKUP(AI$1,main!$A$3:$I$102,7,FALSE),main!$K$26:$Q$29,4,FALSE)),1,0)</f>
        <v>0</v>
      </c>
      <c r="AJ130">
        <f>IF(AND(VLOOKUP(AJ$1,main!$A$3:$H$102,7,FALSE)=main!$G$104,VLOOKUP(AJ$1,main!$A$3:$H$102,5,FALSE)-VLOOKUP($A130,main!$A$3:$H$102,6,FALSE)&gt;=main!$D$103+VLOOKUP(VLOOKUP(AJ$1,main!$A$3:$I$102,7,FALSE),main!$K$26:$Q$29,4,FALSE)),1,0)</f>
        <v>0</v>
      </c>
      <c r="AK130">
        <f>IF(AND(VLOOKUP(AK$1,main!$A$3:$H$102,7,FALSE)=main!$G$104,VLOOKUP(AK$1,main!$A$3:$H$102,5,FALSE)-VLOOKUP($A130,main!$A$3:$H$102,6,FALSE)&gt;=main!$D$103+VLOOKUP(VLOOKUP(AK$1,main!$A$3:$I$102,7,FALSE),main!$K$26:$Q$29,4,FALSE)),1,0)</f>
        <v>0</v>
      </c>
      <c r="AL130">
        <f>IF(AND(VLOOKUP(AL$1,main!$A$3:$H$102,7,FALSE)=main!$G$104,VLOOKUP(AL$1,main!$A$3:$H$102,5,FALSE)-VLOOKUP($A130,main!$A$3:$H$102,6,FALSE)&gt;=main!$D$103+VLOOKUP(VLOOKUP(AL$1,main!$A$3:$I$102,7,FALSE),main!$K$26:$Q$29,4,FALSE)),1,0)</f>
        <v>0</v>
      </c>
      <c r="AM130">
        <f>IF(AND(VLOOKUP(AM$1,main!$A$3:$H$102,7,FALSE)=main!$G$104,VLOOKUP(AM$1,main!$A$3:$H$102,5,FALSE)-VLOOKUP($A130,main!$A$3:$H$102,6,FALSE)&gt;=main!$D$103+VLOOKUP(VLOOKUP(AM$1,main!$A$3:$I$102,7,FALSE),main!$K$26:$Q$29,4,FALSE)),1,0)</f>
        <v>0</v>
      </c>
      <c r="AN130">
        <f>IF(AND(VLOOKUP(AN$1,main!$A$3:$H$102,7,FALSE)=main!$G$104,VLOOKUP(AN$1,main!$A$3:$H$102,5,FALSE)-VLOOKUP($A130,main!$A$3:$H$102,6,FALSE)&gt;=main!$D$103+VLOOKUP(VLOOKUP(AN$1,main!$A$3:$I$102,7,FALSE),main!$K$26:$Q$29,4,FALSE)),1,0)</f>
        <v>0</v>
      </c>
      <c r="AO130">
        <f>IF(AND(VLOOKUP(AO$1,main!$A$3:$H$102,7,FALSE)=main!$G$104,VLOOKUP(AO$1,main!$A$3:$H$102,5,FALSE)-VLOOKUP($A130,main!$A$3:$H$102,6,FALSE)&gt;=main!$D$103+VLOOKUP(VLOOKUP(AO$1,main!$A$3:$I$102,7,FALSE),main!$K$26:$Q$29,4,FALSE)),1,0)</f>
        <v>0</v>
      </c>
      <c r="AP130">
        <f>IF(AND(VLOOKUP(AP$1,main!$A$3:$H$102,7,FALSE)=main!$G$104,VLOOKUP(AP$1,main!$A$3:$H$102,5,FALSE)-VLOOKUP($A130,main!$A$3:$H$102,6,FALSE)&gt;=main!$D$103+VLOOKUP(VLOOKUP(AP$1,main!$A$3:$I$102,7,FALSE),main!$K$26:$Q$29,4,FALSE)),1,0)</f>
        <v>0</v>
      </c>
      <c r="AQ130">
        <f>IF(AND(VLOOKUP(AQ$1,main!$A$3:$H$102,7,FALSE)=main!$G$104,VLOOKUP(AQ$1,main!$A$3:$H$102,5,FALSE)-VLOOKUP($A130,main!$A$3:$H$102,6,FALSE)&gt;=main!$D$103+VLOOKUP(VLOOKUP(AQ$1,main!$A$3:$I$102,7,FALSE),main!$K$26:$Q$29,4,FALSE)),1,0)</f>
        <v>0</v>
      </c>
      <c r="AR130">
        <f>IF(AND(VLOOKUP(AR$1,main!$A$3:$H$102,7,FALSE)=main!$G$104,VLOOKUP(AR$1,main!$A$3:$H$102,5,FALSE)-VLOOKUP($A130,main!$A$3:$H$102,6,FALSE)&gt;=main!$D$103+VLOOKUP(VLOOKUP(AR$1,main!$A$3:$I$102,7,FALSE),main!$K$26:$Q$29,4,FALSE)),1,0)</f>
        <v>0</v>
      </c>
      <c r="AS130">
        <f>IF(AND(VLOOKUP(AS$1,main!$A$3:$H$102,7,FALSE)=main!$G$104,VLOOKUP(AS$1,main!$A$3:$H$102,5,FALSE)-VLOOKUP($A130,main!$A$3:$H$102,6,FALSE)&gt;=main!$D$103+VLOOKUP(VLOOKUP(AS$1,main!$A$3:$I$102,7,FALSE),main!$K$26:$Q$29,4,FALSE)),1,0)</f>
        <v>0</v>
      </c>
      <c r="AT130">
        <f>IF(AND(VLOOKUP(AT$1,main!$A$3:$H$102,7,FALSE)=main!$G$104,VLOOKUP(AT$1,main!$A$3:$H$102,5,FALSE)-VLOOKUP($A130,main!$A$3:$H$102,6,FALSE)&gt;=main!$D$103+VLOOKUP(VLOOKUP(AT$1,main!$A$3:$I$102,7,FALSE),main!$K$26:$Q$29,4,FALSE)),1,0)</f>
        <v>0</v>
      </c>
      <c r="AU130">
        <f>IF(AND(VLOOKUP(AU$1,main!$A$3:$H$102,7,FALSE)=main!$G$104,VLOOKUP(AU$1,main!$A$3:$H$102,5,FALSE)-VLOOKUP($A130,main!$A$3:$H$102,6,FALSE)&gt;=main!$D$103+VLOOKUP(VLOOKUP(AU$1,main!$A$3:$I$102,7,FALSE),main!$K$26:$Q$29,4,FALSE)),1,0)</f>
        <v>0</v>
      </c>
      <c r="AV130">
        <f>IF(AND(VLOOKUP(AV$1,main!$A$3:$H$102,7,FALSE)=main!$G$104,VLOOKUP(AV$1,main!$A$3:$H$102,5,FALSE)-VLOOKUP($A130,main!$A$3:$H$102,6,FALSE)&gt;=main!$D$103+VLOOKUP(VLOOKUP(AV$1,main!$A$3:$I$102,7,FALSE),main!$K$26:$Q$29,4,FALSE)),1,0)</f>
        <v>0</v>
      </c>
      <c r="AW130">
        <f>IF(AND(VLOOKUP(AW$1,main!$A$3:$H$102,7,FALSE)=main!$G$104,VLOOKUP(AW$1,main!$A$3:$H$102,5,FALSE)-VLOOKUP($A130,main!$A$3:$H$102,6,FALSE)&gt;=main!$D$103+VLOOKUP(VLOOKUP(AW$1,main!$A$3:$I$102,7,FALSE),main!$K$26:$Q$29,4,FALSE)),1,0)</f>
        <v>0</v>
      </c>
      <c r="AX130">
        <f>IF(AND(VLOOKUP(AX$1,main!$A$3:$H$102,7,FALSE)=main!$G$104,VLOOKUP(AX$1,main!$A$3:$H$102,5,FALSE)-VLOOKUP($A130,main!$A$3:$H$102,6,FALSE)&gt;=main!$D$103+VLOOKUP(VLOOKUP(AX$1,main!$A$3:$I$102,7,FALSE),main!$K$26:$Q$29,4,FALSE)),1,0)</f>
        <v>0</v>
      </c>
      <c r="AY130">
        <f>IF(AND(VLOOKUP(AY$1,main!$A$3:$H$102,7,FALSE)=main!$G$104,VLOOKUP(AY$1,main!$A$3:$H$102,5,FALSE)-VLOOKUP($A130,main!$A$3:$H$102,6,FALSE)&gt;=main!$D$103+VLOOKUP(VLOOKUP(AY$1,main!$A$3:$I$102,7,FALSE),main!$K$26:$Q$29,4,FALSE)),1,0)</f>
        <v>0</v>
      </c>
      <c r="AZ130">
        <f>IF(AND(VLOOKUP(AZ$1,main!$A$3:$H$102,7,FALSE)=main!$G$104,VLOOKUP(AZ$1,main!$A$3:$H$102,5,FALSE)-VLOOKUP($A130,main!$A$3:$H$102,6,FALSE)&gt;=main!$D$103+VLOOKUP(VLOOKUP(AZ$1,main!$A$3:$I$102,7,FALSE),main!$K$26:$Q$29,4,FALSE)),1,0)</f>
        <v>0</v>
      </c>
      <c r="BA130">
        <f>IF(AND(VLOOKUP(BA$1,main!$A$3:$H$102,7,FALSE)=main!$G$104,VLOOKUP(BA$1,main!$A$3:$H$102,5,FALSE)-VLOOKUP($A130,main!$A$3:$H$102,6,FALSE)&gt;=main!$D$103+VLOOKUP(VLOOKUP(BA$1,main!$A$3:$I$102,7,FALSE),main!$K$26:$Q$29,4,FALSE)),1,0)</f>
        <v>0</v>
      </c>
      <c r="BB130">
        <f>IF(AND(VLOOKUP(BB$1,main!$A$3:$H$102,7,FALSE)=main!$G$104,VLOOKUP(BB$1,main!$A$3:$H$102,5,FALSE)-VLOOKUP($A130,main!$A$3:$H$102,6,FALSE)&gt;=main!$D$103+VLOOKUP(VLOOKUP(BB$1,main!$A$3:$I$102,7,FALSE),main!$K$26:$Q$29,4,FALSE)),1,0)</f>
        <v>0</v>
      </c>
      <c r="BC130">
        <f>IF(AND(VLOOKUP(BC$1,main!$A$3:$H$102,7,FALSE)=main!$G$104,VLOOKUP(BC$1,main!$A$3:$H$102,5,FALSE)-VLOOKUP($A130,main!$A$3:$H$102,6,FALSE)&gt;=main!$D$103+VLOOKUP(VLOOKUP(BC$1,main!$A$3:$I$102,7,FALSE),main!$K$26:$Q$29,4,FALSE)),1,0)</f>
        <v>0</v>
      </c>
      <c r="BD130">
        <f>IF(AND(VLOOKUP(BD$1,main!$A$3:$H$102,7,FALSE)=main!$G$104,VLOOKUP(BD$1,main!$A$3:$H$102,5,FALSE)-VLOOKUP($A130,main!$A$3:$H$102,6,FALSE)&gt;=main!$D$103+VLOOKUP(VLOOKUP(BD$1,main!$A$3:$I$102,7,FALSE),main!$K$26:$Q$29,4,FALSE)),1,0)</f>
        <v>0</v>
      </c>
      <c r="BE130">
        <f>IF(AND(VLOOKUP(BE$1,main!$A$3:$H$102,7,FALSE)=main!$G$104,VLOOKUP(BE$1,main!$A$3:$H$102,5,FALSE)-VLOOKUP($A130,main!$A$3:$H$102,6,FALSE)&gt;=main!$D$103+VLOOKUP(VLOOKUP(BE$1,main!$A$3:$I$102,7,FALSE),main!$K$26:$Q$29,4,FALSE)),1,0)</f>
        <v>0</v>
      </c>
      <c r="BF130">
        <f>IF(AND(VLOOKUP(BF$1,main!$A$3:$H$102,7,FALSE)=main!$G$104,VLOOKUP(BF$1,main!$A$3:$H$102,5,FALSE)-VLOOKUP($A130,main!$A$3:$H$102,6,FALSE)&gt;=main!$D$103+VLOOKUP(VLOOKUP(BF$1,main!$A$3:$I$102,7,FALSE),main!$K$26:$Q$29,4,FALSE)),1,0)</f>
        <v>0</v>
      </c>
      <c r="BG130">
        <f>IF(AND(VLOOKUP(BG$1,main!$A$3:$H$102,7,FALSE)=main!$G$104,VLOOKUP(BG$1,main!$A$3:$H$102,5,FALSE)-VLOOKUP($A130,main!$A$3:$H$102,6,FALSE)&gt;=main!$D$103+VLOOKUP(VLOOKUP(BG$1,main!$A$3:$I$102,7,FALSE),main!$K$26:$Q$29,4,FALSE)),1,0)</f>
        <v>0</v>
      </c>
      <c r="BH130">
        <f>IF(AND(VLOOKUP(BH$1,main!$A$3:$H$102,7,FALSE)=main!$G$104,VLOOKUP(BH$1,main!$A$3:$H$102,5,FALSE)-VLOOKUP($A130,main!$A$3:$H$102,6,FALSE)&gt;=main!$D$103+VLOOKUP(VLOOKUP(BH$1,main!$A$3:$I$102,7,FALSE),main!$K$26:$Q$29,4,FALSE)),1,0)</f>
        <v>0</v>
      </c>
      <c r="BI130">
        <f>IF(AND(VLOOKUP(BI$1,main!$A$3:$H$102,7,FALSE)=main!$G$104,VLOOKUP(BI$1,main!$A$3:$H$102,5,FALSE)-VLOOKUP($A130,main!$A$3:$H$102,6,FALSE)&gt;=main!$D$103+VLOOKUP(VLOOKUP(BI$1,main!$A$3:$I$102,7,FALSE),main!$K$26:$Q$29,4,FALSE)),1,0)</f>
        <v>0</v>
      </c>
      <c r="BJ130">
        <f>IF(AND(VLOOKUP(BJ$1,main!$A$3:$H$102,7,FALSE)=main!$G$104,VLOOKUP(BJ$1,main!$A$3:$H$102,5,FALSE)-VLOOKUP($A130,main!$A$3:$H$102,6,FALSE)&gt;=main!$D$103+VLOOKUP(VLOOKUP(BJ$1,main!$A$3:$I$102,7,FALSE),main!$K$26:$Q$29,4,FALSE)),1,0)</f>
        <v>0</v>
      </c>
      <c r="BK130">
        <f>IF(AND(VLOOKUP(BK$1,main!$A$3:$H$102,7,FALSE)=main!$G$104,VLOOKUP(BK$1,main!$A$3:$H$102,5,FALSE)-VLOOKUP($A130,main!$A$3:$H$102,6,FALSE)&gt;=main!$D$103+VLOOKUP(VLOOKUP(BK$1,main!$A$3:$I$102,7,FALSE),main!$K$26:$Q$29,4,FALSE)),1,0)</f>
        <v>0</v>
      </c>
      <c r="BL130">
        <f>IF(AND(VLOOKUP(BL$1,main!$A$3:$H$102,7,FALSE)=main!$G$104,VLOOKUP(BL$1,main!$A$3:$H$102,5,FALSE)-VLOOKUP($A130,main!$A$3:$H$102,6,FALSE)&gt;=main!$D$103+VLOOKUP(VLOOKUP(BL$1,main!$A$3:$I$102,7,FALSE),main!$K$26:$Q$29,4,FALSE)),1,0)</f>
        <v>0</v>
      </c>
      <c r="BM130">
        <f>IF(AND(VLOOKUP(BM$1,main!$A$3:$H$102,7,FALSE)=main!$G$104,VLOOKUP(BM$1,main!$A$3:$H$102,5,FALSE)-VLOOKUP($A130,main!$A$3:$H$102,6,FALSE)&gt;=main!$D$103+VLOOKUP(VLOOKUP(BM$1,main!$A$3:$I$102,7,FALSE),main!$K$26:$Q$29,4,FALSE)),1,0)</f>
        <v>0</v>
      </c>
      <c r="BN130">
        <f>IF(AND(VLOOKUP(BN$1,main!$A$3:$H$102,7,FALSE)=main!$G$104,VLOOKUP(BN$1,main!$A$3:$H$102,5,FALSE)-VLOOKUP($A130,main!$A$3:$H$102,6,FALSE)&gt;=main!$D$103+VLOOKUP(VLOOKUP(BN$1,main!$A$3:$I$102,7,FALSE),main!$K$26:$Q$29,4,FALSE)),1,0)</f>
        <v>0</v>
      </c>
      <c r="BO130">
        <f>IF(AND(VLOOKUP(BO$1,main!$A$3:$H$102,7,FALSE)=main!$G$104,VLOOKUP(BO$1,main!$A$3:$H$102,5,FALSE)-VLOOKUP($A130,main!$A$3:$H$102,6,FALSE)&gt;=main!$D$103+VLOOKUP(VLOOKUP(BO$1,main!$A$3:$I$102,7,FALSE),main!$K$26:$Q$29,4,FALSE)),1,0)</f>
        <v>0</v>
      </c>
      <c r="BP130">
        <f>IF(AND(VLOOKUP(BP$1,main!$A$3:$H$102,7,FALSE)=main!$G$104,VLOOKUP(BP$1,main!$A$3:$H$102,5,FALSE)-VLOOKUP($A130,main!$A$3:$H$102,6,FALSE)&gt;=main!$D$103+VLOOKUP(VLOOKUP(BP$1,main!$A$3:$I$102,7,FALSE),main!$K$26:$Q$29,4,FALSE)),1,0)</f>
        <v>0</v>
      </c>
      <c r="BQ130">
        <f>IF(AND(VLOOKUP(BQ$1,main!$A$3:$H$102,7,FALSE)=main!$G$104,VLOOKUP(BQ$1,main!$A$3:$H$102,5,FALSE)-VLOOKUP($A130,main!$A$3:$H$102,6,FALSE)&gt;=main!$D$103+VLOOKUP(VLOOKUP(BQ$1,main!$A$3:$I$102,7,FALSE),main!$K$26:$Q$29,4,FALSE)),1,0)</f>
        <v>0</v>
      </c>
      <c r="BR130">
        <f>IF(AND(VLOOKUP(BR$1,main!$A$3:$H$102,7,FALSE)=main!$G$104,VLOOKUP(BR$1,main!$A$3:$H$102,5,FALSE)-VLOOKUP($A130,main!$A$3:$H$102,6,FALSE)&gt;=main!$D$103+VLOOKUP(VLOOKUP(BR$1,main!$A$3:$I$102,7,FALSE),main!$K$26:$Q$29,4,FALSE)),1,0)</f>
        <v>0</v>
      </c>
      <c r="BS130">
        <f>IF(AND(VLOOKUP(BS$1,main!$A$3:$H$102,7,FALSE)=main!$G$104,VLOOKUP(BS$1,main!$A$3:$H$102,5,FALSE)-VLOOKUP($A130,main!$A$3:$H$102,6,FALSE)&gt;=main!$D$103+VLOOKUP(VLOOKUP(BS$1,main!$A$3:$I$102,7,FALSE),main!$K$26:$Q$29,4,FALSE)),1,0)</f>
        <v>0</v>
      </c>
      <c r="BT130">
        <f>IF(AND(VLOOKUP(BT$1,main!$A$3:$H$102,7,FALSE)=main!$G$104,VLOOKUP(BT$1,main!$A$3:$H$102,5,FALSE)-VLOOKUP($A130,main!$A$3:$H$102,6,FALSE)&gt;=main!$D$103+VLOOKUP(VLOOKUP(BT$1,main!$A$3:$I$102,7,FALSE),main!$K$26:$Q$29,4,FALSE)),1,0)</f>
        <v>0</v>
      </c>
      <c r="BU130">
        <f>IF(AND(VLOOKUP(BU$1,main!$A$3:$H$102,7,FALSE)=main!$G$104,VLOOKUP(BU$1,main!$A$3:$H$102,5,FALSE)-VLOOKUP($A130,main!$A$3:$H$102,6,FALSE)&gt;=main!$D$103+VLOOKUP(VLOOKUP(BU$1,main!$A$3:$I$102,7,FALSE),main!$K$26:$Q$29,4,FALSE)),1,0)</f>
        <v>0</v>
      </c>
      <c r="BV130">
        <f>IF(AND(VLOOKUP(BV$1,main!$A$3:$H$102,7,FALSE)=main!$G$104,VLOOKUP(BV$1,main!$A$3:$H$102,5,FALSE)-VLOOKUP($A130,main!$A$3:$H$102,6,FALSE)&gt;=main!$D$103+VLOOKUP(VLOOKUP(BV$1,main!$A$3:$I$102,7,FALSE),main!$K$26:$Q$29,4,FALSE)),1,0)</f>
        <v>0</v>
      </c>
      <c r="BW130">
        <f>IF(AND(VLOOKUP(BW$1,main!$A$3:$H$102,7,FALSE)=main!$G$104,VLOOKUP(BW$1,main!$A$3:$H$102,5,FALSE)-VLOOKUP($A130,main!$A$3:$H$102,6,FALSE)&gt;=main!$D$103+VLOOKUP(VLOOKUP(BW$1,main!$A$3:$I$102,7,FALSE),main!$K$26:$Q$29,4,FALSE)),1,0)</f>
        <v>0</v>
      </c>
      <c r="BX130">
        <f>IF(AND(VLOOKUP(BX$1,main!$A$3:$H$102,7,FALSE)=main!$G$104,VLOOKUP(BX$1,main!$A$3:$H$102,5,FALSE)-VLOOKUP($A130,main!$A$3:$H$102,6,FALSE)&gt;=main!$D$103+VLOOKUP(VLOOKUP(BX$1,main!$A$3:$I$102,7,FALSE),main!$K$26:$Q$29,4,FALSE)),1,0)</f>
        <v>0</v>
      </c>
      <c r="BY130">
        <f>IF(AND(VLOOKUP(BY$1,main!$A$3:$H$102,7,FALSE)=main!$G$104,VLOOKUP(BY$1,main!$A$3:$H$102,5,FALSE)-VLOOKUP($A130,main!$A$3:$H$102,6,FALSE)&gt;=main!$D$103+VLOOKUP(VLOOKUP(BY$1,main!$A$3:$I$102,7,FALSE),main!$K$26:$Q$29,4,FALSE)),1,0)</f>
        <v>0</v>
      </c>
      <c r="BZ130">
        <f>IF(AND(VLOOKUP(BZ$1,main!$A$3:$H$102,7,FALSE)=main!$G$104,VLOOKUP(BZ$1,main!$A$3:$H$102,5,FALSE)-VLOOKUP($A130,main!$A$3:$H$102,6,FALSE)&gt;=main!$D$103+VLOOKUP(VLOOKUP(BZ$1,main!$A$3:$I$102,7,FALSE),main!$K$26:$Q$29,4,FALSE)),1,0)</f>
        <v>0</v>
      </c>
      <c r="CA130">
        <f>IF(AND(VLOOKUP(CA$1,main!$A$3:$H$102,7,FALSE)=main!$G$104,VLOOKUP(CA$1,main!$A$3:$H$102,5,FALSE)-VLOOKUP($A130,main!$A$3:$H$102,6,FALSE)&gt;=main!$D$103+VLOOKUP(VLOOKUP(CA$1,main!$A$3:$I$102,7,FALSE),main!$K$26:$Q$29,4,FALSE)),1,0)</f>
        <v>0</v>
      </c>
      <c r="CB130">
        <f>IF(AND(VLOOKUP(CB$1,main!$A$3:$H$102,7,FALSE)=main!$G$104,VLOOKUP(CB$1,main!$A$3:$H$102,5,FALSE)-VLOOKUP($A130,main!$A$3:$H$102,6,FALSE)&gt;=main!$D$103+VLOOKUP(VLOOKUP(CB$1,main!$A$3:$I$102,7,FALSE),main!$K$26:$Q$29,4,FALSE)),1,0)</f>
        <v>0</v>
      </c>
      <c r="CC130">
        <f>IF(AND(VLOOKUP(CC$1,main!$A$3:$H$102,7,FALSE)=main!$G$104,VLOOKUP(CC$1,main!$A$3:$H$102,5,FALSE)-VLOOKUP($A130,main!$A$3:$H$102,6,FALSE)&gt;=main!$D$103+VLOOKUP(VLOOKUP(CC$1,main!$A$3:$I$102,7,FALSE),main!$K$26:$Q$29,4,FALSE)),1,0)</f>
        <v>0</v>
      </c>
      <c r="CD130">
        <f>IF(AND(VLOOKUP(CD$1,main!$A$3:$H$102,7,FALSE)=main!$G$104,VLOOKUP(CD$1,main!$A$3:$H$102,5,FALSE)-VLOOKUP($A130,main!$A$3:$H$102,6,FALSE)&gt;=main!$D$103+VLOOKUP(VLOOKUP(CD$1,main!$A$3:$I$102,7,FALSE),main!$K$26:$Q$29,4,FALSE)),1,0)</f>
        <v>0</v>
      </c>
      <c r="CE130">
        <f>IF(AND(VLOOKUP(CE$1,main!$A$3:$H$102,7,FALSE)=main!$G$104,VLOOKUP(CE$1,main!$A$3:$H$102,5,FALSE)-VLOOKUP($A130,main!$A$3:$H$102,6,FALSE)&gt;=main!$D$103+VLOOKUP(VLOOKUP(CE$1,main!$A$3:$I$102,7,FALSE),main!$K$26:$Q$29,4,FALSE)),1,0)</f>
        <v>0</v>
      </c>
      <c r="CF130">
        <f>IF(AND(VLOOKUP(CF$1,main!$A$3:$H$102,7,FALSE)=main!$G$104,VLOOKUP(CF$1,main!$A$3:$H$102,5,FALSE)-VLOOKUP($A130,main!$A$3:$H$102,6,FALSE)&gt;=main!$D$103+VLOOKUP(VLOOKUP(CF$1,main!$A$3:$I$102,7,FALSE),main!$K$26:$Q$29,4,FALSE)),1,0)</f>
        <v>0</v>
      </c>
      <c r="CG130">
        <f>IF(AND(VLOOKUP(CG$1,main!$A$3:$H$102,7,FALSE)=main!$G$104,VLOOKUP(CG$1,main!$A$3:$H$102,5,FALSE)-VLOOKUP($A130,main!$A$3:$H$102,6,FALSE)&gt;=main!$D$103+VLOOKUP(VLOOKUP(CG$1,main!$A$3:$I$102,7,FALSE),main!$K$26:$Q$29,4,FALSE)),1,0)</f>
        <v>0</v>
      </c>
      <c r="CH130">
        <f>IF(AND(VLOOKUP(CH$1,main!$A$3:$H$102,7,FALSE)=main!$G$104,VLOOKUP(CH$1,main!$A$3:$H$102,5,FALSE)-VLOOKUP($A130,main!$A$3:$H$102,6,FALSE)&gt;=main!$D$103+VLOOKUP(VLOOKUP(CH$1,main!$A$3:$I$102,7,FALSE),main!$K$26:$Q$29,4,FALSE)),1,0)</f>
        <v>0</v>
      </c>
      <c r="CI130">
        <f>IF(AND(VLOOKUP(CI$1,main!$A$3:$H$102,7,FALSE)=main!$G$104,VLOOKUP(CI$1,main!$A$3:$H$102,5,FALSE)-VLOOKUP($A130,main!$A$3:$H$102,6,FALSE)&gt;=main!$D$103+VLOOKUP(VLOOKUP(CI$1,main!$A$3:$I$102,7,FALSE),main!$K$26:$Q$29,4,FALSE)),1,0)</f>
        <v>0</v>
      </c>
      <c r="CJ130">
        <f>IF(AND(VLOOKUP(CJ$1,main!$A$3:$H$102,7,FALSE)=main!$G$104,VLOOKUP(CJ$1,main!$A$3:$H$102,5,FALSE)-VLOOKUP($A130,main!$A$3:$H$102,6,FALSE)&gt;=main!$D$103+VLOOKUP(VLOOKUP(CJ$1,main!$A$3:$I$102,7,FALSE),main!$K$26:$Q$29,4,FALSE)),1,0)</f>
        <v>0</v>
      </c>
      <c r="CK130">
        <f>IF(AND(VLOOKUP(CK$1,main!$A$3:$H$102,7,FALSE)=main!$G$104,VLOOKUP(CK$1,main!$A$3:$H$102,5,FALSE)-VLOOKUP($A130,main!$A$3:$H$102,6,FALSE)&gt;=main!$D$103+VLOOKUP(VLOOKUP(CK$1,main!$A$3:$I$102,7,FALSE),main!$K$26:$Q$29,4,FALSE)),1,0)</f>
        <v>0</v>
      </c>
      <c r="CL130">
        <f>IF(AND(VLOOKUP(CL$1,main!$A$3:$H$102,7,FALSE)=main!$G$104,VLOOKUP(CL$1,main!$A$3:$H$102,5,FALSE)-VLOOKUP($A130,main!$A$3:$H$102,6,FALSE)&gt;=main!$D$103+VLOOKUP(VLOOKUP(CL$1,main!$A$3:$I$102,7,FALSE),main!$K$26:$Q$29,4,FALSE)),1,0)</f>
        <v>0</v>
      </c>
      <c r="CM130">
        <f>IF(AND(VLOOKUP(CM$1,main!$A$3:$H$102,7,FALSE)=main!$G$104,VLOOKUP(CM$1,main!$A$3:$H$102,5,FALSE)-VLOOKUP($A130,main!$A$3:$H$102,6,FALSE)&gt;=main!$D$103+VLOOKUP(VLOOKUP(CM$1,main!$A$3:$I$102,7,FALSE),main!$K$26:$Q$29,4,FALSE)),1,0)</f>
        <v>0</v>
      </c>
      <c r="CN130">
        <f>IF(AND(VLOOKUP(CN$1,main!$A$3:$H$102,7,FALSE)=main!$G$104,VLOOKUP(CN$1,main!$A$3:$H$102,5,FALSE)-VLOOKUP($A130,main!$A$3:$H$102,6,FALSE)&gt;=main!$D$103+VLOOKUP(VLOOKUP(CN$1,main!$A$3:$I$102,7,FALSE),main!$K$26:$Q$29,4,FALSE)),1,0)</f>
        <v>0</v>
      </c>
      <c r="CO130">
        <f>IF(AND(VLOOKUP(CO$1,main!$A$3:$H$102,7,FALSE)=main!$G$104,VLOOKUP(CO$1,main!$A$3:$H$102,5,FALSE)-VLOOKUP($A130,main!$A$3:$H$102,6,FALSE)&gt;=main!$D$103+VLOOKUP(VLOOKUP(CO$1,main!$A$3:$I$102,7,FALSE),main!$K$26:$Q$29,4,FALSE)),1,0)</f>
        <v>0</v>
      </c>
      <c r="CP130">
        <f>IF(AND(VLOOKUP(CP$1,main!$A$3:$H$102,7,FALSE)=main!$G$104,VLOOKUP(CP$1,main!$A$3:$H$102,5,FALSE)-VLOOKUP($A130,main!$A$3:$H$102,6,FALSE)&gt;=main!$D$103+VLOOKUP(VLOOKUP(CP$1,main!$A$3:$I$102,7,FALSE),main!$K$26:$Q$29,4,FALSE)),1,0)</f>
        <v>0</v>
      </c>
      <c r="CQ130">
        <f>IF(AND(VLOOKUP(CQ$1,main!$A$3:$H$102,7,FALSE)=main!$G$104,VLOOKUP(CQ$1,main!$A$3:$H$102,5,FALSE)-VLOOKUP($A130,main!$A$3:$H$102,6,FALSE)&gt;=main!$D$103+VLOOKUP(VLOOKUP(CQ$1,main!$A$3:$I$102,7,FALSE),main!$K$26:$Q$29,4,FALSE)),1,0)</f>
        <v>0</v>
      </c>
      <c r="CR130">
        <f>IF(AND(VLOOKUP(CR$1,main!$A$3:$H$102,7,FALSE)=main!$G$104,VLOOKUP(CR$1,main!$A$3:$H$102,5,FALSE)-VLOOKUP($A130,main!$A$3:$H$102,6,FALSE)&gt;=main!$D$103+VLOOKUP(VLOOKUP(CR$1,main!$A$3:$I$102,7,FALSE),main!$K$26:$Q$29,4,FALSE)),1,0)</f>
        <v>0</v>
      </c>
      <c r="CS130">
        <f>IF(AND(VLOOKUP(CS$1,main!$A$3:$H$102,7,FALSE)=main!$G$104,VLOOKUP(CS$1,main!$A$3:$H$102,5,FALSE)-VLOOKUP($A130,main!$A$3:$H$102,6,FALSE)&gt;=main!$D$103+VLOOKUP(VLOOKUP(CS$1,main!$A$3:$I$102,7,FALSE),main!$K$26:$Q$29,4,FALSE)),1,0)</f>
        <v>0</v>
      </c>
      <c r="CT130">
        <f>IF(AND(VLOOKUP(CT$1,main!$A$3:$H$102,7,FALSE)=main!$G$104,VLOOKUP(CT$1,main!$A$3:$H$102,5,FALSE)-VLOOKUP($A130,main!$A$3:$H$102,6,FALSE)&gt;=main!$D$103+VLOOKUP(VLOOKUP(CT$1,main!$A$3:$I$102,7,FALSE),main!$K$26:$Q$29,4,FALSE)),1,0)</f>
        <v>0</v>
      </c>
      <c r="CU130">
        <f>IF(AND(VLOOKUP(CU$1,main!$A$3:$H$102,7,FALSE)=main!$G$104,VLOOKUP(CU$1,main!$A$3:$H$102,5,FALSE)-VLOOKUP($A130,main!$A$3:$H$102,6,FALSE)&gt;=main!$D$103+VLOOKUP(VLOOKUP(CU$1,main!$A$3:$I$102,7,FALSE),main!$K$26:$Q$29,4,FALSE)),1,0)</f>
        <v>0</v>
      </c>
      <c r="CV130">
        <f>IF(AND(VLOOKUP(CV$1,main!$A$3:$H$102,7,FALSE)=main!$G$104,VLOOKUP(CV$1,main!$A$3:$H$102,5,FALSE)-VLOOKUP($A130,main!$A$3:$H$102,6,FALSE)&gt;=main!$D$103+VLOOKUP(VLOOKUP(CV$1,main!$A$3:$I$102,7,FALSE),main!$K$26:$Q$29,4,FALSE)),1,0)</f>
        <v>0</v>
      </c>
      <c r="CW130">
        <f>IF(AND(VLOOKUP(CW$1,main!$A$3:$H$102,7,FALSE)=main!$G$104,VLOOKUP(CW$1,main!$A$3:$H$102,5,FALSE)-VLOOKUP($A130,main!$A$3:$H$102,6,FALSE)&gt;=main!$D$103+VLOOKUP(VLOOKUP(CW$1,main!$A$3:$I$102,7,FALSE),main!$K$26:$Q$29,4,FALSE)),1,0)</f>
        <v>0</v>
      </c>
      <c r="CX130">
        <f>IF(AND(VLOOKUP(CX$1,main!$A$3:$H$102,7,FALSE)=main!$G$104,VLOOKUP(CX$1,main!$A$3:$H$102,5,FALSE)-VLOOKUP($A130,main!$A$3:$H$102,6,FALSE)&gt;=main!$D$103+VLOOKUP(VLOOKUP(CX$1,main!$A$3:$I$102,7,FALSE),main!$K$26:$Q$29,4,FALSE)),1,0)</f>
        <v>0</v>
      </c>
    </row>
    <row r="131" spans="1:109" x14ac:dyDescent="0.25">
      <c r="A131" s="1">
        <v>28</v>
      </c>
      <c r="B131">
        <v>0</v>
      </c>
      <c r="C131">
        <f>IF(AND(VLOOKUP(C$1,main!$A$3:$H$102,7,FALSE)=main!$G$104,VLOOKUP(C$1,main!$A$3:$H$102,5,FALSE)-VLOOKUP($A131,main!$A$3:$H$102,6,FALSE)&gt;=main!$D$103+VLOOKUP(VLOOKUP(C$1,main!$A$3:$I$102,7,FALSE),main!$K$26:$Q$29,4,FALSE)),1,0)</f>
        <v>0</v>
      </c>
      <c r="D131">
        <f>IF(AND(VLOOKUP(D$1,main!$A$3:$H$102,7,FALSE)=main!$G$104,VLOOKUP(D$1,main!$A$3:$H$102,5,FALSE)-VLOOKUP($A131,main!$A$3:$H$102,6,FALSE)&gt;=main!$D$103+VLOOKUP(VLOOKUP(D$1,main!$A$3:$I$102,7,FALSE),main!$K$26:$Q$29,4,FALSE)),1,0)</f>
        <v>0</v>
      </c>
      <c r="E131">
        <f>IF(AND(VLOOKUP(E$1,main!$A$3:$H$102,7,FALSE)=main!$G$104,VLOOKUP(E$1,main!$A$3:$H$102,5,FALSE)-VLOOKUP($A131,main!$A$3:$H$102,6,FALSE)&gt;=main!$D$103+VLOOKUP(VLOOKUP(E$1,main!$A$3:$I$102,7,FALSE),main!$K$26:$Q$29,4,FALSE)),1,0)</f>
        <v>0</v>
      </c>
      <c r="F131">
        <f>IF(AND(VLOOKUP(F$1,main!$A$3:$H$102,7,FALSE)=main!$G$104,VLOOKUP(F$1,main!$A$3:$H$102,5,FALSE)-VLOOKUP($A131,main!$A$3:$H$102,6,FALSE)&gt;=main!$D$103+VLOOKUP(VLOOKUP(F$1,main!$A$3:$I$102,7,FALSE),main!$K$26:$Q$29,4,FALSE)),1,0)</f>
        <v>0</v>
      </c>
      <c r="G131">
        <f>IF(AND(VLOOKUP(G$1,main!$A$3:$H$102,7,FALSE)=main!$G$104,VLOOKUP(G$1,main!$A$3:$H$102,5,FALSE)-VLOOKUP($A131,main!$A$3:$H$102,6,FALSE)&gt;=main!$D$103+VLOOKUP(VLOOKUP(G$1,main!$A$3:$I$102,7,FALSE),main!$K$26:$Q$29,4,FALSE)),1,0)</f>
        <v>0</v>
      </c>
      <c r="H131">
        <f>IF(AND(VLOOKUP(H$1,main!$A$3:$H$102,7,FALSE)=main!$G$104,VLOOKUP(H$1,main!$A$3:$H$102,5,FALSE)-VLOOKUP($A131,main!$A$3:$H$102,6,FALSE)&gt;=main!$D$103+VLOOKUP(VLOOKUP(H$1,main!$A$3:$I$102,7,FALSE),main!$K$26:$Q$29,4,FALSE)),1,0)</f>
        <v>0</v>
      </c>
      <c r="I131">
        <f>IF(AND(VLOOKUP(I$1,main!$A$3:$H$102,7,FALSE)=main!$G$104,VLOOKUP(I$1,main!$A$3:$H$102,5,FALSE)-VLOOKUP($A131,main!$A$3:$H$102,6,FALSE)&gt;=main!$D$103+VLOOKUP(VLOOKUP(I$1,main!$A$3:$I$102,7,FALSE),main!$K$26:$Q$29,4,FALSE)),1,0)</f>
        <v>1</v>
      </c>
      <c r="J131">
        <f>IF(AND(VLOOKUP(J$1,main!$A$3:$H$102,7,FALSE)=main!$G$104,VLOOKUP(J$1,main!$A$3:$H$102,5,FALSE)-VLOOKUP($A131,main!$A$3:$H$102,6,FALSE)&gt;=main!$D$103+VLOOKUP(VLOOKUP(J$1,main!$A$3:$I$102,7,FALSE),main!$K$26:$Q$29,4,FALSE)),1,0)</f>
        <v>1</v>
      </c>
      <c r="K131">
        <f>IF(AND(VLOOKUP(K$1,main!$A$3:$H$102,7,FALSE)=main!$G$104,VLOOKUP(K$1,main!$A$3:$H$102,5,FALSE)-VLOOKUP($A131,main!$A$3:$H$102,6,FALSE)&gt;=main!$D$103+VLOOKUP(VLOOKUP(K$1,main!$A$3:$I$102,7,FALSE),main!$K$26:$Q$29,4,FALSE)),1,0)</f>
        <v>1</v>
      </c>
      <c r="L131">
        <f>IF(AND(VLOOKUP(L$1,main!$A$3:$H$102,7,FALSE)=main!$G$104,VLOOKUP(L$1,main!$A$3:$H$102,5,FALSE)-VLOOKUP($A131,main!$A$3:$H$102,6,FALSE)&gt;=main!$D$103+VLOOKUP(VLOOKUP(L$1,main!$A$3:$I$102,7,FALSE),main!$K$26:$Q$29,4,FALSE)),1,0)</f>
        <v>1</v>
      </c>
      <c r="M131">
        <f>IF(AND(VLOOKUP(M$1,main!$A$3:$H$102,7,FALSE)=main!$G$104,VLOOKUP(M$1,main!$A$3:$H$102,5,FALSE)-VLOOKUP($A131,main!$A$3:$H$102,6,FALSE)&gt;=main!$D$103+VLOOKUP(VLOOKUP(M$1,main!$A$3:$I$102,7,FALSE),main!$K$26:$Q$29,4,FALSE)),1,0)</f>
        <v>0</v>
      </c>
      <c r="N131">
        <f>IF(AND(VLOOKUP(N$1,main!$A$3:$H$102,7,FALSE)=main!$G$104,VLOOKUP(N$1,main!$A$3:$H$102,5,FALSE)-VLOOKUP($A131,main!$A$3:$H$102,6,FALSE)&gt;=main!$D$103+VLOOKUP(VLOOKUP(N$1,main!$A$3:$I$102,7,FALSE),main!$K$26:$Q$29,4,FALSE)),1,0)</f>
        <v>0</v>
      </c>
      <c r="O131">
        <f>IF(AND(VLOOKUP(O$1,main!$A$3:$H$102,7,FALSE)=main!$G$104,VLOOKUP(O$1,main!$A$3:$H$102,5,FALSE)-VLOOKUP($A131,main!$A$3:$H$102,6,FALSE)&gt;=main!$D$103+VLOOKUP(VLOOKUP(O$1,main!$A$3:$I$102,7,FALSE),main!$K$26:$Q$29,4,FALSE)),1,0)</f>
        <v>0</v>
      </c>
      <c r="P131">
        <f>IF(AND(VLOOKUP(P$1,main!$A$3:$H$102,7,FALSE)=main!$G$104,VLOOKUP(P$1,main!$A$3:$H$102,5,FALSE)-VLOOKUP($A131,main!$A$3:$H$102,6,FALSE)&gt;=main!$D$103+VLOOKUP(VLOOKUP(P$1,main!$A$3:$I$102,7,FALSE),main!$K$26:$Q$29,4,FALSE)),1,0)</f>
        <v>0</v>
      </c>
      <c r="Q131">
        <f>IF(AND(VLOOKUP(Q$1,main!$A$3:$H$102,7,FALSE)=main!$G$104,VLOOKUP(Q$1,main!$A$3:$H$102,5,FALSE)-VLOOKUP($A131,main!$A$3:$H$102,6,FALSE)&gt;=main!$D$103+VLOOKUP(VLOOKUP(Q$1,main!$A$3:$I$102,7,FALSE),main!$K$26:$Q$29,4,FALSE)),1,0)</f>
        <v>0</v>
      </c>
      <c r="R131">
        <f>IF(AND(VLOOKUP(R$1,main!$A$3:$H$102,7,FALSE)=main!$G$104,VLOOKUP(R$1,main!$A$3:$H$102,5,FALSE)-VLOOKUP($A131,main!$A$3:$H$102,6,FALSE)&gt;=main!$D$103+VLOOKUP(VLOOKUP(R$1,main!$A$3:$I$102,7,FALSE),main!$K$26:$Q$29,4,FALSE)),1,0)</f>
        <v>0</v>
      </c>
      <c r="S131">
        <f>IF(AND(VLOOKUP(S$1,main!$A$3:$H$102,7,FALSE)=main!$G$104,VLOOKUP(S$1,main!$A$3:$H$102,5,FALSE)-VLOOKUP($A131,main!$A$3:$H$102,6,FALSE)&gt;=main!$D$103+VLOOKUP(VLOOKUP(S$1,main!$A$3:$I$102,7,FALSE),main!$K$26:$Q$29,4,FALSE)),1,0)</f>
        <v>0</v>
      </c>
      <c r="T131">
        <f>IF(AND(VLOOKUP(T$1,main!$A$3:$H$102,7,FALSE)=main!$G$104,VLOOKUP(T$1,main!$A$3:$H$102,5,FALSE)-VLOOKUP($A131,main!$A$3:$H$102,6,FALSE)&gt;=main!$D$103+VLOOKUP(VLOOKUP(T$1,main!$A$3:$I$102,7,FALSE),main!$K$26:$Q$29,4,FALSE)),1,0)</f>
        <v>1</v>
      </c>
      <c r="U131">
        <f>IF(AND(VLOOKUP(U$1,main!$A$3:$H$102,7,FALSE)=main!$G$104,VLOOKUP(U$1,main!$A$3:$H$102,5,FALSE)-VLOOKUP($A131,main!$A$3:$H$102,6,FALSE)&gt;=main!$D$103+VLOOKUP(VLOOKUP(U$1,main!$A$3:$I$102,7,FALSE),main!$K$26:$Q$29,4,FALSE)),1,0)</f>
        <v>1</v>
      </c>
      <c r="V131">
        <f>IF(AND(VLOOKUP(V$1,main!$A$3:$H$102,7,FALSE)=main!$G$104,VLOOKUP(V$1,main!$A$3:$H$102,5,FALSE)-VLOOKUP($A131,main!$A$3:$H$102,6,FALSE)&gt;=main!$D$103+VLOOKUP(VLOOKUP(V$1,main!$A$3:$I$102,7,FALSE),main!$K$26:$Q$29,4,FALSE)),1,0)</f>
        <v>1</v>
      </c>
      <c r="W131">
        <f>IF(AND(VLOOKUP(W$1,main!$A$3:$H$102,7,FALSE)=main!$G$104,VLOOKUP(W$1,main!$A$3:$H$102,5,FALSE)-VLOOKUP($A131,main!$A$3:$H$102,6,FALSE)&gt;=main!$D$103+VLOOKUP(VLOOKUP(W$1,main!$A$3:$I$102,7,FALSE),main!$K$26:$Q$29,4,FALSE)),1,0)</f>
        <v>0</v>
      </c>
      <c r="X131">
        <f>IF(AND(VLOOKUP(X$1,main!$A$3:$H$102,7,FALSE)=main!$G$104,VLOOKUP(X$1,main!$A$3:$H$102,5,FALSE)-VLOOKUP($A131,main!$A$3:$H$102,6,FALSE)&gt;=main!$D$103+VLOOKUP(VLOOKUP(X$1,main!$A$3:$I$102,7,FALSE),main!$K$26:$Q$29,4,FALSE)),1,0)</f>
        <v>0</v>
      </c>
      <c r="Y131">
        <f>IF(AND(VLOOKUP(Y$1,main!$A$3:$H$102,7,FALSE)=main!$G$104,VLOOKUP(Y$1,main!$A$3:$H$102,5,FALSE)-VLOOKUP($A131,main!$A$3:$H$102,6,FALSE)&gt;=main!$D$103+VLOOKUP(VLOOKUP(Y$1,main!$A$3:$I$102,7,FALSE),main!$K$26:$Q$29,4,FALSE)),1,0)</f>
        <v>0</v>
      </c>
      <c r="Z131">
        <f>IF(AND(VLOOKUP(Z$1,main!$A$3:$H$102,7,FALSE)=main!$G$104,VLOOKUP(Z$1,main!$A$3:$H$102,5,FALSE)-VLOOKUP($A131,main!$A$3:$H$102,6,FALSE)&gt;=main!$D$103+VLOOKUP(VLOOKUP(Z$1,main!$A$3:$I$102,7,FALSE),main!$K$26:$Q$29,4,FALSE)),1,0)</f>
        <v>1</v>
      </c>
      <c r="AA131">
        <f>IF(AND(VLOOKUP(AA$1,main!$A$3:$H$102,7,FALSE)=main!$G$104,VLOOKUP(AA$1,main!$A$3:$H$102,5,FALSE)-VLOOKUP($A131,main!$A$3:$H$102,6,FALSE)&gt;=main!$D$103+VLOOKUP(VLOOKUP(AA$1,main!$A$3:$I$102,7,FALSE),main!$K$26:$Q$29,4,FALSE)),1,0)</f>
        <v>1</v>
      </c>
      <c r="AB131">
        <f>IF(AND(VLOOKUP(AB$1,main!$A$3:$H$102,7,FALSE)=main!$G$104,VLOOKUP(AB$1,main!$A$3:$H$102,5,FALSE)-VLOOKUP($A131,main!$A$3:$H$102,6,FALSE)&gt;=main!$D$103+VLOOKUP(VLOOKUP(AB$1,main!$A$3:$I$102,7,FALSE),main!$K$26:$Q$29,4,FALSE)),1,0)</f>
        <v>0</v>
      </c>
      <c r="AC131">
        <f>IF(AND(VLOOKUP(AC$1,main!$A$3:$H$102,7,FALSE)=main!$G$104,VLOOKUP(AC$1,main!$A$3:$H$102,5,FALSE)-VLOOKUP($A131,main!$A$3:$H$102,6,FALSE)&gt;=main!$D$103+VLOOKUP(VLOOKUP(AC$1,main!$A$3:$I$102,7,FALSE),main!$K$26:$Q$29,4,FALSE)),1,0)</f>
        <v>0</v>
      </c>
      <c r="AD131">
        <f>IF(AND(VLOOKUP(AD$1,main!$A$3:$H$102,7,FALSE)=main!$G$104,VLOOKUP(AD$1,main!$A$3:$H$102,5,FALSE)-VLOOKUP($A131,main!$A$3:$H$102,6,FALSE)&gt;=main!$D$103+VLOOKUP(VLOOKUP(AD$1,main!$A$3:$I$102,7,FALSE),main!$K$26:$Q$29,4,FALSE)),1,0)</f>
        <v>0</v>
      </c>
      <c r="AE131">
        <f>IF(AND(VLOOKUP(AE$1,main!$A$3:$H$102,7,FALSE)=main!$G$104,VLOOKUP(AE$1,main!$A$3:$H$102,5,FALSE)-VLOOKUP($A131,main!$A$3:$H$102,6,FALSE)&gt;=main!$D$103+VLOOKUP(VLOOKUP(AE$1,main!$A$3:$I$102,7,FALSE),main!$K$26:$Q$29,4,FALSE)),1,0)</f>
        <v>0</v>
      </c>
      <c r="AF131">
        <f>IF(AND(VLOOKUP(AF$1,main!$A$3:$H$102,7,FALSE)=main!$G$104,VLOOKUP(AF$1,main!$A$3:$H$102,5,FALSE)-VLOOKUP($A131,main!$A$3:$H$102,6,FALSE)&gt;=main!$D$103+VLOOKUP(VLOOKUP(AF$1,main!$A$3:$I$102,7,FALSE),main!$K$26:$Q$29,4,FALSE)),1,0)</f>
        <v>1</v>
      </c>
      <c r="AG131">
        <f>IF(AND(VLOOKUP(AG$1,main!$A$3:$H$102,7,FALSE)=main!$G$104,VLOOKUP(AG$1,main!$A$3:$H$102,5,FALSE)-VLOOKUP($A131,main!$A$3:$H$102,6,FALSE)&gt;=main!$D$103+VLOOKUP(VLOOKUP(AG$1,main!$A$3:$I$102,7,FALSE),main!$K$26:$Q$29,4,FALSE)),1,0)</f>
        <v>0</v>
      </c>
      <c r="AH131">
        <f>IF(AND(VLOOKUP(AH$1,main!$A$3:$H$102,7,FALSE)=main!$G$104,VLOOKUP(AH$1,main!$A$3:$H$102,5,FALSE)-VLOOKUP($A131,main!$A$3:$H$102,6,FALSE)&gt;=main!$D$103+VLOOKUP(VLOOKUP(AH$1,main!$A$3:$I$102,7,FALSE),main!$K$26:$Q$29,4,FALSE)),1,0)</f>
        <v>0</v>
      </c>
      <c r="AI131">
        <f>IF(AND(VLOOKUP(AI$1,main!$A$3:$H$102,7,FALSE)=main!$G$104,VLOOKUP(AI$1,main!$A$3:$H$102,5,FALSE)-VLOOKUP($A131,main!$A$3:$H$102,6,FALSE)&gt;=main!$D$103+VLOOKUP(VLOOKUP(AI$1,main!$A$3:$I$102,7,FALSE),main!$K$26:$Q$29,4,FALSE)),1,0)</f>
        <v>0</v>
      </c>
      <c r="AJ131">
        <f>IF(AND(VLOOKUP(AJ$1,main!$A$3:$H$102,7,FALSE)=main!$G$104,VLOOKUP(AJ$1,main!$A$3:$H$102,5,FALSE)-VLOOKUP($A131,main!$A$3:$H$102,6,FALSE)&gt;=main!$D$103+VLOOKUP(VLOOKUP(AJ$1,main!$A$3:$I$102,7,FALSE),main!$K$26:$Q$29,4,FALSE)),1,0)</f>
        <v>0</v>
      </c>
      <c r="AK131">
        <f>IF(AND(VLOOKUP(AK$1,main!$A$3:$H$102,7,FALSE)=main!$G$104,VLOOKUP(AK$1,main!$A$3:$H$102,5,FALSE)-VLOOKUP($A131,main!$A$3:$H$102,6,FALSE)&gt;=main!$D$103+VLOOKUP(VLOOKUP(AK$1,main!$A$3:$I$102,7,FALSE),main!$K$26:$Q$29,4,FALSE)),1,0)</f>
        <v>0</v>
      </c>
      <c r="AL131">
        <f>IF(AND(VLOOKUP(AL$1,main!$A$3:$H$102,7,FALSE)=main!$G$104,VLOOKUP(AL$1,main!$A$3:$H$102,5,FALSE)-VLOOKUP($A131,main!$A$3:$H$102,6,FALSE)&gt;=main!$D$103+VLOOKUP(VLOOKUP(AL$1,main!$A$3:$I$102,7,FALSE),main!$K$26:$Q$29,4,FALSE)),1,0)</f>
        <v>0</v>
      </c>
      <c r="AM131">
        <f>IF(AND(VLOOKUP(AM$1,main!$A$3:$H$102,7,FALSE)=main!$G$104,VLOOKUP(AM$1,main!$A$3:$H$102,5,FALSE)-VLOOKUP($A131,main!$A$3:$H$102,6,FALSE)&gt;=main!$D$103+VLOOKUP(VLOOKUP(AM$1,main!$A$3:$I$102,7,FALSE),main!$K$26:$Q$29,4,FALSE)),1,0)</f>
        <v>0</v>
      </c>
      <c r="AN131">
        <f>IF(AND(VLOOKUP(AN$1,main!$A$3:$H$102,7,FALSE)=main!$G$104,VLOOKUP(AN$1,main!$A$3:$H$102,5,FALSE)-VLOOKUP($A131,main!$A$3:$H$102,6,FALSE)&gt;=main!$D$103+VLOOKUP(VLOOKUP(AN$1,main!$A$3:$I$102,7,FALSE),main!$K$26:$Q$29,4,FALSE)),1,0)</f>
        <v>0</v>
      </c>
      <c r="AO131">
        <f>IF(AND(VLOOKUP(AO$1,main!$A$3:$H$102,7,FALSE)=main!$G$104,VLOOKUP(AO$1,main!$A$3:$H$102,5,FALSE)-VLOOKUP($A131,main!$A$3:$H$102,6,FALSE)&gt;=main!$D$103+VLOOKUP(VLOOKUP(AO$1,main!$A$3:$I$102,7,FALSE),main!$K$26:$Q$29,4,FALSE)),1,0)</f>
        <v>0</v>
      </c>
      <c r="AP131">
        <f>IF(AND(VLOOKUP(AP$1,main!$A$3:$H$102,7,FALSE)=main!$G$104,VLOOKUP(AP$1,main!$A$3:$H$102,5,FALSE)-VLOOKUP($A131,main!$A$3:$H$102,6,FALSE)&gt;=main!$D$103+VLOOKUP(VLOOKUP(AP$1,main!$A$3:$I$102,7,FALSE),main!$K$26:$Q$29,4,FALSE)),1,0)</f>
        <v>0</v>
      </c>
      <c r="AQ131">
        <f>IF(AND(VLOOKUP(AQ$1,main!$A$3:$H$102,7,FALSE)=main!$G$104,VLOOKUP(AQ$1,main!$A$3:$H$102,5,FALSE)-VLOOKUP($A131,main!$A$3:$H$102,6,FALSE)&gt;=main!$D$103+VLOOKUP(VLOOKUP(AQ$1,main!$A$3:$I$102,7,FALSE),main!$K$26:$Q$29,4,FALSE)),1,0)</f>
        <v>0</v>
      </c>
      <c r="AR131">
        <f>IF(AND(VLOOKUP(AR$1,main!$A$3:$H$102,7,FALSE)=main!$G$104,VLOOKUP(AR$1,main!$A$3:$H$102,5,FALSE)-VLOOKUP($A131,main!$A$3:$H$102,6,FALSE)&gt;=main!$D$103+VLOOKUP(VLOOKUP(AR$1,main!$A$3:$I$102,7,FALSE),main!$K$26:$Q$29,4,FALSE)),1,0)</f>
        <v>0</v>
      </c>
      <c r="AS131">
        <f>IF(AND(VLOOKUP(AS$1,main!$A$3:$H$102,7,FALSE)=main!$G$104,VLOOKUP(AS$1,main!$A$3:$H$102,5,FALSE)-VLOOKUP($A131,main!$A$3:$H$102,6,FALSE)&gt;=main!$D$103+VLOOKUP(VLOOKUP(AS$1,main!$A$3:$I$102,7,FALSE),main!$K$26:$Q$29,4,FALSE)),1,0)</f>
        <v>0</v>
      </c>
      <c r="AT131">
        <f>IF(AND(VLOOKUP(AT$1,main!$A$3:$H$102,7,FALSE)=main!$G$104,VLOOKUP(AT$1,main!$A$3:$H$102,5,FALSE)-VLOOKUP($A131,main!$A$3:$H$102,6,FALSE)&gt;=main!$D$103+VLOOKUP(VLOOKUP(AT$1,main!$A$3:$I$102,7,FALSE),main!$K$26:$Q$29,4,FALSE)),1,0)</f>
        <v>0</v>
      </c>
      <c r="AU131">
        <f>IF(AND(VLOOKUP(AU$1,main!$A$3:$H$102,7,FALSE)=main!$G$104,VLOOKUP(AU$1,main!$A$3:$H$102,5,FALSE)-VLOOKUP($A131,main!$A$3:$H$102,6,FALSE)&gt;=main!$D$103+VLOOKUP(VLOOKUP(AU$1,main!$A$3:$I$102,7,FALSE),main!$K$26:$Q$29,4,FALSE)),1,0)</f>
        <v>0</v>
      </c>
      <c r="AV131">
        <f>IF(AND(VLOOKUP(AV$1,main!$A$3:$H$102,7,FALSE)=main!$G$104,VLOOKUP(AV$1,main!$A$3:$H$102,5,FALSE)-VLOOKUP($A131,main!$A$3:$H$102,6,FALSE)&gt;=main!$D$103+VLOOKUP(VLOOKUP(AV$1,main!$A$3:$I$102,7,FALSE),main!$K$26:$Q$29,4,FALSE)),1,0)</f>
        <v>0</v>
      </c>
      <c r="AW131">
        <f>IF(AND(VLOOKUP(AW$1,main!$A$3:$H$102,7,FALSE)=main!$G$104,VLOOKUP(AW$1,main!$A$3:$H$102,5,FALSE)-VLOOKUP($A131,main!$A$3:$H$102,6,FALSE)&gt;=main!$D$103+VLOOKUP(VLOOKUP(AW$1,main!$A$3:$I$102,7,FALSE),main!$K$26:$Q$29,4,FALSE)),1,0)</f>
        <v>0</v>
      </c>
      <c r="AX131">
        <f>IF(AND(VLOOKUP(AX$1,main!$A$3:$H$102,7,FALSE)=main!$G$104,VLOOKUP(AX$1,main!$A$3:$H$102,5,FALSE)-VLOOKUP($A131,main!$A$3:$H$102,6,FALSE)&gt;=main!$D$103+VLOOKUP(VLOOKUP(AX$1,main!$A$3:$I$102,7,FALSE),main!$K$26:$Q$29,4,FALSE)),1,0)</f>
        <v>0</v>
      </c>
      <c r="AY131">
        <f>IF(AND(VLOOKUP(AY$1,main!$A$3:$H$102,7,FALSE)=main!$G$104,VLOOKUP(AY$1,main!$A$3:$H$102,5,FALSE)-VLOOKUP($A131,main!$A$3:$H$102,6,FALSE)&gt;=main!$D$103+VLOOKUP(VLOOKUP(AY$1,main!$A$3:$I$102,7,FALSE),main!$K$26:$Q$29,4,FALSE)),1,0)</f>
        <v>0</v>
      </c>
      <c r="AZ131">
        <f>IF(AND(VLOOKUP(AZ$1,main!$A$3:$H$102,7,FALSE)=main!$G$104,VLOOKUP(AZ$1,main!$A$3:$H$102,5,FALSE)-VLOOKUP($A131,main!$A$3:$H$102,6,FALSE)&gt;=main!$D$103+VLOOKUP(VLOOKUP(AZ$1,main!$A$3:$I$102,7,FALSE),main!$K$26:$Q$29,4,FALSE)),1,0)</f>
        <v>0</v>
      </c>
      <c r="BA131">
        <f>IF(AND(VLOOKUP(BA$1,main!$A$3:$H$102,7,FALSE)=main!$G$104,VLOOKUP(BA$1,main!$A$3:$H$102,5,FALSE)-VLOOKUP($A131,main!$A$3:$H$102,6,FALSE)&gt;=main!$D$103+VLOOKUP(VLOOKUP(BA$1,main!$A$3:$I$102,7,FALSE),main!$K$26:$Q$29,4,FALSE)),1,0)</f>
        <v>0</v>
      </c>
      <c r="BB131">
        <f>IF(AND(VLOOKUP(BB$1,main!$A$3:$H$102,7,FALSE)=main!$G$104,VLOOKUP(BB$1,main!$A$3:$H$102,5,FALSE)-VLOOKUP($A131,main!$A$3:$H$102,6,FALSE)&gt;=main!$D$103+VLOOKUP(VLOOKUP(BB$1,main!$A$3:$I$102,7,FALSE),main!$K$26:$Q$29,4,FALSE)),1,0)</f>
        <v>0</v>
      </c>
      <c r="BC131">
        <f>IF(AND(VLOOKUP(BC$1,main!$A$3:$H$102,7,FALSE)=main!$G$104,VLOOKUP(BC$1,main!$A$3:$H$102,5,FALSE)-VLOOKUP($A131,main!$A$3:$H$102,6,FALSE)&gt;=main!$D$103+VLOOKUP(VLOOKUP(BC$1,main!$A$3:$I$102,7,FALSE),main!$K$26:$Q$29,4,FALSE)),1,0)</f>
        <v>0</v>
      </c>
      <c r="BD131">
        <f>IF(AND(VLOOKUP(BD$1,main!$A$3:$H$102,7,FALSE)=main!$G$104,VLOOKUP(BD$1,main!$A$3:$H$102,5,FALSE)-VLOOKUP($A131,main!$A$3:$H$102,6,FALSE)&gt;=main!$D$103+VLOOKUP(VLOOKUP(BD$1,main!$A$3:$I$102,7,FALSE),main!$K$26:$Q$29,4,FALSE)),1,0)</f>
        <v>0</v>
      </c>
      <c r="BE131">
        <f>IF(AND(VLOOKUP(BE$1,main!$A$3:$H$102,7,FALSE)=main!$G$104,VLOOKUP(BE$1,main!$A$3:$H$102,5,FALSE)-VLOOKUP($A131,main!$A$3:$H$102,6,FALSE)&gt;=main!$D$103+VLOOKUP(VLOOKUP(BE$1,main!$A$3:$I$102,7,FALSE),main!$K$26:$Q$29,4,FALSE)),1,0)</f>
        <v>0</v>
      </c>
      <c r="BF131">
        <f>IF(AND(VLOOKUP(BF$1,main!$A$3:$H$102,7,FALSE)=main!$G$104,VLOOKUP(BF$1,main!$A$3:$H$102,5,FALSE)-VLOOKUP($A131,main!$A$3:$H$102,6,FALSE)&gt;=main!$D$103+VLOOKUP(VLOOKUP(BF$1,main!$A$3:$I$102,7,FALSE),main!$K$26:$Q$29,4,FALSE)),1,0)</f>
        <v>0</v>
      </c>
      <c r="BG131">
        <f>IF(AND(VLOOKUP(BG$1,main!$A$3:$H$102,7,FALSE)=main!$G$104,VLOOKUP(BG$1,main!$A$3:$H$102,5,FALSE)-VLOOKUP($A131,main!$A$3:$H$102,6,FALSE)&gt;=main!$D$103+VLOOKUP(VLOOKUP(BG$1,main!$A$3:$I$102,7,FALSE),main!$K$26:$Q$29,4,FALSE)),1,0)</f>
        <v>0</v>
      </c>
      <c r="BH131">
        <f>IF(AND(VLOOKUP(BH$1,main!$A$3:$H$102,7,FALSE)=main!$G$104,VLOOKUP(BH$1,main!$A$3:$H$102,5,FALSE)-VLOOKUP($A131,main!$A$3:$H$102,6,FALSE)&gt;=main!$D$103+VLOOKUP(VLOOKUP(BH$1,main!$A$3:$I$102,7,FALSE),main!$K$26:$Q$29,4,FALSE)),1,0)</f>
        <v>0</v>
      </c>
      <c r="BI131">
        <f>IF(AND(VLOOKUP(BI$1,main!$A$3:$H$102,7,FALSE)=main!$G$104,VLOOKUP(BI$1,main!$A$3:$H$102,5,FALSE)-VLOOKUP($A131,main!$A$3:$H$102,6,FALSE)&gt;=main!$D$103+VLOOKUP(VLOOKUP(BI$1,main!$A$3:$I$102,7,FALSE),main!$K$26:$Q$29,4,FALSE)),1,0)</f>
        <v>0</v>
      </c>
      <c r="BJ131">
        <f>IF(AND(VLOOKUP(BJ$1,main!$A$3:$H$102,7,FALSE)=main!$G$104,VLOOKUP(BJ$1,main!$A$3:$H$102,5,FALSE)-VLOOKUP($A131,main!$A$3:$H$102,6,FALSE)&gt;=main!$D$103+VLOOKUP(VLOOKUP(BJ$1,main!$A$3:$I$102,7,FALSE),main!$K$26:$Q$29,4,FALSE)),1,0)</f>
        <v>0</v>
      </c>
      <c r="BK131">
        <f>IF(AND(VLOOKUP(BK$1,main!$A$3:$H$102,7,FALSE)=main!$G$104,VLOOKUP(BK$1,main!$A$3:$H$102,5,FALSE)-VLOOKUP($A131,main!$A$3:$H$102,6,FALSE)&gt;=main!$D$103+VLOOKUP(VLOOKUP(BK$1,main!$A$3:$I$102,7,FALSE),main!$K$26:$Q$29,4,FALSE)),1,0)</f>
        <v>0</v>
      </c>
      <c r="BL131">
        <f>IF(AND(VLOOKUP(BL$1,main!$A$3:$H$102,7,FALSE)=main!$G$104,VLOOKUP(BL$1,main!$A$3:$H$102,5,FALSE)-VLOOKUP($A131,main!$A$3:$H$102,6,FALSE)&gt;=main!$D$103+VLOOKUP(VLOOKUP(BL$1,main!$A$3:$I$102,7,FALSE),main!$K$26:$Q$29,4,FALSE)),1,0)</f>
        <v>0</v>
      </c>
      <c r="BM131">
        <f>IF(AND(VLOOKUP(BM$1,main!$A$3:$H$102,7,FALSE)=main!$G$104,VLOOKUP(BM$1,main!$A$3:$H$102,5,FALSE)-VLOOKUP($A131,main!$A$3:$H$102,6,FALSE)&gt;=main!$D$103+VLOOKUP(VLOOKUP(BM$1,main!$A$3:$I$102,7,FALSE),main!$K$26:$Q$29,4,FALSE)),1,0)</f>
        <v>0</v>
      </c>
      <c r="BN131">
        <f>IF(AND(VLOOKUP(BN$1,main!$A$3:$H$102,7,FALSE)=main!$G$104,VLOOKUP(BN$1,main!$A$3:$H$102,5,FALSE)-VLOOKUP($A131,main!$A$3:$H$102,6,FALSE)&gt;=main!$D$103+VLOOKUP(VLOOKUP(BN$1,main!$A$3:$I$102,7,FALSE),main!$K$26:$Q$29,4,FALSE)),1,0)</f>
        <v>0</v>
      </c>
      <c r="BO131">
        <f>IF(AND(VLOOKUP(BO$1,main!$A$3:$H$102,7,FALSE)=main!$G$104,VLOOKUP(BO$1,main!$A$3:$H$102,5,FALSE)-VLOOKUP($A131,main!$A$3:$H$102,6,FALSE)&gt;=main!$D$103+VLOOKUP(VLOOKUP(BO$1,main!$A$3:$I$102,7,FALSE),main!$K$26:$Q$29,4,FALSE)),1,0)</f>
        <v>0</v>
      </c>
      <c r="BP131">
        <f>IF(AND(VLOOKUP(BP$1,main!$A$3:$H$102,7,FALSE)=main!$G$104,VLOOKUP(BP$1,main!$A$3:$H$102,5,FALSE)-VLOOKUP($A131,main!$A$3:$H$102,6,FALSE)&gt;=main!$D$103+VLOOKUP(VLOOKUP(BP$1,main!$A$3:$I$102,7,FALSE),main!$K$26:$Q$29,4,FALSE)),1,0)</f>
        <v>0</v>
      </c>
      <c r="BQ131">
        <f>IF(AND(VLOOKUP(BQ$1,main!$A$3:$H$102,7,FALSE)=main!$G$104,VLOOKUP(BQ$1,main!$A$3:$H$102,5,FALSE)-VLOOKUP($A131,main!$A$3:$H$102,6,FALSE)&gt;=main!$D$103+VLOOKUP(VLOOKUP(BQ$1,main!$A$3:$I$102,7,FALSE),main!$K$26:$Q$29,4,FALSE)),1,0)</f>
        <v>0</v>
      </c>
      <c r="BR131">
        <f>IF(AND(VLOOKUP(BR$1,main!$A$3:$H$102,7,FALSE)=main!$G$104,VLOOKUP(BR$1,main!$A$3:$H$102,5,FALSE)-VLOOKUP($A131,main!$A$3:$H$102,6,FALSE)&gt;=main!$D$103+VLOOKUP(VLOOKUP(BR$1,main!$A$3:$I$102,7,FALSE),main!$K$26:$Q$29,4,FALSE)),1,0)</f>
        <v>0</v>
      </c>
      <c r="BS131">
        <f>IF(AND(VLOOKUP(BS$1,main!$A$3:$H$102,7,FALSE)=main!$G$104,VLOOKUP(BS$1,main!$A$3:$H$102,5,FALSE)-VLOOKUP($A131,main!$A$3:$H$102,6,FALSE)&gt;=main!$D$103+VLOOKUP(VLOOKUP(BS$1,main!$A$3:$I$102,7,FALSE),main!$K$26:$Q$29,4,FALSE)),1,0)</f>
        <v>0</v>
      </c>
      <c r="BT131">
        <f>IF(AND(VLOOKUP(BT$1,main!$A$3:$H$102,7,FALSE)=main!$G$104,VLOOKUP(BT$1,main!$A$3:$H$102,5,FALSE)-VLOOKUP($A131,main!$A$3:$H$102,6,FALSE)&gt;=main!$D$103+VLOOKUP(VLOOKUP(BT$1,main!$A$3:$I$102,7,FALSE),main!$K$26:$Q$29,4,FALSE)),1,0)</f>
        <v>0</v>
      </c>
      <c r="BU131">
        <f>IF(AND(VLOOKUP(BU$1,main!$A$3:$H$102,7,FALSE)=main!$G$104,VLOOKUP(BU$1,main!$A$3:$H$102,5,FALSE)-VLOOKUP($A131,main!$A$3:$H$102,6,FALSE)&gt;=main!$D$103+VLOOKUP(VLOOKUP(BU$1,main!$A$3:$I$102,7,FALSE),main!$K$26:$Q$29,4,FALSE)),1,0)</f>
        <v>0</v>
      </c>
      <c r="BV131">
        <f>IF(AND(VLOOKUP(BV$1,main!$A$3:$H$102,7,FALSE)=main!$G$104,VLOOKUP(BV$1,main!$A$3:$H$102,5,FALSE)-VLOOKUP($A131,main!$A$3:$H$102,6,FALSE)&gt;=main!$D$103+VLOOKUP(VLOOKUP(BV$1,main!$A$3:$I$102,7,FALSE),main!$K$26:$Q$29,4,FALSE)),1,0)</f>
        <v>0</v>
      </c>
      <c r="BW131">
        <f>IF(AND(VLOOKUP(BW$1,main!$A$3:$H$102,7,FALSE)=main!$G$104,VLOOKUP(BW$1,main!$A$3:$H$102,5,FALSE)-VLOOKUP($A131,main!$A$3:$H$102,6,FALSE)&gt;=main!$D$103+VLOOKUP(VLOOKUP(BW$1,main!$A$3:$I$102,7,FALSE),main!$K$26:$Q$29,4,FALSE)),1,0)</f>
        <v>0</v>
      </c>
      <c r="BX131">
        <f>IF(AND(VLOOKUP(BX$1,main!$A$3:$H$102,7,FALSE)=main!$G$104,VLOOKUP(BX$1,main!$A$3:$H$102,5,FALSE)-VLOOKUP($A131,main!$A$3:$H$102,6,FALSE)&gt;=main!$D$103+VLOOKUP(VLOOKUP(BX$1,main!$A$3:$I$102,7,FALSE),main!$K$26:$Q$29,4,FALSE)),1,0)</f>
        <v>0</v>
      </c>
      <c r="BY131">
        <f>IF(AND(VLOOKUP(BY$1,main!$A$3:$H$102,7,FALSE)=main!$G$104,VLOOKUP(BY$1,main!$A$3:$H$102,5,FALSE)-VLOOKUP($A131,main!$A$3:$H$102,6,FALSE)&gt;=main!$D$103+VLOOKUP(VLOOKUP(BY$1,main!$A$3:$I$102,7,FALSE),main!$K$26:$Q$29,4,FALSE)),1,0)</f>
        <v>0</v>
      </c>
      <c r="BZ131">
        <f>IF(AND(VLOOKUP(BZ$1,main!$A$3:$H$102,7,FALSE)=main!$G$104,VLOOKUP(BZ$1,main!$A$3:$H$102,5,FALSE)-VLOOKUP($A131,main!$A$3:$H$102,6,FALSE)&gt;=main!$D$103+VLOOKUP(VLOOKUP(BZ$1,main!$A$3:$I$102,7,FALSE),main!$K$26:$Q$29,4,FALSE)),1,0)</f>
        <v>0</v>
      </c>
      <c r="CA131">
        <f>IF(AND(VLOOKUP(CA$1,main!$A$3:$H$102,7,FALSE)=main!$G$104,VLOOKUP(CA$1,main!$A$3:$H$102,5,FALSE)-VLOOKUP($A131,main!$A$3:$H$102,6,FALSE)&gt;=main!$D$103+VLOOKUP(VLOOKUP(CA$1,main!$A$3:$I$102,7,FALSE),main!$K$26:$Q$29,4,FALSE)),1,0)</f>
        <v>0</v>
      </c>
      <c r="CB131">
        <f>IF(AND(VLOOKUP(CB$1,main!$A$3:$H$102,7,FALSE)=main!$G$104,VLOOKUP(CB$1,main!$A$3:$H$102,5,FALSE)-VLOOKUP($A131,main!$A$3:$H$102,6,FALSE)&gt;=main!$D$103+VLOOKUP(VLOOKUP(CB$1,main!$A$3:$I$102,7,FALSE),main!$K$26:$Q$29,4,FALSE)),1,0)</f>
        <v>0</v>
      </c>
      <c r="CC131">
        <f>IF(AND(VLOOKUP(CC$1,main!$A$3:$H$102,7,FALSE)=main!$G$104,VLOOKUP(CC$1,main!$A$3:$H$102,5,FALSE)-VLOOKUP($A131,main!$A$3:$H$102,6,FALSE)&gt;=main!$D$103+VLOOKUP(VLOOKUP(CC$1,main!$A$3:$I$102,7,FALSE),main!$K$26:$Q$29,4,FALSE)),1,0)</f>
        <v>0</v>
      </c>
      <c r="CD131">
        <f>IF(AND(VLOOKUP(CD$1,main!$A$3:$H$102,7,FALSE)=main!$G$104,VLOOKUP(CD$1,main!$A$3:$H$102,5,FALSE)-VLOOKUP($A131,main!$A$3:$H$102,6,FALSE)&gt;=main!$D$103+VLOOKUP(VLOOKUP(CD$1,main!$A$3:$I$102,7,FALSE),main!$K$26:$Q$29,4,FALSE)),1,0)</f>
        <v>0</v>
      </c>
      <c r="CE131">
        <f>IF(AND(VLOOKUP(CE$1,main!$A$3:$H$102,7,FALSE)=main!$G$104,VLOOKUP(CE$1,main!$A$3:$H$102,5,FALSE)-VLOOKUP($A131,main!$A$3:$H$102,6,FALSE)&gt;=main!$D$103+VLOOKUP(VLOOKUP(CE$1,main!$A$3:$I$102,7,FALSE),main!$K$26:$Q$29,4,FALSE)),1,0)</f>
        <v>0</v>
      </c>
      <c r="CF131">
        <f>IF(AND(VLOOKUP(CF$1,main!$A$3:$H$102,7,FALSE)=main!$G$104,VLOOKUP(CF$1,main!$A$3:$H$102,5,FALSE)-VLOOKUP($A131,main!$A$3:$H$102,6,FALSE)&gt;=main!$D$103+VLOOKUP(VLOOKUP(CF$1,main!$A$3:$I$102,7,FALSE),main!$K$26:$Q$29,4,FALSE)),1,0)</f>
        <v>0</v>
      </c>
      <c r="CG131">
        <f>IF(AND(VLOOKUP(CG$1,main!$A$3:$H$102,7,FALSE)=main!$G$104,VLOOKUP(CG$1,main!$A$3:$H$102,5,FALSE)-VLOOKUP($A131,main!$A$3:$H$102,6,FALSE)&gt;=main!$D$103+VLOOKUP(VLOOKUP(CG$1,main!$A$3:$I$102,7,FALSE),main!$K$26:$Q$29,4,FALSE)),1,0)</f>
        <v>0</v>
      </c>
      <c r="CH131">
        <f>IF(AND(VLOOKUP(CH$1,main!$A$3:$H$102,7,FALSE)=main!$G$104,VLOOKUP(CH$1,main!$A$3:$H$102,5,FALSE)-VLOOKUP($A131,main!$A$3:$H$102,6,FALSE)&gt;=main!$D$103+VLOOKUP(VLOOKUP(CH$1,main!$A$3:$I$102,7,FALSE),main!$K$26:$Q$29,4,FALSE)),1,0)</f>
        <v>0</v>
      </c>
      <c r="CI131">
        <f>IF(AND(VLOOKUP(CI$1,main!$A$3:$H$102,7,FALSE)=main!$G$104,VLOOKUP(CI$1,main!$A$3:$H$102,5,FALSE)-VLOOKUP($A131,main!$A$3:$H$102,6,FALSE)&gt;=main!$D$103+VLOOKUP(VLOOKUP(CI$1,main!$A$3:$I$102,7,FALSE),main!$K$26:$Q$29,4,FALSE)),1,0)</f>
        <v>0</v>
      </c>
      <c r="CJ131">
        <f>IF(AND(VLOOKUP(CJ$1,main!$A$3:$H$102,7,FALSE)=main!$G$104,VLOOKUP(CJ$1,main!$A$3:$H$102,5,FALSE)-VLOOKUP($A131,main!$A$3:$H$102,6,FALSE)&gt;=main!$D$103+VLOOKUP(VLOOKUP(CJ$1,main!$A$3:$I$102,7,FALSE),main!$K$26:$Q$29,4,FALSE)),1,0)</f>
        <v>0</v>
      </c>
      <c r="CK131">
        <f>IF(AND(VLOOKUP(CK$1,main!$A$3:$H$102,7,FALSE)=main!$G$104,VLOOKUP(CK$1,main!$A$3:$H$102,5,FALSE)-VLOOKUP($A131,main!$A$3:$H$102,6,FALSE)&gt;=main!$D$103+VLOOKUP(VLOOKUP(CK$1,main!$A$3:$I$102,7,FALSE),main!$K$26:$Q$29,4,FALSE)),1,0)</f>
        <v>0</v>
      </c>
      <c r="CL131">
        <f>IF(AND(VLOOKUP(CL$1,main!$A$3:$H$102,7,FALSE)=main!$G$104,VLOOKUP(CL$1,main!$A$3:$H$102,5,FALSE)-VLOOKUP($A131,main!$A$3:$H$102,6,FALSE)&gt;=main!$D$103+VLOOKUP(VLOOKUP(CL$1,main!$A$3:$I$102,7,FALSE),main!$K$26:$Q$29,4,FALSE)),1,0)</f>
        <v>0</v>
      </c>
      <c r="CM131">
        <f>IF(AND(VLOOKUP(CM$1,main!$A$3:$H$102,7,FALSE)=main!$G$104,VLOOKUP(CM$1,main!$A$3:$H$102,5,FALSE)-VLOOKUP($A131,main!$A$3:$H$102,6,FALSE)&gt;=main!$D$103+VLOOKUP(VLOOKUP(CM$1,main!$A$3:$I$102,7,FALSE),main!$K$26:$Q$29,4,FALSE)),1,0)</f>
        <v>0</v>
      </c>
      <c r="CN131">
        <f>IF(AND(VLOOKUP(CN$1,main!$A$3:$H$102,7,FALSE)=main!$G$104,VLOOKUP(CN$1,main!$A$3:$H$102,5,FALSE)-VLOOKUP($A131,main!$A$3:$H$102,6,FALSE)&gt;=main!$D$103+VLOOKUP(VLOOKUP(CN$1,main!$A$3:$I$102,7,FALSE),main!$K$26:$Q$29,4,FALSE)),1,0)</f>
        <v>0</v>
      </c>
      <c r="CO131">
        <f>IF(AND(VLOOKUP(CO$1,main!$A$3:$H$102,7,FALSE)=main!$G$104,VLOOKUP(CO$1,main!$A$3:$H$102,5,FALSE)-VLOOKUP($A131,main!$A$3:$H$102,6,FALSE)&gt;=main!$D$103+VLOOKUP(VLOOKUP(CO$1,main!$A$3:$I$102,7,FALSE),main!$K$26:$Q$29,4,FALSE)),1,0)</f>
        <v>0</v>
      </c>
      <c r="CP131">
        <f>IF(AND(VLOOKUP(CP$1,main!$A$3:$H$102,7,FALSE)=main!$G$104,VLOOKUP(CP$1,main!$A$3:$H$102,5,FALSE)-VLOOKUP($A131,main!$A$3:$H$102,6,FALSE)&gt;=main!$D$103+VLOOKUP(VLOOKUP(CP$1,main!$A$3:$I$102,7,FALSE),main!$K$26:$Q$29,4,FALSE)),1,0)</f>
        <v>0</v>
      </c>
      <c r="CQ131">
        <f>IF(AND(VLOOKUP(CQ$1,main!$A$3:$H$102,7,FALSE)=main!$G$104,VLOOKUP(CQ$1,main!$A$3:$H$102,5,FALSE)-VLOOKUP($A131,main!$A$3:$H$102,6,FALSE)&gt;=main!$D$103+VLOOKUP(VLOOKUP(CQ$1,main!$A$3:$I$102,7,FALSE),main!$K$26:$Q$29,4,FALSE)),1,0)</f>
        <v>0</v>
      </c>
      <c r="CR131">
        <f>IF(AND(VLOOKUP(CR$1,main!$A$3:$H$102,7,FALSE)=main!$G$104,VLOOKUP(CR$1,main!$A$3:$H$102,5,FALSE)-VLOOKUP($A131,main!$A$3:$H$102,6,FALSE)&gt;=main!$D$103+VLOOKUP(VLOOKUP(CR$1,main!$A$3:$I$102,7,FALSE),main!$K$26:$Q$29,4,FALSE)),1,0)</f>
        <v>0</v>
      </c>
      <c r="CS131">
        <f>IF(AND(VLOOKUP(CS$1,main!$A$3:$H$102,7,FALSE)=main!$G$104,VLOOKUP(CS$1,main!$A$3:$H$102,5,FALSE)-VLOOKUP($A131,main!$A$3:$H$102,6,FALSE)&gt;=main!$D$103+VLOOKUP(VLOOKUP(CS$1,main!$A$3:$I$102,7,FALSE),main!$K$26:$Q$29,4,FALSE)),1,0)</f>
        <v>0</v>
      </c>
      <c r="CT131">
        <f>IF(AND(VLOOKUP(CT$1,main!$A$3:$H$102,7,FALSE)=main!$G$104,VLOOKUP(CT$1,main!$A$3:$H$102,5,FALSE)-VLOOKUP($A131,main!$A$3:$H$102,6,FALSE)&gt;=main!$D$103+VLOOKUP(VLOOKUP(CT$1,main!$A$3:$I$102,7,FALSE),main!$K$26:$Q$29,4,FALSE)),1,0)</f>
        <v>0</v>
      </c>
      <c r="CU131">
        <f>IF(AND(VLOOKUP(CU$1,main!$A$3:$H$102,7,FALSE)=main!$G$104,VLOOKUP(CU$1,main!$A$3:$H$102,5,FALSE)-VLOOKUP($A131,main!$A$3:$H$102,6,FALSE)&gt;=main!$D$103+VLOOKUP(VLOOKUP(CU$1,main!$A$3:$I$102,7,FALSE),main!$K$26:$Q$29,4,FALSE)),1,0)</f>
        <v>0</v>
      </c>
      <c r="CV131">
        <f>IF(AND(VLOOKUP(CV$1,main!$A$3:$H$102,7,FALSE)=main!$G$104,VLOOKUP(CV$1,main!$A$3:$H$102,5,FALSE)-VLOOKUP($A131,main!$A$3:$H$102,6,FALSE)&gt;=main!$D$103+VLOOKUP(VLOOKUP(CV$1,main!$A$3:$I$102,7,FALSE),main!$K$26:$Q$29,4,FALSE)),1,0)</f>
        <v>0</v>
      </c>
      <c r="CW131">
        <f>IF(AND(VLOOKUP(CW$1,main!$A$3:$H$102,7,FALSE)=main!$G$104,VLOOKUP(CW$1,main!$A$3:$H$102,5,FALSE)-VLOOKUP($A131,main!$A$3:$H$102,6,FALSE)&gt;=main!$D$103+VLOOKUP(VLOOKUP(CW$1,main!$A$3:$I$102,7,FALSE),main!$K$26:$Q$29,4,FALSE)),1,0)</f>
        <v>0</v>
      </c>
      <c r="CX131">
        <f>IF(AND(VLOOKUP(CX$1,main!$A$3:$H$102,7,FALSE)=main!$G$104,VLOOKUP(CX$1,main!$A$3:$H$102,5,FALSE)-VLOOKUP($A131,main!$A$3:$H$102,6,FALSE)&gt;=main!$D$103+VLOOKUP(VLOOKUP(CX$1,main!$A$3:$I$102,7,FALSE),main!$K$26:$Q$29,4,FALSE)),1,0)</f>
        <v>0</v>
      </c>
    </row>
    <row r="132" spans="1:109" x14ac:dyDescent="0.25">
      <c r="A132" s="1">
        <v>29</v>
      </c>
      <c r="B132">
        <v>0</v>
      </c>
      <c r="C132">
        <f>IF(AND(VLOOKUP(C$1,main!$A$3:$H$102,7,FALSE)=main!$G$104,VLOOKUP(C$1,main!$A$3:$H$102,5,FALSE)-VLOOKUP($A132,main!$A$3:$H$102,6,FALSE)&gt;=main!$D$103+VLOOKUP(VLOOKUP(C$1,main!$A$3:$I$102,7,FALSE),main!$K$26:$Q$29,4,FALSE)),1,0)</f>
        <v>0</v>
      </c>
      <c r="D132">
        <f>IF(AND(VLOOKUP(D$1,main!$A$3:$H$102,7,FALSE)=main!$G$104,VLOOKUP(D$1,main!$A$3:$H$102,5,FALSE)-VLOOKUP($A132,main!$A$3:$H$102,6,FALSE)&gt;=main!$D$103+VLOOKUP(VLOOKUP(D$1,main!$A$3:$I$102,7,FALSE),main!$K$26:$Q$29,4,FALSE)),1,0)</f>
        <v>0</v>
      </c>
      <c r="E132">
        <f>IF(AND(VLOOKUP(E$1,main!$A$3:$H$102,7,FALSE)=main!$G$104,VLOOKUP(E$1,main!$A$3:$H$102,5,FALSE)-VLOOKUP($A132,main!$A$3:$H$102,6,FALSE)&gt;=main!$D$103+VLOOKUP(VLOOKUP(E$1,main!$A$3:$I$102,7,FALSE),main!$K$26:$Q$29,4,FALSE)),1,0)</f>
        <v>0</v>
      </c>
      <c r="F132">
        <f>IF(AND(VLOOKUP(F$1,main!$A$3:$H$102,7,FALSE)=main!$G$104,VLOOKUP(F$1,main!$A$3:$H$102,5,FALSE)-VLOOKUP($A132,main!$A$3:$H$102,6,FALSE)&gt;=main!$D$103+VLOOKUP(VLOOKUP(F$1,main!$A$3:$I$102,7,FALSE),main!$K$26:$Q$29,4,FALSE)),1,0)</f>
        <v>0</v>
      </c>
      <c r="G132">
        <f>IF(AND(VLOOKUP(G$1,main!$A$3:$H$102,7,FALSE)=main!$G$104,VLOOKUP(G$1,main!$A$3:$H$102,5,FALSE)-VLOOKUP($A132,main!$A$3:$H$102,6,FALSE)&gt;=main!$D$103+VLOOKUP(VLOOKUP(G$1,main!$A$3:$I$102,7,FALSE),main!$K$26:$Q$29,4,FALSE)),1,0)</f>
        <v>0</v>
      </c>
      <c r="H132">
        <f>IF(AND(VLOOKUP(H$1,main!$A$3:$H$102,7,FALSE)=main!$G$104,VLOOKUP(H$1,main!$A$3:$H$102,5,FALSE)-VLOOKUP($A132,main!$A$3:$H$102,6,FALSE)&gt;=main!$D$103+VLOOKUP(VLOOKUP(H$1,main!$A$3:$I$102,7,FALSE),main!$K$26:$Q$29,4,FALSE)),1,0)</f>
        <v>0</v>
      </c>
      <c r="I132">
        <f>IF(AND(VLOOKUP(I$1,main!$A$3:$H$102,7,FALSE)=main!$G$104,VLOOKUP(I$1,main!$A$3:$H$102,5,FALSE)-VLOOKUP($A132,main!$A$3:$H$102,6,FALSE)&gt;=main!$D$103+VLOOKUP(VLOOKUP(I$1,main!$A$3:$I$102,7,FALSE),main!$K$26:$Q$29,4,FALSE)),1,0)</f>
        <v>0</v>
      </c>
      <c r="J132">
        <f>IF(AND(VLOOKUP(J$1,main!$A$3:$H$102,7,FALSE)=main!$G$104,VLOOKUP(J$1,main!$A$3:$H$102,5,FALSE)-VLOOKUP($A132,main!$A$3:$H$102,6,FALSE)&gt;=main!$D$103+VLOOKUP(VLOOKUP(J$1,main!$A$3:$I$102,7,FALSE),main!$K$26:$Q$29,4,FALSE)),1,0)</f>
        <v>0</v>
      </c>
      <c r="K132">
        <f>IF(AND(VLOOKUP(K$1,main!$A$3:$H$102,7,FALSE)=main!$G$104,VLOOKUP(K$1,main!$A$3:$H$102,5,FALSE)-VLOOKUP($A132,main!$A$3:$H$102,6,FALSE)&gt;=main!$D$103+VLOOKUP(VLOOKUP(K$1,main!$A$3:$I$102,7,FALSE),main!$K$26:$Q$29,4,FALSE)),1,0)</f>
        <v>0</v>
      </c>
      <c r="L132">
        <f>IF(AND(VLOOKUP(L$1,main!$A$3:$H$102,7,FALSE)=main!$G$104,VLOOKUP(L$1,main!$A$3:$H$102,5,FALSE)-VLOOKUP($A132,main!$A$3:$H$102,6,FALSE)&gt;=main!$D$103+VLOOKUP(VLOOKUP(L$1,main!$A$3:$I$102,7,FALSE),main!$K$26:$Q$29,4,FALSE)),1,0)</f>
        <v>1</v>
      </c>
      <c r="M132">
        <f>IF(AND(VLOOKUP(M$1,main!$A$3:$H$102,7,FALSE)=main!$G$104,VLOOKUP(M$1,main!$A$3:$H$102,5,FALSE)-VLOOKUP($A132,main!$A$3:$H$102,6,FALSE)&gt;=main!$D$103+VLOOKUP(VLOOKUP(M$1,main!$A$3:$I$102,7,FALSE),main!$K$26:$Q$29,4,FALSE)),1,0)</f>
        <v>0</v>
      </c>
      <c r="N132">
        <f>IF(AND(VLOOKUP(N$1,main!$A$3:$H$102,7,FALSE)=main!$G$104,VLOOKUP(N$1,main!$A$3:$H$102,5,FALSE)-VLOOKUP($A132,main!$A$3:$H$102,6,FALSE)&gt;=main!$D$103+VLOOKUP(VLOOKUP(N$1,main!$A$3:$I$102,7,FALSE),main!$K$26:$Q$29,4,FALSE)),1,0)</f>
        <v>0</v>
      </c>
      <c r="O132">
        <f>IF(AND(VLOOKUP(O$1,main!$A$3:$H$102,7,FALSE)=main!$G$104,VLOOKUP(O$1,main!$A$3:$H$102,5,FALSE)-VLOOKUP($A132,main!$A$3:$H$102,6,FALSE)&gt;=main!$D$103+VLOOKUP(VLOOKUP(O$1,main!$A$3:$I$102,7,FALSE),main!$K$26:$Q$29,4,FALSE)),1,0)</f>
        <v>0</v>
      </c>
      <c r="P132">
        <f>IF(AND(VLOOKUP(P$1,main!$A$3:$H$102,7,FALSE)=main!$G$104,VLOOKUP(P$1,main!$A$3:$H$102,5,FALSE)-VLOOKUP($A132,main!$A$3:$H$102,6,FALSE)&gt;=main!$D$103+VLOOKUP(VLOOKUP(P$1,main!$A$3:$I$102,7,FALSE),main!$K$26:$Q$29,4,FALSE)),1,0)</f>
        <v>0</v>
      </c>
      <c r="Q132">
        <f>IF(AND(VLOOKUP(Q$1,main!$A$3:$H$102,7,FALSE)=main!$G$104,VLOOKUP(Q$1,main!$A$3:$H$102,5,FALSE)-VLOOKUP($A132,main!$A$3:$H$102,6,FALSE)&gt;=main!$D$103+VLOOKUP(VLOOKUP(Q$1,main!$A$3:$I$102,7,FALSE),main!$K$26:$Q$29,4,FALSE)),1,0)</f>
        <v>0</v>
      </c>
      <c r="R132">
        <f>IF(AND(VLOOKUP(R$1,main!$A$3:$H$102,7,FALSE)=main!$G$104,VLOOKUP(R$1,main!$A$3:$H$102,5,FALSE)-VLOOKUP($A132,main!$A$3:$H$102,6,FALSE)&gt;=main!$D$103+VLOOKUP(VLOOKUP(R$1,main!$A$3:$I$102,7,FALSE),main!$K$26:$Q$29,4,FALSE)),1,0)</f>
        <v>0</v>
      </c>
      <c r="S132">
        <f>IF(AND(VLOOKUP(S$1,main!$A$3:$H$102,7,FALSE)=main!$G$104,VLOOKUP(S$1,main!$A$3:$H$102,5,FALSE)-VLOOKUP($A132,main!$A$3:$H$102,6,FALSE)&gt;=main!$D$103+VLOOKUP(VLOOKUP(S$1,main!$A$3:$I$102,7,FALSE),main!$K$26:$Q$29,4,FALSE)),1,0)</f>
        <v>0</v>
      </c>
      <c r="T132">
        <f>IF(AND(VLOOKUP(T$1,main!$A$3:$H$102,7,FALSE)=main!$G$104,VLOOKUP(T$1,main!$A$3:$H$102,5,FALSE)-VLOOKUP($A132,main!$A$3:$H$102,6,FALSE)&gt;=main!$D$103+VLOOKUP(VLOOKUP(T$1,main!$A$3:$I$102,7,FALSE),main!$K$26:$Q$29,4,FALSE)),1,0)</f>
        <v>0</v>
      </c>
      <c r="U132">
        <f>IF(AND(VLOOKUP(U$1,main!$A$3:$H$102,7,FALSE)=main!$G$104,VLOOKUP(U$1,main!$A$3:$H$102,5,FALSE)-VLOOKUP($A132,main!$A$3:$H$102,6,FALSE)&gt;=main!$D$103+VLOOKUP(VLOOKUP(U$1,main!$A$3:$I$102,7,FALSE),main!$K$26:$Q$29,4,FALSE)),1,0)</f>
        <v>1</v>
      </c>
      <c r="V132">
        <f>IF(AND(VLOOKUP(V$1,main!$A$3:$H$102,7,FALSE)=main!$G$104,VLOOKUP(V$1,main!$A$3:$H$102,5,FALSE)-VLOOKUP($A132,main!$A$3:$H$102,6,FALSE)&gt;=main!$D$103+VLOOKUP(VLOOKUP(V$1,main!$A$3:$I$102,7,FALSE),main!$K$26:$Q$29,4,FALSE)),1,0)</f>
        <v>1</v>
      </c>
      <c r="W132">
        <f>IF(AND(VLOOKUP(W$1,main!$A$3:$H$102,7,FALSE)=main!$G$104,VLOOKUP(W$1,main!$A$3:$H$102,5,FALSE)-VLOOKUP($A132,main!$A$3:$H$102,6,FALSE)&gt;=main!$D$103+VLOOKUP(VLOOKUP(W$1,main!$A$3:$I$102,7,FALSE),main!$K$26:$Q$29,4,FALSE)),1,0)</f>
        <v>0</v>
      </c>
      <c r="X132">
        <f>IF(AND(VLOOKUP(X$1,main!$A$3:$H$102,7,FALSE)=main!$G$104,VLOOKUP(X$1,main!$A$3:$H$102,5,FALSE)-VLOOKUP($A132,main!$A$3:$H$102,6,FALSE)&gt;=main!$D$103+VLOOKUP(VLOOKUP(X$1,main!$A$3:$I$102,7,FALSE),main!$K$26:$Q$29,4,FALSE)),1,0)</f>
        <v>0</v>
      </c>
      <c r="Y132">
        <f>IF(AND(VLOOKUP(Y$1,main!$A$3:$H$102,7,FALSE)=main!$G$104,VLOOKUP(Y$1,main!$A$3:$H$102,5,FALSE)-VLOOKUP($A132,main!$A$3:$H$102,6,FALSE)&gt;=main!$D$103+VLOOKUP(VLOOKUP(Y$1,main!$A$3:$I$102,7,FALSE),main!$K$26:$Q$29,4,FALSE)),1,0)</f>
        <v>0</v>
      </c>
      <c r="Z132">
        <f>IF(AND(VLOOKUP(Z$1,main!$A$3:$H$102,7,FALSE)=main!$G$104,VLOOKUP(Z$1,main!$A$3:$H$102,5,FALSE)-VLOOKUP($A132,main!$A$3:$H$102,6,FALSE)&gt;=main!$D$103+VLOOKUP(VLOOKUP(Z$1,main!$A$3:$I$102,7,FALSE),main!$K$26:$Q$29,4,FALSE)),1,0)</f>
        <v>0</v>
      </c>
      <c r="AA132">
        <f>IF(AND(VLOOKUP(AA$1,main!$A$3:$H$102,7,FALSE)=main!$G$104,VLOOKUP(AA$1,main!$A$3:$H$102,5,FALSE)-VLOOKUP($A132,main!$A$3:$H$102,6,FALSE)&gt;=main!$D$103+VLOOKUP(VLOOKUP(AA$1,main!$A$3:$I$102,7,FALSE),main!$K$26:$Q$29,4,FALSE)),1,0)</f>
        <v>0</v>
      </c>
      <c r="AB132">
        <f>IF(AND(VLOOKUP(AB$1,main!$A$3:$H$102,7,FALSE)=main!$G$104,VLOOKUP(AB$1,main!$A$3:$H$102,5,FALSE)-VLOOKUP($A132,main!$A$3:$H$102,6,FALSE)&gt;=main!$D$103+VLOOKUP(VLOOKUP(AB$1,main!$A$3:$I$102,7,FALSE),main!$K$26:$Q$29,4,FALSE)),1,0)</f>
        <v>0</v>
      </c>
      <c r="AC132">
        <f>IF(AND(VLOOKUP(AC$1,main!$A$3:$H$102,7,FALSE)=main!$G$104,VLOOKUP(AC$1,main!$A$3:$H$102,5,FALSE)-VLOOKUP($A132,main!$A$3:$H$102,6,FALSE)&gt;=main!$D$103+VLOOKUP(VLOOKUP(AC$1,main!$A$3:$I$102,7,FALSE),main!$K$26:$Q$29,4,FALSE)),1,0)</f>
        <v>0</v>
      </c>
      <c r="AD132">
        <f>IF(AND(VLOOKUP(AD$1,main!$A$3:$H$102,7,FALSE)=main!$G$104,VLOOKUP(AD$1,main!$A$3:$H$102,5,FALSE)-VLOOKUP($A132,main!$A$3:$H$102,6,FALSE)&gt;=main!$D$103+VLOOKUP(VLOOKUP(AD$1,main!$A$3:$I$102,7,FALSE),main!$K$26:$Q$29,4,FALSE)),1,0)</f>
        <v>0</v>
      </c>
      <c r="AE132">
        <f>IF(AND(VLOOKUP(AE$1,main!$A$3:$H$102,7,FALSE)=main!$G$104,VLOOKUP(AE$1,main!$A$3:$H$102,5,FALSE)-VLOOKUP($A132,main!$A$3:$H$102,6,FALSE)&gt;=main!$D$103+VLOOKUP(VLOOKUP(AE$1,main!$A$3:$I$102,7,FALSE),main!$K$26:$Q$29,4,FALSE)),1,0)</f>
        <v>0</v>
      </c>
      <c r="AF132">
        <f>IF(AND(VLOOKUP(AF$1,main!$A$3:$H$102,7,FALSE)=main!$G$104,VLOOKUP(AF$1,main!$A$3:$H$102,5,FALSE)-VLOOKUP($A132,main!$A$3:$H$102,6,FALSE)&gt;=main!$D$103+VLOOKUP(VLOOKUP(AF$1,main!$A$3:$I$102,7,FALSE),main!$K$26:$Q$29,4,FALSE)),1,0)</f>
        <v>0</v>
      </c>
      <c r="AG132">
        <f>IF(AND(VLOOKUP(AG$1,main!$A$3:$H$102,7,FALSE)=main!$G$104,VLOOKUP(AG$1,main!$A$3:$H$102,5,FALSE)-VLOOKUP($A132,main!$A$3:$H$102,6,FALSE)&gt;=main!$D$103+VLOOKUP(VLOOKUP(AG$1,main!$A$3:$I$102,7,FALSE),main!$K$26:$Q$29,4,FALSE)),1,0)</f>
        <v>0</v>
      </c>
      <c r="AH132">
        <f>IF(AND(VLOOKUP(AH$1,main!$A$3:$H$102,7,FALSE)=main!$G$104,VLOOKUP(AH$1,main!$A$3:$H$102,5,FALSE)-VLOOKUP($A132,main!$A$3:$H$102,6,FALSE)&gt;=main!$D$103+VLOOKUP(VLOOKUP(AH$1,main!$A$3:$I$102,7,FALSE),main!$K$26:$Q$29,4,FALSE)),1,0)</f>
        <v>0</v>
      </c>
      <c r="AI132">
        <f>IF(AND(VLOOKUP(AI$1,main!$A$3:$H$102,7,FALSE)=main!$G$104,VLOOKUP(AI$1,main!$A$3:$H$102,5,FALSE)-VLOOKUP($A132,main!$A$3:$H$102,6,FALSE)&gt;=main!$D$103+VLOOKUP(VLOOKUP(AI$1,main!$A$3:$I$102,7,FALSE),main!$K$26:$Q$29,4,FALSE)),1,0)</f>
        <v>0</v>
      </c>
      <c r="AJ132">
        <f>IF(AND(VLOOKUP(AJ$1,main!$A$3:$H$102,7,FALSE)=main!$G$104,VLOOKUP(AJ$1,main!$A$3:$H$102,5,FALSE)-VLOOKUP($A132,main!$A$3:$H$102,6,FALSE)&gt;=main!$D$103+VLOOKUP(VLOOKUP(AJ$1,main!$A$3:$I$102,7,FALSE),main!$K$26:$Q$29,4,FALSE)),1,0)</f>
        <v>0</v>
      </c>
      <c r="AK132">
        <f>IF(AND(VLOOKUP(AK$1,main!$A$3:$H$102,7,FALSE)=main!$G$104,VLOOKUP(AK$1,main!$A$3:$H$102,5,FALSE)-VLOOKUP($A132,main!$A$3:$H$102,6,FALSE)&gt;=main!$D$103+VLOOKUP(VLOOKUP(AK$1,main!$A$3:$I$102,7,FALSE),main!$K$26:$Q$29,4,FALSE)),1,0)</f>
        <v>0</v>
      </c>
      <c r="AL132">
        <f>IF(AND(VLOOKUP(AL$1,main!$A$3:$H$102,7,FALSE)=main!$G$104,VLOOKUP(AL$1,main!$A$3:$H$102,5,FALSE)-VLOOKUP($A132,main!$A$3:$H$102,6,FALSE)&gt;=main!$D$103+VLOOKUP(VLOOKUP(AL$1,main!$A$3:$I$102,7,FALSE),main!$K$26:$Q$29,4,FALSE)),1,0)</f>
        <v>0</v>
      </c>
      <c r="AM132">
        <f>IF(AND(VLOOKUP(AM$1,main!$A$3:$H$102,7,FALSE)=main!$G$104,VLOOKUP(AM$1,main!$A$3:$H$102,5,FALSE)-VLOOKUP($A132,main!$A$3:$H$102,6,FALSE)&gt;=main!$D$103+VLOOKUP(VLOOKUP(AM$1,main!$A$3:$I$102,7,FALSE),main!$K$26:$Q$29,4,FALSE)),1,0)</f>
        <v>0</v>
      </c>
      <c r="AN132">
        <f>IF(AND(VLOOKUP(AN$1,main!$A$3:$H$102,7,FALSE)=main!$G$104,VLOOKUP(AN$1,main!$A$3:$H$102,5,FALSE)-VLOOKUP($A132,main!$A$3:$H$102,6,FALSE)&gt;=main!$D$103+VLOOKUP(VLOOKUP(AN$1,main!$A$3:$I$102,7,FALSE),main!$K$26:$Q$29,4,FALSE)),1,0)</f>
        <v>0</v>
      </c>
      <c r="AO132">
        <f>IF(AND(VLOOKUP(AO$1,main!$A$3:$H$102,7,FALSE)=main!$G$104,VLOOKUP(AO$1,main!$A$3:$H$102,5,FALSE)-VLOOKUP($A132,main!$A$3:$H$102,6,FALSE)&gt;=main!$D$103+VLOOKUP(VLOOKUP(AO$1,main!$A$3:$I$102,7,FALSE),main!$K$26:$Q$29,4,FALSE)),1,0)</f>
        <v>0</v>
      </c>
      <c r="AP132">
        <f>IF(AND(VLOOKUP(AP$1,main!$A$3:$H$102,7,FALSE)=main!$G$104,VLOOKUP(AP$1,main!$A$3:$H$102,5,FALSE)-VLOOKUP($A132,main!$A$3:$H$102,6,FALSE)&gt;=main!$D$103+VLOOKUP(VLOOKUP(AP$1,main!$A$3:$I$102,7,FALSE),main!$K$26:$Q$29,4,FALSE)),1,0)</f>
        <v>0</v>
      </c>
      <c r="AQ132">
        <f>IF(AND(VLOOKUP(AQ$1,main!$A$3:$H$102,7,FALSE)=main!$G$104,VLOOKUP(AQ$1,main!$A$3:$H$102,5,FALSE)-VLOOKUP($A132,main!$A$3:$H$102,6,FALSE)&gt;=main!$D$103+VLOOKUP(VLOOKUP(AQ$1,main!$A$3:$I$102,7,FALSE),main!$K$26:$Q$29,4,FALSE)),1,0)</f>
        <v>0</v>
      </c>
      <c r="AR132">
        <f>IF(AND(VLOOKUP(AR$1,main!$A$3:$H$102,7,FALSE)=main!$G$104,VLOOKUP(AR$1,main!$A$3:$H$102,5,FALSE)-VLOOKUP($A132,main!$A$3:$H$102,6,FALSE)&gt;=main!$D$103+VLOOKUP(VLOOKUP(AR$1,main!$A$3:$I$102,7,FALSE),main!$K$26:$Q$29,4,FALSE)),1,0)</f>
        <v>0</v>
      </c>
      <c r="AS132">
        <f>IF(AND(VLOOKUP(AS$1,main!$A$3:$H$102,7,FALSE)=main!$G$104,VLOOKUP(AS$1,main!$A$3:$H$102,5,FALSE)-VLOOKUP($A132,main!$A$3:$H$102,6,FALSE)&gt;=main!$D$103+VLOOKUP(VLOOKUP(AS$1,main!$A$3:$I$102,7,FALSE),main!$K$26:$Q$29,4,FALSE)),1,0)</f>
        <v>0</v>
      </c>
      <c r="AT132">
        <f>IF(AND(VLOOKUP(AT$1,main!$A$3:$H$102,7,FALSE)=main!$G$104,VLOOKUP(AT$1,main!$A$3:$H$102,5,FALSE)-VLOOKUP($A132,main!$A$3:$H$102,6,FALSE)&gt;=main!$D$103+VLOOKUP(VLOOKUP(AT$1,main!$A$3:$I$102,7,FALSE),main!$K$26:$Q$29,4,FALSE)),1,0)</f>
        <v>0</v>
      </c>
      <c r="AU132">
        <f>IF(AND(VLOOKUP(AU$1,main!$A$3:$H$102,7,FALSE)=main!$G$104,VLOOKUP(AU$1,main!$A$3:$H$102,5,FALSE)-VLOOKUP($A132,main!$A$3:$H$102,6,FALSE)&gt;=main!$D$103+VLOOKUP(VLOOKUP(AU$1,main!$A$3:$I$102,7,FALSE),main!$K$26:$Q$29,4,FALSE)),1,0)</f>
        <v>0</v>
      </c>
      <c r="AV132">
        <f>IF(AND(VLOOKUP(AV$1,main!$A$3:$H$102,7,FALSE)=main!$G$104,VLOOKUP(AV$1,main!$A$3:$H$102,5,FALSE)-VLOOKUP($A132,main!$A$3:$H$102,6,FALSE)&gt;=main!$D$103+VLOOKUP(VLOOKUP(AV$1,main!$A$3:$I$102,7,FALSE),main!$K$26:$Q$29,4,FALSE)),1,0)</f>
        <v>0</v>
      </c>
      <c r="AW132">
        <f>IF(AND(VLOOKUP(AW$1,main!$A$3:$H$102,7,FALSE)=main!$G$104,VLOOKUP(AW$1,main!$A$3:$H$102,5,FALSE)-VLOOKUP($A132,main!$A$3:$H$102,6,FALSE)&gt;=main!$D$103+VLOOKUP(VLOOKUP(AW$1,main!$A$3:$I$102,7,FALSE),main!$K$26:$Q$29,4,FALSE)),1,0)</f>
        <v>0</v>
      </c>
      <c r="AX132">
        <f>IF(AND(VLOOKUP(AX$1,main!$A$3:$H$102,7,FALSE)=main!$G$104,VLOOKUP(AX$1,main!$A$3:$H$102,5,FALSE)-VLOOKUP($A132,main!$A$3:$H$102,6,FALSE)&gt;=main!$D$103+VLOOKUP(VLOOKUP(AX$1,main!$A$3:$I$102,7,FALSE),main!$K$26:$Q$29,4,FALSE)),1,0)</f>
        <v>0</v>
      </c>
      <c r="AY132">
        <f>IF(AND(VLOOKUP(AY$1,main!$A$3:$H$102,7,FALSE)=main!$G$104,VLOOKUP(AY$1,main!$A$3:$H$102,5,FALSE)-VLOOKUP($A132,main!$A$3:$H$102,6,FALSE)&gt;=main!$D$103+VLOOKUP(VLOOKUP(AY$1,main!$A$3:$I$102,7,FALSE),main!$K$26:$Q$29,4,FALSE)),1,0)</f>
        <v>0</v>
      </c>
      <c r="AZ132">
        <f>IF(AND(VLOOKUP(AZ$1,main!$A$3:$H$102,7,FALSE)=main!$G$104,VLOOKUP(AZ$1,main!$A$3:$H$102,5,FALSE)-VLOOKUP($A132,main!$A$3:$H$102,6,FALSE)&gt;=main!$D$103+VLOOKUP(VLOOKUP(AZ$1,main!$A$3:$I$102,7,FALSE),main!$K$26:$Q$29,4,FALSE)),1,0)</f>
        <v>0</v>
      </c>
      <c r="BA132">
        <f>IF(AND(VLOOKUP(BA$1,main!$A$3:$H$102,7,FALSE)=main!$G$104,VLOOKUP(BA$1,main!$A$3:$H$102,5,FALSE)-VLOOKUP($A132,main!$A$3:$H$102,6,FALSE)&gt;=main!$D$103+VLOOKUP(VLOOKUP(BA$1,main!$A$3:$I$102,7,FALSE),main!$K$26:$Q$29,4,FALSE)),1,0)</f>
        <v>0</v>
      </c>
      <c r="BB132">
        <f>IF(AND(VLOOKUP(BB$1,main!$A$3:$H$102,7,FALSE)=main!$G$104,VLOOKUP(BB$1,main!$A$3:$H$102,5,FALSE)-VLOOKUP($A132,main!$A$3:$H$102,6,FALSE)&gt;=main!$D$103+VLOOKUP(VLOOKUP(BB$1,main!$A$3:$I$102,7,FALSE),main!$K$26:$Q$29,4,FALSE)),1,0)</f>
        <v>0</v>
      </c>
      <c r="BC132">
        <f>IF(AND(VLOOKUP(BC$1,main!$A$3:$H$102,7,FALSE)=main!$G$104,VLOOKUP(BC$1,main!$A$3:$H$102,5,FALSE)-VLOOKUP($A132,main!$A$3:$H$102,6,FALSE)&gt;=main!$D$103+VLOOKUP(VLOOKUP(BC$1,main!$A$3:$I$102,7,FALSE),main!$K$26:$Q$29,4,FALSE)),1,0)</f>
        <v>0</v>
      </c>
      <c r="BD132">
        <f>IF(AND(VLOOKUP(BD$1,main!$A$3:$H$102,7,FALSE)=main!$G$104,VLOOKUP(BD$1,main!$A$3:$H$102,5,FALSE)-VLOOKUP($A132,main!$A$3:$H$102,6,FALSE)&gt;=main!$D$103+VLOOKUP(VLOOKUP(BD$1,main!$A$3:$I$102,7,FALSE),main!$K$26:$Q$29,4,FALSE)),1,0)</f>
        <v>0</v>
      </c>
      <c r="BE132">
        <f>IF(AND(VLOOKUP(BE$1,main!$A$3:$H$102,7,FALSE)=main!$G$104,VLOOKUP(BE$1,main!$A$3:$H$102,5,FALSE)-VLOOKUP($A132,main!$A$3:$H$102,6,FALSE)&gt;=main!$D$103+VLOOKUP(VLOOKUP(BE$1,main!$A$3:$I$102,7,FALSE),main!$K$26:$Q$29,4,FALSE)),1,0)</f>
        <v>0</v>
      </c>
      <c r="BF132">
        <f>IF(AND(VLOOKUP(BF$1,main!$A$3:$H$102,7,FALSE)=main!$G$104,VLOOKUP(BF$1,main!$A$3:$H$102,5,FALSE)-VLOOKUP($A132,main!$A$3:$H$102,6,FALSE)&gt;=main!$D$103+VLOOKUP(VLOOKUP(BF$1,main!$A$3:$I$102,7,FALSE),main!$K$26:$Q$29,4,FALSE)),1,0)</f>
        <v>0</v>
      </c>
      <c r="BG132">
        <f>IF(AND(VLOOKUP(BG$1,main!$A$3:$H$102,7,FALSE)=main!$G$104,VLOOKUP(BG$1,main!$A$3:$H$102,5,FALSE)-VLOOKUP($A132,main!$A$3:$H$102,6,FALSE)&gt;=main!$D$103+VLOOKUP(VLOOKUP(BG$1,main!$A$3:$I$102,7,FALSE),main!$K$26:$Q$29,4,FALSE)),1,0)</f>
        <v>0</v>
      </c>
      <c r="BH132">
        <f>IF(AND(VLOOKUP(BH$1,main!$A$3:$H$102,7,FALSE)=main!$G$104,VLOOKUP(BH$1,main!$A$3:$H$102,5,FALSE)-VLOOKUP($A132,main!$A$3:$H$102,6,FALSE)&gt;=main!$D$103+VLOOKUP(VLOOKUP(BH$1,main!$A$3:$I$102,7,FALSE),main!$K$26:$Q$29,4,FALSE)),1,0)</f>
        <v>0</v>
      </c>
      <c r="BI132">
        <f>IF(AND(VLOOKUP(BI$1,main!$A$3:$H$102,7,FALSE)=main!$G$104,VLOOKUP(BI$1,main!$A$3:$H$102,5,FALSE)-VLOOKUP($A132,main!$A$3:$H$102,6,FALSE)&gt;=main!$D$103+VLOOKUP(VLOOKUP(BI$1,main!$A$3:$I$102,7,FALSE),main!$K$26:$Q$29,4,FALSE)),1,0)</f>
        <v>0</v>
      </c>
      <c r="BJ132">
        <f>IF(AND(VLOOKUP(BJ$1,main!$A$3:$H$102,7,FALSE)=main!$G$104,VLOOKUP(BJ$1,main!$A$3:$H$102,5,FALSE)-VLOOKUP($A132,main!$A$3:$H$102,6,FALSE)&gt;=main!$D$103+VLOOKUP(VLOOKUP(BJ$1,main!$A$3:$I$102,7,FALSE),main!$K$26:$Q$29,4,FALSE)),1,0)</f>
        <v>0</v>
      </c>
      <c r="BK132">
        <f>IF(AND(VLOOKUP(BK$1,main!$A$3:$H$102,7,FALSE)=main!$G$104,VLOOKUP(BK$1,main!$A$3:$H$102,5,FALSE)-VLOOKUP($A132,main!$A$3:$H$102,6,FALSE)&gt;=main!$D$103+VLOOKUP(VLOOKUP(BK$1,main!$A$3:$I$102,7,FALSE),main!$K$26:$Q$29,4,FALSE)),1,0)</f>
        <v>0</v>
      </c>
      <c r="BL132">
        <f>IF(AND(VLOOKUP(BL$1,main!$A$3:$H$102,7,FALSE)=main!$G$104,VLOOKUP(BL$1,main!$A$3:$H$102,5,FALSE)-VLOOKUP($A132,main!$A$3:$H$102,6,FALSE)&gt;=main!$D$103+VLOOKUP(VLOOKUP(BL$1,main!$A$3:$I$102,7,FALSE),main!$K$26:$Q$29,4,FALSE)),1,0)</f>
        <v>0</v>
      </c>
      <c r="BM132">
        <f>IF(AND(VLOOKUP(BM$1,main!$A$3:$H$102,7,FALSE)=main!$G$104,VLOOKUP(BM$1,main!$A$3:$H$102,5,FALSE)-VLOOKUP($A132,main!$A$3:$H$102,6,FALSE)&gt;=main!$D$103+VLOOKUP(VLOOKUP(BM$1,main!$A$3:$I$102,7,FALSE),main!$K$26:$Q$29,4,FALSE)),1,0)</f>
        <v>0</v>
      </c>
      <c r="BN132">
        <f>IF(AND(VLOOKUP(BN$1,main!$A$3:$H$102,7,FALSE)=main!$G$104,VLOOKUP(BN$1,main!$A$3:$H$102,5,FALSE)-VLOOKUP($A132,main!$A$3:$H$102,6,FALSE)&gt;=main!$D$103+VLOOKUP(VLOOKUP(BN$1,main!$A$3:$I$102,7,FALSE),main!$K$26:$Q$29,4,FALSE)),1,0)</f>
        <v>0</v>
      </c>
      <c r="BO132">
        <f>IF(AND(VLOOKUP(BO$1,main!$A$3:$H$102,7,FALSE)=main!$G$104,VLOOKUP(BO$1,main!$A$3:$H$102,5,FALSE)-VLOOKUP($A132,main!$A$3:$H$102,6,FALSE)&gt;=main!$D$103+VLOOKUP(VLOOKUP(BO$1,main!$A$3:$I$102,7,FALSE),main!$K$26:$Q$29,4,FALSE)),1,0)</f>
        <v>0</v>
      </c>
      <c r="BP132">
        <f>IF(AND(VLOOKUP(BP$1,main!$A$3:$H$102,7,FALSE)=main!$G$104,VLOOKUP(BP$1,main!$A$3:$H$102,5,FALSE)-VLOOKUP($A132,main!$A$3:$H$102,6,FALSE)&gt;=main!$D$103+VLOOKUP(VLOOKUP(BP$1,main!$A$3:$I$102,7,FALSE),main!$K$26:$Q$29,4,FALSE)),1,0)</f>
        <v>0</v>
      </c>
      <c r="BQ132">
        <f>IF(AND(VLOOKUP(BQ$1,main!$A$3:$H$102,7,FALSE)=main!$G$104,VLOOKUP(BQ$1,main!$A$3:$H$102,5,FALSE)-VLOOKUP($A132,main!$A$3:$H$102,6,FALSE)&gt;=main!$D$103+VLOOKUP(VLOOKUP(BQ$1,main!$A$3:$I$102,7,FALSE),main!$K$26:$Q$29,4,FALSE)),1,0)</f>
        <v>0</v>
      </c>
      <c r="BR132">
        <f>IF(AND(VLOOKUP(BR$1,main!$A$3:$H$102,7,FALSE)=main!$G$104,VLOOKUP(BR$1,main!$A$3:$H$102,5,FALSE)-VLOOKUP($A132,main!$A$3:$H$102,6,FALSE)&gt;=main!$D$103+VLOOKUP(VLOOKUP(BR$1,main!$A$3:$I$102,7,FALSE),main!$K$26:$Q$29,4,FALSE)),1,0)</f>
        <v>0</v>
      </c>
      <c r="BS132">
        <f>IF(AND(VLOOKUP(BS$1,main!$A$3:$H$102,7,FALSE)=main!$G$104,VLOOKUP(BS$1,main!$A$3:$H$102,5,FALSE)-VLOOKUP($A132,main!$A$3:$H$102,6,FALSE)&gt;=main!$D$103+VLOOKUP(VLOOKUP(BS$1,main!$A$3:$I$102,7,FALSE),main!$K$26:$Q$29,4,FALSE)),1,0)</f>
        <v>0</v>
      </c>
      <c r="BT132">
        <f>IF(AND(VLOOKUP(BT$1,main!$A$3:$H$102,7,FALSE)=main!$G$104,VLOOKUP(BT$1,main!$A$3:$H$102,5,FALSE)-VLOOKUP($A132,main!$A$3:$H$102,6,FALSE)&gt;=main!$D$103+VLOOKUP(VLOOKUP(BT$1,main!$A$3:$I$102,7,FALSE),main!$K$26:$Q$29,4,FALSE)),1,0)</f>
        <v>0</v>
      </c>
      <c r="BU132">
        <f>IF(AND(VLOOKUP(BU$1,main!$A$3:$H$102,7,FALSE)=main!$G$104,VLOOKUP(BU$1,main!$A$3:$H$102,5,FALSE)-VLOOKUP($A132,main!$A$3:$H$102,6,FALSE)&gt;=main!$D$103+VLOOKUP(VLOOKUP(BU$1,main!$A$3:$I$102,7,FALSE),main!$K$26:$Q$29,4,FALSE)),1,0)</f>
        <v>0</v>
      </c>
      <c r="BV132">
        <f>IF(AND(VLOOKUP(BV$1,main!$A$3:$H$102,7,FALSE)=main!$G$104,VLOOKUP(BV$1,main!$A$3:$H$102,5,FALSE)-VLOOKUP($A132,main!$A$3:$H$102,6,FALSE)&gt;=main!$D$103+VLOOKUP(VLOOKUP(BV$1,main!$A$3:$I$102,7,FALSE),main!$K$26:$Q$29,4,FALSE)),1,0)</f>
        <v>0</v>
      </c>
      <c r="BW132">
        <f>IF(AND(VLOOKUP(BW$1,main!$A$3:$H$102,7,FALSE)=main!$G$104,VLOOKUP(BW$1,main!$A$3:$H$102,5,FALSE)-VLOOKUP($A132,main!$A$3:$H$102,6,FALSE)&gt;=main!$D$103+VLOOKUP(VLOOKUP(BW$1,main!$A$3:$I$102,7,FALSE),main!$K$26:$Q$29,4,FALSE)),1,0)</f>
        <v>0</v>
      </c>
      <c r="BX132">
        <f>IF(AND(VLOOKUP(BX$1,main!$A$3:$H$102,7,FALSE)=main!$G$104,VLOOKUP(BX$1,main!$A$3:$H$102,5,FALSE)-VLOOKUP($A132,main!$A$3:$H$102,6,FALSE)&gt;=main!$D$103+VLOOKUP(VLOOKUP(BX$1,main!$A$3:$I$102,7,FALSE),main!$K$26:$Q$29,4,FALSE)),1,0)</f>
        <v>0</v>
      </c>
      <c r="BY132">
        <f>IF(AND(VLOOKUP(BY$1,main!$A$3:$H$102,7,FALSE)=main!$G$104,VLOOKUP(BY$1,main!$A$3:$H$102,5,FALSE)-VLOOKUP($A132,main!$A$3:$H$102,6,FALSE)&gt;=main!$D$103+VLOOKUP(VLOOKUP(BY$1,main!$A$3:$I$102,7,FALSE),main!$K$26:$Q$29,4,FALSE)),1,0)</f>
        <v>0</v>
      </c>
      <c r="BZ132">
        <f>IF(AND(VLOOKUP(BZ$1,main!$A$3:$H$102,7,FALSE)=main!$G$104,VLOOKUP(BZ$1,main!$A$3:$H$102,5,FALSE)-VLOOKUP($A132,main!$A$3:$H$102,6,FALSE)&gt;=main!$D$103+VLOOKUP(VLOOKUP(BZ$1,main!$A$3:$I$102,7,FALSE),main!$K$26:$Q$29,4,FALSE)),1,0)</f>
        <v>0</v>
      </c>
      <c r="CA132">
        <f>IF(AND(VLOOKUP(CA$1,main!$A$3:$H$102,7,FALSE)=main!$G$104,VLOOKUP(CA$1,main!$A$3:$H$102,5,FALSE)-VLOOKUP($A132,main!$A$3:$H$102,6,FALSE)&gt;=main!$D$103+VLOOKUP(VLOOKUP(CA$1,main!$A$3:$I$102,7,FALSE),main!$K$26:$Q$29,4,FALSE)),1,0)</f>
        <v>0</v>
      </c>
      <c r="CB132">
        <f>IF(AND(VLOOKUP(CB$1,main!$A$3:$H$102,7,FALSE)=main!$G$104,VLOOKUP(CB$1,main!$A$3:$H$102,5,FALSE)-VLOOKUP($A132,main!$A$3:$H$102,6,FALSE)&gt;=main!$D$103+VLOOKUP(VLOOKUP(CB$1,main!$A$3:$I$102,7,FALSE),main!$K$26:$Q$29,4,FALSE)),1,0)</f>
        <v>0</v>
      </c>
      <c r="CC132">
        <f>IF(AND(VLOOKUP(CC$1,main!$A$3:$H$102,7,FALSE)=main!$G$104,VLOOKUP(CC$1,main!$A$3:$H$102,5,FALSE)-VLOOKUP($A132,main!$A$3:$H$102,6,FALSE)&gt;=main!$D$103+VLOOKUP(VLOOKUP(CC$1,main!$A$3:$I$102,7,FALSE),main!$K$26:$Q$29,4,FALSE)),1,0)</f>
        <v>0</v>
      </c>
      <c r="CD132">
        <f>IF(AND(VLOOKUP(CD$1,main!$A$3:$H$102,7,FALSE)=main!$G$104,VLOOKUP(CD$1,main!$A$3:$H$102,5,FALSE)-VLOOKUP($A132,main!$A$3:$H$102,6,FALSE)&gt;=main!$D$103+VLOOKUP(VLOOKUP(CD$1,main!$A$3:$I$102,7,FALSE),main!$K$26:$Q$29,4,FALSE)),1,0)</f>
        <v>0</v>
      </c>
      <c r="CE132">
        <f>IF(AND(VLOOKUP(CE$1,main!$A$3:$H$102,7,FALSE)=main!$G$104,VLOOKUP(CE$1,main!$A$3:$H$102,5,FALSE)-VLOOKUP($A132,main!$A$3:$H$102,6,FALSE)&gt;=main!$D$103+VLOOKUP(VLOOKUP(CE$1,main!$A$3:$I$102,7,FALSE),main!$K$26:$Q$29,4,FALSE)),1,0)</f>
        <v>0</v>
      </c>
      <c r="CF132">
        <f>IF(AND(VLOOKUP(CF$1,main!$A$3:$H$102,7,FALSE)=main!$G$104,VLOOKUP(CF$1,main!$A$3:$H$102,5,FALSE)-VLOOKUP($A132,main!$A$3:$H$102,6,FALSE)&gt;=main!$D$103+VLOOKUP(VLOOKUP(CF$1,main!$A$3:$I$102,7,FALSE),main!$K$26:$Q$29,4,FALSE)),1,0)</f>
        <v>0</v>
      </c>
      <c r="CG132">
        <f>IF(AND(VLOOKUP(CG$1,main!$A$3:$H$102,7,FALSE)=main!$G$104,VLOOKUP(CG$1,main!$A$3:$H$102,5,FALSE)-VLOOKUP($A132,main!$A$3:$H$102,6,FALSE)&gt;=main!$D$103+VLOOKUP(VLOOKUP(CG$1,main!$A$3:$I$102,7,FALSE),main!$K$26:$Q$29,4,FALSE)),1,0)</f>
        <v>0</v>
      </c>
      <c r="CH132">
        <f>IF(AND(VLOOKUP(CH$1,main!$A$3:$H$102,7,FALSE)=main!$G$104,VLOOKUP(CH$1,main!$A$3:$H$102,5,FALSE)-VLOOKUP($A132,main!$A$3:$H$102,6,FALSE)&gt;=main!$D$103+VLOOKUP(VLOOKUP(CH$1,main!$A$3:$I$102,7,FALSE),main!$K$26:$Q$29,4,FALSE)),1,0)</f>
        <v>0</v>
      </c>
      <c r="CI132">
        <f>IF(AND(VLOOKUP(CI$1,main!$A$3:$H$102,7,FALSE)=main!$G$104,VLOOKUP(CI$1,main!$A$3:$H$102,5,FALSE)-VLOOKUP($A132,main!$A$3:$H$102,6,FALSE)&gt;=main!$D$103+VLOOKUP(VLOOKUP(CI$1,main!$A$3:$I$102,7,FALSE),main!$K$26:$Q$29,4,FALSE)),1,0)</f>
        <v>0</v>
      </c>
      <c r="CJ132">
        <f>IF(AND(VLOOKUP(CJ$1,main!$A$3:$H$102,7,FALSE)=main!$G$104,VLOOKUP(CJ$1,main!$A$3:$H$102,5,FALSE)-VLOOKUP($A132,main!$A$3:$H$102,6,FALSE)&gt;=main!$D$103+VLOOKUP(VLOOKUP(CJ$1,main!$A$3:$I$102,7,FALSE),main!$K$26:$Q$29,4,FALSE)),1,0)</f>
        <v>0</v>
      </c>
      <c r="CK132">
        <f>IF(AND(VLOOKUP(CK$1,main!$A$3:$H$102,7,FALSE)=main!$G$104,VLOOKUP(CK$1,main!$A$3:$H$102,5,FALSE)-VLOOKUP($A132,main!$A$3:$H$102,6,FALSE)&gt;=main!$D$103+VLOOKUP(VLOOKUP(CK$1,main!$A$3:$I$102,7,FALSE),main!$K$26:$Q$29,4,FALSE)),1,0)</f>
        <v>0</v>
      </c>
      <c r="CL132">
        <f>IF(AND(VLOOKUP(CL$1,main!$A$3:$H$102,7,FALSE)=main!$G$104,VLOOKUP(CL$1,main!$A$3:$H$102,5,FALSE)-VLOOKUP($A132,main!$A$3:$H$102,6,FALSE)&gt;=main!$D$103+VLOOKUP(VLOOKUP(CL$1,main!$A$3:$I$102,7,FALSE),main!$K$26:$Q$29,4,FALSE)),1,0)</f>
        <v>0</v>
      </c>
      <c r="CM132">
        <f>IF(AND(VLOOKUP(CM$1,main!$A$3:$H$102,7,FALSE)=main!$G$104,VLOOKUP(CM$1,main!$A$3:$H$102,5,FALSE)-VLOOKUP($A132,main!$A$3:$H$102,6,FALSE)&gt;=main!$D$103+VLOOKUP(VLOOKUP(CM$1,main!$A$3:$I$102,7,FALSE),main!$K$26:$Q$29,4,FALSE)),1,0)</f>
        <v>0</v>
      </c>
      <c r="CN132">
        <f>IF(AND(VLOOKUP(CN$1,main!$A$3:$H$102,7,FALSE)=main!$G$104,VLOOKUP(CN$1,main!$A$3:$H$102,5,FALSE)-VLOOKUP($A132,main!$A$3:$H$102,6,FALSE)&gt;=main!$D$103+VLOOKUP(VLOOKUP(CN$1,main!$A$3:$I$102,7,FALSE),main!$K$26:$Q$29,4,FALSE)),1,0)</f>
        <v>0</v>
      </c>
      <c r="CO132">
        <f>IF(AND(VLOOKUP(CO$1,main!$A$3:$H$102,7,FALSE)=main!$G$104,VLOOKUP(CO$1,main!$A$3:$H$102,5,FALSE)-VLOOKUP($A132,main!$A$3:$H$102,6,FALSE)&gt;=main!$D$103+VLOOKUP(VLOOKUP(CO$1,main!$A$3:$I$102,7,FALSE),main!$K$26:$Q$29,4,FALSE)),1,0)</f>
        <v>0</v>
      </c>
      <c r="CP132">
        <f>IF(AND(VLOOKUP(CP$1,main!$A$3:$H$102,7,FALSE)=main!$G$104,VLOOKUP(CP$1,main!$A$3:$H$102,5,FALSE)-VLOOKUP($A132,main!$A$3:$H$102,6,FALSE)&gt;=main!$D$103+VLOOKUP(VLOOKUP(CP$1,main!$A$3:$I$102,7,FALSE),main!$K$26:$Q$29,4,FALSE)),1,0)</f>
        <v>0</v>
      </c>
      <c r="CQ132">
        <f>IF(AND(VLOOKUP(CQ$1,main!$A$3:$H$102,7,FALSE)=main!$G$104,VLOOKUP(CQ$1,main!$A$3:$H$102,5,FALSE)-VLOOKUP($A132,main!$A$3:$H$102,6,FALSE)&gt;=main!$D$103+VLOOKUP(VLOOKUP(CQ$1,main!$A$3:$I$102,7,FALSE),main!$K$26:$Q$29,4,FALSE)),1,0)</f>
        <v>0</v>
      </c>
      <c r="CR132">
        <f>IF(AND(VLOOKUP(CR$1,main!$A$3:$H$102,7,FALSE)=main!$G$104,VLOOKUP(CR$1,main!$A$3:$H$102,5,FALSE)-VLOOKUP($A132,main!$A$3:$H$102,6,FALSE)&gt;=main!$D$103+VLOOKUP(VLOOKUP(CR$1,main!$A$3:$I$102,7,FALSE),main!$K$26:$Q$29,4,FALSE)),1,0)</f>
        <v>0</v>
      </c>
      <c r="CS132">
        <f>IF(AND(VLOOKUP(CS$1,main!$A$3:$H$102,7,FALSE)=main!$G$104,VLOOKUP(CS$1,main!$A$3:$H$102,5,FALSE)-VLOOKUP($A132,main!$A$3:$H$102,6,FALSE)&gt;=main!$D$103+VLOOKUP(VLOOKUP(CS$1,main!$A$3:$I$102,7,FALSE),main!$K$26:$Q$29,4,FALSE)),1,0)</f>
        <v>0</v>
      </c>
      <c r="CT132">
        <f>IF(AND(VLOOKUP(CT$1,main!$A$3:$H$102,7,FALSE)=main!$G$104,VLOOKUP(CT$1,main!$A$3:$H$102,5,FALSE)-VLOOKUP($A132,main!$A$3:$H$102,6,FALSE)&gt;=main!$D$103+VLOOKUP(VLOOKUP(CT$1,main!$A$3:$I$102,7,FALSE),main!$K$26:$Q$29,4,FALSE)),1,0)</f>
        <v>0</v>
      </c>
      <c r="CU132">
        <f>IF(AND(VLOOKUP(CU$1,main!$A$3:$H$102,7,FALSE)=main!$G$104,VLOOKUP(CU$1,main!$A$3:$H$102,5,FALSE)-VLOOKUP($A132,main!$A$3:$H$102,6,FALSE)&gt;=main!$D$103+VLOOKUP(VLOOKUP(CU$1,main!$A$3:$I$102,7,FALSE),main!$K$26:$Q$29,4,FALSE)),1,0)</f>
        <v>0</v>
      </c>
      <c r="CV132">
        <f>IF(AND(VLOOKUP(CV$1,main!$A$3:$H$102,7,FALSE)=main!$G$104,VLOOKUP(CV$1,main!$A$3:$H$102,5,FALSE)-VLOOKUP($A132,main!$A$3:$H$102,6,FALSE)&gt;=main!$D$103+VLOOKUP(VLOOKUP(CV$1,main!$A$3:$I$102,7,FALSE),main!$K$26:$Q$29,4,FALSE)),1,0)</f>
        <v>0</v>
      </c>
      <c r="CW132">
        <f>IF(AND(VLOOKUP(CW$1,main!$A$3:$H$102,7,FALSE)=main!$G$104,VLOOKUP(CW$1,main!$A$3:$H$102,5,FALSE)-VLOOKUP($A132,main!$A$3:$H$102,6,FALSE)&gt;=main!$D$103+VLOOKUP(VLOOKUP(CW$1,main!$A$3:$I$102,7,FALSE),main!$K$26:$Q$29,4,FALSE)),1,0)</f>
        <v>0</v>
      </c>
      <c r="CX132">
        <f>IF(AND(VLOOKUP(CX$1,main!$A$3:$H$102,7,FALSE)=main!$G$104,VLOOKUP(CX$1,main!$A$3:$H$102,5,FALSE)-VLOOKUP($A132,main!$A$3:$H$102,6,FALSE)&gt;=main!$D$103+VLOOKUP(VLOOKUP(CX$1,main!$A$3:$I$102,7,FALSE),main!$K$26:$Q$29,4,FALSE)),1,0)</f>
        <v>0</v>
      </c>
    </row>
    <row r="133" spans="1:109" x14ac:dyDescent="0.25">
      <c r="A133" s="1">
        <v>30</v>
      </c>
      <c r="B133">
        <v>0</v>
      </c>
      <c r="C133">
        <f>IF(AND(VLOOKUP(C$1,main!$A$3:$H$102,7,FALSE)=main!$G$104,VLOOKUP(C$1,main!$A$3:$H$102,5,FALSE)-VLOOKUP($A133,main!$A$3:$H$102,6,FALSE)&gt;=main!$D$103+VLOOKUP(VLOOKUP(C$1,main!$A$3:$I$102,7,FALSE),main!$K$26:$Q$29,4,FALSE)),1,0)</f>
        <v>0</v>
      </c>
      <c r="D133">
        <f>IF(AND(VLOOKUP(D$1,main!$A$3:$H$102,7,FALSE)=main!$G$104,VLOOKUP(D$1,main!$A$3:$H$102,5,FALSE)-VLOOKUP($A133,main!$A$3:$H$102,6,FALSE)&gt;=main!$D$103+VLOOKUP(VLOOKUP(D$1,main!$A$3:$I$102,7,FALSE),main!$K$26:$Q$29,4,FALSE)),1,0)</f>
        <v>0</v>
      </c>
      <c r="E133">
        <f>IF(AND(VLOOKUP(E$1,main!$A$3:$H$102,7,FALSE)=main!$G$104,VLOOKUP(E$1,main!$A$3:$H$102,5,FALSE)-VLOOKUP($A133,main!$A$3:$H$102,6,FALSE)&gt;=main!$D$103+VLOOKUP(VLOOKUP(E$1,main!$A$3:$I$102,7,FALSE),main!$K$26:$Q$29,4,FALSE)),1,0)</f>
        <v>0</v>
      </c>
      <c r="F133">
        <f>IF(AND(VLOOKUP(F$1,main!$A$3:$H$102,7,FALSE)=main!$G$104,VLOOKUP(F$1,main!$A$3:$H$102,5,FALSE)-VLOOKUP($A133,main!$A$3:$H$102,6,FALSE)&gt;=main!$D$103+VLOOKUP(VLOOKUP(F$1,main!$A$3:$I$102,7,FALSE),main!$K$26:$Q$29,4,FALSE)),1,0)</f>
        <v>0</v>
      </c>
      <c r="G133">
        <f>IF(AND(VLOOKUP(G$1,main!$A$3:$H$102,7,FALSE)=main!$G$104,VLOOKUP(G$1,main!$A$3:$H$102,5,FALSE)-VLOOKUP($A133,main!$A$3:$H$102,6,FALSE)&gt;=main!$D$103+VLOOKUP(VLOOKUP(G$1,main!$A$3:$I$102,7,FALSE),main!$K$26:$Q$29,4,FALSE)),1,0)</f>
        <v>0</v>
      </c>
      <c r="H133">
        <f>IF(AND(VLOOKUP(H$1,main!$A$3:$H$102,7,FALSE)=main!$G$104,VLOOKUP(H$1,main!$A$3:$H$102,5,FALSE)-VLOOKUP($A133,main!$A$3:$H$102,6,FALSE)&gt;=main!$D$103+VLOOKUP(VLOOKUP(H$1,main!$A$3:$I$102,7,FALSE),main!$K$26:$Q$29,4,FALSE)),1,0)</f>
        <v>0</v>
      </c>
      <c r="I133">
        <f>IF(AND(VLOOKUP(I$1,main!$A$3:$H$102,7,FALSE)=main!$G$104,VLOOKUP(I$1,main!$A$3:$H$102,5,FALSE)-VLOOKUP($A133,main!$A$3:$H$102,6,FALSE)&gt;=main!$D$103+VLOOKUP(VLOOKUP(I$1,main!$A$3:$I$102,7,FALSE),main!$K$26:$Q$29,4,FALSE)),1,0)</f>
        <v>0</v>
      </c>
      <c r="J133">
        <f>IF(AND(VLOOKUP(J$1,main!$A$3:$H$102,7,FALSE)=main!$G$104,VLOOKUP(J$1,main!$A$3:$H$102,5,FALSE)-VLOOKUP($A133,main!$A$3:$H$102,6,FALSE)&gt;=main!$D$103+VLOOKUP(VLOOKUP(J$1,main!$A$3:$I$102,7,FALSE),main!$K$26:$Q$29,4,FALSE)),1,0)</f>
        <v>0</v>
      </c>
      <c r="K133">
        <f>IF(AND(VLOOKUP(K$1,main!$A$3:$H$102,7,FALSE)=main!$G$104,VLOOKUP(K$1,main!$A$3:$H$102,5,FALSE)-VLOOKUP($A133,main!$A$3:$H$102,6,FALSE)&gt;=main!$D$103+VLOOKUP(VLOOKUP(K$1,main!$A$3:$I$102,7,FALSE),main!$K$26:$Q$29,4,FALSE)),1,0)</f>
        <v>0</v>
      </c>
      <c r="L133">
        <f>IF(AND(VLOOKUP(L$1,main!$A$3:$H$102,7,FALSE)=main!$G$104,VLOOKUP(L$1,main!$A$3:$H$102,5,FALSE)-VLOOKUP($A133,main!$A$3:$H$102,6,FALSE)&gt;=main!$D$103+VLOOKUP(VLOOKUP(L$1,main!$A$3:$I$102,7,FALSE),main!$K$26:$Q$29,4,FALSE)),1,0)</f>
        <v>0</v>
      </c>
      <c r="M133">
        <f>IF(AND(VLOOKUP(M$1,main!$A$3:$H$102,7,FALSE)=main!$G$104,VLOOKUP(M$1,main!$A$3:$H$102,5,FALSE)-VLOOKUP($A133,main!$A$3:$H$102,6,FALSE)&gt;=main!$D$103+VLOOKUP(VLOOKUP(M$1,main!$A$3:$I$102,7,FALSE),main!$K$26:$Q$29,4,FALSE)),1,0)</f>
        <v>0</v>
      </c>
      <c r="N133">
        <f>IF(AND(VLOOKUP(N$1,main!$A$3:$H$102,7,FALSE)=main!$G$104,VLOOKUP(N$1,main!$A$3:$H$102,5,FALSE)-VLOOKUP($A133,main!$A$3:$H$102,6,FALSE)&gt;=main!$D$103+VLOOKUP(VLOOKUP(N$1,main!$A$3:$I$102,7,FALSE),main!$K$26:$Q$29,4,FALSE)),1,0)</f>
        <v>0</v>
      </c>
      <c r="O133">
        <f>IF(AND(VLOOKUP(O$1,main!$A$3:$H$102,7,FALSE)=main!$G$104,VLOOKUP(O$1,main!$A$3:$H$102,5,FALSE)-VLOOKUP($A133,main!$A$3:$H$102,6,FALSE)&gt;=main!$D$103+VLOOKUP(VLOOKUP(O$1,main!$A$3:$I$102,7,FALSE),main!$K$26:$Q$29,4,FALSE)),1,0)</f>
        <v>0</v>
      </c>
      <c r="P133">
        <f>IF(AND(VLOOKUP(P$1,main!$A$3:$H$102,7,FALSE)=main!$G$104,VLOOKUP(P$1,main!$A$3:$H$102,5,FALSE)-VLOOKUP($A133,main!$A$3:$H$102,6,FALSE)&gt;=main!$D$103+VLOOKUP(VLOOKUP(P$1,main!$A$3:$I$102,7,FALSE),main!$K$26:$Q$29,4,FALSE)),1,0)</f>
        <v>0</v>
      </c>
      <c r="Q133">
        <f>IF(AND(VLOOKUP(Q$1,main!$A$3:$H$102,7,FALSE)=main!$G$104,VLOOKUP(Q$1,main!$A$3:$H$102,5,FALSE)-VLOOKUP($A133,main!$A$3:$H$102,6,FALSE)&gt;=main!$D$103+VLOOKUP(VLOOKUP(Q$1,main!$A$3:$I$102,7,FALSE),main!$K$26:$Q$29,4,FALSE)),1,0)</f>
        <v>0</v>
      </c>
      <c r="R133">
        <f>IF(AND(VLOOKUP(R$1,main!$A$3:$H$102,7,FALSE)=main!$G$104,VLOOKUP(R$1,main!$A$3:$H$102,5,FALSE)-VLOOKUP($A133,main!$A$3:$H$102,6,FALSE)&gt;=main!$D$103+VLOOKUP(VLOOKUP(R$1,main!$A$3:$I$102,7,FALSE),main!$K$26:$Q$29,4,FALSE)),1,0)</f>
        <v>0</v>
      </c>
      <c r="S133">
        <f>IF(AND(VLOOKUP(S$1,main!$A$3:$H$102,7,FALSE)=main!$G$104,VLOOKUP(S$1,main!$A$3:$H$102,5,FALSE)-VLOOKUP($A133,main!$A$3:$H$102,6,FALSE)&gt;=main!$D$103+VLOOKUP(VLOOKUP(S$1,main!$A$3:$I$102,7,FALSE),main!$K$26:$Q$29,4,FALSE)),1,0)</f>
        <v>0</v>
      </c>
      <c r="T133">
        <f>IF(AND(VLOOKUP(T$1,main!$A$3:$H$102,7,FALSE)=main!$G$104,VLOOKUP(T$1,main!$A$3:$H$102,5,FALSE)-VLOOKUP($A133,main!$A$3:$H$102,6,FALSE)&gt;=main!$D$103+VLOOKUP(VLOOKUP(T$1,main!$A$3:$I$102,7,FALSE),main!$K$26:$Q$29,4,FALSE)),1,0)</f>
        <v>0</v>
      </c>
      <c r="U133">
        <f>IF(AND(VLOOKUP(U$1,main!$A$3:$H$102,7,FALSE)=main!$G$104,VLOOKUP(U$1,main!$A$3:$H$102,5,FALSE)-VLOOKUP($A133,main!$A$3:$H$102,6,FALSE)&gt;=main!$D$103+VLOOKUP(VLOOKUP(U$1,main!$A$3:$I$102,7,FALSE),main!$K$26:$Q$29,4,FALSE)),1,0)</f>
        <v>0</v>
      </c>
      <c r="V133">
        <f>IF(AND(VLOOKUP(V$1,main!$A$3:$H$102,7,FALSE)=main!$G$104,VLOOKUP(V$1,main!$A$3:$H$102,5,FALSE)-VLOOKUP($A133,main!$A$3:$H$102,6,FALSE)&gt;=main!$D$103+VLOOKUP(VLOOKUP(V$1,main!$A$3:$I$102,7,FALSE),main!$K$26:$Q$29,4,FALSE)),1,0)</f>
        <v>0</v>
      </c>
      <c r="W133">
        <f>IF(AND(VLOOKUP(W$1,main!$A$3:$H$102,7,FALSE)=main!$G$104,VLOOKUP(W$1,main!$A$3:$H$102,5,FALSE)-VLOOKUP($A133,main!$A$3:$H$102,6,FALSE)&gt;=main!$D$103+VLOOKUP(VLOOKUP(W$1,main!$A$3:$I$102,7,FALSE),main!$K$26:$Q$29,4,FALSE)),1,0)</f>
        <v>0</v>
      </c>
      <c r="X133">
        <f>IF(AND(VLOOKUP(X$1,main!$A$3:$H$102,7,FALSE)=main!$G$104,VLOOKUP(X$1,main!$A$3:$H$102,5,FALSE)-VLOOKUP($A133,main!$A$3:$H$102,6,FALSE)&gt;=main!$D$103+VLOOKUP(VLOOKUP(X$1,main!$A$3:$I$102,7,FALSE),main!$K$26:$Q$29,4,FALSE)),1,0)</f>
        <v>0</v>
      </c>
      <c r="Y133">
        <f>IF(AND(VLOOKUP(Y$1,main!$A$3:$H$102,7,FALSE)=main!$G$104,VLOOKUP(Y$1,main!$A$3:$H$102,5,FALSE)-VLOOKUP($A133,main!$A$3:$H$102,6,FALSE)&gt;=main!$D$103+VLOOKUP(VLOOKUP(Y$1,main!$A$3:$I$102,7,FALSE),main!$K$26:$Q$29,4,FALSE)),1,0)</f>
        <v>0</v>
      </c>
      <c r="Z133">
        <f>IF(AND(VLOOKUP(Z$1,main!$A$3:$H$102,7,FALSE)=main!$G$104,VLOOKUP(Z$1,main!$A$3:$H$102,5,FALSE)-VLOOKUP($A133,main!$A$3:$H$102,6,FALSE)&gt;=main!$D$103+VLOOKUP(VLOOKUP(Z$1,main!$A$3:$I$102,7,FALSE),main!$K$26:$Q$29,4,FALSE)),1,0)</f>
        <v>0</v>
      </c>
      <c r="AA133">
        <f>IF(AND(VLOOKUP(AA$1,main!$A$3:$H$102,7,FALSE)=main!$G$104,VLOOKUP(AA$1,main!$A$3:$H$102,5,FALSE)-VLOOKUP($A133,main!$A$3:$H$102,6,FALSE)&gt;=main!$D$103+VLOOKUP(VLOOKUP(AA$1,main!$A$3:$I$102,7,FALSE),main!$K$26:$Q$29,4,FALSE)),1,0)</f>
        <v>0</v>
      </c>
      <c r="AB133">
        <f>IF(AND(VLOOKUP(AB$1,main!$A$3:$H$102,7,FALSE)=main!$G$104,VLOOKUP(AB$1,main!$A$3:$H$102,5,FALSE)-VLOOKUP($A133,main!$A$3:$H$102,6,FALSE)&gt;=main!$D$103+VLOOKUP(VLOOKUP(AB$1,main!$A$3:$I$102,7,FALSE),main!$K$26:$Q$29,4,FALSE)),1,0)</f>
        <v>0</v>
      </c>
      <c r="AC133">
        <f>IF(AND(VLOOKUP(AC$1,main!$A$3:$H$102,7,FALSE)=main!$G$104,VLOOKUP(AC$1,main!$A$3:$H$102,5,FALSE)-VLOOKUP($A133,main!$A$3:$H$102,6,FALSE)&gt;=main!$D$103+VLOOKUP(VLOOKUP(AC$1,main!$A$3:$I$102,7,FALSE),main!$K$26:$Q$29,4,FALSE)),1,0)</f>
        <v>0</v>
      </c>
      <c r="AD133">
        <f>IF(AND(VLOOKUP(AD$1,main!$A$3:$H$102,7,FALSE)=main!$G$104,VLOOKUP(AD$1,main!$A$3:$H$102,5,FALSE)-VLOOKUP($A133,main!$A$3:$H$102,6,FALSE)&gt;=main!$D$103+VLOOKUP(VLOOKUP(AD$1,main!$A$3:$I$102,7,FALSE),main!$K$26:$Q$29,4,FALSE)),1,0)</f>
        <v>0</v>
      </c>
      <c r="AE133">
        <f>IF(AND(VLOOKUP(AE$1,main!$A$3:$H$102,7,FALSE)=main!$G$104,VLOOKUP(AE$1,main!$A$3:$H$102,5,FALSE)-VLOOKUP($A133,main!$A$3:$H$102,6,FALSE)&gt;=main!$D$103+VLOOKUP(VLOOKUP(AE$1,main!$A$3:$I$102,7,FALSE),main!$K$26:$Q$29,4,FALSE)),1,0)</f>
        <v>0</v>
      </c>
      <c r="AF133">
        <f>IF(AND(VLOOKUP(AF$1,main!$A$3:$H$102,7,FALSE)=main!$G$104,VLOOKUP(AF$1,main!$A$3:$H$102,5,FALSE)-VLOOKUP($A133,main!$A$3:$H$102,6,FALSE)&gt;=main!$D$103+VLOOKUP(VLOOKUP(AF$1,main!$A$3:$I$102,7,FALSE),main!$K$26:$Q$29,4,FALSE)),1,0)</f>
        <v>0</v>
      </c>
      <c r="AG133">
        <f>IF(AND(VLOOKUP(AG$1,main!$A$3:$H$102,7,FALSE)=main!$G$104,VLOOKUP(AG$1,main!$A$3:$H$102,5,FALSE)-VLOOKUP($A133,main!$A$3:$H$102,6,FALSE)&gt;=main!$D$103+VLOOKUP(VLOOKUP(AG$1,main!$A$3:$I$102,7,FALSE),main!$K$26:$Q$29,4,FALSE)),1,0)</f>
        <v>0</v>
      </c>
      <c r="AH133">
        <f>IF(AND(VLOOKUP(AH$1,main!$A$3:$H$102,7,FALSE)=main!$G$104,VLOOKUP(AH$1,main!$A$3:$H$102,5,FALSE)-VLOOKUP($A133,main!$A$3:$H$102,6,FALSE)&gt;=main!$D$103+VLOOKUP(VLOOKUP(AH$1,main!$A$3:$I$102,7,FALSE),main!$K$26:$Q$29,4,FALSE)),1,0)</f>
        <v>0</v>
      </c>
      <c r="AI133">
        <f>IF(AND(VLOOKUP(AI$1,main!$A$3:$H$102,7,FALSE)=main!$G$104,VLOOKUP(AI$1,main!$A$3:$H$102,5,FALSE)-VLOOKUP($A133,main!$A$3:$H$102,6,FALSE)&gt;=main!$D$103+VLOOKUP(VLOOKUP(AI$1,main!$A$3:$I$102,7,FALSE),main!$K$26:$Q$29,4,FALSE)),1,0)</f>
        <v>0</v>
      </c>
      <c r="AJ133">
        <f>IF(AND(VLOOKUP(AJ$1,main!$A$3:$H$102,7,FALSE)=main!$G$104,VLOOKUP(AJ$1,main!$A$3:$H$102,5,FALSE)-VLOOKUP($A133,main!$A$3:$H$102,6,FALSE)&gt;=main!$D$103+VLOOKUP(VLOOKUP(AJ$1,main!$A$3:$I$102,7,FALSE),main!$K$26:$Q$29,4,FALSE)),1,0)</f>
        <v>0</v>
      </c>
      <c r="AK133">
        <f>IF(AND(VLOOKUP(AK$1,main!$A$3:$H$102,7,FALSE)=main!$G$104,VLOOKUP(AK$1,main!$A$3:$H$102,5,FALSE)-VLOOKUP($A133,main!$A$3:$H$102,6,FALSE)&gt;=main!$D$103+VLOOKUP(VLOOKUP(AK$1,main!$A$3:$I$102,7,FALSE),main!$K$26:$Q$29,4,FALSE)),1,0)</f>
        <v>0</v>
      </c>
      <c r="AL133">
        <f>IF(AND(VLOOKUP(AL$1,main!$A$3:$H$102,7,FALSE)=main!$G$104,VLOOKUP(AL$1,main!$A$3:$H$102,5,FALSE)-VLOOKUP($A133,main!$A$3:$H$102,6,FALSE)&gt;=main!$D$103+VLOOKUP(VLOOKUP(AL$1,main!$A$3:$I$102,7,FALSE),main!$K$26:$Q$29,4,FALSE)),1,0)</f>
        <v>0</v>
      </c>
      <c r="AM133">
        <f>IF(AND(VLOOKUP(AM$1,main!$A$3:$H$102,7,FALSE)=main!$G$104,VLOOKUP(AM$1,main!$A$3:$H$102,5,FALSE)-VLOOKUP($A133,main!$A$3:$H$102,6,FALSE)&gt;=main!$D$103+VLOOKUP(VLOOKUP(AM$1,main!$A$3:$I$102,7,FALSE),main!$K$26:$Q$29,4,FALSE)),1,0)</f>
        <v>0</v>
      </c>
      <c r="AN133">
        <f>IF(AND(VLOOKUP(AN$1,main!$A$3:$H$102,7,FALSE)=main!$G$104,VLOOKUP(AN$1,main!$A$3:$H$102,5,FALSE)-VLOOKUP($A133,main!$A$3:$H$102,6,FALSE)&gt;=main!$D$103+VLOOKUP(VLOOKUP(AN$1,main!$A$3:$I$102,7,FALSE),main!$K$26:$Q$29,4,FALSE)),1,0)</f>
        <v>0</v>
      </c>
      <c r="AO133">
        <f>IF(AND(VLOOKUP(AO$1,main!$A$3:$H$102,7,FALSE)=main!$G$104,VLOOKUP(AO$1,main!$A$3:$H$102,5,FALSE)-VLOOKUP($A133,main!$A$3:$H$102,6,FALSE)&gt;=main!$D$103+VLOOKUP(VLOOKUP(AO$1,main!$A$3:$I$102,7,FALSE),main!$K$26:$Q$29,4,FALSE)),1,0)</f>
        <v>0</v>
      </c>
      <c r="AP133">
        <f>IF(AND(VLOOKUP(AP$1,main!$A$3:$H$102,7,FALSE)=main!$G$104,VLOOKUP(AP$1,main!$A$3:$H$102,5,FALSE)-VLOOKUP($A133,main!$A$3:$H$102,6,FALSE)&gt;=main!$D$103+VLOOKUP(VLOOKUP(AP$1,main!$A$3:$I$102,7,FALSE),main!$K$26:$Q$29,4,FALSE)),1,0)</f>
        <v>0</v>
      </c>
      <c r="AQ133">
        <f>IF(AND(VLOOKUP(AQ$1,main!$A$3:$H$102,7,FALSE)=main!$G$104,VLOOKUP(AQ$1,main!$A$3:$H$102,5,FALSE)-VLOOKUP($A133,main!$A$3:$H$102,6,FALSE)&gt;=main!$D$103+VLOOKUP(VLOOKUP(AQ$1,main!$A$3:$I$102,7,FALSE),main!$K$26:$Q$29,4,FALSE)),1,0)</f>
        <v>0</v>
      </c>
      <c r="AR133">
        <f>IF(AND(VLOOKUP(AR$1,main!$A$3:$H$102,7,FALSE)=main!$G$104,VLOOKUP(AR$1,main!$A$3:$H$102,5,FALSE)-VLOOKUP($A133,main!$A$3:$H$102,6,FALSE)&gt;=main!$D$103+VLOOKUP(VLOOKUP(AR$1,main!$A$3:$I$102,7,FALSE),main!$K$26:$Q$29,4,FALSE)),1,0)</f>
        <v>0</v>
      </c>
      <c r="AS133">
        <f>IF(AND(VLOOKUP(AS$1,main!$A$3:$H$102,7,FALSE)=main!$G$104,VLOOKUP(AS$1,main!$A$3:$H$102,5,FALSE)-VLOOKUP($A133,main!$A$3:$H$102,6,FALSE)&gt;=main!$D$103+VLOOKUP(VLOOKUP(AS$1,main!$A$3:$I$102,7,FALSE),main!$K$26:$Q$29,4,FALSE)),1,0)</f>
        <v>0</v>
      </c>
      <c r="AT133">
        <f>IF(AND(VLOOKUP(AT$1,main!$A$3:$H$102,7,FALSE)=main!$G$104,VLOOKUP(AT$1,main!$A$3:$H$102,5,FALSE)-VLOOKUP($A133,main!$A$3:$H$102,6,FALSE)&gt;=main!$D$103+VLOOKUP(VLOOKUP(AT$1,main!$A$3:$I$102,7,FALSE),main!$K$26:$Q$29,4,FALSE)),1,0)</f>
        <v>0</v>
      </c>
      <c r="AU133">
        <f>IF(AND(VLOOKUP(AU$1,main!$A$3:$H$102,7,FALSE)=main!$G$104,VLOOKUP(AU$1,main!$A$3:$H$102,5,FALSE)-VLOOKUP($A133,main!$A$3:$H$102,6,FALSE)&gt;=main!$D$103+VLOOKUP(VLOOKUP(AU$1,main!$A$3:$I$102,7,FALSE),main!$K$26:$Q$29,4,FALSE)),1,0)</f>
        <v>0</v>
      </c>
      <c r="AV133">
        <f>IF(AND(VLOOKUP(AV$1,main!$A$3:$H$102,7,FALSE)=main!$G$104,VLOOKUP(AV$1,main!$A$3:$H$102,5,FALSE)-VLOOKUP($A133,main!$A$3:$H$102,6,FALSE)&gt;=main!$D$103+VLOOKUP(VLOOKUP(AV$1,main!$A$3:$I$102,7,FALSE),main!$K$26:$Q$29,4,FALSE)),1,0)</f>
        <v>0</v>
      </c>
      <c r="AW133">
        <f>IF(AND(VLOOKUP(AW$1,main!$A$3:$H$102,7,FALSE)=main!$G$104,VLOOKUP(AW$1,main!$A$3:$H$102,5,FALSE)-VLOOKUP($A133,main!$A$3:$H$102,6,FALSE)&gt;=main!$D$103+VLOOKUP(VLOOKUP(AW$1,main!$A$3:$I$102,7,FALSE),main!$K$26:$Q$29,4,FALSE)),1,0)</f>
        <v>0</v>
      </c>
      <c r="AX133">
        <f>IF(AND(VLOOKUP(AX$1,main!$A$3:$H$102,7,FALSE)=main!$G$104,VLOOKUP(AX$1,main!$A$3:$H$102,5,FALSE)-VLOOKUP($A133,main!$A$3:$H$102,6,FALSE)&gt;=main!$D$103+VLOOKUP(VLOOKUP(AX$1,main!$A$3:$I$102,7,FALSE),main!$K$26:$Q$29,4,FALSE)),1,0)</f>
        <v>0</v>
      </c>
      <c r="AY133">
        <f>IF(AND(VLOOKUP(AY$1,main!$A$3:$H$102,7,FALSE)=main!$G$104,VLOOKUP(AY$1,main!$A$3:$H$102,5,FALSE)-VLOOKUP($A133,main!$A$3:$H$102,6,FALSE)&gt;=main!$D$103+VLOOKUP(VLOOKUP(AY$1,main!$A$3:$I$102,7,FALSE),main!$K$26:$Q$29,4,FALSE)),1,0)</f>
        <v>0</v>
      </c>
      <c r="AZ133">
        <f>IF(AND(VLOOKUP(AZ$1,main!$A$3:$H$102,7,FALSE)=main!$G$104,VLOOKUP(AZ$1,main!$A$3:$H$102,5,FALSE)-VLOOKUP($A133,main!$A$3:$H$102,6,FALSE)&gt;=main!$D$103+VLOOKUP(VLOOKUP(AZ$1,main!$A$3:$I$102,7,FALSE),main!$K$26:$Q$29,4,FALSE)),1,0)</f>
        <v>0</v>
      </c>
      <c r="BA133">
        <f>IF(AND(VLOOKUP(BA$1,main!$A$3:$H$102,7,FALSE)=main!$G$104,VLOOKUP(BA$1,main!$A$3:$H$102,5,FALSE)-VLOOKUP($A133,main!$A$3:$H$102,6,FALSE)&gt;=main!$D$103+VLOOKUP(VLOOKUP(BA$1,main!$A$3:$I$102,7,FALSE),main!$K$26:$Q$29,4,FALSE)),1,0)</f>
        <v>0</v>
      </c>
      <c r="BB133">
        <f>IF(AND(VLOOKUP(BB$1,main!$A$3:$H$102,7,FALSE)=main!$G$104,VLOOKUP(BB$1,main!$A$3:$H$102,5,FALSE)-VLOOKUP($A133,main!$A$3:$H$102,6,FALSE)&gt;=main!$D$103+VLOOKUP(VLOOKUP(BB$1,main!$A$3:$I$102,7,FALSE),main!$K$26:$Q$29,4,FALSE)),1,0)</f>
        <v>0</v>
      </c>
      <c r="BC133">
        <f>IF(AND(VLOOKUP(BC$1,main!$A$3:$H$102,7,FALSE)=main!$G$104,VLOOKUP(BC$1,main!$A$3:$H$102,5,FALSE)-VLOOKUP($A133,main!$A$3:$H$102,6,FALSE)&gt;=main!$D$103+VLOOKUP(VLOOKUP(BC$1,main!$A$3:$I$102,7,FALSE),main!$K$26:$Q$29,4,FALSE)),1,0)</f>
        <v>0</v>
      </c>
      <c r="BD133">
        <f>IF(AND(VLOOKUP(BD$1,main!$A$3:$H$102,7,FALSE)=main!$G$104,VLOOKUP(BD$1,main!$A$3:$H$102,5,FALSE)-VLOOKUP($A133,main!$A$3:$H$102,6,FALSE)&gt;=main!$D$103+VLOOKUP(VLOOKUP(BD$1,main!$A$3:$I$102,7,FALSE),main!$K$26:$Q$29,4,FALSE)),1,0)</f>
        <v>0</v>
      </c>
      <c r="BE133">
        <f>IF(AND(VLOOKUP(BE$1,main!$A$3:$H$102,7,FALSE)=main!$G$104,VLOOKUP(BE$1,main!$A$3:$H$102,5,FALSE)-VLOOKUP($A133,main!$A$3:$H$102,6,FALSE)&gt;=main!$D$103+VLOOKUP(VLOOKUP(BE$1,main!$A$3:$I$102,7,FALSE),main!$K$26:$Q$29,4,FALSE)),1,0)</f>
        <v>0</v>
      </c>
      <c r="BF133">
        <f>IF(AND(VLOOKUP(BF$1,main!$A$3:$H$102,7,FALSE)=main!$G$104,VLOOKUP(BF$1,main!$A$3:$H$102,5,FALSE)-VLOOKUP($A133,main!$A$3:$H$102,6,FALSE)&gt;=main!$D$103+VLOOKUP(VLOOKUP(BF$1,main!$A$3:$I$102,7,FALSE),main!$K$26:$Q$29,4,FALSE)),1,0)</f>
        <v>0</v>
      </c>
      <c r="BG133">
        <f>IF(AND(VLOOKUP(BG$1,main!$A$3:$H$102,7,FALSE)=main!$G$104,VLOOKUP(BG$1,main!$A$3:$H$102,5,FALSE)-VLOOKUP($A133,main!$A$3:$H$102,6,FALSE)&gt;=main!$D$103+VLOOKUP(VLOOKUP(BG$1,main!$A$3:$I$102,7,FALSE),main!$K$26:$Q$29,4,FALSE)),1,0)</f>
        <v>0</v>
      </c>
      <c r="BH133">
        <f>IF(AND(VLOOKUP(BH$1,main!$A$3:$H$102,7,FALSE)=main!$G$104,VLOOKUP(BH$1,main!$A$3:$H$102,5,FALSE)-VLOOKUP($A133,main!$A$3:$H$102,6,FALSE)&gt;=main!$D$103+VLOOKUP(VLOOKUP(BH$1,main!$A$3:$I$102,7,FALSE),main!$K$26:$Q$29,4,FALSE)),1,0)</f>
        <v>0</v>
      </c>
      <c r="BI133">
        <f>IF(AND(VLOOKUP(BI$1,main!$A$3:$H$102,7,FALSE)=main!$G$104,VLOOKUP(BI$1,main!$A$3:$H$102,5,FALSE)-VLOOKUP($A133,main!$A$3:$H$102,6,FALSE)&gt;=main!$D$103+VLOOKUP(VLOOKUP(BI$1,main!$A$3:$I$102,7,FALSE),main!$K$26:$Q$29,4,FALSE)),1,0)</f>
        <v>0</v>
      </c>
      <c r="BJ133">
        <f>IF(AND(VLOOKUP(BJ$1,main!$A$3:$H$102,7,FALSE)=main!$G$104,VLOOKUP(BJ$1,main!$A$3:$H$102,5,FALSE)-VLOOKUP($A133,main!$A$3:$H$102,6,FALSE)&gt;=main!$D$103+VLOOKUP(VLOOKUP(BJ$1,main!$A$3:$I$102,7,FALSE),main!$K$26:$Q$29,4,FALSE)),1,0)</f>
        <v>0</v>
      </c>
      <c r="BK133">
        <f>IF(AND(VLOOKUP(BK$1,main!$A$3:$H$102,7,FALSE)=main!$G$104,VLOOKUP(BK$1,main!$A$3:$H$102,5,FALSE)-VLOOKUP($A133,main!$A$3:$H$102,6,FALSE)&gt;=main!$D$103+VLOOKUP(VLOOKUP(BK$1,main!$A$3:$I$102,7,FALSE),main!$K$26:$Q$29,4,FALSE)),1,0)</f>
        <v>0</v>
      </c>
      <c r="BL133">
        <f>IF(AND(VLOOKUP(BL$1,main!$A$3:$H$102,7,FALSE)=main!$G$104,VLOOKUP(BL$1,main!$A$3:$H$102,5,FALSE)-VLOOKUP($A133,main!$A$3:$H$102,6,FALSE)&gt;=main!$D$103+VLOOKUP(VLOOKUP(BL$1,main!$A$3:$I$102,7,FALSE),main!$K$26:$Q$29,4,FALSE)),1,0)</f>
        <v>0</v>
      </c>
      <c r="BM133">
        <f>IF(AND(VLOOKUP(BM$1,main!$A$3:$H$102,7,FALSE)=main!$G$104,VLOOKUP(BM$1,main!$A$3:$H$102,5,FALSE)-VLOOKUP($A133,main!$A$3:$H$102,6,FALSE)&gt;=main!$D$103+VLOOKUP(VLOOKUP(BM$1,main!$A$3:$I$102,7,FALSE),main!$K$26:$Q$29,4,FALSE)),1,0)</f>
        <v>0</v>
      </c>
      <c r="BN133">
        <f>IF(AND(VLOOKUP(BN$1,main!$A$3:$H$102,7,FALSE)=main!$G$104,VLOOKUP(BN$1,main!$A$3:$H$102,5,FALSE)-VLOOKUP($A133,main!$A$3:$H$102,6,FALSE)&gt;=main!$D$103+VLOOKUP(VLOOKUP(BN$1,main!$A$3:$I$102,7,FALSE),main!$K$26:$Q$29,4,FALSE)),1,0)</f>
        <v>0</v>
      </c>
      <c r="BO133">
        <f>IF(AND(VLOOKUP(BO$1,main!$A$3:$H$102,7,FALSE)=main!$G$104,VLOOKUP(BO$1,main!$A$3:$H$102,5,FALSE)-VLOOKUP($A133,main!$A$3:$H$102,6,FALSE)&gt;=main!$D$103+VLOOKUP(VLOOKUP(BO$1,main!$A$3:$I$102,7,FALSE),main!$K$26:$Q$29,4,FALSE)),1,0)</f>
        <v>0</v>
      </c>
      <c r="BP133">
        <f>IF(AND(VLOOKUP(BP$1,main!$A$3:$H$102,7,FALSE)=main!$G$104,VLOOKUP(BP$1,main!$A$3:$H$102,5,FALSE)-VLOOKUP($A133,main!$A$3:$H$102,6,FALSE)&gt;=main!$D$103+VLOOKUP(VLOOKUP(BP$1,main!$A$3:$I$102,7,FALSE),main!$K$26:$Q$29,4,FALSE)),1,0)</f>
        <v>0</v>
      </c>
      <c r="BQ133">
        <f>IF(AND(VLOOKUP(BQ$1,main!$A$3:$H$102,7,FALSE)=main!$G$104,VLOOKUP(BQ$1,main!$A$3:$H$102,5,FALSE)-VLOOKUP($A133,main!$A$3:$H$102,6,FALSE)&gt;=main!$D$103+VLOOKUP(VLOOKUP(BQ$1,main!$A$3:$I$102,7,FALSE),main!$K$26:$Q$29,4,FALSE)),1,0)</f>
        <v>0</v>
      </c>
      <c r="BR133">
        <f>IF(AND(VLOOKUP(BR$1,main!$A$3:$H$102,7,FALSE)=main!$G$104,VLOOKUP(BR$1,main!$A$3:$H$102,5,FALSE)-VLOOKUP($A133,main!$A$3:$H$102,6,FALSE)&gt;=main!$D$103+VLOOKUP(VLOOKUP(BR$1,main!$A$3:$I$102,7,FALSE),main!$K$26:$Q$29,4,FALSE)),1,0)</f>
        <v>0</v>
      </c>
      <c r="BS133">
        <f>IF(AND(VLOOKUP(BS$1,main!$A$3:$H$102,7,FALSE)=main!$G$104,VLOOKUP(BS$1,main!$A$3:$H$102,5,FALSE)-VLOOKUP($A133,main!$A$3:$H$102,6,FALSE)&gt;=main!$D$103+VLOOKUP(VLOOKUP(BS$1,main!$A$3:$I$102,7,FALSE),main!$K$26:$Q$29,4,FALSE)),1,0)</f>
        <v>0</v>
      </c>
      <c r="BT133">
        <f>IF(AND(VLOOKUP(BT$1,main!$A$3:$H$102,7,FALSE)=main!$G$104,VLOOKUP(BT$1,main!$A$3:$H$102,5,FALSE)-VLOOKUP($A133,main!$A$3:$H$102,6,FALSE)&gt;=main!$D$103+VLOOKUP(VLOOKUP(BT$1,main!$A$3:$I$102,7,FALSE),main!$K$26:$Q$29,4,FALSE)),1,0)</f>
        <v>0</v>
      </c>
      <c r="BU133">
        <f>IF(AND(VLOOKUP(BU$1,main!$A$3:$H$102,7,FALSE)=main!$G$104,VLOOKUP(BU$1,main!$A$3:$H$102,5,FALSE)-VLOOKUP($A133,main!$A$3:$H$102,6,FALSE)&gt;=main!$D$103+VLOOKUP(VLOOKUP(BU$1,main!$A$3:$I$102,7,FALSE),main!$K$26:$Q$29,4,FALSE)),1,0)</f>
        <v>0</v>
      </c>
      <c r="BV133">
        <f>IF(AND(VLOOKUP(BV$1,main!$A$3:$H$102,7,FALSE)=main!$G$104,VLOOKUP(BV$1,main!$A$3:$H$102,5,FALSE)-VLOOKUP($A133,main!$A$3:$H$102,6,FALSE)&gt;=main!$D$103+VLOOKUP(VLOOKUP(BV$1,main!$A$3:$I$102,7,FALSE),main!$K$26:$Q$29,4,FALSE)),1,0)</f>
        <v>0</v>
      </c>
      <c r="BW133">
        <f>IF(AND(VLOOKUP(BW$1,main!$A$3:$H$102,7,FALSE)=main!$G$104,VLOOKUP(BW$1,main!$A$3:$H$102,5,FALSE)-VLOOKUP($A133,main!$A$3:$H$102,6,FALSE)&gt;=main!$D$103+VLOOKUP(VLOOKUP(BW$1,main!$A$3:$I$102,7,FALSE),main!$K$26:$Q$29,4,FALSE)),1,0)</f>
        <v>0</v>
      </c>
      <c r="BX133">
        <f>IF(AND(VLOOKUP(BX$1,main!$A$3:$H$102,7,FALSE)=main!$G$104,VLOOKUP(BX$1,main!$A$3:$H$102,5,FALSE)-VLOOKUP($A133,main!$A$3:$H$102,6,FALSE)&gt;=main!$D$103+VLOOKUP(VLOOKUP(BX$1,main!$A$3:$I$102,7,FALSE),main!$K$26:$Q$29,4,FALSE)),1,0)</f>
        <v>0</v>
      </c>
      <c r="BY133">
        <f>IF(AND(VLOOKUP(BY$1,main!$A$3:$H$102,7,FALSE)=main!$G$104,VLOOKUP(BY$1,main!$A$3:$H$102,5,FALSE)-VLOOKUP($A133,main!$A$3:$H$102,6,FALSE)&gt;=main!$D$103+VLOOKUP(VLOOKUP(BY$1,main!$A$3:$I$102,7,FALSE),main!$K$26:$Q$29,4,FALSE)),1,0)</f>
        <v>0</v>
      </c>
      <c r="BZ133">
        <f>IF(AND(VLOOKUP(BZ$1,main!$A$3:$H$102,7,FALSE)=main!$G$104,VLOOKUP(BZ$1,main!$A$3:$H$102,5,FALSE)-VLOOKUP($A133,main!$A$3:$H$102,6,FALSE)&gt;=main!$D$103+VLOOKUP(VLOOKUP(BZ$1,main!$A$3:$I$102,7,FALSE),main!$K$26:$Q$29,4,FALSE)),1,0)</f>
        <v>0</v>
      </c>
      <c r="CA133">
        <f>IF(AND(VLOOKUP(CA$1,main!$A$3:$H$102,7,FALSE)=main!$G$104,VLOOKUP(CA$1,main!$A$3:$H$102,5,FALSE)-VLOOKUP($A133,main!$A$3:$H$102,6,FALSE)&gt;=main!$D$103+VLOOKUP(VLOOKUP(CA$1,main!$A$3:$I$102,7,FALSE),main!$K$26:$Q$29,4,FALSE)),1,0)</f>
        <v>0</v>
      </c>
      <c r="CB133">
        <f>IF(AND(VLOOKUP(CB$1,main!$A$3:$H$102,7,FALSE)=main!$G$104,VLOOKUP(CB$1,main!$A$3:$H$102,5,FALSE)-VLOOKUP($A133,main!$A$3:$H$102,6,FALSE)&gt;=main!$D$103+VLOOKUP(VLOOKUP(CB$1,main!$A$3:$I$102,7,FALSE),main!$K$26:$Q$29,4,FALSE)),1,0)</f>
        <v>0</v>
      </c>
      <c r="CC133">
        <f>IF(AND(VLOOKUP(CC$1,main!$A$3:$H$102,7,FALSE)=main!$G$104,VLOOKUP(CC$1,main!$A$3:$H$102,5,FALSE)-VLOOKUP($A133,main!$A$3:$H$102,6,FALSE)&gt;=main!$D$103+VLOOKUP(VLOOKUP(CC$1,main!$A$3:$I$102,7,FALSE),main!$K$26:$Q$29,4,FALSE)),1,0)</f>
        <v>0</v>
      </c>
      <c r="CD133">
        <f>IF(AND(VLOOKUP(CD$1,main!$A$3:$H$102,7,FALSE)=main!$G$104,VLOOKUP(CD$1,main!$A$3:$H$102,5,FALSE)-VLOOKUP($A133,main!$A$3:$H$102,6,FALSE)&gt;=main!$D$103+VLOOKUP(VLOOKUP(CD$1,main!$A$3:$I$102,7,FALSE),main!$K$26:$Q$29,4,FALSE)),1,0)</f>
        <v>0</v>
      </c>
      <c r="CE133">
        <f>IF(AND(VLOOKUP(CE$1,main!$A$3:$H$102,7,FALSE)=main!$G$104,VLOOKUP(CE$1,main!$A$3:$H$102,5,FALSE)-VLOOKUP($A133,main!$A$3:$H$102,6,FALSE)&gt;=main!$D$103+VLOOKUP(VLOOKUP(CE$1,main!$A$3:$I$102,7,FALSE),main!$K$26:$Q$29,4,FALSE)),1,0)</f>
        <v>0</v>
      </c>
      <c r="CF133">
        <f>IF(AND(VLOOKUP(CF$1,main!$A$3:$H$102,7,FALSE)=main!$G$104,VLOOKUP(CF$1,main!$A$3:$H$102,5,FALSE)-VLOOKUP($A133,main!$A$3:$H$102,6,FALSE)&gt;=main!$D$103+VLOOKUP(VLOOKUP(CF$1,main!$A$3:$I$102,7,FALSE),main!$K$26:$Q$29,4,FALSE)),1,0)</f>
        <v>0</v>
      </c>
      <c r="CG133">
        <f>IF(AND(VLOOKUP(CG$1,main!$A$3:$H$102,7,FALSE)=main!$G$104,VLOOKUP(CG$1,main!$A$3:$H$102,5,FALSE)-VLOOKUP($A133,main!$A$3:$H$102,6,FALSE)&gt;=main!$D$103+VLOOKUP(VLOOKUP(CG$1,main!$A$3:$I$102,7,FALSE),main!$K$26:$Q$29,4,FALSE)),1,0)</f>
        <v>0</v>
      </c>
      <c r="CH133">
        <f>IF(AND(VLOOKUP(CH$1,main!$A$3:$H$102,7,FALSE)=main!$G$104,VLOOKUP(CH$1,main!$A$3:$H$102,5,FALSE)-VLOOKUP($A133,main!$A$3:$H$102,6,FALSE)&gt;=main!$D$103+VLOOKUP(VLOOKUP(CH$1,main!$A$3:$I$102,7,FALSE),main!$K$26:$Q$29,4,FALSE)),1,0)</f>
        <v>0</v>
      </c>
      <c r="CI133">
        <f>IF(AND(VLOOKUP(CI$1,main!$A$3:$H$102,7,FALSE)=main!$G$104,VLOOKUP(CI$1,main!$A$3:$H$102,5,FALSE)-VLOOKUP($A133,main!$A$3:$H$102,6,FALSE)&gt;=main!$D$103+VLOOKUP(VLOOKUP(CI$1,main!$A$3:$I$102,7,FALSE),main!$K$26:$Q$29,4,FALSE)),1,0)</f>
        <v>0</v>
      </c>
      <c r="CJ133">
        <f>IF(AND(VLOOKUP(CJ$1,main!$A$3:$H$102,7,FALSE)=main!$G$104,VLOOKUP(CJ$1,main!$A$3:$H$102,5,FALSE)-VLOOKUP($A133,main!$A$3:$H$102,6,FALSE)&gt;=main!$D$103+VLOOKUP(VLOOKUP(CJ$1,main!$A$3:$I$102,7,FALSE),main!$K$26:$Q$29,4,FALSE)),1,0)</f>
        <v>0</v>
      </c>
      <c r="CK133">
        <f>IF(AND(VLOOKUP(CK$1,main!$A$3:$H$102,7,FALSE)=main!$G$104,VLOOKUP(CK$1,main!$A$3:$H$102,5,FALSE)-VLOOKUP($A133,main!$A$3:$H$102,6,FALSE)&gt;=main!$D$103+VLOOKUP(VLOOKUP(CK$1,main!$A$3:$I$102,7,FALSE),main!$K$26:$Q$29,4,FALSE)),1,0)</f>
        <v>0</v>
      </c>
      <c r="CL133">
        <f>IF(AND(VLOOKUP(CL$1,main!$A$3:$H$102,7,FALSE)=main!$G$104,VLOOKUP(CL$1,main!$A$3:$H$102,5,FALSE)-VLOOKUP($A133,main!$A$3:$H$102,6,FALSE)&gt;=main!$D$103+VLOOKUP(VLOOKUP(CL$1,main!$A$3:$I$102,7,FALSE),main!$K$26:$Q$29,4,FALSE)),1,0)</f>
        <v>0</v>
      </c>
      <c r="CM133">
        <f>IF(AND(VLOOKUP(CM$1,main!$A$3:$H$102,7,FALSE)=main!$G$104,VLOOKUP(CM$1,main!$A$3:$H$102,5,FALSE)-VLOOKUP($A133,main!$A$3:$H$102,6,FALSE)&gt;=main!$D$103+VLOOKUP(VLOOKUP(CM$1,main!$A$3:$I$102,7,FALSE),main!$K$26:$Q$29,4,FALSE)),1,0)</f>
        <v>0</v>
      </c>
      <c r="CN133">
        <f>IF(AND(VLOOKUP(CN$1,main!$A$3:$H$102,7,FALSE)=main!$G$104,VLOOKUP(CN$1,main!$A$3:$H$102,5,FALSE)-VLOOKUP($A133,main!$A$3:$H$102,6,FALSE)&gt;=main!$D$103+VLOOKUP(VLOOKUP(CN$1,main!$A$3:$I$102,7,FALSE),main!$K$26:$Q$29,4,FALSE)),1,0)</f>
        <v>0</v>
      </c>
      <c r="CO133">
        <f>IF(AND(VLOOKUP(CO$1,main!$A$3:$H$102,7,FALSE)=main!$G$104,VLOOKUP(CO$1,main!$A$3:$H$102,5,FALSE)-VLOOKUP($A133,main!$A$3:$H$102,6,FALSE)&gt;=main!$D$103+VLOOKUP(VLOOKUP(CO$1,main!$A$3:$I$102,7,FALSE),main!$K$26:$Q$29,4,FALSE)),1,0)</f>
        <v>0</v>
      </c>
      <c r="CP133">
        <f>IF(AND(VLOOKUP(CP$1,main!$A$3:$H$102,7,FALSE)=main!$G$104,VLOOKUP(CP$1,main!$A$3:$H$102,5,FALSE)-VLOOKUP($A133,main!$A$3:$H$102,6,FALSE)&gt;=main!$D$103+VLOOKUP(VLOOKUP(CP$1,main!$A$3:$I$102,7,FALSE),main!$K$26:$Q$29,4,FALSE)),1,0)</f>
        <v>0</v>
      </c>
      <c r="CQ133">
        <f>IF(AND(VLOOKUP(CQ$1,main!$A$3:$H$102,7,FALSE)=main!$G$104,VLOOKUP(CQ$1,main!$A$3:$H$102,5,FALSE)-VLOOKUP($A133,main!$A$3:$H$102,6,FALSE)&gt;=main!$D$103+VLOOKUP(VLOOKUP(CQ$1,main!$A$3:$I$102,7,FALSE),main!$K$26:$Q$29,4,FALSE)),1,0)</f>
        <v>0</v>
      </c>
      <c r="CR133">
        <f>IF(AND(VLOOKUP(CR$1,main!$A$3:$H$102,7,FALSE)=main!$G$104,VLOOKUP(CR$1,main!$A$3:$H$102,5,FALSE)-VLOOKUP($A133,main!$A$3:$H$102,6,FALSE)&gt;=main!$D$103+VLOOKUP(VLOOKUP(CR$1,main!$A$3:$I$102,7,FALSE),main!$K$26:$Q$29,4,FALSE)),1,0)</f>
        <v>0</v>
      </c>
      <c r="CS133">
        <f>IF(AND(VLOOKUP(CS$1,main!$A$3:$H$102,7,FALSE)=main!$G$104,VLOOKUP(CS$1,main!$A$3:$H$102,5,FALSE)-VLOOKUP($A133,main!$A$3:$H$102,6,FALSE)&gt;=main!$D$103+VLOOKUP(VLOOKUP(CS$1,main!$A$3:$I$102,7,FALSE),main!$K$26:$Q$29,4,FALSE)),1,0)</f>
        <v>0</v>
      </c>
      <c r="CT133">
        <f>IF(AND(VLOOKUP(CT$1,main!$A$3:$H$102,7,FALSE)=main!$G$104,VLOOKUP(CT$1,main!$A$3:$H$102,5,FALSE)-VLOOKUP($A133,main!$A$3:$H$102,6,FALSE)&gt;=main!$D$103+VLOOKUP(VLOOKUP(CT$1,main!$A$3:$I$102,7,FALSE),main!$K$26:$Q$29,4,FALSE)),1,0)</f>
        <v>0</v>
      </c>
      <c r="CU133">
        <f>IF(AND(VLOOKUP(CU$1,main!$A$3:$H$102,7,FALSE)=main!$G$104,VLOOKUP(CU$1,main!$A$3:$H$102,5,FALSE)-VLOOKUP($A133,main!$A$3:$H$102,6,FALSE)&gt;=main!$D$103+VLOOKUP(VLOOKUP(CU$1,main!$A$3:$I$102,7,FALSE),main!$K$26:$Q$29,4,FALSE)),1,0)</f>
        <v>0</v>
      </c>
      <c r="CV133">
        <f>IF(AND(VLOOKUP(CV$1,main!$A$3:$H$102,7,FALSE)=main!$G$104,VLOOKUP(CV$1,main!$A$3:$H$102,5,FALSE)-VLOOKUP($A133,main!$A$3:$H$102,6,FALSE)&gt;=main!$D$103+VLOOKUP(VLOOKUP(CV$1,main!$A$3:$I$102,7,FALSE),main!$K$26:$Q$29,4,FALSE)),1,0)</f>
        <v>0</v>
      </c>
      <c r="CW133">
        <f>IF(AND(VLOOKUP(CW$1,main!$A$3:$H$102,7,FALSE)=main!$G$104,VLOOKUP(CW$1,main!$A$3:$H$102,5,FALSE)-VLOOKUP($A133,main!$A$3:$H$102,6,FALSE)&gt;=main!$D$103+VLOOKUP(VLOOKUP(CW$1,main!$A$3:$I$102,7,FALSE),main!$K$26:$Q$29,4,FALSE)),1,0)</f>
        <v>0</v>
      </c>
      <c r="CX133">
        <f>IF(AND(VLOOKUP(CX$1,main!$A$3:$H$102,7,FALSE)=main!$G$104,VLOOKUP(CX$1,main!$A$3:$H$102,5,FALSE)-VLOOKUP($A133,main!$A$3:$H$102,6,FALSE)&gt;=main!$D$103+VLOOKUP(VLOOKUP(CX$1,main!$A$3:$I$102,7,FALSE),main!$K$26:$Q$29,4,FALSE)),1,0)</f>
        <v>0</v>
      </c>
      <c r="DB133">
        <f>IF(AND(VLOOKUP(AF$1,main!$A$3:$H$102,7,FALSE)=main!$G$104,VLOOKUP(AF$1,main!$A$3:$H$102,5,FALSE)-VLOOKUP($A138,main!$A$3:$H$102,6,FALSE)&gt;=main!$D$103+VLOOKUP(VLOOKUP(AF$1,main!$A$3:$I$102,7,FALSE),main!$K$26:$Q$29,4,FALSE)),1,0)</f>
        <v>1</v>
      </c>
    </row>
    <row r="134" spans="1:109" x14ac:dyDescent="0.25">
      <c r="A134" s="1">
        <v>31</v>
      </c>
      <c r="B134">
        <v>0</v>
      </c>
      <c r="C134">
        <f>IF(AND(VLOOKUP(C$1,main!$A$3:$H$102,7,FALSE)=main!$G$104,VLOOKUP(C$1,main!$A$3:$H$102,5,FALSE)-VLOOKUP($A134,main!$A$3:$H$102,6,FALSE)&gt;=main!$D$103+VLOOKUP(VLOOKUP(C$1,main!$A$3:$I$102,7,FALSE),main!$K$26:$Q$29,4,FALSE)),1,0)</f>
        <v>0</v>
      </c>
      <c r="D134">
        <f>IF(AND(VLOOKUP(D$1,main!$A$3:$H$102,7,FALSE)=main!$G$104,VLOOKUP(D$1,main!$A$3:$H$102,5,FALSE)-VLOOKUP($A134,main!$A$3:$H$102,6,FALSE)&gt;=main!$D$103+VLOOKUP(VLOOKUP(D$1,main!$A$3:$I$102,7,FALSE),main!$K$26:$Q$29,4,FALSE)),1,0)</f>
        <v>0</v>
      </c>
      <c r="E134">
        <f>IF(AND(VLOOKUP(E$1,main!$A$3:$H$102,7,FALSE)=main!$G$104,VLOOKUP(E$1,main!$A$3:$H$102,5,FALSE)-VLOOKUP($A134,main!$A$3:$H$102,6,FALSE)&gt;=main!$D$103+VLOOKUP(VLOOKUP(E$1,main!$A$3:$I$102,7,FALSE),main!$K$26:$Q$29,4,FALSE)),1,0)</f>
        <v>0</v>
      </c>
      <c r="F134">
        <f>IF(AND(VLOOKUP(F$1,main!$A$3:$H$102,7,FALSE)=main!$G$104,VLOOKUP(F$1,main!$A$3:$H$102,5,FALSE)-VLOOKUP($A134,main!$A$3:$H$102,6,FALSE)&gt;=main!$D$103+VLOOKUP(VLOOKUP(F$1,main!$A$3:$I$102,7,FALSE),main!$K$26:$Q$29,4,FALSE)),1,0)</f>
        <v>1</v>
      </c>
      <c r="G134">
        <f>IF(AND(VLOOKUP(G$1,main!$A$3:$H$102,7,FALSE)=main!$G$104,VLOOKUP(G$1,main!$A$3:$H$102,5,FALSE)-VLOOKUP($A134,main!$A$3:$H$102,6,FALSE)&gt;=main!$D$103+VLOOKUP(VLOOKUP(G$1,main!$A$3:$I$102,7,FALSE),main!$K$26:$Q$29,4,FALSE)),1,0)</f>
        <v>1</v>
      </c>
      <c r="H134">
        <f>IF(AND(VLOOKUP(H$1,main!$A$3:$H$102,7,FALSE)=main!$G$104,VLOOKUP(H$1,main!$A$3:$H$102,5,FALSE)-VLOOKUP($A134,main!$A$3:$H$102,6,FALSE)&gt;=main!$D$103+VLOOKUP(VLOOKUP(H$1,main!$A$3:$I$102,7,FALSE),main!$K$26:$Q$29,4,FALSE)),1,0)</f>
        <v>1</v>
      </c>
      <c r="I134">
        <f>IF(AND(VLOOKUP(I$1,main!$A$3:$H$102,7,FALSE)=main!$G$104,VLOOKUP(I$1,main!$A$3:$H$102,5,FALSE)-VLOOKUP($A134,main!$A$3:$H$102,6,FALSE)&gt;=main!$D$103+VLOOKUP(VLOOKUP(I$1,main!$A$3:$I$102,7,FALSE),main!$K$26:$Q$29,4,FALSE)),1,0)</f>
        <v>1</v>
      </c>
      <c r="J134">
        <f>IF(AND(VLOOKUP(J$1,main!$A$3:$H$102,7,FALSE)=main!$G$104,VLOOKUP(J$1,main!$A$3:$H$102,5,FALSE)-VLOOKUP($A134,main!$A$3:$H$102,6,FALSE)&gt;=main!$D$103+VLOOKUP(VLOOKUP(J$1,main!$A$3:$I$102,7,FALSE),main!$K$26:$Q$29,4,FALSE)),1,0)</f>
        <v>1</v>
      </c>
      <c r="K134">
        <f>IF(AND(VLOOKUP(K$1,main!$A$3:$H$102,7,FALSE)=main!$G$104,VLOOKUP(K$1,main!$A$3:$H$102,5,FALSE)-VLOOKUP($A134,main!$A$3:$H$102,6,FALSE)&gt;=main!$D$103+VLOOKUP(VLOOKUP(K$1,main!$A$3:$I$102,7,FALSE),main!$K$26:$Q$29,4,FALSE)),1,0)</f>
        <v>1</v>
      </c>
      <c r="L134">
        <f>IF(AND(VLOOKUP(L$1,main!$A$3:$H$102,7,FALSE)=main!$G$104,VLOOKUP(L$1,main!$A$3:$H$102,5,FALSE)-VLOOKUP($A134,main!$A$3:$H$102,6,FALSE)&gt;=main!$D$103+VLOOKUP(VLOOKUP(L$1,main!$A$3:$I$102,7,FALSE),main!$K$26:$Q$29,4,FALSE)),1,0)</f>
        <v>1</v>
      </c>
      <c r="M134">
        <f>IF(AND(VLOOKUP(M$1,main!$A$3:$H$102,7,FALSE)=main!$G$104,VLOOKUP(M$1,main!$A$3:$H$102,5,FALSE)-VLOOKUP($A134,main!$A$3:$H$102,6,FALSE)&gt;=main!$D$103+VLOOKUP(VLOOKUP(M$1,main!$A$3:$I$102,7,FALSE),main!$K$26:$Q$29,4,FALSE)),1,0)</f>
        <v>0</v>
      </c>
      <c r="N134">
        <f>IF(AND(VLOOKUP(N$1,main!$A$3:$H$102,7,FALSE)=main!$G$104,VLOOKUP(N$1,main!$A$3:$H$102,5,FALSE)-VLOOKUP($A134,main!$A$3:$H$102,6,FALSE)&gt;=main!$D$103+VLOOKUP(VLOOKUP(N$1,main!$A$3:$I$102,7,FALSE),main!$K$26:$Q$29,4,FALSE)),1,0)</f>
        <v>0</v>
      </c>
      <c r="O134">
        <f>IF(AND(VLOOKUP(O$1,main!$A$3:$H$102,7,FALSE)=main!$G$104,VLOOKUP(O$1,main!$A$3:$H$102,5,FALSE)-VLOOKUP($A134,main!$A$3:$H$102,6,FALSE)&gt;=main!$D$103+VLOOKUP(VLOOKUP(O$1,main!$A$3:$I$102,7,FALSE),main!$K$26:$Q$29,4,FALSE)),1,0)</f>
        <v>0</v>
      </c>
      <c r="P134">
        <f>IF(AND(VLOOKUP(P$1,main!$A$3:$H$102,7,FALSE)=main!$G$104,VLOOKUP(P$1,main!$A$3:$H$102,5,FALSE)-VLOOKUP($A134,main!$A$3:$H$102,6,FALSE)&gt;=main!$D$103+VLOOKUP(VLOOKUP(P$1,main!$A$3:$I$102,7,FALSE),main!$K$26:$Q$29,4,FALSE)),1,0)</f>
        <v>0</v>
      </c>
      <c r="Q134">
        <f>IF(AND(VLOOKUP(Q$1,main!$A$3:$H$102,7,FALSE)=main!$G$104,VLOOKUP(Q$1,main!$A$3:$H$102,5,FALSE)-VLOOKUP($A134,main!$A$3:$H$102,6,FALSE)&gt;=main!$D$103+VLOOKUP(VLOOKUP(Q$1,main!$A$3:$I$102,7,FALSE),main!$K$26:$Q$29,4,FALSE)),1,0)</f>
        <v>1</v>
      </c>
      <c r="R134">
        <f>IF(AND(VLOOKUP(R$1,main!$A$3:$H$102,7,FALSE)=main!$G$104,VLOOKUP(R$1,main!$A$3:$H$102,5,FALSE)-VLOOKUP($A134,main!$A$3:$H$102,6,FALSE)&gt;=main!$D$103+VLOOKUP(VLOOKUP(R$1,main!$A$3:$I$102,7,FALSE),main!$K$26:$Q$29,4,FALSE)),1,0)</f>
        <v>1</v>
      </c>
      <c r="S134">
        <f>IF(AND(VLOOKUP(S$1,main!$A$3:$H$102,7,FALSE)=main!$G$104,VLOOKUP(S$1,main!$A$3:$H$102,5,FALSE)-VLOOKUP($A134,main!$A$3:$H$102,6,FALSE)&gt;=main!$D$103+VLOOKUP(VLOOKUP(S$1,main!$A$3:$I$102,7,FALSE),main!$K$26:$Q$29,4,FALSE)),1,0)</f>
        <v>1</v>
      </c>
      <c r="T134">
        <f>IF(AND(VLOOKUP(T$1,main!$A$3:$H$102,7,FALSE)=main!$G$104,VLOOKUP(T$1,main!$A$3:$H$102,5,FALSE)-VLOOKUP($A134,main!$A$3:$H$102,6,FALSE)&gt;=main!$D$103+VLOOKUP(VLOOKUP(T$1,main!$A$3:$I$102,7,FALSE),main!$K$26:$Q$29,4,FALSE)),1,0)</f>
        <v>1</v>
      </c>
      <c r="U134">
        <f>IF(AND(VLOOKUP(U$1,main!$A$3:$H$102,7,FALSE)=main!$G$104,VLOOKUP(U$1,main!$A$3:$H$102,5,FALSE)-VLOOKUP($A134,main!$A$3:$H$102,6,FALSE)&gt;=main!$D$103+VLOOKUP(VLOOKUP(U$1,main!$A$3:$I$102,7,FALSE),main!$K$26:$Q$29,4,FALSE)),1,0)</f>
        <v>1</v>
      </c>
      <c r="V134">
        <f>IF(AND(VLOOKUP(V$1,main!$A$3:$H$102,7,FALSE)=main!$G$104,VLOOKUP(V$1,main!$A$3:$H$102,5,FALSE)-VLOOKUP($A134,main!$A$3:$H$102,6,FALSE)&gt;=main!$D$103+VLOOKUP(VLOOKUP(V$1,main!$A$3:$I$102,7,FALSE),main!$K$26:$Q$29,4,FALSE)),1,0)</f>
        <v>1</v>
      </c>
      <c r="W134">
        <f>IF(AND(VLOOKUP(W$1,main!$A$3:$H$102,7,FALSE)=main!$G$104,VLOOKUP(W$1,main!$A$3:$H$102,5,FALSE)-VLOOKUP($A134,main!$A$3:$H$102,6,FALSE)&gt;=main!$D$103+VLOOKUP(VLOOKUP(W$1,main!$A$3:$I$102,7,FALSE),main!$K$26:$Q$29,4,FALSE)),1,0)</f>
        <v>0</v>
      </c>
      <c r="X134">
        <f>IF(AND(VLOOKUP(X$1,main!$A$3:$H$102,7,FALSE)=main!$G$104,VLOOKUP(X$1,main!$A$3:$H$102,5,FALSE)-VLOOKUP($A134,main!$A$3:$H$102,6,FALSE)&gt;=main!$D$103+VLOOKUP(VLOOKUP(X$1,main!$A$3:$I$102,7,FALSE),main!$K$26:$Q$29,4,FALSE)),1,0)</f>
        <v>0</v>
      </c>
      <c r="Y134">
        <f>IF(AND(VLOOKUP(Y$1,main!$A$3:$H$102,7,FALSE)=main!$G$104,VLOOKUP(Y$1,main!$A$3:$H$102,5,FALSE)-VLOOKUP($A134,main!$A$3:$H$102,6,FALSE)&gt;=main!$D$103+VLOOKUP(VLOOKUP(Y$1,main!$A$3:$I$102,7,FALSE),main!$K$26:$Q$29,4,FALSE)),1,0)</f>
        <v>1</v>
      </c>
      <c r="Z134">
        <f>IF(AND(VLOOKUP(Z$1,main!$A$3:$H$102,7,FALSE)=main!$G$104,VLOOKUP(Z$1,main!$A$3:$H$102,5,FALSE)-VLOOKUP($A134,main!$A$3:$H$102,6,FALSE)&gt;=main!$D$103+VLOOKUP(VLOOKUP(Z$1,main!$A$3:$I$102,7,FALSE),main!$K$26:$Q$29,4,FALSE)),1,0)</f>
        <v>1</v>
      </c>
      <c r="AA134">
        <f>IF(AND(VLOOKUP(AA$1,main!$A$3:$H$102,7,FALSE)=main!$G$104,VLOOKUP(AA$1,main!$A$3:$H$102,5,FALSE)-VLOOKUP($A134,main!$A$3:$H$102,6,FALSE)&gt;=main!$D$103+VLOOKUP(VLOOKUP(AA$1,main!$A$3:$I$102,7,FALSE),main!$K$26:$Q$29,4,FALSE)),1,0)</f>
        <v>1</v>
      </c>
      <c r="AB134">
        <f>IF(AND(VLOOKUP(AB$1,main!$A$3:$H$102,7,FALSE)=main!$G$104,VLOOKUP(AB$1,main!$A$3:$H$102,5,FALSE)-VLOOKUP($A134,main!$A$3:$H$102,6,FALSE)&gt;=main!$D$103+VLOOKUP(VLOOKUP(AB$1,main!$A$3:$I$102,7,FALSE),main!$K$26:$Q$29,4,FALSE)),1,0)</f>
        <v>0</v>
      </c>
      <c r="AC134">
        <f>IF(AND(VLOOKUP(AC$1,main!$A$3:$H$102,7,FALSE)=main!$G$104,VLOOKUP(AC$1,main!$A$3:$H$102,5,FALSE)-VLOOKUP($A134,main!$A$3:$H$102,6,FALSE)&gt;=main!$D$103+VLOOKUP(VLOOKUP(AC$1,main!$A$3:$I$102,7,FALSE),main!$K$26:$Q$29,4,FALSE)),1,0)</f>
        <v>0</v>
      </c>
      <c r="AD134">
        <f>IF(AND(VLOOKUP(AD$1,main!$A$3:$H$102,7,FALSE)=main!$G$104,VLOOKUP(AD$1,main!$A$3:$H$102,5,FALSE)-VLOOKUP($A134,main!$A$3:$H$102,6,FALSE)&gt;=main!$D$103+VLOOKUP(VLOOKUP(AD$1,main!$A$3:$I$102,7,FALSE),main!$K$26:$Q$29,4,FALSE)),1,0)</f>
        <v>1</v>
      </c>
      <c r="AE134">
        <f>IF(AND(VLOOKUP(AE$1,main!$A$3:$H$102,7,FALSE)=main!$G$104,VLOOKUP(AE$1,main!$A$3:$H$102,5,FALSE)-VLOOKUP($A134,main!$A$3:$H$102,6,FALSE)&gt;=main!$D$103+VLOOKUP(VLOOKUP(AE$1,main!$A$3:$I$102,7,FALSE),main!$K$26:$Q$29,4,FALSE)),1,0)</f>
        <v>1</v>
      </c>
      <c r="AF134">
        <f>IF(AND(VLOOKUP(AF$1,main!$A$3:$H$102,7,FALSE)=main!$G$104,VLOOKUP(AF$1,main!$A$3:$H$102,5,FALSE)-VLOOKUP($A134,main!$A$3:$H$102,6,FALSE)&gt;=main!$D$103+VLOOKUP(VLOOKUP(AF$1,main!$A$3:$I$102,7,FALSE),main!$K$26:$Q$29,4,FALSE)),1,0)</f>
        <v>1</v>
      </c>
      <c r="AG134">
        <f>IF(AND(VLOOKUP(AG$1,main!$A$3:$H$102,7,FALSE)=main!$G$104,VLOOKUP(AG$1,main!$A$3:$H$102,5,FALSE)-VLOOKUP($A134,main!$A$3:$H$102,6,FALSE)&gt;=main!$D$103+VLOOKUP(VLOOKUP(AG$1,main!$A$3:$I$102,7,FALSE),main!$K$26:$Q$29,4,FALSE)),1,0)</f>
        <v>0</v>
      </c>
      <c r="AH134">
        <f>IF(AND(VLOOKUP(AH$1,main!$A$3:$H$102,7,FALSE)=main!$G$104,VLOOKUP(AH$1,main!$A$3:$H$102,5,FALSE)-VLOOKUP($A134,main!$A$3:$H$102,6,FALSE)&gt;=main!$D$103+VLOOKUP(VLOOKUP(AH$1,main!$A$3:$I$102,7,FALSE),main!$K$26:$Q$29,4,FALSE)),1,0)</f>
        <v>0</v>
      </c>
      <c r="AI134">
        <f>IF(AND(VLOOKUP(AI$1,main!$A$3:$H$102,7,FALSE)=main!$G$104,VLOOKUP(AI$1,main!$A$3:$H$102,5,FALSE)-VLOOKUP($A134,main!$A$3:$H$102,6,FALSE)&gt;=main!$D$103+VLOOKUP(VLOOKUP(AI$1,main!$A$3:$I$102,7,FALSE),main!$K$26:$Q$29,4,FALSE)),1,0)</f>
        <v>0</v>
      </c>
      <c r="AJ134">
        <f>IF(AND(VLOOKUP(AJ$1,main!$A$3:$H$102,7,FALSE)=main!$G$104,VLOOKUP(AJ$1,main!$A$3:$H$102,5,FALSE)-VLOOKUP($A134,main!$A$3:$H$102,6,FALSE)&gt;=main!$D$103+VLOOKUP(VLOOKUP(AJ$1,main!$A$3:$I$102,7,FALSE),main!$K$26:$Q$29,4,FALSE)),1,0)</f>
        <v>0</v>
      </c>
      <c r="AK134">
        <f>IF(AND(VLOOKUP(AK$1,main!$A$3:$H$102,7,FALSE)=main!$G$104,VLOOKUP(AK$1,main!$A$3:$H$102,5,FALSE)-VLOOKUP($A134,main!$A$3:$H$102,6,FALSE)&gt;=main!$D$103+VLOOKUP(VLOOKUP(AK$1,main!$A$3:$I$102,7,FALSE),main!$K$26:$Q$29,4,FALSE)),1,0)</f>
        <v>0</v>
      </c>
      <c r="AL134">
        <f>IF(AND(VLOOKUP(AL$1,main!$A$3:$H$102,7,FALSE)=main!$G$104,VLOOKUP(AL$1,main!$A$3:$H$102,5,FALSE)-VLOOKUP($A134,main!$A$3:$H$102,6,FALSE)&gt;=main!$D$103+VLOOKUP(VLOOKUP(AL$1,main!$A$3:$I$102,7,FALSE),main!$K$26:$Q$29,4,FALSE)),1,0)</f>
        <v>0</v>
      </c>
      <c r="AM134">
        <f>IF(AND(VLOOKUP(AM$1,main!$A$3:$H$102,7,FALSE)=main!$G$104,VLOOKUP(AM$1,main!$A$3:$H$102,5,FALSE)-VLOOKUP($A134,main!$A$3:$H$102,6,FALSE)&gt;=main!$D$103+VLOOKUP(VLOOKUP(AM$1,main!$A$3:$I$102,7,FALSE),main!$K$26:$Q$29,4,FALSE)),1,0)</f>
        <v>0</v>
      </c>
      <c r="AN134">
        <f>IF(AND(VLOOKUP(AN$1,main!$A$3:$H$102,7,FALSE)=main!$G$104,VLOOKUP(AN$1,main!$A$3:$H$102,5,FALSE)-VLOOKUP($A134,main!$A$3:$H$102,6,FALSE)&gt;=main!$D$103+VLOOKUP(VLOOKUP(AN$1,main!$A$3:$I$102,7,FALSE),main!$K$26:$Q$29,4,FALSE)),1,0)</f>
        <v>0</v>
      </c>
      <c r="AO134">
        <f>IF(AND(VLOOKUP(AO$1,main!$A$3:$H$102,7,FALSE)=main!$G$104,VLOOKUP(AO$1,main!$A$3:$H$102,5,FALSE)-VLOOKUP($A134,main!$A$3:$H$102,6,FALSE)&gt;=main!$D$103+VLOOKUP(VLOOKUP(AO$1,main!$A$3:$I$102,7,FALSE),main!$K$26:$Q$29,4,FALSE)),1,0)</f>
        <v>0</v>
      </c>
      <c r="AP134">
        <f>IF(AND(VLOOKUP(AP$1,main!$A$3:$H$102,7,FALSE)=main!$G$104,VLOOKUP(AP$1,main!$A$3:$H$102,5,FALSE)-VLOOKUP($A134,main!$A$3:$H$102,6,FALSE)&gt;=main!$D$103+VLOOKUP(VLOOKUP(AP$1,main!$A$3:$I$102,7,FALSE),main!$K$26:$Q$29,4,FALSE)),1,0)</f>
        <v>0</v>
      </c>
      <c r="AQ134">
        <f>IF(AND(VLOOKUP(AQ$1,main!$A$3:$H$102,7,FALSE)=main!$G$104,VLOOKUP(AQ$1,main!$A$3:$H$102,5,FALSE)-VLOOKUP($A134,main!$A$3:$H$102,6,FALSE)&gt;=main!$D$103+VLOOKUP(VLOOKUP(AQ$1,main!$A$3:$I$102,7,FALSE),main!$K$26:$Q$29,4,FALSE)),1,0)</f>
        <v>0</v>
      </c>
      <c r="AR134">
        <f>IF(AND(VLOOKUP(AR$1,main!$A$3:$H$102,7,FALSE)=main!$G$104,VLOOKUP(AR$1,main!$A$3:$H$102,5,FALSE)-VLOOKUP($A134,main!$A$3:$H$102,6,FALSE)&gt;=main!$D$103+VLOOKUP(VLOOKUP(AR$1,main!$A$3:$I$102,7,FALSE),main!$K$26:$Q$29,4,FALSE)),1,0)</f>
        <v>0</v>
      </c>
      <c r="AS134">
        <f>IF(AND(VLOOKUP(AS$1,main!$A$3:$H$102,7,FALSE)=main!$G$104,VLOOKUP(AS$1,main!$A$3:$H$102,5,FALSE)-VLOOKUP($A134,main!$A$3:$H$102,6,FALSE)&gt;=main!$D$103+VLOOKUP(VLOOKUP(AS$1,main!$A$3:$I$102,7,FALSE),main!$K$26:$Q$29,4,FALSE)),1,0)</f>
        <v>0</v>
      </c>
      <c r="AT134">
        <f>IF(AND(VLOOKUP(AT$1,main!$A$3:$H$102,7,FALSE)=main!$G$104,VLOOKUP(AT$1,main!$A$3:$H$102,5,FALSE)-VLOOKUP($A134,main!$A$3:$H$102,6,FALSE)&gt;=main!$D$103+VLOOKUP(VLOOKUP(AT$1,main!$A$3:$I$102,7,FALSE),main!$K$26:$Q$29,4,FALSE)),1,0)</f>
        <v>0</v>
      </c>
      <c r="AU134">
        <f>IF(AND(VLOOKUP(AU$1,main!$A$3:$H$102,7,FALSE)=main!$G$104,VLOOKUP(AU$1,main!$A$3:$H$102,5,FALSE)-VLOOKUP($A134,main!$A$3:$H$102,6,FALSE)&gt;=main!$D$103+VLOOKUP(VLOOKUP(AU$1,main!$A$3:$I$102,7,FALSE),main!$K$26:$Q$29,4,FALSE)),1,0)</f>
        <v>0</v>
      </c>
      <c r="AV134">
        <f>IF(AND(VLOOKUP(AV$1,main!$A$3:$H$102,7,FALSE)=main!$G$104,VLOOKUP(AV$1,main!$A$3:$H$102,5,FALSE)-VLOOKUP($A134,main!$A$3:$H$102,6,FALSE)&gt;=main!$D$103+VLOOKUP(VLOOKUP(AV$1,main!$A$3:$I$102,7,FALSE),main!$K$26:$Q$29,4,FALSE)),1,0)</f>
        <v>0</v>
      </c>
      <c r="AW134">
        <f>IF(AND(VLOOKUP(AW$1,main!$A$3:$H$102,7,FALSE)=main!$G$104,VLOOKUP(AW$1,main!$A$3:$H$102,5,FALSE)-VLOOKUP($A134,main!$A$3:$H$102,6,FALSE)&gt;=main!$D$103+VLOOKUP(VLOOKUP(AW$1,main!$A$3:$I$102,7,FALSE),main!$K$26:$Q$29,4,FALSE)),1,0)</f>
        <v>0</v>
      </c>
      <c r="AX134">
        <f>IF(AND(VLOOKUP(AX$1,main!$A$3:$H$102,7,FALSE)=main!$G$104,VLOOKUP(AX$1,main!$A$3:$H$102,5,FALSE)-VLOOKUP($A134,main!$A$3:$H$102,6,FALSE)&gt;=main!$D$103+VLOOKUP(VLOOKUP(AX$1,main!$A$3:$I$102,7,FALSE),main!$K$26:$Q$29,4,FALSE)),1,0)</f>
        <v>0</v>
      </c>
      <c r="AY134">
        <f>IF(AND(VLOOKUP(AY$1,main!$A$3:$H$102,7,FALSE)=main!$G$104,VLOOKUP(AY$1,main!$A$3:$H$102,5,FALSE)-VLOOKUP($A134,main!$A$3:$H$102,6,FALSE)&gt;=main!$D$103+VLOOKUP(VLOOKUP(AY$1,main!$A$3:$I$102,7,FALSE),main!$K$26:$Q$29,4,FALSE)),1,0)</f>
        <v>0</v>
      </c>
      <c r="AZ134">
        <f>IF(AND(VLOOKUP(AZ$1,main!$A$3:$H$102,7,FALSE)=main!$G$104,VLOOKUP(AZ$1,main!$A$3:$H$102,5,FALSE)-VLOOKUP($A134,main!$A$3:$H$102,6,FALSE)&gt;=main!$D$103+VLOOKUP(VLOOKUP(AZ$1,main!$A$3:$I$102,7,FALSE),main!$K$26:$Q$29,4,FALSE)),1,0)</f>
        <v>0</v>
      </c>
      <c r="BA134">
        <f>IF(AND(VLOOKUP(BA$1,main!$A$3:$H$102,7,FALSE)=main!$G$104,VLOOKUP(BA$1,main!$A$3:$H$102,5,FALSE)-VLOOKUP($A134,main!$A$3:$H$102,6,FALSE)&gt;=main!$D$103+VLOOKUP(VLOOKUP(BA$1,main!$A$3:$I$102,7,FALSE),main!$K$26:$Q$29,4,FALSE)),1,0)</f>
        <v>0</v>
      </c>
      <c r="BB134">
        <f>IF(AND(VLOOKUP(BB$1,main!$A$3:$H$102,7,FALSE)=main!$G$104,VLOOKUP(BB$1,main!$A$3:$H$102,5,FALSE)-VLOOKUP($A134,main!$A$3:$H$102,6,FALSE)&gt;=main!$D$103+VLOOKUP(VLOOKUP(BB$1,main!$A$3:$I$102,7,FALSE),main!$K$26:$Q$29,4,FALSE)),1,0)</f>
        <v>0</v>
      </c>
      <c r="BC134">
        <f>IF(AND(VLOOKUP(BC$1,main!$A$3:$H$102,7,FALSE)=main!$G$104,VLOOKUP(BC$1,main!$A$3:$H$102,5,FALSE)-VLOOKUP($A134,main!$A$3:$H$102,6,FALSE)&gt;=main!$D$103+VLOOKUP(VLOOKUP(BC$1,main!$A$3:$I$102,7,FALSE),main!$K$26:$Q$29,4,FALSE)),1,0)</f>
        <v>0</v>
      </c>
      <c r="BD134">
        <f>IF(AND(VLOOKUP(BD$1,main!$A$3:$H$102,7,FALSE)=main!$G$104,VLOOKUP(BD$1,main!$A$3:$H$102,5,FALSE)-VLOOKUP($A134,main!$A$3:$H$102,6,FALSE)&gt;=main!$D$103+VLOOKUP(VLOOKUP(BD$1,main!$A$3:$I$102,7,FALSE),main!$K$26:$Q$29,4,FALSE)),1,0)</f>
        <v>0</v>
      </c>
      <c r="BE134">
        <f>IF(AND(VLOOKUP(BE$1,main!$A$3:$H$102,7,FALSE)=main!$G$104,VLOOKUP(BE$1,main!$A$3:$H$102,5,FALSE)-VLOOKUP($A134,main!$A$3:$H$102,6,FALSE)&gt;=main!$D$103+VLOOKUP(VLOOKUP(BE$1,main!$A$3:$I$102,7,FALSE),main!$K$26:$Q$29,4,FALSE)),1,0)</f>
        <v>0</v>
      </c>
      <c r="BF134">
        <f>IF(AND(VLOOKUP(BF$1,main!$A$3:$H$102,7,FALSE)=main!$G$104,VLOOKUP(BF$1,main!$A$3:$H$102,5,FALSE)-VLOOKUP($A134,main!$A$3:$H$102,6,FALSE)&gt;=main!$D$103+VLOOKUP(VLOOKUP(BF$1,main!$A$3:$I$102,7,FALSE),main!$K$26:$Q$29,4,FALSE)),1,0)</f>
        <v>0</v>
      </c>
      <c r="BG134">
        <f>IF(AND(VLOOKUP(BG$1,main!$A$3:$H$102,7,FALSE)=main!$G$104,VLOOKUP(BG$1,main!$A$3:$H$102,5,FALSE)-VLOOKUP($A134,main!$A$3:$H$102,6,FALSE)&gt;=main!$D$103+VLOOKUP(VLOOKUP(BG$1,main!$A$3:$I$102,7,FALSE),main!$K$26:$Q$29,4,FALSE)),1,0)</f>
        <v>0</v>
      </c>
      <c r="BH134">
        <f>IF(AND(VLOOKUP(BH$1,main!$A$3:$H$102,7,FALSE)=main!$G$104,VLOOKUP(BH$1,main!$A$3:$H$102,5,FALSE)-VLOOKUP($A134,main!$A$3:$H$102,6,FALSE)&gt;=main!$D$103+VLOOKUP(VLOOKUP(BH$1,main!$A$3:$I$102,7,FALSE),main!$K$26:$Q$29,4,FALSE)),1,0)</f>
        <v>0</v>
      </c>
      <c r="BI134">
        <f>IF(AND(VLOOKUP(BI$1,main!$A$3:$H$102,7,FALSE)=main!$G$104,VLOOKUP(BI$1,main!$A$3:$H$102,5,FALSE)-VLOOKUP($A134,main!$A$3:$H$102,6,FALSE)&gt;=main!$D$103+VLOOKUP(VLOOKUP(BI$1,main!$A$3:$I$102,7,FALSE),main!$K$26:$Q$29,4,FALSE)),1,0)</f>
        <v>0</v>
      </c>
      <c r="BJ134">
        <f>IF(AND(VLOOKUP(BJ$1,main!$A$3:$H$102,7,FALSE)=main!$G$104,VLOOKUP(BJ$1,main!$A$3:$H$102,5,FALSE)-VLOOKUP($A134,main!$A$3:$H$102,6,FALSE)&gt;=main!$D$103+VLOOKUP(VLOOKUP(BJ$1,main!$A$3:$I$102,7,FALSE),main!$K$26:$Q$29,4,FALSE)),1,0)</f>
        <v>0</v>
      </c>
      <c r="BK134">
        <f>IF(AND(VLOOKUP(BK$1,main!$A$3:$H$102,7,FALSE)=main!$G$104,VLOOKUP(BK$1,main!$A$3:$H$102,5,FALSE)-VLOOKUP($A134,main!$A$3:$H$102,6,FALSE)&gt;=main!$D$103+VLOOKUP(VLOOKUP(BK$1,main!$A$3:$I$102,7,FALSE),main!$K$26:$Q$29,4,FALSE)),1,0)</f>
        <v>0</v>
      </c>
      <c r="BL134">
        <f>IF(AND(VLOOKUP(BL$1,main!$A$3:$H$102,7,FALSE)=main!$G$104,VLOOKUP(BL$1,main!$A$3:$H$102,5,FALSE)-VLOOKUP($A134,main!$A$3:$H$102,6,FALSE)&gt;=main!$D$103+VLOOKUP(VLOOKUP(BL$1,main!$A$3:$I$102,7,FALSE),main!$K$26:$Q$29,4,FALSE)),1,0)</f>
        <v>0</v>
      </c>
      <c r="BM134">
        <f>IF(AND(VLOOKUP(BM$1,main!$A$3:$H$102,7,FALSE)=main!$G$104,VLOOKUP(BM$1,main!$A$3:$H$102,5,FALSE)-VLOOKUP($A134,main!$A$3:$H$102,6,FALSE)&gt;=main!$D$103+VLOOKUP(VLOOKUP(BM$1,main!$A$3:$I$102,7,FALSE),main!$K$26:$Q$29,4,FALSE)),1,0)</f>
        <v>0</v>
      </c>
      <c r="BN134">
        <f>IF(AND(VLOOKUP(BN$1,main!$A$3:$H$102,7,FALSE)=main!$G$104,VLOOKUP(BN$1,main!$A$3:$H$102,5,FALSE)-VLOOKUP($A134,main!$A$3:$H$102,6,FALSE)&gt;=main!$D$103+VLOOKUP(VLOOKUP(BN$1,main!$A$3:$I$102,7,FALSE),main!$K$26:$Q$29,4,FALSE)),1,0)</f>
        <v>0</v>
      </c>
      <c r="BO134">
        <f>IF(AND(VLOOKUP(BO$1,main!$A$3:$H$102,7,FALSE)=main!$G$104,VLOOKUP(BO$1,main!$A$3:$H$102,5,FALSE)-VLOOKUP($A134,main!$A$3:$H$102,6,FALSE)&gt;=main!$D$103+VLOOKUP(VLOOKUP(BO$1,main!$A$3:$I$102,7,FALSE),main!$K$26:$Q$29,4,FALSE)),1,0)</f>
        <v>0</v>
      </c>
      <c r="BP134">
        <f>IF(AND(VLOOKUP(BP$1,main!$A$3:$H$102,7,FALSE)=main!$G$104,VLOOKUP(BP$1,main!$A$3:$H$102,5,FALSE)-VLOOKUP($A134,main!$A$3:$H$102,6,FALSE)&gt;=main!$D$103+VLOOKUP(VLOOKUP(BP$1,main!$A$3:$I$102,7,FALSE),main!$K$26:$Q$29,4,FALSE)),1,0)</f>
        <v>0</v>
      </c>
      <c r="BQ134">
        <f>IF(AND(VLOOKUP(BQ$1,main!$A$3:$H$102,7,FALSE)=main!$G$104,VLOOKUP(BQ$1,main!$A$3:$H$102,5,FALSE)-VLOOKUP($A134,main!$A$3:$H$102,6,FALSE)&gt;=main!$D$103+VLOOKUP(VLOOKUP(BQ$1,main!$A$3:$I$102,7,FALSE),main!$K$26:$Q$29,4,FALSE)),1,0)</f>
        <v>0</v>
      </c>
      <c r="BR134">
        <f>IF(AND(VLOOKUP(BR$1,main!$A$3:$H$102,7,FALSE)=main!$G$104,VLOOKUP(BR$1,main!$A$3:$H$102,5,FALSE)-VLOOKUP($A134,main!$A$3:$H$102,6,FALSE)&gt;=main!$D$103+VLOOKUP(VLOOKUP(BR$1,main!$A$3:$I$102,7,FALSE),main!$K$26:$Q$29,4,FALSE)),1,0)</f>
        <v>0</v>
      </c>
      <c r="BS134">
        <f>IF(AND(VLOOKUP(BS$1,main!$A$3:$H$102,7,FALSE)=main!$G$104,VLOOKUP(BS$1,main!$A$3:$H$102,5,FALSE)-VLOOKUP($A134,main!$A$3:$H$102,6,FALSE)&gt;=main!$D$103+VLOOKUP(VLOOKUP(BS$1,main!$A$3:$I$102,7,FALSE),main!$K$26:$Q$29,4,FALSE)),1,0)</f>
        <v>0</v>
      </c>
      <c r="BT134">
        <f>IF(AND(VLOOKUP(BT$1,main!$A$3:$H$102,7,FALSE)=main!$G$104,VLOOKUP(BT$1,main!$A$3:$H$102,5,FALSE)-VLOOKUP($A134,main!$A$3:$H$102,6,FALSE)&gt;=main!$D$103+VLOOKUP(VLOOKUP(BT$1,main!$A$3:$I$102,7,FALSE),main!$K$26:$Q$29,4,FALSE)),1,0)</f>
        <v>0</v>
      </c>
      <c r="BU134">
        <f>IF(AND(VLOOKUP(BU$1,main!$A$3:$H$102,7,FALSE)=main!$G$104,VLOOKUP(BU$1,main!$A$3:$H$102,5,FALSE)-VLOOKUP($A134,main!$A$3:$H$102,6,FALSE)&gt;=main!$D$103+VLOOKUP(VLOOKUP(BU$1,main!$A$3:$I$102,7,FALSE),main!$K$26:$Q$29,4,FALSE)),1,0)</f>
        <v>0</v>
      </c>
      <c r="BV134">
        <f>IF(AND(VLOOKUP(BV$1,main!$A$3:$H$102,7,FALSE)=main!$G$104,VLOOKUP(BV$1,main!$A$3:$H$102,5,FALSE)-VLOOKUP($A134,main!$A$3:$H$102,6,FALSE)&gt;=main!$D$103+VLOOKUP(VLOOKUP(BV$1,main!$A$3:$I$102,7,FALSE),main!$K$26:$Q$29,4,FALSE)),1,0)</f>
        <v>0</v>
      </c>
      <c r="BW134">
        <f>IF(AND(VLOOKUP(BW$1,main!$A$3:$H$102,7,FALSE)=main!$G$104,VLOOKUP(BW$1,main!$A$3:$H$102,5,FALSE)-VLOOKUP($A134,main!$A$3:$H$102,6,FALSE)&gt;=main!$D$103+VLOOKUP(VLOOKUP(BW$1,main!$A$3:$I$102,7,FALSE),main!$K$26:$Q$29,4,FALSE)),1,0)</f>
        <v>0</v>
      </c>
      <c r="BX134">
        <f>IF(AND(VLOOKUP(BX$1,main!$A$3:$H$102,7,FALSE)=main!$G$104,VLOOKUP(BX$1,main!$A$3:$H$102,5,FALSE)-VLOOKUP($A134,main!$A$3:$H$102,6,FALSE)&gt;=main!$D$103+VLOOKUP(VLOOKUP(BX$1,main!$A$3:$I$102,7,FALSE),main!$K$26:$Q$29,4,FALSE)),1,0)</f>
        <v>0</v>
      </c>
      <c r="BY134">
        <f>IF(AND(VLOOKUP(BY$1,main!$A$3:$H$102,7,FALSE)=main!$G$104,VLOOKUP(BY$1,main!$A$3:$H$102,5,FALSE)-VLOOKUP($A134,main!$A$3:$H$102,6,FALSE)&gt;=main!$D$103+VLOOKUP(VLOOKUP(BY$1,main!$A$3:$I$102,7,FALSE),main!$K$26:$Q$29,4,FALSE)),1,0)</f>
        <v>0</v>
      </c>
      <c r="BZ134">
        <f>IF(AND(VLOOKUP(BZ$1,main!$A$3:$H$102,7,FALSE)=main!$G$104,VLOOKUP(BZ$1,main!$A$3:$H$102,5,FALSE)-VLOOKUP($A134,main!$A$3:$H$102,6,FALSE)&gt;=main!$D$103+VLOOKUP(VLOOKUP(BZ$1,main!$A$3:$I$102,7,FALSE),main!$K$26:$Q$29,4,FALSE)),1,0)</f>
        <v>0</v>
      </c>
      <c r="CA134">
        <f>IF(AND(VLOOKUP(CA$1,main!$A$3:$H$102,7,FALSE)=main!$G$104,VLOOKUP(CA$1,main!$A$3:$H$102,5,FALSE)-VLOOKUP($A134,main!$A$3:$H$102,6,FALSE)&gt;=main!$D$103+VLOOKUP(VLOOKUP(CA$1,main!$A$3:$I$102,7,FALSE),main!$K$26:$Q$29,4,FALSE)),1,0)</f>
        <v>0</v>
      </c>
      <c r="CB134">
        <f>IF(AND(VLOOKUP(CB$1,main!$A$3:$H$102,7,FALSE)=main!$G$104,VLOOKUP(CB$1,main!$A$3:$H$102,5,FALSE)-VLOOKUP($A134,main!$A$3:$H$102,6,FALSE)&gt;=main!$D$103+VLOOKUP(VLOOKUP(CB$1,main!$A$3:$I$102,7,FALSE),main!$K$26:$Q$29,4,FALSE)),1,0)</f>
        <v>0</v>
      </c>
      <c r="CC134">
        <f>IF(AND(VLOOKUP(CC$1,main!$A$3:$H$102,7,FALSE)=main!$G$104,VLOOKUP(CC$1,main!$A$3:$H$102,5,FALSE)-VLOOKUP($A134,main!$A$3:$H$102,6,FALSE)&gt;=main!$D$103+VLOOKUP(VLOOKUP(CC$1,main!$A$3:$I$102,7,FALSE),main!$K$26:$Q$29,4,FALSE)),1,0)</f>
        <v>0</v>
      </c>
      <c r="CD134">
        <f>IF(AND(VLOOKUP(CD$1,main!$A$3:$H$102,7,FALSE)=main!$G$104,VLOOKUP(CD$1,main!$A$3:$H$102,5,FALSE)-VLOOKUP($A134,main!$A$3:$H$102,6,FALSE)&gt;=main!$D$103+VLOOKUP(VLOOKUP(CD$1,main!$A$3:$I$102,7,FALSE),main!$K$26:$Q$29,4,FALSE)),1,0)</f>
        <v>0</v>
      </c>
      <c r="CE134">
        <f>IF(AND(VLOOKUP(CE$1,main!$A$3:$H$102,7,FALSE)=main!$G$104,VLOOKUP(CE$1,main!$A$3:$H$102,5,FALSE)-VLOOKUP($A134,main!$A$3:$H$102,6,FALSE)&gt;=main!$D$103+VLOOKUP(VLOOKUP(CE$1,main!$A$3:$I$102,7,FALSE),main!$K$26:$Q$29,4,FALSE)),1,0)</f>
        <v>0</v>
      </c>
      <c r="CF134">
        <f>IF(AND(VLOOKUP(CF$1,main!$A$3:$H$102,7,FALSE)=main!$G$104,VLOOKUP(CF$1,main!$A$3:$H$102,5,FALSE)-VLOOKUP($A134,main!$A$3:$H$102,6,FALSE)&gt;=main!$D$103+VLOOKUP(VLOOKUP(CF$1,main!$A$3:$I$102,7,FALSE),main!$K$26:$Q$29,4,FALSE)),1,0)</f>
        <v>0</v>
      </c>
      <c r="CG134">
        <f>IF(AND(VLOOKUP(CG$1,main!$A$3:$H$102,7,FALSE)=main!$G$104,VLOOKUP(CG$1,main!$A$3:$H$102,5,FALSE)-VLOOKUP($A134,main!$A$3:$H$102,6,FALSE)&gt;=main!$D$103+VLOOKUP(VLOOKUP(CG$1,main!$A$3:$I$102,7,FALSE),main!$K$26:$Q$29,4,FALSE)),1,0)</f>
        <v>0</v>
      </c>
      <c r="CH134">
        <f>IF(AND(VLOOKUP(CH$1,main!$A$3:$H$102,7,FALSE)=main!$G$104,VLOOKUP(CH$1,main!$A$3:$H$102,5,FALSE)-VLOOKUP($A134,main!$A$3:$H$102,6,FALSE)&gt;=main!$D$103+VLOOKUP(VLOOKUP(CH$1,main!$A$3:$I$102,7,FALSE),main!$K$26:$Q$29,4,FALSE)),1,0)</f>
        <v>0</v>
      </c>
      <c r="CI134">
        <f>IF(AND(VLOOKUP(CI$1,main!$A$3:$H$102,7,FALSE)=main!$G$104,VLOOKUP(CI$1,main!$A$3:$H$102,5,FALSE)-VLOOKUP($A134,main!$A$3:$H$102,6,FALSE)&gt;=main!$D$103+VLOOKUP(VLOOKUP(CI$1,main!$A$3:$I$102,7,FALSE),main!$K$26:$Q$29,4,FALSE)),1,0)</f>
        <v>0</v>
      </c>
      <c r="CJ134">
        <f>IF(AND(VLOOKUP(CJ$1,main!$A$3:$H$102,7,FALSE)=main!$G$104,VLOOKUP(CJ$1,main!$A$3:$H$102,5,FALSE)-VLOOKUP($A134,main!$A$3:$H$102,6,FALSE)&gt;=main!$D$103+VLOOKUP(VLOOKUP(CJ$1,main!$A$3:$I$102,7,FALSE),main!$K$26:$Q$29,4,FALSE)),1,0)</f>
        <v>0</v>
      </c>
      <c r="CK134">
        <f>IF(AND(VLOOKUP(CK$1,main!$A$3:$H$102,7,FALSE)=main!$G$104,VLOOKUP(CK$1,main!$A$3:$H$102,5,FALSE)-VLOOKUP($A134,main!$A$3:$H$102,6,FALSE)&gt;=main!$D$103+VLOOKUP(VLOOKUP(CK$1,main!$A$3:$I$102,7,FALSE),main!$K$26:$Q$29,4,FALSE)),1,0)</f>
        <v>0</v>
      </c>
      <c r="CL134">
        <f>IF(AND(VLOOKUP(CL$1,main!$A$3:$H$102,7,FALSE)=main!$G$104,VLOOKUP(CL$1,main!$A$3:$H$102,5,FALSE)-VLOOKUP($A134,main!$A$3:$H$102,6,FALSE)&gt;=main!$D$103+VLOOKUP(VLOOKUP(CL$1,main!$A$3:$I$102,7,FALSE),main!$K$26:$Q$29,4,FALSE)),1,0)</f>
        <v>0</v>
      </c>
      <c r="CM134">
        <f>IF(AND(VLOOKUP(CM$1,main!$A$3:$H$102,7,FALSE)=main!$G$104,VLOOKUP(CM$1,main!$A$3:$H$102,5,FALSE)-VLOOKUP($A134,main!$A$3:$H$102,6,FALSE)&gt;=main!$D$103+VLOOKUP(VLOOKUP(CM$1,main!$A$3:$I$102,7,FALSE),main!$K$26:$Q$29,4,FALSE)),1,0)</f>
        <v>0</v>
      </c>
      <c r="CN134">
        <f>IF(AND(VLOOKUP(CN$1,main!$A$3:$H$102,7,FALSE)=main!$G$104,VLOOKUP(CN$1,main!$A$3:$H$102,5,FALSE)-VLOOKUP($A134,main!$A$3:$H$102,6,FALSE)&gt;=main!$D$103+VLOOKUP(VLOOKUP(CN$1,main!$A$3:$I$102,7,FALSE),main!$K$26:$Q$29,4,FALSE)),1,0)</f>
        <v>0</v>
      </c>
      <c r="CO134">
        <f>IF(AND(VLOOKUP(CO$1,main!$A$3:$H$102,7,FALSE)=main!$G$104,VLOOKUP(CO$1,main!$A$3:$H$102,5,FALSE)-VLOOKUP($A134,main!$A$3:$H$102,6,FALSE)&gt;=main!$D$103+VLOOKUP(VLOOKUP(CO$1,main!$A$3:$I$102,7,FALSE),main!$K$26:$Q$29,4,FALSE)),1,0)</f>
        <v>0</v>
      </c>
      <c r="CP134">
        <f>IF(AND(VLOOKUP(CP$1,main!$A$3:$H$102,7,FALSE)=main!$G$104,VLOOKUP(CP$1,main!$A$3:$H$102,5,FALSE)-VLOOKUP($A134,main!$A$3:$H$102,6,FALSE)&gt;=main!$D$103+VLOOKUP(VLOOKUP(CP$1,main!$A$3:$I$102,7,FALSE),main!$K$26:$Q$29,4,FALSE)),1,0)</f>
        <v>0</v>
      </c>
      <c r="CQ134">
        <f>IF(AND(VLOOKUP(CQ$1,main!$A$3:$H$102,7,FALSE)=main!$G$104,VLOOKUP(CQ$1,main!$A$3:$H$102,5,FALSE)-VLOOKUP($A134,main!$A$3:$H$102,6,FALSE)&gt;=main!$D$103+VLOOKUP(VLOOKUP(CQ$1,main!$A$3:$I$102,7,FALSE),main!$K$26:$Q$29,4,FALSE)),1,0)</f>
        <v>0</v>
      </c>
      <c r="CR134">
        <f>IF(AND(VLOOKUP(CR$1,main!$A$3:$H$102,7,FALSE)=main!$G$104,VLOOKUP(CR$1,main!$A$3:$H$102,5,FALSE)-VLOOKUP($A134,main!$A$3:$H$102,6,FALSE)&gt;=main!$D$103+VLOOKUP(VLOOKUP(CR$1,main!$A$3:$I$102,7,FALSE),main!$K$26:$Q$29,4,FALSE)),1,0)</f>
        <v>0</v>
      </c>
      <c r="CS134">
        <f>IF(AND(VLOOKUP(CS$1,main!$A$3:$H$102,7,FALSE)=main!$G$104,VLOOKUP(CS$1,main!$A$3:$H$102,5,FALSE)-VLOOKUP($A134,main!$A$3:$H$102,6,FALSE)&gt;=main!$D$103+VLOOKUP(VLOOKUP(CS$1,main!$A$3:$I$102,7,FALSE),main!$K$26:$Q$29,4,FALSE)),1,0)</f>
        <v>0</v>
      </c>
      <c r="CT134">
        <f>IF(AND(VLOOKUP(CT$1,main!$A$3:$H$102,7,FALSE)=main!$G$104,VLOOKUP(CT$1,main!$A$3:$H$102,5,FALSE)-VLOOKUP($A134,main!$A$3:$H$102,6,FALSE)&gt;=main!$D$103+VLOOKUP(VLOOKUP(CT$1,main!$A$3:$I$102,7,FALSE),main!$K$26:$Q$29,4,FALSE)),1,0)</f>
        <v>0</v>
      </c>
      <c r="CU134">
        <f>IF(AND(VLOOKUP(CU$1,main!$A$3:$H$102,7,FALSE)=main!$G$104,VLOOKUP(CU$1,main!$A$3:$H$102,5,FALSE)-VLOOKUP($A134,main!$A$3:$H$102,6,FALSE)&gt;=main!$D$103+VLOOKUP(VLOOKUP(CU$1,main!$A$3:$I$102,7,FALSE),main!$K$26:$Q$29,4,FALSE)),1,0)</f>
        <v>0</v>
      </c>
      <c r="CV134">
        <f>IF(AND(VLOOKUP(CV$1,main!$A$3:$H$102,7,FALSE)=main!$G$104,VLOOKUP(CV$1,main!$A$3:$H$102,5,FALSE)-VLOOKUP($A134,main!$A$3:$H$102,6,FALSE)&gt;=main!$D$103+VLOOKUP(VLOOKUP(CV$1,main!$A$3:$I$102,7,FALSE),main!$K$26:$Q$29,4,FALSE)),1,0)</f>
        <v>0</v>
      </c>
      <c r="CW134">
        <f>IF(AND(VLOOKUP(CW$1,main!$A$3:$H$102,7,FALSE)=main!$G$104,VLOOKUP(CW$1,main!$A$3:$H$102,5,FALSE)-VLOOKUP($A134,main!$A$3:$H$102,6,FALSE)&gt;=main!$D$103+VLOOKUP(VLOOKUP(CW$1,main!$A$3:$I$102,7,FALSE),main!$K$26:$Q$29,4,FALSE)),1,0)</f>
        <v>0</v>
      </c>
      <c r="CX134">
        <f>IF(AND(VLOOKUP(CX$1,main!$A$3:$H$102,7,FALSE)=main!$G$104,VLOOKUP(CX$1,main!$A$3:$H$102,5,FALSE)-VLOOKUP($A134,main!$A$3:$H$102,6,FALSE)&gt;=main!$D$103+VLOOKUP(VLOOKUP(CX$1,main!$A$3:$I$102,7,FALSE),main!$K$26:$Q$29,4,FALSE)),1,0)</f>
        <v>0</v>
      </c>
      <c r="DB134" t="str">
        <f>VLOOKUP(AF$1,main!$A$3:$H$102,7,FALSE)</f>
        <v>Terminal A</v>
      </c>
    </row>
    <row r="135" spans="1:109" x14ac:dyDescent="0.25">
      <c r="A135" s="1">
        <v>32</v>
      </c>
      <c r="B135">
        <v>0</v>
      </c>
      <c r="C135">
        <f>IF(AND(VLOOKUP(C$1,main!$A$3:$H$102,7,FALSE)=main!$G$104,VLOOKUP(C$1,main!$A$3:$H$102,5,FALSE)-VLOOKUP($A135,main!$A$3:$H$102,6,FALSE)&gt;=main!$D$103+VLOOKUP(VLOOKUP(C$1,main!$A$3:$I$102,7,FALSE),main!$K$26:$Q$29,4,FALSE)),1,0)</f>
        <v>0</v>
      </c>
      <c r="D135">
        <f>IF(AND(VLOOKUP(D$1,main!$A$3:$H$102,7,FALSE)=main!$G$104,VLOOKUP(D$1,main!$A$3:$H$102,5,FALSE)-VLOOKUP($A135,main!$A$3:$H$102,6,FALSE)&gt;=main!$D$103+VLOOKUP(VLOOKUP(D$1,main!$A$3:$I$102,7,FALSE),main!$K$26:$Q$29,4,FALSE)),1,0)</f>
        <v>0</v>
      </c>
      <c r="E135">
        <f>IF(AND(VLOOKUP(E$1,main!$A$3:$H$102,7,FALSE)=main!$G$104,VLOOKUP(E$1,main!$A$3:$H$102,5,FALSE)-VLOOKUP($A135,main!$A$3:$H$102,6,FALSE)&gt;=main!$D$103+VLOOKUP(VLOOKUP(E$1,main!$A$3:$I$102,7,FALSE),main!$K$26:$Q$29,4,FALSE)),1,0)</f>
        <v>0</v>
      </c>
      <c r="F135">
        <f>IF(AND(VLOOKUP(F$1,main!$A$3:$H$102,7,FALSE)=main!$G$104,VLOOKUP(F$1,main!$A$3:$H$102,5,FALSE)-VLOOKUP($A135,main!$A$3:$H$102,6,FALSE)&gt;=main!$D$103+VLOOKUP(VLOOKUP(F$1,main!$A$3:$I$102,7,FALSE),main!$K$26:$Q$29,4,FALSE)),1,0)</f>
        <v>0</v>
      </c>
      <c r="G135">
        <f>IF(AND(VLOOKUP(G$1,main!$A$3:$H$102,7,FALSE)=main!$G$104,VLOOKUP(G$1,main!$A$3:$H$102,5,FALSE)-VLOOKUP($A135,main!$A$3:$H$102,6,FALSE)&gt;=main!$D$103+VLOOKUP(VLOOKUP(G$1,main!$A$3:$I$102,7,FALSE),main!$K$26:$Q$29,4,FALSE)),1,0)</f>
        <v>1</v>
      </c>
      <c r="H135">
        <f>IF(AND(VLOOKUP(H$1,main!$A$3:$H$102,7,FALSE)=main!$G$104,VLOOKUP(H$1,main!$A$3:$H$102,5,FALSE)-VLOOKUP($A135,main!$A$3:$H$102,6,FALSE)&gt;=main!$D$103+VLOOKUP(VLOOKUP(H$1,main!$A$3:$I$102,7,FALSE),main!$K$26:$Q$29,4,FALSE)),1,0)</f>
        <v>1</v>
      </c>
      <c r="I135">
        <f>IF(AND(VLOOKUP(I$1,main!$A$3:$H$102,7,FALSE)=main!$G$104,VLOOKUP(I$1,main!$A$3:$H$102,5,FALSE)-VLOOKUP($A135,main!$A$3:$H$102,6,FALSE)&gt;=main!$D$103+VLOOKUP(VLOOKUP(I$1,main!$A$3:$I$102,7,FALSE),main!$K$26:$Q$29,4,FALSE)),1,0)</f>
        <v>1</v>
      </c>
      <c r="J135">
        <f>IF(AND(VLOOKUP(J$1,main!$A$3:$H$102,7,FALSE)=main!$G$104,VLOOKUP(J$1,main!$A$3:$H$102,5,FALSE)-VLOOKUP($A135,main!$A$3:$H$102,6,FALSE)&gt;=main!$D$103+VLOOKUP(VLOOKUP(J$1,main!$A$3:$I$102,7,FALSE),main!$K$26:$Q$29,4,FALSE)),1,0)</f>
        <v>1</v>
      </c>
      <c r="K135">
        <f>IF(AND(VLOOKUP(K$1,main!$A$3:$H$102,7,FALSE)=main!$G$104,VLOOKUP(K$1,main!$A$3:$H$102,5,FALSE)-VLOOKUP($A135,main!$A$3:$H$102,6,FALSE)&gt;=main!$D$103+VLOOKUP(VLOOKUP(K$1,main!$A$3:$I$102,7,FALSE),main!$K$26:$Q$29,4,FALSE)),1,0)</f>
        <v>1</v>
      </c>
      <c r="L135">
        <f>IF(AND(VLOOKUP(L$1,main!$A$3:$H$102,7,FALSE)=main!$G$104,VLOOKUP(L$1,main!$A$3:$H$102,5,FALSE)-VLOOKUP($A135,main!$A$3:$H$102,6,FALSE)&gt;=main!$D$103+VLOOKUP(VLOOKUP(L$1,main!$A$3:$I$102,7,FALSE),main!$K$26:$Q$29,4,FALSE)),1,0)</f>
        <v>1</v>
      </c>
      <c r="M135">
        <f>IF(AND(VLOOKUP(M$1,main!$A$3:$H$102,7,FALSE)=main!$G$104,VLOOKUP(M$1,main!$A$3:$H$102,5,FALSE)-VLOOKUP($A135,main!$A$3:$H$102,6,FALSE)&gt;=main!$D$103+VLOOKUP(VLOOKUP(M$1,main!$A$3:$I$102,7,FALSE),main!$K$26:$Q$29,4,FALSE)),1,0)</f>
        <v>0</v>
      </c>
      <c r="N135">
        <f>IF(AND(VLOOKUP(N$1,main!$A$3:$H$102,7,FALSE)=main!$G$104,VLOOKUP(N$1,main!$A$3:$H$102,5,FALSE)-VLOOKUP($A135,main!$A$3:$H$102,6,FALSE)&gt;=main!$D$103+VLOOKUP(VLOOKUP(N$1,main!$A$3:$I$102,7,FALSE),main!$K$26:$Q$29,4,FALSE)),1,0)</f>
        <v>0</v>
      </c>
      <c r="O135">
        <f>IF(AND(VLOOKUP(O$1,main!$A$3:$H$102,7,FALSE)=main!$G$104,VLOOKUP(O$1,main!$A$3:$H$102,5,FALSE)-VLOOKUP($A135,main!$A$3:$H$102,6,FALSE)&gt;=main!$D$103+VLOOKUP(VLOOKUP(O$1,main!$A$3:$I$102,7,FALSE),main!$K$26:$Q$29,4,FALSE)),1,0)</f>
        <v>0</v>
      </c>
      <c r="P135">
        <f>IF(AND(VLOOKUP(P$1,main!$A$3:$H$102,7,FALSE)=main!$G$104,VLOOKUP(P$1,main!$A$3:$H$102,5,FALSE)-VLOOKUP($A135,main!$A$3:$H$102,6,FALSE)&gt;=main!$D$103+VLOOKUP(VLOOKUP(P$1,main!$A$3:$I$102,7,FALSE),main!$K$26:$Q$29,4,FALSE)),1,0)</f>
        <v>0</v>
      </c>
      <c r="Q135">
        <f>IF(AND(VLOOKUP(Q$1,main!$A$3:$H$102,7,FALSE)=main!$G$104,VLOOKUP(Q$1,main!$A$3:$H$102,5,FALSE)-VLOOKUP($A135,main!$A$3:$H$102,6,FALSE)&gt;=main!$D$103+VLOOKUP(VLOOKUP(Q$1,main!$A$3:$I$102,7,FALSE),main!$K$26:$Q$29,4,FALSE)),1,0)</f>
        <v>0</v>
      </c>
      <c r="R135">
        <f>IF(AND(VLOOKUP(R$1,main!$A$3:$H$102,7,FALSE)=main!$G$104,VLOOKUP(R$1,main!$A$3:$H$102,5,FALSE)-VLOOKUP($A135,main!$A$3:$H$102,6,FALSE)&gt;=main!$D$103+VLOOKUP(VLOOKUP(R$1,main!$A$3:$I$102,7,FALSE),main!$K$26:$Q$29,4,FALSE)),1,0)</f>
        <v>0</v>
      </c>
      <c r="S135">
        <f>IF(AND(VLOOKUP(S$1,main!$A$3:$H$102,7,FALSE)=main!$G$104,VLOOKUP(S$1,main!$A$3:$H$102,5,FALSE)-VLOOKUP($A135,main!$A$3:$H$102,6,FALSE)&gt;=main!$D$103+VLOOKUP(VLOOKUP(S$1,main!$A$3:$I$102,7,FALSE),main!$K$26:$Q$29,4,FALSE)),1,0)</f>
        <v>1</v>
      </c>
      <c r="T135">
        <f>IF(AND(VLOOKUP(T$1,main!$A$3:$H$102,7,FALSE)=main!$G$104,VLOOKUP(T$1,main!$A$3:$H$102,5,FALSE)-VLOOKUP($A135,main!$A$3:$H$102,6,FALSE)&gt;=main!$D$103+VLOOKUP(VLOOKUP(T$1,main!$A$3:$I$102,7,FALSE),main!$K$26:$Q$29,4,FALSE)),1,0)</f>
        <v>1</v>
      </c>
      <c r="U135">
        <f>IF(AND(VLOOKUP(U$1,main!$A$3:$H$102,7,FALSE)=main!$G$104,VLOOKUP(U$1,main!$A$3:$H$102,5,FALSE)-VLOOKUP($A135,main!$A$3:$H$102,6,FALSE)&gt;=main!$D$103+VLOOKUP(VLOOKUP(U$1,main!$A$3:$I$102,7,FALSE),main!$K$26:$Q$29,4,FALSE)),1,0)</f>
        <v>1</v>
      </c>
      <c r="V135">
        <f>IF(AND(VLOOKUP(V$1,main!$A$3:$H$102,7,FALSE)=main!$G$104,VLOOKUP(V$1,main!$A$3:$H$102,5,FALSE)-VLOOKUP($A135,main!$A$3:$H$102,6,FALSE)&gt;=main!$D$103+VLOOKUP(VLOOKUP(V$1,main!$A$3:$I$102,7,FALSE),main!$K$26:$Q$29,4,FALSE)),1,0)</f>
        <v>1</v>
      </c>
      <c r="W135">
        <f>IF(AND(VLOOKUP(W$1,main!$A$3:$H$102,7,FALSE)=main!$G$104,VLOOKUP(W$1,main!$A$3:$H$102,5,FALSE)-VLOOKUP($A135,main!$A$3:$H$102,6,FALSE)&gt;=main!$D$103+VLOOKUP(VLOOKUP(W$1,main!$A$3:$I$102,7,FALSE),main!$K$26:$Q$29,4,FALSE)),1,0)</f>
        <v>0</v>
      </c>
      <c r="X135">
        <f>IF(AND(VLOOKUP(X$1,main!$A$3:$H$102,7,FALSE)=main!$G$104,VLOOKUP(X$1,main!$A$3:$H$102,5,FALSE)-VLOOKUP($A135,main!$A$3:$H$102,6,FALSE)&gt;=main!$D$103+VLOOKUP(VLOOKUP(X$1,main!$A$3:$I$102,7,FALSE),main!$K$26:$Q$29,4,FALSE)),1,0)</f>
        <v>0</v>
      </c>
      <c r="Y135">
        <f>IF(AND(VLOOKUP(Y$1,main!$A$3:$H$102,7,FALSE)=main!$G$104,VLOOKUP(Y$1,main!$A$3:$H$102,5,FALSE)-VLOOKUP($A135,main!$A$3:$H$102,6,FALSE)&gt;=main!$D$103+VLOOKUP(VLOOKUP(Y$1,main!$A$3:$I$102,7,FALSE),main!$K$26:$Q$29,4,FALSE)),1,0)</f>
        <v>0</v>
      </c>
      <c r="Z135">
        <f>IF(AND(VLOOKUP(Z$1,main!$A$3:$H$102,7,FALSE)=main!$G$104,VLOOKUP(Z$1,main!$A$3:$H$102,5,FALSE)-VLOOKUP($A135,main!$A$3:$H$102,6,FALSE)&gt;=main!$D$103+VLOOKUP(VLOOKUP(Z$1,main!$A$3:$I$102,7,FALSE),main!$K$26:$Q$29,4,FALSE)),1,0)</f>
        <v>1</v>
      </c>
      <c r="AA135">
        <f>IF(AND(VLOOKUP(AA$1,main!$A$3:$H$102,7,FALSE)=main!$G$104,VLOOKUP(AA$1,main!$A$3:$H$102,5,FALSE)-VLOOKUP($A135,main!$A$3:$H$102,6,FALSE)&gt;=main!$D$103+VLOOKUP(VLOOKUP(AA$1,main!$A$3:$I$102,7,FALSE),main!$K$26:$Q$29,4,FALSE)),1,0)</f>
        <v>1</v>
      </c>
      <c r="AB135">
        <f>IF(AND(VLOOKUP(AB$1,main!$A$3:$H$102,7,FALSE)=main!$G$104,VLOOKUP(AB$1,main!$A$3:$H$102,5,FALSE)-VLOOKUP($A135,main!$A$3:$H$102,6,FALSE)&gt;=main!$D$103+VLOOKUP(VLOOKUP(AB$1,main!$A$3:$I$102,7,FALSE),main!$K$26:$Q$29,4,FALSE)),1,0)</f>
        <v>0</v>
      </c>
      <c r="AC135">
        <f>IF(AND(VLOOKUP(AC$1,main!$A$3:$H$102,7,FALSE)=main!$G$104,VLOOKUP(AC$1,main!$A$3:$H$102,5,FALSE)-VLOOKUP($A135,main!$A$3:$H$102,6,FALSE)&gt;=main!$D$103+VLOOKUP(VLOOKUP(AC$1,main!$A$3:$I$102,7,FALSE),main!$K$26:$Q$29,4,FALSE)),1,0)</f>
        <v>0</v>
      </c>
      <c r="AD135">
        <f>IF(AND(VLOOKUP(AD$1,main!$A$3:$H$102,7,FALSE)=main!$G$104,VLOOKUP(AD$1,main!$A$3:$H$102,5,FALSE)-VLOOKUP($A135,main!$A$3:$H$102,6,FALSE)&gt;=main!$D$103+VLOOKUP(VLOOKUP(AD$1,main!$A$3:$I$102,7,FALSE),main!$K$26:$Q$29,4,FALSE)),1,0)</f>
        <v>0</v>
      </c>
      <c r="AE135">
        <f>IF(AND(VLOOKUP(AE$1,main!$A$3:$H$102,7,FALSE)=main!$G$104,VLOOKUP(AE$1,main!$A$3:$H$102,5,FALSE)-VLOOKUP($A135,main!$A$3:$H$102,6,FALSE)&gt;=main!$D$103+VLOOKUP(VLOOKUP(AE$1,main!$A$3:$I$102,7,FALSE),main!$K$26:$Q$29,4,FALSE)),1,0)</f>
        <v>1</v>
      </c>
      <c r="AF135">
        <f>IF(AND(VLOOKUP(AF$1,main!$A$3:$H$102,7,FALSE)=main!$G$104,VLOOKUP(AF$1,main!$A$3:$H$102,5,FALSE)-VLOOKUP($A135,main!$A$3:$H$102,6,FALSE)&gt;=main!$D$103+VLOOKUP(VLOOKUP(AF$1,main!$A$3:$I$102,7,FALSE),main!$K$26:$Q$29,4,FALSE)),1,0)</f>
        <v>1</v>
      </c>
      <c r="AG135">
        <f>IF(AND(VLOOKUP(AG$1,main!$A$3:$H$102,7,FALSE)=main!$G$104,VLOOKUP(AG$1,main!$A$3:$H$102,5,FALSE)-VLOOKUP($A135,main!$A$3:$H$102,6,FALSE)&gt;=main!$D$103+VLOOKUP(VLOOKUP(AG$1,main!$A$3:$I$102,7,FALSE),main!$K$26:$Q$29,4,FALSE)),1,0)</f>
        <v>0</v>
      </c>
      <c r="AH135">
        <f>IF(AND(VLOOKUP(AH$1,main!$A$3:$H$102,7,FALSE)=main!$G$104,VLOOKUP(AH$1,main!$A$3:$H$102,5,FALSE)-VLOOKUP($A135,main!$A$3:$H$102,6,FALSE)&gt;=main!$D$103+VLOOKUP(VLOOKUP(AH$1,main!$A$3:$I$102,7,FALSE),main!$K$26:$Q$29,4,FALSE)),1,0)</f>
        <v>0</v>
      </c>
      <c r="AI135">
        <f>IF(AND(VLOOKUP(AI$1,main!$A$3:$H$102,7,FALSE)=main!$G$104,VLOOKUP(AI$1,main!$A$3:$H$102,5,FALSE)-VLOOKUP($A135,main!$A$3:$H$102,6,FALSE)&gt;=main!$D$103+VLOOKUP(VLOOKUP(AI$1,main!$A$3:$I$102,7,FALSE),main!$K$26:$Q$29,4,FALSE)),1,0)</f>
        <v>0</v>
      </c>
      <c r="AJ135">
        <f>IF(AND(VLOOKUP(AJ$1,main!$A$3:$H$102,7,FALSE)=main!$G$104,VLOOKUP(AJ$1,main!$A$3:$H$102,5,FALSE)-VLOOKUP($A135,main!$A$3:$H$102,6,FALSE)&gt;=main!$D$103+VLOOKUP(VLOOKUP(AJ$1,main!$A$3:$I$102,7,FALSE),main!$K$26:$Q$29,4,FALSE)),1,0)</f>
        <v>0</v>
      </c>
      <c r="AK135">
        <f>IF(AND(VLOOKUP(AK$1,main!$A$3:$H$102,7,FALSE)=main!$G$104,VLOOKUP(AK$1,main!$A$3:$H$102,5,FALSE)-VLOOKUP($A135,main!$A$3:$H$102,6,FALSE)&gt;=main!$D$103+VLOOKUP(VLOOKUP(AK$1,main!$A$3:$I$102,7,FALSE),main!$K$26:$Q$29,4,FALSE)),1,0)</f>
        <v>0</v>
      </c>
      <c r="AL135">
        <f>IF(AND(VLOOKUP(AL$1,main!$A$3:$H$102,7,FALSE)=main!$G$104,VLOOKUP(AL$1,main!$A$3:$H$102,5,FALSE)-VLOOKUP($A135,main!$A$3:$H$102,6,FALSE)&gt;=main!$D$103+VLOOKUP(VLOOKUP(AL$1,main!$A$3:$I$102,7,FALSE),main!$K$26:$Q$29,4,FALSE)),1,0)</f>
        <v>0</v>
      </c>
      <c r="AM135">
        <f>IF(AND(VLOOKUP(AM$1,main!$A$3:$H$102,7,FALSE)=main!$G$104,VLOOKUP(AM$1,main!$A$3:$H$102,5,FALSE)-VLOOKUP($A135,main!$A$3:$H$102,6,FALSE)&gt;=main!$D$103+VLOOKUP(VLOOKUP(AM$1,main!$A$3:$I$102,7,FALSE),main!$K$26:$Q$29,4,FALSE)),1,0)</f>
        <v>0</v>
      </c>
      <c r="AN135">
        <f>IF(AND(VLOOKUP(AN$1,main!$A$3:$H$102,7,FALSE)=main!$G$104,VLOOKUP(AN$1,main!$A$3:$H$102,5,FALSE)-VLOOKUP($A135,main!$A$3:$H$102,6,FALSE)&gt;=main!$D$103+VLOOKUP(VLOOKUP(AN$1,main!$A$3:$I$102,7,FALSE),main!$K$26:$Q$29,4,FALSE)),1,0)</f>
        <v>0</v>
      </c>
      <c r="AO135">
        <f>IF(AND(VLOOKUP(AO$1,main!$A$3:$H$102,7,FALSE)=main!$G$104,VLOOKUP(AO$1,main!$A$3:$H$102,5,FALSE)-VLOOKUP($A135,main!$A$3:$H$102,6,FALSE)&gt;=main!$D$103+VLOOKUP(VLOOKUP(AO$1,main!$A$3:$I$102,7,FALSE),main!$K$26:$Q$29,4,FALSE)),1,0)</f>
        <v>0</v>
      </c>
      <c r="AP135">
        <f>IF(AND(VLOOKUP(AP$1,main!$A$3:$H$102,7,FALSE)=main!$G$104,VLOOKUP(AP$1,main!$A$3:$H$102,5,FALSE)-VLOOKUP($A135,main!$A$3:$H$102,6,FALSE)&gt;=main!$D$103+VLOOKUP(VLOOKUP(AP$1,main!$A$3:$I$102,7,FALSE),main!$K$26:$Q$29,4,FALSE)),1,0)</f>
        <v>0</v>
      </c>
      <c r="AQ135">
        <f>IF(AND(VLOOKUP(AQ$1,main!$A$3:$H$102,7,FALSE)=main!$G$104,VLOOKUP(AQ$1,main!$A$3:$H$102,5,FALSE)-VLOOKUP($A135,main!$A$3:$H$102,6,FALSE)&gt;=main!$D$103+VLOOKUP(VLOOKUP(AQ$1,main!$A$3:$I$102,7,FALSE),main!$K$26:$Q$29,4,FALSE)),1,0)</f>
        <v>0</v>
      </c>
      <c r="AR135">
        <f>IF(AND(VLOOKUP(AR$1,main!$A$3:$H$102,7,FALSE)=main!$G$104,VLOOKUP(AR$1,main!$A$3:$H$102,5,FALSE)-VLOOKUP($A135,main!$A$3:$H$102,6,FALSE)&gt;=main!$D$103+VLOOKUP(VLOOKUP(AR$1,main!$A$3:$I$102,7,FALSE),main!$K$26:$Q$29,4,FALSE)),1,0)</f>
        <v>0</v>
      </c>
      <c r="AS135">
        <f>IF(AND(VLOOKUP(AS$1,main!$A$3:$H$102,7,FALSE)=main!$G$104,VLOOKUP(AS$1,main!$A$3:$H$102,5,FALSE)-VLOOKUP($A135,main!$A$3:$H$102,6,FALSE)&gt;=main!$D$103+VLOOKUP(VLOOKUP(AS$1,main!$A$3:$I$102,7,FALSE),main!$K$26:$Q$29,4,FALSE)),1,0)</f>
        <v>0</v>
      </c>
      <c r="AT135">
        <f>IF(AND(VLOOKUP(AT$1,main!$A$3:$H$102,7,FALSE)=main!$G$104,VLOOKUP(AT$1,main!$A$3:$H$102,5,FALSE)-VLOOKUP($A135,main!$A$3:$H$102,6,FALSE)&gt;=main!$D$103+VLOOKUP(VLOOKUP(AT$1,main!$A$3:$I$102,7,FALSE),main!$K$26:$Q$29,4,FALSE)),1,0)</f>
        <v>0</v>
      </c>
      <c r="AU135">
        <f>IF(AND(VLOOKUP(AU$1,main!$A$3:$H$102,7,FALSE)=main!$G$104,VLOOKUP(AU$1,main!$A$3:$H$102,5,FALSE)-VLOOKUP($A135,main!$A$3:$H$102,6,FALSE)&gt;=main!$D$103+VLOOKUP(VLOOKUP(AU$1,main!$A$3:$I$102,7,FALSE),main!$K$26:$Q$29,4,FALSE)),1,0)</f>
        <v>0</v>
      </c>
      <c r="AV135">
        <f>IF(AND(VLOOKUP(AV$1,main!$A$3:$H$102,7,FALSE)=main!$G$104,VLOOKUP(AV$1,main!$A$3:$H$102,5,FALSE)-VLOOKUP($A135,main!$A$3:$H$102,6,FALSE)&gt;=main!$D$103+VLOOKUP(VLOOKUP(AV$1,main!$A$3:$I$102,7,FALSE),main!$K$26:$Q$29,4,FALSE)),1,0)</f>
        <v>0</v>
      </c>
      <c r="AW135">
        <f>IF(AND(VLOOKUP(AW$1,main!$A$3:$H$102,7,FALSE)=main!$G$104,VLOOKUP(AW$1,main!$A$3:$H$102,5,FALSE)-VLOOKUP($A135,main!$A$3:$H$102,6,FALSE)&gt;=main!$D$103+VLOOKUP(VLOOKUP(AW$1,main!$A$3:$I$102,7,FALSE),main!$K$26:$Q$29,4,FALSE)),1,0)</f>
        <v>0</v>
      </c>
      <c r="AX135">
        <f>IF(AND(VLOOKUP(AX$1,main!$A$3:$H$102,7,FALSE)=main!$G$104,VLOOKUP(AX$1,main!$A$3:$H$102,5,FALSE)-VLOOKUP($A135,main!$A$3:$H$102,6,FALSE)&gt;=main!$D$103+VLOOKUP(VLOOKUP(AX$1,main!$A$3:$I$102,7,FALSE),main!$K$26:$Q$29,4,FALSE)),1,0)</f>
        <v>0</v>
      </c>
      <c r="AY135">
        <f>IF(AND(VLOOKUP(AY$1,main!$A$3:$H$102,7,FALSE)=main!$G$104,VLOOKUP(AY$1,main!$A$3:$H$102,5,FALSE)-VLOOKUP($A135,main!$A$3:$H$102,6,FALSE)&gt;=main!$D$103+VLOOKUP(VLOOKUP(AY$1,main!$A$3:$I$102,7,FALSE),main!$K$26:$Q$29,4,FALSE)),1,0)</f>
        <v>0</v>
      </c>
      <c r="AZ135">
        <f>IF(AND(VLOOKUP(AZ$1,main!$A$3:$H$102,7,FALSE)=main!$G$104,VLOOKUP(AZ$1,main!$A$3:$H$102,5,FALSE)-VLOOKUP($A135,main!$A$3:$H$102,6,FALSE)&gt;=main!$D$103+VLOOKUP(VLOOKUP(AZ$1,main!$A$3:$I$102,7,FALSE),main!$K$26:$Q$29,4,FALSE)),1,0)</f>
        <v>0</v>
      </c>
      <c r="BA135">
        <f>IF(AND(VLOOKUP(BA$1,main!$A$3:$H$102,7,FALSE)=main!$G$104,VLOOKUP(BA$1,main!$A$3:$H$102,5,FALSE)-VLOOKUP($A135,main!$A$3:$H$102,6,FALSE)&gt;=main!$D$103+VLOOKUP(VLOOKUP(BA$1,main!$A$3:$I$102,7,FALSE),main!$K$26:$Q$29,4,FALSE)),1,0)</f>
        <v>0</v>
      </c>
      <c r="BB135">
        <f>IF(AND(VLOOKUP(BB$1,main!$A$3:$H$102,7,FALSE)=main!$G$104,VLOOKUP(BB$1,main!$A$3:$H$102,5,FALSE)-VLOOKUP($A135,main!$A$3:$H$102,6,FALSE)&gt;=main!$D$103+VLOOKUP(VLOOKUP(BB$1,main!$A$3:$I$102,7,FALSE),main!$K$26:$Q$29,4,FALSE)),1,0)</f>
        <v>0</v>
      </c>
      <c r="BC135">
        <f>IF(AND(VLOOKUP(BC$1,main!$A$3:$H$102,7,FALSE)=main!$G$104,VLOOKUP(BC$1,main!$A$3:$H$102,5,FALSE)-VLOOKUP($A135,main!$A$3:$H$102,6,FALSE)&gt;=main!$D$103+VLOOKUP(VLOOKUP(BC$1,main!$A$3:$I$102,7,FALSE),main!$K$26:$Q$29,4,FALSE)),1,0)</f>
        <v>0</v>
      </c>
      <c r="BD135">
        <f>IF(AND(VLOOKUP(BD$1,main!$A$3:$H$102,7,FALSE)=main!$G$104,VLOOKUP(BD$1,main!$A$3:$H$102,5,FALSE)-VLOOKUP($A135,main!$A$3:$H$102,6,FALSE)&gt;=main!$D$103+VLOOKUP(VLOOKUP(BD$1,main!$A$3:$I$102,7,FALSE),main!$K$26:$Q$29,4,FALSE)),1,0)</f>
        <v>0</v>
      </c>
      <c r="BE135">
        <f>IF(AND(VLOOKUP(BE$1,main!$A$3:$H$102,7,FALSE)=main!$G$104,VLOOKUP(BE$1,main!$A$3:$H$102,5,FALSE)-VLOOKUP($A135,main!$A$3:$H$102,6,FALSE)&gt;=main!$D$103+VLOOKUP(VLOOKUP(BE$1,main!$A$3:$I$102,7,FALSE),main!$K$26:$Q$29,4,FALSE)),1,0)</f>
        <v>0</v>
      </c>
      <c r="BF135">
        <f>IF(AND(VLOOKUP(BF$1,main!$A$3:$H$102,7,FALSE)=main!$G$104,VLOOKUP(BF$1,main!$A$3:$H$102,5,FALSE)-VLOOKUP($A135,main!$A$3:$H$102,6,FALSE)&gt;=main!$D$103+VLOOKUP(VLOOKUP(BF$1,main!$A$3:$I$102,7,FALSE),main!$K$26:$Q$29,4,FALSE)),1,0)</f>
        <v>0</v>
      </c>
      <c r="BG135">
        <f>IF(AND(VLOOKUP(BG$1,main!$A$3:$H$102,7,FALSE)=main!$G$104,VLOOKUP(BG$1,main!$A$3:$H$102,5,FALSE)-VLOOKUP($A135,main!$A$3:$H$102,6,FALSE)&gt;=main!$D$103+VLOOKUP(VLOOKUP(BG$1,main!$A$3:$I$102,7,FALSE),main!$K$26:$Q$29,4,FALSE)),1,0)</f>
        <v>0</v>
      </c>
      <c r="BH135">
        <f>IF(AND(VLOOKUP(BH$1,main!$A$3:$H$102,7,FALSE)=main!$G$104,VLOOKUP(BH$1,main!$A$3:$H$102,5,FALSE)-VLOOKUP($A135,main!$A$3:$H$102,6,FALSE)&gt;=main!$D$103+VLOOKUP(VLOOKUP(BH$1,main!$A$3:$I$102,7,FALSE),main!$K$26:$Q$29,4,FALSE)),1,0)</f>
        <v>0</v>
      </c>
      <c r="BI135">
        <f>IF(AND(VLOOKUP(BI$1,main!$A$3:$H$102,7,FALSE)=main!$G$104,VLOOKUP(BI$1,main!$A$3:$H$102,5,FALSE)-VLOOKUP($A135,main!$A$3:$H$102,6,FALSE)&gt;=main!$D$103+VLOOKUP(VLOOKUP(BI$1,main!$A$3:$I$102,7,FALSE),main!$K$26:$Q$29,4,FALSE)),1,0)</f>
        <v>0</v>
      </c>
      <c r="BJ135">
        <f>IF(AND(VLOOKUP(BJ$1,main!$A$3:$H$102,7,FALSE)=main!$G$104,VLOOKUP(BJ$1,main!$A$3:$H$102,5,FALSE)-VLOOKUP($A135,main!$A$3:$H$102,6,FALSE)&gt;=main!$D$103+VLOOKUP(VLOOKUP(BJ$1,main!$A$3:$I$102,7,FALSE),main!$K$26:$Q$29,4,FALSE)),1,0)</f>
        <v>0</v>
      </c>
      <c r="BK135">
        <f>IF(AND(VLOOKUP(BK$1,main!$A$3:$H$102,7,FALSE)=main!$G$104,VLOOKUP(BK$1,main!$A$3:$H$102,5,FALSE)-VLOOKUP($A135,main!$A$3:$H$102,6,FALSE)&gt;=main!$D$103+VLOOKUP(VLOOKUP(BK$1,main!$A$3:$I$102,7,FALSE),main!$K$26:$Q$29,4,FALSE)),1,0)</f>
        <v>0</v>
      </c>
      <c r="BL135">
        <f>IF(AND(VLOOKUP(BL$1,main!$A$3:$H$102,7,FALSE)=main!$G$104,VLOOKUP(BL$1,main!$A$3:$H$102,5,FALSE)-VLOOKUP($A135,main!$A$3:$H$102,6,FALSE)&gt;=main!$D$103+VLOOKUP(VLOOKUP(BL$1,main!$A$3:$I$102,7,FALSE),main!$K$26:$Q$29,4,FALSE)),1,0)</f>
        <v>0</v>
      </c>
      <c r="BM135">
        <f>IF(AND(VLOOKUP(BM$1,main!$A$3:$H$102,7,FALSE)=main!$G$104,VLOOKUP(BM$1,main!$A$3:$H$102,5,FALSE)-VLOOKUP($A135,main!$A$3:$H$102,6,FALSE)&gt;=main!$D$103+VLOOKUP(VLOOKUP(BM$1,main!$A$3:$I$102,7,FALSE),main!$K$26:$Q$29,4,FALSE)),1,0)</f>
        <v>0</v>
      </c>
      <c r="BN135">
        <f>IF(AND(VLOOKUP(BN$1,main!$A$3:$H$102,7,FALSE)=main!$G$104,VLOOKUP(BN$1,main!$A$3:$H$102,5,FALSE)-VLOOKUP($A135,main!$A$3:$H$102,6,FALSE)&gt;=main!$D$103+VLOOKUP(VLOOKUP(BN$1,main!$A$3:$I$102,7,FALSE),main!$K$26:$Q$29,4,FALSE)),1,0)</f>
        <v>0</v>
      </c>
      <c r="BO135">
        <f>IF(AND(VLOOKUP(BO$1,main!$A$3:$H$102,7,FALSE)=main!$G$104,VLOOKUP(BO$1,main!$A$3:$H$102,5,FALSE)-VLOOKUP($A135,main!$A$3:$H$102,6,FALSE)&gt;=main!$D$103+VLOOKUP(VLOOKUP(BO$1,main!$A$3:$I$102,7,FALSE),main!$K$26:$Q$29,4,FALSE)),1,0)</f>
        <v>0</v>
      </c>
      <c r="BP135">
        <f>IF(AND(VLOOKUP(BP$1,main!$A$3:$H$102,7,FALSE)=main!$G$104,VLOOKUP(BP$1,main!$A$3:$H$102,5,FALSE)-VLOOKUP($A135,main!$A$3:$H$102,6,FALSE)&gt;=main!$D$103+VLOOKUP(VLOOKUP(BP$1,main!$A$3:$I$102,7,FALSE),main!$K$26:$Q$29,4,FALSE)),1,0)</f>
        <v>0</v>
      </c>
      <c r="BQ135">
        <f>IF(AND(VLOOKUP(BQ$1,main!$A$3:$H$102,7,FALSE)=main!$G$104,VLOOKUP(BQ$1,main!$A$3:$H$102,5,FALSE)-VLOOKUP($A135,main!$A$3:$H$102,6,FALSE)&gt;=main!$D$103+VLOOKUP(VLOOKUP(BQ$1,main!$A$3:$I$102,7,FALSE),main!$K$26:$Q$29,4,FALSE)),1,0)</f>
        <v>0</v>
      </c>
      <c r="BR135">
        <f>IF(AND(VLOOKUP(BR$1,main!$A$3:$H$102,7,FALSE)=main!$G$104,VLOOKUP(BR$1,main!$A$3:$H$102,5,FALSE)-VLOOKUP($A135,main!$A$3:$H$102,6,FALSE)&gt;=main!$D$103+VLOOKUP(VLOOKUP(BR$1,main!$A$3:$I$102,7,FALSE),main!$K$26:$Q$29,4,FALSE)),1,0)</f>
        <v>0</v>
      </c>
      <c r="BS135">
        <f>IF(AND(VLOOKUP(BS$1,main!$A$3:$H$102,7,FALSE)=main!$G$104,VLOOKUP(BS$1,main!$A$3:$H$102,5,FALSE)-VLOOKUP($A135,main!$A$3:$H$102,6,FALSE)&gt;=main!$D$103+VLOOKUP(VLOOKUP(BS$1,main!$A$3:$I$102,7,FALSE),main!$K$26:$Q$29,4,FALSE)),1,0)</f>
        <v>0</v>
      </c>
      <c r="BT135">
        <f>IF(AND(VLOOKUP(BT$1,main!$A$3:$H$102,7,FALSE)=main!$G$104,VLOOKUP(BT$1,main!$A$3:$H$102,5,FALSE)-VLOOKUP($A135,main!$A$3:$H$102,6,FALSE)&gt;=main!$D$103+VLOOKUP(VLOOKUP(BT$1,main!$A$3:$I$102,7,FALSE),main!$K$26:$Q$29,4,FALSE)),1,0)</f>
        <v>0</v>
      </c>
      <c r="BU135">
        <f>IF(AND(VLOOKUP(BU$1,main!$A$3:$H$102,7,FALSE)=main!$G$104,VLOOKUP(BU$1,main!$A$3:$H$102,5,FALSE)-VLOOKUP($A135,main!$A$3:$H$102,6,FALSE)&gt;=main!$D$103+VLOOKUP(VLOOKUP(BU$1,main!$A$3:$I$102,7,FALSE),main!$K$26:$Q$29,4,FALSE)),1,0)</f>
        <v>0</v>
      </c>
      <c r="BV135">
        <f>IF(AND(VLOOKUP(BV$1,main!$A$3:$H$102,7,FALSE)=main!$G$104,VLOOKUP(BV$1,main!$A$3:$H$102,5,FALSE)-VLOOKUP($A135,main!$A$3:$H$102,6,FALSE)&gt;=main!$D$103+VLOOKUP(VLOOKUP(BV$1,main!$A$3:$I$102,7,FALSE),main!$K$26:$Q$29,4,FALSE)),1,0)</f>
        <v>0</v>
      </c>
      <c r="BW135">
        <f>IF(AND(VLOOKUP(BW$1,main!$A$3:$H$102,7,FALSE)=main!$G$104,VLOOKUP(BW$1,main!$A$3:$H$102,5,FALSE)-VLOOKUP($A135,main!$A$3:$H$102,6,FALSE)&gt;=main!$D$103+VLOOKUP(VLOOKUP(BW$1,main!$A$3:$I$102,7,FALSE),main!$K$26:$Q$29,4,FALSE)),1,0)</f>
        <v>0</v>
      </c>
      <c r="BX135">
        <f>IF(AND(VLOOKUP(BX$1,main!$A$3:$H$102,7,FALSE)=main!$G$104,VLOOKUP(BX$1,main!$A$3:$H$102,5,FALSE)-VLOOKUP($A135,main!$A$3:$H$102,6,FALSE)&gt;=main!$D$103+VLOOKUP(VLOOKUP(BX$1,main!$A$3:$I$102,7,FALSE),main!$K$26:$Q$29,4,FALSE)),1,0)</f>
        <v>0</v>
      </c>
      <c r="BY135">
        <f>IF(AND(VLOOKUP(BY$1,main!$A$3:$H$102,7,FALSE)=main!$G$104,VLOOKUP(BY$1,main!$A$3:$H$102,5,FALSE)-VLOOKUP($A135,main!$A$3:$H$102,6,FALSE)&gt;=main!$D$103+VLOOKUP(VLOOKUP(BY$1,main!$A$3:$I$102,7,FALSE),main!$K$26:$Q$29,4,FALSE)),1,0)</f>
        <v>0</v>
      </c>
      <c r="BZ135">
        <f>IF(AND(VLOOKUP(BZ$1,main!$A$3:$H$102,7,FALSE)=main!$G$104,VLOOKUP(BZ$1,main!$A$3:$H$102,5,FALSE)-VLOOKUP($A135,main!$A$3:$H$102,6,FALSE)&gt;=main!$D$103+VLOOKUP(VLOOKUP(BZ$1,main!$A$3:$I$102,7,FALSE),main!$K$26:$Q$29,4,FALSE)),1,0)</f>
        <v>0</v>
      </c>
      <c r="CA135">
        <f>IF(AND(VLOOKUP(CA$1,main!$A$3:$H$102,7,FALSE)=main!$G$104,VLOOKUP(CA$1,main!$A$3:$H$102,5,FALSE)-VLOOKUP($A135,main!$A$3:$H$102,6,FALSE)&gt;=main!$D$103+VLOOKUP(VLOOKUP(CA$1,main!$A$3:$I$102,7,FALSE),main!$K$26:$Q$29,4,FALSE)),1,0)</f>
        <v>0</v>
      </c>
      <c r="CB135">
        <f>IF(AND(VLOOKUP(CB$1,main!$A$3:$H$102,7,FALSE)=main!$G$104,VLOOKUP(CB$1,main!$A$3:$H$102,5,FALSE)-VLOOKUP($A135,main!$A$3:$H$102,6,FALSE)&gt;=main!$D$103+VLOOKUP(VLOOKUP(CB$1,main!$A$3:$I$102,7,FALSE),main!$K$26:$Q$29,4,FALSE)),1,0)</f>
        <v>0</v>
      </c>
      <c r="CC135">
        <f>IF(AND(VLOOKUP(CC$1,main!$A$3:$H$102,7,FALSE)=main!$G$104,VLOOKUP(CC$1,main!$A$3:$H$102,5,FALSE)-VLOOKUP($A135,main!$A$3:$H$102,6,FALSE)&gt;=main!$D$103+VLOOKUP(VLOOKUP(CC$1,main!$A$3:$I$102,7,FALSE),main!$K$26:$Q$29,4,FALSE)),1,0)</f>
        <v>0</v>
      </c>
      <c r="CD135">
        <f>IF(AND(VLOOKUP(CD$1,main!$A$3:$H$102,7,FALSE)=main!$G$104,VLOOKUP(CD$1,main!$A$3:$H$102,5,FALSE)-VLOOKUP($A135,main!$A$3:$H$102,6,FALSE)&gt;=main!$D$103+VLOOKUP(VLOOKUP(CD$1,main!$A$3:$I$102,7,FALSE),main!$K$26:$Q$29,4,FALSE)),1,0)</f>
        <v>0</v>
      </c>
      <c r="CE135">
        <f>IF(AND(VLOOKUP(CE$1,main!$A$3:$H$102,7,FALSE)=main!$G$104,VLOOKUP(CE$1,main!$A$3:$H$102,5,FALSE)-VLOOKUP($A135,main!$A$3:$H$102,6,FALSE)&gt;=main!$D$103+VLOOKUP(VLOOKUP(CE$1,main!$A$3:$I$102,7,FALSE),main!$K$26:$Q$29,4,FALSE)),1,0)</f>
        <v>0</v>
      </c>
      <c r="CF135">
        <f>IF(AND(VLOOKUP(CF$1,main!$A$3:$H$102,7,FALSE)=main!$G$104,VLOOKUP(CF$1,main!$A$3:$H$102,5,FALSE)-VLOOKUP($A135,main!$A$3:$H$102,6,FALSE)&gt;=main!$D$103+VLOOKUP(VLOOKUP(CF$1,main!$A$3:$I$102,7,FALSE),main!$K$26:$Q$29,4,FALSE)),1,0)</f>
        <v>0</v>
      </c>
      <c r="CG135">
        <f>IF(AND(VLOOKUP(CG$1,main!$A$3:$H$102,7,FALSE)=main!$G$104,VLOOKUP(CG$1,main!$A$3:$H$102,5,FALSE)-VLOOKUP($A135,main!$A$3:$H$102,6,FALSE)&gt;=main!$D$103+VLOOKUP(VLOOKUP(CG$1,main!$A$3:$I$102,7,FALSE),main!$K$26:$Q$29,4,FALSE)),1,0)</f>
        <v>0</v>
      </c>
      <c r="CH135">
        <f>IF(AND(VLOOKUP(CH$1,main!$A$3:$H$102,7,FALSE)=main!$G$104,VLOOKUP(CH$1,main!$A$3:$H$102,5,FALSE)-VLOOKUP($A135,main!$A$3:$H$102,6,FALSE)&gt;=main!$D$103+VLOOKUP(VLOOKUP(CH$1,main!$A$3:$I$102,7,FALSE),main!$K$26:$Q$29,4,FALSE)),1,0)</f>
        <v>0</v>
      </c>
      <c r="CI135">
        <f>IF(AND(VLOOKUP(CI$1,main!$A$3:$H$102,7,FALSE)=main!$G$104,VLOOKUP(CI$1,main!$A$3:$H$102,5,FALSE)-VLOOKUP($A135,main!$A$3:$H$102,6,FALSE)&gt;=main!$D$103+VLOOKUP(VLOOKUP(CI$1,main!$A$3:$I$102,7,FALSE),main!$K$26:$Q$29,4,FALSE)),1,0)</f>
        <v>0</v>
      </c>
      <c r="CJ135">
        <f>IF(AND(VLOOKUP(CJ$1,main!$A$3:$H$102,7,FALSE)=main!$G$104,VLOOKUP(CJ$1,main!$A$3:$H$102,5,FALSE)-VLOOKUP($A135,main!$A$3:$H$102,6,FALSE)&gt;=main!$D$103+VLOOKUP(VLOOKUP(CJ$1,main!$A$3:$I$102,7,FALSE),main!$K$26:$Q$29,4,FALSE)),1,0)</f>
        <v>0</v>
      </c>
      <c r="CK135">
        <f>IF(AND(VLOOKUP(CK$1,main!$A$3:$H$102,7,FALSE)=main!$G$104,VLOOKUP(CK$1,main!$A$3:$H$102,5,FALSE)-VLOOKUP($A135,main!$A$3:$H$102,6,FALSE)&gt;=main!$D$103+VLOOKUP(VLOOKUP(CK$1,main!$A$3:$I$102,7,FALSE),main!$K$26:$Q$29,4,FALSE)),1,0)</f>
        <v>0</v>
      </c>
      <c r="CL135">
        <f>IF(AND(VLOOKUP(CL$1,main!$A$3:$H$102,7,FALSE)=main!$G$104,VLOOKUP(CL$1,main!$A$3:$H$102,5,FALSE)-VLOOKUP($A135,main!$A$3:$H$102,6,FALSE)&gt;=main!$D$103+VLOOKUP(VLOOKUP(CL$1,main!$A$3:$I$102,7,FALSE),main!$K$26:$Q$29,4,FALSE)),1,0)</f>
        <v>0</v>
      </c>
      <c r="CM135">
        <f>IF(AND(VLOOKUP(CM$1,main!$A$3:$H$102,7,FALSE)=main!$G$104,VLOOKUP(CM$1,main!$A$3:$H$102,5,FALSE)-VLOOKUP($A135,main!$A$3:$H$102,6,FALSE)&gt;=main!$D$103+VLOOKUP(VLOOKUP(CM$1,main!$A$3:$I$102,7,FALSE),main!$K$26:$Q$29,4,FALSE)),1,0)</f>
        <v>0</v>
      </c>
      <c r="CN135">
        <f>IF(AND(VLOOKUP(CN$1,main!$A$3:$H$102,7,FALSE)=main!$G$104,VLOOKUP(CN$1,main!$A$3:$H$102,5,FALSE)-VLOOKUP($A135,main!$A$3:$H$102,6,FALSE)&gt;=main!$D$103+VLOOKUP(VLOOKUP(CN$1,main!$A$3:$I$102,7,FALSE),main!$K$26:$Q$29,4,FALSE)),1,0)</f>
        <v>0</v>
      </c>
      <c r="CO135">
        <f>IF(AND(VLOOKUP(CO$1,main!$A$3:$H$102,7,FALSE)=main!$G$104,VLOOKUP(CO$1,main!$A$3:$H$102,5,FALSE)-VLOOKUP($A135,main!$A$3:$H$102,6,FALSE)&gt;=main!$D$103+VLOOKUP(VLOOKUP(CO$1,main!$A$3:$I$102,7,FALSE),main!$K$26:$Q$29,4,FALSE)),1,0)</f>
        <v>0</v>
      </c>
      <c r="CP135">
        <f>IF(AND(VLOOKUP(CP$1,main!$A$3:$H$102,7,FALSE)=main!$G$104,VLOOKUP(CP$1,main!$A$3:$H$102,5,FALSE)-VLOOKUP($A135,main!$A$3:$H$102,6,FALSE)&gt;=main!$D$103+VLOOKUP(VLOOKUP(CP$1,main!$A$3:$I$102,7,FALSE),main!$K$26:$Q$29,4,FALSE)),1,0)</f>
        <v>0</v>
      </c>
      <c r="CQ135">
        <f>IF(AND(VLOOKUP(CQ$1,main!$A$3:$H$102,7,FALSE)=main!$G$104,VLOOKUP(CQ$1,main!$A$3:$H$102,5,FALSE)-VLOOKUP($A135,main!$A$3:$H$102,6,FALSE)&gt;=main!$D$103+VLOOKUP(VLOOKUP(CQ$1,main!$A$3:$I$102,7,FALSE),main!$K$26:$Q$29,4,FALSE)),1,0)</f>
        <v>0</v>
      </c>
      <c r="CR135">
        <f>IF(AND(VLOOKUP(CR$1,main!$A$3:$H$102,7,FALSE)=main!$G$104,VLOOKUP(CR$1,main!$A$3:$H$102,5,FALSE)-VLOOKUP($A135,main!$A$3:$H$102,6,FALSE)&gt;=main!$D$103+VLOOKUP(VLOOKUP(CR$1,main!$A$3:$I$102,7,FALSE),main!$K$26:$Q$29,4,FALSE)),1,0)</f>
        <v>0</v>
      </c>
      <c r="CS135">
        <f>IF(AND(VLOOKUP(CS$1,main!$A$3:$H$102,7,FALSE)=main!$G$104,VLOOKUP(CS$1,main!$A$3:$H$102,5,FALSE)-VLOOKUP($A135,main!$A$3:$H$102,6,FALSE)&gt;=main!$D$103+VLOOKUP(VLOOKUP(CS$1,main!$A$3:$I$102,7,FALSE),main!$K$26:$Q$29,4,FALSE)),1,0)</f>
        <v>0</v>
      </c>
      <c r="CT135">
        <f>IF(AND(VLOOKUP(CT$1,main!$A$3:$H$102,7,FALSE)=main!$G$104,VLOOKUP(CT$1,main!$A$3:$H$102,5,FALSE)-VLOOKUP($A135,main!$A$3:$H$102,6,FALSE)&gt;=main!$D$103+VLOOKUP(VLOOKUP(CT$1,main!$A$3:$I$102,7,FALSE),main!$K$26:$Q$29,4,FALSE)),1,0)</f>
        <v>0</v>
      </c>
      <c r="CU135">
        <f>IF(AND(VLOOKUP(CU$1,main!$A$3:$H$102,7,FALSE)=main!$G$104,VLOOKUP(CU$1,main!$A$3:$H$102,5,FALSE)-VLOOKUP($A135,main!$A$3:$H$102,6,FALSE)&gt;=main!$D$103+VLOOKUP(VLOOKUP(CU$1,main!$A$3:$I$102,7,FALSE),main!$K$26:$Q$29,4,FALSE)),1,0)</f>
        <v>0</v>
      </c>
      <c r="CV135">
        <f>IF(AND(VLOOKUP(CV$1,main!$A$3:$H$102,7,FALSE)=main!$G$104,VLOOKUP(CV$1,main!$A$3:$H$102,5,FALSE)-VLOOKUP($A135,main!$A$3:$H$102,6,FALSE)&gt;=main!$D$103+VLOOKUP(VLOOKUP(CV$1,main!$A$3:$I$102,7,FALSE),main!$K$26:$Q$29,4,FALSE)),1,0)</f>
        <v>0</v>
      </c>
      <c r="CW135">
        <f>IF(AND(VLOOKUP(CW$1,main!$A$3:$H$102,7,FALSE)=main!$G$104,VLOOKUP(CW$1,main!$A$3:$H$102,5,FALSE)-VLOOKUP($A135,main!$A$3:$H$102,6,FALSE)&gt;=main!$D$103+VLOOKUP(VLOOKUP(CW$1,main!$A$3:$I$102,7,FALSE),main!$K$26:$Q$29,4,FALSE)),1,0)</f>
        <v>0</v>
      </c>
      <c r="CX135">
        <f>IF(AND(VLOOKUP(CX$1,main!$A$3:$H$102,7,FALSE)=main!$G$104,VLOOKUP(CX$1,main!$A$3:$H$102,5,FALSE)-VLOOKUP($A135,main!$A$3:$H$102,6,FALSE)&gt;=main!$D$103+VLOOKUP(VLOOKUP(CX$1,main!$A$3:$I$102,7,FALSE),main!$K$26:$Q$29,4,FALSE)),1,0)</f>
        <v>0</v>
      </c>
      <c r="DB135" t="str">
        <f>main!$G$104</f>
        <v>Terminal A</v>
      </c>
    </row>
    <row r="136" spans="1:109" x14ac:dyDescent="0.25">
      <c r="A136" s="1">
        <v>33</v>
      </c>
      <c r="B136">
        <v>0</v>
      </c>
      <c r="C136">
        <f>IF(AND(VLOOKUP(C$1,main!$A$3:$H$102,7,FALSE)=main!$G$104,VLOOKUP(C$1,main!$A$3:$H$102,5,FALSE)-VLOOKUP($A136,main!$A$3:$H$102,6,FALSE)&gt;=main!$D$103+VLOOKUP(VLOOKUP(C$1,main!$A$3:$I$102,7,FALSE),main!$K$26:$Q$29,4,FALSE)),1,0)</f>
        <v>0</v>
      </c>
      <c r="D136">
        <f>IF(AND(VLOOKUP(D$1,main!$A$3:$H$102,7,FALSE)=main!$G$104,VLOOKUP(D$1,main!$A$3:$H$102,5,FALSE)-VLOOKUP($A136,main!$A$3:$H$102,6,FALSE)&gt;=main!$D$103+VLOOKUP(VLOOKUP(D$1,main!$A$3:$I$102,7,FALSE),main!$K$26:$Q$29,4,FALSE)),1,0)</f>
        <v>0</v>
      </c>
      <c r="E136">
        <f>IF(AND(VLOOKUP(E$1,main!$A$3:$H$102,7,FALSE)=main!$G$104,VLOOKUP(E$1,main!$A$3:$H$102,5,FALSE)-VLOOKUP($A136,main!$A$3:$H$102,6,FALSE)&gt;=main!$D$103+VLOOKUP(VLOOKUP(E$1,main!$A$3:$I$102,7,FALSE),main!$K$26:$Q$29,4,FALSE)),1,0)</f>
        <v>0</v>
      </c>
      <c r="F136">
        <f>IF(AND(VLOOKUP(F$1,main!$A$3:$H$102,7,FALSE)=main!$G$104,VLOOKUP(F$1,main!$A$3:$H$102,5,FALSE)-VLOOKUP($A136,main!$A$3:$H$102,6,FALSE)&gt;=main!$D$103+VLOOKUP(VLOOKUP(F$1,main!$A$3:$I$102,7,FALSE),main!$K$26:$Q$29,4,FALSE)),1,0)</f>
        <v>0</v>
      </c>
      <c r="G136">
        <f>IF(AND(VLOOKUP(G$1,main!$A$3:$H$102,7,FALSE)=main!$G$104,VLOOKUP(G$1,main!$A$3:$H$102,5,FALSE)-VLOOKUP($A136,main!$A$3:$H$102,6,FALSE)&gt;=main!$D$103+VLOOKUP(VLOOKUP(G$1,main!$A$3:$I$102,7,FALSE),main!$K$26:$Q$29,4,FALSE)),1,0)</f>
        <v>0</v>
      </c>
      <c r="H136">
        <f>IF(AND(VLOOKUP(H$1,main!$A$3:$H$102,7,FALSE)=main!$G$104,VLOOKUP(H$1,main!$A$3:$H$102,5,FALSE)-VLOOKUP($A136,main!$A$3:$H$102,6,FALSE)&gt;=main!$D$103+VLOOKUP(VLOOKUP(H$1,main!$A$3:$I$102,7,FALSE),main!$K$26:$Q$29,4,FALSE)),1,0)</f>
        <v>1</v>
      </c>
      <c r="I136">
        <f>IF(AND(VLOOKUP(I$1,main!$A$3:$H$102,7,FALSE)=main!$G$104,VLOOKUP(I$1,main!$A$3:$H$102,5,FALSE)-VLOOKUP($A136,main!$A$3:$H$102,6,FALSE)&gt;=main!$D$103+VLOOKUP(VLOOKUP(I$1,main!$A$3:$I$102,7,FALSE),main!$K$26:$Q$29,4,FALSE)),1,0)</f>
        <v>1</v>
      </c>
      <c r="J136">
        <f>IF(AND(VLOOKUP(J$1,main!$A$3:$H$102,7,FALSE)=main!$G$104,VLOOKUP(J$1,main!$A$3:$H$102,5,FALSE)-VLOOKUP($A136,main!$A$3:$H$102,6,FALSE)&gt;=main!$D$103+VLOOKUP(VLOOKUP(J$1,main!$A$3:$I$102,7,FALSE),main!$K$26:$Q$29,4,FALSE)),1,0)</f>
        <v>1</v>
      </c>
      <c r="K136">
        <f>IF(AND(VLOOKUP(K$1,main!$A$3:$H$102,7,FALSE)=main!$G$104,VLOOKUP(K$1,main!$A$3:$H$102,5,FALSE)-VLOOKUP($A136,main!$A$3:$H$102,6,FALSE)&gt;=main!$D$103+VLOOKUP(VLOOKUP(K$1,main!$A$3:$I$102,7,FALSE),main!$K$26:$Q$29,4,FALSE)),1,0)</f>
        <v>1</v>
      </c>
      <c r="L136">
        <f>IF(AND(VLOOKUP(L$1,main!$A$3:$H$102,7,FALSE)=main!$G$104,VLOOKUP(L$1,main!$A$3:$H$102,5,FALSE)-VLOOKUP($A136,main!$A$3:$H$102,6,FALSE)&gt;=main!$D$103+VLOOKUP(VLOOKUP(L$1,main!$A$3:$I$102,7,FALSE),main!$K$26:$Q$29,4,FALSE)),1,0)</f>
        <v>1</v>
      </c>
      <c r="M136">
        <f>IF(AND(VLOOKUP(M$1,main!$A$3:$H$102,7,FALSE)=main!$G$104,VLOOKUP(M$1,main!$A$3:$H$102,5,FALSE)-VLOOKUP($A136,main!$A$3:$H$102,6,FALSE)&gt;=main!$D$103+VLOOKUP(VLOOKUP(M$1,main!$A$3:$I$102,7,FALSE),main!$K$26:$Q$29,4,FALSE)),1,0)</f>
        <v>0</v>
      </c>
      <c r="N136">
        <f>IF(AND(VLOOKUP(N$1,main!$A$3:$H$102,7,FALSE)=main!$G$104,VLOOKUP(N$1,main!$A$3:$H$102,5,FALSE)-VLOOKUP($A136,main!$A$3:$H$102,6,FALSE)&gt;=main!$D$103+VLOOKUP(VLOOKUP(N$1,main!$A$3:$I$102,7,FALSE),main!$K$26:$Q$29,4,FALSE)),1,0)</f>
        <v>0</v>
      </c>
      <c r="O136">
        <f>IF(AND(VLOOKUP(O$1,main!$A$3:$H$102,7,FALSE)=main!$G$104,VLOOKUP(O$1,main!$A$3:$H$102,5,FALSE)-VLOOKUP($A136,main!$A$3:$H$102,6,FALSE)&gt;=main!$D$103+VLOOKUP(VLOOKUP(O$1,main!$A$3:$I$102,7,FALSE),main!$K$26:$Q$29,4,FALSE)),1,0)</f>
        <v>0</v>
      </c>
      <c r="P136">
        <f>IF(AND(VLOOKUP(P$1,main!$A$3:$H$102,7,FALSE)=main!$G$104,VLOOKUP(P$1,main!$A$3:$H$102,5,FALSE)-VLOOKUP($A136,main!$A$3:$H$102,6,FALSE)&gt;=main!$D$103+VLOOKUP(VLOOKUP(P$1,main!$A$3:$I$102,7,FALSE),main!$K$26:$Q$29,4,FALSE)),1,0)</f>
        <v>0</v>
      </c>
      <c r="Q136">
        <f>IF(AND(VLOOKUP(Q$1,main!$A$3:$H$102,7,FALSE)=main!$G$104,VLOOKUP(Q$1,main!$A$3:$H$102,5,FALSE)-VLOOKUP($A136,main!$A$3:$H$102,6,FALSE)&gt;=main!$D$103+VLOOKUP(VLOOKUP(Q$1,main!$A$3:$I$102,7,FALSE),main!$K$26:$Q$29,4,FALSE)),1,0)</f>
        <v>0</v>
      </c>
      <c r="R136">
        <f>IF(AND(VLOOKUP(R$1,main!$A$3:$H$102,7,FALSE)=main!$G$104,VLOOKUP(R$1,main!$A$3:$H$102,5,FALSE)-VLOOKUP($A136,main!$A$3:$H$102,6,FALSE)&gt;=main!$D$103+VLOOKUP(VLOOKUP(R$1,main!$A$3:$I$102,7,FALSE),main!$K$26:$Q$29,4,FALSE)),1,0)</f>
        <v>0</v>
      </c>
      <c r="S136">
        <f>IF(AND(VLOOKUP(S$1,main!$A$3:$H$102,7,FALSE)=main!$G$104,VLOOKUP(S$1,main!$A$3:$H$102,5,FALSE)-VLOOKUP($A136,main!$A$3:$H$102,6,FALSE)&gt;=main!$D$103+VLOOKUP(VLOOKUP(S$1,main!$A$3:$I$102,7,FALSE),main!$K$26:$Q$29,4,FALSE)),1,0)</f>
        <v>1</v>
      </c>
      <c r="T136">
        <f>IF(AND(VLOOKUP(T$1,main!$A$3:$H$102,7,FALSE)=main!$G$104,VLOOKUP(T$1,main!$A$3:$H$102,5,FALSE)-VLOOKUP($A136,main!$A$3:$H$102,6,FALSE)&gt;=main!$D$103+VLOOKUP(VLOOKUP(T$1,main!$A$3:$I$102,7,FALSE),main!$K$26:$Q$29,4,FALSE)),1,0)</f>
        <v>1</v>
      </c>
      <c r="U136">
        <f>IF(AND(VLOOKUP(U$1,main!$A$3:$H$102,7,FALSE)=main!$G$104,VLOOKUP(U$1,main!$A$3:$H$102,5,FALSE)-VLOOKUP($A136,main!$A$3:$H$102,6,FALSE)&gt;=main!$D$103+VLOOKUP(VLOOKUP(U$1,main!$A$3:$I$102,7,FALSE),main!$K$26:$Q$29,4,FALSE)),1,0)</f>
        <v>1</v>
      </c>
      <c r="V136">
        <f>IF(AND(VLOOKUP(V$1,main!$A$3:$H$102,7,FALSE)=main!$G$104,VLOOKUP(V$1,main!$A$3:$H$102,5,FALSE)-VLOOKUP($A136,main!$A$3:$H$102,6,FALSE)&gt;=main!$D$103+VLOOKUP(VLOOKUP(V$1,main!$A$3:$I$102,7,FALSE),main!$K$26:$Q$29,4,FALSE)),1,0)</f>
        <v>1</v>
      </c>
      <c r="W136">
        <f>IF(AND(VLOOKUP(W$1,main!$A$3:$H$102,7,FALSE)=main!$G$104,VLOOKUP(W$1,main!$A$3:$H$102,5,FALSE)-VLOOKUP($A136,main!$A$3:$H$102,6,FALSE)&gt;=main!$D$103+VLOOKUP(VLOOKUP(W$1,main!$A$3:$I$102,7,FALSE),main!$K$26:$Q$29,4,FALSE)),1,0)</f>
        <v>0</v>
      </c>
      <c r="X136">
        <f>IF(AND(VLOOKUP(X$1,main!$A$3:$H$102,7,FALSE)=main!$G$104,VLOOKUP(X$1,main!$A$3:$H$102,5,FALSE)-VLOOKUP($A136,main!$A$3:$H$102,6,FALSE)&gt;=main!$D$103+VLOOKUP(VLOOKUP(X$1,main!$A$3:$I$102,7,FALSE),main!$K$26:$Q$29,4,FALSE)),1,0)</f>
        <v>0</v>
      </c>
      <c r="Y136">
        <f>IF(AND(VLOOKUP(Y$1,main!$A$3:$H$102,7,FALSE)=main!$G$104,VLOOKUP(Y$1,main!$A$3:$H$102,5,FALSE)-VLOOKUP($A136,main!$A$3:$H$102,6,FALSE)&gt;=main!$D$103+VLOOKUP(VLOOKUP(Y$1,main!$A$3:$I$102,7,FALSE),main!$K$26:$Q$29,4,FALSE)),1,0)</f>
        <v>0</v>
      </c>
      <c r="Z136">
        <f>IF(AND(VLOOKUP(Z$1,main!$A$3:$H$102,7,FALSE)=main!$G$104,VLOOKUP(Z$1,main!$A$3:$H$102,5,FALSE)-VLOOKUP($A136,main!$A$3:$H$102,6,FALSE)&gt;=main!$D$103+VLOOKUP(VLOOKUP(Z$1,main!$A$3:$I$102,7,FALSE),main!$K$26:$Q$29,4,FALSE)),1,0)</f>
        <v>1</v>
      </c>
      <c r="AA136">
        <f>IF(AND(VLOOKUP(AA$1,main!$A$3:$H$102,7,FALSE)=main!$G$104,VLOOKUP(AA$1,main!$A$3:$H$102,5,FALSE)-VLOOKUP($A136,main!$A$3:$H$102,6,FALSE)&gt;=main!$D$103+VLOOKUP(VLOOKUP(AA$1,main!$A$3:$I$102,7,FALSE),main!$K$26:$Q$29,4,FALSE)),1,0)</f>
        <v>1</v>
      </c>
      <c r="AB136">
        <f>IF(AND(VLOOKUP(AB$1,main!$A$3:$H$102,7,FALSE)=main!$G$104,VLOOKUP(AB$1,main!$A$3:$H$102,5,FALSE)-VLOOKUP($A136,main!$A$3:$H$102,6,FALSE)&gt;=main!$D$103+VLOOKUP(VLOOKUP(AB$1,main!$A$3:$I$102,7,FALSE),main!$K$26:$Q$29,4,FALSE)),1,0)</f>
        <v>0</v>
      </c>
      <c r="AC136">
        <f>IF(AND(VLOOKUP(AC$1,main!$A$3:$H$102,7,FALSE)=main!$G$104,VLOOKUP(AC$1,main!$A$3:$H$102,5,FALSE)-VLOOKUP($A136,main!$A$3:$H$102,6,FALSE)&gt;=main!$D$103+VLOOKUP(VLOOKUP(AC$1,main!$A$3:$I$102,7,FALSE),main!$K$26:$Q$29,4,FALSE)),1,0)</f>
        <v>0</v>
      </c>
      <c r="AD136">
        <f>IF(AND(VLOOKUP(AD$1,main!$A$3:$H$102,7,FALSE)=main!$G$104,VLOOKUP(AD$1,main!$A$3:$H$102,5,FALSE)-VLOOKUP($A136,main!$A$3:$H$102,6,FALSE)&gt;=main!$D$103+VLOOKUP(VLOOKUP(AD$1,main!$A$3:$I$102,7,FALSE),main!$K$26:$Q$29,4,FALSE)),1,0)</f>
        <v>0</v>
      </c>
      <c r="AE136">
        <f>IF(AND(VLOOKUP(AE$1,main!$A$3:$H$102,7,FALSE)=main!$G$104,VLOOKUP(AE$1,main!$A$3:$H$102,5,FALSE)-VLOOKUP($A136,main!$A$3:$H$102,6,FALSE)&gt;=main!$D$103+VLOOKUP(VLOOKUP(AE$1,main!$A$3:$I$102,7,FALSE),main!$K$26:$Q$29,4,FALSE)),1,0)</f>
        <v>1</v>
      </c>
      <c r="AF136">
        <f>IF(AND(VLOOKUP(AF$1,main!$A$3:$H$102,7,FALSE)=main!$G$104,VLOOKUP(AF$1,main!$A$3:$H$102,5,FALSE)-VLOOKUP($A136,main!$A$3:$H$102,6,FALSE)&gt;=main!$D$103+VLOOKUP(VLOOKUP(AF$1,main!$A$3:$I$102,7,FALSE),main!$K$26:$Q$29,4,FALSE)),1,0)</f>
        <v>1</v>
      </c>
      <c r="AG136">
        <f>IF(AND(VLOOKUP(AG$1,main!$A$3:$H$102,7,FALSE)=main!$G$104,VLOOKUP(AG$1,main!$A$3:$H$102,5,FALSE)-VLOOKUP($A136,main!$A$3:$H$102,6,FALSE)&gt;=main!$D$103+VLOOKUP(VLOOKUP(AG$1,main!$A$3:$I$102,7,FALSE),main!$K$26:$Q$29,4,FALSE)),1,0)</f>
        <v>0</v>
      </c>
      <c r="AH136">
        <f>IF(AND(VLOOKUP(AH$1,main!$A$3:$H$102,7,FALSE)=main!$G$104,VLOOKUP(AH$1,main!$A$3:$H$102,5,FALSE)-VLOOKUP($A136,main!$A$3:$H$102,6,FALSE)&gt;=main!$D$103+VLOOKUP(VLOOKUP(AH$1,main!$A$3:$I$102,7,FALSE),main!$K$26:$Q$29,4,FALSE)),1,0)</f>
        <v>0</v>
      </c>
      <c r="AI136">
        <f>IF(AND(VLOOKUP(AI$1,main!$A$3:$H$102,7,FALSE)=main!$G$104,VLOOKUP(AI$1,main!$A$3:$H$102,5,FALSE)-VLOOKUP($A136,main!$A$3:$H$102,6,FALSE)&gt;=main!$D$103+VLOOKUP(VLOOKUP(AI$1,main!$A$3:$I$102,7,FALSE),main!$K$26:$Q$29,4,FALSE)),1,0)</f>
        <v>0</v>
      </c>
      <c r="AJ136">
        <f>IF(AND(VLOOKUP(AJ$1,main!$A$3:$H$102,7,FALSE)=main!$G$104,VLOOKUP(AJ$1,main!$A$3:$H$102,5,FALSE)-VLOOKUP($A136,main!$A$3:$H$102,6,FALSE)&gt;=main!$D$103+VLOOKUP(VLOOKUP(AJ$1,main!$A$3:$I$102,7,FALSE),main!$K$26:$Q$29,4,FALSE)),1,0)</f>
        <v>0</v>
      </c>
      <c r="AK136">
        <f>IF(AND(VLOOKUP(AK$1,main!$A$3:$H$102,7,FALSE)=main!$G$104,VLOOKUP(AK$1,main!$A$3:$H$102,5,FALSE)-VLOOKUP($A136,main!$A$3:$H$102,6,FALSE)&gt;=main!$D$103+VLOOKUP(VLOOKUP(AK$1,main!$A$3:$I$102,7,FALSE),main!$K$26:$Q$29,4,FALSE)),1,0)</f>
        <v>0</v>
      </c>
      <c r="AL136">
        <f>IF(AND(VLOOKUP(AL$1,main!$A$3:$H$102,7,FALSE)=main!$G$104,VLOOKUP(AL$1,main!$A$3:$H$102,5,FALSE)-VLOOKUP($A136,main!$A$3:$H$102,6,FALSE)&gt;=main!$D$103+VLOOKUP(VLOOKUP(AL$1,main!$A$3:$I$102,7,FALSE),main!$K$26:$Q$29,4,FALSE)),1,0)</f>
        <v>0</v>
      </c>
      <c r="AM136">
        <f>IF(AND(VLOOKUP(AM$1,main!$A$3:$H$102,7,FALSE)=main!$G$104,VLOOKUP(AM$1,main!$A$3:$H$102,5,FALSE)-VLOOKUP($A136,main!$A$3:$H$102,6,FALSE)&gt;=main!$D$103+VLOOKUP(VLOOKUP(AM$1,main!$A$3:$I$102,7,FALSE),main!$K$26:$Q$29,4,FALSE)),1,0)</f>
        <v>0</v>
      </c>
      <c r="AN136">
        <f>IF(AND(VLOOKUP(AN$1,main!$A$3:$H$102,7,FALSE)=main!$G$104,VLOOKUP(AN$1,main!$A$3:$H$102,5,FALSE)-VLOOKUP($A136,main!$A$3:$H$102,6,FALSE)&gt;=main!$D$103+VLOOKUP(VLOOKUP(AN$1,main!$A$3:$I$102,7,FALSE),main!$K$26:$Q$29,4,FALSE)),1,0)</f>
        <v>0</v>
      </c>
      <c r="AO136">
        <f>IF(AND(VLOOKUP(AO$1,main!$A$3:$H$102,7,FALSE)=main!$G$104,VLOOKUP(AO$1,main!$A$3:$H$102,5,FALSE)-VLOOKUP($A136,main!$A$3:$H$102,6,FALSE)&gt;=main!$D$103+VLOOKUP(VLOOKUP(AO$1,main!$A$3:$I$102,7,FALSE),main!$K$26:$Q$29,4,FALSE)),1,0)</f>
        <v>0</v>
      </c>
      <c r="AP136">
        <f>IF(AND(VLOOKUP(AP$1,main!$A$3:$H$102,7,FALSE)=main!$G$104,VLOOKUP(AP$1,main!$A$3:$H$102,5,FALSE)-VLOOKUP($A136,main!$A$3:$H$102,6,FALSE)&gt;=main!$D$103+VLOOKUP(VLOOKUP(AP$1,main!$A$3:$I$102,7,FALSE),main!$K$26:$Q$29,4,FALSE)),1,0)</f>
        <v>0</v>
      </c>
      <c r="AQ136">
        <f>IF(AND(VLOOKUP(AQ$1,main!$A$3:$H$102,7,FALSE)=main!$G$104,VLOOKUP(AQ$1,main!$A$3:$H$102,5,FALSE)-VLOOKUP($A136,main!$A$3:$H$102,6,FALSE)&gt;=main!$D$103+VLOOKUP(VLOOKUP(AQ$1,main!$A$3:$I$102,7,FALSE),main!$K$26:$Q$29,4,FALSE)),1,0)</f>
        <v>0</v>
      </c>
      <c r="AR136">
        <f>IF(AND(VLOOKUP(AR$1,main!$A$3:$H$102,7,FALSE)=main!$G$104,VLOOKUP(AR$1,main!$A$3:$H$102,5,FALSE)-VLOOKUP($A136,main!$A$3:$H$102,6,FALSE)&gt;=main!$D$103+VLOOKUP(VLOOKUP(AR$1,main!$A$3:$I$102,7,FALSE),main!$K$26:$Q$29,4,FALSE)),1,0)</f>
        <v>0</v>
      </c>
      <c r="AS136">
        <f>IF(AND(VLOOKUP(AS$1,main!$A$3:$H$102,7,FALSE)=main!$G$104,VLOOKUP(AS$1,main!$A$3:$H$102,5,FALSE)-VLOOKUP($A136,main!$A$3:$H$102,6,FALSE)&gt;=main!$D$103+VLOOKUP(VLOOKUP(AS$1,main!$A$3:$I$102,7,FALSE),main!$K$26:$Q$29,4,FALSE)),1,0)</f>
        <v>0</v>
      </c>
      <c r="AT136">
        <f>IF(AND(VLOOKUP(AT$1,main!$A$3:$H$102,7,FALSE)=main!$G$104,VLOOKUP(AT$1,main!$A$3:$H$102,5,FALSE)-VLOOKUP($A136,main!$A$3:$H$102,6,FALSE)&gt;=main!$D$103+VLOOKUP(VLOOKUP(AT$1,main!$A$3:$I$102,7,FALSE),main!$K$26:$Q$29,4,FALSE)),1,0)</f>
        <v>0</v>
      </c>
      <c r="AU136">
        <f>IF(AND(VLOOKUP(AU$1,main!$A$3:$H$102,7,FALSE)=main!$G$104,VLOOKUP(AU$1,main!$A$3:$H$102,5,FALSE)-VLOOKUP($A136,main!$A$3:$H$102,6,FALSE)&gt;=main!$D$103+VLOOKUP(VLOOKUP(AU$1,main!$A$3:$I$102,7,FALSE),main!$K$26:$Q$29,4,FALSE)),1,0)</f>
        <v>0</v>
      </c>
      <c r="AV136">
        <f>IF(AND(VLOOKUP(AV$1,main!$A$3:$H$102,7,FALSE)=main!$G$104,VLOOKUP(AV$1,main!$A$3:$H$102,5,FALSE)-VLOOKUP($A136,main!$A$3:$H$102,6,FALSE)&gt;=main!$D$103+VLOOKUP(VLOOKUP(AV$1,main!$A$3:$I$102,7,FALSE),main!$K$26:$Q$29,4,FALSE)),1,0)</f>
        <v>0</v>
      </c>
      <c r="AW136">
        <f>IF(AND(VLOOKUP(AW$1,main!$A$3:$H$102,7,FALSE)=main!$G$104,VLOOKUP(AW$1,main!$A$3:$H$102,5,FALSE)-VLOOKUP($A136,main!$A$3:$H$102,6,FALSE)&gt;=main!$D$103+VLOOKUP(VLOOKUP(AW$1,main!$A$3:$I$102,7,FALSE),main!$K$26:$Q$29,4,FALSE)),1,0)</f>
        <v>0</v>
      </c>
      <c r="AX136">
        <f>IF(AND(VLOOKUP(AX$1,main!$A$3:$H$102,7,FALSE)=main!$G$104,VLOOKUP(AX$1,main!$A$3:$H$102,5,FALSE)-VLOOKUP($A136,main!$A$3:$H$102,6,FALSE)&gt;=main!$D$103+VLOOKUP(VLOOKUP(AX$1,main!$A$3:$I$102,7,FALSE),main!$K$26:$Q$29,4,FALSE)),1,0)</f>
        <v>0</v>
      </c>
      <c r="AY136">
        <f>IF(AND(VLOOKUP(AY$1,main!$A$3:$H$102,7,FALSE)=main!$G$104,VLOOKUP(AY$1,main!$A$3:$H$102,5,FALSE)-VLOOKUP($A136,main!$A$3:$H$102,6,FALSE)&gt;=main!$D$103+VLOOKUP(VLOOKUP(AY$1,main!$A$3:$I$102,7,FALSE),main!$K$26:$Q$29,4,FALSE)),1,0)</f>
        <v>0</v>
      </c>
      <c r="AZ136">
        <f>IF(AND(VLOOKUP(AZ$1,main!$A$3:$H$102,7,FALSE)=main!$G$104,VLOOKUP(AZ$1,main!$A$3:$H$102,5,FALSE)-VLOOKUP($A136,main!$A$3:$H$102,6,FALSE)&gt;=main!$D$103+VLOOKUP(VLOOKUP(AZ$1,main!$A$3:$I$102,7,FALSE),main!$K$26:$Q$29,4,FALSE)),1,0)</f>
        <v>0</v>
      </c>
      <c r="BA136">
        <f>IF(AND(VLOOKUP(BA$1,main!$A$3:$H$102,7,FALSE)=main!$G$104,VLOOKUP(BA$1,main!$A$3:$H$102,5,FALSE)-VLOOKUP($A136,main!$A$3:$H$102,6,FALSE)&gt;=main!$D$103+VLOOKUP(VLOOKUP(BA$1,main!$A$3:$I$102,7,FALSE),main!$K$26:$Q$29,4,FALSE)),1,0)</f>
        <v>0</v>
      </c>
      <c r="BB136">
        <f>IF(AND(VLOOKUP(BB$1,main!$A$3:$H$102,7,FALSE)=main!$G$104,VLOOKUP(BB$1,main!$A$3:$H$102,5,FALSE)-VLOOKUP($A136,main!$A$3:$H$102,6,FALSE)&gt;=main!$D$103+VLOOKUP(VLOOKUP(BB$1,main!$A$3:$I$102,7,FALSE),main!$K$26:$Q$29,4,FALSE)),1,0)</f>
        <v>0</v>
      </c>
      <c r="BC136">
        <f>IF(AND(VLOOKUP(BC$1,main!$A$3:$H$102,7,FALSE)=main!$G$104,VLOOKUP(BC$1,main!$A$3:$H$102,5,FALSE)-VLOOKUP($A136,main!$A$3:$H$102,6,FALSE)&gt;=main!$D$103+VLOOKUP(VLOOKUP(BC$1,main!$A$3:$I$102,7,FALSE),main!$K$26:$Q$29,4,FALSE)),1,0)</f>
        <v>0</v>
      </c>
      <c r="BD136">
        <f>IF(AND(VLOOKUP(BD$1,main!$A$3:$H$102,7,FALSE)=main!$G$104,VLOOKUP(BD$1,main!$A$3:$H$102,5,FALSE)-VLOOKUP($A136,main!$A$3:$H$102,6,FALSE)&gt;=main!$D$103+VLOOKUP(VLOOKUP(BD$1,main!$A$3:$I$102,7,FALSE),main!$K$26:$Q$29,4,FALSE)),1,0)</f>
        <v>0</v>
      </c>
      <c r="BE136">
        <f>IF(AND(VLOOKUP(BE$1,main!$A$3:$H$102,7,FALSE)=main!$G$104,VLOOKUP(BE$1,main!$A$3:$H$102,5,FALSE)-VLOOKUP($A136,main!$A$3:$H$102,6,FALSE)&gt;=main!$D$103+VLOOKUP(VLOOKUP(BE$1,main!$A$3:$I$102,7,FALSE),main!$K$26:$Q$29,4,FALSE)),1,0)</f>
        <v>0</v>
      </c>
      <c r="BF136">
        <f>IF(AND(VLOOKUP(BF$1,main!$A$3:$H$102,7,FALSE)=main!$G$104,VLOOKUP(BF$1,main!$A$3:$H$102,5,FALSE)-VLOOKUP($A136,main!$A$3:$H$102,6,FALSE)&gt;=main!$D$103+VLOOKUP(VLOOKUP(BF$1,main!$A$3:$I$102,7,FALSE),main!$K$26:$Q$29,4,FALSE)),1,0)</f>
        <v>0</v>
      </c>
      <c r="BG136">
        <f>IF(AND(VLOOKUP(BG$1,main!$A$3:$H$102,7,FALSE)=main!$G$104,VLOOKUP(BG$1,main!$A$3:$H$102,5,FALSE)-VLOOKUP($A136,main!$A$3:$H$102,6,FALSE)&gt;=main!$D$103+VLOOKUP(VLOOKUP(BG$1,main!$A$3:$I$102,7,FALSE),main!$K$26:$Q$29,4,FALSE)),1,0)</f>
        <v>0</v>
      </c>
      <c r="BH136">
        <f>IF(AND(VLOOKUP(BH$1,main!$A$3:$H$102,7,FALSE)=main!$G$104,VLOOKUP(BH$1,main!$A$3:$H$102,5,FALSE)-VLOOKUP($A136,main!$A$3:$H$102,6,FALSE)&gt;=main!$D$103+VLOOKUP(VLOOKUP(BH$1,main!$A$3:$I$102,7,FALSE),main!$K$26:$Q$29,4,FALSE)),1,0)</f>
        <v>0</v>
      </c>
      <c r="BI136">
        <f>IF(AND(VLOOKUP(BI$1,main!$A$3:$H$102,7,FALSE)=main!$G$104,VLOOKUP(BI$1,main!$A$3:$H$102,5,FALSE)-VLOOKUP($A136,main!$A$3:$H$102,6,FALSE)&gt;=main!$D$103+VLOOKUP(VLOOKUP(BI$1,main!$A$3:$I$102,7,FALSE),main!$K$26:$Q$29,4,FALSE)),1,0)</f>
        <v>0</v>
      </c>
      <c r="BJ136">
        <f>IF(AND(VLOOKUP(BJ$1,main!$A$3:$H$102,7,FALSE)=main!$G$104,VLOOKUP(BJ$1,main!$A$3:$H$102,5,FALSE)-VLOOKUP($A136,main!$A$3:$H$102,6,FALSE)&gt;=main!$D$103+VLOOKUP(VLOOKUP(BJ$1,main!$A$3:$I$102,7,FALSE),main!$K$26:$Q$29,4,FALSE)),1,0)</f>
        <v>0</v>
      </c>
      <c r="BK136">
        <f>IF(AND(VLOOKUP(BK$1,main!$A$3:$H$102,7,FALSE)=main!$G$104,VLOOKUP(BK$1,main!$A$3:$H$102,5,FALSE)-VLOOKUP($A136,main!$A$3:$H$102,6,FALSE)&gt;=main!$D$103+VLOOKUP(VLOOKUP(BK$1,main!$A$3:$I$102,7,FALSE),main!$K$26:$Q$29,4,FALSE)),1,0)</f>
        <v>0</v>
      </c>
      <c r="BL136">
        <f>IF(AND(VLOOKUP(BL$1,main!$A$3:$H$102,7,FALSE)=main!$G$104,VLOOKUP(BL$1,main!$A$3:$H$102,5,FALSE)-VLOOKUP($A136,main!$A$3:$H$102,6,FALSE)&gt;=main!$D$103+VLOOKUP(VLOOKUP(BL$1,main!$A$3:$I$102,7,FALSE),main!$K$26:$Q$29,4,FALSE)),1,0)</f>
        <v>0</v>
      </c>
      <c r="BM136">
        <f>IF(AND(VLOOKUP(BM$1,main!$A$3:$H$102,7,FALSE)=main!$G$104,VLOOKUP(BM$1,main!$A$3:$H$102,5,FALSE)-VLOOKUP($A136,main!$A$3:$H$102,6,FALSE)&gt;=main!$D$103+VLOOKUP(VLOOKUP(BM$1,main!$A$3:$I$102,7,FALSE),main!$K$26:$Q$29,4,FALSE)),1,0)</f>
        <v>0</v>
      </c>
      <c r="BN136">
        <f>IF(AND(VLOOKUP(BN$1,main!$A$3:$H$102,7,FALSE)=main!$G$104,VLOOKUP(BN$1,main!$A$3:$H$102,5,FALSE)-VLOOKUP($A136,main!$A$3:$H$102,6,FALSE)&gt;=main!$D$103+VLOOKUP(VLOOKUP(BN$1,main!$A$3:$I$102,7,FALSE),main!$K$26:$Q$29,4,FALSE)),1,0)</f>
        <v>0</v>
      </c>
      <c r="BO136">
        <f>IF(AND(VLOOKUP(BO$1,main!$A$3:$H$102,7,FALSE)=main!$G$104,VLOOKUP(BO$1,main!$A$3:$H$102,5,FALSE)-VLOOKUP($A136,main!$A$3:$H$102,6,FALSE)&gt;=main!$D$103+VLOOKUP(VLOOKUP(BO$1,main!$A$3:$I$102,7,FALSE),main!$K$26:$Q$29,4,FALSE)),1,0)</f>
        <v>0</v>
      </c>
      <c r="BP136">
        <f>IF(AND(VLOOKUP(BP$1,main!$A$3:$H$102,7,FALSE)=main!$G$104,VLOOKUP(BP$1,main!$A$3:$H$102,5,FALSE)-VLOOKUP($A136,main!$A$3:$H$102,6,FALSE)&gt;=main!$D$103+VLOOKUP(VLOOKUP(BP$1,main!$A$3:$I$102,7,FALSE),main!$K$26:$Q$29,4,FALSE)),1,0)</f>
        <v>0</v>
      </c>
      <c r="BQ136">
        <f>IF(AND(VLOOKUP(BQ$1,main!$A$3:$H$102,7,FALSE)=main!$G$104,VLOOKUP(BQ$1,main!$A$3:$H$102,5,FALSE)-VLOOKUP($A136,main!$A$3:$H$102,6,FALSE)&gt;=main!$D$103+VLOOKUP(VLOOKUP(BQ$1,main!$A$3:$I$102,7,FALSE),main!$K$26:$Q$29,4,FALSE)),1,0)</f>
        <v>0</v>
      </c>
      <c r="BR136">
        <f>IF(AND(VLOOKUP(BR$1,main!$A$3:$H$102,7,FALSE)=main!$G$104,VLOOKUP(BR$1,main!$A$3:$H$102,5,FALSE)-VLOOKUP($A136,main!$A$3:$H$102,6,FALSE)&gt;=main!$D$103+VLOOKUP(VLOOKUP(BR$1,main!$A$3:$I$102,7,FALSE),main!$K$26:$Q$29,4,FALSE)),1,0)</f>
        <v>0</v>
      </c>
      <c r="BS136">
        <f>IF(AND(VLOOKUP(BS$1,main!$A$3:$H$102,7,FALSE)=main!$G$104,VLOOKUP(BS$1,main!$A$3:$H$102,5,FALSE)-VLOOKUP($A136,main!$A$3:$H$102,6,FALSE)&gt;=main!$D$103+VLOOKUP(VLOOKUP(BS$1,main!$A$3:$I$102,7,FALSE),main!$K$26:$Q$29,4,FALSE)),1,0)</f>
        <v>0</v>
      </c>
      <c r="BT136">
        <f>IF(AND(VLOOKUP(BT$1,main!$A$3:$H$102,7,FALSE)=main!$G$104,VLOOKUP(BT$1,main!$A$3:$H$102,5,FALSE)-VLOOKUP($A136,main!$A$3:$H$102,6,FALSE)&gt;=main!$D$103+VLOOKUP(VLOOKUP(BT$1,main!$A$3:$I$102,7,FALSE),main!$K$26:$Q$29,4,FALSE)),1,0)</f>
        <v>0</v>
      </c>
      <c r="BU136">
        <f>IF(AND(VLOOKUP(BU$1,main!$A$3:$H$102,7,FALSE)=main!$G$104,VLOOKUP(BU$1,main!$A$3:$H$102,5,FALSE)-VLOOKUP($A136,main!$A$3:$H$102,6,FALSE)&gt;=main!$D$103+VLOOKUP(VLOOKUP(BU$1,main!$A$3:$I$102,7,FALSE),main!$K$26:$Q$29,4,FALSE)),1,0)</f>
        <v>0</v>
      </c>
      <c r="BV136">
        <f>IF(AND(VLOOKUP(BV$1,main!$A$3:$H$102,7,FALSE)=main!$G$104,VLOOKUP(BV$1,main!$A$3:$H$102,5,FALSE)-VLOOKUP($A136,main!$A$3:$H$102,6,FALSE)&gt;=main!$D$103+VLOOKUP(VLOOKUP(BV$1,main!$A$3:$I$102,7,FALSE),main!$K$26:$Q$29,4,FALSE)),1,0)</f>
        <v>0</v>
      </c>
      <c r="BW136">
        <f>IF(AND(VLOOKUP(BW$1,main!$A$3:$H$102,7,FALSE)=main!$G$104,VLOOKUP(BW$1,main!$A$3:$H$102,5,FALSE)-VLOOKUP($A136,main!$A$3:$H$102,6,FALSE)&gt;=main!$D$103+VLOOKUP(VLOOKUP(BW$1,main!$A$3:$I$102,7,FALSE),main!$K$26:$Q$29,4,FALSE)),1,0)</f>
        <v>0</v>
      </c>
      <c r="BX136">
        <f>IF(AND(VLOOKUP(BX$1,main!$A$3:$H$102,7,FALSE)=main!$G$104,VLOOKUP(BX$1,main!$A$3:$H$102,5,FALSE)-VLOOKUP($A136,main!$A$3:$H$102,6,FALSE)&gt;=main!$D$103+VLOOKUP(VLOOKUP(BX$1,main!$A$3:$I$102,7,FALSE),main!$K$26:$Q$29,4,FALSE)),1,0)</f>
        <v>0</v>
      </c>
      <c r="BY136">
        <f>IF(AND(VLOOKUP(BY$1,main!$A$3:$H$102,7,FALSE)=main!$G$104,VLOOKUP(BY$1,main!$A$3:$H$102,5,FALSE)-VLOOKUP($A136,main!$A$3:$H$102,6,FALSE)&gt;=main!$D$103+VLOOKUP(VLOOKUP(BY$1,main!$A$3:$I$102,7,FALSE),main!$K$26:$Q$29,4,FALSE)),1,0)</f>
        <v>0</v>
      </c>
      <c r="BZ136">
        <f>IF(AND(VLOOKUP(BZ$1,main!$A$3:$H$102,7,FALSE)=main!$G$104,VLOOKUP(BZ$1,main!$A$3:$H$102,5,FALSE)-VLOOKUP($A136,main!$A$3:$H$102,6,FALSE)&gt;=main!$D$103+VLOOKUP(VLOOKUP(BZ$1,main!$A$3:$I$102,7,FALSE),main!$K$26:$Q$29,4,FALSE)),1,0)</f>
        <v>0</v>
      </c>
      <c r="CA136">
        <f>IF(AND(VLOOKUP(CA$1,main!$A$3:$H$102,7,FALSE)=main!$G$104,VLOOKUP(CA$1,main!$A$3:$H$102,5,FALSE)-VLOOKUP($A136,main!$A$3:$H$102,6,FALSE)&gt;=main!$D$103+VLOOKUP(VLOOKUP(CA$1,main!$A$3:$I$102,7,FALSE),main!$K$26:$Q$29,4,FALSE)),1,0)</f>
        <v>0</v>
      </c>
      <c r="CB136">
        <f>IF(AND(VLOOKUP(CB$1,main!$A$3:$H$102,7,FALSE)=main!$G$104,VLOOKUP(CB$1,main!$A$3:$H$102,5,FALSE)-VLOOKUP($A136,main!$A$3:$H$102,6,FALSE)&gt;=main!$D$103+VLOOKUP(VLOOKUP(CB$1,main!$A$3:$I$102,7,FALSE),main!$K$26:$Q$29,4,FALSE)),1,0)</f>
        <v>0</v>
      </c>
      <c r="CC136">
        <f>IF(AND(VLOOKUP(CC$1,main!$A$3:$H$102,7,FALSE)=main!$G$104,VLOOKUP(CC$1,main!$A$3:$H$102,5,FALSE)-VLOOKUP($A136,main!$A$3:$H$102,6,FALSE)&gt;=main!$D$103+VLOOKUP(VLOOKUP(CC$1,main!$A$3:$I$102,7,FALSE),main!$K$26:$Q$29,4,FALSE)),1,0)</f>
        <v>0</v>
      </c>
      <c r="CD136">
        <f>IF(AND(VLOOKUP(CD$1,main!$A$3:$H$102,7,FALSE)=main!$G$104,VLOOKUP(CD$1,main!$A$3:$H$102,5,FALSE)-VLOOKUP($A136,main!$A$3:$H$102,6,FALSE)&gt;=main!$D$103+VLOOKUP(VLOOKUP(CD$1,main!$A$3:$I$102,7,FALSE),main!$K$26:$Q$29,4,FALSE)),1,0)</f>
        <v>0</v>
      </c>
      <c r="CE136">
        <f>IF(AND(VLOOKUP(CE$1,main!$A$3:$H$102,7,FALSE)=main!$G$104,VLOOKUP(CE$1,main!$A$3:$H$102,5,FALSE)-VLOOKUP($A136,main!$A$3:$H$102,6,FALSE)&gt;=main!$D$103+VLOOKUP(VLOOKUP(CE$1,main!$A$3:$I$102,7,FALSE),main!$K$26:$Q$29,4,FALSE)),1,0)</f>
        <v>0</v>
      </c>
      <c r="CF136">
        <f>IF(AND(VLOOKUP(CF$1,main!$A$3:$H$102,7,FALSE)=main!$G$104,VLOOKUP(CF$1,main!$A$3:$H$102,5,FALSE)-VLOOKUP($A136,main!$A$3:$H$102,6,FALSE)&gt;=main!$D$103+VLOOKUP(VLOOKUP(CF$1,main!$A$3:$I$102,7,FALSE),main!$K$26:$Q$29,4,FALSE)),1,0)</f>
        <v>0</v>
      </c>
      <c r="CG136">
        <f>IF(AND(VLOOKUP(CG$1,main!$A$3:$H$102,7,FALSE)=main!$G$104,VLOOKUP(CG$1,main!$A$3:$H$102,5,FALSE)-VLOOKUP($A136,main!$A$3:$H$102,6,FALSE)&gt;=main!$D$103+VLOOKUP(VLOOKUP(CG$1,main!$A$3:$I$102,7,FALSE),main!$K$26:$Q$29,4,FALSE)),1,0)</f>
        <v>0</v>
      </c>
      <c r="CH136">
        <f>IF(AND(VLOOKUP(CH$1,main!$A$3:$H$102,7,FALSE)=main!$G$104,VLOOKUP(CH$1,main!$A$3:$H$102,5,FALSE)-VLOOKUP($A136,main!$A$3:$H$102,6,FALSE)&gt;=main!$D$103+VLOOKUP(VLOOKUP(CH$1,main!$A$3:$I$102,7,FALSE),main!$K$26:$Q$29,4,FALSE)),1,0)</f>
        <v>0</v>
      </c>
      <c r="CI136">
        <f>IF(AND(VLOOKUP(CI$1,main!$A$3:$H$102,7,FALSE)=main!$G$104,VLOOKUP(CI$1,main!$A$3:$H$102,5,FALSE)-VLOOKUP($A136,main!$A$3:$H$102,6,FALSE)&gt;=main!$D$103+VLOOKUP(VLOOKUP(CI$1,main!$A$3:$I$102,7,FALSE),main!$K$26:$Q$29,4,FALSE)),1,0)</f>
        <v>0</v>
      </c>
      <c r="CJ136">
        <f>IF(AND(VLOOKUP(CJ$1,main!$A$3:$H$102,7,FALSE)=main!$G$104,VLOOKUP(CJ$1,main!$A$3:$H$102,5,FALSE)-VLOOKUP($A136,main!$A$3:$H$102,6,FALSE)&gt;=main!$D$103+VLOOKUP(VLOOKUP(CJ$1,main!$A$3:$I$102,7,FALSE),main!$K$26:$Q$29,4,FALSE)),1,0)</f>
        <v>0</v>
      </c>
      <c r="CK136">
        <f>IF(AND(VLOOKUP(CK$1,main!$A$3:$H$102,7,FALSE)=main!$G$104,VLOOKUP(CK$1,main!$A$3:$H$102,5,FALSE)-VLOOKUP($A136,main!$A$3:$H$102,6,FALSE)&gt;=main!$D$103+VLOOKUP(VLOOKUP(CK$1,main!$A$3:$I$102,7,FALSE),main!$K$26:$Q$29,4,FALSE)),1,0)</f>
        <v>0</v>
      </c>
      <c r="CL136">
        <f>IF(AND(VLOOKUP(CL$1,main!$A$3:$H$102,7,FALSE)=main!$G$104,VLOOKUP(CL$1,main!$A$3:$H$102,5,FALSE)-VLOOKUP($A136,main!$A$3:$H$102,6,FALSE)&gt;=main!$D$103+VLOOKUP(VLOOKUP(CL$1,main!$A$3:$I$102,7,FALSE),main!$K$26:$Q$29,4,FALSE)),1,0)</f>
        <v>0</v>
      </c>
      <c r="CM136">
        <f>IF(AND(VLOOKUP(CM$1,main!$A$3:$H$102,7,FALSE)=main!$G$104,VLOOKUP(CM$1,main!$A$3:$H$102,5,FALSE)-VLOOKUP($A136,main!$A$3:$H$102,6,FALSE)&gt;=main!$D$103+VLOOKUP(VLOOKUP(CM$1,main!$A$3:$I$102,7,FALSE),main!$K$26:$Q$29,4,FALSE)),1,0)</f>
        <v>0</v>
      </c>
      <c r="CN136">
        <f>IF(AND(VLOOKUP(CN$1,main!$A$3:$H$102,7,FALSE)=main!$G$104,VLOOKUP(CN$1,main!$A$3:$H$102,5,FALSE)-VLOOKUP($A136,main!$A$3:$H$102,6,FALSE)&gt;=main!$D$103+VLOOKUP(VLOOKUP(CN$1,main!$A$3:$I$102,7,FALSE),main!$K$26:$Q$29,4,FALSE)),1,0)</f>
        <v>0</v>
      </c>
      <c r="CO136">
        <f>IF(AND(VLOOKUP(CO$1,main!$A$3:$H$102,7,FALSE)=main!$G$104,VLOOKUP(CO$1,main!$A$3:$H$102,5,FALSE)-VLOOKUP($A136,main!$A$3:$H$102,6,FALSE)&gt;=main!$D$103+VLOOKUP(VLOOKUP(CO$1,main!$A$3:$I$102,7,FALSE),main!$K$26:$Q$29,4,FALSE)),1,0)</f>
        <v>0</v>
      </c>
      <c r="CP136">
        <f>IF(AND(VLOOKUP(CP$1,main!$A$3:$H$102,7,FALSE)=main!$G$104,VLOOKUP(CP$1,main!$A$3:$H$102,5,FALSE)-VLOOKUP($A136,main!$A$3:$H$102,6,FALSE)&gt;=main!$D$103+VLOOKUP(VLOOKUP(CP$1,main!$A$3:$I$102,7,FALSE),main!$K$26:$Q$29,4,FALSE)),1,0)</f>
        <v>0</v>
      </c>
      <c r="CQ136">
        <f>IF(AND(VLOOKUP(CQ$1,main!$A$3:$H$102,7,FALSE)=main!$G$104,VLOOKUP(CQ$1,main!$A$3:$H$102,5,FALSE)-VLOOKUP($A136,main!$A$3:$H$102,6,FALSE)&gt;=main!$D$103+VLOOKUP(VLOOKUP(CQ$1,main!$A$3:$I$102,7,FALSE),main!$K$26:$Q$29,4,FALSE)),1,0)</f>
        <v>0</v>
      </c>
      <c r="CR136">
        <f>IF(AND(VLOOKUP(CR$1,main!$A$3:$H$102,7,FALSE)=main!$G$104,VLOOKUP(CR$1,main!$A$3:$H$102,5,FALSE)-VLOOKUP($A136,main!$A$3:$H$102,6,FALSE)&gt;=main!$D$103+VLOOKUP(VLOOKUP(CR$1,main!$A$3:$I$102,7,FALSE),main!$K$26:$Q$29,4,FALSE)),1,0)</f>
        <v>0</v>
      </c>
      <c r="CS136">
        <f>IF(AND(VLOOKUP(CS$1,main!$A$3:$H$102,7,FALSE)=main!$G$104,VLOOKUP(CS$1,main!$A$3:$H$102,5,FALSE)-VLOOKUP($A136,main!$A$3:$H$102,6,FALSE)&gt;=main!$D$103+VLOOKUP(VLOOKUP(CS$1,main!$A$3:$I$102,7,FALSE),main!$K$26:$Q$29,4,FALSE)),1,0)</f>
        <v>0</v>
      </c>
      <c r="CT136">
        <f>IF(AND(VLOOKUP(CT$1,main!$A$3:$H$102,7,FALSE)=main!$G$104,VLOOKUP(CT$1,main!$A$3:$H$102,5,FALSE)-VLOOKUP($A136,main!$A$3:$H$102,6,FALSE)&gt;=main!$D$103+VLOOKUP(VLOOKUP(CT$1,main!$A$3:$I$102,7,FALSE),main!$K$26:$Q$29,4,FALSE)),1,0)</f>
        <v>0</v>
      </c>
      <c r="CU136">
        <f>IF(AND(VLOOKUP(CU$1,main!$A$3:$H$102,7,FALSE)=main!$G$104,VLOOKUP(CU$1,main!$A$3:$H$102,5,FALSE)-VLOOKUP($A136,main!$A$3:$H$102,6,FALSE)&gt;=main!$D$103+VLOOKUP(VLOOKUP(CU$1,main!$A$3:$I$102,7,FALSE),main!$K$26:$Q$29,4,FALSE)),1,0)</f>
        <v>0</v>
      </c>
      <c r="CV136">
        <f>IF(AND(VLOOKUP(CV$1,main!$A$3:$H$102,7,FALSE)=main!$G$104,VLOOKUP(CV$1,main!$A$3:$H$102,5,FALSE)-VLOOKUP($A136,main!$A$3:$H$102,6,FALSE)&gt;=main!$D$103+VLOOKUP(VLOOKUP(CV$1,main!$A$3:$I$102,7,FALSE),main!$K$26:$Q$29,4,FALSE)),1,0)</f>
        <v>0</v>
      </c>
      <c r="CW136">
        <f>IF(AND(VLOOKUP(CW$1,main!$A$3:$H$102,7,FALSE)=main!$G$104,VLOOKUP(CW$1,main!$A$3:$H$102,5,FALSE)-VLOOKUP($A136,main!$A$3:$H$102,6,FALSE)&gt;=main!$D$103+VLOOKUP(VLOOKUP(CW$1,main!$A$3:$I$102,7,FALSE),main!$K$26:$Q$29,4,FALSE)),1,0)</f>
        <v>0</v>
      </c>
      <c r="CX136">
        <f>IF(AND(VLOOKUP(CX$1,main!$A$3:$H$102,7,FALSE)=main!$G$104,VLOOKUP(CX$1,main!$A$3:$H$102,5,FALSE)-VLOOKUP($A136,main!$A$3:$H$102,6,FALSE)&gt;=main!$D$103+VLOOKUP(VLOOKUP(CX$1,main!$A$3:$I$102,7,FALSE),main!$K$26:$Q$29,4,FALSE)),1,0)</f>
        <v>0</v>
      </c>
      <c r="DB136">
        <f>VLOOKUP(AF$1,main!$A$3:$H$102,5,FALSE)</f>
        <v>1100</v>
      </c>
      <c r="DE136">
        <f>1100-1035</f>
        <v>65</v>
      </c>
    </row>
    <row r="137" spans="1:109" x14ac:dyDescent="0.25">
      <c r="A137" s="1">
        <v>34</v>
      </c>
      <c r="B137">
        <v>0</v>
      </c>
      <c r="C137">
        <f>IF(AND(VLOOKUP(C$1,main!$A$3:$H$102,7,FALSE)=main!$G$104,VLOOKUP(C$1,main!$A$3:$H$102,5,FALSE)-VLOOKUP($A137,main!$A$3:$H$102,6,FALSE)&gt;=main!$D$103+VLOOKUP(VLOOKUP(C$1,main!$A$3:$I$102,7,FALSE),main!$K$26:$Q$29,4,FALSE)),1,0)</f>
        <v>0</v>
      </c>
      <c r="D137">
        <f>IF(AND(VLOOKUP(D$1,main!$A$3:$H$102,7,FALSE)=main!$G$104,VLOOKUP(D$1,main!$A$3:$H$102,5,FALSE)-VLOOKUP($A137,main!$A$3:$H$102,6,FALSE)&gt;=main!$D$103+VLOOKUP(VLOOKUP(D$1,main!$A$3:$I$102,7,FALSE),main!$K$26:$Q$29,4,FALSE)),1,0)</f>
        <v>0</v>
      </c>
      <c r="E137">
        <f>IF(AND(VLOOKUP(E$1,main!$A$3:$H$102,7,FALSE)=main!$G$104,VLOOKUP(E$1,main!$A$3:$H$102,5,FALSE)-VLOOKUP($A137,main!$A$3:$H$102,6,FALSE)&gt;=main!$D$103+VLOOKUP(VLOOKUP(E$1,main!$A$3:$I$102,7,FALSE),main!$K$26:$Q$29,4,FALSE)),1,0)</f>
        <v>0</v>
      </c>
      <c r="F137">
        <f>IF(AND(VLOOKUP(F$1,main!$A$3:$H$102,7,FALSE)=main!$G$104,VLOOKUP(F$1,main!$A$3:$H$102,5,FALSE)-VLOOKUP($A137,main!$A$3:$H$102,6,FALSE)&gt;=main!$D$103+VLOOKUP(VLOOKUP(F$1,main!$A$3:$I$102,7,FALSE),main!$K$26:$Q$29,4,FALSE)),1,0)</f>
        <v>0</v>
      </c>
      <c r="G137">
        <f>IF(AND(VLOOKUP(G$1,main!$A$3:$H$102,7,FALSE)=main!$G$104,VLOOKUP(G$1,main!$A$3:$H$102,5,FALSE)-VLOOKUP($A137,main!$A$3:$H$102,6,FALSE)&gt;=main!$D$103+VLOOKUP(VLOOKUP(G$1,main!$A$3:$I$102,7,FALSE),main!$K$26:$Q$29,4,FALSE)),1,0)</f>
        <v>0</v>
      </c>
      <c r="H137">
        <f>IF(AND(VLOOKUP(H$1,main!$A$3:$H$102,7,FALSE)=main!$G$104,VLOOKUP(H$1,main!$A$3:$H$102,5,FALSE)-VLOOKUP($A137,main!$A$3:$H$102,6,FALSE)&gt;=main!$D$103+VLOOKUP(VLOOKUP(H$1,main!$A$3:$I$102,7,FALSE),main!$K$26:$Q$29,4,FALSE)),1,0)</f>
        <v>0</v>
      </c>
      <c r="I137">
        <f>IF(AND(VLOOKUP(I$1,main!$A$3:$H$102,7,FALSE)=main!$G$104,VLOOKUP(I$1,main!$A$3:$H$102,5,FALSE)-VLOOKUP($A137,main!$A$3:$H$102,6,FALSE)&gt;=main!$D$103+VLOOKUP(VLOOKUP(I$1,main!$A$3:$I$102,7,FALSE),main!$K$26:$Q$29,4,FALSE)),1,0)</f>
        <v>0</v>
      </c>
      <c r="J137">
        <f>IF(AND(VLOOKUP(J$1,main!$A$3:$H$102,7,FALSE)=main!$G$104,VLOOKUP(J$1,main!$A$3:$H$102,5,FALSE)-VLOOKUP($A137,main!$A$3:$H$102,6,FALSE)&gt;=main!$D$103+VLOOKUP(VLOOKUP(J$1,main!$A$3:$I$102,7,FALSE),main!$K$26:$Q$29,4,FALSE)),1,0)</f>
        <v>1</v>
      </c>
      <c r="K137">
        <f>IF(AND(VLOOKUP(K$1,main!$A$3:$H$102,7,FALSE)=main!$G$104,VLOOKUP(K$1,main!$A$3:$H$102,5,FALSE)-VLOOKUP($A137,main!$A$3:$H$102,6,FALSE)&gt;=main!$D$103+VLOOKUP(VLOOKUP(K$1,main!$A$3:$I$102,7,FALSE),main!$K$26:$Q$29,4,FALSE)),1,0)</f>
        <v>1</v>
      </c>
      <c r="L137">
        <f>IF(AND(VLOOKUP(L$1,main!$A$3:$H$102,7,FALSE)=main!$G$104,VLOOKUP(L$1,main!$A$3:$H$102,5,FALSE)-VLOOKUP($A137,main!$A$3:$H$102,6,FALSE)&gt;=main!$D$103+VLOOKUP(VLOOKUP(L$1,main!$A$3:$I$102,7,FALSE),main!$K$26:$Q$29,4,FALSE)),1,0)</f>
        <v>1</v>
      </c>
      <c r="M137">
        <f>IF(AND(VLOOKUP(M$1,main!$A$3:$H$102,7,FALSE)=main!$G$104,VLOOKUP(M$1,main!$A$3:$H$102,5,FALSE)-VLOOKUP($A137,main!$A$3:$H$102,6,FALSE)&gt;=main!$D$103+VLOOKUP(VLOOKUP(M$1,main!$A$3:$I$102,7,FALSE),main!$K$26:$Q$29,4,FALSE)),1,0)</f>
        <v>0</v>
      </c>
      <c r="N137">
        <f>IF(AND(VLOOKUP(N$1,main!$A$3:$H$102,7,FALSE)=main!$G$104,VLOOKUP(N$1,main!$A$3:$H$102,5,FALSE)-VLOOKUP($A137,main!$A$3:$H$102,6,FALSE)&gt;=main!$D$103+VLOOKUP(VLOOKUP(N$1,main!$A$3:$I$102,7,FALSE),main!$K$26:$Q$29,4,FALSE)),1,0)</f>
        <v>0</v>
      </c>
      <c r="O137">
        <f>IF(AND(VLOOKUP(O$1,main!$A$3:$H$102,7,FALSE)=main!$G$104,VLOOKUP(O$1,main!$A$3:$H$102,5,FALSE)-VLOOKUP($A137,main!$A$3:$H$102,6,FALSE)&gt;=main!$D$103+VLOOKUP(VLOOKUP(O$1,main!$A$3:$I$102,7,FALSE),main!$K$26:$Q$29,4,FALSE)),1,0)</f>
        <v>0</v>
      </c>
      <c r="P137">
        <f>IF(AND(VLOOKUP(P$1,main!$A$3:$H$102,7,FALSE)=main!$G$104,VLOOKUP(P$1,main!$A$3:$H$102,5,FALSE)-VLOOKUP($A137,main!$A$3:$H$102,6,FALSE)&gt;=main!$D$103+VLOOKUP(VLOOKUP(P$1,main!$A$3:$I$102,7,FALSE),main!$K$26:$Q$29,4,FALSE)),1,0)</f>
        <v>0</v>
      </c>
      <c r="Q137">
        <f>IF(AND(VLOOKUP(Q$1,main!$A$3:$H$102,7,FALSE)=main!$G$104,VLOOKUP(Q$1,main!$A$3:$H$102,5,FALSE)-VLOOKUP($A137,main!$A$3:$H$102,6,FALSE)&gt;=main!$D$103+VLOOKUP(VLOOKUP(Q$1,main!$A$3:$I$102,7,FALSE),main!$K$26:$Q$29,4,FALSE)),1,0)</f>
        <v>0</v>
      </c>
      <c r="R137">
        <f>IF(AND(VLOOKUP(R$1,main!$A$3:$H$102,7,FALSE)=main!$G$104,VLOOKUP(R$1,main!$A$3:$H$102,5,FALSE)-VLOOKUP($A137,main!$A$3:$H$102,6,FALSE)&gt;=main!$D$103+VLOOKUP(VLOOKUP(R$1,main!$A$3:$I$102,7,FALSE),main!$K$26:$Q$29,4,FALSE)),1,0)</f>
        <v>0</v>
      </c>
      <c r="S137">
        <f>IF(AND(VLOOKUP(S$1,main!$A$3:$H$102,7,FALSE)=main!$G$104,VLOOKUP(S$1,main!$A$3:$H$102,5,FALSE)-VLOOKUP($A137,main!$A$3:$H$102,6,FALSE)&gt;=main!$D$103+VLOOKUP(VLOOKUP(S$1,main!$A$3:$I$102,7,FALSE),main!$K$26:$Q$29,4,FALSE)),1,0)</f>
        <v>0</v>
      </c>
      <c r="T137">
        <f>IF(AND(VLOOKUP(T$1,main!$A$3:$H$102,7,FALSE)=main!$G$104,VLOOKUP(T$1,main!$A$3:$H$102,5,FALSE)-VLOOKUP($A137,main!$A$3:$H$102,6,FALSE)&gt;=main!$D$103+VLOOKUP(VLOOKUP(T$1,main!$A$3:$I$102,7,FALSE),main!$K$26:$Q$29,4,FALSE)),1,0)</f>
        <v>0</v>
      </c>
      <c r="U137">
        <f>IF(AND(VLOOKUP(U$1,main!$A$3:$H$102,7,FALSE)=main!$G$104,VLOOKUP(U$1,main!$A$3:$H$102,5,FALSE)-VLOOKUP($A137,main!$A$3:$H$102,6,FALSE)&gt;=main!$D$103+VLOOKUP(VLOOKUP(U$1,main!$A$3:$I$102,7,FALSE),main!$K$26:$Q$29,4,FALSE)),1,0)</f>
        <v>1</v>
      </c>
      <c r="V137">
        <f>IF(AND(VLOOKUP(V$1,main!$A$3:$H$102,7,FALSE)=main!$G$104,VLOOKUP(V$1,main!$A$3:$H$102,5,FALSE)-VLOOKUP($A137,main!$A$3:$H$102,6,FALSE)&gt;=main!$D$103+VLOOKUP(VLOOKUP(V$1,main!$A$3:$I$102,7,FALSE),main!$K$26:$Q$29,4,FALSE)),1,0)</f>
        <v>1</v>
      </c>
      <c r="W137">
        <f>IF(AND(VLOOKUP(W$1,main!$A$3:$H$102,7,FALSE)=main!$G$104,VLOOKUP(W$1,main!$A$3:$H$102,5,FALSE)-VLOOKUP($A137,main!$A$3:$H$102,6,FALSE)&gt;=main!$D$103+VLOOKUP(VLOOKUP(W$1,main!$A$3:$I$102,7,FALSE),main!$K$26:$Q$29,4,FALSE)),1,0)</f>
        <v>0</v>
      </c>
      <c r="X137">
        <f>IF(AND(VLOOKUP(X$1,main!$A$3:$H$102,7,FALSE)=main!$G$104,VLOOKUP(X$1,main!$A$3:$H$102,5,FALSE)-VLOOKUP($A137,main!$A$3:$H$102,6,FALSE)&gt;=main!$D$103+VLOOKUP(VLOOKUP(X$1,main!$A$3:$I$102,7,FALSE),main!$K$26:$Q$29,4,FALSE)),1,0)</f>
        <v>0</v>
      </c>
      <c r="Y137">
        <f>IF(AND(VLOOKUP(Y$1,main!$A$3:$H$102,7,FALSE)=main!$G$104,VLOOKUP(Y$1,main!$A$3:$H$102,5,FALSE)-VLOOKUP($A137,main!$A$3:$H$102,6,FALSE)&gt;=main!$D$103+VLOOKUP(VLOOKUP(Y$1,main!$A$3:$I$102,7,FALSE),main!$K$26:$Q$29,4,FALSE)),1,0)</f>
        <v>0</v>
      </c>
      <c r="Z137">
        <f>IF(AND(VLOOKUP(Z$1,main!$A$3:$H$102,7,FALSE)=main!$G$104,VLOOKUP(Z$1,main!$A$3:$H$102,5,FALSE)-VLOOKUP($A137,main!$A$3:$H$102,6,FALSE)&gt;=main!$D$103+VLOOKUP(VLOOKUP(Z$1,main!$A$3:$I$102,7,FALSE),main!$K$26:$Q$29,4,FALSE)),1,0)</f>
        <v>0</v>
      </c>
      <c r="AA137">
        <f>IF(AND(VLOOKUP(AA$1,main!$A$3:$H$102,7,FALSE)=main!$G$104,VLOOKUP(AA$1,main!$A$3:$H$102,5,FALSE)-VLOOKUP($A137,main!$A$3:$H$102,6,FALSE)&gt;=main!$D$103+VLOOKUP(VLOOKUP(AA$1,main!$A$3:$I$102,7,FALSE),main!$K$26:$Q$29,4,FALSE)),1,0)</f>
        <v>1</v>
      </c>
      <c r="AB137">
        <f>IF(AND(VLOOKUP(AB$1,main!$A$3:$H$102,7,FALSE)=main!$G$104,VLOOKUP(AB$1,main!$A$3:$H$102,5,FALSE)-VLOOKUP($A137,main!$A$3:$H$102,6,FALSE)&gt;=main!$D$103+VLOOKUP(VLOOKUP(AB$1,main!$A$3:$I$102,7,FALSE),main!$K$26:$Q$29,4,FALSE)),1,0)</f>
        <v>0</v>
      </c>
      <c r="AC137">
        <f>IF(AND(VLOOKUP(AC$1,main!$A$3:$H$102,7,FALSE)=main!$G$104,VLOOKUP(AC$1,main!$A$3:$H$102,5,FALSE)-VLOOKUP($A137,main!$A$3:$H$102,6,FALSE)&gt;=main!$D$103+VLOOKUP(VLOOKUP(AC$1,main!$A$3:$I$102,7,FALSE),main!$K$26:$Q$29,4,FALSE)),1,0)</f>
        <v>0</v>
      </c>
      <c r="AD137">
        <f>IF(AND(VLOOKUP(AD$1,main!$A$3:$H$102,7,FALSE)=main!$G$104,VLOOKUP(AD$1,main!$A$3:$H$102,5,FALSE)-VLOOKUP($A137,main!$A$3:$H$102,6,FALSE)&gt;=main!$D$103+VLOOKUP(VLOOKUP(AD$1,main!$A$3:$I$102,7,FALSE),main!$K$26:$Q$29,4,FALSE)),1,0)</f>
        <v>0</v>
      </c>
      <c r="AE137">
        <f>IF(AND(VLOOKUP(AE$1,main!$A$3:$H$102,7,FALSE)=main!$G$104,VLOOKUP(AE$1,main!$A$3:$H$102,5,FALSE)-VLOOKUP($A137,main!$A$3:$H$102,6,FALSE)&gt;=main!$D$103+VLOOKUP(VLOOKUP(AE$1,main!$A$3:$I$102,7,FALSE),main!$K$26:$Q$29,4,FALSE)),1,0)</f>
        <v>0</v>
      </c>
      <c r="AF137">
        <f>IF(AND(VLOOKUP(AF$1,main!$A$3:$H$102,7,FALSE)=main!$G$104,VLOOKUP(AF$1,main!$A$3:$H$102,5,FALSE)-VLOOKUP($A137,main!$A$3:$H$102,6,FALSE)&gt;=main!$D$103+VLOOKUP(VLOOKUP(AF$1,main!$A$3:$I$102,7,FALSE),main!$K$26:$Q$29,4,FALSE)),1,0)</f>
        <v>1</v>
      </c>
      <c r="AG137">
        <f>IF(AND(VLOOKUP(AG$1,main!$A$3:$H$102,7,FALSE)=main!$G$104,VLOOKUP(AG$1,main!$A$3:$H$102,5,FALSE)-VLOOKUP($A137,main!$A$3:$H$102,6,FALSE)&gt;=main!$D$103+VLOOKUP(VLOOKUP(AG$1,main!$A$3:$I$102,7,FALSE),main!$K$26:$Q$29,4,FALSE)),1,0)</f>
        <v>0</v>
      </c>
      <c r="AH137">
        <f>IF(AND(VLOOKUP(AH$1,main!$A$3:$H$102,7,FALSE)=main!$G$104,VLOOKUP(AH$1,main!$A$3:$H$102,5,FALSE)-VLOOKUP($A137,main!$A$3:$H$102,6,FALSE)&gt;=main!$D$103+VLOOKUP(VLOOKUP(AH$1,main!$A$3:$I$102,7,FALSE),main!$K$26:$Q$29,4,FALSE)),1,0)</f>
        <v>0</v>
      </c>
      <c r="AI137">
        <f>IF(AND(VLOOKUP(AI$1,main!$A$3:$H$102,7,FALSE)=main!$G$104,VLOOKUP(AI$1,main!$A$3:$H$102,5,FALSE)-VLOOKUP($A137,main!$A$3:$H$102,6,FALSE)&gt;=main!$D$103+VLOOKUP(VLOOKUP(AI$1,main!$A$3:$I$102,7,FALSE),main!$K$26:$Q$29,4,FALSE)),1,0)</f>
        <v>0</v>
      </c>
      <c r="AJ137">
        <f>IF(AND(VLOOKUP(AJ$1,main!$A$3:$H$102,7,FALSE)=main!$G$104,VLOOKUP(AJ$1,main!$A$3:$H$102,5,FALSE)-VLOOKUP($A137,main!$A$3:$H$102,6,FALSE)&gt;=main!$D$103+VLOOKUP(VLOOKUP(AJ$1,main!$A$3:$I$102,7,FALSE),main!$K$26:$Q$29,4,FALSE)),1,0)</f>
        <v>0</v>
      </c>
      <c r="AK137">
        <f>IF(AND(VLOOKUP(AK$1,main!$A$3:$H$102,7,FALSE)=main!$G$104,VLOOKUP(AK$1,main!$A$3:$H$102,5,FALSE)-VLOOKUP($A137,main!$A$3:$H$102,6,FALSE)&gt;=main!$D$103+VLOOKUP(VLOOKUP(AK$1,main!$A$3:$I$102,7,FALSE),main!$K$26:$Q$29,4,FALSE)),1,0)</f>
        <v>0</v>
      </c>
      <c r="AL137">
        <f>IF(AND(VLOOKUP(AL$1,main!$A$3:$H$102,7,FALSE)=main!$G$104,VLOOKUP(AL$1,main!$A$3:$H$102,5,FALSE)-VLOOKUP($A137,main!$A$3:$H$102,6,FALSE)&gt;=main!$D$103+VLOOKUP(VLOOKUP(AL$1,main!$A$3:$I$102,7,FALSE),main!$K$26:$Q$29,4,FALSE)),1,0)</f>
        <v>0</v>
      </c>
      <c r="AM137">
        <f>IF(AND(VLOOKUP(AM$1,main!$A$3:$H$102,7,FALSE)=main!$G$104,VLOOKUP(AM$1,main!$A$3:$H$102,5,FALSE)-VLOOKUP($A137,main!$A$3:$H$102,6,FALSE)&gt;=main!$D$103+VLOOKUP(VLOOKUP(AM$1,main!$A$3:$I$102,7,FALSE),main!$K$26:$Q$29,4,FALSE)),1,0)</f>
        <v>0</v>
      </c>
      <c r="AN137">
        <f>IF(AND(VLOOKUP(AN$1,main!$A$3:$H$102,7,FALSE)=main!$G$104,VLOOKUP(AN$1,main!$A$3:$H$102,5,FALSE)-VLOOKUP($A137,main!$A$3:$H$102,6,FALSE)&gt;=main!$D$103+VLOOKUP(VLOOKUP(AN$1,main!$A$3:$I$102,7,FALSE),main!$K$26:$Q$29,4,FALSE)),1,0)</f>
        <v>0</v>
      </c>
      <c r="AO137">
        <f>IF(AND(VLOOKUP(AO$1,main!$A$3:$H$102,7,FALSE)=main!$G$104,VLOOKUP(AO$1,main!$A$3:$H$102,5,FALSE)-VLOOKUP($A137,main!$A$3:$H$102,6,FALSE)&gt;=main!$D$103+VLOOKUP(VLOOKUP(AO$1,main!$A$3:$I$102,7,FALSE),main!$K$26:$Q$29,4,FALSE)),1,0)</f>
        <v>0</v>
      </c>
      <c r="AP137">
        <f>IF(AND(VLOOKUP(AP$1,main!$A$3:$H$102,7,FALSE)=main!$G$104,VLOOKUP(AP$1,main!$A$3:$H$102,5,FALSE)-VLOOKUP($A137,main!$A$3:$H$102,6,FALSE)&gt;=main!$D$103+VLOOKUP(VLOOKUP(AP$1,main!$A$3:$I$102,7,FALSE),main!$K$26:$Q$29,4,FALSE)),1,0)</f>
        <v>0</v>
      </c>
      <c r="AQ137">
        <f>IF(AND(VLOOKUP(AQ$1,main!$A$3:$H$102,7,FALSE)=main!$G$104,VLOOKUP(AQ$1,main!$A$3:$H$102,5,FALSE)-VLOOKUP($A137,main!$A$3:$H$102,6,FALSE)&gt;=main!$D$103+VLOOKUP(VLOOKUP(AQ$1,main!$A$3:$I$102,7,FALSE),main!$K$26:$Q$29,4,FALSE)),1,0)</f>
        <v>0</v>
      </c>
      <c r="AR137">
        <f>IF(AND(VLOOKUP(AR$1,main!$A$3:$H$102,7,FALSE)=main!$G$104,VLOOKUP(AR$1,main!$A$3:$H$102,5,FALSE)-VLOOKUP($A137,main!$A$3:$H$102,6,FALSE)&gt;=main!$D$103+VLOOKUP(VLOOKUP(AR$1,main!$A$3:$I$102,7,FALSE),main!$K$26:$Q$29,4,FALSE)),1,0)</f>
        <v>0</v>
      </c>
      <c r="AS137">
        <f>IF(AND(VLOOKUP(AS$1,main!$A$3:$H$102,7,FALSE)=main!$G$104,VLOOKUP(AS$1,main!$A$3:$H$102,5,FALSE)-VLOOKUP($A137,main!$A$3:$H$102,6,FALSE)&gt;=main!$D$103+VLOOKUP(VLOOKUP(AS$1,main!$A$3:$I$102,7,FALSE),main!$K$26:$Q$29,4,FALSE)),1,0)</f>
        <v>0</v>
      </c>
      <c r="AT137">
        <f>IF(AND(VLOOKUP(AT$1,main!$A$3:$H$102,7,FALSE)=main!$G$104,VLOOKUP(AT$1,main!$A$3:$H$102,5,FALSE)-VLOOKUP($A137,main!$A$3:$H$102,6,FALSE)&gt;=main!$D$103+VLOOKUP(VLOOKUP(AT$1,main!$A$3:$I$102,7,FALSE),main!$K$26:$Q$29,4,FALSE)),1,0)</f>
        <v>0</v>
      </c>
      <c r="AU137">
        <f>IF(AND(VLOOKUP(AU$1,main!$A$3:$H$102,7,FALSE)=main!$G$104,VLOOKUP(AU$1,main!$A$3:$H$102,5,FALSE)-VLOOKUP($A137,main!$A$3:$H$102,6,FALSE)&gt;=main!$D$103+VLOOKUP(VLOOKUP(AU$1,main!$A$3:$I$102,7,FALSE),main!$K$26:$Q$29,4,FALSE)),1,0)</f>
        <v>0</v>
      </c>
      <c r="AV137">
        <f>IF(AND(VLOOKUP(AV$1,main!$A$3:$H$102,7,FALSE)=main!$G$104,VLOOKUP(AV$1,main!$A$3:$H$102,5,FALSE)-VLOOKUP($A137,main!$A$3:$H$102,6,FALSE)&gt;=main!$D$103+VLOOKUP(VLOOKUP(AV$1,main!$A$3:$I$102,7,FALSE),main!$K$26:$Q$29,4,FALSE)),1,0)</f>
        <v>0</v>
      </c>
      <c r="AW137">
        <f>IF(AND(VLOOKUP(AW$1,main!$A$3:$H$102,7,FALSE)=main!$G$104,VLOOKUP(AW$1,main!$A$3:$H$102,5,FALSE)-VLOOKUP($A137,main!$A$3:$H$102,6,FALSE)&gt;=main!$D$103+VLOOKUP(VLOOKUP(AW$1,main!$A$3:$I$102,7,FALSE),main!$K$26:$Q$29,4,FALSE)),1,0)</f>
        <v>0</v>
      </c>
      <c r="AX137">
        <f>IF(AND(VLOOKUP(AX$1,main!$A$3:$H$102,7,FALSE)=main!$G$104,VLOOKUP(AX$1,main!$A$3:$H$102,5,FALSE)-VLOOKUP($A137,main!$A$3:$H$102,6,FALSE)&gt;=main!$D$103+VLOOKUP(VLOOKUP(AX$1,main!$A$3:$I$102,7,FALSE),main!$K$26:$Q$29,4,FALSE)),1,0)</f>
        <v>0</v>
      </c>
      <c r="AY137">
        <f>IF(AND(VLOOKUP(AY$1,main!$A$3:$H$102,7,FALSE)=main!$G$104,VLOOKUP(AY$1,main!$A$3:$H$102,5,FALSE)-VLOOKUP($A137,main!$A$3:$H$102,6,FALSE)&gt;=main!$D$103+VLOOKUP(VLOOKUP(AY$1,main!$A$3:$I$102,7,FALSE),main!$K$26:$Q$29,4,FALSE)),1,0)</f>
        <v>0</v>
      </c>
      <c r="AZ137">
        <f>IF(AND(VLOOKUP(AZ$1,main!$A$3:$H$102,7,FALSE)=main!$G$104,VLOOKUP(AZ$1,main!$A$3:$H$102,5,FALSE)-VLOOKUP($A137,main!$A$3:$H$102,6,FALSE)&gt;=main!$D$103+VLOOKUP(VLOOKUP(AZ$1,main!$A$3:$I$102,7,FALSE),main!$K$26:$Q$29,4,FALSE)),1,0)</f>
        <v>0</v>
      </c>
      <c r="BA137">
        <f>IF(AND(VLOOKUP(BA$1,main!$A$3:$H$102,7,FALSE)=main!$G$104,VLOOKUP(BA$1,main!$A$3:$H$102,5,FALSE)-VLOOKUP($A137,main!$A$3:$H$102,6,FALSE)&gt;=main!$D$103+VLOOKUP(VLOOKUP(BA$1,main!$A$3:$I$102,7,FALSE),main!$K$26:$Q$29,4,FALSE)),1,0)</f>
        <v>0</v>
      </c>
      <c r="BB137">
        <f>IF(AND(VLOOKUP(BB$1,main!$A$3:$H$102,7,FALSE)=main!$G$104,VLOOKUP(BB$1,main!$A$3:$H$102,5,FALSE)-VLOOKUP($A137,main!$A$3:$H$102,6,FALSE)&gt;=main!$D$103+VLOOKUP(VLOOKUP(BB$1,main!$A$3:$I$102,7,FALSE),main!$K$26:$Q$29,4,FALSE)),1,0)</f>
        <v>0</v>
      </c>
      <c r="BC137">
        <f>IF(AND(VLOOKUP(BC$1,main!$A$3:$H$102,7,FALSE)=main!$G$104,VLOOKUP(BC$1,main!$A$3:$H$102,5,FALSE)-VLOOKUP($A137,main!$A$3:$H$102,6,FALSE)&gt;=main!$D$103+VLOOKUP(VLOOKUP(BC$1,main!$A$3:$I$102,7,FALSE),main!$K$26:$Q$29,4,FALSE)),1,0)</f>
        <v>0</v>
      </c>
      <c r="BD137">
        <f>IF(AND(VLOOKUP(BD$1,main!$A$3:$H$102,7,FALSE)=main!$G$104,VLOOKUP(BD$1,main!$A$3:$H$102,5,FALSE)-VLOOKUP($A137,main!$A$3:$H$102,6,FALSE)&gt;=main!$D$103+VLOOKUP(VLOOKUP(BD$1,main!$A$3:$I$102,7,FALSE),main!$K$26:$Q$29,4,FALSE)),1,0)</f>
        <v>0</v>
      </c>
      <c r="BE137">
        <f>IF(AND(VLOOKUP(BE$1,main!$A$3:$H$102,7,FALSE)=main!$G$104,VLOOKUP(BE$1,main!$A$3:$H$102,5,FALSE)-VLOOKUP($A137,main!$A$3:$H$102,6,FALSE)&gt;=main!$D$103+VLOOKUP(VLOOKUP(BE$1,main!$A$3:$I$102,7,FALSE),main!$K$26:$Q$29,4,FALSE)),1,0)</f>
        <v>0</v>
      </c>
      <c r="BF137">
        <f>IF(AND(VLOOKUP(BF$1,main!$A$3:$H$102,7,FALSE)=main!$G$104,VLOOKUP(BF$1,main!$A$3:$H$102,5,FALSE)-VLOOKUP($A137,main!$A$3:$H$102,6,FALSE)&gt;=main!$D$103+VLOOKUP(VLOOKUP(BF$1,main!$A$3:$I$102,7,FALSE),main!$K$26:$Q$29,4,FALSE)),1,0)</f>
        <v>0</v>
      </c>
      <c r="BG137">
        <f>IF(AND(VLOOKUP(BG$1,main!$A$3:$H$102,7,FALSE)=main!$G$104,VLOOKUP(BG$1,main!$A$3:$H$102,5,FALSE)-VLOOKUP($A137,main!$A$3:$H$102,6,FALSE)&gt;=main!$D$103+VLOOKUP(VLOOKUP(BG$1,main!$A$3:$I$102,7,FALSE),main!$K$26:$Q$29,4,FALSE)),1,0)</f>
        <v>0</v>
      </c>
      <c r="BH137">
        <f>IF(AND(VLOOKUP(BH$1,main!$A$3:$H$102,7,FALSE)=main!$G$104,VLOOKUP(BH$1,main!$A$3:$H$102,5,FALSE)-VLOOKUP($A137,main!$A$3:$H$102,6,FALSE)&gt;=main!$D$103+VLOOKUP(VLOOKUP(BH$1,main!$A$3:$I$102,7,FALSE),main!$K$26:$Q$29,4,FALSE)),1,0)</f>
        <v>0</v>
      </c>
      <c r="BI137">
        <f>IF(AND(VLOOKUP(BI$1,main!$A$3:$H$102,7,FALSE)=main!$G$104,VLOOKUP(BI$1,main!$A$3:$H$102,5,FALSE)-VLOOKUP($A137,main!$A$3:$H$102,6,FALSE)&gt;=main!$D$103+VLOOKUP(VLOOKUP(BI$1,main!$A$3:$I$102,7,FALSE),main!$K$26:$Q$29,4,FALSE)),1,0)</f>
        <v>0</v>
      </c>
      <c r="BJ137">
        <f>IF(AND(VLOOKUP(BJ$1,main!$A$3:$H$102,7,FALSE)=main!$G$104,VLOOKUP(BJ$1,main!$A$3:$H$102,5,FALSE)-VLOOKUP($A137,main!$A$3:$H$102,6,FALSE)&gt;=main!$D$103+VLOOKUP(VLOOKUP(BJ$1,main!$A$3:$I$102,7,FALSE),main!$K$26:$Q$29,4,FALSE)),1,0)</f>
        <v>0</v>
      </c>
      <c r="BK137">
        <f>IF(AND(VLOOKUP(BK$1,main!$A$3:$H$102,7,FALSE)=main!$G$104,VLOOKUP(BK$1,main!$A$3:$H$102,5,FALSE)-VLOOKUP($A137,main!$A$3:$H$102,6,FALSE)&gt;=main!$D$103+VLOOKUP(VLOOKUP(BK$1,main!$A$3:$I$102,7,FALSE),main!$K$26:$Q$29,4,FALSE)),1,0)</f>
        <v>0</v>
      </c>
      <c r="BL137">
        <f>IF(AND(VLOOKUP(BL$1,main!$A$3:$H$102,7,FALSE)=main!$G$104,VLOOKUP(BL$1,main!$A$3:$H$102,5,FALSE)-VLOOKUP($A137,main!$A$3:$H$102,6,FALSE)&gt;=main!$D$103+VLOOKUP(VLOOKUP(BL$1,main!$A$3:$I$102,7,FALSE),main!$K$26:$Q$29,4,FALSE)),1,0)</f>
        <v>0</v>
      </c>
      <c r="BM137">
        <f>IF(AND(VLOOKUP(BM$1,main!$A$3:$H$102,7,FALSE)=main!$G$104,VLOOKUP(BM$1,main!$A$3:$H$102,5,FALSE)-VLOOKUP($A137,main!$A$3:$H$102,6,FALSE)&gt;=main!$D$103+VLOOKUP(VLOOKUP(BM$1,main!$A$3:$I$102,7,FALSE),main!$K$26:$Q$29,4,FALSE)),1,0)</f>
        <v>0</v>
      </c>
      <c r="BN137">
        <f>IF(AND(VLOOKUP(BN$1,main!$A$3:$H$102,7,FALSE)=main!$G$104,VLOOKUP(BN$1,main!$A$3:$H$102,5,FALSE)-VLOOKUP($A137,main!$A$3:$H$102,6,FALSE)&gt;=main!$D$103+VLOOKUP(VLOOKUP(BN$1,main!$A$3:$I$102,7,FALSE),main!$K$26:$Q$29,4,FALSE)),1,0)</f>
        <v>0</v>
      </c>
      <c r="BO137">
        <f>IF(AND(VLOOKUP(BO$1,main!$A$3:$H$102,7,FALSE)=main!$G$104,VLOOKUP(BO$1,main!$A$3:$H$102,5,FALSE)-VLOOKUP($A137,main!$A$3:$H$102,6,FALSE)&gt;=main!$D$103+VLOOKUP(VLOOKUP(BO$1,main!$A$3:$I$102,7,FALSE),main!$K$26:$Q$29,4,FALSE)),1,0)</f>
        <v>0</v>
      </c>
      <c r="BP137">
        <f>IF(AND(VLOOKUP(BP$1,main!$A$3:$H$102,7,FALSE)=main!$G$104,VLOOKUP(BP$1,main!$A$3:$H$102,5,FALSE)-VLOOKUP($A137,main!$A$3:$H$102,6,FALSE)&gt;=main!$D$103+VLOOKUP(VLOOKUP(BP$1,main!$A$3:$I$102,7,FALSE),main!$K$26:$Q$29,4,FALSE)),1,0)</f>
        <v>0</v>
      </c>
      <c r="BQ137">
        <f>IF(AND(VLOOKUP(BQ$1,main!$A$3:$H$102,7,FALSE)=main!$G$104,VLOOKUP(BQ$1,main!$A$3:$H$102,5,FALSE)-VLOOKUP($A137,main!$A$3:$H$102,6,FALSE)&gt;=main!$D$103+VLOOKUP(VLOOKUP(BQ$1,main!$A$3:$I$102,7,FALSE),main!$K$26:$Q$29,4,FALSE)),1,0)</f>
        <v>0</v>
      </c>
      <c r="BR137">
        <f>IF(AND(VLOOKUP(BR$1,main!$A$3:$H$102,7,FALSE)=main!$G$104,VLOOKUP(BR$1,main!$A$3:$H$102,5,FALSE)-VLOOKUP($A137,main!$A$3:$H$102,6,FALSE)&gt;=main!$D$103+VLOOKUP(VLOOKUP(BR$1,main!$A$3:$I$102,7,FALSE),main!$K$26:$Q$29,4,FALSE)),1,0)</f>
        <v>0</v>
      </c>
      <c r="BS137">
        <f>IF(AND(VLOOKUP(BS$1,main!$A$3:$H$102,7,FALSE)=main!$G$104,VLOOKUP(BS$1,main!$A$3:$H$102,5,FALSE)-VLOOKUP($A137,main!$A$3:$H$102,6,FALSE)&gt;=main!$D$103+VLOOKUP(VLOOKUP(BS$1,main!$A$3:$I$102,7,FALSE),main!$K$26:$Q$29,4,FALSE)),1,0)</f>
        <v>0</v>
      </c>
      <c r="BT137">
        <f>IF(AND(VLOOKUP(BT$1,main!$A$3:$H$102,7,FALSE)=main!$G$104,VLOOKUP(BT$1,main!$A$3:$H$102,5,FALSE)-VLOOKUP($A137,main!$A$3:$H$102,6,FALSE)&gt;=main!$D$103+VLOOKUP(VLOOKUP(BT$1,main!$A$3:$I$102,7,FALSE),main!$K$26:$Q$29,4,FALSE)),1,0)</f>
        <v>0</v>
      </c>
      <c r="BU137">
        <f>IF(AND(VLOOKUP(BU$1,main!$A$3:$H$102,7,FALSE)=main!$G$104,VLOOKUP(BU$1,main!$A$3:$H$102,5,FALSE)-VLOOKUP($A137,main!$A$3:$H$102,6,FALSE)&gt;=main!$D$103+VLOOKUP(VLOOKUP(BU$1,main!$A$3:$I$102,7,FALSE),main!$K$26:$Q$29,4,FALSE)),1,0)</f>
        <v>0</v>
      </c>
      <c r="BV137">
        <f>IF(AND(VLOOKUP(BV$1,main!$A$3:$H$102,7,FALSE)=main!$G$104,VLOOKUP(BV$1,main!$A$3:$H$102,5,FALSE)-VLOOKUP($A137,main!$A$3:$H$102,6,FALSE)&gt;=main!$D$103+VLOOKUP(VLOOKUP(BV$1,main!$A$3:$I$102,7,FALSE),main!$K$26:$Q$29,4,FALSE)),1,0)</f>
        <v>0</v>
      </c>
      <c r="BW137">
        <f>IF(AND(VLOOKUP(BW$1,main!$A$3:$H$102,7,FALSE)=main!$G$104,VLOOKUP(BW$1,main!$A$3:$H$102,5,FALSE)-VLOOKUP($A137,main!$A$3:$H$102,6,FALSE)&gt;=main!$D$103+VLOOKUP(VLOOKUP(BW$1,main!$A$3:$I$102,7,FALSE),main!$K$26:$Q$29,4,FALSE)),1,0)</f>
        <v>0</v>
      </c>
      <c r="BX137">
        <f>IF(AND(VLOOKUP(BX$1,main!$A$3:$H$102,7,FALSE)=main!$G$104,VLOOKUP(BX$1,main!$A$3:$H$102,5,FALSE)-VLOOKUP($A137,main!$A$3:$H$102,6,FALSE)&gt;=main!$D$103+VLOOKUP(VLOOKUP(BX$1,main!$A$3:$I$102,7,FALSE),main!$K$26:$Q$29,4,FALSE)),1,0)</f>
        <v>0</v>
      </c>
      <c r="BY137">
        <f>IF(AND(VLOOKUP(BY$1,main!$A$3:$H$102,7,FALSE)=main!$G$104,VLOOKUP(BY$1,main!$A$3:$H$102,5,FALSE)-VLOOKUP($A137,main!$A$3:$H$102,6,FALSE)&gt;=main!$D$103+VLOOKUP(VLOOKUP(BY$1,main!$A$3:$I$102,7,FALSE),main!$K$26:$Q$29,4,FALSE)),1,0)</f>
        <v>0</v>
      </c>
      <c r="BZ137">
        <f>IF(AND(VLOOKUP(BZ$1,main!$A$3:$H$102,7,FALSE)=main!$G$104,VLOOKUP(BZ$1,main!$A$3:$H$102,5,FALSE)-VLOOKUP($A137,main!$A$3:$H$102,6,FALSE)&gt;=main!$D$103+VLOOKUP(VLOOKUP(BZ$1,main!$A$3:$I$102,7,FALSE),main!$K$26:$Q$29,4,FALSE)),1,0)</f>
        <v>0</v>
      </c>
      <c r="CA137">
        <f>IF(AND(VLOOKUP(CA$1,main!$A$3:$H$102,7,FALSE)=main!$G$104,VLOOKUP(CA$1,main!$A$3:$H$102,5,FALSE)-VLOOKUP($A137,main!$A$3:$H$102,6,FALSE)&gt;=main!$D$103+VLOOKUP(VLOOKUP(CA$1,main!$A$3:$I$102,7,FALSE),main!$K$26:$Q$29,4,FALSE)),1,0)</f>
        <v>0</v>
      </c>
      <c r="CB137">
        <f>IF(AND(VLOOKUP(CB$1,main!$A$3:$H$102,7,FALSE)=main!$G$104,VLOOKUP(CB$1,main!$A$3:$H$102,5,FALSE)-VLOOKUP($A137,main!$A$3:$H$102,6,FALSE)&gt;=main!$D$103+VLOOKUP(VLOOKUP(CB$1,main!$A$3:$I$102,7,FALSE),main!$K$26:$Q$29,4,FALSE)),1,0)</f>
        <v>0</v>
      </c>
      <c r="CC137">
        <f>IF(AND(VLOOKUP(CC$1,main!$A$3:$H$102,7,FALSE)=main!$G$104,VLOOKUP(CC$1,main!$A$3:$H$102,5,FALSE)-VLOOKUP($A137,main!$A$3:$H$102,6,FALSE)&gt;=main!$D$103+VLOOKUP(VLOOKUP(CC$1,main!$A$3:$I$102,7,FALSE),main!$K$26:$Q$29,4,FALSE)),1,0)</f>
        <v>0</v>
      </c>
      <c r="CD137">
        <f>IF(AND(VLOOKUP(CD$1,main!$A$3:$H$102,7,FALSE)=main!$G$104,VLOOKUP(CD$1,main!$A$3:$H$102,5,FALSE)-VLOOKUP($A137,main!$A$3:$H$102,6,FALSE)&gt;=main!$D$103+VLOOKUP(VLOOKUP(CD$1,main!$A$3:$I$102,7,FALSE),main!$K$26:$Q$29,4,FALSE)),1,0)</f>
        <v>0</v>
      </c>
      <c r="CE137">
        <f>IF(AND(VLOOKUP(CE$1,main!$A$3:$H$102,7,FALSE)=main!$G$104,VLOOKUP(CE$1,main!$A$3:$H$102,5,FALSE)-VLOOKUP($A137,main!$A$3:$H$102,6,FALSE)&gt;=main!$D$103+VLOOKUP(VLOOKUP(CE$1,main!$A$3:$I$102,7,FALSE),main!$K$26:$Q$29,4,FALSE)),1,0)</f>
        <v>0</v>
      </c>
      <c r="CF137">
        <f>IF(AND(VLOOKUP(CF$1,main!$A$3:$H$102,7,FALSE)=main!$G$104,VLOOKUP(CF$1,main!$A$3:$H$102,5,FALSE)-VLOOKUP($A137,main!$A$3:$H$102,6,FALSE)&gt;=main!$D$103+VLOOKUP(VLOOKUP(CF$1,main!$A$3:$I$102,7,FALSE),main!$K$26:$Q$29,4,FALSE)),1,0)</f>
        <v>0</v>
      </c>
      <c r="CG137">
        <f>IF(AND(VLOOKUP(CG$1,main!$A$3:$H$102,7,FALSE)=main!$G$104,VLOOKUP(CG$1,main!$A$3:$H$102,5,FALSE)-VLOOKUP($A137,main!$A$3:$H$102,6,FALSE)&gt;=main!$D$103+VLOOKUP(VLOOKUP(CG$1,main!$A$3:$I$102,7,FALSE),main!$K$26:$Q$29,4,FALSE)),1,0)</f>
        <v>0</v>
      </c>
      <c r="CH137">
        <f>IF(AND(VLOOKUP(CH$1,main!$A$3:$H$102,7,FALSE)=main!$G$104,VLOOKUP(CH$1,main!$A$3:$H$102,5,FALSE)-VLOOKUP($A137,main!$A$3:$H$102,6,FALSE)&gt;=main!$D$103+VLOOKUP(VLOOKUP(CH$1,main!$A$3:$I$102,7,FALSE),main!$K$26:$Q$29,4,FALSE)),1,0)</f>
        <v>0</v>
      </c>
      <c r="CI137">
        <f>IF(AND(VLOOKUP(CI$1,main!$A$3:$H$102,7,FALSE)=main!$G$104,VLOOKUP(CI$1,main!$A$3:$H$102,5,FALSE)-VLOOKUP($A137,main!$A$3:$H$102,6,FALSE)&gt;=main!$D$103+VLOOKUP(VLOOKUP(CI$1,main!$A$3:$I$102,7,FALSE),main!$K$26:$Q$29,4,FALSE)),1,0)</f>
        <v>0</v>
      </c>
      <c r="CJ137">
        <f>IF(AND(VLOOKUP(CJ$1,main!$A$3:$H$102,7,FALSE)=main!$G$104,VLOOKUP(CJ$1,main!$A$3:$H$102,5,FALSE)-VLOOKUP($A137,main!$A$3:$H$102,6,FALSE)&gt;=main!$D$103+VLOOKUP(VLOOKUP(CJ$1,main!$A$3:$I$102,7,FALSE),main!$K$26:$Q$29,4,FALSE)),1,0)</f>
        <v>0</v>
      </c>
      <c r="CK137">
        <f>IF(AND(VLOOKUP(CK$1,main!$A$3:$H$102,7,FALSE)=main!$G$104,VLOOKUP(CK$1,main!$A$3:$H$102,5,FALSE)-VLOOKUP($A137,main!$A$3:$H$102,6,FALSE)&gt;=main!$D$103+VLOOKUP(VLOOKUP(CK$1,main!$A$3:$I$102,7,FALSE),main!$K$26:$Q$29,4,FALSE)),1,0)</f>
        <v>0</v>
      </c>
      <c r="CL137">
        <f>IF(AND(VLOOKUP(CL$1,main!$A$3:$H$102,7,FALSE)=main!$G$104,VLOOKUP(CL$1,main!$A$3:$H$102,5,FALSE)-VLOOKUP($A137,main!$A$3:$H$102,6,FALSE)&gt;=main!$D$103+VLOOKUP(VLOOKUP(CL$1,main!$A$3:$I$102,7,FALSE),main!$K$26:$Q$29,4,FALSE)),1,0)</f>
        <v>0</v>
      </c>
      <c r="CM137">
        <f>IF(AND(VLOOKUP(CM$1,main!$A$3:$H$102,7,FALSE)=main!$G$104,VLOOKUP(CM$1,main!$A$3:$H$102,5,FALSE)-VLOOKUP($A137,main!$A$3:$H$102,6,FALSE)&gt;=main!$D$103+VLOOKUP(VLOOKUP(CM$1,main!$A$3:$I$102,7,FALSE),main!$K$26:$Q$29,4,FALSE)),1,0)</f>
        <v>0</v>
      </c>
      <c r="CN137">
        <f>IF(AND(VLOOKUP(CN$1,main!$A$3:$H$102,7,FALSE)=main!$G$104,VLOOKUP(CN$1,main!$A$3:$H$102,5,FALSE)-VLOOKUP($A137,main!$A$3:$H$102,6,FALSE)&gt;=main!$D$103+VLOOKUP(VLOOKUP(CN$1,main!$A$3:$I$102,7,FALSE),main!$K$26:$Q$29,4,FALSE)),1,0)</f>
        <v>0</v>
      </c>
      <c r="CO137">
        <f>IF(AND(VLOOKUP(CO$1,main!$A$3:$H$102,7,FALSE)=main!$G$104,VLOOKUP(CO$1,main!$A$3:$H$102,5,FALSE)-VLOOKUP($A137,main!$A$3:$H$102,6,FALSE)&gt;=main!$D$103+VLOOKUP(VLOOKUP(CO$1,main!$A$3:$I$102,7,FALSE),main!$K$26:$Q$29,4,FALSE)),1,0)</f>
        <v>0</v>
      </c>
      <c r="CP137">
        <f>IF(AND(VLOOKUP(CP$1,main!$A$3:$H$102,7,FALSE)=main!$G$104,VLOOKUP(CP$1,main!$A$3:$H$102,5,FALSE)-VLOOKUP($A137,main!$A$3:$H$102,6,FALSE)&gt;=main!$D$103+VLOOKUP(VLOOKUP(CP$1,main!$A$3:$I$102,7,FALSE),main!$K$26:$Q$29,4,FALSE)),1,0)</f>
        <v>0</v>
      </c>
      <c r="CQ137">
        <f>IF(AND(VLOOKUP(CQ$1,main!$A$3:$H$102,7,FALSE)=main!$G$104,VLOOKUP(CQ$1,main!$A$3:$H$102,5,FALSE)-VLOOKUP($A137,main!$A$3:$H$102,6,FALSE)&gt;=main!$D$103+VLOOKUP(VLOOKUP(CQ$1,main!$A$3:$I$102,7,FALSE),main!$K$26:$Q$29,4,FALSE)),1,0)</f>
        <v>0</v>
      </c>
      <c r="CR137">
        <f>IF(AND(VLOOKUP(CR$1,main!$A$3:$H$102,7,FALSE)=main!$G$104,VLOOKUP(CR$1,main!$A$3:$H$102,5,FALSE)-VLOOKUP($A137,main!$A$3:$H$102,6,FALSE)&gt;=main!$D$103+VLOOKUP(VLOOKUP(CR$1,main!$A$3:$I$102,7,FALSE),main!$K$26:$Q$29,4,FALSE)),1,0)</f>
        <v>0</v>
      </c>
      <c r="CS137">
        <f>IF(AND(VLOOKUP(CS$1,main!$A$3:$H$102,7,FALSE)=main!$G$104,VLOOKUP(CS$1,main!$A$3:$H$102,5,FALSE)-VLOOKUP($A137,main!$A$3:$H$102,6,FALSE)&gt;=main!$D$103+VLOOKUP(VLOOKUP(CS$1,main!$A$3:$I$102,7,FALSE),main!$K$26:$Q$29,4,FALSE)),1,0)</f>
        <v>0</v>
      </c>
      <c r="CT137">
        <f>IF(AND(VLOOKUP(CT$1,main!$A$3:$H$102,7,FALSE)=main!$G$104,VLOOKUP(CT$1,main!$A$3:$H$102,5,FALSE)-VLOOKUP($A137,main!$A$3:$H$102,6,FALSE)&gt;=main!$D$103+VLOOKUP(VLOOKUP(CT$1,main!$A$3:$I$102,7,FALSE),main!$K$26:$Q$29,4,FALSE)),1,0)</f>
        <v>0</v>
      </c>
      <c r="CU137">
        <f>IF(AND(VLOOKUP(CU$1,main!$A$3:$H$102,7,FALSE)=main!$G$104,VLOOKUP(CU$1,main!$A$3:$H$102,5,FALSE)-VLOOKUP($A137,main!$A$3:$H$102,6,FALSE)&gt;=main!$D$103+VLOOKUP(VLOOKUP(CU$1,main!$A$3:$I$102,7,FALSE),main!$K$26:$Q$29,4,FALSE)),1,0)</f>
        <v>0</v>
      </c>
      <c r="CV137">
        <f>IF(AND(VLOOKUP(CV$1,main!$A$3:$H$102,7,FALSE)=main!$G$104,VLOOKUP(CV$1,main!$A$3:$H$102,5,FALSE)-VLOOKUP($A137,main!$A$3:$H$102,6,FALSE)&gt;=main!$D$103+VLOOKUP(VLOOKUP(CV$1,main!$A$3:$I$102,7,FALSE),main!$K$26:$Q$29,4,FALSE)),1,0)</f>
        <v>0</v>
      </c>
      <c r="CW137">
        <f>IF(AND(VLOOKUP(CW$1,main!$A$3:$H$102,7,FALSE)=main!$G$104,VLOOKUP(CW$1,main!$A$3:$H$102,5,FALSE)-VLOOKUP($A137,main!$A$3:$H$102,6,FALSE)&gt;=main!$D$103+VLOOKUP(VLOOKUP(CW$1,main!$A$3:$I$102,7,FALSE),main!$K$26:$Q$29,4,FALSE)),1,0)</f>
        <v>0</v>
      </c>
      <c r="CX137">
        <f>IF(AND(VLOOKUP(CX$1,main!$A$3:$H$102,7,FALSE)=main!$G$104,VLOOKUP(CX$1,main!$A$3:$H$102,5,FALSE)-VLOOKUP($A137,main!$A$3:$H$102,6,FALSE)&gt;=main!$D$103+VLOOKUP(VLOOKUP(CX$1,main!$A$3:$I$102,7,FALSE),main!$K$26:$Q$29,4,FALSE)),1,0)</f>
        <v>0</v>
      </c>
      <c r="DB137">
        <f>VLOOKUP($A138,main!$A$3:$H$102,6,FALSE)</f>
        <v>1035</v>
      </c>
    </row>
    <row r="138" spans="1:109" x14ac:dyDescent="0.25">
      <c r="A138" s="1">
        <v>35</v>
      </c>
      <c r="B138">
        <v>0</v>
      </c>
      <c r="C138">
        <f>IF(AND(VLOOKUP(C$1,main!$A$3:$H$102,7,FALSE)=main!$G$104,VLOOKUP(C$1,main!$A$3:$H$102,5,FALSE)-VLOOKUP($A138,main!$A$3:$H$102,6,FALSE)&gt;=main!$D$103+VLOOKUP(VLOOKUP(C$1,main!$A$3:$I$102,7,FALSE),main!$K$26:$Q$29,4,FALSE)),1,0)</f>
        <v>0</v>
      </c>
      <c r="D138">
        <f>IF(AND(VLOOKUP(D$1,main!$A$3:$H$102,7,FALSE)=main!$G$104,VLOOKUP(D$1,main!$A$3:$H$102,5,FALSE)-VLOOKUP($A138,main!$A$3:$H$102,6,FALSE)&gt;=main!$D$103+VLOOKUP(VLOOKUP(D$1,main!$A$3:$I$102,7,FALSE),main!$K$26:$Q$29,4,FALSE)),1,0)</f>
        <v>0</v>
      </c>
      <c r="E138">
        <f>IF(AND(VLOOKUP(E$1,main!$A$3:$H$102,7,FALSE)=main!$G$104,VLOOKUP(E$1,main!$A$3:$H$102,5,FALSE)-VLOOKUP($A138,main!$A$3:$H$102,6,FALSE)&gt;=main!$D$103+VLOOKUP(VLOOKUP(E$1,main!$A$3:$I$102,7,FALSE),main!$K$26:$Q$29,4,FALSE)),1,0)</f>
        <v>0</v>
      </c>
      <c r="F138">
        <f>IF(AND(VLOOKUP(F$1,main!$A$3:$H$102,7,FALSE)=main!$G$104,VLOOKUP(F$1,main!$A$3:$H$102,5,FALSE)-VLOOKUP($A138,main!$A$3:$H$102,6,FALSE)&gt;=main!$D$103+VLOOKUP(VLOOKUP(F$1,main!$A$3:$I$102,7,FALSE),main!$K$26:$Q$29,4,FALSE)),1,0)</f>
        <v>0</v>
      </c>
      <c r="G138">
        <f>IF(AND(VLOOKUP(G$1,main!$A$3:$H$102,7,FALSE)=main!$G$104,VLOOKUP(G$1,main!$A$3:$H$102,5,FALSE)-VLOOKUP($A138,main!$A$3:$H$102,6,FALSE)&gt;=main!$D$103+VLOOKUP(VLOOKUP(G$1,main!$A$3:$I$102,7,FALSE),main!$K$26:$Q$29,4,FALSE)),1,0)</f>
        <v>0</v>
      </c>
      <c r="H138">
        <f>IF(AND(VLOOKUP(H$1,main!$A$3:$H$102,7,FALSE)=main!$G$104,VLOOKUP(H$1,main!$A$3:$H$102,5,FALSE)-VLOOKUP($A138,main!$A$3:$H$102,6,FALSE)&gt;=main!$D$103+VLOOKUP(VLOOKUP(H$1,main!$A$3:$I$102,7,FALSE),main!$K$26:$Q$29,4,FALSE)),1,0)</f>
        <v>0</v>
      </c>
      <c r="I138">
        <f>IF(AND(VLOOKUP(I$1,main!$A$3:$H$102,7,FALSE)=main!$G$104,VLOOKUP(I$1,main!$A$3:$H$102,5,FALSE)-VLOOKUP($A138,main!$A$3:$H$102,6,FALSE)&gt;=main!$D$103+VLOOKUP(VLOOKUP(I$1,main!$A$3:$I$102,7,FALSE),main!$K$26:$Q$29,4,FALSE)),1,0)</f>
        <v>0</v>
      </c>
      <c r="J138">
        <f>IF(AND(VLOOKUP(J$1,main!$A$3:$H$102,7,FALSE)=main!$G$104,VLOOKUP(J$1,main!$A$3:$H$102,5,FALSE)-VLOOKUP($A138,main!$A$3:$H$102,6,FALSE)&gt;=main!$D$103+VLOOKUP(VLOOKUP(J$1,main!$A$3:$I$102,7,FALSE),main!$K$26:$Q$29,4,FALSE)),1,0)</f>
        <v>0</v>
      </c>
      <c r="K138">
        <f>IF(AND(VLOOKUP(K$1,main!$A$3:$H$102,7,FALSE)=main!$G$104,VLOOKUP(K$1,main!$A$3:$H$102,5,FALSE)-VLOOKUP($A138,main!$A$3:$H$102,6,FALSE)&gt;=main!$D$103+VLOOKUP(VLOOKUP(K$1,main!$A$3:$I$102,7,FALSE),main!$K$26:$Q$29,4,FALSE)),1,0)</f>
        <v>1</v>
      </c>
      <c r="L138">
        <f>IF(AND(VLOOKUP(L$1,main!$A$3:$H$102,7,FALSE)=main!$G$104,VLOOKUP(L$1,main!$A$3:$H$102,5,FALSE)-VLOOKUP($A138,main!$A$3:$H$102,6,FALSE)&gt;=main!$D$103+VLOOKUP(VLOOKUP(L$1,main!$A$3:$I$102,7,FALSE),main!$K$26:$Q$29,4,FALSE)),1,0)</f>
        <v>1</v>
      </c>
      <c r="M138">
        <f>IF(AND(VLOOKUP(M$1,main!$A$3:$H$102,7,FALSE)=main!$G$104,VLOOKUP(M$1,main!$A$3:$H$102,5,FALSE)-VLOOKUP($A138,main!$A$3:$H$102,6,FALSE)&gt;=main!$D$103+VLOOKUP(VLOOKUP(M$1,main!$A$3:$I$102,7,FALSE),main!$K$26:$Q$29,4,FALSE)),1,0)</f>
        <v>0</v>
      </c>
      <c r="N138">
        <f>IF(AND(VLOOKUP(N$1,main!$A$3:$H$102,7,FALSE)=main!$G$104,VLOOKUP(N$1,main!$A$3:$H$102,5,FALSE)-VLOOKUP($A138,main!$A$3:$H$102,6,FALSE)&gt;=main!$D$103+VLOOKUP(VLOOKUP(N$1,main!$A$3:$I$102,7,FALSE),main!$K$26:$Q$29,4,FALSE)),1,0)</f>
        <v>0</v>
      </c>
      <c r="O138">
        <f>IF(AND(VLOOKUP(O$1,main!$A$3:$H$102,7,FALSE)=main!$G$104,VLOOKUP(O$1,main!$A$3:$H$102,5,FALSE)-VLOOKUP($A138,main!$A$3:$H$102,6,FALSE)&gt;=main!$D$103+VLOOKUP(VLOOKUP(O$1,main!$A$3:$I$102,7,FALSE),main!$K$26:$Q$29,4,FALSE)),1,0)</f>
        <v>0</v>
      </c>
      <c r="P138">
        <f>IF(AND(VLOOKUP(P$1,main!$A$3:$H$102,7,FALSE)=main!$G$104,VLOOKUP(P$1,main!$A$3:$H$102,5,FALSE)-VLOOKUP($A138,main!$A$3:$H$102,6,FALSE)&gt;=main!$D$103+VLOOKUP(VLOOKUP(P$1,main!$A$3:$I$102,7,FALSE),main!$K$26:$Q$29,4,FALSE)),1,0)</f>
        <v>0</v>
      </c>
      <c r="Q138">
        <f>IF(AND(VLOOKUP(Q$1,main!$A$3:$H$102,7,FALSE)=main!$G$104,VLOOKUP(Q$1,main!$A$3:$H$102,5,FALSE)-VLOOKUP($A138,main!$A$3:$H$102,6,FALSE)&gt;=main!$D$103+VLOOKUP(VLOOKUP(Q$1,main!$A$3:$I$102,7,FALSE),main!$K$26:$Q$29,4,FALSE)),1,0)</f>
        <v>0</v>
      </c>
      <c r="R138">
        <f>IF(AND(VLOOKUP(R$1,main!$A$3:$H$102,7,FALSE)=main!$G$104,VLOOKUP(R$1,main!$A$3:$H$102,5,FALSE)-VLOOKUP($A138,main!$A$3:$H$102,6,FALSE)&gt;=main!$D$103+VLOOKUP(VLOOKUP(R$1,main!$A$3:$I$102,7,FALSE),main!$K$26:$Q$29,4,FALSE)),1,0)</f>
        <v>0</v>
      </c>
      <c r="S138">
        <f>IF(AND(VLOOKUP(S$1,main!$A$3:$H$102,7,FALSE)=main!$G$104,VLOOKUP(S$1,main!$A$3:$H$102,5,FALSE)-VLOOKUP($A138,main!$A$3:$H$102,6,FALSE)&gt;=main!$D$103+VLOOKUP(VLOOKUP(S$1,main!$A$3:$I$102,7,FALSE),main!$K$26:$Q$29,4,FALSE)),1,0)</f>
        <v>0</v>
      </c>
      <c r="T138">
        <f>IF(AND(VLOOKUP(T$1,main!$A$3:$H$102,7,FALSE)=main!$G$104,VLOOKUP(T$1,main!$A$3:$H$102,5,FALSE)-VLOOKUP($A138,main!$A$3:$H$102,6,FALSE)&gt;=main!$D$103+VLOOKUP(VLOOKUP(T$1,main!$A$3:$I$102,7,FALSE),main!$K$26:$Q$29,4,FALSE)),1,0)</f>
        <v>0</v>
      </c>
      <c r="U138">
        <f>IF(AND(VLOOKUP(U$1,main!$A$3:$H$102,7,FALSE)=main!$G$104,VLOOKUP(U$1,main!$A$3:$H$102,5,FALSE)-VLOOKUP($A138,main!$A$3:$H$102,6,FALSE)&gt;=main!$D$103+VLOOKUP(VLOOKUP(U$1,main!$A$3:$I$102,7,FALSE),main!$K$26:$Q$29,4,FALSE)),1,0)</f>
        <v>1</v>
      </c>
      <c r="V138">
        <f>IF(AND(VLOOKUP(V$1,main!$A$3:$H$102,7,FALSE)=main!$G$104,VLOOKUP(V$1,main!$A$3:$H$102,5,FALSE)-VLOOKUP($A138,main!$A$3:$H$102,6,FALSE)&gt;=main!$D$103+VLOOKUP(VLOOKUP(V$1,main!$A$3:$I$102,7,FALSE),main!$K$26:$Q$29,4,FALSE)),1,0)</f>
        <v>1</v>
      </c>
      <c r="W138">
        <f>IF(AND(VLOOKUP(W$1,main!$A$3:$H$102,7,FALSE)=main!$G$104,VLOOKUP(W$1,main!$A$3:$H$102,5,FALSE)-VLOOKUP($A138,main!$A$3:$H$102,6,FALSE)&gt;=main!$D$103+VLOOKUP(VLOOKUP(W$1,main!$A$3:$I$102,7,FALSE),main!$K$26:$Q$29,4,FALSE)),1,0)</f>
        <v>0</v>
      </c>
      <c r="X138">
        <f>IF(AND(VLOOKUP(X$1,main!$A$3:$H$102,7,FALSE)=main!$G$104,VLOOKUP(X$1,main!$A$3:$H$102,5,FALSE)-VLOOKUP($A138,main!$A$3:$H$102,6,FALSE)&gt;=main!$D$103+VLOOKUP(VLOOKUP(X$1,main!$A$3:$I$102,7,FALSE),main!$K$26:$Q$29,4,FALSE)),1,0)</f>
        <v>0</v>
      </c>
      <c r="Y138">
        <f>IF(AND(VLOOKUP(Y$1,main!$A$3:$H$102,7,FALSE)=main!$G$104,VLOOKUP(Y$1,main!$A$3:$H$102,5,FALSE)-VLOOKUP($A138,main!$A$3:$H$102,6,FALSE)&gt;=main!$D$103+VLOOKUP(VLOOKUP(Y$1,main!$A$3:$I$102,7,FALSE),main!$K$26:$Q$29,4,FALSE)),1,0)</f>
        <v>0</v>
      </c>
      <c r="Z138">
        <f>IF(AND(VLOOKUP(Z$1,main!$A$3:$H$102,7,FALSE)=main!$G$104,VLOOKUP(Z$1,main!$A$3:$H$102,5,FALSE)-VLOOKUP($A138,main!$A$3:$H$102,6,FALSE)&gt;=main!$D$103+VLOOKUP(VLOOKUP(Z$1,main!$A$3:$I$102,7,FALSE),main!$K$26:$Q$29,4,FALSE)),1,0)</f>
        <v>0</v>
      </c>
      <c r="AA138">
        <f>IF(AND(VLOOKUP(AA$1,main!$A$3:$H$102,7,FALSE)=main!$G$104,VLOOKUP(AA$1,main!$A$3:$H$102,5,FALSE)-VLOOKUP($A138,main!$A$3:$H$102,6,FALSE)&gt;=main!$D$103+VLOOKUP(VLOOKUP(AA$1,main!$A$3:$I$102,7,FALSE),main!$K$26:$Q$29,4,FALSE)),1,0)</f>
        <v>1</v>
      </c>
      <c r="AB138">
        <f>IF(AND(VLOOKUP(AB$1,main!$A$3:$H$102,7,FALSE)=main!$G$104,VLOOKUP(AB$1,main!$A$3:$H$102,5,FALSE)-VLOOKUP($A138,main!$A$3:$H$102,6,FALSE)&gt;=main!$D$103+VLOOKUP(VLOOKUP(AB$1,main!$A$3:$I$102,7,FALSE),main!$K$26:$Q$29,4,FALSE)),1,0)</f>
        <v>0</v>
      </c>
      <c r="AC138">
        <f>IF(AND(VLOOKUP(AC$1,main!$A$3:$H$102,7,FALSE)=main!$G$104,VLOOKUP(AC$1,main!$A$3:$H$102,5,FALSE)-VLOOKUP($A138,main!$A$3:$H$102,6,FALSE)&gt;=main!$D$103+VLOOKUP(VLOOKUP(AC$1,main!$A$3:$I$102,7,FALSE),main!$K$26:$Q$29,4,FALSE)),1,0)</f>
        <v>0</v>
      </c>
      <c r="AD138">
        <f>IF(AND(VLOOKUP(AD$1,main!$A$3:$H$102,7,FALSE)=main!$G$104,VLOOKUP(AD$1,main!$A$3:$H$102,5,FALSE)-VLOOKUP($A138,main!$A$3:$H$102,6,FALSE)&gt;=main!$D$103+VLOOKUP(VLOOKUP(AD$1,main!$A$3:$I$102,7,FALSE),main!$K$26:$Q$29,4,FALSE)),1,0)</f>
        <v>0</v>
      </c>
      <c r="AE138">
        <f>IF(AND(VLOOKUP(AE$1,main!$A$3:$H$102,7,FALSE)=main!$G$104,VLOOKUP(AE$1,main!$A$3:$H$102,5,FALSE)-VLOOKUP($A138,main!$A$3:$H$102,6,FALSE)&gt;=main!$D$103+VLOOKUP(VLOOKUP(AE$1,main!$A$3:$I$102,7,FALSE),main!$K$26:$Q$29,4,FALSE)),1,0)</f>
        <v>0</v>
      </c>
      <c r="AF138">
        <f>IF(AND(VLOOKUP(AF$1,main!$A$3:$H$102,7,FALSE)=main!$G$104,VLOOKUP(AF$1,main!$A$3:$H$102,5,FALSE)-VLOOKUP($A138,main!$A$3:$H$102,6,FALSE)&gt;=main!$D$103+VLOOKUP(VLOOKUP(AF$1,main!$A$3:$I$102,7,FALSE),main!$K$26:$Q$29,4,FALSE)),1,0)</f>
        <v>1</v>
      </c>
      <c r="AG138">
        <f>IF(AND(VLOOKUP(AG$1,main!$A$3:$H$102,7,FALSE)=main!$G$104,VLOOKUP(AG$1,main!$A$3:$H$102,5,FALSE)-VLOOKUP($A138,main!$A$3:$H$102,6,FALSE)&gt;=main!$D$103+VLOOKUP(VLOOKUP(AG$1,main!$A$3:$I$102,7,FALSE),main!$K$26:$Q$29,4,FALSE)),1,0)</f>
        <v>0</v>
      </c>
      <c r="AH138">
        <f>IF(AND(VLOOKUP(AH$1,main!$A$3:$H$102,7,FALSE)=main!$G$104,VLOOKUP(AH$1,main!$A$3:$H$102,5,FALSE)-VLOOKUP($A138,main!$A$3:$H$102,6,FALSE)&gt;=main!$D$103+VLOOKUP(VLOOKUP(AH$1,main!$A$3:$I$102,7,FALSE),main!$K$26:$Q$29,4,FALSE)),1,0)</f>
        <v>0</v>
      </c>
      <c r="AI138">
        <f>IF(AND(VLOOKUP(AI$1,main!$A$3:$H$102,7,FALSE)=main!$G$104,VLOOKUP(AI$1,main!$A$3:$H$102,5,FALSE)-VLOOKUP($A138,main!$A$3:$H$102,6,FALSE)&gt;=main!$D$103+VLOOKUP(VLOOKUP(AI$1,main!$A$3:$I$102,7,FALSE),main!$K$26:$Q$29,4,FALSE)),1,0)</f>
        <v>0</v>
      </c>
      <c r="AJ138">
        <f>IF(AND(VLOOKUP(AJ$1,main!$A$3:$H$102,7,FALSE)=main!$G$104,VLOOKUP(AJ$1,main!$A$3:$H$102,5,FALSE)-VLOOKUP($A138,main!$A$3:$H$102,6,FALSE)&gt;=main!$D$103+VLOOKUP(VLOOKUP(AJ$1,main!$A$3:$I$102,7,FALSE),main!$K$26:$Q$29,4,FALSE)),1,0)</f>
        <v>0</v>
      </c>
      <c r="AK138">
        <f>IF(AND(VLOOKUP(AK$1,main!$A$3:$H$102,7,FALSE)=main!$G$104,VLOOKUP(AK$1,main!$A$3:$H$102,5,FALSE)-VLOOKUP($A138,main!$A$3:$H$102,6,FALSE)&gt;=main!$D$103+VLOOKUP(VLOOKUP(AK$1,main!$A$3:$I$102,7,FALSE),main!$K$26:$Q$29,4,FALSE)),1,0)</f>
        <v>0</v>
      </c>
      <c r="AL138">
        <f>IF(AND(VLOOKUP(AL$1,main!$A$3:$H$102,7,FALSE)=main!$G$104,VLOOKUP(AL$1,main!$A$3:$H$102,5,FALSE)-VLOOKUP($A138,main!$A$3:$H$102,6,FALSE)&gt;=main!$D$103+VLOOKUP(VLOOKUP(AL$1,main!$A$3:$I$102,7,FALSE),main!$K$26:$Q$29,4,FALSE)),1,0)</f>
        <v>0</v>
      </c>
      <c r="AM138">
        <f>IF(AND(VLOOKUP(AM$1,main!$A$3:$H$102,7,FALSE)=main!$G$104,VLOOKUP(AM$1,main!$A$3:$H$102,5,FALSE)-VLOOKUP($A138,main!$A$3:$H$102,6,FALSE)&gt;=main!$D$103+VLOOKUP(VLOOKUP(AM$1,main!$A$3:$I$102,7,FALSE),main!$K$26:$Q$29,4,FALSE)),1,0)</f>
        <v>0</v>
      </c>
      <c r="AN138">
        <f>IF(AND(VLOOKUP(AN$1,main!$A$3:$H$102,7,FALSE)=main!$G$104,VLOOKUP(AN$1,main!$A$3:$H$102,5,FALSE)-VLOOKUP($A138,main!$A$3:$H$102,6,FALSE)&gt;=main!$D$103+VLOOKUP(VLOOKUP(AN$1,main!$A$3:$I$102,7,FALSE),main!$K$26:$Q$29,4,FALSE)),1,0)</f>
        <v>0</v>
      </c>
      <c r="AO138">
        <f>IF(AND(VLOOKUP(AO$1,main!$A$3:$H$102,7,FALSE)=main!$G$104,VLOOKUP(AO$1,main!$A$3:$H$102,5,FALSE)-VLOOKUP($A138,main!$A$3:$H$102,6,FALSE)&gt;=main!$D$103+VLOOKUP(VLOOKUP(AO$1,main!$A$3:$I$102,7,FALSE),main!$K$26:$Q$29,4,FALSE)),1,0)</f>
        <v>0</v>
      </c>
      <c r="AP138">
        <f>IF(AND(VLOOKUP(AP$1,main!$A$3:$H$102,7,FALSE)=main!$G$104,VLOOKUP(AP$1,main!$A$3:$H$102,5,FALSE)-VLOOKUP($A138,main!$A$3:$H$102,6,FALSE)&gt;=main!$D$103+VLOOKUP(VLOOKUP(AP$1,main!$A$3:$I$102,7,FALSE),main!$K$26:$Q$29,4,FALSE)),1,0)</f>
        <v>0</v>
      </c>
      <c r="AQ138">
        <f>IF(AND(VLOOKUP(AQ$1,main!$A$3:$H$102,7,FALSE)=main!$G$104,VLOOKUP(AQ$1,main!$A$3:$H$102,5,FALSE)-VLOOKUP($A138,main!$A$3:$H$102,6,FALSE)&gt;=main!$D$103+VLOOKUP(VLOOKUP(AQ$1,main!$A$3:$I$102,7,FALSE),main!$K$26:$Q$29,4,FALSE)),1,0)</f>
        <v>0</v>
      </c>
      <c r="AR138">
        <f>IF(AND(VLOOKUP(AR$1,main!$A$3:$H$102,7,FALSE)=main!$G$104,VLOOKUP(AR$1,main!$A$3:$H$102,5,FALSE)-VLOOKUP($A138,main!$A$3:$H$102,6,FALSE)&gt;=main!$D$103+VLOOKUP(VLOOKUP(AR$1,main!$A$3:$I$102,7,FALSE),main!$K$26:$Q$29,4,FALSE)),1,0)</f>
        <v>0</v>
      </c>
      <c r="AS138">
        <f>IF(AND(VLOOKUP(AS$1,main!$A$3:$H$102,7,FALSE)=main!$G$104,VLOOKUP(AS$1,main!$A$3:$H$102,5,FALSE)-VLOOKUP($A138,main!$A$3:$H$102,6,FALSE)&gt;=main!$D$103+VLOOKUP(VLOOKUP(AS$1,main!$A$3:$I$102,7,FALSE),main!$K$26:$Q$29,4,FALSE)),1,0)</f>
        <v>0</v>
      </c>
      <c r="AT138">
        <f>IF(AND(VLOOKUP(AT$1,main!$A$3:$H$102,7,FALSE)=main!$G$104,VLOOKUP(AT$1,main!$A$3:$H$102,5,FALSE)-VLOOKUP($A138,main!$A$3:$H$102,6,FALSE)&gt;=main!$D$103+VLOOKUP(VLOOKUP(AT$1,main!$A$3:$I$102,7,FALSE),main!$K$26:$Q$29,4,FALSE)),1,0)</f>
        <v>0</v>
      </c>
      <c r="AU138">
        <f>IF(AND(VLOOKUP(AU$1,main!$A$3:$H$102,7,FALSE)=main!$G$104,VLOOKUP(AU$1,main!$A$3:$H$102,5,FALSE)-VLOOKUP($A138,main!$A$3:$H$102,6,FALSE)&gt;=main!$D$103+VLOOKUP(VLOOKUP(AU$1,main!$A$3:$I$102,7,FALSE),main!$K$26:$Q$29,4,FALSE)),1,0)</f>
        <v>0</v>
      </c>
      <c r="AV138">
        <f>IF(AND(VLOOKUP(AV$1,main!$A$3:$H$102,7,FALSE)=main!$G$104,VLOOKUP(AV$1,main!$A$3:$H$102,5,FALSE)-VLOOKUP($A138,main!$A$3:$H$102,6,FALSE)&gt;=main!$D$103+VLOOKUP(VLOOKUP(AV$1,main!$A$3:$I$102,7,FALSE),main!$K$26:$Q$29,4,FALSE)),1,0)</f>
        <v>0</v>
      </c>
      <c r="AW138">
        <f>IF(AND(VLOOKUP(AW$1,main!$A$3:$H$102,7,FALSE)=main!$G$104,VLOOKUP(AW$1,main!$A$3:$H$102,5,FALSE)-VLOOKUP($A138,main!$A$3:$H$102,6,FALSE)&gt;=main!$D$103+VLOOKUP(VLOOKUP(AW$1,main!$A$3:$I$102,7,FALSE),main!$K$26:$Q$29,4,FALSE)),1,0)</f>
        <v>0</v>
      </c>
      <c r="AX138">
        <f>IF(AND(VLOOKUP(AX$1,main!$A$3:$H$102,7,FALSE)=main!$G$104,VLOOKUP(AX$1,main!$A$3:$H$102,5,FALSE)-VLOOKUP($A138,main!$A$3:$H$102,6,FALSE)&gt;=main!$D$103+VLOOKUP(VLOOKUP(AX$1,main!$A$3:$I$102,7,FALSE),main!$K$26:$Q$29,4,FALSE)),1,0)</f>
        <v>0</v>
      </c>
      <c r="AY138">
        <f>IF(AND(VLOOKUP(AY$1,main!$A$3:$H$102,7,FALSE)=main!$G$104,VLOOKUP(AY$1,main!$A$3:$H$102,5,FALSE)-VLOOKUP($A138,main!$A$3:$H$102,6,FALSE)&gt;=main!$D$103+VLOOKUP(VLOOKUP(AY$1,main!$A$3:$I$102,7,FALSE),main!$K$26:$Q$29,4,FALSE)),1,0)</f>
        <v>0</v>
      </c>
      <c r="AZ138">
        <f>IF(AND(VLOOKUP(AZ$1,main!$A$3:$H$102,7,FALSE)=main!$G$104,VLOOKUP(AZ$1,main!$A$3:$H$102,5,FALSE)-VLOOKUP($A138,main!$A$3:$H$102,6,FALSE)&gt;=main!$D$103+VLOOKUP(VLOOKUP(AZ$1,main!$A$3:$I$102,7,FALSE),main!$K$26:$Q$29,4,FALSE)),1,0)</f>
        <v>0</v>
      </c>
      <c r="BA138">
        <f>IF(AND(VLOOKUP(BA$1,main!$A$3:$H$102,7,FALSE)=main!$G$104,VLOOKUP(BA$1,main!$A$3:$H$102,5,FALSE)-VLOOKUP($A138,main!$A$3:$H$102,6,FALSE)&gt;=main!$D$103+VLOOKUP(VLOOKUP(BA$1,main!$A$3:$I$102,7,FALSE),main!$K$26:$Q$29,4,FALSE)),1,0)</f>
        <v>0</v>
      </c>
      <c r="BB138">
        <f>IF(AND(VLOOKUP(BB$1,main!$A$3:$H$102,7,FALSE)=main!$G$104,VLOOKUP(BB$1,main!$A$3:$H$102,5,FALSE)-VLOOKUP($A138,main!$A$3:$H$102,6,FALSE)&gt;=main!$D$103+VLOOKUP(VLOOKUP(BB$1,main!$A$3:$I$102,7,FALSE),main!$K$26:$Q$29,4,FALSE)),1,0)</f>
        <v>0</v>
      </c>
      <c r="BC138">
        <f>IF(AND(VLOOKUP(BC$1,main!$A$3:$H$102,7,FALSE)=main!$G$104,VLOOKUP(BC$1,main!$A$3:$H$102,5,FALSE)-VLOOKUP($A138,main!$A$3:$H$102,6,FALSE)&gt;=main!$D$103+VLOOKUP(VLOOKUP(BC$1,main!$A$3:$I$102,7,FALSE),main!$K$26:$Q$29,4,FALSE)),1,0)</f>
        <v>0</v>
      </c>
      <c r="BD138">
        <f>IF(AND(VLOOKUP(BD$1,main!$A$3:$H$102,7,FALSE)=main!$G$104,VLOOKUP(BD$1,main!$A$3:$H$102,5,FALSE)-VLOOKUP($A138,main!$A$3:$H$102,6,FALSE)&gt;=main!$D$103+VLOOKUP(VLOOKUP(BD$1,main!$A$3:$I$102,7,FALSE),main!$K$26:$Q$29,4,FALSE)),1,0)</f>
        <v>0</v>
      </c>
      <c r="BE138">
        <f>IF(AND(VLOOKUP(BE$1,main!$A$3:$H$102,7,FALSE)=main!$G$104,VLOOKUP(BE$1,main!$A$3:$H$102,5,FALSE)-VLOOKUP($A138,main!$A$3:$H$102,6,FALSE)&gt;=main!$D$103+VLOOKUP(VLOOKUP(BE$1,main!$A$3:$I$102,7,FALSE),main!$K$26:$Q$29,4,FALSE)),1,0)</f>
        <v>0</v>
      </c>
      <c r="BF138">
        <f>IF(AND(VLOOKUP(BF$1,main!$A$3:$H$102,7,FALSE)=main!$G$104,VLOOKUP(BF$1,main!$A$3:$H$102,5,FALSE)-VLOOKUP($A138,main!$A$3:$H$102,6,FALSE)&gt;=main!$D$103+VLOOKUP(VLOOKUP(BF$1,main!$A$3:$I$102,7,FALSE),main!$K$26:$Q$29,4,FALSE)),1,0)</f>
        <v>0</v>
      </c>
      <c r="BG138">
        <f>IF(AND(VLOOKUP(BG$1,main!$A$3:$H$102,7,FALSE)=main!$G$104,VLOOKUP(BG$1,main!$A$3:$H$102,5,FALSE)-VLOOKUP($A138,main!$A$3:$H$102,6,FALSE)&gt;=main!$D$103+VLOOKUP(VLOOKUP(BG$1,main!$A$3:$I$102,7,FALSE),main!$K$26:$Q$29,4,FALSE)),1,0)</f>
        <v>0</v>
      </c>
      <c r="BH138">
        <f>IF(AND(VLOOKUP(BH$1,main!$A$3:$H$102,7,FALSE)=main!$G$104,VLOOKUP(BH$1,main!$A$3:$H$102,5,FALSE)-VLOOKUP($A138,main!$A$3:$H$102,6,FALSE)&gt;=main!$D$103+VLOOKUP(VLOOKUP(BH$1,main!$A$3:$I$102,7,FALSE),main!$K$26:$Q$29,4,FALSE)),1,0)</f>
        <v>0</v>
      </c>
      <c r="BI138">
        <f>IF(AND(VLOOKUP(BI$1,main!$A$3:$H$102,7,FALSE)=main!$G$104,VLOOKUP(BI$1,main!$A$3:$H$102,5,FALSE)-VLOOKUP($A138,main!$A$3:$H$102,6,FALSE)&gt;=main!$D$103+VLOOKUP(VLOOKUP(BI$1,main!$A$3:$I$102,7,FALSE),main!$K$26:$Q$29,4,FALSE)),1,0)</f>
        <v>0</v>
      </c>
      <c r="BJ138">
        <f>IF(AND(VLOOKUP(BJ$1,main!$A$3:$H$102,7,FALSE)=main!$G$104,VLOOKUP(BJ$1,main!$A$3:$H$102,5,FALSE)-VLOOKUP($A138,main!$A$3:$H$102,6,FALSE)&gt;=main!$D$103+VLOOKUP(VLOOKUP(BJ$1,main!$A$3:$I$102,7,FALSE),main!$K$26:$Q$29,4,FALSE)),1,0)</f>
        <v>0</v>
      </c>
      <c r="BK138">
        <f>IF(AND(VLOOKUP(BK$1,main!$A$3:$H$102,7,FALSE)=main!$G$104,VLOOKUP(BK$1,main!$A$3:$H$102,5,FALSE)-VLOOKUP($A138,main!$A$3:$H$102,6,FALSE)&gt;=main!$D$103+VLOOKUP(VLOOKUP(BK$1,main!$A$3:$I$102,7,FALSE),main!$K$26:$Q$29,4,FALSE)),1,0)</f>
        <v>0</v>
      </c>
      <c r="BL138">
        <f>IF(AND(VLOOKUP(BL$1,main!$A$3:$H$102,7,FALSE)=main!$G$104,VLOOKUP(BL$1,main!$A$3:$H$102,5,FALSE)-VLOOKUP($A138,main!$A$3:$H$102,6,FALSE)&gt;=main!$D$103+VLOOKUP(VLOOKUP(BL$1,main!$A$3:$I$102,7,FALSE),main!$K$26:$Q$29,4,FALSE)),1,0)</f>
        <v>0</v>
      </c>
      <c r="BM138">
        <f>IF(AND(VLOOKUP(BM$1,main!$A$3:$H$102,7,FALSE)=main!$G$104,VLOOKUP(BM$1,main!$A$3:$H$102,5,FALSE)-VLOOKUP($A138,main!$A$3:$H$102,6,FALSE)&gt;=main!$D$103+VLOOKUP(VLOOKUP(BM$1,main!$A$3:$I$102,7,FALSE),main!$K$26:$Q$29,4,FALSE)),1,0)</f>
        <v>0</v>
      </c>
      <c r="BN138">
        <f>IF(AND(VLOOKUP(BN$1,main!$A$3:$H$102,7,FALSE)=main!$G$104,VLOOKUP(BN$1,main!$A$3:$H$102,5,FALSE)-VLOOKUP($A138,main!$A$3:$H$102,6,FALSE)&gt;=main!$D$103+VLOOKUP(VLOOKUP(BN$1,main!$A$3:$I$102,7,FALSE),main!$K$26:$Q$29,4,FALSE)),1,0)</f>
        <v>0</v>
      </c>
      <c r="BO138">
        <f>IF(AND(VLOOKUP(BO$1,main!$A$3:$H$102,7,FALSE)=main!$G$104,VLOOKUP(BO$1,main!$A$3:$H$102,5,FALSE)-VLOOKUP($A138,main!$A$3:$H$102,6,FALSE)&gt;=main!$D$103+VLOOKUP(VLOOKUP(BO$1,main!$A$3:$I$102,7,FALSE),main!$K$26:$Q$29,4,FALSE)),1,0)</f>
        <v>0</v>
      </c>
      <c r="BP138">
        <f>IF(AND(VLOOKUP(BP$1,main!$A$3:$H$102,7,FALSE)=main!$G$104,VLOOKUP(BP$1,main!$A$3:$H$102,5,FALSE)-VLOOKUP($A138,main!$A$3:$H$102,6,FALSE)&gt;=main!$D$103+VLOOKUP(VLOOKUP(BP$1,main!$A$3:$I$102,7,FALSE),main!$K$26:$Q$29,4,FALSE)),1,0)</f>
        <v>0</v>
      </c>
      <c r="BQ138">
        <f>IF(AND(VLOOKUP(BQ$1,main!$A$3:$H$102,7,FALSE)=main!$G$104,VLOOKUP(BQ$1,main!$A$3:$H$102,5,FALSE)-VLOOKUP($A138,main!$A$3:$H$102,6,FALSE)&gt;=main!$D$103+VLOOKUP(VLOOKUP(BQ$1,main!$A$3:$I$102,7,FALSE),main!$K$26:$Q$29,4,FALSE)),1,0)</f>
        <v>0</v>
      </c>
      <c r="BR138">
        <f>IF(AND(VLOOKUP(BR$1,main!$A$3:$H$102,7,FALSE)=main!$G$104,VLOOKUP(BR$1,main!$A$3:$H$102,5,FALSE)-VLOOKUP($A138,main!$A$3:$H$102,6,FALSE)&gt;=main!$D$103+VLOOKUP(VLOOKUP(BR$1,main!$A$3:$I$102,7,FALSE),main!$K$26:$Q$29,4,FALSE)),1,0)</f>
        <v>0</v>
      </c>
      <c r="BS138">
        <f>IF(AND(VLOOKUP(BS$1,main!$A$3:$H$102,7,FALSE)=main!$G$104,VLOOKUP(BS$1,main!$A$3:$H$102,5,FALSE)-VLOOKUP($A138,main!$A$3:$H$102,6,FALSE)&gt;=main!$D$103+VLOOKUP(VLOOKUP(BS$1,main!$A$3:$I$102,7,FALSE),main!$K$26:$Q$29,4,FALSE)),1,0)</f>
        <v>0</v>
      </c>
      <c r="BT138">
        <f>IF(AND(VLOOKUP(BT$1,main!$A$3:$H$102,7,FALSE)=main!$G$104,VLOOKUP(BT$1,main!$A$3:$H$102,5,FALSE)-VLOOKUP($A138,main!$A$3:$H$102,6,FALSE)&gt;=main!$D$103+VLOOKUP(VLOOKUP(BT$1,main!$A$3:$I$102,7,FALSE),main!$K$26:$Q$29,4,FALSE)),1,0)</f>
        <v>0</v>
      </c>
      <c r="BU138">
        <f>IF(AND(VLOOKUP(BU$1,main!$A$3:$H$102,7,FALSE)=main!$G$104,VLOOKUP(BU$1,main!$A$3:$H$102,5,FALSE)-VLOOKUP($A138,main!$A$3:$H$102,6,FALSE)&gt;=main!$D$103+VLOOKUP(VLOOKUP(BU$1,main!$A$3:$I$102,7,FALSE),main!$K$26:$Q$29,4,FALSE)),1,0)</f>
        <v>0</v>
      </c>
      <c r="BV138">
        <f>IF(AND(VLOOKUP(BV$1,main!$A$3:$H$102,7,FALSE)=main!$G$104,VLOOKUP(BV$1,main!$A$3:$H$102,5,FALSE)-VLOOKUP($A138,main!$A$3:$H$102,6,FALSE)&gt;=main!$D$103+VLOOKUP(VLOOKUP(BV$1,main!$A$3:$I$102,7,FALSE),main!$K$26:$Q$29,4,FALSE)),1,0)</f>
        <v>0</v>
      </c>
      <c r="BW138">
        <f>IF(AND(VLOOKUP(BW$1,main!$A$3:$H$102,7,FALSE)=main!$G$104,VLOOKUP(BW$1,main!$A$3:$H$102,5,FALSE)-VLOOKUP($A138,main!$A$3:$H$102,6,FALSE)&gt;=main!$D$103+VLOOKUP(VLOOKUP(BW$1,main!$A$3:$I$102,7,FALSE),main!$K$26:$Q$29,4,FALSE)),1,0)</f>
        <v>0</v>
      </c>
      <c r="BX138">
        <f>IF(AND(VLOOKUP(BX$1,main!$A$3:$H$102,7,FALSE)=main!$G$104,VLOOKUP(BX$1,main!$A$3:$H$102,5,FALSE)-VLOOKUP($A138,main!$A$3:$H$102,6,FALSE)&gt;=main!$D$103+VLOOKUP(VLOOKUP(BX$1,main!$A$3:$I$102,7,FALSE),main!$K$26:$Q$29,4,FALSE)),1,0)</f>
        <v>0</v>
      </c>
      <c r="BY138">
        <f>IF(AND(VLOOKUP(BY$1,main!$A$3:$H$102,7,FALSE)=main!$G$104,VLOOKUP(BY$1,main!$A$3:$H$102,5,FALSE)-VLOOKUP($A138,main!$A$3:$H$102,6,FALSE)&gt;=main!$D$103+VLOOKUP(VLOOKUP(BY$1,main!$A$3:$I$102,7,FALSE),main!$K$26:$Q$29,4,FALSE)),1,0)</f>
        <v>0</v>
      </c>
      <c r="BZ138">
        <f>IF(AND(VLOOKUP(BZ$1,main!$A$3:$H$102,7,FALSE)=main!$G$104,VLOOKUP(BZ$1,main!$A$3:$H$102,5,FALSE)-VLOOKUP($A138,main!$A$3:$H$102,6,FALSE)&gt;=main!$D$103+VLOOKUP(VLOOKUP(BZ$1,main!$A$3:$I$102,7,FALSE),main!$K$26:$Q$29,4,FALSE)),1,0)</f>
        <v>0</v>
      </c>
      <c r="CA138">
        <f>IF(AND(VLOOKUP(CA$1,main!$A$3:$H$102,7,FALSE)=main!$G$104,VLOOKUP(CA$1,main!$A$3:$H$102,5,FALSE)-VLOOKUP($A138,main!$A$3:$H$102,6,FALSE)&gt;=main!$D$103+VLOOKUP(VLOOKUP(CA$1,main!$A$3:$I$102,7,FALSE),main!$K$26:$Q$29,4,FALSE)),1,0)</f>
        <v>0</v>
      </c>
      <c r="CB138">
        <f>IF(AND(VLOOKUP(CB$1,main!$A$3:$H$102,7,FALSE)=main!$G$104,VLOOKUP(CB$1,main!$A$3:$H$102,5,FALSE)-VLOOKUP($A138,main!$A$3:$H$102,6,FALSE)&gt;=main!$D$103+VLOOKUP(VLOOKUP(CB$1,main!$A$3:$I$102,7,FALSE),main!$K$26:$Q$29,4,FALSE)),1,0)</f>
        <v>0</v>
      </c>
      <c r="CC138">
        <f>IF(AND(VLOOKUP(CC$1,main!$A$3:$H$102,7,FALSE)=main!$G$104,VLOOKUP(CC$1,main!$A$3:$H$102,5,FALSE)-VLOOKUP($A138,main!$A$3:$H$102,6,FALSE)&gt;=main!$D$103+VLOOKUP(VLOOKUP(CC$1,main!$A$3:$I$102,7,FALSE),main!$K$26:$Q$29,4,FALSE)),1,0)</f>
        <v>0</v>
      </c>
      <c r="CD138">
        <f>IF(AND(VLOOKUP(CD$1,main!$A$3:$H$102,7,FALSE)=main!$G$104,VLOOKUP(CD$1,main!$A$3:$H$102,5,FALSE)-VLOOKUP($A138,main!$A$3:$H$102,6,FALSE)&gt;=main!$D$103+VLOOKUP(VLOOKUP(CD$1,main!$A$3:$I$102,7,FALSE),main!$K$26:$Q$29,4,FALSE)),1,0)</f>
        <v>0</v>
      </c>
      <c r="CE138">
        <f>IF(AND(VLOOKUP(CE$1,main!$A$3:$H$102,7,FALSE)=main!$G$104,VLOOKUP(CE$1,main!$A$3:$H$102,5,FALSE)-VLOOKUP($A138,main!$A$3:$H$102,6,FALSE)&gt;=main!$D$103+VLOOKUP(VLOOKUP(CE$1,main!$A$3:$I$102,7,FALSE),main!$K$26:$Q$29,4,FALSE)),1,0)</f>
        <v>0</v>
      </c>
      <c r="CF138">
        <f>IF(AND(VLOOKUP(CF$1,main!$A$3:$H$102,7,FALSE)=main!$G$104,VLOOKUP(CF$1,main!$A$3:$H$102,5,FALSE)-VLOOKUP($A138,main!$A$3:$H$102,6,FALSE)&gt;=main!$D$103+VLOOKUP(VLOOKUP(CF$1,main!$A$3:$I$102,7,FALSE),main!$K$26:$Q$29,4,FALSE)),1,0)</f>
        <v>0</v>
      </c>
      <c r="CG138">
        <f>IF(AND(VLOOKUP(CG$1,main!$A$3:$H$102,7,FALSE)=main!$G$104,VLOOKUP(CG$1,main!$A$3:$H$102,5,FALSE)-VLOOKUP($A138,main!$A$3:$H$102,6,FALSE)&gt;=main!$D$103+VLOOKUP(VLOOKUP(CG$1,main!$A$3:$I$102,7,FALSE),main!$K$26:$Q$29,4,FALSE)),1,0)</f>
        <v>0</v>
      </c>
      <c r="CH138">
        <f>IF(AND(VLOOKUP(CH$1,main!$A$3:$H$102,7,FALSE)=main!$G$104,VLOOKUP(CH$1,main!$A$3:$H$102,5,FALSE)-VLOOKUP($A138,main!$A$3:$H$102,6,FALSE)&gt;=main!$D$103+VLOOKUP(VLOOKUP(CH$1,main!$A$3:$I$102,7,FALSE),main!$K$26:$Q$29,4,FALSE)),1,0)</f>
        <v>0</v>
      </c>
      <c r="CI138">
        <f>IF(AND(VLOOKUP(CI$1,main!$A$3:$H$102,7,FALSE)=main!$G$104,VLOOKUP(CI$1,main!$A$3:$H$102,5,FALSE)-VLOOKUP($A138,main!$A$3:$H$102,6,FALSE)&gt;=main!$D$103+VLOOKUP(VLOOKUP(CI$1,main!$A$3:$I$102,7,FALSE),main!$K$26:$Q$29,4,FALSE)),1,0)</f>
        <v>0</v>
      </c>
      <c r="CJ138">
        <f>IF(AND(VLOOKUP(CJ$1,main!$A$3:$H$102,7,FALSE)=main!$G$104,VLOOKUP(CJ$1,main!$A$3:$H$102,5,FALSE)-VLOOKUP($A138,main!$A$3:$H$102,6,FALSE)&gt;=main!$D$103+VLOOKUP(VLOOKUP(CJ$1,main!$A$3:$I$102,7,FALSE),main!$K$26:$Q$29,4,FALSE)),1,0)</f>
        <v>0</v>
      </c>
      <c r="CK138">
        <f>IF(AND(VLOOKUP(CK$1,main!$A$3:$H$102,7,FALSE)=main!$G$104,VLOOKUP(CK$1,main!$A$3:$H$102,5,FALSE)-VLOOKUP($A138,main!$A$3:$H$102,6,FALSE)&gt;=main!$D$103+VLOOKUP(VLOOKUP(CK$1,main!$A$3:$I$102,7,FALSE),main!$K$26:$Q$29,4,FALSE)),1,0)</f>
        <v>0</v>
      </c>
      <c r="CL138">
        <f>IF(AND(VLOOKUP(CL$1,main!$A$3:$H$102,7,FALSE)=main!$G$104,VLOOKUP(CL$1,main!$A$3:$H$102,5,FALSE)-VLOOKUP($A138,main!$A$3:$H$102,6,FALSE)&gt;=main!$D$103+VLOOKUP(VLOOKUP(CL$1,main!$A$3:$I$102,7,FALSE),main!$K$26:$Q$29,4,FALSE)),1,0)</f>
        <v>0</v>
      </c>
      <c r="CM138">
        <f>IF(AND(VLOOKUP(CM$1,main!$A$3:$H$102,7,FALSE)=main!$G$104,VLOOKUP(CM$1,main!$A$3:$H$102,5,FALSE)-VLOOKUP($A138,main!$A$3:$H$102,6,FALSE)&gt;=main!$D$103+VLOOKUP(VLOOKUP(CM$1,main!$A$3:$I$102,7,FALSE),main!$K$26:$Q$29,4,FALSE)),1,0)</f>
        <v>0</v>
      </c>
      <c r="CN138">
        <f>IF(AND(VLOOKUP(CN$1,main!$A$3:$H$102,7,FALSE)=main!$G$104,VLOOKUP(CN$1,main!$A$3:$H$102,5,FALSE)-VLOOKUP($A138,main!$A$3:$H$102,6,FALSE)&gt;=main!$D$103+VLOOKUP(VLOOKUP(CN$1,main!$A$3:$I$102,7,FALSE),main!$K$26:$Q$29,4,FALSE)),1,0)</f>
        <v>0</v>
      </c>
      <c r="CO138">
        <f>IF(AND(VLOOKUP(CO$1,main!$A$3:$H$102,7,FALSE)=main!$G$104,VLOOKUP(CO$1,main!$A$3:$H$102,5,FALSE)-VLOOKUP($A138,main!$A$3:$H$102,6,FALSE)&gt;=main!$D$103+VLOOKUP(VLOOKUP(CO$1,main!$A$3:$I$102,7,FALSE),main!$K$26:$Q$29,4,FALSE)),1,0)</f>
        <v>0</v>
      </c>
      <c r="CP138">
        <f>IF(AND(VLOOKUP(CP$1,main!$A$3:$H$102,7,FALSE)=main!$G$104,VLOOKUP(CP$1,main!$A$3:$H$102,5,FALSE)-VLOOKUP($A138,main!$A$3:$H$102,6,FALSE)&gt;=main!$D$103+VLOOKUP(VLOOKUP(CP$1,main!$A$3:$I$102,7,FALSE),main!$K$26:$Q$29,4,FALSE)),1,0)</f>
        <v>0</v>
      </c>
      <c r="CQ138">
        <f>IF(AND(VLOOKUP(CQ$1,main!$A$3:$H$102,7,FALSE)=main!$G$104,VLOOKUP(CQ$1,main!$A$3:$H$102,5,FALSE)-VLOOKUP($A138,main!$A$3:$H$102,6,FALSE)&gt;=main!$D$103+VLOOKUP(VLOOKUP(CQ$1,main!$A$3:$I$102,7,FALSE),main!$K$26:$Q$29,4,FALSE)),1,0)</f>
        <v>0</v>
      </c>
      <c r="CR138">
        <f>IF(AND(VLOOKUP(CR$1,main!$A$3:$H$102,7,FALSE)=main!$G$104,VLOOKUP(CR$1,main!$A$3:$H$102,5,FALSE)-VLOOKUP($A138,main!$A$3:$H$102,6,FALSE)&gt;=main!$D$103+VLOOKUP(VLOOKUP(CR$1,main!$A$3:$I$102,7,FALSE),main!$K$26:$Q$29,4,FALSE)),1,0)</f>
        <v>0</v>
      </c>
      <c r="CS138">
        <f>IF(AND(VLOOKUP(CS$1,main!$A$3:$H$102,7,FALSE)=main!$G$104,VLOOKUP(CS$1,main!$A$3:$H$102,5,FALSE)-VLOOKUP($A138,main!$A$3:$H$102,6,FALSE)&gt;=main!$D$103+VLOOKUP(VLOOKUP(CS$1,main!$A$3:$I$102,7,FALSE),main!$K$26:$Q$29,4,FALSE)),1,0)</f>
        <v>0</v>
      </c>
      <c r="CT138">
        <f>IF(AND(VLOOKUP(CT$1,main!$A$3:$H$102,7,FALSE)=main!$G$104,VLOOKUP(CT$1,main!$A$3:$H$102,5,FALSE)-VLOOKUP($A138,main!$A$3:$H$102,6,FALSE)&gt;=main!$D$103+VLOOKUP(VLOOKUP(CT$1,main!$A$3:$I$102,7,FALSE),main!$K$26:$Q$29,4,FALSE)),1,0)</f>
        <v>0</v>
      </c>
      <c r="CU138">
        <f>IF(AND(VLOOKUP(CU$1,main!$A$3:$H$102,7,FALSE)=main!$G$104,VLOOKUP(CU$1,main!$A$3:$H$102,5,FALSE)-VLOOKUP($A138,main!$A$3:$H$102,6,FALSE)&gt;=main!$D$103+VLOOKUP(VLOOKUP(CU$1,main!$A$3:$I$102,7,FALSE),main!$K$26:$Q$29,4,FALSE)),1,0)</f>
        <v>0</v>
      </c>
      <c r="CV138">
        <f>IF(AND(VLOOKUP(CV$1,main!$A$3:$H$102,7,FALSE)=main!$G$104,VLOOKUP(CV$1,main!$A$3:$H$102,5,FALSE)-VLOOKUP($A138,main!$A$3:$H$102,6,FALSE)&gt;=main!$D$103+VLOOKUP(VLOOKUP(CV$1,main!$A$3:$I$102,7,FALSE),main!$K$26:$Q$29,4,FALSE)),1,0)</f>
        <v>0</v>
      </c>
      <c r="CW138">
        <f>IF(AND(VLOOKUP(CW$1,main!$A$3:$H$102,7,FALSE)=main!$G$104,VLOOKUP(CW$1,main!$A$3:$H$102,5,FALSE)-VLOOKUP($A138,main!$A$3:$H$102,6,FALSE)&gt;=main!$D$103+VLOOKUP(VLOOKUP(CW$1,main!$A$3:$I$102,7,FALSE),main!$K$26:$Q$29,4,FALSE)),1,0)</f>
        <v>0</v>
      </c>
      <c r="CX138">
        <f>IF(AND(VLOOKUP(CX$1,main!$A$3:$H$102,7,FALSE)=main!$G$104,VLOOKUP(CX$1,main!$A$3:$H$102,5,FALSE)-VLOOKUP($A138,main!$A$3:$H$102,6,FALSE)&gt;=main!$D$103+VLOOKUP(VLOOKUP(CX$1,main!$A$3:$I$102,7,FALSE),main!$K$26:$Q$29,4,FALSE)),1,0)</f>
        <v>0</v>
      </c>
      <c r="DB138">
        <f>main!$D$103</f>
        <v>50</v>
      </c>
    </row>
    <row r="139" spans="1:109" x14ac:dyDescent="0.25">
      <c r="A139" s="1">
        <v>36</v>
      </c>
      <c r="B139">
        <v>0</v>
      </c>
      <c r="C139">
        <f>IF(AND(VLOOKUP(C$1,main!$A$3:$H$102,7,FALSE)=main!$G$104,VLOOKUP(C$1,main!$A$3:$H$102,5,FALSE)-VLOOKUP($A139,main!$A$3:$H$102,6,FALSE)&gt;=main!$D$103+VLOOKUP(VLOOKUP(C$1,main!$A$3:$I$102,7,FALSE),main!$K$26:$Q$29,4,FALSE)),1,0)</f>
        <v>0</v>
      </c>
      <c r="D139">
        <f>IF(AND(VLOOKUP(D$1,main!$A$3:$H$102,7,FALSE)=main!$G$104,VLOOKUP(D$1,main!$A$3:$H$102,5,FALSE)-VLOOKUP($A139,main!$A$3:$H$102,6,FALSE)&gt;=main!$D$103+VLOOKUP(VLOOKUP(D$1,main!$A$3:$I$102,7,FALSE),main!$K$26:$Q$29,4,FALSE)),1,0)</f>
        <v>0</v>
      </c>
      <c r="E139">
        <f>IF(AND(VLOOKUP(E$1,main!$A$3:$H$102,7,FALSE)=main!$G$104,VLOOKUP(E$1,main!$A$3:$H$102,5,FALSE)-VLOOKUP($A139,main!$A$3:$H$102,6,FALSE)&gt;=main!$D$103+VLOOKUP(VLOOKUP(E$1,main!$A$3:$I$102,7,FALSE),main!$K$26:$Q$29,4,FALSE)),1,0)</f>
        <v>0</v>
      </c>
      <c r="F139">
        <f>IF(AND(VLOOKUP(F$1,main!$A$3:$H$102,7,FALSE)=main!$G$104,VLOOKUP(F$1,main!$A$3:$H$102,5,FALSE)-VLOOKUP($A139,main!$A$3:$H$102,6,FALSE)&gt;=main!$D$103+VLOOKUP(VLOOKUP(F$1,main!$A$3:$I$102,7,FALSE),main!$K$26:$Q$29,4,FALSE)),1,0)</f>
        <v>0</v>
      </c>
      <c r="G139">
        <f>IF(AND(VLOOKUP(G$1,main!$A$3:$H$102,7,FALSE)=main!$G$104,VLOOKUP(G$1,main!$A$3:$H$102,5,FALSE)-VLOOKUP($A139,main!$A$3:$H$102,6,FALSE)&gt;=main!$D$103+VLOOKUP(VLOOKUP(G$1,main!$A$3:$I$102,7,FALSE),main!$K$26:$Q$29,4,FALSE)),1,0)</f>
        <v>0</v>
      </c>
      <c r="H139">
        <f>IF(AND(VLOOKUP(H$1,main!$A$3:$H$102,7,FALSE)=main!$G$104,VLOOKUP(H$1,main!$A$3:$H$102,5,FALSE)-VLOOKUP($A139,main!$A$3:$H$102,6,FALSE)&gt;=main!$D$103+VLOOKUP(VLOOKUP(H$1,main!$A$3:$I$102,7,FALSE),main!$K$26:$Q$29,4,FALSE)),1,0)</f>
        <v>0</v>
      </c>
      <c r="I139">
        <f>IF(AND(VLOOKUP(I$1,main!$A$3:$H$102,7,FALSE)=main!$G$104,VLOOKUP(I$1,main!$A$3:$H$102,5,FALSE)-VLOOKUP($A139,main!$A$3:$H$102,6,FALSE)&gt;=main!$D$103+VLOOKUP(VLOOKUP(I$1,main!$A$3:$I$102,7,FALSE),main!$K$26:$Q$29,4,FALSE)),1,0)</f>
        <v>0</v>
      </c>
      <c r="J139">
        <f>IF(AND(VLOOKUP(J$1,main!$A$3:$H$102,7,FALSE)=main!$G$104,VLOOKUP(J$1,main!$A$3:$H$102,5,FALSE)-VLOOKUP($A139,main!$A$3:$H$102,6,FALSE)&gt;=main!$D$103+VLOOKUP(VLOOKUP(J$1,main!$A$3:$I$102,7,FALSE),main!$K$26:$Q$29,4,FALSE)),1,0)</f>
        <v>0</v>
      </c>
      <c r="K139">
        <f>IF(AND(VLOOKUP(K$1,main!$A$3:$H$102,7,FALSE)=main!$G$104,VLOOKUP(K$1,main!$A$3:$H$102,5,FALSE)-VLOOKUP($A139,main!$A$3:$H$102,6,FALSE)&gt;=main!$D$103+VLOOKUP(VLOOKUP(K$1,main!$A$3:$I$102,7,FALSE),main!$K$26:$Q$29,4,FALSE)),1,0)</f>
        <v>0</v>
      </c>
      <c r="L139">
        <f>IF(AND(VLOOKUP(L$1,main!$A$3:$H$102,7,FALSE)=main!$G$104,VLOOKUP(L$1,main!$A$3:$H$102,5,FALSE)-VLOOKUP($A139,main!$A$3:$H$102,6,FALSE)&gt;=main!$D$103+VLOOKUP(VLOOKUP(L$1,main!$A$3:$I$102,7,FALSE),main!$K$26:$Q$29,4,FALSE)),1,0)</f>
        <v>1</v>
      </c>
      <c r="M139">
        <f>IF(AND(VLOOKUP(M$1,main!$A$3:$H$102,7,FALSE)=main!$G$104,VLOOKUP(M$1,main!$A$3:$H$102,5,FALSE)-VLOOKUP($A139,main!$A$3:$H$102,6,FALSE)&gt;=main!$D$103+VLOOKUP(VLOOKUP(M$1,main!$A$3:$I$102,7,FALSE),main!$K$26:$Q$29,4,FALSE)),1,0)</f>
        <v>0</v>
      </c>
      <c r="N139">
        <f>IF(AND(VLOOKUP(N$1,main!$A$3:$H$102,7,FALSE)=main!$G$104,VLOOKUP(N$1,main!$A$3:$H$102,5,FALSE)-VLOOKUP($A139,main!$A$3:$H$102,6,FALSE)&gt;=main!$D$103+VLOOKUP(VLOOKUP(N$1,main!$A$3:$I$102,7,FALSE),main!$K$26:$Q$29,4,FALSE)),1,0)</f>
        <v>0</v>
      </c>
      <c r="O139">
        <f>IF(AND(VLOOKUP(O$1,main!$A$3:$H$102,7,FALSE)=main!$G$104,VLOOKUP(O$1,main!$A$3:$H$102,5,FALSE)-VLOOKUP($A139,main!$A$3:$H$102,6,FALSE)&gt;=main!$D$103+VLOOKUP(VLOOKUP(O$1,main!$A$3:$I$102,7,FALSE),main!$K$26:$Q$29,4,FALSE)),1,0)</f>
        <v>0</v>
      </c>
      <c r="P139">
        <f>IF(AND(VLOOKUP(P$1,main!$A$3:$H$102,7,FALSE)=main!$G$104,VLOOKUP(P$1,main!$A$3:$H$102,5,FALSE)-VLOOKUP($A139,main!$A$3:$H$102,6,FALSE)&gt;=main!$D$103+VLOOKUP(VLOOKUP(P$1,main!$A$3:$I$102,7,FALSE),main!$K$26:$Q$29,4,FALSE)),1,0)</f>
        <v>0</v>
      </c>
      <c r="Q139">
        <f>IF(AND(VLOOKUP(Q$1,main!$A$3:$H$102,7,FALSE)=main!$G$104,VLOOKUP(Q$1,main!$A$3:$H$102,5,FALSE)-VLOOKUP($A139,main!$A$3:$H$102,6,FALSE)&gt;=main!$D$103+VLOOKUP(VLOOKUP(Q$1,main!$A$3:$I$102,7,FALSE),main!$K$26:$Q$29,4,FALSE)),1,0)</f>
        <v>0</v>
      </c>
      <c r="R139">
        <f>IF(AND(VLOOKUP(R$1,main!$A$3:$H$102,7,FALSE)=main!$G$104,VLOOKUP(R$1,main!$A$3:$H$102,5,FALSE)-VLOOKUP($A139,main!$A$3:$H$102,6,FALSE)&gt;=main!$D$103+VLOOKUP(VLOOKUP(R$1,main!$A$3:$I$102,7,FALSE),main!$K$26:$Q$29,4,FALSE)),1,0)</f>
        <v>0</v>
      </c>
      <c r="S139">
        <f>IF(AND(VLOOKUP(S$1,main!$A$3:$H$102,7,FALSE)=main!$G$104,VLOOKUP(S$1,main!$A$3:$H$102,5,FALSE)-VLOOKUP($A139,main!$A$3:$H$102,6,FALSE)&gt;=main!$D$103+VLOOKUP(VLOOKUP(S$1,main!$A$3:$I$102,7,FALSE),main!$K$26:$Q$29,4,FALSE)),1,0)</f>
        <v>0</v>
      </c>
      <c r="T139">
        <f>IF(AND(VLOOKUP(T$1,main!$A$3:$H$102,7,FALSE)=main!$G$104,VLOOKUP(T$1,main!$A$3:$H$102,5,FALSE)-VLOOKUP($A139,main!$A$3:$H$102,6,FALSE)&gt;=main!$D$103+VLOOKUP(VLOOKUP(T$1,main!$A$3:$I$102,7,FALSE),main!$K$26:$Q$29,4,FALSE)),1,0)</f>
        <v>0</v>
      </c>
      <c r="U139">
        <f>IF(AND(VLOOKUP(U$1,main!$A$3:$H$102,7,FALSE)=main!$G$104,VLOOKUP(U$1,main!$A$3:$H$102,5,FALSE)-VLOOKUP($A139,main!$A$3:$H$102,6,FALSE)&gt;=main!$D$103+VLOOKUP(VLOOKUP(U$1,main!$A$3:$I$102,7,FALSE),main!$K$26:$Q$29,4,FALSE)),1,0)</f>
        <v>0</v>
      </c>
      <c r="V139">
        <f>IF(AND(VLOOKUP(V$1,main!$A$3:$H$102,7,FALSE)=main!$G$104,VLOOKUP(V$1,main!$A$3:$H$102,5,FALSE)-VLOOKUP($A139,main!$A$3:$H$102,6,FALSE)&gt;=main!$D$103+VLOOKUP(VLOOKUP(V$1,main!$A$3:$I$102,7,FALSE),main!$K$26:$Q$29,4,FALSE)),1,0)</f>
        <v>1</v>
      </c>
      <c r="W139">
        <f>IF(AND(VLOOKUP(W$1,main!$A$3:$H$102,7,FALSE)=main!$G$104,VLOOKUP(W$1,main!$A$3:$H$102,5,FALSE)-VLOOKUP($A139,main!$A$3:$H$102,6,FALSE)&gt;=main!$D$103+VLOOKUP(VLOOKUP(W$1,main!$A$3:$I$102,7,FALSE),main!$K$26:$Q$29,4,FALSE)),1,0)</f>
        <v>0</v>
      </c>
      <c r="X139">
        <f>IF(AND(VLOOKUP(X$1,main!$A$3:$H$102,7,FALSE)=main!$G$104,VLOOKUP(X$1,main!$A$3:$H$102,5,FALSE)-VLOOKUP($A139,main!$A$3:$H$102,6,FALSE)&gt;=main!$D$103+VLOOKUP(VLOOKUP(X$1,main!$A$3:$I$102,7,FALSE),main!$K$26:$Q$29,4,FALSE)),1,0)</f>
        <v>0</v>
      </c>
      <c r="Y139">
        <f>IF(AND(VLOOKUP(Y$1,main!$A$3:$H$102,7,FALSE)=main!$G$104,VLOOKUP(Y$1,main!$A$3:$H$102,5,FALSE)-VLOOKUP($A139,main!$A$3:$H$102,6,FALSE)&gt;=main!$D$103+VLOOKUP(VLOOKUP(Y$1,main!$A$3:$I$102,7,FALSE),main!$K$26:$Q$29,4,FALSE)),1,0)</f>
        <v>0</v>
      </c>
      <c r="Z139">
        <f>IF(AND(VLOOKUP(Z$1,main!$A$3:$H$102,7,FALSE)=main!$G$104,VLOOKUP(Z$1,main!$A$3:$H$102,5,FALSE)-VLOOKUP($A139,main!$A$3:$H$102,6,FALSE)&gt;=main!$D$103+VLOOKUP(VLOOKUP(Z$1,main!$A$3:$I$102,7,FALSE),main!$K$26:$Q$29,4,FALSE)),1,0)</f>
        <v>0</v>
      </c>
      <c r="AA139">
        <f>IF(AND(VLOOKUP(AA$1,main!$A$3:$H$102,7,FALSE)=main!$G$104,VLOOKUP(AA$1,main!$A$3:$H$102,5,FALSE)-VLOOKUP($A139,main!$A$3:$H$102,6,FALSE)&gt;=main!$D$103+VLOOKUP(VLOOKUP(AA$1,main!$A$3:$I$102,7,FALSE),main!$K$26:$Q$29,4,FALSE)),1,0)</f>
        <v>0</v>
      </c>
      <c r="AB139">
        <f>IF(AND(VLOOKUP(AB$1,main!$A$3:$H$102,7,FALSE)=main!$G$104,VLOOKUP(AB$1,main!$A$3:$H$102,5,FALSE)-VLOOKUP($A139,main!$A$3:$H$102,6,FALSE)&gt;=main!$D$103+VLOOKUP(VLOOKUP(AB$1,main!$A$3:$I$102,7,FALSE),main!$K$26:$Q$29,4,FALSE)),1,0)</f>
        <v>0</v>
      </c>
      <c r="AC139">
        <f>IF(AND(VLOOKUP(AC$1,main!$A$3:$H$102,7,FALSE)=main!$G$104,VLOOKUP(AC$1,main!$A$3:$H$102,5,FALSE)-VLOOKUP($A139,main!$A$3:$H$102,6,FALSE)&gt;=main!$D$103+VLOOKUP(VLOOKUP(AC$1,main!$A$3:$I$102,7,FALSE),main!$K$26:$Q$29,4,FALSE)),1,0)</f>
        <v>0</v>
      </c>
      <c r="AD139">
        <f>IF(AND(VLOOKUP(AD$1,main!$A$3:$H$102,7,FALSE)=main!$G$104,VLOOKUP(AD$1,main!$A$3:$H$102,5,FALSE)-VLOOKUP($A139,main!$A$3:$H$102,6,FALSE)&gt;=main!$D$103+VLOOKUP(VLOOKUP(AD$1,main!$A$3:$I$102,7,FALSE),main!$K$26:$Q$29,4,FALSE)),1,0)</f>
        <v>0</v>
      </c>
      <c r="AE139">
        <f>IF(AND(VLOOKUP(AE$1,main!$A$3:$H$102,7,FALSE)=main!$G$104,VLOOKUP(AE$1,main!$A$3:$H$102,5,FALSE)-VLOOKUP($A139,main!$A$3:$H$102,6,FALSE)&gt;=main!$D$103+VLOOKUP(VLOOKUP(AE$1,main!$A$3:$I$102,7,FALSE),main!$K$26:$Q$29,4,FALSE)),1,0)</f>
        <v>0</v>
      </c>
      <c r="AF139">
        <f>IF(AND(VLOOKUP(AF$1,main!$A$3:$H$102,7,FALSE)=main!$G$104,VLOOKUP(AF$1,main!$A$3:$H$102,5,FALSE)-VLOOKUP($A139,main!$A$3:$H$102,6,FALSE)&gt;=main!$D$103+VLOOKUP(VLOOKUP(AF$1,main!$A$3:$I$102,7,FALSE),main!$K$26:$Q$29,4,FALSE)),1,0)</f>
        <v>0</v>
      </c>
      <c r="AG139">
        <f>IF(AND(VLOOKUP(AG$1,main!$A$3:$H$102,7,FALSE)=main!$G$104,VLOOKUP(AG$1,main!$A$3:$H$102,5,FALSE)-VLOOKUP($A139,main!$A$3:$H$102,6,FALSE)&gt;=main!$D$103+VLOOKUP(VLOOKUP(AG$1,main!$A$3:$I$102,7,FALSE),main!$K$26:$Q$29,4,FALSE)),1,0)</f>
        <v>0</v>
      </c>
      <c r="AH139">
        <f>IF(AND(VLOOKUP(AH$1,main!$A$3:$H$102,7,FALSE)=main!$G$104,VLOOKUP(AH$1,main!$A$3:$H$102,5,FALSE)-VLOOKUP($A139,main!$A$3:$H$102,6,FALSE)&gt;=main!$D$103+VLOOKUP(VLOOKUP(AH$1,main!$A$3:$I$102,7,FALSE),main!$K$26:$Q$29,4,FALSE)),1,0)</f>
        <v>0</v>
      </c>
      <c r="AI139">
        <f>IF(AND(VLOOKUP(AI$1,main!$A$3:$H$102,7,FALSE)=main!$G$104,VLOOKUP(AI$1,main!$A$3:$H$102,5,FALSE)-VLOOKUP($A139,main!$A$3:$H$102,6,FALSE)&gt;=main!$D$103+VLOOKUP(VLOOKUP(AI$1,main!$A$3:$I$102,7,FALSE),main!$K$26:$Q$29,4,FALSE)),1,0)</f>
        <v>0</v>
      </c>
      <c r="AJ139">
        <f>IF(AND(VLOOKUP(AJ$1,main!$A$3:$H$102,7,FALSE)=main!$G$104,VLOOKUP(AJ$1,main!$A$3:$H$102,5,FALSE)-VLOOKUP($A139,main!$A$3:$H$102,6,FALSE)&gt;=main!$D$103+VLOOKUP(VLOOKUP(AJ$1,main!$A$3:$I$102,7,FALSE),main!$K$26:$Q$29,4,FALSE)),1,0)</f>
        <v>0</v>
      </c>
      <c r="AK139">
        <f>IF(AND(VLOOKUP(AK$1,main!$A$3:$H$102,7,FALSE)=main!$G$104,VLOOKUP(AK$1,main!$A$3:$H$102,5,FALSE)-VLOOKUP($A139,main!$A$3:$H$102,6,FALSE)&gt;=main!$D$103+VLOOKUP(VLOOKUP(AK$1,main!$A$3:$I$102,7,FALSE),main!$K$26:$Q$29,4,FALSE)),1,0)</f>
        <v>0</v>
      </c>
      <c r="AL139">
        <f>IF(AND(VLOOKUP(AL$1,main!$A$3:$H$102,7,FALSE)=main!$G$104,VLOOKUP(AL$1,main!$A$3:$H$102,5,FALSE)-VLOOKUP($A139,main!$A$3:$H$102,6,FALSE)&gt;=main!$D$103+VLOOKUP(VLOOKUP(AL$1,main!$A$3:$I$102,7,FALSE),main!$K$26:$Q$29,4,FALSE)),1,0)</f>
        <v>0</v>
      </c>
      <c r="AM139">
        <f>IF(AND(VLOOKUP(AM$1,main!$A$3:$H$102,7,FALSE)=main!$G$104,VLOOKUP(AM$1,main!$A$3:$H$102,5,FALSE)-VLOOKUP($A139,main!$A$3:$H$102,6,FALSE)&gt;=main!$D$103+VLOOKUP(VLOOKUP(AM$1,main!$A$3:$I$102,7,FALSE),main!$K$26:$Q$29,4,FALSE)),1,0)</f>
        <v>0</v>
      </c>
      <c r="AN139">
        <f>IF(AND(VLOOKUP(AN$1,main!$A$3:$H$102,7,FALSE)=main!$G$104,VLOOKUP(AN$1,main!$A$3:$H$102,5,FALSE)-VLOOKUP($A139,main!$A$3:$H$102,6,FALSE)&gt;=main!$D$103+VLOOKUP(VLOOKUP(AN$1,main!$A$3:$I$102,7,FALSE),main!$K$26:$Q$29,4,FALSE)),1,0)</f>
        <v>0</v>
      </c>
      <c r="AO139">
        <f>IF(AND(VLOOKUP(AO$1,main!$A$3:$H$102,7,FALSE)=main!$G$104,VLOOKUP(AO$1,main!$A$3:$H$102,5,FALSE)-VLOOKUP($A139,main!$A$3:$H$102,6,FALSE)&gt;=main!$D$103+VLOOKUP(VLOOKUP(AO$1,main!$A$3:$I$102,7,FALSE),main!$K$26:$Q$29,4,FALSE)),1,0)</f>
        <v>0</v>
      </c>
      <c r="AP139">
        <f>IF(AND(VLOOKUP(AP$1,main!$A$3:$H$102,7,FALSE)=main!$G$104,VLOOKUP(AP$1,main!$A$3:$H$102,5,FALSE)-VLOOKUP($A139,main!$A$3:$H$102,6,FALSE)&gt;=main!$D$103+VLOOKUP(VLOOKUP(AP$1,main!$A$3:$I$102,7,FALSE),main!$K$26:$Q$29,4,FALSE)),1,0)</f>
        <v>0</v>
      </c>
      <c r="AQ139">
        <f>IF(AND(VLOOKUP(AQ$1,main!$A$3:$H$102,7,FALSE)=main!$G$104,VLOOKUP(AQ$1,main!$A$3:$H$102,5,FALSE)-VLOOKUP($A139,main!$A$3:$H$102,6,FALSE)&gt;=main!$D$103+VLOOKUP(VLOOKUP(AQ$1,main!$A$3:$I$102,7,FALSE),main!$K$26:$Q$29,4,FALSE)),1,0)</f>
        <v>0</v>
      </c>
      <c r="AR139">
        <f>IF(AND(VLOOKUP(AR$1,main!$A$3:$H$102,7,FALSE)=main!$G$104,VLOOKUP(AR$1,main!$A$3:$H$102,5,FALSE)-VLOOKUP($A139,main!$A$3:$H$102,6,FALSE)&gt;=main!$D$103+VLOOKUP(VLOOKUP(AR$1,main!$A$3:$I$102,7,FALSE),main!$K$26:$Q$29,4,FALSE)),1,0)</f>
        <v>0</v>
      </c>
      <c r="AS139">
        <f>IF(AND(VLOOKUP(AS$1,main!$A$3:$H$102,7,FALSE)=main!$G$104,VLOOKUP(AS$1,main!$A$3:$H$102,5,FALSE)-VLOOKUP($A139,main!$A$3:$H$102,6,FALSE)&gt;=main!$D$103+VLOOKUP(VLOOKUP(AS$1,main!$A$3:$I$102,7,FALSE),main!$K$26:$Q$29,4,FALSE)),1,0)</f>
        <v>0</v>
      </c>
      <c r="AT139">
        <f>IF(AND(VLOOKUP(AT$1,main!$A$3:$H$102,7,FALSE)=main!$G$104,VLOOKUP(AT$1,main!$A$3:$H$102,5,FALSE)-VLOOKUP($A139,main!$A$3:$H$102,6,FALSE)&gt;=main!$D$103+VLOOKUP(VLOOKUP(AT$1,main!$A$3:$I$102,7,FALSE),main!$K$26:$Q$29,4,FALSE)),1,0)</f>
        <v>0</v>
      </c>
      <c r="AU139">
        <f>IF(AND(VLOOKUP(AU$1,main!$A$3:$H$102,7,FALSE)=main!$G$104,VLOOKUP(AU$1,main!$A$3:$H$102,5,FALSE)-VLOOKUP($A139,main!$A$3:$H$102,6,FALSE)&gt;=main!$D$103+VLOOKUP(VLOOKUP(AU$1,main!$A$3:$I$102,7,FALSE),main!$K$26:$Q$29,4,FALSE)),1,0)</f>
        <v>0</v>
      </c>
      <c r="AV139">
        <f>IF(AND(VLOOKUP(AV$1,main!$A$3:$H$102,7,FALSE)=main!$G$104,VLOOKUP(AV$1,main!$A$3:$H$102,5,FALSE)-VLOOKUP($A139,main!$A$3:$H$102,6,FALSE)&gt;=main!$D$103+VLOOKUP(VLOOKUP(AV$1,main!$A$3:$I$102,7,FALSE),main!$K$26:$Q$29,4,FALSE)),1,0)</f>
        <v>0</v>
      </c>
      <c r="AW139">
        <f>IF(AND(VLOOKUP(AW$1,main!$A$3:$H$102,7,FALSE)=main!$G$104,VLOOKUP(AW$1,main!$A$3:$H$102,5,FALSE)-VLOOKUP($A139,main!$A$3:$H$102,6,FALSE)&gt;=main!$D$103+VLOOKUP(VLOOKUP(AW$1,main!$A$3:$I$102,7,FALSE),main!$K$26:$Q$29,4,FALSE)),1,0)</f>
        <v>0</v>
      </c>
      <c r="AX139">
        <f>IF(AND(VLOOKUP(AX$1,main!$A$3:$H$102,7,FALSE)=main!$G$104,VLOOKUP(AX$1,main!$A$3:$H$102,5,FALSE)-VLOOKUP($A139,main!$A$3:$H$102,6,FALSE)&gt;=main!$D$103+VLOOKUP(VLOOKUP(AX$1,main!$A$3:$I$102,7,FALSE),main!$K$26:$Q$29,4,FALSE)),1,0)</f>
        <v>0</v>
      </c>
      <c r="AY139">
        <f>IF(AND(VLOOKUP(AY$1,main!$A$3:$H$102,7,FALSE)=main!$G$104,VLOOKUP(AY$1,main!$A$3:$H$102,5,FALSE)-VLOOKUP($A139,main!$A$3:$H$102,6,FALSE)&gt;=main!$D$103+VLOOKUP(VLOOKUP(AY$1,main!$A$3:$I$102,7,FALSE),main!$K$26:$Q$29,4,FALSE)),1,0)</f>
        <v>0</v>
      </c>
      <c r="AZ139">
        <f>IF(AND(VLOOKUP(AZ$1,main!$A$3:$H$102,7,FALSE)=main!$G$104,VLOOKUP(AZ$1,main!$A$3:$H$102,5,FALSE)-VLOOKUP($A139,main!$A$3:$H$102,6,FALSE)&gt;=main!$D$103+VLOOKUP(VLOOKUP(AZ$1,main!$A$3:$I$102,7,FALSE),main!$K$26:$Q$29,4,FALSE)),1,0)</f>
        <v>0</v>
      </c>
      <c r="BA139">
        <f>IF(AND(VLOOKUP(BA$1,main!$A$3:$H$102,7,FALSE)=main!$G$104,VLOOKUP(BA$1,main!$A$3:$H$102,5,FALSE)-VLOOKUP($A139,main!$A$3:$H$102,6,FALSE)&gt;=main!$D$103+VLOOKUP(VLOOKUP(BA$1,main!$A$3:$I$102,7,FALSE),main!$K$26:$Q$29,4,FALSE)),1,0)</f>
        <v>0</v>
      </c>
      <c r="BB139">
        <f>IF(AND(VLOOKUP(BB$1,main!$A$3:$H$102,7,FALSE)=main!$G$104,VLOOKUP(BB$1,main!$A$3:$H$102,5,FALSE)-VLOOKUP($A139,main!$A$3:$H$102,6,FALSE)&gt;=main!$D$103+VLOOKUP(VLOOKUP(BB$1,main!$A$3:$I$102,7,FALSE),main!$K$26:$Q$29,4,FALSE)),1,0)</f>
        <v>0</v>
      </c>
      <c r="BC139">
        <f>IF(AND(VLOOKUP(BC$1,main!$A$3:$H$102,7,FALSE)=main!$G$104,VLOOKUP(BC$1,main!$A$3:$H$102,5,FALSE)-VLOOKUP($A139,main!$A$3:$H$102,6,FALSE)&gt;=main!$D$103+VLOOKUP(VLOOKUP(BC$1,main!$A$3:$I$102,7,FALSE),main!$K$26:$Q$29,4,FALSE)),1,0)</f>
        <v>0</v>
      </c>
      <c r="BD139">
        <f>IF(AND(VLOOKUP(BD$1,main!$A$3:$H$102,7,FALSE)=main!$G$104,VLOOKUP(BD$1,main!$A$3:$H$102,5,FALSE)-VLOOKUP($A139,main!$A$3:$H$102,6,FALSE)&gt;=main!$D$103+VLOOKUP(VLOOKUP(BD$1,main!$A$3:$I$102,7,FALSE),main!$K$26:$Q$29,4,FALSE)),1,0)</f>
        <v>0</v>
      </c>
      <c r="BE139">
        <f>IF(AND(VLOOKUP(BE$1,main!$A$3:$H$102,7,FALSE)=main!$G$104,VLOOKUP(BE$1,main!$A$3:$H$102,5,FALSE)-VLOOKUP($A139,main!$A$3:$H$102,6,FALSE)&gt;=main!$D$103+VLOOKUP(VLOOKUP(BE$1,main!$A$3:$I$102,7,FALSE),main!$K$26:$Q$29,4,FALSE)),1,0)</f>
        <v>0</v>
      </c>
      <c r="BF139">
        <f>IF(AND(VLOOKUP(BF$1,main!$A$3:$H$102,7,FALSE)=main!$G$104,VLOOKUP(BF$1,main!$A$3:$H$102,5,FALSE)-VLOOKUP($A139,main!$A$3:$H$102,6,FALSE)&gt;=main!$D$103+VLOOKUP(VLOOKUP(BF$1,main!$A$3:$I$102,7,FALSE),main!$K$26:$Q$29,4,FALSE)),1,0)</f>
        <v>0</v>
      </c>
      <c r="BG139">
        <f>IF(AND(VLOOKUP(BG$1,main!$A$3:$H$102,7,FALSE)=main!$G$104,VLOOKUP(BG$1,main!$A$3:$H$102,5,FALSE)-VLOOKUP($A139,main!$A$3:$H$102,6,FALSE)&gt;=main!$D$103+VLOOKUP(VLOOKUP(BG$1,main!$A$3:$I$102,7,FALSE),main!$K$26:$Q$29,4,FALSE)),1,0)</f>
        <v>0</v>
      </c>
      <c r="BH139">
        <f>IF(AND(VLOOKUP(BH$1,main!$A$3:$H$102,7,FALSE)=main!$G$104,VLOOKUP(BH$1,main!$A$3:$H$102,5,FALSE)-VLOOKUP($A139,main!$A$3:$H$102,6,FALSE)&gt;=main!$D$103+VLOOKUP(VLOOKUP(BH$1,main!$A$3:$I$102,7,FALSE),main!$K$26:$Q$29,4,FALSE)),1,0)</f>
        <v>0</v>
      </c>
      <c r="BI139">
        <f>IF(AND(VLOOKUP(BI$1,main!$A$3:$H$102,7,FALSE)=main!$G$104,VLOOKUP(BI$1,main!$A$3:$H$102,5,FALSE)-VLOOKUP($A139,main!$A$3:$H$102,6,FALSE)&gt;=main!$D$103+VLOOKUP(VLOOKUP(BI$1,main!$A$3:$I$102,7,FALSE),main!$K$26:$Q$29,4,FALSE)),1,0)</f>
        <v>0</v>
      </c>
      <c r="BJ139">
        <f>IF(AND(VLOOKUP(BJ$1,main!$A$3:$H$102,7,FALSE)=main!$G$104,VLOOKUP(BJ$1,main!$A$3:$H$102,5,FALSE)-VLOOKUP($A139,main!$A$3:$H$102,6,FALSE)&gt;=main!$D$103+VLOOKUP(VLOOKUP(BJ$1,main!$A$3:$I$102,7,FALSE),main!$K$26:$Q$29,4,FALSE)),1,0)</f>
        <v>0</v>
      </c>
      <c r="BK139">
        <f>IF(AND(VLOOKUP(BK$1,main!$A$3:$H$102,7,FALSE)=main!$G$104,VLOOKUP(BK$1,main!$A$3:$H$102,5,FALSE)-VLOOKUP($A139,main!$A$3:$H$102,6,FALSE)&gt;=main!$D$103+VLOOKUP(VLOOKUP(BK$1,main!$A$3:$I$102,7,FALSE),main!$K$26:$Q$29,4,FALSE)),1,0)</f>
        <v>0</v>
      </c>
      <c r="BL139">
        <f>IF(AND(VLOOKUP(BL$1,main!$A$3:$H$102,7,FALSE)=main!$G$104,VLOOKUP(BL$1,main!$A$3:$H$102,5,FALSE)-VLOOKUP($A139,main!$A$3:$H$102,6,FALSE)&gt;=main!$D$103+VLOOKUP(VLOOKUP(BL$1,main!$A$3:$I$102,7,FALSE),main!$K$26:$Q$29,4,FALSE)),1,0)</f>
        <v>0</v>
      </c>
      <c r="BM139">
        <f>IF(AND(VLOOKUP(BM$1,main!$A$3:$H$102,7,FALSE)=main!$G$104,VLOOKUP(BM$1,main!$A$3:$H$102,5,FALSE)-VLOOKUP($A139,main!$A$3:$H$102,6,FALSE)&gt;=main!$D$103+VLOOKUP(VLOOKUP(BM$1,main!$A$3:$I$102,7,FALSE),main!$K$26:$Q$29,4,FALSE)),1,0)</f>
        <v>0</v>
      </c>
      <c r="BN139">
        <f>IF(AND(VLOOKUP(BN$1,main!$A$3:$H$102,7,FALSE)=main!$G$104,VLOOKUP(BN$1,main!$A$3:$H$102,5,FALSE)-VLOOKUP($A139,main!$A$3:$H$102,6,FALSE)&gt;=main!$D$103+VLOOKUP(VLOOKUP(BN$1,main!$A$3:$I$102,7,FALSE),main!$K$26:$Q$29,4,FALSE)),1,0)</f>
        <v>0</v>
      </c>
      <c r="BO139">
        <f>IF(AND(VLOOKUP(BO$1,main!$A$3:$H$102,7,FALSE)=main!$G$104,VLOOKUP(BO$1,main!$A$3:$H$102,5,FALSE)-VLOOKUP($A139,main!$A$3:$H$102,6,FALSE)&gt;=main!$D$103+VLOOKUP(VLOOKUP(BO$1,main!$A$3:$I$102,7,FALSE),main!$K$26:$Q$29,4,FALSE)),1,0)</f>
        <v>0</v>
      </c>
      <c r="BP139">
        <f>IF(AND(VLOOKUP(BP$1,main!$A$3:$H$102,7,FALSE)=main!$G$104,VLOOKUP(BP$1,main!$A$3:$H$102,5,FALSE)-VLOOKUP($A139,main!$A$3:$H$102,6,FALSE)&gt;=main!$D$103+VLOOKUP(VLOOKUP(BP$1,main!$A$3:$I$102,7,FALSE),main!$K$26:$Q$29,4,FALSE)),1,0)</f>
        <v>0</v>
      </c>
      <c r="BQ139">
        <f>IF(AND(VLOOKUP(BQ$1,main!$A$3:$H$102,7,FALSE)=main!$G$104,VLOOKUP(BQ$1,main!$A$3:$H$102,5,FALSE)-VLOOKUP($A139,main!$A$3:$H$102,6,FALSE)&gt;=main!$D$103+VLOOKUP(VLOOKUP(BQ$1,main!$A$3:$I$102,7,FALSE),main!$K$26:$Q$29,4,FALSE)),1,0)</f>
        <v>0</v>
      </c>
      <c r="BR139">
        <f>IF(AND(VLOOKUP(BR$1,main!$A$3:$H$102,7,FALSE)=main!$G$104,VLOOKUP(BR$1,main!$A$3:$H$102,5,FALSE)-VLOOKUP($A139,main!$A$3:$H$102,6,FALSE)&gt;=main!$D$103+VLOOKUP(VLOOKUP(BR$1,main!$A$3:$I$102,7,FALSE),main!$K$26:$Q$29,4,FALSE)),1,0)</f>
        <v>0</v>
      </c>
      <c r="BS139">
        <f>IF(AND(VLOOKUP(BS$1,main!$A$3:$H$102,7,FALSE)=main!$G$104,VLOOKUP(BS$1,main!$A$3:$H$102,5,FALSE)-VLOOKUP($A139,main!$A$3:$H$102,6,FALSE)&gt;=main!$D$103+VLOOKUP(VLOOKUP(BS$1,main!$A$3:$I$102,7,FALSE),main!$K$26:$Q$29,4,FALSE)),1,0)</f>
        <v>0</v>
      </c>
      <c r="BT139">
        <f>IF(AND(VLOOKUP(BT$1,main!$A$3:$H$102,7,FALSE)=main!$G$104,VLOOKUP(BT$1,main!$A$3:$H$102,5,FALSE)-VLOOKUP($A139,main!$A$3:$H$102,6,FALSE)&gt;=main!$D$103+VLOOKUP(VLOOKUP(BT$1,main!$A$3:$I$102,7,FALSE),main!$K$26:$Q$29,4,FALSE)),1,0)</f>
        <v>0</v>
      </c>
      <c r="BU139">
        <f>IF(AND(VLOOKUP(BU$1,main!$A$3:$H$102,7,FALSE)=main!$G$104,VLOOKUP(BU$1,main!$A$3:$H$102,5,FALSE)-VLOOKUP($A139,main!$A$3:$H$102,6,FALSE)&gt;=main!$D$103+VLOOKUP(VLOOKUP(BU$1,main!$A$3:$I$102,7,FALSE),main!$K$26:$Q$29,4,FALSE)),1,0)</f>
        <v>0</v>
      </c>
      <c r="BV139">
        <f>IF(AND(VLOOKUP(BV$1,main!$A$3:$H$102,7,FALSE)=main!$G$104,VLOOKUP(BV$1,main!$A$3:$H$102,5,FALSE)-VLOOKUP($A139,main!$A$3:$H$102,6,FALSE)&gt;=main!$D$103+VLOOKUP(VLOOKUP(BV$1,main!$A$3:$I$102,7,FALSE),main!$K$26:$Q$29,4,FALSE)),1,0)</f>
        <v>0</v>
      </c>
      <c r="BW139">
        <f>IF(AND(VLOOKUP(BW$1,main!$A$3:$H$102,7,FALSE)=main!$G$104,VLOOKUP(BW$1,main!$A$3:$H$102,5,FALSE)-VLOOKUP($A139,main!$A$3:$H$102,6,FALSE)&gt;=main!$D$103+VLOOKUP(VLOOKUP(BW$1,main!$A$3:$I$102,7,FALSE),main!$K$26:$Q$29,4,FALSE)),1,0)</f>
        <v>0</v>
      </c>
      <c r="BX139">
        <f>IF(AND(VLOOKUP(BX$1,main!$A$3:$H$102,7,FALSE)=main!$G$104,VLOOKUP(BX$1,main!$A$3:$H$102,5,FALSE)-VLOOKUP($A139,main!$A$3:$H$102,6,FALSE)&gt;=main!$D$103+VLOOKUP(VLOOKUP(BX$1,main!$A$3:$I$102,7,FALSE),main!$K$26:$Q$29,4,FALSE)),1,0)</f>
        <v>0</v>
      </c>
      <c r="BY139">
        <f>IF(AND(VLOOKUP(BY$1,main!$A$3:$H$102,7,FALSE)=main!$G$104,VLOOKUP(BY$1,main!$A$3:$H$102,5,FALSE)-VLOOKUP($A139,main!$A$3:$H$102,6,FALSE)&gt;=main!$D$103+VLOOKUP(VLOOKUP(BY$1,main!$A$3:$I$102,7,FALSE),main!$K$26:$Q$29,4,FALSE)),1,0)</f>
        <v>0</v>
      </c>
      <c r="BZ139">
        <f>IF(AND(VLOOKUP(BZ$1,main!$A$3:$H$102,7,FALSE)=main!$G$104,VLOOKUP(BZ$1,main!$A$3:$H$102,5,FALSE)-VLOOKUP($A139,main!$A$3:$H$102,6,FALSE)&gt;=main!$D$103+VLOOKUP(VLOOKUP(BZ$1,main!$A$3:$I$102,7,FALSE),main!$K$26:$Q$29,4,FALSE)),1,0)</f>
        <v>0</v>
      </c>
      <c r="CA139">
        <f>IF(AND(VLOOKUP(CA$1,main!$A$3:$H$102,7,FALSE)=main!$G$104,VLOOKUP(CA$1,main!$A$3:$H$102,5,FALSE)-VLOOKUP($A139,main!$A$3:$H$102,6,FALSE)&gt;=main!$D$103+VLOOKUP(VLOOKUP(CA$1,main!$A$3:$I$102,7,FALSE),main!$K$26:$Q$29,4,FALSE)),1,0)</f>
        <v>0</v>
      </c>
      <c r="CB139">
        <f>IF(AND(VLOOKUP(CB$1,main!$A$3:$H$102,7,FALSE)=main!$G$104,VLOOKUP(CB$1,main!$A$3:$H$102,5,FALSE)-VLOOKUP($A139,main!$A$3:$H$102,6,FALSE)&gt;=main!$D$103+VLOOKUP(VLOOKUP(CB$1,main!$A$3:$I$102,7,FALSE),main!$K$26:$Q$29,4,FALSE)),1,0)</f>
        <v>0</v>
      </c>
      <c r="CC139">
        <f>IF(AND(VLOOKUP(CC$1,main!$A$3:$H$102,7,FALSE)=main!$G$104,VLOOKUP(CC$1,main!$A$3:$H$102,5,FALSE)-VLOOKUP($A139,main!$A$3:$H$102,6,FALSE)&gt;=main!$D$103+VLOOKUP(VLOOKUP(CC$1,main!$A$3:$I$102,7,FALSE),main!$K$26:$Q$29,4,FALSE)),1,0)</f>
        <v>0</v>
      </c>
      <c r="CD139">
        <f>IF(AND(VLOOKUP(CD$1,main!$A$3:$H$102,7,FALSE)=main!$G$104,VLOOKUP(CD$1,main!$A$3:$H$102,5,FALSE)-VLOOKUP($A139,main!$A$3:$H$102,6,FALSE)&gt;=main!$D$103+VLOOKUP(VLOOKUP(CD$1,main!$A$3:$I$102,7,FALSE),main!$K$26:$Q$29,4,FALSE)),1,0)</f>
        <v>0</v>
      </c>
      <c r="CE139">
        <f>IF(AND(VLOOKUP(CE$1,main!$A$3:$H$102,7,FALSE)=main!$G$104,VLOOKUP(CE$1,main!$A$3:$H$102,5,FALSE)-VLOOKUP($A139,main!$A$3:$H$102,6,FALSE)&gt;=main!$D$103+VLOOKUP(VLOOKUP(CE$1,main!$A$3:$I$102,7,FALSE),main!$K$26:$Q$29,4,FALSE)),1,0)</f>
        <v>0</v>
      </c>
      <c r="CF139">
        <f>IF(AND(VLOOKUP(CF$1,main!$A$3:$H$102,7,FALSE)=main!$G$104,VLOOKUP(CF$1,main!$A$3:$H$102,5,FALSE)-VLOOKUP($A139,main!$A$3:$H$102,6,FALSE)&gt;=main!$D$103+VLOOKUP(VLOOKUP(CF$1,main!$A$3:$I$102,7,FALSE),main!$K$26:$Q$29,4,FALSE)),1,0)</f>
        <v>0</v>
      </c>
      <c r="CG139">
        <f>IF(AND(VLOOKUP(CG$1,main!$A$3:$H$102,7,FALSE)=main!$G$104,VLOOKUP(CG$1,main!$A$3:$H$102,5,FALSE)-VLOOKUP($A139,main!$A$3:$H$102,6,FALSE)&gt;=main!$D$103+VLOOKUP(VLOOKUP(CG$1,main!$A$3:$I$102,7,FALSE),main!$K$26:$Q$29,4,FALSE)),1,0)</f>
        <v>0</v>
      </c>
      <c r="CH139">
        <f>IF(AND(VLOOKUP(CH$1,main!$A$3:$H$102,7,FALSE)=main!$G$104,VLOOKUP(CH$1,main!$A$3:$H$102,5,FALSE)-VLOOKUP($A139,main!$A$3:$H$102,6,FALSE)&gt;=main!$D$103+VLOOKUP(VLOOKUP(CH$1,main!$A$3:$I$102,7,FALSE),main!$K$26:$Q$29,4,FALSE)),1,0)</f>
        <v>0</v>
      </c>
      <c r="CI139">
        <f>IF(AND(VLOOKUP(CI$1,main!$A$3:$H$102,7,FALSE)=main!$G$104,VLOOKUP(CI$1,main!$A$3:$H$102,5,FALSE)-VLOOKUP($A139,main!$A$3:$H$102,6,FALSE)&gt;=main!$D$103+VLOOKUP(VLOOKUP(CI$1,main!$A$3:$I$102,7,FALSE),main!$K$26:$Q$29,4,FALSE)),1,0)</f>
        <v>0</v>
      </c>
      <c r="CJ139">
        <f>IF(AND(VLOOKUP(CJ$1,main!$A$3:$H$102,7,FALSE)=main!$G$104,VLOOKUP(CJ$1,main!$A$3:$H$102,5,FALSE)-VLOOKUP($A139,main!$A$3:$H$102,6,FALSE)&gt;=main!$D$103+VLOOKUP(VLOOKUP(CJ$1,main!$A$3:$I$102,7,FALSE),main!$K$26:$Q$29,4,FALSE)),1,0)</f>
        <v>0</v>
      </c>
      <c r="CK139">
        <f>IF(AND(VLOOKUP(CK$1,main!$A$3:$H$102,7,FALSE)=main!$G$104,VLOOKUP(CK$1,main!$A$3:$H$102,5,FALSE)-VLOOKUP($A139,main!$A$3:$H$102,6,FALSE)&gt;=main!$D$103+VLOOKUP(VLOOKUP(CK$1,main!$A$3:$I$102,7,FALSE),main!$K$26:$Q$29,4,FALSE)),1,0)</f>
        <v>0</v>
      </c>
      <c r="CL139">
        <f>IF(AND(VLOOKUP(CL$1,main!$A$3:$H$102,7,FALSE)=main!$G$104,VLOOKUP(CL$1,main!$A$3:$H$102,5,FALSE)-VLOOKUP($A139,main!$A$3:$H$102,6,FALSE)&gt;=main!$D$103+VLOOKUP(VLOOKUP(CL$1,main!$A$3:$I$102,7,FALSE),main!$K$26:$Q$29,4,FALSE)),1,0)</f>
        <v>0</v>
      </c>
      <c r="CM139">
        <f>IF(AND(VLOOKUP(CM$1,main!$A$3:$H$102,7,FALSE)=main!$G$104,VLOOKUP(CM$1,main!$A$3:$H$102,5,FALSE)-VLOOKUP($A139,main!$A$3:$H$102,6,FALSE)&gt;=main!$D$103+VLOOKUP(VLOOKUP(CM$1,main!$A$3:$I$102,7,FALSE),main!$K$26:$Q$29,4,FALSE)),1,0)</f>
        <v>0</v>
      </c>
      <c r="CN139">
        <f>IF(AND(VLOOKUP(CN$1,main!$A$3:$H$102,7,FALSE)=main!$G$104,VLOOKUP(CN$1,main!$A$3:$H$102,5,FALSE)-VLOOKUP($A139,main!$A$3:$H$102,6,FALSE)&gt;=main!$D$103+VLOOKUP(VLOOKUP(CN$1,main!$A$3:$I$102,7,FALSE),main!$K$26:$Q$29,4,FALSE)),1,0)</f>
        <v>0</v>
      </c>
      <c r="CO139">
        <f>IF(AND(VLOOKUP(CO$1,main!$A$3:$H$102,7,FALSE)=main!$G$104,VLOOKUP(CO$1,main!$A$3:$H$102,5,FALSE)-VLOOKUP($A139,main!$A$3:$H$102,6,FALSE)&gt;=main!$D$103+VLOOKUP(VLOOKUP(CO$1,main!$A$3:$I$102,7,FALSE),main!$K$26:$Q$29,4,FALSE)),1,0)</f>
        <v>0</v>
      </c>
      <c r="CP139">
        <f>IF(AND(VLOOKUP(CP$1,main!$A$3:$H$102,7,FALSE)=main!$G$104,VLOOKUP(CP$1,main!$A$3:$H$102,5,FALSE)-VLOOKUP($A139,main!$A$3:$H$102,6,FALSE)&gt;=main!$D$103+VLOOKUP(VLOOKUP(CP$1,main!$A$3:$I$102,7,FALSE),main!$K$26:$Q$29,4,FALSE)),1,0)</f>
        <v>0</v>
      </c>
      <c r="CQ139">
        <f>IF(AND(VLOOKUP(CQ$1,main!$A$3:$H$102,7,FALSE)=main!$G$104,VLOOKUP(CQ$1,main!$A$3:$H$102,5,FALSE)-VLOOKUP($A139,main!$A$3:$H$102,6,FALSE)&gt;=main!$D$103+VLOOKUP(VLOOKUP(CQ$1,main!$A$3:$I$102,7,FALSE),main!$K$26:$Q$29,4,FALSE)),1,0)</f>
        <v>0</v>
      </c>
      <c r="CR139">
        <f>IF(AND(VLOOKUP(CR$1,main!$A$3:$H$102,7,FALSE)=main!$G$104,VLOOKUP(CR$1,main!$A$3:$H$102,5,FALSE)-VLOOKUP($A139,main!$A$3:$H$102,6,FALSE)&gt;=main!$D$103+VLOOKUP(VLOOKUP(CR$1,main!$A$3:$I$102,7,FALSE),main!$K$26:$Q$29,4,FALSE)),1,0)</f>
        <v>0</v>
      </c>
      <c r="CS139">
        <f>IF(AND(VLOOKUP(CS$1,main!$A$3:$H$102,7,FALSE)=main!$G$104,VLOOKUP(CS$1,main!$A$3:$H$102,5,FALSE)-VLOOKUP($A139,main!$A$3:$H$102,6,FALSE)&gt;=main!$D$103+VLOOKUP(VLOOKUP(CS$1,main!$A$3:$I$102,7,FALSE),main!$K$26:$Q$29,4,FALSE)),1,0)</f>
        <v>0</v>
      </c>
      <c r="CT139">
        <f>IF(AND(VLOOKUP(CT$1,main!$A$3:$H$102,7,FALSE)=main!$G$104,VLOOKUP(CT$1,main!$A$3:$H$102,5,FALSE)-VLOOKUP($A139,main!$A$3:$H$102,6,FALSE)&gt;=main!$D$103+VLOOKUP(VLOOKUP(CT$1,main!$A$3:$I$102,7,FALSE),main!$K$26:$Q$29,4,FALSE)),1,0)</f>
        <v>0</v>
      </c>
      <c r="CU139">
        <f>IF(AND(VLOOKUP(CU$1,main!$A$3:$H$102,7,FALSE)=main!$G$104,VLOOKUP(CU$1,main!$A$3:$H$102,5,FALSE)-VLOOKUP($A139,main!$A$3:$H$102,6,FALSE)&gt;=main!$D$103+VLOOKUP(VLOOKUP(CU$1,main!$A$3:$I$102,7,FALSE),main!$K$26:$Q$29,4,FALSE)),1,0)</f>
        <v>0</v>
      </c>
      <c r="CV139">
        <f>IF(AND(VLOOKUP(CV$1,main!$A$3:$H$102,7,FALSE)=main!$G$104,VLOOKUP(CV$1,main!$A$3:$H$102,5,FALSE)-VLOOKUP($A139,main!$A$3:$H$102,6,FALSE)&gt;=main!$D$103+VLOOKUP(VLOOKUP(CV$1,main!$A$3:$I$102,7,FALSE),main!$K$26:$Q$29,4,FALSE)),1,0)</f>
        <v>0</v>
      </c>
      <c r="CW139">
        <f>IF(AND(VLOOKUP(CW$1,main!$A$3:$H$102,7,FALSE)=main!$G$104,VLOOKUP(CW$1,main!$A$3:$H$102,5,FALSE)-VLOOKUP($A139,main!$A$3:$H$102,6,FALSE)&gt;=main!$D$103+VLOOKUP(VLOOKUP(CW$1,main!$A$3:$I$102,7,FALSE),main!$K$26:$Q$29,4,FALSE)),1,0)</f>
        <v>0</v>
      </c>
      <c r="CX139">
        <f>IF(AND(VLOOKUP(CX$1,main!$A$3:$H$102,7,FALSE)=main!$G$104,VLOOKUP(CX$1,main!$A$3:$H$102,5,FALSE)-VLOOKUP($A139,main!$A$3:$H$102,6,FALSE)&gt;=main!$D$103+VLOOKUP(VLOOKUP(CX$1,main!$A$3:$I$102,7,FALSE),main!$K$26:$Q$29,4,FALSE)),1,0)</f>
        <v>0</v>
      </c>
      <c r="DB139">
        <f>VLOOKUP(VLOOKUP(AF$1,main!$A$3:$I$102,7,FALSE),main!$K$26:$Q$29,4,FALSE)</f>
        <v>10</v>
      </c>
    </row>
    <row r="140" spans="1:109" x14ac:dyDescent="0.25">
      <c r="A140" s="1">
        <v>37</v>
      </c>
      <c r="B140">
        <v>0</v>
      </c>
      <c r="C140">
        <f>IF(AND(VLOOKUP(C$1,main!$A$3:$H$102,7,FALSE)=main!$G$104,VLOOKUP(C$1,main!$A$3:$H$102,5,FALSE)-VLOOKUP($A140,main!$A$3:$H$102,6,FALSE)&gt;=main!$D$103+VLOOKUP(VLOOKUP(C$1,main!$A$3:$I$102,7,FALSE),main!$K$26:$Q$29,4,FALSE)),1,0)</f>
        <v>0</v>
      </c>
      <c r="D140">
        <f>IF(AND(VLOOKUP(D$1,main!$A$3:$H$102,7,FALSE)=main!$G$104,VLOOKUP(D$1,main!$A$3:$H$102,5,FALSE)-VLOOKUP($A140,main!$A$3:$H$102,6,FALSE)&gt;=main!$D$103+VLOOKUP(VLOOKUP(D$1,main!$A$3:$I$102,7,FALSE),main!$K$26:$Q$29,4,FALSE)),1,0)</f>
        <v>0</v>
      </c>
      <c r="E140">
        <f>IF(AND(VLOOKUP(E$1,main!$A$3:$H$102,7,FALSE)=main!$G$104,VLOOKUP(E$1,main!$A$3:$H$102,5,FALSE)-VLOOKUP($A140,main!$A$3:$H$102,6,FALSE)&gt;=main!$D$103+VLOOKUP(VLOOKUP(E$1,main!$A$3:$I$102,7,FALSE),main!$K$26:$Q$29,4,FALSE)),1,0)</f>
        <v>0</v>
      </c>
      <c r="F140">
        <f>IF(AND(VLOOKUP(F$1,main!$A$3:$H$102,7,FALSE)=main!$G$104,VLOOKUP(F$1,main!$A$3:$H$102,5,FALSE)-VLOOKUP($A140,main!$A$3:$H$102,6,FALSE)&gt;=main!$D$103+VLOOKUP(VLOOKUP(F$1,main!$A$3:$I$102,7,FALSE),main!$K$26:$Q$29,4,FALSE)),1,0)</f>
        <v>0</v>
      </c>
      <c r="G140">
        <f>IF(AND(VLOOKUP(G$1,main!$A$3:$H$102,7,FALSE)=main!$G$104,VLOOKUP(G$1,main!$A$3:$H$102,5,FALSE)-VLOOKUP($A140,main!$A$3:$H$102,6,FALSE)&gt;=main!$D$103+VLOOKUP(VLOOKUP(G$1,main!$A$3:$I$102,7,FALSE),main!$K$26:$Q$29,4,FALSE)),1,0)</f>
        <v>0</v>
      </c>
      <c r="H140">
        <f>IF(AND(VLOOKUP(H$1,main!$A$3:$H$102,7,FALSE)=main!$G$104,VLOOKUP(H$1,main!$A$3:$H$102,5,FALSE)-VLOOKUP($A140,main!$A$3:$H$102,6,FALSE)&gt;=main!$D$103+VLOOKUP(VLOOKUP(H$1,main!$A$3:$I$102,7,FALSE),main!$K$26:$Q$29,4,FALSE)),1,0)</f>
        <v>0</v>
      </c>
      <c r="I140">
        <f>IF(AND(VLOOKUP(I$1,main!$A$3:$H$102,7,FALSE)=main!$G$104,VLOOKUP(I$1,main!$A$3:$H$102,5,FALSE)-VLOOKUP($A140,main!$A$3:$H$102,6,FALSE)&gt;=main!$D$103+VLOOKUP(VLOOKUP(I$1,main!$A$3:$I$102,7,FALSE),main!$K$26:$Q$29,4,FALSE)),1,0)</f>
        <v>0</v>
      </c>
      <c r="J140">
        <f>IF(AND(VLOOKUP(J$1,main!$A$3:$H$102,7,FALSE)=main!$G$104,VLOOKUP(J$1,main!$A$3:$H$102,5,FALSE)-VLOOKUP($A140,main!$A$3:$H$102,6,FALSE)&gt;=main!$D$103+VLOOKUP(VLOOKUP(J$1,main!$A$3:$I$102,7,FALSE),main!$K$26:$Q$29,4,FALSE)),1,0)</f>
        <v>0</v>
      </c>
      <c r="K140">
        <f>IF(AND(VLOOKUP(K$1,main!$A$3:$H$102,7,FALSE)=main!$G$104,VLOOKUP(K$1,main!$A$3:$H$102,5,FALSE)-VLOOKUP($A140,main!$A$3:$H$102,6,FALSE)&gt;=main!$D$103+VLOOKUP(VLOOKUP(K$1,main!$A$3:$I$102,7,FALSE),main!$K$26:$Q$29,4,FALSE)),1,0)</f>
        <v>0</v>
      </c>
      <c r="L140">
        <f>IF(AND(VLOOKUP(L$1,main!$A$3:$H$102,7,FALSE)=main!$G$104,VLOOKUP(L$1,main!$A$3:$H$102,5,FALSE)-VLOOKUP($A140,main!$A$3:$H$102,6,FALSE)&gt;=main!$D$103+VLOOKUP(VLOOKUP(L$1,main!$A$3:$I$102,7,FALSE),main!$K$26:$Q$29,4,FALSE)),1,0)</f>
        <v>0</v>
      </c>
      <c r="M140">
        <f>IF(AND(VLOOKUP(M$1,main!$A$3:$H$102,7,FALSE)=main!$G$104,VLOOKUP(M$1,main!$A$3:$H$102,5,FALSE)-VLOOKUP($A140,main!$A$3:$H$102,6,FALSE)&gt;=main!$D$103+VLOOKUP(VLOOKUP(M$1,main!$A$3:$I$102,7,FALSE),main!$K$26:$Q$29,4,FALSE)),1,0)</f>
        <v>0</v>
      </c>
      <c r="N140">
        <f>IF(AND(VLOOKUP(N$1,main!$A$3:$H$102,7,FALSE)=main!$G$104,VLOOKUP(N$1,main!$A$3:$H$102,5,FALSE)-VLOOKUP($A140,main!$A$3:$H$102,6,FALSE)&gt;=main!$D$103+VLOOKUP(VLOOKUP(N$1,main!$A$3:$I$102,7,FALSE),main!$K$26:$Q$29,4,FALSE)),1,0)</f>
        <v>0</v>
      </c>
      <c r="O140">
        <f>IF(AND(VLOOKUP(O$1,main!$A$3:$H$102,7,FALSE)=main!$G$104,VLOOKUP(O$1,main!$A$3:$H$102,5,FALSE)-VLOOKUP($A140,main!$A$3:$H$102,6,FALSE)&gt;=main!$D$103+VLOOKUP(VLOOKUP(O$1,main!$A$3:$I$102,7,FALSE),main!$K$26:$Q$29,4,FALSE)),1,0)</f>
        <v>0</v>
      </c>
      <c r="P140">
        <f>IF(AND(VLOOKUP(P$1,main!$A$3:$H$102,7,FALSE)=main!$G$104,VLOOKUP(P$1,main!$A$3:$H$102,5,FALSE)-VLOOKUP($A140,main!$A$3:$H$102,6,FALSE)&gt;=main!$D$103+VLOOKUP(VLOOKUP(P$1,main!$A$3:$I$102,7,FALSE),main!$K$26:$Q$29,4,FALSE)),1,0)</f>
        <v>0</v>
      </c>
      <c r="Q140">
        <f>IF(AND(VLOOKUP(Q$1,main!$A$3:$H$102,7,FALSE)=main!$G$104,VLOOKUP(Q$1,main!$A$3:$H$102,5,FALSE)-VLOOKUP($A140,main!$A$3:$H$102,6,FALSE)&gt;=main!$D$103+VLOOKUP(VLOOKUP(Q$1,main!$A$3:$I$102,7,FALSE),main!$K$26:$Q$29,4,FALSE)),1,0)</f>
        <v>0</v>
      </c>
      <c r="R140">
        <f>IF(AND(VLOOKUP(R$1,main!$A$3:$H$102,7,FALSE)=main!$G$104,VLOOKUP(R$1,main!$A$3:$H$102,5,FALSE)-VLOOKUP($A140,main!$A$3:$H$102,6,FALSE)&gt;=main!$D$103+VLOOKUP(VLOOKUP(R$1,main!$A$3:$I$102,7,FALSE),main!$K$26:$Q$29,4,FALSE)),1,0)</f>
        <v>0</v>
      </c>
      <c r="S140">
        <f>IF(AND(VLOOKUP(S$1,main!$A$3:$H$102,7,FALSE)=main!$G$104,VLOOKUP(S$1,main!$A$3:$H$102,5,FALSE)-VLOOKUP($A140,main!$A$3:$H$102,6,FALSE)&gt;=main!$D$103+VLOOKUP(VLOOKUP(S$1,main!$A$3:$I$102,7,FALSE),main!$K$26:$Q$29,4,FALSE)),1,0)</f>
        <v>0</v>
      </c>
      <c r="T140">
        <f>IF(AND(VLOOKUP(T$1,main!$A$3:$H$102,7,FALSE)=main!$G$104,VLOOKUP(T$1,main!$A$3:$H$102,5,FALSE)-VLOOKUP($A140,main!$A$3:$H$102,6,FALSE)&gt;=main!$D$103+VLOOKUP(VLOOKUP(T$1,main!$A$3:$I$102,7,FALSE),main!$K$26:$Q$29,4,FALSE)),1,0)</f>
        <v>0</v>
      </c>
      <c r="U140">
        <f>IF(AND(VLOOKUP(U$1,main!$A$3:$H$102,7,FALSE)=main!$G$104,VLOOKUP(U$1,main!$A$3:$H$102,5,FALSE)-VLOOKUP($A140,main!$A$3:$H$102,6,FALSE)&gt;=main!$D$103+VLOOKUP(VLOOKUP(U$1,main!$A$3:$I$102,7,FALSE),main!$K$26:$Q$29,4,FALSE)),1,0)</f>
        <v>0</v>
      </c>
      <c r="V140">
        <f>IF(AND(VLOOKUP(V$1,main!$A$3:$H$102,7,FALSE)=main!$G$104,VLOOKUP(V$1,main!$A$3:$H$102,5,FALSE)-VLOOKUP($A140,main!$A$3:$H$102,6,FALSE)&gt;=main!$D$103+VLOOKUP(VLOOKUP(V$1,main!$A$3:$I$102,7,FALSE),main!$K$26:$Q$29,4,FALSE)),1,0)</f>
        <v>0</v>
      </c>
      <c r="W140">
        <f>IF(AND(VLOOKUP(W$1,main!$A$3:$H$102,7,FALSE)=main!$G$104,VLOOKUP(W$1,main!$A$3:$H$102,5,FALSE)-VLOOKUP($A140,main!$A$3:$H$102,6,FALSE)&gt;=main!$D$103+VLOOKUP(VLOOKUP(W$1,main!$A$3:$I$102,7,FALSE),main!$K$26:$Q$29,4,FALSE)),1,0)</f>
        <v>0</v>
      </c>
      <c r="X140">
        <f>IF(AND(VLOOKUP(X$1,main!$A$3:$H$102,7,FALSE)=main!$G$104,VLOOKUP(X$1,main!$A$3:$H$102,5,FALSE)-VLOOKUP($A140,main!$A$3:$H$102,6,FALSE)&gt;=main!$D$103+VLOOKUP(VLOOKUP(X$1,main!$A$3:$I$102,7,FALSE),main!$K$26:$Q$29,4,FALSE)),1,0)</f>
        <v>0</v>
      </c>
      <c r="Y140">
        <f>IF(AND(VLOOKUP(Y$1,main!$A$3:$H$102,7,FALSE)=main!$G$104,VLOOKUP(Y$1,main!$A$3:$H$102,5,FALSE)-VLOOKUP($A140,main!$A$3:$H$102,6,FALSE)&gt;=main!$D$103+VLOOKUP(VLOOKUP(Y$1,main!$A$3:$I$102,7,FALSE),main!$K$26:$Q$29,4,FALSE)),1,0)</f>
        <v>0</v>
      </c>
      <c r="Z140">
        <f>IF(AND(VLOOKUP(Z$1,main!$A$3:$H$102,7,FALSE)=main!$G$104,VLOOKUP(Z$1,main!$A$3:$H$102,5,FALSE)-VLOOKUP($A140,main!$A$3:$H$102,6,FALSE)&gt;=main!$D$103+VLOOKUP(VLOOKUP(Z$1,main!$A$3:$I$102,7,FALSE),main!$K$26:$Q$29,4,FALSE)),1,0)</f>
        <v>0</v>
      </c>
      <c r="AA140">
        <f>IF(AND(VLOOKUP(AA$1,main!$A$3:$H$102,7,FALSE)=main!$G$104,VLOOKUP(AA$1,main!$A$3:$H$102,5,FALSE)-VLOOKUP($A140,main!$A$3:$H$102,6,FALSE)&gt;=main!$D$103+VLOOKUP(VLOOKUP(AA$1,main!$A$3:$I$102,7,FALSE),main!$K$26:$Q$29,4,FALSE)),1,0)</f>
        <v>0</v>
      </c>
      <c r="AB140">
        <f>IF(AND(VLOOKUP(AB$1,main!$A$3:$H$102,7,FALSE)=main!$G$104,VLOOKUP(AB$1,main!$A$3:$H$102,5,FALSE)-VLOOKUP($A140,main!$A$3:$H$102,6,FALSE)&gt;=main!$D$103+VLOOKUP(VLOOKUP(AB$1,main!$A$3:$I$102,7,FALSE),main!$K$26:$Q$29,4,FALSE)),1,0)</f>
        <v>0</v>
      </c>
      <c r="AC140">
        <f>IF(AND(VLOOKUP(AC$1,main!$A$3:$H$102,7,FALSE)=main!$G$104,VLOOKUP(AC$1,main!$A$3:$H$102,5,FALSE)-VLOOKUP($A140,main!$A$3:$H$102,6,FALSE)&gt;=main!$D$103+VLOOKUP(VLOOKUP(AC$1,main!$A$3:$I$102,7,FALSE),main!$K$26:$Q$29,4,FALSE)),1,0)</f>
        <v>0</v>
      </c>
      <c r="AD140">
        <f>IF(AND(VLOOKUP(AD$1,main!$A$3:$H$102,7,FALSE)=main!$G$104,VLOOKUP(AD$1,main!$A$3:$H$102,5,FALSE)-VLOOKUP($A140,main!$A$3:$H$102,6,FALSE)&gt;=main!$D$103+VLOOKUP(VLOOKUP(AD$1,main!$A$3:$I$102,7,FALSE),main!$K$26:$Q$29,4,FALSE)),1,0)</f>
        <v>0</v>
      </c>
      <c r="AE140">
        <f>IF(AND(VLOOKUP(AE$1,main!$A$3:$H$102,7,FALSE)=main!$G$104,VLOOKUP(AE$1,main!$A$3:$H$102,5,FALSE)-VLOOKUP($A140,main!$A$3:$H$102,6,FALSE)&gt;=main!$D$103+VLOOKUP(VLOOKUP(AE$1,main!$A$3:$I$102,7,FALSE),main!$K$26:$Q$29,4,FALSE)),1,0)</f>
        <v>0</v>
      </c>
      <c r="AF140">
        <f>IF(AND(VLOOKUP(AF$1,main!$A$3:$H$102,7,FALSE)=main!$G$104,VLOOKUP(AF$1,main!$A$3:$H$102,5,FALSE)-VLOOKUP($A140,main!$A$3:$H$102,6,FALSE)&gt;=main!$D$103+VLOOKUP(VLOOKUP(AF$1,main!$A$3:$I$102,7,FALSE),main!$K$26:$Q$29,4,FALSE)),1,0)</f>
        <v>0</v>
      </c>
      <c r="AG140">
        <f>IF(AND(VLOOKUP(AG$1,main!$A$3:$H$102,7,FALSE)=main!$G$104,VLOOKUP(AG$1,main!$A$3:$H$102,5,FALSE)-VLOOKUP($A140,main!$A$3:$H$102,6,FALSE)&gt;=main!$D$103+VLOOKUP(VLOOKUP(AG$1,main!$A$3:$I$102,7,FALSE),main!$K$26:$Q$29,4,FALSE)),1,0)</f>
        <v>0</v>
      </c>
      <c r="AH140">
        <f>IF(AND(VLOOKUP(AH$1,main!$A$3:$H$102,7,FALSE)=main!$G$104,VLOOKUP(AH$1,main!$A$3:$H$102,5,FALSE)-VLOOKUP($A140,main!$A$3:$H$102,6,FALSE)&gt;=main!$D$103+VLOOKUP(VLOOKUP(AH$1,main!$A$3:$I$102,7,FALSE),main!$K$26:$Q$29,4,FALSE)),1,0)</f>
        <v>0</v>
      </c>
      <c r="AI140">
        <f>IF(AND(VLOOKUP(AI$1,main!$A$3:$H$102,7,FALSE)=main!$G$104,VLOOKUP(AI$1,main!$A$3:$H$102,5,FALSE)-VLOOKUP($A140,main!$A$3:$H$102,6,FALSE)&gt;=main!$D$103+VLOOKUP(VLOOKUP(AI$1,main!$A$3:$I$102,7,FALSE),main!$K$26:$Q$29,4,FALSE)),1,0)</f>
        <v>0</v>
      </c>
      <c r="AJ140">
        <f>IF(AND(VLOOKUP(AJ$1,main!$A$3:$H$102,7,FALSE)=main!$G$104,VLOOKUP(AJ$1,main!$A$3:$H$102,5,FALSE)-VLOOKUP($A140,main!$A$3:$H$102,6,FALSE)&gt;=main!$D$103+VLOOKUP(VLOOKUP(AJ$1,main!$A$3:$I$102,7,FALSE),main!$K$26:$Q$29,4,FALSE)),1,0)</f>
        <v>0</v>
      </c>
      <c r="AK140">
        <f>IF(AND(VLOOKUP(AK$1,main!$A$3:$H$102,7,FALSE)=main!$G$104,VLOOKUP(AK$1,main!$A$3:$H$102,5,FALSE)-VLOOKUP($A140,main!$A$3:$H$102,6,FALSE)&gt;=main!$D$103+VLOOKUP(VLOOKUP(AK$1,main!$A$3:$I$102,7,FALSE),main!$K$26:$Q$29,4,FALSE)),1,0)</f>
        <v>0</v>
      </c>
      <c r="AL140">
        <f>IF(AND(VLOOKUP(AL$1,main!$A$3:$H$102,7,FALSE)=main!$G$104,VLOOKUP(AL$1,main!$A$3:$H$102,5,FALSE)-VLOOKUP($A140,main!$A$3:$H$102,6,FALSE)&gt;=main!$D$103+VLOOKUP(VLOOKUP(AL$1,main!$A$3:$I$102,7,FALSE),main!$K$26:$Q$29,4,FALSE)),1,0)</f>
        <v>0</v>
      </c>
      <c r="AM140">
        <f>IF(AND(VLOOKUP(AM$1,main!$A$3:$H$102,7,FALSE)=main!$G$104,VLOOKUP(AM$1,main!$A$3:$H$102,5,FALSE)-VLOOKUP($A140,main!$A$3:$H$102,6,FALSE)&gt;=main!$D$103+VLOOKUP(VLOOKUP(AM$1,main!$A$3:$I$102,7,FALSE),main!$K$26:$Q$29,4,FALSE)),1,0)</f>
        <v>0</v>
      </c>
      <c r="AN140">
        <f>IF(AND(VLOOKUP(AN$1,main!$A$3:$H$102,7,FALSE)=main!$G$104,VLOOKUP(AN$1,main!$A$3:$H$102,5,FALSE)-VLOOKUP($A140,main!$A$3:$H$102,6,FALSE)&gt;=main!$D$103+VLOOKUP(VLOOKUP(AN$1,main!$A$3:$I$102,7,FALSE),main!$K$26:$Q$29,4,FALSE)),1,0)</f>
        <v>0</v>
      </c>
      <c r="AO140">
        <f>IF(AND(VLOOKUP(AO$1,main!$A$3:$H$102,7,FALSE)=main!$G$104,VLOOKUP(AO$1,main!$A$3:$H$102,5,FALSE)-VLOOKUP($A140,main!$A$3:$H$102,6,FALSE)&gt;=main!$D$103+VLOOKUP(VLOOKUP(AO$1,main!$A$3:$I$102,7,FALSE),main!$K$26:$Q$29,4,FALSE)),1,0)</f>
        <v>0</v>
      </c>
      <c r="AP140">
        <f>IF(AND(VLOOKUP(AP$1,main!$A$3:$H$102,7,FALSE)=main!$G$104,VLOOKUP(AP$1,main!$A$3:$H$102,5,FALSE)-VLOOKUP($A140,main!$A$3:$H$102,6,FALSE)&gt;=main!$D$103+VLOOKUP(VLOOKUP(AP$1,main!$A$3:$I$102,7,FALSE),main!$K$26:$Q$29,4,FALSE)),1,0)</f>
        <v>0</v>
      </c>
      <c r="AQ140">
        <f>IF(AND(VLOOKUP(AQ$1,main!$A$3:$H$102,7,FALSE)=main!$G$104,VLOOKUP(AQ$1,main!$A$3:$H$102,5,FALSE)-VLOOKUP($A140,main!$A$3:$H$102,6,FALSE)&gt;=main!$D$103+VLOOKUP(VLOOKUP(AQ$1,main!$A$3:$I$102,7,FALSE),main!$K$26:$Q$29,4,FALSE)),1,0)</f>
        <v>0</v>
      </c>
      <c r="AR140">
        <f>IF(AND(VLOOKUP(AR$1,main!$A$3:$H$102,7,FALSE)=main!$G$104,VLOOKUP(AR$1,main!$A$3:$H$102,5,FALSE)-VLOOKUP($A140,main!$A$3:$H$102,6,FALSE)&gt;=main!$D$103+VLOOKUP(VLOOKUP(AR$1,main!$A$3:$I$102,7,FALSE),main!$K$26:$Q$29,4,FALSE)),1,0)</f>
        <v>0</v>
      </c>
      <c r="AS140">
        <f>IF(AND(VLOOKUP(AS$1,main!$A$3:$H$102,7,FALSE)=main!$G$104,VLOOKUP(AS$1,main!$A$3:$H$102,5,FALSE)-VLOOKUP($A140,main!$A$3:$H$102,6,FALSE)&gt;=main!$D$103+VLOOKUP(VLOOKUP(AS$1,main!$A$3:$I$102,7,FALSE),main!$K$26:$Q$29,4,FALSE)),1,0)</f>
        <v>0</v>
      </c>
      <c r="AT140">
        <f>IF(AND(VLOOKUP(AT$1,main!$A$3:$H$102,7,FALSE)=main!$G$104,VLOOKUP(AT$1,main!$A$3:$H$102,5,FALSE)-VLOOKUP($A140,main!$A$3:$H$102,6,FALSE)&gt;=main!$D$103+VLOOKUP(VLOOKUP(AT$1,main!$A$3:$I$102,7,FALSE),main!$K$26:$Q$29,4,FALSE)),1,0)</f>
        <v>0</v>
      </c>
      <c r="AU140">
        <f>IF(AND(VLOOKUP(AU$1,main!$A$3:$H$102,7,FALSE)=main!$G$104,VLOOKUP(AU$1,main!$A$3:$H$102,5,FALSE)-VLOOKUP($A140,main!$A$3:$H$102,6,FALSE)&gt;=main!$D$103+VLOOKUP(VLOOKUP(AU$1,main!$A$3:$I$102,7,FALSE),main!$K$26:$Q$29,4,FALSE)),1,0)</f>
        <v>0</v>
      </c>
      <c r="AV140">
        <f>IF(AND(VLOOKUP(AV$1,main!$A$3:$H$102,7,FALSE)=main!$G$104,VLOOKUP(AV$1,main!$A$3:$H$102,5,FALSE)-VLOOKUP($A140,main!$A$3:$H$102,6,FALSE)&gt;=main!$D$103+VLOOKUP(VLOOKUP(AV$1,main!$A$3:$I$102,7,FALSE),main!$K$26:$Q$29,4,FALSE)),1,0)</f>
        <v>0</v>
      </c>
      <c r="AW140">
        <f>IF(AND(VLOOKUP(AW$1,main!$A$3:$H$102,7,FALSE)=main!$G$104,VLOOKUP(AW$1,main!$A$3:$H$102,5,FALSE)-VLOOKUP($A140,main!$A$3:$H$102,6,FALSE)&gt;=main!$D$103+VLOOKUP(VLOOKUP(AW$1,main!$A$3:$I$102,7,FALSE),main!$K$26:$Q$29,4,FALSE)),1,0)</f>
        <v>0</v>
      </c>
      <c r="AX140">
        <f>IF(AND(VLOOKUP(AX$1,main!$A$3:$H$102,7,FALSE)=main!$G$104,VLOOKUP(AX$1,main!$A$3:$H$102,5,FALSE)-VLOOKUP($A140,main!$A$3:$H$102,6,FALSE)&gt;=main!$D$103+VLOOKUP(VLOOKUP(AX$1,main!$A$3:$I$102,7,FALSE),main!$K$26:$Q$29,4,FALSE)),1,0)</f>
        <v>0</v>
      </c>
      <c r="AY140">
        <f>IF(AND(VLOOKUP(AY$1,main!$A$3:$H$102,7,FALSE)=main!$G$104,VLOOKUP(AY$1,main!$A$3:$H$102,5,FALSE)-VLOOKUP($A140,main!$A$3:$H$102,6,FALSE)&gt;=main!$D$103+VLOOKUP(VLOOKUP(AY$1,main!$A$3:$I$102,7,FALSE),main!$K$26:$Q$29,4,FALSE)),1,0)</f>
        <v>0</v>
      </c>
      <c r="AZ140">
        <f>IF(AND(VLOOKUP(AZ$1,main!$A$3:$H$102,7,FALSE)=main!$G$104,VLOOKUP(AZ$1,main!$A$3:$H$102,5,FALSE)-VLOOKUP($A140,main!$A$3:$H$102,6,FALSE)&gt;=main!$D$103+VLOOKUP(VLOOKUP(AZ$1,main!$A$3:$I$102,7,FALSE),main!$K$26:$Q$29,4,FALSE)),1,0)</f>
        <v>0</v>
      </c>
      <c r="BA140">
        <f>IF(AND(VLOOKUP(BA$1,main!$A$3:$H$102,7,FALSE)=main!$G$104,VLOOKUP(BA$1,main!$A$3:$H$102,5,FALSE)-VLOOKUP($A140,main!$A$3:$H$102,6,FALSE)&gt;=main!$D$103+VLOOKUP(VLOOKUP(BA$1,main!$A$3:$I$102,7,FALSE),main!$K$26:$Q$29,4,FALSE)),1,0)</f>
        <v>0</v>
      </c>
      <c r="BB140">
        <f>IF(AND(VLOOKUP(BB$1,main!$A$3:$H$102,7,FALSE)=main!$G$104,VLOOKUP(BB$1,main!$A$3:$H$102,5,FALSE)-VLOOKUP($A140,main!$A$3:$H$102,6,FALSE)&gt;=main!$D$103+VLOOKUP(VLOOKUP(BB$1,main!$A$3:$I$102,7,FALSE),main!$K$26:$Q$29,4,FALSE)),1,0)</f>
        <v>0</v>
      </c>
      <c r="BC140">
        <f>IF(AND(VLOOKUP(BC$1,main!$A$3:$H$102,7,FALSE)=main!$G$104,VLOOKUP(BC$1,main!$A$3:$H$102,5,FALSE)-VLOOKUP($A140,main!$A$3:$H$102,6,FALSE)&gt;=main!$D$103+VLOOKUP(VLOOKUP(BC$1,main!$A$3:$I$102,7,FALSE),main!$K$26:$Q$29,4,FALSE)),1,0)</f>
        <v>0</v>
      </c>
      <c r="BD140">
        <f>IF(AND(VLOOKUP(BD$1,main!$A$3:$H$102,7,FALSE)=main!$G$104,VLOOKUP(BD$1,main!$A$3:$H$102,5,FALSE)-VLOOKUP($A140,main!$A$3:$H$102,6,FALSE)&gt;=main!$D$103+VLOOKUP(VLOOKUP(BD$1,main!$A$3:$I$102,7,FALSE),main!$K$26:$Q$29,4,FALSE)),1,0)</f>
        <v>0</v>
      </c>
      <c r="BE140">
        <f>IF(AND(VLOOKUP(BE$1,main!$A$3:$H$102,7,FALSE)=main!$G$104,VLOOKUP(BE$1,main!$A$3:$H$102,5,FALSE)-VLOOKUP($A140,main!$A$3:$H$102,6,FALSE)&gt;=main!$D$103+VLOOKUP(VLOOKUP(BE$1,main!$A$3:$I$102,7,FALSE),main!$K$26:$Q$29,4,FALSE)),1,0)</f>
        <v>0</v>
      </c>
      <c r="BF140">
        <f>IF(AND(VLOOKUP(BF$1,main!$A$3:$H$102,7,FALSE)=main!$G$104,VLOOKUP(BF$1,main!$A$3:$H$102,5,FALSE)-VLOOKUP($A140,main!$A$3:$H$102,6,FALSE)&gt;=main!$D$103+VLOOKUP(VLOOKUP(BF$1,main!$A$3:$I$102,7,FALSE),main!$K$26:$Q$29,4,FALSE)),1,0)</f>
        <v>0</v>
      </c>
      <c r="BG140">
        <f>IF(AND(VLOOKUP(BG$1,main!$A$3:$H$102,7,FALSE)=main!$G$104,VLOOKUP(BG$1,main!$A$3:$H$102,5,FALSE)-VLOOKUP($A140,main!$A$3:$H$102,6,FALSE)&gt;=main!$D$103+VLOOKUP(VLOOKUP(BG$1,main!$A$3:$I$102,7,FALSE),main!$K$26:$Q$29,4,FALSE)),1,0)</f>
        <v>0</v>
      </c>
      <c r="BH140">
        <f>IF(AND(VLOOKUP(BH$1,main!$A$3:$H$102,7,FALSE)=main!$G$104,VLOOKUP(BH$1,main!$A$3:$H$102,5,FALSE)-VLOOKUP($A140,main!$A$3:$H$102,6,FALSE)&gt;=main!$D$103+VLOOKUP(VLOOKUP(BH$1,main!$A$3:$I$102,7,FALSE),main!$K$26:$Q$29,4,FALSE)),1,0)</f>
        <v>0</v>
      </c>
      <c r="BI140">
        <f>IF(AND(VLOOKUP(BI$1,main!$A$3:$H$102,7,FALSE)=main!$G$104,VLOOKUP(BI$1,main!$A$3:$H$102,5,FALSE)-VLOOKUP($A140,main!$A$3:$H$102,6,FALSE)&gt;=main!$D$103+VLOOKUP(VLOOKUP(BI$1,main!$A$3:$I$102,7,FALSE),main!$K$26:$Q$29,4,FALSE)),1,0)</f>
        <v>0</v>
      </c>
      <c r="BJ140">
        <f>IF(AND(VLOOKUP(BJ$1,main!$A$3:$H$102,7,FALSE)=main!$G$104,VLOOKUP(BJ$1,main!$A$3:$H$102,5,FALSE)-VLOOKUP($A140,main!$A$3:$H$102,6,FALSE)&gt;=main!$D$103+VLOOKUP(VLOOKUP(BJ$1,main!$A$3:$I$102,7,FALSE),main!$K$26:$Q$29,4,FALSE)),1,0)</f>
        <v>0</v>
      </c>
      <c r="BK140">
        <f>IF(AND(VLOOKUP(BK$1,main!$A$3:$H$102,7,FALSE)=main!$G$104,VLOOKUP(BK$1,main!$A$3:$H$102,5,FALSE)-VLOOKUP($A140,main!$A$3:$H$102,6,FALSE)&gt;=main!$D$103+VLOOKUP(VLOOKUP(BK$1,main!$A$3:$I$102,7,FALSE),main!$K$26:$Q$29,4,FALSE)),1,0)</f>
        <v>0</v>
      </c>
      <c r="BL140">
        <f>IF(AND(VLOOKUP(BL$1,main!$A$3:$H$102,7,FALSE)=main!$G$104,VLOOKUP(BL$1,main!$A$3:$H$102,5,FALSE)-VLOOKUP($A140,main!$A$3:$H$102,6,FALSE)&gt;=main!$D$103+VLOOKUP(VLOOKUP(BL$1,main!$A$3:$I$102,7,FALSE),main!$K$26:$Q$29,4,FALSE)),1,0)</f>
        <v>0</v>
      </c>
      <c r="BM140">
        <f>IF(AND(VLOOKUP(BM$1,main!$A$3:$H$102,7,FALSE)=main!$G$104,VLOOKUP(BM$1,main!$A$3:$H$102,5,FALSE)-VLOOKUP($A140,main!$A$3:$H$102,6,FALSE)&gt;=main!$D$103+VLOOKUP(VLOOKUP(BM$1,main!$A$3:$I$102,7,FALSE),main!$K$26:$Q$29,4,FALSE)),1,0)</f>
        <v>0</v>
      </c>
      <c r="BN140">
        <f>IF(AND(VLOOKUP(BN$1,main!$A$3:$H$102,7,FALSE)=main!$G$104,VLOOKUP(BN$1,main!$A$3:$H$102,5,FALSE)-VLOOKUP($A140,main!$A$3:$H$102,6,FALSE)&gt;=main!$D$103+VLOOKUP(VLOOKUP(BN$1,main!$A$3:$I$102,7,FALSE),main!$K$26:$Q$29,4,FALSE)),1,0)</f>
        <v>0</v>
      </c>
      <c r="BO140">
        <f>IF(AND(VLOOKUP(BO$1,main!$A$3:$H$102,7,FALSE)=main!$G$104,VLOOKUP(BO$1,main!$A$3:$H$102,5,FALSE)-VLOOKUP($A140,main!$A$3:$H$102,6,FALSE)&gt;=main!$D$103+VLOOKUP(VLOOKUP(BO$1,main!$A$3:$I$102,7,FALSE),main!$K$26:$Q$29,4,FALSE)),1,0)</f>
        <v>0</v>
      </c>
      <c r="BP140">
        <f>IF(AND(VLOOKUP(BP$1,main!$A$3:$H$102,7,FALSE)=main!$G$104,VLOOKUP(BP$1,main!$A$3:$H$102,5,FALSE)-VLOOKUP($A140,main!$A$3:$H$102,6,FALSE)&gt;=main!$D$103+VLOOKUP(VLOOKUP(BP$1,main!$A$3:$I$102,7,FALSE),main!$K$26:$Q$29,4,FALSE)),1,0)</f>
        <v>0</v>
      </c>
      <c r="BQ140">
        <f>IF(AND(VLOOKUP(BQ$1,main!$A$3:$H$102,7,FALSE)=main!$G$104,VLOOKUP(BQ$1,main!$A$3:$H$102,5,FALSE)-VLOOKUP($A140,main!$A$3:$H$102,6,FALSE)&gt;=main!$D$103+VLOOKUP(VLOOKUP(BQ$1,main!$A$3:$I$102,7,FALSE),main!$K$26:$Q$29,4,FALSE)),1,0)</f>
        <v>0</v>
      </c>
      <c r="BR140">
        <f>IF(AND(VLOOKUP(BR$1,main!$A$3:$H$102,7,FALSE)=main!$G$104,VLOOKUP(BR$1,main!$A$3:$H$102,5,FALSE)-VLOOKUP($A140,main!$A$3:$H$102,6,FALSE)&gt;=main!$D$103+VLOOKUP(VLOOKUP(BR$1,main!$A$3:$I$102,7,FALSE),main!$K$26:$Q$29,4,FALSE)),1,0)</f>
        <v>0</v>
      </c>
      <c r="BS140">
        <f>IF(AND(VLOOKUP(BS$1,main!$A$3:$H$102,7,FALSE)=main!$G$104,VLOOKUP(BS$1,main!$A$3:$H$102,5,FALSE)-VLOOKUP($A140,main!$A$3:$H$102,6,FALSE)&gt;=main!$D$103+VLOOKUP(VLOOKUP(BS$1,main!$A$3:$I$102,7,FALSE),main!$K$26:$Q$29,4,FALSE)),1,0)</f>
        <v>0</v>
      </c>
      <c r="BT140">
        <f>IF(AND(VLOOKUP(BT$1,main!$A$3:$H$102,7,FALSE)=main!$G$104,VLOOKUP(BT$1,main!$A$3:$H$102,5,FALSE)-VLOOKUP($A140,main!$A$3:$H$102,6,FALSE)&gt;=main!$D$103+VLOOKUP(VLOOKUP(BT$1,main!$A$3:$I$102,7,FALSE),main!$K$26:$Q$29,4,FALSE)),1,0)</f>
        <v>0</v>
      </c>
      <c r="BU140">
        <f>IF(AND(VLOOKUP(BU$1,main!$A$3:$H$102,7,FALSE)=main!$G$104,VLOOKUP(BU$1,main!$A$3:$H$102,5,FALSE)-VLOOKUP($A140,main!$A$3:$H$102,6,FALSE)&gt;=main!$D$103+VLOOKUP(VLOOKUP(BU$1,main!$A$3:$I$102,7,FALSE),main!$K$26:$Q$29,4,FALSE)),1,0)</f>
        <v>0</v>
      </c>
      <c r="BV140">
        <f>IF(AND(VLOOKUP(BV$1,main!$A$3:$H$102,7,FALSE)=main!$G$104,VLOOKUP(BV$1,main!$A$3:$H$102,5,FALSE)-VLOOKUP($A140,main!$A$3:$H$102,6,FALSE)&gt;=main!$D$103+VLOOKUP(VLOOKUP(BV$1,main!$A$3:$I$102,7,FALSE),main!$K$26:$Q$29,4,FALSE)),1,0)</f>
        <v>0</v>
      </c>
      <c r="BW140">
        <f>IF(AND(VLOOKUP(BW$1,main!$A$3:$H$102,7,FALSE)=main!$G$104,VLOOKUP(BW$1,main!$A$3:$H$102,5,FALSE)-VLOOKUP($A140,main!$A$3:$H$102,6,FALSE)&gt;=main!$D$103+VLOOKUP(VLOOKUP(BW$1,main!$A$3:$I$102,7,FALSE),main!$K$26:$Q$29,4,FALSE)),1,0)</f>
        <v>0</v>
      </c>
      <c r="BX140">
        <f>IF(AND(VLOOKUP(BX$1,main!$A$3:$H$102,7,FALSE)=main!$G$104,VLOOKUP(BX$1,main!$A$3:$H$102,5,FALSE)-VLOOKUP($A140,main!$A$3:$H$102,6,FALSE)&gt;=main!$D$103+VLOOKUP(VLOOKUP(BX$1,main!$A$3:$I$102,7,FALSE),main!$K$26:$Q$29,4,FALSE)),1,0)</f>
        <v>0</v>
      </c>
      <c r="BY140">
        <f>IF(AND(VLOOKUP(BY$1,main!$A$3:$H$102,7,FALSE)=main!$G$104,VLOOKUP(BY$1,main!$A$3:$H$102,5,FALSE)-VLOOKUP($A140,main!$A$3:$H$102,6,FALSE)&gt;=main!$D$103+VLOOKUP(VLOOKUP(BY$1,main!$A$3:$I$102,7,FALSE),main!$K$26:$Q$29,4,FALSE)),1,0)</f>
        <v>0</v>
      </c>
      <c r="BZ140">
        <f>IF(AND(VLOOKUP(BZ$1,main!$A$3:$H$102,7,FALSE)=main!$G$104,VLOOKUP(BZ$1,main!$A$3:$H$102,5,FALSE)-VLOOKUP($A140,main!$A$3:$H$102,6,FALSE)&gt;=main!$D$103+VLOOKUP(VLOOKUP(BZ$1,main!$A$3:$I$102,7,FALSE),main!$K$26:$Q$29,4,FALSE)),1,0)</f>
        <v>0</v>
      </c>
      <c r="CA140">
        <f>IF(AND(VLOOKUP(CA$1,main!$A$3:$H$102,7,FALSE)=main!$G$104,VLOOKUP(CA$1,main!$A$3:$H$102,5,FALSE)-VLOOKUP($A140,main!$A$3:$H$102,6,FALSE)&gt;=main!$D$103+VLOOKUP(VLOOKUP(CA$1,main!$A$3:$I$102,7,FALSE),main!$K$26:$Q$29,4,FALSE)),1,0)</f>
        <v>0</v>
      </c>
      <c r="CB140">
        <f>IF(AND(VLOOKUP(CB$1,main!$A$3:$H$102,7,FALSE)=main!$G$104,VLOOKUP(CB$1,main!$A$3:$H$102,5,FALSE)-VLOOKUP($A140,main!$A$3:$H$102,6,FALSE)&gt;=main!$D$103+VLOOKUP(VLOOKUP(CB$1,main!$A$3:$I$102,7,FALSE),main!$K$26:$Q$29,4,FALSE)),1,0)</f>
        <v>0</v>
      </c>
      <c r="CC140">
        <f>IF(AND(VLOOKUP(CC$1,main!$A$3:$H$102,7,FALSE)=main!$G$104,VLOOKUP(CC$1,main!$A$3:$H$102,5,FALSE)-VLOOKUP($A140,main!$A$3:$H$102,6,FALSE)&gt;=main!$D$103+VLOOKUP(VLOOKUP(CC$1,main!$A$3:$I$102,7,FALSE),main!$K$26:$Q$29,4,FALSE)),1,0)</f>
        <v>0</v>
      </c>
      <c r="CD140">
        <f>IF(AND(VLOOKUP(CD$1,main!$A$3:$H$102,7,FALSE)=main!$G$104,VLOOKUP(CD$1,main!$A$3:$H$102,5,FALSE)-VLOOKUP($A140,main!$A$3:$H$102,6,FALSE)&gt;=main!$D$103+VLOOKUP(VLOOKUP(CD$1,main!$A$3:$I$102,7,FALSE),main!$K$26:$Q$29,4,FALSE)),1,0)</f>
        <v>0</v>
      </c>
      <c r="CE140">
        <f>IF(AND(VLOOKUP(CE$1,main!$A$3:$H$102,7,FALSE)=main!$G$104,VLOOKUP(CE$1,main!$A$3:$H$102,5,FALSE)-VLOOKUP($A140,main!$A$3:$H$102,6,FALSE)&gt;=main!$D$103+VLOOKUP(VLOOKUP(CE$1,main!$A$3:$I$102,7,FALSE),main!$K$26:$Q$29,4,FALSE)),1,0)</f>
        <v>0</v>
      </c>
      <c r="CF140">
        <f>IF(AND(VLOOKUP(CF$1,main!$A$3:$H$102,7,FALSE)=main!$G$104,VLOOKUP(CF$1,main!$A$3:$H$102,5,FALSE)-VLOOKUP($A140,main!$A$3:$H$102,6,FALSE)&gt;=main!$D$103+VLOOKUP(VLOOKUP(CF$1,main!$A$3:$I$102,7,FALSE),main!$K$26:$Q$29,4,FALSE)),1,0)</f>
        <v>0</v>
      </c>
      <c r="CG140">
        <f>IF(AND(VLOOKUP(CG$1,main!$A$3:$H$102,7,FALSE)=main!$G$104,VLOOKUP(CG$1,main!$A$3:$H$102,5,FALSE)-VLOOKUP($A140,main!$A$3:$H$102,6,FALSE)&gt;=main!$D$103+VLOOKUP(VLOOKUP(CG$1,main!$A$3:$I$102,7,FALSE),main!$K$26:$Q$29,4,FALSE)),1,0)</f>
        <v>0</v>
      </c>
      <c r="CH140">
        <f>IF(AND(VLOOKUP(CH$1,main!$A$3:$H$102,7,FALSE)=main!$G$104,VLOOKUP(CH$1,main!$A$3:$H$102,5,FALSE)-VLOOKUP($A140,main!$A$3:$H$102,6,FALSE)&gt;=main!$D$103+VLOOKUP(VLOOKUP(CH$1,main!$A$3:$I$102,7,FALSE),main!$K$26:$Q$29,4,FALSE)),1,0)</f>
        <v>0</v>
      </c>
      <c r="CI140">
        <f>IF(AND(VLOOKUP(CI$1,main!$A$3:$H$102,7,FALSE)=main!$G$104,VLOOKUP(CI$1,main!$A$3:$H$102,5,FALSE)-VLOOKUP($A140,main!$A$3:$H$102,6,FALSE)&gt;=main!$D$103+VLOOKUP(VLOOKUP(CI$1,main!$A$3:$I$102,7,FALSE),main!$K$26:$Q$29,4,FALSE)),1,0)</f>
        <v>0</v>
      </c>
      <c r="CJ140">
        <f>IF(AND(VLOOKUP(CJ$1,main!$A$3:$H$102,7,FALSE)=main!$G$104,VLOOKUP(CJ$1,main!$A$3:$H$102,5,FALSE)-VLOOKUP($A140,main!$A$3:$H$102,6,FALSE)&gt;=main!$D$103+VLOOKUP(VLOOKUP(CJ$1,main!$A$3:$I$102,7,FALSE),main!$K$26:$Q$29,4,FALSE)),1,0)</f>
        <v>0</v>
      </c>
      <c r="CK140">
        <f>IF(AND(VLOOKUP(CK$1,main!$A$3:$H$102,7,FALSE)=main!$G$104,VLOOKUP(CK$1,main!$A$3:$H$102,5,FALSE)-VLOOKUP($A140,main!$A$3:$H$102,6,FALSE)&gt;=main!$D$103+VLOOKUP(VLOOKUP(CK$1,main!$A$3:$I$102,7,FALSE),main!$K$26:$Q$29,4,FALSE)),1,0)</f>
        <v>0</v>
      </c>
      <c r="CL140">
        <f>IF(AND(VLOOKUP(CL$1,main!$A$3:$H$102,7,FALSE)=main!$G$104,VLOOKUP(CL$1,main!$A$3:$H$102,5,FALSE)-VLOOKUP($A140,main!$A$3:$H$102,6,FALSE)&gt;=main!$D$103+VLOOKUP(VLOOKUP(CL$1,main!$A$3:$I$102,7,FALSE),main!$K$26:$Q$29,4,FALSE)),1,0)</f>
        <v>0</v>
      </c>
      <c r="CM140">
        <f>IF(AND(VLOOKUP(CM$1,main!$A$3:$H$102,7,FALSE)=main!$G$104,VLOOKUP(CM$1,main!$A$3:$H$102,5,FALSE)-VLOOKUP($A140,main!$A$3:$H$102,6,FALSE)&gt;=main!$D$103+VLOOKUP(VLOOKUP(CM$1,main!$A$3:$I$102,7,FALSE),main!$K$26:$Q$29,4,FALSE)),1,0)</f>
        <v>0</v>
      </c>
      <c r="CN140">
        <f>IF(AND(VLOOKUP(CN$1,main!$A$3:$H$102,7,FALSE)=main!$G$104,VLOOKUP(CN$1,main!$A$3:$H$102,5,FALSE)-VLOOKUP($A140,main!$A$3:$H$102,6,FALSE)&gt;=main!$D$103+VLOOKUP(VLOOKUP(CN$1,main!$A$3:$I$102,7,FALSE),main!$K$26:$Q$29,4,FALSE)),1,0)</f>
        <v>0</v>
      </c>
      <c r="CO140">
        <f>IF(AND(VLOOKUP(CO$1,main!$A$3:$H$102,7,FALSE)=main!$G$104,VLOOKUP(CO$1,main!$A$3:$H$102,5,FALSE)-VLOOKUP($A140,main!$A$3:$H$102,6,FALSE)&gt;=main!$D$103+VLOOKUP(VLOOKUP(CO$1,main!$A$3:$I$102,7,FALSE),main!$K$26:$Q$29,4,FALSE)),1,0)</f>
        <v>0</v>
      </c>
      <c r="CP140">
        <f>IF(AND(VLOOKUP(CP$1,main!$A$3:$H$102,7,FALSE)=main!$G$104,VLOOKUP(CP$1,main!$A$3:$H$102,5,FALSE)-VLOOKUP($A140,main!$A$3:$H$102,6,FALSE)&gt;=main!$D$103+VLOOKUP(VLOOKUP(CP$1,main!$A$3:$I$102,7,FALSE),main!$K$26:$Q$29,4,FALSE)),1,0)</f>
        <v>0</v>
      </c>
      <c r="CQ140">
        <f>IF(AND(VLOOKUP(CQ$1,main!$A$3:$H$102,7,FALSE)=main!$G$104,VLOOKUP(CQ$1,main!$A$3:$H$102,5,FALSE)-VLOOKUP($A140,main!$A$3:$H$102,6,FALSE)&gt;=main!$D$103+VLOOKUP(VLOOKUP(CQ$1,main!$A$3:$I$102,7,FALSE),main!$K$26:$Q$29,4,FALSE)),1,0)</f>
        <v>0</v>
      </c>
      <c r="CR140">
        <f>IF(AND(VLOOKUP(CR$1,main!$A$3:$H$102,7,FALSE)=main!$G$104,VLOOKUP(CR$1,main!$A$3:$H$102,5,FALSE)-VLOOKUP($A140,main!$A$3:$H$102,6,FALSE)&gt;=main!$D$103+VLOOKUP(VLOOKUP(CR$1,main!$A$3:$I$102,7,FALSE),main!$K$26:$Q$29,4,FALSE)),1,0)</f>
        <v>0</v>
      </c>
      <c r="CS140">
        <f>IF(AND(VLOOKUP(CS$1,main!$A$3:$H$102,7,FALSE)=main!$G$104,VLOOKUP(CS$1,main!$A$3:$H$102,5,FALSE)-VLOOKUP($A140,main!$A$3:$H$102,6,FALSE)&gt;=main!$D$103+VLOOKUP(VLOOKUP(CS$1,main!$A$3:$I$102,7,FALSE),main!$K$26:$Q$29,4,FALSE)),1,0)</f>
        <v>0</v>
      </c>
      <c r="CT140">
        <f>IF(AND(VLOOKUP(CT$1,main!$A$3:$H$102,7,FALSE)=main!$G$104,VLOOKUP(CT$1,main!$A$3:$H$102,5,FALSE)-VLOOKUP($A140,main!$A$3:$H$102,6,FALSE)&gt;=main!$D$103+VLOOKUP(VLOOKUP(CT$1,main!$A$3:$I$102,7,FALSE),main!$K$26:$Q$29,4,FALSE)),1,0)</f>
        <v>0</v>
      </c>
      <c r="CU140">
        <f>IF(AND(VLOOKUP(CU$1,main!$A$3:$H$102,7,FALSE)=main!$G$104,VLOOKUP(CU$1,main!$A$3:$H$102,5,FALSE)-VLOOKUP($A140,main!$A$3:$H$102,6,FALSE)&gt;=main!$D$103+VLOOKUP(VLOOKUP(CU$1,main!$A$3:$I$102,7,FALSE),main!$K$26:$Q$29,4,FALSE)),1,0)</f>
        <v>0</v>
      </c>
      <c r="CV140">
        <f>IF(AND(VLOOKUP(CV$1,main!$A$3:$H$102,7,FALSE)=main!$G$104,VLOOKUP(CV$1,main!$A$3:$H$102,5,FALSE)-VLOOKUP($A140,main!$A$3:$H$102,6,FALSE)&gt;=main!$D$103+VLOOKUP(VLOOKUP(CV$1,main!$A$3:$I$102,7,FALSE),main!$K$26:$Q$29,4,FALSE)),1,0)</f>
        <v>0</v>
      </c>
      <c r="CW140">
        <f>IF(AND(VLOOKUP(CW$1,main!$A$3:$H$102,7,FALSE)=main!$G$104,VLOOKUP(CW$1,main!$A$3:$H$102,5,FALSE)-VLOOKUP($A140,main!$A$3:$H$102,6,FALSE)&gt;=main!$D$103+VLOOKUP(VLOOKUP(CW$1,main!$A$3:$I$102,7,FALSE),main!$K$26:$Q$29,4,FALSE)),1,0)</f>
        <v>0</v>
      </c>
      <c r="CX140">
        <f>IF(AND(VLOOKUP(CX$1,main!$A$3:$H$102,7,FALSE)=main!$G$104,VLOOKUP(CX$1,main!$A$3:$H$102,5,FALSE)-VLOOKUP($A140,main!$A$3:$H$102,6,FALSE)&gt;=main!$D$103+VLOOKUP(VLOOKUP(CX$1,main!$A$3:$I$102,7,FALSE),main!$K$26:$Q$29,4,FALSE)),1,0)</f>
        <v>0</v>
      </c>
    </row>
    <row r="141" spans="1:109" x14ac:dyDescent="0.25">
      <c r="A141" s="1">
        <v>38</v>
      </c>
      <c r="B141">
        <v>0</v>
      </c>
      <c r="C141">
        <f>IF(AND(VLOOKUP(C$1,main!$A$3:$H$102,7,FALSE)=main!$G$104,VLOOKUP(C$1,main!$A$3:$H$102,5,FALSE)-VLOOKUP($A141,main!$A$3:$H$102,6,FALSE)&gt;=main!$D$103+VLOOKUP(VLOOKUP(C$1,main!$A$3:$I$102,7,FALSE),main!$K$26:$Q$29,4,FALSE)),1,0)</f>
        <v>0</v>
      </c>
      <c r="D141">
        <f>IF(AND(VLOOKUP(D$1,main!$A$3:$H$102,7,FALSE)=main!$G$104,VLOOKUP(D$1,main!$A$3:$H$102,5,FALSE)-VLOOKUP($A141,main!$A$3:$H$102,6,FALSE)&gt;=main!$D$103+VLOOKUP(VLOOKUP(D$1,main!$A$3:$I$102,7,FALSE),main!$K$26:$Q$29,4,FALSE)),1,0)</f>
        <v>0</v>
      </c>
      <c r="E141">
        <f>IF(AND(VLOOKUP(E$1,main!$A$3:$H$102,7,FALSE)=main!$G$104,VLOOKUP(E$1,main!$A$3:$H$102,5,FALSE)-VLOOKUP($A141,main!$A$3:$H$102,6,FALSE)&gt;=main!$D$103+VLOOKUP(VLOOKUP(E$1,main!$A$3:$I$102,7,FALSE),main!$K$26:$Q$29,4,FALSE)),1,0)</f>
        <v>0</v>
      </c>
      <c r="F141">
        <f>IF(AND(VLOOKUP(F$1,main!$A$3:$H$102,7,FALSE)=main!$G$104,VLOOKUP(F$1,main!$A$3:$H$102,5,FALSE)-VLOOKUP($A141,main!$A$3:$H$102,6,FALSE)&gt;=main!$D$103+VLOOKUP(VLOOKUP(F$1,main!$A$3:$I$102,7,FALSE),main!$K$26:$Q$29,4,FALSE)),1,0)</f>
        <v>0</v>
      </c>
      <c r="G141">
        <f>IF(AND(VLOOKUP(G$1,main!$A$3:$H$102,7,FALSE)=main!$G$104,VLOOKUP(G$1,main!$A$3:$H$102,5,FALSE)-VLOOKUP($A141,main!$A$3:$H$102,6,FALSE)&gt;=main!$D$103+VLOOKUP(VLOOKUP(G$1,main!$A$3:$I$102,7,FALSE),main!$K$26:$Q$29,4,FALSE)),1,0)</f>
        <v>0</v>
      </c>
      <c r="H141">
        <f>IF(AND(VLOOKUP(H$1,main!$A$3:$H$102,7,FALSE)=main!$G$104,VLOOKUP(H$1,main!$A$3:$H$102,5,FALSE)-VLOOKUP($A141,main!$A$3:$H$102,6,FALSE)&gt;=main!$D$103+VLOOKUP(VLOOKUP(H$1,main!$A$3:$I$102,7,FALSE),main!$K$26:$Q$29,4,FALSE)),1,0)</f>
        <v>0</v>
      </c>
      <c r="I141">
        <f>IF(AND(VLOOKUP(I$1,main!$A$3:$H$102,7,FALSE)=main!$G$104,VLOOKUP(I$1,main!$A$3:$H$102,5,FALSE)-VLOOKUP($A141,main!$A$3:$H$102,6,FALSE)&gt;=main!$D$103+VLOOKUP(VLOOKUP(I$1,main!$A$3:$I$102,7,FALSE),main!$K$26:$Q$29,4,FALSE)),1,0)</f>
        <v>0</v>
      </c>
      <c r="J141">
        <f>IF(AND(VLOOKUP(J$1,main!$A$3:$H$102,7,FALSE)=main!$G$104,VLOOKUP(J$1,main!$A$3:$H$102,5,FALSE)-VLOOKUP($A141,main!$A$3:$H$102,6,FALSE)&gt;=main!$D$103+VLOOKUP(VLOOKUP(J$1,main!$A$3:$I$102,7,FALSE),main!$K$26:$Q$29,4,FALSE)),1,0)</f>
        <v>0</v>
      </c>
      <c r="K141">
        <f>IF(AND(VLOOKUP(K$1,main!$A$3:$H$102,7,FALSE)=main!$G$104,VLOOKUP(K$1,main!$A$3:$H$102,5,FALSE)-VLOOKUP($A141,main!$A$3:$H$102,6,FALSE)&gt;=main!$D$103+VLOOKUP(VLOOKUP(K$1,main!$A$3:$I$102,7,FALSE),main!$K$26:$Q$29,4,FALSE)),1,0)</f>
        <v>0</v>
      </c>
      <c r="L141">
        <f>IF(AND(VLOOKUP(L$1,main!$A$3:$H$102,7,FALSE)=main!$G$104,VLOOKUP(L$1,main!$A$3:$H$102,5,FALSE)-VLOOKUP($A141,main!$A$3:$H$102,6,FALSE)&gt;=main!$D$103+VLOOKUP(VLOOKUP(L$1,main!$A$3:$I$102,7,FALSE),main!$K$26:$Q$29,4,FALSE)),1,0)</f>
        <v>0</v>
      </c>
      <c r="M141">
        <f>IF(AND(VLOOKUP(M$1,main!$A$3:$H$102,7,FALSE)=main!$G$104,VLOOKUP(M$1,main!$A$3:$H$102,5,FALSE)-VLOOKUP($A141,main!$A$3:$H$102,6,FALSE)&gt;=main!$D$103+VLOOKUP(VLOOKUP(M$1,main!$A$3:$I$102,7,FALSE),main!$K$26:$Q$29,4,FALSE)),1,0)</f>
        <v>0</v>
      </c>
      <c r="N141">
        <f>IF(AND(VLOOKUP(N$1,main!$A$3:$H$102,7,FALSE)=main!$G$104,VLOOKUP(N$1,main!$A$3:$H$102,5,FALSE)-VLOOKUP($A141,main!$A$3:$H$102,6,FALSE)&gt;=main!$D$103+VLOOKUP(VLOOKUP(N$1,main!$A$3:$I$102,7,FALSE),main!$K$26:$Q$29,4,FALSE)),1,0)</f>
        <v>0</v>
      </c>
      <c r="O141">
        <f>IF(AND(VLOOKUP(O$1,main!$A$3:$H$102,7,FALSE)=main!$G$104,VLOOKUP(O$1,main!$A$3:$H$102,5,FALSE)-VLOOKUP($A141,main!$A$3:$H$102,6,FALSE)&gt;=main!$D$103+VLOOKUP(VLOOKUP(O$1,main!$A$3:$I$102,7,FALSE),main!$K$26:$Q$29,4,FALSE)),1,0)</f>
        <v>0</v>
      </c>
      <c r="P141">
        <f>IF(AND(VLOOKUP(P$1,main!$A$3:$H$102,7,FALSE)=main!$G$104,VLOOKUP(P$1,main!$A$3:$H$102,5,FALSE)-VLOOKUP($A141,main!$A$3:$H$102,6,FALSE)&gt;=main!$D$103+VLOOKUP(VLOOKUP(P$1,main!$A$3:$I$102,7,FALSE),main!$K$26:$Q$29,4,FALSE)),1,0)</f>
        <v>0</v>
      </c>
      <c r="Q141">
        <f>IF(AND(VLOOKUP(Q$1,main!$A$3:$H$102,7,FALSE)=main!$G$104,VLOOKUP(Q$1,main!$A$3:$H$102,5,FALSE)-VLOOKUP($A141,main!$A$3:$H$102,6,FALSE)&gt;=main!$D$103+VLOOKUP(VLOOKUP(Q$1,main!$A$3:$I$102,7,FALSE),main!$K$26:$Q$29,4,FALSE)),1,0)</f>
        <v>0</v>
      </c>
      <c r="R141">
        <f>IF(AND(VLOOKUP(R$1,main!$A$3:$H$102,7,FALSE)=main!$G$104,VLOOKUP(R$1,main!$A$3:$H$102,5,FALSE)-VLOOKUP($A141,main!$A$3:$H$102,6,FALSE)&gt;=main!$D$103+VLOOKUP(VLOOKUP(R$1,main!$A$3:$I$102,7,FALSE),main!$K$26:$Q$29,4,FALSE)),1,0)</f>
        <v>0</v>
      </c>
      <c r="S141">
        <f>IF(AND(VLOOKUP(S$1,main!$A$3:$H$102,7,FALSE)=main!$G$104,VLOOKUP(S$1,main!$A$3:$H$102,5,FALSE)-VLOOKUP($A141,main!$A$3:$H$102,6,FALSE)&gt;=main!$D$103+VLOOKUP(VLOOKUP(S$1,main!$A$3:$I$102,7,FALSE),main!$K$26:$Q$29,4,FALSE)),1,0)</f>
        <v>0</v>
      </c>
      <c r="T141">
        <f>IF(AND(VLOOKUP(T$1,main!$A$3:$H$102,7,FALSE)=main!$G$104,VLOOKUP(T$1,main!$A$3:$H$102,5,FALSE)-VLOOKUP($A141,main!$A$3:$H$102,6,FALSE)&gt;=main!$D$103+VLOOKUP(VLOOKUP(T$1,main!$A$3:$I$102,7,FALSE),main!$K$26:$Q$29,4,FALSE)),1,0)</f>
        <v>0</v>
      </c>
      <c r="U141">
        <f>IF(AND(VLOOKUP(U$1,main!$A$3:$H$102,7,FALSE)=main!$G$104,VLOOKUP(U$1,main!$A$3:$H$102,5,FALSE)-VLOOKUP($A141,main!$A$3:$H$102,6,FALSE)&gt;=main!$D$103+VLOOKUP(VLOOKUP(U$1,main!$A$3:$I$102,7,FALSE),main!$K$26:$Q$29,4,FALSE)),1,0)</f>
        <v>0</v>
      </c>
      <c r="V141">
        <f>IF(AND(VLOOKUP(V$1,main!$A$3:$H$102,7,FALSE)=main!$G$104,VLOOKUP(V$1,main!$A$3:$H$102,5,FALSE)-VLOOKUP($A141,main!$A$3:$H$102,6,FALSE)&gt;=main!$D$103+VLOOKUP(VLOOKUP(V$1,main!$A$3:$I$102,7,FALSE),main!$K$26:$Q$29,4,FALSE)),1,0)</f>
        <v>0</v>
      </c>
      <c r="W141">
        <f>IF(AND(VLOOKUP(W$1,main!$A$3:$H$102,7,FALSE)=main!$G$104,VLOOKUP(W$1,main!$A$3:$H$102,5,FALSE)-VLOOKUP($A141,main!$A$3:$H$102,6,FALSE)&gt;=main!$D$103+VLOOKUP(VLOOKUP(W$1,main!$A$3:$I$102,7,FALSE),main!$K$26:$Q$29,4,FALSE)),1,0)</f>
        <v>0</v>
      </c>
      <c r="X141">
        <f>IF(AND(VLOOKUP(X$1,main!$A$3:$H$102,7,FALSE)=main!$G$104,VLOOKUP(X$1,main!$A$3:$H$102,5,FALSE)-VLOOKUP($A141,main!$A$3:$H$102,6,FALSE)&gt;=main!$D$103+VLOOKUP(VLOOKUP(X$1,main!$A$3:$I$102,7,FALSE),main!$K$26:$Q$29,4,FALSE)),1,0)</f>
        <v>0</v>
      </c>
      <c r="Y141">
        <f>IF(AND(VLOOKUP(Y$1,main!$A$3:$H$102,7,FALSE)=main!$G$104,VLOOKUP(Y$1,main!$A$3:$H$102,5,FALSE)-VLOOKUP($A141,main!$A$3:$H$102,6,FALSE)&gt;=main!$D$103+VLOOKUP(VLOOKUP(Y$1,main!$A$3:$I$102,7,FALSE),main!$K$26:$Q$29,4,FALSE)),1,0)</f>
        <v>0</v>
      </c>
      <c r="Z141">
        <f>IF(AND(VLOOKUP(Z$1,main!$A$3:$H$102,7,FALSE)=main!$G$104,VLOOKUP(Z$1,main!$A$3:$H$102,5,FALSE)-VLOOKUP($A141,main!$A$3:$H$102,6,FALSE)&gt;=main!$D$103+VLOOKUP(VLOOKUP(Z$1,main!$A$3:$I$102,7,FALSE),main!$K$26:$Q$29,4,FALSE)),1,0)</f>
        <v>0</v>
      </c>
      <c r="AA141">
        <f>IF(AND(VLOOKUP(AA$1,main!$A$3:$H$102,7,FALSE)=main!$G$104,VLOOKUP(AA$1,main!$A$3:$H$102,5,FALSE)-VLOOKUP($A141,main!$A$3:$H$102,6,FALSE)&gt;=main!$D$103+VLOOKUP(VLOOKUP(AA$1,main!$A$3:$I$102,7,FALSE),main!$K$26:$Q$29,4,FALSE)),1,0)</f>
        <v>0</v>
      </c>
      <c r="AB141">
        <f>IF(AND(VLOOKUP(AB$1,main!$A$3:$H$102,7,FALSE)=main!$G$104,VLOOKUP(AB$1,main!$A$3:$H$102,5,FALSE)-VLOOKUP($A141,main!$A$3:$H$102,6,FALSE)&gt;=main!$D$103+VLOOKUP(VLOOKUP(AB$1,main!$A$3:$I$102,7,FALSE),main!$K$26:$Q$29,4,FALSE)),1,0)</f>
        <v>0</v>
      </c>
      <c r="AC141">
        <f>IF(AND(VLOOKUP(AC$1,main!$A$3:$H$102,7,FALSE)=main!$G$104,VLOOKUP(AC$1,main!$A$3:$H$102,5,FALSE)-VLOOKUP($A141,main!$A$3:$H$102,6,FALSE)&gt;=main!$D$103+VLOOKUP(VLOOKUP(AC$1,main!$A$3:$I$102,7,FALSE),main!$K$26:$Q$29,4,FALSE)),1,0)</f>
        <v>0</v>
      </c>
      <c r="AD141">
        <f>IF(AND(VLOOKUP(AD$1,main!$A$3:$H$102,7,FALSE)=main!$G$104,VLOOKUP(AD$1,main!$A$3:$H$102,5,FALSE)-VLOOKUP($A141,main!$A$3:$H$102,6,FALSE)&gt;=main!$D$103+VLOOKUP(VLOOKUP(AD$1,main!$A$3:$I$102,7,FALSE),main!$K$26:$Q$29,4,FALSE)),1,0)</f>
        <v>0</v>
      </c>
      <c r="AE141">
        <f>IF(AND(VLOOKUP(AE$1,main!$A$3:$H$102,7,FALSE)=main!$G$104,VLOOKUP(AE$1,main!$A$3:$H$102,5,FALSE)-VLOOKUP($A141,main!$A$3:$H$102,6,FALSE)&gt;=main!$D$103+VLOOKUP(VLOOKUP(AE$1,main!$A$3:$I$102,7,FALSE),main!$K$26:$Q$29,4,FALSE)),1,0)</f>
        <v>0</v>
      </c>
      <c r="AF141">
        <f>IF(AND(VLOOKUP(AF$1,main!$A$3:$H$102,7,FALSE)=main!$G$104,VLOOKUP(AF$1,main!$A$3:$H$102,5,FALSE)-VLOOKUP($A141,main!$A$3:$H$102,6,FALSE)&gt;=main!$D$103+VLOOKUP(VLOOKUP(AF$1,main!$A$3:$I$102,7,FALSE),main!$K$26:$Q$29,4,FALSE)),1,0)</f>
        <v>0</v>
      </c>
      <c r="AG141">
        <f>IF(AND(VLOOKUP(AG$1,main!$A$3:$H$102,7,FALSE)=main!$G$104,VLOOKUP(AG$1,main!$A$3:$H$102,5,FALSE)-VLOOKUP($A141,main!$A$3:$H$102,6,FALSE)&gt;=main!$D$103+VLOOKUP(VLOOKUP(AG$1,main!$A$3:$I$102,7,FALSE),main!$K$26:$Q$29,4,FALSE)),1,0)</f>
        <v>0</v>
      </c>
      <c r="AH141">
        <f>IF(AND(VLOOKUP(AH$1,main!$A$3:$H$102,7,FALSE)=main!$G$104,VLOOKUP(AH$1,main!$A$3:$H$102,5,FALSE)-VLOOKUP($A141,main!$A$3:$H$102,6,FALSE)&gt;=main!$D$103+VLOOKUP(VLOOKUP(AH$1,main!$A$3:$I$102,7,FALSE),main!$K$26:$Q$29,4,FALSE)),1,0)</f>
        <v>0</v>
      </c>
      <c r="AI141">
        <f>IF(AND(VLOOKUP(AI$1,main!$A$3:$H$102,7,FALSE)=main!$G$104,VLOOKUP(AI$1,main!$A$3:$H$102,5,FALSE)-VLOOKUP($A141,main!$A$3:$H$102,6,FALSE)&gt;=main!$D$103+VLOOKUP(VLOOKUP(AI$1,main!$A$3:$I$102,7,FALSE),main!$K$26:$Q$29,4,FALSE)),1,0)</f>
        <v>0</v>
      </c>
      <c r="AJ141">
        <f>IF(AND(VLOOKUP(AJ$1,main!$A$3:$H$102,7,FALSE)=main!$G$104,VLOOKUP(AJ$1,main!$A$3:$H$102,5,FALSE)-VLOOKUP($A141,main!$A$3:$H$102,6,FALSE)&gt;=main!$D$103+VLOOKUP(VLOOKUP(AJ$1,main!$A$3:$I$102,7,FALSE),main!$K$26:$Q$29,4,FALSE)),1,0)</f>
        <v>0</v>
      </c>
      <c r="AK141">
        <f>IF(AND(VLOOKUP(AK$1,main!$A$3:$H$102,7,FALSE)=main!$G$104,VLOOKUP(AK$1,main!$A$3:$H$102,5,FALSE)-VLOOKUP($A141,main!$A$3:$H$102,6,FALSE)&gt;=main!$D$103+VLOOKUP(VLOOKUP(AK$1,main!$A$3:$I$102,7,FALSE),main!$K$26:$Q$29,4,FALSE)),1,0)</f>
        <v>0</v>
      </c>
      <c r="AL141">
        <f>IF(AND(VLOOKUP(AL$1,main!$A$3:$H$102,7,FALSE)=main!$G$104,VLOOKUP(AL$1,main!$A$3:$H$102,5,FALSE)-VLOOKUP($A141,main!$A$3:$H$102,6,FALSE)&gt;=main!$D$103+VLOOKUP(VLOOKUP(AL$1,main!$A$3:$I$102,7,FALSE),main!$K$26:$Q$29,4,FALSE)),1,0)</f>
        <v>0</v>
      </c>
      <c r="AM141">
        <f>IF(AND(VLOOKUP(AM$1,main!$A$3:$H$102,7,FALSE)=main!$G$104,VLOOKUP(AM$1,main!$A$3:$H$102,5,FALSE)-VLOOKUP($A141,main!$A$3:$H$102,6,FALSE)&gt;=main!$D$103+VLOOKUP(VLOOKUP(AM$1,main!$A$3:$I$102,7,FALSE),main!$K$26:$Q$29,4,FALSE)),1,0)</f>
        <v>0</v>
      </c>
      <c r="AN141">
        <f>IF(AND(VLOOKUP(AN$1,main!$A$3:$H$102,7,FALSE)=main!$G$104,VLOOKUP(AN$1,main!$A$3:$H$102,5,FALSE)-VLOOKUP($A141,main!$A$3:$H$102,6,FALSE)&gt;=main!$D$103+VLOOKUP(VLOOKUP(AN$1,main!$A$3:$I$102,7,FALSE),main!$K$26:$Q$29,4,FALSE)),1,0)</f>
        <v>0</v>
      </c>
      <c r="AO141">
        <f>IF(AND(VLOOKUP(AO$1,main!$A$3:$H$102,7,FALSE)=main!$G$104,VLOOKUP(AO$1,main!$A$3:$H$102,5,FALSE)-VLOOKUP($A141,main!$A$3:$H$102,6,FALSE)&gt;=main!$D$103+VLOOKUP(VLOOKUP(AO$1,main!$A$3:$I$102,7,FALSE),main!$K$26:$Q$29,4,FALSE)),1,0)</f>
        <v>0</v>
      </c>
      <c r="AP141">
        <f>IF(AND(VLOOKUP(AP$1,main!$A$3:$H$102,7,FALSE)=main!$G$104,VLOOKUP(AP$1,main!$A$3:$H$102,5,FALSE)-VLOOKUP($A141,main!$A$3:$H$102,6,FALSE)&gt;=main!$D$103+VLOOKUP(VLOOKUP(AP$1,main!$A$3:$I$102,7,FALSE),main!$K$26:$Q$29,4,FALSE)),1,0)</f>
        <v>0</v>
      </c>
      <c r="AQ141">
        <f>IF(AND(VLOOKUP(AQ$1,main!$A$3:$H$102,7,FALSE)=main!$G$104,VLOOKUP(AQ$1,main!$A$3:$H$102,5,FALSE)-VLOOKUP($A141,main!$A$3:$H$102,6,FALSE)&gt;=main!$D$103+VLOOKUP(VLOOKUP(AQ$1,main!$A$3:$I$102,7,FALSE),main!$K$26:$Q$29,4,FALSE)),1,0)</f>
        <v>0</v>
      </c>
      <c r="AR141">
        <f>IF(AND(VLOOKUP(AR$1,main!$A$3:$H$102,7,FALSE)=main!$G$104,VLOOKUP(AR$1,main!$A$3:$H$102,5,FALSE)-VLOOKUP($A141,main!$A$3:$H$102,6,FALSE)&gt;=main!$D$103+VLOOKUP(VLOOKUP(AR$1,main!$A$3:$I$102,7,FALSE),main!$K$26:$Q$29,4,FALSE)),1,0)</f>
        <v>0</v>
      </c>
      <c r="AS141">
        <f>IF(AND(VLOOKUP(AS$1,main!$A$3:$H$102,7,FALSE)=main!$G$104,VLOOKUP(AS$1,main!$A$3:$H$102,5,FALSE)-VLOOKUP($A141,main!$A$3:$H$102,6,FALSE)&gt;=main!$D$103+VLOOKUP(VLOOKUP(AS$1,main!$A$3:$I$102,7,FALSE),main!$K$26:$Q$29,4,FALSE)),1,0)</f>
        <v>0</v>
      </c>
      <c r="AT141">
        <f>IF(AND(VLOOKUP(AT$1,main!$A$3:$H$102,7,FALSE)=main!$G$104,VLOOKUP(AT$1,main!$A$3:$H$102,5,FALSE)-VLOOKUP($A141,main!$A$3:$H$102,6,FALSE)&gt;=main!$D$103+VLOOKUP(VLOOKUP(AT$1,main!$A$3:$I$102,7,FALSE),main!$K$26:$Q$29,4,FALSE)),1,0)</f>
        <v>0</v>
      </c>
      <c r="AU141">
        <f>IF(AND(VLOOKUP(AU$1,main!$A$3:$H$102,7,FALSE)=main!$G$104,VLOOKUP(AU$1,main!$A$3:$H$102,5,FALSE)-VLOOKUP($A141,main!$A$3:$H$102,6,FALSE)&gt;=main!$D$103+VLOOKUP(VLOOKUP(AU$1,main!$A$3:$I$102,7,FALSE),main!$K$26:$Q$29,4,FALSE)),1,0)</f>
        <v>0</v>
      </c>
      <c r="AV141">
        <f>IF(AND(VLOOKUP(AV$1,main!$A$3:$H$102,7,FALSE)=main!$G$104,VLOOKUP(AV$1,main!$A$3:$H$102,5,FALSE)-VLOOKUP($A141,main!$A$3:$H$102,6,FALSE)&gt;=main!$D$103+VLOOKUP(VLOOKUP(AV$1,main!$A$3:$I$102,7,FALSE),main!$K$26:$Q$29,4,FALSE)),1,0)</f>
        <v>0</v>
      </c>
      <c r="AW141">
        <f>IF(AND(VLOOKUP(AW$1,main!$A$3:$H$102,7,FALSE)=main!$G$104,VLOOKUP(AW$1,main!$A$3:$H$102,5,FALSE)-VLOOKUP($A141,main!$A$3:$H$102,6,FALSE)&gt;=main!$D$103+VLOOKUP(VLOOKUP(AW$1,main!$A$3:$I$102,7,FALSE),main!$K$26:$Q$29,4,FALSE)),1,0)</f>
        <v>0</v>
      </c>
      <c r="AX141">
        <f>IF(AND(VLOOKUP(AX$1,main!$A$3:$H$102,7,FALSE)=main!$G$104,VLOOKUP(AX$1,main!$A$3:$H$102,5,FALSE)-VLOOKUP($A141,main!$A$3:$H$102,6,FALSE)&gt;=main!$D$103+VLOOKUP(VLOOKUP(AX$1,main!$A$3:$I$102,7,FALSE),main!$K$26:$Q$29,4,FALSE)),1,0)</f>
        <v>0</v>
      </c>
      <c r="AY141">
        <f>IF(AND(VLOOKUP(AY$1,main!$A$3:$H$102,7,FALSE)=main!$G$104,VLOOKUP(AY$1,main!$A$3:$H$102,5,FALSE)-VLOOKUP($A141,main!$A$3:$H$102,6,FALSE)&gt;=main!$D$103+VLOOKUP(VLOOKUP(AY$1,main!$A$3:$I$102,7,FALSE),main!$K$26:$Q$29,4,FALSE)),1,0)</f>
        <v>0</v>
      </c>
      <c r="AZ141">
        <f>IF(AND(VLOOKUP(AZ$1,main!$A$3:$H$102,7,FALSE)=main!$G$104,VLOOKUP(AZ$1,main!$A$3:$H$102,5,FALSE)-VLOOKUP($A141,main!$A$3:$H$102,6,FALSE)&gt;=main!$D$103+VLOOKUP(VLOOKUP(AZ$1,main!$A$3:$I$102,7,FALSE),main!$K$26:$Q$29,4,FALSE)),1,0)</f>
        <v>0</v>
      </c>
      <c r="BA141">
        <f>IF(AND(VLOOKUP(BA$1,main!$A$3:$H$102,7,FALSE)=main!$G$104,VLOOKUP(BA$1,main!$A$3:$H$102,5,FALSE)-VLOOKUP($A141,main!$A$3:$H$102,6,FALSE)&gt;=main!$D$103+VLOOKUP(VLOOKUP(BA$1,main!$A$3:$I$102,7,FALSE),main!$K$26:$Q$29,4,FALSE)),1,0)</f>
        <v>0</v>
      </c>
      <c r="BB141">
        <f>IF(AND(VLOOKUP(BB$1,main!$A$3:$H$102,7,FALSE)=main!$G$104,VLOOKUP(BB$1,main!$A$3:$H$102,5,FALSE)-VLOOKUP($A141,main!$A$3:$H$102,6,FALSE)&gt;=main!$D$103+VLOOKUP(VLOOKUP(BB$1,main!$A$3:$I$102,7,FALSE),main!$K$26:$Q$29,4,FALSE)),1,0)</f>
        <v>0</v>
      </c>
      <c r="BC141">
        <f>IF(AND(VLOOKUP(BC$1,main!$A$3:$H$102,7,FALSE)=main!$G$104,VLOOKUP(BC$1,main!$A$3:$H$102,5,FALSE)-VLOOKUP($A141,main!$A$3:$H$102,6,FALSE)&gt;=main!$D$103+VLOOKUP(VLOOKUP(BC$1,main!$A$3:$I$102,7,FALSE),main!$K$26:$Q$29,4,FALSE)),1,0)</f>
        <v>0</v>
      </c>
      <c r="BD141">
        <f>IF(AND(VLOOKUP(BD$1,main!$A$3:$H$102,7,FALSE)=main!$G$104,VLOOKUP(BD$1,main!$A$3:$H$102,5,FALSE)-VLOOKUP($A141,main!$A$3:$H$102,6,FALSE)&gt;=main!$D$103+VLOOKUP(VLOOKUP(BD$1,main!$A$3:$I$102,7,FALSE),main!$K$26:$Q$29,4,FALSE)),1,0)</f>
        <v>0</v>
      </c>
      <c r="BE141">
        <f>IF(AND(VLOOKUP(BE$1,main!$A$3:$H$102,7,FALSE)=main!$G$104,VLOOKUP(BE$1,main!$A$3:$H$102,5,FALSE)-VLOOKUP($A141,main!$A$3:$H$102,6,FALSE)&gt;=main!$D$103+VLOOKUP(VLOOKUP(BE$1,main!$A$3:$I$102,7,FALSE),main!$K$26:$Q$29,4,FALSE)),1,0)</f>
        <v>0</v>
      </c>
      <c r="BF141">
        <f>IF(AND(VLOOKUP(BF$1,main!$A$3:$H$102,7,FALSE)=main!$G$104,VLOOKUP(BF$1,main!$A$3:$H$102,5,FALSE)-VLOOKUP($A141,main!$A$3:$H$102,6,FALSE)&gt;=main!$D$103+VLOOKUP(VLOOKUP(BF$1,main!$A$3:$I$102,7,FALSE),main!$K$26:$Q$29,4,FALSE)),1,0)</f>
        <v>0</v>
      </c>
      <c r="BG141">
        <f>IF(AND(VLOOKUP(BG$1,main!$A$3:$H$102,7,FALSE)=main!$G$104,VLOOKUP(BG$1,main!$A$3:$H$102,5,FALSE)-VLOOKUP($A141,main!$A$3:$H$102,6,FALSE)&gt;=main!$D$103+VLOOKUP(VLOOKUP(BG$1,main!$A$3:$I$102,7,FALSE),main!$K$26:$Q$29,4,FALSE)),1,0)</f>
        <v>0</v>
      </c>
      <c r="BH141">
        <f>IF(AND(VLOOKUP(BH$1,main!$A$3:$H$102,7,FALSE)=main!$G$104,VLOOKUP(BH$1,main!$A$3:$H$102,5,FALSE)-VLOOKUP($A141,main!$A$3:$H$102,6,FALSE)&gt;=main!$D$103+VLOOKUP(VLOOKUP(BH$1,main!$A$3:$I$102,7,FALSE),main!$K$26:$Q$29,4,FALSE)),1,0)</f>
        <v>0</v>
      </c>
      <c r="BI141">
        <f>IF(AND(VLOOKUP(BI$1,main!$A$3:$H$102,7,FALSE)=main!$G$104,VLOOKUP(BI$1,main!$A$3:$H$102,5,FALSE)-VLOOKUP($A141,main!$A$3:$H$102,6,FALSE)&gt;=main!$D$103+VLOOKUP(VLOOKUP(BI$1,main!$A$3:$I$102,7,FALSE),main!$K$26:$Q$29,4,FALSE)),1,0)</f>
        <v>0</v>
      </c>
      <c r="BJ141">
        <f>IF(AND(VLOOKUP(BJ$1,main!$A$3:$H$102,7,FALSE)=main!$G$104,VLOOKUP(BJ$1,main!$A$3:$H$102,5,FALSE)-VLOOKUP($A141,main!$A$3:$H$102,6,FALSE)&gt;=main!$D$103+VLOOKUP(VLOOKUP(BJ$1,main!$A$3:$I$102,7,FALSE),main!$K$26:$Q$29,4,FALSE)),1,0)</f>
        <v>0</v>
      </c>
      <c r="BK141">
        <f>IF(AND(VLOOKUP(BK$1,main!$A$3:$H$102,7,FALSE)=main!$G$104,VLOOKUP(BK$1,main!$A$3:$H$102,5,FALSE)-VLOOKUP($A141,main!$A$3:$H$102,6,FALSE)&gt;=main!$D$103+VLOOKUP(VLOOKUP(BK$1,main!$A$3:$I$102,7,FALSE),main!$K$26:$Q$29,4,FALSE)),1,0)</f>
        <v>0</v>
      </c>
      <c r="BL141">
        <f>IF(AND(VLOOKUP(BL$1,main!$A$3:$H$102,7,FALSE)=main!$G$104,VLOOKUP(BL$1,main!$A$3:$H$102,5,FALSE)-VLOOKUP($A141,main!$A$3:$H$102,6,FALSE)&gt;=main!$D$103+VLOOKUP(VLOOKUP(BL$1,main!$A$3:$I$102,7,FALSE),main!$K$26:$Q$29,4,FALSE)),1,0)</f>
        <v>0</v>
      </c>
      <c r="BM141">
        <f>IF(AND(VLOOKUP(BM$1,main!$A$3:$H$102,7,FALSE)=main!$G$104,VLOOKUP(BM$1,main!$A$3:$H$102,5,FALSE)-VLOOKUP($A141,main!$A$3:$H$102,6,FALSE)&gt;=main!$D$103+VLOOKUP(VLOOKUP(BM$1,main!$A$3:$I$102,7,FALSE),main!$K$26:$Q$29,4,FALSE)),1,0)</f>
        <v>0</v>
      </c>
      <c r="BN141">
        <f>IF(AND(VLOOKUP(BN$1,main!$A$3:$H$102,7,FALSE)=main!$G$104,VLOOKUP(BN$1,main!$A$3:$H$102,5,FALSE)-VLOOKUP($A141,main!$A$3:$H$102,6,FALSE)&gt;=main!$D$103+VLOOKUP(VLOOKUP(BN$1,main!$A$3:$I$102,7,FALSE),main!$K$26:$Q$29,4,FALSE)),1,0)</f>
        <v>0</v>
      </c>
      <c r="BO141">
        <f>IF(AND(VLOOKUP(BO$1,main!$A$3:$H$102,7,FALSE)=main!$G$104,VLOOKUP(BO$1,main!$A$3:$H$102,5,FALSE)-VLOOKUP($A141,main!$A$3:$H$102,6,FALSE)&gt;=main!$D$103+VLOOKUP(VLOOKUP(BO$1,main!$A$3:$I$102,7,FALSE),main!$K$26:$Q$29,4,FALSE)),1,0)</f>
        <v>0</v>
      </c>
      <c r="BP141">
        <f>IF(AND(VLOOKUP(BP$1,main!$A$3:$H$102,7,FALSE)=main!$G$104,VLOOKUP(BP$1,main!$A$3:$H$102,5,FALSE)-VLOOKUP($A141,main!$A$3:$H$102,6,FALSE)&gt;=main!$D$103+VLOOKUP(VLOOKUP(BP$1,main!$A$3:$I$102,7,FALSE),main!$K$26:$Q$29,4,FALSE)),1,0)</f>
        <v>0</v>
      </c>
      <c r="BQ141">
        <f>IF(AND(VLOOKUP(BQ$1,main!$A$3:$H$102,7,FALSE)=main!$G$104,VLOOKUP(BQ$1,main!$A$3:$H$102,5,FALSE)-VLOOKUP($A141,main!$A$3:$H$102,6,FALSE)&gt;=main!$D$103+VLOOKUP(VLOOKUP(BQ$1,main!$A$3:$I$102,7,FALSE),main!$K$26:$Q$29,4,FALSE)),1,0)</f>
        <v>0</v>
      </c>
      <c r="BR141">
        <f>IF(AND(VLOOKUP(BR$1,main!$A$3:$H$102,7,FALSE)=main!$G$104,VLOOKUP(BR$1,main!$A$3:$H$102,5,FALSE)-VLOOKUP($A141,main!$A$3:$H$102,6,FALSE)&gt;=main!$D$103+VLOOKUP(VLOOKUP(BR$1,main!$A$3:$I$102,7,FALSE),main!$K$26:$Q$29,4,FALSE)),1,0)</f>
        <v>0</v>
      </c>
      <c r="BS141">
        <f>IF(AND(VLOOKUP(BS$1,main!$A$3:$H$102,7,FALSE)=main!$G$104,VLOOKUP(BS$1,main!$A$3:$H$102,5,FALSE)-VLOOKUP($A141,main!$A$3:$H$102,6,FALSE)&gt;=main!$D$103+VLOOKUP(VLOOKUP(BS$1,main!$A$3:$I$102,7,FALSE),main!$K$26:$Q$29,4,FALSE)),1,0)</f>
        <v>0</v>
      </c>
      <c r="BT141">
        <f>IF(AND(VLOOKUP(BT$1,main!$A$3:$H$102,7,FALSE)=main!$G$104,VLOOKUP(BT$1,main!$A$3:$H$102,5,FALSE)-VLOOKUP($A141,main!$A$3:$H$102,6,FALSE)&gt;=main!$D$103+VLOOKUP(VLOOKUP(BT$1,main!$A$3:$I$102,7,FALSE),main!$K$26:$Q$29,4,FALSE)),1,0)</f>
        <v>0</v>
      </c>
      <c r="BU141">
        <f>IF(AND(VLOOKUP(BU$1,main!$A$3:$H$102,7,FALSE)=main!$G$104,VLOOKUP(BU$1,main!$A$3:$H$102,5,FALSE)-VLOOKUP($A141,main!$A$3:$H$102,6,FALSE)&gt;=main!$D$103+VLOOKUP(VLOOKUP(BU$1,main!$A$3:$I$102,7,FALSE),main!$K$26:$Q$29,4,FALSE)),1,0)</f>
        <v>0</v>
      </c>
      <c r="BV141">
        <f>IF(AND(VLOOKUP(BV$1,main!$A$3:$H$102,7,FALSE)=main!$G$104,VLOOKUP(BV$1,main!$A$3:$H$102,5,FALSE)-VLOOKUP($A141,main!$A$3:$H$102,6,FALSE)&gt;=main!$D$103+VLOOKUP(VLOOKUP(BV$1,main!$A$3:$I$102,7,FALSE),main!$K$26:$Q$29,4,FALSE)),1,0)</f>
        <v>0</v>
      </c>
      <c r="BW141">
        <f>IF(AND(VLOOKUP(BW$1,main!$A$3:$H$102,7,FALSE)=main!$G$104,VLOOKUP(BW$1,main!$A$3:$H$102,5,FALSE)-VLOOKUP($A141,main!$A$3:$H$102,6,FALSE)&gt;=main!$D$103+VLOOKUP(VLOOKUP(BW$1,main!$A$3:$I$102,7,FALSE),main!$K$26:$Q$29,4,FALSE)),1,0)</f>
        <v>0</v>
      </c>
      <c r="BX141">
        <f>IF(AND(VLOOKUP(BX$1,main!$A$3:$H$102,7,FALSE)=main!$G$104,VLOOKUP(BX$1,main!$A$3:$H$102,5,FALSE)-VLOOKUP($A141,main!$A$3:$H$102,6,FALSE)&gt;=main!$D$103+VLOOKUP(VLOOKUP(BX$1,main!$A$3:$I$102,7,FALSE),main!$K$26:$Q$29,4,FALSE)),1,0)</f>
        <v>0</v>
      </c>
      <c r="BY141">
        <f>IF(AND(VLOOKUP(BY$1,main!$A$3:$H$102,7,FALSE)=main!$G$104,VLOOKUP(BY$1,main!$A$3:$H$102,5,FALSE)-VLOOKUP($A141,main!$A$3:$H$102,6,FALSE)&gt;=main!$D$103+VLOOKUP(VLOOKUP(BY$1,main!$A$3:$I$102,7,FALSE),main!$K$26:$Q$29,4,FALSE)),1,0)</f>
        <v>0</v>
      </c>
      <c r="BZ141">
        <f>IF(AND(VLOOKUP(BZ$1,main!$A$3:$H$102,7,FALSE)=main!$G$104,VLOOKUP(BZ$1,main!$A$3:$H$102,5,FALSE)-VLOOKUP($A141,main!$A$3:$H$102,6,FALSE)&gt;=main!$D$103+VLOOKUP(VLOOKUP(BZ$1,main!$A$3:$I$102,7,FALSE),main!$K$26:$Q$29,4,FALSE)),1,0)</f>
        <v>0</v>
      </c>
      <c r="CA141">
        <f>IF(AND(VLOOKUP(CA$1,main!$A$3:$H$102,7,FALSE)=main!$G$104,VLOOKUP(CA$1,main!$A$3:$H$102,5,FALSE)-VLOOKUP($A141,main!$A$3:$H$102,6,FALSE)&gt;=main!$D$103+VLOOKUP(VLOOKUP(CA$1,main!$A$3:$I$102,7,FALSE),main!$K$26:$Q$29,4,FALSE)),1,0)</f>
        <v>0</v>
      </c>
      <c r="CB141">
        <f>IF(AND(VLOOKUP(CB$1,main!$A$3:$H$102,7,FALSE)=main!$G$104,VLOOKUP(CB$1,main!$A$3:$H$102,5,FALSE)-VLOOKUP($A141,main!$A$3:$H$102,6,FALSE)&gt;=main!$D$103+VLOOKUP(VLOOKUP(CB$1,main!$A$3:$I$102,7,FALSE),main!$K$26:$Q$29,4,FALSE)),1,0)</f>
        <v>0</v>
      </c>
      <c r="CC141">
        <f>IF(AND(VLOOKUP(CC$1,main!$A$3:$H$102,7,FALSE)=main!$G$104,VLOOKUP(CC$1,main!$A$3:$H$102,5,FALSE)-VLOOKUP($A141,main!$A$3:$H$102,6,FALSE)&gt;=main!$D$103+VLOOKUP(VLOOKUP(CC$1,main!$A$3:$I$102,7,FALSE),main!$K$26:$Q$29,4,FALSE)),1,0)</f>
        <v>0</v>
      </c>
      <c r="CD141">
        <f>IF(AND(VLOOKUP(CD$1,main!$A$3:$H$102,7,FALSE)=main!$G$104,VLOOKUP(CD$1,main!$A$3:$H$102,5,FALSE)-VLOOKUP($A141,main!$A$3:$H$102,6,FALSE)&gt;=main!$D$103+VLOOKUP(VLOOKUP(CD$1,main!$A$3:$I$102,7,FALSE),main!$K$26:$Q$29,4,FALSE)),1,0)</f>
        <v>0</v>
      </c>
      <c r="CE141">
        <f>IF(AND(VLOOKUP(CE$1,main!$A$3:$H$102,7,FALSE)=main!$G$104,VLOOKUP(CE$1,main!$A$3:$H$102,5,FALSE)-VLOOKUP($A141,main!$A$3:$H$102,6,FALSE)&gt;=main!$D$103+VLOOKUP(VLOOKUP(CE$1,main!$A$3:$I$102,7,FALSE),main!$K$26:$Q$29,4,FALSE)),1,0)</f>
        <v>0</v>
      </c>
      <c r="CF141">
        <f>IF(AND(VLOOKUP(CF$1,main!$A$3:$H$102,7,FALSE)=main!$G$104,VLOOKUP(CF$1,main!$A$3:$H$102,5,FALSE)-VLOOKUP($A141,main!$A$3:$H$102,6,FALSE)&gt;=main!$D$103+VLOOKUP(VLOOKUP(CF$1,main!$A$3:$I$102,7,FALSE),main!$K$26:$Q$29,4,FALSE)),1,0)</f>
        <v>0</v>
      </c>
      <c r="CG141">
        <f>IF(AND(VLOOKUP(CG$1,main!$A$3:$H$102,7,FALSE)=main!$G$104,VLOOKUP(CG$1,main!$A$3:$H$102,5,FALSE)-VLOOKUP($A141,main!$A$3:$H$102,6,FALSE)&gt;=main!$D$103+VLOOKUP(VLOOKUP(CG$1,main!$A$3:$I$102,7,FALSE),main!$K$26:$Q$29,4,FALSE)),1,0)</f>
        <v>0</v>
      </c>
      <c r="CH141">
        <f>IF(AND(VLOOKUP(CH$1,main!$A$3:$H$102,7,FALSE)=main!$G$104,VLOOKUP(CH$1,main!$A$3:$H$102,5,FALSE)-VLOOKUP($A141,main!$A$3:$H$102,6,FALSE)&gt;=main!$D$103+VLOOKUP(VLOOKUP(CH$1,main!$A$3:$I$102,7,FALSE),main!$K$26:$Q$29,4,FALSE)),1,0)</f>
        <v>0</v>
      </c>
      <c r="CI141">
        <f>IF(AND(VLOOKUP(CI$1,main!$A$3:$H$102,7,FALSE)=main!$G$104,VLOOKUP(CI$1,main!$A$3:$H$102,5,FALSE)-VLOOKUP($A141,main!$A$3:$H$102,6,FALSE)&gt;=main!$D$103+VLOOKUP(VLOOKUP(CI$1,main!$A$3:$I$102,7,FALSE),main!$K$26:$Q$29,4,FALSE)),1,0)</f>
        <v>0</v>
      </c>
      <c r="CJ141">
        <f>IF(AND(VLOOKUP(CJ$1,main!$A$3:$H$102,7,FALSE)=main!$G$104,VLOOKUP(CJ$1,main!$A$3:$H$102,5,FALSE)-VLOOKUP($A141,main!$A$3:$H$102,6,FALSE)&gt;=main!$D$103+VLOOKUP(VLOOKUP(CJ$1,main!$A$3:$I$102,7,FALSE),main!$K$26:$Q$29,4,FALSE)),1,0)</f>
        <v>0</v>
      </c>
      <c r="CK141">
        <f>IF(AND(VLOOKUP(CK$1,main!$A$3:$H$102,7,FALSE)=main!$G$104,VLOOKUP(CK$1,main!$A$3:$H$102,5,FALSE)-VLOOKUP($A141,main!$A$3:$H$102,6,FALSE)&gt;=main!$D$103+VLOOKUP(VLOOKUP(CK$1,main!$A$3:$I$102,7,FALSE),main!$K$26:$Q$29,4,FALSE)),1,0)</f>
        <v>0</v>
      </c>
      <c r="CL141">
        <f>IF(AND(VLOOKUP(CL$1,main!$A$3:$H$102,7,FALSE)=main!$G$104,VLOOKUP(CL$1,main!$A$3:$H$102,5,FALSE)-VLOOKUP($A141,main!$A$3:$H$102,6,FALSE)&gt;=main!$D$103+VLOOKUP(VLOOKUP(CL$1,main!$A$3:$I$102,7,FALSE),main!$K$26:$Q$29,4,FALSE)),1,0)</f>
        <v>0</v>
      </c>
      <c r="CM141">
        <f>IF(AND(VLOOKUP(CM$1,main!$A$3:$H$102,7,FALSE)=main!$G$104,VLOOKUP(CM$1,main!$A$3:$H$102,5,FALSE)-VLOOKUP($A141,main!$A$3:$H$102,6,FALSE)&gt;=main!$D$103+VLOOKUP(VLOOKUP(CM$1,main!$A$3:$I$102,7,FALSE),main!$K$26:$Q$29,4,FALSE)),1,0)</f>
        <v>0</v>
      </c>
      <c r="CN141">
        <f>IF(AND(VLOOKUP(CN$1,main!$A$3:$H$102,7,FALSE)=main!$G$104,VLOOKUP(CN$1,main!$A$3:$H$102,5,FALSE)-VLOOKUP($A141,main!$A$3:$H$102,6,FALSE)&gt;=main!$D$103+VLOOKUP(VLOOKUP(CN$1,main!$A$3:$I$102,7,FALSE),main!$K$26:$Q$29,4,FALSE)),1,0)</f>
        <v>0</v>
      </c>
      <c r="CO141">
        <f>IF(AND(VLOOKUP(CO$1,main!$A$3:$H$102,7,FALSE)=main!$G$104,VLOOKUP(CO$1,main!$A$3:$H$102,5,FALSE)-VLOOKUP($A141,main!$A$3:$H$102,6,FALSE)&gt;=main!$D$103+VLOOKUP(VLOOKUP(CO$1,main!$A$3:$I$102,7,FALSE),main!$K$26:$Q$29,4,FALSE)),1,0)</f>
        <v>0</v>
      </c>
      <c r="CP141">
        <f>IF(AND(VLOOKUP(CP$1,main!$A$3:$H$102,7,FALSE)=main!$G$104,VLOOKUP(CP$1,main!$A$3:$H$102,5,FALSE)-VLOOKUP($A141,main!$A$3:$H$102,6,FALSE)&gt;=main!$D$103+VLOOKUP(VLOOKUP(CP$1,main!$A$3:$I$102,7,FALSE),main!$K$26:$Q$29,4,FALSE)),1,0)</f>
        <v>0</v>
      </c>
      <c r="CQ141">
        <f>IF(AND(VLOOKUP(CQ$1,main!$A$3:$H$102,7,FALSE)=main!$G$104,VLOOKUP(CQ$1,main!$A$3:$H$102,5,FALSE)-VLOOKUP($A141,main!$A$3:$H$102,6,FALSE)&gt;=main!$D$103+VLOOKUP(VLOOKUP(CQ$1,main!$A$3:$I$102,7,FALSE),main!$K$26:$Q$29,4,FALSE)),1,0)</f>
        <v>0</v>
      </c>
      <c r="CR141">
        <f>IF(AND(VLOOKUP(CR$1,main!$A$3:$H$102,7,FALSE)=main!$G$104,VLOOKUP(CR$1,main!$A$3:$H$102,5,FALSE)-VLOOKUP($A141,main!$A$3:$H$102,6,FALSE)&gt;=main!$D$103+VLOOKUP(VLOOKUP(CR$1,main!$A$3:$I$102,7,FALSE),main!$K$26:$Q$29,4,FALSE)),1,0)</f>
        <v>0</v>
      </c>
      <c r="CS141">
        <f>IF(AND(VLOOKUP(CS$1,main!$A$3:$H$102,7,FALSE)=main!$G$104,VLOOKUP(CS$1,main!$A$3:$H$102,5,FALSE)-VLOOKUP($A141,main!$A$3:$H$102,6,FALSE)&gt;=main!$D$103+VLOOKUP(VLOOKUP(CS$1,main!$A$3:$I$102,7,FALSE),main!$K$26:$Q$29,4,FALSE)),1,0)</f>
        <v>0</v>
      </c>
      <c r="CT141">
        <f>IF(AND(VLOOKUP(CT$1,main!$A$3:$H$102,7,FALSE)=main!$G$104,VLOOKUP(CT$1,main!$A$3:$H$102,5,FALSE)-VLOOKUP($A141,main!$A$3:$H$102,6,FALSE)&gt;=main!$D$103+VLOOKUP(VLOOKUP(CT$1,main!$A$3:$I$102,7,FALSE),main!$K$26:$Q$29,4,FALSE)),1,0)</f>
        <v>0</v>
      </c>
      <c r="CU141">
        <f>IF(AND(VLOOKUP(CU$1,main!$A$3:$H$102,7,FALSE)=main!$G$104,VLOOKUP(CU$1,main!$A$3:$H$102,5,FALSE)-VLOOKUP($A141,main!$A$3:$H$102,6,FALSE)&gt;=main!$D$103+VLOOKUP(VLOOKUP(CU$1,main!$A$3:$I$102,7,FALSE),main!$K$26:$Q$29,4,FALSE)),1,0)</f>
        <v>0</v>
      </c>
      <c r="CV141">
        <f>IF(AND(VLOOKUP(CV$1,main!$A$3:$H$102,7,FALSE)=main!$G$104,VLOOKUP(CV$1,main!$A$3:$H$102,5,FALSE)-VLOOKUP($A141,main!$A$3:$H$102,6,FALSE)&gt;=main!$D$103+VLOOKUP(VLOOKUP(CV$1,main!$A$3:$I$102,7,FALSE),main!$K$26:$Q$29,4,FALSE)),1,0)</f>
        <v>0</v>
      </c>
      <c r="CW141">
        <f>IF(AND(VLOOKUP(CW$1,main!$A$3:$H$102,7,FALSE)=main!$G$104,VLOOKUP(CW$1,main!$A$3:$H$102,5,FALSE)-VLOOKUP($A141,main!$A$3:$H$102,6,FALSE)&gt;=main!$D$103+VLOOKUP(VLOOKUP(CW$1,main!$A$3:$I$102,7,FALSE),main!$K$26:$Q$29,4,FALSE)),1,0)</f>
        <v>0</v>
      </c>
      <c r="CX141">
        <f>IF(AND(VLOOKUP(CX$1,main!$A$3:$H$102,7,FALSE)=main!$G$104,VLOOKUP(CX$1,main!$A$3:$H$102,5,FALSE)-VLOOKUP($A141,main!$A$3:$H$102,6,FALSE)&gt;=main!$D$103+VLOOKUP(VLOOKUP(CX$1,main!$A$3:$I$102,7,FALSE),main!$K$26:$Q$29,4,FALSE)),1,0)</f>
        <v>0</v>
      </c>
    </row>
    <row r="142" spans="1:109" x14ac:dyDescent="0.25">
      <c r="A142" s="1">
        <v>39</v>
      </c>
      <c r="B142">
        <v>0</v>
      </c>
      <c r="C142">
        <f>IF(AND(VLOOKUP(C$1,main!$A$3:$H$102,7,FALSE)=main!$G$104,VLOOKUP(C$1,main!$A$3:$H$102,5,FALSE)-VLOOKUP($A142,main!$A$3:$H$102,6,FALSE)&gt;=main!$D$103+VLOOKUP(VLOOKUP(C$1,main!$A$3:$I$102,7,FALSE),main!$K$26:$Q$29,4,FALSE)),1,0)</f>
        <v>0</v>
      </c>
      <c r="D142">
        <f>IF(AND(VLOOKUP(D$1,main!$A$3:$H$102,7,FALSE)=main!$G$104,VLOOKUP(D$1,main!$A$3:$H$102,5,FALSE)-VLOOKUP($A142,main!$A$3:$H$102,6,FALSE)&gt;=main!$D$103+VLOOKUP(VLOOKUP(D$1,main!$A$3:$I$102,7,FALSE),main!$K$26:$Q$29,4,FALSE)),1,0)</f>
        <v>0</v>
      </c>
      <c r="E142">
        <f>IF(AND(VLOOKUP(E$1,main!$A$3:$H$102,7,FALSE)=main!$G$104,VLOOKUP(E$1,main!$A$3:$H$102,5,FALSE)-VLOOKUP($A142,main!$A$3:$H$102,6,FALSE)&gt;=main!$D$103+VLOOKUP(VLOOKUP(E$1,main!$A$3:$I$102,7,FALSE),main!$K$26:$Q$29,4,FALSE)),1,0)</f>
        <v>1</v>
      </c>
      <c r="F142">
        <f>IF(AND(VLOOKUP(F$1,main!$A$3:$H$102,7,FALSE)=main!$G$104,VLOOKUP(F$1,main!$A$3:$H$102,5,FALSE)-VLOOKUP($A142,main!$A$3:$H$102,6,FALSE)&gt;=main!$D$103+VLOOKUP(VLOOKUP(F$1,main!$A$3:$I$102,7,FALSE),main!$K$26:$Q$29,4,FALSE)),1,0)</f>
        <v>1</v>
      </c>
      <c r="G142">
        <f>IF(AND(VLOOKUP(G$1,main!$A$3:$H$102,7,FALSE)=main!$G$104,VLOOKUP(G$1,main!$A$3:$H$102,5,FALSE)-VLOOKUP($A142,main!$A$3:$H$102,6,FALSE)&gt;=main!$D$103+VLOOKUP(VLOOKUP(G$1,main!$A$3:$I$102,7,FALSE),main!$K$26:$Q$29,4,FALSE)),1,0)</f>
        <v>1</v>
      </c>
      <c r="H142">
        <f>IF(AND(VLOOKUP(H$1,main!$A$3:$H$102,7,FALSE)=main!$G$104,VLOOKUP(H$1,main!$A$3:$H$102,5,FALSE)-VLOOKUP($A142,main!$A$3:$H$102,6,FALSE)&gt;=main!$D$103+VLOOKUP(VLOOKUP(H$1,main!$A$3:$I$102,7,FALSE),main!$K$26:$Q$29,4,FALSE)),1,0)</f>
        <v>1</v>
      </c>
      <c r="I142">
        <f>IF(AND(VLOOKUP(I$1,main!$A$3:$H$102,7,FALSE)=main!$G$104,VLOOKUP(I$1,main!$A$3:$H$102,5,FALSE)-VLOOKUP($A142,main!$A$3:$H$102,6,FALSE)&gt;=main!$D$103+VLOOKUP(VLOOKUP(I$1,main!$A$3:$I$102,7,FALSE),main!$K$26:$Q$29,4,FALSE)),1,0)</f>
        <v>1</v>
      </c>
      <c r="J142">
        <f>IF(AND(VLOOKUP(J$1,main!$A$3:$H$102,7,FALSE)=main!$G$104,VLOOKUP(J$1,main!$A$3:$H$102,5,FALSE)-VLOOKUP($A142,main!$A$3:$H$102,6,FALSE)&gt;=main!$D$103+VLOOKUP(VLOOKUP(J$1,main!$A$3:$I$102,7,FALSE),main!$K$26:$Q$29,4,FALSE)),1,0)</f>
        <v>1</v>
      </c>
      <c r="K142">
        <f>IF(AND(VLOOKUP(K$1,main!$A$3:$H$102,7,FALSE)=main!$G$104,VLOOKUP(K$1,main!$A$3:$H$102,5,FALSE)-VLOOKUP($A142,main!$A$3:$H$102,6,FALSE)&gt;=main!$D$103+VLOOKUP(VLOOKUP(K$1,main!$A$3:$I$102,7,FALSE),main!$K$26:$Q$29,4,FALSE)),1,0)</f>
        <v>1</v>
      </c>
      <c r="L142">
        <f>IF(AND(VLOOKUP(L$1,main!$A$3:$H$102,7,FALSE)=main!$G$104,VLOOKUP(L$1,main!$A$3:$H$102,5,FALSE)-VLOOKUP($A142,main!$A$3:$H$102,6,FALSE)&gt;=main!$D$103+VLOOKUP(VLOOKUP(L$1,main!$A$3:$I$102,7,FALSE),main!$K$26:$Q$29,4,FALSE)),1,0)</f>
        <v>1</v>
      </c>
      <c r="M142">
        <f>IF(AND(VLOOKUP(M$1,main!$A$3:$H$102,7,FALSE)=main!$G$104,VLOOKUP(M$1,main!$A$3:$H$102,5,FALSE)-VLOOKUP($A142,main!$A$3:$H$102,6,FALSE)&gt;=main!$D$103+VLOOKUP(VLOOKUP(M$1,main!$A$3:$I$102,7,FALSE),main!$K$26:$Q$29,4,FALSE)),1,0)</f>
        <v>0</v>
      </c>
      <c r="N142">
        <f>IF(AND(VLOOKUP(N$1,main!$A$3:$H$102,7,FALSE)=main!$G$104,VLOOKUP(N$1,main!$A$3:$H$102,5,FALSE)-VLOOKUP($A142,main!$A$3:$H$102,6,FALSE)&gt;=main!$D$103+VLOOKUP(VLOOKUP(N$1,main!$A$3:$I$102,7,FALSE),main!$K$26:$Q$29,4,FALSE)),1,0)</f>
        <v>0</v>
      </c>
      <c r="O142">
        <f>IF(AND(VLOOKUP(O$1,main!$A$3:$H$102,7,FALSE)=main!$G$104,VLOOKUP(O$1,main!$A$3:$H$102,5,FALSE)-VLOOKUP($A142,main!$A$3:$H$102,6,FALSE)&gt;=main!$D$103+VLOOKUP(VLOOKUP(O$1,main!$A$3:$I$102,7,FALSE),main!$K$26:$Q$29,4,FALSE)),1,0)</f>
        <v>0</v>
      </c>
      <c r="P142">
        <f>IF(AND(VLOOKUP(P$1,main!$A$3:$H$102,7,FALSE)=main!$G$104,VLOOKUP(P$1,main!$A$3:$H$102,5,FALSE)-VLOOKUP($A142,main!$A$3:$H$102,6,FALSE)&gt;=main!$D$103+VLOOKUP(VLOOKUP(P$1,main!$A$3:$I$102,7,FALSE),main!$K$26:$Q$29,4,FALSE)),1,0)</f>
        <v>1</v>
      </c>
      <c r="Q142">
        <f>IF(AND(VLOOKUP(Q$1,main!$A$3:$H$102,7,FALSE)=main!$G$104,VLOOKUP(Q$1,main!$A$3:$H$102,5,FALSE)-VLOOKUP($A142,main!$A$3:$H$102,6,FALSE)&gt;=main!$D$103+VLOOKUP(VLOOKUP(Q$1,main!$A$3:$I$102,7,FALSE),main!$K$26:$Q$29,4,FALSE)),1,0)</f>
        <v>1</v>
      </c>
      <c r="R142">
        <f>IF(AND(VLOOKUP(R$1,main!$A$3:$H$102,7,FALSE)=main!$G$104,VLOOKUP(R$1,main!$A$3:$H$102,5,FALSE)-VLOOKUP($A142,main!$A$3:$H$102,6,FALSE)&gt;=main!$D$103+VLOOKUP(VLOOKUP(R$1,main!$A$3:$I$102,7,FALSE),main!$K$26:$Q$29,4,FALSE)),1,0)</f>
        <v>1</v>
      </c>
      <c r="S142">
        <f>IF(AND(VLOOKUP(S$1,main!$A$3:$H$102,7,FALSE)=main!$G$104,VLOOKUP(S$1,main!$A$3:$H$102,5,FALSE)-VLOOKUP($A142,main!$A$3:$H$102,6,FALSE)&gt;=main!$D$103+VLOOKUP(VLOOKUP(S$1,main!$A$3:$I$102,7,FALSE),main!$K$26:$Q$29,4,FALSE)),1,0)</f>
        <v>1</v>
      </c>
      <c r="T142">
        <f>IF(AND(VLOOKUP(T$1,main!$A$3:$H$102,7,FALSE)=main!$G$104,VLOOKUP(T$1,main!$A$3:$H$102,5,FALSE)-VLOOKUP($A142,main!$A$3:$H$102,6,FALSE)&gt;=main!$D$103+VLOOKUP(VLOOKUP(T$1,main!$A$3:$I$102,7,FALSE),main!$K$26:$Q$29,4,FALSE)),1,0)</f>
        <v>1</v>
      </c>
      <c r="U142">
        <f>IF(AND(VLOOKUP(U$1,main!$A$3:$H$102,7,FALSE)=main!$G$104,VLOOKUP(U$1,main!$A$3:$H$102,5,FALSE)-VLOOKUP($A142,main!$A$3:$H$102,6,FALSE)&gt;=main!$D$103+VLOOKUP(VLOOKUP(U$1,main!$A$3:$I$102,7,FALSE),main!$K$26:$Q$29,4,FALSE)),1,0)</f>
        <v>1</v>
      </c>
      <c r="V142">
        <f>IF(AND(VLOOKUP(V$1,main!$A$3:$H$102,7,FALSE)=main!$G$104,VLOOKUP(V$1,main!$A$3:$H$102,5,FALSE)-VLOOKUP($A142,main!$A$3:$H$102,6,FALSE)&gt;=main!$D$103+VLOOKUP(VLOOKUP(V$1,main!$A$3:$I$102,7,FALSE),main!$K$26:$Q$29,4,FALSE)),1,0)</f>
        <v>1</v>
      </c>
      <c r="W142">
        <f>IF(AND(VLOOKUP(W$1,main!$A$3:$H$102,7,FALSE)=main!$G$104,VLOOKUP(W$1,main!$A$3:$H$102,5,FALSE)-VLOOKUP($A142,main!$A$3:$H$102,6,FALSE)&gt;=main!$D$103+VLOOKUP(VLOOKUP(W$1,main!$A$3:$I$102,7,FALSE),main!$K$26:$Q$29,4,FALSE)),1,0)</f>
        <v>0</v>
      </c>
      <c r="X142">
        <f>IF(AND(VLOOKUP(X$1,main!$A$3:$H$102,7,FALSE)=main!$G$104,VLOOKUP(X$1,main!$A$3:$H$102,5,FALSE)-VLOOKUP($A142,main!$A$3:$H$102,6,FALSE)&gt;=main!$D$103+VLOOKUP(VLOOKUP(X$1,main!$A$3:$I$102,7,FALSE),main!$K$26:$Q$29,4,FALSE)),1,0)</f>
        <v>0</v>
      </c>
      <c r="Y142">
        <f>IF(AND(VLOOKUP(Y$1,main!$A$3:$H$102,7,FALSE)=main!$G$104,VLOOKUP(Y$1,main!$A$3:$H$102,5,FALSE)-VLOOKUP($A142,main!$A$3:$H$102,6,FALSE)&gt;=main!$D$103+VLOOKUP(VLOOKUP(Y$1,main!$A$3:$I$102,7,FALSE),main!$K$26:$Q$29,4,FALSE)),1,0)</f>
        <v>1</v>
      </c>
      <c r="Z142">
        <f>IF(AND(VLOOKUP(Z$1,main!$A$3:$H$102,7,FALSE)=main!$G$104,VLOOKUP(Z$1,main!$A$3:$H$102,5,FALSE)-VLOOKUP($A142,main!$A$3:$H$102,6,FALSE)&gt;=main!$D$103+VLOOKUP(VLOOKUP(Z$1,main!$A$3:$I$102,7,FALSE),main!$K$26:$Q$29,4,FALSE)),1,0)</f>
        <v>1</v>
      </c>
      <c r="AA142">
        <f>IF(AND(VLOOKUP(AA$1,main!$A$3:$H$102,7,FALSE)=main!$G$104,VLOOKUP(AA$1,main!$A$3:$H$102,5,FALSE)-VLOOKUP($A142,main!$A$3:$H$102,6,FALSE)&gt;=main!$D$103+VLOOKUP(VLOOKUP(AA$1,main!$A$3:$I$102,7,FALSE),main!$K$26:$Q$29,4,FALSE)),1,0)</f>
        <v>1</v>
      </c>
      <c r="AB142">
        <f>IF(AND(VLOOKUP(AB$1,main!$A$3:$H$102,7,FALSE)=main!$G$104,VLOOKUP(AB$1,main!$A$3:$H$102,5,FALSE)-VLOOKUP($A142,main!$A$3:$H$102,6,FALSE)&gt;=main!$D$103+VLOOKUP(VLOOKUP(AB$1,main!$A$3:$I$102,7,FALSE),main!$K$26:$Q$29,4,FALSE)),1,0)</f>
        <v>0</v>
      </c>
      <c r="AC142">
        <f>IF(AND(VLOOKUP(AC$1,main!$A$3:$H$102,7,FALSE)=main!$G$104,VLOOKUP(AC$1,main!$A$3:$H$102,5,FALSE)-VLOOKUP($A142,main!$A$3:$H$102,6,FALSE)&gt;=main!$D$103+VLOOKUP(VLOOKUP(AC$1,main!$A$3:$I$102,7,FALSE),main!$K$26:$Q$29,4,FALSE)),1,0)</f>
        <v>0</v>
      </c>
      <c r="AD142">
        <f>IF(AND(VLOOKUP(AD$1,main!$A$3:$H$102,7,FALSE)=main!$G$104,VLOOKUP(AD$1,main!$A$3:$H$102,5,FALSE)-VLOOKUP($A142,main!$A$3:$H$102,6,FALSE)&gt;=main!$D$103+VLOOKUP(VLOOKUP(AD$1,main!$A$3:$I$102,7,FALSE),main!$K$26:$Q$29,4,FALSE)),1,0)</f>
        <v>1</v>
      </c>
      <c r="AE142">
        <f>IF(AND(VLOOKUP(AE$1,main!$A$3:$H$102,7,FALSE)=main!$G$104,VLOOKUP(AE$1,main!$A$3:$H$102,5,FALSE)-VLOOKUP($A142,main!$A$3:$H$102,6,FALSE)&gt;=main!$D$103+VLOOKUP(VLOOKUP(AE$1,main!$A$3:$I$102,7,FALSE),main!$K$26:$Q$29,4,FALSE)),1,0)</f>
        <v>1</v>
      </c>
      <c r="AF142">
        <f>IF(AND(VLOOKUP(AF$1,main!$A$3:$H$102,7,FALSE)=main!$G$104,VLOOKUP(AF$1,main!$A$3:$H$102,5,FALSE)-VLOOKUP($A142,main!$A$3:$H$102,6,FALSE)&gt;=main!$D$103+VLOOKUP(VLOOKUP(AF$1,main!$A$3:$I$102,7,FALSE),main!$K$26:$Q$29,4,FALSE)),1,0)</f>
        <v>1</v>
      </c>
      <c r="AG142">
        <f>IF(AND(VLOOKUP(AG$1,main!$A$3:$H$102,7,FALSE)=main!$G$104,VLOOKUP(AG$1,main!$A$3:$H$102,5,FALSE)-VLOOKUP($A142,main!$A$3:$H$102,6,FALSE)&gt;=main!$D$103+VLOOKUP(VLOOKUP(AG$1,main!$A$3:$I$102,7,FALSE),main!$K$26:$Q$29,4,FALSE)),1,0)</f>
        <v>0</v>
      </c>
      <c r="AH142">
        <f>IF(AND(VLOOKUP(AH$1,main!$A$3:$H$102,7,FALSE)=main!$G$104,VLOOKUP(AH$1,main!$A$3:$H$102,5,FALSE)-VLOOKUP($A142,main!$A$3:$H$102,6,FALSE)&gt;=main!$D$103+VLOOKUP(VLOOKUP(AH$1,main!$A$3:$I$102,7,FALSE),main!$K$26:$Q$29,4,FALSE)),1,0)</f>
        <v>0</v>
      </c>
      <c r="AI142">
        <f>IF(AND(VLOOKUP(AI$1,main!$A$3:$H$102,7,FALSE)=main!$G$104,VLOOKUP(AI$1,main!$A$3:$H$102,5,FALSE)-VLOOKUP($A142,main!$A$3:$H$102,6,FALSE)&gt;=main!$D$103+VLOOKUP(VLOOKUP(AI$1,main!$A$3:$I$102,7,FALSE),main!$K$26:$Q$29,4,FALSE)),1,0)</f>
        <v>0</v>
      </c>
      <c r="AJ142">
        <f>IF(AND(VLOOKUP(AJ$1,main!$A$3:$H$102,7,FALSE)=main!$G$104,VLOOKUP(AJ$1,main!$A$3:$H$102,5,FALSE)-VLOOKUP($A142,main!$A$3:$H$102,6,FALSE)&gt;=main!$D$103+VLOOKUP(VLOOKUP(AJ$1,main!$A$3:$I$102,7,FALSE),main!$K$26:$Q$29,4,FALSE)),1,0)</f>
        <v>0</v>
      </c>
      <c r="AK142">
        <f>IF(AND(VLOOKUP(AK$1,main!$A$3:$H$102,7,FALSE)=main!$G$104,VLOOKUP(AK$1,main!$A$3:$H$102,5,FALSE)-VLOOKUP($A142,main!$A$3:$H$102,6,FALSE)&gt;=main!$D$103+VLOOKUP(VLOOKUP(AK$1,main!$A$3:$I$102,7,FALSE),main!$K$26:$Q$29,4,FALSE)),1,0)</f>
        <v>0</v>
      </c>
      <c r="AL142">
        <f>IF(AND(VLOOKUP(AL$1,main!$A$3:$H$102,7,FALSE)=main!$G$104,VLOOKUP(AL$1,main!$A$3:$H$102,5,FALSE)-VLOOKUP($A142,main!$A$3:$H$102,6,FALSE)&gt;=main!$D$103+VLOOKUP(VLOOKUP(AL$1,main!$A$3:$I$102,7,FALSE),main!$K$26:$Q$29,4,FALSE)),1,0)</f>
        <v>0</v>
      </c>
      <c r="AM142">
        <f>IF(AND(VLOOKUP(AM$1,main!$A$3:$H$102,7,FALSE)=main!$G$104,VLOOKUP(AM$1,main!$A$3:$H$102,5,FALSE)-VLOOKUP($A142,main!$A$3:$H$102,6,FALSE)&gt;=main!$D$103+VLOOKUP(VLOOKUP(AM$1,main!$A$3:$I$102,7,FALSE),main!$K$26:$Q$29,4,FALSE)),1,0)</f>
        <v>0</v>
      </c>
      <c r="AN142">
        <f>IF(AND(VLOOKUP(AN$1,main!$A$3:$H$102,7,FALSE)=main!$G$104,VLOOKUP(AN$1,main!$A$3:$H$102,5,FALSE)-VLOOKUP($A142,main!$A$3:$H$102,6,FALSE)&gt;=main!$D$103+VLOOKUP(VLOOKUP(AN$1,main!$A$3:$I$102,7,FALSE),main!$K$26:$Q$29,4,FALSE)),1,0)</f>
        <v>0</v>
      </c>
      <c r="AO142">
        <f>IF(AND(VLOOKUP(AO$1,main!$A$3:$H$102,7,FALSE)=main!$G$104,VLOOKUP(AO$1,main!$A$3:$H$102,5,FALSE)-VLOOKUP($A142,main!$A$3:$H$102,6,FALSE)&gt;=main!$D$103+VLOOKUP(VLOOKUP(AO$1,main!$A$3:$I$102,7,FALSE),main!$K$26:$Q$29,4,FALSE)),1,0)</f>
        <v>0</v>
      </c>
      <c r="AP142">
        <f>IF(AND(VLOOKUP(AP$1,main!$A$3:$H$102,7,FALSE)=main!$G$104,VLOOKUP(AP$1,main!$A$3:$H$102,5,FALSE)-VLOOKUP($A142,main!$A$3:$H$102,6,FALSE)&gt;=main!$D$103+VLOOKUP(VLOOKUP(AP$1,main!$A$3:$I$102,7,FALSE),main!$K$26:$Q$29,4,FALSE)),1,0)</f>
        <v>0</v>
      </c>
      <c r="AQ142">
        <f>IF(AND(VLOOKUP(AQ$1,main!$A$3:$H$102,7,FALSE)=main!$G$104,VLOOKUP(AQ$1,main!$A$3:$H$102,5,FALSE)-VLOOKUP($A142,main!$A$3:$H$102,6,FALSE)&gt;=main!$D$103+VLOOKUP(VLOOKUP(AQ$1,main!$A$3:$I$102,7,FALSE),main!$K$26:$Q$29,4,FALSE)),1,0)</f>
        <v>0</v>
      </c>
      <c r="AR142">
        <f>IF(AND(VLOOKUP(AR$1,main!$A$3:$H$102,7,FALSE)=main!$G$104,VLOOKUP(AR$1,main!$A$3:$H$102,5,FALSE)-VLOOKUP($A142,main!$A$3:$H$102,6,FALSE)&gt;=main!$D$103+VLOOKUP(VLOOKUP(AR$1,main!$A$3:$I$102,7,FALSE),main!$K$26:$Q$29,4,FALSE)),1,0)</f>
        <v>0</v>
      </c>
      <c r="AS142">
        <f>IF(AND(VLOOKUP(AS$1,main!$A$3:$H$102,7,FALSE)=main!$G$104,VLOOKUP(AS$1,main!$A$3:$H$102,5,FALSE)-VLOOKUP($A142,main!$A$3:$H$102,6,FALSE)&gt;=main!$D$103+VLOOKUP(VLOOKUP(AS$1,main!$A$3:$I$102,7,FALSE),main!$K$26:$Q$29,4,FALSE)),1,0)</f>
        <v>0</v>
      </c>
      <c r="AT142">
        <f>IF(AND(VLOOKUP(AT$1,main!$A$3:$H$102,7,FALSE)=main!$G$104,VLOOKUP(AT$1,main!$A$3:$H$102,5,FALSE)-VLOOKUP($A142,main!$A$3:$H$102,6,FALSE)&gt;=main!$D$103+VLOOKUP(VLOOKUP(AT$1,main!$A$3:$I$102,7,FALSE),main!$K$26:$Q$29,4,FALSE)),1,0)</f>
        <v>0</v>
      </c>
      <c r="AU142">
        <f>IF(AND(VLOOKUP(AU$1,main!$A$3:$H$102,7,FALSE)=main!$G$104,VLOOKUP(AU$1,main!$A$3:$H$102,5,FALSE)-VLOOKUP($A142,main!$A$3:$H$102,6,FALSE)&gt;=main!$D$103+VLOOKUP(VLOOKUP(AU$1,main!$A$3:$I$102,7,FALSE),main!$K$26:$Q$29,4,FALSE)),1,0)</f>
        <v>0</v>
      </c>
      <c r="AV142">
        <f>IF(AND(VLOOKUP(AV$1,main!$A$3:$H$102,7,FALSE)=main!$G$104,VLOOKUP(AV$1,main!$A$3:$H$102,5,FALSE)-VLOOKUP($A142,main!$A$3:$H$102,6,FALSE)&gt;=main!$D$103+VLOOKUP(VLOOKUP(AV$1,main!$A$3:$I$102,7,FALSE),main!$K$26:$Q$29,4,FALSE)),1,0)</f>
        <v>0</v>
      </c>
      <c r="AW142">
        <f>IF(AND(VLOOKUP(AW$1,main!$A$3:$H$102,7,FALSE)=main!$G$104,VLOOKUP(AW$1,main!$A$3:$H$102,5,FALSE)-VLOOKUP($A142,main!$A$3:$H$102,6,FALSE)&gt;=main!$D$103+VLOOKUP(VLOOKUP(AW$1,main!$A$3:$I$102,7,FALSE),main!$K$26:$Q$29,4,FALSE)),1,0)</f>
        <v>0</v>
      </c>
      <c r="AX142">
        <f>IF(AND(VLOOKUP(AX$1,main!$A$3:$H$102,7,FALSE)=main!$G$104,VLOOKUP(AX$1,main!$A$3:$H$102,5,FALSE)-VLOOKUP($A142,main!$A$3:$H$102,6,FALSE)&gt;=main!$D$103+VLOOKUP(VLOOKUP(AX$1,main!$A$3:$I$102,7,FALSE),main!$K$26:$Q$29,4,FALSE)),1,0)</f>
        <v>0</v>
      </c>
      <c r="AY142">
        <f>IF(AND(VLOOKUP(AY$1,main!$A$3:$H$102,7,FALSE)=main!$G$104,VLOOKUP(AY$1,main!$A$3:$H$102,5,FALSE)-VLOOKUP($A142,main!$A$3:$H$102,6,FALSE)&gt;=main!$D$103+VLOOKUP(VLOOKUP(AY$1,main!$A$3:$I$102,7,FALSE),main!$K$26:$Q$29,4,FALSE)),1,0)</f>
        <v>0</v>
      </c>
      <c r="AZ142">
        <f>IF(AND(VLOOKUP(AZ$1,main!$A$3:$H$102,7,FALSE)=main!$G$104,VLOOKUP(AZ$1,main!$A$3:$H$102,5,FALSE)-VLOOKUP($A142,main!$A$3:$H$102,6,FALSE)&gt;=main!$D$103+VLOOKUP(VLOOKUP(AZ$1,main!$A$3:$I$102,7,FALSE),main!$K$26:$Q$29,4,FALSE)),1,0)</f>
        <v>0</v>
      </c>
      <c r="BA142">
        <f>IF(AND(VLOOKUP(BA$1,main!$A$3:$H$102,7,FALSE)=main!$G$104,VLOOKUP(BA$1,main!$A$3:$H$102,5,FALSE)-VLOOKUP($A142,main!$A$3:$H$102,6,FALSE)&gt;=main!$D$103+VLOOKUP(VLOOKUP(BA$1,main!$A$3:$I$102,7,FALSE),main!$K$26:$Q$29,4,FALSE)),1,0)</f>
        <v>0</v>
      </c>
      <c r="BB142">
        <f>IF(AND(VLOOKUP(BB$1,main!$A$3:$H$102,7,FALSE)=main!$G$104,VLOOKUP(BB$1,main!$A$3:$H$102,5,FALSE)-VLOOKUP($A142,main!$A$3:$H$102,6,FALSE)&gt;=main!$D$103+VLOOKUP(VLOOKUP(BB$1,main!$A$3:$I$102,7,FALSE),main!$K$26:$Q$29,4,FALSE)),1,0)</f>
        <v>0</v>
      </c>
      <c r="BC142">
        <f>IF(AND(VLOOKUP(BC$1,main!$A$3:$H$102,7,FALSE)=main!$G$104,VLOOKUP(BC$1,main!$A$3:$H$102,5,FALSE)-VLOOKUP($A142,main!$A$3:$H$102,6,FALSE)&gt;=main!$D$103+VLOOKUP(VLOOKUP(BC$1,main!$A$3:$I$102,7,FALSE),main!$K$26:$Q$29,4,FALSE)),1,0)</f>
        <v>0</v>
      </c>
      <c r="BD142">
        <f>IF(AND(VLOOKUP(BD$1,main!$A$3:$H$102,7,FALSE)=main!$G$104,VLOOKUP(BD$1,main!$A$3:$H$102,5,FALSE)-VLOOKUP($A142,main!$A$3:$H$102,6,FALSE)&gt;=main!$D$103+VLOOKUP(VLOOKUP(BD$1,main!$A$3:$I$102,7,FALSE),main!$K$26:$Q$29,4,FALSE)),1,0)</f>
        <v>0</v>
      </c>
      <c r="BE142">
        <f>IF(AND(VLOOKUP(BE$1,main!$A$3:$H$102,7,FALSE)=main!$G$104,VLOOKUP(BE$1,main!$A$3:$H$102,5,FALSE)-VLOOKUP($A142,main!$A$3:$H$102,6,FALSE)&gt;=main!$D$103+VLOOKUP(VLOOKUP(BE$1,main!$A$3:$I$102,7,FALSE),main!$K$26:$Q$29,4,FALSE)),1,0)</f>
        <v>0</v>
      </c>
      <c r="BF142">
        <f>IF(AND(VLOOKUP(BF$1,main!$A$3:$H$102,7,FALSE)=main!$G$104,VLOOKUP(BF$1,main!$A$3:$H$102,5,FALSE)-VLOOKUP($A142,main!$A$3:$H$102,6,FALSE)&gt;=main!$D$103+VLOOKUP(VLOOKUP(BF$1,main!$A$3:$I$102,7,FALSE),main!$K$26:$Q$29,4,FALSE)),1,0)</f>
        <v>0</v>
      </c>
      <c r="BG142">
        <f>IF(AND(VLOOKUP(BG$1,main!$A$3:$H$102,7,FALSE)=main!$G$104,VLOOKUP(BG$1,main!$A$3:$H$102,5,FALSE)-VLOOKUP($A142,main!$A$3:$H$102,6,FALSE)&gt;=main!$D$103+VLOOKUP(VLOOKUP(BG$1,main!$A$3:$I$102,7,FALSE),main!$K$26:$Q$29,4,FALSE)),1,0)</f>
        <v>0</v>
      </c>
      <c r="BH142">
        <f>IF(AND(VLOOKUP(BH$1,main!$A$3:$H$102,7,FALSE)=main!$G$104,VLOOKUP(BH$1,main!$A$3:$H$102,5,FALSE)-VLOOKUP($A142,main!$A$3:$H$102,6,FALSE)&gt;=main!$D$103+VLOOKUP(VLOOKUP(BH$1,main!$A$3:$I$102,7,FALSE),main!$K$26:$Q$29,4,FALSE)),1,0)</f>
        <v>0</v>
      </c>
      <c r="BI142">
        <f>IF(AND(VLOOKUP(BI$1,main!$A$3:$H$102,7,FALSE)=main!$G$104,VLOOKUP(BI$1,main!$A$3:$H$102,5,FALSE)-VLOOKUP($A142,main!$A$3:$H$102,6,FALSE)&gt;=main!$D$103+VLOOKUP(VLOOKUP(BI$1,main!$A$3:$I$102,7,FALSE),main!$K$26:$Q$29,4,FALSE)),1,0)</f>
        <v>0</v>
      </c>
      <c r="BJ142">
        <f>IF(AND(VLOOKUP(BJ$1,main!$A$3:$H$102,7,FALSE)=main!$G$104,VLOOKUP(BJ$1,main!$A$3:$H$102,5,FALSE)-VLOOKUP($A142,main!$A$3:$H$102,6,FALSE)&gt;=main!$D$103+VLOOKUP(VLOOKUP(BJ$1,main!$A$3:$I$102,7,FALSE),main!$K$26:$Q$29,4,FALSE)),1,0)</f>
        <v>0</v>
      </c>
      <c r="BK142">
        <f>IF(AND(VLOOKUP(BK$1,main!$A$3:$H$102,7,FALSE)=main!$G$104,VLOOKUP(BK$1,main!$A$3:$H$102,5,FALSE)-VLOOKUP($A142,main!$A$3:$H$102,6,FALSE)&gt;=main!$D$103+VLOOKUP(VLOOKUP(BK$1,main!$A$3:$I$102,7,FALSE),main!$K$26:$Q$29,4,FALSE)),1,0)</f>
        <v>0</v>
      </c>
      <c r="BL142">
        <f>IF(AND(VLOOKUP(BL$1,main!$A$3:$H$102,7,FALSE)=main!$G$104,VLOOKUP(BL$1,main!$A$3:$H$102,5,FALSE)-VLOOKUP($A142,main!$A$3:$H$102,6,FALSE)&gt;=main!$D$103+VLOOKUP(VLOOKUP(BL$1,main!$A$3:$I$102,7,FALSE),main!$K$26:$Q$29,4,FALSE)),1,0)</f>
        <v>0</v>
      </c>
      <c r="BM142">
        <f>IF(AND(VLOOKUP(BM$1,main!$A$3:$H$102,7,FALSE)=main!$G$104,VLOOKUP(BM$1,main!$A$3:$H$102,5,FALSE)-VLOOKUP($A142,main!$A$3:$H$102,6,FALSE)&gt;=main!$D$103+VLOOKUP(VLOOKUP(BM$1,main!$A$3:$I$102,7,FALSE),main!$K$26:$Q$29,4,FALSE)),1,0)</f>
        <v>0</v>
      </c>
      <c r="BN142">
        <f>IF(AND(VLOOKUP(BN$1,main!$A$3:$H$102,7,FALSE)=main!$G$104,VLOOKUP(BN$1,main!$A$3:$H$102,5,FALSE)-VLOOKUP($A142,main!$A$3:$H$102,6,FALSE)&gt;=main!$D$103+VLOOKUP(VLOOKUP(BN$1,main!$A$3:$I$102,7,FALSE),main!$K$26:$Q$29,4,FALSE)),1,0)</f>
        <v>0</v>
      </c>
      <c r="BO142">
        <f>IF(AND(VLOOKUP(BO$1,main!$A$3:$H$102,7,FALSE)=main!$G$104,VLOOKUP(BO$1,main!$A$3:$H$102,5,FALSE)-VLOOKUP($A142,main!$A$3:$H$102,6,FALSE)&gt;=main!$D$103+VLOOKUP(VLOOKUP(BO$1,main!$A$3:$I$102,7,FALSE),main!$K$26:$Q$29,4,FALSE)),1,0)</f>
        <v>0</v>
      </c>
      <c r="BP142">
        <f>IF(AND(VLOOKUP(BP$1,main!$A$3:$H$102,7,FALSE)=main!$G$104,VLOOKUP(BP$1,main!$A$3:$H$102,5,FALSE)-VLOOKUP($A142,main!$A$3:$H$102,6,FALSE)&gt;=main!$D$103+VLOOKUP(VLOOKUP(BP$1,main!$A$3:$I$102,7,FALSE),main!$K$26:$Q$29,4,FALSE)),1,0)</f>
        <v>0</v>
      </c>
      <c r="BQ142">
        <f>IF(AND(VLOOKUP(BQ$1,main!$A$3:$H$102,7,FALSE)=main!$G$104,VLOOKUP(BQ$1,main!$A$3:$H$102,5,FALSE)-VLOOKUP($A142,main!$A$3:$H$102,6,FALSE)&gt;=main!$D$103+VLOOKUP(VLOOKUP(BQ$1,main!$A$3:$I$102,7,FALSE),main!$K$26:$Q$29,4,FALSE)),1,0)</f>
        <v>0</v>
      </c>
      <c r="BR142">
        <f>IF(AND(VLOOKUP(BR$1,main!$A$3:$H$102,7,FALSE)=main!$G$104,VLOOKUP(BR$1,main!$A$3:$H$102,5,FALSE)-VLOOKUP($A142,main!$A$3:$H$102,6,FALSE)&gt;=main!$D$103+VLOOKUP(VLOOKUP(BR$1,main!$A$3:$I$102,7,FALSE),main!$K$26:$Q$29,4,FALSE)),1,0)</f>
        <v>0</v>
      </c>
      <c r="BS142">
        <f>IF(AND(VLOOKUP(BS$1,main!$A$3:$H$102,7,FALSE)=main!$G$104,VLOOKUP(BS$1,main!$A$3:$H$102,5,FALSE)-VLOOKUP($A142,main!$A$3:$H$102,6,FALSE)&gt;=main!$D$103+VLOOKUP(VLOOKUP(BS$1,main!$A$3:$I$102,7,FALSE),main!$K$26:$Q$29,4,FALSE)),1,0)</f>
        <v>0</v>
      </c>
      <c r="BT142">
        <f>IF(AND(VLOOKUP(BT$1,main!$A$3:$H$102,7,FALSE)=main!$G$104,VLOOKUP(BT$1,main!$A$3:$H$102,5,FALSE)-VLOOKUP($A142,main!$A$3:$H$102,6,FALSE)&gt;=main!$D$103+VLOOKUP(VLOOKUP(BT$1,main!$A$3:$I$102,7,FALSE),main!$K$26:$Q$29,4,FALSE)),1,0)</f>
        <v>0</v>
      </c>
      <c r="BU142">
        <f>IF(AND(VLOOKUP(BU$1,main!$A$3:$H$102,7,FALSE)=main!$G$104,VLOOKUP(BU$1,main!$A$3:$H$102,5,FALSE)-VLOOKUP($A142,main!$A$3:$H$102,6,FALSE)&gt;=main!$D$103+VLOOKUP(VLOOKUP(BU$1,main!$A$3:$I$102,7,FALSE),main!$K$26:$Q$29,4,FALSE)),1,0)</f>
        <v>0</v>
      </c>
      <c r="BV142">
        <f>IF(AND(VLOOKUP(BV$1,main!$A$3:$H$102,7,FALSE)=main!$G$104,VLOOKUP(BV$1,main!$A$3:$H$102,5,FALSE)-VLOOKUP($A142,main!$A$3:$H$102,6,FALSE)&gt;=main!$D$103+VLOOKUP(VLOOKUP(BV$1,main!$A$3:$I$102,7,FALSE),main!$K$26:$Q$29,4,FALSE)),1,0)</f>
        <v>0</v>
      </c>
      <c r="BW142">
        <f>IF(AND(VLOOKUP(BW$1,main!$A$3:$H$102,7,FALSE)=main!$G$104,VLOOKUP(BW$1,main!$A$3:$H$102,5,FALSE)-VLOOKUP($A142,main!$A$3:$H$102,6,FALSE)&gt;=main!$D$103+VLOOKUP(VLOOKUP(BW$1,main!$A$3:$I$102,7,FALSE),main!$K$26:$Q$29,4,FALSE)),1,0)</f>
        <v>0</v>
      </c>
      <c r="BX142">
        <f>IF(AND(VLOOKUP(BX$1,main!$A$3:$H$102,7,FALSE)=main!$G$104,VLOOKUP(BX$1,main!$A$3:$H$102,5,FALSE)-VLOOKUP($A142,main!$A$3:$H$102,6,FALSE)&gt;=main!$D$103+VLOOKUP(VLOOKUP(BX$1,main!$A$3:$I$102,7,FALSE),main!$K$26:$Q$29,4,FALSE)),1,0)</f>
        <v>0</v>
      </c>
      <c r="BY142">
        <f>IF(AND(VLOOKUP(BY$1,main!$A$3:$H$102,7,FALSE)=main!$G$104,VLOOKUP(BY$1,main!$A$3:$H$102,5,FALSE)-VLOOKUP($A142,main!$A$3:$H$102,6,FALSE)&gt;=main!$D$103+VLOOKUP(VLOOKUP(BY$1,main!$A$3:$I$102,7,FALSE),main!$K$26:$Q$29,4,FALSE)),1,0)</f>
        <v>0</v>
      </c>
      <c r="BZ142">
        <f>IF(AND(VLOOKUP(BZ$1,main!$A$3:$H$102,7,FALSE)=main!$G$104,VLOOKUP(BZ$1,main!$A$3:$H$102,5,FALSE)-VLOOKUP($A142,main!$A$3:$H$102,6,FALSE)&gt;=main!$D$103+VLOOKUP(VLOOKUP(BZ$1,main!$A$3:$I$102,7,FALSE),main!$K$26:$Q$29,4,FALSE)),1,0)</f>
        <v>0</v>
      </c>
      <c r="CA142">
        <f>IF(AND(VLOOKUP(CA$1,main!$A$3:$H$102,7,FALSE)=main!$G$104,VLOOKUP(CA$1,main!$A$3:$H$102,5,FALSE)-VLOOKUP($A142,main!$A$3:$H$102,6,FALSE)&gt;=main!$D$103+VLOOKUP(VLOOKUP(CA$1,main!$A$3:$I$102,7,FALSE),main!$K$26:$Q$29,4,FALSE)),1,0)</f>
        <v>0</v>
      </c>
      <c r="CB142">
        <f>IF(AND(VLOOKUP(CB$1,main!$A$3:$H$102,7,FALSE)=main!$G$104,VLOOKUP(CB$1,main!$A$3:$H$102,5,FALSE)-VLOOKUP($A142,main!$A$3:$H$102,6,FALSE)&gt;=main!$D$103+VLOOKUP(VLOOKUP(CB$1,main!$A$3:$I$102,7,FALSE),main!$K$26:$Q$29,4,FALSE)),1,0)</f>
        <v>0</v>
      </c>
      <c r="CC142">
        <f>IF(AND(VLOOKUP(CC$1,main!$A$3:$H$102,7,FALSE)=main!$G$104,VLOOKUP(CC$1,main!$A$3:$H$102,5,FALSE)-VLOOKUP($A142,main!$A$3:$H$102,6,FALSE)&gt;=main!$D$103+VLOOKUP(VLOOKUP(CC$1,main!$A$3:$I$102,7,FALSE),main!$K$26:$Q$29,4,FALSE)),1,0)</f>
        <v>0</v>
      </c>
      <c r="CD142">
        <f>IF(AND(VLOOKUP(CD$1,main!$A$3:$H$102,7,FALSE)=main!$G$104,VLOOKUP(CD$1,main!$A$3:$H$102,5,FALSE)-VLOOKUP($A142,main!$A$3:$H$102,6,FALSE)&gt;=main!$D$103+VLOOKUP(VLOOKUP(CD$1,main!$A$3:$I$102,7,FALSE),main!$K$26:$Q$29,4,FALSE)),1,0)</f>
        <v>0</v>
      </c>
      <c r="CE142">
        <f>IF(AND(VLOOKUP(CE$1,main!$A$3:$H$102,7,FALSE)=main!$G$104,VLOOKUP(CE$1,main!$A$3:$H$102,5,FALSE)-VLOOKUP($A142,main!$A$3:$H$102,6,FALSE)&gt;=main!$D$103+VLOOKUP(VLOOKUP(CE$1,main!$A$3:$I$102,7,FALSE),main!$K$26:$Q$29,4,FALSE)),1,0)</f>
        <v>0</v>
      </c>
      <c r="CF142">
        <f>IF(AND(VLOOKUP(CF$1,main!$A$3:$H$102,7,FALSE)=main!$G$104,VLOOKUP(CF$1,main!$A$3:$H$102,5,FALSE)-VLOOKUP($A142,main!$A$3:$H$102,6,FALSE)&gt;=main!$D$103+VLOOKUP(VLOOKUP(CF$1,main!$A$3:$I$102,7,FALSE),main!$K$26:$Q$29,4,FALSE)),1,0)</f>
        <v>0</v>
      </c>
      <c r="CG142">
        <f>IF(AND(VLOOKUP(CG$1,main!$A$3:$H$102,7,FALSE)=main!$G$104,VLOOKUP(CG$1,main!$A$3:$H$102,5,FALSE)-VLOOKUP($A142,main!$A$3:$H$102,6,FALSE)&gt;=main!$D$103+VLOOKUP(VLOOKUP(CG$1,main!$A$3:$I$102,7,FALSE),main!$K$26:$Q$29,4,FALSE)),1,0)</f>
        <v>0</v>
      </c>
      <c r="CH142">
        <f>IF(AND(VLOOKUP(CH$1,main!$A$3:$H$102,7,FALSE)=main!$G$104,VLOOKUP(CH$1,main!$A$3:$H$102,5,FALSE)-VLOOKUP($A142,main!$A$3:$H$102,6,FALSE)&gt;=main!$D$103+VLOOKUP(VLOOKUP(CH$1,main!$A$3:$I$102,7,FALSE),main!$K$26:$Q$29,4,FALSE)),1,0)</f>
        <v>0</v>
      </c>
      <c r="CI142">
        <f>IF(AND(VLOOKUP(CI$1,main!$A$3:$H$102,7,FALSE)=main!$G$104,VLOOKUP(CI$1,main!$A$3:$H$102,5,FALSE)-VLOOKUP($A142,main!$A$3:$H$102,6,FALSE)&gt;=main!$D$103+VLOOKUP(VLOOKUP(CI$1,main!$A$3:$I$102,7,FALSE),main!$K$26:$Q$29,4,FALSE)),1,0)</f>
        <v>0</v>
      </c>
      <c r="CJ142">
        <f>IF(AND(VLOOKUP(CJ$1,main!$A$3:$H$102,7,FALSE)=main!$G$104,VLOOKUP(CJ$1,main!$A$3:$H$102,5,FALSE)-VLOOKUP($A142,main!$A$3:$H$102,6,FALSE)&gt;=main!$D$103+VLOOKUP(VLOOKUP(CJ$1,main!$A$3:$I$102,7,FALSE),main!$K$26:$Q$29,4,FALSE)),1,0)</f>
        <v>0</v>
      </c>
      <c r="CK142">
        <f>IF(AND(VLOOKUP(CK$1,main!$A$3:$H$102,7,FALSE)=main!$G$104,VLOOKUP(CK$1,main!$A$3:$H$102,5,FALSE)-VLOOKUP($A142,main!$A$3:$H$102,6,FALSE)&gt;=main!$D$103+VLOOKUP(VLOOKUP(CK$1,main!$A$3:$I$102,7,FALSE),main!$K$26:$Q$29,4,FALSE)),1,0)</f>
        <v>0</v>
      </c>
      <c r="CL142">
        <f>IF(AND(VLOOKUP(CL$1,main!$A$3:$H$102,7,FALSE)=main!$G$104,VLOOKUP(CL$1,main!$A$3:$H$102,5,FALSE)-VLOOKUP($A142,main!$A$3:$H$102,6,FALSE)&gt;=main!$D$103+VLOOKUP(VLOOKUP(CL$1,main!$A$3:$I$102,7,FALSE),main!$K$26:$Q$29,4,FALSE)),1,0)</f>
        <v>0</v>
      </c>
      <c r="CM142">
        <f>IF(AND(VLOOKUP(CM$1,main!$A$3:$H$102,7,FALSE)=main!$G$104,VLOOKUP(CM$1,main!$A$3:$H$102,5,FALSE)-VLOOKUP($A142,main!$A$3:$H$102,6,FALSE)&gt;=main!$D$103+VLOOKUP(VLOOKUP(CM$1,main!$A$3:$I$102,7,FALSE),main!$K$26:$Q$29,4,FALSE)),1,0)</f>
        <v>0</v>
      </c>
      <c r="CN142">
        <f>IF(AND(VLOOKUP(CN$1,main!$A$3:$H$102,7,FALSE)=main!$G$104,VLOOKUP(CN$1,main!$A$3:$H$102,5,FALSE)-VLOOKUP($A142,main!$A$3:$H$102,6,FALSE)&gt;=main!$D$103+VLOOKUP(VLOOKUP(CN$1,main!$A$3:$I$102,7,FALSE),main!$K$26:$Q$29,4,FALSE)),1,0)</f>
        <v>0</v>
      </c>
      <c r="CO142">
        <f>IF(AND(VLOOKUP(CO$1,main!$A$3:$H$102,7,FALSE)=main!$G$104,VLOOKUP(CO$1,main!$A$3:$H$102,5,FALSE)-VLOOKUP($A142,main!$A$3:$H$102,6,FALSE)&gt;=main!$D$103+VLOOKUP(VLOOKUP(CO$1,main!$A$3:$I$102,7,FALSE),main!$K$26:$Q$29,4,FALSE)),1,0)</f>
        <v>0</v>
      </c>
      <c r="CP142">
        <f>IF(AND(VLOOKUP(CP$1,main!$A$3:$H$102,7,FALSE)=main!$G$104,VLOOKUP(CP$1,main!$A$3:$H$102,5,FALSE)-VLOOKUP($A142,main!$A$3:$H$102,6,FALSE)&gt;=main!$D$103+VLOOKUP(VLOOKUP(CP$1,main!$A$3:$I$102,7,FALSE),main!$K$26:$Q$29,4,FALSE)),1,0)</f>
        <v>0</v>
      </c>
      <c r="CQ142">
        <f>IF(AND(VLOOKUP(CQ$1,main!$A$3:$H$102,7,FALSE)=main!$G$104,VLOOKUP(CQ$1,main!$A$3:$H$102,5,FALSE)-VLOOKUP($A142,main!$A$3:$H$102,6,FALSE)&gt;=main!$D$103+VLOOKUP(VLOOKUP(CQ$1,main!$A$3:$I$102,7,FALSE),main!$K$26:$Q$29,4,FALSE)),1,0)</f>
        <v>0</v>
      </c>
      <c r="CR142">
        <f>IF(AND(VLOOKUP(CR$1,main!$A$3:$H$102,7,FALSE)=main!$G$104,VLOOKUP(CR$1,main!$A$3:$H$102,5,FALSE)-VLOOKUP($A142,main!$A$3:$H$102,6,FALSE)&gt;=main!$D$103+VLOOKUP(VLOOKUP(CR$1,main!$A$3:$I$102,7,FALSE),main!$K$26:$Q$29,4,FALSE)),1,0)</f>
        <v>0</v>
      </c>
      <c r="CS142">
        <f>IF(AND(VLOOKUP(CS$1,main!$A$3:$H$102,7,FALSE)=main!$G$104,VLOOKUP(CS$1,main!$A$3:$H$102,5,FALSE)-VLOOKUP($A142,main!$A$3:$H$102,6,FALSE)&gt;=main!$D$103+VLOOKUP(VLOOKUP(CS$1,main!$A$3:$I$102,7,FALSE),main!$K$26:$Q$29,4,FALSE)),1,0)</f>
        <v>0</v>
      </c>
      <c r="CT142">
        <f>IF(AND(VLOOKUP(CT$1,main!$A$3:$H$102,7,FALSE)=main!$G$104,VLOOKUP(CT$1,main!$A$3:$H$102,5,FALSE)-VLOOKUP($A142,main!$A$3:$H$102,6,FALSE)&gt;=main!$D$103+VLOOKUP(VLOOKUP(CT$1,main!$A$3:$I$102,7,FALSE),main!$K$26:$Q$29,4,FALSE)),1,0)</f>
        <v>0</v>
      </c>
      <c r="CU142">
        <f>IF(AND(VLOOKUP(CU$1,main!$A$3:$H$102,7,FALSE)=main!$G$104,VLOOKUP(CU$1,main!$A$3:$H$102,5,FALSE)-VLOOKUP($A142,main!$A$3:$H$102,6,FALSE)&gt;=main!$D$103+VLOOKUP(VLOOKUP(CU$1,main!$A$3:$I$102,7,FALSE),main!$K$26:$Q$29,4,FALSE)),1,0)</f>
        <v>0</v>
      </c>
      <c r="CV142">
        <f>IF(AND(VLOOKUP(CV$1,main!$A$3:$H$102,7,FALSE)=main!$G$104,VLOOKUP(CV$1,main!$A$3:$H$102,5,FALSE)-VLOOKUP($A142,main!$A$3:$H$102,6,FALSE)&gt;=main!$D$103+VLOOKUP(VLOOKUP(CV$1,main!$A$3:$I$102,7,FALSE),main!$K$26:$Q$29,4,FALSE)),1,0)</f>
        <v>0</v>
      </c>
      <c r="CW142">
        <f>IF(AND(VLOOKUP(CW$1,main!$A$3:$H$102,7,FALSE)=main!$G$104,VLOOKUP(CW$1,main!$A$3:$H$102,5,FALSE)-VLOOKUP($A142,main!$A$3:$H$102,6,FALSE)&gt;=main!$D$103+VLOOKUP(VLOOKUP(CW$1,main!$A$3:$I$102,7,FALSE),main!$K$26:$Q$29,4,FALSE)),1,0)</f>
        <v>0</v>
      </c>
      <c r="CX142">
        <f>IF(AND(VLOOKUP(CX$1,main!$A$3:$H$102,7,FALSE)=main!$G$104,VLOOKUP(CX$1,main!$A$3:$H$102,5,FALSE)-VLOOKUP($A142,main!$A$3:$H$102,6,FALSE)&gt;=main!$D$103+VLOOKUP(VLOOKUP(CX$1,main!$A$3:$I$102,7,FALSE),main!$K$26:$Q$29,4,FALSE)),1,0)</f>
        <v>0</v>
      </c>
      <c r="DB142">
        <f>IF(AND(VLOOKUP(T$1,main!$A$3:$H$102,7,FALSE)=main!$G$104,VLOOKUP(T$1,main!$A$3:$H$102,5,FALSE)-VLOOKUP($A142,main!$A$3:$H$102,6,FALSE)&gt;=main!$D$103+VLOOKUP(VLOOKUP(T$1,main!$A$3:$I$102,7,FALSE),main!$K$26:$Q$29,4,FALSE)),1,0)</f>
        <v>1</v>
      </c>
    </row>
    <row r="143" spans="1:109" x14ac:dyDescent="0.25">
      <c r="A143" s="1">
        <v>40</v>
      </c>
      <c r="B143">
        <v>0</v>
      </c>
      <c r="C143">
        <f>IF(AND(VLOOKUP(C$1,main!$A$3:$H$102,7,FALSE)=main!$G$104,VLOOKUP(C$1,main!$A$3:$H$102,5,FALSE)-VLOOKUP($A143,main!$A$3:$H$102,6,FALSE)&gt;=main!$D$103+VLOOKUP(VLOOKUP(C$1,main!$A$3:$I$102,7,FALSE),main!$K$26:$Q$29,4,FALSE)),1,0)</f>
        <v>0</v>
      </c>
      <c r="D143">
        <f>IF(AND(VLOOKUP(D$1,main!$A$3:$H$102,7,FALSE)=main!$G$104,VLOOKUP(D$1,main!$A$3:$H$102,5,FALSE)-VLOOKUP($A143,main!$A$3:$H$102,6,FALSE)&gt;=main!$D$103+VLOOKUP(VLOOKUP(D$1,main!$A$3:$I$102,7,FALSE),main!$K$26:$Q$29,4,FALSE)),1,0)</f>
        <v>0</v>
      </c>
      <c r="E143">
        <f>IF(AND(VLOOKUP(E$1,main!$A$3:$H$102,7,FALSE)=main!$G$104,VLOOKUP(E$1,main!$A$3:$H$102,5,FALSE)-VLOOKUP($A143,main!$A$3:$H$102,6,FALSE)&gt;=main!$D$103+VLOOKUP(VLOOKUP(E$1,main!$A$3:$I$102,7,FALSE),main!$K$26:$Q$29,4,FALSE)),1,0)</f>
        <v>0</v>
      </c>
      <c r="F143">
        <f>IF(AND(VLOOKUP(F$1,main!$A$3:$H$102,7,FALSE)=main!$G$104,VLOOKUP(F$1,main!$A$3:$H$102,5,FALSE)-VLOOKUP($A143,main!$A$3:$H$102,6,FALSE)&gt;=main!$D$103+VLOOKUP(VLOOKUP(F$1,main!$A$3:$I$102,7,FALSE),main!$K$26:$Q$29,4,FALSE)),1,0)</f>
        <v>0</v>
      </c>
      <c r="G143">
        <f>IF(AND(VLOOKUP(G$1,main!$A$3:$H$102,7,FALSE)=main!$G$104,VLOOKUP(G$1,main!$A$3:$H$102,5,FALSE)-VLOOKUP($A143,main!$A$3:$H$102,6,FALSE)&gt;=main!$D$103+VLOOKUP(VLOOKUP(G$1,main!$A$3:$I$102,7,FALSE),main!$K$26:$Q$29,4,FALSE)),1,0)</f>
        <v>0</v>
      </c>
      <c r="H143">
        <f>IF(AND(VLOOKUP(H$1,main!$A$3:$H$102,7,FALSE)=main!$G$104,VLOOKUP(H$1,main!$A$3:$H$102,5,FALSE)-VLOOKUP($A143,main!$A$3:$H$102,6,FALSE)&gt;=main!$D$103+VLOOKUP(VLOOKUP(H$1,main!$A$3:$I$102,7,FALSE),main!$K$26:$Q$29,4,FALSE)),1,0)</f>
        <v>0</v>
      </c>
      <c r="I143">
        <f>IF(AND(VLOOKUP(I$1,main!$A$3:$H$102,7,FALSE)=main!$G$104,VLOOKUP(I$1,main!$A$3:$H$102,5,FALSE)-VLOOKUP($A143,main!$A$3:$H$102,6,FALSE)&gt;=main!$D$103+VLOOKUP(VLOOKUP(I$1,main!$A$3:$I$102,7,FALSE),main!$K$26:$Q$29,4,FALSE)),1,0)</f>
        <v>0</v>
      </c>
      <c r="J143">
        <f>IF(AND(VLOOKUP(J$1,main!$A$3:$H$102,7,FALSE)=main!$G$104,VLOOKUP(J$1,main!$A$3:$H$102,5,FALSE)-VLOOKUP($A143,main!$A$3:$H$102,6,FALSE)&gt;=main!$D$103+VLOOKUP(VLOOKUP(J$1,main!$A$3:$I$102,7,FALSE),main!$K$26:$Q$29,4,FALSE)),1,0)</f>
        <v>0</v>
      </c>
      <c r="K143">
        <f>IF(AND(VLOOKUP(K$1,main!$A$3:$H$102,7,FALSE)=main!$G$104,VLOOKUP(K$1,main!$A$3:$H$102,5,FALSE)-VLOOKUP($A143,main!$A$3:$H$102,6,FALSE)&gt;=main!$D$103+VLOOKUP(VLOOKUP(K$1,main!$A$3:$I$102,7,FALSE),main!$K$26:$Q$29,4,FALSE)),1,0)</f>
        <v>0</v>
      </c>
      <c r="L143">
        <f>IF(AND(VLOOKUP(L$1,main!$A$3:$H$102,7,FALSE)=main!$G$104,VLOOKUP(L$1,main!$A$3:$H$102,5,FALSE)-VLOOKUP($A143,main!$A$3:$H$102,6,FALSE)&gt;=main!$D$103+VLOOKUP(VLOOKUP(L$1,main!$A$3:$I$102,7,FALSE),main!$K$26:$Q$29,4,FALSE)),1,0)</f>
        <v>0</v>
      </c>
      <c r="M143">
        <f>IF(AND(VLOOKUP(M$1,main!$A$3:$H$102,7,FALSE)=main!$G$104,VLOOKUP(M$1,main!$A$3:$H$102,5,FALSE)-VLOOKUP($A143,main!$A$3:$H$102,6,FALSE)&gt;=main!$D$103+VLOOKUP(VLOOKUP(M$1,main!$A$3:$I$102,7,FALSE),main!$K$26:$Q$29,4,FALSE)),1,0)</f>
        <v>0</v>
      </c>
      <c r="N143">
        <f>IF(AND(VLOOKUP(N$1,main!$A$3:$H$102,7,FALSE)=main!$G$104,VLOOKUP(N$1,main!$A$3:$H$102,5,FALSE)-VLOOKUP($A143,main!$A$3:$H$102,6,FALSE)&gt;=main!$D$103+VLOOKUP(VLOOKUP(N$1,main!$A$3:$I$102,7,FALSE),main!$K$26:$Q$29,4,FALSE)),1,0)</f>
        <v>0</v>
      </c>
      <c r="O143">
        <f>IF(AND(VLOOKUP(O$1,main!$A$3:$H$102,7,FALSE)=main!$G$104,VLOOKUP(O$1,main!$A$3:$H$102,5,FALSE)-VLOOKUP($A143,main!$A$3:$H$102,6,FALSE)&gt;=main!$D$103+VLOOKUP(VLOOKUP(O$1,main!$A$3:$I$102,7,FALSE),main!$K$26:$Q$29,4,FALSE)),1,0)</f>
        <v>0</v>
      </c>
      <c r="P143">
        <f>IF(AND(VLOOKUP(P$1,main!$A$3:$H$102,7,FALSE)=main!$G$104,VLOOKUP(P$1,main!$A$3:$H$102,5,FALSE)-VLOOKUP($A143,main!$A$3:$H$102,6,FALSE)&gt;=main!$D$103+VLOOKUP(VLOOKUP(P$1,main!$A$3:$I$102,7,FALSE),main!$K$26:$Q$29,4,FALSE)),1,0)</f>
        <v>0</v>
      </c>
      <c r="Q143">
        <f>IF(AND(VLOOKUP(Q$1,main!$A$3:$H$102,7,FALSE)=main!$G$104,VLOOKUP(Q$1,main!$A$3:$H$102,5,FALSE)-VLOOKUP($A143,main!$A$3:$H$102,6,FALSE)&gt;=main!$D$103+VLOOKUP(VLOOKUP(Q$1,main!$A$3:$I$102,7,FALSE),main!$K$26:$Q$29,4,FALSE)),1,0)</f>
        <v>0</v>
      </c>
      <c r="R143">
        <f>IF(AND(VLOOKUP(R$1,main!$A$3:$H$102,7,FALSE)=main!$G$104,VLOOKUP(R$1,main!$A$3:$H$102,5,FALSE)-VLOOKUP($A143,main!$A$3:$H$102,6,FALSE)&gt;=main!$D$103+VLOOKUP(VLOOKUP(R$1,main!$A$3:$I$102,7,FALSE),main!$K$26:$Q$29,4,FALSE)),1,0)</f>
        <v>0</v>
      </c>
      <c r="S143">
        <f>IF(AND(VLOOKUP(S$1,main!$A$3:$H$102,7,FALSE)=main!$G$104,VLOOKUP(S$1,main!$A$3:$H$102,5,FALSE)-VLOOKUP($A143,main!$A$3:$H$102,6,FALSE)&gt;=main!$D$103+VLOOKUP(VLOOKUP(S$1,main!$A$3:$I$102,7,FALSE),main!$K$26:$Q$29,4,FALSE)),1,0)</f>
        <v>0</v>
      </c>
      <c r="T143">
        <f>IF(AND(VLOOKUP(T$1,main!$A$3:$H$102,7,FALSE)=main!$G$104,VLOOKUP(T$1,main!$A$3:$H$102,5,FALSE)-VLOOKUP($A143,main!$A$3:$H$102,6,FALSE)&gt;=main!$D$103+VLOOKUP(VLOOKUP(T$1,main!$A$3:$I$102,7,FALSE),main!$K$26:$Q$29,4,FALSE)),1,0)</f>
        <v>0</v>
      </c>
      <c r="U143">
        <f>IF(AND(VLOOKUP(U$1,main!$A$3:$H$102,7,FALSE)=main!$G$104,VLOOKUP(U$1,main!$A$3:$H$102,5,FALSE)-VLOOKUP($A143,main!$A$3:$H$102,6,FALSE)&gt;=main!$D$103+VLOOKUP(VLOOKUP(U$1,main!$A$3:$I$102,7,FALSE),main!$K$26:$Q$29,4,FALSE)),1,0)</f>
        <v>0</v>
      </c>
      <c r="V143">
        <f>IF(AND(VLOOKUP(V$1,main!$A$3:$H$102,7,FALSE)=main!$G$104,VLOOKUP(V$1,main!$A$3:$H$102,5,FALSE)-VLOOKUP($A143,main!$A$3:$H$102,6,FALSE)&gt;=main!$D$103+VLOOKUP(VLOOKUP(V$1,main!$A$3:$I$102,7,FALSE),main!$K$26:$Q$29,4,FALSE)),1,0)</f>
        <v>0</v>
      </c>
      <c r="W143">
        <f>IF(AND(VLOOKUP(W$1,main!$A$3:$H$102,7,FALSE)=main!$G$104,VLOOKUP(W$1,main!$A$3:$H$102,5,FALSE)-VLOOKUP($A143,main!$A$3:$H$102,6,FALSE)&gt;=main!$D$103+VLOOKUP(VLOOKUP(W$1,main!$A$3:$I$102,7,FALSE),main!$K$26:$Q$29,4,FALSE)),1,0)</f>
        <v>0</v>
      </c>
      <c r="X143">
        <f>IF(AND(VLOOKUP(X$1,main!$A$3:$H$102,7,FALSE)=main!$G$104,VLOOKUP(X$1,main!$A$3:$H$102,5,FALSE)-VLOOKUP($A143,main!$A$3:$H$102,6,FALSE)&gt;=main!$D$103+VLOOKUP(VLOOKUP(X$1,main!$A$3:$I$102,7,FALSE),main!$K$26:$Q$29,4,FALSE)),1,0)</f>
        <v>0</v>
      </c>
      <c r="Y143">
        <f>IF(AND(VLOOKUP(Y$1,main!$A$3:$H$102,7,FALSE)=main!$G$104,VLOOKUP(Y$1,main!$A$3:$H$102,5,FALSE)-VLOOKUP($A143,main!$A$3:$H$102,6,FALSE)&gt;=main!$D$103+VLOOKUP(VLOOKUP(Y$1,main!$A$3:$I$102,7,FALSE),main!$K$26:$Q$29,4,FALSE)),1,0)</f>
        <v>0</v>
      </c>
      <c r="Z143">
        <f>IF(AND(VLOOKUP(Z$1,main!$A$3:$H$102,7,FALSE)=main!$G$104,VLOOKUP(Z$1,main!$A$3:$H$102,5,FALSE)-VLOOKUP($A143,main!$A$3:$H$102,6,FALSE)&gt;=main!$D$103+VLOOKUP(VLOOKUP(Z$1,main!$A$3:$I$102,7,FALSE),main!$K$26:$Q$29,4,FALSE)),1,0)</f>
        <v>0</v>
      </c>
      <c r="AA143">
        <f>IF(AND(VLOOKUP(AA$1,main!$A$3:$H$102,7,FALSE)=main!$G$104,VLOOKUP(AA$1,main!$A$3:$H$102,5,FALSE)-VLOOKUP($A143,main!$A$3:$H$102,6,FALSE)&gt;=main!$D$103+VLOOKUP(VLOOKUP(AA$1,main!$A$3:$I$102,7,FALSE),main!$K$26:$Q$29,4,FALSE)),1,0)</f>
        <v>0</v>
      </c>
      <c r="AB143">
        <f>IF(AND(VLOOKUP(AB$1,main!$A$3:$H$102,7,FALSE)=main!$G$104,VLOOKUP(AB$1,main!$A$3:$H$102,5,FALSE)-VLOOKUP($A143,main!$A$3:$H$102,6,FALSE)&gt;=main!$D$103+VLOOKUP(VLOOKUP(AB$1,main!$A$3:$I$102,7,FALSE),main!$K$26:$Q$29,4,FALSE)),1,0)</f>
        <v>0</v>
      </c>
      <c r="AC143">
        <f>IF(AND(VLOOKUP(AC$1,main!$A$3:$H$102,7,FALSE)=main!$G$104,VLOOKUP(AC$1,main!$A$3:$H$102,5,FALSE)-VLOOKUP($A143,main!$A$3:$H$102,6,FALSE)&gt;=main!$D$103+VLOOKUP(VLOOKUP(AC$1,main!$A$3:$I$102,7,FALSE),main!$K$26:$Q$29,4,FALSE)),1,0)</f>
        <v>0</v>
      </c>
      <c r="AD143">
        <f>IF(AND(VLOOKUP(AD$1,main!$A$3:$H$102,7,FALSE)=main!$G$104,VLOOKUP(AD$1,main!$A$3:$H$102,5,FALSE)-VLOOKUP($A143,main!$A$3:$H$102,6,FALSE)&gt;=main!$D$103+VLOOKUP(VLOOKUP(AD$1,main!$A$3:$I$102,7,FALSE),main!$K$26:$Q$29,4,FALSE)),1,0)</f>
        <v>0</v>
      </c>
      <c r="AE143">
        <f>IF(AND(VLOOKUP(AE$1,main!$A$3:$H$102,7,FALSE)=main!$G$104,VLOOKUP(AE$1,main!$A$3:$H$102,5,FALSE)-VLOOKUP($A143,main!$A$3:$H$102,6,FALSE)&gt;=main!$D$103+VLOOKUP(VLOOKUP(AE$1,main!$A$3:$I$102,7,FALSE),main!$K$26:$Q$29,4,FALSE)),1,0)</f>
        <v>0</v>
      </c>
      <c r="AF143">
        <f>IF(AND(VLOOKUP(AF$1,main!$A$3:$H$102,7,FALSE)=main!$G$104,VLOOKUP(AF$1,main!$A$3:$H$102,5,FALSE)-VLOOKUP($A143,main!$A$3:$H$102,6,FALSE)&gt;=main!$D$103+VLOOKUP(VLOOKUP(AF$1,main!$A$3:$I$102,7,FALSE),main!$K$26:$Q$29,4,FALSE)),1,0)</f>
        <v>0</v>
      </c>
      <c r="AG143">
        <f>IF(AND(VLOOKUP(AG$1,main!$A$3:$H$102,7,FALSE)=main!$G$104,VLOOKUP(AG$1,main!$A$3:$H$102,5,FALSE)-VLOOKUP($A143,main!$A$3:$H$102,6,FALSE)&gt;=main!$D$103+VLOOKUP(VLOOKUP(AG$1,main!$A$3:$I$102,7,FALSE),main!$K$26:$Q$29,4,FALSE)),1,0)</f>
        <v>0</v>
      </c>
      <c r="AH143">
        <f>IF(AND(VLOOKUP(AH$1,main!$A$3:$H$102,7,FALSE)=main!$G$104,VLOOKUP(AH$1,main!$A$3:$H$102,5,FALSE)-VLOOKUP($A143,main!$A$3:$H$102,6,FALSE)&gt;=main!$D$103+VLOOKUP(VLOOKUP(AH$1,main!$A$3:$I$102,7,FALSE),main!$K$26:$Q$29,4,FALSE)),1,0)</f>
        <v>0</v>
      </c>
      <c r="AI143">
        <f>IF(AND(VLOOKUP(AI$1,main!$A$3:$H$102,7,FALSE)=main!$G$104,VLOOKUP(AI$1,main!$A$3:$H$102,5,FALSE)-VLOOKUP($A143,main!$A$3:$H$102,6,FALSE)&gt;=main!$D$103+VLOOKUP(VLOOKUP(AI$1,main!$A$3:$I$102,7,FALSE),main!$K$26:$Q$29,4,FALSE)),1,0)</f>
        <v>0</v>
      </c>
      <c r="AJ143">
        <f>IF(AND(VLOOKUP(AJ$1,main!$A$3:$H$102,7,FALSE)=main!$G$104,VLOOKUP(AJ$1,main!$A$3:$H$102,5,FALSE)-VLOOKUP($A143,main!$A$3:$H$102,6,FALSE)&gt;=main!$D$103+VLOOKUP(VLOOKUP(AJ$1,main!$A$3:$I$102,7,FALSE),main!$K$26:$Q$29,4,FALSE)),1,0)</f>
        <v>0</v>
      </c>
      <c r="AK143">
        <f>IF(AND(VLOOKUP(AK$1,main!$A$3:$H$102,7,FALSE)=main!$G$104,VLOOKUP(AK$1,main!$A$3:$H$102,5,FALSE)-VLOOKUP($A143,main!$A$3:$H$102,6,FALSE)&gt;=main!$D$103+VLOOKUP(VLOOKUP(AK$1,main!$A$3:$I$102,7,FALSE),main!$K$26:$Q$29,4,FALSE)),1,0)</f>
        <v>0</v>
      </c>
      <c r="AL143">
        <f>IF(AND(VLOOKUP(AL$1,main!$A$3:$H$102,7,FALSE)=main!$G$104,VLOOKUP(AL$1,main!$A$3:$H$102,5,FALSE)-VLOOKUP($A143,main!$A$3:$H$102,6,FALSE)&gt;=main!$D$103+VLOOKUP(VLOOKUP(AL$1,main!$A$3:$I$102,7,FALSE),main!$K$26:$Q$29,4,FALSE)),1,0)</f>
        <v>0</v>
      </c>
      <c r="AM143">
        <f>IF(AND(VLOOKUP(AM$1,main!$A$3:$H$102,7,FALSE)=main!$G$104,VLOOKUP(AM$1,main!$A$3:$H$102,5,FALSE)-VLOOKUP($A143,main!$A$3:$H$102,6,FALSE)&gt;=main!$D$103+VLOOKUP(VLOOKUP(AM$1,main!$A$3:$I$102,7,FALSE),main!$K$26:$Q$29,4,FALSE)),1,0)</f>
        <v>0</v>
      </c>
      <c r="AN143">
        <f>IF(AND(VLOOKUP(AN$1,main!$A$3:$H$102,7,FALSE)=main!$G$104,VLOOKUP(AN$1,main!$A$3:$H$102,5,FALSE)-VLOOKUP($A143,main!$A$3:$H$102,6,FALSE)&gt;=main!$D$103+VLOOKUP(VLOOKUP(AN$1,main!$A$3:$I$102,7,FALSE),main!$K$26:$Q$29,4,FALSE)),1,0)</f>
        <v>0</v>
      </c>
      <c r="AO143">
        <f>IF(AND(VLOOKUP(AO$1,main!$A$3:$H$102,7,FALSE)=main!$G$104,VLOOKUP(AO$1,main!$A$3:$H$102,5,FALSE)-VLOOKUP($A143,main!$A$3:$H$102,6,FALSE)&gt;=main!$D$103+VLOOKUP(VLOOKUP(AO$1,main!$A$3:$I$102,7,FALSE),main!$K$26:$Q$29,4,FALSE)),1,0)</f>
        <v>0</v>
      </c>
      <c r="AP143">
        <f>IF(AND(VLOOKUP(AP$1,main!$A$3:$H$102,7,FALSE)=main!$G$104,VLOOKUP(AP$1,main!$A$3:$H$102,5,FALSE)-VLOOKUP($A143,main!$A$3:$H$102,6,FALSE)&gt;=main!$D$103+VLOOKUP(VLOOKUP(AP$1,main!$A$3:$I$102,7,FALSE),main!$K$26:$Q$29,4,FALSE)),1,0)</f>
        <v>0</v>
      </c>
      <c r="AQ143">
        <f>IF(AND(VLOOKUP(AQ$1,main!$A$3:$H$102,7,FALSE)=main!$G$104,VLOOKUP(AQ$1,main!$A$3:$H$102,5,FALSE)-VLOOKUP($A143,main!$A$3:$H$102,6,FALSE)&gt;=main!$D$103+VLOOKUP(VLOOKUP(AQ$1,main!$A$3:$I$102,7,FALSE),main!$K$26:$Q$29,4,FALSE)),1,0)</f>
        <v>0</v>
      </c>
      <c r="AR143">
        <f>IF(AND(VLOOKUP(AR$1,main!$A$3:$H$102,7,FALSE)=main!$G$104,VLOOKUP(AR$1,main!$A$3:$H$102,5,FALSE)-VLOOKUP($A143,main!$A$3:$H$102,6,FALSE)&gt;=main!$D$103+VLOOKUP(VLOOKUP(AR$1,main!$A$3:$I$102,7,FALSE),main!$K$26:$Q$29,4,FALSE)),1,0)</f>
        <v>0</v>
      </c>
      <c r="AS143">
        <f>IF(AND(VLOOKUP(AS$1,main!$A$3:$H$102,7,FALSE)=main!$G$104,VLOOKUP(AS$1,main!$A$3:$H$102,5,FALSE)-VLOOKUP($A143,main!$A$3:$H$102,6,FALSE)&gt;=main!$D$103+VLOOKUP(VLOOKUP(AS$1,main!$A$3:$I$102,7,FALSE),main!$K$26:$Q$29,4,FALSE)),1,0)</f>
        <v>0</v>
      </c>
      <c r="AT143">
        <f>IF(AND(VLOOKUP(AT$1,main!$A$3:$H$102,7,FALSE)=main!$G$104,VLOOKUP(AT$1,main!$A$3:$H$102,5,FALSE)-VLOOKUP($A143,main!$A$3:$H$102,6,FALSE)&gt;=main!$D$103+VLOOKUP(VLOOKUP(AT$1,main!$A$3:$I$102,7,FALSE),main!$K$26:$Q$29,4,FALSE)),1,0)</f>
        <v>0</v>
      </c>
      <c r="AU143">
        <f>IF(AND(VLOOKUP(AU$1,main!$A$3:$H$102,7,FALSE)=main!$G$104,VLOOKUP(AU$1,main!$A$3:$H$102,5,FALSE)-VLOOKUP($A143,main!$A$3:$H$102,6,FALSE)&gt;=main!$D$103+VLOOKUP(VLOOKUP(AU$1,main!$A$3:$I$102,7,FALSE),main!$K$26:$Q$29,4,FALSE)),1,0)</f>
        <v>0</v>
      </c>
      <c r="AV143">
        <f>IF(AND(VLOOKUP(AV$1,main!$A$3:$H$102,7,FALSE)=main!$G$104,VLOOKUP(AV$1,main!$A$3:$H$102,5,FALSE)-VLOOKUP($A143,main!$A$3:$H$102,6,FALSE)&gt;=main!$D$103+VLOOKUP(VLOOKUP(AV$1,main!$A$3:$I$102,7,FALSE),main!$K$26:$Q$29,4,FALSE)),1,0)</f>
        <v>0</v>
      </c>
      <c r="AW143">
        <f>IF(AND(VLOOKUP(AW$1,main!$A$3:$H$102,7,FALSE)=main!$G$104,VLOOKUP(AW$1,main!$A$3:$H$102,5,FALSE)-VLOOKUP($A143,main!$A$3:$H$102,6,FALSE)&gt;=main!$D$103+VLOOKUP(VLOOKUP(AW$1,main!$A$3:$I$102,7,FALSE),main!$K$26:$Q$29,4,FALSE)),1,0)</f>
        <v>0</v>
      </c>
      <c r="AX143">
        <f>IF(AND(VLOOKUP(AX$1,main!$A$3:$H$102,7,FALSE)=main!$G$104,VLOOKUP(AX$1,main!$A$3:$H$102,5,FALSE)-VLOOKUP($A143,main!$A$3:$H$102,6,FALSE)&gt;=main!$D$103+VLOOKUP(VLOOKUP(AX$1,main!$A$3:$I$102,7,FALSE),main!$K$26:$Q$29,4,FALSE)),1,0)</f>
        <v>0</v>
      </c>
      <c r="AY143">
        <f>IF(AND(VLOOKUP(AY$1,main!$A$3:$H$102,7,FALSE)=main!$G$104,VLOOKUP(AY$1,main!$A$3:$H$102,5,FALSE)-VLOOKUP($A143,main!$A$3:$H$102,6,FALSE)&gt;=main!$D$103+VLOOKUP(VLOOKUP(AY$1,main!$A$3:$I$102,7,FALSE),main!$K$26:$Q$29,4,FALSE)),1,0)</f>
        <v>0</v>
      </c>
      <c r="AZ143">
        <f>IF(AND(VLOOKUP(AZ$1,main!$A$3:$H$102,7,FALSE)=main!$G$104,VLOOKUP(AZ$1,main!$A$3:$H$102,5,FALSE)-VLOOKUP($A143,main!$A$3:$H$102,6,FALSE)&gt;=main!$D$103+VLOOKUP(VLOOKUP(AZ$1,main!$A$3:$I$102,7,FALSE),main!$K$26:$Q$29,4,FALSE)),1,0)</f>
        <v>0</v>
      </c>
      <c r="BA143">
        <f>IF(AND(VLOOKUP(BA$1,main!$A$3:$H$102,7,FALSE)=main!$G$104,VLOOKUP(BA$1,main!$A$3:$H$102,5,FALSE)-VLOOKUP($A143,main!$A$3:$H$102,6,FALSE)&gt;=main!$D$103+VLOOKUP(VLOOKUP(BA$1,main!$A$3:$I$102,7,FALSE),main!$K$26:$Q$29,4,FALSE)),1,0)</f>
        <v>0</v>
      </c>
      <c r="BB143">
        <f>IF(AND(VLOOKUP(BB$1,main!$A$3:$H$102,7,FALSE)=main!$G$104,VLOOKUP(BB$1,main!$A$3:$H$102,5,FALSE)-VLOOKUP($A143,main!$A$3:$H$102,6,FALSE)&gt;=main!$D$103+VLOOKUP(VLOOKUP(BB$1,main!$A$3:$I$102,7,FALSE),main!$K$26:$Q$29,4,FALSE)),1,0)</f>
        <v>0</v>
      </c>
      <c r="BC143">
        <f>IF(AND(VLOOKUP(BC$1,main!$A$3:$H$102,7,FALSE)=main!$G$104,VLOOKUP(BC$1,main!$A$3:$H$102,5,FALSE)-VLOOKUP($A143,main!$A$3:$H$102,6,FALSE)&gt;=main!$D$103+VLOOKUP(VLOOKUP(BC$1,main!$A$3:$I$102,7,FALSE),main!$K$26:$Q$29,4,FALSE)),1,0)</f>
        <v>0</v>
      </c>
      <c r="BD143">
        <f>IF(AND(VLOOKUP(BD$1,main!$A$3:$H$102,7,FALSE)=main!$G$104,VLOOKUP(BD$1,main!$A$3:$H$102,5,FALSE)-VLOOKUP($A143,main!$A$3:$H$102,6,FALSE)&gt;=main!$D$103+VLOOKUP(VLOOKUP(BD$1,main!$A$3:$I$102,7,FALSE),main!$K$26:$Q$29,4,FALSE)),1,0)</f>
        <v>0</v>
      </c>
      <c r="BE143">
        <f>IF(AND(VLOOKUP(BE$1,main!$A$3:$H$102,7,FALSE)=main!$G$104,VLOOKUP(BE$1,main!$A$3:$H$102,5,FALSE)-VLOOKUP($A143,main!$A$3:$H$102,6,FALSE)&gt;=main!$D$103+VLOOKUP(VLOOKUP(BE$1,main!$A$3:$I$102,7,FALSE),main!$K$26:$Q$29,4,FALSE)),1,0)</f>
        <v>0</v>
      </c>
      <c r="BF143">
        <f>IF(AND(VLOOKUP(BF$1,main!$A$3:$H$102,7,FALSE)=main!$G$104,VLOOKUP(BF$1,main!$A$3:$H$102,5,FALSE)-VLOOKUP($A143,main!$A$3:$H$102,6,FALSE)&gt;=main!$D$103+VLOOKUP(VLOOKUP(BF$1,main!$A$3:$I$102,7,FALSE),main!$K$26:$Q$29,4,FALSE)),1,0)</f>
        <v>0</v>
      </c>
      <c r="BG143">
        <f>IF(AND(VLOOKUP(BG$1,main!$A$3:$H$102,7,FALSE)=main!$G$104,VLOOKUP(BG$1,main!$A$3:$H$102,5,FALSE)-VLOOKUP($A143,main!$A$3:$H$102,6,FALSE)&gt;=main!$D$103+VLOOKUP(VLOOKUP(BG$1,main!$A$3:$I$102,7,FALSE),main!$K$26:$Q$29,4,FALSE)),1,0)</f>
        <v>0</v>
      </c>
      <c r="BH143">
        <f>IF(AND(VLOOKUP(BH$1,main!$A$3:$H$102,7,FALSE)=main!$G$104,VLOOKUP(BH$1,main!$A$3:$H$102,5,FALSE)-VLOOKUP($A143,main!$A$3:$H$102,6,FALSE)&gt;=main!$D$103+VLOOKUP(VLOOKUP(BH$1,main!$A$3:$I$102,7,FALSE),main!$K$26:$Q$29,4,FALSE)),1,0)</f>
        <v>0</v>
      </c>
      <c r="BI143">
        <f>IF(AND(VLOOKUP(BI$1,main!$A$3:$H$102,7,FALSE)=main!$G$104,VLOOKUP(BI$1,main!$A$3:$H$102,5,FALSE)-VLOOKUP($A143,main!$A$3:$H$102,6,FALSE)&gt;=main!$D$103+VLOOKUP(VLOOKUP(BI$1,main!$A$3:$I$102,7,FALSE),main!$K$26:$Q$29,4,FALSE)),1,0)</f>
        <v>0</v>
      </c>
      <c r="BJ143">
        <f>IF(AND(VLOOKUP(BJ$1,main!$A$3:$H$102,7,FALSE)=main!$G$104,VLOOKUP(BJ$1,main!$A$3:$H$102,5,FALSE)-VLOOKUP($A143,main!$A$3:$H$102,6,FALSE)&gt;=main!$D$103+VLOOKUP(VLOOKUP(BJ$1,main!$A$3:$I$102,7,FALSE),main!$K$26:$Q$29,4,FALSE)),1,0)</f>
        <v>0</v>
      </c>
      <c r="BK143">
        <f>IF(AND(VLOOKUP(BK$1,main!$A$3:$H$102,7,FALSE)=main!$G$104,VLOOKUP(BK$1,main!$A$3:$H$102,5,FALSE)-VLOOKUP($A143,main!$A$3:$H$102,6,FALSE)&gt;=main!$D$103+VLOOKUP(VLOOKUP(BK$1,main!$A$3:$I$102,7,FALSE),main!$K$26:$Q$29,4,FALSE)),1,0)</f>
        <v>0</v>
      </c>
      <c r="BL143">
        <f>IF(AND(VLOOKUP(BL$1,main!$A$3:$H$102,7,FALSE)=main!$G$104,VLOOKUP(BL$1,main!$A$3:$H$102,5,FALSE)-VLOOKUP($A143,main!$A$3:$H$102,6,FALSE)&gt;=main!$D$103+VLOOKUP(VLOOKUP(BL$1,main!$A$3:$I$102,7,FALSE),main!$K$26:$Q$29,4,FALSE)),1,0)</f>
        <v>0</v>
      </c>
      <c r="BM143">
        <f>IF(AND(VLOOKUP(BM$1,main!$A$3:$H$102,7,FALSE)=main!$G$104,VLOOKUP(BM$1,main!$A$3:$H$102,5,FALSE)-VLOOKUP($A143,main!$A$3:$H$102,6,FALSE)&gt;=main!$D$103+VLOOKUP(VLOOKUP(BM$1,main!$A$3:$I$102,7,FALSE),main!$K$26:$Q$29,4,FALSE)),1,0)</f>
        <v>0</v>
      </c>
      <c r="BN143">
        <f>IF(AND(VLOOKUP(BN$1,main!$A$3:$H$102,7,FALSE)=main!$G$104,VLOOKUP(BN$1,main!$A$3:$H$102,5,FALSE)-VLOOKUP($A143,main!$A$3:$H$102,6,FALSE)&gt;=main!$D$103+VLOOKUP(VLOOKUP(BN$1,main!$A$3:$I$102,7,FALSE),main!$K$26:$Q$29,4,FALSE)),1,0)</f>
        <v>0</v>
      </c>
      <c r="BO143">
        <f>IF(AND(VLOOKUP(BO$1,main!$A$3:$H$102,7,FALSE)=main!$G$104,VLOOKUP(BO$1,main!$A$3:$H$102,5,FALSE)-VLOOKUP($A143,main!$A$3:$H$102,6,FALSE)&gt;=main!$D$103+VLOOKUP(VLOOKUP(BO$1,main!$A$3:$I$102,7,FALSE),main!$K$26:$Q$29,4,FALSE)),1,0)</f>
        <v>0</v>
      </c>
      <c r="BP143">
        <f>IF(AND(VLOOKUP(BP$1,main!$A$3:$H$102,7,FALSE)=main!$G$104,VLOOKUP(BP$1,main!$A$3:$H$102,5,FALSE)-VLOOKUP($A143,main!$A$3:$H$102,6,FALSE)&gt;=main!$D$103+VLOOKUP(VLOOKUP(BP$1,main!$A$3:$I$102,7,FALSE),main!$K$26:$Q$29,4,FALSE)),1,0)</f>
        <v>0</v>
      </c>
      <c r="BQ143">
        <f>IF(AND(VLOOKUP(BQ$1,main!$A$3:$H$102,7,FALSE)=main!$G$104,VLOOKUP(BQ$1,main!$A$3:$H$102,5,FALSE)-VLOOKUP($A143,main!$A$3:$H$102,6,FALSE)&gt;=main!$D$103+VLOOKUP(VLOOKUP(BQ$1,main!$A$3:$I$102,7,FALSE),main!$K$26:$Q$29,4,FALSE)),1,0)</f>
        <v>0</v>
      </c>
      <c r="BR143">
        <f>IF(AND(VLOOKUP(BR$1,main!$A$3:$H$102,7,FALSE)=main!$G$104,VLOOKUP(BR$1,main!$A$3:$H$102,5,FALSE)-VLOOKUP($A143,main!$A$3:$H$102,6,FALSE)&gt;=main!$D$103+VLOOKUP(VLOOKUP(BR$1,main!$A$3:$I$102,7,FALSE),main!$K$26:$Q$29,4,FALSE)),1,0)</f>
        <v>0</v>
      </c>
      <c r="BS143">
        <f>IF(AND(VLOOKUP(BS$1,main!$A$3:$H$102,7,FALSE)=main!$G$104,VLOOKUP(BS$1,main!$A$3:$H$102,5,FALSE)-VLOOKUP($A143,main!$A$3:$H$102,6,FALSE)&gt;=main!$D$103+VLOOKUP(VLOOKUP(BS$1,main!$A$3:$I$102,7,FALSE),main!$K$26:$Q$29,4,FALSE)),1,0)</f>
        <v>0</v>
      </c>
      <c r="BT143">
        <f>IF(AND(VLOOKUP(BT$1,main!$A$3:$H$102,7,FALSE)=main!$G$104,VLOOKUP(BT$1,main!$A$3:$H$102,5,FALSE)-VLOOKUP($A143,main!$A$3:$H$102,6,FALSE)&gt;=main!$D$103+VLOOKUP(VLOOKUP(BT$1,main!$A$3:$I$102,7,FALSE),main!$K$26:$Q$29,4,FALSE)),1,0)</f>
        <v>0</v>
      </c>
      <c r="BU143">
        <f>IF(AND(VLOOKUP(BU$1,main!$A$3:$H$102,7,FALSE)=main!$G$104,VLOOKUP(BU$1,main!$A$3:$H$102,5,FALSE)-VLOOKUP($A143,main!$A$3:$H$102,6,FALSE)&gt;=main!$D$103+VLOOKUP(VLOOKUP(BU$1,main!$A$3:$I$102,7,FALSE),main!$K$26:$Q$29,4,FALSE)),1,0)</f>
        <v>0</v>
      </c>
      <c r="BV143">
        <f>IF(AND(VLOOKUP(BV$1,main!$A$3:$H$102,7,FALSE)=main!$G$104,VLOOKUP(BV$1,main!$A$3:$H$102,5,FALSE)-VLOOKUP($A143,main!$A$3:$H$102,6,FALSE)&gt;=main!$D$103+VLOOKUP(VLOOKUP(BV$1,main!$A$3:$I$102,7,FALSE),main!$K$26:$Q$29,4,FALSE)),1,0)</f>
        <v>0</v>
      </c>
      <c r="BW143">
        <f>IF(AND(VLOOKUP(BW$1,main!$A$3:$H$102,7,FALSE)=main!$G$104,VLOOKUP(BW$1,main!$A$3:$H$102,5,FALSE)-VLOOKUP($A143,main!$A$3:$H$102,6,FALSE)&gt;=main!$D$103+VLOOKUP(VLOOKUP(BW$1,main!$A$3:$I$102,7,FALSE),main!$K$26:$Q$29,4,FALSE)),1,0)</f>
        <v>0</v>
      </c>
      <c r="BX143">
        <f>IF(AND(VLOOKUP(BX$1,main!$A$3:$H$102,7,FALSE)=main!$G$104,VLOOKUP(BX$1,main!$A$3:$H$102,5,FALSE)-VLOOKUP($A143,main!$A$3:$H$102,6,FALSE)&gt;=main!$D$103+VLOOKUP(VLOOKUP(BX$1,main!$A$3:$I$102,7,FALSE),main!$K$26:$Q$29,4,FALSE)),1,0)</f>
        <v>0</v>
      </c>
      <c r="BY143">
        <f>IF(AND(VLOOKUP(BY$1,main!$A$3:$H$102,7,FALSE)=main!$G$104,VLOOKUP(BY$1,main!$A$3:$H$102,5,FALSE)-VLOOKUP($A143,main!$A$3:$H$102,6,FALSE)&gt;=main!$D$103+VLOOKUP(VLOOKUP(BY$1,main!$A$3:$I$102,7,FALSE),main!$K$26:$Q$29,4,FALSE)),1,0)</f>
        <v>0</v>
      </c>
      <c r="BZ143">
        <f>IF(AND(VLOOKUP(BZ$1,main!$A$3:$H$102,7,FALSE)=main!$G$104,VLOOKUP(BZ$1,main!$A$3:$H$102,5,FALSE)-VLOOKUP($A143,main!$A$3:$H$102,6,FALSE)&gt;=main!$D$103+VLOOKUP(VLOOKUP(BZ$1,main!$A$3:$I$102,7,FALSE),main!$K$26:$Q$29,4,FALSE)),1,0)</f>
        <v>0</v>
      </c>
      <c r="CA143">
        <f>IF(AND(VLOOKUP(CA$1,main!$A$3:$H$102,7,FALSE)=main!$G$104,VLOOKUP(CA$1,main!$A$3:$H$102,5,FALSE)-VLOOKUP($A143,main!$A$3:$H$102,6,FALSE)&gt;=main!$D$103+VLOOKUP(VLOOKUP(CA$1,main!$A$3:$I$102,7,FALSE),main!$K$26:$Q$29,4,FALSE)),1,0)</f>
        <v>0</v>
      </c>
      <c r="CB143">
        <f>IF(AND(VLOOKUP(CB$1,main!$A$3:$H$102,7,FALSE)=main!$G$104,VLOOKUP(CB$1,main!$A$3:$H$102,5,FALSE)-VLOOKUP($A143,main!$A$3:$H$102,6,FALSE)&gt;=main!$D$103+VLOOKUP(VLOOKUP(CB$1,main!$A$3:$I$102,7,FALSE),main!$K$26:$Q$29,4,FALSE)),1,0)</f>
        <v>0</v>
      </c>
      <c r="CC143">
        <f>IF(AND(VLOOKUP(CC$1,main!$A$3:$H$102,7,FALSE)=main!$G$104,VLOOKUP(CC$1,main!$A$3:$H$102,5,FALSE)-VLOOKUP($A143,main!$A$3:$H$102,6,FALSE)&gt;=main!$D$103+VLOOKUP(VLOOKUP(CC$1,main!$A$3:$I$102,7,FALSE),main!$K$26:$Q$29,4,FALSE)),1,0)</f>
        <v>0</v>
      </c>
      <c r="CD143">
        <f>IF(AND(VLOOKUP(CD$1,main!$A$3:$H$102,7,FALSE)=main!$G$104,VLOOKUP(CD$1,main!$A$3:$H$102,5,FALSE)-VLOOKUP($A143,main!$A$3:$H$102,6,FALSE)&gt;=main!$D$103+VLOOKUP(VLOOKUP(CD$1,main!$A$3:$I$102,7,FALSE),main!$K$26:$Q$29,4,FALSE)),1,0)</f>
        <v>0</v>
      </c>
      <c r="CE143">
        <f>IF(AND(VLOOKUP(CE$1,main!$A$3:$H$102,7,FALSE)=main!$G$104,VLOOKUP(CE$1,main!$A$3:$H$102,5,FALSE)-VLOOKUP($A143,main!$A$3:$H$102,6,FALSE)&gt;=main!$D$103+VLOOKUP(VLOOKUP(CE$1,main!$A$3:$I$102,7,FALSE),main!$K$26:$Q$29,4,FALSE)),1,0)</f>
        <v>0</v>
      </c>
      <c r="CF143">
        <f>IF(AND(VLOOKUP(CF$1,main!$A$3:$H$102,7,FALSE)=main!$G$104,VLOOKUP(CF$1,main!$A$3:$H$102,5,FALSE)-VLOOKUP($A143,main!$A$3:$H$102,6,FALSE)&gt;=main!$D$103+VLOOKUP(VLOOKUP(CF$1,main!$A$3:$I$102,7,FALSE),main!$K$26:$Q$29,4,FALSE)),1,0)</f>
        <v>0</v>
      </c>
      <c r="CG143">
        <f>IF(AND(VLOOKUP(CG$1,main!$A$3:$H$102,7,FALSE)=main!$G$104,VLOOKUP(CG$1,main!$A$3:$H$102,5,FALSE)-VLOOKUP($A143,main!$A$3:$H$102,6,FALSE)&gt;=main!$D$103+VLOOKUP(VLOOKUP(CG$1,main!$A$3:$I$102,7,FALSE),main!$K$26:$Q$29,4,FALSE)),1,0)</f>
        <v>0</v>
      </c>
      <c r="CH143">
        <f>IF(AND(VLOOKUP(CH$1,main!$A$3:$H$102,7,FALSE)=main!$G$104,VLOOKUP(CH$1,main!$A$3:$H$102,5,FALSE)-VLOOKUP($A143,main!$A$3:$H$102,6,FALSE)&gt;=main!$D$103+VLOOKUP(VLOOKUP(CH$1,main!$A$3:$I$102,7,FALSE),main!$K$26:$Q$29,4,FALSE)),1,0)</f>
        <v>0</v>
      </c>
      <c r="CI143">
        <f>IF(AND(VLOOKUP(CI$1,main!$A$3:$H$102,7,FALSE)=main!$G$104,VLOOKUP(CI$1,main!$A$3:$H$102,5,FALSE)-VLOOKUP($A143,main!$A$3:$H$102,6,FALSE)&gt;=main!$D$103+VLOOKUP(VLOOKUP(CI$1,main!$A$3:$I$102,7,FALSE),main!$K$26:$Q$29,4,FALSE)),1,0)</f>
        <v>0</v>
      </c>
      <c r="CJ143">
        <f>IF(AND(VLOOKUP(CJ$1,main!$A$3:$H$102,7,FALSE)=main!$G$104,VLOOKUP(CJ$1,main!$A$3:$H$102,5,FALSE)-VLOOKUP($A143,main!$A$3:$H$102,6,FALSE)&gt;=main!$D$103+VLOOKUP(VLOOKUP(CJ$1,main!$A$3:$I$102,7,FALSE),main!$K$26:$Q$29,4,FALSE)),1,0)</f>
        <v>0</v>
      </c>
      <c r="CK143">
        <f>IF(AND(VLOOKUP(CK$1,main!$A$3:$H$102,7,FALSE)=main!$G$104,VLOOKUP(CK$1,main!$A$3:$H$102,5,FALSE)-VLOOKUP($A143,main!$A$3:$H$102,6,FALSE)&gt;=main!$D$103+VLOOKUP(VLOOKUP(CK$1,main!$A$3:$I$102,7,FALSE),main!$K$26:$Q$29,4,FALSE)),1,0)</f>
        <v>0</v>
      </c>
      <c r="CL143">
        <f>IF(AND(VLOOKUP(CL$1,main!$A$3:$H$102,7,FALSE)=main!$G$104,VLOOKUP(CL$1,main!$A$3:$H$102,5,FALSE)-VLOOKUP($A143,main!$A$3:$H$102,6,FALSE)&gt;=main!$D$103+VLOOKUP(VLOOKUP(CL$1,main!$A$3:$I$102,7,FALSE),main!$K$26:$Q$29,4,FALSE)),1,0)</f>
        <v>0</v>
      </c>
      <c r="CM143">
        <f>IF(AND(VLOOKUP(CM$1,main!$A$3:$H$102,7,FALSE)=main!$G$104,VLOOKUP(CM$1,main!$A$3:$H$102,5,FALSE)-VLOOKUP($A143,main!$A$3:$H$102,6,FALSE)&gt;=main!$D$103+VLOOKUP(VLOOKUP(CM$1,main!$A$3:$I$102,7,FALSE),main!$K$26:$Q$29,4,FALSE)),1,0)</f>
        <v>0</v>
      </c>
      <c r="CN143">
        <f>IF(AND(VLOOKUP(CN$1,main!$A$3:$H$102,7,FALSE)=main!$G$104,VLOOKUP(CN$1,main!$A$3:$H$102,5,FALSE)-VLOOKUP($A143,main!$A$3:$H$102,6,FALSE)&gt;=main!$D$103+VLOOKUP(VLOOKUP(CN$1,main!$A$3:$I$102,7,FALSE),main!$K$26:$Q$29,4,FALSE)),1,0)</f>
        <v>0</v>
      </c>
      <c r="CO143">
        <f>IF(AND(VLOOKUP(CO$1,main!$A$3:$H$102,7,FALSE)=main!$G$104,VLOOKUP(CO$1,main!$A$3:$H$102,5,FALSE)-VLOOKUP($A143,main!$A$3:$H$102,6,FALSE)&gt;=main!$D$103+VLOOKUP(VLOOKUP(CO$1,main!$A$3:$I$102,7,FALSE),main!$K$26:$Q$29,4,FALSE)),1,0)</f>
        <v>0</v>
      </c>
      <c r="CP143">
        <f>IF(AND(VLOOKUP(CP$1,main!$A$3:$H$102,7,FALSE)=main!$G$104,VLOOKUP(CP$1,main!$A$3:$H$102,5,FALSE)-VLOOKUP($A143,main!$A$3:$H$102,6,FALSE)&gt;=main!$D$103+VLOOKUP(VLOOKUP(CP$1,main!$A$3:$I$102,7,FALSE),main!$K$26:$Q$29,4,FALSE)),1,0)</f>
        <v>0</v>
      </c>
      <c r="CQ143">
        <f>IF(AND(VLOOKUP(CQ$1,main!$A$3:$H$102,7,FALSE)=main!$G$104,VLOOKUP(CQ$1,main!$A$3:$H$102,5,FALSE)-VLOOKUP($A143,main!$A$3:$H$102,6,FALSE)&gt;=main!$D$103+VLOOKUP(VLOOKUP(CQ$1,main!$A$3:$I$102,7,FALSE),main!$K$26:$Q$29,4,FALSE)),1,0)</f>
        <v>0</v>
      </c>
      <c r="CR143">
        <f>IF(AND(VLOOKUP(CR$1,main!$A$3:$H$102,7,FALSE)=main!$G$104,VLOOKUP(CR$1,main!$A$3:$H$102,5,FALSE)-VLOOKUP($A143,main!$A$3:$H$102,6,FALSE)&gt;=main!$D$103+VLOOKUP(VLOOKUP(CR$1,main!$A$3:$I$102,7,FALSE),main!$K$26:$Q$29,4,FALSE)),1,0)</f>
        <v>0</v>
      </c>
      <c r="CS143">
        <f>IF(AND(VLOOKUP(CS$1,main!$A$3:$H$102,7,FALSE)=main!$G$104,VLOOKUP(CS$1,main!$A$3:$H$102,5,FALSE)-VLOOKUP($A143,main!$A$3:$H$102,6,FALSE)&gt;=main!$D$103+VLOOKUP(VLOOKUP(CS$1,main!$A$3:$I$102,7,FALSE),main!$K$26:$Q$29,4,FALSE)),1,0)</f>
        <v>0</v>
      </c>
      <c r="CT143">
        <f>IF(AND(VLOOKUP(CT$1,main!$A$3:$H$102,7,FALSE)=main!$G$104,VLOOKUP(CT$1,main!$A$3:$H$102,5,FALSE)-VLOOKUP($A143,main!$A$3:$H$102,6,FALSE)&gt;=main!$D$103+VLOOKUP(VLOOKUP(CT$1,main!$A$3:$I$102,7,FALSE),main!$K$26:$Q$29,4,FALSE)),1,0)</f>
        <v>0</v>
      </c>
      <c r="CU143">
        <f>IF(AND(VLOOKUP(CU$1,main!$A$3:$H$102,7,FALSE)=main!$G$104,VLOOKUP(CU$1,main!$A$3:$H$102,5,FALSE)-VLOOKUP($A143,main!$A$3:$H$102,6,FALSE)&gt;=main!$D$103+VLOOKUP(VLOOKUP(CU$1,main!$A$3:$I$102,7,FALSE),main!$K$26:$Q$29,4,FALSE)),1,0)</f>
        <v>0</v>
      </c>
      <c r="CV143">
        <f>IF(AND(VLOOKUP(CV$1,main!$A$3:$H$102,7,FALSE)=main!$G$104,VLOOKUP(CV$1,main!$A$3:$H$102,5,FALSE)-VLOOKUP($A143,main!$A$3:$H$102,6,FALSE)&gt;=main!$D$103+VLOOKUP(VLOOKUP(CV$1,main!$A$3:$I$102,7,FALSE),main!$K$26:$Q$29,4,FALSE)),1,0)</f>
        <v>0</v>
      </c>
      <c r="CW143">
        <f>IF(AND(VLOOKUP(CW$1,main!$A$3:$H$102,7,FALSE)=main!$G$104,VLOOKUP(CW$1,main!$A$3:$H$102,5,FALSE)-VLOOKUP($A143,main!$A$3:$H$102,6,FALSE)&gt;=main!$D$103+VLOOKUP(VLOOKUP(CW$1,main!$A$3:$I$102,7,FALSE),main!$K$26:$Q$29,4,FALSE)),1,0)</f>
        <v>0</v>
      </c>
      <c r="CX143">
        <f>IF(AND(VLOOKUP(CX$1,main!$A$3:$H$102,7,FALSE)=main!$G$104,VLOOKUP(CX$1,main!$A$3:$H$102,5,FALSE)-VLOOKUP($A143,main!$A$3:$H$102,6,FALSE)&gt;=main!$D$103+VLOOKUP(VLOOKUP(CX$1,main!$A$3:$I$102,7,FALSE),main!$K$26:$Q$29,4,FALSE)),1,0)</f>
        <v>0</v>
      </c>
      <c r="DB143" t="str">
        <f>VLOOKUP(T$1,main!$A$3:$H$102,7,FALSE)</f>
        <v>Terminal A</v>
      </c>
    </row>
    <row r="144" spans="1:109" x14ac:dyDescent="0.25">
      <c r="A144" s="1">
        <v>41</v>
      </c>
      <c r="B144">
        <v>0</v>
      </c>
      <c r="C144">
        <f>IF(AND(VLOOKUP(C$1,main!$A$3:$H$102,7,FALSE)=main!$G$104,VLOOKUP(C$1,main!$A$3:$H$102,5,FALSE)-VLOOKUP($A144,main!$A$3:$H$102,6,FALSE)&gt;=main!$D$103+VLOOKUP(VLOOKUP(C$1,main!$A$3:$I$102,7,FALSE),main!$K$26:$Q$29,4,FALSE)),1,0)</f>
        <v>0</v>
      </c>
      <c r="D144">
        <f>IF(AND(VLOOKUP(D$1,main!$A$3:$H$102,7,FALSE)=main!$G$104,VLOOKUP(D$1,main!$A$3:$H$102,5,FALSE)-VLOOKUP($A144,main!$A$3:$H$102,6,FALSE)&gt;=main!$D$103+VLOOKUP(VLOOKUP(D$1,main!$A$3:$I$102,7,FALSE),main!$K$26:$Q$29,4,FALSE)),1,0)</f>
        <v>0</v>
      </c>
      <c r="E144">
        <f>IF(AND(VLOOKUP(E$1,main!$A$3:$H$102,7,FALSE)=main!$G$104,VLOOKUP(E$1,main!$A$3:$H$102,5,FALSE)-VLOOKUP($A144,main!$A$3:$H$102,6,FALSE)&gt;=main!$D$103+VLOOKUP(VLOOKUP(E$1,main!$A$3:$I$102,7,FALSE),main!$K$26:$Q$29,4,FALSE)),1,0)</f>
        <v>1</v>
      </c>
      <c r="F144">
        <f>IF(AND(VLOOKUP(F$1,main!$A$3:$H$102,7,FALSE)=main!$G$104,VLOOKUP(F$1,main!$A$3:$H$102,5,FALSE)-VLOOKUP($A144,main!$A$3:$H$102,6,FALSE)&gt;=main!$D$103+VLOOKUP(VLOOKUP(F$1,main!$A$3:$I$102,7,FALSE),main!$K$26:$Q$29,4,FALSE)),1,0)</f>
        <v>1</v>
      </c>
      <c r="G144">
        <f>IF(AND(VLOOKUP(G$1,main!$A$3:$H$102,7,FALSE)=main!$G$104,VLOOKUP(G$1,main!$A$3:$H$102,5,FALSE)-VLOOKUP($A144,main!$A$3:$H$102,6,FALSE)&gt;=main!$D$103+VLOOKUP(VLOOKUP(G$1,main!$A$3:$I$102,7,FALSE),main!$K$26:$Q$29,4,FALSE)),1,0)</f>
        <v>1</v>
      </c>
      <c r="H144">
        <f>IF(AND(VLOOKUP(H$1,main!$A$3:$H$102,7,FALSE)=main!$G$104,VLOOKUP(H$1,main!$A$3:$H$102,5,FALSE)-VLOOKUP($A144,main!$A$3:$H$102,6,FALSE)&gt;=main!$D$103+VLOOKUP(VLOOKUP(H$1,main!$A$3:$I$102,7,FALSE),main!$K$26:$Q$29,4,FALSE)),1,0)</f>
        <v>1</v>
      </c>
      <c r="I144">
        <f>IF(AND(VLOOKUP(I$1,main!$A$3:$H$102,7,FALSE)=main!$G$104,VLOOKUP(I$1,main!$A$3:$H$102,5,FALSE)-VLOOKUP($A144,main!$A$3:$H$102,6,FALSE)&gt;=main!$D$103+VLOOKUP(VLOOKUP(I$1,main!$A$3:$I$102,7,FALSE),main!$K$26:$Q$29,4,FALSE)),1,0)</f>
        <v>1</v>
      </c>
      <c r="J144">
        <f>IF(AND(VLOOKUP(J$1,main!$A$3:$H$102,7,FALSE)=main!$G$104,VLOOKUP(J$1,main!$A$3:$H$102,5,FALSE)-VLOOKUP($A144,main!$A$3:$H$102,6,FALSE)&gt;=main!$D$103+VLOOKUP(VLOOKUP(J$1,main!$A$3:$I$102,7,FALSE),main!$K$26:$Q$29,4,FALSE)),1,0)</f>
        <v>1</v>
      </c>
      <c r="K144">
        <f>IF(AND(VLOOKUP(K$1,main!$A$3:$H$102,7,FALSE)=main!$G$104,VLOOKUP(K$1,main!$A$3:$H$102,5,FALSE)-VLOOKUP($A144,main!$A$3:$H$102,6,FALSE)&gt;=main!$D$103+VLOOKUP(VLOOKUP(K$1,main!$A$3:$I$102,7,FALSE),main!$K$26:$Q$29,4,FALSE)),1,0)</f>
        <v>1</v>
      </c>
      <c r="L144">
        <f>IF(AND(VLOOKUP(L$1,main!$A$3:$H$102,7,FALSE)=main!$G$104,VLOOKUP(L$1,main!$A$3:$H$102,5,FALSE)-VLOOKUP($A144,main!$A$3:$H$102,6,FALSE)&gt;=main!$D$103+VLOOKUP(VLOOKUP(L$1,main!$A$3:$I$102,7,FALSE),main!$K$26:$Q$29,4,FALSE)),1,0)</f>
        <v>1</v>
      </c>
      <c r="M144">
        <f>IF(AND(VLOOKUP(M$1,main!$A$3:$H$102,7,FALSE)=main!$G$104,VLOOKUP(M$1,main!$A$3:$H$102,5,FALSE)-VLOOKUP($A144,main!$A$3:$H$102,6,FALSE)&gt;=main!$D$103+VLOOKUP(VLOOKUP(M$1,main!$A$3:$I$102,7,FALSE),main!$K$26:$Q$29,4,FALSE)),1,0)</f>
        <v>0</v>
      </c>
      <c r="N144">
        <f>IF(AND(VLOOKUP(N$1,main!$A$3:$H$102,7,FALSE)=main!$G$104,VLOOKUP(N$1,main!$A$3:$H$102,5,FALSE)-VLOOKUP($A144,main!$A$3:$H$102,6,FALSE)&gt;=main!$D$103+VLOOKUP(VLOOKUP(N$1,main!$A$3:$I$102,7,FALSE),main!$K$26:$Q$29,4,FALSE)),1,0)</f>
        <v>0</v>
      </c>
      <c r="O144">
        <f>IF(AND(VLOOKUP(O$1,main!$A$3:$H$102,7,FALSE)=main!$G$104,VLOOKUP(O$1,main!$A$3:$H$102,5,FALSE)-VLOOKUP($A144,main!$A$3:$H$102,6,FALSE)&gt;=main!$D$103+VLOOKUP(VLOOKUP(O$1,main!$A$3:$I$102,7,FALSE),main!$K$26:$Q$29,4,FALSE)),1,0)</f>
        <v>0</v>
      </c>
      <c r="P144">
        <f>IF(AND(VLOOKUP(P$1,main!$A$3:$H$102,7,FALSE)=main!$G$104,VLOOKUP(P$1,main!$A$3:$H$102,5,FALSE)-VLOOKUP($A144,main!$A$3:$H$102,6,FALSE)&gt;=main!$D$103+VLOOKUP(VLOOKUP(P$1,main!$A$3:$I$102,7,FALSE),main!$K$26:$Q$29,4,FALSE)),1,0)</f>
        <v>1</v>
      </c>
      <c r="Q144">
        <f>IF(AND(VLOOKUP(Q$1,main!$A$3:$H$102,7,FALSE)=main!$G$104,VLOOKUP(Q$1,main!$A$3:$H$102,5,FALSE)-VLOOKUP($A144,main!$A$3:$H$102,6,FALSE)&gt;=main!$D$103+VLOOKUP(VLOOKUP(Q$1,main!$A$3:$I$102,7,FALSE),main!$K$26:$Q$29,4,FALSE)),1,0)</f>
        <v>1</v>
      </c>
      <c r="R144">
        <f>IF(AND(VLOOKUP(R$1,main!$A$3:$H$102,7,FALSE)=main!$G$104,VLOOKUP(R$1,main!$A$3:$H$102,5,FALSE)-VLOOKUP($A144,main!$A$3:$H$102,6,FALSE)&gt;=main!$D$103+VLOOKUP(VLOOKUP(R$1,main!$A$3:$I$102,7,FALSE),main!$K$26:$Q$29,4,FALSE)),1,0)</f>
        <v>1</v>
      </c>
      <c r="S144">
        <f>IF(AND(VLOOKUP(S$1,main!$A$3:$H$102,7,FALSE)=main!$G$104,VLOOKUP(S$1,main!$A$3:$H$102,5,FALSE)-VLOOKUP($A144,main!$A$3:$H$102,6,FALSE)&gt;=main!$D$103+VLOOKUP(VLOOKUP(S$1,main!$A$3:$I$102,7,FALSE),main!$K$26:$Q$29,4,FALSE)),1,0)</f>
        <v>1</v>
      </c>
      <c r="T144">
        <f>IF(AND(VLOOKUP(T$1,main!$A$3:$H$102,7,FALSE)=main!$G$104,VLOOKUP(T$1,main!$A$3:$H$102,5,FALSE)-VLOOKUP($A144,main!$A$3:$H$102,6,FALSE)&gt;=main!$D$103+VLOOKUP(VLOOKUP(T$1,main!$A$3:$I$102,7,FALSE),main!$K$26:$Q$29,4,FALSE)),1,0)</f>
        <v>1</v>
      </c>
      <c r="U144">
        <f>IF(AND(VLOOKUP(U$1,main!$A$3:$H$102,7,FALSE)=main!$G$104,VLOOKUP(U$1,main!$A$3:$H$102,5,FALSE)-VLOOKUP($A144,main!$A$3:$H$102,6,FALSE)&gt;=main!$D$103+VLOOKUP(VLOOKUP(U$1,main!$A$3:$I$102,7,FALSE),main!$K$26:$Q$29,4,FALSE)),1,0)</f>
        <v>1</v>
      </c>
      <c r="V144">
        <f>IF(AND(VLOOKUP(V$1,main!$A$3:$H$102,7,FALSE)=main!$G$104,VLOOKUP(V$1,main!$A$3:$H$102,5,FALSE)-VLOOKUP($A144,main!$A$3:$H$102,6,FALSE)&gt;=main!$D$103+VLOOKUP(VLOOKUP(V$1,main!$A$3:$I$102,7,FALSE),main!$K$26:$Q$29,4,FALSE)),1,0)</f>
        <v>1</v>
      </c>
      <c r="W144">
        <f>IF(AND(VLOOKUP(W$1,main!$A$3:$H$102,7,FALSE)=main!$G$104,VLOOKUP(W$1,main!$A$3:$H$102,5,FALSE)-VLOOKUP($A144,main!$A$3:$H$102,6,FALSE)&gt;=main!$D$103+VLOOKUP(VLOOKUP(W$1,main!$A$3:$I$102,7,FALSE),main!$K$26:$Q$29,4,FALSE)),1,0)</f>
        <v>0</v>
      </c>
      <c r="X144">
        <f>IF(AND(VLOOKUP(X$1,main!$A$3:$H$102,7,FALSE)=main!$G$104,VLOOKUP(X$1,main!$A$3:$H$102,5,FALSE)-VLOOKUP($A144,main!$A$3:$H$102,6,FALSE)&gt;=main!$D$103+VLOOKUP(VLOOKUP(X$1,main!$A$3:$I$102,7,FALSE),main!$K$26:$Q$29,4,FALSE)),1,0)</f>
        <v>1</v>
      </c>
      <c r="Y144">
        <f>IF(AND(VLOOKUP(Y$1,main!$A$3:$H$102,7,FALSE)=main!$G$104,VLOOKUP(Y$1,main!$A$3:$H$102,5,FALSE)-VLOOKUP($A144,main!$A$3:$H$102,6,FALSE)&gt;=main!$D$103+VLOOKUP(VLOOKUP(Y$1,main!$A$3:$I$102,7,FALSE),main!$K$26:$Q$29,4,FALSE)),1,0)</f>
        <v>1</v>
      </c>
      <c r="Z144">
        <f>IF(AND(VLOOKUP(Z$1,main!$A$3:$H$102,7,FALSE)=main!$G$104,VLOOKUP(Z$1,main!$A$3:$H$102,5,FALSE)-VLOOKUP($A144,main!$A$3:$H$102,6,FALSE)&gt;=main!$D$103+VLOOKUP(VLOOKUP(Z$1,main!$A$3:$I$102,7,FALSE),main!$K$26:$Q$29,4,FALSE)),1,0)</f>
        <v>1</v>
      </c>
      <c r="AA144">
        <f>IF(AND(VLOOKUP(AA$1,main!$A$3:$H$102,7,FALSE)=main!$G$104,VLOOKUP(AA$1,main!$A$3:$H$102,5,FALSE)-VLOOKUP($A144,main!$A$3:$H$102,6,FALSE)&gt;=main!$D$103+VLOOKUP(VLOOKUP(AA$1,main!$A$3:$I$102,7,FALSE),main!$K$26:$Q$29,4,FALSE)),1,0)</f>
        <v>1</v>
      </c>
      <c r="AB144">
        <f>IF(AND(VLOOKUP(AB$1,main!$A$3:$H$102,7,FALSE)=main!$G$104,VLOOKUP(AB$1,main!$A$3:$H$102,5,FALSE)-VLOOKUP($A144,main!$A$3:$H$102,6,FALSE)&gt;=main!$D$103+VLOOKUP(VLOOKUP(AB$1,main!$A$3:$I$102,7,FALSE),main!$K$26:$Q$29,4,FALSE)),1,0)</f>
        <v>0</v>
      </c>
      <c r="AC144">
        <f>IF(AND(VLOOKUP(AC$1,main!$A$3:$H$102,7,FALSE)=main!$G$104,VLOOKUP(AC$1,main!$A$3:$H$102,5,FALSE)-VLOOKUP($A144,main!$A$3:$H$102,6,FALSE)&gt;=main!$D$103+VLOOKUP(VLOOKUP(AC$1,main!$A$3:$I$102,7,FALSE),main!$K$26:$Q$29,4,FALSE)),1,0)</f>
        <v>0</v>
      </c>
      <c r="AD144">
        <f>IF(AND(VLOOKUP(AD$1,main!$A$3:$H$102,7,FALSE)=main!$G$104,VLOOKUP(AD$1,main!$A$3:$H$102,5,FALSE)-VLOOKUP($A144,main!$A$3:$H$102,6,FALSE)&gt;=main!$D$103+VLOOKUP(VLOOKUP(AD$1,main!$A$3:$I$102,7,FALSE),main!$K$26:$Q$29,4,FALSE)),1,0)</f>
        <v>1</v>
      </c>
      <c r="AE144">
        <f>IF(AND(VLOOKUP(AE$1,main!$A$3:$H$102,7,FALSE)=main!$G$104,VLOOKUP(AE$1,main!$A$3:$H$102,5,FALSE)-VLOOKUP($A144,main!$A$3:$H$102,6,FALSE)&gt;=main!$D$103+VLOOKUP(VLOOKUP(AE$1,main!$A$3:$I$102,7,FALSE),main!$K$26:$Q$29,4,FALSE)),1,0)</f>
        <v>1</v>
      </c>
      <c r="AF144">
        <f>IF(AND(VLOOKUP(AF$1,main!$A$3:$H$102,7,FALSE)=main!$G$104,VLOOKUP(AF$1,main!$A$3:$H$102,5,FALSE)-VLOOKUP($A144,main!$A$3:$H$102,6,FALSE)&gt;=main!$D$103+VLOOKUP(VLOOKUP(AF$1,main!$A$3:$I$102,7,FALSE),main!$K$26:$Q$29,4,FALSE)),1,0)</f>
        <v>1</v>
      </c>
      <c r="AG144">
        <f>IF(AND(VLOOKUP(AG$1,main!$A$3:$H$102,7,FALSE)=main!$G$104,VLOOKUP(AG$1,main!$A$3:$H$102,5,FALSE)-VLOOKUP($A144,main!$A$3:$H$102,6,FALSE)&gt;=main!$D$103+VLOOKUP(VLOOKUP(AG$1,main!$A$3:$I$102,7,FALSE),main!$K$26:$Q$29,4,FALSE)),1,0)</f>
        <v>0</v>
      </c>
      <c r="AH144">
        <f>IF(AND(VLOOKUP(AH$1,main!$A$3:$H$102,7,FALSE)=main!$G$104,VLOOKUP(AH$1,main!$A$3:$H$102,5,FALSE)-VLOOKUP($A144,main!$A$3:$H$102,6,FALSE)&gt;=main!$D$103+VLOOKUP(VLOOKUP(AH$1,main!$A$3:$I$102,7,FALSE),main!$K$26:$Q$29,4,FALSE)),1,0)</f>
        <v>0</v>
      </c>
      <c r="AI144">
        <f>IF(AND(VLOOKUP(AI$1,main!$A$3:$H$102,7,FALSE)=main!$G$104,VLOOKUP(AI$1,main!$A$3:$H$102,5,FALSE)-VLOOKUP($A144,main!$A$3:$H$102,6,FALSE)&gt;=main!$D$103+VLOOKUP(VLOOKUP(AI$1,main!$A$3:$I$102,7,FALSE),main!$K$26:$Q$29,4,FALSE)),1,0)</f>
        <v>0</v>
      </c>
      <c r="AJ144">
        <f>IF(AND(VLOOKUP(AJ$1,main!$A$3:$H$102,7,FALSE)=main!$G$104,VLOOKUP(AJ$1,main!$A$3:$H$102,5,FALSE)-VLOOKUP($A144,main!$A$3:$H$102,6,FALSE)&gt;=main!$D$103+VLOOKUP(VLOOKUP(AJ$1,main!$A$3:$I$102,7,FALSE),main!$K$26:$Q$29,4,FALSE)),1,0)</f>
        <v>0</v>
      </c>
      <c r="AK144">
        <f>IF(AND(VLOOKUP(AK$1,main!$A$3:$H$102,7,FALSE)=main!$G$104,VLOOKUP(AK$1,main!$A$3:$H$102,5,FALSE)-VLOOKUP($A144,main!$A$3:$H$102,6,FALSE)&gt;=main!$D$103+VLOOKUP(VLOOKUP(AK$1,main!$A$3:$I$102,7,FALSE),main!$K$26:$Q$29,4,FALSE)),1,0)</f>
        <v>0</v>
      </c>
      <c r="AL144">
        <f>IF(AND(VLOOKUP(AL$1,main!$A$3:$H$102,7,FALSE)=main!$G$104,VLOOKUP(AL$1,main!$A$3:$H$102,5,FALSE)-VLOOKUP($A144,main!$A$3:$H$102,6,FALSE)&gt;=main!$D$103+VLOOKUP(VLOOKUP(AL$1,main!$A$3:$I$102,7,FALSE),main!$K$26:$Q$29,4,FALSE)),1,0)</f>
        <v>0</v>
      </c>
      <c r="AM144">
        <f>IF(AND(VLOOKUP(AM$1,main!$A$3:$H$102,7,FALSE)=main!$G$104,VLOOKUP(AM$1,main!$A$3:$H$102,5,FALSE)-VLOOKUP($A144,main!$A$3:$H$102,6,FALSE)&gt;=main!$D$103+VLOOKUP(VLOOKUP(AM$1,main!$A$3:$I$102,7,FALSE),main!$K$26:$Q$29,4,FALSE)),1,0)</f>
        <v>0</v>
      </c>
      <c r="AN144">
        <f>IF(AND(VLOOKUP(AN$1,main!$A$3:$H$102,7,FALSE)=main!$G$104,VLOOKUP(AN$1,main!$A$3:$H$102,5,FALSE)-VLOOKUP($A144,main!$A$3:$H$102,6,FALSE)&gt;=main!$D$103+VLOOKUP(VLOOKUP(AN$1,main!$A$3:$I$102,7,FALSE),main!$K$26:$Q$29,4,FALSE)),1,0)</f>
        <v>0</v>
      </c>
      <c r="AO144">
        <f>IF(AND(VLOOKUP(AO$1,main!$A$3:$H$102,7,FALSE)=main!$G$104,VLOOKUP(AO$1,main!$A$3:$H$102,5,FALSE)-VLOOKUP($A144,main!$A$3:$H$102,6,FALSE)&gt;=main!$D$103+VLOOKUP(VLOOKUP(AO$1,main!$A$3:$I$102,7,FALSE),main!$K$26:$Q$29,4,FALSE)),1,0)</f>
        <v>0</v>
      </c>
      <c r="AP144">
        <f>IF(AND(VLOOKUP(AP$1,main!$A$3:$H$102,7,FALSE)=main!$G$104,VLOOKUP(AP$1,main!$A$3:$H$102,5,FALSE)-VLOOKUP($A144,main!$A$3:$H$102,6,FALSE)&gt;=main!$D$103+VLOOKUP(VLOOKUP(AP$1,main!$A$3:$I$102,7,FALSE),main!$K$26:$Q$29,4,FALSE)),1,0)</f>
        <v>0</v>
      </c>
      <c r="AQ144">
        <f>IF(AND(VLOOKUP(AQ$1,main!$A$3:$H$102,7,FALSE)=main!$G$104,VLOOKUP(AQ$1,main!$A$3:$H$102,5,FALSE)-VLOOKUP($A144,main!$A$3:$H$102,6,FALSE)&gt;=main!$D$103+VLOOKUP(VLOOKUP(AQ$1,main!$A$3:$I$102,7,FALSE),main!$K$26:$Q$29,4,FALSE)),1,0)</f>
        <v>0</v>
      </c>
      <c r="AR144">
        <f>IF(AND(VLOOKUP(AR$1,main!$A$3:$H$102,7,FALSE)=main!$G$104,VLOOKUP(AR$1,main!$A$3:$H$102,5,FALSE)-VLOOKUP($A144,main!$A$3:$H$102,6,FALSE)&gt;=main!$D$103+VLOOKUP(VLOOKUP(AR$1,main!$A$3:$I$102,7,FALSE),main!$K$26:$Q$29,4,FALSE)),1,0)</f>
        <v>0</v>
      </c>
      <c r="AS144">
        <f>IF(AND(VLOOKUP(AS$1,main!$A$3:$H$102,7,FALSE)=main!$G$104,VLOOKUP(AS$1,main!$A$3:$H$102,5,FALSE)-VLOOKUP($A144,main!$A$3:$H$102,6,FALSE)&gt;=main!$D$103+VLOOKUP(VLOOKUP(AS$1,main!$A$3:$I$102,7,FALSE),main!$K$26:$Q$29,4,FALSE)),1,0)</f>
        <v>0</v>
      </c>
      <c r="AT144">
        <f>IF(AND(VLOOKUP(AT$1,main!$A$3:$H$102,7,FALSE)=main!$G$104,VLOOKUP(AT$1,main!$A$3:$H$102,5,FALSE)-VLOOKUP($A144,main!$A$3:$H$102,6,FALSE)&gt;=main!$D$103+VLOOKUP(VLOOKUP(AT$1,main!$A$3:$I$102,7,FALSE),main!$K$26:$Q$29,4,FALSE)),1,0)</f>
        <v>0</v>
      </c>
      <c r="AU144">
        <f>IF(AND(VLOOKUP(AU$1,main!$A$3:$H$102,7,FALSE)=main!$G$104,VLOOKUP(AU$1,main!$A$3:$H$102,5,FALSE)-VLOOKUP($A144,main!$A$3:$H$102,6,FALSE)&gt;=main!$D$103+VLOOKUP(VLOOKUP(AU$1,main!$A$3:$I$102,7,FALSE),main!$K$26:$Q$29,4,FALSE)),1,0)</f>
        <v>0</v>
      </c>
      <c r="AV144">
        <f>IF(AND(VLOOKUP(AV$1,main!$A$3:$H$102,7,FALSE)=main!$G$104,VLOOKUP(AV$1,main!$A$3:$H$102,5,FALSE)-VLOOKUP($A144,main!$A$3:$H$102,6,FALSE)&gt;=main!$D$103+VLOOKUP(VLOOKUP(AV$1,main!$A$3:$I$102,7,FALSE),main!$K$26:$Q$29,4,FALSE)),1,0)</f>
        <v>0</v>
      </c>
      <c r="AW144">
        <f>IF(AND(VLOOKUP(AW$1,main!$A$3:$H$102,7,FALSE)=main!$G$104,VLOOKUP(AW$1,main!$A$3:$H$102,5,FALSE)-VLOOKUP($A144,main!$A$3:$H$102,6,FALSE)&gt;=main!$D$103+VLOOKUP(VLOOKUP(AW$1,main!$A$3:$I$102,7,FALSE),main!$K$26:$Q$29,4,FALSE)),1,0)</f>
        <v>0</v>
      </c>
      <c r="AX144">
        <f>IF(AND(VLOOKUP(AX$1,main!$A$3:$H$102,7,FALSE)=main!$G$104,VLOOKUP(AX$1,main!$A$3:$H$102,5,FALSE)-VLOOKUP($A144,main!$A$3:$H$102,6,FALSE)&gt;=main!$D$103+VLOOKUP(VLOOKUP(AX$1,main!$A$3:$I$102,7,FALSE),main!$K$26:$Q$29,4,FALSE)),1,0)</f>
        <v>0</v>
      </c>
      <c r="AY144">
        <f>IF(AND(VLOOKUP(AY$1,main!$A$3:$H$102,7,FALSE)=main!$G$104,VLOOKUP(AY$1,main!$A$3:$H$102,5,FALSE)-VLOOKUP($A144,main!$A$3:$H$102,6,FALSE)&gt;=main!$D$103+VLOOKUP(VLOOKUP(AY$1,main!$A$3:$I$102,7,FALSE),main!$K$26:$Q$29,4,FALSE)),1,0)</f>
        <v>0</v>
      </c>
      <c r="AZ144">
        <f>IF(AND(VLOOKUP(AZ$1,main!$A$3:$H$102,7,FALSE)=main!$G$104,VLOOKUP(AZ$1,main!$A$3:$H$102,5,FALSE)-VLOOKUP($A144,main!$A$3:$H$102,6,FALSE)&gt;=main!$D$103+VLOOKUP(VLOOKUP(AZ$1,main!$A$3:$I$102,7,FALSE),main!$K$26:$Q$29,4,FALSE)),1,0)</f>
        <v>0</v>
      </c>
      <c r="BA144">
        <f>IF(AND(VLOOKUP(BA$1,main!$A$3:$H$102,7,FALSE)=main!$G$104,VLOOKUP(BA$1,main!$A$3:$H$102,5,FALSE)-VLOOKUP($A144,main!$A$3:$H$102,6,FALSE)&gt;=main!$D$103+VLOOKUP(VLOOKUP(BA$1,main!$A$3:$I$102,7,FALSE),main!$K$26:$Q$29,4,FALSE)),1,0)</f>
        <v>0</v>
      </c>
      <c r="BB144">
        <f>IF(AND(VLOOKUP(BB$1,main!$A$3:$H$102,7,FALSE)=main!$G$104,VLOOKUP(BB$1,main!$A$3:$H$102,5,FALSE)-VLOOKUP($A144,main!$A$3:$H$102,6,FALSE)&gt;=main!$D$103+VLOOKUP(VLOOKUP(BB$1,main!$A$3:$I$102,7,FALSE),main!$K$26:$Q$29,4,FALSE)),1,0)</f>
        <v>0</v>
      </c>
      <c r="BC144">
        <f>IF(AND(VLOOKUP(BC$1,main!$A$3:$H$102,7,FALSE)=main!$G$104,VLOOKUP(BC$1,main!$A$3:$H$102,5,FALSE)-VLOOKUP($A144,main!$A$3:$H$102,6,FALSE)&gt;=main!$D$103+VLOOKUP(VLOOKUP(BC$1,main!$A$3:$I$102,7,FALSE),main!$K$26:$Q$29,4,FALSE)),1,0)</f>
        <v>0</v>
      </c>
      <c r="BD144">
        <f>IF(AND(VLOOKUP(BD$1,main!$A$3:$H$102,7,FALSE)=main!$G$104,VLOOKUP(BD$1,main!$A$3:$H$102,5,FALSE)-VLOOKUP($A144,main!$A$3:$H$102,6,FALSE)&gt;=main!$D$103+VLOOKUP(VLOOKUP(BD$1,main!$A$3:$I$102,7,FALSE),main!$K$26:$Q$29,4,FALSE)),1,0)</f>
        <v>0</v>
      </c>
      <c r="BE144">
        <f>IF(AND(VLOOKUP(BE$1,main!$A$3:$H$102,7,FALSE)=main!$G$104,VLOOKUP(BE$1,main!$A$3:$H$102,5,FALSE)-VLOOKUP($A144,main!$A$3:$H$102,6,FALSE)&gt;=main!$D$103+VLOOKUP(VLOOKUP(BE$1,main!$A$3:$I$102,7,FALSE),main!$K$26:$Q$29,4,FALSE)),1,0)</f>
        <v>0</v>
      </c>
      <c r="BF144">
        <f>IF(AND(VLOOKUP(BF$1,main!$A$3:$H$102,7,FALSE)=main!$G$104,VLOOKUP(BF$1,main!$A$3:$H$102,5,FALSE)-VLOOKUP($A144,main!$A$3:$H$102,6,FALSE)&gt;=main!$D$103+VLOOKUP(VLOOKUP(BF$1,main!$A$3:$I$102,7,FALSE),main!$K$26:$Q$29,4,FALSE)),1,0)</f>
        <v>0</v>
      </c>
      <c r="BG144">
        <f>IF(AND(VLOOKUP(BG$1,main!$A$3:$H$102,7,FALSE)=main!$G$104,VLOOKUP(BG$1,main!$A$3:$H$102,5,FALSE)-VLOOKUP($A144,main!$A$3:$H$102,6,FALSE)&gt;=main!$D$103+VLOOKUP(VLOOKUP(BG$1,main!$A$3:$I$102,7,FALSE),main!$K$26:$Q$29,4,FALSE)),1,0)</f>
        <v>0</v>
      </c>
      <c r="BH144">
        <f>IF(AND(VLOOKUP(BH$1,main!$A$3:$H$102,7,FALSE)=main!$G$104,VLOOKUP(BH$1,main!$A$3:$H$102,5,FALSE)-VLOOKUP($A144,main!$A$3:$H$102,6,FALSE)&gt;=main!$D$103+VLOOKUP(VLOOKUP(BH$1,main!$A$3:$I$102,7,FALSE),main!$K$26:$Q$29,4,FALSE)),1,0)</f>
        <v>0</v>
      </c>
      <c r="BI144">
        <f>IF(AND(VLOOKUP(BI$1,main!$A$3:$H$102,7,FALSE)=main!$G$104,VLOOKUP(BI$1,main!$A$3:$H$102,5,FALSE)-VLOOKUP($A144,main!$A$3:$H$102,6,FALSE)&gt;=main!$D$103+VLOOKUP(VLOOKUP(BI$1,main!$A$3:$I$102,7,FALSE),main!$K$26:$Q$29,4,FALSE)),1,0)</f>
        <v>0</v>
      </c>
      <c r="BJ144">
        <f>IF(AND(VLOOKUP(BJ$1,main!$A$3:$H$102,7,FALSE)=main!$G$104,VLOOKUP(BJ$1,main!$A$3:$H$102,5,FALSE)-VLOOKUP($A144,main!$A$3:$H$102,6,FALSE)&gt;=main!$D$103+VLOOKUP(VLOOKUP(BJ$1,main!$A$3:$I$102,7,FALSE),main!$K$26:$Q$29,4,FALSE)),1,0)</f>
        <v>0</v>
      </c>
      <c r="BK144">
        <f>IF(AND(VLOOKUP(BK$1,main!$A$3:$H$102,7,FALSE)=main!$G$104,VLOOKUP(BK$1,main!$A$3:$H$102,5,FALSE)-VLOOKUP($A144,main!$A$3:$H$102,6,FALSE)&gt;=main!$D$103+VLOOKUP(VLOOKUP(BK$1,main!$A$3:$I$102,7,FALSE),main!$K$26:$Q$29,4,FALSE)),1,0)</f>
        <v>0</v>
      </c>
      <c r="BL144">
        <f>IF(AND(VLOOKUP(BL$1,main!$A$3:$H$102,7,FALSE)=main!$G$104,VLOOKUP(BL$1,main!$A$3:$H$102,5,FALSE)-VLOOKUP($A144,main!$A$3:$H$102,6,FALSE)&gt;=main!$D$103+VLOOKUP(VLOOKUP(BL$1,main!$A$3:$I$102,7,FALSE),main!$K$26:$Q$29,4,FALSE)),1,0)</f>
        <v>0</v>
      </c>
      <c r="BM144">
        <f>IF(AND(VLOOKUP(BM$1,main!$A$3:$H$102,7,FALSE)=main!$G$104,VLOOKUP(BM$1,main!$A$3:$H$102,5,FALSE)-VLOOKUP($A144,main!$A$3:$H$102,6,FALSE)&gt;=main!$D$103+VLOOKUP(VLOOKUP(BM$1,main!$A$3:$I$102,7,FALSE),main!$K$26:$Q$29,4,FALSE)),1,0)</f>
        <v>0</v>
      </c>
      <c r="BN144">
        <f>IF(AND(VLOOKUP(BN$1,main!$A$3:$H$102,7,FALSE)=main!$G$104,VLOOKUP(BN$1,main!$A$3:$H$102,5,FALSE)-VLOOKUP($A144,main!$A$3:$H$102,6,FALSE)&gt;=main!$D$103+VLOOKUP(VLOOKUP(BN$1,main!$A$3:$I$102,7,FALSE),main!$K$26:$Q$29,4,FALSE)),1,0)</f>
        <v>0</v>
      </c>
      <c r="BO144">
        <f>IF(AND(VLOOKUP(BO$1,main!$A$3:$H$102,7,FALSE)=main!$G$104,VLOOKUP(BO$1,main!$A$3:$H$102,5,FALSE)-VLOOKUP($A144,main!$A$3:$H$102,6,FALSE)&gt;=main!$D$103+VLOOKUP(VLOOKUP(BO$1,main!$A$3:$I$102,7,FALSE),main!$K$26:$Q$29,4,FALSE)),1,0)</f>
        <v>0</v>
      </c>
      <c r="BP144">
        <f>IF(AND(VLOOKUP(BP$1,main!$A$3:$H$102,7,FALSE)=main!$G$104,VLOOKUP(BP$1,main!$A$3:$H$102,5,FALSE)-VLOOKUP($A144,main!$A$3:$H$102,6,FALSE)&gt;=main!$D$103+VLOOKUP(VLOOKUP(BP$1,main!$A$3:$I$102,7,FALSE),main!$K$26:$Q$29,4,FALSE)),1,0)</f>
        <v>0</v>
      </c>
      <c r="BQ144">
        <f>IF(AND(VLOOKUP(BQ$1,main!$A$3:$H$102,7,FALSE)=main!$G$104,VLOOKUP(BQ$1,main!$A$3:$H$102,5,FALSE)-VLOOKUP($A144,main!$A$3:$H$102,6,FALSE)&gt;=main!$D$103+VLOOKUP(VLOOKUP(BQ$1,main!$A$3:$I$102,7,FALSE),main!$K$26:$Q$29,4,FALSE)),1,0)</f>
        <v>0</v>
      </c>
      <c r="BR144">
        <f>IF(AND(VLOOKUP(BR$1,main!$A$3:$H$102,7,FALSE)=main!$G$104,VLOOKUP(BR$1,main!$A$3:$H$102,5,FALSE)-VLOOKUP($A144,main!$A$3:$H$102,6,FALSE)&gt;=main!$D$103+VLOOKUP(VLOOKUP(BR$1,main!$A$3:$I$102,7,FALSE),main!$K$26:$Q$29,4,FALSE)),1,0)</f>
        <v>0</v>
      </c>
      <c r="BS144">
        <f>IF(AND(VLOOKUP(BS$1,main!$A$3:$H$102,7,FALSE)=main!$G$104,VLOOKUP(BS$1,main!$A$3:$H$102,5,FALSE)-VLOOKUP($A144,main!$A$3:$H$102,6,FALSE)&gt;=main!$D$103+VLOOKUP(VLOOKUP(BS$1,main!$A$3:$I$102,7,FALSE),main!$K$26:$Q$29,4,FALSE)),1,0)</f>
        <v>0</v>
      </c>
      <c r="BT144">
        <f>IF(AND(VLOOKUP(BT$1,main!$A$3:$H$102,7,FALSE)=main!$G$104,VLOOKUP(BT$1,main!$A$3:$H$102,5,FALSE)-VLOOKUP($A144,main!$A$3:$H$102,6,FALSE)&gt;=main!$D$103+VLOOKUP(VLOOKUP(BT$1,main!$A$3:$I$102,7,FALSE),main!$K$26:$Q$29,4,FALSE)),1,0)</f>
        <v>0</v>
      </c>
      <c r="BU144">
        <f>IF(AND(VLOOKUP(BU$1,main!$A$3:$H$102,7,FALSE)=main!$G$104,VLOOKUP(BU$1,main!$A$3:$H$102,5,FALSE)-VLOOKUP($A144,main!$A$3:$H$102,6,FALSE)&gt;=main!$D$103+VLOOKUP(VLOOKUP(BU$1,main!$A$3:$I$102,7,FALSE),main!$K$26:$Q$29,4,FALSE)),1,0)</f>
        <v>0</v>
      </c>
      <c r="BV144">
        <f>IF(AND(VLOOKUP(BV$1,main!$A$3:$H$102,7,FALSE)=main!$G$104,VLOOKUP(BV$1,main!$A$3:$H$102,5,FALSE)-VLOOKUP($A144,main!$A$3:$H$102,6,FALSE)&gt;=main!$D$103+VLOOKUP(VLOOKUP(BV$1,main!$A$3:$I$102,7,FALSE),main!$K$26:$Q$29,4,FALSE)),1,0)</f>
        <v>0</v>
      </c>
      <c r="BW144">
        <f>IF(AND(VLOOKUP(BW$1,main!$A$3:$H$102,7,FALSE)=main!$G$104,VLOOKUP(BW$1,main!$A$3:$H$102,5,FALSE)-VLOOKUP($A144,main!$A$3:$H$102,6,FALSE)&gt;=main!$D$103+VLOOKUP(VLOOKUP(BW$1,main!$A$3:$I$102,7,FALSE),main!$K$26:$Q$29,4,FALSE)),1,0)</f>
        <v>0</v>
      </c>
      <c r="BX144">
        <f>IF(AND(VLOOKUP(BX$1,main!$A$3:$H$102,7,FALSE)=main!$G$104,VLOOKUP(BX$1,main!$A$3:$H$102,5,FALSE)-VLOOKUP($A144,main!$A$3:$H$102,6,FALSE)&gt;=main!$D$103+VLOOKUP(VLOOKUP(BX$1,main!$A$3:$I$102,7,FALSE),main!$K$26:$Q$29,4,FALSE)),1,0)</f>
        <v>0</v>
      </c>
      <c r="BY144">
        <f>IF(AND(VLOOKUP(BY$1,main!$A$3:$H$102,7,FALSE)=main!$G$104,VLOOKUP(BY$1,main!$A$3:$H$102,5,FALSE)-VLOOKUP($A144,main!$A$3:$H$102,6,FALSE)&gt;=main!$D$103+VLOOKUP(VLOOKUP(BY$1,main!$A$3:$I$102,7,FALSE),main!$K$26:$Q$29,4,FALSE)),1,0)</f>
        <v>0</v>
      </c>
      <c r="BZ144">
        <f>IF(AND(VLOOKUP(BZ$1,main!$A$3:$H$102,7,FALSE)=main!$G$104,VLOOKUP(BZ$1,main!$A$3:$H$102,5,FALSE)-VLOOKUP($A144,main!$A$3:$H$102,6,FALSE)&gt;=main!$D$103+VLOOKUP(VLOOKUP(BZ$1,main!$A$3:$I$102,7,FALSE),main!$K$26:$Q$29,4,FALSE)),1,0)</f>
        <v>0</v>
      </c>
      <c r="CA144">
        <f>IF(AND(VLOOKUP(CA$1,main!$A$3:$H$102,7,FALSE)=main!$G$104,VLOOKUP(CA$1,main!$A$3:$H$102,5,FALSE)-VLOOKUP($A144,main!$A$3:$H$102,6,FALSE)&gt;=main!$D$103+VLOOKUP(VLOOKUP(CA$1,main!$A$3:$I$102,7,FALSE),main!$K$26:$Q$29,4,FALSE)),1,0)</f>
        <v>0</v>
      </c>
      <c r="CB144">
        <f>IF(AND(VLOOKUP(CB$1,main!$A$3:$H$102,7,FALSE)=main!$G$104,VLOOKUP(CB$1,main!$A$3:$H$102,5,FALSE)-VLOOKUP($A144,main!$A$3:$H$102,6,FALSE)&gt;=main!$D$103+VLOOKUP(VLOOKUP(CB$1,main!$A$3:$I$102,7,FALSE),main!$K$26:$Q$29,4,FALSE)),1,0)</f>
        <v>0</v>
      </c>
      <c r="CC144">
        <f>IF(AND(VLOOKUP(CC$1,main!$A$3:$H$102,7,FALSE)=main!$G$104,VLOOKUP(CC$1,main!$A$3:$H$102,5,FALSE)-VLOOKUP($A144,main!$A$3:$H$102,6,FALSE)&gt;=main!$D$103+VLOOKUP(VLOOKUP(CC$1,main!$A$3:$I$102,7,FALSE),main!$K$26:$Q$29,4,FALSE)),1,0)</f>
        <v>0</v>
      </c>
      <c r="CD144">
        <f>IF(AND(VLOOKUP(CD$1,main!$A$3:$H$102,7,FALSE)=main!$G$104,VLOOKUP(CD$1,main!$A$3:$H$102,5,FALSE)-VLOOKUP($A144,main!$A$3:$H$102,6,FALSE)&gt;=main!$D$103+VLOOKUP(VLOOKUP(CD$1,main!$A$3:$I$102,7,FALSE),main!$K$26:$Q$29,4,FALSE)),1,0)</f>
        <v>0</v>
      </c>
      <c r="CE144">
        <f>IF(AND(VLOOKUP(CE$1,main!$A$3:$H$102,7,FALSE)=main!$G$104,VLOOKUP(CE$1,main!$A$3:$H$102,5,FALSE)-VLOOKUP($A144,main!$A$3:$H$102,6,FALSE)&gt;=main!$D$103+VLOOKUP(VLOOKUP(CE$1,main!$A$3:$I$102,7,FALSE),main!$K$26:$Q$29,4,FALSE)),1,0)</f>
        <v>0</v>
      </c>
      <c r="CF144">
        <f>IF(AND(VLOOKUP(CF$1,main!$A$3:$H$102,7,FALSE)=main!$G$104,VLOOKUP(CF$1,main!$A$3:$H$102,5,FALSE)-VLOOKUP($A144,main!$A$3:$H$102,6,FALSE)&gt;=main!$D$103+VLOOKUP(VLOOKUP(CF$1,main!$A$3:$I$102,7,FALSE),main!$K$26:$Q$29,4,FALSE)),1,0)</f>
        <v>0</v>
      </c>
      <c r="CG144">
        <f>IF(AND(VLOOKUP(CG$1,main!$A$3:$H$102,7,FALSE)=main!$G$104,VLOOKUP(CG$1,main!$A$3:$H$102,5,FALSE)-VLOOKUP($A144,main!$A$3:$H$102,6,FALSE)&gt;=main!$D$103+VLOOKUP(VLOOKUP(CG$1,main!$A$3:$I$102,7,FALSE),main!$K$26:$Q$29,4,FALSE)),1,0)</f>
        <v>0</v>
      </c>
      <c r="CH144">
        <f>IF(AND(VLOOKUP(CH$1,main!$A$3:$H$102,7,FALSE)=main!$G$104,VLOOKUP(CH$1,main!$A$3:$H$102,5,FALSE)-VLOOKUP($A144,main!$A$3:$H$102,6,FALSE)&gt;=main!$D$103+VLOOKUP(VLOOKUP(CH$1,main!$A$3:$I$102,7,FALSE),main!$K$26:$Q$29,4,FALSE)),1,0)</f>
        <v>0</v>
      </c>
      <c r="CI144">
        <f>IF(AND(VLOOKUP(CI$1,main!$A$3:$H$102,7,FALSE)=main!$G$104,VLOOKUP(CI$1,main!$A$3:$H$102,5,FALSE)-VLOOKUP($A144,main!$A$3:$H$102,6,FALSE)&gt;=main!$D$103+VLOOKUP(VLOOKUP(CI$1,main!$A$3:$I$102,7,FALSE),main!$K$26:$Q$29,4,FALSE)),1,0)</f>
        <v>0</v>
      </c>
      <c r="CJ144">
        <f>IF(AND(VLOOKUP(CJ$1,main!$A$3:$H$102,7,FALSE)=main!$G$104,VLOOKUP(CJ$1,main!$A$3:$H$102,5,FALSE)-VLOOKUP($A144,main!$A$3:$H$102,6,FALSE)&gt;=main!$D$103+VLOOKUP(VLOOKUP(CJ$1,main!$A$3:$I$102,7,FALSE),main!$K$26:$Q$29,4,FALSE)),1,0)</f>
        <v>0</v>
      </c>
      <c r="CK144">
        <f>IF(AND(VLOOKUP(CK$1,main!$A$3:$H$102,7,FALSE)=main!$G$104,VLOOKUP(CK$1,main!$A$3:$H$102,5,FALSE)-VLOOKUP($A144,main!$A$3:$H$102,6,FALSE)&gt;=main!$D$103+VLOOKUP(VLOOKUP(CK$1,main!$A$3:$I$102,7,FALSE),main!$K$26:$Q$29,4,FALSE)),1,0)</f>
        <v>0</v>
      </c>
      <c r="CL144">
        <f>IF(AND(VLOOKUP(CL$1,main!$A$3:$H$102,7,FALSE)=main!$G$104,VLOOKUP(CL$1,main!$A$3:$H$102,5,FALSE)-VLOOKUP($A144,main!$A$3:$H$102,6,FALSE)&gt;=main!$D$103+VLOOKUP(VLOOKUP(CL$1,main!$A$3:$I$102,7,FALSE),main!$K$26:$Q$29,4,FALSE)),1,0)</f>
        <v>0</v>
      </c>
      <c r="CM144">
        <f>IF(AND(VLOOKUP(CM$1,main!$A$3:$H$102,7,FALSE)=main!$G$104,VLOOKUP(CM$1,main!$A$3:$H$102,5,FALSE)-VLOOKUP($A144,main!$A$3:$H$102,6,FALSE)&gt;=main!$D$103+VLOOKUP(VLOOKUP(CM$1,main!$A$3:$I$102,7,FALSE),main!$K$26:$Q$29,4,FALSE)),1,0)</f>
        <v>0</v>
      </c>
      <c r="CN144">
        <f>IF(AND(VLOOKUP(CN$1,main!$A$3:$H$102,7,FALSE)=main!$G$104,VLOOKUP(CN$1,main!$A$3:$H$102,5,FALSE)-VLOOKUP($A144,main!$A$3:$H$102,6,FALSE)&gt;=main!$D$103+VLOOKUP(VLOOKUP(CN$1,main!$A$3:$I$102,7,FALSE),main!$K$26:$Q$29,4,FALSE)),1,0)</f>
        <v>0</v>
      </c>
      <c r="CO144">
        <f>IF(AND(VLOOKUP(CO$1,main!$A$3:$H$102,7,FALSE)=main!$G$104,VLOOKUP(CO$1,main!$A$3:$H$102,5,FALSE)-VLOOKUP($A144,main!$A$3:$H$102,6,FALSE)&gt;=main!$D$103+VLOOKUP(VLOOKUP(CO$1,main!$A$3:$I$102,7,FALSE),main!$K$26:$Q$29,4,FALSE)),1,0)</f>
        <v>0</v>
      </c>
      <c r="CP144">
        <f>IF(AND(VLOOKUP(CP$1,main!$A$3:$H$102,7,FALSE)=main!$G$104,VLOOKUP(CP$1,main!$A$3:$H$102,5,FALSE)-VLOOKUP($A144,main!$A$3:$H$102,6,FALSE)&gt;=main!$D$103+VLOOKUP(VLOOKUP(CP$1,main!$A$3:$I$102,7,FALSE),main!$K$26:$Q$29,4,FALSE)),1,0)</f>
        <v>0</v>
      </c>
      <c r="CQ144">
        <f>IF(AND(VLOOKUP(CQ$1,main!$A$3:$H$102,7,FALSE)=main!$G$104,VLOOKUP(CQ$1,main!$A$3:$H$102,5,FALSE)-VLOOKUP($A144,main!$A$3:$H$102,6,FALSE)&gt;=main!$D$103+VLOOKUP(VLOOKUP(CQ$1,main!$A$3:$I$102,7,FALSE),main!$K$26:$Q$29,4,FALSE)),1,0)</f>
        <v>0</v>
      </c>
      <c r="CR144">
        <f>IF(AND(VLOOKUP(CR$1,main!$A$3:$H$102,7,FALSE)=main!$G$104,VLOOKUP(CR$1,main!$A$3:$H$102,5,FALSE)-VLOOKUP($A144,main!$A$3:$H$102,6,FALSE)&gt;=main!$D$103+VLOOKUP(VLOOKUP(CR$1,main!$A$3:$I$102,7,FALSE),main!$K$26:$Q$29,4,FALSE)),1,0)</f>
        <v>0</v>
      </c>
      <c r="CS144">
        <f>IF(AND(VLOOKUP(CS$1,main!$A$3:$H$102,7,FALSE)=main!$G$104,VLOOKUP(CS$1,main!$A$3:$H$102,5,FALSE)-VLOOKUP($A144,main!$A$3:$H$102,6,FALSE)&gt;=main!$D$103+VLOOKUP(VLOOKUP(CS$1,main!$A$3:$I$102,7,FALSE),main!$K$26:$Q$29,4,FALSE)),1,0)</f>
        <v>0</v>
      </c>
      <c r="CT144">
        <f>IF(AND(VLOOKUP(CT$1,main!$A$3:$H$102,7,FALSE)=main!$G$104,VLOOKUP(CT$1,main!$A$3:$H$102,5,FALSE)-VLOOKUP($A144,main!$A$3:$H$102,6,FALSE)&gt;=main!$D$103+VLOOKUP(VLOOKUP(CT$1,main!$A$3:$I$102,7,FALSE),main!$K$26:$Q$29,4,FALSE)),1,0)</f>
        <v>0</v>
      </c>
      <c r="CU144">
        <f>IF(AND(VLOOKUP(CU$1,main!$A$3:$H$102,7,FALSE)=main!$G$104,VLOOKUP(CU$1,main!$A$3:$H$102,5,FALSE)-VLOOKUP($A144,main!$A$3:$H$102,6,FALSE)&gt;=main!$D$103+VLOOKUP(VLOOKUP(CU$1,main!$A$3:$I$102,7,FALSE),main!$K$26:$Q$29,4,FALSE)),1,0)</f>
        <v>0</v>
      </c>
      <c r="CV144">
        <f>IF(AND(VLOOKUP(CV$1,main!$A$3:$H$102,7,FALSE)=main!$G$104,VLOOKUP(CV$1,main!$A$3:$H$102,5,FALSE)-VLOOKUP($A144,main!$A$3:$H$102,6,FALSE)&gt;=main!$D$103+VLOOKUP(VLOOKUP(CV$1,main!$A$3:$I$102,7,FALSE),main!$K$26:$Q$29,4,FALSE)),1,0)</f>
        <v>0</v>
      </c>
      <c r="CW144">
        <f>IF(AND(VLOOKUP(CW$1,main!$A$3:$H$102,7,FALSE)=main!$G$104,VLOOKUP(CW$1,main!$A$3:$H$102,5,FALSE)-VLOOKUP($A144,main!$A$3:$H$102,6,FALSE)&gt;=main!$D$103+VLOOKUP(VLOOKUP(CW$1,main!$A$3:$I$102,7,FALSE),main!$K$26:$Q$29,4,FALSE)),1,0)</f>
        <v>0</v>
      </c>
      <c r="CX144">
        <f>IF(AND(VLOOKUP(CX$1,main!$A$3:$H$102,7,FALSE)=main!$G$104,VLOOKUP(CX$1,main!$A$3:$H$102,5,FALSE)-VLOOKUP($A144,main!$A$3:$H$102,6,FALSE)&gt;=main!$D$103+VLOOKUP(VLOOKUP(CX$1,main!$A$3:$I$102,7,FALSE),main!$K$26:$Q$29,4,FALSE)),1,0)</f>
        <v>0</v>
      </c>
      <c r="DB144" t="str">
        <f>main!$G$104</f>
        <v>Terminal A</v>
      </c>
    </row>
    <row r="145" spans="1:106" x14ac:dyDescent="0.25">
      <c r="A145" s="1">
        <v>42</v>
      </c>
      <c r="B145">
        <v>0</v>
      </c>
      <c r="C145">
        <f>IF(AND(VLOOKUP(C$1,main!$A$3:$H$102,7,FALSE)=main!$G$104,VLOOKUP(C$1,main!$A$3:$H$102,5,FALSE)-VLOOKUP($A145,main!$A$3:$H$102,6,FALSE)&gt;=main!$D$103+VLOOKUP(VLOOKUP(C$1,main!$A$3:$I$102,7,FALSE),main!$K$26:$Q$29,4,FALSE)),1,0)</f>
        <v>0</v>
      </c>
      <c r="D145">
        <f>IF(AND(VLOOKUP(D$1,main!$A$3:$H$102,7,FALSE)=main!$G$104,VLOOKUP(D$1,main!$A$3:$H$102,5,FALSE)-VLOOKUP($A145,main!$A$3:$H$102,6,FALSE)&gt;=main!$D$103+VLOOKUP(VLOOKUP(D$1,main!$A$3:$I$102,7,FALSE),main!$K$26:$Q$29,4,FALSE)),1,0)</f>
        <v>0</v>
      </c>
      <c r="E145">
        <f>IF(AND(VLOOKUP(E$1,main!$A$3:$H$102,7,FALSE)=main!$G$104,VLOOKUP(E$1,main!$A$3:$H$102,5,FALSE)-VLOOKUP($A145,main!$A$3:$H$102,6,FALSE)&gt;=main!$D$103+VLOOKUP(VLOOKUP(E$1,main!$A$3:$I$102,7,FALSE),main!$K$26:$Q$29,4,FALSE)),1,0)</f>
        <v>0</v>
      </c>
      <c r="F145">
        <f>IF(AND(VLOOKUP(F$1,main!$A$3:$H$102,7,FALSE)=main!$G$104,VLOOKUP(F$1,main!$A$3:$H$102,5,FALSE)-VLOOKUP($A145,main!$A$3:$H$102,6,FALSE)&gt;=main!$D$103+VLOOKUP(VLOOKUP(F$1,main!$A$3:$I$102,7,FALSE),main!$K$26:$Q$29,4,FALSE)),1,0)</f>
        <v>0</v>
      </c>
      <c r="G145">
        <f>IF(AND(VLOOKUP(G$1,main!$A$3:$H$102,7,FALSE)=main!$G$104,VLOOKUP(G$1,main!$A$3:$H$102,5,FALSE)-VLOOKUP($A145,main!$A$3:$H$102,6,FALSE)&gt;=main!$D$103+VLOOKUP(VLOOKUP(G$1,main!$A$3:$I$102,7,FALSE),main!$K$26:$Q$29,4,FALSE)),1,0)</f>
        <v>1</v>
      </c>
      <c r="H145">
        <f>IF(AND(VLOOKUP(H$1,main!$A$3:$H$102,7,FALSE)=main!$G$104,VLOOKUP(H$1,main!$A$3:$H$102,5,FALSE)-VLOOKUP($A145,main!$A$3:$H$102,6,FALSE)&gt;=main!$D$103+VLOOKUP(VLOOKUP(H$1,main!$A$3:$I$102,7,FALSE),main!$K$26:$Q$29,4,FALSE)),1,0)</f>
        <v>1</v>
      </c>
      <c r="I145">
        <f>IF(AND(VLOOKUP(I$1,main!$A$3:$H$102,7,FALSE)=main!$G$104,VLOOKUP(I$1,main!$A$3:$H$102,5,FALSE)-VLOOKUP($A145,main!$A$3:$H$102,6,FALSE)&gt;=main!$D$103+VLOOKUP(VLOOKUP(I$1,main!$A$3:$I$102,7,FALSE),main!$K$26:$Q$29,4,FALSE)),1,0)</f>
        <v>1</v>
      </c>
      <c r="J145">
        <f>IF(AND(VLOOKUP(J$1,main!$A$3:$H$102,7,FALSE)=main!$G$104,VLOOKUP(J$1,main!$A$3:$H$102,5,FALSE)-VLOOKUP($A145,main!$A$3:$H$102,6,FALSE)&gt;=main!$D$103+VLOOKUP(VLOOKUP(J$1,main!$A$3:$I$102,7,FALSE),main!$K$26:$Q$29,4,FALSE)),1,0)</f>
        <v>1</v>
      </c>
      <c r="K145">
        <f>IF(AND(VLOOKUP(K$1,main!$A$3:$H$102,7,FALSE)=main!$G$104,VLOOKUP(K$1,main!$A$3:$H$102,5,FALSE)-VLOOKUP($A145,main!$A$3:$H$102,6,FALSE)&gt;=main!$D$103+VLOOKUP(VLOOKUP(K$1,main!$A$3:$I$102,7,FALSE),main!$K$26:$Q$29,4,FALSE)),1,0)</f>
        <v>1</v>
      </c>
      <c r="L145">
        <f>IF(AND(VLOOKUP(L$1,main!$A$3:$H$102,7,FALSE)=main!$G$104,VLOOKUP(L$1,main!$A$3:$H$102,5,FALSE)-VLOOKUP($A145,main!$A$3:$H$102,6,FALSE)&gt;=main!$D$103+VLOOKUP(VLOOKUP(L$1,main!$A$3:$I$102,7,FALSE),main!$K$26:$Q$29,4,FALSE)),1,0)</f>
        <v>1</v>
      </c>
      <c r="M145">
        <f>IF(AND(VLOOKUP(M$1,main!$A$3:$H$102,7,FALSE)=main!$G$104,VLOOKUP(M$1,main!$A$3:$H$102,5,FALSE)-VLOOKUP($A145,main!$A$3:$H$102,6,FALSE)&gt;=main!$D$103+VLOOKUP(VLOOKUP(M$1,main!$A$3:$I$102,7,FALSE),main!$K$26:$Q$29,4,FALSE)),1,0)</f>
        <v>0</v>
      </c>
      <c r="N145">
        <f>IF(AND(VLOOKUP(N$1,main!$A$3:$H$102,7,FALSE)=main!$G$104,VLOOKUP(N$1,main!$A$3:$H$102,5,FALSE)-VLOOKUP($A145,main!$A$3:$H$102,6,FALSE)&gt;=main!$D$103+VLOOKUP(VLOOKUP(N$1,main!$A$3:$I$102,7,FALSE),main!$K$26:$Q$29,4,FALSE)),1,0)</f>
        <v>0</v>
      </c>
      <c r="O145">
        <f>IF(AND(VLOOKUP(O$1,main!$A$3:$H$102,7,FALSE)=main!$G$104,VLOOKUP(O$1,main!$A$3:$H$102,5,FALSE)-VLOOKUP($A145,main!$A$3:$H$102,6,FALSE)&gt;=main!$D$103+VLOOKUP(VLOOKUP(O$1,main!$A$3:$I$102,7,FALSE),main!$K$26:$Q$29,4,FALSE)),1,0)</f>
        <v>0</v>
      </c>
      <c r="P145">
        <f>IF(AND(VLOOKUP(P$1,main!$A$3:$H$102,7,FALSE)=main!$G$104,VLOOKUP(P$1,main!$A$3:$H$102,5,FALSE)-VLOOKUP($A145,main!$A$3:$H$102,6,FALSE)&gt;=main!$D$103+VLOOKUP(VLOOKUP(P$1,main!$A$3:$I$102,7,FALSE),main!$K$26:$Q$29,4,FALSE)),1,0)</f>
        <v>0</v>
      </c>
      <c r="Q145">
        <f>IF(AND(VLOOKUP(Q$1,main!$A$3:$H$102,7,FALSE)=main!$G$104,VLOOKUP(Q$1,main!$A$3:$H$102,5,FALSE)-VLOOKUP($A145,main!$A$3:$H$102,6,FALSE)&gt;=main!$D$103+VLOOKUP(VLOOKUP(Q$1,main!$A$3:$I$102,7,FALSE),main!$K$26:$Q$29,4,FALSE)),1,0)</f>
        <v>0</v>
      </c>
      <c r="R145">
        <f>IF(AND(VLOOKUP(R$1,main!$A$3:$H$102,7,FALSE)=main!$G$104,VLOOKUP(R$1,main!$A$3:$H$102,5,FALSE)-VLOOKUP($A145,main!$A$3:$H$102,6,FALSE)&gt;=main!$D$103+VLOOKUP(VLOOKUP(R$1,main!$A$3:$I$102,7,FALSE),main!$K$26:$Q$29,4,FALSE)),1,0)</f>
        <v>1</v>
      </c>
      <c r="S145">
        <f>IF(AND(VLOOKUP(S$1,main!$A$3:$H$102,7,FALSE)=main!$G$104,VLOOKUP(S$1,main!$A$3:$H$102,5,FALSE)-VLOOKUP($A145,main!$A$3:$H$102,6,FALSE)&gt;=main!$D$103+VLOOKUP(VLOOKUP(S$1,main!$A$3:$I$102,7,FALSE),main!$K$26:$Q$29,4,FALSE)),1,0)</f>
        <v>1</v>
      </c>
      <c r="T145">
        <f>IF(AND(VLOOKUP(T$1,main!$A$3:$H$102,7,FALSE)=main!$G$104,VLOOKUP(T$1,main!$A$3:$H$102,5,FALSE)-VLOOKUP($A145,main!$A$3:$H$102,6,FALSE)&gt;=main!$D$103+VLOOKUP(VLOOKUP(T$1,main!$A$3:$I$102,7,FALSE),main!$K$26:$Q$29,4,FALSE)),1,0)</f>
        <v>1</v>
      </c>
      <c r="U145">
        <f>IF(AND(VLOOKUP(U$1,main!$A$3:$H$102,7,FALSE)=main!$G$104,VLOOKUP(U$1,main!$A$3:$H$102,5,FALSE)-VLOOKUP($A145,main!$A$3:$H$102,6,FALSE)&gt;=main!$D$103+VLOOKUP(VLOOKUP(U$1,main!$A$3:$I$102,7,FALSE),main!$K$26:$Q$29,4,FALSE)),1,0)</f>
        <v>1</v>
      </c>
      <c r="V145">
        <f>IF(AND(VLOOKUP(V$1,main!$A$3:$H$102,7,FALSE)=main!$G$104,VLOOKUP(V$1,main!$A$3:$H$102,5,FALSE)-VLOOKUP($A145,main!$A$3:$H$102,6,FALSE)&gt;=main!$D$103+VLOOKUP(VLOOKUP(V$1,main!$A$3:$I$102,7,FALSE),main!$K$26:$Q$29,4,FALSE)),1,0)</f>
        <v>1</v>
      </c>
      <c r="W145">
        <f>IF(AND(VLOOKUP(W$1,main!$A$3:$H$102,7,FALSE)=main!$G$104,VLOOKUP(W$1,main!$A$3:$H$102,5,FALSE)-VLOOKUP($A145,main!$A$3:$H$102,6,FALSE)&gt;=main!$D$103+VLOOKUP(VLOOKUP(W$1,main!$A$3:$I$102,7,FALSE),main!$K$26:$Q$29,4,FALSE)),1,0)</f>
        <v>0</v>
      </c>
      <c r="X145">
        <f>IF(AND(VLOOKUP(X$1,main!$A$3:$H$102,7,FALSE)=main!$G$104,VLOOKUP(X$1,main!$A$3:$H$102,5,FALSE)-VLOOKUP($A145,main!$A$3:$H$102,6,FALSE)&gt;=main!$D$103+VLOOKUP(VLOOKUP(X$1,main!$A$3:$I$102,7,FALSE),main!$K$26:$Q$29,4,FALSE)),1,0)</f>
        <v>0</v>
      </c>
      <c r="Y145">
        <f>IF(AND(VLOOKUP(Y$1,main!$A$3:$H$102,7,FALSE)=main!$G$104,VLOOKUP(Y$1,main!$A$3:$H$102,5,FALSE)-VLOOKUP($A145,main!$A$3:$H$102,6,FALSE)&gt;=main!$D$103+VLOOKUP(VLOOKUP(Y$1,main!$A$3:$I$102,7,FALSE),main!$K$26:$Q$29,4,FALSE)),1,0)</f>
        <v>0</v>
      </c>
      <c r="Z145">
        <f>IF(AND(VLOOKUP(Z$1,main!$A$3:$H$102,7,FALSE)=main!$G$104,VLOOKUP(Z$1,main!$A$3:$H$102,5,FALSE)-VLOOKUP($A145,main!$A$3:$H$102,6,FALSE)&gt;=main!$D$103+VLOOKUP(VLOOKUP(Z$1,main!$A$3:$I$102,7,FALSE),main!$K$26:$Q$29,4,FALSE)),1,0)</f>
        <v>1</v>
      </c>
      <c r="AA145">
        <f>IF(AND(VLOOKUP(AA$1,main!$A$3:$H$102,7,FALSE)=main!$G$104,VLOOKUP(AA$1,main!$A$3:$H$102,5,FALSE)-VLOOKUP($A145,main!$A$3:$H$102,6,FALSE)&gt;=main!$D$103+VLOOKUP(VLOOKUP(AA$1,main!$A$3:$I$102,7,FALSE),main!$K$26:$Q$29,4,FALSE)),1,0)</f>
        <v>1</v>
      </c>
      <c r="AB145">
        <f>IF(AND(VLOOKUP(AB$1,main!$A$3:$H$102,7,FALSE)=main!$G$104,VLOOKUP(AB$1,main!$A$3:$H$102,5,FALSE)-VLOOKUP($A145,main!$A$3:$H$102,6,FALSE)&gt;=main!$D$103+VLOOKUP(VLOOKUP(AB$1,main!$A$3:$I$102,7,FALSE),main!$K$26:$Q$29,4,FALSE)),1,0)</f>
        <v>0</v>
      </c>
      <c r="AC145">
        <f>IF(AND(VLOOKUP(AC$1,main!$A$3:$H$102,7,FALSE)=main!$G$104,VLOOKUP(AC$1,main!$A$3:$H$102,5,FALSE)-VLOOKUP($A145,main!$A$3:$H$102,6,FALSE)&gt;=main!$D$103+VLOOKUP(VLOOKUP(AC$1,main!$A$3:$I$102,7,FALSE),main!$K$26:$Q$29,4,FALSE)),1,0)</f>
        <v>0</v>
      </c>
      <c r="AD145">
        <f>IF(AND(VLOOKUP(AD$1,main!$A$3:$H$102,7,FALSE)=main!$G$104,VLOOKUP(AD$1,main!$A$3:$H$102,5,FALSE)-VLOOKUP($A145,main!$A$3:$H$102,6,FALSE)&gt;=main!$D$103+VLOOKUP(VLOOKUP(AD$1,main!$A$3:$I$102,7,FALSE),main!$K$26:$Q$29,4,FALSE)),1,0)</f>
        <v>0</v>
      </c>
      <c r="AE145">
        <f>IF(AND(VLOOKUP(AE$1,main!$A$3:$H$102,7,FALSE)=main!$G$104,VLOOKUP(AE$1,main!$A$3:$H$102,5,FALSE)-VLOOKUP($A145,main!$A$3:$H$102,6,FALSE)&gt;=main!$D$103+VLOOKUP(VLOOKUP(AE$1,main!$A$3:$I$102,7,FALSE),main!$K$26:$Q$29,4,FALSE)),1,0)</f>
        <v>1</v>
      </c>
      <c r="AF145">
        <f>IF(AND(VLOOKUP(AF$1,main!$A$3:$H$102,7,FALSE)=main!$G$104,VLOOKUP(AF$1,main!$A$3:$H$102,5,FALSE)-VLOOKUP($A145,main!$A$3:$H$102,6,FALSE)&gt;=main!$D$103+VLOOKUP(VLOOKUP(AF$1,main!$A$3:$I$102,7,FALSE),main!$K$26:$Q$29,4,FALSE)),1,0)</f>
        <v>1</v>
      </c>
      <c r="AG145">
        <f>IF(AND(VLOOKUP(AG$1,main!$A$3:$H$102,7,FALSE)=main!$G$104,VLOOKUP(AG$1,main!$A$3:$H$102,5,FALSE)-VLOOKUP($A145,main!$A$3:$H$102,6,FALSE)&gt;=main!$D$103+VLOOKUP(VLOOKUP(AG$1,main!$A$3:$I$102,7,FALSE),main!$K$26:$Q$29,4,FALSE)),1,0)</f>
        <v>0</v>
      </c>
      <c r="AH145">
        <f>IF(AND(VLOOKUP(AH$1,main!$A$3:$H$102,7,FALSE)=main!$G$104,VLOOKUP(AH$1,main!$A$3:$H$102,5,FALSE)-VLOOKUP($A145,main!$A$3:$H$102,6,FALSE)&gt;=main!$D$103+VLOOKUP(VLOOKUP(AH$1,main!$A$3:$I$102,7,FALSE),main!$K$26:$Q$29,4,FALSE)),1,0)</f>
        <v>0</v>
      </c>
      <c r="AI145">
        <f>IF(AND(VLOOKUP(AI$1,main!$A$3:$H$102,7,FALSE)=main!$G$104,VLOOKUP(AI$1,main!$A$3:$H$102,5,FALSE)-VLOOKUP($A145,main!$A$3:$H$102,6,FALSE)&gt;=main!$D$103+VLOOKUP(VLOOKUP(AI$1,main!$A$3:$I$102,7,FALSE),main!$K$26:$Q$29,4,FALSE)),1,0)</f>
        <v>0</v>
      </c>
      <c r="AJ145">
        <f>IF(AND(VLOOKUP(AJ$1,main!$A$3:$H$102,7,FALSE)=main!$G$104,VLOOKUP(AJ$1,main!$A$3:$H$102,5,FALSE)-VLOOKUP($A145,main!$A$3:$H$102,6,FALSE)&gt;=main!$D$103+VLOOKUP(VLOOKUP(AJ$1,main!$A$3:$I$102,7,FALSE),main!$K$26:$Q$29,4,FALSE)),1,0)</f>
        <v>0</v>
      </c>
      <c r="AK145">
        <f>IF(AND(VLOOKUP(AK$1,main!$A$3:$H$102,7,FALSE)=main!$G$104,VLOOKUP(AK$1,main!$A$3:$H$102,5,FALSE)-VLOOKUP($A145,main!$A$3:$H$102,6,FALSE)&gt;=main!$D$103+VLOOKUP(VLOOKUP(AK$1,main!$A$3:$I$102,7,FALSE),main!$K$26:$Q$29,4,FALSE)),1,0)</f>
        <v>0</v>
      </c>
      <c r="AL145">
        <f>IF(AND(VLOOKUP(AL$1,main!$A$3:$H$102,7,FALSE)=main!$G$104,VLOOKUP(AL$1,main!$A$3:$H$102,5,FALSE)-VLOOKUP($A145,main!$A$3:$H$102,6,FALSE)&gt;=main!$D$103+VLOOKUP(VLOOKUP(AL$1,main!$A$3:$I$102,7,FALSE),main!$K$26:$Q$29,4,FALSE)),1,0)</f>
        <v>0</v>
      </c>
      <c r="AM145">
        <f>IF(AND(VLOOKUP(AM$1,main!$A$3:$H$102,7,FALSE)=main!$G$104,VLOOKUP(AM$1,main!$A$3:$H$102,5,FALSE)-VLOOKUP($A145,main!$A$3:$H$102,6,FALSE)&gt;=main!$D$103+VLOOKUP(VLOOKUP(AM$1,main!$A$3:$I$102,7,FALSE),main!$K$26:$Q$29,4,FALSE)),1,0)</f>
        <v>0</v>
      </c>
      <c r="AN145">
        <f>IF(AND(VLOOKUP(AN$1,main!$A$3:$H$102,7,FALSE)=main!$G$104,VLOOKUP(AN$1,main!$A$3:$H$102,5,FALSE)-VLOOKUP($A145,main!$A$3:$H$102,6,FALSE)&gt;=main!$D$103+VLOOKUP(VLOOKUP(AN$1,main!$A$3:$I$102,7,FALSE),main!$K$26:$Q$29,4,FALSE)),1,0)</f>
        <v>0</v>
      </c>
      <c r="AO145">
        <f>IF(AND(VLOOKUP(AO$1,main!$A$3:$H$102,7,FALSE)=main!$G$104,VLOOKUP(AO$1,main!$A$3:$H$102,5,FALSE)-VLOOKUP($A145,main!$A$3:$H$102,6,FALSE)&gt;=main!$D$103+VLOOKUP(VLOOKUP(AO$1,main!$A$3:$I$102,7,FALSE),main!$K$26:$Q$29,4,FALSE)),1,0)</f>
        <v>0</v>
      </c>
      <c r="AP145">
        <f>IF(AND(VLOOKUP(AP$1,main!$A$3:$H$102,7,FALSE)=main!$G$104,VLOOKUP(AP$1,main!$A$3:$H$102,5,FALSE)-VLOOKUP($A145,main!$A$3:$H$102,6,FALSE)&gt;=main!$D$103+VLOOKUP(VLOOKUP(AP$1,main!$A$3:$I$102,7,FALSE),main!$K$26:$Q$29,4,FALSE)),1,0)</f>
        <v>0</v>
      </c>
      <c r="AQ145">
        <f>IF(AND(VLOOKUP(AQ$1,main!$A$3:$H$102,7,FALSE)=main!$G$104,VLOOKUP(AQ$1,main!$A$3:$H$102,5,FALSE)-VLOOKUP($A145,main!$A$3:$H$102,6,FALSE)&gt;=main!$D$103+VLOOKUP(VLOOKUP(AQ$1,main!$A$3:$I$102,7,FALSE),main!$K$26:$Q$29,4,FALSE)),1,0)</f>
        <v>0</v>
      </c>
      <c r="AR145">
        <f>IF(AND(VLOOKUP(AR$1,main!$A$3:$H$102,7,FALSE)=main!$G$104,VLOOKUP(AR$1,main!$A$3:$H$102,5,FALSE)-VLOOKUP($A145,main!$A$3:$H$102,6,FALSE)&gt;=main!$D$103+VLOOKUP(VLOOKUP(AR$1,main!$A$3:$I$102,7,FALSE),main!$K$26:$Q$29,4,FALSE)),1,0)</f>
        <v>0</v>
      </c>
      <c r="AS145">
        <f>IF(AND(VLOOKUP(AS$1,main!$A$3:$H$102,7,FALSE)=main!$G$104,VLOOKUP(AS$1,main!$A$3:$H$102,5,FALSE)-VLOOKUP($A145,main!$A$3:$H$102,6,FALSE)&gt;=main!$D$103+VLOOKUP(VLOOKUP(AS$1,main!$A$3:$I$102,7,FALSE),main!$K$26:$Q$29,4,FALSE)),1,0)</f>
        <v>0</v>
      </c>
      <c r="AT145">
        <f>IF(AND(VLOOKUP(AT$1,main!$A$3:$H$102,7,FALSE)=main!$G$104,VLOOKUP(AT$1,main!$A$3:$H$102,5,FALSE)-VLOOKUP($A145,main!$A$3:$H$102,6,FALSE)&gt;=main!$D$103+VLOOKUP(VLOOKUP(AT$1,main!$A$3:$I$102,7,FALSE),main!$K$26:$Q$29,4,FALSE)),1,0)</f>
        <v>0</v>
      </c>
      <c r="AU145">
        <f>IF(AND(VLOOKUP(AU$1,main!$A$3:$H$102,7,FALSE)=main!$G$104,VLOOKUP(AU$1,main!$A$3:$H$102,5,FALSE)-VLOOKUP($A145,main!$A$3:$H$102,6,FALSE)&gt;=main!$D$103+VLOOKUP(VLOOKUP(AU$1,main!$A$3:$I$102,7,FALSE),main!$K$26:$Q$29,4,FALSE)),1,0)</f>
        <v>0</v>
      </c>
      <c r="AV145">
        <f>IF(AND(VLOOKUP(AV$1,main!$A$3:$H$102,7,FALSE)=main!$G$104,VLOOKUP(AV$1,main!$A$3:$H$102,5,FALSE)-VLOOKUP($A145,main!$A$3:$H$102,6,FALSE)&gt;=main!$D$103+VLOOKUP(VLOOKUP(AV$1,main!$A$3:$I$102,7,FALSE),main!$K$26:$Q$29,4,FALSE)),1,0)</f>
        <v>0</v>
      </c>
      <c r="AW145">
        <f>IF(AND(VLOOKUP(AW$1,main!$A$3:$H$102,7,FALSE)=main!$G$104,VLOOKUP(AW$1,main!$A$3:$H$102,5,FALSE)-VLOOKUP($A145,main!$A$3:$H$102,6,FALSE)&gt;=main!$D$103+VLOOKUP(VLOOKUP(AW$1,main!$A$3:$I$102,7,FALSE),main!$K$26:$Q$29,4,FALSE)),1,0)</f>
        <v>0</v>
      </c>
      <c r="AX145">
        <f>IF(AND(VLOOKUP(AX$1,main!$A$3:$H$102,7,FALSE)=main!$G$104,VLOOKUP(AX$1,main!$A$3:$H$102,5,FALSE)-VLOOKUP($A145,main!$A$3:$H$102,6,FALSE)&gt;=main!$D$103+VLOOKUP(VLOOKUP(AX$1,main!$A$3:$I$102,7,FALSE),main!$K$26:$Q$29,4,FALSE)),1,0)</f>
        <v>0</v>
      </c>
      <c r="AY145">
        <f>IF(AND(VLOOKUP(AY$1,main!$A$3:$H$102,7,FALSE)=main!$G$104,VLOOKUP(AY$1,main!$A$3:$H$102,5,FALSE)-VLOOKUP($A145,main!$A$3:$H$102,6,FALSE)&gt;=main!$D$103+VLOOKUP(VLOOKUP(AY$1,main!$A$3:$I$102,7,FALSE),main!$K$26:$Q$29,4,FALSE)),1,0)</f>
        <v>0</v>
      </c>
      <c r="AZ145">
        <f>IF(AND(VLOOKUP(AZ$1,main!$A$3:$H$102,7,FALSE)=main!$G$104,VLOOKUP(AZ$1,main!$A$3:$H$102,5,FALSE)-VLOOKUP($A145,main!$A$3:$H$102,6,FALSE)&gt;=main!$D$103+VLOOKUP(VLOOKUP(AZ$1,main!$A$3:$I$102,7,FALSE),main!$K$26:$Q$29,4,FALSE)),1,0)</f>
        <v>0</v>
      </c>
      <c r="BA145">
        <f>IF(AND(VLOOKUP(BA$1,main!$A$3:$H$102,7,FALSE)=main!$G$104,VLOOKUP(BA$1,main!$A$3:$H$102,5,FALSE)-VLOOKUP($A145,main!$A$3:$H$102,6,FALSE)&gt;=main!$D$103+VLOOKUP(VLOOKUP(BA$1,main!$A$3:$I$102,7,FALSE),main!$K$26:$Q$29,4,FALSE)),1,0)</f>
        <v>0</v>
      </c>
      <c r="BB145">
        <f>IF(AND(VLOOKUP(BB$1,main!$A$3:$H$102,7,FALSE)=main!$G$104,VLOOKUP(BB$1,main!$A$3:$H$102,5,FALSE)-VLOOKUP($A145,main!$A$3:$H$102,6,FALSE)&gt;=main!$D$103+VLOOKUP(VLOOKUP(BB$1,main!$A$3:$I$102,7,FALSE),main!$K$26:$Q$29,4,FALSE)),1,0)</f>
        <v>0</v>
      </c>
      <c r="BC145">
        <f>IF(AND(VLOOKUP(BC$1,main!$A$3:$H$102,7,FALSE)=main!$G$104,VLOOKUP(BC$1,main!$A$3:$H$102,5,FALSE)-VLOOKUP($A145,main!$A$3:$H$102,6,FALSE)&gt;=main!$D$103+VLOOKUP(VLOOKUP(BC$1,main!$A$3:$I$102,7,FALSE),main!$K$26:$Q$29,4,FALSE)),1,0)</f>
        <v>0</v>
      </c>
      <c r="BD145">
        <f>IF(AND(VLOOKUP(BD$1,main!$A$3:$H$102,7,FALSE)=main!$G$104,VLOOKUP(BD$1,main!$A$3:$H$102,5,FALSE)-VLOOKUP($A145,main!$A$3:$H$102,6,FALSE)&gt;=main!$D$103+VLOOKUP(VLOOKUP(BD$1,main!$A$3:$I$102,7,FALSE),main!$K$26:$Q$29,4,FALSE)),1,0)</f>
        <v>0</v>
      </c>
      <c r="BE145">
        <f>IF(AND(VLOOKUP(BE$1,main!$A$3:$H$102,7,FALSE)=main!$G$104,VLOOKUP(BE$1,main!$A$3:$H$102,5,FALSE)-VLOOKUP($A145,main!$A$3:$H$102,6,FALSE)&gt;=main!$D$103+VLOOKUP(VLOOKUP(BE$1,main!$A$3:$I$102,7,FALSE),main!$K$26:$Q$29,4,FALSE)),1,0)</f>
        <v>0</v>
      </c>
      <c r="BF145">
        <f>IF(AND(VLOOKUP(BF$1,main!$A$3:$H$102,7,FALSE)=main!$G$104,VLOOKUP(BF$1,main!$A$3:$H$102,5,FALSE)-VLOOKUP($A145,main!$A$3:$H$102,6,FALSE)&gt;=main!$D$103+VLOOKUP(VLOOKUP(BF$1,main!$A$3:$I$102,7,FALSE),main!$K$26:$Q$29,4,FALSE)),1,0)</f>
        <v>0</v>
      </c>
      <c r="BG145">
        <f>IF(AND(VLOOKUP(BG$1,main!$A$3:$H$102,7,FALSE)=main!$G$104,VLOOKUP(BG$1,main!$A$3:$H$102,5,FALSE)-VLOOKUP($A145,main!$A$3:$H$102,6,FALSE)&gt;=main!$D$103+VLOOKUP(VLOOKUP(BG$1,main!$A$3:$I$102,7,FALSE),main!$K$26:$Q$29,4,FALSE)),1,0)</f>
        <v>0</v>
      </c>
      <c r="BH145">
        <f>IF(AND(VLOOKUP(BH$1,main!$A$3:$H$102,7,FALSE)=main!$G$104,VLOOKUP(BH$1,main!$A$3:$H$102,5,FALSE)-VLOOKUP($A145,main!$A$3:$H$102,6,FALSE)&gt;=main!$D$103+VLOOKUP(VLOOKUP(BH$1,main!$A$3:$I$102,7,FALSE),main!$K$26:$Q$29,4,FALSE)),1,0)</f>
        <v>0</v>
      </c>
      <c r="BI145">
        <f>IF(AND(VLOOKUP(BI$1,main!$A$3:$H$102,7,FALSE)=main!$G$104,VLOOKUP(BI$1,main!$A$3:$H$102,5,FALSE)-VLOOKUP($A145,main!$A$3:$H$102,6,FALSE)&gt;=main!$D$103+VLOOKUP(VLOOKUP(BI$1,main!$A$3:$I$102,7,FALSE),main!$K$26:$Q$29,4,FALSE)),1,0)</f>
        <v>0</v>
      </c>
      <c r="BJ145">
        <f>IF(AND(VLOOKUP(BJ$1,main!$A$3:$H$102,7,FALSE)=main!$G$104,VLOOKUP(BJ$1,main!$A$3:$H$102,5,FALSE)-VLOOKUP($A145,main!$A$3:$H$102,6,FALSE)&gt;=main!$D$103+VLOOKUP(VLOOKUP(BJ$1,main!$A$3:$I$102,7,FALSE),main!$K$26:$Q$29,4,FALSE)),1,0)</f>
        <v>0</v>
      </c>
      <c r="BK145">
        <f>IF(AND(VLOOKUP(BK$1,main!$A$3:$H$102,7,FALSE)=main!$G$104,VLOOKUP(BK$1,main!$A$3:$H$102,5,FALSE)-VLOOKUP($A145,main!$A$3:$H$102,6,FALSE)&gt;=main!$D$103+VLOOKUP(VLOOKUP(BK$1,main!$A$3:$I$102,7,FALSE),main!$K$26:$Q$29,4,FALSE)),1,0)</f>
        <v>0</v>
      </c>
      <c r="BL145">
        <f>IF(AND(VLOOKUP(BL$1,main!$A$3:$H$102,7,FALSE)=main!$G$104,VLOOKUP(BL$1,main!$A$3:$H$102,5,FALSE)-VLOOKUP($A145,main!$A$3:$H$102,6,FALSE)&gt;=main!$D$103+VLOOKUP(VLOOKUP(BL$1,main!$A$3:$I$102,7,FALSE),main!$K$26:$Q$29,4,FALSE)),1,0)</f>
        <v>0</v>
      </c>
      <c r="BM145">
        <f>IF(AND(VLOOKUP(BM$1,main!$A$3:$H$102,7,FALSE)=main!$G$104,VLOOKUP(BM$1,main!$A$3:$H$102,5,FALSE)-VLOOKUP($A145,main!$A$3:$H$102,6,FALSE)&gt;=main!$D$103+VLOOKUP(VLOOKUP(BM$1,main!$A$3:$I$102,7,FALSE),main!$K$26:$Q$29,4,FALSE)),1,0)</f>
        <v>0</v>
      </c>
      <c r="BN145">
        <f>IF(AND(VLOOKUP(BN$1,main!$A$3:$H$102,7,FALSE)=main!$G$104,VLOOKUP(BN$1,main!$A$3:$H$102,5,FALSE)-VLOOKUP($A145,main!$A$3:$H$102,6,FALSE)&gt;=main!$D$103+VLOOKUP(VLOOKUP(BN$1,main!$A$3:$I$102,7,FALSE),main!$K$26:$Q$29,4,FALSE)),1,0)</f>
        <v>0</v>
      </c>
      <c r="BO145">
        <f>IF(AND(VLOOKUP(BO$1,main!$A$3:$H$102,7,FALSE)=main!$G$104,VLOOKUP(BO$1,main!$A$3:$H$102,5,FALSE)-VLOOKUP($A145,main!$A$3:$H$102,6,FALSE)&gt;=main!$D$103+VLOOKUP(VLOOKUP(BO$1,main!$A$3:$I$102,7,FALSE),main!$K$26:$Q$29,4,FALSE)),1,0)</f>
        <v>0</v>
      </c>
      <c r="BP145">
        <f>IF(AND(VLOOKUP(BP$1,main!$A$3:$H$102,7,FALSE)=main!$G$104,VLOOKUP(BP$1,main!$A$3:$H$102,5,FALSE)-VLOOKUP($A145,main!$A$3:$H$102,6,FALSE)&gt;=main!$D$103+VLOOKUP(VLOOKUP(BP$1,main!$A$3:$I$102,7,FALSE),main!$K$26:$Q$29,4,FALSE)),1,0)</f>
        <v>0</v>
      </c>
      <c r="BQ145">
        <f>IF(AND(VLOOKUP(BQ$1,main!$A$3:$H$102,7,FALSE)=main!$G$104,VLOOKUP(BQ$1,main!$A$3:$H$102,5,FALSE)-VLOOKUP($A145,main!$A$3:$H$102,6,FALSE)&gt;=main!$D$103+VLOOKUP(VLOOKUP(BQ$1,main!$A$3:$I$102,7,FALSE),main!$K$26:$Q$29,4,FALSE)),1,0)</f>
        <v>0</v>
      </c>
      <c r="BR145">
        <f>IF(AND(VLOOKUP(BR$1,main!$A$3:$H$102,7,FALSE)=main!$G$104,VLOOKUP(BR$1,main!$A$3:$H$102,5,FALSE)-VLOOKUP($A145,main!$A$3:$H$102,6,FALSE)&gt;=main!$D$103+VLOOKUP(VLOOKUP(BR$1,main!$A$3:$I$102,7,FALSE),main!$K$26:$Q$29,4,FALSE)),1,0)</f>
        <v>0</v>
      </c>
      <c r="BS145">
        <f>IF(AND(VLOOKUP(BS$1,main!$A$3:$H$102,7,FALSE)=main!$G$104,VLOOKUP(BS$1,main!$A$3:$H$102,5,FALSE)-VLOOKUP($A145,main!$A$3:$H$102,6,FALSE)&gt;=main!$D$103+VLOOKUP(VLOOKUP(BS$1,main!$A$3:$I$102,7,FALSE),main!$K$26:$Q$29,4,FALSE)),1,0)</f>
        <v>0</v>
      </c>
      <c r="BT145">
        <f>IF(AND(VLOOKUP(BT$1,main!$A$3:$H$102,7,FALSE)=main!$G$104,VLOOKUP(BT$1,main!$A$3:$H$102,5,FALSE)-VLOOKUP($A145,main!$A$3:$H$102,6,FALSE)&gt;=main!$D$103+VLOOKUP(VLOOKUP(BT$1,main!$A$3:$I$102,7,FALSE),main!$K$26:$Q$29,4,FALSE)),1,0)</f>
        <v>0</v>
      </c>
      <c r="BU145">
        <f>IF(AND(VLOOKUP(BU$1,main!$A$3:$H$102,7,FALSE)=main!$G$104,VLOOKUP(BU$1,main!$A$3:$H$102,5,FALSE)-VLOOKUP($A145,main!$A$3:$H$102,6,FALSE)&gt;=main!$D$103+VLOOKUP(VLOOKUP(BU$1,main!$A$3:$I$102,7,FALSE),main!$K$26:$Q$29,4,FALSE)),1,0)</f>
        <v>0</v>
      </c>
      <c r="BV145">
        <f>IF(AND(VLOOKUP(BV$1,main!$A$3:$H$102,7,FALSE)=main!$G$104,VLOOKUP(BV$1,main!$A$3:$H$102,5,FALSE)-VLOOKUP($A145,main!$A$3:$H$102,6,FALSE)&gt;=main!$D$103+VLOOKUP(VLOOKUP(BV$1,main!$A$3:$I$102,7,FALSE),main!$K$26:$Q$29,4,FALSE)),1,0)</f>
        <v>0</v>
      </c>
      <c r="BW145">
        <f>IF(AND(VLOOKUP(BW$1,main!$A$3:$H$102,7,FALSE)=main!$G$104,VLOOKUP(BW$1,main!$A$3:$H$102,5,FALSE)-VLOOKUP($A145,main!$A$3:$H$102,6,FALSE)&gt;=main!$D$103+VLOOKUP(VLOOKUP(BW$1,main!$A$3:$I$102,7,FALSE),main!$K$26:$Q$29,4,FALSE)),1,0)</f>
        <v>0</v>
      </c>
      <c r="BX145">
        <f>IF(AND(VLOOKUP(BX$1,main!$A$3:$H$102,7,FALSE)=main!$G$104,VLOOKUP(BX$1,main!$A$3:$H$102,5,FALSE)-VLOOKUP($A145,main!$A$3:$H$102,6,FALSE)&gt;=main!$D$103+VLOOKUP(VLOOKUP(BX$1,main!$A$3:$I$102,7,FALSE),main!$K$26:$Q$29,4,FALSE)),1,0)</f>
        <v>0</v>
      </c>
      <c r="BY145">
        <f>IF(AND(VLOOKUP(BY$1,main!$A$3:$H$102,7,FALSE)=main!$G$104,VLOOKUP(BY$1,main!$A$3:$H$102,5,FALSE)-VLOOKUP($A145,main!$A$3:$H$102,6,FALSE)&gt;=main!$D$103+VLOOKUP(VLOOKUP(BY$1,main!$A$3:$I$102,7,FALSE),main!$K$26:$Q$29,4,FALSE)),1,0)</f>
        <v>0</v>
      </c>
      <c r="BZ145">
        <f>IF(AND(VLOOKUP(BZ$1,main!$A$3:$H$102,7,FALSE)=main!$G$104,VLOOKUP(BZ$1,main!$A$3:$H$102,5,FALSE)-VLOOKUP($A145,main!$A$3:$H$102,6,FALSE)&gt;=main!$D$103+VLOOKUP(VLOOKUP(BZ$1,main!$A$3:$I$102,7,FALSE),main!$K$26:$Q$29,4,FALSE)),1,0)</f>
        <v>0</v>
      </c>
      <c r="CA145">
        <f>IF(AND(VLOOKUP(CA$1,main!$A$3:$H$102,7,FALSE)=main!$G$104,VLOOKUP(CA$1,main!$A$3:$H$102,5,FALSE)-VLOOKUP($A145,main!$A$3:$H$102,6,FALSE)&gt;=main!$D$103+VLOOKUP(VLOOKUP(CA$1,main!$A$3:$I$102,7,FALSE),main!$K$26:$Q$29,4,FALSE)),1,0)</f>
        <v>0</v>
      </c>
      <c r="CB145">
        <f>IF(AND(VLOOKUP(CB$1,main!$A$3:$H$102,7,FALSE)=main!$G$104,VLOOKUP(CB$1,main!$A$3:$H$102,5,FALSE)-VLOOKUP($A145,main!$A$3:$H$102,6,FALSE)&gt;=main!$D$103+VLOOKUP(VLOOKUP(CB$1,main!$A$3:$I$102,7,FALSE),main!$K$26:$Q$29,4,FALSE)),1,0)</f>
        <v>0</v>
      </c>
      <c r="CC145">
        <f>IF(AND(VLOOKUP(CC$1,main!$A$3:$H$102,7,FALSE)=main!$G$104,VLOOKUP(CC$1,main!$A$3:$H$102,5,FALSE)-VLOOKUP($A145,main!$A$3:$H$102,6,FALSE)&gt;=main!$D$103+VLOOKUP(VLOOKUP(CC$1,main!$A$3:$I$102,7,FALSE),main!$K$26:$Q$29,4,FALSE)),1,0)</f>
        <v>0</v>
      </c>
      <c r="CD145">
        <f>IF(AND(VLOOKUP(CD$1,main!$A$3:$H$102,7,FALSE)=main!$G$104,VLOOKUP(CD$1,main!$A$3:$H$102,5,FALSE)-VLOOKUP($A145,main!$A$3:$H$102,6,FALSE)&gt;=main!$D$103+VLOOKUP(VLOOKUP(CD$1,main!$A$3:$I$102,7,FALSE),main!$K$26:$Q$29,4,FALSE)),1,0)</f>
        <v>0</v>
      </c>
      <c r="CE145">
        <f>IF(AND(VLOOKUP(CE$1,main!$A$3:$H$102,7,FALSE)=main!$G$104,VLOOKUP(CE$1,main!$A$3:$H$102,5,FALSE)-VLOOKUP($A145,main!$A$3:$H$102,6,FALSE)&gt;=main!$D$103+VLOOKUP(VLOOKUP(CE$1,main!$A$3:$I$102,7,FALSE),main!$K$26:$Q$29,4,FALSE)),1,0)</f>
        <v>0</v>
      </c>
      <c r="CF145">
        <f>IF(AND(VLOOKUP(CF$1,main!$A$3:$H$102,7,FALSE)=main!$G$104,VLOOKUP(CF$1,main!$A$3:$H$102,5,FALSE)-VLOOKUP($A145,main!$A$3:$H$102,6,FALSE)&gt;=main!$D$103+VLOOKUP(VLOOKUP(CF$1,main!$A$3:$I$102,7,FALSE),main!$K$26:$Q$29,4,FALSE)),1,0)</f>
        <v>0</v>
      </c>
      <c r="CG145">
        <f>IF(AND(VLOOKUP(CG$1,main!$A$3:$H$102,7,FALSE)=main!$G$104,VLOOKUP(CG$1,main!$A$3:$H$102,5,FALSE)-VLOOKUP($A145,main!$A$3:$H$102,6,FALSE)&gt;=main!$D$103+VLOOKUP(VLOOKUP(CG$1,main!$A$3:$I$102,7,FALSE),main!$K$26:$Q$29,4,FALSE)),1,0)</f>
        <v>0</v>
      </c>
      <c r="CH145">
        <f>IF(AND(VLOOKUP(CH$1,main!$A$3:$H$102,7,FALSE)=main!$G$104,VLOOKUP(CH$1,main!$A$3:$H$102,5,FALSE)-VLOOKUP($A145,main!$A$3:$H$102,6,FALSE)&gt;=main!$D$103+VLOOKUP(VLOOKUP(CH$1,main!$A$3:$I$102,7,FALSE),main!$K$26:$Q$29,4,FALSE)),1,0)</f>
        <v>0</v>
      </c>
      <c r="CI145">
        <f>IF(AND(VLOOKUP(CI$1,main!$A$3:$H$102,7,FALSE)=main!$G$104,VLOOKUP(CI$1,main!$A$3:$H$102,5,FALSE)-VLOOKUP($A145,main!$A$3:$H$102,6,FALSE)&gt;=main!$D$103+VLOOKUP(VLOOKUP(CI$1,main!$A$3:$I$102,7,FALSE),main!$K$26:$Q$29,4,FALSE)),1,0)</f>
        <v>0</v>
      </c>
      <c r="CJ145">
        <f>IF(AND(VLOOKUP(CJ$1,main!$A$3:$H$102,7,FALSE)=main!$G$104,VLOOKUP(CJ$1,main!$A$3:$H$102,5,FALSE)-VLOOKUP($A145,main!$A$3:$H$102,6,FALSE)&gt;=main!$D$103+VLOOKUP(VLOOKUP(CJ$1,main!$A$3:$I$102,7,FALSE),main!$K$26:$Q$29,4,FALSE)),1,0)</f>
        <v>0</v>
      </c>
      <c r="CK145">
        <f>IF(AND(VLOOKUP(CK$1,main!$A$3:$H$102,7,FALSE)=main!$G$104,VLOOKUP(CK$1,main!$A$3:$H$102,5,FALSE)-VLOOKUP($A145,main!$A$3:$H$102,6,FALSE)&gt;=main!$D$103+VLOOKUP(VLOOKUP(CK$1,main!$A$3:$I$102,7,FALSE),main!$K$26:$Q$29,4,FALSE)),1,0)</f>
        <v>0</v>
      </c>
      <c r="CL145">
        <f>IF(AND(VLOOKUP(CL$1,main!$A$3:$H$102,7,FALSE)=main!$G$104,VLOOKUP(CL$1,main!$A$3:$H$102,5,FALSE)-VLOOKUP($A145,main!$A$3:$H$102,6,FALSE)&gt;=main!$D$103+VLOOKUP(VLOOKUP(CL$1,main!$A$3:$I$102,7,FALSE),main!$K$26:$Q$29,4,FALSE)),1,0)</f>
        <v>0</v>
      </c>
      <c r="CM145">
        <f>IF(AND(VLOOKUP(CM$1,main!$A$3:$H$102,7,FALSE)=main!$G$104,VLOOKUP(CM$1,main!$A$3:$H$102,5,FALSE)-VLOOKUP($A145,main!$A$3:$H$102,6,FALSE)&gt;=main!$D$103+VLOOKUP(VLOOKUP(CM$1,main!$A$3:$I$102,7,FALSE),main!$K$26:$Q$29,4,FALSE)),1,0)</f>
        <v>0</v>
      </c>
      <c r="CN145">
        <f>IF(AND(VLOOKUP(CN$1,main!$A$3:$H$102,7,FALSE)=main!$G$104,VLOOKUP(CN$1,main!$A$3:$H$102,5,FALSE)-VLOOKUP($A145,main!$A$3:$H$102,6,FALSE)&gt;=main!$D$103+VLOOKUP(VLOOKUP(CN$1,main!$A$3:$I$102,7,FALSE),main!$K$26:$Q$29,4,FALSE)),1,0)</f>
        <v>0</v>
      </c>
      <c r="CO145">
        <f>IF(AND(VLOOKUP(CO$1,main!$A$3:$H$102,7,FALSE)=main!$G$104,VLOOKUP(CO$1,main!$A$3:$H$102,5,FALSE)-VLOOKUP($A145,main!$A$3:$H$102,6,FALSE)&gt;=main!$D$103+VLOOKUP(VLOOKUP(CO$1,main!$A$3:$I$102,7,FALSE),main!$K$26:$Q$29,4,FALSE)),1,0)</f>
        <v>0</v>
      </c>
      <c r="CP145">
        <f>IF(AND(VLOOKUP(CP$1,main!$A$3:$H$102,7,FALSE)=main!$G$104,VLOOKUP(CP$1,main!$A$3:$H$102,5,FALSE)-VLOOKUP($A145,main!$A$3:$H$102,6,FALSE)&gt;=main!$D$103+VLOOKUP(VLOOKUP(CP$1,main!$A$3:$I$102,7,FALSE),main!$K$26:$Q$29,4,FALSE)),1,0)</f>
        <v>0</v>
      </c>
      <c r="CQ145">
        <f>IF(AND(VLOOKUP(CQ$1,main!$A$3:$H$102,7,FALSE)=main!$G$104,VLOOKUP(CQ$1,main!$A$3:$H$102,5,FALSE)-VLOOKUP($A145,main!$A$3:$H$102,6,FALSE)&gt;=main!$D$103+VLOOKUP(VLOOKUP(CQ$1,main!$A$3:$I$102,7,FALSE),main!$K$26:$Q$29,4,FALSE)),1,0)</f>
        <v>0</v>
      </c>
      <c r="CR145">
        <f>IF(AND(VLOOKUP(CR$1,main!$A$3:$H$102,7,FALSE)=main!$G$104,VLOOKUP(CR$1,main!$A$3:$H$102,5,FALSE)-VLOOKUP($A145,main!$A$3:$H$102,6,FALSE)&gt;=main!$D$103+VLOOKUP(VLOOKUP(CR$1,main!$A$3:$I$102,7,FALSE),main!$K$26:$Q$29,4,FALSE)),1,0)</f>
        <v>0</v>
      </c>
      <c r="CS145">
        <f>IF(AND(VLOOKUP(CS$1,main!$A$3:$H$102,7,FALSE)=main!$G$104,VLOOKUP(CS$1,main!$A$3:$H$102,5,FALSE)-VLOOKUP($A145,main!$A$3:$H$102,6,FALSE)&gt;=main!$D$103+VLOOKUP(VLOOKUP(CS$1,main!$A$3:$I$102,7,FALSE),main!$K$26:$Q$29,4,FALSE)),1,0)</f>
        <v>0</v>
      </c>
      <c r="CT145">
        <f>IF(AND(VLOOKUP(CT$1,main!$A$3:$H$102,7,FALSE)=main!$G$104,VLOOKUP(CT$1,main!$A$3:$H$102,5,FALSE)-VLOOKUP($A145,main!$A$3:$H$102,6,FALSE)&gt;=main!$D$103+VLOOKUP(VLOOKUP(CT$1,main!$A$3:$I$102,7,FALSE),main!$K$26:$Q$29,4,FALSE)),1,0)</f>
        <v>0</v>
      </c>
      <c r="CU145">
        <f>IF(AND(VLOOKUP(CU$1,main!$A$3:$H$102,7,FALSE)=main!$G$104,VLOOKUP(CU$1,main!$A$3:$H$102,5,FALSE)-VLOOKUP($A145,main!$A$3:$H$102,6,FALSE)&gt;=main!$D$103+VLOOKUP(VLOOKUP(CU$1,main!$A$3:$I$102,7,FALSE),main!$K$26:$Q$29,4,FALSE)),1,0)</f>
        <v>0</v>
      </c>
      <c r="CV145">
        <f>IF(AND(VLOOKUP(CV$1,main!$A$3:$H$102,7,FALSE)=main!$G$104,VLOOKUP(CV$1,main!$A$3:$H$102,5,FALSE)-VLOOKUP($A145,main!$A$3:$H$102,6,FALSE)&gt;=main!$D$103+VLOOKUP(VLOOKUP(CV$1,main!$A$3:$I$102,7,FALSE),main!$K$26:$Q$29,4,FALSE)),1,0)</f>
        <v>0</v>
      </c>
      <c r="CW145">
        <f>IF(AND(VLOOKUP(CW$1,main!$A$3:$H$102,7,FALSE)=main!$G$104,VLOOKUP(CW$1,main!$A$3:$H$102,5,FALSE)-VLOOKUP($A145,main!$A$3:$H$102,6,FALSE)&gt;=main!$D$103+VLOOKUP(VLOOKUP(CW$1,main!$A$3:$I$102,7,FALSE),main!$K$26:$Q$29,4,FALSE)),1,0)</f>
        <v>0</v>
      </c>
      <c r="CX145">
        <f>IF(AND(VLOOKUP(CX$1,main!$A$3:$H$102,7,FALSE)=main!$G$104,VLOOKUP(CX$1,main!$A$3:$H$102,5,FALSE)-VLOOKUP($A145,main!$A$3:$H$102,6,FALSE)&gt;=main!$D$103+VLOOKUP(VLOOKUP(CX$1,main!$A$3:$I$102,7,FALSE),main!$K$26:$Q$29,4,FALSE)),1,0)</f>
        <v>0</v>
      </c>
      <c r="DB145">
        <f>VLOOKUP(T$1,main!$A$3:$H$102,5,FALSE)</f>
        <v>1000</v>
      </c>
    </row>
    <row r="146" spans="1:106" x14ac:dyDescent="0.25">
      <c r="A146" s="1">
        <v>43</v>
      </c>
      <c r="B146">
        <v>0</v>
      </c>
      <c r="C146">
        <f>IF(AND(VLOOKUP(C$1,main!$A$3:$H$102,7,FALSE)=main!$G$104,VLOOKUP(C$1,main!$A$3:$H$102,5,FALSE)-VLOOKUP($A146,main!$A$3:$H$102,6,FALSE)&gt;=main!$D$103+VLOOKUP(VLOOKUP(C$1,main!$A$3:$I$102,7,FALSE),main!$K$26:$Q$29,4,FALSE)),1,0)</f>
        <v>0</v>
      </c>
      <c r="D146">
        <f>IF(AND(VLOOKUP(D$1,main!$A$3:$H$102,7,FALSE)=main!$G$104,VLOOKUP(D$1,main!$A$3:$H$102,5,FALSE)-VLOOKUP($A146,main!$A$3:$H$102,6,FALSE)&gt;=main!$D$103+VLOOKUP(VLOOKUP(D$1,main!$A$3:$I$102,7,FALSE),main!$K$26:$Q$29,4,FALSE)),1,0)</f>
        <v>0</v>
      </c>
      <c r="E146">
        <f>IF(AND(VLOOKUP(E$1,main!$A$3:$H$102,7,FALSE)=main!$G$104,VLOOKUP(E$1,main!$A$3:$H$102,5,FALSE)-VLOOKUP($A146,main!$A$3:$H$102,6,FALSE)&gt;=main!$D$103+VLOOKUP(VLOOKUP(E$1,main!$A$3:$I$102,7,FALSE),main!$K$26:$Q$29,4,FALSE)),1,0)</f>
        <v>0</v>
      </c>
      <c r="F146">
        <f>IF(AND(VLOOKUP(F$1,main!$A$3:$H$102,7,FALSE)=main!$G$104,VLOOKUP(F$1,main!$A$3:$H$102,5,FALSE)-VLOOKUP($A146,main!$A$3:$H$102,6,FALSE)&gt;=main!$D$103+VLOOKUP(VLOOKUP(F$1,main!$A$3:$I$102,7,FALSE),main!$K$26:$Q$29,4,FALSE)),1,0)</f>
        <v>0</v>
      </c>
      <c r="G146">
        <f>IF(AND(VLOOKUP(G$1,main!$A$3:$H$102,7,FALSE)=main!$G$104,VLOOKUP(G$1,main!$A$3:$H$102,5,FALSE)-VLOOKUP($A146,main!$A$3:$H$102,6,FALSE)&gt;=main!$D$103+VLOOKUP(VLOOKUP(G$1,main!$A$3:$I$102,7,FALSE),main!$K$26:$Q$29,4,FALSE)),1,0)</f>
        <v>0</v>
      </c>
      <c r="H146">
        <f>IF(AND(VLOOKUP(H$1,main!$A$3:$H$102,7,FALSE)=main!$G$104,VLOOKUP(H$1,main!$A$3:$H$102,5,FALSE)-VLOOKUP($A146,main!$A$3:$H$102,6,FALSE)&gt;=main!$D$103+VLOOKUP(VLOOKUP(H$1,main!$A$3:$I$102,7,FALSE),main!$K$26:$Q$29,4,FALSE)),1,0)</f>
        <v>0</v>
      </c>
      <c r="I146">
        <f>IF(AND(VLOOKUP(I$1,main!$A$3:$H$102,7,FALSE)=main!$G$104,VLOOKUP(I$1,main!$A$3:$H$102,5,FALSE)-VLOOKUP($A146,main!$A$3:$H$102,6,FALSE)&gt;=main!$D$103+VLOOKUP(VLOOKUP(I$1,main!$A$3:$I$102,7,FALSE),main!$K$26:$Q$29,4,FALSE)),1,0)</f>
        <v>1</v>
      </c>
      <c r="J146">
        <f>IF(AND(VLOOKUP(J$1,main!$A$3:$H$102,7,FALSE)=main!$G$104,VLOOKUP(J$1,main!$A$3:$H$102,5,FALSE)-VLOOKUP($A146,main!$A$3:$H$102,6,FALSE)&gt;=main!$D$103+VLOOKUP(VLOOKUP(J$1,main!$A$3:$I$102,7,FALSE),main!$K$26:$Q$29,4,FALSE)),1,0)</f>
        <v>1</v>
      </c>
      <c r="K146">
        <f>IF(AND(VLOOKUP(K$1,main!$A$3:$H$102,7,FALSE)=main!$G$104,VLOOKUP(K$1,main!$A$3:$H$102,5,FALSE)-VLOOKUP($A146,main!$A$3:$H$102,6,FALSE)&gt;=main!$D$103+VLOOKUP(VLOOKUP(K$1,main!$A$3:$I$102,7,FALSE),main!$K$26:$Q$29,4,FALSE)),1,0)</f>
        <v>1</v>
      </c>
      <c r="L146">
        <f>IF(AND(VLOOKUP(L$1,main!$A$3:$H$102,7,FALSE)=main!$G$104,VLOOKUP(L$1,main!$A$3:$H$102,5,FALSE)-VLOOKUP($A146,main!$A$3:$H$102,6,FALSE)&gt;=main!$D$103+VLOOKUP(VLOOKUP(L$1,main!$A$3:$I$102,7,FALSE),main!$K$26:$Q$29,4,FALSE)),1,0)</f>
        <v>1</v>
      </c>
      <c r="M146">
        <f>IF(AND(VLOOKUP(M$1,main!$A$3:$H$102,7,FALSE)=main!$G$104,VLOOKUP(M$1,main!$A$3:$H$102,5,FALSE)-VLOOKUP($A146,main!$A$3:$H$102,6,FALSE)&gt;=main!$D$103+VLOOKUP(VLOOKUP(M$1,main!$A$3:$I$102,7,FALSE),main!$K$26:$Q$29,4,FALSE)),1,0)</f>
        <v>0</v>
      </c>
      <c r="N146">
        <f>IF(AND(VLOOKUP(N$1,main!$A$3:$H$102,7,FALSE)=main!$G$104,VLOOKUP(N$1,main!$A$3:$H$102,5,FALSE)-VLOOKUP($A146,main!$A$3:$H$102,6,FALSE)&gt;=main!$D$103+VLOOKUP(VLOOKUP(N$1,main!$A$3:$I$102,7,FALSE),main!$K$26:$Q$29,4,FALSE)),1,0)</f>
        <v>0</v>
      </c>
      <c r="O146">
        <f>IF(AND(VLOOKUP(O$1,main!$A$3:$H$102,7,FALSE)=main!$G$104,VLOOKUP(O$1,main!$A$3:$H$102,5,FALSE)-VLOOKUP($A146,main!$A$3:$H$102,6,FALSE)&gt;=main!$D$103+VLOOKUP(VLOOKUP(O$1,main!$A$3:$I$102,7,FALSE),main!$K$26:$Q$29,4,FALSE)),1,0)</f>
        <v>0</v>
      </c>
      <c r="P146">
        <f>IF(AND(VLOOKUP(P$1,main!$A$3:$H$102,7,FALSE)=main!$G$104,VLOOKUP(P$1,main!$A$3:$H$102,5,FALSE)-VLOOKUP($A146,main!$A$3:$H$102,6,FALSE)&gt;=main!$D$103+VLOOKUP(VLOOKUP(P$1,main!$A$3:$I$102,7,FALSE),main!$K$26:$Q$29,4,FALSE)),1,0)</f>
        <v>0</v>
      </c>
      <c r="Q146">
        <f>IF(AND(VLOOKUP(Q$1,main!$A$3:$H$102,7,FALSE)=main!$G$104,VLOOKUP(Q$1,main!$A$3:$H$102,5,FALSE)-VLOOKUP($A146,main!$A$3:$H$102,6,FALSE)&gt;=main!$D$103+VLOOKUP(VLOOKUP(Q$1,main!$A$3:$I$102,7,FALSE),main!$K$26:$Q$29,4,FALSE)),1,0)</f>
        <v>0</v>
      </c>
      <c r="R146">
        <f>IF(AND(VLOOKUP(R$1,main!$A$3:$H$102,7,FALSE)=main!$G$104,VLOOKUP(R$1,main!$A$3:$H$102,5,FALSE)-VLOOKUP($A146,main!$A$3:$H$102,6,FALSE)&gt;=main!$D$103+VLOOKUP(VLOOKUP(R$1,main!$A$3:$I$102,7,FALSE),main!$K$26:$Q$29,4,FALSE)),1,0)</f>
        <v>0</v>
      </c>
      <c r="S146">
        <f>IF(AND(VLOOKUP(S$1,main!$A$3:$H$102,7,FALSE)=main!$G$104,VLOOKUP(S$1,main!$A$3:$H$102,5,FALSE)-VLOOKUP($A146,main!$A$3:$H$102,6,FALSE)&gt;=main!$D$103+VLOOKUP(VLOOKUP(S$1,main!$A$3:$I$102,7,FALSE),main!$K$26:$Q$29,4,FALSE)),1,0)</f>
        <v>0</v>
      </c>
      <c r="T146">
        <f>IF(AND(VLOOKUP(T$1,main!$A$3:$H$102,7,FALSE)=main!$G$104,VLOOKUP(T$1,main!$A$3:$H$102,5,FALSE)-VLOOKUP($A146,main!$A$3:$H$102,6,FALSE)&gt;=main!$D$103+VLOOKUP(VLOOKUP(T$1,main!$A$3:$I$102,7,FALSE),main!$K$26:$Q$29,4,FALSE)),1,0)</f>
        <v>1</v>
      </c>
      <c r="U146">
        <f>IF(AND(VLOOKUP(U$1,main!$A$3:$H$102,7,FALSE)=main!$G$104,VLOOKUP(U$1,main!$A$3:$H$102,5,FALSE)-VLOOKUP($A146,main!$A$3:$H$102,6,FALSE)&gt;=main!$D$103+VLOOKUP(VLOOKUP(U$1,main!$A$3:$I$102,7,FALSE),main!$K$26:$Q$29,4,FALSE)),1,0)</f>
        <v>1</v>
      </c>
      <c r="V146">
        <f>IF(AND(VLOOKUP(V$1,main!$A$3:$H$102,7,FALSE)=main!$G$104,VLOOKUP(V$1,main!$A$3:$H$102,5,FALSE)-VLOOKUP($A146,main!$A$3:$H$102,6,FALSE)&gt;=main!$D$103+VLOOKUP(VLOOKUP(V$1,main!$A$3:$I$102,7,FALSE),main!$K$26:$Q$29,4,FALSE)),1,0)</f>
        <v>1</v>
      </c>
      <c r="W146">
        <f>IF(AND(VLOOKUP(W$1,main!$A$3:$H$102,7,FALSE)=main!$G$104,VLOOKUP(W$1,main!$A$3:$H$102,5,FALSE)-VLOOKUP($A146,main!$A$3:$H$102,6,FALSE)&gt;=main!$D$103+VLOOKUP(VLOOKUP(W$1,main!$A$3:$I$102,7,FALSE),main!$K$26:$Q$29,4,FALSE)),1,0)</f>
        <v>0</v>
      </c>
      <c r="X146">
        <f>IF(AND(VLOOKUP(X$1,main!$A$3:$H$102,7,FALSE)=main!$G$104,VLOOKUP(X$1,main!$A$3:$H$102,5,FALSE)-VLOOKUP($A146,main!$A$3:$H$102,6,FALSE)&gt;=main!$D$103+VLOOKUP(VLOOKUP(X$1,main!$A$3:$I$102,7,FALSE),main!$K$26:$Q$29,4,FALSE)),1,0)</f>
        <v>0</v>
      </c>
      <c r="Y146">
        <f>IF(AND(VLOOKUP(Y$1,main!$A$3:$H$102,7,FALSE)=main!$G$104,VLOOKUP(Y$1,main!$A$3:$H$102,5,FALSE)-VLOOKUP($A146,main!$A$3:$H$102,6,FALSE)&gt;=main!$D$103+VLOOKUP(VLOOKUP(Y$1,main!$A$3:$I$102,7,FALSE),main!$K$26:$Q$29,4,FALSE)),1,0)</f>
        <v>0</v>
      </c>
      <c r="Z146">
        <f>IF(AND(VLOOKUP(Z$1,main!$A$3:$H$102,7,FALSE)=main!$G$104,VLOOKUP(Z$1,main!$A$3:$H$102,5,FALSE)-VLOOKUP($A146,main!$A$3:$H$102,6,FALSE)&gt;=main!$D$103+VLOOKUP(VLOOKUP(Z$1,main!$A$3:$I$102,7,FALSE),main!$K$26:$Q$29,4,FALSE)),1,0)</f>
        <v>0</v>
      </c>
      <c r="AA146">
        <f>IF(AND(VLOOKUP(AA$1,main!$A$3:$H$102,7,FALSE)=main!$G$104,VLOOKUP(AA$1,main!$A$3:$H$102,5,FALSE)-VLOOKUP($A146,main!$A$3:$H$102,6,FALSE)&gt;=main!$D$103+VLOOKUP(VLOOKUP(AA$1,main!$A$3:$I$102,7,FALSE),main!$K$26:$Q$29,4,FALSE)),1,0)</f>
        <v>1</v>
      </c>
      <c r="AB146">
        <f>IF(AND(VLOOKUP(AB$1,main!$A$3:$H$102,7,FALSE)=main!$G$104,VLOOKUP(AB$1,main!$A$3:$H$102,5,FALSE)-VLOOKUP($A146,main!$A$3:$H$102,6,FALSE)&gt;=main!$D$103+VLOOKUP(VLOOKUP(AB$1,main!$A$3:$I$102,7,FALSE),main!$K$26:$Q$29,4,FALSE)),1,0)</f>
        <v>0</v>
      </c>
      <c r="AC146">
        <f>IF(AND(VLOOKUP(AC$1,main!$A$3:$H$102,7,FALSE)=main!$G$104,VLOOKUP(AC$1,main!$A$3:$H$102,5,FALSE)-VLOOKUP($A146,main!$A$3:$H$102,6,FALSE)&gt;=main!$D$103+VLOOKUP(VLOOKUP(AC$1,main!$A$3:$I$102,7,FALSE),main!$K$26:$Q$29,4,FALSE)),1,0)</f>
        <v>0</v>
      </c>
      <c r="AD146">
        <f>IF(AND(VLOOKUP(AD$1,main!$A$3:$H$102,7,FALSE)=main!$G$104,VLOOKUP(AD$1,main!$A$3:$H$102,5,FALSE)-VLOOKUP($A146,main!$A$3:$H$102,6,FALSE)&gt;=main!$D$103+VLOOKUP(VLOOKUP(AD$1,main!$A$3:$I$102,7,FALSE),main!$K$26:$Q$29,4,FALSE)),1,0)</f>
        <v>0</v>
      </c>
      <c r="AE146">
        <f>IF(AND(VLOOKUP(AE$1,main!$A$3:$H$102,7,FALSE)=main!$G$104,VLOOKUP(AE$1,main!$A$3:$H$102,5,FALSE)-VLOOKUP($A146,main!$A$3:$H$102,6,FALSE)&gt;=main!$D$103+VLOOKUP(VLOOKUP(AE$1,main!$A$3:$I$102,7,FALSE),main!$K$26:$Q$29,4,FALSE)),1,0)</f>
        <v>0</v>
      </c>
      <c r="AF146">
        <f>IF(AND(VLOOKUP(AF$1,main!$A$3:$H$102,7,FALSE)=main!$G$104,VLOOKUP(AF$1,main!$A$3:$H$102,5,FALSE)-VLOOKUP($A146,main!$A$3:$H$102,6,FALSE)&gt;=main!$D$103+VLOOKUP(VLOOKUP(AF$1,main!$A$3:$I$102,7,FALSE),main!$K$26:$Q$29,4,FALSE)),1,0)</f>
        <v>1</v>
      </c>
      <c r="AG146">
        <f>IF(AND(VLOOKUP(AG$1,main!$A$3:$H$102,7,FALSE)=main!$G$104,VLOOKUP(AG$1,main!$A$3:$H$102,5,FALSE)-VLOOKUP($A146,main!$A$3:$H$102,6,FALSE)&gt;=main!$D$103+VLOOKUP(VLOOKUP(AG$1,main!$A$3:$I$102,7,FALSE),main!$K$26:$Q$29,4,FALSE)),1,0)</f>
        <v>0</v>
      </c>
      <c r="AH146">
        <f>IF(AND(VLOOKUP(AH$1,main!$A$3:$H$102,7,FALSE)=main!$G$104,VLOOKUP(AH$1,main!$A$3:$H$102,5,FALSE)-VLOOKUP($A146,main!$A$3:$H$102,6,FALSE)&gt;=main!$D$103+VLOOKUP(VLOOKUP(AH$1,main!$A$3:$I$102,7,FALSE),main!$K$26:$Q$29,4,FALSE)),1,0)</f>
        <v>0</v>
      </c>
      <c r="AI146">
        <f>IF(AND(VLOOKUP(AI$1,main!$A$3:$H$102,7,FALSE)=main!$G$104,VLOOKUP(AI$1,main!$A$3:$H$102,5,FALSE)-VLOOKUP($A146,main!$A$3:$H$102,6,FALSE)&gt;=main!$D$103+VLOOKUP(VLOOKUP(AI$1,main!$A$3:$I$102,7,FALSE),main!$K$26:$Q$29,4,FALSE)),1,0)</f>
        <v>0</v>
      </c>
      <c r="AJ146">
        <f>IF(AND(VLOOKUP(AJ$1,main!$A$3:$H$102,7,FALSE)=main!$G$104,VLOOKUP(AJ$1,main!$A$3:$H$102,5,FALSE)-VLOOKUP($A146,main!$A$3:$H$102,6,FALSE)&gt;=main!$D$103+VLOOKUP(VLOOKUP(AJ$1,main!$A$3:$I$102,7,FALSE),main!$K$26:$Q$29,4,FALSE)),1,0)</f>
        <v>0</v>
      </c>
      <c r="AK146">
        <f>IF(AND(VLOOKUP(AK$1,main!$A$3:$H$102,7,FALSE)=main!$G$104,VLOOKUP(AK$1,main!$A$3:$H$102,5,FALSE)-VLOOKUP($A146,main!$A$3:$H$102,6,FALSE)&gt;=main!$D$103+VLOOKUP(VLOOKUP(AK$1,main!$A$3:$I$102,7,FALSE),main!$K$26:$Q$29,4,FALSE)),1,0)</f>
        <v>0</v>
      </c>
      <c r="AL146">
        <f>IF(AND(VLOOKUP(AL$1,main!$A$3:$H$102,7,FALSE)=main!$G$104,VLOOKUP(AL$1,main!$A$3:$H$102,5,FALSE)-VLOOKUP($A146,main!$A$3:$H$102,6,FALSE)&gt;=main!$D$103+VLOOKUP(VLOOKUP(AL$1,main!$A$3:$I$102,7,FALSE),main!$K$26:$Q$29,4,FALSE)),1,0)</f>
        <v>0</v>
      </c>
      <c r="AM146">
        <f>IF(AND(VLOOKUP(AM$1,main!$A$3:$H$102,7,FALSE)=main!$G$104,VLOOKUP(AM$1,main!$A$3:$H$102,5,FALSE)-VLOOKUP($A146,main!$A$3:$H$102,6,FALSE)&gt;=main!$D$103+VLOOKUP(VLOOKUP(AM$1,main!$A$3:$I$102,7,FALSE),main!$K$26:$Q$29,4,FALSE)),1,0)</f>
        <v>0</v>
      </c>
      <c r="AN146">
        <f>IF(AND(VLOOKUP(AN$1,main!$A$3:$H$102,7,FALSE)=main!$G$104,VLOOKUP(AN$1,main!$A$3:$H$102,5,FALSE)-VLOOKUP($A146,main!$A$3:$H$102,6,FALSE)&gt;=main!$D$103+VLOOKUP(VLOOKUP(AN$1,main!$A$3:$I$102,7,FALSE),main!$K$26:$Q$29,4,FALSE)),1,0)</f>
        <v>0</v>
      </c>
      <c r="AO146">
        <f>IF(AND(VLOOKUP(AO$1,main!$A$3:$H$102,7,FALSE)=main!$G$104,VLOOKUP(AO$1,main!$A$3:$H$102,5,FALSE)-VLOOKUP($A146,main!$A$3:$H$102,6,FALSE)&gt;=main!$D$103+VLOOKUP(VLOOKUP(AO$1,main!$A$3:$I$102,7,FALSE),main!$K$26:$Q$29,4,FALSE)),1,0)</f>
        <v>0</v>
      </c>
      <c r="AP146">
        <f>IF(AND(VLOOKUP(AP$1,main!$A$3:$H$102,7,FALSE)=main!$G$104,VLOOKUP(AP$1,main!$A$3:$H$102,5,FALSE)-VLOOKUP($A146,main!$A$3:$H$102,6,FALSE)&gt;=main!$D$103+VLOOKUP(VLOOKUP(AP$1,main!$A$3:$I$102,7,FALSE),main!$K$26:$Q$29,4,FALSE)),1,0)</f>
        <v>0</v>
      </c>
      <c r="AQ146">
        <f>IF(AND(VLOOKUP(AQ$1,main!$A$3:$H$102,7,FALSE)=main!$G$104,VLOOKUP(AQ$1,main!$A$3:$H$102,5,FALSE)-VLOOKUP($A146,main!$A$3:$H$102,6,FALSE)&gt;=main!$D$103+VLOOKUP(VLOOKUP(AQ$1,main!$A$3:$I$102,7,FALSE),main!$K$26:$Q$29,4,FALSE)),1,0)</f>
        <v>0</v>
      </c>
      <c r="AR146">
        <f>IF(AND(VLOOKUP(AR$1,main!$A$3:$H$102,7,FALSE)=main!$G$104,VLOOKUP(AR$1,main!$A$3:$H$102,5,FALSE)-VLOOKUP($A146,main!$A$3:$H$102,6,FALSE)&gt;=main!$D$103+VLOOKUP(VLOOKUP(AR$1,main!$A$3:$I$102,7,FALSE),main!$K$26:$Q$29,4,FALSE)),1,0)</f>
        <v>0</v>
      </c>
      <c r="AS146">
        <f>IF(AND(VLOOKUP(AS$1,main!$A$3:$H$102,7,FALSE)=main!$G$104,VLOOKUP(AS$1,main!$A$3:$H$102,5,FALSE)-VLOOKUP($A146,main!$A$3:$H$102,6,FALSE)&gt;=main!$D$103+VLOOKUP(VLOOKUP(AS$1,main!$A$3:$I$102,7,FALSE),main!$K$26:$Q$29,4,FALSE)),1,0)</f>
        <v>0</v>
      </c>
      <c r="AT146">
        <f>IF(AND(VLOOKUP(AT$1,main!$A$3:$H$102,7,FALSE)=main!$G$104,VLOOKUP(AT$1,main!$A$3:$H$102,5,FALSE)-VLOOKUP($A146,main!$A$3:$H$102,6,FALSE)&gt;=main!$D$103+VLOOKUP(VLOOKUP(AT$1,main!$A$3:$I$102,7,FALSE),main!$K$26:$Q$29,4,FALSE)),1,0)</f>
        <v>0</v>
      </c>
      <c r="AU146">
        <f>IF(AND(VLOOKUP(AU$1,main!$A$3:$H$102,7,FALSE)=main!$G$104,VLOOKUP(AU$1,main!$A$3:$H$102,5,FALSE)-VLOOKUP($A146,main!$A$3:$H$102,6,FALSE)&gt;=main!$D$103+VLOOKUP(VLOOKUP(AU$1,main!$A$3:$I$102,7,FALSE),main!$K$26:$Q$29,4,FALSE)),1,0)</f>
        <v>0</v>
      </c>
      <c r="AV146">
        <f>IF(AND(VLOOKUP(AV$1,main!$A$3:$H$102,7,FALSE)=main!$G$104,VLOOKUP(AV$1,main!$A$3:$H$102,5,FALSE)-VLOOKUP($A146,main!$A$3:$H$102,6,FALSE)&gt;=main!$D$103+VLOOKUP(VLOOKUP(AV$1,main!$A$3:$I$102,7,FALSE),main!$K$26:$Q$29,4,FALSE)),1,0)</f>
        <v>0</v>
      </c>
      <c r="AW146">
        <f>IF(AND(VLOOKUP(AW$1,main!$A$3:$H$102,7,FALSE)=main!$G$104,VLOOKUP(AW$1,main!$A$3:$H$102,5,FALSE)-VLOOKUP($A146,main!$A$3:$H$102,6,FALSE)&gt;=main!$D$103+VLOOKUP(VLOOKUP(AW$1,main!$A$3:$I$102,7,FALSE),main!$K$26:$Q$29,4,FALSE)),1,0)</f>
        <v>0</v>
      </c>
      <c r="AX146">
        <f>IF(AND(VLOOKUP(AX$1,main!$A$3:$H$102,7,FALSE)=main!$G$104,VLOOKUP(AX$1,main!$A$3:$H$102,5,FALSE)-VLOOKUP($A146,main!$A$3:$H$102,6,FALSE)&gt;=main!$D$103+VLOOKUP(VLOOKUP(AX$1,main!$A$3:$I$102,7,FALSE),main!$K$26:$Q$29,4,FALSE)),1,0)</f>
        <v>0</v>
      </c>
      <c r="AY146">
        <f>IF(AND(VLOOKUP(AY$1,main!$A$3:$H$102,7,FALSE)=main!$G$104,VLOOKUP(AY$1,main!$A$3:$H$102,5,FALSE)-VLOOKUP($A146,main!$A$3:$H$102,6,FALSE)&gt;=main!$D$103+VLOOKUP(VLOOKUP(AY$1,main!$A$3:$I$102,7,FALSE),main!$K$26:$Q$29,4,FALSE)),1,0)</f>
        <v>0</v>
      </c>
      <c r="AZ146">
        <f>IF(AND(VLOOKUP(AZ$1,main!$A$3:$H$102,7,FALSE)=main!$G$104,VLOOKUP(AZ$1,main!$A$3:$H$102,5,FALSE)-VLOOKUP($A146,main!$A$3:$H$102,6,FALSE)&gt;=main!$D$103+VLOOKUP(VLOOKUP(AZ$1,main!$A$3:$I$102,7,FALSE),main!$K$26:$Q$29,4,FALSE)),1,0)</f>
        <v>0</v>
      </c>
      <c r="BA146">
        <f>IF(AND(VLOOKUP(BA$1,main!$A$3:$H$102,7,FALSE)=main!$G$104,VLOOKUP(BA$1,main!$A$3:$H$102,5,FALSE)-VLOOKUP($A146,main!$A$3:$H$102,6,FALSE)&gt;=main!$D$103+VLOOKUP(VLOOKUP(BA$1,main!$A$3:$I$102,7,FALSE),main!$K$26:$Q$29,4,FALSE)),1,0)</f>
        <v>0</v>
      </c>
      <c r="BB146">
        <f>IF(AND(VLOOKUP(BB$1,main!$A$3:$H$102,7,FALSE)=main!$G$104,VLOOKUP(BB$1,main!$A$3:$H$102,5,FALSE)-VLOOKUP($A146,main!$A$3:$H$102,6,FALSE)&gt;=main!$D$103+VLOOKUP(VLOOKUP(BB$1,main!$A$3:$I$102,7,FALSE),main!$K$26:$Q$29,4,FALSE)),1,0)</f>
        <v>0</v>
      </c>
      <c r="BC146">
        <f>IF(AND(VLOOKUP(BC$1,main!$A$3:$H$102,7,FALSE)=main!$G$104,VLOOKUP(BC$1,main!$A$3:$H$102,5,FALSE)-VLOOKUP($A146,main!$A$3:$H$102,6,FALSE)&gt;=main!$D$103+VLOOKUP(VLOOKUP(BC$1,main!$A$3:$I$102,7,FALSE),main!$K$26:$Q$29,4,FALSE)),1,0)</f>
        <v>0</v>
      </c>
      <c r="BD146">
        <f>IF(AND(VLOOKUP(BD$1,main!$A$3:$H$102,7,FALSE)=main!$G$104,VLOOKUP(BD$1,main!$A$3:$H$102,5,FALSE)-VLOOKUP($A146,main!$A$3:$H$102,6,FALSE)&gt;=main!$D$103+VLOOKUP(VLOOKUP(BD$1,main!$A$3:$I$102,7,FALSE),main!$K$26:$Q$29,4,FALSE)),1,0)</f>
        <v>0</v>
      </c>
      <c r="BE146">
        <f>IF(AND(VLOOKUP(BE$1,main!$A$3:$H$102,7,FALSE)=main!$G$104,VLOOKUP(BE$1,main!$A$3:$H$102,5,FALSE)-VLOOKUP($A146,main!$A$3:$H$102,6,FALSE)&gt;=main!$D$103+VLOOKUP(VLOOKUP(BE$1,main!$A$3:$I$102,7,FALSE),main!$K$26:$Q$29,4,FALSE)),1,0)</f>
        <v>0</v>
      </c>
      <c r="BF146">
        <f>IF(AND(VLOOKUP(BF$1,main!$A$3:$H$102,7,FALSE)=main!$G$104,VLOOKUP(BF$1,main!$A$3:$H$102,5,FALSE)-VLOOKUP($A146,main!$A$3:$H$102,6,FALSE)&gt;=main!$D$103+VLOOKUP(VLOOKUP(BF$1,main!$A$3:$I$102,7,FALSE),main!$K$26:$Q$29,4,FALSE)),1,0)</f>
        <v>0</v>
      </c>
      <c r="BG146">
        <f>IF(AND(VLOOKUP(BG$1,main!$A$3:$H$102,7,FALSE)=main!$G$104,VLOOKUP(BG$1,main!$A$3:$H$102,5,FALSE)-VLOOKUP($A146,main!$A$3:$H$102,6,FALSE)&gt;=main!$D$103+VLOOKUP(VLOOKUP(BG$1,main!$A$3:$I$102,7,FALSE),main!$K$26:$Q$29,4,FALSE)),1,0)</f>
        <v>0</v>
      </c>
      <c r="BH146">
        <f>IF(AND(VLOOKUP(BH$1,main!$A$3:$H$102,7,FALSE)=main!$G$104,VLOOKUP(BH$1,main!$A$3:$H$102,5,FALSE)-VLOOKUP($A146,main!$A$3:$H$102,6,FALSE)&gt;=main!$D$103+VLOOKUP(VLOOKUP(BH$1,main!$A$3:$I$102,7,FALSE),main!$K$26:$Q$29,4,FALSE)),1,0)</f>
        <v>0</v>
      </c>
      <c r="BI146">
        <f>IF(AND(VLOOKUP(BI$1,main!$A$3:$H$102,7,FALSE)=main!$G$104,VLOOKUP(BI$1,main!$A$3:$H$102,5,FALSE)-VLOOKUP($A146,main!$A$3:$H$102,6,FALSE)&gt;=main!$D$103+VLOOKUP(VLOOKUP(BI$1,main!$A$3:$I$102,7,FALSE),main!$K$26:$Q$29,4,FALSE)),1,0)</f>
        <v>0</v>
      </c>
      <c r="BJ146">
        <f>IF(AND(VLOOKUP(BJ$1,main!$A$3:$H$102,7,FALSE)=main!$G$104,VLOOKUP(BJ$1,main!$A$3:$H$102,5,FALSE)-VLOOKUP($A146,main!$A$3:$H$102,6,FALSE)&gt;=main!$D$103+VLOOKUP(VLOOKUP(BJ$1,main!$A$3:$I$102,7,FALSE),main!$K$26:$Q$29,4,FALSE)),1,0)</f>
        <v>0</v>
      </c>
      <c r="BK146">
        <f>IF(AND(VLOOKUP(BK$1,main!$A$3:$H$102,7,FALSE)=main!$G$104,VLOOKUP(BK$1,main!$A$3:$H$102,5,FALSE)-VLOOKUP($A146,main!$A$3:$H$102,6,FALSE)&gt;=main!$D$103+VLOOKUP(VLOOKUP(BK$1,main!$A$3:$I$102,7,FALSE),main!$K$26:$Q$29,4,FALSE)),1,0)</f>
        <v>0</v>
      </c>
      <c r="BL146">
        <f>IF(AND(VLOOKUP(BL$1,main!$A$3:$H$102,7,FALSE)=main!$G$104,VLOOKUP(BL$1,main!$A$3:$H$102,5,FALSE)-VLOOKUP($A146,main!$A$3:$H$102,6,FALSE)&gt;=main!$D$103+VLOOKUP(VLOOKUP(BL$1,main!$A$3:$I$102,7,FALSE),main!$K$26:$Q$29,4,FALSE)),1,0)</f>
        <v>0</v>
      </c>
      <c r="BM146">
        <f>IF(AND(VLOOKUP(BM$1,main!$A$3:$H$102,7,FALSE)=main!$G$104,VLOOKUP(BM$1,main!$A$3:$H$102,5,FALSE)-VLOOKUP($A146,main!$A$3:$H$102,6,FALSE)&gt;=main!$D$103+VLOOKUP(VLOOKUP(BM$1,main!$A$3:$I$102,7,FALSE),main!$K$26:$Q$29,4,FALSE)),1,0)</f>
        <v>0</v>
      </c>
      <c r="BN146">
        <f>IF(AND(VLOOKUP(BN$1,main!$A$3:$H$102,7,FALSE)=main!$G$104,VLOOKUP(BN$1,main!$A$3:$H$102,5,FALSE)-VLOOKUP($A146,main!$A$3:$H$102,6,FALSE)&gt;=main!$D$103+VLOOKUP(VLOOKUP(BN$1,main!$A$3:$I$102,7,FALSE),main!$K$26:$Q$29,4,FALSE)),1,0)</f>
        <v>0</v>
      </c>
      <c r="BO146">
        <f>IF(AND(VLOOKUP(BO$1,main!$A$3:$H$102,7,FALSE)=main!$G$104,VLOOKUP(BO$1,main!$A$3:$H$102,5,FALSE)-VLOOKUP($A146,main!$A$3:$H$102,6,FALSE)&gt;=main!$D$103+VLOOKUP(VLOOKUP(BO$1,main!$A$3:$I$102,7,FALSE),main!$K$26:$Q$29,4,FALSE)),1,0)</f>
        <v>0</v>
      </c>
      <c r="BP146">
        <f>IF(AND(VLOOKUP(BP$1,main!$A$3:$H$102,7,FALSE)=main!$G$104,VLOOKUP(BP$1,main!$A$3:$H$102,5,FALSE)-VLOOKUP($A146,main!$A$3:$H$102,6,FALSE)&gt;=main!$D$103+VLOOKUP(VLOOKUP(BP$1,main!$A$3:$I$102,7,FALSE),main!$K$26:$Q$29,4,FALSE)),1,0)</f>
        <v>0</v>
      </c>
      <c r="BQ146">
        <f>IF(AND(VLOOKUP(BQ$1,main!$A$3:$H$102,7,FALSE)=main!$G$104,VLOOKUP(BQ$1,main!$A$3:$H$102,5,FALSE)-VLOOKUP($A146,main!$A$3:$H$102,6,FALSE)&gt;=main!$D$103+VLOOKUP(VLOOKUP(BQ$1,main!$A$3:$I$102,7,FALSE),main!$K$26:$Q$29,4,FALSE)),1,0)</f>
        <v>0</v>
      </c>
      <c r="BR146">
        <f>IF(AND(VLOOKUP(BR$1,main!$A$3:$H$102,7,FALSE)=main!$G$104,VLOOKUP(BR$1,main!$A$3:$H$102,5,FALSE)-VLOOKUP($A146,main!$A$3:$H$102,6,FALSE)&gt;=main!$D$103+VLOOKUP(VLOOKUP(BR$1,main!$A$3:$I$102,7,FALSE),main!$K$26:$Q$29,4,FALSE)),1,0)</f>
        <v>0</v>
      </c>
      <c r="BS146">
        <f>IF(AND(VLOOKUP(BS$1,main!$A$3:$H$102,7,FALSE)=main!$G$104,VLOOKUP(BS$1,main!$A$3:$H$102,5,FALSE)-VLOOKUP($A146,main!$A$3:$H$102,6,FALSE)&gt;=main!$D$103+VLOOKUP(VLOOKUP(BS$1,main!$A$3:$I$102,7,FALSE),main!$K$26:$Q$29,4,FALSE)),1,0)</f>
        <v>0</v>
      </c>
      <c r="BT146">
        <f>IF(AND(VLOOKUP(BT$1,main!$A$3:$H$102,7,FALSE)=main!$G$104,VLOOKUP(BT$1,main!$A$3:$H$102,5,FALSE)-VLOOKUP($A146,main!$A$3:$H$102,6,FALSE)&gt;=main!$D$103+VLOOKUP(VLOOKUP(BT$1,main!$A$3:$I$102,7,FALSE),main!$K$26:$Q$29,4,FALSE)),1,0)</f>
        <v>0</v>
      </c>
      <c r="BU146">
        <f>IF(AND(VLOOKUP(BU$1,main!$A$3:$H$102,7,FALSE)=main!$G$104,VLOOKUP(BU$1,main!$A$3:$H$102,5,FALSE)-VLOOKUP($A146,main!$A$3:$H$102,6,FALSE)&gt;=main!$D$103+VLOOKUP(VLOOKUP(BU$1,main!$A$3:$I$102,7,FALSE),main!$K$26:$Q$29,4,FALSE)),1,0)</f>
        <v>0</v>
      </c>
      <c r="BV146">
        <f>IF(AND(VLOOKUP(BV$1,main!$A$3:$H$102,7,FALSE)=main!$G$104,VLOOKUP(BV$1,main!$A$3:$H$102,5,FALSE)-VLOOKUP($A146,main!$A$3:$H$102,6,FALSE)&gt;=main!$D$103+VLOOKUP(VLOOKUP(BV$1,main!$A$3:$I$102,7,FALSE),main!$K$26:$Q$29,4,FALSE)),1,0)</f>
        <v>0</v>
      </c>
      <c r="BW146">
        <f>IF(AND(VLOOKUP(BW$1,main!$A$3:$H$102,7,FALSE)=main!$G$104,VLOOKUP(BW$1,main!$A$3:$H$102,5,FALSE)-VLOOKUP($A146,main!$A$3:$H$102,6,FALSE)&gt;=main!$D$103+VLOOKUP(VLOOKUP(BW$1,main!$A$3:$I$102,7,FALSE),main!$K$26:$Q$29,4,FALSE)),1,0)</f>
        <v>0</v>
      </c>
      <c r="BX146">
        <f>IF(AND(VLOOKUP(BX$1,main!$A$3:$H$102,7,FALSE)=main!$G$104,VLOOKUP(BX$1,main!$A$3:$H$102,5,FALSE)-VLOOKUP($A146,main!$A$3:$H$102,6,FALSE)&gt;=main!$D$103+VLOOKUP(VLOOKUP(BX$1,main!$A$3:$I$102,7,FALSE),main!$K$26:$Q$29,4,FALSE)),1,0)</f>
        <v>0</v>
      </c>
      <c r="BY146">
        <f>IF(AND(VLOOKUP(BY$1,main!$A$3:$H$102,7,FALSE)=main!$G$104,VLOOKUP(BY$1,main!$A$3:$H$102,5,FALSE)-VLOOKUP($A146,main!$A$3:$H$102,6,FALSE)&gt;=main!$D$103+VLOOKUP(VLOOKUP(BY$1,main!$A$3:$I$102,7,FALSE),main!$K$26:$Q$29,4,FALSE)),1,0)</f>
        <v>0</v>
      </c>
      <c r="BZ146">
        <f>IF(AND(VLOOKUP(BZ$1,main!$A$3:$H$102,7,FALSE)=main!$G$104,VLOOKUP(BZ$1,main!$A$3:$H$102,5,FALSE)-VLOOKUP($A146,main!$A$3:$H$102,6,FALSE)&gt;=main!$D$103+VLOOKUP(VLOOKUP(BZ$1,main!$A$3:$I$102,7,FALSE),main!$K$26:$Q$29,4,FALSE)),1,0)</f>
        <v>0</v>
      </c>
      <c r="CA146">
        <f>IF(AND(VLOOKUP(CA$1,main!$A$3:$H$102,7,FALSE)=main!$G$104,VLOOKUP(CA$1,main!$A$3:$H$102,5,FALSE)-VLOOKUP($A146,main!$A$3:$H$102,6,FALSE)&gt;=main!$D$103+VLOOKUP(VLOOKUP(CA$1,main!$A$3:$I$102,7,FALSE),main!$K$26:$Q$29,4,FALSE)),1,0)</f>
        <v>0</v>
      </c>
      <c r="CB146">
        <f>IF(AND(VLOOKUP(CB$1,main!$A$3:$H$102,7,FALSE)=main!$G$104,VLOOKUP(CB$1,main!$A$3:$H$102,5,FALSE)-VLOOKUP($A146,main!$A$3:$H$102,6,FALSE)&gt;=main!$D$103+VLOOKUP(VLOOKUP(CB$1,main!$A$3:$I$102,7,FALSE),main!$K$26:$Q$29,4,FALSE)),1,0)</f>
        <v>0</v>
      </c>
      <c r="CC146">
        <f>IF(AND(VLOOKUP(CC$1,main!$A$3:$H$102,7,FALSE)=main!$G$104,VLOOKUP(CC$1,main!$A$3:$H$102,5,FALSE)-VLOOKUP($A146,main!$A$3:$H$102,6,FALSE)&gt;=main!$D$103+VLOOKUP(VLOOKUP(CC$1,main!$A$3:$I$102,7,FALSE),main!$K$26:$Q$29,4,FALSE)),1,0)</f>
        <v>0</v>
      </c>
      <c r="CD146">
        <f>IF(AND(VLOOKUP(CD$1,main!$A$3:$H$102,7,FALSE)=main!$G$104,VLOOKUP(CD$1,main!$A$3:$H$102,5,FALSE)-VLOOKUP($A146,main!$A$3:$H$102,6,FALSE)&gt;=main!$D$103+VLOOKUP(VLOOKUP(CD$1,main!$A$3:$I$102,7,FALSE),main!$K$26:$Q$29,4,FALSE)),1,0)</f>
        <v>0</v>
      </c>
      <c r="CE146">
        <f>IF(AND(VLOOKUP(CE$1,main!$A$3:$H$102,7,FALSE)=main!$G$104,VLOOKUP(CE$1,main!$A$3:$H$102,5,FALSE)-VLOOKUP($A146,main!$A$3:$H$102,6,FALSE)&gt;=main!$D$103+VLOOKUP(VLOOKUP(CE$1,main!$A$3:$I$102,7,FALSE),main!$K$26:$Q$29,4,FALSE)),1,0)</f>
        <v>0</v>
      </c>
      <c r="CF146">
        <f>IF(AND(VLOOKUP(CF$1,main!$A$3:$H$102,7,FALSE)=main!$G$104,VLOOKUP(CF$1,main!$A$3:$H$102,5,FALSE)-VLOOKUP($A146,main!$A$3:$H$102,6,FALSE)&gt;=main!$D$103+VLOOKUP(VLOOKUP(CF$1,main!$A$3:$I$102,7,FALSE),main!$K$26:$Q$29,4,FALSE)),1,0)</f>
        <v>0</v>
      </c>
      <c r="CG146">
        <f>IF(AND(VLOOKUP(CG$1,main!$A$3:$H$102,7,FALSE)=main!$G$104,VLOOKUP(CG$1,main!$A$3:$H$102,5,FALSE)-VLOOKUP($A146,main!$A$3:$H$102,6,FALSE)&gt;=main!$D$103+VLOOKUP(VLOOKUP(CG$1,main!$A$3:$I$102,7,FALSE),main!$K$26:$Q$29,4,FALSE)),1,0)</f>
        <v>0</v>
      </c>
      <c r="CH146">
        <f>IF(AND(VLOOKUP(CH$1,main!$A$3:$H$102,7,FALSE)=main!$G$104,VLOOKUP(CH$1,main!$A$3:$H$102,5,FALSE)-VLOOKUP($A146,main!$A$3:$H$102,6,FALSE)&gt;=main!$D$103+VLOOKUP(VLOOKUP(CH$1,main!$A$3:$I$102,7,FALSE),main!$K$26:$Q$29,4,FALSE)),1,0)</f>
        <v>0</v>
      </c>
      <c r="CI146">
        <f>IF(AND(VLOOKUP(CI$1,main!$A$3:$H$102,7,FALSE)=main!$G$104,VLOOKUP(CI$1,main!$A$3:$H$102,5,FALSE)-VLOOKUP($A146,main!$A$3:$H$102,6,FALSE)&gt;=main!$D$103+VLOOKUP(VLOOKUP(CI$1,main!$A$3:$I$102,7,FALSE),main!$K$26:$Q$29,4,FALSE)),1,0)</f>
        <v>0</v>
      </c>
      <c r="CJ146">
        <f>IF(AND(VLOOKUP(CJ$1,main!$A$3:$H$102,7,FALSE)=main!$G$104,VLOOKUP(CJ$1,main!$A$3:$H$102,5,FALSE)-VLOOKUP($A146,main!$A$3:$H$102,6,FALSE)&gt;=main!$D$103+VLOOKUP(VLOOKUP(CJ$1,main!$A$3:$I$102,7,FALSE),main!$K$26:$Q$29,4,FALSE)),1,0)</f>
        <v>0</v>
      </c>
      <c r="CK146">
        <f>IF(AND(VLOOKUP(CK$1,main!$A$3:$H$102,7,FALSE)=main!$G$104,VLOOKUP(CK$1,main!$A$3:$H$102,5,FALSE)-VLOOKUP($A146,main!$A$3:$H$102,6,FALSE)&gt;=main!$D$103+VLOOKUP(VLOOKUP(CK$1,main!$A$3:$I$102,7,FALSE),main!$K$26:$Q$29,4,FALSE)),1,0)</f>
        <v>0</v>
      </c>
      <c r="CL146">
        <f>IF(AND(VLOOKUP(CL$1,main!$A$3:$H$102,7,FALSE)=main!$G$104,VLOOKUP(CL$1,main!$A$3:$H$102,5,FALSE)-VLOOKUP($A146,main!$A$3:$H$102,6,FALSE)&gt;=main!$D$103+VLOOKUP(VLOOKUP(CL$1,main!$A$3:$I$102,7,FALSE),main!$K$26:$Q$29,4,FALSE)),1,0)</f>
        <v>0</v>
      </c>
      <c r="CM146">
        <f>IF(AND(VLOOKUP(CM$1,main!$A$3:$H$102,7,FALSE)=main!$G$104,VLOOKUP(CM$1,main!$A$3:$H$102,5,FALSE)-VLOOKUP($A146,main!$A$3:$H$102,6,FALSE)&gt;=main!$D$103+VLOOKUP(VLOOKUP(CM$1,main!$A$3:$I$102,7,FALSE),main!$K$26:$Q$29,4,FALSE)),1,0)</f>
        <v>0</v>
      </c>
      <c r="CN146">
        <f>IF(AND(VLOOKUP(CN$1,main!$A$3:$H$102,7,FALSE)=main!$G$104,VLOOKUP(CN$1,main!$A$3:$H$102,5,FALSE)-VLOOKUP($A146,main!$A$3:$H$102,6,FALSE)&gt;=main!$D$103+VLOOKUP(VLOOKUP(CN$1,main!$A$3:$I$102,7,FALSE),main!$K$26:$Q$29,4,FALSE)),1,0)</f>
        <v>0</v>
      </c>
      <c r="CO146">
        <f>IF(AND(VLOOKUP(CO$1,main!$A$3:$H$102,7,FALSE)=main!$G$104,VLOOKUP(CO$1,main!$A$3:$H$102,5,FALSE)-VLOOKUP($A146,main!$A$3:$H$102,6,FALSE)&gt;=main!$D$103+VLOOKUP(VLOOKUP(CO$1,main!$A$3:$I$102,7,FALSE),main!$K$26:$Q$29,4,FALSE)),1,0)</f>
        <v>0</v>
      </c>
      <c r="CP146">
        <f>IF(AND(VLOOKUP(CP$1,main!$A$3:$H$102,7,FALSE)=main!$G$104,VLOOKUP(CP$1,main!$A$3:$H$102,5,FALSE)-VLOOKUP($A146,main!$A$3:$H$102,6,FALSE)&gt;=main!$D$103+VLOOKUP(VLOOKUP(CP$1,main!$A$3:$I$102,7,FALSE),main!$K$26:$Q$29,4,FALSE)),1,0)</f>
        <v>0</v>
      </c>
      <c r="CQ146">
        <f>IF(AND(VLOOKUP(CQ$1,main!$A$3:$H$102,7,FALSE)=main!$G$104,VLOOKUP(CQ$1,main!$A$3:$H$102,5,FALSE)-VLOOKUP($A146,main!$A$3:$H$102,6,FALSE)&gt;=main!$D$103+VLOOKUP(VLOOKUP(CQ$1,main!$A$3:$I$102,7,FALSE),main!$K$26:$Q$29,4,FALSE)),1,0)</f>
        <v>0</v>
      </c>
      <c r="CR146">
        <f>IF(AND(VLOOKUP(CR$1,main!$A$3:$H$102,7,FALSE)=main!$G$104,VLOOKUP(CR$1,main!$A$3:$H$102,5,FALSE)-VLOOKUP($A146,main!$A$3:$H$102,6,FALSE)&gt;=main!$D$103+VLOOKUP(VLOOKUP(CR$1,main!$A$3:$I$102,7,FALSE),main!$K$26:$Q$29,4,FALSE)),1,0)</f>
        <v>0</v>
      </c>
      <c r="CS146">
        <f>IF(AND(VLOOKUP(CS$1,main!$A$3:$H$102,7,FALSE)=main!$G$104,VLOOKUP(CS$1,main!$A$3:$H$102,5,FALSE)-VLOOKUP($A146,main!$A$3:$H$102,6,FALSE)&gt;=main!$D$103+VLOOKUP(VLOOKUP(CS$1,main!$A$3:$I$102,7,FALSE),main!$K$26:$Q$29,4,FALSE)),1,0)</f>
        <v>0</v>
      </c>
      <c r="CT146">
        <f>IF(AND(VLOOKUP(CT$1,main!$A$3:$H$102,7,FALSE)=main!$G$104,VLOOKUP(CT$1,main!$A$3:$H$102,5,FALSE)-VLOOKUP($A146,main!$A$3:$H$102,6,FALSE)&gt;=main!$D$103+VLOOKUP(VLOOKUP(CT$1,main!$A$3:$I$102,7,FALSE),main!$K$26:$Q$29,4,FALSE)),1,0)</f>
        <v>0</v>
      </c>
      <c r="CU146">
        <f>IF(AND(VLOOKUP(CU$1,main!$A$3:$H$102,7,FALSE)=main!$G$104,VLOOKUP(CU$1,main!$A$3:$H$102,5,FALSE)-VLOOKUP($A146,main!$A$3:$H$102,6,FALSE)&gt;=main!$D$103+VLOOKUP(VLOOKUP(CU$1,main!$A$3:$I$102,7,FALSE),main!$K$26:$Q$29,4,FALSE)),1,0)</f>
        <v>0</v>
      </c>
      <c r="CV146">
        <f>IF(AND(VLOOKUP(CV$1,main!$A$3:$H$102,7,FALSE)=main!$G$104,VLOOKUP(CV$1,main!$A$3:$H$102,5,FALSE)-VLOOKUP($A146,main!$A$3:$H$102,6,FALSE)&gt;=main!$D$103+VLOOKUP(VLOOKUP(CV$1,main!$A$3:$I$102,7,FALSE),main!$K$26:$Q$29,4,FALSE)),1,0)</f>
        <v>0</v>
      </c>
      <c r="CW146">
        <f>IF(AND(VLOOKUP(CW$1,main!$A$3:$H$102,7,FALSE)=main!$G$104,VLOOKUP(CW$1,main!$A$3:$H$102,5,FALSE)-VLOOKUP($A146,main!$A$3:$H$102,6,FALSE)&gt;=main!$D$103+VLOOKUP(VLOOKUP(CW$1,main!$A$3:$I$102,7,FALSE),main!$K$26:$Q$29,4,FALSE)),1,0)</f>
        <v>0</v>
      </c>
      <c r="CX146">
        <f>IF(AND(VLOOKUP(CX$1,main!$A$3:$H$102,7,FALSE)=main!$G$104,VLOOKUP(CX$1,main!$A$3:$H$102,5,FALSE)-VLOOKUP($A146,main!$A$3:$H$102,6,FALSE)&gt;=main!$D$103+VLOOKUP(VLOOKUP(CX$1,main!$A$3:$I$102,7,FALSE),main!$K$26:$Q$29,4,FALSE)),1,0)</f>
        <v>0</v>
      </c>
      <c r="DB146">
        <f>VLOOKUP($A142,main!$A$3:$H$102,6,FALSE)</f>
        <v>575</v>
      </c>
    </row>
    <row r="147" spans="1:106" x14ac:dyDescent="0.25">
      <c r="A147" s="1">
        <v>44</v>
      </c>
      <c r="B147">
        <v>0</v>
      </c>
      <c r="C147">
        <f>IF(AND(VLOOKUP(C$1,main!$A$3:$H$102,7,FALSE)=main!$G$104,VLOOKUP(C$1,main!$A$3:$H$102,5,FALSE)-VLOOKUP($A147,main!$A$3:$H$102,6,FALSE)&gt;=main!$D$103+VLOOKUP(VLOOKUP(C$1,main!$A$3:$I$102,7,FALSE),main!$K$26:$Q$29,4,FALSE)),1,0)</f>
        <v>0</v>
      </c>
      <c r="D147">
        <f>IF(AND(VLOOKUP(D$1,main!$A$3:$H$102,7,FALSE)=main!$G$104,VLOOKUP(D$1,main!$A$3:$H$102,5,FALSE)-VLOOKUP($A147,main!$A$3:$H$102,6,FALSE)&gt;=main!$D$103+VLOOKUP(VLOOKUP(D$1,main!$A$3:$I$102,7,FALSE),main!$K$26:$Q$29,4,FALSE)),1,0)</f>
        <v>0</v>
      </c>
      <c r="E147">
        <f>IF(AND(VLOOKUP(E$1,main!$A$3:$H$102,7,FALSE)=main!$G$104,VLOOKUP(E$1,main!$A$3:$H$102,5,FALSE)-VLOOKUP($A147,main!$A$3:$H$102,6,FALSE)&gt;=main!$D$103+VLOOKUP(VLOOKUP(E$1,main!$A$3:$I$102,7,FALSE),main!$K$26:$Q$29,4,FALSE)),1,0)</f>
        <v>0</v>
      </c>
      <c r="F147">
        <f>IF(AND(VLOOKUP(F$1,main!$A$3:$H$102,7,FALSE)=main!$G$104,VLOOKUP(F$1,main!$A$3:$H$102,5,FALSE)-VLOOKUP($A147,main!$A$3:$H$102,6,FALSE)&gt;=main!$D$103+VLOOKUP(VLOOKUP(F$1,main!$A$3:$I$102,7,FALSE),main!$K$26:$Q$29,4,FALSE)),1,0)</f>
        <v>0</v>
      </c>
      <c r="G147">
        <f>IF(AND(VLOOKUP(G$1,main!$A$3:$H$102,7,FALSE)=main!$G$104,VLOOKUP(G$1,main!$A$3:$H$102,5,FALSE)-VLOOKUP($A147,main!$A$3:$H$102,6,FALSE)&gt;=main!$D$103+VLOOKUP(VLOOKUP(G$1,main!$A$3:$I$102,7,FALSE),main!$K$26:$Q$29,4,FALSE)),1,0)</f>
        <v>0</v>
      </c>
      <c r="H147">
        <f>IF(AND(VLOOKUP(H$1,main!$A$3:$H$102,7,FALSE)=main!$G$104,VLOOKUP(H$1,main!$A$3:$H$102,5,FALSE)-VLOOKUP($A147,main!$A$3:$H$102,6,FALSE)&gt;=main!$D$103+VLOOKUP(VLOOKUP(H$1,main!$A$3:$I$102,7,FALSE),main!$K$26:$Q$29,4,FALSE)),1,0)</f>
        <v>0</v>
      </c>
      <c r="I147">
        <f>IF(AND(VLOOKUP(I$1,main!$A$3:$H$102,7,FALSE)=main!$G$104,VLOOKUP(I$1,main!$A$3:$H$102,5,FALSE)-VLOOKUP($A147,main!$A$3:$H$102,6,FALSE)&gt;=main!$D$103+VLOOKUP(VLOOKUP(I$1,main!$A$3:$I$102,7,FALSE),main!$K$26:$Q$29,4,FALSE)),1,0)</f>
        <v>0</v>
      </c>
      <c r="J147">
        <f>IF(AND(VLOOKUP(J$1,main!$A$3:$H$102,7,FALSE)=main!$G$104,VLOOKUP(J$1,main!$A$3:$H$102,5,FALSE)-VLOOKUP($A147,main!$A$3:$H$102,6,FALSE)&gt;=main!$D$103+VLOOKUP(VLOOKUP(J$1,main!$A$3:$I$102,7,FALSE),main!$K$26:$Q$29,4,FALSE)),1,0)</f>
        <v>0</v>
      </c>
      <c r="K147">
        <f>IF(AND(VLOOKUP(K$1,main!$A$3:$H$102,7,FALSE)=main!$G$104,VLOOKUP(K$1,main!$A$3:$H$102,5,FALSE)-VLOOKUP($A147,main!$A$3:$H$102,6,FALSE)&gt;=main!$D$103+VLOOKUP(VLOOKUP(K$1,main!$A$3:$I$102,7,FALSE),main!$K$26:$Q$29,4,FALSE)),1,0)</f>
        <v>0</v>
      </c>
      <c r="L147">
        <f>IF(AND(VLOOKUP(L$1,main!$A$3:$H$102,7,FALSE)=main!$G$104,VLOOKUP(L$1,main!$A$3:$H$102,5,FALSE)-VLOOKUP($A147,main!$A$3:$H$102,6,FALSE)&gt;=main!$D$103+VLOOKUP(VLOOKUP(L$1,main!$A$3:$I$102,7,FALSE),main!$K$26:$Q$29,4,FALSE)),1,0)</f>
        <v>1</v>
      </c>
      <c r="M147">
        <f>IF(AND(VLOOKUP(M$1,main!$A$3:$H$102,7,FALSE)=main!$G$104,VLOOKUP(M$1,main!$A$3:$H$102,5,FALSE)-VLOOKUP($A147,main!$A$3:$H$102,6,FALSE)&gt;=main!$D$103+VLOOKUP(VLOOKUP(M$1,main!$A$3:$I$102,7,FALSE),main!$K$26:$Q$29,4,FALSE)),1,0)</f>
        <v>0</v>
      </c>
      <c r="N147">
        <f>IF(AND(VLOOKUP(N$1,main!$A$3:$H$102,7,FALSE)=main!$G$104,VLOOKUP(N$1,main!$A$3:$H$102,5,FALSE)-VLOOKUP($A147,main!$A$3:$H$102,6,FALSE)&gt;=main!$D$103+VLOOKUP(VLOOKUP(N$1,main!$A$3:$I$102,7,FALSE),main!$K$26:$Q$29,4,FALSE)),1,0)</f>
        <v>0</v>
      </c>
      <c r="O147">
        <f>IF(AND(VLOOKUP(O$1,main!$A$3:$H$102,7,FALSE)=main!$G$104,VLOOKUP(O$1,main!$A$3:$H$102,5,FALSE)-VLOOKUP($A147,main!$A$3:$H$102,6,FALSE)&gt;=main!$D$103+VLOOKUP(VLOOKUP(O$1,main!$A$3:$I$102,7,FALSE),main!$K$26:$Q$29,4,FALSE)),1,0)</f>
        <v>0</v>
      </c>
      <c r="P147">
        <f>IF(AND(VLOOKUP(P$1,main!$A$3:$H$102,7,FALSE)=main!$G$104,VLOOKUP(P$1,main!$A$3:$H$102,5,FALSE)-VLOOKUP($A147,main!$A$3:$H$102,6,FALSE)&gt;=main!$D$103+VLOOKUP(VLOOKUP(P$1,main!$A$3:$I$102,7,FALSE),main!$K$26:$Q$29,4,FALSE)),1,0)</f>
        <v>0</v>
      </c>
      <c r="Q147">
        <f>IF(AND(VLOOKUP(Q$1,main!$A$3:$H$102,7,FALSE)=main!$G$104,VLOOKUP(Q$1,main!$A$3:$H$102,5,FALSE)-VLOOKUP($A147,main!$A$3:$H$102,6,FALSE)&gt;=main!$D$103+VLOOKUP(VLOOKUP(Q$1,main!$A$3:$I$102,7,FALSE),main!$K$26:$Q$29,4,FALSE)),1,0)</f>
        <v>0</v>
      </c>
      <c r="R147">
        <f>IF(AND(VLOOKUP(R$1,main!$A$3:$H$102,7,FALSE)=main!$G$104,VLOOKUP(R$1,main!$A$3:$H$102,5,FALSE)-VLOOKUP($A147,main!$A$3:$H$102,6,FALSE)&gt;=main!$D$103+VLOOKUP(VLOOKUP(R$1,main!$A$3:$I$102,7,FALSE),main!$K$26:$Q$29,4,FALSE)),1,0)</f>
        <v>0</v>
      </c>
      <c r="S147">
        <f>IF(AND(VLOOKUP(S$1,main!$A$3:$H$102,7,FALSE)=main!$G$104,VLOOKUP(S$1,main!$A$3:$H$102,5,FALSE)-VLOOKUP($A147,main!$A$3:$H$102,6,FALSE)&gt;=main!$D$103+VLOOKUP(VLOOKUP(S$1,main!$A$3:$I$102,7,FALSE),main!$K$26:$Q$29,4,FALSE)),1,0)</f>
        <v>0</v>
      </c>
      <c r="T147">
        <f>IF(AND(VLOOKUP(T$1,main!$A$3:$H$102,7,FALSE)=main!$G$104,VLOOKUP(T$1,main!$A$3:$H$102,5,FALSE)-VLOOKUP($A147,main!$A$3:$H$102,6,FALSE)&gt;=main!$D$103+VLOOKUP(VLOOKUP(T$1,main!$A$3:$I$102,7,FALSE),main!$K$26:$Q$29,4,FALSE)),1,0)</f>
        <v>0</v>
      </c>
      <c r="U147">
        <f>IF(AND(VLOOKUP(U$1,main!$A$3:$H$102,7,FALSE)=main!$G$104,VLOOKUP(U$1,main!$A$3:$H$102,5,FALSE)-VLOOKUP($A147,main!$A$3:$H$102,6,FALSE)&gt;=main!$D$103+VLOOKUP(VLOOKUP(U$1,main!$A$3:$I$102,7,FALSE),main!$K$26:$Q$29,4,FALSE)),1,0)</f>
        <v>0</v>
      </c>
      <c r="V147">
        <f>IF(AND(VLOOKUP(V$1,main!$A$3:$H$102,7,FALSE)=main!$G$104,VLOOKUP(V$1,main!$A$3:$H$102,5,FALSE)-VLOOKUP($A147,main!$A$3:$H$102,6,FALSE)&gt;=main!$D$103+VLOOKUP(VLOOKUP(V$1,main!$A$3:$I$102,7,FALSE),main!$K$26:$Q$29,4,FALSE)),1,0)</f>
        <v>1</v>
      </c>
      <c r="W147">
        <f>IF(AND(VLOOKUP(W$1,main!$A$3:$H$102,7,FALSE)=main!$G$104,VLOOKUP(W$1,main!$A$3:$H$102,5,FALSE)-VLOOKUP($A147,main!$A$3:$H$102,6,FALSE)&gt;=main!$D$103+VLOOKUP(VLOOKUP(W$1,main!$A$3:$I$102,7,FALSE),main!$K$26:$Q$29,4,FALSE)),1,0)</f>
        <v>0</v>
      </c>
      <c r="X147">
        <f>IF(AND(VLOOKUP(X$1,main!$A$3:$H$102,7,FALSE)=main!$G$104,VLOOKUP(X$1,main!$A$3:$H$102,5,FALSE)-VLOOKUP($A147,main!$A$3:$H$102,6,FALSE)&gt;=main!$D$103+VLOOKUP(VLOOKUP(X$1,main!$A$3:$I$102,7,FALSE),main!$K$26:$Q$29,4,FALSE)),1,0)</f>
        <v>0</v>
      </c>
      <c r="Y147">
        <f>IF(AND(VLOOKUP(Y$1,main!$A$3:$H$102,7,FALSE)=main!$G$104,VLOOKUP(Y$1,main!$A$3:$H$102,5,FALSE)-VLOOKUP($A147,main!$A$3:$H$102,6,FALSE)&gt;=main!$D$103+VLOOKUP(VLOOKUP(Y$1,main!$A$3:$I$102,7,FALSE),main!$K$26:$Q$29,4,FALSE)),1,0)</f>
        <v>0</v>
      </c>
      <c r="Z147">
        <f>IF(AND(VLOOKUP(Z$1,main!$A$3:$H$102,7,FALSE)=main!$G$104,VLOOKUP(Z$1,main!$A$3:$H$102,5,FALSE)-VLOOKUP($A147,main!$A$3:$H$102,6,FALSE)&gt;=main!$D$103+VLOOKUP(VLOOKUP(Z$1,main!$A$3:$I$102,7,FALSE),main!$K$26:$Q$29,4,FALSE)),1,0)</f>
        <v>0</v>
      </c>
      <c r="AA147">
        <f>IF(AND(VLOOKUP(AA$1,main!$A$3:$H$102,7,FALSE)=main!$G$104,VLOOKUP(AA$1,main!$A$3:$H$102,5,FALSE)-VLOOKUP($A147,main!$A$3:$H$102,6,FALSE)&gt;=main!$D$103+VLOOKUP(VLOOKUP(AA$1,main!$A$3:$I$102,7,FALSE),main!$K$26:$Q$29,4,FALSE)),1,0)</f>
        <v>0</v>
      </c>
      <c r="AB147">
        <f>IF(AND(VLOOKUP(AB$1,main!$A$3:$H$102,7,FALSE)=main!$G$104,VLOOKUP(AB$1,main!$A$3:$H$102,5,FALSE)-VLOOKUP($A147,main!$A$3:$H$102,6,FALSE)&gt;=main!$D$103+VLOOKUP(VLOOKUP(AB$1,main!$A$3:$I$102,7,FALSE),main!$K$26:$Q$29,4,FALSE)),1,0)</f>
        <v>0</v>
      </c>
      <c r="AC147">
        <f>IF(AND(VLOOKUP(AC$1,main!$A$3:$H$102,7,FALSE)=main!$G$104,VLOOKUP(AC$1,main!$A$3:$H$102,5,FALSE)-VLOOKUP($A147,main!$A$3:$H$102,6,FALSE)&gt;=main!$D$103+VLOOKUP(VLOOKUP(AC$1,main!$A$3:$I$102,7,FALSE),main!$K$26:$Q$29,4,FALSE)),1,0)</f>
        <v>0</v>
      </c>
      <c r="AD147">
        <f>IF(AND(VLOOKUP(AD$1,main!$A$3:$H$102,7,FALSE)=main!$G$104,VLOOKUP(AD$1,main!$A$3:$H$102,5,FALSE)-VLOOKUP($A147,main!$A$3:$H$102,6,FALSE)&gt;=main!$D$103+VLOOKUP(VLOOKUP(AD$1,main!$A$3:$I$102,7,FALSE),main!$K$26:$Q$29,4,FALSE)),1,0)</f>
        <v>0</v>
      </c>
      <c r="AE147">
        <f>IF(AND(VLOOKUP(AE$1,main!$A$3:$H$102,7,FALSE)=main!$G$104,VLOOKUP(AE$1,main!$A$3:$H$102,5,FALSE)-VLOOKUP($A147,main!$A$3:$H$102,6,FALSE)&gt;=main!$D$103+VLOOKUP(VLOOKUP(AE$1,main!$A$3:$I$102,7,FALSE),main!$K$26:$Q$29,4,FALSE)),1,0)</f>
        <v>0</v>
      </c>
      <c r="AF147">
        <f>IF(AND(VLOOKUP(AF$1,main!$A$3:$H$102,7,FALSE)=main!$G$104,VLOOKUP(AF$1,main!$A$3:$H$102,5,FALSE)-VLOOKUP($A147,main!$A$3:$H$102,6,FALSE)&gt;=main!$D$103+VLOOKUP(VLOOKUP(AF$1,main!$A$3:$I$102,7,FALSE),main!$K$26:$Q$29,4,FALSE)),1,0)</f>
        <v>0</v>
      </c>
      <c r="AG147">
        <f>IF(AND(VLOOKUP(AG$1,main!$A$3:$H$102,7,FALSE)=main!$G$104,VLOOKUP(AG$1,main!$A$3:$H$102,5,FALSE)-VLOOKUP($A147,main!$A$3:$H$102,6,FALSE)&gt;=main!$D$103+VLOOKUP(VLOOKUP(AG$1,main!$A$3:$I$102,7,FALSE),main!$K$26:$Q$29,4,FALSE)),1,0)</f>
        <v>0</v>
      </c>
      <c r="AH147">
        <f>IF(AND(VLOOKUP(AH$1,main!$A$3:$H$102,7,FALSE)=main!$G$104,VLOOKUP(AH$1,main!$A$3:$H$102,5,FALSE)-VLOOKUP($A147,main!$A$3:$H$102,6,FALSE)&gt;=main!$D$103+VLOOKUP(VLOOKUP(AH$1,main!$A$3:$I$102,7,FALSE),main!$K$26:$Q$29,4,FALSE)),1,0)</f>
        <v>0</v>
      </c>
      <c r="AI147">
        <f>IF(AND(VLOOKUP(AI$1,main!$A$3:$H$102,7,FALSE)=main!$G$104,VLOOKUP(AI$1,main!$A$3:$H$102,5,FALSE)-VLOOKUP($A147,main!$A$3:$H$102,6,FALSE)&gt;=main!$D$103+VLOOKUP(VLOOKUP(AI$1,main!$A$3:$I$102,7,FALSE),main!$K$26:$Q$29,4,FALSE)),1,0)</f>
        <v>0</v>
      </c>
      <c r="AJ147">
        <f>IF(AND(VLOOKUP(AJ$1,main!$A$3:$H$102,7,FALSE)=main!$G$104,VLOOKUP(AJ$1,main!$A$3:$H$102,5,FALSE)-VLOOKUP($A147,main!$A$3:$H$102,6,FALSE)&gt;=main!$D$103+VLOOKUP(VLOOKUP(AJ$1,main!$A$3:$I$102,7,FALSE),main!$K$26:$Q$29,4,FALSE)),1,0)</f>
        <v>0</v>
      </c>
      <c r="AK147">
        <f>IF(AND(VLOOKUP(AK$1,main!$A$3:$H$102,7,FALSE)=main!$G$104,VLOOKUP(AK$1,main!$A$3:$H$102,5,FALSE)-VLOOKUP($A147,main!$A$3:$H$102,6,FALSE)&gt;=main!$D$103+VLOOKUP(VLOOKUP(AK$1,main!$A$3:$I$102,7,FALSE),main!$K$26:$Q$29,4,FALSE)),1,0)</f>
        <v>0</v>
      </c>
      <c r="AL147">
        <f>IF(AND(VLOOKUP(AL$1,main!$A$3:$H$102,7,FALSE)=main!$G$104,VLOOKUP(AL$1,main!$A$3:$H$102,5,FALSE)-VLOOKUP($A147,main!$A$3:$H$102,6,FALSE)&gt;=main!$D$103+VLOOKUP(VLOOKUP(AL$1,main!$A$3:$I$102,7,FALSE),main!$K$26:$Q$29,4,FALSE)),1,0)</f>
        <v>0</v>
      </c>
      <c r="AM147">
        <f>IF(AND(VLOOKUP(AM$1,main!$A$3:$H$102,7,FALSE)=main!$G$104,VLOOKUP(AM$1,main!$A$3:$H$102,5,FALSE)-VLOOKUP($A147,main!$A$3:$H$102,6,FALSE)&gt;=main!$D$103+VLOOKUP(VLOOKUP(AM$1,main!$A$3:$I$102,7,FALSE),main!$K$26:$Q$29,4,FALSE)),1,0)</f>
        <v>0</v>
      </c>
      <c r="AN147">
        <f>IF(AND(VLOOKUP(AN$1,main!$A$3:$H$102,7,FALSE)=main!$G$104,VLOOKUP(AN$1,main!$A$3:$H$102,5,FALSE)-VLOOKUP($A147,main!$A$3:$H$102,6,FALSE)&gt;=main!$D$103+VLOOKUP(VLOOKUP(AN$1,main!$A$3:$I$102,7,FALSE),main!$K$26:$Q$29,4,FALSE)),1,0)</f>
        <v>0</v>
      </c>
      <c r="AO147">
        <f>IF(AND(VLOOKUP(AO$1,main!$A$3:$H$102,7,FALSE)=main!$G$104,VLOOKUP(AO$1,main!$A$3:$H$102,5,FALSE)-VLOOKUP($A147,main!$A$3:$H$102,6,FALSE)&gt;=main!$D$103+VLOOKUP(VLOOKUP(AO$1,main!$A$3:$I$102,7,FALSE),main!$K$26:$Q$29,4,FALSE)),1,0)</f>
        <v>0</v>
      </c>
      <c r="AP147">
        <f>IF(AND(VLOOKUP(AP$1,main!$A$3:$H$102,7,FALSE)=main!$G$104,VLOOKUP(AP$1,main!$A$3:$H$102,5,FALSE)-VLOOKUP($A147,main!$A$3:$H$102,6,FALSE)&gt;=main!$D$103+VLOOKUP(VLOOKUP(AP$1,main!$A$3:$I$102,7,FALSE),main!$K$26:$Q$29,4,FALSE)),1,0)</f>
        <v>0</v>
      </c>
      <c r="AQ147">
        <f>IF(AND(VLOOKUP(AQ$1,main!$A$3:$H$102,7,FALSE)=main!$G$104,VLOOKUP(AQ$1,main!$A$3:$H$102,5,FALSE)-VLOOKUP($A147,main!$A$3:$H$102,6,FALSE)&gt;=main!$D$103+VLOOKUP(VLOOKUP(AQ$1,main!$A$3:$I$102,7,FALSE),main!$K$26:$Q$29,4,FALSE)),1,0)</f>
        <v>0</v>
      </c>
      <c r="AR147">
        <f>IF(AND(VLOOKUP(AR$1,main!$A$3:$H$102,7,FALSE)=main!$G$104,VLOOKUP(AR$1,main!$A$3:$H$102,5,FALSE)-VLOOKUP($A147,main!$A$3:$H$102,6,FALSE)&gt;=main!$D$103+VLOOKUP(VLOOKUP(AR$1,main!$A$3:$I$102,7,FALSE),main!$K$26:$Q$29,4,FALSE)),1,0)</f>
        <v>0</v>
      </c>
      <c r="AS147">
        <f>IF(AND(VLOOKUP(AS$1,main!$A$3:$H$102,7,FALSE)=main!$G$104,VLOOKUP(AS$1,main!$A$3:$H$102,5,FALSE)-VLOOKUP($A147,main!$A$3:$H$102,6,FALSE)&gt;=main!$D$103+VLOOKUP(VLOOKUP(AS$1,main!$A$3:$I$102,7,FALSE),main!$K$26:$Q$29,4,FALSE)),1,0)</f>
        <v>0</v>
      </c>
      <c r="AT147">
        <f>IF(AND(VLOOKUP(AT$1,main!$A$3:$H$102,7,FALSE)=main!$G$104,VLOOKUP(AT$1,main!$A$3:$H$102,5,FALSE)-VLOOKUP($A147,main!$A$3:$H$102,6,FALSE)&gt;=main!$D$103+VLOOKUP(VLOOKUP(AT$1,main!$A$3:$I$102,7,FALSE),main!$K$26:$Q$29,4,FALSE)),1,0)</f>
        <v>0</v>
      </c>
      <c r="AU147">
        <f>IF(AND(VLOOKUP(AU$1,main!$A$3:$H$102,7,FALSE)=main!$G$104,VLOOKUP(AU$1,main!$A$3:$H$102,5,FALSE)-VLOOKUP($A147,main!$A$3:$H$102,6,FALSE)&gt;=main!$D$103+VLOOKUP(VLOOKUP(AU$1,main!$A$3:$I$102,7,FALSE),main!$K$26:$Q$29,4,FALSE)),1,0)</f>
        <v>0</v>
      </c>
      <c r="AV147">
        <f>IF(AND(VLOOKUP(AV$1,main!$A$3:$H$102,7,FALSE)=main!$G$104,VLOOKUP(AV$1,main!$A$3:$H$102,5,FALSE)-VLOOKUP($A147,main!$A$3:$H$102,6,FALSE)&gt;=main!$D$103+VLOOKUP(VLOOKUP(AV$1,main!$A$3:$I$102,7,FALSE),main!$K$26:$Q$29,4,FALSE)),1,0)</f>
        <v>0</v>
      </c>
      <c r="AW147">
        <f>IF(AND(VLOOKUP(AW$1,main!$A$3:$H$102,7,FALSE)=main!$G$104,VLOOKUP(AW$1,main!$A$3:$H$102,5,FALSE)-VLOOKUP($A147,main!$A$3:$H$102,6,FALSE)&gt;=main!$D$103+VLOOKUP(VLOOKUP(AW$1,main!$A$3:$I$102,7,FALSE),main!$K$26:$Q$29,4,FALSE)),1,0)</f>
        <v>0</v>
      </c>
      <c r="AX147">
        <f>IF(AND(VLOOKUP(AX$1,main!$A$3:$H$102,7,FALSE)=main!$G$104,VLOOKUP(AX$1,main!$A$3:$H$102,5,FALSE)-VLOOKUP($A147,main!$A$3:$H$102,6,FALSE)&gt;=main!$D$103+VLOOKUP(VLOOKUP(AX$1,main!$A$3:$I$102,7,FALSE),main!$K$26:$Q$29,4,FALSE)),1,0)</f>
        <v>0</v>
      </c>
      <c r="AY147">
        <f>IF(AND(VLOOKUP(AY$1,main!$A$3:$H$102,7,FALSE)=main!$G$104,VLOOKUP(AY$1,main!$A$3:$H$102,5,FALSE)-VLOOKUP($A147,main!$A$3:$H$102,6,FALSE)&gt;=main!$D$103+VLOOKUP(VLOOKUP(AY$1,main!$A$3:$I$102,7,FALSE),main!$K$26:$Q$29,4,FALSE)),1,0)</f>
        <v>0</v>
      </c>
      <c r="AZ147">
        <f>IF(AND(VLOOKUP(AZ$1,main!$A$3:$H$102,7,FALSE)=main!$G$104,VLOOKUP(AZ$1,main!$A$3:$H$102,5,FALSE)-VLOOKUP($A147,main!$A$3:$H$102,6,FALSE)&gt;=main!$D$103+VLOOKUP(VLOOKUP(AZ$1,main!$A$3:$I$102,7,FALSE),main!$K$26:$Q$29,4,FALSE)),1,0)</f>
        <v>0</v>
      </c>
      <c r="BA147">
        <f>IF(AND(VLOOKUP(BA$1,main!$A$3:$H$102,7,FALSE)=main!$G$104,VLOOKUP(BA$1,main!$A$3:$H$102,5,FALSE)-VLOOKUP($A147,main!$A$3:$H$102,6,FALSE)&gt;=main!$D$103+VLOOKUP(VLOOKUP(BA$1,main!$A$3:$I$102,7,FALSE),main!$K$26:$Q$29,4,FALSE)),1,0)</f>
        <v>0</v>
      </c>
      <c r="BB147">
        <f>IF(AND(VLOOKUP(BB$1,main!$A$3:$H$102,7,FALSE)=main!$G$104,VLOOKUP(BB$1,main!$A$3:$H$102,5,FALSE)-VLOOKUP($A147,main!$A$3:$H$102,6,FALSE)&gt;=main!$D$103+VLOOKUP(VLOOKUP(BB$1,main!$A$3:$I$102,7,FALSE),main!$K$26:$Q$29,4,FALSE)),1,0)</f>
        <v>0</v>
      </c>
      <c r="BC147">
        <f>IF(AND(VLOOKUP(BC$1,main!$A$3:$H$102,7,FALSE)=main!$G$104,VLOOKUP(BC$1,main!$A$3:$H$102,5,FALSE)-VLOOKUP($A147,main!$A$3:$H$102,6,FALSE)&gt;=main!$D$103+VLOOKUP(VLOOKUP(BC$1,main!$A$3:$I$102,7,FALSE),main!$K$26:$Q$29,4,FALSE)),1,0)</f>
        <v>0</v>
      </c>
      <c r="BD147">
        <f>IF(AND(VLOOKUP(BD$1,main!$A$3:$H$102,7,FALSE)=main!$G$104,VLOOKUP(BD$1,main!$A$3:$H$102,5,FALSE)-VLOOKUP($A147,main!$A$3:$H$102,6,FALSE)&gt;=main!$D$103+VLOOKUP(VLOOKUP(BD$1,main!$A$3:$I$102,7,FALSE),main!$K$26:$Q$29,4,FALSE)),1,0)</f>
        <v>0</v>
      </c>
      <c r="BE147">
        <f>IF(AND(VLOOKUP(BE$1,main!$A$3:$H$102,7,FALSE)=main!$G$104,VLOOKUP(BE$1,main!$A$3:$H$102,5,FALSE)-VLOOKUP($A147,main!$A$3:$H$102,6,FALSE)&gt;=main!$D$103+VLOOKUP(VLOOKUP(BE$1,main!$A$3:$I$102,7,FALSE),main!$K$26:$Q$29,4,FALSE)),1,0)</f>
        <v>0</v>
      </c>
      <c r="BF147">
        <f>IF(AND(VLOOKUP(BF$1,main!$A$3:$H$102,7,FALSE)=main!$G$104,VLOOKUP(BF$1,main!$A$3:$H$102,5,FALSE)-VLOOKUP($A147,main!$A$3:$H$102,6,FALSE)&gt;=main!$D$103+VLOOKUP(VLOOKUP(BF$1,main!$A$3:$I$102,7,FALSE),main!$K$26:$Q$29,4,FALSE)),1,0)</f>
        <v>0</v>
      </c>
      <c r="BG147">
        <f>IF(AND(VLOOKUP(BG$1,main!$A$3:$H$102,7,FALSE)=main!$G$104,VLOOKUP(BG$1,main!$A$3:$H$102,5,FALSE)-VLOOKUP($A147,main!$A$3:$H$102,6,FALSE)&gt;=main!$D$103+VLOOKUP(VLOOKUP(BG$1,main!$A$3:$I$102,7,FALSE),main!$K$26:$Q$29,4,FALSE)),1,0)</f>
        <v>0</v>
      </c>
      <c r="BH147">
        <f>IF(AND(VLOOKUP(BH$1,main!$A$3:$H$102,7,FALSE)=main!$G$104,VLOOKUP(BH$1,main!$A$3:$H$102,5,FALSE)-VLOOKUP($A147,main!$A$3:$H$102,6,FALSE)&gt;=main!$D$103+VLOOKUP(VLOOKUP(BH$1,main!$A$3:$I$102,7,FALSE),main!$K$26:$Q$29,4,FALSE)),1,0)</f>
        <v>0</v>
      </c>
      <c r="BI147">
        <f>IF(AND(VLOOKUP(BI$1,main!$A$3:$H$102,7,FALSE)=main!$G$104,VLOOKUP(BI$1,main!$A$3:$H$102,5,FALSE)-VLOOKUP($A147,main!$A$3:$H$102,6,FALSE)&gt;=main!$D$103+VLOOKUP(VLOOKUP(BI$1,main!$A$3:$I$102,7,FALSE),main!$K$26:$Q$29,4,FALSE)),1,0)</f>
        <v>0</v>
      </c>
      <c r="BJ147">
        <f>IF(AND(VLOOKUP(BJ$1,main!$A$3:$H$102,7,FALSE)=main!$G$104,VLOOKUP(BJ$1,main!$A$3:$H$102,5,FALSE)-VLOOKUP($A147,main!$A$3:$H$102,6,FALSE)&gt;=main!$D$103+VLOOKUP(VLOOKUP(BJ$1,main!$A$3:$I$102,7,FALSE),main!$K$26:$Q$29,4,FALSE)),1,0)</f>
        <v>0</v>
      </c>
      <c r="BK147">
        <f>IF(AND(VLOOKUP(BK$1,main!$A$3:$H$102,7,FALSE)=main!$G$104,VLOOKUP(BK$1,main!$A$3:$H$102,5,FALSE)-VLOOKUP($A147,main!$A$3:$H$102,6,FALSE)&gt;=main!$D$103+VLOOKUP(VLOOKUP(BK$1,main!$A$3:$I$102,7,FALSE),main!$K$26:$Q$29,4,FALSE)),1,0)</f>
        <v>0</v>
      </c>
      <c r="BL147">
        <f>IF(AND(VLOOKUP(BL$1,main!$A$3:$H$102,7,FALSE)=main!$G$104,VLOOKUP(BL$1,main!$A$3:$H$102,5,FALSE)-VLOOKUP($A147,main!$A$3:$H$102,6,FALSE)&gt;=main!$D$103+VLOOKUP(VLOOKUP(BL$1,main!$A$3:$I$102,7,FALSE),main!$K$26:$Q$29,4,FALSE)),1,0)</f>
        <v>0</v>
      </c>
      <c r="BM147">
        <f>IF(AND(VLOOKUP(BM$1,main!$A$3:$H$102,7,FALSE)=main!$G$104,VLOOKUP(BM$1,main!$A$3:$H$102,5,FALSE)-VLOOKUP($A147,main!$A$3:$H$102,6,FALSE)&gt;=main!$D$103+VLOOKUP(VLOOKUP(BM$1,main!$A$3:$I$102,7,FALSE),main!$K$26:$Q$29,4,FALSE)),1,0)</f>
        <v>0</v>
      </c>
      <c r="BN147">
        <f>IF(AND(VLOOKUP(BN$1,main!$A$3:$H$102,7,FALSE)=main!$G$104,VLOOKUP(BN$1,main!$A$3:$H$102,5,FALSE)-VLOOKUP($A147,main!$A$3:$H$102,6,FALSE)&gt;=main!$D$103+VLOOKUP(VLOOKUP(BN$1,main!$A$3:$I$102,7,FALSE),main!$K$26:$Q$29,4,FALSE)),1,0)</f>
        <v>0</v>
      </c>
      <c r="BO147">
        <f>IF(AND(VLOOKUP(BO$1,main!$A$3:$H$102,7,FALSE)=main!$G$104,VLOOKUP(BO$1,main!$A$3:$H$102,5,FALSE)-VLOOKUP($A147,main!$A$3:$H$102,6,FALSE)&gt;=main!$D$103+VLOOKUP(VLOOKUP(BO$1,main!$A$3:$I$102,7,FALSE),main!$K$26:$Q$29,4,FALSE)),1,0)</f>
        <v>0</v>
      </c>
      <c r="BP147">
        <f>IF(AND(VLOOKUP(BP$1,main!$A$3:$H$102,7,FALSE)=main!$G$104,VLOOKUP(BP$1,main!$A$3:$H$102,5,FALSE)-VLOOKUP($A147,main!$A$3:$H$102,6,FALSE)&gt;=main!$D$103+VLOOKUP(VLOOKUP(BP$1,main!$A$3:$I$102,7,FALSE),main!$K$26:$Q$29,4,FALSE)),1,0)</f>
        <v>0</v>
      </c>
      <c r="BQ147">
        <f>IF(AND(VLOOKUP(BQ$1,main!$A$3:$H$102,7,FALSE)=main!$G$104,VLOOKUP(BQ$1,main!$A$3:$H$102,5,FALSE)-VLOOKUP($A147,main!$A$3:$H$102,6,FALSE)&gt;=main!$D$103+VLOOKUP(VLOOKUP(BQ$1,main!$A$3:$I$102,7,FALSE),main!$K$26:$Q$29,4,FALSE)),1,0)</f>
        <v>0</v>
      </c>
      <c r="BR147">
        <f>IF(AND(VLOOKUP(BR$1,main!$A$3:$H$102,7,FALSE)=main!$G$104,VLOOKUP(BR$1,main!$A$3:$H$102,5,FALSE)-VLOOKUP($A147,main!$A$3:$H$102,6,FALSE)&gt;=main!$D$103+VLOOKUP(VLOOKUP(BR$1,main!$A$3:$I$102,7,FALSE),main!$K$26:$Q$29,4,FALSE)),1,0)</f>
        <v>0</v>
      </c>
      <c r="BS147">
        <f>IF(AND(VLOOKUP(BS$1,main!$A$3:$H$102,7,FALSE)=main!$G$104,VLOOKUP(BS$1,main!$A$3:$H$102,5,FALSE)-VLOOKUP($A147,main!$A$3:$H$102,6,FALSE)&gt;=main!$D$103+VLOOKUP(VLOOKUP(BS$1,main!$A$3:$I$102,7,FALSE),main!$K$26:$Q$29,4,FALSE)),1,0)</f>
        <v>0</v>
      </c>
      <c r="BT147">
        <f>IF(AND(VLOOKUP(BT$1,main!$A$3:$H$102,7,FALSE)=main!$G$104,VLOOKUP(BT$1,main!$A$3:$H$102,5,FALSE)-VLOOKUP($A147,main!$A$3:$H$102,6,FALSE)&gt;=main!$D$103+VLOOKUP(VLOOKUP(BT$1,main!$A$3:$I$102,7,FALSE),main!$K$26:$Q$29,4,FALSE)),1,0)</f>
        <v>0</v>
      </c>
      <c r="BU147">
        <f>IF(AND(VLOOKUP(BU$1,main!$A$3:$H$102,7,FALSE)=main!$G$104,VLOOKUP(BU$1,main!$A$3:$H$102,5,FALSE)-VLOOKUP($A147,main!$A$3:$H$102,6,FALSE)&gt;=main!$D$103+VLOOKUP(VLOOKUP(BU$1,main!$A$3:$I$102,7,FALSE),main!$K$26:$Q$29,4,FALSE)),1,0)</f>
        <v>0</v>
      </c>
      <c r="BV147">
        <f>IF(AND(VLOOKUP(BV$1,main!$A$3:$H$102,7,FALSE)=main!$G$104,VLOOKUP(BV$1,main!$A$3:$H$102,5,FALSE)-VLOOKUP($A147,main!$A$3:$H$102,6,FALSE)&gt;=main!$D$103+VLOOKUP(VLOOKUP(BV$1,main!$A$3:$I$102,7,FALSE),main!$K$26:$Q$29,4,FALSE)),1,0)</f>
        <v>0</v>
      </c>
      <c r="BW147">
        <f>IF(AND(VLOOKUP(BW$1,main!$A$3:$H$102,7,FALSE)=main!$G$104,VLOOKUP(BW$1,main!$A$3:$H$102,5,FALSE)-VLOOKUP($A147,main!$A$3:$H$102,6,FALSE)&gt;=main!$D$103+VLOOKUP(VLOOKUP(BW$1,main!$A$3:$I$102,7,FALSE),main!$K$26:$Q$29,4,FALSE)),1,0)</f>
        <v>0</v>
      </c>
      <c r="BX147">
        <f>IF(AND(VLOOKUP(BX$1,main!$A$3:$H$102,7,FALSE)=main!$G$104,VLOOKUP(BX$1,main!$A$3:$H$102,5,FALSE)-VLOOKUP($A147,main!$A$3:$H$102,6,FALSE)&gt;=main!$D$103+VLOOKUP(VLOOKUP(BX$1,main!$A$3:$I$102,7,FALSE),main!$K$26:$Q$29,4,FALSE)),1,0)</f>
        <v>0</v>
      </c>
      <c r="BY147">
        <f>IF(AND(VLOOKUP(BY$1,main!$A$3:$H$102,7,FALSE)=main!$G$104,VLOOKUP(BY$1,main!$A$3:$H$102,5,FALSE)-VLOOKUP($A147,main!$A$3:$H$102,6,FALSE)&gt;=main!$D$103+VLOOKUP(VLOOKUP(BY$1,main!$A$3:$I$102,7,FALSE),main!$K$26:$Q$29,4,FALSE)),1,0)</f>
        <v>0</v>
      </c>
      <c r="BZ147">
        <f>IF(AND(VLOOKUP(BZ$1,main!$A$3:$H$102,7,FALSE)=main!$G$104,VLOOKUP(BZ$1,main!$A$3:$H$102,5,FALSE)-VLOOKUP($A147,main!$A$3:$H$102,6,FALSE)&gt;=main!$D$103+VLOOKUP(VLOOKUP(BZ$1,main!$A$3:$I$102,7,FALSE),main!$K$26:$Q$29,4,FALSE)),1,0)</f>
        <v>0</v>
      </c>
      <c r="CA147">
        <f>IF(AND(VLOOKUP(CA$1,main!$A$3:$H$102,7,FALSE)=main!$G$104,VLOOKUP(CA$1,main!$A$3:$H$102,5,FALSE)-VLOOKUP($A147,main!$A$3:$H$102,6,FALSE)&gt;=main!$D$103+VLOOKUP(VLOOKUP(CA$1,main!$A$3:$I$102,7,FALSE),main!$K$26:$Q$29,4,FALSE)),1,0)</f>
        <v>0</v>
      </c>
      <c r="CB147">
        <f>IF(AND(VLOOKUP(CB$1,main!$A$3:$H$102,7,FALSE)=main!$G$104,VLOOKUP(CB$1,main!$A$3:$H$102,5,FALSE)-VLOOKUP($A147,main!$A$3:$H$102,6,FALSE)&gt;=main!$D$103+VLOOKUP(VLOOKUP(CB$1,main!$A$3:$I$102,7,FALSE),main!$K$26:$Q$29,4,FALSE)),1,0)</f>
        <v>0</v>
      </c>
      <c r="CC147">
        <f>IF(AND(VLOOKUP(CC$1,main!$A$3:$H$102,7,FALSE)=main!$G$104,VLOOKUP(CC$1,main!$A$3:$H$102,5,FALSE)-VLOOKUP($A147,main!$A$3:$H$102,6,FALSE)&gt;=main!$D$103+VLOOKUP(VLOOKUP(CC$1,main!$A$3:$I$102,7,FALSE),main!$K$26:$Q$29,4,FALSE)),1,0)</f>
        <v>0</v>
      </c>
      <c r="CD147">
        <f>IF(AND(VLOOKUP(CD$1,main!$A$3:$H$102,7,FALSE)=main!$G$104,VLOOKUP(CD$1,main!$A$3:$H$102,5,FALSE)-VLOOKUP($A147,main!$A$3:$H$102,6,FALSE)&gt;=main!$D$103+VLOOKUP(VLOOKUP(CD$1,main!$A$3:$I$102,7,FALSE),main!$K$26:$Q$29,4,FALSE)),1,0)</f>
        <v>0</v>
      </c>
      <c r="CE147">
        <f>IF(AND(VLOOKUP(CE$1,main!$A$3:$H$102,7,FALSE)=main!$G$104,VLOOKUP(CE$1,main!$A$3:$H$102,5,FALSE)-VLOOKUP($A147,main!$A$3:$H$102,6,FALSE)&gt;=main!$D$103+VLOOKUP(VLOOKUP(CE$1,main!$A$3:$I$102,7,FALSE),main!$K$26:$Q$29,4,FALSE)),1,0)</f>
        <v>0</v>
      </c>
      <c r="CF147">
        <f>IF(AND(VLOOKUP(CF$1,main!$A$3:$H$102,7,FALSE)=main!$G$104,VLOOKUP(CF$1,main!$A$3:$H$102,5,FALSE)-VLOOKUP($A147,main!$A$3:$H$102,6,FALSE)&gt;=main!$D$103+VLOOKUP(VLOOKUP(CF$1,main!$A$3:$I$102,7,FALSE),main!$K$26:$Q$29,4,FALSE)),1,0)</f>
        <v>0</v>
      </c>
      <c r="CG147">
        <f>IF(AND(VLOOKUP(CG$1,main!$A$3:$H$102,7,FALSE)=main!$G$104,VLOOKUP(CG$1,main!$A$3:$H$102,5,FALSE)-VLOOKUP($A147,main!$A$3:$H$102,6,FALSE)&gt;=main!$D$103+VLOOKUP(VLOOKUP(CG$1,main!$A$3:$I$102,7,FALSE),main!$K$26:$Q$29,4,FALSE)),1,0)</f>
        <v>0</v>
      </c>
      <c r="CH147">
        <f>IF(AND(VLOOKUP(CH$1,main!$A$3:$H$102,7,FALSE)=main!$G$104,VLOOKUP(CH$1,main!$A$3:$H$102,5,FALSE)-VLOOKUP($A147,main!$A$3:$H$102,6,FALSE)&gt;=main!$D$103+VLOOKUP(VLOOKUP(CH$1,main!$A$3:$I$102,7,FALSE),main!$K$26:$Q$29,4,FALSE)),1,0)</f>
        <v>0</v>
      </c>
      <c r="CI147">
        <f>IF(AND(VLOOKUP(CI$1,main!$A$3:$H$102,7,FALSE)=main!$G$104,VLOOKUP(CI$1,main!$A$3:$H$102,5,FALSE)-VLOOKUP($A147,main!$A$3:$H$102,6,FALSE)&gt;=main!$D$103+VLOOKUP(VLOOKUP(CI$1,main!$A$3:$I$102,7,FALSE),main!$K$26:$Q$29,4,FALSE)),1,0)</f>
        <v>0</v>
      </c>
      <c r="CJ147">
        <f>IF(AND(VLOOKUP(CJ$1,main!$A$3:$H$102,7,FALSE)=main!$G$104,VLOOKUP(CJ$1,main!$A$3:$H$102,5,FALSE)-VLOOKUP($A147,main!$A$3:$H$102,6,FALSE)&gt;=main!$D$103+VLOOKUP(VLOOKUP(CJ$1,main!$A$3:$I$102,7,FALSE),main!$K$26:$Q$29,4,FALSE)),1,0)</f>
        <v>0</v>
      </c>
      <c r="CK147">
        <f>IF(AND(VLOOKUP(CK$1,main!$A$3:$H$102,7,FALSE)=main!$G$104,VLOOKUP(CK$1,main!$A$3:$H$102,5,FALSE)-VLOOKUP($A147,main!$A$3:$H$102,6,FALSE)&gt;=main!$D$103+VLOOKUP(VLOOKUP(CK$1,main!$A$3:$I$102,7,FALSE),main!$K$26:$Q$29,4,FALSE)),1,0)</f>
        <v>0</v>
      </c>
      <c r="CL147">
        <f>IF(AND(VLOOKUP(CL$1,main!$A$3:$H$102,7,FALSE)=main!$G$104,VLOOKUP(CL$1,main!$A$3:$H$102,5,FALSE)-VLOOKUP($A147,main!$A$3:$H$102,6,FALSE)&gt;=main!$D$103+VLOOKUP(VLOOKUP(CL$1,main!$A$3:$I$102,7,FALSE),main!$K$26:$Q$29,4,FALSE)),1,0)</f>
        <v>0</v>
      </c>
      <c r="CM147">
        <f>IF(AND(VLOOKUP(CM$1,main!$A$3:$H$102,7,FALSE)=main!$G$104,VLOOKUP(CM$1,main!$A$3:$H$102,5,FALSE)-VLOOKUP($A147,main!$A$3:$H$102,6,FALSE)&gt;=main!$D$103+VLOOKUP(VLOOKUP(CM$1,main!$A$3:$I$102,7,FALSE),main!$K$26:$Q$29,4,FALSE)),1,0)</f>
        <v>0</v>
      </c>
      <c r="CN147">
        <f>IF(AND(VLOOKUP(CN$1,main!$A$3:$H$102,7,FALSE)=main!$G$104,VLOOKUP(CN$1,main!$A$3:$H$102,5,FALSE)-VLOOKUP($A147,main!$A$3:$H$102,6,FALSE)&gt;=main!$D$103+VLOOKUP(VLOOKUP(CN$1,main!$A$3:$I$102,7,FALSE),main!$K$26:$Q$29,4,FALSE)),1,0)</f>
        <v>0</v>
      </c>
      <c r="CO147">
        <f>IF(AND(VLOOKUP(CO$1,main!$A$3:$H$102,7,FALSE)=main!$G$104,VLOOKUP(CO$1,main!$A$3:$H$102,5,FALSE)-VLOOKUP($A147,main!$A$3:$H$102,6,FALSE)&gt;=main!$D$103+VLOOKUP(VLOOKUP(CO$1,main!$A$3:$I$102,7,FALSE),main!$K$26:$Q$29,4,FALSE)),1,0)</f>
        <v>0</v>
      </c>
      <c r="CP147">
        <f>IF(AND(VLOOKUP(CP$1,main!$A$3:$H$102,7,FALSE)=main!$G$104,VLOOKUP(CP$1,main!$A$3:$H$102,5,FALSE)-VLOOKUP($A147,main!$A$3:$H$102,6,FALSE)&gt;=main!$D$103+VLOOKUP(VLOOKUP(CP$1,main!$A$3:$I$102,7,FALSE),main!$K$26:$Q$29,4,FALSE)),1,0)</f>
        <v>0</v>
      </c>
      <c r="CQ147">
        <f>IF(AND(VLOOKUP(CQ$1,main!$A$3:$H$102,7,FALSE)=main!$G$104,VLOOKUP(CQ$1,main!$A$3:$H$102,5,FALSE)-VLOOKUP($A147,main!$A$3:$H$102,6,FALSE)&gt;=main!$D$103+VLOOKUP(VLOOKUP(CQ$1,main!$A$3:$I$102,7,FALSE),main!$K$26:$Q$29,4,FALSE)),1,0)</f>
        <v>0</v>
      </c>
      <c r="CR147">
        <f>IF(AND(VLOOKUP(CR$1,main!$A$3:$H$102,7,FALSE)=main!$G$104,VLOOKUP(CR$1,main!$A$3:$H$102,5,FALSE)-VLOOKUP($A147,main!$A$3:$H$102,6,FALSE)&gt;=main!$D$103+VLOOKUP(VLOOKUP(CR$1,main!$A$3:$I$102,7,FALSE),main!$K$26:$Q$29,4,FALSE)),1,0)</f>
        <v>0</v>
      </c>
      <c r="CS147">
        <f>IF(AND(VLOOKUP(CS$1,main!$A$3:$H$102,7,FALSE)=main!$G$104,VLOOKUP(CS$1,main!$A$3:$H$102,5,FALSE)-VLOOKUP($A147,main!$A$3:$H$102,6,FALSE)&gt;=main!$D$103+VLOOKUP(VLOOKUP(CS$1,main!$A$3:$I$102,7,FALSE),main!$K$26:$Q$29,4,FALSE)),1,0)</f>
        <v>0</v>
      </c>
      <c r="CT147">
        <f>IF(AND(VLOOKUP(CT$1,main!$A$3:$H$102,7,FALSE)=main!$G$104,VLOOKUP(CT$1,main!$A$3:$H$102,5,FALSE)-VLOOKUP($A147,main!$A$3:$H$102,6,FALSE)&gt;=main!$D$103+VLOOKUP(VLOOKUP(CT$1,main!$A$3:$I$102,7,FALSE),main!$K$26:$Q$29,4,FALSE)),1,0)</f>
        <v>0</v>
      </c>
      <c r="CU147">
        <f>IF(AND(VLOOKUP(CU$1,main!$A$3:$H$102,7,FALSE)=main!$G$104,VLOOKUP(CU$1,main!$A$3:$H$102,5,FALSE)-VLOOKUP($A147,main!$A$3:$H$102,6,FALSE)&gt;=main!$D$103+VLOOKUP(VLOOKUP(CU$1,main!$A$3:$I$102,7,FALSE),main!$K$26:$Q$29,4,FALSE)),1,0)</f>
        <v>0</v>
      </c>
      <c r="CV147">
        <f>IF(AND(VLOOKUP(CV$1,main!$A$3:$H$102,7,FALSE)=main!$G$104,VLOOKUP(CV$1,main!$A$3:$H$102,5,FALSE)-VLOOKUP($A147,main!$A$3:$H$102,6,FALSE)&gt;=main!$D$103+VLOOKUP(VLOOKUP(CV$1,main!$A$3:$I$102,7,FALSE),main!$K$26:$Q$29,4,FALSE)),1,0)</f>
        <v>0</v>
      </c>
      <c r="CW147">
        <f>IF(AND(VLOOKUP(CW$1,main!$A$3:$H$102,7,FALSE)=main!$G$104,VLOOKUP(CW$1,main!$A$3:$H$102,5,FALSE)-VLOOKUP($A147,main!$A$3:$H$102,6,FALSE)&gt;=main!$D$103+VLOOKUP(VLOOKUP(CW$1,main!$A$3:$I$102,7,FALSE),main!$K$26:$Q$29,4,FALSE)),1,0)</f>
        <v>0</v>
      </c>
      <c r="CX147">
        <f>IF(AND(VLOOKUP(CX$1,main!$A$3:$H$102,7,FALSE)=main!$G$104,VLOOKUP(CX$1,main!$A$3:$H$102,5,FALSE)-VLOOKUP($A147,main!$A$3:$H$102,6,FALSE)&gt;=main!$D$103+VLOOKUP(VLOOKUP(CX$1,main!$A$3:$I$102,7,FALSE),main!$K$26:$Q$29,4,FALSE)),1,0)</f>
        <v>0</v>
      </c>
      <c r="DB147">
        <f>main!$D$103</f>
        <v>50</v>
      </c>
    </row>
    <row r="148" spans="1:106" x14ac:dyDescent="0.25">
      <c r="A148" s="1">
        <v>45</v>
      </c>
      <c r="B148">
        <v>0</v>
      </c>
      <c r="C148">
        <f>IF(AND(VLOOKUP(C$1,main!$A$3:$H$102,7,FALSE)=main!$G$104,VLOOKUP(C$1,main!$A$3:$H$102,5,FALSE)-VLOOKUP($A148,main!$A$3:$H$102,6,FALSE)&gt;=main!$D$103+VLOOKUP(VLOOKUP(C$1,main!$A$3:$I$102,7,FALSE),main!$K$26:$Q$29,4,FALSE)),1,0)</f>
        <v>0</v>
      </c>
      <c r="D148">
        <f>IF(AND(VLOOKUP(D$1,main!$A$3:$H$102,7,FALSE)=main!$G$104,VLOOKUP(D$1,main!$A$3:$H$102,5,FALSE)-VLOOKUP($A148,main!$A$3:$H$102,6,FALSE)&gt;=main!$D$103+VLOOKUP(VLOOKUP(D$1,main!$A$3:$I$102,7,FALSE),main!$K$26:$Q$29,4,FALSE)),1,0)</f>
        <v>0</v>
      </c>
      <c r="E148">
        <f>IF(AND(VLOOKUP(E$1,main!$A$3:$H$102,7,FALSE)=main!$G$104,VLOOKUP(E$1,main!$A$3:$H$102,5,FALSE)-VLOOKUP($A148,main!$A$3:$H$102,6,FALSE)&gt;=main!$D$103+VLOOKUP(VLOOKUP(E$1,main!$A$3:$I$102,7,FALSE),main!$K$26:$Q$29,4,FALSE)),1,0)</f>
        <v>1</v>
      </c>
      <c r="F148">
        <f>IF(AND(VLOOKUP(F$1,main!$A$3:$H$102,7,FALSE)=main!$G$104,VLOOKUP(F$1,main!$A$3:$H$102,5,FALSE)-VLOOKUP($A148,main!$A$3:$H$102,6,FALSE)&gt;=main!$D$103+VLOOKUP(VLOOKUP(F$1,main!$A$3:$I$102,7,FALSE),main!$K$26:$Q$29,4,FALSE)),1,0)</f>
        <v>1</v>
      </c>
      <c r="G148">
        <f>IF(AND(VLOOKUP(G$1,main!$A$3:$H$102,7,FALSE)=main!$G$104,VLOOKUP(G$1,main!$A$3:$H$102,5,FALSE)-VLOOKUP($A148,main!$A$3:$H$102,6,FALSE)&gt;=main!$D$103+VLOOKUP(VLOOKUP(G$1,main!$A$3:$I$102,7,FALSE),main!$K$26:$Q$29,4,FALSE)),1,0)</f>
        <v>1</v>
      </c>
      <c r="H148">
        <f>IF(AND(VLOOKUP(H$1,main!$A$3:$H$102,7,FALSE)=main!$G$104,VLOOKUP(H$1,main!$A$3:$H$102,5,FALSE)-VLOOKUP($A148,main!$A$3:$H$102,6,FALSE)&gt;=main!$D$103+VLOOKUP(VLOOKUP(H$1,main!$A$3:$I$102,7,FALSE),main!$K$26:$Q$29,4,FALSE)),1,0)</f>
        <v>1</v>
      </c>
      <c r="I148">
        <f>IF(AND(VLOOKUP(I$1,main!$A$3:$H$102,7,FALSE)=main!$G$104,VLOOKUP(I$1,main!$A$3:$H$102,5,FALSE)-VLOOKUP($A148,main!$A$3:$H$102,6,FALSE)&gt;=main!$D$103+VLOOKUP(VLOOKUP(I$1,main!$A$3:$I$102,7,FALSE),main!$K$26:$Q$29,4,FALSE)),1,0)</f>
        <v>1</v>
      </c>
      <c r="J148">
        <f>IF(AND(VLOOKUP(J$1,main!$A$3:$H$102,7,FALSE)=main!$G$104,VLOOKUP(J$1,main!$A$3:$H$102,5,FALSE)-VLOOKUP($A148,main!$A$3:$H$102,6,FALSE)&gt;=main!$D$103+VLOOKUP(VLOOKUP(J$1,main!$A$3:$I$102,7,FALSE),main!$K$26:$Q$29,4,FALSE)),1,0)</f>
        <v>1</v>
      </c>
      <c r="K148">
        <f>IF(AND(VLOOKUP(K$1,main!$A$3:$H$102,7,FALSE)=main!$G$104,VLOOKUP(K$1,main!$A$3:$H$102,5,FALSE)-VLOOKUP($A148,main!$A$3:$H$102,6,FALSE)&gt;=main!$D$103+VLOOKUP(VLOOKUP(K$1,main!$A$3:$I$102,7,FALSE),main!$K$26:$Q$29,4,FALSE)),1,0)</f>
        <v>1</v>
      </c>
      <c r="L148">
        <f>IF(AND(VLOOKUP(L$1,main!$A$3:$H$102,7,FALSE)=main!$G$104,VLOOKUP(L$1,main!$A$3:$H$102,5,FALSE)-VLOOKUP($A148,main!$A$3:$H$102,6,FALSE)&gt;=main!$D$103+VLOOKUP(VLOOKUP(L$1,main!$A$3:$I$102,7,FALSE),main!$K$26:$Q$29,4,FALSE)),1,0)</f>
        <v>1</v>
      </c>
      <c r="M148">
        <f>IF(AND(VLOOKUP(M$1,main!$A$3:$H$102,7,FALSE)=main!$G$104,VLOOKUP(M$1,main!$A$3:$H$102,5,FALSE)-VLOOKUP($A148,main!$A$3:$H$102,6,FALSE)&gt;=main!$D$103+VLOOKUP(VLOOKUP(M$1,main!$A$3:$I$102,7,FALSE),main!$K$26:$Q$29,4,FALSE)),1,0)</f>
        <v>0</v>
      </c>
      <c r="N148">
        <f>IF(AND(VLOOKUP(N$1,main!$A$3:$H$102,7,FALSE)=main!$G$104,VLOOKUP(N$1,main!$A$3:$H$102,5,FALSE)-VLOOKUP($A148,main!$A$3:$H$102,6,FALSE)&gt;=main!$D$103+VLOOKUP(VLOOKUP(N$1,main!$A$3:$I$102,7,FALSE),main!$K$26:$Q$29,4,FALSE)),1,0)</f>
        <v>0</v>
      </c>
      <c r="O148">
        <f>IF(AND(VLOOKUP(O$1,main!$A$3:$H$102,7,FALSE)=main!$G$104,VLOOKUP(O$1,main!$A$3:$H$102,5,FALSE)-VLOOKUP($A148,main!$A$3:$H$102,6,FALSE)&gt;=main!$D$103+VLOOKUP(VLOOKUP(O$1,main!$A$3:$I$102,7,FALSE),main!$K$26:$Q$29,4,FALSE)),1,0)</f>
        <v>1</v>
      </c>
      <c r="P148">
        <f>IF(AND(VLOOKUP(P$1,main!$A$3:$H$102,7,FALSE)=main!$G$104,VLOOKUP(P$1,main!$A$3:$H$102,5,FALSE)-VLOOKUP($A148,main!$A$3:$H$102,6,FALSE)&gt;=main!$D$103+VLOOKUP(VLOOKUP(P$1,main!$A$3:$I$102,7,FALSE),main!$K$26:$Q$29,4,FALSE)),1,0)</f>
        <v>1</v>
      </c>
      <c r="Q148">
        <f>IF(AND(VLOOKUP(Q$1,main!$A$3:$H$102,7,FALSE)=main!$G$104,VLOOKUP(Q$1,main!$A$3:$H$102,5,FALSE)-VLOOKUP($A148,main!$A$3:$H$102,6,FALSE)&gt;=main!$D$103+VLOOKUP(VLOOKUP(Q$1,main!$A$3:$I$102,7,FALSE),main!$K$26:$Q$29,4,FALSE)),1,0)</f>
        <v>1</v>
      </c>
      <c r="R148">
        <f>IF(AND(VLOOKUP(R$1,main!$A$3:$H$102,7,FALSE)=main!$G$104,VLOOKUP(R$1,main!$A$3:$H$102,5,FALSE)-VLOOKUP($A148,main!$A$3:$H$102,6,FALSE)&gt;=main!$D$103+VLOOKUP(VLOOKUP(R$1,main!$A$3:$I$102,7,FALSE),main!$K$26:$Q$29,4,FALSE)),1,0)</f>
        <v>1</v>
      </c>
      <c r="S148">
        <f>IF(AND(VLOOKUP(S$1,main!$A$3:$H$102,7,FALSE)=main!$G$104,VLOOKUP(S$1,main!$A$3:$H$102,5,FALSE)-VLOOKUP($A148,main!$A$3:$H$102,6,FALSE)&gt;=main!$D$103+VLOOKUP(VLOOKUP(S$1,main!$A$3:$I$102,7,FALSE),main!$K$26:$Q$29,4,FALSE)),1,0)</f>
        <v>1</v>
      </c>
      <c r="T148">
        <f>IF(AND(VLOOKUP(T$1,main!$A$3:$H$102,7,FALSE)=main!$G$104,VLOOKUP(T$1,main!$A$3:$H$102,5,FALSE)-VLOOKUP($A148,main!$A$3:$H$102,6,FALSE)&gt;=main!$D$103+VLOOKUP(VLOOKUP(T$1,main!$A$3:$I$102,7,FALSE),main!$K$26:$Q$29,4,FALSE)),1,0)</f>
        <v>1</v>
      </c>
      <c r="U148">
        <f>IF(AND(VLOOKUP(U$1,main!$A$3:$H$102,7,FALSE)=main!$G$104,VLOOKUP(U$1,main!$A$3:$H$102,5,FALSE)-VLOOKUP($A148,main!$A$3:$H$102,6,FALSE)&gt;=main!$D$103+VLOOKUP(VLOOKUP(U$1,main!$A$3:$I$102,7,FALSE),main!$K$26:$Q$29,4,FALSE)),1,0)</f>
        <v>1</v>
      </c>
      <c r="V148">
        <f>IF(AND(VLOOKUP(V$1,main!$A$3:$H$102,7,FALSE)=main!$G$104,VLOOKUP(V$1,main!$A$3:$H$102,5,FALSE)-VLOOKUP($A148,main!$A$3:$H$102,6,FALSE)&gt;=main!$D$103+VLOOKUP(VLOOKUP(V$1,main!$A$3:$I$102,7,FALSE),main!$K$26:$Q$29,4,FALSE)),1,0)</f>
        <v>1</v>
      </c>
      <c r="W148">
        <f>IF(AND(VLOOKUP(W$1,main!$A$3:$H$102,7,FALSE)=main!$G$104,VLOOKUP(W$1,main!$A$3:$H$102,5,FALSE)-VLOOKUP($A148,main!$A$3:$H$102,6,FALSE)&gt;=main!$D$103+VLOOKUP(VLOOKUP(W$1,main!$A$3:$I$102,7,FALSE),main!$K$26:$Q$29,4,FALSE)),1,0)</f>
        <v>0</v>
      </c>
      <c r="X148">
        <f>IF(AND(VLOOKUP(X$1,main!$A$3:$H$102,7,FALSE)=main!$G$104,VLOOKUP(X$1,main!$A$3:$H$102,5,FALSE)-VLOOKUP($A148,main!$A$3:$H$102,6,FALSE)&gt;=main!$D$103+VLOOKUP(VLOOKUP(X$1,main!$A$3:$I$102,7,FALSE),main!$K$26:$Q$29,4,FALSE)),1,0)</f>
        <v>1</v>
      </c>
      <c r="Y148">
        <f>IF(AND(VLOOKUP(Y$1,main!$A$3:$H$102,7,FALSE)=main!$G$104,VLOOKUP(Y$1,main!$A$3:$H$102,5,FALSE)-VLOOKUP($A148,main!$A$3:$H$102,6,FALSE)&gt;=main!$D$103+VLOOKUP(VLOOKUP(Y$1,main!$A$3:$I$102,7,FALSE),main!$K$26:$Q$29,4,FALSE)),1,0)</f>
        <v>1</v>
      </c>
      <c r="Z148">
        <f>IF(AND(VLOOKUP(Z$1,main!$A$3:$H$102,7,FALSE)=main!$G$104,VLOOKUP(Z$1,main!$A$3:$H$102,5,FALSE)-VLOOKUP($A148,main!$A$3:$H$102,6,FALSE)&gt;=main!$D$103+VLOOKUP(VLOOKUP(Z$1,main!$A$3:$I$102,7,FALSE),main!$K$26:$Q$29,4,FALSE)),1,0)</f>
        <v>1</v>
      </c>
      <c r="AA148">
        <f>IF(AND(VLOOKUP(AA$1,main!$A$3:$H$102,7,FALSE)=main!$G$104,VLOOKUP(AA$1,main!$A$3:$H$102,5,FALSE)-VLOOKUP($A148,main!$A$3:$H$102,6,FALSE)&gt;=main!$D$103+VLOOKUP(VLOOKUP(AA$1,main!$A$3:$I$102,7,FALSE),main!$K$26:$Q$29,4,FALSE)),1,0)</f>
        <v>1</v>
      </c>
      <c r="AB148">
        <f>IF(AND(VLOOKUP(AB$1,main!$A$3:$H$102,7,FALSE)=main!$G$104,VLOOKUP(AB$1,main!$A$3:$H$102,5,FALSE)-VLOOKUP($A148,main!$A$3:$H$102,6,FALSE)&gt;=main!$D$103+VLOOKUP(VLOOKUP(AB$1,main!$A$3:$I$102,7,FALSE),main!$K$26:$Q$29,4,FALSE)),1,0)</f>
        <v>0</v>
      </c>
      <c r="AC148">
        <f>IF(AND(VLOOKUP(AC$1,main!$A$3:$H$102,7,FALSE)=main!$G$104,VLOOKUP(AC$1,main!$A$3:$H$102,5,FALSE)-VLOOKUP($A148,main!$A$3:$H$102,6,FALSE)&gt;=main!$D$103+VLOOKUP(VLOOKUP(AC$1,main!$A$3:$I$102,7,FALSE),main!$K$26:$Q$29,4,FALSE)),1,0)</f>
        <v>0</v>
      </c>
      <c r="AD148">
        <f>IF(AND(VLOOKUP(AD$1,main!$A$3:$H$102,7,FALSE)=main!$G$104,VLOOKUP(AD$1,main!$A$3:$H$102,5,FALSE)-VLOOKUP($A148,main!$A$3:$H$102,6,FALSE)&gt;=main!$D$103+VLOOKUP(VLOOKUP(AD$1,main!$A$3:$I$102,7,FALSE),main!$K$26:$Q$29,4,FALSE)),1,0)</f>
        <v>1</v>
      </c>
      <c r="AE148">
        <f>IF(AND(VLOOKUP(AE$1,main!$A$3:$H$102,7,FALSE)=main!$G$104,VLOOKUP(AE$1,main!$A$3:$H$102,5,FALSE)-VLOOKUP($A148,main!$A$3:$H$102,6,FALSE)&gt;=main!$D$103+VLOOKUP(VLOOKUP(AE$1,main!$A$3:$I$102,7,FALSE),main!$K$26:$Q$29,4,FALSE)),1,0)</f>
        <v>1</v>
      </c>
      <c r="AF148">
        <f>IF(AND(VLOOKUP(AF$1,main!$A$3:$H$102,7,FALSE)=main!$G$104,VLOOKUP(AF$1,main!$A$3:$H$102,5,FALSE)-VLOOKUP($A148,main!$A$3:$H$102,6,FALSE)&gt;=main!$D$103+VLOOKUP(VLOOKUP(AF$1,main!$A$3:$I$102,7,FALSE),main!$K$26:$Q$29,4,FALSE)),1,0)</f>
        <v>1</v>
      </c>
      <c r="AG148">
        <f>IF(AND(VLOOKUP(AG$1,main!$A$3:$H$102,7,FALSE)=main!$G$104,VLOOKUP(AG$1,main!$A$3:$H$102,5,FALSE)-VLOOKUP($A148,main!$A$3:$H$102,6,FALSE)&gt;=main!$D$103+VLOOKUP(VLOOKUP(AG$1,main!$A$3:$I$102,7,FALSE),main!$K$26:$Q$29,4,FALSE)),1,0)</f>
        <v>0</v>
      </c>
      <c r="AH148">
        <f>IF(AND(VLOOKUP(AH$1,main!$A$3:$H$102,7,FALSE)=main!$G$104,VLOOKUP(AH$1,main!$A$3:$H$102,5,FALSE)-VLOOKUP($A148,main!$A$3:$H$102,6,FALSE)&gt;=main!$D$103+VLOOKUP(VLOOKUP(AH$1,main!$A$3:$I$102,7,FALSE),main!$K$26:$Q$29,4,FALSE)),1,0)</f>
        <v>0</v>
      </c>
      <c r="AI148">
        <f>IF(AND(VLOOKUP(AI$1,main!$A$3:$H$102,7,FALSE)=main!$G$104,VLOOKUP(AI$1,main!$A$3:$H$102,5,FALSE)-VLOOKUP($A148,main!$A$3:$H$102,6,FALSE)&gt;=main!$D$103+VLOOKUP(VLOOKUP(AI$1,main!$A$3:$I$102,7,FALSE),main!$K$26:$Q$29,4,FALSE)),1,0)</f>
        <v>0</v>
      </c>
      <c r="AJ148">
        <f>IF(AND(VLOOKUP(AJ$1,main!$A$3:$H$102,7,FALSE)=main!$G$104,VLOOKUP(AJ$1,main!$A$3:$H$102,5,FALSE)-VLOOKUP($A148,main!$A$3:$H$102,6,FALSE)&gt;=main!$D$103+VLOOKUP(VLOOKUP(AJ$1,main!$A$3:$I$102,7,FALSE),main!$K$26:$Q$29,4,FALSE)),1,0)</f>
        <v>0</v>
      </c>
      <c r="AK148">
        <f>IF(AND(VLOOKUP(AK$1,main!$A$3:$H$102,7,FALSE)=main!$G$104,VLOOKUP(AK$1,main!$A$3:$H$102,5,FALSE)-VLOOKUP($A148,main!$A$3:$H$102,6,FALSE)&gt;=main!$D$103+VLOOKUP(VLOOKUP(AK$1,main!$A$3:$I$102,7,FALSE),main!$K$26:$Q$29,4,FALSE)),1,0)</f>
        <v>0</v>
      </c>
      <c r="AL148">
        <f>IF(AND(VLOOKUP(AL$1,main!$A$3:$H$102,7,FALSE)=main!$G$104,VLOOKUP(AL$1,main!$A$3:$H$102,5,FALSE)-VLOOKUP($A148,main!$A$3:$H$102,6,FALSE)&gt;=main!$D$103+VLOOKUP(VLOOKUP(AL$1,main!$A$3:$I$102,7,FALSE),main!$K$26:$Q$29,4,FALSE)),1,0)</f>
        <v>0</v>
      </c>
      <c r="AM148">
        <f>IF(AND(VLOOKUP(AM$1,main!$A$3:$H$102,7,FALSE)=main!$G$104,VLOOKUP(AM$1,main!$A$3:$H$102,5,FALSE)-VLOOKUP($A148,main!$A$3:$H$102,6,FALSE)&gt;=main!$D$103+VLOOKUP(VLOOKUP(AM$1,main!$A$3:$I$102,7,FALSE),main!$K$26:$Q$29,4,FALSE)),1,0)</f>
        <v>0</v>
      </c>
      <c r="AN148">
        <f>IF(AND(VLOOKUP(AN$1,main!$A$3:$H$102,7,FALSE)=main!$G$104,VLOOKUP(AN$1,main!$A$3:$H$102,5,FALSE)-VLOOKUP($A148,main!$A$3:$H$102,6,FALSE)&gt;=main!$D$103+VLOOKUP(VLOOKUP(AN$1,main!$A$3:$I$102,7,FALSE),main!$K$26:$Q$29,4,FALSE)),1,0)</f>
        <v>0</v>
      </c>
      <c r="AO148">
        <f>IF(AND(VLOOKUP(AO$1,main!$A$3:$H$102,7,FALSE)=main!$G$104,VLOOKUP(AO$1,main!$A$3:$H$102,5,FALSE)-VLOOKUP($A148,main!$A$3:$H$102,6,FALSE)&gt;=main!$D$103+VLOOKUP(VLOOKUP(AO$1,main!$A$3:$I$102,7,FALSE),main!$K$26:$Q$29,4,FALSE)),1,0)</f>
        <v>0</v>
      </c>
      <c r="AP148">
        <f>IF(AND(VLOOKUP(AP$1,main!$A$3:$H$102,7,FALSE)=main!$G$104,VLOOKUP(AP$1,main!$A$3:$H$102,5,FALSE)-VLOOKUP($A148,main!$A$3:$H$102,6,FALSE)&gt;=main!$D$103+VLOOKUP(VLOOKUP(AP$1,main!$A$3:$I$102,7,FALSE),main!$K$26:$Q$29,4,FALSE)),1,0)</f>
        <v>0</v>
      </c>
      <c r="AQ148">
        <f>IF(AND(VLOOKUP(AQ$1,main!$A$3:$H$102,7,FALSE)=main!$G$104,VLOOKUP(AQ$1,main!$A$3:$H$102,5,FALSE)-VLOOKUP($A148,main!$A$3:$H$102,6,FALSE)&gt;=main!$D$103+VLOOKUP(VLOOKUP(AQ$1,main!$A$3:$I$102,7,FALSE),main!$K$26:$Q$29,4,FALSE)),1,0)</f>
        <v>0</v>
      </c>
      <c r="AR148">
        <f>IF(AND(VLOOKUP(AR$1,main!$A$3:$H$102,7,FALSE)=main!$G$104,VLOOKUP(AR$1,main!$A$3:$H$102,5,FALSE)-VLOOKUP($A148,main!$A$3:$H$102,6,FALSE)&gt;=main!$D$103+VLOOKUP(VLOOKUP(AR$1,main!$A$3:$I$102,7,FALSE),main!$K$26:$Q$29,4,FALSE)),1,0)</f>
        <v>0</v>
      </c>
      <c r="AS148">
        <f>IF(AND(VLOOKUP(AS$1,main!$A$3:$H$102,7,FALSE)=main!$G$104,VLOOKUP(AS$1,main!$A$3:$H$102,5,FALSE)-VLOOKUP($A148,main!$A$3:$H$102,6,FALSE)&gt;=main!$D$103+VLOOKUP(VLOOKUP(AS$1,main!$A$3:$I$102,7,FALSE),main!$K$26:$Q$29,4,FALSE)),1,0)</f>
        <v>0</v>
      </c>
      <c r="AT148">
        <f>IF(AND(VLOOKUP(AT$1,main!$A$3:$H$102,7,FALSE)=main!$G$104,VLOOKUP(AT$1,main!$A$3:$H$102,5,FALSE)-VLOOKUP($A148,main!$A$3:$H$102,6,FALSE)&gt;=main!$D$103+VLOOKUP(VLOOKUP(AT$1,main!$A$3:$I$102,7,FALSE),main!$K$26:$Q$29,4,FALSE)),1,0)</f>
        <v>0</v>
      </c>
      <c r="AU148">
        <f>IF(AND(VLOOKUP(AU$1,main!$A$3:$H$102,7,FALSE)=main!$G$104,VLOOKUP(AU$1,main!$A$3:$H$102,5,FALSE)-VLOOKUP($A148,main!$A$3:$H$102,6,FALSE)&gt;=main!$D$103+VLOOKUP(VLOOKUP(AU$1,main!$A$3:$I$102,7,FALSE),main!$K$26:$Q$29,4,FALSE)),1,0)</f>
        <v>0</v>
      </c>
      <c r="AV148">
        <f>IF(AND(VLOOKUP(AV$1,main!$A$3:$H$102,7,FALSE)=main!$G$104,VLOOKUP(AV$1,main!$A$3:$H$102,5,FALSE)-VLOOKUP($A148,main!$A$3:$H$102,6,FALSE)&gt;=main!$D$103+VLOOKUP(VLOOKUP(AV$1,main!$A$3:$I$102,7,FALSE),main!$K$26:$Q$29,4,FALSE)),1,0)</f>
        <v>0</v>
      </c>
      <c r="AW148">
        <f>IF(AND(VLOOKUP(AW$1,main!$A$3:$H$102,7,FALSE)=main!$G$104,VLOOKUP(AW$1,main!$A$3:$H$102,5,FALSE)-VLOOKUP($A148,main!$A$3:$H$102,6,FALSE)&gt;=main!$D$103+VLOOKUP(VLOOKUP(AW$1,main!$A$3:$I$102,7,FALSE),main!$K$26:$Q$29,4,FALSE)),1,0)</f>
        <v>0</v>
      </c>
      <c r="AX148">
        <f>IF(AND(VLOOKUP(AX$1,main!$A$3:$H$102,7,FALSE)=main!$G$104,VLOOKUP(AX$1,main!$A$3:$H$102,5,FALSE)-VLOOKUP($A148,main!$A$3:$H$102,6,FALSE)&gt;=main!$D$103+VLOOKUP(VLOOKUP(AX$1,main!$A$3:$I$102,7,FALSE),main!$K$26:$Q$29,4,FALSE)),1,0)</f>
        <v>0</v>
      </c>
      <c r="AY148">
        <f>IF(AND(VLOOKUP(AY$1,main!$A$3:$H$102,7,FALSE)=main!$G$104,VLOOKUP(AY$1,main!$A$3:$H$102,5,FALSE)-VLOOKUP($A148,main!$A$3:$H$102,6,FALSE)&gt;=main!$D$103+VLOOKUP(VLOOKUP(AY$1,main!$A$3:$I$102,7,FALSE),main!$K$26:$Q$29,4,FALSE)),1,0)</f>
        <v>0</v>
      </c>
      <c r="AZ148">
        <f>IF(AND(VLOOKUP(AZ$1,main!$A$3:$H$102,7,FALSE)=main!$G$104,VLOOKUP(AZ$1,main!$A$3:$H$102,5,FALSE)-VLOOKUP($A148,main!$A$3:$H$102,6,FALSE)&gt;=main!$D$103+VLOOKUP(VLOOKUP(AZ$1,main!$A$3:$I$102,7,FALSE),main!$K$26:$Q$29,4,FALSE)),1,0)</f>
        <v>0</v>
      </c>
      <c r="BA148">
        <f>IF(AND(VLOOKUP(BA$1,main!$A$3:$H$102,7,FALSE)=main!$G$104,VLOOKUP(BA$1,main!$A$3:$H$102,5,FALSE)-VLOOKUP($A148,main!$A$3:$H$102,6,FALSE)&gt;=main!$D$103+VLOOKUP(VLOOKUP(BA$1,main!$A$3:$I$102,7,FALSE),main!$K$26:$Q$29,4,FALSE)),1,0)</f>
        <v>0</v>
      </c>
      <c r="BB148">
        <f>IF(AND(VLOOKUP(BB$1,main!$A$3:$H$102,7,FALSE)=main!$G$104,VLOOKUP(BB$1,main!$A$3:$H$102,5,FALSE)-VLOOKUP($A148,main!$A$3:$H$102,6,FALSE)&gt;=main!$D$103+VLOOKUP(VLOOKUP(BB$1,main!$A$3:$I$102,7,FALSE),main!$K$26:$Q$29,4,FALSE)),1,0)</f>
        <v>0</v>
      </c>
      <c r="BC148">
        <f>IF(AND(VLOOKUP(BC$1,main!$A$3:$H$102,7,FALSE)=main!$G$104,VLOOKUP(BC$1,main!$A$3:$H$102,5,FALSE)-VLOOKUP($A148,main!$A$3:$H$102,6,FALSE)&gt;=main!$D$103+VLOOKUP(VLOOKUP(BC$1,main!$A$3:$I$102,7,FALSE),main!$K$26:$Q$29,4,FALSE)),1,0)</f>
        <v>0</v>
      </c>
      <c r="BD148">
        <f>IF(AND(VLOOKUP(BD$1,main!$A$3:$H$102,7,FALSE)=main!$G$104,VLOOKUP(BD$1,main!$A$3:$H$102,5,FALSE)-VLOOKUP($A148,main!$A$3:$H$102,6,FALSE)&gt;=main!$D$103+VLOOKUP(VLOOKUP(BD$1,main!$A$3:$I$102,7,FALSE),main!$K$26:$Q$29,4,FALSE)),1,0)</f>
        <v>0</v>
      </c>
      <c r="BE148">
        <f>IF(AND(VLOOKUP(BE$1,main!$A$3:$H$102,7,FALSE)=main!$G$104,VLOOKUP(BE$1,main!$A$3:$H$102,5,FALSE)-VLOOKUP($A148,main!$A$3:$H$102,6,FALSE)&gt;=main!$D$103+VLOOKUP(VLOOKUP(BE$1,main!$A$3:$I$102,7,FALSE),main!$K$26:$Q$29,4,FALSE)),1,0)</f>
        <v>0</v>
      </c>
      <c r="BF148">
        <f>IF(AND(VLOOKUP(BF$1,main!$A$3:$H$102,7,FALSE)=main!$G$104,VLOOKUP(BF$1,main!$A$3:$H$102,5,FALSE)-VLOOKUP($A148,main!$A$3:$H$102,6,FALSE)&gt;=main!$D$103+VLOOKUP(VLOOKUP(BF$1,main!$A$3:$I$102,7,FALSE),main!$K$26:$Q$29,4,FALSE)),1,0)</f>
        <v>0</v>
      </c>
      <c r="BG148">
        <f>IF(AND(VLOOKUP(BG$1,main!$A$3:$H$102,7,FALSE)=main!$G$104,VLOOKUP(BG$1,main!$A$3:$H$102,5,FALSE)-VLOOKUP($A148,main!$A$3:$H$102,6,FALSE)&gt;=main!$D$103+VLOOKUP(VLOOKUP(BG$1,main!$A$3:$I$102,7,FALSE),main!$K$26:$Q$29,4,FALSE)),1,0)</f>
        <v>0</v>
      </c>
      <c r="BH148">
        <f>IF(AND(VLOOKUP(BH$1,main!$A$3:$H$102,7,FALSE)=main!$G$104,VLOOKUP(BH$1,main!$A$3:$H$102,5,FALSE)-VLOOKUP($A148,main!$A$3:$H$102,6,FALSE)&gt;=main!$D$103+VLOOKUP(VLOOKUP(BH$1,main!$A$3:$I$102,7,FALSE),main!$K$26:$Q$29,4,FALSE)),1,0)</f>
        <v>0</v>
      </c>
      <c r="BI148">
        <f>IF(AND(VLOOKUP(BI$1,main!$A$3:$H$102,7,FALSE)=main!$G$104,VLOOKUP(BI$1,main!$A$3:$H$102,5,FALSE)-VLOOKUP($A148,main!$A$3:$H$102,6,FALSE)&gt;=main!$D$103+VLOOKUP(VLOOKUP(BI$1,main!$A$3:$I$102,7,FALSE),main!$K$26:$Q$29,4,FALSE)),1,0)</f>
        <v>0</v>
      </c>
      <c r="BJ148">
        <f>IF(AND(VLOOKUP(BJ$1,main!$A$3:$H$102,7,FALSE)=main!$G$104,VLOOKUP(BJ$1,main!$A$3:$H$102,5,FALSE)-VLOOKUP($A148,main!$A$3:$H$102,6,FALSE)&gt;=main!$D$103+VLOOKUP(VLOOKUP(BJ$1,main!$A$3:$I$102,7,FALSE),main!$K$26:$Q$29,4,FALSE)),1,0)</f>
        <v>0</v>
      </c>
      <c r="BK148">
        <f>IF(AND(VLOOKUP(BK$1,main!$A$3:$H$102,7,FALSE)=main!$G$104,VLOOKUP(BK$1,main!$A$3:$H$102,5,FALSE)-VLOOKUP($A148,main!$A$3:$H$102,6,FALSE)&gt;=main!$D$103+VLOOKUP(VLOOKUP(BK$1,main!$A$3:$I$102,7,FALSE),main!$K$26:$Q$29,4,FALSE)),1,0)</f>
        <v>0</v>
      </c>
      <c r="BL148">
        <f>IF(AND(VLOOKUP(BL$1,main!$A$3:$H$102,7,FALSE)=main!$G$104,VLOOKUP(BL$1,main!$A$3:$H$102,5,FALSE)-VLOOKUP($A148,main!$A$3:$H$102,6,FALSE)&gt;=main!$D$103+VLOOKUP(VLOOKUP(BL$1,main!$A$3:$I$102,7,FALSE),main!$K$26:$Q$29,4,FALSE)),1,0)</f>
        <v>0</v>
      </c>
      <c r="BM148">
        <f>IF(AND(VLOOKUP(BM$1,main!$A$3:$H$102,7,FALSE)=main!$G$104,VLOOKUP(BM$1,main!$A$3:$H$102,5,FALSE)-VLOOKUP($A148,main!$A$3:$H$102,6,FALSE)&gt;=main!$D$103+VLOOKUP(VLOOKUP(BM$1,main!$A$3:$I$102,7,FALSE),main!$K$26:$Q$29,4,FALSE)),1,0)</f>
        <v>0</v>
      </c>
      <c r="BN148">
        <f>IF(AND(VLOOKUP(BN$1,main!$A$3:$H$102,7,FALSE)=main!$G$104,VLOOKUP(BN$1,main!$A$3:$H$102,5,FALSE)-VLOOKUP($A148,main!$A$3:$H$102,6,FALSE)&gt;=main!$D$103+VLOOKUP(VLOOKUP(BN$1,main!$A$3:$I$102,7,FALSE),main!$K$26:$Q$29,4,FALSE)),1,0)</f>
        <v>0</v>
      </c>
      <c r="BO148">
        <f>IF(AND(VLOOKUP(BO$1,main!$A$3:$H$102,7,FALSE)=main!$G$104,VLOOKUP(BO$1,main!$A$3:$H$102,5,FALSE)-VLOOKUP($A148,main!$A$3:$H$102,6,FALSE)&gt;=main!$D$103+VLOOKUP(VLOOKUP(BO$1,main!$A$3:$I$102,7,FALSE),main!$K$26:$Q$29,4,FALSE)),1,0)</f>
        <v>0</v>
      </c>
      <c r="BP148">
        <f>IF(AND(VLOOKUP(BP$1,main!$A$3:$H$102,7,FALSE)=main!$G$104,VLOOKUP(BP$1,main!$A$3:$H$102,5,FALSE)-VLOOKUP($A148,main!$A$3:$H$102,6,FALSE)&gt;=main!$D$103+VLOOKUP(VLOOKUP(BP$1,main!$A$3:$I$102,7,FALSE),main!$K$26:$Q$29,4,FALSE)),1,0)</f>
        <v>0</v>
      </c>
      <c r="BQ148">
        <f>IF(AND(VLOOKUP(BQ$1,main!$A$3:$H$102,7,FALSE)=main!$G$104,VLOOKUP(BQ$1,main!$A$3:$H$102,5,FALSE)-VLOOKUP($A148,main!$A$3:$H$102,6,FALSE)&gt;=main!$D$103+VLOOKUP(VLOOKUP(BQ$1,main!$A$3:$I$102,7,FALSE),main!$K$26:$Q$29,4,FALSE)),1,0)</f>
        <v>0</v>
      </c>
      <c r="BR148">
        <f>IF(AND(VLOOKUP(BR$1,main!$A$3:$H$102,7,FALSE)=main!$G$104,VLOOKUP(BR$1,main!$A$3:$H$102,5,FALSE)-VLOOKUP($A148,main!$A$3:$H$102,6,FALSE)&gt;=main!$D$103+VLOOKUP(VLOOKUP(BR$1,main!$A$3:$I$102,7,FALSE),main!$K$26:$Q$29,4,FALSE)),1,0)</f>
        <v>0</v>
      </c>
      <c r="BS148">
        <f>IF(AND(VLOOKUP(BS$1,main!$A$3:$H$102,7,FALSE)=main!$G$104,VLOOKUP(BS$1,main!$A$3:$H$102,5,FALSE)-VLOOKUP($A148,main!$A$3:$H$102,6,FALSE)&gt;=main!$D$103+VLOOKUP(VLOOKUP(BS$1,main!$A$3:$I$102,7,FALSE),main!$K$26:$Q$29,4,FALSE)),1,0)</f>
        <v>0</v>
      </c>
      <c r="BT148">
        <f>IF(AND(VLOOKUP(BT$1,main!$A$3:$H$102,7,FALSE)=main!$G$104,VLOOKUP(BT$1,main!$A$3:$H$102,5,FALSE)-VLOOKUP($A148,main!$A$3:$H$102,6,FALSE)&gt;=main!$D$103+VLOOKUP(VLOOKUP(BT$1,main!$A$3:$I$102,7,FALSE),main!$K$26:$Q$29,4,FALSE)),1,0)</f>
        <v>0</v>
      </c>
      <c r="BU148">
        <f>IF(AND(VLOOKUP(BU$1,main!$A$3:$H$102,7,FALSE)=main!$G$104,VLOOKUP(BU$1,main!$A$3:$H$102,5,FALSE)-VLOOKUP($A148,main!$A$3:$H$102,6,FALSE)&gt;=main!$D$103+VLOOKUP(VLOOKUP(BU$1,main!$A$3:$I$102,7,FALSE),main!$K$26:$Q$29,4,FALSE)),1,0)</f>
        <v>0</v>
      </c>
      <c r="BV148">
        <f>IF(AND(VLOOKUP(BV$1,main!$A$3:$H$102,7,FALSE)=main!$G$104,VLOOKUP(BV$1,main!$A$3:$H$102,5,FALSE)-VLOOKUP($A148,main!$A$3:$H$102,6,FALSE)&gt;=main!$D$103+VLOOKUP(VLOOKUP(BV$1,main!$A$3:$I$102,7,FALSE),main!$K$26:$Q$29,4,FALSE)),1,0)</f>
        <v>0</v>
      </c>
      <c r="BW148">
        <f>IF(AND(VLOOKUP(BW$1,main!$A$3:$H$102,7,FALSE)=main!$G$104,VLOOKUP(BW$1,main!$A$3:$H$102,5,FALSE)-VLOOKUP($A148,main!$A$3:$H$102,6,FALSE)&gt;=main!$D$103+VLOOKUP(VLOOKUP(BW$1,main!$A$3:$I$102,7,FALSE),main!$K$26:$Q$29,4,FALSE)),1,0)</f>
        <v>0</v>
      </c>
      <c r="BX148">
        <f>IF(AND(VLOOKUP(BX$1,main!$A$3:$H$102,7,FALSE)=main!$G$104,VLOOKUP(BX$1,main!$A$3:$H$102,5,FALSE)-VLOOKUP($A148,main!$A$3:$H$102,6,FALSE)&gt;=main!$D$103+VLOOKUP(VLOOKUP(BX$1,main!$A$3:$I$102,7,FALSE),main!$K$26:$Q$29,4,FALSE)),1,0)</f>
        <v>0</v>
      </c>
      <c r="BY148">
        <f>IF(AND(VLOOKUP(BY$1,main!$A$3:$H$102,7,FALSE)=main!$G$104,VLOOKUP(BY$1,main!$A$3:$H$102,5,FALSE)-VLOOKUP($A148,main!$A$3:$H$102,6,FALSE)&gt;=main!$D$103+VLOOKUP(VLOOKUP(BY$1,main!$A$3:$I$102,7,FALSE),main!$K$26:$Q$29,4,FALSE)),1,0)</f>
        <v>0</v>
      </c>
      <c r="BZ148">
        <f>IF(AND(VLOOKUP(BZ$1,main!$A$3:$H$102,7,FALSE)=main!$G$104,VLOOKUP(BZ$1,main!$A$3:$H$102,5,FALSE)-VLOOKUP($A148,main!$A$3:$H$102,6,FALSE)&gt;=main!$D$103+VLOOKUP(VLOOKUP(BZ$1,main!$A$3:$I$102,7,FALSE),main!$K$26:$Q$29,4,FALSE)),1,0)</f>
        <v>0</v>
      </c>
      <c r="CA148">
        <f>IF(AND(VLOOKUP(CA$1,main!$A$3:$H$102,7,FALSE)=main!$G$104,VLOOKUP(CA$1,main!$A$3:$H$102,5,FALSE)-VLOOKUP($A148,main!$A$3:$H$102,6,FALSE)&gt;=main!$D$103+VLOOKUP(VLOOKUP(CA$1,main!$A$3:$I$102,7,FALSE),main!$K$26:$Q$29,4,FALSE)),1,0)</f>
        <v>0</v>
      </c>
      <c r="CB148">
        <f>IF(AND(VLOOKUP(CB$1,main!$A$3:$H$102,7,FALSE)=main!$G$104,VLOOKUP(CB$1,main!$A$3:$H$102,5,FALSE)-VLOOKUP($A148,main!$A$3:$H$102,6,FALSE)&gt;=main!$D$103+VLOOKUP(VLOOKUP(CB$1,main!$A$3:$I$102,7,FALSE),main!$K$26:$Q$29,4,FALSE)),1,0)</f>
        <v>0</v>
      </c>
      <c r="CC148">
        <f>IF(AND(VLOOKUP(CC$1,main!$A$3:$H$102,7,FALSE)=main!$G$104,VLOOKUP(CC$1,main!$A$3:$H$102,5,FALSE)-VLOOKUP($A148,main!$A$3:$H$102,6,FALSE)&gt;=main!$D$103+VLOOKUP(VLOOKUP(CC$1,main!$A$3:$I$102,7,FALSE),main!$K$26:$Q$29,4,FALSE)),1,0)</f>
        <v>0</v>
      </c>
      <c r="CD148">
        <f>IF(AND(VLOOKUP(CD$1,main!$A$3:$H$102,7,FALSE)=main!$G$104,VLOOKUP(CD$1,main!$A$3:$H$102,5,FALSE)-VLOOKUP($A148,main!$A$3:$H$102,6,FALSE)&gt;=main!$D$103+VLOOKUP(VLOOKUP(CD$1,main!$A$3:$I$102,7,FALSE),main!$K$26:$Q$29,4,FALSE)),1,0)</f>
        <v>0</v>
      </c>
      <c r="CE148">
        <f>IF(AND(VLOOKUP(CE$1,main!$A$3:$H$102,7,FALSE)=main!$G$104,VLOOKUP(CE$1,main!$A$3:$H$102,5,FALSE)-VLOOKUP($A148,main!$A$3:$H$102,6,FALSE)&gt;=main!$D$103+VLOOKUP(VLOOKUP(CE$1,main!$A$3:$I$102,7,FALSE),main!$K$26:$Q$29,4,FALSE)),1,0)</f>
        <v>0</v>
      </c>
      <c r="CF148">
        <f>IF(AND(VLOOKUP(CF$1,main!$A$3:$H$102,7,FALSE)=main!$G$104,VLOOKUP(CF$1,main!$A$3:$H$102,5,FALSE)-VLOOKUP($A148,main!$A$3:$H$102,6,FALSE)&gt;=main!$D$103+VLOOKUP(VLOOKUP(CF$1,main!$A$3:$I$102,7,FALSE),main!$K$26:$Q$29,4,FALSE)),1,0)</f>
        <v>0</v>
      </c>
      <c r="CG148">
        <f>IF(AND(VLOOKUP(CG$1,main!$A$3:$H$102,7,FALSE)=main!$G$104,VLOOKUP(CG$1,main!$A$3:$H$102,5,FALSE)-VLOOKUP($A148,main!$A$3:$H$102,6,FALSE)&gt;=main!$D$103+VLOOKUP(VLOOKUP(CG$1,main!$A$3:$I$102,7,FALSE),main!$K$26:$Q$29,4,FALSE)),1,0)</f>
        <v>0</v>
      </c>
      <c r="CH148">
        <f>IF(AND(VLOOKUP(CH$1,main!$A$3:$H$102,7,FALSE)=main!$G$104,VLOOKUP(CH$1,main!$A$3:$H$102,5,FALSE)-VLOOKUP($A148,main!$A$3:$H$102,6,FALSE)&gt;=main!$D$103+VLOOKUP(VLOOKUP(CH$1,main!$A$3:$I$102,7,FALSE),main!$K$26:$Q$29,4,FALSE)),1,0)</f>
        <v>0</v>
      </c>
      <c r="CI148">
        <f>IF(AND(VLOOKUP(CI$1,main!$A$3:$H$102,7,FALSE)=main!$G$104,VLOOKUP(CI$1,main!$A$3:$H$102,5,FALSE)-VLOOKUP($A148,main!$A$3:$H$102,6,FALSE)&gt;=main!$D$103+VLOOKUP(VLOOKUP(CI$1,main!$A$3:$I$102,7,FALSE),main!$K$26:$Q$29,4,FALSE)),1,0)</f>
        <v>0</v>
      </c>
      <c r="CJ148">
        <f>IF(AND(VLOOKUP(CJ$1,main!$A$3:$H$102,7,FALSE)=main!$G$104,VLOOKUP(CJ$1,main!$A$3:$H$102,5,FALSE)-VLOOKUP($A148,main!$A$3:$H$102,6,FALSE)&gt;=main!$D$103+VLOOKUP(VLOOKUP(CJ$1,main!$A$3:$I$102,7,FALSE),main!$K$26:$Q$29,4,FALSE)),1,0)</f>
        <v>0</v>
      </c>
      <c r="CK148">
        <f>IF(AND(VLOOKUP(CK$1,main!$A$3:$H$102,7,FALSE)=main!$G$104,VLOOKUP(CK$1,main!$A$3:$H$102,5,FALSE)-VLOOKUP($A148,main!$A$3:$H$102,6,FALSE)&gt;=main!$D$103+VLOOKUP(VLOOKUP(CK$1,main!$A$3:$I$102,7,FALSE),main!$K$26:$Q$29,4,FALSE)),1,0)</f>
        <v>0</v>
      </c>
      <c r="CL148">
        <f>IF(AND(VLOOKUP(CL$1,main!$A$3:$H$102,7,FALSE)=main!$G$104,VLOOKUP(CL$1,main!$A$3:$H$102,5,FALSE)-VLOOKUP($A148,main!$A$3:$H$102,6,FALSE)&gt;=main!$D$103+VLOOKUP(VLOOKUP(CL$1,main!$A$3:$I$102,7,FALSE),main!$K$26:$Q$29,4,FALSE)),1,0)</f>
        <v>0</v>
      </c>
      <c r="CM148">
        <f>IF(AND(VLOOKUP(CM$1,main!$A$3:$H$102,7,FALSE)=main!$G$104,VLOOKUP(CM$1,main!$A$3:$H$102,5,FALSE)-VLOOKUP($A148,main!$A$3:$H$102,6,FALSE)&gt;=main!$D$103+VLOOKUP(VLOOKUP(CM$1,main!$A$3:$I$102,7,FALSE),main!$K$26:$Q$29,4,FALSE)),1,0)</f>
        <v>0</v>
      </c>
      <c r="CN148">
        <f>IF(AND(VLOOKUP(CN$1,main!$A$3:$H$102,7,FALSE)=main!$G$104,VLOOKUP(CN$1,main!$A$3:$H$102,5,FALSE)-VLOOKUP($A148,main!$A$3:$H$102,6,FALSE)&gt;=main!$D$103+VLOOKUP(VLOOKUP(CN$1,main!$A$3:$I$102,7,FALSE),main!$K$26:$Q$29,4,FALSE)),1,0)</f>
        <v>0</v>
      </c>
      <c r="CO148">
        <f>IF(AND(VLOOKUP(CO$1,main!$A$3:$H$102,7,FALSE)=main!$G$104,VLOOKUP(CO$1,main!$A$3:$H$102,5,FALSE)-VLOOKUP($A148,main!$A$3:$H$102,6,FALSE)&gt;=main!$D$103+VLOOKUP(VLOOKUP(CO$1,main!$A$3:$I$102,7,FALSE),main!$K$26:$Q$29,4,FALSE)),1,0)</f>
        <v>0</v>
      </c>
      <c r="CP148">
        <f>IF(AND(VLOOKUP(CP$1,main!$A$3:$H$102,7,FALSE)=main!$G$104,VLOOKUP(CP$1,main!$A$3:$H$102,5,FALSE)-VLOOKUP($A148,main!$A$3:$H$102,6,FALSE)&gt;=main!$D$103+VLOOKUP(VLOOKUP(CP$1,main!$A$3:$I$102,7,FALSE),main!$K$26:$Q$29,4,FALSE)),1,0)</f>
        <v>0</v>
      </c>
      <c r="CQ148">
        <f>IF(AND(VLOOKUP(CQ$1,main!$A$3:$H$102,7,FALSE)=main!$G$104,VLOOKUP(CQ$1,main!$A$3:$H$102,5,FALSE)-VLOOKUP($A148,main!$A$3:$H$102,6,FALSE)&gt;=main!$D$103+VLOOKUP(VLOOKUP(CQ$1,main!$A$3:$I$102,7,FALSE),main!$K$26:$Q$29,4,FALSE)),1,0)</f>
        <v>0</v>
      </c>
      <c r="CR148">
        <f>IF(AND(VLOOKUP(CR$1,main!$A$3:$H$102,7,FALSE)=main!$G$104,VLOOKUP(CR$1,main!$A$3:$H$102,5,FALSE)-VLOOKUP($A148,main!$A$3:$H$102,6,FALSE)&gt;=main!$D$103+VLOOKUP(VLOOKUP(CR$1,main!$A$3:$I$102,7,FALSE),main!$K$26:$Q$29,4,FALSE)),1,0)</f>
        <v>0</v>
      </c>
      <c r="CS148">
        <f>IF(AND(VLOOKUP(CS$1,main!$A$3:$H$102,7,FALSE)=main!$G$104,VLOOKUP(CS$1,main!$A$3:$H$102,5,FALSE)-VLOOKUP($A148,main!$A$3:$H$102,6,FALSE)&gt;=main!$D$103+VLOOKUP(VLOOKUP(CS$1,main!$A$3:$I$102,7,FALSE),main!$K$26:$Q$29,4,FALSE)),1,0)</f>
        <v>0</v>
      </c>
      <c r="CT148">
        <f>IF(AND(VLOOKUP(CT$1,main!$A$3:$H$102,7,FALSE)=main!$G$104,VLOOKUP(CT$1,main!$A$3:$H$102,5,FALSE)-VLOOKUP($A148,main!$A$3:$H$102,6,FALSE)&gt;=main!$D$103+VLOOKUP(VLOOKUP(CT$1,main!$A$3:$I$102,7,FALSE),main!$K$26:$Q$29,4,FALSE)),1,0)</f>
        <v>0</v>
      </c>
      <c r="CU148">
        <f>IF(AND(VLOOKUP(CU$1,main!$A$3:$H$102,7,FALSE)=main!$G$104,VLOOKUP(CU$1,main!$A$3:$H$102,5,FALSE)-VLOOKUP($A148,main!$A$3:$H$102,6,FALSE)&gt;=main!$D$103+VLOOKUP(VLOOKUP(CU$1,main!$A$3:$I$102,7,FALSE),main!$K$26:$Q$29,4,FALSE)),1,0)</f>
        <v>0</v>
      </c>
      <c r="CV148">
        <f>IF(AND(VLOOKUP(CV$1,main!$A$3:$H$102,7,FALSE)=main!$G$104,VLOOKUP(CV$1,main!$A$3:$H$102,5,FALSE)-VLOOKUP($A148,main!$A$3:$H$102,6,FALSE)&gt;=main!$D$103+VLOOKUP(VLOOKUP(CV$1,main!$A$3:$I$102,7,FALSE),main!$K$26:$Q$29,4,FALSE)),1,0)</f>
        <v>0</v>
      </c>
      <c r="CW148">
        <f>IF(AND(VLOOKUP(CW$1,main!$A$3:$H$102,7,FALSE)=main!$G$104,VLOOKUP(CW$1,main!$A$3:$H$102,5,FALSE)-VLOOKUP($A148,main!$A$3:$H$102,6,FALSE)&gt;=main!$D$103+VLOOKUP(VLOOKUP(CW$1,main!$A$3:$I$102,7,FALSE),main!$K$26:$Q$29,4,FALSE)),1,0)</f>
        <v>0</v>
      </c>
      <c r="CX148">
        <f>IF(AND(VLOOKUP(CX$1,main!$A$3:$H$102,7,FALSE)=main!$G$104,VLOOKUP(CX$1,main!$A$3:$H$102,5,FALSE)-VLOOKUP($A148,main!$A$3:$H$102,6,FALSE)&gt;=main!$D$103+VLOOKUP(VLOOKUP(CX$1,main!$A$3:$I$102,7,FALSE),main!$K$26:$Q$29,4,FALSE)),1,0)</f>
        <v>0</v>
      </c>
      <c r="DB148">
        <f>VLOOKUP(VLOOKUP(T$1,main!$A$3:$I$102,7,FALSE),main!$K$26:$Q$29,4,FALSE)</f>
        <v>10</v>
      </c>
    </row>
    <row r="149" spans="1:106" x14ac:dyDescent="0.25">
      <c r="A149" s="1">
        <v>46</v>
      </c>
      <c r="B149">
        <v>0</v>
      </c>
      <c r="C149">
        <f>IF(AND(VLOOKUP(C$1,main!$A$3:$H$102,7,FALSE)=main!$G$104,VLOOKUP(C$1,main!$A$3:$H$102,5,FALSE)-VLOOKUP($A149,main!$A$3:$H$102,6,FALSE)&gt;=main!$D$103+VLOOKUP(VLOOKUP(C$1,main!$A$3:$I$102,7,FALSE),main!$K$26:$Q$29,4,FALSE)),1,0)</f>
        <v>0</v>
      </c>
      <c r="D149">
        <f>IF(AND(VLOOKUP(D$1,main!$A$3:$H$102,7,FALSE)=main!$G$104,VLOOKUP(D$1,main!$A$3:$H$102,5,FALSE)-VLOOKUP($A149,main!$A$3:$H$102,6,FALSE)&gt;=main!$D$103+VLOOKUP(VLOOKUP(D$1,main!$A$3:$I$102,7,FALSE),main!$K$26:$Q$29,4,FALSE)),1,0)</f>
        <v>0</v>
      </c>
      <c r="E149">
        <f>IF(AND(VLOOKUP(E$1,main!$A$3:$H$102,7,FALSE)=main!$G$104,VLOOKUP(E$1,main!$A$3:$H$102,5,FALSE)-VLOOKUP($A149,main!$A$3:$H$102,6,FALSE)&gt;=main!$D$103+VLOOKUP(VLOOKUP(E$1,main!$A$3:$I$102,7,FALSE),main!$K$26:$Q$29,4,FALSE)),1,0)</f>
        <v>1</v>
      </c>
      <c r="F149">
        <f>IF(AND(VLOOKUP(F$1,main!$A$3:$H$102,7,FALSE)=main!$G$104,VLOOKUP(F$1,main!$A$3:$H$102,5,FALSE)-VLOOKUP($A149,main!$A$3:$H$102,6,FALSE)&gt;=main!$D$103+VLOOKUP(VLOOKUP(F$1,main!$A$3:$I$102,7,FALSE),main!$K$26:$Q$29,4,FALSE)),1,0)</f>
        <v>1</v>
      </c>
      <c r="G149">
        <f>IF(AND(VLOOKUP(G$1,main!$A$3:$H$102,7,FALSE)=main!$G$104,VLOOKUP(G$1,main!$A$3:$H$102,5,FALSE)-VLOOKUP($A149,main!$A$3:$H$102,6,FALSE)&gt;=main!$D$103+VLOOKUP(VLOOKUP(G$1,main!$A$3:$I$102,7,FALSE),main!$K$26:$Q$29,4,FALSE)),1,0)</f>
        <v>1</v>
      </c>
      <c r="H149">
        <f>IF(AND(VLOOKUP(H$1,main!$A$3:$H$102,7,FALSE)=main!$G$104,VLOOKUP(H$1,main!$A$3:$H$102,5,FALSE)-VLOOKUP($A149,main!$A$3:$H$102,6,FALSE)&gt;=main!$D$103+VLOOKUP(VLOOKUP(H$1,main!$A$3:$I$102,7,FALSE),main!$K$26:$Q$29,4,FALSE)),1,0)</f>
        <v>1</v>
      </c>
      <c r="I149">
        <f>IF(AND(VLOOKUP(I$1,main!$A$3:$H$102,7,FALSE)=main!$G$104,VLOOKUP(I$1,main!$A$3:$H$102,5,FALSE)-VLOOKUP($A149,main!$A$3:$H$102,6,FALSE)&gt;=main!$D$103+VLOOKUP(VLOOKUP(I$1,main!$A$3:$I$102,7,FALSE),main!$K$26:$Q$29,4,FALSE)),1,0)</f>
        <v>1</v>
      </c>
      <c r="J149">
        <f>IF(AND(VLOOKUP(J$1,main!$A$3:$H$102,7,FALSE)=main!$G$104,VLOOKUP(J$1,main!$A$3:$H$102,5,FALSE)-VLOOKUP($A149,main!$A$3:$H$102,6,FALSE)&gt;=main!$D$103+VLOOKUP(VLOOKUP(J$1,main!$A$3:$I$102,7,FALSE),main!$K$26:$Q$29,4,FALSE)),1,0)</f>
        <v>1</v>
      </c>
      <c r="K149">
        <f>IF(AND(VLOOKUP(K$1,main!$A$3:$H$102,7,FALSE)=main!$G$104,VLOOKUP(K$1,main!$A$3:$H$102,5,FALSE)-VLOOKUP($A149,main!$A$3:$H$102,6,FALSE)&gt;=main!$D$103+VLOOKUP(VLOOKUP(K$1,main!$A$3:$I$102,7,FALSE),main!$K$26:$Q$29,4,FALSE)),1,0)</f>
        <v>1</v>
      </c>
      <c r="L149">
        <f>IF(AND(VLOOKUP(L$1,main!$A$3:$H$102,7,FALSE)=main!$G$104,VLOOKUP(L$1,main!$A$3:$H$102,5,FALSE)-VLOOKUP($A149,main!$A$3:$H$102,6,FALSE)&gt;=main!$D$103+VLOOKUP(VLOOKUP(L$1,main!$A$3:$I$102,7,FALSE),main!$K$26:$Q$29,4,FALSE)),1,0)</f>
        <v>1</v>
      </c>
      <c r="M149">
        <f>IF(AND(VLOOKUP(M$1,main!$A$3:$H$102,7,FALSE)=main!$G$104,VLOOKUP(M$1,main!$A$3:$H$102,5,FALSE)-VLOOKUP($A149,main!$A$3:$H$102,6,FALSE)&gt;=main!$D$103+VLOOKUP(VLOOKUP(M$1,main!$A$3:$I$102,7,FALSE),main!$K$26:$Q$29,4,FALSE)),1,0)</f>
        <v>0</v>
      </c>
      <c r="N149">
        <f>IF(AND(VLOOKUP(N$1,main!$A$3:$H$102,7,FALSE)=main!$G$104,VLOOKUP(N$1,main!$A$3:$H$102,5,FALSE)-VLOOKUP($A149,main!$A$3:$H$102,6,FALSE)&gt;=main!$D$103+VLOOKUP(VLOOKUP(N$1,main!$A$3:$I$102,7,FALSE),main!$K$26:$Q$29,4,FALSE)),1,0)</f>
        <v>0</v>
      </c>
      <c r="O149">
        <f>IF(AND(VLOOKUP(O$1,main!$A$3:$H$102,7,FALSE)=main!$G$104,VLOOKUP(O$1,main!$A$3:$H$102,5,FALSE)-VLOOKUP($A149,main!$A$3:$H$102,6,FALSE)&gt;=main!$D$103+VLOOKUP(VLOOKUP(O$1,main!$A$3:$I$102,7,FALSE),main!$K$26:$Q$29,4,FALSE)),1,0)</f>
        <v>0</v>
      </c>
      <c r="P149">
        <f>IF(AND(VLOOKUP(P$1,main!$A$3:$H$102,7,FALSE)=main!$G$104,VLOOKUP(P$1,main!$A$3:$H$102,5,FALSE)-VLOOKUP($A149,main!$A$3:$H$102,6,FALSE)&gt;=main!$D$103+VLOOKUP(VLOOKUP(P$1,main!$A$3:$I$102,7,FALSE),main!$K$26:$Q$29,4,FALSE)),1,0)</f>
        <v>1</v>
      </c>
      <c r="Q149">
        <f>IF(AND(VLOOKUP(Q$1,main!$A$3:$H$102,7,FALSE)=main!$G$104,VLOOKUP(Q$1,main!$A$3:$H$102,5,FALSE)-VLOOKUP($A149,main!$A$3:$H$102,6,FALSE)&gt;=main!$D$103+VLOOKUP(VLOOKUP(Q$1,main!$A$3:$I$102,7,FALSE),main!$K$26:$Q$29,4,FALSE)),1,0)</f>
        <v>1</v>
      </c>
      <c r="R149">
        <f>IF(AND(VLOOKUP(R$1,main!$A$3:$H$102,7,FALSE)=main!$G$104,VLOOKUP(R$1,main!$A$3:$H$102,5,FALSE)-VLOOKUP($A149,main!$A$3:$H$102,6,FALSE)&gt;=main!$D$103+VLOOKUP(VLOOKUP(R$1,main!$A$3:$I$102,7,FALSE),main!$K$26:$Q$29,4,FALSE)),1,0)</f>
        <v>1</v>
      </c>
      <c r="S149">
        <f>IF(AND(VLOOKUP(S$1,main!$A$3:$H$102,7,FALSE)=main!$G$104,VLOOKUP(S$1,main!$A$3:$H$102,5,FALSE)-VLOOKUP($A149,main!$A$3:$H$102,6,FALSE)&gt;=main!$D$103+VLOOKUP(VLOOKUP(S$1,main!$A$3:$I$102,7,FALSE),main!$K$26:$Q$29,4,FALSE)),1,0)</f>
        <v>1</v>
      </c>
      <c r="T149">
        <f>IF(AND(VLOOKUP(T$1,main!$A$3:$H$102,7,FALSE)=main!$G$104,VLOOKUP(T$1,main!$A$3:$H$102,5,FALSE)-VLOOKUP($A149,main!$A$3:$H$102,6,FALSE)&gt;=main!$D$103+VLOOKUP(VLOOKUP(T$1,main!$A$3:$I$102,7,FALSE),main!$K$26:$Q$29,4,FALSE)),1,0)</f>
        <v>1</v>
      </c>
      <c r="U149">
        <f>IF(AND(VLOOKUP(U$1,main!$A$3:$H$102,7,FALSE)=main!$G$104,VLOOKUP(U$1,main!$A$3:$H$102,5,FALSE)-VLOOKUP($A149,main!$A$3:$H$102,6,FALSE)&gt;=main!$D$103+VLOOKUP(VLOOKUP(U$1,main!$A$3:$I$102,7,FALSE),main!$K$26:$Q$29,4,FALSE)),1,0)</f>
        <v>1</v>
      </c>
      <c r="V149">
        <f>IF(AND(VLOOKUP(V$1,main!$A$3:$H$102,7,FALSE)=main!$G$104,VLOOKUP(V$1,main!$A$3:$H$102,5,FALSE)-VLOOKUP($A149,main!$A$3:$H$102,6,FALSE)&gt;=main!$D$103+VLOOKUP(VLOOKUP(V$1,main!$A$3:$I$102,7,FALSE),main!$K$26:$Q$29,4,FALSE)),1,0)</f>
        <v>1</v>
      </c>
      <c r="W149">
        <f>IF(AND(VLOOKUP(W$1,main!$A$3:$H$102,7,FALSE)=main!$G$104,VLOOKUP(W$1,main!$A$3:$H$102,5,FALSE)-VLOOKUP($A149,main!$A$3:$H$102,6,FALSE)&gt;=main!$D$103+VLOOKUP(VLOOKUP(W$1,main!$A$3:$I$102,7,FALSE),main!$K$26:$Q$29,4,FALSE)),1,0)</f>
        <v>0</v>
      </c>
      <c r="X149">
        <f>IF(AND(VLOOKUP(X$1,main!$A$3:$H$102,7,FALSE)=main!$G$104,VLOOKUP(X$1,main!$A$3:$H$102,5,FALSE)-VLOOKUP($A149,main!$A$3:$H$102,6,FALSE)&gt;=main!$D$103+VLOOKUP(VLOOKUP(X$1,main!$A$3:$I$102,7,FALSE),main!$K$26:$Q$29,4,FALSE)),1,0)</f>
        <v>1</v>
      </c>
      <c r="Y149">
        <f>IF(AND(VLOOKUP(Y$1,main!$A$3:$H$102,7,FALSE)=main!$G$104,VLOOKUP(Y$1,main!$A$3:$H$102,5,FALSE)-VLOOKUP($A149,main!$A$3:$H$102,6,FALSE)&gt;=main!$D$103+VLOOKUP(VLOOKUP(Y$1,main!$A$3:$I$102,7,FALSE),main!$K$26:$Q$29,4,FALSE)),1,0)</f>
        <v>1</v>
      </c>
      <c r="Z149">
        <f>IF(AND(VLOOKUP(Z$1,main!$A$3:$H$102,7,FALSE)=main!$G$104,VLOOKUP(Z$1,main!$A$3:$H$102,5,FALSE)-VLOOKUP($A149,main!$A$3:$H$102,6,FALSE)&gt;=main!$D$103+VLOOKUP(VLOOKUP(Z$1,main!$A$3:$I$102,7,FALSE),main!$K$26:$Q$29,4,FALSE)),1,0)</f>
        <v>1</v>
      </c>
      <c r="AA149">
        <f>IF(AND(VLOOKUP(AA$1,main!$A$3:$H$102,7,FALSE)=main!$G$104,VLOOKUP(AA$1,main!$A$3:$H$102,5,FALSE)-VLOOKUP($A149,main!$A$3:$H$102,6,FALSE)&gt;=main!$D$103+VLOOKUP(VLOOKUP(AA$1,main!$A$3:$I$102,7,FALSE),main!$K$26:$Q$29,4,FALSE)),1,0)</f>
        <v>1</v>
      </c>
      <c r="AB149">
        <f>IF(AND(VLOOKUP(AB$1,main!$A$3:$H$102,7,FALSE)=main!$G$104,VLOOKUP(AB$1,main!$A$3:$H$102,5,FALSE)-VLOOKUP($A149,main!$A$3:$H$102,6,FALSE)&gt;=main!$D$103+VLOOKUP(VLOOKUP(AB$1,main!$A$3:$I$102,7,FALSE),main!$K$26:$Q$29,4,FALSE)),1,0)</f>
        <v>0</v>
      </c>
      <c r="AC149">
        <f>IF(AND(VLOOKUP(AC$1,main!$A$3:$H$102,7,FALSE)=main!$G$104,VLOOKUP(AC$1,main!$A$3:$H$102,5,FALSE)-VLOOKUP($A149,main!$A$3:$H$102,6,FALSE)&gt;=main!$D$103+VLOOKUP(VLOOKUP(AC$1,main!$A$3:$I$102,7,FALSE),main!$K$26:$Q$29,4,FALSE)),1,0)</f>
        <v>0</v>
      </c>
      <c r="AD149">
        <f>IF(AND(VLOOKUP(AD$1,main!$A$3:$H$102,7,FALSE)=main!$G$104,VLOOKUP(AD$1,main!$A$3:$H$102,5,FALSE)-VLOOKUP($A149,main!$A$3:$H$102,6,FALSE)&gt;=main!$D$103+VLOOKUP(VLOOKUP(AD$1,main!$A$3:$I$102,7,FALSE),main!$K$26:$Q$29,4,FALSE)),1,0)</f>
        <v>1</v>
      </c>
      <c r="AE149">
        <f>IF(AND(VLOOKUP(AE$1,main!$A$3:$H$102,7,FALSE)=main!$G$104,VLOOKUP(AE$1,main!$A$3:$H$102,5,FALSE)-VLOOKUP($A149,main!$A$3:$H$102,6,FALSE)&gt;=main!$D$103+VLOOKUP(VLOOKUP(AE$1,main!$A$3:$I$102,7,FALSE),main!$K$26:$Q$29,4,FALSE)),1,0)</f>
        <v>1</v>
      </c>
      <c r="AF149">
        <f>IF(AND(VLOOKUP(AF$1,main!$A$3:$H$102,7,FALSE)=main!$G$104,VLOOKUP(AF$1,main!$A$3:$H$102,5,FALSE)-VLOOKUP($A149,main!$A$3:$H$102,6,FALSE)&gt;=main!$D$103+VLOOKUP(VLOOKUP(AF$1,main!$A$3:$I$102,7,FALSE),main!$K$26:$Q$29,4,FALSE)),1,0)</f>
        <v>1</v>
      </c>
      <c r="AG149">
        <f>IF(AND(VLOOKUP(AG$1,main!$A$3:$H$102,7,FALSE)=main!$G$104,VLOOKUP(AG$1,main!$A$3:$H$102,5,FALSE)-VLOOKUP($A149,main!$A$3:$H$102,6,FALSE)&gt;=main!$D$103+VLOOKUP(VLOOKUP(AG$1,main!$A$3:$I$102,7,FALSE),main!$K$26:$Q$29,4,FALSE)),1,0)</f>
        <v>0</v>
      </c>
      <c r="AH149">
        <f>IF(AND(VLOOKUP(AH$1,main!$A$3:$H$102,7,FALSE)=main!$G$104,VLOOKUP(AH$1,main!$A$3:$H$102,5,FALSE)-VLOOKUP($A149,main!$A$3:$H$102,6,FALSE)&gt;=main!$D$103+VLOOKUP(VLOOKUP(AH$1,main!$A$3:$I$102,7,FALSE),main!$K$26:$Q$29,4,FALSE)),1,0)</f>
        <v>0</v>
      </c>
      <c r="AI149">
        <f>IF(AND(VLOOKUP(AI$1,main!$A$3:$H$102,7,FALSE)=main!$G$104,VLOOKUP(AI$1,main!$A$3:$H$102,5,FALSE)-VLOOKUP($A149,main!$A$3:$H$102,6,FALSE)&gt;=main!$D$103+VLOOKUP(VLOOKUP(AI$1,main!$A$3:$I$102,7,FALSE),main!$K$26:$Q$29,4,FALSE)),1,0)</f>
        <v>0</v>
      </c>
      <c r="AJ149">
        <f>IF(AND(VLOOKUP(AJ$1,main!$A$3:$H$102,7,FALSE)=main!$G$104,VLOOKUP(AJ$1,main!$A$3:$H$102,5,FALSE)-VLOOKUP($A149,main!$A$3:$H$102,6,FALSE)&gt;=main!$D$103+VLOOKUP(VLOOKUP(AJ$1,main!$A$3:$I$102,7,FALSE),main!$K$26:$Q$29,4,FALSE)),1,0)</f>
        <v>0</v>
      </c>
      <c r="AK149">
        <f>IF(AND(VLOOKUP(AK$1,main!$A$3:$H$102,7,FALSE)=main!$G$104,VLOOKUP(AK$1,main!$A$3:$H$102,5,FALSE)-VLOOKUP($A149,main!$A$3:$H$102,6,FALSE)&gt;=main!$D$103+VLOOKUP(VLOOKUP(AK$1,main!$A$3:$I$102,7,FALSE),main!$K$26:$Q$29,4,FALSE)),1,0)</f>
        <v>0</v>
      </c>
      <c r="AL149">
        <f>IF(AND(VLOOKUP(AL$1,main!$A$3:$H$102,7,FALSE)=main!$G$104,VLOOKUP(AL$1,main!$A$3:$H$102,5,FALSE)-VLOOKUP($A149,main!$A$3:$H$102,6,FALSE)&gt;=main!$D$103+VLOOKUP(VLOOKUP(AL$1,main!$A$3:$I$102,7,FALSE),main!$K$26:$Q$29,4,FALSE)),1,0)</f>
        <v>0</v>
      </c>
      <c r="AM149">
        <f>IF(AND(VLOOKUP(AM$1,main!$A$3:$H$102,7,FALSE)=main!$G$104,VLOOKUP(AM$1,main!$A$3:$H$102,5,FALSE)-VLOOKUP($A149,main!$A$3:$H$102,6,FALSE)&gt;=main!$D$103+VLOOKUP(VLOOKUP(AM$1,main!$A$3:$I$102,7,FALSE),main!$K$26:$Q$29,4,FALSE)),1,0)</f>
        <v>0</v>
      </c>
      <c r="AN149">
        <f>IF(AND(VLOOKUP(AN$1,main!$A$3:$H$102,7,FALSE)=main!$G$104,VLOOKUP(AN$1,main!$A$3:$H$102,5,FALSE)-VLOOKUP($A149,main!$A$3:$H$102,6,FALSE)&gt;=main!$D$103+VLOOKUP(VLOOKUP(AN$1,main!$A$3:$I$102,7,FALSE),main!$K$26:$Q$29,4,FALSE)),1,0)</f>
        <v>0</v>
      </c>
      <c r="AO149">
        <f>IF(AND(VLOOKUP(AO$1,main!$A$3:$H$102,7,FALSE)=main!$G$104,VLOOKUP(AO$1,main!$A$3:$H$102,5,FALSE)-VLOOKUP($A149,main!$A$3:$H$102,6,FALSE)&gt;=main!$D$103+VLOOKUP(VLOOKUP(AO$1,main!$A$3:$I$102,7,FALSE),main!$K$26:$Q$29,4,FALSE)),1,0)</f>
        <v>0</v>
      </c>
      <c r="AP149">
        <f>IF(AND(VLOOKUP(AP$1,main!$A$3:$H$102,7,FALSE)=main!$G$104,VLOOKUP(AP$1,main!$A$3:$H$102,5,FALSE)-VLOOKUP($A149,main!$A$3:$H$102,6,FALSE)&gt;=main!$D$103+VLOOKUP(VLOOKUP(AP$1,main!$A$3:$I$102,7,FALSE),main!$K$26:$Q$29,4,FALSE)),1,0)</f>
        <v>0</v>
      </c>
      <c r="AQ149">
        <f>IF(AND(VLOOKUP(AQ$1,main!$A$3:$H$102,7,FALSE)=main!$G$104,VLOOKUP(AQ$1,main!$A$3:$H$102,5,FALSE)-VLOOKUP($A149,main!$A$3:$H$102,6,FALSE)&gt;=main!$D$103+VLOOKUP(VLOOKUP(AQ$1,main!$A$3:$I$102,7,FALSE),main!$K$26:$Q$29,4,FALSE)),1,0)</f>
        <v>0</v>
      </c>
      <c r="AR149">
        <f>IF(AND(VLOOKUP(AR$1,main!$A$3:$H$102,7,FALSE)=main!$G$104,VLOOKUP(AR$1,main!$A$3:$H$102,5,FALSE)-VLOOKUP($A149,main!$A$3:$H$102,6,FALSE)&gt;=main!$D$103+VLOOKUP(VLOOKUP(AR$1,main!$A$3:$I$102,7,FALSE),main!$K$26:$Q$29,4,FALSE)),1,0)</f>
        <v>0</v>
      </c>
      <c r="AS149">
        <f>IF(AND(VLOOKUP(AS$1,main!$A$3:$H$102,7,FALSE)=main!$G$104,VLOOKUP(AS$1,main!$A$3:$H$102,5,FALSE)-VLOOKUP($A149,main!$A$3:$H$102,6,FALSE)&gt;=main!$D$103+VLOOKUP(VLOOKUP(AS$1,main!$A$3:$I$102,7,FALSE),main!$K$26:$Q$29,4,FALSE)),1,0)</f>
        <v>0</v>
      </c>
      <c r="AT149">
        <f>IF(AND(VLOOKUP(AT$1,main!$A$3:$H$102,7,FALSE)=main!$G$104,VLOOKUP(AT$1,main!$A$3:$H$102,5,FALSE)-VLOOKUP($A149,main!$A$3:$H$102,6,FALSE)&gt;=main!$D$103+VLOOKUP(VLOOKUP(AT$1,main!$A$3:$I$102,7,FALSE),main!$K$26:$Q$29,4,FALSE)),1,0)</f>
        <v>0</v>
      </c>
      <c r="AU149">
        <f>IF(AND(VLOOKUP(AU$1,main!$A$3:$H$102,7,FALSE)=main!$G$104,VLOOKUP(AU$1,main!$A$3:$H$102,5,FALSE)-VLOOKUP($A149,main!$A$3:$H$102,6,FALSE)&gt;=main!$D$103+VLOOKUP(VLOOKUP(AU$1,main!$A$3:$I$102,7,FALSE),main!$K$26:$Q$29,4,FALSE)),1,0)</f>
        <v>0</v>
      </c>
      <c r="AV149">
        <f>IF(AND(VLOOKUP(AV$1,main!$A$3:$H$102,7,FALSE)=main!$G$104,VLOOKUP(AV$1,main!$A$3:$H$102,5,FALSE)-VLOOKUP($A149,main!$A$3:$H$102,6,FALSE)&gt;=main!$D$103+VLOOKUP(VLOOKUP(AV$1,main!$A$3:$I$102,7,FALSE),main!$K$26:$Q$29,4,FALSE)),1,0)</f>
        <v>0</v>
      </c>
      <c r="AW149">
        <f>IF(AND(VLOOKUP(AW$1,main!$A$3:$H$102,7,FALSE)=main!$G$104,VLOOKUP(AW$1,main!$A$3:$H$102,5,FALSE)-VLOOKUP($A149,main!$A$3:$H$102,6,FALSE)&gt;=main!$D$103+VLOOKUP(VLOOKUP(AW$1,main!$A$3:$I$102,7,FALSE),main!$K$26:$Q$29,4,FALSE)),1,0)</f>
        <v>0</v>
      </c>
      <c r="AX149">
        <f>IF(AND(VLOOKUP(AX$1,main!$A$3:$H$102,7,FALSE)=main!$G$104,VLOOKUP(AX$1,main!$A$3:$H$102,5,FALSE)-VLOOKUP($A149,main!$A$3:$H$102,6,FALSE)&gt;=main!$D$103+VLOOKUP(VLOOKUP(AX$1,main!$A$3:$I$102,7,FALSE),main!$K$26:$Q$29,4,FALSE)),1,0)</f>
        <v>0</v>
      </c>
      <c r="AY149">
        <f>IF(AND(VLOOKUP(AY$1,main!$A$3:$H$102,7,FALSE)=main!$G$104,VLOOKUP(AY$1,main!$A$3:$H$102,5,FALSE)-VLOOKUP($A149,main!$A$3:$H$102,6,FALSE)&gt;=main!$D$103+VLOOKUP(VLOOKUP(AY$1,main!$A$3:$I$102,7,FALSE),main!$K$26:$Q$29,4,FALSE)),1,0)</f>
        <v>0</v>
      </c>
      <c r="AZ149">
        <f>IF(AND(VLOOKUP(AZ$1,main!$A$3:$H$102,7,FALSE)=main!$G$104,VLOOKUP(AZ$1,main!$A$3:$H$102,5,FALSE)-VLOOKUP($A149,main!$A$3:$H$102,6,FALSE)&gt;=main!$D$103+VLOOKUP(VLOOKUP(AZ$1,main!$A$3:$I$102,7,FALSE),main!$K$26:$Q$29,4,FALSE)),1,0)</f>
        <v>0</v>
      </c>
      <c r="BA149">
        <f>IF(AND(VLOOKUP(BA$1,main!$A$3:$H$102,7,FALSE)=main!$G$104,VLOOKUP(BA$1,main!$A$3:$H$102,5,FALSE)-VLOOKUP($A149,main!$A$3:$H$102,6,FALSE)&gt;=main!$D$103+VLOOKUP(VLOOKUP(BA$1,main!$A$3:$I$102,7,FALSE),main!$K$26:$Q$29,4,FALSE)),1,0)</f>
        <v>0</v>
      </c>
      <c r="BB149">
        <f>IF(AND(VLOOKUP(BB$1,main!$A$3:$H$102,7,FALSE)=main!$G$104,VLOOKUP(BB$1,main!$A$3:$H$102,5,FALSE)-VLOOKUP($A149,main!$A$3:$H$102,6,FALSE)&gt;=main!$D$103+VLOOKUP(VLOOKUP(BB$1,main!$A$3:$I$102,7,FALSE),main!$K$26:$Q$29,4,FALSE)),1,0)</f>
        <v>0</v>
      </c>
      <c r="BC149">
        <f>IF(AND(VLOOKUP(BC$1,main!$A$3:$H$102,7,FALSE)=main!$G$104,VLOOKUP(BC$1,main!$A$3:$H$102,5,FALSE)-VLOOKUP($A149,main!$A$3:$H$102,6,FALSE)&gt;=main!$D$103+VLOOKUP(VLOOKUP(BC$1,main!$A$3:$I$102,7,FALSE),main!$K$26:$Q$29,4,FALSE)),1,0)</f>
        <v>0</v>
      </c>
      <c r="BD149">
        <f>IF(AND(VLOOKUP(BD$1,main!$A$3:$H$102,7,FALSE)=main!$G$104,VLOOKUP(BD$1,main!$A$3:$H$102,5,FALSE)-VLOOKUP($A149,main!$A$3:$H$102,6,FALSE)&gt;=main!$D$103+VLOOKUP(VLOOKUP(BD$1,main!$A$3:$I$102,7,FALSE),main!$K$26:$Q$29,4,FALSE)),1,0)</f>
        <v>0</v>
      </c>
      <c r="BE149">
        <f>IF(AND(VLOOKUP(BE$1,main!$A$3:$H$102,7,FALSE)=main!$G$104,VLOOKUP(BE$1,main!$A$3:$H$102,5,FALSE)-VLOOKUP($A149,main!$A$3:$H$102,6,FALSE)&gt;=main!$D$103+VLOOKUP(VLOOKUP(BE$1,main!$A$3:$I$102,7,FALSE),main!$K$26:$Q$29,4,FALSE)),1,0)</f>
        <v>0</v>
      </c>
      <c r="BF149">
        <f>IF(AND(VLOOKUP(BF$1,main!$A$3:$H$102,7,FALSE)=main!$G$104,VLOOKUP(BF$1,main!$A$3:$H$102,5,FALSE)-VLOOKUP($A149,main!$A$3:$H$102,6,FALSE)&gt;=main!$D$103+VLOOKUP(VLOOKUP(BF$1,main!$A$3:$I$102,7,FALSE),main!$K$26:$Q$29,4,FALSE)),1,0)</f>
        <v>0</v>
      </c>
      <c r="BG149">
        <f>IF(AND(VLOOKUP(BG$1,main!$A$3:$H$102,7,FALSE)=main!$G$104,VLOOKUP(BG$1,main!$A$3:$H$102,5,FALSE)-VLOOKUP($A149,main!$A$3:$H$102,6,FALSE)&gt;=main!$D$103+VLOOKUP(VLOOKUP(BG$1,main!$A$3:$I$102,7,FALSE),main!$K$26:$Q$29,4,FALSE)),1,0)</f>
        <v>0</v>
      </c>
      <c r="BH149">
        <f>IF(AND(VLOOKUP(BH$1,main!$A$3:$H$102,7,FALSE)=main!$G$104,VLOOKUP(BH$1,main!$A$3:$H$102,5,FALSE)-VLOOKUP($A149,main!$A$3:$H$102,6,FALSE)&gt;=main!$D$103+VLOOKUP(VLOOKUP(BH$1,main!$A$3:$I$102,7,FALSE),main!$K$26:$Q$29,4,FALSE)),1,0)</f>
        <v>0</v>
      </c>
      <c r="BI149">
        <f>IF(AND(VLOOKUP(BI$1,main!$A$3:$H$102,7,FALSE)=main!$G$104,VLOOKUP(BI$1,main!$A$3:$H$102,5,FALSE)-VLOOKUP($A149,main!$A$3:$H$102,6,FALSE)&gt;=main!$D$103+VLOOKUP(VLOOKUP(BI$1,main!$A$3:$I$102,7,FALSE),main!$K$26:$Q$29,4,FALSE)),1,0)</f>
        <v>0</v>
      </c>
      <c r="BJ149">
        <f>IF(AND(VLOOKUP(BJ$1,main!$A$3:$H$102,7,FALSE)=main!$G$104,VLOOKUP(BJ$1,main!$A$3:$H$102,5,FALSE)-VLOOKUP($A149,main!$A$3:$H$102,6,FALSE)&gt;=main!$D$103+VLOOKUP(VLOOKUP(BJ$1,main!$A$3:$I$102,7,FALSE),main!$K$26:$Q$29,4,FALSE)),1,0)</f>
        <v>0</v>
      </c>
      <c r="BK149">
        <f>IF(AND(VLOOKUP(BK$1,main!$A$3:$H$102,7,FALSE)=main!$G$104,VLOOKUP(BK$1,main!$A$3:$H$102,5,FALSE)-VLOOKUP($A149,main!$A$3:$H$102,6,FALSE)&gt;=main!$D$103+VLOOKUP(VLOOKUP(BK$1,main!$A$3:$I$102,7,FALSE),main!$K$26:$Q$29,4,FALSE)),1,0)</f>
        <v>0</v>
      </c>
      <c r="BL149">
        <f>IF(AND(VLOOKUP(BL$1,main!$A$3:$H$102,7,FALSE)=main!$G$104,VLOOKUP(BL$1,main!$A$3:$H$102,5,FALSE)-VLOOKUP($A149,main!$A$3:$H$102,6,FALSE)&gt;=main!$D$103+VLOOKUP(VLOOKUP(BL$1,main!$A$3:$I$102,7,FALSE),main!$K$26:$Q$29,4,FALSE)),1,0)</f>
        <v>0</v>
      </c>
      <c r="BM149">
        <f>IF(AND(VLOOKUP(BM$1,main!$A$3:$H$102,7,FALSE)=main!$G$104,VLOOKUP(BM$1,main!$A$3:$H$102,5,FALSE)-VLOOKUP($A149,main!$A$3:$H$102,6,FALSE)&gt;=main!$D$103+VLOOKUP(VLOOKUP(BM$1,main!$A$3:$I$102,7,FALSE),main!$K$26:$Q$29,4,FALSE)),1,0)</f>
        <v>0</v>
      </c>
      <c r="BN149">
        <f>IF(AND(VLOOKUP(BN$1,main!$A$3:$H$102,7,FALSE)=main!$G$104,VLOOKUP(BN$1,main!$A$3:$H$102,5,FALSE)-VLOOKUP($A149,main!$A$3:$H$102,6,FALSE)&gt;=main!$D$103+VLOOKUP(VLOOKUP(BN$1,main!$A$3:$I$102,7,FALSE),main!$K$26:$Q$29,4,FALSE)),1,0)</f>
        <v>0</v>
      </c>
      <c r="BO149">
        <f>IF(AND(VLOOKUP(BO$1,main!$A$3:$H$102,7,FALSE)=main!$G$104,VLOOKUP(BO$1,main!$A$3:$H$102,5,FALSE)-VLOOKUP($A149,main!$A$3:$H$102,6,FALSE)&gt;=main!$D$103+VLOOKUP(VLOOKUP(BO$1,main!$A$3:$I$102,7,FALSE),main!$K$26:$Q$29,4,FALSE)),1,0)</f>
        <v>0</v>
      </c>
      <c r="BP149">
        <f>IF(AND(VLOOKUP(BP$1,main!$A$3:$H$102,7,FALSE)=main!$G$104,VLOOKUP(BP$1,main!$A$3:$H$102,5,FALSE)-VLOOKUP($A149,main!$A$3:$H$102,6,FALSE)&gt;=main!$D$103+VLOOKUP(VLOOKUP(BP$1,main!$A$3:$I$102,7,FALSE),main!$K$26:$Q$29,4,FALSE)),1,0)</f>
        <v>0</v>
      </c>
      <c r="BQ149">
        <f>IF(AND(VLOOKUP(BQ$1,main!$A$3:$H$102,7,FALSE)=main!$G$104,VLOOKUP(BQ$1,main!$A$3:$H$102,5,FALSE)-VLOOKUP($A149,main!$A$3:$H$102,6,FALSE)&gt;=main!$D$103+VLOOKUP(VLOOKUP(BQ$1,main!$A$3:$I$102,7,FALSE),main!$K$26:$Q$29,4,FALSE)),1,0)</f>
        <v>0</v>
      </c>
      <c r="BR149">
        <f>IF(AND(VLOOKUP(BR$1,main!$A$3:$H$102,7,FALSE)=main!$G$104,VLOOKUP(BR$1,main!$A$3:$H$102,5,FALSE)-VLOOKUP($A149,main!$A$3:$H$102,6,FALSE)&gt;=main!$D$103+VLOOKUP(VLOOKUP(BR$1,main!$A$3:$I$102,7,FALSE),main!$K$26:$Q$29,4,FALSE)),1,0)</f>
        <v>0</v>
      </c>
      <c r="BS149">
        <f>IF(AND(VLOOKUP(BS$1,main!$A$3:$H$102,7,FALSE)=main!$G$104,VLOOKUP(BS$1,main!$A$3:$H$102,5,FALSE)-VLOOKUP($A149,main!$A$3:$H$102,6,FALSE)&gt;=main!$D$103+VLOOKUP(VLOOKUP(BS$1,main!$A$3:$I$102,7,FALSE),main!$K$26:$Q$29,4,FALSE)),1,0)</f>
        <v>0</v>
      </c>
      <c r="BT149">
        <f>IF(AND(VLOOKUP(BT$1,main!$A$3:$H$102,7,FALSE)=main!$G$104,VLOOKUP(BT$1,main!$A$3:$H$102,5,FALSE)-VLOOKUP($A149,main!$A$3:$H$102,6,FALSE)&gt;=main!$D$103+VLOOKUP(VLOOKUP(BT$1,main!$A$3:$I$102,7,FALSE),main!$K$26:$Q$29,4,FALSE)),1,0)</f>
        <v>0</v>
      </c>
      <c r="BU149">
        <f>IF(AND(VLOOKUP(BU$1,main!$A$3:$H$102,7,FALSE)=main!$G$104,VLOOKUP(BU$1,main!$A$3:$H$102,5,FALSE)-VLOOKUP($A149,main!$A$3:$H$102,6,FALSE)&gt;=main!$D$103+VLOOKUP(VLOOKUP(BU$1,main!$A$3:$I$102,7,FALSE),main!$K$26:$Q$29,4,FALSE)),1,0)</f>
        <v>0</v>
      </c>
      <c r="BV149">
        <f>IF(AND(VLOOKUP(BV$1,main!$A$3:$H$102,7,FALSE)=main!$G$104,VLOOKUP(BV$1,main!$A$3:$H$102,5,FALSE)-VLOOKUP($A149,main!$A$3:$H$102,6,FALSE)&gt;=main!$D$103+VLOOKUP(VLOOKUP(BV$1,main!$A$3:$I$102,7,FALSE),main!$K$26:$Q$29,4,FALSE)),1,0)</f>
        <v>0</v>
      </c>
      <c r="BW149">
        <f>IF(AND(VLOOKUP(BW$1,main!$A$3:$H$102,7,FALSE)=main!$G$104,VLOOKUP(BW$1,main!$A$3:$H$102,5,FALSE)-VLOOKUP($A149,main!$A$3:$H$102,6,FALSE)&gt;=main!$D$103+VLOOKUP(VLOOKUP(BW$1,main!$A$3:$I$102,7,FALSE),main!$K$26:$Q$29,4,FALSE)),1,0)</f>
        <v>0</v>
      </c>
      <c r="BX149">
        <f>IF(AND(VLOOKUP(BX$1,main!$A$3:$H$102,7,FALSE)=main!$G$104,VLOOKUP(BX$1,main!$A$3:$H$102,5,FALSE)-VLOOKUP($A149,main!$A$3:$H$102,6,FALSE)&gt;=main!$D$103+VLOOKUP(VLOOKUP(BX$1,main!$A$3:$I$102,7,FALSE),main!$K$26:$Q$29,4,FALSE)),1,0)</f>
        <v>0</v>
      </c>
      <c r="BY149">
        <f>IF(AND(VLOOKUP(BY$1,main!$A$3:$H$102,7,FALSE)=main!$G$104,VLOOKUP(BY$1,main!$A$3:$H$102,5,FALSE)-VLOOKUP($A149,main!$A$3:$H$102,6,FALSE)&gt;=main!$D$103+VLOOKUP(VLOOKUP(BY$1,main!$A$3:$I$102,7,FALSE),main!$K$26:$Q$29,4,FALSE)),1,0)</f>
        <v>0</v>
      </c>
      <c r="BZ149">
        <f>IF(AND(VLOOKUP(BZ$1,main!$A$3:$H$102,7,FALSE)=main!$G$104,VLOOKUP(BZ$1,main!$A$3:$H$102,5,FALSE)-VLOOKUP($A149,main!$A$3:$H$102,6,FALSE)&gt;=main!$D$103+VLOOKUP(VLOOKUP(BZ$1,main!$A$3:$I$102,7,FALSE),main!$K$26:$Q$29,4,FALSE)),1,0)</f>
        <v>0</v>
      </c>
      <c r="CA149">
        <f>IF(AND(VLOOKUP(CA$1,main!$A$3:$H$102,7,FALSE)=main!$G$104,VLOOKUP(CA$1,main!$A$3:$H$102,5,FALSE)-VLOOKUP($A149,main!$A$3:$H$102,6,FALSE)&gt;=main!$D$103+VLOOKUP(VLOOKUP(CA$1,main!$A$3:$I$102,7,FALSE),main!$K$26:$Q$29,4,FALSE)),1,0)</f>
        <v>0</v>
      </c>
      <c r="CB149">
        <f>IF(AND(VLOOKUP(CB$1,main!$A$3:$H$102,7,FALSE)=main!$G$104,VLOOKUP(CB$1,main!$A$3:$H$102,5,FALSE)-VLOOKUP($A149,main!$A$3:$H$102,6,FALSE)&gt;=main!$D$103+VLOOKUP(VLOOKUP(CB$1,main!$A$3:$I$102,7,FALSE),main!$K$26:$Q$29,4,FALSE)),1,0)</f>
        <v>0</v>
      </c>
      <c r="CC149">
        <f>IF(AND(VLOOKUP(CC$1,main!$A$3:$H$102,7,FALSE)=main!$G$104,VLOOKUP(CC$1,main!$A$3:$H$102,5,FALSE)-VLOOKUP($A149,main!$A$3:$H$102,6,FALSE)&gt;=main!$D$103+VLOOKUP(VLOOKUP(CC$1,main!$A$3:$I$102,7,FALSE),main!$K$26:$Q$29,4,FALSE)),1,0)</f>
        <v>0</v>
      </c>
      <c r="CD149">
        <f>IF(AND(VLOOKUP(CD$1,main!$A$3:$H$102,7,FALSE)=main!$G$104,VLOOKUP(CD$1,main!$A$3:$H$102,5,FALSE)-VLOOKUP($A149,main!$A$3:$H$102,6,FALSE)&gt;=main!$D$103+VLOOKUP(VLOOKUP(CD$1,main!$A$3:$I$102,7,FALSE),main!$K$26:$Q$29,4,FALSE)),1,0)</f>
        <v>0</v>
      </c>
      <c r="CE149">
        <f>IF(AND(VLOOKUP(CE$1,main!$A$3:$H$102,7,FALSE)=main!$G$104,VLOOKUP(CE$1,main!$A$3:$H$102,5,FALSE)-VLOOKUP($A149,main!$A$3:$H$102,6,FALSE)&gt;=main!$D$103+VLOOKUP(VLOOKUP(CE$1,main!$A$3:$I$102,7,FALSE),main!$K$26:$Q$29,4,FALSE)),1,0)</f>
        <v>0</v>
      </c>
      <c r="CF149">
        <f>IF(AND(VLOOKUP(CF$1,main!$A$3:$H$102,7,FALSE)=main!$G$104,VLOOKUP(CF$1,main!$A$3:$H$102,5,FALSE)-VLOOKUP($A149,main!$A$3:$H$102,6,FALSE)&gt;=main!$D$103+VLOOKUP(VLOOKUP(CF$1,main!$A$3:$I$102,7,FALSE),main!$K$26:$Q$29,4,FALSE)),1,0)</f>
        <v>0</v>
      </c>
      <c r="CG149">
        <f>IF(AND(VLOOKUP(CG$1,main!$A$3:$H$102,7,FALSE)=main!$G$104,VLOOKUP(CG$1,main!$A$3:$H$102,5,FALSE)-VLOOKUP($A149,main!$A$3:$H$102,6,FALSE)&gt;=main!$D$103+VLOOKUP(VLOOKUP(CG$1,main!$A$3:$I$102,7,FALSE),main!$K$26:$Q$29,4,FALSE)),1,0)</f>
        <v>0</v>
      </c>
      <c r="CH149">
        <f>IF(AND(VLOOKUP(CH$1,main!$A$3:$H$102,7,FALSE)=main!$G$104,VLOOKUP(CH$1,main!$A$3:$H$102,5,FALSE)-VLOOKUP($A149,main!$A$3:$H$102,6,FALSE)&gt;=main!$D$103+VLOOKUP(VLOOKUP(CH$1,main!$A$3:$I$102,7,FALSE),main!$K$26:$Q$29,4,FALSE)),1,0)</f>
        <v>0</v>
      </c>
      <c r="CI149">
        <f>IF(AND(VLOOKUP(CI$1,main!$A$3:$H$102,7,FALSE)=main!$G$104,VLOOKUP(CI$1,main!$A$3:$H$102,5,FALSE)-VLOOKUP($A149,main!$A$3:$H$102,6,FALSE)&gt;=main!$D$103+VLOOKUP(VLOOKUP(CI$1,main!$A$3:$I$102,7,FALSE),main!$K$26:$Q$29,4,FALSE)),1,0)</f>
        <v>0</v>
      </c>
      <c r="CJ149">
        <f>IF(AND(VLOOKUP(CJ$1,main!$A$3:$H$102,7,FALSE)=main!$G$104,VLOOKUP(CJ$1,main!$A$3:$H$102,5,FALSE)-VLOOKUP($A149,main!$A$3:$H$102,6,FALSE)&gt;=main!$D$103+VLOOKUP(VLOOKUP(CJ$1,main!$A$3:$I$102,7,FALSE),main!$K$26:$Q$29,4,FALSE)),1,0)</f>
        <v>0</v>
      </c>
      <c r="CK149">
        <f>IF(AND(VLOOKUP(CK$1,main!$A$3:$H$102,7,FALSE)=main!$G$104,VLOOKUP(CK$1,main!$A$3:$H$102,5,FALSE)-VLOOKUP($A149,main!$A$3:$H$102,6,FALSE)&gt;=main!$D$103+VLOOKUP(VLOOKUP(CK$1,main!$A$3:$I$102,7,FALSE),main!$K$26:$Q$29,4,FALSE)),1,0)</f>
        <v>0</v>
      </c>
      <c r="CL149">
        <f>IF(AND(VLOOKUP(CL$1,main!$A$3:$H$102,7,FALSE)=main!$G$104,VLOOKUP(CL$1,main!$A$3:$H$102,5,FALSE)-VLOOKUP($A149,main!$A$3:$H$102,6,FALSE)&gt;=main!$D$103+VLOOKUP(VLOOKUP(CL$1,main!$A$3:$I$102,7,FALSE),main!$K$26:$Q$29,4,FALSE)),1,0)</f>
        <v>0</v>
      </c>
      <c r="CM149">
        <f>IF(AND(VLOOKUP(CM$1,main!$A$3:$H$102,7,FALSE)=main!$G$104,VLOOKUP(CM$1,main!$A$3:$H$102,5,FALSE)-VLOOKUP($A149,main!$A$3:$H$102,6,FALSE)&gt;=main!$D$103+VLOOKUP(VLOOKUP(CM$1,main!$A$3:$I$102,7,FALSE),main!$K$26:$Q$29,4,FALSE)),1,0)</f>
        <v>0</v>
      </c>
      <c r="CN149">
        <f>IF(AND(VLOOKUP(CN$1,main!$A$3:$H$102,7,FALSE)=main!$G$104,VLOOKUP(CN$1,main!$A$3:$H$102,5,FALSE)-VLOOKUP($A149,main!$A$3:$H$102,6,FALSE)&gt;=main!$D$103+VLOOKUP(VLOOKUP(CN$1,main!$A$3:$I$102,7,FALSE),main!$K$26:$Q$29,4,FALSE)),1,0)</f>
        <v>0</v>
      </c>
      <c r="CO149">
        <f>IF(AND(VLOOKUP(CO$1,main!$A$3:$H$102,7,FALSE)=main!$G$104,VLOOKUP(CO$1,main!$A$3:$H$102,5,FALSE)-VLOOKUP($A149,main!$A$3:$H$102,6,FALSE)&gt;=main!$D$103+VLOOKUP(VLOOKUP(CO$1,main!$A$3:$I$102,7,FALSE),main!$K$26:$Q$29,4,FALSE)),1,0)</f>
        <v>0</v>
      </c>
      <c r="CP149">
        <f>IF(AND(VLOOKUP(CP$1,main!$A$3:$H$102,7,FALSE)=main!$G$104,VLOOKUP(CP$1,main!$A$3:$H$102,5,FALSE)-VLOOKUP($A149,main!$A$3:$H$102,6,FALSE)&gt;=main!$D$103+VLOOKUP(VLOOKUP(CP$1,main!$A$3:$I$102,7,FALSE),main!$K$26:$Q$29,4,FALSE)),1,0)</f>
        <v>0</v>
      </c>
      <c r="CQ149">
        <f>IF(AND(VLOOKUP(CQ$1,main!$A$3:$H$102,7,FALSE)=main!$G$104,VLOOKUP(CQ$1,main!$A$3:$H$102,5,FALSE)-VLOOKUP($A149,main!$A$3:$H$102,6,FALSE)&gt;=main!$D$103+VLOOKUP(VLOOKUP(CQ$1,main!$A$3:$I$102,7,FALSE),main!$K$26:$Q$29,4,FALSE)),1,0)</f>
        <v>0</v>
      </c>
      <c r="CR149">
        <f>IF(AND(VLOOKUP(CR$1,main!$A$3:$H$102,7,FALSE)=main!$G$104,VLOOKUP(CR$1,main!$A$3:$H$102,5,FALSE)-VLOOKUP($A149,main!$A$3:$H$102,6,FALSE)&gt;=main!$D$103+VLOOKUP(VLOOKUP(CR$1,main!$A$3:$I$102,7,FALSE),main!$K$26:$Q$29,4,FALSE)),1,0)</f>
        <v>0</v>
      </c>
      <c r="CS149">
        <f>IF(AND(VLOOKUP(CS$1,main!$A$3:$H$102,7,FALSE)=main!$G$104,VLOOKUP(CS$1,main!$A$3:$H$102,5,FALSE)-VLOOKUP($A149,main!$A$3:$H$102,6,FALSE)&gt;=main!$D$103+VLOOKUP(VLOOKUP(CS$1,main!$A$3:$I$102,7,FALSE),main!$K$26:$Q$29,4,FALSE)),1,0)</f>
        <v>0</v>
      </c>
      <c r="CT149">
        <f>IF(AND(VLOOKUP(CT$1,main!$A$3:$H$102,7,FALSE)=main!$G$104,VLOOKUP(CT$1,main!$A$3:$H$102,5,FALSE)-VLOOKUP($A149,main!$A$3:$H$102,6,FALSE)&gt;=main!$D$103+VLOOKUP(VLOOKUP(CT$1,main!$A$3:$I$102,7,FALSE),main!$K$26:$Q$29,4,FALSE)),1,0)</f>
        <v>0</v>
      </c>
      <c r="CU149">
        <f>IF(AND(VLOOKUP(CU$1,main!$A$3:$H$102,7,FALSE)=main!$G$104,VLOOKUP(CU$1,main!$A$3:$H$102,5,FALSE)-VLOOKUP($A149,main!$A$3:$H$102,6,FALSE)&gt;=main!$D$103+VLOOKUP(VLOOKUP(CU$1,main!$A$3:$I$102,7,FALSE),main!$K$26:$Q$29,4,FALSE)),1,0)</f>
        <v>0</v>
      </c>
      <c r="CV149">
        <f>IF(AND(VLOOKUP(CV$1,main!$A$3:$H$102,7,FALSE)=main!$G$104,VLOOKUP(CV$1,main!$A$3:$H$102,5,FALSE)-VLOOKUP($A149,main!$A$3:$H$102,6,FALSE)&gt;=main!$D$103+VLOOKUP(VLOOKUP(CV$1,main!$A$3:$I$102,7,FALSE),main!$K$26:$Q$29,4,FALSE)),1,0)</f>
        <v>0</v>
      </c>
      <c r="CW149">
        <f>IF(AND(VLOOKUP(CW$1,main!$A$3:$H$102,7,FALSE)=main!$G$104,VLOOKUP(CW$1,main!$A$3:$H$102,5,FALSE)-VLOOKUP($A149,main!$A$3:$H$102,6,FALSE)&gt;=main!$D$103+VLOOKUP(VLOOKUP(CW$1,main!$A$3:$I$102,7,FALSE),main!$K$26:$Q$29,4,FALSE)),1,0)</f>
        <v>0</v>
      </c>
      <c r="CX149">
        <f>IF(AND(VLOOKUP(CX$1,main!$A$3:$H$102,7,FALSE)=main!$G$104,VLOOKUP(CX$1,main!$A$3:$H$102,5,FALSE)-VLOOKUP($A149,main!$A$3:$H$102,6,FALSE)&gt;=main!$D$103+VLOOKUP(VLOOKUP(CX$1,main!$A$3:$I$102,7,FALSE),main!$K$26:$Q$29,4,FALSE)),1,0)</f>
        <v>0</v>
      </c>
    </row>
    <row r="150" spans="1:106" x14ac:dyDescent="0.25">
      <c r="A150" s="1">
        <v>47</v>
      </c>
      <c r="B150">
        <v>0</v>
      </c>
      <c r="C150">
        <f>IF(AND(VLOOKUP(C$1,main!$A$3:$H$102,7,FALSE)=main!$G$104,VLOOKUP(C$1,main!$A$3:$H$102,5,FALSE)-VLOOKUP($A150,main!$A$3:$H$102,6,FALSE)&gt;=main!$D$103+VLOOKUP(VLOOKUP(C$1,main!$A$3:$I$102,7,FALSE),main!$K$26:$Q$29,4,FALSE)),1,0)</f>
        <v>0</v>
      </c>
      <c r="D150">
        <f>IF(AND(VLOOKUP(D$1,main!$A$3:$H$102,7,FALSE)=main!$G$104,VLOOKUP(D$1,main!$A$3:$H$102,5,FALSE)-VLOOKUP($A150,main!$A$3:$H$102,6,FALSE)&gt;=main!$D$103+VLOOKUP(VLOOKUP(D$1,main!$A$3:$I$102,7,FALSE),main!$K$26:$Q$29,4,FALSE)),1,0)</f>
        <v>0</v>
      </c>
      <c r="E150">
        <f>IF(AND(VLOOKUP(E$1,main!$A$3:$H$102,7,FALSE)=main!$G$104,VLOOKUP(E$1,main!$A$3:$H$102,5,FALSE)-VLOOKUP($A150,main!$A$3:$H$102,6,FALSE)&gt;=main!$D$103+VLOOKUP(VLOOKUP(E$1,main!$A$3:$I$102,7,FALSE),main!$K$26:$Q$29,4,FALSE)),1,0)</f>
        <v>0</v>
      </c>
      <c r="F150">
        <f>IF(AND(VLOOKUP(F$1,main!$A$3:$H$102,7,FALSE)=main!$G$104,VLOOKUP(F$1,main!$A$3:$H$102,5,FALSE)-VLOOKUP($A150,main!$A$3:$H$102,6,FALSE)&gt;=main!$D$103+VLOOKUP(VLOOKUP(F$1,main!$A$3:$I$102,7,FALSE),main!$K$26:$Q$29,4,FALSE)),1,0)</f>
        <v>0</v>
      </c>
      <c r="G150">
        <f>IF(AND(VLOOKUP(G$1,main!$A$3:$H$102,7,FALSE)=main!$G$104,VLOOKUP(G$1,main!$A$3:$H$102,5,FALSE)-VLOOKUP($A150,main!$A$3:$H$102,6,FALSE)&gt;=main!$D$103+VLOOKUP(VLOOKUP(G$1,main!$A$3:$I$102,7,FALSE),main!$K$26:$Q$29,4,FALSE)),1,0)</f>
        <v>0</v>
      </c>
      <c r="H150">
        <f>IF(AND(VLOOKUP(H$1,main!$A$3:$H$102,7,FALSE)=main!$G$104,VLOOKUP(H$1,main!$A$3:$H$102,5,FALSE)-VLOOKUP($A150,main!$A$3:$H$102,6,FALSE)&gt;=main!$D$103+VLOOKUP(VLOOKUP(H$1,main!$A$3:$I$102,7,FALSE),main!$K$26:$Q$29,4,FALSE)),1,0)</f>
        <v>0</v>
      </c>
      <c r="I150">
        <f>IF(AND(VLOOKUP(I$1,main!$A$3:$H$102,7,FALSE)=main!$G$104,VLOOKUP(I$1,main!$A$3:$H$102,5,FALSE)-VLOOKUP($A150,main!$A$3:$H$102,6,FALSE)&gt;=main!$D$103+VLOOKUP(VLOOKUP(I$1,main!$A$3:$I$102,7,FALSE),main!$K$26:$Q$29,4,FALSE)),1,0)</f>
        <v>0</v>
      </c>
      <c r="J150">
        <f>IF(AND(VLOOKUP(J$1,main!$A$3:$H$102,7,FALSE)=main!$G$104,VLOOKUP(J$1,main!$A$3:$H$102,5,FALSE)-VLOOKUP($A150,main!$A$3:$H$102,6,FALSE)&gt;=main!$D$103+VLOOKUP(VLOOKUP(J$1,main!$A$3:$I$102,7,FALSE),main!$K$26:$Q$29,4,FALSE)),1,0)</f>
        <v>0</v>
      </c>
      <c r="K150">
        <f>IF(AND(VLOOKUP(K$1,main!$A$3:$H$102,7,FALSE)=main!$G$104,VLOOKUP(K$1,main!$A$3:$H$102,5,FALSE)-VLOOKUP($A150,main!$A$3:$H$102,6,FALSE)&gt;=main!$D$103+VLOOKUP(VLOOKUP(K$1,main!$A$3:$I$102,7,FALSE),main!$K$26:$Q$29,4,FALSE)),1,0)</f>
        <v>1</v>
      </c>
      <c r="L150">
        <f>IF(AND(VLOOKUP(L$1,main!$A$3:$H$102,7,FALSE)=main!$G$104,VLOOKUP(L$1,main!$A$3:$H$102,5,FALSE)-VLOOKUP($A150,main!$A$3:$H$102,6,FALSE)&gt;=main!$D$103+VLOOKUP(VLOOKUP(L$1,main!$A$3:$I$102,7,FALSE),main!$K$26:$Q$29,4,FALSE)),1,0)</f>
        <v>1</v>
      </c>
      <c r="M150">
        <f>IF(AND(VLOOKUP(M$1,main!$A$3:$H$102,7,FALSE)=main!$G$104,VLOOKUP(M$1,main!$A$3:$H$102,5,FALSE)-VLOOKUP($A150,main!$A$3:$H$102,6,FALSE)&gt;=main!$D$103+VLOOKUP(VLOOKUP(M$1,main!$A$3:$I$102,7,FALSE),main!$K$26:$Q$29,4,FALSE)),1,0)</f>
        <v>0</v>
      </c>
      <c r="N150">
        <f>IF(AND(VLOOKUP(N$1,main!$A$3:$H$102,7,FALSE)=main!$G$104,VLOOKUP(N$1,main!$A$3:$H$102,5,FALSE)-VLOOKUP($A150,main!$A$3:$H$102,6,FALSE)&gt;=main!$D$103+VLOOKUP(VLOOKUP(N$1,main!$A$3:$I$102,7,FALSE),main!$K$26:$Q$29,4,FALSE)),1,0)</f>
        <v>0</v>
      </c>
      <c r="O150">
        <f>IF(AND(VLOOKUP(O$1,main!$A$3:$H$102,7,FALSE)=main!$G$104,VLOOKUP(O$1,main!$A$3:$H$102,5,FALSE)-VLOOKUP($A150,main!$A$3:$H$102,6,FALSE)&gt;=main!$D$103+VLOOKUP(VLOOKUP(O$1,main!$A$3:$I$102,7,FALSE),main!$K$26:$Q$29,4,FALSE)),1,0)</f>
        <v>0</v>
      </c>
      <c r="P150">
        <f>IF(AND(VLOOKUP(P$1,main!$A$3:$H$102,7,FALSE)=main!$G$104,VLOOKUP(P$1,main!$A$3:$H$102,5,FALSE)-VLOOKUP($A150,main!$A$3:$H$102,6,FALSE)&gt;=main!$D$103+VLOOKUP(VLOOKUP(P$1,main!$A$3:$I$102,7,FALSE),main!$K$26:$Q$29,4,FALSE)),1,0)</f>
        <v>0</v>
      </c>
      <c r="Q150">
        <f>IF(AND(VLOOKUP(Q$1,main!$A$3:$H$102,7,FALSE)=main!$G$104,VLOOKUP(Q$1,main!$A$3:$H$102,5,FALSE)-VLOOKUP($A150,main!$A$3:$H$102,6,FALSE)&gt;=main!$D$103+VLOOKUP(VLOOKUP(Q$1,main!$A$3:$I$102,7,FALSE),main!$K$26:$Q$29,4,FALSE)),1,0)</f>
        <v>0</v>
      </c>
      <c r="R150">
        <f>IF(AND(VLOOKUP(R$1,main!$A$3:$H$102,7,FALSE)=main!$G$104,VLOOKUP(R$1,main!$A$3:$H$102,5,FALSE)-VLOOKUP($A150,main!$A$3:$H$102,6,FALSE)&gt;=main!$D$103+VLOOKUP(VLOOKUP(R$1,main!$A$3:$I$102,7,FALSE),main!$K$26:$Q$29,4,FALSE)),1,0)</f>
        <v>0</v>
      </c>
      <c r="S150">
        <f>IF(AND(VLOOKUP(S$1,main!$A$3:$H$102,7,FALSE)=main!$G$104,VLOOKUP(S$1,main!$A$3:$H$102,5,FALSE)-VLOOKUP($A150,main!$A$3:$H$102,6,FALSE)&gt;=main!$D$103+VLOOKUP(VLOOKUP(S$1,main!$A$3:$I$102,7,FALSE),main!$K$26:$Q$29,4,FALSE)),1,0)</f>
        <v>0</v>
      </c>
      <c r="T150">
        <f>IF(AND(VLOOKUP(T$1,main!$A$3:$H$102,7,FALSE)=main!$G$104,VLOOKUP(T$1,main!$A$3:$H$102,5,FALSE)-VLOOKUP($A150,main!$A$3:$H$102,6,FALSE)&gt;=main!$D$103+VLOOKUP(VLOOKUP(T$1,main!$A$3:$I$102,7,FALSE),main!$K$26:$Q$29,4,FALSE)),1,0)</f>
        <v>0</v>
      </c>
      <c r="U150">
        <f>IF(AND(VLOOKUP(U$1,main!$A$3:$H$102,7,FALSE)=main!$G$104,VLOOKUP(U$1,main!$A$3:$H$102,5,FALSE)-VLOOKUP($A150,main!$A$3:$H$102,6,FALSE)&gt;=main!$D$103+VLOOKUP(VLOOKUP(U$1,main!$A$3:$I$102,7,FALSE),main!$K$26:$Q$29,4,FALSE)),1,0)</f>
        <v>1</v>
      </c>
      <c r="V150">
        <f>IF(AND(VLOOKUP(V$1,main!$A$3:$H$102,7,FALSE)=main!$G$104,VLOOKUP(V$1,main!$A$3:$H$102,5,FALSE)-VLOOKUP($A150,main!$A$3:$H$102,6,FALSE)&gt;=main!$D$103+VLOOKUP(VLOOKUP(V$1,main!$A$3:$I$102,7,FALSE),main!$K$26:$Q$29,4,FALSE)),1,0)</f>
        <v>1</v>
      </c>
      <c r="W150">
        <f>IF(AND(VLOOKUP(W$1,main!$A$3:$H$102,7,FALSE)=main!$G$104,VLOOKUP(W$1,main!$A$3:$H$102,5,FALSE)-VLOOKUP($A150,main!$A$3:$H$102,6,FALSE)&gt;=main!$D$103+VLOOKUP(VLOOKUP(W$1,main!$A$3:$I$102,7,FALSE),main!$K$26:$Q$29,4,FALSE)),1,0)</f>
        <v>0</v>
      </c>
      <c r="X150">
        <f>IF(AND(VLOOKUP(X$1,main!$A$3:$H$102,7,FALSE)=main!$G$104,VLOOKUP(X$1,main!$A$3:$H$102,5,FALSE)-VLOOKUP($A150,main!$A$3:$H$102,6,FALSE)&gt;=main!$D$103+VLOOKUP(VLOOKUP(X$1,main!$A$3:$I$102,7,FALSE),main!$K$26:$Q$29,4,FALSE)),1,0)</f>
        <v>0</v>
      </c>
      <c r="Y150">
        <f>IF(AND(VLOOKUP(Y$1,main!$A$3:$H$102,7,FALSE)=main!$G$104,VLOOKUP(Y$1,main!$A$3:$H$102,5,FALSE)-VLOOKUP($A150,main!$A$3:$H$102,6,FALSE)&gt;=main!$D$103+VLOOKUP(VLOOKUP(Y$1,main!$A$3:$I$102,7,FALSE),main!$K$26:$Q$29,4,FALSE)),1,0)</f>
        <v>0</v>
      </c>
      <c r="Z150">
        <f>IF(AND(VLOOKUP(Z$1,main!$A$3:$H$102,7,FALSE)=main!$G$104,VLOOKUP(Z$1,main!$A$3:$H$102,5,FALSE)-VLOOKUP($A150,main!$A$3:$H$102,6,FALSE)&gt;=main!$D$103+VLOOKUP(VLOOKUP(Z$1,main!$A$3:$I$102,7,FALSE),main!$K$26:$Q$29,4,FALSE)),1,0)</f>
        <v>0</v>
      </c>
      <c r="AA150">
        <f>IF(AND(VLOOKUP(AA$1,main!$A$3:$H$102,7,FALSE)=main!$G$104,VLOOKUP(AA$1,main!$A$3:$H$102,5,FALSE)-VLOOKUP($A150,main!$A$3:$H$102,6,FALSE)&gt;=main!$D$103+VLOOKUP(VLOOKUP(AA$1,main!$A$3:$I$102,7,FALSE),main!$K$26:$Q$29,4,FALSE)),1,0)</f>
        <v>1</v>
      </c>
      <c r="AB150">
        <f>IF(AND(VLOOKUP(AB$1,main!$A$3:$H$102,7,FALSE)=main!$G$104,VLOOKUP(AB$1,main!$A$3:$H$102,5,FALSE)-VLOOKUP($A150,main!$A$3:$H$102,6,FALSE)&gt;=main!$D$103+VLOOKUP(VLOOKUP(AB$1,main!$A$3:$I$102,7,FALSE),main!$K$26:$Q$29,4,FALSE)),1,0)</f>
        <v>0</v>
      </c>
      <c r="AC150">
        <f>IF(AND(VLOOKUP(AC$1,main!$A$3:$H$102,7,FALSE)=main!$G$104,VLOOKUP(AC$1,main!$A$3:$H$102,5,FALSE)-VLOOKUP($A150,main!$A$3:$H$102,6,FALSE)&gt;=main!$D$103+VLOOKUP(VLOOKUP(AC$1,main!$A$3:$I$102,7,FALSE),main!$K$26:$Q$29,4,FALSE)),1,0)</f>
        <v>0</v>
      </c>
      <c r="AD150">
        <f>IF(AND(VLOOKUP(AD$1,main!$A$3:$H$102,7,FALSE)=main!$G$104,VLOOKUP(AD$1,main!$A$3:$H$102,5,FALSE)-VLOOKUP($A150,main!$A$3:$H$102,6,FALSE)&gt;=main!$D$103+VLOOKUP(VLOOKUP(AD$1,main!$A$3:$I$102,7,FALSE),main!$K$26:$Q$29,4,FALSE)),1,0)</f>
        <v>0</v>
      </c>
      <c r="AE150">
        <f>IF(AND(VLOOKUP(AE$1,main!$A$3:$H$102,7,FALSE)=main!$G$104,VLOOKUP(AE$1,main!$A$3:$H$102,5,FALSE)-VLOOKUP($A150,main!$A$3:$H$102,6,FALSE)&gt;=main!$D$103+VLOOKUP(VLOOKUP(AE$1,main!$A$3:$I$102,7,FALSE),main!$K$26:$Q$29,4,FALSE)),1,0)</f>
        <v>0</v>
      </c>
      <c r="AF150">
        <f>IF(AND(VLOOKUP(AF$1,main!$A$3:$H$102,7,FALSE)=main!$G$104,VLOOKUP(AF$1,main!$A$3:$H$102,5,FALSE)-VLOOKUP($A150,main!$A$3:$H$102,6,FALSE)&gt;=main!$D$103+VLOOKUP(VLOOKUP(AF$1,main!$A$3:$I$102,7,FALSE),main!$K$26:$Q$29,4,FALSE)),1,0)</f>
        <v>1</v>
      </c>
      <c r="AG150">
        <f>IF(AND(VLOOKUP(AG$1,main!$A$3:$H$102,7,FALSE)=main!$G$104,VLOOKUP(AG$1,main!$A$3:$H$102,5,FALSE)-VLOOKUP($A150,main!$A$3:$H$102,6,FALSE)&gt;=main!$D$103+VLOOKUP(VLOOKUP(AG$1,main!$A$3:$I$102,7,FALSE),main!$K$26:$Q$29,4,FALSE)),1,0)</f>
        <v>0</v>
      </c>
      <c r="AH150">
        <f>IF(AND(VLOOKUP(AH$1,main!$A$3:$H$102,7,FALSE)=main!$G$104,VLOOKUP(AH$1,main!$A$3:$H$102,5,FALSE)-VLOOKUP($A150,main!$A$3:$H$102,6,FALSE)&gt;=main!$D$103+VLOOKUP(VLOOKUP(AH$1,main!$A$3:$I$102,7,FALSE),main!$K$26:$Q$29,4,FALSE)),1,0)</f>
        <v>0</v>
      </c>
      <c r="AI150">
        <f>IF(AND(VLOOKUP(AI$1,main!$A$3:$H$102,7,FALSE)=main!$G$104,VLOOKUP(AI$1,main!$A$3:$H$102,5,FALSE)-VLOOKUP($A150,main!$A$3:$H$102,6,FALSE)&gt;=main!$D$103+VLOOKUP(VLOOKUP(AI$1,main!$A$3:$I$102,7,FALSE),main!$K$26:$Q$29,4,FALSE)),1,0)</f>
        <v>0</v>
      </c>
      <c r="AJ150">
        <f>IF(AND(VLOOKUP(AJ$1,main!$A$3:$H$102,7,FALSE)=main!$G$104,VLOOKUP(AJ$1,main!$A$3:$H$102,5,FALSE)-VLOOKUP($A150,main!$A$3:$H$102,6,FALSE)&gt;=main!$D$103+VLOOKUP(VLOOKUP(AJ$1,main!$A$3:$I$102,7,FALSE),main!$K$26:$Q$29,4,FALSE)),1,0)</f>
        <v>0</v>
      </c>
      <c r="AK150">
        <f>IF(AND(VLOOKUP(AK$1,main!$A$3:$H$102,7,FALSE)=main!$G$104,VLOOKUP(AK$1,main!$A$3:$H$102,5,FALSE)-VLOOKUP($A150,main!$A$3:$H$102,6,FALSE)&gt;=main!$D$103+VLOOKUP(VLOOKUP(AK$1,main!$A$3:$I$102,7,FALSE),main!$K$26:$Q$29,4,FALSE)),1,0)</f>
        <v>0</v>
      </c>
      <c r="AL150">
        <f>IF(AND(VLOOKUP(AL$1,main!$A$3:$H$102,7,FALSE)=main!$G$104,VLOOKUP(AL$1,main!$A$3:$H$102,5,FALSE)-VLOOKUP($A150,main!$A$3:$H$102,6,FALSE)&gt;=main!$D$103+VLOOKUP(VLOOKUP(AL$1,main!$A$3:$I$102,7,FALSE),main!$K$26:$Q$29,4,FALSE)),1,0)</f>
        <v>0</v>
      </c>
      <c r="AM150">
        <f>IF(AND(VLOOKUP(AM$1,main!$A$3:$H$102,7,FALSE)=main!$G$104,VLOOKUP(AM$1,main!$A$3:$H$102,5,FALSE)-VLOOKUP($A150,main!$A$3:$H$102,6,FALSE)&gt;=main!$D$103+VLOOKUP(VLOOKUP(AM$1,main!$A$3:$I$102,7,FALSE),main!$K$26:$Q$29,4,FALSE)),1,0)</f>
        <v>0</v>
      </c>
      <c r="AN150">
        <f>IF(AND(VLOOKUP(AN$1,main!$A$3:$H$102,7,FALSE)=main!$G$104,VLOOKUP(AN$1,main!$A$3:$H$102,5,FALSE)-VLOOKUP($A150,main!$A$3:$H$102,6,FALSE)&gt;=main!$D$103+VLOOKUP(VLOOKUP(AN$1,main!$A$3:$I$102,7,FALSE),main!$K$26:$Q$29,4,FALSE)),1,0)</f>
        <v>0</v>
      </c>
      <c r="AO150">
        <f>IF(AND(VLOOKUP(AO$1,main!$A$3:$H$102,7,FALSE)=main!$G$104,VLOOKUP(AO$1,main!$A$3:$H$102,5,FALSE)-VLOOKUP($A150,main!$A$3:$H$102,6,FALSE)&gt;=main!$D$103+VLOOKUP(VLOOKUP(AO$1,main!$A$3:$I$102,7,FALSE),main!$K$26:$Q$29,4,FALSE)),1,0)</f>
        <v>0</v>
      </c>
      <c r="AP150">
        <f>IF(AND(VLOOKUP(AP$1,main!$A$3:$H$102,7,FALSE)=main!$G$104,VLOOKUP(AP$1,main!$A$3:$H$102,5,FALSE)-VLOOKUP($A150,main!$A$3:$H$102,6,FALSE)&gt;=main!$D$103+VLOOKUP(VLOOKUP(AP$1,main!$A$3:$I$102,7,FALSE),main!$K$26:$Q$29,4,FALSE)),1,0)</f>
        <v>0</v>
      </c>
      <c r="AQ150">
        <f>IF(AND(VLOOKUP(AQ$1,main!$A$3:$H$102,7,FALSE)=main!$G$104,VLOOKUP(AQ$1,main!$A$3:$H$102,5,FALSE)-VLOOKUP($A150,main!$A$3:$H$102,6,FALSE)&gt;=main!$D$103+VLOOKUP(VLOOKUP(AQ$1,main!$A$3:$I$102,7,FALSE),main!$K$26:$Q$29,4,FALSE)),1,0)</f>
        <v>0</v>
      </c>
      <c r="AR150">
        <f>IF(AND(VLOOKUP(AR$1,main!$A$3:$H$102,7,FALSE)=main!$G$104,VLOOKUP(AR$1,main!$A$3:$H$102,5,FALSE)-VLOOKUP($A150,main!$A$3:$H$102,6,FALSE)&gt;=main!$D$103+VLOOKUP(VLOOKUP(AR$1,main!$A$3:$I$102,7,FALSE),main!$K$26:$Q$29,4,FALSE)),1,0)</f>
        <v>0</v>
      </c>
      <c r="AS150">
        <f>IF(AND(VLOOKUP(AS$1,main!$A$3:$H$102,7,FALSE)=main!$G$104,VLOOKUP(AS$1,main!$A$3:$H$102,5,FALSE)-VLOOKUP($A150,main!$A$3:$H$102,6,FALSE)&gt;=main!$D$103+VLOOKUP(VLOOKUP(AS$1,main!$A$3:$I$102,7,FALSE),main!$K$26:$Q$29,4,FALSE)),1,0)</f>
        <v>0</v>
      </c>
      <c r="AT150">
        <f>IF(AND(VLOOKUP(AT$1,main!$A$3:$H$102,7,FALSE)=main!$G$104,VLOOKUP(AT$1,main!$A$3:$H$102,5,FALSE)-VLOOKUP($A150,main!$A$3:$H$102,6,FALSE)&gt;=main!$D$103+VLOOKUP(VLOOKUP(AT$1,main!$A$3:$I$102,7,FALSE),main!$K$26:$Q$29,4,FALSE)),1,0)</f>
        <v>0</v>
      </c>
      <c r="AU150">
        <f>IF(AND(VLOOKUP(AU$1,main!$A$3:$H$102,7,FALSE)=main!$G$104,VLOOKUP(AU$1,main!$A$3:$H$102,5,FALSE)-VLOOKUP($A150,main!$A$3:$H$102,6,FALSE)&gt;=main!$D$103+VLOOKUP(VLOOKUP(AU$1,main!$A$3:$I$102,7,FALSE),main!$K$26:$Q$29,4,FALSE)),1,0)</f>
        <v>0</v>
      </c>
      <c r="AV150">
        <f>IF(AND(VLOOKUP(AV$1,main!$A$3:$H$102,7,FALSE)=main!$G$104,VLOOKUP(AV$1,main!$A$3:$H$102,5,FALSE)-VLOOKUP($A150,main!$A$3:$H$102,6,FALSE)&gt;=main!$D$103+VLOOKUP(VLOOKUP(AV$1,main!$A$3:$I$102,7,FALSE),main!$K$26:$Q$29,4,FALSE)),1,0)</f>
        <v>0</v>
      </c>
      <c r="AW150">
        <f>IF(AND(VLOOKUP(AW$1,main!$A$3:$H$102,7,FALSE)=main!$G$104,VLOOKUP(AW$1,main!$A$3:$H$102,5,FALSE)-VLOOKUP($A150,main!$A$3:$H$102,6,FALSE)&gt;=main!$D$103+VLOOKUP(VLOOKUP(AW$1,main!$A$3:$I$102,7,FALSE),main!$K$26:$Q$29,4,FALSE)),1,0)</f>
        <v>0</v>
      </c>
      <c r="AX150">
        <f>IF(AND(VLOOKUP(AX$1,main!$A$3:$H$102,7,FALSE)=main!$G$104,VLOOKUP(AX$1,main!$A$3:$H$102,5,FALSE)-VLOOKUP($A150,main!$A$3:$H$102,6,FALSE)&gt;=main!$D$103+VLOOKUP(VLOOKUP(AX$1,main!$A$3:$I$102,7,FALSE),main!$K$26:$Q$29,4,FALSE)),1,0)</f>
        <v>0</v>
      </c>
      <c r="AY150">
        <f>IF(AND(VLOOKUP(AY$1,main!$A$3:$H$102,7,FALSE)=main!$G$104,VLOOKUP(AY$1,main!$A$3:$H$102,5,FALSE)-VLOOKUP($A150,main!$A$3:$H$102,6,FALSE)&gt;=main!$D$103+VLOOKUP(VLOOKUP(AY$1,main!$A$3:$I$102,7,FALSE),main!$K$26:$Q$29,4,FALSE)),1,0)</f>
        <v>0</v>
      </c>
      <c r="AZ150">
        <f>IF(AND(VLOOKUP(AZ$1,main!$A$3:$H$102,7,FALSE)=main!$G$104,VLOOKUP(AZ$1,main!$A$3:$H$102,5,FALSE)-VLOOKUP($A150,main!$A$3:$H$102,6,FALSE)&gt;=main!$D$103+VLOOKUP(VLOOKUP(AZ$1,main!$A$3:$I$102,7,FALSE),main!$K$26:$Q$29,4,FALSE)),1,0)</f>
        <v>0</v>
      </c>
      <c r="BA150">
        <f>IF(AND(VLOOKUP(BA$1,main!$A$3:$H$102,7,FALSE)=main!$G$104,VLOOKUP(BA$1,main!$A$3:$H$102,5,FALSE)-VLOOKUP($A150,main!$A$3:$H$102,6,FALSE)&gt;=main!$D$103+VLOOKUP(VLOOKUP(BA$1,main!$A$3:$I$102,7,FALSE),main!$K$26:$Q$29,4,FALSE)),1,0)</f>
        <v>0</v>
      </c>
      <c r="BB150">
        <f>IF(AND(VLOOKUP(BB$1,main!$A$3:$H$102,7,FALSE)=main!$G$104,VLOOKUP(BB$1,main!$A$3:$H$102,5,FALSE)-VLOOKUP($A150,main!$A$3:$H$102,6,FALSE)&gt;=main!$D$103+VLOOKUP(VLOOKUP(BB$1,main!$A$3:$I$102,7,FALSE),main!$K$26:$Q$29,4,FALSE)),1,0)</f>
        <v>0</v>
      </c>
      <c r="BC150">
        <f>IF(AND(VLOOKUP(BC$1,main!$A$3:$H$102,7,FALSE)=main!$G$104,VLOOKUP(BC$1,main!$A$3:$H$102,5,FALSE)-VLOOKUP($A150,main!$A$3:$H$102,6,FALSE)&gt;=main!$D$103+VLOOKUP(VLOOKUP(BC$1,main!$A$3:$I$102,7,FALSE),main!$K$26:$Q$29,4,FALSE)),1,0)</f>
        <v>0</v>
      </c>
      <c r="BD150">
        <f>IF(AND(VLOOKUP(BD$1,main!$A$3:$H$102,7,FALSE)=main!$G$104,VLOOKUP(BD$1,main!$A$3:$H$102,5,FALSE)-VLOOKUP($A150,main!$A$3:$H$102,6,FALSE)&gt;=main!$D$103+VLOOKUP(VLOOKUP(BD$1,main!$A$3:$I$102,7,FALSE),main!$K$26:$Q$29,4,FALSE)),1,0)</f>
        <v>0</v>
      </c>
      <c r="BE150">
        <f>IF(AND(VLOOKUP(BE$1,main!$A$3:$H$102,7,FALSE)=main!$G$104,VLOOKUP(BE$1,main!$A$3:$H$102,5,FALSE)-VLOOKUP($A150,main!$A$3:$H$102,6,FALSE)&gt;=main!$D$103+VLOOKUP(VLOOKUP(BE$1,main!$A$3:$I$102,7,FALSE),main!$K$26:$Q$29,4,FALSE)),1,0)</f>
        <v>0</v>
      </c>
      <c r="BF150">
        <f>IF(AND(VLOOKUP(BF$1,main!$A$3:$H$102,7,FALSE)=main!$G$104,VLOOKUP(BF$1,main!$A$3:$H$102,5,FALSE)-VLOOKUP($A150,main!$A$3:$H$102,6,FALSE)&gt;=main!$D$103+VLOOKUP(VLOOKUP(BF$1,main!$A$3:$I$102,7,FALSE),main!$K$26:$Q$29,4,FALSE)),1,0)</f>
        <v>0</v>
      </c>
      <c r="BG150">
        <f>IF(AND(VLOOKUP(BG$1,main!$A$3:$H$102,7,FALSE)=main!$G$104,VLOOKUP(BG$1,main!$A$3:$H$102,5,FALSE)-VLOOKUP($A150,main!$A$3:$H$102,6,FALSE)&gt;=main!$D$103+VLOOKUP(VLOOKUP(BG$1,main!$A$3:$I$102,7,FALSE),main!$K$26:$Q$29,4,FALSE)),1,0)</f>
        <v>0</v>
      </c>
      <c r="BH150">
        <f>IF(AND(VLOOKUP(BH$1,main!$A$3:$H$102,7,FALSE)=main!$G$104,VLOOKUP(BH$1,main!$A$3:$H$102,5,FALSE)-VLOOKUP($A150,main!$A$3:$H$102,6,FALSE)&gt;=main!$D$103+VLOOKUP(VLOOKUP(BH$1,main!$A$3:$I$102,7,FALSE),main!$K$26:$Q$29,4,FALSE)),1,0)</f>
        <v>0</v>
      </c>
      <c r="BI150">
        <f>IF(AND(VLOOKUP(BI$1,main!$A$3:$H$102,7,FALSE)=main!$G$104,VLOOKUP(BI$1,main!$A$3:$H$102,5,FALSE)-VLOOKUP($A150,main!$A$3:$H$102,6,FALSE)&gt;=main!$D$103+VLOOKUP(VLOOKUP(BI$1,main!$A$3:$I$102,7,FALSE),main!$K$26:$Q$29,4,FALSE)),1,0)</f>
        <v>0</v>
      </c>
      <c r="BJ150">
        <f>IF(AND(VLOOKUP(BJ$1,main!$A$3:$H$102,7,FALSE)=main!$G$104,VLOOKUP(BJ$1,main!$A$3:$H$102,5,FALSE)-VLOOKUP($A150,main!$A$3:$H$102,6,FALSE)&gt;=main!$D$103+VLOOKUP(VLOOKUP(BJ$1,main!$A$3:$I$102,7,FALSE),main!$K$26:$Q$29,4,FALSE)),1,0)</f>
        <v>0</v>
      </c>
      <c r="BK150">
        <f>IF(AND(VLOOKUP(BK$1,main!$A$3:$H$102,7,FALSE)=main!$G$104,VLOOKUP(BK$1,main!$A$3:$H$102,5,FALSE)-VLOOKUP($A150,main!$A$3:$H$102,6,FALSE)&gt;=main!$D$103+VLOOKUP(VLOOKUP(BK$1,main!$A$3:$I$102,7,FALSE),main!$K$26:$Q$29,4,FALSE)),1,0)</f>
        <v>0</v>
      </c>
      <c r="BL150">
        <f>IF(AND(VLOOKUP(BL$1,main!$A$3:$H$102,7,FALSE)=main!$G$104,VLOOKUP(BL$1,main!$A$3:$H$102,5,FALSE)-VLOOKUP($A150,main!$A$3:$H$102,6,FALSE)&gt;=main!$D$103+VLOOKUP(VLOOKUP(BL$1,main!$A$3:$I$102,7,FALSE),main!$K$26:$Q$29,4,FALSE)),1,0)</f>
        <v>0</v>
      </c>
      <c r="BM150">
        <f>IF(AND(VLOOKUP(BM$1,main!$A$3:$H$102,7,FALSE)=main!$G$104,VLOOKUP(BM$1,main!$A$3:$H$102,5,FALSE)-VLOOKUP($A150,main!$A$3:$H$102,6,FALSE)&gt;=main!$D$103+VLOOKUP(VLOOKUP(BM$1,main!$A$3:$I$102,7,FALSE),main!$K$26:$Q$29,4,FALSE)),1,0)</f>
        <v>0</v>
      </c>
      <c r="BN150">
        <f>IF(AND(VLOOKUP(BN$1,main!$A$3:$H$102,7,FALSE)=main!$G$104,VLOOKUP(BN$1,main!$A$3:$H$102,5,FALSE)-VLOOKUP($A150,main!$A$3:$H$102,6,FALSE)&gt;=main!$D$103+VLOOKUP(VLOOKUP(BN$1,main!$A$3:$I$102,7,FALSE),main!$K$26:$Q$29,4,FALSE)),1,0)</f>
        <v>0</v>
      </c>
      <c r="BO150">
        <f>IF(AND(VLOOKUP(BO$1,main!$A$3:$H$102,7,FALSE)=main!$G$104,VLOOKUP(BO$1,main!$A$3:$H$102,5,FALSE)-VLOOKUP($A150,main!$A$3:$H$102,6,FALSE)&gt;=main!$D$103+VLOOKUP(VLOOKUP(BO$1,main!$A$3:$I$102,7,FALSE),main!$K$26:$Q$29,4,FALSE)),1,0)</f>
        <v>0</v>
      </c>
      <c r="BP150">
        <f>IF(AND(VLOOKUP(BP$1,main!$A$3:$H$102,7,FALSE)=main!$G$104,VLOOKUP(BP$1,main!$A$3:$H$102,5,FALSE)-VLOOKUP($A150,main!$A$3:$H$102,6,FALSE)&gt;=main!$D$103+VLOOKUP(VLOOKUP(BP$1,main!$A$3:$I$102,7,FALSE),main!$K$26:$Q$29,4,FALSE)),1,0)</f>
        <v>0</v>
      </c>
      <c r="BQ150">
        <f>IF(AND(VLOOKUP(BQ$1,main!$A$3:$H$102,7,FALSE)=main!$G$104,VLOOKUP(BQ$1,main!$A$3:$H$102,5,FALSE)-VLOOKUP($A150,main!$A$3:$H$102,6,FALSE)&gt;=main!$D$103+VLOOKUP(VLOOKUP(BQ$1,main!$A$3:$I$102,7,FALSE),main!$K$26:$Q$29,4,FALSE)),1,0)</f>
        <v>0</v>
      </c>
      <c r="BR150">
        <f>IF(AND(VLOOKUP(BR$1,main!$A$3:$H$102,7,FALSE)=main!$G$104,VLOOKUP(BR$1,main!$A$3:$H$102,5,FALSE)-VLOOKUP($A150,main!$A$3:$H$102,6,FALSE)&gt;=main!$D$103+VLOOKUP(VLOOKUP(BR$1,main!$A$3:$I$102,7,FALSE),main!$K$26:$Q$29,4,FALSE)),1,0)</f>
        <v>0</v>
      </c>
      <c r="BS150">
        <f>IF(AND(VLOOKUP(BS$1,main!$A$3:$H$102,7,FALSE)=main!$G$104,VLOOKUP(BS$1,main!$A$3:$H$102,5,FALSE)-VLOOKUP($A150,main!$A$3:$H$102,6,FALSE)&gt;=main!$D$103+VLOOKUP(VLOOKUP(BS$1,main!$A$3:$I$102,7,FALSE),main!$K$26:$Q$29,4,FALSE)),1,0)</f>
        <v>0</v>
      </c>
      <c r="BT150">
        <f>IF(AND(VLOOKUP(BT$1,main!$A$3:$H$102,7,FALSE)=main!$G$104,VLOOKUP(BT$1,main!$A$3:$H$102,5,FALSE)-VLOOKUP($A150,main!$A$3:$H$102,6,FALSE)&gt;=main!$D$103+VLOOKUP(VLOOKUP(BT$1,main!$A$3:$I$102,7,FALSE),main!$K$26:$Q$29,4,FALSE)),1,0)</f>
        <v>0</v>
      </c>
      <c r="BU150">
        <f>IF(AND(VLOOKUP(BU$1,main!$A$3:$H$102,7,FALSE)=main!$G$104,VLOOKUP(BU$1,main!$A$3:$H$102,5,FALSE)-VLOOKUP($A150,main!$A$3:$H$102,6,FALSE)&gt;=main!$D$103+VLOOKUP(VLOOKUP(BU$1,main!$A$3:$I$102,7,FALSE),main!$K$26:$Q$29,4,FALSE)),1,0)</f>
        <v>0</v>
      </c>
      <c r="BV150">
        <f>IF(AND(VLOOKUP(BV$1,main!$A$3:$H$102,7,FALSE)=main!$G$104,VLOOKUP(BV$1,main!$A$3:$H$102,5,FALSE)-VLOOKUP($A150,main!$A$3:$H$102,6,FALSE)&gt;=main!$D$103+VLOOKUP(VLOOKUP(BV$1,main!$A$3:$I$102,7,FALSE),main!$K$26:$Q$29,4,FALSE)),1,0)</f>
        <v>0</v>
      </c>
      <c r="BW150">
        <f>IF(AND(VLOOKUP(BW$1,main!$A$3:$H$102,7,FALSE)=main!$G$104,VLOOKUP(BW$1,main!$A$3:$H$102,5,FALSE)-VLOOKUP($A150,main!$A$3:$H$102,6,FALSE)&gt;=main!$D$103+VLOOKUP(VLOOKUP(BW$1,main!$A$3:$I$102,7,FALSE),main!$K$26:$Q$29,4,FALSE)),1,0)</f>
        <v>0</v>
      </c>
      <c r="BX150">
        <f>IF(AND(VLOOKUP(BX$1,main!$A$3:$H$102,7,FALSE)=main!$G$104,VLOOKUP(BX$1,main!$A$3:$H$102,5,FALSE)-VLOOKUP($A150,main!$A$3:$H$102,6,FALSE)&gt;=main!$D$103+VLOOKUP(VLOOKUP(BX$1,main!$A$3:$I$102,7,FALSE),main!$K$26:$Q$29,4,FALSE)),1,0)</f>
        <v>0</v>
      </c>
      <c r="BY150">
        <f>IF(AND(VLOOKUP(BY$1,main!$A$3:$H$102,7,FALSE)=main!$G$104,VLOOKUP(BY$1,main!$A$3:$H$102,5,FALSE)-VLOOKUP($A150,main!$A$3:$H$102,6,FALSE)&gt;=main!$D$103+VLOOKUP(VLOOKUP(BY$1,main!$A$3:$I$102,7,FALSE),main!$K$26:$Q$29,4,FALSE)),1,0)</f>
        <v>0</v>
      </c>
      <c r="BZ150">
        <f>IF(AND(VLOOKUP(BZ$1,main!$A$3:$H$102,7,FALSE)=main!$G$104,VLOOKUP(BZ$1,main!$A$3:$H$102,5,FALSE)-VLOOKUP($A150,main!$A$3:$H$102,6,FALSE)&gt;=main!$D$103+VLOOKUP(VLOOKUP(BZ$1,main!$A$3:$I$102,7,FALSE),main!$K$26:$Q$29,4,FALSE)),1,0)</f>
        <v>0</v>
      </c>
      <c r="CA150">
        <f>IF(AND(VLOOKUP(CA$1,main!$A$3:$H$102,7,FALSE)=main!$G$104,VLOOKUP(CA$1,main!$A$3:$H$102,5,FALSE)-VLOOKUP($A150,main!$A$3:$H$102,6,FALSE)&gt;=main!$D$103+VLOOKUP(VLOOKUP(CA$1,main!$A$3:$I$102,7,FALSE),main!$K$26:$Q$29,4,FALSE)),1,0)</f>
        <v>0</v>
      </c>
      <c r="CB150">
        <f>IF(AND(VLOOKUP(CB$1,main!$A$3:$H$102,7,FALSE)=main!$G$104,VLOOKUP(CB$1,main!$A$3:$H$102,5,FALSE)-VLOOKUP($A150,main!$A$3:$H$102,6,FALSE)&gt;=main!$D$103+VLOOKUP(VLOOKUP(CB$1,main!$A$3:$I$102,7,FALSE),main!$K$26:$Q$29,4,FALSE)),1,0)</f>
        <v>0</v>
      </c>
      <c r="CC150">
        <f>IF(AND(VLOOKUP(CC$1,main!$A$3:$H$102,7,FALSE)=main!$G$104,VLOOKUP(CC$1,main!$A$3:$H$102,5,FALSE)-VLOOKUP($A150,main!$A$3:$H$102,6,FALSE)&gt;=main!$D$103+VLOOKUP(VLOOKUP(CC$1,main!$A$3:$I$102,7,FALSE),main!$K$26:$Q$29,4,FALSE)),1,0)</f>
        <v>0</v>
      </c>
      <c r="CD150">
        <f>IF(AND(VLOOKUP(CD$1,main!$A$3:$H$102,7,FALSE)=main!$G$104,VLOOKUP(CD$1,main!$A$3:$H$102,5,FALSE)-VLOOKUP($A150,main!$A$3:$H$102,6,FALSE)&gt;=main!$D$103+VLOOKUP(VLOOKUP(CD$1,main!$A$3:$I$102,7,FALSE),main!$K$26:$Q$29,4,FALSE)),1,0)</f>
        <v>0</v>
      </c>
      <c r="CE150">
        <f>IF(AND(VLOOKUP(CE$1,main!$A$3:$H$102,7,FALSE)=main!$G$104,VLOOKUP(CE$1,main!$A$3:$H$102,5,FALSE)-VLOOKUP($A150,main!$A$3:$H$102,6,FALSE)&gt;=main!$D$103+VLOOKUP(VLOOKUP(CE$1,main!$A$3:$I$102,7,FALSE),main!$K$26:$Q$29,4,FALSE)),1,0)</f>
        <v>0</v>
      </c>
      <c r="CF150">
        <f>IF(AND(VLOOKUP(CF$1,main!$A$3:$H$102,7,FALSE)=main!$G$104,VLOOKUP(CF$1,main!$A$3:$H$102,5,FALSE)-VLOOKUP($A150,main!$A$3:$H$102,6,FALSE)&gt;=main!$D$103+VLOOKUP(VLOOKUP(CF$1,main!$A$3:$I$102,7,FALSE),main!$K$26:$Q$29,4,FALSE)),1,0)</f>
        <v>0</v>
      </c>
      <c r="CG150">
        <f>IF(AND(VLOOKUP(CG$1,main!$A$3:$H$102,7,FALSE)=main!$G$104,VLOOKUP(CG$1,main!$A$3:$H$102,5,FALSE)-VLOOKUP($A150,main!$A$3:$H$102,6,FALSE)&gt;=main!$D$103+VLOOKUP(VLOOKUP(CG$1,main!$A$3:$I$102,7,FALSE),main!$K$26:$Q$29,4,FALSE)),1,0)</f>
        <v>0</v>
      </c>
      <c r="CH150">
        <f>IF(AND(VLOOKUP(CH$1,main!$A$3:$H$102,7,FALSE)=main!$G$104,VLOOKUP(CH$1,main!$A$3:$H$102,5,FALSE)-VLOOKUP($A150,main!$A$3:$H$102,6,FALSE)&gt;=main!$D$103+VLOOKUP(VLOOKUP(CH$1,main!$A$3:$I$102,7,FALSE),main!$K$26:$Q$29,4,FALSE)),1,0)</f>
        <v>0</v>
      </c>
      <c r="CI150">
        <f>IF(AND(VLOOKUP(CI$1,main!$A$3:$H$102,7,FALSE)=main!$G$104,VLOOKUP(CI$1,main!$A$3:$H$102,5,FALSE)-VLOOKUP($A150,main!$A$3:$H$102,6,FALSE)&gt;=main!$D$103+VLOOKUP(VLOOKUP(CI$1,main!$A$3:$I$102,7,FALSE),main!$K$26:$Q$29,4,FALSE)),1,0)</f>
        <v>0</v>
      </c>
      <c r="CJ150">
        <f>IF(AND(VLOOKUP(CJ$1,main!$A$3:$H$102,7,FALSE)=main!$G$104,VLOOKUP(CJ$1,main!$A$3:$H$102,5,FALSE)-VLOOKUP($A150,main!$A$3:$H$102,6,FALSE)&gt;=main!$D$103+VLOOKUP(VLOOKUP(CJ$1,main!$A$3:$I$102,7,FALSE),main!$K$26:$Q$29,4,FALSE)),1,0)</f>
        <v>0</v>
      </c>
      <c r="CK150">
        <f>IF(AND(VLOOKUP(CK$1,main!$A$3:$H$102,7,FALSE)=main!$G$104,VLOOKUP(CK$1,main!$A$3:$H$102,5,FALSE)-VLOOKUP($A150,main!$A$3:$H$102,6,FALSE)&gt;=main!$D$103+VLOOKUP(VLOOKUP(CK$1,main!$A$3:$I$102,7,FALSE),main!$K$26:$Q$29,4,FALSE)),1,0)</f>
        <v>0</v>
      </c>
      <c r="CL150">
        <f>IF(AND(VLOOKUP(CL$1,main!$A$3:$H$102,7,FALSE)=main!$G$104,VLOOKUP(CL$1,main!$A$3:$H$102,5,FALSE)-VLOOKUP($A150,main!$A$3:$H$102,6,FALSE)&gt;=main!$D$103+VLOOKUP(VLOOKUP(CL$1,main!$A$3:$I$102,7,FALSE),main!$K$26:$Q$29,4,FALSE)),1,0)</f>
        <v>0</v>
      </c>
      <c r="CM150">
        <f>IF(AND(VLOOKUP(CM$1,main!$A$3:$H$102,7,FALSE)=main!$G$104,VLOOKUP(CM$1,main!$A$3:$H$102,5,FALSE)-VLOOKUP($A150,main!$A$3:$H$102,6,FALSE)&gt;=main!$D$103+VLOOKUP(VLOOKUP(CM$1,main!$A$3:$I$102,7,FALSE),main!$K$26:$Q$29,4,FALSE)),1,0)</f>
        <v>0</v>
      </c>
      <c r="CN150">
        <f>IF(AND(VLOOKUP(CN$1,main!$A$3:$H$102,7,FALSE)=main!$G$104,VLOOKUP(CN$1,main!$A$3:$H$102,5,FALSE)-VLOOKUP($A150,main!$A$3:$H$102,6,FALSE)&gt;=main!$D$103+VLOOKUP(VLOOKUP(CN$1,main!$A$3:$I$102,7,FALSE),main!$K$26:$Q$29,4,FALSE)),1,0)</f>
        <v>0</v>
      </c>
      <c r="CO150">
        <f>IF(AND(VLOOKUP(CO$1,main!$A$3:$H$102,7,FALSE)=main!$G$104,VLOOKUP(CO$1,main!$A$3:$H$102,5,FALSE)-VLOOKUP($A150,main!$A$3:$H$102,6,FALSE)&gt;=main!$D$103+VLOOKUP(VLOOKUP(CO$1,main!$A$3:$I$102,7,FALSE),main!$K$26:$Q$29,4,FALSE)),1,0)</f>
        <v>0</v>
      </c>
      <c r="CP150">
        <f>IF(AND(VLOOKUP(CP$1,main!$A$3:$H$102,7,FALSE)=main!$G$104,VLOOKUP(CP$1,main!$A$3:$H$102,5,FALSE)-VLOOKUP($A150,main!$A$3:$H$102,6,FALSE)&gt;=main!$D$103+VLOOKUP(VLOOKUP(CP$1,main!$A$3:$I$102,7,FALSE),main!$K$26:$Q$29,4,FALSE)),1,0)</f>
        <v>0</v>
      </c>
      <c r="CQ150">
        <f>IF(AND(VLOOKUP(CQ$1,main!$A$3:$H$102,7,FALSE)=main!$G$104,VLOOKUP(CQ$1,main!$A$3:$H$102,5,FALSE)-VLOOKUP($A150,main!$A$3:$H$102,6,FALSE)&gt;=main!$D$103+VLOOKUP(VLOOKUP(CQ$1,main!$A$3:$I$102,7,FALSE),main!$K$26:$Q$29,4,FALSE)),1,0)</f>
        <v>0</v>
      </c>
      <c r="CR150">
        <f>IF(AND(VLOOKUP(CR$1,main!$A$3:$H$102,7,FALSE)=main!$G$104,VLOOKUP(CR$1,main!$A$3:$H$102,5,FALSE)-VLOOKUP($A150,main!$A$3:$H$102,6,FALSE)&gt;=main!$D$103+VLOOKUP(VLOOKUP(CR$1,main!$A$3:$I$102,7,FALSE),main!$K$26:$Q$29,4,FALSE)),1,0)</f>
        <v>0</v>
      </c>
      <c r="CS150">
        <f>IF(AND(VLOOKUP(CS$1,main!$A$3:$H$102,7,FALSE)=main!$G$104,VLOOKUP(CS$1,main!$A$3:$H$102,5,FALSE)-VLOOKUP($A150,main!$A$3:$H$102,6,FALSE)&gt;=main!$D$103+VLOOKUP(VLOOKUP(CS$1,main!$A$3:$I$102,7,FALSE),main!$K$26:$Q$29,4,FALSE)),1,0)</f>
        <v>0</v>
      </c>
      <c r="CT150">
        <f>IF(AND(VLOOKUP(CT$1,main!$A$3:$H$102,7,FALSE)=main!$G$104,VLOOKUP(CT$1,main!$A$3:$H$102,5,FALSE)-VLOOKUP($A150,main!$A$3:$H$102,6,FALSE)&gt;=main!$D$103+VLOOKUP(VLOOKUP(CT$1,main!$A$3:$I$102,7,FALSE),main!$K$26:$Q$29,4,FALSE)),1,0)</f>
        <v>0</v>
      </c>
      <c r="CU150">
        <f>IF(AND(VLOOKUP(CU$1,main!$A$3:$H$102,7,FALSE)=main!$G$104,VLOOKUP(CU$1,main!$A$3:$H$102,5,FALSE)-VLOOKUP($A150,main!$A$3:$H$102,6,FALSE)&gt;=main!$D$103+VLOOKUP(VLOOKUP(CU$1,main!$A$3:$I$102,7,FALSE),main!$K$26:$Q$29,4,FALSE)),1,0)</f>
        <v>0</v>
      </c>
      <c r="CV150">
        <f>IF(AND(VLOOKUP(CV$1,main!$A$3:$H$102,7,FALSE)=main!$G$104,VLOOKUP(CV$1,main!$A$3:$H$102,5,FALSE)-VLOOKUP($A150,main!$A$3:$H$102,6,FALSE)&gt;=main!$D$103+VLOOKUP(VLOOKUP(CV$1,main!$A$3:$I$102,7,FALSE),main!$K$26:$Q$29,4,FALSE)),1,0)</f>
        <v>0</v>
      </c>
      <c r="CW150">
        <f>IF(AND(VLOOKUP(CW$1,main!$A$3:$H$102,7,FALSE)=main!$G$104,VLOOKUP(CW$1,main!$A$3:$H$102,5,FALSE)-VLOOKUP($A150,main!$A$3:$H$102,6,FALSE)&gt;=main!$D$103+VLOOKUP(VLOOKUP(CW$1,main!$A$3:$I$102,7,FALSE),main!$K$26:$Q$29,4,FALSE)),1,0)</f>
        <v>0</v>
      </c>
      <c r="CX150">
        <f>IF(AND(VLOOKUP(CX$1,main!$A$3:$H$102,7,FALSE)=main!$G$104,VLOOKUP(CX$1,main!$A$3:$H$102,5,FALSE)-VLOOKUP($A150,main!$A$3:$H$102,6,FALSE)&gt;=main!$D$103+VLOOKUP(VLOOKUP(CX$1,main!$A$3:$I$102,7,FALSE),main!$K$26:$Q$29,4,FALSE)),1,0)</f>
        <v>0</v>
      </c>
    </row>
    <row r="151" spans="1:106" x14ac:dyDescent="0.25">
      <c r="A151" s="1">
        <v>48</v>
      </c>
      <c r="B151">
        <v>0</v>
      </c>
      <c r="C151">
        <f>IF(AND(VLOOKUP(C$1,main!$A$3:$H$102,7,FALSE)=main!$G$104,VLOOKUP(C$1,main!$A$3:$H$102,5,FALSE)-VLOOKUP($A151,main!$A$3:$H$102,6,FALSE)&gt;=main!$D$103+VLOOKUP(VLOOKUP(C$1,main!$A$3:$I$102,7,FALSE),main!$K$26:$Q$29,4,FALSE)),1,0)</f>
        <v>0</v>
      </c>
      <c r="D151">
        <f>IF(AND(VLOOKUP(D$1,main!$A$3:$H$102,7,FALSE)=main!$G$104,VLOOKUP(D$1,main!$A$3:$H$102,5,FALSE)-VLOOKUP($A151,main!$A$3:$H$102,6,FALSE)&gt;=main!$D$103+VLOOKUP(VLOOKUP(D$1,main!$A$3:$I$102,7,FALSE),main!$K$26:$Q$29,4,FALSE)),1,0)</f>
        <v>0</v>
      </c>
      <c r="E151">
        <f>IF(AND(VLOOKUP(E$1,main!$A$3:$H$102,7,FALSE)=main!$G$104,VLOOKUP(E$1,main!$A$3:$H$102,5,FALSE)-VLOOKUP($A151,main!$A$3:$H$102,6,FALSE)&gt;=main!$D$103+VLOOKUP(VLOOKUP(E$1,main!$A$3:$I$102,7,FALSE),main!$K$26:$Q$29,4,FALSE)),1,0)</f>
        <v>0</v>
      </c>
      <c r="F151">
        <f>IF(AND(VLOOKUP(F$1,main!$A$3:$H$102,7,FALSE)=main!$G$104,VLOOKUP(F$1,main!$A$3:$H$102,5,FALSE)-VLOOKUP($A151,main!$A$3:$H$102,6,FALSE)&gt;=main!$D$103+VLOOKUP(VLOOKUP(F$1,main!$A$3:$I$102,7,FALSE),main!$K$26:$Q$29,4,FALSE)),1,0)</f>
        <v>0</v>
      </c>
      <c r="G151">
        <f>IF(AND(VLOOKUP(G$1,main!$A$3:$H$102,7,FALSE)=main!$G$104,VLOOKUP(G$1,main!$A$3:$H$102,5,FALSE)-VLOOKUP($A151,main!$A$3:$H$102,6,FALSE)&gt;=main!$D$103+VLOOKUP(VLOOKUP(G$1,main!$A$3:$I$102,7,FALSE),main!$K$26:$Q$29,4,FALSE)),1,0)</f>
        <v>0</v>
      </c>
      <c r="H151">
        <f>IF(AND(VLOOKUP(H$1,main!$A$3:$H$102,7,FALSE)=main!$G$104,VLOOKUP(H$1,main!$A$3:$H$102,5,FALSE)-VLOOKUP($A151,main!$A$3:$H$102,6,FALSE)&gt;=main!$D$103+VLOOKUP(VLOOKUP(H$1,main!$A$3:$I$102,7,FALSE),main!$K$26:$Q$29,4,FALSE)),1,0)</f>
        <v>1</v>
      </c>
      <c r="I151">
        <f>IF(AND(VLOOKUP(I$1,main!$A$3:$H$102,7,FALSE)=main!$G$104,VLOOKUP(I$1,main!$A$3:$H$102,5,FALSE)-VLOOKUP($A151,main!$A$3:$H$102,6,FALSE)&gt;=main!$D$103+VLOOKUP(VLOOKUP(I$1,main!$A$3:$I$102,7,FALSE),main!$K$26:$Q$29,4,FALSE)),1,0)</f>
        <v>1</v>
      </c>
      <c r="J151">
        <f>IF(AND(VLOOKUP(J$1,main!$A$3:$H$102,7,FALSE)=main!$G$104,VLOOKUP(J$1,main!$A$3:$H$102,5,FALSE)-VLOOKUP($A151,main!$A$3:$H$102,6,FALSE)&gt;=main!$D$103+VLOOKUP(VLOOKUP(J$1,main!$A$3:$I$102,7,FALSE),main!$K$26:$Q$29,4,FALSE)),1,0)</f>
        <v>1</v>
      </c>
      <c r="K151">
        <f>IF(AND(VLOOKUP(K$1,main!$A$3:$H$102,7,FALSE)=main!$G$104,VLOOKUP(K$1,main!$A$3:$H$102,5,FALSE)-VLOOKUP($A151,main!$A$3:$H$102,6,FALSE)&gt;=main!$D$103+VLOOKUP(VLOOKUP(K$1,main!$A$3:$I$102,7,FALSE),main!$K$26:$Q$29,4,FALSE)),1,0)</f>
        <v>1</v>
      </c>
      <c r="L151">
        <f>IF(AND(VLOOKUP(L$1,main!$A$3:$H$102,7,FALSE)=main!$G$104,VLOOKUP(L$1,main!$A$3:$H$102,5,FALSE)-VLOOKUP($A151,main!$A$3:$H$102,6,FALSE)&gt;=main!$D$103+VLOOKUP(VLOOKUP(L$1,main!$A$3:$I$102,7,FALSE),main!$K$26:$Q$29,4,FALSE)),1,0)</f>
        <v>1</v>
      </c>
      <c r="M151">
        <f>IF(AND(VLOOKUP(M$1,main!$A$3:$H$102,7,FALSE)=main!$G$104,VLOOKUP(M$1,main!$A$3:$H$102,5,FALSE)-VLOOKUP($A151,main!$A$3:$H$102,6,FALSE)&gt;=main!$D$103+VLOOKUP(VLOOKUP(M$1,main!$A$3:$I$102,7,FALSE),main!$K$26:$Q$29,4,FALSE)),1,0)</f>
        <v>0</v>
      </c>
      <c r="N151">
        <f>IF(AND(VLOOKUP(N$1,main!$A$3:$H$102,7,FALSE)=main!$G$104,VLOOKUP(N$1,main!$A$3:$H$102,5,FALSE)-VLOOKUP($A151,main!$A$3:$H$102,6,FALSE)&gt;=main!$D$103+VLOOKUP(VLOOKUP(N$1,main!$A$3:$I$102,7,FALSE),main!$K$26:$Q$29,4,FALSE)),1,0)</f>
        <v>0</v>
      </c>
      <c r="O151">
        <f>IF(AND(VLOOKUP(O$1,main!$A$3:$H$102,7,FALSE)=main!$G$104,VLOOKUP(O$1,main!$A$3:$H$102,5,FALSE)-VLOOKUP($A151,main!$A$3:$H$102,6,FALSE)&gt;=main!$D$103+VLOOKUP(VLOOKUP(O$1,main!$A$3:$I$102,7,FALSE),main!$K$26:$Q$29,4,FALSE)),1,0)</f>
        <v>0</v>
      </c>
      <c r="P151">
        <f>IF(AND(VLOOKUP(P$1,main!$A$3:$H$102,7,FALSE)=main!$G$104,VLOOKUP(P$1,main!$A$3:$H$102,5,FALSE)-VLOOKUP($A151,main!$A$3:$H$102,6,FALSE)&gt;=main!$D$103+VLOOKUP(VLOOKUP(P$1,main!$A$3:$I$102,7,FALSE),main!$K$26:$Q$29,4,FALSE)),1,0)</f>
        <v>0</v>
      </c>
      <c r="Q151">
        <f>IF(AND(VLOOKUP(Q$1,main!$A$3:$H$102,7,FALSE)=main!$G$104,VLOOKUP(Q$1,main!$A$3:$H$102,5,FALSE)-VLOOKUP($A151,main!$A$3:$H$102,6,FALSE)&gt;=main!$D$103+VLOOKUP(VLOOKUP(Q$1,main!$A$3:$I$102,7,FALSE),main!$K$26:$Q$29,4,FALSE)),1,0)</f>
        <v>0</v>
      </c>
      <c r="R151">
        <f>IF(AND(VLOOKUP(R$1,main!$A$3:$H$102,7,FALSE)=main!$G$104,VLOOKUP(R$1,main!$A$3:$H$102,5,FALSE)-VLOOKUP($A151,main!$A$3:$H$102,6,FALSE)&gt;=main!$D$103+VLOOKUP(VLOOKUP(R$1,main!$A$3:$I$102,7,FALSE),main!$K$26:$Q$29,4,FALSE)),1,0)</f>
        <v>0</v>
      </c>
      <c r="S151">
        <f>IF(AND(VLOOKUP(S$1,main!$A$3:$H$102,7,FALSE)=main!$G$104,VLOOKUP(S$1,main!$A$3:$H$102,5,FALSE)-VLOOKUP($A151,main!$A$3:$H$102,6,FALSE)&gt;=main!$D$103+VLOOKUP(VLOOKUP(S$1,main!$A$3:$I$102,7,FALSE),main!$K$26:$Q$29,4,FALSE)),1,0)</f>
        <v>1</v>
      </c>
      <c r="T151">
        <f>IF(AND(VLOOKUP(T$1,main!$A$3:$H$102,7,FALSE)=main!$G$104,VLOOKUP(T$1,main!$A$3:$H$102,5,FALSE)-VLOOKUP($A151,main!$A$3:$H$102,6,FALSE)&gt;=main!$D$103+VLOOKUP(VLOOKUP(T$1,main!$A$3:$I$102,7,FALSE),main!$K$26:$Q$29,4,FALSE)),1,0)</f>
        <v>1</v>
      </c>
      <c r="U151">
        <f>IF(AND(VLOOKUP(U$1,main!$A$3:$H$102,7,FALSE)=main!$G$104,VLOOKUP(U$1,main!$A$3:$H$102,5,FALSE)-VLOOKUP($A151,main!$A$3:$H$102,6,FALSE)&gt;=main!$D$103+VLOOKUP(VLOOKUP(U$1,main!$A$3:$I$102,7,FALSE),main!$K$26:$Q$29,4,FALSE)),1,0)</f>
        <v>1</v>
      </c>
      <c r="V151">
        <f>IF(AND(VLOOKUP(V$1,main!$A$3:$H$102,7,FALSE)=main!$G$104,VLOOKUP(V$1,main!$A$3:$H$102,5,FALSE)-VLOOKUP($A151,main!$A$3:$H$102,6,FALSE)&gt;=main!$D$103+VLOOKUP(VLOOKUP(V$1,main!$A$3:$I$102,7,FALSE),main!$K$26:$Q$29,4,FALSE)),1,0)</f>
        <v>1</v>
      </c>
      <c r="W151">
        <f>IF(AND(VLOOKUP(W$1,main!$A$3:$H$102,7,FALSE)=main!$G$104,VLOOKUP(W$1,main!$A$3:$H$102,5,FALSE)-VLOOKUP($A151,main!$A$3:$H$102,6,FALSE)&gt;=main!$D$103+VLOOKUP(VLOOKUP(W$1,main!$A$3:$I$102,7,FALSE),main!$K$26:$Q$29,4,FALSE)),1,0)</f>
        <v>0</v>
      </c>
      <c r="X151">
        <f>IF(AND(VLOOKUP(X$1,main!$A$3:$H$102,7,FALSE)=main!$G$104,VLOOKUP(X$1,main!$A$3:$H$102,5,FALSE)-VLOOKUP($A151,main!$A$3:$H$102,6,FALSE)&gt;=main!$D$103+VLOOKUP(VLOOKUP(X$1,main!$A$3:$I$102,7,FALSE),main!$K$26:$Q$29,4,FALSE)),1,0)</f>
        <v>0</v>
      </c>
      <c r="Y151">
        <f>IF(AND(VLOOKUP(Y$1,main!$A$3:$H$102,7,FALSE)=main!$G$104,VLOOKUP(Y$1,main!$A$3:$H$102,5,FALSE)-VLOOKUP($A151,main!$A$3:$H$102,6,FALSE)&gt;=main!$D$103+VLOOKUP(VLOOKUP(Y$1,main!$A$3:$I$102,7,FALSE),main!$K$26:$Q$29,4,FALSE)),1,0)</f>
        <v>0</v>
      </c>
      <c r="Z151">
        <f>IF(AND(VLOOKUP(Z$1,main!$A$3:$H$102,7,FALSE)=main!$G$104,VLOOKUP(Z$1,main!$A$3:$H$102,5,FALSE)-VLOOKUP($A151,main!$A$3:$H$102,6,FALSE)&gt;=main!$D$103+VLOOKUP(VLOOKUP(Z$1,main!$A$3:$I$102,7,FALSE),main!$K$26:$Q$29,4,FALSE)),1,0)</f>
        <v>1</v>
      </c>
      <c r="AA151">
        <f>IF(AND(VLOOKUP(AA$1,main!$A$3:$H$102,7,FALSE)=main!$G$104,VLOOKUP(AA$1,main!$A$3:$H$102,5,FALSE)-VLOOKUP($A151,main!$A$3:$H$102,6,FALSE)&gt;=main!$D$103+VLOOKUP(VLOOKUP(AA$1,main!$A$3:$I$102,7,FALSE),main!$K$26:$Q$29,4,FALSE)),1,0)</f>
        <v>1</v>
      </c>
      <c r="AB151">
        <f>IF(AND(VLOOKUP(AB$1,main!$A$3:$H$102,7,FALSE)=main!$G$104,VLOOKUP(AB$1,main!$A$3:$H$102,5,FALSE)-VLOOKUP($A151,main!$A$3:$H$102,6,FALSE)&gt;=main!$D$103+VLOOKUP(VLOOKUP(AB$1,main!$A$3:$I$102,7,FALSE),main!$K$26:$Q$29,4,FALSE)),1,0)</f>
        <v>0</v>
      </c>
      <c r="AC151">
        <f>IF(AND(VLOOKUP(AC$1,main!$A$3:$H$102,7,FALSE)=main!$G$104,VLOOKUP(AC$1,main!$A$3:$H$102,5,FALSE)-VLOOKUP($A151,main!$A$3:$H$102,6,FALSE)&gt;=main!$D$103+VLOOKUP(VLOOKUP(AC$1,main!$A$3:$I$102,7,FALSE),main!$K$26:$Q$29,4,FALSE)),1,0)</f>
        <v>0</v>
      </c>
      <c r="AD151">
        <f>IF(AND(VLOOKUP(AD$1,main!$A$3:$H$102,7,FALSE)=main!$G$104,VLOOKUP(AD$1,main!$A$3:$H$102,5,FALSE)-VLOOKUP($A151,main!$A$3:$H$102,6,FALSE)&gt;=main!$D$103+VLOOKUP(VLOOKUP(AD$1,main!$A$3:$I$102,7,FALSE),main!$K$26:$Q$29,4,FALSE)),1,0)</f>
        <v>0</v>
      </c>
      <c r="AE151">
        <f>IF(AND(VLOOKUP(AE$1,main!$A$3:$H$102,7,FALSE)=main!$G$104,VLOOKUP(AE$1,main!$A$3:$H$102,5,FALSE)-VLOOKUP($A151,main!$A$3:$H$102,6,FALSE)&gt;=main!$D$103+VLOOKUP(VLOOKUP(AE$1,main!$A$3:$I$102,7,FALSE),main!$K$26:$Q$29,4,FALSE)),1,0)</f>
        <v>1</v>
      </c>
      <c r="AF151">
        <f>IF(AND(VLOOKUP(AF$1,main!$A$3:$H$102,7,FALSE)=main!$G$104,VLOOKUP(AF$1,main!$A$3:$H$102,5,FALSE)-VLOOKUP($A151,main!$A$3:$H$102,6,FALSE)&gt;=main!$D$103+VLOOKUP(VLOOKUP(AF$1,main!$A$3:$I$102,7,FALSE),main!$K$26:$Q$29,4,FALSE)),1,0)</f>
        <v>1</v>
      </c>
      <c r="AG151">
        <f>IF(AND(VLOOKUP(AG$1,main!$A$3:$H$102,7,FALSE)=main!$G$104,VLOOKUP(AG$1,main!$A$3:$H$102,5,FALSE)-VLOOKUP($A151,main!$A$3:$H$102,6,FALSE)&gt;=main!$D$103+VLOOKUP(VLOOKUP(AG$1,main!$A$3:$I$102,7,FALSE),main!$K$26:$Q$29,4,FALSE)),1,0)</f>
        <v>0</v>
      </c>
      <c r="AH151">
        <f>IF(AND(VLOOKUP(AH$1,main!$A$3:$H$102,7,FALSE)=main!$G$104,VLOOKUP(AH$1,main!$A$3:$H$102,5,FALSE)-VLOOKUP($A151,main!$A$3:$H$102,6,FALSE)&gt;=main!$D$103+VLOOKUP(VLOOKUP(AH$1,main!$A$3:$I$102,7,FALSE),main!$K$26:$Q$29,4,FALSE)),1,0)</f>
        <v>0</v>
      </c>
      <c r="AI151">
        <f>IF(AND(VLOOKUP(AI$1,main!$A$3:$H$102,7,FALSE)=main!$G$104,VLOOKUP(AI$1,main!$A$3:$H$102,5,FALSE)-VLOOKUP($A151,main!$A$3:$H$102,6,FALSE)&gt;=main!$D$103+VLOOKUP(VLOOKUP(AI$1,main!$A$3:$I$102,7,FALSE),main!$K$26:$Q$29,4,FALSE)),1,0)</f>
        <v>0</v>
      </c>
      <c r="AJ151">
        <f>IF(AND(VLOOKUP(AJ$1,main!$A$3:$H$102,7,FALSE)=main!$G$104,VLOOKUP(AJ$1,main!$A$3:$H$102,5,FALSE)-VLOOKUP($A151,main!$A$3:$H$102,6,FALSE)&gt;=main!$D$103+VLOOKUP(VLOOKUP(AJ$1,main!$A$3:$I$102,7,FALSE),main!$K$26:$Q$29,4,FALSE)),1,0)</f>
        <v>0</v>
      </c>
      <c r="AK151">
        <f>IF(AND(VLOOKUP(AK$1,main!$A$3:$H$102,7,FALSE)=main!$G$104,VLOOKUP(AK$1,main!$A$3:$H$102,5,FALSE)-VLOOKUP($A151,main!$A$3:$H$102,6,FALSE)&gt;=main!$D$103+VLOOKUP(VLOOKUP(AK$1,main!$A$3:$I$102,7,FALSE),main!$K$26:$Q$29,4,FALSE)),1,0)</f>
        <v>0</v>
      </c>
      <c r="AL151">
        <f>IF(AND(VLOOKUP(AL$1,main!$A$3:$H$102,7,FALSE)=main!$G$104,VLOOKUP(AL$1,main!$A$3:$H$102,5,FALSE)-VLOOKUP($A151,main!$A$3:$H$102,6,FALSE)&gt;=main!$D$103+VLOOKUP(VLOOKUP(AL$1,main!$A$3:$I$102,7,FALSE),main!$K$26:$Q$29,4,FALSE)),1,0)</f>
        <v>0</v>
      </c>
      <c r="AM151">
        <f>IF(AND(VLOOKUP(AM$1,main!$A$3:$H$102,7,FALSE)=main!$G$104,VLOOKUP(AM$1,main!$A$3:$H$102,5,FALSE)-VLOOKUP($A151,main!$A$3:$H$102,6,FALSE)&gt;=main!$D$103+VLOOKUP(VLOOKUP(AM$1,main!$A$3:$I$102,7,FALSE),main!$K$26:$Q$29,4,FALSE)),1,0)</f>
        <v>0</v>
      </c>
      <c r="AN151">
        <f>IF(AND(VLOOKUP(AN$1,main!$A$3:$H$102,7,FALSE)=main!$G$104,VLOOKUP(AN$1,main!$A$3:$H$102,5,FALSE)-VLOOKUP($A151,main!$A$3:$H$102,6,FALSE)&gt;=main!$D$103+VLOOKUP(VLOOKUP(AN$1,main!$A$3:$I$102,7,FALSE),main!$K$26:$Q$29,4,FALSE)),1,0)</f>
        <v>0</v>
      </c>
      <c r="AO151">
        <f>IF(AND(VLOOKUP(AO$1,main!$A$3:$H$102,7,FALSE)=main!$G$104,VLOOKUP(AO$1,main!$A$3:$H$102,5,FALSE)-VLOOKUP($A151,main!$A$3:$H$102,6,FALSE)&gt;=main!$D$103+VLOOKUP(VLOOKUP(AO$1,main!$A$3:$I$102,7,FALSE),main!$K$26:$Q$29,4,FALSE)),1,0)</f>
        <v>0</v>
      </c>
      <c r="AP151">
        <f>IF(AND(VLOOKUP(AP$1,main!$A$3:$H$102,7,FALSE)=main!$G$104,VLOOKUP(AP$1,main!$A$3:$H$102,5,FALSE)-VLOOKUP($A151,main!$A$3:$H$102,6,FALSE)&gt;=main!$D$103+VLOOKUP(VLOOKUP(AP$1,main!$A$3:$I$102,7,FALSE),main!$K$26:$Q$29,4,FALSE)),1,0)</f>
        <v>0</v>
      </c>
      <c r="AQ151">
        <f>IF(AND(VLOOKUP(AQ$1,main!$A$3:$H$102,7,FALSE)=main!$G$104,VLOOKUP(AQ$1,main!$A$3:$H$102,5,FALSE)-VLOOKUP($A151,main!$A$3:$H$102,6,FALSE)&gt;=main!$D$103+VLOOKUP(VLOOKUP(AQ$1,main!$A$3:$I$102,7,FALSE),main!$K$26:$Q$29,4,FALSE)),1,0)</f>
        <v>0</v>
      </c>
      <c r="AR151">
        <f>IF(AND(VLOOKUP(AR$1,main!$A$3:$H$102,7,FALSE)=main!$G$104,VLOOKUP(AR$1,main!$A$3:$H$102,5,FALSE)-VLOOKUP($A151,main!$A$3:$H$102,6,FALSE)&gt;=main!$D$103+VLOOKUP(VLOOKUP(AR$1,main!$A$3:$I$102,7,FALSE),main!$K$26:$Q$29,4,FALSE)),1,0)</f>
        <v>0</v>
      </c>
      <c r="AS151">
        <f>IF(AND(VLOOKUP(AS$1,main!$A$3:$H$102,7,FALSE)=main!$G$104,VLOOKUP(AS$1,main!$A$3:$H$102,5,FALSE)-VLOOKUP($A151,main!$A$3:$H$102,6,FALSE)&gt;=main!$D$103+VLOOKUP(VLOOKUP(AS$1,main!$A$3:$I$102,7,FALSE),main!$K$26:$Q$29,4,FALSE)),1,0)</f>
        <v>0</v>
      </c>
      <c r="AT151">
        <f>IF(AND(VLOOKUP(AT$1,main!$A$3:$H$102,7,FALSE)=main!$G$104,VLOOKUP(AT$1,main!$A$3:$H$102,5,FALSE)-VLOOKUP($A151,main!$A$3:$H$102,6,FALSE)&gt;=main!$D$103+VLOOKUP(VLOOKUP(AT$1,main!$A$3:$I$102,7,FALSE),main!$K$26:$Q$29,4,FALSE)),1,0)</f>
        <v>0</v>
      </c>
      <c r="AU151">
        <f>IF(AND(VLOOKUP(AU$1,main!$A$3:$H$102,7,FALSE)=main!$G$104,VLOOKUP(AU$1,main!$A$3:$H$102,5,FALSE)-VLOOKUP($A151,main!$A$3:$H$102,6,FALSE)&gt;=main!$D$103+VLOOKUP(VLOOKUP(AU$1,main!$A$3:$I$102,7,FALSE),main!$K$26:$Q$29,4,FALSE)),1,0)</f>
        <v>0</v>
      </c>
      <c r="AV151">
        <f>IF(AND(VLOOKUP(AV$1,main!$A$3:$H$102,7,FALSE)=main!$G$104,VLOOKUP(AV$1,main!$A$3:$H$102,5,FALSE)-VLOOKUP($A151,main!$A$3:$H$102,6,FALSE)&gt;=main!$D$103+VLOOKUP(VLOOKUP(AV$1,main!$A$3:$I$102,7,FALSE),main!$K$26:$Q$29,4,FALSE)),1,0)</f>
        <v>0</v>
      </c>
      <c r="AW151">
        <f>IF(AND(VLOOKUP(AW$1,main!$A$3:$H$102,7,FALSE)=main!$G$104,VLOOKUP(AW$1,main!$A$3:$H$102,5,FALSE)-VLOOKUP($A151,main!$A$3:$H$102,6,FALSE)&gt;=main!$D$103+VLOOKUP(VLOOKUP(AW$1,main!$A$3:$I$102,7,FALSE),main!$K$26:$Q$29,4,FALSE)),1,0)</f>
        <v>0</v>
      </c>
      <c r="AX151">
        <f>IF(AND(VLOOKUP(AX$1,main!$A$3:$H$102,7,FALSE)=main!$G$104,VLOOKUP(AX$1,main!$A$3:$H$102,5,FALSE)-VLOOKUP($A151,main!$A$3:$H$102,6,FALSE)&gt;=main!$D$103+VLOOKUP(VLOOKUP(AX$1,main!$A$3:$I$102,7,FALSE),main!$K$26:$Q$29,4,FALSE)),1,0)</f>
        <v>0</v>
      </c>
      <c r="AY151">
        <f>IF(AND(VLOOKUP(AY$1,main!$A$3:$H$102,7,FALSE)=main!$G$104,VLOOKUP(AY$1,main!$A$3:$H$102,5,FALSE)-VLOOKUP($A151,main!$A$3:$H$102,6,FALSE)&gt;=main!$D$103+VLOOKUP(VLOOKUP(AY$1,main!$A$3:$I$102,7,FALSE),main!$K$26:$Q$29,4,FALSE)),1,0)</f>
        <v>0</v>
      </c>
      <c r="AZ151">
        <f>IF(AND(VLOOKUP(AZ$1,main!$A$3:$H$102,7,FALSE)=main!$G$104,VLOOKUP(AZ$1,main!$A$3:$H$102,5,FALSE)-VLOOKUP($A151,main!$A$3:$H$102,6,FALSE)&gt;=main!$D$103+VLOOKUP(VLOOKUP(AZ$1,main!$A$3:$I$102,7,FALSE),main!$K$26:$Q$29,4,FALSE)),1,0)</f>
        <v>0</v>
      </c>
      <c r="BA151">
        <f>IF(AND(VLOOKUP(BA$1,main!$A$3:$H$102,7,FALSE)=main!$G$104,VLOOKUP(BA$1,main!$A$3:$H$102,5,FALSE)-VLOOKUP($A151,main!$A$3:$H$102,6,FALSE)&gt;=main!$D$103+VLOOKUP(VLOOKUP(BA$1,main!$A$3:$I$102,7,FALSE),main!$K$26:$Q$29,4,FALSE)),1,0)</f>
        <v>0</v>
      </c>
      <c r="BB151">
        <f>IF(AND(VLOOKUP(BB$1,main!$A$3:$H$102,7,FALSE)=main!$G$104,VLOOKUP(BB$1,main!$A$3:$H$102,5,FALSE)-VLOOKUP($A151,main!$A$3:$H$102,6,FALSE)&gt;=main!$D$103+VLOOKUP(VLOOKUP(BB$1,main!$A$3:$I$102,7,FALSE),main!$K$26:$Q$29,4,FALSE)),1,0)</f>
        <v>0</v>
      </c>
      <c r="BC151">
        <f>IF(AND(VLOOKUP(BC$1,main!$A$3:$H$102,7,FALSE)=main!$G$104,VLOOKUP(BC$1,main!$A$3:$H$102,5,FALSE)-VLOOKUP($A151,main!$A$3:$H$102,6,FALSE)&gt;=main!$D$103+VLOOKUP(VLOOKUP(BC$1,main!$A$3:$I$102,7,FALSE),main!$K$26:$Q$29,4,FALSE)),1,0)</f>
        <v>0</v>
      </c>
      <c r="BD151">
        <f>IF(AND(VLOOKUP(BD$1,main!$A$3:$H$102,7,FALSE)=main!$G$104,VLOOKUP(BD$1,main!$A$3:$H$102,5,FALSE)-VLOOKUP($A151,main!$A$3:$H$102,6,FALSE)&gt;=main!$D$103+VLOOKUP(VLOOKUP(BD$1,main!$A$3:$I$102,7,FALSE),main!$K$26:$Q$29,4,FALSE)),1,0)</f>
        <v>0</v>
      </c>
      <c r="BE151">
        <f>IF(AND(VLOOKUP(BE$1,main!$A$3:$H$102,7,FALSE)=main!$G$104,VLOOKUP(BE$1,main!$A$3:$H$102,5,FALSE)-VLOOKUP($A151,main!$A$3:$H$102,6,FALSE)&gt;=main!$D$103+VLOOKUP(VLOOKUP(BE$1,main!$A$3:$I$102,7,FALSE),main!$K$26:$Q$29,4,FALSE)),1,0)</f>
        <v>0</v>
      </c>
      <c r="BF151">
        <f>IF(AND(VLOOKUP(BF$1,main!$A$3:$H$102,7,FALSE)=main!$G$104,VLOOKUP(BF$1,main!$A$3:$H$102,5,FALSE)-VLOOKUP($A151,main!$A$3:$H$102,6,FALSE)&gt;=main!$D$103+VLOOKUP(VLOOKUP(BF$1,main!$A$3:$I$102,7,FALSE),main!$K$26:$Q$29,4,FALSE)),1,0)</f>
        <v>0</v>
      </c>
      <c r="BG151">
        <f>IF(AND(VLOOKUP(BG$1,main!$A$3:$H$102,7,FALSE)=main!$G$104,VLOOKUP(BG$1,main!$A$3:$H$102,5,FALSE)-VLOOKUP($A151,main!$A$3:$H$102,6,FALSE)&gt;=main!$D$103+VLOOKUP(VLOOKUP(BG$1,main!$A$3:$I$102,7,FALSE),main!$K$26:$Q$29,4,FALSE)),1,0)</f>
        <v>0</v>
      </c>
      <c r="BH151">
        <f>IF(AND(VLOOKUP(BH$1,main!$A$3:$H$102,7,FALSE)=main!$G$104,VLOOKUP(BH$1,main!$A$3:$H$102,5,FALSE)-VLOOKUP($A151,main!$A$3:$H$102,6,FALSE)&gt;=main!$D$103+VLOOKUP(VLOOKUP(BH$1,main!$A$3:$I$102,7,FALSE),main!$K$26:$Q$29,4,FALSE)),1,0)</f>
        <v>0</v>
      </c>
      <c r="BI151">
        <f>IF(AND(VLOOKUP(BI$1,main!$A$3:$H$102,7,FALSE)=main!$G$104,VLOOKUP(BI$1,main!$A$3:$H$102,5,FALSE)-VLOOKUP($A151,main!$A$3:$H$102,6,FALSE)&gt;=main!$D$103+VLOOKUP(VLOOKUP(BI$1,main!$A$3:$I$102,7,FALSE),main!$K$26:$Q$29,4,FALSE)),1,0)</f>
        <v>0</v>
      </c>
      <c r="BJ151">
        <f>IF(AND(VLOOKUP(BJ$1,main!$A$3:$H$102,7,FALSE)=main!$G$104,VLOOKUP(BJ$1,main!$A$3:$H$102,5,FALSE)-VLOOKUP($A151,main!$A$3:$H$102,6,FALSE)&gt;=main!$D$103+VLOOKUP(VLOOKUP(BJ$1,main!$A$3:$I$102,7,FALSE),main!$K$26:$Q$29,4,FALSE)),1,0)</f>
        <v>0</v>
      </c>
      <c r="BK151">
        <f>IF(AND(VLOOKUP(BK$1,main!$A$3:$H$102,7,FALSE)=main!$G$104,VLOOKUP(BK$1,main!$A$3:$H$102,5,FALSE)-VLOOKUP($A151,main!$A$3:$H$102,6,FALSE)&gt;=main!$D$103+VLOOKUP(VLOOKUP(BK$1,main!$A$3:$I$102,7,FALSE),main!$K$26:$Q$29,4,FALSE)),1,0)</f>
        <v>0</v>
      </c>
      <c r="BL151">
        <f>IF(AND(VLOOKUP(BL$1,main!$A$3:$H$102,7,FALSE)=main!$G$104,VLOOKUP(BL$1,main!$A$3:$H$102,5,FALSE)-VLOOKUP($A151,main!$A$3:$H$102,6,FALSE)&gt;=main!$D$103+VLOOKUP(VLOOKUP(BL$1,main!$A$3:$I$102,7,FALSE),main!$K$26:$Q$29,4,FALSE)),1,0)</f>
        <v>0</v>
      </c>
      <c r="BM151">
        <f>IF(AND(VLOOKUP(BM$1,main!$A$3:$H$102,7,FALSE)=main!$G$104,VLOOKUP(BM$1,main!$A$3:$H$102,5,FALSE)-VLOOKUP($A151,main!$A$3:$H$102,6,FALSE)&gt;=main!$D$103+VLOOKUP(VLOOKUP(BM$1,main!$A$3:$I$102,7,FALSE),main!$K$26:$Q$29,4,FALSE)),1,0)</f>
        <v>0</v>
      </c>
      <c r="BN151">
        <f>IF(AND(VLOOKUP(BN$1,main!$A$3:$H$102,7,FALSE)=main!$G$104,VLOOKUP(BN$1,main!$A$3:$H$102,5,FALSE)-VLOOKUP($A151,main!$A$3:$H$102,6,FALSE)&gt;=main!$D$103+VLOOKUP(VLOOKUP(BN$1,main!$A$3:$I$102,7,FALSE),main!$K$26:$Q$29,4,FALSE)),1,0)</f>
        <v>0</v>
      </c>
      <c r="BO151">
        <f>IF(AND(VLOOKUP(BO$1,main!$A$3:$H$102,7,FALSE)=main!$G$104,VLOOKUP(BO$1,main!$A$3:$H$102,5,FALSE)-VLOOKUP($A151,main!$A$3:$H$102,6,FALSE)&gt;=main!$D$103+VLOOKUP(VLOOKUP(BO$1,main!$A$3:$I$102,7,FALSE),main!$K$26:$Q$29,4,FALSE)),1,0)</f>
        <v>0</v>
      </c>
      <c r="BP151">
        <f>IF(AND(VLOOKUP(BP$1,main!$A$3:$H$102,7,FALSE)=main!$G$104,VLOOKUP(BP$1,main!$A$3:$H$102,5,FALSE)-VLOOKUP($A151,main!$A$3:$H$102,6,FALSE)&gt;=main!$D$103+VLOOKUP(VLOOKUP(BP$1,main!$A$3:$I$102,7,FALSE),main!$K$26:$Q$29,4,FALSE)),1,0)</f>
        <v>0</v>
      </c>
      <c r="BQ151">
        <f>IF(AND(VLOOKUP(BQ$1,main!$A$3:$H$102,7,FALSE)=main!$G$104,VLOOKUP(BQ$1,main!$A$3:$H$102,5,FALSE)-VLOOKUP($A151,main!$A$3:$H$102,6,FALSE)&gt;=main!$D$103+VLOOKUP(VLOOKUP(BQ$1,main!$A$3:$I$102,7,FALSE),main!$K$26:$Q$29,4,FALSE)),1,0)</f>
        <v>0</v>
      </c>
      <c r="BR151">
        <f>IF(AND(VLOOKUP(BR$1,main!$A$3:$H$102,7,FALSE)=main!$G$104,VLOOKUP(BR$1,main!$A$3:$H$102,5,FALSE)-VLOOKUP($A151,main!$A$3:$H$102,6,FALSE)&gt;=main!$D$103+VLOOKUP(VLOOKUP(BR$1,main!$A$3:$I$102,7,FALSE),main!$K$26:$Q$29,4,FALSE)),1,0)</f>
        <v>0</v>
      </c>
      <c r="BS151">
        <f>IF(AND(VLOOKUP(BS$1,main!$A$3:$H$102,7,FALSE)=main!$G$104,VLOOKUP(BS$1,main!$A$3:$H$102,5,FALSE)-VLOOKUP($A151,main!$A$3:$H$102,6,FALSE)&gt;=main!$D$103+VLOOKUP(VLOOKUP(BS$1,main!$A$3:$I$102,7,FALSE),main!$K$26:$Q$29,4,FALSE)),1,0)</f>
        <v>0</v>
      </c>
      <c r="BT151">
        <f>IF(AND(VLOOKUP(BT$1,main!$A$3:$H$102,7,FALSE)=main!$G$104,VLOOKUP(BT$1,main!$A$3:$H$102,5,FALSE)-VLOOKUP($A151,main!$A$3:$H$102,6,FALSE)&gt;=main!$D$103+VLOOKUP(VLOOKUP(BT$1,main!$A$3:$I$102,7,FALSE),main!$K$26:$Q$29,4,FALSE)),1,0)</f>
        <v>0</v>
      </c>
      <c r="BU151">
        <f>IF(AND(VLOOKUP(BU$1,main!$A$3:$H$102,7,FALSE)=main!$G$104,VLOOKUP(BU$1,main!$A$3:$H$102,5,FALSE)-VLOOKUP($A151,main!$A$3:$H$102,6,FALSE)&gt;=main!$D$103+VLOOKUP(VLOOKUP(BU$1,main!$A$3:$I$102,7,FALSE),main!$K$26:$Q$29,4,FALSE)),1,0)</f>
        <v>0</v>
      </c>
      <c r="BV151">
        <f>IF(AND(VLOOKUP(BV$1,main!$A$3:$H$102,7,FALSE)=main!$G$104,VLOOKUP(BV$1,main!$A$3:$H$102,5,FALSE)-VLOOKUP($A151,main!$A$3:$H$102,6,FALSE)&gt;=main!$D$103+VLOOKUP(VLOOKUP(BV$1,main!$A$3:$I$102,7,FALSE),main!$K$26:$Q$29,4,FALSE)),1,0)</f>
        <v>0</v>
      </c>
      <c r="BW151">
        <f>IF(AND(VLOOKUP(BW$1,main!$A$3:$H$102,7,FALSE)=main!$G$104,VLOOKUP(BW$1,main!$A$3:$H$102,5,FALSE)-VLOOKUP($A151,main!$A$3:$H$102,6,FALSE)&gt;=main!$D$103+VLOOKUP(VLOOKUP(BW$1,main!$A$3:$I$102,7,FALSE),main!$K$26:$Q$29,4,FALSE)),1,0)</f>
        <v>0</v>
      </c>
      <c r="BX151">
        <f>IF(AND(VLOOKUP(BX$1,main!$A$3:$H$102,7,FALSE)=main!$G$104,VLOOKUP(BX$1,main!$A$3:$H$102,5,FALSE)-VLOOKUP($A151,main!$A$3:$H$102,6,FALSE)&gt;=main!$D$103+VLOOKUP(VLOOKUP(BX$1,main!$A$3:$I$102,7,FALSE),main!$K$26:$Q$29,4,FALSE)),1,0)</f>
        <v>0</v>
      </c>
      <c r="BY151">
        <f>IF(AND(VLOOKUP(BY$1,main!$A$3:$H$102,7,FALSE)=main!$G$104,VLOOKUP(BY$1,main!$A$3:$H$102,5,FALSE)-VLOOKUP($A151,main!$A$3:$H$102,6,FALSE)&gt;=main!$D$103+VLOOKUP(VLOOKUP(BY$1,main!$A$3:$I$102,7,FALSE),main!$K$26:$Q$29,4,FALSE)),1,0)</f>
        <v>0</v>
      </c>
      <c r="BZ151">
        <f>IF(AND(VLOOKUP(BZ$1,main!$A$3:$H$102,7,FALSE)=main!$G$104,VLOOKUP(BZ$1,main!$A$3:$H$102,5,FALSE)-VLOOKUP($A151,main!$A$3:$H$102,6,FALSE)&gt;=main!$D$103+VLOOKUP(VLOOKUP(BZ$1,main!$A$3:$I$102,7,FALSE),main!$K$26:$Q$29,4,FALSE)),1,0)</f>
        <v>0</v>
      </c>
      <c r="CA151">
        <f>IF(AND(VLOOKUP(CA$1,main!$A$3:$H$102,7,FALSE)=main!$G$104,VLOOKUP(CA$1,main!$A$3:$H$102,5,FALSE)-VLOOKUP($A151,main!$A$3:$H$102,6,FALSE)&gt;=main!$D$103+VLOOKUP(VLOOKUP(CA$1,main!$A$3:$I$102,7,FALSE),main!$K$26:$Q$29,4,FALSE)),1,0)</f>
        <v>0</v>
      </c>
      <c r="CB151">
        <f>IF(AND(VLOOKUP(CB$1,main!$A$3:$H$102,7,FALSE)=main!$G$104,VLOOKUP(CB$1,main!$A$3:$H$102,5,FALSE)-VLOOKUP($A151,main!$A$3:$H$102,6,FALSE)&gt;=main!$D$103+VLOOKUP(VLOOKUP(CB$1,main!$A$3:$I$102,7,FALSE),main!$K$26:$Q$29,4,FALSE)),1,0)</f>
        <v>0</v>
      </c>
      <c r="CC151">
        <f>IF(AND(VLOOKUP(CC$1,main!$A$3:$H$102,7,FALSE)=main!$G$104,VLOOKUP(CC$1,main!$A$3:$H$102,5,FALSE)-VLOOKUP($A151,main!$A$3:$H$102,6,FALSE)&gt;=main!$D$103+VLOOKUP(VLOOKUP(CC$1,main!$A$3:$I$102,7,FALSE),main!$K$26:$Q$29,4,FALSE)),1,0)</f>
        <v>0</v>
      </c>
      <c r="CD151">
        <f>IF(AND(VLOOKUP(CD$1,main!$A$3:$H$102,7,FALSE)=main!$G$104,VLOOKUP(CD$1,main!$A$3:$H$102,5,FALSE)-VLOOKUP($A151,main!$A$3:$H$102,6,FALSE)&gt;=main!$D$103+VLOOKUP(VLOOKUP(CD$1,main!$A$3:$I$102,7,FALSE),main!$K$26:$Q$29,4,FALSE)),1,0)</f>
        <v>0</v>
      </c>
      <c r="CE151">
        <f>IF(AND(VLOOKUP(CE$1,main!$A$3:$H$102,7,FALSE)=main!$G$104,VLOOKUP(CE$1,main!$A$3:$H$102,5,FALSE)-VLOOKUP($A151,main!$A$3:$H$102,6,FALSE)&gt;=main!$D$103+VLOOKUP(VLOOKUP(CE$1,main!$A$3:$I$102,7,FALSE),main!$K$26:$Q$29,4,FALSE)),1,0)</f>
        <v>0</v>
      </c>
      <c r="CF151">
        <f>IF(AND(VLOOKUP(CF$1,main!$A$3:$H$102,7,FALSE)=main!$G$104,VLOOKUP(CF$1,main!$A$3:$H$102,5,FALSE)-VLOOKUP($A151,main!$A$3:$H$102,6,FALSE)&gt;=main!$D$103+VLOOKUP(VLOOKUP(CF$1,main!$A$3:$I$102,7,FALSE),main!$K$26:$Q$29,4,FALSE)),1,0)</f>
        <v>0</v>
      </c>
      <c r="CG151">
        <f>IF(AND(VLOOKUP(CG$1,main!$A$3:$H$102,7,FALSE)=main!$G$104,VLOOKUP(CG$1,main!$A$3:$H$102,5,FALSE)-VLOOKUP($A151,main!$A$3:$H$102,6,FALSE)&gt;=main!$D$103+VLOOKUP(VLOOKUP(CG$1,main!$A$3:$I$102,7,FALSE),main!$K$26:$Q$29,4,FALSE)),1,0)</f>
        <v>0</v>
      </c>
      <c r="CH151">
        <f>IF(AND(VLOOKUP(CH$1,main!$A$3:$H$102,7,FALSE)=main!$G$104,VLOOKUP(CH$1,main!$A$3:$H$102,5,FALSE)-VLOOKUP($A151,main!$A$3:$H$102,6,FALSE)&gt;=main!$D$103+VLOOKUP(VLOOKUP(CH$1,main!$A$3:$I$102,7,FALSE),main!$K$26:$Q$29,4,FALSE)),1,0)</f>
        <v>0</v>
      </c>
      <c r="CI151">
        <f>IF(AND(VLOOKUP(CI$1,main!$A$3:$H$102,7,FALSE)=main!$G$104,VLOOKUP(CI$1,main!$A$3:$H$102,5,FALSE)-VLOOKUP($A151,main!$A$3:$H$102,6,FALSE)&gt;=main!$D$103+VLOOKUP(VLOOKUP(CI$1,main!$A$3:$I$102,7,FALSE),main!$K$26:$Q$29,4,FALSE)),1,0)</f>
        <v>0</v>
      </c>
      <c r="CJ151">
        <f>IF(AND(VLOOKUP(CJ$1,main!$A$3:$H$102,7,FALSE)=main!$G$104,VLOOKUP(CJ$1,main!$A$3:$H$102,5,FALSE)-VLOOKUP($A151,main!$A$3:$H$102,6,FALSE)&gt;=main!$D$103+VLOOKUP(VLOOKUP(CJ$1,main!$A$3:$I$102,7,FALSE),main!$K$26:$Q$29,4,FALSE)),1,0)</f>
        <v>0</v>
      </c>
      <c r="CK151">
        <f>IF(AND(VLOOKUP(CK$1,main!$A$3:$H$102,7,FALSE)=main!$G$104,VLOOKUP(CK$1,main!$A$3:$H$102,5,FALSE)-VLOOKUP($A151,main!$A$3:$H$102,6,FALSE)&gt;=main!$D$103+VLOOKUP(VLOOKUP(CK$1,main!$A$3:$I$102,7,FALSE),main!$K$26:$Q$29,4,FALSE)),1,0)</f>
        <v>0</v>
      </c>
      <c r="CL151">
        <f>IF(AND(VLOOKUP(CL$1,main!$A$3:$H$102,7,FALSE)=main!$G$104,VLOOKUP(CL$1,main!$A$3:$H$102,5,FALSE)-VLOOKUP($A151,main!$A$3:$H$102,6,FALSE)&gt;=main!$D$103+VLOOKUP(VLOOKUP(CL$1,main!$A$3:$I$102,7,FALSE),main!$K$26:$Q$29,4,FALSE)),1,0)</f>
        <v>0</v>
      </c>
      <c r="CM151">
        <f>IF(AND(VLOOKUP(CM$1,main!$A$3:$H$102,7,FALSE)=main!$G$104,VLOOKUP(CM$1,main!$A$3:$H$102,5,FALSE)-VLOOKUP($A151,main!$A$3:$H$102,6,FALSE)&gt;=main!$D$103+VLOOKUP(VLOOKUP(CM$1,main!$A$3:$I$102,7,FALSE),main!$K$26:$Q$29,4,FALSE)),1,0)</f>
        <v>0</v>
      </c>
      <c r="CN151">
        <f>IF(AND(VLOOKUP(CN$1,main!$A$3:$H$102,7,FALSE)=main!$G$104,VLOOKUP(CN$1,main!$A$3:$H$102,5,FALSE)-VLOOKUP($A151,main!$A$3:$H$102,6,FALSE)&gt;=main!$D$103+VLOOKUP(VLOOKUP(CN$1,main!$A$3:$I$102,7,FALSE),main!$K$26:$Q$29,4,FALSE)),1,0)</f>
        <v>0</v>
      </c>
      <c r="CO151">
        <f>IF(AND(VLOOKUP(CO$1,main!$A$3:$H$102,7,FALSE)=main!$G$104,VLOOKUP(CO$1,main!$A$3:$H$102,5,FALSE)-VLOOKUP($A151,main!$A$3:$H$102,6,FALSE)&gt;=main!$D$103+VLOOKUP(VLOOKUP(CO$1,main!$A$3:$I$102,7,FALSE),main!$K$26:$Q$29,4,FALSE)),1,0)</f>
        <v>0</v>
      </c>
      <c r="CP151">
        <f>IF(AND(VLOOKUP(CP$1,main!$A$3:$H$102,7,FALSE)=main!$G$104,VLOOKUP(CP$1,main!$A$3:$H$102,5,FALSE)-VLOOKUP($A151,main!$A$3:$H$102,6,FALSE)&gt;=main!$D$103+VLOOKUP(VLOOKUP(CP$1,main!$A$3:$I$102,7,FALSE),main!$K$26:$Q$29,4,FALSE)),1,0)</f>
        <v>0</v>
      </c>
      <c r="CQ151">
        <f>IF(AND(VLOOKUP(CQ$1,main!$A$3:$H$102,7,FALSE)=main!$G$104,VLOOKUP(CQ$1,main!$A$3:$H$102,5,FALSE)-VLOOKUP($A151,main!$A$3:$H$102,6,FALSE)&gt;=main!$D$103+VLOOKUP(VLOOKUP(CQ$1,main!$A$3:$I$102,7,FALSE),main!$K$26:$Q$29,4,FALSE)),1,0)</f>
        <v>0</v>
      </c>
      <c r="CR151">
        <f>IF(AND(VLOOKUP(CR$1,main!$A$3:$H$102,7,FALSE)=main!$G$104,VLOOKUP(CR$1,main!$A$3:$H$102,5,FALSE)-VLOOKUP($A151,main!$A$3:$H$102,6,FALSE)&gt;=main!$D$103+VLOOKUP(VLOOKUP(CR$1,main!$A$3:$I$102,7,FALSE),main!$K$26:$Q$29,4,FALSE)),1,0)</f>
        <v>0</v>
      </c>
      <c r="CS151">
        <f>IF(AND(VLOOKUP(CS$1,main!$A$3:$H$102,7,FALSE)=main!$G$104,VLOOKUP(CS$1,main!$A$3:$H$102,5,FALSE)-VLOOKUP($A151,main!$A$3:$H$102,6,FALSE)&gt;=main!$D$103+VLOOKUP(VLOOKUP(CS$1,main!$A$3:$I$102,7,FALSE),main!$K$26:$Q$29,4,FALSE)),1,0)</f>
        <v>0</v>
      </c>
      <c r="CT151">
        <f>IF(AND(VLOOKUP(CT$1,main!$A$3:$H$102,7,FALSE)=main!$G$104,VLOOKUP(CT$1,main!$A$3:$H$102,5,FALSE)-VLOOKUP($A151,main!$A$3:$H$102,6,FALSE)&gt;=main!$D$103+VLOOKUP(VLOOKUP(CT$1,main!$A$3:$I$102,7,FALSE),main!$K$26:$Q$29,4,FALSE)),1,0)</f>
        <v>0</v>
      </c>
      <c r="CU151">
        <f>IF(AND(VLOOKUP(CU$1,main!$A$3:$H$102,7,FALSE)=main!$G$104,VLOOKUP(CU$1,main!$A$3:$H$102,5,FALSE)-VLOOKUP($A151,main!$A$3:$H$102,6,FALSE)&gt;=main!$D$103+VLOOKUP(VLOOKUP(CU$1,main!$A$3:$I$102,7,FALSE),main!$K$26:$Q$29,4,FALSE)),1,0)</f>
        <v>0</v>
      </c>
      <c r="CV151">
        <f>IF(AND(VLOOKUP(CV$1,main!$A$3:$H$102,7,FALSE)=main!$G$104,VLOOKUP(CV$1,main!$A$3:$H$102,5,FALSE)-VLOOKUP($A151,main!$A$3:$H$102,6,FALSE)&gt;=main!$D$103+VLOOKUP(VLOOKUP(CV$1,main!$A$3:$I$102,7,FALSE),main!$K$26:$Q$29,4,FALSE)),1,0)</f>
        <v>0</v>
      </c>
      <c r="CW151">
        <f>IF(AND(VLOOKUP(CW$1,main!$A$3:$H$102,7,FALSE)=main!$G$104,VLOOKUP(CW$1,main!$A$3:$H$102,5,FALSE)-VLOOKUP($A151,main!$A$3:$H$102,6,FALSE)&gt;=main!$D$103+VLOOKUP(VLOOKUP(CW$1,main!$A$3:$I$102,7,FALSE),main!$K$26:$Q$29,4,FALSE)),1,0)</f>
        <v>0</v>
      </c>
      <c r="CX151">
        <f>IF(AND(VLOOKUP(CX$1,main!$A$3:$H$102,7,FALSE)=main!$G$104,VLOOKUP(CX$1,main!$A$3:$H$102,5,FALSE)-VLOOKUP($A151,main!$A$3:$H$102,6,FALSE)&gt;=main!$D$103+VLOOKUP(VLOOKUP(CX$1,main!$A$3:$I$102,7,FALSE),main!$K$26:$Q$29,4,FALSE)),1,0)</f>
        <v>0</v>
      </c>
    </row>
    <row r="152" spans="1:106" x14ac:dyDescent="0.25">
      <c r="A152" s="1">
        <v>49</v>
      </c>
      <c r="B152">
        <v>0</v>
      </c>
      <c r="C152">
        <f>IF(AND(VLOOKUP(C$1,main!$A$3:$H$102,7,FALSE)=main!$G$104,VLOOKUP(C$1,main!$A$3:$H$102,5,FALSE)-VLOOKUP($A152,main!$A$3:$H$102,6,FALSE)&gt;=main!$D$103+VLOOKUP(VLOOKUP(C$1,main!$A$3:$I$102,7,FALSE),main!$K$26:$Q$29,4,FALSE)),1,0)</f>
        <v>0</v>
      </c>
      <c r="D152">
        <f>IF(AND(VLOOKUP(D$1,main!$A$3:$H$102,7,FALSE)=main!$G$104,VLOOKUP(D$1,main!$A$3:$H$102,5,FALSE)-VLOOKUP($A152,main!$A$3:$H$102,6,FALSE)&gt;=main!$D$103+VLOOKUP(VLOOKUP(D$1,main!$A$3:$I$102,7,FALSE),main!$K$26:$Q$29,4,FALSE)),1,0)</f>
        <v>0</v>
      </c>
      <c r="E152">
        <f>IF(AND(VLOOKUP(E$1,main!$A$3:$H$102,7,FALSE)=main!$G$104,VLOOKUP(E$1,main!$A$3:$H$102,5,FALSE)-VLOOKUP($A152,main!$A$3:$H$102,6,FALSE)&gt;=main!$D$103+VLOOKUP(VLOOKUP(E$1,main!$A$3:$I$102,7,FALSE),main!$K$26:$Q$29,4,FALSE)),1,0)</f>
        <v>0</v>
      </c>
      <c r="F152">
        <f>IF(AND(VLOOKUP(F$1,main!$A$3:$H$102,7,FALSE)=main!$G$104,VLOOKUP(F$1,main!$A$3:$H$102,5,FALSE)-VLOOKUP($A152,main!$A$3:$H$102,6,FALSE)&gt;=main!$D$103+VLOOKUP(VLOOKUP(F$1,main!$A$3:$I$102,7,FALSE),main!$K$26:$Q$29,4,FALSE)),1,0)</f>
        <v>0</v>
      </c>
      <c r="G152">
        <f>IF(AND(VLOOKUP(G$1,main!$A$3:$H$102,7,FALSE)=main!$G$104,VLOOKUP(G$1,main!$A$3:$H$102,5,FALSE)-VLOOKUP($A152,main!$A$3:$H$102,6,FALSE)&gt;=main!$D$103+VLOOKUP(VLOOKUP(G$1,main!$A$3:$I$102,7,FALSE),main!$K$26:$Q$29,4,FALSE)),1,0)</f>
        <v>1</v>
      </c>
      <c r="H152">
        <f>IF(AND(VLOOKUP(H$1,main!$A$3:$H$102,7,FALSE)=main!$G$104,VLOOKUP(H$1,main!$A$3:$H$102,5,FALSE)-VLOOKUP($A152,main!$A$3:$H$102,6,FALSE)&gt;=main!$D$103+VLOOKUP(VLOOKUP(H$1,main!$A$3:$I$102,7,FALSE),main!$K$26:$Q$29,4,FALSE)),1,0)</f>
        <v>1</v>
      </c>
      <c r="I152">
        <f>IF(AND(VLOOKUP(I$1,main!$A$3:$H$102,7,FALSE)=main!$G$104,VLOOKUP(I$1,main!$A$3:$H$102,5,FALSE)-VLOOKUP($A152,main!$A$3:$H$102,6,FALSE)&gt;=main!$D$103+VLOOKUP(VLOOKUP(I$1,main!$A$3:$I$102,7,FALSE),main!$K$26:$Q$29,4,FALSE)),1,0)</f>
        <v>1</v>
      </c>
      <c r="J152">
        <f>IF(AND(VLOOKUP(J$1,main!$A$3:$H$102,7,FALSE)=main!$G$104,VLOOKUP(J$1,main!$A$3:$H$102,5,FALSE)-VLOOKUP($A152,main!$A$3:$H$102,6,FALSE)&gt;=main!$D$103+VLOOKUP(VLOOKUP(J$1,main!$A$3:$I$102,7,FALSE),main!$K$26:$Q$29,4,FALSE)),1,0)</f>
        <v>1</v>
      </c>
      <c r="K152">
        <f>IF(AND(VLOOKUP(K$1,main!$A$3:$H$102,7,FALSE)=main!$G$104,VLOOKUP(K$1,main!$A$3:$H$102,5,FALSE)-VLOOKUP($A152,main!$A$3:$H$102,6,FALSE)&gt;=main!$D$103+VLOOKUP(VLOOKUP(K$1,main!$A$3:$I$102,7,FALSE),main!$K$26:$Q$29,4,FALSE)),1,0)</f>
        <v>1</v>
      </c>
      <c r="L152">
        <f>IF(AND(VLOOKUP(L$1,main!$A$3:$H$102,7,FALSE)=main!$G$104,VLOOKUP(L$1,main!$A$3:$H$102,5,FALSE)-VLOOKUP($A152,main!$A$3:$H$102,6,FALSE)&gt;=main!$D$103+VLOOKUP(VLOOKUP(L$1,main!$A$3:$I$102,7,FALSE),main!$K$26:$Q$29,4,FALSE)),1,0)</f>
        <v>1</v>
      </c>
      <c r="M152">
        <f>IF(AND(VLOOKUP(M$1,main!$A$3:$H$102,7,FALSE)=main!$G$104,VLOOKUP(M$1,main!$A$3:$H$102,5,FALSE)-VLOOKUP($A152,main!$A$3:$H$102,6,FALSE)&gt;=main!$D$103+VLOOKUP(VLOOKUP(M$1,main!$A$3:$I$102,7,FALSE),main!$K$26:$Q$29,4,FALSE)),1,0)</f>
        <v>0</v>
      </c>
      <c r="N152">
        <f>IF(AND(VLOOKUP(N$1,main!$A$3:$H$102,7,FALSE)=main!$G$104,VLOOKUP(N$1,main!$A$3:$H$102,5,FALSE)-VLOOKUP($A152,main!$A$3:$H$102,6,FALSE)&gt;=main!$D$103+VLOOKUP(VLOOKUP(N$1,main!$A$3:$I$102,7,FALSE),main!$K$26:$Q$29,4,FALSE)),1,0)</f>
        <v>0</v>
      </c>
      <c r="O152">
        <f>IF(AND(VLOOKUP(O$1,main!$A$3:$H$102,7,FALSE)=main!$G$104,VLOOKUP(O$1,main!$A$3:$H$102,5,FALSE)-VLOOKUP($A152,main!$A$3:$H$102,6,FALSE)&gt;=main!$D$103+VLOOKUP(VLOOKUP(O$1,main!$A$3:$I$102,7,FALSE),main!$K$26:$Q$29,4,FALSE)),1,0)</f>
        <v>0</v>
      </c>
      <c r="P152">
        <f>IF(AND(VLOOKUP(P$1,main!$A$3:$H$102,7,FALSE)=main!$G$104,VLOOKUP(P$1,main!$A$3:$H$102,5,FALSE)-VLOOKUP($A152,main!$A$3:$H$102,6,FALSE)&gt;=main!$D$103+VLOOKUP(VLOOKUP(P$1,main!$A$3:$I$102,7,FALSE),main!$K$26:$Q$29,4,FALSE)),1,0)</f>
        <v>0</v>
      </c>
      <c r="Q152">
        <f>IF(AND(VLOOKUP(Q$1,main!$A$3:$H$102,7,FALSE)=main!$G$104,VLOOKUP(Q$1,main!$A$3:$H$102,5,FALSE)-VLOOKUP($A152,main!$A$3:$H$102,6,FALSE)&gt;=main!$D$103+VLOOKUP(VLOOKUP(Q$1,main!$A$3:$I$102,7,FALSE),main!$K$26:$Q$29,4,FALSE)),1,0)</f>
        <v>1</v>
      </c>
      <c r="R152">
        <f>IF(AND(VLOOKUP(R$1,main!$A$3:$H$102,7,FALSE)=main!$G$104,VLOOKUP(R$1,main!$A$3:$H$102,5,FALSE)-VLOOKUP($A152,main!$A$3:$H$102,6,FALSE)&gt;=main!$D$103+VLOOKUP(VLOOKUP(R$1,main!$A$3:$I$102,7,FALSE),main!$K$26:$Q$29,4,FALSE)),1,0)</f>
        <v>1</v>
      </c>
      <c r="S152">
        <f>IF(AND(VLOOKUP(S$1,main!$A$3:$H$102,7,FALSE)=main!$G$104,VLOOKUP(S$1,main!$A$3:$H$102,5,FALSE)-VLOOKUP($A152,main!$A$3:$H$102,6,FALSE)&gt;=main!$D$103+VLOOKUP(VLOOKUP(S$1,main!$A$3:$I$102,7,FALSE),main!$K$26:$Q$29,4,FALSE)),1,0)</f>
        <v>1</v>
      </c>
      <c r="T152">
        <f>IF(AND(VLOOKUP(T$1,main!$A$3:$H$102,7,FALSE)=main!$G$104,VLOOKUP(T$1,main!$A$3:$H$102,5,FALSE)-VLOOKUP($A152,main!$A$3:$H$102,6,FALSE)&gt;=main!$D$103+VLOOKUP(VLOOKUP(T$1,main!$A$3:$I$102,7,FALSE),main!$K$26:$Q$29,4,FALSE)),1,0)</f>
        <v>1</v>
      </c>
      <c r="U152">
        <f>IF(AND(VLOOKUP(U$1,main!$A$3:$H$102,7,FALSE)=main!$G$104,VLOOKUP(U$1,main!$A$3:$H$102,5,FALSE)-VLOOKUP($A152,main!$A$3:$H$102,6,FALSE)&gt;=main!$D$103+VLOOKUP(VLOOKUP(U$1,main!$A$3:$I$102,7,FALSE),main!$K$26:$Q$29,4,FALSE)),1,0)</f>
        <v>1</v>
      </c>
      <c r="V152">
        <f>IF(AND(VLOOKUP(V$1,main!$A$3:$H$102,7,FALSE)=main!$G$104,VLOOKUP(V$1,main!$A$3:$H$102,5,FALSE)-VLOOKUP($A152,main!$A$3:$H$102,6,FALSE)&gt;=main!$D$103+VLOOKUP(VLOOKUP(V$1,main!$A$3:$I$102,7,FALSE),main!$K$26:$Q$29,4,FALSE)),1,0)</f>
        <v>1</v>
      </c>
      <c r="W152">
        <f>IF(AND(VLOOKUP(W$1,main!$A$3:$H$102,7,FALSE)=main!$G$104,VLOOKUP(W$1,main!$A$3:$H$102,5,FALSE)-VLOOKUP($A152,main!$A$3:$H$102,6,FALSE)&gt;=main!$D$103+VLOOKUP(VLOOKUP(W$1,main!$A$3:$I$102,7,FALSE),main!$K$26:$Q$29,4,FALSE)),1,0)</f>
        <v>0</v>
      </c>
      <c r="X152">
        <f>IF(AND(VLOOKUP(X$1,main!$A$3:$H$102,7,FALSE)=main!$G$104,VLOOKUP(X$1,main!$A$3:$H$102,5,FALSE)-VLOOKUP($A152,main!$A$3:$H$102,6,FALSE)&gt;=main!$D$103+VLOOKUP(VLOOKUP(X$1,main!$A$3:$I$102,7,FALSE),main!$K$26:$Q$29,4,FALSE)),1,0)</f>
        <v>0</v>
      </c>
      <c r="Y152">
        <f>IF(AND(VLOOKUP(Y$1,main!$A$3:$H$102,7,FALSE)=main!$G$104,VLOOKUP(Y$1,main!$A$3:$H$102,5,FALSE)-VLOOKUP($A152,main!$A$3:$H$102,6,FALSE)&gt;=main!$D$103+VLOOKUP(VLOOKUP(Y$1,main!$A$3:$I$102,7,FALSE),main!$K$26:$Q$29,4,FALSE)),1,0)</f>
        <v>1</v>
      </c>
      <c r="Z152">
        <f>IF(AND(VLOOKUP(Z$1,main!$A$3:$H$102,7,FALSE)=main!$G$104,VLOOKUP(Z$1,main!$A$3:$H$102,5,FALSE)-VLOOKUP($A152,main!$A$3:$H$102,6,FALSE)&gt;=main!$D$103+VLOOKUP(VLOOKUP(Z$1,main!$A$3:$I$102,7,FALSE),main!$K$26:$Q$29,4,FALSE)),1,0)</f>
        <v>1</v>
      </c>
      <c r="AA152">
        <f>IF(AND(VLOOKUP(AA$1,main!$A$3:$H$102,7,FALSE)=main!$G$104,VLOOKUP(AA$1,main!$A$3:$H$102,5,FALSE)-VLOOKUP($A152,main!$A$3:$H$102,6,FALSE)&gt;=main!$D$103+VLOOKUP(VLOOKUP(AA$1,main!$A$3:$I$102,7,FALSE),main!$K$26:$Q$29,4,FALSE)),1,0)</f>
        <v>1</v>
      </c>
      <c r="AB152">
        <f>IF(AND(VLOOKUP(AB$1,main!$A$3:$H$102,7,FALSE)=main!$G$104,VLOOKUP(AB$1,main!$A$3:$H$102,5,FALSE)-VLOOKUP($A152,main!$A$3:$H$102,6,FALSE)&gt;=main!$D$103+VLOOKUP(VLOOKUP(AB$1,main!$A$3:$I$102,7,FALSE),main!$K$26:$Q$29,4,FALSE)),1,0)</f>
        <v>0</v>
      </c>
      <c r="AC152">
        <f>IF(AND(VLOOKUP(AC$1,main!$A$3:$H$102,7,FALSE)=main!$G$104,VLOOKUP(AC$1,main!$A$3:$H$102,5,FALSE)-VLOOKUP($A152,main!$A$3:$H$102,6,FALSE)&gt;=main!$D$103+VLOOKUP(VLOOKUP(AC$1,main!$A$3:$I$102,7,FALSE),main!$K$26:$Q$29,4,FALSE)),1,0)</f>
        <v>0</v>
      </c>
      <c r="AD152">
        <f>IF(AND(VLOOKUP(AD$1,main!$A$3:$H$102,7,FALSE)=main!$G$104,VLOOKUP(AD$1,main!$A$3:$H$102,5,FALSE)-VLOOKUP($A152,main!$A$3:$H$102,6,FALSE)&gt;=main!$D$103+VLOOKUP(VLOOKUP(AD$1,main!$A$3:$I$102,7,FALSE),main!$K$26:$Q$29,4,FALSE)),1,0)</f>
        <v>1</v>
      </c>
      <c r="AE152">
        <f>IF(AND(VLOOKUP(AE$1,main!$A$3:$H$102,7,FALSE)=main!$G$104,VLOOKUP(AE$1,main!$A$3:$H$102,5,FALSE)-VLOOKUP($A152,main!$A$3:$H$102,6,FALSE)&gt;=main!$D$103+VLOOKUP(VLOOKUP(AE$1,main!$A$3:$I$102,7,FALSE),main!$K$26:$Q$29,4,FALSE)),1,0)</f>
        <v>1</v>
      </c>
      <c r="AF152">
        <f>IF(AND(VLOOKUP(AF$1,main!$A$3:$H$102,7,FALSE)=main!$G$104,VLOOKUP(AF$1,main!$A$3:$H$102,5,FALSE)-VLOOKUP($A152,main!$A$3:$H$102,6,FALSE)&gt;=main!$D$103+VLOOKUP(VLOOKUP(AF$1,main!$A$3:$I$102,7,FALSE),main!$K$26:$Q$29,4,FALSE)),1,0)</f>
        <v>1</v>
      </c>
      <c r="AG152">
        <f>IF(AND(VLOOKUP(AG$1,main!$A$3:$H$102,7,FALSE)=main!$G$104,VLOOKUP(AG$1,main!$A$3:$H$102,5,FALSE)-VLOOKUP($A152,main!$A$3:$H$102,6,FALSE)&gt;=main!$D$103+VLOOKUP(VLOOKUP(AG$1,main!$A$3:$I$102,7,FALSE),main!$K$26:$Q$29,4,FALSE)),1,0)</f>
        <v>0</v>
      </c>
      <c r="AH152">
        <f>IF(AND(VLOOKUP(AH$1,main!$A$3:$H$102,7,FALSE)=main!$G$104,VLOOKUP(AH$1,main!$A$3:$H$102,5,FALSE)-VLOOKUP($A152,main!$A$3:$H$102,6,FALSE)&gt;=main!$D$103+VLOOKUP(VLOOKUP(AH$1,main!$A$3:$I$102,7,FALSE),main!$K$26:$Q$29,4,FALSE)),1,0)</f>
        <v>0</v>
      </c>
      <c r="AI152">
        <f>IF(AND(VLOOKUP(AI$1,main!$A$3:$H$102,7,FALSE)=main!$G$104,VLOOKUP(AI$1,main!$A$3:$H$102,5,FALSE)-VLOOKUP($A152,main!$A$3:$H$102,6,FALSE)&gt;=main!$D$103+VLOOKUP(VLOOKUP(AI$1,main!$A$3:$I$102,7,FALSE),main!$K$26:$Q$29,4,FALSE)),1,0)</f>
        <v>0</v>
      </c>
      <c r="AJ152">
        <f>IF(AND(VLOOKUP(AJ$1,main!$A$3:$H$102,7,FALSE)=main!$G$104,VLOOKUP(AJ$1,main!$A$3:$H$102,5,FALSE)-VLOOKUP($A152,main!$A$3:$H$102,6,FALSE)&gt;=main!$D$103+VLOOKUP(VLOOKUP(AJ$1,main!$A$3:$I$102,7,FALSE),main!$K$26:$Q$29,4,FALSE)),1,0)</f>
        <v>0</v>
      </c>
      <c r="AK152">
        <f>IF(AND(VLOOKUP(AK$1,main!$A$3:$H$102,7,FALSE)=main!$G$104,VLOOKUP(AK$1,main!$A$3:$H$102,5,FALSE)-VLOOKUP($A152,main!$A$3:$H$102,6,FALSE)&gt;=main!$D$103+VLOOKUP(VLOOKUP(AK$1,main!$A$3:$I$102,7,FALSE),main!$K$26:$Q$29,4,FALSE)),1,0)</f>
        <v>0</v>
      </c>
      <c r="AL152">
        <f>IF(AND(VLOOKUP(AL$1,main!$A$3:$H$102,7,FALSE)=main!$G$104,VLOOKUP(AL$1,main!$A$3:$H$102,5,FALSE)-VLOOKUP($A152,main!$A$3:$H$102,6,FALSE)&gt;=main!$D$103+VLOOKUP(VLOOKUP(AL$1,main!$A$3:$I$102,7,FALSE),main!$K$26:$Q$29,4,FALSE)),1,0)</f>
        <v>0</v>
      </c>
      <c r="AM152">
        <f>IF(AND(VLOOKUP(AM$1,main!$A$3:$H$102,7,FALSE)=main!$G$104,VLOOKUP(AM$1,main!$A$3:$H$102,5,FALSE)-VLOOKUP($A152,main!$A$3:$H$102,6,FALSE)&gt;=main!$D$103+VLOOKUP(VLOOKUP(AM$1,main!$A$3:$I$102,7,FALSE),main!$K$26:$Q$29,4,FALSE)),1,0)</f>
        <v>0</v>
      </c>
      <c r="AN152">
        <f>IF(AND(VLOOKUP(AN$1,main!$A$3:$H$102,7,FALSE)=main!$G$104,VLOOKUP(AN$1,main!$A$3:$H$102,5,FALSE)-VLOOKUP($A152,main!$A$3:$H$102,6,FALSE)&gt;=main!$D$103+VLOOKUP(VLOOKUP(AN$1,main!$A$3:$I$102,7,FALSE),main!$K$26:$Q$29,4,FALSE)),1,0)</f>
        <v>0</v>
      </c>
      <c r="AO152">
        <f>IF(AND(VLOOKUP(AO$1,main!$A$3:$H$102,7,FALSE)=main!$G$104,VLOOKUP(AO$1,main!$A$3:$H$102,5,FALSE)-VLOOKUP($A152,main!$A$3:$H$102,6,FALSE)&gt;=main!$D$103+VLOOKUP(VLOOKUP(AO$1,main!$A$3:$I$102,7,FALSE),main!$K$26:$Q$29,4,FALSE)),1,0)</f>
        <v>0</v>
      </c>
      <c r="AP152">
        <f>IF(AND(VLOOKUP(AP$1,main!$A$3:$H$102,7,FALSE)=main!$G$104,VLOOKUP(AP$1,main!$A$3:$H$102,5,FALSE)-VLOOKUP($A152,main!$A$3:$H$102,6,FALSE)&gt;=main!$D$103+VLOOKUP(VLOOKUP(AP$1,main!$A$3:$I$102,7,FALSE),main!$K$26:$Q$29,4,FALSE)),1,0)</f>
        <v>0</v>
      </c>
      <c r="AQ152">
        <f>IF(AND(VLOOKUP(AQ$1,main!$A$3:$H$102,7,FALSE)=main!$G$104,VLOOKUP(AQ$1,main!$A$3:$H$102,5,FALSE)-VLOOKUP($A152,main!$A$3:$H$102,6,FALSE)&gt;=main!$D$103+VLOOKUP(VLOOKUP(AQ$1,main!$A$3:$I$102,7,FALSE),main!$K$26:$Q$29,4,FALSE)),1,0)</f>
        <v>0</v>
      </c>
      <c r="AR152">
        <f>IF(AND(VLOOKUP(AR$1,main!$A$3:$H$102,7,FALSE)=main!$G$104,VLOOKUP(AR$1,main!$A$3:$H$102,5,FALSE)-VLOOKUP($A152,main!$A$3:$H$102,6,FALSE)&gt;=main!$D$103+VLOOKUP(VLOOKUP(AR$1,main!$A$3:$I$102,7,FALSE),main!$K$26:$Q$29,4,FALSE)),1,0)</f>
        <v>0</v>
      </c>
      <c r="AS152">
        <f>IF(AND(VLOOKUP(AS$1,main!$A$3:$H$102,7,FALSE)=main!$G$104,VLOOKUP(AS$1,main!$A$3:$H$102,5,FALSE)-VLOOKUP($A152,main!$A$3:$H$102,6,FALSE)&gt;=main!$D$103+VLOOKUP(VLOOKUP(AS$1,main!$A$3:$I$102,7,FALSE),main!$K$26:$Q$29,4,FALSE)),1,0)</f>
        <v>0</v>
      </c>
      <c r="AT152">
        <f>IF(AND(VLOOKUP(AT$1,main!$A$3:$H$102,7,FALSE)=main!$G$104,VLOOKUP(AT$1,main!$A$3:$H$102,5,FALSE)-VLOOKUP($A152,main!$A$3:$H$102,6,FALSE)&gt;=main!$D$103+VLOOKUP(VLOOKUP(AT$1,main!$A$3:$I$102,7,FALSE),main!$K$26:$Q$29,4,FALSE)),1,0)</f>
        <v>0</v>
      </c>
      <c r="AU152">
        <f>IF(AND(VLOOKUP(AU$1,main!$A$3:$H$102,7,FALSE)=main!$G$104,VLOOKUP(AU$1,main!$A$3:$H$102,5,FALSE)-VLOOKUP($A152,main!$A$3:$H$102,6,FALSE)&gt;=main!$D$103+VLOOKUP(VLOOKUP(AU$1,main!$A$3:$I$102,7,FALSE),main!$K$26:$Q$29,4,FALSE)),1,0)</f>
        <v>0</v>
      </c>
      <c r="AV152">
        <f>IF(AND(VLOOKUP(AV$1,main!$A$3:$H$102,7,FALSE)=main!$G$104,VLOOKUP(AV$1,main!$A$3:$H$102,5,FALSE)-VLOOKUP($A152,main!$A$3:$H$102,6,FALSE)&gt;=main!$D$103+VLOOKUP(VLOOKUP(AV$1,main!$A$3:$I$102,7,FALSE),main!$K$26:$Q$29,4,FALSE)),1,0)</f>
        <v>0</v>
      </c>
      <c r="AW152">
        <f>IF(AND(VLOOKUP(AW$1,main!$A$3:$H$102,7,FALSE)=main!$G$104,VLOOKUP(AW$1,main!$A$3:$H$102,5,FALSE)-VLOOKUP($A152,main!$A$3:$H$102,6,FALSE)&gt;=main!$D$103+VLOOKUP(VLOOKUP(AW$1,main!$A$3:$I$102,7,FALSE),main!$K$26:$Q$29,4,FALSE)),1,0)</f>
        <v>0</v>
      </c>
      <c r="AX152">
        <f>IF(AND(VLOOKUP(AX$1,main!$A$3:$H$102,7,FALSE)=main!$G$104,VLOOKUP(AX$1,main!$A$3:$H$102,5,FALSE)-VLOOKUP($A152,main!$A$3:$H$102,6,FALSE)&gt;=main!$D$103+VLOOKUP(VLOOKUP(AX$1,main!$A$3:$I$102,7,FALSE),main!$K$26:$Q$29,4,FALSE)),1,0)</f>
        <v>0</v>
      </c>
      <c r="AY152">
        <f>IF(AND(VLOOKUP(AY$1,main!$A$3:$H$102,7,FALSE)=main!$G$104,VLOOKUP(AY$1,main!$A$3:$H$102,5,FALSE)-VLOOKUP($A152,main!$A$3:$H$102,6,FALSE)&gt;=main!$D$103+VLOOKUP(VLOOKUP(AY$1,main!$A$3:$I$102,7,FALSE),main!$K$26:$Q$29,4,FALSE)),1,0)</f>
        <v>0</v>
      </c>
      <c r="AZ152">
        <f>IF(AND(VLOOKUP(AZ$1,main!$A$3:$H$102,7,FALSE)=main!$G$104,VLOOKUP(AZ$1,main!$A$3:$H$102,5,FALSE)-VLOOKUP($A152,main!$A$3:$H$102,6,FALSE)&gt;=main!$D$103+VLOOKUP(VLOOKUP(AZ$1,main!$A$3:$I$102,7,FALSE),main!$K$26:$Q$29,4,FALSE)),1,0)</f>
        <v>0</v>
      </c>
      <c r="BA152">
        <f>IF(AND(VLOOKUP(BA$1,main!$A$3:$H$102,7,FALSE)=main!$G$104,VLOOKUP(BA$1,main!$A$3:$H$102,5,FALSE)-VLOOKUP($A152,main!$A$3:$H$102,6,FALSE)&gt;=main!$D$103+VLOOKUP(VLOOKUP(BA$1,main!$A$3:$I$102,7,FALSE),main!$K$26:$Q$29,4,FALSE)),1,0)</f>
        <v>0</v>
      </c>
      <c r="BB152">
        <f>IF(AND(VLOOKUP(BB$1,main!$A$3:$H$102,7,FALSE)=main!$G$104,VLOOKUP(BB$1,main!$A$3:$H$102,5,FALSE)-VLOOKUP($A152,main!$A$3:$H$102,6,FALSE)&gt;=main!$D$103+VLOOKUP(VLOOKUP(BB$1,main!$A$3:$I$102,7,FALSE),main!$K$26:$Q$29,4,FALSE)),1,0)</f>
        <v>0</v>
      </c>
      <c r="BC152">
        <f>IF(AND(VLOOKUP(BC$1,main!$A$3:$H$102,7,FALSE)=main!$G$104,VLOOKUP(BC$1,main!$A$3:$H$102,5,FALSE)-VLOOKUP($A152,main!$A$3:$H$102,6,FALSE)&gt;=main!$D$103+VLOOKUP(VLOOKUP(BC$1,main!$A$3:$I$102,7,FALSE),main!$K$26:$Q$29,4,FALSE)),1,0)</f>
        <v>0</v>
      </c>
      <c r="BD152">
        <f>IF(AND(VLOOKUP(BD$1,main!$A$3:$H$102,7,FALSE)=main!$G$104,VLOOKUP(BD$1,main!$A$3:$H$102,5,FALSE)-VLOOKUP($A152,main!$A$3:$H$102,6,FALSE)&gt;=main!$D$103+VLOOKUP(VLOOKUP(BD$1,main!$A$3:$I$102,7,FALSE),main!$K$26:$Q$29,4,FALSE)),1,0)</f>
        <v>0</v>
      </c>
      <c r="BE152">
        <f>IF(AND(VLOOKUP(BE$1,main!$A$3:$H$102,7,FALSE)=main!$G$104,VLOOKUP(BE$1,main!$A$3:$H$102,5,FALSE)-VLOOKUP($A152,main!$A$3:$H$102,6,FALSE)&gt;=main!$D$103+VLOOKUP(VLOOKUP(BE$1,main!$A$3:$I$102,7,FALSE),main!$K$26:$Q$29,4,FALSE)),1,0)</f>
        <v>0</v>
      </c>
      <c r="BF152">
        <f>IF(AND(VLOOKUP(BF$1,main!$A$3:$H$102,7,FALSE)=main!$G$104,VLOOKUP(BF$1,main!$A$3:$H$102,5,FALSE)-VLOOKUP($A152,main!$A$3:$H$102,6,FALSE)&gt;=main!$D$103+VLOOKUP(VLOOKUP(BF$1,main!$A$3:$I$102,7,FALSE),main!$K$26:$Q$29,4,FALSE)),1,0)</f>
        <v>0</v>
      </c>
      <c r="BG152">
        <f>IF(AND(VLOOKUP(BG$1,main!$A$3:$H$102,7,FALSE)=main!$G$104,VLOOKUP(BG$1,main!$A$3:$H$102,5,FALSE)-VLOOKUP($A152,main!$A$3:$H$102,6,FALSE)&gt;=main!$D$103+VLOOKUP(VLOOKUP(BG$1,main!$A$3:$I$102,7,FALSE),main!$K$26:$Q$29,4,FALSE)),1,0)</f>
        <v>0</v>
      </c>
      <c r="BH152">
        <f>IF(AND(VLOOKUP(BH$1,main!$A$3:$H$102,7,FALSE)=main!$G$104,VLOOKUP(BH$1,main!$A$3:$H$102,5,FALSE)-VLOOKUP($A152,main!$A$3:$H$102,6,FALSE)&gt;=main!$D$103+VLOOKUP(VLOOKUP(BH$1,main!$A$3:$I$102,7,FALSE),main!$K$26:$Q$29,4,FALSE)),1,0)</f>
        <v>0</v>
      </c>
      <c r="BI152">
        <f>IF(AND(VLOOKUP(BI$1,main!$A$3:$H$102,7,FALSE)=main!$G$104,VLOOKUP(BI$1,main!$A$3:$H$102,5,FALSE)-VLOOKUP($A152,main!$A$3:$H$102,6,FALSE)&gt;=main!$D$103+VLOOKUP(VLOOKUP(BI$1,main!$A$3:$I$102,7,FALSE),main!$K$26:$Q$29,4,FALSE)),1,0)</f>
        <v>0</v>
      </c>
      <c r="BJ152">
        <f>IF(AND(VLOOKUP(BJ$1,main!$A$3:$H$102,7,FALSE)=main!$G$104,VLOOKUP(BJ$1,main!$A$3:$H$102,5,FALSE)-VLOOKUP($A152,main!$A$3:$H$102,6,FALSE)&gt;=main!$D$103+VLOOKUP(VLOOKUP(BJ$1,main!$A$3:$I$102,7,FALSE),main!$K$26:$Q$29,4,FALSE)),1,0)</f>
        <v>0</v>
      </c>
      <c r="BK152">
        <f>IF(AND(VLOOKUP(BK$1,main!$A$3:$H$102,7,FALSE)=main!$G$104,VLOOKUP(BK$1,main!$A$3:$H$102,5,FALSE)-VLOOKUP($A152,main!$A$3:$H$102,6,FALSE)&gt;=main!$D$103+VLOOKUP(VLOOKUP(BK$1,main!$A$3:$I$102,7,FALSE),main!$K$26:$Q$29,4,FALSE)),1,0)</f>
        <v>0</v>
      </c>
      <c r="BL152">
        <f>IF(AND(VLOOKUP(BL$1,main!$A$3:$H$102,7,FALSE)=main!$G$104,VLOOKUP(BL$1,main!$A$3:$H$102,5,FALSE)-VLOOKUP($A152,main!$A$3:$H$102,6,FALSE)&gt;=main!$D$103+VLOOKUP(VLOOKUP(BL$1,main!$A$3:$I$102,7,FALSE),main!$K$26:$Q$29,4,FALSE)),1,0)</f>
        <v>0</v>
      </c>
      <c r="BM152">
        <f>IF(AND(VLOOKUP(BM$1,main!$A$3:$H$102,7,FALSE)=main!$G$104,VLOOKUP(BM$1,main!$A$3:$H$102,5,FALSE)-VLOOKUP($A152,main!$A$3:$H$102,6,FALSE)&gt;=main!$D$103+VLOOKUP(VLOOKUP(BM$1,main!$A$3:$I$102,7,FALSE),main!$K$26:$Q$29,4,FALSE)),1,0)</f>
        <v>0</v>
      </c>
      <c r="BN152">
        <f>IF(AND(VLOOKUP(BN$1,main!$A$3:$H$102,7,FALSE)=main!$G$104,VLOOKUP(BN$1,main!$A$3:$H$102,5,FALSE)-VLOOKUP($A152,main!$A$3:$H$102,6,FALSE)&gt;=main!$D$103+VLOOKUP(VLOOKUP(BN$1,main!$A$3:$I$102,7,FALSE),main!$K$26:$Q$29,4,FALSE)),1,0)</f>
        <v>0</v>
      </c>
      <c r="BO152">
        <f>IF(AND(VLOOKUP(BO$1,main!$A$3:$H$102,7,FALSE)=main!$G$104,VLOOKUP(BO$1,main!$A$3:$H$102,5,FALSE)-VLOOKUP($A152,main!$A$3:$H$102,6,FALSE)&gt;=main!$D$103+VLOOKUP(VLOOKUP(BO$1,main!$A$3:$I$102,7,FALSE),main!$K$26:$Q$29,4,FALSE)),1,0)</f>
        <v>0</v>
      </c>
      <c r="BP152">
        <f>IF(AND(VLOOKUP(BP$1,main!$A$3:$H$102,7,FALSE)=main!$G$104,VLOOKUP(BP$1,main!$A$3:$H$102,5,FALSE)-VLOOKUP($A152,main!$A$3:$H$102,6,FALSE)&gt;=main!$D$103+VLOOKUP(VLOOKUP(BP$1,main!$A$3:$I$102,7,FALSE),main!$K$26:$Q$29,4,FALSE)),1,0)</f>
        <v>0</v>
      </c>
      <c r="BQ152">
        <f>IF(AND(VLOOKUP(BQ$1,main!$A$3:$H$102,7,FALSE)=main!$G$104,VLOOKUP(BQ$1,main!$A$3:$H$102,5,FALSE)-VLOOKUP($A152,main!$A$3:$H$102,6,FALSE)&gt;=main!$D$103+VLOOKUP(VLOOKUP(BQ$1,main!$A$3:$I$102,7,FALSE),main!$K$26:$Q$29,4,FALSE)),1,0)</f>
        <v>0</v>
      </c>
      <c r="BR152">
        <f>IF(AND(VLOOKUP(BR$1,main!$A$3:$H$102,7,FALSE)=main!$G$104,VLOOKUP(BR$1,main!$A$3:$H$102,5,FALSE)-VLOOKUP($A152,main!$A$3:$H$102,6,FALSE)&gt;=main!$D$103+VLOOKUP(VLOOKUP(BR$1,main!$A$3:$I$102,7,FALSE),main!$K$26:$Q$29,4,FALSE)),1,0)</f>
        <v>0</v>
      </c>
      <c r="BS152">
        <f>IF(AND(VLOOKUP(BS$1,main!$A$3:$H$102,7,FALSE)=main!$G$104,VLOOKUP(BS$1,main!$A$3:$H$102,5,FALSE)-VLOOKUP($A152,main!$A$3:$H$102,6,FALSE)&gt;=main!$D$103+VLOOKUP(VLOOKUP(BS$1,main!$A$3:$I$102,7,FALSE),main!$K$26:$Q$29,4,FALSE)),1,0)</f>
        <v>0</v>
      </c>
      <c r="BT152">
        <f>IF(AND(VLOOKUP(BT$1,main!$A$3:$H$102,7,FALSE)=main!$G$104,VLOOKUP(BT$1,main!$A$3:$H$102,5,FALSE)-VLOOKUP($A152,main!$A$3:$H$102,6,FALSE)&gt;=main!$D$103+VLOOKUP(VLOOKUP(BT$1,main!$A$3:$I$102,7,FALSE),main!$K$26:$Q$29,4,FALSE)),1,0)</f>
        <v>0</v>
      </c>
      <c r="BU152">
        <f>IF(AND(VLOOKUP(BU$1,main!$A$3:$H$102,7,FALSE)=main!$G$104,VLOOKUP(BU$1,main!$A$3:$H$102,5,FALSE)-VLOOKUP($A152,main!$A$3:$H$102,6,FALSE)&gt;=main!$D$103+VLOOKUP(VLOOKUP(BU$1,main!$A$3:$I$102,7,FALSE),main!$K$26:$Q$29,4,FALSE)),1,0)</f>
        <v>0</v>
      </c>
      <c r="BV152">
        <f>IF(AND(VLOOKUP(BV$1,main!$A$3:$H$102,7,FALSE)=main!$G$104,VLOOKUP(BV$1,main!$A$3:$H$102,5,FALSE)-VLOOKUP($A152,main!$A$3:$H$102,6,FALSE)&gt;=main!$D$103+VLOOKUP(VLOOKUP(BV$1,main!$A$3:$I$102,7,FALSE),main!$K$26:$Q$29,4,FALSE)),1,0)</f>
        <v>0</v>
      </c>
      <c r="BW152">
        <f>IF(AND(VLOOKUP(BW$1,main!$A$3:$H$102,7,FALSE)=main!$G$104,VLOOKUP(BW$1,main!$A$3:$H$102,5,FALSE)-VLOOKUP($A152,main!$A$3:$H$102,6,FALSE)&gt;=main!$D$103+VLOOKUP(VLOOKUP(BW$1,main!$A$3:$I$102,7,FALSE),main!$K$26:$Q$29,4,FALSE)),1,0)</f>
        <v>0</v>
      </c>
      <c r="BX152">
        <f>IF(AND(VLOOKUP(BX$1,main!$A$3:$H$102,7,FALSE)=main!$G$104,VLOOKUP(BX$1,main!$A$3:$H$102,5,FALSE)-VLOOKUP($A152,main!$A$3:$H$102,6,FALSE)&gt;=main!$D$103+VLOOKUP(VLOOKUP(BX$1,main!$A$3:$I$102,7,FALSE),main!$K$26:$Q$29,4,FALSE)),1,0)</f>
        <v>0</v>
      </c>
      <c r="BY152">
        <f>IF(AND(VLOOKUP(BY$1,main!$A$3:$H$102,7,FALSE)=main!$G$104,VLOOKUP(BY$1,main!$A$3:$H$102,5,FALSE)-VLOOKUP($A152,main!$A$3:$H$102,6,FALSE)&gt;=main!$D$103+VLOOKUP(VLOOKUP(BY$1,main!$A$3:$I$102,7,FALSE),main!$K$26:$Q$29,4,FALSE)),1,0)</f>
        <v>0</v>
      </c>
      <c r="BZ152">
        <f>IF(AND(VLOOKUP(BZ$1,main!$A$3:$H$102,7,FALSE)=main!$G$104,VLOOKUP(BZ$1,main!$A$3:$H$102,5,FALSE)-VLOOKUP($A152,main!$A$3:$H$102,6,FALSE)&gt;=main!$D$103+VLOOKUP(VLOOKUP(BZ$1,main!$A$3:$I$102,7,FALSE),main!$K$26:$Q$29,4,FALSE)),1,0)</f>
        <v>0</v>
      </c>
      <c r="CA152">
        <f>IF(AND(VLOOKUP(CA$1,main!$A$3:$H$102,7,FALSE)=main!$G$104,VLOOKUP(CA$1,main!$A$3:$H$102,5,FALSE)-VLOOKUP($A152,main!$A$3:$H$102,6,FALSE)&gt;=main!$D$103+VLOOKUP(VLOOKUP(CA$1,main!$A$3:$I$102,7,FALSE),main!$K$26:$Q$29,4,FALSE)),1,0)</f>
        <v>0</v>
      </c>
      <c r="CB152">
        <f>IF(AND(VLOOKUP(CB$1,main!$A$3:$H$102,7,FALSE)=main!$G$104,VLOOKUP(CB$1,main!$A$3:$H$102,5,FALSE)-VLOOKUP($A152,main!$A$3:$H$102,6,FALSE)&gt;=main!$D$103+VLOOKUP(VLOOKUP(CB$1,main!$A$3:$I$102,7,FALSE),main!$K$26:$Q$29,4,FALSE)),1,0)</f>
        <v>0</v>
      </c>
      <c r="CC152">
        <f>IF(AND(VLOOKUP(CC$1,main!$A$3:$H$102,7,FALSE)=main!$G$104,VLOOKUP(CC$1,main!$A$3:$H$102,5,FALSE)-VLOOKUP($A152,main!$A$3:$H$102,6,FALSE)&gt;=main!$D$103+VLOOKUP(VLOOKUP(CC$1,main!$A$3:$I$102,7,FALSE),main!$K$26:$Q$29,4,FALSE)),1,0)</f>
        <v>0</v>
      </c>
      <c r="CD152">
        <f>IF(AND(VLOOKUP(CD$1,main!$A$3:$H$102,7,FALSE)=main!$G$104,VLOOKUP(CD$1,main!$A$3:$H$102,5,FALSE)-VLOOKUP($A152,main!$A$3:$H$102,6,FALSE)&gt;=main!$D$103+VLOOKUP(VLOOKUP(CD$1,main!$A$3:$I$102,7,FALSE),main!$K$26:$Q$29,4,FALSE)),1,0)</f>
        <v>0</v>
      </c>
      <c r="CE152">
        <f>IF(AND(VLOOKUP(CE$1,main!$A$3:$H$102,7,FALSE)=main!$G$104,VLOOKUP(CE$1,main!$A$3:$H$102,5,FALSE)-VLOOKUP($A152,main!$A$3:$H$102,6,FALSE)&gt;=main!$D$103+VLOOKUP(VLOOKUP(CE$1,main!$A$3:$I$102,7,FALSE),main!$K$26:$Q$29,4,FALSE)),1,0)</f>
        <v>0</v>
      </c>
      <c r="CF152">
        <f>IF(AND(VLOOKUP(CF$1,main!$A$3:$H$102,7,FALSE)=main!$G$104,VLOOKUP(CF$1,main!$A$3:$H$102,5,FALSE)-VLOOKUP($A152,main!$A$3:$H$102,6,FALSE)&gt;=main!$D$103+VLOOKUP(VLOOKUP(CF$1,main!$A$3:$I$102,7,FALSE),main!$K$26:$Q$29,4,FALSE)),1,0)</f>
        <v>0</v>
      </c>
      <c r="CG152">
        <f>IF(AND(VLOOKUP(CG$1,main!$A$3:$H$102,7,FALSE)=main!$G$104,VLOOKUP(CG$1,main!$A$3:$H$102,5,FALSE)-VLOOKUP($A152,main!$A$3:$H$102,6,FALSE)&gt;=main!$D$103+VLOOKUP(VLOOKUP(CG$1,main!$A$3:$I$102,7,FALSE),main!$K$26:$Q$29,4,FALSE)),1,0)</f>
        <v>0</v>
      </c>
      <c r="CH152">
        <f>IF(AND(VLOOKUP(CH$1,main!$A$3:$H$102,7,FALSE)=main!$G$104,VLOOKUP(CH$1,main!$A$3:$H$102,5,FALSE)-VLOOKUP($A152,main!$A$3:$H$102,6,FALSE)&gt;=main!$D$103+VLOOKUP(VLOOKUP(CH$1,main!$A$3:$I$102,7,FALSE),main!$K$26:$Q$29,4,FALSE)),1,0)</f>
        <v>0</v>
      </c>
      <c r="CI152">
        <f>IF(AND(VLOOKUP(CI$1,main!$A$3:$H$102,7,FALSE)=main!$G$104,VLOOKUP(CI$1,main!$A$3:$H$102,5,FALSE)-VLOOKUP($A152,main!$A$3:$H$102,6,FALSE)&gt;=main!$D$103+VLOOKUP(VLOOKUP(CI$1,main!$A$3:$I$102,7,FALSE),main!$K$26:$Q$29,4,FALSE)),1,0)</f>
        <v>0</v>
      </c>
      <c r="CJ152">
        <f>IF(AND(VLOOKUP(CJ$1,main!$A$3:$H$102,7,FALSE)=main!$G$104,VLOOKUP(CJ$1,main!$A$3:$H$102,5,FALSE)-VLOOKUP($A152,main!$A$3:$H$102,6,FALSE)&gt;=main!$D$103+VLOOKUP(VLOOKUP(CJ$1,main!$A$3:$I$102,7,FALSE),main!$K$26:$Q$29,4,FALSE)),1,0)</f>
        <v>0</v>
      </c>
      <c r="CK152">
        <f>IF(AND(VLOOKUP(CK$1,main!$A$3:$H$102,7,FALSE)=main!$G$104,VLOOKUP(CK$1,main!$A$3:$H$102,5,FALSE)-VLOOKUP($A152,main!$A$3:$H$102,6,FALSE)&gt;=main!$D$103+VLOOKUP(VLOOKUP(CK$1,main!$A$3:$I$102,7,FALSE),main!$K$26:$Q$29,4,FALSE)),1,0)</f>
        <v>0</v>
      </c>
      <c r="CL152">
        <f>IF(AND(VLOOKUP(CL$1,main!$A$3:$H$102,7,FALSE)=main!$G$104,VLOOKUP(CL$1,main!$A$3:$H$102,5,FALSE)-VLOOKUP($A152,main!$A$3:$H$102,6,FALSE)&gt;=main!$D$103+VLOOKUP(VLOOKUP(CL$1,main!$A$3:$I$102,7,FALSE),main!$K$26:$Q$29,4,FALSE)),1,0)</f>
        <v>0</v>
      </c>
      <c r="CM152">
        <f>IF(AND(VLOOKUP(CM$1,main!$A$3:$H$102,7,FALSE)=main!$G$104,VLOOKUP(CM$1,main!$A$3:$H$102,5,FALSE)-VLOOKUP($A152,main!$A$3:$H$102,6,FALSE)&gt;=main!$D$103+VLOOKUP(VLOOKUP(CM$1,main!$A$3:$I$102,7,FALSE),main!$K$26:$Q$29,4,FALSE)),1,0)</f>
        <v>0</v>
      </c>
      <c r="CN152">
        <f>IF(AND(VLOOKUP(CN$1,main!$A$3:$H$102,7,FALSE)=main!$G$104,VLOOKUP(CN$1,main!$A$3:$H$102,5,FALSE)-VLOOKUP($A152,main!$A$3:$H$102,6,FALSE)&gt;=main!$D$103+VLOOKUP(VLOOKUP(CN$1,main!$A$3:$I$102,7,FALSE),main!$K$26:$Q$29,4,FALSE)),1,0)</f>
        <v>0</v>
      </c>
      <c r="CO152">
        <f>IF(AND(VLOOKUP(CO$1,main!$A$3:$H$102,7,FALSE)=main!$G$104,VLOOKUP(CO$1,main!$A$3:$H$102,5,FALSE)-VLOOKUP($A152,main!$A$3:$H$102,6,FALSE)&gt;=main!$D$103+VLOOKUP(VLOOKUP(CO$1,main!$A$3:$I$102,7,FALSE),main!$K$26:$Q$29,4,FALSE)),1,0)</f>
        <v>0</v>
      </c>
      <c r="CP152">
        <f>IF(AND(VLOOKUP(CP$1,main!$A$3:$H$102,7,FALSE)=main!$G$104,VLOOKUP(CP$1,main!$A$3:$H$102,5,FALSE)-VLOOKUP($A152,main!$A$3:$H$102,6,FALSE)&gt;=main!$D$103+VLOOKUP(VLOOKUP(CP$1,main!$A$3:$I$102,7,FALSE),main!$K$26:$Q$29,4,FALSE)),1,0)</f>
        <v>0</v>
      </c>
      <c r="CQ152">
        <f>IF(AND(VLOOKUP(CQ$1,main!$A$3:$H$102,7,FALSE)=main!$G$104,VLOOKUP(CQ$1,main!$A$3:$H$102,5,FALSE)-VLOOKUP($A152,main!$A$3:$H$102,6,FALSE)&gt;=main!$D$103+VLOOKUP(VLOOKUP(CQ$1,main!$A$3:$I$102,7,FALSE),main!$K$26:$Q$29,4,FALSE)),1,0)</f>
        <v>0</v>
      </c>
      <c r="CR152">
        <f>IF(AND(VLOOKUP(CR$1,main!$A$3:$H$102,7,FALSE)=main!$G$104,VLOOKUP(CR$1,main!$A$3:$H$102,5,FALSE)-VLOOKUP($A152,main!$A$3:$H$102,6,FALSE)&gt;=main!$D$103+VLOOKUP(VLOOKUP(CR$1,main!$A$3:$I$102,7,FALSE),main!$K$26:$Q$29,4,FALSE)),1,0)</f>
        <v>0</v>
      </c>
      <c r="CS152">
        <f>IF(AND(VLOOKUP(CS$1,main!$A$3:$H$102,7,FALSE)=main!$G$104,VLOOKUP(CS$1,main!$A$3:$H$102,5,FALSE)-VLOOKUP($A152,main!$A$3:$H$102,6,FALSE)&gt;=main!$D$103+VLOOKUP(VLOOKUP(CS$1,main!$A$3:$I$102,7,FALSE),main!$K$26:$Q$29,4,FALSE)),1,0)</f>
        <v>0</v>
      </c>
      <c r="CT152">
        <f>IF(AND(VLOOKUP(CT$1,main!$A$3:$H$102,7,FALSE)=main!$G$104,VLOOKUP(CT$1,main!$A$3:$H$102,5,FALSE)-VLOOKUP($A152,main!$A$3:$H$102,6,FALSE)&gt;=main!$D$103+VLOOKUP(VLOOKUP(CT$1,main!$A$3:$I$102,7,FALSE),main!$K$26:$Q$29,4,FALSE)),1,0)</f>
        <v>0</v>
      </c>
      <c r="CU152">
        <f>IF(AND(VLOOKUP(CU$1,main!$A$3:$H$102,7,FALSE)=main!$G$104,VLOOKUP(CU$1,main!$A$3:$H$102,5,FALSE)-VLOOKUP($A152,main!$A$3:$H$102,6,FALSE)&gt;=main!$D$103+VLOOKUP(VLOOKUP(CU$1,main!$A$3:$I$102,7,FALSE),main!$K$26:$Q$29,4,FALSE)),1,0)</f>
        <v>0</v>
      </c>
      <c r="CV152">
        <f>IF(AND(VLOOKUP(CV$1,main!$A$3:$H$102,7,FALSE)=main!$G$104,VLOOKUP(CV$1,main!$A$3:$H$102,5,FALSE)-VLOOKUP($A152,main!$A$3:$H$102,6,FALSE)&gt;=main!$D$103+VLOOKUP(VLOOKUP(CV$1,main!$A$3:$I$102,7,FALSE),main!$K$26:$Q$29,4,FALSE)),1,0)</f>
        <v>0</v>
      </c>
      <c r="CW152">
        <f>IF(AND(VLOOKUP(CW$1,main!$A$3:$H$102,7,FALSE)=main!$G$104,VLOOKUP(CW$1,main!$A$3:$H$102,5,FALSE)-VLOOKUP($A152,main!$A$3:$H$102,6,FALSE)&gt;=main!$D$103+VLOOKUP(VLOOKUP(CW$1,main!$A$3:$I$102,7,FALSE),main!$K$26:$Q$29,4,FALSE)),1,0)</f>
        <v>0</v>
      </c>
      <c r="CX152">
        <f>IF(AND(VLOOKUP(CX$1,main!$A$3:$H$102,7,FALSE)=main!$G$104,VLOOKUP(CX$1,main!$A$3:$H$102,5,FALSE)-VLOOKUP($A152,main!$A$3:$H$102,6,FALSE)&gt;=main!$D$103+VLOOKUP(VLOOKUP(CX$1,main!$A$3:$I$102,7,FALSE),main!$K$26:$Q$29,4,FALSE)),1,0)</f>
        <v>0</v>
      </c>
    </row>
    <row r="153" spans="1:106" x14ac:dyDescent="0.25">
      <c r="A153" s="1">
        <v>50</v>
      </c>
      <c r="B153">
        <v>0</v>
      </c>
      <c r="C153">
        <f>IF(AND(VLOOKUP(C$1,main!$A$3:$H$102,7,FALSE)=main!$G$104,VLOOKUP(C$1,main!$A$3:$H$102,5,FALSE)-VLOOKUP($A153,main!$A$3:$H$102,6,FALSE)&gt;=main!$D$103+VLOOKUP(VLOOKUP(C$1,main!$A$3:$I$102,7,FALSE),main!$K$26:$Q$29,4,FALSE)),1,0)</f>
        <v>0</v>
      </c>
      <c r="D153">
        <f>IF(AND(VLOOKUP(D$1,main!$A$3:$H$102,7,FALSE)=main!$G$104,VLOOKUP(D$1,main!$A$3:$H$102,5,FALSE)-VLOOKUP($A153,main!$A$3:$H$102,6,FALSE)&gt;=main!$D$103+VLOOKUP(VLOOKUP(D$1,main!$A$3:$I$102,7,FALSE),main!$K$26:$Q$29,4,FALSE)),1,0)</f>
        <v>0</v>
      </c>
      <c r="E153">
        <f>IF(AND(VLOOKUP(E$1,main!$A$3:$H$102,7,FALSE)=main!$G$104,VLOOKUP(E$1,main!$A$3:$H$102,5,FALSE)-VLOOKUP($A153,main!$A$3:$H$102,6,FALSE)&gt;=main!$D$103+VLOOKUP(VLOOKUP(E$1,main!$A$3:$I$102,7,FALSE),main!$K$26:$Q$29,4,FALSE)),1,0)</f>
        <v>0</v>
      </c>
      <c r="F153">
        <f>IF(AND(VLOOKUP(F$1,main!$A$3:$H$102,7,FALSE)=main!$G$104,VLOOKUP(F$1,main!$A$3:$H$102,5,FALSE)-VLOOKUP($A153,main!$A$3:$H$102,6,FALSE)&gt;=main!$D$103+VLOOKUP(VLOOKUP(F$1,main!$A$3:$I$102,7,FALSE),main!$K$26:$Q$29,4,FALSE)),1,0)</f>
        <v>0</v>
      </c>
      <c r="G153">
        <f>IF(AND(VLOOKUP(G$1,main!$A$3:$H$102,7,FALSE)=main!$G$104,VLOOKUP(G$1,main!$A$3:$H$102,5,FALSE)-VLOOKUP($A153,main!$A$3:$H$102,6,FALSE)&gt;=main!$D$103+VLOOKUP(VLOOKUP(G$1,main!$A$3:$I$102,7,FALSE),main!$K$26:$Q$29,4,FALSE)),1,0)</f>
        <v>0</v>
      </c>
      <c r="H153">
        <f>IF(AND(VLOOKUP(H$1,main!$A$3:$H$102,7,FALSE)=main!$G$104,VLOOKUP(H$1,main!$A$3:$H$102,5,FALSE)-VLOOKUP($A153,main!$A$3:$H$102,6,FALSE)&gt;=main!$D$103+VLOOKUP(VLOOKUP(H$1,main!$A$3:$I$102,7,FALSE),main!$K$26:$Q$29,4,FALSE)),1,0)</f>
        <v>0</v>
      </c>
      <c r="I153">
        <f>IF(AND(VLOOKUP(I$1,main!$A$3:$H$102,7,FALSE)=main!$G$104,VLOOKUP(I$1,main!$A$3:$H$102,5,FALSE)-VLOOKUP($A153,main!$A$3:$H$102,6,FALSE)&gt;=main!$D$103+VLOOKUP(VLOOKUP(I$1,main!$A$3:$I$102,7,FALSE),main!$K$26:$Q$29,4,FALSE)),1,0)</f>
        <v>1</v>
      </c>
      <c r="J153">
        <f>IF(AND(VLOOKUP(J$1,main!$A$3:$H$102,7,FALSE)=main!$G$104,VLOOKUP(J$1,main!$A$3:$H$102,5,FALSE)-VLOOKUP($A153,main!$A$3:$H$102,6,FALSE)&gt;=main!$D$103+VLOOKUP(VLOOKUP(J$1,main!$A$3:$I$102,7,FALSE),main!$K$26:$Q$29,4,FALSE)),1,0)</f>
        <v>1</v>
      </c>
      <c r="K153">
        <f>IF(AND(VLOOKUP(K$1,main!$A$3:$H$102,7,FALSE)=main!$G$104,VLOOKUP(K$1,main!$A$3:$H$102,5,FALSE)-VLOOKUP($A153,main!$A$3:$H$102,6,FALSE)&gt;=main!$D$103+VLOOKUP(VLOOKUP(K$1,main!$A$3:$I$102,7,FALSE),main!$K$26:$Q$29,4,FALSE)),1,0)</f>
        <v>1</v>
      </c>
      <c r="L153">
        <f>IF(AND(VLOOKUP(L$1,main!$A$3:$H$102,7,FALSE)=main!$G$104,VLOOKUP(L$1,main!$A$3:$H$102,5,FALSE)-VLOOKUP($A153,main!$A$3:$H$102,6,FALSE)&gt;=main!$D$103+VLOOKUP(VLOOKUP(L$1,main!$A$3:$I$102,7,FALSE),main!$K$26:$Q$29,4,FALSE)),1,0)</f>
        <v>1</v>
      </c>
      <c r="M153">
        <f>IF(AND(VLOOKUP(M$1,main!$A$3:$H$102,7,FALSE)=main!$G$104,VLOOKUP(M$1,main!$A$3:$H$102,5,FALSE)-VLOOKUP($A153,main!$A$3:$H$102,6,FALSE)&gt;=main!$D$103+VLOOKUP(VLOOKUP(M$1,main!$A$3:$I$102,7,FALSE),main!$K$26:$Q$29,4,FALSE)),1,0)</f>
        <v>0</v>
      </c>
      <c r="N153">
        <f>IF(AND(VLOOKUP(N$1,main!$A$3:$H$102,7,FALSE)=main!$G$104,VLOOKUP(N$1,main!$A$3:$H$102,5,FALSE)-VLOOKUP($A153,main!$A$3:$H$102,6,FALSE)&gt;=main!$D$103+VLOOKUP(VLOOKUP(N$1,main!$A$3:$I$102,7,FALSE),main!$K$26:$Q$29,4,FALSE)),1,0)</f>
        <v>0</v>
      </c>
      <c r="O153">
        <f>IF(AND(VLOOKUP(O$1,main!$A$3:$H$102,7,FALSE)=main!$G$104,VLOOKUP(O$1,main!$A$3:$H$102,5,FALSE)-VLOOKUP($A153,main!$A$3:$H$102,6,FALSE)&gt;=main!$D$103+VLOOKUP(VLOOKUP(O$1,main!$A$3:$I$102,7,FALSE),main!$K$26:$Q$29,4,FALSE)),1,0)</f>
        <v>0</v>
      </c>
      <c r="P153">
        <f>IF(AND(VLOOKUP(P$1,main!$A$3:$H$102,7,FALSE)=main!$G$104,VLOOKUP(P$1,main!$A$3:$H$102,5,FALSE)-VLOOKUP($A153,main!$A$3:$H$102,6,FALSE)&gt;=main!$D$103+VLOOKUP(VLOOKUP(P$1,main!$A$3:$I$102,7,FALSE),main!$K$26:$Q$29,4,FALSE)),1,0)</f>
        <v>0</v>
      </c>
      <c r="Q153">
        <f>IF(AND(VLOOKUP(Q$1,main!$A$3:$H$102,7,FALSE)=main!$G$104,VLOOKUP(Q$1,main!$A$3:$H$102,5,FALSE)-VLOOKUP($A153,main!$A$3:$H$102,6,FALSE)&gt;=main!$D$103+VLOOKUP(VLOOKUP(Q$1,main!$A$3:$I$102,7,FALSE),main!$K$26:$Q$29,4,FALSE)),1,0)</f>
        <v>0</v>
      </c>
      <c r="R153">
        <f>IF(AND(VLOOKUP(R$1,main!$A$3:$H$102,7,FALSE)=main!$G$104,VLOOKUP(R$1,main!$A$3:$H$102,5,FALSE)-VLOOKUP($A153,main!$A$3:$H$102,6,FALSE)&gt;=main!$D$103+VLOOKUP(VLOOKUP(R$1,main!$A$3:$I$102,7,FALSE),main!$K$26:$Q$29,4,FALSE)),1,0)</f>
        <v>0</v>
      </c>
      <c r="S153">
        <f>IF(AND(VLOOKUP(S$1,main!$A$3:$H$102,7,FALSE)=main!$G$104,VLOOKUP(S$1,main!$A$3:$H$102,5,FALSE)-VLOOKUP($A153,main!$A$3:$H$102,6,FALSE)&gt;=main!$D$103+VLOOKUP(VLOOKUP(S$1,main!$A$3:$I$102,7,FALSE),main!$K$26:$Q$29,4,FALSE)),1,0)</f>
        <v>0</v>
      </c>
      <c r="T153">
        <f>IF(AND(VLOOKUP(T$1,main!$A$3:$H$102,7,FALSE)=main!$G$104,VLOOKUP(T$1,main!$A$3:$H$102,5,FALSE)-VLOOKUP($A153,main!$A$3:$H$102,6,FALSE)&gt;=main!$D$103+VLOOKUP(VLOOKUP(T$1,main!$A$3:$I$102,7,FALSE),main!$K$26:$Q$29,4,FALSE)),1,0)</f>
        <v>1</v>
      </c>
      <c r="U153">
        <f>IF(AND(VLOOKUP(U$1,main!$A$3:$H$102,7,FALSE)=main!$G$104,VLOOKUP(U$1,main!$A$3:$H$102,5,FALSE)-VLOOKUP($A153,main!$A$3:$H$102,6,FALSE)&gt;=main!$D$103+VLOOKUP(VLOOKUP(U$1,main!$A$3:$I$102,7,FALSE),main!$K$26:$Q$29,4,FALSE)),1,0)</f>
        <v>1</v>
      </c>
      <c r="V153">
        <f>IF(AND(VLOOKUP(V$1,main!$A$3:$H$102,7,FALSE)=main!$G$104,VLOOKUP(V$1,main!$A$3:$H$102,5,FALSE)-VLOOKUP($A153,main!$A$3:$H$102,6,FALSE)&gt;=main!$D$103+VLOOKUP(VLOOKUP(V$1,main!$A$3:$I$102,7,FALSE),main!$K$26:$Q$29,4,FALSE)),1,0)</f>
        <v>1</v>
      </c>
      <c r="W153">
        <f>IF(AND(VLOOKUP(W$1,main!$A$3:$H$102,7,FALSE)=main!$G$104,VLOOKUP(W$1,main!$A$3:$H$102,5,FALSE)-VLOOKUP($A153,main!$A$3:$H$102,6,FALSE)&gt;=main!$D$103+VLOOKUP(VLOOKUP(W$1,main!$A$3:$I$102,7,FALSE),main!$K$26:$Q$29,4,FALSE)),1,0)</f>
        <v>0</v>
      </c>
      <c r="X153">
        <f>IF(AND(VLOOKUP(X$1,main!$A$3:$H$102,7,FALSE)=main!$G$104,VLOOKUP(X$1,main!$A$3:$H$102,5,FALSE)-VLOOKUP($A153,main!$A$3:$H$102,6,FALSE)&gt;=main!$D$103+VLOOKUP(VLOOKUP(X$1,main!$A$3:$I$102,7,FALSE),main!$K$26:$Q$29,4,FALSE)),1,0)</f>
        <v>0</v>
      </c>
      <c r="Y153">
        <f>IF(AND(VLOOKUP(Y$1,main!$A$3:$H$102,7,FALSE)=main!$G$104,VLOOKUP(Y$1,main!$A$3:$H$102,5,FALSE)-VLOOKUP($A153,main!$A$3:$H$102,6,FALSE)&gt;=main!$D$103+VLOOKUP(VLOOKUP(Y$1,main!$A$3:$I$102,7,FALSE),main!$K$26:$Q$29,4,FALSE)),1,0)</f>
        <v>0</v>
      </c>
      <c r="Z153">
        <f>IF(AND(VLOOKUP(Z$1,main!$A$3:$H$102,7,FALSE)=main!$G$104,VLOOKUP(Z$1,main!$A$3:$H$102,5,FALSE)-VLOOKUP($A153,main!$A$3:$H$102,6,FALSE)&gt;=main!$D$103+VLOOKUP(VLOOKUP(Z$1,main!$A$3:$I$102,7,FALSE),main!$K$26:$Q$29,4,FALSE)),1,0)</f>
        <v>1</v>
      </c>
      <c r="AA153">
        <f>IF(AND(VLOOKUP(AA$1,main!$A$3:$H$102,7,FALSE)=main!$G$104,VLOOKUP(AA$1,main!$A$3:$H$102,5,FALSE)-VLOOKUP($A153,main!$A$3:$H$102,6,FALSE)&gt;=main!$D$103+VLOOKUP(VLOOKUP(AA$1,main!$A$3:$I$102,7,FALSE),main!$K$26:$Q$29,4,FALSE)),1,0)</f>
        <v>1</v>
      </c>
      <c r="AB153">
        <f>IF(AND(VLOOKUP(AB$1,main!$A$3:$H$102,7,FALSE)=main!$G$104,VLOOKUP(AB$1,main!$A$3:$H$102,5,FALSE)-VLOOKUP($A153,main!$A$3:$H$102,6,FALSE)&gt;=main!$D$103+VLOOKUP(VLOOKUP(AB$1,main!$A$3:$I$102,7,FALSE),main!$K$26:$Q$29,4,FALSE)),1,0)</f>
        <v>0</v>
      </c>
      <c r="AC153">
        <f>IF(AND(VLOOKUP(AC$1,main!$A$3:$H$102,7,FALSE)=main!$G$104,VLOOKUP(AC$1,main!$A$3:$H$102,5,FALSE)-VLOOKUP($A153,main!$A$3:$H$102,6,FALSE)&gt;=main!$D$103+VLOOKUP(VLOOKUP(AC$1,main!$A$3:$I$102,7,FALSE),main!$K$26:$Q$29,4,FALSE)),1,0)</f>
        <v>0</v>
      </c>
      <c r="AD153">
        <f>IF(AND(VLOOKUP(AD$1,main!$A$3:$H$102,7,FALSE)=main!$G$104,VLOOKUP(AD$1,main!$A$3:$H$102,5,FALSE)-VLOOKUP($A153,main!$A$3:$H$102,6,FALSE)&gt;=main!$D$103+VLOOKUP(VLOOKUP(AD$1,main!$A$3:$I$102,7,FALSE),main!$K$26:$Q$29,4,FALSE)),1,0)</f>
        <v>0</v>
      </c>
      <c r="AE153">
        <f>IF(AND(VLOOKUP(AE$1,main!$A$3:$H$102,7,FALSE)=main!$G$104,VLOOKUP(AE$1,main!$A$3:$H$102,5,FALSE)-VLOOKUP($A153,main!$A$3:$H$102,6,FALSE)&gt;=main!$D$103+VLOOKUP(VLOOKUP(AE$1,main!$A$3:$I$102,7,FALSE),main!$K$26:$Q$29,4,FALSE)),1,0)</f>
        <v>1</v>
      </c>
      <c r="AF153">
        <f>IF(AND(VLOOKUP(AF$1,main!$A$3:$H$102,7,FALSE)=main!$G$104,VLOOKUP(AF$1,main!$A$3:$H$102,5,FALSE)-VLOOKUP($A153,main!$A$3:$H$102,6,FALSE)&gt;=main!$D$103+VLOOKUP(VLOOKUP(AF$1,main!$A$3:$I$102,7,FALSE),main!$K$26:$Q$29,4,FALSE)),1,0)</f>
        <v>1</v>
      </c>
      <c r="AG153">
        <f>IF(AND(VLOOKUP(AG$1,main!$A$3:$H$102,7,FALSE)=main!$G$104,VLOOKUP(AG$1,main!$A$3:$H$102,5,FALSE)-VLOOKUP($A153,main!$A$3:$H$102,6,FALSE)&gt;=main!$D$103+VLOOKUP(VLOOKUP(AG$1,main!$A$3:$I$102,7,FALSE),main!$K$26:$Q$29,4,FALSE)),1,0)</f>
        <v>0</v>
      </c>
      <c r="AH153">
        <f>IF(AND(VLOOKUP(AH$1,main!$A$3:$H$102,7,FALSE)=main!$G$104,VLOOKUP(AH$1,main!$A$3:$H$102,5,FALSE)-VLOOKUP($A153,main!$A$3:$H$102,6,FALSE)&gt;=main!$D$103+VLOOKUP(VLOOKUP(AH$1,main!$A$3:$I$102,7,FALSE),main!$K$26:$Q$29,4,FALSE)),1,0)</f>
        <v>0</v>
      </c>
      <c r="AI153">
        <f>IF(AND(VLOOKUP(AI$1,main!$A$3:$H$102,7,FALSE)=main!$G$104,VLOOKUP(AI$1,main!$A$3:$H$102,5,FALSE)-VLOOKUP($A153,main!$A$3:$H$102,6,FALSE)&gt;=main!$D$103+VLOOKUP(VLOOKUP(AI$1,main!$A$3:$I$102,7,FALSE),main!$K$26:$Q$29,4,FALSE)),1,0)</f>
        <v>0</v>
      </c>
      <c r="AJ153">
        <f>IF(AND(VLOOKUP(AJ$1,main!$A$3:$H$102,7,FALSE)=main!$G$104,VLOOKUP(AJ$1,main!$A$3:$H$102,5,FALSE)-VLOOKUP($A153,main!$A$3:$H$102,6,FALSE)&gt;=main!$D$103+VLOOKUP(VLOOKUP(AJ$1,main!$A$3:$I$102,7,FALSE),main!$K$26:$Q$29,4,FALSE)),1,0)</f>
        <v>0</v>
      </c>
      <c r="AK153">
        <f>IF(AND(VLOOKUP(AK$1,main!$A$3:$H$102,7,FALSE)=main!$G$104,VLOOKUP(AK$1,main!$A$3:$H$102,5,FALSE)-VLOOKUP($A153,main!$A$3:$H$102,6,FALSE)&gt;=main!$D$103+VLOOKUP(VLOOKUP(AK$1,main!$A$3:$I$102,7,FALSE),main!$K$26:$Q$29,4,FALSE)),1,0)</f>
        <v>0</v>
      </c>
      <c r="AL153">
        <f>IF(AND(VLOOKUP(AL$1,main!$A$3:$H$102,7,FALSE)=main!$G$104,VLOOKUP(AL$1,main!$A$3:$H$102,5,FALSE)-VLOOKUP($A153,main!$A$3:$H$102,6,FALSE)&gt;=main!$D$103+VLOOKUP(VLOOKUP(AL$1,main!$A$3:$I$102,7,FALSE),main!$K$26:$Q$29,4,FALSE)),1,0)</f>
        <v>0</v>
      </c>
      <c r="AM153">
        <f>IF(AND(VLOOKUP(AM$1,main!$A$3:$H$102,7,FALSE)=main!$G$104,VLOOKUP(AM$1,main!$A$3:$H$102,5,FALSE)-VLOOKUP($A153,main!$A$3:$H$102,6,FALSE)&gt;=main!$D$103+VLOOKUP(VLOOKUP(AM$1,main!$A$3:$I$102,7,FALSE),main!$K$26:$Q$29,4,FALSE)),1,0)</f>
        <v>0</v>
      </c>
      <c r="AN153">
        <f>IF(AND(VLOOKUP(AN$1,main!$A$3:$H$102,7,FALSE)=main!$G$104,VLOOKUP(AN$1,main!$A$3:$H$102,5,FALSE)-VLOOKUP($A153,main!$A$3:$H$102,6,FALSE)&gt;=main!$D$103+VLOOKUP(VLOOKUP(AN$1,main!$A$3:$I$102,7,FALSE),main!$K$26:$Q$29,4,FALSE)),1,0)</f>
        <v>0</v>
      </c>
      <c r="AO153">
        <f>IF(AND(VLOOKUP(AO$1,main!$A$3:$H$102,7,FALSE)=main!$G$104,VLOOKUP(AO$1,main!$A$3:$H$102,5,FALSE)-VLOOKUP($A153,main!$A$3:$H$102,6,FALSE)&gt;=main!$D$103+VLOOKUP(VLOOKUP(AO$1,main!$A$3:$I$102,7,FALSE),main!$K$26:$Q$29,4,FALSE)),1,0)</f>
        <v>0</v>
      </c>
      <c r="AP153">
        <f>IF(AND(VLOOKUP(AP$1,main!$A$3:$H$102,7,FALSE)=main!$G$104,VLOOKUP(AP$1,main!$A$3:$H$102,5,FALSE)-VLOOKUP($A153,main!$A$3:$H$102,6,FALSE)&gt;=main!$D$103+VLOOKUP(VLOOKUP(AP$1,main!$A$3:$I$102,7,FALSE),main!$K$26:$Q$29,4,FALSE)),1,0)</f>
        <v>0</v>
      </c>
      <c r="AQ153">
        <f>IF(AND(VLOOKUP(AQ$1,main!$A$3:$H$102,7,FALSE)=main!$G$104,VLOOKUP(AQ$1,main!$A$3:$H$102,5,FALSE)-VLOOKUP($A153,main!$A$3:$H$102,6,FALSE)&gt;=main!$D$103+VLOOKUP(VLOOKUP(AQ$1,main!$A$3:$I$102,7,FALSE),main!$K$26:$Q$29,4,FALSE)),1,0)</f>
        <v>0</v>
      </c>
      <c r="AR153">
        <f>IF(AND(VLOOKUP(AR$1,main!$A$3:$H$102,7,FALSE)=main!$G$104,VLOOKUP(AR$1,main!$A$3:$H$102,5,FALSE)-VLOOKUP($A153,main!$A$3:$H$102,6,FALSE)&gt;=main!$D$103+VLOOKUP(VLOOKUP(AR$1,main!$A$3:$I$102,7,FALSE),main!$K$26:$Q$29,4,FALSE)),1,0)</f>
        <v>0</v>
      </c>
      <c r="AS153">
        <f>IF(AND(VLOOKUP(AS$1,main!$A$3:$H$102,7,FALSE)=main!$G$104,VLOOKUP(AS$1,main!$A$3:$H$102,5,FALSE)-VLOOKUP($A153,main!$A$3:$H$102,6,FALSE)&gt;=main!$D$103+VLOOKUP(VLOOKUP(AS$1,main!$A$3:$I$102,7,FALSE),main!$K$26:$Q$29,4,FALSE)),1,0)</f>
        <v>0</v>
      </c>
      <c r="AT153">
        <f>IF(AND(VLOOKUP(AT$1,main!$A$3:$H$102,7,FALSE)=main!$G$104,VLOOKUP(AT$1,main!$A$3:$H$102,5,FALSE)-VLOOKUP($A153,main!$A$3:$H$102,6,FALSE)&gt;=main!$D$103+VLOOKUP(VLOOKUP(AT$1,main!$A$3:$I$102,7,FALSE),main!$K$26:$Q$29,4,FALSE)),1,0)</f>
        <v>0</v>
      </c>
      <c r="AU153">
        <f>IF(AND(VLOOKUP(AU$1,main!$A$3:$H$102,7,FALSE)=main!$G$104,VLOOKUP(AU$1,main!$A$3:$H$102,5,FALSE)-VLOOKUP($A153,main!$A$3:$H$102,6,FALSE)&gt;=main!$D$103+VLOOKUP(VLOOKUP(AU$1,main!$A$3:$I$102,7,FALSE),main!$K$26:$Q$29,4,FALSE)),1,0)</f>
        <v>0</v>
      </c>
      <c r="AV153">
        <f>IF(AND(VLOOKUP(AV$1,main!$A$3:$H$102,7,FALSE)=main!$G$104,VLOOKUP(AV$1,main!$A$3:$H$102,5,FALSE)-VLOOKUP($A153,main!$A$3:$H$102,6,FALSE)&gt;=main!$D$103+VLOOKUP(VLOOKUP(AV$1,main!$A$3:$I$102,7,FALSE),main!$K$26:$Q$29,4,FALSE)),1,0)</f>
        <v>0</v>
      </c>
      <c r="AW153">
        <f>IF(AND(VLOOKUP(AW$1,main!$A$3:$H$102,7,FALSE)=main!$G$104,VLOOKUP(AW$1,main!$A$3:$H$102,5,FALSE)-VLOOKUP($A153,main!$A$3:$H$102,6,FALSE)&gt;=main!$D$103+VLOOKUP(VLOOKUP(AW$1,main!$A$3:$I$102,7,FALSE),main!$K$26:$Q$29,4,FALSE)),1,0)</f>
        <v>0</v>
      </c>
      <c r="AX153">
        <f>IF(AND(VLOOKUP(AX$1,main!$A$3:$H$102,7,FALSE)=main!$G$104,VLOOKUP(AX$1,main!$A$3:$H$102,5,FALSE)-VLOOKUP($A153,main!$A$3:$H$102,6,FALSE)&gt;=main!$D$103+VLOOKUP(VLOOKUP(AX$1,main!$A$3:$I$102,7,FALSE),main!$K$26:$Q$29,4,FALSE)),1,0)</f>
        <v>0</v>
      </c>
      <c r="AY153">
        <f>IF(AND(VLOOKUP(AY$1,main!$A$3:$H$102,7,FALSE)=main!$G$104,VLOOKUP(AY$1,main!$A$3:$H$102,5,FALSE)-VLOOKUP($A153,main!$A$3:$H$102,6,FALSE)&gt;=main!$D$103+VLOOKUP(VLOOKUP(AY$1,main!$A$3:$I$102,7,FALSE),main!$K$26:$Q$29,4,FALSE)),1,0)</f>
        <v>0</v>
      </c>
      <c r="AZ153">
        <f>IF(AND(VLOOKUP(AZ$1,main!$A$3:$H$102,7,FALSE)=main!$G$104,VLOOKUP(AZ$1,main!$A$3:$H$102,5,FALSE)-VLOOKUP($A153,main!$A$3:$H$102,6,FALSE)&gt;=main!$D$103+VLOOKUP(VLOOKUP(AZ$1,main!$A$3:$I$102,7,FALSE),main!$K$26:$Q$29,4,FALSE)),1,0)</f>
        <v>0</v>
      </c>
      <c r="BA153">
        <f>IF(AND(VLOOKUP(BA$1,main!$A$3:$H$102,7,FALSE)=main!$G$104,VLOOKUP(BA$1,main!$A$3:$H$102,5,FALSE)-VLOOKUP($A153,main!$A$3:$H$102,6,FALSE)&gt;=main!$D$103+VLOOKUP(VLOOKUP(BA$1,main!$A$3:$I$102,7,FALSE),main!$K$26:$Q$29,4,FALSE)),1,0)</f>
        <v>0</v>
      </c>
      <c r="BB153">
        <f>IF(AND(VLOOKUP(BB$1,main!$A$3:$H$102,7,FALSE)=main!$G$104,VLOOKUP(BB$1,main!$A$3:$H$102,5,FALSE)-VLOOKUP($A153,main!$A$3:$H$102,6,FALSE)&gt;=main!$D$103+VLOOKUP(VLOOKUP(BB$1,main!$A$3:$I$102,7,FALSE),main!$K$26:$Q$29,4,FALSE)),1,0)</f>
        <v>0</v>
      </c>
      <c r="BC153">
        <f>IF(AND(VLOOKUP(BC$1,main!$A$3:$H$102,7,FALSE)=main!$G$104,VLOOKUP(BC$1,main!$A$3:$H$102,5,FALSE)-VLOOKUP($A153,main!$A$3:$H$102,6,FALSE)&gt;=main!$D$103+VLOOKUP(VLOOKUP(BC$1,main!$A$3:$I$102,7,FALSE),main!$K$26:$Q$29,4,FALSE)),1,0)</f>
        <v>0</v>
      </c>
      <c r="BD153">
        <f>IF(AND(VLOOKUP(BD$1,main!$A$3:$H$102,7,FALSE)=main!$G$104,VLOOKUP(BD$1,main!$A$3:$H$102,5,FALSE)-VLOOKUP($A153,main!$A$3:$H$102,6,FALSE)&gt;=main!$D$103+VLOOKUP(VLOOKUP(BD$1,main!$A$3:$I$102,7,FALSE),main!$K$26:$Q$29,4,FALSE)),1,0)</f>
        <v>0</v>
      </c>
      <c r="BE153">
        <f>IF(AND(VLOOKUP(BE$1,main!$A$3:$H$102,7,FALSE)=main!$G$104,VLOOKUP(BE$1,main!$A$3:$H$102,5,FALSE)-VLOOKUP($A153,main!$A$3:$H$102,6,FALSE)&gt;=main!$D$103+VLOOKUP(VLOOKUP(BE$1,main!$A$3:$I$102,7,FALSE),main!$K$26:$Q$29,4,FALSE)),1,0)</f>
        <v>0</v>
      </c>
      <c r="BF153">
        <f>IF(AND(VLOOKUP(BF$1,main!$A$3:$H$102,7,FALSE)=main!$G$104,VLOOKUP(BF$1,main!$A$3:$H$102,5,FALSE)-VLOOKUP($A153,main!$A$3:$H$102,6,FALSE)&gt;=main!$D$103+VLOOKUP(VLOOKUP(BF$1,main!$A$3:$I$102,7,FALSE),main!$K$26:$Q$29,4,FALSE)),1,0)</f>
        <v>0</v>
      </c>
      <c r="BG153">
        <f>IF(AND(VLOOKUP(BG$1,main!$A$3:$H$102,7,FALSE)=main!$G$104,VLOOKUP(BG$1,main!$A$3:$H$102,5,FALSE)-VLOOKUP($A153,main!$A$3:$H$102,6,FALSE)&gt;=main!$D$103+VLOOKUP(VLOOKUP(BG$1,main!$A$3:$I$102,7,FALSE),main!$K$26:$Q$29,4,FALSE)),1,0)</f>
        <v>0</v>
      </c>
      <c r="BH153">
        <f>IF(AND(VLOOKUP(BH$1,main!$A$3:$H$102,7,FALSE)=main!$G$104,VLOOKUP(BH$1,main!$A$3:$H$102,5,FALSE)-VLOOKUP($A153,main!$A$3:$H$102,6,FALSE)&gt;=main!$D$103+VLOOKUP(VLOOKUP(BH$1,main!$A$3:$I$102,7,FALSE),main!$K$26:$Q$29,4,FALSE)),1,0)</f>
        <v>0</v>
      </c>
      <c r="BI153">
        <f>IF(AND(VLOOKUP(BI$1,main!$A$3:$H$102,7,FALSE)=main!$G$104,VLOOKUP(BI$1,main!$A$3:$H$102,5,FALSE)-VLOOKUP($A153,main!$A$3:$H$102,6,FALSE)&gt;=main!$D$103+VLOOKUP(VLOOKUP(BI$1,main!$A$3:$I$102,7,FALSE),main!$K$26:$Q$29,4,FALSE)),1,0)</f>
        <v>0</v>
      </c>
      <c r="BJ153">
        <f>IF(AND(VLOOKUP(BJ$1,main!$A$3:$H$102,7,FALSE)=main!$G$104,VLOOKUP(BJ$1,main!$A$3:$H$102,5,FALSE)-VLOOKUP($A153,main!$A$3:$H$102,6,FALSE)&gt;=main!$D$103+VLOOKUP(VLOOKUP(BJ$1,main!$A$3:$I$102,7,FALSE),main!$K$26:$Q$29,4,FALSE)),1,0)</f>
        <v>0</v>
      </c>
      <c r="BK153">
        <f>IF(AND(VLOOKUP(BK$1,main!$A$3:$H$102,7,FALSE)=main!$G$104,VLOOKUP(BK$1,main!$A$3:$H$102,5,FALSE)-VLOOKUP($A153,main!$A$3:$H$102,6,FALSE)&gt;=main!$D$103+VLOOKUP(VLOOKUP(BK$1,main!$A$3:$I$102,7,FALSE),main!$K$26:$Q$29,4,FALSE)),1,0)</f>
        <v>0</v>
      </c>
      <c r="BL153">
        <f>IF(AND(VLOOKUP(BL$1,main!$A$3:$H$102,7,FALSE)=main!$G$104,VLOOKUP(BL$1,main!$A$3:$H$102,5,FALSE)-VLOOKUP($A153,main!$A$3:$H$102,6,FALSE)&gt;=main!$D$103+VLOOKUP(VLOOKUP(BL$1,main!$A$3:$I$102,7,FALSE),main!$K$26:$Q$29,4,FALSE)),1,0)</f>
        <v>0</v>
      </c>
      <c r="BM153">
        <f>IF(AND(VLOOKUP(BM$1,main!$A$3:$H$102,7,FALSE)=main!$G$104,VLOOKUP(BM$1,main!$A$3:$H$102,5,FALSE)-VLOOKUP($A153,main!$A$3:$H$102,6,FALSE)&gt;=main!$D$103+VLOOKUP(VLOOKUP(BM$1,main!$A$3:$I$102,7,FALSE),main!$K$26:$Q$29,4,FALSE)),1,0)</f>
        <v>0</v>
      </c>
      <c r="BN153">
        <f>IF(AND(VLOOKUP(BN$1,main!$A$3:$H$102,7,FALSE)=main!$G$104,VLOOKUP(BN$1,main!$A$3:$H$102,5,FALSE)-VLOOKUP($A153,main!$A$3:$H$102,6,FALSE)&gt;=main!$D$103+VLOOKUP(VLOOKUP(BN$1,main!$A$3:$I$102,7,FALSE),main!$K$26:$Q$29,4,FALSE)),1,0)</f>
        <v>0</v>
      </c>
      <c r="BO153">
        <f>IF(AND(VLOOKUP(BO$1,main!$A$3:$H$102,7,FALSE)=main!$G$104,VLOOKUP(BO$1,main!$A$3:$H$102,5,FALSE)-VLOOKUP($A153,main!$A$3:$H$102,6,FALSE)&gt;=main!$D$103+VLOOKUP(VLOOKUP(BO$1,main!$A$3:$I$102,7,FALSE),main!$K$26:$Q$29,4,FALSE)),1,0)</f>
        <v>0</v>
      </c>
      <c r="BP153">
        <f>IF(AND(VLOOKUP(BP$1,main!$A$3:$H$102,7,FALSE)=main!$G$104,VLOOKUP(BP$1,main!$A$3:$H$102,5,FALSE)-VLOOKUP($A153,main!$A$3:$H$102,6,FALSE)&gt;=main!$D$103+VLOOKUP(VLOOKUP(BP$1,main!$A$3:$I$102,7,FALSE),main!$K$26:$Q$29,4,FALSE)),1,0)</f>
        <v>0</v>
      </c>
      <c r="BQ153">
        <f>IF(AND(VLOOKUP(BQ$1,main!$A$3:$H$102,7,FALSE)=main!$G$104,VLOOKUP(BQ$1,main!$A$3:$H$102,5,FALSE)-VLOOKUP($A153,main!$A$3:$H$102,6,FALSE)&gt;=main!$D$103+VLOOKUP(VLOOKUP(BQ$1,main!$A$3:$I$102,7,FALSE),main!$K$26:$Q$29,4,FALSE)),1,0)</f>
        <v>0</v>
      </c>
      <c r="BR153">
        <f>IF(AND(VLOOKUP(BR$1,main!$A$3:$H$102,7,FALSE)=main!$G$104,VLOOKUP(BR$1,main!$A$3:$H$102,5,FALSE)-VLOOKUP($A153,main!$A$3:$H$102,6,FALSE)&gt;=main!$D$103+VLOOKUP(VLOOKUP(BR$1,main!$A$3:$I$102,7,FALSE),main!$K$26:$Q$29,4,FALSE)),1,0)</f>
        <v>0</v>
      </c>
      <c r="BS153">
        <f>IF(AND(VLOOKUP(BS$1,main!$A$3:$H$102,7,FALSE)=main!$G$104,VLOOKUP(BS$1,main!$A$3:$H$102,5,FALSE)-VLOOKUP($A153,main!$A$3:$H$102,6,FALSE)&gt;=main!$D$103+VLOOKUP(VLOOKUP(BS$1,main!$A$3:$I$102,7,FALSE),main!$K$26:$Q$29,4,FALSE)),1,0)</f>
        <v>0</v>
      </c>
      <c r="BT153">
        <f>IF(AND(VLOOKUP(BT$1,main!$A$3:$H$102,7,FALSE)=main!$G$104,VLOOKUP(BT$1,main!$A$3:$H$102,5,FALSE)-VLOOKUP($A153,main!$A$3:$H$102,6,FALSE)&gt;=main!$D$103+VLOOKUP(VLOOKUP(BT$1,main!$A$3:$I$102,7,FALSE),main!$K$26:$Q$29,4,FALSE)),1,0)</f>
        <v>0</v>
      </c>
      <c r="BU153">
        <f>IF(AND(VLOOKUP(BU$1,main!$A$3:$H$102,7,FALSE)=main!$G$104,VLOOKUP(BU$1,main!$A$3:$H$102,5,FALSE)-VLOOKUP($A153,main!$A$3:$H$102,6,FALSE)&gt;=main!$D$103+VLOOKUP(VLOOKUP(BU$1,main!$A$3:$I$102,7,FALSE),main!$K$26:$Q$29,4,FALSE)),1,0)</f>
        <v>0</v>
      </c>
      <c r="BV153">
        <f>IF(AND(VLOOKUP(BV$1,main!$A$3:$H$102,7,FALSE)=main!$G$104,VLOOKUP(BV$1,main!$A$3:$H$102,5,FALSE)-VLOOKUP($A153,main!$A$3:$H$102,6,FALSE)&gt;=main!$D$103+VLOOKUP(VLOOKUP(BV$1,main!$A$3:$I$102,7,FALSE),main!$K$26:$Q$29,4,FALSE)),1,0)</f>
        <v>0</v>
      </c>
      <c r="BW153">
        <f>IF(AND(VLOOKUP(BW$1,main!$A$3:$H$102,7,FALSE)=main!$G$104,VLOOKUP(BW$1,main!$A$3:$H$102,5,FALSE)-VLOOKUP($A153,main!$A$3:$H$102,6,FALSE)&gt;=main!$D$103+VLOOKUP(VLOOKUP(BW$1,main!$A$3:$I$102,7,FALSE),main!$K$26:$Q$29,4,FALSE)),1,0)</f>
        <v>0</v>
      </c>
      <c r="BX153">
        <f>IF(AND(VLOOKUP(BX$1,main!$A$3:$H$102,7,FALSE)=main!$G$104,VLOOKUP(BX$1,main!$A$3:$H$102,5,FALSE)-VLOOKUP($A153,main!$A$3:$H$102,6,FALSE)&gt;=main!$D$103+VLOOKUP(VLOOKUP(BX$1,main!$A$3:$I$102,7,FALSE),main!$K$26:$Q$29,4,FALSE)),1,0)</f>
        <v>0</v>
      </c>
      <c r="BY153">
        <f>IF(AND(VLOOKUP(BY$1,main!$A$3:$H$102,7,FALSE)=main!$G$104,VLOOKUP(BY$1,main!$A$3:$H$102,5,FALSE)-VLOOKUP($A153,main!$A$3:$H$102,6,FALSE)&gt;=main!$D$103+VLOOKUP(VLOOKUP(BY$1,main!$A$3:$I$102,7,FALSE),main!$K$26:$Q$29,4,FALSE)),1,0)</f>
        <v>0</v>
      </c>
      <c r="BZ153">
        <f>IF(AND(VLOOKUP(BZ$1,main!$A$3:$H$102,7,FALSE)=main!$G$104,VLOOKUP(BZ$1,main!$A$3:$H$102,5,FALSE)-VLOOKUP($A153,main!$A$3:$H$102,6,FALSE)&gt;=main!$D$103+VLOOKUP(VLOOKUP(BZ$1,main!$A$3:$I$102,7,FALSE),main!$K$26:$Q$29,4,FALSE)),1,0)</f>
        <v>0</v>
      </c>
      <c r="CA153">
        <f>IF(AND(VLOOKUP(CA$1,main!$A$3:$H$102,7,FALSE)=main!$G$104,VLOOKUP(CA$1,main!$A$3:$H$102,5,FALSE)-VLOOKUP($A153,main!$A$3:$H$102,6,FALSE)&gt;=main!$D$103+VLOOKUP(VLOOKUP(CA$1,main!$A$3:$I$102,7,FALSE),main!$K$26:$Q$29,4,FALSE)),1,0)</f>
        <v>0</v>
      </c>
      <c r="CB153">
        <f>IF(AND(VLOOKUP(CB$1,main!$A$3:$H$102,7,FALSE)=main!$G$104,VLOOKUP(CB$1,main!$A$3:$H$102,5,FALSE)-VLOOKUP($A153,main!$A$3:$H$102,6,FALSE)&gt;=main!$D$103+VLOOKUP(VLOOKUP(CB$1,main!$A$3:$I$102,7,FALSE),main!$K$26:$Q$29,4,FALSE)),1,0)</f>
        <v>0</v>
      </c>
      <c r="CC153">
        <f>IF(AND(VLOOKUP(CC$1,main!$A$3:$H$102,7,FALSE)=main!$G$104,VLOOKUP(CC$1,main!$A$3:$H$102,5,FALSE)-VLOOKUP($A153,main!$A$3:$H$102,6,FALSE)&gt;=main!$D$103+VLOOKUP(VLOOKUP(CC$1,main!$A$3:$I$102,7,FALSE),main!$K$26:$Q$29,4,FALSE)),1,0)</f>
        <v>0</v>
      </c>
      <c r="CD153">
        <f>IF(AND(VLOOKUP(CD$1,main!$A$3:$H$102,7,FALSE)=main!$G$104,VLOOKUP(CD$1,main!$A$3:$H$102,5,FALSE)-VLOOKUP($A153,main!$A$3:$H$102,6,FALSE)&gt;=main!$D$103+VLOOKUP(VLOOKUP(CD$1,main!$A$3:$I$102,7,FALSE),main!$K$26:$Q$29,4,FALSE)),1,0)</f>
        <v>0</v>
      </c>
      <c r="CE153">
        <f>IF(AND(VLOOKUP(CE$1,main!$A$3:$H$102,7,FALSE)=main!$G$104,VLOOKUP(CE$1,main!$A$3:$H$102,5,FALSE)-VLOOKUP($A153,main!$A$3:$H$102,6,FALSE)&gt;=main!$D$103+VLOOKUP(VLOOKUP(CE$1,main!$A$3:$I$102,7,FALSE),main!$K$26:$Q$29,4,FALSE)),1,0)</f>
        <v>0</v>
      </c>
      <c r="CF153">
        <f>IF(AND(VLOOKUP(CF$1,main!$A$3:$H$102,7,FALSE)=main!$G$104,VLOOKUP(CF$1,main!$A$3:$H$102,5,FALSE)-VLOOKUP($A153,main!$A$3:$H$102,6,FALSE)&gt;=main!$D$103+VLOOKUP(VLOOKUP(CF$1,main!$A$3:$I$102,7,FALSE),main!$K$26:$Q$29,4,FALSE)),1,0)</f>
        <v>0</v>
      </c>
      <c r="CG153">
        <f>IF(AND(VLOOKUP(CG$1,main!$A$3:$H$102,7,FALSE)=main!$G$104,VLOOKUP(CG$1,main!$A$3:$H$102,5,FALSE)-VLOOKUP($A153,main!$A$3:$H$102,6,FALSE)&gt;=main!$D$103+VLOOKUP(VLOOKUP(CG$1,main!$A$3:$I$102,7,FALSE),main!$K$26:$Q$29,4,FALSE)),1,0)</f>
        <v>0</v>
      </c>
      <c r="CH153">
        <f>IF(AND(VLOOKUP(CH$1,main!$A$3:$H$102,7,FALSE)=main!$G$104,VLOOKUP(CH$1,main!$A$3:$H$102,5,FALSE)-VLOOKUP($A153,main!$A$3:$H$102,6,FALSE)&gt;=main!$D$103+VLOOKUP(VLOOKUP(CH$1,main!$A$3:$I$102,7,FALSE),main!$K$26:$Q$29,4,FALSE)),1,0)</f>
        <v>0</v>
      </c>
      <c r="CI153">
        <f>IF(AND(VLOOKUP(CI$1,main!$A$3:$H$102,7,FALSE)=main!$G$104,VLOOKUP(CI$1,main!$A$3:$H$102,5,FALSE)-VLOOKUP($A153,main!$A$3:$H$102,6,FALSE)&gt;=main!$D$103+VLOOKUP(VLOOKUP(CI$1,main!$A$3:$I$102,7,FALSE),main!$K$26:$Q$29,4,FALSE)),1,0)</f>
        <v>0</v>
      </c>
      <c r="CJ153">
        <f>IF(AND(VLOOKUP(CJ$1,main!$A$3:$H$102,7,FALSE)=main!$G$104,VLOOKUP(CJ$1,main!$A$3:$H$102,5,FALSE)-VLOOKUP($A153,main!$A$3:$H$102,6,FALSE)&gt;=main!$D$103+VLOOKUP(VLOOKUP(CJ$1,main!$A$3:$I$102,7,FALSE),main!$K$26:$Q$29,4,FALSE)),1,0)</f>
        <v>0</v>
      </c>
      <c r="CK153">
        <f>IF(AND(VLOOKUP(CK$1,main!$A$3:$H$102,7,FALSE)=main!$G$104,VLOOKUP(CK$1,main!$A$3:$H$102,5,FALSE)-VLOOKUP($A153,main!$A$3:$H$102,6,FALSE)&gt;=main!$D$103+VLOOKUP(VLOOKUP(CK$1,main!$A$3:$I$102,7,FALSE),main!$K$26:$Q$29,4,FALSE)),1,0)</f>
        <v>0</v>
      </c>
      <c r="CL153">
        <f>IF(AND(VLOOKUP(CL$1,main!$A$3:$H$102,7,FALSE)=main!$G$104,VLOOKUP(CL$1,main!$A$3:$H$102,5,FALSE)-VLOOKUP($A153,main!$A$3:$H$102,6,FALSE)&gt;=main!$D$103+VLOOKUP(VLOOKUP(CL$1,main!$A$3:$I$102,7,FALSE),main!$K$26:$Q$29,4,FALSE)),1,0)</f>
        <v>0</v>
      </c>
      <c r="CM153">
        <f>IF(AND(VLOOKUP(CM$1,main!$A$3:$H$102,7,FALSE)=main!$G$104,VLOOKUP(CM$1,main!$A$3:$H$102,5,FALSE)-VLOOKUP($A153,main!$A$3:$H$102,6,FALSE)&gt;=main!$D$103+VLOOKUP(VLOOKUP(CM$1,main!$A$3:$I$102,7,FALSE),main!$K$26:$Q$29,4,FALSE)),1,0)</f>
        <v>0</v>
      </c>
      <c r="CN153">
        <f>IF(AND(VLOOKUP(CN$1,main!$A$3:$H$102,7,FALSE)=main!$G$104,VLOOKUP(CN$1,main!$A$3:$H$102,5,FALSE)-VLOOKUP($A153,main!$A$3:$H$102,6,FALSE)&gt;=main!$D$103+VLOOKUP(VLOOKUP(CN$1,main!$A$3:$I$102,7,FALSE),main!$K$26:$Q$29,4,FALSE)),1,0)</f>
        <v>0</v>
      </c>
      <c r="CO153">
        <f>IF(AND(VLOOKUP(CO$1,main!$A$3:$H$102,7,FALSE)=main!$G$104,VLOOKUP(CO$1,main!$A$3:$H$102,5,FALSE)-VLOOKUP($A153,main!$A$3:$H$102,6,FALSE)&gt;=main!$D$103+VLOOKUP(VLOOKUP(CO$1,main!$A$3:$I$102,7,FALSE),main!$K$26:$Q$29,4,FALSE)),1,0)</f>
        <v>0</v>
      </c>
      <c r="CP153">
        <f>IF(AND(VLOOKUP(CP$1,main!$A$3:$H$102,7,FALSE)=main!$G$104,VLOOKUP(CP$1,main!$A$3:$H$102,5,FALSE)-VLOOKUP($A153,main!$A$3:$H$102,6,FALSE)&gt;=main!$D$103+VLOOKUP(VLOOKUP(CP$1,main!$A$3:$I$102,7,FALSE),main!$K$26:$Q$29,4,FALSE)),1,0)</f>
        <v>0</v>
      </c>
      <c r="CQ153">
        <f>IF(AND(VLOOKUP(CQ$1,main!$A$3:$H$102,7,FALSE)=main!$G$104,VLOOKUP(CQ$1,main!$A$3:$H$102,5,FALSE)-VLOOKUP($A153,main!$A$3:$H$102,6,FALSE)&gt;=main!$D$103+VLOOKUP(VLOOKUP(CQ$1,main!$A$3:$I$102,7,FALSE),main!$K$26:$Q$29,4,FALSE)),1,0)</f>
        <v>0</v>
      </c>
      <c r="CR153">
        <f>IF(AND(VLOOKUP(CR$1,main!$A$3:$H$102,7,FALSE)=main!$G$104,VLOOKUP(CR$1,main!$A$3:$H$102,5,FALSE)-VLOOKUP($A153,main!$A$3:$H$102,6,FALSE)&gt;=main!$D$103+VLOOKUP(VLOOKUP(CR$1,main!$A$3:$I$102,7,FALSE),main!$K$26:$Q$29,4,FALSE)),1,0)</f>
        <v>0</v>
      </c>
      <c r="CS153">
        <f>IF(AND(VLOOKUP(CS$1,main!$A$3:$H$102,7,FALSE)=main!$G$104,VLOOKUP(CS$1,main!$A$3:$H$102,5,FALSE)-VLOOKUP($A153,main!$A$3:$H$102,6,FALSE)&gt;=main!$D$103+VLOOKUP(VLOOKUP(CS$1,main!$A$3:$I$102,7,FALSE),main!$K$26:$Q$29,4,FALSE)),1,0)</f>
        <v>0</v>
      </c>
      <c r="CT153">
        <f>IF(AND(VLOOKUP(CT$1,main!$A$3:$H$102,7,FALSE)=main!$G$104,VLOOKUP(CT$1,main!$A$3:$H$102,5,FALSE)-VLOOKUP($A153,main!$A$3:$H$102,6,FALSE)&gt;=main!$D$103+VLOOKUP(VLOOKUP(CT$1,main!$A$3:$I$102,7,FALSE),main!$K$26:$Q$29,4,FALSE)),1,0)</f>
        <v>0</v>
      </c>
      <c r="CU153">
        <f>IF(AND(VLOOKUP(CU$1,main!$A$3:$H$102,7,FALSE)=main!$G$104,VLOOKUP(CU$1,main!$A$3:$H$102,5,FALSE)-VLOOKUP($A153,main!$A$3:$H$102,6,FALSE)&gt;=main!$D$103+VLOOKUP(VLOOKUP(CU$1,main!$A$3:$I$102,7,FALSE),main!$K$26:$Q$29,4,FALSE)),1,0)</f>
        <v>0</v>
      </c>
      <c r="CV153">
        <f>IF(AND(VLOOKUP(CV$1,main!$A$3:$H$102,7,FALSE)=main!$G$104,VLOOKUP(CV$1,main!$A$3:$H$102,5,FALSE)-VLOOKUP($A153,main!$A$3:$H$102,6,FALSE)&gt;=main!$D$103+VLOOKUP(VLOOKUP(CV$1,main!$A$3:$I$102,7,FALSE),main!$K$26:$Q$29,4,FALSE)),1,0)</f>
        <v>0</v>
      </c>
      <c r="CW153">
        <f>IF(AND(VLOOKUP(CW$1,main!$A$3:$H$102,7,FALSE)=main!$G$104,VLOOKUP(CW$1,main!$A$3:$H$102,5,FALSE)-VLOOKUP($A153,main!$A$3:$H$102,6,FALSE)&gt;=main!$D$103+VLOOKUP(VLOOKUP(CW$1,main!$A$3:$I$102,7,FALSE),main!$K$26:$Q$29,4,FALSE)),1,0)</f>
        <v>0</v>
      </c>
      <c r="CX153">
        <f>IF(AND(VLOOKUP(CX$1,main!$A$3:$H$102,7,FALSE)=main!$G$104,VLOOKUP(CX$1,main!$A$3:$H$102,5,FALSE)-VLOOKUP($A153,main!$A$3:$H$102,6,FALSE)&gt;=main!$D$103+VLOOKUP(VLOOKUP(CX$1,main!$A$3:$I$102,7,FALSE),main!$K$26:$Q$29,4,FALSE)),1,0)</f>
        <v>0</v>
      </c>
    </row>
    <row r="154" spans="1:106" x14ac:dyDescent="0.25">
      <c r="A154" s="1">
        <v>51</v>
      </c>
      <c r="B154">
        <v>0</v>
      </c>
      <c r="C154">
        <f>IF(AND(VLOOKUP(C$1,main!$A$3:$H$102,7,FALSE)=main!$G$104,VLOOKUP(C$1,main!$A$3:$H$102,5,FALSE)-VLOOKUP($A154,main!$A$3:$H$102,6,FALSE)&gt;=main!$D$103+VLOOKUP(VLOOKUP(C$1,main!$A$3:$I$102,7,FALSE),main!$K$26:$Q$29,4,FALSE)),1,0)</f>
        <v>0</v>
      </c>
      <c r="D154">
        <f>IF(AND(VLOOKUP(D$1,main!$A$3:$H$102,7,FALSE)=main!$G$104,VLOOKUP(D$1,main!$A$3:$H$102,5,FALSE)-VLOOKUP($A154,main!$A$3:$H$102,6,FALSE)&gt;=main!$D$103+VLOOKUP(VLOOKUP(D$1,main!$A$3:$I$102,7,FALSE),main!$K$26:$Q$29,4,FALSE)),1,0)</f>
        <v>0</v>
      </c>
      <c r="E154">
        <f>IF(AND(VLOOKUP(E$1,main!$A$3:$H$102,7,FALSE)=main!$G$104,VLOOKUP(E$1,main!$A$3:$H$102,5,FALSE)-VLOOKUP($A154,main!$A$3:$H$102,6,FALSE)&gt;=main!$D$103+VLOOKUP(VLOOKUP(E$1,main!$A$3:$I$102,7,FALSE),main!$K$26:$Q$29,4,FALSE)),1,0)</f>
        <v>0</v>
      </c>
      <c r="F154">
        <f>IF(AND(VLOOKUP(F$1,main!$A$3:$H$102,7,FALSE)=main!$G$104,VLOOKUP(F$1,main!$A$3:$H$102,5,FALSE)-VLOOKUP($A154,main!$A$3:$H$102,6,FALSE)&gt;=main!$D$103+VLOOKUP(VLOOKUP(F$1,main!$A$3:$I$102,7,FALSE),main!$K$26:$Q$29,4,FALSE)),1,0)</f>
        <v>0</v>
      </c>
      <c r="G154">
        <f>IF(AND(VLOOKUP(G$1,main!$A$3:$H$102,7,FALSE)=main!$G$104,VLOOKUP(G$1,main!$A$3:$H$102,5,FALSE)-VLOOKUP($A154,main!$A$3:$H$102,6,FALSE)&gt;=main!$D$103+VLOOKUP(VLOOKUP(G$1,main!$A$3:$I$102,7,FALSE),main!$K$26:$Q$29,4,FALSE)),1,0)</f>
        <v>1</v>
      </c>
      <c r="H154">
        <f>IF(AND(VLOOKUP(H$1,main!$A$3:$H$102,7,FALSE)=main!$G$104,VLOOKUP(H$1,main!$A$3:$H$102,5,FALSE)-VLOOKUP($A154,main!$A$3:$H$102,6,FALSE)&gt;=main!$D$103+VLOOKUP(VLOOKUP(H$1,main!$A$3:$I$102,7,FALSE),main!$K$26:$Q$29,4,FALSE)),1,0)</f>
        <v>1</v>
      </c>
      <c r="I154">
        <f>IF(AND(VLOOKUP(I$1,main!$A$3:$H$102,7,FALSE)=main!$G$104,VLOOKUP(I$1,main!$A$3:$H$102,5,FALSE)-VLOOKUP($A154,main!$A$3:$H$102,6,FALSE)&gt;=main!$D$103+VLOOKUP(VLOOKUP(I$1,main!$A$3:$I$102,7,FALSE),main!$K$26:$Q$29,4,FALSE)),1,0)</f>
        <v>1</v>
      </c>
      <c r="J154">
        <f>IF(AND(VLOOKUP(J$1,main!$A$3:$H$102,7,FALSE)=main!$G$104,VLOOKUP(J$1,main!$A$3:$H$102,5,FALSE)-VLOOKUP($A154,main!$A$3:$H$102,6,FALSE)&gt;=main!$D$103+VLOOKUP(VLOOKUP(J$1,main!$A$3:$I$102,7,FALSE),main!$K$26:$Q$29,4,FALSE)),1,0)</f>
        <v>1</v>
      </c>
      <c r="K154">
        <f>IF(AND(VLOOKUP(K$1,main!$A$3:$H$102,7,FALSE)=main!$G$104,VLOOKUP(K$1,main!$A$3:$H$102,5,FALSE)-VLOOKUP($A154,main!$A$3:$H$102,6,FALSE)&gt;=main!$D$103+VLOOKUP(VLOOKUP(K$1,main!$A$3:$I$102,7,FALSE),main!$K$26:$Q$29,4,FALSE)),1,0)</f>
        <v>1</v>
      </c>
      <c r="L154">
        <f>IF(AND(VLOOKUP(L$1,main!$A$3:$H$102,7,FALSE)=main!$G$104,VLOOKUP(L$1,main!$A$3:$H$102,5,FALSE)-VLOOKUP($A154,main!$A$3:$H$102,6,FALSE)&gt;=main!$D$103+VLOOKUP(VLOOKUP(L$1,main!$A$3:$I$102,7,FALSE),main!$K$26:$Q$29,4,FALSE)),1,0)</f>
        <v>1</v>
      </c>
      <c r="M154">
        <f>IF(AND(VLOOKUP(M$1,main!$A$3:$H$102,7,FALSE)=main!$G$104,VLOOKUP(M$1,main!$A$3:$H$102,5,FALSE)-VLOOKUP($A154,main!$A$3:$H$102,6,FALSE)&gt;=main!$D$103+VLOOKUP(VLOOKUP(M$1,main!$A$3:$I$102,7,FALSE),main!$K$26:$Q$29,4,FALSE)),1,0)</f>
        <v>0</v>
      </c>
      <c r="N154">
        <f>IF(AND(VLOOKUP(N$1,main!$A$3:$H$102,7,FALSE)=main!$G$104,VLOOKUP(N$1,main!$A$3:$H$102,5,FALSE)-VLOOKUP($A154,main!$A$3:$H$102,6,FALSE)&gt;=main!$D$103+VLOOKUP(VLOOKUP(N$1,main!$A$3:$I$102,7,FALSE),main!$K$26:$Q$29,4,FALSE)),1,0)</f>
        <v>0</v>
      </c>
      <c r="O154">
        <f>IF(AND(VLOOKUP(O$1,main!$A$3:$H$102,7,FALSE)=main!$G$104,VLOOKUP(O$1,main!$A$3:$H$102,5,FALSE)-VLOOKUP($A154,main!$A$3:$H$102,6,FALSE)&gt;=main!$D$103+VLOOKUP(VLOOKUP(O$1,main!$A$3:$I$102,7,FALSE),main!$K$26:$Q$29,4,FALSE)),1,0)</f>
        <v>0</v>
      </c>
      <c r="P154">
        <f>IF(AND(VLOOKUP(P$1,main!$A$3:$H$102,7,FALSE)=main!$G$104,VLOOKUP(P$1,main!$A$3:$H$102,5,FALSE)-VLOOKUP($A154,main!$A$3:$H$102,6,FALSE)&gt;=main!$D$103+VLOOKUP(VLOOKUP(P$1,main!$A$3:$I$102,7,FALSE),main!$K$26:$Q$29,4,FALSE)),1,0)</f>
        <v>0</v>
      </c>
      <c r="Q154">
        <f>IF(AND(VLOOKUP(Q$1,main!$A$3:$H$102,7,FALSE)=main!$G$104,VLOOKUP(Q$1,main!$A$3:$H$102,5,FALSE)-VLOOKUP($A154,main!$A$3:$H$102,6,FALSE)&gt;=main!$D$103+VLOOKUP(VLOOKUP(Q$1,main!$A$3:$I$102,7,FALSE),main!$K$26:$Q$29,4,FALSE)),1,0)</f>
        <v>0</v>
      </c>
      <c r="R154">
        <f>IF(AND(VLOOKUP(R$1,main!$A$3:$H$102,7,FALSE)=main!$G$104,VLOOKUP(R$1,main!$A$3:$H$102,5,FALSE)-VLOOKUP($A154,main!$A$3:$H$102,6,FALSE)&gt;=main!$D$103+VLOOKUP(VLOOKUP(R$1,main!$A$3:$I$102,7,FALSE),main!$K$26:$Q$29,4,FALSE)),1,0)</f>
        <v>1</v>
      </c>
      <c r="S154">
        <f>IF(AND(VLOOKUP(S$1,main!$A$3:$H$102,7,FALSE)=main!$G$104,VLOOKUP(S$1,main!$A$3:$H$102,5,FALSE)-VLOOKUP($A154,main!$A$3:$H$102,6,FALSE)&gt;=main!$D$103+VLOOKUP(VLOOKUP(S$1,main!$A$3:$I$102,7,FALSE),main!$K$26:$Q$29,4,FALSE)),1,0)</f>
        <v>1</v>
      </c>
      <c r="T154">
        <f>IF(AND(VLOOKUP(T$1,main!$A$3:$H$102,7,FALSE)=main!$G$104,VLOOKUP(T$1,main!$A$3:$H$102,5,FALSE)-VLOOKUP($A154,main!$A$3:$H$102,6,FALSE)&gt;=main!$D$103+VLOOKUP(VLOOKUP(T$1,main!$A$3:$I$102,7,FALSE),main!$K$26:$Q$29,4,FALSE)),1,0)</f>
        <v>1</v>
      </c>
      <c r="U154">
        <f>IF(AND(VLOOKUP(U$1,main!$A$3:$H$102,7,FALSE)=main!$G$104,VLOOKUP(U$1,main!$A$3:$H$102,5,FALSE)-VLOOKUP($A154,main!$A$3:$H$102,6,FALSE)&gt;=main!$D$103+VLOOKUP(VLOOKUP(U$1,main!$A$3:$I$102,7,FALSE),main!$K$26:$Q$29,4,FALSE)),1,0)</f>
        <v>1</v>
      </c>
      <c r="V154">
        <f>IF(AND(VLOOKUP(V$1,main!$A$3:$H$102,7,FALSE)=main!$G$104,VLOOKUP(V$1,main!$A$3:$H$102,5,FALSE)-VLOOKUP($A154,main!$A$3:$H$102,6,FALSE)&gt;=main!$D$103+VLOOKUP(VLOOKUP(V$1,main!$A$3:$I$102,7,FALSE),main!$K$26:$Q$29,4,FALSE)),1,0)</f>
        <v>1</v>
      </c>
      <c r="W154">
        <f>IF(AND(VLOOKUP(W$1,main!$A$3:$H$102,7,FALSE)=main!$G$104,VLOOKUP(W$1,main!$A$3:$H$102,5,FALSE)-VLOOKUP($A154,main!$A$3:$H$102,6,FALSE)&gt;=main!$D$103+VLOOKUP(VLOOKUP(W$1,main!$A$3:$I$102,7,FALSE),main!$K$26:$Q$29,4,FALSE)),1,0)</f>
        <v>0</v>
      </c>
      <c r="X154">
        <f>IF(AND(VLOOKUP(X$1,main!$A$3:$H$102,7,FALSE)=main!$G$104,VLOOKUP(X$1,main!$A$3:$H$102,5,FALSE)-VLOOKUP($A154,main!$A$3:$H$102,6,FALSE)&gt;=main!$D$103+VLOOKUP(VLOOKUP(X$1,main!$A$3:$I$102,7,FALSE),main!$K$26:$Q$29,4,FALSE)),1,0)</f>
        <v>0</v>
      </c>
      <c r="Y154">
        <f>IF(AND(VLOOKUP(Y$1,main!$A$3:$H$102,7,FALSE)=main!$G$104,VLOOKUP(Y$1,main!$A$3:$H$102,5,FALSE)-VLOOKUP($A154,main!$A$3:$H$102,6,FALSE)&gt;=main!$D$103+VLOOKUP(VLOOKUP(Y$1,main!$A$3:$I$102,7,FALSE),main!$K$26:$Q$29,4,FALSE)),1,0)</f>
        <v>1</v>
      </c>
      <c r="Z154">
        <f>IF(AND(VLOOKUP(Z$1,main!$A$3:$H$102,7,FALSE)=main!$G$104,VLOOKUP(Z$1,main!$A$3:$H$102,5,FALSE)-VLOOKUP($A154,main!$A$3:$H$102,6,FALSE)&gt;=main!$D$103+VLOOKUP(VLOOKUP(Z$1,main!$A$3:$I$102,7,FALSE),main!$K$26:$Q$29,4,FALSE)),1,0)</f>
        <v>1</v>
      </c>
      <c r="AA154">
        <f>IF(AND(VLOOKUP(AA$1,main!$A$3:$H$102,7,FALSE)=main!$G$104,VLOOKUP(AA$1,main!$A$3:$H$102,5,FALSE)-VLOOKUP($A154,main!$A$3:$H$102,6,FALSE)&gt;=main!$D$103+VLOOKUP(VLOOKUP(AA$1,main!$A$3:$I$102,7,FALSE),main!$K$26:$Q$29,4,FALSE)),1,0)</f>
        <v>1</v>
      </c>
      <c r="AB154">
        <f>IF(AND(VLOOKUP(AB$1,main!$A$3:$H$102,7,FALSE)=main!$G$104,VLOOKUP(AB$1,main!$A$3:$H$102,5,FALSE)-VLOOKUP($A154,main!$A$3:$H$102,6,FALSE)&gt;=main!$D$103+VLOOKUP(VLOOKUP(AB$1,main!$A$3:$I$102,7,FALSE),main!$K$26:$Q$29,4,FALSE)),1,0)</f>
        <v>0</v>
      </c>
      <c r="AC154">
        <f>IF(AND(VLOOKUP(AC$1,main!$A$3:$H$102,7,FALSE)=main!$G$104,VLOOKUP(AC$1,main!$A$3:$H$102,5,FALSE)-VLOOKUP($A154,main!$A$3:$H$102,6,FALSE)&gt;=main!$D$103+VLOOKUP(VLOOKUP(AC$1,main!$A$3:$I$102,7,FALSE),main!$K$26:$Q$29,4,FALSE)),1,0)</f>
        <v>0</v>
      </c>
      <c r="AD154">
        <f>IF(AND(VLOOKUP(AD$1,main!$A$3:$H$102,7,FALSE)=main!$G$104,VLOOKUP(AD$1,main!$A$3:$H$102,5,FALSE)-VLOOKUP($A154,main!$A$3:$H$102,6,FALSE)&gt;=main!$D$103+VLOOKUP(VLOOKUP(AD$1,main!$A$3:$I$102,7,FALSE),main!$K$26:$Q$29,4,FALSE)),1,0)</f>
        <v>0</v>
      </c>
      <c r="AE154">
        <f>IF(AND(VLOOKUP(AE$1,main!$A$3:$H$102,7,FALSE)=main!$G$104,VLOOKUP(AE$1,main!$A$3:$H$102,5,FALSE)-VLOOKUP($A154,main!$A$3:$H$102,6,FALSE)&gt;=main!$D$103+VLOOKUP(VLOOKUP(AE$1,main!$A$3:$I$102,7,FALSE),main!$K$26:$Q$29,4,FALSE)),1,0)</f>
        <v>1</v>
      </c>
      <c r="AF154">
        <f>IF(AND(VLOOKUP(AF$1,main!$A$3:$H$102,7,FALSE)=main!$G$104,VLOOKUP(AF$1,main!$A$3:$H$102,5,FALSE)-VLOOKUP($A154,main!$A$3:$H$102,6,FALSE)&gt;=main!$D$103+VLOOKUP(VLOOKUP(AF$1,main!$A$3:$I$102,7,FALSE),main!$K$26:$Q$29,4,FALSE)),1,0)</f>
        <v>1</v>
      </c>
      <c r="AG154">
        <f>IF(AND(VLOOKUP(AG$1,main!$A$3:$H$102,7,FALSE)=main!$G$104,VLOOKUP(AG$1,main!$A$3:$H$102,5,FALSE)-VLOOKUP($A154,main!$A$3:$H$102,6,FALSE)&gt;=main!$D$103+VLOOKUP(VLOOKUP(AG$1,main!$A$3:$I$102,7,FALSE),main!$K$26:$Q$29,4,FALSE)),1,0)</f>
        <v>0</v>
      </c>
      <c r="AH154">
        <f>IF(AND(VLOOKUP(AH$1,main!$A$3:$H$102,7,FALSE)=main!$G$104,VLOOKUP(AH$1,main!$A$3:$H$102,5,FALSE)-VLOOKUP($A154,main!$A$3:$H$102,6,FALSE)&gt;=main!$D$103+VLOOKUP(VLOOKUP(AH$1,main!$A$3:$I$102,7,FALSE),main!$K$26:$Q$29,4,FALSE)),1,0)</f>
        <v>0</v>
      </c>
      <c r="AI154">
        <f>IF(AND(VLOOKUP(AI$1,main!$A$3:$H$102,7,FALSE)=main!$G$104,VLOOKUP(AI$1,main!$A$3:$H$102,5,FALSE)-VLOOKUP($A154,main!$A$3:$H$102,6,FALSE)&gt;=main!$D$103+VLOOKUP(VLOOKUP(AI$1,main!$A$3:$I$102,7,FALSE),main!$K$26:$Q$29,4,FALSE)),1,0)</f>
        <v>0</v>
      </c>
      <c r="AJ154">
        <f>IF(AND(VLOOKUP(AJ$1,main!$A$3:$H$102,7,FALSE)=main!$G$104,VLOOKUP(AJ$1,main!$A$3:$H$102,5,FALSE)-VLOOKUP($A154,main!$A$3:$H$102,6,FALSE)&gt;=main!$D$103+VLOOKUP(VLOOKUP(AJ$1,main!$A$3:$I$102,7,FALSE),main!$K$26:$Q$29,4,FALSE)),1,0)</f>
        <v>0</v>
      </c>
      <c r="AK154">
        <f>IF(AND(VLOOKUP(AK$1,main!$A$3:$H$102,7,FALSE)=main!$G$104,VLOOKUP(AK$1,main!$A$3:$H$102,5,FALSE)-VLOOKUP($A154,main!$A$3:$H$102,6,FALSE)&gt;=main!$D$103+VLOOKUP(VLOOKUP(AK$1,main!$A$3:$I$102,7,FALSE),main!$K$26:$Q$29,4,FALSE)),1,0)</f>
        <v>0</v>
      </c>
      <c r="AL154">
        <f>IF(AND(VLOOKUP(AL$1,main!$A$3:$H$102,7,FALSE)=main!$G$104,VLOOKUP(AL$1,main!$A$3:$H$102,5,FALSE)-VLOOKUP($A154,main!$A$3:$H$102,6,FALSE)&gt;=main!$D$103+VLOOKUP(VLOOKUP(AL$1,main!$A$3:$I$102,7,FALSE),main!$K$26:$Q$29,4,FALSE)),1,0)</f>
        <v>0</v>
      </c>
      <c r="AM154">
        <f>IF(AND(VLOOKUP(AM$1,main!$A$3:$H$102,7,FALSE)=main!$G$104,VLOOKUP(AM$1,main!$A$3:$H$102,5,FALSE)-VLOOKUP($A154,main!$A$3:$H$102,6,FALSE)&gt;=main!$D$103+VLOOKUP(VLOOKUP(AM$1,main!$A$3:$I$102,7,FALSE),main!$K$26:$Q$29,4,FALSE)),1,0)</f>
        <v>0</v>
      </c>
      <c r="AN154">
        <f>IF(AND(VLOOKUP(AN$1,main!$A$3:$H$102,7,FALSE)=main!$G$104,VLOOKUP(AN$1,main!$A$3:$H$102,5,FALSE)-VLOOKUP($A154,main!$A$3:$H$102,6,FALSE)&gt;=main!$D$103+VLOOKUP(VLOOKUP(AN$1,main!$A$3:$I$102,7,FALSE),main!$K$26:$Q$29,4,FALSE)),1,0)</f>
        <v>0</v>
      </c>
      <c r="AO154">
        <f>IF(AND(VLOOKUP(AO$1,main!$A$3:$H$102,7,FALSE)=main!$G$104,VLOOKUP(AO$1,main!$A$3:$H$102,5,FALSE)-VLOOKUP($A154,main!$A$3:$H$102,6,FALSE)&gt;=main!$D$103+VLOOKUP(VLOOKUP(AO$1,main!$A$3:$I$102,7,FALSE),main!$K$26:$Q$29,4,FALSE)),1,0)</f>
        <v>0</v>
      </c>
      <c r="AP154">
        <f>IF(AND(VLOOKUP(AP$1,main!$A$3:$H$102,7,FALSE)=main!$G$104,VLOOKUP(AP$1,main!$A$3:$H$102,5,FALSE)-VLOOKUP($A154,main!$A$3:$H$102,6,FALSE)&gt;=main!$D$103+VLOOKUP(VLOOKUP(AP$1,main!$A$3:$I$102,7,FALSE),main!$K$26:$Q$29,4,FALSE)),1,0)</f>
        <v>0</v>
      </c>
      <c r="AQ154">
        <f>IF(AND(VLOOKUP(AQ$1,main!$A$3:$H$102,7,FALSE)=main!$G$104,VLOOKUP(AQ$1,main!$A$3:$H$102,5,FALSE)-VLOOKUP($A154,main!$A$3:$H$102,6,FALSE)&gt;=main!$D$103+VLOOKUP(VLOOKUP(AQ$1,main!$A$3:$I$102,7,FALSE),main!$K$26:$Q$29,4,FALSE)),1,0)</f>
        <v>0</v>
      </c>
      <c r="AR154">
        <f>IF(AND(VLOOKUP(AR$1,main!$A$3:$H$102,7,FALSE)=main!$G$104,VLOOKUP(AR$1,main!$A$3:$H$102,5,FALSE)-VLOOKUP($A154,main!$A$3:$H$102,6,FALSE)&gt;=main!$D$103+VLOOKUP(VLOOKUP(AR$1,main!$A$3:$I$102,7,FALSE),main!$K$26:$Q$29,4,FALSE)),1,0)</f>
        <v>0</v>
      </c>
      <c r="AS154">
        <f>IF(AND(VLOOKUP(AS$1,main!$A$3:$H$102,7,FALSE)=main!$G$104,VLOOKUP(AS$1,main!$A$3:$H$102,5,FALSE)-VLOOKUP($A154,main!$A$3:$H$102,6,FALSE)&gt;=main!$D$103+VLOOKUP(VLOOKUP(AS$1,main!$A$3:$I$102,7,FALSE),main!$K$26:$Q$29,4,FALSE)),1,0)</f>
        <v>0</v>
      </c>
      <c r="AT154">
        <f>IF(AND(VLOOKUP(AT$1,main!$A$3:$H$102,7,FALSE)=main!$G$104,VLOOKUP(AT$1,main!$A$3:$H$102,5,FALSE)-VLOOKUP($A154,main!$A$3:$H$102,6,FALSE)&gt;=main!$D$103+VLOOKUP(VLOOKUP(AT$1,main!$A$3:$I$102,7,FALSE),main!$K$26:$Q$29,4,FALSE)),1,0)</f>
        <v>0</v>
      </c>
      <c r="AU154">
        <f>IF(AND(VLOOKUP(AU$1,main!$A$3:$H$102,7,FALSE)=main!$G$104,VLOOKUP(AU$1,main!$A$3:$H$102,5,FALSE)-VLOOKUP($A154,main!$A$3:$H$102,6,FALSE)&gt;=main!$D$103+VLOOKUP(VLOOKUP(AU$1,main!$A$3:$I$102,7,FALSE),main!$K$26:$Q$29,4,FALSE)),1,0)</f>
        <v>0</v>
      </c>
      <c r="AV154">
        <f>IF(AND(VLOOKUP(AV$1,main!$A$3:$H$102,7,FALSE)=main!$G$104,VLOOKUP(AV$1,main!$A$3:$H$102,5,FALSE)-VLOOKUP($A154,main!$A$3:$H$102,6,FALSE)&gt;=main!$D$103+VLOOKUP(VLOOKUP(AV$1,main!$A$3:$I$102,7,FALSE),main!$K$26:$Q$29,4,FALSE)),1,0)</f>
        <v>0</v>
      </c>
      <c r="AW154">
        <f>IF(AND(VLOOKUP(AW$1,main!$A$3:$H$102,7,FALSE)=main!$G$104,VLOOKUP(AW$1,main!$A$3:$H$102,5,FALSE)-VLOOKUP($A154,main!$A$3:$H$102,6,FALSE)&gt;=main!$D$103+VLOOKUP(VLOOKUP(AW$1,main!$A$3:$I$102,7,FALSE),main!$K$26:$Q$29,4,FALSE)),1,0)</f>
        <v>0</v>
      </c>
      <c r="AX154">
        <f>IF(AND(VLOOKUP(AX$1,main!$A$3:$H$102,7,FALSE)=main!$G$104,VLOOKUP(AX$1,main!$A$3:$H$102,5,FALSE)-VLOOKUP($A154,main!$A$3:$H$102,6,FALSE)&gt;=main!$D$103+VLOOKUP(VLOOKUP(AX$1,main!$A$3:$I$102,7,FALSE),main!$K$26:$Q$29,4,FALSE)),1,0)</f>
        <v>0</v>
      </c>
      <c r="AY154">
        <f>IF(AND(VLOOKUP(AY$1,main!$A$3:$H$102,7,FALSE)=main!$G$104,VLOOKUP(AY$1,main!$A$3:$H$102,5,FALSE)-VLOOKUP($A154,main!$A$3:$H$102,6,FALSE)&gt;=main!$D$103+VLOOKUP(VLOOKUP(AY$1,main!$A$3:$I$102,7,FALSE),main!$K$26:$Q$29,4,FALSE)),1,0)</f>
        <v>0</v>
      </c>
      <c r="AZ154">
        <f>IF(AND(VLOOKUP(AZ$1,main!$A$3:$H$102,7,FALSE)=main!$G$104,VLOOKUP(AZ$1,main!$A$3:$H$102,5,FALSE)-VLOOKUP($A154,main!$A$3:$H$102,6,FALSE)&gt;=main!$D$103+VLOOKUP(VLOOKUP(AZ$1,main!$A$3:$I$102,7,FALSE),main!$K$26:$Q$29,4,FALSE)),1,0)</f>
        <v>0</v>
      </c>
      <c r="BA154">
        <f>IF(AND(VLOOKUP(BA$1,main!$A$3:$H$102,7,FALSE)=main!$G$104,VLOOKUP(BA$1,main!$A$3:$H$102,5,FALSE)-VLOOKUP($A154,main!$A$3:$H$102,6,FALSE)&gt;=main!$D$103+VLOOKUP(VLOOKUP(BA$1,main!$A$3:$I$102,7,FALSE),main!$K$26:$Q$29,4,FALSE)),1,0)</f>
        <v>0</v>
      </c>
      <c r="BB154">
        <f>IF(AND(VLOOKUP(BB$1,main!$A$3:$H$102,7,FALSE)=main!$G$104,VLOOKUP(BB$1,main!$A$3:$H$102,5,FALSE)-VLOOKUP($A154,main!$A$3:$H$102,6,FALSE)&gt;=main!$D$103+VLOOKUP(VLOOKUP(BB$1,main!$A$3:$I$102,7,FALSE),main!$K$26:$Q$29,4,FALSE)),1,0)</f>
        <v>0</v>
      </c>
      <c r="BC154">
        <f>IF(AND(VLOOKUP(BC$1,main!$A$3:$H$102,7,FALSE)=main!$G$104,VLOOKUP(BC$1,main!$A$3:$H$102,5,FALSE)-VLOOKUP($A154,main!$A$3:$H$102,6,FALSE)&gt;=main!$D$103+VLOOKUP(VLOOKUP(BC$1,main!$A$3:$I$102,7,FALSE),main!$K$26:$Q$29,4,FALSE)),1,0)</f>
        <v>0</v>
      </c>
      <c r="BD154">
        <f>IF(AND(VLOOKUP(BD$1,main!$A$3:$H$102,7,FALSE)=main!$G$104,VLOOKUP(BD$1,main!$A$3:$H$102,5,FALSE)-VLOOKUP($A154,main!$A$3:$H$102,6,FALSE)&gt;=main!$D$103+VLOOKUP(VLOOKUP(BD$1,main!$A$3:$I$102,7,FALSE),main!$K$26:$Q$29,4,FALSE)),1,0)</f>
        <v>0</v>
      </c>
      <c r="BE154">
        <f>IF(AND(VLOOKUP(BE$1,main!$A$3:$H$102,7,FALSE)=main!$G$104,VLOOKUP(BE$1,main!$A$3:$H$102,5,FALSE)-VLOOKUP($A154,main!$A$3:$H$102,6,FALSE)&gt;=main!$D$103+VLOOKUP(VLOOKUP(BE$1,main!$A$3:$I$102,7,FALSE),main!$K$26:$Q$29,4,FALSE)),1,0)</f>
        <v>0</v>
      </c>
      <c r="BF154">
        <f>IF(AND(VLOOKUP(BF$1,main!$A$3:$H$102,7,FALSE)=main!$G$104,VLOOKUP(BF$1,main!$A$3:$H$102,5,FALSE)-VLOOKUP($A154,main!$A$3:$H$102,6,FALSE)&gt;=main!$D$103+VLOOKUP(VLOOKUP(BF$1,main!$A$3:$I$102,7,FALSE),main!$K$26:$Q$29,4,FALSE)),1,0)</f>
        <v>0</v>
      </c>
      <c r="BG154">
        <f>IF(AND(VLOOKUP(BG$1,main!$A$3:$H$102,7,FALSE)=main!$G$104,VLOOKUP(BG$1,main!$A$3:$H$102,5,FALSE)-VLOOKUP($A154,main!$A$3:$H$102,6,FALSE)&gt;=main!$D$103+VLOOKUP(VLOOKUP(BG$1,main!$A$3:$I$102,7,FALSE),main!$K$26:$Q$29,4,FALSE)),1,0)</f>
        <v>0</v>
      </c>
      <c r="BH154">
        <f>IF(AND(VLOOKUP(BH$1,main!$A$3:$H$102,7,FALSE)=main!$G$104,VLOOKUP(BH$1,main!$A$3:$H$102,5,FALSE)-VLOOKUP($A154,main!$A$3:$H$102,6,FALSE)&gt;=main!$D$103+VLOOKUP(VLOOKUP(BH$1,main!$A$3:$I$102,7,FALSE),main!$K$26:$Q$29,4,FALSE)),1,0)</f>
        <v>0</v>
      </c>
      <c r="BI154">
        <f>IF(AND(VLOOKUP(BI$1,main!$A$3:$H$102,7,FALSE)=main!$G$104,VLOOKUP(BI$1,main!$A$3:$H$102,5,FALSE)-VLOOKUP($A154,main!$A$3:$H$102,6,FALSE)&gt;=main!$D$103+VLOOKUP(VLOOKUP(BI$1,main!$A$3:$I$102,7,FALSE),main!$K$26:$Q$29,4,FALSE)),1,0)</f>
        <v>0</v>
      </c>
      <c r="BJ154">
        <f>IF(AND(VLOOKUP(BJ$1,main!$A$3:$H$102,7,FALSE)=main!$G$104,VLOOKUP(BJ$1,main!$A$3:$H$102,5,FALSE)-VLOOKUP($A154,main!$A$3:$H$102,6,FALSE)&gt;=main!$D$103+VLOOKUP(VLOOKUP(BJ$1,main!$A$3:$I$102,7,FALSE),main!$K$26:$Q$29,4,FALSE)),1,0)</f>
        <v>0</v>
      </c>
      <c r="BK154">
        <f>IF(AND(VLOOKUP(BK$1,main!$A$3:$H$102,7,FALSE)=main!$G$104,VLOOKUP(BK$1,main!$A$3:$H$102,5,FALSE)-VLOOKUP($A154,main!$A$3:$H$102,6,FALSE)&gt;=main!$D$103+VLOOKUP(VLOOKUP(BK$1,main!$A$3:$I$102,7,FALSE),main!$K$26:$Q$29,4,FALSE)),1,0)</f>
        <v>0</v>
      </c>
      <c r="BL154">
        <f>IF(AND(VLOOKUP(BL$1,main!$A$3:$H$102,7,FALSE)=main!$G$104,VLOOKUP(BL$1,main!$A$3:$H$102,5,FALSE)-VLOOKUP($A154,main!$A$3:$H$102,6,FALSE)&gt;=main!$D$103+VLOOKUP(VLOOKUP(BL$1,main!$A$3:$I$102,7,FALSE),main!$K$26:$Q$29,4,FALSE)),1,0)</f>
        <v>0</v>
      </c>
      <c r="BM154">
        <f>IF(AND(VLOOKUP(BM$1,main!$A$3:$H$102,7,FALSE)=main!$G$104,VLOOKUP(BM$1,main!$A$3:$H$102,5,FALSE)-VLOOKUP($A154,main!$A$3:$H$102,6,FALSE)&gt;=main!$D$103+VLOOKUP(VLOOKUP(BM$1,main!$A$3:$I$102,7,FALSE),main!$K$26:$Q$29,4,FALSE)),1,0)</f>
        <v>0</v>
      </c>
      <c r="BN154">
        <f>IF(AND(VLOOKUP(BN$1,main!$A$3:$H$102,7,FALSE)=main!$G$104,VLOOKUP(BN$1,main!$A$3:$H$102,5,FALSE)-VLOOKUP($A154,main!$A$3:$H$102,6,FALSE)&gt;=main!$D$103+VLOOKUP(VLOOKUP(BN$1,main!$A$3:$I$102,7,FALSE),main!$K$26:$Q$29,4,FALSE)),1,0)</f>
        <v>0</v>
      </c>
      <c r="BO154">
        <f>IF(AND(VLOOKUP(BO$1,main!$A$3:$H$102,7,FALSE)=main!$G$104,VLOOKUP(BO$1,main!$A$3:$H$102,5,FALSE)-VLOOKUP($A154,main!$A$3:$H$102,6,FALSE)&gt;=main!$D$103+VLOOKUP(VLOOKUP(BO$1,main!$A$3:$I$102,7,FALSE),main!$K$26:$Q$29,4,FALSE)),1,0)</f>
        <v>0</v>
      </c>
      <c r="BP154">
        <f>IF(AND(VLOOKUP(BP$1,main!$A$3:$H$102,7,FALSE)=main!$G$104,VLOOKUP(BP$1,main!$A$3:$H$102,5,FALSE)-VLOOKUP($A154,main!$A$3:$H$102,6,FALSE)&gt;=main!$D$103+VLOOKUP(VLOOKUP(BP$1,main!$A$3:$I$102,7,FALSE),main!$K$26:$Q$29,4,FALSE)),1,0)</f>
        <v>0</v>
      </c>
      <c r="BQ154">
        <f>IF(AND(VLOOKUP(BQ$1,main!$A$3:$H$102,7,FALSE)=main!$G$104,VLOOKUP(BQ$1,main!$A$3:$H$102,5,FALSE)-VLOOKUP($A154,main!$A$3:$H$102,6,FALSE)&gt;=main!$D$103+VLOOKUP(VLOOKUP(BQ$1,main!$A$3:$I$102,7,FALSE),main!$K$26:$Q$29,4,FALSE)),1,0)</f>
        <v>0</v>
      </c>
      <c r="BR154">
        <f>IF(AND(VLOOKUP(BR$1,main!$A$3:$H$102,7,FALSE)=main!$G$104,VLOOKUP(BR$1,main!$A$3:$H$102,5,FALSE)-VLOOKUP($A154,main!$A$3:$H$102,6,FALSE)&gt;=main!$D$103+VLOOKUP(VLOOKUP(BR$1,main!$A$3:$I$102,7,FALSE),main!$K$26:$Q$29,4,FALSE)),1,0)</f>
        <v>0</v>
      </c>
      <c r="BS154">
        <f>IF(AND(VLOOKUP(BS$1,main!$A$3:$H$102,7,FALSE)=main!$G$104,VLOOKUP(BS$1,main!$A$3:$H$102,5,FALSE)-VLOOKUP($A154,main!$A$3:$H$102,6,FALSE)&gt;=main!$D$103+VLOOKUP(VLOOKUP(BS$1,main!$A$3:$I$102,7,FALSE),main!$K$26:$Q$29,4,FALSE)),1,0)</f>
        <v>0</v>
      </c>
      <c r="BT154">
        <f>IF(AND(VLOOKUP(BT$1,main!$A$3:$H$102,7,FALSE)=main!$G$104,VLOOKUP(BT$1,main!$A$3:$H$102,5,FALSE)-VLOOKUP($A154,main!$A$3:$H$102,6,FALSE)&gt;=main!$D$103+VLOOKUP(VLOOKUP(BT$1,main!$A$3:$I$102,7,FALSE),main!$K$26:$Q$29,4,FALSE)),1,0)</f>
        <v>0</v>
      </c>
      <c r="BU154">
        <f>IF(AND(VLOOKUP(BU$1,main!$A$3:$H$102,7,FALSE)=main!$G$104,VLOOKUP(BU$1,main!$A$3:$H$102,5,FALSE)-VLOOKUP($A154,main!$A$3:$H$102,6,FALSE)&gt;=main!$D$103+VLOOKUP(VLOOKUP(BU$1,main!$A$3:$I$102,7,FALSE),main!$K$26:$Q$29,4,FALSE)),1,0)</f>
        <v>0</v>
      </c>
      <c r="BV154">
        <f>IF(AND(VLOOKUP(BV$1,main!$A$3:$H$102,7,FALSE)=main!$G$104,VLOOKUP(BV$1,main!$A$3:$H$102,5,FALSE)-VLOOKUP($A154,main!$A$3:$H$102,6,FALSE)&gt;=main!$D$103+VLOOKUP(VLOOKUP(BV$1,main!$A$3:$I$102,7,FALSE),main!$K$26:$Q$29,4,FALSE)),1,0)</f>
        <v>0</v>
      </c>
      <c r="BW154">
        <f>IF(AND(VLOOKUP(BW$1,main!$A$3:$H$102,7,FALSE)=main!$G$104,VLOOKUP(BW$1,main!$A$3:$H$102,5,FALSE)-VLOOKUP($A154,main!$A$3:$H$102,6,FALSE)&gt;=main!$D$103+VLOOKUP(VLOOKUP(BW$1,main!$A$3:$I$102,7,FALSE),main!$K$26:$Q$29,4,FALSE)),1,0)</f>
        <v>0</v>
      </c>
      <c r="BX154">
        <f>IF(AND(VLOOKUP(BX$1,main!$A$3:$H$102,7,FALSE)=main!$G$104,VLOOKUP(BX$1,main!$A$3:$H$102,5,FALSE)-VLOOKUP($A154,main!$A$3:$H$102,6,FALSE)&gt;=main!$D$103+VLOOKUP(VLOOKUP(BX$1,main!$A$3:$I$102,7,FALSE),main!$K$26:$Q$29,4,FALSE)),1,0)</f>
        <v>0</v>
      </c>
      <c r="BY154">
        <f>IF(AND(VLOOKUP(BY$1,main!$A$3:$H$102,7,FALSE)=main!$G$104,VLOOKUP(BY$1,main!$A$3:$H$102,5,FALSE)-VLOOKUP($A154,main!$A$3:$H$102,6,FALSE)&gt;=main!$D$103+VLOOKUP(VLOOKUP(BY$1,main!$A$3:$I$102,7,FALSE),main!$K$26:$Q$29,4,FALSE)),1,0)</f>
        <v>0</v>
      </c>
      <c r="BZ154">
        <f>IF(AND(VLOOKUP(BZ$1,main!$A$3:$H$102,7,FALSE)=main!$G$104,VLOOKUP(BZ$1,main!$A$3:$H$102,5,FALSE)-VLOOKUP($A154,main!$A$3:$H$102,6,FALSE)&gt;=main!$D$103+VLOOKUP(VLOOKUP(BZ$1,main!$A$3:$I$102,7,FALSE),main!$K$26:$Q$29,4,FALSE)),1,0)</f>
        <v>0</v>
      </c>
      <c r="CA154">
        <f>IF(AND(VLOOKUP(CA$1,main!$A$3:$H$102,7,FALSE)=main!$G$104,VLOOKUP(CA$1,main!$A$3:$H$102,5,FALSE)-VLOOKUP($A154,main!$A$3:$H$102,6,FALSE)&gt;=main!$D$103+VLOOKUP(VLOOKUP(CA$1,main!$A$3:$I$102,7,FALSE),main!$K$26:$Q$29,4,FALSE)),1,0)</f>
        <v>0</v>
      </c>
      <c r="CB154">
        <f>IF(AND(VLOOKUP(CB$1,main!$A$3:$H$102,7,FALSE)=main!$G$104,VLOOKUP(CB$1,main!$A$3:$H$102,5,FALSE)-VLOOKUP($A154,main!$A$3:$H$102,6,FALSE)&gt;=main!$D$103+VLOOKUP(VLOOKUP(CB$1,main!$A$3:$I$102,7,FALSE),main!$K$26:$Q$29,4,FALSE)),1,0)</f>
        <v>0</v>
      </c>
      <c r="CC154">
        <f>IF(AND(VLOOKUP(CC$1,main!$A$3:$H$102,7,FALSE)=main!$G$104,VLOOKUP(CC$1,main!$A$3:$H$102,5,FALSE)-VLOOKUP($A154,main!$A$3:$H$102,6,FALSE)&gt;=main!$D$103+VLOOKUP(VLOOKUP(CC$1,main!$A$3:$I$102,7,FALSE),main!$K$26:$Q$29,4,FALSE)),1,0)</f>
        <v>0</v>
      </c>
      <c r="CD154">
        <f>IF(AND(VLOOKUP(CD$1,main!$A$3:$H$102,7,FALSE)=main!$G$104,VLOOKUP(CD$1,main!$A$3:$H$102,5,FALSE)-VLOOKUP($A154,main!$A$3:$H$102,6,FALSE)&gt;=main!$D$103+VLOOKUP(VLOOKUP(CD$1,main!$A$3:$I$102,7,FALSE),main!$K$26:$Q$29,4,FALSE)),1,0)</f>
        <v>0</v>
      </c>
      <c r="CE154">
        <f>IF(AND(VLOOKUP(CE$1,main!$A$3:$H$102,7,FALSE)=main!$G$104,VLOOKUP(CE$1,main!$A$3:$H$102,5,FALSE)-VLOOKUP($A154,main!$A$3:$H$102,6,FALSE)&gt;=main!$D$103+VLOOKUP(VLOOKUP(CE$1,main!$A$3:$I$102,7,FALSE),main!$K$26:$Q$29,4,FALSE)),1,0)</f>
        <v>0</v>
      </c>
      <c r="CF154">
        <f>IF(AND(VLOOKUP(CF$1,main!$A$3:$H$102,7,FALSE)=main!$G$104,VLOOKUP(CF$1,main!$A$3:$H$102,5,FALSE)-VLOOKUP($A154,main!$A$3:$H$102,6,FALSE)&gt;=main!$D$103+VLOOKUP(VLOOKUP(CF$1,main!$A$3:$I$102,7,FALSE),main!$K$26:$Q$29,4,FALSE)),1,0)</f>
        <v>0</v>
      </c>
      <c r="CG154">
        <f>IF(AND(VLOOKUP(CG$1,main!$A$3:$H$102,7,FALSE)=main!$G$104,VLOOKUP(CG$1,main!$A$3:$H$102,5,FALSE)-VLOOKUP($A154,main!$A$3:$H$102,6,FALSE)&gt;=main!$D$103+VLOOKUP(VLOOKUP(CG$1,main!$A$3:$I$102,7,FALSE),main!$K$26:$Q$29,4,FALSE)),1,0)</f>
        <v>0</v>
      </c>
      <c r="CH154">
        <f>IF(AND(VLOOKUP(CH$1,main!$A$3:$H$102,7,FALSE)=main!$G$104,VLOOKUP(CH$1,main!$A$3:$H$102,5,FALSE)-VLOOKUP($A154,main!$A$3:$H$102,6,FALSE)&gt;=main!$D$103+VLOOKUP(VLOOKUP(CH$1,main!$A$3:$I$102,7,FALSE),main!$K$26:$Q$29,4,FALSE)),1,0)</f>
        <v>0</v>
      </c>
      <c r="CI154">
        <f>IF(AND(VLOOKUP(CI$1,main!$A$3:$H$102,7,FALSE)=main!$G$104,VLOOKUP(CI$1,main!$A$3:$H$102,5,FALSE)-VLOOKUP($A154,main!$A$3:$H$102,6,FALSE)&gt;=main!$D$103+VLOOKUP(VLOOKUP(CI$1,main!$A$3:$I$102,7,FALSE),main!$K$26:$Q$29,4,FALSE)),1,0)</f>
        <v>0</v>
      </c>
      <c r="CJ154">
        <f>IF(AND(VLOOKUP(CJ$1,main!$A$3:$H$102,7,FALSE)=main!$G$104,VLOOKUP(CJ$1,main!$A$3:$H$102,5,FALSE)-VLOOKUP($A154,main!$A$3:$H$102,6,FALSE)&gt;=main!$D$103+VLOOKUP(VLOOKUP(CJ$1,main!$A$3:$I$102,7,FALSE),main!$K$26:$Q$29,4,FALSE)),1,0)</f>
        <v>0</v>
      </c>
      <c r="CK154">
        <f>IF(AND(VLOOKUP(CK$1,main!$A$3:$H$102,7,FALSE)=main!$G$104,VLOOKUP(CK$1,main!$A$3:$H$102,5,FALSE)-VLOOKUP($A154,main!$A$3:$H$102,6,FALSE)&gt;=main!$D$103+VLOOKUP(VLOOKUP(CK$1,main!$A$3:$I$102,7,FALSE),main!$K$26:$Q$29,4,FALSE)),1,0)</f>
        <v>0</v>
      </c>
      <c r="CL154">
        <f>IF(AND(VLOOKUP(CL$1,main!$A$3:$H$102,7,FALSE)=main!$G$104,VLOOKUP(CL$1,main!$A$3:$H$102,5,FALSE)-VLOOKUP($A154,main!$A$3:$H$102,6,FALSE)&gt;=main!$D$103+VLOOKUP(VLOOKUP(CL$1,main!$A$3:$I$102,7,FALSE),main!$K$26:$Q$29,4,FALSE)),1,0)</f>
        <v>0</v>
      </c>
      <c r="CM154">
        <f>IF(AND(VLOOKUP(CM$1,main!$A$3:$H$102,7,FALSE)=main!$G$104,VLOOKUP(CM$1,main!$A$3:$H$102,5,FALSE)-VLOOKUP($A154,main!$A$3:$H$102,6,FALSE)&gt;=main!$D$103+VLOOKUP(VLOOKUP(CM$1,main!$A$3:$I$102,7,FALSE),main!$K$26:$Q$29,4,FALSE)),1,0)</f>
        <v>0</v>
      </c>
      <c r="CN154">
        <f>IF(AND(VLOOKUP(CN$1,main!$A$3:$H$102,7,FALSE)=main!$G$104,VLOOKUP(CN$1,main!$A$3:$H$102,5,FALSE)-VLOOKUP($A154,main!$A$3:$H$102,6,FALSE)&gt;=main!$D$103+VLOOKUP(VLOOKUP(CN$1,main!$A$3:$I$102,7,FALSE),main!$K$26:$Q$29,4,FALSE)),1,0)</f>
        <v>0</v>
      </c>
      <c r="CO154">
        <f>IF(AND(VLOOKUP(CO$1,main!$A$3:$H$102,7,FALSE)=main!$G$104,VLOOKUP(CO$1,main!$A$3:$H$102,5,FALSE)-VLOOKUP($A154,main!$A$3:$H$102,6,FALSE)&gt;=main!$D$103+VLOOKUP(VLOOKUP(CO$1,main!$A$3:$I$102,7,FALSE),main!$K$26:$Q$29,4,FALSE)),1,0)</f>
        <v>0</v>
      </c>
      <c r="CP154">
        <f>IF(AND(VLOOKUP(CP$1,main!$A$3:$H$102,7,FALSE)=main!$G$104,VLOOKUP(CP$1,main!$A$3:$H$102,5,FALSE)-VLOOKUP($A154,main!$A$3:$H$102,6,FALSE)&gt;=main!$D$103+VLOOKUP(VLOOKUP(CP$1,main!$A$3:$I$102,7,FALSE),main!$K$26:$Q$29,4,FALSE)),1,0)</f>
        <v>0</v>
      </c>
      <c r="CQ154">
        <f>IF(AND(VLOOKUP(CQ$1,main!$A$3:$H$102,7,FALSE)=main!$G$104,VLOOKUP(CQ$1,main!$A$3:$H$102,5,FALSE)-VLOOKUP($A154,main!$A$3:$H$102,6,FALSE)&gt;=main!$D$103+VLOOKUP(VLOOKUP(CQ$1,main!$A$3:$I$102,7,FALSE),main!$K$26:$Q$29,4,FALSE)),1,0)</f>
        <v>0</v>
      </c>
      <c r="CR154">
        <f>IF(AND(VLOOKUP(CR$1,main!$A$3:$H$102,7,FALSE)=main!$G$104,VLOOKUP(CR$1,main!$A$3:$H$102,5,FALSE)-VLOOKUP($A154,main!$A$3:$H$102,6,FALSE)&gt;=main!$D$103+VLOOKUP(VLOOKUP(CR$1,main!$A$3:$I$102,7,FALSE),main!$K$26:$Q$29,4,FALSE)),1,0)</f>
        <v>0</v>
      </c>
      <c r="CS154">
        <f>IF(AND(VLOOKUP(CS$1,main!$A$3:$H$102,7,FALSE)=main!$G$104,VLOOKUP(CS$1,main!$A$3:$H$102,5,FALSE)-VLOOKUP($A154,main!$A$3:$H$102,6,FALSE)&gt;=main!$D$103+VLOOKUP(VLOOKUP(CS$1,main!$A$3:$I$102,7,FALSE),main!$K$26:$Q$29,4,FALSE)),1,0)</f>
        <v>0</v>
      </c>
      <c r="CT154">
        <f>IF(AND(VLOOKUP(CT$1,main!$A$3:$H$102,7,FALSE)=main!$G$104,VLOOKUP(CT$1,main!$A$3:$H$102,5,FALSE)-VLOOKUP($A154,main!$A$3:$H$102,6,FALSE)&gt;=main!$D$103+VLOOKUP(VLOOKUP(CT$1,main!$A$3:$I$102,7,FALSE),main!$K$26:$Q$29,4,FALSE)),1,0)</f>
        <v>0</v>
      </c>
      <c r="CU154">
        <f>IF(AND(VLOOKUP(CU$1,main!$A$3:$H$102,7,FALSE)=main!$G$104,VLOOKUP(CU$1,main!$A$3:$H$102,5,FALSE)-VLOOKUP($A154,main!$A$3:$H$102,6,FALSE)&gt;=main!$D$103+VLOOKUP(VLOOKUP(CU$1,main!$A$3:$I$102,7,FALSE),main!$K$26:$Q$29,4,FALSE)),1,0)</f>
        <v>0</v>
      </c>
      <c r="CV154">
        <f>IF(AND(VLOOKUP(CV$1,main!$A$3:$H$102,7,FALSE)=main!$G$104,VLOOKUP(CV$1,main!$A$3:$H$102,5,FALSE)-VLOOKUP($A154,main!$A$3:$H$102,6,FALSE)&gt;=main!$D$103+VLOOKUP(VLOOKUP(CV$1,main!$A$3:$I$102,7,FALSE),main!$K$26:$Q$29,4,FALSE)),1,0)</f>
        <v>0</v>
      </c>
      <c r="CW154">
        <f>IF(AND(VLOOKUP(CW$1,main!$A$3:$H$102,7,FALSE)=main!$G$104,VLOOKUP(CW$1,main!$A$3:$H$102,5,FALSE)-VLOOKUP($A154,main!$A$3:$H$102,6,FALSE)&gt;=main!$D$103+VLOOKUP(VLOOKUP(CW$1,main!$A$3:$I$102,7,FALSE),main!$K$26:$Q$29,4,FALSE)),1,0)</f>
        <v>0</v>
      </c>
      <c r="CX154">
        <f>IF(AND(VLOOKUP(CX$1,main!$A$3:$H$102,7,FALSE)=main!$G$104,VLOOKUP(CX$1,main!$A$3:$H$102,5,FALSE)-VLOOKUP($A154,main!$A$3:$H$102,6,FALSE)&gt;=main!$D$103+VLOOKUP(VLOOKUP(CX$1,main!$A$3:$I$102,7,FALSE),main!$K$26:$Q$29,4,FALSE)),1,0)</f>
        <v>0</v>
      </c>
    </row>
    <row r="155" spans="1:106" x14ac:dyDescent="0.25">
      <c r="A155" s="1">
        <v>52</v>
      </c>
      <c r="B155">
        <v>0</v>
      </c>
      <c r="C155">
        <f>IF(AND(VLOOKUP(C$1,main!$A$3:$H$102,7,FALSE)=main!$G$104,VLOOKUP(C$1,main!$A$3:$H$102,5,FALSE)-VLOOKUP($A155,main!$A$3:$H$102,6,FALSE)&gt;=main!$D$103+VLOOKUP(VLOOKUP(C$1,main!$A$3:$I$102,7,FALSE),main!$K$26:$Q$29,4,FALSE)),1,0)</f>
        <v>0</v>
      </c>
      <c r="D155">
        <f>IF(AND(VLOOKUP(D$1,main!$A$3:$H$102,7,FALSE)=main!$G$104,VLOOKUP(D$1,main!$A$3:$H$102,5,FALSE)-VLOOKUP($A155,main!$A$3:$H$102,6,FALSE)&gt;=main!$D$103+VLOOKUP(VLOOKUP(D$1,main!$A$3:$I$102,7,FALSE),main!$K$26:$Q$29,4,FALSE)),1,0)</f>
        <v>0</v>
      </c>
      <c r="E155">
        <f>IF(AND(VLOOKUP(E$1,main!$A$3:$H$102,7,FALSE)=main!$G$104,VLOOKUP(E$1,main!$A$3:$H$102,5,FALSE)-VLOOKUP($A155,main!$A$3:$H$102,6,FALSE)&gt;=main!$D$103+VLOOKUP(VLOOKUP(E$1,main!$A$3:$I$102,7,FALSE),main!$K$26:$Q$29,4,FALSE)),1,0)</f>
        <v>0</v>
      </c>
      <c r="F155">
        <f>IF(AND(VLOOKUP(F$1,main!$A$3:$H$102,7,FALSE)=main!$G$104,VLOOKUP(F$1,main!$A$3:$H$102,5,FALSE)-VLOOKUP($A155,main!$A$3:$H$102,6,FALSE)&gt;=main!$D$103+VLOOKUP(VLOOKUP(F$1,main!$A$3:$I$102,7,FALSE),main!$K$26:$Q$29,4,FALSE)),1,0)</f>
        <v>0</v>
      </c>
      <c r="G155">
        <f>IF(AND(VLOOKUP(G$1,main!$A$3:$H$102,7,FALSE)=main!$G$104,VLOOKUP(G$1,main!$A$3:$H$102,5,FALSE)-VLOOKUP($A155,main!$A$3:$H$102,6,FALSE)&gt;=main!$D$103+VLOOKUP(VLOOKUP(G$1,main!$A$3:$I$102,7,FALSE),main!$K$26:$Q$29,4,FALSE)),1,0)</f>
        <v>0</v>
      </c>
      <c r="H155">
        <f>IF(AND(VLOOKUP(H$1,main!$A$3:$H$102,7,FALSE)=main!$G$104,VLOOKUP(H$1,main!$A$3:$H$102,5,FALSE)-VLOOKUP($A155,main!$A$3:$H$102,6,FALSE)&gt;=main!$D$103+VLOOKUP(VLOOKUP(H$1,main!$A$3:$I$102,7,FALSE),main!$K$26:$Q$29,4,FALSE)),1,0)</f>
        <v>0</v>
      </c>
      <c r="I155">
        <f>IF(AND(VLOOKUP(I$1,main!$A$3:$H$102,7,FALSE)=main!$G$104,VLOOKUP(I$1,main!$A$3:$H$102,5,FALSE)-VLOOKUP($A155,main!$A$3:$H$102,6,FALSE)&gt;=main!$D$103+VLOOKUP(VLOOKUP(I$1,main!$A$3:$I$102,7,FALSE),main!$K$26:$Q$29,4,FALSE)),1,0)</f>
        <v>1</v>
      </c>
      <c r="J155">
        <f>IF(AND(VLOOKUP(J$1,main!$A$3:$H$102,7,FALSE)=main!$G$104,VLOOKUP(J$1,main!$A$3:$H$102,5,FALSE)-VLOOKUP($A155,main!$A$3:$H$102,6,FALSE)&gt;=main!$D$103+VLOOKUP(VLOOKUP(J$1,main!$A$3:$I$102,7,FALSE),main!$K$26:$Q$29,4,FALSE)),1,0)</f>
        <v>1</v>
      </c>
      <c r="K155">
        <f>IF(AND(VLOOKUP(K$1,main!$A$3:$H$102,7,FALSE)=main!$G$104,VLOOKUP(K$1,main!$A$3:$H$102,5,FALSE)-VLOOKUP($A155,main!$A$3:$H$102,6,FALSE)&gt;=main!$D$103+VLOOKUP(VLOOKUP(K$1,main!$A$3:$I$102,7,FALSE),main!$K$26:$Q$29,4,FALSE)),1,0)</f>
        <v>1</v>
      </c>
      <c r="L155">
        <f>IF(AND(VLOOKUP(L$1,main!$A$3:$H$102,7,FALSE)=main!$G$104,VLOOKUP(L$1,main!$A$3:$H$102,5,FALSE)-VLOOKUP($A155,main!$A$3:$H$102,6,FALSE)&gt;=main!$D$103+VLOOKUP(VLOOKUP(L$1,main!$A$3:$I$102,7,FALSE),main!$K$26:$Q$29,4,FALSE)),1,0)</f>
        <v>1</v>
      </c>
      <c r="M155">
        <f>IF(AND(VLOOKUP(M$1,main!$A$3:$H$102,7,FALSE)=main!$G$104,VLOOKUP(M$1,main!$A$3:$H$102,5,FALSE)-VLOOKUP($A155,main!$A$3:$H$102,6,FALSE)&gt;=main!$D$103+VLOOKUP(VLOOKUP(M$1,main!$A$3:$I$102,7,FALSE),main!$K$26:$Q$29,4,FALSE)),1,0)</f>
        <v>0</v>
      </c>
      <c r="N155">
        <f>IF(AND(VLOOKUP(N$1,main!$A$3:$H$102,7,FALSE)=main!$G$104,VLOOKUP(N$1,main!$A$3:$H$102,5,FALSE)-VLOOKUP($A155,main!$A$3:$H$102,6,FALSE)&gt;=main!$D$103+VLOOKUP(VLOOKUP(N$1,main!$A$3:$I$102,7,FALSE),main!$K$26:$Q$29,4,FALSE)),1,0)</f>
        <v>0</v>
      </c>
      <c r="O155">
        <f>IF(AND(VLOOKUP(O$1,main!$A$3:$H$102,7,FALSE)=main!$G$104,VLOOKUP(O$1,main!$A$3:$H$102,5,FALSE)-VLOOKUP($A155,main!$A$3:$H$102,6,FALSE)&gt;=main!$D$103+VLOOKUP(VLOOKUP(O$1,main!$A$3:$I$102,7,FALSE),main!$K$26:$Q$29,4,FALSE)),1,0)</f>
        <v>0</v>
      </c>
      <c r="P155">
        <f>IF(AND(VLOOKUP(P$1,main!$A$3:$H$102,7,FALSE)=main!$G$104,VLOOKUP(P$1,main!$A$3:$H$102,5,FALSE)-VLOOKUP($A155,main!$A$3:$H$102,6,FALSE)&gt;=main!$D$103+VLOOKUP(VLOOKUP(P$1,main!$A$3:$I$102,7,FALSE),main!$K$26:$Q$29,4,FALSE)),1,0)</f>
        <v>0</v>
      </c>
      <c r="Q155">
        <f>IF(AND(VLOOKUP(Q$1,main!$A$3:$H$102,7,FALSE)=main!$G$104,VLOOKUP(Q$1,main!$A$3:$H$102,5,FALSE)-VLOOKUP($A155,main!$A$3:$H$102,6,FALSE)&gt;=main!$D$103+VLOOKUP(VLOOKUP(Q$1,main!$A$3:$I$102,7,FALSE),main!$K$26:$Q$29,4,FALSE)),1,0)</f>
        <v>0</v>
      </c>
      <c r="R155">
        <f>IF(AND(VLOOKUP(R$1,main!$A$3:$H$102,7,FALSE)=main!$G$104,VLOOKUP(R$1,main!$A$3:$H$102,5,FALSE)-VLOOKUP($A155,main!$A$3:$H$102,6,FALSE)&gt;=main!$D$103+VLOOKUP(VLOOKUP(R$1,main!$A$3:$I$102,7,FALSE),main!$K$26:$Q$29,4,FALSE)),1,0)</f>
        <v>0</v>
      </c>
      <c r="S155">
        <f>IF(AND(VLOOKUP(S$1,main!$A$3:$H$102,7,FALSE)=main!$G$104,VLOOKUP(S$1,main!$A$3:$H$102,5,FALSE)-VLOOKUP($A155,main!$A$3:$H$102,6,FALSE)&gt;=main!$D$103+VLOOKUP(VLOOKUP(S$1,main!$A$3:$I$102,7,FALSE),main!$K$26:$Q$29,4,FALSE)),1,0)</f>
        <v>0</v>
      </c>
      <c r="T155">
        <f>IF(AND(VLOOKUP(T$1,main!$A$3:$H$102,7,FALSE)=main!$G$104,VLOOKUP(T$1,main!$A$3:$H$102,5,FALSE)-VLOOKUP($A155,main!$A$3:$H$102,6,FALSE)&gt;=main!$D$103+VLOOKUP(VLOOKUP(T$1,main!$A$3:$I$102,7,FALSE),main!$K$26:$Q$29,4,FALSE)),1,0)</f>
        <v>1</v>
      </c>
      <c r="U155">
        <f>IF(AND(VLOOKUP(U$1,main!$A$3:$H$102,7,FALSE)=main!$G$104,VLOOKUP(U$1,main!$A$3:$H$102,5,FALSE)-VLOOKUP($A155,main!$A$3:$H$102,6,FALSE)&gt;=main!$D$103+VLOOKUP(VLOOKUP(U$1,main!$A$3:$I$102,7,FALSE),main!$K$26:$Q$29,4,FALSE)),1,0)</f>
        <v>1</v>
      </c>
      <c r="V155">
        <f>IF(AND(VLOOKUP(V$1,main!$A$3:$H$102,7,FALSE)=main!$G$104,VLOOKUP(V$1,main!$A$3:$H$102,5,FALSE)-VLOOKUP($A155,main!$A$3:$H$102,6,FALSE)&gt;=main!$D$103+VLOOKUP(VLOOKUP(V$1,main!$A$3:$I$102,7,FALSE),main!$K$26:$Q$29,4,FALSE)),1,0)</f>
        <v>1</v>
      </c>
      <c r="W155">
        <f>IF(AND(VLOOKUP(W$1,main!$A$3:$H$102,7,FALSE)=main!$G$104,VLOOKUP(W$1,main!$A$3:$H$102,5,FALSE)-VLOOKUP($A155,main!$A$3:$H$102,6,FALSE)&gt;=main!$D$103+VLOOKUP(VLOOKUP(W$1,main!$A$3:$I$102,7,FALSE),main!$K$26:$Q$29,4,FALSE)),1,0)</f>
        <v>0</v>
      </c>
      <c r="X155">
        <f>IF(AND(VLOOKUP(X$1,main!$A$3:$H$102,7,FALSE)=main!$G$104,VLOOKUP(X$1,main!$A$3:$H$102,5,FALSE)-VLOOKUP($A155,main!$A$3:$H$102,6,FALSE)&gt;=main!$D$103+VLOOKUP(VLOOKUP(X$1,main!$A$3:$I$102,7,FALSE),main!$K$26:$Q$29,4,FALSE)),1,0)</f>
        <v>0</v>
      </c>
      <c r="Y155">
        <f>IF(AND(VLOOKUP(Y$1,main!$A$3:$H$102,7,FALSE)=main!$G$104,VLOOKUP(Y$1,main!$A$3:$H$102,5,FALSE)-VLOOKUP($A155,main!$A$3:$H$102,6,FALSE)&gt;=main!$D$103+VLOOKUP(VLOOKUP(Y$1,main!$A$3:$I$102,7,FALSE),main!$K$26:$Q$29,4,FALSE)),1,0)</f>
        <v>0</v>
      </c>
      <c r="Z155">
        <f>IF(AND(VLOOKUP(Z$1,main!$A$3:$H$102,7,FALSE)=main!$G$104,VLOOKUP(Z$1,main!$A$3:$H$102,5,FALSE)-VLOOKUP($A155,main!$A$3:$H$102,6,FALSE)&gt;=main!$D$103+VLOOKUP(VLOOKUP(Z$1,main!$A$3:$I$102,7,FALSE),main!$K$26:$Q$29,4,FALSE)),1,0)</f>
        <v>1</v>
      </c>
      <c r="AA155">
        <f>IF(AND(VLOOKUP(AA$1,main!$A$3:$H$102,7,FALSE)=main!$G$104,VLOOKUP(AA$1,main!$A$3:$H$102,5,FALSE)-VLOOKUP($A155,main!$A$3:$H$102,6,FALSE)&gt;=main!$D$103+VLOOKUP(VLOOKUP(AA$1,main!$A$3:$I$102,7,FALSE),main!$K$26:$Q$29,4,FALSE)),1,0)</f>
        <v>1</v>
      </c>
      <c r="AB155">
        <f>IF(AND(VLOOKUP(AB$1,main!$A$3:$H$102,7,FALSE)=main!$G$104,VLOOKUP(AB$1,main!$A$3:$H$102,5,FALSE)-VLOOKUP($A155,main!$A$3:$H$102,6,FALSE)&gt;=main!$D$103+VLOOKUP(VLOOKUP(AB$1,main!$A$3:$I$102,7,FALSE),main!$K$26:$Q$29,4,FALSE)),1,0)</f>
        <v>0</v>
      </c>
      <c r="AC155">
        <f>IF(AND(VLOOKUP(AC$1,main!$A$3:$H$102,7,FALSE)=main!$G$104,VLOOKUP(AC$1,main!$A$3:$H$102,5,FALSE)-VLOOKUP($A155,main!$A$3:$H$102,6,FALSE)&gt;=main!$D$103+VLOOKUP(VLOOKUP(AC$1,main!$A$3:$I$102,7,FALSE),main!$K$26:$Q$29,4,FALSE)),1,0)</f>
        <v>0</v>
      </c>
      <c r="AD155">
        <f>IF(AND(VLOOKUP(AD$1,main!$A$3:$H$102,7,FALSE)=main!$G$104,VLOOKUP(AD$1,main!$A$3:$H$102,5,FALSE)-VLOOKUP($A155,main!$A$3:$H$102,6,FALSE)&gt;=main!$D$103+VLOOKUP(VLOOKUP(AD$1,main!$A$3:$I$102,7,FALSE),main!$K$26:$Q$29,4,FALSE)),1,0)</f>
        <v>0</v>
      </c>
      <c r="AE155">
        <f>IF(AND(VLOOKUP(AE$1,main!$A$3:$H$102,7,FALSE)=main!$G$104,VLOOKUP(AE$1,main!$A$3:$H$102,5,FALSE)-VLOOKUP($A155,main!$A$3:$H$102,6,FALSE)&gt;=main!$D$103+VLOOKUP(VLOOKUP(AE$1,main!$A$3:$I$102,7,FALSE),main!$K$26:$Q$29,4,FALSE)),1,0)</f>
        <v>0</v>
      </c>
      <c r="AF155">
        <f>IF(AND(VLOOKUP(AF$1,main!$A$3:$H$102,7,FALSE)=main!$G$104,VLOOKUP(AF$1,main!$A$3:$H$102,5,FALSE)-VLOOKUP($A155,main!$A$3:$H$102,6,FALSE)&gt;=main!$D$103+VLOOKUP(VLOOKUP(AF$1,main!$A$3:$I$102,7,FALSE),main!$K$26:$Q$29,4,FALSE)),1,0)</f>
        <v>1</v>
      </c>
      <c r="AG155">
        <f>IF(AND(VLOOKUP(AG$1,main!$A$3:$H$102,7,FALSE)=main!$G$104,VLOOKUP(AG$1,main!$A$3:$H$102,5,FALSE)-VLOOKUP($A155,main!$A$3:$H$102,6,FALSE)&gt;=main!$D$103+VLOOKUP(VLOOKUP(AG$1,main!$A$3:$I$102,7,FALSE),main!$K$26:$Q$29,4,FALSE)),1,0)</f>
        <v>0</v>
      </c>
      <c r="AH155">
        <f>IF(AND(VLOOKUP(AH$1,main!$A$3:$H$102,7,FALSE)=main!$G$104,VLOOKUP(AH$1,main!$A$3:$H$102,5,FALSE)-VLOOKUP($A155,main!$A$3:$H$102,6,FALSE)&gt;=main!$D$103+VLOOKUP(VLOOKUP(AH$1,main!$A$3:$I$102,7,FALSE),main!$K$26:$Q$29,4,FALSE)),1,0)</f>
        <v>0</v>
      </c>
      <c r="AI155">
        <f>IF(AND(VLOOKUP(AI$1,main!$A$3:$H$102,7,FALSE)=main!$G$104,VLOOKUP(AI$1,main!$A$3:$H$102,5,FALSE)-VLOOKUP($A155,main!$A$3:$H$102,6,FALSE)&gt;=main!$D$103+VLOOKUP(VLOOKUP(AI$1,main!$A$3:$I$102,7,FALSE),main!$K$26:$Q$29,4,FALSE)),1,0)</f>
        <v>0</v>
      </c>
      <c r="AJ155">
        <f>IF(AND(VLOOKUP(AJ$1,main!$A$3:$H$102,7,FALSE)=main!$G$104,VLOOKUP(AJ$1,main!$A$3:$H$102,5,FALSE)-VLOOKUP($A155,main!$A$3:$H$102,6,FALSE)&gt;=main!$D$103+VLOOKUP(VLOOKUP(AJ$1,main!$A$3:$I$102,7,FALSE),main!$K$26:$Q$29,4,FALSE)),1,0)</f>
        <v>0</v>
      </c>
      <c r="AK155">
        <f>IF(AND(VLOOKUP(AK$1,main!$A$3:$H$102,7,FALSE)=main!$G$104,VLOOKUP(AK$1,main!$A$3:$H$102,5,FALSE)-VLOOKUP($A155,main!$A$3:$H$102,6,FALSE)&gt;=main!$D$103+VLOOKUP(VLOOKUP(AK$1,main!$A$3:$I$102,7,FALSE),main!$K$26:$Q$29,4,FALSE)),1,0)</f>
        <v>0</v>
      </c>
      <c r="AL155">
        <f>IF(AND(VLOOKUP(AL$1,main!$A$3:$H$102,7,FALSE)=main!$G$104,VLOOKUP(AL$1,main!$A$3:$H$102,5,FALSE)-VLOOKUP($A155,main!$A$3:$H$102,6,FALSE)&gt;=main!$D$103+VLOOKUP(VLOOKUP(AL$1,main!$A$3:$I$102,7,FALSE),main!$K$26:$Q$29,4,FALSE)),1,0)</f>
        <v>0</v>
      </c>
      <c r="AM155">
        <f>IF(AND(VLOOKUP(AM$1,main!$A$3:$H$102,7,FALSE)=main!$G$104,VLOOKUP(AM$1,main!$A$3:$H$102,5,FALSE)-VLOOKUP($A155,main!$A$3:$H$102,6,FALSE)&gt;=main!$D$103+VLOOKUP(VLOOKUP(AM$1,main!$A$3:$I$102,7,FALSE),main!$K$26:$Q$29,4,FALSE)),1,0)</f>
        <v>0</v>
      </c>
      <c r="AN155">
        <f>IF(AND(VLOOKUP(AN$1,main!$A$3:$H$102,7,FALSE)=main!$G$104,VLOOKUP(AN$1,main!$A$3:$H$102,5,FALSE)-VLOOKUP($A155,main!$A$3:$H$102,6,FALSE)&gt;=main!$D$103+VLOOKUP(VLOOKUP(AN$1,main!$A$3:$I$102,7,FALSE),main!$K$26:$Q$29,4,FALSE)),1,0)</f>
        <v>0</v>
      </c>
      <c r="AO155">
        <f>IF(AND(VLOOKUP(AO$1,main!$A$3:$H$102,7,FALSE)=main!$G$104,VLOOKUP(AO$1,main!$A$3:$H$102,5,FALSE)-VLOOKUP($A155,main!$A$3:$H$102,6,FALSE)&gt;=main!$D$103+VLOOKUP(VLOOKUP(AO$1,main!$A$3:$I$102,7,FALSE),main!$K$26:$Q$29,4,FALSE)),1,0)</f>
        <v>0</v>
      </c>
      <c r="AP155">
        <f>IF(AND(VLOOKUP(AP$1,main!$A$3:$H$102,7,FALSE)=main!$G$104,VLOOKUP(AP$1,main!$A$3:$H$102,5,FALSE)-VLOOKUP($A155,main!$A$3:$H$102,6,FALSE)&gt;=main!$D$103+VLOOKUP(VLOOKUP(AP$1,main!$A$3:$I$102,7,FALSE),main!$K$26:$Q$29,4,FALSE)),1,0)</f>
        <v>0</v>
      </c>
      <c r="AQ155">
        <f>IF(AND(VLOOKUP(AQ$1,main!$A$3:$H$102,7,FALSE)=main!$G$104,VLOOKUP(AQ$1,main!$A$3:$H$102,5,FALSE)-VLOOKUP($A155,main!$A$3:$H$102,6,FALSE)&gt;=main!$D$103+VLOOKUP(VLOOKUP(AQ$1,main!$A$3:$I$102,7,FALSE),main!$K$26:$Q$29,4,FALSE)),1,0)</f>
        <v>0</v>
      </c>
      <c r="AR155">
        <f>IF(AND(VLOOKUP(AR$1,main!$A$3:$H$102,7,FALSE)=main!$G$104,VLOOKUP(AR$1,main!$A$3:$H$102,5,FALSE)-VLOOKUP($A155,main!$A$3:$H$102,6,FALSE)&gt;=main!$D$103+VLOOKUP(VLOOKUP(AR$1,main!$A$3:$I$102,7,FALSE),main!$K$26:$Q$29,4,FALSE)),1,0)</f>
        <v>0</v>
      </c>
      <c r="AS155">
        <f>IF(AND(VLOOKUP(AS$1,main!$A$3:$H$102,7,FALSE)=main!$G$104,VLOOKUP(AS$1,main!$A$3:$H$102,5,FALSE)-VLOOKUP($A155,main!$A$3:$H$102,6,FALSE)&gt;=main!$D$103+VLOOKUP(VLOOKUP(AS$1,main!$A$3:$I$102,7,FALSE),main!$K$26:$Q$29,4,FALSE)),1,0)</f>
        <v>0</v>
      </c>
      <c r="AT155">
        <f>IF(AND(VLOOKUP(AT$1,main!$A$3:$H$102,7,FALSE)=main!$G$104,VLOOKUP(AT$1,main!$A$3:$H$102,5,FALSE)-VLOOKUP($A155,main!$A$3:$H$102,6,FALSE)&gt;=main!$D$103+VLOOKUP(VLOOKUP(AT$1,main!$A$3:$I$102,7,FALSE),main!$K$26:$Q$29,4,FALSE)),1,0)</f>
        <v>0</v>
      </c>
      <c r="AU155">
        <f>IF(AND(VLOOKUP(AU$1,main!$A$3:$H$102,7,FALSE)=main!$G$104,VLOOKUP(AU$1,main!$A$3:$H$102,5,FALSE)-VLOOKUP($A155,main!$A$3:$H$102,6,FALSE)&gt;=main!$D$103+VLOOKUP(VLOOKUP(AU$1,main!$A$3:$I$102,7,FALSE),main!$K$26:$Q$29,4,FALSE)),1,0)</f>
        <v>0</v>
      </c>
      <c r="AV155">
        <f>IF(AND(VLOOKUP(AV$1,main!$A$3:$H$102,7,FALSE)=main!$G$104,VLOOKUP(AV$1,main!$A$3:$H$102,5,FALSE)-VLOOKUP($A155,main!$A$3:$H$102,6,FALSE)&gt;=main!$D$103+VLOOKUP(VLOOKUP(AV$1,main!$A$3:$I$102,7,FALSE),main!$K$26:$Q$29,4,FALSE)),1,0)</f>
        <v>0</v>
      </c>
      <c r="AW155">
        <f>IF(AND(VLOOKUP(AW$1,main!$A$3:$H$102,7,FALSE)=main!$G$104,VLOOKUP(AW$1,main!$A$3:$H$102,5,FALSE)-VLOOKUP($A155,main!$A$3:$H$102,6,FALSE)&gt;=main!$D$103+VLOOKUP(VLOOKUP(AW$1,main!$A$3:$I$102,7,FALSE),main!$K$26:$Q$29,4,FALSE)),1,0)</f>
        <v>0</v>
      </c>
      <c r="AX155">
        <f>IF(AND(VLOOKUP(AX$1,main!$A$3:$H$102,7,FALSE)=main!$G$104,VLOOKUP(AX$1,main!$A$3:$H$102,5,FALSE)-VLOOKUP($A155,main!$A$3:$H$102,6,FALSE)&gt;=main!$D$103+VLOOKUP(VLOOKUP(AX$1,main!$A$3:$I$102,7,FALSE),main!$K$26:$Q$29,4,FALSE)),1,0)</f>
        <v>0</v>
      </c>
      <c r="AY155">
        <f>IF(AND(VLOOKUP(AY$1,main!$A$3:$H$102,7,FALSE)=main!$G$104,VLOOKUP(AY$1,main!$A$3:$H$102,5,FALSE)-VLOOKUP($A155,main!$A$3:$H$102,6,FALSE)&gt;=main!$D$103+VLOOKUP(VLOOKUP(AY$1,main!$A$3:$I$102,7,FALSE),main!$K$26:$Q$29,4,FALSE)),1,0)</f>
        <v>0</v>
      </c>
      <c r="AZ155">
        <f>IF(AND(VLOOKUP(AZ$1,main!$A$3:$H$102,7,FALSE)=main!$G$104,VLOOKUP(AZ$1,main!$A$3:$H$102,5,FALSE)-VLOOKUP($A155,main!$A$3:$H$102,6,FALSE)&gt;=main!$D$103+VLOOKUP(VLOOKUP(AZ$1,main!$A$3:$I$102,7,FALSE),main!$K$26:$Q$29,4,FALSE)),1,0)</f>
        <v>0</v>
      </c>
      <c r="BA155">
        <f>IF(AND(VLOOKUP(BA$1,main!$A$3:$H$102,7,FALSE)=main!$G$104,VLOOKUP(BA$1,main!$A$3:$H$102,5,FALSE)-VLOOKUP($A155,main!$A$3:$H$102,6,FALSE)&gt;=main!$D$103+VLOOKUP(VLOOKUP(BA$1,main!$A$3:$I$102,7,FALSE),main!$K$26:$Q$29,4,FALSE)),1,0)</f>
        <v>0</v>
      </c>
      <c r="BB155">
        <f>IF(AND(VLOOKUP(BB$1,main!$A$3:$H$102,7,FALSE)=main!$G$104,VLOOKUP(BB$1,main!$A$3:$H$102,5,FALSE)-VLOOKUP($A155,main!$A$3:$H$102,6,FALSE)&gt;=main!$D$103+VLOOKUP(VLOOKUP(BB$1,main!$A$3:$I$102,7,FALSE),main!$K$26:$Q$29,4,FALSE)),1,0)</f>
        <v>0</v>
      </c>
      <c r="BC155">
        <f>IF(AND(VLOOKUP(BC$1,main!$A$3:$H$102,7,FALSE)=main!$G$104,VLOOKUP(BC$1,main!$A$3:$H$102,5,FALSE)-VLOOKUP($A155,main!$A$3:$H$102,6,FALSE)&gt;=main!$D$103+VLOOKUP(VLOOKUP(BC$1,main!$A$3:$I$102,7,FALSE),main!$K$26:$Q$29,4,FALSE)),1,0)</f>
        <v>0</v>
      </c>
      <c r="BD155">
        <f>IF(AND(VLOOKUP(BD$1,main!$A$3:$H$102,7,FALSE)=main!$G$104,VLOOKUP(BD$1,main!$A$3:$H$102,5,FALSE)-VLOOKUP($A155,main!$A$3:$H$102,6,FALSE)&gt;=main!$D$103+VLOOKUP(VLOOKUP(BD$1,main!$A$3:$I$102,7,FALSE),main!$K$26:$Q$29,4,FALSE)),1,0)</f>
        <v>0</v>
      </c>
      <c r="BE155">
        <f>IF(AND(VLOOKUP(BE$1,main!$A$3:$H$102,7,FALSE)=main!$G$104,VLOOKUP(BE$1,main!$A$3:$H$102,5,FALSE)-VLOOKUP($A155,main!$A$3:$H$102,6,FALSE)&gt;=main!$D$103+VLOOKUP(VLOOKUP(BE$1,main!$A$3:$I$102,7,FALSE),main!$K$26:$Q$29,4,FALSE)),1,0)</f>
        <v>0</v>
      </c>
      <c r="BF155">
        <f>IF(AND(VLOOKUP(BF$1,main!$A$3:$H$102,7,FALSE)=main!$G$104,VLOOKUP(BF$1,main!$A$3:$H$102,5,FALSE)-VLOOKUP($A155,main!$A$3:$H$102,6,FALSE)&gt;=main!$D$103+VLOOKUP(VLOOKUP(BF$1,main!$A$3:$I$102,7,FALSE),main!$K$26:$Q$29,4,FALSE)),1,0)</f>
        <v>0</v>
      </c>
      <c r="BG155">
        <f>IF(AND(VLOOKUP(BG$1,main!$A$3:$H$102,7,FALSE)=main!$G$104,VLOOKUP(BG$1,main!$A$3:$H$102,5,FALSE)-VLOOKUP($A155,main!$A$3:$H$102,6,FALSE)&gt;=main!$D$103+VLOOKUP(VLOOKUP(BG$1,main!$A$3:$I$102,7,FALSE),main!$K$26:$Q$29,4,FALSE)),1,0)</f>
        <v>0</v>
      </c>
      <c r="BH155">
        <f>IF(AND(VLOOKUP(BH$1,main!$A$3:$H$102,7,FALSE)=main!$G$104,VLOOKUP(BH$1,main!$A$3:$H$102,5,FALSE)-VLOOKUP($A155,main!$A$3:$H$102,6,FALSE)&gt;=main!$D$103+VLOOKUP(VLOOKUP(BH$1,main!$A$3:$I$102,7,FALSE),main!$K$26:$Q$29,4,FALSE)),1,0)</f>
        <v>0</v>
      </c>
      <c r="BI155">
        <f>IF(AND(VLOOKUP(BI$1,main!$A$3:$H$102,7,FALSE)=main!$G$104,VLOOKUP(BI$1,main!$A$3:$H$102,5,FALSE)-VLOOKUP($A155,main!$A$3:$H$102,6,FALSE)&gt;=main!$D$103+VLOOKUP(VLOOKUP(BI$1,main!$A$3:$I$102,7,FALSE),main!$K$26:$Q$29,4,FALSE)),1,0)</f>
        <v>0</v>
      </c>
      <c r="BJ155">
        <f>IF(AND(VLOOKUP(BJ$1,main!$A$3:$H$102,7,FALSE)=main!$G$104,VLOOKUP(BJ$1,main!$A$3:$H$102,5,FALSE)-VLOOKUP($A155,main!$A$3:$H$102,6,FALSE)&gt;=main!$D$103+VLOOKUP(VLOOKUP(BJ$1,main!$A$3:$I$102,7,FALSE),main!$K$26:$Q$29,4,FALSE)),1,0)</f>
        <v>0</v>
      </c>
      <c r="BK155">
        <f>IF(AND(VLOOKUP(BK$1,main!$A$3:$H$102,7,FALSE)=main!$G$104,VLOOKUP(BK$1,main!$A$3:$H$102,5,FALSE)-VLOOKUP($A155,main!$A$3:$H$102,6,FALSE)&gt;=main!$D$103+VLOOKUP(VLOOKUP(BK$1,main!$A$3:$I$102,7,FALSE),main!$K$26:$Q$29,4,FALSE)),1,0)</f>
        <v>0</v>
      </c>
      <c r="BL155">
        <f>IF(AND(VLOOKUP(BL$1,main!$A$3:$H$102,7,FALSE)=main!$G$104,VLOOKUP(BL$1,main!$A$3:$H$102,5,FALSE)-VLOOKUP($A155,main!$A$3:$H$102,6,FALSE)&gt;=main!$D$103+VLOOKUP(VLOOKUP(BL$1,main!$A$3:$I$102,7,FALSE),main!$K$26:$Q$29,4,FALSE)),1,0)</f>
        <v>0</v>
      </c>
      <c r="BM155">
        <f>IF(AND(VLOOKUP(BM$1,main!$A$3:$H$102,7,FALSE)=main!$G$104,VLOOKUP(BM$1,main!$A$3:$H$102,5,FALSE)-VLOOKUP($A155,main!$A$3:$H$102,6,FALSE)&gt;=main!$D$103+VLOOKUP(VLOOKUP(BM$1,main!$A$3:$I$102,7,FALSE),main!$K$26:$Q$29,4,FALSE)),1,0)</f>
        <v>0</v>
      </c>
      <c r="BN155">
        <f>IF(AND(VLOOKUP(BN$1,main!$A$3:$H$102,7,FALSE)=main!$G$104,VLOOKUP(BN$1,main!$A$3:$H$102,5,FALSE)-VLOOKUP($A155,main!$A$3:$H$102,6,FALSE)&gt;=main!$D$103+VLOOKUP(VLOOKUP(BN$1,main!$A$3:$I$102,7,FALSE),main!$K$26:$Q$29,4,FALSE)),1,0)</f>
        <v>0</v>
      </c>
      <c r="BO155">
        <f>IF(AND(VLOOKUP(BO$1,main!$A$3:$H$102,7,FALSE)=main!$G$104,VLOOKUP(BO$1,main!$A$3:$H$102,5,FALSE)-VLOOKUP($A155,main!$A$3:$H$102,6,FALSE)&gt;=main!$D$103+VLOOKUP(VLOOKUP(BO$1,main!$A$3:$I$102,7,FALSE),main!$K$26:$Q$29,4,FALSE)),1,0)</f>
        <v>0</v>
      </c>
      <c r="BP155">
        <f>IF(AND(VLOOKUP(BP$1,main!$A$3:$H$102,7,FALSE)=main!$G$104,VLOOKUP(BP$1,main!$A$3:$H$102,5,FALSE)-VLOOKUP($A155,main!$A$3:$H$102,6,FALSE)&gt;=main!$D$103+VLOOKUP(VLOOKUP(BP$1,main!$A$3:$I$102,7,FALSE),main!$K$26:$Q$29,4,FALSE)),1,0)</f>
        <v>0</v>
      </c>
      <c r="BQ155">
        <f>IF(AND(VLOOKUP(BQ$1,main!$A$3:$H$102,7,FALSE)=main!$G$104,VLOOKUP(BQ$1,main!$A$3:$H$102,5,FALSE)-VLOOKUP($A155,main!$A$3:$H$102,6,FALSE)&gt;=main!$D$103+VLOOKUP(VLOOKUP(BQ$1,main!$A$3:$I$102,7,FALSE),main!$K$26:$Q$29,4,FALSE)),1,0)</f>
        <v>0</v>
      </c>
      <c r="BR155">
        <f>IF(AND(VLOOKUP(BR$1,main!$A$3:$H$102,7,FALSE)=main!$G$104,VLOOKUP(BR$1,main!$A$3:$H$102,5,FALSE)-VLOOKUP($A155,main!$A$3:$H$102,6,FALSE)&gt;=main!$D$103+VLOOKUP(VLOOKUP(BR$1,main!$A$3:$I$102,7,FALSE),main!$K$26:$Q$29,4,FALSE)),1,0)</f>
        <v>0</v>
      </c>
      <c r="BS155">
        <f>IF(AND(VLOOKUP(BS$1,main!$A$3:$H$102,7,FALSE)=main!$G$104,VLOOKUP(BS$1,main!$A$3:$H$102,5,FALSE)-VLOOKUP($A155,main!$A$3:$H$102,6,FALSE)&gt;=main!$D$103+VLOOKUP(VLOOKUP(BS$1,main!$A$3:$I$102,7,FALSE),main!$K$26:$Q$29,4,FALSE)),1,0)</f>
        <v>0</v>
      </c>
      <c r="BT155">
        <f>IF(AND(VLOOKUP(BT$1,main!$A$3:$H$102,7,FALSE)=main!$G$104,VLOOKUP(BT$1,main!$A$3:$H$102,5,FALSE)-VLOOKUP($A155,main!$A$3:$H$102,6,FALSE)&gt;=main!$D$103+VLOOKUP(VLOOKUP(BT$1,main!$A$3:$I$102,7,FALSE),main!$K$26:$Q$29,4,FALSE)),1,0)</f>
        <v>0</v>
      </c>
      <c r="BU155">
        <f>IF(AND(VLOOKUP(BU$1,main!$A$3:$H$102,7,FALSE)=main!$G$104,VLOOKUP(BU$1,main!$A$3:$H$102,5,FALSE)-VLOOKUP($A155,main!$A$3:$H$102,6,FALSE)&gt;=main!$D$103+VLOOKUP(VLOOKUP(BU$1,main!$A$3:$I$102,7,FALSE),main!$K$26:$Q$29,4,FALSE)),1,0)</f>
        <v>0</v>
      </c>
      <c r="BV155">
        <f>IF(AND(VLOOKUP(BV$1,main!$A$3:$H$102,7,FALSE)=main!$G$104,VLOOKUP(BV$1,main!$A$3:$H$102,5,FALSE)-VLOOKUP($A155,main!$A$3:$H$102,6,FALSE)&gt;=main!$D$103+VLOOKUP(VLOOKUP(BV$1,main!$A$3:$I$102,7,FALSE),main!$K$26:$Q$29,4,FALSE)),1,0)</f>
        <v>0</v>
      </c>
      <c r="BW155">
        <f>IF(AND(VLOOKUP(BW$1,main!$A$3:$H$102,7,FALSE)=main!$G$104,VLOOKUP(BW$1,main!$A$3:$H$102,5,FALSE)-VLOOKUP($A155,main!$A$3:$H$102,6,FALSE)&gt;=main!$D$103+VLOOKUP(VLOOKUP(BW$1,main!$A$3:$I$102,7,FALSE),main!$K$26:$Q$29,4,FALSE)),1,0)</f>
        <v>0</v>
      </c>
      <c r="BX155">
        <f>IF(AND(VLOOKUP(BX$1,main!$A$3:$H$102,7,FALSE)=main!$G$104,VLOOKUP(BX$1,main!$A$3:$H$102,5,FALSE)-VLOOKUP($A155,main!$A$3:$H$102,6,FALSE)&gt;=main!$D$103+VLOOKUP(VLOOKUP(BX$1,main!$A$3:$I$102,7,FALSE),main!$K$26:$Q$29,4,FALSE)),1,0)</f>
        <v>0</v>
      </c>
      <c r="BY155">
        <f>IF(AND(VLOOKUP(BY$1,main!$A$3:$H$102,7,FALSE)=main!$G$104,VLOOKUP(BY$1,main!$A$3:$H$102,5,FALSE)-VLOOKUP($A155,main!$A$3:$H$102,6,FALSE)&gt;=main!$D$103+VLOOKUP(VLOOKUP(BY$1,main!$A$3:$I$102,7,FALSE),main!$K$26:$Q$29,4,FALSE)),1,0)</f>
        <v>0</v>
      </c>
      <c r="BZ155">
        <f>IF(AND(VLOOKUP(BZ$1,main!$A$3:$H$102,7,FALSE)=main!$G$104,VLOOKUP(BZ$1,main!$A$3:$H$102,5,FALSE)-VLOOKUP($A155,main!$A$3:$H$102,6,FALSE)&gt;=main!$D$103+VLOOKUP(VLOOKUP(BZ$1,main!$A$3:$I$102,7,FALSE),main!$K$26:$Q$29,4,FALSE)),1,0)</f>
        <v>0</v>
      </c>
      <c r="CA155">
        <f>IF(AND(VLOOKUP(CA$1,main!$A$3:$H$102,7,FALSE)=main!$G$104,VLOOKUP(CA$1,main!$A$3:$H$102,5,FALSE)-VLOOKUP($A155,main!$A$3:$H$102,6,FALSE)&gt;=main!$D$103+VLOOKUP(VLOOKUP(CA$1,main!$A$3:$I$102,7,FALSE),main!$K$26:$Q$29,4,FALSE)),1,0)</f>
        <v>0</v>
      </c>
      <c r="CB155">
        <f>IF(AND(VLOOKUP(CB$1,main!$A$3:$H$102,7,FALSE)=main!$G$104,VLOOKUP(CB$1,main!$A$3:$H$102,5,FALSE)-VLOOKUP($A155,main!$A$3:$H$102,6,FALSE)&gt;=main!$D$103+VLOOKUP(VLOOKUP(CB$1,main!$A$3:$I$102,7,FALSE),main!$K$26:$Q$29,4,FALSE)),1,0)</f>
        <v>0</v>
      </c>
      <c r="CC155">
        <f>IF(AND(VLOOKUP(CC$1,main!$A$3:$H$102,7,FALSE)=main!$G$104,VLOOKUP(CC$1,main!$A$3:$H$102,5,FALSE)-VLOOKUP($A155,main!$A$3:$H$102,6,FALSE)&gt;=main!$D$103+VLOOKUP(VLOOKUP(CC$1,main!$A$3:$I$102,7,FALSE),main!$K$26:$Q$29,4,FALSE)),1,0)</f>
        <v>0</v>
      </c>
      <c r="CD155">
        <f>IF(AND(VLOOKUP(CD$1,main!$A$3:$H$102,7,FALSE)=main!$G$104,VLOOKUP(CD$1,main!$A$3:$H$102,5,FALSE)-VLOOKUP($A155,main!$A$3:$H$102,6,FALSE)&gt;=main!$D$103+VLOOKUP(VLOOKUP(CD$1,main!$A$3:$I$102,7,FALSE),main!$K$26:$Q$29,4,FALSE)),1,0)</f>
        <v>0</v>
      </c>
      <c r="CE155">
        <f>IF(AND(VLOOKUP(CE$1,main!$A$3:$H$102,7,FALSE)=main!$G$104,VLOOKUP(CE$1,main!$A$3:$H$102,5,FALSE)-VLOOKUP($A155,main!$A$3:$H$102,6,FALSE)&gt;=main!$D$103+VLOOKUP(VLOOKUP(CE$1,main!$A$3:$I$102,7,FALSE),main!$K$26:$Q$29,4,FALSE)),1,0)</f>
        <v>0</v>
      </c>
      <c r="CF155">
        <f>IF(AND(VLOOKUP(CF$1,main!$A$3:$H$102,7,FALSE)=main!$G$104,VLOOKUP(CF$1,main!$A$3:$H$102,5,FALSE)-VLOOKUP($A155,main!$A$3:$H$102,6,FALSE)&gt;=main!$D$103+VLOOKUP(VLOOKUP(CF$1,main!$A$3:$I$102,7,FALSE),main!$K$26:$Q$29,4,FALSE)),1,0)</f>
        <v>0</v>
      </c>
      <c r="CG155">
        <f>IF(AND(VLOOKUP(CG$1,main!$A$3:$H$102,7,FALSE)=main!$G$104,VLOOKUP(CG$1,main!$A$3:$H$102,5,FALSE)-VLOOKUP($A155,main!$A$3:$H$102,6,FALSE)&gt;=main!$D$103+VLOOKUP(VLOOKUP(CG$1,main!$A$3:$I$102,7,FALSE),main!$K$26:$Q$29,4,FALSE)),1,0)</f>
        <v>0</v>
      </c>
      <c r="CH155">
        <f>IF(AND(VLOOKUP(CH$1,main!$A$3:$H$102,7,FALSE)=main!$G$104,VLOOKUP(CH$1,main!$A$3:$H$102,5,FALSE)-VLOOKUP($A155,main!$A$3:$H$102,6,FALSE)&gt;=main!$D$103+VLOOKUP(VLOOKUP(CH$1,main!$A$3:$I$102,7,FALSE),main!$K$26:$Q$29,4,FALSE)),1,0)</f>
        <v>0</v>
      </c>
      <c r="CI155">
        <f>IF(AND(VLOOKUP(CI$1,main!$A$3:$H$102,7,FALSE)=main!$G$104,VLOOKUP(CI$1,main!$A$3:$H$102,5,FALSE)-VLOOKUP($A155,main!$A$3:$H$102,6,FALSE)&gt;=main!$D$103+VLOOKUP(VLOOKUP(CI$1,main!$A$3:$I$102,7,FALSE),main!$K$26:$Q$29,4,FALSE)),1,0)</f>
        <v>0</v>
      </c>
      <c r="CJ155">
        <f>IF(AND(VLOOKUP(CJ$1,main!$A$3:$H$102,7,FALSE)=main!$G$104,VLOOKUP(CJ$1,main!$A$3:$H$102,5,FALSE)-VLOOKUP($A155,main!$A$3:$H$102,6,FALSE)&gt;=main!$D$103+VLOOKUP(VLOOKUP(CJ$1,main!$A$3:$I$102,7,FALSE),main!$K$26:$Q$29,4,FALSE)),1,0)</f>
        <v>0</v>
      </c>
      <c r="CK155">
        <f>IF(AND(VLOOKUP(CK$1,main!$A$3:$H$102,7,FALSE)=main!$G$104,VLOOKUP(CK$1,main!$A$3:$H$102,5,FALSE)-VLOOKUP($A155,main!$A$3:$H$102,6,FALSE)&gt;=main!$D$103+VLOOKUP(VLOOKUP(CK$1,main!$A$3:$I$102,7,FALSE),main!$K$26:$Q$29,4,FALSE)),1,0)</f>
        <v>0</v>
      </c>
      <c r="CL155">
        <f>IF(AND(VLOOKUP(CL$1,main!$A$3:$H$102,7,FALSE)=main!$G$104,VLOOKUP(CL$1,main!$A$3:$H$102,5,FALSE)-VLOOKUP($A155,main!$A$3:$H$102,6,FALSE)&gt;=main!$D$103+VLOOKUP(VLOOKUP(CL$1,main!$A$3:$I$102,7,FALSE),main!$K$26:$Q$29,4,FALSE)),1,0)</f>
        <v>0</v>
      </c>
      <c r="CM155">
        <f>IF(AND(VLOOKUP(CM$1,main!$A$3:$H$102,7,FALSE)=main!$G$104,VLOOKUP(CM$1,main!$A$3:$H$102,5,FALSE)-VLOOKUP($A155,main!$A$3:$H$102,6,FALSE)&gt;=main!$D$103+VLOOKUP(VLOOKUP(CM$1,main!$A$3:$I$102,7,FALSE),main!$K$26:$Q$29,4,FALSE)),1,0)</f>
        <v>0</v>
      </c>
      <c r="CN155">
        <f>IF(AND(VLOOKUP(CN$1,main!$A$3:$H$102,7,FALSE)=main!$G$104,VLOOKUP(CN$1,main!$A$3:$H$102,5,FALSE)-VLOOKUP($A155,main!$A$3:$H$102,6,FALSE)&gt;=main!$D$103+VLOOKUP(VLOOKUP(CN$1,main!$A$3:$I$102,7,FALSE),main!$K$26:$Q$29,4,FALSE)),1,0)</f>
        <v>0</v>
      </c>
      <c r="CO155">
        <f>IF(AND(VLOOKUP(CO$1,main!$A$3:$H$102,7,FALSE)=main!$G$104,VLOOKUP(CO$1,main!$A$3:$H$102,5,FALSE)-VLOOKUP($A155,main!$A$3:$H$102,6,FALSE)&gt;=main!$D$103+VLOOKUP(VLOOKUP(CO$1,main!$A$3:$I$102,7,FALSE),main!$K$26:$Q$29,4,FALSE)),1,0)</f>
        <v>0</v>
      </c>
      <c r="CP155">
        <f>IF(AND(VLOOKUP(CP$1,main!$A$3:$H$102,7,FALSE)=main!$G$104,VLOOKUP(CP$1,main!$A$3:$H$102,5,FALSE)-VLOOKUP($A155,main!$A$3:$H$102,6,FALSE)&gt;=main!$D$103+VLOOKUP(VLOOKUP(CP$1,main!$A$3:$I$102,7,FALSE),main!$K$26:$Q$29,4,FALSE)),1,0)</f>
        <v>0</v>
      </c>
      <c r="CQ155">
        <f>IF(AND(VLOOKUP(CQ$1,main!$A$3:$H$102,7,FALSE)=main!$G$104,VLOOKUP(CQ$1,main!$A$3:$H$102,5,FALSE)-VLOOKUP($A155,main!$A$3:$H$102,6,FALSE)&gt;=main!$D$103+VLOOKUP(VLOOKUP(CQ$1,main!$A$3:$I$102,7,FALSE),main!$K$26:$Q$29,4,FALSE)),1,0)</f>
        <v>0</v>
      </c>
      <c r="CR155">
        <f>IF(AND(VLOOKUP(CR$1,main!$A$3:$H$102,7,FALSE)=main!$G$104,VLOOKUP(CR$1,main!$A$3:$H$102,5,FALSE)-VLOOKUP($A155,main!$A$3:$H$102,6,FALSE)&gt;=main!$D$103+VLOOKUP(VLOOKUP(CR$1,main!$A$3:$I$102,7,FALSE),main!$K$26:$Q$29,4,FALSE)),1,0)</f>
        <v>0</v>
      </c>
      <c r="CS155">
        <f>IF(AND(VLOOKUP(CS$1,main!$A$3:$H$102,7,FALSE)=main!$G$104,VLOOKUP(CS$1,main!$A$3:$H$102,5,FALSE)-VLOOKUP($A155,main!$A$3:$H$102,6,FALSE)&gt;=main!$D$103+VLOOKUP(VLOOKUP(CS$1,main!$A$3:$I$102,7,FALSE),main!$K$26:$Q$29,4,FALSE)),1,0)</f>
        <v>0</v>
      </c>
      <c r="CT155">
        <f>IF(AND(VLOOKUP(CT$1,main!$A$3:$H$102,7,FALSE)=main!$G$104,VLOOKUP(CT$1,main!$A$3:$H$102,5,FALSE)-VLOOKUP($A155,main!$A$3:$H$102,6,FALSE)&gt;=main!$D$103+VLOOKUP(VLOOKUP(CT$1,main!$A$3:$I$102,7,FALSE),main!$K$26:$Q$29,4,FALSE)),1,0)</f>
        <v>0</v>
      </c>
      <c r="CU155">
        <f>IF(AND(VLOOKUP(CU$1,main!$A$3:$H$102,7,FALSE)=main!$G$104,VLOOKUP(CU$1,main!$A$3:$H$102,5,FALSE)-VLOOKUP($A155,main!$A$3:$H$102,6,FALSE)&gt;=main!$D$103+VLOOKUP(VLOOKUP(CU$1,main!$A$3:$I$102,7,FALSE),main!$K$26:$Q$29,4,FALSE)),1,0)</f>
        <v>0</v>
      </c>
      <c r="CV155">
        <f>IF(AND(VLOOKUP(CV$1,main!$A$3:$H$102,7,FALSE)=main!$G$104,VLOOKUP(CV$1,main!$A$3:$H$102,5,FALSE)-VLOOKUP($A155,main!$A$3:$H$102,6,FALSE)&gt;=main!$D$103+VLOOKUP(VLOOKUP(CV$1,main!$A$3:$I$102,7,FALSE),main!$K$26:$Q$29,4,FALSE)),1,0)</f>
        <v>0</v>
      </c>
      <c r="CW155">
        <f>IF(AND(VLOOKUP(CW$1,main!$A$3:$H$102,7,FALSE)=main!$G$104,VLOOKUP(CW$1,main!$A$3:$H$102,5,FALSE)-VLOOKUP($A155,main!$A$3:$H$102,6,FALSE)&gt;=main!$D$103+VLOOKUP(VLOOKUP(CW$1,main!$A$3:$I$102,7,FALSE),main!$K$26:$Q$29,4,FALSE)),1,0)</f>
        <v>0</v>
      </c>
      <c r="CX155">
        <f>IF(AND(VLOOKUP(CX$1,main!$A$3:$H$102,7,FALSE)=main!$G$104,VLOOKUP(CX$1,main!$A$3:$H$102,5,FALSE)-VLOOKUP($A155,main!$A$3:$H$102,6,FALSE)&gt;=main!$D$103+VLOOKUP(VLOOKUP(CX$1,main!$A$3:$I$102,7,FALSE),main!$K$26:$Q$29,4,FALSE)),1,0)</f>
        <v>0</v>
      </c>
    </row>
    <row r="156" spans="1:106" x14ac:dyDescent="0.25">
      <c r="A156" s="1">
        <v>53</v>
      </c>
      <c r="B156">
        <v>0</v>
      </c>
      <c r="C156">
        <f>IF(AND(VLOOKUP(C$1,main!$A$3:$H$102,7,FALSE)=main!$G$104,VLOOKUP(C$1,main!$A$3:$H$102,5,FALSE)-VLOOKUP($A156,main!$A$3:$H$102,6,FALSE)&gt;=main!$D$103+VLOOKUP(VLOOKUP(C$1,main!$A$3:$I$102,7,FALSE),main!$K$26:$Q$29,4,FALSE)),1,0)</f>
        <v>0</v>
      </c>
      <c r="D156">
        <f>IF(AND(VLOOKUP(D$1,main!$A$3:$H$102,7,FALSE)=main!$G$104,VLOOKUP(D$1,main!$A$3:$H$102,5,FALSE)-VLOOKUP($A156,main!$A$3:$H$102,6,FALSE)&gt;=main!$D$103+VLOOKUP(VLOOKUP(D$1,main!$A$3:$I$102,7,FALSE),main!$K$26:$Q$29,4,FALSE)),1,0)</f>
        <v>0</v>
      </c>
      <c r="E156">
        <f>IF(AND(VLOOKUP(E$1,main!$A$3:$H$102,7,FALSE)=main!$G$104,VLOOKUP(E$1,main!$A$3:$H$102,5,FALSE)-VLOOKUP($A156,main!$A$3:$H$102,6,FALSE)&gt;=main!$D$103+VLOOKUP(VLOOKUP(E$1,main!$A$3:$I$102,7,FALSE),main!$K$26:$Q$29,4,FALSE)),1,0)</f>
        <v>0</v>
      </c>
      <c r="F156">
        <f>IF(AND(VLOOKUP(F$1,main!$A$3:$H$102,7,FALSE)=main!$G$104,VLOOKUP(F$1,main!$A$3:$H$102,5,FALSE)-VLOOKUP($A156,main!$A$3:$H$102,6,FALSE)&gt;=main!$D$103+VLOOKUP(VLOOKUP(F$1,main!$A$3:$I$102,7,FALSE),main!$K$26:$Q$29,4,FALSE)),1,0)</f>
        <v>0</v>
      </c>
      <c r="G156">
        <f>IF(AND(VLOOKUP(G$1,main!$A$3:$H$102,7,FALSE)=main!$G$104,VLOOKUP(G$1,main!$A$3:$H$102,5,FALSE)-VLOOKUP($A156,main!$A$3:$H$102,6,FALSE)&gt;=main!$D$103+VLOOKUP(VLOOKUP(G$1,main!$A$3:$I$102,7,FALSE),main!$K$26:$Q$29,4,FALSE)),1,0)</f>
        <v>0</v>
      </c>
      <c r="H156">
        <f>IF(AND(VLOOKUP(H$1,main!$A$3:$H$102,7,FALSE)=main!$G$104,VLOOKUP(H$1,main!$A$3:$H$102,5,FALSE)-VLOOKUP($A156,main!$A$3:$H$102,6,FALSE)&gt;=main!$D$103+VLOOKUP(VLOOKUP(H$1,main!$A$3:$I$102,7,FALSE),main!$K$26:$Q$29,4,FALSE)),1,0)</f>
        <v>0</v>
      </c>
      <c r="I156">
        <f>IF(AND(VLOOKUP(I$1,main!$A$3:$H$102,7,FALSE)=main!$G$104,VLOOKUP(I$1,main!$A$3:$H$102,5,FALSE)-VLOOKUP($A156,main!$A$3:$H$102,6,FALSE)&gt;=main!$D$103+VLOOKUP(VLOOKUP(I$1,main!$A$3:$I$102,7,FALSE),main!$K$26:$Q$29,4,FALSE)),1,0)</f>
        <v>0</v>
      </c>
      <c r="J156">
        <f>IF(AND(VLOOKUP(J$1,main!$A$3:$H$102,7,FALSE)=main!$G$104,VLOOKUP(J$1,main!$A$3:$H$102,5,FALSE)-VLOOKUP($A156,main!$A$3:$H$102,6,FALSE)&gt;=main!$D$103+VLOOKUP(VLOOKUP(J$1,main!$A$3:$I$102,7,FALSE),main!$K$26:$Q$29,4,FALSE)),1,0)</f>
        <v>0</v>
      </c>
      <c r="K156">
        <f>IF(AND(VLOOKUP(K$1,main!$A$3:$H$102,7,FALSE)=main!$G$104,VLOOKUP(K$1,main!$A$3:$H$102,5,FALSE)-VLOOKUP($A156,main!$A$3:$H$102,6,FALSE)&gt;=main!$D$103+VLOOKUP(VLOOKUP(K$1,main!$A$3:$I$102,7,FALSE),main!$K$26:$Q$29,4,FALSE)),1,0)</f>
        <v>1</v>
      </c>
      <c r="L156">
        <f>IF(AND(VLOOKUP(L$1,main!$A$3:$H$102,7,FALSE)=main!$G$104,VLOOKUP(L$1,main!$A$3:$H$102,5,FALSE)-VLOOKUP($A156,main!$A$3:$H$102,6,FALSE)&gt;=main!$D$103+VLOOKUP(VLOOKUP(L$1,main!$A$3:$I$102,7,FALSE),main!$K$26:$Q$29,4,FALSE)),1,0)</f>
        <v>1</v>
      </c>
      <c r="M156">
        <f>IF(AND(VLOOKUP(M$1,main!$A$3:$H$102,7,FALSE)=main!$G$104,VLOOKUP(M$1,main!$A$3:$H$102,5,FALSE)-VLOOKUP($A156,main!$A$3:$H$102,6,FALSE)&gt;=main!$D$103+VLOOKUP(VLOOKUP(M$1,main!$A$3:$I$102,7,FALSE),main!$K$26:$Q$29,4,FALSE)),1,0)</f>
        <v>0</v>
      </c>
      <c r="N156">
        <f>IF(AND(VLOOKUP(N$1,main!$A$3:$H$102,7,FALSE)=main!$G$104,VLOOKUP(N$1,main!$A$3:$H$102,5,FALSE)-VLOOKUP($A156,main!$A$3:$H$102,6,FALSE)&gt;=main!$D$103+VLOOKUP(VLOOKUP(N$1,main!$A$3:$I$102,7,FALSE),main!$K$26:$Q$29,4,FALSE)),1,0)</f>
        <v>0</v>
      </c>
      <c r="O156">
        <f>IF(AND(VLOOKUP(O$1,main!$A$3:$H$102,7,FALSE)=main!$G$104,VLOOKUP(O$1,main!$A$3:$H$102,5,FALSE)-VLOOKUP($A156,main!$A$3:$H$102,6,FALSE)&gt;=main!$D$103+VLOOKUP(VLOOKUP(O$1,main!$A$3:$I$102,7,FALSE),main!$K$26:$Q$29,4,FALSE)),1,0)</f>
        <v>0</v>
      </c>
      <c r="P156">
        <f>IF(AND(VLOOKUP(P$1,main!$A$3:$H$102,7,FALSE)=main!$G$104,VLOOKUP(P$1,main!$A$3:$H$102,5,FALSE)-VLOOKUP($A156,main!$A$3:$H$102,6,FALSE)&gt;=main!$D$103+VLOOKUP(VLOOKUP(P$1,main!$A$3:$I$102,7,FALSE),main!$K$26:$Q$29,4,FALSE)),1,0)</f>
        <v>0</v>
      </c>
      <c r="Q156">
        <f>IF(AND(VLOOKUP(Q$1,main!$A$3:$H$102,7,FALSE)=main!$G$104,VLOOKUP(Q$1,main!$A$3:$H$102,5,FALSE)-VLOOKUP($A156,main!$A$3:$H$102,6,FALSE)&gt;=main!$D$103+VLOOKUP(VLOOKUP(Q$1,main!$A$3:$I$102,7,FALSE),main!$K$26:$Q$29,4,FALSE)),1,0)</f>
        <v>0</v>
      </c>
      <c r="R156">
        <f>IF(AND(VLOOKUP(R$1,main!$A$3:$H$102,7,FALSE)=main!$G$104,VLOOKUP(R$1,main!$A$3:$H$102,5,FALSE)-VLOOKUP($A156,main!$A$3:$H$102,6,FALSE)&gt;=main!$D$103+VLOOKUP(VLOOKUP(R$1,main!$A$3:$I$102,7,FALSE),main!$K$26:$Q$29,4,FALSE)),1,0)</f>
        <v>0</v>
      </c>
      <c r="S156">
        <f>IF(AND(VLOOKUP(S$1,main!$A$3:$H$102,7,FALSE)=main!$G$104,VLOOKUP(S$1,main!$A$3:$H$102,5,FALSE)-VLOOKUP($A156,main!$A$3:$H$102,6,FALSE)&gt;=main!$D$103+VLOOKUP(VLOOKUP(S$1,main!$A$3:$I$102,7,FALSE),main!$K$26:$Q$29,4,FALSE)),1,0)</f>
        <v>0</v>
      </c>
      <c r="T156">
        <f>IF(AND(VLOOKUP(T$1,main!$A$3:$H$102,7,FALSE)=main!$G$104,VLOOKUP(T$1,main!$A$3:$H$102,5,FALSE)-VLOOKUP($A156,main!$A$3:$H$102,6,FALSE)&gt;=main!$D$103+VLOOKUP(VLOOKUP(T$1,main!$A$3:$I$102,7,FALSE),main!$K$26:$Q$29,4,FALSE)),1,0)</f>
        <v>0</v>
      </c>
      <c r="U156">
        <f>IF(AND(VLOOKUP(U$1,main!$A$3:$H$102,7,FALSE)=main!$G$104,VLOOKUP(U$1,main!$A$3:$H$102,5,FALSE)-VLOOKUP($A156,main!$A$3:$H$102,6,FALSE)&gt;=main!$D$103+VLOOKUP(VLOOKUP(U$1,main!$A$3:$I$102,7,FALSE),main!$K$26:$Q$29,4,FALSE)),1,0)</f>
        <v>1</v>
      </c>
      <c r="V156">
        <f>IF(AND(VLOOKUP(V$1,main!$A$3:$H$102,7,FALSE)=main!$G$104,VLOOKUP(V$1,main!$A$3:$H$102,5,FALSE)-VLOOKUP($A156,main!$A$3:$H$102,6,FALSE)&gt;=main!$D$103+VLOOKUP(VLOOKUP(V$1,main!$A$3:$I$102,7,FALSE),main!$K$26:$Q$29,4,FALSE)),1,0)</f>
        <v>1</v>
      </c>
      <c r="W156">
        <f>IF(AND(VLOOKUP(W$1,main!$A$3:$H$102,7,FALSE)=main!$G$104,VLOOKUP(W$1,main!$A$3:$H$102,5,FALSE)-VLOOKUP($A156,main!$A$3:$H$102,6,FALSE)&gt;=main!$D$103+VLOOKUP(VLOOKUP(W$1,main!$A$3:$I$102,7,FALSE),main!$K$26:$Q$29,4,FALSE)),1,0)</f>
        <v>0</v>
      </c>
      <c r="X156">
        <f>IF(AND(VLOOKUP(X$1,main!$A$3:$H$102,7,FALSE)=main!$G$104,VLOOKUP(X$1,main!$A$3:$H$102,5,FALSE)-VLOOKUP($A156,main!$A$3:$H$102,6,FALSE)&gt;=main!$D$103+VLOOKUP(VLOOKUP(X$1,main!$A$3:$I$102,7,FALSE),main!$K$26:$Q$29,4,FALSE)),1,0)</f>
        <v>0</v>
      </c>
      <c r="Y156">
        <f>IF(AND(VLOOKUP(Y$1,main!$A$3:$H$102,7,FALSE)=main!$G$104,VLOOKUP(Y$1,main!$A$3:$H$102,5,FALSE)-VLOOKUP($A156,main!$A$3:$H$102,6,FALSE)&gt;=main!$D$103+VLOOKUP(VLOOKUP(Y$1,main!$A$3:$I$102,7,FALSE),main!$K$26:$Q$29,4,FALSE)),1,0)</f>
        <v>0</v>
      </c>
      <c r="Z156">
        <f>IF(AND(VLOOKUP(Z$1,main!$A$3:$H$102,7,FALSE)=main!$G$104,VLOOKUP(Z$1,main!$A$3:$H$102,5,FALSE)-VLOOKUP($A156,main!$A$3:$H$102,6,FALSE)&gt;=main!$D$103+VLOOKUP(VLOOKUP(Z$1,main!$A$3:$I$102,7,FALSE),main!$K$26:$Q$29,4,FALSE)),1,0)</f>
        <v>0</v>
      </c>
      <c r="AA156">
        <f>IF(AND(VLOOKUP(AA$1,main!$A$3:$H$102,7,FALSE)=main!$G$104,VLOOKUP(AA$1,main!$A$3:$H$102,5,FALSE)-VLOOKUP($A156,main!$A$3:$H$102,6,FALSE)&gt;=main!$D$103+VLOOKUP(VLOOKUP(AA$1,main!$A$3:$I$102,7,FALSE),main!$K$26:$Q$29,4,FALSE)),1,0)</f>
        <v>1</v>
      </c>
      <c r="AB156">
        <f>IF(AND(VLOOKUP(AB$1,main!$A$3:$H$102,7,FALSE)=main!$G$104,VLOOKUP(AB$1,main!$A$3:$H$102,5,FALSE)-VLOOKUP($A156,main!$A$3:$H$102,6,FALSE)&gt;=main!$D$103+VLOOKUP(VLOOKUP(AB$1,main!$A$3:$I$102,7,FALSE),main!$K$26:$Q$29,4,FALSE)),1,0)</f>
        <v>0</v>
      </c>
      <c r="AC156">
        <f>IF(AND(VLOOKUP(AC$1,main!$A$3:$H$102,7,FALSE)=main!$G$104,VLOOKUP(AC$1,main!$A$3:$H$102,5,FALSE)-VLOOKUP($A156,main!$A$3:$H$102,6,FALSE)&gt;=main!$D$103+VLOOKUP(VLOOKUP(AC$1,main!$A$3:$I$102,7,FALSE),main!$K$26:$Q$29,4,FALSE)),1,0)</f>
        <v>0</v>
      </c>
      <c r="AD156">
        <f>IF(AND(VLOOKUP(AD$1,main!$A$3:$H$102,7,FALSE)=main!$G$104,VLOOKUP(AD$1,main!$A$3:$H$102,5,FALSE)-VLOOKUP($A156,main!$A$3:$H$102,6,FALSE)&gt;=main!$D$103+VLOOKUP(VLOOKUP(AD$1,main!$A$3:$I$102,7,FALSE),main!$K$26:$Q$29,4,FALSE)),1,0)</f>
        <v>0</v>
      </c>
      <c r="AE156">
        <f>IF(AND(VLOOKUP(AE$1,main!$A$3:$H$102,7,FALSE)=main!$G$104,VLOOKUP(AE$1,main!$A$3:$H$102,5,FALSE)-VLOOKUP($A156,main!$A$3:$H$102,6,FALSE)&gt;=main!$D$103+VLOOKUP(VLOOKUP(AE$1,main!$A$3:$I$102,7,FALSE),main!$K$26:$Q$29,4,FALSE)),1,0)</f>
        <v>0</v>
      </c>
      <c r="AF156">
        <f>IF(AND(VLOOKUP(AF$1,main!$A$3:$H$102,7,FALSE)=main!$G$104,VLOOKUP(AF$1,main!$A$3:$H$102,5,FALSE)-VLOOKUP($A156,main!$A$3:$H$102,6,FALSE)&gt;=main!$D$103+VLOOKUP(VLOOKUP(AF$1,main!$A$3:$I$102,7,FALSE),main!$K$26:$Q$29,4,FALSE)),1,0)</f>
        <v>1</v>
      </c>
      <c r="AG156">
        <f>IF(AND(VLOOKUP(AG$1,main!$A$3:$H$102,7,FALSE)=main!$G$104,VLOOKUP(AG$1,main!$A$3:$H$102,5,FALSE)-VLOOKUP($A156,main!$A$3:$H$102,6,FALSE)&gt;=main!$D$103+VLOOKUP(VLOOKUP(AG$1,main!$A$3:$I$102,7,FALSE),main!$K$26:$Q$29,4,FALSE)),1,0)</f>
        <v>0</v>
      </c>
      <c r="AH156">
        <f>IF(AND(VLOOKUP(AH$1,main!$A$3:$H$102,7,FALSE)=main!$G$104,VLOOKUP(AH$1,main!$A$3:$H$102,5,FALSE)-VLOOKUP($A156,main!$A$3:$H$102,6,FALSE)&gt;=main!$D$103+VLOOKUP(VLOOKUP(AH$1,main!$A$3:$I$102,7,FALSE),main!$K$26:$Q$29,4,FALSE)),1,0)</f>
        <v>0</v>
      </c>
      <c r="AI156">
        <f>IF(AND(VLOOKUP(AI$1,main!$A$3:$H$102,7,FALSE)=main!$G$104,VLOOKUP(AI$1,main!$A$3:$H$102,5,FALSE)-VLOOKUP($A156,main!$A$3:$H$102,6,FALSE)&gt;=main!$D$103+VLOOKUP(VLOOKUP(AI$1,main!$A$3:$I$102,7,FALSE),main!$K$26:$Q$29,4,FALSE)),1,0)</f>
        <v>0</v>
      </c>
      <c r="AJ156">
        <f>IF(AND(VLOOKUP(AJ$1,main!$A$3:$H$102,7,FALSE)=main!$G$104,VLOOKUP(AJ$1,main!$A$3:$H$102,5,FALSE)-VLOOKUP($A156,main!$A$3:$H$102,6,FALSE)&gt;=main!$D$103+VLOOKUP(VLOOKUP(AJ$1,main!$A$3:$I$102,7,FALSE),main!$K$26:$Q$29,4,FALSE)),1,0)</f>
        <v>0</v>
      </c>
      <c r="AK156">
        <f>IF(AND(VLOOKUP(AK$1,main!$A$3:$H$102,7,FALSE)=main!$G$104,VLOOKUP(AK$1,main!$A$3:$H$102,5,FALSE)-VLOOKUP($A156,main!$A$3:$H$102,6,FALSE)&gt;=main!$D$103+VLOOKUP(VLOOKUP(AK$1,main!$A$3:$I$102,7,FALSE),main!$K$26:$Q$29,4,FALSE)),1,0)</f>
        <v>0</v>
      </c>
      <c r="AL156">
        <f>IF(AND(VLOOKUP(AL$1,main!$A$3:$H$102,7,FALSE)=main!$G$104,VLOOKUP(AL$1,main!$A$3:$H$102,5,FALSE)-VLOOKUP($A156,main!$A$3:$H$102,6,FALSE)&gt;=main!$D$103+VLOOKUP(VLOOKUP(AL$1,main!$A$3:$I$102,7,FALSE),main!$K$26:$Q$29,4,FALSE)),1,0)</f>
        <v>0</v>
      </c>
      <c r="AM156">
        <f>IF(AND(VLOOKUP(AM$1,main!$A$3:$H$102,7,FALSE)=main!$G$104,VLOOKUP(AM$1,main!$A$3:$H$102,5,FALSE)-VLOOKUP($A156,main!$A$3:$H$102,6,FALSE)&gt;=main!$D$103+VLOOKUP(VLOOKUP(AM$1,main!$A$3:$I$102,7,FALSE),main!$K$26:$Q$29,4,FALSE)),1,0)</f>
        <v>0</v>
      </c>
      <c r="AN156">
        <f>IF(AND(VLOOKUP(AN$1,main!$A$3:$H$102,7,FALSE)=main!$G$104,VLOOKUP(AN$1,main!$A$3:$H$102,5,FALSE)-VLOOKUP($A156,main!$A$3:$H$102,6,FALSE)&gt;=main!$D$103+VLOOKUP(VLOOKUP(AN$1,main!$A$3:$I$102,7,FALSE),main!$K$26:$Q$29,4,FALSE)),1,0)</f>
        <v>0</v>
      </c>
      <c r="AO156">
        <f>IF(AND(VLOOKUP(AO$1,main!$A$3:$H$102,7,FALSE)=main!$G$104,VLOOKUP(AO$1,main!$A$3:$H$102,5,FALSE)-VLOOKUP($A156,main!$A$3:$H$102,6,FALSE)&gt;=main!$D$103+VLOOKUP(VLOOKUP(AO$1,main!$A$3:$I$102,7,FALSE),main!$K$26:$Q$29,4,FALSE)),1,0)</f>
        <v>0</v>
      </c>
      <c r="AP156">
        <f>IF(AND(VLOOKUP(AP$1,main!$A$3:$H$102,7,FALSE)=main!$G$104,VLOOKUP(AP$1,main!$A$3:$H$102,5,FALSE)-VLOOKUP($A156,main!$A$3:$H$102,6,FALSE)&gt;=main!$D$103+VLOOKUP(VLOOKUP(AP$1,main!$A$3:$I$102,7,FALSE),main!$K$26:$Q$29,4,FALSE)),1,0)</f>
        <v>0</v>
      </c>
      <c r="AQ156">
        <f>IF(AND(VLOOKUP(AQ$1,main!$A$3:$H$102,7,FALSE)=main!$G$104,VLOOKUP(AQ$1,main!$A$3:$H$102,5,FALSE)-VLOOKUP($A156,main!$A$3:$H$102,6,FALSE)&gt;=main!$D$103+VLOOKUP(VLOOKUP(AQ$1,main!$A$3:$I$102,7,FALSE),main!$K$26:$Q$29,4,FALSE)),1,0)</f>
        <v>0</v>
      </c>
      <c r="AR156">
        <f>IF(AND(VLOOKUP(AR$1,main!$A$3:$H$102,7,FALSE)=main!$G$104,VLOOKUP(AR$1,main!$A$3:$H$102,5,FALSE)-VLOOKUP($A156,main!$A$3:$H$102,6,FALSE)&gt;=main!$D$103+VLOOKUP(VLOOKUP(AR$1,main!$A$3:$I$102,7,FALSE),main!$K$26:$Q$29,4,FALSE)),1,0)</f>
        <v>0</v>
      </c>
      <c r="AS156">
        <f>IF(AND(VLOOKUP(AS$1,main!$A$3:$H$102,7,FALSE)=main!$G$104,VLOOKUP(AS$1,main!$A$3:$H$102,5,FALSE)-VLOOKUP($A156,main!$A$3:$H$102,6,FALSE)&gt;=main!$D$103+VLOOKUP(VLOOKUP(AS$1,main!$A$3:$I$102,7,FALSE),main!$K$26:$Q$29,4,FALSE)),1,0)</f>
        <v>0</v>
      </c>
      <c r="AT156">
        <f>IF(AND(VLOOKUP(AT$1,main!$A$3:$H$102,7,FALSE)=main!$G$104,VLOOKUP(AT$1,main!$A$3:$H$102,5,FALSE)-VLOOKUP($A156,main!$A$3:$H$102,6,FALSE)&gt;=main!$D$103+VLOOKUP(VLOOKUP(AT$1,main!$A$3:$I$102,7,FALSE),main!$K$26:$Q$29,4,FALSE)),1,0)</f>
        <v>0</v>
      </c>
      <c r="AU156">
        <f>IF(AND(VLOOKUP(AU$1,main!$A$3:$H$102,7,FALSE)=main!$G$104,VLOOKUP(AU$1,main!$A$3:$H$102,5,FALSE)-VLOOKUP($A156,main!$A$3:$H$102,6,FALSE)&gt;=main!$D$103+VLOOKUP(VLOOKUP(AU$1,main!$A$3:$I$102,7,FALSE),main!$K$26:$Q$29,4,FALSE)),1,0)</f>
        <v>0</v>
      </c>
      <c r="AV156">
        <f>IF(AND(VLOOKUP(AV$1,main!$A$3:$H$102,7,FALSE)=main!$G$104,VLOOKUP(AV$1,main!$A$3:$H$102,5,FALSE)-VLOOKUP($A156,main!$A$3:$H$102,6,FALSE)&gt;=main!$D$103+VLOOKUP(VLOOKUP(AV$1,main!$A$3:$I$102,7,FALSE),main!$K$26:$Q$29,4,FALSE)),1,0)</f>
        <v>0</v>
      </c>
      <c r="AW156">
        <f>IF(AND(VLOOKUP(AW$1,main!$A$3:$H$102,7,FALSE)=main!$G$104,VLOOKUP(AW$1,main!$A$3:$H$102,5,FALSE)-VLOOKUP($A156,main!$A$3:$H$102,6,FALSE)&gt;=main!$D$103+VLOOKUP(VLOOKUP(AW$1,main!$A$3:$I$102,7,FALSE),main!$K$26:$Q$29,4,FALSE)),1,0)</f>
        <v>0</v>
      </c>
      <c r="AX156">
        <f>IF(AND(VLOOKUP(AX$1,main!$A$3:$H$102,7,FALSE)=main!$G$104,VLOOKUP(AX$1,main!$A$3:$H$102,5,FALSE)-VLOOKUP($A156,main!$A$3:$H$102,6,FALSE)&gt;=main!$D$103+VLOOKUP(VLOOKUP(AX$1,main!$A$3:$I$102,7,FALSE),main!$K$26:$Q$29,4,FALSE)),1,0)</f>
        <v>0</v>
      </c>
      <c r="AY156">
        <f>IF(AND(VLOOKUP(AY$1,main!$A$3:$H$102,7,FALSE)=main!$G$104,VLOOKUP(AY$1,main!$A$3:$H$102,5,FALSE)-VLOOKUP($A156,main!$A$3:$H$102,6,FALSE)&gt;=main!$D$103+VLOOKUP(VLOOKUP(AY$1,main!$A$3:$I$102,7,FALSE),main!$K$26:$Q$29,4,FALSE)),1,0)</f>
        <v>0</v>
      </c>
      <c r="AZ156">
        <f>IF(AND(VLOOKUP(AZ$1,main!$A$3:$H$102,7,FALSE)=main!$G$104,VLOOKUP(AZ$1,main!$A$3:$H$102,5,FALSE)-VLOOKUP($A156,main!$A$3:$H$102,6,FALSE)&gt;=main!$D$103+VLOOKUP(VLOOKUP(AZ$1,main!$A$3:$I$102,7,FALSE),main!$K$26:$Q$29,4,FALSE)),1,0)</f>
        <v>0</v>
      </c>
      <c r="BA156">
        <f>IF(AND(VLOOKUP(BA$1,main!$A$3:$H$102,7,FALSE)=main!$G$104,VLOOKUP(BA$1,main!$A$3:$H$102,5,FALSE)-VLOOKUP($A156,main!$A$3:$H$102,6,FALSE)&gt;=main!$D$103+VLOOKUP(VLOOKUP(BA$1,main!$A$3:$I$102,7,FALSE),main!$K$26:$Q$29,4,FALSE)),1,0)</f>
        <v>0</v>
      </c>
      <c r="BB156">
        <f>IF(AND(VLOOKUP(BB$1,main!$A$3:$H$102,7,FALSE)=main!$G$104,VLOOKUP(BB$1,main!$A$3:$H$102,5,FALSE)-VLOOKUP($A156,main!$A$3:$H$102,6,FALSE)&gt;=main!$D$103+VLOOKUP(VLOOKUP(BB$1,main!$A$3:$I$102,7,FALSE),main!$K$26:$Q$29,4,FALSE)),1,0)</f>
        <v>0</v>
      </c>
      <c r="BC156">
        <f>IF(AND(VLOOKUP(BC$1,main!$A$3:$H$102,7,FALSE)=main!$G$104,VLOOKUP(BC$1,main!$A$3:$H$102,5,FALSE)-VLOOKUP($A156,main!$A$3:$H$102,6,FALSE)&gt;=main!$D$103+VLOOKUP(VLOOKUP(BC$1,main!$A$3:$I$102,7,FALSE),main!$K$26:$Q$29,4,FALSE)),1,0)</f>
        <v>0</v>
      </c>
      <c r="BD156">
        <f>IF(AND(VLOOKUP(BD$1,main!$A$3:$H$102,7,FALSE)=main!$G$104,VLOOKUP(BD$1,main!$A$3:$H$102,5,FALSE)-VLOOKUP($A156,main!$A$3:$H$102,6,FALSE)&gt;=main!$D$103+VLOOKUP(VLOOKUP(BD$1,main!$A$3:$I$102,7,FALSE),main!$K$26:$Q$29,4,FALSE)),1,0)</f>
        <v>0</v>
      </c>
      <c r="BE156">
        <f>IF(AND(VLOOKUP(BE$1,main!$A$3:$H$102,7,FALSE)=main!$G$104,VLOOKUP(BE$1,main!$A$3:$H$102,5,FALSE)-VLOOKUP($A156,main!$A$3:$H$102,6,FALSE)&gt;=main!$D$103+VLOOKUP(VLOOKUP(BE$1,main!$A$3:$I$102,7,FALSE),main!$K$26:$Q$29,4,FALSE)),1,0)</f>
        <v>0</v>
      </c>
      <c r="BF156">
        <f>IF(AND(VLOOKUP(BF$1,main!$A$3:$H$102,7,FALSE)=main!$G$104,VLOOKUP(BF$1,main!$A$3:$H$102,5,FALSE)-VLOOKUP($A156,main!$A$3:$H$102,6,FALSE)&gt;=main!$D$103+VLOOKUP(VLOOKUP(BF$1,main!$A$3:$I$102,7,FALSE),main!$K$26:$Q$29,4,FALSE)),1,0)</f>
        <v>0</v>
      </c>
      <c r="BG156">
        <f>IF(AND(VLOOKUP(BG$1,main!$A$3:$H$102,7,FALSE)=main!$G$104,VLOOKUP(BG$1,main!$A$3:$H$102,5,FALSE)-VLOOKUP($A156,main!$A$3:$H$102,6,FALSE)&gt;=main!$D$103+VLOOKUP(VLOOKUP(BG$1,main!$A$3:$I$102,7,FALSE),main!$K$26:$Q$29,4,FALSE)),1,0)</f>
        <v>0</v>
      </c>
      <c r="BH156">
        <f>IF(AND(VLOOKUP(BH$1,main!$A$3:$H$102,7,FALSE)=main!$G$104,VLOOKUP(BH$1,main!$A$3:$H$102,5,FALSE)-VLOOKUP($A156,main!$A$3:$H$102,6,FALSE)&gt;=main!$D$103+VLOOKUP(VLOOKUP(BH$1,main!$A$3:$I$102,7,FALSE),main!$K$26:$Q$29,4,FALSE)),1,0)</f>
        <v>0</v>
      </c>
      <c r="BI156">
        <f>IF(AND(VLOOKUP(BI$1,main!$A$3:$H$102,7,FALSE)=main!$G$104,VLOOKUP(BI$1,main!$A$3:$H$102,5,FALSE)-VLOOKUP($A156,main!$A$3:$H$102,6,FALSE)&gt;=main!$D$103+VLOOKUP(VLOOKUP(BI$1,main!$A$3:$I$102,7,FALSE),main!$K$26:$Q$29,4,FALSE)),1,0)</f>
        <v>0</v>
      </c>
      <c r="BJ156">
        <f>IF(AND(VLOOKUP(BJ$1,main!$A$3:$H$102,7,FALSE)=main!$G$104,VLOOKUP(BJ$1,main!$A$3:$H$102,5,FALSE)-VLOOKUP($A156,main!$A$3:$H$102,6,FALSE)&gt;=main!$D$103+VLOOKUP(VLOOKUP(BJ$1,main!$A$3:$I$102,7,FALSE),main!$K$26:$Q$29,4,FALSE)),1,0)</f>
        <v>0</v>
      </c>
      <c r="BK156">
        <f>IF(AND(VLOOKUP(BK$1,main!$A$3:$H$102,7,FALSE)=main!$G$104,VLOOKUP(BK$1,main!$A$3:$H$102,5,FALSE)-VLOOKUP($A156,main!$A$3:$H$102,6,FALSE)&gt;=main!$D$103+VLOOKUP(VLOOKUP(BK$1,main!$A$3:$I$102,7,FALSE),main!$K$26:$Q$29,4,FALSE)),1,0)</f>
        <v>0</v>
      </c>
      <c r="BL156">
        <f>IF(AND(VLOOKUP(BL$1,main!$A$3:$H$102,7,FALSE)=main!$G$104,VLOOKUP(BL$1,main!$A$3:$H$102,5,FALSE)-VLOOKUP($A156,main!$A$3:$H$102,6,FALSE)&gt;=main!$D$103+VLOOKUP(VLOOKUP(BL$1,main!$A$3:$I$102,7,FALSE),main!$K$26:$Q$29,4,FALSE)),1,0)</f>
        <v>0</v>
      </c>
      <c r="BM156">
        <f>IF(AND(VLOOKUP(BM$1,main!$A$3:$H$102,7,FALSE)=main!$G$104,VLOOKUP(BM$1,main!$A$3:$H$102,5,FALSE)-VLOOKUP($A156,main!$A$3:$H$102,6,FALSE)&gt;=main!$D$103+VLOOKUP(VLOOKUP(BM$1,main!$A$3:$I$102,7,FALSE),main!$K$26:$Q$29,4,FALSE)),1,0)</f>
        <v>0</v>
      </c>
      <c r="BN156">
        <f>IF(AND(VLOOKUP(BN$1,main!$A$3:$H$102,7,FALSE)=main!$G$104,VLOOKUP(BN$1,main!$A$3:$H$102,5,FALSE)-VLOOKUP($A156,main!$A$3:$H$102,6,FALSE)&gt;=main!$D$103+VLOOKUP(VLOOKUP(BN$1,main!$A$3:$I$102,7,FALSE),main!$K$26:$Q$29,4,FALSE)),1,0)</f>
        <v>0</v>
      </c>
      <c r="BO156">
        <f>IF(AND(VLOOKUP(BO$1,main!$A$3:$H$102,7,FALSE)=main!$G$104,VLOOKUP(BO$1,main!$A$3:$H$102,5,FALSE)-VLOOKUP($A156,main!$A$3:$H$102,6,FALSE)&gt;=main!$D$103+VLOOKUP(VLOOKUP(BO$1,main!$A$3:$I$102,7,FALSE),main!$K$26:$Q$29,4,FALSE)),1,0)</f>
        <v>0</v>
      </c>
      <c r="BP156">
        <f>IF(AND(VLOOKUP(BP$1,main!$A$3:$H$102,7,FALSE)=main!$G$104,VLOOKUP(BP$1,main!$A$3:$H$102,5,FALSE)-VLOOKUP($A156,main!$A$3:$H$102,6,FALSE)&gt;=main!$D$103+VLOOKUP(VLOOKUP(BP$1,main!$A$3:$I$102,7,FALSE),main!$K$26:$Q$29,4,FALSE)),1,0)</f>
        <v>0</v>
      </c>
      <c r="BQ156">
        <f>IF(AND(VLOOKUP(BQ$1,main!$A$3:$H$102,7,FALSE)=main!$G$104,VLOOKUP(BQ$1,main!$A$3:$H$102,5,FALSE)-VLOOKUP($A156,main!$A$3:$H$102,6,FALSE)&gt;=main!$D$103+VLOOKUP(VLOOKUP(BQ$1,main!$A$3:$I$102,7,FALSE),main!$K$26:$Q$29,4,FALSE)),1,0)</f>
        <v>0</v>
      </c>
      <c r="BR156">
        <f>IF(AND(VLOOKUP(BR$1,main!$A$3:$H$102,7,FALSE)=main!$G$104,VLOOKUP(BR$1,main!$A$3:$H$102,5,FALSE)-VLOOKUP($A156,main!$A$3:$H$102,6,FALSE)&gt;=main!$D$103+VLOOKUP(VLOOKUP(BR$1,main!$A$3:$I$102,7,FALSE),main!$K$26:$Q$29,4,FALSE)),1,0)</f>
        <v>0</v>
      </c>
      <c r="BS156">
        <f>IF(AND(VLOOKUP(BS$1,main!$A$3:$H$102,7,FALSE)=main!$G$104,VLOOKUP(BS$1,main!$A$3:$H$102,5,FALSE)-VLOOKUP($A156,main!$A$3:$H$102,6,FALSE)&gt;=main!$D$103+VLOOKUP(VLOOKUP(BS$1,main!$A$3:$I$102,7,FALSE),main!$K$26:$Q$29,4,FALSE)),1,0)</f>
        <v>0</v>
      </c>
      <c r="BT156">
        <f>IF(AND(VLOOKUP(BT$1,main!$A$3:$H$102,7,FALSE)=main!$G$104,VLOOKUP(BT$1,main!$A$3:$H$102,5,FALSE)-VLOOKUP($A156,main!$A$3:$H$102,6,FALSE)&gt;=main!$D$103+VLOOKUP(VLOOKUP(BT$1,main!$A$3:$I$102,7,FALSE),main!$K$26:$Q$29,4,FALSE)),1,0)</f>
        <v>0</v>
      </c>
      <c r="BU156">
        <f>IF(AND(VLOOKUP(BU$1,main!$A$3:$H$102,7,FALSE)=main!$G$104,VLOOKUP(BU$1,main!$A$3:$H$102,5,FALSE)-VLOOKUP($A156,main!$A$3:$H$102,6,FALSE)&gt;=main!$D$103+VLOOKUP(VLOOKUP(BU$1,main!$A$3:$I$102,7,FALSE),main!$K$26:$Q$29,4,FALSE)),1,0)</f>
        <v>0</v>
      </c>
      <c r="BV156">
        <f>IF(AND(VLOOKUP(BV$1,main!$A$3:$H$102,7,FALSE)=main!$G$104,VLOOKUP(BV$1,main!$A$3:$H$102,5,FALSE)-VLOOKUP($A156,main!$A$3:$H$102,6,FALSE)&gt;=main!$D$103+VLOOKUP(VLOOKUP(BV$1,main!$A$3:$I$102,7,FALSE),main!$K$26:$Q$29,4,FALSE)),1,0)</f>
        <v>0</v>
      </c>
      <c r="BW156">
        <f>IF(AND(VLOOKUP(BW$1,main!$A$3:$H$102,7,FALSE)=main!$G$104,VLOOKUP(BW$1,main!$A$3:$H$102,5,FALSE)-VLOOKUP($A156,main!$A$3:$H$102,6,FALSE)&gt;=main!$D$103+VLOOKUP(VLOOKUP(BW$1,main!$A$3:$I$102,7,FALSE),main!$K$26:$Q$29,4,FALSE)),1,0)</f>
        <v>0</v>
      </c>
      <c r="BX156">
        <f>IF(AND(VLOOKUP(BX$1,main!$A$3:$H$102,7,FALSE)=main!$G$104,VLOOKUP(BX$1,main!$A$3:$H$102,5,FALSE)-VLOOKUP($A156,main!$A$3:$H$102,6,FALSE)&gt;=main!$D$103+VLOOKUP(VLOOKUP(BX$1,main!$A$3:$I$102,7,FALSE),main!$K$26:$Q$29,4,FALSE)),1,0)</f>
        <v>0</v>
      </c>
      <c r="BY156">
        <f>IF(AND(VLOOKUP(BY$1,main!$A$3:$H$102,7,FALSE)=main!$G$104,VLOOKUP(BY$1,main!$A$3:$H$102,5,FALSE)-VLOOKUP($A156,main!$A$3:$H$102,6,FALSE)&gt;=main!$D$103+VLOOKUP(VLOOKUP(BY$1,main!$A$3:$I$102,7,FALSE),main!$K$26:$Q$29,4,FALSE)),1,0)</f>
        <v>0</v>
      </c>
      <c r="BZ156">
        <f>IF(AND(VLOOKUP(BZ$1,main!$A$3:$H$102,7,FALSE)=main!$G$104,VLOOKUP(BZ$1,main!$A$3:$H$102,5,FALSE)-VLOOKUP($A156,main!$A$3:$H$102,6,FALSE)&gt;=main!$D$103+VLOOKUP(VLOOKUP(BZ$1,main!$A$3:$I$102,7,FALSE),main!$K$26:$Q$29,4,FALSE)),1,0)</f>
        <v>0</v>
      </c>
      <c r="CA156">
        <f>IF(AND(VLOOKUP(CA$1,main!$A$3:$H$102,7,FALSE)=main!$G$104,VLOOKUP(CA$1,main!$A$3:$H$102,5,FALSE)-VLOOKUP($A156,main!$A$3:$H$102,6,FALSE)&gt;=main!$D$103+VLOOKUP(VLOOKUP(CA$1,main!$A$3:$I$102,7,FALSE),main!$K$26:$Q$29,4,FALSE)),1,0)</f>
        <v>0</v>
      </c>
      <c r="CB156">
        <f>IF(AND(VLOOKUP(CB$1,main!$A$3:$H$102,7,FALSE)=main!$G$104,VLOOKUP(CB$1,main!$A$3:$H$102,5,FALSE)-VLOOKUP($A156,main!$A$3:$H$102,6,FALSE)&gt;=main!$D$103+VLOOKUP(VLOOKUP(CB$1,main!$A$3:$I$102,7,FALSE),main!$K$26:$Q$29,4,FALSE)),1,0)</f>
        <v>0</v>
      </c>
      <c r="CC156">
        <f>IF(AND(VLOOKUP(CC$1,main!$A$3:$H$102,7,FALSE)=main!$G$104,VLOOKUP(CC$1,main!$A$3:$H$102,5,FALSE)-VLOOKUP($A156,main!$A$3:$H$102,6,FALSE)&gt;=main!$D$103+VLOOKUP(VLOOKUP(CC$1,main!$A$3:$I$102,7,FALSE),main!$K$26:$Q$29,4,FALSE)),1,0)</f>
        <v>0</v>
      </c>
      <c r="CD156">
        <f>IF(AND(VLOOKUP(CD$1,main!$A$3:$H$102,7,FALSE)=main!$G$104,VLOOKUP(CD$1,main!$A$3:$H$102,5,FALSE)-VLOOKUP($A156,main!$A$3:$H$102,6,FALSE)&gt;=main!$D$103+VLOOKUP(VLOOKUP(CD$1,main!$A$3:$I$102,7,FALSE),main!$K$26:$Q$29,4,FALSE)),1,0)</f>
        <v>0</v>
      </c>
      <c r="CE156">
        <f>IF(AND(VLOOKUP(CE$1,main!$A$3:$H$102,7,FALSE)=main!$G$104,VLOOKUP(CE$1,main!$A$3:$H$102,5,FALSE)-VLOOKUP($A156,main!$A$3:$H$102,6,FALSE)&gt;=main!$D$103+VLOOKUP(VLOOKUP(CE$1,main!$A$3:$I$102,7,FALSE),main!$K$26:$Q$29,4,FALSE)),1,0)</f>
        <v>0</v>
      </c>
      <c r="CF156">
        <f>IF(AND(VLOOKUP(CF$1,main!$A$3:$H$102,7,FALSE)=main!$G$104,VLOOKUP(CF$1,main!$A$3:$H$102,5,FALSE)-VLOOKUP($A156,main!$A$3:$H$102,6,FALSE)&gt;=main!$D$103+VLOOKUP(VLOOKUP(CF$1,main!$A$3:$I$102,7,FALSE),main!$K$26:$Q$29,4,FALSE)),1,0)</f>
        <v>0</v>
      </c>
      <c r="CG156">
        <f>IF(AND(VLOOKUP(CG$1,main!$A$3:$H$102,7,FALSE)=main!$G$104,VLOOKUP(CG$1,main!$A$3:$H$102,5,FALSE)-VLOOKUP($A156,main!$A$3:$H$102,6,FALSE)&gt;=main!$D$103+VLOOKUP(VLOOKUP(CG$1,main!$A$3:$I$102,7,FALSE),main!$K$26:$Q$29,4,FALSE)),1,0)</f>
        <v>0</v>
      </c>
      <c r="CH156">
        <f>IF(AND(VLOOKUP(CH$1,main!$A$3:$H$102,7,FALSE)=main!$G$104,VLOOKUP(CH$1,main!$A$3:$H$102,5,FALSE)-VLOOKUP($A156,main!$A$3:$H$102,6,FALSE)&gt;=main!$D$103+VLOOKUP(VLOOKUP(CH$1,main!$A$3:$I$102,7,FALSE),main!$K$26:$Q$29,4,FALSE)),1,0)</f>
        <v>0</v>
      </c>
      <c r="CI156">
        <f>IF(AND(VLOOKUP(CI$1,main!$A$3:$H$102,7,FALSE)=main!$G$104,VLOOKUP(CI$1,main!$A$3:$H$102,5,FALSE)-VLOOKUP($A156,main!$A$3:$H$102,6,FALSE)&gt;=main!$D$103+VLOOKUP(VLOOKUP(CI$1,main!$A$3:$I$102,7,FALSE),main!$K$26:$Q$29,4,FALSE)),1,0)</f>
        <v>0</v>
      </c>
      <c r="CJ156">
        <f>IF(AND(VLOOKUP(CJ$1,main!$A$3:$H$102,7,FALSE)=main!$G$104,VLOOKUP(CJ$1,main!$A$3:$H$102,5,FALSE)-VLOOKUP($A156,main!$A$3:$H$102,6,FALSE)&gt;=main!$D$103+VLOOKUP(VLOOKUP(CJ$1,main!$A$3:$I$102,7,FALSE),main!$K$26:$Q$29,4,FALSE)),1,0)</f>
        <v>0</v>
      </c>
      <c r="CK156">
        <f>IF(AND(VLOOKUP(CK$1,main!$A$3:$H$102,7,FALSE)=main!$G$104,VLOOKUP(CK$1,main!$A$3:$H$102,5,FALSE)-VLOOKUP($A156,main!$A$3:$H$102,6,FALSE)&gt;=main!$D$103+VLOOKUP(VLOOKUP(CK$1,main!$A$3:$I$102,7,FALSE),main!$K$26:$Q$29,4,FALSE)),1,0)</f>
        <v>0</v>
      </c>
      <c r="CL156">
        <f>IF(AND(VLOOKUP(CL$1,main!$A$3:$H$102,7,FALSE)=main!$G$104,VLOOKUP(CL$1,main!$A$3:$H$102,5,FALSE)-VLOOKUP($A156,main!$A$3:$H$102,6,FALSE)&gt;=main!$D$103+VLOOKUP(VLOOKUP(CL$1,main!$A$3:$I$102,7,FALSE),main!$K$26:$Q$29,4,FALSE)),1,0)</f>
        <v>0</v>
      </c>
      <c r="CM156">
        <f>IF(AND(VLOOKUP(CM$1,main!$A$3:$H$102,7,FALSE)=main!$G$104,VLOOKUP(CM$1,main!$A$3:$H$102,5,FALSE)-VLOOKUP($A156,main!$A$3:$H$102,6,FALSE)&gt;=main!$D$103+VLOOKUP(VLOOKUP(CM$1,main!$A$3:$I$102,7,FALSE),main!$K$26:$Q$29,4,FALSE)),1,0)</f>
        <v>0</v>
      </c>
      <c r="CN156">
        <f>IF(AND(VLOOKUP(CN$1,main!$A$3:$H$102,7,FALSE)=main!$G$104,VLOOKUP(CN$1,main!$A$3:$H$102,5,FALSE)-VLOOKUP($A156,main!$A$3:$H$102,6,FALSE)&gt;=main!$D$103+VLOOKUP(VLOOKUP(CN$1,main!$A$3:$I$102,7,FALSE),main!$K$26:$Q$29,4,FALSE)),1,0)</f>
        <v>0</v>
      </c>
      <c r="CO156">
        <f>IF(AND(VLOOKUP(CO$1,main!$A$3:$H$102,7,FALSE)=main!$G$104,VLOOKUP(CO$1,main!$A$3:$H$102,5,FALSE)-VLOOKUP($A156,main!$A$3:$H$102,6,FALSE)&gt;=main!$D$103+VLOOKUP(VLOOKUP(CO$1,main!$A$3:$I$102,7,FALSE),main!$K$26:$Q$29,4,FALSE)),1,0)</f>
        <v>0</v>
      </c>
      <c r="CP156">
        <f>IF(AND(VLOOKUP(CP$1,main!$A$3:$H$102,7,FALSE)=main!$G$104,VLOOKUP(CP$1,main!$A$3:$H$102,5,FALSE)-VLOOKUP($A156,main!$A$3:$H$102,6,FALSE)&gt;=main!$D$103+VLOOKUP(VLOOKUP(CP$1,main!$A$3:$I$102,7,FALSE),main!$K$26:$Q$29,4,FALSE)),1,0)</f>
        <v>0</v>
      </c>
      <c r="CQ156">
        <f>IF(AND(VLOOKUP(CQ$1,main!$A$3:$H$102,7,FALSE)=main!$G$104,VLOOKUP(CQ$1,main!$A$3:$H$102,5,FALSE)-VLOOKUP($A156,main!$A$3:$H$102,6,FALSE)&gt;=main!$D$103+VLOOKUP(VLOOKUP(CQ$1,main!$A$3:$I$102,7,FALSE),main!$K$26:$Q$29,4,FALSE)),1,0)</f>
        <v>0</v>
      </c>
      <c r="CR156">
        <f>IF(AND(VLOOKUP(CR$1,main!$A$3:$H$102,7,FALSE)=main!$G$104,VLOOKUP(CR$1,main!$A$3:$H$102,5,FALSE)-VLOOKUP($A156,main!$A$3:$H$102,6,FALSE)&gt;=main!$D$103+VLOOKUP(VLOOKUP(CR$1,main!$A$3:$I$102,7,FALSE),main!$K$26:$Q$29,4,FALSE)),1,0)</f>
        <v>0</v>
      </c>
      <c r="CS156">
        <f>IF(AND(VLOOKUP(CS$1,main!$A$3:$H$102,7,FALSE)=main!$G$104,VLOOKUP(CS$1,main!$A$3:$H$102,5,FALSE)-VLOOKUP($A156,main!$A$3:$H$102,6,FALSE)&gt;=main!$D$103+VLOOKUP(VLOOKUP(CS$1,main!$A$3:$I$102,7,FALSE),main!$K$26:$Q$29,4,FALSE)),1,0)</f>
        <v>0</v>
      </c>
      <c r="CT156">
        <f>IF(AND(VLOOKUP(CT$1,main!$A$3:$H$102,7,FALSE)=main!$G$104,VLOOKUP(CT$1,main!$A$3:$H$102,5,FALSE)-VLOOKUP($A156,main!$A$3:$H$102,6,FALSE)&gt;=main!$D$103+VLOOKUP(VLOOKUP(CT$1,main!$A$3:$I$102,7,FALSE),main!$K$26:$Q$29,4,FALSE)),1,0)</f>
        <v>0</v>
      </c>
      <c r="CU156">
        <f>IF(AND(VLOOKUP(CU$1,main!$A$3:$H$102,7,FALSE)=main!$G$104,VLOOKUP(CU$1,main!$A$3:$H$102,5,FALSE)-VLOOKUP($A156,main!$A$3:$H$102,6,FALSE)&gt;=main!$D$103+VLOOKUP(VLOOKUP(CU$1,main!$A$3:$I$102,7,FALSE),main!$K$26:$Q$29,4,FALSE)),1,0)</f>
        <v>0</v>
      </c>
      <c r="CV156">
        <f>IF(AND(VLOOKUP(CV$1,main!$A$3:$H$102,7,FALSE)=main!$G$104,VLOOKUP(CV$1,main!$A$3:$H$102,5,FALSE)-VLOOKUP($A156,main!$A$3:$H$102,6,FALSE)&gt;=main!$D$103+VLOOKUP(VLOOKUP(CV$1,main!$A$3:$I$102,7,FALSE),main!$K$26:$Q$29,4,FALSE)),1,0)</f>
        <v>0</v>
      </c>
      <c r="CW156">
        <f>IF(AND(VLOOKUP(CW$1,main!$A$3:$H$102,7,FALSE)=main!$G$104,VLOOKUP(CW$1,main!$A$3:$H$102,5,FALSE)-VLOOKUP($A156,main!$A$3:$H$102,6,FALSE)&gt;=main!$D$103+VLOOKUP(VLOOKUP(CW$1,main!$A$3:$I$102,7,FALSE),main!$K$26:$Q$29,4,FALSE)),1,0)</f>
        <v>0</v>
      </c>
      <c r="CX156">
        <f>IF(AND(VLOOKUP(CX$1,main!$A$3:$H$102,7,FALSE)=main!$G$104,VLOOKUP(CX$1,main!$A$3:$H$102,5,FALSE)-VLOOKUP($A156,main!$A$3:$H$102,6,FALSE)&gt;=main!$D$103+VLOOKUP(VLOOKUP(CX$1,main!$A$3:$I$102,7,FALSE),main!$K$26:$Q$29,4,FALSE)),1,0)</f>
        <v>0</v>
      </c>
    </row>
    <row r="157" spans="1:106" x14ac:dyDescent="0.25">
      <c r="A157" s="1">
        <v>54</v>
      </c>
      <c r="B157">
        <v>0</v>
      </c>
      <c r="C157">
        <f>IF(AND(VLOOKUP(C$1,main!$A$3:$H$102,7,FALSE)=main!$G$104,VLOOKUP(C$1,main!$A$3:$H$102,5,FALSE)-VLOOKUP($A157,main!$A$3:$H$102,6,FALSE)&gt;=main!$D$103+VLOOKUP(VLOOKUP(C$1,main!$A$3:$I$102,7,FALSE),main!$K$26:$Q$29,4,FALSE)),1,0)</f>
        <v>0</v>
      </c>
      <c r="D157">
        <f>IF(AND(VLOOKUP(D$1,main!$A$3:$H$102,7,FALSE)=main!$G$104,VLOOKUP(D$1,main!$A$3:$H$102,5,FALSE)-VLOOKUP($A157,main!$A$3:$H$102,6,FALSE)&gt;=main!$D$103+VLOOKUP(VLOOKUP(D$1,main!$A$3:$I$102,7,FALSE),main!$K$26:$Q$29,4,FALSE)),1,0)</f>
        <v>0</v>
      </c>
      <c r="E157">
        <f>IF(AND(VLOOKUP(E$1,main!$A$3:$H$102,7,FALSE)=main!$G$104,VLOOKUP(E$1,main!$A$3:$H$102,5,FALSE)-VLOOKUP($A157,main!$A$3:$H$102,6,FALSE)&gt;=main!$D$103+VLOOKUP(VLOOKUP(E$1,main!$A$3:$I$102,7,FALSE),main!$K$26:$Q$29,4,FALSE)),1,0)</f>
        <v>0</v>
      </c>
      <c r="F157">
        <f>IF(AND(VLOOKUP(F$1,main!$A$3:$H$102,7,FALSE)=main!$G$104,VLOOKUP(F$1,main!$A$3:$H$102,5,FALSE)-VLOOKUP($A157,main!$A$3:$H$102,6,FALSE)&gt;=main!$D$103+VLOOKUP(VLOOKUP(F$1,main!$A$3:$I$102,7,FALSE),main!$K$26:$Q$29,4,FALSE)),1,0)</f>
        <v>0</v>
      </c>
      <c r="G157">
        <f>IF(AND(VLOOKUP(G$1,main!$A$3:$H$102,7,FALSE)=main!$G$104,VLOOKUP(G$1,main!$A$3:$H$102,5,FALSE)-VLOOKUP($A157,main!$A$3:$H$102,6,FALSE)&gt;=main!$D$103+VLOOKUP(VLOOKUP(G$1,main!$A$3:$I$102,7,FALSE),main!$K$26:$Q$29,4,FALSE)),1,0)</f>
        <v>0</v>
      </c>
      <c r="H157">
        <f>IF(AND(VLOOKUP(H$1,main!$A$3:$H$102,7,FALSE)=main!$G$104,VLOOKUP(H$1,main!$A$3:$H$102,5,FALSE)-VLOOKUP($A157,main!$A$3:$H$102,6,FALSE)&gt;=main!$D$103+VLOOKUP(VLOOKUP(H$1,main!$A$3:$I$102,7,FALSE),main!$K$26:$Q$29,4,FALSE)),1,0)</f>
        <v>0</v>
      </c>
      <c r="I157">
        <f>IF(AND(VLOOKUP(I$1,main!$A$3:$H$102,7,FALSE)=main!$G$104,VLOOKUP(I$1,main!$A$3:$H$102,5,FALSE)-VLOOKUP($A157,main!$A$3:$H$102,6,FALSE)&gt;=main!$D$103+VLOOKUP(VLOOKUP(I$1,main!$A$3:$I$102,7,FALSE),main!$K$26:$Q$29,4,FALSE)),1,0)</f>
        <v>0</v>
      </c>
      <c r="J157">
        <f>IF(AND(VLOOKUP(J$1,main!$A$3:$H$102,7,FALSE)=main!$G$104,VLOOKUP(J$1,main!$A$3:$H$102,5,FALSE)-VLOOKUP($A157,main!$A$3:$H$102,6,FALSE)&gt;=main!$D$103+VLOOKUP(VLOOKUP(J$1,main!$A$3:$I$102,7,FALSE),main!$K$26:$Q$29,4,FALSE)),1,0)</f>
        <v>0</v>
      </c>
      <c r="K157">
        <f>IF(AND(VLOOKUP(K$1,main!$A$3:$H$102,7,FALSE)=main!$G$104,VLOOKUP(K$1,main!$A$3:$H$102,5,FALSE)-VLOOKUP($A157,main!$A$3:$H$102,6,FALSE)&gt;=main!$D$103+VLOOKUP(VLOOKUP(K$1,main!$A$3:$I$102,7,FALSE),main!$K$26:$Q$29,4,FALSE)),1,0)</f>
        <v>0</v>
      </c>
      <c r="L157">
        <f>IF(AND(VLOOKUP(L$1,main!$A$3:$H$102,7,FALSE)=main!$G$104,VLOOKUP(L$1,main!$A$3:$H$102,5,FALSE)-VLOOKUP($A157,main!$A$3:$H$102,6,FALSE)&gt;=main!$D$103+VLOOKUP(VLOOKUP(L$1,main!$A$3:$I$102,7,FALSE),main!$K$26:$Q$29,4,FALSE)),1,0)</f>
        <v>1</v>
      </c>
      <c r="M157">
        <f>IF(AND(VLOOKUP(M$1,main!$A$3:$H$102,7,FALSE)=main!$G$104,VLOOKUP(M$1,main!$A$3:$H$102,5,FALSE)-VLOOKUP($A157,main!$A$3:$H$102,6,FALSE)&gt;=main!$D$103+VLOOKUP(VLOOKUP(M$1,main!$A$3:$I$102,7,FALSE),main!$K$26:$Q$29,4,FALSE)),1,0)</f>
        <v>0</v>
      </c>
      <c r="N157">
        <f>IF(AND(VLOOKUP(N$1,main!$A$3:$H$102,7,FALSE)=main!$G$104,VLOOKUP(N$1,main!$A$3:$H$102,5,FALSE)-VLOOKUP($A157,main!$A$3:$H$102,6,FALSE)&gt;=main!$D$103+VLOOKUP(VLOOKUP(N$1,main!$A$3:$I$102,7,FALSE),main!$K$26:$Q$29,4,FALSE)),1,0)</f>
        <v>0</v>
      </c>
      <c r="O157">
        <f>IF(AND(VLOOKUP(O$1,main!$A$3:$H$102,7,FALSE)=main!$G$104,VLOOKUP(O$1,main!$A$3:$H$102,5,FALSE)-VLOOKUP($A157,main!$A$3:$H$102,6,FALSE)&gt;=main!$D$103+VLOOKUP(VLOOKUP(O$1,main!$A$3:$I$102,7,FALSE),main!$K$26:$Q$29,4,FALSE)),1,0)</f>
        <v>0</v>
      </c>
      <c r="P157">
        <f>IF(AND(VLOOKUP(P$1,main!$A$3:$H$102,7,FALSE)=main!$G$104,VLOOKUP(P$1,main!$A$3:$H$102,5,FALSE)-VLOOKUP($A157,main!$A$3:$H$102,6,FALSE)&gt;=main!$D$103+VLOOKUP(VLOOKUP(P$1,main!$A$3:$I$102,7,FALSE),main!$K$26:$Q$29,4,FALSE)),1,0)</f>
        <v>0</v>
      </c>
      <c r="Q157">
        <f>IF(AND(VLOOKUP(Q$1,main!$A$3:$H$102,7,FALSE)=main!$G$104,VLOOKUP(Q$1,main!$A$3:$H$102,5,FALSE)-VLOOKUP($A157,main!$A$3:$H$102,6,FALSE)&gt;=main!$D$103+VLOOKUP(VLOOKUP(Q$1,main!$A$3:$I$102,7,FALSE),main!$K$26:$Q$29,4,FALSE)),1,0)</f>
        <v>0</v>
      </c>
      <c r="R157">
        <f>IF(AND(VLOOKUP(R$1,main!$A$3:$H$102,7,FALSE)=main!$G$104,VLOOKUP(R$1,main!$A$3:$H$102,5,FALSE)-VLOOKUP($A157,main!$A$3:$H$102,6,FALSE)&gt;=main!$D$103+VLOOKUP(VLOOKUP(R$1,main!$A$3:$I$102,7,FALSE),main!$K$26:$Q$29,4,FALSE)),1,0)</f>
        <v>0</v>
      </c>
      <c r="S157">
        <f>IF(AND(VLOOKUP(S$1,main!$A$3:$H$102,7,FALSE)=main!$G$104,VLOOKUP(S$1,main!$A$3:$H$102,5,FALSE)-VLOOKUP($A157,main!$A$3:$H$102,6,FALSE)&gt;=main!$D$103+VLOOKUP(VLOOKUP(S$1,main!$A$3:$I$102,7,FALSE),main!$K$26:$Q$29,4,FALSE)),1,0)</f>
        <v>0</v>
      </c>
      <c r="T157">
        <f>IF(AND(VLOOKUP(T$1,main!$A$3:$H$102,7,FALSE)=main!$G$104,VLOOKUP(T$1,main!$A$3:$H$102,5,FALSE)-VLOOKUP($A157,main!$A$3:$H$102,6,FALSE)&gt;=main!$D$103+VLOOKUP(VLOOKUP(T$1,main!$A$3:$I$102,7,FALSE),main!$K$26:$Q$29,4,FALSE)),1,0)</f>
        <v>0</v>
      </c>
      <c r="U157">
        <f>IF(AND(VLOOKUP(U$1,main!$A$3:$H$102,7,FALSE)=main!$G$104,VLOOKUP(U$1,main!$A$3:$H$102,5,FALSE)-VLOOKUP($A157,main!$A$3:$H$102,6,FALSE)&gt;=main!$D$103+VLOOKUP(VLOOKUP(U$1,main!$A$3:$I$102,7,FALSE),main!$K$26:$Q$29,4,FALSE)),1,0)</f>
        <v>1</v>
      </c>
      <c r="V157">
        <f>IF(AND(VLOOKUP(V$1,main!$A$3:$H$102,7,FALSE)=main!$G$104,VLOOKUP(V$1,main!$A$3:$H$102,5,FALSE)-VLOOKUP($A157,main!$A$3:$H$102,6,FALSE)&gt;=main!$D$103+VLOOKUP(VLOOKUP(V$1,main!$A$3:$I$102,7,FALSE),main!$K$26:$Q$29,4,FALSE)),1,0)</f>
        <v>1</v>
      </c>
      <c r="W157">
        <f>IF(AND(VLOOKUP(W$1,main!$A$3:$H$102,7,FALSE)=main!$G$104,VLOOKUP(W$1,main!$A$3:$H$102,5,FALSE)-VLOOKUP($A157,main!$A$3:$H$102,6,FALSE)&gt;=main!$D$103+VLOOKUP(VLOOKUP(W$1,main!$A$3:$I$102,7,FALSE),main!$K$26:$Q$29,4,FALSE)),1,0)</f>
        <v>0</v>
      </c>
      <c r="X157">
        <f>IF(AND(VLOOKUP(X$1,main!$A$3:$H$102,7,FALSE)=main!$G$104,VLOOKUP(X$1,main!$A$3:$H$102,5,FALSE)-VLOOKUP($A157,main!$A$3:$H$102,6,FALSE)&gt;=main!$D$103+VLOOKUP(VLOOKUP(X$1,main!$A$3:$I$102,7,FALSE),main!$K$26:$Q$29,4,FALSE)),1,0)</f>
        <v>0</v>
      </c>
      <c r="Y157">
        <f>IF(AND(VLOOKUP(Y$1,main!$A$3:$H$102,7,FALSE)=main!$G$104,VLOOKUP(Y$1,main!$A$3:$H$102,5,FALSE)-VLOOKUP($A157,main!$A$3:$H$102,6,FALSE)&gt;=main!$D$103+VLOOKUP(VLOOKUP(Y$1,main!$A$3:$I$102,7,FALSE),main!$K$26:$Q$29,4,FALSE)),1,0)</f>
        <v>0</v>
      </c>
      <c r="Z157">
        <f>IF(AND(VLOOKUP(Z$1,main!$A$3:$H$102,7,FALSE)=main!$G$104,VLOOKUP(Z$1,main!$A$3:$H$102,5,FALSE)-VLOOKUP($A157,main!$A$3:$H$102,6,FALSE)&gt;=main!$D$103+VLOOKUP(VLOOKUP(Z$1,main!$A$3:$I$102,7,FALSE),main!$K$26:$Q$29,4,FALSE)),1,0)</f>
        <v>0</v>
      </c>
      <c r="AA157">
        <f>IF(AND(VLOOKUP(AA$1,main!$A$3:$H$102,7,FALSE)=main!$G$104,VLOOKUP(AA$1,main!$A$3:$H$102,5,FALSE)-VLOOKUP($A157,main!$A$3:$H$102,6,FALSE)&gt;=main!$D$103+VLOOKUP(VLOOKUP(AA$1,main!$A$3:$I$102,7,FALSE),main!$K$26:$Q$29,4,FALSE)),1,0)</f>
        <v>1</v>
      </c>
      <c r="AB157">
        <f>IF(AND(VLOOKUP(AB$1,main!$A$3:$H$102,7,FALSE)=main!$G$104,VLOOKUP(AB$1,main!$A$3:$H$102,5,FALSE)-VLOOKUP($A157,main!$A$3:$H$102,6,FALSE)&gt;=main!$D$103+VLOOKUP(VLOOKUP(AB$1,main!$A$3:$I$102,7,FALSE),main!$K$26:$Q$29,4,FALSE)),1,0)</f>
        <v>0</v>
      </c>
      <c r="AC157">
        <f>IF(AND(VLOOKUP(AC$1,main!$A$3:$H$102,7,FALSE)=main!$G$104,VLOOKUP(AC$1,main!$A$3:$H$102,5,FALSE)-VLOOKUP($A157,main!$A$3:$H$102,6,FALSE)&gt;=main!$D$103+VLOOKUP(VLOOKUP(AC$1,main!$A$3:$I$102,7,FALSE),main!$K$26:$Q$29,4,FALSE)),1,0)</f>
        <v>0</v>
      </c>
      <c r="AD157">
        <f>IF(AND(VLOOKUP(AD$1,main!$A$3:$H$102,7,FALSE)=main!$G$104,VLOOKUP(AD$1,main!$A$3:$H$102,5,FALSE)-VLOOKUP($A157,main!$A$3:$H$102,6,FALSE)&gt;=main!$D$103+VLOOKUP(VLOOKUP(AD$1,main!$A$3:$I$102,7,FALSE),main!$K$26:$Q$29,4,FALSE)),1,0)</f>
        <v>0</v>
      </c>
      <c r="AE157">
        <f>IF(AND(VLOOKUP(AE$1,main!$A$3:$H$102,7,FALSE)=main!$G$104,VLOOKUP(AE$1,main!$A$3:$H$102,5,FALSE)-VLOOKUP($A157,main!$A$3:$H$102,6,FALSE)&gt;=main!$D$103+VLOOKUP(VLOOKUP(AE$1,main!$A$3:$I$102,7,FALSE),main!$K$26:$Q$29,4,FALSE)),1,0)</f>
        <v>0</v>
      </c>
      <c r="AF157">
        <f>IF(AND(VLOOKUP(AF$1,main!$A$3:$H$102,7,FALSE)=main!$G$104,VLOOKUP(AF$1,main!$A$3:$H$102,5,FALSE)-VLOOKUP($A157,main!$A$3:$H$102,6,FALSE)&gt;=main!$D$103+VLOOKUP(VLOOKUP(AF$1,main!$A$3:$I$102,7,FALSE),main!$K$26:$Q$29,4,FALSE)),1,0)</f>
        <v>0</v>
      </c>
      <c r="AG157">
        <f>IF(AND(VLOOKUP(AG$1,main!$A$3:$H$102,7,FALSE)=main!$G$104,VLOOKUP(AG$1,main!$A$3:$H$102,5,FALSE)-VLOOKUP($A157,main!$A$3:$H$102,6,FALSE)&gt;=main!$D$103+VLOOKUP(VLOOKUP(AG$1,main!$A$3:$I$102,7,FALSE),main!$K$26:$Q$29,4,FALSE)),1,0)</f>
        <v>0</v>
      </c>
      <c r="AH157">
        <f>IF(AND(VLOOKUP(AH$1,main!$A$3:$H$102,7,FALSE)=main!$G$104,VLOOKUP(AH$1,main!$A$3:$H$102,5,FALSE)-VLOOKUP($A157,main!$A$3:$H$102,6,FALSE)&gt;=main!$D$103+VLOOKUP(VLOOKUP(AH$1,main!$A$3:$I$102,7,FALSE),main!$K$26:$Q$29,4,FALSE)),1,0)</f>
        <v>0</v>
      </c>
      <c r="AI157">
        <f>IF(AND(VLOOKUP(AI$1,main!$A$3:$H$102,7,FALSE)=main!$G$104,VLOOKUP(AI$1,main!$A$3:$H$102,5,FALSE)-VLOOKUP($A157,main!$A$3:$H$102,6,FALSE)&gt;=main!$D$103+VLOOKUP(VLOOKUP(AI$1,main!$A$3:$I$102,7,FALSE),main!$K$26:$Q$29,4,FALSE)),1,0)</f>
        <v>0</v>
      </c>
      <c r="AJ157">
        <f>IF(AND(VLOOKUP(AJ$1,main!$A$3:$H$102,7,FALSE)=main!$G$104,VLOOKUP(AJ$1,main!$A$3:$H$102,5,FALSE)-VLOOKUP($A157,main!$A$3:$H$102,6,FALSE)&gt;=main!$D$103+VLOOKUP(VLOOKUP(AJ$1,main!$A$3:$I$102,7,FALSE),main!$K$26:$Q$29,4,FALSE)),1,0)</f>
        <v>0</v>
      </c>
      <c r="AK157">
        <f>IF(AND(VLOOKUP(AK$1,main!$A$3:$H$102,7,FALSE)=main!$G$104,VLOOKUP(AK$1,main!$A$3:$H$102,5,FALSE)-VLOOKUP($A157,main!$A$3:$H$102,6,FALSE)&gt;=main!$D$103+VLOOKUP(VLOOKUP(AK$1,main!$A$3:$I$102,7,FALSE),main!$K$26:$Q$29,4,FALSE)),1,0)</f>
        <v>0</v>
      </c>
      <c r="AL157">
        <f>IF(AND(VLOOKUP(AL$1,main!$A$3:$H$102,7,FALSE)=main!$G$104,VLOOKUP(AL$1,main!$A$3:$H$102,5,FALSE)-VLOOKUP($A157,main!$A$3:$H$102,6,FALSE)&gt;=main!$D$103+VLOOKUP(VLOOKUP(AL$1,main!$A$3:$I$102,7,FALSE),main!$K$26:$Q$29,4,FALSE)),1,0)</f>
        <v>0</v>
      </c>
      <c r="AM157">
        <f>IF(AND(VLOOKUP(AM$1,main!$A$3:$H$102,7,FALSE)=main!$G$104,VLOOKUP(AM$1,main!$A$3:$H$102,5,FALSE)-VLOOKUP($A157,main!$A$3:$H$102,6,FALSE)&gt;=main!$D$103+VLOOKUP(VLOOKUP(AM$1,main!$A$3:$I$102,7,FALSE),main!$K$26:$Q$29,4,FALSE)),1,0)</f>
        <v>0</v>
      </c>
      <c r="AN157">
        <f>IF(AND(VLOOKUP(AN$1,main!$A$3:$H$102,7,FALSE)=main!$G$104,VLOOKUP(AN$1,main!$A$3:$H$102,5,FALSE)-VLOOKUP($A157,main!$A$3:$H$102,6,FALSE)&gt;=main!$D$103+VLOOKUP(VLOOKUP(AN$1,main!$A$3:$I$102,7,FALSE),main!$K$26:$Q$29,4,FALSE)),1,0)</f>
        <v>0</v>
      </c>
      <c r="AO157">
        <f>IF(AND(VLOOKUP(AO$1,main!$A$3:$H$102,7,FALSE)=main!$G$104,VLOOKUP(AO$1,main!$A$3:$H$102,5,FALSE)-VLOOKUP($A157,main!$A$3:$H$102,6,FALSE)&gt;=main!$D$103+VLOOKUP(VLOOKUP(AO$1,main!$A$3:$I$102,7,FALSE),main!$K$26:$Q$29,4,FALSE)),1,0)</f>
        <v>0</v>
      </c>
      <c r="AP157">
        <f>IF(AND(VLOOKUP(AP$1,main!$A$3:$H$102,7,FALSE)=main!$G$104,VLOOKUP(AP$1,main!$A$3:$H$102,5,FALSE)-VLOOKUP($A157,main!$A$3:$H$102,6,FALSE)&gt;=main!$D$103+VLOOKUP(VLOOKUP(AP$1,main!$A$3:$I$102,7,FALSE),main!$K$26:$Q$29,4,FALSE)),1,0)</f>
        <v>0</v>
      </c>
      <c r="AQ157">
        <f>IF(AND(VLOOKUP(AQ$1,main!$A$3:$H$102,7,FALSE)=main!$G$104,VLOOKUP(AQ$1,main!$A$3:$H$102,5,FALSE)-VLOOKUP($A157,main!$A$3:$H$102,6,FALSE)&gt;=main!$D$103+VLOOKUP(VLOOKUP(AQ$1,main!$A$3:$I$102,7,FALSE),main!$K$26:$Q$29,4,FALSE)),1,0)</f>
        <v>0</v>
      </c>
      <c r="AR157">
        <f>IF(AND(VLOOKUP(AR$1,main!$A$3:$H$102,7,FALSE)=main!$G$104,VLOOKUP(AR$1,main!$A$3:$H$102,5,FALSE)-VLOOKUP($A157,main!$A$3:$H$102,6,FALSE)&gt;=main!$D$103+VLOOKUP(VLOOKUP(AR$1,main!$A$3:$I$102,7,FALSE),main!$K$26:$Q$29,4,FALSE)),1,0)</f>
        <v>0</v>
      </c>
      <c r="AS157">
        <f>IF(AND(VLOOKUP(AS$1,main!$A$3:$H$102,7,FALSE)=main!$G$104,VLOOKUP(AS$1,main!$A$3:$H$102,5,FALSE)-VLOOKUP($A157,main!$A$3:$H$102,6,FALSE)&gt;=main!$D$103+VLOOKUP(VLOOKUP(AS$1,main!$A$3:$I$102,7,FALSE),main!$K$26:$Q$29,4,FALSE)),1,0)</f>
        <v>0</v>
      </c>
      <c r="AT157">
        <f>IF(AND(VLOOKUP(AT$1,main!$A$3:$H$102,7,FALSE)=main!$G$104,VLOOKUP(AT$1,main!$A$3:$H$102,5,FALSE)-VLOOKUP($A157,main!$A$3:$H$102,6,FALSE)&gt;=main!$D$103+VLOOKUP(VLOOKUP(AT$1,main!$A$3:$I$102,7,FALSE),main!$K$26:$Q$29,4,FALSE)),1,0)</f>
        <v>0</v>
      </c>
      <c r="AU157">
        <f>IF(AND(VLOOKUP(AU$1,main!$A$3:$H$102,7,FALSE)=main!$G$104,VLOOKUP(AU$1,main!$A$3:$H$102,5,FALSE)-VLOOKUP($A157,main!$A$3:$H$102,6,FALSE)&gt;=main!$D$103+VLOOKUP(VLOOKUP(AU$1,main!$A$3:$I$102,7,FALSE),main!$K$26:$Q$29,4,FALSE)),1,0)</f>
        <v>0</v>
      </c>
      <c r="AV157">
        <f>IF(AND(VLOOKUP(AV$1,main!$A$3:$H$102,7,FALSE)=main!$G$104,VLOOKUP(AV$1,main!$A$3:$H$102,5,FALSE)-VLOOKUP($A157,main!$A$3:$H$102,6,FALSE)&gt;=main!$D$103+VLOOKUP(VLOOKUP(AV$1,main!$A$3:$I$102,7,FALSE),main!$K$26:$Q$29,4,FALSE)),1,0)</f>
        <v>0</v>
      </c>
      <c r="AW157">
        <f>IF(AND(VLOOKUP(AW$1,main!$A$3:$H$102,7,FALSE)=main!$G$104,VLOOKUP(AW$1,main!$A$3:$H$102,5,FALSE)-VLOOKUP($A157,main!$A$3:$H$102,6,FALSE)&gt;=main!$D$103+VLOOKUP(VLOOKUP(AW$1,main!$A$3:$I$102,7,FALSE),main!$K$26:$Q$29,4,FALSE)),1,0)</f>
        <v>0</v>
      </c>
      <c r="AX157">
        <f>IF(AND(VLOOKUP(AX$1,main!$A$3:$H$102,7,FALSE)=main!$G$104,VLOOKUP(AX$1,main!$A$3:$H$102,5,FALSE)-VLOOKUP($A157,main!$A$3:$H$102,6,FALSE)&gt;=main!$D$103+VLOOKUP(VLOOKUP(AX$1,main!$A$3:$I$102,7,FALSE),main!$K$26:$Q$29,4,FALSE)),1,0)</f>
        <v>0</v>
      </c>
      <c r="AY157">
        <f>IF(AND(VLOOKUP(AY$1,main!$A$3:$H$102,7,FALSE)=main!$G$104,VLOOKUP(AY$1,main!$A$3:$H$102,5,FALSE)-VLOOKUP($A157,main!$A$3:$H$102,6,FALSE)&gt;=main!$D$103+VLOOKUP(VLOOKUP(AY$1,main!$A$3:$I$102,7,FALSE),main!$K$26:$Q$29,4,FALSE)),1,0)</f>
        <v>0</v>
      </c>
      <c r="AZ157">
        <f>IF(AND(VLOOKUP(AZ$1,main!$A$3:$H$102,7,FALSE)=main!$G$104,VLOOKUP(AZ$1,main!$A$3:$H$102,5,FALSE)-VLOOKUP($A157,main!$A$3:$H$102,6,FALSE)&gt;=main!$D$103+VLOOKUP(VLOOKUP(AZ$1,main!$A$3:$I$102,7,FALSE),main!$K$26:$Q$29,4,FALSE)),1,0)</f>
        <v>0</v>
      </c>
      <c r="BA157">
        <f>IF(AND(VLOOKUP(BA$1,main!$A$3:$H$102,7,FALSE)=main!$G$104,VLOOKUP(BA$1,main!$A$3:$H$102,5,FALSE)-VLOOKUP($A157,main!$A$3:$H$102,6,FALSE)&gt;=main!$D$103+VLOOKUP(VLOOKUP(BA$1,main!$A$3:$I$102,7,FALSE),main!$K$26:$Q$29,4,FALSE)),1,0)</f>
        <v>0</v>
      </c>
      <c r="BB157">
        <f>IF(AND(VLOOKUP(BB$1,main!$A$3:$H$102,7,FALSE)=main!$G$104,VLOOKUP(BB$1,main!$A$3:$H$102,5,FALSE)-VLOOKUP($A157,main!$A$3:$H$102,6,FALSE)&gt;=main!$D$103+VLOOKUP(VLOOKUP(BB$1,main!$A$3:$I$102,7,FALSE),main!$K$26:$Q$29,4,FALSE)),1,0)</f>
        <v>0</v>
      </c>
      <c r="BC157">
        <f>IF(AND(VLOOKUP(BC$1,main!$A$3:$H$102,7,FALSE)=main!$G$104,VLOOKUP(BC$1,main!$A$3:$H$102,5,FALSE)-VLOOKUP($A157,main!$A$3:$H$102,6,FALSE)&gt;=main!$D$103+VLOOKUP(VLOOKUP(BC$1,main!$A$3:$I$102,7,FALSE),main!$K$26:$Q$29,4,FALSE)),1,0)</f>
        <v>0</v>
      </c>
      <c r="BD157">
        <f>IF(AND(VLOOKUP(BD$1,main!$A$3:$H$102,7,FALSE)=main!$G$104,VLOOKUP(BD$1,main!$A$3:$H$102,5,FALSE)-VLOOKUP($A157,main!$A$3:$H$102,6,FALSE)&gt;=main!$D$103+VLOOKUP(VLOOKUP(BD$1,main!$A$3:$I$102,7,FALSE),main!$K$26:$Q$29,4,FALSE)),1,0)</f>
        <v>0</v>
      </c>
      <c r="BE157">
        <f>IF(AND(VLOOKUP(BE$1,main!$A$3:$H$102,7,FALSE)=main!$G$104,VLOOKUP(BE$1,main!$A$3:$H$102,5,FALSE)-VLOOKUP($A157,main!$A$3:$H$102,6,FALSE)&gt;=main!$D$103+VLOOKUP(VLOOKUP(BE$1,main!$A$3:$I$102,7,FALSE),main!$K$26:$Q$29,4,FALSE)),1,0)</f>
        <v>0</v>
      </c>
      <c r="BF157">
        <f>IF(AND(VLOOKUP(BF$1,main!$A$3:$H$102,7,FALSE)=main!$G$104,VLOOKUP(BF$1,main!$A$3:$H$102,5,FALSE)-VLOOKUP($A157,main!$A$3:$H$102,6,FALSE)&gt;=main!$D$103+VLOOKUP(VLOOKUP(BF$1,main!$A$3:$I$102,7,FALSE),main!$K$26:$Q$29,4,FALSE)),1,0)</f>
        <v>0</v>
      </c>
      <c r="BG157">
        <f>IF(AND(VLOOKUP(BG$1,main!$A$3:$H$102,7,FALSE)=main!$G$104,VLOOKUP(BG$1,main!$A$3:$H$102,5,FALSE)-VLOOKUP($A157,main!$A$3:$H$102,6,FALSE)&gt;=main!$D$103+VLOOKUP(VLOOKUP(BG$1,main!$A$3:$I$102,7,FALSE),main!$K$26:$Q$29,4,FALSE)),1,0)</f>
        <v>0</v>
      </c>
      <c r="BH157">
        <f>IF(AND(VLOOKUP(BH$1,main!$A$3:$H$102,7,FALSE)=main!$G$104,VLOOKUP(BH$1,main!$A$3:$H$102,5,FALSE)-VLOOKUP($A157,main!$A$3:$H$102,6,FALSE)&gt;=main!$D$103+VLOOKUP(VLOOKUP(BH$1,main!$A$3:$I$102,7,FALSE),main!$K$26:$Q$29,4,FALSE)),1,0)</f>
        <v>0</v>
      </c>
      <c r="BI157">
        <f>IF(AND(VLOOKUP(BI$1,main!$A$3:$H$102,7,FALSE)=main!$G$104,VLOOKUP(BI$1,main!$A$3:$H$102,5,FALSE)-VLOOKUP($A157,main!$A$3:$H$102,6,FALSE)&gt;=main!$D$103+VLOOKUP(VLOOKUP(BI$1,main!$A$3:$I$102,7,FALSE),main!$K$26:$Q$29,4,FALSE)),1,0)</f>
        <v>0</v>
      </c>
      <c r="BJ157">
        <f>IF(AND(VLOOKUP(BJ$1,main!$A$3:$H$102,7,FALSE)=main!$G$104,VLOOKUP(BJ$1,main!$A$3:$H$102,5,FALSE)-VLOOKUP($A157,main!$A$3:$H$102,6,FALSE)&gt;=main!$D$103+VLOOKUP(VLOOKUP(BJ$1,main!$A$3:$I$102,7,FALSE),main!$K$26:$Q$29,4,FALSE)),1,0)</f>
        <v>0</v>
      </c>
      <c r="BK157">
        <f>IF(AND(VLOOKUP(BK$1,main!$A$3:$H$102,7,FALSE)=main!$G$104,VLOOKUP(BK$1,main!$A$3:$H$102,5,FALSE)-VLOOKUP($A157,main!$A$3:$H$102,6,FALSE)&gt;=main!$D$103+VLOOKUP(VLOOKUP(BK$1,main!$A$3:$I$102,7,FALSE),main!$K$26:$Q$29,4,FALSE)),1,0)</f>
        <v>0</v>
      </c>
      <c r="BL157">
        <f>IF(AND(VLOOKUP(BL$1,main!$A$3:$H$102,7,FALSE)=main!$G$104,VLOOKUP(BL$1,main!$A$3:$H$102,5,FALSE)-VLOOKUP($A157,main!$A$3:$H$102,6,FALSE)&gt;=main!$D$103+VLOOKUP(VLOOKUP(BL$1,main!$A$3:$I$102,7,FALSE),main!$K$26:$Q$29,4,FALSE)),1,0)</f>
        <v>0</v>
      </c>
      <c r="BM157">
        <f>IF(AND(VLOOKUP(BM$1,main!$A$3:$H$102,7,FALSE)=main!$G$104,VLOOKUP(BM$1,main!$A$3:$H$102,5,FALSE)-VLOOKUP($A157,main!$A$3:$H$102,6,FALSE)&gt;=main!$D$103+VLOOKUP(VLOOKUP(BM$1,main!$A$3:$I$102,7,FALSE),main!$K$26:$Q$29,4,FALSE)),1,0)</f>
        <v>0</v>
      </c>
      <c r="BN157">
        <f>IF(AND(VLOOKUP(BN$1,main!$A$3:$H$102,7,FALSE)=main!$G$104,VLOOKUP(BN$1,main!$A$3:$H$102,5,FALSE)-VLOOKUP($A157,main!$A$3:$H$102,6,FALSE)&gt;=main!$D$103+VLOOKUP(VLOOKUP(BN$1,main!$A$3:$I$102,7,FALSE),main!$K$26:$Q$29,4,FALSE)),1,0)</f>
        <v>0</v>
      </c>
      <c r="BO157">
        <f>IF(AND(VLOOKUP(BO$1,main!$A$3:$H$102,7,FALSE)=main!$G$104,VLOOKUP(BO$1,main!$A$3:$H$102,5,FALSE)-VLOOKUP($A157,main!$A$3:$H$102,6,FALSE)&gt;=main!$D$103+VLOOKUP(VLOOKUP(BO$1,main!$A$3:$I$102,7,FALSE),main!$K$26:$Q$29,4,FALSE)),1,0)</f>
        <v>0</v>
      </c>
      <c r="BP157">
        <f>IF(AND(VLOOKUP(BP$1,main!$A$3:$H$102,7,FALSE)=main!$G$104,VLOOKUP(BP$1,main!$A$3:$H$102,5,FALSE)-VLOOKUP($A157,main!$A$3:$H$102,6,FALSE)&gt;=main!$D$103+VLOOKUP(VLOOKUP(BP$1,main!$A$3:$I$102,7,FALSE),main!$K$26:$Q$29,4,FALSE)),1,0)</f>
        <v>0</v>
      </c>
      <c r="BQ157">
        <f>IF(AND(VLOOKUP(BQ$1,main!$A$3:$H$102,7,FALSE)=main!$G$104,VLOOKUP(BQ$1,main!$A$3:$H$102,5,FALSE)-VLOOKUP($A157,main!$A$3:$H$102,6,FALSE)&gt;=main!$D$103+VLOOKUP(VLOOKUP(BQ$1,main!$A$3:$I$102,7,FALSE),main!$K$26:$Q$29,4,FALSE)),1,0)</f>
        <v>0</v>
      </c>
      <c r="BR157">
        <f>IF(AND(VLOOKUP(BR$1,main!$A$3:$H$102,7,FALSE)=main!$G$104,VLOOKUP(BR$1,main!$A$3:$H$102,5,FALSE)-VLOOKUP($A157,main!$A$3:$H$102,6,FALSE)&gt;=main!$D$103+VLOOKUP(VLOOKUP(BR$1,main!$A$3:$I$102,7,FALSE),main!$K$26:$Q$29,4,FALSE)),1,0)</f>
        <v>0</v>
      </c>
      <c r="BS157">
        <f>IF(AND(VLOOKUP(BS$1,main!$A$3:$H$102,7,FALSE)=main!$G$104,VLOOKUP(BS$1,main!$A$3:$H$102,5,FALSE)-VLOOKUP($A157,main!$A$3:$H$102,6,FALSE)&gt;=main!$D$103+VLOOKUP(VLOOKUP(BS$1,main!$A$3:$I$102,7,FALSE),main!$K$26:$Q$29,4,FALSE)),1,0)</f>
        <v>0</v>
      </c>
      <c r="BT157">
        <f>IF(AND(VLOOKUP(BT$1,main!$A$3:$H$102,7,FALSE)=main!$G$104,VLOOKUP(BT$1,main!$A$3:$H$102,5,FALSE)-VLOOKUP($A157,main!$A$3:$H$102,6,FALSE)&gt;=main!$D$103+VLOOKUP(VLOOKUP(BT$1,main!$A$3:$I$102,7,FALSE),main!$K$26:$Q$29,4,FALSE)),1,0)</f>
        <v>0</v>
      </c>
      <c r="BU157">
        <f>IF(AND(VLOOKUP(BU$1,main!$A$3:$H$102,7,FALSE)=main!$G$104,VLOOKUP(BU$1,main!$A$3:$H$102,5,FALSE)-VLOOKUP($A157,main!$A$3:$H$102,6,FALSE)&gt;=main!$D$103+VLOOKUP(VLOOKUP(BU$1,main!$A$3:$I$102,7,FALSE),main!$K$26:$Q$29,4,FALSE)),1,0)</f>
        <v>0</v>
      </c>
      <c r="BV157">
        <f>IF(AND(VLOOKUP(BV$1,main!$A$3:$H$102,7,FALSE)=main!$G$104,VLOOKUP(BV$1,main!$A$3:$H$102,5,FALSE)-VLOOKUP($A157,main!$A$3:$H$102,6,FALSE)&gt;=main!$D$103+VLOOKUP(VLOOKUP(BV$1,main!$A$3:$I$102,7,FALSE),main!$K$26:$Q$29,4,FALSE)),1,0)</f>
        <v>0</v>
      </c>
      <c r="BW157">
        <f>IF(AND(VLOOKUP(BW$1,main!$A$3:$H$102,7,FALSE)=main!$G$104,VLOOKUP(BW$1,main!$A$3:$H$102,5,FALSE)-VLOOKUP($A157,main!$A$3:$H$102,6,FALSE)&gt;=main!$D$103+VLOOKUP(VLOOKUP(BW$1,main!$A$3:$I$102,7,FALSE),main!$K$26:$Q$29,4,FALSE)),1,0)</f>
        <v>0</v>
      </c>
      <c r="BX157">
        <f>IF(AND(VLOOKUP(BX$1,main!$A$3:$H$102,7,FALSE)=main!$G$104,VLOOKUP(BX$1,main!$A$3:$H$102,5,FALSE)-VLOOKUP($A157,main!$A$3:$H$102,6,FALSE)&gt;=main!$D$103+VLOOKUP(VLOOKUP(BX$1,main!$A$3:$I$102,7,FALSE),main!$K$26:$Q$29,4,FALSE)),1,0)</f>
        <v>0</v>
      </c>
      <c r="BY157">
        <f>IF(AND(VLOOKUP(BY$1,main!$A$3:$H$102,7,FALSE)=main!$G$104,VLOOKUP(BY$1,main!$A$3:$H$102,5,FALSE)-VLOOKUP($A157,main!$A$3:$H$102,6,FALSE)&gt;=main!$D$103+VLOOKUP(VLOOKUP(BY$1,main!$A$3:$I$102,7,FALSE),main!$K$26:$Q$29,4,FALSE)),1,0)</f>
        <v>0</v>
      </c>
      <c r="BZ157">
        <f>IF(AND(VLOOKUP(BZ$1,main!$A$3:$H$102,7,FALSE)=main!$G$104,VLOOKUP(BZ$1,main!$A$3:$H$102,5,FALSE)-VLOOKUP($A157,main!$A$3:$H$102,6,FALSE)&gt;=main!$D$103+VLOOKUP(VLOOKUP(BZ$1,main!$A$3:$I$102,7,FALSE),main!$K$26:$Q$29,4,FALSE)),1,0)</f>
        <v>0</v>
      </c>
      <c r="CA157">
        <f>IF(AND(VLOOKUP(CA$1,main!$A$3:$H$102,7,FALSE)=main!$G$104,VLOOKUP(CA$1,main!$A$3:$H$102,5,FALSE)-VLOOKUP($A157,main!$A$3:$H$102,6,FALSE)&gt;=main!$D$103+VLOOKUP(VLOOKUP(CA$1,main!$A$3:$I$102,7,FALSE),main!$K$26:$Q$29,4,FALSE)),1,0)</f>
        <v>0</v>
      </c>
      <c r="CB157">
        <f>IF(AND(VLOOKUP(CB$1,main!$A$3:$H$102,7,FALSE)=main!$G$104,VLOOKUP(CB$1,main!$A$3:$H$102,5,FALSE)-VLOOKUP($A157,main!$A$3:$H$102,6,FALSE)&gt;=main!$D$103+VLOOKUP(VLOOKUP(CB$1,main!$A$3:$I$102,7,FALSE),main!$K$26:$Q$29,4,FALSE)),1,0)</f>
        <v>0</v>
      </c>
      <c r="CC157">
        <f>IF(AND(VLOOKUP(CC$1,main!$A$3:$H$102,7,FALSE)=main!$G$104,VLOOKUP(CC$1,main!$A$3:$H$102,5,FALSE)-VLOOKUP($A157,main!$A$3:$H$102,6,FALSE)&gt;=main!$D$103+VLOOKUP(VLOOKUP(CC$1,main!$A$3:$I$102,7,FALSE),main!$K$26:$Q$29,4,FALSE)),1,0)</f>
        <v>0</v>
      </c>
      <c r="CD157">
        <f>IF(AND(VLOOKUP(CD$1,main!$A$3:$H$102,7,FALSE)=main!$G$104,VLOOKUP(CD$1,main!$A$3:$H$102,5,FALSE)-VLOOKUP($A157,main!$A$3:$H$102,6,FALSE)&gt;=main!$D$103+VLOOKUP(VLOOKUP(CD$1,main!$A$3:$I$102,7,FALSE),main!$K$26:$Q$29,4,FALSE)),1,0)</f>
        <v>0</v>
      </c>
      <c r="CE157">
        <f>IF(AND(VLOOKUP(CE$1,main!$A$3:$H$102,7,FALSE)=main!$G$104,VLOOKUP(CE$1,main!$A$3:$H$102,5,FALSE)-VLOOKUP($A157,main!$A$3:$H$102,6,FALSE)&gt;=main!$D$103+VLOOKUP(VLOOKUP(CE$1,main!$A$3:$I$102,7,FALSE),main!$K$26:$Q$29,4,FALSE)),1,0)</f>
        <v>0</v>
      </c>
      <c r="CF157">
        <f>IF(AND(VLOOKUP(CF$1,main!$A$3:$H$102,7,FALSE)=main!$G$104,VLOOKUP(CF$1,main!$A$3:$H$102,5,FALSE)-VLOOKUP($A157,main!$A$3:$H$102,6,FALSE)&gt;=main!$D$103+VLOOKUP(VLOOKUP(CF$1,main!$A$3:$I$102,7,FALSE),main!$K$26:$Q$29,4,FALSE)),1,0)</f>
        <v>0</v>
      </c>
      <c r="CG157">
        <f>IF(AND(VLOOKUP(CG$1,main!$A$3:$H$102,7,FALSE)=main!$G$104,VLOOKUP(CG$1,main!$A$3:$H$102,5,FALSE)-VLOOKUP($A157,main!$A$3:$H$102,6,FALSE)&gt;=main!$D$103+VLOOKUP(VLOOKUP(CG$1,main!$A$3:$I$102,7,FALSE),main!$K$26:$Q$29,4,FALSE)),1,0)</f>
        <v>0</v>
      </c>
      <c r="CH157">
        <f>IF(AND(VLOOKUP(CH$1,main!$A$3:$H$102,7,FALSE)=main!$G$104,VLOOKUP(CH$1,main!$A$3:$H$102,5,FALSE)-VLOOKUP($A157,main!$A$3:$H$102,6,FALSE)&gt;=main!$D$103+VLOOKUP(VLOOKUP(CH$1,main!$A$3:$I$102,7,FALSE),main!$K$26:$Q$29,4,FALSE)),1,0)</f>
        <v>0</v>
      </c>
      <c r="CI157">
        <f>IF(AND(VLOOKUP(CI$1,main!$A$3:$H$102,7,FALSE)=main!$G$104,VLOOKUP(CI$1,main!$A$3:$H$102,5,FALSE)-VLOOKUP($A157,main!$A$3:$H$102,6,FALSE)&gt;=main!$D$103+VLOOKUP(VLOOKUP(CI$1,main!$A$3:$I$102,7,FALSE),main!$K$26:$Q$29,4,FALSE)),1,0)</f>
        <v>0</v>
      </c>
      <c r="CJ157">
        <f>IF(AND(VLOOKUP(CJ$1,main!$A$3:$H$102,7,FALSE)=main!$G$104,VLOOKUP(CJ$1,main!$A$3:$H$102,5,FALSE)-VLOOKUP($A157,main!$A$3:$H$102,6,FALSE)&gt;=main!$D$103+VLOOKUP(VLOOKUP(CJ$1,main!$A$3:$I$102,7,FALSE),main!$K$26:$Q$29,4,FALSE)),1,0)</f>
        <v>0</v>
      </c>
      <c r="CK157">
        <f>IF(AND(VLOOKUP(CK$1,main!$A$3:$H$102,7,FALSE)=main!$G$104,VLOOKUP(CK$1,main!$A$3:$H$102,5,FALSE)-VLOOKUP($A157,main!$A$3:$H$102,6,FALSE)&gt;=main!$D$103+VLOOKUP(VLOOKUP(CK$1,main!$A$3:$I$102,7,FALSE),main!$K$26:$Q$29,4,FALSE)),1,0)</f>
        <v>0</v>
      </c>
      <c r="CL157">
        <f>IF(AND(VLOOKUP(CL$1,main!$A$3:$H$102,7,FALSE)=main!$G$104,VLOOKUP(CL$1,main!$A$3:$H$102,5,FALSE)-VLOOKUP($A157,main!$A$3:$H$102,6,FALSE)&gt;=main!$D$103+VLOOKUP(VLOOKUP(CL$1,main!$A$3:$I$102,7,FALSE),main!$K$26:$Q$29,4,FALSE)),1,0)</f>
        <v>0</v>
      </c>
      <c r="CM157">
        <f>IF(AND(VLOOKUP(CM$1,main!$A$3:$H$102,7,FALSE)=main!$G$104,VLOOKUP(CM$1,main!$A$3:$H$102,5,FALSE)-VLOOKUP($A157,main!$A$3:$H$102,6,FALSE)&gt;=main!$D$103+VLOOKUP(VLOOKUP(CM$1,main!$A$3:$I$102,7,FALSE),main!$K$26:$Q$29,4,FALSE)),1,0)</f>
        <v>0</v>
      </c>
      <c r="CN157">
        <f>IF(AND(VLOOKUP(CN$1,main!$A$3:$H$102,7,FALSE)=main!$G$104,VLOOKUP(CN$1,main!$A$3:$H$102,5,FALSE)-VLOOKUP($A157,main!$A$3:$H$102,6,FALSE)&gt;=main!$D$103+VLOOKUP(VLOOKUP(CN$1,main!$A$3:$I$102,7,FALSE),main!$K$26:$Q$29,4,FALSE)),1,0)</f>
        <v>0</v>
      </c>
      <c r="CO157">
        <f>IF(AND(VLOOKUP(CO$1,main!$A$3:$H$102,7,FALSE)=main!$G$104,VLOOKUP(CO$1,main!$A$3:$H$102,5,FALSE)-VLOOKUP($A157,main!$A$3:$H$102,6,FALSE)&gt;=main!$D$103+VLOOKUP(VLOOKUP(CO$1,main!$A$3:$I$102,7,FALSE),main!$K$26:$Q$29,4,FALSE)),1,0)</f>
        <v>0</v>
      </c>
      <c r="CP157">
        <f>IF(AND(VLOOKUP(CP$1,main!$A$3:$H$102,7,FALSE)=main!$G$104,VLOOKUP(CP$1,main!$A$3:$H$102,5,FALSE)-VLOOKUP($A157,main!$A$3:$H$102,6,FALSE)&gt;=main!$D$103+VLOOKUP(VLOOKUP(CP$1,main!$A$3:$I$102,7,FALSE),main!$K$26:$Q$29,4,FALSE)),1,0)</f>
        <v>0</v>
      </c>
      <c r="CQ157">
        <f>IF(AND(VLOOKUP(CQ$1,main!$A$3:$H$102,7,FALSE)=main!$G$104,VLOOKUP(CQ$1,main!$A$3:$H$102,5,FALSE)-VLOOKUP($A157,main!$A$3:$H$102,6,FALSE)&gt;=main!$D$103+VLOOKUP(VLOOKUP(CQ$1,main!$A$3:$I$102,7,FALSE),main!$K$26:$Q$29,4,FALSE)),1,0)</f>
        <v>0</v>
      </c>
      <c r="CR157">
        <f>IF(AND(VLOOKUP(CR$1,main!$A$3:$H$102,7,FALSE)=main!$G$104,VLOOKUP(CR$1,main!$A$3:$H$102,5,FALSE)-VLOOKUP($A157,main!$A$3:$H$102,6,FALSE)&gt;=main!$D$103+VLOOKUP(VLOOKUP(CR$1,main!$A$3:$I$102,7,FALSE),main!$K$26:$Q$29,4,FALSE)),1,0)</f>
        <v>0</v>
      </c>
      <c r="CS157">
        <f>IF(AND(VLOOKUP(CS$1,main!$A$3:$H$102,7,FALSE)=main!$G$104,VLOOKUP(CS$1,main!$A$3:$H$102,5,FALSE)-VLOOKUP($A157,main!$A$3:$H$102,6,FALSE)&gt;=main!$D$103+VLOOKUP(VLOOKUP(CS$1,main!$A$3:$I$102,7,FALSE),main!$K$26:$Q$29,4,FALSE)),1,0)</f>
        <v>0</v>
      </c>
      <c r="CT157">
        <f>IF(AND(VLOOKUP(CT$1,main!$A$3:$H$102,7,FALSE)=main!$G$104,VLOOKUP(CT$1,main!$A$3:$H$102,5,FALSE)-VLOOKUP($A157,main!$A$3:$H$102,6,FALSE)&gt;=main!$D$103+VLOOKUP(VLOOKUP(CT$1,main!$A$3:$I$102,7,FALSE),main!$K$26:$Q$29,4,FALSE)),1,0)</f>
        <v>0</v>
      </c>
      <c r="CU157">
        <f>IF(AND(VLOOKUP(CU$1,main!$A$3:$H$102,7,FALSE)=main!$G$104,VLOOKUP(CU$1,main!$A$3:$H$102,5,FALSE)-VLOOKUP($A157,main!$A$3:$H$102,6,FALSE)&gt;=main!$D$103+VLOOKUP(VLOOKUP(CU$1,main!$A$3:$I$102,7,FALSE),main!$K$26:$Q$29,4,FALSE)),1,0)</f>
        <v>0</v>
      </c>
      <c r="CV157">
        <f>IF(AND(VLOOKUP(CV$1,main!$A$3:$H$102,7,FALSE)=main!$G$104,VLOOKUP(CV$1,main!$A$3:$H$102,5,FALSE)-VLOOKUP($A157,main!$A$3:$H$102,6,FALSE)&gt;=main!$D$103+VLOOKUP(VLOOKUP(CV$1,main!$A$3:$I$102,7,FALSE),main!$K$26:$Q$29,4,FALSE)),1,0)</f>
        <v>0</v>
      </c>
      <c r="CW157">
        <f>IF(AND(VLOOKUP(CW$1,main!$A$3:$H$102,7,FALSE)=main!$G$104,VLOOKUP(CW$1,main!$A$3:$H$102,5,FALSE)-VLOOKUP($A157,main!$A$3:$H$102,6,FALSE)&gt;=main!$D$103+VLOOKUP(VLOOKUP(CW$1,main!$A$3:$I$102,7,FALSE),main!$K$26:$Q$29,4,FALSE)),1,0)</f>
        <v>0</v>
      </c>
      <c r="CX157">
        <f>IF(AND(VLOOKUP(CX$1,main!$A$3:$H$102,7,FALSE)=main!$G$104,VLOOKUP(CX$1,main!$A$3:$H$102,5,FALSE)-VLOOKUP($A157,main!$A$3:$H$102,6,FALSE)&gt;=main!$D$103+VLOOKUP(VLOOKUP(CX$1,main!$A$3:$I$102,7,FALSE),main!$K$26:$Q$29,4,FALSE)),1,0)</f>
        <v>0</v>
      </c>
    </row>
    <row r="158" spans="1:106" x14ac:dyDescent="0.25">
      <c r="A158" s="1">
        <v>55</v>
      </c>
      <c r="B158">
        <v>0</v>
      </c>
      <c r="C158">
        <f>IF(AND(VLOOKUP(C$1,main!$A$3:$H$102,7,FALSE)=main!$G$104,VLOOKUP(C$1,main!$A$3:$H$102,5,FALSE)-VLOOKUP($A158,main!$A$3:$H$102,6,FALSE)&gt;=main!$D$103+VLOOKUP(VLOOKUP(C$1,main!$A$3:$I$102,7,FALSE),main!$K$26:$Q$29,4,FALSE)),1,0)</f>
        <v>0</v>
      </c>
      <c r="D158">
        <f>IF(AND(VLOOKUP(D$1,main!$A$3:$H$102,7,FALSE)=main!$G$104,VLOOKUP(D$1,main!$A$3:$H$102,5,FALSE)-VLOOKUP($A158,main!$A$3:$H$102,6,FALSE)&gt;=main!$D$103+VLOOKUP(VLOOKUP(D$1,main!$A$3:$I$102,7,FALSE),main!$K$26:$Q$29,4,FALSE)),1,0)</f>
        <v>0</v>
      </c>
      <c r="E158">
        <f>IF(AND(VLOOKUP(E$1,main!$A$3:$H$102,7,FALSE)=main!$G$104,VLOOKUP(E$1,main!$A$3:$H$102,5,FALSE)-VLOOKUP($A158,main!$A$3:$H$102,6,FALSE)&gt;=main!$D$103+VLOOKUP(VLOOKUP(E$1,main!$A$3:$I$102,7,FALSE),main!$K$26:$Q$29,4,FALSE)),1,0)</f>
        <v>0</v>
      </c>
      <c r="F158">
        <f>IF(AND(VLOOKUP(F$1,main!$A$3:$H$102,7,FALSE)=main!$G$104,VLOOKUP(F$1,main!$A$3:$H$102,5,FALSE)-VLOOKUP($A158,main!$A$3:$H$102,6,FALSE)&gt;=main!$D$103+VLOOKUP(VLOOKUP(F$1,main!$A$3:$I$102,7,FALSE),main!$K$26:$Q$29,4,FALSE)),1,0)</f>
        <v>0</v>
      </c>
      <c r="G158">
        <f>IF(AND(VLOOKUP(G$1,main!$A$3:$H$102,7,FALSE)=main!$G$104,VLOOKUP(G$1,main!$A$3:$H$102,5,FALSE)-VLOOKUP($A158,main!$A$3:$H$102,6,FALSE)&gt;=main!$D$103+VLOOKUP(VLOOKUP(G$1,main!$A$3:$I$102,7,FALSE),main!$K$26:$Q$29,4,FALSE)),1,0)</f>
        <v>0</v>
      </c>
      <c r="H158">
        <f>IF(AND(VLOOKUP(H$1,main!$A$3:$H$102,7,FALSE)=main!$G$104,VLOOKUP(H$1,main!$A$3:$H$102,5,FALSE)-VLOOKUP($A158,main!$A$3:$H$102,6,FALSE)&gt;=main!$D$103+VLOOKUP(VLOOKUP(H$1,main!$A$3:$I$102,7,FALSE),main!$K$26:$Q$29,4,FALSE)),1,0)</f>
        <v>0</v>
      </c>
      <c r="I158">
        <f>IF(AND(VLOOKUP(I$1,main!$A$3:$H$102,7,FALSE)=main!$G$104,VLOOKUP(I$1,main!$A$3:$H$102,5,FALSE)-VLOOKUP($A158,main!$A$3:$H$102,6,FALSE)&gt;=main!$D$103+VLOOKUP(VLOOKUP(I$1,main!$A$3:$I$102,7,FALSE),main!$K$26:$Q$29,4,FALSE)),1,0)</f>
        <v>0</v>
      </c>
      <c r="J158">
        <f>IF(AND(VLOOKUP(J$1,main!$A$3:$H$102,7,FALSE)=main!$G$104,VLOOKUP(J$1,main!$A$3:$H$102,5,FALSE)-VLOOKUP($A158,main!$A$3:$H$102,6,FALSE)&gt;=main!$D$103+VLOOKUP(VLOOKUP(J$1,main!$A$3:$I$102,7,FALSE),main!$K$26:$Q$29,4,FALSE)),1,0)</f>
        <v>0</v>
      </c>
      <c r="K158">
        <f>IF(AND(VLOOKUP(K$1,main!$A$3:$H$102,7,FALSE)=main!$G$104,VLOOKUP(K$1,main!$A$3:$H$102,5,FALSE)-VLOOKUP($A158,main!$A$3:$H$102,6,FALSE)&gt;=main!$D$103+VLOOKUP(VLOOKUP(K$1,main!$A$3:$I$102,7,FALSE),main!$K$26:$Q$29,4,FALSE)),1,0)</f>
        <v>0</v>
      </c>
      <c r="L158">
        <f>IF(AND(VLOOKUP(L$1,main!$A$3:$H$102,7,FALSE)=main!$G$104,VLOOKUP(L$1,main!$A$3:$H$102,5,FALSE)-VLOOKUP($A158,main!$A$3:$H$102,6,FALSE)&gt;=main!$D$103+VLOOKUP(VLOOKUP(L$1,main!$A$3:$I$102,7,FALSE),main!$K$26:$Q$29,4,FALSE)),1,0)</f>
        <v>0</v>
      </c>
      <c r="M158">
        <f>IF(AND(VLOOKUP(M$1,main!$A$3:$H$102,7,FALSE)=main!$G$104,VLOOKUP(M$1,main!$A$3:$H$102,5,FALSE)-VLOOKUP($A158,main!$A$3:$H$102,6,FALSE)&gt;=main!$D$103+VLOOKUP(VLOOKUP(M$1,main!$A$3:$I$102,7,FALSE),main!$K$26:$Q$29,4,FALSE)),1,0)</f>
        <v>0</v>
      </c>
      <c r="N158">
        <f>IF(AND(VLOOKUP(N$1,main!$A$3:$H$102,7,FALSE)=main!$G$104,VLOOKUP(N$1,main!$A$3:$H$102,5,FALSE)-VLOOKUP($A158,main!$A$3:$H$102,6,FALSE)&gt;=main!$D$103+VLOOKUP(VLOOKUP(N$1,main!$A$3:$I$102,7,FALSE),main!$K$26:$Q$29,4,FALSE)),1,0)</f>
        <v>0</v>
      </c>
      <c r="O158">
        <f>IF(AND(VLOOKUP(O$1,main!$A$3:$H$102,7,FALSE)=main!$G$104,VLOOKUP(O$1,main!$A$3:$H$102,5,FALSE)-VLOOKUP($A158,main!$A$3:$H$102,6,FALSE)&gt;=main!$D$103+VLOOKUP(VLOOKUP(O$1,main!$A$3:$I$102,7,FALSE),main!$K$26:$Q$29,4,FALSE)),1,0)</f>
        <v>0</v>
      </c>
      <c r="P158">
        <f>IF(AND(VLOOKUP(P$1,main!$A$3:$H$102,7,FALSE)=main!$G$104,VLOOKUP(P$1,main!$A$3:$H$102,5,FALSE)-VLOOKUP($A158,main!$A$3:$H$102,6,FALSE)&gt;=main!$D$103+VLOOKUP(VLOOKUP(P$1,main!$A$3:$I$102,7,FALSE),main!$K$26:$Q$29,4,FALSE)),1,0)</f>
        <v>0</v>
      </c>
      <c r="Q158">
        <f>IF(AND(VLOOKUP(Q$1,main!$A$3:$H$102,7,FALSE)=main!$G$104,VLOOKUP(Q$1,main!$A$3:$H$102,5,FALSE)-VLOOKUP($A158,main!$A$3:$H$102,6,FALSE)&gt;=main!$D$103+VLOOKUP(VLOOKUP(Q$1,main!$A$3:$I$102,7,FALSE),main!$K$26:$Q$29,4,FALSE)),1,0)</f>
        <v>0</v>
      </c>
      <c r="R158">
        <f>IF(AND(VLOOKUP(R$1,main!$A$3:$H$102,7,FALSE)=main!$G$104,VLOOKUP(R$1,main!$A$3:$H$102,5,FALSE)-VLOOKUP($A158,main!$A$3:$H$102,6,FALSE)&gt;=main!$D$103+VLOOKUP(VLOOKUP(R$1,main!$A$3:$I$102,7,FALSE),main!$K$26:$Q$29,4,FALSE)),1,0)</f>
        <v>0</v>
      </c>
      <c r="S158">
        <f>IF(AND(VLOOKUP(S$1,main!$A$3:$H$102,7,FALSE)=main!$G$104,VLOOKUP(S$1,main!$A$3:$H$102,5,FALSE)-VLOOKUP($A158,main!$A$3:$H$102,6,FALSE)&gt;=main!$D$103+VLOOKUP(VLOOKUP(S$1,main!$A$3:$I$102,7,FALSE),main!$K$26:$Q$29,4,FALSE)),1,0)</f>
        <v>0</v>
      </c>
      <c r="T158">
        <f>IF(AND(VLOOKUP(T$1,main!$A$3:$H$102,7,FALSE)=main!$G$104,VLOOKUP(T$1,main!$A$3:$H$102,5,FALSE)-VLOOKUP($A158,main!$A$3:$H$102,6,FALSE)&gt;=main!$D$103+VLOOKUP(VLOOKUP(T$1,main!$A$3:$I$102,7,FALSE),main!$K$26:$Q$29,4,FALSE)),1,0)</f>
        <v>0</v>
      </c>
      <c r="U158">
        <f>IF(AND(VLOOKUP(U$1,main!$A$3:$H$102,7,FALSE)=main!$G$104,VLOOKUP(U$1,main!$A$3:$H$102,5,FALSE)-VLOOKUP($A158,main!$A$3:$H$102,6,FALSE)&gt;=main!$D$103+VLOOKUP(VLOOKUP(U$1,main!$A$3:$I$102,7,FALSE),main!$K$26:$Q$29,4,FALSE)),1,0)</f>
        <v>0</v>
      </c>
      <c r="V158">
        <f>IF(AND(VLOOKUP(V$1,main!$A$3:$H$102,7,FALSE)=main!$G$104,VLOOKUP(V$1,main!$A$3:$H$102,5,FALSE)-VLOOKUP($A158,main!$A$3:$H$102,6,FALSE)&gt;=main!$D$103+VLOOKUP(VLOOKUP(V$1,main!$A$3:$I$102,7,FALSE),main!$K$26:$Q$29,4,FALSE)),1,0)</f>
        <v>0</v>
      </c>
      <c r="W158">
        <f>IF(AND(VLOOKUP(W$1,main!$A$3:$H$102,7,FALSE)=main!$G$104,VLOOKUP(W$1,main!$A$3:$H$102,5,FALSE)-VLOOKUP($A158,main!$A$3:$H$102,6,FALSE)&gt;=main!$D$103+VLOOKUP(VLOOKUP(W$1,main!$A$3:$I$102,7,FALSE),main!$K$26:$Q$29,4,FALSE)),1,0)</f>
        <v>0</v>
      </c>
      <c r="X158">
        <f>IF(AND(VLOOKUP(X$1,main!$A$3:$H$102,7,FALSE)=main!$G$104,VLOOKUP(X$1,main!$A$3:$H$102,5,FALSE)-VLOOKUP($A158,main!$A$3:$H$102,6,FALSE)&gt;=main!$D$103+VLOOKUP(VLOOKUP(X$1,main!$A$3:$I$102,7,FALSE),main!$K$26:$Q$29,4,FALSE)),1,0)</f>
        <v>0</v>
      </c>
      <c r="Y158">
        <f>IF(AND(VLOOKUP(Y$1,main!$A$3:$H$102,7,FALSE)=main!$G$104,VLOOKUP(Y$1,main!$A$3:$H$102,5,FALSE)-VLOOKUP($A158,main!$A$3:$H$102,6,FALSE)&gt;=main!$D$103+VLOOKUP(VLOOKUP(Y$1,main!$A$3:$I$102,7,FALSE),main!$K$26:$Q$29,4,FALSE)),1,0)</f>
        <v>0</v>
      </c>
      <c r="Z158">
        <f>IF(AND(VLOOKUP(Z$1,main!$A$3:$H$102,7,FALSE)=main!$G$104,VLOOKUP(Z$1,main!$A$3:$H$102,5,FALSE)-VLOOKUP($A158,main!$A$3:$H$102,6,FALSE)&gt;=main!$D$103+VLOOKUP(VLOOKUP(Z$1,main!$A$3:$I$102,7,FALSE),main!$K$26:$Q$29,4,FALSE)),1,0)</f>
        <v>0</v>
      </c>
      <c r="AA158">
        <f>IF(AND(VLOOKUP(AA$1,main!$A$3:$H$102,7,FALSE)=main!$G$104,VLOOKUP(AA$1,main!$A$3:$H$102,5,FALSE)-VLOOKUP($A158,main!$A$3:$H$102,6,FALSE)&gt;=main!$D$103+VLOOKUP(VLOOKUP(AA$1,main!$A$3:$I$102,7,FALSE),main!$K$26:$Q$29,4,FALSE)),1,0)</f>
        <v>0</v>
      </c>
      <c r="AB158">
        <f>IF(AND(VLOOKUP(AB$1,main!$A$3:$H$102,7,FALSE)=main!$G$104,VLOOKUP(AB$1,main!$A$3:$H$102,5,FALSE)-VLOOKUP($A158,main!$A$3:$H$102,6,FALSE)&gt;=main!$D$103+VLOOKUP(VLOOKUP(AB$1,main!$A$3:$I$102,7,FALSE),main!$K$26:$Q$29,4,FALSE)),1,0)</f>
        <v>0</v>
      </c>
      <c r="AC158">
        <f>IF(AND(VLOOKUP(AC$1,main!$A$3:$H$102,7,FALSE)=main!$G$104,VLOOKUP(AC$1,main!$A$3:$H$102,5,FALSE)-VLOOKUP($A158,main!$A$3:$H$102,6,FALSE)&gt;=main!$D$103+VLOOKUP(VLOOKUP(AC$1,main!$A$3:$I$102,7,FALSE),main!$K$26:$Q$29,4,FALSE)),1,0)</f>
        <v>0</v>
      </c>
      <c r="AD158">
        <f>IF(AND(VLOOKUP(AD$1,main!$A$3:$H$102,7,FALSE)=main!$G$104,VLOOKUP(AD$1,main!$A$3:$H$102,5,FALSE)-VLOOKUP($A158,main!$A$3:$H$102,6,FALSE)&gt;=main!$D$103+VLOOKUP(VLOOKUP(AD$1,main!$A$3:$I$102,7,FALSE),main!$K$26:$Q$29,4,FALSE)),1,0)</f>
        <v>0</v>
      </c>
      <c r="AE158">
        <f>IF(AND(VLOOKUP(AE$1,main!$A$3:$H$102,7,FALSE)=main!$G$104,VLOOKUP(AE$1,main!$A$3:$H$102,5,FALSE)-VLOOKUP($A158,main!$A$3:$H$102,6,FALSE)&gt;=main!$D$103+VLOOKUP(VLOOKUP(AE$1,main!$A$3:$I$102,7,FALSE),main!$K$26:$Q$29,4,FALSE)),1,0)</f>
        <v>0</v>
      </c>
      <c r="AF158">
        <f>IF(AND(VLOOKUP(AF$1,main!$A$3:$H$102,7,FALSE)=main!$G$104,VLOOKUP(AF$1,main!$A$3:$H$102,5,FALSE)-VLOOKUP($A158,main!$A$3:$H$102,6,FALSE)&gt;=main!$D$103+VLOOKUP(VLOOKUP(AF$1,main!$A$3:$I$102,7,FALSE),main!$K$26:$Q$29,4,FALSE)),1,0)</f>
        <v>0</v>
      </c>
      <c r="AG158">
        <f>IF(AND(VLOOKUP(AG$1,main!$A$3:$H$102,7,FALSE)=main!$G$104,VLOOKUP(AG$1,main!$A$3:$H$102,5,FALSE)-VLOOKUP($A158,main!$A$3:$H$102,6,FALSE)&gt;=main!$D$103+VLOOKUP(VLOOKUP(AG$1,main!$A$3:$I$102,7,FALSE),main!$K$26:$Q$29,4,FALSE)),1,0)</f>
        <v>0</v>
      </c>
      <c r="AH158">
        <f>IF(AND(VLOOKUP(AH$1,main!$A$3:$H$102,7,FALSE)=main!$G$104,VLOOKUP(AH$1,main!$A$3:$H$102,5,FALSE)-VLOOKUP($A158,main!$A$3:$H$102,6,FALSE)&gt;=main!$D$103+VLOOKUP(VLOOKUP(AH$1,main!$A$3:$I$102,7,FALSE),main!$K$26:$Q$29,4,FALSE)),1,0)</f>
        <v>0</v>
      </c>
      <c r="AI158">
        <f>IF(AND(VLOOKUP(AI$1,main!$A$3:$H$102,7,FALSE)=main!$G$104,VLOOKUP(AI$1,main!$A$3:$H$102,5,FALSE)-VLOOKUP($A158,main!$A$3:$H$102,6,FALSE)&gt;=main!$D$103+VLOOKUP(VLOOKUP(AI$1,main!$A$3:$I$102,7,FALSE),main!$K$26:$Q$29,4,FALSE)),1,0)</f>
        <v>0</v>
      </c>
      <c r="AJ158">
        <f>IF(AND(VLOOKUP(AJ$1,main!$A$3:$H$102,7,FALSE)=main!$G$104,VLOOKUP(AJ$1,main!$A$3:$H$102,5,FALSE)-VLOOKUP($A158,main!$A$3:$H$102,6,FALSE)&gt;=main!$D$103+VLOOKUP(VLOOKUP(AJ$1,main!$A$3:$I$102,7,FALSE),main!$K$26:$Q$29,4,FALSE)),1,0)</f>
        <v>0</v>
      </c>
      <c r="AK158">
        <f>IF(AND(VLOOKUP(AK$1,main!$A$3:$H$102,7,FALSE)=main!$G$104,VLOOKUP(AK$1,main!$A$3:$H$102,5,FALSE)-VLOOKUP($A158,main!$A$3:$H$102,6,FALSE)&gt;=main!$D$103+VLOOKUP(VLOOKUP(AK$1,main!$A$3:$I$102,7,FALSE),main!$K$26:$Q$29,4,FALSE)),1,0)</f>
        <v>0</v>
      </c>
      <c r="AL158">
        <f>IF(AND(VLOOKUP(AL$1,main!$A$3:$H$102,7,FALSE)=main!$G$104,VLOOKUP(AL$1,main!$A$3:$H$102,5,FALSE)-VLOOKUP($A158,main!$A$3:$H$102,6,FALSE)&gt;=main!$D$103+VLOOKUP(VLOOKUP(AL$1,main!$A$3:$I$102,7,FALSE),main!$K$26:$Q$29,4,FALSE)),1,0)</f>
        <v>0</v>
      </c>
      <c r="AM158">
        <f>IF(AND(VLOOKUP(AM$1,main!$A$3:$H$102,7,FALSE)=main!$G$104,VLOOKUP(AM$1,main!$A$3:$H$102,5,FALSE)-VLOOKUP($A158,main!$A$3:$H$102,6,FALSE)&gt;=main!$D$103+VLOOKUP(VLOOKUP(AM$1,main!$A$3:$I$102,7,FALSE),main!$K$26:$Q$29,4,FALSE)),1,0)</f>
        <v>0</v>
      </c>
      <c r="AN158">
        <f>IF(AND(VLOOKUP(AN$1,main!$A$3:$H$102,7,FALSE)=main!$G$104,VLOOKUP(AN$1,main!$A$3:$H$102,5,FALSE)-VLOOKUP($A158,main!$A$3:$H$102,6,FALSE)&gt;=main!$D$103+VLOOKUP(VLOOKUP(AN$1,main!$A$3:$I$102,7,FALSE),main!$K$26:$Q$29,4,FALSE)),1,0)</f>
        <v>0</v>
      </c>
      <c r="AO158">
        <f>IF(AND(VLOOKUP(AO$1,main!$A$3:$H$102,7,FALSE)=main!$G$104,VLOOKUP(AO$1,main!$A$3:$H$102,5,FALSE)-VLOOKUP($A158,main!$A$3:$H$102,6,FALSE)&gt;=main!$D$103+VLOOKUP(VLOOKUP(AO$1,main!$A$3:$I$102,7,FALSE),main!$K$26:$Q$29,4,FALSE)),1,0)</f>
        <v>0</v>
      </c>
      <c r="AP158">
        <f>IF(AND(VLOOKUP(AP$1,main!$A$3:$H$102,7,FALSE)=main!$G$104,VLOOKUP(AP$1,main!$A$3:$H$102,5,FALSE)-VLOOKUP($A158,main!$A$3:$H$102,6,FALSE)&gt;=main!$D$103+VLOOKUP(VLOOKUP(AP$1,main!$A$3:$I$102,7,FALSE),main!$K$26:$Q$29,4,FALSE)),1,0)</f>
        <v>0</v>
      </c>
      <c r="AQ158">
        <f>IF(AND(VLOOKUP(AQ$1,main!$A$3:$H$102,7,FALSE)=main!$G$104,VLOOKUP(AQ$1,main!$A$3:$H$102,5,FALSE)-VLOOKUP($A158,main!$A$3:$H$102,6,FALSE)&gt;=main!$D$103+VLOOKUP(VLOOKUP(AQ$1,main!$A$3:$I$102,7,FALSE),main!$K$26:$Q$29,4,FALSE)),1,0)</f>
        <v>0</v>
      </c>
      <c r="AR158">
        <f>IF(AND(VLOOKUP(AR$1,main!$A$3:$H$102,7,FALSE)=main!$G$104,VLOOKUP(AR$1,main!$A$3:$H$102,5,FALSE)-VLOOKUP($A158,main!$A$3:$H$102,6,FALSE)&gt;=main!$D$103+VLOOKUP(VLOOKUP(AR$1,main!$A$3:$I$102,7,FALSE),main!$K$26:$Q$29,4,FALSE)),1,0)</f>
        <v>0</v>
      </c>
      <c r="AS158">
        <f>IF(AND(VLOOKUP(AS$1,main!$A$3:$H$102,7,FALSE)=main!$G$104,VLOOKUP(AS$1,main!$A$3:$H$102,5,FALSE)-VLOOKUP($A158,main!$A$3:$H$102,6,FALSE)&gt;=main!$D$103+VLOOKUP(VLOOKUP(AS$1,main!$A$3:$I$102,7,FALSE),main!$K$26:$Q$29,4,FALSE)),1,0)</f>
        <v>0</v>
      </c>
      <c r="AT158">
        <f>IF(AND(VLOOKUP(AT$1,main!$A$3:$H$102,7,FALSE)=main!$G$104,VLOOKUP(AT$1,main!$A$3:$H$102,5,FALSE)-VLOOKUP($A158,main!$A$3:$H$102,6,FALSE)&gt;=main!$D$103+VLOOKUP(VLOOKUP(AT$1,main!$A$3:$I$102,7,FALSE),main!$K$26:$Q$29,4,FALSE)),1,0)</f>
        <v>0</v>
      </c>
      <c r="AU158">
        <f>IF(AND(VLOOKUP(AU$1,main!$A$3:$H$102,7,FALSE)=main!$G$104,VLOOKUP(AU$1,main!$A$3:$H$102,5,FALSE)-VLOOKUP($A158,main!$A$3:$H$102,6,FALSE)&gt;=main!$D$103+VLOOKUP(VLOOKUP(AU$1,main!$A$3:$I$102,7,FALSE),main!$K$26:$Q$29,4,FALSE)),1,0)</f>
        <v>0</v>
      </c>
      <c r="AV158">
        <f>IF(AND(VLOOKUP(AV$1,main!$A$3:$H$102,7,FALSE)=main!$G$104,VLOOKUP(AV$1,main!$A$3:$H$102,5,FALSE)-VLOOKUP($A158,main!$A$3:$H$102,6,FALSE)&gt;=main!$D$103+VLOOKUP(VLOOKUP(AV$1,main!$A$3:$I$102,7,FALSE),main!$K$26:$Q$29,4,FALSE)),1,0)</f>
        <v>0</v>
      </c>
      <c r="AW158">
        <f>IF(AND(VLOOKUP(AW$1,main!$A$3:$H$102,7,FALSE)=main!$G$104,VLOOKUP(AW$1,main!$A$3:$H$102,5,FALSE)-VLOOKUP($A158,main!$A$3:$H$102,6,FALSE)&gt;=main!$D$103+VLOOKUP(VLOOKUP(AW$1,main!$A$3:$I$102,7,FALSE),main!$K$26:$Q$29,4,FALSE)),1,0)</f>
        <v>0</v>
      </c>
      <c r="AX158">
        <f>IF(AND(VLOOKUP(AX$1,main!$A$3:$H$102,7,FALSE)=main!$G$104,VLOOKUP(AX$1,main!$A$3:$H$102,5,FALSE)-VLOOKUP($A158,main!$A$3:$H$102,6,FALSE)&gt;=main!$D$103+VLOOKUP(VLOOKUP(AX$1,main!$A$3:$I$102,7,FALSE),main!$K$26:$Q$29,4,FALSE)),1,0)</f>
        <v>0</v>
      </c>
      <c r="AY158">
        <f>IF(AND(VLOOKUP(AY$1,main!$A$3:$H$102,7,FALSE)=main!$G$104,VLOOKUP(AY$1,main!$A$3:$H$102,5,FALSE)-VLOOKUP($A158,main!$A$3:$H$102,6,FALSE)&gt;=main!$D$103+VLOOKUP(VLOOKUP(AY$1,main!$A$3:$I$102,7,FALSE),main!$K$26:$Q$29,4,FALSE)),1,0)</f>
        <v>0</v>
      </c>
      <c r="AZ158">
        <f>IF(AND(VLOOKUP(AZ$1,main!$A$3:$H$102,7,FALSE)=main!$G$104,VLOOKUP(AZ$1,main!$A$3:$H$102,5,FALSE)-VLOOKUP($A158,main!$A$3:$H$102,6,FALSE)&gt;=main!$D$103+VLOOKUP(VLOOKUP(AZ$1,main!$A$3:$I$102,7,FALSE),main!$K$26:$Q$29,4,FALSE)),1,0)</f>
        <v>0</v>
      </c>
      <c r="BA158">
        <f>IF(AND(VLOOKUP(BA$1,main!$A$3:$H$102,7,FALSE)=main!$G$104,VLOOKUP(BA$1,main!$A$3:$H$102,5,FALSE)-VLOOKUP($A158,main!$A$3:$H$102,6,FALSE)&gt;=main!$D$103+VLOOKUP(VLOOKUP(BA$1,main!$A$3:$I$102,7,FALSE),main!$K$26:$Q$29,4,FALSE)),1,0)</f>
        <v>0</v>
      </c>
      <c r="BB158">
        <f>IF(AND(VLOOKUP(BB$1,main!$A$3:$H$102,7,FALSE)=main!$G$104,VLOOKUP(BB$1,main!$A$3:$H$102,5,FALSE)-VLOOKUP($A158,main!$A$3:$H$102,6,FALSE)&gt;=main!$D$103+VLOOKUP(VLOOKUP(BB$1,main!$A$3:$I$102,7,FALSE),main!$K$26:$Q$29,4,FALSE)),1,0)</f>
        <v>0</v>
      </c>
      <c r="BC158">
        <f>IF(AND(VLOOKUP(BC$1,main!$A$3:$H$102,7,FALSE)=main!$G$104,VLOOKUP(BC$1,main!$A$3:$H$102,5,FALSE)-VLOOKUP($A158,main!$A$3:$H$102,6,FALSE)&gt;=main!$D$103+VLOOKUP(VLOOKUP(BC$1,main!$A$3:$I$102,7,FALSE),main!$K$26:$Q$29,4,FALSE)),1,0)</f>
        <v>0</v>
      </c>
      <c r="BD158">
        <f>IF(AND(VLOOKUP(BD$1,main!$A$3:$H$102,7,FALSE)=main!$G$104,VLOOKUP(BD$1,main!$A$3:$H$102,5,FALSE)-VLOOKUP($A158,main!$A$3:$H$102,6,FALSE)&gt;=main!$D$103+VLOOKUP(VLOOKUP(BD$1,main!$A$3:$I$102,7,FALSE),main!$K$26:$Q$29,4,FALSE)),1,0)</f>
        <v>0</v>
      </c>
      <c r="BE158">
        <f>IF(AND(VLOOKUP(BE$1,main!$A$3:$H$102,7,FALSE)=main!$G$104,VLOOKUP(BE$1,main!$A$3:$H$102,5,FALSE)-VLOOKUP($A158,main!$A$3:$H$102,6,FALSE)&gt;=main!$D$103+VLOOKUP(VLOOKUP(BE$1,main!$A$3:$I$102,7,FALSE),main!$K$26:$Q$29,4,FALSE)),1,0)</f>
        <v>0</v>
      </c>
      <c r="BF158">
        <f>IF(AND(VLOOKUP(BF$1,main!$A$3:$H$102,7,FALSE)=main!$G$104,VLOOKUP(BF$1,main!$A$3:$H$102,5,FALSE)-VLOOKUP($A158,main!$A$3:$H$102,6,FALSE)&gt;=main!$D$103+VLOOKUP(VLOOKUP(BF$1,main!$A$3:$I$102,7,FALSE),main!$K$26:$Q$29,4,FALSE)),1,0)</f>
        <v>0</v>
      </c>
      <c r="BG158">
        <f>IF(AND(VLOOKUP(BG$1,main!$A$3:$H$102,7,FALSE)=main!$G$104,VLOOKUP(BG$1,main!$A$3:$H$102,5,FALSE)-VLOOKUP($A158,main!$A$3:$H$102,6,FALSE)&gt;=main!$D$103+VLOOKUP(VLOOKUP(BG$1,main!$A$3:$I$102,7,FALSE),main!$K$26:$Q$29,4,FALSE)),1,0)</f>
        <v>0</v>
      </c>
      <c r="BH158">
        <f>IF(AND(VLOOKUP(BH$1,main!$A$3:$H$102,7,FALSE)=main!$G$104,VLOOKUP(BH$1,main!$A$3:$H$102,5,FALSE)-VLOOKUP($A158,main!$A$3:$H$102,6,FALSE)&gt;=main!$D$103+VLOOKUP(VLOOKUP(BH$1,main!$A$3:$I$102,7,FALSE),main!$K$26:$Q$29,4,FALSE)),1,0)</f>
        <v>0</v>
      </c>
      <c r="BI158">
        <f>IF(AND(VLOOKUP(BI$1,main!$A$3:$H$102,7,FALSE)=main!$G$104,VLOOKUP(BI$1,main!$A$3:$H$102,5,FALSE)-VLOOKUP($A158,main!$A$3:$H$102,6,FALSE)&gt;=main!$D$103+VLOOKUP(VLOOKUP(BI$1,main!$A$3:$I$102,7,FALSE),main!$K$26:$Q$29,4,FALSE)),1,0)</f>
        <v>0</v>
      </c>
      <c r="BJ158">
        <f>IF(AND(VLOOKUP(BJ$1,main!$A$3:$H$102,7,FALSE)=main!$G$104,VLOOKUP(BJ$1,main!$A$3:$H$102,5,FALSE)-VLOOKUP($A158,main!$A$3:$H$102,6,FALSE)&gt;=main!$D$103+VLOOKUP(VLOOKUP(BJ$1,main!$A$3:$I$102,7,FALSE),main!$K$26:$Q$29,4,FALSE)),1,0)</f>
        <v>0</v>
      </c>
      <c r="BK158">
        <f>IF(AND(VLOOKUP(BK$1,main!$A$3:$H$102,7,FALSE)=main!$G$104,VLOOKUP(BK$1,main!$A$3:$H$102,5,FALSE)-VLOOKUP($A158,main!$A$3:$H$102,6,FALSE)&gt;=main!$D$103+VLOOKUP(VLOOKUP(BK$1,main!$A$3:$I$102,7,FALSE),main!$K$26:$Q$29,4,FALSE)),1,0)</f>
        <v>0</v>
      </c>
      <c r="BL158">
        <f>IF(AND(VLOOKUP(BL$1,main!$A$3:$H$102,7,FALSE)=main!$G$104,VLOOKUP(BL$1,main!$A$3:$H$102,5,FALSE)-VLOOKUP($A158,main!$A$3:$H$102,6,FALSE)&gt;=main!$D$103+VLOOKUP(VLOOKUP(BL$1,main!$A$3:$I$102,7,FALSE),main!$K$26:$Q$29,4,FALSE)),1,0)</f>
        <v>0</v>
      </c>
      <c r="BM158">
        <f>IF(AND(VLOOKUP(BM$1,main!$A$3:$H$102,7,FALSE)=main!$G$104,VLOOKUP(BM$1,main!$A$3:$H$102,5,FALSE)-VLOOKUP($A158,main!$A$3:$H$102,6,FALSE)&gt;=main!$D$103+VLOOKUP(VLOOKUP(BM$1,main!$A$3:$I$102,7,FALSE),main!$K$26:$Q$29,4,FALSE)),1,0)</f>
        <v>0</v>
      </c>
      <c r="BN158">
        <f>IF(AND(VLOOKUP(BN$1,main!$A$3:$H$102,7,FALSE)=main!$G$104,VLOOKUP(BN$1,main!$A$3:$H$102,5,FALSE)-VLOOKUP($A158,main!$A$3:$H$102,6,FALSE)&gt;=main!$D$103+VLOOKUP(VLOOKUP(BN$1,main!$A$3:$I$102,7,FALSE),main!$K$26:$Q$29,4,FALSE)),1,0)</f>
        <v>0</v>
      </c>
      <c r="BO158">
        <f>IF(AND(VLOOKUP(BO$1,main!$A$3:$H$102,7,FALSE)=main!$G$104,VLOOKUP(BO$1,main!$A$3:$H$102,5,FALSE)-VLOOKUP($A158,main!$A$3:$H$102,6,FALSE)&gt;=main!$D$103+VLOOKUP(VLOOKUP(BO$1,main!$A$3:$I$102,7,FALSE),main!$K$26:$Q$29,4,FALSE)),1,0)</f>
        <v>0</v>
      </c>
      <c r="BP158">
        <f>IF(AND(VLOOKUP(BP$1,main!$A$3:$H$102,7,FALSE)=main!$G$104,VLOOKUP(BP$1,main!$A$3:$H$102,5,FALSE)-VLOOKUP($A158,main!$A$3:$H$102,6,FALSE)&gt;=main!$D$103+VLOOKUP(VLOOKUP(BP$1,main!$A$3:$I$102,7,FALSE),main!$K$26:$Q$29,4,FALSE)),1,0)</f>
        <v>0</v>
      </c>
      <c r="BQ158">
        <f>IF(AND(VLOOKUP(BQ$1,main!$A$3:$H$102,7,FALSE)=main!$G$104,VLOOKUP(BQ$1,main!$A$3:$H$102,5,FALSE)-VLOOKUP($A158,main!$A$3:$H$102,6,FALSE)&gt;=main!$D$103+VLOOKUP(VLOOKUP(BQ$1,main!$A$3:$I$102,7,FALSE),main!$K$26:$Q$29,4,FALSE)),1,0)</f>
        <v>0</v>
      </c>
      <c r="BR158">
        <f>IF(AND(VLOOKUP(BR$1,main!$A$3:$H$102,7,FALSE)=main!$G$104,VLOOKUP(BR$1,main!$A$3:$H$102,5,FALSE)-VLOOKUP($A158,main!$A$3:$H$102,6,FALSE)&gt;=main!$D$103+VLOOKUP(VLOOKUP(BR$1,main!$A$3:$I$102,7,FALSE),main!$K$26:$Q$29,4,FALSE)),1,0)</f>
        <v>0</v>
      </c>
      <c r="BS158">
        <f>IF(AND(VLOOKUP(BS$1,main!$A$3:$H$102,7,FALSE)=main!$G$104,VLOOKUP(BS$1,main!$A$3:$H$102,5,FALSE)-VLOOKUP($A158,main!$A$3:$H$102,6,FALSE)&gt;=main!$D$103+VLOOKUP(VLOOKUP(BS$1,main!$A$3:$I$102,7,FALSE),main!$K$26:$Q$29,4,FALSE)),1,0)</f>
        <v>0</v>
      </c>
      <c r="BT158">
        <f>IF(AND(VLOOKUP(BT$1,main!$A$3:$H$102,7,FALSE)=main!$G$104,VLOOKUP(BT$1,main!$A$3:$H$102,5,FALSE)-VLOOKUP($A158,main!$A$3:$H$102,6,FALSE)&gt;=main!$D$103+VLOOKUP(VLOOKUP(BT$1,main!$A$3:$I$102,7,FALSE),main!$K$26:$Q$29,4,FALSE)),1,0)</f>
        <v>0</v>
      </c>
      <c r="BU158">
        <f>IF(AND(VLOOKUP(BU$1,main!$A$3:$H$102,7,FALSE)=main!$G$104,VLOOKUP(BU$1,main!$A$3:$H$102,5,FALSE)-VLOOKUP($A158,main!$A$3:$H$102,6,FALSE)&gt;=main!$D$103+VLOOKUP(VLOOKUP(BU$1,main!$A$3:$I$102,7,FALSE),main!$K$26:$Q$29,4,FALSE)),1,0)</f>
        <v>0</v>
      </c>
      <c r="BV158">
        <f>IF(AND(VLOOKUP(BV$1,main!$A$3:$H$102,7,FALSE)=main!$G$104,VLOOKUP(BV$1,main!$A$3:$H$102,5,FALSE)-VLOOKUP($A158,main!$A$3:$H$102,6,FALSE)&gt;=main!$D$103+VLOOKUP(VLOOKUP(BV$1,main!$A$3:$I$102,7,FALSE),main!$K$26:$Q$29,4,FALSE)),1,0)</f>
        <v>0</v>
      </c>
      <c r="BW158">
        <f>IF(AND(VLOOKUP(BW$1,main!$A$3:$H$102,7,FALSE)=main!$G$104,VLOOKUP(BW$1,main!$A$3:$H$102,5,FALSE)-VLOOKUP($A158,main!$A$3:$H$102,6,FALSE)&gt;=main!$D$103+VLOOKUP(VLOOKUP(BW$1,main!$A$3:$I$102,7,FALSE),main!$K$26:$Q$29,4,FALSE)),1,0)</f>
        <v>0</v>
      </c>
      <c r="BX158">
        <f>IF(AND(VLOOKUP(BX$1,main!$A$3:$H$102,7,FALSE)=main!$G$104,VLOOKUP(BX$1,main!$A$3:$H$102,5,FALSE)-VLOOKUP($A158,main!$A$3:$H$102,6,FALSE)&gt;=main!$D$103+VLOOKUP(VLOOKUP(BX$1,main!$A$3:$I$102,7,FALSE),main!$K$26:$Q$29,4,FALSE)),1,0)</f>
        <v>0</v>
      </c>
      <c r="BY158">
        <f>IF(AND(VLOOKUP(BY$1,main!$A$3:$H$102,7,FALSE)=main!$G$104,VLOOKUP(BY$1,main!$A$3:$H$102,5,FALSE)-VLOOKUP($A158,main!$A$3:$H$102,6,FALSE)&gt;=main!$D$103+VLOOKUP(VLOOKUP(BY$1,main!$A$3:$I$102,7,FALSE),main!$K$26:$Q$29,4,FALSE)),1,0)</f>
        <v>0</v>
      </c>
      <c r="BZ158">
        <f>IF(AND(VLOOKUP(BZ$1,main!$A$3:$H$102,7,FALSE)=main!$G$104,VLOOKUP(BZ$1,main!$A$3:$H$102,5,FALSE)-VLOOKUP($A158,main!$A$3:$H$102,6,FALSE)&gt;=main!$D$103+VLOOKUP(VLOOKUP(BZ$1,main!$A$3:$I$102,7,FALSE),main!$K$26:$Q$29,4,FALSE)),1,0)</f>
        <v>0</v>
      </c>
      <c r="CA158">
        <f>IF(AND(VLOOKUP(CA$1,main!$A$3:$H$102,7,FALSE)=main!$G$104,VLOOKUP(CA$1,main!$A$3:$H$102,5,FALSE)-VLOOKUP($A158,main!$A$3:$H$102,6,FALSE)&gt;=main!$D$103+VLOOKUP(VLOOKUP(CA$1,main!$A$3:$I$102,7,FALSE),main!$K$26:$Q$29,4,FALSE)),1,0)</f>
        <v>0</v>
      </c>
      <c r="CB158">
        <f>IF(AND(VLOOKUP(CB$1,main!$A$3:$H$102,7,FALSE)=main!$G$104,VLOOKUP(CB$1,main!$A$3:$H$102,5,FALSE)-VLOOKUP($A158,main!$A$3:$H$102,6,FALSE)&gt;=main!$D$103+VLOOKUP(VLOOKUP(CB$1,main!$A$3:$I$102,7,FALSE),main!$K$26:$Q$29,4,FALSE)),1,0)</f>
        <v>0</v>
      </c>
      <c r="CC158">
        <f>IF(AND(VLOOKUP(CC$1,main!$A$3:$H$102,7,FALSE)=main!$G$104,VLOOKUP(CC$1,main!$A$3:$H$102,5,FALSE)-VLOOKUP($A158,main!$A$3:$H$102,6,FALSE)&gt;=main!$D$103+VLOOKUP(VLOOKUP(CC$1,main!$A$3:$I$102,7,FALSE),main!$K$26:$Q$29,4,FALSE)),1,0)</f>
        <v>0</v>
      </c>
      <c r="CD158">
        <f>IF(AND(VLOOKUP(CD$1,main!$A$3:$H$102,7,FALSE)=main!$G$104,VLOOKUP(CD$1,main!$A$3:$H$102,5,FALSE)-VLOOKUP($A158,main!$A$3:$H$102,6,FALSE)&gt;=main!$D$103+VLOOKUP(VLOOKUP(CD$1,main!$A$3:$I$102,7,FALSE),main!$K$26:$Q$29,4,FALSE)),1,0)</f>
        <v>0</v>
      </c>
      <c r="CE158">
        <f>IF(AND(VLOOKUP(CE$1,main!$A$3:$H$102,7,FALSE)=main!$G$104,VLOOKUP(CE$1,main!$A$3:$H$102,5,FALSE)-VLOOKUP($A158,main!$A$3:$H$102,6,FALSE)&gt;=main!$D$103+VLOOKUP(VLOOKUP(CE$1,main!$A$3:$I$102,7,FALSE),main!$K$26:$Q$29,4,FALSE)),1,0)</f>
        <v>0</v>
      </c>
      <c r="CF158">
        <f>IF(AND(VLOOKUP(CF$1,main!$A$3:$H$102,7,FALSE)=main!$G$104,VLOOKUP(CF$1,main!$A$3:$H$102,5,FALSE)-VLOOKUP($A158,main!$A$3:$H$102,6,FALSE)&gt;=main!$D$103+VLOOKUP(VLOOKUP(CF$1,main!$A$3:$I$102,7,FALSE),main!$K$26:$Q$29,4,FALSE)),1,0)</f>
        <v>0</v>
      </c>
      <c r="CG158">
        <f>IF(AND(VLOOKUP(CG$1,main!$A$3:$H$102,7,FALSE)=main!$G$104,VLOOKUP(CG$1,main!$A$3:$H$102,5,FALSE)-VLOOKUP($A158,main!$A$3:$H$102,6,FALSE)&gt;=main!$D$103+VLOOKUP(VLOOKUP(CG$1,main!$A$3:$I$102,7,FALSE),main!$K$26:$Q$29,4,FALSE)),1,0)</f>
        <v>0</v>
      </c>
      <c r="CH158">
        <f>IF(AND(VLOOKUP(CH$1,main!$A$3:$H$102,7,FALSE)=main!$G$104,VLOOKUP(CH$1,main!$A$3:$H$102,5,FALSE)-VLOOKUP($A158,main!$A$3:$H$102,6,FALSE)&gt;=main!$D$103+VLOOKUP(VLOOKUP(CH$1,main!$A$3:$I$102,7,FALSE),main!$K$26:$Q$29,4,FALSE)),1,0)</f>
        <v>0</v>
      </c>
      <c r="CI158">
        <f>IF(AND(VLOOKUP(CI$1,main!$A$3:$H$102,7,FALSE)=main!$G$104,VLOOKUP(CI$1,main!$A$3:$H$102,5,FALSE)-VLOOKUP($A158,main!$A$3:$H$102,6,FALSE)&gt;=main!$D$103+VLOOKUP(VLOOKUP(CI$1,main!$A$3:$I$102,7,FALSE),main!$K$26:$Q$29,4,FALSE)),1,0)</f>
        <v>0</v>
      </c>
      <c r="CJ158">
        <f>IF(AND(VLOOKUP(CJ$1,main!$A$3:$H$102,7,FALSE)=main!$G$104,VLOOKUP(CJ$1,main!$A$3:$H$102,5,FALSE)-VLOOKUP($A158,main!$A$3:$H$102,6,FALSE)&gt;=main!$D$103+VLOOKUP(VLOOKUP(CJ$1,main!$A$3:$I$102,7,FALSE),main!$K$26:$Q$29,4,FALSE)),1,0)</f>
        <v>0</v>
      </c>
      <c r="CK158">
        <f>IF(AND(VLOOKUP(CK$1,main!$A$3:$H$102,7,FALSE)=main!$G$104,VLOOKUP(CK$1,main!$A$3:$H$102,5,FALSE)-VLOOKUP($A158,main!$A$3:$H$102,6,FALSE)&gt;=main!$D$103+VLOOKUP(VLOOKUP(CK$1,main!$A$3:$I$102,7,FALSE),main!$K$26:$Q$29,4,FALSE)),1,0)</f>
        <v>0</v>
      </c>
      <c r="CL158">
        <f>IF(AND(VLOOKUP(CL$1,main!$A$3:$H$102,7,FALSE)=main!$G$104,VLOOKUP(CL$1,main!$A$3:$H$102,5,FALSE)-VLOOKUP($A158,main!$A$3:$H$102,6,FALSE)&gt;=main!$D$103+VLOOKUP(VLOOKUP(CL$1,main!$A$3:$I$102,7,FALSE),main!$K$26:$Q$29,4,FALSE)),1,0)</f>
        <v>0</v>
      </c>
      <c r="CM158">
        <f>IF(AND(VLOOKUP(CM$1,main!$A$3:$H$102,7,FALSE)=main!$G$104,VLOOKUP(CM$1,main!$A$3:$H$102,5,FALSE)-VLOOKUP($A158,main!$A$3:$H$102,6,FALSE)&gt;=main!$D$103+VLOOKUP(VLOOKUP(CM$1,main!$A$3:$I$102,7,FALSE),main!$K$26:$Q$29,4,FALSE)),1,0)</f>
        <v>0</v>
      </c>
      <c r="CN158">
        <f>IF(AND(VLOOKUP(CN$1,main!$A$3:$H$102,7,FALSE)=main!$G$104,VLOOKUP(CN$1,main!$A$3:$H$102,5,FALSE)-VLOOKUP($A158,main!$A$3:$H$102,6,FALSE)&gt;=main!$D$103+VLOOKUP(VLOOKUP(CN$1,main!$A$3:$I$102,7,FALSE),main!$K$26:$Q$29,4,FALSE)),1,0)</f>
        <v>0</v>
      </c>
      <c r="CO158">
        <f>IF(AND(VLOOKUP(CO$1,main!$A$3:$H$102,7,FALSE)=main!$G$104,VLOOKUP(CO$1,main!$A$3:$H$102,5,FALSE)-VLOOKUP($A158,main!$A$3:$H$102,6,FALSE)&gt;=main!$D$103+VLOOKUP(VLOOKUP(CO$1,main!$A$3:$I$102,7,FALSE),main!$K$26:$Q$29,4,FALSE)),1,0)</f>
        <v>0</v>
      </c>
      <c r="CP158">
        <f>IF(AND(VLOOKUP(CP$1,main!$A$3:$H$102,7,FALSE)=main!$G$104,VLOOKUP(CP$1,main!$A$3:$H$102,5,FALSE)-VLOOKUP($A158,main!$A$3:$H$102,6,FALSE)&gt;=main!$D$103+VLOOKUP(VLOOKUP(CP$1,main!$A$3:$I$102,7,FALSE),main!$K$26:$Q$29,4,FALSE)),1,0)</f>
        <v>0</v>
      </c>
      <c r="CQ158">
        <f>IF(AND(VLOOKUP(CQ$1,main!$A$3:$H$102,7,FALSE)=main!$G$104,VLOOKUP(CQ$1,main!$A$3:$H$102,5,FALSE)-VLOOKUP($A158,main!$A$3:$H$102,6,FALSE)&gt;=main!$D$103+VLOOKUP(VLOOKUP(CQ$1,main!$A$3:$I$102,7,FALSE),main!$K$26:$Q$29,4,FALSE)),1,0)</f>
        <v>0</v>
      </c>
      <c r="CR158">
        <f>IF(AND(VLOOKUP(CR$1,main!$A$3:$H$102,7,FALSE)=main!$G$104,VLOOKUP(CR$1,main!$A$3:$H$102,5,FALSE)-VLOOKUP($A158,main!$A$3:$H$102,6,FALSE)&gt;=main!$D$103+VLOOKUP(VLOOKUP(CR$1,main!$A$3:$I$102,7,FALSE),main!$K$26:$Q$29,4,FALSE)),1,0)</f>
        <v>0</v>
      </c>
      <c r="CS158">
        <f>IF(AND(VLOOKUP(CS$1,main!$A$3:$H$102,7,FALSE)=main!$G$104,VLOOKUP(CS$1,main!$A$3:$H$102,5,FALSE)-VLOOKUP($A158,main!$A$3:$H$102,6,FALSE)&gt;=main!$D$103+VLOOKUP(VLOOKUP(CS$1,main!$A$3:$I$102,7,FALSE),main!$K$26:$Q$29,4,FALSE)),1,0)</f>
        <v>0</v>
      </c>
      <c r="CT158">
        <f>IF(AND(VLOOKUP(CT$1,main!$A$3:$H$102,7,FALSE)=main!$G$104,VLOOKUP(CT$1,main!$A$3:$H$102,5,FALSE)-VLOOKUP($A158,main!$A$3:$H$102,6,FALSE)&gt;=main!$D$103+VLOOKUP(VLOOKUP(CT$1,main!$A$3:$I$102,7,FALSE),main!$K$26:$Q$29,4,FALSE)),1,0)</f>
        <v>0</v>
      </c>
      <c r="CU158">
        <f>IF(AND(VLOOKUP(CU$1,main!$A$3:$H$102,7,FALSE)=main!$G$104,VLOOKUP(CU$1,main!$A$3:$H$102,5,FALSE)-VLOOKUP($A158,main!$A$3:$H$102,6,FALSE)&gt;=main!$D$103+VLOOKUP(VLOOKUP(CU$1,main!$A$3:$I$102,7,FALSE),main!$K$26:$Q$29,4,FALSE)),1,0)</f>
        <v>0</v>
      </c>
      <c r="CV158">
        <f>IF(AND(VLOOKUP(CV$1,main!$A$3:$H$102,7,FALSE)=main!$G$104,VLOOKUP(CV$1,main!$A$3:$H$102,5,FALSE)-VLOOKUP($A158,main!$A$3:$H$102,6,FALSE)&gt;=main!$D$103+VLOOKUP(VLOOKUP(CV$1,main!$A$3:$I$102,7,FALSE),main!$K$26:$Q$29,4,FALSE)),1,0)</f>
        <v>0</v>
      </c>
      <c r="CW158">
        <f>IF(AND(VLOOKUP(CW$1,main!$A$3:$H$102,7,FALSE)=main!$G$104,VLOOKUP(CW$1,main!$A$3:$H$102,5,FALSE)-VLOOKUP($A158,main!$A$3:$H$102,6,FALSE)&gt;=main!$D$103+VLOOKUP(VLOOKUP(CW$1,main!$A$3:$I$102,7,FALSE),main!$K$26:$Q$29,4,FALSE)),1,0)</f>
        <v>0</v>
      </c>
      <c r="CX158">
        <f>IF(AND(VLOOKUP(CX$1,main!$A$3:$H$102,7,FALSE)=main!$G$104,VLOOKUP(CX$1,main!$A$3:$H$102,5,FALSE)-VLOOKUP($A158,main!$A$3:$H$102,6,FALSE)&gt;=main!$D$103+VLOOKUP(VLOOKUP(CX$1,main!$A$3:$I$102,7,FALSE),main!$K$26:$Q$29,4,FALSE)),1,0)</f>
        <v>0</v>
      </c>
    </row>
    <row r="159" spans="1:106" x14ac:dyDescent="0.25">
      <c r="A159" s="1">
        <v>56</v>
      </c>
      <c r="B159">
        <v>0</v>
      </c>
      <c r="C159">
        <f>IF(AND(VLOOKUP(C$1,main!$A$3:$H$102,7,FALSE)=main!$G$104,VLOOKUP(C$1,main!$A$3:$H$102,5,FALSE)-VLOOKUP($A159,main!$A$3:$H$102,6,FALSE)&gt;=main!$D$103+VLOOKUP(VLOOKUP(C$1,main!$A$3:$I$102,7,FALSE),main!$K$26:$Q$29,4,FALSE)),1,0)</f>
        <v>0</v>
      </c>
      <c r="D159">
        <f>IF(AND(VLOOKUP(D$1,main!$A$3:$H$102,7,FALSE)=main!$G$104,VLOOKUP(D$1,main!$A$3:$H$102,5,FALSE)-VLOOKUP($A159,main!$A$3:$H$102,6,FALSE)&gt;=main!$D$103+VLOOKUP(VLOOKUP(D$1,main!$A$3:$I$102,7,FALSE),main!$K$26:$Q$29,4,FALSE)),1,0)</f>
        <v>0</v>
      </c>
      <c r="E159">
        <f>IF(AND(VLOOKUP(E$1,main!$A$3:$H$102,7,FALSE)=main!$G$104,VLOOKUP(E$1,main!$A$3:$H$102,5,FALSE)-VLOOKUP($A159,main!$A$3:$H$102,6,FALSE)&gt;=main!$D$103+VLOOKUP(VLOOKUP(E$1,main!$A$3:$I$102,7,FALSE),main!$K$26:$Q$29,4,FALSE)),1,0)</f>
        <v>0</v>
      </c>
      <c r="F159">
        <f>IF(AND(VLOOKUP(F$1,main!$A$3:$H$102,7,FALSE)=main!$G$104,VLOOKUP(F$1,main!$A$3:$H$102,5,FALSE)-VLOOKUP($A159,main!$A$3:$H$102,6,FALSE)&gt;=main!$D$103+VLOOKUP(VLOOKUP(F$1,main!$A$3:$I$102,7,FALSE),main!$K$26:$Q$29,4,FALSE)),1,0)</f>
        <v>0</v>
      </c>
      <c r="G159">
        <f>IF(AND(VLOOKUP(G$1,main!$A$3:$H$102,7,FALSE)=main!$G$104,VLOOKUP(G$1,main!$A$3:$H$102,5,FALSE)-VLOOKUP($A159,main!$A$3:$H$102,6,FALSE)&gt;=main!$D$103+VLOOKUP(VLOOKUP(G$1,main!$A$3:$I$102,7,FALSE),main!$K$26:$Q$29,4,FALSE)),1,0)</f>
        <v>1</v>
      </c>
      <c r="H159">
        <f>IF(AND(VLOOKUP(H$1,main!$A$3:$H$102,7,FALSE)=main!$G$104,VLOOKUP(H$1,main!$A$3:$H$102,5,FALSE)-VLOOKUP($A159,main!$A$3:$H$102,6,FALSE)&gt;=main!$D$103+VLOOKUP(VLOOKUP(H$1,main!$A$3:$I$102,7,FALSE),main!$K$26:$Q$29,4,FALSE)),1,0)</f>
        <v>1</v>
      </c>
      <c r="I159">
        <f>IF(AND(VLOOKUP(I$1,main!$A$3:$H$102,7,FALSE)=main!$G$104,VLOOKUP(I$1,main!$A$3:$H$102,5,FALSE)-VLOOKUP($A159,main!$A$3:$H$102,6,FALSE)&gt;=main!$D$103+VLOOKUP(VLOOKUP(I$1,main!$A$3:$I$102,7,FALSE),main!$K$26:$Q$29,4,FALSE)),1,0)</f>
        <v>1</v>
      </c>
      <c r="J159">
        <f>IF(AND(VLOOKUP(J$1,main!$A$3:$H$102,7,FALSE)=main!$G$104,VLOOKUP(J$1,main!$A$3:$H$102,5,FALSE)-VLOOKUP($A159,main!$A$3:$H$102,6,FALSE)&gt;=main!$D$103+VLOOKUP(VLOOKUP(J$1,main!$A$3:$I$102,7,FALSE),main!$K$26:$Q$29,4,FALSE)),1,0)</f>
        <v>1</v>
      </c>
      <c r="K159">
        <f>IF(AND(VLOOKUP(K$1,main!$A$3:$H$102,7,FALSE)=main!$G$104,VLOOKUP(K$1,main!$A$3:$H$102,5,FALSE)-VLOOKUP($A159,main!$A$3:$H$102,6,FALSE)&gt;=main!$D$103+VLOOKUP(VLOOKUP(K$1,main!$A$3:$I$102,7,FALSE),main!$K$26:$Q$29,4,FALSE)),1,0)</f>
        <v>1</v>
      </c>
      <c r="L159">
        <f>IF(AND(VLOOKUP(L$1,main!$A$3:$H$102,7,FALSE)=main!$G$104,VLOOKUP(L$1,main!$A$3:$H$102,5,FALSE)-VLOOKUP($A159,main!$A$3:$H$102,6,FALSE)&gt;=main!$D$103+VLOOKUP(VLOOKUP(L$1,main!$A$3:$I$102,7,FALSE),main!$K$26:$Q$29,4,FALSE)),1,0)</f>
        <v>1</v>
      </c>
      <c r="M159">
        <f>IF(AND(VLOOKUP(M$1,main!$A$3:$H$102,7,FALSE)=main!$G$104,VLOOKUP(M$1,main!$A$3:$H$102,5,FALSE)-VLOOKUP($A159,main!$A$3:$H$102,6,FALSE)&gt;=main!$D$103+VLOOKUP(VLOOKUP(M$1,main!$A$3:$I$102,7,FALSE),main!$K$26:$Q$29,4,FALSE)),1,0)</f>
        <v>0</v>
      </c>
      <c r="N159">
        <f>IF(AND(VLOOKUP(N$1,main!$A$3:$H$102,7,FALSE)=main!$G$104,VLOOKUP(N$1,main!$A$3:$H$102,5,FALSE)-VLOOKUP($A159,main!$A$3:$H$102,6,FALSE)&gt;=main!$D$103+VLOOKUP(VLOOKUP(N$1,main!$A$3:$I$102,7,FALSE),main!$K$26:$Q$29,4,FALSE)),1,0)</f>
        <v>0</v>
      </c>
      <c r="O159">
        <f>IF(AND(VLOOKUP(O$1,main!$A$3:$H$102,7,FALSE)=main!$G$104,VLOOKUP(O$1,main!$A$3:$H$102,5,FALSE)-VLOOKUP($A159,main!$A$3:$H$102,6,FALSE)&gt;=main!$D$103+VLOOKUP(VLOOKUP(O$1,main!$A$3:$I$102,7,FALSE),main!$K$26:$Q$29,4,FALSE)),1,0)</f>
        <v>0</v>
      </c>
      <c r="P159">
        <f>IF(AND(VLOOKUP(P$1,main!$A$3:$H$102,7,FALSE)=main!$G$104,VLOOKUP(P$1,main!$A$3:$H$102,5,FALSE)-VLOOKUP($A159,main!$A$3:$H$102,6,FALSE)&gt;=main!$D$103+VLOOKUP(VLOOKUP(P$1,main!$A$3:$I$102,7,FALSE),main!$K$26:$Q$29,4,FALSE)),1,0)</f>
        <v>0</v>
      </c>
      <c r="Q159">
        <f>IF(AND(VLOOKUP(Q$1,main!$A$3:$H$102,7,FALSE)=main!$G$104,VLOOKUP(Q$1,main!$A$3:$H$102,5,FALSE)-VLOOKUP($A159,main!$A$3:$H$102,6,FALSE)&gt;=main!$D$103+VLOOKUP(VLOOKUP(Q$1,main!$A$3:$I$102,7,FALSE),main!$K$26:$Q$29,4,FALSE)),1,0)</f>
        <v>0</v>
      </c>
      <c r="R159">
        <f>IF(AND(VLOOKUP(R$1,main!$A$3:$H$102,7,FALSE)=main!$G$104,VLOOKUP(R$1,main!$A$3:$H$102,5,FALSE)-VLOOKUP($A159,main!$A$3:$H$102,6,FALSE)&gt;=main!$D$103+VLOOKUP(VLOOKUP(R$1,main!$A$3:$I$102,7,FALSE),main!$K$26:$Q$29,4,FALSE)),1,0)</f>
        <v>1</v>
      </c>
      <c r="S159">
        <f>IF(AND(VLOOKUP(S$1,main!$A$3:$H$102,7,FALSE)=main!$G$104,VLOOKUP(S$1,main!$A$3:$H$102,5,FALSE)-VLOOKUP($A159,main!$A$3:$H$102,6,FALSE)&gt;=main!$D$103+VLOOKUP(VLOOKUP(S$1,main!$A$3:$I$102,7,FALSE),main!$K$26:$Q$29,4,FALSE)),1,0)</f>
        <v>1</v>
      </c>
      <c r="T159">
        <f>IF(AND(VLOOKUP(T$1,main!$A$3:$H$102,7,FALSE)=main!$G$104,VLOOKUP(T$1,main!$A$3:$H$102,5,FALSE)-VLOOKUP($A159,main!$A$3:$H$102,6,FALSE)&gt;=main!$D$103+VLOOKUP(VLOOKUP(T$1,main!$A$3:$I$102,7,FALSE),main!$K$26:$Q$29,4,FALSE)),1,0)</f>
        <v>1</v>
      </c>
      <c r="U159">
        <f>IF(AND(VLOOKUP(U$1,main!$A$3:$H$102,7,FALSE)=main!$G$104,VLOOKUP(U$1,main!$A$3:$H$102,5,FALSE)-VLOOKUP($A159,main!$A$3:$H$102,6,FALSE)&gt;=main!$D$103+VLOOKUP(VLOOKUP(U$1,main!$A$3:$I$102,7,FALSE),main!$K$26:$Q$29,4,FALSE)),1,0)</f>
        <v>1</v>
      </c>
      <c r="V159">
        <f>IF(AND(VLOOKUP(V$1,main!$A$3:$H$102,7,FALSE)=main!$G$104,VLOOKUP(V$1,main!$A$3:$H$102,5,FALSE)-VLOOKUP($A159,main!$A$3:$H$102,6,FALSE)&gt;=main!$D$103+VLOOKUP(VLOOKUP(V$1,main!$A$3:$I$102,7,FALSE),main!$K$26:$Q$29,4,FALSE)),1,0)</f>
        <v>1</v>
      </c>
      <c r="W159">
        <f>IF(AND(VLOOKUP(W$1,main!$A$3:$H$102,7,FALSE)=main!$G$104,VLOOKUP(W$1,main!$A$3:$H$102,5,FALSE)-VLOOKUP($A159,main!$A$3:$H$102,6,FALSE)&gt;=main!$D$103+VLOOKUP(VLOOKUP(W$1,main!$A$3:$I$102,7,FALSE),main!$K$26:$Q$29,4,FALSE)),1,0)</f>
        <v>0</v>
      </c>
      <c r="X159">
        <f>IF(AND(VLOOKUP(X$1,main!$A$3:$H$102,7,FALSE)=main!$G$104,VLOOKUP(X$1,main!$A$3:$H$102,5,FALSE)-VLOOKUP($A159,main!$A$3:$H$102,6,FALSE)&gt;=main!$D$103+VLOOKUP(VLOOKUP(X$1,main!$A$3:$I$102,7,FALSE),main!$K$26:$Q$29,4,FALSE)),1,0)</f>
        <v>0</v>
      </c>
      <c r="Y159">
        <f>IF(AND(VLOOKUP(Y$1,main!$A$3:$H$102,7,FALSE)=main!$G$104,VLOOKUP(Y$1,main!$A$3:$H$102,5,FALSE)-VLOOKUP($A159,main!$A$3:$H$102,6,FALSE)&gt;=main!$D$103+VLOOKUP(VLOOKUP(Y$1,main!$A$3:$I$102,7,FALSE),main!$K$26:$Q$29,4,FALSE)),1,0)</f>
        <v>1</v>
      </c>
      <c r="Z159">
        <f>IF(AND(VLOOKUP(Z$1,main!$A$3:$H$102,7,FALSE)=main!$G$104,VLOOKUP(Z$1,main!$A$3:$H$102,5,FALSE)-VLOOKUP($A159,main!$A$3:$H$102,6,FALSE)&gt;=main!$D$103+VLOOKUP(VLOOKUP(Z$1,main!$A$3:$I$102,7,FALSE),main!$K$26:$Q$29,4,FALSE)),1,0)</f>
        <v>1</v>
      </c>
      <c r="AA159">
        <f>IF(AND(VLOOKUP(AA$1,main!$A$3:$H$102,7,FALSE)=main!$G$104,VLOOKUP(AA$1,main!$A$3:$H$102,5,FALSE)-VLOOKUP($A159,main!$A$3:$H$102,6,FALSE)&gt;=main!$D$103+VLOOKUP(VLOOKUP(AA$1,main!$A$3:$I$102,7,FALSE),main!$K$26:$Q$29,4,FALSE)),1,0)</f>
        <v>1</v>
      </c>
      <c r="AB159">
        <f>IF(AND(VLOOKUP(AB$1,main!$A$3:$H$102,7,FALSE)=main!$G$104,VLOOKUP(AB$1,main!$A$3:$H$102,5,FALSE)-VLOOKUP($A159,main!$A$3:$H$102,6,FALSE)&gt;=main!$D$103+VLOOKUP(VLOOKUP(AB$1,main!$A$3:$I$102,7,FALSE),main!$K$26:$Q$29,4,FALSE)),1,0)</f>
        <v>0</v>
      </c>
      <c r="AC159">
        <f>IF(AND(VLOOKUP(AC$1,main!$A$3:$H$102,7,FALSE)=main!$G$104,VLOOKUP(AC$1,main!$A$3:$H$102,5,FALSE)-VLOOKUP($A159,main!$A$3:$H$102,6,FALSE)&gt;=main!$D$103+VLOOKUP(VLOOKUP(AC$1,main!$A$3:$I$102,7,FALSE),main!$K$26:$Q$29,4,FALSE)),1,0)</f>
        <v>0</v>
      </c>
      <c r="AD159">
        <f>IF(AND(VLOOKUP(AD$1,main!$A$3:$H$102,7,FALSE)=main!$G$104,VLOOKUP(AD$1,main!$A$3:$H$102,5,FALSE)-VLOOKUP($A159,main!$A$3:$H$102,6,FALSE)&gt;=main!$D$103+VLOOKUP(VLOOKUP(AD$1,main!$A$3:$I$102,7,FALSE),main!$K$26:$Q$29,4,FALSE)),1,0)</f>
        <v>0</v>
      </c>
      <c r="AE159">
        <f>IF(AND(VLOOKUP(AE$1,main!$A$3:$H$102,7,FALSE)=main!$G$104,VLOOKUP(AE$1,main!$A$3:$H$102,5,FALSE)-VLOOKUP($A159,main!$A$3:$H$102,6,FALSE)&gt;=main!$D$103+VLOOKUP(VLOOKUP(AE$1,main!$A$3:$I$102,7,FALSE),main!$K$26:$Q$29,4,FALSE)),1,0)</f>
        <v>1</v>
      </c>
      <c r="AF159">
        <f>IF(AND(VLOOKUP(AF$1,main!$A$3:$H$102,7,FALSE)=main!$G$104,VLOOKUP(AF$1,main!$A$3:$H$102,5,FALSE)-VLOOKUP($A159,main!$A$3:$H$102,6,FALSE)&gt;=main!$D$103+VLOOKUP(VLOOKUP(AF$1,main!$A$3:$I$102,7,FALSE),main!$K$26:$Q$29,4,FALSE)),1,0)</f>
        <v>1</v>
      </c>
      <c r="AG159">
        <f>IF(AND(VLOOKUP(AG$1,main!$A$3:$H$102,7,FALSE)=main!$G$104,VLOOKUP(AG$1,main!$A$3:$H$102,5,FALSE)-VLOOKUP($A159,main!$A$3:$H$102,6,FALSE)&gt;=main!$D$103+VLOOKUP(VLOOKUP(AG$1,main!$A$3:$I$102,7,FALSE),main!$K$26:$Q$29,4,FALSE)),1,0)</f>
        <v>0</v>
      </c>
      <c r="AH159">
        <f>IF(AND(VLOOKUP(AH$1,main!$A$3:$H$102,7,FALSE)=main!$G$104,VLOOKUP(AH$1,main!$A$3:$H$102,5,FALSE)-VLOOKUP($A159,main!$A$3:$H$102,6,FALSE)&gt;=main!$D$103+VLOOKUP(VLOOKUP(AH$1,main!$A$3:$I$102,7,FALSE),main!$K$26:$Q$29,4,FALSE)),1,0)</f>
        <v>0</v>
      </c>
      <c r="AI159">
        <f>IF(AND(VLOOKUP(AI$1,main!$A$3:$H$102,7,FALSE)=main!$G$104,VLOOKUP(AI$1,main!$A$3:$H$102,5,FALSE)-VLOOKUP($A159,main!$A$3:$H$102,6,FALSE)&gt;=main!$D$103+VLOOKUP(VLOOKUP(AI$1,main!$A$3:$I$102,7,FALSE),main!$K$26:$Q$29,4,FALSE)),1,0)</f>
        <v>0</v>
      </c>
      <c r="AJ159">
        <f>IF(AND(VLOOKUP(AJ$1,main!$A$3:$H$102,7,FALSE)=main!$G$104,VLOOKUP(AJ$1,main!$A$3:$H$102,5,FALSE)-VLOOKUP($A159,main!$A$3:$H$102,6,FALSE)&gt;=main!$D$103+VLOOKUP(VLOOKUP(AJ$1,main!$A$3:$I$102,7,FALSE),main!$K$26:$Q$29,4,FALSE)),1,0)</f>
        <v>0</v>
      </c>
      <c r="AK159">
        <f>IF(AND(VLOOKUP(AK$1,main!$A$3:$H$102,7,FALSE)=main!$G$104,VLOOKUP(AK$1,main!$A$3:$H$102,5,FALSE)-VLOOKUP($A159,main!$A$3:$H$102,6,FALSE)&gt;=main!$D$103+VLOOKUP(VLOOKUP(AK$1,main!$A$3:$I$102,7,FALSE),main!$K$26:$Q$29,4,FALSE)),1,0)</f>
        <v>0</v>
      </c>
      <c r="AL159">
        <f>IF(AND(VLOOKUP(AL$1,main!$A$3:$H$102,7,FALSE)=main!$G$104,VLOOKUP(AL$1,main!$A$3:$H$102,5,FALSE)-VLOOKUP($A159,main!$A$3:$H$102,6,FALSE)&gt;=main!$D$103+VLOOKUP(VLOOKUP(AL$1,main!$A$3:$I$102,7,FALSE),main!$K$26:$Q$29,4,FALSE)),1,0)</f>
        <v>0</v>
      </c>
      <c r="AM159">
        <f>IF(AND(VLOOKUP(AM$1,main!$A$3:$H$102,7,FALSE)=main!$G$104,VLOOKUP(AM$1,main!$A$3:$H$102,5,FALSE)-VLOOKUP($A159,main!$A$3:$H$102,6,FALSE)&gt;=main!$D$103+VLOOKUP(VLOOKUP(AM$1,main!$A$3:$I$102,7,FALSE),main!$K$26:$Q$29,4,FALSE)),1,0)</f>
        <v>0</v>
      </c>
      <c r="AN159">
        <f>IF(AND(VLOOKUP(AN$1,main!$A$3:$H$102,7,FALSE)=main!$G$104,VLOOKUP(AN$1,main!$A$3:$H$102,5,FALSE)-VLOOKUP($A159,main!$A$3:$H$102,6,FALSE)&gt;=main!$D$103+VLOOKUP(VLOOKUP(AN$1,main!$A$3:$I$102,7,FALSE),main!$K$26:$Q$29,4,FALSE)),1,0)</f>
        <v>0</v>
      </c>
      <c r="AO159">
        <f>IF(AND(VLOOKUP(AO$1,main!$A$3:$H$102,7,FALSE)=main!$G$104,VLOOKUP(AO$1,main!$A$3:$H$102,5,FALSE)-VLOOKUP($A159,main!$A$3:$H$102,6,FALSE)&gt;=main!$D$103+VLOOKUP(VLOOKUP(AO$1,main!$A$3:$I$102,7,FALSE),main!$K$26:$Q$29,4,FALSE)),1,0)</f>
        <v>0</v>
      </c>
      <c r="AP159">
        <f>IF(AND(VLOOKUP(AP$1,main!$A$3:$H$102,7,FALSE)=main!$G$104,VLOOKUP(AP$1,main!$A$3:$H$102,5,FALSE)-VLOOKUP($A159,main!$A$3:$H$102,6,FALSE)&gt;=main!$D$103+VLOOKUP(VLOOKUP(AP$1,main!$A$3:$I$102,7,FALSE),main!$K$26:$Q$29,4,FALSE)),1,0)</f>
        <v>0</v>
      </c>
      <c r="AQ159">
        <f>IF(AND(VLOOKUP(AQ$1,main!$A$3:$H$102,7,FALSE)=main!$G$104,VLOOKUP(AQ$1,main!$A$3:$H$102,5,FALSE)-VLOOKUP($A159,main!$A$3:$H$102,6,FALSE)&gt;=main!$D$103+VLOOKUP(VLOOKUP(AQ$1,main!$A$3:$I$102,7,FALSE),main!$K$26:$Q$29,4,FALSE)),1,0)</f>
        <v>0</v>
      </c>
      <c r="AR159">
        <f>IF(AND(VLOOKUP(AR$1,main!$A$3:$H$102,7,FALSE)=main!$G$104,VLOOKUP(AR$1,main!$A$3:$H$102,5,FALSE)-VLOOKUP($A159,main!$A$3:$H$102,6,FALSE)&gt;=main!$D$103+VLOOKUP(VLOOKUP(AR$1,main!$A$3:$I$102,7,FALSE),main!$K$26:$Q$29,4,FALSE)),1,0)</f>
        <v>0</v>
      </c>
      <c r="AS159">
        <f>IF(AND(VLOOKUP(AS$1,main!$A$3:$H$102,7,FALSE)=main!$G$104,VLOOKUP(AS$1,main!$A$3:$H$102,5,FALSE)-VLOOKUP($A159,main!$A$3:$H$102,6,FALSE)&gt;=main!$D$103+VLOOKUP(VLOOKUP(AS$1,main!$A$3:$I$102,7,FALSE),main!$K$26:$Q$29,4,FALSE)),1,0)</f>
        <v>0</v>
      </c>
      <c r="AT159">
        <f>IF(AND(VLOOKUP(AT$1,main!$A$3:$H$102,7,FALSE)=main!$G$104,VLOOKUP(AT$1,main!$A$3:$H$102,5,FALSE)-VLOOKUP($A159,main!$A$3:$H$102,6,FALSE)&gt;=main!$D$103+VLOOKUP(VLOOKUP(AT$1,main!$A$3:$I$102,7,FALSE),main!$K$26:$Q$29,4,FALSE)),1,0)</f>
        <v>0</v>
      </c>
      <c r="AU159">
        <f>IF(AND(VLOOKUP(AU$1,main!$A$3:$H$102,7,FALSE)=main!$G$104,VLOOKUP(AU$1,main!$A$3:$H$102,5,FALSE)-VLOOKUP($A159,main!$A$3:$H$102,6,FALSE)&gt;=main!$D$103+VLOOKUP(VLOOKUP(AU$1,main!$A$3:$I$102,7,FALSE),main!$K$26:$Q$29,4,FALSE)),1,0)</f>
        <v>0</v>
      </c>
      <c r="AV159">
        <f>IF(AND(VLOOKUP(AV$1,main!$A$3:$H$102,7,FALSE)=main!$G$104,VLOOKUP(AV$1,main!$A$3:$H$102,5,FALSE)-VLOOKUP($A159,main!$A$3:$H$102,6,FALSE)&gt;=main!$D$103+VLOOKUP(VLOOKUP(AV$1,main!$A$3:$I$102,7,FALSE),main!$K$26:$Q$29,4,FALSE)),1,0)</f>
        <v>0</v>
      </c>
      <c r="AW159">
        <f>IF(AND(VLOOKUP(AW$1,main!$A$3:$H$102,7,FALSE)=main!$G$104,VLOOKUP(AW$1,main!$A$3:$H$102,5,FALSE)-VLOOKUP($A159,main!$A$3:$H$102,6,FALSE)&gt;=main!$D$103+VLOOKUP(VLOOKUP(AW$1,main!$A$3:$I$102,7,FALSE),main!$K$26:$Q$29,4,FALSE)),1,0)</f>
        <v>0</v>
      </c>
      <c r="AX159">
        <f>IF(AND(VLOOKUP(AX$1,main!$A$3:$H$102,7,FALSE)=main!$G$104,VLOOKUP(AX$1,main!$A$3:$H$102,5,FALSE)-VLOOKUP($A159,main!$A$3:$H$102,6,FALSE)&gt;=main!$D$103+VLOOKUP(VLOOKUP(AX$1,main!$A$3:$I$102,7,FALSE),main!$K$26:$Q$29,4,FALSE)),1,0)</f>
        <v>0</v>
      </c>
      <c r="AY159">
        <f>IF(AND(VLOOKUP(AY$1,main!$A$3:$H$102,7,FALSE)=main!$G$104,VLOOKUP(AY$1,main!$A$3:$H$102,5,FALSE)-VLOOKUP($A159,main!$A$3:$H$102,6,FALSE)&gt;=main!$D$103+VLOOKUP(VLOOKUP(AY$1,main!$A$3:$I$102,7,FALSE),main!$K$26:$Q$29,4,FALSE)),1,0)</f>
        <v>0</v>
      </c>
      <c r="AZ159">
        <f>IF(AND(VLOOKUP(AZ$1,main!$A$3:$H$102,7,FALSE)=main!$G$104,VLOOKUP(AZ$1,main!$A$3:$H$102,5,FALSE)-VLOOKUP($A159,main!$A$3:$H$102,6,FALSE)&gt;=main!$D$103+VLOOKUP(VLOOKUP(AZ$1,main!$A$3:$I$102,7,FALSE),main!$K$26:$Q$29,4,FALSE)),1,0)</f>
        <v>0</v>
      </c>
      <c r="BA159">
        <f>IF(AND(VLOOKUP(BA$1,main!$A$3:$H$102,7,FALSE)=main!$G$104,VLOOKUP(BA$1,main!$A$3:$H$102,5,FALSE)-VLOOKUP($A159,main!$A$3:$H$102,6,FALSE)&gt;=main!$D$103+VLOOKUP(VLOOKUP(BA$1,main!$A$3:$I$102,7,FALSE),main!$K$26:$Q$29,4,FALSE)),1,0)</f>
        <v>0</v>
      </c>
      <c r="BB159">
        <f>IF(AND(VLOOKUP(BB$1,main!$A$3:$H$102,7,FALSE)=main!$G$104,VLOOKUP(BB$1,main!$A$3:$H$102,5,FALSE)-VLOOKUP($A159,main!$A$3:$H$102,6,FALSE)&gt;=main!$D$103+VLOOKUP(VLOOKUP(BB$1,main!$A$3:$I$102,7,FALSE),main!$K$26:$Q$29,4,FALSE)),1,0)</f>
        <v>0</v>
      </c>
      <c r="BC159">
        <f>IF(AND(VLOOKUP(BC$1,main!$A$3:$H$102,7,FALSE)=main!$G$104,VLOOKUP(BC$1,main!$A$3:$H$102,5,FALSE)-VLOOKUP($A159,main!$A$3:$H$102,6,FALSE)&gt;=main!$D$103+VLOOKUP(VLOOKUP(BC$1,main!$A$3:$I$102,7,FALSE),main!$K$26:$Q$29,4,FALSE)),1,0)</f>
        <v>0</v>
      </c>
      <c r="BD159">
        <f>IF(AND(VLOOKUP(BD$1,main!$A$3:$H$102,7,FALSE)=main!$G$104,VLOOKUP(BD$1,main!$A$3:$H$102,5,FALSE)-VLOOKUP($A159,main!$A$3:$H$102,6,FALSE)&gt;=main!$D$103+VLOOKUP(VLOOKUP(BD$1,main!$A$3:$I$102,7,FALSE),main!$K$26:$Q$29,4,FALSE)),1,0)</f>
        <v>0</v>
      </c>
      <c r="BE159">
        <f>IF(AND(VLOOKUP(BE$1,main!$A$3:$H$102,7,FALSE)=main!$G$104,VLOOKUP(BE$1,main!$A$3:$H$102,5,FALSE)-VLOOKUP($A159,main!$A$3:$H$102,6,FALSE)&gt;=main!$D$103+VLOOKUP(VLOOKUP(BE$1,main!$A$3:$I$102,7,FALSE),main!$K$26:$Q$29,4,FALSE)),1,0)</f>
        <v>0</v>
      </c>
      <c r="BF159">
        <f>IF(AND(VLOOKUP(BF$1,main!$A$3:$H$102,7,FALSE)=main!$G$104,VLOOKUP(BF$1,main!$A$3:$H$102,5,FALSE)-VLOOKUP($A159,main!$A$3:$H$102,6,FALSE)&gt;=main!$D$103+VLOOKUP(VLOOKUP(BF$1,main!$A$3:$I$102,7,FALSE),main!$K$26:$Q$29,4,FALSE)),1,0)</f>
        <v>0</v>
      </c>
      <c r="BG159">
        <f>IF(AND(VLOOKUP(BG$1,main!$A$3:$H$102,7,FALSE)=main!$G$104,VLOOKUP(BG$1,main!$A$3:$H$102,5,FALSE)-VLOOKUP($A159,main!$A$3:$H$102,6,FALSE)&gt;=main!$D$103+VLOOKUP(VLOOKUP(BG$1,main!$A$3:$I$102,7,FALSE),main!$K$26:$Q$29,4,FALSE)),1,0)</f>
        <v>0</v>
      </c>
      <c r="BH159">
        <f>IF(AND(VLOOKUP(BH$1,main!$A$3:$H$102,7,FALSE)=main!$G$104,VLOOKUP(BH$1,main!$A$3:$H$102,5,FALSE)-VLOOKUP($A159,main!$A$3:$H$102,6,FALSE)&gt;=main!$D$103+VLOOKUP(VLOOKUP(BH$1,main!$A$3:$I$102,7,FALSE),main!$K$26:$Q$29,4,FALSE)),1,0)</f>
        <v>0</v>
      </c>
      <c r="BI159">
        <f>IF(AND(VLOOKUP(BI$1,main!$A$3:$H$102,7,FALSE)=main!$G$104,VLOOKUP(BI$1,main!$A$3:$H$102,5,FALSE)-VLOOKUP($A159,main!$A$3:$H$102,6,FALSE)&gt;=main!$D$103+VLOOKUP(VLOOKUP(BI$1,main!$A$3:$I$102,7,FALSE),main!$K$26:$Q$29,4,FALSE)),1,0)</f>
        <v>0</v>
      </c>
      <c r="BJ159">
        <f>IF(AND(VLOOKUP(BJ$1,main!$A$3:$H$102,7,FALSE)=main!$G$104,VLOOKUP(BJ$1,main!$A$3:$H$102,5,FALSE)-VLOOKUP($A159,main!$A$3:$H$102,6,FALSE)&gt;=main!$D$103+VLOOKUP(VLOOKUP(BJ$1,main!$A$3:$I$102,7,FALSE),main!$K$26:$Q$29,4,FALSE)),1,0)</f>
        <v>0</v>
      </c>
      <c r="BK159">
        <f>IF(AND(VLOOKUP(BK$1,main!$A$3:$H$102,7,FALSE)=main!$G$104,VLOOKUP(BK$1,main!$A$3:$H$102,5,FALSE)-VLOOKUP($A159,main!$A$3:$H$102,6,FALSE)&gt;=main!$D$103+VLOOKUP(VLOOKUP(BK$1,main!$A$3:$I$102,7,FALSE),main!$K$26:$Q$29,4,FALSE)),1,0)</f>
        <v>0</v>
      </c>
      <c r="BL159">
        <f>IF(AND(VLOOKUP(BL$1,main!$A$3:$H$102,7,FALSE)=main!$G$104,VLOOKUP(BL$1,main!$A$3:$H$102,5,FALSE)-VLOOKUP($A159,main!$A$3:$H$102,6,FALSE)&gt;=main!$D$103+VLOOKUP(VLOOKUP(BL$1,main!$A$3:$I$102,7,FALSE),main!$K$26:$Q$29,4,FALSE)),1,0)</f>
        <v>0</v>
      </c>
      <c r="BM159">
        <f>IF(AND(VLOOKUP(BM$1,main!$A$3:$H$102,7,FALSE)=main!$G$104,VLOOKUP(BM$1,main!$A$3:$H$102,5,FALSE)-VLOOKUP($A159,main!$A$3:$H$102,6,FALSE)&gt;=main!$D$103+VLOOKUP(VLOOKUP(BM$1,main!$A$3:$I$102,7,FALSE),main!$K$26:$Q$29,4,FALSE)),1,0)</f>
        <v>0</v>
      </c>
      <c r="BN159">
        <f>IF(AND(VLOOKUP(BN$1,main!$A$3:$H$102,7,FALSE)=main!$G$104,VLOOKUP(BN$1,main!$A$3:$H$102,5,FALSE)-VLOOKUP($A159,main!$A$3:$H$102,6,FALSE)&gt;=main!$D$103+VLOOKUP(VLOOKUP(BN$1,main!$A$3:$I$102,7,FALSE),main!$K$26:$Q$29,4,FALSE)),1,0)</f>
        <v>0</v>
      </c>
      <c r="BO159">
        <f>IF(AND(VLOOKUP(BO$1,main!$A$3:$H$102,7,FALSE)=main!$G$104,VLOOKUP(BO$1,main!$A$3:$H$102,5,FALSE)-VLOOKUP($A159,main!$A$3:$H$102,6,FALSE)&gt;=main!$D$103+VLOOKUP(VLOOKUP(BO$1,main!$A$3:$I$102,7,FALSE),main!$K$26:$Q$29,4,FALSE)),1,0)</f>
        <v>0</v>
      </c>
      <c r="BP159">
        <f>IF(AND(VLOOKUP(BP$1,main!$A$3:$H$102,7,FALSE)=main!$G$104,VLOOKUP(BP$1,main!$A$3:$H$102,5,FALSE)-VLOOKUP($A159,main!$A$3:$H$102,6,FALSE)&gt;=main!$D$103+VLOOKUP(VLOOKUP(BP$1,main!$A$3:$I$102,7,FALSE),main!$K$26:$Q$29,4,FALSE)),1,0)</f>
        <v>0</v>
      </c>
      <c r="BQ159">
        <f>IF(AND(VLOOKUP(BQ$1,main!$A$3:$H$102,7,FALSE)=main!$G$104,VLOOKUP(BQ$1,main!$A$3:$H$102,5,FALSE)-VLOOKUP($A159,main!$A$3:$H$102,6,FALSE)&gt;=main!$D$103+VLOOKUP(VLOOKUP(BQ$1,main!$A$3:$I$102,7,FALSE),main!$K$26:$Q$29,4,FALSE)),1,0)</f>
        <v>0</v>
      </c>
      <c r="BR159">
        <f>IF(AND(VLOOKUP(BR$1,main!$A$3:$H$102,7,FALSE)=main!$G$104,VLOOKUP(BR$1,main!$A$3:$H$102,5,FALSE)-VLOOKUP($A159,main!$A$3:$H$102,6,FALSE)&gt;=main!$D$103+VLOOKUP(VLOOKUP(BR$1,main!$A$3:$I$102,7,FALSE),main!$K$26:$Q$29,4,FALSE)),1,0)</f>
        <v>0</v>
      </c>
      <c r="BS159">
        <f>IF(AND(VLOOKUP(BS$1,main!$A$3:$H$102,7,FALSE)=main!$G$104,VLOOKUP(BS$1,main!$A$3:$H$102,5,FALSE)-VLOOKUP($A159,main!$A$3:$H$102,6,FALSE)&gt;=main!$D$103+VLOOKUP(VLOOKUP(BS$1,main!$A$3:$I$102,7,FALSE),main!$K$26:$Q$29,4,FALSE)),1,0)</f>
        <v>0</v>
      </c>
      <c r="BT159">
        <f>IF(AND(VLOOKUP(BT$1,main!$A$3:$H$102,7,FALSE)=main!$G$104,VLOOKUP(BT$1,main!$A$3:$H$102,5,FALSE)-VLOOKUP($A159,main!$A$3:$H$102,6,FALSE)&gt;=main!$D$103+VLOOKUP(VLOOKUP(BT$1,main!$A$3:$I$102,7,FALSE),main!$K$26:$Q$29,4,FALSE)),1,0)</f>
        <v>0</v>
      </c>
      <c r="BU159">
        <f>IF(AND(VLOOKUP(BU$1,main!$A$3:$H$102,7,FALSE)=main!$G$104,VLOOKUP(BU$1,main!$A$3:$H$102,5,FALSE)-VLOOKUP($A159,main!$A$3:$H$102,6,FALSE)&gt;=main!$D$103+VLOOKUP(VLOOKUP(BU$1,main!$A$3:$I$102,7,FALSE),main!$K$26:$Q$29,4,FALSE)),1,0)</f>
        <v>0</v>
      </c>
      <c r="BV159">
        <f>IF(AND(VLOOKUP(BV$1,main!$A$3:$H$102,7,FALSE)=main!$G$104,VLOOKUP(BV$1,main!$A$3:$H$102,5,FALSE)-VLOOKUP($A159,main!$A$3:$H$102,6,FALSE)&gt;=main!$D$103+VLOOKUP(VLOOKUP(BV$1,main!$A$3:$I$102,7,FALSE),main!$K$26:$Q$29,4,FALSE)),1,0)</f>
        <v>0</v>
      </c>
      <c r="BW159">
        <f>IF(AND(VLOOKUP(BW$1,main!$A$3:$H$102,7,FALSE)=main!$G$104,VLOOKUP(BW$1,main!$A$3:$H$102,5,FALSE)-VLOOKUP($A159,main!$A$3:$H$102,6,FALSE)&gt;=main!$D$103+VLOOKUP(VLOOKUP(BW$1,main!$A$3:$I$102,7,FALSE),main!$K$26:$Q$29,4,FALSE)),1,0)</f>
        <v>0</v>
      </c>
      <c r="BX159">
        <f>IF(AND(VLOOKUP(BX$1,main!$A$3:$H$102,7,FALSE)=main!$G$104,VLOOKUP(BX$1,main!$A$3:$H$102,5,FALSE)-VLOOKUP($A159,main!$A$3:$H$102,6,FALSE)&gt;=main!$D$103+VLOOKUP(VLOOKUP(BX$1,main!$A$3:$I$102,7,FALSE),main!$K$26:$Q$29,4,FALSE)),1,0)</f>
        <v>0</v>
      </c>
      <c r="BY159">
        <f>IF(AND(VLOOKUP(BY$1,main!$A$3:$H$102,7,FALSE)=main!$G$104,VLOOKUP(BY$1,main!$A$3:$H$102,5,FALSE)-VLOOKUP($A159,main!$A$3:$H$102,6,FALSE)&gt;=main!$D$103+VLOOKUP(VLOOKUP(BY$1,main!$A$3:$I$102,7,FALSE),main!$K$26:$Q$29,4,FALSE)),1,0)</f>
        <v>0</v>
      </c>
      <c r="BZ159">
        <f>IF(AND(VLOOKUP(BZ$1,main!$A$3:$H$102,7,FALSE)=main!$G$104,VLOOKUP(BZ$1,main!$A$3:$H$102,5,FALSE)-VLOOKUP($A159,main!$A$3:$H$102,6,FALSE)&gt;=main!$D$103+VLOOKUP(VLOOKUP(BZ$1,main!$A$3:$I$102,7,FALSE),main!$K$26:$Q$29,4,FALSE)),1,0)</f>
        <v>0</v>
      </c>
      <c r="CA159">
        <f>IF(AND(VLOOKUP(CA$1,main!$A$3:$H$102,7,FALSE)=main!$G$104,VLOOKUP(CA$1,main!$A$3:$H$102,5,FALSE)-VLOOKUP($A159,main!$A$3:$H$102,6,FALSE)&gt;=main!$D$103+VLOOKUP(VLOOKUP(CA$1,main!$A$3:$I$102,7,FALSE),main!$K$26:$Q$29,4,FALSE)),1,0)</f>
        <v>0</v>
      </c>
      <c r="CB159">
        <f>IF(AND(VLOOKUP(CB$1,main!$A$3:$H$102,7,FALSE)=main!$G$104,VLOOKUP(CB$1,main!$A$3:$H$102,5,FALSE)-VLOOKUP($A159,main!$A$3:$H$102,6,FALSE)&gt;=main!$D$103+VLOOKUP(VLOOKUP(CB$1,main!$A$3:$I$102,7,FALSE),main!$K$26:$Q$29,4,FALSE)),1,0)</f>
        <v>0</v>
      </c>
      <c r="CC159">
        <f>IF(AND(VLOOKUP(CC$1,main!$A$3:$H$102,7,FALSE)=main!$G$104,VLOOKUP(CC$1,main!$A$3:$H$102,5,FALSE)-VLOOKUP($A159,main!$A$3:$H$102,6,FALSE)&gt;=main!$D$103+VLOOKUP(VLOOKUP(CC$1,main!$A$3:$I$102,7,FALSE),main!$K$26:$Q$29,4,FALSE)),1,0)</f>
        <v>0</v>
      </c>
      <c r="CD159">
        <f>IF(AND(VLOOKUP(CD$1,main!$A$3:$H$102,7,FALSE)=main!$G$104,VLOOKUP(CD$1,main!$A$3:$H$102,5,FALSE)-VLOOKUP($A159,main!$A$3:$H$102,6,FALSE)&gt;=main!$D$103+VLOOKUP(VLOOKUP(CD$1,main!$A$3:$I$102,7,FALSE),main!$K$26:$Q$29,4,FALSE)),1,0)</f>
        <v>0</v>
      </c>
      <c r="CE159">
        <f>IF(AND(VLOOKUP(CE$1,main!$A$3:$H$102,7,FALSE)=main!$G$104,VLOOKUP(CE$1,main!$A$3:$H$102,5,FALSE)-VLOOKUP($A159,main!$A$3:$H$102,6,FALSE)&gt;=main!$D$103+VLOOKUP(VLOOKUP(CE$1,main!$A$3:$I$102,7,FALSE),main!$K$26:$Q$29,4,FALSE)),1,0)</f>
        <v>0</v>
      </c>
      <c r="CF159">
        <f>IF(AND(VLOOKUP(CF$1,main!$A$3:$H$102,7,FALSE)=main!$G$104,VLOOKUP(CF$1,main!$A$3:$H$102,5,FALSE)-VLOOKUP($A159,main!$A$3:$H$102,6,FALSE)&gt;=main!$D$103+VLOOKUP(VLOOKUP(CF$1,main!$A$3:$I$102,7,FALSE),main!$K$26:$Q$29,4,FALSE)),1,0)</f>
        <v>0</v>
      </c>
      <c r="CG159">
        <f>IF(AND(VLOOKUP(CG$1,main!$A$3:$H$102,7,FALSE)=main!$G$104,VLOOKUP(CG$1,main!$A$3:$H$102,5,FALSE)-VLOOKUP($A159,main!$A$3:$H$102,6,FALSE)&gt;=main!$D$103+VLOOKUP(VLOOKUP(CG$1,main!$A$3:$I$102,7,FALSE),main!$K$26:$Q$29,4,FALSE)),1,0)</f>
        <v>0</v>
      </c>
      <c r="CH159">
        <f>IF(AND(VLOOKUP(CH$1,main!$A$3:$H$102,7,FALSE)=main!$G$104,VLOOKUP(CH$1,main!$A$3:$H$102,5,FALSE)-VLOOKUP($A159,main!$A$3:$H$102,6,FALSE)&gt;=main!$D$103+VLOOKUP(VLOOKUP(CH$1,main!$A$3:$I$102,7,FALSE),main!$K$26:$Q$29,4,FALSE)),1,0)</f>
        <v>0</v>
      </c>
      <c r="CI159">
        <f>IF(AND(VLOOKUP(CI$1,main!$A$3:$H$102,7,FALSE)=main!$G$104,VLOOKUP(CI$1,main!$A$3:$H$102,5,FALSE)-VLOOKUP($A159,main!$A$3:$H$102,6,FALSE)&gt;=main!$D$103+VLOOKUP(VLOOKUP(CI$1,main!$A$3:$I$102,7,FALSE),main!$K$26:$Q$29,4,FALSE)),1,0)</f>
        <v>0</v>
      </c>
      <c r="CJ159">
        <f>IF(AND(VLOOKUP(CJ$1,main!$A$3:$H$102,7,FALSE)=main!$G$104,VLOOKUP(CJ$1,main!$A$3:$H$102,5,FALSE)-VLOOKUP($A159,main!$A$3:$H$102,6,FALSE)&gt;=main!$D$103+VLOOKUP(VLOOKUP(CJ$1,main!$A$3:$I$102,7,FALSE),main!$K$26:$Q$29,4,FALSE)),1,0)</f>
        <v>0</v>
      </c>
      <c r="CK159">
        <f>IF(AND(VLOOKUP(CK$1,main!$A$3:$H$102,7,FALSE)=main!$G$104,VLOOKUP(CK$1,main!$A$3:$H$102,5,FALSE)-VLOOKUP($A159,main!$A$3:$H$102,6,FALSE)&gt;=main!$D$103+VLOOKUP(VLOOKUP(CK$1,main!$A$3:$I$102,7,FALSE),main!$K$26:$Q$29,4,FALSE)),1,0)</f>
        <v>0</v>
      </c>
      <c r="CL159">
        <f>IF(AND(VLOOKUP(CL$1,main!$A$3:$H$102,7,FALSE)=main!$G$104,VLOOKUP(CL$1,main!$A$3:$H$102,5,FALSE)-VLOOKUP($A159,main!$A$3:$H$102,6,FALSE)&gt;=main!$D$103+VLOOKUP(VLOOKUP(CL$1,main!$A$3:$I$102,7,FALSE),main!$K$26:$Q$29,4,FALSE)),1,0)</f>
        <v>0</v>
      </c>
      <c r="CM159">
        <f>IF(AND(VLOOKUP(CM$1,main!$A$3:$H$102,7,FALSE)=main!$G$104,VLOOKUP(CM$1,main!$A$3:$H$102,5,FALSE)-VLOOKUP($A159,main!$A$3:$H$102,6,FALSE)&gt;=main!$D$103+VLOOKUP(VLOOKUP(CM$1,main!$A$3:$I$102,7,FALSE),main!$K$26:$Q$29,4,FALSE)),1,0)</f>
        <v>0</v>
      </c>
      <c r="CN159">
        <f>IF(AND(VLOOKUP(CN$1,main!$A$3:$H$102,7,FALSE)=main!$G$104,VLOOKUP(CN$1,main!$A$3:$H$102,5,FALSE)-VLOOKUP($A159,main!$A$3:$H$102,6,FALSE)&gt;=main!$D$103+VLOOKUP(VLOOKUP(CN$1,main!$A$3:$I$102,7,FALSE),main!$K$26:$Q$29,4,FALSE)),1,0)</f>
        <v>0</v>
      </c>
      <c r="CO159">
        <f>IF(AND(VLOOKUP(CO$1,main!$A$3:$H$102,7,FALSE)=main!$G$104,VLOOKUP(CO$1,main!$A$3:$H$102,5,FALSE)-VLOOKUP($A159,main!$A$3:$H$102,6,FALSE)&gt;=main!$D$103+VLOOKUP(VLOOKUP(CO$1,main!$A$3:$I$102,7,FALSE),main!$K$26:$Q$29,4,FALSE)),1,0)</f>
        <v>0</v>
      </c>
      <c r="CP159">
        <f>IF(AND(VLOOKUP(CP$1,main!$A$3:$H$102,7,FALSE)=main!$G$104,VLOOKUP(CP$1,main!$A$3:$H$102,5,FALSE)-VLOOKUP($A159,main!$A$3:$H$102,6,FALSE)&gt;=main!$D$103+VLOOKUP(VLOOKUP(CP$1,main!$A$3:$I$102,7,FALSE),main!$K$26:$Q$29,4,FALSE)),1,0)</f>
        <v>0</v>
      </c>
      <c r="CQ159">
        <f>IF(AND(VLOOKUP(CQ$1,main!$A$3:$H$102,7,FALSE)=main!$G$104,VLOOKUP(CQ$1,main!$A$3:$H$102,5,FALSE)-VLOOKUP($A159,main!$A$3:$H$102,6,FALSE)&gt;=main!$D$103+VLOOKUP(VLOOKUP(CQ$1,main!$A$3:$I$102,7,FALSE),main!$K$26:$Q$29,4,FALSE)),1,0)</f>
        <v>0</v>
      </c>
      <c r="CR159">
        <f>IF(AND(VLOOKUP(CR$1,main!$A$3:$H$102,7,FALSE)=main!$G$104,VLOOKUP(CR$1,main!$A$3:$H$102,5,FALSE)-VLOOKUP($A159,main!$A$3:$H$102,6,FALSE)&gt;=main!$D$103+VLOOKUP(VLOOKUP(CR$1,main!$A$3:$I$102,7,FALSE),main!$K$26:$Q$29,4,FALSE)),1,0)</f>
        <v>0</v>
      </c>
      <c r="CS159">
        <f>IF(AND(VLOOKUP(CS$1,main!$A$3:$H$102,7,FALSE)=main!$G$104,VLOOKUP(CS$1,main!$A$3:$H$102,5,FALSE)-VLOOKUP($A159,main!$A$3:$H$102,6,FALSE)&gt;=main!$D$103+VLOOKUP(VLOOKUP(CS$1,main!$A$3:$I$102,7,FALSE),main!$K$26:$Q$29,4,FALSE)),1,0)</f>
        <v>0</v>
      </c>
      <c r="CT159">
        <f>IF(AND(VLOOKUP(CT$1,main!$A$3:$H$102,7,FALSE)=main!$G$104,VLOOKUP(CT$1,main!$A$3:$H$102,5,FALSE)-VLOOKUP($A159,main!$A$3:$H$102,6,FALSE)&gt;=main!$D$103+VLOOKUP(VLOOKUP(CT$1,main!$A$3:$I$102,7,FALSE),main!$K$26:$Q$29,4,FALSE)),1,0)</f>
        <v>0</v>
      </c>
      <c r="CU159">
        <f>IF(AND(VLOOKUP(CU$1,main!$A$3:$H$102,7,FALSE)=main!$G$104,VLOOKUP(CU$1,main!$A$3:$H$102,5,FALSE)-VLOOKUP($A159,main!$A$3:$H$102,6,FALSE)&gt;=main!$D$103+VLOOKUP(VLOOKUP(CU$1,main!$A$3:$I$102,7,FALSE),main!$K$26:$Q$29,4,FALSE)),1,0)</f>
        <v>0</v>
      </c>
      <c r="CV159">
        <f>IF(AND(VLOOKUP(CV$1,main!$A$3:$H$102,7,FALSE)=main!$G$104,VLOOKUP(CV$1,main!$A$3:$H$102,5,FALSE)-VLOOKUP($A159,main!$A$3:$H$102,6,FALSE)&gt;=main!$D$103+VLOOKUP(VLOOKUP(CV$1,main!$A$3:$I$102,7,FALSE),main!$K$26:$Q$29,4,FALSE)),1,0)</f>
        <v>0</v>
      </c>
      <c r="CW159">
        <f>IF(AND(VLOOKUP(CW$1,main!$A$3:$H$102,7,FALSE)=main!$G$104,VLOOKUP(CW$1,main!$A$3:$H$102,5,FALSE)-VLOOKUP($A159,main!$A$3:$H$102,6,FALSE)&gt;=main!$D$103+VLOOKUP(VLOOKUP(CW$1,main!$A$3:$I$102,7,FALSE),main!$K$26:$Q$29,4,FALSE)),1,0)</f>
        <v>0</v>
      </c>
      <c r="CX159">
        <f>IF(AND(VLOOKUP(CX$1,main!$A$3:$H$102,7,FALSE)=main!$G$104,VLOOKUP(CX$1,main!$A$3:$H$102,5,FALSE)-VLOOKUP($A159,main!$A$3:$H$102,6,FALSE)&gt;=main!$D$103+VLOOKUP(VLOOKUP(CX$1,main!$A$3:$I$102,7,FALSE),main!$K$26:$Q$29,4,FALSE)),1,0)</f>
        <v>0</v>
      </c>
    </row>
    <row r="160" spans="1:106" x14ac:dyDescent="0.25">
      <c r="A160" s="1">
        <v>57</v>
      </c>
      <c r="B160">
        <v>0</v>
      </c>
      <c r="C160">
        <f>IF(AND(VLOOKUP(C$1,main!$A$3:$H$102,7,FALSE)=main!$G$104,VLOOKUP(C$1,main!$A$3:$H$102,5,FALSE)-VLOOKUP($A160,main!$A$3:$H$102,6,FALSE)&gt;=main!$D$103+VLOOKUP(VLOOKUP(C$1,main!$A$3:$I$102,7,FALSE),main!$K$26:$Q$29,4,FALSE)),1,0)</f>
        <v>0</v>
      </c>
      <c r="D160">
        <f>IF(AND(VLOOKUP(D$1,main!$A$3:$H$102,7,FALSE)=main!$G$104,VLOOKUP(D$1,main!$A$3:$H$102,5,FALSE)-VLOOKUP($A160,main!$A$3:$H$102,6,FALSE)&gt;=main!$D$103+VLOOKUP(VLOOKUP(D$1,main!$A$3:$I$102,7,FALSE),main!$K$26:$Q$29,4,FALSE)),1,0)</f>
        <v>0</v>
      </c>
      <c r="E160">
        <f>IF(AND(VLOOKUP(E$1,main!$A$3:$H$102,7,FALSE)=main!$G$104,VLOOKUP(E$1,main!$A$3:$H$102,5,FALSE)-VLOOKUP($A160,main!$A$3:$H$102,6,FALSE)&gt;=main!$D$103+VLOOKUP(VLOOKUP(E$1,main!$A$3:$I$102,7,FALSE),main!$K$26:$Q$29,4,FALSE)),1,0)</f>
        <v>0</v>
      </c>
      <c r="F160">
        <f>IF(AND(VLOOKUP(F$1,main!$A$3:$H$102,7,FALSE)=main!$G$104,VLOOKUP(F$1,main!$A$3:$H$102,5,FALSE)-VLOOKUP($A160,main!$A$3:$H$102,6,FALSE)&gt;=main!$D$103+VLOOKUP(VLOOKUP(F$1,main!$A$3:$I$102,7,FALSE),main!$K$26:$Q$29,4,FALSE)),1,0)</f>
        <v>0</v>
      </c>
      <c r="G160">
        <f>IF(AND(VLOOKUP(G$1,main!$A$3:$H$102,7,FALSE)=main!$G$104,VLOOKUP(G$1,main!$A$3:$H$102,5,FALSE)-VLOOKUP($A160,main!$A$3:$H$102,6,FALSE)&gt;=main!$D$103+VLOOKUP(VLOOKUP(G$1,main!$A$3:$I$102,7,FALSE),main!$K$26:$Q$29,4,FALSE)),1,0)</f>
        <v>1</v>
      </c>
      <c r="H160">
        <f>IF(AND(VLOOKUP(H$1,main!$A$3:$H$102,7,FALSE)=main!$G$104,VLOOKUP(H$1,main!$A$3:$H$102,5,FALSE)-VLOOKUP($A160,main!$A$3:$H$102,6,FALSE)&gt;=main!$D$103+VLOOKUP(VLOOKUP(H$1,main!$A$3:$I$102,7,FALSE),main!$K$26:$Q$29,4,FALSE)),1,0)</f>
        <v>1</v>
      </c>
      <c r="I160">
        <f>IF(AND(VLOOKUP(I$1,main!$A$3:$H$102,7,FALSE)=main!$G$104,VLOOKUP(I$1,main!$A$3:$H$102,5,FALSE)-VLOOKUP($A160,main!$A$3:$H$102,6,FALSE)&gt;=main!$D$103+VLOOKUP(VLOOKUP(I$1,main!$A$3:$I$102,7,FALSE),main!$K$26:$Q$29,4,FALSE)),1,0)</f>
        <v>1</v>
      </c>
      <c r="J160">
        <f>IF(AND(VLOOKUP(J$1,main!$A$3:$H$102,7,FALSE)=main!$G$104,VLOOKUP(J$1,main!$A$3:$H$102,5,FALSE)-VLOOKUP($A160,main!$A$3:$H$102,6,FALSE)&gt;=main!$D$103+VLOOKUP(VLOOKUP(J$1,main!$A$3:$I$102,7,FALSE),main!$K$26:$Q$29,4,FALSE)),1,0)</f>
        <v>1</v>
      </c>
      <c r="K160">
        <f>IF(AND(VLOOKUP(K$1,main!$A$3:$H$102,7,FALSE)=main!$G$104,VLOOKUP(K$1,main!$A$3:$H$102,5,FALSE)-VLOOKUP($A160,main!$A$3:$H$102,6,FALSE)&gt;=main!$D$103+VLOOKUP(VLOOKUP(K$1,main!$A$3:$I$102,7,FALSE),main!$K$26:$Q$29,4,FALSE)),1,0)</f>
        <v>1</v>
      </c>
      <c r="L160">
        <f>IF(AND(VLOOKUP(L$1,main!$A$3:$H$102,7,FALSE)=main!$G$104,VLOOKUP(L$1,main!$A$3:$H$102,5,FALSE)-VLOOKUP($A160,main!$A$3:$H$102,6,FALSE)&gt;=main!$D$103+VLOOKUP(VLOOKUP(L$1,main!$A$3:$I$102,7,FALSE),main!$K$26:$Q$29,4,FALSE)),1,0)</f>
        <v>1</v>
      </c>
      <c r="M160">
        <f>IF(AND(VLOOKUP(M$1,main!$A$3:$H$102,7,FALSE)=main!$G$104,VLOOKUP(M$1,main!$A$3:$H$102,5,FALSE)-VLOOKUP($A160,main!$A$3:$H$102,6,FALSE)&gt;=main!$D$103+VLOOKUP(VLOOKUP(M$1,main!$A$3:$I$102,7,FALSE),main!$K$26:$Q$29,4,FALSE)),1,0)</f>
        <v>0</v>
      </c>
      <c r="N160">
        <f>IF(AND(VLOOKUP(N$1,main!$A$3:$H$102,7,FALSE)=main!$G$104,VLOOKUP(N$1,main!$A$3:$H$102,5,FALSE)-VLOOKUP($A160,main!$A$3:$H$102,6,FALSE)&gt;=main!$D$103+VLOOKUP(VLOOKUP(N$1,main!$A$3:$I$102,7,FALSE),main!$K$26:$Q$29,4,FALSE)),1,0)</f>
        <v>0</v>
      </c>
      <c r="O160">
        <f>IF(AND(VLOOKUP(O$1,main!$A$3:$H$102,7,FALSE)=main!$G$104,VLOOKUP(O$1,main!$A$3:$H$102,5,FALSE)-VLOOKUP($A160,main!$A$3:$H$102,6,FALSE)&gt;=main!$D$103+VLOOKUP(VLOOKUP(O$1,main!$A$3:$I$102,7,FALSE),main!$K$26:$Q$29,4,FALSE)),1,0)</f>
        <v>0</v>
      </c>
      <c r="P160">
        <f>IF(AND(VLOOKUP(P$1,main!$A$3:$H$102,7,FALSE)=main!$G$104,VLOOKUP(P$1,main!$A$3:$H$102,5,FALSE)-VLOOKUP($A160,main!$A$3:$H$102,6,FALSE)&gt;=main!$D$103+VLOOKUP(VLOOKUP(P$1,main!$A$3:$I$102,7,FALSE),main!$K$26:$Q$29,4,FALSE)),1,0)</f>
        <v>0</v>
      </c>
      <c r="Q160">
        <f>IF(AND(VLOOKUP(Q$1,main!$A$3:$H$102,7,FALSE)=main!$G$104,VLOOKUP(Q$1,main!$A$3:$H$102,5,FALSE)-VLOOKUP($A160,main!$A$3:$H$102,6,FALSE)&gt;=main!$D$103+VLOOKUP(VLOOKUP(Q$1,main!$A$3:$I$102,7,FALSE),main!$K$26:$Q$29,4,FALSE)),1,0)</f>
        <v>0</v>
      </c>
      <c r="R160">
        <f>IF(AND(VLOOKUP(R$1,main!$A$3:$H$102,7,FALSE)=main!$G$104,VLOOKUP(R$1,main!$A$3:$H$102,5,FALSE)-VLOOKUP($A160,main!$A$3:$H$102,6,FALSE)&gt;=main!$D$103+VLOOKUP(VLOOKUP(R$1,main!$A$3:$I$102,7,FALSE),main!$K$26:$Q$29,4,FALSE)),1,0)</f>
        <v>0</v>
      </c>
      <c r="S160">
        <f>IF(AND(VLOOKUP(S$1,main!$A$3:$H$102,7,FALSE)=main!$G$104,VLOOKUP(S$1,main!$A$3:$H$102,5,FALSE)-VLOOKUP($A160,main!$A$3:$H$102,6,FALSE)&gt;=main!$D$103+VLOOKUP(VLOOKUP(S$1,main!$A$3:$I$102,7,FALSE),main!$K$26:$Q$29,4,FALSE)),1,0)</f>
        <v>1</v>
      </c>
      <c r="T160">
        <f>IF(AND(VLOOKUP(T$1,main!$A$3:$H$102,7,FALSE)=main!$G$104,VLOOKUP(T$1,main!$A$3:$H$102,5,FALSE)-VLOOKUP($A160,main!$A$3:$H$102,6,FALSE)&gt;=main!$D$103+VLOOKUP(VLOOKUP(T$1,main!$A$3:$I$102,7,FALSE),main!$K$26:$Q$29,4,FALSE)),1,0)</f>
        <v>1</v>
      </c>
      <c r="U160">
        <f>IF(AND(VLOOKUP(U$1,main!$A$3:$H$102,7,FALSE)=main!$G$104,VLOOKUP(U$1,main!$A$3:$H$102,5,FALSE)-VLOOKUP($A160,main!$A$3:$H$102,6,FALSE)&gt;=main!$D$103+VLOOKUP(VLOOKUP(U$1,main!$A$3:$I$102,7,FALSE),main!$K$26:$Q$29,4,FALSE)),1,0)</f>
        <v>1</v>
      </c>
      <c r="V160">
        <f>IF(AND(VLOOKUP(V$1,main!$A$3:$H$102,7,FALSE)=main!$G$104,VLOOKUP(V$1,main!$A$3:$H$102,5,FALSE)-VLOOKUP($A160,main!$A$3:$H$102,6,FALSE)&gt;=main!$D$103+VLOOKUP(VLOOKUP(V$1,main!$A$3:$I$102,7,FALSE),main!$K$26:$Q$29,4,FALSE)),1,0)</f>
        <v>1</v>
      </c>
      <c r="W160">
        <f>IF(AND(VLOOKUP(W$1,main!$A$3:$H$102,7,FALSE)=main!$G$104,VLOOKUP(W$1,main!$A$3:$H$102,5,FALSE)-VLOOKUP($A160,main!$A$3:$H$102,6,FALSE)&gt;=main!$D$103+VLOOKUP(VLOOKUP(W$1,main!$A$3:$I$102,7,FALSE),main!$K$26:$Q$29,4,FALSE)),1,0)</f>
        <v>0</v>
      </c>
      <c r="X160">
        <f>IF(AND(VLOOKUP(X$1,main!$A$3:$H$102,7,FALSE)=main!$G$104,VLOOKUP(X$1,main!$A$3:$H$102,5,FALSE)-VLOOKUP($A160,main!$A$3:$H$102,6,FALSE)&gt;=main!$D$103+VLOOKUP(VLOOKUP(X$1,main!$A$3:$I$102,7,FALSE),main!$K$26:$Q$29,4,FALSE)),1,0)</f>
        <v>0</v>
      </c>
      <c r="Y160">
        <f>IF(AND(VLOOKUP(Y$1,main!$A$3:$H$102,7,FALSE)=main!$G$104,VLOOKUP(Y$1,main!$A$3:$H$102,5,FALSE)-VLOOKUP($A160,main!$A$3:$H$102,6,FALSE)&gt;=main!$D$103+VLOOKUP(VLOOKUP(Y$1,main!$A$3:$I$102,7,FALSE),main!$K$26:$Q$29,4,FALSE)),1,0)</f>
        <v>0</v>
      </c>
      <c r="Z160">
        <f>IF(AND(VLOOKUP(Z$1,main!$A$3:$H$102,7,FALSE)=main!$G$104,VLOOKUP(Z$1,main!$A$3:$H$102,5,FALSE)-VLOOKUP($A160,main!$A$3:$H$102,6,FALSE)&gt;=main!$D$103+VLOOKUP(VLOOKUP(Z$1,main!$A$3:$I$102,7,FALSE),main!$K$26:$Q$29,4,FALSE)),1,0)</f>
        <v>1</v>
      </c>
      <c r="AA160">
        <f>IF(AND(VLOOKUP(AA$1,main!$A$3:$H$102,7,FALSE)=main!$G$104,VLOOKUP(AA$1,main!$A$3:$H$102,5,FALSE)-VLOOKUP($A160,main!$A$3:$H$102,6,FALSE)&gt;=main!$D$103+VLOOKUP(VLOOKUP(AA$1,main!$A$3:$I$102,7,FALSE),main!$K$26:$Q$29,4,FALSE)),1,0)</f>
        <v>1</v>
      </c>
      <c r="AB160">
        <f>IF(AND(VLOOKUP(AB$1,main!$A$3:$H$102,7,FALSE)=main!$G$104,VLOOKUP(AB$1,main!$A$3:$H$102,5,FALSE)-VLOOKUP($A160,main!$A$3:$H$102,6,FALSE)&gt;=main!$D$103+VLOOKUP(VLOOKUP(AB$1,main!$A$3:$I$102,7,FALSE),main!$K$26:$Q$29,4,FALSE)),1,0)</f>
        <v>0</v>
      </c>
      <c r="AC160">
        <f>IF(AND(VLOOKUP(AC$1,main!$A$3:$H$102,7,FALSE)=main!$G$104,VLOOKUP(AC$1,main!$A$3:$H$102,5,FALSE)-VLOOKUP($A160,main!$A$3:$H$102,6,FALSE)&gt;=main!$D$103+VLOOKUP(VLOOKUP(AC$1,main!$A$3:$I$102,7,FALSE),main!$K$26:$Q$29,4,FALSE)),1,0)</f>
        <v>0</v>
      </c>
      <c r="AD160">
        <f>IF(AND(VLOOKUP(AD$1,main!$A$3:$H$102,7,FALSE)=main!$G$104,VLOOKUP(AD$1,main!$A$3:$H$102,5,FALSE)-VLOOKUP($A160,main!$A$3:$H$102,6,FALSE)&gt;=main!$D$103+VLOOKUP(VLOOKUP(AD$1,main!$A$3:$I$102,7,FALSE),main!$K$26:$Q$29,4,FALSE)),1,0)</f>
        <v>0</v>
      </c>
      <c r="AE160">
        <f>IF(AND(VLOOKUP(AE$1,main!$A$3:$H$102,7,FALSE)=main!$G$104,VLOOKUP(AE$1,main!$A$3:$H$102,5,FALSE)-VLOOKUP($A160,main!$A$3:$H$102,6,FALSE)&gt;=main!$D$103+VLOOKUP(VLOOKUP(AE$1,main!$A$3:$I$102,7,FALSE),main!$K$26:$Q$29,4,FALSE)),1,0)</f>
        <v>1</v>
      </c>
      <c r="AF160">
        <f>IF(AND(VLOOKUP(AF$1,main!$A$3:$H$102,7,FALSE)=main!$G$104,VLOOKUP(AF$1,main!$A$3:$H$102,5,FALSE)-VLOOKUP($A160,main!$A$3:$H$102,6,FALSE)&gt;=main!$D$103+VLOOKUP(VLOOKUP(AF$1,main!$A$3:$I$102,7,FALSE),main!$K$26:$Q$29,4,FALSE)),1,0)</f>
        <v>1</v>
      </c>
      <c r="AG160">
        <f>IF(AND(VLOOKUP(AG$1,main!$A$3:$H$102,7,FALSE)=main!$G$104,VLOOKUP(AG$1,main!$A$3:$H$102,5,FALSE)-VLOOKUP($A160,main!$A$3:$H$102,6,FALSE)&gt;=main!$D$103+VLOOKUP(VLOOKUP(AG$1,main!$A$3:$I$102,7,FALSE),main!$K$26:$Q$29,4,FALSE)),1,0)</f>
        <v>0</v>
      </c>
      <c r="AH160">
        <f>IF(AND(VLOOKUP(AH$1,main!$A$3:$H$102,7,FALSE)=main!$G$104,VLOOKUP(AH$1,main!$A$3:$H$102,5,FALSE)-VLOOKUP($A160,main!$A$3:$H$102,6,FALSE)&gt;=main!$D$103+VLOOKUP(VLOOKUP(AH$1,main!$A$3:$I$102,7,FALSE),main!$K$26:$Q$29,4,FALSE)),1,0)</f>
        <v>0</v>
      </c>
      <c r="AI160">
        <f>IF(AND(VLOOKUP(AI$1,main!$A$3:$H$102,7,FALSE)=main!$G$104,VLOOKUP(AI$1,main!$A$3:$H$102,5,FALSE)-VLOOKUP($A160,main!$A$3:$H$102,6,FALSE)&gt;=main!$D$103+VLOOKUP(VLOOKUP(AI$1,main!$A$3:$I$102,7,FALSE),main!$K$26:$Q$29,4,FALSE)),1,0)</f>
        <v>0</v>
      </c>
      <c r="AJ160">
        <f>IF(AND(VLOOKUP(AJ$1,main!$A$3:$H$102,7,FALSE)=main!$G$104,VLOOKUP(AJ$1,main!$A$3:$H$102,5,FALSE)-VLOOKUP($A160,main!$A$3:$H$102,6,FALSE)&gt;=main!$D$103+VLOOKUP(VLOOKUP(AJ$1,main!$A$3:$I$102,7,FALSE),main!$K$26:$Q$29,4,FALSE)),1,0)</f>
        <v>0</v>
      </c>
      <c r="AK160">
        <f>IF(AND(VLOOKUP(AK$1,main!$A$3:$H$102,7,FALSE)=main!$G$104,VLOOKUP(AK$1,main!$A$3:$H$102,5,FALSE)-VLOOKUP($A160,main!$A$3:$H$102,6,FALSE)&gt;=main!$D$103+VLOOKUP(VLOOKUP(AK$1,main!$A$3:$I$102,7,FALSE),main!$K$26:$Q$29,4,FALSE)),1,0)</f>
        <v>0</v>
      </c>
      <c r="AL160">
        <f>IF(AND(VLOOKUP(AL$1,main!$A$3:$H$102,7,FALSE)=main!$G$104,VLOOKUP(AL$1,main!$A$3:$H$102,5,FALSE)-VLOOKUP($A160,main!$A$3:$H$102,6,FALSE)&gt;=main!$D$103+VLOOKUP(VLOOKUP(AL$1,main!$A$3:$I$102,7,FALSE),main!$K$26:$Q$29,4,FALSE)),1,0)</f>
        <v>0</v>
      </c>
      <c r="AM160">
        <f>IF(AND(VLOOKUP(AM$1,main!$A$3:$H$102,7,FALSE)=main!$G$104,VLOOKUP(AM$1,main!$A$3:$H$102,5,FALSE)-VLOOKUP($A160,main!$A$3:$H$102,6,FALSE)&gt;=main!$D$103+VLOOKUP(VLOOKUP(AM$1,main!$A$3:$I$102,7,FALSE),main!$K$26:$Q$29,4,FALSE)),1,0)</f>
        <v>0</v>
      </c>
      <c r="AN160">
        <f>IF(AND(VLOOKUP(AN$1,main!$A$3:$H$102,7,FALSE)=main!$G$104,VLOOKUP(AN$1,main!$A$3:$H$102,5,FALSE)-VLOOKUP($A160,main!$A$3:$H$102,6,FALSE)&gt;=main!$D$103+VLOOKUP(VLOOKUP(AN$1,main!$A$3:$I$102,7,FALSE),main!$K$26:$Q$29,4,FALSE)),1,0)</f>
        <v>0</v>
      </c>
      <c r="AO160">
        <f>IF(AND(VLOOKUP(AO$1,main!$A$3:$H$102,7,FALSE)=main!$G$104,VLOOKUP(AO$1,main!$A$3:$H$102,5,FALSE)-VLOOKUP($A160,main!$A$3:$H$102,6,FALSE)&gt;=main!$D$103+VLOOKUP(VLOOKUP(AO$1,main!$A$3:$I$102,7,FALSE),main!$K$26:$Q$29,4,FALSE)),1,0)</f>
        <v>0</v>
      </c>
      <c r="AP160">
        <f>IF(AND(VLOOKUP(AP$1,main!$A$3:$H$102,7,FALSE)=main!$G$104,VLOOKUP(AP$1,main!$A$3:$H$102,5,FALSE)-VLOOKUP($A160,main!$A$3:$H$102,6,FALSE)&gt;=main!$D$103+VLOOKUP(VLOOKUP(AP$1,main!$A$3:$I$102,7,FALSE),main!$K$26:$Q$29,4,FALSE)),1,0)</f>
        <v>0</v>
      </c>
      <c r="AQ160">
        <f>IF(AND(VLOOKUP(AQ$1,main!$A$3:$H$102,7,FALSE)=main!$G$104,VLOOKUP(AQ$1,main!$A$3:$H$102,5,FALSE)-VLOOKUP($A160,main!$A$3:$H$102,6,FALSE)&gt;=main!$D$103+VLOOKUP(VLOOKUP(AQ$1,main!$A$3:$I$102,7,FALSE),main!$K$26:$Q$29,4,FALSE)),1,0)</f>
        <v>0</v>
      </c>
      <c r="AR160">
        <f>IF(AND(VLOOKUP(AR$1,main!$A$3:$H$102,7,FALSE)=main!$G$104,VLOOKUP(AR$1,main!$A$3:$H$102,5,FALSE)-VLOOKUP($A160,main!$A$3:$H$102,6,FALSE)&gt;=main!$D$103+VLOOKUP(VLOOKUP(AR$1,main!$A$3:$I$102,7,FALSE),main!$K$26:$Q$29,4,FALSE)),1,0)</f>
        <v>0</v>
      </c>
      <c r="AS160">
        <f>IF(AND(VLOOKUP(AS$1,main!$A$3:$H$102,7,FALSE)=main!$G$104,VLOOKUP(AS$1,main!$A$3:$H$102,5,FALSE)-VLOOKUP($A160,main!$A$3:$H$102,6,FALSE)&gt;=main!$D$103+VLOOKUP(VLOOKUP(AS$1,main!$A$3:$I$102,7,FALSE),main!$K$26:$Q$29,4,FALSE)),1,0)</f>
        <v>0</v>
      </c>
      <c r="AT160">
        <f>IF(AND(VLOOKUP(AT$1,main!$A$3:$H$102,7,FALSE)=main!$G$104,VLOOKUP(AT$1,main!$A$3:$H$102,5,FALSE)-VLOOKUP($A160,main!$A$3:$H$102,6,FALSE)&gt;=main!$D$103+VLOOKUP(VLOOKUP(AT$1,main!$A$3:$I$102,7,FALSE),main!$K$26:$Q$29,4,FALSE)),1,0)</f>
        <v>0</v>
      </c>
      <c r="AU160">
        <f>IF(AND(VLOOKUP(AU$1,main!$A$3:$H$102,7,FALSE)=main!$G$104,VLOOKUP(AU$1,main!$A$3:$H$102,5,FALSE)-VLOOKUP($A160,main!$A$3:$H$102,6,FALSE)&gt;=main!$D$103+VLOOKUP(VLOOKUP(AU$1,main!$A$3:$I$102,7,FALSE),main!$K$26:$Q$29,4,FALSE)),1,0)</f>
        <v>0</v>
      </c>
      <c r="AV160">
        <f>IF(AND(VLOOKUP(AV$1,main!$A$3:$H$102,7,FALSE)=main!$G$104,VLOOKUP(AV$1,main!$A$3:$H$102,5,FALSE)-VLOOKUP($A160,main!$A$3:$H$102,6,FALSE)&gt;=main!$D$103+VLOOKUP(VLOOKUP(AV$1,main!$A$3:$I$102,7,FALSE),main!$K$26:$Q$29,4,FALSE)),1,0)</f>
        <v>0</v>
      </c>
      <c r="AW160">
        <f>IF(AND(VLOOKUP(AW$1,main!$A$3:$H$102,7,FALSE)=main!$G$104,VLOOKUP(AW$1,main!$A$3:$H$102,5,FALSE)-VLOOKUP($A160,main!$A$3:$H$102,6,FALSE)&gt;=main!$D$103+VLOOKUP(VLOOKUP(AW$1,main!$A$3:$I$102,7,FALSE),main!$K$26:$Q$29,4,FALSE)),1,0)</f>
        <v>0</v>
      </c>
      <c r="AX160">
        <f>IF(AND(VLOOKUP(AX$1,main!$A$3:$H$102,7,FALSE)=main!$G$104,VLOOKUP(AX$1,main!$A$3:$H$102,5,FALSE)-VLOOKUP($A160,main!$A$3:$H$102,6,FALSE)&gt;=main!$D$103+VLOOKUP(VLOOKUP(AX$1,main!$A$3:$I$102,7,FALSE),main!$K$26:$Q$29,4,FALSE)),1,0)</f>
        <v>0</v>
      </c>
      <c r="AY160">
        <f>IF(AND(VLOOKUP(AY$1,main!$A$3:$H$102,7,FALSE)=main!$G$104,VLOOKUP(AY$1,main!$A$3:$H$102,5,FALSE)-VLOOKUP($A160,main!$A$3:$H$102,6,FALSE)&gt;=main!$D$103+VLOOKUP(VLOOKUP(AY$1,main!$A$3:$I$102,7,FALSE),main!$K$26:$Q$29,4,FALSE)),1,0)</f>
        <v>0</v>
      </c>
      <c r="AZ160">
        <f>IF(AND(VLOOKUP(AZ$1,main!$A$3:$H$102,7,FALSE)=main!$G$104,VLOOKUP(AZ$1,main!$A$3:$H$102,5,FALSE)-VLOOKUP($A160,main!$A$3:$H$102,6,FALSE)&gt;=main!$D$103+VLOOKUP(VLOOKUP(AZ$1,main!$A$3:$I$102,7,FALSE),main!$K$26:$Q$29,4,FALSE)),1,0)</f>
        <v>0</v>
      </c>
      <c r="BA160">
        <f>IF(AND(VLOOKUP(BA$1,main!$A$3:$H$102,7,FALSE)=main!$G$104,VLOOKUP(BA$1,main!$A$3:$H$102,5,FALSE)-VLOOKUP($A160,main!$A$3:$H$102,6,FALSE)&gt;=main!$D$103+VLOOKUP(VLOOKUP(BA$1,main!$A$3:$I$102,7,FALSE),main!$K$26:$Q$29,4,FALSE)),1,0)</f>
        <v>0</v>
      </c>
      <c r="BB160">
        <f>IF(AND(VLOOKUP(BB$1,main!$A$3:$H$102,7,FALSE)=main!$G$104,VLOOKUP(BB$1,main!$A$3:$H$102,5,FALSE)-VLOOKUP($A160,main!$A$3:$H$102,6,FALSE)&gt;=main!$D$103+VLOOKUP(VLOOKUP(BB$1,main!$A$3:$I$102,7,FALSE),main!$K$26:$Q$29,4,FALSE)),1,0)</f>
        <v>0</v>
      </c>
      <c r="BC160">
        <f>IF(AND(VLOOKUP(BC$1,main!$A$3:$H$102,7,FALSE)=main!$G$104,VLOOKUP(BC$1,main!$A$3:$H$102,5,FALSE)-VLOOKUP($A160,main!$A$3:$H$102,6,FALSE)&gt;=main!$D$103+VLOOKUP(VLOOKUP(BC$1,main!$A$3:$I$102,7,FALSE),main!$K$26:$Q$29,4,FALSE)),1,0)</f>
        <v>0</v>
      </c>
      <c r="BD160">
        <f>IF(AND(VLOOKUP(BD$1,main!$A$3:$H$102,7,FALSE)=main!$G$104,VLOOKUP(BD$1,main!$A$3:$H$102,5,FALSE)-VLOOKUP($A160,main!$A$3:$H$102,6,FALSE)&gt;=main!$D$103+VLOOKUP(VLOOKUP(BD$1,main!$A$3:$I$102,7,FALSE),main!$K$26:$Q$29,4,FALSE)),1,0)</f>
        <v>0</v>
      </c>
      <c r="BE160">
        <f>IF(AND(VLOOKUP(BE$1,main!$A$3:$H$102,7,FALSE)=main!$G$104,VLOOKUP(BE$1,main!$A$3:$H$102,5,FALSE)-VLOOKUP($A160,main!$A$3:$H$102,6,FALSE)&gt;=main!$D$103+VLOOKUP(VLOOKUP(BE$1,main!$A$3:$I$102,7,FALSE),main!$K$26:$Q$29,4,FALSE)),1,0)</f>
        <v>0</v>
      </c>
      <c r="BF160">
        <f>IF(AND(VLOOKUP(BF$1,main!$A$3:$H$102,7,FALSE)=main!$G$104,VLOOKUP(BF$1,main!$A$3:$H$102,5,FALSE)-VLOOKUP($A160,main!$A$3:$H$102,6,FALSE)&gt;=main!$D$103+VLOOKUP(VLOOKUP(BF$1,main!$A$3:$I$102,7,FALSE),main!$K$26:$Q$29,4,FALSE)),1,0)</f>
        <v>0</v>
      </c>
      <c r="BG160">
        <f>IF(AND(VLOOKUP(BG$1,main!$A$3:$H$102,7,FALSE)=main!$G$104,VLOOKUP(BG$1,main!$A$3:$H$102,5,FALSE)-VLOOKUP($A160,main!$A$3:$H$102,6,FALSE)&gt;=main!$D$103+VLOOKUP(VLOOKUP(BG$1,main!$A$3:$I$102,7,FALSE),main!$K$26:$Q$29,4,FALSE)),1,0)</f>
        <v>0</v>
      </c>
      <c r="BH160">
        <f>IF(AND(VLOOKUP(BH$1,main!$A$3:$H$102,7,FALSE)=main!$G$104,VLOOKUP(BH$1,main!$A$3:$H$102,5,FALSE)-VLOOKUP($A160,main!$A$3:$H$102,6,FALSE)&gt;=main!$D$103+VLOOKUP(VLOOKUP(BH$1,main!$A$3:$I$102,7,FALSE),main!$K$26:$Q$29,4,FALSE)),1,0)</f>
        <v>0</v>
      </c>
      <c r="BI160">
        <f>IF(AND(VLOOKUP(BI$1,main!$A$3:$H$102,7,FALSE)=main!$G$104,VLOOKUP(BI$1,main!$A$3:$H$102,5,FALSE)-VLOOKUP($A160,main!$A$3:$H$102,6,FALSE)&gt;=main!$D$103+VLOOKUP(VLOOKUP(BI$1,main!$A$3:$I$102,7,FALSE),main!$K$26:$Q$29,4,FALSE)),1,0)</f>
        <v>0</v>
      </c>
      <c r="BJ160">
        <f>IF(AND(VLOOKUP(BJ$1,main!$A$3:$H$102,7,FALSE)=main!$G$104,VLOOKUP(BJ$1,main!$A$3:$H$102,5,FALSE)-VLOOKUP($A160,main!$A$3:$H$102,6,FALSE)&gt;=main!$D$103+VLOOKUP(VLOOKUP(BJ$1,main!$A$3:$I$102,7,FALSE),main!$K$26:$Q$29,4,FALSE)),1,0)</f>
        <v>0</v>
      </c>
      <c r="BK160">
        <f>IF(AND(VLOOKUP(BK$1,main!$A$3:$H$102,7,FALSE)=main!$G$104,VLOOKUP(BK$1,main!$A$3:$H$102,5,FALSE)-VLOOKUP($A160,main!$A$3:$H$102,6,FALSE)&gt;=main!$D$103+VLOOKUP(VLOOKUP(BK$1,main!$A$3:$I$102,7,FALSE),main!$K$26:$Q$29,4,FALSE)),1,0)</f>
        <v>0</v>
      </c>
      <c r="BL160">
        <f>IF(AND(VLOOKUP(BL$1,main!$A$3:$H$102,7,FALSE)=main!$G$104,VLOOKUP(BL$1,main!$A$3:$H$102,5,FALSE)-VLOOKUP($A160,main!$A$3:$H$102,6,FALSE)&gt;=main!$D$103+VLOOKUP(VLOOKUP(BL$1,main!$A$3:$I$102,7,FALSE),main!$K$26:$Q$29,4,FALSE)),1,0)</f>
        <v>0</v>
      </c>
      <c r="BM160">
        <f>IF(AND(VLOOKUP(BM$1,main!$A$3:$H$102,7,FALSE)=main!$G$104,VLOOKUP(BM$1,main!$A$3:$H$102,5,FALSE)-VLOOKUP($A160,main!$A$3:$H$102,6,FALSE)&gt;=main!$D$103+VLOOKUP(VLOOKUP(BM$1,main!$A$3:$I$102,7,FALSE),main!$K$26:$Q$29,4,FALSE)),1,0)</f>
        <v>0</v>
      </c>
      <c r="BN160">
        <f>IF(AND(VLOOKUP(BN$1,main!$A$3:$H$102,7,FALSE)=main!$G$104,VLOOKUP(BN$1,main!$A$3:$H$102,5,FALSE)-VLOOKUP($A160,main!$A$3:$H$102,6,FALSE)&gt;=main!$D$103+VLOOKUP(VLOOKUP(BN$1,main!$A$3:$I$102,7,FALSE),main!$K$26:$Q$29,4,FALSE)),1,0)</f>
        <v>0</v>
      </c>
      <c r="BO160">
        <f>IF(AND(VLOOKUP(BO$1,main!$A$3:$H$102,7,FALSE)=main!$G$104,VLOOKUP(BO$1,main!$A$3:$H$102,5,FALSE)-VLOOKUP($A160,main!$A$3:$H$102,6,FALSE)&gt;=main!$D$103+VLOOKUP(VLOOKUP(BO$1,main!$A$3:$I$102,7,FALSE),main!$K$26:$Q$29,4,FALSE)),1,0)</f>
        <v>0</v>
      </c>
      <c r="BP160">
        <f>IF(AND(VLOOKUP(BP$1,main!$A$3:$H$102,7,FALSE)=main!$G$104,VLOOKUP(BP$1,main!$A$3:$H$102,5,FALSE)-VLOOKUP($A160,main!$A$3:$H$102,6,FALSE)&gt;=main!$D$103+VLOOKUP(VLOOKUP(BP$1,main!$A$3:$I$102,7,FALSE),main!$K$26:$Q$29,4,FALSE)),1,0)</f>
        <v>0</v>
      </c>
      <c r="BQ160">
        <f>IF(AND(VLOOKUP(BQ$1,main!$A$3:$H$102,7,FALSE)=main!$G$104,VLOOKUP(BQ$1,main!$A$3:$H$102,5,FALSE)-VLOOKUP($A160,main!$A$3:$H$102,6,FALSE)&gt;=main!$D$103+VLOOKUP(VLOOKUP(BQ$1,main!$A$3:$I$102,7,FALSE),main!$K$26:$Q$29,4,FALSE)),1,0)</f>
        <v>0</v>
      </c>
      <c r="BR160">
        <f>IF(AND(VLOOKUP(BR$1,main!$A$3:$H$102,7,FALSE)=main!$G$104,VLOOKUP(BR$1,main!$A$3:$H$102,5,FALSE)-VLOOKUP($A160,main!$A$3:$H$102,6,FALSE)&gt;=main!$D$103+VLOOKUP(VLOOKUP(BR$1,main!$A$3:$I$102,7,FALSE),main!$K$26:$Q$29,4,FALSE)),1,0)</f>
        <v>0</v>
      </c>
      <c r="BS160">
        <f>IF(AND(VLOOKUP(BS$1,main!$A$3:$H$102,7,FALSE)=main!$G$104,VLOOKUP(BS$1,main!$A$3:$H$102,5,FALSE)-VLOOKUP($A160,main!$A$3:$H$102,6,FALSE)&gt;=main!$D$103+VLOOKUP(VLOOKUP(BS$1,main!$A$3:$I$102,7,FALSE),main!$K$26:$Q$29,4,FALSE)),1,0)</f>
        <v>0</v>
      </c>
      <c r="BT160">
        <f>IF(AND(VLOOKUP(BT$1,main!$A$3:$H$102,7,FALSE)=main!$G$104,VLOOKUP(BT$1,main!$A$3:$H$102,5,FALSE)-VLOOKUP($A160,main!$A$3:$H$102,6,FALSE)&gt;=main!$D$103+VLOOKUP(VLOOKUP(BT$1,main!$A$3:$I$102,7,FALSE),main!$K$26:$Q$29,4,FALSE)),1,0)</f>
        <v>0</v>
      </c>
      <c r="BU160">
        <f>IF(AND(VLOOKUP(BU$1,main!$A$3:$H$102,7,FALSE)=main!$G$104,VLOOKUP(BU$1,main!$A$3:$H$102,5,FALSE)-VLOOKUP($A160,main!$A$3:$H$102,6,FALSE)&gt;=main!$D$103+VLOOKUP(VLOOKUP(BU$1,main!$A$3:$I$102,7,FALSE),main!$K$26:$Q$29,4,FALSE)),1,0)</f>
        <v>0</v>
      </c>
      <c r="BV160">
        <f>IF(AND(VLOOKUP(BV$1,main!$A$3:$H$102,7,FALSE)=main!$G$104,VLOOKUP(BV$1,main!$A$3:$H$102,5,FALSE)-VLOOKUP($A160,main!$A$3:$H$102,6,FALSE)&gt;=main!$D$103+VLOOKUP(VLOOKUP(BV$1,main!$A$3:$I$102,7,FALSE),main!$K$26:$Q$29,4,FALSE)),1,0)</f>
        <v>0</v>
      </c>
      <c r="BW160">
        <f>IF(AND(VLOOKUP(BW$1,main!$A$3:$H$102,7,FALSE)=main!$G$104,VLOOKUP(BW$1,main!$A$3:$H$102,5,FALSE)-VLOOKUP($A160,main!$A$3:$H$102,6,FALSE)&gt;=main!$D$103+VLOOKUP(VLOOKUP(BW$1,main!$A$3:$I$102,7,FALSE),main!$K$26:$Q$29,4,FALSE)),1,0)</f>
        <v>0</v>
      </c>
      <c r="BX160">
        <f>IF(AND(VLOOKUP(BX$1,main!$A$3:$H$102,7,FALSE)=main!$G$104,VLOOKUP(BX$1,main!$A$3:$H$102,5,FALSE)-VLOOKUP($A160,main!$A$3:$H$102,6,FALSE)&gt;=main!$D$103+VLOOKUP(VLOOKUP(BX$1,main!$A$3:$I$102,7,FALSE),main!$K$26:$Q$29,4,FALSE)),1,0)</f>
        <v>0</v>
      </c>
      <c r="BY160">
        <f>IF(AND(VLOOKUP(BY$1,main!$A$3:$H$102,7,FALSE)=main!$G$104,VLOOKUP(BY$1,main!$A$3:$H$102,5,FALSE)-VLOOKUP($A160,main!$A$3:$H$102,6,FALSE)&gt;=main!$D$103+VLOOKUP(VLOOKUP(BY$1,main!$A$3:$I$102,7,FALSE),main!$K$26:$Q$29,4,FALSE)),1,0)</f>
        <v>0</v>
      </c>
      <c r="BZ160">
        <f>IF(AND(VLOOKUP(BZ$1,main!$A$3:$H$102,7,FALSE)=main!$G$104,VLOOKUP(BZ$1,main!$A$3:$H$102,5,FALSE)-VLOOKUP($A160,main!$A$3:$H$102,6,FALSE)&gt;=main!$D$103+VLOOKUP(VLOOKUP(BZ$1,main!$A$3:$I$102,7,FALSE),main!$K$26:$Q$29,4,FALSE)),1,0)</f>
        <v>0</v>
      </c>
      <c r="CA160">
        <f>IF(AND(VLOOKUP(CA$1,main!$A$3:$H$102,7,FALSE)=main!$G$104,VLOOKUP(CA$1,main!$A$3:$H$102,5,FALSE)-VLOOKUP($A160,main!$A$3:$H$102,6,FALSE)&gt;=main!$D$103+VLOOKUP(VLOOKUP(CA$1,main!$A$3:$I$102,7,FALSE),main!$K$26:$Q$29,4,FALSE)),1,0)</f>
        <v>0</v>
      </c>
      <c r="CB160">
        <f>IF(AND(VLOOKUP(CB$1,main!$A$3:$H$102,7,FALSE)=main!$G$104,VLOOKUP(CB$1,main!$A$3:$H$102,5,FALSE)-VLOOKUP($A160,main!$A$3:$H$102,6,FALSE)&gt;=main!$D$103+VLOOKUP(VLOOKUP(CB$1,main!$A$3:$I$102,7,FALSE),main!$K$26:$Q$29,4,FALSE)),1,0)</f>
        <v>0</v>
      </c>
      <c r="CC160">
        <f>IF(AND(VLOOKUP(CC$1,main!$A$3:$H$102,7,FALSE)=main!$G$104,VLOOKUP(CC$1,main!$A$3:$H$102,5,FALSE)-VLOOKUP($A160,main!$A$3:$H$102,6,FALSE)&gt;=main!$D$103+VLOOKUP(VLOOKUP(CC$1,main!$A$3:$I$102,7,FALSE),main!$K$26:$Q$29,4,FALSE)),1,0)</f>
        <v>0</v>
      </c>
      <c r="CD160">
        <f>IF(AND(VLOOKUP(CD$1,main!$A$3:$H$102,7,FALSE)=main!$G$104,VLOOKUP(CD$1,main!$A$3:$H$102,5,FALSE)-VLOOKUP($A160,main!$A$3:$H$102,6,FALSE)&gt;=main!$D$103+VLOOKUP(VLOOKUP(CD$1,main!$A$3:$I$102,7,FALSE),main!$K$26:$Q$29,4,FALSE)),1,0)</f>
        <v>0</v>
      </c>
      <c r="CE160">
        <f>IF(AND(VLOOKUP(CE$1,main!$A$3:$H$102,7,FALSE)=main!$G$104,VLOOKUP(CE$1,main!$A$3:$H$102,5,FALSE)-VLOOKUP($A160,main!$A$3:$H$102,6,FALSE)&gt;=main!$D$103+VLOOKUP(VLOOKUP(CE$1,main!$A$3:$I$102,7,FALSE),main!$K$26:$Q$29,4,FALSE)),1,0)</f>
        <v>0</v>
      </c>
      <c r="CF160">
        <f>IF(AND(VLOOKUP(CF$1,main!$A$3:$H$102,7,FALSE)=main!$G$104,VLOOKUP(CF$1,main!$A$3:$H$102,5,FALSE)-VLOOKUP($A160,main!$A$3:$H$102,6,FALSE)&gt;=main!$D$103+VLOOKUP(VLOOKUP(CF$1,main!$A$3:$I$102,7,FALSE),main!$K$26:$Q$29,4,FALSE)),1,0)</f>
        <v>0</v>
      </c>
      <c r="CG160">
        <f>IF(AND(VLOOKUP(CG$1,main!$A$3:$H$102,7,FALSE)=main!$G$104,VLOOKUP(CG$1,main!$A$3:$H$102,5,FALSE)-VLOOKUP($A160,main!$A$3:$H$102,6,FALSE)&gt;=main!$D$103+VLOOKUP(VLOOKUP(CG$1,main!$A$3:$I$102,7,FALSE),main!$K$26:$Q$29,4,FALSE)),1,0)</f>
        <v>0</v>
      </c>
      <c r="CH160">
        <f>IF(AND(VLOOKUP(CH$1,main!$A$3:$H$102,7,FALSE)=main!$G$104,VLOOKUP(CH$1,main!$A$3:$H$102,5,FALSE)-VLOOKUP($A160,main!$A$3:$H$102,6,FALSE)&gt;=main!$D$103+VLOOKUP(VLOOKUP(CH$1,main!$A$3:$I$102,7,FALSE),main!$K$26:$Q$29,4,FALSE)),1,0)</f>
        <v>0</v>
      </c>
      <c r="CI160">
        <f>IF(AND(VLOOKUP(CI$1,main!$A$3:$H$102,7,FALSE)=main!$G$104,VLOOKUP(CI$1,main!$A$3:$H$102,5,FALSE)-VLOOKUP($A160,main!$A$3:$H$102,6,FALSE)&gt;=main!$D$103+VLOOKUP(VLOOKUP(CI$1,main!$A$3:$I$102,7,FALSE),main!$K$26:$Q$29,4,FALSE)),1,0)</f>
        <v>0</v>
      </c>
      <c r="CJ160">
        <f>IF(AND(VLOOKUP(CJ$1,main!$A$3:$H$102,7,FALSE)=main!$G$104,VLOOKUP(CJ$1,main!$A$3:$H$102,5,FALSE)-VLOOKUP($A160,main!$A$3:$H$102,6,FALSE)&gt;=main!$D$103+VLOOKUP(VLOOKUP(CJ$1,main!$A$3:$I$102,7,FALSE),main!$K$26:$Q$29,4,FALSE)),1,0)</f>
        <v>0</v>
      </c>
      <c r="CK160">
        <f>IF(AND(VLOOKUP(CK$1,main!$A$3:$H$102,7,FALSE)=main!$G$104,VLOOKUP(CK$1,main!$A$3:$H$102,5,FALSE)-VLOOKUP($A160,main!$A$3:$H$102,6,FALSE)&gt;=main!$D$103+VLOOKUP(VLOOKUP(CK$1,main!$A$3:$I$102,7,FALSE),main!$K$26:$Q$29,4,FALSE)),1,0)</f>
        <v>0</v>
      </c>
      <c r="CL160">
        <f>IF(AND(VLOOKUP(CL$1,main!$A$3:$H$102,7,FALSE)=main!$G$104,VLOOKUP(CL$1,main!$A$3:$H$102,5,FALSE)-VLOOKUP($A160,main!$A$3:$H$102,6,FALSE)&gt;=main!$D$103+VLOOKUP(VLOOKUP(CL$1,main!$A$3:$I$102,7,FALSE),main!$K$26:$Q$29,4,FALSE)),1,0)</f>
        <v>0</v>
      </c>
      <c r="CM160">
        <f>IF(AND(VLOOKUP(CM$1,main!$A$3:$H$102,7,FALSE)=main!$G$104,VLOOKUP(CM$1,main!$A$3:$H$102,5,FALSE)-VLOOKUP($A160,main!$A$3:$H$102,6,FALSE)&gt;=main!$D$103+VLOOKUP(VLOOKUP(CM$1,main!$A$3:$I$102,7,FALSE),main!$K$26:$Q$29,4,FALSE)),1,0)</f>
        <v>0</v>
      </c>
      <c r="CN160">
        <f>IF(AND(VLOOKUP(CN$1,main!$A$3:$H$102,7,FALSE)=main!$G$104,VLOOKUP(CN$1,main!$A$3:$H$102,5,FALSE)-VLOOKUP($A160,main!$A$3:$H$102,6,FALSE)&gt;=main!$D$103+VLOOKUP(VLOOKUP(CN$1,main!$A$3:$I$102,7,FALSE),main!$K$26:$Q$29,4,FALSE)),1,0)</f>
        <v>0</v>
      </c>
      <c r="CO160">
        <f>IF(AND(VLOOKUP(CO$1,main!$A$3:$H$102,7,FALSE)=main!$G$104,VLOOKUP(CO$1,main!$A$3:$H$102,5,FALSE)-VLOOKUP($A160,main!$A$3:$H$102,6,FALSE)&gt;=main!$D$103+VLOOKUP(VLOOKUP(CO$1,main!$A$3:$I$102,7,FALSE),main!$K$26:$Q$29,4,FALSE)),1,0)</f>
        <v>0</v>
      </c>
      <c r="CP160">
        <f>IF(AND(VLOOKUP(CP$1,main!$A$3:$H$102,7,FALSE)=main!$G$104,VLOOKUP(CP$1,main!$A$3:$H$102,5,FALSE)-VLOOKUP($A160,main!$A$3:$H$102,6,FALSE)&gt;=main!$D$103+VLOOKUP(VLOOKUP(CP$1,main!$A$3:$I$102,7,FALSE),main!$K$26:$Q$29,4,FALSE)),1,0)</f>
        <v>0</v>
      </c>
      <c r="CQ160">
        <f>IF(AND(VLOOKUP(CQ$1,main!$A$3:$H$102,7,FALSE)=main!$G$104,VLOOKUP(CQ$1,main!$A$3:$H$102,5,FALSE)-VLOOKUP($A160,main!$A$3:$H$102,6,FALSE)&gt;=main!$D$103+VLOOKUP(VLOOKUP(CQ$1,main!$A$3:$I$102,7,FALSE),main!$K$26:$Q$29,4,FALSE)),1,0)</f>
        <v>0</v>
      </c>
      <c r="CR160">
        <f>IF(AND(VLOOKUP(CR$1,main!$A$3:$H$102,7,FALSE)=main!$G$104,VLOOKUP(CR$1,main!$A$3:$H$102,5,FALSE)-VLOOKUP($A160,main!$A$3:$H$102,6,FALSE)&gt;=main!$D$103+VLOOKUP(VLOOKUP(CR$1,main!$A$3:$I$102,7,FALSE),main!$K$26:$Q$29,4,FALSE)),1,0)</f>
        <v>0</v>
      </c>
      <c r="CS160">
        <f>IF(AND(VLOOKUP(CS$1,main!$A$3:$H$102,7,FALSE)=main!$G$104,VLOOKUP(CS$1,main!$A$3:$H$102,5,FALSE)-VLOOKUP($A160,main!$A$3:$H$102,6,FALSE)&gt;=main!$D$103+VLOOKUP(VLOOKUP(CS$1,main!$A$3:$I$102,7,FALSE),main!$K$26:$Q$29,4,FALSE)),1,0)</f>
        <v>0</v>
      </c>
      <c r="CT160">
        <f>IF(AND(VLOOKUP(CT$1,main!$A$3:$H$102,7,FALSE)=main!$G$104,VLOOKUP(CT$1,main!$A$3:$H$102,5,FALSE)-VLOOKUP($A160,main!$A$3:$H$102,6,FALSE)&gt;=main!$D$103+VLOOKUP(VLOOKUP(CT$1,main!$A$3:$I$102,7,FALSE),main!$K$26:$Q$29,4,FALSE)),1,0)</f>
        <v>0</v>
      </c>
      <c r="CU160">
        <f>IF(AND(VLOOKUP(CU$1,main!$A$3:$H$102,7,FALSE)=main!$G$104,VLOOKUP(CU$1,main!$A$3:$H$102,5,FALSE)-VLOOKUP($A160,main!$A$3:$H$102,6,FALSE)&gt;=main!$D$103+VLOOKUP(VLOOKUP(CU$1,main!$A$3:$I$102,7,FALSE),main!$K$26:$Q$29,4,FALSE)),1,0)</f>
        <v>0</v>
      </c>
      <c r="CV160">
        <f>IF(AND(VLOOKUP(CV$1,main!$A$3:$H$102,7,FALSE)=main!$G$104,VLOOKUP(CV$1,main!$A$3:$H$102,5,FALSE)-VLOOKUP($A160,main!$A$3:$H$102,6,FALSE)&gt;=main!$D$103+VLOOKUP(VLOOKUP(CV$1,main!$A$3:$I$102,7,FALSE),main!$K$26:$Q$29,4,FALSE)),1,0)</f>
        <v>0</v>
      </c>
      <c r="CW160">
        <f>IF(AND(VLOOKUP(CW$1,main!$A$3:$H$102,7,FALSE)=main!$G$104,VLOOKUP(CW$1,main!$A$3:$H$102,5,FALSE)-VLOOKUP($A160,main!$A$3:$H$102,6,FALSE)&gt;=main!$D$103+VLOOKUP(VLOOKUP(CW$1,main!$A$3:$I$102,7,FALSE),main!$K$26:$Q$29,4,FALSE)),1,0)</f>
        <v>0</v>
      </c>
      <c r="CX160">
        <f>IF(AND(VLOOKUP(CX$1,main!$A$3:$H$102,7,FALSE)=main!$G$104,VLOOKUP(CX$1,main!$A$3:$H$102,5,FALSE)-VLOOKUP($A160,main!$A$3:$H$102,6,FALSE)&gt;=main!$D$103+VLOOKUP(VLOOKUP(CX$1,main!$A$3:$I$102,7,FALSE),main!$K$26:$Q$29,4,FALSE)),1,0)</f>
        <v>0</v>
      </c>
    </row>
    <row r="161" spans="1:102" x14ac:dyDescent="0.25">
      <c r="A161" s="1">
        <v>58</v>
      </c>
      <c r="B161">
        <v>0</v>
      </c>
      <c r="C161">
        <f>IF(AND(VLOOKUP(C$1,main!$A$3:$H$102,7,FALSE)=main!$G$104,VLOOKUP(C$1,main!$A$3:$H$102,5,FALSE)-VLOOKUP($A161,main!$A$3:$H$102,6,FALSE)&gt;=main!$D$103+VLOOKUP(VLOOKUP(C$1,main!$A$3:$I$102,7,FALSE),main!$K$26:$Q$29,4,FALSE)),1,0)</f>
        <v>0</v>
      </c>
      <c r="D161">
        <f>IF(AND(VLOOKUP(D$1,main!$A$3:$H$102,7,FALSE)=main!$G$104,VLOOKUP(D$1,main!$A$3:$H$102,5,FALSE)-VLOOKUP($A161,main!$A$3:$H$102,6,FALSE)&gt;=main!$D$103+VLOOKUP(VLOOKUP(D$1,main!$A$3:$I$102,7,FALSE),main!$K$26:$Q$29,4,FALSE)),1,0)</f>
        <v>0</v>
      </c>
      <c r="E161">
        <f>IF(AND(VLOOKUP(E$1,main!$A$3:$H$102,7,FALSE)=main!$G$104,VLOOKUP(E$1,main!$A$3:$H$102,5,FALSE)-VLOOKUP($A161,main!$A$3:$H$102,6,FALSE)&gt;=main!$D$103+VLOOKUP(VLOOKUP(E$1,main!$A$3:$I$102,7,FALSE),main!$K$26:$Q$29,4,FALSE)),1,0)</f>
        <v>0</v>
      </c>
      <c r="F161">
        <f>IF(AND(VLOOKUP(F$1,main!$A$3:$H$102,7,FALSE)=main!$G$104,VLOOKUP(F$1,main!$A$3:$H$102,5,FALSE)-VLOOKUP($A161,main!$A$3:$H$102,6,FALSE)&gt;=main!$D$103+VLOOKUP(VLOOKUP(F$1,main!$A$3:$I$102,7,FALSE),main!$K$26:$Q$29,4,FALSE)),1,0)</f>
        <v>0</v>
      </c>
      <c r="G161">
        <f>IF(AND(VLOOKUP(G$1,main!$A$3:$H$102,7,FALSE)=main!$G$104,VLOOKUP(G$1,main!$A$3:$H$102,5,FALSE)-VLOOKUP($A161,main!$A$3:$H$102,6,FALSE)&gt;=main!$D$103+VLOOKUP(VLOOKUP(G$1,main!$A$3:$I$102,7,FALSE),main!$K$26:$Q$29,4,FALSE)),1,0)</f>
        <v>0</v>
      </c>
      <c r="H161">
        <f>IF(AND(VLOOKUP(H$1,main!$A$3:$H$102,7,FALSE)=main!$G$104,VLOOKUP(H$1,main!$A$3:$H$102,5,FALSE)-VLOOKUP($A161,main!$A$3:$H$102,6,FALSE)&gt;=main!$D$103+VLOOKUP(VLOOKUP(H$1,main!$A$3:$I$102,7,FALSE),main!$K$26:$Q$29,4,FALSE)),1,0)</f>
        <v>0</v>
      </c>
      <c r="I161">
        <f>IF(AND(VLOOKUP(I$1,main!$A$3:$H$102,7,FALSE)=main!$G$104,VLOOKUP(I$1,main!$A$3:$H$102,5,FALSE)-VLOOKUP($A161,main!$A$3:$H$102,6,FALSE)&gt;=main!$D$103+VLOOKUP(VLOOKUP(I$1,main!$A$3:$I$102,7,FALSE),main!$K$26:$Q$29,4,FALSE)),1,0)</f>
        <v>0</v>
      </c>
      <c r="J161">
        <f>IF(AND(VLOOKUP(J$1,main!$A$3:$H$102,7,FALSE)=main!$G$104,VLOOKUP(J$1,main!$A$3:$H$102,5,FALSE)-VLOOKUP($A161,main!$A$3:$H$102,6,FALSE)&gt;=main!$D$103+VLOOKUP(VLOOKUP(J$1,main!$A$3:$I$102,7,FALSE),main!$K$26:$Q$29,4,FALSE)),1,0)</f>
        <v>1</v>
      </c>
      <c r="K161">
        <f>IF(AND(VLOOKUP(K$1,main!$A$3:$H$102,7,FALSE)=main!$G$104,VLOOKUP(K$1,main!$A$3:$H$102,5,FALSE)-VLOOKUP($A161,main!$A$3:$H$102,6,FALSE)&gt;=main!$D$103+VLOOKUP(VLOOKUP(K$1,main!$A$3:$I$102,7,FALSE),main!$K$26:$Q$29,4,FALSE)),1,0)</f>
        <v>1</v>
      </c>
      <c r="L161">
        <f>IF(AND(VLOOKUP(L$1,main!$A$3:$H$102,7,FALSE)=main!$G$104,VLOOKUP(L$1,main!$A$3:$H$102,5,FALSE)-VLOOKUP($A161,main!$A$3:$H$102,6,FALSE)&gt;=main!$D$103+VLOOKUP(VLOOKUP(L$1,main!$A$3:$I$102,7,FALSE),main!$K$26:$Q$29,4,FALSE)),1,0)</f>
        <v>1</v>
      </c>
      <c r="M161">
        <f>IF(AND(VLOOKUP(M$1,main!$A$3:$H$102,7,FALSE)=main!$G$104,VLOOKUP(M$1,main!$A$3:$H$102,5,FALSE)-VLOOKUP($A161,main!$A$3:$H$102,6,FALSE)&gt;=main!$D$103+VLOOKUP(VLOOKUP(M$1,main!$A$3:$I$102,7,FALSE),main!$K$26:$Q$29,4,FALSE)),1,0)</f>
        <v>0</v>
      </c>
      <c r="N161">
        <f>IF(AND(VLOOKUP(N$1,main!$A$3:$H$102,7,FALSE)=main!$G$104,VLOOKUP(N$1,main!$A$3:$H$102,5,FALSE)-VLOOKUP($A161,main!$A$3:$H$102,6,FALSE)&gt;=main!$D$103+VLOOKUP(VLOOKUP(N$1,main!$A$3:$I$102,7,FALSE),main!$K$26:$Q$29,4,FALSE)),1,0)</f>
        <v>0</v>
      </c>
      <c r="O161">
        <f>IF(AND(VLOOKUP(O$1,main!$A$3:$H$102,7,FALSE)=main!$G$104,VLOOKUP(O$1,main!$A$3:$H$102,5,FALSE)-VLOOKUP($A161,main!$A$3:$H$102,6,FALSE)&gt;=main!$D$103+VLOOKUP(VLOOKUP(O$1,main!$A$3:$I$102,7,FALSE),main!$K$26:$Q$29,4,FALSE)),1,0)</f>
        <v>0</v>
      </c>
      <c r="P161">
        <f>IF(AND(VLOOKUP(P$1,main!$A$3:$H$102,7,FALSE)=main!$G$104,VLOOKUP(P$1,main!$A$3:$H$102,5,FALSE)-VLOOKUP($A161,main!$A$3:$H$102,6,FALSE)&gt;=main!$D$103+VLOOKUP(VLOOKUP(P$1,main!$A$3:$I$102,7,FALSE),main!$K$26:$Q$29,4,FALSE)),1,0)</f>
        <v>0</v>
      </c>
      <c r="Q161">
        <f>IF(AND(VLOOKUP(Q$1,main!$A$3:$H$102,7,FALSE)=main!$G$104,VLOOKUP(Q$1,main!$A$3:$H$102,5,FALSE)-VLOOKUP($A161,main!$A$3:$H$102,6,FALSE)&gt;=main!$D$103+VLOOKUP(VLOOKUP(Q$1,main!$A$3:$I$102,7,FALSE),main!$K$26:$Q$29,4,FALSE)),1,0)</f>
        <v>0</v>
      </c>
      <c r="R161">
        <f>IF(AND(VLOOKUP(R$1,main!$A$3:$H$102,7,FALSE)=main!$G$104,VLOOKUP(R$1,main!$A$3:$H$102,5,FALSE)-VLOOKUP($A161,main!$A$3:$H$102,6,FALSE)&gt;=main!$D$103+VLOOKUP(VLOOKUP(R$1,main!$A$3:$I$102,7,FALSE),main!$K$26:$Q$29,4,FALSE)),1,0)</f>
        <v>0</v>
      </c>
      <c r="S161">
        <f>IF(AND(VLOOKUP(S$1,main!$A$3:$H$102,7,FALSE)=main!$G$104,VLOOKUP(S$1,main!$A$3:$H$102,5,FALSE)-VLOOKUP($A161,main!$A$3:$H$102,6,FALSE)&gt;=main!$D$103+VLOOKUP(VLOOKUP(S$1,main!$A$3:$I$102,7,FALSE),main!$K$26:$Q$29,4,FALSE)),1,0)</f>
        <v>0</v>
      </c>
      <c r="T161">
        <f>IF(AND(VLOOKUP(T$1,main!$A$3:$H$102,7,FALSE)=main!$G$104,VLOOKUP(T$1,main!$A$3:$H$102,5,FALSE)-VLOOKUP($A161,main!$A$3:$H$102,6,FALSE)&gt;=main!$D$103+VLOOKUP(VLOOKUP(T$1,main!$A$3:$I$102,7,FALSE),main!$K$26:$Q$29,4,FALSE)),1,0)</f>
        <v>0</v>
      </c>
      <c r="U161">
        <f>IF(AND(VLOOKUP(U$1,main!$A$3:$H$102,7,FALSE)=main!$G$104,VLOOKUP(U$1,main!$A$3:$H$102,5,FALSE)-VLOOKUP($A161,main!$A$3:$H$102,6,FALSE)&gt;=main!$D$103+VLOOKUP(VLOOKUP(U$1,main!$A$3:$I$102,7,FALSE),main!$K$26:$Q$29,4,FALSE)),1,0)</f>
        <v>1</v>
      </c>
      <c r="V161">
        <f>IF(AND(VLOOKUP(V$1,main!$A$3:$H$102,7,FALSE)=main!$G$104,VLOOKUP(V$1,main!$A$3:$H$102,5,FALSE)-VLOOKUP($A161,main!$A$3:$H$102,6,FALSE)&gt;=main!$D$103+VLOOKUP(VLOOKUP(V$1,main!$A$3:$I$102,7,FALSE),main!$K$26:$Q$29,4,FALSE)),1,0)</f>
        <v>1</v>
      </c>
      <c r="W161">
        <f>IF(AND(VLOOKUP(W$1,main!$A$3:$H$102,7,FALSE)=main!$G$104,VLOOKUP(W$1,main!$A$3:$H$102,5,FALSE)-VLOOKUP($A161,main!$A$3:$H$102,6,FALSE)&gt;=main!$D$103+VLOOKUP(VLOOKUP(W$1,main!$A$3:$I$102,7,FALSE),main!$K$26:$Q$29,4,FALSE)),1,0)</f>
        <v>0</v>
      </c>
      <c r="X161">
        <f>IF(AND(VLOOKUP(X$1,main!$A$3:$H$102,7,FALSE)=main!$G$104,VLOOKUP(X$1,main!$A$3:$H$102,5,FALSE)-VLOOKUP($A161,main!$A$3:$H$102,6,FALSE)&gt;=main!$D$103+VLOOKUP(VLOOKUP(X$1,main!$A$3:$I$102,7,FALSE),main!$K$26:$Q$29,4,FALSE)),1,0)</f>
        <v>0</v>
      </c>
      <c r="Y161">
        <f>IF(AND(VLOOKUP(Y$1,main!$A$3:$H$102,7,FALSE)=main!$G$104,VLOOKUP(Y$1,main!$A$3:$H$102,5,FALSE)-VLOOKUP($A161,main!$A$3:$H$102,6,FALSE)&gt;=main!$D$103+VLOOKUP(VLOOKUP(Y$1,main!$A$3:$I$102,7,FALSE),main!$K$26:$Q$29,4,FALSE)),1,0)</f>
        <v>0</v>
      </c>
      <c r="Z161">
        <f>IF(AND(VLOOKUP(Z$1,main!$A$3:$H$102,7,FALSE)=main!$G$104,VLOOKUP(Z$1,main!$A$3:$H$102,5,FALSE)-VLOOKUP($A161,main!$A$3:$H$102,6,FALSE)&gt;=main!$D$103+VLOOKUP(VLOOKUP(Z$1,main!$A$3:$I$102,7,FALSE),main!$K$26:$Q$29,4,FALSE)),1,0)</f>
        <v>0</v>
      </c>
      <c r="AA161">
        <f>IF(AND(VLOOKUP(AA$1,main!$A$3:$H$102,7,FALSE)=main!$G$104,VLOOKUP(AA$1,main!$A$3:$H$102,5,FALSE)-VLOOKUP($A161,main!$A$3:$H$102,6,FALSE)&gt;=main!$D$103+VLOOKUP(VLOOKUP(AA$1,main!$A$3:$I$102,7,FALSE),main!$K$26:$Q$29,4,FALSE)),1,0)</f>
        <v>1</v>
      </c>
      <c r="AB161">
        <f>IF(AND(VLOOKUP(AB$1,main!$A$3:$H$102,7,FALSE)=main!$G$104,VLOOKUP(AB$1,main!$A$3:$H$102,5,FALSE)-VLOOKUP($A161,main!$A$3:$H$102,6,FALSE)&gt;=main!$D$103+VLOOKUP(VLOOKUP(AB$1,main!$A$3:$I$102,7,FALSE),main!$K$26:$Q$29,4,FALSE)),1,0)</f>
        <v>0</v>
      </c>
      <c r="AC161">
        <f>IF(AND(VLOOKUP(AC$1,main!$A$3:$H$102,7,FALSE)=main!$G$104,VLOOKUP(AC$1,main!$A$3:$H$102,5,FALSE)-VLOOKUP($A161,main!$A$3:$H$102,6,FALSE)&gt;=main!$D$103+VLOOKUP(VLOOKUP(AC$1,main!$A$3:$I$102,7,FALSE),main!$K$26:$Q$29,4,FALSE)),1,0)</f>
        <v>0</v>
      </c>
      <c r="AD161">
        <f>IF(AND(VLOOKUP(AD$1,main!$A$3:$H$102,7,FALSE)=main!$G$104,VLOOKUP(AD$1,main!$A$3:$H$102,5,FALSE)-VLOOKUP($A161,main!$A$3:$H$102,6,FALSE)&gt;=main!$D$103+VLOOKUP(VLOOKUP(AD$1,main!$A$3:$I$102,7,FALSE),main!$K$26:$Q$29,4,FALSE)),1,0)</f>
        <v>0</v>
      </c>
      <c r="AE161">
        <f>IF(AND(VLOOKUP(AE$1,main!$A$3:$H$102,7,FALSE)=main!$G$104,VLOOKUP(AE$1,main!$A$3:$H$102,5,FALSE)-VLOOKUP($A161,main!$A$3:$H$102,6,FALSE)&gt;=main!$D$103+VLOOKUP(VLOOKUP(AE$1,main!$A$3:$I$102,7,FALSE),main!$K$26:$Q$29,4,FALSE)),1,0)</f>
        <v>0</v>
      </c>
      <c r="AF161">
        <f>IF(AND(VLOOKUP(AF$1,main!$A$3:$H$102,7,FALSE)=main!$G$104,VLOOKUP(AF$1,main!$A$3:$H$102,5,FALSE)-VLOOKUP($A161,main!$A$3:$H$102,6,FALSE)&gt;=main!$D$103+VLOOKUP(VLOOKUP(AF$1,main!$A$3:$I$102,7,FALSE),main!$K$26:$Q$29,4,FALSE)),1,0)</f>
        <v>1</v>
      </c>
      <c r="AG161">
        <f>IF(AND(VLOOKUP(AG$1,main!$A$3:$H$102,7,FALSE)=main!$G$104,VLOOKUP(AG$1,main!$A$3:$H$102,5,FALSE)-VLOOKUP($A161,main!$A$3:$H$102,6,FALSE)&gt;=main!$D$103+VLOOKUP(VLOOKUP(AG$1,main!$A$3:$I$102,7,FALSE),main!$K$26:$Q$29,4,FALSE)),1,0)</f>
        <v>0</v>
      </c>
      <c r="AH161">
        <f>IF(AND(VLOOKUP(AH$1,main!$A$3:$H$102,7,FALSE)=main!$G$104,VLOOKUP(AH$1,main!$A$3:$H$102,5,FALSE)-VLOOKUP($A161,main!$A$3:$H$102,6,FALSE)&gt;=main!$D$103+VLOOKUP(VLOOKUP(AH$1,main!$A$3:$I$102,7,FALSE),main!$K$26:$Q$29,4,FALSE)),1,0)</f>
        <v>0</v>
      </c>
      <c r="AI161">
        <f>IF(AND(VLOOKUP(AI$1,main!$A$3:$H$102,7,FALSE)=main!$G$104,VLOOKUP(AI$1,main!$A$3:$H$102,5,FALSE)-VLOOKUP($A161,main!$A$3:$H$102,6,FALSE)&gt;=main!$D$103+VLOOKUP(VLOOKUP(AI$1,main!$A$3:$I$102,7,FALSE),main!$K$26:$Q$29,4,FALSE)),1,0)</f>
        <v>0</v>
      </c>
      <c r="AJ161">
        <f>IF(AND(VLOOKUP(AJ$1,main!$A$3:$H$102,7,FALSE)=main!$G$104,VLOOKUP(AJ$1,main!$A$3:$H$102,5,FALSE)-VLOOKUP($A161,main!$A$3:$H$102,6,FALSE)&gt;=main!$D$103+VLOOKUP(VLOOKUP(AJ$1,main!$A$3:$I$102,7,FALSE),main!$K$26:$Q$29,4,FALSE)),1,0)</f>
        <v>0</v>
      </c>
      <c r="AK161">
        <f>IF(AND(VLOOKUP(AK$1,main!$A$3:$H$102,7,FALSE)=main!$G$104,VLOOKUP(AK$1,main!$A$3:$H$102,5,FALSE)-VLOOKUP($A161,main!$A$3:$H$102,6,FALSE)&gt;=main!$D$103+VLOOKUP(VLOOKUP(AK$1,main!$A$3:$I$102,7,FALSE),main!$K$26:$Q$29,4,FALSE)),1,0)</f>
        <v>0</v>
      </c>
      <c r="AL161">
        <f>IF(AND(VLOOKUP(AL$1,main!$A$3:$H$102,7,FALSE)=main!$G$104,VLOOKUP(AL$1,main!$A$3:$H$102,5,FALSE)-VLOOKUP($A161,main!$A$3:$H$102,6,FALSE)&gt;=main!$D$103+VLOOKUP(VLOOKUP(AL$1,main!$A$3:$I$102,7,FALSE),main!$K$26:$Q$29,4,FALSE)),1,0)</f>
        <v>0</v>
      </c>
      <c r="AM161">
        <f>IF(AND(VLOOKUP(AM$1,main!$A$3:$H$102,7,FALSE)=main!$G$104,VLOOKUP(AM$1,main!$A$3:$H$102,5,FALSE)-VLOOKUP($A161,main!$A$3:$H$102,6,FALSE)&gt;=main!$D$103+VLOOKUP(VLOOKUP(AM$1,main!$A$3:$I$102,7,FALSE),main!$K$26:$Q$29,4,FALSE)),1,0)</f>
        <v>0</v>
      </c>
      <c r="AN161">
        <f>IF(AND(VLOOKUP(AN$1,main!$A$3:$H$102,7,FALSE)=main!$G$104,VLOOKUP(AN$1,main!$A$3:$H$102,5,FALSE)-VLOOKUP($A161,main!$A$3:$H$102,6,FALSE)&gt;=main!$D$103+VLOOKUP(VLOOKUP(AN$1,main!$A$3:$I$102,7,FALSE),main!$K$26:$Q$29,4,FALSE)),1,0)</f>
        <v>0</v>
      </c>
      <c r="AO161">
        <f>IF(AND(VLOOKUP(AO$1,main!$A$3:$H$102,7,FALSE)=main!$G$104,VLOOKUP(AO$1,main!$A$3:$H$102,5,FALSE)-VLOOKUP($A161,main!$A$3:$H$102,6,FALSE)&gt;=main!$D$103+VLOOKUP(VLOOKUP(AO$1,main!$A$3:$I$102,7,FALSE),main!$K$26:$Q$29,4,FALSE)),1,0)</f>
        <v>0</v>
      </c>
      <c r="AP161">
        <f>IF(AND(VLOOKUP(AP$1,main!$A$3:$H$102,7,FALSE)=main!$G$104,VLOOKUP(AP$1,main!$A$3:$H$102,5,FALSE)-VLOOKUP($A161,main!$A$3:$H$102,6,FALSE)&gt;=main!$D$103+VLOOKUP(VLOOKUP(AP$1,main!$A$3:$I$102,7,FALSE),main!$K$26:$Q$29,4,FALSE)),1,0)</f>
        <v>0</v>
      </c>
      <c r="AQ161">
        <f>IF(AND(VLOOKUP(AQ$1,main!$A$3:$H$102,7,FALSE)=main!$G$104,VLOOKUP(AQ$1,main!$A$3:$H$102,5,FALSE)-VLOOKUP($A161,main!$A$3:$H$102,6,FALSE)&gt;=main!$D$103+VLOOKUP(VLOOKUP(AQ$1,main!$A$3:$I$102,7,FALSE),main!$K$26:$Q$29,4,FALSE)),1,0)</f>
        <v>0</v>
      </c>
      <c r="AR161">
        <f>IF(AND(VLOOKUP(AR$1,main!$A$3:$H$102,7,FALSE)=main!$G$104,VLOOKUP(AR$1,main!$A$3:$H$102,5,FALSE)-VLOOKUP($A161,main!$A$3:$H$102,6,FALSE)&gt;=main!$D$103+VLOOKUP(VLOOKUP(AR$1,main!$A$3:$I$102,7,FALSE),main!$K$26:$Q$29,4,FALSE)),1,0)</f>
        <v>0</v>
      </c>
      <c r="AS161">
        <f>IF(AND(VLOOKUP(AS$1,main!$A$3:$H$102,7,FALSE)=main!$G$104,VLOOKUP(AS$1,main!$A$3:$H$102,5,FALSE)-VLOOKUP($A161,main!$A$3:$H$102,6,FALSE)&gt;=main!$D$103+VLOOKUP(VLOOKUP(AS$1,main!$A$3:$I$102,7,FALSE),main!$K$26:$Q$29,4,FALSE)),1,0)</f>
        <v>0</v>
      </c>
      <c r="AT161">
        <f>IF(AND(VLOOKUP(AT$1,main!$A$3:$H$102,7,FALSE)=main!$G$104,VLOOKUP(AT$1,main!$A$3:$H$102,5,FALSE)-VLOOKUP($A161,main!$A$3:$H$102,6,FALSE)&gt;=main!$D$103+VLOOKUP(VLOOKUP(AT$1,main!$A$3:$I$102,7,FALSE),main!$K$26:$Q$29,4,FALSE)),1,0)</f>
        <v>0</v>
      </c>
      <c r="AU161">
        <f>IF(AND(VLOOKUP(AU$1,main!$A$3:$H$102,7,FALSE)=main!$G$104,VLOOKUP(AU$1,main!$A$3:$H$102,5,FALSE)-VLOOKUP($A161,main!$A$3:$H$102,6,FALSE)&gt;=main!$D$103+VLOOKUP(VLOOKUP(AU$1,main!$A$3:$I$102,7,FALSE),main!$K$26:$Q$29,4,FALSE)),1,0)</f>
        <v>0</v>
      </c>
      <c r="AV161">
        <f>IF(AND(VLOOKUP(AV$1,main!$A$3:$H$102,7,FALSE)=main!$G$104,VLOOKUP(AV$1,main!$A$3:$H$102,5,FALSE)-VLOOKUP($A161,main!$A$3:$H$102,6,FALSE)&gt;=main!$D$103+VLOOKUP(VLOOKUP(AV$1,main!$A$3:$I$102,7,FALSE),main!$K$26:$Q$29,4,FALSE)),1,0)</f>
        <v>0</v>
      </c>
      <c r="AW161">
        <f>IF(AND(VLOOKUP(AW$1,main!$A$3:$H$102,7,FALSE)=main!$G$104,VLOOKUP(AW$1,main!$A$3:$H$102,5,FALSE)-VLOOKUP($A161,main!$A$3:$H$102,6,FALSE)&gt;=main!$D$103+VLOOKUP(VLOOKUP(AW$1,main!$A$3:$I$102,7,FALSE),main!$K$26:$Q$29,4,FALSE)),1,0)</f>
        <v>0</v>
      </c>
      <c r="AX161">
        <f>IF(AND(VLOOKUP(AX$1,main!$A$3:$H$102,7,FALSE)=main!$G$104,VLOOKUP(AX$1,main!$A$3:$H$102,5,FALSE)-VLOOKUP($A161,main!$A$3:$H$102,6,FALSE)&gt;=main!$D$103+VLOOKUP(VLOOKUP(AX$1,main!$A$3:$I$102,7,FALSE),main!$K$26:$Q$29,4,FALSE)),1,0)</f>
        <v>0</v>
      </c>
      <c r="AY161">
        <f>IF(AND(VLOOKUP(AY$1,main!$A$3:$H$102,7,FALSE)=main!$G$104,VLOOKUP(AY$1,main!$A$3:$H$102,5,FALSE)-VLOOKUP($A161,main!$A$3:$H$102,6,FALSE)&gt;=main!$D$103+VLOOKUP(VLOOKUP(AY$1,main!$A$3:$I$102,7,FALSE),main!$K$26:$Q$29,4,FALSE)),1,0)</f>
        <v>0</v>
      </c>
      <c r="AZ161">
        <f>IF(AND(VLOOKUP(AZ$1,main!$A$3:$H$102,7,FALSE)=main!$G$104,VLOOKUP(AZ$1,main!$A$3:$H$102,5,FALSE)-VLOOKUP($A161,main!$A$3:$H$102,6,FALSE)&gt;=main!$D$103+VLOOKUP(VLOOKUP(AZ$1,main!$A$3:$I$102,7,FALSE),main!$K$26:$Q$29,4,FALSE)),1,0)</f>
        <v>0</v>
      </c>
      <c r="BA161">
        <f>IF(AND(VLOOKUP(BA$1,main!$A$3:$H$102,7,FALSE)=main!$G$104,VLOOKUP(BA$1,main!$A$3:$H$102,5,FALSE)-VLOOKUP($A161,main!$A$3:$H$102,6,FALSE)&gt;=main!$D$103+VLOOKUP(VLOOKUP(BA$1,main!$A$3:$I$102,7,FALSE),main!$K$26:$Q$29,4,FALSE)),1,0)</f>
        <v>0</v>
      </c>
      <c r="BB161">
        <f>IF(AND(VLOOKUP(BB$1,main!$A$3:$H$102,7,FALSE)=main!$G$104,VLOOKUP(BB$1,main!$A$3:$H$102,5,FALSE)-VLOOKUP($A161,main!$A$3:$H$102,6,FALSE)&gt;=main!$D$103+VLOOKUP(VLOOKUP(BB$1,main!$A$3:$I$102,7,FALSE),main!$K$26:$Q$29,4,FALSE)),1,0)</f>
        <v>0</v>
      </c>
      <c r="BC161">
        <f>IF(AND(VLOOKUP(BC$1,main!$A$3:$H$102,7,FALSE)=main!$G$104,VLOOKUP(BC$1,main!$A$3:$H$102,5,FALSE)-VLOOKUP($A161,main!$A$3:$H$102,6,FALSE)&gt;=main!$D$103+VLOOKUP(VLOOKUP(BC$1,main!$A$3:$I$102,7,FALSE),main!$K$26:$Q$29,4,FALSE)),1,0)</f>
        <v>0</v>
      </c>
      <c r="BD161">
        <f>IF(AND(VLOOKUP(BD$1,main!$A$3:$H$102,7,FALSE)=main!$G$104,VLOOKUP(BD$1,main!$A$3:$H$102,5,FALSE)-VLOOKUP($A161,main!$A$3:$H$102,6,FALSE)&gt;=main!$D$103+VLOOKUP(VLOOKUP(BD$1,main!$A$3:$I$102,7,FALSE),main!$K$26:$Q$29,4,FALSE)),1,0)</f>
        <v>0</v>
      </c>
      <c r="BE161">
        <f>IF(AND(VLOOKUP(BE$1,main!$A$3:$H$102,7,FALSE)=main!$G$104,VLOOKUP(BE$1,main!$A$3:$H$102,5,FALSE)-VLOOKUP($A161,main!$A$3:$H$102,6,FALSE)&gt;=main!$D$103+VLOOKUP(VLOOKUP(BE$1,main!$A$3:$I$102,7,FALSE),main!$K$26:$Q$29,4,FALSE)),1,0)</f>
        <v>0</v>
      </c>
      <c r="BF161">
        <f>IF(AND(VLOOKUP(BF$1,main!$A$3:$H$102,7,FALSE)=main!$G$104,VLOOKUP(BF$1,main!$A$3:$H$102,5,FALSE)-VLOOKUP($A161,main!$A$3:$H$102,6,FALSE)&gt;=main!$D$103+VLOOKUP(VLOOKUP(BF$1,main!$A$3:$I$102,7,FALSE),main!$K$26:$Q$29,4,FALSE)),1,0)</f>
        <v>0</v>
      </c>
      <c r="BG161">
        <f>IF(AND(VLOOKUP(BG$1,main!$A$3:$H$102,7,FALSE)=main!$G$104,VLOOKUP(BG$1,main!$A$3:$H$102,5,FALSE)-VLOOKUP($A161,main!$A$3:$H$102,6,FALSE)&gt;=main!$D$103+VLOOKUP(VLOOKUP(BG$1,main!$A$3:$I$102,7,FALSE),main!$K$26:$Q$29,4,FALSE)),1,0)</f>
        <v>0</v>
      </c>
      <c r="BH161">
        <f>IF(AND(VLOOKUP(BH$1,main!$A$3:$H$102,7,FALSE)=main!$G$104,VLOOKUP(BH$1,main!$A$3:$H$102,5,FALSE)-VLOOKUP($A161,main!$A$3:$H$102,6,FALSE)&gt;=main!$D$103+VLOOKUP(VLOOKUP(BH$1,main!$A$3:$I$102,7,FALSE),main!$K$26:$Q$29,4,FALSE)),1,0)</f>
        <v>0</v>
      </c>
      <c r="BI161">
        <f>IF(AND(VLOOKUP(BI$1,main!$A$3:$H$102,7,FALSE)=main!$G$104,VLOOKUP(BI$1,main!$A$3:$H$102,5,FALSE)-VLOOKUP($A161,main!$A$3:$H$102,6,FALSE)&gt;=main!$D$103+VLOOKUP(VLOOKUP(BI$1,main!$A$3:$I$102,7,FALSE),main!$K$26:$Q$29,4,FALSE)),1,0)</f>
        <v>0</v>
      </c>
      <c r="BJ161">
        <f>IF(AND(VLOOKUP(BJ$1,main!$A$3:$H$102,7,FALSE)=main!$G$104,VLOOKUP(BJ$1,main!$A$3:$H$102,5,FALSE)-VLOOKUP($A161,main!$A$3:$H$102,6,FALSE)&gt;=main!$D$103+VLOOKUP(VLOOKUP(BJ$1,main!$A$3:$I$102,7,FALSE),main!$K$26:$Q$29,4,FALSE)),1,0)</f>
        <v>0</v>
      </c>
      <c r="BK161">
        <f>IF(AND(VLOOKUP(BK$1,main!$A$3:$H$102,7,FALSE)=main!$G$104,VLOOKUP(BK$1,main!$A$3:$H$102,5,FALSE)-VLOOKUP($A161,main!$A$3:$H$102,6,FALSE)&gt;=main!$D$103+VLOOKUP(VLOOKUP(BK$1,main!$A$3:$I$102,7,FALSE),main!$K$26:$Q$29,4,FALSE)),1,0)</f>
        <v>0</v>
      </c>
      <c r="BL161">
        <f>IF(AND(VLOOKUP(BL$1,main!$A$3:$H$102,7,FALSE)=main!$G$104,VLOOKUP(BL$1,main!$A$3:$H$102,5,FALSE)-VLOOKUP($A161,main!$A$3:$H$102,6,FALSE)&gt;=main!$D$103+VLOOKUP(VLOOKUP(BL$1,main!$A$3:$I$102,7,FALSE),main!$K$26:$Q$29,4,FALSE)),1,0)</f>
        <v>0</v>
      </c>
      <c r="BM161">
        <f>IF(AND(VLOOKUP(BM$1,main!$A$3:$H$102,7,FALSE)=main!$G$104,VLOOKUP(BM$1,main!$A$3:$H$102,5,FALSE)-VLOOKUP($A161,main!$A$3:$H$102,6,FALSE)&gt;=main!$D$103+VLOOKUP(VLOOKUP(BM$1,main!$A$3:$I$102,7,FALSE),main!$K$26:$Q$29,4,FALSE)),1,0)</f>
        <v>0</v>
      </c>
      <c r="BN161">
        <f>IF(AND(VLOOKUP(BN$1,main!$A$3:$H$102,7,FALSE)=main!$G$104,VLOOKUP(BN$1,main!$A$3:$H$102,5,FALSE)-VLOOKUP($A161,main!$A$3:$H$102,6,FALSE)&gt;=main!$D$103+VLOOKUP(VLOOKUP(BN$1,main!$A$3:$I$102,7,FALSE),main!$K$26:$Q$29,4,FALSE)),1,0)</f>
        <v>0</v>
      </c>
      <c r="BO161">
        <f>IF(AND(VLOOKUP(BO$1,main!$A$3:$H$102,7,FALSE)=main!$G$104,VLOOKUP(BO$1,main!$A$3:$H$102,5,FALSE)-VLOOKUP($A161,main!$A$3:$H$102,6,FALSE)&gt;=main!$D$103+VLOOKUP(VLOOKUP(BO$1,main!$A$3:$I$102,7,FALSE),main!$K$26:$Q$29,4,FALSE)),1,0)</f>
        <v>0</v>
      </c>
      <c r="BP161">
        <f>IF(AND(VLOOKUP(BP$1,main!$A$3:$H$102,7,FALSE)=main!$G$104,VLOOKUP(BP$1,main!$A$3:$H$102,5,FALSE)-VLOOKUP($A161,main!$A$3:$H$102,6,FALSE)&gt;=main!$D$103+VLOOKUP(VLOOKUP(BP$1,main!$A$3:$I$102,7,FALSE),main!$K$26:$Q$29,4,FALSE)),1,0)</f>
        <v>0</v>
      </c>
      <c r="BQ161">
        <f>IF(AND(VLOOKUP(BQ$1,main!$A$3:$H$102,7,FALSE)=main!$G$104,VLOOKUP(BQ$1,main!$A$3:$H$102,5,FALSE)-VLOOKUP($A161,main!$A$3:$H$102,6,FALSE)&gt;=main!$D$103+VLOOKUP(VLOOKUP(BQ$1,main!$A$3:$I$102,7,FALSE),main!$K$26:$Q$29,4,FALSE)),1,0)</f>
        <v>0</v>
      </c>
      <c r="BR161">
        <f>IF(AND(VLOOKUP(BR$1,main!$A$3:$H$102,7,FALSE)=main!$G$104,VLOOKUP(BR$1,main!$A$3:$H$102,5,FALSE)-VLOOKUP($A161,main!$A$3:$H$102,6,FALSE)&gt;=main!$D$103+VLOOKUP(VLOOKUP(BR$1,main!$A$3:$I$102,7,FALSE),main!$K$26:$Q$29,4,FALSE)),1,0)</f>
        <v>0</v>
      </c>
      <c r="BS161">
        <f>IF(AND(VLOOKUP(BS$1,main!$A$3:$H$102,7,FALSE)=main!$G$104,VLOOKUP(BS$1,main!$A$3:$H$102,5,FALSE)-VLOOKUP($A161,main!$A$3:$H$102,6,FALSE)&gt;=main!$D$103+VLOOKUP(VLOOKUP(BS$1,main!$A$3:$I$102,7,FALSE),main!$K$26:$Q$29,4,FALSE)),1,0)</f>
        <v>0</v>
      </c>
      <c r="BT161">
        <f>IF(AND(VLOOKUP(BT$1,main!$A$3:$H$102,7,FALSE)=main!$G$104,VLOOKUP(BT$1,main!$A$3:$H$102,5,FALSE)-VLOOKUP($A161,main!$A$3:$H$102,6,FALSE)&gt;=main!$D$103+VLOOKUP(VLOOKUP(BT$1,main!$A$3:$I$102,7,FALSE),main!$K$26:$Q$29,4,FALSE)),1,0)</f>
        <v>0</v>
      </c>
      <c r="BU161">
        <f>IF(AND(VLOOKUP(BU$1,main!$A$3:$H$102,7,FALSE)=main!$G$104,VLOOKUP(BU$1,main!$A$3:$H$102,5,FALSE)-VLOOKUP($A161,main!$A$3:$H$102,6,FALSE)&gt;=main!$D$103+VLOOKUP(VLOOKUP(BU$1,main!$A$3:$I$102,7,FALSE),main!$K$26:$Q$29,4,FALSE)),1,0)</f>
        <v>0</v>
      </c>
      <c r="BV161">
        <f>IF(AND(VLOOKUP(BV$1,main!$A$3:$H$102,7,FALSE)=main!$G$104,VLOOKUP(BV$1,main!$A$3:$H$102,5,FALSE)-VLOOKUP($A161,main!$A$3:$H$102,6,FALSE)&gt;=main!$D$103+VLOOKUP(VLOOKUP(BV$1,main!$A$3:$I$102,7,FALSE),main!$K$26:$Q$29,4,FALSE)),1,0)</f>
        <v>0</v>
      </c>
      <c r="BW161">
        <f>IF(AND(VLOOKUP(BW$1,main!$A$3:$H$102,7,FALSE)=main!$G$104,VLOOKUP(BW$1,main!$A$3:$H$102,5,FALSE)-VLOOKUP($A161,main!$A$3:$H$102,6,FALSE)&gt;=main!$D$103+VLOOKUP(VLOOKUP(BW$1,main!$A$3:$I$102,7,FALSE),main!$K$26:$Q$29,4,FALSE)),1,0)</f>
        <v>0</v>
      </c>
      <c r="BX161">
        <f>IF(AND(VLOOKUP(BX$1,main!$A$3:$H$102,7,FALSE)=main!$G$104,VLOOKUP(BX$1,main!$A$3:$H$102,5,FALSE)-VLOOKUP($A161,main!$A$3:$H$102,6,FALSE)&gt;=main!$D$103+VLOOKUP(VLOOKUP(BX$1,main!$A$3:$I$102,7,FALSE),main!$K$26:$Q$29,4,FALSE)),1,0)</f>
        <v>0</v>
      </c>
      <c r="BY161">
        <f>IF(AND(VLOOKUP(BY$1,main!$A$3:$H$102,7,FALSE)=main!$G$104,VLOOKUP(BY$1,main!$A$3:$H$102,5,FALSE)-VLOOKUP($A161,main!$A$3:$H$102,6,FALSE)&gt;=main!$D$103+VLOOKUP(VLOOKUP(BY$1,main!$A$3:$I$102,7,FALSE),main!$K$26:$Q$29,4,FALSE)),1,0)</f>
        <v>0</v>
      </c>
      <c r="BZ161">
        <f>IF(AND(VLOOKUP(BZ$1,main!$A$3:$H$102,7,FALSE)=main!$G$104,VLOOKUP(BZ$1,main!$A$3:$H$102,5,FALSE)-VLOOKUP($A161,main!$A$3:$H$102,6,FALSE)&gt;=main!$D$103+VLOOKUP(VLOOKUP(BZ$1,main!$A$3:$I$102,7,FALSE),main!$K$26:$Q$29,4,FALSE)),1,0)</f>
        <v>0</v>
      </c>
      <c r="CA161">
        <f>IF(AND(VLOOKUP(CA$1,main!$A$3:$H$102,7,FALSE)=main!$G$104,VLOOKUP(CA$1,main!$A$3:$H$102,5,FALSE)-VLOOKUP($A161,main!$A$3:$H$102,6,FALSE)&gt;=main!$D$103+VLOOKUP(VLOOKUP(CA$1,main!$A$3:$I$102,7,FALSE),main!$K$26:$Q$29,4,FALSE)),1,0)</f>
        <v>0</v>
      </c>
      <c r="CB161">
        <f>IF(AND(VLOOKUP(CB$1,main!$A$3:$H$102,7,FALSE)=main!$G$104,VLOOKUP(CB$1,main!$A$3:$H$102,5,FALSE)-VLOOKUP($A161,main!$A$3:$H$102,6,FALSE)&gt;=main!$D$103+VLOOKUP(VLOOKUP(CB$1,main!$A$3:$I$102,7,FALSE),main!$K$26:$Q$29,4,FALSE)),1,0)</f>
        <v>0</v>
      </c>
      <c r="CC161">
        <f>IF(AND(VLOOKUP(CC$1,main!$A$3:$H$102,7,FALSE)=main!$G$104,VLOOKUP(CC$1,main!$A$3:$H$102,5,FALSE)-VLOOKUP($A161,main!$A$3:$H$102,6,FALSE)&gt;=main!$D$103+VLOOKUP(VLOOKUP(CC$1,main!$A$3:$I$102,7,FALSE),main!$K$26:$Q$29,4,FALSE)),1,0)</f>
        <v>0</v>
      </c>
      <c r="CD161">
        <f>IF(AND(VLOOKUP(CD$1,main!$A$3:$H$102,7,FALSE)=main!$G$104,VLOOKUP(CD$1,main!$A$3:$H$102,5,FALSE)-VLOOKUP($A161,main!$A$3:$H$102,6,FALSE)&gt;=main!$D$103+VLOOKUP(VLOOKUP(CD$1,main!$A$3:$I$102,7,FALSE),main!$K$26:$Q$29,4,FALSE)),1,0)</f>
        <v>0</v>
      </c>
      <c r="CE161">
        <f>IF(AND(VLOOKUP(CE$1,main!$A$3:$H$102,7,FALSE)=main!$G$104,VLOOKUP(CE$1,main!$A$3:$H$102,5,FALSE)-VLOOKUP($A161,main!$A$3:$H$102,6,FALSE)&gt;=main!$D$103+VLOOKUP(VLOOKUP(CE$1,main!$A$3:$I$102,7,FALSE),main!$K$26:$Q$29,4,FALSE)),1,0)</f>
        <v>0</v>
      </c>
      <c r="CF161">
        <f>IF(AND(VLOOKUP(CF$1,main!$A$3:$H$102,7,FALSE)=main!$G$104,VLOOKUP(CF$1,main!$A$3:$H$102,5,FALSE)-VLOOKUP($A161,main!$A$3:$H$102,6,FALSE)&gt;=main!$D$103+VLOOKUP(VLOOKUP(CF$1,main!$A$3:$I$102,7,FALSE),main!$K$26:$Q$29,4,FALSE)),1,0)</f>
        <v>0</v>
      </c>
      <c r="CG161">
        <f>IF(AND(VLOOKUP(CG$1,main!$A$3:$H$102,7,FALSE)=main!$G$104,VLOOKUP(CG$1,main!$A$3:$H$102,5,FALSE)-VLOOKUP($A161,main!$A$3:$H$102,6,FALSE)&gt;=main!$D$103+VLOOKUP(VLOOKUP(CG$1,main!$A$3:$I$102,7,FALSE),main!$K$26:$Q$29,4,FALSE)),1,0)</f>
        <v>0</v>
      </c>
      <c r="CH161">
        <f>IF(AND(VLOOKUP(CH$1,main!$A$3:$H$102,7,FALSE)=main!$G$104,VLOOKUP(CH$1,main!$A$3:$H$102,5,FALSE)-VLOOKUP($A161,main!$A$3:$H$102,6,FALSE)&gt;=main!$D$103+VLOOKUP(VLOOKUP(CH$1,main!$A$3:$I$102,7,FALSE),main!$K$26:$Q$29,4,FALSE)),1,0)</f>
        <v>0</v>
      </c>
      <c r="CI161">
        <f>IF(AND(VLOOKUP(CI$1,main!$A$3:$H$102,7,FALSE)=main!$G$104,VLOOKUP(CI$1,main!$A$3:$H$102,5,FALSE)-VLOOKUP($A161,main!$A$3:$H$102,6,FALSE)&gt;=main!$D$103+VLOOKUP(VLOOKUP(CI$1,main!$A$3:$I$102,7,FALSE),main!$K$26:$Q$29,4,FALSE)),1,0)</f>
        <v>0</v>
      </c>
      <c r="CJ161">
        <f>IF(AND(VLOOKUP(CJ$1,main!$A$3:$H$102,7,FALSE)=main!$G$104,VLOOKUP(CJ$1,main!$A$3:$H$102,5,FALSE)-VLOOKUP($A161,main!$A$3:$H$102,6,FALSE)&gt;=main!$D$103+VLOOKUP(VLOOKUP(CJ$1,main!$A$3:$I$102,7,FALSE),main!$K$26:$Q$29,4,FALSE)),1,0)</f>
        <v>0</v>
      </c>
      <c r="CK161">
        <f>IF(AND(VLOOKUP(CK$1,main!$A$3:$H$102,7,FALSE)=main!$G$104,VLOOKUP(CK$1,main!$A$3:$H$102,5,FALSE)-VLOOKUP($A161,main!$A$3:$H$102,6,FALSE)&gt;=main!$D$103+VLOOKUP(VLOOKUP(CK$1,main!$A$3:$I$102,7,FALSE),main!$K$26:$Q$29,4,FALSE)),1,0)</f>
        <v>0</v>
      </c>
      <c r="CL161">
        <f>IF(AND(VLOOKUP(CL$1,main!$A$3:$H$102,7,FALSE)=main!$G$104,VLOOKUP(CL$1,main!$A$3:$H$102,5,FALSE)-VLOOKUP($A161,main!$A$3:$H$102,6,FALSE)&gt;=main!$D$103+VLOOKUP(VLOOKUP(CL$1,main!$A$3:$I$102,7,FALSE),main!$K$26:$Q$29,4,FALSE)),1,0)</f>
        <v>0</v>
      </c>
      <c r="CM161">
        <f>IF(AND(VLOOKUP(CM$1,main!$A$3:$H$102,7,FALSE)=main!$G$104,VLOOKUP(CM$1,main!$A$3:$H$102,5,FALSE)-VLOOKUP($A161,main!$A$3:$H$102,6,FALSE)&gt;=main!$D$103+VLOOKUP(VLOOKUP(CM$1,main!$A$3:$I$102,7,FALSE),main!$K$26:$Q$29,4,FALSE)),1,0)</f>
        <v>0</v>
      </c>
      <c r="CN161">
        <f>IF(AND(VLOOKUP(CN$1,main!$A$3:$H$102,7,FALSE)=main!$G$104,VLOOKUP(CN$1,main!$A$3:$H$102,5,FALSE)-VLOOKUP($A161,main!$A$3:$H$102,6,FALSE)&gt;=main!$D$103+VLOOKUP(VLOOKUP(CN$1,main!$A$3:$I$102,7,FALSE),main!$K$26:$Q$29,4,FALSE)),1,0)</f>
        <v>0</v>
      </c>
      <c r="CO161">
        <f>IF(AND(VLOOKUP(CO$1,main!$A$3:$H$102,7,FALSE)=main!$G$104,VLOOKUP(CO$1,main!$A$3:$H$102,5,FALSE)-VLOOKUP($A161,main!$A$3:$H$102,6,FALSE)&gt;=main!$D$103+VLOOKUP(VLOOKUP(CO$1,main!$A$3:$I$102,7,FALSE),main!$K$26:$Q$29,4,FALSE)),1,0)</f>
        <v>0</v>
      </c>
      <c r="CP161">
        <f>IF(AND(VLOOKUP(CP$1,main!$A$3:$H$102,7,FALSE)=main!$G$104,VLOOKUP(CP$1,main!$A$3:$H$102,5,FALSE)-VLOOKUP($A161,main!$A$3:$H$102,6,FALSE)&gt;=main!$D$103+VLOOKUP(VLOOKUP(CP$1,main!$A$3:$I$102,7,FALSE),main!$K$26:$Q$29,4,FALSE)),1,0)</f>
        <v>0</v>
      </c>
      <c r="CQ161">
        <f>IF(AND(VLOOKUP(CQ$1,main!$A$3:$H$102,7,FALSE)=main!$G$104,VLOOKUP(CQ$1,main!$A$3:$H$102,5,FALSE)-VLOOKUP($A161,main!$A$3:$H$102,6,FALSE)&gt;=main!$D$103+VLOOKUP(VLOOKUP(CQ$1,main!$A$3:$I$102,7,FALSE),main!$K$26:$Q$29,4,FALSE)),1,0)</f>
        <v>0</v>
      </c>
      <c r="CR161">
        <f>IF(AND(VLOOKUP(CR$1,main!$A$3:$H$102,7,FALSE)=main!$G$104,VLOOKUP(CR$1,main!$A$3:$H$102,5,FALSE)-VLOOKUP($A161,main!$A$3:$H$102,6,FALSE)&gt;=main!$D$103+VLOOKUP(VLOOKUP(CR$1,main!$A$3:$I$102,7,FALSE),main!$K$26:$Q$29,4,FALSE)),1,0)</f>
        <v>0</v>
      </c>
      <c r="CS161">
        <f>IF(AND(VLOOKUP(CS$1,main!$A$3:$H$102,7,FALSE)=main!$G$104,VLOOKUP(CS$1,main!$A$3:$H$102,5,FALSE)-VLOOKUP($A161,main!$A$3:$H$102,6,FALSE)&gt;=main!$D$103+VLOOKUP(VLOOKUP(CS$1,main!$A$3:$I$102,7,FALSE),main!$K$26:$Q$29,4,FALSE)),1,0)</f>
        <v>0</v>
      </c>
      <c r="CT161">
        <f>IF(AND(VLOOKUP(CT$1,main!$A$3:$H$102,7,FALSE)=main!$G$104,VLOOKUP(CT$1,main!$A$3:$H$102,5,FALSE)-VLOOKUP($A161,main!$A$3:$H$102,6,FALSE)&gt;=main!$D$103+VLOOKUP(VLOOKUP(CT$1,main!$A$3:$I$102,7,FALSE),main!$K$26:$Q$29,4,FALSE)),1,0)</f>
        <v>0</v>
      </c>
      <c r="CU161">
        <f>IF(AND(VLOOKUP(CU$1,main!$A$3:$H$102,7,FALSE)=main!$G$104,VLOOKUP(CU$1,main!$A$3:$H$102,5,FALSE)-VLOOKUP($A161,main!$A$3:$H$102,6,FALSE)&gt;=main!$D$103+VLOOKUP(VLOOKUP(CU$1,main!$A$3:$I$102,7,FALSE),main!$K$26:$Q$29,4,FALSE)),1,0)</f>
        <v>0</v>
      </c>
      <c r="CV161">
        <f>IF(AND(VLOOKUP(CV$1,main!$A$3:$H$102,7,FALSE)=main!$G$104,VLOOKUP(CV$1,main!$A$3:$H$102,5,FALSE)-VLOOKUP($A161,main!$A$3:$H$102,6,FALSE)&gt;=main!$D$103+VLOOKUP(VLOOKUP(CV$1,main!$A$3:$I$102,7,FALSE),main!$K$26:$Q$29,4,FALSE)),1,0)</f>
        <v>0</v>
      </c>
      <c r="CW161">
        <f>IF(AND(VLOOKUP(CW$1,main!$A$3:$H$102,7,FALSE)=main!$G$104,VLOOKUP(CW$1,main!$A$3:$H$102,5,FALSE)-VLOOKUP($A161,main!$A$3:$H$102,6,FALSE)&gt;=main!$D$103+VLOOKUP(VLOOKUP(CW$1,main!$A$3:$I$102,7,FALSE),main!$K$26:$Q$29,4,FALSE)),1,0)</f>
        <v>0</v>
      </c>
      <c r="CX161">
        <f>IF(AND(VLOOKUP(CX$1,main!$A$3:$H$102,7,FALSE)=main!$G$104,VLOOKUP(CX$1,main!$A$3:$H$102,5,FALSE)-VLOOKUP($A161,main!$A$3:$H$102,6,FALSE)&gt;=main!$D$103+VLOOKUP(VLOOKUP(CX$1,main!$A$3:$I$102,7,FALSE),main!$K$26:$Q$29,4,FALSE)),1,0)</f>
        <v>0</v>
      </c>
    </row>
    <row r="162" spans="1:102" x14ac:dyDescent="0.25">
      <c r="A162" s="1">
        <v>59</v>
      </c>
      <c r="B162">
        <v>0</v>
      </c>
      <c r="C162">
        <f>IF(AND(VLOOKUP(C$1,main!$A$3:$H$102,7,FALSE)=main!$G$104,VLOOKUP(C$1,main!$A$3:$H$102,5,FALSE)-VLOOKUP($A162,main!$A$3:$H$102,6,FALSE)&gt;=main!$D$103+VLOOKUP(VLOOKUP(C$1,main!$A$3:$I$102,7,FALSE),main!$K$26:$Q$29,4,FALSE)),1,0)</f>
        <v>0</v>
      </c>
      <c r="D162">
        <f>IF(AND(VLOOKUP(D$1,main!$A$3:$H$102,7,FALSE)=main!$G$104,VLOOKUP(D$1,main!$A$3:$H$102,5,FALSE)-VLOOKUP($A162,main!$A$3:$H$102,6,FALSE)&gt;=main!$D$103+VLOOKUP(VLOOKUP(D$1,main!$A$3:$I$102,7,FALSE),main!$K$26:$Q$29,4,FALSE)),1,0)</f>
        <v>0</v>
      </c>
      <c r="E162">
        <f>IF(AND(VLOOKUP(E$1,main!$A$3:$H$102,7,FALSE)=main!$G$104,VLOOKUP(E$1,main!$A$3:$H$102,5,FALSE)-VLOOKUP($A162,main!$A$3:$H$102,6,FALSE)&gt;=main!$D$103+VLOOKUP(VLOOKUP(E$1,main!$A$3:$I$102,7,FALSE),main!$K$26:$Q$29,4,FALSE)),1,0)</f>
        <v>0</v>
      </c>
      <c r="F162">
        <f>IF(AND(VLOOKUP(F$1,main!$A$3:$H$102,7,FALSE)=main!$G$104,VLOOKUP(F$1,main!$A$3:$H$102,5,FALSE)-VLOOKUP($A162,main!$A$3:$H$102,6,FALSE)&gt;=main!$D$103+VLOOKUP(VLOOKUP(F$1,main!$A$3:$I$102,7,FALSE),main!$K$26:$Q$29,4,FALSE)),1,0)</f>
        <v>0</v>
      </c>
      <c r="G162">
        <f>IF(AND(VLOOKUP(G$1,main!$A$3:$H$102,7,FALSE)=main!$G$104,VLOOKUP(G$1,main!$A$3:$H$102,5,FALSE)-VLOOKUP($A162,main!$A$3:$H$102,6,FALSE)&gt;=main!$D$103+VLOOKUP(VLOOKUP(G$1,main!$A$3:$I$102,7,FALSE),main!$K$26:$Q$29,4,FALSE)),1,0)</f>
        <v>0</v>
      </c>
      <c r="H162">
        <f>IF(AND(VLOOKUP(H$1,main!$A$3:$H$102,7,FALSE)=main!$G$104,VLOOKUP(H$1,main!$A$3:$H$102,5,FALSE)-VLOOKUP($A162,main!$A$3:$H$102,6,FALSE)&gt;=main!$D$103+VLOOKUP(VLOOKUP(H$1,main!$A$3:$I$102,7,FALSE),main!$K$26:$Q$29,4,FALSE)),1,0)</f>
        <v>0</v>
      </c>
      <c r="I162">
        <f>IF(AND(VLOOKUP(I$1,main!$A$3:$H$102,7,FALSE)=main!$G$104,VLOOKUP(I$1,main!$A$3:$H$102,5,FALSE)-VLOOKUP($A162,main!$A$3:$H$102,6,FALSE)&gt;=main!$D$103+VLOOKUP(VLOOKUP(I$1,main!$A$3:$I$102,7,FALSE),main!$K$26:$Q$29,4,FALSE)),1,0)</f>
        <v>0</v>
      </c>
      <c r="J162">
        <f>IF(AND(VLOOKUP(J$1,main!$A$3:$H$102,7,FALSE)=main!$G$104,VLOOKUP(J$1,main!$A$3:$H$102,5,FALSE)-VLOOKUP($A162,main!$A$3:$H$102,6,FALSE)&gt;=main!$D$103+VLOOKUP(VLOOKUP(J$1,main!$A$3:$I$102,7,FALSE),main!$K$26:$Q$29,4,FALSE)),1,0)</f>
        <v>0</v>
      </c>
      <c r="K162">
        <f>IF(AND(VLOOKUP(K$1,main!$A$3:$H$102,7,FALSE)=main!$G$104,VLOOKUP(K$1,main!$A$3:$H$102,5,FALSE)-VLOOKUP($A162,main!$A$3:$H$102,6,FALSE)&gt;=main!$D$103+VLOOKUP(VLOOKUP(K$1,main!$A$3:$I$102,7,FALSE),main!$K$26:$Q$29,4,FALSE)),1,0)</f>
        <v>0</v>
      </c>
      <c r="L162">
        <f>IF(AND(VLOOKUP(L$1,main!$A$3:$H$102,7,FALSE)=main!$G$104,VLOOKUP(L$1,main!$A$3:$H$102,5,FALSE)-VLOOKUP($A162,main!$A$3:$H$102,6,FALSE)&gt;=main!$D$103+VLOOKUP(VLOOKUP(L$1,main!$A$3:$I$102,7,FALSE),main!$K$26:$Q$29,4,FALSE)),1,0)</f>
        <v>0</v>
      </c>
      <c r="M162">
        <f>IF(AND(VLOOKUP(M$1,main!$A$3:$H$102,7,FALSE)=main!$G$104,VLOOKUP(M$1,main!$A$3:$H$102,5,FALSE)-VLOOKUP($A162,main!$A$3:$H$102,6,FALSE)&gt;=main!$D$103+VLOOKUP(VLOOKUP(M$1,main!$A$3:$I$102,7,FALSE),main!$K$26:$Q$29,4,FALSE)),1,0)</f>
        <v>0</v>
      </c>
      <c r="N162">
        <f>IF(AND(VLOOKUP(N$1,main!$A$3:$H$102,7,FALSE)=main!$G$104,VLOOKUP(N$1,main!$A$3:$H$102,5,FALSE)-VLOOKUP($A162,main!$A$3:$H$102,6,FALSE)&gt;=main!$D$103+VLOOKUP(VLOOKUP(N$1,main!$A$3:$I$102,7,FALSE),main!$K$26:$Q$29,4,FALSE)),1,0)</f>
        <v>0</v>
      </c>
      <c r="O162">
        <f>IF(AND(VLOOKUP(O$1,main!$A$3:$H$102,7,FALSE)=main!$G$104,VLOOKUP(O$1,main!$A$3:$H$102,5,FALSE)-VLOOKUP($A162,main!$A$3:$H$102,6,FALSE)&gt;=main!$D$103+VLOOKUP(VLOOKUP(O$1,main!$A$3:$I$102,7,FALSE),main!$K$26:$Q$29,4,FALSE)),1,0)</f>
        <v>0</v>
      </c>
      <c r="P162">
        <f>IF(AND(VLOOKUP(P$1,main!$A$3:$H$102,7,FALSE)=main!$G$104,VLOOKUP(P$1,main!$A$3:$H$102,5,FALSE)-VLOOKUP($A162,main!$A$3:$H$102,6,FALSE)&gt;=main!$D$103+VLOOKUP(VLOOKUP(P$1,main!$A$3:$I$102,7,FALSE),main!$K$26:$Q$29,4,FALSE)),1,0)</f>
        <v>0</v>
      </c>
      <c r="Q162">
        <f>IF(AND(VLOOKUP(Q$1,main!$A$3:$H$102,7,FALSE)=main!$G$104,VLOOKUP(Q$1,main!$A$3:$H$102,5,FALSE)-VLOOKUP($A162,main!$A$3:$H$102,6,FALSE)&gt;=main!$D$103+VLOOKUP(VLOOKUP(Q$1,main!$A$3:$I$102,7,FALSE),main!$K$26:$Q$29,4,FALSE)),1,0)</f>
        <v>0</v>
      </c>
      <c r="R162">
        <f>IF(AND(VLOOKUP(R$1,main!$A$3:$H$102,7,FALSE)=main!$G$104,VLOOKUP(R$1,main!$A$3:$H$102,5,FALSE)-VLOOKUP($A162,main!$A$3:$H$102,6,FALSE)&gt;=main!$D$103+VLOOKUP(VLOOKUP(R$1,main!$A$3:$I$102,7,FALSE),main!$K$26:$Q$29,4,FALSE)),1,0)</f>
        <v>0</v>
      </c>
      <c r="S162">
        <f>IF(AND(VLOOKUP(S$1,main!$A$3:$H$102,7,FALSE)=main!$G$104,VLOOKUP(S$1,main!$A$3:$H$102,5,FALSE)-VLOOKUP($A162,main!$A$3:$H$102,6,FALSE)&gt;=main!$D$103+VLOOKUP(VLOOKUP(S$1,main!$A$3:$I$102,7,FALSE),main!$K$26:$Q$29,4,FALSE)),1,0)</f>
        <v>0</v>
      </c>
      <c r="T162">
        <f>IF(AND(VLOOKUP(T$1,main!$A$3:$H$102,7,FALSE)=main!$G$104,VLOOKUP(T$1,main!$A$3:$H$102,5,FALSE)-VLOOKUP($A162,main!$A$3:$H$102,6,FALSE)&gt;=main!$D$103+VLOOKUP(VLOOKUP(T$1,main!$A$3:$I$102,7,FALSE),main!$K$26:$Q$29,4,FALSE)),1,0)</f>
        <v>0</v>
      </c>
      <c r="U162">
        <f>IF(AND(VLOOKUP(U$1,main!$A$3:$H$102,7,FALSE)=main!$G$104,VLOOKUP(U$1,main!$A$3:$H$102,5,FALSE)-VLOOKUP($A162,main!$A$3:$H$102,6,FALSE)&gt;=main!$D$103+VLOOKUP(VLOOKUP(U$1,main!$A$3:$I$102,7,FALSE),main!$K$26:$Q$29,4,FALSE)),1,0)</f>
        <v>0</v>
      </c>
      <c r="V162">
        <f>IF(AND(VLOOKUP(V$1,main!$A$3:$H$102,7,FALSE)=main!$G$104,VLOOKUP(V$1,main!$A$3:$H$102,5,FALSE)-VLOOKUP($A162,main!$A$3:$H$102,6,FALSE)&gt;=main!$D$103+VLOOKUP(VLOOKUP(V$1,main!$A$3:$I$102,7,FALSE),main!$K$26:$Q$29,4,FALSE)),1,0)</f>
        <v>0</v>
      </c>
      <c r="W162">
        <f>IF(AND(VLOOKUP(W$1,main!$A$3:$H$102,7,FALSE)=main!$G$104,VLOOKUP(W$1,main!$A$3:$H$102,5,FALSE)-VLOOKUP($A162,main!$A$3:$H$102,6,FALSE)&gt;=main!$D$103+VLOOKUP(VLOOKUP(W$1,main!$A$3:$I$102,7,FALSE),main!$K$26:$Q$29,4,FALSE)),1,0)</f>
        <v>0</v>
      </c>
      <c r="X162">
        <f>IF(AND(VLOOKUP(X$1,main!$A$3:$H$102,7,FALSE)=main!$G$104,VLOOKUP(X$1,main!$A$3:$H$102,5,FALSE)-VLOOKUP($A162,main!$A$3:$H$102,6,FALSE)&gt;=main!$D$103+VLOOKUP(VLOOKUP(X$1,main!$A$3:$I$102,7,FALSE),main!$K$26:$Q$29,4,FALSE)),1,0)</f>
        <v>0</v>
      </c>
      <c r="Y162">
        <f>IF(AND(VLOOKUP(Y$1,main!$A$3:$H$102,7,FALSE)=main!$G$104,VLOOKUP(Y$1,main!$A$3:$H$102,5,FALSE)-VLOOKUP($A162,main!$A$3:$H$102,6,FALSE)&gt;=main!$D$103+VLOOKUP(VLOOKUP(Y$1,main!$A$3:$I$102,7,FALSE),main!$K$26:$Q$29,4,FALSE)),1,0)</f>
        <v>0</v>
      </c>
      <c r="Z162">
        <f>IF(AND(VLOOKUP(Z$1,main!$A$3:$H$102,7,FALSE)=main!$G$104,VLOOKUP(Z$1,main!$A$3:$H$102,5,FALSE)-VLOOKUP($A162,main!$A$3:$H$102,6,FALSE)&gt;=main!$D$103+VLOOKUP(VLOOKUP(Z$1,main!$A$3:$I$102,7,FALSE),main!$K$26:$Q$29,4,FALSE)),1,0)</f>
        <v>0</v>
      </c>
      <c r="AA162">
        <f>IF(AND(VLOOKUP(AA$1,main!$A$3:$H$102,7,FALSE)=main!$G$104,VLOOKUP(AA$1,main!$A$3:$H$102,5,FALSE)-VLOOKUP($A162,main!$A$3:$H$102,6,FALSE)&gt;=main!$D$103+VLOOKUP(VLOOKUP(AA$1,main!$A$3:$I$102,7,FALSE),main!$K$26:$Q$29,4,FALSE)),1,0)</f>
        <v>0</v>
      </c>
      <c r="AB162">
        <f>IF(AND(VLOOKUP(AB$1,main!$A$3:$H$102,7,FALSE)=main!$G$104,VLOOKUP(AB$1,main!$A$3:$H$102,5,FALSE)-VLOOKUP($A162,main!$A$3:$H$102,6,FALSE)&gt;=main!$D$103+VLOOKUP(VLOOKUP(AB$1,main!$A$3:$I$102,7,FALSE),main!$K$26:$Q$29,4,FALSE)),1,0)</f>
        <v>0</v>
      </c>
      <c r="AC162">
        <f>IF(AND(VLOOKUP(AC$1,main!$A$3:$H$102,7,FALSE)=main!$G$104,VLOOKUP(AC$1,main!$A$3:$H$102,5,FALSE)-VLOOKUP($A162,main!$A$3:$H$102,6,FALSE)&gt;=main!$D$103+VLOOKUP(VLOOKUP(AC$1,main!$A$3:$I$102,7,FALSE),main!$K$26:$Q$29,4,FALSE)),1,0)</f>
        <v>0</v>
      </c>
      <c r="AD162">
        <f>IF(AND(VLOOKUP(AD$1,main!$A$3:$H$102,7,FALSE)=main!$G$104,VLOOKUP(AD$1,main!$A$3:$H$102,5,FALSE)-VLOOKUP($A162,main!$A$3:$H$102,6,FALSE)&gt;=main!$D$103+VLOOKUP(VLOOKUP(AD$1,main!$A$3:$I$102,7,FALSE),main!$K$26:$Q$29,4,FALSE)),1,0)</f>
        <v>0</v>
      </c>
      <c r="AE162">
        <f>IF(AND(VLOOKUP(AE$1,main!$A$3:$H$102,7,FALSE)=main!$G$104,VLOOKUP(AE$1,main!$A$3:$H$102,5,FALSE)-VLOOKUP($A162,main!$A$3:$H$102,6,FALSE)&gt;=main!$D$103+VLOOKUP(VLOOKUP(AE$1,main!$A$3:$I$102,7,FALSE),main!$K$26:$Q$29,4,FALSE)),1,0)</f>
        <v>0</v>
      </c>
      <c r="AF162">
        <f>IF(AND(VLOOKUP(AF$1,main!$A$3:$H$102,7,FALSE)=main!$G$104,VLOOKUP(AF$1,main!$A$3:$H$102,5,FALSE)-VLOOKUP($A162,main!$A$3:$H$102,6,FALSE)&gt;=main!$D$103+VLOOKUP(VLOOKUP(AF$1,main!$A$3:$I$102,7,FALSE),main!$K$26:$Q$29,4,FALSE)),1,0)</f>
        <v>0</v>
      </c>
      <c r="AG162">
        <f>IF(AND(VLOOKUP(AG$1,main!$A$3:$H$102,7,FALSE)=main!$G$104,VLOOKUP(AG$1,main!$A$3:$H$102,5,FALSE)-VLOOKUP($A162,main!$A$3:$H$102,6,FALSE)&gt;=main!$D$103+VLOOKUP(VLOOKUP(AG$1,main!$A$3:$I$102,7,FALSE),main!$K$26:$Q$29,4,FALSE)),1,0)</f>
        <v>0</v>
      </c>
      <c r="AH162">
        <f>IF(AND(VLOOKUP(AH$1,main!$A$3:$H$102,7,FALSE)=main!$G$104,VLOOKUP(AH$1,main!$A$3:$H$102,5,FALSE)-VLOOKUP($A162,main!$A$3:$H$102,6,FALSE)&gt;=main!$D$103+VLOOKUP(VLOOKUP(AH$1,main!$A$3:$I$102,7,FALSE),main!$K$26:$Q$29,4,FALSE)),1,0)</f>
        <v>0</v>
      </c>
      <c r="AI162">
        <f>IF(AND(VLOOKUP(AI$1,main!$A$3:$H$102,7,FALSE)=main!$G$104,VLOOKUP(AI$1,main!$A$3:$H$102,5,FALSE)-VLOOKUP($A162,main!$A$3:$H$102,6,FALSE)&gt;=main!$D$103+VLOOKUP(VLOOKUP(AI$1,main!$A$3:$I$102,7,FALSE),main!$K$26:$Q$29,4,FALSE)),1,0)</f>
        <v>0</v>
      </c>
      <c r="AJ162">
        <f>IF(AND(VLOOKUP(AJ$1,main!$A$3:$H$102,7,FALSE)=main!$G$104,VLOOKUP(AJ$1,main!$A$3:$H$102,5,FALSE)-VLOOKUP($A162,main!$A$3:$H$102,6,FALSE)&gt;=main!$D$103+VLOOKUP(VLOOKUP(AJ$1,main!$A$3:$I$102,7,FALSE),main!$K$26:$Q$29,4,FALSE)),1,0)</f>
        <v>0</v>
      </c>
      <c r="AK162">
        <f>IF(AND(VLOOKUP(AK$1,main!$A$3:$H$102,7,FALSE)=main!$G$104,VLOOKUP(AK$1,main!$A$3:$H$102,5,FALSE)-VLOOKUP($A162,main!$A$3:$H$102,6,FALSE)&gt;=main!$D$103+VLOOKUP(VLOOKUP(AK$1,main!$A$3:$I$102,7,FALSE),main!$K$26:$Q$29,4,FALSE)),1,0)</f>
        <v>0</v>
      </c>
      <c r="AL162">
        <f>IF(AND(VLOOKUP(AL$1,main!$A$3:$H$102,7,FALSE)=main!$G$104,VLOOKUP(AL$1,main!$A$3:$H$102,5,FALSE)-VLOOKUP($A162,main!$A$3:$H$102,6,FALSE)&gt;=main!$D$103+VLOOKUP(VLOOKUP(AL$1,main!$A$3:$I$102,7,FALSE),main!$K$26:$Q$29,4,FALSE)),1,0)</f>
        <v>0</v>
      </c>
      <c r="AM162">
        <f>IF(AND(VLOOKUP(AM$1,main!$A$3:$H$102,7,FALSE)=main!$G$104,VLOOKUP(AM$1,main!$A$3:$H$102,5,FALSE)-VLOOKUP($A162,main!$A$3:$H$102,6,FALSE)&gt;=main!$D$103+VLOOKUP(VLOOKUP(AM$1,main!$A$3:$I$102,7,FALSE),main!$K$26:$Q$29,4,FALSE)),1,0)</f>
        <v>0</v>
      </c>
      <c r="AN162">
        <f>IF(AND(VLOOKUP(AN$1,main!$A$3:$H$102,7,FALSE)=main!$G$104,VLOOKUP(AN$1,main!$A$3:$H$102,5,FALSE)-VLOOKUP($A162,main!$A$3:$H$102,6,FALSE)&gt;=main!$D$103+VLOOKUP(VLOOKUP(AN$1,main!$A$3:$I$102,7,FALSE),main!$K$26:$Q$29,4,FALSE)),1,0)</f>
        <v>0</v>
      </c>
      <c r="AO162">
        <f>IF(AND(VLOOKUP(AO$1,main!$A$3:$H$102,7,FALSE)=main!$G$104,VLOOKUP(AO$1,main!$A$3:$H$102,5,FALSE)-VLOOKUP($A162,main!$A$3:$H$102,6,FALSE)&gt;=main!$D$103+VLOOKUP(VLOOKUP(AO$1,main!$A$3:$I$102,7,FALSE),main!$K$26:$Q$29,4,FALSE)),1,0)</f>
        <v>0</v>
      </c>
      <c r="AP162">
        <f>IF(AND(VLOOKUP(AP$1,main!$A$3:$H$102,7,FALSE)=main!$G$104,VLOOKUP(AP$1,main!$A$3:$H$102,5,FALSE)-VLOOKUP($A162,main!$A$3:$H$102,6,FALSE)&gt;=main!$D$103+VLOOKUP(VLOOKUP(AP$1,main!$A$3:$I$102,7,FALSE),main!$K$26:$Q$29,4,FALSE)),1,0)</f>
        <v>0</v>
      </c>
      <c r="AQ162">
        <f>IF(AND(VLOOKUP(AQ$1,main!$A$3:$H$102,7,FALSE)=main!$G$104,VLOOKUP(AQ$1,main!$A$3:$H$102,5,FALSE)-VLOOKUP($A162,main!$A$3:$H$102,6,FALSE)&gt;=main!$D$103+VLOOKUP(VLOOKUP(AQ$1,main!$A$3:$I$102,7,FALSE),main!$K$26:$Q$29,4,FALSE)),1,0)</f>
        <v>0</v>
      </c>
      <c r="AR162">
        <f>IF(AND(VLOOKUP(AR$1,main!$A$3:$H$102,7,FALSE)=main!$G$104,VLOOKUP(AR$1,main!$A$3:$H$102,5,FALSE)-VLOOKUP($A162,main!$A$3:$H$102,6,FALSE)&gt;=main!$D$103+VLOOKUP(VLOOKUP(AR$1,main!$A$3:$I$102,7,FALSE),main!$K$26:$Q$29,4,FALSE)),1,0)</f>
        <v>0</v>
      </c>
      <c r="AS162">
        <f>IF(AND(VLOOKUP(AS$1,main!$A$3:$H$102,7,FALSE)=main!$G$104,VLOOKUP(AS$1,main!$A$3:$H$102,5,FALSE)-VLOOKUP($A162,main!$A$3:$H$102,6,FALSE)&gt;=main!$D$103+VLOOKUP(VLOOKUP(AS$1,main!$A$3:$I$102,7,FALSE),main!$K$26:$Q$29,4,FALSE)),1,0)</f>
        <v>0</v>
      </c>
      <c r="AT162">
        <f>IF(AND(VLOOKUP(AT$1,main!$A$3:$H$102,7,FALSE)=main!$G$104,VLOOKUP(AT$1,main!$A$3:$H$102,5,FALSE)-VLOOKUP($A162,main!$A$3:$H$102,6,FALSE)&gt;=main!$D$103+VLOOKUP(VLOOKUP(AT$1,main!$A$3:$I$102,7,FALSE),main!$K$26:$Q$29,4,FALSE)),1,0)</f>
        <v>0</v>
      </c>
      <c r="AU162">
        <f>IF(AND(VLOOKUP(AU$1,main!$A$3:$H$102,7,FALSE)=main!$G$104,VLOOKUP(AU$1,main!$A$3:$H$102,5,FALSE)-VLOOKUP($A162,main!$A$3:$H$102,6,FALSE)&gt;=main!$D$103+VLOOKUP(VLOOKUP(AU$1,main!$A$3:$I$102,7,FALSE),main!$K$26:$Q$29,4,FALSE)),1,0)</f>
        <v>0</v>
      </c>
      <c r="AV162">
        <f>IF(AND(VLOOKUP(AV$1,main!$A$3:$H$102,7,FALSE)=main!$G$104,VLOOKUP(AV$1,main!$A$3:$H$102,5,FALSE)-VLOOKUP($A162,main!$A$3:$H$102,6,FALSE)&gt;=main!$D$103+VLOOKUP(VLOOKUP(AV$1,main!$A$3:$I$102,7,FALSE),main!$K$26:$Q$29,4,FALSE)),1,0)</f>
        <v>0</v>
      </c>
      <c r="AW162">
        <f>IF(AND(VLOOKUP(AW$1,main!$A$3:$H$102,7,FALSE)=main!$G$104,VLOOKUP(AW$1,main!$A$3:$H$102,5,FALSE)-VLOOKUP($A162,main!$A$3:$H$102,6,FALSE)&gt;=main!$D$103+VLOOKUP(VLOOKUP(AW$1,main!$A$3:$I$102,7,FALSE),main!$K$26:$Q$29,4,FALSE)),1,0)</f>
        <v>0</v>
      </c>
      <c r="AX162">
        <f>IF(AND(VLOOKUP(AX$1,main!$A$3:$H$102,7,FALSE)=main!$G$104,VLOOKUP(AX$1,main!$A$3:$H$102,5,FALSE)-VLOOKUP($A162,main!$A$3:$H$102,6,FALSE)&gt;=main!$D$103+VLOOKUP(VLOOKUP(AX$1,main!$A$3:$I$102,7,FALSE),main!$K$26:$Q$29,4,FALSE)),1,0)</f>
        <v>0</v>
      </c>
      <c r="AY162">
        <f>IF(AND(VLOOKUP(AY$1,main!$A$3:$H$102,7,FALSE)=main!$G$104,VLOOKUP(AY$1,main!$A$3:$H$102,5,FALSE)-VLOOKUP($A162,main!$A$3:$H$102,6,FALSE)&gt;=main!$D$103+VLOOKUP(VLOOKUP(AY$1,main!$A$3:$I$102,7,FALSE),main!$K$26:$Q$29,4,FALSE)),1,0)</f>
        <v>0</v>
      </c>
      <c r="AZ162">
        <f>IF(AND(VLOOKUP(AZ$1,main!$A$3:$H$102,7,FALSE)=main!$G$104,VLOOKUP(AZ$1,main!$A$3:$H$102,5,FALSE)-VLOOKUP($A162,main!$A$3:$H$102,6,FALSE)&gt;=main!$D$103+VLOOKUP(VLOOKUP(AZ$1,main!$A$3:$I$102,7,FALSE),main!$K$26:$Q$29,4,FALSE)),1,0)</f>
        <v>0</v>
      </c>
      <c r="BA162">
        <f>IF(AND(VLOOKUP(BA$1,main!$A$3:$H$102,7,FALSE)=main!$G$104,VLOOKUP(BA$1,main!$A$3:$H$102,5,FALSE)-VLOOKUP($A162,main!$A$3:$H$102,6,FALSE)&gt;=main!$D$103+VLOOKUP(VLOOKUP(BA$1,main!$A$3:$I$102,7,FALSE),main!$K$26:$Q$29,4,FALSE)),1,0)</f>
        <v>0</v>
      </c>
      <c r="BB162">
        <f>IF(AND(VLOOKUP(BB$1,main!$A$3:$H$102,7,FALSE)=main!$G$104,VLOOKUP(BB$1,main!$A$3:$H$102,5,FALSE)-VLOOKUP($A162,main!$A$3:$H$102,6,FALSE)&gt;=main!$D$103+VLOOKUP(VLOOKUP(BB$1,main!$A$3:$I$102,7,FALSE),main!$K$26:$Q$29,4,FALSE)),1,0)</f>
        <v>0</v>
      </c>
      <c r="BC162">
        <f>IF(AND(VLOOKUP(BC$1,main!$A$3:$H$102,7,FALSE)=main!$G$104,VLOOKUP(BC$1,main!$A$3:$H$102,5,FALSE)-VLOOKUP($A162,main!$A$3:$H$102,6,FALSE)&gt;=main!$D$103+VLOOKUP(VLOOKUP(BC$1,main!$A$3:$I$102,7,FALSE),main!$K$26:$Q$29,4,FALSE)),1,0)</f>
        <v>0</v>
      </c>
      <c r="BD162">
        <f>IF(AND(VLOOKUP(BD$1,main!$A$3:$H$102,7,FALSE)=main!$G$104,VLOOKUP(BD$1,main!$A$3:$H$102,5,FALSE)-VLOOKUP($A162,main!$A$3:$H$102,6,FALSE)&gt;=main!$D$103+VLOOKUP(VLOOKUP(BD$1,main!$A$3:$I$102,7,FALSE),main!$K$26:$Q$29,4,FALSE)),1,0)</f>
        <v>0</v>
      </c>
      <c r="BE162">
        <f>IF(AND(VLOOKUP(BE$1,main!$A$3:$H$102,7,FALSE)=main!$G$104,VLOOKUP(BE$1,main!$A$3:$H$102,5,FALSE)-VLOOKUP($A162,main!$A$3:$H$102,6,FALSE)&gt;=main!$D$103+VLOOKUP(VLOOKUP(BE$1,main!$A$3:$I$102,7,FALSE),main!$K$26:$Q$29,4,FALSE)),1,0)</f>
        <v>0</v>
      </c>
      <c r="BF162">
        <f>IF(AND(VLOOKUP(BF$1,main!$A$3:$H$102,7,FALSE)=main!$G$104,VLOOKUP(BF$1,main!$A$3:$H$102,5,FALSE)-VLOOKUP($A162,main!$A$3:$H$102,6,FALSE)&gt;=main!$D$103+VLOOKUP(VLOOKUP(BF$1,main!$A$3:$I$102,7,FALSE),main!$K$26:$Q$29,4,FALSE)),1,0)</f>
        <v>0</v>
      </c>
      <c r="BG162">
        <f>IF(AND(VLOOKUP(BG$1,main!$A$3:$H$102,7,FALSE)=main!$G$104,VLOOKUP(BG$1,main!$A$3:$H$102,5,FALSE)-VLOOKUP($A162,main!$A$3:$H$102,6,FALSE)&gt;=main!$D$103+VLOOKUP(VLOOKUP(BG$1,main!$A$3:$I$102,7,FALSE),main!$K$26:$Q$29,4,FALSE)),1,0)</f>
        <v>0</v>
      </c>
      <c r="BH162">
        <f>IF(AND(VLOOKUP(BH$1,main!$A$3:$H$102,7,FALSE)=main!$G$104,VLOOKUP(BH$1,main!$A$3:$H$102,5,FALSE)-VLOOKUP($A162,main!$A$3:$H$102,6,FALSE)&gt;=main!$D$103+VLOOKUP(VLOOKUP(BH$1,main!$A$3:$I$102,7,FALSE),main!$K$26:$Q$29,4,FALSE)),1,0)</f>
        <v>0</v>
      </c>
      <c r="BI162">
        <f>IF(AND(VLOOKUP(BI$1,main!$A$3:$H$102,7,FALSE)=main!$G$104,VLOOKUP(BI$1,main!$A$3:$H$102,5,FALSE)-VLOOKUP($A162,main!$A$3:$H$102,6,FALSE)&gt;=main!$D$103+VLOOKUP(VLOOKUP(BI$1,main!$A$3:$I$102,7,FALSE),main!$K$26:$Q$29,4,FALSE)),1,0)</f>
        <v>0</v>
      </c>
      <c r="BJ162">
        <f>IF(AND(VLOOKUP(BJ$1,main!$A$3:$H$102,7,FALSE)=main!$G$104,VLOOKUP(BJ$1,main!$A$3:$H$102,5,FALSE)-VLOOKUP($A162,main!$A$3:$H$102,6,FALSE)&gt;=main!$D$103+VLOOKUP(VLOOKUP(BJ$1,main!$A$3:$I$102,7,FALSE),main!$K$26:$Q$29,4,FALSE)),1,0)</f>
        <v>0</v>
      </c>
      <c r="BK162">
        <f>IF(AND(VLOOKUP(BK$1,main!$A$3:$H$102,7,FALSE)=main!$G$104,VLOOKUP(BK$1,main!$A$3:$H$102,5,FALSE)-VLOOKUP($A162,main!$A$3:$H$102,6,FALSE)&gt;=main!$D$103+VLOOKUP(VLOOKUP(BK$1,main!$A$3:$I$102,7,FALSE),main!$K$26:$Q$29,4,FALSE)),1,0)</f>
        <v>0</v>
      </c>
      <c r="BL162">
        <f>IF(AND(VLOOKUP(BL$1,main!$A$3:$H$102,7,FALSE)=main!$G$104,VLOOKUP(BL$1,main!$A$3:$H$102,5,FALSE)-VLOOKUP($A162,main!$A$3:$H$102,6,FALSE)&gt;=main!$D$103+VLOOKUP(VLOOKUP(BL$1,main!$A$3:$I$102,7,FALSE),main!$K$26:$Q$29,4,FALSE)),1,0)</f>
        <v>0</v>
      </c>
      <c r="BM162">
        <f>IF(AND(VLOOKUP(BM$1,main!$A$3:$H$102,7,FALSE)=main!$G$104,VLOOKUP(BM$1,main!$A$3:$H$102,5,FALSE)-VLOOKUP($A162,main!$A$3:$H$102,6,FALSE)&gt;=main!$D$103+VLOOKUP(VLOOKUP(BM$1,main!$A$3:$I$102,7,FALSE),main!$K$26:$Q$29,4,FALSE)),1,0)</f>
        <v>0</v>
      </c>
      <c r="BN162">
        <f>IF(AND(VLOOKUP(BN$1,main!$A$3:$H$102,7,FALSE)=main!$G$104,VLOOKUP(BN$1,main!$A$3:$H$102,5,FALSE)-VLOOKUP($A162,main!$A$3:$H$102,6,FALSE)&gt;=main!$D$103+VLOOKUP(VLOOKUP(BN$1,main!$A$3:$I$102,7,FALSE),main!$K$26:$Q$29,4,FALSE)),1,0)</f>
        <v>0</v>
      </c>
      <c r="BO162">
        <f>IF(AND(VLOOKUP(BO$1,main!$A$3:$H$102,7,FALSE)=main!$G$104,VLOOKUP(BO$1,main!$A$3:$H$102,5,FALSE)-VLOOKUP($A162,main!$A$3:$H$102,6,FALSE)&gt;=main!$D$103+VLOOKUP(VLOOKUP(BO$1,main!$A$3:$I$102,7,FALSE),main!$K$26:$Q$29,4,FALSE)),1,0)</f>
        <v>0</v>
      </c>
      <c r="BP162">
        <f>IF(AND(VLOOKUP(BP$1,main!$A$3:$H$102,7,FALSE)=main!$G$104,VLOOKUP(BP$1,main!$A$3:$H$102,5,FALSE)-VLOOKUP($A162,main!$A$3:$H$102,6,FALSE)&gt;=main!$D$103+VLOOKUP(VLOOKUP(BP$1,main!$A$3:$I$102,7,FALSE),main!$K$26:$Q$29,4,FALSE)),1,0)</f>
        <v>0</v>
      </c>
      <c r="BQ162">
        <f>IF(AND(VLOOKUP(BQ$1,main!$A$3:$H$102,7,FALSE)=main!$G$104,VLOOKUP(BQ$1,main!$A$3:$H$102,5,FALSE)-VLOOKUP($A162,main!$A$3:$H$102,6,FALSE)&gt;=main!$D$103+VLOOKUP(VLOOKUP(BQ$1,main!$A$3:$I$102,7,FALSE),main!$K$26:$Q$29,4,FALSE)),1,0)</f>
        <v>0</v>
      </c>
      <c r="BR162">
        <f>IF(AND(VLOOKUP(BR$1,main!$A$3:$H$102,7,FALSE)=main!$G$104,VLOOKUP(BR$1,main!$A$3:$H$102,5,FALSE)-VLOOKUP($A162,main!$A$3:$H$102,6,FALSE)&gt;=main!$D$103+VLOOKUP(VLOOKUP(BR$1,main!$A$3:$I$102,7,FALSE),main!$K$26:$Q$29,4,FALSE)),1,0)</f>
        <v>0</v>
      </c>
      <c r="BS162">
        <f>IF(AND(VLOOKUP(BS$1,main!$A$3:$H$102,7,FALSE)=main!$G$104,VLOOKUP(BS$1,main!$A$3:$H$102,5,FALSE)-VLOOKUP($A162,main!$A$3:$H$102,6,FALSE)&gt;=main!$D$103+VLOOKUP(VLOOKUP(BS$1,main!$A$3:$I$102,7,FALSE),main!$K$26:$Q$29,4,FALSE)),1,0)</f>
        <v>0</v>
      </c>
      <c r="BT162">
        <f>IF(AND(VLOOKUP(BT$1,main!$A$3:$H$102,7,FALSE)=main!$G$104,VLOOKUP(BT$1,main!$A$3:$H$102,5,FALSE)-VLOOKUP($A162,main!$A$3:$H$102,6,FALSE)&gt;=main!$D$103+VLOOKUP(VLOOKUP(BT$1,main!$A$3:$I$102,7,FALSE),main!$K$26:$Q$29,4,FALSE)),1,0)</f>
        <v>0</v>
      </c>
      <c r="BU162">
        <f>IF(AND(VLOOKUP(BU$1,main!$A$3:$H$102,7,FALSE)=main!$G$104,VLOOKUP(BU$1,main!$A$3:$H$102,5,FALSE)-VLOOKUP($A162,main!$A$3:$H$102,6,FALSE)&gt;=main!$D$103+VLOOKUP(VLOOKUP(BU$1,main!$A$3:$I$102,7,FALSE),main!$K$26:$Q$29,4,FALSE)),1,0)</f>
        <v>0</v>
      </c>
      <c r="BV162">
        <f>IF(AND(VLOOKUP(BV$1,main!$A$3:$H$102,7,FALSE)=main!$G$104,VLOOKUP(BV$1,main!$A$3:$H$102,5,FALSE)-VLOOKUP($A162,main!$A$3:$H$102,6,FALSE)&gt;=main!$D$103+VLOOKUP(VLOOKUP(BV$1,main!$A$3:$I$102,7,FALSE),main!$K$26:$Q$29,4,FALSE)),1,0)</f>
        <v>0</v>
      </c>
      <c r="BW162">
        <f>IF(AND(VLOOKUP(BW$1,main!$A$3:$H$102,7,FALSE)=main!$G$104,VLOOKUP(BW$1,main!$A$3:$H$102,5,FALSE)-VLOOKUP($A162,main!$A$3:$H$102,6,FALSE)&gt;=main!$D$103+VLOOKUP(VLOOKUP(BW$1,main!$A$3:$I$102,7,FALSE),main!$K$26:$Q$29,4,FALSE)),1,0)</f>
        <v>0</v>
      </c>
      <c r="BX162">
        <f>IF(AND(VLOOKUP(BX$1,main!$A$3:$H$102,7,FALSE)=main!$G$104,VLOOKUP(BX$1,main!$A$3:$H$102,5,FALSE)-VLOOKUP($A162,main!$A$3:$H$102,6,FALSE)&gt;=main!$D$103+VLOOKUP(VLOOKUP(BX$1,main!$A$3:$I$102,7,FALSE),main!$K$26:$Q$29,4,FALSE)),1,0)</f>
        <v>0</v>
      </c>
      <c r="BY162">
        <f>IF(AND(VLOOKUP(BY$1,main!$A$3:$H$102,7,FALSE)=main!$G$104,VLOOKUP(BY$1,main!$A$3:$H$102,5,FALSE)-VLOOKUP($A162,main!$A$3:$H$102,6,FALSE)&gt;=main!$D$103+VLOOKUP(VLOOKUP(BY$1,main!$A$3:$I$102,7,FALSE),main!$K$26:$Q$29,4,FALSE)),1,0)</f>
        <v>0</v>
      </c>
      <c r="BZ162">
        <f>IF(AND(VLOOKUP(BZ$1,main!$A$3:$H$102,7,FALSE)=main!$G$104,VLOOKUP(BZ$1,main!$A$3:$H$102,5,FALSE)-VLOOKUP($A162,main!$A$3:$H$102,6,FALSE)&gt;=main!$D$103+VLOOKUP(VLOOKUP(BZ$1,main!$A$3:$I$102,7,FALSE),main!$K$26:$Q$29,4,FALSE)),1,0)</f>
        <v>0</v>
      </c>
      <c r="CA162">
        <f>IF(AND(VLOOKUP(CA$1,main!$A$3:$H$102,7,FALSE)=main!$G$104,VLOOKUP(CA$1,main!$A$3:$H$102,5,FALSE)-VLOOKUP($A162,main!$A$3:$H$102,6,FALSE)&gt;=main!$D$103+VLOOKUP(VLOOKUP(CA$1,main!$A$3:$I$102,7,FALSE),main!$K$26:$Q$29,4,FALSE)),1,0)</f>
        <v>0</v>
      </c>
      <c r="CB162">
        <f>IF(AND(VLOOKUP(CB$1,main!$A$3:$H$102,7,FALSE)=main!$G$104,VLOOKUP(CB$1,main!$A$3:$H$102,5,FALSE)-VLOOKUP($A162,main!$A$3:$H$102,6,FALSE)&gt;=main!$D$103+VLOOKUP(VLOOKUP(CB$1,main!$A$3:$I$102,7,FALSE),main!$K$26:$Q$29,4,FALSE)),1,0)</f>
        <v>0</v>
      </c>
      <c r="CC162">
        <f>IF(AND(VLOOKUP(CC$1,main!$A$3:$H$102,7,FALSE)=main!$G$104,VLOOKUP(CC$1,main!$A$3:$H$102,5,FALSE)-VLOOKUP($A162,main!$A$3:$H$102,6,FALSE)&gt;=main!$D$103+VLOOKUP(VLOOKUP(CC$1,main!$A$3:$I$102,7,FALSE),main!$K$26:$Q$29,4,FALSE)),1,0)</f>
        <v>0</v>
      </c>
      <c r="CD162">
        <f>IF(AND(VLOOKUP(CD$1,main!$A$3:$H$102,7,FALSE)=main!$G$104,VLOOKUP(CD$1,main!$A$3:$H$102,5,FALSE)-VLOOKUP($A162,main!$A$3:$H$102,6,FALSE)&gt;=main!$D$103+VLOOKUP(VLOOKUP(CD$1,main!$A$3:$I$102,7,FALSE),main!$K$26:$Q$29,4,FALSE)),1,0)</f>
        <v>0</v>
      </c>
      <c r="CE162">
        <f>IF(AND(VLOOKUP(CE$1,main!$A$3:$H$102,7,FALSE)=main!$G$104,VLOOKUP(CE$1,main!$A$3:$H$102,5,FALSE)-VLOOKUP($A162,main!$A$3:$H$102,6,FALSE)&gt;=main!$D$103+VLOOKUP(VLOOKUP(CE$1,main!$A$3:$I$102,7,FALSE),main!$K$26:$Q$29,4,FALSE)),1,0)</f>
        <v>0</v>
      </c>
      <c r="CF162">
        <f>IF(AND(VLOOKUP(CF$1,main!$A$3:$H$102,7,FALSE)=main!$G$104,VLOOKUP(CF$1,main!$A$3:$H$102,5,FALSE)-VLOOKUP($A162,main!$A$3:$H$102,6,FALSE)&gt;=main!$D$103+VLOOKUP(VLOOKUP(CF$1,main!$A$3:$I$102,7,FALSE),main!$K$26:$Q$29,4,FALSE)),1,0)</f>
        <v>0</v>
      </c>
      <c r="CG162">
        <f>IF(AND(VLOOKUP(CG$1,main!$A$3:$H$102,7,FALSE)=main!$G$104,VLOOKUP(CG$1,main!$A$3:$H$102,5,FALSE)-VLOOKUP($A162,main!$A$3:$H$102,6,FALSE)&gt;=main!$D$103+VLOOKUP(VLOOKUP(CG$1,main!$A$3:$I$102,7,FALSE),main!$K$26:$Q$29,4,FALSE)),1,0)</f>
        <v>0</v>
      </c>
      <c r="CH162">
        <f>IF(AND(VLOOKUP(CH$1,main!$A$3:$H$102,7,FALSE)=main!$G$104,VLOOKUP(CH$1,main!$A$3:$H$102,5,FALSE)-VLOOKUP($A162,main!$A$3:$H$102,6,FALSE)&gt;=main!$D$103+VLOOKUP(VLOOKUP(CH$1,main!$A$3:$I$102,7,FALSE),main!$K$26:$Q$29,4,FALSE)),1,0)</f>
        <v>0</v>
      </c>
      <c r="CI162">
        <f>IF(AND(VLOOKUP(CI$1,main!$A$3:$H$102,7,FALSE)=main!$G$104,VLOOKUP(CI$1,main!$A$3:$H$102,5,FALSE)-VLOOKUP($A162,main!$A$3:$H$102,6,FALSE)&gt;=main!$D$103+VLOOKUP(VLOOKUP(CI$1,main!$A$3:$I$102,7,FALSE),main!$K$26:$Q$29,4,FALSE)),1,0)</f>
        <v>0</v>
      </c>
      <c r="CJ162">
        <f>IF(AND(VLOOKUP(CJ$1,main!$A$3:$H$102,7,FALSE)=main!$G$104,VLOOKUP(CJ$1,main!$A$3:$H$102,5,FALSE)-VLOOKUP($A162,main!$A$3:$H$102,6,FALSE)&gt;=main!$D$103+VLOOKUP(VLOOKUP(CJ$1,main!$A$3:$I$102,7,FALSE),main!$K$26:$Q$29,4,FALSE)),1,0)</f>
        <v>0</v>
      </c>
      <c r="CK162">
        <f>IF(AND(VLOOKUP(CK$1,main!$A$3:$H$102,7,FALSE)=main!$G$104,VLOOKUP(CK$1,main!$A$3:$H$102,5,FALSE)-VLOOKUP($A162,main!$A$3:$H$102,6,FALSE)&gt;=main!$D$103+VLOOKUP(VLOOKUP(CK$1,main!$A$3:$I$102,7,FALSE),main!$K$26:$Q$29,4,FALSE)),1,0)</f>
        <v>0</v>
      </c>
      <c r="CL162">
        <f>IF(AND(VLOOKUP(CL$1,main!$A$3:$H$102,7,FALSE)=main!$G$104,VLOOKUP(CL$1,main!$A$3:$H$102,5,FALSE)-VLOOKUP($A162,main!$A$3:$H$102,6,FALSE)&gt;=main!$D$103+VLOOKUP(VLOOKUP(CL$1,main!$A$3:$I$102,7,FALSE),main!$K$26:$Q$29,4,FALSE)),1,0)</f>
        <v>0</v>
      </c>
      <c r="CM162">
        <f>IF(AND(VLOOKUP(CM$1,main!$A$3:$H$102,7,FALSE)=main!$G$104,VLOOKUP(CM$1,main!$A$3:$H$102,5,FALSE)-VLOOKUP($A162,main!$A$3:$H$102,6,FALSE)&gt;=main!$D$103+VLOOKUP(VLOOKUP(CM$1,main!$A$3:$I$102,7,FALSE),main!$K$26:$Q$29,4,FALSE)),1,0)</f>
        <v>0</v>
      </c>
      <c r="CN162">
        <f>IF(AND(VLOOKUP(CN$1,main!$A$3:$H$102,7,FALSE)=main!$G$104,VLOOKUP(CN$1,main!$A$3:$H$102,5,FALSE)-VLOOKUP($A162,main!$A$3:$H$102,6,FALSE)&gt;=main!$D$103+VLOOKUP(VLOOKUP(CN$1,main!$A$3:$I$102,7,FALSE),main!$K$26:$Q$29,4,FALSE)),1,0)</f>
        <v>0</v>
      </c>
      <c r="CO162">
        <f>IF(AND(VLOOKUP(CO$1,main!$A$3:$H$102,7,FALSE)=main!$G$104,VLOOKUP(CO$1,main!$A$3:$H$102,5,FALSE)-VLOOKUP($A162,main!$A$3:$H$102,6,FALSE)&gt;=main!$D$103+VLOOKUP(VLOOKUP(CO$1,main!$A$3:$I$102,7,FALSE),main!$K$26:$Q$29,4,FALSE)),1,0)</f>
        <v>0</v>
      </c>
      <c r="CP162">
        <f>IF(AND(VLOOKUP(CP$1,main!$A$3:$H$102,7,FALSE)=main!$G$104,VLOOKUP(CP$1,main!$A$3:$H$102,5,FALSE)-VLOOKUP($A162,main!$A$3:$H$102,6,FALSE)&gt;=main!$D$103+VLOOKUP(VLOOKUP(CP$1,main!$A$3:$I$102,7,FALSE),main!$K$26:$Q$29,4,FALSE)),1,0)</f>
        <v>0</v>
      </c>
      <c r="CQ162">
        <f>IF(AND(VLOOKUP(CQ$1,main!$A$3:$H$102,7,FALSE)=main!$G$104,VLOOKUP(CQ$1,main!$A$3:$H$102,5,FALSE)-VLOOKUP($A162,main!$A$3:$H$102,6,FALSE)&gt;=main!$D$103+VLOOKUP(VLOOKUP(CQ$1,main!$A$3:$I$102,7,FALSE),main!$K$26:$Q$29,4,FALSE)),1,0)</f>
        <v>0</v>
      </c>
      <c r="CR162">
        <f>IF(AND(VLOOKUP(CR$1,main!$A$3:$H$102,7,FALSE)=main!$G$104,VLOOKUP(CR$1,main!$A$3:$H$102,5,FALSE)-VLOOKUP($A162,main!$A$3:$H$102,6,FALSE)&gt;=main!$D$103+VLOOKUP(VLOOKUP(CR$1,main!$A$3:$I$102,7,FALSE),main!$K$26:$Q$29,4,FALSE)),1,0)</f>
        <v>0</v>
      </c>
      <c r="CS162">
        <f>IF(AND(VLOOKUP(CS$1,main!$A$3:$H$102,7,FALSE)=main!$G$104,VLOOKUP(CS$1,main!$A$3:$H$102,5,FALSE)-VLOOKUP($A162,main!$A$3:$H$102,6,FALSE)&gt;=main!$D$103+VLOOKUP(VLOOKUP(CS$1,main!$A$3:$I$102,7,FALSE),main!$K$26:$Q$29,4,FALSE)),1,0)</f>
        <v>0</v>
      </c>
      <c r="CT162">
        <f>IF(AND(VLOOKUP(CT$1,main!$A$3:$H$102,7,FALSE)=main!$G$104,VLOOKUP(CT$1,main!$A$3:$H$102,5,FALSE)-VLOOKUP($A162,main!$A$3:$H$102,6,FALSE)&gt;=main!$D$103+VLOOKUP(VLOOKUP(CT$1,main!$A$3:$I$102,7,FALSE),main!$K$26:$Q$29,4,FALSE)),1,0)</f>
        <v>0</v>
      </c>
      <c r="CU162">
        <f>IF(AND(VLOOKUP(CU$1,main!$A$3:$H$102,7,FALSE)=main!$G$104,VLOOKUP(CU$1,main!$A$3:$H$102,5,FALSE)-VLOOKUP($A162,main!$A$3:$H$102,6,FALSE)&gt;=main!$D$103+VLOOKUP(VLOOKUP(CU$1,main!$A$3:$I$102,7,FALSE),main!$K$26:$Q$29,4,FALSE)),1,0)</f>
        <v>0</v>
      </c>
      <c r="CV162">
        <f>IF(AND(VLOOKUP(CV$1,main!$A$3:$H$102,7,FALSE)=main!$G$104,VLOOKUP(CV$1,main!$A$3:$H$102,5,FALSE)-VLOOKUP($A162,main!$A$3:$H$102,6,FALSE)&gt;=main!$D$103+VLOOKUP(VLOOKUP(CV$1,main!$A$3:$I$102,7,FALSE),main!$K$26:$Q$29,4,FALSE)),1,0)</f>
        <v>0</v>
      </c>
      <c r="CW162">
        <f>IF(AND(VLOOKUP(CW$1,main!$A$3:$H$102,7,FALSE)=main!$G$104,VLOOKUP(CW$1,main!$A$3:$H$102,5,FALSE)-VLOOKUP($A162,main!$A$3:$H$102,6,FALSE)&gt;=main!$D$103+VLOOKUP(VLOOKUP(CW$1,main!$A$3:$I$102,7,FALSE),main!$K$26:$Q$29,4,FALSE)),1,0)</f>
        <v>0</v>
      </c>
      <c r="CX162">
        <f>IF(AND(VLOOKUP(CX$1,main!$A$3:$H$102,7,FALSE)=main!$G$104,VLOOKUP(CX$1,main!$A$3:$H$102,5,FALSE)-VLOOKUP($A162,main!$A$3:$H$102,6,FALSE)&gt;=main!$D$103+VLOOKUP(VLOOKUP(CX$1,main!$A$3:$I$102,7,FALSE),main!$K$26:$Q$29,4,FALSE)),1,0)</f>
        <v>0</v>
      </c>
    </row>
    <row r="163" spans="1:102" x14ac:dyDescent="0.25">
      <c r="A163" s="1">
        <v>60</v>
      </c>
      <c r="B163">
        <v>0</v>
      </c>
      <c r="C163">
        <f>IF(AND(VLOOKUP(C$1,main!$A$3:$H$102,7,FALSE)=main!$G$104,VLOOKUP(C$1,main!$A$3:$H$102,5,FALSE)-VLOOKUP($A163,main!$A$3:$H$102,6,FALSE)&gt;=main!$D$103+VLOOKUP(VLOOKUP(C$1,main!$A$3:$I$102,7,FALSE),main!$K$26:$Q$29,4,FALSE)),1,0)</f>
        <v>0</v>
      </c>
      <c r="D163">
        <f>IF(AND(VLOOKUP(D$1,main!$A$3:$H$102,7,FALSE)=main!$G$104,VLOOKUP(D$1,main!$A$3:$H$102,5,FALSE)-VLOOKUP($A163,main!$A$3:$H$102,6,FALSE)&gt;=main!$D$103+VLOOKUP(VLOOKUP(D$1,main!$A$3:$I$102,7,FALSE),main!$K$26:$Q$29,4,FALSE)),1,0)</f>
        <v>0</v>
      </c>
      <c r="E163">
        <f>IF(AND(VLOOKUP(E$1,main!$A$3:$H$102,7,FALSE)=main!$G$104,VLOOKUP(E$1,main!$A$3:$H$102,5,FALSE)-VLOOKUP($A163,main!$A$3:$H$102,6,FALSE)&gt;=main!$D$103+VLOOKUP(VLOOKUP(E$1,main!$A$3:$I$102,7,FALSE),main!$K$26:$Q$29,4,FALSE)),1,0)</f>
        <v>0</v>
      </c>
      <c r="F163">
        <f>IF(AND(VLOOKUP(F$1,main!$A$3:$H$102,7,FALSE)=main!$G$104,VLOOKUP(F$1,main!$A$3:$H$102,5,FALSE)-VLOOKUP($A163,main!$A$3:$H$102,6,FALSE)&gt;=main!$D$103+VLOOKUP(VLOOKUP(F$1,main!$A$3:$I$102,7,FALSE),main!$K$26:$Q$29,4,FALSE)),1,0)</f>
        <v>0</v>
      </c>
      <c r="G163">
        <f>IF(AND(VLOOKUP(G$1,main!$A$3:$H$102,7,FALSE)=main!$G$104,VLOOKUP(G$1,main!$A$3:$H$102,5,FALSE)-VLOOKUP($A163,main!$A$3:$H$102,6,FALSE)&gt;=main!$D$103+VLOOKUP(VLOOKUP(G$1,main!$A$3:$I$102,7,FALSE),main!$K$26:$Q$29,4,FALSE)),1,0)</f>
        <v>0</v>
      </c>
      <c r="H163">
        <f>IF(AND(VLOOKUP(H$1,main!$A$3:$H$102,7,FALSE)=main!$G$104,VLOOKUP(H$1,main!$A$3:$H$102,5,FALSE)-VLOOKUP($A163,main!$A$3:$H$102,6,FALSE)&gt;=main!$D$103+VLOOKUP(VLOOKUP(H$1,main!$A$3:$I$102,7,FALSE),main!$K$26:$Q$29,4,FALSE)),1,0)</f>
        <v>0</v>
      </c>
      <c r="I163">
        <f>IF(AND(VLOOKUP(I$1,main!$A$3:$H$102,7,FALSE)=main!$G$104,VLOOKUP(I$1,main!$A$3:$H$102,5,FALSE)-VLOOKUP($A163,main!$A$3:$H$102,6,FALSE)&gt;=main!$D$103+VLOOKUP(VLOOKUP(I$1,main!$A$3:$I$102,7,FALSE),main!$K$26:$Q$29,4,FALSE)),1,0)</f>
        <v>0</v>
      </c>
      <c r="J163">
        <f>IF(AND(VLOOKUP(J$1,main!$A$3:$H$102,7,FALSE)=main!$G$104,VLOOKUP(J$1,main!$A$3:$H$102,5,FALSE)-VLOOKUP($A163,main!$A$3:$H$102,6,FALSE)&gt;=main!$D$103+VLOOKUP(VLOOKUP(J$1,main!$A$3:$I$102,7,FALSE),main!$K$26:$Q$29,4,FALSE)),1,0)</f>
        <v>0</v>
      </c>
      <c r="K163">
        <f>IF(AND(VLOOKUP(K$1,main!$A$3:$H$102,7,FALSE)=main!$G$104,VLOOKUP(K$1,main!$A$3:$H$102,5,FALSE)-VLOOKUP($A163,main!$A$3:$H$102,6,FALSE)&gt;=main!$D$103+VLOOKUP(VLOOKUP(K$1,main!$A$3:$I$102,7,FALSE),main!$K$26:$Q$29,4,FALSE)),1,0)</f>
        <v>0</v>
      </c>
      <c r="L163">
        <f>IF(AND(VLOOKUP(L$1,main!$A$3:$H$102,7,FALSE)=main!$G$104,VLOOKUP(L$1,main!$A$3:$H$102,5,FALSE)-VLOOKUP($A163,main!$A$3:$H$102,6,FALSE)&gt;=main!$D$103+VLOOKUP(VLOOKUP(L$1,main!$A$3:$I$102,7,FALSE),main!$K$26:$Q$29,4,FALSE)),1,0)</f>
        <v>1</v>
      </c>
      <c r="M163">
        <f>IF(AND(VLOOKUP(M$1,main!$A$3:$H$102,7,FALSE)=main!$G$104,VLOOKUP(M$1,main!$A$3:$H$102,5,FALSE)-VLOOKUP($A163,main!$A$3:$H$102,6,FALSE)&gt;=main!$D$103+VLOOKUP(VLOOKUP(M$1,main!$A$3:$I$102,7,FALSE),main!$K$26:$Q$29,4,FALSE)),1,0)</f>
        <v>0</v>
      </c>
      <c r="N163">
        <f>IF(AND(VLOOKUP(N$1,main!$A$3:$H$102,7,FALSE)=main!$G$104,VLOOKUP(N$1,main!$A$3:$H$102,5,FALSE)-VLOOKUP($A163,main!$A$3:$H$102,6,FALSE)&gt;=main!$D$103+VLOOKUP(VLOOKUP(N$1,main!$A$3:$I$102,7,FALSE),main!$K$26:$Q$29,4,FALSE)),1,0)</f>
        <v>0</v>
      </c>
      <c r="O163">
        <f>IF(AND(VLOOKUP(O$1,main!$A$3:$H$102,7,FALSE)=main!$G$104,VLOOKUP(O$1,main!$A$3:$H$102,5,FALSE)-VLOOKUP($A163,main!$A$3:$H$102,6,FALSE)&gt;=main!$D$103+VLOOKUP(VLOOKUP(O$1,main!$A$3:$I$102,7,FALSE),main!$K$26:$Q$29,4,FALSE)),1,0)</f>
        <v>0</v>
      </c>
      <c r="P163">
        <f>IF(AND(VLOOKUP(P$1,main!$A$3:$H$102,7,FALSE)=main!$G$104,VLOOKUP(P$1,main!$A$3:$H$102,5,FALSE)-VLOOKUP($A163,main!$A$3:$H$102,6,FALSE)&gt;=main!$D$103+VLOOKUP(VLOOKUP(P$1,main!$A$3:$I$102,7,FALSE),main!$K$26:$Q$29,4,FALSE)),1,0)</f>
        <v>0</v>
      </c>
      <c r="Q163">
        <f>IF(AND(VLOOKUP(Q$1,main!$A$3:$H$102,7,FALSE)=main!$G$104,VLOOKUP(Q$1,main!$A$3:$H$102,5,FALSE)-VLOOKUP($A163,main!$A$3:$H$102,6,FALSE)&gt;=main!$D$103+VLOOKUP(VLOOKUP(Q$1,main!$A$3:$I$102,7,FALSE),main!$K$26:$Q$29,4,FALSE)),1,0)</f>
        <v>0</v>
      </c>
      <c r="R163">
        <f>IF(AND(VLOOKUP(R$1,main!$A$3:$H$102,7,FALSE)=main!$G$104,VLOOKUP(R$1,main!$A$3:$H$102,5,FALSE)-VLOOKUP($A163,main!$A$3:$H$102,6,FALSE)&gt;=main!$D$103+VLOOKUP(VLOOKUP(R$1,main!$A$3:$I$102,7,FALSE),main!$K$26:$Q$29,4,FALSE)),1,0)</f>
        <v>0</v>
      </c>
      <c r="S163">
        <f>IF(AND(VLOOKUP(S$1,main!$A$3:$H$102,7,FALSE)=main!$G$104,VLOOKUP(S$1,main!$A$3:$H$102,5,FALSE)-VLOOKUP($A163,main!$A$3:$H$102,6,FALSE)&gt;=main!$D$103+VLOOKUP(VLOOKUP(S$1,main!$A$3:$I$102,7,FALSE),main!$K$26:$Q$29,4,FALSE)),1,0)</f>
        <v>0</v>
      </c>
      <c r="T163">
        <f>IF(AND(VLOOKUP(T$1,main!$A$3:$H$102,7,FALSE)=main!$G$104,VLOOKUP(T$1,main!$A$3:$H$102,5,FALSE)-VLOOKUP($A163,main!$A$3:$H$102,6,FALSE)&gt;=main!$D$103+VLOOKUP(VLOOKUP(T$1,main!$A$3:$I$102,7,FALSE),main!$K$26:$Q$29,4,FALSE)),1,0)</f>
        <v>0</v>
      </c>
      <c r="U163">
        <f>IF(AND(VLOOKUP(U$1,main!$A$3:$H$102,7,FALSE)=main!$G$104,VLOOKUP(U$1,main!$A$3:$H$102,5,FALSE)-VLOOKUP($A163,main!$A$3:$H$102,6,FALSE)&gt;=main!$D$103+VLOOKUP(VLOOKUP(U$1,main!$A$3:$I$102,7,FALSE),main!$K$26:$Q$29,4,FALSE)),1,0)</f>
        <v>1</v>
      </c>
      <c r="V163">
        <f>IF(AND(VLOOKUP(V$1,main!$A$3:$H$102,7,FALSE)=main!$G$104,VLOOKUP(V$1,main!$A$3:$H$102,5,FALSE)-VLOOKUP($A163,main!$A$3:$H$102,6,FALSE)&gt;=main!$D$103+VLOOKUP(VLOOKUP(V$1,main!$A$3:$I$102,7,FALSE),main!$K$26:$Q$29,4,FALSE)),1,0)</f>
        <v>1</v>
      </c>
      <c r="W163">
        <f>IF(AND(VLOOKUP(W$1,main!$A$3:$H$102,7,FALSE)=main!$G$104,VLOOKUP(W$1,main!$A$3:$H$102,5,FALSE)-VLOOKUP($A163,main!$A$3:$H$102,6,FALSE)&gt;=main!$D$103+VLOOKUP(VLOOKUP(W$1,main!$A$3:$I$102,7,FALSE),main!$K$26:$Q$29,4,FALSE)),1,0)</f>
        <v>0</v>
      </c>
      <c r="X163">
        <f>IF(AND(VLOOKUP(X$1,main!$A$3:$H$102,7,FALSE)=main!$G$104,VLOOKUP(X$1,main!$A$3:$H$102,5,FALSE)-VLOOKUP($A163,main!$A$3:$H$102,6,FALSE)&gt;=main!$D$103+VLOOKUP(VLOOKUP(X$1,main!$A$3:$I$102,7,FALSE),main!$K$26:$Q$29,4,FALSE)),1,0)</f>
        <v>0</v>
      </c>
      <c r="Y163">
        <f>IF(AND(VLOOKUP(Y$1,main!$A$3:$H$102,7,FALSE)=main!$G$104,VLOOKUP(Y$1,main!$A$3:$H$102,5,FALSE)-VLOOKUP($A163,main!$A$3:$H$102,6,FALSE)&gt;=main!$D$103+VLOOKUP(VLOOKUP(Y$1,main!$A$3:$I$102,7,FALSE),main!$K$26:$Q$29,4,FALSE)),1,0)</f>
        <v>0</v>
      </c>
      <c r="Z163">
        <f>IF(AND(VLOOKUP(Z$1,main!$A$3:$H$102,7,FALSE)=main!$G$104,VLOOKUP(Z$1,main!$A$3:$H$102,5,FALSE)-VLOOKUP($A163,main!$A$3:$H$102,6,FALSE)&gt;=main!$D$103+VLOOKUP(VLOOKUP(Z$1,main!$A$3:$I$102,7,FALSE),main!$K$26:$Q$29,4,FALSE)),1,0)</f>
        <v>0</v>
      </c>
      <c r="AA163">
        <f>IF(AND(VLOOKUP(AA$1,main!$A$3:$H$102,7,FALSE)=main!$G$104,VLOOKUP(AA$1,main!$A$3:$H$102,5,FALSE)-VLOOKUP($A163,main!$A$3:$H$102,6,FALSE)&gt;=main!$D$103+VLOOKUP(VLOOKUP(AA$1,main!$A$3:$I$102,7,FALSE),main!$K$26:$Q$29,4,FALSE)),1,0)</f>
        <v>0</v>
      </c>
      <c r="AB163">
        <f>IF(AND(VLOOKUP(AB$1,main!$A$3:$H$102,7,FALSE)=main!$G$104,VLOOKUP(AB$1,main!$A$3:$H$102,5,FALSE)-VLOOKUP($A163,main!$A$3:$H$102,6,FALSE)&gt;=main!$D$103+VLOOKUP(VLOOKUP(AB$1,main!$A$3:$I$102,7,FALSE),main!$K$26:$Q$29,4,FALSE)),1,0)</f>
        <v>0</v>
      </c>
      <c r="AC163">
        <f>IF(AND(VLOOKUP(AC$1,main!$A$3:$H$102,7,FALSE)=main!$G$104,VLOOKUP(AC$1,main!$A$3:$H$102,5,FALSE)-VLOOKUP($A163,main!$A$3:$H$102,6,FALSE)&gt;=main!$D$103+VLOOKUP(VLOOKUP(AC$1,main!$A$3:$I$102,7,FALSE),main!$K$26:$Q$29,4,FALSE)),1,0)</f>
        <v>0</v>
      </c>
      <c r="AD163">
        <f>IF(AND(VLOOKUP(AD$1,main!$A$3:$H$102,7,FALSE)=main!$G$104,VLOOKUP(AD$1,main!$A$3:$H$102,5,FALSE)-VLOOKUP($A163,main!$A$3:$H$102,6,FALSE)&gt;=main!$D$103+VLOOKUP(VLOOKUP(AD$1,main!$A$3:$I$102,7,FALSE),main!$K$26:$Q$29,4,FALSE)),1,0)</f>
        <v>0</v>
      </c>
      <c r="AE163">
        <f>IF(AND(VLOOKUP(AE$1,main!$A$3:$H$102,7,FALSE)=main!$G$104,VLOOKUP(AE$1,main!$A$3:$H$102,5,FALSE)-VLOOKUP($A163,main!$A$3:$H$102,6,FALSE)&gt;=main!$D$103+VLOOKUP(VLOOKUP(AE$1,main!$A$3:$I$102,7,FALSE),main!$K$26:$Q$29,4,FALSE)),1,0)</f>
        <v>0</v>
      </c>
      <c r="AF163">
        <f>IF(AND(VLOOKUP(AF$1,main!$A$3:$H$102,7,FALSE)=main!$G$104,VLOOKUP(AF$1,main!$A$3:$H$102,5,FALSE)-VLOOKUP($A163,main!$A$3:$H$102,6,FALSE)&gt;=main!$D$103+VLOOKUP(VLOOKUP(AF$1,main!$A$3:$I$102,7,FALSE),main!$K$26:$Q$29,4,FALSE)),1,0)</f>
        <v>0</v>
      </c>
      <c r="AG163">
        <f>IF(AND(VLOOKUP(AG$1,main!$A$3:$H$102,7,FALSE)=main!$G$104,VLOOKUP(AG$1,main!$A$3:$H$102,5,FALSE)-VLOOKUP($A163,main!$A$3:$H$102,6,FALSE)&gt;=main!$D$103+VLOOKUP(VLOOKUP(AG$1,main!$A$3:$I$102,7,FALSE),main!$K$26:$Q$29,4,FALSE)),1,0)</f>
        <v>0</v>
      </c>
      <c r="AH163">
        <f>IF(AND(VLOOKUP(AH$1,main!$A$3:$H$102,7,FALSE)=main!$G$104,VLOOKUP(AH$1,main!$A$3:$H$102,5,FALSE)-VLOOKUP($A163,main!$A$3:$H$102,6,FALSE)&gt;=main!$D$103+VLOOKUP(VLOOKUP(AH$1,main!$A$3:$I$102,7,FALSE),main!$K$26:$Q$29,4,FALSE)),1,0)</f>
        <v>0</v>
      </c>
      <c r="AI163">
        <f>IF(AND(VLOOKUP(AI$1,main!$A$3:$H$102,7,FALSE)=main!$G$104,VLOOKUP(AI$1,main!$A$3:$H$102,5,FALSE)-VLOOKUP($A163,main!$A$3:$H$102,6,FALSE)&gt;=main!$D$103+VLOOKUP(VLOOKUP(AI$1,main!$A$3:$I$102,7,FALSE),main!$K$26:$Q$29,4,FALSE)),1,0)</f>
        <v>0</v>
      </c>
      <c r="AJ163">
        <f>IF(AND(VLOOKUP(AJ$1,main!$A$3:$H$102,7,FALSE)=main!$G$104,VLOOKUP(AJ$1,main!$A$3:$H$102,5,FALSE)-VLOOKUP($A163,main!$A$3:$H$102,6,FALSE)&gt;=main!$D$103+VLOOKUP(VLOOKUP(AJ$1,main!$A$3:$I$102,7,FALSE),main!$K$26:$Q$29,4,FALSE)),1,0)</f>
        <v>0</v>
      </c>
      <c r="AK163">
        <f>IF(AND(VLOOKUP(AK$1,main!$A$3:$H$102,7,FALSE)=main!$G$104,VLOOKUP(AK$1,main!$A$3:$H$102,5,FALSE)-VLOOKUP($A163,main!$A$3:$H$102,6,FALSE)&gt;=main!$D$103+VLOOKUP(VLOOKUP(AK$1,main!$A$3:$I$102,7,FALSE),main!$K$26:$Q$29,4,FALSE)),1,0)</f>
        <v>0</v>
      </c>
      <c r="AL163">
        <f>IF(AND(VLOOKUP(AL$1,main!$A$3:$H$102,7,FALSE)=main!$G$104,VLOOKUP(AL$1,main!$A$3:$H$102,5,FALSE)-VLOOKUP($A163,main!$A$3:$H$102,6,FALSE)&gt;=main!$D$103+VLOOKUP(VLOOKUP(AL$1,main!$A$3:$I$102,7,FALSE),main!$K$26:$Q$29,4,FALSE)),1,0)</f>
        <v>0</v>
      </c>
      <c r="AM163">
        <f>IF(AND(VLOOKUP(AM$1,main!$A$3:$H$102,7,FALSE)=main!$G$104,VLOOKUP(AM$1,main!$A$3:$H$102,5,FALSE)-VLOOKUP($A163,main!$A$3:$H$102,6,FALSE)&gt;=main!$D$103+VLOOKUP(VLOOKUP(AM$1,main!$A$3:$I$102,7,FALSE),main!$K$26:$Q$29,4,FALSE)),1,0)</f>
        <v>0</v>
      </c>
      <c r="AN163">
        <f>IF(AND(VLOOKUP(AN$1,main!$A$3:$H$102,7,FALSE)=main!$G$104,VLOOKUP(AN$1,main!$A$3:$H$102,5,FALSE)-VLOOKUP($A163,main!$A$3:$H$102,6,FALSE)&gt;=main!$D$103+VLOOKUP(VLOOKUP(AN$1,main!$A$3:$I$102,7,FALSE),main!$K$26:$Q$29,4,FALSE)),1,0)</f>
        <v>0</v>
      </c>
      <c r="AO163">
        <f>IF(AND(VLOOKUP(AO$1,main!$A$3:$H$102,7,FALSE)=main!$G$104,VLOOKUP(AO$1,main!$A$3:$H$102,5,FALSE)-VLOOKUP($A163,main!$A$3:$H$102,6,FALSE)&gt;=main!$D$103+VLOOKUP(VLOOKUP(AO$1,main!$A$3:$I$102,7,FALSE),main!$K$26:$Q$29,4,FALSE)),1,0)</f>
        <v>0</v>
      </c>
      <c r="AP163">
        <f>IF(AND(VLOOKUP(AP$1,main!$A$3:$H$102,7,FALSE)=main!$G$104,VLOOKUP(AP$1,main!$A$3:$H$102,5,FALSE)-VLOOKUP($A163,main!$A$3:$H$102,6,FALSE)&gt;=main!$D$103+VLOOKUP(VLOOKUP(AP$1,main!$A$3:$I$102,7,FALSE),main!$K$26:$Q$29,4,FALSE)),1,0)</f>
        <v>0</v>
      </c>
      <c r="AQ163">
        <f>IF(AND(VLOOKUP(AQ$1,main!$A$3:$H$102,7,FALSE)=main!$G$104,VLOOKUP(AQ$1,main!$A$3:$H$102,5,FALSE)-VLOOKUP($A163,main!$A$3:$H$102,6,FALSE)&gt;=main!$D$103+VLOOKUP(VLOOKUP(AQ$1,main!$A$3:$I$102,7,FALSE),main!$K$26:$Q$29,4,FALSE)),1,0)</f>
        <v>0</v>
      </c>
      <c r="AR163">
        <f>IF(AND(VLOOKUP(AR$1,main!$A$3:$H$102,7,FALSE)=main!$G$104,VLOOKUP(AR$1,main!$A$3:$H$102,5,FALSE)-VLOOKUP($A163,main!$A$3:$H$102,6,FALSE)&gt;=main!$D$103+VLOOKUP(VLOOKUP(AR$1,main!$A$3:$I$102,7,FALSE),main!$K$26:$Q$29,4,FALSE)),1,0)</f>
        <v>0</v>
      </c>
      <c r="AS163">
        <f>IF(AND(VLOOKUP(AS$1,main!$A$3:$H$102,7,FALSE)=main!$G$104,VLOOKUP(AS$1,main!$A$3:$H$102,5,FALSE)-VLOOKUP($A163,main!$A$3:$H$102,6,FALSE)&gt;=main!$D$103+VLOOKUP(VLOOKUP(AS$1,main!$A$3:$I$102,7,FALSE),main!$K$26:$Q$29,4,FALSE)),1,0)</f>
        <v>0</v>
      </c>
      <c r="AT163">
        <f>IF(AND(VLOOKUP(AT$1,main!$A$3:$H$102,7,FALSE)=main!$G$104,VLOOKUP(AT$1,main!$A$3:$H$102,5,FALSE)-VLOOKUP($A163,main!$A$3:$H$102,6,FALSE)&gt;=main!$D$103+VLOOKUP(VLOOKUP(AT$1,main!$A$3:$I$102,7,FALSE),main!$K$26:$Q$29,4,FALSE)),1,0)</f>
        <v>0</v>
      </c>
      <c r="AU163">
        <f>IF(AND(VLOOKUP(AU$1,main!$A$3:$H$102,7,FALSE)=main!$G$104,VLOOKUP(AU$1,main!$A$3:$H$102,5,FALSE)-VLOOKUP($A163,main!$A$3:$H$102,6,FALSE)&gt;=main!$D$103+VLOOKUP(VLOOKUP(AU$1,main!$A$3:$I$102,7,FALSE),main!$K$26:$Q$29,4,FALSE)),1,0)</f>
        <v>0</v>
      </c>
      <c r="AV163">
        <f>IF(AND(VLOOKUP(AV$1,main!$A$3:$H$102,7,FALSE)=main!$G$104,VLOOKUP(AV$1,main!$A$3:$H$102,5,FALSE)-VLOOKUP($A163,main!$A$3:$H$102,6,FALSE)&gt;=main!$D$103+VLOOKUP(VLOOKUP(AV$1,main!$A$3:$I$102,7,FALSE),main!$K$26:$Q$29,4,FALSE)),1,0)</f>
        <v>0</v>
      </c>
      <c r="AW163">
        <f>IF(AND(VLOOKUP(AW$1,main!$A$3:$H$102,7,FALSE)=main!$G$104,VLOOKUP(AW$1,main!$A$3:$H$102,5,FALSE)-VLOOKUP($A163,main!$A$3:$H$102,6,FALSE)&gt;=main!$D$103+VLOOKUP(VLOOKUP(AW$1,main!$A$3:$I$102,7,FALSE),main!$K$26:$Q$29,4,FALSE)),1,0)</f>
        <v>0</v>
      </c>
      <c r="AX163">
        <f>IF(AND(VLOOKUP(AX$1,main!$A$3:$H$102,7,FALSE)=main!$G$104,VLOOKUP(AX$1,main!$A$3:$H$102,5,FALSE)-VLOOKUP($A163,main!$A$3:$H$102,6,FALSE)&gt;=main!$D$103+VLOOKUP(VLOOKUP(AX$1,main!$A$3:$I$102,7,FALSE),main!$K$26:$Q$29,4,FALSE)),1,0)</f>
        <v>0</v>
      </c>
      <c r="AY163">
        <f>IF(AND(VLOOKUP(AY$1,main!$A$3:$H$102,7,FALSE)=main!$G$104,VLOOKUP(AY$1,main!$A$3:$H$102,5,FALSE)-VLOOKUP($A163,main!$A$3:$H$102,6,FALSE)&gt;=main!$D$103+VLOOKUP(VLOOKUP(AY$1,main!$A$3:$I$102,7,FALSE),main!$K$26:$Q$29,4,FALSE)),1,0)</f>
        <v>0</v>
      </c>
      <c r="AZ163">
        <f>IF(AND(VLOOKUP(AZ$1,main!$A$3:$H$102,7,FALSE)=main!$G$104,VLOOKUP(AZ$1,main!$A$3:$H$102,5,FALSE)-VLOOKUP($A163,main!$A$3:$H$102,6,FALSE)&gt;=main!$D$103+VLOOKUP(VLOOKUP(AZ$1,main!$A$3:$I$102,7,FALSE),main!$K$26:$Q$29,4,FALSE)),1,0)</f>
        <v>0</v>
      </c>
      <c r="BA163">
        <f>IF(AND(VLOOKUP(BA$1,main!$A$3:$H$102,7,FALSE)=main!$G$104,VLOOKUP(BA$1,main!$A$3:$H$102,5,FALSE)-VLOOKUP($A163,main!$A$3:$H$102,6,FALSE)&gt;=main!$D$103+VLOOKUP(VLOOKUP(BA$1,main!$A$3:$I$102,7,FALSE),main!$K$26:$Q$29,4,FALSE)),1,0)</f>
        <v>0</v>
      </c>
      <c r="BB163">
        <f>IF(AND(VLOOKUP(BB$1,main!$A$3:$H$102,7,FALSE)=main!$G$104,VLOOKUP(BB$1,main!$A$3:$H$102,5,FALSE)-VLOOKUP($A163,main!$A$3:$H$102,6,FALSE)&gt;=main!$D$103+VLOOKUP(VLOOKUP(BB$1,main!$A$3:$I$102,7,FALSE),main!$K$26:$Q$29,4,FALSE)),1,0)</f>
        <v>0</v>
      </c>
      <c r="BC163">
        <f>IF(AND(VLOOKUP(BC$1,main!$A$3:$H$102,7,FALSE)=main!$G$104,VLOOKUP(BC$1,main!$A$3:$H$102,5,FALSE)-VLOOKUP($A163,main!$A$3:$H$102,6,FALSE)&gt;=main!$D$103+VLOOKUP(VLOOKUP(BC$1,main!$A$3:$I$102,7,FALSE),main!$K$26:$Q$29,4,FALSE)),1,0)</f>
        <v>0</v>
      </c>
      <c r="BD163">
        <f>IF(AND(VLOOKUP(BD$1,main!$A$3:$H$102,7,FALSE)=main!$G$104,VLOOKUP(BD$1,main!$A$3:$H$102,5,FALSE)-VLOOKUP($A163,main!$A$3:$H$102,6,FALSE)&gt;=main!$D$103+VLOOKUP(VLOOKUP(BD$1,main!$A$3:$I$102,7,FALSE),main!$K$26:$Q$29,4,FALSE)),1,0)</f>
        <v>0</v>
      </c>
      <c r="BE163">
        <f>IF(AND(VLOOKUP(BE$1,main!$A$3:$H$102,7,FALSE)=main!$G$104,VLOOKUP(BE$1,main!$A$3:$H$102,5,FALSE)-VLOOKUP($A163,main!$A$3:$H$102,6,FALSE)&gt;=main!$D$103+VLOOKUP(VLOOKUP(BE$1,main!$A$3:$I$102,7,FALSE),main!$K$26:$Q$29,4,FALSE)),1,0)</f>
        <v>0</v>
      </c>
      <c r="BF163">
        <f>IF(AND(VLOOKUP(BF$1,main!$A$3:$H$102,7,FALSE)=main!$G$104,VLOOKUP(BF$1,main!$A$3:$H$102,5,FALSE)-VLOOKUP($A163,main!$A$3:$H$102,6,FALSE)&gt;=main!$D$103+VLOOKUP(VLOOKUP(BF$1,main!$A$3:$I$102,7,FALSE),main!$K$26:$Q$29,4,FALSE)),1,0)</f>
        <v>0</v>
      </c>
      <c r="BG163">
        <f>IF(AND(VLOOKUP(BG$1,main!$A$3:$H$102,7,FALSE)=main!$G$104,VLOOKUP(BG$1,main!$A$3:$H$102,5,FALSE)-VLOOKUP($A163,main!$A$3:$H$102,6,FALSE)&gt;=main!$D$103+VLOOKUP(VLOOKUP(BG$1,main!$A$3:$I$102,7,FALSE),main!$K$26:$Q$29,4,FALSE)),1,0)</f>
        <v>0</v>
      </c>
      <c r="BH163">
        <f>IF(AND(VLOOKUP(BH$1,main!$A$3:$H$102,7,FALSE)=main!$G$104,VLOOKUP(BH$1,main!$A$3:$H$102,5,FALSE)-VLOOKUP($A163,main!$A$3:$H$102,6,FALSE)&gt;=main!$D$103+VLOOKUP(VLOOKUP(BH$1,main!$A$3:$I$102,7,FALSE),main!$K$26:$Q$29,4,FALSE)),1,0)</f>
        <v>0</v>
      </c>
      <c r="BI163">
        <f>IF(AND(VLOOKUP(BI$1,main!$A$3:$H$102,7,FALSE)=main!$G$104,VLOOKUP(BI$1,main!$A$3:$H$102,5,FALSE)-VLOOKUP($A163,main!$A$3:$H$102,6,FALSE)&gt;=main!$D$103+VLOOKUP(VLOOKUP(BI$1,main!$A$3:$I$102,7,FALSE),main!$K$26:$Q$29,4,FALSE)),1,0)</f>
        <v>0</v>
      </c>
      <c r="BJ163">
        <f>IF(AND(VLOOKUP(BJ$1,main!$A$3:$H$102,7,FALSE)=main!$G$104,VLOOKUP(BJ$1,main!$A$3:$H$102,5,FALSE)-VLOOKUP($A163,main!$A$3:$H$102,6,FALSE)&gt;=main!$D$103+VLOOKUP(VLOOKUP(BJ$1,main!$A$3:$I$102,7,FALSE),main!$K$26:$Q$29,4,FALSE)),1,0)</f>
        <v>0</v>
      </c>
      <c r="BK163">
        <f>IF(AND(VLOOKUP(BK$1,main!$A$3:$H$102,7,FALSE)=main!$G$104,VLOOKUP(BK$1,main!$A$3:$H$102,5,FALSE)-VLOOKUP($A163,main!$A$3:$H$102,6,FALSE)&gt;=main!$D$103+VLOOKUP(VLOOKUP(BK$1,main!$A$3:$I$102,7,FALSE),main!$K$26:$Q$29,4,FALSE)),1,0)</f>
        <v>0</v>
      </c>
      <c r="BL163">
        <f>IF(AND(VLOOKUP(BL$1,main!$A$3:$H$102,7,FALSE)=main!$G$104,VLOOKUP(BL$1,main!$A$3:$H$102,5,FALSE)-VLOOKUP($A163,main!$A$3:$H$102,6,FALSE)&gt;=main!$D$103+VLOOKUP(VLOOKUP(BL$1,main!$A$3:$I$102,7,FALSE),main!$K$26:$Q$29,4,FALSE)),1,0)</f>
        <v>0</v>
      </c>
      <c r="BM163">
        <f>IF(AND(VLOOKUP(BM$1,main!$A$3:$H$102,7,FALSE)=main!$G$104,VLOOKUP(BM$1,main!$A$3:$H$102,5,FALSE)-VLOOKUP($A163,main!$A$3:$H$102,6,FALSE)&gt;=main!$D$103+VLOOKUP(VLOOKUP(BM$1,main!$A$3:$I$102,7,FALSE),main!$K$26:$Q$29,4,FALSE)),1,0)</f>
        <v>0</v>
      </c>
      <c r="BN163">
        <f>IF(AND(VLOOKUP(BN$1,main!$A$3:$H$102,7,FALSE)=main!$G$104,VLOOKUP(BN$1,main!$A$3:$H$102,5,FALSE)-VLOOKUP($A163,main!$A$3:$H$102,6,FALSE)&gt;=main!$D$103+VLOOKUP(VLOOKUP(BN$1,main!$A$3:$I$102,7,FALSE),main!$K$26:$Q$29,4,FALSE)),1,0)</f>
        <v>0</v>
      </c>
      <c r="BO163">
        <f>IF(AND(VLOOKUP(BO$1,main!$A$3:$H$102,7,FALSE)=main!$G$104,VLOOKUP(BO$1,main!$A$3:$H$102,5,FALSE)-VLOOKUP($A163,main!$A$3:$H$102,6,FALSE)&gt;=main!$D$103+VLOOKUP(VLOOKUP(BO$1,main!$A$3:$I$102,7,FALSE),main!$K$26:$Q$29,4,FALSE)),1,0)</f>
        <v>0</v>
      </c>
      <c r="BP163">
        <f>IF(AND(VLOOKUP(BP$1,main!$A$3:$H$102,7,FALSE)=main!$G$104,VLOOKUP(BP$1,main!$A$3:$H$102,5,FALSE)-VLOOKUP($A163,main!$A$3:$H$102,6,FALSE)&gt;=main!$D$103+VLOOKUP(VLOOKUP(BP$1,main!$A$3:$I$102,7,FALSE),main!$K$26:$Q$29,4,FALSE)),1,0)</f>
        <v>0</v>
      </c>
      <c r="BQ163">
        <f>IF(AND(VLOOKUP(BQ$1,main!$A$3:$H$102,7,FALSE)=main!$G$104,VLOOKUP(BQ$1,main!$A$3:$H$102,5,FALSE)-VLOOKUP($A163,main!$A$3:$H$102,6,FALSE)&gt;=main!$D$103+VLOOKUP(VLOOKUP(BQ$1,main!$A$3:$I$102,7,FALSE),main!$K$26:$Q$29,4,FALSE)),1,0)</f>
        <v>0</v>
      </c>
      <c r="BR163">
        <f>IF(AND(VLOOKUP(BR$1,main!$A$3:$H$102,7,FALSE)=main!$G$104,VLOOKUP(BR$1,main!$A$3:$H$102,5,FALSE)-VLOOKUP($A163,main!$A$3:$H$102,6,FALSE)&gt;=main!$D$103+VLOOKUP(VLOOKUP(BR$1,main!$A$3:$I$102,7,FALSE),main!$K$26:$Q$29,4,FALSE)),1,0)</f>
        <v>0</v>
      </c>
      <c r="BS163">
        <f>IF(AND(VLOOKUP(BS$1,main!$A$3:$H$102,7,FALSE)=main!$G$104,VLOOKUP(BS$1,main!$A$3:$H$102,5,FALSE)-VLOOKUP($A163,main!$A$3:$H$102,6,FALSE)&gt;=main!$D$103+VLOOKUP(VLOOKUP(BS$1,main!$A$3:$I$102,7,FALSE),main!$K$26:$Q$29,4,FALSE)),1,0)</f>
        <v>0</v>
      </c>
      <c r="BT163">
        <f>IF(AND(VLOOKUP(BT$1,main!$A$3:$H$102,7,FALSE)=main!$G$104,VLOOKUP(BT$1,main!$A$3:$H$102,5,FALSE)-VLOOKUP($A163,main!$A$3:$H$102,6,FALSE)&gt;=main!$D$103+VLOOKUP(VLOOKUP(BT$1,main!$A$3:$I$102,7,FALSE),main!$K$26:$Q$29,4,FALSE)),1,0)</f>
        <v>0</v>
      </c>
      <c r="BU163">
        <f>IF(AND(VLOOKUP(BU$1,main!$A$3:$H$102,7,FALSE)=main!$G$104,VLOOKUP(BU$1,main!$A$3:$H$102,5,FALSE)-VLOOKUP($A163,main!$A$3:$H$102,6,FALSE)&gt;=main!$D$103+VLOOKUP(VLOOKUP(BU$1,main!$A$3:$I$102,7,FALSE),main!$K$26:$Q$29,4,FALSE)),1,0)</f>
        <v>0</v>
      </c>
      <c r="BV163">
        <f>IF(AND(VLOOKUP(BV$1,main!$A$3:$H$102,7,FALSE)=main!$G$104,VLOOKUP(BV$1,main!$A$3:$H$102,5,FALSE)-VLOOKUP($A163,main!$A$3:$H$102,6,FALSE)&gt;=main!$D$103+VLOOKUP(VLOOKUP(BV$1,main!$A$3:$I$102,7,FALSE),main!$K$26:$Q$29,4,FALSE)),1,0)</f>
        <v>0</v>
      </c>
      <c r="BW163">
        <f>IF(AND(VLOOKUP(BW$1,main!$A$3:$H$102,7,FALSE)=main!$G$104,VLOOKUP(BW$1,main!$A$3:$H$102,5,FALSE)-VLOOKUP($A163,main!$A$3:$H$102,6,FALSE)&gt;=main!$D$103+VLOOKUP(VLOOKUP(BW$1,main!$A$3:$I$102,7,FALSE),main!$K$26:$Q$29,4,FALSE)),1,0)</f>
        <v>0</v>
      </c>
      <c r="BX163">
        <f>IF(AND(VLOOKUP(BX$1,main!$A$3:$H$102,7,FALSE)=main!$G$104,VLOOKUP(BX$1,main!$A$3:$H$102,5,FALSE)-VLOOKUP($A163,main!$A$3:$H$102,6,FALSE)&gt;=main!$D$103+VLOOKUP(VLOOKUP(BX$1,main!$A$3:$I$102,7,FALSE),main!$K$26:$Q$29,4,FALSE)),1,0)</f>
        <v>0</v>
      </c>
      <c r="BY163">
        <f>IF(AND(VLOOKUP(BY$1,main!$A$3:$H$102,7,FALSE)=main!$G$104,VLOOKUP(BY$1,main!$A$3:$H$102,5,FALSE)-VLOOKUP($A163,main!$A$3:$H$102,6,FALSE)&gt;=main!$D$103+VLOOKUP(VLOOKUP(BY$1,main!$A$3:$I$102,7,FALSE),main!$K$26:$Q$29,4,FALSE)),1,0)</f>
        <v>0</v>
      </c>
      <c r="BZ163">
        <f>IF(AND(VLOOKUP(BZ$1,main!$A$3:$H$102,7,FALSE)=main!$G$104,VLOOKUP(BZ$1,main!$A$3:$H$102,5,FALSE)-VLOOKUP($A163,main!$A$3:$H$102,6,FALSE)&gt;=main!$D$103+VLOOKUP(VLOOKUP(BZ$1,main!$A$3:$I$102,7,FALSE),main!$K$26:$Q$29,4,FALSE)),1,0)</f>
        <v>0</v>
      </c>
      <c r="CA163">
        <f>IF(AND(VLOOKUP(CA$1,main!$A$3:$H$102,7,FALSE)=main!$G$104,VLOOKUP(CA$1,main!$A$3:$H$102,5,FALSE)-VLOOKUP($A163,main!$A$3:$H$102,6,FALSE)&gt;=main!$D$103+VLOOKUP(VLOOKUP(CA$1,main!$A$3:$I$102,7,FALSE),main!$K$26:$Q$29,4,FALSE)),1,0)</f>
        <v>0</v>
      </c>
      <c r="CB163">
        <f>IF(AND(VLOOKUP(CB$1,main!$A$3:$H$102,7,FALSE)=main!$G$104,VLOOKUP(CB$1,main!$A$3:$H$102,5,FALSE)-VLOOKUP($A163,main!$A$3:$H$102,6,FALSE)&gt;=main!$D$103+VLOOKUP(VLOOKUP(CB$1,main!$A$3:$I$102,7,FALSE),main!$K$26:$Q$29,4,FALSE)),1,0)</f>
        <v>0</v>
      </c>
      <c r="CC163">
        <f>IF(AND(VLOOKUP(CC$1,main!$A$3:$H$102,7,FALSE)=main!$G$104,VLOOKUP(CC$1,main!$A$3:$H$102,5,FALSE)-VLOOKUP($A163,main!$A$3:$H$102,6,FALSE)&gt;=main!$D$103+VLOOKUP(VLOOKUP(CC$1,main!$A$3:$I$102,7,FALSE),main!$K$26:$Q$29,4,FALSE)),1,0)</f>
        <v>0</v>
      </c>
      <c r="CD163">
        <f>IF(AND(VLOOKUP(CD$1,main!$A$3:$H$102,7,FALSE)=main!$G$104,VLOOKUP(CD$1,main!$A$3:$H$102,5,FALSE)-VLOOKUP($A163,main!$A$3:$H$102,6,FALSE)&gt;=main!$D$103+VLOOKUP(VLOOKUP(CD$1,main!$A$3:$I$102,7,FALSE),main!$K$26:$Q$29,4,FALSE)),1,0)</f>
        <v>0</v>
      </c>
      <c r="CE163">
        <f>IF(AND(VLOOKUP(CE$1,main!$A$3:$H$102,7,FALSE)=main!$G$104,VLOOKUP(CE$1,main!$A$3:$H$102,5,FALSE)-VLOOKUP($A163,main!$A$3:$H$102,6,FALSE)&gt;=main!$D$103+VLOOKUP(VLOOKUP(CE$1,main!$A$3:$I$102,7,FALSE),main!$K$26:$Q$29,4,FALSE)),1,0)</f>
        <v>0</v>
      </c>
      <c r="CF163">
        <f>IF(AND(VLOOKUP(CF$1,main!$A$3:$H$102,7,FALSE)=main!$G$104,VLOOKUP(CF$1,main!$A$3:$H$102,5,FALSE)-VLOOKUP($A163,main!$A$3:$H$102,6,FALSE)&gt;=main!$D$103+VLOOKUP(VLOOKUP(CF$1,main!$A$3:$I$102,7,FALSE),main!$K$26:$Q$29,4,FALSE)),1,0)</f>
        <v>0</v>
      </c>
      <c r="CG163">
        <f>IF(AND(VLOOKUP(CG$1,main!$A$3:$H$102,7,FALSE)=main!$G$104,VLOOKUP(CG$1,main!$A$3:$H$102,5,FALSE)-VLOOKUP($A163,main!$A$3:$H$102,6,FALSE)&gt;=main!$D$103+VLOOKUP(VLOOKUP(CG$1,main!$A$3:$I$102,7,FALSE),main!$K$26:$Q$29,4,FALSE)),1,0)</f>
        <v>0</v>
      </c>
      <c r="CH163">
        <f>IF(AND(VLOOKUP(CH$1,main!$A$3:$H$102,7,FALSE)=main!$G$104,VLOOKUP(CH$1,main!$A$3:$H$102,5,FALSE)-VLOOKUP($A163,main!$A$3:$H$102,6,FALSE)&gt;=main!$D$103+VLOOKUP(VLOOKUP(CH$1,main!$A$3:$I$102,7,FALSE),main!$K$26:$Q$29,4,FALSE)),1,0)</f>
        <v>0</v>
      </c>
      <c r="CI163">
        <f>IF(AND(VLOOKUP(CI$1,main!$A$3:$H$102,7,FALSE)=main!$G$104,VLOOKUP(CI$1,main!$A$3:$H$102,5,FALSE)-VLOOKUP($A163,main!$A$3:$H$102,6,FALSE)&gt;=main!$D$103+VLOOKUP(VLOOKUP(CI$1,main!$A$3:$I$102,7,FALSE),main!$K$26:$Q$29,4,FALSE)),1,0)</f>
        <v>0</v>
      </c>
      <c r="CJ163">
        <f>IF(AND(VLOOKUP(CJ$1,main!$A$3:$H$102,7,FALSE)=main!$G$104,VLOOKUP(CJ$1,main!$A$3:$H$102,5,FALSE)-VLOOKUP($A163,main!$A$3:$H$102,6,FALSE)&gt;=main!$D$103+VLOOKUP(VLOOKUP(CJ$1,main!$A$3:$I$102,7,FALSE),main!$K$26:$Q$29,4,FALSE)),1,0)</f>
        <v>0</v>
      </c>
      <c r="CK163">
        <f>IF(AND(VLOOKUP(CK$1,main!$A$3:$H$102,7,FALSE)=main!$G$104,VLOOKUP(CK$1,main!$A$3:$H$102,5,FALSE)-VLOOKUP($A163,main!$A$3:$H$102,6,FALSE)&gt;=main!$D$103+VLOOKUP(VLOOKUP(CK$1,main!$A$3:$I$102,7,FALSE),main!$K$26:$Q$29,4,FALSE)),1,0)</f>
        <v>0</v>
      </c>
      <c r="CL163">
        <f>IF(AND(VLOOKUP(CL$1,main!$A$3:$H$102,7,FALSE)=main!$G$104,VLOOKUP(CL$1,main!$A$3:$H$102,5,FALSE)-VLOOKUP($A163,main!$A$3:$H$102,6,FALSE)&gt;=main!$D$103+VLOOKUP(VLOOKUP(CL$1,main!$A$3:$I$102,7,FALSE),main!$K$26:$Q$29,4,FALSE)),1,0)</f>
        <v>0</v>
      </c>
      <c r="CM163">
        <f>IF(AND(VLOOKUP(CM$1,main!$A$3:$H$102,7,FALSE)=main!$G$104,VLOOKUP(CM$1,main!$A$3:$H$102,5,FALSE)-VLOOKUP($A163,main!$A$3:$H$102,6,FALSE)&gt;=main!$D$103+VLOOKUP(VLOOKUP(CM$1,main!$A$3:$I$102,7,FALSE),main!$K$26:$Q$29,4,FALSE)),1,0)</f>
        <v>0</v>
      </c>
      <c r="CN163">
        <f>IF(AND(VLOOKUP(CN$1,main!$A$3:$H$102,7,FALSE)=main!$G$104,VLOOKUP(CN$1,main!$A$3:$H$102,5,FALSE)-VLOOKUP($A163,main!$A$3:$H$102,6,FALSE)&gt;=main!$D$103+VLOOKUP(VLOOKUP(CN$1,main!$A$3:$I$102,7,FALSE),main!$K$26:$Q$29,4,FALSE)),1,0)</f>
        <v>0</v>
      </c>
      <c r="CO163">
        <f>IF(AND(VLOOKUP(CO$1,main!$A$3:$H$102,7,FALSE)=main!$G$104,VLOOKUP(CO$1,main!$A$3:$H$102,5,FALSE)-VLOOKUP($A163,main!$A$3:$H$102,6,FALSE)&gt;=main!$D$103+VLOOKUP(VLOOKUP(CO$1,main!$A$3:$I$102,7,FALSE),main!$K$26:$Q$29,4,FALSE)),1,0)</f>
        <v>0</v>
      </c>
      <c r="CP163">
        <f>IF(AND(VLOOKUP(CP$1,main!$A$3:$H$102,7,FALSE)=main!$G$104,VLOOKUP(CP$1,main!$A$3:$H$102,5,FALSE)-VLOOKUP($A163,main!$A$3:$H$102,6,FALSE)&gt;=main!$D$103+VLOOKUP(VLOOKUP(CP$1,main!$A$3:$I$102,7,FALSE),main!$K$26:$Q$29,4,FALSE)),1,0)</f>
        <v>0</v>
      </c>
      <c r="CQ163">
        <f>IF(AND(VLOOKUP(CQ$1,main!$A$3:$H$102,7,FALSE)=main!$G$104,VLOOKUP(CQ$1,main!$A$3:$H$102,5,FALSE)-VLOOKUP($A163,main!$A$3:$H$102,6,FALSE)&gt;=main!$D$103+VLOOKUP(VLOOKUP(CQ$1,main!$A$3:$I$102,7,FALSE),main!$K$26:$Q$29,4,FALSE)),1,0)</f>
        <v>0</v>
      </c>
      <c r="CR163">
        <f>IF(AND(VLOOKUP(CR$1,main!$A$3:$H$102,7,FALSE)=main!$G$104,VLOOKUP(CR$1,main!$A$3:$H$102,5,FALSE)-VLOOKUP($A163,main!$A$3:$H$102,6,FALSE)&gt;=main!$D$103+VLOOKUP(VLOOKUP(CR$1,main!$A$3:$I$102,7,FALSE),main!$K$26:$Q$29,4,FALSE)),1,0)</f>
        <v>0</v>
      </c>
      <c r="CS163">
        <f>IF(AND(VLOOKUP(CS$1,main!$A$3:$H$102,7,FALSE)=main!$G$104,VLOOKUP(CS$1,main!$A$3:$H$102,5,FALSE)-VLOOKUP($A163,main!$A$3:$H$102,6,FALSE)&gt;=main!$D$103+VLOOKUP(VLOOKUP(CS$1,main!$A$3:$I$102,7,FALSE),main!$K$26:$Q$29,4,FALSE)),1,0)</f>
        <v>0</v>
      </c>
      <c r="CT163">
        <f>IF(AND(VLOOKUP(CT$1,main!$A$3:$H$102,7,FALSE)=main!$G$104,VLOOKUP(CT$1,main!$A$3:$H$102,5,FALSE)-VLOOKUP($A163,main!$A$3:$H$102,6,FALSE)&gt;=main!$D$103+VLOOKUP(VLOOKUP(CT$1,main!$A$3:$I$102,7,FALSE),main!$K$26:$Q$29,4,FALSE)),1,0)</f>
        <v>0</v>
      </c>
      <c r="CU163">
        <f>IF(AND(VLOOKUP(CU$1,main!$A$3:$H$102,7,FALSE)=main!$G$104,VLOOKUP(CU$1,main!$A$3:$H$102,5,FALSE)-VLOOKUP($A163,main!$A$3:$H$102,6,FALSE)&gt;=main!$D$103+VLOOKUP(VLOOKUP(CU$1,main!$A$3:$I$102,7,FALSE),main!$K$26:$Q$29,4,FALSE)),1,0)</f>
        <v>0</v>
      </c>
      <c r="CV163">
        <f>IF(AND(VLOOKUP(CV$1,main!$A$3:$H$102,7,FALSE)=main!$G$104,VLOOKUP(CV$1,main!$A$3:$H$102,5,FALSE)-VLOOKUP($A163,main!$A$3:$H$102,6,FALSE)&gt;=main!$D$103+VLOOKUP(VLOOKUP(CV$1,main!$A$3:$I$102,7,FALSE),main!$K$26:$Q$29,4,FALSE)),1,0)</f>
        <v>0</v>
      </c>
      <c r="CW163">
        <f>IF(AND(VLOOKUP(CW$1,main!$A$3:$H$102,7,FALSE)=main!$G$104,VLOOKUP(CW$1,main!$A$3:$H$102,5,FALSE)-VLOOKUP($A163,main!$A$3:$H$102,6,FALSE)&gt;=main!$D$103+VLOOKUP(VLOOKUP(CW$1,main!$A$3:$I$102,7,FALSE),main!$K$26:$Q$29,4,FALSE)),1,0)</f>
        <v>0</v>
      </c>
      <c r="CX163">
        <f>IF(AND(VLOOKUP(CX$1,main!$A$3:$H$102,7,FALSE)=main!$G$104,VLOOKUP(CX$1,main!$A$3:$H$102,5,FALSE)-VLOOKUP($A163,main!$A$3:$H$102,6,FALSE)&gt;=main!$D$103+VLOOKUP(VLOOKUP(CX$1,main!$A$3:$I$102,7,FALSE),main!$K$26:$Q$29,4,FALSE)),1,0)</f>
        <v>0</v>
      </c>
    </row>
    <row r="164" spans="1:102" x14ac:dyDescent="0.25">
      <c r="A164" s="1">
        <v>61</v>
      </c>
      <c r="B164">
        <v>0</v>
      </c>
      <c r="C164">
        <f>IF(AND(VLOOKUP(C$1,main!$A$3:$H$102,7,FALSE)=main!$G$104,VLOOKUP(C$1,main!$A$3:$H$102,5,FALSE)-VLOOKUP($A164,main!$A$3:$H$102,6,FALSE)&gt;=main!$D$103+VLOOKUP(VLOOKUP(C$1,main!$A$3:$I$102,7,FALSE),main!$K$26:$Q$29,4,FALSE)),1,0)</f>
        <v>0</v>
      </c>
      <c r="D164">
        <f>IF(AND(VLOOKUP(D$1,main!$A$3:$H$102,7,FALSE)=main!$G$104,VLOOKUP(D$1,main!$A$3:$H$102,5,FALSE)-VLOOKUP($A164,main!$A$3:$H$102,6,FALSE)&gt;=main!$D$103+VLOOKUP(VLOOKUP(D$1,main!$A$3:$I$102,7,FALSE),main!$K$26:$Q$29,4,FALSE)),1,0)</f>
        <v>1</v>
      </c>
      <c r="E164">
        <f>IF(AND(VLOOKUP(E$1,main!$A$3:$H$102,7,FALSE)=main!$G$104,VLOOKUP(E$1,main!$A$3:$H$102,5,FALSE)-VLOOKUP($A164,main!$A$3:$H$102,6,FALSE)&gt;=main!$D$103+VLOOKUP(VLOOKUP(E$1,main!$A$3:$I$102,7,FALSE),main!$K$26:$Q$29,4,FALSE)),1,0)</f>
        <v>1</v>
      </c>
      <c r="F164">
        <f>IF(AND(VLOOKUP(F$1,main!$A$3:$H$102,7,FALSE)=main!$G$104,VLOOKUP(F$1,main!$A$3:$H$102,5,FALSE)-VLOOKUP($A164,main!$A$3:$H$102,6,FALSE)&gt;=main!$D$103+VLOOKUP(VLOOKUP(F$1,main!$A$3:$I$102,7,FALSE),main!$K$26:$Q$29,4,FALSE)),1,0)</f>
        <v>1</v>
      </c>
      <c r="G164">
        <f>IF(AND(VLOOKUP(G$1,main!$A$3:$H$102,7,FALSE)=main!$G$104,VLOOKUP(G$1,main!$A$3:$H$102,5,FALSE)-VLOOKUP($A164,main!$A$3:$H$102,6,FALSE)&gt;=main!$D$103+VLOOKUP(VLOOKUP(G$1,main!$A$3:$I$102,7,FALSE),main!$K$26:$Q$29,4,FALSE)),1,0)</f>
        <v>1</v>
      </c>
      <c r="H164">
        <f>IF(AND(VLOOKUP(H$1,main!$A$3:$H$102,7,FALSE)=main!$G$104,VLOOKUP(H$1,main!$A$3:$H$102,5,FALSE)-VLOOKUP($A164,main!$A$3:$H$102,6,FALSE)&gt;=main!$D$103+VLOOKUP(VLOOKUP(H$1,main!$A$3:$I$102,7,FALSE),main!$K$26:$Q$29,4,FALSE)),1,0)</f>
        <v>1</v>
      </c>
      <c r="I164">
        <f>IF(AND(VLOOKUP(I$1,main!$A$3:$H$102,7,FALSE)=main!$G$104,VLOOKUP(I$1,main!$A$3:$H$102,5,FALSE)-VLOOKUP($A164,main!$A$3:$H$102,6,FALSE)&gt;=main!$D$103+VLOOKUP(VLOOKUP(I$1,main!$A$3:$I$102,7,FALSE),main!$K$26:$Q$29,4,FALSE)),1,0)</f>
        <v>1</v>
      </c>
      <c r="J164">
        <f>IF(AND(VLOOKUP(J$1,main!$A$3:$H$102,7,FALSE)=main!$G$104,VLOOKUP(J$1,main!$A$3:$H$102,5,FALSE)-VLOOKUP($A164,main!$A$3:$H$102,6,FALSE)&gt;=main!$D$103+VLOOKUP(VLOOKUP(J$1,main!$A$3:$I$102,7,FALSE),main!$K$26:$Q$29,4,FALSE)),1,0)</f>
        <v>1</v>
      </c>
      <c r="K164">
        <f>IF(AND(VLOOKUP(K$1,main!$A$3:$H$102,7,FALSE)=main!$G$104,VLOOKUP(K$1,main!$A$3:$H$102,5,FALSE)-VLOOKUP($A164,main!$A$3:$H$102,6,FALSE)&gt;=main!$D$103+VLOOKUP(VLOOKUP(K$1,main!$A$3:$I$102,7,FALSE),main!$K$26:$Q$29,4,FALSE)),1,0)</f>
        <v>1</v>
      </c>
      <c r="L164">
        <f>IF(AND(VLOOKUP(L$1,main!$A$3:$H$102,7,FALSE)=main!$G$104,VLOOKUP(L$1,main!$A$3:$H$102,5,FALSE)-VLOOKUP($A164,main!$A$3:$H$102,6,FALSE)&gt;=main!$D$103+VLOOKUP(VLOOKUP(L$1,main!$A$3:$I$102,7,FALSE),main!$K$26:$Q$29,4,FALSE)),1,0)</f>
        <v>1</v>
      </c>
      <c r="M164">
        <f>IF(AND(VLOOKUP(M$1,main!$A$3:$H$102,7,FALSE)=main!$G$104,VLOOKUP(M$1,main!$A$3:$H$102,5,FALSE)-VLOOKUP($A164,main!$A$3:$H$102,6,FALSE)&gt;=main!$D$103+VLOOKUP(VLOOKUP(M$1,main!$A$3:$I$102,7,FALSE),main!$K$26:$Q$29,4,FALSE)),1,0)</f>
        <v>1</v>
      </c>
      <c r="N164">
        <f>IF(AND(VLOOKUP(N$1,main!$A$3:$H$102,7,FALSE)=main!$G$104,VLOOKUP(N$1,main!$A$3:$H$102,5,FALSE)-VLOOKUP($A164,main!$A$3:$H$102,6,FALSE)&gt;=main!$D$103+VLOOKUP(VLOOKUP(N$1,main!$A$3:$I$102,7,FALSE),main!$K$26:$Q$29,4,FALSE)),1,0)</f>
        <v>1</v>
      </c>
      <c r="O164">
        <f>IF(AND(VLOOKUP(O$1,main!$A$3:$H$102,7,FALSE)=main!$G$104,VLOOKUP(O$1,main!$A$3:$H$102,5,FALSE)-VLOOKUP($A164,main!$A$3:$H$102,6,FALSE)&gt;=main!$D$103+VLOOKUP(VLOOKUP(O$1,main!$A$3:$I$102,7,FALSE),main!$K$26:$Q$29,4,FALSE)),1,0)</f>
        <v>1</v>
      </c>
      <c r="P164">
        <f>IF(AND(VLOOKUP(P$1,main!$A$3:$H$102,7,FALSE)=main!$G$104,VLOOKUP(P$1,main!$A$3:$H$102,5,FALSE)-VLOOKUP($A164,main!$A$3:$H$102,6,FALSE)&gt;=main!$D$103+VLOOKUP(VLOOKUP(P$1,main!$A$3:$I$102,7,FALSE),main!$K$26:$Q$29,4,FALSE)),1,0)</f>
        <v>1</v>
      </c>
      <c r="Q164">
        <f>IF(AND(VLOOKUP(Q$1,main!$A$3:$H$102,7,FALSE)=main!$G$104,VLOOKUP(Q$1,main!$A$3:$H$102,5,FALSE)-VLOOKUP($A164,main!$A$3:$H$102,6,FALSE)&gt;=main!$D$103+VLOOKUP(VLOOKUP(Q$1,main!$A$3:$I$102,7,FALSE),main!$K$26:$Q$29,4,FALSE)),1,0)</f>
        <v>1</v>
      </c>
      <c r="R164">
        <f>IF(AND(VLOOKUP(R$1,main!$A$3:$H$102,7,FALSE)=main!$G$104,VLOOKUP(R$1,main!$A$3:$H$102,5,FALSE)-VLOOKUP($A164,main!$A$3:$H$102,6,FALSE)&gt;=main!$D$103+VLOOKUP(VLOOKUP(R$1,main!$A$3:$I$102,7,FALSE),main!$K$26:$Q$29,4,FALSE)),1,0)</f>
        <v>1</v>
      </c>
      <c r="S164">
        <f>IF(AND(VLOOKUP(S$1,main!$A$3:$H$102,7,FALSE)=main!$G$104,VLOOKUP(S$1,main!$A$3:$H$102,5,FALSE)-VLOOKUP($A164,main!$A$3:$H$102,6,FALSE)&gt;=main!$D$103+VLOOKUP(VLOOKUP(S$1,main!$A$3:$I$102,7,FALSE),main!$K$26:$Q$29,4,FALSE)),1,0)</f>
        <v>1</v>
      </c>
      <c r="T164">
        <f>IF(AND(VLOOKUP(T$1,main!$A$3:$H$102,7,FALSE)=main!$G$104,VLOOKUP(T$1,main!$A$3:$H$102,5,FALSE)-VLOOKUP($A164,main!$A$3:$H$102,6,FALSE)&gt;=main!$D$103+VLOOKUP(VLOOKUP(T$1,main!$A$3:$I$102,7,FALSE),main!$K$26:$Q$29,4,FALSE)),1,0)</f>
        <v>1</v>
      </c>
      <c r="U164">
        <f>IF(AND(VLOOKUP(U$1,main!$A$3:$H$102,7,FALSE)=main!$G$104,VLOOKUP(U$1,main!$A$3:$H$102,5,FALSE)-VLOOKUP($A164,main!$A$3:$H$102,6,FALSE)&gt;=main!$D$103+VLOOKUP(VLOOKUP(U$1,main!$A$3:$I$102,7,FALSE),main!$K$26:$Q$29,4,FALSE)),1,0)</f>
        <v>1</v>
      </c>
      <c r="V164">
        <f>IF(AND(VLOOKUP(V$1,main!$A$3:$H$102,7,FALSE)=main!$G$104,VLOOKUP(V$1,main!$A$3:$H$102,5,FALSE)-VLOOKUP($A164,main!$A$3:$H$102,6,FALSE)&gt;=main!$D$103+VLOOKUP(VLOOKUP(V$1,main!$A$3:$I$102,7,FALSE),main!$K$26:$Q$29,4,FALSE)),1,0)</f>
        <v>1</v>
      </c>
      <c r="W164">
        <f>IF(AND(VLOOKUP(W$1,main!$A$3:$H$102,7,FALSE)=main!$G$104,VLOOKUP(W$1,main!$A$3:$H$102,5,FALSE)-VLOOKUP($A164,main!$A$3:$H$102,6,FALSE)&gt;=main!$D$103+VLOOKUP(VLOOKUP(W$1,main!$A$3:$I$102,7,FALSE),main!$K$26:$Q$29,4,FALSE)),1,0)</f>
        <v>1</v>
      </c>
      <c r="X164">
        <f>IF(AND(VLOOKUP(X$1,main!$A$3:$H$102,7,FALSE)=main!$G$104,VLOOKUP(X$1,main!$A$3:$H$102,5,FALSE)-VLOOKUP($A164,main!$A$3:$H$102,6,FALSE)&gt;=main!$D$103+VLOOKUP(VLOOKUP(X$1,main!$A$3:$I$102,7,FALSE),main!$K$26:$Q$29,4,FALSE)),1,0)</f>
        <v>1</v>
      </c>
      <c r="Y164">
        <f>IF(AND(VLOOKUP(Y$1,main!$A$3:$H$102,7,FALSE)=main!$G$104,VLOOKUP(Y$1,main!$A$3:$H$102,5,FALSE)-VLOOKUP($A164,main!$A$3:$H$102,6,FALSE)&gt;=main!$D$103+VLOOKUP(VLOOKUP(Y$1,main!$A$3:$I$102,7,FALSE),main!$K$26:$Q$29,4,FALSE)),1,0)</f>
        <v>1</v>
      </c>
      <c r="Z164">
        <f>IF(AND(VLOOKUP(Z$1,main!$A$3:$H$102,7,FALSE)=main!$G$104,VLOOKUP(Z$1,main!$A$3:$H$102,5,FALSE)-VLOOKUP($A164,main!$A$3:$H$102,6,FALSE)&gt;=main!$D$103+VLOOKUP(VLOOKUP(Z$1,main!$A$3:$I$102,7,FALSE),main!$K$26:$Q$29,4,FALSE)),1,0)</f>
        <v>1</v>
      </c>
      <c r="AA164">
        <f>IF(AND(VLOOKUP(AA$1,main!$A$3:$H$102,7,FALSE)=main!$G$104,VLOOKUP(AA$1,main!$A$3:$H$102,5,FALSE)-VLOOKUP($A164,main!$A$3:$H$102,6,FALSE)&gt;=main!$D$103+VLOOKUP(VLOOKUP(AA$1,main!$A$3:$I$102,7,FALSE),main!$K$26:$Q$29,4,FALSE)),1,0)</f>
        <v>1</v>
      </c>
      <c r="AB164">
        <f>IF(AND(VLOOKUP(AB$1,main!$A$3:$H$102,7,FALSE)=main!$G$104,VLOOKUP(AB$1,main!$A$3:$H$102,5,FALSE)-VLOOKUP($A164,main!$A$3:$H$102,6,FALSE)&gt;=main!$D$103+VLOOKUP(VLOOKUP(AB$1,main!$A$3:$I$102,7,FALSE),main!$K$26:$Q$29,4,FALSE)),1,0)</f>
        <v>1</v>
      </c>
      <c r="AC164">
        <f>IF(AND(VLOOKUP(AC$1,main!$A$3:$H$102,7,FALSE)=main!$G$104,VLOOKUP(AC$1,main!$A$3:$H$102,5,FALSE)-VLOOKUP($A164,main!$A$3:$H$102,6,FALSE)&gt;=main!$D$103+VLOOKUP(VLOOKUP(AC$1,main!$A$3:$I$102,7,FALSE),main!$K$26:$Q$29,4,FALSE)),1,0)</f>
        <v>1</v>
      </c>
      <c r="AD164">
        <f>IF(AND(VLOOKUP(AD$1,main!$A$3:$H$102,7,FALSE)=main!$G$104,VLOOKUP(AD$1,main!$A$3:$H$102,5,FALSE)-VLOOKUP($A164,main!$A$3:$H$102,6,FALSE)&gt;=main!$D$103+VLOOKUP(VLOOKUP(AD$1,main!$A$3:$I$102,7,FALSE),main!$K$26:$Q$29,4,FALSE)),1,0)</f>
        <v>1</v>
      </c>
      <c r="AE164">
        <f>IF(AND(VLOOKUP(AE$1,main!$A$3:$H$102,7,FALSE)=main!$G$104,VLOOKUP(AE$1,main!$A$3:$H$102,5,FALSE)-VLOOKUP($A164,main!$A$3:$H$102,6,FALSE)&gt;=main!$D$103+VLOOKUP(VLOOKUP(AE$1,main!$A$3:$I$102,7,FALSE),main!$K$26:$Q$29,4,FALSE)),1,0)</f>
        <v>1</v>
      </c>
      <c r="AF164">
        <f>IF(AND(VLOOKUP(AF$1,main!$A$3:$H$102,7,FALSE)=main!$G$104,VLOOKUP(AF$1,main!$A$3:$H$102,5,FALSE)-VLOOKUP($A164,main!$A$3:$H$102,6,FALSE)&gt;=main!$D$103+VLOOKUP(VLOOKUP(AF$1,main!$A$3:$I$102,7,FALSE),main!$K$26:$Q$29,4,FALSE)),1,0)</f>
        <v>1</v>
      </c>
      <c r="AG164">
        <f>IF(AND(VLOOKUP(AG$1,main!$A$3:$H$102,7,FALSE)=main!$G$104,VLOOKUP(AG$1,main!$A$3:$H$102,5,FALSE)-VLOOKUP($A164,main!$A$3:$H$102,6,FALSE)&gt;=main!$D$103+VLOOKUP(VLOOKUP(AG$1,main!$A$3:$I$102,7,FALSE),main!$K$26:$Q$29,4,FALSE)),1,0)</f>
        <v>0</v>
      </c>
      <c r="AH164">
        <f>IF(AND(VLOOKUP(AH$1,main!$A$3:$H$102,7,FALSE)=main!$G$104,VLOOKUP(AH$1,main!$A$3:$H$102,5,FALSE)-VLOOKUP($A164,main!$A$3:$H$102,6,FALSE)&gt;=main!$D$103+VLOOKUP(VLOOKUP(AH$1,main!$A$3:$I$102,7,FALSE),main!$K$26:$Q$29,4,FALSE)),1,0)</f>
        <v>0</v>
      </c>
      <c r="AI164">
        <f>IF(AND(VLOOKUP(AI$1,main!$A$3:$H$102,7,FALSE)=main!$G$104,VLOOKUP(AI$1,main!$A$3:$H$102,5,FALSE)-VLOOKUP($A164,main!$A$3:$H$102,6,FALSE)&gt;=main!$D$103+VLOOKUP(VLOOKUP(AI$1,main!$A$3:$I$102,7,FALSE),main!$K$26:$Q$29,4,FALSE)),1,0)</f>
        <v>0</v>
      </c>
      <c r="AJ164">
        <f>IF(AND(VLOOKUP(AJ$1,main!$A$3:$H$102,7,FALSE)=main!$G$104,VLOOKUP(AJ$1,main!$A$3:$H$102,5,FALSE)-VLOOKUP($A164,main!$A$3:$H$102,6,FALSE)&gt;=main!$D$103+VLOOKUP(VLOOKUP(AJ$1,main!$A$3:$I$102,7,FALSE),main!$K$26:$Q$29,4,FALSE)),1,0)</f>
        <v>0</v>
      </c>
      <c r="AK164">
        <f>IF(AND(VLOOKUP(AK$1,main!$A$3:$H$102,7,FALSE)=main!$G$104,VLOOKUP(AK$1,main!$A$3:$H$102,5,FALSE)-VLOOKUP($A164,main!$A$3:$H$102,6,FALSE)&gt;=main!$D$103+VLOOKUP(VLOOKUP(AK$1,main!$A$3:$I$102,7,FALSE),main!$K$26:$Q$29,4,FALSE)),1,0)</f>
        <v>0</v>
      </c>
      <c r="AL164">
        <f>IF(AND(VLOOKUP(AL$1,main!$A$3:$H$102,7,FALSE)=main!$G$104,VLOOKUP(AL$1,main!$A$3:$H$102,5,FALSE)-VLOOKUP($A164,main!$A$3:$H$102,6,FALSE)&gt;=main!$D$103+VLOOKUP(VLOOKUP(AL$1,main!$A$3:$I$102,7,FALSE),main!$K$26:$Q$29,4,FALSE)),1,0)</f>
        <v>0</v>
      </c>
      <c r="AM164">
        <f>IF(AND(VLOOKUP(AM$1,main!$A$3:$H$102,7,FALSE)=main!$G$104,VLOOKUP(AM$1,main!$A$3:$H$102,5,FALSE)-VLOOKUP($A164,main!$A$3:$H$102,6,FALSE)&gt;=main!$D$103+VLOOKUP(VLOOKUP(AM$1,main!$A$3:$I$102,7,FALSE),main!$K$26:$Q$29,4,FALSE)),1,0)</f>
        <v>0</v>
      </c>
      <c r="AN164">
        <f>IF(AND(VLOOKUP(AN$1,main!$A$3:$H$102,7,FALSE)=main!$G$104,VLOOKUP(AN$1,main!$A$3:$H$102,5,FALSE)-VLOOKUP($A164,main!$A$3:$H$102,6,FALSE)&gt;=main!$D$103+VLOOKUP(VLOOKUP(AN$1,main!$A$3:$I$102,7,FALSE),main!$K$26:$Q$29,4,FALSE)),1,0)</f>
        <v>0</v>
      </c>
      <c r="AO164">
        <f>IF(AND(VLOOKUP(AO$1,main!$A$3:$H$102,7,FALSE)=main!$G$104,VLOOKUP(AO$1,main!$A$3:$H$102,5,FALSE)-VLOOKUP($A164,main!$A$3:$H$102,6,FALSE)&gt;=main!$D$103+VLOOKUP(VLOOKUP(AO$1,main!$A$3:$I$102,7,FALSE),main!$K$26:$Q$29,4,FALSE)),1,0)</f>
        <v>0</v>
      </c>
      <c r="AP164">
        <f>IF(AND(VLOOKUP(AP$1,main!$A$3:$H$102,7,FALSE)=main!$G$104,VLOOKUP(AP$1,main!$A$3:$H$102,5,FALSE)-VLOOKUP($A164,main!$A$3:$H$102,6,FALSE)&gt;=main!$D$103+VLOOKUP(VLOOKUP(AP$1,main!$A$3:$I$102,7,FALSE),main!$K$26:$Q$29,4,FALSE)),1,0)</f>
        <v>0</v>
      </c>
      <c r="AQ164">
        <f>IF(AND(VLOOKUP(AQ$1,main!$A$3:$H$102,7,FALSE)=main!$G$104,VLOOKUP(AQ$1,main!$A$3:$H$102,5,FALSE)-VLOOKUP($A164,main!$A$3:$H$102,6,FALSE)&gt;=main!$D$103+VLOOKUP(VLOOKUP(AQ$1,main!$A$3:$I$102,7,FALSE),main!$K$26:$Q$29,4,FALSE)),1,0)</f>
        <v>0</v>
      </c>
      <c r="AR164">
        <f>IF(AND(VLOOKUP(AR$1,main!$A$3:$H$102,7,FALSE)=main!$G$104,VLOOKUP(AR$1,main!$A$3:$H$102,5,FALSE)-VLOOKUP($A164,main!$A$3:$H$102,6,FALSE)&gt;=main!$D$103+VLOOKUP(VLOOKUP(AR$1,main!$A$3:$I$102,7,FALSE),main!$K$26:$Q$29,4,FALSE)),1,0)</f>
        <v>0</v>
      </c>
      <c r="AS164">
        <f>IF(AND(VLOOKUP(AS$1,main!$A$3:$H$102,7,FALSE)=main!$G$104,VLOOKUP(AS$1,main!$A$3:$H$102,5,FALSE)-VLOOKUP($A164,main!$A$3:$H$102,6,FALSE)&gt;=main!$D$103+VLOOKUP(VLOOKUP(AS$1,main!$A$3:$I$102,7,FALSE),main!$K$26:$Q$29,4,FALSE)),1,0)</f>
        <v>0</v>
      </c>
      <c r="AT164">
        <f>IF(AND(VLOOKUP(AT$1,main!$A$3:$H$102,7,FALSE)=main!$G$104,VLOOKUP(AT$1,main!$A$3:$H$102,5,FALSE)-VLOOKUP($A164,main!$A$3:$H$102,6,FALSE)&gt;=main!$D$103+VLOOKUP(VLOOKUP(AT$1,main!$A$3:$I$102,7,FALSE),main!$K$26:$Q$29,4,FALSE)),1,0)</f>
        <v>0</v>
      </c>
      <c r="AU164">
        <f>IF(AND(VLOOKUP(AU$1,main!$A$3:$H$102,7,FALSE)=main!$G$104,VLOOKUP(AU$1,main!$A$3:$H$102,5,FALSE)-VLOOKUP($A164,main!$A$3:$H$102,6,FALSE)&gt;=main!$D$103+VLOOKUP(VLOOKUP(AU$1,main!$A$3:$I$102,7,FALSE),main!$K$26:$Q$29,4,FALSE)),1,0)</f>
        <v>0</v>
      </c>
      <c r="AV164">
        <f>IF(AND(VLOOKUP(AV$1,main!$A$3:$H$102,7,FALSE)=main!$G$104,VLOOKUP(AV$1,main!$A$3:$H$102,5,FALSE)-VLOOKUP($A164,main!$A$3:$H$102,6,FALSE)&gt;=main!$D$103+VLOOKUP(VLOOKUP(AV$1,main!$A$3:$I$102,7,FALSE),main!$K$26:$Q$29,4,FALSE)),1,0)</f>
        <v>0</v>
      </c>
      <c r="AW164">
        <f>IF(AND(VLOOKUP(AW$1,main!$A$3:$H$102,7,FALSE)=main!$G$104,VLOOKUP(AW$1,main!$A$3:$H$102,5,FALSE)-VLOOKUP($A164,main!$A$3:$H$102,6,FALSE)&gt;=main!$D$103+VLOOKUP(VLOOKUP(AW$1,main!$A$3:$I$102,7,FALSE),main!$K$26:$Q$29,4,FALSE)),1,0)</f>
        <v>0</v>
      </c>
      <c r="AX164">
        <f>IF(AND(VLOOKUP(AX$1,main!$A$3:$H$102,7,FALSE)=main!$G$104,VLOOKUP(AX$1,main!$A$3:$H$102,5,FALSE)-VLOOKUP($A164,main!$A$3:$H$102,6,FALSE)&gt;=main!$D$103+VLOOKUP(VLOOKUP(AX$1,main!$A$3:$I$102,7,FALSE),main!$K$26:$Q$29,4,FALSE)),1,0)</f>
        <v>0</v>
      </c>
      <c r="AY164">
        <f>IF(AND(VLOOKUP(AY$1,main!$A$3:$H$102,7,FALSE)=main!$G$104,VLOOKUP(AY$1,main!$A$3:$H$102,5,FALSE)-VLOOKUP($A164,main!$A$3:$H$102,6,FALSE)&gt;=main!$D$103+VLOOKUP(VLOOKUP(AY$1,main!$A$3:$I$102,7,FALSE),main!$K$26:$Q$29,4,FALSE)),1,0)</f>
        <v>0</v>
      </c>
      <c r="AZ164">
        <f>IF(AND(VLOOKUP(AZ$1,main!$A$3:$H$102,7,FALSE)=main!$G$104,VLOOKUP(AZ$1,main!$A$3:$H$102,5,FALSE)-VLOOKUP($A164,main!$A$3:$H$102,6,FALSE)&gt;=main!$D$103+VLOOKUP(VLOOKUP(AZ$1,main!$A$3:$I$102,7,FALSE),main!$K$26:$Q$29,4,FALSE)),1,0)</f>
        <v>0</v>
      </c>
      <c r="BA164">
        <f>IF(AND(VLOOKUP(BA$1,main!$A$3:$H$102,7,FALSE)=main!$G$104,VLOOKUP(BA$1,main!$A$3:$H$102,5,FALSE)-VLOOKUP($A164,main!$A$3:$H$102,6,FALSE)&gt;=main!$D$103+VLOOKUP(VLOOKUP(BA$1,main!$A$3:$I$102,7,FALSE),main!$K$26:$Q$29,4,FALSE)),1,0)</f>
        <v>0</v>
      </c>
      <c r="BB164">
        <f>IF(AND(VLOOKUP(BB$1,main!$A$3:$H$102,7,FALSE)=main!$G$104,VLOOKUP(BB$1,main!$A$3:$H$102,5,FALSE)-VLOOKUP($A164,main!$A$3:$H$102,6,FALSE)&gt;=main!$D$103+VLOOKUP(VLOOKUP(BB$1,main!$A$3:$I$102,7,FALSE),main!$K$26:$Q$29,4,FALSE)),1,0)</f>
        <v>0</v>
      </c>
      <c r="BC164">
        <f>IF(AND(VLOOKUP(BC$1,main!$A$3:$H$102,7,FALSE)=main!$G$104,VLOOKUP(BC$1,main!$A$3:$H$102,5,FALSE)-VLOOKUP($A164,main!$A$3:$H$102,6,FALSE)&gt;=main!$D$103+VLOOKUP(VLOOKUP(BC$1,main!$A$3:$I$102,7,FALSE),main!$K$26:$Q$29,4,FALSE)),1,0)</f>
        <v>0</v>
      </c>
      <c r="BD164">
        <f>IF(AND(VLOOKUP(BD$1,main!$A$3:$H$102,7,FALSE)=main!$G$104,VLOOKUP(BD$1,main!$A$3:$H$102,5,FALSE)-VLOOKUP($A164,main!$A$3:$H$102,6,FALSE)&gt;=main!$D$103+VLOOKUP(VLOOKUP(BD$1,main!$A$3:$I$102,7,FALSE),main!$K$26:$Q$29,4,FALSE)),1,0)</f>
        <v>0</v>
      </c>
      <c r="BE164">
        <f>IF(AND(VLOOKUP(BE$1,main!$A$3:$H$102,7,FALSE)=main!$G$104,VLOOKUP(BE$1,main!$A$3:$H$102,5,FALSE)-VLOOKUP($A164,main!$A$3:$H$102,6,FALSE)&gt;=main!$D$103+VLOOKUP(VLOOKUP(BE$1,main!$A$3:$I$102,7,FALSE),main!$K$26:$Q$29,4,FALSE)),1,0)</f>
        <v>0</v>
      </c>
      <c r="BF164">
        <f>IF(AND(VLOOKUP(BF$1,main!$A$3:$H$102,7,FALSE)=main!$G$104,VLOOKUP(BF$1,main!$A$3:$H$102,5,FALSE)-VLOOKUP($A164,main!$A$3:$H$102,6,FALSE)&gt;=main!$D$103+VLOOKUP(VLOOKUP(BF$1,main!$A$3:$I$102,7,FALSE),main!$K$26:$Q$29,4,FALSE)),1,0)</f>
        <v>0</v>
      </c>
      <c r="BG164">
        <f>IF(AND(VLOOKUP(BG$1,main!$A$3:$H$102,7,FALSE)=main!$G$104,VLOOKUP(BG$1,main!$A$3:$H$102,5,FALSE)-VLOOKUP($A164,main!$A$3:$H$102,6,FALSE)&gt;=main!$D$103+VLOOKUP(VLOOKUP(BG$1,main!$A$3:$I$102,7,FALSE),main!$K$26:$Q$29,4,FALSE)),1,0)</f>
        <v>0</v>
      </c>
      <c r="BH164">
        <f>IF(AND(VLOOKUP(BH$1,main!$A$3:$H$102,7,FALSE)=main!$G$104,VLOOKUP(BH$1,main!$A$3:$H$102,5,FALSE)-VLOOKUP($A164,main!$A$3:$H$102,6,FALSE)&gt;=main!$D$103+VLOOKUP(VLOOKUP(BH$1,main!$A$3:$I$102,7,FALSE),main!$K$26:$Q$29,4,FALSE)),1,0)</f>
        <v>0</v>
      </c>
      <c r="BI164">
        <f>IF(AND(VLOOKUP(BI$1,main!$A$3:$H$102,7,FALSE)=main!$G$104,VLOOKUP(BI$1,main!$A$3:$H$102,5,FALSE)-VLOOKUP($A164,main!$A$3:$H$102,6,FALSE)&gt;=main!$D$103+VLOOKUP(VLOOKUP(BI$1,main!$A$3:$I$102,7,FALSE),main!$K$26:$Q$29,4,FALSE)),1,0)</f>
        <v>0</v>
      </c>
      <c r="BJ164">
        <f>IF(AND(VLOOKUP(BJ$1,main!$A$3:$H$102,7,FALSE)=main!$G$104,VLOOKUP(BJ$1,main!$A$3:$H$102,5,FALSE)-VLOOKUP($A164,main!$A$3:$H$102,6,FALSE)&gt;=main!$D$103+VLOOKUP(VLOOKUP(BJ$1,main!$A$3:$I$102,7,FALSE),main!$K$26:$Q$29,4,FALSE)),1,0)</f>
        <v>0</v>
      </c>
      <c r="BK164">
        <f>IF(AND(VLOOKUP(BK$1,main!$A$3:$H$102,7,FALSE)=main!$G$104,VLOOKUP(BK$1,main!$A$3:$H$102,5,FALSE)-VLOOKUP($A164,main!$A$3:$H$102,6,FALSE)&gt;=main!$D$103+VLOOKUP(VLOOKUP(BK$1,main!$A$3:$I$102,7,FALSE),main!$K$26:$Q$29,4,FALSE)),1,0)</f>
        <v>0</v>
      </c>
      <c r="BL164">
        <f>IF(AND(VLOOKUP(BL$1,main!$A$3:$H$102,7,FALSE)=main!$G$104,VLOOKUP(BL$1,main!$A$3:$H$102,5,FALSE)-VLOOKUP($A164,main!$A$3:$H$102,6,FALSE)&gt;=main!$D$103+VLOOKUP(VLOOKUP(BL$1,main!$A$3:$I$102,7,FALSE),main!$K$26:$Q$29,4,FALSE)),1,0)</f>
        <v>0</v>
      </c>
      <c r="BM164">
        <f>IF(AND(VLOOKUP(BM$1,main!$A$3:$H$102,7,FALSE)=main!$G$104,VLOOKUP(BM$1,main!$A$3:$H$102,5,FALSE)-VLOOKUP($A164,main!$A$3:$H$102,6,FALSE)&gt;=main!$D$103+VLOOKUP(VLOOKUP(BM$1,main!$A$3:$I$102,7,FALSE),main!$K$26:$Q$29,4,FALSE)),1,0)</f>
        <v>0</v>
      </c>
      <c r="BN164">
        <f>IF(AND(VLOOKUP(BN$1,main!$A$3:$H$102,7,FALSE)=main!$G$104,VLOOKUP(BN$1,main!$A$3:$H$102,5,FALSE)-VLOOKUP($A164,main!$A$3:$H$102,6,FALSE)&gt;=main!$D$103+VLOOKUP(VLOOKUP(BN$1,main!$A$3:$I$102,7,FALSE),main!$K$26:$Q$29,4,FALSE)),1,0)</f>
        <v>0</v>
      </c>
      <c r="BO164">
        <f>IF(AND(VLOOKUP(BO$1,main!$A$3:$H$102,7,FALSE)=main!$G$104,VLOOKUP(BO$1,main!$A$3:$H$102,5,FALSE)-VLOOKUP($A164,main!$A$3:$H$102,6,FALSE)&gt;=main!$D$103+VLOOKUP(VLOOKUP(BO$1,main!$A$3:$I$102,7,FALSE),main!$K$26:$Q$29,4,FALSE)),1,0)</f>
        <v>0</v>
      </c>
      <c r="BP164">
        <f>IF(AND(VLOOKUP(BP$1,main!$A$3:$H$102,7,FALSE)=main!$G$104,VLOOKUP(BP$1,main!$A$3:$H$102,5,FALSE)-VLOOKUP($A164,main!$A$3:$H$102,6,FALSE)&gt;=main!$D$103+VLOOKUP(VLOOKUP(BP$1,main!$A$3:$I$102,7,FALSE),main!$K$26:$Q$29,4,FALSE)),1,0)</f>
        <v>0</v>
      </c>
      <c r="BQ164">
        <f>IF(AND(VLOOKUP(BQ$1,main!$A$3:$H$102,7,FALSE)=main!$G$104,VLOOKUP(BQ$1,main!$A$3:$H$102,5,FALSE)-VLOOKUP($A164,main!$A$3:$H$102,6,FALSE)&gt;=main!$D$103+VLOOKUP(VLOOKUP(BQ$1,main!$A$3:$I$102,7,FALSE),main!$K$26:$Q$29,4,FALSE)),1,0)</f>
        <v>0</v>
      </c>
      <c r="BR164">
        <f>IF(AND(VLOOKUP(BR$1,main!$A$3:$H$102,7,FALSE)=main!$G$104,VLOOKUP(BR$1,main!$A$3:$H$102,5,FALSE)-VLOOKUP($A164,main!$A$3:$H$102,6,FALSE)&gt;=main!$D$103+VLOOKUP(VLOOKUP(BR$1,main!$A$3:$I$102,7,FALSE),main!$K$26:$Q$29,4,FALSE)),1,0)</f>
        <v>0</v>
      </c>
      <c r="BS164">
        <f>IF(AND(VLOOKUP(BS$1,main!$A$3:$H$102,7,FALSE)=main!$G$104,VLOOKUP(BS$1,main!$A$3:$H$102,5,FALSE)-VLOOKUP($A164,main!$A$3:$H$102,6,FALSE)&gt;=main!$D$103+VLOOKUP(VLOOKUP(BS$1,main!$A$3:$I$102,7,FALSE),main!$K$26:$Q$29,4,FALSE)),1,0)</f>
        <v>0</v>
      </c>
      <c r="BT164">
        <f>IF(AND(VLOOKUP(BT$1,main!$A$3:$H$102,7,FALSE)=main!$G$104,VLOOKUP(BT$1,main!$A$3:$H$102,5,FALSE)-VLOOKUP($A164,main!$A$3:$H$102,6,FALSE)&gt;=main!$D$103+VLOOKUP(VLOOKUP(BT$1,main!$A$3:$I$102,7,FALSE),main!$K$26:$Q$29,4,FALSE)),1,0)</f>
        <v>0</v>
      </c>
      <c r="BU164">
        <f>IF(AND(VLOOKUP(BU$1,main!$A$3:$H$102,7,FALSE)=main!$G$104,VLOOKUP(BU$1,main!$A$3:$H$102,5,FALSE)-VLOOKUP($A164,main!$A$3:$H$102,6,FALSE)&gt;=main!$D$103+VLOOKUP(VLOOKUP(BU$1,main!$A$3:$I$102,7,FALSE),main!$K$26:$Q$29,4,FALSE)),1,0)</f>
        <v>0</v>
      </c>
      <c r="BV164">
        <f>IF(AND(VLOOKUP(BV$1,main!$A$3:$H$102,7,FALSE)=main!$G$104,VLOOKUP(BV$1,main!$A$3:$H$102,5,FALSE)-VLOOKUP($A164,main!$A$3:$H$102,6,FALSE)&gt;=main!$D$103+VLOOKUP(VLOOKUP(BV$1,main!$A$3:$I$102,7,FALSE),main!$K$26:$Q$29,4,FALSE)),1,0)</f>
        <v>0</v>
      </c>
      <c r="BW164">
        <f>IF(AND(VLOOKUP(BW$1,main!$A$3:$H$102,7,FALSE)=main!$G$104,VLOOKUP(BW$1,main!$A$3:$H$102,5,FALSE)-VLOOKUP($A164,main!$A$3:$H$102,6,FALSE)&gt;=main!$D$103+VLOOKUP(VLOOKUP(BW$1,main!$A$3:$I$102,7,FALSE),main!$K$26:$Q$29,4,FALSE)),1,0)</f>
        <v>0</v>
      </c>
      <c r="BX164">
        <f>IF(AND(VLOOKUP(BX$1,main!$A$3:$H$102,7,FALSE)=main!$G$104,VLOOKUP(BX$1,main!$A$3:$H$102,5,FALSE)-VLOOKUP($A164,main!$A$3:$H$102,6,FALSE)&gt;=main!$D$103+VLOOKUP(VLOOKUP(BX$1,main!$A$3:$I$102,7,FALSE),main!$K$26:$Q$29,4,FALSE)),1,0)</f>
        <v>0</v>
      </c>
      <c r="BY164">
        <f>IF(AND(VLOOKUP(BY$1,main!$A$3:$H$102,7,FALSE)=main!$G$104,VLOOKUP(BY$1,main!$A$3:$H$102,5,FALSE)-VLOOKUP($A164,main!$A$3:$H$102,6,FALSE)&gt;=main!$D$103+VLOOKUP(VLOOKUP(BY$1,main!$A$3:$I$102,7,FALSE),main!$K$26:$Q$29,4,FALSE)),1,0)</f>
        <v>0</v>
      </c>
      <c r="BZ164">
        <f>IF(AND(VLOOKUP(BZ$1,main!$A$3:$H$102,7,FALSE)=main!$G$104,VLOOKUP(BZ$1,main!$A$3:$H$102,5,FALSE)-VLOOKUP($A164,main!$A$3:$H$102,6,FALSE)&gt;=main!$D$103+VLOOKUP(VLOOKUP(BZ$1,main!$A$3:$I$102,7,FALSE),main!$K$26:$Q$29,4,FALSE)),1,0)</f>
        <v>0</v>
      </c>
      <c r="CA164">
        <f>IF(AND(VLOOKUP(CA$1,main!$A$3:$H$102,7,FALSE)=main!$G$104,VLOOKUP(CA$1,main!$A$3:$H$102,5,FALSE)-VLOOKUP($A164,main!$A$3:$H$102,6,FALSE)&gt;=main!$D$103+VLOOKUP(VLOOKUP(CA$1,main!$A$3:$I$102,7,FALSE),main!$K$26:$Q$29,4,FALSE)),1,0)</f>
        <v>0</v>
      </c>
      <c r="CB164">
        <f>IF(AND(VLOOKUP(CB$1,main!$A$3:$H$102,7,FALSE)=main!$G$104,VLOOKUP(CB$1,main!$A$3:$H$102,5,FALSE)-VLOOKUP($A164,main!$A$3:$H$102,6,FALSE)&gt;=main!$D$103+VLOOKUP(VLOOKUP(CB$1,main!$A$3:$I$102,7,FALSE),main!$K$26:$Q$29,4,FALSE)),1,0)</f>
        <v>0</v>
      </c>
      <c r="CC164">
        <f>IF(AND(VLOOKUP(CC$1,main!$A$3:$H$102,7,FALSE)=main!$G$104,VLOOKUP(CC$1,main!$A$3:$H$102,5,FALSE)-VLOOKUP($A164,main!$A$3:$H$102,6,FALSE)&gt;=main!$D$103+VLOOKUP(VLOOKUP(CC$1,main!$A$3:$I$102,7,FALSE),main!$K$26:$Q$29,4,FALSE)),1,0)</f>
        <v>0</v>
      </c>
      <c r="CD164">
        <f>IF(AND(VLOOKUP(CD$1,main!$A$3:$H$102,7,FALSE)=main!$G$104,VLOOKUP(CD$1,main!$A$3:$H$102,5,FALSE)-VLOOKUP($A164,main!$A$3:$H$102,6,FALSE)&gt;=main!$D$103+VLOOKUP(VLOOKUP(CD$1,main!$A$3:$I$102,7,FALSE),main!$K$26:$Q$29,4,FALSE)),1,0)</f>
        <v>0</v>
      </c>
      <c r="CE164">
        <f>IF(AND(VLOOKUP(CE$1,main!$A$3:$H$102,7,FALSE)=main!$G$104,VLOOKUP(CE$1,main!$A$3:$H$102,5,FALSE)-VLOOKUP($A164,main!$A$3:$H$102,6,FALSE)&gt;=main!$D$103+VLOOKUP(VLOOKUP(CE$1,main!$A$3:$I$102,7,FALSE),main!$K$26:$Q$29,4,FALSE)),1,0)</f>
        <v>0</v>
      </c>
      <c r="CF164">
        <f>IF(AND(VLOOKUP(CF$1,main!$A$3:$H$102,7,FALSE)=main!$G$104,VLOOKUP(CF$1,main!$A$3:$H$102,5,FALSE)-VLOOKUP($A164,main!$A$3:$H$102,6,FALSE)&gt;=main!$D$103+VLOOKUP(VLOOKUP(CF$1,main!$A$3:$I$102,7,FALSE),main!$K$26:$Q$29,4,FALSE)),1,0)</f>
        <v>0</v>
      </c>
      <c r="CG164">
        <f>IF(AND(VLOOKUP(CG$1,main!$A$3:$H$102,7,FALSE)=main!$G$104,VLOOKUP(CG$1,main!$A$3:$H$102,5,FALSE)-VLOOKUP($A164,main!$A$3:$H$102,6,FALSE)&gt;=main!$D$103+VLOOKUP(VLOOKUP(CG$1,main!$A$3:$I$102,7,FALSE),main!$K$26:$Q$29,4,FALSE)),1,0)</f>
        <v>0</v>
      </c>
      <c r="CH164">
        <f>IF(AND(VLOOKUP(CH$1,main!$A$3:$H$102,7,FALSE)=main!$G$104,VLOOKUP(CH$1,main!$A$3:$H$102,5,FALSE)-VLOOKUP($A164,main!$A$3:$H$102,6,FALSE)&gt;=main!$D$103+VLOOKUP(VLOOKUP(CH$1,main!$A$3:$I$102,7,FALSE),main!$K$26:$Q$29,4,FALSE)),1,0)</f>
        <v>0</v>
      </c>
      <c r="CI164">
        <f>IF(AND(VLOOKUP(CI$1,main!$A$3:$H$102,7,FALSE)=main!$G$104,VLOOKUP(CI$1,main!$A$3:$H$102,5,FALSE)-VLOOKUP($A164,main!$A$3:$H$102,6,FALSE)&gt;=main!$D$103+VLOOKUP(VLOOKUP(CI$1,main!$A$3:$I$102,7,FALSE),main!$K$26:$Q$29,4,FALSE)),1,0)</f>
        <v>0</v>
      </c>
      <c r="CJ164">
        <f>IF(AND(VLOOKUP(CJ$1,main!$A$3:$H$102,7,FALSE)=main!$G$104,VLOOKUP(CJ$1,main!$A$3:$H$102,5,FALSE)-VLOOKUP($A164,main!$A$3:$H$102,6,FALSE)&gt;=main!$D$103+VLOOKUP(VLOOKUP(CJ$1,main!$A$3:$I$102,7,FALSE),main!$K$26:$Q$29,4,FALSE)),1,0)</f>
        <v>0</v>
      </c>
      <c r="CK164">
        <f>IF(AND(VLOOKUP(CK$1,main!$A$3:$H$102,7,FALSE)=main!$G$104,VLOOKUP(CK$1,main!$A$3:$H$102,5,FALSE)-VLOOKUP($A164,main!$A$3:$H$102,6,FALSE)&gt;=main!$D$103+VLOOKUP(VLOOKUP(CK$1,main!$A$3:$I$102,7,FALSE),main!$K$26:$Q$29,4,FALSE)),1,0)</f>
        <v>0</v>
      </c>
      <c r="CL164">
        <f>IF(AND(VLOOKUP(CL$1,main!$A$3:$H$102,7,FALSE)=main!$G$104,VLOOKUP(CL$1,main!$A$3:$H$102,5,FALSE)-VLOOKUP($A164,main!$A$3:$H$102,6,FALSE)&gt;=main!$D$103+VLOOKUP(VLOOKUP(CL$1,main!$A$3:$I$102,7,FALSE),main!$K$26:$Q$29,4,FALSE)),1,0)</f>
        <v>0</v>
      </c>
      <c r="CM164">
        <f>IF(AND(VLOOKUP(CM$1,main!$A$3:$H$102,7,FALSE)=main!$G$104,VLOOKUP(CM$1,main!$A$3:$H$102,5,FALSE)-VLOOKUP($A164,main!$A$3:$H$102,6,FALSE)&gt;=main!$D$103+VLOOKUP(VLOOKUP(CM$1,main!$A$3:$I$102,7,FALSE),main!$K$26:$Q$29,4,FALSE)),1,0)</f>
        <v>0</v>
      </c>
      <c r="CN164">
        <f>IF(AND(VLOOKUP(CN$1,main!$A$3:$H$102,7,FALSE)=main!$G$104,VLOOKUP(CN$1,main!$A$3:$H$102,5,FALSE)-VLOOKUP($A164,main!$A$3:$H$102,6,FALSE)&gt;=main!$D$103+VLOOKUP(VLOOKUP(CN$1,main!$A$3:$I$102,7,FALSE),main!$K$26:$Q$29,4,FALSE)),1,0)</f>
        <v>0</v>
      </c>
      <c r="CO164">
        <f>IF(AND(VLOOKUP(CO$1,main!$A$3:$H$102,7,FALSE)=main!$G$104,VLOOKUP(CO$1,main!$A$3:$H$102,5,FALSE)-VLOOKUP($A164,main!$A$3:$H$102,6,FALSE)&gt;=main!$D$103+VLOOKUP(VLOOKUP(CO$1,main!$A$3:$I$102,7,FALSE),main!$K$26:$Q$29,4,FALSE)),1,0)</f>
        <v>0</v>
      </c>
      <c r="CP164">
        <f>IF(AND(VLOOKUP(CP$1,main!$A$3:$H$102,7,FALSE)=main!$G$104,VLOOKUP(CP$1,main!$A$3:$H$102,5,FALSE)-VLOOKUP($A164,main!$A$3:$H$102,6,FALSE)&gt;=main!$D$103+VLOOKUP(VLOOKUP(CP$1,main!$A$3:$I$102,7,FALSE),main!$K$26:$Q$29,4,FALSE)),1,0)</f>
        <v>0</v>
      </c>
      <c r="CQ164">
        <f>IF(AND(VLOOKUP(CQ$1,main!$A$3:$H$102,7,FALSE)=main!$G$104,VLOOKUP(CQ$1,main!$A$3:$H$102,5,FALSE)-VLOOKUP($A164,main!$A$3:$H$102,6,FALSE)&gt;=main!$D$103+VLOOKUP(VLOOKUP(CQ$1,main!$A$3:$I$102,7,FALSE),main!$K$26:$Q$29,4,FALSE)),1,0)</f>
        <v>0</v>
      </c>
      <c r="CR164">
        <f>IF(AND(VLOOKUP(CR$1,main!$A$3:$H$102,7,FALSE)=main!$G$104,VLOOKUP(CR$1,main!$A$3:$H$102,5,FALSE)-VLOOKUP($A164,main!$A$3:$H$102,6,FALSE)&gt;=main!$D$103+VLOOKUP(VLOOKUP(CR$1,main!$A$3:$I$102,7,FALSE),main!$K$26:$Q$29,4,FALSE)),1,0)</f>
        <v>0</v>
      </c>
      <c r="CS164">
        <f>IF(AND(VLOOKUP(CS$1,main!$A$3:$H$102,7,FALSE)=main!$G$104,VLOOKUP(CS$1,main!$A$3:$H$102,5,FALSE)-VLOOKUP($A164,main!$A$3:$H$102,6,FALSE)&gt;=main!$D$103+VLOOKUP(VLOOKUP(CS$1,main!$A$3:$I$102,7,FALSE),main!$K$26:$Q$29,4,FALSE)),1,0)</f>
        <v>0</v>
      </c>
      <c r="CT164">
        <f>IF(AND(VLOOKUP(CT$1,main!$A$3:$H$102,7,FALSE)=main!$G$104,VLOOKUP(CT$1,main!$A$3:$H$102,5,FALSE)-VLOOKUP($A164,main!$A$3:$H$102,6,FALSE)&gt;=main!$D$103+VLOOKUP(VLOOKUP(CT$1,main!$A$3:$I$102,7,FALSE),main!$K$26:$Q$29,4,FALSE)),1,0)</f>
        <v>0</v>
      </c>
      <c r="CU164">
        <f>IF(AND(VLOOKUP(CU$1,main!$A$3:$H$102,7,FALSE)=main!$G$104,VLOOKUP(CU$1,main!$A$3:$H$102,5,FALSE)-VLOOKUP($A164,main!$A$3:$H$102,6,FALSE)&gt;=main!$D$103+VLOOKUP(VLOOKUP(CU$1,main!$A$3:$I$102,7,FALSE),main!$K$26:$Q$29,4,FALSE)),1,0)</f>
        <v>0</v>
      </c>
      <c r="CV164">
        <f>IF(AND(VLOOKUP(CV$1,main!$A$3:$H$102,7,FALSE)=main!$G$104,VLOOKUP(CV$1,main!$A$3:$H$102,5,FALSE)-VLOOKUP($A164,main!$A$3:$H$102,6,FALSE)&gt;=main!$D$103+VLOOKUP(VLOOKUP(CV$1,main!$A$3:$I$102,7,FALSE),main!$K$26:$Q$29,4,FALSE)),1,0)</f>
        <v>0</v>
      </c>
      <c r="CW164">
        <f>IF(AND(VLOOKUP(CW$1,main!$A$3:$H$102,7,FALSE)=main!$G$104,VLOOKUP(CW$1,main!$A$3:$H$102,5,FALSE)-VLOOKUP($A164,main!$A$3:$H$102,6,FALSE)&gt;=main!$D$103+VLOOKUP(VLOOKUP(CW$1,main!$A$3:$I$102,7,FALSE),main!$K$26:$Q$29,4,FALSE)),1,0)</f>
        <v>0</v>
      </c>
      <c r="CX164">
        <f>IF(AND(VLOOKUP(CX$1,main!$A$3:$H$102,7,FALSE)=main!$G$104,VLOOKUP(CX$1,main!$A$3:$H$102,5,FALSE)-VLOOKUP($A164,main!$A$3:$H$102,6,FALSE)&gt;=main!$D$103+VLOOKUP(VLOOKUP(CX$1,main!$A$3:$I$102,7,FALSE),main!$K$26:$Q$29,4,FALSE)),1,0)</f>
        <v>0</v>
      </c>
    </row>
    <row r="165" spans="1:102" x14ac:dyDescent="0.25">
      <c r="A165" s="1">
        <v>62</v>
      </c>
      <c r="B165">
        <v>0</v>
      </c>
      <c r="C165">
        <f>IF(AND(VLOOKUP(C$1,main!$A$3:$H$102,7,FALSE)=main!$G$104,VLOOKUP(C$1,main!$A$3:$H$102,5,FALSE)-VLOOKUP($A165,main!$A$3:$H$102,6,FALSE)&gt;=main!$D$103+VLOOKUP(VLOOKUP(C$1,main!$A$3:$I$102,7,FALSE),main!$K$26:$Q$29,4,FALSE)),1,0)</f>
        <v>0</v>
      </c>
      <c r="D165">
        <f>IF(AND(VLOOKUP(D$1,main!$A$3:$H$102,7,FALSE)=main!$G$104,VLOOKUP(D$1,main!$A$3:$H$102,5,FALSE)-VLOOKUP($A165,main!$A$3:$H$102,6,FALSE)&gt;=main!$D$103+VLOOKUP(VLOOKUP(D$1,main!$A$3:$I$102,7,FALSE),main!$K$26:$Q$29,4,FALSE)),1,0)</f>
        <v>0</v>
      </c>
      <c r="E165">
        <f>IF(AND(VLOOKUP(E$1,main!$A$3:$H$102,7,FALSE)=main!$G$104,VLOOKUP(E$1,main!$A$3:$H$102,5,FALSE)-VLOOKUP($A165,main!$A$3:$H$102,6,FALSE)&gt;=main!$D$103+VLOOKUP(VLOOKUP(E$1,main!$A$3:$I$102,7,FALSE),main!$K$26:$Q$29,4,FALSE)),1,0)</f>
        <v>0</v>
      </c>
      <c r="F165">
        <f>IF(AND(VLOOKUP(F$1,main!$A$3:$H$102,7,FALSE)=main!$G$104,VLOOKUP(F$1,main!$A$3:$H$102,5,FALSE)-VLOOKUP($A165,main!$A$3:$H$102,6,FALSE)&gt;=main!$D$103+VLOOKUP(VLOOKUP(F$1,main!$A$3:$I$102,7,FALSE),main!$K$26:$Q$29,4,FALSE)),1,0)</f>
        <v>1</v>
      </c>
      <c r="G165">
        <f>IF(AND(VLOOKUP(G$1,main!$A$3:$H$102,7,FALSE)=main!$G$104,VLOOKUP(G$1,main!$A$3:$H$102,5,FALSE)-VLOOKUP($A165,main!$A$3:$H$102,6,FALSE)&gt;=main!$D$103+VLOOKUP(VLOOKUP(G$1,main!$A$3:$I$102,7,FALSE),main!$K$26:$Q$29,4,FALSE)),1,0)</f>
        <v>1</v>
      </c>
      <c r="H165">
        <f>IF(AND(VLOOKUP(H$1,main!$A$3:$H$102,7,FALSE)=main!$G$104,VLOOKUP(H$1,main!$A$3:$H$102,5,FALSE)-VLOOKUP($A165,main!$A$3:$H$102,6,FALSE)&gt;=main!$D$103+VLOOKUP(VLOOKUP(H$1,main!$A$3:$I$102,7,FALSE),main!$K$26:$Q$29,4,FALSE)),1,0)</f>
        <v>1</v>
      </c>
      <c r="I165">
        <f>IF(AND(VLOOKUP(I$1,main!$A$3:$H$102,7,FALSE)=main!$G$104,VLOOKUP(I$1,main!$A$3:$H$102,5,FALSE)-VLOOKUP($A165,main!$A$3:$H$102,6,FALSE)&gt;=main!$D$103+VLOOKUP(VLOOKUP(I$1,main!$A$3:$I$102,7,FALSE),main!$K$26:$Q$29,4,FALSE)),1,0)</f>
        <v>1</v>
      </c>
      <c r="J165">
        <f>IF(AND(VLOOKUP(J$1,main!$A$3:$H$102,7,FALSE)=main!$G$104,VLOOKUP(J$1,main!$A$3:$H$102,5,FALSE)-VLOOKUP($A165,main!$A$3:$H$102,6,FALSE)&gt;=main!$D$103+VLOOKUP(VLOOKUP(J$1,main!$A$3:$I$102,7,FALSE),main!$K$26:$Q$29,4,FALSE)),1,0)</f>
        <v>1</v>
      </c>
      <c r="K165">
        <f>IF(AND(VLOOKUP(K$1,main!$A$3:$H$102,7,FALSE)=main!$G$104,VLOOKUP(K$1,main!$A$3:$H$102,5,FALSE)-VLOOKUP($A165,main!$A$3:$H$102,6,FALSE)&gt;=main!$D$103+VLOOKUP(VLOOKUP(K$1,main!$A$3:$I$102,7,FALSE),main!$K$26:$Q$29,4,FALSE)),1,0)</f>
        <v>1</v>
      </c>
      <c r="L165">
        <f>IF(AND(VLOOKUP(L$1,main!$A$3:$H$102,7,FALSE)=main!$G$104,VLOOKUP(L$1,main!$A$3:$H$102,5,FALSE)-VLOOKUP($A165,main!$A$3:$H$102,6,FALSE)&gt;=main!$D$103+VLOOKUP(VLOOKUP(L$1,main!$A$3:$I$102,7,FALSE),main!$K$26:$Q$29,4,FALSE)),1,0)</f>
        <v>1</v>
      </c>
      <c r="M165">
        <f>IF(AND(VLOOKUP(M$1,main!$A$3:$H$102,7,FALSE)=main!$G$104,VLOOKUP(M$1,main!$A$3:$H$102,5,FALSE)-VLOOKUP($A165,main!$A$3:$H$102,6,FALSE)&gt;=main!$D$103+VLOOKUP(VLOOKUP(M$1,main!$A$3:$I$102,7,FALSE),main!$K$26:$Q$29,4,FALSE)),1,0)</f>
        <v>0</v>
      </c>
      <c r="N165">
        <f>IF(AND(VLOOKUP(N$1,main!$A$3:$H$102,7,FALSE)=main!$G$104,VLOOKUP(N$1,main!$A$3:$H$102,5,FALSE)-VLOOKUP($A165,main!$A$3:$H$102,6,FALSE)&gt;=main!$D$103+VLOOKUP(VLOOKUP(N$1,main!$A$3:$I$102,7,FALSE),main!$K$26:$Q$29,4,FALSE)),1,0)</f>
        <v>0</v>
      </c>
      <c r="O165">
        <f>IF(AND(VLOOKUP(O$1,main!$A$3:$H$102,7,FALSE)=main!$G$104,VLOOKUP(O$1,main!$A$3:$H$102,5,FALSE)-VLOOKUP($A165,main!$A$3:$H$102,6,FALSE)&gt;=main!$D$103+VLOOKUP(VLOOKUP(O$1,main!$A$3:$I$102,7,FALSE),main!$K$26:$Q$29,4,FALSE)),1,0)</f>
        <v>0</v>
      </c>
      <c r="P165">
        <f>IF(AND(VLOOKUP(P$1,main!$A$3:$H$102,7,FALSE)=main!$G$104,VLOOKUP(P$1,main!$A$3:$H$102,5,FALSE)-VLOOKUP($A165,main!$A$3:$H$102,6,FALSE)&gt;=main!$D$103+VLOOKUP(VLOOKUP(P$1,main!$A$3:$I$102,7,FALSE),main!$K$26:$Q$29,4,FALSE)),1,0)</f>
        <v>0</v>
      </c>
      <c r="Q165">
        <f>IF(AND(VLOOKUP(Q$1,main!$A$3:$H$102,7,FALSE)=main!$G$104,VLOOKUP(Q$1,main!$A$3:$H$102,5,FALSE)-VLOOKUP($A165,main!$A$3:$H$102,6,FALSE)&gt;=main!$D$103+VLOOKUP(VLOOKUP(Q$1,main!$A$3:$I$102,7,FALSE),main!$K$26:$Q$29,4,FALSE)),1,0)</f>
        <v>1</v>
      </c>
      <c r="R165">
        <f>IF(AND(VLOOKUP(R$1,main!$A$3:$H$102,7,FALSE)=main!$G$104,VLOOKUP(R$1,main!$A$3:$H$102,5,FALSE)-VLOOKUP($A165,main!$A$3:$H$102,6,FALSE)&gt;=main!$D$103+VLOOKUP(VLOOKUP(R$1,main!$A$3:$I$102,7,FALSE),main!$K$26:$Q$29,4,FALSE)),1,0)</f>
        <v>1</v>
      </c>
      <c r="S165">
        <f>IF(AND(VLOOKUP(S$1,main!$A$3:$H$102,7,FALSE)=main!$G$104,VLOOKUP(S$1,main!$A$3:$H$102,5,FALSE)-VLOOKUP($A165,main!$A$3:$H$102,6,FALSE)&gt;=main!$D$103+VLOOKUP(VLOOKUP(S$1,main!$A$3:$I$102,7,FALSE),main!$K$26:$Q$29,4,FALSE)),1,0)</f>
        <v>1</v>
      </c>
      <c r="T165">
        <f>IF(AND(VLOOKUP(T$1,main!$A$3:$H$102,7,FALSE)=main!$G$104,VLOOKUP(T$1,main!$A$3:$H$102,5,FALSE)-VLOOKUP($A165,main!$A$3:$H$102,6,FALSE)&gt;=main!$D$103+VLOOKUP(VLOOKUP(T$1,main!$A$3:$I$102,7,FALSE),main!$K$26:$Q$29,4,FALSE)),1,0)</f>
        <v>1</v>
      </c>
      <c r="U165">
        <f>IF(AND(VLOOKUP(U$1,main!$A$3:$H$102,7,FALSE)=main!$G$104,VLOOKUP(U$1,main!$A$3:$H$102,5,FALSE)-VLOOKUP($A165,main!$A$3:$H$102,6,FALSE)&gt;=main!$D$103+VLOOKUP(VLOOKUP(U$1,main!$A$3:$I$102,7,FALSE),main!$K$26:$Q$29,4,FALSE)),1,0)</f>
        <v>1</v>
      </c>
      <c r="V165">
        <f>IF(AND(VLOOKUP(V$1,main!$A$3:$H$102,7,FALSE)=main!$G$104,VLOOKUP(V$1,main!$A$3:$H$102,5,FALSE)-VLOOKUP($A165,main!$A$3:$H$102,6,FALSE)&gt;=main!$D$103+VLOOKUP(VLOOKUP(V$1,main!$A$3:$I$102,7,FALSE),main!$K$26:$Q$29,4,FALSE)),1,0)</f>
        <v>1</v>
      </c>
      <c r="W165">
        <f>IF(AND(VLOOKUP(W$1,main!$A$3:$H$102,7,FALSE)=main!$G$104,VLOOKUP(W$1,main!$A$3:$H$102,5,FALSE)-VLOOKUP($A165,main!$A$3:$H$102,6,FALSE)&gt;=main!$D$103+VLOOKUP(VLOOKUP(W$1,main!$A$3:$I$102,7,FALSE),main!$K$26:$Q$29,4,FALSE)),1,0)</f>
        <v>0</v>
      </c>
      <c r="X165">
        <f>IF(AND(VLOOKUP(X$1,main!$A$3:$H$102,7,FALSE)=main!$G$104,VLOOKUP(X$1,main!$A$3:$H$102,5,FALSE)-VLOOKUP($A165,main!$A$3:$H$102,6,FALSE)&gt;=main!$D$103+VLOOKUP(VLOOKUP(X$1,main!$A$3:$I$102,7,FALSE),main!$K$26:$Q$29,4,FALSE)),1,0)</f>
        <v>0</v>
      </c>
      <c r="Y165">
        <f>IF(AND(VLOOKUP(Y$1,main!$A$3:$H$102,7,FALSE)=main!$G$104,VLOOKUP(Y$1,main!$A$3:$H$102,5,FALSE)-VLOOKUP($A165,main!$A$3:$H$102,6,FALSE)&gt;=main!$D$103+VLOOKUP(VLOOKUP(Y$1,main!$A$3:$I$102,7,FALSE),main!$K$26:$Q$29,4,FALSE)),1,0)</f>
        <v>1</v>
      </c>
      <c r="Z165">
        <f>IF(AND(VLOOKUP(Z$1,main!$A$3:$H$102,7,FALSE)=main!$G$104,VLOOKUP(Z$1,main!$A$3:$H$102,5,FALSE)-VLOOKUP($A165,main!$A$3:$H$102,6,FALSE)&gt;=main!$D$103+VLOOKUP(VLOOKUP(Z$1,main!$A$3:$I$102,7,FALSE),main!$K$26:$Q$29,4,FALSE)),1,0)</f>
        <v>1</v>
      </c>
      <c r="AA165">
        <f>IF(AND(VLOOKUP(AA$1,main!$A$3:$H$102,7,FALSE)=main!$G$104,VLOOKUP(AA$1,main!$A$3:$H$102,5,FALSE)-VLOOKUP($A165,main!$A$3:$H$102,6,FALSE)&gt;=main!$D$103+VLOOKUP(VLOOKUP(AA$1,main!$A$3:$I$102,7,FALSE),main!$K$26:$Q$29,4,FALSE)),1,0)</f>
        <v>1</v>
      </c>
      <c r="AB165">
        <f>IF(AND(VLOOKUP(AB$1,main!$A$3:$H$102,7,FALSE)=main!$G$104,VLOOKUP(AB$1,main!$A$3:$H$102,5,FALSE)-VLOOKUP($A165,main!$A$3:$H$102,6,FALSE)&gt;=main!$D$103+VLOOKUP(VLOOKUP(AB$1,main!$A$3:$I$102,7,FALSE),main!$K$26:$Q$29,4,FALSE)),1,0)</f>
        <v>0</v>
      </c>
      <c r="AC165">
        <f>IF(AND(VLOOKUP(AC$1,main!$A$3:$H$102,7,FALSE)=main!$G$104,VLOOKUP(AC$1,main!$A$3:$H$102,5,FALSE)-VLOOKUP($A165,main!$A$3:$H$102,6,FALSE)&gt;=main!$D$103+VLOOKUP(VLOOKUP(AC$1,main!$A$3:$I$102,7,FALSE),main!$K$26:$Q$29,4,FALSE)),1,0)</f>
        <v>0</v>
      </c>
      <c r="AD165">
        <f>IF(AND(VLOOKUP(AD$1,main!$A$3:$H$102,7,FALSE)=main!$G$104,VLOOKUP(AD$1,main!$A$3:$H$102,5,FALSE)-VLOOKUP($A165,main!$A$3:$H$102,6,FALSE)&gt;=main!$D$103+VLOOKUP(VLOOKUP(AD$1,main!$A$3:$I$102,7,FALSE),main!$K$26:$Q$29,4,FALSE)),1,0)</f>
        <v>1</v>
      </c>
      <c r="AE165">
        <f>IF(AND(VLOOKUP(AE$1,main!$A$3:$H$102,7,FALSE)=main!$G$104,VLOOKUP(AE$1,main!$A$3:$H$102,5,FALSE)-VLOOKUP($A165,main!$A$3:$H$102,6,FALSE)&gt;=main!$D$103+VLOOKUP(VLOOKUP(AE$1,main!$A$3:$I$102,7,FALSE),main!$K$26:$Q$29,4,FALSE)),1,0)</f>
        <v>1</v>
      </c>
      <c r="AF165">
        <f>IF(AND(VLOOKUP(AF$1,main!$A$3:$H$102,7,FALSE)=main!$G$104,VLOOKUP(AF$1,main!$A$3:$H$102,5,FALSE)-VLOOKUP($A165,main!$A$3:$H$102,6,FALSE)&gt;=main!$D$103+VLOOKUP(VLOOKUP(AF$1,main!$A$3:$I$102,7,FALSE),main!$K$26:$Q$29,4,FALSE)),1,0)</f>
        <v>1</v>
      </c>
      <c r="AG165">
        <f>IF(AND(VLOOKUP(AG$1,main!$A$3:$H$102,7,FALSE)=main!$G$104,VLOOKUP(AG$1,main!$A$3:$H$102,5,FALSE)-VLOOKUP($A165,main!$A$3:$H$102,6,FALSE)&gt;=main!$D$103+VLOOKUP(VLOOKUP(AG$1,main!$A$3:$I$102,7,FALSE),main!$K$26:$Q$29,4,FALSE)),1,0)</f>
        <v>0</v>
      </c>
      <c r="AH165">
        <f>IF(AND(VLOOKUP(AH$1,main!$A$3:$H$102,7,FALSE)=main!$G$104,VLOOKUP(AH$1,main!$A$3:$H$102,5,FALSE)-VLOOKUP($A165,main!$A$3:$H$102,6,FALSE)&gt;=main!$D$103+VLOOKUP(VLOOKUP(AH$1,main!$A$3:$I$102,7,FALSE),main!$K$26:$Q$29,4,FALSE)),1,0)</f>
        <v>0</v>
      </c>
      <c r="AI165">
        <f>IF(AND(VLOOKUP(AI$1,main!$A$3:$H$102,7,FALSE)=main!$G$104,VLOOKUP(AI$1,main!$A$3:$H$102,5,FALSE)-VLOOKUP($A165,main!$A$3:$H$102,6,FALSE)&gt;=main!$D$103+VLOOKUP(VLOOKUP(AI$1,main!$A$3:$I$102,7,FALSE),main!$K$26:$Q$29,4,FALSE)),1,0)</f>
        <v>0</v>
      </c>
      <c r="AJ165">
        <f>IF(AND(VLOOKUP(AJ$1,main!$A$3:$H$102,7,FALSE)=main!$G$104,VLOOKUP(AJ$1,main!$A$3:$H$102,5,FALSE)-VLOOKUP($A165,main!$A$3:$H$102,6,FALSE)&gt;=main!$D$103+VLOOKUP(VLOOKUP(AJ$1,main!$A$3:$I$102,7,FALSE),main!$K$26:$Q$29,4,FALSE)),1,0)</f>
        <v>0</v>
      </c>
      <c r="AK165">
        <f>IF(AND(VLOOKUP(AK$1,main!$A$3:$H$102,7,FALSE)=main!$G$104,VLOOKUP(AK$1,main!$A$3:$H$102,5,FALSE)-VLOOKUP($A165,main!$A$3:$H$102,6,FALSE)&gt;=main!$D$103+VLOOKUP(VLOOKUP(AK$1,main!$A$3:$I$102,7,FALSE),main!$K$26:$Q$29,4,FALSE)),1,0)</f>
        <v>0</v>
      </c>
      <c r="AL165">
        <f>IF(AND(VLOOKUP(AL$1,main!$A$3:$H$102,7,FALSE)=main!$G$104,VLOOKUP(AL$1,main!$A$3:$H$102,5,FALSE)-VLOOKUP($A165,main!$A$3:$H$102,6,FALSE)&gt;=main!$D$103+VLOOKUP(VLOOKUP(AL$1,main!$A$3:$I$102,7,FALSE),main!$K$26:$Q$29,4,FALSE)),1,0)</f>
        <v>0</v>
      </c>
      <c r="AM165">
        <f>IF(AND(VLOOKUP(AM$1,main!$A$3:$H$102,7,FALSE)=main!$G$104,VLOOKUP(AM$1,main!$A$3:$H$102,5,FALSE)-VLOOKUP($A165,main!$A$3:$H$102,6,FALSE)&gt;=main!$D$103+VLOOKUP(VLOOKUP(AM$1,main!$A$3:$I$102,7,FALSE),main!$K$26:$Q$29,4,FALSE)),1,0)</f>
        <v>0</v>
      </c>
      <c r="AN165">
        <f>IF(AND(VLOOKUP(AN$1,main!$A$3:$H$102,7,FALSE)=main!$G$104,VLOOKUP(AN$1,main!$A$3:$H$102,5,FALSE)-VLOOKUP($A165,main!$A$3:$H$102,6,FALSE)&gt;=main!$D$103+VLOOKUP(VLOOKUP(AN$1,main!$A$3:$I$102,7,FALSE),main!$K$26:$Q$29,4,FALSE)),1,0)</f>
        <v>0</v>
      </c>
      <c r="AO165">
        <f>IF(AND(VLOOKUP(AO$1,main!$A$3:$H$102,7,FALSE)=main!$G$104,VLOOKUP(AO$1,main!$A$3:$H$102,5,FALSE)-VLOOKUP($A165,main!$A$3:$H$102,6,FALSE)&gt;=main!$D$103+VLOOKUP(VLOOKUP(AO$1,main!$A$3:$I$102,7,FALSE),main!$K$26:$Q$29,4,FALSE)),1,0)</f>
        <v>0</v>
      </c>
      <c r="AP165">
        <f>IF(AND(VLOOKUP(AP$1,main!$A$3:$H$102,7,FALSE)=main!$G$104,VLOOKUP(AP$1,main!$A$3:$H$102,5,FALSE)-VLOOKUP($A165,main!$A$3:$H$102,6,FALSE)&gt;=main!$D$103+VLOOKUP(VLOOKUP(AP$1,main!$A$3:$I$102,7,FALSE),main!$K$26:$Q$29,4,FALSE)),1,0)</f>
        <v>0</v>
      </c>
      <c r="AQ165">
        <f>IF(AND(VLOOKUP(AQ$1,main!$A$3:$H$102,7,FALSE)=main!$G$104,VLOOKUP(AQ$1,main!$A$3:$H$102,5,FALSE)-VLOOKUP($A165,main!$A$3:$H$102,6,FALSE)&gt;=main!$D$103+VLOOKUP(VLOOKUP(AQ$1,main!$A$3:$I$102,7,FALSE),main!$K$26:$Q$29,4,FALSE)),1,0)</f>
        <v>0</v>
      </c>
      <c r="AR165">
        <f>IF(AND(VLOOKUP(AR$1,main!$A$3:$H$102,7,FALSE)=main!$G$104,VLOOKUP(AR$1,main!$A$3:$H$102,5,FALSE)-VLOOKUP($A165,main!$A$3:$H$102,6,FALSE)&gt;=main!$D$103+VLOOKUP(VLOOKUP(AR$1,main!$A$3:$I$102,7,FALSE),main!$K$26:$Q$29,4,FALSE)),1,0)</f>
        <v>0</v>
      </c>
      <c r="AS165">
        <f>IF(AND(VLOOKUP(AS$1,main!$A$3:$H$102,7,FALSE)=main!$G$104,VLOOKUP(AS$1,main!$A$3:$H$102,5,FALSE)-VLOOKUP($A165,main!$A$3:$H$102,6,FALSE)&gt;=main!$D$103+VLOOKUP(VLOOKUP(AS$1,main!$A$3:$I$102,7,FALSE),main!$K$26:$Q$29,4,FALSE)),1,0)</f>
        <v>0</v>
      </c>
      <c r="AT165">
        <f>IF(AND(VLOOKUP(AT$1,main!$A$3:$H$102,7,FALSE)=main!$G$104,VLOOKUP(AT$1,main!$A$3:$H$102,5,FALSE)-VLOOKUP($A165,main!$A$3:$H$102,6,FALSE)&gt;=main!$D$103+VLOOKUP(VLOOKUP(AT$1,main!$A$3:$I$102,7,FALSE),main!$K$26:$Q$29,4,FALSE)),1,0)</f>
        <v>0</v>
      </c>
      <c r="AU165">
        <f>IF(AND(VLOOKUP(AU$1,main!$A$3:$H$102,7,FALSE)=main!$G$104,VLOOKUP(AU$1,main!$A$3:$H$102,5,FALSE)-VLOOKUP($A165,main!$A$3:$H$102,6,FALSE)&gt;=main!$D$103+VLOOKUP(VLOOKUP(AU$1,main!$A$3:$I$102,7,FALSE),main!$K$26:$Q$29,4,FALSE)),1,0)</f>
        <v>0</v>
      </c>
      <c r="AV165">
        <f>IF(AND(VLOOKUP(AV$1,main!$A$3:$H$102,7,FALSE)=main!$G$104,VLOOKUP(AV$1,main!$A$3:$H$102,5,FALSE)-VLOOKUP($A165,main!$A$3:$H$102,6,FALSE)&gt;=main!$D$103+VLOOKUP(VLOOKUP(AV$1,main!$A$3:$I$102,7,FALSE),main!$K$26:$Q$29,4,FALSE)),1,0)</f>
        <v>0</v>
      </c>
      <c r="AW165">
        <f>IF(AND(VLOOKUP(AW$1,main!$A$3:$H$102,7,FALSE)=main!$G$104,VLOOKUP(AW$1,main!$A$3:$H$102,5,FALSE)-VLOOKUP($A165,main!$A$3:$H$102,6,FALSE)&gt;=main!$D$103+VLOOKUP(VLOOKUP(AW$1,main!$A$3:$I$102,7,FALSE),main!$K$26:$Q$29,4,FALSE)),1,0)</f>
        <v>0</v>
      </c>
      <c r="AX165">
        <f>IF(AND(VLOOKUP(AX$1,main!$A$3:$H$102,7,FALSE)=main!$G$104,VLOOKUP(AX$1,main!$A$3:$H$102,5,FALSE)-VLOOKUP($A165,main!$A$3:$H$102,6,FALSE)&gt;=main!$D$103+VLOOKUP(VLOOKUP(AX$1,main!$A$3:$I$102,7,FALSE),main!$K$26:$Q$29,4,FALSE)),1,0)</f>
        <v>0</v>
      </c>
      <c r="AY165">
        <f>IF(AND(VLOOKUP(AY$1,main!$A$3:$H$102,7,FALSE)=main!$G$104,VLOOKUP(AY$1,main!$A$3:$H$102,5,FALSE)-VLOOKUP($A165,main!$A$3:$H$102,6,FALSE)&gt;=main!$D$103+VLOOKUP(VLOOKUP(AY$1,main!$A$3:$I$102,7,FALSE),main!$K$26:$Q$29,4,FALSE)),1,0)</f>
        <v>0</v>
      </c>
      <c r="AZ165">
        <f>IF(AND(VLOOKUP(AZ$1,main!$A$3:$H$102,7,FALSE)=main!$G$104,VLOOKUP(AZ$1,main!$A$3:$H$102,5,FALSE)-VLOOKUP($A165,main!$A$3:$H$102,6,FALSE)&gt;=main!$D$103+VLOOKUP(VLOOKUP(AZ$1,main!$A$3:$I$102,7,FALSE),main!$K$26:$Q$29,4,FALSE)),1,0)</f>
        <v>0</v>
      </c>
      <c r="BA165">
        <f>IF(AND(VLOOKUP(BA$1,main!$A$3:$H$102,7,FALSE)=main!$G$104,VLOOKUP(BA$1,main!$A$3:$H$102,5,FALSE)-VLOOKUP($A165,main!$A$3:$H$102,6,FALSE)&gt;=main!$D$103+VLOOKUP(VLOOKUP(BA$1,main!$A$3:$I$102,7,FALSE),main!$K$26:$Q$29,4,FALSE)),1,0)</f>
        <v>0</v>
      </c>
      <c r="BB165">
        <f>IF(AND(VLOOKUP(BB$1,main!$A$3:$H$102,7,FALSE)=main!$G$104,VLOOKUP(BB$1,main!$A$3:$H$102,5,FALSE)-VLOOKUP($A165,main!$A$3:$H$102,6,FALSE)&gt;=main!$D$103+VLOOKUP(VLOOKUP(BB$1,main!$A$3:$I$102,7,FALSE),main!$K$26:$Q$29,4,FALSE)),1,0)</f>
        <v>0</v>
      </c>
      <c r="BC165">
        <f>IF(AND(VLOOKUP(BC$1,main!$A$3:$H$102,7,FALSE)=main!$G$104,VLOOKUP(BC$1,main!$A$3:$H$102,5,FALSE)-VLOOKUP($A165,main!$A$3:$H$102,6,FALSE)&gt;=main!$D$103+VLOOKUP(VLOOKUP(BC$1,main!$A$3:$I$102,7,FALSE),main!$K$26:$Q$29,4,FALSE)),1,0)</f>
        <v>0</v>
      </c>
      <c r="BD165">
        <f>IF(AND(VLOOKUP(BD$1,main!$A$3:$H$102,7,FALSE)=main!$G$104,VLOOKUP(BD$1,main!$A$3:$H$102,5,FALSE)-VLOOKUP($A165,main!$A$3:$H$102,6,FALSE)&gt;=main!$D$103+VLOOKUP(VLOOKUP(BD$1,main!$A$3:$I$102,7,FALSE),main!$K$26:$Q$29,4,FALSE)),1,0)</f>
        <v>0</v>
      </c>
      <c r="BE165">
        <f>IF(AND(VLOOKUP(BE$1,main!$A$3:$H$102,7,FALSE)=main!$G$104,VLOOKUP(BE$1,main!$A$3:$H$102,5,FALSE)-VLOOKUP($A165,main!$A$3:$H$102,6,FALSE)&gt;=main!$D$103+VLOOKUP(VLOOKUP(BE$1,main!$A$3:$I$102,7,FALSE),main!$K$26:$Q$29,4,FALSE)),1,0)</f>
        <v>0</v>
      </c>
      <c r="BF165">
        <f>IF(AND(VLOOKUP(BF$1,main!$A$3:$H$102,7,FALSE)=main!$G$104,VLOOKUP(BF$1,main!$A$3:$H$102,5,FALSE)-VLOOKUP($A165,main!$A$3:$H$102,6,FALSE)&gt;=main!$D$103+VLOOKUP(VLOOKUP(BF$1,main!$A$3:$I$102,7,FALSE),main!$K$26:$Q$29,4,FALSE)),1,0)</f>
        <v>0</v>
      </c>
      <c r="BG165">
        <f>IF(AND(VLOOKUP(BG$1,main!$A$3:$H$102,7,FALSE)=main!$G$104,VLOOKUP(BG$1,main!$A$3:$H$102,5,FALSE)-VLOOKUP($A165,main!$A$3:$H$102,6,FALSE)&gt;=main!$D$103+VLOOKUP(VLOOKUP(BG$1,main!$A$3:$I$102,7,FALSE),main!$K$26:$Q$29,4,FALSE)),1,0)</f>
        <v>0</v>
      </c>
      <c r="BH165">
        <f>IF(AND(VLOOKUP(BH$1,main!$A$3:$H$102,7,FALSE)=main!$G$104,VLOOKUP(BH$1,main!$A$3:$H$102,5,FALSE)-VLOOKUP($A165,main!$A$3:$H$102,6,FALSE)&gt;=main!$D$103+VLOOKUP(VLOOKUP(BH$1,main!$A$3:$I$102,7,FALSE),main!$K$26:$Q$29,4,FALSE)),1,0)</f>
        <v>0</v>
      </c>
      <c r="BI165">
        <f>IF(AND(VLOOKUP(BI$1,main!$A$3:$H$102,7,FALSE)=main!$G$104,VLOOKUP(BI$1,main!$A$3:$H$102,5,FALSE)-VLOOKUP($A165,main!$A$3:$H$102,6,FALSE)&gt;=main!$D$103+VLOOKUP(VLOOKUP(BI$1,main!$A$3:$I$102,7,FALSE),main!$K$26:$Q$29,4,FALSE)),1,0)</f>
        <v>0</v>
      </c>
      <c r="BJ165">
        <f>IF(AND(VLOOKUP(BJ$1,main!$A$3:$H$102,7,FALSE)=main!$G$104,VLOOKUP(BJ$1,main!$A$3:$H$102,5,FALSE)-VLOOKUP($A165,main!$A$3:$H$102,6,FALSE)&gt;=main!$D$103+VLOOKUP(VLOOKUP(BJ$1,main!$A$3:$I$102,7,FALSE),main!$K$26:$Q$29,4,FALSE)),1,0)</f>
        <v>0</v>
      </c>
      <c r="BK165">
        <f>IF(AND(VLOOKUP(BK$1,main!$A$3:$H$102,7,FALSE)=main!$G$104,VLOOKUP(BK$1,main!$A$3:$H$102,5,FALSE)-VLOOKUP($A165,main!$A$3:$H$102,6,FALSE)&gt;=main!$D$103+VLOOKUP(VLOOKUP(BK$1,main!$A$3:$I$102,7,FALSE),main!$K$26:$Q$29,4,FALSE)),1,0)</f>
        <v>0</v>
      </c>
      <c r="BL165">
        <f>IF(AND(VLOOKUP(BL$1,main!$A$3:$H$102,7,FALSE)=main!$G$104,VLOOKUP(BL$1,main!$A$3:$H$102,5,FALSE)-VLOOKUP($A165,main!$A$3:$H$102,6,FALSE)&gt;=main!$D$103+VLOOKUP(VLOOKUP(BL$1,main!$A$3:$I$102,7,FALSE),main!$K$26:$Q$29,4,FALSE)),1,0)</f>
        <v>0</v>
      </c>
      <c r="BM165">
        <f>IF(AND(VLOOKUP(BM$1,main!$A$3:$H$102,7,FALSE)=main!$G$104,VLOOKUP(BM$1,main!$A$3:$H$102,5,FALSE)-VLOOKUP($A165,main!$A$3:$H$102,6,FALSE)&gt;=main!$D$103+VLOOKUP(VLOOKUP(BM$1,main!$A$3:$I$102,7,FALSE),main!$K$26:$Q$29,4,FALSE)),1,0)</f>
        <v>0</v>
      </c>
      <c r="BN165">
        <f>IF(AND(VLOOKUP(BN$1,main!$A$3:$H$102,7,FALSE)=main!$G$104,VLOOKUP(BN$1,main!$A$3:$H$102,5,FALSE)-VLOOKUP($A165,main!$A$3:$H$102,6,FALSE)&gt;=main!$D$103+VLOOKUP(VLOOKUP(BN$1,main!$A$3:$I$102,7,FALSE),main!$K$26:$Q$29,4,FALSE)),1,0)</f>
        <v>0</v>
      </c>
      <c r="BO165">
        <f>IF(AND(VLOOKUP(BO$1,main!$A$3:$H$102,7,FALSE)=main!$G$104,VLOOKUP(BO$1,main!$A$3:$H$102,5,FALSE)-VLOOKUP($A165,main!$A$3:$H$102,6,FALSE)&gt;=main!$D$103+VLOOKUP(VLOOKUP(BO$1,main!$A$3:$I$102,7,FALSE),main!$K$26:$Q$29,4,FALSE)),1,0)</f>
        <v>0</v>
      </c>
      <c r="BP165">
        <f>IF(AND(VLOOKUP(BP$1,main!$A$3:$H$102,7,FALSE)=main!$G$104,VLOOKUP(BP$1,main!$A$3:$H$102,5,FALSE)-VLOOKUP($A165,main!$A$3:$H$102,6,FALSE)&gt;=main!$D$103+VLOOKUP(VLOOKUP(BP$1,main!$A$3:$I$102,7,FALSE),main!$K$26:$Q$29,4,FALSE)),1,0)</f>
        <v>0</v>
      </c>
      <c r="BQ165">
        <f>IF(AND(VLOOKUP(BQ$1,main!$A$3:$H$102,7,FALSE)=main!$G$104,VLOOKUP(BQ$1,main!$A$3:$H$102,5,FALSE)-VLOOKUP($A165,main!$A$3:$H$102,6,FALSE)&gt;=main!$D$103+VLOOKUP(VLOOKUP(BQ$1,main!$A$3:$I$102,7,FALSE),main!$K$26:$Q$29,4,FALSE)),1,0)</f>
        <v>0</v>
      </c>
      <c r="BR165">
        <f>IF(AND(VLOOKUP(BR$1,main!$A$3:$H$102,7,FALSE)=main!$G$104,VLOOKUP(BR$1,main!$A$3:$H$102,5,FALSE)-VLOOKUP($A165,main!$A$3:$H$102,6,FALSE)&gt;=main!$D$103+VLOOKUP(VLOOKUP(BR$1,main!$A$3:$I$102,7,FALSE),main!$K$26:$Q$29,4,FALSE)),1,0)</f>
        <v>0</v>
      </c>
      <c r="BS165">
        <f>IF(AND(VLOOKUP(BS$1,main!$A$3:$H$102,7,FALSE)=main!$G$104,VLOOKUP(BS$1,main!$A$3:$H$102,5,FALSE)-VLOOKUP($A165,main!$A$3:$H$102,6,FALSE)&gt;=main!$D$103+VLOOKUP(VLOOKUP(BS$1,main!$A$3:$I$102,7,FALSE),main!$K$26:$Q$29,4,FALSE)),1,0)</f>
        <v>0</v>
      </c>
      <c r="BT165">
        <f>IF(AND(VLOOKUP(BT$1,main!$A$3:$H$102,7,FALSE)=main!$G$104,VLOOKUP(BT$1,main!$A$3:$H$102,5,FALSE)-VLOOKUP($A165,main!$A$3:$H$102,6,FALSE)&gt;=main!$D$103+VLOOKUP(VLOOKUP(BT$1,main!$A$3:$I$102,7,FALSE),main!$K$26:$Q$29,4,FALSE)),1,0)</f>
        <v>0</v>
      </c>
      <c r="BU165">
        <f>IF(AND(VLOOKUP(BU$1,main!$A$3:$H$102,7,FALSE)=main!$G$104,VLOOKUP(BU$1,main!$A$3:$H$102,5,FALSE)-VLOOKUP($A165,main!$A$3:$H$102,6,FALSE)&gt;=main!$D$103+VLOOKUP(VLOOKUP(BU$1,main!$A$3:$I$102,7,FALSE),main!$K$26:$Q$29,4,FALSE)),1,0)</f>
        <v>0</v>
      </c>
      <c r="BV165">
        <f>IF(AND(VLOOKUP(BV$1,main!$A$3:$H$102,7,FALSE)=main!$G$104,VLOOKUP(BV$1,main!$A$3:$H$102,5,FALSE)-VLOOKUP($A165,main!$A$3:$H$102,6,FALSE)&gt;=main!$D$103+VLOOKUP(VLOOKUP(BV$1,main!$A$3:$I$102,7,FALSE),main!$K$26:$Q$29,4,FALSE)),1,0)</f>
        <v>0</v>
      </c>
      <c r="BW165">
        <f>IF(AND(VLOOKUP(BW$1,main!$A$3:$H$102,7,FALSE)=main!$G$104,VLOOKUP(BW$1,main!$A$3:$H$102,5,FALSE)-VLOOKUP($A165,main!$A$3:$H$102,6,FALSE)&gt;=main!$D$103+VLOOKUP(VLOOKUP(BW$1,main!$A$3:$I$102,7,FALSE),main!$K$26:$Q$29,4,FALSE)),1,0)</f>
        <v>0</v>
      </c>
      <c r="BX165">
        <f>IF(AND(VLOOKUP(BX$1,main!$A$3:$H$102,7,FALSE)=main!$G$104,VLOOKUP(BX$1,main!$A$3:$H$102,5,FALSE)-VLOOKUP($A165,main!$A$3:$H$102,6,FALSE)&gt;=main!$D$103+VLOOKUP(VLOOKUP(BX$1,main!$A$3:$I$102,7,FALSE),main!$K$26:$Q$29,4,FALSE)),1,0)</f>
        <v>0</v>
      </c>
      <c r="BY165">
        <f>IF(AND(VLOOKUP(BY$1,main!$A$3:$H$102,7,FALSE)=main!$G$104,VLOOKUP(BY$1,main!$A$3:$H$102,5,FALSE)-VLOOKUP($A165,main!$A$3:$H$102,6,FALSE)&gt;=main!$D$103+VLOOKUP(VLOOKUP(BY$1,main!$A$3:$I$102,7,FALSE),main!$K$26:$Q$29,4,FALSE)),1,0)</f>
        <v>0</v>
      </c>
      <c r="BZ165">
        <f>IF(AND(VLOOKUP(BZ$1,main!$A$3:$H$102,7,FALSE)=main!$G$104,VLOOKUP(BZ$1,main!$A$3:$H$102,5,FALSE)-VLOOKUP($A165,main!$A$3:$H$102,6,FALSE)&gt;=main!$D$103+VLOOKUP(VLOOKUP(BZ$1,main!$A$3:$I$102,7,FALSE),main!$K$26:$Q$29,4,FALSE)),1,0)</f>
        <v>0</v>
      </c>
      <c r="CA165">
        <f>IF(AND(VLOOKUP(CA$1,main!$A$3:$H$102,7,FALSE)=main!$G$104,VLOOKUP(CA$1,main!$A$3:$H$102,5,FALSE)-VLOOKUP($A165,main!$A$3:$H$102,6,FALSE)&gt;=main!$D$103+VLOOKUP(VLOOKUP(CA$1,main!$A$3:$I$102,7,FALSE),main!$K$26:$Q$29,4,FALSE)),1,0)</f>
        <v>0</v>
      </c>
      <c r="CB165">
        <f>IF(AND(VLOOKUP(CB$1,main!$A$3:$H$102,7,FALSE)=main!$G$104,VLOOKUP(CB$1,main!$A$3:$H$102,5,FALSE)-VLOOKUP($A165,main!$A$3:$H$102,6,FALSE)&gt;=main!$D$103+VLOOKUP(VLOOKUP(CB$1,main!$A$3:$I$102,7,FALSE),main!$K$26:$Q$29,4,FALSE)),1,0)</f>
        <v>0</v>
      </c>
      <c r="CC165">
        <f>IF(AND(VLOOKUP(CC$1,main!$A$3:$H$102,7,FALSE)=main!$G$104,VLOOKUP(CC$1,main!$A$3:$H$102,5,FALSE)-VLOOKUP($A165,main!$A$3:$H$102,6,FALSE)&gt;=main!$D$103+VLOOKUP(VLOOKUP(CC$1,main!$A$3:$I$102,7,FALSE),main!$K$26:$Q$29,4,FALSE)),1,0)</f>
        <v>0</v>
      </c>
      <c r="CD165">
        <f>IF(AND(VLOOKUP(CD$1,main!$A$3:$H$102,7,FALSE)=main!$G$104,VLOOKUP(CD$1,main!$A$3:$H$102,5,FALSE)-VLOOKUP($A165,main!$A$3:$H$102,6,FALSE)&gt;=main!$D$103+VLOOKUP(VLOOKUP(CD$1,main!$A$3:$I$102,7,FALSE),main!$K$26:$Q$29,4,FALSE)),1,0)</f>
        <v>0</v>
      </c>
      <c r="CE165">
        <f>IF(AND(VLOOKUP(CE$1,main!$A$3:$H$102,7,FALSE)=main!$G$104,VLOOKUP(CE$1,main!$A$3:$H$102,5,FALSE)-VLOOKUP($A165,main!$A$3:$H$102,6,FALSE)&gt;=main!$D$103+VLOOKUP(VLOOKUP(CE$1,main!$A$3:$I$102,7,FALSE),main!$K$26:$Q$29,4,FALSE)),1,0)</f>
        <v>0</v>
      </c>
      <c r="CF165">
        <f>IF(AND(VLOOKUP(CF$1,main!$A$3:$H$102,7,FALSE)=main!$G$104,VLOOKUP(CF$1,main!$A$3:$H$102,5,FALSE)-VLOOKUP($A165,main!$A$3:$H$102,6,FALSE)&gt;=main!$D$103+VLOOKUP(VLOOKUP(CF$1,main!$A$3:$I$102,7,FALSE),main!$K$26:$Q$29,4,FALSE)),1,0)</f>
        <v>0</v>
      </c>
      <c r="CG165">
        <f>IF(AND(VLOOKUP(CG$1,main!$A$3:$H$102,7,FALSE)=main!$G$104,VLOOKUP(CG$1,main!$A$3:$H$102,5,FALSE)-VLOOKUP($A165,main!$A$3:$H$102,6,FALSE)&gt;=main!$D$103+VLOOKUP(VLOOKUP(CG$1,main!$A$3:$I$102,7,FALSE),main!$K$26:$Q$29,4,FALSE)),1,0)</f>
        <v>0</v>
      </c>
      <c r="CH165">
        <f>IF(AND(VLOOKUP(CH$1,main!$A$3:$H$102,7,FALSE)=main!$G$104,VLOOKUP(CH$1,main!$A$3:$H$102,5,FALSE)-VLOOKUP($A165,main!$A$3:$H$102,6,FALSE)&gt;=main!$D$103+VLOOKUP(VLOOKUP(CH$1,main!$A$3:$I$102,7,FALSE),main!$K$26:$Q$29,4,FALSE)),1,0)</f>
        <v>0</v>
      </c>
      <c r="CI165">
        <f>IF(AND(VLOOKUP(CI$1,main!$A$3:$H$102,7,FALSE)=main!$G$104,VLOOKUP(CI$1,main!$A$3:$H$102,5,FALSE)-VLOOKUP($A165,main!$A$3:$H$102,6,FALSE)&gt;=main!$D$103+VLOOKUP(VLOOKUP(CI$1,main!$A$3:$I$102,7,FALSE),main!$K$26:$Q$29,4,FALSE)),1,0)</f>
        <v>0</v>
      </c>
      <c r="CJ165">
        <f>IF(AND(VLOOKUP(CJ$1,main!$A$3:$H$102,7,FALSE)=main!$G$104,VLOOKUP(CJ$1,main!$A$3:$H$102,5,FALSE)-VLOOKUP($A165,main!$A$3:$H$102,6,FALSE)&gt;=main!$D$103+VLOOKUP(VLOOKUP(CJ$1,main!$A$3:$I$102,7,FALSE),main!$K$26:$Q$29,4,FALSE)),1,0)</f>
        <v>0</v>
      </c>
      <c r="CK165">
        <f>IF(AND(VLOOKUP(CK$1,main!$A$3:$H$102,7,FALSE)=main!$G$104,VLOOKUP(CK$1,main!$A$3:$H$102,5,FALSE)-VLOOKUP($A165,main!$A$3:$H$102,6,FALSE)&gt;=main!$D$103+VLOOKUP(VLOOKUP(CK$1,main!$A$3:$I$102,7,FALSE),main!$K$26:$Q$29,4,FALSE)),1,0)</f>
        <v>0</v>
      </c>
      <c r="CL165">
        <f>IF(AND(VLOOKUP(CL$1,main!$A$3:$H$102,7,FALSE)=main!$G$104,VLOOKUP(CL$1,main!$A$3:$H$102,5,FALSE)-VLOOKUP($A165,main!$A$3:$H$102,6,FALSE)&gt;=main!$D$103+VLOOKUP(VLOOKUP(CL$1,main!$A$3:$I$102,7,FALSE),main!$K$26:$Q$29,4,FALSE)),1,0)</f>
        <v>0</v>
      </c>
      <c r="CM165">
        <f>IF(AND(VLOOKUP(CM$1,main!$A$3:$H$102,7,FALSE)=main!$G$104,VLOOKUP(CM$1,main!$A$3:$H$102,5,FALSE)-VLOOKUP($A165,main!$A$3:$H$102,6,FALSE)&gt;=main!$D$103+VLOOKUP(VLOOKUP(CM$1,main!$A$3:$I$102,7,FALSE),main!$K$26:$Q$29,4,FALSE)),1,0)</f>
        <v>0</v>
      </c>
      <c r="CN165">
        <f>IF(AND(VLOOKUP(CN$1,main!$A$3:$H$102,7,FALSE)=main!$G$104,VLOOKUP(CN$1,main!$A$3:$H$102,5,FALSE)-VLOOKUP($A165,main!$A$3:$H$102,6,FALSE)&gt;=main!$D$103+VLOOKUP(VLOOKUP(CN$1,main!$A$3:$I$102,7,FALSE),main!$K$26:$Q$29,4,FALSE)),1,0)</f>
        <v>0</v>
      </c>
      <c r="CO165">
        <f>IF(AND(VLOOKUP(CO$1,main!$A$3:$H$102,7,FALSE)=main!$G$104,VLOOKUP(CO$1,main!$A$3:$H$102,5,FALSE)-VLOOKUP($A165,main!$A$3:$H$102,6,FALSE)&gt;=main!$D$103+VLOOKUP(VLOOKUP(CO$1,main!$A$3:$I$102,7,FALSE),main!$K$26:$Q$29,4,FALSE)),1,0)</f>
        <v>0</v>
      </c>
      <c r="CP165">
        <f>IF(AND(VLOOKUP(CP$1,main!$A$3:$H$102,7,FALSE)=main!$G$104,VLOOKUP(CP$1,main!$A$3:$H$102,5,FALSE)-VLOOKUP($A165,main!$A$3:$H$102,6,FALSE)&gt;=main!$D$103+VLOOKUP(VLOOKUP(CP$1,main!$A$3:$I$102,7,FALSE),main!$K$26:$Q$29,4,FALSE)),1,0)</f>
        <v>0</v>
      </c>
      <c r="CQ165">
        <f>IF(AND(VLOOKUP(CQ$1,main!$A$3:$H$102,7,FALSE)=main!$G$104,VLOOKUP(CQ$1,main!$A$3:$H$102,5,FALSE)-VLOOKUP($A165,main!$A$3:$H$102,6,FALSE)&gt;=main!$D$103+VLOOKUP(VLOOKUP(CQ$1,main!$A$3:$I$102,7,FALSE),main!$K$26:$Q$29,4,FALSE)),1,0)</f>
        <v>0</v>
      </c>
      <c r="CR165">
        <f>IF(AND(VLOOKUP(CR$1,main!$A$3:$H$102,7,FALSE)=main!$G$104,VLOOKUP(CR$1,main!$A$3:$H$102,5,FALSE)-VLOOKUP($A165,main!$A$3:$H$102,6,FALSE)&gt;=main!$D$103+VLOOKUP(VLOOKUP(CR$1,main!$A$3:$I$102,7,FALSE),main!$K$26:$Q$29,4,FALSE)),1,0)</f>
        <v>0</v>
      </c>
      <c r="CS165">
        <f>IF(AND(VLOOKUP(CS$1,main!$A$3:$H$102,7,FALSE)=main!$G$104,VLOOKUP(CS$1,main!$A$3:$H$102,5,FALSE)-VLOOKUP($A165,main!$A$3:$H$102,6,FALSE)&gt;=main!$D$103+VLOOKUP(VLOOKUP(CS$1,main!$A$3:$I$102,7,FALSE),main!$K$26:$Q$29,4,FALSE)),1,0)</f>
        <v>0</v>
      </c>
      <c r="CT165">
        <f>IF(AND(VLOOKUP(CT$1,main!$A$3:$H$102,7,FALSE)=main!$G$104,VLOOKUP(CT$1,main!$A$3:$H$102,5,FALSE)-VLOOKUP($A165,main!$A$3:$H$102,6,FALSE)&gt;=main!$D$103+VLOOKUP(VLOOKUP(CT$1,main!$A$3:$I$102,7,FALSE),main!$K$26:$Q$29,4,FALSE)),1,0)</f>
        <v>0</v>
      </c>
      <c r="CU165">
        <f>IF(AND(VLOOKUP(CU$1,main!$A$3:$H$102,7,FALSE)=main!$G$104,VLOOKUP(CU$1,main!$A$3:$H$102,5,FALSE)-VLOOKUP($A165,main!$A$3:$H$102,6,FALSE)&gt;=main!$D$103+VLOOKUP(VLOOKUP(CU$1,main!$A$3:$I$102,7,FALSE),main!$K$26:$Q$29,4,FALSE)),1,0)</f>
        <v>0</v>
      </c>
      <c r="CV165">
        <f>IF(AND(VLOOKUP(CV$1,main!$A$3:$H$102,7,FALSE)=main!$G$104,VLOOKUP(CV$1,main!$A$3:$H$102,5,FALSE)-VLOOKUP($A165,main!$A$3:$H$102,6,FALSE)&gt;=main!$D$103+VLOOKUP(VLOOKUP(CV$1,main!$A$3:$I$102,7,FALSE),main!$K$26:$Q$29,4,FALSE)),1,0)</f>
        <v>0</v>
      </c>
      <c r="CW165">
        <f>IF(AND(VLOOKUP(CW$1,main!$A$3:$H$102,7,FALSE)=main!$G$104,VLOOKUP(CW$1,main!$A$3:$H$102,5,FALSE)-VLOOKUP($A165,main!$A$3:$H$102,6,FALSE)&gt;=main!$D$103+VLOOKUP(VLOOKUP(CW$1,main!$A$3:$I$102,7,FALSE),main!$K$26:$Q$29,4,FALSE)),1,0)</f>
        <v>0</v>
      </c>
      <c r="CX165">
        <f>IF(AND(VLOOKUP(CX$1,main!$A$3:$H$102,7,FALSE)=main!$G$104,VLOOKUP(CX$1,main!$A$3:$H$102,5,FALSE)-VLOOKUP($A165,main!$A$3:$H$102,6,FALSE)&gt;=main!$D$103+VLOOKUP(VLOOKUP(CX$1,main!$A$3:$I$102,7,FALSE),main!$K$26:$Q$29,4,FALSE)),1,0)</f>
        <v>0</v>
      </c>
    </row>
    <row r="166" spans="1:102" x14ac:dyDescent="0.25">
      <c r="A166" s="1">
        <v>63</v>
      </c>
      <c r="B166">
        <v>0</v>
      </c>
      <c r="C166">
        <f>IF(AND(VLOOKUP(C$1,main!$A$3:$H$102,7,FALSE)=main!$G$104,VLOOKUP(C$1,main!$A$3:$H$102,5,FALSE)-VLOOKUP($A166,main!$A$3:$H$102,6,FALSE)&gt;=main!$D$103+VLOOKUP(VLOOKUP(C$1,main!$A$3:$I$102,7,FALSE),main!$K$26:$Q$29,4,FALSE)),1,0)</f>
        <v>0</v>
      </c>
      <c r="D166">
        <f>IF(AND(VLOOKUP(D$1,main!$A$3:$H$102,7,FALSE)=main!$G$104,VLOOKUP(D$1,main!$A$3:$H$102,5,FALSE)-VLOOKUP($A166,main!$A$3:$H$102,6,FALSE)&gt;=main!$D$103+VLOOKUP(VLOOKUP(D$1,main!$A$3:$I$102,7,FALSE),main!$K$26:$Q$29,4,FALSE)),1,0)</f>
        <v>0</v>
      </c>
      <c r="E166">
        <f>IF(AND(VLOOKUP(E$1,main!$A$3:$H$102,7,FALSE)=main!$G$104,VLOOKUP(E$1,main!$A$3:$H$102,5,FALSE)-VLOOKUP($A166,main!$A$3:$H$102,6,FALSE)&gt;=main!$D$103+VLOOKUP(VLOOKUP(E$1,main!$A$3:$I$102,7,FALSE),main!$K$26:$Q$29,4,FALSE)),1,0)</f>
        <v>0</v>
      </c>
      <c r="F166">
        <f>IF(AND(VLOOKUP(F$1,main!$A$3:$H$102,7,FALSE)=main!$G$104,VLOOKUP(F$1,main!$A$3:$H$102,5,FALSE)-VLOOKUP($A166,main!$A$3:$H$102,6,FALSE)&gt;=main!$D$103+VLOOKUP(VLOOKUP(F$1,main!$A$3:$I$102,7,FALSE),main!$K$26:$Q$29,4,FALSE)),1,0)</f>
        <v>0</v>
      </c>
      <c r="G166">
        <f>IF(AND(VLOOKUP(G$1,main!$A$3:$H$102,7,FALSE)=main!$G$104,VLOOKUP(G$1,main!$A$3:$H$102,5,FALSE)-VLOOKUP($A166,main!$A$3:$H$102,6,FALSE)&gt;=main!$D$103+VLOOKUP(VLOOKUP(G$1,main!$A$3:$I$102,7,FALSE),main!$K$26:$Q$29,4,FALSE)),1,0)</f>
        <v>0</v>
      </c>
      <c r="H166">
        <f>IF(AND(VLOOKUP(H$1,main!$A$3:$H$102,7,FALSE)=main!$G$104,VLOOKUP(H$1,main!$A$3:$H$102,5,FALSE)-VLOOKUP($A166,main!$A$3:$H$102,6,FALSE)&gt;=main!$D$103+VLOOKUP(VLOOKUP(H$1,main!$A$3:$I$102,7,FALSE),main!$K$26:$Q$29,4,FALSE)),1,0)</f>
        <v>1</v>
      </c>
      <c r="I166">
        <f>IF(AND(VLOOKUP(I$1,main!$A$3:$H$102,7,FALSE)=main!$G$104,VLOOKUP(I$1,main!$A$3:$H$102,5,FALSE)-VLOOKUP($A166,main!$A$3:$H$102,6,FALSE)&gt;=main!$D$103+VLOOKUP(VLOOKUP(I$1,main!$A$3:$I$102,7,FALSE),main!$K$26:$Q$29,4,FALSE)),1,0)</f>
        <v>1</v>
      </c>
      <c r="J166">
        <f>IF(AND(VLOOKUP(J$1,main!$A$3:$H$102,7,FALSE)=main!$G$104,VLOOKUP(J$1,main!$A$3:$H$102,5,FALSE)-VLOOKUP($A166,main!$A$3:$H$102,6,FALSE)&gt;=main!$D$103+VLOOKUP(VLOOKUP(J$1,main!$A$3:$I$102,7,FALSE),main!$K$26:$Q$29,4,FALSE)),1,0)</f>
        <v>1</v>
      </c>
      <c r="K166">
        <f>IF(AND(VLOOKUP(K$1,main!$A$3:$H$102,7,FALSE)=main!$G$104,VLOOKUP(K$1,main!$A$3:$H$102,5,FALSE)-VLOOKUP($A166,main!$A$3:$H$102,6,FALSE)&gt;=main!$D$103+VLOOKUP(VLOOKUP(K$1,main!$A$3:$I$102,7,FALSE),main!$K$26:$Q$29,4,FALSE)),1,0)</f>
        <v>1</v>
      </c>
      <c r="L166">
        <f>IF(AND(VLOOKUP(L$1,main!$A$3:$H$102,7,FALSE)=main!$G$104,VLOOKUP(L$1,main!$A$3:$H$102,5,FALSE)-VLOOKUP($A166,main!$A$3:$H$102,6,FALSE)&gt;=main!$D$103+VLOOKUP(VLOOKUP(L$1,main!$A$3:$I$102,7,FALSE),main!$K$26:$Q$29,4,FALSE)),1,0)</f>
        <v>1</v>
      </c>
      <c r="M166">
        <f>IF(AND(VLOOKUP(M$1,main!$A$3:$H$102,7,FALSE)=main!$G$104,VLOOKUP(M$1,main!$A$3:$H$102,5,FALSE)-VLOOKUP($A166,main!$A$3:$H$102,6,FALSE)&gt;=main!$D$103+VLOOKUP(VLOOKUP(M$1,main!$A$3:$I$102,7,FALSE),main!$K$26:$Q$29,4,FALSE)),1,0)</f>
        <v>0</v>
      </c>
      <c r="N166">
        <f>IF(AND(VLOOKUP(N$1,main!$A$3:$H$102,7,FALSE)=main!$G$104,VLOOKUP(N$1,main!$A$3:$H$102,5,FALSE)-VLOOKUP($A166,main!$A$3:$H$102,6,FALSE)&gt;=main!$D$103+VLOOKUP(VLOOKUP(N$1,main!$A$3:$I$102,7,FALSE),main!$K$26:$Q$29,4,FALSE)),1,0)</f>
        <v>0</v>
      </c>
      <c r="O166">
        <f>IF(AND(VLOOKUP(O$1,main!$A$3:$H$102,7,FALSE)=main!$G$104,VLOOKUP(O$1,main!$A$3:$H$102,5,FALSE)-VLOOKUP($A166,main!$A$3:$H$102,6,FALSE)&gt;=main!$D$103+VLOOKUP(VLOOKUP(O$1,main!$A$3:$I$102,7,FALSE),main!$K$26:$Q$29,4,FALSE)),1,0)</f>
        <v>0</v>
      </c>
      <c r="P166">
        <f>IF(AND(VLOOKUP(P$1,main!$A$3:$H$102,7,FALSE)=main!$G$104,VLOOKUP(P$1,main!$A$3:$H$102,5,FALSE)-VLOOKUP($A166,main!$A$3:$H$102,6,FALSE)&gt;=main!$D$103+VLOOKUP(VLOOKUP(P$1,main!$A$3:$I$102,7,FALSE),main!$K$26:$Q$29,4,FALSE)),1,0)</f>
        <v>0</v>
      </c>
      <c r="Q166">
        <f>IF(AND(VLOOKUP(Q$1,main!$A$3:$H$102,7,FALSE)=main!$G$104,VLOOKUP(Q$1,main!$A$3:$H$102,5,FALSE)-VLOOKUP($A166,main!$A$3:$H$102,6,FALSE)&gt;=main!$D$103+VLOOKUP(VLOOKUP(Q$1,main!$A$3:$I$102,7,FALSE),main!$K$26:$Q$29,4,FALSE)),1,0)</f>
        <v>0</v>
      </c>
      <c r="R166">
        <f>IF(AND(VLOOKUP(R$1,main!$A$3:$H$102,7,FALSE)=main!$G$104,VLOOKUP(R$1,main!$A$3:$H$102,5,FALSE)-VLOOKUP($A166,main!$A$3:$H$102,6,FALSE)&gt;=main!$D$103+VLOOKUP(VLOOKUP(R$1,main!$A$3:$I$102,7,FALSE),main!$K$26:$Q$29,4,FALSE)),1,0)</f>
        <v>0</v>
      </c>
      <c r="S166">
        <f>IF(AND(VLOOKUP(S$1,main!$A$3:$H$102,7,FALSE)=main!$G$104,VLOOKUP(S$1,main!$A$3:$H$102,5,FALSE)-VLOOKUP($A166,main!$A$3:$H$102,6,FALSE)&gt;=main!$D$103+VLOOKUP(VLOOKUP(S$1,main!$A$3:$I$102,7,FALSE),main!$K$26:$Q$29,4,FALSE)),1,0)</f>
        <v>1</v>
      </c>
      <c r="T166">
        <f>IF(AND(VLOOKUP(T$1,main!$A$3:$H$102,7,FALSE)=main!$G$104,VLOOKUP(T$1,main!$A$3:$H$102,5,FALSE)-VLOOKUP($A166,main!$A$3:$H$102,6,FALSE)&gt;=main!$D$103+VLOOKUP(VLOOKUP(T$1,main!$A$3:$I$102,7,FALSE),main!$K$26:$Q$29,4,FALSE)),1,0)</f>
        <v>1</v>
      </c>
      <c r="U166">
        <f>IF(AND(VLOOKUP(U$1,main!$A$3:$H$102,7,FALSE)=main!$G$104,VLOOKUP(U$1,main!$A$3:$H$102,5,FALSE)-VLOOKUP($A166,main!$A$3:$H$102,6,FALSE)&gt;=main!$D$103+VLOOKUP(VLOOKUP(U$1,main!$A$3:$I$102,7,FALSE),main!$K$26:$Q$29,4,FALSE)),1,0)</f>
        <v>1</v>
      </c>
      <c r="V166">
        <f>IF(AND(VLOOKUP(V$1,main!$A$3:$H$102,7,FALSE)=main!$G$104,VLOOKUP(V$1,main!$A$3:$H$102,5,FALSE)-VLOOKUP($A166,main!$A$3:$H$102,6,FALSE)&gt;=main!$D$103+VLOOKUP(VLOOKUP(V$1,main!$A$3:$I$102,7,FALSE),main!$K$26:$Q$29,4,FALSE)),1,0)</f>
        <v>1</v>
      </c>
      <c r="W166">
        <f>IF(AND(VLOOKUP(W$1,main!$A$3:$H$102,7,FALSE)=main!$G$104,VLOOKUP(W$1,main!$A$3:$H$102,5,FALSE)-VLOOKUP($A166,main!$A$3:$H$102,6,FALSE)&gt;=main!$D$103+VLOOKUP(VLOOKUP(W$1,main!$A$3:$I$102,7,FALSE),main!$K$26:$Q$29,4,FALSE)),1,0)</f>
        <v>0</v>
      </c>
      <c r="X166">
        <f>IF(AND(VLOOKUP(X$1,main!$A$3:$H$102,7,FALSE)=main!$G$104,VLOOKUP(X$1,main!$A$3:$H$102,5,FALSE)-VLOOKUP($A166,main!$A$3:$H$102,6,FALSE)&gt;=main!$D$103+VLOOKUP(VLOOKUP(X$1,main!$A$3:$I$102,7,FALSE),main!$K$26:$Q$29,4,FALSE)),1,0)</f>
        <v>0</v>
      </c>
      <c r="Y166">
        <f>IF(AND(VLOOKUP(Y$1,main!$A$3:$H$102,7,FALSE)=main!$G$104,VLOOKUP(Y$1,main!$A$3:$H$102,5,FALSE)-VLOOKUP($A166,main!$A$3:$H$102,6,FALSE)&gt;=main!$D$103+VLOOKUP(VLOOKUP(Y$1,main!$A$3:$I$102,7,FALSE),main!$K$26:$Q$29,4,FALSE)),1,0)</f>
        <v>0</v>
      </c>
      <c r="Z166">
        <f>IF(AND(VLOOKUP(Z$1,main!$A$3:$H$102,7,FALSE)=main!$G$104,VLOOKUP(Z$1,main!$A$3:$H$102,5,FALSE)-VLOOKUP($A166,main!$A$3:$H$102,6,FALSE)&gt;=main!$D$103+VLOOKUP(VLOOKUP(Z$1,main!$A$3:$I$102,7,FALSE),main!$K$26:$Q$29,4,FALSE)),1,0)</f>
        <v>1</v>
      </c>
      <c r="AA166">
        <f>IF(AND(VLOOKUP(AA$1,main!$A$3:$H$102,7,FALSE)=main!$G$104,VLOOKUP(AA$1,main!$A$3:$H$102,5,FALSE)-VLOOKUP($A166,main!$A$3:$H$102,6,FALSE)&gt;=main!$D$103+VLOOKUP(VLOOKUP(AA$1,main!$A$3:$I$102,7,FALSE),main!$K$26:$Q$29,4,FALSE)),1,0)</f>
        <v>1</v>
      </c>
      <c r="AB166">
        <f>IF(AND(VLOOKUP(AB$1,main!$A$3:$H$102,7,FALSE)=main!$G$104,VLOOKUP(AB$1,main!$A$3:$H$102,5,FALSE)-VLOOKUP($A166,main!$A$3:$H$102,6,FALSE)&gt;=main!$D$103+VLOOKUP(VLOOKUP(AB$1,main!$A$3:$I$102,7,FALSE),main!$K$26:$Q$29,4,FALSE)),1,0)</f>
        <v>0</v>
      </c>
      <c r="AC166">
        <f>IF(AND(VLOOKUP(AC$1,main!$A$3:$H$102,7,FALSE)=main!$G$104,VLOOKUP(AC$1,main!$A$3:$H$102,5,FALSE)-VLOOKUP($A166,main!$A$3:$H$102,6,FALSE)&gt;=main!$D$103+VLOOKUP(VLOOKUP(AC$1,main!$A$3:$I$102,7,FALSE),main!$K$26:$Q$29,4,FALSE)),1,0)</f>
        <v>0</v>
      </c>
      <c r="AD166">
        <f>IF(AND(VLOOKUP(AD$1,main!$A$3:$H$102,7,FALSE)=main!$G$104,VLOOKUP(AD$1,main!$A$3:$H$102,5,FALSE)-VLOOKUP($A166,main!$A$3:$H$102,6,FALSE)&gt;=main!$D$103+VLOOKUP(VLOOKUP(AD$1,main!$A$3:$I$102,7,FALSE),main!$K$26:$Q$29,4,FALSE)),1,0)</f>
        <v>0</v>
      </c>
      <c r="AE166">
        <f>IF(AND(VLOOKUP(AE$1,main!$A$3:$H$102,7,FALSE)=main!$G$104,VLOOKUP(AE$1,main!$A$3:$H$102,5,FALSE)-VLOOKUP($A166,main!$A$3:$H$102,6,FALSE)&gt;=main!$D$103+VLOOKUP(VLOOKUP(AE$1,main!$A$3:$I$102,7,FALSE),main!$K$26:$Q$29,4,FALSE)),1,0)</f>
        <v>1</v>
      </c>
      <c r="AF166">
        <f>IF(AND(VLOOKUP(AF$1,main!$A$3:$H$102,7,FALSE)=main!$G$104,VLOOKUP(AF$1,main!$A$3:$H$102,5,FALSE)-VLOOKUP($A166,main!$A$3:$H$102,6,FALSE)&gt;=main!$D$103+VLOOKUP(VLOOKUP(AF$1,main!$A$3:$I$102,7,FALSE),main!$K$26:$Q$29,4,FALSE)),1,0)</f>
        <v>1</v>
      </c>
      <c r="AG166">
        <f>IF(AND(VLOOKUP(AG$1,main!$A$3:$H$102,7,FALSE)=main!$G$104,VLOOKUP(AG$1,main!$A$3:$H$102,5,FALSE)-VLOOKUP($A166,main!$A$3:$H$102,6,FALSE)&gt;=main!$D$103+VLOOKUP(VLOOKUP(AG$1,main!$A$3:$I$102,7,FALSE),main!$K$26:$Q$29,4,FALSE)),1,0)</f>
        <v>0</v>
      </c>
      <c r="AH166">
        <f>IF(AND(VLOOKUP(AH$1,main!$A$3:$H$102,7,FALSE)=main!$G$104,VLOOKUP(AH$1,main!$A$3:$H$102,5,FALSE)-VLOOKUP($A166,main!$A$3:$H$102,6,FALSE)&gt;=main!$D$103+VLOOKUP(VLOOKUP(AH$1,main!$A$3:$I$102,7,FALSE),main!$K$26:$Q$29,4,FALSE)),1,0)</f>
        <v>0</v>
      </c>
      <c r="AI166">
        <f>IF(AND(VLOOKUP(AI$1,main!$A$3:$H$102,7,FALSE)=main!$G$104,VLOOKUP(AI$1,main!$A$3:$H$102,5,FALSE)-VLOOKUP($A166,main!$A$3:$H$102,6,FALSE)&gt;=main!$D$103+VLOOKUP(VLOOKUP(AI$1,main!$A$3:$I$102,7,FALSE),main!$K$26:$Q$29,4,FALSE)),1,0)</f>
        <v>0</v>
      </c>
      <c r="AJ166">
        <f>IF(AND(VLOOKUP(AJ$1,main!$A$3:$H$102,7,FALSE)=main!$G$104,VLOOKUP(AJ$1,main!$A$3:$H$102,5,FALSE)-VLOOKUP($A166,main!$A$3:$H$102,6,FALSE)&gt;=main!$D$103+VLOOKUP(VLOOKUP(AJ$1,main!$A$3:$I$102,7,FALSE),main!$K$26:$Q$29,4,FALSE)),1,0)</f>
        <v>0</v>
      </c>
      <c r="AK166">
        <f>IF(AND(VLOOKUP(AK$1,main!$A$3:$H$102,7,FALSE)=main!$G$104,VLOOKUP(AK$1,main!$A$3:$H$102,5,FALSE)-VLOOKUP($A166,main!$A$3:$H$102,6,FALSE)&gt;=main!$D$103+VLOOKUP(VLOOKUP(AK$1,main!$A$3:$I$102,7,FALSE),main!$K$26:$Q$29,4,FALSE)),1,0)</f>
        <v>0</v>
      </c>
      <c r="AL166">
        <f>IF(AND(VLOOKUP(AL$1,main!$A$3:$H$102,7,FALSE)=main!$G$104,VLOOKUP(AL$1,main!$A$3:$H$102,5,FALSE)-VLOOKUP($A166,main!$A$3:$H$102,6,FALSE)&gt;=main!$D$103+VLOOKUP(VLOOKUP(AL$1,main!$A$3:$I$102,7,FALSE),main!$K$26:$Q$29,4,FALSE)),1,0)</f>
        <v>0</v>
      </c>
      <c r="AM166">
        <f>IF(AND(VLOOKUP(AM$1,main!$A$3:$H$102,7,FALSE)=main!$G$104,VLOOKUP(AM$1,main!$A$3:$H$102,5,FALSE)-VLOOKUP($A166,main!$A$3:$H$102,6,FALSE)&gt;=main!$D$103+VLOOKUP(VLOOKUP(AM$1,main!$A$3:$I$102,7,FALSE),main!$K$26:$Q$29,4,FALSE)),1,0)</f>
        <v>0</v>
      </c>
      <c r="AN166">
        <f>IF(AND(VLOOKUP(AN$1,main!$A$3:$H$102,7,FALSE)=main!$G$104,VLOOKUP(AN$1,main!$A$3:$H$102,5,FALSE)-VLOOKUP($A166,main!$A$3:$H$102,6,FALSE)&gt;=main!$D$103+VLOOKUP(VLOOKUP(AN$1,main!$A$3:$I$102,7,FALSE),main!$K$26:$Q$29,4,FALSE)),1,0)</f>
        <v>0</v>
      </c>
      <c r="AO166">
        <f>IF(AND(VLOOKUP(AO$1,main!$A$3:$H$102,7,FALSE)=main!$G$104,VLOOKUP(AO$1,main!$A$3:$H$102,5,FALSE)-VLOOKUP($A166,main!$A$3:$H$102,6,FALSE)&gt;=main!$D$103+VLOOKUP(VLOOKUP(AO$1,main!$A$3:$I$102,7,FALSE),main!$K$26:$Q$29,4,FALSE)),1,0)</f>
        <v>0</v>
      </c>
      <c r="AP166">
        <f>IF(AND(VLOOKUP(AP$1,main!$A$3:$H$102,7,FALSE)=main!$G$104,VLOOKUP(AP$1,main!$A$3:$H$102,5,FALSE)-VLOOKUP($A166,main!$A$3:$H$102,6,FALSE)&gt;=main!$D$103+VLOOKUP(VLOOKUP(AP$1,main!$A$3:$I$102,7,FALSE),main!$K$26:$Q$29,4,FALSE)),1,0)</f>
        <v>0</v>
      </c>
      <c r="AQ166">
        <f>IF(AND(VLOOKUP(AQ$1,main!$A$3:$H$102,7,FALSE)=main!$G$104,VLOOKUP(AQ$1,main!$A$3:$H$102,5,FALSE)-VLOOKUP($A166,main!$A$3:$H$102,6,FALSE)&gt;=main!$D$103+VLOOKUP(VLOOKUP(AQ$1,main!$A$3:$I$102,7,FALSE),main!$K$26:$Q$29,4,FALSE)),1,0)</f>
        <v>0</v>
      </c>
      <c r="AR166">
        <f>IF(AND(VLOOKUP(AR$1,main!$A$3:$H$102,7,FALSE)=main!$G$104,VLOOKUP(AR$1,main!$A$3:$H$102,5,FALSE)-VLOOKUP($A166,main!$A$3:$H$102,6,FALSE)&gt;=main!$D$103+VLOOKUP(VLOOKUP(AR$1,main!$A$3:$I$102,7,FALSE),main!$K$26:$Q$29,4,FALSE)),1,0)</f>
        <v>0</v>
      </c>
      <c r="AS166">
        <f>IF(AND(VLOOKUP(AS$1,main!$A$3:$H$102,7,FALSE)=main!$G$104,VLOOKUP(AS$1,main!$A$3:$H$102,5,FALSE)-VLOOKUP($A166,main!$A$3:$H$102,6,FALSE)&gt;=main!$D$103+VLOOKUP(VLOOKUP(AS$1,main!$A$3:$I$102,7,FALSE),main!$K$26:$Q$29,4,FALSE)),1,0)</f>
        <v>0</v>
      </c>
      <c r="AT166">
        <f>IF(AND(VLOOKUP(AT$1,main!$A$3:$H$102,7,FALSE)=main!$G$104,VLOOKUP(AT$1,main!$A$3:$H$102,5,FALSE)-VLOOKUP($A166,main!$A$3:$H$102,6,FALSE)&gt;=main!$D$103+VLOOKUP(VLOOKUP(AT$1,main!$A$3:$I$102,7,FALSE),main!$K$26:$Q$29,4,FALSE)),1,0)</f>
        <v>0</v>
      </c>
      <c r="AU166">
        <f>IF(AND(VLOOKUP(AU$1,main!$A$3:$H$102,7,FALSE)=main!$G$104,VLOOKUP(AU$1,main!$A$3:$H$102,5,FALSE)-VLOOKUP($A166,main!$A$3:$H$102,6,FALSE)&gt;=main!$D$103+VLOOKUP(VLOOKUP(AU$1,main!$A$3:$I$102,7,FALSE),main!$K$26:$Q$29,4,FALSE)),1,0)</f>
        <v>0</v>
      </c>
      <c r="AV166">
        <f>IF(AND(VLOOKUP(AV$1,main!$A$3:$H$102,7,FALSE)=main!$G$104,VLOOKUP(AV$1,main!$A$3:$H$102,5,FALSE)-VLOOKUP($A166,main!$A$3:$H$102,6,FALSE)&gt;=main!$D$103+VLOOKUP(VLOOKUP(AV$1,main!$A$3:$I$102,7,FALSE),main!$K$26:$Q$29,4,FALSE)),1,0)</f>
        <v>0</v>
      </c>
      <c r="AW166">
        <f>IF(AND(VLOOKUP(AW$1,main!$A$3:$H$102,7,FALSE)=main!$G$104,VLOOKUP(AW$1,main!$A$3:$H$102,5,FALSE)-VLOOKUP($A166,main!$A$3:$H$102,6,FALSE)&gt;=main!$D$103+VLOOKUP(VLOOKUP(AW$1,main!$A$3:$I$102,7,FALSE),main!$K$26:$Q$29,4,FALSE)),1,0)</f>
        <v>0</v>
      </c>
      <c r="AX166">
        <f>IF(AND(VLOOKUP(AX$1,main!$A$3:$H$102,7,FALSE)=main!$G$104,VLOOKUP(AX$1,main!$A$3:$H$102,5,FALSE)-VLOOKUP($A166,main!$A$3:$H$102,6,FALSE)&gt;=main!$D$103+VLOOKUP(VLOOKUP(AX$1,main!$A$3:$I$102,7,FALSE),main!$K$26:$Q$29,4,FALSE)),1,0)</f>
        <v>0</v>
      </c>
      <c r="AY166">
        <f>IF(AND(VLOOKUP(AY$1,main!$A$3:$H$102,7,FALSE)=main!$G$104,VLOOKUP(AY$1,main!$A$3:$H$102,5,FALSE)-VLOOKUP($A166,main!$A$3:$H$102,6,FALSE)&gt;=main!$D$103+VLOOKUP(VLOOKUP(AY$1,main!$A$3:$I$102,7,FALSE),main!$K$26:$Q$29,4,FALSE)),1,0)</f>
        <v>0</v>
      </c>
      <c r="AZ166">
        <f>IF(AND(VLOOKUP(AZ$1,main!$A$3:$H$102,7,FALSE)=main!$G$104,VLOOKUP(AZ$1,main!$A$3:$H$102,5,FALSE)-VLOOKUP($A166,main!$A$3:$H$102,6,FALSE)&gt;=main!$D$103+VLOOKUP(VLOOKUP(AZ$1,main!$A$3:$I$102,7,FALSE),main!$K$26:$Q$29,4,FALSE)),1,0)</f>
        <v>0</v>
      </c>
      <c r="BA166">
        <f>IF(AND(VLOOKUP(BA$1,main!$A$3:$H$102,7,FALSE)=main!$G$104,VLOOKUP(BA$1,main!$A$3:$H$102,5,FALSE)-VLOOKUP($A166,main!$A$3:$H$102,6,FALSE)&gt;=main!$D$103+VLOOKUP(VLOOKUP(BA$1,main!$A$3:$I$102,7,FALSE),main!$K$26:$Q$29,4,FALSE)),1,0)</f>
        <v>0</v>
      </c>
      <c r="BB166">
        <f>IF(AND(VLOOKUP(BB$1,main!$A$3:$H$102,7,FALSE)=main!$G$104,VLOOKUP(BB$1,main!$A$3:$H$102,5,FALSE)-VLOOKUP($A166,main!$A$3:$H$102,6,FALSE)&gt;=main!$D$103+VLOOKUP(VLOOKUP(BB$1,main!$A$3:$I$102,7,FALSE),main!$K$26:$Q$29,4,FALSE)),1,0)</f>
        <v>0</v>
      </c>
      <c r="BC166">
        <f>IF(AND(VLOOKUP(BC$1,main!$A$3:$H$102,7,FALSE)=main!$G$104,VLOOKUP(BC$1,main!$A$3:$H$102,5,FALSE)-VLOOKUP($A166,main!$A$3:$H$102,6,FALSE)&gt;=main!$D$103+VLOOKUP(VLOOKUP(BC$1,main!$A$3:$I$102,7,FALSE),main!$K$26:$Q$29,4,FALSE)),1,0)</f>
        <v>0</v>
      </c>
      <c r="BD166">
        <f>IF(AND(VLOOKUP(BD$1,main!$A$3:$H$102,7,FALSE)=main!$G$104,VLOOKUP(BD$1,main!$A$3:$H$102,5,FALSE)-VLOOKUP($A166,main!$A$3:$H$102,6,FALSE)&gt;=main!$D$103+VLOOKUP(VLOOKUP(BD$1,main!$A$3:$I$102,7,FALSE),main!$K$26:$Q$29,4,FALSE)),1,0)</f>
        <v>0</v>
      </c>
      <c r="BE166">
        <f>IF(AND(VLOOKUP(BE$1,main!$A$3:$H$102,7,FALSE)=main!$G$104,VLOOKUP(BE$1,main!$A$3:$H$102,5,FALSE)-VLOOKUP($A166,main!$A$3:$H$102,6,FALSE)&gt;=main!$D$103+VLOOKUP(VLOOKUP(BE$1,main!$A$3:$I$102,7,FALSE),main!$K$26:$Q$29,4,FALSE)),1,0)</f>
        <v>0</v>
      </c>
      <c r="BF166">
        <f>IF(AND(VLOOKUP(BF$1,main!$A$3:$H$102,7,FALSE)=main!$G$104,VLOOKUP(BF$1,main!$A$3:$H$102,5,FALSE)-VLOOKUP($A166,main!$A$3:$H$102,6,FALSE)&gt;=main!$D$103+VLOOKUP(VLOOKUP(BF$1,main!$A$3:$I$102,7,FALSE),main!$K$26:$Q$29,4,FALSE)),1,0)</f>
        <v>0</v>
      </c>
      <c r="BG166">
        <f>IF(AND(VLOOKUP(BG$1,main!$A$3:$H$102,7,FALSE)=main!$G$104,VLOOKUP(BG$1,main!$A$3:$H$102,5,FALSE)-VLOOKUP($A166,main!$A$3:$H$102,6,FALSE)&gt;=main!$D$103+VLOOKUP(VLOOKUP(BG$1,main!$A$3:$I$102,7,FALSE),main!$K$26:$Q$29,4,FALSE)),1,0)</f>
        <v>0</v>
      </c>
      <c r="BH166">
        <f>IF(AND(VLOOKUP(BH$1,main!$A$3:$H$102,7,FALSE)=main!$G$104,VLOOKUP(BH$1,main!$A$3:$H$102,5,FALSE)-VLOOKUP($A166,main!$A$3:$H$102,6,FALSE)&gt;=main!$D$103+VLOOKUP(VLOOKUP(BH$1,main!$A$3:$I$102,7,FALSE),main!$K$26:$Q$29,4,FALSE)),1,0)</f>
        <v>0</v>
      </c>
      <c r="BI166">
        <f>IF(AND(VLOOKUP(BI$1,main!$A$3:$H$102,7,FALSE)=main!$G$104,VLOOKUP(BI$1,main!$A$3:$H$102,5,FALSE)-VLOOKUP($A166,main!$A$3:$H$102,6,FALSE)&gt;=main!$D$103+VLOOKUP(VLOOKUP(BI$1,main!$A$3:$I$102,7,FALSE),main!$K$26:$Q$29,4,FALSE)),1,0)</f>
        <v>0</v>
      </c>
      <c r="BJ166">
        <f>IF(AND(VLOOKUP(BJ$1,main!$A$3:$H$102,7,FALSE)=main!$G$104,VLOOKUP(BJ$1,main!$A$3:$H$102,5,FALSE)-VLOOKUP($A166,main!$A$3:$H$102,6,FALSE)&gt;=main!$D$103+VLOOKUP(VLOOKUP(BJ$1,main!$A$3:$I$102,7,FALSE),main!$K$26:$Q$29,4,FALSE)),1,0)</f>
        <v>0</v>
      </c>
      <c r="BK166">
        <f>IF(AND(VLOOKUP(BK$1,main!$A$3:$H$102,7,FALSE)=main!$G$104,VLOOKUP(BK$1,main!$A$3:$H$102,5,FALSE)-VLOOKUP($A166,main!$A$3:$H$102,6,FALSE)&gt;=main!$D$103+VLOOKUP(VLOOKUP(BK$1,main!$A$3:$I$102,7,FALSE),main!$K$26:$Q$29,4,FALSE)),1,0)</f>
        <v>0</v>
      </c>
      <c r="BL166">
        <f>IF(AND(VLOOKUP(BL$1,main!$A$3:$H$102,7,FALSE)=main!$G$104,VLOOKUP(BL$1,main!$A$3:$H$102,5,FALSE)-VLOOKUP($A166,main!$A$3:$H$102,6,FALSE)&gt;=main!$D$103+VLOOKUP(VLOOKUP(BL$1,main!$A$3:$I$102,7,FALSE),main!$K$26:$Q$29,4,FALSE)),1,0)</f>
        <v>0</v>
      </c>
      <c r="BM166">
        <f>IF(AND(VLOOKUP(BM$1,main!$A$3:$H$102,7,FALSE)=main!$G$104,VLOOKUP(BM$1,main!$A$3:$H$102,5,FALSE)-VLOOKUP($A166,main!$A$3:$H$102,6,FALSE)&gt;=main!$D$103+VLOOKUP(VLOOKUP(BM$1,main!$A$3:$I$102,7,FALSE),main!$K$26:$Q$29,4,FALSE)),1,0)</f>
        <v>0</v>
      </c>
      <c r="BN166">
        <f>IF(AND(VLOOKUP(BN$1,main!$A$3:$H$102,7,FALSE)=main!$G$104,VLOOKUP(BN$1,main!$A$3:$H$102,5,FALSE)-VLOOKUP($A166,main!$A$3:$H$102,6,FALSE)&gt;=main!$D$103+VLOOKUP(VLOOKUP(BN$1,main!$A$3:$I$102,7,FALSE),main!$K$26:$Q$29,4,FALSE)),1,0)</f>
        <v>0</v>
      </c>
      <c r="BO166">
        <f>IF(AND(VLOOKUP(BO$1,main!$A$3:$H$102,7,FALSE)=main!$G$104,VLOOKUP(BO$1,main!$A$3:$H$102,5,FALSE)-VLOOKUP($A166,main!$A$3:$H$102,6,FALSE)&gt;=main!$D$103+VLOOKUP(VLOOKUP(BO$1,main!$A$3:$I$102,7,FALSE),main!$K$26:$Q$29,4,FALSE)),1,0)</f>
        <v>0</v>
      </c>
      <c r="BP166">
        <f>IF(AND(VLOOKUP(BP$1,main!$A$3:$H$102,7,FALSE)=main!$G$104,VLOOKUP(BP$1,main!$A$3:$H$102,5,FALSE)-VLOOKUP($A166,main!$A$3:$H$102,6,FALSE)&gt;=main!$D$103+VLOOKUP(VLOOKUP(BP$1,main!$A$3:$I$102,7,FALSE),main!$K$26:$Q$29,4,FALSE)),1,0)</f>
        <v>0</v>
      </c>
      <c r="BQ166">
        <f>IF(AND(VLOOKUP(BQ$1,main!$A$3:$H$102,7,FALSE)=main!$G$104,VLOOKUP(BQ$1,main!$A$3:$H$102,5,FALSE)-VLOOKUP($A166,main!$A$3:$H$102,6,FALSE)&gt;=main!$D$103+VLOOKUP(VLOOKUP(BQ$1,main!$A$3:$I$102,7,FALSE),main!$K$26:$Q$29,4,FALSE)),1,0)</f>
        <v>0</v>
      </c>
      <c r="BR166">
        <f>IF(AND(VLOOKUP(BR$1,main!$A$3:$H$102,7,FALSE)=main!$G$104,VLOOKUP(BR$1,main!$A$3:$H$102,5,FALSE)-VLOOKUP($A166,main!$A$3:$H$102,6,FALSE)&gt;=main!$D$103+VLOOKUP(VLOOKUP(BR$1,main!$A$3:$I$102,7,FALSE),main!$K$26:$Q$29,4,FALSE)),1,0)</f>
        <v>0</v>
      </c>
      <c r="BS166">
        <f>IF(AND(VLOOKUP(BS$1,main!$A$3:$H$102,7,FALSE)=main!$G$104,VLOOKUP(BS$1,main!$A$3:$H$102,5,FALSE)-VLOOKUP($A166,main!$A$3:$H$102,6,FALSE)&gt;=main!$D$103+VLOOKUP(VLOOKUP(BS$1,main!$A$3:$I$102,7,FALSE),main!$K$26:$Q$29,4,FALSE)),1,0)</f>
        <v>0</v>
      </c>
      <c r="BT166">
        <f>IF(AND(VLOOKUP(BT$1,main!$A$3:$H$102,7,FALSE)=main!$G$104,VLOOKUP(BT$1,main!$A$3:$H$102,5,FALSE)-VLOOKUP($A166,main!$A$3:$H$102,6,FALSE)&gt;=main!$D$103+VLOOKUP(VLOOKUP(BT$1,main!$A$3:$I$102,7,FALSE),main!$K$26:$Q$29,4,FALSE)),1,0)</f>
        <v>0</v>
      </c>
      <c r="BU166">
        <f>IF(AND(VLOOKUP(BU$1,main!$A$3:$H$102,7,FALSE)=main!$G$104,VLOOKUP(BU$1,main!$A$3:$H$102,5,FALSE)-VLOOKUP($A166,main!$A$3:$H$102,6,FALSE)&gt;=main!$D$103+VLOOKUP(VLOOKUP(BU$1,main!$A$3:$I$102,7,FALSE),main!$K$26:$Q$29,4,FALSE)),1,0)</f>
        <v>0</v>
      </c>
      <c r="BV166">
        <f>IF(AND(VLOOKUP(BV$1,main!$A$3:$H$102,7,FALSE)=main!$G$104,VLOOKUP(BV$1,main!$A$3:$H$102,5,FALSE)-VLOOKUP($A166,main!$A$3:$H$102,6,FALSE)&gt;=main!$D$103+VLOOKUP(VLOOKUP(BV$1,main!$A$3:$I$102,7,FALSE),main!$K$26:$Q$29,4,FALSE)),1,0)</f>
        <v>0</v>
      </c>
      <c r="BW166">
        <f>IF(AND(VLOOKUP(BW$1,main!$A$3:$H$102,7,FALSE)=main!$G$104,VLOOKUP(BW$1,main!$A$3:$H$102,5,FALSE)-VLOOKUP($A166,main!$A$3:$H$102,6,FALSE)&gt;=main!$D$103+VLOOKUP(VLOOKUP(BW$1,main!$A$3:$I$102,7,FALSE),main!$K$26:$Q$29,4,FALSE)),1,0)</f>
        <v>0</v>
      </c>
      <c r="BX166">
        <f>IF(AND(VLOOKUP(BX$1,main!$A$3:$H$102,7,FALSE)=main!$G$104,VLOOKUP(BX$1,main!$A$3:$H$102,5,FALSE)-VLOOKUP($A166,main!$A$3:$H$102,6,FALSE)&gt;=main!$D$103+VLOOKUP(VLOOKUP(BX$1,main!$A$3:$I$102,7,FALSE),main!$K$26:$Q$29,4,FALSE)),1,0)</f>
        <v>0</v>
      </c>
      <c r="BY166">
        <f>IF(AND(VLOOKUP(BY$1,main!$A$3:$H$102,7,FALSE)=main!$G$104,VLOOKUP(BY$1,main!$A$3:$H$102,5,FALSE)-VLOOKUP($A166,main!$A$3:$H$102,6,FALSE)&gt;=main!$D$103+VLOOKUP(VLOOKUP(BY$1,main!$A$3:$I$102,7,FALSE),main!$K$26:$Q$29,4,FALSE)),1,0)</f>
        <v>0</v>
      </c>
      <c r="BZ166">
        <f>IF(AND(VLOOKUP(BZ$1,main!$A$3:$H$102,7,FALSE)=main!$G$104,VLOOKUP(BZ$1,main!$A$3:$H$102,5,FALSE)-VLOOKUP($A166,main!$A$3:$H$102,6,FALSE)&gt;=main!$D$103+VLOOKUP(VLOOKUP(BZ$1,main!$A$3:$I$102,7,FALSE),main!$K$26:$Q$29,4,FALSE)),1,0)</f>
        <v>0</v>
      </c>
      <c r="CA166">
        <f>IF(AND(VLOOKUP(CA$1,main!$A$3:$H$102,7,FALSE)=main!$G$104,VLOOKUP(CA$1,main!$A$3:$H$102,5,FALSE)-VLOOKUP($A166,main!$A$3:$H$102,6,FALSE)&gt;=main!$D$103+VLOOKUP(VLOOKUP(CA$1,main!$A$3:$I$102,7,FALSE),main!$K$26:$Q$29,4,FALSE)),1,0)</f>
        <v>0</v>
      </c>
      <c r="CB166">
        <f>IF(AND(VLOOKUP(CB$1,main!$A$3:$H$102,7,FALSE)=main!$G$104,VLOOKUP(CB$1,main!$A$3:$H$102,5,FALSE)-VLOOKUP($A166,main!$A$3:$H$102,6,FALSE)&gt;=main!$D$103+VLOOKUP(VLOOKUP(CB$1,main!$A$3:$I$102,7,FALSE),main!$K$26:$Q$29,4,FALSE)),1,0)</f>
        <v>0</v>
      </c>
      <c r="CC166">
        <f>IF(AND(VLOOKUP(CC$1,main!$A$3:$H$102,7,FALSE)=main!$G$104,VLOOKUP(CC$1,main!$A$3:$H$102,5,FALSE)-VLOOKUP($A166,main!$A$3:$H$102,6,FALSE)&gt;=main!$D$103+VLOOKUP(VLOOKUP(CC$1,main!$A$3:$I$102,7,FALSE),main!$K$26:$Q$29,4,FALSE)),1,0)</f>
        <v>0</v>
      </c>
      <c r="CD166">
        <f>IF(AND(VLOOKUP(CD$1,main!$A$3:$H$102,7,FALSE)=main!$G$104,VLOOKUP(CD$1,main!$A$3:$H$102,5,FALSE)-VLOOKUP($A166,main!$A$3:$H$102,6,FALSE)&gt;=main!$D$103+VLOOKUP(VLOOKUP(CD$1,main!$A$3:$I$102,7,FALSE),main!$K$26:$Q$29,4,FALSE)),1,0)</f>
        <v>0</v>
      </c>
      <c r="CE166">
        <f>IF(AND(VLOOKUP(CE$1,main!$A$3:$H$102,7,FALSE)=main!$G$104,VLOOKUP(CE$1,main!$A$3:$H$102,5,FALSE)-VLOOKUP($A166,main!$A$3:$H$102,6,FALSE)&gt;=main!$D$103+VLOOKUP(VLOOKUP(CE$1,main!$A$3:$I$102,7,FALSE),main!$K$26:$Q$29,4,FALSE)),1,0)</f>
        <v>0</v>
      </c>
      <c r="CF166">
        <f>IF(AND(VLOOKUP(CF$1,main!$A$3:$H$102,7,FALSE)=main!$G$104,VLOOKUP(CF$1,main!$A$3:$H$102,5,FALSE)-VLOOKUP($A166,main!$A$3:$H$102,6,FALSE)&gt;=main!$D$103+VLOOKUP(VLOOKUP(CF$1,main!$A$3:$I$102,7,FALSE),main!$K$26:$Q$29,4,FALSE)),1,0)</f>
        <v>0</v>
      </c>
      <c r="CG166">
        <f>IF(AND(VLOOKUP(CG$1,main!$A$3:$H$102,7,FALSE)=main!$G$104,VLOOKUP(CG$1,main!$A$3:$H$102,5,FALSE)-VLOOKUP($A166,main!$A$3:$H$102,6,FALSE)&gt;=main!$D$103+VLOOKUP(VLOOKUP(CG$1,main!$A$3:$I$102,7,FALSE),main!$K$26:$Q$29,4,FALSE)),1,0)</f>
        <v>0</v>
      </c>
      <c r="CH166">
        <f>IF(AND(VLOOKUP(CH$1,main!$A$3:$H$102,7,FALSE)=main!$G$104,VLOOKUP(CH$1,main!$A$3:$H$102,5,FALSE)-VLOOKUP($A166,main!$A$3:$H$102,6,FALSE)&gt;=main!$D$103+VLOOKUP(VLOOKUP(CH$1,main!$A$3:$I$102,7,FALSE),main!$K$26:$Q$29,4,FALSE)),1,0)</f>
        <v>0</v>
      </c>
      <c r="CI166">
        <f>IF(AND(VLOOKUP(CI$1,main!$A$3:$H$102,7,FALSE)=main!$G$104,VLOOKUP(CI$1,main!$A$3:$H$102,5,FALSE)-VLOOKUP($A166,main!$A$3:$H$102,6,FALSE)&gt;=main!$D$103+VLOOKUP(VLOOKUP(CI$1,main!$A$3:$I$102,7,FALSE),main!$K$26:$Q$29,4,FALSE)),1,0)</f>
        <v>0</v>
      </c>
      <c r="CJ166">
        <f>IF(AND(VLOOKUP(CJ$1,main!$A$3:$H$102,7,FALSE)=main!$G$104,VLOOKUP(CJ$1,main!$A$3:$H$102,5,FALSE)-VLOOKUP($A166,main!$A$3:$H$102,6,FALSE)&gt;=main!$D$103+VLOOKUP(VLOOKUP(CJ$1,main!$A$3:$I$102,7,FALSE),main!$K$26:$Q$29,4,FALSE)),1,0)</f>
        <v>0</v>
      </c>
      <c r="CK166">
        <f>IF(AND(VLOOKUP(CK$1,main!$A$3:$H$102,7,FALSE)=main!$G$104,VLOOKUP(CK$1,main!$A$3:$H$102,5,FALSE)-VLOOKUP($A166,main!$A$3:$H$102,6,FALSE)&gt;=main!$D$103+VLOOKUP(VLOOKUP(CK$1,main!$A$3:$I$102,7,FALSE),main!$K$26:$Q$29,4,FALSE)),1,0)</f>
        <v>0</v>
      </c>
      <c r="CL166">
        <f>IF(AND(VLOOKUP(CL$1,main!$A$3:$H$102,7,FALSE)=main!$G$104,VLOOKUP(CL$1,main!$A$3:$H$102,5,FALSE)-VLOOKUP($A166,main!$A$3:$H$102,6,FALSE)&gt;=main!$D$103+VLOOKUP(VLOOKUP(CL$1,main!$A$3:$I$102,7,FALSE),main!$K$26:$Q$29,4,FALSE)),1,0)</f>
        <v>0</v>
      </c>
      <c r="CM166">
        <f>IF(AND(VLOOKUP(CM$1,main!$A$3:$H$102,7,FALSE)=main!$G$104,VLOOKUP(CM$1,main!$A$3:$H$102,5,FALSE)-VLOOKUP($A166,main!$A$3:$H$102,6,FALSE)&gt;=main!$D$103+VLOOKUP(VLOOKUP(CM$1,main!$A$3:$I$102,7,FALSE),main!$K$26:$Q$29,4,FALSE)),1,0)</f>
        <v>0</v>
      </c>
      <c r="CN166">
        <f>IF(AND(VLOOKUP(CN$1,main!$A$3:$H$102,7,FALSE)=main!$G$104,VLOOKUP(CN$1,main!$A$3:$H$102,5,FALSE)-VLOOKUP($A166,main!$A$3:$H$102,6,FALSE)&gt;=main!$D$103+VLOOKUP(VLOOKUP(CN$1,main!$A$3:$I$102,7,FALSE),main!$K$26:$Q$29,4,FALSE)),1,0)</f>
        <v>0</v>
      </c>
      <c r="CO166">
        <f>IF(AND(VLOOKUP(CO$1,main!$A$3:$H$102,7,FALSE)=main!$G$104,VLOOKUP(CO$1,main!$A$3:$H$102,5,FALSE)-VLOOKUP($A166,main!$A$3:$H$102,6,FALSE)&gt;=main!$D$103+VLOOKUP(VLOOKUP(CO$1,main!$A$3:$I$102,7,FALSE),main!$K$26:$Q$29,4,FALSE)),1,0)</f>
        <v>0</v>
      </c>
      <c r="CP166">
        <f>IF(AND(VLOOKUP(CP$1,main!$A$3:$H$102,7,FALSE)=main!$G$104,VLOOKUP(CP$1,main!$A$3:$H$102,5,FALSE)-VLOOKUP($A166,main!$A$3:$H$102,6,FALSE)&gt;=main!$D$103+VLOOKUP(VLOOKUP(CP$1,main!$A$3:$I$102,7,FALSE),main!$K$26:$Q$29,4,FALSE)),1,0)</f>
        <v>0</v>
      </c>
      <c r="CQ166">
        <f>IF(AND(VLOOKUP(CQ$1,main!$A$3:$H$102,7,FALSE)=main!$G$104,VLOOKUP(CQ$1,main!$A$3:$H$102,5,FALSE)-VLOOKUP($A166,main!$A$3:$H$102,6,FALSE)&gt;=main!$D$103+VLOOKUP(VLOOKUP(CQ$1,main!$A$3:$I$102,7,FALSE),main!$K$26:$Q$29,4,FALSE)),1,0)</f>
        <v>0</v>
      </c>
      <c r="CR166">
        <f>IF(AND(VLOOKUP(CR$1,main!$A$3:$H$102,7,FALSE)=main!$G$104,VLOOKUP(CR$1,main!$A$3:$H$102,5,FALSE)-VLOOKUP($A166,main!$A$3:$H$102,6,FALSE)&gt;=main!$D$103+VLOOKUP(VLOOKUP(CR$1,main!$A$3:$I$102,7,FALSE),main!$K$26:$Q$29,4,FALSE)),1,0)</f>
        <v>0</v>
      </c>
      <c r="CS166">
        <f>IF(AND(VLOOKUP(CS$1,main!$A$3:$H$102,7,FALSE)=main!$G$104,VLOOKUP(CS$1,main!$A$3:$H$102,5,FALSE)-VLOOKUP($A166,main!$A$3:$H$102,6,FALSE)&gt;=main!$D$103+VLOOKUP(VLOOKUP(CS$1,main!$A$3:$I$102,7,FALSE),main!$K$26:$Q$29,4,FALSE)),1,0)</f>
        <v>0</v>
      </c>
      <c r="CT166">
        <f>IF(AND(VLOOKUP(CT$1,main!$A$3:$H$102,7,FALSE)=main!$G$104,VLOOKUP(CT$1,main!$A$3:$H$102,5,FALSE)-VLOOKUP($A166,main!$A$3:$H$102,6,FALSE)&gt;=main!$D$103+VLOOKUP(VLOOKUP(CT$1,main!$A$3:$I$102,7,FALSE),main!$K$26:$Q$29,4,FALSE)),1,0)</f>
        <v>0</v>
      </c>
      <c r="CU166">
        <f>IF(AND(VLOOKUP(CU$1,main!$A$3:$H$102,7,FALSE)=main!$G$104,VLOOKUP(CU$1,main!$A$3:$H$102,5,FALSE)-VLOOKUP($A166,main!$A$3:$H$102,6,FALSE)&gt;=main!$D$103+VLOOKUP(VLOOKUP(CU$1,main!$A$3:$I$102,7,FALSE),main!$K$26:$Q$29,4,FALSE)),1,0)</f>
        <v>0</v>
      </c>
      <c r="CV166">
        <f>IF(AND(VLOOKUP(CV$1,main!$A$3:$H$102,7,FALSE)=main!$G$104,VLOOKUP(CV$1,main!$A$3:$H$102,5,FALSE)-VLOOKUP($A166,main!$A$3:$H$102,6,FALSE)&gt;=main!$D$103+VLOOKUP(VLOOKUP(CV$1,main!$A$3:$I$102,7,FALSE),main!$K$26:$Q$29,4,FALSE)),1,0)</f>
        <v>0</v>
      </c>
      <c r="CW166">
        <f>IF(AND(VLOOKUP(CW$1,main!$A$3:$H$102,7,FALSE)=main!$G$104,VLOOKUP(CW$1,main!$A$3:$H$102,5,FALSE)-VLOOKUP($A166,main!$A$3:$H$102,6,FALSE)&gt;=main!$D$103+VLOOKUP(VLOOKUP(CW$1,main!$A$3:$I$102,7,FALSE),main!$K$26:$Q$29,4,FALSE)),1,0)</f>
        <v>0</v>
      </c>
      <c r="CX166">
        <f>IF(AND(VLOOKUP(CX$1,main!$A$3:$H$102,7,FALSE)=main!$G$104,VLOOKUP(CX$1,main!$A$3:$H$102,5,FALSE)-VLOOKUP($A166,main!$A$3:$H$102,6,FALSE)&gt;=main!$D$103+VLOOKUP(VLOOKUP(CX$1,main!$A$3:$I$102,7,FALSE),main!$K$26:$Q$29,4,FALSE)),1,0)</f>
        <v>0</v>
      </c>
    </row>
    <row r="167" spans="1:102" x14ac:dyDescent="0.25">
      <c r="A167" s="1">
        <v>64</v>
      </c>
      <c r="B167">
        <v>0</v>
      </c>
      <c r="C167">
        <f>IF(AND(VLOOKUP(C$1,main!$A$3:$H$102,7,FALSE)=main!$G$104,VLOOKUP(C$1,main!$A$3:$H$102,5,FALSE)-VLOOKUP($A167,main!$A$3:$H$102,6,FALSE)&gt;=main!$D$103+VLOOKUP(VLOOKUP(C$1,main!$A$3:$I$102,7,FALSE),main!$K$26:$Q$29,4,FALSE)),1,0)</f>
        <v>0</v>
      </c>
      <c r="D167">
        <f>IF(AND(VLOOKUP(D$1,main!$A$3:$H$102,7,FALSE)=main!$G$104,VLOOKUP(D$1,main!$A$3:$H$102,5,FALSE)-VLOOKUP($A167,main!$A$3:$H$102,6,FALSE)&gt;=main!$D$103+VLOOKUP(VLOOKUP(D$1,main!$A$3:$I$102,7,FALSE),main!$K$26:$Q$29,4,FALSE)),1,0)</f>
        <v>0</v>
      </c>
      <c r="E167">
        <f>IF(AND(VLOOKUP(E$1,main!$A$3:$H$102,7,FALSE)=main!$G$104,VLOOKUP(E$1,main!$A$3:$H$102,5,FALSE)-VLOOKUP($A167,main!$A$3:$H$102,6,FALSE)&gt;=main!$D$103+VLOOKUP(VLOOKUP(E$1,main!$A$3:$I$102,7,FALSE),main!$K$26:$Q$29,4,FALSE)),1,0)</f>
        <v>0</v>
      </c>
      <c r="F167">
        <f>IF(AND(VLOOKUP(F$1,main!$A$3:$H$102,7,FALSE)=main!$G$104,VLOOKUP(F$1,main!$A$3:$H$102,5,FALSE)-VLOOKUP($A167,main!$A$3:$H$102,6,FALSE)&gt;=main!$D$103+VLOOKUP(VLOOKUP(F$1,main!$A$3:$I$102,7,FALSE),main!$K$26:$Q$29,4,FALSE)),1,0)</f>
        <v>0</v>
      </c>
      <c r="G167">
        <f>IF(AND(VLOOKUP(G$1,main!$A$3:$H$102,7,FALSE)=main!$G$104,VLOOKUP(G$1,main!$A$3:$H$102,5,FALSE)-VLOOKUP($A167,main!$A$3:$H$102,6,FALSE)&gt;=main!$D$103+VLOOKUP(VLOOKUP(G$1,main!$A$3:$I$102,7,FALSE),main!$K$26:$Q$29,4,FALSE)),1,0)</f>
        <v>0</v>
      </c>
      <c r="H167">
        <f>IF(AND(VLOOKUP(H$1,main!$A$3:$H$102,7,FALSE)=main!$G$104,VLOOKUP(H$1,main!$A$3:$H$102,5,FALSE)-VLOOKUP($A167,main!$A$3:$H$102,6,FALSE)&gt;=main!$D$103+VLOOKUP(VLOOKUP(H$1,main!$A$3:$I$102,7,FALSE),main!$K$26:$Q$29,4,FALSE)),1,0)</f>
        <v>0</v>
      </c>
      <c r="I167">
        <f>IF(AND(VLOOKUP(I$1,main!$A$3:$H$102,7,FALSE)=main!$G$104,VLOOKUP(I$1,main!$A$3:$H$102,5,FALSE)-VLOOKUP($A167,main!$A$3:$H$102,6,FALSE)&gt;=main!$D$103+VLOOKUP(VLOOKUP(I$1,main!$A$3:$I$102,7,FALSE),main!$K$26:$Q$29,4,FALSE)),1,0)</f>
        <v>0</v>
      </c>
      <c r="J167">
        <f>IF(AND(VLOOKUP(J$1,main!$A$3:$H$102,7,FALSE)=main!$G$104,VLOOKUP(J$1,main!$A$3:$H$102,5,FALSE)-VLOOKUP($A167,main!$A$3:$H$102,6,FALSE)&gt;=main!$D$103+VLOOKUP(VLOOKUP(J$1,main!$A$3:$I$102,7,FALSE),main!$K$26:$Q$29,4,FALSE)),1,0)</f>
        <v>0</v>
      </c>
      <c r="K167">
        <f>IF(AND(VLOOKUP(K$1,main!$A$3:$H$102,7,FALSE)=main!$G$104,VLOOKUP(K$1,main!$A$3:$H$102,5,FALSE)-VLOOKUP($A167,main!$A$3:$H$102,6,FALSE)&gt;=main!$D$103+VLOOKUP(VLOOKUP(K$1,main!$A$3:$I$102,7,FALSE),main!$K$26:$Q$29,4,FALSE)),1,0)</f>
        <v>1</v>
      </c>
      <c r="L167">
        <f>IF(AND(VLOOKUP(L$1,main!$A$3:$H$102,7,FALSE)=main!$G$104,VLOOKUP(L$1,main!$A$3:$H$102,5,FALSE)-VLOOKUP($A167,main!$A$3:$H$102,6,FALSE)&gt;=main!$D$103+VLOOKUP(VLOOKUP(L$1,main!$A$3:$I$102,7,FALSE),main!$K$26:$Q$29,4,FALSE)),1,0)</f>
        <v>1</v>
      </c>
      <c r="M167">
        <f>IF(AND(VLOOKUP(M$1,main!$A$3:$H$102,7,FALSE)=main!$G$104,VLOOKUP(M$1,main!$A$3:$H$102,5,FALSE)-VLOOKUP($A167,main!$A$3:$H$102,6,FALSE)&gt;=main!$D$103+VLOOKUP(VLOOKUP(M$1,main!$A$3:$I$102,7,FALSE),main!$K$26:$Q$29,4,FALSE)),1,0)</f>
        <v>0</v>
      </c>
      <c r="N167">
        <f>IF(AND(VLOOKUP(N$1,main!$A$3:$H$102,7,FALSE)=main!$G$104,VLOOKUP(N$1,main!$A$3:$H$102,5,FALSE)-VLOOKUP($A167,main!$A$3:$H$102,6,FALSE)&gt;=main!$D$103+VLOOKUP(VLOOKUP(N$1,main!$A$3:$I$102,7,FALSE),main!$K$26:$Q$29,4,FALSE)),1,0)</f>
        <v>0</v>
      </c>
      <c r="O167">
        <f>IF(AND(VLOOKUP(O$1,main!$A$3:$H$102,7,FALSE)=main!$G$104,VLOOKUP(O$1,main!$A$3:$H$102,5,FALSE)-VLOOKUP($A167,main!$A$3:$H$102,6,FALSE)&gt;=main!$D$103+VLOOKUP(VLOOKUP(O$1,main!$A$3:$I$102,7,FALSE),main!$K$26:$Q$29,4,FALSE)),1,0)</f>
        <v>0</v>
      </c>
      <c r="P167">
        <f>IF(AND(VLOOKUP(P$1,main!$A$3:$H$102,7,FALSE)=main!$G$104,VLOOKUP(P$1,main!$A$3:$H$102,5,FALSE)-VLOOKUP($A167,main!$A$3:$H$102,6,FALSE)&gt;=main!$D$103+VLOOKUP(VLOOKUP(P$1,main!$A$3:$I$102,7,FALSE),main!$K$26:$Q$29,4,FALSE)),1,0)</f>
        <v>0</v>
      </c>
      <c r="Q167">
        <f>IF(AND(VLOOKUP(Q$1,main!$A$3:$H$102,7,FALSE)=main!$G$104,VLOOKUP(Q$1,main!$A$3:$H$102,5,FALSE)-VLOOKUP($A167,main!$A$3:$H$102,6,FALSE)&gt;=main!$D$103+VLOOKUP(VLOOKUP(Q$1,main!$A$3:$I$102,7,FALSE),main!$K$26:$Q$29,4,FALSE)),1,0)</f>
        <v>0</v>
      </c>
      <c r="R167">
        <f>IF(AND(VLOOKUP(R$1,main!$A$3:$H$102,7,FALSE)=main!$G$104,VLOOKUP(R$1,main!$A$3:$H$102,5,FALSE)-VLOOKUP($A167,main!$A$3:$H$102,6,FALSE)&gt;=main!$D$103+VLOOKUP(VLOOKUP(R$1,main!$A$3:$I$102,7,FALSE),main!$K$26:$Q$29,4,FALSE)),1,0)</f>
        <v>0</v>
      </c>
      <c r="S167">
        <f>IF(AND(VLOOKUP(S$1,main!$A$3:$H$102,7,FALSE)=main!$G$104,VLOOKUP(S$1,main!$A$3:$H$102,5,FALSE)-VLOOKUP($A167,main!$A$3:$H$102,6,FALSE)&gt;=main!$D$103+VLOOKUP(VLOOKUP(S$1,main!$A$3:$I$102,7,FALSE),main!$K$26:$Q$29,4,FALSE)),1,0)</f>
        <v>0</v>
      </c>
      <c r="T167">
        <f>IF(AND(VLOOKUP(T$1,main!$A$3:$H$102,7,FALSE)=main!$G$104,VLOOKUP(T$1,main!$A$3:$H$102,5,FALSE)-VLOOKUP($A167,main!$A$3:$H$102,6,FALSE)&gt;=main!$D$103+VLOOKUP(VLOOKUP(T$1,main!$A$3:$I$102,7,FALSE),main!$K$26:$Q$29,4,FALSE)),1,0)</f>
        <v>0</v>
      </c>
      <c r="U167">
        <f>IF(AND(VLOOKUP(U$1,main!$A$3:$H$102,7,FALSE)=main!$G$104,VLOOKUP(U$1,main!$A$3:$H$102,5,FALSE)-VLOOKUP($A167,main!$A$3:$H$102,6,FALSE)&gt;=main!$D$103+VLOOKUP(VLOOKUP(U$1,main!$A$3:$I$102,7,FALSE),main!$K$26:$Q$29,4,FALSE)),1,0)</f>
        <v>1</v>
      </c>
      <c r="V167">
        <f>IF(AND(VLOOKUP(V$1,main!$A$3:$H$102,7,FALSE)=main!$G$104,VLOOKUP(V$1,main!$A$3:$H$102,5,FALSE)-VLOOKUP($A167,main!$A$3:$H$102,6,FALSE)&gt;=main!$D$103+VLOOKUP(VLOOKUP(V$1,main!$A$3:$I$102,7,FALSE),main!$K$26:$Q$29,4,FALSE)),1,0)</f>
        <v>1</v>
      </c>
      <c r="W167">
        <f>IF(AND(VLOOKUP(W$1,main!$A$3:$H$102,7,FALSE)=main!$G$104,VLOOKUP(W$1,main!$A$3:$H$102,5,FALSE)-VLOOKUP($A167,main!$A$3:$H$102,6,FALSE)&gt;=main!$D$103+VLOOKUP(VLOOKUP(W$1,main!$A$3:$I$102,7,FALSE),main!$K$26:$Q$29,4,FALSE)),1,0)</f>
        <v>0</v>
      </c>
      <c r="X167">
        <f>IF(AND(VLOOKUP(X$1,main!$A$3:$H$102,7,FALSE)=main!$G$104,VLOOKUP(X$1,main!$A$3:$H$102,5,FALSE)-VLOOKUP($A167,main!$A$3:$H$102,6,FALSE)&gt;=main!$D$103+VLOOKUP(VLOOKUP(X$1,main!$A$3:$I$102,7,FALSE),main!$K$26:$Q$29,4,FALSE)),1,0)</f>
        <v>0</v>
      </c>
      <c r="Y167">
        <f>IF(AND(VLOOKUP(Y$1,main!$A$3:$H$102,7,FALSE)=main!$G$104,VLOOKUP(Y$1,main!$A$3:$H$102,5,FALSE)-VLOOKUP($A167,main!$A$3:$H$102,6,FALSE)&gt;=main!$D$103+VLOOKUP(VLOOKUP(Y$1,main!$A$3:$I$102,7,FALSE),main!$K$26:$Q$29,4,FALSE)),1,0)</f>
        <v>0</v>
      </c>
      <c r="Z167">
        <f>IF(AND(VLOOKUP(Z$1,main!$A$3:$H$102,7,FALSE)=main!$G$104,VLOOKUP(Z$1,main!$A$3:$H$102,5,FALSE)-VLOOKUP($A167,main!$A$3:$H$102,6,FALSE)&gt;=main!$D$103+VLOOKUP(VLOOKUP(Z$1,main!$A$3:$I$102,7,FALSE),main!$K$26:$Q$29,4,FALSE)),1,0)</f>
        <v>0</v>
      </c>
      <c r="AA167">
        <f>IF(AND(VLOOKUP(AA$1,main!$A$3:$H$102,7,FALSE)=main!$G$104,VLOOKUP(AA$1,main!$A$3:$H$102,5,FALSE)-VLOOKUP($A167,main!$A$3:$H$102,6,FALSE)&gt;=main!$D$103+VLOOKUP(VLOOKUP(AA$1,main!$A$3:$I$102,7,FALSE),main!$K$26:$Q$29,4,FALSE)),1,0)</f>
        <v>1</v>
      </c>
      <c r="AB167">
        <f>IF(AND(VLOOKUP(AB$1,main!$A$3:$H$102,7,FALSE)=main!$G$104,VLOOKUP(AB$1,main!$A$3:$H$102,5,FALSE)-VLOOKUP($A167,main!$A$3:$H$102,6,FALSE)&gt;=main!$D$103+VLOOKUP(VLOOKUP(AB$1,main!$A$3:$I$102,7,FALSE),main!$K$26:$Q$29,4,FALSE)),1,0)</f>
        <v>0</v>
      </c>
      <c r="AC167">
        <f>IF(AND(VLOOKUP(AC$1,main!$A$3:$H$102,7,FALSE)=main!$G$104,VLOOKUP(AC$1,main!$A$3:$H$102,5,FALSE)-VLOOKUP($A167,main!$A$3:$H$102,6,FALSE)&gt;=main!$D$103+VLOOKUP(VLOOKUP(AC$1,main!$A$3:$I$102,7,FALSE),main!$K$26:$Q$29,4,FALSE)),1,0)</f>
        <v>0</v>
      </c>
      <c r="AD167">
        <f>IF(AND(VLOOKUP(AD$1,main!$A$3:$H$102,7,FALSE)=main!$G$104,VLOOKUP(AD$1,main!$A$3:$H$102,5,FALSE)-VLOOKUP($A167,main!$A$3:$H$102,6,FALSE)&gt;=main!$D$103+VLOOKUP(VLOOKUP(AD$1,main!$A$3:$I$102,7,FALSE),main!$K$26:$Q$29,4,FALSE)),1,0)</f>
        <v>0</v>
      </c>
      <c r="AE167">
        <f>IF(AND(VLOOKUP(AE$1,main!$A$3:$H$102,7,FALSE)=main!$G$104,VLOOKUP(AE$1,main!$A$3:$H$102,5,FALSE)-VLOOKUP($A167,main!$A$3:$H$102,6,FALSE)&gt;=main!$D$103+VLOOKUP(VLOOKUP(AE$1,main!$A$3:$I$102,7,FALSE),main!$K$26:$Q$29,4,FALSE)),1,0)</f>
        <v>0</v>
      </c>
      <c r="AF167">
        <f>IF(AND(VLOOKUP(AF$1,main!$A$3:$H$102,7,FALSE)=main!$G$104,VLOOKUP(AF$1,main!$A$3:$H$102,5,FALSE)-VLOOKUP($A167,main!$A$3:$H$102,6,FALSE)&gt;=main!$D$103+VLOOKUP(VLOOKUP(AF$1,main!$A$3:$I$102,7,FALSE),main!$K$26:$Q$29,4,FALSE)),1,0)</f>
        <v>1</v>
      </c>
      <c r="AG167">
        <f>IF(AND(VLOOKUP(AG$1,main!$A$3:$H$102,7,FALSE)=main!$G$104,VLOOKUP(AG$1,main!$A$3:$H$102,5,FALSE)-VLOOKUP($A167,main!$A$3:$H$102,6,FALSE)&gt;=main!$D$103+VLOOKUP(VLOOKUP(AG$1,main!$A$3:$I$102,7,FALSE),main!$K$26:$Q$29,4,FALSE)),1,0)</f>
        <v>0</v>
      </c>
      <c r="AH167">
        <f>IF(AND(VLOOKUP(AH$1,main!$A$3:$H$102,7,FALSE)=main!$G$104,VLOOKUP(AH$1,main!$A$3:$H$102,5,FALSE)-VLOOKUP($A167,main!$A$3:$H$102,6,FALSE)&gt;=main!$D$103+VLOOKUP(VLOOKUP(AH$1,main!$A$3:$I$102,7,FALSE),main!$K$26:$Q$29,4,FALSE)),1,0)</f>
        <v>0</v>
      </c>
      <c r="AI167">
        <f>IF(AND(VLOOKUP(AI$1,main!$A$3:$H$102,7,FALSE)=main!$G$104,VLOOKUP(AI$1,main!$A$3:$H$102,5,FALSE)-VLOOKUP($A167,main!$A$3:$H$102,6,FALSE)&gt;=main!$D$103+VLOOKUP(VLOOKUP(AI$1,main!$A$3:$I$102,7,FALSE),main!$K$26:$Q$29,4,FALSE)),1,0)</f>
        <v>0</v>
      </c>
      <c r="AJ167">
        <f>IF(AND(VLOOKUP(AJ$1,main!$A$3:$H$102,7,FALSE)=main!$G$104,VLOOKUP(AJ$1,main!$A$3:$H$102,5,FALSE)-VLOOKUP($A167,main!$A$3:$H$102,6,FALSE)&gt;=main!$D$103+VLOOKUP(VLOOKUP(AJ$1,main!$A$3:$I$102,7,FALSE),main!$K$26:$Q$29,4,FALSE)),1,0)</f>
        <v>0</v>
      </c>
      <c r="AK167">
        <f>IF(AND(VLOOKUP(AK$1,main!$A$3:$H$102,7,FALSE)=main!$G$104,VLOOKUP(AK$1,main!$A$3:$H$102,5,FALSE)-VLOOKUP($A167,main!$A$3:$H$102,6,FALSE)&gt;=main!$D$103+VLOOKUP(VLOOKUP(AK$1,main!$A$3:$I$102,7,FALSE),main!$K$26:$Q$29,4,FALSE)),1,0)</f>
        <v>0</v>
      </c>
      <c r="AL167">
        <f>IF(AND(VLOOKUP(AL$1,main!$A$3:$H$102,7,FALSE)=main!$G$104,VLOOKUP(AL$1,main!$A$3:$H$102,5,FALSE)-VLOOKUP($A167,main!$A$3:$H$102,6,FALSE)&gt;=main!$D$103+VLOOKUP(VLOOKUP(AL$1,main!$A$3:$I$102,7,FALSE),main!$K$26:$Q$29,4,FALSE)),1,0)</f>
        <v>0</v>
      </c>
      <c r="AM167">
        <f>IF(AND(VLOOKUP(AM$1,main!$A$3:$H$102,7,FALSE)=main!$G$104,VLOOKUP(AM$1,main!$A$3:$H$102,5,FALSE)-VLOOKUP($A167,main!$A$3:$H$102,6,FALSE)&gt;=main!$D$103+VLOOKUP(VLOOKUP(AM$1,main!$A$3:$I$102,7,FALSE),main!$K$26:$Q$29,4,FALSE)),1,0)</f>
        <v>0</v>
      </c>
      <c r="AN167">
        <f>IF(AND(VLOOKUP(AN$1,main!$A$3:$H$102,7,FALSE)=main!$G$104,VLOOKUP(AN$1,main!$A$3:$H$102,5,FALSE)-VLOOKUP($A167,main!$A$3:$H$102,6,FALSE)&gt;=main!$D$103+VLOOKUP(VLOOKUP(AN$1,main!$A$3:$I$102,7,FALSE),main!$K$26:$Q$29,4,FALSE)),1,0)</f>
        <v>0</v>
      </c>
      <c r="AO167">
        <f>IF(AND(VLOOKUP(AO$1,main!$A$3:$H$102,7,FALSE)=main!$G$104,VLOOKUP(AO$1,main!$A$3:$H$102,5,FALSE)-VLOOKUP($A167,main!$A$3:$H$102,6,FALSE)&gt;=main!$D$103+VLOOKUP(VLOOKUP(AO$1,main!$A$3:$I$102,7,FALSE),main!$K$26:$Q$29,4,FALSE)),1,0)</f>
        <v>0</v>
      </c>
      <c r="AP167">
        <f>IF(AND(VLOOKUP(AP$1,main!$A$3:$H$102,7,FALSE)=main!$G$104,VLOOKUP(AP$1,main!$A$3:$H$102,5,FALSE)-VLOOKUP($A167,main!$A$3:$H$102,6,FALSE)&gt;=main!$D$103+VLOOKUP(VLOOKUP(AP$1,main!$A$3:$I$102,7,FALSE),main!$K$26:$Q$29,4,FALSE)),1,0)</f>
        <v>0</v>
      </c>
      <c r="AQ167">
        <f>IF(AND(VLOOKUP(AQ$1,main!$A$3:$H$102,7,FALSE)=main!$G$104,VLOOKUP(AQ$1,main!$A$3:$H$102,5,FALSE)-VLOOKUP($A167,main!$A$3:$H$102,6,FALSE)&gt;=main!$D$103+VLOOKUP(VLOOKUP(AQ$1,main!$A$3:$I$102,7,FALSE),main!$K$26:$Q$29,4,FALSE)),1,0)</f>
        <v>0</v>
      </c>
      <c r="AR167">
        <f>IF(AND(VLOOKUP(AR$1,main!$A$3:$H$102,7,FALSE)=main!$G$104,VLOOKUP(AR$1,main!$A$3:$H$102,5,FALSE)-VLOOKUP($A167,main!$A$3:$H$102,6,FALSE)&gt;=main!$D$103+VLOOKUP(VLOOKUP(AR$1,main!$A$3:$I$102,7,FALSE),main!$K$26:$Q$29,4,FALSE)),1,0)</f>
        <v>0</v>
      </c>
      <c r="AS167">
        <f>IF(AND(VLOOKUP(AS$1,main!$A$3:$H$102,7,FALSE)=main!$G$104,VLOOKUP(AS$1,main!$A$3:$H$102,5,FALSE)-VLOOKUP($A167,main!$A$3:$H$102,6,FALSE)&gt;=main!$D$103+VLOOKUP(VLOOKUP(AS$1,main!$A$3:$I$102,7,FALSE),main!$K$26:$Q$29,4,FALSE)),1,0)</f>
        <v>0</v>
      </c>
      <c r="AT167">
        <f>IF(AND(VLOOKUP(AT$1,main!$A$3:$H$102,7,FALSE)=main!$G$104,VLOOKUP(AT$1,main!$A$3:$H$102,5,FALSE)-VLOOKUP($A167,main!$A$3:$H$102,6,FALSE)&gt;=main!$D$103+VLOOKUP(VLOOKUP(AT$1,main!$A$3:$I$102,7,FALSE),main!$K$26:$Q$29,4,FALSE)),1,0)</f>
        <v>0</v>
      </c>
      <c r="AU167">
        <f>IF(AND(VLOOKUP(AU$1,main!$A$3:$H$102,7,FALSE)=main!$G$104,VLOOKUP(AU$1,main!$A$3:$H$102,5,FALSE)-VLOOKUP($A167,main!$A$3:$H$102,6,FALSE)&gt;=main!$D$103+VLOOKUP(VLOOKUP(AU$1,main!$A$3:$I$102,7,FALSE),main!$K$26:$Q$29,4,FALSE)),1,0)</f>
        <v>0</v>
      </c>
      <c r="AV167">
        <f>IF(AND(VLOOKUP(AV$1,main!$A$3:$H$102,7,FALSE)=main!$G$104,VLOOKUP(AV$1,main!$A$3:$H$102,5,FALSE)-VLOOKUP($A167,main!$A$3:$H$102,6,FALSE)&gt;=main!$D$103+VLOOKUP(VLOOKUP(AV$1,main!$A$3:$I$102,7,FALSE),main!$K$26:$Q$29,4,FALSE)),1,0)</f>
        <v>0</v>
      </c>
      <c r="AW167">
        <f>IF(AND(VLOOKUP(AW$1,main!$A$3:$H$102,7,FALSE)=main!$G$104,VLOOKUP(AW$1,main!$A$3:$H$102,5,FALSE)-VLOOKUP($A167,main!$A$3:$H$102,6,FALSE)&gt;=main!$D$103+VLOOKUP(VLOOKUP(AW$1,main!$A$3:$I$102,7,FALSE),main!$K$26:$Q$29,4,FALSE)),1,0)</f>
        <v>0</v>
      </c>
      <c r="AX167">
        <f>IF(AND(VLOOKUP(AX$1,main!$A$3:$H$102,7,FALSE)=main!$G$104,VLOOKUP(AX$1,main!$A$3:$H$102,5,FALSE)-VLOOKUP($A167,main!$A$3:$H$102,6,FALSE)&gt;=main!$D$103+VLOOKUP(VLOOKUP(AX$1,main!$A$3:$I$102,7,FALSE),main!$K$26:$Q$29,4,FALSE)),1,0)</f>
        <v>0</v>
      </c>
      <c r="AY167">
        <f>IF(AND(VLOOKUP(AY$1,main!$A$3:$H$102,7,FALSE)=main!$G$104,VLOOKUP(AY$1,main!$A$3:$H$102,5,FALSE)-VLOOKUP($A167,main!$A$3:$H$102,6,FALSE)&gt;=main!$D$103+VLOOKUP(VLOOKUP(AY$1,main!$A$3:$I$102,7,FALSE),main!$K$26:$Q$29,4,FALSE)),1,0)</f>
        <v>0</v>
      </c>
      <c r="AZ167">
        <f>IF(AND(VLOOKUP(AZ$1,main!$A$3:$H$102,7,FALSE)=main!$G$104,VLOOKUP(AZ$1,main!$A$3:$H$102,5,FALSE)-VLOOKUP($A167,main!$A$3:$H$102,6,FALSE)&gt;=main!$D$103+VLOOKUP(VLOOKUP(AZ$1,main!$A$3:$I$102,7,FALSE),main!$K$26:$Q$29,4,FALSE)),1,0)</f>
        <v>0</v>
      </c>
      <c r="BA167">
        <f>IF(AND(VLOOKUP(BA$1,main!$A$3:$H$102,7,FALSE)=main!$G$104,VLOOKUP(BA$1,main!$A$3:$H$102,5,FALSE)-VLOOKUP($A167,main!$A$3:$H$102,6,FALSE)&gt;=main!$D$103+VLOOKUP(VLOOKUP(BA$1,main!$A$3:$I$102,7,FALSE),main!$K$26:$Q$29,4,FALSE)),1,0)</f>
        <v>0</v>
      </c>
      <c r="BB167">
        <f>IF(AND(VLOOKUP(BB$1,main!$A$3:$H$102,7,FALSE)=main!$G$104,VLOOKUP(BB$1,main!$A$3:$H$102,5,FALSE)-VLOOKUP($A167,main!$A$3:$H$102,6,FALSE)&gt;=main!$D$103+VLOOKUP(VLOOKUP(BB$1,main!$A$3:$I$102,7,FALSE),main!$K$26:$Q$29,4,FALSE)),1,0)</f>
        <v>0</v>
      </c>
      <c r="BC167">
        <f>IF(AND(VLOOKUP(BC$1,main!$A$3:$H$102,7,FALSE)=main!$G$104,VLOOKUP(BC$1,main!$A$3:$H$102,5,FALSE)-VLOOKUP($A167,main!$A$3:$H$102,6,FALSE)&gt;=main!$D$103+VLOOKUP(VLOOKUP(BC$1,main!$A$3:$I$102,7,FALSE),main!$K$26:$Q$29,4,FALSE)),1,0)</f>
        <v>0</v>
      </c>
      <c r="BD167">
        <f>IF(AND(VLOOKUP(BD$1,main!$A$3:$H$102,7,FALSE)=main!$G$104,VLOOKUP(BD$1,main!$A$3:$H$102,5,FALSE)-VLOOKUP($A167,main!$A$3:$H$102,6,FALSE)&gt;=main!$D$103+VLOOKUP(VLOOKUP(BD$1,main!$A$3:$I$102,7,FALSE),main!$K$26:$Q$29,4,FALSE)),1,0)</f>
        <v>0</v>
      </c>
      <c r="BE167">
        <f>IF(AND(VLOOKUP(BE$1,main!$A$3:$H$102,7,FALSE)=main!$G$104,VLOOKUP(BE$1,main!$A$3:$H$102,5,FALSE)-VLOOKUP($A167,main!$A$3:$H$102,6,FALSE)&gt;=main!$D$103+VLOOKUP(VLOOKUP(BE$1,main!$A$3:$I$102,7,FALSE),main!$K$26:$Q$29,4,FALSE)),1,0)</f>
        <v>0</v>
      </c>
      <c r="BF167">
        <f>IF(AND(VLOOKUP(BF$1,main!$A$3:$H$102,7,FALSE)=main!$G$104,VLOOKUP(BF$1,main!$A$3:$H$102,5,FALSE)-VLOOKUP($A167,main!$A$3:$H$102,6,FALSE)&gt;=main!$D$103+VLOOKUP(VLOOKUP(BF$1,main!$A$3:$I$102,7,FALSE),main!$K$26:$Q$29,4,FALSE)),1,0)</f>
        <v>0</v>
      </c>
      <c r="BG167">
        <f>IF(AND(VLOOKUP(BG$1,main!$A$3:$H$102,7,FALSE)=main!$G$104,VLOOKUP(BG$1,main!$A$3:$H$102,5,FALSE)-VLOOKUP($A167,main!$A$3:$H$102,6,FALSE)&gt;=main!$D$103+VLOOKUP(VLOOKUP(BG$1,main!$A$3:$I$102,7,FALSE),main!$K$26:$Q$29,4,FALSE)),1,0)</f>
        <v>0</v>
      </c>
      <c r="BH167">
        <f>IF(AND(VLOOKUP(BH$1,main!$A$3:$H$102,7,FALSE)=main!$G$104,VLOOKUP(BH$1,main!$A$3:$H$102,5,FALSE)-VLOOKUP($A167,main!$A$3:$H$102,6,FALSE)&gt;=main!$D$103+VLOOKUP(VLOOKUP(BH$1,main!$A$3:$I$102,7,FALSE),main!$K$26:$Q$29,4,FALSE)),1,0)</f>
        <v>0</v>
      </c>
      <c r="BI167">
        <f>IF(AND(VLOOKUP(BI$1,main!$A$3:$H$102,7,FALSE)=main!$G$104,VLOOKUP(BI$1,main!$A$3:$H$102,5,FALSE)-VLOOKUP($A167,main!$A$3:$H$102,6,FALSE)&gt;=main!$D$103+VLOOKUP(VLOOKUP(BI$1,main!$A$3:$I$102,7,FALSE),main!$K$26:$Q$29,4,FALSE)),1,0)</f>
        <v>0</v>
      </c>
      <c r="BJ167">
        <f>IF(AND(VLOOKUP(BJ$1,main!$A$3:$H$102,7,FALSE)=main!$G$104,VLOOKUP(BJ$1,main!$A$3:$H$102,5,FALSE)-VLOOKUP($A167,main!$A$3:$H$102,6,FALSE)&gt;=main!$D$103+VLOOKUP(VLOOKUP(BJ$1,main!$A$3:$I$102,7,FALSE),main!$K$26:$Q$29,4,FALSE)),1,0)</f>
        <v>0</v>
      </c>
      <c r="BK167">
        <f>IF(AND(VLOOKUP(BK$1,main!$A$3:$H$102,7,FALSE)=main!$G$104,VLOOKUP(BK$1,main!$A$3:$H$102,5,FALSE)-VLOOKUP($A167,main!$A$3:$H$102,6,FALSE)&gt;=main!$D$103+VLOOKUP(VLOOKUP(BK$1,main!$A$3:$I$102,7,FALSE),main!$K$26:$Q$29,4,FALSE)),1,0)</f>
        <v>0</v>
      </c>
      <c r="BL167">
        <f>IF(AND(VLOOKUP(BL$1,main!$A$3:$H$102,7,FALSE)=main!$G$104,VLOOKUP(BL$1,main!$A$3:$H$102,5,FALSE)-VLOOKUP($A167,main!$A$3:$H$102,6,FALSE)&gt;=main!$D$103+VLOOKUP(VLOOKUP(BL$1,main!$A$3:$I$102,7,FALSE),main!$K$26:$Q$29,4,FALSE)),1,0)</f>
        <v>0</v>
      </c>
      <c r="BM167">
        <f>IF(AND(VLOOKUP(BM$1,main!$A$3:$H$102,7,FALSE)=main!$G$104,VLOOKUP(BM$1,main!$A$3:$H$102,5,FALSE)-VLOOKUP($A167,main!$A$3:$H$102,6,FALSE)&gt;=main!$D$103+VLOOKUP(VLOOKUP(BM$1,main!$A$3:$I$102,7,FALSE),main!$K$26:$Q$29,4,FALSE)),1,0)</f>
        <v>0</v>
      </c>
      <c r="BN167">
        <f>IF(AND(VLOOKUP(BN$1,main!$A$3:$H$102,7,FALSE)=main!$G$104,VLOOKUP(BN$1,main!$A$3:$H$102,5,FALSE)-VLOOKUP($A167,main!$A$3:$H$102,6,FALSE)&gt;=main!$D$103+VLOOKUP(VLOOKUP(BN$1,main!$A$3:$I$102,7,FALSE),main!$K$26:$Q$29,4,FALSE)),1,0)</f>
        <v>0</v>
      </c>
      <c r="BO167">
        <f>IF(AND(VLOOKUP(BO$1,main!$A$3:$H$102,7,FALSE)=main!$G$104,VLOOKUP(BO$1,main!$A$3:$H$102,5,FALSE)-VLOOKUP($A167,main!$A$3:$H$102,6,FALSE)&gt;=main!$D$103+VLOOKUP(VLOOKUP(BO$1,main!$A$3:$I$102,7,FALSE),main!$K$26:$Q$29,4,FALSE)),1,0)</f>
        <v>0</v>
      </c>
      <c r="BP167">
        <f>IF(AND(VLOOKUP(BP$1,main!$A$3:$H$102,7,FALSE)=main!$G$104,VLOOKUP(BP$1,main!$A$3:$H$102,5,FALSE)-VLOOKUP($A167,main!$A$3:$H$102,6,FALSE)&gt;=main!$D$103+VLOOKUP(VLOOKUP(BP$1,main!$A$3:$I$102,7,FALSE),main!$K$26:$Q$29,4,FALSE)),1,0)</f>
        <v>0</v>
      </c>
      <c r="BQ167">
        <f>IF(AND(VLOOKUP(BQ$1,main!$A$3:$H$102,7,FALSE)=main!$G$104,VLOOKUP(BQ$1,main!$A$3:$H$102,5,FALSE)-VLOOKUP($A167,main!$A$3:$H$102,6,FALSE)&gt;=main!$D$103+VLOOKUP(VLOOKUP(BQ$1,main!$A$3:$I$102,7,FALSE),main!$K$26:$Q$29,4,FALSE)),1,0)</f>
        <v>0</v>
      </c>
      <c r="BR167">
        <f>IF(AND(VLOOKUP(BR$1,main!$A$3:$H$102,7,FALSE)=main!$G$104,VLOOKUP(BR$1,main!$A$3:$H$102,5,FALSE)-VLOOKUP($A167,main!$A$3:$H$102,6,FALSE)&gt;=main!$D$103+VLOOKUP(VLOOKUP(BR$1,main!$A$3:$I$102,7,FALSE),main!$K$26:$Q$29,4,FALSE)),1,0)</f>
        <v>0</v>
      </c>
      <c r="BS167">
        <f>IF(AND(VLOOKUP(BS$1,main!$A$3:$H$102,7,FALSE)=main!$G$104,VLOOKUP(BS$1,main!$A$3:$H$102,5,FALSE)-VLOOKUP($A167,main!$A$3:$H$102,6,FALSE)&gt;=main!$D$103+VLOOKUP(VLOOKUP(BS$1,main!$A$3:$I$102,7,FALSE),main!$K$26:$Q$29,4,FALSE)),1,0)</f>
        <v>0</v>
      </c>
      <c r="BT167">
        <f>IF(AND(VLOOKUP(BT$1,main!$A$3:$H$102,7,FALSE)=main!$G$104,VLOOKUP(BT$1,main!$A$3:$H$102,5,FALSE)-VLOOKUP($A167,main!$A$3:$H$102,6,FALSE)&gt;=main!$D$103+VLOOKUP(VLOOKUP(BT$1,main!$A$3:$I$102,7,FALSE),main!$K$26:$Q$29,4,FALSE)),1,0)</f>
        <v>0</v>
      </c>
      <c r="BU167">
        <f>IF(AND(VLOOKUP(BU$1,main!$A$3:$H$102,7,FALSE)=main!$G$104,VLOOKUP(BU$1,main!$A$3:$H$102,5,FALSE)-VLOOKUP($A167,main!$A$3:$H$102,6,FALSE)&gt;=main!$D$103+VLOOKUP(VLOOKUP(BU$1,main!$A$3:$I$102,7,FALSE),main!$K$26:$Q$29,4,FALSE)),1,0)</f>
        <v>0</v>
      </c>
      <c r="BV167">
        <f>IF(AND(VLOOKUP(BV$1,main!$A$3:$H$102,7,FALSE)=main!$G$104,VLOOKUP(BV$1,main!$A$3:$H$102,5,FALSE)-VLOOKUP($A167,main!$A$3:$H$102,6,FALSE)&gt;=main!$D$103+VLOOKUP(VLOOKUP(BV$1,main!$A$3:$I$102,7,FALSE),main!$K$26:$Q$29,4,FALSE)),1,0)</f>
        <v>0</v>
      </c>
      <c r="BW167">
        <f>IF(AND(VLOOKUP(BW$1,main!$A$3:$H$102,7,FALSE)=main!$G$104,VLOOKUP(BW$1,main!$A$3:$H$102,5,FALSE)-VLOOKUP($A167,main!$A$3:$H$102,6,FALSE)&gt;=main!$D$103+VLOOKUP(VLOOKUP(BW$1,main!$A$3:$I$102,7,FALSE),main!$K$26:$Q$29,4,FALSE)),1,0)</f>
        <v>0</v>
      </c>
      <c r="BX167">
        <f>IF(AND(VLOOKUP(BX$1,main!$A$3:$H$102,7,FALSE)=main!$G$104,VLOOKUP(BX$1,main!$A$3:$H$102,5,FALSE)-VLOOKUP($A167,main!$A$3:$H$102,6,FALSE)&gt;=main!$D$103+VLOOKUP(VLOOKUP(BX$1,main!$A$3:$I$102,7,FALSE),main!$K$26:$Q$29,4,FALSE)),1,0)</f>
        <v>0</v>
      </c>
      <c r="BY167">
        <f>IF(AND(VLOOKUP(BY$1,main!$A$3:$H$102,7,FALSE)=main!$G$104,VLOOKUP(BY$1,main!$A$3:$H$102,5,FALSE)-VLOOKUP($A167,main!$A$3:$H$102,6,FALSE)&gt;=main!$D$103+VLOOKUP(VLOOKUP(BY$1,main!$A$3:$I$102,7,FALSE),main!$K$26:$Q$29,4,FALSE)),1,0)</f>
        <v>0</v>
      </c>
      <c r="BZ167">
        <f>IF(AND(VLOOKUP(BZ$1,main!$A$3:$H$102,7,FALSE)=main!$G$104,VLOOKUP(BZ$1,main!$A$3:$H$102,5,FALSE)-VLOOKUP($A167,main!$A$3:$H$102,6,FALSE)&gt;=main!$D$103+VLOOKUP(VLOOKUP(BZ$1,main!$A$3:$I$102,7,FALSE),main!$K$26:$Q$29,4,FALSE)),1,0)</f>
        <v>0</v>
      </c>
      <c r="CA167">
        <f>IF(AND(VLOOKUP(CA$1,main!$A$3:$H$102,7,FALSE)=main!$G$104,VLOOKUP(CA$1,main!$A$3:$H$102,5,FALSE)-VLOOKUP($A167,main!$A$3:$H$102,6,FALSE)&gt;=main!$D$103+VLOOKUP(VLOOKUP(CA$1,main!$A$3:$I$102,7,FALSE),main!$K$26:$Q$29,4,FALSE)),1,0)</f>
        <v>0</v>
      </c>
      <c r="CB167">
        <f>IF(AND(VLOOKUP(CB$1,main!$A$3:$H$102,7,FALSE)=main!$G$104,VLOOKUP(CB$1,main!$A$3:$H$102,5,FALSE)-VLOOKUP($A167,main!$A$3:$H$102,6,FALSE)&gt;=main!$D$103+VLOOKUP(VLOOKUP(CB$1,main!$A$3:$I$102,7,FALSE),main!$K$26:$Q$29,4,FALSE)),1,0)</f>
        <v>0</v>
      </c>
      <c r="CC167">
        <f>IF(AND(VLOOKUP(CC$1,main!$A$3:$H$102,7,FALSE)=main!$G$104,VLOOKUP(CC$1,main!$A$3:$H$102,5,FALSE)-VLOOKUP($A167,main!$A$3:$H$102,6,FALSE)&gt;=main!$D$103+VLOOKUP(VLOOKUP(CC$1,main!$A$3:$I$102,7,FALSE),main!$K$26:$Q$29,4,FALSE)),1,0)</f>
        <v>0</v>
      </c>
      <c r="CD167">
        <f>IF(AND(VLOOKUP(CD$1,main!$A$3:$H$102,7,FALSE)=main!$G$104,VLOOKUP(CD$1,main!$A$3:$H$102,5,FALSE)-VLOOKUP($A167,main!$A$3:$H$102,6,FALSE)&gt;=main!$D$103+VLOOKUP(VLOOKUP(CD$1,main!$A$3:$I$102,7,FALSE),main!$K$26:$Q$29,4,FALSE)),1,0)</f>
        <v>0</v>
      </c>
      <c r="CE167">
        <f>IF(AND(VLOOKUP(CE$1,main!$A$3:$H$102,7,FALSE)=main!$G$104,VLOOKUP(CE$1,main!$A$3:$H$102,5,FALSE)-VLOOKUP($A167,main!$A$3:$H$102,6,FALSE)&gt;=main!$D$103+VLOOKUP(VLOOKUP(CE$1,main!$A$3:$I$102,7,FALSE),main!$K$26:$Q$29,4,FALSE)),1,0)</f>
        <v>0</v>
      </c>
      <c r="CF167">
        <f>IF(AND(VLOOKUP(CF$1,main!$A$3:$H$102,7,FALSE)=main!$G$104,VLOOKUP(CF$1,main!$A$3:$H$102,5,FALSE)-VLOOKUP($A167,main!$A$3:$H$102,6,FALSE)&gt;=main!$D$103+VLOOKUP(VLOOKUP(CF$1,main!$A$3:$I$102,7,FALSE),main!$K$26:$Q$29,4,FALSE)),1,0)</f>
        <v>0</v>
      </c>
      <c r="CG167">
        <f>IF(AND(VLOOKUP(CG$1,main!$A$3:$H$102,7,FALSE)=main!$G$104,VLOOKUP(CG$1,main!$A$3:$H$102,5,FALSE)-VLOOKUP($A167,main!$A$3:$H$102,6,FALSE)&gt;=main!$D$103+VLOOKUP(VLOOKUP(CG$1,main!$A$3:$I$102,7,FALSE),main!$K$26:$Q$29,4,FALSE)),1,0)</f>
        <v>0</v>
      </c>
      <c r="CH167">
        <f>IF(AND(VLOOKUP(CH$1,main!$A$3:$H$102,7,FALSE)=main!$G$104,VLOOKUP(CH$1,main!$A$3:$H$102,5,FALSE)-VLOOKUP($A167,main!$A$3:$H$102,6,FALSE)&gt;=main!$D$103+VLOOKUP(VLOOKUP(CH$1,main!$A$3:$I$102,7,FALSE),main!$K$26:$Q$29,4,FALSE)),1,0)</f>
        <v>0</v>
      </c>
      <c r="CI167">
        <f>IF(AND(VLOOKUP(CI$1,main!$A$3:$H$102,7,FALSE)=main!$G$104,VLOOKUP(CI$1,main!$A$3:$H$102,5,FALSE)-VLOOKUP($A167,main!$A$3:$H$102,6,FALSE)&gt;=main!$D$103+VLOOKUP(VLOOKUP(CI$1,main!$A$3:$I$102,7,FALSE),main!$K$26:$Q$29,4,FALSE)),1,0)</f>
        <v>0</v>
      </c>
      <c r="CJ167">
        <f>IF(AND(VLOOKUP(CJ$1,main!$A$3:$H$102,7,FALSE)=main!$G$104,VLOOKUP(CJ$1,main!$A$3:$H$102,5,FALSE)-VLOOKUP($A167,main!$A$3:$H$102,6,FALSE)&gt;=main!$D$103+VLOOKUP(VLOOKUP(CJ$1,main!$A$3:$I$102,7,FALSE),main!$K$26:$Q$29,4,FALSE)),1,0)</f>
        <v>0</v>
      </c>
      <c r="CK167">
        <f>IF(AND(VLOOKUP(CK$1,main!$A$3:$H$102,7,FALSE)=main!$G$104,VLOOKUP(CK$1,main!$A$3:$H$102,5,FALSE)-VLOOKUP($A167,main!$A$3:$H$102,6,FALSE)&gt;=main!$D$103+VLOOKUP(VLOOKUP(CK$1,main!$A$3:$I$102,7,FALSE),main!$K$26:$Q$29,4,FALSE)),1,0)</f>
        <v>0</v>
      </c>
      <c r="CL167">
        <f>IF(AND(VLOOKUP(CL$1,main!$A$3:$H$102,7,FALSE)=main!$G$104,VLOOKUP(CL$1,main!$A$3:$H$102,5,FALSE)-VLOOKUP($A167,main!$A$3:$H$102,6,FALSE)&gt;=main!$D$103+VLOOKUP(VLOOKUP(CL$1,main!$A$3:$I$102,7,FALSE),main!$K$26:$Q$29,4,FALSE)),1,0)</f>
        <v>0</v>
      </c>
      <c r="CM167">
        <f>IF(AND(VLOOKUP(CM$1,main!$A$3:$H$102,7,FALSE)=main!$G$104,VLOOKUP(CM$1,main!$A$3:$H$102,5,FALSE)-VLOOKUP($A167,main!$A$3:$H$102,6,FALSE)&gt;=main!$D$103+VLOOKUP(VLOOKUP(CM$1,main!$A$3:$I$102,7,FALSE),main!$K$26:$Q$29,4,FALSE)),1,0)</f>
        <v>0</v>
      </c>
      <c r="CN167">
        <f>IF(AND(VLOOKUP(CN$1,main!$A$3:$H$102,7,FALSE)=main!$G$104,VLOOKUP(CN$1,main!$A$3:$H$102,5,FALSE)-VLOOKUP($A167,main!$A$3:$H$102,6,FALSE)&gt;=main!$D$103+VLOOKUP(VLOOKUP(CN$1,main!$A$3:$I$102,7,FALSE),main!$K$26:$Q$29,4,FALSE)),1,0)</f>
        <v>0</v>
      </c>
      <c r="CO167">
        <f>IF(AND(VLOOKUP(CO$1,main!$A$3:$H$102,7,FALSE)=main!$G$104,VLOOKUP(CO$1,main!$A$3:$H$102,5,FALSE)-VLOOKUP($A167,main!$A$3:$H$102,6,FALSE)&gt;=main!$D$103+VLOOKUP(VLOOKUP(CO$1,main!$A$3:$I$102,7,FALSE),main!$K$26:$Q$29,4,FALSE)),1,0)</f>
        <v>0</v>
      </c>
      <c r="CP167">
        <f>IF(AND(VLOOKUP(CP$1,main!$A$3:$H$102,7,FALSE)=main!$G$104,VLOOKUP(CP$1,main!$A$3:$H$102,5,FALSE)-VLOOKUP($A167,main!$A$3:$H$102,6,FALSE)&gt;=main!$D$103+VLOOKUP(VLOOKUP(CP$1,main!$A$3:$I$102,7,FALSE),main!$K$26:$Q$29,4,FALSE)),1,0)</f>
        <v>0</v>
      </c>
      <c r="CQ167">
        <f>IF(AND(VLOOKUP(CQ$1,main!$A$3:$H$102,7,FALSE)=main!$G$104,VLOOKUP(CQ$1,main!$A$3:$H$102,5,FALSE)-VLOOKUP($A167,main!$A$3:$H$102,6,FALSE)&gt;=main!$D$103+VLOOKUP(VLOOKUP(CQ$1,main!$A$3:$I$102,7,FALSE),main!$K$26:$Q$29,4,FALSE)),1,0)</f>
        <v>0</v>
      </c>
      <c r="CR167">
        <f>IF(AND(VLOOKUP(CR$1,main!$A$3:$H$102,7,FALSE)=main!$G$104,VLOOKUP(CR$1,main!$A$3:$H$102,5,FALSE)-VLOOKUP($A167,main!$A$3:$H$102,6,FALSE)&gt;=main!$D$103+VLOOKUP(VLOOKUP(CR$1,main!$A$3:$I$102,7,FALSE),main!$K$26:$Q$29,4,FALSE)),1,0)</f>
        <v>0</v>
      </c>
      <c r="CS167">
        <f>IF(AND(VLOOKUP(CS$1,main!$A$3:$H$102,7,FALSE)=main!$G$104,VLOOKUP(CS$1,main!$A$3:$H$102,5,FALSE)-VLOOKUP($A167,main!$A$3:$H$102,6,FALSE)&gt;=main!$D$103+VLOOKUP(VLOOKUP(CS$1,main!$A$3:$I$102,7,FALSE),main!$K$26:$Q$29,4,FALSE)),1,0)</f>
        <v>0</v>
      </c>
      <c r="CT167">
        <f>IF(AND(VLOOKUP(CT$1,main!$A$3:$H$102,7,FALSE)=main!$G$104,VLOOKUP(CT$1,main!$A$3:$H$102,5,FALSE)-VLOOKUP($A167,main!$A$3:$H$102,6,FALSE)&gt;=main!$D$103+VLOOKUP(VLOOKUP(CT$1,main!$A$3:$I$102,7,FALSE),main!$K$26:$Q$29,4,FALSE)),1,0)</f>
        <v>0</v>
      </c>
      <c r="CU167">
        <f>IF(AND(VLOOKUP(CU$1,main!$A$3:$H$102,7,FALSE)=main!$G$104,VLOOKUP(CU$1,main!$A$3:$H$102,5,FALSE)-VLOOKUP($A167,main!$A$3:$H$102,6,FALSE)&gt;=main!$D$103+VLOOKUP(VLOOKUP(CU$1,main!$A$3:$I$102,7,FALSE),main!$K$26:$Q$29,4,FALSE)),1,0)</f>
        <v>0</v>
      </c>
      <c r="CV167">
        <f>IF(AND(VLOOKUP(CV$1,main!$A$3:$H$102,7,FALSE)=main!$G$104,VLOOKUP(CV$1,main!$A$3:$H$102,5,FALSE)-VLOOKUP($A167,main!$A$3:$H$102,6,FALSE)&gt;=main!$D$103+VLOOKUP(VLOOKUP(CV$1,main!$A$3:$I$102,7,FALSE),main!$K$26:$Q$29,4,FALSE)),1,0)</f>
        <v>0</v>
      </c>
      <c r="CW167">
        <f>IF(AND(VLOOKUP(CW$1,main!$A$3:$H$102,7,FALSE)=main!$G$104,VLOOKUP(CW$1,main!$A$3:$H$102,5,FALSE)-VLOOKUP($A167,main!$A$3:$H$102,6,FALSE)&gt;=main!$D$103+VLOOKUP(VLOOKUP(CW$1,main!$A$3:$I$102,7,FALSE),main!$K$26:$Q$29,4,FALSE)),1,0)</f>
        <v>0</v>
      </c>
      <c r="CX167">
        <f>IF(AND(VLOOKUP(CX$1,main!$A$3:$H$102,7,FALSE)=main!$G$104,VLOOKUP(CX$1,main!$A$3:$H$102,5,FALSE)-VLOOKUP($A167,main!$A$3:$H$102,6,FALSE)&gt;=main!$D$103+VLOOKUP(VLOOKUP(CX$1,main!$A$3:$I$102,7,FALSE),main!$K$26:$Q$29,4,FALSE)),1,0)</f>
        <v>0</v>
      </c>
    </row>
    <row r="168" spans="1:102" x14ac:dyDescent="0.25">
      <c r="A168" s="1">
        <v>65</v>
      </c>
      <c r="B168">
        <v>0</v>
      </c>
      <c r="C168">
        <f>IF(AND(VLOOKUP(C$1,main!$A$3:$H$102,7,FALSE)=main!$G$104,VLOOKUP(C$1,main!$A$3:$H$102,5,FALSE)-VLOOKUP($A168,main!$A$3:$H$102,6,FALSE)&gt;=main!$D$103+VLOOKUP(VLOOKUP(C$1,main!$A$3:$I$102,7,FALSE),main!$K$26:$Q$29,4,FALSE)),1,0)</f>
        <v>0</v>
      </c>
      <c r="D168">
        <f>IF(AND(VLOOKUP(D$1,main!$A$3:$H$102,7,FALSE)=main!$G$104,VLOOKUP(D$1,main!$A$3:$H$102,5,FALSE)-VLOOKUP($A168,main!$A$3:$H$102,6,FALSE)&gt;=main!$D$103+VLOOKUP(VLOOKUP(D$1,main!$A$3:$I$102,7,FALSE),main!$K$26:$Q$29,4,FALSE)),1,0)</f>
        <v>0</v>
      </c>
      <c r="E168">
        <f>IF(AND(VLOOKUP(E$1,main!$A$3:$H$102,7,FALSE)=main!$G$104,VLOOKUP(E$1,main!$A$3:$H$102,5,FALSE)-VLOOKUP($A168,main!$A$3:$H$102,6,FALSE)&gt;=main!$D$103+VLOOKUP(VLOOKUP(E$1,main!$A$3:$I$102,7,FALSE),main!$K$26:$Q$29,4,FALSE)),1,0)</f>
        <v>1</v>
      </c>
      <c r="F168">
        <f>IF(AND(VLOOKUP(F$1,main!$A$3:$H$102,7,FALSE)=main!$G$104,VLOOKUP(F$1,main!$A$3:$H$102,5,FALSE)-VLOOKUP($A168,main!$A$3:$H$102,6,FALSE)&gt;=main!$D$103+VLOOKUP(VLOOKUP(F$1,main!$A$3:$I$102,7,FALSE),main!$K$26:$Q$29,4,FALSE)),1,0)</f>
        <v>1</v>
      </c>
      <c r="G168">
        <f>IF(AND(VLOOKUP(G$1,main!$A$3:$H$102,7,FALSE)=main!$G$104,VLOOKUP(G$1,main!$A$3:$H$102,5,FALSE)-VLOOKUP($A168,main!$A$3:$H$102,6,FALSE)&gt;=main!$D$103+VLOOKUP(VLOOKUP(G$1,main!$A$3:$I$102,7,FALSE),main!$K$26:$Q$29,4,FALSE)),1,0)</f>
        <v>1</v>
      </c>
      <c r="H168">
        <f>IF(AND(VLOOKUP(H$1,main!$A$3:$H$102,7,FALSE)=main!$G$104,VLOOKUP(H$1,main!$A$3:$H$102,5,FALSE)-VLOOKUP($A168,main!$A$3:$H$102,6,FALSE)&gt;=main!$D$103+VLOOKUP(VLOOKUP(H$1,main!$A$3:$I$102,7,FALSE),main!$K$26:$Q$29,4,FALSE)),1,0)</f>
        <v>1</v>
      </c>
      <c r="I168">
        <f>IF(AND(VLOOKUP(I$1,main!$A$3:$H$102,7,FALSE)=main!$G$104,VLOOKUP(I$1,main!$A$3:$H$102,5,FALSE)-VLOOKUP($A168,main!$A$3:$H$102,6,FALSE)&gt;=main!$D$103+VLOOKUP(VLOOKUP(I$1,main!$A$3:$I$102,7,FALSE),main!$K$26:$Q$29,4,FALSE)),1,0)</f>
        <v>1</v>
      </c>
      <c r="J168">
        <f>IF(AND(VLOOKUP(J$1,main!$A$3:$H$102,7,FALSE)=main!$G$104,VLOOKUP(J$1,main!$A$3:$H$102,5,FALSE)-VLOOKUP($A168,main!$A$3:$H$102,6,FALSE)&gt;=main!$D$103+VLOOKUP(VLOOKUP(J$1,main!$A$3:$I$102,7,FALSE),main!$K$26:$Q$29,4,FALSE)),1,0)</f>
        <v>1</v>
      </c>
      <c r="K168">
        <f>IF(AND(VLOOKUP(K$1,main!$A$3:$H$102,7,FALSE)=main!$G$104,VLOOKUP(K$1,main!$A$3:$H$102,5,FALSE)-VLOOKUP($A168,main!$A$3:$H$102,6,FALSE)&gt;=main!$D$103+VLOOKUP(VLOOKUP(K$1,main!$A$3:$I$102,7,FALSE),main!$K$26:$Q$29,4,FALSE)),1,0)</f>
        <v>1</v>
      </c>
      <c r="L168">
        <f>IF(AND(VLOOKUP(L$1,main!$A$3:$H$102,7,FALSE)=main!$G$104,VLOOKUP(L$1,main!$A$3:$H$102,5,FALSE)-VLOOKUP($A168,main!$A$3:$H$102,6,FALSE)&gt;=main!$D$103+VLOOKUP(VLOOKUP(L$1,main!$A$3:$I$102,7,FALSE),main!$K$26:$Q$29,4,FALSE)),1,0)</f>
        <v>1</v>
      </c>
      <c r="M168">
        <f>IF(AND(VLOOKUP(M$1,main!$A$3:$H$102,7,FALSE)=main!$G$104,VLOOKUP(M$1,main!$A$3:$H$102,5,FALSE)-VLOOKUP($A168,main!$A$3:$H$102,6,FALSE)&gt;=main!$D$103+VLOOKUP(VLOOKUP(M$1,main!$A$3:$I$102,7,FALSE),main!$K$26:$Q$29,4,FALSE)),1,0)</f>
        <v>0</v>
      </c>
      <c r="N168">
        <f>IF(AND(VLOOKUP(N$1,main!$A$3:$H$102,7,FALSE)=main!$G$104,VLOOKUP(N$1,main!$A$3:$H$102,5,FALSE)-VLOOKUP($A168,main!$A$3:$H$102,6,FALSE)&gt;=main!$D$103+VLOOKUP(VLOOKUP(N$1,main!$A$3:$I$102,7,FALSE),main!$K$26:$Q$29,4,FALSE)),1,0)</f>
        <v>0</v>
      </c>
      <c r="O168">
        <f>IF(AND(VLOOKUP(O$1,main!$A$3:$H$102,7,FALSE)=main!$G$104,VLOOKUP(O$1,main!$A$3:$H$102,5,FALSE)-VLOOKUP($A168,main!$A$3:$H$102,6,FALSE)&gt;=main!$D$103+VLOOKUP(VLOOKUP(O$1,main!$A$3:$I$102,7,FALSE),main!$K$26:$Q$29,4,FALSE)),1,0)</f>
        <v>1</v>
      </c>
      <c r="P168">
        <f>IF(AND(VLOOKUP(P$1,main!$A$3:$H$102,7,FALSE)=main!$G$104,VLOOKUP(P$1,main!$A$3:$H$102,5,FALSE)-VLOOKUP($A168,main!$A$3:$H$102,6,FALSE)&gt;=main!$D$103+VLOOKUP(VLOOKUP(P$1,main!$A$3:$I$102,7,FALSE),main!$K$26:$Q$29,4,FALSE)),1,0)</f>
        <v>1</v>
      </c>
      <c r="Q168">
        <f>IF(AND(VLOOKUP(Q$1,main!$A$3:$H$102,7,FALSE)=main!$G$104,VLOOKUP(Q$1,main!$A$3:$H$102,5,FALSE)-VLOOKUP($A168,main!$A$3:$H$102,6,FALSE)&gt;=main!$D$103+VLOOKUP(VLOOKUP(Q$1,main!$A$3:$I$102,7,FALSE),main!$K$26:$Q$29,4,FALSE)),1,0)</f>
        <v>1</v>
      </c>
      <c r="R168">
        <f>IF(AND(VLOOKUP(R$1,main!$A$3:$H$102,7,FALSE)=main!$G$104,VLOOKUP(R$1,main!$A$3:$H$102,5,FALSE)-VLOOKUP($A168,main!$A$3:$H$102,6,FALSE)&gt;=main!$D$103+VLOOKUP(VLOOKUP(R$1,main!$A$3:$I$102,7,FALSE),main!$K$26:$Q$29,4,FALSE)),1,0)</f>
        <v>1</v>
      </c>
      <c r="S168">
        <f>IF(AND(VLOOKUP(S$1,main!$A$3:$H$102,7,FALSE)=main!$G$104,VLOOKUP(S$1,main!$A$3:$H$102,5,FALSE)-VLOOKUP($A168,main!$A$3:$H$102,6,FALSE)&gt;=main!$D$103+VLOOKUP(VLOOKUP(S$1,main!$A$3:$I$102,7,FALSE),main!$K$26:$Q$29,4,FALSE)),1,0)</f>
        <v>1</v>
      </c>
      <c r="T168">
        <f>IF(AND(VLOOKUP(T$1,main!$A$3:$H$102,7,FALSE)=main!$G$104,VLOOKUP(T$1,main!$A$3:$H$102,5,FALSE)-VLOOKUP($A168,main!$A$3:$H$102,6,FALSE)&gt;=main!$D$103+VLOOKUP(VLOOKUP(T$1,main!$A$3:$I$102,7,FALSE),main!$K$26:$Q$29,4,FALSE)),1,0)</f>
        <v>1</v>
      </c>
      <c r="U168">
        <f>IF(AND(VLOOKUP(U$1,main!$A$3:$H$102,7,FALSE)=main!$G$104,VLOOKUP(U$1,main!$A$3:$H$102,5,FALSE)-VLOOKUP($A168,main!$A$3:$H$102,6,FALSE)&gt;=main!$D$103+VLOOKUP(VLOOKUP(U$1,main!$A$3:$I$102,7,FALSE),main!$K$26:$Q$29,4,FALSE)),1,0)</f>
        <v>1</v>
      </c>
      <c r="V168">
        <f>IF(AND(VLOOKUP(V$1,main!$A$3:$H$102,7,FALSE)=main!$G$104,VLOOKUP(V$1,main!$A$3:$H$102,5,FALSE)-VLOOKUP($A168,main!$A$3:$H$102,6,FALSE)&gt;=main!$D$103+VLOOKUP(VLOOKUP(V$1,main!$A$3:$I$102,7,FALSE),main!$K$26:$Q$29,4,FALSE)),1,0)</f>
        <v>1</v>
      </c>
      <c r="W168">
        <f>IF(AND(VLOOKUP(W$1,main!$A$3:$H$102,7,FALSE)=main!$G$104,VLOOKUP(W$1,main!$A$3:$H$102,5,FALSE)-VLOOKUP($A168,main!$A$3:$H$102,6,FALSE)&gt;=main!$D$103+VLOOKUP(VLOOKUP(W$1,main!$A$3:$I$102,7,FALSE),main!$K$26:$Q$29,4,FALSE)),1,0)</f>
        <v>0</v>
      </c>
      <c r="X168">
        <f>IF(AND(VLOOKUP(X$1,main!$A$3:$H$102,7,FALSE)=main!$G$104,VLOOKUP(X$1,main!$A$3:$H$102,5,FALSE)-VLOOKUP($A168,main!$A$3:$H$102,6,FALSE)&gt;=main!$D$103+VLOOKUP(VLOOKUP(X$1,main!$A$3:$I$102,7,FALSE),main!$K$26:$Q$29,4,FALSE)),1,0)</f>
        <v>1</v>
      </c>
      <c r="Y168">
        <f>IF(AND(VLOOKUP(Y$1,main!$A$3:$H$102,7,FALSE)=main!$G$104,VLOOKUP(Y$1,main!$A$3:$H$102,5,FALSE)-VLOOKUP($A168,main!$A$3:$H$102,6,FALSE)&gt;=main!$D$103+VLOOKUP(VLOOKUP(Y$1,main!$A$3:$I$102,7,FALSE),main!$K$26:$Q$29,4,FALSE)),1,0)</f>
        <v>1</v>
      </c>
      <c r="Z168">
        <f>IF(AND(VLOOKUP(Z$1,main!$A$3:$H$102,7,FALSE)=main!$G$104,VLOOKUP(Z$1,main!$A$3:$H$102,5,FALSE)-VLOOKUP($A168,main!$A$3:$H$102,6,FALSE)&gt;=main!$D$103+VLOOKUP(VLOOKUP(Z$1,main!$A$3:$I$102,7,FALSE),main!$K$26:$Q$29,4,FALSE)),1,0)</f>
        <v>1</v>
      </c>
      <c r="AA168">
        <f>IF(AND(VLOOKUP(AA$1,main!$A$3:$H$102,7,FALSE)=main!$G$104,VLOOKUP(AA$1,main!$A$3:$H$102,5,FALSE)-VLOOKUP($A168,main!$A$3:$H$102,6,FALSE)&gt;=main!$D$103+VLOOKUP(VLOOKUP(AA$1,main!$A$3:$I$102,7,FALSE),main!$K$26:$Q$29,4,FALSE)),1,0)</f>
        <v>1</v>
      </c>
      <c r="AB168">
        <f>IF(AND(VLOOKUP(AB$1,main!$A$3:$H$102,7,FALSE)=main!$G$104,VLOOKUP(AB$1,main!$A$3:$H$102,5,FALSE)-VLOOKUP($A168,main!$A$3:$H$102,6,FALSE)&gt;=main!$D$103+VLOOKUP(VLOOKUP(AB$1,main!$A$3:$I$102,7,FALSE),main!$K$26:$Q$29,4,FALSE)),1,0)</f>
        <v>0</v>
      </c>
      <c r="AC168">
        <f>IF(AND(VLOOKUP(AC$1,main!$A$3:$H$102,7,FALSE)=main!$G$104,VLOOKUP(AC$1,main!$A$3:$H$102,5,FALSE)-VLOOKUP($A168,main!$A$3:$H$102,6,FALSE)&gt;=main!$D$103+VLOOKUP(VLOOKUP(AC$1,main!$A$3:$I$102,7,FALSE),main!$K$26:$Q$29,4,FALSE)),1,0)</f>
        <v>0</v>
      </c>
      <c r="AD168">
        <f>IF(AND(VLOOKUP(AD$1,main!$A$3:$H$102,7,FALSE)=main!$G$104,VLOOKUP(AD$1,main!$A$3:$H$102,5,FALSE)-VLOOKUP($A168,main!$A$3:$H$102,6,FALSE)&gt;=main!$D$103+VLOOKUP(VLOOKUP(AD$1,main!$A$3:$I$102,7,FALSE),main!$K$26:$Q$29,4,FALSE)),1,0)</f>
        <v>1</v>
      </c>
      <c r="AE168">
        <f>IF(AND(VLOOKUP(AE$1,main!$A$3:$H$102,7,FALSE)=main!$G$104,VLOOKUP(AE$1,main!$A$3:$H$102,5,FALSE)-VLOOKUP($A168,main!$A$3:$H$102,6,FALSE)&gt;=main!$D$103+VLOOKUP(VLOOKUP(AE$1,main!$A$3:$I$102,7,FALSE),main!$K$26:$Q$29,4,FALSE)),1,0)</f>
        <v>1</v>
      </c>
      <c r="AF168">
        <f>IF(AND(VLOOKUP(AF$1,main!$A$3:$H$102,7,FALSE)=main!$G$104,VLOOKUP(AF$1,main!$A$3:$H$102,5,FALSE)-VLOOKUP($A168,main!$A$3:$H$102,6,FALSE)&gt;=main!$D$103+VLOOKUP(VLOOKUP(AF$1,main!$A$3:$I$102,7,FALSE),main!$K$26:$Q$29,4,FALSE)),1,0)</f>
        <v>1</v>
      </c>
      <c r="AG168">
        <f>IF(AND(VLOOKUP(AG$1,main!$A$3:$H$102,7,FALSE)=main!$G$104,VLOOKUP(AG$1,main!$A$3:$H$102,5,FALSE)-VLOOKUP($A168,main!$A$3:$H$102,6,FALSE)&gt;=main!$D$103+VLOOKUP(VLOOKUP(AG$1,main!$A$3:$I$102,7,FALSE),main!$K$26:$Q$29,4,FALSE)),1,0)</f>
        <v>0</v>
      </c>
      <c r="AH168">
        <f>IF(AND(VLOOKUP(AH$1,main!$A$3:$H$102,7,FALSE)=main!$G$104,VLOOKUP(AH$1,main!$A$3:$H$102,5,FALSE)-VLOOKUP($A168,main!$A$3:$H$102,6,FALSE)&gt;=main!$D$103+VLOOKUP(VLOOKUP(AH$1,main!$A$3:$I$102,7,FALSE),main!$K$26:$Q$29,4,FALSE)),1,0)</f>
        <v>0</v>
      </c>
      <c r="AI168">
        <f>IF(AND(VLOOKUP(AI$1,main!$A$3:$H$102,7,FALSE)=main!$G$104,VLOOKUP(AI$1,main!$A$3:$H$102,5,FALSE)-VLOOKUP($A168,main!$A$3:$H$102,6,FALSE)&gt;=main!$D$103+VLOOKUP(VLOOKUP(AI$1,main!$A$3:$I$102,7,FALSE),main!$K$26:$Q$29,4,FALSE)),1,0)</f>
        <v>0</v>
      </c>
      <c r="AJ168">
        <f>IF(AND(VLOOKUP(AJ$1,main!$A$3:$H$102,7,FALSE)=main!$G$104,VLOOKUP(AJ$1,main!$A$3:$H$102,5,FALSE)-VLOOKUP($A168,main!$A$3:$H$102,6,FALSE)&gt;=main!$D$103+VLOOKUP(VLOOKUP(AJ$1,main!$A$3:$I$102,7,FALSE),main!$K$26:$Q$29,4,FALSE)),1,0)</f>
        <v>0</v>
      </c>
      <c r="AK168">
        <f>IF(AND(VLOOKUP(AK$1,main!$A$3:$H$102,7,FALSE)=main!$G$104,VLOOKUP(AK$1,main!$A$3:$H$102,5,FALSE)-VLOOKUP($A168,main!$A$3:$H$102,6,FALSE)&gt;=main!$D$103+VLOOKUP(VLOOKUP(AK$1,main!$A$3:$I$102,7,FALSE),main!$K$26:$Q$29,4,FALSE)),1,0)</f>
        <v>0</v>
      </c>
      <c r="AL168">
        <f>IF(AND(VLOOKUP(AL$1,main!$A$3:$H$102,7,FALSE)=main!$G$104,VLOOKUP(AL$1,main!$A$3:$H$102,5,FALSE)-VLOOKUP($A168,main!$A$3:$H$102,6,FALSE)&gt;=main!$D$103+VLOOKUP(VLOOKUP(AL$1,main!$A$3:$I$102,7,FALSE),main!$K$26:$Q$29,4,FALSE)),1,0)</f>
        <v>0</v>
      </c>
      <c r="AM168">
        <f>IF(AND(VLOOKUP(AM$1,main!$A$3:$H$102,7,FALSE)=main!$G$104,VLOOKUP(AM$1,main!$A$3:$H$102,5,FALSE)-VLOOKUP($A168,main!$A$3:$H$102,6,FALSE)&gt;=main!$D$103+VLOOKUP(VLOOKUP(AM$1,main!$A$3:$I$102,7,FALSE),main!$K$26:$Q$29,4,FALSE)),1,0)</f>
        <v>0</v>
      </c>
      <c r="AN168">
        <f>IF(AND(VLOOKUP(AN$1,main!$A$3:$H$102,7,FALSE)=main!$G$104,VLOOKUP(AN$1,main!$A$3:$H$102,5,FALSE)-VLOOKUP($A168,main!$A$3:$H$102,6,FALSE)&gt;=main!$D$103+VLOOKUP(VLOOKUP(AN$1,main!$A$3:$I$102,7,FALSE),main!$K$26:$Q$29,4,FALSE)),1,0)</f>
        <v>0</v>
      </c>
      <c r="AO168">
        <f>IF(AND(VLOOKUP(AO$1,main!$A$3:$H$102,7,FALSE)=main!$G$104,VLOOKUP(AO$1,main!$A$3:$H$102,5,FALSE)-VLOOKUP($A168,main!$A$3:$H$102,6,FALSE)&gt;=main!$D$103+VLOOKUP(VLOOKUP(AO$1,main!$A$3:$I$102,7,FALSE),main!$K$26:$Q$29,4,FALSE)),1,0)</f>
        <v>0</v>
      </c>
      <c r="AP168">
        <f>IF(AND(VLOOKUP(AP$1,main!$A$3:$H$102,7,FALSE)=main!$G$104,VLOOKUP(AP$1,main!$A$3:$H$102,5,FALSE)-VLOOKUP($A168,main!$A$3:$H$102,6,FALSE)&gt;=main!$D$103+VLOOKUP(VLOOKUP(AP$1,main!$A$3:$I$102,7,FALSE),main!$K$26:$Q$29,4,FALSE)),1,0)</f>
        <v>0</v>
      </c>
      <c r="AQ168">
        <f>IF(AND(VLOOKUP(AQ$1,main!$A$3:$H$102,7,FALSE)=main!$G$104,VLOOKUP(AQ$1,main!$A$3:$H$102,5,FALSE)-VLOOKUP($A168,main!$A$3:$H$102,6,FALSE)&gt;=main!$D$103+VLOOKUP(VLOOKUP(AQ$1,main!$A$3:$I$102,7,FALSE),main!$K$26:$Q$29,4,FALSE)),1,0)</f>
        <v>0</v>
      </c>
      <c r="AR168">
        <f>IF(AND(VLOOKUP(AR$1,main!$A$3:$H$102,7,FALSE)=main!$G$104,VLOOKUP(AR$1,main!$A$3:$H$102,5,FALSE)-VLOOKUP($A168,main!$A$3:$H$102,6,FALSE)&gt;=main!$D$103+VLOOKUP(VLOOKUP(AR$1,main!$A$3:$I$102,7,FALSE),main!$K$26:$Q$29,4,FALSE)),1,0)</f>
        <v>0</v>
      </c>
      <c r="AS168">
        <f>IF(AND(VLOOKUP(AS$1,main!$A$3:$H$102,7,FALSE)=main!$G$104,VLOOKUP(AS$1,main!$A$3:$H$102,5,FALSE)-VLOOKUP($A168,main!$A$3:$H$102,6,FALSE)&gt;=main!$D$103+VLOOKUP(VLOOKUP(AS$1,main!$A$3:$I$102,7,FALSE),main!$K$26:$Q$29,4,FALSE)),1,0)</f>
        <v>0</v>
      </c>
      <c r="AT168">
        <f>IF(AND(VLOOKUP(AT$1,main!$A$3:$H$102,7,FALSE)=main!$G$104,VLOOKUP(AT$1,main!$A$3:$H$102,5,FALSE)-VLOOKUP($A168,main!$A$3:$H$102,6,FALSE)&gt;=main!$D$103+VLOOKUP(VLOOKUP(AT$1,main!$A$3:$I$102,7,FALSE),main!$K$26:$Q$29,4,FALSE)),1,0)</f>
        <v>0</v>
      </c>
      <c r="AU168">
        <f>IF(AND(VLOOKUP(AU$1,main!$A$3:$H$102,7,FALSE)=main!$G$104,VLOOKUP(AU$1,main!$A$3:$H$102,5,FALSE)-VLOOKUP($A168,main!$A$3:$H$102,6,FALSE)&gt;=main!$D$103+VLOOKUP(VLOOKUP(AU$1,main!$A$3:$I$102,7,FALSE),main!$K$26:$Q$29,4,FALSE)),1,0)</f>
        <v>0</v>
      </c>
      <c r="AV168">
        <f>IF(AND(VLOOKUP(AV$1,main!$A$3:$H$102,7,FALSE)=main!$G$104,VLOOKUP(AV$1,main!$A$3:$H$102,5,FALSE)-VLOOKUP($A168,main!$A$3:$H$102,6,FALSE)&gt;=main!$D$103+VLOOKUP(VLOOKUP(AV$1,main!$A$3:$I$102,7,FALSE),main!$K$26:$Q$29,4,FALSE)),1,0)</f>
        <v>0</v>
      </c>
      <c r="AW168">
        <f>IF(AND(VLOOKUP(AW$1,main!$A$3:$H$102,7,FALSE)=main!$G$104,VLOOKUP(AW$1,main!$A$3:$H$102,5,FALSE)-VLOOKUP($A168,main!$A$3:$H$102,6,FALSE)&gt;=main!$D$103+VLOOKUP(VLOOKUP(AW$1,main!$A$3:$I$102,7,FALSE),main!$K$26:$Q$29,4,FALSE)),1,0)</f>
        <v>0</v>
      </c>
      <c r="AX168">
        <f>IF(AND(VLOOKUP(AX$1,main!$A$3:$H$102,7,FALSE)=main!$G$104,VLOOKUP(AX$1,main!$A$3:$H$102,5,FALSE)-VLOOKUP($A168,main!$A$3:$H$102,6,FALSE)&gt;=main!$D$103+VLOOKUP(VLOOKUP(AX$1,main!$A$3:$I$102,7,FALSE),main!$K$26:$Q$29,4,FALSE)),1,0)</f>
        <v>0</v>
      </c>
      <c r="AY168">
        <f>IF(AND(VLOOKUP(AY$1,main!$A$3:$H$102,7,FALSE)=main!$G$104,VLOOKUP(AY$1,main!$A$3:$H$102,5,FALSE)-VLOOKUP($A168,main!$A$3:$H$102,6,FALSE)&gt;=main!$D$103+VLOOKUP(VLOOKUP(AY$1,main!$A$3:$I$102,7,FALSE),main!$K$26:$Q$29,4,FALSE)),1,0)</f>
        <v>0</v>
      </c>
      <c r="AZ168">
        <f>IF(AND(VLOOKUP(AZ$1,main!$A$3:$H$102,7,FALSE)=main!$G$104,VLOOKUP(AZ$1,main!$A$3:$H$102,5,FALSE)-VLOOKUP($A168,main!$A$3:$H$102,6,FALSE)&gt;=main!$D$103+VLOOKUP(VLOOKUP(AZ$1,main!$A$3:$I$102,7,FALSE),main!$K$26:$Q$29,4,FALSE)),1,0)</f>
        <v>0</v>
      </c>
      <c r="BA168">
        <f>IF(AND(VLOOKUP(BA$1,main!$A$3:$H$102,7,FALSE)=main!$G$104,VLOOKUP(BA$1,main!$A$3:$H$102,5,FALSE)-VLOOKUP($A168,main!$A$3:$H$102,6,FALSE)&gt;=main!$D$103+VLOOKUP(VLOOKUP(BA$1,main!$A$3:$I$102,7,FALSE),main!$K$26:$Q$29,4,FALSE)),1,0)</f>
        <v>0</v>
      </c>
      <c r="BB168">
        <f>IF(AND(VLOOKUP(BB$1,main!$A$3:$H$102,7,FALSE)=main!$G$104,VLOOKUP(BB$1,main!$A$3:$H$102,5,FALSE)-VLOOKUP($A168,main!$A$3:$H$102,6,FALSE)&gt;=main!$D$103+VLOOKUP(VLOOKUP(BB$1,main!$A$3:$I$102,7,FALSE),main!$K$26:$Q$29,4,FALSE)),1,0)</f>
        <v>0</v>
      </c>
      <c r="BC168">
        <f>IF(AND(VLOOKUP(BC$1,main!$A$3:$H$102,7,FALSE)=main!$G$104,VLOOKUP(BC$1,main!$A$3:$H$102,5,FALSE)-VLOOKUP($A168,main!$A$3:$H$102,6,FALSE)&gt;=main!$D$103+VLOOKUP(VLOOKUP(BC$1,main!$A$3:$I$102,7,FALSE),main!$K$26:$Q$29,4,FALSE)),1,0)</f>
        <v>0</v>
      </c>
      <c r="BD168">
        <f>IF(AND(VLOOKUP(BD$1,main!$A$3:$H$102,7,FALSE)=main!$G$104,VLOOKUP(BD$1,main!$A$3:$H$102,5,FALSE)-VLOOKUP($A168,main!$A$3:$H$102,6,FALSE)&gt;=main!$D$103+VLOOKUP(VLOOKUP(BD$1,main!$A$3:$I$102,7,FALSE),main!$K$26:$Q$29,4,FALSE)),1,0)</f>
        <v>0</v>
      </c>
      <c r="BE168">
        <f>IF(AND(VLOOKUP(BE$1,main!$A$3:$H$102,7,FALSE)=main!$G$104,VLOOKUP(BE$1,main!$A$3:$H$102,5,FALSE)-VLOOKUP($A168,main!$A$3:$H$102,6,FALSE)&gt;=main!$D$103+VLOOKUP(VLOOKUP(BE$1,main!$A$3:$I$102,7,FALSE),main!$K$26:$Q$29,4,FALSE)),1,0)</f>
        <v>0</v>
      </c>
      <c r="BF168">
        <f>IF(AND(VLOOKUP(BF$1,main!$A$3:$H$102,7,FALSE)=main!$G$104,VLOOKUP(BF$1,main!$A$3:$H$102,5,FALSE)-VLOOKUP($A168,main!$A$3:$H$102,6,FALSE)&gt;=main!$D$103+VLOOKUP(VLOOKUP(BF$1,main!$A$3:$I$102,7,FALSE),main!$K$26:$Q$29,4,FALSE)),1,0)</f>
        <v>0</v>
      </c>
      <c r="BG168">
        <f>IF(AND(VLOOKUP(BG$1,main!$A$3:$H$102,7,FALSE)=main!$G$104,VLOOKUP(BG$1,main!$A$3:$H$102,5,FALSE)-VLOOKUP($A168,main!$A$3:$H$102,6,FALSE)&gt;=main!$D$103+VLOOKUP(VLOOKUP(BG$1,main!$A$3:$I$102,7,FALSE),main!$K$26:$Q$29,4,FALSE)),1,0)</f>
        <v>0</v>
      </c>
      <c r="BH168">
        <f>IF(AND(VLOOKUP(BH$1,main!$A$3:$H$102,7,FALSE)=main!$G$104,VLOOKUP(BH$1,main!$A$3:$H$102,5,FALSE)-VLOOKUP($A168,main!$A$3:$H$102,6,FALSE)&gt;=main!$D$103+VLOOKUP(VLOOKUP(BH$1,main!$A$3:$I$102,7,FALSE),main!$K$26:$Q$29,4,FALSE)),1,0)</f>
        <v>0</v>
      </c>
      <c r="BI168">
        <f>IF(AND(VLOOKUP(BI$1,main!$A$3:$H$102,7,FALSE)=main!$G$104,VLOOKUP(BI$1,main!$A$3:$H$102,5,FALSE)-VLOOKUP($A168,main!$A$3:$H$102,6,FALSE)&gt;=main!$D$103+VLOOKUP(VLOOKUP(BI$1,main!$A$3:$I$102,7,FALSE),main!$K$26:$Q$29,4,FALSE)),1,0)</f>
        <v>0</v>
      </c>
      <c r="BJ168">
        <f>IF(AND(VLOOKUP(BJ$1,main!$A$3:$H$102,7,FALSE)=main!$G$104,VLOOKUP(BJ$1,main!$A$3:$H$102,5,FALSE)-VLOOKUP($A168,main!$A$3:$H$102,6,FALSE)&gt;=main!$D$103+VLOOKUP(VLOOKUP(BJ$1,main!$A$3:$I$102,7,FALSE),main!$K$26:$Q$29,4,FALSE)),1,0)</f>
        <v>0</v>
      </c>
      <c r="BK168">
        <f>IF(AND(VLOOKUP(BK$1,main!$A$3:$H$102,7,FALSE)=main!$G$104,VLOOKUP(BK$1,main!$A$3:$H$102,5,FALSE)-VLOOKUP($A168,main!$A$3:$H$102,6,FALSE)&gt;=main!$D$103+VLOOKUP(VLOOKUP(BK$1,main!$A$3:$I$102,7,FALSE),main!$K$26:$Q$29,4,FALSE)),1,0)</f>
        <v>0</v>
      </c>
      <c r="BL168">
        <f>IF(AND(VLOOKUP(BL$1,main!$A$3:$H$102,7,FALSE)=main!$G$104,VLOOKUP(BL$1,main!$A$3:$H$102,5,FALSE)-VLOOKUP($A168,main!$A$3:$H$102,6,FALSE)&gt;=main!$D$103+VLOOKUP(VLOOKUP(BL$1,main!$A$3:$I$102,7,FALSE),main!$K$26:$Q$29,4,FALSE)),1,0)</f>
        <v>0</v>
      </c>
      <c r="BM168">
        <f>IF(AND(VLOOKUP(BM$1,main!$A$3:$H$102,7,FALSE)=main!$G$104,VLOOKUP(BM$1,main!$A$3:$H$102,5,FALSE)-VLOOKUP($A168,main!$A$3:$H$102,6,FALSE)&gt;=main!$D$103+VLOOKUP(VLOOKUP(BM$1,main!$A$3:$I$102,7,FALSE),main!$K$26:$Q$29,4,FALSE)),1,0)</f>
        <v>0</v>
      </c>
      <c r="BN168">
        <f>IF(AND(VLOOKUP(BN$1,main!$A$3:$H$102,7,FALSE)=main!$G$104,VLOOKUP(BN$1,main!$A$3:$H$102,5,FALSE)-VLOOKUP($A168,main!$A$3:$H$102,6,FALSE)&gt;=main!$D$103+VLOOKUP(VLOOKUP(BN$1,main!$A$3:$I$102,7,FALSE),main!$K$26:$Q$29,4,FALSE)),1,0)</f>
        <v>0</v>
      </c>
      <c r="BO168">
        <f>IF(AND(VLOOKUP(BO$1,main!$A$3:$H$102,7,FALSE)=main!$G$104,VLOOKUP(BO$1,main!$A$3:$H$102,5,FALSE)-VLOOKUP($A168,main!$A$3:$H$102,6,FALSE)&gt;=main!$D$103+VLOOKUP(VLOOKUP(BO$1,main!$A$3:$I$102,7,FALSE),main!$K$26:$Q$29,4,FALSE)),1,0)</f>
        <v>0</v>
      </c>
      <c r="BP168">
        <f>IF(AND(VLOOKUP(BP$1,main!$A$3:$H$102,7,FALSE)=main!$G$104,VLOOKUP(BP$1,main!$A$3:$H$102,5,FALSE)-VLOOKUP($A168,main!$A$3:$H$102,6,FALSE)&gt;=main!$D$103+VLOOKUP(VLOOKUP(BP$1,main!$A$3:$I$102,7,FALSE),main!$K$26:$Q$29,4,FALSE)),1,0)</f>
        <v>0</v>
      </c>
      <c r="BQ168">
        <f>IF(AND(VLOOKUP(BQ$1,main!$A$3:$H$102,7,FALSE)=main!$G$104,VLOOKUP(BQ$1,main!$A$3:$H$102,5,FALSE)-VLOOKUP($A168,main!$A$3:$H$102,6,FALSE)&gt;=main!$D$103+VLOOKUP(VLOOKUP(BQ$1,main!$A$3:$I$102,7,FALSE),main!$K$26:$Q$29,4,FALSE)),1,0)</f>
        <v>0</v>
      </c>
      <c r="BR168">
        <f>IF(AND(VLOOKUP(BR$1,main!$A$3:$H$102,7,FALSE)=main!$G$104,VLOOKUP(BR$1,main!$A$3:$H$102,5,FALSE)-VLOOKUP($A168,main!$A$3:$H$102,6,FALSE)&gt;=main!$D$103+VLOOKUP(VLOOKUP(BR$1,main!$A$3:$I$102,7,FALSE),main!$K$26:$Q$29,4,FALSE)),1,0)</f>
        <v>0</v>
      </c>
      <c r="BS168">
        <f>IF(AND(VLOOKUP(BS$1,main!$A$3:$H$102,7,FALSE)=main!$G$104,VLOOKUP(BS$1,main!$A$3:$H$102,5,FALSE)-VLOOKUP($A168,main!$A$3:$H$102,6,FALSE)&gt;=main!$D$103+VLOOKUP(VLOOKUP(BS$1,main!$A$3:$I$102,7,FALSE),main!$K$26:$Q$29,4,FALSE)),1,0)</f>
        <v>0</v>
      </c>
      <c r="BT168">
        <f>IF(AND(VLOOKUP(BT$1,main!$A$3:$H$102,7,FALSE)=main!$G$104,VLOOKUP(BT$1,main!$A$3:$H$102,5,FALSE)-VLOOKUP($A168,main!$A$3:$H$102,6,FALSE)&gt;=main!$D$103+VLOOKUP(VLOOKUP(BT$1,main!$A$3:$I$102,7,FALSE),main!$K$26:$Q$29,4,FALSE)),1,0)</f>
        <v>0</v>
      </c>
      <c r="BU168">
        <f>IF(AND(VLOOKUP(BU$1,main!$A$3:$H$102,7,FALSE)=main!$G$104,VLOOKUP(BU$1,main!$A$3:$H$102,5,FALSE)-VLOOKUP($A168,main!$A$3:$H$102,6,FALSE)&gt;=main!$D$103+VLOOKUP(VLOOKUP(BU$1,main!$A$3:$I$102,7,FALSE),main!$K$26:$Q$29,4,FALSE)),1,0)</f>
        <v>0</v>
      </c>
      <c r="BV168">
        <f>IF(AND(VLOOKUP(BV$1,main!$A$3:$H$102,7,FALSE)=main!$G$104,VLOOKUP(BV$1,main!$A$3:$H$102,5,FALSE)-VLOOKUP($A168,main!$A$3:$H$102,6,FALSE)&gt;=main!$D$103+VLOOKUP(VLOOKUP(BV$1,main!$A$3:$I$102,7,FALSE),main!$K$26:$Q$29,4,FALSE)),1,0)</f>
        <v>0</v>
      </c>
      <c r="BW168">
        <f>IF(AND(VLOOKUP(BW$1,main!$A$3:$H$102,7,FALSE)=main!$G$104,VLOOKUP(BW$1,main!$A$3:$H$102,5,FALSE)-VLOOKUP($A168,main!$A$3:$H$102,6,FALSE)&gt;=main!$D$103+VLOOKUP(VLOOKUP(BW$1,main!$A$3:$I$102,7,FALSE),main!$K$26:$Q$29,4,FALSE)),1,0)</f>
        <v>0</v>
      </c>
      <c r="BX168">
        <f>IF(AND(VLOOKUP(BX$1,main!$A$3:$H$102,7,FALSE)=main!$G$104,VLOOKUP(BX$1,main!$A$3:$H$102,5,FALSE)-VLOOKUP($A168,main!$A$3:$H$102,6,FALSE)&gt;=main!$D$103+VLOOKUP(VLOOKUP(BX$1,main!$A$3:$I$102,7,FALSE),main!$K$26:$Q$29,4,FALSE)),1,0)</f>
        <v>0</v>
      </c>
      <c r="BY168">
        <f>IF(AND(VLOOKUP(BY$1,main!$A$3:$H$102,7,FALSE)=main!$G$104,VLOOKUP(BY$1,main!$A$3:$H$102,5,FALSE)-VLOOKUP($A168,main!$A$3:$H$102,6,FALSE)&gt;=main!$D$103+VLOOKUP(VLOOKUP(BY$1,main!$A$3:$I$102,7,FALSE),main!$K$26:$Q$29,4,FALSE)),1,0)</f>
        <v>0</v>
      </c>
      <c r="BZ168">
        <f>IF(AND(VLOOKUP(BZ$1,main!$A$3:$H$102,7,FALSE)=main!$G$104,VLOOKUP(BZ$1,main!$A$3:$H$102,5,FALSE)-VLOOKUP($A168,main!$A$3:$H$102,6,FALSE)&gt;=main!$D$103+VLOOKUP(VLOOKUP(BZ$1,main!$A$3:$I$102,7,FALSE),main!$K$26:$Q$29,4,FALSE)),1,0)</f>
        <v>0</v>
      </c>
      <c r="CA168">
        <f>IF(AND(VLOOKUP(CA$1,main!$A$3:$H$102,7,FALSE)=main!$G$104,VLOOKUP(CA$1,main!$A$3:$H$102,5,FALSE)-VLOOKUP($A168,main!$A$3:$H$102,6,FALSE)&gt;=main!$D$103+VLOOKUP(VLOOKUP(CA$1,main!$A$3:$I$102,7,FALSE),main!$K$26:$Q$29,4,FALSE)),1,0)</f>
        <v>0</v>
      </c>
      <c r="CB168">
        <f>IF(AND(VLOOKUP(CB$1,main!$A$3:$H$102,7,FALSE)=main!$G$104,VLOOKUP(CB$1,main!$A$3:$H$102,5,FALSE)-VLOOKUP($A168,main!$A$3:$H$102,6,FALSE)&gt;=main!$D$103+VLOOKUP(VLOOKUP(CB$1,main!$A$3:$I$102,7,FALSE),main!$K$26:$Q$29,4,FALSE)),1,0)</f>
        <v>0</v>
      </c>
      <c r="CC168">
        <f>IF(AND(VLOOKUP(CC$1,main!$A$3:$H$102,7,FALSE)=main!$G$104,VLOOKUP(CC$1,main!$A$3:$H$102,5,FALSE)-VLOOKUP($A168,main!$A$3:$H$102,6,FALSE)&gt;=main!$D$103+VLOOKUP(VLOOKUP(CC$1,main!$A$3:$I$102,7,FALSE),main!$K$26:$Q$29,4,FALSE)),1,0)</f>
        <v>0</v>
      </c>
      <c r="CD168">
        <f>IF(AND(VLOOKUP(CD$1,main!$A$3:$H$102,7,FALSE)=main!$G$104,VLOOKUP(CD$1,main!$A$3:$H$102,5,FALSE)-VLOOKUP($A168,main!$A$3:$H$102,6,FALSE)&gt;=main!$D$103+VLOOKUP(VLOOKUP(CD$1,main!$A$3:$I$102,7,FALSE),main!$K$26:$Q$29,4,FALSE)),1,0)</f>
        <v>0</v>
      </c>
      <c r="CE168">
        <f>IF(AND(VLOOKUP(CE$1,main!$A$3:$H$102,7,FALSE)=main!$G$104,VLOOKUP(CE$1,main!$A$3:$H$102,5,FALSE)-VLOOKUP($A168,main!$A$3:$H$102,6,FALSE)&gt;=main!$D$103+VLOOKUP(VLOOKUP(CE$1,main!$A$3:$I$102,7,FALSE),main!$K$26:$Q$29,4,FALSE)),1,0)</f>
        <v>0</v>
      </c>
      <c r="CF168">
        <f>IF(AND(VLOOKUP(CF$1,main!$A$3:$H$102,7,FALSE)=main!$G$104,VLOOKUP(CF$1,main!$A$3:$H$102,5,FALSE)-VLOOKUP($A168,main!$A$3:$H$102,6,FALSE)&gt;=main!$D$103+VLOOKUP(VLOOKUP(CF$1,main!$A$3:$I$102,7,FALSE),main!$K$26:$Q$29,4,FALSE)),1,0)</f>
        <v>0</v>
      </c>
      <c r="CG168">
        <f>IF(AND(VLOOKUP(CG$1,main!$A$3:$H$102,7,FALSE)=main!$G$104,VLOOKUP(CG$1,main!$A$3:$H$102,5,FALSE)-VLOOKUP($A168,main!$A$3:$H$102,6,FALSE)&gt;=main!$D$103+VLOOKUP(VLOOKUP(CG$1,main!$A$3:$I$102,7,FALSE),main!$K$26:$Q$29,4,FALSE)),1,0)</f>
        <v>0</v>
      </c>
      <c r="CH168">
        <f>IF(AND(VLOOKUP(CH$1,main!$A$3:$H$102,7,FALSE)=main!$G$104,VLOOKUP(CH$1,main!$A$3:$H$102,5,FALSE)-VLOOKUP($A168,main!$A$3:$H$102,6,FALSE)&gt;=main!$D$103+VLOOKUP(VLOOKUP(CH$1,main!$A$3:$I$102,7,FALSE),main!$K$26:$Q$29,4,FALSE)),1,0)</f>
        <v>0</v>
      </c>
      <c r="CI168">
        <f>IF(AND(VLOOKUP(CI$1,main!$A$3:$H$102,7,FALSE)=main!$G$104,VLOOKUP(CI$1,main!$A$3:$H$102,5,FALSE)-VLOOKUP($A168,main!$A$3:$H$102,6,FALSE)&gt;=main!$D$103+VLOOKUP(VLOOKUP(CI$1,main!$A$3:$I$102,7,FALSE),main!$K$26:$Q$29,4,FALSE)),1,0)</f>
        <v>0</v>
      </c>
      <c r="CJ168">
        <f>IF(AND(VLOOKUP(CJ$1,main!$A$3:$H$102,7,FALSE)=main!$G$104,VLOOKUP(CJ$1,main!$A$3:$H$102,5,FALSE)-VLOOKUP($A168,main!$A$3:$H$102,6,FALSE)&gt;=main!$D$103+VLOOKUP(VLOOKUP(CJ$1,main!$A$3:$I$102,7,FALSE),main!$K$26:$Q$29,4,FALSE)),1,0)</f>
        <v>0</v>
      </c>
      <c r="CK168">
        <f>IF(AND(VLOOKUP(CK$1,main!$A$3:$H$102,7,FALSE)=main!$G$104,VLOOKUP(CK$1,main!$A$3:$H$102,5,FALSE)-VLOOKUP($A168,main!$A$3:$H$102,6,FALSE)&gt;=main!$D$103+VLOOKUP(VLOOKUP(CK$1,main!$A$3:$I$102,7,FALSE),main!$K$26:$Q$29,4,FALSE)),1,0)</f>
        <v>0</v>
      </c>
      <c r="CL168">
        <f>IF(AND(VLOOKUP(CL$1,main!$A$3:$H$102,7,FALSE)=main!$G$104,VLOOKUP(CL$1,main!$A$3:$H$102,5,FALSE)-VLOOKUP($A168,main!$A$3:$H$102,6,FALSE)&gt;=main!$D$103+VLOOKUP(VLOOKUP(CL$1,main!$A$3:$I$102,7,FALSE),main!$K$26:$Q$29,4,FALSE)),1,0)</f>
        <v>0</v>
      </c>
      <c r="CM168">
        <f>IF(AND(VLOOKUP(CM$1,main!$A$3:$H$102,7,FALSE)=main!$G$104,VLOOKUP(CM$1,main!$A$3:$H$102,5,FALSE)-VLOOKUP($A168,main!$A$3:$H$102,6,FALSE)&gt;=main!$D$103+VLOOKUP(VLOOKUP(CM$1,main!$A$3:$I$102,7,FALSE),main!$K$26:$Q$29,4,FALSE)),1,0)</f>
        <v>0</v>
      </c>
      <c r="CN168">
        <f>IF(AND(VLOOKUP(CN$1,main!$A$3:$H$102,7,FALSE)=main!$G$104,VLOOKUP(CN$1,main!$A$3:$H$102,5,FALSE)-VLOOKUP($A168,main!$A$3:$H$102,6,FALSE)&gt;=main!$D$103+VLOOKUP(VLOOKUP(CN$1,main!$A$3:$I$102,7,FALSE),main!$K$26:$Q$29,4,FALSE)),1,0)</f>
        <v>0</v>
      </c>
      <c r="CO168">
        <f>IF(AND(VLOOKUP(CO$1,main!$A$3:$H$102,7,FALSE)=main!$G$104,VLOOKUP(CO$1,main!$A$3:$H$102,5,FALSE)-VLOOKUP($A168,main!$A$3:$H$102,6,FALSE)&gt;=main!$D$103+VLOOKUP(VLOOKUP(CO$1,main!$A$3:$I$102,7,FALSE),main!$K$26:$Q$29,4,FALSE)),1,0)</f>
        <v>0</v>
      </c>
      <c r="CP168">
        <f>IF(AND(VLOOKUP(CP$1,main!$A$3:$H$102,7,FALSE)=main!$G$104,VLOOKUP(CP$1,main!$A$3:$H$102,5,FALSE)-VLOOKUP($A168,main!$A$3:$H$102,6,FALSE)&gt;=main!$D$103+VLOOKUP(VLOOKUP(CP$1,main!$A$3:$I$102,7,FALSE),main!$K$26:$Q$29,4,FALSE)),1,0)</f>
        <v>0</v>
      </c>
      <c r="CQ168">
        <f>IF(AND(VLOOKUP(CQ$1,main!$A$3:$H$102,7,FALSE)=main!$G$104,VLOOKUP(CQ$1,main!$A$3:$H$102,5,FALSE)-VLOOKUP($A168,main!$A$3:$H$102,6,FALSE)&gt;=main!$D$103+VLOOKUP(VLOOKUP(CQ$1,main!$A$3:$I$102,7,FALSE),main!$K$26:$Q$29,4,FALSE)),1,0)</f>
        <v>0</v>
      </c>
      <c r="CR168">
        <f>IF(AND(VLOOKUP(CR$1,main!$A$3:$H$102,7,FALSE)=main!$G$104,VLOOKUP(CR$1,main!$A$3:$H$102,5,FALSE)-VLOOKUP($A168,main!$A$3:$H$102,6,FALSE)&gt;=main!$D$103+VLOOKUP(VLOOKUP(CR$1,main!$A$3:$I$102,7,FALSE),main!$K$26:$Q$29,4,FALSE)),1,0)</f>
        <v>0</v>
      </c>
      <c r="CS168">
        <f>IF(AND(VLOOKUP(CS$1,main!$A$3:$H$102,7,FALSE)=main!$G$104,VLOOKUP(CS$1,main!$A$3:$H$102,5,FALSE)-VLOOKUP($A168,main!$A$3:$H$102,6,FALSE)&gt;=main!$D$103+VLOOKUP(VLOOKUP(CS$1,main!$A$3:$I$102,7,FALSE),main!$K$26:$Q$29,4,FALSE)),1,0)</f>
        <v>0</v>
      </c>
      <c r="CT168">
        <f>IF(AND(VLOOKUP(CT$1,main!$A$3:$H$102,7,FALSE)=main!$G$104,VLOOKUP(CT$1,main!$A$3:$H$102,5,FALSE)-VLOOKUP($A168,main!$A$3:$H$102,6,FALSE)&gt;=main!$D$103+VLOOKUP(VLOOKUP(CT$1,main!$A$3:$I$102,7,FALSE),main!$K$26:$Q$29,4,FALSE)),1,0)</f>
        <v>0</v>
      </c>
      <c r="CU168">
        <f>IF(AND(VLOOKUP(CU$1,main!$A$3:$H$102,7,FALSE)=main!$G$104,VLOOKUP(CU$1,main!$A$3:$H$102,5,FALSE)-VLOOKUP($A168,main!$A$3:$H$102,6,FALSE)&gt;=main!$D$103+VLOOKUP(VLOOKUP(CU$1,main!$A$3:$I$102,7,FALSE),main!$K$26:$Q$29,4,FALSE)),1,0)</f>
        <v>0</v>
      </c>
      <c r="CV168">
        <f>IF(AND(VLOOKUP(CV$1,main!$A$3:$H$102,7,FALSE)=main!$G$104,VLOOKUP(CV$1,main!$A$3:$H$102,5,FALSE)-VLOOKUP($A168,main!$A$3:$H$102,6,FALSE)&gt;=main!$D$103+VLOOKUP(VLOOKUP(CV$1,main!$A$3:$I$102,7,FALSE),main!$K$26:$Q$29,4,FALSE)),1,0)</f>
        <v>0</v>
      </c>
      <c r="CW168">
        <f>IF(AND(VLOOKUP(CW$1,main!$A$3:$H$102,7,FALSE)=main!$G$104,VLOOKUP(CW$1,main!$A$3:$H$102,5,FALSE)-VLOOKUP($A168,main!$A$3:$H$102,6,FALSE)&gt;=main!$D$103+VLOOKUP(VLOOKUP(CW$1,main!$A$3:$I$102,7,FALSE),main!$K$26:$Q$29,4,FALSE)),1,0)</f>
        <v>0</v>
      </c>
      <c r="CX168">
        <f>IF(AND(VLOOKUP(CX$1,main!$A$3:$H$102,7,FALSE)=main!$G$104,VLOOKUP(CX$1,main!$A$3:$H$102,5,FALSE)-VLOOKUP($A168,main!$A$3:$H$102,6,FALSE)&gt;=main!$D$103+VLOOKUP(VLOOKUP(CX$1,main!$A$3:$I$102,7,FALSE),main!$K$26:$Q$29,4,FALSE)),1,0)</f>
        <v>0</v>
      </c>
    </row>
    <row r="169" spans="1:102" x14ac:dyDescent="0.25">
      <c r="A169" s="1">
        <v>66</v>
      </c>
      <c r="B169">
        <v>0</v>
      </c>
      <c r="C169">
        <f>IF(AND(VLOOKUP(C$1,main!$A$3:$H$102,7,FALSE)=main!$G$104,VLOOKUP(C$1,main!$A$3:$H$102,5,FALSE)-VLOOKUP($A169,main!$A$3:$H$102,6,FALSE)&gt;=main!$D$103+VLOOKUP(VLOOKUP(C$1,main!$A$3:$I$102,7,FALSE),main!$K$26:$Q$29,4,FALSE)),1,0)</f>
        <v>0</v>
      </c>
      <c r="D169">
        <f>IF(AND(VLOOKUP(D$1,main!$A$3:$H$102,7,FALSE)=main!$G$104,VLOOKUP(D$1,main!$A$3:$H$102,5,FALSE)-VLOOKUP($A169,main!$A$3:$H$102,6,FALSE)&gt;=main!$D$103+VLOOKUP(VLOOKUP(D$1,main!$A$3:$I$102,7,FALSE),main!$K$26:$Q$29,4,FALSE)),1,0)</f>
        <v>0</v>
      </c>
      <c r="E169">
        <f>IF(AND(VLOOKUP(E$1,main!$A$3:$H$102,7,FALSE)=main!$G$104,VLOOKUP(E$1,main!$A$3:$H$102,5,FALSE)-VLOOKUP($A169,main!$A$3:$H$102,6,FALSE)&gt;=main!$D$103+VLOOKUP(VLOOKUP(E$1,main!$A$3:$I$102,7,FALSE),main!$K$26:$Q$29,4,FALSE)),1,0)</f>
        <v>0</v>
      </c>
      <c r="F169">
        <f>IF(AND(VLOOKUP(F$1,main!$A$3:$H$102,7,FALSE)=main!$G$104,VLOOKUP(F$1,main!$A$3:$H$102,5,FALSE)-VLOOKUP($A169,main!$A$3:$H$102,6,FALSE)&gt;=main!$D$103+VLOOKUP(VLOOKUP(F$1,main!$A$3:$I$102,7,FALSE),main!$K$26:$Q$29,4,FALSE)),1,0)</f>
        <v>1</v>
      </c>
      <c r="G169">
        <f>IF(AND(VLOOKUP(G$1,main!$A$3:$H$102,7,FALSE)=main!$G$104,VLOOKUP(G$1,main!$A$3:$H$102,5,FALSE)-VLOOKUP($A169,main!$A$3:$H$102,6,FALSE)&gt;=main!$D$103+VLOOKUP(VLOOKUP(G$1,main!$A$3:$I$102,7,FALSE),main!$K$26:$Q$29,4,FALSE)),1,0)</f>
        <v>1</v>
      </c>
      <c r="H169">
        <f>IF(AND(VLOOKUP(H$1,main!$A$3:$H$102,7,FALSE)=main!$G$104,VLOOKUP(H$1,main!$A$3:$H$102,5,FALSE)-VLOOKUP($A169,main!$A$3:$H$102,6,FALSE)&gt;=main!$D$103+VLOOKUP(VLOOKUP(H$1,main!$A$3:$I$102,7,FALSE),main!$K$26:$Q$29,4,FALSE)),1,0)</f>
        <v>1</v>
      </c>
      <c r="I169">
        <f>IF(AND(VLOOKUP(I$1,main!$A$3:$H$102,7,FALSE)=main!$G$104,VLOOKUP(I$1,main!$A$3:$H$102,5,FALSE)-VLOOKUP($A169,main!$A$3:$H$102,6,FALSE)&gt;=main!$D$103+VLOOKUP(VLOOKUP(I$1,main!$A$3:$I$102,7,FALSE),main!$K$26:$Q$29,4,FALSE)),1,0)</f>
        <v>1</v>
      </c>
      <c r="J169">
        <f>IF(AND(VLOOKUP(J$1,main!$A$3:$H$102,7,FALSE)=main!$G$104,VLOOKUP(J$1,main!$A$3:$H$102,5,FALSE)-VLOOKUP($A169,main!$A$3:$H$102,6,FALSE)&gt;=main!$D$103+VLOOKUP(VLOOKUP(J$1,main!$A$3:$I$102,7,FALSE),main!$K$26:$Q$29,4,FALSE)),1,0)</f>
        <v>1</v>
      </c>
      <c r="K169">
        <f>IF(AND(VLOOKUP(K$1,main!$A$3:$H$102,7,FALSE)=main!$G$104,VLOOKUP(K$1,main!$A$3:$H$102,5,FALSE)-VLOOKUP($A169,main!$A$3:$H$102,6,FALSE)&gt;=main!$D$103+VLOOKUP(VLOOKUP(K$1,main!$A$3:$I$102,7,FALSE),main!$K$26:$Q$29,4,FALSE)),1,0)</f>
        <v>1</v>
      </c>
      <c r="L169">
        <f>IF(AND(VLOOKUP(L$1,main!$A$3:$H$102,7,FALSE)=main!$G$104,VLOOKUP(L$1,main!$A$3:$H$102,5,FALSE)-VLOOKUP($A169,main!$A$3:$H$102,6,FALSE)&gt;=main!$D$103+VLOOKUP(VLOOKUP(L$1,main!$A$3:$I$102,7,FALSE),main!$K$26:$Q$29,4,FALSE)),1,0)</f>
        <v>1</v>
      </c>
      <c r="M169">
        <f>IF(AND(VLOOKUP(M$1,main!$A$3:$H$102,7,FALSE)=main!$G$104,VLOOKUP(M$1,main!$A$3:$H$102,5,FALSE)-VLOOKUP($A169,main!$A$3:$H$102,6,FALSE)&gt;=main!$D$103+VLOOKUP(VLOOKUP(M$1,main!$A$3:$I$102,7,FALSE),main!$K$26:$Q$29,4,FALSE)),1,0)</f>
        <v>0</v>
      </c>
      <c r="N169">
        <f>IF(AND(VLOOKUP(N$1,main!$A$3:$H$102,7,FALSE)=main!$G$104,VLOOKUP(N$1,main!$A$3:$H$102,5,FALSE)-VLOOKUP($A169,main!$A$3:$H$102,6,FALSE)&gt;=main!$D$103+VLOOKUP(VLOOKUP(N$1,main!$A$3:$I$102,7,FALSE),main!$K$26:$Q$29,4,FALSE)),1,0)</f>
        <v>0</v>
      </c>
      <c r="O169">
        <f>IF(AND(VLOOKUP(O$1,main!$A$3:$H$102,7,FALSE)=main!$G$104,VLOOKUP(O$1,main!$A$3:$H$102,5,FALSE)-VLOOKUP($A169,main!$A$3:$H$102,6,FALSE)&gt;=main!$D$103+VLOOKUP(VLOOKUP(O$1,main!$A$3:$I$102,7,FALSE),main!$K$26:$Q$29,4,FALSE)),1,0)</f>
        <v>0</v>
      </c>
      <c r="P169">
        <f>IF(AND(VLOOKUP(P$1,main!$A$3:$H$102,7,FALSE)=main!$G$104,VLOOKUP(P$1,main!$A$3:$H$102,5,FALSE)-VLOOKUP($A169,main!$A$3:$H$102,6,FALSE)&gt;=main!$D$103+VLOOKUP(VLOOKUP(P$1,main!$A$3:$I$102,7,FALSE),main!$K$26:$Q$29,4,FALSE)),1,0)</f>
        <v>0</v>
      </c>
      <c r="Q169">
        <f>IF(AND(VLOOKUP(Q$1,main!$A$3:$H$102,7,FALSE)=main!$G$104,VLOOKUP(Q$1,main!$A$3:$H$102,5,FALSE)-VLOOKUP($A169,main!$A$3:$H$102,6,FALSE)&gt;=main!$D$103+VLOOKUP(VLOOKUP(Q$1,main!$A$3:$I$102,7,FALSE),main!$K$26:$Q$29,4,FALSE)),1,0)</f>
        <v>1</v>
      </c>
      <c r="R169">
        <f>IF(AND(VLOOKUP(R$1,main!$A$3:$H$102,7,FALSE)=main!$G$104,VLOOKUP(R$1,main!$A$3:$H$102,5,FALSE)-VLOOKUP($A169,main!$A$3:$H$102,6,FALSE)&gt;=main!$D$103+VLOOKUP(VLOOKUP(R$1,main!$A$3:$I$102,7,FALSE),main!$K$26:$Q$29,4,FALSE)),1,0)</f>
        <v>1</v>
      </c>
      <c r="S169">
        <f>IF(AND(VLOOKUP(S$1,main!$A$3:$H$102,7,FALSE)=main!$G$104,VLOOKUP(S$1,main!$A$3:$H$102,5,FALSE)-VLOOKUP($A169,main!$A$3:$H$102,6,FALSE)&gt;=main!$D$103+VLOOKUP(VLOOKUP(S$1,main!$A$3:$I$102,7,FALSE),main!$K$26:$Q$29,4,FALSE)),1,0)</f>
        <v>1</v>
      </c>
      <c r="T169">
        <f>IF(AND(VLOOKUP(T$1,main!$A$3:$H$102,7,FALSE)=main!$G$104,VLOOKUP(T$1,main!$A$3:$H$102,5,FALSE)-VLOOKUP($A169,main!$A$3:$H$102,6,FALSE)&gt;=main!$D$103+VLOOKUP(VLOOKUP(T$1,main!$A$3:$I$102,7,FALSE),main!$K$26:$Q$29,4,FALSE)),1,0)</f>
        <v>1</v>
      </c>
      <c r="U169">
        <f>IF(AND(VLOOKUP(U$1,main!$A$3:$H$102,7,FALSE)=main!$G$104,VLOOKUP(U$1,main!$A$3:$H$102,5,FALSE)-VLOOKUP($A169,main!$A$3:$H$102,6,FALSE)&gt;=main!$D$103+VLOOKUP(VLOOKUP(U$1,main!$A$3:$I$102,7,FALSE),main!$K$26:$Q$29,4,FALSE)),1,0)</f>
        <v>1</v>
      </c>
      <c r="V169">
        <f>IF(AND(VLOOKUP(V$1,main!$A$3:$H$102,7,FALSE)=main!$G$104,VLOOKUP(V$1,main!$A$3:$H$102,5,FALSE)-VLOOKUP($A169,main!$A$3:$H$102,6,FALSE)&gt;=main!$D$103+VLOOKUP(VLOOKUP(V$1,main!$A$3:$I$102,7,FALSE),main!$K$26:$Q$29,4,FALSE)),1,0)</f>
        <v>1</v>
      </c>
      <c r="W169">
        <f>IF(AND(VLOOKUP(W$1,main!$A$3:$H$102,7,FALSE)=main!$G$104,VLOOKUP(W$1,main!$A$3:$H$102,5,FALSE)-VLOOKUP($A169,main!$A$3:$H$102,6,FALSE)&gt;=main!$D$103+VLOOKUP(VLOOKUP(W$1,main!$A$3:$I$102,7,FALSE),main!$K$26:$Q$29,4,FALSE)),1,0)</f>
        <v>0</v>
      </c>
      <c r="X169">
        <f>IF(AND(VLOOKUP(X$1,main!$A$3:$H$102,7,FALSE)=main!$G$104,VLOOKUP(X$1,main!$A$3:$H$102,5,FALSE)-VLOOKUP($A169,main!$A$3:$H$102,6,FALSE)&gt;=main!$D$103+VLOOKUP(VLOOKUP(X$1,main!$A$3:$I$102,7,FALSE),main!$K$26:$Q$29,4,FALSE)),1,0)</f>
        <v>0</v>
      </c>
      <c r="Y169">
        <f>IF(AND(VLOOKUP(Y$1,main!$A$3:$H$102,7,FALSE)=main!$G$104,VLOOKUP(Y$1,main!$A$3:$H$102,5,FALSE)-VLOOKUP($A169,main!$A$3:$H$102,6,FALSE)&gt;=main!$D$103+VLOOKUP(VLOOKUP(Y$1,main!$A$3:$I$102,7,FALSE),main!$K$26:$Q$29,4,FALSE)),1,0)</f>
        <v>1</v>
      </c>
      <c r="Z169">
        <f>IF(AND(VLOOKUP(Z$1,main!$A$3:$H$102,7,FALSE)=main!$G$104,VLOOKUP(Z$1,main!$A$3:$H$102,5,FALSE)-VLOOKUP($A169,main!$A$3:$H$102,6,FALSE)&gt;=main!$D$103+VLOOKUP(VLOOKUP(Z$1,main!$A$3:$I$102,7,FALSE),main!$K$26:$Q$29,4,FALSE)),1,0)</f>
        <v>1</v>
      </c>
      <c r="AA169">
        <f>IF(AND(VLOOKUP(AA$1,main!$A$3:$H$102,7,FALSE)=main!$G$104,VLOOKUP(AA$1,main!$A$3:$H$102,5,FALSE)-VLOOKUP($A169,main!$A$3:$H$102,6,FALSE)&gt;=main!$D$103+VLOOKUP(VLOOKUP(AA$1,main!$A$3:$I$102,7,FALSE),main!$K$26:$Q$29,4,FALSE)),1,0)</f>
        <v>1</v>
      </c>
      <c r="AB169">
        <f>IF(AND(VLOOKUP(AB$1,main!$A$3:$H$102,7,FALSE)=main!$G$104,VLOOKUP(AB$1,main!$A$3:$H$102,5,FALSE)-VLOOKUP($A169,main!$A$3:$H$102,6,FALSE)&gt;=main!$D$103+VLOOKUP(VLOOKUP(AB$1,main!$A$3:$I$102,7,FALSE),main!$K$26:$Q$29,4,FALSE)),1,0)</f>
        <v>0</v>
      </c>
      <c r="AC169">
        <f>IF(AND(VLOOKUP(AC$1,main!$A$3:$H$102,7,FALSE)=main!$G$104,VLOOKUP(AC$1,main!$A$3:$H$102,5,FALSE)-VLOOKUP($A169,main!$A$3:$H$102,6,FALSE)&gt;=main!$D$103+VLOOKUP(VLOOKUP(AC$1,main!$A$3:$I$102,7,FALSE),main!$K$26:$Q$29,4,FALSE)),1,0)</f>
        <v>0</v>
      </c>
      <c r="AD169">
        <f>IF(AND(VLOOKUP(AD$1,main!$A$3:$H$102,7,FALSE)=main!$G$104,VLOOKUP(AD$1,main!$A$3:$H$102,5,FALSE)-VLOOKUP($A169,main!$A$3:$H$102,6,FALSE)&gt;=main!$D$103+VLOOKUP(VLOOKUP(AD$1,main!$A$3:$I$102,7,FALSE),main!$K$26:$Q$29,4,FALSE)),1,0)</f>
        <v>1</v>
      </c>
      <c r="AE169">
        <f>IF(AND(VLOOKUP(AE$1,main!$A$3:$H$102,7,FALSE)=main!$G$104,VLOOKUP(AE$1,main!$A$3:$H$102,5,FALSE)-VLOOKUP($A169,main!$A$3:$H$102,6,FALSE)&gt;=main!$D$103+VLOOKUP(VLOOKUP(AE$1,main!$A$3:$I$102,7,FALSE),main!$K$26:$Q$29,4,FALSE)),1,0)</f>
        <v>1</v>
      </c>
      <c r="AF169">
        <f>IF(AND(VLOOKUP(AF$1,main!$A$3:$H$102,7,FALSE)=main!$G$104,VLOOKUP(AF$1,main!$A$3:$H$102,5,FALSE)-VLOOKUP($A169,main!$A$3:$H$102,6,FALSE)&gt;=main!$D$103+VLOOKUP(VLOOKUP(AF$1,main!$A$3:$I$102,7,FALSE),main!$K$26:$Q$29,4,FALSE)),1,0)</f>
        <v>1</v>
      </c>
      <c r="AG169">
        <f>IF(AND(VLOOKUP(AG$1,main!$A$3:$H$102,7,FALSE)=main!$G$104,VLOOKUP(AG$1,main!$A$3:$H$102,5,FALSE)-VLOOKUP($A169,main!$A$3:$H$102,6,FALSE)&gt;=main!$D$103+VLOOKUP(VLOOKUP(AG$1,main!$A$3:$I$102,7,FALSE),main!$K$26:$Q$29,4,FALSE)),1,0)</f>
        <v>0</v>
      </c>
      <c r="AH169">
        <f>IF(AND(VLOOKUP(AH$1,main!$A$3:$H$102,7,FALSE)=main!$G$104,VLOOKUP(AH$1,main!$A$3:$H$102,5,FALSE)-VLOOKUP($A169,main!$A$3:$H$102,6,FALSE)&gt;=main!$D$103+VLOOKUP(VLOOKUP(AH$1,main!$A$3:$I$102,7,FALSE),main!$K$26:$Q$29,4,FALSE)),1,0)</f>
        <v>0</v>
      </c>
      <c r="AI169">
        <f>IF(AND(VLOOKUP(AI$1,main!$A$3:$H$102,7,FALSE)=main!$G$104,VLOOKUP(AI$1,main!$A$3:$H$102,5,FALSE)-VLOOKUP($A169,main!$A$3:$H$102,6,FALSE)&gt;=main!$D$103+VLOOKUP(VLOOKUP(AI$1,main!$A$3:$I$102,7,FALSE),main!$K$26:$Q$29,4,FALSE)),1,0)</f>
        <v>0</v>
      </c>
      <c r="AJ169">
        <f>IF(AND(VLOOKUP(AJ$1,main!$A$3:$H$102,7,FALSE)=main!$G$104,VLOOKUP(AJ$1,main!$A$3:$H$102,5,FALSE)-VLOOKUP($A169,main!$A$3:$H$102,6,FALSE)&gt;=main!$D$103+VLOOKUP(VLOOKUP(AJ$1,main!$A$3:$I$102,7,FALSE),main!$K$26:$Q$29,4,FALSE)),1,0)</f>
        <v>0</v>
      </c>
      <c r="AK169">
        <f>IF(AND(VLOOKUP(AK$1,main!$A$3:$H$102,7,FALSE)=main!$G$104,VLOOKUP(AK$1,main!$A$3:$H$102,5,FALSE)-VLOOKUP($A169,main!$A$3:$H$102,6,FALSE)&gt;=main!$D$103+VLOOKUP(VLOOKUP(AK$1,main!$A$3:$I$102,7,FALSE),main!$K$26:$Q$29,4,FALSE)),1,0)</f>
        <v>0</v>
      </c>
      <c r="AL169">
        <f>IF(AND(VLOOKUP(AL$1,main!$A$3:$H$102,7,FALSE)=main!$G$104,VLOOKUP(AL$1,main!$A$3:$H$102,5,FALSE)-VLOOKUP($A169,main!$A$3:$H$102,6,FALSE)&gt;=main!$D$103+VLOOKUP(VLOOKUP(AL$1,main!$A$3:$I$102,7,FALSE),main!$K$26:$Q$29,4,FALSE)),1,0)</f>
        <v>0</v>
      </c>
      <c r="AM169">
        <f>IF(AND(VLOOKUP(AM$1,main!$A$3:$H$102,7,FALSE)=main!$G$104,VLOOKUP(AM$1,main!$A$3:$H$102,5,FALSE)-VLOOKUP($A169,main!$A$3:$H$102,6,FALSE)&gt;=main!$D$103+VLOOKUP(VLOOKUP(AM$1,main!$A$3:$I$102,7,FALSE),main!$K$26:$Q$29,4,FALSE)),1,0)</f>
        <v>0</v>
      </c>
      <c r="AN169">
        <f>IF(AND(VLOOKUP(AN$1,main!$A$3:$H$102,7,FALSE)=main!$G$104,VLOOKUP(AN$1,main!$A$3:$H$102,5,FALSE)-VLOOKUP($A169,main!$A$3:$H$102,6,FALSE)&gt;=main!$D$103+VLOOKUP(VLOOKUP(AN$1,main!$A$3:$I$102,7,FALSE),main!$K$26:$Q$29,4,FALSE)),1,0)</f>
        <v>0</v>
      </c>
      <c r="AO169">
        <f>IF(AND(VLOOKUP(AO$1,main!$A$3:$H$102,7,FALSE)=main!$G$104,VLOOKUP(AO$1,main!$A$3:$H$102,5,FALSE)-VLOOKUP($A169,main!$A$3:$H$102,6,FALSE)&gt;=main!$D$103+VLOOKUP(VLOOKUP(AO$1,main!$A$3:$I$102,7,FALSE),main!$K$26:$Q$29,4,FALSE)),1,0)</f>
        <v>0</v>
      </c>
      <c r="AP169">
        <f>IF(AND(VLOOKUP(AP$1,main!$A$3:$H$102,7,FALSE)=main!$G$104,VLOOKUP(AP$1,main!$A$3:$H$102,5,FALSE)-VLOOKUP($A169,main!$A$3:$H$102,6,FALSE)&gt;=main!$D$103+VLOOKUP(VLOOKUP(AP$1,main!$A$3:$I$102,7,FALSE),main!$K$26:$Q$29,4,FALSE)),1,0)</f>
        <v>0</v>
      </c>
      <c r="AQ169">
        <f>IF(AND(VLOOKUP(AQ$1,main!$A$3:$H$102,7,FALSE)=main!$G$104,VLOOKUP(AQ$1,main!$A$3:$H$102,5,FALSE)-VLOOKUP($A169,main!$A$3:$H$102,6,FALSE)&gt;=main!$D$103+VLOOKUP(VLOOKUP(AQ$1,main!$A$3:$I$102,7,FALSE),main!$K$26:$Q$29,4,FALSE)),1,0)</f>
        <v>0</v>
      </c>
      <c r="AR169">
        <f>IF(AND(VLOOKUP(AR$1,main!$A$3:$H$102,7,FALSE)=main!$G$104,VLOOKUP(AR$1,main!$A$3:$H$102,5,FALSE)-VLOOKUP($A169,main!$A$3:$H$102,6,FALSE)&gt;=main!$D$103+VLOOKUP(VLOOKUP(AR$1,main!$A$3:$I$102,7,FALSE),main!$K$26:$Q$29,4,FALSE)),1,0)</f>
        <v>0</v>
      </c>
      <c r="AS169">
        <f>IF(AND(VLOOKUP(AS$1,main!$A$3:$H$102,7,FALSE)=main!$G$104,VLOOKUP(AS$1,main!$A$3:$H$102,5,FALSE)-VLOOKUP($A169,main!$A$3:$H$102,6,FALSE)&gt;=main!$D$103+VLOOKUP(VLOOKUP(AS$1,main!$A$3:$I$102,7,FALSE),main!$K$26:$Q$29,4,FALSE)),1,0)</f>
        <v>0</v>
      </c>
      <c r="AT169">
        <f>IF(AND(VLOOKUP(AT$1,main!$A$3:$H$102,7,FALSE)=main!$G$104,VLOOKUP(AT$1,main!$A$3:$H$102,5,FALSE)-VLOOKUP($A169,main!$A$3:$H$102,6,FALSE)&gt;=main!$D$103+VLOOKUP(VLOOKUP(AT$1,main!$A$3:$I$102,7,FALSE),main!$K$26:$Q$29,4,FALSE)),1,0)</f>
        <v>0</v>
      </c>
      <c r="AU169">
        <f>IF(AND(VLOOKUP(AU$1,main!$A$3:$H$102,7,FALSE)=main!$G$104,VLOOKUP(AU$1,main!$A$3:$H$102,5,FALSE)-VLOOKUP($A169,main!$A$3:$H$102,6,FALSE)&gt;=main!$D$103+VLOOKUP(VLOOKUP(AU$1,main!$A$3:$I$102,7,FALSE),main!$K$26:$Q$29,4,FALSE)),1,0)</f>
        <v>0</v>
      </c>
      <c r="AV169">
        <f>IF(AND(VLOOKUP(AV$1,main!$A$3:$H$102,7,FALSE)=main!$G$104,VLOOKUP(AV$1,main!$A$3:$H$102,5,FALSE)-VLOOKUP($A169,main!$A$3:$H$102,6,FALSE)&gt;=main!$D$103+VLOOKUP(VLOOKUP(AV$1,main!$A$3:$I$102,7,FALSE),main!$K$26:$Q$29,4,FALSE)),1,0)</f>
        <v>0</v>
      </c>
      <c r="AW169">
        <f>IF(AND(VLOOKUP(AW$1,main!$A$3:$H$102,7,FALSE)=main!$G$104,VLOOKUP(AW$1,main!$A$3:$H$102,5,FALSE)-VLOOKUP($A169,main!$A$3:$H$102,6,FALSE)&gt;=main!$D$103+VLOOKUP(VLOOKUP(AW$1,main!$A$3:$I$102,7,FALSE),main!$K$26:$Q$29,4,FALSE)),1,0)</f>
        <v>0</v>
      </c>
      <c r="AX169">
        <f>IF(AND(VLOOKUP(AX$1,main!$A$3:$H$102,7,FALSE)=main!$G$104,VLOOKUP(AX$1,main!$A$3:$H$102,5,FALSE)-VLOOKUP($A169,main!$A$3:$H$102,6,FALSE)&gt;=main!$D$103+VLOOKUP(VLOOKUP(AX$1,main!$A$3:$I$102,7,FALSE),main!$K$26:$Q$29,4,FALSE)),1,0)</f>
        <v>0</v>
      </c>
      <c r="AY169">
        <f>IF(AND(VLOOKUP(AY$1,main!$A$3:$H$102,7,FALSE)=main!$G$104,VLOOKUP(AY$1,main!$A$3:$H$102,5,FALSE)-VLOOKUP($A169,main!$A$3:$H$102,6,FALSE)&gt;=main!$D$103+VLOOKUP(VLOOKUP(AY$1,main!$A$3:$I$102,7,FALSE),main!$K$26:$Q$29,4,FALSE)),1,0)</f>
        <v>0</v>
      </c>
      <c r="AZ169">
        <f>IF(AND(VLOOKUP(AZ$1,main!$A$3:$H$102,7,FALSE)=main!$G$104,VLOOKUP(AZ$1,main!$A$3:$H$102,5,FALSE)-VLOOKUP($A169,main!$A$3:$H$102,6,FALSE)&gt;=main!$D$103+VLOOKUP(VLOOKUP(AZ$1,main!$A$3:$I$102,7,FALSE),main!$K$26:$Q$29,4,FALSE)),1,0)</f>
        <v>0</v>
      </c>
      <c r="BA169">
        <f>IF(AND(VLOOKUP(BA$1,main!$A$3:$H$102,7,FALSE)=main!$G$104,VLOOKUP(BA$1,main!$A$3:$H$102,5,FALSE)-VLOOKUP($A169,main!$A$3:$H$102,6,FALSE)&gt;=main!$D$103+VLOOKUP(VLOOKUP(BA$1,main!$A$3:$I$102,7,FALSE),main!$K$26:$Q$29,4,FALSE)),1,0)</f>
        <v>0</v>
      </c>
      <c r="BB169">
        <f>IF(AND(VLOOKUP(BB$1,main!$A$3:$H$102,7,FALSE)=main!$G$104,VLOOKUP(BB$1,main!$A$3:$H$102,5,FALSE)-VLOOKUP($A169,main!$A$3:$H$102,6,FALSE)&gt;=main!$D$103+VLOOKUP(VLOOKUP(BB$1,main!$A$3:$I$102,7,FALSE),main!$K$26:$Q$29,4,FALSE)),1,0)</f>
        <v>0</v>
      </c>
      <c r="BC169">
        <f>IF(AND(VLOOKUP(BC$1,main!$A$3:$H$102,7,FALSE)=main!$G$104,VLOOKUP(BC$1,main!$A$3:$H$102,5,FALSE)-VLOOKUP($A169,main!$A$3:$H$102,6,FALSE)&gt;=main!$D$103+VLOOKUP(VLOOKUP(BC$1,main!$A$3:$I$102,7,FALSE),main!$K$26:$Q$29,4,FALSE)),1,0)</f>
        <v>0</v>
      </c>
      <c r="BD169">
        <f>IF(AND(VLOOKUP(BD$1,main!$A$3:$H$102,7,FALSE)=main!$G$104,VLOOKUP(BD$1,main!$A$3:$H$102,5,FALSE)-VLOOKUP($A169,main!$A$3:$H$102,6,FALSE)&gt;=main!$D$103+VLOOKUP(VLOOKUP(BD$1,main!$A$3:$I$102,7,FALSE),main!$K$26:$Q$29,4,FALSE)),1,0)</f>
        <v>0</v>
      </c>
      <c r="BE169">
        <f>IF(AND(VLOOKUP(BE$1,main!$A$3:$H$102,7,FALSE)=main!$G$104,VLOOKUP(BE$1,main!$A$3:$H$102,5,FALSE)-VLOOKUP($A169,main!$A$3:$H$102,6,FALSE)&gt;=main!$D$103+VLOOKUP(VLOOKUP(BE$1,main!$A$3:$I$102,7,FALSE),main!$K$26:$Q$29,4,FALSE)),1,0)</f>
        <v>0</v>
      </c>
      <c r="BF169">
        <f>IF(AND(VLOOKUP(BF$1,main!$A$3:$H$102,7,FALSE)=main!$G$104,VLOOKUP(BF$1,main!$A$3:$H$102,5,FALSE)-VLOOKUP($A169,main!$A$3:$H$102,6,FALSE)&gt;=main!$D$103+VLOOKUP(VLOOKUP(BF$1,main!$A$3:$I$102,7,FALSE),main!$K$26:$Q$29,4,FALSE)),1,0)</f>
        <v>0</v>
      </c>
      <c r="BG169">
        <f>IF(AND(VLOOKUP(BG$1,main!$A$3:$H$102,7,FALSE)=main!$G$104,VLOOKUP(BG$1,main!$A$3:$H$102,5,FALSE)-VLOOKUP($A169,main!$A$3:$H$102,6,FALSE)&gt;=main!$D$103+VLOOKUP(VLOOKUP(BG$1,main!$A$3:$I$102,7,FALSE),main!$K$26:$Q$29,4,FALSE)),1,0)</f>
        <v>0</v>
      </c>
      <c r="BH169">
        <f>IF(AND(VLOOKUP(BH$1,main!$A$3:$H$102,7,FALSE)=main!$G$104,VLOOKUP(BH$1,main!$A$3:$H$102,5,FALSE)-VLOOKUP($A169,main!$A$3:$H$102,6,FALSE)&gt;=main!$D$103+VLOOKUP(VLOOKUP(BH$1,main!$A$3:$I$102,7,FALSE),main!$K$26:$Q$29,4,FALSE)),1,0)</f>
        <v>0</v>
      </c>
      <c r="BI169">
        <f>IF(AND(VLOOKUP(BI$1,main!$A$3:$H$102,7,FALSE)=main!$G$104,VLOOKUP(BI$1,main!$A$3:$H$102,5,FALSE)-VLOOKUP($A169,main!$A$3:$H$102,6,FALSE)&gt;=main!$D$103+VLOOKUP(VLOOKUP(BI$1,main!$A$3:$I$102,7,FALSE),main!$K$26:$Q$29,4,FALSE)),1,0)</f>
        <v>0</v>
      </c>
      <c r="BJ169">
        <f>IF(AND(VLOOKUP(BJ$1,main!$A$3:$H$102,7,FALSE)=main!$G$104,VLOOKUP(BJ$1,main!$A$3:$H$102,5,FALSE)-VLOOKUP($A169,main!$A$3:$H$102,6,FALSE)&gt;=main!$D$103+VLOOKUP(VLOOKUP(BJ$1,main!$A$3:$I$102,7,FALSE),main!$K$26:$Q$29,4,FALSE)),1,0)</f>
        <v>0</v>
      </c>
      <c r="BK169">
        <f>IF(AND(VLOOKUP(BK$1,main!$A$3:$H$102,7,FALSE)=main!$G$104,VLOOKUP(BK$1,main!$A$3:$H$102,5,FALSE)-VLOOKUP($A169,main!$A$3:$H$102,6,FALSE)&gt;=main!$D$103+VLOOKUP(VLOOKUP(BK$1,main!$A$3:$I$102,7,FALSE),main!$K$26:$Q$29,4,FALSE)),1,0)</f>
        <v>0</v>
      </c>
      <c r="BL169">
        <f>IF(AND(VLOOKUP(BL$1,main!$A$3:$H$102,7,FALSE)=main!$G$104,VLOOKUP(BL$1,main!$A$3:$H$102,5,FALSE)-VLOOKUP($A169,main!$A$3:$H$102,6,FALSE)&gt;=main!$D$103+VLOOKUP(VLOOKUP(BL$1,main!$A$3:$I$102,7,FALSE),main!$K$26:$Q$29,4,FALSE)),1,0)</f>
        <v>0</v>
      </c>
      <c r="BM169">
        <f>IF(AND(VLOOKUP(BM$1,main!$A$3:$H$102,7,FALSE)=main!$G$104,VLOOKUP(BM$1,main!$A$3:$H$102,5,FALSE)-VLOOKUP($A169,main!$A$3:$H$102,6,FALSE)&gt;=main!$D$103+VLOOKUP(VLOOKUP(BM$1,main!$A$3:$I$102,7,FALSE),main!$K$26:$Q$29,4,FALSE)),1,0)</f>
        <v>0</v>
      </c>
      <c r="BN169">
        <f>IF(AND(VLOOKUP(BN$1,main!$A$3:$H$102,7,FALSE)=main!$G$104,VLOOKUP(BN$1,main!$A$3:$H$102,5,FALSE)-VLOOKUP($A169,main!$A$3:$H$102,6,FALSE)&gt;=main!$D$103+VLOOKUP(VLOOKUP(BN$1,main!$A$3:$I$102,7,FALSE),main!$K$26:$Q$29,4,FALSE)),1,0)</f>
        <v>0</v>
      </c>
      <c r="BO169">
        <f>IF(AND(VLOOKUP(BO$1,main!$A$3:$H$102,7,FALSE)=main!$G$104,VLOOKUP(BO$1,main!$A$3:$H$102,5,FALSE)-VLOOKUP($A169,main!$A$3:$H$102,6,FALSE)&gt;=main!$D$103+VLOOKUP(VLOOKUP(BO$1,main!$A$3:$I$102,7,FALSE),main!$K$26:$Q$29,4,FALSE)),1,0)</f>
        <v>0</v>
      </c>
      <c r="BP169">
        <f>IF(AND(VLOOKUP(BP$1,main!$A$3:$H$102,7,FALSE)=main!$G$104,VLOOKUP(BP$1,main!$A$3:$H$102,5,FALSE)-VLOOKUP($A169,main!$A$3:$H$102,6,FALSE)&gt;=main!$D$103+VLOOKUP(VLOOKUP(BP$1,main!$A$3:$I$102,7,FALSE),main!$K$26:$Q$29,4,FALSE)),1,0)</f>
        <v>0</v>
      </c>
      <c r="BQ169">
        <f>IF(AND(VLOOKUP(BQ$1,main!$A$3:$H$102,7,FALSE)=main!$G$104,VLOOKUP(BQ$1,main!$A$3:$H$102,5,FALSE)-VLOOKUP($A169,main!$A$3:$H$102,6,FALSE)&gt;=main!$D$103+VLOOKUP(VLOOKUP(BQ$1,main!$A$3:$I$102,7,FALSE),main!$K$26:$Q$29,4,FALSE)),1,0)</f>
        <v>0</v>
      </c>
      <c r="BR169">
        <f>IF(AND(VLOOKUP(BR$1,main!$A$3:$H$102,7,FALSE)=main!$G$104,VLOOKUP(BR$1,main!$A$3:$H$102,5,FALSE)-VLOOKUP($A169,main!$A$3:$H$102,6,FALSE)&gt;=main!$D$103+VLOOKUP(VLOOKUP(BR$1,main!$A$3:$I$102,7,FALSE),main!$K$26:$Q$29,4,FALSE)),1,0)</f>
        <v>0</v>
      </c>
      <c r="BS169">
        <f>IF(AND(VLOOKUP(BS$1,main!$A$3:$H$102,7,FALSE)=main!$G$104,VLOOKUP(BS$1,main!$A$3:$H$102,5,FALSE)-VLOOKUP($A169,main!$A$3:$H$102,6,FALSE)&gt;=main!$D$103+VLOOKUP(VLOOKUP(BS$1,main!$A$3:$I$102,7,FALSE),main!$K$26:$Q$29,4,FALSE)),1,0)</f>
        <v>0</v>
      </c>
      <c r="BT169">
        <f>IF(AND(VLOOKUP(BT$1,main!$A$3:$H$102,7,FALSE)=main!$G$104,VLOOKUP(BT$1,main!$A$3:$H$102,5,FALSE)-VLOOKUP($A169,main!$A$3:$H$102,6,FALSE)&gt;=main!$D$103+VLOOKUP(VLOOKUP(BT$1,main!$A$3:$I$102,7,FALSE),main!$K$26:$Q$29,4,FALSE)),1,0)</f>
        <v>0</v>
      </c>
      <c r="BU169">
        <f>IF(AND(VLOOKUP(BU$1,main!$A$3:$H$102,7,FALSE)=main!$G$104,VLOOKUP(BU$1,main!$A$3:$H$102,5,FALSE)-VLOOKUP($A169,main!$A$3:$H$102,6,FALSE)&gt;=main!$D$103+VLOOKUP(VLOOKUP(BU$1,main!$A$3:$I$102,7,FALSE),main!$K$26:$Q$29,4,FALSE)),1,0)</f>
        <v>0</v>
      </c>
      <c r="BV169">
        <f>IF(AND(VLOOKUP(BV$1,main!$A$3:$H$102,7,FALSE)=main!$G$104,VLOOKUP(BV$1,main!$A$3:$H$102,5,FALSE)-VLOOKUP($A169,main!$A$3:$H$102,6,FALSE)&gt;=main!$D$103+VLOOKUP(VLOOKUP(BV$1,main!$A$3:$I$102,7,FALSE),main!$K$26:$Q$29,4,FALSE)),1,0)</f>
        <v>0</v>
      </c>
      <c r="BW169">
        <f>IF(AND(VLOOKUP(BW$1,main!$A$3:$H$102,7,FALSE)=main!$G$104,VLOOKUP(BW$1,main!$A$3:$H$102,5,FALSE)-VLOOKUP($A169,main!$A$3:$H$102,6,FALSE)&gt;=main!$D$103+VLOOKUP(VLOOKUP(BW$1,main!$A$3:$I$102,7,FALSE),main!$K$26:$Q$29,4,FALSE)),1,0)</f>
        <v>0</v>
      </c>
      <c r="BX169">
        <f>IF(AND(VLOOKUP(BX$1,main!$A$3:$H$102,7,FALSE)=main!$G$104,VLOOKUP(BX$1,main!$A$3:$H$102,5,FALSE)-VLOOKUP($A169,main!$A$3:$H$102,6,FALSE)&gt;=main!$D$103+VLOOKUP(VLOOKUP(BX$1,main!$A$3:$I$102,7,FALSE),main!$K$26:$Q$29,4,FALSE)),1,0)</f>
        <v>0</v>
      </c>
      <c r="BY169">
        <f>IF(AND(VLOOKUP(BY$1,main!$A$3:$H$102,7,FALSE)=main!$G$104,VLOOKUP(BY$1,main!$A$3:$H$102,5,FALSE)-VLOOKUP($A169,main!$A$3:$H$102,6,FALSE)&gt;=main!$D$103+VLOOKUP(VLOOKUP(BY$1,main!$A$3:$I$102,7,FALSE),main!$K$26:$Q$29,4,FALSE)),1,0)</f>
        <v>0</v>
      </c>
      <c r="BZ169">
        <f>IF(AND(VLOOKUP(BZ$1,main!$A$3:$H$102,7,FALSE)=main!$G$104,VLOOKUP(BZ$1,main!$A$3:$H$102,5,FALSE)-VLOOKUP($A169,main!$A$3:$H$102,6,FALSE)&gt;=main!$D$103+VLOOKUP(VLOOKUP(BZ$1,main!$A$3:$I$102,7,FALSE),main!$K$26:$Q$29,4,FALSE)),1,0)</f>
        <v>0</v>
      </c>
      <c r="CA169">
        <f>IF(AND(VLOOKUP(CA$1,main!$A$3:$H$102,7,FALSE)=main!$G$104,VLOOKUP(CA$1,main!$A$3:$H$102,5,FALSE)-VLOOKUP($A169,main!$A$3:$H$102,6,FALSE)&gt;=main!$D$103+VLOOKUP(VLOOKUP(CA$1,main!$A$3:$I$102,7,FALSE),main!$K$26:$Q$29,4,FALSE)),1,0)</f>
        <v>0</v>
      </c>
      <c r="CB169">
        <f>IF(AND(VLOOKUP(CB$1,main!$A$3:$H$102,7,FALSE)=main!$G$104,VLOOKUP(CB$1,main!$A$3:$H$102,5,FALSE)-VLOOKUP($A169,main!$A$3:$H$102,6,FALSE)&gt;=main!$D$103+VLOOKUP(VLOOKUP(CB$1,main!$A$3:$I$102,7,FALSE),main!$K$26:$Q$29,4,FALSE)),1,0)</f>
        <v>0</v>
      </c>
      <c r="CC169">
        <f>IF(AND(VLOOKUP(CC$1,main!$A$3:$H$102,7,FALSE)=main!$G$104,VLOOKUP(CC$1,main!$A$3:$H$102,5,FALSE)-VLOOKUP($A169,main!$A$3:$H$102,6,FALSE)&gt;=main!$D$103+VLOOKUP(VLOOKUP(CC$1,main!$A$3:$I$102,7,FALSE),main!$K$26:$Q$29,4,FALSE)),1,0)</f>
        <v>0</v>
      </c>
      <c r="CD169">
        <f>IF(AND(VLOOKUP(CD$1,main!$A$3:$H$102,7,FALSE)=main!$G$104,VLOOKUP(CD$1,main!$A$3:$H$102,5,FALSE)-VLOOKUP($A169,main!$A$3:$H$102,6,FALSE)&gt;=main!$D$103+VLOOKUP(VLOOKUP(CD$1,main!$A$3:$I$102,7,FALSE),main!$K$26:$Q$29,4,FALSE)),1,0)</f>
        <v>0</v>
      </c>
      <c r="CE169">
        <f>IF(AND(VLOOKUP(CE$1,main!$A$3:$H$102,7,FALSE)=main!$G$104,VLOOKUP(CE$1,main!$A$3:$H$102,5,FALSE)-VLOOKUP($A169,main!$A$3:$H$102,6,FALSE)&gt;=main!$D$103+VLOOKUP(VLOOKUP(CE$1,main!$A$3:$I$102,7,FALSE),main!$K$26:$Q$29,4,FALSE)),1,0)</f>
        <v>0</v>
      </c>
      <c r="CF169">
        <f>IF(AND(VLOOKUP(CF$1,main!$A$3:$H$102,7,FALSE)=main!$G$104,VLOOKUP(CF$1,main!$A$3:$H$102,5,FALSE)-VLOOKUP($A169,main!$A$3:$H$102,6,FALSE)&gt;=main!$D$103+VLOOKUP(VLOOKUP(CF$1,main!$A$3:$I$102,7,FALSE),main!$K$26:$Q$29,4,FALSE)),1,0)</f>
        <v>0</v>
      </c>
      <c r="CG169">
        <f>IF(AND(VLOOKUP(CG$1,main!$A$3:$H$102,7,FALSE)=main!$G$104,VLOOKUP(CG$1,main!$A$3:$H$102,5,FALSE)-VLOOKUP($A169,main!$A$3:$H$102,6,FALSE)&gt;=main!$D$103+VLOOKUP(VLOOKUP(CG$1,main!$A$3:$I$102,7,FALSE),main!$K$26:$Q$29,4,FALSE)),1,0)</f>
        <v>0</v>
      </c>
      <c r="CH169">
        <f>IF(AND(VLOOKUP(CH$1,main!$A$3:$H$102,7,FALSE)=main!$G$104,VLOOKUP(CH$1,main!$A$3:$H$102,5,FALSE)-VLOOKUP($A169,main!$A$3:$H$102,6,FALSE)&gt;=main!$D$103+VLOOKUP(VLOOKUP(CH$1,main!$A$3:$I$102,7,FALSE),main!$K$26:$Q$29,4,FALSE)),1,0)</f>
        <v>0</v>
      </c>
      <c r="CI169">
        <f>IF(AND(VLOOKUP(CI$1,main!$A$3:$H$102,7,FALSE)=main!$G$104,VLOOKUP(CI$1,main!$A$3:$H$102,5,FALSE)-VLOOKUP($A169,main!$A$3:$H$102,6,FALSE)&gt;=main!$D$103+VLOOKUP(VLOOKUP(CI$1,main!$A$3:$I$102,7,FALSE),main!$K$26:$Q$29,4,FALSE)),1,0)</f>
        <v>0</v>
      </c>
      <c r="CJ169">
        <f>IF(AND(VLOOKUP(CJ$1,main!$A$3:$H$102,7,FALSE)=main!$G$104,VLOOKUP(CJ$1,main!$A$3:$H$102,5,FALSE)-VLOOKUP($A169,main!$A$3:$H$102,6,FALSE)&gt;=main!$D$103+VLOOKUP(VLOOKUP(CJ$1,main!$A$3:$I$102,7,FALSE),main!$K$26:$Q$29,4,FALSE)),1,0)</f>
        <v>0</v>
      </c>
      <c r="CK169">
        <f>IF(AND(VLOOKUP(CK$1,main!$A$3:$H$102,7,FALSE)=main!$G$104,VLOOKUP(CK$1,main!$A$3:$H$102,5,FALSE)-VLOOKUP($A169,main!$A$3:$H$102,6,FALSE)&gt;=main!$D$103+VLOOKUP(VLOOKUP(CK$1,main!$A$3:$I$102,7,FALSE),main!$K$26:$Q$29,4,FALSE)),1,0)</f>
        <v>0</v>
      </c>
      <c r="CL169">
        <f>IF(AND(VLOOKUP(CL$1,main!$A$3:$H$102,7,FALSE)=main!$G$104,VLOOKUP(CL$1,main!$A$3:$H$102,5,FALSE)-VLOOKUP($A169,main!$A$3:$H$102,6,FALSE)&gt;=main!$D$103+VLOOKUP(VLOOKUP(CL$1,main!$A$3:$I$102,7,FALSE),main!$K$26:$Q$29,4,FALSE)),1,0)</f>
        <v>0</v>
      </c>
      <c r="CM169">
        <f>IF(AND(VLOOKUP(CM$1,main!$A$3:$H$102,7,FALSE)=main!$G$104,VLOOKUP(CM$1,main!$A$3:$H$102,5,FALSE)-VLOOKUP($A169,main!$A$3:$H$102,6,FALSE)&gt;=main!$D$103+VLOOKUP(VLOOKUP(CM$1,main!$A$3:$I$102,7,FALSE),main!$K$26:$Q$29,4,FALSE)),1,0)</f>
        <v>0</v>
      </c>
      <c r="CN169">
        <f>IF(AND(VLOOKUP(CN$1,main!$A$3:$H$102,7,FALSE)=main!$G$104,VLOOKUP(CN$1,main!$A$3:$H$102,5,FALSE)-VLOOKUP($A169,main!$A$3:$H$102,6,FALSE)&gt;=main!$D$103+VLOOKUP(VLOOKUP(CN$1,main!$A$3:$I$102,7,FALSE),main!$K$26:$Q$29,4,FALSE)),1,0)</f>
        <v>0</v>
      </c>
      <c r="CO169">
        <f>IF(AND(VLOOKUP(CO$1,main!$A$3:$H$102,7,FALSE)=main!$G$104,VLOOKUP(CO$1,main!$A$3:$H$102,5,FALSE)-VLOOKUP($A169,main!$A$3:$H$102,6,FALSE)&gt;=main!$D$103+VLOOKUP(VLOOKUP(CO$1,main!$A$3:$I$102,7,FALSE),main!$K$26:$Q$29,4,FALSE)),1,0)</f>
        <v>0</v>
      </c>
      <c r="CP169">
        <f>IF(AND(VLOOKUP(CP$1,main!$A$3:$H$102,7,FALSE)=main!$G$104,VLOOKUP(CP$1,main!$A$3:$H$102,5,FALSE)-VLOOKUP($A169,main!$A$3:$H$102,6,FALSE)&gt;=main!$D$103+VLOOKUP(VLOOKUP(CP$1,main!$A$3:$I$102,7,FALSE),main!$K$26:$Q$29,4,FALSE)),1,0)</f>
        <v>0</v>
      </c>
      <c r="CQ169">
        <f>IF(AND(VLOOKUP(CQ$1,main!$A$3:$H$102,7,FALSE)=main!$G$104,VLOOKUP(CQ$1,main!$A$3:$H$102,5,FALSE)-VLOOKUP($A169,main!$A$3:$H$102,6,FALSE)&gt;=main!$D$103+VLOOKUP(VLOOKUP(CQ$1,main!$A$3:$I$102,7,FALSE),main!$K$26:$Q$29,4,FALSE)),1,0)</f>
        <v>0</v>
      </c>
      <c r="CR169">
        <f>IF(AND(VLOOKUP(CR$1,main!$A$3:$H$102,7,FALSE)=main!$G$104,VLOOKUP(CR$1,main!$A$3:$H$102,5,FALSE)-VLOOKUP($A169,main!$A$3:$H$102,6,FALSE)&gt;=main!$D$103+VLOOKUP(VLOOKUP(CR$1,main!$A$3:$I$102,7,FALSE),main!$K$26:$Q$29,4,FALSE)),1,0)</f>
        <v>0</v>
      </c>
      <c r="CS169">
        <f>IF(AND(VLOOKUP(CS$1,main!$A$3:$H$102,7,FALSE)=main!$G$104,VLOOKUP(CS$1,main!$A$3:$H$102,5,FALSE)-VLOOKUP($A169,main!$A$3:$H$102,6,FALSE)&gt;=main!$D$103+VLOOKUP(VLOOKUP(CS$1,main!$A$3:$I$102,7,FALSE),main!$K$26:$Q$29,4,FALSE)),1,0)</f>
        <v>0</v>
      </c>
      <c r="CT169">
        <f>IF(AND(VLOOKUP(CT$1,main!$A$3:$H$102,7,FALSE)=main!$G$104,VLOOKUP(CT$1,main!$A$3:$H$102,5,FALSE)-VLOOKUP($A169,main!$A$3:$H$102,6,FALSE)&gt;=main!$D$103+VLOOKUP(VLOOKUP(CT$1,main!$A$3:$I$102,7,FALSE),main!$K$26:$Q$29,4,FALSE)),1,0)</f>
        <v>0</v>
      </c>
      <c r="CU169">
        <f>IF(AND(VLOOKUP(CU$1,main!$A$3:$H$102,7,FALSE)=main!$G$104,VLOOKUP(CU$1,main!$A$3:$H$102,5,FALSE)-VLOOKUP($A169,main!$A$3:$H$102,6,FALSE)&gt;=main!$D$103+VLOOKUP(VLOOKUP(CU$1,main!$A$3:$I$102,7,FALSE),main!$K$26:$Q$29,4,FALSE)),1,0)</f>
        <v>0</v>
      </c>
      <c r="CV169">
        <f>IF(AND(VLOOKUP(CV$1,main!$A$3:$H$102,7,FALSE)=main!$G$104,VLOOKUP(CV$1,main!$A$3:$H$102,5,FALSE)-VLOOKUP($A169,main!$A$3:$H$102,6,FALSE)&gt;=main!$D$103+VLOOKUP(VLOOKUP(CV$1,main!$A$3:$I$102,7,FALSE),main!$K$26:$Q$29,4,FALSE)),1,0)</f>
        <v>0</v>
      </c>
      <c r="CW169">
        <f>IF(AND(VLOOKUP(CW$1,main!$A$3:$H$102,7,FALSE)=main!$G$104,VLOOKUP(CW$1,main!$A$3:$H$102,5,FALSE)-VLOOKUP($A169,main!$A$3:$H$102,6,FALSE)&gt;=main!$D$103+VLOOKUP(VLOOKUP(CW$1,main!$A$3:$I$102,7,FALSE),main!$K$26:$Q$29,4,FALSE)),1,0)</f>
        <v>0</v>
      </c>
      <c r="CX169">
        <f>IF(AND(VLOOKUP(CX$1,main!$A$3:$H$102,7,FALSE)=main!$G$104,VLOOKUP(CX$1,main!$A$3:$H$102,5,FALSE)-VLOOKUP($A169,main!$A$3:$H$102,6,FALSE)&gt;=main!$D$103+VLOOKUP(VLOOKUP(CX$1,main!$A$3:$I$102,7,FALSE),main!$K$26:$Q$29,4,FALSE)),1,0)</f>
        <v>0</v>
      </c>
    </row>
    <row r="170" spans="1:102" x14ac:dyDescent="0.25">
      <c r="A170" s="1">
        <v>67</v>
      </c>
      <c r="B170">
        <v>0</v>
      </c>
      <c r="C170">
        <f>IF(AND(VLOOKUP(C$1,main!$A$3:$H$102,7,FALSE)=main!$G$104,VLOOKUP(C$1,main!$A$3:$H$102,5,FALSE)-VLOOKUP($A170,main!$A$3:$H$102,6,FALSE)&gt;=main!$D$103+VLOOKUP(VLOOKUP(C$1,main!$A$3:$I$102,7,FALSE),main!$K$26:$Q$29,4,FALSE)),1,0)</f>
        <v>0</v>
      </c>
      <c r="D170">
        <f>IF(AND(VLOOKUP(D$1,main!$A$3:$H$102,7,FALSE)=main!$G$104,VLOOKUP(D$1,main!$A$3:$H$102,5,FALSE)-VLOOKUP($A170,main!$A$3:$H$102,6,FALSE)&gt;=main!$D$103+VLOOKUP(VLOOKUP(D$1,main!$A$3:$I$102,7,FALSE),main!$K$26:$Q$29,4,FALSE)),1,0)</f>
        <v>0</v>
      </c>
      <c r="E170">
        <f>IF(AND(VLOOKUP(E$1,main!$A$3:$H$102,7,FALSE)=main!$G$104,VLOOKUP(E$1,main!$A$3:$H$102,5,FALSE)-VLOOKUP($A170,main!$A$3:$H$102,6,FALSE)&gt;=main!$D$103+VLOOKUP(VLOOKUP(E$1,main!$A$3:$I$102,7,FALSE),main!$K$26:$Q$29,4,FALSE)),1,0)</f>
        <v>0</v>
      </c>
      <c r="F170">
        <f>IF(AND(VLOOKUP(F$1,main!$A$3:$H$102,7,FALSE)=main!$G$104,VLOOKUP(F$1,main!$A$3:$H$102,5,FALSE)-VLOOKUP($A170,main!$A$3:$H$102,6,FALSE)&gt;=main!$D$103+VLOOKUP(VLOOKUP(F$1,main!$A$3:$I$102,7,FALSE),main!$K$26:$Q$29,4,FALSE)),1,0)</f>
        <v>0</v>
      </c>
      <c r="G170">
        <f>IF(AND(VLOOKUP(G$1,main!$A$3:$H$102,7,FALSE)=main!$G$104,VLOOKUP(G$1,main!$A$3:$H$102,5,FALSE)-VLOOKUP($A170,main!$A$3:$H$102,6,FALSE)&gt;=main!$D$103+VLOOKUP(VLOOKUP(G$1,main!$A$3:$I$102,7,FALSE),main!$K$26:$Q$29,4,FALSE)),1,0)</f>
        <v>0</v>
      </c>
      <c r="H170">
        <f>IF(AND(VLOOKUP(H$1,main!$A$3:$H$102,7,FALSE)=main!$G$104,VLOOKUP(H$1,main!$A$3:$H$102,5,FALSE)-VLOOKUP($A170,main!$A$3:$H$102,6,FALSE)&gt;=main!$D$103+VLOOKUP(VLOOKUP(H$1,main!$A$3:$I$102,7,FALSE),main!$K$26:$Q$29,4,FALSE)),1,0)</f>
        <v>0</v>
      </c>
      <c r="I170">
        <f>IF(AND(VLOOKUP(I$1,main!$A$3:$H$102,7,FALSE)=main!$G$104,VLOOKUP(I$1,main!$A$3:$H$102,5,FALSE)-VLOOKUP($A170,main!$A$3:$H$102,6,FALSE)&gt;=main!$D$103+VLOOKUP(VLOOKUP(I$1,main!$A$3:$I$102,7,FALSE),main!$K$26:$Q$29,4,FALSE)),1,0)</f>
        <v>1</v>
      </c>
      <c r="J170">
        <f>IF(AND(VLOOKUP(J$1,main!$A$3:$H$102,7,FALSE)=main!$G$104,VLOOKUP(J$1,main!$A$3:$H$102,5,FALSE)-VLOOKUP($A170,main!$A$3:$H$102,6,FALSE)&gt;=main!$D$103+VLOOKUP(VLOOKUP(J$1,main!$A$3:$I$102,7,FALSE),main!$K$26:$Q$29,4,FALSE)),1,0)</f>
        <v>1</v>
      </c>
      <c r="K170">
        <f>IF(AND(VLOOKUP(K$1,main!$A$3:$H$102,7,FALSE)=main!$G$104,VLOOKUP(K$1,main!$A$3:$H$102,5,FALSE)-VLOOKUP($A170,main!$A$3:$H$102,6,FALSE)&gt;=main!$D$103+VLOOKUP(VLOOKUP(K$1,main!$A$3:$I$102,7,FALSE),main!$K$26:$Q$29,4,FALSE)),1,0)</f>
        <v>1</v>
      </c>
      <c r="L170">
        <f>IF(AND(VLOOKUP(L$1,main!$A$3:$H$102,7,FALSE)=main!$G$104,VLOOKUP(L$1,main!$A$3:$H$102,5,FALSE)-VLOOKUP($A170,main!$A$3:$H$102,6,FALSE)&gt;=main!$D$103+VLOOKUP(VLOOKUP(L$1,main!$A$3:$I$102,7,FALSE),main!$K$26:$Q$29,4,FALSE)),1,0)</f>
        <v>1</v>
      </c>
      <c r="M170">
        <f>IF(AND(VLOOKUP(M$1,main!$A$3:$H$102,7,FALSE)=main!$G$104,VLOOKUP(M$1,main!$A$3:$H$102,5,FALSE)-VLOOKUP($A170,main!$A$3:$H$102,6,FALSE)&gt;=main!$D$103+VLOOKUP(VLOOKUP(M$1,main!$A$3:$I$102,7,FALSE),main!$K$26:$Q$29,4,FALSE)),1,0)</f>
        <v>0</v>
      </c>
      <c r="N170">
        <f>IF(AND(VLOOKUP(N$1,main!$A$3:$H$102,7,FALSE)=main!$G$104,VLOOKUP(N$1,main!$A$3:$H$102,5,FALSE)-VLOOKUP($A170,main!$A$3:$H$102,6,FALSE)&gt;=main!$D$103+VLOOKUP(VLOOKUP(N$1,main!$A$3:$I$102,7,FALSE),main!$K$26:$Q$29,4,FALSE)),1,0)</f>
        <v>0</v>
      </c>
      <c r="O170">
        <f>IF(AND(VLOOKUP(O$1,main!$A$3:$H$102,7,FALSE)=main!$G$104,VLOOKUP(O$1,main!$A$3:$H$102,5,FALSE)-VLOOKUP($A170,main!$A$3:$H$102,6,FALSE)&gt;=main!$D$103+VLOOKUP(VLOOKUP(O$1,main!$A$3:$I$102,7,FALSE),main!$K$26:$Q$29,4,FALSE)),1,0)</f>
        <v>0</v>
      </c>
      <c r="P170">
        <f>IF(AND(VLOOKUP(P$1,main!$A$3:$H$102,7,FALSE)=main!$G$104,VLOOKUP(P$1,main!$A$3:$H$102,5,FALSE)-VLOOKUP($A170,main!$A$3:$H$102,6,FALSE)&gt;=main!$D$103+VLOOKUP(VLOOKUP(P$1,main!$A$3:$I$102,7,FALSE),main!$K$26:$Q$29,4,FALSE)),1,0)</f>
        <v>0</v>
      </c>
      <c r="Q170">
        <f>IF(AND(VLOOKUP(Q$1,main!$A$3:$H$102,7,FALSE)=main!$G$104,VLOOKUP(Q$1,main!$A$3:$H$102,5,FALSE)-VLOOKUP($A170,main!$A$3:$H$102,6,FALSE)&gt;=main!$D$103+VLOOKUP(VLOOKUP(Q$1,main!$A$3:$I$102,7,FALSE),main!$K$26:$Q$29,4,FALSE)),1,0)</f>
        <v>0</v>
      </c>
      <c r="R170">
        <f>IF(AND(VLOOKUP(R$1,main!$A$3:$H$102,7,FALSE)=main!$G$104,VLOOKUP(R$1,main!$A$3:$H$102,5,FALSE)-VLOOKUP($A170,main!$A$3:$H$102,6,FALSE)&gt;=main!$D$103+VLOOKUP(VLOOKUP(R$1,main!$A$3:$I$102,7,FALSE),main!$K$26:$Q$29,4,FALSE)),1,0)</f>
        <v>0</v>
      </c>
      <c r="S170">
        <f>IF(AND(VLOOKUP(S$1,main!$A$3:$H$102,7,FALSE)=main!$G$104,VLOOKUP(S$1,main!$A$3:$H$102,5,FALSE)-VLOOKUP($A170,main!$A$3:$H$102,6,FALSE)&gt;=main!$D$103+VLOOKUP(VLOOKUP(S$1,main!$A$3:$I$102,7,FALSE),main!$K$26:$Q$29,4,FALSE)),1,0)</f>
        <v>0</v>
      </c>
      <c r="T170">
        <f>IF(AND(VLOOKUP(T$1,main!$A$3:$H$102,7,FALSE)=main!$G$104,VLOOKUP(T$1,main!$A$3:$H$102,5,FALSE)-VLOOKUP($A170,main!$A$3:$H$102,6,FALSE)&gt;=main!$D$103+VLOOKUP(VLOOKUP(T$1,main!$A$3:$I$102,7,FALSE),main!$K$26:$Q$29,4,FALSE)),1,0)</f>
        <v>1</v>
      </c>
      <c r="U170">
        <f>IF(AND(VLOOKUP(U$1,main!$A$3:$H$102,7,FALSE)=main!$G$104,VLOOKUP(U$1,main!$A$3:$H$102,5,FALSE)-VLOOKUP($A170,main!$A$3:$H$102,6,FALSE)&gt;=main!$D$103+VLOOKUP(VLOOKUP(U$1,main!$A$3:$I$102,7,FALSE),main!$K$26:$Q$29,4,FALSE)),1,0)</f>
        <v>1</v>
      </c>
      <c r="V170">
        <f>IF(AND(VLOOKUP(V$1,main!$A$3:$H$102,7,FALSE)=main!$G$104,VLOOKUP(V$1,main!$A$3:$H$102,5,FALSE)-VLOOKUP($A170,main!$A$3:$H$102,6,FALSE)&gt;=main!$D$103+VLOOKUP(VLOOKUP(V$1,main!$A$3:$I$102,7,FALSE),main!$K$26:$Q$29,4,FALSE)),1,0)</f>
        <v>1</v>
      </c>
      <c r="W170">
        <f>IF(AND(VLOOKUP(W$1,main!$A$3:$H$102,7,FALSE)=main!$G$104,VLOOKUP(W$1,main!$A$3:$H$102,5,FALSE)-VLOOKUP($A170,main!$A$3:$H$102,6,FALSE)&gt;=main!$D$103+VLOOKUP(VLOOKUP(W$1,main!$A$3:$I$102,7,FALSE),main!$K$26:$Q$29,4,FALSE)),1,0)</f>
        <v>0</v>
      </c>
      <c r="X170">
        <f>IF(AND(VLOOKUP(X$1,main!$A$3:$H$102,7,FALSE)=main!$G$104,VLOOKUP(X$1,main!$A$3:$H$102,5,FALSE)-VLOOKUP($A170,main!$A$3:$H$102,6,FALSE)&gt;=main!$D$103+VLOOKUP(VLOOKUP(X$1,main!$A$3:$I$102,7,FALSE),main!$K$26:$Q$29,4,FALSE)),1,0)</f>
        <v>0</v>
      </c>
      <c r="Y170">
        <f>IF(AND(VLOOKUP(Y$1,main!$A$3:$H$102,7,FALSE)=main!$G$104,VLOOKUP(Y$1,main!$A$3:$H$102,5,FALSE)-VLOOKUP($A170,main!$A$3:$H$102,6,FALSE)&gt;=main!$D$103+VLOOKUP(VLOOKUP(Y$1,main!$A$3:$I$102,7,FALSE),main!$K$26:$Q$29,4,FALSE)),1,0)</f>
        <v>0</v>
      </c>
      <c r="Z170">
        <f>IF(AND(VLOOKUP(Z$1,main!$A$3:$H$102,7,FALSE)=main!$G$104,VLOOKUP(Z$1,main!$A$3:$H$102,5,FALSE)-VLOOKUP($A170,main!$A$3:$H$102,6,FALSE)&gt;=main!$D$103+VLOOKUP(VLOOKUP(Z$1,main!$A$3:$I$102,7,FALSE),main!$K$26:$Q$29,4,FALSE)),1,0)</f>
        <v>1</v>
      </c>
      <c r="AA170">
        <f>IF(AND(VLOOKUP(AA$1,main!$A$3:$H$102,7,FALSE)=main!$G$104,VLOOKUP(AA$1,main!$A$3:$H$102,5,FALSE)-VLOOKUP($A170,main!$A$3:$H$102,6,FALSE)&gt;=main!$D$103+VLOOKUP(VLOOKUP(AA$1,main!$A$3:$I$102,7,FALSE),main!$K$26:$Q$29,4,FALSE)),1,0)</f>
        <v>1</v>
      </c>
      <c r="AB170">
        <f>IF(AND(VLOOKUP(AB$1,main!$A$3:$H$102,7,FALSE)=main!$G$104,VLOOKUP(AB$1,main!$A$3:$H$102,5,FALSE)-VLOOKUP($A170,main!$A$3:$H$102,6,FALSE)&gt;=main!$D$103+VLOOKUP(VLOOKUP(AB$1,main!$A$3:$I$102,7,FALSE),main!$K$26:$Q$29,4,FALSE)),1,0)</f>
        <v>0</v>
      </c>
      <c r="AC170">
        <f>IF(AND(VLOOKUP(AC$1,main!$A$3:$H$102,7,FALSE)=main!$G$104,VLOOKUP(AC$1,main!$A$3:$H$102,5,FALSE)-VLOOKUP($A170,main!$A$3:$H$102,6,FALSE)&gt;=main!$D$103+VLOOKUP(VLOOKUP(AC$1,main!$A$3:$I$102,7,FALSE),main!$K$26:$Q$29,4,FALSE)),1,0)</f>
        <v>0</v>
      </c>
      <c r="AD170">
        <f>IF(AND(VLOOKUP(AD$1,main!$A$3:$H$102,7,FALSE)=main!$G$104,VLOOKUP(AD$1,main!$A$3:$H$102,5,FALSE)-VLOOKUP($A170,main!$A$3:$H$102,6,FALSE)&gt;=main!$D$103+VLOOKUP(VLOOKUP(AD$1,main!$A$3:$I$102,7,FALSE),main!$K$26:$Q$29,4,FALSE)),1,0)</f>
        <v>0</v>
      </c>
      <c r="AE170">
        <f>IF(AND(VLOOKUP(AE$1,main!$A$3:$H$102,7,FALSE)=main!$G$104,VLOOKUP(AE$1,main!$A$3:$H$102,5,FALSE)-VLOOKUP($A170,main!$A$3:$H$102,6,FALSE)&gt;=main!$D$103+VLOOKUP(VLOOKUP(AE$1,main!$A$3:$I$102,7,FALSE),main!$K$26:$Q$29,4,FALSE)),1,0)</f>
        <v>0</v>
      </c>
      <c r="AF170">
        <f>IF(AND(VLOOKUP(AF$1,main!$A$3:$H$102,7,FALSE)=main!$G$104,VLOOKUP(AF$1,main!$A$3:$H$102,5,FALSE)-VLOOKUP($A170,main!$A$3:$H$102,6,FALSE)&gt;=main!$D$103+VLOOKUP(VLOOKUP(AF$1,main!$A$3:$I$102,7,FALSE),main!$K$26:$Q$29,4,FALSE)),1,0)</f>
        <v>1</v>
      </c>
      <c r="AG170">
        <f>IF(AND(VLOOKUP(AG$1,main!$A$3:$H$102,7,FALSE)=main!$G$104,VLOOKUP(AG$1,main!$A$3:$H$102,5,FALSE)-VLOOKUP($A170,main!$A$3:$H$102,6,FALSE)&gt;=main!$D$103+VLOOKUP(VLOOKUP(AG$1,main!$A$3:$I$102,7,FALSE),main!$K$26:$Q$29,4,FALSE)),1,0)</f>
        <v>0</v>
      </c>
      <c r="AH170">
        <f>IF(AND(VLOOKUP(AH$1,main!$A$3:$H$102,7,FALSE)=main!$G$104,VLOOKUP(AH$1,main!$A$3:$H$102,5,FALSE)-VLOOKUP($A170,main!$A$3:$H$102,6,FALSE)&gt;=main!$D$103+VLOOKUP(VLOOKUP(AH$1,main!$A$3:$I$102,7,FALSE),main!$K$26:$Q$29,4,FALSE)),1,0)</f>
        <v>0</v>
      </c>
      <c r="AI170">
        <f>IF(AND(VLOOKUP(AI$1,main!$A$3:$H$102,7,FALSE)=main!$G$104,VLOOKUP(AI$1,main!$A$3:$H$102,5,FALSE)-VLOOKUP($A170,main!$A$3:$H$102,6,FALSE)&gt;=main!$D$103+VLOOKUP(VLOOKUP(AI$1,main!$A$3:$I$102,7,FALSE),main!$K$26:$Q$29,4,FALSE)),1,0)</f>
        <v>0</v>
      </c>
      <c r="AJ170">
        <f>IF(AND(VLOOKUP(AJ$1,main!$A$3:$H$102,7,FALSE)=main!$G$104,VLOOKUP(AJ$1,main!$A$3:$H$102,5,FALSE)-VLOOKUP($A170,main!$A$3:$H$102,6,FALSE)&gt;=main!$D$103+VLOOKUP(VLOOKUP(AJ$1,main!$A$3:$I$102,7,FALSE),main!$K$26:$Q$29,4,FALSE)),1,0)</f>
        <v>0</v>
      </c>
      <c r="AK170">
        <f>IF(AND(VLOOKUP(AK$1,main!$A$3:$H$102,7,FALSE)=main!$G$104,VLOOKUP(AK$1,main!$A$3:$H$102,5,FALSE)-VLOOKUP($A170,main!$A$3:$H$102,6,FALSE)&gt;=main!$D$103+VLOOKUP(VLOOKUP(AK$1,main!$A$3:$I$102,7,FALSE),main!$K$26:$Q$29,4,FALSE)),1,0)</f>
        <v>0</v>
      </c>
      <c r="AL170">
        <f>IF(AND(VLOOKUP(AL$1,main!$A$3:$H$102,7,FALSE)=main!$G$104,VLOOKUP(AL$1,main!$A$3:$H$102,5,FALSE)-VLOOKUP($A170,main!$A$3:$H$102,6,FALSE)&gt;=main!$D$103+VLOOKUP(VLOOKUP(AL$1,main!$A$3:$I$102,7,FALSE),main!$K$26:$Q$29,4,FALSE)),1,0)</f>
        <v>0</v>
      </c>
      <c r="AM170">
        <f>IF(AND(VLOOKUP(AM$1,main!$A$3:$H$102,7,FALSE)=main!$G$104,VLOOKUP(AM$1,main!$A$3:$H$102,5,FALSE)-VLOOKUP($A170,main!$A$3:$H$102,6,FALSE)&gt;=main!$D$103+VLOOKUP(VLOOKUP(AM$1,main!$A$3:$I$102,7,FALSE),main!$K$26:$Q$29,4,FALSE)),1,0)</f>
        <v>0</v>
      </c>
      <c r="AN170">
        <f>IF(AND(VLOOKUP(AN$1,main!$A$3:$H$102,7,FALSE)=main!$G$104,VLOOKUP(AN$1,main!$A$3:$H$102,5,FALSE)-VLOOKUP($A170,main!$A$3:$H$102,6,FALSE)&gt;=main!$D$103+VLOOKUP(VLOOKUP(AN$1,main!$A$3:$I$102,7,FALSE),main!$K$26:$Q$29,4,FALSE)),1,0)</f>
        <v>0</v>
      </c>
      <c r="AO170">
        <f>IF(AND(VLOOKUP(AO$1,main!$A$3:$H$102,7,FALSE)=main!$G$104,VLOOKUP(AO$1,main!$A$3:$H$102,5,FALSE)-VLOOKUP($A170,main!$A$3:$H$102,6,FALSE)&gt;=main!$D$103+VLOOKUP(VLOOKUP(AO$1,main!$A$3:$I$102,7,FALSE),main!$K$26:$Q$29,4,FALSE)),1,0)</f>
        <v>0</v>
      </c>
      <c r="AP170">
        <f>IF(AND(VLOOKUP(AP$1,main!$A$3:$H$102,7,FALSE)=main!$G$104,VLOOKUP(AP$1,main!$A$3:$H$102,5,FALSE)-VLOOKUP($A170,main!$A$3:$H$102,6,FALSE)&gt;=main!$D$103+VLOOKUP(VLOOKUP(AP$1,main!$A$3:$I$102,7,FALSE),main!$K$26:$Q$29,4,FALSE)),1,0)</f>
        <v>0</v>
      </c>
      <c r="AQ170">
        <f>IF(AND(VLOOKUP(AQ$1,main!$A$3:$H$102,7,FALSE)=main!$G$104,VLOOKUP(AQ$1,main!$A$3:$H$102,5,FALSE)-VLOOKUP($A170,main!$A$3:$H$102,6,FALSE)&gt;=main!$D$103+VLOOKUP(VLOOKUP(AQ$1,main!$A$3:$I$102,7,FALSE),main!$K$26:$Q$29,4,FALSE)),1,0)</f>
        <v>0</v>
      </c>
      <c r="AR170">
        <f>IF(AND(VLOOKUP(AR$1,main!$A$3:$H$102,7,FALSE)=main!$G$104,VLOOKUP(AR$1,main!$A$3:$H$102,5,FALSE)-VLOOKUP($A170,main!$A$3:$H$102,6,FALSE)&gt;=main!$D$103+VLOOKUP(VLOOKUP(AR$1,main!$A$3:$I$102,7,FALSE),main!$K$26:$Q$29,4,FALSE)),1,0)</f>
        <v>0</v>
      </c>
      <c r="AS170">
        <f>IF(AND(VLOOKUP(AS$1,main!$A$3:$H$102,7,FALSE)=main!$G$104,VLOOKUP(AS$1,main!$A$3:$H$102,5,FALSE)-VLOOKUP($A170,main!$A$3:$H$102,6,FALSE)&gt;=main!$D$103+VLOOKUP(VLOOKUP(AS$1,main!$A$3:$I$102,7,FALSE),main!$K$26:$Q$29,4,FALSE)),1,0)</f>
        <v>0</v>
      </c>
      <c r="AT170">
        <f>IF(AND(VLOOKUP(AT$1,main!$A$3:$H$102,7,FALSE)=main!$G$104,VLOOKUP(AT$1,main!$A$3:$H$102,5,FALSE)-VLOOKUP($A170,main!$A$3:$H$102,6,FALSE)&gt;=main!$D$103+VLOOKUP(VLOOKUP(AT$1,main!$A$3:$I$102,7,FALSE),main!$K$26:$Q$29,4,FALSE)),1,0)</f>
        <v>0</v>
      </c>
      <c r="AU170">
        <f>IF(AND(VLOOKUP(AU$1,main!$A$3:$H$102,7,FALSE)=main!$G$104,VLOOKUP(AU$1,main!$A$3:$H$102,5,FALSE)-VLOOKUP($A170,main!$A$3:$H$102,6,FALSE)&gt;=main!$D$103+VLOOKUP(VLOOKUP(AU$1,main!$A$3:$I$102,7,FALSE),main!$K$26:$Q$29,4,FALSE)),1,0)</f>
        <v>0</v>
      </c>
      <c r="AV170">
        <f>IF(AND(VLOOKUP(AV$1,main!$A$3:$H$102,7,FALSE)=main!$G$104,VLOOKUP(AV$1,main!$A$3:$H$102,5,FALSE)-VLOOKUP($A170,main!$A$3:$H$102,6,FALSE)&gt;=main!$D$103+VLOOKUP(VLOOKUP(AV$1,main!$A$3:$I$102,7,FALSE),main!$K$26:$Q$29,4,FALSE)),1,0)</f>
        <v>0</v>
      </c>
      <c r="AW170">
        <f>IF(AND(VLOOKUP(AW$1,main!$A$3:$H$102,7,FALSE)=main!$G$104,VLOOKUP(AW$1,main!$A$3:$H$102,5,FALSE)-VLOOKUP($A170,main!$A$3:$H$102,6,FALSE)&gt;=main!$D$103+VLOOKUP(VLOOKUP(AW$1,main!$A$3:$I$102,7,FALSE),main!$K$26:$Q$29,4,FALSE)),1,0)</f>
        <v>0</v>
      </c>
      <c r="AX170">
        <f>IF(AND(VLOOKUP(AX$1,main!$A$3:$H$102,7,FALSE)=main!$G$104,VLOOKUP(AX$1,main!$A$3:$H$102,5,FALSE)-VLOOKUP($A170,main!$A$3:$H$102,6,FALSE)&gt;=main!$D$103+VLOOKUP(VLOOKUP(AX$1,main!$A$3:$I$102,7,FALSE),main!$K$26:$Q$29,4,FALSE)),1,0)</f>
        <v>0</v>
      </c>
      <c r="AY170">
        <f>IF(AND(VLOOKUP(AY$1,main!$A$3:$H$102,7,FALSE)=main!$G$104,VLOOKUP(AY$1,main!$A$3:$H$102,5,FALSE)-VLOOKUP($A170,main!$A$3:$H$102,6,FALSE)&gt;=main!$D$103+VLOOKUP(VLOOKUP(AY$1,main!$A$3:$I$102,7,FALSE),main!$K$26:$Q$29,4,FALSE)),1,0)</f>
        <v>0</v>
      </c>
      <c r="AZ170">
        <f>IF(AND(VLOOKUP(AZ$1,main!$A$3:$H$102,7,FALSE)=main!$G$104,VLOOKUP(AZ$1,main!$A$3:$H$102,5,FALSE)-VLOOKUP($A170,main!$A$3:$H$102,6,FALSE)&gt;=main!$D$103+VLOOKUP(VLOOKUP(AZ$1,main!$A$3:$I$102,7,FALSE),main!$K$26:$Q$29,4,FALSE)),1,0)</f>
        <v>0</v>
      </c>
      <c r="BA170">
        <f>IF(AND(VLOOKUP(BA$1,main!$A$3:$H$102,7,FALSE)=main!$G$104,VLOOKUP(BA$1,main!$A$3:$H$102,5,FALSE)-VLOOKUP($A170,main!$A$3:$H$102,6,FALSE)&gt;=main!$D$103+VLOOKUP(VLOOKUP(BA$1,main!$A$3:$I$102,7,FALSE),main!$K$26:$Q$29,4,FALSE)),1,0)</f>
        <v>0</v>
      </c>
      <c r="BB170">
        <f>IF(AND(VLOOKUP(BB$1,main!$A$3:$H$102,7,FALSE)=main!$G$104,VLOOKUP(BB$1,main!$A$3:$H$102,5,FALSE)-VLOOKUP($A170,main!$A$3:$H$102,6,FALSE)&gt;=main!$D$103+VLOOKUP(VLOOKUP(BB$1,main!$A$3:$I$102,7,FALSE),main!$K$26:$Q$29,4,FALSE)),1,0)</f>
        <v>0</v>
      </c>
      <c r="BC170">
        <f>IF(AND(VLOOKUP(BC$1,main!$A$3:$H$102,7,FALSE)=main!$G$104,VLOOKUP(BC$1,main!$A$3:$H$102,5,FALSE)-VLOOKUP($A170,main!$A$3:$H$102,6,FALSE)&gt;=main!$D$103+VLOOKUP(VLOOKUP(BC$1,main!$A$3:$I$102,7,FALSE),main!$K$26:$Q$29,4,FALSE)),1,0)</f>
        <v>0</v>
      </c>
      <c r="BD170">
        <f>IF(AND(VLOOKUP(BD$1,main!$A$3:$H$102,7,FALSE)=main!$G$104,VLOOKUP(BD$1,main!$A$3:$H$102,5,FALSE)-VLOOKUP($A170,main!$A$3:$H$102,6,FALSE)&gt;=main!$D$103+VLOOKUP(VLOOKUP(BD$1,main!$A$3:$I$102,7,FALSE),main!$K$26:$Q$29,4,FALSE)),1,0)</f>
        <v>0</v>
      </c>
      <c r="BE170">
        <f>IF(AND(VLOOKUP(BE$1,main!$A$3:$H$102,7,FALSE)=main!$G$104,VLOOKUP(BE$1,main!$A$3:$H$102,5,FALSE)-VLOOKUP($A170,main!$A$3:$H$102,6,FALSE)&gt;=main!$D$103+VLOOKUP(VLOOKUP(BE$1,main!$A$3:$I$102,7,FALSE),main!$K$26:$Q$29,4,FALSE)),1,0)</f>
        <v>0</v>
      </c>
      <c r="BF170">
        <f>IF(AND(VLOOKUP(BF$1,main!$A$3:$H$102,7,FALSE)=main!$G$104,VLOOKUP(BF$1,main!$A$3:$H$102,5,FALSE)-VLOOKUP($A170,main!$A$3:$H$102,6,FALSE)&gt;=main!$D$103+VLOOKUP(VLOOKUP(BF$1,main!$A$3:$I$102,7,FALSE),main!$K$26:$Q$29,4,FALSE)),1,0)</f>
        <v>0</v>
      </c>
      <c r="BG170">
        <f>IF(AND(VLOOKUP(BG$1,main!$A$3:$H$102,7,FALSE)=main!$G$104,VLOOKUP(BG$1,main!$A$3:$H$102,5,FALSE)-VLOOKUP($A170,main!$A$3:$H$102,6,FALSE)&gt;=main!$D$103+VLOOKUP(VLOOKUP(BG$1,main!$A$3:$I$102,7,FALSE),main!$K$26:$Q$29,4,FALSE)),1,0)</f>
        <v>0</v>
      </c>
      <c r="BH170">
        <f>IF(AND(VLOOKUP(BH$1,main!$A$3:$H$102,7,FALSE)=main!$G$104,VLOOKUP(BH$1,main!$A$3:$H$102,5,FALSE)-VLOOKUP($A170,main!$A$3:$H$102,6,FALSE)&gt;=main!$D$103+VLOOKUP(VLOOKUP(BH$1,main!$A$3:$I$102,7,FALSE),main!$K$26:$Q$29,4,FALSE)),1,0)</f>
        <v>0</v>
      </c>
      <c r="BI170">
        <f>IF(AND(VLOOKUP(BI$1,main!$A$3:$H$102,7,FALSE)=main!$G$104,VLOOKUP(BI$1,main!$A$3:$H$102,5,FALSE)-VLOOKUP($A170,main!$A$3:$H$102,6,FALSE)&gt;=main!$D$103+VLOOKUP(VLOOKUP(BI$1,main!$A$3:$I$102,7,FALSE),main!$K$26:$Q$29,4,FALSE)),1,0)</f>
        <v>0</v>
      </c>
      <c r="BJ170">
        <f>IF(AND(VLOOKUP(BJ$1,main!$A$3:$H$102,7,FALSE)=main!$G$104,VLOOKUP(BJ$1,main!$A$3:$H$102,5,FALSE)-VLOOKUP($A170,main!$A$3:$H$102,6,FALSE)&gt;=main!$D$103+VLOOKUP(VLOOKUP(BJ$1,main!$A$3:$I$102,7,FALSE),main!$K$26:$Q$29,4,FALSE)),1,0)</f>
        <v>0</v>
      </c>
      <c r="BK170">
        <f>IF(AND(VLOOKUP(BK$1,main!$A$3:$H$102,7,FALSE)=main!$G$104,VLOOKUP(BK$1,main!$A$3:$H$102,5,FALSE)-VLOOKUP($A170,main!$A$3:$H$102,6,FALSE)&gt;=main!$D$103+VLOOKUP(VLOOKUP(BK$1,main!$A$3:$I$102,7,FALSE),main!$K$26:$Q$29,4,FALSE)),1,0)</f>
        <v>0</v>
      </c>
      <c r="BL170">
        <f>IF(AND(VLOOKUP(BL$1,main!$A$3:$H$102,7,FALSE)=main!$G$104,VLOOKUP(BL$1,main!$A$3:$H$102,5,FALSE)-VLOOKUP($A170,main!$A$3:$H$102,6,FALSE)&gt;=main!$D$103+VLOOKUP(VLOOKUP(BL$1,main!$A$3:$I$102,7,FALSE),main!$K$26:$Q$29,4,FALSE)),1,0)</f>
        <v>0</v>
      </c>
      <c r="BM170">
        <f>IF(AND(VLOOKUP(BM$1,main!$A$3:$H$102,7,FALSE)=main!$G$104,VLOOKUP(BM$1,main!$A$3:$H$102,5,FALSE)-VLOOKUP($A170,main!$A$3:$H$102,6,FALSE)&gt;=main!$D$103+VLOOKUP(VLOOKUP(BM$1,main!$A$3:$I$102,7,FALSE),main!$K$26:$Q$29,4,FALSE)),1,0)</f>
        <v>0</v>
      </c>
      <c r="BN170">
        <f>IF(AND(VLOOKUP(BN$1,main!$A$3:$H$102,7,FALSE)=main!$G$104,VLOOKUP(BN$1,main!$A$3:$H$102,5,FALSE)-VLOOKUP($A170,main!$A$3:$H$102,6,FALSE)&gt;=main!$D$103+VLOOKUP(VLOOKUP(BN$1,main!$A$3:$I$102,7,FALSE),main!$K$26:$Q$29,4,FALSE)),1,0)</f>
        <v>0</v>
      </c>
      <c r="BO170">
        <f>IF(AND(VLOOKUP(BO$1,main!$A$3:$H$102,7,FALSE)=main!$G$104,VLOOKUP(BO$1,main!$A$3:$H$102,5,FALSE)-VLOOKUP($A170,main!$A$3:$H$102,6,FALSE)&gt;=main!$D$103+VLOOKUP(VLOOKUP(BO$1,main!$A$3:$I$102,7,FALSE),main!$K$26:$Q$29,4,FALSE)),1,0)</f>
        <v>0</v>
      </c>
      <c r="BP170">
        <f>IF(AND(VLOOKUP(BP$1,main!$A$3:$H$102,7,FALSE)=main!$G$104,VLOOKUP(BP$1,main!$A$3:$H$102,5,FALSE)-VLOOKUP($A170,main!$A$3:$H$102,6,FALSE)&gt;=main!$D$103+VLOOKUP(VLOOKUP(BP$1,main!$A$3:$I$102,7,FALSE),main!$K$26:$Q$29,4,FALSE)),1,0)</f>
        <v>0</v>
      </c>
      <c r="BQ170">
        <f>IF(AND(VLOOKUP(BQ$1,main!$A$3:$H$102,7,FALSE)=main!$G$104,VLOOKUP(BQ$1,main!$A$3:$H$102,5,FALSE)-VLOOKUP($A170,main!$A$3:$H$102,6,FALSE)&gt;=main!$D$103+VLOOKUP(VLOOKUP(BQ$1,main!$A$3:$I$102,7,FALSE),main!$K$26:$Q$29,4,FALSE)),1,0)</f>
        <v>0</v>
      </c>
      <c r="BR170">
        <f>IF(AND(VLOOKUP(BR$1,main!$A$3:$H$102,7,FALSE)=main!$G$104,VLOOKUP(BR$1,main!$A$3:$H$102,5,FALSE)-VLOOKUP($A170,main!$A$3:$H$102,6,FALSE)&gt;=main!$D$103+VLOOKUP(VLOOKUP(BR$1,main!$A$3:$I$102,7,FALSE),main!$K$26:$Q$29,4,FALSE)),1,0)</f>
        <v>0</v>
      </c>
      <c r="BS170">
        <f>IF(AND(VLOOKUP(BS$1,main!$A$3:$H$102,7,FALSE)=main!$G$104,VLOOKUP(BS$1,main!$A$3:$H$102,5,FALSE)-VLOOKUP($A170,main!$A$3:$H$102,6,FALSE)&gt;=main!$D$103+VLOOKUP(VLOOKUP(BS$1,main!$A$3:$I$102,7,FALSE),main!$K$26:$Q$29,4,FALSE)),1,0)</f>
        <v>0</v>
      </c>
      <c r="BT170">
        <f>IF(AND(VLOOKUP(BT$1,main!$A$3:$H$102,7,FALSE)=main!$G$104,VLOOKUP(BT$1,main!$A$3:$H$102,5,FALSE)-VLOOKUP($A170,main!$A$3:$H$102,6,FALSE)&gt;=main!$D$103+VLOOKUP(VLOOKUP(BT$1,main!$A$3:$I$102,7,FALSE),main!$K$26:$Q$29,4,FALSE)),1,0)</f>
        <v>0</v>
      </c>
      <c r="BU170">
        <f>IF(AND(VLOOKUP(BU$1,main!$A$3:$H$102,7,FALSE)=main!$G$104,VLOOKUP(BU$1,main!$A$3:$H$102,5,FALSE)-VLOOKUP($A170,main!$A$3:$H$102,6,FALSE)&gt;=main!$D$103+VLOOKUP(VLOOKUP(BU$1,main!$A$3:$I$102,7,FALSE),main!$K$26:$Q$29,4,FALSE)),1,0)</f>
        <v>0</v>
      </c>
      <c r="BV170">
        <f>IF(AND(VLOOKUP(BV$1,main!$A$3:$H$102,7,FALSE)=main!$G$104,VLOOKUP(BV$1,main!$A$3:$H$102,5,FALSE)-VLOOKUP($A170,main!$A$3:$H$102,6,FALSE)&gt;=main!$D$103+VLOOKUP(VLOOKUP(BV$1,main!$A$3:$I$102,7,FALSE),main!$K$26:$Q$29,4,FALSE)),1,0)</f>
        <v>0</v>
      </c>
      <c r="BW170">
        <f>IF(AND(VLOOKUP(BW$1,main!$A$3:$H$102,7,FALSE)=main!$G$104,VLOOKUP(BW$1,main!$A$3:$H$102,5,FALSE)-VLOOKUP($A170,main!$A$3:$H$102,6,FALSE)&gt;=main!$D$103+VLOOKUP(VLOOKUP(BW$1,main!$A$3:$I$102,7,FALSE),main!$K$26:$Q$29,4,FALSE)),1,0)</f>
        <v>0</v>
      </c>
      <c r="BX170">
        <f>IF(AND(VLOOKUP(BX$1,main!$A$3:$H$102,7,FALSE)=main!$G$104,VLOOKUP(BX$1,main!$A$3:$H$102,5,FALSE)-VLOOKUP($A170,main!$A$3:$H$102,6,FALSE)&gt;=main!$D$103+VLOOKUP(VLOOKUP(BX$1,main!$A$3:$I$102,7,FALSE),main!$K$26:$Q$29,4,FALSE)),1,0)</f>
        <v>0</v>
      </c>
      <c r="BY170">
        <f>IF(AND(VLOOKUP(BY$1,main!$A$3:$H$102,7,FALSE)=main!$G$104,VLOOKUP(BY$1,main!$A$3:$H$102,5,FALSE)-VLOOKUP($A170,main!$A$3:$H$102,6,FALSE)&gt;=main!$D$103+VLOOKUP(VLOOKUP(BY$1,main!$A$3:$I$102,7,FALSE),main!$K$26:$Q$29,4,FALSE)),1,0)</f>
        <v>0</v>
      </c>
      <c r="BZ170">
        <f>IF(AND(VLOOKUP(BZ$1,main!$A$3:$H$102,7,FALSE)=main!$G$104,VLOOKUP(BZ$1,main!$A$3:$H$102,5,FALSE)-VLOOKUP($A170,main!$A$3:$H$102,6,FALSE)&gt;=main!$D$103+VLOOKUP(VLOOKUP(BZ$1,main!$A$3:$I$102,7,FALSE),main!$K$26:$Q$29,4,FALSE)),1,0)</f>
        <v>0</v>
      </c>
      <c r="CA170">
        <f>IF(AND(VLOOKUP(CA$1,main!$A$3:$H$102,7,FALSE)=main!$G$104,VLOOKUP(CA$1,main!$A$3:$H$102,5,FALSE)-VLOOKUP($A170,main!$A$3:$H$102,6,FALSE)&gt;=main!$D$103+VLOOKUP(VLOOKUP(CA$1,main!$A$3:$I$102,7,FALSE),main!$K$26:$Q$29,4,FALSE)),1,0)</f>
        <v>0</v>
      </c>
      <c r="CB170">
        <f>IF(AND(VLOOKUP(CB$1,main!$A$3:$H$102,7,FALSE)=main!$G$104,VLOOKUP(CB$1,main!$A$3:$H$102,5,FALSE)-VLOOKUP($A170,main!$A$3:$H$102,6,FALSE)&gt;=main!$D$103+VLOOKUP(VLOOKUP(CB$1,main!$A$3:$I$102,7,FALSE),main!$K$26:$Q$29,4,FALSE)),1,0)</f>
        <v>0</v>
      </c>
      <c r="CC170">
        <f>IF(AND(VLOOKUP(CC$1,main!$A$3:$H$102,7,FALSE)=main!$G$104,VLOOKUP(CC$1,main!$A$3:$H$102,5,FALSE)-VLOOKUP($A170,main!$A$3:$H$102,6,FALSE)&gt;=main!$D$103+VLOOKUP(VLOOKUP(CC$1,main!$A$3:$I$102,7,FALSE),main!$K$26:$Q$29,4,FALSE)),1,0)</f>
        <v>0</v>
      </c>
      <c r="CD170">
        <f>IF(AND(VLOOKUP(CD$1,main!$A$3:$H$102,7,FALSE)=main!$G$104,VLOOKUP(CD$1,main!$A$3:$H$102,5,FALSE)-VLOOKUP($A170,main!$A$3:$H$102,6,FALSE)&gt;=main!$D$103+VLOOKUP(VLOOKUP(CD$1,main!$A$3:$I$102,7,FALSE),main!$K$26:$Q$29,4,FALSE)),1,0)</f>
        <v>0</v>
      </c>
      <c r="CE170">
        <f>IF(AND(VLOOKUP(CE$1,main!$A$3:$H$102,7,FALSE)=main!$G$104,VLOOKUP(CE$1,main!$A$3:$H$102,5,FALSE)-VLOOKUP($A170,main!$A$3:$H$102,6,FALSE)&gt;=main!$D$103+VLOOKUP(VLOOKUP(CE$1,main!$A$3:$I$102,7,FALSE),main!$K$26:$Q$29,4,FALSE)),1,0)</f>
        <v>0</v>
      </c>
      <c r="CF170">
        <f>IF(AND(VLOOKUP(CF$1,main!$A$3:$H$102,7,FALSE)=main!$G$104,VLOOKUP(CF$1,main!$A$3:$H$102,5,FALSE)-VLOOKUP($A170,main!$A$3:$H$102,6,FALSE)&gt;=main!$D$103+VLOOKUP(VLOOKUP(CF$1,main!$A$3:$I$102,7,FALSE),main!$K$26:$Q$29,4,FALSE)),1,0)</f>
        <v>0</v>
      </c>
      <c r="CG170">
        <f>IF(AND(VLOOKUP(CG$1,main!$A$3:$H$102,7,FALSE)=main!$G$104,VLOOKUP(CG$1,main!$A$3:$H$102,5,FALSE)-VLOOKUP($A170,main!$A$3:$H$102,6,FALSE)&gt;=main!$D$103+VLOOKUP(VLOOKUP(CG$1,main!$A$3:$I$102,7,FALSE),main!$K$26:$Q$29,4,FALSE)),1,0)</f>
        <v>0</v>
      </c>
      <c r="CH170">
        <f>IF(AND(VLOOKUP(CH$1,main!$A$3:$H$102,7,FALSE)=main!$G$104,VLOOKUP(CH$1,main!$A$3:$H$102,5,FALSE)-VLOOKUP($A170,main!$A$3:$H$102,6,FALSE)&gt;=main!$D$103+VLOOKUP(VLOOKUP(CH$1,main!$A$3:$I$102,7,FALSE),main!$K$26:$Q$29,4,FALSE)),1,0)</f>
        <v>0</v>
      </c>
      <c r="CI170">
        <f>IF(AND(VLOOKUP(CI$1,main!$A$3:$H$102,7,FALSE)=main!$G$104,VLOOKUP(CI$1,main!$A$3:$H$102,5,FALSE)-VLOOKUP($A170,main!$A$3:$H$102,6,FALSE)&gt;=main!$D$103+VLOOKUP(VLOOKUP(CI$1,main!$A$3:$I$102,7,FALSE),main!$K$26:$Q$29,4,FALSE)),1,0)</f>
        <v>0</v>
      </c>
      <c r="CJ170">
        <f>IF(AND(VLOOKUP(CJ$1,main!$A$3:$H$102,7,FALSE)=main!$G$104,VLOOKUP(CJ$1,main!$A$3:$H$102,5,FALSE)-VLOOKUP($A170,main!$A$3:$H$102,6,FALSE)&gt;=main!$D$103+VLOOKUP(VLOOKUP(CJ$1,main!$A$3:$I$102,7,FALSE),main!$K$26:$Q$29,4,FALSE)),1,0)</f>
        <v>0</v>
      </c>
      <c r="CK170">
        <f>IF(AND(VLOOKUP(CK$1,main!$A$3:$H$102,7,FALSE)=main!$G$104,VLOOKUP(CK$1,main!$A$3:$H$102,5,FALSE)-VLOOKUP($A170,main!$A$3:$H$102,6,FALSE)&gt;=main!$D$103+VLOOKUP(VLOOKUP(CK$1,main!$A$3:$I$102,7,FALSE),main!$K$26:$Q$29,4,FALSE)),1,0)</f>
        <v>0</v>
      </c>
      <c r="CL170">
        <f>IF(AND(VLOOKUP(CL$1,main!$A$3:$H$102,7,FALSE)=main!$G$104,VLOOKUP(CL$1,main!$A$3:$H$102,5,FALSE)-VLOOKUP($A170,main!$A$3:$H$102,6,FALSE)&gt;=main!$D$103+VLOOKUP(VLOOKUP(CL$1,main!$A$3:$I$102,7,FALSE),main!$K$26:$Q$29,4,FALSE)),1,0)</f>
        <v>0</v>
      </c>
      <c r="CM170">
        <f>IF(AND(VLOOKUP(CM$1,main!$A$3:$H$102,7,FALSE)=main!$G$104,VLOOKUP(CM$1,main!$A$3:$H$102,5,FALSE)-VLOOKUP($A170,main!$A$3:$H$102,6,FALSE)&gt;=main!$D$103+VLOOKUP(VLOOKUP(CM$1,main!$A$3:$I$102,7,FALSE),main!$K$26:$Q$29,4,FALSE)),1,0)</f>
        <v>0</v>
      </c>
      <c r="CN170">
        <f>IF(AND(VLOOKUP(CN$1,main!$A$3:$H$102,7,FALSE)=main!$G$104,VLOOKUP(CN$1,main!$A$3:$H$102,5,FALSE)-VLOOKUP($A170,main!$A$3:$H$102,6,FALSE)&gt;=main!$D$103+VLOOKUP(VLOOKUP(CN$1,main!$A$3:$I$102,7,FALSE),main!$K$26:$Q$29,4,FALSE)),1,0)</f>
        <v>0</v>
      </c>
      <c r="CO170">
        <f>IF(AND(VLOOKUP(CO$1,main!$A$3:$H$102,7,FALSE)=main!$G$104,VLOOKUP(CO$1,main!$A$3:$H$102,5,FALSE)-VLOOKUP($A170,main!$A$3:$H$102,6,FALSE)&gt;=main!$D$103+VLOOKUP(VLOOKUP(CO$1,main!$A$3:$I$102,7,FALSE),main!$K$26:$Q$29,4,FALSE)),1,0)</f>
        <v>0</v>
      </c>
      <c r="CP170">
        <f>IF(AND(VLOOKUP(CP$1,main!$A$3:$H$102,7,FALSE)=main!$G$104,VLOOKUP(CP$1,main!$A$3:$H$102,5,FALSE)-VLOOKUP($A170,main!$A$3:$H$102,6,FALSE)&gt;=main!$D$103+VLOOKUP(VLOOKUP(CP$1,main!$A$3:$I$102,7,FALSE),main!$K$26:$Q$29,4,FALSE)),1,0)</f>
        <v>0</v>
      </c>
      <c r="CQ170">
        <f>IF(AND(VLOOKUP(CQ$1,main!$A$3:$H$102,7,FALSE)=main!$G$104,VLOOKUP(CQ$1,main!$A$3:$H$102,5,FALSE)-VLOOKUP($A170,main!$A$3:$H$102,6,FALSE)&gt;=main!$D$103+VLOOKUP(VLOOKUP(CQ$1,main!$A$3:$I$102,7,FALSE),main!$K$26:$Q$29,4,FALSE)),1,0)</f>
        <v>0</v>
      </c>
      <c r="CR170">
        <f>IF(AND(VLOOKUP(CR$1,main!$A$3:$H$102,7,FALSE)=main!$G$104,VLOOKUP(CR$1,main!$A$3:$H$102,5,FALSE)-VLOOKUP($A170,main!$A$3:$H$102,6,FALSE)&gt;=main!$D$103+VLOOKUP(VLOOKUP(CR$1,main!$A$3:$I$102,7,FALSE),main!$K$26:$Q$29,4,FALSE)),1,0)</f>
        <v>0</v>
      </c>
      <c r="CS170">
        <f>IF(AND(VLOOKUP(CS$1,main!$A$3:$H$102,7,FALSE)=main!$G$104,VLOOKUP(CS$1,main!$A$3:$H$102,5,FALSE)-VLOOKUP($A170,main!$A$3:$H$102,6,FALSE)&gt;=main!$D$103+VLOOKUP(VLOOKUP(CS$1,main!$A$3:$I$102,7,FALSE),main!$K$26:$Q$29,4,FALSE)),1,0)</f>
        <v>0</v>
      </c>
      <c r="CT170">
        <f>IF(AND(VLOOKUP(CT$1,main!$A$3:$H$102,7,FALSE)=main!$G$104,VLOOKUP(CT$1,main!$A$3:$H$102,5,FALSE)-VLOOKUP($A170,main!$A$3:$H$102,6,FALSE)&gt;=main!$D$103+VLOOKUP(VLOOKUP(CT$1,main!$A$3:$I$102,7,FALSE),main!$K$26:$Q$29,4,FALSE)),1,0)</f>
        <v>0</v>
      </c>
      <c r="CU170">
        <f>IF(AND(VLOOKUP(CU$1,main!$A$3:$H$102,7,FALSE)=main!$G$104,VLOOKUP(CU$1,main!$A$3:$H$102,5,FALSE)-VLOOKUP($A170,main!$A$3:$H$102,6,FALSE)&gt;=main!$D$103+VLOOKUP(VLOOKUP(CU$1,main!$A$3:$I$102,7,FALSE),main!$K$26:$Q$29,4,FALSE)),1,0)</f>
        <v>0</v>
      </c>
      <c r="CV170">
        <f>IF(AND(VLOOKUP(CV$1,main!$A$3:$H$102,7,FALSE)=main!$G$104,VLOOKUP(CV$1,main!$A$3:$H$102,5,FALSE)-VLOOKUP($A170,main!$A$3:$H$102,6,FALSE)&gt;=main!$D$103+VLOOKUP(VLOOKUP(CV$1,main!$A$3:$I$102,7,FALSE),main!$K$26:$Q$29,4,FALSE)),1,0)</f>
        <v>0</v>
      </c>
      <c r="CW170">
        <f>IF(AND(VLOOKUP(CW$1,main!$A$3:$H$102,7,FALSE)=main!$G$104,VLOOKUP(CW$1,main!$A$3:$H$102,5,FALSE)-VLOOKUP($A170,main!$A$3:$H$102,6,FALSE)&gt;=main!$D$103+VLOOKUP(VLOOKUP(CW$1,main!$A$3:$I$102,7,FALSE),main!$K$26:$Q$29,4,FALSE)),1,0)</f>
        <v>0</v>
      </c>
      <c r="CX170">
        <f>IF(AND(VLOOKUP(CX$1,main!$A$3:$H$102,7,FALSE)=main!$G$104,VLOOKUP(CX$1,main!$A$3:$H$102,5,FALSE)-VLOOKUP($A170,main!$A$3:$H$102,6,FALSE)&gt;=main!$D$103+VLOOKUP(VLOOKUP(CX$1,main!$A$3:$I$102,7,FALSE),main!$K$26:$Q$29,4,FALSE)),1,0)</f>
        <v>0</v>
      </c>
    </row>
    <row r="171" spans="1:102" x14ac:dyDescent="0.25">
      <c r="A171" s="1">
        <v>68</v>
      </c>
      <c r="B171">
        <v>0</v>
      </c>
      <c r="C171">
        <f>IF(AND(VLOOKUP(C$1,main!$A$3:$H$102,7,FALSE)=main!$G$104,VLOOKUP(C$1,main!$A$3:$H$102,5,FALSE)-VLOOKUP($A171,main!$A$3:$H$102,6,FALSE)&gt;=main!$D$103+VLOOKUP(VLOOKUP(C$1,main!$A$3:$I$102,7,FALSE),main!$K$26:$Q$29,4,FALSE)),1,0)</f>
        <v>0</v>
      </c>
      <c r="D171">
        <f>IF(AND(VLOOKUP(D$1,main!$A$3:$H$102,7,FALSE)=main!$G$104,VLOOKUP(D$1,main!$A$3:$H$102,5,FALSE)-VLOOKUP($A171,main!$A$3:$H$102,6,FALSE)&gt;=main!$D$103+VLOOKUP(VLOOKUP(D$1,main!$A$3:$I$102,7,FALSE),main!$K$26:$Q$29,4,FALSE)),1,0)</f>
        <v>0</v>
      </c>
      <c r="E171">
        <f>IF(AND(VLOOKUP(E$1,main!$A$3:$H$102,7,FALSE)=main!$G$104,VLOOKUP(E$1,main!$A$3:$H$102,5,FALSE)-VLOOKUP($A171,main!$A$3:$H$102,6,FALSE)&gt;=main!$D$103+VLOOKUP(VLOOKUP(E$1,main!$A$3:$I$102,7,FALSE),main!$K$26:$Q$29,4,FALSE)),1,0)</f>
        <v>0</v>
      </c>
      <c r="F171">
        <f>IF(AND(VLOOKUP(F$1,main!$A$3:$H$102,7,FALSE)=main!$G$104,VLOOKUP(F$1,main!$A$3:$H$102,5,FALSE)-VLOOKUP($A171,main!$A$3:$H$102,6,FALSE)&gt;=main!$D$103+VLOOKUP(VLOOKUP(F$1,main!$A$3:$I$102,7,FALSE),main!$K$26:$Q$29,4,FALSE)),1,0)</f>
        <v>0</v>
      </c>
      <c r="G171">
        <f>IF(AND(VLOOKUP(G$1,main!$A$3:$H$102,7,FALSE)=main!$G$104,VLOOKUP(G$1,main!$A$3:$H$102,5,FALSE)-VLOOKUP($A171,main!$A$3:$H$102,6,FALSE)&gt;=main!$D$103+VLOOKUP(VLOOKUP(G$1,main!$A$3:$I$102,7,FALSE),main!$K$26:$Q$29,4,FALSE)),1,0)</f>
        <v>0</v>
      </c>
      <c r="H171">
        <f>IF(AND(VLOOKUP(H$1,main!$A$3:$H$102,7,FALSE)=main!$G$104,VLOOKUP(H$1,main!$A$3:$H$102,5,FALSE)-VLOOKUP($A171,main!$A$3:$H$102,6,FALSE)&gt;=main!$D$103+VLOOKUP(VLOOKUP(H$1,main!$A$3:$I$102,7,FALSE),main!$K$26:$Q$29,4,FALSE)),1,0)</f>
        <v>0</v>
      </c>
      <c r="I171">
        <f>IF(AND(VLOOKUP(I$1,main!$A$3:$H$102,7,FALSE)=main!$G$104,VLOOKUP(I$1,main!$A$3:$H$102,5,FALSE)-VLOOKUP($A171,main!$A$3:$H$102,6,FALSE)&gt;=main!$D$103+VLOOKUP(VLOOKUP(I$1,main!$A$3:$I$102,7,FALSE),main!$K$26:$Q$29,4,FALSE)),1,0)</f>
        <v>1</v>
      </c>
      <c r="J171">
        <f>IF(AND(VLOOKUP(J$1,main!$A$3:$H$102,7,FALSE)=main!$G$104,VLOOKUP(J$1,main!$A$3:$H$102,5,FALSE)-VLOOKUP($A171,main!$A$3:$H$102,6,FALSE)&gt;=main!$D$103+VLOOKUP(VLOOKUP(J$1,main!$A$3:$I$102,7,FALSE),main!$K$26:$Q$29,4,FALSE)),1,0)</f>
        <v>1</v>
      </c>
      <c r="K171">
        <f>IF(AND(VLOOKUP(K$1,main!$A$3:$H$102,7,FALSE)=main!$G$104,VLOOKUP(K$1,main!$A$3:$H$102,5,FALSE)-VLOOKUP($A171,main!$A$3:$H$102,6,FALSE)&gt;=main!$D$103+VLOOKUP(VLOOKUP(K$1,main!$A$3:$I$102,7,FALSE),main!$K$26:$Q$29,4,FALSE)),1,0)</f>
        <v>1</v>
      </c>
      <c r="L171">
        <f>IF(AND(VLOOKUP(L$1,main!$A$3:$H$102,7,FALSE)=main!$G$104,VLOOKUP(L$1,main!$A$3:$H$102,5,FALSE)-VLOOKUP($A171,main!$A$3:$H$102,6,FALSE)&gt;=main!$D$103+VLOOKUP(VLOOKUP(L$1,main!$A$3:$I$102,7,FALSE),main!$K$26:$Q$29,4,FALSE)),1,0)</f>
        <v>1</v>
      </c>
      <c r="M171">
        <f>IF(AND(VLOOKUP(M$1,main!$A$3:$H$102,7,FALSE)=main!$G$104,VLOOKUP(M$1,main!$A$3:$H$102,5,FALSE)-VLOOKUP($A171,main!$A$3:$H$102,6,FALSE)&gt;=main!$D$103+VLOOKUP(VLOOKUP(M$1,main!$A$3:$I$102,7,FALSE),main!$K$26:$Q$29,4,FALSE)),1,0)</f>
        <v>0</v>
      </c>
      <c r="N171">
        <f>IF(AND(VLOOKUP(N$1,main!$A$3:$H$102,7,FALSE)=main!$G$104,VLOOKUP(N$1,main!$A$3:$H$102,5,FALSE)-VLOOKUP($A171,main!$A$3:$H$102,6,FALSE)&gt;=main!$D$103+VLOOKUP(VLOOKUP(N$1,main!$A$3:$I$102,7,FALSE),main!$K$26:$Q$29,4,FALSE)),1,0)</f>
        <v>0</v>
      </c>
      <c r="O171">
        <f>IF(AND(VLOOKUP(O$1,main!$A$3:$H$102,7,FALSE)=main!$G$104,VLOOKUP(O$1,main!$A$3:$H$102,5,FALSE)-VLOOKUP($A171,main!$A$3:$H$102,6,FALSE)&gt;=main!$D$103+VLOOKUP(VLOOKUP(O$1,main!$A$3:$I$102,7,FALSE),main!$K$26:$Q$29,4,FALSE)),1,0)</f>
        <v>0</v>
      </c>
      <c r="P171">
        <f>IF(AND(VLOOKUP(P$1,main!$A$3:$H$102,7,FALSE)=main!$G$104,VLOOKUP(P$1,main!$A$3:$H$102,5,FALSE)-VLOOKUP($A171,main!$A$3:$H$102,6,FALSE)&gt;=main!$D$103+VLOOKUP(VLOOKUP(P$1,main!$A$3:$I$102,7,FALSE),main!$K$26:$Q$29,4,FALSE)),1,0)</f>
        <v>0</v>
      </c>
      <c r="Q171">
        <f>IF(AND(VLOOKUP(Q$1,main!$A$3:$H$102,7,FALSE)=main!$G$104,VLOOKUP(Q$1,main!$A$3:$H$102,5,FALSE)-VLOOKUP($A171,main!$A$3:$H$102,6,FALSE)&gt;=main!$D$103+VLOOKUP(VLOOKUP(Q$1,main!$A$3:$I$102,7,FALSE),main!$K$26:$Q$29,4,FALSE)),1,0)</f>
        <v>0</v>
      </c>
      <c r="R171">
        <f>IF(AND(VLOOKUP(R$1,main!$A$3:$H$102,7,FALSE)=main!$G$104,VLOOKUP(R$1,main!$A$3:$H$102,5,FALSE)-VLOOKUP($A171,main!$A$3:$H$102,6,FALSE)&gt;=main!$D$103+VLOOKUP(VLOOKUP(R$1,main!$A$3:$I$102,7,FALSE),main!$K$26:$Q$29,4,FALSE)),1,0)</f>
        <v>0</v>
      </c>
      <c r="S171">
        <f>IF(AND(VLOOKUP(S$1,main!$A$3:$H$102,7,FALSE)=main!$G$104,VLOOKUP(S$1,main!$A$3:$H$102,5,FALSE)-VLOOKUP($A171,main!$A$3:$H$102,6,FALSE)&gt;=main!$D$103+VLOOKUP(VLOOKUP(S$1,main!$A$3:$I$102,7,FALSE),main!$K$26:$Q$29,4,FALSE)),1,0)</f>
        <v>0</v>
      </c>
      <c r="T171">
        <f>IF(AND(VLOOKUP(T$1,main!$A$3:$H$102,7,FALSE)=main!$G$104,VLOOKUP(T$1,main!$A$3:$H$102,5,FALSE)-VLOOKUP($A171,main!$A$3:$H$102,6,FALSE)&gt;=main!$D$103+VLOOKUP(VLOOKUP(T$1,main!$A$3:$I$102,7,FALSE),main!$K$26:$Q$29,4,FALSE)),1,0)</f>
        <v>1</v>
      </c>
      <c r="U171">
        <f>IF(AND(VLOOKUP(U$1,main!$A$3:$H$102,7,FALSE)=main!$G$104,VLOOKUP(U$1,main!$A$3:$H$102,5,FALSE)-VLOOKUP($A171,main!$A$3:$H$102,6,FALSE)&gt;=main!$D$103+VLOOKUP(VLOOKUP(U$1,main!$A$3:$I$102,7,FALSE),main!$K$26:$Q$29,4,FALSE)),1,0)</f>
        <v>1</v>
      </c>
      <c r="V171">
        <f>IF(AND(VLOOKUP(V$1,main!$A$3:$H$102,7,FALSE)=main!$G$104,VLOOKUP(V$1,main!$A$3:$H$102,5,FALSE)-VLOOKUP($A171,main!$A$3:$H$102,6,FALSE)&gt;=main!$D$103+VLOOKUP(VLOOKUP(V$1,main!$A$3:$I$102,7,FALSE),main!$K$26:$Q$29,4,FALSE)),1,0)</f>
        <v>1</v>
      </c>
      <c r="W171">
        <f>IF(AND(VLOOKUP(W$1,main!$A$3:$H$102,7,FALSE)=main!$G$104,VLOOKUP(W$1,main!$A$3:$H$102,5,FALSE)-VLOOKUP($A171,main!$A$3:$H$102,6,FALSE)&gt;=main!$D$103+VLOOKUP(VLOOKUP(W$1,main!$A$3:$I$102,7,FALSE),main!$K$26:$Q$29,4,FALSE)),1,0)</f>
        <v>0</v>
      </c>
      <c r="X171">
        <f>IF(AND(VLOOKUP(X$1,main!$A$3:$H$102,7,FALSE)=main!$G$104,VLOOKUP(X$1,main!$A$3:$H$102,5,FALSE)-VLOOKUP($A171,main!$A$3:$H$102,6,FALSE)&gt;=main!$D$103+VLOOKUP(VLOOKUP(X$1,main!$A$3:$I$102,7,FALSE),main!$K$26:$Q$29,4,FALSE)),1,0)</f>
        <v>0</v>
      </c>
      <c r="Y171">
        <f>IF(AND(VLOOKUP(Y$1,main!$A$3:$H$102,7,FALSE)=main!$G$104,VLOOKUP(Y$1,main!$A$3:$H$102,5,FALSE)-VLOOKUP($A171,main!$A$3:$H$102,6,FALSE)&gt;=main!$D$103+VLOOKUP(VLOOKUP(Y$1,main!$A$3:$I$102,7,FALSE),main!$K$26:$Q$29,4,FALSE)),1,0)</f>
        <v>0</v>
      </c>
      <c r="Z171">
        <f>IF(AND(VLOOKUP(Z$1,main!$A$3:$H$102,7,FALSE)=main!$G$104,VLOOKUP(Z$1,main!$A$3:$H$102,5,FALSE)-VLOOKUP($A171,main!$A$3:$H$102,6,FALSE)&gt;=main!$D$103+VLOOKUP(VLOOKUP(Z$1,main!$A$3:$I$102,7,FALSE),main!$K$26:$Q$29,4,FALSE)),1,0)</f>
        <v>1</v>
      </c>
      <c r="AA171">
        <f>IF(AND(VLOOKUP(AA$1,main!$A$3:$H$102,7,FALSE)=main!$G$104,VLOOKUP(AA$1,main!$A$3:$H$102,5,FALSE)-VLOOKUP($A171,main!$A$3:$H$102,6,FALSE)&gt;=main!$D$103+VLOOKUP(VLOOKUP(AA$1,main!$A$3:$I$102,7,FALSE),main!$K$26:$Q$29,4,FALSE)),1,0)</f>
        <v>1</v>
      </c>
      <c r="AB171">
        <f>IF(AND(VLOOKUP(AB$1,main!$A$3:$H$102,7,FALSE)=main!$G$104,VLOOKUP(AB$1,main!$A$3:$H$102,5,FALSE)-VLOOKUP($A171,main!$A$3:$H$102,6,FALSE)&gt;=main!$D$103+VLOOKUP(VLOOKUP(AB$1,main!$A$3:$I$102,7,FALSE),main!$K$26:$Q$29,4,FALSE)),1,0)</f>
        <v>0</v>
      </c>
      <c r="AC171">
        <f>IF(AND(VLOOKUP(AC$1,main!$A$3:$H$102,7,FALSE)=main!$G$104,VLOOKUP(AC$1,main!$A$3:$H$102,5,FALSE)-VLOOKUP($A171,main!$A$3:$H$102,6,FALSE)&gt;=main!$D$103+VLOOKUP(VLOOKUP(AC$1,main!$A$3:$I$102,7,FALSE),main!$K$26:$Q$29,4,FALSE)),1,0)</f>
        <v>0</v>
      </c>
      <c r="AD171">
        <f>IF(AND(VLOOKUP(AD$1,main!$A$3:$H$102,7,FALSE)=main!$G$104,VLOOKUP(AD$1,main!$A$3:$H$102,5,FALSE)-VLOOKUP($A171,main!$A$3:$H$102,6,FALSE)&gt;=main!$D$103+VLOOKUP(VLOOKUP(AD$1,main!$A$3:$I$102,7,FALSE),main!$K$26:$Q$29,4,FALSE)),1,0)</f>
        <v>0</v>
      </c>
      <c r="AE171">
        <f>IF(AND(VLOOKUP(AE$1,main!$A$3:$H$102,7,FALSE)=main!$G$104,VLOOKUP(AE$1,main!$A$3:$H$102,5,FALSE)-VLOOKUP($A171,main!$A$3:$H$102,6,FALSE)&gt;=main!$D$103+VLOOKUP(VLOOKUP(AE$1,main!$A$3:$I$102,7,FALSE),main!$K$26:$Q$29,4,FALSE)),1,0)</f>
        <v>0</v>
      </c>
      <c r="AF171">
        <f>IF(AND(VLOOKUP(AF$1,main!$A$3:$H$102,7,FALSE)=main!$G$104,VLOOKUP(AF$1,main!$A$3:$H$102,5,FALSE)-VLOOKUP($A171,main!$A$3:$H$102,6,FALSE)&gt;=main!$D$103+VLOOKUP(VLOOKUP(AF$1,main!$A$3:$I$102,7,FALSE),main!$K$26:$Q$29,4,FALSE)),1,0)</f>
        <v>1</v>
      </c>
      <c r="AG171">
        <f>IF(AND(VLOOKUP(AG$1,main!$A$3:$H$102,7,FALSE)=main!$G$104,VLOOKUP(AG$1,main!$A$3:$H$102,5,FALSE)-VLOOKUP($A171,main!$A$3:$H$102,6,FALSE)&gt;=main!$D$103+VLOOKUP(VLOOKUP(AG$1,main!$A$3:$I$102,7,FALSE),main!$K$26:$Q$29,4,FALSE)),1,0)</f>
        <v>0</v>
      </c>
      <c r="AH171">
        <f>IF(AND(VLOOKUP(AH$1,main!$A$3:$H$102,7,FALSE)=main!$G$104,VLOOKUP(AH$1,main!$A$3:$H$102,5,FALSE)-VLOOKUP($A171,main!$A$3:$H$102,6,FALSE)&gt;=main!$D$103+VLOOKUP(VLOOKUP(AH$1,main!$A$3:$I$102,7,FALSE),main!$K$26:$Q$29,4,FALSE)),1,0)</f>
        <v>0</v>
      </c>
      <c r="AI171">
        <f>IF(AND(VLOOKUP(AI$1,main!$A$3:$H$102,7,FALSE)=main!$G$104,VLOOKUP(AI$1,main!$A$3:$H$102,5,FALSE)-VLOOKUP($A171,main!$A$3:$H$102,6,FALSE)&gt;=main!$D$103+VLOOKUP(VLOOKUP(AI$1,main!$A$3:$I$102,7,FALSE),main!$K$26:$Q$29,4,FALSE)),1,0)</f>
        <v>0</v>
      </c>
      <c r="AJ171">
        <f>IF(AND(VLOOKUP(AJ$1,main!$A$3:$H$102,7,FALSE)=main!$G$104,VLOOKUP(AJ$1,main!$A$3:$H$102,5,FALSE)-VLOOKUP($A171,main!$A$3:$H$102,6,FALSE)&gt;=main!$D$103+VLOOKUP(VLOOKUP(AJ$1,main!$A$3:$I$102,7,FALSE),main!$K$26:$Q$29,4,FALSE)),1,0)</f>
        <v>0</v>
      </c>
      <c r="AK171">
        <f>IF(AND(VLOOKUP(AK$1,main!$A$3:$H$102,7,FALSE)=main!$G$104,VLOOKUP(AK$1,main!$A$3:$H$102,5,FALSE)-VLOOKUP($A171,main!$A$3:$H$102,6,FALSE)&gt;=main!$D$103+VLOOKUP(VLOOKUP(AK$1,main!$A$3:$I$102,7,FALSE),main!$K$26:$Q$29,4,FALSE)),1,0)</f>
        <v>0</v>
      </c>
      <c r="AL171">
        <f>IF(AND(VLOOKUP(AL$1,main!$A$3:$H$102,7,FALSE)=main!$G$104,VLOOKUP(AL$1,main!$A$3:$H$102,5,FALSE)-VLOOKUP($A171,main!$A$3:$H$102,6,FALSE)&gt;=main!$D$103+VLOOKUP(VLOOKUP(AL$1,main!$A$3:$I$102,7,FALSE),main!$K$26:$Q$29,4,FALSE)),1,0)</f>
        <v>0</v>
      </c>
      <c r="AM171">
        <f>IF(AND(VLOOKUP(AM$1,main!$A$3:$H$102,7,FALSE)=main!$G$104,VLOOKUP(AM$1,main!$A$3:$H$102,5,FALSE)-VLOOKUP($A171,main!$A$3:$H$102,6,FALSE)&gt;=main!$D$103+VLOOKUP(VLOOKUP(AM$1,main!$A$3:$I$102,7,FALSE),main!$K$26:$Q$29,4,FALSE)),1,0)</f>
        <v>0</v>
      </c>
      <c r="AN171">
        <f>IF(AND(VLOOKUP(AN$1,main!$A$3:$H$102,7,FALSE)=main!$G$104,VLOOKUP(AN$1,main!$A$3:$H$102,5,FALSE)-VLOOKUP($A171,main!$A$3:$H$102,6,FALSE)&gt;=main!$D$103+VLOOKUP(VLOOKUP(AN$1,main!$A$3:$I$102,7,FALSE),main!$K$26:$Q$29,4,FALSE)),1,0)</f>
        <v>0</v>
      </c>
      <c r="AO171">
        <f>IF(AND(VLOOKUP(AO$1,main!$A$3:$H$102,7,FALSE)=main!$G$104,VLOOKUP(AO$1,main!$A$3:$H$102,5,FALSE)-VLOOKUP($A171,main!$A$3:$H$102,6,FALSE)&gt;=main!$D$103+VLOOKUP(VLOOKUP(AO$1,main!$A$3:$I$102,7,FALSE),main!$K$26:$Q$29,4,FALSE)),1,0)</f>
        <v>0</v>
      </c>
      <c r="AP171">
        <f>IF(AND(VLOOKUP(AP$1,main!$A$3:$H$102,7,FALSE)=main!$G$104,VLOOKUP(AP$1,main!$A$3:$H$102,5,FALSE)-VLOOKUP($A171,main!$A$3:$H$102,6,FALSE)&gt;=main!$D$103+VLOOKUP(VLOOKUP(AP$1,main!$A$3:$I$102,7,FALSE),main!$K$26:$Q$29,4,FALSE)),1,0)</f>
        <v>0</v>
      </c>
      <c r="AQ171">
        <f>IF(AND(VLOOKUP(AQ$1,main!$A$3:$H$102,7,FALSE)=main!$G$104,VLOOKUP(AQ$1,main!$A$3:$H$102,5,FALSE)-VLOOKUP($A171,main!$A$3:$H$102,6,FALSE)&gt;=main!$D$103+VLOOKUP(VLOOKUP(AQ$1,main!$A$3:$I$102,7,FALSE),main!$K$26:$Q$29,4,FALSE)),1,0)</f>
        <v>0</v>
      </c>
      <c r="AR171">
        <f>IF(AND(VLOOKUP(AR$1,main!$A$3:$H$102,7,FALSE)=main!$G$104,VLOOKUP(AR$1,main!$A$3:$H$102,5,FALSE)-VLOOKUP($A171,main!$A$3:$H$102,6,FALSE)&gt;=main!$D$103+VLOOKUP(VLOOKUP(AR$1,main!$A$3:$I$102,7,FALSE),main!$K$26:$Q$29,4,FALSE)),1,0)</f>
        <v>0</v>
      </c>
      <c r="AS171">
        <f>IF(AND(VLOOKUP(AS$1,main!$A$3:$H$102,7,FALSE)=main!$G$104,VLOOKUP(AS$1,main!$A$3:$H$102,5,FALSE)-VLOOKUP($A171,main!$A$3:$H$102,6,FALSE)&gt;=main!$D$103+VLOOKUP(VLOOKUP(AS$1,main!$A$3:$I$102,7,FALSE),main!$K$26:$Q$29,4,FALSE)),1,0)</f>
        <v>0</v>
      </c>
      <c r="AT171">
        <f>IF(AND(VLOOKUP(AT$1,main!$A$3:$H$102,7,FALSE)=main!$G$104,VLOOKUP(AT$1,main!$A$3:$H$102,5,FALSE)-VLOOKUP($A171,main!$A$3:$H$102,6,FALSE)&gt;=main!$D$103+VLOOKUP(VLOOKUP(AT$1,main!$A$3:$I$102,7,FALSE),main!$K$26:$Q$29,4,FALSE)),1,0)</f>
        <v>0</v>
      </c>
      <c r="AU171">
        <f>IF(AND(VLOOKUP(AU$1,main!$A$3:$H$102,7,FALSE)=main!$G$104,VLOOKUP(AU$1,main!$A$3:$H$102,5,FALSE)-VLOOKUP($A171,main!$A$3:$H$102,6,FALSE)&gt;=main!$D$103+VLOOKUP(VLOOKUP(AU$1,main!$A$3:$I$102,7,FALSE),main!$K$26:$Q$29,4,FALSE)),1,0)</f>
        <v>0</v>
      </c>
      <c r="AV171">
        <f>IF(AND(VLOOKUP(AV$1,main!$A$3:$H$102,7,FALSE)=main!$G$104,VLOOKUP(AV$1,main!$A$3:$H$102,5,FALSE)-VLOOKUP($A171,main!$A$3:$H$102,6,FALSE)&gt;=main!$D$103+VLOOKUP(VLOOKUP(AV$1,main!$A$3:$I$102,7,FALSE),main!$K$26:$Q$29,4,FALSE)),1,0)</f>
        <v>0</v>
      </c>
      <c r="AW171">
        <f>IF(AND(VLOOKUP(AW$1,main!$A$3:$H$102,7,FALSE)=main!$G$104,VLOOKUP(AW$1,main!$A$3:$H$102,5,FALSE)-VLOOKUP($A171,main!$A$3:$H$102,6,FALSE)&gt;=main!$D$103+VLOOKUP(VLOOKUP(AW$1,main!$A$3:$I$102,7,FALSE),main!$K$26:$Q$29,4,FALSE)),1,0)</f>
        <v>0</v>
      </c>
      <c r="AX171">
        <f>IF(AND(VLOOKUP(AX$1,main!$A$3:$H$102,7,FALSE)=main!$G$104,VLOOKUP(AX$1,main!$A$3:$H$102,5,FALSE)-VLOOKUP($A171,main!$A$3:$H$102,6,FALSE)&gt;=main!$D$103+VLOOKUP(VLOOKUP(AX$1,main!$A$3:$I$102,7,FALSE),main!$K$26:$Q$29,4,FALSE)),1,0)</f>
        <v>0</v>
      </c>
      <c r="AY171">
        <f>IF(AND(VLOOKUP(AY$1,main!$A$3:$H$102,7,FALSE)=main!$G$104,VLOOKUP(AY$1,main!$A$3:$H$102,5,FALSE)-VLOOKUP($A171,main!$A$3:$H$102,6,FALSE)&gt;=main!$D$103+VLOOKUP(VLOOKUP(AY$1,main!$A$3:$I$102,7,FALSE),main!$K$26:$Q$29,4,FALSE)),1,0)</f>
        <v>0</v>
      </c>
      <c r="AZ171">
        <f>IF(AND(VLOOKUP(AZ$1,main!$A$3:$H$102,7,FALSE)=main!$G$104,VLOOKUP(AZ$1,main!$A$3:$H$102,5,FALSE)-VLOOKUP($A171,main!$A$3:$H$102,6,FALSE)&gt;=main!$D$103+VLOOKUP(VLOOKUP(AZ$1,main!$A$3:$I$102,7,FALSE),main!$K$26:$Q$29,4,FALSE)),1,0)</f>
        <v>0</v>
      </c>
      <c r="BA171">
        <f>IF(AND(VLOOKUP(BA$1,main!$A$3:$H$102,7,FALSE)=main!$G$104,VLOOKUP(BA$1,main!$A$3:$H$102,5,FALSE)-VLOOKUP($A171,main!$A$3:$H$102,6,FALSE)&gt;=main!$D$103+VLOOKUP(VLOOKUP(BA$1,main!$A$3:$I$102,7,FALSE),main!$K$26:$Q$29,4,FALSE)),1,0)</f>
        <v>0</v>
      </c>
      <c r="BB171">
        <f>IF(AND(VLOOKUP(BB$1,main!$A$3:$H$102,7,FALSE)=main!$G$104,VLOOKUP(BB$1,main!$A$3:$H$102,5,FALSE)-VLOOKUP($A171,main!$A$3:$H$102,6,FALSE)&gt;=main!$D$103+VLOOKUP(VLOOKUP(BB$1,main!$A$3:$I$102,7,FALSE),main!$K$26:$Q$29,4,FALSE)),1,0)</f>
        <v>0</v>
      </c>
      <c r="BC171">
        <f>IF(AND(VLOOKUP(BC$1,main!$A$3:$H$102,7,FALSE)=main!$G$104,VLOOKUP(BC$1,main!$A$3:$H$102,5,FALSE)-VLOOKUP($A171,main!$A$3:$H$102,6,FALSE)&gt;=main!$D$103+VLOOKUP(VLOOKUP(BC$1,main!$A$3:$I$102,7,FALSE),main!$K$26:$Q$29,4,FALSE)),1,0)</f>
        <v>0</v>
      </c>
      <c r="BD171">
        <f>IF(AND(VLOOKUP(BD$1,main!$A$3:$H$102,7,FALSE)=main!$G$104,VLOOKUP(BD$1,main!$A$3:$H$102,5,FALSE)-VLOOKUP($A171,main!$A$3:$H$102,6,FALSE)&gt;=main!$D$103+VLOOKUP(VLOOKUP(BD$1,main!$A$3:$I$102,7,FALSE),main!$K$26:$Q$29,4,FALSE)),1,0)</f>
        <v>0</v>
      </c>
      <c r="BE171">
        <f>IF(AND(VLOOKUP(BE$1,main!$A$3:$H$102,7,FALSE)=main!$G$104,VLOOKUP(BE$1,main!$A$3:$H$102,5,FALSE)-VLOOKUP($A171,main!$A$3:$H$102,6,FALSE)&gt;=main!$D$103+VLOOKUP(VLOOKUP(BE$1,main!$A$3:$I$102,7,FALSE),main!$K$26:$Q$29,4,FALSE)),1,0)</f>
        <v>0</v>
      </c>
      <c r="BF171">
        <f>IF(AND(VLOOKUP(BF$1,main!$A$3:$H$102,7,FALSE)=main!$G$104,VLOOKUP(BF$1,main!$A$3:$H$102,5,FALSE)-VLOOKUP($A171,main!$A$3:$H$102,6,FALSE)&gt;=main!$D$103+VLOOKUP(VLOOKUP(BF$1,main!$A$3:$I$102,7,FALSE),main!$K$26:$Q$29,4,FALSE)),1,0)</f>
        <v>0</v>
      </c>
      <c r="BG171">
        <f>IF(AND(VLOOKUP(BG$1,main!$A$3:$H$102,7,FALSE)=main!$G$104,VLOOKUP(BG$1,main!$A$3:$H$102,5,FALSE)-VLOOKUP($A171,main!$A$3:$H$102,6,FALSE)&gt;=main!$D$103+VLOOKUP(VLOOKUP(BG$1,main!$A$3:$I$102,7,FALSE),main!$K$26:$Q$29,4,FALSE)),1,0)</f>
        <v>0</v>
      </c>
      <c r="BH171">
        <f>IF(AND(VLOOKUP(BH$1,main!$A$3:$H$102,7,FALSE)=main!$G$104,VLOOKUP(BH$1,main!$A$3:$H$102,5,FALSE)-VLOOKUP($A171,main!$A$3:$H$102,6,FALSE)&gt;=main!$D$103+VLOOKUP(VLOOKUP(BH$1,main!$A$3:$I$102,7,FALSE),main!$K$26:$Q$29,4,FALSE)),1,0)</f>
        <v>0</v>
      </c>
      <c r="BI171">
        <f>IF(AND(VLOOKUP(BI$1,main!$A$3:$H$102,7,FALSE)=main!$G$104,VLOOKUP(BI$1,main!$A$3:$H$102,5,FALSE)-VLOOKUP($A171,main!$A$3:$H$102,6,FALSE)&gt;=main!$D$103+VLOOKUP(VLOOKUP(BI$1,main!$A$3:$I$102,7,FALSE),main!$K$26:$Q$29,4,FALSE)),1,0)</f>
        <v>0</v>
      </c>
      <c r="BJ171">
        <f>IF(AND(VLOOKUP(BJ$1,main!$A$3:$H$102,7,FALSE)=main!$G$104,VLOOKUP(BJ$1,main!$A$3:$H$102,5,FALSE)-VLOOKUP($A171,main!$A$3:$H$102,6,FALSE)&gt;=main!$D$103+VLOOKUP(VLOOKUP(BJ$1,main!$A$3:$I$102,7,FALSE),main!$K$26:$Q$29,4,FALSE)),1,0)</f>
        <v>0</v>
      </c>
      <c r="BK171">
        <f>IF(AND(VLOOKUP(BK$1,main!$A$3:$H$102,7,FALSE)=main!$G$104,VLOOKUP(BK$1,main!$A$3:$H$102,5,FALSE)-VLOOKUP($A171,main!$A$3:$H$102,6,FALSE)&gt;=main!$D$103+VLOOKUP(VLOOKUP(BK$1,main!$A$3:$I$102,7,FALSE),main!$K$26:$Q$29,4,FALSE)),1,0)</f>
        <v>0</v>
      </c>
      <c r="BL171">
        <f>IF(AND(VLOOKUP(BL$1,main!$A$3:$H$102,7,FALSE)=main!$G$104,VLOOKUP(BL$1,main!$A$3:$H$102,5,FALSE)-VLOOKUP($A171,main!$A$3:$H$102,6,FALSE)&gt;=main!$D$103+VLOOKUP(VLOOKUP(BL$1,main!$A$3:$I$102,7,FALSE),main!$K$26:$Q$29,4,FALSE)),1,0)</f>
        <v>0</v>
      </c>
      <c r="BM171">
        <f>IF(AND(VLOOKUP(BM$1,main!$A$3:$H$102,7,FALSE)=main!$G$104,VLOOKUP(BM$1,main!$A$3:$H$102,5,FALSE)-VLOOKUP($A171,main!$A$3:$H$102,6,FALSE)&gt;=main!$D$103+VLOOKUP(VLOOKUP(BM$1,main!$A$3:$I$102,7,FALSE),main!$K$26:$Q$29,4,FALSE)),1,0)</f>
        <v>0</v>
      </c>
      <c r="BN171">
        <f>IF(AND(VLOOKUP(BN$1,main!$A$3:$H$102,7,FALSE)=main!$G$104,VLOOKUP(BN$1,main!$A$3:$H$102,5,FALSE)-VLOOKUP($A171,main!$A$3:$H$102,6,FALSE)&gt;=main!$D$103+VLOOKUP(VLOOKUP(BN$1,main!$A$3:$I$102,7,FALSE),main!$K$26:$Q$29,4,FALSE)),1,0)</f>
        <v>0</v>
      </c>
      <c r="BO171">
        <f>IF(AND(VLOOKUP(BO$1,main!$A$3:$H$102,7,FALSE)=main!$G$104,VLOOKUP(BO$1,main!$A$3:$H$102,5,FALSE)-VLOOKUP($A171,main!$A$3:$H$102,6,FALSE)&gt;=main!$D$103+VLOOKUP(VLOOKUP(BO$1,main!$A$3:$I$102,7,FALSE),main!$K$26:$Q$29,4,FALSE)),1,0)</f>
        <v>0</v>
      </c>
      <c r="BP171">
        <f>IF(AND(VLOOKUP(BP$1,main!$A$3:$H$102,7,FALSE)=main!$G$104,VLOOKUP(BP$1,main!$A$3:$H$102,5,FALSE)-VLOOKUP($A171,main!$A$3:$H$102,6,FALSE)&gt;=main!$D$103+VLOOKUP(VLOOKUP(BP$1,main!$A$3:$I$102,7,FALSE),main!$K$26:$Q$29,4,FALSE)),1,0)</f>
        <v>0</v>
      </c>
      <c r="BQ171">
        <f>IF(AND(VLOOKUP(BQ$1,main!$A$3:$H$102,7,FALSE)=main!$G$104,VLOOKUP(BQ$1,main!$A$3:$H$102,5,FALSE)-VLOOKUP($A171,main!$A$3:$H$102,6,FALSE)&gt;=main!$D$103+VLOOKUP(VLOOKUP(BQ$1,main!$A$3:$I$102,7,FALSE),main!$K$26:$Q$29,4,FALSE)),1,0)</f>
        <v>0</v>
      </c>
      <c r="BR171">
        <f>IF(AND(VLOOKUP(BR$1,main!$A$3:$H$102,7,FALSE)=main!$G$104,VLOOKUP(BR$1,main!$A$3:$H$102,5,FALSE)-VLOOKUP($A171,main!$A$3:$H$102,6,FALSE)&gt;=main!$D$103+VLOOKUP(VLOOKUP(BR$1,main!$A$3:$I$102,7,FALSE),main!$K$26:$Q$29,4,FALSE)),1,0)</f>
        <v>0</v>
      </c>
      <c r="BS171">
        <f>IF(AND(VLOOKUP(BS$1,main!$A$3:$H$102,7,FALSE)=main!$G$104,VLOOKUP(BS$1,main!$A$3:$H$102,5,FALSE)-VLOOKUP($A171,main!$A$3:$H$102,6,FALSE)&gt;=main!$D$103+VLOOKUP(VLOOKUP(BS$1,main!$A$3:$I$102,7,FALSE),main!$K$26:$Q$29,4,FALSE)),1,0)</f>
        <v>0</v>
      </c>
      <c r="BT171">
        <f>IF(AND(VLOOKUP(BT$1,main!$A$3:$H$102,7,FALSE)=main!$G$104,VLOOKUP(BT$1,main!$A$3:$H$102,5,FALSE)-VLOOKUP($A171,main!$A$3:$H$102,6,FALSE)&gt;=main!$D$103+VLOOKUP(VLOOKUP(BT$1,main!$A$3:$I$102,7,FALSE),main!$K$26:$Q$29,4,FALSE)),1,0)</f>
        <v>0</v>
      </c>
      <c r="BU171">
        <f>IF(AND(VLOOKUP(BU$1,main!$A$3:$H$102,7,FALSE)=main!$G$104,VLOOKUP(BU$1,main!$A$3:$H$102,5,FALSE)-VLOOKUP($A171,main!$A$3:$H$102,6,FALSE)&gt;=main!$D$103+VLOOKUP(VLOOKUP(BU$1,main!$A$3:$I$102,7,FALSE),main!$K$26:$Q$29,4,FALSE)),1,0)</f>
        <v>0</v>
      </c>
      <c r="BV171">
        <f>IF(AND(VLOOKUP(BV$1,main!$A$3:$H$102,7,FALSE)=main!$G$104,VLOOKUP(BV$1,main!$A$3:$H$102,5,FALSE)-VLOOKUP($A171,main!$A$3:$H$102,6,FALSE)&gt;=main!$D$103+VLOOKUP(VLOOKUP(BV$1,main!$A$3:$I$102,7,FALSE),main!$K$26:$Q$29,4,FALSE)),1,0)</f>
        <v>0</v>
      </c>
      <c r="BW171">
        <f>IF(AND(VLOOKUP(BW$1,main!$A$3:$H$102,7,FALSE)=main!$G$104,VLOOKUP(BW$1,main!$A$3:$H$102,5,FALSE)-VLOOKUP($A171,main!$A$3:$H$102,6,FALSE)&gt;=main!$D$103+VLOOKUP(VLOOKUP(BW$1,main!$A$3:$I$102,7,FALSE),main!$K$26:$Q$29,4,FALSE)),1,0)</f>
        <v>0</v>
      </c>
      <c r="BX171">
        <f>IF(AND(VLOOKUP(BX$1,main!$A$3:$H$102,7,FALSE)=main!$G$104,VLOOKUP(BX$1,main!$A$3:$H$102,5,FALSE)-VLOOKUP($A171,main!$A$3:$H$102,6,FALSE)&gt;=main!$D$103+VLOOKUP(VLOOKUP(BX$1,main!$A$3:$I$102,7,FALSE),main!$K$26:$Q$29,4,FALSE)),1,0)</f>
        <v>0</v>
      </c>
      <c r="BY171">
        <f>IF(AND(VLOOKUP(BY$1,main!$A$3:$H$102,7,FALSE)=main!$G$104,VLOOKUP(BY$1,main!$A$3:$H$102,5,FALSE)-VLOOKUP($A171,main!$A$3:$H$102,6,FALSE)&gt;=main!$D$103+VLOOKUP(VLOOKUP(BY$1,main!$A$3:$I$102,7,FALSE),main!$K$26:$Q$29,4,FALSE)),1,0)</f>
        <v>0</v>
      </c>
      <c r="BZ171">
        <f>IF(AND(VLOOKUP(BZ$1,main!$A$3:$H$102,7,FALSE)=main!$G$104,VLOOKUP(BZ$1,main!$A$3:$H$102,5,FALSE)-VLOOKUP($A171,main!$A$3:$H$102,6,FALSE)&gt;=main!$D$103+VLOOKUP(VLOOKUP(BZ$1,main!$A$3:$I$102,7,FALSE),main!$K$26:$Q$29,4,FALSE)),1,0)</f>
        <v>0</v>
      </c>
      <c r="CA171">
        <f>IF(AND(VLOOKUP(CA$1,main!$A$3:$H$102,7,FALSE)=main!$G$104,VLOOKUP(CA$1,main!$A$3:$H$102,5,FALSE)-VLOOKUP($A171,main!$A$3:$H$102,6,FALSE)&gt;=main!$D$103+VLOOKUP(VLOOKUP(CA$1,main!$A$3:$I$102,7,FALSE),main!$K$26:$Q$29,4,FALSE)),1,0)</f>
        <v>0</v>
      </c>
      <c r="CB171">
        <f>IF(AND(VLOOKUP(CB$1,main!$A$3:$H$102,7,FALSE)=main!$G$104,VLOOKUP(CB$1,main!$A$3:$H$102,5,FALSE)-VLOOKUP($A171,main!$A$3:$H$102,6,FALSE)&gt;=main!$D$103+VLOOKUP(VLOOKUP(CB$1,main!$A$3:$I$102,7,FALSE),main!$K$26:$Q$29,4,FALSE)),1,0)</f>
        <v>0</v>
      </c>
      <c r="CC171">
        <f>IF(AND(VLOOKUP(CC$1,main!$A$3:$H$102,7,FALSE)=main!$G$104,VLOOKUP(CC$1,main!$A$3:$H$102,5,FALSE)-VLOOKUP($A171,main!$A$3:$H$102,6,FALSE)&gt;=main!$D$103+VLOOKUP(VLOOKUP(CC$1,main!$A$3:$I$102,7,FALSE),main!$K$26:$Q$29,4,FALSE)),1,0)</f>
        <v>0</v>
      </c>
      <c r="CD171">
        <f>IF(AND(VLOOKUP(CD$1,main!$A$3:$H$102,7,FALSE)=main!$G$104,VLOOKUP(CD$1,main!$A$3:$H$102,5,FALSE)-VLOOKUP($A171,main!$A$3:$H$102,6,FALSE)&gt;=main!$D$103+VLOOKUP(VLOOKUP(CD$1,main!$A$3:$I$102,7,FALSE),main!$K$26:$Q$29,4,FALSE)),1,0)</f>
        <v>0</v>
      </c>
      <c r="CE171">
        <f>IF(AND(VLOOKUP(CE$1,main!$A$3:$H$102,7,FALSE)=main!$G$104,VLOOKUP(CE$1,main!$A$3:$H$102,5,FALSE)-VLOOKUP($A171,main!$A$3:$H$102,6,FALSE)&gt;=main!$D$103+VLOOKUP(VLOOKUP(CE$1,main!$A$3:$I$102,7,FALSE),main!$K$26:$Q$29,4,FALSE)),1,0)</f>
        <v>0</v>
      </c>
      <c r="CF171">
        <f>IF(AND(VLOOKUP(CF$1,main!$A$3:$H$102,7,FALSE)=main!$G$104,VLOOKUP(CF$1,main!$A$3:$H$102,5,FALSE)-VLOOKUP($A171,main!$A$3:$H$102,6,FALSE)&gt;=main!$D$103+VLOOKUP(VLOOKUP(CF$1,main!$A$3:$I$102,7,FALSE),main!$K$26:$Q$29,4,FALSE)),1,0)</f>
        <v>0</v>
      </c>
      <c r="CG171">
        <f>IF(AND(VLOOKUP(CG$1,main!$A$3:$H$102,7,FALSE)=main!$G$104,VLOOKUP(CG$1,main!$A$3:$H$102,5,FALSE)-VLOOKUP($A171,main!$A$3:$H$102,6,FALSE)&gt;=main!$D$103+VLOOKUP(VLOOKUP(CG$1,main!$A$3:$I$102,7,FALSE),main!$K$26:$Q$29,4,FALSE)),1,0)</f>
        <v>0</v>
      </c>
      <c r="CH171">
        <f>IF(AND(VLOOKUP(CH$1,main!$A$3:$H$102,7,FALSE)=main!$G$104,VLOOKUP(CH$1,main!$A$3:$H$102,5,FALSE)-VLOOKUP($A171,main!$A$3:$H$102,6,FALSE)&gt;=main!$D$103+VLOOKUP(VLOOKUP(CH$1,main!$A$3:$I$102,7,FALSE),main!$K$26:$Q$29,4,FALSE)),1,0)</f>
        <v>0</v>
      </c>
      <c r="CI171">
        <f>IF(AND(VLOOKUP(CI$1,main!$A$3:$H$102,7,FALSE)=main!$G$104,VLOOKUP(CI$1,main!$A$3:$H$102,5,FALSE)-VLOOKUP($A171,main!$A$3:$H$102,6,FALSE)&gt;=main!$D$103+VLOOKUP(VLOOKUP(CI$1,main!$A$3:$I$102,7,FALSE),main!$K$26:$Q$29,4,FALSE)),1,0)</f>
        <v>0</v>
      </c>
      <c r="CJ171">
        <f>IF(AND(VLOOKUP(CJ$1,main!$A$3:$H$102,7,FALSE)=main!$G$104,VLOOKUP(CJ$1,main!$A$3:$H$102,5,FALSE)-VLOOKUP($A171,main!$A$3:$H$102,6,FALSE)&gt;=main!$D$103+VLOOKUP(VLOOKUP(CJ$1,main!$A$3:$I$102,7,FALSE),main!$K$26:$Q$29,4,FALSE)),1,0)</f>
        <v>0</v>
      </c>
      <c r="CK171">
        <f>IF(AND(VLOOKUP(CK$1,main!$A$3:$H$102,7,FALSE)=main!$G$104,VLOOKUP(CK$1,main!$A$3:$H$102,5,FALSE)-VLOOKUP($A171,main!$A$3:$H$102,6,FALSE)&gt;=main!$D$103+VLOOKUP(VLOOKUP(CK$1,main!$A$3:$I$102,7,FALSE),main!$K$26:$Q$29,4,FALSE)),1,0)</f>
        <v>0</v>
      </c>
      <c r="CL171">
        <f>IF(AND(VLOOKUP(CL$1,main!$A$3:$H$102,7,FALSE)=main!$G$104,VLOOKUP(CL$1,main!$A$3:$H$102,5,FALSE)-VLOOKUP($A171,main!$A$3:$H$102,6,FALSE)&gt;=main!$D$103+VLOOKUP(VLOOKUP(CL$1,main!$A$3:$I$102,7,FALSE),main!$K$26:$Q$29,4,FALSE)),1,0)</f>
        <v>0</v>
      </c>
      <c r="CM171">
        <f>IF(AND(VLOOKUP(CM$1,main!$A$3:$H$102,7,FALSE)=main!$G$104,VLOOKUP(CM$1,main!$A$3:$H$102,5,FALSE)-VLOOKUP($A171,main!$A$3:$H$102,6,FALSE)&gt;=main!$D$103+VLOOKUP(VLOOKUP(CM$1,main!$A$3:$I$102,7,FALSE),main!$K$26:$Q$29,4,FALSE)),1,0)</f>
        <v>0</v>
      </c>
      <c r="CN171">
        <f>IF(AND(VLOOKUP(CN$1,main!$A$3:$H$102,7,FALSE)=main!$G$104,VLOOKUP(CN$1,main!$A$3:$H$102,5,FALSE)-VLOOKUP($A171,main!$A$3:$H$102,6,FALSE)&gt;=main!$D$103+VLOOKUP(VLOOKUP(CN$1,main!$A$3:$I$102,7,FALSE),main!$K$26:$Q$29,4,FALSE)),1,0)</f>
        <v>0</v>
      </c>
      <c r="CO171">
        <f>IF(AND(VLOOKUP(CO$1,main!$A$3:$H$102,7,FALSE)=main!$G$104,VLOOKUP(CO$1,main!$A$3:$H$102,5,FALSE)-VLOOKUP($A171,main!$A$3:$H$102,6,FALSE)&gt;=main!$D$103+VLOOKUP(VLOOKUP(CO$1,main!$A$3:$I$102,7,FALSE),main!$K$26:$Q$29,4,FALSE)),1,0)</f>
        <v>0</v>
      </c>
      <c r="CP171">
        <f>IF(AND(VLOOKUP(CP$1,main!$A$3:$H$102,7,FALSE)=main!$G$104,VLOOKUP(CP$1,main!$A$3:$H$102,5,FALSE)-VLOOKUP($A171,main!$A$3:$H$102,6,FALSE)&gt;=main!$D$103+VLOOKUP(VLOOKUP(CP$1,main!$A$3:$I$102,7,FALSE),main!$K$26:$Q$29,4,FALSE)),1,0)</f>
        <v>0</v>
      </c>
      <c r="CQ171">
        <f>IF(AND(VLOOKUP(CQ$1,main!$A$3:$H$102,7,FALSE)=main!$G$104,VLOOKUP(CQ$1,main!$A$3:$H$102,5,FALSE)-VLOOKUP($A171,main!$A$3:$H$102,6,FALSE)&gt;=main!$D$103+VLOOKUP(VLOOKUP(CQ$1,main!$A$3:$I$102,7,FALSE),main!$K$26:$Q$29,4,FALSE)),1,0)</f>
        <v>0</v>
      </c>
      <c r="CR171">
        <f>IF(AND(VLOOKUP(CR$1,main!$A$3:$H$102,7,FALSE)=main!$G$104,VLOOKUP(CR$1,main!$A$3:$H$102,5,FALSE)-VLOOKUP($A171,main!$A$3:$H$102,6,FALSE)&gt;=main!$D$103+VLOOKUP(VLOOKUP(CR$1,main!$A$3:$I$102,7,FALSE),main!$K$26:$Q$29,4,FALSE)),1,0)</f>
        <v>0</v>
      </c>
      <c r="CS171">
        <f>IF(AND(VLOOKUP(CS$1,main!$A$3:$H$102,7,FALSE)=main!$G$104,VLOOKUP(CS$1,main!$A$3:$H$102,5,FALSE)-VLOOKUP($A171,main!$A$3:$H$102,6,FALSE)&gt;=main!$D$103+VLOOKUP(VLOOKUP(CS$1,main!$A$3:$I$102,7,FALSE),main!$K$26:$Q$29,4,FALSE)),1,0)</f>
        <v>0</v>
      </c>
      <c r="CT171">
        <f>IF(AND(VLOOKUP(CT$1,main!$A$3:$H$102,7,FALSE)=main!$G$104,VLOOKUP(CT$1,main!$A$3:$H$102,5,FALSE)-VLOOKUP($A171,main!$A$3:$H$102,6,FALSE)&gt;=main!$D$103+VLOOKUP(VLOOKUP(CT$1,main!$A$3:$I$102,7,FALSE),main!$K$26:$Q$29,4,FALSE)),1,0)</f>
        <v>0</v>
      </c>
      <c r="CU171">
        <f>IF(AND(VLOOKUP(CU$1,main!$A$3:$H$102,7,FALSE)=main!$G$104,VLOOKUP(CU$1,main!$A$3:$H$102,5,FALSE)-VLOOKUP($A171,main!$A$3:$H$102,6,FALSE)&gt;=main!$D$103+VLOOKUP(VLOOKUP(CU$1,main!$A$3:$I$102,7,FALSE),main!$K$26:$Q$29,4,FALSE)),1,0)</f>
        <v>0</v>
      </c>
      <c r="CV171">
        <f>IF(AND(VLOOKUP(CV$1,main!$A$3:$H$102,7,FALSE)=main!$G$104,VLOOKUP(CV$1,main!$A$3:$H$102,5,FALSE)-VLOOKUP($A171,main!$A$3:$H$102,6,FALSE)&gt;=main!$D$103+VLOOKUP(VLOOKUP(CV$1,main!$A$3:$I$102,7,FALSE),main!$K$26:$Q$29,4,FALSE)),1,0)</f>
        <v>0</v>
      </c>
      <c r="CW171">
        <f>IF(AND(VLOOKUP(CW$1,main!$A$3:$H$102,7,FALSE)=main!$G$104,VLOOKUP(CW$1,main!$A$3:$H$102,5,FALSE)-VLOOKUP($A171,main!$A$3:$H$102,6,FALSE)&gt;=main!$D$103+VLOOKUP(VLOOKUP(CW$1,main!$A$3:$I$102,7,FALSE),main!$K$26:$Q$29,4,FALSE)),1,0)</f>
        <v>0</v>
      </c>
      <c r="CX171">
        <f>IF(AND(VLOOKUP(CX$1,main!$A$3:$H$102,7,FALSE)=main!$G$104,VLOOKUP(CX$1,main!$A$3:$H$102,5,FALSE)-VLOOKUP($A171,main!$A$3:$H$102,6,FALSE)&gt;=main!$D$103+VLOOKUP(VLOOKUP(CX$1,main!$A$3:$I$102,7,FALSE),main!$K$26:$Q$29,4,FALSE)),1,0)</f>
        <v>0</v>
      </c>
    </row>
    <row r="172" spans="1:102" x14ac:dyDescent="0.25">
      <c r="A172" s="1">
        <v>69</v>
      </c>
      <c r="B172">
        <v>0</v>
      </c>
      <c r="C172">
        <f>IF(AND(VLOOKUP(C$1,main!$A$3:$H$102,7,FALSE)=main!$G$104,VLOOKUP(C$1,main!$A$3:$H$102,5,FALSE)-VLOOKUP($A172,main!$A$3:$H$102,6,FALSE)&gt;=main!$D$103+VLOOKUP(VLOOKUP(C$1,main!$A$3:$I$102,7,FALSE),main!$K$26:$Q$29,4,FALSE)),1,0)</f>
        <v>0</v>
      </c>
      <c r="D172">
        <f>IF(AND(VLOOKUP(D$1,main!$A$3:$H$102,7,FALSE)=main!$G$104,VLOOKUP(D$1,main!$A$3:$H$102,5,FALSE)-VLOOKUP($A172,main!$A$3:$H$102,6,FALSE)&gt;=main!$D$103+VLOOKUP(VLOOKUP(D$1,main!$A$3:$I$102,7,FALSE),main!$K$26:$Q$29,4,FALSE)),1,0)</f>
        <v>0</v>
      </c>
      <c r="E172">
        <f>IF(AND(VLOOKUP(E$1,main!$A$3:$H$102,7,FALSE)=main!$G$104,VLOOKUP(E$1,main!$A$3:$H$102,5,FALSE)-VLOOKUP($A172,main!$A$3:$H$102,6,FALSE)&gt;=main!$D$103+VLOOKUP(VLOOKUP(E$1,main!$A$3:$I$102,7,FALSE),main!$K$26:$Q$29,4,FALSE)),1,0)</f>
        <v>0</v>
      </c>
      <c r="F172">
        <f>IF(AND(VLOOKUP(F$1,main!$A$3:$H$102,7,FALSE)=main!$G$104,VLOOKUP(F$1,main!$A$3:$H$102,5,FALSE)-VLOOKUP($A172,main!$A$3:$H$102,6,FALSE)&gt;=main!$D$103+VLOOKUP(VLOOKUP(F$1,main!$A$3:$I$102,7,FALSE),main!$K$26:$Q$29,4,FALSE)),1,0)</f>
        <v>0</v>
      </c>
      <c r="G172">
        <f>IF(AND(VLOOKUP(G$1,main!$A$3:$H$102,7,FALSE)=main!$G$104,VLOOKUP(G$1,main!$A$3:$H$102,5,FALSE)-VLOOKUP($A172,main!$A$3:$H$102,6,FALSE)&gt;=main!$D$103+VLOOKUP(VLOOKUP(G$1,main!$A$3:$I$102,7,FALSE),main!$K$26:$Q$29,4,FALSE)),1,0)</f>
        <v>0</v>
      </c>
      <c r="H172">
        <f>IF(AND(VLOOKUP(H$1,main!$A$3:$H$102,7,FALSE)=main!$G$104,VLOOKUP(H$1,main!$A$3:$H$102,5,FALSE)-VLOOKUP($A172,main!$A$3:$H$102,6,FALSE)&gt;=main!$D$103+VLOOKUP(VLOOKUP(H$1,main!$A$3:$I$102,7,FALSE),main!$K$26:$Q$29,4,FALSE)),1,0)</f>
        <v>0</v>
      </c>
      <c r="I172">
        <f>IF(AND(VLOOKUP(I$1,main!$A$3:$H$102,7,FALSE)=main!$G$104,VLOOKUP(I$1,main!$A$3:$H$102,5,FALSE)-VLOOKUP($A172,main!$A$3:$H$102,6,FALSE)&gt;=main!$D$103+VLOOKUP(VLOOKUP(I$1,main!$A$3:$I$102,7,FALSE),main!$K$26:$Q$29,4,FALSE)),1,0)</f>
        <v>1</v>
      </c>
      <c r="J172">
        <f>IF(AND(VLOOKUP(J$1,main!$A$3:$H$102,7,FALSE)=main!$G$104,VLOOKUP(J$1,main!$A$3:$H$102,5,FALSE)-VLOOKUP($A172,main!$A$3:$H$102,6,FALSE)&gt;=main!$D$103+VLOOKUP(VLOOKUP(J$1,main!$A$3:$I$102,7,FALSE),main!$K$26:$Q$29,4,FALSE)),1,0)</f>
        <v>1</v>
      </c>
      <c r="K172">
        <f>IF(AND(VLOOKUP(K$1,main!$A$3:$H$102,7,FALSE)=main!$G$104,VLOOKUP(K$1,main!$A$3:$H$102,5,FALSE)-VLOOKUP($A172,main!$A$3:$H$102,6,FALSE)&gt;=main!$D$103+VLOOKUP(VLOOKUP(K$1,main!$A$3:$I$102,7,FALSE),main!$K$26:$Q$29,4,FALSE)),1,0)</f>
        <v>1</v>
      </c>
      <c r="L172">
        <f>IF(AND(VLOOKUP(L$1,main!$A$3:$H$102,7,FALSE)=main!$G$104,VLOOKUP(L$1,main!$A$3:$H$102,5,FALSE)-VLOOKUP($A172,main!$A$3:$H$102,6,FALSE)&gt;=main!$D$103+VLOOKUP(VLOOKUP(L$1,main!$A$3:$I$102,7,FALSE),main!$K$26:$Q$29,4,FALSE)),1,0)</f>
        <v>1</v>
      </c>
      <c r="M172">
        <f>IF(AND(VLOOKUP(M$1,main!$A$3:$H$102,7,FALSE)=main!$G$104,VLOOKUP(M$1,main!$A$3:$H$102,5,FALSE)-VLOOKUP($A172,main!$A$3:$H$102,6,FALSE)&gt;=main!$D$103+VLOOKUP(VLOOKUP(M$1,main!$A$3:$I$102,7,FALSE),main!$K$26:$Q$29,4,FALSE)),1,0)</f>
        <v>0</v>
      </c>
      <c r="N172">
        <f>IF(AND(VLOOKUP(N$1,main!$A$3:$H$102,7,FALSE)=main!$G$104,VLOOKUP(N$1,main!$A$3:$H$102,5,FALSE)-VLOOKUP($A172,main!$A$3:$H$102,6,FALSE)&gt;=main!$D$103+VLOOKUP(VLOOKUP(N$1,main!$A$3:$I$102,7,FALSE),main!$K$26:$Q$29,4,FALSE)),1,0)</f>
        <v>0</v>
      </c>
      <c r="O172">
        <f>IF(AND(VLOOKUP(O$1,main!$A$3:$H$102,7,FALSE)=main!$G$104,VLOOKUP(O$1,main!$A$3:$H$102,5,FALSE)-VLOOKUP($A172,main!$A$3:$H$102,6,FALSE)&gt;=main!$D$103+VLOOKUP(VLOOKUP(O$1,main!$A$3:$I$102,7,FALSE),main!$K$26:$Q$29,4,FALSE)),1,0)</f>
        <v>0</v>
      </c>
      <c r="P172">
        <f>IF(AND(VLOOKUP(P$1,main!$A$3:$H$102,7,FALSE)=main!$G$104,VLOOKUP(P$1,main!$A$3:$H$102,5,FALSE)-VLOOKUP($A172,main!$A$3:$H$102,6,FALSE)&gt;=main!$D$103+VLOOKUP(VLOOKUP(P$1,main!$A$3:$I$102,7,FALSE),main!$K$26:$Q$29,4,FALSE)),1,0)</f>
        <v>0</v>
      </c>
      <c r="Q172">
        <f>IF(AND(VLOOKUP(Q$1,main!$A$3:$H$102,7,FALSE)=main!$G$104,VLOOKUP(Q$1,main!$A$3:$H$102,5,FALSE)-VLOOKUP($A172,main!$A$3:$H$102,6,FALSE)&gt;=main!$D$103+VLOOKUP(VLOOKUP(Q$1,main!$A$3:$I$102,7,FALSE),main!$K$26:$Q$29,4,FALSE)),1,0)</f>
        <v>0</v>
      </c>
      <c r="R172">
        <f>IF(AND(VLOOKUP(R$1,main!$A$3:$H$102,7,FALSE)=main!$G$104,VLOOKUP(R$1,main!$A$3:$H$102,5,FALSE)-VLOOKUP($A172,main!$A$3:$H$102,6,FALSE)&gt;=main!$D$103+VLOOKUP(VLOOKUP(R$1,main!$A$3:$I$102,7,FALSE),main!$K$26:$Q$29,4,FALSE)),1,0)</f>
        <v>0</v>
      </c>
      <c r="S172">
        <f>IF(AND(VLOOKUP(S$1,main!$A$3:$H$102,7,FALSE)=main!$G$104,VLOOKUP(S$1,main!$A$3:$H$102,5,FALSE)-VLOOKUP($A172,main!$A$3:$H$102,6,FALSE)&gt;=main!$D$103+VLOOKUP(VLOOKUP(S$1,main!$A$3:$I$102,7,FALSE),main!$K$26:$Q$29,4,FALSE)),1,0)</f>
        <v>0</v>
      </c>
      <c r="T172">
        <f>IF(AND(VLOOKUP(T$1,main!$A$3:$H$102,7,FALSE)=main!$G$104,VLOOKUP(T$1,main!$A$3:$H$102,5,FALSE)-VLOOKUP($A172,main!$A$3:$H$102,6,FALSE)&gt;=main!$D$103+VLOOKUP(VLOOKUP(T$1,main!$A$3:$I$102,7,FALSE),main!$K$26:$Q$29,4,FALSE)),1,0)</f>
        <v>1</v>
      </c>
      <c r="U172">
        <f>IF(AND(VLOOKUP(U$1,main!$A$3:$H$102,7,FALSE)=main!$G$104,VLOOKUP(U$1,main!$A$3:$H$102,5,FALSE)-VLOOKUP($A172,main!$A$3:$H$102,6,FALSE)&gt;=main!$D$103+VLOOKUP(VLOOKUP(U$1,main!$A$3:$I$102,7,FALSE),main!$K$26:$Q$29,4,FALSE)),1,0)</f>
        <v>1</v>
      </c>
      <c r="V172">
        <f>IF(AND(VLOOKUP(V$1,main!$A$3:$H$102,7,FALSE)=main!$G$104,VLOOKUP(V$1,main!$A$3:$H$102,5,FALSE)-VLOOKUP($A172,main!$A$3:$H$102,6,FALSE)&gt;=main!$D$103+VLOOKUP(VLOOKUP(V$1,main!$A$3:$I$102,7,FALSE),main!$K$26:$Q$29,4,FALSE)),1,0)</f>
        <v>1</v>
      </c>
      <c r="W172">
        <f>IF(AND(VLOOKUP(W$1,main!$A$3:$H$102,7,FALSE)=main!$G$104,VLOOKUP(W$1,main!$A$3:$H$102,5,FALSE)-VLOOKUP($A172,main!$A$3:$H$102,6,FALSE)&gt;=main!$D$103+VLOOKUP(VLOOKUP(W$1,main!$A$3:$I$102,7,FALSE),main!$K$26:$Q$29,4,FALSE)),1,0)</f>
        <v>0</v>
      </c>
      <c r="X172">
        <f>IF(AND(VLOOKUP(X$1,main!$A$3:$H$102,7,FALSE)=main!$G$104,VLOOKUP(X$1,main!$A$3:$H$102,5,FALSE)-VLOOKUP($A172,main!$A$3:$H$102,6,FALSE)&gt;=main!$D$103+VLOOKUP(VLOOKUP(X$1,main!$A$3:$I$102,7,FALSE),main!$K$26:$Q$29,4,FALSE)),1,0)</f>
        <v>0</v>
      </c>
      <c r="Y172">
        <f>IF(AND(VLOOKUP(Y$1,main!$A$3:$H$102,7,FALSE)=main!$G$104,VLOOKUP(Y$1,main!$A$3:$H$102,5,FALSE)-VLOOKUP($A172,main!$A$3:$H$102,6,FALSE)&gt;=main!$D$103+VLOOKUP(VLOOKUP(Y$1,main!$A$3:$I$102,7,FALSE),main!$K$26:$Q$29,4,FALSE)),1,0)</f>
        <v>0</v>
      </c>
      <c r="Z172">
        <f>IF(AND(VLOOKUP(Z$1,main!$A$3:$H$102,7,FALSE)=main!$G$104,VLOOKUP(Z$1,main!$A$3:$H$102,5,FALSE)-VLOOKUP($A172,main!$A$3:$H$102,6,FALSE)&gt;=main!$D$103+VLOOKUP(VLOOKUP(Z$1,main!$A$3:$I$102,7,FALSE),main!$K$26:$Q$29,4,FALSE)),1,0)</f>
        <v>1</v>
      </c>
      <c r="AA172">
        <f>IF(AND(VLOOKUP(AA$1,main!$A$3:$H$102,7,FALSE)=main!$G$104,VLOOKUP(AA$1,main!$A$3:$H$102,5,FALSE)-VLOOKUP($A172,main!$A$3:$H$102,6,FALSE)&gt;=main!$D$103+VLOOKUP(VLOOKUP(AA$1,main!$A$3:$I$102,7,FALSE),main!$K$26:$Q$29,4,FALSE)),1,0)</f>
        <v>1</v>
      </c>
      <c r="AB172">
        <f>IF(AND(VLOOKUP(AB$1,main!$A$3:$H$102,7,FALSE)=main!$G$104,VLOOKUP(AB$1,main!$A$3:$H$102,5,FALSE)-VLOOKUP($A172,main!$A$3:$H$102,6,FALSE)&gt;=main!$D$103+VLOOKUP(VLOOKUP(AB$1,main!$A$3:$I$102,7,FALSE),main!$K$26:$Q$29,4,FALSE)),1,0)</f>
        <v>0</v>
      </c>
      <c r="AC172">
        <f>IF(AND(VLOOKUP(AC$1,main!$A$3:$H$102,7,FALSE)=main!$G$104,VLOOKUP(AC$1,main!$A$3:$H$102,5,FALSE)-VLOOKUP($A172,main!$A$3:$H$102,6,FALSE)&gt;=main!$D$103+VLOOKUP(VLOOKUP(AC$1,main!$A$3:$I$102,7,FALSE),main!$K$26:$Q$29,4,FALSE)),1,0)</f>
        <v>0</v>
      </c>
      <c r="AD172">
        <f>IF(AND(VLOOKUP(AD$1,main!$A$3:$H$102,7,FALSE)=main!$G$104,VLOOKUP(AD$1,main!$A$3:$H$102,5,FALSE)-VLOOKUP($A172,main!$A$3:$H$102,6,FALSE)&gt;=main!$D$103+VLOOKUP(VLOOKUP(AD$1,main!$A$3:$I$102,7,FALSE),main!$K$26:$Q$29,4,FALSE)),1,0)</f>
        <v>0</v>
      </c>
      <c r="AE172">
        <f>IF(AND(VLOOKUP(AE$1,main!$A$3:$H$102,7,FALSE)=main!$G$104,VLOOKUP(AE$1,main!$A$3:$H$102,5,FALSE)-VLOOKUP($A172,main!$A$3:$H$102,6,FALSE)&gt;=main!$D$103+VLOOKUP(VLOOKUP(AE$1,main!$A$3:$I$102,7,FALSE),main!$K$26:$Q$29,4,FALSE)),1,0)</f>
        <v>0</v>
      </c>
      <c r="AF172">
        <f>IF(AND(VLOOKUP(AF$1,main!$A$3:$H$102,7,FALSE)=main!$G$104,VLOOKUP(AF$1,main!$A$3:$H$102,5,FALSE)-VLOOKUP($A172,main!$A$3:$H$102,6,FALSE)&gt;=main!$D$103+VLOOKUP(VLOOKUP(AF$1,main!$A$3:$I$102,7,FALSE),main!$K$26:$Q$29,4,FALSE)),1,0)</f>
        <v>1</v>
      </c>
      <c r="AG172">
        <f>IF(AND(VLOOKUP(AG$1,main!$A$3:$H$102,7,FALSE)=main!$G$104,VLOOKUP(AG$1,main!$A$3:$H$102,5,FALSE)-VLOOKUP($A172,main!$A$3:$H$102,6,FALSE)&gt;=main!$D$103+VLOOKUP(VLOOKUP(AG$1,main!$A$3:$I$102,7,FALSE),main!$K$26:$Q$29,4,FALSE)),1,0)</f>
        <v>0</v>
      </c>
      <c r="AH172">
        <f>IF(AND(VLOOKUP(AH$1,main!$A$3:$H$102,7,FALSE)=main!$G$104,VLOOKUP(AH$1,main!$A$3:$H$102,5,FALSE)-VLOOKUP($A172,main!$A$3:$H$102,6,FALSE)&gt;=main!$D$103+VLOOKUP(VLOOKUP(AH$1,main!$A$3:$I$102,7,FALSE),main!$K$26:$Q$29,4,FALSE)),1,0)</f>
        <v>0</v>
      </c>
      <c r="AI172">
        <f>IF(AND(VLOOKUP(AI$1,main!$A$3:$H$102,7,FALSE)=main!$G$104,VLOOKUP(AI$1,main!$A$3:$H$102,5,FALSE)-VLOOKUP($A172,main!$A$3:$H$102,6,FALSE)&gt;=main!$D$103+VLOOKUP(VLOOKUP(AI$1,main!$A$3:$I$102,7,FALSE),main!$K$26:$Q$29,4,FALSE)),1,0)</f>
        <v>0</v>
      </c>
      <c r="AJ172">
        <f>IF(AND(VLOOKUP(AJ$1,main!$A$3:$H$102,7,FALSE)=main!$G$104,VLOOKUP(AJ$1,main!$A$3:$H$102,5,FALSE)-VLOOKUP($A172,main!$A$3:$H$102,6,FALSE)&gt;=main!$D$103+VLOOKUP(VLOOKUP(AJ$1,main!$A$3:$I$102,7,FALSE),main!$K$26:$Q$29,4,FALSE)),1,0)</f>
        <v>0</v>
      </c>
      <c r="AK172">
        <f>IF(AND(VLOOKUP(AK$1,main!$A$3:$H$102,7,FALSE)=main!$G$104,VLOOKUP(AK$1,main!$A$3:$H$102,5,FALSE)-VLOOKUP($A172,main!$A$3:$H$102,6,FALSE)&gt;=main!$D$103+VLOOKUP(VLOOKUP(AK$1,main!$A$3:$I$102,7,FALSE),main!$K$26:$Q$29,4,FALSE)),1,0)</f>
        <v>0</v>
      </c>
      <c r="AL172">
        <f>IF(AND(VLOOKUP(AL$1,main!$A$3:$H$102,7,FALSE)=main!$G$104,VLOOKUP(AL$1,main!$A$3:$H$102,5,FALSE)-VLOOKUP($A172,main!$A$3:$H$102,6,FALSE)&gt;=main!$D$103+VLOOKUP(VLOOKUP(AL$1,main!$A$3:$I$102,7,FALSE),main!$K$26:$Q$29,4,FALSE)),1,0)</f>
        <v>0</v>
      </c>
      <c r="AM172">
        <f>IF(AND(VLOOKUP(AM$1,main!$A$3:$H$102,7,FALSE)=main!$G$104,VLOOKUP(AM$1,main!$A$3:$H$102,5,FALSE)-VLOOKUP($A172,main!$A$3:$H$102,6,FALSE)&gt;=main!$D$103+VLOOKUP(VLOOKUP(AM$1,main!$A$3:$I$102,7,FALSE),main!$K$26:$Q$29,4,FALSE)),1,0)</f>
        <v>0</v>
      </c>
      <c r="AN172">
        <f>IF(AND(VLOOKUP(AN$1,main!$A$3:$H$102,7,FALSE)=main!$G$104,VLOOKUP(AN$1,main!$A$3:$H$102,5,FALSE)-VLOOKUP($A172,main!$A$3:$H$102,6,FALSE)&gt;=main!$D$103+VLOOKUP(VLOOKUP(AN$1,main!$A$3:$I$102,7,FALSE),main!$K$26:$Q$29,4,FALSE)),1,0)</f>
        <v>0</v>
      </c>
      <c r="AO172">
        <f>IF(AND(VLOOKUP(AO$1,main!$A$3:$H$102,7,FALSE)=main!$G$104,VLOOKUP(AO$1,main!$A$3:$H$102,5,FALSE)-VLOOKUP($A172,main!$A$3:$H$102,6,FALSE)&gt;=main!$D$103+VLOOKUP(VLOOKUP(AO$1,main!$A$3:$I$102,7,FALSE),main!$K$26:$Q$29,4,FALSE)),1,0)</f>
        <v>0</v>
      </c>
      <c r="AP172">
        <f>IF(AND(VLOOKUP(AP$1,main!$A$3:$H$102,7,FALSE)=main!$G$104,VLOOKUP(AP$1,main!$A$3:$H$102,5,FALSE)-VLOOKUP($A172,main!$A$3:$H$102,6,FALSE)&gt;=main!$D$103+VLOOKUP(VLOOKUP(AP$1,main!$A$3:$I$102,7,FALSE),main!$K$26:$Q$29,4,FALSE)),1,0)</f>
        <v>0</v>
      </c>
      <c r="AQ172">
        <f>IF(AND(VLOOKUP(AQ$1,main!$A$3:$H$102,7,FALSE)=main!$G$104,VLOOKUP(AQ$1,main!$A$3:$H$102,5,FALSE)-VLOOKUP($A172,main!$A$3:$H$102,6,FALSE)&gt;=main!$D$103+VLOOKUP(VLOOKUP(AQ$1,main!$A$3:$I$102,7,FALSE),main!$K$26:$Q$29,4,FALSE)),1,0)</f>
        <v>0</v>
      </c>
      <c r="AR172">
        <f>IF(AND(VLOOKUP(AR$1,main!$A$3:$H$102,7,FALSE)=main!$G$104,VLOOKUP(AR$1,main!$A$3:$H$102,5,FALSE)-VLOOKUP($A172,main!$A$3:$H$102,6,FALSE)&gt;=main!$D$103+VLOOKUP(VLOOKUP(AR$1,main!$A$3:$I$102,7,FALSE),main!$K$26:$Q$29,4,FALSE)),1,0)</f>
        <v>0</v>
      </c>
      <c r="AS172">
        <f>IF(AND(VLOOKUP(AS$1,main!$A$3:$H$102,7,FALSE)=main!$G$104,VLOOKUP(AS$1,main!$A$3:$H$102,5,FALSE)-VLOOKUP($A172,main!$A$3:$H$102,6,FALSE)&gt;=main!$D$103+VLOOKUP(VLOOKUP(AS$1,main!$A$3:$I$102,7,FALSE),main!$K$26:$Q$29,4,FALSE)),1,0)</f>
        <v>0</v>
      </c>
      <c r="AT172">
        <f>IF(AND(VLOOKUP(AT$1,main!$A$3:$H$102,7,FALSE)=main!$G$104,VLOOKUP(AT$1,main!$A$3:$H$102,5,FALSE)-VLOOKUP($A172,main!$A$3:$H$102,6,FALSE)&gt;=main!$D$103+VLOOKUP(VLOOKUP(AT$1,main!$A$3:$I$102,7,FALSE),main!$K$26:$Q$29,4,FALSE)),1,0)</f>
        <v>0</v>
      </c>
      <c r="AU172">
        <f>IF(AND(VLOOKUP(AU$1,main!$A$3:$H$102,7,FALSE)=main!$G$104,VLOOKUP(AU$1,main!$A$3:$H$102,5,FALSE)-VLOOKUP($A172,main!$A$3:$H$102,6,FALSE)&gt;=main!$D$103+VLOOKUP(VLOOKUP(AU$1,main!$A$3:$I$102,7,FALSE),main!$K$26:$Q$29,4,FALSE)),1,0)</f>
        <v>0</v>
      </c>
      <c r="AV172">
        <f>IF(AND(VLOOKUP(AV$1,main!$A$3:$H$102,7,FALSE)=main!$G$104,VLOOKUP(AV$1,main!$A$3:$H$102,5,FALSE)-VLOOKUP($A172,main!$A$3:$H$102,6,FALSE)&gt;=main!$D$103+VLOOKUP(VLOOKUP(AV$1,main!$A$3:$I$102,7,FALSE),main!$K$26:$Q$29,4,FALSE)),1,0)</f>
        <v>0</v>
      </c>
      <c r="AW172">
        <f>IF(AND(VLOOKUP(AW$1,main!$A$3:$H$102,7,FALSE)=main!$G$104,VLOOKUP(AW$1,main!$A$3:$H$102,5,FALSE)-VLOOKUP($A172,main!$A$3:$H$102,6,FALSE)&gt;=main!$D$103+VLOOKUP(VLOOKUP(AW$1,main!$A$3:$I$102,7,FALSE),main!$K$26:$Q$29,4,FALSE)),1,0)</f>
        <v>0</v>
      </c>
      <c r="AX172">
        <f>IF(AND(VLOOKUP(AX$1,main!$A$3:$H$102,7,FALSE)=main!$G$104,VLOOKUP(AX$1,main!$A$3:$H$102,5,FALSE)-VLOOKUP($A172,main!$A$3:$H$102,6,FALSE)&gt;=main!$D$103+VLOOKUP(VLOOKUP(AX$1,main!$A$3:$I$102,7,FALSE),main!$K$26:$Q$29,4,FALSE)),1,0)</f>
        <v>0</v>
      </c>
      <c r="AY172">
        <f>IF(AND(VLOOKUP(AY$1,main!$A$3:$H$102,7,FALSE)=main!$G$104,VLOOKUP(AY$1,main!$A$3:$H$102,5,FALSE)-VLOOKUP($A172,main!$A$3:$H$102,6,FALSE)&gt;=main!$D$103+VLOOKUP(VLOOKUP(AY$1,main!$A$3:$I$102,7,FALSE),main!$K$26:$Q$29,4,FALSE)),1,0)</f>
        <v>0</v>
      </c>
      <c r="AZ172">
        <f>IF(AND(VLOOKUP(AZ$1,main!$A$3:$H$102,7,FALSE)=main!$G$104,VLOOKUP(AZ$1,main!$A$3:$H$102,5,FALSE)-VLOOKUP($A172,main!$A$3:$H$102,6,FALSE)&gt;=main!$D$103+VLOOKUP(VLOOKUP(AZ$1,main!$A$3:$I$102,7,FALSE),main!$K$26:$Q$29,4,FALSE)),1,0)</f>
        <v>0</v>
      </c>
      <c r="BA172">
        <f>IF(AND(VLOOKUP(BA$1,main!$A$3:$H$102,7,FALSE)=main!$G$104,VLOOKUP(BA$1,main!$A$3:$H$102,5,FALSE)-VLOOKUP($A172,main!$A$3:$H$102,6,FALSE)&gt;=main!$D$103+VLOOKUP(VLOOKUP(BA$1,main!$A$3:$I$102,7,FALSE),main!$K$26:$Q$29,4,FALSE)),1,0)</f>
        <v>0</v>
      </c>
      <c r="BB172">
        <f>IF(AND(VLOOKUP(BB$1,main!$A$3:$H$102,7,FALSE)=main!$G$104,VLOOKUP(BB$1,main!$A$3:$H$102,5,FALSE)-VLOOKUP($A172,main!$A$3:$H$102,6,FALSE)&gt;=main!$D$103+VLOOKUP(VLOOKUP(BB$1,main!$A$3:$I$102,7,FALSE),main!$K$26:$Q$29,4,FALSE)),1,0)</f>
        <v>0</v>
      </c>
      <c r="BC172">
        <f>IF(AND(VLOOKUP(BC$1,main!$A$3:$H$102,7,FALSE)=main!$G$104,VLOOKUP(BC$1,main!$A$3:$H$102,5,FALSE)-VLOOKUP($A172,main!$A$3:$H$102,6,FALSE)&gt;=main!$D$103+VLOOKUP(VLOOKUP(BC$1,main!$A$3:$I$102,7,FALSE),main!$K$26:$Q$29,4,FALSE)),1,0)</f>
        <v>0</v>
      </c>
      <c r="BD172">
        <f>IF(AND(VLOOKUP(BD$1,main!$A$3:$H$102,7,FALSE)=main!$G$104,VLOOKUP(BD$1,main!$A$3:$H$102,5,FALSE)-VLOOKUP($A172,main!$A$3:$H$102,6,FALSE)&gt;=main!$D$103+VLOOKUP(VLOOKUP(BD$1,main!$A$3:$I$102,7,FALSE),main!$K$26:$Q$29,4,FALSE)),1,0)</f>
        <v>0</v>
      </c>
      <c r="BE172">
        <f>IF(AND(VLOOKUP(BE$1,main!$A$3:$H$102,7,FALSE)=main!$G$104,VLOOKUP(BE$1,main!$A$3:$H$102,5,FALSE)-VLOOKUP($A172,main!$A$3:$H$102,6,FALSE)&gt;=main!$D$103+VLOOKUP(VLOOKUP(BE$1,main!$A$3:$I$102,7,FALSE),main!$K$26:$Q$29,4,FALSE)),1,0)</f>
        <v>0</v>
      </c>
      <c r="BF172">
        <f>IF(AND(VLOOKUP(BF$1,main!$A$3:$H$102,7,FALSE)=main!$G$104,VLOOKUP(BF$1,main!$A$3:$H$102,5,FALSE)-VLOOKUP($A172,main!$A$3:$H$102,6,FALSE)&gt;=main!$D$103+VLOOKUP(VLOOKUP(BF$1,main!$A$3:$I$102,7,FALSE),main!$K$26:$Q$29,4,FALSE)),1,0)</f>
        <v>0</v>
      </c>
      <c r="BG172">
        <f>IF(AND(VLOOKUP(BG$1,main!$A$3:$H$102,7,FALSE)=main!$G$104,VLOOKUP(BG$1,main!$A$3:$H$102,5,FALSE)-VLOOKUP($A172,main!$A$3:$H$102,6,FALSE)&gt;=main!$D$103+VLOOKUP(VLOOKUP(BG$1,main!$A$3:$I$102,7,FALSE),main!$K$26:$Q$29,4,FALSE)),1,0)</f>
        <v>0</v>
      </c>
      <c r="BH172">
        <f>IF(AND(VLOOKUP(BH$1,main!$A$3:$H$102,7,FALSE)=main!$G$104,VLOOKUP(BH$1,main!$A$3:$H$102,5,FALSE)-VLOOKUP($A172,main!$A$3:$H$102,6,FALSE)&gt;=main!$D$103+VLOOKUP(VLOOKUP(BH$1,main!$A$3:$I$102,7,FALSE),main!$K$26:$Q$29,4,FALSE)),1,0)</f>
        <v>0</v>
      </c>
      <c r="BI172">
        <f>IF(AND(VLOOKUP(BI$1,main!$A$3:$H$102,7,FALSE)=main!$G$104,VLOOKUP(BI$1,main!$A$3:$H$102,5,FALSE)-VLOOKUP($A172,main!$A$3:$H$102,6,FALSE)&gt;=main!$D$103+VLOOKUP(VLOOKUP(BI$1,main!$A$3:$I$102,7,FALSE),main!$K$26:$Q$29,4,FALSE)),1,0)</f>
        <v>0</v>
      </c>
      <c r="BJ172">
        <f>IF(AND(VLOOKUP(BJ$1,main!$A$3:$H$102,7,FALSE)=main!$G$104,VLOOKUP(BJ$1,main!$A$3:$H$102,5,FALSE)-VLOOKUP($A172,main!$A$3:$H$102,6,FALSE)&gt;=main!$D$103+VLOOKUP(VLOOKUP(BJ$1,main!$A$3:$I$102,7,FALSE),main!$K$26:$Q$29,4,FALSE)),1,0)</f>
        <v>0</v>
      </c>
      <c r="BK172">
        <f>IF(AND(VLOOKUP(BK$1,main!$A$3:$H$102,7,FALSE)=main!$G$104,VLOOKUP(BK$1,main!$A$3:$H$102,5,FALSE)-VLOOKUP($A172,main!$A$3:$H$102,6,FALSE)&gt;=main!$D$103+VLOOKUP(VLOOKUP(BK$1,main!$A$3:$I$102,7,FALSE),main!$K$26:$Q$29,4,FALSE)),1,0)</f>
        <v>0</v>
      </c>
      <c r="BL172">
        <f>IF(AND(VLOOKUP(BL$1,main!$A$3:$H$102,7,FALSE)=main!$G$104,VLOOKUP(BL$1,main!$A$3:$H$102,5,FALSE)-VLOOKUP($A172,main!$A$3:$H$102,6,FALSE)&gt;=main!$D$103+VLOOKUP(VLOOKUP(BL$1,main!$A$3:$I$102,7,FALSE),main!$K$26:$Q$29,4,FALSE)),1,0)</f>
        <v>0</v>
      </c>
      <c r="BM172">
        <f>IF(AND(VLOOKUP(BM$1,main!$A$3:$H$102,7,FALSE)=main!$G$104,VLOOKUP(BM$1,main!$A$3:$H$102,5,FALSE)-VLOOKUP($A172,main!$A$3:$H$102,6,FALSE)&gt;=main!$D$103+VLOOKUP(VLOOKUP(BM$1,main!$A$3:$I$102,7,FALSE),main!$K$26:$Q$29,4,FALSE)),1,0)</f>
        <v>0</v>
      </c>
      <c r="BN172">
        <f>IF(AND(VLOOKUP(BN$1,main!$A$3:$H$102,7,FALSE)=main!$G$104,VLOOKUP(BN$1,main!$A$3:$H$102,5,FALSE)-VLOOKUP($A172,main!$A$3:$H$102,6,FALSE)&gt;=main!$D$103+VLOOKUP(VLOOKUP(BN$1,main!$A$3:$I$102,7,FALSE),main!$K$26:$Q$29,4,FALSE)),1,0)</f>
        <v>0</v>
      </c>
      <c r="BO172">
        <f>IF(AND(VLOOKUP(BO$1,main!$A$3:$H$102,7,FALSE)=main!$G$104,VLOOKUP(BO$1,main!$A$3:$H$102,5,FALSE)-VLOOKUP($A172,main!$A$3:$H$102,6,FALSE)&gt;=main!$D$103+VLOOKUP(VLOOKUP(BO$1,main!$A$3:$I$102,7,FALSE),main!$K$26:$Q$29,4,FALSE)),1,0)</f>
        <v>0</v>
      </c>
      <c r="BP172">
        <f>IF(AND(VLOOKUP(BP$1,main!$A$3:$H$102,7,FALSE)=main!$G$104,VLOOKUP(BP$1,main!$A$3:$H$102,5,FALSE)-VLOOKUP($A172,main!$A$3:$H$102,6,FALSE)&gt;=main!$D$103+VLOOKUP(VLOOKUP(BP$1,main!$A$3:$I$102,7,FALSE),main!$K$26:$Q$29,4,FALSE)),1,0)</f>
        <v>0</v>
      </c>
      <c r="BQ172">
        <f>IF(AND(VLOOKUP(BQ$1,main!$A$3:$H$102,7,FALSE)=main!$G$104,VLOOKUP(BQ$1,main!$A$3:$H$102,5,FALSE)-VLOOKUP($A172,main!$A$3:$H$102,6,FALSE)&gt;=main!$D$103+VLOOKUP(VLOOKUP(BQ$1,main!$A$3:$I$102,7,FALSE),main!$K$26:$Q$29,4,FALSE)),1,0)</f>
        <v>0</v>
      </c>
      <c r="BR172">
        <f>IF(AND(VLOOKUP(BR$1,main!$A$3:$H$102,7,FALSE)=main!$G$104,VLOOKUP(BR$1,main!$A$3:$H$102,5,FALSE)-VLOOKUP($A172,main!$A$3:$H$102,6,FALSE)&gt;=main!$D$103+VLOOKUP(VLOOKUP(BR$1,main!$A$3:$I$102,7,FALSE),main!$K$26:$Q$29,4,FALSE)),1,0)</f>
        <v>0</v>
      </c>
      <c r="BS172">
        <f>IF(AND(VLOOKUP(BS$1,main!$A$3:$H$102,7,FALSE)=main!$G$104,VLOOKUP(BS$1,main!$A$3:$H$102,5,FALSE)-VLOOKUP($A172,main!$A$3:$H$102,6,FALSE)&gt;=main!$D$103+VLOOKUP(VLOOKUP(BS$1,main!$A$3:$I$102,7,FALSE),main!$K$26:$Q$29,4,FALSE)),1,0)</f>
        <v>0</v>
      </c>
      <c r="BT172">
        <f>IF(AND(VLOOKUP(BT$1,main!$A$3:$H$102,7,FALSE)=main!$G$104,VLOOKUP(BT$1,main!$A$3:$H$102,5,FALSE)-VLOOKUP($A172,main!$A$3:$H$102,6,FALSE)&gt;=main!$D$103+VLOOKUP(VLOOKUP(BT$1,main!$A$3:$I$102,7,FALSE),main!$K$26:$Q$29,4,FALSE)),1,0)</f>
        <v>0</v>
      </c>
      <c r="BU172">
        <f>IF(AND(VLOOKUP(BU$1,main!$A$3:$H$102,7,FALSE)=main!$G$104,VLOOKUP(BU$1,main!$A$3:$H$102,5,FALSE)-VLOOKUP($A172,main!$A$3:$H$102,6,FALSE)&gt;=main!$D$103+VLOOKUP(VLOOKUP(BU$1,main!$A$3:$I$102,7,FALSE),main!$K$26:$Q$29,4,FALSE)),1,0)</f>
        <v>0</v>
      </c>
      <c r="BV172">
        <f>IF(AND(VLOOKUP(BV$1,main!$A$3:$H$102,7,FALSE)=main!$G$104,VLOOKUP(BV$1,main!$A$3:$H$102,5,FALSE)-VLOOKUP($A172,main!$A$3:$H$102,6,FALSE)&gt;=main!$D$103+VLOOKUP(VLOOKUP(BV$1,main!$A$3:$I$102,7,FALSE),main!$K$26:$Q$29,4,FALSE)),1,0)</f>
        <v>0</v>
      </c>
      <c r="BW172">
        <f>IF(AND(VLOOKUP(BW$1,main!$A$3:$H$102,7,FALSE)=main!$G$104,VLOOKUP(BW$1,main!$A$3:$H$102,5,FALSE)-VLOOKUP($A172,main!$A$3:$H$102,6,FALSE)&gt;=main!$D$103+VLOOKUP(VLOOKUP(BW$1,main!$A$3:$I$102,7,FALSE),main!$K$26:$Q$29,4,FALSE)),1,0)</f>
        <v>0</v>
      </c>
      <c r="BX172">
        <f>IF(AND(VLOOKUP(BX$1,main!$A$3:$H$102,7,FALSE)=main!$G$104,VLOOKUP(BX$1,main!$A$3:$H$102,5,FALSE)-VLOOKUP($A172,main!$A$3:$H$102,6,FALSE)&gt;=main!$D$103+VLOOKUP(VLOOKUP(BX$1,main!$A$3:$I$102,7,FALSE),main!$K$26:$Q$29,4,FALSE)),1,0)</f>
        <v>0</v>
      </c>
      <c r="BY172">
        <f>IF(AND(VLOOKUP(BY$1,main!$A$3:$H$102,7,FALSE)=main!$G$104,VLOOKUP(BY$1,main!$A$3:$H$102,5,FALSE)-VLOOKUP($A172,main!$A$3:$H$102,6,FALSE)&gt;=main!$D$103+VLOOKUP(VLOOKUP(BY$1,main!$A$3:$I$102,7,FALSE),main!$K$26:$Q$29,4,FALSE)),1,0)</f>
        <v>0</v>
      </c>
      <c r="BZ172">
        <f>IF(AND(VLOOKUP(BZ$1,main!$A$3:$H$102,7,FALSE)=main!$G$104,VLOOKUP(BZ$1,main!$A$3:$H$102,5,FALSE)-VLOOKUP($A172,main!$A$3:$H$102,6,FALSE)&gt;=main!$D$103+VLOOKUP(VLOOKUP(BZ$1,main!$A$3:$I$102,7,FALSE),main!$K$26:$Q$29,4,FALSE)),1,0)</f>
        <v>0</v>
      </c>
      <c r="CA172">
        <f>IF(AND(VLOOKUP(CA$1,main!$A$3:$H$102,7,FALSE)=main!$G$104,VLOOKUP(CA$1,main!$A$3:$H$102,5,FALSE)-VLOOKUP($A172,main!$A$3:$H$102,6,FALSE)&gt;=main!$D$103+VLOOKUP(VLOOKUP(CA$1,main!$A$3:$I$102,7,FALSE),main!$K$26:$Q$29,4,FALSE)),1,0)</f>
        <v>0</v>
      </c>
      <c r="CB172">
        <f>IF(AND(VLOOKUP(CB$1,main!$A$3:$H$102,7,FALSE)=main!$G$104,VLOOKUP(CB$1,main!$A$3:$H$102,5,FALSE)-VLOOKUP($A172,main!$A$3:$H$102,6,FALSE)&gt;=main!$D$103+VLOOKUP(VLOOKUP(CB$1,main!$A$3:$I$102,7,FALSE),main!$K$26:$Q$29,4,FALSE)),1,0)</f>
        <v>0</v>
      </c>
      <c r="CC172">
        <f>IF(AND(VLOOKUP(CC$1,main!$A$3:$H$102,7,FALSE)=main!$G$104,VLOOKUP(CC$1,main!$A$3:$H$102,5,FALSE)-VLOOKUP($A172,main!$A$3:$H$102,6,FALSE)&gt;=main!$D$103+VLOOKUP(VLOOKUP(CC$1,main!$A$3:$I$102,7,FALSE),main!$K$26:$Q$29,4,FALSE)),1,0)</f>
        <v>0</v>
      </c>
      <c r="CD172">
        <f>IF(AND(VLOOKUP(CD$1,main!$A$3:$H$102,7,FALSE)=main!$G$104,VLOOKUP(CD$1,main!$A$3:$H$102,5,FALSE)-VLOOKUP($A172,main!$A$3:$H$102,6,FALSE)&gt;=main!$D$103+VLOOKUP(VLOOKUP(CD$1,main!$A$3:$I$102,7,FALSE),main!$K$26:$Q$29,4,FALSE)),1,0)</f>
        <v>0</v>
      </c>
      <c r="CE172">
        <f>IF(AND(VLOOKUP(CE$1,main!$A$3:$H$102,7,FALSE)=main!$G$104,VLOOKUP(CE$1,main!$A$3:$H$102,5,FALSE)-VLOOKUP($A172,main!$A$3:$H$102,6,FALSE)&gt;=main!$D$103+VLOOKUP(VLOOKUP(CE$1,main!$A$3:$I$102,7,FALSE),main!$K$26:$Q$29,4,FALSE)),1,0)</f>
        <v>0</v>
      </c>
      <c r="CF172">
        <f>IF(AND(VLOOKUP(CF$1,main!$A$3:$H$102,7,FALSE)=main!$G$104,VLOOKUP(CF$1,main!$A$3:$H$102,5,FALSE)-VLOOKUP($A172,main!$A$3:$H$102,6,FALSE)&gt;=main!$D$103+VLOOKUP(VLOOKUP(CF$1,main!$A$3:$I$102,7,FALSE),main!$K$26:$Q$29,4,FALSE)),1,0)</f>
        <v>0</v>
      </c>
      <c r="CG172">
        <f>IF(AND(VLOOKUP(CG$1,main!$A$3:$H$102,7,FALSE)=main!$G$104,VLOOKUP(CG$1,main!$A$3:$H$102,5,FALSE)-VLOOKUP($A172,main!$A$3:$H$102,6,FALSE)&gt;=main!$D$103+VLOOKUP(VLOOKUP(CG$1,main!$A$3:$I$102,7,FALSE),main!$K$26:$Q$29,4,FALSE)),1,0)</f>
        <v>0</v>
      </c>
      <c r="CH172">
        <f>IF(AND(VLOOKUP(CH$1,main!$A$3:$H$102,7,FALSE)=main!$G$104,VLOOKUP(CH$1,main!$A$3:$H$102,5,FALSE)-VLOOKUP($A172,main!$A$3:$H$102,6,FALSE)&gt;=main!$D$103+VLOOKUP(VLOOKUP(CH$1,main!$A$3:$I$102,7,FALSE),main!$K$26:$Q$29,4,FALSE)),1,0)</f>
        <v>0</v>
      </c>
      <c r="CI172">
        <f>IF(AND(VLOOKUP(CI$1,main!$A$3:$H$102,7,FALSE)=main!$G$104,VLOOKUP(CI$1,main!$A$3:$H$102,5,FALSE)-VLOOKUP($A172,main!$A$3:$H$102,6,FALSE)&gt;=main!$D$103+VLOOKUP(VLOOKUP(CI$1,main!$A$3:$I$102,7,FALSE),main!$K$26:$Q$29,4,FALSE)),1,0)</f>
        <v>0</v>
      </c>
      <c r="CJ172">
        <f>IF(AND(VLOOKUP(CJ$1,main!$A$3:$H$102,7,FALSE)=main!$G$104,VLOOKUP(CJ$1,main!$A$3:$H$102,5,FALSE)-VLOOKUP($A172,main!$A$3:$H$102,6,FALSE)&gt;=main!$D$103+VLOOKUP(VLOOKUP(CJ$1,main!$A$3:$I$102,7,FALSE),main!$K$26:$Q$29,4,FALSE)),1,0)</f>
        <v>0</v>
      </c>
      <c r="CK172">
        <f>IF(AND(VLOOKUP(CK$1,main!$A$3:$H$102,7,FALSE)=main!$G$104,VLOOKUP(CK$1,main!$A$3:$H$102,5,FALSE)-VLOOKUP($A172,main!$A$3:$H$102,6,FALSE)&gt;=main!$D$103+VLOOKUP(VLOOKUP(CK$1,main!$A$3:$I$102,7,FALSE),main!$K$26:$Q$29,4,FALSE)),1,0)</f>
        <v>0</v>
      </c>
      <c r="CL172">
        <f>IF(AND(VLOOKUP(CL$1,main!$A$3:$H$102,7,FALSE)=main!$G$104,VLOOKUP(CL$1,main!$A$3:$H$102,5,FALSE)-VLOOKUP($A172,main!$A$3:$H$102,6,FALSE)&gt;=main!$D$103+VLOOKUP(VLOOKUP(CL$1,main!$A$3:$I$102,7,FALSE),main!$K$26:$Q$29,4,FALSE)),1,0)</f>
        <v>0</v>
      </c>
      <c r="CM172">
        <f>IF(AND(VLOOKUP(CM$1,main!$A$3:$H$102,7,FALSE)=main!$G$104,VLOOKUP(CM$1,main!$A$3:$H$102,5,FALSE)-VLOOKUP($A172,main!$A$3:$H$102,6,FALSE)&gt;=main!$D$103+VLOOKUP(VLOOKUP(CM$1,main!$A$3:$I$102,7,FALSE),main!$K$26:$Q$29,4,FALSE)),1,0)</f>
        <v>0</v>
      </c>
      <c r="CN172">
        <f>IF(AND(VLOOKUP(CN$1,main!$A$3:$H$102,7,FALSE)=main!$G$104,VLOOKUP(CN$1,main!$A$3:$H$102,5,FALSE)-VLOOKUP($A172,main!$A$3:$H$102,6,FALSE)&gt;=main!$D$103+VLOOKUP(VLOOKUP(CN$1,main!$A$3:$I$102,7,FALSE),main!$K$26:$Q$29,4,FALSE)),1,0)</f>
        <v>0</v>
      </c>
      <c r="CO172">
        <f>IF(AND(VLOOKUP(CO$1,main!$A$3:$H$102,7,FALSE)=main!$G$104,VLOOKUP(CO$1,main!$A$3:$H$102,5,FALSE)-VLOOKUP($A172,main!$A$3:$H$102,6,FALSE)&gt;=main!$D$103+VLOOKUP(VLOOKUP(CO$1,main!$A$3:$I$102,7,FALSE),main!$K$26:$Q$29,4,FALSE)),1,0)</f>
        <v>0</v>
      </c>
      <c r="CP172">
        <f>IF(AND(VLOOKUP(CP$1,main!$A$3:$H$102,7,FALSE)=main!$G$104,VLOOKUP(CP$1,main!$A$3:$H$102,5,FALSE)-VLOOKUP($A172,main!$A$3:$H$102,6,FALSE)&gt;=main!$D$103+VLOOKUP(VLOOKUP(CP$1,main!$A$3:$I$102,7,FALSE),main!$K$26:$Q$29,4,FALSE)),1,0)</f>
        <v>0</v>
      </c>
      <c r="CQ172">
        <f>IF(AND(VLOOKUP(CQ$1,main!$A$3:$H$102,7,FALSE)=main!$G$104,VLOOKUP(CQ$1,main!$A$3:$H$102,5,FALSE)-VLOOKUP($A172,main!$A$3:$H$102,6,FALSE)&gt;=main!$D$103+VLOOKUP(VLOOKUP(CQ$1,main!$A$3:$I$102,7,FALSE),main!$K$26:$Q$29,4,FALSE)),1,0)</f>
        <v>0</v>
      </c>
      <c r="CR172">
        <f>IF(AND(VLOOKUP(CR$1,main!$A$3:$H$102,7,FALSE)=main!$G$104,VLOOKUP(CR$1,main!$A$3:$H$102,5,FALSE)-VLOOKUP($A172,main!$A$3:$H$102,6,FALSE)&gt;=main!$D$103+VLOOKUP(VLOOKUP(CR$1,main!$A$3:$I$102,7,FALSE),main!$K$26:$Q$29,4,FALSE)),1,0)</f>
        <v>0</v>
      </c>
      <c r="CS172">
        <f>IF(AND(VLOOKUP(CS$1,main!$A$3:$H$102,7,FALSE)=main!$G$104,VLOOKUP(CS$1,main!$A$3:$H$102,5,FALSE)-VLOOKUP($A172,main!$A$3:$H$102,6,FALSE)&gt;=main!$D$103+VLOOKUP(VLOOKUP(CS$1,main!$A$3:$I$102,7,FALSE),main!$K$26:$Q$29,4,FALSE)),1,0)</f>
        <v>0</v>
      </c>
      <c r="CT172">
        <f>IF(AND(VLOOKUP(CT$1,main!$A$3:$H$102,7,FALSE)=main!$G$104,VLOOKUP(CT$1,main!$A$3:$H$102,5,FALSE)-VLOOKUP($A172,main!$A$3:$H$102,6,FALSE)&gt;=main!$D$103+VLOOKUP(VLOOKUP(CT$1,main!$A$3:$I$102,7,FALSE),main!$K$26:$Q$29,4,FALSE)),1,0)</f>
        <v>0</v>
      </c>
      <c r="CU172">
        <f>IF(AND(VLOOKUP(CU$1,main!$A$3:$H$102,7,FALSE)=main!$G$104,VLOOKUP(CU$1,main!$A$3:$H$102,5,FALSE)-VLOOKUP($A172,main!$A$3:$H$102,6,FALSE)&gt;=main!$D$103+VLOOKUP(VLOOKUP(CU$1,main!$A$3:$I$102,7,FALSE),main!$K$26:$Q$29,4,FALSE)),1,0)</f>
        <v>0</v>
      </c>
      <c r="CV172">
        <f>IF(AND(VLOOKUP(CV$1,main!$A$3:$H$102,7,FALSE)=main!$G$104,VLOOKUP(CV$1,main!$A$3:$H$102,5,FALSE)-VLOOKUP($A172,main!$A$3:$H$102,6,FALSE)&gt;=main!$D$103+VLOOKUP(VLOOKUP(CV$1,main!$A$3:$I$102,7,FALSE),main!$K$26:$Q$29,4,FALSE)),1,0)</f>
        <v>0</v>
      </c>
      <c r="CW172">
        <f>IF(AND(VLOOKUP(CW$1,main!$A$3:$H$102,7,FALSE)=main!$G$104,VLOOKUP(CW$1,main!$A$3:$H$102,5,FALSE)-VLOOKUP($A172,main!$A$3:$H$102,6,FALSE)&gt;=main!$D$103+VLOOKUP(VLOOKUP(CW$1,main!$A$3:$I$102,7,FALSE),main!$K$26:$Q$29,4,FALSE)),1,0)</f>
        <v>0</v>
      </c>
      <c r="CX172">
        <f>IF(AND(VLOOKUP(CX$1,main!$A$3:$H$102,7,FALSE)=main!$G$104,VLOOKUP(CX$1,main!$A$3:$H$102,5,FALSE)-VLOOKUP($A172,main!$A$3:$H$102,6,FALSE)&gt;=main!$D$103+VLOOKUP(VLOOKUP(CX$1,main!$A$3:$I$102,7,FALSE),main!$K$26:$Q$29,4,FALSE)),1,0)</f>
        <v>0</v>
      </c>
    </row>
    <row r="173" spans="1:102" x14ac:dyDescent="0.25">
      <c r="A173" s="1">
        <v>70</v>
      </c>
      <c r="B173">
        <v>0</v>
      </c>
      <c r="C173">
        <f>IF(AND(VLOOKUP(C$1,main!$A$3:$H$102,7,FALSE)=main!$G$104,VLOOKUP(C$1,main!$A$3:$H$102,5,FALSE)-VLOOKUP($A173,main!$A$3:$H$102,6,FALSE)&gt;=main!$D$103+VLOOKUP(VLOOKUP(C$1,main!$A$3:$I$102,7,FALSE),main!$K$26:$Q$29,4,FALSE)),1,0)</f>
        <v>0</v>
      </c>
      <c r="D173">
        <f>IF(AND(VLOOKUP(D$1,main!$A$3:$H$102,7,FALSE)=main!$G$104,VLOOKUP(D$1,main!$A$3:$H$102,5,FALSE)-VLOOKUP($A173,main!$A$3:$H$102,6,FALSE)&gt;=main!$D$103+VLOOKUP(VLOOKUP(D$1,main!$A$3:$I$102,7,FALSE),main!$K$26:$Q$29,4,FALSE)),1,0)</f>
        <v>0</v>
      </c>
      <c r="E173">
        <f>IF(AND(VLOOKUP(E$1,main!$A$3:$H$102,7,FALSE)=main!$G$104,VLOOKUP(E$1,main!$A$3:$H$102,5,FALSE)-VLOOKUP($A173,main!$A$3:$H$102,6,FALSE)&gt;=main!$D$103+VLOOKUP(VLOOKUP(E$1,main!$A$3:$I$102,7,FALSE),main!$K$26:$Q$29,4,FALSE)),1,0)</f>
        <v>0</v>
      </c>
      <c r="F173">
        <f>IF(AND(VLOOKUP(F$1,main!$A$3:$H$102,7,FALSE)=main!$G$104,VLOOKUP(F$1,main!$A$3:$H$102,5,FALSE)-VLOOKUP($A173,main!$A$3:$H$102,6,FALSE)&gt;=main!$D$103+VLOOKUP(VLOOKUP(F$1,main!$A$3:$I$102,7,FALSE),main!$K$26:$Q$29,4,FALSE)),1,0)</f>
        <v>0</v>
      </c>
      <c r="G173">
        <f>IF(AND(VLOOKUP(G$1,main!$A$3:$H$102,7,FALSE)=main!$G$104,VLOOKUP(G$1,main!$A$3:$H$102,5,FALSE)-VLOOKUP($A173,main!$A$3:$H$102,6,FALSE)&gt;=main!$D$103+VLOOKUP(VLOOKUP(G$1,main!$A$3:$I$102,7,FALSE),main!$K$26:$Q$29,4,FALSE)),1,0)</f>
        <v>0</v>
      </c>
      <c r="H173">
        <f>IF(AND(VLOOKUP(H$1,main!$A$3:$H$102,7,FALSE)=main!$G$104,VLOOKUP(H$1,main!$A$3:$H$102,5,FALSE)-VLOOKUP($A173,main!$A$3:$H$102,6,FALSE)&gt;=main!$D$103+VLOOKUP(VLOOKUP(H$1,main!$A$3:$I$102,7,FALSE),main!$K$26:$Q$29,4,FALSE)),1,0)</f>
        <v>0</v>
      </c>
      <c r="I173">
        <f>IF(AND(VLOOKUP(I$1,main!$A$3:$H$102,7,FALSE)=main!$G$104,VLOOKUP(I$1,main!$A$3:$H$102,5,FALSE)-VLOOKUP($A173,main!$A$3:$H$102,6,FALSE)&gt;=main!$D$103+VLOOKUP(VLOOKUP(I$1,main!$A$3:$I$102,7,FALSE),main!$K$26:$Q$29,4,FALSE)),1,0)</f>
        <v>0</v>
      </c>
      <c r="J173">
        <f>IF(AND(VLOOKUP(J$1,main!$A$3:$H$102,7,FALSE)=main!$G$104,VLOOKUP(J$1,main!$A$3:$H$102,5,FALSE)-VLOOKUP($A173,main!$A$3:$H$102,6,FALSE)&gt;=main!$D$103+VLOOKUP(VLOOKUP(J$1,main!$A$3:$I$102,7,FALSE),main!$K$26:$Q$29,4,FALSE)),1,0)</f>
        <v>0</v>
      </c>
      <c r="K173">
        <f>IF(AND(VLOOKUP(K$1,main!$A$3:$H$102,7,FALSE)=main!$G$104,VLOOKUP(K$1,main!$A$3:$H$102,5,FALSE)-VLOOKUP($A173,main!$A$3:$H$102,6,FALSE)&gt;=main!$D$103+VLOOKUP(VLOOKUP(K$1,main!$A$3:$I$102,7,FALSE),main!$K$26:$Q$29,4,FALSE)),1,0)</f>
        <v>1</v>
      </c>
      <c r="L173">
        <f>IF(AND(VLOOKUP(L$1,main!$A$3:$H$102,7,FALSE)=main!$G$104,VLOOKUP(L$1,main!$A$3:$H$102,5,FALSE)-VLOOKUP($A173,main!$A$3:$H$102,6,FALSE)&gt;=main!$D$103+VLOOKUP(VLOOKUP(L$1,main!$A$3:$I$102,7,FALSE),main!$K$26:$Q$29,4,FALSE)),1,0)</f>
        <v>1</v>
      </c>
      <c r="M173">
        <f>IF(AND(VLOOKUP(M$1,main!$A$3:$H$102,7,FALSE)=main!$G$104,VLOOKUP(M$1,main!$A$3:$H$102,5,FALSE)-VLOOKUP($A173,main!$A$3:$H$102,6,FALSE)&gt;=main!$D$103+VLOOKUP(VLOOKUP(M$1,main!$A$3:$I$102,7,FALSE),main!$K$26:$Q$29,4,FALSE)),1,0)</f>
        <v>0</v>
      </c>
      <c r="N173">
        <f>IF(AND(VLOOKUP(N$1,main!$A$3:$H$102,7,FALSE)=main!$G$104,VLOOKUP(N$1,main!$A$3:$H$102,5,FALSE)-VLOOKUP($A173,main!$A$3:$H$102,6,FALSE)&gt;=main!$D$103+VLOOKUP(VLOOKUP(N$1,main!$A$3:$I$102,7,FALSE),main!$K$26:$Q$29,4,FALSE)),1,0)</f>
        <v>0</v>
      </c>
      <c r="O173">
        <f>IF(AND(VLOOKUP(O$1,main!$A$3:$H$102,7,FALSE)=main!$G$104,VLOOKUP(O$1,main!$A$3:$H$102,5,FALSE)-VLOOKUP($A173,main!$A$3:$H$102,6,FALSE)&gt;=main!$D$103+VLOOKUP(VLOOKUP(O$1,main!$A$3:$I$102,7,FALSE),main!$K$26:$Q$29,4,FALSE)),1,0)</f>
        <v>0</v>
      </c>
      <c r="P173">
        <f>IF(AND(VLOOKUP(P$1,main!$A$3:$H$102,7,FALSE)=main!$G$104,VLOOKUP(P$1,main!$A$3:$H$102,5,FALSE)-VLOOKUP($A173,main!$A$3:$H$102,6,FALSE)&gt;=main!$D$103+VLOOKUP(VLOOKUP(P$1,main!$A$3:$I$102,7,FALSE),main!$K$26:$Q$29,4,FALSE)),1,0)</f>
        <v>0</v>
      </c>
      <c r="Q173">
        <f>IF(AND(VLOOKUP(Q$1,main!$A$3:$H$102,7,FALSE)=main!$G$104,VLOOKUP(Q$1,main!$A$3:$H$102,5,FALSE)-VLOOKUP($A173,main!$A$3:$H$102,6,FALSE)&gt;=main!$D$103+VLOOKUP(VLOOKUP(Q$1,main!$A$3:$I$102,7,FALSE),main!$K$26:$Q$29,4,FALSE)),1,0)</f>
        <v>0</v>
      </c>
      <c r="R173">
        <f>IF(AND(VLOOKUP(R$1,main!$A$3:$H$102,7,FALSE)=main!$G$104,VLOOKUP(R$1,main!$A$3:$H$102,5,FALSE)-VLOOKUP($A173,main!$A$3:$H$102,6,FALSE)&gt;=main!$D$103+VLOOKUP(VLOOKUP(R$1,main!$A$3:$I$102,7,FALSE),main!$K$26:$Q$29,4,FALSE)),1,0)</f>
        <v>0</v>
      </c>
      <c r="S173">
        <f>IF(AND(VLOOKUP(S$1,main!$A$3:$H$102,7,FALSE)=main!$G$104,VLOOKUP(S$1,main!$A$3:$H$102,5,FALSE)-VLOOKUP($A173,main!$A$3:$H$102,6,FALSE)&gt;=main!$D$103+VLOOKUP(VLOOKUP(S$1,main!$A$3:$I$102,7,FALSE),main!$K$26:$Q$29,4,FALSE)),1,0)</f>
        <v>0</v>
      </c>
      <c r="T173">
        <f>IF(AND(VLOOKUP(T$1,main!$A$3:$H$102,7,FALSE)=main!$G$104,VLOOKUP(T$1,main!$A$3:$H$102,5,FALSE)-VLOOKUP($A173,main!$A$3:$H$102,6,FALSE)&gt;=main!$D$103+VLOOKUP(VLOOKUP(T$1,main!$A$3:$I$102,7,FALSE),main!$K$26:$Q$29,4,FALSE)),1,0)</f>
        <v>0</v>
      </c>
      <c r="U173">
        <f>IF(AND(VLOOKUP(U$1,main!$A$3:$H$102,7,FALSE)=main!$G$104,VLOOKUP(U$1,main!$A$3:$H$102,5,FALSE)-VLOOKUP($A173,main!$A$3:$H$102,6,FALSE)&gt;=main!$D$103+VLOOKUP(VLOOKUP(U$1,main!$A$3:$I$102,7,FALSE),main!$K$26:$Q$29,4,FALSE)),1,0)</f>
        <v>1</v>
      </c>
      <c r="V173">
        <f>IF(AND(VLOOKUP(V$1,main!$A$3:$H$102,7,FALSE)=main!$G$104,VLOOKUP(V$1,main!$A$3:$H$102,5,FALSE)-VLOOKUP($A173,main!$A$3:$H$102,6,FALSE)&gt;=main!$D$103+VLOOKUP(VLOOKUP(V$1,main!$A$3:$I$102,7,FALSE),main!$K$26:$Q$29,4,FALSE)),1,0)</f>
        <v>1</v>
      </c>
      <c r="W173">
        <f>IF(AND(VLOOKUP(W$1,main!$A$3:$H$102,7,FALSE)=main!$G$104,VLOOKUP(W$1,main!$A$3:$H$102,5,FALSE)-VLOOKUP($A173,main!$A$3:$H$102,6,FALSE)&gt;=main!$D$103+VLOOKUP(VLOOKUP(W$1,main!$A$3:$I$102,7,FALSE),main!$K$26:$Q$29,4,FALSE)),1,0)</f>
        <v>0</v>
      </c>
      <c r="X173">
        <f>IF(AND(VLOOKUP(X$1,main!$A$3:$H$102,7,FALSE)=main!$G$104,VLOOKUP(X$1,main!$A$3:$H$102,5,FALSE)-VLOOKUP($A173,main!$A$3:$H$102,6,FALSE)&gt;=main!$D$103+VLOOKUP(VLOOKUP(X$1,main!$A$3:$I$102,7,FALSE),main!$K$26:$Q$29,4,FALSE)),1,0)</f>
        <v>0</v>
      </c>
      <c r="Y173">
        <f>IF(AND(VLOOKUP(Y$1,main!$A$3:$H$102,7,FALSE)=main!$G$104,VLOOKUP(Y$1,main!$A$3:$H$102,5,FALSE)-VLOOKUP($A173,main!$A$3:$H$102,6,FALSE)&gt;=main!$D$103+VLOOKUP(VLOOKUP(Y$1,main!$A$3:$I$102,7,FALSE),main!$K$26:$Q$29,4,FALSE)),1,0)</f>
        <v>0</v>
      </c>
      <c r="Z173">
        <f>IF(AND(VLOOKUP(Z$1,main!$A$3:$H$102,7,FALSE)=main!$G$104,VLOOKUP(Z$1,main!$A$3:$H$102,5,FALSE)-VLOOKUP($A173,main!$A$3:$H$102,6,FALSE)&gt;=main!$D$103+VLOOKUP(VLOOKUP(Z$1,main!$A$3:$I$102,7,FALSE),main!$K$26:$Q$29,4,FALSE)),1,0)</f>
        <v>0</v>
      </c>
      <c r="AA173">
        <f>IF(AND(VLOOKUP(AA$1,main!$A$3:$H$102,7,FALSE)=main!$G$104,VLOOKUP(AA$1,main!$A$3:$H$102,5,FALSE)-VLOOKUP($A173,main!$A$3:$H$102,6,FALSE)&gt;=main!$D$103+VLOOKUP(VLOOKUP(AA$1,main!$A$3:$I$102,7,FALSE),main!$K$26:$Q$29,4,FALSE)),1,0)</f>
        <v>1</v>
      </c>
      <c r="AB173">
        <f>IF(AND(VLOOKUP(AB$1,main!$A$3:$H$102,7,FALSE)=main!$G$104,VLOOKUP(AB$1,main!$A$3:$H$102,5,FALSE)-VLOOKUP($A173,main!$A$3:$H$102,6,FALSE)&gt;=main!$D$103+VLOOKUP(VLOOKUP(AB$1,main!$A$3:$I$102,7,FALSE),main!$K$26:$Q$29,4,FALSE)),1,0)</f>
        <v>0</v>
      </c>
      <c r="AC173">
        <f>IF(AND(VLOOKUP(AC$1,main!$A$3:$H$102,7,FALSE)=main!$G$104,VLOOKUP(AC$1,main!$A$3:$H$102,5,FALSE)-VLOOKUP($A173,main!$A$3:$H$102,6,FALSE)&gt;=main!$D$103+VLOOKUP(VLOOKUP(AC$1,main!$A$3:$I$102,7,FALSE),main!$K$26:$Q$29,4,FALSE)),1,0)</f>
        <v>0</v>
      </c>
      <c r="AD173">
        <f>IF(AND(VLOOKUP(AD$1,main!$A$3:$H$102,7,FALSE)=main!$G$104,VLOOKUP(AD$1,main!$A$3:$H$102,5,FALSE)-VLOOKUP($A173,main!$A$3:$H$102,6,FALSE)&gt;=main!$D$103+VLOOKUP(VLOOKUP(AD$1,main!$A$3:$I$102,7,FALSE),main!$K$26:$Q$29,4,FALSE)),1,0)</f>
        <v>0</v>
      </c>
      <c r="AE173">
        <f>IF(AND(VLOOKUP(AE$1,main!$A$3:$H$102,7,FALSE)=main!$G$104,VLOOKUP(AE$1,main!$A$3:$H$102,5,FALSE)-VLOOKUP($A173,main!$A$3:$H$102,6,FALSE)&gt;=main!$D$103+VLOOKUP(VLOOKUP(AE$1,main!$A$3:$I$102,7,FALSE),main!$K$26:$Q$29,4,FALSE)),1,0)</f>
        <v>0</v>
      </c>
      <c r="AF173">
        <f>IF(AND(VLOOKUP(AF$1,main!$A$3:$H$102,7,FALSE)=main!$G$104,VLOOKUP(AF$1,main!$A$3:$H$102,5,FALSE)-VLOOKUP($A173,main!$A$3:$H$102,6,FALSE)&gt;=main!$D$103+VLOOKUP(VLOOKUP(AF$1,main!$A$3:$I$102,7,FALSE),main!$K$26:$Q$29,4,FALSE)),1,0)</f>
        <v>1</v>
      </c>
      <c r="AG173">
        <f>IF(AND(VLOOKUP(AG$1,main!$A$3:$H$102,7,FALSE)=main!$G$104,VLOOKUP(AG$1,main!$A$3:$H$102,5,FALSE)-VLOOKUP($A173,main!$A$3:$H$102,6,FALSE)&gt;=main!$D$103+VLOOKUP(VLOOKUP(AG$1,main!$A$3:$I$102,7,FALSE),main!$K$26:$Q$29,4,FALSE)),1,0)</f>
        <v>0</v>
      </c>
      <c r="AH173">
        <f>IF(AND(VLOOKUP(AH$1,main!$A$3:$H$102,7,FALSE)=main!$G$104,VLOOKUP(AH$1,main!$A$3:$H$102,5,FALSE)-VLOOKUP($A173,main!$A$3:$H$102,6,FALSE)&gt;=main!$D$103+VLOOKUP(VLOOKUP(AH$1,main!$A$3:$I$102,7,FALSE),main!$K$26:$Q$29,4,FALSE)),1,0)</f>
        <v>0</v>
      </c>
      <c r="AI173">
        <f>IF(AND(VLOOKUP(AI$1,main!$A$3:$H$102,7,FALSE)=main!$G$104,VLOOKUP(AI$1,main!$A$3:$H$102,5,FALSE)-VLOOKUP($A173,main!$A$3:$H$102,6,FALSE)&gt;=main!$D$103+VLOOKUP(VLOOKUP(AI$1,main!$A$3:$I$102,7,FALSE),main!$K$26:$Q$29,4,FALSE)),1,0)</f>
        <v>0</v>
      </c>
      <c r="AJ173">
        <f>IF(AND(VLOOKUP(AJ$1,main!$A$3:$H$102,7,FALSE)=main!$G$104,VLOOKUP(AJ$1,main!$A$3:$H$102,5,FALSE)-VLOOKUP($A173,main!$A$3:$H$102,6,FALSE)&gt;=main!$D$103+VLOOKUP(VLOOKUP(AJ$1,main!$A$3:$I$102,7,FALSE),main!$K$26:$Q$29,4,FALSE)),1,0)</f>
        <v>0</v>
      </c>
      <c r="AK173">
        <f>IF(AND(VLOOKUP(AK$1,main!$A$3:$H$102,7,FALSE)=main!$G$104,VLOOKUP(AK$1,main!$A$3:$H$102,5,FALSE)-VLOOKUP($A173,main!$A$3:$H$102,6,FALSE)&gt;=main!$D$103+VLOOKUP(VLOOKUP(AK$1,main!$A$3:$I$102,7,FALSE),main!$K$26:$Q$29,4,FALSE)),1,0)</f>
        <v>0</v>
      </c>
      <c r="AL173">
        <f>IF(AND(VLOOKUP(AL$1,main!$A$3:$H$102,7,FALSE)=main!$G$104,VLOOKUP(AL$1,main!$A$3:$H$102,5,FALSE)-VLOOKUP($A173,main!$A$3:$H$102,6,FALSE)&gt;=main!$D$103+VLOOKUP(VLOOKUP(AL$1,main!$A$3:$I$102,7,FALSE),main!$K$26:$Q$29,4,FALSE)),1,0)</f>
        <v>0</v>
      </c>
      <c r="AM173">
        <f>IF(AND(VLOOKUP(AM$1,main!$A$3:$H$102,7,FALSE)=main!$G$104,VLOOKUP(AM$1,main!$A$3:$H$102,5,FALSE)-VLOOKUP($A173,main!$A$3:$H$102,6,FALSE)&gt;=main!$D$103+VLOOKUP(VLOOKUP(AM$1,main!$A$3:$I$102,7,FALSE),main!$K$26:$Q$29,4,FALSE)),1,0)</f>
        <v>0</v>
      </c>
      <c r="AN173">
        <f>IF(AND(VLOOKUP(AN$1,main!$A$3:$H$102,7,FALSE)=main!$G$104,VLOOKUP(AN$1,main!$A$3:$H$102,5,FALSE)-VLOOKUP($A173,main!$A$3:$H$102,6,FALSE)&gt;=main!$D$103+VLOOKUP(VLOOKUP(AN$1,main!$A$3:$I$102,7,FALSE),main!$K$26:$Q$29,4,FALSE)),1,0)</f>
        <v>0</v>
      </c>
      <c r="AO173">
        <f>IF(AND(VLOOKUP(AO$1,main!$A$3:$H$102,7,FALSE)=main!$G$104,VLOOKUP(AO$1,main!$A$3:$H$102,5,FALSE)-VLOOKUP($A173,main!$A$3:$H$102,6,FALSE)&gt;=main!$D$103+VLOOKUP(VLOOKUP(AO$1,main!$A$3:$I$102,7,FALSE),main!$K$26:$Q$29,4,FALSE)),1,0)</f>
        <v>0</v>
      </c>
      <c r="AP173">
        <f>IF(AND(VLOOKUP(AP$1,main!$A$3:$H$102,7,FALSE)=main!$G$104,VLOOKUP(AP$1,main!$A$3:$H$102,5,FALSE)-VLOOKUP($A173,main!$A$3:$H$102,6,FALSE)&gt;=main!$D$103+VLOOKUP(VLOOKUP(AP$1,main!$A$3:$I$102,7,FALSE),main!$K$26:$Q$29,4,FALSE)),1,0)</f>
        <v>0</v>
      </c>
      <c r="AQ173">
        <f>IF(AND(VLOOKUP(AQ$1,main!$A$3:$H$102,7,FALSE)=main!$G$104,VLOOKUP(AQ$1,main!$A$3:$H$102,5,FALSE)-VLOOKUP($A173,main!$A$3:$H$102,6,FALSE)&gt;=main!$D$103+VLOOKUP(VLOOKUP(AQ$1,main!$A$3:$I$102,7,FALSE),main!$K$26:$Q$29,4,FALSE)),1,0)</f>
        <v>0</v>
      </c>
      <c r="AR173">
        <f>IF(AND(VLOOKUP(AR$1,main!$A$3:$H$102,7,FALSE)=main!$G$104,VLOOKUP(AR$1,main!$A$3:$H$102,5,FALSE)-VLOOKUP($A173,main!$A$3:$H$102,6,FALSE)&gt;=main!$D$103+VLOOKUP(VLOOKUP(AR$1,main!$A$3:$I$102,7,FALSE),main!$K$26:$Q$29,4,FALSE)),1,0)</f>
        <v>0</v>
      </c>
      <c r="AS173">
        <f>IF(AND(VLOOKUP(AS$1,main!$A$3:$H$102,7,FALSE)=main!$G$104,VLOOKUP(AS$1,main!$A$3:$H$102,5,FALSE)-VLOOKUP($A173,main!$A$3:$H$102,6,FALSE)&gt;=main!$D$103+VLOOKUP(VLOOKUP(AS$1,main!$A$3:$I$102,7,FALSE),main!$K$26:$Q$29,4,FALSE)),1,0)</f>
        <v>0</v>
      </c>
      <c r="AT173">
        <f>IF(AND(VLOOKUP(AT$1,main!$A$3:$H$102,7,FALSE)=main!$G$104,VLOOKUP(AT$1,main!$A$3:$H$102,5,FALSE)-VLOOKUP($A173,main!$A$3:$H$102,6,FALSE)&gt;=main!$D$103+VLOOKUP(VLOOKUP(AT$1,main!$A$3:$I$102,7,FALSE),main!$K$26:$Q$29,4,FALSE)),1,0)</f>
        <v>0</v>
      </c>
      <c r="AU173">
        <f>IF(AND(VLOOKUP(AU$1,main!$A$3:$H$102,7,FALSE)=main!$G$104,VLOOKUP(AU$1,main!$A$3:$H$102,5,FALSE)-VLOOKUP($A173,main!$A$3:$H$102,6,FALSE)&gt;=main!$D$103+VLOOKUP(VLOOKUP(AU$1,main!$A$3:$I$102,7,FALSE),main!$K$26:$Q$29,4,FALSE)),1,0)</f>
        <v>0</v>
      </c>
      <c r="AV173">
        <f>IF(AND(VLOOKUP(AV$1,main!$A$3:$H$102,7,FALSE)=main!$G$104,VLOOKUP(AV$1,main!$A$3:$H$102,5,FALSE)-VLOOKUP($A173,main!$A$3:$H$102,6,FALSE)&gt;=main!$D$103+VLOOKUP(VLOOKUP(AV$1,main!$A$3:$I$102,7,FALSE),main!$K$26:$Q$29,4,FALSE)),1,0)</f>
        <v>0</v>
      </c>
      <c r="AW173">
        <f>IF(AND(VLOOKUP(AW$1,main!$A$3:$H$102,7,FALSE)=main!$G$104,VLOOKUP(AW$1,main!$A$3:$H$102,5,FALSE)-VLOOKUP($A173,main!$A$3:$H$102,6,FALSE)&gt;=main!$D$103+VLOOKUP(VLOOKUP(AW$1,main!$A$3:$I$102,7,FALSE),main!$K$26:$Q$29,4,FALSE)),1,0)</f>
        <v>0</v>
      </c>
      <c r="AX173">
        <f>IF(AND(VLOOKUP(AX$1,main!$A$3:$H$102,7,FALSE)=main!$G$104,VLOOKUP(AX$1,main!$A$3:$H$102,5,FALSE)-VLOOKUP($A173,main!$A$3:$H$102,6,FALSE)&gt;=main!$D$103+VLOOKUP(VLOOKUP(AX$1,main!$A$3:$I$102,7,FALSE),main!$K$26:$Q$29,4,FALSE)),1,0)</f>
        <v>0</v>
      </c>
      <c r="AY173">
        <f>IF(AND(VLOOKUP(AY$1,main!$A$3:$H$102,7,FALSE)=main!$G$104,VLOOKUP(AY$1,main!$A$3:$H$102,5,FALSE)-VLOOKUP($A173,main!$A$3:$H$102,6,FALSE)&gt;=main!$D$103+VLOOKUP(VLOOKUP(AY$1,main!$A$3:$I$102,7,FALSE),main!$K$26:$Q$29,4,FALSE)),1,0)</f>
        <v>0</v>
      </c>
      <c r="AZ173">
        <f>IF(AND(VLOOKUP(AZ$1,main!$A$3:$H$102,7,FALSE)=main!$G$104,VLOOKUP(AZ$1,main!$A$3:$H$102,5,FALSE)-VLOOKUP($A173,main!$A$3:$H$102,6,FALSE)&gt;=main!$D$103+VLOOKUP(VLOOKUP(AZ$1,main!$A$3:$I$102,7,FALSE),main!$K$26:$Q$29,4,FALSE)),1,0)</f>
        <v>0</v>
      </c>
      <c r="BA173">
        <f>IF(AND(VLOOKUP(BA$1,main!$A$3:$H$102,7,FALSE)=main!$G$104,VLOOKUP(BA$1,main!$A$3:$H$102,5,FALSE)-VLOOKUP($A173,main!$A$3:$H$102,6,FALSE)&gt;=main!$D$103+VLOOKUP(VLOOKUP(BA$1,main!$A$3:$I$102,7,FALSE),main!$K$26:$Q$29,4,FALSE)),1,0)</f>
        <v>0</v>
      </c>
      <c r="BB173">
        <f>IF(AND(VLOOKUP(BB$1,main!$A$3:$H$102,7,FALSE)=main!$G$104,VLOOKUP(BB$1,main!$A$3:$H$102,5,FALSE)-VLOOKUP($A173,main!$A$3:$H$102,6,FALSE)&gt;=main!$D$103+VLOOKUP(VLOOKUP(BB$1,main!$A$3:$I$102,7,FALSE),main!$K$26:$Q$29,4,FALSE)),1,0)</f>
        <v>0</v>
      </c>
      <c r="BC173">
        <f>IF(AND(VLOOKUP(BC$1,main!$A$3:$H$102,7,FALSE)=main!$G$104,VLOOKUP(BC$1,main!$A$3:$H$102,5,FALSE)-VLOOKUP($A173,main!$A$3:$H$102,6,FALSE)&gt;=main!$D$103+VLOOKUP(VLOOKUP(BC$1,main!$A$3:$I$102,7,FALSE),main!$K$26:$Q$29,4,FALSE)),1,0)</f>
        <v>0</v>
      </c>
      <c r="BD173">
        <f>IF(AND(VLOOKUP(BD$1,main!$A$3:$H$102,7,FALSE)=main!$G$104,VLOOKUP(BD$1,main!$A$3:$H$102,5,FALSE)-VLOOKUP($A173,main!$A$3:$H$102,6,FALSE)&gt;=main!$D$103+VLOOKUP(VLOOKUP(BD$1,main!$A$3:$I$102,7,FALSE),main!$K$26:$Q$29,4,FALSE)),1,0)</f>
        <v>0</v>
      </c>
      <c r="BE173">
        <f>IF(AND(VLOOKUP(BE$1,main!$A$3:$H$102,7,FALSE)=main!$G$104,VLOOKUP(BE$1,main!$A$3:$H$102,5,FALSE)-VLOOKUP($A173,main!$A$3:$H$102,6,FALSE)&gt;=main!$D$103+VLOOKUP(VLOOKUP(BE$1,main!$A$3:$I$102,7,FALSE),main!$K$26:$Q$29,4,FALSE)),1,0)</f>
        <v>0</v>
      </c>
      <c r="BF173">
        <f>IF(AND(VLOOKUP(BF$1,main!$A$3:$H$102,7,FALSE)=main!$G$104,VLOOKUP(BF$1,main!$A$3:$H$102,5,FALSE)-VLOOKUP($A173,main!$A$3:$H$102,6,FALSE)&gt;=main!$D$103+VLOOKUP(VLOOKUP(BF$1,main!$A$3:$I$102,7,FALSE),main!$K$26:$Q$29,4,FALSE)),1,0)</f>
        <v>0</v>
      </c>
      <c r="BG173">
        <f>IF(AND(VLOOKUP(BG$1,main!$A$3:$H$102,7,FALSE)=main!$G$104,VLOOKUP(BG$1,main!$A$3:$H$102,5,FALSE)-VLOOKUP($A173,main!$A$3:$H$102,6,FALSE)&gt;=main!$D$103+VLOOKUP(VLOOKUP(BG$1,main!$A$3:$I$102,7,FALSE),main!$K$26:$Q$29,4,FALSE)),1,0)</f>
        <v>0</v>
      </c>
      <c r="BH173">
        <f>IF(AND(VLOOKUP(BH$1,main!$A$3:$H$102,7,FALSE)=main!$G$104,VLOOKUP(BH$1,main!$A$3:$H$102,5,FALSE)-VLOOKUP($A173,main!$A$3:$H$102,6,FALSE)&gt;=main!$D$103+VLOOKUP(VLOOKUP(BH$1,main!$A$3:$I$102,7,FALSE),main!$K$26:$Q$29,4,FALSE)),1,0)</f>
        <v>0</v>
      </c>
      <c r="BI173">
        <f>IF(AND(VLOOKUP(BI$1,main!$A$3:$H$102,7,FALSE)=main!$G$104,VLOOKUP(BI$1,main!$A$3:$H$102,5,FALSE)-VLOOKUP($A173,main!$A$3:$H$102,6,FALSE)&gt;=main!$D$103+VLOOKUP(VLOOKUP(BI$1,main!$A$3:$I$102,7,FALSE),main!$K$26:$Q$29,4,FALSE)),1,0)</f>
        <v>0</v>
      </c>
      <c r="BJ173">
        <f>IF(AND(VLOOKUP(BJ$1,main!$A$3:$H$102,7,FALSE)=main!$G$104,VLOOKUP(BJ$1,main!$A$3:$H$102,5,FALSE)-VLOOKUP($A173,main!$A$3:$H$102,6,FALSE)&gt;=main!$D$103+VLOOKUP(VLOOKUP(BJ$1,main!$A$3:$I$102,7,FALSE),main!$K$26:$Q$29,4,FALSE)),1,0)</f>
        <v>0</v>
      </c>
      <c r="BK173">
        <f>IF(AND(VLOOKUP(BK$1,main!$A$3:$H$102,7,FALSE)=main!$G$104,VLOOKUP(BK$1,main!$A$3:$H$102,5,FALSE)-VLOOKUP($A173,main!$A$3:$H$102,6,FALSE)&gt;=main!$D$103+VLOOKUP(VLOOKUP(BK$1,main!$A$3:$I$102,7,FALSE),main!$K$26:$Q$29,4,FALSE)),1,0)</f>
        <v>0</v>
      </c>
      <c r="BL173">
        <f>IF(AND(VLOOKUP(BL$1,main!$A$3:$H$102,7,FALSE)=main!$G$104,VLOOKUP(BL$1,main!$A$3:$H$102,5,FALSE)-VLOOKUP($A173,main!$A$3:$H$102,6,FALSE)&gt;=main!$D$103+VLOOKUP(VLOOKUP(BL$1,main!$A$3:$I$102,7,FALSE),main!$K$26:$Q$29,4,FALSE)),1,0)</f>
        <v>0</v>
      </c>
      <c r="BM173">
        <f>IF(AND(VLOOKUP(BM$1,main!$A$3:$H$102,7,FALSE)=main!$G$104,VLOOKUP(BM$1,main!$A$3:$H$102,5,FALSE)-VLOOKUP($A173,main!$A$3:$H$102,6,FALSE)&gt;=main!$D$103+VLOOKUP(VLOOKUP(BM$1,main!$A$3:$I$102,7,FALSE),main!$K$26:$Q$29,4,FALSE)),1,0)</f>
        <v>0</v>
      </c>
      <c r="BN173">
        <f>IF(AND(VLOOKUP(BN$1,main!$A$3:$H$102,7,FALSE)=main!$G$104,VLOOKUP(BN$1,main!$A$3:$H$102,5,FALSE)-VLOOKUP($A173,main!$A$3:$H$102,6,FALSE)&gt;=main!$D$103+VLOOKUP(VLOOKUP(BN$1,main!$A$3:$I$102,7,FALSE),main!$K$26:$Q$29,4,FALSE)),1,0)</f>
        <v>0</v>
      </c>
      <c r="BO173">
        <f>IF(AND(VLOOKUP(BO$1,main!$A$3:$H$102,7,FALSE)=main!$G$104,VLOOKUP(BO$1,main!$A$3:$H$102,5,FALSE)-VLOOKUP($A173,main!$A$3:$H$102,6,FALSE)&gt;=main!$D$103+VLOOKUP(VLOOKUP(BO$1,main!$A$3:$I$102,7,FALSE),main!$K$26:$Q$29,4,FALSE)),1,0)</f>
        <v>0</v>
      </c>
      <c r="BP173">
        <f>IF(AND(VLOOKUP(BP$1,main!$A$3:$H$102,7,FALSE)=main!$G$104,VLOOKUP(BP$1,main!$A$3:$H$102,5,FALSE)-VLOOKUP($A173,main!$A$3:$H$102,6,FALSE)&gt;=main!$D$103+VLOOKUP(VLOOKUP(BP$1,main!$A$3:$I$102,7,FALSE),main!$K$26:$Q$29,4,FALSE)),1,0)</f>
        <v>0</v>
      </c>
      <c r="BQ173">
        <f>IF(AND(VLOOKUP(BQ$1,main!$A$3:$H$102,7,FALSE)=main!$G$104,VLOOKUP(BQ$1,main!$A$3:$H$102,5,FALSE)-VLOOKUP($A173,main!$A$3:$H$102,6,FALSE)&gt;=main!$D$103+VLOOKUP(VLOOKUP(BQ$1,main!$A$3:$I$102,7,FALSE),main!$K$26:$Q$29,4,FALSE)),1,0)</f>
        <v>0</v>
      </c>
      <c r="BR173">
        <f>IF(AND(VLOOKUP(BR$1,main!$A$3:$H$102,7,FALSE)=main!$G$104,VLOOKUP(BR$1,main!$A$3:$H$102,5,FALSE)-VLOOKUP($A173,main!$A$3:$H$102,6,FALSE)&gt;=main!$D$103+VLOOKUP(VLOOKUP(BR$1,main!$A$3:$I$102,7,FALSE),main!$K$26:$Q$29,4,FALSE)),1,0)</f>
        <v>0</v>
      </c>
      <c r="BS173">
        <f>IF(AND(VLOOKUP(BS$1,main!$A$3:$H$102,7,FALSE)=main!$G$104,VLOOKUP(BS$1,main!$A$3:$H$102,5,FALSE)-VLOOKUP($A173,main!$A$3:$H$102,6,FALSE)&gt;=main!$D$103+VLOOKUP(VLOOKUP(BS$1,main!$A$3:$I$102,7,FALSE),main!$K$26:$Q$29,4,FALSE)),1,0)</f>
        <v>0</v>
      </c>
      <c r="BT173">
        <f>IF(AND(VLOOKUP(BT$1,main!$A$3:$H$102,7,FALSE)=main!$G$104,VLOOKUP(BT$1,main!$A$3:$H$102,5,FALSE)-VLOOKUP($A173,main!$A$3:$H$102,6,FALSE)&gt;=main!$D$103+VLOOKUP(VLOOKUP(BT$1,main!$A$3:$I$102,7,FALSE),main!$K$26:$Q$29,4,FALSE)),1,0)</f>
        <v>0</v>
      </c>
      <c r="BU173">
        <f>IF(AND(VLOOKUP(BU$1,main!$A$3:$H$102,7,FALSE)=main!$G$104,VLOOKUP(BU$1,main!$A$3:$H$102,5,FALSE)-VLOOKUP($A173,main!$A$3:$H$102,6,FALSE)&gt;=main!$D$103+VLOOKUP(VLOOKUP(BU$1,main!$A$3:$I$102,7,FALSE),main!$K$26:$Q$29,4,FALSE)),1,0)</f>
        <v>0</v>
      </c>
      <c r="BV173">
        <f>IF(AND(VLOOKUP(BV$1,main!$A$3:$H$102,7,FALSE)=main!$G$104,VLOOKUP(BV$1,main!$A$3:$H$102,5,FALSE)-VLOOKUP($A173,main!$A$3:$H$102,6,FALSE)&gt;=main!$D$103+VLOOKUP(VLOOKUP(BV$1,main!$A$3:$I$102,7,FALSE),main!$K$26:$Q$29,4,FALSE)),1,0)</f>
        <v>0</v>
      </c>
      <c r="BW173">
        <f>IF(AND(VLOOKUP(BW$1,main!$A$3:$H$102,7,FALSE)=main!$G$104,VLOOKUP(BW$1,main!$A$3:$H$102,5,FALSE)-VLOOKUP($A173,main!$A$3:$H$102,6,FALSE)&gt;=main!$D$103+VLOOKUP(VLOOKUP(BW$1,main!$A$3:$I$102,7,FALSE),main!$K$26:$Q$29,4,FALSE)),1,0)</f>
        <v>0</v>
      </c>
      <c r="BX173">
        <f>IF(AND(VLOOKUP(BX$1,main!$A$3:$H$102,7,FALSE)=main!$G$104,VLOOKUP(BX$1,main!$A$3:$H$102,5,FALSE)-VLOOKUP($A173,main!$A$3:$H$102,6,FALSE)&gt;=main!$D$103+VLOOKUP(VLOOKUP(BX$1,main!$A$3:$I$102,7,FALSE),main!$K$26:$Q$29,4,FALSE)),1,0)</f>
        <v>0</v>
      </c>
      <c r="BY173">
        <f>IF(AND(VLOOKUP(BY$1,main!$A$3:$H$102,7,FALSE)=main!$G$104,VLOOKUP(BY$1,main!$A$3:$H$102,5,FALSE)-VLOOKUP($A173,main!$A$3:$H$102,6,FALSE)&gt;=main!$D$103+VLOOKUP(VLOOKUP(BY$1,main!$A$3:$I$102,7,FALSE),main!$K$26:$Q$29,4,FALSE)),1,0)</f>
        <v>0</v>
      </c>
      <c r="BZ173">
        <f>IF(AND(VLOOKUP(BZ$1,main!$A$3:$H$102,7,FALSE)=main!$G$104,VLOOKUP(BZ$1,main!$A$3:$H$102,5,FALSE)-VLOOKUP($A173,main!$A$3:$H$102,6,FALSE)&gt;=main!$D$103+VLOOKUP(VLOOKUP(BZ$1,main!$A$3:$I$102,7,FALSE),main!$K$26:$Q$29,4,FALSE)),1,0)</f>
        <v>0</v>
      </c>
      <c r="CA173">
        <f>IF(AND(VLOOKUP(CA$1,main!$A$3:$H$102,7,FALSE)=main!$G$104,VLOOKUP(CA$1,main!$A$3:$H$102,5,FALSE)-VLOOKUP($A173,main!$A$3:$H$102,6,FALSE)&gt;=main!$D$103+VLOOKUP(VLOOKUP(CA$1,main!$A$3:$I$102,7,FALSE),main!$K$26:$Q$29,4,FALSE)),1,0)</f>
        <v>0</v>
      </c>
      <c r="CB173">
        <f>IF(AND(VLOOKUP(CB$1,main!$A$3:$H$102,7,FALSE)=main!$G$104,VLOOKUP(CB$1,main!$A$3:$H$102,5,FALSE)-VLOOKUP($A173,main!$A$3:$H$102,6,FALSE)&gt;=main!$D$103+VLOOKUP(VLOOKUP(CB$1,main!$A$3:$I$102,7,FALSE),main!$K$26:$Q$29,4,FALSE)),1,0)</f>
        <v>0</v>
      </c>
      <c r="CC173">
        <f>IF(AND(VLOOKUP(CC$1,main!$A$3:$H$102,7,FALSE)=main!$G$104,VLOOKUP(CC$1,main!$A$3:$H$102,5,FALSE)-VLOOKUP($A173,main!$A$3:$H$102,6,FALSE)&gt;=main!$D$103+VLOOKUP(VLOOKUP(CC$1,main!$A$3:$I$102,7,FALSE),main!$K$26:$Q$29,4,FALSE)),1,0)</f>
        <v>0</v>
      </c>
      <c r="CD173">
        <f>IF(AND(VLOOKUP(CD$1,main!$A$3:$H$102,7,FALSE)=main!$G$104,VLOOKUP(CD$1,main!$A$3:$H$102,5,FALSE)-VLOOKUP($A173,main!$A$3:$H$102,6,FALSE)&gt;=main!$D$103+VLOOKUP(VLOOKUP(CD$1,main!$A$3:$I$102,7,FALSE),main!$K$26:$Q$29,4,FALSE)),1,0)</f>
        <v>0</v>
      </c>
      <c r="CE173">
        <f>IF(AND(VLOOKUP(CE$1,main!$A$3:$H$102,7,FALSE)=main!$G$104,VLOOKUP(CE$1,main!$A$3:$H$102,5,FALSE)-VLOOKUP($A173,main!$A$3:$H$102,6,FALSE)&gt;=main!$D$103+VLOOKUP(VLOOKUP(CE$1,main!$A$3:$I$102,7,FALSE),main!$K$26:$Q$29,4,FALSE)),1,0)</f>
        <v>0</v>
      </c>
      <c r="CF173">
        <f>IF(AND(VLOOKUP(CF$1,main!$A$3:$H$102,7,FALSE)=main!$G$104,VLOOKUP(CF$1,main!$A$3:$H$102,5,FALSE)-VLOOKUP($A173,main!$A$3:$H$102,6,FALSE)&gt;=main!$D$103+VLOOKUP(VLOOKUP(CF$1,main!$A$3:$I$102,7,FALSE),main!$K$26:$Q$29,4,FALSE)),1,0)</f>
        <v>0</v>
      </c>
      <c r="CG173">
        <f>IF(AND(VLOOKUP(CG$1,main!$A$3:$H$102,7,FALSE)=main!$G$104,VLOOKUP(CG$1,main!$A$3:$H$102,5,FALSE)-VLOOKUP($A173,main!$A$3:$H$102,6,FALSE)&gt;=main!$D$103+VLOOKUP(VLOOKUP(CG$1,main!$A$3:$I$102,7,FALSE),main!$K$26:$Q$29,4,FALSE)),1,0)</f>
        <v>0</v>
      </c>
      <c r="CH173">
        <f>IF(AND(VLOOKUP(CH$1,main!$A$3:$H$102,7,FALSE)=main!$G$104,VLOOKUP(CH$1,main!$A$3:$H$102,5,FALSE)-VLOOKUP($A173,main!$A$3:$H$102,6,FALSE)&gt;=main!$D$103+VLOOKUP(VLOOKUP(CH$1,main!$A$3:$I$102,7,FALSE),main!$K$26:$Q$29,4,FALSE)),1,0)</f>
        <v>0</v>
      </c>
      <c r="CI173">
        <f>IF(AND(VLOOKUP(CI$1,main!$A$3:$H$102,7,FALSE)=main!$G$104,VLOOKUP(CI$1,main!$A$3:$H$102,5,FALSE)-VLOOKUP($A173,main!$A$3:$H$102,6,FALSE)&gt;=main!$D$103+VLOOKUP(VLOOKUP(CI$1,main!$A$3:$I$102,7,FALSE),main!$K$26:$Q$29,4,FALSE)),1,0)</f>
        <v>0</v>
      </c>
      <c r="CJ173">
        <f>IF(AND(VLOOKUP(CJ$1,main!$A$3:$H$102,7,FALSE)=main!$G$104,VLOOKUP(CJ$1,main!$A$3:$H$102,5,FALSE)-VLOOKUP($A173,main!$A$3:$H$102,6,FALSE)&gt;=main!$D$103+VLOOKUP(VLOOKUP(CJ$1,main!$A$3:$I$102,7,FALSE),main!$K$26:$Q$29,4,FALSE)),1,0)</f>
        <v>0</v>
      </c>
      <c r="CK173">
        <f>IF(AND(VLOOKUP(CK$1,main!$A$3:$H$102,7,FALSE)=main!$G$104,VLOOKUP(CK$1,main!$A$3:$H$102,5,FALSE)-VLOOKUP($A173,main!$A$3:$H$102,6,FALSE)&gt;=main!$D$103+VLOOKUP(VLOOKUP(CK$1,main!$A$3:$I$102,7,FALSE),main!$K$26:$Q$29,4,FALSE)),1,0)</f>
        <v>0</v>
      </c>
      <c r="CL173">
        <f>IF(AND(VLOOKUP(CL$1,main!$A$3:$H$102,7,FALSE)=main!$G$104,VLOOKUP(CL$1,main!$A$3:$H$102,5,FALSE)-VLOOKUP($A173,main!$A$3:$H$102,6,FALSE)&gt;=main!$D$103+VLOOKUP(VLOOKUP(CL$1,main!$A$3:$I$102,7,FALSE),main!$K$26:$Q$29,4,FALSE)),1,0)</f>
        <v>0</v>
      </c>
      <c r="CM173">
        <f>IF(AND(VLOOKUP(CM$1,main!$A$3:$H$102,7,FALSE)=main!$G$104,VLOOKUP(CM$1,main!$A$3:$H$102,5,FALSE)-VLOOKUP($A173,main!$A$3:$H$102,6,FALSE)&gt;=main!$D$103+VLOOKUP(VLOOKUP(CM$1,main!$A$3:$I$102,7,FALSE),main!$K$26:$Q$29,4,FALSE)),1,0)</f>
        <v>0</v>
      </c>
      <c r="CN173">
        <f>IF(AND(VLOOKUP(CN$1,main!$A$3:$H$102,7,FALSE)=main!$G$104,VLOOKUP(CN$1,main!$A$3:$H$102,5,FALSE)-VLOOKUP($A173,main!$A$3:$H$102,6,FALSE)&gt;=main!$D$103+VLOOKUP(VLOOKUP(CN$1,main!$A$3:$I$102,7,FALSE),main!$K$26:$Q$29,4,FALSE)),1,0)</f>
        <v>0</v>
      </c>
      <c r="CO173">
        <f>IF(AND(VLOOKUP(CO$1,main!$A$3:$H$102,7,FALSE)=main!$G$104,VLOOKUP(CO$1,main!$A$3:$H$102,5,FALSE)-VLOOKUP($A173,main!$A$3:$H$102,6,FALSE)&gt;=main!$D$103+VLOOKUP(VLOOKUP(CO$1,main!$A$3:$I$102,7,FALSE),main!$K$26:$Q$29,4,FALSE)),1,0)</f>
        <v>0</v>
      </c>
      <c r="CP173">
        <f>IF(AND(VLOOKUP(CP$1,main!$A$3:$H$102,7,FALSE)=main!$G$104,VLOOKUP(CP$1,main!$A$3:$H$102,5,FALSE)-VLOOKUP($A173,main!$A$3:$H$102,6,FALSE)&gt;=main!$D$103+VLOOKUP(VLOOKUP(CP$1,main!$A$3:$I$102,7,FALSE),main!$K$26:$Q$29,4,FALSE)),1,0)</f>
        <v>0</v>
      </c>
      <c r="CQ173">
        <f>IF(AND(VLOOKUP(CQ$1,main!$A$3:$H$102,7,FALSE)=main!$G$104,VLOOKUP(CQ$1,main!$A$3:$H$102,5,FALSE)-VLOOKUP($A173,main!$A$3:$H$102,6,FALSE)&gt;=main!$D$103+VLOOKUP(VLOOKUP(CQ$1,main!$A$3:$I$102,7,FALSE),main!$K$26:$Q$29,4,FALSE)),1,0)</f>
        <v>0</v>
      </c>
      <c r="CR173">
        <f>IF(AND(VLOOKUP(CR$1,main!$A$3:$H$102,7,FALSE)=main!$G$104,VLOOKUP(CR$1,main!$A$3:$H$102,5,FALSE)-VLOOKUP($A173,main!$A$3:$H$102,6,FALSE)&gt;=main!$D$103+VLOOKUP(VLOOKUP(CR$1,main!$A$3:$I$102,7,FALSE),main!$K$26:$Q$29,4,FALSE)),1,0)</f>
        <v>0</v>
      </c>
      <c r="CS173">
        <f>IF(AND(VLOOKUP(CS$1,main!$A$3:$H$102,7,FALSE)=main!$G$104,VLOOKUP(CS$1,main!$A$3:$H$102,5,FALSE)-VLOOKUP($A173,main!$A$3:$H$102,6,FALSE)&gt;=main!$D$103+VLOOKUP(VLOOKUP(CS$1,main!$A$3:$I$102,7,FALSE),main!$K$26:$Q$29,4,FALSE)),1,0)</f>
        <v>0</v>
      </c>
      <c r="CT173">
        <f>IF(AND(VLOOKUP(CT$1,main!$A$3:$H$102,7,FALSE)=main!$G$104,VLOOKUP(CT$1,main!$A$3:$H$102,5,FALSE)-VLOOKUP($A173,main!$A$3:$H$102,6,FALSE)&gt;=main!$D$103+VLOOKUP(VLOOKUP(CT$1,main!$A$3:$I$102,7,FALSE),main!$K$26:$Q$29,4,FALSE)),1,0)</f>
        <v>0</v>
      </c>
      <c r="CU173">
        <f>IF(AND(VLOOKUP(CU$1,main!$A$3:$H$102,7,FALSE)=main!$G$104,VLOOKUP(CU$1,main!$A$3:$H$102,5,FALSE)-VLOOKUP($A173,main!$A$3:$H$102,6,FALSE)&gt;=main!$D$103+VLOOKUP(VLOOKUP(CU$1,main!$A$3:$I$102,7,FALSE),main!$K$26:$Q$29,4,FALSE)),1,0)</f>
        <v>0</v>
      </c>
      <c r="CV173">
        <f>IF(AND(VLOOKUP(CV$1,main!$A$3:$H$102,7,FALSE)=main!$G$104,VLOOKUP(CV$1,main!$A$3:$H$102,5,FALSE)-VLOOKUP($A173,main!$A$3:$H$102,6,FALSE)&gt;=main!$D$103+VLOOKUP(VLOOKUP(CV$1,main!$A$3:$I$102,7,FALSE),main!$K$26:$Q$29,4,FALSE)),1,0)</f>
        <v>0</v>
      </c>
      <c r="CW173">
        <f>IF(AND(VLOOKUP(CW$1,main!$A$3:$H$102,7,FALSE)=main!$G$104,VLOOKUP(CW$1,main!$A$3:$H$102,5,FALSE)-VLOOKUP($A173,main!$A$3:$H$102,6,FALSE)&gt;=main!$D$103+VLOOKUP(VLOOKUP(CW$1,main!$A$3:$I$102,7,FALSE),main!$K$26:$Q$29,4,FALSE)),1,0)</f>
        <v>0</v>
      </c>
      <c r="CX173">
        <f>IF(AND(VLOOKUP(CX$1,main!$A$3:$H$102,7,FALSE)=main!$G$104,VLOOKUP(CX$1,main!$A$3:$H$102,5,FALSE)-VLOOKUP($A173,main!$A$3:$H$102,6,FALSE)&gt;=main!$D$103+VLOOKUP(VLOOKUP(CX$1,main!$A$3:$I$102,7,FALSE),main!$K$26:$Q$29,4,FALSE)),1,0)</f>
        <v>0</v>
      </c>
    </row>
    <row r="174" spans="1:102" x14ac:dyDescent="0.25">
      <c r="A174" s="1">
        <v>71</v>
      </c>
      <c r="B174">
        <v>0</v>
      </c>
      <c r="C174">
        <f>IF(AND(VLOOKUP(C$1,main!$A$3:$H$102,7,FALSE)=main!$G$104,VLOOKUP(C$1,main!$A$3:$H$102,5,FALSE)-VLOOKUP($A174,main!$A$3:$H$102,6,FALSE)&gt;=main!$D$103+VLOOKUP(VLOOKUP(C$1,main!$A$3:$I$102,7,FALSE),main!$K$26:$Q$29,4,FALSE)),1,0)</f>
        <v>0</v>
      </c>
      <c r="D174">
        <f>IF(AND(VLOOKUP(D$1,main!$A$3:$H$102,7,FALSE)=main!$G$104,VLOOKUP(D$1,main!$A$3:$H$102,5,FALSE)-VLOOKUP($A174,main!$A$3:$H$102,6,FALSE)&gt;=main!$D$103+VLOOKUP(VLOOKUP(D$1,main!$A$3:$I$102,7,FALSE),main!$K$26:$Q$29,4,FALSE)),1,0)</f>
        <v>0</v>
      </c>
      <c r="E174">
        <f>IF(AND(VLOOKUP(E$1,main!$A$3:$H$102,7,FALSE)=main!$G$104,VLOOKUP(E$1,main!$A$3:$H$102,5,FALSE)-VLOOKUP($A174,main!$A$3:$H$102,6,FALSE)&gt;=main!$D$103+VLOOKUP(VLOOKUP(E$1,main!$A$3:$I$102,7,FALSE),main!$K$26:$Q$29,4,FALSE)),1,0)</f>
        <v>1</v>
      </c>
      <c r="F174">
        <f>IF(AND(VLOOKUP(F$1,main!$A$3:$H$102,7,FALSE)=main!$G$104,VLOOKUP(F$1,main!$A$3:$H$102,5,FALSE)-VLOOKUP($A174,main!$A$3:$H$102,6,FALSE)&gt;=main!$D$103+VLOOKUP(VLOOKUP(F$1,main!$A$3:$I$102,7,FALSE),main!$K$26:$Q$29,4,FALSE)),1,0)</f>
        <v>1</v>
      </c>
      <c r="G174">
        <f>IF(AND(VLOOKUP(G$1,main!$A$3:$H$102,7,FALSE)=main!$G$104,VLOOKUP(G$1,main!$A$3:$H$102,5,FALSE)-VLOOKUP($A174,main!$A$3:$H$102,6,FALSE)&gt;=main!$D$103+VLOOKUP(VLOOKUP(G$1,main!$A$3:$I$102,7,FALSE),main!$K$26:$Q$29,4,FALSE)),1,0)</f>
        <v>1</v>
      </c>
      <c r="H174">
        <f>IF(AND(VLOOKUP(H$1,main!$A$3:$H$102,7,FALSE)=main!$G$104,VLOOKUP(H$1,main!$A$3:$H$102,5,FALSE)-VLOOKUP($A174,main!$A$3:$H$102,6,FALSE)&gt;=main!$D$103+VLOOKUP(VLOOKUP(H$1,main!$A$3:$I$102,7,FALSE),main!$K$26:$Q$29,4,FALSE)),1,0)</f>
        <v>1</v>
      </c>
      <c r="I174">
        <f>IF(AND(VLOOKUP(I$1,main!$A$3:$H$102,7,FALSE)=main!$G$104,VLOOKUP(I$1,main!$A$3:$H$102,5,FALSE)-VLOOKUP($A174,main!$A$3:$H$102,6,FALSE)&gt;=main!$D$103+VLOOKUP(VLOOKUP(I$1,main!$A$3:$I$102,7,FALSE),main!$K$26:$Q$29,4,FALSE)),1,0)</f>
        <v>1</v>
      </c>
      <c r="J174">
        <f>IF(AND(VLOOKUP(J$1,main!$A$3:$H$102,7,FALSE)=main!$G$104,VLOOKUP(J$1,main!$A$3:$H$102,5,FALSE)-VLOOKUP($A174,main!$A$3:$H$102,6,FALSE)&gt;=main!$D$103+VLOOKUP(VLOOKUP(J$1,main!$A$3:$I$102,7,FALSE),main!$K$26:$Q$29,4,FALSE)),1,0)</f>
        <v>1</v>
      </c>
      <c r="K174">
        <f>IF(AND(VLOOKUP(K$1,main!$A$3:$H$102,7,FALSE)=main!$G$104,VLOOKUP(K$1,main!$A$3:$H$102,5,FALSE)-VLOOKUP($A174,main!$A$3:$H$102,6,FALSE)&gt;=main!$D$103+VLOOKUP(VLOOKUP(K$1,main!$A$3:$I$102,7,FALSE),main!$K$26:$Q$29,4,FALSE)),1,0)</f>
        <v>1</v>
      </c>
      <c r="L174">
        <f>IF(AND(VLOOKUP(L$1,main!$A$3:$H$102,7,FALSE)=main!$G$104,VLOOKUP(L$1,main!$A$3:$H$102,5,FALSE)-VLOOKUP($A174,main!$A$3:$H$102,6,FALSE)&gt;=main!$D$103+VLOOKUP(VLOOKUP(L$1,main!$A$3:$I$102,7,FALSE),main!$K$26:$Q$29,4,FALSE)),1,0)</f>
        <v>1</v>
      </c>
      <c r="M174">
        <f>IF(AND(VLOOKUP(M$1,main!$A$3:$H$102,7,FALSE)=main!$G$104,VLOOKUP(M$1,main!$A$3:$H$102,5,FALSE)-VLOOKUP($A174,main!$A$3:$H$102,6,FALSE)&gt;=main!$D$103+VLOOKUP(VLOOKUP(M$1,main!$A$3:$I$102,7,FALSE),main!$K$26:$Q$29,4,FALSE)),1,0)</f>
        <v>0</v>
      </c>
      <c r="N174">
        <f>IF(AND(VLOOKUP(N$1,main!$A$3:$H$102,7,FALSE)=main!$G$104,VLOOKUP(N$1,main!$A$3:$H$102,5,FALSE)-VLOOKUP($A174,main!$A$3:$H$102,6,FALSE)&gt;=main!$D$103+VLOOKUP(VLOOKUP(N$1,main!$A$3:$I$102,7,FALSE),main!$K$26:$Q$29,4,FALSE)),1,0)</f>
        <v>0</v>
      </c>
      <c r="O174">
        <f>IF(AND(VLOOKUP(O$1,main!$A$3:$H$102,7,FALSE)=main!$G$104,VLOOKUP(O$1,main!$A$3:$H$102,5,FALSE)-VLOOKUP($A174,main!$A$3:$H$102,6,FALSE)&gt;=main!$D$103+VLOOKUP(VLOOKUP(O$1,main!$A$3:$I$102,7,FALSE),main!$K$26:$Q$29,4,FALSE)),1,0)</f>
        <v>0</v>
      </c>
      <c r="P174">
        <f>IF(AND(VLOOKUP(P$1,main!$A$3:$H$102,7,FALSE)=main!$G$104,VLOOKUP(P$1,main!$A$3:$H$102,5,FALSE)-VLOOKUP($A174,main!$A$3:$H$102,6,FALSE)&gt;=main!$D$103+VLOOKUP(VLOOKUP(P$1,main!$A$3:$I$102,7,FALSE),main!$K$26:$Q$29,4,FALSE)),1,0)</f>
        <v>1</v>
      </c>
      <c r="Q174">
        <f>IF(AND(VLOOKUP(Q$1,main!$A$3:$H$102,7,FALSE)=main!$G$104,VLOOKUP(Q$1,main!$A$3:$H$102,5,FALSE)-VLOOKUP($A174,main!$A$3:$H$102,6,FALSE)&gt;=main!$D$103+VLOOKUP(VLOOKUP(Q$1,main!$A$3:$I$102,7,FALSE),main!$K$26:$Q$29,4,FALSE)),1,0)</f>
        <v>1</v>
      </c>
      <c r="R174">
        <f>IF(AND(VLOOKUP(R$1,main!$A$3:$H$102,7,FALSE)=main!$G$104,VLOOKUP(R$1,main!$A$3:$H$102,5,FALSE)-VLOOKUP($A174,main!$A$3:$H$102,6,FALSE)&gt;=main!$D$103+VLOOKUP(VLOOKUP(R$1,main!$A$3:$I$102,7,FALSE),main!$K$26:$Q$29,4,FALSE)),1,0)</f>
        <v>1</v>
      </c>
      <c r="S174">
        <f>IF(AND(VLOOKUP(S$1,main!$A$3:$H$102,7,FALSE)=main!$G$104,VLOOKUP(S$1,main!$A$3:$H$102,5,FALSE)-VLOOKUP($A174,main!$A$3:$H$102,6,FALSE)&gt;=main!$D$103+VLOOKUP(VLOOKUP(S$1,main!$A$3:$I$102,7,FALSE),main!$K$26:$Q$29,4,FALSE)),1,0)</f>
        <v>1</v>
      </c>
      <c r="T174">
        <f>IF(AND(VLOOKUP(T$1,main!$A$3:$H$102,7,FALSE)=main!$G$104,VLOOKUP(T$1,main!$A$3:$H$102,5,FALSE)-VLOOKUP($A174,main!$A$3:$H$102,6,FALSE)&gt;=main!$D$103+VLOOKUP(VLOOKUP(T$1,main!$A$3:$I$102,7,FALSE),main!$K$26:$Q$29,4,FALSE)),1,0)</f>
        <v>1</v>
      </c>
      <c r="U174">
        <f>IF(AND(VLOOKUP(U$1,main!$A$3:$H$102,7,FALSE)=main!$G$104,VLOOKUP(U$1,main!$A$3:$H$102,5,FALSE)-VLOOKUP($A174,main!$A$3:$H$102,6,FALSE)&gt;=main!$D$103+VLOOKUP(VLOOKUP(U$1,main!$A$3:$I$102,7,FALSE),main!$K$26:$Q$29,4,FALSE)),1,0)</f>
        <v>1</v>
      </c>
      <c r="V174">
        <f>IF(AND(VLOOKUP(V$1,main!$A$3:$H$102,7,FALSE)=main!$G$104,VLOOKUP(V$1,main!$A$3:$H$102,5,FALSE)-VLOOKUP($A174,main!$A$3:$H$102,6,FALSE)&gt;=main!$D$103+VLOOKUP(VLOOKUP(V$1,main!$A$3:$I$102,7,FALSE),main!$K$26:$Q$29,4,FALSE)),1,0)</f>
        <v>1</v>
      </c>
      <c r="W174">
        <f>IF(AND(VLOOKUP(W$1,main!$A$3:$H$102,7,FALSE)=main!$G$104,VLOOKUP(W$1,main!$A$3:$H$102,5,FALSE)-VLOOKUP($A174,main!$A$3:$H$102,6,FALSE)&gt;=main!$D$103+VLOOKUP(VLOOKUP(W$1,main!$A$3:$I$102,7,FALSE),main!$K$26:$Q$29,4,FALSE)),1,0)</f>
        <v>0</v>
      </c>
      <c r="X174">
        <f>IF(AND(VLOOKUP(X$1,main!$A$3:$H$102,7,FALSE)=main!$G$104,VLOOKUP(X$1,main!$A$3:$H$102,5,FALSE)-VLOOKUP($A174,main!$A$3:$H$102,6,FALSE)&gt;=main!$D$103+VLOOKUP(VLOOKUP(X$1,main!$A$3:$I$102,7,FALSE),main!$K$26:$Q$29,4,FALSE)),1,0)</f>
        <v>0</v>
      </c>
      <c r="Y174">
        <f>IF(AND(VLOOKUP(Y$1,main!$A$3:$H$102,7,FALSE)=main!$G$104,VLOOKUP(Y$1,main!$A$3:$H$102,5,FALSE)-VLOOKUP($A174,main!$A$3:$H$102,6,FALSE)&gt;=main!$D$103+VLOOKUP(VLOOKUP(Y$1,main!$A$3:$I$102,7,FALSE),main!$K$26:$Q$29,4,FALSE)),1,0)</f>
        <v>1</v>
      </c>
      <c r="Z174">
        <f>IF(AND(VLOOKUP(Z$1,main!$A$3:$H$102,7,FALSE)=main!$G$104,VLOOKUP(Z$1,main!$A$3:$H$102,5,FALSE)-VLOOKUP($A174,main!$A$3:$H$102,6,FALSE)&gt;=main!$D$103+VLOOKUP(VLOOKUP(Z$1,main!$A$3:$I$102,7,FALSE),main!$K$26:$Q$29,4,FALSE)),1,0)</f>
        <v>1</v>
      </c>
      <c r="AA174">
        <f>IF(AND(VLOOKUP(AA$1,main!$A$3:$H$102,7,FALSE)=main!$G$104,VLOOKUP(AA$1,main!$A$3:$H$102,5,FALSE)-VLOOKUP($A174,main!$A$3:$H$102,6,FALSE)&gt;=main!$D$103+VLOOKUP(VLOOKUP(AA$1,main!$A$3:$I$102,7,FALSE),main!$K$26:$Q$29,4,FALSE)),1,0)</f>
        <v>1</v>
      </c>
      <c r="AB174">
        <f>IF(AND(VLOOKUP(AB$1,main!$A$3:$H$102,7,FALSE)=main!$G$104,VLOOKUP(AB$1,main!$A$3:$H$102,5,FALSE)-VLOOKUP($A174,main!$A$3:$H$102,6,FALSE)&gt;=main!$D$103+VLOOKUP(VLOOKUP(AB$1,main!$A$3:$I$102,7,FALSE),main!$K$26:$Q$29,4,FALSE)),1,0)</f>
        <v>0</v>
      </c>
      <c r="AC174">
        <f>IF(AND(VLOOKUP(AC$1,main!$A$3:$H$102,7,FALSE)=main!$G$104,VLOOKUP(AC$1,main!$A$3:$H$102,5,FALSE)-VLOOKUP($A174,main!$A$3:$H$102,6,FALSE)&gt;=main!$D$103+VLOOKUP(VLOOKUP(AC$1,main!$A$3:$I$102,7,FALSE),main!$K$26:$Q$29,4,FALSE)),1,0)</f>
        <v>0</v>
      </c>
      <c r="AD174">
        <f>IF(AND(VLOOKUP(AD$1,main!$A$3:$H$102,7,FALSE)=main!$G$104,VLOOKUP(AD$1,main!$A$3:$H$102,5,FALSE)-VLOOKUP($A174,main!$A$3:$H$102,6,FALSE)&gt;=main!$D$103+VLOOKUP(VLOOKUP(AD$1,main!$A$3:$I$102,7,FALSE),main!$K$26:$Q$29,4,FALSE)),1,0)</f>
        <v>1</v>
      </c>
      <c r="AE174">
        <f>IF(AND(VLOOKUP(AE$1,main!$A$3:$H$102,7,FALSE)=main!$G$104,VLOOKUP(AE$1,main!$A$3:$H$102,5,FALSE)-VLOOKUP($A174,main!$A$3:$H$102,6,FALSE)&gt;=main!$D$103+VLOOKUP(VLOOKUP(AE$1,main!$A$3:$I$102,7,FALSE),main!$K$26:$Q$29,4,FALSE)),1,0)</f>
        <v>1</v>
      </c>
      <c r="AF174">
        <f>IF(AND(VLOOKUP(AF$1,main!$A$3:$H$102,7,FALSE)=main!$G$104,VLOOKUP(AF$1,main!$A$3:$H$102,5,FALSE)-VLOOKUP($A174,main!$A$3:$H$102,6,FALSE)&gt;=main!$D$103+VLOOKUP(VLOOKUP(AF$1,main!$A$3:$I$102,7,FALSE),main!$K$26:$Q$29,4,FALSE)),1,0)</f>
        <v>1</v>
      </c>
      <c r="AG174">
        <f>IF(AND(VLOOKUP(AG$1,main!$A$3:$H$102,7,FALSE)=main!$G$104,VLOOKUP(AG$1,main!$A$3:$H$102,5,FALSE)-VLOOKUP($A174,main!$A$3:$H$102,6,FALSE)&gt;=main!$D$103+VLOOKUP(VLOOKUP(AG$1,main!$A$3:$I$102,7,FALSE),main!$K$26:$Q$29,4,FALSE)),1,0)</f>
        <v>0</v>
      </c>
      <c r="AH174">
        <f>IF(AND(VLOOKUP(AH$1,main!$A$3:$H$102,7,FALSE)=main!$G$104,VLOOKUP(AH$1,main!$A$3:$H$102,5,FALSE)-VLOOKUP($A174,main!$A$3:$H$102,6,FALSE)&gt;=main!$D$103+VLOOKUP(VLOOKUP(AH$1,main!$A$3:$I$102,7,FALSE),main!$K$26:$Q$29,4,FALSE)),1,0)</f>
        <v>0</v>
      </c>
      <c r="AI174">
        <f>IF(AND(VLOOKUP(AI$1,main!$A$3:$H$102,7,FALSE)=main!$G$104,VLOOKUP(AI$1,main!$A$3:$H$102,5,FALSE)-VLOOKUP($A174,main!$A$3:$H$102,6,FALSE)&gt;=main!$D$103+VLOOKUP(VLOOKUP(AI$1,main!$A$3:$I$102,7,FALSE),main!$K$26:$Q$29,4,FALSE)),1,0)</f>
        <v>0</v>
      </c>
      <c r="AJ174">
        <f>IF(AND(VLOOKUP(AJ$1,main!$A$3:$H$102,7,FALSE)=main!$G$104,VLOOKUP(AJ$1,main!$A$3:$H$102,5,FALSE)-VLOOKUP($A174,main!$A$3:$H$102,6,FALSE)&gt;=main!$D$103+VLOOKUP(VLOOKUP(AJ$1,main!$A$3:$I$102,7,FALSE),main!$K$26:$Q$29,4,FALSE)),1,0)</f>
        <v>0</v>
      </c>
      <c r="AK174">
        <f>IF(AND(VLOOKUP(AK$1,main!$A$3:$H$102,7,FALSE)=main!$G$104,VLOOKUP(AK$1,main!$A$3:$H$102,5,FALSE)-VLOOKUP($A174,main!$A$3:$H$102,6,FALSE)&gt;=main!$D$103+VLOOKUP(VLOOKUP(AK$1,main!$A$3:$I$102,7,FALSE),main!$K$26:$Q$29,4,FALSE)),1,0)</f>
        <v>0</v>
      </c>
      <c r="AL174">
        <f>IF(AND(VLOOKUP(AL$1,main!$A$3:$H$102,7,FALSE)=main!$G$104,VLOOKUP(AL$1,main!$A$3:$H$102,5,FALSE)-VLOOKUP($A174,main!$A$3:$H$102,6,FALSE)&gt;=main!$D$103+VLOOKUP(VLOOKUP(AL$1,main!$A$3:$I$102,7,FALSE),main!$K$26:$Q$29,4,FALSE)),1,0)</f>
        <v>0</v>
      </c>
      <c r="AM174">
        <f>IF(AND(VLOOKUP(AM$1,main!$A$3:$H$102,7,FALSE)=main!$G$104,VLOOKUP(AM$1,main!$A$3:$H$102,5,FALSE)-VLOOKUP($A174,main!$A$3:$H$102,6,FALSE)&gt;=main!$D$103+VLOOKUP(VLOOKUP(AM$1,main!$A$3:$I$102,7,FALSE),main!$K$26:$Q$29,4,FALSE)),1,0)</f>
        <v>0</v>
      </c>
      <c r="AN174">
        <f>IF(AND(VLOOKUP(AN$1,main!$A$3:$H$102,7,FALSE)=main!$G$104,VLOOKUP(AN$1,main!$A$3:$H$102,5,FALSE)-VLOOKUP($A174,main!$A$3:$H$102,6,FALSE)&gt;=main!$D$103+VLOOKUP(VLOOKUP(AN$1,main!$A$3:$I$102,7,FALSE),main!$K$26:$Q$29,4,FALSE)),1,0)</f>
        <v>0</v>
      </c>
      <c r="AO174">
        <f>IF(AND(VLOOKUP(AO$1,main!$A$3:$H$102,7,FALSE)=main!$G$104,VLOOKUP(AO$1,main!$A$3:$H$102,5,FALSE)-VLOOKUP($A174,main!$A$3:$H$102,6,FALSE)&gt;=main!$D$103+VLOOKUP(VLOOKUP(AO$1,main!$A$3:$I$102,7,FALSE),main!$K$26:$Q$29,4,FALSE)),1,0)</f>
        <v>0</v>
      </c>
      <c r="AP174">
        <f>IF(AND(VLOOKUP(AP$1,main!$A$3:$H$102,7,FALSE)=main!$G$104,VLOOKUP(AP$1,main!$A$3:$H$102,5,FALSE)-VLOOKUP($A174,main!$A$3:$H$102,6,FALSE)&gt;=main!$D$103+VLOOKUP(VLOOKUP(AP$1,main!$A$3:$I$102,7,FALSE),main!$K$26:$Q$29,4,FALSE)),1,0)</f>
        <v>0</v>
      </c>
      <c r="AQ174">
        <f>IF(AND(VLOOKUP(AQ$1,main!$A$3:$H$102,7,FALSE)=main!$G$104,VLOOKUP(AQ$1,main!$A$3:$H$102,5,FALSE)-VLOOKUP($A174,main!$A$3:$H$102,6,FALSE)&gt;=main!$D$103+VLOOKUP(VLOOKUP(AQ$1,main!$A$3:$I$102,7,FALSE),main!$K$26:$Q$29,4,FALSE)),1,0)</f>
        <v>0</v>
      </c>
      <c r="AR174">
        <f>IF(AND(VLOOKUP(AR$1,main!$A$3:$H$102,7,FALSE)=main!$G$104,VLOOKUP(AR$1,main!$A$3:$H$102,5,FALSE)-VLOOKUP($A174,main!$A$3:$H$102,6,FALSE)&gt;=main!$D$103+VLOOKUP(VLOOKUP(AR$1,main!$A$3:$I$102,7,FALSE),main!$K$26:$Q$29,4,FALSE)),1,0)</f>
        <v>0</v>
      </c>
      <c r="AS174">
        <f>IF(AND(VLOOKUP(AS$1,main!$A$3:$H$102,7,FALSE)=main!$G$104,VLOOKUP(AS$1,main!$A$3:$H$102,5,FALSE)-VLOOKUP($A174,main!$A$3:$H$102,6,FALSE)&gt;=main!$D$103+VLOOKUP(VLOOKUP(AS$1,main!$A$3:$I$102,7,FALSE),main!$K$26:$Q$29,4,FALSE)),1,0)</f>
        <v>0</v>
      </c>
      <c r="AT174">
        <f>IF(AND(VLOOKUP(AT$1,main!$A$3:$H$102,7,FALSE)=main!$G$104,VLOOKUP(AT$1,main!$A$3:$H$102,5,FALSE)-VLOOKUP($A174,main!$A$3:$H$102,6,FALSE)&gt;=main!$D$103+VLOOKUP(VLOOKUP(AT$1,main!$A$3:$I$102,7,FALSE),main!$K$26:$Q$29,4,FALSE)),1,0)</f>
        <v>0</v>
      </c>
      <c r="AU174">
        <f>IF(AND(VLOOKUP(AU$1,main!$A$3:$H$102,7,FALSE)=main!$G$104,VLOOKUP(AU$1,main!$A$3:$H$102,5,FALSE)-VLOOKUP($A174,main!$A$3:$H$102,6,FALSE)&gt;=main!$D$103+VLOOKUP(VLOOKUP(AU$1,main!$A$3:$I$102,7,FALSE),main!$K$26:$Q$29,4,FALSE)),1,0)</f>
        <v>0</v>
      </c>
      <c r="AV174">
        <f>IF(AND(VLOOKUP(AV$1,main!$A$3:$H$102,7,FALSE)=main!$G$104,VLOOKUP(AV$1,main!$A$3:$H$102,5,FALSE)-VLOOKUP($A174,main!$A$3:$H$102,6,FALSE)&gt;=main!$D$103+VLOOKUP(VLOOKUP(AV$1,main!$A$3:$I$102,7,FALSE),main!$K$26:$Q$29,4,FALSE)),1,0)</f>
        <v>0</v>
      </c>
      <c r="AW174">
        <f>IF(AND(VLOOKUP(AW$1,main!$A$3:$H$102,7,FALSE)=main!$G$104,VLOOKUP(AW$1,main!$A$3:$H$102,5,FALSE)-VLOOKUP($A174,main!$A$3:$H$102,6,FALSE)&gt;=main!$D$103+VLOOKUP(VLOOKUP(AW$1,main!$A$3:$I$102,7,FALSE),main!$K$26:$Q$29,4,FALSE)),1,0)</f>
        <v>0</v>
      </c>
      <c r="AX174">
        <f>IF(AND(VLOOKUP(AX$1,main!$A$3:$H$102,7,FALSE)=main!$G$104,VLOOKUP(AX$1,main!$A$3:$H$102,5,FALSE)-VLOOKUP($A174,main!$A$3:$H$102,6,FALSE)&gt;=main!$D$103+VLOOKUP(VLOOKUP(AX$1,main!$A$3:$I$102,7,FALSE),main!$K$26:$Q$29,4,FALSE)),1,0)</f>
        <v>0</v>
      </c>
      <c r="AY174">
        <f>IF(AND(VLOOKUP(AY$1,main!$A$3:$H$102,7,FALSE)=main!$G$104,VLOOKUP(AY$1,main!$A$3:$H$102,5,FALSE)-VLOOKUP($A174,main!$A$3:$H$102,6,FALSE)&gt;=main!$D$103+VLOOKUP(VLOOKUP(AY$1,main!$A$3:$I$102,7,FALSE),main!$K$26:$Q$29,4,FALSE)),1,0)</f>
        <v>0</v>
      </c>
      <c r="AZ174">
        <f>IF(AND(VLOOKUP(AZ$1,main!$A$3:$H$102,7,FALSE)=main!$G$104,VLOOKUP(AZ$1,main!$A$3:$H$102,5,FALSE)-VLOOKUP($A174,main!$A$3:$H$102,6,FALSE)&gt;=main!$D$103+VLOOKUP(VLOOKUP(AZ$1,main!$A$3:$I$102,7,FALSE),main!$K$26:$Q$29,4,FALSE)),1,0)</f>
        <v>0</v>
      </c>
      <c r="BA174">
        <f>IF(AND(VLOOKUP(BA$1,main!$A$3:$H$102,7,FALSE)=main!$G$104,VLOOKUP(BA$1,main!$A$3:$H$102,5,FALSE)-VLOOKUP($A174,main!$A$3:$H$102,6,FALSE)&gt;=main!$D$103+VLOOKUP(VLOOKUP(BA$1,main!$A$3:$I$102,7,FALSE),main!$K$26:$Q$29,4,FALSE)),1,0)</f>
        <v>0</v>
      </c>
      <c r="BB174">
        <f>IF(AND(VLOOKUP(BB$1,main!$A$3:$H$102,7,FALSE)=main!$G$104,VLOOKUP(BB$1,main!$A$3:$H$102,5,FALSE)-VLOOKUP($A174,main!$A$3:$H$102,6,FALSE)&gt;=main!$D$103+VLOOKUP(VLOOKUP(BB$1,main!$A$3:$I$102,7,FALSE),main!$K$26:$Q$29,4,FALSE)),1,0)</f>
        <v>0</v>
      </c>
      <c r="BC174">
        <f>IF(AND(VLOOKUP(BC$1,main!$A$3:$H$102,7,FALSE)=main!$G$104,VLOOKUP(BC$1,main!$A$3:$H$102,5,FALSE)-VLOOKUP($A174,main!$A$3:$H$102,6,FALSE)&gt;=main!$D$103+VLOOKUP(VLOOKUP(BC$1,main!$A$3:$I$102,7,FALSE),main!$K$26:$Q$29,4,FALSE)),1,0)</f>
        <v>0</v>
      </c>
      <c r="BD174">
        <f>IF(AND(VLOOKUP(BD$1,main!$A$3:$H$102,7,FALSE)=main!$G$104,VLOOKUP(BD$1,main!$A$3:$H$102,5,FALSE)-VLOOKUP($A174,main!$A$3:$H$102,6,FALSE)&gt;=main!$D$103+VLOOKUP(VLOOKUP(BD$1,main!$A$3:$I$102,7,FALSE),main!$K$26:$Q$29,4,FALSE)),1,0)</f>
        <v>0</v>
      </c>
      <c r="BE174">
        <f>IF(AND(VLOOKUP(BE$1,main!$A$3:$H$102,7,FALSE)=main!$G$104,VLOOKUP(BE$1,main!$A$3:$H$102,5,FALSE)-VLOOKUP($A174,main!$A$3:$H$102,6,FALSE)&gt;=main!$D$103+VLOOKUP(VLOOKUP(BE$1,main!$A$3:$I$102,7,FALSE),main!$K$26:$Q$29,4,FALSE)),1,0)</f>
        <v>0</v>
      </c>
      <c r="BF174">
        <f>IF(AND(VLOOKUP(BF$1,main!$A$3:$H$102,7,FALSE)=main!$G$104,VLOOKUP(BF$1,main!$A$3:$H$102,5,FALSE)-VLOOKUP($A174,main!$A$3:$H$102,6,FALSE)&gt;=main!$D$103+VLOOKUP(VLOOKUP(BF$1,main!$A$3:$I$102,7,FALSE),main!$K$26:$Q$29,4,FALSE)),1,0)</f>
        <v>0</v>
      </c>
      <c r="BG174">
        <f>IF(AND(VLOOKUP(BG$1,main!$A$3:$H$102,7,FALSE)=main!$G$104,VLOOKUP(BG$1,main!$A$3:$H$102,5,FALSE)-VLOOKUP($A174,main!$A$3:$H$102,6,FALSE)&gt;=main!$D$103+VLOOKUP(VLOOKUP(BG$1,main!$A$3:$I$102,7,FALSE),main!$K$26:$Q$29,4,FALSE)),1,0)</f>
        <v>0</v>
      </c>
      <c r="BH174">
        <f>IF(AND(VLOOKUP(BH$1,main!$A$3:$H$102,7,FALSE)=main!$G$104,VLOOKUP(BH$1,main!$A$3:$H$102,5,FALSE)-VLOOKUP($A174,main!$A$3:$H$102,6,FALSE)&gt;=main!$D$103+VLOOKUP(VLOOKUP(BH$1,main!$A$3:$I$102,7,FALSE),main!$K$26:$Q$29,4,FALSE)),1,0)</f>
        <v>0</v>
      </c>
      <c r="BI174">
        <f>IF(AND(VLOOKUP(BI$1,main!$A$3:$H$102,7,FALSE)=main!$G$104,VLOOKUP(BI$1,main!$A$3:$H$102,5,FALSE)-VLOOKUP($A174,main!$A$3:$H$102,6,FALSE)&gt;=main!$D$103+VLOOKUP(VLOOKUP(BI$1,main!$A$3:$I$102,7,FALSE),main!$K$26:$Q$29,4,FALSE)),1,0)</f>
        <v>0</v>
      </c>
      <c r="BJ174">
        <f>IF(AND(VLOOKUP(BJ$1,main!$A$3:$H$102,7,FALSE)=main!$G$104,VLOOKUP(BJ$1,main!$A$3:$H$102,5,FALSE)-VLOOKUP($A174,main!$A$3:$H$102,6,FALSE)&gt;=main!$D$103+VLOOKUP(VLOOKUP(BJ$1,main!$A$3:$I$102,7,FALSE),main!$K$26:$Q$29,4,FALSE)),1,0)</f>
        <v>0</v>
      </c>
      <c r="BK174">
        <f>IF(AND(VLOOKUP(BK$1,main!$A$3:$H$102,7,FALSE)=main!$G$104,VLOOKUP(BK$1,main!$A$3:$H$102,5,FALSE)-VLOOKUP($A174,main!$A$3:$H$102,6,FALSE)&gt;=main!$D$103+VLOOKUP(VLOOKUP(BK$1,main!$A$3:$I$102,7,FALSE),main!$K$26:$Q$29,4,FALSE)),1,0)</f>
        <v>0</v>
      </c>
      <c r="BL174">
        <f>IF(AND(VLOOKUP(BL$1,main!$A$3:$H$102,7,FALSE)=main!$G$104,VLOOKUP(BL$1,main!$A$3:$H$102,5,FALSE)-VLOOKUP($A174,main!$A$3:$H$102,6,FALSE)&gt;=main!$D$103+VLOOKUP(VLOOKUP(BL$1,main!$A$3:$I$102,7,FALSE),main!$K$26:$Q$29,4,FALSE)),1,0)</f>
        <v>0</v>
      </c>
      <c r="BM174">
        <f>IF(AND(VLOOKUP(BM$1,main!$A$3:$H$102,7,FALSE)=main!$G$104,VLOOKUP(BM$1,main!$A$3:$H$102,5,FALSE)-VLOOKUP($A174,main!$A$3:$H$102,6,FALSE)&gt;=main!$D$103+VLOOKUP(VLOOKUP(BM$1,main!$A$3:$I$102,7,FALSE),main!$K$26:$Q$29,4,FALSE)),1,0)</f>
        <v>0</v>
      </c>
      <c r="BN174">
        <f>IF(AND(VLOOKUP(BN$1,main!$A$3:$H$102,7,FALSE)=main!$G$104,VLOOKUP(BN$1,main!$A$3:$H$102,5,FALSE)-VLOOKUP($A174,main!$A$3:$H$102,6,FALSE)&gt;=main!$D$103+VLOOKUP(VLOOKUP(BN$1,main!$A$3:$I$102,7,FALSE),main!$K$26:$Q$29,4,FALSE)),1,0)</f>
        <v>0</v>
      </c>
      <c r="BO174">
        <f>IF(AND(VLOOKUP(BO$1,main!$A$3:$H$102,7,FALSE)=main!$G$104,VLOOKUP(BO$1,main!$A$3:$H$102,5,FALSE)-VLOOKUP($A174,main!$A$3:$H$102,6,FALSE)&gt;=main!$D$103+VLOOKUP(VLOOKUP(BO$1,main!$A$3:$I$102,7,FALSE),main!$K$26:$Q$29,4,FALSE)),1,0)</f>
        <v>0</v>
      </c>
      <c r="BP174">
        <f>IF(AND(VLOOKUP(BP$1,main!$A$3:$H$102,7,FALSE)=main!$G$104,VLOOKUP(BP$1,main!$A$3:$H$102,5,FALSE)-VLOOKUP($A174,main!$A$3:$H$102,6,FALSE)&gt;=main!$D$103+VLOOKUP(VLOOKUP(BP$1,main!$A$3:$I$102,7,FALSE),main!$K$26:$Q$29,4,FALSE)),1,0)</f>
        <v>0</v>
      </c>
      <c r="BQ174">
        <f>IF(AND(VLOOKUP(BQ$1,main!$A$3:$H$102,7,FALSE)=main!$G$104,VLOOKUP(BQ$1,main!$A$3:$H$102,5,FALSE)-VLOOKUP($A174,main!$A$3:$H$102,6,FALSE)&gt;=main!$D$103+VLOOKUP(VLOOKUP(BQ$1,main!$A$3:$I$102,7,FALSE),main!$K$26:$Q$29,4,FALSE)),1,0)</f>
        <v>0</v>
      </c>
      <c r="BR174">
        <f>IF(AND(VLOOKUP(BR$1,main!$A$3:$H$102,7,FALSE)=main!$G$104,VLOOKUP(BR$1,main!$A$3:$H$102,5,FALSE)-VLOOKUP($A174,main!$A$3:$H$102,6,FALSE)&gt;=main!$D$103+VLOOKUP(VLOOKUP(BR$1,main!$A$3:$I$102,7,FALSE),main!$K$26:$Q$29,4,FALSE)),1,0)</f>
        <v>0</v>
      </c>
      <c r="BS174">
        <f>IF(AND(VLOOKUP(BS$1,main!$A$3:$H$102,7,FALSE)=main!$G$104,VLOOKUP(BS$1,main!$A$3:$H$102,5,FALSE)-VLOOKUP($A174,main!$A$3:$H$102,6,FALSE)&gt;=main!$D$103+VLOOKUP(VLOOKUP(BS$1,main!$A$3:$I$102,7,FALSE),main!$K$26:$Q$29,4,FALSE)),1,0)</f>
        <v>0</v>
      </c>
      <c r="BT174">
        <f>IF(AND(VLOOKUP(BT$1,main!$A$3:$H$102,7,FALSE)=main!$G$104,VLOOKUP(BT$1,main!$A$3:$H$102,5,FALSE)-VLOOKUP($A174,main!$A$3:$H$102,6,FALSE)&gt;=main!$D$103+VLOOKUP(VLOOKUP(BT$1,main!$A$3:$I$102,7,FALSE),main!$K$26:$Q$29,4,FALSE)),1,0)</f>
        <v>0</v>
      </c>
      <c r="BU174">
        <f>IF(AND(VLOOKUP(BU$1,main!$A$3:$H$102,7,FALSE)=main!$G$104,VLOOKUP(BU$1,main!$A$3:$H$102,5,FALSE)-VLOOKUP($A174,main!$A$3:$H$102,6,FALSE)&gt;=main!$D$103+VLOOKUP(VLOOKUP(BU$1,main!$A$3:$I$102,7,FALSE),main!$K$26:$Q$29,4,FALSE)),1,0)</f>
        <v>0</v>
      </c>
      <c r="BV174">
        <f>IF(AND(VLOOKUP(BV$1,main!$A$3:$H$102,7,FALSE)=main!$G$104,VLOOKUP(BV$1,main!$A$3:$H$102,5,FALSE)-VLOOKUP($A174,main!$A$3:$H$102,6,FALSE)&gt;=main!$D$103+VLOOKUP(VLOOKUP(BV$1,main!$A$3:$I$102,7,FALSE),main!$K$26:$Q$29,4,FALSE)),1,0)</f>
        <v>0</v>
      </c>
      <c r="BW174">
        <f>IF(AND(VLOOKUP(BW$1,main!$A$3:$H$102,7,FALSE)=main!$G$104,VLOOKUP(BW$1,main!$A$3:$H$102,5,FALSE)-VLOOKUP($A174,main!$A$3:$H$102,6,FALSE)&gt;=main!$D$103+VLOOKUP(VLOOKUP(BW$1,main!$A$3:$I$102,7,FALSE),main!$K$26:$Q$29,4,FALSE)),1,0)</f>
        <v>0</v>
      </c>
      <c r="BX174">
        <f>IF(AND(VLOOKUP(BX$1,main!$A$3:$H$102,7,FALSE)=main!$G$104,VLOOKUP(BX$1,main!$A$3:$H$102,5,FALSE)-VLOOKUP($A174,main!$A$3:$H$102,6,FALSE)&gt;=main!$D$103+VLOOKUP(VLOOKUP(BX$1,main!$A$3:$I$102,7,FALSE),main!$K$26:$Q$29,4,FALSE)),1,0)</f>
        <v>0</v>
      </c>
      <c r="BY174">
        <f>IF(AND(VLOOKUP(BY$1,main!$A$3:$H$102,7,FALSE)=main!$G$104,VLOOKUP(BY$1,main!$A$3:$H$102,5,FALSE)-VLOOKUP($A174,main!$A$3:$H$102,6,FALSE)&gt;=main!$D$103+VLOOKUP(VLOOKUP(BY$1,main!$A$3:$I$102,7,FALSE),main!$K$26:$Q$29,4,FALSE)),1,0)</f>
        <v>0</v>
      </c>
      <c r="BZ174">
        <f>IF(AND(VLOOKUP(BZ$1,main!$A$3:$H$102,7,FALSE)=main!$G$104,VLOOKUP(BZ$1,main!$A$3:$H$102,5,FALSE)-VLOOKUP($A174,main!$A$3:$H$102,6,FALSE)&gt;=main!$D$103+VLOOKUP(VLOOKUP(BZ$1,main!$A$3:$I$102,7,FALSE),main!$K$26:$Q$29,4,FALSE)),1,0)</f>
        <v>0</v>
      </c>
      <c r="CA174">
        <f>IF(AND(VLOOKUP(CA$1,main!$A$3:$H$102,7,FALSE)=main!$G$104,VLOOKUP(CA$1,main!$A$3:$H$102,5,FALSE)-VLOOKUP($A174,main!$A$3:$H$102,6,FALSE)&gt;=main!$D$103+VLOOKUP(VLOOKUP(CA$1,main!$A$3:$I$102,7,FALSE),main!$K$26:$Q$29,4,FALSE)),1,0)</f>
        <v>0</v>
      </c>
      <c r="CB174">
        <f>IF(AND(VLOOKUP(CB$1,main!$A$3:$H$102,7,FALSE)=main!$G$104,VLOOKUP(CB$1,main!$A$3:$H$102,5,FALSE)-VLOOKUP($A174,main!$A$3:$H$102,6,FALSE)&gt;=main!$D$103+VLOOKUP(VLOOKUP(CB$1,main!$A$3:$I$102,7,FALSE),main!$K$26:$Q$29,4,FALSE)),1,0)</f>
        <v>0</v>
      </c>
      <c r="CC174">
        <f>IF(AND(VLOOKUP(CC$1,main!$A$3:$H$102,7,FALSE)=main!$G$104,VLOOKUP(CC$1,main!$A$3:$H$102,5,FALSE)-VLOOKUP($A174,main!$A$3:$H$102,6,FALSE)&gt;=main!$D$103+VLOOKUP(VLOOKUP(CC$1,main!$A$3:$I$102,7,FALSE),main!$K$26:$Q$29,4,FALSE)),1,0)</f>
        <v>0</v>
      </c>
      <c r="CD174">
        <f>IF(AND(VLOOKUP(CD$1,main!$A$3:$H$102,7,FALSE)=main!$G$104,VLOOKUP(CD$1,main!$A$3:$H$102,5,FALSE)-VLOOKUP($A174,main!$A$3:$H$102,6,FALSE)&gt;=main!$D$103+VLOOKUP(VLOOKUP(CD$1,main!$A$3:$I$102,7,FALSE),main!$K$26:$Q$29,4,FALSE)),1,0)</f>
        <v>0</v>
      </c>
      <c r="CE174">
        <f>IF(AND(VLOOKUP(CE$1,main!$A$3:$H$102,7,FALSE)=main!$G$104,VLOOKUP(CE$1,main!$A$3:$H$102,5,FALSE)-VLOOKUP($A174,main!$A$3:$H$102,6,FALSE)&gt;=main!$D$103+VLOOKUP(VLOOKUP(CE$1,main!$A$3:$I$102,7,FALSE),main!$K$26:$Q$29,4,FALSE)),1,0)</f>
        <v>0</v>
      </c>
      <c r="CF174">
        <f>IF(AND(VLOOKUP(CF$1,main!$A$3:$H$102,7,FALSE)=main!$G$104,VLOOKUP(CF$1,main!$A$3:$H$102,5,FALSE)-VLOOKUP($A174,main!$A$3:$H$102,6,FALSE)&gt;=main!$D$103+VLOOKUP(VLOOKUP(CF$1,main!$A$3:$I$102,7,FALSE),main!$K$26:$Q$29,4,FALSE)),1,0)</f>
        <v>0</v>
      </c>
      <c r="CG174">
        <f>IF(AND(VLOOKUP(CG$1,main!$A$3:$H$102,7,FALSE)=main!$G$104,VLOOKUP(CG$1,main!$A$3:$H$102,5,FALSE)-VLOOKUP($A174,main!$A$3:$H$102,6,FALSE)&gt;=main!$D$103+VLOOKUP(VLOOKUP(CG$1,main!$A$3:$I$102,7,FALSE),main!$K$26:$Q$29,4,FALSE)),1,0)</f>
        <v>0</v>
      </c>
      <c r="CH174">
        <f>IF(AND(VLOOKUP(CH$1,main!$A$3:$H$102,7,FALSE)=main!$G$104,VLOOKUP(CH$1,main!$A$3:$H$102,5,FALSE)-VLOOKUP($A174,main!$A$3:$H$102,6,FALSE)&gt;=main!$D$103+VLOOKUP(VLOOKUP(CH$1,main!$A$3:$I$102,7,FALSE),main!$K$26:$Q$29,4,FALSE)),1,0)</f>
        <v>0</v>
      </c>
      <c r="CI174">
        <f>IF(AND(VLOOKUP(CI$1,main!$A$3:$H$102,7,FALSE)=main!$G$104,VLOOKUP(CI$1,main!$A$3:$H$102,5,FALSE)-VLOOKUP($A174,main!$A$3:$H$102,6,FALSE)&gt;=main!$D$103+VLOOKUP(VLOOKUP(CI$1,main!$A$3:$I$102,7,FALSE),main!$K$26:$Q$29,4,FALSE)),1,0)</f>
        <v>0</v>
      </c>
      <c r="CJ174">
        <f>IF(AND(VLOOKUP(CJ$1,main!$A$3:$H$102,7,FALSE)=main!$G$104,VLOOKUP(CJ$1,main!$A$3:$H$102,5,FALSE)-VLOOKUP($A174,main!$A$3:$H$102,6,FALSE)&gt;=main!$D$103+VLOOKUP(VLOOKUP(CJ$1,main!$A$3:$I$102,7,FALSE),main!$K$26:$Q$29,4,FALSE)),1,0)</f>
        <v>0</v>
      </c>
      <c r="CK174">
        <f>IF(AND(VLOOKUP(CK$1,main!$A$3:$H$102,7,FALSE)=main!$G$104,VLOOKUP(CK$1,main!$A$3:$H$102,5,FALSE)-VLOOKUP($A174,main!$A$3:$H$102,6,FALSE)&gt;=main!$D$103+VLOOKUP(VLOOKUP(CK$1,main!$A$3:$I$102,7,FALSE),main!$K$26:$Q$29,4,FALSE)),1,0)</f>
        <v>0</v>
      </c>
      <c r="CL174">
        <f>IF(AND(VLOOKUP(CL$1,main!$A$3:$H$102,7,FALSE)=main!$G$104,VLOOKUP(CL$1,main!$A$3:$H$102,5,FALSE)-VLOOKUP($A174,main!$A$3:$H$102,6,FALSE)&gt;=main!$D$103+VLOOKUP(VLOOKUP(CL$1,main!$A$3:$I$102,7,FALSE),main!$K$26:$Q$29,4,FALSE)),1,0)</f>
        <v>0</v>
      </c>
      <c r="CM174">
        <f>IF(AND(VLOOKUP(CM$1,main!$A$3:$H$102,7,FALSE)=main!$G$104,VLOOKUP(CM$1,main!$A$3:$H$102,5,FALSE)-VLOOKUP($A174,main!$A$3:$H$102,6,FALSE)&gt;=main!$D$103+VLOOKUP(VLOOKUP(CM$1,main!$A$3:$I$102,7,FALSE),main!$K$26:$Q$29,4,FALSE)),1,0)</f>
        <v>0</v>
      </c>
      <c r="CN174">
        <f>IF(AND(VLOOKUP(CN$1,main!$A$3:$H$102,7,FALSE)=main!$G$104,VLOOKUP(CN$1,main!$A$3:$H$102,5,FALSE)-VLOOKUP($A174,main!$A$3:$H$102,6,FALSE)&gt;=main!$D$103+VLOOKUP(VLOOKUP(CN$1,main!$A$3:$I$102,7,FALSE),main!$K$26:$Q$29,4,FALSE)),1,0)</f>
        <v>0</v>
      </c>
      <c r="CO174">
        <f>IF(AND(VLOOKUP(CO$1,main!$A$3:$H$102,7,FALSE)=main!$G$104,VLOOKUP(CO$1,main!$A$3:$H$102,5,FALSE)-VLOOKUP($A174,main!$A$3:$H$102,6,FALSE)&gt;=main!$D$103+VLOOKUP(VLOOKUP(CO$1,main!$A$3:$I$102,7,FALSE),main!$K$26:$Q$29,4,FALSE)),1,0)</f>
        <v>0</v>
      </c>
      <c r="CP174">
        <f>IF(AND(VLOOKUP(CP$1,main!$A$3:$H$102,7,FALSE)=main!$G$104,VLOOKUP(CP$1,main!$A$3:$H$102,5,FALSE)-VLOOKUP($A174,main!$A$3:$H$102,6,FALSE)&gt;=main!$D$103+VLOOKUP(VLOOKUP(CP$1,main!$A$3:$I$102,7,FALSE),main!$K$26:$Q$29,4,FALSE)),1,0)</f>
        <v>0</v>
      </c>
      <c r="CQ174">
        <f>IF(AND(VLOOKUP(CQ$1,main!$A$3:$H$102,7,FALSE)=main!$G$104,VLOOKUP(CQ$1,main!$A$3:$H$102,5,FALSE)-VLOOKUP($A174,main!$A$3:$H$102,6,FALSE)&gt;=main!$D$103+VLOOKUP(VLOOKUP(CQ$1,main!$A$3:$I$102,7,FALSE),main!$K$26:$Q$29,4,FALSE)),1,0)</f>
        <v>0</v>
      </c>
      <c r="CR174">
        <f>IF(AND(VLOOKUP(CR$1,main!$A$3:$H$102,7,FALSE)=main!$G$104,VLOOKUP(CR$1,main!$A$3:$H$102,5,FALSE)-VLOOKUP($A174,main!$A$3:$H$102,6,FALSE)&gt;=main!$D$103+VLOOKUP(VLOOKUP(CR$1,main!$A$3:$I$102,7,FALSE),main!$K$26:$Q$29,4,FALSE)),1,0)</f>
        <v>0</v>
      </c>
      <c r="CS174">
        <f>IF(AND(VLOOKUP(CS$1,main!$A$3:$H$102,7,FALSE)=main!$G$104,VLOOKUP(CS$1,main!$A$3:$H$102,5,FALSE)-VLOOKUP($A174,main!$A$3:$H$102,6,FALSE)&gt;=main!$D$103+VLOOKUP(VLOOKUP(CS$1,main!$A$3:$I$102,7,FALSE),main!$K$26:$Q$29,4,FALSE)),1,0)</f>
        <v>0</v>
      </c>
      <c r="CT174">
        <f>IF(AND(VLOOKUP(CT$1,main!$A$3:$H$102,7,FALSE)=main!$G$104,VLOOKUP(CT$1,main!$A$3:$H$102,5,FALSE)-VLOOKUP($A174,main!$A$3:$H$102,6,FALSE)&gt;=main!$D$103+VLOOKUP(VLOOKUP(CT$1,main!$A$3:$I$102,7,FALSE),main!$K$26:$Q$29,4,FALSE)),1,0)</f>
        <v>0</v>
      </c>
      <c r="CU174">
        <f>IF(AND(VLOOKUP(CU$1,main!$A$3:$H$102,7,FALSE)=main!$G$104,VLOOKUP(CU$1,main!$A$3:$H$102,5,FALSE)-VLOOKUP($A174,main!$A$3:$H$102,6,FALSE)&gt;=main!$D$103+VLOOKUP(VLOOKUP(CU$1,main!$A$3:$I$102,7,FALSE),main!$K$26:$Q$29,4,FALSE)),1,0)</f>
        <v>0</v>
      </c>
      <c r="CV174">
        <f>IF(AND(VLOOKUP(CV$1,main!$A$3:$H$102,7,FALSE)=main!$G$104,VLOOKUP(CV$1,main!$A$3:$H$102,5,FALSE)-VLOOKUP($A174,main!$A$3:$H$102,6,FALSE)&gt;=main!$D$103+VLOOKUP(VLOOKUP(CV$1,main!$A$3:$I$102,7,FALSE),main!$K$26:$Q$29,4,FALSE)),1,0)</f>
        <v>0</v>
      </c>
      <c r="CW174">
        <f>IF(AND(VLOOKUP(CW$1,main!$A$3:$H$102,7,FALSE)=main!$G$104,VLOOKUP(CW$1,main!$A$3:$H$102,5,FALSE)-VLOOKUP($A174,main!$A$3:$H$102,6,FALSE)&gt;=main!$D$103+VLOOKUP(VLOOKUP(CW$1,main!$A$3:$I$102,7,FALSE),main!$K$26:$Q$29,4,FALSE)),1,0)</f>
        <v>0</v>
      </c>
      <c r="CX174">
        <f>IF(AND(VLOOKUP(CX$1,main!$A$3:$H$102,7,FALSE)=main!$G$104,VLOOKUP(CX$1,main!$A$3:$H$102,5,FALSE)-VLOOKUP($A174,main!$A$3:$H$102,6,FALSE)&gt;=main!$D$103+VLOOKUP(VLOOKUP(CX$1,main!$A$3:$I$102,7,FALSE),main!$K$26:$Q$29,4,FALSE)),1,0)</f>
        <v>0</v>
      </c>
    </row>
    <row r="175" spans="1:102" x14ac:dyDescent="0.25">
      <c r="A175" s="1">
        <v>72</v>
      </c>
      <c r="B175">
        <v>0</v>
      </c>
      <c r="C175">
        <f>IF(AND(VLOOKUP(C$1,main!$A$3:$H$102,7,FALSE)=main!$G$104,VLOOKUP(C$1,main!$A$3:$H$102,5,FALSE)-VLOOKUP($A175,main!$A$3:$H$102,6,FALSE)&gt;=main!$D$103+VLOOKUP(VLOOKUP(C$1,main!$A$3:$I$102,7,FALSE),main!$K$26:$Q$29,4,FALSE)),1,0)</f>
        <v>0</v>
      </c>
      <c r="D175">
        <f>IF(AND(VLOOKUP(D$1,main!$A$3:$H$102,7,FALSE)=main!$G$104,VLOOKUP(D$1,main!$A$3:$H$102,5,FALSE)-VLOOKUP($A175,main!$A$3:$H$102,6,FALSE)&gt;=main!$D$103+VLOOKUP(VLOOKUP(D$1,main!$A$3:$I$102,7,FALSE),main!$K$26:$Q$29,4,FALSE)),1,0)</f>
        <v>0</v>
      </c>
      <c r="E175">
        <f>IF(AND(VLOOKUP(E$1,main!$A$3:$H$102,7,FALSE)=main!$G$104,VLOOKUP(E$1,main!$A$3:$H$102,5,FALSE)-VLOOKUP($A175,main!$A$3:$H$102,6,FALSE)&gt;=main!$D$103+VLOOKUP(VLOOKUP(E$1,main!$A$3:$I$102,7,FALSE),main!$K$26:$Q$29,4,FALSE)),1,0)</f>
        <v>0</v>
      </c>
      <c r="F175">
        <f>IF(AND(VLOOKUP(F$1,main!$A$3:$H$102,7,FALSE)=main!$G$104,VLOOKUP(F$1,main!$A$3:$H$102,5,FALSE)-VLOOKUP($A175,main!$A$3:$H$102,6,FALSE)&gt;=main!$D$103+VLOOKUP(VLOOKUP(F$1,main!$A$3:$I$102,7,FALSE),main!$K$26:$Q$29,4,FALSE)),1,0)</f>
        <v>0</v>
      </c>
      <c r="G175">
        <f>IF(AND(VLOOKUP(G$1,main!$A$3:$H$102,7,FALSE)=main!$G$104,VLOOKUP(G$1,main!$A$3:$H$102,5,FALSE)-VLOOKUP($A175,main!$A$3:$H$102,6,FALSE)&gt;=main!$D$103+VLOOKUP(VLOOKUP(G$1,main!$A$3:$I$102,7,FALSE),main!$K$26:$Q$29,4,FALSE)),1,0)</f>
        <v>1</v>
      </c>
      <c r="H175">
        <f>IF(AND(VLOOKUP(H$1,main!$A$3:$H$102,7,FALSE)=main!$G$104,VLOOKUP(H$1,main!$A$3:$H$102,5,FALSE)-VLOOKUP($A175,main!$A$3:$H$102,6,FALSE)&gt;=main!$D$103+VLOOKUP(VLOOKUP(H$1,main!$A$3:$I$102,7,FALSE),main!$K$26:$Q$29,4,FALSE)),1,0)</f>
        <v>1</v>
      </c>
      <c r="I175">
        <f>IF(AND(VLOOKUP(I$1,main!$A$3:$H$102,7,FALSE)=main!$G$104,VLOOKUP(I$1,main!$A$3:$H$102,5,FALSE)-VLOOKUP($A175,main!$A$3:$H$102,6,FALSE)&gt;=main!$D$103+VLOOKUP(VLOOKUP(I$1,main!$A$3:$I$102,7,FALSE),main!$K$26:$Q$29,4,FALSE)),1,0)</f>
        <v>1</v>
      </c>
      <c r="J175">
        <f>IF(AND(VLOOKUP(J$1,main!$A$3:$H$102,7,FALSE)=main!$G$104,VLOOKUP(J$1,main!$A$3:$H$102,5,FALSE)-VLOOKUP($A175,main!$A$3:$H$102,6,FALSE)&gt;=main!$D$103+VLOOKUP(VLOOKUP(J$1,main!$A$3:$I$102,7,FALSE),main!$K$26:$Q$29,4,FALSE)),1,0)</f>
        <v>1</v>
      </c>
      <c r="K175">
        <f>IF(AND(VLOOKUP(K$1,main!$A$3:$H$102,7,FALSE)=main!$G$104,VLOOKUP(K$1,main!$A$3:$H$102,5,FALSE)-VLOOKUP($A175,main!$A$3:$H$102,6,FALSE)&gt;=main!$D$103+VLOOKUP(VLOOKUP(K$1,main!$A$3:$I$102,7,FALSE),main!$K$26:$Q$29,4,FALSE)),1,0)</f>
        <v>1</v>
      </c>
      <c r="L175">
        <f>IF(AND(VLOOKUP(L$1,main!$A$3:$H$102,7,FALSE)=main!$G$104,VLOOKUP(L$1,main!$A$3:$H$102,5,FALSE)-VLOOKUP($A175,main!$A$3:$H$102,6,FALSE)&gt;=main!$D$103+VLOOKUP(VLOOKUP(L$1,main!$A$3:$I$102,7,FALSE),main!$K$26:$Q$29,4,FALSE)),1,0)</f>
        <v>1</v>
      </c>
      <c r="M175">
        <f>IF(AND(VLOOKUP(M$1,main!$A$3:$H$102,7,FALSE)=main!$G$104,VLOOKUP(M$1,main!$A$3:$H$102,5,FALSE)-VLOOKUP($A175,main!$A$3:$H$102,6,FALSE)&gt;=main!$D$103+VLOOKUP(VLOOKUP(M$1,main!$A$3:$I$102,7,FALSE),main!$K$26:$Q$29,4,FALSE)),1,0)</f>
        <v>0</v>
      </c>
      <c r="N175">
        <f>IF(AND(VLOOKUP(N$1,main!$A$3:$H$102,7,FALSE)=main!$G$104,VLOOKUP(N$1,main!$A$3:$H$102,5,FALSE)-VLOOKUP($A175,main!$A$3:$H$102,6,FALSE)&gt;=main!$D$103+VLOOKUP(VLOOKUP(N$1,main!$A$3:$I$102,7,FALSE),main!$K$26:$Q$29,4,FALSE)),1,0)</f>
        <v>0</v>
      </c>
      <c r="O175">
        <f>IF(AND(VLOOKUP(O$1,main!$A$3:$H$102,7,FALSE)=main!$G$104,VLOOKUP(O$1,main!$A$3:$H$102,5,FALSE)-VLOOKUP($A175,main!$A$3:$H$102,6,FALSE)&gt;=main!$D$103+VLOOKUP(VLOOKUP(O$1,main!$A$3:$I$102,7,FALSE),main!$K$26:$Q$29,4,FALSE)),1,0)</f>
        <v>0</v>
      </c>
      <c r="P175">
        <f>IF(AND(VLOOKUP(P$1,main!$A$3:$H$102,7,FALSE)=main!$G$104,VLOOKUP(P$1,main!$A$3:$H$102,5,FALSE)-VLOOKUP($A175,main!$A$3:$H$102,6,FALSE)&gt;=main!$D$103+VLOOKUP(VLOOKUP(P$1,main!$A$3:$I$102,7,FALSE),main!$K$26:$Q$29,4,FALSE)),1,0)</f>
        <v>0</v>
      </c>
      <c r="Q175">
        <f>IF(AND(VLOOKUP(Q$1,main!$A$3:$H$102,7,FALSE)=main!$G$104,VLOOKUP(Q$1,main!$A$3:$H$102,5,FALSE)-VLOOKUP($A175,main!$A$3:$H$102,6,FALSE)&gt;=main!$D$103+VLOOKUP(VLOOKUP(Q$1,main!$A$3:$I$102,7,FALSE),main!$K$26:$Q$29,4,FALSE)),1,0)</f>
        <v>1</v>
      </c>
      <c r="R175">
        <f>IF(AND(VLOOKUP(R$1,main!$A$3:$H$102,7,FALSE)=main!$G$104,VLOOKUP(R$1,main!$A$3:$H$102,5,FALSE)-VLOOKUP($A175,main!$A$3:$H$102,6,FALSE)&gt;=main!$D$103+VLOOKUP(VLOOKUP(R$1,main!$A$3:$I$102,7,FALSE),main!$K$26:$Q$29,4,FALSE)),1,0)</f>
        <v>1</v>
      </c>
      <c r="S175">
        <f>IF(AND(VLOOKUP(S$1,main!$A$3:$H$102,7,FALSE)=main!$G$104,VLOOKUP(S$1,main!$A$3:$H$102,5,FALSE)-VLOOKUP($A175,main!$A$3:$H$102,6,FALSE)&gt;=main!$D$103+VLOOKUP(VLOOKUP(S$1,main!$A$3:$I$102,7,FALSE),main!$K$26:$Q$29,4,FALSE)),1,0)</f>
        <v>1</v>
      </c>
      <c r="T175">
        <f>IF(AND(VLOOKUP(T$1,main!$A$3:$H$102,7,FALSE)=main!$G$104,VLOOKUP(T$1,main!$A$3:$H$102,5,FALSE)-VLOOKUP($A175,main!$A$3:$H$102,6,FALSE)&gt;=main!$D$103+VLOOKUP(VLOOKUP(T$1,main!$A$3:$I$102,7,FALSE),main!$K$26:$Q$29,4,FALSE)),1,0)</f>
        <v>1</v>
      </c>
      <c r="U175">
        <f>IF(AND(VLOOKUP(U$1,main!$A$3:$H$102,7,FALSE)=main!$G$104,VLOOKUP(U$1,main!$A$3:$H$102,5,FALSE)-VLOOKUP($A175,main!$A$3:$H$102,6,FALSE)&gt;=main!$D$103+VLOOKUP(VLOOKUP(U$1,main!$A$3:$I$102,7,FALSE),main!$K$26:$Q$29,4,FALSE)),1,0)</f>
        <v>1</v>
      </c>
      <c r="V175">
        <f>IF(AND(VLOOKUP(V$1,main!$A$3:$H$102,7,FALSE)=main!$G$104,VLOOKUP(V$1,main!$A$3:$H$102,5,FALSE)-VLOOKUP($A175,main!$A$3:$H$102,6,FALSE)&gt;=main!$D$103+VLOOKUP(VLOOKUP(V$1,main!$A$3:$I$102,7,FALSE),main!$K$26:$Q$29,4,FALSE)),1,0)</f>
        <v>1</v>
      </c>
      <c r="W175">
        <f>IF(AND(VLOOKUP(W$1,main!$A$3:$H$102,7,FALSE)=main!$G$104,VLOOKUP(W$1,main!$A$3:$H$102,5,FALSE)-VLOOKUP($A175,main!$A$3:$H$102,6,FALSE)&gt;=main!$D$103+VLOOKUP(VLOOKUP(W$1,main!$A$3:$I$102,7,FALSE),main!$K$26:$Q$29,4,FALSE)),1,0)</f>
        <v>0</v>
      </c>
      <c r="X175">
        <f>IF(AND(VLOOKUP(X$1,main!$A$3:$H$102,7,FALSE)=main!$G$104,VLOOKUP(X$1,main!$A$3:$H$102,5,FALSE)-VLOOKUP($A175,main!$A$3:$H$102,6,FALSE)&gt;=main!$D$103+VLOOKUP(VLOOKUP(X$1,main!$A$3:$I$102,7,FALSE),main!$K$26:$Q$29,4,FALSE)),1,0)</f>
        <v>0</v>
      </c>
      <c r="Y175">
        <f>IF(AND(VLOOKUP(Y$1,main!$A$3:$H$102,7,FALSE)=main!$G$104,VLOOKUP(Y$1,main!$A$3:$H$102,5,FALSE)-VLOOKUP($A175,main!$A$3:$H$102,6,FALSE)&gt;=main!$D$103+VLOOKUP(VLOOKUP(Y$1,main!$A$3:$I$102,7,FALSE),main!$K$26:$Q$29,4,FALSE)),1,0)</f>
        <v>1</v>
      </c>
      <c r="Z175">
        <f>IF(AND(VLOOKUP(Z$1,main!$A$3:$H$102,7,FALSE)=main!$G$104,VLOOKUP(Z$1,main!$A$3:$H$102,5,FALSE)-VLOOKUP($A175,main!$A$3:$H$102,6,FALSE)&gt;=main!$D$103+VLOOKUP(VLOOKUP(Z$1,main!$A$3:$I$102,7,FALSE),main!$K$26:$Q$29,4,FALSE)),1,0)</f>
        <v>1</v>
      </c>
      <c r="AA175">
        <f>IF(AND(VLOOKUP(AA$1,main!$A$3:$H$102,7,FALSE)=main!$G$104,VLOOKUP(AA$1,main!$A$3:$H$102,5,FALSE)-VLOOKUP($A175,main!$A$3:$H$102,6,FALSE)&gt;=main!$D$103+VLOOKUP(VLOOKUP(AA$1,main!$A$3:$I$102,7,FALSE),main!$K$26:$Q$29,4,FALSE)),1,0)</f>
        <v>1</v>
      </c>
      <c r="AB175">
        <f>IF(AND(VLOOKUP(AB$1,main!$A$3:$H$102,7,FALSE)=main!$G$104,VLOOKUP(AB$1,main!$A$3:$H$102,5,FALSE)-VLOOKUP($A175,main!$A$3:$H$102,6,FALSE)&gt;=main!$D$103+VLOOKUP(VLOOKUP(AB$1,main!$A$3:$I$102,7,FALSE),main!$K$26:$Q$29,4,FALSE)),1,0)</f>
        <v>0</v>
      </c>
      <c r="AC175">
        <f>IF(AND(VLOOKUP(AC$1,main!$A$3:$H$102,7,FALSE)=main!$G$104,VLOOKUP(AC$1,main!$A$3:$H$102,5,FALSE)-VLOOKUP($A175,main!$A$3:$H$102,6,FALSE)&gt;=main!$D$103+VLOOKUP(VLOOKUP(AC$1,main!$A$3:$I$102,7,FALSE),main!$K$26:$Q$29,4,FALSE)),1,0)</f>
        <v>0</v>
      </c>
      <c r="AD175">
        <f>IF(AND(VLOOKUP(AD$1,main!$A$3:$H$102,7,FALSE)=main!$G$104,VLOOKUP(AD$1,main!$A$3:$H$102,5,FALSE)-VLOOKUP($A175,main!$A$3:$H$102,6,FALSE)&gt;=main!$D$103+VLOOKUP(VLOOKUP(AD$1,main!$A$3:$I$102,7,FALSE),main!$K$26:$Q$29,4,FALSE)),1,0)</f>
        <v>1</v>
      </c>
      <c r="AE175">
        <f>IF(AND(VLOOKUP(AE$1,main!$A$3:$H$102,7,FALSE)=main!$G$104,VLOOKUP(AE$1,main!$A$3:$H$102,5,FALSE)-VLOOKUP($A175,main!$A$3:$H$102,6,FALSE)&gt;=main!$D$103+VLOOKUP(VLOOKUP(AE$1,main!$A$3:$I$102,7,FALSE),main!$K$26:$Q$29,4,FALSE)),1,0)</f>
        <v>1</v>
      </c>
      <c r="AF175">
        <f>IF(AND(VLOOKUP(AF$1,main!$A$3:$H$102,7,FALSE)=main!$G$104,VLOOKUP(AF$1,main!$A$3:$H$102,5,FALSE)-VLOOKUP($A175,main!$A$3:$H$102,6,FALSE)&gt;=main!$D$103+VLOOKUP(VLOOKUP(AF$1,main!$A$3:$I$102,7,FALSE),main!$K$26:$Q$29,4,FALSE)),1,0)</f>
        <v>1</v>
      </c>
      <c r="AG175">
        <f>IF(AND(VLOOKUP(AG$1,main!$A$3:$H$102,7,FALSE)=main!$G$104,VLOOKUP(AG$1,main!$A$3:$H$102,5,FALSE)-VLOOKUP($A175,main!$A$3:$H$102,6,FALSE)&gt;=main!$D$103+VLOOKUP(VLOOKUP(AG$1,main!$A$3:$I$102,7,FALSE),main!$K$26:$Q$29,4,FALSE)),1,0)</f>
        <v>0</v>
      </c>
      <c r="AH175">
        <f>IF(AND(VLOOKUP(AH$1,main!$A$3:$H$102,7,FALSE)=main!$G$104,VLOOKUP(AH$1,main!$A$3:$H$102,5,FALSE)-VLOOKUP($A175,main!$A$3:$H$102,6,FALSE)&gt;=main!$D$103+VLOOKUP(VLOOKUP(AH$1,main!$A$3:$I$102,7,FALSE),main!$K$26:$Q$29,4,FALSE)),1,0)</f>
        <v>0</v>
      </c>
      <c r="AI175">
        <f>IF(AND(VLOOKUP(AI$1,main!$A$3:$H$102,7,FALSE)=main!$G$104,VLOOKUP(AI$1,main!$A$3:$H$102,5,FALSE)-VLOOKUP($A175,main!$A$3:$H$102,6,FALSE)&gt;=main!$D$103+VLOOKUP(VLOOKUP(AI$1,main!$A$3:$I$102,7,FALSE),main!$K$26:$Q$29,4,FALSE)),1,0)</f>
        <v>0</v>
      </c>
      <c r="AJ175">
        <f>IF(AND(VLOOKUP(AJ$1,main!$A$3:$H$102,7,FALSE)=main!$G$104,VLOOKUP(AJ$1,main!$A$3:$H$102,5,FALSE)-VLOOKUP($A175,main!$A$3:$H$102,6,FALSE)&gt;=main!$D$103+VLOOKUP(VLOOKUP(AJ$1,main!$A$3:$I$102,7,FALSE),main!$K$26:$Q$29,4,FALSE)),1,0)</f>
        <v>0</v>
      </c>
      <c r="AK175">
        <f>IF(AND(VLOOKUP(AK$1,main!$A$3:$H$102,7,FALSE)=main!$G$104,VLOOKUP(AK$1,main!$A$3:$H$102,5,FALSE)-VLOOKUP($A175,main!$A$3:$H$102,6,FALSE)&gt;=main!$D$103+VLOOKUP(VLOOKUP(AK$1,main!$A$3:$I$102,7,FALSE),main!$K$26:$Q$29,4,FALSE)),1,0)</f>
        <v>0</v>
      </c>
      <c r="AL175">
        <f>IF(AND(VLOOKUP(AL$1,main!$A$3:$H$102,7,FALSE)=main!$G$104,VLOOKUP(AL$1,main!$A$3:$H$102,5,FALSE)-VLOOKUP($A175,main!$A$3:$H$102,6,FALSE)&gt;=main!$D$103+VLOOKUP(VLOOKUP(AL$1,main!$A$3:$I$102,7,FALSE),main!$K$26:$Q$29,4,FALSE)),1,0)</f>
        <v>0</v>
      </c>
      <c r="AM175">
        <f>IF(AND(VLOOKUP(AM$1,main!$A$3:$H$102,7,FALSE)=main!$G$104,VLOOKUP(AM$1,main!$A$3:$H$102,5,FALSE)-VLOOKUP($A175,main!$A$3:$H$102,6,FALSE)&gt;=main!$D$103+VLOOKUP(VLOOKUP(AM$1,main!$A$3:$I$102,7,FALSE),main!$K$26:$Q$29,4,FALSE)),1,0)</f>
        <v>0</v>
      </c>
      <c r="AN175">
        <f>IF(AND(VLOOKUP(AN$1,main!$A$3:$H$102,7,FALSE)=main!$G$104,VLOOKUP(AN$1,main!$A$3:$H$102,5,FALSE)-VLOOKUP($A175,main!$A$3:$H$102,6,FALSE)&gt;=main!$D$103+VLOOKUP(VLOOKUP(AN$1,main!$A$3:$I$102,7,FALSE),main!$K$26:$Q$29,4,FALSE)),1,0)</f>
        <v>0</v>
      </c>
      <c r="AO175">
        <f>IF(AND(VLOOKUP(AO$1,main!$A$3:$H$102,7,FALSE)=main!$G$104,VLOOKUP(AO$1,main!$A$3:$H$102,5,FALSE)-VLOOKUP($A175,main!$A$3:$H$102,6,FALSE)&gt;=main!$D$103+VLOOKUP(VLOOKUP(AO$1,main!$A$3:$I$102,7,FALSE),main!$K$26:$Q$29,4,FALSE)),1,0)</f>
        <v>0</v>
      </c>
      <c r="AP175">
        <f>IF(AND(VLOOKUP(AP$1,main!$A$3:$H$102,7,FALSE)=main!$G$104,VLOOKUP(AP$1,main!$A$3:$H$102,5,FALSE)-VLOOKUP($A175,main!$A$3:$H$102,6,FALSE)&gt;=main!$D$103+VLOOKUP(VLOOKUP(AP$1,main!$A$3:$I$102,7,FALSE),main!$K$26:$Q$29,4,FALSE)),1,0)</f>
        <v>0</v>
      </c>
      <c r="AQ175">
        <f>IF(AND(VLOOKUP(AQ$1,main!$A$3:$H$102,7,FALSE)=main!$G$104,VLOOKUP(AQ$1,main!$A$3:$H$102,5,FALSE)-VLOOKUP($A175,main!$A$3:$H$102,6,FALSE)&gt;=main!$D$103+VLOOKUP(VLOOKUP(AQ$1,main!$A$3:$I$102,7,FALSE),main!$K$26:$Q$29,4,FALSE)),1,0)</f>
        <v>0</v>
      </c>
      <c r="AR175">
        <f>IF(AND(VLOOKUP(AR$1,main!$A$3:$H$102,7,FALSE)=main!$G$104,VLOOKUP(AR$1,main!$A$3:$H$102,5,FALSE)-VLOOKUP($A175,main!$A$3:$H$102,6,FALSE)&gt;=main!$D$103+VLOOKUP(VLOOKUP(AR$1,main!$A$3:$I$102,7,FALSE),main!$K$26:$Q$29,4,FALSE)),1,0)</f>
        <v>0</v>
      </c>
      <c r="AS175">
        <f>IF(AND(VLOOKUP(AS$1,main!$A$3:$H$102,7,FALSE)=main!$G$104,VLOOKUP(AS$1,main!$A$3:$H$102,5,FALSE)-VLOOKUP($A175,main!$A$3:$H$102,6,FALSE)&gt;=main!$D$103+VLOOKUP(VLOOKUP(AS$1,main!$A$3:$I$102,7,FALSE),main!$K$26:$Q$29,4,FALSE)),1,0)</f>
        <v>0</v>
      </c>
      <c r="AT175">
        <f>IF(AND(VLOOKUP(AT$1,main!$A$3:$H$102,7,FALSE)=main!$G$104,VLOOKUP(AT$1,main!$A$3:$H$102,5,FALSE)-VLOOKUP($A175,main!$A$3:$H$102,6,FALSE)&gt;=main!$D$103+VLOOKUP(VLOOKUP(AT$1,main!$A$3:$I$102,7,FALSE),main!$K$26:$Q$29,4,FALSE)),1,0)</f>
        <v>0</v>
      </c>
      <c r="AU175">
        <f>IF(AND(VLOOKUP(AU$1,main!$A$3:$H$102,7,FALSE)=main!$G$104,VLOOKUP(AU$1,main!$A$3:$H$102,5,FALSE)-VLOOKUP($A175,main!$A$3:$H$102,6,FALSE)&gt;=main!$D$103+VLOOKUP(VLOOKUP(AU$1,main!$A$3:$I$102,7,FALSE),main!$K$26:$Q$29,4,FALSE)),1,0)</f>
        <v>0</v>
      </c>
      <c r="AV175">
        <f>IF(AND(VLOOKUP(AV$1,main!$A$3:$H$102,7,FALSE)=main!$G$104,VLOOKUP(AV$1,main!$A$3:$H$102,5,FALSE)-VLOOKUP($A175,main!$A$3:$H$102,6,FALSE)&gt;=main!$D$103+VLOOKUP(VLOOKUP(AV$1,main!$A$3:$I$102,7,FALSE),main!$K$26:$Q$29,4,FALSE)),1,0)</f>
        <v>0</v>
      </c>
      <c r="AW175">
        <f>IF(AND(VLOOKUP(AW$1,main!$A$3:$H$102,7,FALSE)=main!$G$104,VLOOKUP(AW$1,main!$A$3:$H$102,5,FALSE)-VLOOKUP($A175,main!$A$3:$H$102,6,FALSE)&gt;=main!$D$103+VLOOKUP(VLOOKUP(AW$1,main!$A$3:$I$102,7,FALSE),main!$K$26:$Q$29,4,FALSE)),1,0)</f>
        <v>0</v>
      </c>
      <c r="AX175">
        <f>IF(AND(VLOOKUP(AX$1,main!$A$3:$H$102,7,FALSE)=main!$G$104,VLOOKUP(AX$1,main!$A$3:$H$102,5,FALSE)-VLOOKUP($A175,main!$A$3:$H$102,6,FALSE)&gt;=main!$D$103+VLOOKUP(VLOOKUP(AX$1,main!$A$3:$I$102,7,FALSE),main!$K$26:$Q$29,4,FALSE)),1,0)</f>
        <v>0</v>
      </c>
      <c r="AY175">
        <f>IF(AND(VLOOKUP(AY$1,main!$A$3:$H$102,7,FALSE)=main!$G$104,VLOOKUP(AY$1,main!$A$3:$H$102,5,FALSE)-VLOOKUP($A175,main!$A$3:$H$102,6,FALSE)&gt;=main!$D$103+VLOOKUP(VLOOKUP(AY$1,main!$A$3:$I$102,7,FALSE),main!$K$26:$Q$29,4,FALSE)),1,0)</f>
        <v>0</v>
      </c>
      <c r="AZ175">
        <f>IF(AND(VLOOKUP(AZ$1,main!$A$3:$H$102,7,FALSE)=main!$G$104,VLOOKUP(AZ$1,main!$A$3:$H$102,5,FALSE)-VLOOKUP($A175,main!$A$3:$H$102,6,FALSE)&gt;=main!$D$103+VLOOKUP(VLOOKUP(AZ$1,main!$A$3:$I$102,7,FALSE),main!$K$26:$Q$29,4,FALSE)),1,0)</f>
        <v>0</v>
      </c>
      <c r="BA175">
        <f>IF(AND(VLOOKUP(BA$1,main!$A$3:$H$102,7,FALSE)=main!$G$104,VLOOKUP(BA$1,main!$A$3:$H$102,5,FALSE)-VLOOKUP($A175,main!$A$3:$H$102,6,FALSE)&gt;=main!$D$103+VLOOKUP(VLOOKUP(BA$1,main!$A$3:$I$102,7,FALSE),main!$K$26:$Q$29,4,FALSE)),1,0)</f>
        <v>0</v>
      </c>
      <c r="BB175">
        <f>IF(AND(VLOOKUP(BB$1,main!$A$3:$H$102,7,FALSE)=main!$G$104,VLOOKUP(BB$1,main!$A$3:$H$102,5,FALSE)-VLOOKUP($A175,main!$A$3:$H$102,6,FALSE)&gt;=main!$D$103+VLOOKUP(VLOOKUP(BB$1,main!$A$3:$I$102,7,FALSE),main!$K$26:$Q$29,4,FALSE)),1,0)</f>
        <v>0</v>
      </c>
      <c r="BC175">
        <f>IF(AND(VLOOKUP(BC$1,main!$A$3:$H$102,7,FALSE)=main!$G$104,VLOOKUP(BC$1,main!$A$3:$H$102,5,FALSE)-VLOOKUP($A175,main!$A$3:$H$102,6,FALSE)&gt;=main!$D$103+VLOOKUP(VLOOKUP(BC$1,main!$A$3:$I$102,7,FALSE),main!$K$26:$Q$29,4,FALSE)),1,0)</f>
        <v>0</v>
      </c>
      <c r="BD175">
        <f>IF(AND(VLOOKUP(BD$1,main!$A$3:$H$102,7,FALSE)=main!$G$104,VLOOKUP(BD$1,main!$A$3:$H$102,5,FALSE)-VLOOKUP($A175,main!$A$3:$H$102,6,FALSE)&gt;=main!$D$103+VLOOKUP(VLOOKUP(BD$1,main!$A$3:$I$102,7,FALSE),main!$K$26:$Q$29,4,FALSE)),1,0)</f>
        <v>0</v>
      </c>
      <c r="BE175">
        <f>IF(AND(VLOOKUP(BE$1,main!$A$3:$H$102,7,FALSE)=main!$G$104,VLOOKUP(BE$1,main!$A$3:$H$102,5,FALSE)-VLOOKUP($A175,main!$A$3:$H$102,6,FALSE)&gt;=main!$D$103+VLOOKUP(VLOOKUP(BE$1,main!$A$3:$I$102,7,FALSE),main!$K$26:$Q$29,4,FALSE)),1,0)</f>
        <v>0</v>
      </c>
      <c r="BF175">
        <f>IF(AND(VLOOKUP(BF$1,main!$A$3:$H$102,7,FALSE)=main!$G$104,VLOOKUP(BF$1,main!$A$3:$H$102,5,FALSE)-VLOOKUP($A175,main!$A$3:$H$102,6,FALSE)&gt;=main!$D$103+VLOOKUP(VLOOKUP(BF$1,main!$A$3:$I$102,7,FALSE),main!$K$26:$Q$29,4,FALSE)),1,0)</f>
        <v>0</v>
      </c>
      <c r="BG175">
        <f>IF(AND(VLOOKUP(BG$1,main!$A$3:$H$102,7,FALSE)=main!$G$104,VLOOKUP(BG$1,main!$A$3:$H$102,5,FALSE)-VLOOKUP($A175,main!$A$3:$H$102,6,FALSE)&gt;=main!$D$103+VLOOKUP(VLOOKUP(BG$1,main!$A$3:$I$102,7,FALSE),main!$K$26:$Q$29,4,FALSE)),1,0)</f>
        <v>0</v>
      </c>
      <c r="BH175">
        <f>IF(AND(VLOOKUP(BH$1,main!$A$3:$H$102,7,FALSE)=main!$G$104,VLOOKUP(BH$1,main!$A$3:$H$102,5,FALSE)-VLOOKUP($A175,main!$A$3:$H$102,6,FALSE)&gt;=main!$D$103+VLOOKUP(VLOOKUP(BH$1,main!$A$3:$I$102,7,FALSE),main!$K$26:$Q$29,4,FALSE)),1,0)</f>
        <v>0</v>
      </c>
      <c r="BI175">
        <f>IF(AND(VLOOKUP(BI$1,main!$A$3:$H$102,7,FALSE)=main!$G$104,VLOOKUP(BI$1,main!$A$3:$H$102,5,FALSE)-VLOOKUP($A175,main!$A$3:$H$102,6,FALSE)&gt;=main!$D$103+VLOOKUP(VLOOKUP(BI$1,main!$A$3:$I$102,7,FALSE),main!$K$26:$Q$29,4,FALSE)),1,0)</f>
        <v>0</v>
      </c>
      <c r="BJ175">
        <f>IF(AND(VLOOKUP(BJ$1,main!$A$3:$H$102,7,FALSE)=main!$G$104,VLOOKUP(BJ$1,main!$A$3:$H$102,5,FALSE)-VLOOKUP($A175,main!$A$3:$H$102,6,FALSE)&gt;=main!$D$103+VLOOKUP(VLOOKUP(BJ$1,main!$A$3:$I$102,7,FALSE),main!$K$26:$Q$29,4,FALSE)),1,0)</f>
        <v>0</v>
      </c>
      <c r="BK175">
        <f>IF(AND(VLOOKUP(BK$1,main!$A$3:$H$102,7,FALSE)=main!$G$104,VLOOKUP(BK$1,main!$A$3:$H$102,5,FALSE)-VLOOKUP($A175,main!$A$3:$H$102,6,FALSE)&gt;=main!$D$103+VLOOKUP(VLOOKUP(BK$1,main!$A$3:$I$102,7,FALSE),main!$K$26:$Q$29,4,FALSE)),1,0)</f>
        <v>0</v>
      </c>
      <c r="BL175">
        <f>IF(AND(VLOOKUP(BL$1,main!$A$3:$H$102,7,FALSE)=main!$G$104,VLOOKUP(BL$1,main!$A$3:$H$102,5,FALSE)-VLOOKUP($A175,main!$A$3:$H$102,6,FALSE)&gt;=main!$D$103+VLOOKUP(VLOOKUP(BL$1,main!$A$3:$I$102,7,FALSE),main!$K$26:$Q$29,4,FALSE)),1,0)</f>
        <v>0</v>
      </c>
      <c r="BM175">
        <f>IF(AND(VLOOKUP(BM$1,main!$A$3:$H$102,7,FALSE)=main!$G$104,VLOOKUP(BM$1,main!$A$3:$H$102,5,FALSE)-VLOOKUP($A175,main!$A$3:$H$102,6,FALSE)&gt;=main!$D$103+VLOOKUP(VLOOKUP(BM$1,main!$A$3:$I$102,7,FALSE),main!$K$26:$Q$29,4,FALSE)),1,0)</f>
        <v>0</v>
      </c>
      <c r="BN175">
        <f>IF(AND(VLOOKUP(BN$1,main!$A$3:$H$102,7,FALSE)=main!$G$104,VLOOKUP(BN$1,main!$A$3:$H$102,5,FALSE)-VLOOKUP($A175,main!$A$3:$H$102,6,FALSE)&gt;=main!$D$103+VLOOKUP(VLOOKUP(BN$1,main!$A$3:$I$102,7,FALSE),main!$K$26:$Q$29,4,FALSE)),1,0)</f>
        <v>0</v>
      </c>
      <c r="BO175">
        <f>IF(AND(VLOOKUP(BO$1,main!$A$3:$H$102,7,FALSE)=main!$G$104,VLOOKUP(BO$1,main!$A$3:$H$102,5,FALSE)-VLOOKUP($A175,main!$A$3:$H$102,6,FALSE)&gt;=main!$D$103+VLOOKUP(VLOOKUP(BO$1,main!$A$3:$I$102,7,FALSE),main!$K$26:$Q$29,4,FALSE)),1,0)</f>
        <v>0</v>
      </c>
      <c r="BP175">
        <f>IF(AND(VLOOKUP(BP$1,main!$A$3:$H$102,7,FALSE)=main!$G$104,VLOOKUP(BP$1,main!$A$3:$H$102,5,FALSE)-VLOOKUP($A175,main!$A$3:$H$102,6,FALSE)&gt;=main!$D$103+VLOOKUP(VLOOKUP(BP$1,main!$A$3:$I$102,7,FALSE),main!$K$26:$Q$29,4,FALSE)),1,0)</f>
        <v>0</v>
      </c>
      <c r="BQ175">
        <f>IF(AND(VLOOKUP(BQ$1,main!$A$3:$H$102,7,FALSE)=main!$G$104,VLOOKUP(BQ$1,main!$A$3:$H$102,5,FALSE)-VLOOKUP($A175,main!$A$3:$H$102,6,FALSE)&gt;=main!$D$103+VLOOKUP(VLOOKUP(BQ$1,main!$A$3:$I$102,7,FALSE),main!$K$26:$Q$29,4,FALSE)),1,0)</f>
        <v>0</v>
      </c>
      <c r="BR175">
        <f>IF(AND(VLOOKUP(BR$1,main!$A$3:$H$102,7,FALSE)=main!$G$104,VLOOKUP(BR$1,main!$A$3:$H$102,5,FALSE)-VLOOKUP($A175,main!$A$3:$H$102,6,FALSE)&gt;=main!$D$103+VLOOKUP(VLOOKUP(BR$1,main!$A$3:$I$102,7,FALSE),main!$K$26:$Q$29,4,FALSE)),1,0)</f>
        <v>0</v>
      </c>
      <c r="BS175">
        <f>IF(AND(VLOOKUP(BS$1,main!$A$3:$H$102,7,FALSE)=main!$G$104,VLOOKUP(BS$1,main!$A$3:$H$102,5,FALSE)-VLOOKUP($A175,main!$A$3:$H$102,6,FALSE)&gt;=main!$D$103+VLOOKUP(VLOOKUP(BS$1,main!$A$3:$I$102,7,FALSE),main!$K$26:$Q$29,4,FALSE)),1,0)</f>
        <v>0</v>
      </c>
      <c r="BT175">
        <f>IF(AND(VLOOKUP(BT$1,main!$A$3:$H$102,7,FALSE)=main!$G$104,VLOOKUP(BT$1,main!$A$3:$H$102,5,FALSE)-VLOOKUP($A175,main!$A$3:$H$102,6,FALSE)&gt;=main!$D$103+VLOOKUP(VLOOKUP(BT$1,main!$A$3:$I$102,7,FALSE),main!$K$26:$Q$29,4,FALSE)),1,0)</f>
        <v>0</v>
      </c>
      <c r="BU175">
        <f>IF(AND(VLOOKUP(BU$1,main!$A$3:$H$102,7,FALSE)=main!$G$104,VLOOKUP(BU$1,main!$A$3:$H$102,5,FALSE)-VLOOKUP($A175,main!$A$3:$H$102,6,FALSE)&gt;=main!$D$103+VLOOKUP(VLOOKUP(BU$1,main!$A$3:$I$102,7,FALSE),main!$K$26:$Q$29,4,FALSE)),1,0)</f>
        <v>0</v>
      </c>
      <c r="BV175">
        <f>IF(AND(VLOOKUP(BV$1,main!$A$3:$H$102,7,FALSE)=main!$G$104,VLOOKUP(BV$1,main!$A$3:$H$102,5,FALSE)-VLOOKUP($A175,main!$A$3:$H$102,6,FALSE)&gt;=main!$D$103+VLOOKUP(VLOOKUP(BV$1,main!$A$3:$I$102,7,FALSE),main!$K$26:$Q$29,4,FALSE)),1,0)</f>
        <v>0</v>
      </c>
      <c r="BW175">
        <f>IF(AND(VLOOKUP(BW$1,main!$A$3:$H$102,7,FALSE)=main!$G$104,VLOOKUP(BW$1,main!$A$3:$H$102,5,FALSE)-VLOOKUP($A175,main!$A$3:$H$102,6,FALSE)&gt;=main!$D$103+VLOOKUP(VLOOKUP(BW$1,main!$A$3:$I$102,7,FALSE),main!$K$26:$Q$29,4,FALSE)),1,0)</f>
        <v>0</v>
      </c>
      <c r="BX175">
        <f>IF(AND(VLOOKUP(BX$1,main!$A$3:$H$102,7,FALSE)=main!$G$104,VLOOKUP(BX$1,main!$A$3:$H$102,5,FALSE)-VLOOKUP($A175,main!$A$3:$H$102,6,FALSE)&gt;=main!$D$103+VLOOKUP(VLOOKUP(BX$1,main!$A$3:$I$102,7,FALSE),main!$K$26:$Q$29,4,FALSE)),1,0)</f>
        <v>0</v>
      </c>
      <c r="BY175">
        <f>IF(AND(VLOOKUP(BY$1,main!$A$3:$H$102,7,FALSE)=main!$G$104,VLOOKUP(BY$1,main!$A$3:$H$102,5,FALSE)-VLOOKUP($A175,main!$A$3:$H$102,6,FALSE)&gt;=main!$D$103+VLOOKUP(VLOOKUP(BY$1,main!$A$3:$I$102,7,FALSE),main!$K$26:$Q$29,4,FALSE)),1,0)</f>
        <v>0</v>
      </c>
      <c r="BZ175">
        <f>IF(AND(VLOOKUP(BZ$1,main!$A$3:$H$102,7,FALSE)=main!$G$104,VLOOKUP(BZ$1,main!$A$3:$H$102,5,FALSE)-VLOOKUP($A175,main!$A$3:$H$102,6,FALSE)&gt;=main!$D$103+VLOOKUP(VLOOKUP(BZ$1,main!$A$3:$I$102,7,FALSE),main!$K$26:$Q$29,4,FALSE)),1,0)</f>
        <v>0</v>
      </c>
      <c r="CA175">
        <f>IF(AND(VLOOKUP(CA$1,main!$A$3:$H$102,7,FALSE)=main!$G$104,VLOOKUP(CA$1,main!$A$3:$H$102,5,FALSE)-VLOOKUP($A175,main!$A$3:$H$102,6,FALSE)&gt;=main!$D$103+VLOOKUP(VLOOKUP(CA$1,main!$A$3:$I$102,7,FALSE),main!$K$26:$Q$29,4,FALSE)),1,0)</f>
        <v>0</v>
      </c>
      <c r="CB175">
        <f>IF(AND(VLOOKUP(CB$1,main!$A$3:$H$102,7,FALSE)=main!$G$104,VLOOKUP(CB$1,main!$A$3:$H$102,5,FALSE)-VLOOKUP($A175,main!$A$3:$H$102,6,FALSE)&gt;=main!$D$103+VLOOKUP(VLOOKUP(CB$1,main!$A$3:$I$102,7,FALSE),main!$K$26:$Q$29,4,FALSE)),1,0)</f>
        <v>0</v>
      </c>
      <c r="CC175">
        <f>IF(AND(VLOOKUP(CC$1,main!$A$3:$H$102,7,FALSE)=main!$G$104,VLOOKUP(CC$1,main!$A$3:$H$102,5,FALSE)-VLOOKUP($A175,main!$A$3:$H$102,6,FALSE)&gt;=main!$D$103+VLOOKUP(VLOOKUP(CC$1,main!$A$3:$I$102,7,FALSE),main!$K$26:$Q$29,4,FALSE)),1,0)</f>
        <v>0</v>
      </c>
      <c r="CD175">
        <f>IF(AND(VLOOKUP(CD$1,main!$A$3:$H$102,7,FALSE)=main!$G$104,VLOOKUP(CD$1,main!$A$3:$H$102,5,FALSE)-VLOOKUP($A175,main!$A$3:$H$102,6,FALSE)&gt;=main!$D$103+VLOOKUP(VLOOKUP(CD$1,main!$A$3:$I$102,7,FALSE),main!$K$26:$Q$29,4,FALSE)),1,0)</f>
        <v>0</v>
      </c>
      <c r="CE175">
        <f>IF(AND(VLOOKUP(CE$1,main!$A$3:$H$102,7,FALSE)=main!$G$104,VLOOKUP(CE$1,main!$A$3:$H$102,5,FALSE)-VLOOKUP($A175,main!$A$3:$H$102,6,FALSE)&gt;=main!$D$103+VLOOKUP(VLOOKUP(CE$1,main!$A$3:$I$102,7,FALSE),main!$K$26:$Q$29,4,FALSE)),1,0)</f>
        <v>0</v>
      </c>
      <c r="CF175">
        <f>IF(AND(VLOOKUP(CF$1,main!$A$3:$H$102,7,FALSE)=main!$G$104,VLOOKUP(CF$1,main!$A$3:$H$102,5,FALSE)-VLOOKUP($A175,main!$A$3:$H$102,6,FALSE)&gt;=main!$D$103+VLOOKUP(VLOOKUP(CF$1,main!$A$3:$I$102,7,FALSE),main!$K$26:$Q$29,4,FALSE)),1,0)</f>
        <v>0</v>
      </c>
      <c r="CG175">
        <f>IF(AND(VLOOKUP(CG$1,main!$A$3:$H$102,7,FALSE)=main!$G$104,VLOOKUP(CG$1,main!$A$3:$H$102,5,FALSE)-VLOOKUP($A175,main!$A$3:$H$102,6,FALSE)&gt;=main!$D$103+VLOOKUP(VLOOKUP(CG$1,main!$A$3:$I$102,7,FALSE),main!$K$26:$Q$29,4,FALSE)),1,0)</f>
        <v>0</v>
      </c>
      <c r="CH175">
        <f>IF(AND(VLOOKUP(CH$1,main!$A$3:$H$102,7,FALSE)=main!$G$104,VLOOKUP(CH$1,main!$A$3:$H$102,5,FALSE)-VLOOKUP($A175,main!$A$3:$H$102,6,FALSE)&gt;=main!$D$103+VLOOKUP(VLOOKUP(CH$1,main!$A$3:$I$102,7,FALSE),main!$K$26:$Q$29,4,FALSE)),1,0)</f>
        <v>0</v>
      </c>
      <c r="CI175">
        <f>IF(AND(VLOOKUP(CI$1,main!$A$3:$H$102,7,FALSE)=main!$G$104,VLOOKUP(CI$1,main!$A$3:$H$102,5,FALSE)-VLOOKUP($A175,main!$A$3:$H$102,6,FALSE)&gt;=main!$D$103+VLOOKUP(VLOOKUP(CI$1,main!$A$3:$I$102,7,FALSE),main!$K$26:$Q$29,4,FALSE)),1,0)</f>
        <v>0</v>
      </c>
      <c r="CJ175">
        <f>IF(AND(VLOOKUP(CJ$1,main!$A$3:$H$102,7,FALSE)=main!$G$104,VLOOKUP(CJ$1,main!$A$3:$H$102,5,FALSE)-VLOOKUP($A175,main!$A$3:$H$102,6,FALSE)&gt;=main!$D$103+VLOOKUP(VLOOKUP(CJ$1,main!$A$3:$I$102,7,FALSE),main!$K$26:$Q$29,4,FALSE)),1,0)</f>
        <v>0</v>
      </c>
      <c r="CK175">
        <f>IF(AND(VLOOKUP(CK$1,main!$A$3:$H$102,7,FALSE)=main!$G$104,VLOOKUP(CK$1,main!$A$3:$H$102,5,FALSE)-VLOOKUP($A175,main!$A$3:$H$102,6,FALSE)&gt;=main!$D$103+VLOOKUP(VLOOKUP(CK$1,main!$A$3:$I$102,7,FALSE),main!$K$26:$Q$29,4,FALSE)),1,0)</f>
        <v>0</v>
      </c>
      <c r="CL175">
        <f>IF(AND(VLOOKUP(CL$1,main!$A$3:$H$102,7,FALSE)=main!$G$104,VLOOKUP(CL$1,main!$A$3:$H$102,5,FALSE)-VLOOKUP($A175,main!$A$3:$H$102,6,FALSE)&gt;=main!$D$103+VLOOKUP(VLOOKUP(CL$1,main!$A$3:$I$102,7,FALSE),main!$K$26:$Q$29,4,FALSE)),1,0)</f>
        <v>0</v>
      </c>
      <c r="CM175">
        <f>IF(AND(VLOOKUP(CM$1,main!$A$3:$H$102,7,FALSE)=main!$G$104,VLOOKUP(CM$1,main!$A$3:$H$102,5,FALSE)-VLOOKUP($A175,main!$A$3:$H$102,6,FALSE)&gt;=main!$D$103+VLOOKUP(VLOOKUP(CM$1,main!$A$3:$I$102,7,FALSE),main!$K$26:$Q$29,4,FALSE)),1,0)</f>
        <v>0</v>
      </c>
      <c r="CN175">
        <f>IF(AND(VLOOKUP(CN$1,main!$A$3:$H$102,7,FALSE)=main!$G$104,VLOOKUP(CN$1,main!$A$3:$H$102,5,FALSE)-VLOOKUP($A175,main!$A$3:$H$102,6,FALSE)&gt;=main!$D$103+VLOOKUP(VLOOKUP(CN$1,main!$A$3:$I$102,7,FALSE),main!$K$26:$Q$29,4,FALSE)),1,0)</f>
        <v>0</v>
      </c>
      <c r="CO175">
        <f>IF(AND(VLOOKUP(CO$1,main!$A$3:$H$102,7,FALSE)=main!$G$104,VLOOKUP(CO$1,main!$A$3:$H$102,5,FALSE)-VLOOKUP($A175,main!$A$3:$H$102,6,FALSE)&gt;=main!$D$103+VLOOKUP(VLOOKUP(CO$1,main!$A$3:$I$102,7,FALSE),main!$K$26:$Q$29,4,FALSE)),1,0)</f>
        <v>0</v>
      </c>
      <c r="CP175">
        <f>IF(AND(VLOOKUP(CP$1,main!$A$3:$H$102,7,FALSE)=main!$G$104,VLOOKUP(CP$1,main!$A$3:$H$102,5,FALSE)-VLOOKUP($A175,main!$A$3:$H$102,6,FALSE)&gt;=main!$D$103+VLOOKUP(VLOOKUP(CP$1,main!$A$3:$I$102,7,FALSE),main!$K$26:$Q$29,4,FALSE)),1,0)</f>
        <v>0</v>
      </c>
      <c r="CQ175">
        <f>IF(AND(VLOOKUP(CQ$1,main!$A$3:$H$102,7,FALSE)=main!$G$104,VLOOKUP(CQ$1,main!$A$3:$H$102,5,FALSE)-VLOOKUP($A175,main!$A$3:$H$102,6,FALSE)&gt;=main!$D$103+VLOOKUP(VLOOKUP(CQ$1,main!$A$3:$I$102,7,FALSE),main!$K$26:$Q$29,4,FALSE)),1,0)</f>
        <v>0</v>
      </c>
      <c r="CR175">
        <f>IF(AND(VLOOKUP(CR$1,main!$A$3:$H$102,7,FALSE)=main!$G$104,VLOOKUP(CR$1,main!$A$3:$H$102,5,FALSE)-VLOOKUP($A175,main!$A$3:$H$102,6,FALSE)&gt;=main!$D$103+VLOOKUP(VLOOKUP(CR$1,main!$A$3:$I$102,7,FALSE),main!$K$26:$Q$29,4,FALSE)),1,0)</f>
        <v>0</v>
      </c>
      <c r="CS175">
        <f>IF(AND(VLOOKUP(CS$1,main!$A$3:$H$102,7,FALSE)=main!$G$104,VLOOKUP(CS$1,main!$A$3:$H$102,5,FALSE)-VLOOKUP($A175,main!$A$3:$H$102,6,FALSE)&gt;=main!$D$103+VLOOKUP(VLOOKUP(CS$1,main!$A$3:$I$102,7,FALSE),main!$K$26:$Q$29,4,FALSE)),1,0)</f>
        <v>0</v>
      </c>
      <c r="CT175">
        <f>IF(AND(VLOOKUP(CT$1,main!$A$3:$H$102,7,FALSE)=main!$G$104,VLOOKUP(CT$1,main!$A$3:$H$102,5,FALSE)-VLOOKUP($A175,main!$A$3:$H$102,6,FALSE)&gt;=main!$D$103+VLOOKUP(VLOOKUP(CT$1,main!$A$3:$I$102,7,FALSE),main!$K$26:$Q$29,4,FALSE)),1,0)</f>
        <v>0</v>
      </c>
      <c r="CU175">
        <f>IF(AND(VLOOKUP(CU$1,main!$A$3:$H$102,7,FALSE)=main!$G$104,VLOOKUP(CU$1,main!$A$3:$H$102,5,FALSE)-VLOOKUP($A175,main!$A$3:$H$102,6,FALSE)&gt;=main!$D$103+VLOOKUP(VLOOKUP(CU$1,main!$A$3:$I$102,7,FALSE),main!$K$26:$Q$29,4,FALSE)),1,0)</f>
        <v>0</v>
      </c>
      <c r="CV175">
        <f>IF(AND(VLOOKUP(CV$1,main!$A$3:$H$102,7,FALSE)=main!$G$104,VLOOKUP(CV$1,main!$A$3:$H$102,5,FALSE)-VLOOKUP($A175,main!$A$3:$H$102,6,FALSE)&gt;=main!$D$103+VLOOKUP(VLOOKUP(CV$1,main!$A$3:$I$102,7,FALSE),main!$K$26:$Q$29,4,FALSE)),1,0)</f>
        <v>0</v>
      </c>
      <c r="CW175">
        <f>IF(AND(VLOOKUP(CW$1,main!$A$3:$H$102,7,FALSE)=main!$G$104,VLOOKUP(CW$1,main!$A$3:$H$102,5,FALSE)-VLOOKUP($A175,main!$A$3:$H$102,6,FALSE)&gt;=main!$D$103+VLOOKUP(VLOOKUP(CW$1,main!$A$3:$I$102,7,FALSE),main!$K$26:$Q$29,4,FALSE)),1,0)</f>
        <v>0</v>
      </c>
      <c r="CX175">
        <f>IF(AND(VLOOKUP(CX$1,main!$A$3:$H$102,7,FALSE)=main!$G$104,VLOOKUP(CX$1,main!$A$3:$H$102,5,FALSE)-VLOOKUP($A175,main!$A$3:$H$102,6,FALSE)&gt;=main!$D$103+VLOOKUP(VLOOKUP(CX$1,main!$A$3:$I$102,7,FALSE),main!$K$26:$Q$29,4,FALSE)),1,0)</f>
        <v>0</v>
      </c>
    </row>
    <row r="176" spans="1:102" x14ac:dyDescent="0.25">
      <c r="A176" s="1">
        <v>73</v>
      </c>
      <c r="B176">
        <v>0</v>
      </c>
      <c r="C176">
        <f>IF(AND(VLOOKUP(C$1,main!$A$3:$H$102,7,FALSE)=main!$G$104,VLOOKUP(C$1,main!$A$3:$H$102,5,FALSE)-VLOOKUP($A176,main!$A$3:$H$102,6,FALSE)&gt;=main!$D$103+VLOOKUP(VLOOKUP(C$1,main!$A$3:$I$102,7,FALSE),main!$K$26:$Q$29,4,FALSE)),1,0)</f>
        <v>0</v>
      </c>
      <c r="D176">
        <f>IF(AND(VLOOKUP(D$1,main!$A$3:$H$102,7,FALSE)=main!$G$104,VLOOKUP(D$1,main!$A$3:$H$102,5,FALSE)-VLOOKUP($A176,main!$A$3:$H$102,6,FALSE)&gt;=main!$D$103+VLOOKUP(VLOOKUP(D$1,main!$A$3:$I$102,7,FALSE),main!$K$26:$Q$29,4,FALSE)),1,0)</f>
        <v>0</v>
      </c>
      <c r="E176">
        <f>IF(AND(VLOOKUP(E$1,main!$A$3:$H$102,7,FALSE)=main!$G$104,VLOOKUP(E$1,main!$A$3:$H$102,5,FALSE)-VLOOKUP($A176,main!$A$3:$H$102,6,FALSE)&gt;=main!$D$103+VLOOKUP(VLOOKUP(E$1,main!$A$3:$I$102,7,FALSE),main!$K$26:$Q$29,4,FALSE)),1,0)</f>
        <v>0</v>
      </c>
      <c r="F176">
        <f>IF(AND(VLOOKUP(F$1,main!$A$3:$H$102,7,FALSE)=main!$G$104,VLOOKUP(F$1,main!$A$3:$H$102,5,FALSE)-VLOOKUP($A176,main!$A$3:$H$102,6,FALSE)&gt;=main!$D$103+VLOOKUP(VLOOKUP(F$1,main!$A$3:$I$102,7,FALSE),main!$K$26:$Q$29,4,FALSE)),1,0)</f>
        <v>0</v>
      </c>
      <c r="G176">
        <f>IF(AND(VLOOKUP(G$1,main!$A$3:$H$102,7,FALSE)=main!$G$104,VLOOKUP(G$1,main!$A$3:$H$102,5,FALSE)-VLOOKUP($A176,main!$A$3:$H$102,6,FALSE)&gt;=main!$D$103+VLOOKUP(VLOOKUP(G$1,main!$A$3:$I$102,7,FALSE),main!$K$26:$Q$29,4,FALSE)),1,0)</f>
        <v>1</v>
      </c>
      <c r="H176">
        <f>IF(AND(VLOOKUP(H$1,main!$A$3:$H$102,7,FALSE)=main!$G$104,VLOOKUP(H$1,main!$A$3:$H$102,5,FALSE)-VLOOKUP($A176,main!$A$3:$H$102,6,FALSE)&gt;=main!$D$103+VLOOKUP(VLOOKUP(H$1,main!$A$3:$I$102,7,FALSE),main!$K$26:$Q$29,4,FALSE)),1,0)</f>
        <v>1</v>
      </c>
      <c r="I176">
        <f>IF(AND(VLOOKUP(I$1,main!$A$3:$H$102,7,FALSE)=main!$G$104,VLOOKUP(I$1,main!$A$3:$H$102,5,FALSE)-VLOOKUP($A176,main!$A$3:$H$102,6,FALSE)&gt;=main!$D$103+VLOOKUP(VLOOKUP(I$1,main!$A$3:$I$102,7,FALSE),main!$K$26:$Q$29,4,FALSE)),1,0)</f>
        <v>1</v>
      </c>
      <c r="J176">
        <f>IF(AND(VLOOKUP(J$1,main!$A$3:$H$102,7,FALSE)=main!$G$104,VLOOKUP(J$1,main!$A$3:$H$102,5,FALSE)-VLOOKUP($A176,main!$A$3:$H$102,6,FALSE)&gt;=main!$D$103+VLOOKUP(VLOOKUP(J$1,main!$A$3:$I$102,7,FALSE),main!$K$26:$Q$29,4,FALSE)),1,0)</f>
        <v>1</v>
      </c>
      <c r="K176">
        <f>IF(AND(VLOOKUP(K$1,main!$A$3:$H$102,7,FALSE)=main!$G$104,VLOOKUP(K$1,main!$A$3:$H$102,5,FALSE)-VLOOKUP($A176,main!$A$3:$H$102,6,FALSE)&gt;=main!$D$103+VLOOKUP(VLOOKUP(K$1,main!$A$3:$I$102,7,FALSE),main!$K$26:$Q$29,4,FALSE)),1,0)</f>
        <v>1</v>
      </c>
      <c r="L176">
        <f>IF(AND(VLOOKUP(L$1,main!$A$3:$H$102,7,FALSE)=main!$G$104,VLOOKUP(L$1,main!$A$3:$H$102,5,FALSE)-VLOOKUP($A176,main!$A$3:$H$102,6,FALSE)&gt;=main!$D$103+VLOOKUP(VLOOKUP(L$1,main!$A$3:$I$102,7,FALSE),main!$K$26:$Q$29,4,FALSE)),1,0)</f>
        <v>1</v>
      </c>
      <c r="M176">
        <f>IF(AND(VLOOKUP(M$1,main!$A$3:$H$102,7,FALSE)=main!$G$104,VLOOKUP(M$1,main!$A$3:$H$102,5,FALSE)-VLOOKUP($A176,main!$A$3:$H$102,6,FALSE)&gt;=main!$D$103+VLOOKUP(VLOOKUP(M$1,main!$A$3:$I$102,7,FALSE),main!$K$26:$Q$29,4,FALSE)),1,0)</f>
        <v>0</v>
      </c>
      <c r="N176">
        <f>IF(AND(VLOOKUP(N$1,main!$A$3:$H$102,7,FALSE)=main!$G$104,VLOOKUP(N$1,main!$A$3:$H$102,5,FALSE)-VLOOKUP($A176,main!$A$3:$H$102,6,FALSE)&gt;=main!$D$103+VLOOKUP(VLOOKUP(N$1,main!$A$3:$I$102,7,FALSE),main!$K$26:$Q$29,4,FALSE)),1,0)</f>
        <v>0</v>
      </c>
      <c r="O176">
        <f>IF(AND(VLOOKUP(O$1,main!$A$3:$H$102,7,FALSE)=main!$G$104,VLOOKUP(O$1,main!$A$3:$H$102,5,FALSE)-VLOOKUP($A176,main!$A$3:$H$102,6,FALSE)&gt;=main!$D$103+VLOOKUP(VLOOKUP(O$1,main!$A$3:$I$102,7,FALSE),main!$K$26:$Q$29,4,FALSE)),1,0)</f>
        <v>0</v>
      </c>
      <c r="P176">
        <f>IF(AND(VLOOKUP(P$1,main!$A$3:$H$102,7,FALSE)=main!$G$104,VLOOKUP(P$1,main!$A$3:$H$102,5,FALSE)-VLOOKUP($A176,main!$A$3:$H$102,6,FALSE)&gt;=main!$D$103+VLOOKUP(VLOOKUP(P$1,main!$A$3:$I$102,7,FALSE),main!$K$26:$Q$29,4,FALSE)),1,0)</f>
        <v>0</v>
      </c>
      <c r="Q176">
        <f>IF(AND(VLOOKUP(Q$1,main!$A$3:$H$102,7,FALSE)=main!$G$104,VLOOKUP(Q$1,main!$A$3:$H$102,5,FALSE)-VLOOKUP($A176,main!$A$3:$H$102,6,FALSE)&gt;=main!$D$103+VLOOKUP(VLOOKUP(Q$1,main!$A$3:$I$102,7,FALSE),main!$K$26:$Q$29,4,FALSE)),1,0)</f>
        <v>0</v>
      </c>
      <c r="R176">
        <f>IF(AND(VLOOKUP(R$1,main!$A$3:$H$102,7,FALSE)=main!$G$104,VLOOKUP(R$1,main!$A$3:$H$102,5,FALSE)-VLOOKUP($A176,main!$A$3:$H$102,6,FALSE)&gt;=main!$D$103+VLOOKUP(VLOOKUP(R$1,main!$A$3:$I$102,7,FALSE),main!$K$26:$Q$29,4,FALSE)),1,0)</f>
        <v>1</v>
      </c>
      <c r="S176">
        <f>IF(AND(VLOOKUP(S$1,main!$A$3:$H$102,7,FALSE)=main!$G$104,VLOOKUP(S$1,main!$A$3:$H$102,5,FALSE)-VLOOKUP($A176,main!$A$3:$H$102,6,FALSE)&gt;=main!$D$103+VLOOKUP(VLOOKUP(S$1,main!$A$3:$I$102,7,FALSE),main!$K$26:$Q$29,4,FALSE)),1,0)</f>
        <v>1</v>
      </c>
      <c r="T176">
        <f>IF(AND(VLOOKUP(T$1,main!$A$3:$H$102,7,FALSE)=main!$G$104,VLOOKUP(T$1,main!$A$3:$H$102,5,FALSE)-VLOOKUP($A176,main!$A$3:$H$102,6,FALSE)&gt;=main!$D$103+VLOOKUP(VLOOKUP(T$1,main!$A$3:$I$102,7,FALSE),main!$K$26:$Q$29,4,FALSE)),1,0)</f>
        <v>1</v>
      </c>
      <c r="U176">
        <f>IF(AND(VLOOKUP(U$1,main!$A$3:$H$102,7,FALSE)=main!$G$104,VLOOKUP(U$1,main!$A$3:$H$102,5,FALSE)-VLOOKUP($A176,main!$A$3:$H$102,6,FALSE)&gt;=main!$D$103+VLOOKUP(VLOOKUP(U$1,main!$A$3:$I$102,7,FALSE),main!$K$26:$Q$29,4,FALSE)),1,0)</f>
        <v>1</v>
      </c>
      <c r="V176">
        <f>IF(AND(VLOOKUP(V$1,main!$A$3:$H$102,7,FALSE)=main!$G$104,VLOOKUP(V$1,main!$A$3:$H$102,5,FALSE)-VLOOKUP($A176,main!$A$3:$H$102,6,FALSE)&gt;=main!$D$103+VLOOKUP(VLOOKUP(V$1,main!$A$3:$I$102,7,FALSE),main!$K$26:$Q$29,4,FALSE)),1,0)</f>
        <v>1</v>
      </c>
      <c r="W176">
        <f>IF(AND(VLOOKUP(W$1,main!$A$3:$H$102,7,FALSE)=main!$G$104,VLOOKUP(W$1,main!$A$3:$H$102,5,FALSE)-VLOOKUP($A176,main!$A$3:$H$102,6,FALSE)&gt;=main!$D$103+VLOOKUP(VLOOKUP(W$1,main!$A$3:$I$102,7,FALSE),main!$K$26:$Q$29,4,FALSE)),1,0)</f>
        <v>0</v>
      </c>
      <c r="X176">
        <f>IF(AND(VLOOKUP(X$1,main!$A$3:$H$102,7,FALSE)=main!$G$104,VLOOKUP(X$1,main!$A$3:$H$102,5,FALSE)-VLOOKUP($A176,main!$A$3:$H$102,6,FALSE)&gt;=main!$D$103+VLOOKUP(VLOOKUP(X$1,main!$A$3:$I$102,7,FALSE),main!$K$26:$Q$29,4,FALSE)),1,0)</f>
        <v>0</v>
      </c>
      <c r="Y176">
        <f>IF(AND(VLOOKUP(Y$1,main!$A$3:$H$102,7,FALSE)=main!$G$104,VLOOKUP(Y$1,main!$A$3:$H$102,5,FALSE)-VLOOKUP($A176,main!$A$3:$H$102,6,FALSE)&gt;=main!$D$103+VLOOKUP(VLOOKUP(Y$1,main!$A$3:$I$102,7,FALSE),main!$K$26:$Q$29,4,FALSE)),1,0)</f>
        <v>0</v>
      </c>
      <c r="Z176">
        <f>IF(AND(VLOOKUP(Z$1,main!$A$3:$H$102,7,FALSE)=main!$G$104,VLOOKUP(Z$1,main!$A$3:$H$102,5,FALSE)-VLOOKUP($A176,main!$A$3:$H$102,6,FALSE)&gt;=main!$D$103+VLOOKUP(VLOOKUP(Z$1,main!$A$3:$I$102,7,FALSE),main!$K$26:$Q$29,4,FALSE)),1,0)</f>
        <v>1</v>
      </c>
      <c r="AA176">
        <f>IF(AND(VLOOKUP(AA$1,main!$A$3:$H$102,7,FALSE)=main!$G$104,VLOOKUP(AA$1,main!$A$3:$H$102,5,FALSE)-VLOOKUP($A176,main!$A$3:$H$102,6,FALSE)&gt;=main!$D$103+VLOOKUP(VLOOKUP(AA$1,main!$A$3:$I$102,7,FALSE),main!$K$26:$Q$29,4,FALSE)),1,0)</f>
        <v>1</v>
      </c>
      <c r="AB176">
        <f>IF(AND(VLOOKUP(AB$1,main!$A$3:$H$102,7,FALSE)=main!$G$104,VLOOKUP(AB$1,main!$A$3:$H$102,5,FALSE)-VLOOKUP($A176,main!$A$3:$H$102,6,FALSE)&gt;=main!$D$103+VLOOKUP(VLOOKUP(AB$1,main!$A$3:$I$102,7,FALSE),main!$K$26:$Q$29,4,FALSE)),1,0)</f>
        <v>0</v>
      </c>
      <c r="AC176">
        <f>IF(AND(VLOOKUP(AC$1,main!$A$3:$H$102,7,FALSE)=main!$G$104,VLOOKUP(AC$1,main!$A$3:$H$102,5,FALSE)-VLOOKUP($A176,main!$A$3:$H$102,6,FALSE)&gt;=main!$D$103+VLOOKUP(VLOOKUP(AC$1,main!$A$3:$I$102,7,FALSE),main!$K$26:$Q$29,4,FALSE)),1,0)</f>
        <v>0</v>
      </c>
      <c r="AD176">
        <f>IF(AND(VLOOKUP(AD$1,main!$A$3:$H$102,7,FALSE)=main!$G$104,VLOOKUP(AD$1,main!$A$3:$H$102,5,FALSE)-VLOOKUP($A176,main!$A$3:$H$102,6,FALSE)&gt;=main!$D$103+VLOOKUP(VLOOKUP(AD$1,main!$A$3:$I$102,7,FALSE),main!$K$26:$Q$29,4,FALSE)),1,0)</f>
        <v>0</v>
      </c>
      <c r="AE176">
        <f>IF(AND(VLOOKUP(AE$1,main!$A$3:$H$102,7,FALSE)=main!$G$104,VLOOKUP(AE$1,main!$A$3:$H$102,5,FALSE)-VLOOKUP($A176,main!$A$3:$H$102,6,FALSE)&gt;=main!$D$103+VLOOKUP(VLOOKUP(AE$1,main!$A$3:$I$102,7,FALSE),main!$K$26:$Q$29,4,FALSE)),1,0)</f>
        <v>1</v>
      </c>
      <c r="AF176">
        <f>IF(AND(VLOOKUP(AF$1,main!$A$3:$H$102,7,FALSE)=main!$G$104,VLOOKUP(AF$1,main!$A$3:$H$102,5,FALSE)-VLOOKUP($A176,main!$A$3:$H$102,6,FALSE)&gt;=main!$D$103+VLOOKUP(VLOOKUP(AF$1,main!$A$3:$I$102,7,FALSE),main!$K$26:$Q$29,4,FALSE)),1,0)</f>
        <v>1</v>
      </c>
      <c r="AG176">
        <f>IF(AND(VLOOKUP(AG$1,main!$A$3:$H$102,7,FALSE)=main!$G$104,VLOOKUP(AG$1,main!$A$3:$H$102,5,FALSE)-VLOOKUP($A176,main!$A$3:$H$102,6,FALSE)&gt;=main!$D$103+VLOOKUP(VLOOKUP(AG$1,main!$A$3:$I$102,7,FALSE),main!$K$26:$Q$29,4,FALSE)),1,0)</f>
        <v>0</v>
      </c>
      <c r="AH176">
        <f>IF(AND(VLOOKUP(AH$1,main!$A$3:$H$102,7,FALSE)=main!$G$104,VLOOKUP(AH$1,main!$A$3:$H$102,5,FALSE)-VLOOKUP($A176,main!$A$3:$H$102,6,FALSE)&gt;=main!$D$103+VLOOKUP(VLOOKUP(AH$1,main!$A$3:$I$102,7,FALSE),main!$K$26:$Q$29,4,FALSE)),1,0)</f>
        <v>0</v>
      </c>
      <c r="AI176">
        <f>IF(AND(VLOOKUP(AI$1,main!$A$3:$H$102,7,FALSE)=main!$G$104,VLOOKUP(AI$1,main!$A$3:$H$102,5,FALSE)-VLOOKUP($A176,main!$A$3:$H$102,6,FALSE)&gt;=main!$D$103+VLOOKUP(VLOOKUP(AI$1,main!$A$3:$I$102,7,FALSE),main!$K$26:$Q$29,4,FALSE)),1,0)</f>
        <v>0</v>
      </c>
      <c r="AJ176">
        <f>IF(AND(VLOOKUP(AJ$1,main!$A$3:$H$102,7,FALSE)=main!$G$104,VLOOKUP(AJ$1,main!$A$3:$H$102,5,FALSE)-VLOOKUP($A176,main!$A$3:$H$102,6,FALSE)&gt;=main!$D$103+VLOOKUP(VLOOKUP(AJ$1,main!$A$3:$I$102,7,FALSE),main!$K$26:$Q$29,4,FALSE)),1,0)</f>
        <v>0</v>
      </c>
      <c r="AK176">
        <f>IF(AND(VLOOKUP(AK$1,main!$A$3:$H$102,7,FALSE)=main!$G$104,VLOOKUP(AK$1,main!$A$3:$H$102,5,FALSE)-VLOOKUP($A176,main!$A$3:$H$102,6,FALSE)&gt;=main!$D$103+VLOOKUP(VLOOKUP(AK$1,main!$A$3:$I$102,7,FALSE),main!$K$26:$Q$29,4,FALSE)),1,0)</f>
        <v>0</v>
      </c>
      <c r="AL176">
        <f>IF(AND(VLOOKUP(AL$1,main!$A$3:$H$102,7,FALSE)=main!$G$104,VLOOKUP(AL$1,main!$A$3:$H$102,5,FALSE)-VLOOKUP($A176,main!$A$3:$H$102,6,FALSE)&gt;=main!$D$103+VLOOKUP(VLOOKUP(AL$1,main!$A$3:$I$102,7,FALSE),main!$K$26:$Q$29,4,FALSE)),1,0)</f>
        <v>0</v>
      </c>
      <c r="AM176">
        <f>IF(AND(VLOOKUP(AM$1,main!$A$3:$H$102,7,FALSE)=main!$G$104,VLOOKUP(AM$1,main!$A$3:$H$102,5,FALSE)-VLOOKUP($A176,main!$A$3:$H$102,6,FALSE)&gt;=main!$D$103+VLOOKUP(VLOOKUP(AM$1,main!$A$3:$I$102,7,FALSE),main!$K$26:$Q$29,4,FALSE)),1,0)</f>
        <v>0</v>
      </c>
      <c r="AN176">
        <f>IF(AND(VLOOKUP(AN$1,main!$A$3:$H$102,7,FALSE)=main!$G$104,VLOOKUP(AN$1,main!$A$3:$H$102,5,FALSE)-VLOOKUP($A176,main!$A$3:$H$102,6,FALSE)&gt;=main!$D$103+VLOOKUP(VLOOKUP(AN$1,main!$A$3:$I$102,7,FALSE),main!$K$26:$Q$29,4,FALSE)),1,0)</f>
        <v>0</v>
      </c>
      <c r="AO176">
        <f>IF(AND(VLOOKUP(AO$1,main!$A$3:$H$102,7,FALSE)=main!$G$104,VLOOKUP(AO$1,main!$A$3:$H$102,5,FALSE)-VLOOKUP($A176,main!$A$3:$H$102,6,FALSE)&gt;=main!$D$103+VLOOKUP(VLOOKUP(AO$1,main!$A$3:$I$102,7,FALSE),main!$K$26:$Q$29,4,FALSE)),1,0)</f>
        <v>0</v>
      </c>
      <c r="AP176">
        <f>IF(AND(VLOOKUP(AP$1,main!$A$3:$H$102,7,FALSE)=main!$G$104,VLOOKUP(AP$1,main!$A$3:$H$102,5,FALSE)-VLOOKUP($A176,main!$A$3:$H$102,6,FALSE)&gt;=main!$D$103+VLOOKUP(VLOOKUP(AP$1,main!$A$3:$I$102,7,FALSE),main!$K$26:$Q$29,4,FALSE)),1,0)</f>
        <v>0</v>
      </c>
      <c r="AQ176">
        <f>IF(AND(VLOOKUP(AQ$1,main!$A$3:$H$102,7,FALSE)=main!$G$104,VLOOKUP(AQ$1,main!$A$3:$H$102,5,FALSE)-VLOOKUP($A176,main!$A$3:$H$102,6,FALSE)&gt;=main!$D$103+VLOOKUP(VLOOKUP(AQ$1,main!$A$3:$I$102,7,FALSE),main!$K$26:$Q$29,4,FALSE)),1,0)</f>
        <v>0</v>
      </c>
      <c r="AR176">
        <f>IF(AND(VLOOKUP(AR$1,main!$A$3:$H$102,7,FALSE)=main!$G$104,VLOOKUP(AR$1,main!$A$3:$H$102,5,FALSE)-VLOOKUP($A176,main!$A$3:$H$102,6,FALSE)&gt;=main!$D$103+VLOOKUP(VLOOKUP(AR$1,main!$A$3:$I$102,7,FALSE),main!$K$26:$Q$29,4,FALSE)),1,0)</f>
        <v>0</v>
      </c>
      <c r="AS176">
        <f>IF(AND(VLOOKUP(AS$1,main!$A$3:$H$102,7,FALSE)=main!$G$104,VLOOKUP(AS$1,main!$A$3:$H$102,5,FALSE)-VLOOKUP($A176,main!$A$3:$H$102,6,FALSE)&gt;=main!$D$103+VLOOKUP(VLOOKUP(AS$1,main!$A$3:$I$102,7,FALSE),main!$K$26:$Q$29,4,FALSE)),1,0)</f>
        <v>0</v>
      </c>
      <c r="AT176">
        <f>IF(AND(VLOOKUP(AT$1,main!$A$3:$H$102,7,FALSE)=main!$G$104,VLOOKUP(AT$1,main!$A$3:$H$102,5,FALSE)-VLOOKUP($A176,main!$A$3:$H$102,6,FALSE)&gt;=main!$D$103+VLOOKUP(VLOOKUP(AT$1,main!$A$3:$I$102,7,FALSE),main!$K$26:$Q$29,4,FALSE)),1,0)</f>
        <v>0</v>
      </c>
      <c r="AU176">
        <f>IF(AND(VLOOKUP(AU$1,main!$A$3:$H$102,7,FALSE)=main!$G$104,VLOOKUP(AU$1,main!$A$3:$H$102,5,FALSE)-VLOOKUP($A176,main!$A$3:$H$102,6,FALSE)&gt;=main!$D$103+VLOOKUP(VLOOKUP(AU$1,main!$A$3:$I$102,7,FALSE),main!$K$26:$Q$29,4,FALSE)),1,0)</f>
        <v>0</v>
      </c>
      <c r="AV176">
        <f>IF(AND(VLOOKUP(AV$1,main!$A$3:$H$102,7,FALSE)=main!$G$104,VLOOKUP(AV$1,main!$A$3:$H$102,5,FALSE)-VLOOKUP($A176,main!$A$3:$H$102,6,FALSE)&gt;=main!$D$103+VLOOKUP(VLOOKUP(AV$1,main!$A$3:$I$102,7,FALSE),main!$K$26:$Q$29,4,FALSE)),1,0)</f>
        <v>0</v>
      </c>
      <c r="AW176">
        <f>IF(AND(VLOOKUP(AW$1,main!$A$3:$H$102,7,FALSE)=main!$G$104,VLOOKUP(AW$1,main!$A$3:$H$102,5,FALSE)-VLOOKUP($A176,main!$A$3:$H$102,6,FALSE)&gt;=main!$D$103+VLOOKUP(VLOOKUP(AW$1,main!$A$3:$I$102,7,FALSE),main!$K$26:$Q$29,4,FALSE)),1,0)</f>
        <v>0</v>
      </c>
      <c r="AX176">
        <f>IF(AND(VLOOKUP(AX$1,main!$A$3:$H$102,7,FALSE)=main!$G$104,VLOOKUP(AX$1,main!$A$3:$H$102,5,FALSE)-VLOOKUP($A176,main!$A$3:$H$102,6,FALSE)&gt;=main!$D$103+VLOOKUP(VLOOKUP(AX$1,main!$A$3:$I$102,7,FALSE),main!$K$26:$Q$29,4,FALSE)),1,0)</f>
        <v>0</v>
      </c>
      <c r="AY176">
        <f>IF(AND(VLOOKUP(AY$1,main!$A$3:$H$102,7,FALSE)=main!$G$104,VLOOKUP(AY$1,main!$A$3:$H$102,5,FALSE)-VLOOKUP($A176,main!$A$3:$H$102,6,FALSE)&gt;=main!$D$103+VLOOKUP(VLOOKUP(AY$1,main!$A$3:$I$102,7,FALSE),main!$K$26:$Q$29,4,FALSE)),1,0)</f>
        <v>0</v>
      </c>
      <c r="AZ176">
        <f>IF(AND(VLOOKUP(AZ$1,main!$A$3:$H$102,7,FALSE)=main!$G$104,VLOOKUP(AZ$1,main!$A$3:$H$102,5,FALSE)-VLOOKUP($A176,main!$A$3:$H$102,6,FALSE)&gt;=main!$D$103+VLOOKUP(VLOOKUP(AZ$1,main!$A$3:$I$102,7,FALSE),main!$K$26:$Q$29,4,FALSE)),1,0)</f>
        <v>0</v>
      </c>
      <c r="BA176">
        <f>IF(AND(VLOOKUP(BA$1,main!$A$3:$H$102,7,FALSE)=main!$G$104,VLOOKUP(BA$1,main!$A$3:$H$102,5,FALSE)-VLOOKUP($A176,main!$A$3:$H$102,6,FALSE)&gt;=main!$D$103+VLOOKUP(VLOOKUP(BA$1,main!$A$3:$I$102,7,FALSE),main!$K$26:$Q$29,4,FALSE)),1,0)</f>
        <v>0</v>
      </c>
      <c r="BB176">
        <f>IF(AND(VLOOKUP(BB$1,main!$A$3:$H$102,7,FALSE)=main!$G$104,VLOOKUP(BB$1,main!$A$3:$H$102,5,FALSE)-VLOOKUP($A176,main!$A$3:$H$102,6,FALSE)&gt;=main!$D$103+VLOOKUP(VLOOKUP(BB$1,main!$A$3:$I$102,7,FALSE),main!$K$26:$Q$29,4,FALSE)),1,0)</f>
        <v>0</v>
      </c>
      <c r="BC176">
        <f>IF(AND(VLOOKUP(BC$1,main!$A$3:$H$102,7,FALSE)=main!$G$104,VLOOKUP(BC$1,main!$A$3:$H$102,5,FALSE)-VLOOKUP($A176,main!$A$3:$H$102,6,FALSE)&gt;=main!$D$103+VLOOKUP(VLOOKUP(BC$1,main!$A$3:$I$102,7,FALSE),main!$K$26:$Q$29,4,FALSE)),1,0)</f>
        <v>0</v>
      </c>
      <c r="BD176">
        <f>IF(AND(VLOOKUP(BD$1,main!$A$3:$H$102,7,FALSE)=main!$G$104,VLOOKUP(BD$1,main!$A$3:$H$102,5,FALSE)-VLOOKUP($A176,main!$A$3:$H$102,6,FALSE)&gt;=main!$D$103+VLOOKUP(VLOOKUP(BD$1,main!$A$3:$I$102,7,FALSE),main!$K$26:$Q$29,4,FALSE)),1,0)</f>
        <v>0</v>
      </c>
      <c r="BE176">
        <f>IF(AND(VLOOKUP(BE$1,main!$A$3:$H$102,7,FALSE)=main!$G$104,VLOOKUP(BE$1,main!$A$3:$H$102,5,FALSE)-VLOOKUP($A176,main!$A$3:$H$102,6,FALSE)&gt;=main!$D$103+VLOOKUP(VLOOKUP(BE$1,main!$A$3:$I$102,7,FALSE),main!$K$26:$Q$29,4,FALSE)),1,0)</f>
        <v>0</v>
      </c>
      <c r="BF176">
        <f>IF(AND(VLOOKUP(BF$1,main!$A$3:$H$102,7,FALSE)=main!$G$104,VLOOKUP(BF$1,main!$A$3:$H$102,5,FALSE)-VLOOKUP($A176,main!$A$3:$H$102,6,FALSE)&gt;=main!$D$103+VLOOKUP(VLOOKUP(BF$1,main!$A$3:$I$102,7,FALSE),main!$K$26:$Q$29,4,FALSE)),1,0)</f>
        <v>0</v>
      </c>
      <c r="BG176">
        <f>IF(AND(VLOOKUP(BG$1,main!$A$3:$H$102,7,FALSE)=main!$G$104,VLOOKUP(BG$1,main!$A$3:$H$102,5,FALSE)-VLOOKUP($A176,main!$A$3:$H$102,6,FALSE)&gt;=main!$D$103+VLOOKUP(VLOOKUP(BG$1,main!$A$3:$I$102,7,FALSE),main!$K$26:$Q$29,4,FALSE)),1,0)</f>
        <v>0</v>
      </c>
      <c r="BH176">
        <f>IF(AND(VLOOKUP(BH$1,main!$A$3:$H$102,7,FALSE)=main!$G$104,VLOOKUP(BH$1,main!$A$3:$H$102,5,FALSE)-VLOOKUP($A176,main!$A$3:$H$102,6,FALSE)&gt;=main!$D$103+VLOOKUP(VLOOKUP(BH$1,main!$A$3:$I$102,7,FALSE),main!$K$26:$Q$29,4,FALSE)),1,0)</f>
        <v>0</v>
      </c>
      <c r="BI176">
        <f>IF(AND(VLOOKUP(BI$1,main!$A$3:$H$102,7,FALSE)=main!$G$104,VLOOKUP(BI$1,main!$A$3:$H$102,5,FALSE)-VLOOKUP($A176,main!$A$3:$H$102,6,FALSE)&gt;=main!$D$103+VLOOKUP(VLOOKUP(BI$1,main!$A$3:$I$102,7,FALSE),main!$K$26:$Q$29,4,FALSE)),1,0)</f>
        <v>0</v>
      </c>
      <c r="BJ176">
        <f>IF(AND(VLOOKUP(BJ$1,main!$A$3:$H$102,7,FALSE)=main!$G$104,VLOOKUP(BJ$1,main!$A$3:$H$102,5,FALSE)-VLOOKUP($A176,main!$A$3:$H$102,6,FALSE)&gt;=main!$D$103+VLOOKUP(VLOOKUP(BJ$1,main!$A$3:$I$102,7,FALSE),main!$K$26:$Q$29,4,FALSE)),1,0)</f>
        <v>0</v>
      </c>
      <c r="BK176">
        <f>IF(AND(VLOOKUP(BK$1,main!$A$3:$H$102,7,FALSE)=main!$G$104,VLOOKUP(BK$1,main!$A$3:$H$102,5,FALSE)-VLOOKUP($A176,main!$A$3:$H$102,6,FALSE)&gt;=main!$D$103+VLOOKUP(VLOOKUP(BK$1,main!$A$3:$I$102,7,FALSE),main!$K$26:$Q$29,4,FALSE)),1,0)</f>
        <v>0</v>
      </c>
      <c r="BL176">
        <f>IF(AND(VLOOKUP(BL$1,main!$A$3:$H$102,7,FALSE)=main!$G$104,VLOOKUP(BL$1,main!$A$3:$H$102,5,FALSE)-VLOOKUP($A176,main!$A$3:$H$102,6,FALSE)&gt;=main!$D$103+VLOOKUP(VLOOKUP(BL$1,main!$A$3:$I$102,7,FALSE),main!$K$26:$Q$29,4,FALSE)),1,0)</f>
        <v>0</v>
      </c>
      <c r="BM176">
        <f>IF(AND(VLOOKUP(BM$1,main!$A$3:$H$102,7,FALSE)=main!$G$104,VLOOKUP(BM$1,main!$A$3:$H$102,5,FALSE)-VLOOKUP($A176,main!$A$3:$H$102,6,FALSE)&gt;=main!$D$103+VLOOKUP(VLOOKUP(BM$1,main!$A$3:$I$102,7,FALSE),main!$K$26:$Q$29,4,FALSE)),1,0)</f>
        <v>0</v>
      </c>
      <c r="BN176">
        <f>IF(AND(VLOOKUP(BN$1,main!$A$3:$H$102,7,FALSE)=main!$G$104,VLOOKUP(BN$1,main!$A$3:$H$102,5,FALSE)-VLOOKUP($A176,main!$A$3:$H$102,6,FALSE)&gt;=main!$D$103+VLOOKUP(VLOOKUP(BN$1,main!$A$3:$I$102,7,FALSE),main!$K$26:$Q$29,4,FALSE)),1,0)</f>
        <v>0</v>
      </c>
      <c r="BO176">
        <f>IF(AND(VLOOKUP(BO$1,main!$A$3:$H$102,7,FALSE)=main!$G$104,VLOOKUP(BO$1,main!$A$3:$H$102,5,FALSE)-VLOOKUP($A176,main!$A$3:$H$102,6,FALSE)&gt;=main!$D$103+VLOOKUP(VLOOKUP(BO$1,main!$A$3:$I$102,7,FALSE),main!$K$26:$Q$29,4,FALSE)),1,0)</f>
        <v>0</v>
      </c>
      <c r="BP176">
        <f>IF(AND(VLOOKUP(BP$1,main!$A$3:$H$102,7,FALSE)=main!$G$104,VLOOKUP(BP$1,main!$A$3:$H$102,5,FALSE)-VLOOKUP($A176,main!$A$3:$H$102,6,FALSE)&gt;=main!$D$103+VLOOKUP(VLOOKUP(BP$1,main!$A$3:$I$102,7,FALSE),main!$K$26:$Q$29,4,FALSE)),1,0)</f>
        <v>0</v>
      </c>
      <c r="BQ176">
        <f>IF(AND(VLOOKUP(BQ$1,main!$A$3:$H$102,7,FALSE)=main!$G$104,VLOOKUP(BQ$1,main!$A$3:$H$102,5,FALSE)-VLOOKUP($A176,main!$A$3:$H$102,6,FALSE)&gt;=main!$D$103+VLOOKUP(VLOOKUP(BQ$1,main!$A$3:$I$102,7,FALSE),main!$K$26:$Q$29,4,FALSE)),1,0)</f>
        <v>0</v>
      </c>
      <c r="BR176">
        <f>IF(AND(VLOOKUP(BR$1,main!$A$3:$H$102,7,FALSE)=main!$G$104,VLOOKUP(BR$1,main!$A$3:$H$102,5,FALSE)-VLOOKUP($A176,main!$A$3:$H$102,6,FALSE)&gt;=main!$D$103+VLOOKUP(VLOOKUP(BR$1,main!$A$3:$I$102,7,FALSE),main!$K$26:$Q$29,4,FALSE)),1,0)</f>
        <v>0</v>
      </c>
      <c r="BS176">
        <f>IF(AND(VLOOKUP(BS$1,main!$A$3:$H$102,7,FALSE)=main!$G$104,VLOOKUP(BS$1,main!$A$3:$H$102,5,FALSE)-VLOOKUP($A176,main!$A$3:$H$102,6,FALSE)&gt;=main!$D$103+VLOOKUP(VLOOKUP(BS$1,main!$A$3:$I$102,7,FALSE),main!$K$26:$Q$29,4,FALSE)),1,0)</f>
        <v>0</v>
      </c>
      <c r="BT176">
        <f>IF(AND(VLOOKUP(BT$1,main!$A$3:$H$102,7,FALSE)=main!$G$104,VLOOKUP(BT$1,main!$A$3:$H$102,5,FALSE)-VLOOKUP($A176,main!$A$3:$H$102,6,FALSE)&gt;=main!$D$103+VLOOKUP(VLOOKUP(BT$1,main!$A$3:$I$102,7,FALSE),main!$K$26:$Q$29,4,FALSE)),1,0)</f>
        <v>0</v>
      </c>
      <c r="BU176">
        <f>IF(AND(VLOOKUP(BU$1,main!$A$3:$H$102,7,FALSE)=main!$G$104,VLOOKUP(BU$1,main!$A$3:$H$102,5,FALSE)-VLOOKUP($A176,main!$A$3:$H$102,6,FALSE)&gt;=main!$D$103+VLOOKUP(VLOOKUP(BU$1,main!$A$3:$I$102,7,FALSE),main!$K$26:$Q$29,4,FALSE)),1,0)</f>
        <v>0</v>
      </c>
      <c r="BV176">
        <f>IF(AND(VLOOKUP(BV$1,main!$A$3:$H$102,7,FALSE)=main!$G$104,VLOOKUP(BV$1,main!$A$3:$H$102,5,FALSE)-VLOOKUP($A176,main!$A$3:$H$102,6,FALSE)&gt;=main!$D$103+VLOOKUP(VLOOKUP(BV$1,main!$A$3:$I$102,7,FALSE),main!$K$26:$Q$29,4,FALSE)),1,0)</f>
        <v>0</v>
      </c>
      <c r="BW176">
        <f>IF(AND(VLOOKUP(BW$1,main!$A$3:$H$102,7,FALSE)=main!$G$104,VLOOKUP(BW$1,main!$A$3:$H$102,5,FALSE)-VLOOKUP($A176,main!$A$3:$H$102,6,FALSE)&gt;=main!$D$103+VLOOKUP(VLOOKUP(BW$1,main!$A$3:$I$102,7,FALSE),main!$K$26:$Q$29,4,FALSE)),1,0)</f>
        <v>0</v>
      </c>
      <c r="BX176">
        <f>IF(AND(VLOOKUP(BX$1,main!$A$3:$H$102,7,FALSE)=main!$G$104,VLOOKUP(BX$1,main!$A$3:$H$102,5,FALSE)-VLOOKUP($A176,main!$A$3:$H$102,6,FALSE)&gt;=main!$D$103+VLOOKUP(VLOOKUP(BX$1,main!$A$3:$I$102,7,FALSE),main!$K$26:$Q$29,4,FALSE)),1,0)</f>
        <v>0</v>
      </c>
      <c r="BY176">
        <f>IF(AND(VLOOKUP(BY$1,main!$A$3:$H$102,7,FALSE)=main!$G$104,VLOOKUP(BY$1,main!$A$3:$H$102,5,FALSE)-VLOOKUP($A176,main!$A$3:$H$102,6,FALSE)&gt;=main!$D$103+VLOOKUP(VLOOKUP(BY$1,main!$A$3:$I$102,7,FALSE),main!$K$26:$Q$29,4,FALSE)),1,0)</f>
        <v>0</v>
      </c>
      <c r="BZ176">
        <f>IF(AND(VLOOKUP(BZ$1,main!$A$3:$H$102,7,FALSE)=main!$G$104,VLOOKUP(BZ$1,main!$A$3:$H$102,5,FALSE)-VLOOKUP($A176,main!$A$3:$H$102,6,FALSE)&gt;=main!$D$103+VLOOKUP(VLOOKUP(BZ$1,main!$A$3:$I$102,7,FALSE),main!$K$26:$Q$29,4,FALSE)),1,0)</f>
        <v>0</v>
      </c>
      <c r="CA176">
        <f>IF(AND(VLOOKUP(CA$1,main!$A$3:$H$102,7,FALSE)=main!$G$104,VLOOKUP(CA$1,main!$A$3:$H$102,5,FALSE)-VLOOKUP($A176,main!$A$3:$H$102,6,FALSE)&gt;=main!$D$103+VLOOKUP(VLOOKUP(CA$1,main!$A$3:$I$102,7,FALSE),main!$K$26:$Q$29,4,FALSE)),1,0)</f>
        <v>0</v>
      </c>
      <c r="CB176">
        <f>IF(AND(VLOOKUP(CB$1,main!$A$3:$H$102,7,FALSE)=main!$G$104,VLOOKUP(CB$1,main!$A$3:$H$102,5,FALSE)-VLOOKUP($A176,main!$A$3:$H$102,6,FALSE)&gt;=main!$D$103+VLOOKUP(VLOOKUP(CB$1,main!$A$3:$I$102,7,FALSE),main!$K$26:$Q$29,4,FALSE)),1,0)</f>
        <v>0</v>
      </c>
      <c r="CC176">
        <f>IF(AND(VLOOKUP(CC$1,main!$A$3:$H$102,7,FALSE)=main!$G$104,VLOOKUP(CC$1,main!$A$3:$H$102,5,FALSE)-VLOOKUP($A176,main!$A$3:$H$102,6,FALSE)&gt;=main!$D$103+VLOOKUP(VLOOKUP(CC$1,main!$A$3:$I$102,7,FALSE),main!$K$26:$Q$29,4,FALSE)),1,0)</f>
        <v>0</v>
      </c>
      <c r="CD176">
        <f>IF(AND(VLOOKUP(CD$1,main!$A$3:$H$102,7,FALSE)=main!$G$104,VLOOKUP(CD$1,main!$A$3:$H$102,5,FALSE)-VLOOKUP($A176,main!$A$3:$H$102,6,FALSE)&gt;=main!$D$103+VLOOKUP(VLOOKUP(CD$1,main!$A$3:$I$102,7,FALSE),main!$K$26:$Q$29,4,FALSE)),1,0)</f>
        <v>0</v>
      </c>
      <c r="CE176">
        <f>IF(AND(VLOOKUP(CE$1,main!$A$3:$H$102,7,FALSE)=main!$G$104,VLOOKUP(CE$1,main!$A$3:$H$102,5,FALSE)-VLOOKUP($A176,main!$A$3:$H$102,6,FALSE)&gt;=main!$D$103+VLOOKUP(VLOOKUP(CE$1,main!$A$3:$I$102,7,FALSE),main!$K$26:$Q$29,4,FALSE)),1,0)</f>
        <v>0</v>
      </c>
      <c r="CF176">
        <f>IF(AND(VLOOKUP(CF$1,main!$A$3:$H$102,7,FALSE)=main!$G$104,VLOOKUP(CF$1,main!$A$3:$H$102,5,FALSE)-VLOOKUP($A176,main!$A$3:$H$102,6,FALSE)&gt;=main!$D$103+VLOOKUP(VLOOKUP(CF$1,main!$A$3:$I$102,7,FALSE),main!$K$26:$Q$29,4,FALSE)),1,0)</f>
        <v>0</v>
      </c>
      <c r="CG176">
        <f>IF(AND(VLOOKUP(CG$1,main!$A$3:$H$102,7,FALSE)=main!$G$104,VLOOKUP(CG$1,main!$A$3:$H$102,5,FALSE)-VLOOKUP($A176,main!$A$3:$H$102,6,FALSE)&gt;=main!$D$103+VLOOKUP(VLOOKUP(CG$1,main!$A$3:$I$102,7,FALSE),main!$K$26:$Q$29,4,FALSE)),1,0)</f>
        <v>0</v>
      </c>
      <c r="CH176">
        <f>IF(AND(VLOOKUP(CH$1,main!$A$3:$H$102,7,FALSE)=main!$G$104,VLOOKUP(CH$1,main!$A$3:$H$102,5,FALSE)-VLOOKUP($A176,main!$A$3:$H$102,6,FALSE)&gt;=main!$D$103+VLOOKUP(VLOOKUP(CH$1,main!$A$3:$I$102,7,FALSE),main!$K$26:$Q$29,4,FALSE)),1,0)</f>
        <v>0</v>
      </c>
      <c r="CI176">
        <f>IF(AND(VLOOKUP(CI$1,main!$A$3:$H$102,7,FALSE)=main!$G$104,VLOOKUP(CI$1,main!$A$3:$H$102,5,FALSE)-VLOOKUP($A176,main!$A$3:$H$102,6,FALSE)&gt;=main!$D$103+VLOOKUP(VLOOKUP(CI$1,main!$A$3:$I$102,7,FALSE),main!$K$26:$Q$29,4,FALSE)),1,0)</f>
        <v>0</v>
      </c>
      <c r="CJ176">
        <f>IF(AND(VLOOKUP(CJ$1,main!$A$3:$H$102,7,FALSE)=main!$G$104,VLOOKUP(CJ$1,main!$A$3:$H$102,5,FALSE)-VLOOKUP($A176,main!$A$3:$H$102,6,FALSE)&gt;=main!$D$103+VLOOKUP(VLOOKUP(CJ$1,main!$A$3:$I$102,7,FALSE),main!$K$26:$Q$29,4,FALSE)),1,0)</f>
        <v>0</v>
      </c>
      <c r="CK176">
        <f>IF(AND(VLOOKUP(CK$1,main!$A$3:$H$102,7,FALSE)=main!$G$104,VLOOKUP(CK$1,main!$A$3:$H$102,5,FALSE)-VLOOKUP($A176,main!$A$3:$H$102,6,FALSE)&gt;=main!$D$103+VLOOKUP(VLOOKUP(CK$1,main!$A$3:$I$102,7,FALSE),main!$K$26:$Q$29,4,FALSE)),1,0)</f>
        <v>0</v>
      </c>
      <c r="CL176">
        <f>IF(AND(VLOOKUP(CL$1,main!$A$3:$H$102,7,FALSE)=main!$G$104,VLOOKUP(CL$1,main!$A$3:$H$102,5,FALSE)-VLOOKUP($A176,main!$A$3:$H$102,6,FALSE)&gt;=main!$D$103+VLOOKUP(VLOOKUP(CL$1,main!$A$3:$I$102,7,FALSE),main!$K$26:$Q$29,4,FALSE)),1,0)</f>
        <v>0</v>
      </c>
      <c r="CM176">
        <f>IF(AND(VLOOKUP(CM$1,main!$A$3:$H$102,7,FALSE)=main!$G$104,VLOOKUP(CM$1,main!$A$3:$H$102,5,FALSE)-VLOOKUP($A176,main!$A$3:$H$102,6,FALSE)&gt;=main!$D$103+VLOOKUP(VLOOKUP(CM$1,main!$A$3:$I$102,7,FALSE),main!$K$26:$Q$29,4,FALSE)),1,0)</f>
        <v>0</v>
      </c>
      <c r="CN176">
        <f>IF(AND(VLOOKUP(CN$1,main!$A$3:$H$102,7,FALSE)=main!$G$104,VLOOKUP(CN$1,main!$A$3:$H$102,5,FALSE)-VLOOKUP($A176,main!$A$3:$H$102,6,FALSE)&gt;=main!$D$103+VLOOKUP(VLOOKUP(CN$1,main!$A$3:$I$102,7,FALSE),main!$K$26:$Q$29,4,FALSE)),1,0)</f>
        <v>0</v>
      </c>
      <c r="CO176">
        <f>IF(AND(VLOOKUP(CO$1,main!$A$3:$H$102,7,FALSE)=main!$G$104,VLOOKUP(CO$1,main!$A$3:$H$102,5,FALSE)-VLOOKUP($A176,main!$A$3:$H$102,6,FALSE)&gt;=main!$D$103+VLOOKUP(VLOOKUP(CO$1,main!$A$3:$I$102,7,FALSE),main!$K$26:$Q$29,4,FALSE)),1,0)</f>
        <v>0</v>
      </c>
      <c r="CP176">
        <f>IF(AND(VLOOKUP(CP$1,main!$A$3:$H$102,7,FALSE)=main!$G$104,VLOOKUP(CP$1,main!$A$3:$H$102,5,FALSE)-VLOOKUP($A176,main!$A$3:$H$102,6,FALSE)&gt;=main!$D$103+VLOOKUP(VLOOKUP(CP$1,main!$A$3:$I$102,7,FALSE),main!$K$26:$Q$29,4,FALSE)),1,0)</f>
        <v>0</v>
      </c>
      <c r="CQ176">
        <f>IF(AND(VLOOKUP(CQ$1,main!$A$3:$H$102,7,FALSE)=main!$G$104,VLOOKUP(CQ$1,main!$A$3:$H$102,5,FALSE)-VLOOKUP($A176,main!$A$3:$H$102,6,FALSE)&gt;=main!$D$103+VLOOKUP(VLOOKUP(CQ$1,main!$A$3:$I$102,7,FALSE),main!$K$26:$Q$29,4,FALSE)),1,0)</f>
        <v>0</v>
      </c>
      <c r="CR176">
        <f>IF(AND(VLOOKUP(CR$1,main!$A$3:$H$102,7,FALSE)=main!$G$104,VLOOKUP(CR$1,main!$A$3:$H$102,5,FALSE)-VLOOKUP($A176,main!$A$3:$H$102,6,FALSE)&gt;=main!$D$103+VLOOKUP(VLOOKUP(CR$1,main!$A$3:$I$102,7,FALSE),main!$K$26:$Q$29,4,FALSE)),1,0)</f>
        <v>0</v>
      </c>
      <c r="CS176">
        <f>IF(AND(VLOOKUP(CS$1,main!$A$3:$H$102,7,FALSE)=main!$G$104,VLOOKUP(CS$1,main!$A$3:$H$102,5,FALSE)-VLOOKUP($A176,main!$A$3:$H$102,6,FALSE)&gt;=main!$D$103+VLOOKUP(VLOOKUP(CS$1,main!$A$3:$I$102,7,FALSE),main!$K$26:$Q$29,4,FALSE)),1,0)</f>
        <v>0</v>
      </c>
      <c r="CT176">
        <f>IF(AND(VLOOKUP(CT$1,main!$A$3:$H$102,7,FALSE)=main!$G$104,VLOOKUP(CT$1,main!$A$3:$H$102,5,FALSE)-VLOOKUP($A176,main!$A$3:$H$102,6,FALSE)&gt;=main!$D$103+VLOOKUP(VLOOKUP(CT$1,main!$A$3:$I$102,7,FALSE),main!$K$26:$Q$29,4,FALSE)),1,0)</f>
        <v>0</v>
      </c>
      <c r="CU176">
        <f>IF(AND(VLOOKUP(CU$1,main!$A$3:$H$102,7,FALSE)=main!$G$104,VLOOKUP(CU$1,main!$A$3:$H$102,5,FALSE)-VLOOKUP($A176,main!$A$3:$H$102,6,FALSE)&gt;=main!$D$103+VLOOKUP(VLOOKUP(CU$1,main!$A$3:$I$102,7,FALSE),main!$K$26:$Q$29,4,FALSE)),1,0)</f>
        <v>0</v>
      </c>
      <c r="CV176">
        <f>IF(AND(VLOOKUP(CV$1,main!$A$3:$H$102,7,FALSE)=main!$G$104,VLOOKUP(CV$1,main!$A$3:$H$102,5,FALSE)-VLOOKUP($A176,main!$A$3:$H$102,6,FALSE)&gt;=main!$D$103+VLOOKUP(VLOOKUP(CV$1,main!$A$3:$I$102,7,FALSE),main!$K$26:$Q$29,4,FALSE)),1,0)</f>
        <v>0</v>
      </c>
      <c r="CW176">
        <f>IF(AND(VLOOKUP(CW$1,main!$A$3:$H$102,7,FALSE)=main!$G$104,VLOOKUP(CW$1,main!$A$3:$H$102,5,FALSE)-VLOOKUP($A176,main!$A$3:$H$102,6,FALSE)&gt;=main!$D$103+VLOOKUP(VLOOKUP(CW$1,main!$A$3:$I$102,7,FALSE),main!$K$26:$Q$29,4,FALSE)),1,0)</f>
        <v>0</v>
      </c>
      <c r="CX176">
        <f>IF(AND(VLOOKUP(CX$1,main!$A$3:$H$102,7,FALSE)=main!$G$104,VLOOKUP(CX$1,main!$A$3:$H$102,5,FALSE)-VLOOKUP($A176,main!$A$3:$H$102,6,FALSE)&gt;=main!$D$103+VLOOKUP(VLOOKUP(CX$1,main!$A$3:$I$102,7,FALSE),main!$K$26:$Q$29,4,FALSE)),1,0)</f>
        <v>0</v>
      </c>
    </row>
    <row r="177" spans="1:102" x14ac:dyDescent="0.25">
      <c r="A177" s="1">
        <v>74</v>
      </c>
      <c r="B177">
        <v>0</v>
      </c>
      <c r="C177">
        <f>IF(AND(VLOOKUP(C$1,main!$A$3:$H$102,7,FALSE)=main!$G$104,VLOOKUP(C$1,main!$A$3:$H$102,5,FALSE)-VLOOKUP($A177,main!$A$3:$H$102,6,FALSE)&gt;=main!$D$103+VLOOKUP(VLOOKUP(C$1,main!$A$3:$I$102,7,FALSE),main!$K$26:$Q$29,4,FALSE)),1,0)</f>
        <v>0</v>
      </c>
      <c r="D177">
        <f>IF(AND(VLOOKUP(D$1,main!$A$3:$H$102,7,FALSE)=main!$G$104,VLOOKUP(D$1,main!$A$3:$H$102,5,FALSE)-VLOOKUP($A177,main!$A$3:$H$102,6,FALSE)&gt;=main!$D$103+VLOOKUP(VLOOKUP(D$1,main!$A$3:$I$102,7,FALSE),main!$K$26:$Q$29,4,FALSE)),1,0)</f>
        <v>0</v>
      </c>
      <c r="E177">
        <f>IF(AND(VLOOKUP(E$1,main!$A$3:$H$102,7,FALSE)=main!$G$104,VLOOKUP(E$1,main!$A$3:$H$102,5,FALSE)-VLOOKUP($A177,main!$A$3:$H$102,6,FALSE)&gt;=main!$D$103+VLOOKUP(VLOOKUP(E$1,main!$A$3:$I$102,7,FALSE),main!$K$26:$Q$29,4,FALSE)),1,0)</f>
        <v>0</v>
      </c>
      <c r="F177">
        <f>IF(AND(VLOOKUP(F$1,main!$A$3:$H$102,7,FALSE)=main!$G$104,VLOOKUP(F$1,main!$A$3:$H$102,5,FALSE)-VLOOKUP($A177,main!$A$3:$H$102,6,FALSE)&gt;=main!$D$103+VLOOKUP(VLOOKUP(F$1,main!$A$3:$I$102,7,FALSE),main!$K$26:$Q$29,4,FALSE)),1,0)</f>
        <v>0</v>
      </c>
      <c r="G177">
        <f>IF(AND(VLOOKUP(G$1,main!$A$3:$H$102,7,FALSE)=main!$G$104,VLOOKUP(G$1,main!$A$3:$H$102,5,FALSE)-VLOOKUP($A177,main!$A$3:$H$102,6,FALSE)&gt;=main!$D$103+VLOOKUP(VLOOKUP(G$1,main!$A$3:$I$102,7,FALSE),main!$K$26:$Q$29,4,FALSE)),1,0)</f>
        <v>0</v>
      </c>
      <c r="H177">
        <f>IF(AND(VLOOKUP(H$1,main!$A$3:$H$102,7,FALSE)=main!$G$104,VLOOKUP(H$1,main!$A$3:$H$102,5,FALSE)-VLOOKUP($A177,main!$A$3:$H$102,6,FALSE)&gt;=main!$D$103+VLOOKUP(VLOOKUP(H$1,main!$A$3:$I$102,7,FALSE),main!$K$26:$Q$29,4,FALSE)),1,0)</f>
        <v>0</v>
      </c>
      <c r="I177">
        <f>IF(AND(VLOOKUP(I$1,main!$A$3:$H$102,7,FALSE)=main!$G$104,VLOOKUP(I$1,main!$A$3:$H$102,5,FALSE)-VLOOKUP($A177,main!$A$3:$H$102,6,FALSE)&gt;=main!$D$103+VLOOKUP(VLOOKUP(I$1,main!$A$3:$I$102,7,FALSE),main!$K$26:$Q$29,4,FALSE)),1,0)</f>
        <v>1</v>
      </c>
      <c r="J177">
        <f>IF(AND(VLOOKUP(J$1,main!$A$3:$H$102,7,FALSE)=main!$G$104,VLOOKUP(J$1,main!$A$3:$H$102,5,FALSE)-VLOOKUP($A177,main!$A$3:$H$102,6,FALSE)&gt;=main!$D$103+VLOOKUP(VLOOKUP(J$1,main!$A$3:$I$102,7,FALSE),main!$K$26:$Q$29,4,FALSE)),1,0)</f>
        <v>1</v>
      </c>
      <c r="K177">
        <f>IF(AND(VLOOKUP(K$1,main!$A$3:$H$102,7,FALSE)=main!$G$104,VLOOKUP(K$1,main!$A$3:$H$102,5,FALSE)-VLOOKUP($A177,main!$A$3:$H$102,6,FALSE)&gt;=main!$D$103+VLOOKUP(VLOOKUP(K$1,main!$A$3:$I$102,7,FALSE),main!$K$26:$Q$29,4,FALSE)),1,0)</f>
        <v>1</v>
      </c>
      <c r="L177">
        <f>IF(AND(VLOOKUP(L$1,main!$A$3:$H$102,7,FALSE)=main!$G$104,VLOOKUP(L$1,main!$A$3:$H$102,5,FALSE)-VLOOKUP($A177,main!$A$3:$H$102,6,FALSE)&gt;=main!$D$103+VLOOKUP(VLOOKUP(L$1,main!$A$3:$I$102,7,FALSE),main!$K$26:$Q$29,4,FALSE)),1,0)</f>
        <v>1</v>
      </c>
      <c r="M177">
        <f>IF(AND(VLOOKUP(M$1,main!$A$3:$H$102,7,FALSE)=main!$G$104,VLOOKUP(M$1,main!$A$3:$H$102,5,FALSE)-VLOOKUP($A177,main!$A$3:$H$102,6,FALSE)&gt;=main!$D$103+VLOOKUP(VLOOKUP(M$1,main!$A$3:$I$102,7,FALSE),main!$K$26:$Q$29,4,FALSE)),1,0)</f>
        <v>0</v>
      </c>
      <c r="N177">
        <f>IF(AND(VLOOKUP(N$1,main!$A$3:$H$102,7,FALSE)=main!$G$104,VLOOKUP(N$1,main!$A$3:$H$102,5,FALSE)-VLOOKUP($A177,main!$A$3:$H$102,6,FALSE)&gt;=main!$D$103+VLOOKUP(VLOOKUP(N$1,main!$A$3:$I$102,7,FALSE),main!$K$26:$Q$29,4,FALSE)),1,0)</f>
        <v>0</v>
      </c>
      <c r="O177">
        <f>IF(AND(VLOOKUP(O$1,main!$A$3:$H$102,7,FALSE)=main!$G$104,VLOOKUP(O$1,main!$A$3:$H$102,5,FALSE)-VLOOKUP($A177,main!$A$3:$H$102,6,FALSE)&gt;=main!$D$103+VLOOKUP(VLOOKUP(O$1,main!$A$3:$I$102,7,FALSE),main!$K$26:$Q$29,4,FALSE)),1,0)</f>
        <v>0</v>
      </c>
      <c r="P177">
        <f>IF(AND(VLOOKUP(P$1,main!$A$3:$H$102,7,FALSE)=main!$G$104,VLOOKUP(P$1,main!$A$3:$H$102,5,FALSE)-VLOOKUP($A177,main!$A$3:$H$102,6,FALSE)&gt;=main!$D$103+VLOOKUP(VLOOKUP(P$1,main!$A$3:$I$102,7,FALSE),main!$K$26:$Q$29,4,FALSE)),1,0)</f>
        <v>0</v>
      </c>
      <c r="Q177">
        <f>IF(AND(VLOOKUP(Q$1,main!$A$3:$H$102,7,FALSE)=main!$G$104,VLOOKUP(Q$1,main!$A$3:$H$102,5,FALSE)-VLOOKUP($A177,main!$A$3:$H$102,6,FALSE)&gt;=main!$D$103+VLOOKUP(VLOOKUP(Q$1,main!$A$3:$I$102,7,FALSE),main!$K$26:$Q$29,4,FALSE)),1,0)</f>
        <v>0</v>
      </c>
      <c r="R177">
        <f>IF(AND(VLOOKUP(R$1,main!$A$3:$H$102,7,FALSE)=main!$G$104,VLOOKUP(R$1,main!$A$3:$H$102,5,FALSE)-VLOOKUP($A177,main!$A$3:$H$102,6,FALSE)&gt;=main!$D$103+VLOOKUP(VLOOKUP(R$1,main!$A$3:$I$102,7,FALSE),main!$K$26:$Q$29,4,FALSE)),1,0)</f>
        <v>0</v>
      </c>
      <c r="S177">
        <f>IF(AND(VLOOKUP(S$1,main!$A$3:$H$102,7,FALSE)=main!$G$104,VLOOKUP(S$1,main!$A$3:$H$102,5,FALSE)-VLOOKUP($A177,main!$A$3:$H$102,6,FALSE)&gt;=main!$D$103+VLOOKUP(VLOOKUP(S$1,main!$A$3:$I$102,7,FALSE),main!$K$26:$Q$29,4,FALSE)),1,0)</f>
        <v>0</v>
      </c>
      <c r="T177">
        <f>IF(AND(VLOOKUP(T$1,main!$A$3:$H$102,7,FALSE)=main!$G$104,VLOOKUP(T$1,main!$A$3:$H$102,5,FALSE)-VLOOKUP($A177,main!$A$3:$H$102,6,FALSE)&gt;=main!$D$103+VLOOKUP(VLOOKUP(T$1,main!$A$3:$I$102,7,FALSE),main!$K$26:$Q$29,4,FALSE)),1,0)</f>
        <v>1</v>
      </c>
      <c r="U177">
        <f>IF(AND(VLOOKUP(U$1,main!$A$3:$H$102,7,FALSE)=main!$G$104,VLOOKUP(U$1,main!$A$3:$H$102,5,FALSE)-VLOOKUP($A177,main!$A$3:$H$102,6,FALSE)&gt;=main!$D$103+VLOOKUP(VLOOKUP(U$1,main!$A$3:$I$102,7,FALSE),main!$K$26:$Q$29,4,FALSE)),1,0)</f>
        <v>1</v>
      </c>
      <c r="V177">
        <f>IF(AND(VLOOKUP(V$1,main!$A$3:$H$102,7,FALSE)=main!$G$104,VLOOKUP(V$1,main!$A$3:$H$102,5,FALSE)-VLOOKUP($A177,main!$A$3:$H$102,6,FALSE)&gt;=main!$D$103+VLOOKUP(VLOOKUP(V$1,main!$A$3:$I$102,7,FALSE),main!$K$26:$Q$29,4,FALSE)),1,0)</f>
        <v>1</v>
      </c>
      <c r="W177">
        <f>IF(AND(VLOOKUP(W$1,main!$A$3:$H$102,7,FALSE)=main!$G$104,VLOOKUP(W$1,main!$A$3:$H$102,5,FALSE)-VLOOKUP($A177,main!$A$3:$H$102,6,FALSE)&gt;=main!$D$103+VLOOKUP(VLOOKUP(W$1,main!$A$3:$I$102,7,FALSE),main!$K$26:$Q$29,4,FALSE)),1,0)</f>
        <v>0</v>
      </c>
      <c r="X177">
        <f>IF(AND(VLOOKUP(X$1,main!$A$3:$H$102,7,FALSE)=main!$G$104,VLOOKUP(X$1,main!$A$3:$H$102,5,FALSE)-VLOOKUP($A177,main!$A$3:$H$102,6,FALSE)&gt;=main!$D$103+VLOOKUP(VLOOKUP(X$1,main!$A$3:$I$102,7,FALSE),main!$K$26:$Q$29,4,FALSE)),1,0)</f>
        <v>0</v>
      </c>
      <c r="Y177">
        <f>IF(AND(VLOOKUP(Y$1,main!$A$3:$H$102,7,FALSE)=main!$G$104,VLOOKUP(Y$1,main!$A$3:$H$102,5,FALSE)-VLOOKUP($A177,main!$A$3:$H$102,6,FALSE)&gt;=main!$D$103+VLOOKUP(VLOOKUP(Y$1,main!$A$3:$I$102,7,FALSE),main!$K$26:$Q$29,4,FALSE)),1,0)</f>
        <v>0</v>
      </c>
      <c r="Z177">
        <f>IF(AND(VLOOKUP(Z$1,main!$A$3:$H$102,7,FALSE)=main!$G$104,VLOOKUP(Z$1,main!$A$3:$H$102,5,FALSE)-VLOOKUP($A177,main!$A$3:$H$102,6,FALSE)&gt;=main!$D$103+VLOOKUP(VLOOKUP(Z$1,main!$A$3:$I$102,7,FALSE),main!$K$26:$Q$29,4,FALSE)),1,0)</f>
        <v>1</v>
      </c>
      <c r="AA177">
        <f>IF(AND(VLOOKUP(AA$1,main!$A$3:$H$102,7,FALSE)=main!$G$104,VLOOKUP(AA$1,main!$A$3:$H$102,5,FALSE)-VLOOKUP($A177,main!$A$3:$H$102,6,FALSE)&gt;=main!$D$103+VLOOKUP(VLOOKUP(AA$1,main!$A$3:$I$102,7,FALSE),main!$K$26:$Q$29,4,FALSE)),1,0)</f>
        <v>1</v>
      </c>
      <c r="AB177">
        <f>IF(AND(VLOOKUP(AB$1,main!$A$3:$H$102,7,FALSE)=main!$G$104,VLOOKUP(AB$1,main!$A$3:$H$102,5,FALSE)-VLOOKUP($A177,main!$A$3:$H$102,6,FALSE)&gt;=main!$D$103+VLOOKUP(VLOOKUP(AB$1,main!$A$3:$I$102,7,FALSE),main!$K$26:$Q$29,4,FALSE)),1,0)</f>
        <v>0</v>
      </c>
      <c r="AC177">
        <f>IF(AND(VLOOKUP(AC$1,main!$A$3:$H$102,7,FALSE)=main!$G$104,VLOOKUP(AC$1,main!$A$3:$H$102,5,FALSE)-VLOOKUP($A177,main!$A$3:$H$102,6,FALSE)&gt;=main!$D$103+VLOOKUP(VLOOKUP(AC$1,main!$A$3:$I$102,7,FALSE),main!$K$26:$Q$29,4,FALSE)),1,0)</f>
        <v>0</v>
      </c>
      <c r="AD177">
        <f>IF(AND(VLOOKUP(AD$1,main!$A$3:$H$102,7,FALSE)=main!$G$104,VLOOKUP(AD$1,main!$A$3:$H$102,5,FALSE)-VLOOKUP($A177,main!$A$3:$H$102,6,FALSE)&gt;=main!$D$103+VLOOKUP(VLOOKUP(AD$1,main!$A$3:$I$102,7,FALSE),main!$K$26:$Q$29,4,FALSE)),1,0)</f>
        <v>0</v>
      </c>
      <c r="AE177">
        <f>IF(AND(VLOOKUP(AE$1,main!$A$3:$H$102,7,FALSE)=main!$G$104,VLOOKUP(AE$1,main!$A$3:$H$102,5,FALSE)-VLOOKUP($A177,main!$A$3:$H$102,6,FALSE)&gt;=main!$D$103+VLOOKUP(VLOOKUP(AE$1,main!$A$3:$I$102,7,FALSE),main!$K$26:$Q$29,4,FALSE)),1,0)</f>
        <v>0</v>
      </c>
      <c r="AF177">
        <f>IF(AND(VLOOKUP(AF$1,main!$A$3:$H$102,7,FALSE)=main!$G$104,VLOOKUP(AF$1,main!$A$3:$H$102,5,FALSE)-VLOOKUP($A177,main!$A$3:$H$102,6,FALSE)&gt;=main!$D$103+VLOOKUP(VLOOKUP(AF$1,main!$A$3:$I$102,7,FALSE),main!$K$26:$Q$29,4,FALSE)),1,0)</f>
        <v>1</v>
      </c>
      <c r="AG177">
        <f>IF(AND(VLOOKUP(AG$1,main!$A$3:$H$102,7,FALSE)=main!$G$104,VLOOKUP(AG$1,main!$A$3:$H$102,5,FALSE)-VLOOKUP($A177,main!$A$3:$H$102,6,FALSE)&gt;=main!$D$103+VLOOKUP(VLOOKUP(AG$1,main!$A$3:$I$102,7,FALSE),main!$K$26:$Q$29,4,FALSE)),1,0)</f>
        <v>0</v>
      </c>
      <c r="AH177">
        <f>IF(AND(VLOOKUP(AH$1,main!$A$3:$H$102,7,FALSE)=main!$G$104,VLOOKUP(AH$1,main!$A$3:$H$102,5,FALSE)-VLOOKUP($A177,main!$A$3:$H$102,6,FALSE)&gt;=main!$D$103+VLOOKUP(VLOOKUP(AH$1,main!$A$3:$I$102,7,FALSE),main!$K$26:$Q$29,4,FALSE)),1,0)</f>
        <v>0</v>
      </c>
      <c r="AI177">
        <f>IF(AND(VLOOKUP(AI$1,main!$A$3:$H$102,7,FALSE)=main!$G$104,VLOOKUP(AI$1,main!$A$3:$H$102,5,FALSE)-VLOOKUP($A177,main!$A$3:$H$102,6,FALSE)&gt;=main!$D$103+VLOOKUP(VLOOKUP(AI$1,main!$A$3:$I$102,7,FALSE),main!$K$26:$Q$29,4,FALSE)),1,0)</f>
        <v>0</v>
      </c>
      <c r="AJ177">
        <f>IF(AND(VLOOKUP(AJ$1,main!$A$3:$H$102,7,FALSE)=main!$G$104,VLOOKUP(AJ$1,main!$A$3:$H$102,5,FALSE)-VLOOKUP($A177,main!$A$3:$H$102,6,FALSE)&gt;=main!$D$103+VLOOKUP(VLOOKUP(AJ$1,main!$A$3:$I$102,7,FALSE),main!$K$26:$Q$29,4,FALSE)),1,0)</f>
        <v>0</v>
      </c>
      <c r="AK177">
        <f>IF(AND(VLOOKUP(AK$1,main!$A$3:$H$102,7,FALSE)=main!$G$104,VLOOKUP(AK$1,main!$A$3:$H$102,5,FALSE)-VLOOKUP($A177,main!$A$3:$H$102,6,FALSE)&gt;=main!$D$103+VLOOKUP(VLOOKUP(AK$1,main!$A$3:$I$102,7,FALSE),main!$K$26:$Q$29,4,FALSE)),1,0)</f>
        <v>0</v>
      </c>
      <c r="AL177">
        <f>IF(AND(VLOOKUP(AL$1,main!$A$3:$H$102,7,FALSE)=main!$G$104,VLOOKUP(AL$1,main!$A$3:$H$102,5,FALSE)-VLOOKUP($A177,main!$A$3:$H$102,6,FALSE)&gt;=main!$D$103+VLOOKUP(VLOOKUP(AL$1,main!$A$3:$I$102,7,FALSE),main!$K$26:$Q$29,4,FALSE)),1,0)</f>
        <v>0</v>
      </c>
      <c r="AM177">
        <f>IF(AND(VLOOKUP(AM$1,main!$A$3:$H$102,7,FALSE)=main!$G$104,VLOOKUP(AM$1,main!$A$3:$H$102,5,FALSE)-VLOOKUP($A177,main!$A$3:$H$102,6,FALSE)&gt;=main!$D$103+VLOOKUP(VLOOKUP(AM$1,main!$A$3:$I$102,7,FALSE),main!$K$26:$Q$29,4,FALSE)),1,0)</f>
        <v>0</v>
      </c>
      <c r="AN177">
        <f>IF(AND(VLOOKUP(AN$1,main!$A$3:$H$102,7,FALSE)=main!$G$104,VLOOKUP(AN$1,main!$A$3:$H$102,5,FALSE)-VLOOKUP($A177,main!$A$3:$H$102,6,FALSE)&gt;=main!$D$103+VLOOKUP(VLOOKUP(AN$1,main!$A$3:$I$102,7,FALSE),main!$K$26:$Q$29,4,FALSE)),1,0)</f>
        <v>0</v>
      </c>
      <c r="AO177">
        <f>IF(AND(VLOOKUP(AO$1,main!$A$3:$H$102,7,FALSE)=main!$G$104,VLOOKUP(AO$1,main!$A$3:$H$102,5,FALSE)-VLOOKUP($A177,main!$A$3:$H$102,6,FALSE)&gt;=main!$D$103+VLOOKUP(VLOOKUP(AO$1,main!$A$3:$I$102,7,FALSE),main!$K$26:$Q$29,4,FALSE)),1,0)</f>
        <v>0</v>
      </c>
      <c r="AP177">
        <f>IF(AND(VLOOKUP(AP$1,main!$A$3:$H$102,7,FALSE)=main!$G$104,VLOOKUP(AP$1,main!$A$3:$H$102,5,FALSE)-VLOOKUP($A177,main!$A$3:$H$102,6,FALSE)&gt;=main!$D$103+VLOOKUP(VLOOKUP(AP$1,main!$A$3:$I$102,7,FALSE),main!$K$26:$Q$29,4,FALSE)),1,0)</f>
        <v>0</v>
      </c>
      <c r="AQ177">
        <f>IF(AND(VLOOKUP(AQ$1,main!$A$3:$H$102,7,FALSE)=main!$G$104,VLOOKUP(AQ$1,main!$A$3:$H$102,5,FALSE)-VLOOKUP($A177,main!$A$3:$H$102,6,FALSE)&gt;=main!$D$103+VLOOKUP(VLOOKUP(AQ$1,main!$A$3:$I$102,7,FALSE),main!$K$26:$Q$29,4,FALSE)),1,0)</f>
        <v>0</v>
      </c>
      <c r="AR177">
        <f>IF(AND(VLOOKUP(AR$1,main!$A$3:$H$102,7,FALSE)=main!$G$104,VLOOKUP(AR$1,main!$A$3:$H$102,5,FALSE)-VLOOKUP($A177,main!$A$3:$H$102,6,FALSE)&gt;=main!$D$103+VLOOKUP(VLOOKUP(AR$1,main!$A$3:$I$102,7,FALSE),main!$K$26:$Q$29,4,FALSE)),1,0)</f>
        <v>0</v>
      </c>
      <c r="AS177">
        <f>IF(AND(VLOOKUP(AS$1,main!$A$3:$H$102,7,FALSE)=main!$G$104,VLOOKUP(AS$1,main!$A$3:$H$102,5,FALSE)-VLOOKUP($A177,main!$A$3:$H$102,6,FALSE)&gt;=main!$D$103+VLOOKUP(VLOOKUP(AS$1,main!$A$3:$I$102,7,FALSE),main!$K$26:$Q$29,4,FALSE)),1,0)</f>
        <v>0</v>
      </c>
      <c r="AT177">
        <f>IF(AND(VLOOKUP(AT$1,main!$A$3:$H$102,7,FALSE)=main!$G$104,VLOOKUP(AT$1,main!$A$3:$H$102,5,FALSE)-VLOOKUP($A177,main!$A$3:$H$102,6,FALSE)&gt;=main!$D$103+VLOOKUP(VLOOKUP(AT$1,main!$A$3:$I$102,7,FALSE),main!$K$26:$Q$29,4,FALSE)),1,0)</f>
        <v>0</v>
      </c>
      <c r="AU177">
        <f>IF(AND(VLOOKUP(AU$1,main!$A$3:$H$102,7,FALSE)=main!$G$104,VLOOKUP(AU$1,main!$A$3:$H$102,5,FALSE)-VLOOKUP($A177,main!$A$3:$H$102,6,FALSE)&gt;=main!$D$103+VLOOKUP(VLOOKUP(AU$1,main!$A$3:$I$102,7,FALSE),main!$K$26:$Q$29,4,FALSE)),1,0)</f>
        <v>0</v>
      </c>
      <c r="AV177">
        <f>IF(AND(VLOOKUP(AV$1,main!$A$3:$H$102,7,FALSE)=main!$G$104,VLOOKUP(AV$1,main!$A$3:$H$102,5,FALSE)-VLOOKUP($A177,main!$A$3:$H$102,6,FALSE)&gt;=main!$D$103+VLOOKUP(VLOOKUP(AV$1,main!$A$3:$I$102,7,FALSE),main!$K$26:$Q$29,4,FALSE)),1,0)</f>
        <v>0</v>
      </c>
      <c r="AW177">
        <f>IF(AND(VLOOKUP(AW$1,main!$A$3:$H$102,7,FALSE)=main!$G$104,VLOOKUP(AW$1,main!$A$3:$H$102,5,FALSE)-VLOOKUP($A177,main!$A$3:$H$102,6,FALSE)&gt;=main!$D$103+VLOOKUP(VLOOKUP(AW$1,main!$A$3:$I$102,7,FALSE),main!$K$26:$Q$29,4,FALSE)),1,0)</f>
        <v>0</v>
      </c>
      <c r="AX177">
        <f>IF(AND(VLOOKUP(AX$1,main!$A$3:$H$102,7,FALSE)=main!$G$104,VLOOKUP(AX$1,main!$A$3:$H$102,5,FALSE)-VLOOKUP($A177,main!$A$3:$H$102,6,FALSE)&gt;=main!$D$103+VLOOKUP(VLOOKUP(AX$1,main!$A$3:$I$102,7,FALSE),main!$K$26:$Q$29,4,FALSE)),1,0)</f>
        <v>0</v>
      </c>
      <c r="AY177">
        <f>IF(AND(VLOOKUP(AY$1,main!$A$3:$H$102,7,FALSE)=main!$G$104,VLOOKUP(AY$1,main!$A$3:$H$102,5,FALSE)-VLOOKUP($A177,main!$A$3:$H$102,6,FALSE)&gt;=main!$D$103+VLOOKUP(VLOOKUP(AY$1,main!$A$3:$I$102,7,FALSE),main!$K$26:$Q$29,4,FALSE)),1,0)</f>
        <v>0</v>
      </c>
      <c r="AZ177">
        <f>IF(AND(VLOOKUP(AZ$1,main!$A$3:$H$102,7,FALSE)=main!$G$104,VLOOKUP(AZ$1,main!$A$3:$H$102,5,FALSE)-VLOOKUP($A177,main!$A$3:$H$102,6,FALSE)&gt;=main!$D$103+VLOOKUP(VLOOKUP(AZ$1,main!$A$3:$I$102,7,FALSE),main!$K$26:$Q$29,4,FALSE)),1,0)</f>
        <v>0</v>
      </c>
      <c r="BA177">
        <f>IF(AND(VLOOKUP(BA$1,main!$A$3:$H$102,7,FALSE)=main!$G$104,VLOOKUP(BA$1,main!$A$3:$H$102,5,FALSE)-VLOOKUP($A177,main!$A$3:$H$102,6,FALSE)&gt;=main!$D$103+VLOOKUP(VLOOKUP(BA$1,main!$A$3:$I$102,7,FALSE),main!$K$26:$Q$29,4,FALSE)),1,0)</f>
        <v>0</v>
      </c>
      <c r="BB177">
        <f>IF(AND(VLOOKUP(BB$1,main!$A$3:$H$102,7,FALSE)=main!$G$104,VLOOKUP(BB$1,main!$A$3:$H$102,5,FALSE)-VLOOKUP($A177,main!$A$3:$H$102,6,FALSE)&gt;=main!$D$103+VLOOKUP(VLOOKUP(BB$1,main!$A$3:$I$102,7,FALSE),main!$K$26:$Q$29,4,FALSE)),1,0)</f>
        <v>0</v>
      </c>
      <c r="BC177">
        <f>IF(AND(VLOOKUP(BC$1,main!$A$3:$H$102,7,FALSE)=main!$G$104,VLOOKUP(BC$1,main!$A$3:$H$102,5,FALSE)-VLOOKUP($A177,main!$A$3:$H$102,6,FALSE)&gt;=main!$D$103+VLOOKUP(VLOOKUP(BC$1,main!$A$3:$I$102,7,FALSE),main!$K$26:$Q$29,4,FALSE)),1,0)</f>
        <v>0</v>
      </c>
      <c r="BD177">
        <f>IF(AND(VLOOKUP(BD$1,main!$A$3:$H$102,7,FALSE)=main!$G$104,VLOOKUP(BD$1,main!$A$3:$H$102,5,FALSE)-VLOOKUP($A177,main!$A$3:$H$102,6,FALSE)&gt;=main!$D$103+VLOOKUP(VLOOKUP(BD$1,main!$A$3:$I$102,7,FALSE),main!$K$26:$Q$29,4,FALSE)),1,0)</f>
        <v>0</v>
      </c>
      <c r="BE177">
        <f>IF(AND(VLOOKUP(BE$1,main!$A$3:$H$102,7,FALSE)=main!$G$104,VLOOKUP(BE$1,main!$A$3:$H$102,5,FALSE)-VLOOKUP($A177,main!$A$3:$H$102,6,FALSE)&gt;=main!$D$103+VLOOKUP(VLOOKUP(BE$1,main!$A$3:$I$102,7,FALSE),main!$K$26:$Q$29,4,FALSE)),1,0)</f>
        <v>0</v>
      </c>
      <c r="BF177">
        <f>IF(AND(VLOOKUP(BF$1,main!$A$3:$H$102,7,FALSE)=main!$G$104,VLOOKUP(BF$1,main!$A$3:$H$102,5,FALSE)-VLOOKUP($A177,main!$A$3:$H$102,6,FALSE)&gt;=main!$D$103+VLOOKUP(VLOOKUP(BF$1,main!$A$3:$I$102,7,FALSE),main!$K$26:$Q$29,4,FALSE)),1,0)</f>
        <v>0</v>
      </c>
      <c r="BG177">
        <f>IF(AND(VLOOKUP(BG$1,main!$A$3:$H$102,7,FALSE)=main!$G$104,VLOOKUP(BG$1,main!$A$3:$H$102,5,FALSE)-VLOOKUP($A177,main!$A$3:$H$102,6,FALSE)&gt;=main!$D$103+VLOOKUP(VLOOKUP(BG$1,main!$A$3:$I$102,7,FALSE),main!$K$26:$Q$29,4,FALSE)),1,0)</f>
        <v>0</v>
      </c>
      <c r="BH177">
        <f>IF(AND(VLOOKUP(BH$1,main!$A$3:$H$102,7,FALSE)=main!$G$104,VLOOKUP(BH$1,main!$A$3:$H$102,5,FALSE)-VLOOKUP($A177,main!$A$3:$H$102,6,FALSE)&gt;=main!$D$103+VLOOKUP(VLOOKUP(BH$1,main!$A$3:$I$102,7,FALSE),main!$K$26:$Q$29,4,FALSE)),1,0)</f>
        <v>0</v>
      </c>
      <c r="BI177">
        <f>IF(AND(VLOOKUP(BI$1,main!$A$3:$H$102,7,FALSE)=main!$G$104,VLOOKUP(BI$1,main!$A$3:$H$102,5,FALSE)-VLOOKUP($A177,main!$A$3:$H$102,6,FALSE)&gt;=main!$D$103+VLOOKUP(VLOOKUP(BI$1,main!$A$3:$I$102,7,FALSE),main!$K$26:$Q$29,4,FALSE)),1,0)</f>
        <v>0</v>
      </c>
      <c r="BJ177">
        <f>IF(AND(VLOOKUP(BJ$1,main!$A$3:$H$102,7,FALSE)=main!$G$104,VLOOKUP(BJ$1,main!$A$3:$H$102,5,FALSE)-VLOOKUP($A177,main!$A$3:$H$102,6,FALSE)&gt;=main!$D$103+VLOOKUP(VLOOKUP(BJ$1,main!$A$3:$I$102,7,FALSE),main!$K$26:$Q$29,4,FALSE)),1,0)</f>
        <v>0</v>
      </c>
      <c r="BK177">
        <f>IF(AND(VLOOKUP(BK$1,main!$A$3:$H$102,7,FALSE)=main!$G$104,VLOOKUP(BK$1,main!$A$3:$H$102,5,FALSE)-VLOOKUP($A177,main!$A$3:$H$102,6,FALSE)&gt;=main!$D$103+VLOOKUP(VLOOKUP(BK$1,main!$A$3:$I$102,7,FALSE),main!$K$26:$Q$29,4,FALSE)),1,0)</f>
        <v>0</v>
      </c>
      <c r="BL177">
        <f>IF(AND(VLOOKUP(BL$1,main!$A$3:$H$102,7,FALSE)=main!$G$104,VLOOKUP(BL$1,main!$A$3:$H$102,5,FALSE)-VLOOKUP($A177,main!$A$3:$H$102,6,FALSE)&gt;=main!$D$103+VLOOKUP(VLOOKUP(BL$1,main!$A$3:$I$102,7,FALSE),main!$K$26:$Q$29,4,FALSE)),1,0)</f>
        <v>0</v>
      </c>
      <c r="BM177">
        <f>IF(AND(VLOOKUP(BM$1,main!$A$3:$H$102,7,FALSE)=main!$G$104,VLOOKUP(BM$1,main!$A$3:$H$102,5,FALSE)-VLOOKUP($A177,main!$A$3:$H$102,6,FALSE)&gt;=main!$D$103+VLOOKUP(VLOOKUP(BM$1,main!$A$3:$I$102,7,FALSE),main!$K$26:$Q$29,4,FALSE)),1,0)</f>
        <v>0</v>
      </c>
      <c r="BN177">
        <f>IF(AND(VLOOKUP(BN$1,main!$A$3:$H$102,7,FALSE)=main!$G$104,VLOOKUP(BN$1,main!$A$3:$H$102,5,FALSE)-VLOOKUP($A177,main!$A$3:$H$102,6,FALSE)&gt;=main!$D$103+VLOOKUP(VLOOKUP(BN$1,main!$A$3:$I$102,7,FALSE),main!$K$26:$Q$29,4,FALSE)),1,0)</f>
        <v>0</v>
      </c>
      <c r="BO177">
        <f>IF(AND(VLOOKUP(BO$1,main!$A$3:$H$102,7,FALSE)=main!$G$104,VLOOKUP(BO$1,main!$A$3:$H$102,5,FALSE)-VLOOKUP($A177,main!$A$3:$H$102,6,FALSE)&gt;=main!$D$103+VLOOKUP(VLOOKUP(BO$1,main!$A$3:$I$102,7,FALSE),main!$K$26:$Q$29,4,FALSE)),1,0)</f>
        <v>0</v>
      </c>
      <c r="BP177">
        <f>IF(AND(VLOOKUP(BP$1,main!$A$3:$H$102,7,FALSE)=main!$G$104,VLOOKUP(BP$1,main!$A$3:$H$102,5,FALSE)-VLOOKUP($A177,main!$A$3:$H$102,6,FALSE)&gt;=main!$D$103+VLOOKUP(VLOOKUP(BP$1,main!$A$3:$I$102,7,FALSE),main!$K$26:$Q$29,4,FALSE)),1,0)</f>
        <v>0</v>
      </c>
      <c r="BQ177">
        <f>IF(AND(VLOOKUP(BQ$1,main!$A$3:$H$102,7,FALSE)=main!$G$104,VLOOKUP(BQ$1,main!$A$3:$H$102,5,FALSE)-VLOOKUP($A177,main!$A$3:$H$102,6,FALSE)&gt;=main!$D$103+VLOOKUP(VLOOKUP(BQ$1,main!$A$3:$I$102,7,FALSE),main!$K$26:$Q$29,4,FALSE)),1,0)</f>
        <v>0</v>
      </c>
      <c r="BR177">
        <f>IF(AND(VLOOKUP(BR$1,main!$A$3:$H$102,7,FALSE)=main!$G$104,VLOOKUP(BR$1,main!$A$3:$H$102,5,FALSE)-VLOOKUP($A177,main!$A$3:$H$102,6,FALSE)&gt;=main!$D$103+VLOOKUP(VLOOKUP(BR$1,main!$A$3:$I$102,7,FALSE),main!$K$26:$Q$29,4,FALSE)),1,0)</f>
        <v>0</v>
      </c>
      <c r="BS177">
        <f>IF(AND(VLOOKUP(BS$1,main!$A$3:$H$102,7,FALSE)=main!$G$104,VLOOKUP(BS$1,main!$A$3:$H$102,5,FALSE)-VLOOKUP($A177,main!$A$3:$H$102,6,FALSE)&gt;=main!$D$103+VLOOKUP(VLOOKUP(BS$1,main!$A$3:$I$102,7,FALSE),main!$K$26:$Q$29,4,FALSE)),1,0)</f>
        <v>0</v>
      </c>
      <c r="BT177">
        <f>IF(AND(VLOOKUP(BT$1,main!$A$3:$H$102,7,FALSE)=main!$G$104,VLOOKUP(BT$1,main!$A$3:$H$102,5,FALSE)-VLOOKUP($A177,main!$A$3:$H$102,6,FALSE)&gt;=main!$D$103+VLOOKUP(VLOOKUP(BT$1,main!$A$3:$I$102,7,FALSE),main!$K$26:$Q$29,4,FALSE)),1,0)</f>
        <v>0</v>
      </c>
      <c r="BU177">
        <f>IF(AND(VLOOKUP(BU$1,main!$A$3:$H$102,7,FALSE)=main!$G$104,VLOOKUP(BU$1,main!$A$3:$H$102,5,FALSE)-VLOOKUP($A177,main!$A$3:$H$102,6,FALSE)&gt;=main!$D$103+VLOOKUP(VLOOKUP(BU$1,main!$A$3:$I$102,7,FALSE),main!$K$26:$Q$29,4,FALSE)),1,0)</f>
        <v>0</v>
      </c>
      <c r="BV177">
        <f>IF(AND(VLOOKUP(BV$1,main!$A$3:$H$102,7,FALSE)=main!$G$104,VLOOKUP(BV$1,main!$A$3:$H$102,5,FALSE)-VLOOKUP($A177,main!$A$3:$H$102,6,FALSE)&gt;=main!$D$103+VLOOKUP(VLOOKUP(BV$1,main!$A$3:$I$102,7,FALSE),main!$K$26:$Q$29,4,FALSE)),1,0)</f>
        <v>0</v>
      </c>
      <c r="BW177">
        <f>IF(AND(VLOOKUP(BW$1,main!$A$3:$H$102,7,FALSE)=main!$G$104,VLOOKUP(BW$1,main!$A$3:$H$102,5,FALSE)-VLOOKUP($A177,main!$A$3:$H$102,6,FALSE)&gt;=main!$D$103+VLOOKUP(VLOOKUP(BW$1,main!$A$3:$I$102,7,FALSE),main!$K$26:$Q$29,4,FALSE)),1,0)</f>
        <v>0</v>
      </c>
      <c r="BX177">
        <f>IF(AND(VLOOKUP(BX$1,main!$A$3:$H$102,7,FALSE)=main!$G$104,VLOOKUP(BX$1,main!$A$3:$H$102,5,FALSE)-VLOOKUP($A177,main!$A$3:$H$102,6,FALSE)&gt;=main!$D$103+VLOOKUP(VLOOKUP(BX$1,main!$A$3:$I$102,7,FALSE),main!$K$26:$Q$29,4,FALSE)),1,0)</f>
        <v>0</v>
      </c>
      <c r="BY177">
        <f>IF(AND(VLOOKUP(BY$1,main!$A$3:$H$102,7,FALSE)=main!$G$104,VLOOKUP(BY$1,main!$A$3:$H$102,5,FALSE)-VLOOKUP($A177,main!$A$3:$H$102,6,FALSE)&gt;=main!$D$103+VLOOKUP(VLOOKUP(BY$1,main!$A$3:$I$102,7,FALSE),main!$K$26:$Q$29,4,FALSE)),1,0)</f>
        <v>0</v>
      </c>
      <c r="BZ177">
        <f>IF(AND(VLOOKUP(BZ$1,main!$A$3:$H$102,7,FALSE)=main!$G$104,VLOOKUP(BZ$1,main!$A$3:$H$102,5,FALSE)-VLOOKUP($A177,main!$A$3:$H$102,6,FALSE)&gt;=main!$D$103+VLOOKUP(VLOOKUP(BZ$1,main!$A$3:$I$102,7,FALSE),main!$K$26:$Q$29,4,FALSE)),1,0)</f>
        <v>0</v>
      </c>
      <c r="CA177">
        <f>IF(AND(VLOOKUP(CA$1,main!$A$3:$H$102,7,FALSE)=main!$G$104,VLOOKUP(CA$1,main!$A$3:$H$102,5,FALSE)-VLOOKUP($A177,main!$A$3:$H$102,6,FALSE)&gt;=main!$D$103+VLOOKUP(VLOOKUP(CA$1,main!$A$3:$I$102,7,FALSE),main!$K$26:$Q$29,4,FALSE)),1,0)</f>
        <v>0</v>
      </c>
      <c r="CB177">
        <f>IF(AND(VLOOKUP(CB$1,main!$A$3:$H$102,7,FALSE)=main!$G$104,VLOOKUP(CB$1,main!$A$3:$H$102,5,FALSE)-VLOOKUP($A177,main!$A$3:$H$102,6,FALSE)&gt;=main!$D$103+VLOOKUP(VLOOKUP(CB$1,main!$A$3:$I$102,7,FALSE),main!$K$26:$Q$29,4,FALSE)),1,0)</f>
        <v>0</v>
      </c>
      <c r="CC177">
        <f>IF(AND(VLOOKUP(CC$1,main!$A$3:$H$102,7,FALSE)=main!$G$104,VLOOKUP(CC$1,main!$A$3:$H$102,5,FALSE)-VLOOKUP($A177,main!$A$3:$H$102,6,FALSE)&gt;=main!$D$103+VLOOKUP(VLOOKUP(CC$1,main!$A$3:$I$102,7,FALSE),main!$K$26:$Q$29,4,FALSE)),1,0)</f>
        <v>0</v>
      </c>
      <c r="CD177">
        <f>IF(AND(VLOOKUP(CD$1,main!$A$3:$H$102,7,FALSE)=main!$G$104,VLOOKUP(CD$1,main!$A$3:$H$102,5,FALSE)-VLOOKUP($A177,main!$A$3:$H$102,6,FALSE)&gt;=main!$D$103+VLOOKUP(VLOOKUP(CD$1,main!$A$3:$I$102,7,FALSE),main!$K$26:$Q$29,4,FALSE)),1,0)</f>
        <v>0</v>
      </c>
      <c r="CE177">
        <f>IF(AND(VLOOKUP(CE$1,main!$A$3:$H$102,7,FALSE)=main!$G$104,VLOOKUP(CE$1,main!$A$3:$H$102,5,FALSE)-VLOOKUP($A177,main!$A$3:$H$102,6,FALSE)&gt;=main!$D$103+VLOOKUP(VLOOKUP(CE$1,main!$A$3:$I$102,7,FALSE),main!$K$26:$Q$29,4,FALSE)),1,0)</f>
        <v>0</v>
      </c>
      <c r="CF177">
        <f>IF(AND(VLOOKUP(CF$1,main!$A$3:$H$102,7,FALSE)=main!$G$104,VLOOKUP(CF$1,main!$A$3:$H$102,5,FALSE)-VLOOKUP($A177,main!$A$3:$H$102,6,FALSE)&gt;=main!$D$103+VLOOKUP(VLOOKUP(CF$1,main!$A$3:$I$102,7,FALSE),main!$K$26:$Q$29,4,FALSE)),1,0)</f>
        <v>0</v>
      </c>
      <c r="CG177">
        <f>IF(AND(VLOOKUP(CG$1,main!$A$3:$H$102,7,FALSE)=main!$G$104,VLOOKUP(CG$1,main!$A$3:$H$102,5,FALSE)-VLOOKUP($A177,main!$A$3:$H$102,6,FALSE)&gt;=main!$D$103+VLOOKUP(VLOOKUP(CG$1,main!$A$3:$I$102,7,FALSE),main!$K$26:$Q$29,4,FALSE)),1,0)</f>
        <v>0</v>
      </c>
      <c r="CH177">
        <f>IF(AND(VLOOKUP(CH$1,main!$A$3:$H$102,7,FALSE)=main!$G$104,VLOOKUP(CH$1,main!$A$3:$H$102,5,FALSE)-VLOOKUP($A177,main!$A$3:$H$102,6,FALSE)&gt;=main!$D$103+VLOOKUP(VLOOKUP(CH$1,main!$A$3:$I$102,7,FALSE),main!$K$26:$Q$29,4,FALSE)),1,0)</f>
        <v>0</v>
      </c>
      <c r="CI177">
        <f>IF(AND(VLOOKUP(CI$1,main!$A$3:$H$102,7,FALSE)=main!$G$104,VLOOKUP(CI$1,main!$A$3:$H$102,5,FALSE)-VLOOKUP($A177,main!$A$3:$H$102,6,FALSE)&gt;=main!$D$103+VLOOKUP(VLOOKUP(CI$1,main!$A$3:$I$102,7,FALSE),main!$K$26:$Q$29,4,FALSE)),1,0)</f>
        <v>0</v>
      </c>
      <c r="CJ177">
        <f>IF(AND(VLOOKUP(CJ$1,main!$A$3:$H$102,7,FALSE)=main!$G$104,VLOOKUP(CJ$1,main!$A$3:$H$102,5,FALSE)-VLOOKUP($A177,main!$A$3:$H$102,6,FALSE)&gt;=main!$D$103+VLOOKUP(VLOOKUP(CJ$1,main!$A$3:$I$102,7,FALSE),main!$K$26:$Q$29,4,FALSE)),1,0)</f>
        <v>0</v>
      </c>
      <c r="CK177">
        <f>IF(AND(VLOOKUP(CK$1,main!$A$3:$H$102,7,FALSE)=main!$G$104,VLOOKUP(CK$1,main!$A$3:$H$102,5,FALSE)-VLOOKUP($A177,main!$A$3:$H$102,6,FALSE)&gt;=main!$D$103+VLOOKUP(VLOOKUP(CK$1,main!$A$3:$I$102,7,FALSE),main!$K$26:$Q$29,4,FALSE)),1,0)</f>
        <v>0</v>
      </c>
      <c r="CL177">
        <f>IF(AND(VLOOKUP(CL$1,main!$A$3:$H$102,7,FALSE)=main!$G$104,VLOOKUP(CL$1,main!$A$3:$H$102,5,FALSE)-VLOOKUP($A177,main!$A$3:$H$102,6,FALSE)&gt;=main!$D$103+VLOOKUP(VLOOKUP(CL$1,main!$A$3:$I$102,7,FALSE),main!$K$26:$Q$29,4,FALSE)),1,0)</f>
        <v>0</v>
      </c>
      <c r="CM177">
        <f>IF(AND(VLOOKUP(CM$1,main!$A$3:$H$102,7,FALSE)=main!$G$104,VLOOKUP(CM$1,main!$A$3:$H$102,5,FALSE)-VLOOKUP($A177,main!$A$3:$H$102,6,FALSE)&gt;=main!$D$103+VLOOKUP(VLOOKUP(CM$1,main!$A$3:$I$102,7,FALSE),main!$K$26:$Q$29,4,FALSE)),1,0)</f>
        <v>0</v>
      </c>
      <c r="CN177">
        <f>IF(AND(VLOOKUP(CN$1,main!$A$3:$H$102,7,FALSE)=main!$G$104,VLOOKUP(CN$1,main!$A$3:$H$102,5,FALSE)-VLOOKUP($A177,main!$A$3:$H$102,6,FALSE)&gt;=main!$D$103+VLOOKUP(VLOOKUP(CN$1,main!$A$3:$I$102,7,FALSE),main!$K$26:$Q$29,4,FALSE)),1,0)</f>
        <v>0</v>
      </c>
      <c r="CO177">
        <f>IF(AND(VLOOKUP(CO$1,main!$A$3:$H$102,7,FALSE)=main!$G$104,VLOOKUP(CO$1,main!$A$3:$H$102,5,FALSE)-VLOOKUP($A177,main!$A$3:$H$102,6,FALSE)&gt;=main!$D$103+VLOOKUP(VLOOKUP(CO$1,main!$A$3:$I$102,7,FALSE),main!$K$26:$Q$29,4,FALSE)),1,0)</f>
        <v>0</v>
      </c>
      <c r="CP177">
        <f>IF(AND(VLOOKUP(CP$1,main!$A$3:$H$102,7,FALSE)=main!$G$104,VLOOKUP(CP$1,main!$A$3:$H$102,5,FALSE)-VLOOKUP($A177,main!$A$3:$H$102,6,FALSE)&gt;=main!$D$103+VLOOKUP(VLOOKUP(CP$1,main!$A$3:$I$102,7,FALSE),main!$K$26:$Q$29,4,FALSE)),1,0)</f>
        <v>0</v>
      </c>
      <c r="CQ177">
        <f>IF(AND(VLOOKUP(CQ$1,main!$A$3:$H$102,7,FALSE)=main!$G$104,VLOOKUP(CQ$1,main!$A$3:$H$102,5,FALSE)-VLOOKUP($A177,main!$A$3:$H$102,6,FALSE)&gt;=main!$D$103+VLOOKUP(VLOOKUP(CQ$1,main!$A$3:$I$102,7,FALSE),main!$K$26:$Q$29,4,FALSE)),1,0)</f>
        <v>0</v>
      </c>
      <c r="CR177">
        <f>IF(AND(VLOOKUP(CR$1,main!$A$3:$H$102,7,FALSE)=main!$G$104,VLOOKUP(CR$1,main!$A$3:$H$102,5,FALSE)-VLOOKUP($A177,main!$A$3:$H$102,6,FALSE)&gt;=main!$D$103+VLOOKUP(VLOOKUP(CR$1,main!$A$3:$I$102,7,FALSE),main!$K$26:$Q$29,4,FALSE)),1,0)</f>
        <v>0</v>
      </c>
      <c r="CS177">
        <f>IF(AND(VLOOKUP(CS$1,main!$A$3:$H$102,7,FALSE)=main!$G$104,VLOOKUP(CS$1,main!$A$3:$H$102,5,FALSE)-VLOOKUP($A177,main!$A$3:$H$102,6,FALSE)&gt;=main!$D$103+VLOOKUP(VLOOKUP(CS$1,main!$A$3:$I$102,7,FALSE),main!$K$26:$Q$29,4,FALSE)),1,0)</f>
        <v>0</v>
      </c>
      <c r="CT177">
        <f>IF(AND(VLOOKUP(CT$1,main!$A$3:$H$102,7,FALSE)=main!$G$104,VLOOKUP(CT$1,main!$A$3:$H$102,5,FALSE)-VLOOKUP($A177,main!$A$3:$H$102,6,FALSE)&gt;=main!$D$103+VLOOKUP(VLOOKUP(CT$1,main!$A$3:$I$102,7,FALSE),main!$K$26:$Q$29,4,FALSE)),1,0)</f>
        <v>0</v>
      </c>
      <c r="CU177">
        <f>IF(AND(VLOOKUP(CU$1,main!$A$3:$H$102,7,FALSE)=main!$G$104,VLOOKUP(CU$1,main!$A$3:$H$102,5,FALSE)-VLOOKUP($A177,main!$A$3:$H$102,6,FALSE)&gt;=main!$D$103+VLOOKUP(VLOOKUP(CU$1,main!$A$3:$I$102,7,FALSE),main!$K$26:$Q$29,4,FALSE)),1,0)</f>
        <v>0</v>
      </c>
      <c r="CV177">
        <f>IF(AND(VLOOKUP(CV$1,main!$A$3:$H$102,7,FALSE)=main!$G$104,VLOOKUP(CV$1,main!$A$3:$H$102,5,FALSE)-VLOOKUP($A177,main!$A$3:$H$102,6,FALSE)&gt;=main!$D$103+VLOOKUP(VLOOKUP(CV$1,main!$A$3:$I$102,7,FALSE),main!$K$26:$Q$29,4,FALSE)),1,0)</f>
        <v>0</v>
      </c>
      <c r="CW177">
        <f>IF(AND(VLOOKUP(CW$1,main!$A$3:$H$102,7,FALSE)=main!$G$104,VLOOKUP(CW$1,main!$A$3:$H$102,5,FALSE)-VLOOKUP($A177,main!$A$3:$H$102,6,FALSE)&gt;=main!$D$103+VLOOKUP(VLOOKUP(CW$1,main!$A$3:$I$102,7,FALSE),main!$K$26:$Q$29,4,FALSE)),1,0)</f>
        <v>0</v>
      </c>
      <c r="CX177">
        <f>IF(AND(VLOOKUP(CX$1,main!$A$3:$H$102,7,FALSE)=main!$G$104,VLOOKUP(CX$1,main!$A$3:$H$102,5,FALSE)-VLOOKUP($A177,main!$A$3:$H$102,6,FALSE)&gt;=main!$D$103+VLOOKUP(VLOOKUP(CX$1,main!$A$3:$I$102,7,FALSE),main!$K$26:$Q$29,4,FALSE)),1,0)</f>
        <v>0</v>
      </c>
    </row>
    <row r="178" spans="1:102" x14ac:dyDescent="0.25">
      <c r="A178" s="1">
        <v>75</v>
      </c>
      <c r="B178">
        <v>0</v>
      </c>
      <c r="C178">
        <f>IF(AND(VLOOKUP(C$1,main!$A$3:$H$102,7,FALSE)=main!$G$104,VLOOKUP(C$1,main!$A$3:$H$102,5,FALSE)-VLOOKUP($A178,main!$A$3:$H$102,6,FALSE)&gt;=main!$D$103+VLOOKUP(VLOOKUP(C$1,main!$A$3:$I$102,7,FALSE),main!$K$26:$Q$29,4,FALSE)),1,0)</f>
        <v>0</v>
      </c>
      <c r="D178">
        <f>IF(AND(VLOOKUP(D$1,main!$A$3:$H$102,7,FALSE)=main!$G$104,VLOOKUP(D$1,main!$A$3:$H$102,5,FALSE)-VLOOKUP($A178,main!$A$3:$H$102,6,FALSE)&gt;=main!$D$103+VLOOKUP(VLOOKUP(D$1,main!$A$3:$I$102,7,FALSE),main!$K$26:$Q$29,4,FALSE)),1,0)</f>
        <v>0</v>
      </c>
      <c r="E178">
        <f>IF(AND(VLOOKUP(E$1,main!$A$3:$H$102,7,FALSE)=main!$G$104,VLOOKUP(E$1,main!$A$3:$H$102,5,FALSE)-VLOOKUP($A178,main!$A$3:$H$102,6,FALSE)&gt;=main!$D$103+VLOOKUP(VLOOKUP(E$1,main!$A$3:$I$102,7,FALSE),main!$K$26:$Q$29,4,FALSE)),1,0)</f>
        <v>0</v>
      </c>
      <c r="F178">
        <f>IF(AND(VLOOKUP(F$1,main!$A$3:$H$102,7,FALSE)=main!$G$104,VLOOKUP(F$1,main!$A$3:$H$102,5,FALSE)-VLOOKUP($A178,main!$A$3:$H$102,6,FALSE)&gt;=main!$D$103+VLOOKUP(VLOOKUP(F$1,main!$A$3:$I$102,7,FALSE),main!$K$26:$Q$29,4,FALSE)),1,0)</f>
        <v>0</v>
      </c>
      <c r="G178">
        <f>IF(AND(VLOOKUP(G$1,main!$A$3:$H$102,7,FALSE)=main!$G$104,VLOOKUP(G$1,main!$A$3:$H$102,5,FALSE)-VLOOKUP($A178,main!$A$3:$H$102,6,FALSE)&gt;=main!$D$103+VLOOKUP(VLOOKUP(G$1,main!$A$3:$I$102,7,FALSE),main!$K$26:$Q$29,4,FALSE)),1,0)</f>
        <v>0</v>
      </c>
      <c r="H178">
        <f>IF(AND(VLOOKUP(H$1,main!$A$3:$H$102,7,FALSE)=main!$G$104,VLOOKUP(H$1,main!$A$3:$H$102,5,FALSE)-VLOOKUP($A178,main!$A$3:$H$102,6,FALSE)&gt;=main!$D$103+VLOOKUP(VLOOKUP(H$1,main!$A$3:$I$102,7,FALSE),main!$K$26:$Q$29,4,FALSE)),1,0)</f>
        <v>0</v>
      </c>
      <c r="I178">
        <f>IF(AND(VLOOKUP(I$1,main!$A$3:$H$102,7,FALSE)=main!$G$104,VLOOKUP(I$1,main!$A$3:$H$102,5,FALSE)-VLOOKUP($A178,main!$A$3:$H$102,6,FALSE)&gt;=main!$D$103+VLOOKUP(VLOOKUP(I$1,main!$A$3:$I$102,7,FALSE),main!$K$26:$Q$29,4,FALSE)),1,0)</f>
        <v>0</v>
      </c>
      <c r="J178">
        <f>IF(AND(VLOOKUP(J$1,main!$A$3:$H$102,7,FALSE)=main!$G$104,VLOOKUP(J$1,main!$A$3:$H$102,5,FALSE)-VLOOKUP($A178,main!$A$3:$H$102,6,FALSE)&gt;=main!$D$103+VLOOKUP(VLOOKUP(J$1,main!$A$3:$I$102,7,FALSE),main!$K$26:$Q$29,4,FALSE)),1,0)</f>
        <v>1</v>
      </c>
      <c r="K178">
        <f>IF(AND(VLOOKUP(K$1,main!$A$3:$H$102,7,FALSE)=main!$G$104,VLOOKUP(K$1,main!$A$3:$H$102,5,FALSE)-VLOOKUP($A178,main!$A$3:$H$102,6,FALSE)&gt;=main!$D$103+VLOOKUP(VLOOKUP(K$1,main!$A$3:$I$102,7,FALSE),main!$K$26:$Q$29,4,FALSE)),1,0)</f>
        <v>1</v>
      </c>
      <c r="L178">
        <f>IF(AND(VLOOKUP(L$1,main!$A$3:$H$102,7,FALSE)=main!$G$104,VLOOKUP(L$1,main!$A$3:$H$102,5,FALSE)-VLOOKUP($A178,main!$A$3:$H$102,6,FALSE)&gt;=main!$D$103+VLOOKUP(VLOOKUP(L$1,main!$A$3:$I$102,7,FALSE),main!$K$26:$Q$29,4,FALSE)),1,0)</f>
        <v>1</v>
      </c>
      <c r="M178">
        <f>IF(AND(VLOOKUP(M$1,main!$A$3:$H$102,7,FALSE)=main!$G$104,VLOOKUP(M$1,main!$A$3:$H$102,5,FALSE)-VLOOKUP($A178,main!$A$3:$H$102,6,FALSE)&gt;=main!$D$103+VLOOKUP(VLOOKUP(M$1,main!$A$3:$I$102,7,FALSE),main!$K$26:$Q$29,4,FALSE)),1,0)</f>
        <v>0</v>
      </c>
      <c r="N178">
        <f>IF(AND(VLOOKUP(N$1,main!$A$3:$H$102,7,FALSE)=main!$G$104,VLOOKUP(N$1,main!$A$3:$H$102,5,FALSE)-VLOOKUP($A178,main!$A$3:$H$102,6,FALSE)&gt;=main!$D$103+VLOOKUP(VLOOKUP(N$1,main!$A$3:$I$102,7,FALSE),main!$K$26:$Q$29,4,FALSE)),1,0)</f>
        <v>0</v>
      </c>
      <c r="O178">
        <f>IF(AND(VLOOKUP(O$1,main!$A$3:$H$102,7,FALSE)=main!$G$104,VLOOKUP(O$1,main!$A$3:$H$102,5,FALSE)-VLOOKUP($A178,main!$A$3:$H$102,6,FALSE)&gt;=main!$D$103+VLOOKUP(VLOOKUP(O$1,main!$A$3:$I$102,7,FALSE),main!$K$26:$Q$29,4,FALSE)),1,0)</f>
        <v>0</v>
      </c>
      <c r="P178">
        <f>IF(AND(VLOOKUP(P$1,main!$A$3:$H$102,7,FALSE)=main!$G$104,VLOOKUP(P$1,main!$A$3:$H$102,5,FALSE)-VLOOKUP($A178,main!$A$3:$H$102,6,FALSE)&gt;=main!$D$103+VLOOKUP(VLOOKUP(P$1,main!$A$3:$I$102,7,FALSE),main!$K$26:$Q$29,4,FALSE)),1,0)</f>
        <v>0</v>
      </c>
      <c r="Q178">
        <f>IF(AND(VLOOKUP(Q$1,main!$A$3:$H$102,7,FALSE)=main!$G$104,VLOOKUP(Q$1,main!$A$3:$H$102,5,FALSE)-VLOOKUP($A178,main!$A$3:$H$102,6,FALSE)&gt;=main!$D$103+VLOOKUP(VLOOKUP(Q$1,main!$A$3:$I$102,7,FALSE),main!$K$26:$Q$29,4,FALSE)),1,0)</f>
        <v>0</v>
      </c>
      <c r="R178">
        <f>IF(AND(VLOOKUP(R$1,main!$A$3:$H$102,7,FALSE)=main!$G$104,VLOOKUP(R$1,main!$A$3:$H$102,5,FALSE)-VLOOKUP($A178,main!$A$3:$H$102,6,FALSE)&gt;=main!$D$103+VLOOKUP(VLOOKUP(R$1,main!$A$3:$I$102,7,FALSE),main!$K$26:$Q$29,4,FALSE)),1,0)</f>
        <v>0</v>
      </c>
      <c r="S178">
        <f>IF(AND(VLOOKUP(S$1,main!$A$3:$H$102,7,FALSE)=main!$G$104,VLOOKUP(S$1,main!$A$3:$H$102,5,FALSE)-VLOOKUP($A178,main!$A$3:$H$102,6,FALSE)&gt;=main!$D$103+VLOOKUP(VLOOKUP(S$1,main!$A$3:$I$102,7,FALSE),main!$K$26:$Q$29,4,FALSE)),1,0)</f>
        <v>0</v>
      </c>
      <c r="T178">
        <f>IF(AND(VLOOKUP(T$1,main!$A$3:$H$102,7,FALSE)=main!$G$104,VLOOKUP(T$1,main!$A$3:$H$102,5,FALSE)-VLOOKUP($A178,main!$A$3:$H$102,6,FALSE)&gt;=main!$D$103+VLOOKUP(VLOOKUP(T$1,main!$A$3:$I$102,7,FALSE),main!$K$26:$Q$29,4,FALSE)),1,0)</f>
        <v>0</v>
      </c>
      <c r="U178">
        <f>IF(AND(VLOOKUP(U$1,main!$A$3:$H$102,7,FALSE)=main!$G$104,VLOOKUP(U$1,main!$A$3:$H$102,5,FALSE)-VLOOKUP($A178,main!$A$3:$H$102,6,FALSE)&gt;=main!$D$103+VLOOKUP(VLOOKUP(U$1,main!$A$3:$I$102,7,FALSE),main!$K$26:$Q$29,4,FALSE)),1,0)</f>
        <v>1</v>
      </c>
      <c r="V178">
        <f>IF(AND(VLOOKUP(V$1,main!$A$3:$H$102,7,FALSE)=main!$G$104,VLOOKUP(V$1,main!$A$3:$H$102,5,FALSE)-VLOOKUP($A178,main!$A$3:$H$102,6,FALSE)&gt;=main!$D$103+VLOOKUP(VLOOKUP(V$1,main!$A$3:$I$102,7,FALSE),main!$K$26:$Q$29,4,FALSE)),1,0)</f>
        <v>1</v>
      </c>
      <c r="W178">
        <f>IF(AND(VLOOKUP(W$1,main!$A$3:$H$102,7,FALSE)=main!$G$104,VLOOKUP(W$1,main!$A$3:$H$102,5,FALSE)-VLOOKUP($A178,main!$A$3:$H$102,6,FALSE)&gt;=main!$D$103+VLOOKUP(VLOOKUP(W$1,main!$A$3:$I$102,7,FALSE),main!$K$26:$Q$29,4,FALSE)),1,0)</f>
        <v>0</v>
      </c>
      <c r="X178">
        <f>IF(AND(VLOOKUP(X$1,main!$A$3:$H$102,7,FALSE)=main!$G$104,VLOOKUP(X$1,main!$A$3:$H$102,5,FALSE)-VLOOKUP($A178,main!$A$3:$H$102,6,FALSE)&gt;=main!$D$103+VLOOKUP(VLOOKUP(X$1,main!$A$3:$I$102,7,FALSE),main!$K$26:$Q$29,4,FALSE)),1,0)</f>
        <v>0</v>
      </c>
      <c r="Y178">
        <f>IF(AND(VLOOKUP(Y$1,main!$A$3:$H$102,7,FALSE)=main!$G$104,VLOOKUP(Y$1,main!$A$3:$H$102,5,FALSE)-VLOOKUP($A178,main!$A$3:$H$102,6,FALSE)&gt;=main!$D$103+VLOOKUP(VLOOKUP(Y$1,main!$A$3:$I$102,7,FALSE),main!$K$26:$Q$29,4,FALSE)),1,0)</f>
        <v>0</v>
      </c>
      <c r="Z178">
        <f>IF(AND(VLOOKUP(Z$1,main!$A$3:$H$102,7,FALSE)=main!$G$104,VLOOKUP(Z$1,main!$A$3:$H$102,5,FALSE)-VLOOKUP($A178,main!$A$3:$H$102,6,FALSE)&gt;=main!$D$103+VLOOKUP(VLOOKUP(Z$1,main!$A$3:$I$102,7,FALSE),main!$K$26:$Q$29,4,FALSE)),1,0)</f>
        <v>0</v>
      </c>
      <c r="AA178">
        <f>IF(AND(VLOOKUP(AA$1,main!$A$3:$H$102,7,FALSE)=main!$G$104,VLOOKUP(AA$1,main!$A$3:$H$102,5,FALSE)-VLOOKUP($A178,main!$A$3:$H$102,6,FALSE)&gt;=main!$D$103+VLOOKUP(VLOOKUP(AA$1,main!$A$3:$I$102,7,FALSE),main!$K$26:$Q$29,4,FALSE)),1,0)</f>
        <v>1</v>
      </c>
      <c r="AB178">
        <f>IF(AND(VLOOKUP(AB$1,main!$A$3:$H$102,7,FALSE)=main!$G$104,VLOOKUP(AB$1,main!$A$3:$H$102,5,FALSE)-VLOOKUP($A178,main!$A$3:$H$102,6,FALSE)&gt;=main!$D$103+VLOOKUP(VLOOKUP(AB$1,main!$A$3:$I$102,7,FALSE),main!$K$26:$Q$29,4,FALSE)),1,0)</f>
        <v>0</v>
      </c>
      <c r="AC178">
        <f>IF(AND(VLOOKUP(AC$1,main!$A$3:$H$102,7,FALSE)=main!$G$104,VLOOKUP(AC$1,main!$A$3:$H$102,5,FALSE)-VLOOKUP($A178,main!$A$3:$H$102,6,FALSE)&gt;=main!$D$103+VLOOKUP(VLOOKUP(AC$1,main!$A$3:$I$102,7,FALSE),main!$K$26:$Q$29,4,FALSE)),1,0)</f>
        <v>0</v>
      </c>
      <c r="AD178">
        <f>IF(AND(VLOOKUP(AD$1,main!$A$3:$H$102,7,FALSE)=main!$G$104,VLOOKUP(AD$1,main!$A$3:$H$102,5,FALSE)-VLOOKUP($A178,main!$A$3:$H$102,6,FALSE)&gt;=main!$D$103+VLOOKUP(VLOOKUP(AD$1,main!$A$3:$I$102,7,FALSE),main!$K$26:$Q$29,4,FALSE)),1,0)</f>
        <v>0</v>
      </c>
      <c r="AE178">
        <f>IF(AND(VLOOKUP(AE$1,main!$A$3:$H$102,7,FALSE)=main!$G$104,VLOOKUP(AE$1,main!$A$3:$H$102,5,FALSE)-VLOOKUP($A178,main!$A$3:$H$102,6,FALSE)&gt;=main!$D$103+VLOOKUP(VLOOKUP(AE$1,main!$A$3:$I$102,7,FALSE),main!$K$26:$Q$29,4,FALSE)),1,0)</f>
        <v>0</v>
      </c>
      <c r="AF178">
        <f>IF(AND(VLOOKUP(AF$1,main!$A$3:$H$102,7,FALSE)=main!$G$104,VLOOKUP(AF$1,main!$A$3:$H$102,5,FALSE)-VLOOKUP($A178,main!$A$3:$H$102,6,FALSE)&gt;=main!$D$103+VLOOKUP(VLOOKUP(AF$1,main!$A$3:$I$102,7,FALSE),main!$K$26:$Q$29,4,FALSE)),1,0)</f>
        <v>1</v>
      </c>
      <c r="AG178">
        <f>IF(AND(VLOOKUP(AG$1,main!$A$3:$H$102,7,FALSE)=main!$G$104,VLOOKUP(AG$1,main!$A$3:$H$102,5,FALSE)-VLOOKUP($A178,main!$A$3:$H$102,6,FALSE)&gt;=main!$D$103+VLOOKUP(VLOOKUP(AG$1,main!$A$3:$I$102,7,FALSE),main!$K$26:$Q$29,4,FALSE)),1,0)</f>
        <v>0</v>
      </c>
      <c r="AH178">
        <f>IF(AND(VLOOKUP(AH$1,main!$A$3:$H$102,7,FALSE)=main!$G$104,VLOOKUP(AH$1,main!$A$3:$H$102,5,FALSE)-VLOOKUP($A178,main!$A$3:$H$102,6,FALSE)&gt;=main!$D$103+VLOOKUP(VLOOKUP(AH$1,main!$A$3:$I$102,7,FALSE),main!$K$26:$Q$29,4,FALSE)),1,0)</f>
        <v>0</v>
      </c>
      <c r="AI178">
        <f>IF(AND(VLOOKUP(AI$1,main!$A$3:$H$102,7,FALSE)=main!$G$104,VLOOKUP(AI$1,main!$A$3:$H$102,5,FALSE)-VLOOKUP($A178,main!$A$3:$H$102,6,FALSE)&gt;=main!$D$103+VLOOKUP(VLOOKUP(AI$1,main!$A$3:$I$102,7,FALSE),main!$K$26:$Q$29,4,FALSE)),1,0)</f>
        <v>0</v>
      </c>
      <c r="AJ178">
        <f>IF(AND(VLOOKUP(AJ$1,main!$A$3:$H$102,7,FALSE)=main!$G$104,VLOOKUP(AJ$1,main!$A$3:$H$102,5,FALSE)-VLOOKUP($A178,main!$A$3:$H$102,6,FALSE)&gt;=main!$D$103+VLOOKUP(VLOOKUP(AJ$1,main!$A$3:$I$102,7,FALSE),main!$K$26:$Q$29,4,FALSE)),1,0)</f>
        <v>0</v>
      </c>
      <c r="AK178">
        <f>IF(AND(VLOOKUP(AK$1,main!$A$3:$H$102,7,FALSE)=main!$G$104,VLOOKUP(AK$1,main!$A$3:$H$102,5,FALSE)-VLOOKUP($A178,main!$A$3:$H$102,6,FALSE)&gt;=main!$D$103+VLOOKUP(VLOOKUP(AK$1,main!$A$3:$I$102,7,FALSE),main!$K$26:$Q$29,4,FALSE)),1,0)</f>
        <v>0</v>
      </c>
      <c r="AL178">
        <f>IF(AND(VLOOKUP(AL$1,main!$A$3:$H$102,7,FALSE)=main!$G$104,VLOOKUP(AL$1,main!$A$3:$H$102,5,FALSE)-VLOOKUP($A178,main!$A$3:$H$102,6,FALSE)&gt;=main!$D$103+VLOOKUP(VLOOKUP(AL$1,main!$A$3:$I$102,7,FALSE),main!$K$26:$Q$29,4,FALSE)),1,0)</f>
        <v>0</v>
      </c>
      <c r="AM178">
        <f>IF(AND(VLOOKUP(AM$1,main!$A$3:$H$102,7,FALSE)=main!$G$104,VLOOKUP(AM$1,main!$A$3:$H$102,5,FALSE)-VLOOKUP($A178,main!$A$3:$H$102,6,FALSE)&gt;=main!$D$103+VLOOKUP(VLOOKUP(AM$1,main!$A$3:$I$102,7,FALSE),main!$K$26:$Q$29,4,FALSE)),1,0)</f>
        <v>0</v>
      </c>
      <c r="AN178">
        <f>IF(AND(VLOOKUP(AN$1,main!$A$3:$H$102,7,FALSE)=main!$G$104,VLOOKUP(AN$1,main!$A$3:$H$102,5,FALSE)-VLOOKUP($A178,main!$A$3:$H$102,6,FALSE)&gt;=main!$D$103+VLOOKUP(VLOOKUP(AN$1,main!$A$3:$I$102,7,FALSE),main!$K$26:$Q$29,4,FALSE)),1,0)</f>
        <v>0</v>
      </c>
      <c r="AO178">
        <f>IF(AND(VLOOKUP(AO$1,main!$A$3:$H$102,7,FALSE)=main!$G$104,VLOOKUP(AO$1,main!$A$3:$H$102,5,FALSE)-VLOOKUP($A178,main!$A$3:$H$102,6,FALSE)&gt;=main!$D$103+VLOOKUP(VLOOKUP(AO$1,main!$A$3:$I$102,7,FALSE),main!$K$26:$Q$29,4,FALSE)),1,0)</f>
        <v>0</v>
      </c>
      <c r="AP178">
        <f>IF(AND(VLOOKUP(AP$1,main!$A$3:$H$102,7,FALSE)=main!$G$104,VLOOKUP(AP$1,main!$A$3:$H$102,5,FALSE)-VLOOKUP($A178,main!$A$3:$H$102,6,FALSE)&gt;=main!$D$103+VLOOKUP(VLOOKUP(AP$1,main!$A$3:$I$102,7,FALSE),main!$K$26:$Q$29,4,FALSE)),1,0)</f>
        <v>0</v>
      </c>
      <c r="AQ178">
        <f>IF(AND(VLOOKUP(AQ$1,main!$A$3:$H$102,7,FALSE)=main!$G$104,VLOOKUP(AQ$1,main!$A$3:$H$102,5,FALSE)-VLOOKUP($A178,main!$A$3:$H$102,6,FALSE)&gt;=main!$D$103+VLOOKUP(VLOOKUP(AQ$1,main!$A$3:$I$102,7,FALSE),main!$K$26:$Q$29,4,FALSE)),1,0)</f>
        <v>0</v>
      </c>
      <c r="AR178">
        <f>IF(AND(VLOOKUP(AR$1,main!$A$3:$H$102,7,FALSE)=main!$G$104,VLOOKUP(AR$1,main!$A$3:$H$102,5,FALSE)-VLOOKUP($A178,main!$A$3:$H$102,6,FALSE)&gt;=main!$D$103+VLOOKUP(VLOOKUP(AR$1,main!$A$3:$I$102,7,FALSE),main!$K$26:$Q$29,4,FALSE)),1,0)</f>
        <v>0</v>
      </c>
      <c r="AS178">
        <f>IF(AND(VLOOKUP(AS$1,main!$A$3:$H$102,7,FALSE)=main!$G$104,VLOOKUP(AS$1,main!$A$3:$H$102,5,FALSE)-VLOOKUP($A178,main!$A$3:$H$102,6,FALSE)&gt;=main!$D$103+VLOOKUP(VLOOKUP(AS$1,main!$A$3:$I$102,7,FALSE),main!$K$26:$Q$29,4,FALSE)),1,0)</f>
        <v>0</v>
      </c>
      <c r="AT178">
        <f>IF(AND(VLOOKUP(AT$1,main!$A$3:$H$102,7,FALSE)=main!$G$104,VLOOKUP(AT$1,main!$A$3:$H$102,5,FALSE)-VLOOKUP($A178,main!$A$3:$H$102,6,FALSE)&gt;=main!$D$103+VLOOKUP(VLOOKUP(AT$1,main!$A$3:$I$102,7,FALSE),main!$K$26:$Q$29,4,FALSE)),1,0)</f>
        <v>0</v>
      </c>
      <c r="AU178">
        <f>IF(AND(VLOOKUP(AU$1,main!$A$3:$H$102,7,FALSE)=main!$G$104,VLOOKUP(AU$1,main!$A$3:$H$102,5,FALSE)-VLOOKUP($A178,main!$A$3:$H$102,6,FALSE)&gt;=main!$D$103+VLOOKUP(VLOOKUP(AU$1,main!$A$3:$I$102,7,FALSE),main!$K$26:$Q$29,4,FALSE)),1,0)</f>
        <v>0</v>
      </c>
      <c r="AV178">
        <f>IF(AND(VLOOKUP(AV$1,main!$A$3:$H$102,7,FALSE)=main!$G$104,VLOOKUP(AV$1,main!$A$3:$H$102,5,FALSE)-VLOOKUP($A178,main!$A$3:$H$102,6,FALSE)&gt;=main!$D$103+VLOOKUP(VLOOKUP(AV$1,main!$A$3:$I$102,7,FALSE),main!$K$26:$Q$29,4,FALSE)),1,0)</f>
        <v>0</v>
      </c>
      <c r="AW178">
        <f>IF(AND(VLOOKUP(AW$1,main!$A$3:$H$102,7,FALSE)=main!$G$104,VLOOKUP(AW$1,main!$A$3:$H$102,5,FALSE)-VLOOKUP($A178,main!$A$3:$H$102,6,FALSE)&gt;=main!$D$103+VLOOKUP(VLOOKUP(AW$1,main!$A$3:$I$102,7,FALSE),main!$K$26:$Q$29,4,FALSE)),1,0)</f>
        <v>0</v>
      </c>
      <c r="AX178">
        <f>IF(AND(VLOOKUP(AX$1,main!$A$3:$H$102,7,FALSE)=main!$G$104,VLOOKUP(AX$1,main!$A$3:$H$102,5,FALSE)-VLOOKUP($A178,main!$A$3:$H$102,6,FALSE)&gt;=main!$D$103+VLOOKUP(VLOOKUP(AX$1,main!$A$3:$I$102,7,FALSE),main!$K$26:$Q$29,4,FALSE)),1,0)</f>
        <v>0</v>
      </c>
      <c r="AY178">
        <f>IF(AND(VLOOKUP(AY$1,main!$A$3:$H$102,7,FALSE)=main!$G$104,VLOOKUP(AY$1,main!$A$3:$H$102,5,FALSE)-VLOOKUP($A178,main!$A$3:$H$102,6,FALSE)&gt;=main!$D$103+VLOOKUP(VLOOKUP(AY$1,main!$A$3:$I$102,7,FALSE),main!$K$26:$Q$29,4,FALSE)),1,0)</f>
        <v>0</v>
      </c>
      <c r="AZ178">
        <f>IF(AND(VLOOKUP(AZ$1,main!$A$3:$H$102,7,FALSE)=main!$G$104,VLOOKUP(AZ$1,main!$A$3:$H$102,5,FALSE)-VLOOKUP($A178,main!$A$3:$H$102,6,FALSE)&gt;=main!$D$103+VLOOKUP(VLOOKUP(AZ$1,main!$A$3:$I$102,7,FALSE),main!$K$26:$Q$29,4,FALSE)),1,0)</f>
        <v>0</v>
      </c>
      <c r="BA178">
        <f>IF(AND(VLOOKUP(BA$1,main!$A$3:$H$102,7,FALSE)=main!$G$104,VLOOKUP(BA$1,main!$A$3:$H$102,5,FALSE)-VLOOKUP($A178,main!$A$3:$H$102,6,FALSE)&gt;=main!$D$103+VLOOKUP(VLOOKUP(BA$1,main!$A$3:$I$102,7,FALSE),main!$K$26:$Q$29,4,FALSE)),1,0)</f>
        <v>0</v>
      </c>
      <c r="BB178">
        <f>IF(AND(VLOOKUP(BB$1,main!$A$3:$H$102,7,FALSE)=main!$G$104,VLOOKUP(BB$1,main!$A$3:$H$102,5,FALSE)-VLOOKUP($A178,main!$A$3:$H$102,6,FALSE)&gt;=main!$D$103+VLOOKUP(VLOOKUP(BB$1,main!$A$3:$I$102,7,FALSE),main!$K$26:$Q$29,4,FALSE)),1,0)</f>
        <v>0</v>
      </c>
      <c r="BC178">
        <f>IF(AND(VLOOKUP(BC$1,main!$A$3:$H$102,7,FALSE)=main!$G$104,VLOOKUP(BC$1,main!$A$3:$H$102,5,FALSE)-VLOOKUP($A178,main!$A$3:$H$102,6,FALSE)&gt;=main!$D$103+VLOOKUP(VLOOKUP(BC$1,main!$A$3:$I$102,7,FALSE),main!$K$26:$Q$29,4,FALSE)),1,0)</f>
        <v>0</v>
      </c>
      <c r="BD178">
        <f>IF(AND(VLOOKUP(BD$1,main!$A$3:$H$102,7,FALSE)=main!$G$104,VLOOKUP(BD$1,main!$A$3:$H$102,5,FALSE)-VLOOKUP($A178,main!$A$3:$H$102,6,FALSE)&gt;=main!$D$103+VLOOKUP(VLOOKUP(BD$1,main!$A$3:$I$102,7,FALSE),main!$K$26:$Q$29,4,FALSE)),1,0)</f>
        <v>0</v>
      </c>
      <c r="BE178">
        <f>IF(AND(VLOOKUP(BE$1,main!$A$3:$H$102,7,FALSE)=main!$G$104,VLOOKUP(BE$1,main!$A$3:$H$102,5,FALSE)-VLOOKUP($A178,main!$A$3:$H$102,6,FALSE)&gt;=main!$D$103+VLOOKUP(VLOOKUP(BE$1,main!$A$3:$I$102,7,FALSE),main!$K$26:$Q$29,4,FALSE)),1,0)</f>
        <v>0</v>
      </c>
      <c r="BF178">
        <f>IF(AND(VLOOKUP(BF$1,main!$A$3:$H$102,7,FALSE)=main!$G$104,VLOOKUP(BF$1,main!$A$3:$H$102,5,FALSE)-VLOOKUP($A178,main!$A$3:$H$102,6,FALSE)&gt;=main!$D$103+VLOOKUP(VLOOKUP(BF$1,main!$A$3:$I$102,7,FALSE),main!$K$26:$Q$29,4,FALSE)),1,0)</f>
        <v>0</v>
      </c>
      <c r="BG178">
        <f>IF(AND(VLOOKUP(BG$1,main!$A$3:$H$102,7,FALSE)=main!$G$104,VLOOKUP(BG$1,main!$A$3:$H$102,5,FALSE)-VLOOKUP($A178,main!$A$3:$H$102,6,FALSE)&gt;=main!$D$103+VLOOKUP(VLOOKUP(BG$1,main!$A$3:$I$102,7,FALSE),main!$K$26:$Q$29,4,FALSE)),1,0)</f>
        <v>0</v>
      </c>
      <c r="BH178">
        <f>IF(AND(VLOOKUP(BH$1,main!$A$3:$H$102,7,FALSE)=main!$G$104,VLOOKUP(BH$1,main!$A$3:$H$102,5,FALSE)-VLOOKUP($A178,main!$A$3:$H$102,6,FALSE)&gt;=main!$D$103+VLOOKUP(VLOOKUP(BH$1,main!$A$3:$I$102,7,FALSE),main!$K$26:$Q$29,4,FALSE)),1,0)</f>
        <v>0</v>
      </c>
      <c r="BI178">
        <f>IF(AND(VLOOKUP(BI$1,main!$A$3:$H$102,7,FALSE)=main!$G$104,VLOOKUP(BI$1,main!$A$3:$H$102,5,FALSE)-VLOOKUP($A178,main!$A$3:$H$102,6,FALSE)&gt;=main!$D$103+VLOOKUP(VLOOKUP(BI$1,main!$A$3:$I$102,7,FALSE),main!$K$26:$Q$29,4,FALSE)),1,0)</f>
        <v>0</v>
      </c>
      <c r="BJ178">
        <f>IF(AND(VLOOKUP(BJ$1,main!$A$3:$H$102,7,FALSE)=main!$G$104,VLOOKUP(BJ$1,main!$A$3:$H$102,5,FALSE)-VLOOKUP($A178,main!$A$3:$H$102,6,FALSE)&gt;=main!$D$103+VLOOKUP(VLOOKUP(BJ$1,main!$A$3:$I$102,7,FALSE),main!$K$26:$Q$29,4,FALSE)),1,0)</f>
        <v>0</v>
      </c>
      <c r="BK178">
        <f>IF(AND(VLOOKUP(BK$1,main!$A$3:$H$102,7,FALSE)=main!$G$104,VLOOKUP(BK$1,main!$A$3:$H$102,5,FALSE)-VLOOKUP($A178,main!$A$3:$H$102,6,FALSE)&gt;=main!$D$103+VLOOKUP(VLOOKUP(BK$1,main!$A$3:$I$102,7,FALSE),main!$K$26:$Q$29,4,FALSE)),1,0)</f>
        <v>0</v>
      </c>
      <c r="BL178">
        <f>IF(AND(VLOOKUP(BL$1,main!$A$3:$H$102,7,FALSE)=main!$G$104,VLOOKUP(BL$1,main!$A$3:$H$102,5,FALSE)-VLOOKUP($A178,main!$A$3:$H$102,6,FALSE)&gt;=main!$D$103+VLOOKUP(VLOOKUP(BL$1,main!$A$3:$I$102,7,FALSE),main!$K$26:$Q$29,4,FALSE)),1,0)</f>
        <v>0</v>
      </c>
      <c r="BM178">
        <f>IF(AND(VLOOKUP(BM$1,main!$A$3:$H$102,7,FALSE)=main!$G$104,VLOOKUP(BM$1,main!$A$3:$H$102,5,FALSE)-VLOOKUP($A178,main!$A$3:$H$102,6,FALSE)&gt;=main!$D$103+VLOOKUP(VLOOKUP(BM$1,main!$A$3:$I$102,7,FALSE),main!$K$26:$Q$29,4,FALSE)),1,0)</f>
        <v>0</v>
      </c>
      <c r="BN178">
        <f>IF(AND(VLOOKUP(BN$1,main!$A$3:$H$102,7,FALSE)=main!$G$104,VLOOKUP(BN$1,main!$A$3:$H$102,5,FALSE)-VLOOKUP($A178,main!$A$3:$H$102,6,FALSE)&gt;=main!$D$103+VLOOKUP(VLOOKUP(BN$1,main!$A$3:$I$102,7,FALSE),main!$K$26:$Q$29,4,FALSE)),1,0)</f>
        <v>0</v>
      </c>
      <c r="BO178">
        <f>IF(AND(VLOOKUP(BO$1,main!$A$3:$H$102,7,FALSE)=main!$G$104,VLOOKUP(BO$1,main!$A$3:$H$102,5,FALSE)-VLOOKUP($A178,main!$A$3:$H$102,6,FALSE)&gt;=main!$D$103+VLOOKUP(VLOOKUP(BO$1,main!$A$3:$I$102,7,FALSE),main!$K$26:$Q$29,4,FALSE)),1,0)</f>
        <v>0</v>
      </c>
      <c r="BP178">
        <f>IF(AND(VLOOKUP(BP$1,main!$A$3:$H$102,7,FALSE)=main!$G$104,VLOOKUP(BP$1,main!$A$3:$H$102,5,FALSE)-VLOOKUP($A178,main!$A$3:$H$102,6,FALSE)&gt;=main!$D$103+VLOOKUP(VLOOKUP(BP$1,main!$A$3:$I$102,7,FALSE),main!$K$26:$Q$29,4,FALSE)),1,0)</f>
        <v>0</v>
      </c>
      <c r="BQ178">
        <f>IF(AND(VLOOKUP(BQ$1,main!$A$3:$H$102,7,FALSE)=main!$G$104,VLOOKUP(BQ$1,main!$A$3:$H$102,5,FALSE)-VLOOKUP($A178,main!$A$3:$H$102,6,FALSE)&gt;=main!$D$103+VLOOKUP(VLOOKUP(BQ$1,main!$A$3:$I$102,7,FALSE),main!$K$26:$Q$29,4,FALSE)),1,0)</f>
        <v>0</v>
      </c>
      <c r="BR178">
        <f>IF(AND(VLOOKUP(BR$1,main!$A$3:$H$102,7,FALSE)=main!$G$104,VLOOKUP(BR$1,main!$A$3:$H$102,5,FALSE)-VLOOKUP($A178,main!$A$3:$H$102,6,FALSE)&gt;=main!$D$103+VLOOKUP(VLOOKUP(BR$1,main!$A$3:$I$102,7,FALSE),main!$K$26:$Q$29,4,FALSE)),1,0)</f>
        <v>0</v>
      </c>
      <c r="BS178">
        <f>IF(AND(VLOOKUP(BS$1,main!$A$3:$H$102,7,FALSE)=main!$G$104,VLOOKUP(BS$1,main!$A$3:$H$102,5,FALSE)-VLOOKUP($A178,main!$A$3:$H$102,6,FALSE)&gt;=main!$D$103+VLOOKUP(VLOOKUP(BS$1,main!$A$3:$I$102,7,FALSE),main!$K$26:$Q$29,4,FALSE)),1,0)</f>
        <v>0</v>
      </c>
      <c r="BT178">
        <f>IF(AND(VLOOKUP(BT$1,main!$A$3:$H$102,7,FALSE)=main!$G$104,VLOOKUP(BT$1,main!$A$3:$H$102,5,FALSE)-VLOOKUP($A178,main!$A$3:$H$102,6,FALSE)&gt;=main!$D$103+VLOOKUP(VLOOKUP(BT$1,main!$A$3:$I$102,7,FALSE),main!$K$26:$Q$29,4,FALSE)),1,0)</f>
        <v>0</v>
      </c>
      <c r="BU178">
        <f>IF(AND(VLOOKUP(BU$1,main!$A$3:$H$102,7,FALSE)=main!$G$104,VLOOKUP(BU$1,main!$A$3:$H$102,5,FALSE)-VLOOKUP($A178,main!$A$3:$H$102,6,FALSE)&gt;=main!$D$103+VLOOKUP(VLOOKUP(BU$1,main!$A$3:$I$102,7,FALSE),main!$K$26:$Q$29,4,FALSE)),1,0)</f>
        <v>0</v>
      </c>
      <c r="BV178">
        <f>IF(AND(VLOOKUP(BV$1,main!$A$3:$H$102,7,FALSE)=main!$G$104,VLOOKUP(BV$1,main!$A$3:$H$102,5,FALSE)-VLOOKUP($A178,main!$A$3:$H$102,6,FALSE)&gt;=main!$D$103+VLOOKUP(VLOOKUP(BV$1,main!$A$3:$I$102,7,FALSE),main!$K$26:$Q$29,4,FALSE)),1,0)</f>
        <v>0</v>
      </c>
      <c r="BW178">
        <f>IF(AND(VLOOKUP(BW$1,main!$A$3:$H$102,7,FALSE)=main!$G$104,VLOOKUP(BW$1,main!$A$3:$H$102,5,FALSE)-VLOOKUP($A178,main!$A$3:$H$102,6,FALSE)&gt;=main!$D$103+VLOOKUP(VLOOKUP(BW$1,main!$A$3:$I$102,7,FALSE),main!$K$26:$Q$29,4,FALSE)),1,0)</f>
        <v>0</v>
      </c>
      <c r="BX178">
        <f>IF(AND(VLOOKUP(BX$1,main!$A$3:$H$102,7,FALSE)=main!$G$104,VLOOKUP(BX$1,main!$A$3:$H$102,5,FALSE)-VLOOKUP($A178,main!$A$3:$H$102,6,FALSE)&gt;=main!$D$103+VLOOKUP(VLOOKUP(BX$1,main!$A$3:$I$102,7,FALSE),main!$K$26:$Q$29,4,FALSE)),1,0)</f>
        <v>0</v>
      </c>
      <c r="BY178">
        <f>IF(AND(VLOOKUP(BY$1,main!$A$3:$H$102,7,FALSE)=main!$G$104,VLOOKUP(BY$1,main!$A$3:$H$102,5,FALSE)-VLOOKUP($A178,main!$A$3:$H$102,6,FALSE)&gt;=main!$D$103+VLOOKUP(VLOOKUP(BY$1,main!$A$3:$I$102,7,FALSE),main!$K$26:$Q$29,4,FALSE)),1,0)</f>
        <v>0</v>
      </c>
      <c r="BZ178">
        <f>IF(AND(VLOOKUP(BZ$1,main!$A$3:$H$102,7,FALSE)=main!$G$104,VLOOKUP(BZ$1,main!$A$3:$H$102,5,FALSE)-VLOOKUP($A178,main!$A$3:$H$102,6,FALSE)&gt;=main!$D$103+VLOOKUP(VLOOKUP(BZ$1,main!$A$3:$I$102,7,FALSE),main!$K$26:$Q$29,4,FALSE)),1,0)</f>
        <v>0</v>
      </c>
      <c r="CA178">
        <f>IF(AND(VLOOKUP(CA$1,main!$A$3:$H$102,7,FALSE)=main!$G$104,VLOOKUP(CA$1,main!$A$3:$H$102,5,FALSE)-VLOOKUP($A178,main!$A$3:$H$102,6,FALSE)&gt;=main!$D$103+VLOOKUP(VLOOKUP(CA$1,main!$A$3:$I$102,7,FALSE),main!$K$26:$Q$29,4,FALSE)),1,0)</f>
        <v>0</v>
      </c>
      <c r="CB178">
        <f>IF(AND(VLOOKUP(CB$1,main!$A$3:$H$102,7,FALSE)=main!$G$104,VLOOKUP(CB$1,main!$A$3:$H$102,5,FALSE)-VLOOKUP($A178,main!$A$3:$H$102,6,FALSE)&gt;=main!$D$103+VLOOKUP(VLOOKUP(CB$1,main!$A$3:$I$102,7,FALSE),main!$K$26:$Q$29,4,FALSE)),1,0)</f>
        <v>0</v>
      </c>
      <c r="CC178">
        <f>IF(AND(VLOOKUP(CC$1,main!$A$3:$H$102,7,FALSE)=main!$G$104,VLOOKUP(CC$1,main!$A$3:$H$102,5,FALSE)-VLOOKUP($A178,main!$A$3:$H$102,6,FALSE)&gt;=main!$D$103+VLOOKUP(VLOOKUP(CC$1,main!$A$3:$I$102,7,FALSE),main!$K$26:$Q$29,4,FALSE)),1,0)</f>
        <v>0</v>
      </c>
      <c r="CD178">
        <f>IF(AND(VLOOKUP(CD$1,main!$A$3:$H$102,7,FALSE)=main!$G$104,VLOOKUP(CD$1,main!$A$3:$H$102,5,FALSE)-VLOOKUP($A178,main!$A$3:$H$102,6,FALSE)&gt;=main!$D$103+VLOOKUP(VLOOKUP(CD$1,main!$A$3:$I$102,7,FALSE),main!$K$26:$Q$29,4,FALSE)),1,0)</f>
        <v>0</v>
      </c>
      <c r="CE178">
        <f>IF(AND(VLOOKUP(CE$1,main!$A$3:$H$102,7,FALSE)=main!$G$104,VLOOKUP(CE$1,main!$A$3:$H$102,5,FALSE)-VLOOKUP($A178,main!$A$3:$H$102,6,FALSE)&gt;=main!$D$103+VLOOKUP(VLOOKUP(CE$1,main!$A$3:$I$102,7,FALSE),main!$K$26:$Q$29,4,FALSE)),1,0)</f>
        <v>0</v>
      </c>
      <c r="CF178">
        <f>IF(AND(VLOOKUP(CF$1,main!$A$3:$H$102,7,FALSE)=main!$G$104,VLOOKUP(CF$1,main!$A$3:$H$102,5,FALSE)-VLOOKUP($A178,main!$A$3:$H$102,6,FALSE)&gt;=main!$D$103+VLOOKUP(VLOOKUP(CF$1,main!$A$3:$I$102,7,FALSE),main!$K$26:$Q$29,4,FALSE)),1,0)</f>
        <v>0</v>
      </c>
      <c r="CG178">
        <f>IF(AND(VLOOKUP(CG$1,main!$A$3:$H$102,7,FALSE)=main!$G$104,VLOOKUP(CG$1,main!$A$3:$H$102,5,FALSE)-VLOOKUP($A178,main!$A$3:$H$102,6,FALSE)&gt;=main!$D$103+VLOOKUP(VLOOKUP(CG$1,main!$A$3:$I$102,7,FALSE),main!$K$26:$Q$29,4,FALSE)),1,0)</f>
        <v>0</v>
      </c>
      <c r="CH178">
        <f>IF(AND(VLOOKUP(CH$1,main!$A$3:$H$102,7,FALSE)=main!$G$104,VLOOKUP(CH$1,main!$A$3:$H$102,5,FALSE)-VLOOKUP($A178,main!$A$3:$H$102,6,FALSE)&gt;=main!$D$103+VLOOKUP(VLOOKUP(CH$1,main!$A$3:$I$102,7,FALSE),main!$K$26:$Q$29,4,FALSE)),1,0)</f>
        <v>0</v>
      </c>
      <c r="CI178">
        <f>IF(AND(VLOOKUP(CI$1,main!$A$3:$H$102,7,FALSE)=main!$G$104,VLOOKUP(CI$1,main!$A$3:$H$102,5,FALSE)-VLOOKUP($A178,main!$A$3:$H$102,6,FALSE)&gt;=main!$D$103+VLOOKUP(VLOOKUP(CI$1,main!$A$3:$I$102,7,FALSE),main!$K$26:$Q$29,4,FALSE)),1,0)</f>
        <v>0</v>
      </c>
      <c r="CJ178">
        <f>IF(AND(VLOOKUP(CJ$1,main!$A$3:$H$102,7,FALSE)=main!$G$104,VLOOKUP(CJ$1,main!$A$3:$H$102,5,FALSE)-VLOOKUP($A178,main!$A$3:$H$102,6,FALSE)&gt;=main!$D$103+VLOOKUP(VLOOKUP(CJ$1,main!$A$3:$I$102,7,FALSE),main!$K$26:$Q$29,4,FALSE)),1,0)</f>
        <v>0</v>
      </c>
      <c r="CK178">
        <f>IF(AND(VLOOKUP(CK$1,main!$A$3:$H$102,7,FALSE)=main!$G$104,VLOOKUP(CK$1,main!$A$3:$H$102,5,FALSE)-VLOOKUP($A178,main!$A$3:$H$102,6,FALSE)&gt;=main!$D$103+VLOOKUP(VLOOKUP(CK$1,main!$A$3:$I$102,7,FALSE),main!$K$26:$Q$29,4,FALSE)),1,0)</f>
        <v>0</v>
      </c>
      <c r="CL178">
        <f>IF(AND(VLOOKUP(CL$1,main!$A$3:$H$102,7,FALSE)=main!$G$104,VLOOKUP(CL$1,main!$A$3:$H$102,5,FALSE)-VLOOKUP($A178,main!$A$3:$H$102,6,FALSE)&gt;=main!$D$103+VLOOKUP(VLOOKUP(CL$1,main!$A$3:$I$102,7,FALSE),main!$K$26:$Q$29,4,FALSE)),1,0)</f>
        <v>0</v>
      </c>
      <c r="CM178">
        <f>IF(AND(VLOOKUP(CM$1,main!$A$3:$H$102,7,FALSE)=main!$G$104,VLOOKUP(CM$1,main!$A$3:$H$102,5,FALSE)-VLOOKUP($A178,main!$A$3:$H$102,6,FALSE)&gt;=main!$D$103+VLOOKUP(VLOOKUP(CM$1,main!$A$3:$I$102,7,FALSE),main!$K$26:$Q$29,4,FALSE)),1,0)</f>
        <v>0</v>
      </c>
      <c r="CN178">
        <f>IF(AND(VLOOKUP(CN$1,main!$A$3:$H$102,7,FALSE)=main!$G$104,VLOOKUP(CN$1,main!$A$3:$H$102,5,FALSE)-VLOOKUP($A178,main!$A$3:$H$102,6,FALSE)&gt;=main!$D$103+VLOOKUP(VLOOKUP(CN$1,main!$A$3:$I$102,7,FALSE),main!$K$26:$Q$29,4,FALSE)),1,0)</f>
        <v>0</v>
      </c>
      <c r="CO178">
        <f>IF(AND(VLOOKUP(CO$1,main!$A$3:$H$102,7,FALSE)=main!$G$104,VLOOKUP(CO$1,main!$A$3:$H$102,5,FALSE)-VLOOKUP($A178,main!$A$3:$H$102,6,FALSE)&gt;=main!$D$103+VLOOKUP(VLOOKUP(CO$1,main!$A$3:$I$102,7,FALSE),main!$K$26:$Q$29,4,FALSE)),1,0)</f>
        <v>0</v>
      </c>
      <c r="CP178">
        <f>IF(AND(VLOOKUP(CP$1,main!$A$3:$H$102,7,FALSE)=main!$G$104,VLOOKUP(CP$1,main!$A$3:$H$102,5,FALSE)-VLOOKUP($A178,main!$A$3:$H$102,6,FALSE)&gt;=main!$D$103+VLOOKUP(VLOOKUP(CP$1,main!$A$3:$I$102,7,FALSE),main!$K$26:$Q$29,4,FALSE)),1,0)</f>
        <v>0</v>
      </c>
      <c r="CQ178">
        <f>IF(AND(VLOOKUP(CQ$1,main!$A$3:$H$102,7,FALSE)=main!$G$104,VLOOKUP(CQ$1,main!$A$3:$H$102,5,FALSE)-VLOOKUP($A178,main!$A$3:$H$102,6,FALSE)&gt;=main!$D$103+VLOOKUP(VLOOKUP(CQ$1,main!$A$3:$I$102,7,FALSE),main!$K$26:$Q$29,4,FALSE)),1,0)</f>
        <v>0</v>
      </c>
      <c r="CR178">
        <f>IF(AND(VLOOKUP(CR$1,main!$A$3:$H$102,7,FALSE)=main!$G$104,VLOOKUP(CR$1,main!$A$3:$H$102,5,FALSE)-VLOOKUP($A178,main!$A$3:$H$102,6,FALSE)&gt;=main!$D$103+VLOOKUP(VLOOKUP(CR$1,main!$A$3:$I$102,7,FALSE),main!$K$26:$Q$29,4,FALSE)),1,0)</f>
        <v>0</v>
      </c>
      <c r="CS178">
        <f>IF(AND(VLOOKUP(CS$1,main!$A$3:$H$102,7,FALSE)=main!$G$104,VLOOKUP(CS$1,main!$A$3:$H$102,5,FALSE)-VLOOKUP($A178,main!$A$3:$H$102,6,FALSE)&gt;=main!$D$103+VLOOKUP(VLOOKUP(CS$1,main!$A$3:$I$102,7,FALSE),main!$K$26:$Q$29,4,FALSE)),1,0)</f>
        <v>0</v>
      </c>
      <c r="CT178">
        <f>IF(AND(VLOOKUP(CT$1,main!$A$3:$H$102,7,FALSE)=main!$G$104,VLOOKUP(CT$1,main!$A$3:$H$102,5,FALSE)-VLOOKUP($A178,main!$A$3:$H$102,6,FALSE)&gt;=main!$D$103+VLOOKUP(VLOOKUP(CT$1,main!$A$3:$I$102,7,FALSE),main!$K$26:$Q$29,4,FALSE)),1,0)</f>
        <v>0</v>
      </c>
      <c r="CU178">
        <f>IF(AND(VLOOKUP(CU$1,main!$A$3:$H$102,7,FALSE)=main!$G$104,VLOOKUP(CU$1,main!$A$3:$H$102,5,FALSE)-VLOOKUP($A178,main!$A$3:$H$102,6,FALSE)&gt;=main!$D$103+VLOOKUP(VLOOKUP(CU$1,main!$A$3:$I$102,7,FALSE),main!$K$26:$Q$29,4,FALSE)),1,0)</f>
        <v>0</v>
      </c>
      <c r="CV178">
        <f>IF(AND(VLOOKUP(CV$1,main!$A$3:$H$102,7,FALSE)=main!$G$104,VLOOKUP(CV$1,main!$A$3:$H$102,5,FALSE)-VLOOKUP($A178,main!$A$3:$H$102,6,FALSE)&gt;=main!$D$103+VLOOKUP(VLOOKUP(CV$1,main!$A$3:$I$102,7,FALSE),main!$K$26:$Q$29,4,FALSE)),1,0)</f>
        <v>0</v>
      </c>
      <c r="CW178">
        <f>IF(AND(VLOOKUP(CW$1,main!$A$3:$H$102,7,FALSE)=main!$G$104,VLOOKUP(CW$1,main!$A$3:$H$102,5,FALSE)-VLOOKUP($A178,main!$A$3:$H$102,6,FALSE)&gt;=main!$D$103+VLOOKUP(VLOOKUP(CW$1,main!$A$3:$I$102,7,FALSE),main!$K$26:$Q$29,4,FALSE)),1,0)</f>
        <v>0</v>
      </c>
      <c r="CX178">
        <f>IF(AND(VLOOKUP(CX$1,main!$A$3:$H$102,7,FALSE)=main!$G$104,VLOOKUP(CX$1,main!$A$3:$H$102,5,FALSE)-VLOOKUP($A178,main!$A$3:$H$102,6,FALSE)&gt;=main!$D$103+VLOOKUP(VLOOKUP(CX$1,main!$A$3:$I$102,7,FALSE),main!$K$26:$Q$29,4,FALSE)),1,0)</f>
        <v>0</v>
      </c>
    </row>
    <row r="179" spans="1:102" x14ac:dyDescent="0.25">
      <c r="A179" s="1">
        <v>76</v>
      </c>
      <c r="B179">
        <v>0</v>
      </c>
      <c r="C179">
        <f>IF(AND(VLOOKUP(C$1,main!$A$3:$H$102,7,FALSE)=main!$G$104,VLOOKUP(C$1,main!$A$3:$H$102,5,FALSE)-VLOOKUP($A179,main!$A$3:$H$102,6,FALSE)&gt;=main!$D$103+VLOOKUP(VLOOKUP(C$1,main!$A$3:$I$102,7,FALSE),main!$K$26:$Q$29,4,FALSE)),1,0)</f>
        <v>0</v>
      </c>
      <c r="D179">
        <f>IF(AND(VLOOKUP(D$1,main!$A$3:$H$102,7,FALSE)=main!$G$104,VLOOKUP(D$1,main!$A$3:$H$102,5,FALSE)-VLOOKUP($A179,main!$A$3:$H$102,6,FALSE)&gt;=main!$D$103+VLOOKUP(VLOOKUP(D$1,main!$A$3:$I$102,7,FALSE),main!$K$26:$Q$29,4,FALSE)),1,0)</f>
        <v>0</v>
      </c>
      <c r="E179">
        <f>IF(AND(VLOOKUP(E$1,main!$A$3:$H$102,7,FALSE)=main!$G$104,VLOOKUP(E$1,main!$A$3:$H$102,5,FALSE)-VLOOKUP($A179,main!$A$3:$H$102,6,FALSE)&gt;=main!$D$103+VLOOKUP(VLOOKUP(E$1,main!$A$3:$I$102,7,FALSE),main!$K$26:$Q$29,4,FALSE)),1,0)</f>
        <v>1</v>
      </c>
      <c r="F179">
        <f>IF(AND(VLOOKUP(F$1,main!$A$3:$H$102,7,FALSE)=main!$G$104,VLOOKUP(F$1,main!$A$3:$H$102,5,FALSE)-VLOOKUP($A179,main!$A$3:$H$102,6,FALSE)&gt;=main!$D$103+VLOOKUP(VLOOKUP(F$1,main!$A$3:$I$102,7,FALSE),main!$K$26:$Q$29,4,FALSE)),1,0)</f>
        <v>1</v>
      </c>
      <c r="G179">
        <f>IF(AND(VLOOKUP(G$1,main!$A$3:$H$102,7,FALSE)=main!$G$104,VLOOKUP(G$1,main!$A$3:$H$102,5,FALSE)-VLOOKUP($A179,main!$A$3:$H$102,6,FALSE)&gt;=main!$D$103+VLOOKUP(VLOOKUP(G$1,main!$A$3:$I$102,7,FALSE),main!$K$26:$Q$29,4,FALSE)),1,0)</f>
        <v>1</v>
      </c>
      <c r="H179">
        <f>IF(AND(VLOOKUP(H$1,main!$A$3:$H$102,7,FALSE)=main!$G$104,VLOOKUP(H$1,main!$A$3:$H$102,5,FALSE)-VLOOKUP($A179,main!$A$3:$H$102,6,FALSE)&gt;=main!$D$103+VLOOKUP(VLOOKUP(H$1,main!$A$3:$I$102,7,FALSE),main!$K$26:$Q$29,4,FALSE)),1,0)</f>
        <v>1</v>
      </c>
      <c r="I179">
        <f>IF(AND(VLOOKUP(I$1,main!$A$3:$H$102,7,FALSE)=main!$G$104,VLOOKUP(I$1,main!$A$3:$H$102,5,FALSE)-VLOOKUP($A179,main!$A$3:$H$102,6,FALSE)&gt;=main!$D$103+VLOOKUP(VLOOKUP(I$1,main!$A$3:$I$102,7,FALSE),main!$K$26:$Q$29,4,FALSE)),1,0)</f>
        <v>1</v>
      </c>
      <c r="J179">
        <f>IF(AND(VLOOKUP(J$1,main!$A$3:$H$102,7,FALSE)=main!$G$104,VLOOKUP(J$1,main!$A$3:$H$102,5,FALSE)-VLOOKUP($A179,main!$A$3:$H$102,6,FALSE)&gt;=main!$D$103+VLOOKUP(VLOOKUP(J$1,main!$A$3:$I$102,7,FALSE),main!$K$26:$Q$29,4,FALSE)),1,0)</f>
        <v>1</v>
      </c>
      <c r="K179">
        <f>IF(AND(VLOOKUP(K$1,main!$A$3:$H$102,7,FALSE)=main!$G$104,VLOOKUP(K$1,main!$A$3:$H$102,5,FALSE)-VLOOKUP($A179,main!$A$3:$H$102,6,FALSE)&gt;=main!$D$103+VLOOKUP(VLOOKUP(K$1,main!$A$3:$I$102,7,FALSE),main!$K$26:$Q$29,4,FALSE)),1,0)</f>
        <v>1</v>
      </c>
      <c r="L179">
        <f>IF(AND(VLOOKUP(L$1,main!$A$3:$H$102,7,FALSE)=main!$G$104,VLOOKUP(L$1,main!$A$3:$H$102,5,FALSE)-VLOOKUP($A179,main!$A$3:$H$102,6,FALSE)&gt;=main!$D$103+VLOOKUP(VLOOKUP(L$1,main!$A$3:$I$102,7,FALSE),main!$K$26:$Q$29,4,FALSE)),1,0)</f>
        <v>1</v>
      </c>
      <c r="M179">
        <f>IF(AND(VLOOKUP(M$1,main!$A$3:$H$102,7,FALSE)=main!$G$104,VLOOKUP(M$1,main!$A$3:$H$102,5,FALSE)-VLOOKUP($A179,main!$A$3:$H$102,6,FALSE)&gt;=main!$D$103+VLOOKUP(VLOOKUP(M$1,main!$A$3:$I$102,7,FALSE),main!$K$26:$Q$29,4,FALSE)),1,0)</f>
        <v>0</v>
      </c>
      <c r="N179">
        <f>IF(AND(VLOOKUP(N$1,main!$A$3:$H$102,7,FALSE)=main!$G$104,VLOOKUP(N$1,main!$A$3:$H$102,5,FALSE)-VLOOKUP($A179,main!$A$3:$H$102,6,FALSE)&gt;=main!$D$103+VLOOKUP(VLOOKUP(N$1,main!$A$3:$I$102,7,FALSE),main!$K$26:$Q$29,4,FALSE)),1,0)</f>
        <v>0</v>
      </c>
      <c r="O179">
        <f>IF(AND(VLOOKUP(O$1,main!$A$3:$H$102,7,FALSE)=main!$G$104,VLOOKUP(O$1,main!$A$3:$H$102,5,FALSE)-VLOOKUP($A179,main!$A$3:$H$102,6,FALSE)&gt;=main!$D$103+VLOOKUP(VLOOKUP(O$1,main!$A$3:$I$102,7,FALSE),main!$K$26:$Q$29,4,FALSE)),1,0)</f>
        <v>0</v>
      </c>
      <c r="P179">
        <f>IF(AND(VLOOKUP(P$1,main!$A$3:$H$102,7,FALSE)=main!$G$104,VLOOKUP(P$1,main!$A$3:$H$102,5,FALSE)-VLOOKUP($A179,main!$A$3:$H$102,6,FALSE)&gt;=main!$D$103+VLOOKUP(VLOOKUP(P$1,main!$A$3:$I$102,7,FALSE),main!$K$26:$Q$29,4,FALSE)),1,0)</f>
        <v>0</v>
      </c>
      <c r="Q179">
        <f>IF(AND(VLOOKUP(Q$1,main!$A$3:$H$102,7,FALSE)=main!$G$104,VLOOKUP(Q$1,main!$A$3:$H$102,5,FALSE)-VLOOKUP($A179,main!$A$3:$H$102,6,FALSE)&gt;=main!$D$103+VLOOKUP(VLOOKUP(Q$1,main!$A$3:$I$102,7,FALSE),main!$K$26:$Q$29,4,FALSE)),1,0)</f>
        <v>1</v>
      </c>
      <c r="R179">
        <f>IF(AND(VLOOKUP(R$1,main!$A$3:$H$102,7,FALSE)=main!$G$104,VLOOKUP(R$1,main!$A$3:$H$102,5,FALSE)-VLOOKUP($A179,main!$A$3:$H$102,6,FALSE)&gt;=main!$D$103+VLOOKUP(VLOOKUP(R$1,main!$A$3:$I$102,7,FALSE),main!$K$26:$Q$29,4,FALSE)),1,0)</f>
        <v>1</v>
      </c>
      <c r="S179">
        <f>IF(AND(VLOOKUP(S$1,main!$A$3:$H$102,7,FALSE)=main!$G$104,VLOOKUP(S$1,main!$A$3:$H$102,5,FALSE)-VLOOKUP($A179,main!$A$3:$H$102,6,FALSE)&gt;=main!$D$103+VLOOKUP(VLOOKUP(S$1,main!$A$3:$I$102,7,FALSE),main!$K$26:$Q$29,4,FALSE)),1,0)</f>
        <v>1</v>
      </c>
      <c r="T179">
        <f>IF(AND(VLOOKUP(T$1,main!$A$3:$H$102,7,FALSE)=main!$G$104,VLOOKUP(T$1,main!$A$3:$H$102,5,FALSE)-VLOOKUP($A179,main!$A$3:$H$102,6,FALSE)&gt;=main!$D$103+VLOOKUP(VLOOKUP(T$1,main!$A$3:$I$102,7,FALSE),main!$K$26:$Q$29,4,FALSE)),1,0)</f>
        <v>1</v>
      </c>
      <c r="U179">
        <f>IF(AND(VLOOKUP(U$1,main!$A$3:$H$102,7,FALSE)=main!$G$104,VLOOKUP(U$1,main!$A$3:$H$102,5,FALSE)-VLOOKUP($A179,main!$A$3:$H$102,6,FALSE)&gt;=main!$D$103+VLOOKUP(VLOOKUP(U$1,main!$A$3:$I$102,7,FALSE),main!$K$26:$Q$29,4,FALSE)),1,0)</f>
        <v>1</v>
      </c>
      <c r="V179">
        <f>IF(AND(VLOOKUP(V$1,main!$A$3:$H$102,7,FALSE)=main!$G$104,VLOOKUP(V$1,main!$A$3:$H$102,5,FALSE)-VLOOKUP($A179,main!$A$3:$H$102,6,FALSE)&gt;=main!$D$103+VLOOKUP(VLOOKUP(V$1,main!$A$3:$I$102,7,FALSE),main!$K$26:$Q$29,4,FALSE)),1,0)</f>
        <v>1</v>
      </c>
      <c r="W179">
        <f>IF(AND(VLOOKUP(W$1,main!$A$3:$H$102,7,FALSE)=main!$G$104,VLOOKUP(W$1,main!$A$3:$H$102,5,FALSE)-VLOOKUP($A179,main!$A$3:$H$102,6,FALSE)&gt;=main!$D$103+VLOOKUP(VLOOKUP(W$1,main!$A$3:$I$102,7,FALSE),main!$K$26:$Q$29,4,FALSE)),1,0)</f>
        <v>0</v>
      </c>
      <c r="X179">
        <f>IF(AND(VLOOKUP(X$1,main!$A$3:$H$102,7,FALSE)=main!$G$104,VLOOKUP(X$1,main!$A$3:$H$102,5,FALSE)-VLOOKUP($A179,main!$A$3:$H$102,6,FALSE)&gt;=main!$D$103+VLOOKUP(VLOOKUP(X$1,main!$A$3:$I$102,7,FALSE),main!$K$26:$Q$29,4,FALSE)),1,0)</f>
        <v>0</v>
      </c>
      <c r="Y179">
        <f>IF(AND(VLOOKUP(Y$1,main!$A$3:$H$102,7,FALSE)=main!$G$104,VLOOKUP(Y$1,main!$A$3:$H$102,5,FALSE)-VLOOKUP($A179,main!$A$3:$H$102,6,FALSE)&gt;=main!$D$103+VLOOKUP(VLOOKUP(Y$1,main!$A$3:$I$102,7,FALSE),main!$K$26:$Q$29,4,FALSE)),1,0)</f>
        <v>1</v>
      </c>
      <c r="Z179">
        <f>IF(AND(VLOOKUP(Z$1,main!$A$3:$H$102,7,FALSE)=main!$G$104,VLOOKUP(Z$1,main!$A$3:$H$102,5,FALSE)-VLOOKUP($A179,main!$A$3:$H$102,6,FALSE)&gt;=main!$D$103+VLOOKUP(VLOOKUP(Z$1,main!$A$3:$I$102,7,FALSE),main!$K$26:$Q$29,4,FALSE)),1,0)</f>
        <v>1</v>
      </c>
      <c r="AA179">
        <f>IF(AND(VLOOKUP(AA$1,main!$A$3:$H$102,7,FALSE)=main!$G$104,VLOOKUP(AA$1,main!$A$3:$H$102,5,FALSE)-VLOOKUP($A179,main!$A$3:$H$102,6,FALSE)&gt;=main!$D$103+VLOOKUP(VLOOKUP(AA$1,main!$A$3:$I$102,7,FALSE),main!$K$26:$Q$29,4,FALSE)),1,0)</f>
        <v>1</v>
      </c>
      <c r="AB179">
        <f>IF(AND(VLOOKUP(AB$1,main!$A$3:$H$102,7,FALSE)=main!$G$104,VLOOKUP(AB$1,main!$A$3:$H$102,5,FALSE)-VLOOKUP($A179,main!$A$3:$H$102,6,FALSE)&gt;=main!$D$103+VLOOKUP(VLOOKUP(AB$1,main!$A$3:$I$102,7,FALSE),main!$K$26:$Q$29,4,FALSE)),1,0)</f>
        <v>0</v>
      </c>
      <c r="AC179">
        <f>IF(AND(VLOOKUP(AC$1,main!$A$3:$H$102,7,FALSE)=main!$G$104,VLOOKUP(AC$1,main!$A$3:$H$102,5,FALSE)-VLOOKUP($A179,main!$A$3:$H$102,6,FALSE)&gt;=main!$D$103+VLOOKUP(VLOOKUP(AC$1,main!$A$3:$I$102,7,FALSE),main!$K$26:$Q$29,4,FALSE)),1,0)</f>
        <v>0</v>
      </c>
      <c r="AD179">
        <f>IF(AND(VLOOKUP(AD$1,main!$A$3:$H$102,7,FALSE)=main!$G$104,VLOOKUP(AD$1,main!$A$3:$H$102,5,FALSE)-VLOOKUP($A179,main!$A$3:$H$102,6,FALSE)&gt;=main!$D$103+VLOOKUP(VLOOKUP(AD$1,main!$A$3:$I$102,7,FALSE),main!$K$26:$Q$29,4,FALSE)),1,0)</f>
        <v>1</v>
      </c>
      <c r="AE179">
        <f>IF(AND(VLOOKUP(AE$1,main!$A$3:$H$102,7,FALSE)=main!$G$104,VLOOKUP(AE$1,main!$A$3:$H$102,5,FALSE)-VLOOKUP($A179,main!$A$3:$H$102,6,FALSE)&gt;=main!$D$103+VLOOKUP(VLOOKUP(AE$1,main!$A$3:$I$102,7,FALSE),main!$K$26:$Q$29,4,FALSE)),1,0)</f>
        <v>1</v>
      </c>
      <c r="AF179">
        <f>IF(AND(VLOOKUP(AF$1,main!$A$3:$H$102,7,FALSE)=main!$G$104,VLOOKUP(AF$1,main!$A$3:$H$102,5,FALSE)-VLOOKUP($A179,main!$A$3:$H$102,6,FALSE)&gt;=main!$D$103+VLOOKUP(VLOOKUP(AF$1,main!$A$3:$I$102,7,FALSE),main!$K$26:$Q$29,4,FALSE)),1,0)</f>
        <v>1</v>
      </c>
      <c r="AG179">
        <f>IF(AND(VLOOKUP(AG$1,main!$A$3:$H$102,7,FALSE)=main!$G$104,VLOOKUP(AG$1,main!$A$3:$H$102,5,FALSE)-VLOOKUP($A179,main!$A$3:$H$102,6,FALSE)&gt;=main!$D$103+VLOOKUP(VLOOKUP(AG$1,main!$A$3:$I$102,7,FALSE),main!$K$26:$Q$29,4,FALSE)),1,0)</f>
        <v>0</v>
      </c>
      <c r="AH179">
        <f>IF(AND(VLOOKUP(AH$1,main!$A$3:$H$102,7,FALSE)=main!$G$104,VLOOKUP(AH$1,main!$A$3:$H$102,5,FALSE)-VLOOKUP($A179,main!$A$3:$H$102,6,FALSE)&gt;=main!$D$103+VLOOKUP(VLOOKUP(AH$1,main!$A$3:$I$102,7,FALSE),main!$K$26:$Q$29,4,FALSE)),1,0)</f>
        <v>0</v>
      </c>
      <c r="AI179">
        <f>IF(AND(VLOOKUP(AI$1,main!$A$3:$H$102,7,FALSE)=main!$G$104,VLOOKUP(AI$1,main!$A$3:$H$102,5,FALSE)-VLOOKUP($A179,main!$A$3:$H$102,6,FALSE)&gt;=main!$D$103+VLOOKUP(VLOOKUP(AI$1,main!$A$3:$I$102,7,FALSE),main!$K$26:$Q$29,4,FALSE)),1,0)</f>
        <v>0</v>
      </c>
      <c r="AJ179">
        <f>IF(AND(VLOOKUP(AJ$1,main!$A$3:$H$102,7,FALSE)=main!$G$104,VLOOKUP(AJ$1,main!$A$3:$H$102,5,FALSE)-VLOOKUP($A179,main!$A$3:$H$102,6,FALSE)&gt;=main!$D$103+VLOOKUP(VLOOKUP(AJ$1,main!$A$3:$I$102,7,FALSE),main!$K$26:$Q$29,4,FALSE)),1,0)</f>
        <v>0</v>
      </c>
      <c r="AK179">
        <f>IF(AND(VLOOKUP(AK$1,main!$A$3:$H$102,7,FALSE)=main!$G$104,VLOOKUP(AK$1,main!$A$3:$H$102,5,FALSE)-VLOOKUP($A179,main!$A$3:$H$102,6,FALSE)&gt;=main!$D$103+VLOOKUP(VLOOKUP(AK$1,main!$A$3:$I$102,7,FALSE),main!$K$26:$Q$29,4,FALSE)),1,0)</f>
        <v>0</v>
      </c>
      <c r="AL179">
        <f>IF(AND(VLOOKUP(AL$1,main!$A$3:$H$102,7,FALSE)=main!$G$104,VLOOKUP(AL$1,main!$A$3:$H$102,5,FALSE)-VLOOKUP($A179,main!$A$3:$H$102,6,FALSE)&gt;=main!$D$103+VLOOKUP(VLOOKUP(AL$1,main!$A$3:$I$102,7,FALSE),main!$K$26:$Q$29,4,FALSE)),1,0)</f>
        <v>0</v>
      </c>
      <c r="AM179">
        <f>IF(AND(VLOOKUP(AM$1,main!$A$3:$H$102,7,FALSE)=main!$G$104,VLOOKUP(AM$1,main!$A$3:$H$102,5,FALSE)-VLOOKUP($A179,main!$A$3:$H$102,6,FALSE)&gt;=main!$D$103+VLOOKUP(VLOOKUP(AM$1,main!$A$3:$I$102,7,FALSE),main!$K$26:$Q$29,4,FALSE)),1,0)</f>
        <v>0</v>
      </c>
      <c r="AN179">
        <f>IF(AND(VLOOKUP(AN$1,main!$A$3:$H$102,7,FALSE)=main!$G$104,VLOOKUP(AN$1,main!$A$3:$H$102,5,FALSE)-VLOOKUP($A179,main!$A$3:$H$102,6,FALSE)&gt;=main!$D$103+VLOOKUP(VLOOKUP(AN$1,main!$A$3:$I$102,7,FALSE),main!$K$26:$Q$29,4,FALSE)),1,0)</f>
        <v>0</v>
      </c>
      <c r="AO179">
        <f>IF(AND(VLOOKUP(AO$1,main!$A$3:$H$102,7,FALSE)=main!$G$104,VLOOKUP(AO$1,main!$A$3:$H$102,5,FALSE)-VLOOKUP($A179,main!$A$3:$H$102,6,FALSE)&gt;=main!$D$103+VLOOKUP(VLOOKUP(AO$1,main!$A$3:$I$102,7,FALSE),main!$K$26:$Q$29,4,FALSE)),1,0)</f>
        <v>0</v>
      </c>
      <c r="AP179">
        <f>IF(AND(VLOOKUP(AP$1,main!$A$3:$H$102,7,FALSE)=main!$G$104,VLOOKUP(AP$1,main!$A$3:$H$102,5,FALSE)-VLOOKUP($A179,main!$A$3:$H$102,6,FALSE)&gt;=main!$D$103+VLOOKUP(VLOOKUP(AP$1,main!$A$3:$I$102,7,FALSE),main!$K$26:$Q$29,4,FALSE)),1,0)</f>
        <v>0</v>
      </c>
      <c r="AQ179">
        <f>IF(AND(VLOOKUP(AQ$1,main!$A$3:$H$102,7,FALSE)=main!$G$104,VLOOKUP(AQ$1,main!$A$3:$H$102,5,FALSE)-VLOOKUP($A179,main!$A$3:$H$102,6,FALSE)&gt;=main!$D$103+VLOOKUP(VLOOKUP(AQ$1,main!$A$3:$I$102,7,FALSE),main!$K$26:$Q$29,4,FALSE)),1,0)</f>
        <v>0</v>
      </c>
      <c r="AR179">
        <f>IF(AND(VLOOKUP(AR$1,main!$A$3:$H$102,7,FALSE)=main!$G$104,VLOOKUP(AR$1,main!$A$3:$H$102,5,FALSE)-VLOOKUP($A179,main!$A$3:$H$102,6,FALSE)&gt;=main!$D$103+VLOOKUP(VLOOKUP(AR$1,main!$A$3:$I$102,7,FALSE),main!$K$26:$Q$29,4,FALSE)),1,0)</f>
        <v>0</v>
      </c>
      <c r="AS179">
        <f>IF(AND(VLOOKUP(AS$1,main!$A$3:$H$102,7,FALSE)=main!$G$104,VLOOKUP(AS$1,main!$A$3:$H$102,5,FALSE)-VLOOKUP($A179,main!$A$3:$H$102,6,FALSE)&gt;=main!$D$103+VLOOKUP(VLOOKUP(AS$1,main!$A$3:$I$102,7,FALSE),main!$K$26:$Q$29,4,FALSE)),1,0)</f>
        <v>0</v>
      </c>
      <c r="AT179">
        <f>IF(AND(VLOOKUP(AT$1,main!$A$3:$H$102,7,FALSE)=main!$G$104,VLOOKUP(AT$1,main!$A$3:$H$102,5,FALSE)-VLOOKUP($A179,main!$A$3:$H$102,6,FALSE)&gt;=main!$D$103+VLOOKUP(VLOOKUP(AT$1,main!$A$3:$I$102,7,FALSE),main!$K$26:$Q$29,4,FALSE)),1,0)</f>
        <v>0</v>
      </c>
      <c r="AU179">
        <f>IF(AND(VLOOKUP(AU$1,main!$A$3:$H$102,7,FALSE)=main!$G$104,VLOOKUP(AU$1,main!$A$3:$H$102,5,FALSE)-VLOOKUP($A179,main!$A$3:$H$102,6,FALSE)&gt;=main!$D$103+VLOOKUP(VLOOKUP(AU$1,main!$A$3:$I$102,7,FALSE),main!$K$26:$Q$29,4,FALSE)),1,0)</f>
        <v>0</v>
      </c>
      <c r="AV179">
        <f>IF(AND(VLOOKUP(AV$1,main!$A$3:$H$102,7,FALSE)=main!$G$104,VLOOKUP(AV$1,main!$A$3:$H$102,5,FALSE)-VLOOKUP($A179,main!$A$3:$H$102,6,FALSE)&gt;=main!$D$103+VLOOKUP(VLOOKUP(AV$1,main!$A$3:$I$102,7,FALSE),main!$K$26:$Q$29,4,FALSE)),1,0)</f>
        <v>0</v>
      </c>
      <c r="AW179">
        <f>IF(AND(VLOOKUP(AW$1,main!$A$3:$H$102,7,FALSE)=main!$G$104,VLOOKUP(AW$1,main!$A$3:$H$102,5,FALSE)-VLOOKUP($A179,main!$A$3:$H$102,6,FALSE)&gt;=main!$D$103+VLOOKUP(VLOOKUP(AW$1,main!$A$3:$I$102,7,FALSE),main!$K$26:$Q$29,4,FALSE)),1,0)</f>
        <v>0</v>
      </c>
      <c r="AX179">
        <f>IF(AND(VLOOKUP(AX$1,main!$A$3:$H$102,7,FALSE)=main!$G$104,VLOOKUP(AX$1,main!$A$3:$H$102,5,FALSE)-VLOOKUP($A179,main!$A$3:$H$102,6,FALSE)&gt;=main!$D$103+VLOOKUP(VLOOKUP(AX$1,main!$A$3:$I$102,7,FALSE),main!$K$26:$Q$29,4,FALSE)),1,0)</f>
        <v>0</v>
      </c>
      <c r="AY179">
        <f>IF(AND(VLOOKUP(AY$1,main!$A$3:$H$102,7,FALSE)=main!$G$104,VLOOKUP(AY$1,main!$A$3:$H$102,5,FALSE)-VLOOKUP($A179,main!$A$3:$H$102,6,FALSE)&gt;=main!$D$103+VLOOKUP(VLOOKUP(AY$1,main!$A$3:$I$102,7,FALSE),main!$K$26:$Q$29,4,FALSE)),1,0)</f>
        <v>0</v>
      </c>
      <c r="AZ179">
        <f>IF(AND(VLOOKUP(AZ$1,main!$A$3:$H$102,7,FALSE)=main!$G$104,VLOOKUP(AZ$1,main!$A$3:$H$102,5,FALSE)-VLOOKUP($A179,main!$A$3:$H$102,6,FALSE)&gt;=main!$D$103+VLOOKUP(VLOOKUP(AZ$1,main!$A$3:$I$102,7,FALSE),main!$K$26:$Q$29,4,FALSE)),1,0)</f>
        <v>0</v>
      </c>
      <c r="BA179">
        <f>IF(AND(VLOOKUP(BA$1,main!$A$3:$H$102,7,FALSE)=main!$G$104,VLOOKUP(BA$1,main!$A$3:$H$102,5,FALSE)-VLOOKUP($A179,main!$A$3:$H$102,6,FALSE)&gt;=main!$D$103+VLOOKUP(VLOOKUP(BA$1,main!$A$3:$I$102,7,FALSE),main!$K$26:$Q$29,4,FALSE)),1,0)</f>
        <v>0</v>
      </c>
      <c r="BB179">
        <f>IF(AND(VLOOKUP(BB$1,main!$A$3:$H$102,7,FALSE)=main!$G$104,VLOOKUP(BB$1,main!$A$3:$H$102,5,FALSE)-VLOOKUP($A179,main!$A$3:$H$102,6,FALSE)&gt;=main!$D$103+VLOOKUP(VLOOKUP(BB$1,main!$A$3:$I$102,7,FALSE),main!$K$26:$Q$29,4,FALSE)),1,0)</f>
        <v>0</v>
      </c>
      <c r="BC179">
        <f>IF(AND(VLOOKUP(BC$1,main!$A$3:$H$102,7,FALSE)=main!$G$104,VLOOKUP(BC$1,main!$A$3:$H$102,5,FALSE)-VLOOKUP($A179,main!$A$3:$H$102,6,FALSE)&gt;=main!$D$103+VLOOKUP(VLOOKUP(BC$1,main!$A$3:$I$102,7,FALSE),main!$K$26:$Q$29,4,FALSE)),1,0)</f>
        <v>0</v>
      </c>
      <c r="BD179">
        <f>IF(AND(VLOOKUP(BD$1,main!$A$3:$H$102,7,FALSE)=main!$G$104,VLOOKUP(BD$1,main!$A$3:$H$102,5,FALSE)-VLOOKUP($A179,main!$A$3:$H$102,6,FALSE)&gt;=main!$D$103+VLOOKUP(VLOOKUP(BD$1,main!$A$3:$I$102,7,FALSE),main!$K$26:$Q$29,4,FALSE)),1,0)</f>
        <v>0</v>
      </c>
      <c r="BE179">
        <f>IF(AND(VLOOKUP(BE$1,main!$A$3:$H$102,7,FALSE)=main!$G$104,VLOOKUP(BE$1,main!$A$3:$H$102,5,FALSE)-VLOOKUP($A179,main!$A$3:$H$102,6,FALSE)&gt;=main!$D$103+VLOOKUP(VLOOKUP(BE$1,main!$A$3:$I$102,7,FALSE),main!$K$26:$Q$29,4,FALSE)),1,0)</f>
        <v>0</v>
      </c>
      <c r="BF179">
        <f>IF(AND(VLOOKUP(BF$1,main!$A$3:$H$102,7,FALSE)=main!$G$104,VLOOKUP(BF$1,main!$A$3:$H$102,5,FALSE)-VLOOKUP($A179,main!$A$3:$H$102,6,FALSE)&gt;=main!$D$103+VLOOKUP(VLOOKUP(BF$1,main!$A$3:$I$102,7,FALSE),main!$K$26:$Q$29,4,FALSE)),1,0)</f>
        <v>0</v>
      </c>
      <c r="BG179">
        <f>IF(AND(VLOOKUP(BG$1,main!$A$3:$H$102,7,FALSE)=main!$G$104,VLOOKUP(BG$1,main!$A$3:$H$102,5,FALSE)-VLOOKUP($A179,main!$A$3:$H$102,6,FALSE)&gt;=main!$D$103+VLOOKUP(VLOOKUP(BG$1,main!$A$3:$I$102,7,FALSE),main!$K$26:$Q$29,4,FALSE)),1,0)</f>
        <v>0</v>
      </c>
      <c r="BH179">
        <f>IF(AND(VLOOKUP(BH$1,main!$A$3:$H$102,7,FALSE)=main!$G$104,VLOOKUP(BH$1,main!$A$3:$H$102,5,FALSE)-VLOOKUP($A179,main!$A$3:$H$102,6,FALSE)&gt;=main!$D$103+VLOOKUP(VLOOKUP(BH$1,main!$A$3:$I$102,7,FALSE),main!$K$26:$Q$29,4,FALSE)),1,0)</f>
        <v>0</v>
      </c>
      <c r="BI179">
        <f>IF(AND(VLOOKUP(BI$1,main!$A$3:$H$102,7,FALSE)=main!$G$104,VLOOKUP(BI$1,main!$A$3:$H$102,5,FALSE)-VLOOKUP($A179,main!$A$3:$H$102,6,FALSE)&gt;=main!$D$103+VLOOKUP(VLOOKUP(BI$1,main!$A$3:$I$102,7,FALSE),main!$K$26:$Q$29,4,FALSE)),1,0)</f>
        <v>0</v>
      </c>
      <c r="BJ179">
        <f>IF(AND(VLOOKUP(BJ$1,main!$A$3:$H$102,7,FALSE)=main!$G$104,VLOOKUP(BJ$1,main!$A$3:$H$102,5,FALSE)-VLOOKUP($A179,main!$A$3:$H$102,6,FALSE)&gt;=main!$D$103+VLOOKUP(VLOOKUP(BJ$1,main!$A$3:$I$102,7,FALSE),main!$K$26:$Q$29,4,FALSE)),1,0)</f>
        <v>0</v>
      </c>
      <c r="BK179">
        <f>IF(AND(VLOOKUP(BK$1,main!$A$3:$H$102,7,FALSE)=main!$G$104,VLOOKUP(BK$1,main!$A$3:$H$102,5,FALSE)-VLOOKUP($A179,main!$A$3:$H$102,6,FALSE)&gt;=main!$D$103+VLOOKUP(VLOOKUP(BK$1,main!$A$3:$I$102,7,FALSE),main!$K$26:$Q$29,4,FALSE)),1,0)</f>
        <v>0</v>
      </c>
      <c r="BL179">
        <f>IF(AND(VLOOKUP(BL$1,main!$A$3:$H$102,7,FALSE)=main!$G$104,VLOOKUP(BL$1,main!$A$3:$H$102,5,FALSE)-VLOOKUP($A179,main!$A$3:$H$102,6,FALSE)&gt;=main!$D$103+VLOOKUP(VLOOKUP(BL$1,main!$A$3:$I$102,7,FALSE),main!$K$26:$Q$29,4,FALSE)),1,0)</f>
        <v>0</v>
      </c>
      <c r="BM179">
        <f>IF(AND(VLOOKUP(BM$1,main!$A$3:$H$102,7,FALSE)=main!$G$104,VLOOKUP(BM$1,main!$A$3:$H$102,5,FALSE)-VLOOKUP($A179,main!$A$3:$H$102,6,FALSE)&gt;=main!$D$103+VLOOKUP(VLOOKUP(BM$1,main!$A$3:$I$102,7,FALSE),main!$K$26:$Q$29,4,FALSE)),1,0)</f>
        <v>0</v>
      </c>
      <c r="BN179">
        <f>IF(AND(VLOOKUP(BN$1,main!$A$3:$H$102,7,FALSE)=main!$G$104,VLOOKUP(BN$1,main!$A$3:$H$102,5,FALSE)-VLOOKUP($A179,main!$A$3:$H$102,6,FALSE)&gt;=main!$D$103+VLOOKUP(VLOOKUP(BN$1,main!$A$3:$I$102,7,FALSE),main!$K$26:$Q$29,4,FALSE)),1,0)</f>
        <v>0</v>
      </c>
      <c r="BO179">
        <f>IF(AND(VLOOKUP(BO$1,main!$A$3:$H$102,7,FALSE)=main!$G$104,VLOOKUP(BO$1,main!$A$3:$H$102,5,FALSE)-VLOOKUP($A179,main!$A$3:$H$102,6,FALSE)&gt;=main!$D$103+VLOOKUP(VLOOKUP(BO$1,main!$A$3:$I$102,7,FALSE),main!$K$26:$Q$29,4,FALSE)),1,0)</f>
        <v>0</v>
      </c>
      <c r="BP179">
        <f>IF(AND(VLOOKUP(BP$1,main!$A$3:$H$102,7,FALSE)=main!$G$104,VLOOKUP(BP$1,main!$A$3:$H$102,5,FALSE)-VLOOKUP($A179,main!$A$3:$H$102,6,FALSE)&gt;=main!$D$103+VLOOKUP(VLOOKUP(BP$1,main!$A$3:$I$102,7,FALSE),main!$K$26:$Q$29,4,FALSE)),1,0)</f>
        <v>0</v>
      </c>
      <c r="BQ179">
        <f>IF(AND(VLOOKUP(BQ$1,main!$A$3:$H$102,7,FALSE)=main!$G$104,VLOOKUP(BQ$1,main!$A$3:$H$102,5,FALSE)-VLOOKUP($A179,main!$A$3:$H$102,6,FALSE)&gt;=main!$D$103+VLOOKUP(VLOOKUP(BQ$1,main!$A$3:$I$102,7,FALSE),main!$K$26:$Q$29,4,FALSE)),1,0)</f>
        <v>0</v>
      </c>
      <c r="BR179">
        <f>IF(AND(VLOOKUP(BR$1,main!$A$3:$H$102,7,FALSE)=main!$G$104,VLOOKUP(BR$1,main!$A$3:$H$102,5,FALSE)-VLOOKUP($A179,main!$A$3:$H$102,6,FALSE)&gt;=main!$D$103+VLOOKUP(VLOOKUP(BR$1,main!$A$3:$I$102,7,FALSE),main!$K$26:$Q$29,4,FALSE)),1,0)</f>
        <v>0</v>
      </c>
      <c r="BS179">
        <f>IF(AND(VLOOKUP(BS$1,main!$A$3:$H$102,7,FALSE)=main!$G$104,VLOOKUP(BS$1,main!$A$3:$H$102,5,FALSE)-VLOOKUP($A179,main!$A$3:$H$102,6,FALSE)&gt;=main!$D$103+VLOOKUP(VLOOKUP(BS$1,main!$A$3:$I$102,7,FALSE),main!$K$26:$Q$29,4,FALSE)),1,0)</f>
        <v>0</v>
      </c>
      <c r="BT179">
        <f>IF(AND(VLOOKUP(BT$1,main!$A$3:$H$102,7,FALSE)=main!$G$104,VLOOKUP(BT$1,main!$A$3:$H$102,5,FALSE)-VLOOKUP($A179,main!$A$3:$H$102,6,FALSE)&gt;=main!$D$103+VLOOKUP(VLOOKUP(BT$1,main!$A$3:$I$102,7,FALSE),main!$K$26:$Q$29,4,FALSE)),1,0)</f>
        <v>0</v>
      </c>
      <c r="BU179">
        <f>IF(AND(VLOOKUP(BU$1,main!$A$3:$H$102,7,FALSE)=main!$G$104,VLOOKUP(BU$1,main!$A$3:$H$102,5,FALSE)-VLOOKUP($A179,main!$A$3:$H$102,6,FALSE)&gt;=main!$D$103+VLOOKUP(VLOOKUP(BU$1,main!$A$3:$I$102,7,FALSE),main!$K$26:$Q$29,4,FALSE)),1,0)</f>
        <v>0</v>
      </c>
      <c r="BV179">
        <f>IF(AND(VLOOKUP(BV$1,main!$A$3:$H$102,7,FALSE)=main!$G$104,VLOOKUP(BV$1,main!$A$3:$H$102,5,FALSE)-VLOOKUP($A179,main!$A$3:$H$102,6,FALSE)&gt;=main!$D$103+VLOOKUP(VLOOKUP(BV$1,main!$A$3:$I$102,7,FALSE),main!$K$26:$Q$29,4,FALSE)),1,0)</f>
        <v>0</v>
      </c>
      <c r="BW179">
        <f>IF(AND(VLOOKUP(BW$1,main!$A$3:$H$102,7,FALSE)=main!$G$104,VLOOKUP(BW$1,main!$A$3:$H$102,5,FALSE)-VLOOKUP($A179,main!$A$3:$H$102,6,FALSE)&gt;=main!$D$103+VLOOKUP(VLOOKUP(BW$1,main!$A$3:$I$102,7,FALSE),main!$K$26:$Q$29,4,FALSE)),1,0)</f>
        <v>0</v>
      </c>
      <c r="BX179">
        <f>IF(AND(VLOOKUP(BX$1,main!$A$3:$H$102,7,FALSE)=main!$G$104,VLOOKUP(BX$1,main!$A$3:$H$102,5,FALSE)-VLOOKUP($A179,main!$A$3:$H$102,6,FALSE)&gt;=main!$D$103+VLOOKUP(VLOOKUP(BX$1,main!$A$3:$I$102,7,FALSE),main!$K$26:$Q$29,4,FALSE)),1,0)</f>
        <v>0</v>
      </c>
      <c r="BY179">
        <f>IF(AND(VLOOKUP(BY$1,main!$A$3:$H$102,7,FALSE)=main!$G$104,VLOOKUP(BY$1,main!$A$3:$H$102,5,FALSE)-VLOOKUP($A179,main!$A$3:$H$102,6,FALSE)&gt;=main!$D$103+VLOOKUP(VLOOKUP(BY$1,main!$A$3:$I$102,7,FALSE),main!$K$26:$Q$29,4,FALSE)),1,0)</f>
        <v>0</v>
      </c>
      <c r="BZ179">
        <f>IF(AND(VLOOKUP(BZ$1,main!$A$3:$H$102,7,FALSE)=main!$G$104,VLOOKUP(BZ$1,main!$A$3:$H$102,5,FALSE)-VLOOKUP($A179,main!$A$3:$H$102,6,FALSE)&gt;=main!$D$103+VLOOKUP(VLOOKUP(BZ$1,main!$A$3:$I$102,7,FALSE),main!$K$26:$Q$29,4,FALSE)),1,0)</f>
        <v>0</v>
      </c>
      <c r="CA179">
        <f>IF(AND(VLOOKUP(CA$1,main!$A$3:$H$102,7,FALSE)=main!$G$104,VLOOKUP(CA$1,main!$A$3:$H$102,5,FALSE)-VLOOKUP($A179,main!$A$3:$H$102,6,FALSE)&gt;=main!$D$103+VLOOKUP(VLOOKUP(CA$1,main!$A$3:$I$102,7,FALSE),main!$K$26:$Q$29,4,FALSE)),1,0)</f>
        <v>0</v>
      </c>
      <c r="CB179">
        <f>IF(AND(VLOOKUP(CB$1,main!$A$3:$H$102,7,FALSE)=main!$G$104,VLOOKUP(CB$1,main!$A$3:$H$102,5,FALSE)-VLOOKUP($A179,main!$A$3:$H$102,6,FALSE)&gt;=main!$D$103+VLOOKUP(VLOOKUP(CB$1,main!$A$3:$I$102,7,FALSE),main!$K$26:$Q$29,4,FALSE)),1,0)</f>
        <v>0</v>
      </c>
      <c r="CC179">
        <f>IF(AND(VLOOKUP(CC$1,main!$A$3:$H$102,7,FALSE)=main!$G$104,VLOOKUP(CC$1,main!$A$3:$H$102,5,FALSE)-VLOOKUP($A179,main!$A$3:$H$102,6,FALSE)&gt;=main!$D$103+VLOOKUP(VLOOKUP(CC$1,main!$A$3:$I$102,7,FALSE),main!$K$26:$Q$29,4,FALSE)),1,0)</f>
        <v>0</v>
      </c>
      <c r="CD179">
        <f>IF(AND(VLOOKUP(CD$1,main!$A$3:$H$102,7,FALSE)=main!$G$104,VLOOKUP(CD$1,main!$A$3:$H$102,5,FALSE)-VLOOKUP($A179,main!$A$3:$H$102,6,FALSE)&gt;=main!$D$103+VLOOKUP(VLOOKUP(CD$1,main!$A$3:$I$102,7,FALSE),main!$K$26:$Q$29,4,FALSE)),1,0)</f>
        <v>0</v>
      </c>
      <c r="CE179">
        <f>IF(AND(VLOOKUP(CE$1,main!$A$3:$H$102,7,FALSE)=main!$G$104,VLOOKUP(CE$1,main!$A$3:$H$102,5,FALSE)-VLOOKUP($A179,main!$A$3:$H$102,6,FALSE)&gt;=main!$D$103+VLOOKUP(VLOOKUP(CE$1,main!$A$3:$I$102,7,FALSE),main!$K$26:$Q$29,4,FALSE)),1,0)</f>
        <v>0</v>
      </c>
      <c r="CF179">
        <f>IF(AND(VLOOKUP(CF$1,main!$A$3:$H$102,7,FALSE)=main!$G$104,VLOOKUP(CF$1,main!$A$3:$H$102,5,FALSE)-VLOOKUP($A179,main!$A$3:$H$102,6,FALSE)&gt;=main!$D$103+VLOOKUP(VLOOKUP(CF$1,main!$A$3:$I$102,7,FALSE),main!$K$26:$Q$29,4,FALSE)),1,0)</f>
        <v>0</v>
      </c>
      <c r="CG179">
        <f>IF(AND(VLOOKUP(CG$1,main!$A$3:$H$102,7,FALSE)=main!$G$104,VLOOKUP(CG$1,main!$A$3:$H$102,5,FALSE)-VLOOKUP($A179,main!$A$3:$H$102,6,FALSE)&gt;=main!$D$103+VLOOKUP(VLOOKUP(CG$1,main!$A$3:$I$102,7,FALSE),main!$K$26:$Q$29,4,FALSE)),1,0)</f>
        <v>0</v>
      </c>
      <c r="CH179">
        <f>IF(AND(VLOOKUP(CH$1,main!$A$3:$H$102,7,FALSE)=main!$G$104,VLOOKUP(CH$1,main!$A$3:$H$102,5,FALSE)-VLOOKUP($A179,main!$A$3:$H$102,6,FALSE)&gt;=main!$D$103+VLOOKUP(VLOOKUP(CH$1,main!$A$3:$I$102,7,FALSE),main!$K$26:$Q$29,4,FALSE)),1,0)</f>
        <v>0</v>
      </c>
      <c r="CI179">
        <f>IF(AND(VLOOKUP(CI$1,main!$A$3:$H$102,7,FALSE)=main!$G$104,VLOOKUP(CI$1,main!$A$3:$H$102,5,FALSE)-VLOOKUP($A179,main!$A$3:$H$102,6,FALSE)&gt;=main!$D$103+VLOOKUP(VLOOKUP(CI$1,main!$A$3:$I$102,7,FALSE),main!$K$26:$Q$29,4,FALSE)),1,0)</f>
        <v>0</v>
      </c>
      <c r="CJ179">
        <f>IF(AND(VLOOKUP(CJ$1,main!$A$3:$H$102,7,FALSE)=main!$G$104,VLOOKUP(CJ$1,main!$A$3:$H$102,5,FALSE)-VLOOKUP($A179,main!$A$3:$H$102,6,FALSE)&gt;=main!$D$103+VLOOKUP(VLOOKUP(CJ$1,main!$A$3:$I$102,7,FALSE),main!$K$26:$Q$29,4,FALSE)),1,0)</f>
        <v>0</v>
      </c>
      <c r="CK179">
        <f>IF(AND(VLOOKUP(CK$1,main!$A$3:$H$102,7,FALSE)=main!$G$104,VLOOKUP(CK$1,main!$A$3:$H$102,5,FALSE)-VLOOKUP($A179,main!$A$3:$H$102,6,FALSE)&gt;=main!$D$103+VLOOKUP(VLOOKUP(CK$1,main!$A$3:$I$102,7,FALSE),main!$K$26:$Q$29,4,FALSE)),1,0)</f>
        <v>0</v>
      </c>
      <c r="CL179">
        <f>IF(AND(VLOOKUP(CL$1,main!$A$3:$H$102,7,FALSE)=main!$G$104,VLOOKUP(CL$1,main!$A$3:$H$102,5,FALSE)-VLOOKUP($A179,main!$A$3:$H$102,6,FALSE)&gt;=main!$D$103+VLOOKUP(VLOOKUP(CL$1,main!$A$3:$I$102,7,FALSE),main!$K$26:$Q$29,4,FALSE)),1,0)</f>
        <v>0</v>
      </c>
      <c r="CM179">
        <f>IF(AND(VLOOKUP(CM$1,main!$A$3:$H$102,7,FALSE)=main!$G$104,VLOOKUP(CM$1,main!$A$3:$H$102,5,FALSE)-VLOOKUP($A179,main!$A$3:$H$102,6,FALSE)&gt;=main!$D$103+VLOOKUP(VLOOKUP(CM$1,main!$A$3:$I$102,7,FALSE),main!$K$26:$Q$29,4,FALSE)),1,0)</f>
        <v>0</v>
      </c>
      <c r="CN179">
        <f>IF(AND(VLOOKUP(CN$1,main!$A$3:$H$102,7,FALSE)=main!$G$104,VLOOKUP(CN$1,main!$A$3:$H$102,5,FALSE)-VLOOKUP($A179,main!$A$3:$H$102,6,FALSE)&gt;=main!$D$103+VLOOKUP(VLOOKUP(CN$1,main!$A$3:$I$102,7,FALSE),main!$K$26:$Q$29,4,FALSE)),1,0)</f>
        <v>0</v>
      </c>
      <c r="CO179">
        <f>IF(AND(VLOOKUP(CO$1,main!$A$3:$H$102,7,FALSE)=main!$G$104,VLOOKUP(CO$1,main!$A$3:$H$102,5,FALSE)-VLOOKUP($A179,main!$A$3:$H$102,6,FALSE)&gt;=main!$D$103+VLOOKUP(VLOOKUP(CO$1,main!$A$3:$I$102,7,FALSE),main!$K$26:$Q$29,4,FALSE)),1,0)</f>
        <v>0</v>
      </c>
      <c r="CP179">
        <f>IF(AND(VLOOKUP(CP$1,main!$A$3:$H$102,7,FALSE)=main!$G$104,VLOOKUP(CP$1,main!$A$3:$H$102,5,FALSE)-VLOOKUP($A179,main!$A$3:$H$102,6,FALSE)&gt;=main!$D$103+VLOOKUP(VLOOKUP(CP$1,main!$A$3:$I$102,7,FALSE),main!$K$26:$Q$29,4,FALSE)),1,0)</f>
        <v>0</v>
      </c>
      <c r="CQ179">
        <f>IF(AND(VLOOKUP(CQ$1,main!$A$3:$H$102,7,FALSE)=main!$G$104,VLOOKUP(CQ$1,main!$A$3:$H$102,5,FALSE)-VLOOKUP($A179,main!$A$3:$H$102,6,FALSE)&gt;=main!$D$103+VLOOKUP(VLOOKUP(CQ$1,main!$A$3:$I$102,7,FALSE),main!$K$26:$Q$29,4,FALSE)),1,0)</f>
        <v>0</v>
      </c>
      <c r="CR179">
        <f>IF(AND(VLOOKUP(CR$1,main!$A$3:$H$102,7,FALSE)=main!$G$104,VLOOKUP(CR$1,main!$A$3:$H$102,5,FALSE)-VLOOKUP($A179,main!$A$3:$H$102,6,FALSE)&gt;=main!$D$103+VLOOKUP(VLOOKUP(CR$1,main!$A$3:$I$102,7,FALSE),main!$K$26:$Q$29,4,FALSE)),1,0)</f>
        <v>0</v>
      </c>
      <c r="CS179">
        <f>IF(AND(VLOOKUP(CS$1,main!$A$3:$H$102,7,FALSE)=main!$G$104,VLOOKUP(CS$1,main!$A$3:$H$102,5,FALSE)-VLOOKUP($A179,main!$A$3:$H$102,6,FALSE)&gt;=main!$D$103+VLOOKUP(VLOOKUP(CS$1,main!$A$3:$I$102,7,FALSE),main!$K$26:$Q$29,4,FALSE)),1,0)</f>
        <v>0</v>
      </c>
      <c r="CT179">
        <f>IF(AND(VLOOKUP(CT$1,main!$A$3:$H$102,7,FALSE)=main!$G$104,VLOOKUP(CT$1,main!$A$3:$H$102,5,FALSE)-VLOOKUP($A179,main!$A$3:$H$102,6,FALSE)&gt;=main!$D$103+VLOOKUP(VLOOKUP(CT$1,main!$A$3:$I$102,7,FALSE),main!$K$26:$Q$29,4,FALSE)),1,0)</f>
        <v>0</v>
      </c>
      <c r="CU179">
        <f>IF(AND(VLOOKUP(CU$1,main!$A$3:$H$102,7,FALSE)=main!$G$104,VLOOKUP(CU$1,main!$A$3:$H$102,5,FALSE)-VLOOKUP($A179,main!$A$3:$H$102,6,FALSE)&gt;=main!$D$103+VLOOKUP(VLOOKUP(CU$1,main!$A$3:$I$102,7,FALSE),main!$K$26:$Q$29,4,FALSE)),1,0)</f>
        <v>0</v>
      </c>
      <c r="CV179">
        <f>IF(AND(VLOOKUP(CV$1,main!$A$3:$H$102,7,FALSE)=main!$G$104,VLOOKUP(CV$1,main!$A$3:$H$102,5,FALSE)-VLOOKUP($A179,main!$A$3:$H$102,6,FALSE)&gt;=main!$D$103+VLOOKUP(VLOOKUP(CV$1,main!$A$3:$I$102,7,FALSE),main!$K$26:$Q$29,4,FALSE)),1,0)</f>
        <v>0</v>
      </c>
      <c r="CW179">
        <f>IF(AND(VLOOKUP(CW$1,main!$A$3:$H$102,7,FALSE)=main!$G$104,VLOOKUP(CW$1,main!$A$3:$H$102,5,FALSE)-VLOOKUP($A179,main!$A$3:$H$102,6,FALSE)&gt;=main!$D$103+VLOOKUP(VLOOKUP(CW$1,main!$A$3:$I$102,7,FALSE),main!$K$26:$Q$29,4,FALSE)),1,0)</f>
        <v>0</v>
      </c>
      <c r="CX179">
        <f>IF(AND(VLOOKUP(CX$1,main!$A$3:$H$102,7,FALSE)=main!$G$104,VLOOKUP(CX$1,main!$A$3:$H$102,5,FALSE)-VLOOKUP($A179,main!$A$3:$H$102,6,FALSE)&gt;=main!$D$103+VLOOKUP(VLOOKUP(CX$1,main!$A$3:$I$102,7,FALSE),main!$K$26:$Q$29,4,FALSE)),1,0)</f>
        <v>0</v>
      </c>
    </row>
    <row r="180" spans="1:102" x14ac:dyDescent="0.25">
      <c r="A180" s="1">
        <v>77</v>
      </c>
      <c r="B180">
        <v>0</v>
      </c>
      <c r="C180">
        <f>IF(AND(VLOOKUP(C$1,main!$A$3:$H$102,7,FALSE)=main!$G$104,VLOOKUP(C$1,main!$A$3:$H$102,5,FALSE)-VLOOKUP($A180,main!$A$3:$H$102,6,FALSE)&gt;=main!$D$103+VLOOKUP(VLOOKUP(C$1,main!$A$3:$I$102,7,FALSE),main!$K$26:$Q$29,4,FALSE)),1,0)</f>
        <v>0</v>
      </c>
      <c r="D180">
        <f>IF(AND(VLOOKUP(D$1,main!$A$3:$H$102,7,FALSE)=main!$G$104,VLOOKUP(D$1,main!$A$3:$H$102,5,FALSE)-VLOOKUP($A180,main!$A$3:$H$102,6,FALSE)&gt;=main!$D$103+VLOOKUP(VLOOKUP(D$1,main!$A$3:$I$102,7,FALSE),main!$K$26:$Q$29,4,FALSE)),1,0)</f>
        <v>0</v>
      </c>
      <c r="E180">
        <f>IF(AND(VLOOKUP(E$1,main!$A$3:$H$102,7,FALSE)=main!$G$104,VLOOKUP(E$1,main!$A$3:$H$102,5,FALSE)-VLOOKUP($A180,main!$A$3:$H$102,6,FALSE)&gt;=main!$D$103+VLOOKUP(VLOOKUP(E$1,main!$A$3:$I$102,7,FALSE),main!$K$26:$Q$29,4,FALSE)),1,0)</f>
        <v>1</v>
      </c>
      <c r="F180">
        <f>IF(AND(VLOOKUP(F$1,main!$A$3:$H$102,7,FALSE)=main!$G$104,VLOOKUP(F$1,main!$A$3:$H$102,5,FALSE)-VLOOKUP($A180,main!$A$3:$H$102,6,FALSE)&gt;=main!$D$103+VLOOKUP(VLOOKUP(F$1,main!$A$3:$I$102,7,FALSE),main!$K$26:$Q$29,4,FALSE)),1,0)</f>
        <v>1</v>
      </c>
      <c r="G180">
        <f>IF(AND(VLOOKUP(G$1,main!$A$3:$H$102,7,FALSE)=main!$G$104,VLOOKUP(G$1,main!$A$3:$H$102,5,FALSE)-VLOOKUP($A180,main!$A$3:$H$102,6,FALSE)&gt;=main!$D$103+VLOOKUP(VLOOKUP(G$1,main!$A$3:$I$102,7,FALSE),main!$K$26:$Q$29,4,FALSE)),1,0)</f>
        <v>1</v>
      </c>
      <c r="H180">
        <f>IF(AND(VLOOKUP(H$1,main!$A$3:$H$102,7,FALSE)=main!$G$104,VLOOKUP(H$1,main!$A$3:$H$102,5,FALSE)-VLOOKUP($A180,main!$A$3:$H$102,6,FALSE)&gt;=main!$D$103+VLOOKUP(VLOOKUP(H$1,main!$A$3:$I$102,7,FALSE),main!$K$26:$Q$29,4,FALSE)),1,0)</f>
        <v>1</v>
      </c>
      <c r="I180">
        <f>IF(AND(VLOOKUP(I$1,main!$A$3:$H$102,7,FALSE)=main!$G$104,VLOOKUP(I$1,main!$A$3:$H$102,5,FALSE)-VLOOKUP($A180,main!$A$3:$H$102,6,FALSE)&gt;=main!$D$103+VLOOKUP(VLOOKUP(I$1,main!$A$3:$I$102,7,FALSE),main!$K$26:$Q$29,4,FALSE)),1,0)</f>
        <v>1</v>
      </c>
      <c r="J180">
        <f>IF(AND(VLOOKUP(J$1,main!$A$3:$H$102,7,FALSE)=main!$G$104,VLOOKUP(J$1,main!$A$3:$H$102,5,FALSE)-VLOOKUP($A180,main!$A$3:$H$102,6,FALSE)&gt;=main!$D$103+VLOOKUP(VLOOKUP(J$1,main!$A$3:$I$102,7,FALSE),main!$K$26:$Q$29,4,FALSE)),1,0)</f>
        <v>1</v>
      </c>
      <c r="K180">
        <f>IF(AND(VLOOKUP(K$1,main!$A$3:$H$102,7,FALSE)=main!$G$104,VLOOKUP(K$1,main!$A$3:$H$102,5,FALSE)-VLOOKUP($A180,main!$A$3:$H$102,6,FALSE)&gt;=main!$D$103+VLOOKUP(VLOOKUP(K$1,main!$A$3:$I$102,7,FALSE),main!$K$26:$Q$29,4,FALSE)),1,0)</f>
        <v>1</v>
      </c>
      <c r="L180">
        <f>IF(AND(VLOOKUP(L$1,main!$A$3:$H$102,7,FALSE)=main!$G$104,VLOOKUP(L$1,main!$A$3:$H$102,5,FALSE)-VLOOKUP($A180,main!$A$3:$H$102,6,FALSE)&gt;=main!$D$103+VLOOKUP(VLOOKUP(L$1,main!$A$3:$I$102,7,FALSE),main!$K$26:$Q$29,4,FALSE)),1,0)</f>
        <v>1</v>
      </c>
      <c r="M180">
        <f>IF(AND(VLOOKUP(M$1,main!$A$3:$H$102,7,FALSE)=main!$G$104,VLOOKUP(M$1,main!$A$3:$H$102,5,FALSE)-VLOOKUP($A180,main!$A$3:$H$102,6,FALSE)&gt;=main!$D$103+VLOOKUP(VLOOKUP(M$1,main!$A$3:$I$102,7,FALSE),main!$K$26:$Q$29,4,FALSE)),1,0)</f>
        <v>0</v>
      </c>
      <c r="N180">
        <f>IF(AND(VLOOKUP(N$1,main!$A$3:$H$102,7,FALSE)=main!$G$104,VLOOKUP(N$1,main!$A$3:$H$102,5,FALSE)-VLOOKUP($A180,main!$A$3:$H$102,6,FALSE)&gt;=main!$D$103+VLOOKUP(VLOOKUP(N$1,main!$A$3:$I$102,7,FALSE),main!$K$26:$Q$29,4,FALSE)),1,0)</f>
        <v>0</v>
      </c>
      <c r="O180">
        <f>IF(AND(VLOOKUP(O$1,main!$A$3:$H$102,7,FALSE)=main!$G$104,VLOOKUP(O$1,main!$A$3:$H$102,5,FALSE)-VLOOKUP($A180,main!$A$3:$H$102,6,FALSE)&gt;=main!$D$103+VLOOKUP(VLOOKUP(O$1,main!$A$3:$I$102,7,FALSE),main!$K$26:$Q$29,4,FALSE)),1,0)</f>
        <v>0</v>
      </c>
      <c r="P180">
        <f>IF(AND(VLOOKUP(P$1,main!$A$3:$H$102,7,FALSE)=main!$G$104,VLOOKUP(P$1,main!$A$3:$H$102,5,FALSE)-VLOOKUP($A180,main!$A$3:$H$102,6,FALSE)&gt;=main!$D$103+VLOOKUP(VLOOKUP(P$1,main!$A$3:$I$102,7,FALSE),main!$K$26:$Q$29,4,FALSE)),1,0)</f>
        <v>0</v>
      </c>
      <c r="Q180">
        <f>IF(AND(VLOOKUP(Q$1,main!$A$3:$H$102,7,FALSE)=main!$G$104,VLOOKUP(Q$1,main!$A$3:$H$102,5,FALSE)-VLOOKUP($A180,main!$A$3:$H$102,6,FALSE)&gt;=main!$D$103+VLOOKUP(VLOOKUP(Q$1,main!$A$3:$I$102,7,FALSE),main!$K$26:$Q$29,4,FALSE)),1,0)</f>
        <v>1</v>
      </c>
      <c r="R180">
        <f>IF(AND(VLOOKUP(R$1,main!$A$3:$H$102,7,FALSE)=main!$G$104,VLOOKUP(R$1,main!$A$3:$H$102,5,FALSE)-VLOOKUP($A180,main!$A$3:$H$102,6,FALSE)&gt;=main!$D$103+VLOOKUP(VLOOKUP(R$1,main!$A$3:$I$102,7,FALSE),main!$K$26:$Q$29,4,FALSE)),1,0)</f>
        <v>1</v>
      </c>
      <c r="S180">
        <f>IF(AND(VLOOKUP(S$1,main!$A$3:$H$102,7,FALSE)=main!$G$104,VLOOKUP(S$1,main!$A$3:$H$102,5,FALSE)-VLOOKUP($A180,main!$A$3:$H$102,6,FALSE)&gt;=main!$D$103+VLOOKUP(VLOOKUP(S$1,main!$A$3:$I$102,7,FALSE),main!$K$26:$Q$29,4,FALSE)),1,0)</f>
        <v>1</v>
      </c>
      <c r="T180">
        <f>IF(AND(VLOOKUP(T$1,main!$A$3:$H$102,7,FALSE)=main!$G$104,VLOOKUP(T$1,main!$A$3:$H$102,5,FALSE)-VLOOKUP($A180,main!$A$3:$H$102,6,FALSE)&gt;=main!$D$103+VLOOKUP(VLOOKUP(T$1,main!$A$3:$I$102,7,FALSE),main!$K$26:$Q$29,4,FALSE)),1,0)</f>
        <v>1</v>
      </c>
      <c r="U180">
        <f>IF(AND(VLOOKUP(U$1,main!$A$3:$H$102,7,FALSE)=main!$G$104,VLOOKUP(U$1,main!$A$3:$H$102,5,FALSE)-VLOOKUP($A180,main!$A$3:$H$102,6,FALSE)&gt;=main!$D$103+VLOOKUP(VLOOKUP(U$1,main!$A$3:$I$102,7,FALSE),main!$K$26:$Q$29,4,FALSE)),1,0)</f>
        <v>1</v>
      </c>
      <c r="V180">
        <f>IF(AND(VLOOKUP(V$1,main!$A$3:$H$102,7,FALSE)=main!$G$104,VLOOKUP(V$1,main!$A$3:$H$102,5,FALSE)-VLOOKUP($A180,main!$A$3:$H$102,6,FALSE)&gt;=main!$D$103+VLOOKUP(VLOOKUP(V$1,main!$A$3:$I$102,7,FALSE),main!$K$26:$Q$29,4,FALSE)),1,0)</f>
        <v>1</v>
      </c>
      <c r="W180">
        <f>IF(AND(VLOOKUP(W$1,main!$A$3:$H$102,7,FALSE)=main!$G$104,VLOOKUP(W$1,main!$A$3:$H$102,5,FALSE)-VLOOKUP($A180,main!$A$3:$H$102,6,FALSE)&gt;=main!$D$103+VLOOKUP(VLOOKUP(W$1,main!$A$3:$I$102,7,FALSE),main!$K$26:$Q$29,4,FALSE)),1,0)</f>
        <v>0</v>
      </c>
      <c r="X180">
        <f>IF(AND(VLOOKUP(X$1,main!$A$3:$H$102,7,FALSE)=main!$G$104,VLOOKUP(X$1,main!$A$3:$H$102,5,FALSE)-VLOOKUP($A180,main!$A$3:$H$102,6,FALSE)&gt;=main!$D$103+VLOOKUP(VLOOKUP(X$1,main!$A$3:$I$102,7,FALSE),main!$K$26:$Q$29,4,FALSE)),1,0)</f>
        <v>0</v>
      </c>
      <c r="Y180">
        <f>IF(AND(VLOOKUP(Y$1,main!$A$3:$H$102,7,FALSE)=main!$G$104,VLOOKUP(Y$1,main!$A$3:$H$102,5,FALSE)-VLOOKUP($A180,main!$A$3:$H$102,6,FALSE)&gt;=main!$D$103+VLOOKUP(VLOOKUP(Y$1,main!$A$3:$I$102,7,FALSE),main!$K$26:$Q$29,4,FALSE)),1,0)</f>
        <v>1</v>
      </c>
      <c r="Z180">
        <f>IF(AND(VLOOKUP(Z$1,main!$A$3:$H$102,7,FALSE)=main!$G$104,VLOOKUP(Z$1,main!$A$3:$H$102,5,FALSE)-VLOOKUP($A180,main!$A$3:$H$102,6,FALSE)&gt;=main!$D$103+VLOOKUP(VLOOKUP(Z$1,main!$A$3:$I$102,7,FALSE),main!$K$26:$Q$29,4,FALSE)),1,0)</f>
        <v>1</v>
      </c>
      <c r="AA180">
        <f>IF(AND(VLOOKUP(AA$1,main!$A$3:$H$102,7,FALSE)=main!$G$104,VLOOKUP(AA$1,main!$A$3:$H$102,5,FALSE)-VLOOKUP($A180,main!$A$3:$H$102,6,FALSE)&gt;=main!$D$103+VLOOKUP(VLOOKUP(AA$1,main!$A$3:$I$102,7,FALSE),main!$K$26:$Q$29,4,FALSE)),1,0)</f>
        <v>1</v>
      </c>
      <c r="AB180">
        <f>IF(AND(VLOOKUP(AB$1,main!$A$3:$H$102,7,FALSE)=main!$G$104,VLOOKUP(AB$1,main!$A$3:$H$102,5,FALSE)-VLOOKUP($A180,main!$A$3:$H$102,6,FALSE)&gt;=main!$D$103+VLOOKUP(VLOOKUP(AB$1,main!$A$3:$I$102,7,FALSE),main!$K$26:$Q$29,4,FALSE)),1,0)</f>
        <v>0</v>
      </c>
      <c r="AC180">
        <f>IF(AND(VLOOKUP(AC$1,main!$A$3:$H$102,7,FALSE)=main!$G$104,VLOOKUP(AC$1,main!$A$3:$H$102,5,FALSE)-VLOOKUP($A180,main!$A$3:$H$102,6,FALSE)&gt;=main!$D$103+VLOOKUP(VLOOKUP(AC$1,main!$A$3:$I$102,7,FALSE),main!$K$26:$Q$29,4,FALSE)),1,0)</f>
        <v>0</v>
      </c>
      <c r="AD180">
        <f>IF(AND(VLOOKUP(AD$1,main!$A$3:$H$102,7,FALSE)=main!$G$104,VLOOKUP(AD$1,main!$A$3:$H$102,5,FALSE)-VLOOKUP($A180,main!$A$3:$H$102,6,FALSE)&gt;=main!$D$103+VLOOKUP(VLOOKUP(AD$1,main!$A$3:$I$102,7,FALSE),main!$K$26:$Q$29,4,FALSE)),1,0)</f>
        <v>1</v>
      </c>
      <c r="AE180">
        <f>IF(AND(VLOOKUP(AE$1,main!$A$3:$H$102,7,FALSE)=main!$G$104,VLOOKUP(AE$1,main!$A$3:$H$102,5,FALSE)-VLOOKUP($A180,main!$A$3:$H$102,6,FALSE)&gt;=main!$D$103+VLOOKUP(VLOOKUP(AE$1,main!$A$3:$I$102,7,FALSE),main!$K$26:$Q$29,4,FALSE)),1,0)</f>
        <v>1</v>
      </c>
      <c r="AF180">
        <f>IF(AND(VLOOKUP(AF$1,main!$A$3:$H$102,7,FALSE)=main!$G$104,VLOOKUP(AF$1,main!$A$3:$H$102,5,FALSE)-VLOOKUP($A180,main!$A$3:$H$102,6,FALSE)&gt;=main!$D$103+VLOOKUP(VLOOKUP(AF$1,main!$A$3:$I$102,7,FALSE),main!$K$26:$Q$29,4,FALSE)),1,0)</f>
        <v>1</v>
      </c>
      <c r="AG180">
        <f>IF(AND(VLOOKUP(AG$1,main!$A$3:$H$102,7,FALSE)=main!$G$104,VLOOKUP(AG$1,main!$A$3:$H$102,5,FALSE)-VLOOKUP($A180,main!$A$3:$H$102,6,FALSE)&gt;=main!$D$103+VLOOKUP(VLOOKUP(AG$1,main!$A$3:$I$102,7,FALSE),main!$K$26:$Q$29,4,FALSE)),1,0)</f>
        <v>0</v>
      </c>
      <c r="AH180">
        <f>IF(AND(VLOOKUP(AH$1,main!$A$3:$H$102,7,FALSE)=main!$G$104,VLOOKUP(AH$1,main!$A$3:$H$102,5,FALSE)-VLOOKUP($A180,main!$A$3:$H$102,6,FALSE)&gt;=main!$D$103+VLOOKUP(VLOOKUP(AH$1,main!$A$3:$I$102,7,FALSE),main!$K$26:$Q$29,4,FALSE)),1,0)</f>
        <v>0</v>
      </c>
      <c r="AI180">
        <f>IF(AND(VLOOKUP(AI$1,main!$A$3:$H$102,7,FALSE)=main!$G$104,VLOOKUP(AI$1,main!$A$3:$H$102,5,FALSE)-VLOOKUP($A180,main!$A$3:$H$102,6,FALSE)&gt;=main!$D$103+VLOOKUP(VLOOKUP(AI$1,main!$A$3:$I$102,7,FALSE),main!$K$26:$Q$29,4,FALSE)),1,0)</f>
        <v>0</v>
      </c>
      <c r="AJ180">
        <f>IF(AND(VLOOKUP(AJ$1,main!$A$3:$H$102,7,FALSE)=main!$G$104,VLOOKUP(AJ$1,main!$A$3:$H$102,5,FALSE)-VLOOKUP($A180,main!$A$3:$H$102,6,FALSE)&gt;=main!$D$103+VLOOKUP(VLOOKUP(AJ$1,main!$A$3:$I$102,7,FALSE),main!$K$26:$Q$29,4,FALSE)),1,0)</f>
        <v>0</v>
      </c>
      <c r="AK180">
        <f>IF(AND(VLOOKUP(AK$1,main!$A$3:$H$102,7,FALSE)=main!$G$104,VLOOKUP(AK$1,main!$A$3:$H$102,5,FALSE)-VLOOKUP($A180,main!$A$3:$H$102,6,FALSE)&gt;=main!$D$103+VLOOKUP(VLOOKUP(AK$1,main!$A$3:$I$102,7,FALSE),main!$K$26:$Q$29,4,FALSE)),1,0)</f>
        <v>0</v>
      </c>
      <c r="AL180">
        <f>IF(AND(VLOOKUP(AL$1,main!$A$3:$H$102,7,FALSE)=main!$G$104,VLOOKUP(AL$1,main!$A$3:$H$102,5,FALSE)-VLOOKUP($A180,main!$A$3:$H$102,6,FALSE)&gt;=main!$D$103+VLOOKUP(VLOOKUP(AL$1,main!$A$3:$I$102,7,FALSE),main!$K$26:$Q$29,4,FALSE)),1,0)</f>
        <v>0</v>
      </c>
      <c r="AM180">
        <f>IF(AND(VLOOKUP(AM$1,main!$A$3:$H$102,7,FALSE)=main!$G$104,VLOOKUP(AM$1,main!$A$3:$H$102,5,FALSE)-VLOOKUP($A180,main!$A$3:$H$102,6,FALSE)&gt;=main!$D$103+VLOOKUP(VLOOKUP(AM$1,main!$A$3:$I$102,7,FALSE),main!$K$26:$Q$29,4,FALSE)),1,0)</f>
        <v>0</v>
      </c>
      <c r="AN180">
        <f>IF(AND(VLOOKUP(AN$1,main!$A$3:$H$102,7,FALSE)=main!$G$104,VLOOKUP(AN$1,main!$A$3:$H$102,5,FALSE)-VLOOKUP($A180,main!$A$3:$H$102,6,FALSE)&gt;=main!$D$103+VLOOKUP(VLOOKUP(AN$1,main!$A$3:$I$102,7,FALSE),main!$K$26:$Q$29,4,FALSE)),1,0)</f>
        <v>0</v>
      </c>
      <c r="AO180">
        <f>IF(AND(VLOOKUP(AO$1,main!$A$3:$H$102,7,FALSE)=main!$G$104,VLOOKUP(AO$1,main!$A$3:$H$102,5,FALSE)-VLOOKUP($A180,main!$A$3:$H$102,6,FALSE)&gt;=main!$D$103+VLOOKUP(VLOOKUP(AO$1,main!$A$3:$I$102,7,FALSE),main!$K$26:$Q$29,4,FALSE)),1,0)</f>
        <v>0</v>
      </c>
      <c r="AP180">
        <f>IF(AND(VLOOKUP(AP$1,main!$A$3:$H$102,7,FALSE)=main!$G$104,VLOOKUP(AP$1,main!$A$3:$H$102,5,FALSE)-VLOOKUP($A180,main!$A$3:$H$102,6,FALSE)&gt;=main!$D$103+VLOOKUP(VLOOKUP(AP$1,main!$A$3:$I$102,7,FALSE),main!$K$26:$Q$29,4,FALSE)),1,0)</f>
        <v>0</v>
      </c>
      <c r="AQ180">
        <f>IF(AND(VLOOKUP(AQ$1,main!$A$3:$H$102,7,FALSE)=main!$G$104,VLOOKUP(AQ$1,main!$A$3:$H$102,5,FALSE)-VLOOKUP($A180,main!$A$3:$H$102,6,FALSE)&gt;=main!$D$103+VLOOKUP(VLOOKUP(AQ$1,main!$A$3:$I$102,7,FALSE),main!$K$26:$Q$29,4,FALSE)),1,0)</f>
        <v>0</v>
      </c>
      <c r="AR180">
        <f>IF(AND(VLOOKUP(AR$1,main!$A$3:$H$102,7,FALSE)=main!$G$104,VLOOKUP(AR$1,main!$A$3:$H$102,5,FALSE)-VLOOKUP($A180,main!$A$3:$H$102,6,FALSE)&gt;=main!$D$103+VLOOKUP(VLOOKUP(AR$1,main!$A$3:$I$102,7,FALSE),main!$K$26:$Q$29,4,FALSE)),1,0)</f>
        <v>0</v>
      </c>
      <c r="AS180">
        <f>IF(AND(VLOOKUP(AS$1,main!$A$3:$H$102,7,FALSE)=main!$G$104,VLOOKUP(AS$1,main!$A$3:$H$102,5,FALSE)-VLOOKUP($A180,main!$A$3:$H$102,6,FALSE)&gt;=main!$D$103+VLOOKUP(VLOOKUP(AS$1,main!$A$3:$I$102,7,FALSE),main!$K$26:$Q$29,4,FALSE)),1,0)</f>
        <v>0</v>
      </c>
      <c r="AT180">
        <f>IF(AND(VLOOKUP(AT$1,main!$A$3:$H$102,7,FALSE)=main!$G$104,VLOOKUP(AT$1,main!$A$3:$H$102,5,FALSE)-VLOOKUP($A180,main!$A$3:$H$102,6,FALSE)&gt;=main!$D$103+VLOOKUP(VLOOKUP(AT$1,main!$A$3:$I$102,7,FALSE),main!$K$26:$Q$29,4,FALSE)),1,0)</f>
        <v>0</v>
      </c>
      <c r="AU180">
        <f>IF(AND(VLOOKUP(AU$1,main!$A$3:$H$102,7,FALSE)=main!$G$104,VLOOKUP(AU$1,main!$A$3:$H$102,5,FALSE)-VLOOKUP($A180,main!$A$3:$H$102,6,FALSE)&gt;=main!$D$103+VLOOKUP(VLOOKUP(AU$1,main!$A$3:$I$102,7,FALSE),main!$K$26:$Q$29,4,FALSE)),1,0)</f>
        <v>0</v>
      </c>
      <c r="AV180">
        <f>IF(AND(VLOOKUP(AV$1,main!$A$3:$H$102,7,FALSE)=main!$G$104,VLOOKUP(AV$1,main!$A$3:$H$102,5,FALSE)-VLOOKUP($A180,main!$A$3:$H$102,6,FALSE)&gt;=main!$D$103+VLOOKUP(VLOOKUP(AV$1,main!$A$3:$I$102,7,FALSE),main!$K$26:$Q$29,4,FALSE)),1,0)</f>
        <v>0</v>
      </c>
      <c r="AW180">
        <f>IF(AND(VLOOKUP(AW$1,main!$A$3:$H$102,7,FALSE)=main!$G$104,VLOOKUP(AW$1,main!$A$3:$H$102,5,FALSE)-VLOOKUP($A180,main!$A$3:$H$102,6,FALSE)&gt;=main!$D$103+VLOOKUP(VLOOKUP(AW$1,main!$A$3:$I$102,7,FALSE),main!$K$26:$Q$29,4,FALSE)),1,0)</f>
        <v>0</v>
      </c>
      <c r="AX180">
        <f>IF(AND(VLOOKUP(AX$1,main!$A$3:$H$102,7,FALSE)=main!$G$104,VLOOKUP(AX$1,main!$A$3:$H$102,5,FALSE)-VLOOKUP($A180,main!$A$3:$H$102,6,FALSE)&gt;=main!$D$103+VLOOKUP(VLOOKUP(AX$1,main!$A$3:$I$102,7,FALSE),main!$K$26:$Q$29,4,FALSE)),1,0)</f>
        <v>0</v>
      </c>
      <c r="AY180">
        <f>IF(AND(VLOOKUP(AY$1,main!$A$3:$H$102,7,FALSE)=main!$G$104,VLOOKUP(AY$1,main!$A$3:$H$102,5,FALSE)-VLOOKUP($A180,main!$A$3:$H$102,6,FALSE)&gt;=main!$D$103+VLOOKUP(VLOOKUP(AY$1,main!$A$3:$I$102,7,FALSE),main!$K$26:$Q$29,4,FALSE)),1,0)</f>
        <v>0</v>
      </c>
      <c r="AZ180">
        <f>IF(AND(VLOOKUP(AZ$1,main!$A$3:$H$102,7,FALSE)=main!$G$104,VLOOKUP(AZ$1,main!$A$3:$H$102,5,FALSE)-VLOOKUP($A180,main!$A$3:$H$102,6,FALSE)&gt;=main!$D$103+VLOOKUP(VLOOKUP(AZ$1,main!$A$3:$I$102,7,FALSE),main!$K$26:$Q$29,4,FALSE)),1,0)</f>
        <v>0</v>
      </c>
      <c r="BA180">
        <f>IF(AND(VLOOKUP(BA$1,main!$A$3:$H$102,7,FALSE)=main!$G$104,VLOOKUP(BA$1,main!$A$3:$H$102,5,FALSE)-VLOOKUP($A180,main!$A$3:$H$102,6,FALSE)&gt;=main!$D$103+VLOOKUP(VLOOKUP(BA$1,main!$A$3:$I$102,7,FALSE),main!$K$26:$Q$29,4,FALSE)),1,0)</f>
        <v>0</v>
      </c>
      <c r="BB180">
        <f>IF(AND(VLOOKUP(BB$1,main!$A$3:$H$102,7,FALSE)=main!$G$104,VLOOKUP(BB$1,main!$A$3:$H$102,5,FALSE)-VLOOKUP($A180,main!$A$3:$H$102,6,FALSE)&gt;=main!$D$103+VLOOKUP(VLOOKUP(BB$1,main!$A$3:$I$102,7,FALSE),main!$K$26:$Q$29,4,FALSE)),1,0)</f>
        <v>0</v>
      </c>
      <c r="BC180">
        <f>IF(AND(VLOOKUP(BC$1,main!$A$3:$H$102,7,FALSE)=main!$G$104,VLOOKUP(BC$1,main!$A$3:$H$102,5,FALSE)-VLOOKUP($A180,main!$A$3:$H$102,6,FALSE)&gt;=main!$D$103+VLOOKUP(VLOOKUP(BC$1,main!$A$3:$I$102,7,FALSE),main!$K$26:$Q$29,4,FALSE)),1,0)</f>
        <v>0</v>
      </c>
      <c r="BD180">
        <f>IF(AND(VLOOKUP(BD$1,main!$A$3:$H$102,7,FALSE)=main!$G$104,VLOOKUP(BD$1,main!$A$3:$H$102,5,FALSE)-VLOOKUP($A180,main!$A$3:$H$102,6,FALSE)&gt;=main!$D$103+VLOOKUP(VLOOKUP(BD$1,main!$A$3:$I$102,7,FALSE),main!$K$26:$Q$29,4,FALSE)),1,0)</f>
        <v>0</v>
      </c>
      <c r="BE180">
        <f>IF(AND(VLOOKUP(BE$1,main!$A$3:$H$102,7,FALSE)=main!$G$104,VLOOKUP(BE$1,main!$A$3:$H$102,5,FALSE)-VLOOKUP($A180,main!$A$3:$H$102,6,FALSE)&gt;=main!$D$103+VLOOKUP(VLOOKUP(BE$1,main!$A$3:$I$102,7,FALSE),main!$K$26:$Q$29,4,FALSE)),1,0)</f>
        <v>0</v>
      </c>
      <c r="BF180">
        <f>IF(AND(VLOOKUP(BF$1,main!$A$3:$H$102,7,FALSE)=main!$G$104,VLOOKUP(BF$1,main!$A$3:$H$102,5,FALSE)-VLOOKUP($A180,main!$A$3:$H$102,6,FALSE)&gt;=main!$D$103+VLOOKUP(VLOOKUP(BF$1,main!$A$3:$I$102,7,FALSE),main!$K$26:$Q$29,4,FALSE)),1,0)</f>
        <v>0</v>
      </c>
      <c r="BG180">
        <f>IF(AND(VLOOKUP(BG$1,main!$A$3:$H$102,7,FALSE)=main!$G$104,VLOOKUP(BG$1,main!$A$3:$H$102,5,FALSE)-VLOOKUP($A180,main!$A$3:$H$102,6,FALSE)&gt;=main!$D$103+VLOOKUP(VLOOKUP(BG$1,main!$A$3:$I$102,7,FALSE),main!$K$26:$Q$29,4,FALSE)),1,0)</f>
        <v>0</v>
      </c>
      <c r="BH180">
        <f>IF(AND(VLOOKUP(BH$1,main!$A$3:$H$102,7,FALSE)=main!$G$104,VLOOKUP(BH$1,main!$A$3:$H$102,5,FALSE)-VLOOKUP($A180,main!$A$3:$H$102,6,FALSE)&gt;=main!$D$103+VLOOKUP(VLOOKUP(BH$1,main!$A$3:$I$102,7,FALSE),main!$K$26:$Q$29,4,FALSE)),1,0)</f>
        <v>0</v>
      </c>
      <c r="BI180">
        <f>IF(AND(VLOOKUP(BI$1,main!$A$3:$H$102,7,FALSE)=main!$G$104,VLOOKUP(BI$1,main!$A$3:$H$102,5,FALSE)-VLOOKUP($A180,main!$A$3:$H$102,6,FALSE)&gt;=main!$D$103+VLOOKUP(VLOOKUP(BI$1,main!$A$3:$I$102,7,FALSE),main!$K$26:$Q$29,4,FALSE)),1,0)</f>
        <v>0</v>
      </c>
      <c r="BJ180">
        <f>IF(AND(VLOOKUP(BJ$1,main!$A$3:$H$102,7,FALSE)=main!$G$104,VLOOKUP(BJ$1,main!$A$3:$H$102,5,FALSE)-VLOOKUP($A180,main!$A$3:$H$102,6,FALSE)&gt;=main!$D$103+VLOOKUP(VLOOKUP(BJ$1,main!$A$3:$I$102,7,FALSE),main!$K$26:$Q$29,4,FALSE)),1,0)</f>
        <v>0</v>
      </c>
      <c r="BK180">
        <f>IF(AND(VLOOKUP(BK$1,main!$A$3:$H$102,7,FALSE)=main!$G$104,VLOOKUP(BK$1,main!$A$3:$H$102,5,FALSE)-VLOOKUP($A180,main!$A$3:$H$102,6,FALSE)&gt;=main!$D$103+VLOOKUP(VLOOKUP(BK$1,main!$A$3:$I$102,7,FALSE),main!$K$26:$Q$29,4,FALSE)),1,0)</f>
        <v>0</v>
      </c>
      <c r="BL180">
        <f>IF(AND(VLOOKUP(BL$1,main!$A$3:$H$102,7,FALSE)=main!$G$104,VLOOKUP(BL$1,main!$A$3:$H$102,5,FALSE)-VLOOKUP($A180,main!$A$3:$H$102,6,FALSE)&gt;=main!$D$103+VLOOKUP(VLOOKUP(BL$1,main!$A$3:$I$102,7,FALSE),main!$K$26:$Q$29,4,FALSE)),1,0)</f>
        <v>0</v>
      </c>
      <c r="BM180">
        <f>IF(AND(VLOOKUP(BM$1,main!$A$3:$H$102,7,FALSE)=main!$G$104,VLOOKUP(BM$1,main!$A$3:$H$102,5,FALSE)-VLOOKUP($A180,main!$A$3:$H$102,6,FALSE)&gt;=main!$D$103+VLOOKUP(VLOOKUP(BM$1,main!$A$3:$I$102,7,FALSE),main!$K$26:$Q$29,4,FALSE)),1,0)</f>
        <v>0</v>
      </c>
      <c r="BN180">
        <f>IF(AND(VLOOKUP(BN$1,main!$A$3:$H$102,7,FALSE)=main!$G$104,VLOOKUP(BN$1,main!$A$3:$H$102,5,FALSE)-VLOOKUP($A180,main!$A$3:$H$102,6,FALSE)&gt;=main!$D$103+VLOOKUP(VLOOKUP(BN$1,main!$A$3:$I$102,7,FALSE),main!$K$26:$Q$29,4,FALSE)),1,0)</f>
        <v>0</v>
      </c>
      <c r="BO180">
        <f>IF(AND(VLOOKUP(BO$1,main!$A$3:$H$102,7,FALSE)=main!$G$104,VLOOKUP(BO$1,main!$A$3:$H$102,5,FALSE)-VLOOKUP($A180,main!$A$3:$H$102,6,FALSE)&gt;=main!$D$103+VLOOKUP(VLOOKUP(BO$1,main!$A$3:$I$102,7,FALSE),main!$K$26:$Q$29,4,FALSE)),1,0)</f>
        <v>0</v>
      </c>
      <c r="BP180">
        <f>IF(AND(VLOOKUP(BP$1,main!$A$3:$H$102,7,FALSE)=main!$G$104,VLOOKUP(BP$1,main!$A$3:$H$102,5,FALSE)-VLOOKUP($A180,main!$A$3:$H$102,6,FALSE)&gt;=main!$D$103+VLOOKUP(VLOOKUP(BP$1,main!$A$3:$I$102,7,FALSE),main!$K$26:$Q$29,4,FALSE)),1,0)</f>
        <v>0</v>
      </c>
      <c r="BQ180">
        <f>IF(AND(VLOOKUP(BQ$1,main!$A$3:$H$102,7,FALSE)=main!$G$104,VLOOKUP(BQ$1,main!$A$3:$H$102,5,FALSE)-VLOOKUP($A180,main!$A$3:$H$102,6,FALSE)&gt;=main!$D$103+VLOOKUP(VLOOKUP(BQ$1,main!$A$3:$I$102,7,FALSE),main!$K$26:$Q$29,4,FALSE)),1,0)</f>
        <v>0</v>
      </c>
      <c r="BR180">
        <f>IF(AND(VLOOKUP(BR$1,main!$A$3:$H$102,7,FALSE)=main!$G$104,VLOOKUP(BR$1,main!$A$3:$H$102,5,FALSE)-VLOOKUP($A180,main!$A$3:$H$102,6,FALSE)&gt;=main!$D$103+VLOOKUP(VLOOKUP(BR$1,main!$A$3:$I$102,7,FALSE),main!$K$26:$Q$29,4,FALSE)),1,0)</f>
        <v>0</v>
      </c>
      <c r="BS180">
        <f>IF(AND(VLOOKUP(BS$1,main!$A$3:$H$102,7,FALSE)=main!$G$104,VLOOKUP(BS$1,main!$A$3:$H$102,5,FALSE)-VLOOKUP($A180,main!$A$3:$H$102,6,FALSE)&gt;=main!$D$103+VLOOKUP(VLOOKUP(BS$1,main!$A$3:$I$102,7,FALSE),main!$K$26:$Q$29,4,FALSE)),1,0)</f>
        <v>0</v>
      </c>
      <c r="BT180">
        <f>IF(AND(VLOOKUP(BT$1,main!$A$3:$H$102,7,FALSE)=main!$G$104,VLOOKUP(BT$1,main!$A$3:$H$102,5,FALSE)-VLOOKUP($A180,main!$A$3:$H$102,6,FALSE)&gt;=main!$D$103+VLOOKUP(VLOOKUP(BT$1,main!$A$3:$I$102,7,FALSE),main!$K$26:$Q$29,4,FALSE)),1,0)</f>
        <v>0</v>
      </c>
      <c r="BU180">
        <f>IF(AND(VLOOKUP(BU$1,main!$A$3:$H$102,7,FALSE)=main!$G$104,VLOOKUP(BU$1,main!$A$3:$H$102,5,FALSE)-VLOOKUP($A180,main!$A$3:$H$102,6,FALSE)&gt;=main!$D$103+VLOOKUP(VLOOKUP(BU$1,main!$A$3:$I$102,7,FALSE),main!$K$26:$Q$29,4,FALSE)),1,0)</f>
        <v>0</v>
      </c>
      <c r="BV180">
        <f>IF(AND(VLOOKUP(BV$1,main!$A$3:$H$102,7,FALSE)=main!$G$104,VLOOKUP(BV$1,main!$A$3:$H$102,5,FALSE)-VLOOKUP($A180,main!$A$3:$H$102,6,FALSE)&gt;=main!$D$103+VLOOKUP(VLOOKUP(BV$1,main!$A$3:$I$102,7,FALSE),main!$K$26:$Q$29,4,FALSE)),1,0)</f>
        <v>0</v>
      </c>
      <c r="BW180">
        <f>IF(AND(VLOOKUP(BW$1,main!$A$3:$H$102,7,FALSE)=main!$G$104,VLOOKUP(BW$1,main!$A$3:$H$102,5,FALSE)-VLOOKUP($A180,main!$A$3:$H$102,6,FALSE)&gt;=main!$D$103+VLOOKUP(VLOOKUP(BW$1,main!$A$3:$I$102,7,FALSE),main!$K$26:$Q$29,4,FALSE)),1,0)</f>
        <v>0</v>
      </c>
      <c r="BX180">
        <f>IF(AND(VLOOKUP(BX$1,main!$A$3:$H$102,7,FALSE)=main!$G$104,VLOOKUP(BX$1,main!$A$3:$H$102,5,FALSE)-VLOOKUP($A180,main!$A$3:$H$102,6,FALSE)&gt;=main!$D$103+VLOOKUP(VLOOKUP(BX$1,main!$A$3:$I$102,7,FALSE),main!$K$26:$Q$29,4,FALSE)),1,0)</f>
        <v>0</v>
      </c>
      <c r="BY180">
        <f>IF(AND(VLOOKUP(BY$1,main!$A$3:$H$102,7,FALSE)=main!$G$104,VLOOKUP(BY$1,main!$A$3:$H$102,5,FALSE)-VLOOKUP($A180,main!$A$3:$H$102,6,FALSE)&gt;=main!$D$103+VLOOKUP(VLOOKUP(BY$1,main!$A$3:$I$102,7,FALSE),main!$K$26:$Q$29,4,FALSE)),1,0)</f>
        <v>0</v>
      </c>
      <c r="BZ180">
        <f>IF(AND(VLOOKUP(BZ$1,main!$A$3:$H$102,7,FALSE)=main!$G$104,VLOOKUP(BZ$1,main!$A$3:$H$102,5,FALSE)-VLOOKUP($A180,main!$A$3:$H$102,6,FALSE)&gt;=main!$D$103+VLOOKUP(VLOOKUP(BZ$1,main!$A$3:$I$102,7,FALSE),main!$K$26:$Q$29,4,FALSE)),1,0)</f>
        <v>0</v>
      </c>
      <c r="CA180">
        <f>IF(AND(VLOOKUP(CA$1,main!$A$3:$H$102,7,FALSE)=main!$G$104,VLOOKUP(CA$1,main!$A$3:$H$102,5,FALSE)-VLOOKUP($A180,main!$A$3:$H$102,6,FALSE)&gt;=main!$D$103+VLOOKUP(VLOOKUP(CA$1,main!$A$3:$I$102,7,FALSE),main!$K$26:$Q$29,4,FALSE)),1,0)</f>
        <v>0</v>
      </c>
      <c r="CB180">
        <f>IF(AND(VLOOKUP(CB$1,main!$A$3:$H$102,7,FALSE)=main!$G$104,VLOOKUP(CB$1,main!$A$3:$H$102,5,FALSE)-VLOOKUP($A180,main!$A$3:$H$102,6,FALSE)&gt;=main!$D$103+VLOOKUP(VLOOKUP(CB$1,main!$A$3:$I$102,7,FALSE),main!$K$26:$Q$29,4,FALSE)),1,0)</f>
        <v>0</v>
      </c>
      <c r="CC180">
        <f>IF(AND(VLOOKUP(CC$1,main!$A$3:$H$102,7,FALSE)=main!$G$104,VLOOKUP(CC$1,main!$A$3:$H$102,5,FALSE)-VLOOKUP($A180,main!$A$3:$H$102,6,FALSE)&gt;=main!$D$103+VLOOKUP(VLOOKUP(CC$1,main!$A$3:$I$102,7,FALSE),main!$K$26:$Q$29,4,FALSE)),1,0)</f>
        <v>0</v>
      </c>
      <c r="CD180">
        <f>IF(AND(VLOOKUP(CD$1,main!$A$3:$H$102,7,FALSE)=main!$G$104,VLOOKUP(CD$1,main!$A$3:$H$102,5,FALSE)-VLOOKUP($A180,main!$A$3:$H$102,6,FALSE)&gt;=main!$D$103+VLOOKUP(VLOOKUP(CD$1,main!$A$3:$I$102,7,FALSE),main!$K$26:$Q$29,4,FALSE)),1,0)</f>
        <v>0</v>
      </c>
      <c r="CE180">
        <f>IF(AND(VLOOKUP(CE$1,main!$A$3:$H$102,7,FALSE)=main!$G$104,VLOOKUP(CE$1,main!$A$3:$H$102,5,FALSE)-VLOOKUP($A180,main!$A$3:$H$102,6,FALSE)&gt;=main!$D$103+VLOOKUP(VLOOKUP(CE$1,main!$A$3:$I$102,7,FALSE),main!$K$26:$Q$29,4,FALSE)),1,0)</f>
        <v>0</v>
      </c>
      <c r="CF180">
        <f>IF(AND(VLOOKUP(CF$1,main!$A$3:$H$102,7,FALSE)=main!$G$104,VLOOKUP(CF$1,main!$A$3:$H$102,5,FALSE)-VLOOKUP($A180,main!$A$3:$H$102,6,FALSE)&gt;=main!$D$103+VLOOKUP(VLOOKUP(CF$1,main!$A$3:$I$102,7,FALSE),main!$K$26:$Q$29,4,FALSE)),1,0)</f>
        <v>0</v>
      </c>
      <c r="CG180">
        <f>IF(AND(VLOOKUP(CG$1,main!$A$3:$H$102,7,FALSE)=main!$G$104,VLOOKUP(CG$1,main!$A$3:$H$102,5,FALSE)-VLOOKUP($A180,main!$A$3:$H$102,6,FALSE)&gt;=main!$D$103+VLOOKUP(VLOOKUP(CG$1,main!$A$3:$I$102,7,FALSE),main!$K$26:$Q$29,4,FALSE)),1,0)</f>
        <v>0</v>
      </c>
      <c r="CH180">
        <f>IF(AND(VLOOKUP(CH$1,main!$A$3:$H$102,7,FALSE)=main!$G$104,VLOOKUP(CH$1,main!$A$3:$H$102,5,FALSE)-VLOOKUP($A180,main!$A$3:$H$102,6,FALSE)&gt;=main!$D$103+VLOOKUP(VLOOKUP(CH$1,main!$A$3:$I$102,7,FALSE),main!$K$26:$Q$29,4,FALSE)),1,0)</f>
        <v>0</v>
      </c>
      <c r="CI180">
        <f>IF(AND(VLOOKUP(CI$1,main!$A$3:$H$102,7,FALSE)=main!$G$104,VLOOKUP(CI$1,main!$A$3:$H$102,5,FALSE)-VLOOKUP($A180,main!$A$3:$H$102,6,FALSE)&gt;=main!$D$103+VLOOKUP(VLOOKUP(CI$1,main!$A$3:$I$102,7,FALSE),main!$K$26:$Q$29,4,FALSE)),1,0)</f>
        <v>0</v>
      </c>
      <c r="CJ180">
        <f>IF(AND(VLOOKUP(CJ$1,main!$A$3:$H$102,7,FALSE)=main!$G$104,VLOOKUP(CJ$1,main!$A$3:$H$102,5,FALSE)-VLOOKUP($A180,main!$A$3:$H$102,6,FALSE)&gt;=main!$D$103+VLOOKUP(VLOOKUP(CJ$1,main!$A$3:$I$102,7,FALSE),main!$K$26:$Q$29,4,FALSE)),1,0)</f>
        <v>0</v>
      </c>
      <c r="CK180">
        <f>IF(AND(VLOOKUP(CK$1,main!$A$3:$H$102,7,FALSE)=main!$G$104,VLOOKUP(CK$1,main!$A$3:$H$102,5,FALSE)-VLOOKUP($A180,main!$A$3:$H$102,6,FALSE)&gt;=main!$D$103+VLOOKUP(VLOOKUP(CK$1,main!$A$3:$I$102,7,FALSE),main!$K$26:$Q$29,4,FALSE)),1,0)</f>
        <v>0</v>
      </c>
      <c r="CL180">
        <f>IF(AND(VLOOKUP(CL$1,main!$A$3:$H$102,7,FALSE)=main!$G$104,VLOOKUP(CL$1,main!$A$3:$H$102,5,FALSE)-VLOOKUP($A180,main!$A$3:$H$102,6,FALSE)&gt;=main!$D$103+VLOOKUP(VLOOKUP(CL$1,main!$A$3:$I$102,7,FALSE),main!$K$26:$Q$29,4,FALSE)),1,0)</f>
        <v>0</v>
      </c>
      <c r="CM180">
        <f>IF(AND(VLOOKUP(CM$1,main!$A$3:$H$102,7,FALSE)=main!$G$104,VLOOKUP(CM$1,main!$A$3:$H$102,5,FALSE)-VLOOKUP($A180,main!$A$3:$H$102,6,FALSE)&gt;=main!$D$103+VLOOKUP(VLOOKUP(CM$1,main!$A$3:$I$102,7,FALSE),main!$K$26:$Q$29,4,FALSE)),1,0)</f>
        <v>0</v>
      </c>
      <c r="CN180">
        <f>IF(AND(VLOOKUP(CN$1,main!$A$3:$H$102,7,FALSE)=main!$G$104,VLOOKUP(CN$1,main!$A$3:$H$102,5,FALSE)-VLOOKUP($A180,main!$A$3:$H$102,6,FALSE)&gt;=main!$D$103+VLOOKUP(VLOOKUP(CN$1,main!$A$3:$I$102,7,FALSE),main!$K$26:$Q$29,4,FALSE)),1,0)</f>
        <v>0</v>
      </c>
      <c r="CO180">
        <f>IF(AND(VLOOKUP(CO$1,main!$A$3:$H$102,7,FALSE)=main!$G$104,VLOOKUP(CO$1,main!$A$3:$H$102,5,FALSE)-VLOOKUP($A180,main!$A$3:$H$102,6,FALSE)&gt;=main!$D$103+VLOOKUP(VLOOKUP(CO$1,main!$A$3:$I$102,7,FALSE),main!$K$26:$Q$29,4,FALSE)),1,0)</f>
        <v>0</v>
      </c>
      <c r="CP180">
        <f>IF(AND(VLOOKUP(CP$1,main!$A$3:$H$102,7,FALSE)=main!$G$104,VLOOKUP(CP$1,main!$A$3:$H$102,5,FALSE)-VLOOKUP($A180,main!$A$3:$H$102,6,FALSE)&gt;=main!$D$103+VLOOKUP(VLOOKUP(CP$1,main!$A$3:$I$102,7,FALSE),main!$K$26:$Q$29,4,FALSE)),1,0)</f>
        <v>0</v>
      </c>
      <c r="CQ180">
        <f>IF(AND(VLOOKUP(CQ$1,main!$A$3:$H$102,7,FALSE)=main!$G$104,VLOOKUP(CQ$1,main!$A$3:$H$102,5,FALSE)-VLOOKUP($A180,main!$A$3:$H$102,6,FALSE)&gt;=main!$D$103+VLOOKUP(VLOOKUP(CQ$1,main!$A$3:$I$102,7,FALSE),main!$K$26:$Q$29,4,FALSE)),1,0)</f>
        <v>0</v>
      </c>
      <c r="CR180">
        <f>IF(AND(VLOOKUP(CR$1,main!$A$3:$H$102,7,FALSE)=main!$G$104,VLOOKUP(CR$1,main!$A$3:$H$102,5,FALSE)-VLOOKUP($A180,main!$A$3:$H$102,6,FALSE)&gt;=main!$D$103+VLOOKUP(VLOOKUP(CR$1,main!$A$3:$I$102,7,FALSE),main!$K$26:$Q$29,4,FALSE)),1,0)</f>
        <v>0</v>
      </c>
      <c r="CS180">
        <f>IF(AND(VLOOKUP(CS$1,main!$A$3:$H$102,7,FALSE)=main!$G$104,VLOOKUP(CS$1,main!$A$3:$H$102,5,FALSE)-VLOOKUP($A180,main!$A$3:$H$102,6,FALSE)&gt;=main!$D$103+VLOOKUP(VLOOKUP(CS$1,main!$A$3:$I$102,7,FALSE),main!$K$26:$Q$29,4,FALSE)),1,0)</f>
        <v>0</v>
      </c>
      <c r="CT180">
        <f>IF(AND(VLOOKUP(CT$1,main!$A$3:$H$102,7,FALSE)=main!$G$104,VLOOKUP(CT$1,main!$A$3:$H$102,5,FALSE)-VLOOKUP($A180,main!$A$3:$H$102,6,FALSE)&gt;=main!$D$103+VLOOKUP(VLOOKUP(CT$1,main!$A$3:$I$102,7,FALSE),main!$K$26:$Q$29,4,FALSE)),1,0)</f>
        <v>0</v>
      </c>
      <c r="CU180">
        <f>IF(AND(VLOOKUP(CU$1,main!$A$3:$H$102,7,FALSE)=main!$G$104,VLOOKUP(CU$1,main!$A$3:$H$102,5,FALSE)-VLOOKUP($A180,main!$A$3:$H$102,6,FALSE)&gt;=main!$D$103+VLOOKUP(VLOOKUP(CU$1,main!$A$3:$I$102,7,FALSE),main!$K$26:$Q$29,4,FALSE)),1,0)</f>
        <v>0</v>
      </c>
      <c r="CV180">
        <f>IF(AND(VLOOKUP(CV$1,main!$A$3:$H$102,7,FALSE)=main!$G$104,VLOOKUP(CV$1,main!$A$3:$H$102,5,FALSE)-VLOOKUP($A180,main!$A$3:$H$102,6,FALSE)&gt;=main!$D$103+VLOOKUP(VLOOKUP(CV$1,main!$A$3:$I$102,7,FALSE),main!$K$26:$Q$29,4,FALSE)),1,0)</f>
        <v>0</v>
      </c>
      <c r="CW180">
        <f>IF(AND(VLOOKUP(CW$1,main!$A$3:$H$102,7,FALSE)=main!$G$104,VLOOKUP(CW$1,main!$A$3:$H$102,5,FALSE)-VLOOKUP($A180,main!$A$3:$H$102,6,FALSE)&gt;=main!$D$103+VLOOKUP(VLOOKUP(CW$1,main!$A$3:$I$102,7,FALSE),main!$K$26:$Q$29,4,FALSE)),1,0)</f>
        <v>0</v>
      </c>
      <c r="CX180">
        <f>IF(AND(VLOOKUP(CX$1,main!$A$3:$H$102,7,FALSE)=main!$G$104,VLOOKUP(CX$1,main!$A$3:$H$102,5,FALSE)-VLOOKUP($A180,main!$A$3:$H$102,6,FALSE)&gt;=main!$D$103+VLOOKUP(VLOOKUP(CX$1,main!$A$3:$I$102,7,FALSE),main!$K$26:$Q$29,4,FALSE)),1,0)</f>
        <v>0</v>
      </c>
    </row>
    <row r="181" spans="1:102" x14ac:dyDescent="0.25">
      <c r="A181" s="1">
        <v>78</v>
      </c>
      <c r="B181">
        <v>0</v>
      </c>
      <c r="C181">
        <f>IF(AND(VLOOKUP(C$1,main!$A$3:$H$102,7,FALSE)=main!$G$104,VLOOKUP(C$1,main!$A$3:$H$102,5,FALSE)-VLOOKUP($A181,main!$A$3:$H$102,6,FALSE)&gt;=main!$D$103+VLOOKUP(VLOOKUP(C$1,main!$A$3:$I$102,7,FALSE),main!$K$26:$Q$29,4,FALSE)),1,0)</f>
        <v>0</v>
      </c>
      <c r="D181">
        <f>IF(AND(VLOOKUP(D$1,main!$A$3:$H$102,7,FALSE)=main!$G$104,VLOOKUP(D$1,main!$A$3:$H$102,5,FALSE)-VLOOKUP($A181,main!$A$3:$H$102,6,FALSE)&gt;=main!$D$103+VLOOKUP(VLOOKUP(D$1,main!$A$3:$I$102,7,FALSE),main!$K$26:$Q$29,4,FALSE)),1,0)</f>
        <v>0</v>
      </c>
      <c r="E181">
        <f>IF(AND(VLOOKUP(E$1,main!$A$3:$H$102,7,FALSE)=main!$G$104,VLOOKUP(E$1,main!$A$3:$H$102,5,FALSE)-VLOOKUP($A181,main!$A$3:$H$102,6,FALSE)&gt;=main!$D$103+VLOOKUP(VLOOKUP(E$1,main!$A$3:$I$102,7,FALSE),main!$K$26:$Q$29,4,FALSE)),1,0)</f>
        <v>0</v>
      </c>
      <c r="F181">
        <f>IF(AND(VLOOKUP(F$1,main!$A$3:$H$102,7,FALSE)=main!$G$104,VLOOKUP(F$1,main!$A$3:$H$102,5,FALSE)-VLOOKUP($A181,main!$A$3:$H$102,6,FALSE)&gt;=main!$D$103+VLOOKUP(VLOOKUP(F$1,main!$A$3:$I$102,7,FALSE),main!$K$26:$Q$29,4,FALSE)),1,0)</f>
        <v>0</v>
      </c>
      <c r="G181">
        <f>IF(AND(VLOOKUP(G$1,main!$A$3:$H$102,7,FALSE)=main!$G$104,VLOOKUP(G$1,main!$A$3:$H$102,5,FALSE)-VLOOKUP($A181,main!$A$3:$H$102,6,FALSE)&gt;=main!$D$103+VLOOKUP(VLOOKUP(G$1,main!$A$3:$I$102,7,FALSE),main!$K$26:$Q$29,4,FALSE)),1,0)</f>
        <v>0</v>
      </c>
      <c r="H181">
        <f>IF(AND(VLOOKUP(H$1,main!$A$3:$H$102,7,FALSE)=main!$G$104,VLOOKUP(H$1,main!$A$3:$H$102,5,FALSE)-VLOOKUP($A181,main!$A$3:$H$102,6,FALSE)&gt;=main!$D$103+VLOOKUP(VLOOKUP(H$1,main!$A$3:$I$102,7,FALSE),main!$K$26:$Q$29,4,FALSE)),1,0)</f>
        <v>0</v>
      </c>
      <c r="I181">
        <f>IF(AND(VLOOKUP(I$1,main!$A$3:$H$102,7,FALSE)=main!$G$104,VLOOKUP(I$1,main!$A$3:$H$102,5,FALSE)-VLOOKUP($A181,main!$A$3:$H$102,6,FALSE)&gt;=main!$D$103+VLOOKUP(VLOOKUP(I$1,main!$A$3:$I$102,7,FALSE),main!$K$26:$Q$29,4,FALSE)),1,0)</f>
        <v>0</v>
      </c>
      <c r="J181">
        <f>IF(AND(VLOOKUP(J$1,main!$A$3:$H$102,7,FALSE)=main!$G$104,VLOOKUP(J$1,main!$A$3:$H$102,5,FALSE)-VLOOKUP($A181,main!$A$3:$H$102,6,FALSE)&gt;=main!$D$103+VLOOKUP(VLOOKUP(J$1,main!$A$3:$I$102,7,FALSE),main!$K$26:$Q$29,4,FALSE)),1,0)</f>
        <v>1</v>
      </c>
      <c r="K181">
        <f>IF(AND(VLOOKUP(K$1,main!$A$3:$H$102,7,FALSE)=main!$G$104,VLOOKUP(K$1,main!$A$3:$H$102,5,FALSE)-VLOOKUP($A181,main!$A$3:$H$102,6,FALSE)&gt;=main!$D$103+VLOOKUP(VLOOKUP(K$1,main!$A$3:$I$102,7,FALSE),main!$K$26:$Q$29,4,FALSE)),1,0)</f>
        <v>1</v>
      </c>
      <c r="L181">
        <f>IF(AND(VLOOKUP(L$1,main!$A$3:$H$102,7,FALSE)=main!$G$104,VLOOKUP(L$1,main!$A$3:$H$102,5,FALSE)-VLOOKUP($A181,main!$A$3:$H$102,6,FALSE)&gt;=main!$D$103+VLOOKUP(VLOOKUP(L$1,main!$A$3:$I$102,7,FALSE),main!$K$26:$Q$29,4,FALSE)),1,0)</f>
        <v>1</v>
      </c>
      <c r="M181">
        <f>IF(AND(VLOOKUP(M$1,main!$A$3:$H$102,7,FALSE)=main!$G$104,VLOOKUP(M$1,main!$A$3:$H$102,5,FALSE)-VLOOKUP($A181,main!$A$3:$H$102,6,FALSE)&gt;=main!$D$103+VLOOKUP(VLOOKUP(M$1,main!$A$3:$I$102,7,FALSE),main!$K$26:$Q$29,4,FALSE)),1,0)</f>
        <v>0</v>
      </c>
      <c r="N181">
        <f>IF(AND(VLOOKUP(N$1,main!$A$3:$H$102,7,FALSE)=main!$G$104,VLOOKUP(N$1,main!$A$3:$H$102,5,FALSE)-VLOOKUP($A181,main!$A$3:$H$102,6,FALSE)&gt;=main!$D$103+VLOOKUP(VLOOKUP(N$1,main!$A$3:$I$102,7,FALSE),main!$K$26:$Q$29,4,FALSE)),1,0)</f>
        <v>0</v>
      </c>
      <c r="O181">
        <f>IF(AND(VLOOKUP(O$1,main!$A$3:$H$102,7,FALSE)=main!$G$104,VLOOKUP(O$1,main!$A$3:$H$102,5,FALSE)-VLOOKUP($A181,main!$A$3:$H$102,6,FALSE)&gt;=main!$D$103+VLOOKUP(VLOOKUP(O$1,main!$A$3:$I$102,7,FALSE),main!$K$26:$Q$29,4,FALSE)),1,0)</f>
        <v>0</v>
      </c>
      <c r="P181">
        <f>IF(AND(VLOOKUP(P$1,main!$A$3:$H$102,7,FALSE)=main!$G$104,VLOOKUP(P$1,main!$A$3:$H$102,5,FALSE)-VLOOKUP($A181,main!$A$3:$H$102,6,FALSE)&gt;=main!$D$103+VLOOKUP(VLOOKUP(P$1,main!$A$3:$I$102,7,FALSE),main!$K$26:$Q$29,4,FALSE)),1,0)</f>
        <v>0</v>
      </c>
      <c r="Q181">
        <f>IF(AND(VLOOKUP(Q$1,main!$A$3:$H$102,7,FALSE)=main!$G$104,VLOOKUP(Q$1,main!$A$3:$H$102,5,FALSE)-VLOOKUP($A181,main!$A$3:$H$102,6,FALSE)&gt;=main!$D$103+VLOOKUP(VLOOKUP(Q$1,main!$A$3:$I$102,7,FALSE),main!$K$26:$Q$29,4,FALSE)),1,0)</f>
        <v>0</v>
      </c>
      <c r="R181">
        <f>IF(AND(VLOOKUP(R$1,main!$A$3:$H$102,7,FALSE)=main!$G$104,VLOOKUP(R$1,main!$A$3:$H$102,5,FALSE)-VLOOKUP($A181,main!$A$3:$H$102,6,FALSE)&gt;=main!$D$103+VLOOKUP(VLOOKUP(R$1,main!$A$3:$I$102,7,FALSE),main!$K$26:$Q$29,4,FALSE)),1,0)</f>
        <v>0</v>
      </c>
      <c r="S181">
        <f>IF(AND(VLOOKUP(S$1,main!$A$3:$H$102,7,FALSE)=main!$G$104,VLOOKUP(S$1,main!$A$3:$H$102,5,FALSE)-VLOOKUP($A181,main!$A$3:$H$102,6,FALSE)&gt;=main!$D$103+VLOOKUP(VLOOKUP(S$1,main!$A$3:$I$102,7,FALSE),main!$K$26:$Q$29,4,FALSE)),1,0)</f>
        <v>0</v>
      </c>
      <c r="T181">
        <f>IF(AND(VLOOKUP(T$1,main!$A$3:$H$102,7,FALSE)=main!$G$104,VLOOKUP(T$1,main!$A$3:$H$102,5,FALSE)-VLOOKUP($A181,main!$A$3:$H$102,6,FALSE)&gt;=main!$D$103+VLOOKUP(VLOOKUP(T$1,main!$A$3:$I$102,7,FALSE),main!$K$26:$Q$29,4,FALSE)),1,0)</f>
        <v>0</v>
      </c>
      <c r="U181">
        <f>IF(AND(VLOOKUP(U$1,main!$A$3:$H$102,7,FALSE)=main!$G$104,VLOOKUP(U$1,main!$A$3:$H$102,5,FALSE)-VLOOKUP($A181,main!$A$3:$H$102,6,FALSE)&gt;=main!$D$103+VLOOKUP(VLOOKUP(U$1,main!$A$3:$I$102,7,FALSE),main!$K$26:$Q$29,4,FALSE)),1,0)</f>
        <v>1</v>
      </c>
      <c r="V181">
        <f>IF(AND(VLOOKUP(V$1,main!$A$3:$H$102,7,FALSE)=main!$G$104,VLOOKUP(V$1,main!$A$3:$H$102,5,FALSE)-VLOOKUP($A181,main!$A$3:$H$102,6,FALSE)&gt;=main!$D$103+VLOOKUP(VLOOKUP(V$1,main!$A$3:$I$102,7,FALSE),main!$K$26:$Q$29,4,FALSE)),1,0)</f>
        <v>1</v>
      </c>
      <c r="W181">
        <f>IF(AND(VLOOKUP(W$1,main!$A$3:$H$102,7,FALSE)=main!$G$104,VLOOKUP(W$1,main!$A$3:$H$102,5,FALSE)-VLOOKUP($A181,main!$A$3:$H$102,6,FALSE)&gt;=main!$D$103+VLOOKUP(VLOOKUP(W$1,main!$A$3:$I$102,7,FALSE),main!$K$26:$Q$29,4,FALSE)),1,0)</f>
        <v>0</v>
      </c>
      <c r="X181">
        <f>IF(AND(VLOOKUP(X$1,main!$A$3:$H$102,7,FALSE)=main!$G$104,VLOOKUP(X$1,main!$A$3:$H$102,5,FALSE)-VLOOKUP($A181,main!$A$3:$H$102,6,FALSE)&gt;=main!$D$103+VLOOKUP(VLOOKUP(X$1,main!$A$3:$I$102,7,FALSE),main!$K$26:$Q$29,4,FALSE)),1,0)</f>
        <v>0</v>
      </c>
      <c r="Y181">
        <f>IF(AND(VLOOKUP(Y$1,main!$A$3:$H$102,7,FALSE)=main!$G$104,VLOOKUP(Y$1,main!$A$3:$H$102,5,FALSE)-VLOOKUP($A181,main!$A$3:$H$102,6,FALSE)&gt;=main!$D$103+VLOOKUP(VLOOKUP(Y$1,main!$A$3:$I$102,7,FALSE),main!$K$26:$Q$29,4,FALSE)),1,0)</f>
        <v>0</v>
      </c>
      <c r="Z181">
        <f>IF(AND(VLOOKUP(Z$1,main!$A$3:$H$102,7,FALSE)=main!$G$104,VLOOKUP(Z$1,main!$A$3:$H$102,5,FALSE)-VLOOKUP($A181,main!$A$3:$H$102,6,FALSE)&gt;=main!$D$103+VLOOKUP(VLOOKUP(Z$1,main!$A$3:$I$102,7,FALSE),main!$K$26:$Q$29,4,FALSE)),1,0)</f>
        <v>0</v>
      </c>
      <c r="AA181">
        <f>IF(AND(VLOOKUP(AA$1,main!$A$3:$H$102,7,FALSE)=main!$G$104,VLOOKUP(AA$1,main!$A$3:$H$102,5,FALSE)-VLOOKUP($A181,main!$A$3:$H$102,6,FALSE)&gt;=main!$D$103+VLOOKUP(VLOOKUP(AA$1,main!$A$3:$I$102,7,FALSE),main!$K$26:$Q$29,4,FALSE)),1,0)</f>
        <v>1</v>
      </c>
      <c r="AB181">
        <f>IF(AND(VLOOKUP(AB$1,main!$A$3:$H$102,7,FALSE)=main!$G$104,VLOOKUP(AB$1,main!$A$3:$H$102,5,FALSE)-VLOOKUP($A181,main!$A$3:$H$102,6,FALSE)&gt;=main!$D$103+VLOOKUP(VLOOKUP(AB$1,main!$A$3:$I$102,7,FALSE),main!$K$26:$Q$29,4,FALSE)),1,0)</f>
        <v>0</v>
      </c>
      <c r="AC181">
        <f>IF(AND(VLOOKUP(AC$1,main!$A$3:$H$102,7,FALSE)=main!$G$104,VLOOKUP(AC$1,main!$A$3:$H$102,5,FALSE)-VLOOKUP($A181,main!$A$3:$H$102,6,FALSE)&gt;=main!$D$103+VLOOKUP(VLOOKUP(AC$1,main!$A$3:$I$102,7,FALSE),main!$K$26:$Q$29,4,FALSE)),1,0)</f>
        <v>0</v>
      </c>
      <c r="AD181">
        <f>IF(AND(VLOOKUP(AD$1,main!$A$3:$H$102,7,FALSE)=main!$G$104,VLOOKUP(AD$1,main!$A$3:$H$102,5,FALSE)-VLOOKUP($A181,main!$A$3:$H$102,6,FALSE)&gt;=main!$D$103+VLOOKUP(VLOOKUP(AD$1,main!$A$3:$I$102,7,FALSE),main!$K$26:$Q$29,4,FALSE)),1,0)</f>
        <v>0</v>
      </c>
      <c r="AE181">
        <f>IF(AND(VLOOKUP(AE$1,main!$A$3:$H$102,7,FALSE)=main!$G$104,VLOOKUP(AE$1,main!$A$3:$H$102,5,FALSE)-VLOOKUP($A181,main!$A$3:$H$102,6,FALSE)&gt;=main!$D$103+VLOOKUP(VLOOKUP(AE$1,main!$A$3:$I$102,7,FALSE),main!$K$26:$Q$29,4,FALSE)),1,0)</f>
        <v>0</v>
      </c>
      <c r="AF181">
        <f>IF(AND(VLOOKUP(AF$1,main!$A$3:$H$102,7,FALSE)=main!$G$104,VLOOKUP(AF$1,main!$A$3:$H$102,5,FALSE)-VLOOKUP($A181,main!$A$3:$H$102,6,FALSE)&gt;=main!$D$103+VLOOKUP(VLOOKUP(AF$1,main!$A$3:$I$102,7,FALSE),main!$K$26:$Q$29,4,FALSE)),1,0)</f>
        <v>1</v>
      </c>
      <c r="AG181">
        <f>IF(AND(VLOOKUP(AG$1,main!$A$3:$H$102,7,FALSE)=main!$G$104,VLOOKUP(AG$1,main!$A$3:$H$102,5,FALSE)-VLOOKUP($A181,main!$A$3:$H$102,6,FALSE)&gt;=main!$D$103+VLOOKUP(VLOOKUP(AG$1,main!$A$3:$I$102,7,FALSE),main!$K$26:$Q$29,4,FALSE)),1,0)</f>
        <v>0</v>
      </c>
      <c r="AH181">
        <f>IF(AND(VLOOKUP(AH$1,main!$A$3:$H$102,7,FALSE)=main!$G$104,VLOOKUP(AH$1,main!$A$3:$H$102,5,FALSE)-VLOOKUP($A181,main!$A$3:$H$102,6,FALSE)&gt;=main!$D$103+VLOOKUP(VLOOKUP(AH$1,main!$A$3:$I$102,7,FALSE),main!$K$26:$Q$29,4,FALSE)),1,0)</f>
        <v>0</v>
      </c>
      <c r="AI181">
        <f>IF(AND(VLOOKUP(AI$1,main!$A$3:$H$102,7,FALSE)=main!$G$104,VLOOKUP(AI$1,main!$A$3:$H$102,5,FALSE)-VLOOKUP($A181,main!$A$3:$H$102,6,FALSE)&gt;=main!$D$103+VLOOKUP(VLOOKUP(AI$1,main!$A$3:$I$102,7,FALSE),main!$K$26:$Q$29,4,FALSE)),1,0)</f>
        <v>0</v>
      </c>
      <c r="AJ181">
        <f>IF(AND(VLOOKUP(AJ$1,main!$A$3:$H$102,7,FALSE)=main!$G$104,VLOOKUP(AJ$1,main!$A$3:$H$102,5,FALSE)-VLOOKUP($A181,main!$A$3:$H$102,6,FALSE)&gt;=main!$D$103+VLOOKUP(VLOOKUP(AJ$1,main!$A$3:$I$102,7,FALSE),main!$K$26:$Q$29,4,FALSE)),1,0)</f>
        <v>0</v>
      </c>
      <c r="AK181">
        <f>IF(AND(VLOOKUP(AK$1,main!$A$3:$H$102,7,FALSE)=main!$G$104,VLOOKUP(AK$1,main!$A$3:$H$102,5,FALSE)-VLOOKUP($A181,main!$A$3:$H$102,6,FALSE)&gt;=main!$D$103+VLOOKUP(VLOOKUP(AK$1,main!$A$3:$I$102,7,FALSE),main!$K$26:$Q$29,4,FALSE)),1,0)</f>
        <v>0</v>
      </c>
      <c r="AL181">
        <f>IF(AND(VLOOKUP(AL$1,main!$A$3:$H$102,7,FALSE)=main!$G$104,VLOOKUP(AL$1,main!$A$3:$H$102,5,FALSE)-VLOOKUP($A181,main!$A$3:$H$102,6,FALSE)&gt;=main!$D$103+VLOOKUP(VLOOKUP(AL$1,main!$A$3:$I$102,7,FALSE),main!$K$26:$Q$29,4,FALSE)),1,0)</f>
        <v>0</v>
      </c>
      <c r="AM181">
        <f>IF(AND(VLOOKUP(AM$1,main!$A$3:$H$102,7,FALSE)=main!$G$104,VLOOKUP(AM$1,main!$A$3:$H$102,5,FALSE)-VLOOKUP($A181,main!$A$3:$H$102,6,FALSE)&gt;=main!$D$103+VLOOKUP(VLOOKUP(AM$1,main!$A$3:$I$102,7,FALSE),main!$K$26:$Q$29,4,FALSE)),1,0)</f>
        <v>0</v>
      </c>
      <c r="AN181">
        <f>IF(AND(VLOOKUP(AN$1,main!$A$3:$H$102,7,FALSE)=main!$G$104,VLOOKUP(AN$1,main!$A$3:$H$102,5,FALSE)-VLOOKUP($A181,main!$A$3:$H$102,6,FALSE)&gt;=main!$D$103+VLOOKUP(VLOOKUP(AN$1,main!$A$3:$I$102,7,FALSE),main!$K$26:$Q$29,4,FALSE)),1,0)</f>
        <v>0</v>
      </c>
      <c r="AO181">
        <f>IF(AND(VLOOKUP(AO$1,main!$A$3:$H$102,7,FALSE)=main!$G$104,VLOOKUP(AO$1,main!$A$3:$H$102,5,FALSE)-VLOOKUP($A181,main!$A$3:$H$102,6,FALSE)&gt;=main!$D$103+VLOOKUP(VLOOKUP(AO$1,main!$A$3:$I$102,7,FALSE),main!$K$26:$Q$29,4,FALSE)),1,0)</f>
        <v>0</v>
      </c>
      <c r="AP181">
        <f>IF(AND(VLOOKUP(AP$1,main!$A$3:$H$102,7,FALSE)=main!$G$104,VLOOKUP(AP$1,main!$A$3:$H$102,5,FALSE)-VLOOKUP($A181,main!$A$3:$H$102,6,FALSE)&gt;=main!$D$103+VLOOKUP(VLOOKUP(AP$1,main!$A$3:$I$102,7,FALSE),main!$K$26:$Q$29,4,FALSE)),1,0)</f>
        <v>0</v>
      </c>
      <c r="AQ181">
        <f>IF(AND(VLOOKUP(AQ$1,main!$A$3:$H$102,7,FALSE)=main!$G$104,VLOOKUP(AQ$1,main!$A$3:$H$102,5,FALSE)-VLOOKUP($A181,main!$A$3:$H$102,6,FALSE)&gt;=main!$D$103+VLOOKUP(VLOOKUP(AQ$1,main!$A$3:$I$102,7,FALSE),main!$K$26:$Q$29,4,FALSE)),1,0)</f>
        <v>0</v>
      </c>
      <c r="AR181">
        <f>IF(AND(VLOOKUP(AR$1,main!$A$3:$H$102,7,FALSE)=main!$G$104,VLOOKUP(AR$1,main!$A$3:$H$102,5,FALSE)-VLOOKUP($A181,main!$A$3:$H$102,6,FALSE)&gt;=main!$D$103+VLOOKUP(VLOOKUP(AR$1,main!$A$3:$I$102,7,FALSE),main!$K$26:$Q$29,4,FALSE)),1,0)</f>
        <v>0</v>
      </c>
      <c r="AS181">
        <f>IF(AND(VLOOKUP(AS$1,main!$A$3:$H$102,7,FALSE)=main!$G$104,VLOOKUP(AS$1,main!$A$3:$H$102,5,FALSE)-VLOOKUP($A181,main!$A$3:$H$102,6,FALSE)&gt;=main!$D$103+VLOOKUP(VLOOKUP(AS$1,main!$A$3:$I$102,7,FALSE),main!$K$26:$Q$29,4,FALSE)),1,0)</f>
        <v>0</v>
      </c>
      <c r="AT181">
        <f>IF(AND(VLOOKUP(AT$1,main!$A$3:$H$102,7,FALSE)=main!$G$104,VLOOKUP(AT$1,main!$A$3:$H$102,5,FALSE)-VLOOKUP($A181,main!$A$3:$H$102,6,FALSE)&gt;=main!$D$103+VLOOKUP(VLOOKUP(AT$1,main!$A$3:$I$102,7,FALSE),main!$K$26:$Q$29,4,FALSE)),1,0)</f>
        <v>0</v>
      </c>
      <c r="AU181">
        <f>IF(AND(VLOOKUP(AU$1,main!$A$3:$H$102,7,FALSE)=main!$G$104,VLOOKUP(AU$1,main!$A$3:$H$102,5,FALSE)-VLOOKUP($A181,main!$A$3:$H$102,6,FALSE)&gt;=main!$D$103+VLOOKUP(VLOOKUP(AU$1,main!$A$3:$I$102,7,FALSE),main!$K$26:$Q$29,4,FALSE)),1,0)</f>
        <v>0</v>
      </c>
      <c r="AV181">
        <f>IF(AND(VLOOKUP(AV$1,main!$A$3:$H$102,7,FALSE)=main!$G$104,VLOOKUP(AV$1,main!$A$3:$H$102,5,FALSE)-VLOOKUP($A181,main!$A$3:$H$102,6,FALSE)&gt;=main!$D$103+VLOOKUP(VLOOKUP(AV$1,main!$A$3:$I$102,7,FALSE),main!$K$26:$Q$29,4,FALSE)),1,0)</f>
        <v>0</v>
      </c>
      <c r="AW181">
        <f>IF(AND(VLOOKUP(AW$1,main!$A$3:$H$102,7,FALSE)=main!$G$104,VLOOKUP(AW$1,main!$A$3:$H$102,5,FALSE)-VLOOKUP($A181,main!$A$3:$H$102,6,FALSE)&gt;=main!$D$103+VLOOKUP(VLOOKUP(AW$1,main!$A$3:$I$102,7,FALSE),main!$K$26:$Q$29,4,FALSE)),1,0)</f>
        <v>0</v>
      </c>
      <c r="AX181">
        <f>IF(AND(VLOOKUP(AX$1,main!$A$3:$H$102,7,FALSE)=main!$G$104,VLOOKUP(AX$1,main!$A$3:$H$102,5,FALSE)-VLOOKUP($A181,main!$A$3:$H$102,6,FALSE)&gt;=main!$D$103+VLOOKUP(VLOOKUP(AX$1,main!$A$3:$I$102,7,FALSE),main!$K$26:$Q$29,4,FALSE)),1,0)</f>
        <v>0</v>
      </c>
      <c r="AY181">
        <f>IF(AND(VLOOKUP(AY$1,main!$A$3:$H$102,7,FALSE)=main!$G$104,VLOOKUP(AY$1,main!$A$3:$H$102,5,FALSE)-VLOOKUP($A181,main!$A$3:$H$102,6,FALSE)&gt;=main!$D$103+VLOOKUP(VLOOKUP(AY$1,main!$A$3:$I$102,7,FALSE),main!$K$26:$Q$29,4,FALSE)),1,0)</f>
        <v>0</v>
      </c>
      <c r="AZ181">
        <f>IF(AND(VLOOKUP(AZ$1,main!$A$3:$H$102,7,FALSE)=main!$G$104,VLOOKUP(AZ$1,main!$A$3:$H$102,5,FALSE)-VLOOKUP($A181,main!$A$3:$H$102,6,FALSE)&gt;=main!$D$103+VLOOKUP(VLOOKUP(AZ$1,main!$A$3:$I$102,7,FALSE),main!$K$26:$Q$29,4,FALSE)),1,0)</f>
        <v>0</v>
      </c>
      <c r="BA181">
        <f>IF(AND(VLOOKUP(BA$1,main!$A$3:$H$102,7,FALSE)=main!$G$104,VLOOKUP(BA$1,main!$A$3:$H$102,5,FALSE)-VLOOKUP($A181,main!$A$3:$H$102,6,FALSE)&gt;=main!$D$103+VLOOKUP(VLOOKUP(BA$1,main!$A$3:$I$102,7,FALSE),main!$K$26:$Q$29,4,FALSE)),1,0)</f>
        <v>0</v>
      </c>
      <c r="BB181">
        <f>IF(AND(VLOOKUP(BB$1,main!$A$3:$H$102,7,FALSE)=main!$G$104,VLOOKUP(BB$1,main!$A$3:$H$102,5,FALSE)-VLOOKUP($A181,main!$A$3:$H$102,6,FALSE)&gt;=main!$D$103+VLOOKUP(VLOOKUP(BB$1,main!$A$3:$I$102,7,FALSE),main!$K$26:$Q$29,4,FALSE)),1,0)</f>
        <v>0</v>
      </c>
      <c r="BC181">
        <f>IF(AND(VLOOKUP(BC$1,main!$A$3:$H$102,7,FALSE)=main!$G$104,VLOOKUP(BC$1,main!$A$3:$H$102,5,FALSE)-VLOOKUP($A181,main!$A$3:$H$102,6,FALSE)&gt;=main!$D$103+VLOOKUP(VLOOKUP(BC$1,main!$A$3:$I$102,7,FALSE),main!$K$26:$Q$29,4,FALSE)),1,0)</f>
        <v>0</v>
      </c>
      <c r="BD181">
        <f>IF(AND(VLOOKUP(BD$1,main!$A$3:$H$102,7,FALSE)=main!$G$104,VLOOKUP(BD$1,main!$A$3:$H$102,5,FALSE)-VLOOKUP($A181,main!$A$3:$H$102,6,FALSE)&gt;=main!$D$103+VLOOKUP(VLOOKUP(BD$1,main!$A$3:$I$102,7,FALSE),main!$K$26:$Q$29,4,FALSE)),1,0)</f>
        <v>0</v>
      </c>
      <c r="BE181">
        <f>IF(AND(VLOOKUP(BE$1,main!$A$3:$H$102,7,FALSE)=main!$G$104,VLOOKUP(BE$1,main!$A$3:$H$102,5,FALSE)-VLOOKUP($A181,main!$A$3:$H$102,6,FALSE)&gt;=main!$D$103+VLOOKUP(VLOOKUP(BE$1,main!$A$3:$I$102,7,FALSE),main!$K$26:$Q$29,4,FALSE)),1,0)</f>
        <v>0</v>
      </c>
      <c r="BF181">
        <f>IF(AND(VLOOKUP(BF$1,main!$A$3:$H$102,7,FALSE)=main!$G$104,VLOOKUP(BF$1,main!$A$3:$H$102,5,FALSE)-VLOOKUP($A181,main!$A$3:$H$102,6,FALSE)&gt;=main!$D$103+VLOOKUP(VLOOKUP(BF$1,main!$A$3:$I$102,7,FALSE),main!$K$26:$Q$29,4,FALSE)),1,0)</f>
        <v>0</v>
      </c>
      <c r="BG181">
        <f>IF(AND(VLOOKUP(BG$1,main!$A$3:$H$102,7,FALSE)=main!$G$104,VLOOKUP(BG$1,main!$A$3:$H$102,5,FALSE)-VLOOKUP($A181,main!$A$3:$H$102,6,FALSE)&gt;=main!$D$103+VLOOKUP(VLOOKUP(BG$1,main!$A$3:$I$102,7,FALSE),main!$K$26:$Q$29,4,FALSE)),1,0)</f>
        <v>0</v>
      </c>
      <c r="BH181">
        <f>IF(AND(VLOOKUP(BH$1,main!$A$3:$H$102,7,FALSE)=main!$G$104,VLOOKUP(BH$1,main!$A$3:$H$102,5,FALSE)-VLOOKUP($A181,main!$A$3:$H$102,6,FALSE)&gt;=main!$D$103+VLOOKUP(VLOOKUP(BH$1,main!$A$3:$I$102,7,FALSE),main!$K$26:$Q$29,4,FALSE)),1,0)</f>
        <v>0</v>
      </c>
      <c r="BI181">
        <f>IF(AND(VLOOKUP(BI$1,main!$A$3:$H$102,7,FALSE)=main!$G$104,VLOOKUP(BI$1,main!$A$3:$H$102,5,FALSE)-VLOOKUP($A181,main!$A$3:$H$102,6,FALSE)&gt;=main!$D$103+VLOOKUP(VLOOKUP(BI$1,main!$A$3:$I$102,7,FALSE),main!$K$26:$Q$29,4,FALSE)),1,0)</f>
        <v>0</v>
      </c>
      <c r="BJ181">
        <f>IF(AND(VLOOKUP(BJ$1,main!$A$3:$H$102,7,FALSE)=main!$G$104,VLOOKUP(BJ$1,main!$A$3:$H$102,5,FALSE)-VLOOKUP($A181,main!$A$3:$H$102,6,FALSE)&gt;=main!$D$103+VLOOKUP(VLOOKUP(BJ$1,main!$A$3:$I$102,7,FALSE),main!$K$26:$Q$29,4,FALSE)),1,0)</f>
        <v>0</v>
      </c>
      <c r="BK181">
        <f>IF(AND(VLOOKUP(BK$1,main!$A$3:$H$102,7,FALSE)=main!$G$104,VLOOKUP(BK$1,main!$A$3:$H$102,5,FALSE)-VLOOKUP($A181,main!$A$3:$H$102,6,FALSE)&gt;=main!$D$103+VLOOKUP(VLOOKUP(BK$1,main!$A$3:$I$102,7,FALSE),main!$K$26:$Q$29,4,FALSE)),1,0)</f>
        <v>0</v>
      </c>
      <c r="BL181">
        <f>IF(AND(VLOOKUP(BL$1,main!$A$3:$H$102,7,FALSE)=main!$G$104,VLOOKUP(BL$1,main!$A$3:$H$102,5,FALSE)-VLOOKUP($A181,main!$A$3:$H$102,6,FALSE)&gt;=main!$D$103+VLOOKUP(VLOOKUP(BL$1,main!$A$3:$I$102,7,FALSE),main!$K$26:$Q$29,4,FALSE)),1,0)</f>
        <v>0</v>
      </c>
      <c r="BM181">
        <f>IF(AND(VLOOKUP(BM$1,main!$A$3:$H$102,7,FALSE)=main!$G$104,VLOOKUP(BM$1,main!$A$3:$H$102,5,FALSE)-VLOOKUP($A181,main!$A$3:$H$102,6,FALSE)&gt;=main!$D$103+VLOOKUP(VLOOKUP(BM$1,main!$A$3:$I$102,7,FALSE),main!$K$26:$Q$29,4,FALSE)),1,0)</f>
        <v>0</v>
      </c>
      <c r="BN181">
        <f>IF(AND(VLOOKUP(BN$1,main!$A$3:$H$102,7,FALSE)=main!$G$104,VLOOKUP(BN$1,main!$A$3:$H$102,5,FALSE)-VLOOKUP($A181,main!$A$3:$H$102,6,FALSE)&gt;=main!$D$103+VLOOKUP(VLOOKUP(BN$1,main!$A$3:$I$102,7,FALSE),main!$K$26:$Q$29,4,FALSE)),1,0)</f>
        <v>0</v>
      </c>
      <c r="BO181">
        <f>IF(AND(VLOOKUP(BO$1,main!$A$3:$H$102,7,FALSE)=main!$G$104,VLOOKUP(BO$1,main!$A$3:$H$102,5,FALSE)-VLOOKUP($A181,main!$A$3:$H$102,6,FALSE)&gt;=main!$D$103+VLOOKUP(VLOOKUP(BO$1,main!$A$3:$I$102,7,FALSE),main!$K$26:$Q$29,4,FALSE)),1,0)</f>
        <v>0</v>
      </c>
      <c r="BP181">
        <f>IF(AND(VLOOKUP(BP$1,main!$A$3:$H$102,7,FALSE)=main!$G$104,VLOOKUP(BP$1,main!$A$3:$H$102,5,FALSE)-VLOOKUP($A181,main!$A$3:$H$102,6,FALSE)&gt;=main!$D$103+VLOOKUP(VLOOKUP(BP$1,main!$A$3:$I$102,7,FALSE),main!$K$26:$Q$29,4,FALSE)),1,0)</f>
        <v>0</v>
      </c>
      <c r="BQ181">
        <f>IF(AND(VLOOKUP(BQ$1,main!$A$3:$H$102,7,FALSE)=main!$G$104,VLOOKUP(BQ$1,main!$A$3:$H$102,5,FALSE)-VLOOKUP($A181,main!$A$3:$H$102,6,FALSE)&gt;=main!$D$103+VLOOKUP(VLOOKUP(BQ$1,main!$A$3:$I$102,7,FALSE),main!$K$26:$Q$29,4,FALSE)),1,0)</f>
        <v>0</v>
      </c>
      <c r="BR181">
        <f>IF(AND(VLOOKUP(BR$1,main!$A$3:$H$102,7,FALSE)=main!$G$104,VLOOKUP(BR$1,main!$A$3:$H$102,5,FALSE)-VLOOKUP($A181,main!$A$3:$H$102,6,FALSE)&gt;=main!$D$103+VLOOKUP(VLOOKUP(BR$1,main!$A$3:$I$102,7,FALSE),main!$K$26:$Q$29,4,FALSE)),1,0)</f>
        <v>0</v>
      </c>
      <c r="BS181">
        <f>IF(AND(VLOOKUP(BS$1,main!$A$3:$H$102,7,FALSE)=main!$G$104,VLOOKUP(BS$1,main!$A$3:$H$102,5,FALSE)-VLOOKUP($A181,main!$A$3:$H$102,6,FALSE)&gt;=main!$D$103+VLOOKUP(VLOOKUP(BS$1,main!$A$3:$I$102,7,FALSE),main!$K$26:$Q$29,4,FALSE)),1,0)</f>
        <v>0</v>
      </c>
      <c r="BT181">
        <f>IF(AND(VLOOKUP(BT$1,main!$A$3:$H$102,7,FALSE)=main!$G$104,VLOOKUP(BT$1,main!$A$3:$H$102,5,FALSE)-VLOOKUP($A181,main!$A$3:$H$102,6,FALSE)&gt;=main!$D$103+VLOOKUP(VLOOKUP(BT$1,main!$A$3:$I$102,7,FALSE),main!$K$26:$Q$29,4,FALSE)),1,0)</f>
        <v>0</v>
      </c>
      <c r="BU181">
        <f>IF(AND(VLOOKUP(BU$1,main!$A$3:$H$102,7,FALSE)=main!$G$104,VLOOKUP(BU$1,main!$A$3:$H$102,5,FALSE)-VLOOKUP($A181,main!$A$3:$H$102,6,FALSE)&gt;=main!$D$103+VLOOKUP(VLOOKUP(BU$1,main!$A$3:$I$102,7,FALSE),main!$K$26:$Q$29,4,FALSE)),1,0)</f>
        <v>0</v>
      </c>
      <c r="BV181">
        <f>IF(AND(VLOOKUP(BV$1,main!$A$3:$H$102,7,FALSE)=main!$G$104,VLOOKUP(BV$1,main!$A$3:$H$102,5,FALSE)-VLOOKUP($A181,main!$A$3:$H$102,6,FALSE)&gt;=main!$D$103+VLOOKUP(VLOOKUP(BV$1,main!$A$3:$I$102,7,FALSE),main!$K$26:$Q$29,4,FALSE)),1,0)</f>
        <v>0</v>
      </c>
      <c r="BW181">
        <f>IF(AND(VLOOKUP(BW$1,main!$A$3:$H$102,7,FALSE)=main!$G$104,VLOOKUP(BW$1,main!$A$3:$H$102,5,FALSE)-VLOOKUP($A181,main!$A$3:$H$102,6,FALSE)&gt;=main!$D$103+VLOOKUP(VLOOKUP(BW$1,main!$A$3:$I$102,7,FALSE),main!$K$26:$Q$29,4,FALSE)),1,0)</f>
        <v>0</v>
      </c>
      <c r="BX181">
        <f>IF(AND(VLOOKUP(BX$1,main!$A$3:$H$102,7,FALSE)=main!$G$104,VLOOKUP(BX$1,main!$A$3:$H$102,5,FALSE)-VLOOKUP($A181,main!$A$3:$H$102,6,FALSE)&gt;=main!$D$103+VLOOKUP(VLOOKUP(BX$1,main!$A$3:$I$102,7,FALSE),main!$K$26:$Q$29,4,FALSE)),1,0)</f>
        <v>0</v>
      </c>
      <c r="BY181">
        <f>IF(AND(VLOOKUP(BY$1,main!$A$3:$H$102,7,FALSE)=main!$G$104,VLOOKUP(BY$1,main!$A$3:$H$102,5,FALSE)-VLOOKUP($A181,main!$A$3:$H$102,6,FALSE)&gt;=main!$D$103+VLOOKUP(VLOOKUP(BY$1,main!$A$3:$I$102,7,FALSE),main!$K$26:$Q$29,4,FALSE)),1,0)</f>
        <v>0</v>
      </c>
      <c r="BZ181">
        <f>IF(AND(VLOOKUP(BZ$1,main!$A$3:$H$102,7,FALSE)=main!$G$104,VLOOKUP(BZ$1,main!$A$3:$H$102,5,FALSE)-VLOOKUP($A181,main!$A$3:$H$102,6,FALSE)&gt;=main!$D$103+VLOOKUP(VLOOKUP(BZ$1,main!$A$3:$I$102,7,FALSE),main!$K$26:$Q$29,4,FALSE)),1,0)</f>
        <v>0</v>
      </c>
      <c r="CA181">
        <f>IF(AND(VLOOKUP(CA$1,main!$A$3:$H$102,7,FALSE)=main!$G$104,VLOOKUP(CA$1,main!$A$3:$H$102,5,FALSE)-VLOOKUP($A181,main!$A$3:$H$102,6,FALSE)&gt;=main!$D$103+VLOOKUP(VLOOKUP(CA$1,main!$A$3:$I$102,7,FALSE),main!$K$26:$Q$29,4,FALSE)),1,0)</f>
        <v>0</v>
      </c>
      <c r="CB181">
        <f>IF(AND(VLOOKUP(CB$1,main!$A$3:$H$102,7,FALSE)=main!$G$104,VLOOKUP(CB$1,main!$A$3:$H$102,5,FALSE)-VLOOKUP($A181,main!$A$3:$H$102,6,FALSE)&gt;=main!$D$103+VLOOKUP(VLOOKUP(CB$1,main!$A$3:$I$102,7,FALSE),main!$K$26:$Q$29,4,FALSE)),1,0)</f>
        <v>0</v>
      </c>
      <c r="CC181">
        <f>IF(AND(VLOOKUP(CC$1,main!$A$3:$H$102,7,FALSE)=main!$G$104,VLOOKUP(CC$1,main!$A$3:$H$102,5,FALSE)-VLOOKUP($A181,main!$A$3:$H$102,6,FALSE)&gt;=main!$D$103+VLOOKUP(VLOOKUP(CC$1,main!$A$3:$I$102,7,FALSE),main!$K$26:$Q$29,4,FALSE)),1,0)</f>
        <v>0</v>
      </c>
      <c r="CD181">
        <f>IF(AND(VLOOKUP(CD$1,main!$A$3:$H$102,7,FALSE)=main!$G$104,VLOOKUP(CD$1,main!$A$3:$H$102,5,FALSE)-VLOOKUP($A181,main!$A$3:$H$102,6,FALSE)&gt;=main!$D$103+VLOOKUP(VLOOKUP(CD$1,main!$A$3:$I$102,7,FALSE),main!$K$26:$Q$29,4,FALSE)),1,0)</f>
        <v>0</v>
      </c>
      <c r="CE181">
        <f>IF(AND(VLOOKUP(CE$1,main!$A$3:$H$102,7,FALSE)=main!$G$104,VLOOKUP(CE$1,main!$A$3:$H$102,5,FALSE)-VLOOKUP($A181,main!$A$3:$H$102,6,FALSE)&gt;=main!$D$103+VLOOKUP(VLOOKUP(CE$1,main!$A$3:$I$102,7,FALSE),main!$K$26:$Q$29,4,FALSE)),1,0)</f>
        <v>0</v>
      </c>
      <c r="CF181">
        <f>IF(AND(VLOOKUP(CF$1,main!$A$3:$H$102,7,FALSE)=main!$G$104,VLOOKUP(CF$1,main!$A$3:$H$102,5,FALSE)-VLOOKUP($A181,main!$A$3:$H$102,6,FALSE)&gt;=main!$D$103+VLOOKUP(VLOOKUP(CF$1,main!$A$3:$I$102,7,FALSE),main!$K$26:$Q$29,4,FALSE)),1,0)</f>
        <v>0</v>
      </c>
      <c r="CG181">
        <f>IF(AND(VLOOKUP(CG$1,main!$A$3:$H$102,7,FALSE)=main!$G$104,VLOOKUP(CG$1,main!$A$3:$H$102,5,FALSE)-VLOOKUP($A181,main!$A$3:$H$102,6,FALSE)&gt;=main!$D$103+VLOOKUP(VLOOKUP(CG$1,main!$A$3:$I$102,7,FALSE),main!$K$26:$Q$29,4,FALSE)),1,0)</f>
        <v>0</v>
      </c>
      <c r="CH181">
        <f>IF(AND(VLOOKUP(CH$1,main!$A$3:$H$102,7,FALSE)=main!$G$104,VLOOKUP(CH$1,main!$A$3:$H$102,5,FALSE)-VLOOKUP($A181,main!$A$3:$H$102,6,FALSE)&gt;=main!$D$103+VLOOKUP(VLOOKUP(CH$1,main!$A$3:$I$102,7,FALSE),main!$K$26:$Q$29,4,FALSE)),1,0)</f>
        <v>0</v>
      </c>
      <c r="CI181">
        <f>IF(AND(VLOOKUP(CI$1,main!$A$3:$H$102,7,FALSE)=main!$G$104,VLOOKUP(CI$1,main!$A$3:$H$102,5,FALSE)-VLOOKUP($A181,main!$A$3:$H$102,6,FALSE)&gt;=main!$D$103+VLOOKUP(VLOOKUP(CI$1,main!$A$3:$I$102,7,FALSE),main!$K$26:$Q$29,4,FALSE)),1,0)</f>
        <v>0</v>
      </c>
      <c r="CJ181">
        <f>IF(AND(VLOOKUP(CJ$1,main!$A$3:$H$102,7,FALSE)=main!$G$104,VLOOKUP(CJ$1,main!$A$3:$H$102,5,FALSE)-VLOOKUP($A181,main!$A$3:$H$102,6,FALSE)&gt;=main!$D$103+VLOOKUP(VLOOKUP(CJ$1,main!$A$3:$I$102,7,FALSE),main!$K$26:$Q$29,4,FALSE)),1,0)</f>
        <v>0</v>
      </c>
      <c r="CK181">
        <f>IF(AND(VLOOKUP(CK$1,main!$A$3:$H$102,7,FALSE)=main!$G$104,VLOOKUP(CK$1,main!$A$3:$H$102,5,FALSE)-VLOOKUP($A181,main!$A$3:$H$102,6,FALSE)&gt;=main!$D$103+VLOOKUP(VLOOKUP(CK$1,main!$A$3:$I$102,7,FALSE),main!$K$26:$Q$29,4,FALSE)),1,0)</f>
        <v>0</v>
      </c>
      <c r="CL181">
        <f>IF(AND(VLOOKUP(CL$1,main!$A$3:$H$102,7,FALSE)=main!$G$104,VLOOKUP(CL$1,main!$A$3:$H$102,5,FALSE)-VLOOKUP($A181,main!$A$3:$H$102,6,FALSE)&gt;=main!$D$103+VLOOKUP(VLOOKUP(CL$1,main!$A$3:$I$102,7,FALSE),main!$K$26:$Q$29,4,FALSE)),1,0)</f>
        <v>0</v>
      </c>
      <c r="CM181">
        <f>IF(AND(VLOOKUP(CM$1,main!$A$3:$H$102,7,FALSE)=main!$G$104,VLOOKUP(CM$1,main!$A$3:$H$102,5,FALSE)-VLOOKUP($A181,main!$A$3:$H$102,6,FALSE)&gt;=main!$D$103+VLOOKUP(VLOOKUP(CM$1,main!$A$3:$I$102,7,FALSE),main!$K$26:$Q$29,4,FALSE)),1,0)</f>
        <v>0</v>
      </c>
      <c r="CN181">
        <f>IF(AND(VLOOKUP(CN$1,main!$A$3:$H$102,7,FALSE)=main!$G$104,VLOOKUP(CN$1,main!$A$3:$H$102,5,FALSE)-VLOOKUP($A181,main!$A$3:$H$102,6,FALSE)&gt;=main!$D$103+VLOOKUP(VLOOKUP(CN$1,main!$A$3:$I$102,7,FALSE),main!$K$26:$Q$29,4,FALSE)),1,0)</f>
        <v>0</v>
      </c>
      <c r="CO181">
        <f>IF(AND(VLOOKUP(CO$1,main!$A$3:$H$102,7,FALSE)=main!$G$104,VLOOKUP(CO$1,main!$A$3:$H$102,5,FALSE)-VLOOKUP($A181,main!$A$3:$H$102,6,FALSE)&gt;=main!$D$103+VLOOKUP(VLOOKUP(CO$1,main!$A$3:$I$102,7,FALSE),main!$K$26:$Q$29,4,FALSE)),1,0)</f>
        <v>0</v>
      </c>
      <c r="CP181">
        <f>IF(AND(VLOOKUP(CP$1,main!$A$3:$H$102,7,FALSE)=main!$G$104,VLOOKUP(CP$1,main!$A$3:$H$102,5,FALSE)-VLOOKUP($A181,main!$A$3:$H$102,6,FALSE)&gt;=main!$D$103+VLOOKUP(VLOOKUP(CP$1,main!$A$3:$I$102,7,FALSE),main!$K$26:$Q$29,4,FALSE)),1,0)</f>
        <v>0</v>
      </c>
      <c r="CQ181">
        <f>IF(AND(VLOOKUP(CQ$1,main!$A$3:$H$102,7,FALSE)=main!$G$104,VLOOKUP(CQ$1,main!$A$3:$H$102,5,FALSE)-VLOOKUP($A181,main!$A$3:$H$102,6,FALSE)&gt;=main!$D$103+VLOOKUP(VLOOKUP(CQ$1,main!$A$3:$I$102,7,FALSE),main!$K$26:$Q$29,4,FALSE)),1,0)</f>
        <v>0</v>
      </c>
      <c r="CR181">
        <f>IF(AND(VLOOKUP(CR$1,main!$A$3:$H$102,7,FALSE)=main!$G$104,VLOOKUP(CR$1,main!$A$3:$H$102,5,FALSE)-VLOOKUP($A181,main!$A$3:$H$102,6,FALSE)&gt;=main!$D$103+VLOOKUP(VLOOKUP(CR$1,main!$A$3:$I$102,7,FALSE),main!$K$26:$Q$29,4,FALSE)),1,0)</f>
        <v>0</v>
      </c>
      <c r="CS181">
        <f>IF(AND(VLOOKUP(CS$1,main!$A$3:$H$102,7,FALSE)=main!$G$104,VLOOKUP(CS$1,main!$A$3:$H$102,5,FALSE)-VLOOKUP($A181,main!$A$3:$H$102,6,FALSE)&gt;=main!$D$103+VLOOKUP(VLOOKUP(CS$1,main!$A$3:$I$102,7,FALSE),main!$K$26:$Q$29,4,FALSE)),1,0)</f>
        <v>0</v>
      </c>
      <c r="CT181">
        <f>IF(AND(VLOOKUP(CT$1,main!$A$3:$H$102,7,FALSE)=main!$G$104,VLOOKUP(CT$1,main!$A$3:$H$102,5,FALSE)-VLOOKUP($A181,main!$A$3:$H$102,6,FALSE)&gt;=main!$D$103+VLOOKUP(VLOOKUP(CT$1,main!$A$3:$I$102,7,FALSE),main!$K$26:$Q$29,4,FALSE)),1,0)</f>
        <v>0</v>
      </c>
      <c r="CU181">
        <f>IF(AND(VLOOKUP(CU$1,main!$A$3:$H$102,7,FALSE)=main!$G$104,VLOOKUP(CU$1,main!$A$3:$H$102,5,FALSE)-VLOOKUP($A181,main!$A$3:$H$102,6,FALSE)&gt;=main!$D$103+VLOOKUP(VLOOKUP(CU$1,main!$A$3:$I$102,7,FALSE),main!$K$26:$Q$29,4,FALSE)),1,0)</f>
        <v>0</v>
      </c>
      <c r="CV181">
        <f>IF(AND(VLOOKUP(CV$1,main!$A$3:$H$102,7,FALSE)=main!$G$104,VLOOKUP(CV$1,main!$A$3:$H$102,5,FALSE)-VLOOKUP($A181,main!$A$3:$H$102,6,FALSE)&gt;=main!$D$103+VLOOKUP(VLOOKUP(CV$1,main!$A$3:$I$102,7,FALSE),main!$K$26:$Q$29,4,FALSE)),1,0)</f>
        <v>0</v>
      </c>
      <c r="CW181">
        <f>IF(AND(VLOOKUP(CW$1,main!$A$3:$H$102,7,FALSE)=main!$G$104,VLOOKUP(CW$1,main!$A$3:$H$102,5,FALSE)-VLOOKUP($A181,main!$A$3:$H$102,6,FALSE)&gt;=main!$D$103+VLOOKUP(VLOOKUP(CW$1,main!$A$3:$I$102,7,FALSE),main!$K$26:$Q$29,4,FALSE)),1,0)</f>
        <v>0</v>
      </c>
      <c r="CX181">
        <f>IF(AND(VLOOKUP(CX$1,main!$A$3:$H$102,7,FALSE)=main!$G$104,VLOOKUP(CX$1,main!$A$3:$H$102,5,FALSE)-VLOOKUP($A181,main!$A$3:$H$102,6,FALSE)&gt;=main!$D$103+VLOOKUP(VLOOKUP(CX$1,main!$A$3:$I$102,7,FALSE),main!$K$26:$Q$29,4,FALSE)),1,0)</f>
        <v>0</v>
      </c>
    </row>
    <row r="182" spans="1:102" x14ac:dyDescent="0.25">
      <c r="A182" s="1">
        <v>79</v>
      </c>
      <c r="B182">
        <v>0</v>
      </c>
      <c r="C182">
        <f>IF(AND(VLOOKUP(C$1,main!$A$3:$H$102,7,FALSE)=main!$G$104,VLOOKUP(C$1,main!$A$3:$H$102,5,FALSE)-VLOOKUP($A182,main!$A$3:$H$102,6,FALSE)&gt;=main!$D$103+VLOOKUP(VLOOKUP(C$1,main!$A$3:$I$102,7,FALSE),main!$K$26:$Q$29,4,FALSE)),1,0)</f>
        <v>0</v>
      </c>
      <c r="D182">
        <f>IF(AND(VLOOKUP(D$1,main!$A$3:$H$102,7,FALSE)=main!$G$104,VLOOKUP(D$1,main!$A$3:$H$102,5,FALSE)-VLOOKUP($A182,main!$A$3:$H$102,6,FALSE)&gt;=main!$D$103+VLOOKUP(VLOOKUP(D$1,main!$A$3:$I$102,7,FALSE),main!$K$26:$Q$29,4,FALSE)),1,0)</f>
        <v>0</v>
      </c>
      <c r="E182">
        <f>IF(AND(VLOOKUP(E$1,main!$A$3:$H$102,7,FALSE)=main!$G$104,VLOOKUP(E$1,main!$A$3:$H$102,5,FALSE)-VLOOKUP($A182,main!$A$3:$H$102,6,FALSE)&gt;=main!$D$103+VLOOKUP(VLOOKUP(E$1,main!$A$3:$I$102,7,FALSE),main!$K$26:$Q$29,4,FALSE)),1,0)</f>
        <v>0</v>
      </c>
      <c r="F182">
        <f>IF(AND(VLOOKUP(F$1,main!$A$3:$H$102,7,FALSE)=main!$G$104,VLOOKUP(F$1,main!$A$3:$H$102,5,FALSE)-VLOOKUP($A182,main!$A$3:$H$102,6,FALSE)&gt;=main!$D$103+VLOOKUP(VLOOKUP(F$1,main!$A$3:$I$102,7,FALSE),main!$K$26:$Q$29,4,FALSE)),1,0)</f>
        <v>0</v>
      </c>
      <c r="G182">
        <f>IF(AND(VLOOKUP(G$1,main!$A$3:$H$102,7,FALSE)=main!$G$104,VLOOKUP(G$1,main!$A$3:$H$102,5,FALSE)-VLOOKUP($A182,main!$A$3:$H$102,6,FALSE)&gt;=main!$D$103+VLOOKUP(VLOOKUP(G$1,main!$A$3:$I$102,7,FALSE),main!$K$26:$Q$29,4,FALSE)),1,0)</f>
        <v>0</v>
      </c>
      <c r="H182">
        <f>IF(AND(VLOOKUP(H$1,main!$A$3:$H$102,7,FALSE)=main!$G$104,VLOOKUP(H$1,main!$A$3:$H$102,5,FALSE)-VLOOKUP($A182,main!$A$3:$H$102,6,FALSE)&gt;=main!$D$103+VLOOKUP(VLOOKUP(H$1,main!$A$3:$I$102,7,FALSE),main!$K$26:$Q$29,4,FALSE)),1,0)</f>
        <v>0</v>
      </c>
      <c r="I182">
        <f>IF(AND(VLOOKUP(I$1,main!$A$3:$H$102,7,FALSE)=main!$G$104,VLOOKUP(I$1,main!$A$3:$H$102,5,FALSE)-VLOOKUP($A182,main!$A$3:$H$102,6,FALSE)&gt;=main!$D$103+VLOOKUP(VLOOKUP(I$1,main!$A$3:$I$102,7,FALSE),main!$K$26:$Q$29,4,FALSE)),1,0)</f>
        <v>0</v>
      </c>
      <c r="J182">
        <f>IF(AND(VLOOKUP(J$1,main!$A$3:$H$102,7,FALSE)=main!$G$104,VLOOKUP(J$1,main!$A$3:$H$102,5,FALSE)-VLOOKUP($A182,main!$A$3:$H$102,6,FALSE)&gt;=main!$D$103+VLOOKUP(VLOOKUP(J$1,main!$A$3:$I$102,7,FALSE),main!$K$26:$Q$29,4,FALSE)),1,0)</f>
        <v>0</v>
      </c>
      <c r="K182">
        <f>IF(AND(VLOOKUP(K$1,main!$A$3:$H$102,7,FALSE)=main!$G$104,VLOOKUP(K$1,main!$A$3:$H$102,5,FALSE)-VLOOKUP($A182,main!$A$3:$H$102,6,FALSE)&gt;=main!$D$103+VLOOKUP(VLOOKUP(K$1,main!$A$3:$I$102,7,FALSE),main!$K$26:$Q$29,4,FALSE)),1,0)</f>
        <v>0</v>
      </c>
      <c r="L182">
        <f>IF(AND(VLOOKUP(L$1,main!$A$3:$H$102,7,FALSE)=main!$G$104,VLOOKUP(L$1,main!$A$3:$H$102,5,FALSE)-VLOOKUP($A182,main!$A$3:$H$102,6,FALSE)&gt;=main!$D$103+VLOOKUP(VLOOKUP(L$1,main!$A$3:$I$102,7,FALSE),main!$K$26:$Q$29,4,FALSE)),1,0)</f>
        <v>0</v>
      </c>
      <c r="M182">
        <f>IF(AND(VLOOKUP(M$1,main!$A$3:$H$102,7,FALSE)=main!$G$104,VLOOKUP(M$1,main!$A$3:$H$102,5,FALSE)-VLOOKUP($A182,main!$A$3:$H$102,6,FALSE)&gt;=main!$D$103+VLOOKUP(VLOOKUP(M$1,main!$A$3:$I$102,7,FALSE),main!$K$26:$Q$29,4,FALSE)),1,0)</f>
        <v>0</v>
      </c>
      <c r="N182">
        <f>IF(AND(VLOOKUP(N$1,main!$A$3:$H$102,7,FALSE)=main!$G$104,VLOOKUP(N$1,main!$A$3:$H$102,5,FALSE)-VLOOKUP($A182,main!$A$3:$H$102,6,FALSE)&gt;=main!$D$103+VLOOKUP(VLOOKUP(N$1,main!$A$3:$I$102,7,FALSE),main!$K$26:$Q$29,4,FALSE)),1,0)</f>
        <v>0</v>
      </c>
      <c r="O182">
        <f>IF(AND(VLOOKUP(O$1,main!$A$3:$H$102,7,FALSE)=main!$G$104,VLOOKUP(O$1,main!$A$3:$H$102,5,FALSE)-VLOOKUP($A182,main!$A$3:$H$102,6,FALSE)&gt;=main!$D$103+VLOOKUP(VLOOKUP(O$1,main!$A$3:$I$102,7,FALSE),main!$K$26:$Q$29,4,FALSE)),1,0)</f>
        <v>0</v>
      </c>
      <c r="P182">
        <f>IF(AND(VLOOKUP(P$1,main!$A$3:$H$102,7,FALSE)=main!$G$104,VLOOKUP(P$1,main!$A$3:$H$102,5,FALSE)-VLOOKUP($A182,main!$A$3:$H$102,6,FALSE)&gt;=main!$D$103+VLOOKUP(VLOOKUP(P$1,main!$A$3:$I$102,7,FALSE),main!$K$26:$Q$29,4,FALSE)),1,0)</f>
        <v>0</v>
      </c>
      <c r="Q182">
        <f>IF(AND(VLOOKUP(Q$1,main!$A$3:$H$102,7,FALSE)=main!$G$104,VLOOKUP(Q$1,main!$A$3:$H$102,5,FALSE)-VLOOKUP($A182,main!$A$3:$H$102,6,FALSE)&gt;=main!$D$103+VLOOKUP(VLOOKUP(Q$1,main!$A$3:$I$102,7,FALSE),main!$K$26:$Q$29,4,FALSE)),1,0)</f>
        <v>0</v>
      </c>
      <c r="R182">
        <f>IF(AND(VLOOKUP(R$1,main!$A$3:$H$102,7,FALSE)=main!$G$104,VLOOKUP(R$1,main!$A$3:$H$102,5,FALSE)-VLOOKUP($A182,main!$A$3:$H$102,6,FALSE)&gt;=main!$D$103+VLOOKUP(VLOOKUP(R$1,main!$A$3:$I$102,7,FALSE),main!$K$26:$Q$29,4,FALSE)),1,0)</f>
        <v>0</v>
      </c>
      <c r="S182">
        <f>IF(AND(VLOOKUP(S$1,main!$A$3:$H$102,7,FALSE)=main!$G$104,VLOOKUP(S$1,main!$A$3:$H$102,5,FALSE)-VLOOKUP($A182,main!$A$3:$H$102,6,FALSE)&gt;=main!$D$103+VLOOKUP(VLOOKUP(S$1,main!$A$3:$I$102,7,FALSE),main!$K$26:$Q$29,4,FALSE)),1,0)</f>
        <v>0</v>
      </c>
      <c r="T182">
        <f>IF(AND(VLOOKUP(T$1,main!$A$3:$H$102,7,FALSE)=main!$G$104,VLOOKUP(T$1,main!$A$3:$H$102,5,FALSE)-VLOOKUP($A182,main!$A$3:$H$102,6,FALSE)&gt;=main!$D$103+VLOOKUP(VLOOKUP(T$1,main!$A$3:$I$102,7,FALSE),main!$K$26:$Q$29,4,FALSE)),1,0)</f>
        <v>0</v>
      </c>
      <c r="U182">
        <f>IF(AND(VLOOKUP(U$1,main!$A$3:$H$102,7,FALSE)=main!$G$104,VLOOKUP(U$1,main!$A$3:$H$102,5,FALSE)-VLOOKUP($A182,main!$A$3:$H$102,6,FALSE)&gt;=main!$D$103+VLOOKUP(VLOOKUP(U$1,main!$A$3:$I$102,7,FALSE),main!$K$26:$Q$29,4,FALSE)),1,0)</f>
        <v>0</v>
      </c>
      <c r="V182">
        <f>IF(AND(VLOOKUP(V$1,main!$A$3:$H$102,7,FALSE)=main!$G$104,VLOOKUP(V$1,main!$A$3:$H$102,5,FALSE)-VLOOKUP($A182,main!$A$3:$H$102,6,FALSE)&gt;=main!$D$103+VLOOKUP(VLOOKUP(V$1,main!$A$3:$I$102,7,FALSE),main!$K$26:$Q$29,4,FALSE)),1,0)</f>
        <v>0</v>
      </c>
      <c r="W182">
        <f>IF(AND(VLOOKUP(W$1,main!$A$3:$H$102,7,FALSE)=main!$G$104,VLOOKUP(W$1,main!$A$3:$H$102,5,FALSE)-VLOOKUP($A182,main!$A$3:$H$102,6,FALSE)&gt;=main!$D$103+VLOOKUP(VLOOKUP(W$1,main!$A$3:$I$102,7,FALSE),main!$K$26:$Q$29,4,FALSE)),1,0)</f>
        <v>0</v>
      </c>
      <c r="X182">
        <f>IF(AND(VLOOKUP(X$1,main!$A$3:$H$102,7,FALSE)=main!$G$104,VLOOKUP(X$1,main!$A$3:$H$102,5,FALSE)-VLOOKUP($A182,main!$A$3:$H$102,6,FALSE)&gt;=main!$D$103+VLOOKUP(VLOOKUP(X$1,main!$A$3:$I$102,7,FALSE),main!$K$26:$Q$29,4,FALSE)),1,0)</f>
        <v>0</v>
      </c>
      <c r="Y182">
        <f>IF(AND(VLOOKUP(Y$1,main!$A$3:$H$102,7,FALSE)=main!$G$104,VLOOKUP(Y$1,main!$A$3:$H$102,5,FALSE)-VLOOKUP($A182,main!$A$3:$H$102,6,FALSE)&gt;=main!$D$103+VLOOKUP(VLOOKUP(Y$1,main!$A$3:$I$102,7,FALSE),main!$K$26:$Q$29,4,FALSE)),1,0)</f>
        <v>0</v>
      </c>
      <c r="Z182">
        <f>IF(AND(VLOOKUP(Z$1,main!$A$3:$H$102,7,FALSE)=main!$G$104,VLOOKUP(Z$1,main!$A$3:$H$102,5,FALSE)-VLOOKUP($A182,main!$A$3:$H$102,6,FALSE)&gt;=main!$D$103+VLOOKUP(VLOOKUP(Z$1,main!$A$3:$I$102,7,FALSE),main!$K$26:$Q$29,4,FALSE)),1,0)</f>
        <v>0</v>
      </c>
      <c r="AA182">
        <f>IF(AND(VLOOKUP(AA$1,main!$A$3:$H$102,7,FALSE)=main!$G$104,VLOOKUP(AA$1,main!$A$3:$H$102,5,FALSE)-VLOOKUP($A182,main!$A$3:$H$102,6,FALSE)&gt;=main!$D$103+VLOOKUP(VLOOKUP(AA$1,main!$A$3:$I$102,7,FALSE),main!$K$26:$Q$29,4,FALSE)),1,0)</f>
        <v>0</v>
      </c>
      <c r="AB182">
        <f>IF(AND(VLOOKUP(AB$1,main!$A$3:$H$102,7,FALSE)=main!$G$104,VLOOKUP(AB$1,main!$A$3:$H$102,5,FALSE)-VLOOKUP($A182,main!$A$3:$H$102,6,FALSE)&gt;=main!$D$103+VLOOKUP(VLOOKUP(AB$1,main!$A$3:$I$102,7,FALSE),main!$K$26:$Q$29,4,FALSE)),1,0)</f>
        <v>0</v>
      </c>
      <c r="AC182">
        <f>IF(AND(VLOOKUP(AC$1,main!$A$3:$H$102,7,FALSE)=main!$G$104,VLOOKUP(AC$1,main!$A$3:$H$102,5,FALSE)-VLOOKUP($A182,main!$A$3:$H$102,6,FALSE)&gt;=main!$D$103+VLOOKUP(VLOOKUP(AC$1,main!$A$3:$I$102,7,FALSE),main!$K$26:$Q$29,4,FALSE)),1,0)</f>
        <v>0</v>
      </c>
      <c r="AD182">
        <f>IF(AND(VLOOKUP(AD$1,main!$A$3:$H$102,7,FALSE)=main!$G$104,VLOOKUP(AD$1,main!$A$3:$H$102,5,FALSE)-VLOOKUP($A182,main!$A$3:$H$102,6,FALSE)&gt;=main!$D$103+VLOOKUP(VLOOKUP(AD$1,main!$A$3:$I$102,7,FALSE),main!$K$26:$Q$29,4,FALSE)),1,0)</f>
        <v>0</v>
      </c>
      <c r="AE182">
        <f>IF(AND(VLOOKUP(AE$1,main!$A$3:$H$102,7,FALSE)=main!$G$104,VLOOKUP(AE$1,main!$A$3:$H$102,5,FALSE)-VLOOKUP($A182,main!$A$3:$H$102,6,FALSE)&gt;=main!$D$103+VLOOKUP(VLOOKUP(AE$1,main!$A$3:$I$102,7,FALSE),main!$K$26:$Q$29,4,FALSE)),1,0)</f>
        <v>0</v>
      </c>
      <c r="AF182">
        <f>IF(AND(VLOOKUP(AF$1,main!$A$3:$H$102,7,FALSE)=main!$G$104,VLOOKUP(AF$1,main!$A$3:$H$102,5,FALSE)-VLOOKUP($A182,main!$A$3:$H$102,6,FALSE)&gt;=main!$D$103+VLOOKUP(VLOOKUP(AF$1,main!$A$3:$I$102,7,FALSE),main!$K$26:$Q$29,4,FALSE)),1,0)</f>
        <v>0</v>
      </c>
      <c r="AG182">
        <f>IF(AND(VLOOKUP(AG$1,main!$A$3:$H$102,7,FALSE)=main!$G$104,VLOOKUP(AG$1,main!$A$3:$H$102,5,FALSE)-VLOOKUP($A182,main!$A$3:$H$102,6,FALSE)&gt;=main!$D$103+VLOOKUP(VLOOKUP(AG$1,main!$A$3:$I$102,7,FALSE),main!$K$26:$Q$29,4,FALSE)),1,0)</f>
        <v>0</v>
      </c>
      <c r="AH182">
        <f>IF(AND(VLOOKUP(AH$1,main!$A$3:$H$102,7,FALSE)=main!$G$104,VLOOKUP(AH$1,main!$A$3:$H$102,5,FALSE)-VLOOKUP($A182,main!$A$3:$H$102,6,FALSE)&gt;=main!$D$103+VLOOKUP(VLOOKUP(AH$1,main!$A$3:$I$102,7,FALSE),main!$K$26:$Q$29,4,FALSE)),1,0)</f>
        <v>0</v>
      </c>
      <c r="AI182">
        <f>IF(AND(VLOOKUP(AI$1,main!$A$3:$H$102,7,FALSE)=main!$G$104,VLOOKUP(AI$1,main!$A$3:$H$102,5,FALSE)-VLOOKUP($A182,main!$A$3:$H$102,6,FALSE)&gt;=main!$D$103+VLOOKUP(VLOOKUP(AI$1,main!$A$3:$I$102,7,FALSE),main!$K$26:$Q$29,4,FALSE)),1,0)</f>
        <v>0</v>
      </c>
      <c r="AJ182">
        <f>IF(AND(VLOOKUP(AJ$1,main!$A$3:$H$102,7,FALSE)=main!$G$104,VLOOKUP(AJ$1,main!$A$3:$H$102,5,FALSE)-VLOOKUP($A182,main!$A$3:$H$102,6,FALSE)&gt;=main!$D$103+VLOOKUP(VLOOKUP(AJ$1,main!$A$3:$I$102,7,FALSE),main!$K$26:$Q$29,4,FALSE)),1,0)</f>
        <v>0</v>
      </c>
      <c r="AK182">
        <f>IF(AND(VLOOKUP(AK$1,main!$A$3:$H$102,7,FALSE)=main!$G$104,VLOOKUP(AK$1,main!$A$3:$H$102,5,FALSE)-VLOOKUP($A182,main!$A$3:$H$102,6,FALSE)&gt;=main!$D$103+VLOOKUP(VLOOKUP(AK$1,main!$A$3:$I$102,7,FALSE),main!$K$26:$Q$29,4,FALSE)),1,0)</f>
        <v>0</v>
      </c>
      <c r="AL182">
        <f>IF(AND(VLOOKUP(AL$1,main!$A$3:$H$102,7,FALSE)=main!$G$104,VLOOKUP(AL$1,main!$A$3:$H$102,5,FALSE)-VLOOKUP($A182,main!$A$3:$H$102,6,FALSE)&gt;=main!$D$103+VLOOKUP(VLOOKUP(AL$1,main!$A$3:$I$102,7,FALSE),main!$K$26:$Q$29,4,FALSE)),1,0)</f>
        <v>0</v>
      </c>
      <c r="AM182">
        <f>IF(AND(VLOOKUP(AM$1,main!$A$3:$H$102,7,FALSE)=main!$G$104,VLOOKUP(AM$1,main!$A$3:$H$102,5,FALSE)-VLOOKUP($A182,main!$A$3:$H$102,6,FALSE)&gt;=main!$D$103+VLOOKUP(VLOOKUP(AM$1,main!$A$3:$I$102,7,FALSE),main!$K$26:$Q$29,4,FALSE)),1,0)</f>
        <v>0</v>
      </c>
      <c r="AN182">
        <f>IF(AND(VLOOKUP(AN$1,main!$A$3:$H$102,7,FALSE)=main!$G$104,VLOOKUP(AN$1,main!$A$3:$H$102,5,FALSE)-VLOOKUP($A182,main!$A$3:$H$102,6,FALSE)&gt;=main!$D$103+VLOOKUP(VLOOKUP(AN$1,main!$A$3:$I$102,7,FALSE),main!$K$26:$Q$29,4,FALSE)),1,0)</f>
        <v>0</v>
      </c>
      <c r="AO182">
        <f>IF(AND(VLOOKUP(AO$1,main!$A$3:$H$102,7,FALSE)=main!$G$104,VLOOKUP(AO$1,main!$A$3:$H$102,5,FALSE)-VLOOKUP($A182,main!$A$3:$H$102,6,FALSE)&gt;=main!$D$103+VLOOKUP(VLOOKUP(AO$1,main!$A$3:$I$102,7,FALSE),main!$K$26:$Q$29,4,FALSE)),1,0)</f>
        <v>0</v>
      </c>
      <c r="AP182">
        <f>IF(AND(VLOOKUP(AP$1,main!$A$3:$H$102,7,FALSE)=main!$G$104,VLOOKUP(AP$1,main!$A$3:$H$102,5,FALSE)-VLOOKUP($A182,main!$A$3:$H$102,6,FALSE)&gt;=main!$D$103+VLOOKUP(VLOOKUP(AP$1,main!$A$3:$I$102,7,FALSE),main!$K$26:$Q$29,4,FALSE)),1,0)</f>
        <v>0</v>
      </c>
      <c r="AQ182">
        <f>IF(AND(VLOOKUP(AQ$1,main!$A$3:$H$102,7,FALSE)=main!$G$104,VLOOKUP(AQ$1,main!$A$3:$H$102,5,FALSE)-VLOOKUP($A182,main!$A$3:$H$102,6,FALSE)&gt;=main!$D$103+VLOOKUP(VLOOKUP(AQ$1,main!$A$3:$I$102,7,FALSE),main!$K$26:$Q$29,4,FALSE)),1,0)</f>
        <v>0</v>
      </c>
      <c r="AR182">
        <f>IF(AND(VLOOKUP(AR$1,main!$A$3:$H$102,7,FALSE)=main!$G$104,VLOOKUP(AR$1,main!$A$3:$H$102,5,FALSE)-VLOOKUP($A182,main!$A$3:$H$102,6,FALSE)&gt;=main!$D$103+VLOOKUP(VLOOKUP(AR$1,main!$A$3:$I$102,7,FALSE),main!$K$26:$Q$29,4,FALSE)),1,0)</f>
        <v>0</v>
      </c>
      <c r="AS182">
        <f>IF(AND(VLOOKUP(AS$1,main!$A$3:$H$102,7,FALSE)=main!$G$104,VLOOKUP(AS$1,main!$A$3:$H$102,5,FALSE)-VLOOKUP($A182,main!$A$3:$H$102,6,FALSE)&gt;=main!$D$103+VLOOKUP(VLOOKUP(AS$1,main!$A$3:$I$102,7,FALSE),main!$K$26:$Q$29,4,FALSE)),1,0)</f>
        <v>0</v>
      </c>
      <c r="AT182">
        <f>IF(AND(VLOOKUP(AT$1,main!$A$3:$H$102,7,FALSE)=main!$G$104,VLOOKUP(AT$1,main!$A$3:$H$102,5,FALSE)-VLOOKUP($A182,main!$A$3:$H$102,6,FALSE)&gt;=main!$D$103+VLOOKUP(VLOOKUP(AT$1,main!$A$3:$I$102,7,FALSE),main!$K$26:$Q$29,4,FALSE)),1,0)</f>
        <v>0</v>
      </c>
      <c r="AU182">
        <f>IF(AND(VLOOKUP(AU$1,main!$A$3:$H$102,7,FALSE)=main!$G$104,VLOOKUP(AU$1,main!$A$3:$H$102,5,FALSE)-VLOOKUP($A182,main!$A$3:$H$102,6,FALSE)&gt;=main!$D$103+VLOOKUP(VLOOKUP(AU$1,main!$A$3:$I$102,7,FALSE),main!$K$26:$Q$29,4,FALSE)),1,0)</f>
        <v>0</v>
      </c>
      <c r="AV182">
        <f>IF(AND(VLOOKUP(AV$1,main!$A$3:$H$102,7,FALSE)=main!$G$104,VLOOKUP(AV$1,main!$A$3:$H$102,5,FALSE)-VLOOKUP($A182,main!$A$3:$H$102,6,FALSE)&gt;=main!$D$103+VLOOKUP(VLOOKUP(AV$1,main!$A$3:$I$102,7,FALSE),main!$K$26:$Q$29,4,FALSE)),1,0)</f>
        <v>0</v>
      </c>
      <c r="AW182">
        <f>IF(AND(VLOOKUP(AW$1,main!$A$3:$H$102,7,FALSE)=main!$G$104,VLOOKUP(AW$1,main!$A$3:$H$102,5,FALSE)-VLOOKUP($A182,main!$A$3:$H$102,6,FALSE)&gt;=main!$D$103+VLOOKUP(VLOOKUP(AW$1,main!$A$3:$I$102,7,FALSE),main!$K$26:$Q$29,4,FALSE)),1,0)</f>
        <v>0</v>
      </c>
      <c r="AX182">
        <f>IF(AND(VLOOKUP(AX$1,main!$A$3:$H$102,7,FALSE)=main!$G$104,VLOOKUP(AX$1,main!$A$3:$H$102,5,FALSE)-VLOOKUP($A182,main!$A$3:$H$102,6,FALSE)&gt;=main!$D$103+VLOOKUP(VLOOKUP(AX$1,main!$A$3:$I$102,7,FALSE),main!$K$26:$Q$29,4,FALSE)),1,0)</f>
        <v>0</v>
      </c>
      <c r="AY182">
        <f>IF(AND(VLOOKUP(AY$1,main!$A$3:$H$102,7,FALSE)=main!$G$104,VLOOKUP(AY$1,main!$A$3:$H$102,5,FALSE)-VLOOKUP($A182,main!$A$3:$H$102,6,FALSE)&gt;=main!$D$103+VLOOKUP(VLOOKUP(AY$1,main!$A$3:$I$102,7,FALSE),main!$K$26:$Q$29,4,FALSE)),1,0)</f>
        <v>0</v>
      </c>
      <c r="AZ182">
        <f>IF(AND(VLOOKUP(AZ$1,main!$A$3:$H$102,7,FALSE)=main!$G$104,VLOOKUP(AZ$1,main!$A$3:$H$102,5,FALSE)-VLOOKUP($A182,main!$A$3:$H$102,6,FALSE)&gt;=main!$D$103+VLOOKUP(VLOOKUP(AZ$1,main!$A$3:$I$102,7,FALSE),main!$K$26:$Q$29,4,FALSE)),1,0)</f>
        <v>0</v>
      </c>
      <c r="BA182">
        <f>IF(AND(VLOOKUP(BA$1,main!$A$3:$H$102,7,FALSE)=main!$G$104,VLOOKUP(BA$1,main!$A$3:$H$102,5,FALSE)-VLOOKUP($A182,main!$A$3:$H$102,6,FALSE)&gt;=main!$D$103+VLOOKUP(VLOOKUP(BA$1,main!$A$3:$I$102,7,FALSE),main!$K$26:$Q$29,4,FALSE)),1,0)</f>
        <v>0</v>
      </c>
      <c r="BB182">
        <f>IF(AND(VLOOKUP(BB$1,main!$A$3:$H$102,7,FALSE)=main!$G$104,VLOOKUP(BB$1,main!$A$3:$H$102,5,FALSE)-VLOOKUP($A182,main!$A$3:$H$102,6,FALSE)&gt;=main!$D$103+VLOOKUP(VLOOKUP(BB$1,main!$A$3:$I$102,7,FALSE),main!$K$26:$Q$29,4,FALSE)),1,0)</f>
        <v>0</v>
      </c>
      <c r="BC182">
        <f>IF(AND(VLOOKUP(BC$1,main!$A$3:$H$102,7,FALSE)=main!$G$104,VLOOKUP(BC$1,main!$A$3:$H$102,5,FALSE)-VLOOKUP($A182,main!$A$3:$H$102,6,FALSE)&gt;=main!$D$103+VLOOKUP(VLOOKUP(BC$1,main!$A$3:$I$102,7,FALSE),main!$K$26:$Q$29,4,FALSE)),1,0)</f>
        <v>0</v>
      </c>
      <c r="BD182">
        <f>IF(AND(VLOOKUP(BD$1,main!$A$3:$H$102,7,FALSE)=main!$G$104,VLOOKUP(BD$1,main!$A$3:$H$102,5,FALSE)-VLOOKUP($A182,main!$A$3:$H$102,6,FALSE)&gt;=main!$D$103+VLOOKUP(VLOOKUP(BD$1,main!$A$3:$I$102,7,FALSE),main!$K$26:$Q$29,4,FALSE)),1,0)</f>
        <v>0</v>
      </c>
      <c r="BE182">
        <f>IF(AND(VLOOKUP(BE$1,main!$A$3:$H$102,7,FALSE)=main!$G$104,VLOOKUP(BE$1,main!$A$3:$H$102,5,FALSE)-VLOOKUP($A182,main!$A$3:$H$102,6,FALSE)&gt;=main!$D$103+VLOOKUP(VLOOKUP(BE$1,main!$A$3:$I$102,7,FALSE),main!$K$26:$Q$29,4,FALSE)),1,0)</f>
        <v>0</v>
      </c>
      <c r="BF182">
        <f>IF(AND(VLOOKUP(BF$1,main!$A$3:$H$102,7,FALSE)=main!$G$104,VLOOKUP(BF$1,main!$A$3:$H$102,5,FALSE)-VLOOKUP($A182,main!$A$3:$H$102,6,FALSE)&gt;=main!$D$103+VLOOKUP(VLOOKUP(BF$1,main!$A$3:$I$102,7,FALSE),main!$K$26:$Q$29,4,FALSE)),1,0)</f>
        <v>0</v>
      </c>
      <c r="BG182">
        <f>IF(AND(VLOOKUP(BG$1,main!$A$3:$H$102,7,FALSE)=main!$G$104,VLOOKUP(BG$1,main!$A$3:$H$102,5,FALSE)-VLOOKUP($A182,main!$A$3:$H$102,6,FALSE)&gt;=main!$D$103+VLOOKUP(VLOOKUP(BG$1,main!$A$3:$I$102,7,FALSE),main!$K$26:$Q$29,4,FALSE)),1,0)</f>
        <v>0</v>
      </c>
      <c r="BH182">
        <f>IF(AND(VLOOKUP(BH$1,main!$A$3:$H$102,7,FALSE)=main!$G$104,VLOOKUP(BH$1,main!$A$3:$H$102,5,FALSE)-VLOOKUP($A182,main!$A$3:$H$102,6,FALSE)&gt;=main!$D$103+VLOOKUP(VLOOKUP(BH$1,main!$A$3:$I$102,7,FALSE),main!$K$26:$Q$29,4,FALSE)),1,0)</f>
        <v>0</v>
      </c>
      <c r="BI182">
        <f>IF(AND(VLOOKUP(BI$1,main!$A$3:$H$102,7,FALSE)=main!$G$104,VLOOKUP(BI$1,main!$A$3:$H$102,5,FALSE)-VLOOKUP($A182,main!$A$3:$H$102,6,FALSE)&gt;=main!$D$103+VLOOKUP(VLOOKUP(BI$1,main!$A$3:$I$102,7,FALSE),main!$K$26:$Q$29,4,FALSE)),1,0)</f>
        <v>0</v>
      </c>
      <c r="BJ182">
        <f>IF(AND(VLOOKUP(BJ$1,main!$A$3:$H$102,7,FALSE)=main!$G$104,VLOOKUP(BJ$1,main!$A$3:$H$102,5,FALSE)-VLOOKUP($A182,main!$A$3:$H$102,6,FALSE)&gt;=main!$D$103+VLOOKUP(VLOOKUP(BJ$1,main!$A$3:$I$102,7,FALSE),main!$K$26:$Q$29,4,FALSE)),1,0)</f>
        <v>0</v>
      </c>
      <c r="BK182">
        <f>IF(AND(VLOOKUP(BK$1,main!$A$3:$H$102,7,FALSE)=main!$G$104,VLOOKUP(BK$1,main!$A$3:$H$102,5,FALSE)-VLOOKUP($A182,main!$A$3:$H$102,6,FALSE)&gt;=main!$D$103+VLOOKUP(VLOOKUP(BK$1,main!$A$3:$I$102,7,FALSE),main!$K$26:$Q$29,4,FALSE)),1,0)</f>
        <v>0</v>
      </c>
      <c r="BL182">
        <f>IF(AND(VLOOKUP(BL$1,main!$A$3:$H$102,7,FALSE)=main!$G$104,VLOOKUP(BL$1,main!$A$3:$H$102,5,FALSE)-VLOOKUP($A182,main!$A$3:$H$102,6,FALSE)&gt;=main!$D$103+VLOOKUP(VLOOKUP(BL$1,main!$A$3:$I$102,7,FALSE),main!$K$26:$Q$29,4,FALSE)),1,0)</f>
        <v>0</v>
      </c>
      <c r="BM182">
        <f>IF(AND(VLOOKUP(BM$1,main!$A$3:$H$102,7,FALSE)=main!$G$104,VLOOKUP(BM$1,main!$A$3:$H$102,5,FALSE)-VLOOKUP($A182,main!$A$3:$H$102,6,FALSE)&gt;=main!$D$103+VLOOKUP(VLOOKUP(BM$1,main!$A$3:$I$102,7,FALSE),main!$K$26:$Q$29,4,FALSE)),1,0)</f>
        <v>0</v>
      </c>
      <c r="BN182">
        <f>IF(AND(VLOOKUP(BN$1,main!$A$3:$H$102,7,FALSE)=main!$G$104,VLOOKUP(BN$1,main!$A$3:$H$102,5,FALSE)-VLOOKUP($A182,main!$A$3:$H$102,6,FALSE)&gt;=main!$D$103+VLOOKUP(VLOOKUP(BN$1,main!$A$3:$I$102,7,FALSE),main!$K$26:$Q$29,4,FALSE)),1,0)</f>
        <v>0</v>
      </c>
      <c r="BO182">
        <f>IF(AND(VLOOKUP(BO$1,main!$A$3:$H$102,7,FALSE)=main!$G$104,VLOOKUP(BO$1,main!$A$3:$H$102,5,FALSE)-VLOOKUP($A182,main!$A$3:$H$102,6,FALSE)&gt;=main!$D$103+VLOOKUP(VLOOKUP(BO$1,main!$A$3:$I$102,7,FALSE),main!$K$26:$Q$29,4,FALSE)),1,0)</f>
        <v>0</v>
      </c>
      <c r="BP182">
        <f>IF(AND(VLOOKUP(BP$1,main!$A$3:$H$102,7,FALSE)=main!$G$104,VLOOKUP(BP$1,main!$A$3:$H$102,5,FALSE)-VLOOKUP($A182,main!$A$3:$H$102,6,FALSE)&gt;=main!$D$103+VLOOKUP(VLOOKUP(BP$1,main!$A$3:$I$102,7,FALSE),main!$K$26:$Q$29,4,FALSE)),1,0)</f>
        <v>0</v>
      </c>
      <c r="BQ182">
        <f>IF(AND(VLOOKUP(BQ$1,main!$A$3:$H$102,7,FALSE)=main!$G$104,VLOOKUP(BQ$1,main!$A$3:$H$102,5,FALSE)-VLOOKUP($A182,main!$A$3:$H$102,6,FALSE)&gt;=main!$D$103+VLOOKUP(VLOOKUP(BQ$1,main!$A$3:$I$102,7,FALSE),main!$K$26:$Q$29,4,FALSE)),1,0)</f>
        <v>0</v>
      </c>
      <c r="BR182">
        <f>IF(AND(VLOOKUP(BR$1,main!$A$3:$H$102,7,FALSE)=main!$G$104,VLOOKUP(BR$1,main!$A$3:$H$102,5,FALSE)-VLOOKUP($A182,main!$A$3:$H$102,6,FALSE)&gt;=main!$D$103+VLOOKUP(VLOOKUP(BR$1,main!$A$3:$I$102,7,FALSE),main!$K$26:$Q$29,4,FALSE)),1,0)</f>
        <v>0</v>
      </c>
      <c r="BS182">
        <f>IF(AND(VLOOKUP(BS$1,main!$A$3:$H$102,7,FALSE)=main!$G$104,VLOOKUP(BS$1,main!$A$3:$H$102,5,FALSE)-VLOOKUP($A182,main!$A$3:$H$102,6,FALSE)&gt;=main!$D$103+VLOOKUP(VLOOKUP(BS$1,main!$A$3:$I$102,7,FALSE),main!$K$26:$Q$29,4,FALSE)),1,0)</f>
        <v>0</v>
      </c>
      <c r="BT182">
        <f>IF(AND(VLOOKUP(BT$1,main!$A$3:$H$102,7,FALSE)=main!$G$104,VLOOKUP(BT$1,main!$A$3:$H$102,5,FALSE)-VLOOKUP($A182,main!$A$3:$H$102,6,FALSE)&gt;=main!$D$103+VLOOKUP(VLOOKUP(BT$1,main!$A$3:$I$102,7,FALSE),main!$K$26:$Q$29,4,FALSE)),1,0)</f>
        <v>0</v>
      </c>
      <c r="BU182">
        <f>IF(AND(VLOOKUP(BU$1,main!$A$3:$H$102,7,FALSE)=main!$G$104,VLOOKUP(BU$1,main!$A$3:$H$102,5,FALSE)-VLOOKUP($A182,main!$A$3:$H$102,6,FALSE)&gt;=main!$D$103+VLOOKUP(VLOOKUP(BU$1,main!$A$3:$I$102,7,FALSE),main!$K$26:$Q$29,4,FALSE)),1,0)</f>
        <v>0</v>
      </c>
      <c r="BV182">
        <f>IF(AND(VLOOKUP(BV$1,main!$A$3:$H$102,7,FALSE)=main!$G$104,VLOOKUP(BV$1,main!$A$3:$H$102,5,FALSE)-VLOOKUP($A182,main!$A$3:$H$102,6,FALSE)&gt;=main!$D$103+VLOOKUP(VLOOKUP(BV$1,main!$A$3:$I$102,7,FALSE),main!$K$26:$Q$29,4,FALSE)),1,0)</f>
        <v>0</v>
      </c>
      <c r="BW182">
        <f>IF(AND(VLOOKUP(BW$1,main!$A$3:$H$102,7,FALSE)=main!$G$104,VLOOKUP(BW$1,main!$A$3:$H$102,5,FALSE)-VLOOKUP($A182,main!$A$3:$H$102,6,FALSE)&gt;=main!$D$103+VLOOKUP(VLOOKUP(BW$1,main!$A$3:$I$102,7,FALSE),main!$K$26:$Q$29,4,FALSE)),1,0)</f>
        <v>0</v>
      </c>
      <c r="BX182">
        <f>IF(AND(VLOOKUP(BX$1,main!$A$3:$H$102,7,FALSE)=main!$G$104,VLOOKUP(BX$1,main!$A$3:$H$102,5,FALSE)-VLOOKUP($A182,main!$A$3:$H$102,6,FALSE)&gt;=main!$D$103+VLOOKUP(VLOOKUP(BX$1,main!$A$3:$I$102,7,FALSE),main!$K$26:$Q$29,4,FALSE)),1,0)</f>
        <v>0</v>
      </c>
      <c r="BY182">
        <f>IF(AND(VLOOKUP(BY$1,main!$A$3:$H$102,7,FALSE)=main!$G$104,VLOOKUP(BY$1,main!$A$3:$H$102,5,FALSE)-VLOOKUP($A182,main!$A$3:$H$102,6,FALSE)&gt;=main!$D$103+VLOOKUP(VLOOKUP(BY$1,main!$A$3:$I$102,7,FALSE),main!$K$26:$Q$29,4,FALSE)),1,0)</f>
        <v>0</v>
      </c>
      <c r="BZ182">
        <f>IF(AND(VLOOKUP(BZ$1,main!$A$3:$H$102,7,FALSE)=main!$G$104,VLOOKUP(BZ$1,main!$A$3:$H$102,5,FALSE)-VLOOKUP($A182,main!$A$3:$H$102,6,FALSE)&gt;=main!$D$103+VLOOKUP(VLOOKUP(BZ$1,main!$A$3:$I$102,7,FALSE),main!$K$26:$Q$29,4,FALSE)),1,0)</f>
        <v>0</v>
      </c>
      <c r="CA182">
        <f>IF(AND(VLOOKUP(CA$1,main!$A$3:$H$102,7,FALSE)=main!$G$104,VLOOKUP(CA$1,main!$A$3:$H$102,5,FALSE)-VLOOKUP($A182,main!$A$3:$H$102,6,FALSE)&gt;=main!$D$103+VLOOKUP(VLOOKUP(CA$1,main!$A$3:$I$102,7,FALSE),main!$K$26:$Q$29,4,FALSE)),1,0)</f>
        <v>0</v>
      </c>
      <c r="CB182">
        <f>IF(AND(VLOOKUP(CB$1,main!$A$3:$H$102,7,FALSE)=main!$G$104,VLOOKUP(CB$1,main!$A$3:$H$102,5,FALSE)-VLOOKUP($A182,main!$A$3:$H$102,6,FALSE)&gt;=main!$D$103+VLOOKUP(VLOOKUP(CB$1,main!$A$3:$I$102,7,FALSE),main!$K$26:$Q$29,4,FALSE)),1,0)</f>
        <v>0</v>
      </c>
      <c r="CC182">
        <f>IF(AND(VLOOKUP(CC$1,main!$A$3:$H$102,7,FALSE)=main!$G$104,VLOOKUP(CC$1,main!$A$3:$H$102,5,FALSE)-VLOOKUP($A182,main!$A$3:$H$102,6,FALSE)&gt;=main!$D$103+VLOOKUP(VLOOKUP(CC$1,main!$A$3:$I$102,7,FALSE),main!$K$26:$Q$29,4,FALSE)),1,0)</f>
        <v>0</v>
      </c>
      <c r="CD182">
        <f>IF(AND(VLOOKUP(CD$1,main!$A$3:$H$102,7,FALSE)=main!$G$104,VLOOKUP(CD$1,main!$A$3:$H$102,5,FALSE)-VLOOKUP($A182,main!$A$3:$H$102,6,FALSE)&gt;=main!$D$103+VLOOKUP(VLOOKUP(CD$1,main!$A$3:$I$102,7,FALSE),main!$K$26:$Q$29,4,FALSE)),1,0)</f>
        <v>0</v>
      </c>
      <c r="CE182">
        <f>IF(AND(VLOOKUP(CE$1,main!$A$3:$H$102,7,FALSE)=main!$G$104,VLOOKUP(CE$1,main!$A$3:$H$102,5,FALSE)-VLOOKUP($A182,main!$A$3:$H$102,6,FALSE)&gt;=main!$D$103+VLOOKUP(VLOOKUP(CE$1,main!$A$3:$I$102,7,FALSE),main!$K$26:$Q$29,4,FALSE)),1,0)</f>
        <v>0</v>
      </c>
      <c r="CF182">
        <f>IF(AND(VLOOKUP(CF$1,main!$A$3:$H$102,7,FALSE)=main!$G$104,VLOOKUP(CF$1,main!$A$3:$H$102,5,FALSE)-VLOOKUP($A182,main!$A$3:$H$102,6,FALSE)&gt;=main!$D$103+VLOOKUP(VLOOKUP(CF$1,main!$A$3:$I$102,7,FALSE),main!$K$26:$Q$29,4,FALSE)),1,0)</f>
        <v>0</v>
      </c>
      <c r="CG182">
        <f>IF(AND(VLOOKUP(CG$1,main!$A$3:$H$102,7,FALSE)=main!$G$104,VLOOKUP(CG$1,main!$A$3:$H$102,5,FALSE)-VLOOKUP($A182,main!$A$3:$H$102,6,FALSE)&gt;=main!$D$103+VLOOKUP(VLOOKUP(CG$1,main!$A$3:$I$102,7,FALSE),main!$K$26:$Q$29,4,FALSE)),1,0)</f>
        <v>0</v>
      </c>
      <c r="CH182">
        <f>IF(AND(VLOOKUP(CH$1,main!$A$3:$H$102,7,FALSE)=main!$G$104,VLOOKUP(CH$1,main!$A$3:$H$102,5,FALSE)-VLOOKUP($A182,main!$A$3:$H$102,6,FALSE)&gt;=main!$D$103+VLOOKUP(VLOOKUP(CH$1,main!$A$3:$I$102,7,FALSE),main!$K$26:$Q$29,4,FALSE)),1,0)</f>
        <v>0</v>
      </c>
      <c r="CI182">
        <f>IF(AND(VLOOKUP(CI$1,main!$A$3:$H$102,7,FALSE)=main!$G$104,VLOOKUP(CI$1,main!$A$3:$H$102,5,FALSE)-VLOOKUP($A182,main!$A$3:$H$102,6,FALSE)&gt;=main!$D$103+VLOOKUP(VLOOKUP(CI$1,main!$A$3:$I$102,7,FALSE),main!$K$26:$Q$29,4,FALSE)),1,0)</f>
        <v>0</v>
      </c>
      <c r="CJ182">
        <f>IF(AND(VLOOKUP(CJ$1,main!$A$3:$H$102,7,FALSE)=main!$G$104,VLOOKUP(CJ$1,main!$A$3:$H$102,5,FALSE)-VLOOKUP($A182,main!$A$3:$H$102,6,FALSE)&gt;=main!$D$103+VLOOKUP(VLOOKUP(CJ$1,main!$A$3:$I$102,7,FALSE),main!$K$26:$Q$29,4,FALSE)),1,0)</f>
        <v>0</v>
      </c>
      <c r="CK182">
        <f>IF(AND(VLOOKUP(CK$1,main!$A$3:$H$102,7,FALSE)=main!$G$104,VLOOKUP(CK$1,main!$A$3:$H$102,5,FALSE)-VLOOKUP($A182,main!$A$3:$H$102,6,FALSE)&gt;=main!$D$103+VLOOKUP(VLOOKUP(CK$1,main!$A$3:$I$102,7,FALSE),main!$K$26:$Q$29,4,FALSE)),1,0)</f>
        <v>0</v>
      </c>
      <c r="CL182">
        <f>IF(AND(VLOOKUP(CL$1,main!$A$3:$H$102,7,FALSE)=main!$G$104,VLOOKUP(CL$1,main!$A$3:$H$102,5,FALSE)-VLOOKUP($A182,main!$A$3:$H$102,6,FALSE)&gt;=main!$D$103+VLOOKUP(VLOOKUP(CL$1,main!$A$3:$I$102,7,FALSE),main!$K$26:$Q$29,4,FALSE)),1,0)</f>
        <v>0</v>
      </c>
      <c r="CM182">
        <f>IF(AND(VLOOKUP(CM$1,main!$A$3:$H$102,7,FALSE)=main!$G$104,VLOOKUP(CM$1,main!$A$3:$H$102,5,FALSE)-VLOOKUP($A182,main!$A$3:$H$102,6,FALSE)&gt;=main!$D$103+VLOOKUP(VLOOKUP(CM$1,main!$A$3:$I$102,7,FALSE),main!$K$26:$Q$29,4,FALSE)),1,0)</f>
        <v>0</v>
      </c>
      <c r="CN182">
        <f>IF(AND(VLOOKUP(CN$1,main!$A$3:$H$102,7,FALSE)=main!$G$104,VLOOKUP(CN$1,main!$A$3:$H$102,5,FALSE)-VLOOKUP($A182,main!$A$3:$H$102,6,FALSE)&gt;=main!$D$103+VLOOKUP(VLOOKUP(CN$1,main!$A$3:$I$102,7,FALSE),main!$K$26:$Q$29,4,FALSE)),1,0)</f>
        <v>0</v>
      </c>
      <c r="CO182">
        <f>IF(AND(VLOOKUP(CO$1,main!$A$3:$H$102,7,FALSE)=main!$G$104,VLOOKUP(CO$1,main!$A$3:$H$102,5,FALSE)-VLOOKUP($A182,main!$A$3:$H$102,6,FALSE)&gt;=main!$D$103+VLOOKUP(VLOOKUP(CO$1,main!$A$3:$I$102,7,FALSE),main!$K$26:$Q$29,4,FALSE)),1,0)</f>
        <v>0</v>
      </c>
      <c r="CP182">
        <f>IF(AND(VLOOKUP(CP$1,main!$A$3:$H$102,7,FALSE)=main!$G$104,VLOOKUP(CP$1,main!$A$3:$H$102,5,FALSE)-VLOOKUP($A182,main!$A$3:$H$102,6,FALSE)&gt;=main!$D$103+VLOOKUP(VLOOKUP(CP$1,main!$A$3:$I$102,7,FALSE),main!$K$26:$Q$29,4,FALSE)),1,0)</f>
        <v>0</v>
      </c>
      <c r="CQ182">
        <f>IF(AND(VLOOKUP(CQ$1,main!$A$3:$H$102,7,FALSE)=main!$G$104,VLOOKUP(CQ$1,main!$A$3:$H$102,5,FALSE)-VLOOKUP($A182,main!$A$3:$H$102,6,FALSE)&gt;=main!$D$103+VLOOKUP(VLOOKUP(CQ$1,main!$A$3:$I$102,7,FALSE),main!$K$26:$Q$29,4,FALSE)),1,0)</f>
        <v>0</v>
      </c>
      <c r="CR182">
        <f>IF(AND(VLOOKUP(CR$1,main!$A$3:$H$102,7,FALSE)=main!$G$104,VLOOKUP(CR$1,main!$A$3:$H$102,5,FALSE)-VLOOKUP($A182,main!$A$3:$H$102,6,FALSE)&gt;=main!$D$103+VLOOKUP(VLOOKUP(CR$1,main!$A$3:$I$102,7,FALSE),main!$K$26:$Q$29,4,FALSE)),1,0)</f>
        <v>0</v>
      </c>
      <c r="CS182">
        <f>IF(AND(VLOOKUP(CS$1,main!$A$3:$H$102,7,FALSE)=main!$G$104,VLOOKUP(CS$1,main!$A$3:$H$102,5,FALSE)-VLOOKUP($A182,main!$A$3:$H$102,6,FALSE)&gt;=main!$D$103+VLOOKUP(VLOOKUP(CS$1,main!$A$3:$I$102,7,FALSE),main!$K$26:$Q$29,4,FALSE)),1,0)</f>
        <v>0</v>
      </c>
      <c r="CT182">
        <f>IF(AND(VLOOKUP(CT$1,main!$A$3:$H$102,7,FALSE)=main!$G$104,VLOOKUP(CT$1,main!$A$3:$H$102,5,FALSE)-VLOOKUP($A182,main!$A$3:$H$102,6,FALSE)&gt;=main!$D$103+VLOOKUP(VLOOKUP(CT$1,main!$A$3:$I$102,7,FALSE),main!$K$26:$Q$29,4,FALSE)),1,0)</f>
        <v>0</v>
      </c>
      <c r="CU182">
        <f>IF(AND(VLOOKUP(CU$1,main!$A$3:$H$102,7,FALSE)=main!$G$104,VLOOKUP(CU$1,main!$A$3:$H$102,5,FALSE)-VLOOKUP($A182,main!$A$3:$H$102,6,FALSE)&gt;=main!$D$103+VLOOKUP(VLOOKUP(CU$1,main!$A$3:$I$102,7,FALSE),main!$K$26:$Q$29,4,FALSE)),1,0)</f>
        <v>0</v>
      </c>
      <c r="CV182">
        <f>IF(AND(VLOOKUP(CV$1,main!$A$3:$H$102,7,FALSE)=main!$G$104,VLOOKUP(CV$1,main!$A$3:$H$102,5,FALSE)-VLOOKUP($A182,main!$A$3:$H$102,6,FALSE)&gt;=main!$D$103+VLOOKUP(VLOOKUP(CV$1,main!$A$3:$I$102,7,FALSE),main!$K$26:$Q$29,4,FALSE)),1,0)</f>
        <v>0</v>
      </c>
      <c r="CW182">
        <f>IF(AND(VLOOKUP(CW$1,main!$A$3:$H$102,7,FALSE)=main!$G$104,VLOOKUP(CW$1,main!$A$3:$H$102,5,FALSE)-VLOOKUP($A182,main!$A$3:$H$102,6,FALSE)&gt;=main!$D$103+VLOOKUP(VLOOKUP(CW$1,main!$A$3:$I$102,7,FALSE),main!$K$26:$Q$29,4,FALSE)),1,0)</f>
        <v>0</v>
      </c>
      <c r="CX182">
        <f>IF(AND(VLOOKUP(CX$1,main!$A$3:$H$102,7,FALSE)=main!$G$104,VLOOKUP(CX$1,main!$A$3:$H$102,5,FALSE)-VLOOKUP($A182,main!$A$3:$H$102,6,FALSE)&gt;=main!$D$103+VLOOKUP(VLOOKUP(CX$1,main!$A$3:$I$102,7,FALSE),main!$K$26:$Q$29,4,FALSE)),1,0)</f>
        <v>0</v>
      </c>
    </row>
    <row r="183" spans="1:102" x14ac:dyDescent="0.25">
      <c r="A183" s="1">
        <v>80</v>
      </c>
      <c r="B183">
        <v>0</v>
      </c>
      <c r="C183">
        <f>IF(AND(VLOOKUP(C$1,main!$A$3:$H$102,7,FALSE)=main!$G$104,VLOOKUP(C$1,main!$A$3:$H$102,5,FALSE)-VLOOKUP($A183,main!$A$3:$H$102,6,FALSE)&gt;=main!$D$103+VLOOKUP(VLOOKUP(C$1,main!$A$3:$I$102,7,FALSE),main!$K$26:$Q$29,4,FALSE)),1,0)</f>
        <v>0</v>
      </c>
      <c r="D183">
        <f>IF(AND(VLOOKUP(D$1,main!$A$3:$H$102,7,FALSE)=main!$G$104,VLOOKUP(D$1,main!$A$3:$H$102,5,FALSE)-VLOOKUP($A183,main!$A$3:$H$102,6,FALSE)&gt;=main!$D$103+VLOOKUP(VLOOKUP(D$1,main!$A$3:$I$102,7,FALSE),main!$K$26:$Q$29,4,FALSE)),1,0)</f>
        <v>0</v>
      </c>
      <c r="E183">
        <f>IF(AND(VLOOKUP(E$1,main!$A$3:$H$102,7,FALSE)=main!$G$104,VLOOKUP(E$1,main!$A$3:$H$102,5,FALSE)-VLOOKUP($A183,main!$A$3:$H$102,6,FALSE)&gt;=main!$D$103+VLOOKUP(VLOOKUP(E$1,main!$A$3:$I$102,7,FALSE),main!$K$26:$Q$29,4,FALSE)),1,0)</f>
        <v>0</v>
      </c>
      <c r="F183">
        <f>IF(AND(VLOOKUP(F$1,main!$A$3:$H$102,7,FALSE)=main!$G$104,VLOOKUP(F$1,main!$A$3:$H$102,5,FALSE)-VLOOKUP($A183,main!$A$3:$H$102,6,FALSE)&gt;=main!$D$103+VLOOKUP(VLOOKUP(F$1,main!$A$3:$I$102,7,FALSE),main!$K$26:$Q$29,4,FALSE)),1,0)</f>
        <v>0</v>
      </c>
      <c r="G183">
        <f>IF(AND(VLOOKUP(G$1,main!$A$3:$H$102,7,FALSE)=main!$G$104,VLOOKUP(G$1,main!$A$3:$H$102,5,FALSE)-VLOOKUP($A183,main!$A$3:$H$102,6,FALSE)&gt;=main!$D$103+VLOOKUP(VLOOKUP(G$1,main!$A$3:$I$102,7,FALSE),main!$K$26:$Q$29,4,FALSE)),1,0)</f>
        <v>0</v>
      </c>
      <c r="H183">
        <f>IF(AND(VLOOKUP(H$1,main!$A$3:$H$102,7,FALSE)=main!$G$104,VLOOKUP(H$1,main!$A$3:$H$102,5,FALSE)-VLOOKUP($A183,main!$A$3:$H$102,6,FALSE)&gt;=main!$D$103+VLOOKUP(VLOOKUP(H$1,main!$A$3:$I$102,7,FALSE),main!$K$26:$Q$29,4,FALSE)),1,0)</f>
        <v>0</v>
      </c>
      <c r="I183">
        <f>IF(AND(VLOOKUP(I$1,main!$A$3:$H$102,7,FALSE)=main!$G$104,VLOOKUP(I$1,main!$A$3:$H$102,5,FALSE)-VLOOKUP($A183,main!$A$3:$H$102,6,FALSE)&gt;=main!$D$103+VLOOKUP(VLOOKUP(I$1,main!$A$3:$I$102,7,FALSE),main!$K$26:$Q$29,4,FALSE)),1,0)</f>
        <v>0</v>
      </c>
      <c r="J183">
        <f>IF(AND(VLOOKUP(J$1,main!$A$3:$H$102,7,FALSE)=main!$G$104,VLOOKUP(J$1,main!$A$3:$H$102,5,FALSE)-VLOOKUP($A183,main!$A$3:$H$102,6,FALSE)&gt;=main!$D$103+VLOOKUP(VLOOKUP(J$1,main!$A$3:$I$102,7,FALSE),main!$K$26:$Q$29,4,FALSE)),1,0)</f>
        <v>1</v>
      </c>
      <c r="K183">
        <f>IF(AND(VLOOKUP(K$1,main!$A$3:$H$102,7,FALSE)=main!$G$104,VLOOKUP(K$1,main!$A$3:$H$102,5,FALSE)-VLOOKUP($A183,main!$A$3:$H$102,6,FALSE)&gt;=main!$D$103+VLOOKUP(VLOOKUP(K$1,main!$A$3:$I$102,7,FALSE),main!$K$26:$Q$29,4,FALSE)),1,0)</f>
        <v>1</v>
      </c>
      <c r="L183">
        <f>IF(AND(VLOOKUP(L$1,main!$A$3:$H$102,7,FALSE)=main!$G$104,VLOOKUP(L$1,main!$A$3:$H$102,5,FALSE)-VLOOKUP($A183,main!$A$3:$H$102,6,FALSE)&gt;=main!$D$103+VLOOKUP(VLOOKUP(L$1,main!$A$3:$I$102,7,FALSE),main!$K$26:$Q$29,4,FALSE)),1,0)</f>
        <v>1</v>
      </c>
      <c r="M183">
        <f>IF(AND(VLOOKUP(M$1,main!$A$3:$H$102,7,FALSE)=main!$G$104,VLOOKUP(M$1,main!$A$3:$H$102,5,FALSE)-VLOOKUP($A183,main!$A$3:$H$102,6,FALSE)&gt;=main!$D$103+VLOOKUP(VLOOKUP(M$1,main!$A$3:$I$102,7,FALSE),main!$K$26:$Q$29,4,FALSE)),1,0)</f>
        <v>0</v>
      </c>
      <c r="N183">
        <f>IF(AND(VLOOKUP(N$1,main!$A$3:$H$102,7,FALSE)=main!$G$104,VLOOKUP(N$1,main!$A$3:$H$102,5,FALSE)-VLOOKUP($A183,main!$A$3:$H$102,6,FALSE)&gt;=main!$D$103+VLOOKUP(VLOOKUP(N$1,main!$A$3:$I$102,7,FALSE),main!$K$26:$Q$29,4,FALSE)),1,0)</f>
        <v>0</v>
      </c>
      <c r="O183">
        <f>IF(AND(VLOOKUP(O$1,main!$A$3:$H$102,7,FALSE)=main!$G$104,VLOOKUP(O$1,main!$A$3:$H$102,5,FALSE)-VLOOKUP($A183,main!$A$3:$H$102,6,FALSE)&gt;=main!$D$103+VLOOKUP(VLOOKUP(O$1,main!$A$3:$I$102,7,FALSE),main!$K$26:$Q$29,4,FALSE)),1,0)</f>
        <v>0</v>
      </c>
      <c r="P183">
        <f>IF(AND(VLOOKUP(P$1,main!$A$3:$H$102,7,FALSE)=main!$G$104,VLOOKUP(P$1,main!$A$3:$H$102,5,FALSE)-VLOOKUP($A183,main!$A$3:$H$102,6,FALSE)&gt;=main!$D$103+VLOOKUP(VLOOKUP(P$1,main!$A$3:$I$102,7,FALSE),main!$K$26:$Q$29,4,FALSE)),1,0)</f>
        <v>0</v>
      </c>
      <c r="Q183">
        <f>IF(AND(VLOOKUP(Q$1,main!$A$3:$H$102,7,FALSE)=main!$G$104,VLOOKUP(Q$1,main!$A$3:$H$102,5,FALSE)-VLOOKUP($A183,main!$A$3:$H$102,6,FALSE)&gt;=main!$D$103+VLOOKUP(VLOOKUP(Q$1,main!$A$3:$I$102,7,FALSE),main!$K$26:$Q$29,4,FALSE)),1,0)</f>
        <v>0</v>
      </c>
      <c r="R183">
        <f>IF(AND(VLOOKUP(R$1,main!$A$3:$H$102,7,FALSE)=main!$G$104,VLOOKUP(R$1,main!$A$3:$H$102,5,FALSE)-VLOOKUP($A183,main!$A$3:$H$102,6,FALSE)&gt;=main!$D$103+VLOOKUP(VLOOKUP(R$1,main!$A$3:$I$102,7,FALSE),main!$K$26:$Q$29,4,FALSE)),1,0)</f>
        <v>0</v>
      </c>
      <c r="S183">
        <f>IF(AND(VLOOKUP(S$1,main!$A$3:$H$102,7,FALSE)=main!$G$104,VLOOKUP(S$1,main!$A$3:$H$102,5,FALSE)-VLOOKUP($A183,main!$A$3:$H$102,6,FALSE)&gt;=main!$D$103+VLOOKUP(VLOOKUP(S$1,main!$A$3:$I$102,7,FALSE),main!$K$26:$Q$29,4,FALSE)),1,0)</f>
        <v>0</v>
      </c>
      <c r="T183">
        <f>IF(AND(VLOOKUP(T$1,main!$A$3:$H$102,7,FALSE)=main!$G$104,VLOOKUP(T$1,main!$A$3:$H$102,5,FALSE)-VLOOKUP($A183,main!$A$3:$H$102,6,FALSE)&gt;=main!$D$103+VLOOKUP(VLOOKUP(T$1,main!$A$3:$I$102,7,FALSE),main!$K$26:$Q$29,4,FALSE)),1,0)</f>
        <v>0</v>
      </c>
      <c r="U183">
        <f>IF(AND(VLOOKUP(U$1,main!$A$3:$H$102,7,FALSE)=main!$G$104,VLOOKUP(U$1,main!$A$3:$H$102,5,FALSE)-VLOOKUP($A183,main!$A$3:$H$102,6,FALSE)&gt;=main!$D$103+VLOOKUP(VLOOKUP(U$1,main!$A$3:$I$102,7,FALSE),main!$K$26:$Q$29,4,FALSE)),1,0)</f>
        <v>1</v>
      </c>
      <c r="V183">
        <f>IF(AND(VLOOKUP(V$1,main!$A$3:$H$102,7,FALSE)=main!$G$104,VLOOKUP(V$1,main!$A$3:$H$102,5,FALSE)-VLOOKUP($A183,main!$A$3:$H$102,6,FALSE)&gt;=main!$D$103+VLOOKUP(VLOOKUP(V$1,main!$A$3:$I$102,7,FALSE),main!$K$26:$Q$29,4,FALSE)),1,0)</f>
        <v>1</v>
      </c>
      <c r="W183">
        <f>IF(AND(VLOOKUP(W$1,main!$A$3:$H$102,7,FALSE)=main!$G$104,VLOOKUP(W$1,main!$A$3:$H$102,5,FALSE)-VLOOKUP($A183,main!$A$3:$H$102,6,FALSE)&gt;=main!$D$103+VLOOKUP(VLOOKUP(W$1,main!$A$3:$I$102,7,FALSE),main!$K$26:$Q$29,4,FALSE)),1,0)</f>
        <v>0</v>
      </c>
      <c r="X183">
        <f>IF(AND(VLOOKUP(X$1,main!$A$3:$H$102,7,FALSE)=main!$G$104,VLOOKUP(X$1,main!$A$3:$H$102,5,FALSE)-VLOOKUP($A183,main!$A$3:$H$102,6,FALSE)&gt;=main!$D$103+VLOOKUP(VLOOKUP(X$1,main!$A$3:$I$102,7,FALSE),main!$K$26:$Q$29,4,FALSE)),1,0)</f>
        <v>0</v>
      </c>
      <c r="Y183">
        <f>IF(AND(VLOOKUP(Y$1,main!$A$3:$H$102,7,FALSE)=main!$G$104,VLOOKUP(Y$1,main!$A$3:$H$102,5,FALSE)-VLOOKUP($A183,main!$A$3:$H$102,6,FALSE)&gt;=main!$D$103+VLOOKUP(VLOOKUP(Y$1,main!$A$3:$I$102,7,FALSE),main!$K$26:$Q$29,4,FALSE)),1,0)</f>
        <v>0</v>
      </c>
      <c r="Z183">
        <f>IF(AND(VLOOKUP(Z$1,main!$A$3:$H$102,7,FALSE)=main!$G$104,VLOOKUP(Z$1,main!$A$3:$H$102,5,FALSE)-VLOOKUP($A183,main!$A$3:$H$102,6,FALSE)&gt;=main!$D$103+VLOOKUP(VLOOKUP(Z$1,main!$A$3:$I$102,7,FALSE),main!$K$26:$Q$29,4,FALSE)),1,0)</f>
        <v>0</v>
      </c>
      <c r="AA183">
        <f>IF(AND(VLOOKUP(AA$1,main!$A$3:$H$102,7,FALSE)=main!$G$104,VLOOKUP(AA$1,main!$A$3:$H$102,5,FALSE)-VLOOKUP($A183,main!$A$3:$H$102,6,FALSE)&gt;=main!$D$103+VLOOKUP(VLOOKUP(AA$1,main!$A$3:$I$102,7,FALSE),main!$K$26:$Q$29,4,FALSE)),1,0)</f>
        <v>1</v>
      </c>
      <c r="AB183">
        <f>IF(AND(VLOOKUP(AB$1,main!$A$3:$H$102,7,FALSE)=main!$G$104,VLOOKUP(AB$1,main!$A$3:$H$102,5,FALSE)-VLOOKUP($A183,main!$A$3:$H$102,6,FALSE)&gt;=main!$D$103+VLOOKUP(VLOOKUP(AB$1,main!$A$3:$I$102,7,FALSE),main!$K$26:$Q$29,4,FALSE)),1,0)</f>
        <v>0</v>
      </c>
      <c r="AC183">
        <f>IF(AND(VLOOKUP(AC$1,main!$A$3:$H$102,7,FALSE)=main!$G$104,VLOOKUP(AC$1,main!$A$3:$H$102,5,FALSE)-VLOOKUP($A183,main!$A$3:$H$102,6,FALSE)&gt;=main!$D$103+VLOOKUP(VLOOKUP(AC$1,main!$A$3:$I$102,7,FALSE),main!$K$26:$Q$29,4,FALSE)),1,0)</f>
        <v>0</v>
      </c>
      <c r="AD183">
        <f>IF(AND(VLOOKUP(AD$1,main!$A$3:$H$102,7,FALSE)=main!$G$104,VLOOKUP(AD$1,main!$A$3:$H$102,5,FALSE)-VLOOKUP($A183,main!$A$3:$H$102,6,FALSE)&gt;=main!$D$103+VLOOKUP(VLOOKUP(AD$1,main!$A$3:$I$102,7,FALSE),main!$K$26:$Q$29,4,FALSE)),1,0)</f>
        <v>0</v>
      </c>
      <c r="AE183">
        <f>IF(AND(VLOOKUP(AE$1,main!$A$3:$H$102,7,FALSE)=main!$G$104,VLOOKUP(AE$1,main!$A$3:$H$102,5,FALSE)-VLOOKUP($A183,main!$A$3:$H$102,6,FALSE)&gt;=main!$D$103+VLOOKUP(VLOOKUP(AE$1,main!$A$3:$I$102,7,FALSE),main!$K$26:$Q$29,4,FALSE)),1,0)</f>
        <v>0</v>
      </c>
      <c r="AF183">
        <f>IF(AND(VLOOKUP(AF$1,main!$A$3:$H$102,7,FALSE)=main!$G$104,VLOOKUP(AF$1,main!$A$3:$H$102,5,FALSE)-VLOOKUP($A183,main!$A$3:$H$102,6,FALSE)&gt;=main!$D$103+VLOOKUP(VLOOKUP(AF$1,main!$A$3:$I$102,7,FALSE),main!$K$26:$Q$29,4,FALSE)),1,0)</f>
        <v>1</v>
      </c>
      <c r="AG183">
        <f>IF(AND(VLOOKUP(AG$1,main!$A$3:$H$102,7,FALSE)=main!$G$104,VLOOKUP(AG$1,main!$A$3:$H$102,5,FALSE)-VLOOKUP($A183,main!$A$3:$H$102,6,FALSE)&gt;=main!$D$103+VLOOKUP(VLOOKUP(AG$1,main!$A$3:$I$102,7,FALSE),main!$K$26:$Q$29,4,FALSE)),1,0)</f>
        <v>0</v>
      </c>
      <c r="AH183">
        <f>IF(AND(VLOOKUP(AH$1,main!$A$3:$H$102,7,FALSE)=main!$G$104,VLOOKUP(AH$1,main!$A$3:$H$102,5,FALSE)-VLOOKUP($A183,main!$A$3:$H$102,6,FALSE)&gt;=main!$D$103+VLOOKUP(VLOOKUP(AH$1,main!$A$3:$I$102,7,FALSE),main!$K$26:$Q$29,4,FALSE)),1,0)</f>
        <v>0</v>
      </c>
      <c r="AI183">
        <f>IF(AND(VLOOKUP(AI$1,main!$A$3:$H$102,7,FALSE)=main!$G$104,VLOOKUP(AI$1,main!$A$3:$H$102,5,FALSE)-VLOOKUP($A183,main!$A$3:$H$102,6,FALSE)&gt;=main!$D$103+VLOOKUP(VLOOKUP(AI$1,main!$A$3:$I$102,7,FALSE),main!$K$26:$Q$29,4,FALSE)),1,0)</f>
        <v>0</v>
      </c>
      <c r="AJ183">
        <f>IF(AND(VLOOKUP(AJ$1,main!$A$3:$H$102,7,FALSE)=main!$G$104,VLOOKUP(AJ$1,main!$A$3:$H$102,5,FALSE)-VLOOKUP($A183,main!$A$3:$H$102,6,FALSE)&gt;=main!$D$103+VLOOKUP(VLOOKUP(AJ$1,main!$A$3:$I$102,7,FALSE),main!$K$26:$Q$29,4,FALSE)),1,0)</f>
        <v>0</v>
      </c>
      <c r="AK183">
        <f>IF(AND(VLOOKUP(AK$1,main!$A$3:$H$102,7,FALSE)=main!$G$104,VLOOKUP(AK$1,main!$A$3:$H$102,5,FALSE)-VLOOKUP($A183,main!$A$3:$H$102,6,FALSE)&gt;=main!$D$103+VLOOKUP(VLOOKUP(AK$1,main!$A$3:$I$102,7,FALSE),main!$K$26:$Q$29,4,FALSE)),1,0)</f>
        <v>0</v>
      </c>
      <c r="AL183">
        <f>IF(AND(VLOOKUP(AL$1,main!$A$3:$H$102,7,FALSE)=main!$G$104,VLOOKUP(AL$1,main!$A$3:$H$102,5,FALSE)-VLOOKUP($A183,main!$A$3:$H$102,6,FALSE)&gt;=main!$D$103+VLOOKUP(VLOOKUP(AL$1,main!$A$3:$I$102,7,FALSE),main!$K$26:$Q$29,4,FALSE)),1,0)</f>
        <v>0</v>
      </c>
      <c r="AM183">
        <f>IF(AND(VLOOKUP(AM$1,main!$A$3:$H$102,7,FALSE)=main!$G$104,VLOOKUP(AM$1,main!$A$3:$H$102,5,FALSE)-VLOOKUP($A183,main!$A$3:$H$102,6,FALSE)&gt;=main!$D$103+VLOOKUP(VLOOKUP(AM$1,main!$A$3:$I$102,7,FALSE),main!$K$26:$Q$29,4,FALSE)),1,0)</f>
        <v>0</v>
      </c>
      <c r="AN183">
        <f>IF(AND(VLOOKUP(AN$1,main!$A$3:$H$102,7,FALSE)=main!$G$104,VLOOKUP(AN$1,main!$A$3:$H$102,5,FALSE)-VLOOKUP($A183,main!$A$3:$H$102,6,FALSE)&gt;=main!$D$103+VLOOKUP(VLOOKUP(AN$1,main!$A$3:$I$102,7,FALSE),main!$K$26:$Q$29,4,FALSE)),1,0)</f>
        <v>0</v>
      </c>
      <c r="AO183">
        <f>IF(AND(VLOOKUP(AO$1,main!$A$3:$H$102,7,FALSE)=main!$G$104,VLOOKUP(AO$1,main!$A$3:$H$102,5,FALSE)-VLOOKUP($A183,main!$A$3:$H$102,6,FALSE)&gt;=main!$D$103+VLOOKUP(VLOOKUP(AO$1,main!$A$3:$I$102,7,FALSE),main!$K$26:$Q$29,4,FALSE)),1,0)</f>
        <v>0</v>
      </c>
      <c r="AP183">
        <f>IF(AND(VLOOKUP(AP$1,main!$A$3:$H$102,7,FALSE)=main!$G$104,VLOOKUP(AP$1,main!$A$3:$H$102,5,FALSE)-VLOOKUP($A183,main!$A$3:$H$102,6,FALSE)&gt;=main!$D$103+VLOOKUP(VLOOKUP(AP$1,main!$A$3:$I$102,7,FALSE),main!$K$26:$Q$29,4,FALSE)),1,0)</f>
        <v>0</v>
      </c>
      <c r="AQ183">
        <f>IF(AND(VLOOKUP(AQ$1,main!$A$3:$H$102,7,FALSE)=main!$G$104,VLOOKUP(AQ$1,main!$A$3:$H$102,5,FALSE)-VLOOKUP($A183,main!$A$3:$H$102,6,FALSE)&gt;=main!$D$103+VLOOKUP(VLOOKUP(AQ$1,main!$A$3:$I$102,7,FALSE),main!$K$26:$Q$29,4,FALSE)),1,0)</f>
        <v>0</v>
      </c>
      <c r="AR183">
        <f>IF(AND(VLOOKUP(AR$1,main!$A$3:$H$102,7,FALSE)=main!$G$104,VLOOKUP(AR$1,main!$A$3:$H$102,5,FALSE)-VLOOKUP($A183,main!$A$3:$H$102,6,FALSE)&gt;=main!$D$103+VLOOKUP(VLOOKUP(AR$1,main!$A$3:$I$102,7,FALSE),main!$K$26:$Q$29,4,FALSE)),1,0)</f>
        <v>0</v>
      </c>
      <c r="AS183">
        <f>IF(AND(VLOOKUP(AS$1,main!$A$3:$H$102,7,FALSE)=main!$G$104,VLOOKUP(AS$1,main!$A$3:$H$102,5,FALSE)-VLOOKUP($A183,main!$A$3:$H$102,6,FALSE)&gt;=main!$D$103+VLOOKUP(VLOOKUP(AS$1,main!$A$3:$I$102,7,FALSE),main!$K$26:$Q$29,4,FALSE)),1,0)</f>
        <v>0</v>
      </c>
      <c r="AT183">
        <f>IF(AND(VLOOKUP(AT$1,main!$A$3:$H$102,7,FALSE)=main!$G$104,VLOOKUP(AT$1,main!$A$3:$H$102,5,FALSE)-VLOOKUP($A183,main!$A$3:$H$102,6,FALSE)&gt;=main!$D$103+VLOOKUP(VLOOKUP(AT$1,main!$A$3:$I$102,7,FALSE),main!$K$26:$Q$29,4,FALSE)),1,0)</f>
        <v>0</v>
      </c>
      <c r="AU183">
        <f>IF(AND(VLOOKUP(AU$1,main!$A$3:$H$102,7,FALSE)=main!$G$104,VLOOKUP(AU$1,main!$A$3:$H$102,5,FALSE)-VLOOKUP($A183,main!$A$3:$H$102,6,FALSE)&gt;=main!$D$103+VLOOKUP(VLOOKUP(AU$1,main!$A$3:$I$102,7,FALSE),main!$K$26:$Q$29,4,FALSE)),1,0)</f>
        <v>0</v>
      </c>
      <c r="AV183">
        <f>IF(AND(VLOOKUP(AV$1,main!$A$3:$H$102,7,FALSE)=main!$G$104,VLOOKUP(AV$1,main!$A$3:$H$102,5,FALSE)-VLOOKUP($A183,main!$A$3:$H$102,6,FALSE)&gt;=main!$D$103+VLOOKUP(VLOOKUP(AV$1,main!$A$3:$I$102,7,FALSE),main!$K$26:$Q$29,4,FALSE)),1,0)</f>
        <v>0</v>
      </c>
      <c r="AW183">
        <f>IF(AND(VLOOKUP(AW$1,main!$A$3:$H$102,7,FALSE)=main!$G$104,VLOOKUP(AW$1,main!$A$3:$H$102,5,FALSE)-VLOOKUP($A183,main!$A$3:$H$102,6,FALSE)&gt;=main!$D$103+VLOOKUP(VLOOKUP(AW$1,main!$A$3:$I$102,7,FALSE),main!$K$26:$Q$29,4,FALSE)),1,0)</f>
        <v>0</v>
      </c>
      <c r="AX183">
        <f>IF(AND(VLOOKUP(AX$1,main!$A$3:$H$102,7,FALSE)=main!$G$104,VLOOKUP(AX$1,main!$A$3:$H$102,5,FALSE)-VLOOKUP($A183,main!$A$3:$H$102,6,FALSE)&gt;=main!$D$103+VLOOKUP(VLOOKUP(AX$1,main!$A$3:$I$102,7,FALSE),main!$K$26:$Q$29,4,FALSE)),1,0)</f>
        <v>0</v>
      </c>
      <c r="AY183">
        <f>IF(AND(VLOOKUP(AY$1,main!$A$3:$H$102,7,FALSE)=main!$G$104,VLOOKUP(AY$1,main!$A$3:$H$102,5,FALSE)-VLOOKUP($A183,main!$A$3:$H$102,6,FALSE)&gt;=main!$D$103+VLOOKUP(VLOOKUP(AY$1,main!$A$3:$I$102,7,FALSE),main!$K$26:$Q$29,4,FALSE)),1,0)</f>
        <v>0</v>
      </c>
      <c r="AZ183">
        <f>IF(AND(VLOOKUP(AZ$1,main!$A$3:$H$102,7,FALSE)=main!$G$104,VLOOKUP(AZ$1,main!$A$3:$H$102,5,FALSE)-VLOOKUP($A183,main!$A$3:$H$102,6,FALSE)&gt;=main!$D$103+VLOOKUP(VLOOKUP(AZ$1,main!$A$3:$I$102,7,FALSE),main!$K$26:$Q$29,4,FALSE)),1,0)</f>
        <v>0</v>
      </c>
      <c r="BA183">
        <f>IF(AND(VLOOKUP(BA$1,main!$A$3:$H$102,7,FALSE)=main!$G$104,VLOOKUP(BA$1,main!$A$3:$H$102,5,FALSE)-VLOOKUP($A183,main!$A$3:$H$102,6,FALSE)&gt;=main!$D$103+VLOOKUP(VLOOKUP(BA$1,main!$A$3:$I$102,7,FALSE),main!$K$26:$Q$29,4,FALSE)),1,0)</f>
        <v>0</v>
      </c>
      <c r="BB183">
        <f>IF(AND(VLOOKUP(BB$1,main!$A$3:$H$102,7,FALSE)=main!$G$104,VLOOKUP(BB$1,main!$A$3:$H$102,5,FALSE)-VLOOKUP($A183,main!$A$3:$H$102,6,FALSE)&gt;=main!$D$103+VLOOKUP(VLOOKUP(BB$1,main!$A$3:$I$102,7,FALSE),main!$K$26:$Q$29,4,FALSE)),1,0)</f>
        <v>0</v>
      </c>
      <c r="BC183">
        <f>IF(AND(VLOOKUP(BC$1,main!$A$3:$H$102,7,FALSE)=main!$G$104,VLOOKUP(BC$1,main!$A$3:$H$102,5,FALSE)-VLOOKUP($A183,main!$A$3:$H$102,6,FALSE)&gt;=main!$D$103+VLOOKUP(VLOOKUP(BC$1,main!$A$3:$I$102,7,FALSE),main!$K$26:$Q$29,4,FALSE)),1,0)</f>
        <v>0</v>
      </c>
      <c r="BD183">
        <f>IF(AND(VLOOKUP(BD$1,main!$A$3:$H$102,7,FALSE)=main!$G$104,VLOOKUP(BD$1,main!$A$3:$H$102,5,FALSE)-VLOOKUP($A183,main!$A$3:$H$102,6,FALSE)&gt;=main!$D$103+VLOOKUP(VLOOKUP(BD$1,main!$A$3:$I$102,7,FALSE),main!$K$26:$Q$29,4,FALSE)),1,0)</f>
        <v>0</v>
      </c>
      <c r="BE183">
        <f>IF(AND(VLOOKUP(BE$1,main!$A$3:$H$102,7,FALSE)=main!$G$104,VLOOKUP(BE$1,main!$A$3:$H$102,5,FALSE)-VLOOKUP($A183,main!$A$3:$H$102,6,FALSE)&gt;=main!$D$103+VLOOKUP(VLOOKUP(BE$1,main!$A$3:$I$102,7,FALSE),main!$K$26:$Q$29,4,FALSE)),1,0)</f>
        <v>0</v>
      </c>
      <c r="BF183">
        <f>IF(AND(VLOOKUP(BF$1,main!$A$3:$H$102,7,FALSE)=main!$G$104,VLOOKUP(BF$1,main!$A$3:$H$102,5,FALSE)-VLOOKUP($A183,main!$A$3:$H$102,6,FALSE)&gt;=main!$D$103+VLOOKUP(VLOOKUP(BF$1,main!$A$3:$I$102,7,FALSE),main!$K$26:$Q$29,4,FALSE)),1,0)</f>
        <v>0</v>
      </c>
      <c r="BG183">
        <f>IF(AND(VLOOKUP(BG$1,main!$A$3:$H$102,7,FALSE)=main!$G$104,VLOOKUP(BG$1,main!$A$3:$H$102,5,FALSE)-VLOOKUP($A183,main!$A$3:$H$102,6,FALSE)&gt;=main!$D$103+VLOOKUP(VLOOKUP(BG$1,main!$A$3:$I$102,7,FALSE),main!$K$26:$Q$29,4,FALSE)),1,0)</f>
        <v>0</v>
      </c>
      <c r="BH183">
        <f>IF(AND(VLOOKUP(BH$1,main!$A$3:$H$102,7,FALSE)=main!$G$104,VLOOKUP(BH$1,main!$A$3:$H$102,5,FALSE)-VLOOKUP($A183,main!$A$3:$H$102,6,FALSE)&gt;=main!$D$103+VLOOKUP(VLOOKUP(BH$1,main!$A$3:$I$102,7,FALSE),main!$K$26:$Q$29,4,FALSE)),1,0)</f>
        <v>0</v>
      </c>
      <c r="BI183">
        <f>IF(AND(VLOOKUP(BI$1,main!$A$3:$H$102,7,FALSE)=main!$G$104,VLOOKUP(BI$1,main!$A$3:$H$102,5,FALSE)-VLOOKUP($A183,main!$A$3:$H$102,6,FALSE)&gt;=main!$D$103+VLOOKUP(VLOOKUP(BI$1,main!$A$3:$I$102,7,FALSE),main!$K$26:$Q$29,4,FALSE)),1,0)</f>
        <v>0</v>
      </c>
      <c r="BJ183">
        <f>IF(AND(VLOOKUP(BJ$1,main!$A$3:$H$102,7,FALSE)=main!$G$104,VLOOKUP(BJ$1,main!$A$3:$H$102,5,FALSE)-VLOOKUP($A183,main!$A$3:$H$102,6,FALSE)&gt;=main!$D$103+VLOOKUP(VLOOKUP(BJ$1,main!$A$3:$I$102,7,FALSE),main!$K$26:$Q$29,4,FALSE)),1,0)</f>
        <v>0</v>
      </c>
      <c r="BK183">
        <f>IF(AND(VLOOKUP(BK$1,main!$A$3:$H$102,7,FALSE)=main!$G$104,VLOOKUP(BK$1,main!$A$3:$H$102,5,FALSE)-VLOOKUP($A183,main!$A$3:$H$102,6,FALSE)&gt;=main!$D$103+VLOOKUP(VLOOKUP(BK$1,main!$A$3:$I$102,7,FALSE),main!$K$26:$Q$29,4,FALSE)),1,0)</f>
        <v>0</v>
      </c>
      <c r="BL183">
        <f>IF(AND(VLOOKUP(BL$1,main!$A$3:$H$102,7,FALSE)=main!$G$104,VLOOKUP(BL$1,main!$A$3:$H$102,5,FALSE)-VLOOKUP($A183,main!$A$3:$H$102,6,FALSE)&gt;=main!$D$103+VLOOKUP(VLOOKUP(BL$1,main!$A$3:$I$102,7,FALSE),main!$K$26:$Q$29,4,FALSE)),1,0)</f>
        <v>0</v>
      </c>
      <c r="BM183">
        <f>IF(AND(VLOOKUP(BM$1,main!$A$3:$H$102,7,FALSE)=main!$G$104,VLOOKUP(BM$1,main!$A$3:$H$102,5,FALSE)-VLOOKUP($A183,main!$A$3:$H$102,6,FALSE)&gt;=main!$D$103+VLOOKUP(VLOOKUP(BM$1,main!$A$3:$I$102,7,FALSE),main!$K$26:$Q$29,4,FALSE)),1,0)</f>
        <v>0</v>
      </c>
      <c r="BN183">
        <f>IF(AND(VLOOKUP(BN$1,main!$A$3:$H$102,7,FALSE)=main!$G$104,VLOOKUP(BN$1,main!$A$3:$H$102,5,FALSE)-VLOOKUP($A183,main!$A$3:$H$102,6,FALSE)&gt;=main!$D$103+VLOOKUP(VLOOKUP(BN$1,main!$A$3:$I$102,7,FALSE),main!$K$26:$Q$29,4,FALSE)),1,0)</f>
        <v>0</v>
      </c>
      <c r="BO183">
        <f>IF(AND(VLOOKUP(BO$1,main!$A$3:$H$102,7,FALSE)=main!$G$104,VLOOKUP(BO$1,main!$A$3:$H$102,5,FALSE)-VLOOKUP($A183,main!$A$3:$H$102,6,FALSE)&gt;=main!$D$103+VLOOKUP(VLOOKUP(BO$1,main!$A$3:$I$102,7,FALSE),main!$K$26:$Q$29,4,FALSE)),1,0)</f>
        <v>0</v>
      </c>
      <c r="BP183">
        <f>IF(AND(VLOOKUP(BP$1,main!$A$3:$H$102,7,FALSE)=main!$G$104,VLOOKUP(BP$1,main!$A$3:$H$102,5,FALSE)-VLOOKUP($A183,main!$A$3:$H$102,6,FALSE)&gt;=main!$D$103+VLOOKUP(VLOOKUP(BP$1,main!$A$3:$I$102,7,FALSE),main!$K$26:$Q$29,4,FALSE)),1,0)</f>
        <v>0</v>
      </c>
      <c r="BQ183">
        <f>IF(AND(VLOOKUP(BQ$1,main!$A$3:$H$102,7,FALSE)=main!$G$104,VLOOKUP(BQ$1,main!$A$3:$H$102,5,FALSE)-VLOOKUP($A183,main!$A$3:$H$102,6,FALSE)&gt;=main!$D$103+VLOOKUP(VLOOKUP(BQ$1,main!$A$3:$I$102,7,FALSE),main!$K$26:$Q$29,4,FALSE)),1,0)</f>
        <v>0</v>
      </c>
      <c r="BR183">
        <f>IF(AND(VLOOKUP(BR$1,main!$A$3:$H$102,7,FALSE)=main!$G$104,VLOOKUP(BR$1,main!$A$3:$H$102,5,FALSE)-VLOOKUP($A183,main!$A$3:$H$102,6,FALSE)&gt;=main!$D$103+VLOOKUP(VLOOKUP(BR$1,main!$A$3:$I$102,7,FALSE),main!$K$26:$Q$29,4,FALSE)),1,0)</f>
        <v>0</v>
      </c>
      <c r="BS183">
        <f>IF(AND(VLOOKUP(BS$1,main!$A$3:$H$102,7,FALSE)=main!$G$104,VLOOKUP(BS$1,main!$A$3:$H$102,5,FALSE)-VLOOKUP($A183,main!$A$3:$H$102,6,FALSE)&gt;=main!$D$103+VLOOKUP(VLOOKUP(BS$1,main!$A$3:$I$102,7,FALSE),main!$K$26:$Q$29,4,FALSE)),1,0)</f>
        <v>0</v>
      </c>
      <c r="BT183">
        <f>IF(AND(VLOOKUP(BT$1,main!$A$3:$H$102,7,FALSE)=main!$G$104,VLOOKUP(BT$1,main!$A$3:$H$102,5,FALSE)-VLOOKUP($A183,main!$A$3:$H$102,6,FALSE)&gt;=main!$D$103+VLOOKUP(VLOOKUP(BT$1,main!$A$3:$I$102,7,FALSE),main!$K$26:$Q$29,4,FALSE)),1,0)</f>
        <v>0</v>
      </c>
      <c r="BU183">
        <f>IF(AND(VLOOKUP(BU$1,main!$A$3:$H$102,7,FALSE)=main!$G$104,VLOOKUP(BU$1,main!$A$3:$H$102,5,FALSE)-VLOOKUP($A183,main!$A$3:$H$102,6,FALSE)&gt;=main!$D$103+VLOOKUP(VLOOKUP(BU$1,main!$A$3:$I$102,7,FALSE),main!$K$26:$Q$29,4,FALSE)),1,0)</f>
        <v>0</v>
      </c>
      <c r="BV183">
        <f>IF(AND(VLOOKUP(BV$1,main!$A$3:$H$102,7,FALSE)=main!$G$104,VLOOKUP(BV$1,main!$A$3:$H$102,5,FALSE)-VLOOKUP($A183,main!$A$3:$H$102,6,FALSE)&gt;=main!$D$103+VLOOKUP(VLOOKUP(BV$1,main!$A$3:$I$102,7,FALSE),main!$K$26:$Q$29,4,FALSE)),1,0)</f>
        <v>0</v>
      </c>
      <c r="BW183">
        <f>IF(AND(VLOOKUP(BW$1,main!$A$3:$H$102,7,FALSE)=main!$G$104,VLOOKUP(BW$1,main!$A$3:$H$102,5,FALSE)-VLOOKUP($A183,main!$A$3:$H$102,6,FALSE)&gt;=main!$D$103+VLOOKUP(VLOOKUP(BW$1,main!$A$3:$I$102,7,FALSE),main!$K$26:$Q$29,4,FALSE)),1,0)</f>
        <v>0</v>
      </c>
      <c r="BX183">
        <f>IF(AND(VLOOKUP(BX$1,main!$A$3:$H$102,7,FALSE)=main!$G$104,VLOOKUP(BX$1,main!$A$3:$H$102,5,FALSE)-VLOOKUP($A183,main!$A$3:$H$102,6,FALSE)&gt;=main!$D$103+VLOOKUP(VLOOKUP(BX$1,main!$A$3:$I$102,7,FALSE),main!$K$26:$Q$29,4,FALSE)),1,0)</f>
        <v>0</v>
      </c>
      <c r="BY183">
        <f>IF(AND(VLOOKUP(BY$1,main!$A$3:$H$102,7,FALSE)=main!$G$104,VLOOKUP(BY$1,main!$A$3:$H$102,5,FALSE)-VLOOKUP($A183,main!$A$3:$H$102,6,FALSE)&gt;=main!$D$103+VLOOKUP(VLOOKUP(BY$1,main!$A$3:$I$102,7,FALSE),main!$K$26:$Q$29,4,FALSE)),1,0)</f>
        <v>0</v>
      </c>
      <c r="BZ183">
        <f>IF(AND(VLOOKUP(BZ$1,main!$A$3:$H$102,7,FALSE)=main!$G$104,VLOOKUP(BZ$1,main!$A$3:$H$102,5,FALSE)-VLOOKUP($A183,main!$A$3:$H$102,6,FALSE)&gt;=main!$D$103+VLOOKUP(VLOOKUP(BZ$1,main!$A$3:$I$102,7,FALSE),main!$K$26:$Q$29,4,FALSE)),1,0)</f>
        <v>0</v>
      </c>
      <c r="CA183">
        <f>IF(AND(VLOOKUP(CA$1,main!$A$3:$H$102,7,FALSE)=main!$G$104,VLOOKUP(CA$1,main!$A$3:$H$102,5,FALSE)-VLOOKUP($A183,main!$A$3:$H$102,6,FALSE)&gt;=main!$D$103+VLOOKUP(VLOOKUP(CA$1,main!$A$3:$I$102,7,FALSE),main!$K$26:$Q$29,4,FALSE)),1,0)</f>
        <v>0</v>
      </c>
      <c r="CB183">
        <f>IF(AND(VLOOKUP(CB$1,main!$A$3:$H$102,7,FALSE)=main!$G$104,VLOOKUP(CB$1,main!$A$3:$H$102,5,FALSE)-VLOOKUP($A183,main!$A$3:$H$102,6,FALSE)&gt;=main!$D$103+VLOOKUP(VLOOKUP(CB$1,main!$A$3:$I$102,7,FALSE),main!$K$26:$Q$29,4,FALSE)),1,0)</f>
        <v>0</v>
      </c>
      <c r="CC183">
        <f>IF(AND(VLOOKUP(CC$1,main!$A$3:$H$102,7,FALSE)=main!$G$104,VLOOKUP(CC$1,main!$A$3:$H$102,5,FALSE)-VLOOKUP($A183,main!$A$3:$H$102,6,FALSE)&gt;=main!$D$103+VLOOKUP(VLOOKUP(CC$1,main!$A$3:$I$102,7,FALSE),main!$K$26:$Q$29,4,FALSE)),1,0)</f>
        <v>0</v>
      </c>
      <c r="CD183">
        <f>IF(AND(VLOOKUP(CD$1,main!$A$3:$H$102,7,FALSE)=main!$G$104,VLOOKUP(CD$1,main!$A$3:$H$102,5,FALSE)-VLOOKUP($A183,main!$A$3:$H$102,6,FALSE)&gt;=main!$D$103+VLOOKUP(VLOOKUP(CD$1,main!$A$3:$I$102,7,FALSE),main!$K$26:$Q$29,4,FALSE)),1,0)</f>
        <v>0</v>
      </c>
      <c r="CE183">
        <f>IF(AND(VLOOKUP(CE$1,main!$A$3:$H$102,7,FALSE)=main!$G$104,VLOOKUP(CE$1,main!$A$3:$H$102,5,FALSE)-VLOOKUP($A183,main!$A$3:$H$102,6,FALSE)&gt;=main!$D$103+VLOOKUP(VLOOKUP(CE$1,main!$A$3:$I$102,7,FALSE),main!$K$26:$Q$29,4,FALSE)),1,0)</f>
        <v>0</v>
      </c>
      <c r="CF183">
        <f>IF(AND(VLOOKUP(CF$1,main!$A$3:$H$102,7,FALSE)=main!$G$104,VLOOKUP(CF$1,main!$A$3:$H$102,5,FALSE)-VLOOKUP($A183,main!$A$3:$H$102,6,FALSE)&gt;=main!$D$103+VLOOKUP(VLOOKUP(CF$1,main!$A$3:$I$102,7,FALSE),main!$K$26:$Q$29,4,FALSE)),1,0)</f>
        <v>0</v>
      </c>
      <c r="CG183">
        <f>IF(AND(VLOOKUP(CG$1,main!$A$3:$H$102,7,FALSE)=main!$G$104,VLOOKUP(CG$1,main!$A$3:$H$102,5,FALSE)-VLOOKUP($A183,main!$A$3:$H$102,6,FALSE)&gt;=main!$D$103+VLOOKUP(VLOOKUP(CG$1,main!$A$3:$I$102,7,FALSE),main!$K$26:$Q$29,4,FALSE)),1,0)</f>
        <v>0</v>
      </c>
      <c r="CH183">
        <f>IF(AND(VLOOKUP(CH$1,main!$A$3:$H$102,7,FALSE)=main!$G$104,VLOOKUP(CH$1,main!$A$3:$H$102,5,FALSE)-VLOOKUP($A183,main!$A$3:$H$102,6,FALSE)&gt;=main!$D$103+VLOOKUP(VLOOKUP(CH$1,main!$A$3:$I$102,7,FALSE),main!$K$26:$Q$29,4,FALSE)),1,0)</f>
        <v>0</v>
      </c>
      <c r="CI183">
        <f>IF(AND(VLOOKUP(CI$1,main!$A$3:$H$102,7,FALSE)=main!$G$104,VLOOKUP(CI$1,main!$A$3:$H$102,5,FALSE)-VLOOKUP($A183,main!$A$3:$H$102,6,FALSE)&gt;=main!$D$103+VLOOKUP(VLOOKUP(CI$1,main!$A$3:$I$102,7,FALSE),main!$K$26:$Q$29,4,FALSE)),1,0)</f>
        <v>0</v>
      </c>
      <c r="CJ183">
        <f>IF(AND(VLOOKUP(CJ$1,main!$A$3:$H$102,7,FALSE)=main!$G$104,VLOOKUP(CJ$1,main!$A$3:$H$102,5,FALSE)-VLOOKUP($A183,main!$A$3:$H$102,6,FALSE)&gt;=main!$D$103+VLOOKUP(VLOOKUP(CJ$1,main!$A$3:$I$102,7,FALSE),main!$K$26:$Q$29,4,FALSE)),1,0)</f>
        <v>0</v>
      </c>
      <c r="CK183">
        <f>IF(AND(VLOOKUP(CK$1,main!$A$3:$H$102,7,FALSE)=main!$G$104,VLOOKUP(CK$1,main!$A$3:$H$102,5,FALSE)-VLOOKUP($A183,main!$A$3:$H$102,6,FALSE)&gt;=main!$D$103+VLOOKUP(VLOOKUP(CK$1,main!$A$3:$I$102,7,FALSE),main!$K$26:$Q$29,4,FALSE)),1,0)</f>
        <v>0</v>
      </c>
      <c r="CL183">
        <f>IF(AND(VLOOKUP(CL$1,main!$A$3:$H$102,7,FALSE)=main!$G$104,VLOOKUP(CL$1,main!$A$3:$H$102,5,FALSE)-VLOOKUP($A183,main!$A$3:$H$102,6,FALSE)&gt;=main!$D$103+VLOOKUP(VLOOKUP(CL$1,main!$A$3:$I$102,7,FALSE),main!$K$26:$Q$29,4,FALSE)),1,0)</f>
        <v>0</v>
      </c>
      <c r="CM183">
        <f>IF(AND(VLOOKUP(CM$1,main!$A$3:$H$102,7,FALSE)=main!$G$104,VLOOKUP(CM$1,main!$A$3:$H$102,5,FALSE)-VLOOKUP($A183,main!$A$3:$H$102,6,FALSE)&gt;=main!$D$103+VLOOKUP(VLOOKUP(CM$1,main!$A$3:$I$102,7,FALSE),main!$K$26:$Q$29,4,FALSE)),1,0)</f>
        <v>0</v>
      </c>
      <c r="CN183">
        <f>IF(AND(VLOOKUP(CN$1,main!$A$3:$H$102,7,FALSE)=main!$G$104,VLOOKUP(CN$1,main!$A$3:$H$102,5,FALSE)-VLOOKUP($A183,main!$A$3:$H$102,6,FALSE)&gt;=main!$D$103+VLOOKUP(VLOOKUP(CN$1,main!$A$3:$I$102,7,FALSE),main!$K$26:$Q$29,4,FALSE)),1,0)</f>
        <v>0</v>
      </c>
      <c r="CO183">
        <f>IF(AND(VLOOKUP(CO$1,main!$A$3:$H$102,7,FALSE)=main!$G$104,VLOOKUP(CO$1,main!$A$3:$H$102,5,FALSE)-VLOOKUP($A183,main!$A$3:$H$102,6,FALSE)&gt;=main!$D$103+VLOOKUP(VLOOKUP(CO$1,main!$A$3:$I$102,7,FALSE),main!$K$26:$Q$29,4,FALSE)),1,0)</f>
        <v>0</v>
      </c>
      <c r="CP183">
        <f>IF(AND(VLOOKUP(CP$1,main!$A$3:$H$102,7,FALSE)=main!$G$104,VLOOKUP(CP$1,main!$A$3:$H$102,5,FALSE)-VLOOKUP($A183,main!$A$3:$H$102,6,FALSE)&gt;=main!$D$103+VLOOKUP(VLOOKUP(CP$1,main!$A$3:$I$102,7,FALSE),main!$K$26:$Q$29,4,FALSE)),1,0)</f>
        <v>0</v>
      </c>
      <c r="CQ183">
        <f>IF(AND(VLOOKUP(CQ$1,main!$A$3:$H$102,7,FALSE)=main!$G$104,VLOOKUP(CQ$1,main!$A$3:$H$102,5,FALSE)-VLOOKUP($A183,main!$A$3:$H$102,6,FALSE)&gt;=main!$D$103+VLOOKUP(VLOOKUP(CQ$1,main!$A$3:$I$102,7,FALSE),main!$K$26:$Q$29,4,FALSE)),1,0)</f>
        <v>0</v>
      </c>
      <c r="CR183">
        <f>IF(AND(VLOOKUP(CR$1,main!$A$3:$H$102,7,FALSE)=main!$G$104,VLOOKUP(CR$1,main!$A$3:$H$102,5,FALSE)-VLOOKUP($A183,main!$A$3:$H$102,6,FALSE)&gt;=main!$D$103+VLOOKUP(VLOOKUP(CR$1,main!$A$3:$I$102,7,FALSE),main!$K$26:$Q$29,4,FALSE)),1,0)</f>
        <v>0</v>
      </c>
      <c r="CS183">
        <f>IF(AND(VLOOKUP(CS$1,main!$A$3:$H$102,7,FALSE)=main!$G$104,VLOOKUP(CS$1,main!$A$3:$H$102,5,FALSE)-VLOOKUP($A183,main!$A$3:$H$102,6,FALSE)&gt;=main!$D$103+VLOOKUP(VLOOKUP(CS$1,main!$A$3:$I$102,7,FALSE),main!$K$26:$Q$29,4,FALSE)),1,0)</f>
        <v>0</v>
      </c>
      <c r="CT183">
        <f>IF(AND(VLOOKUP(CT$1,main!$A$3:$H$102,7,FALSE)=main!$G$104,VLOOKUP(CT$1,main!$A$3:$H$102,5,FALSE)-VLOOKUP($A183,main!$A$3:$H$102,6,FALSE)&gt;=main!$D$103+VLOOKUP(VLOOKUP(CT$1,main!$A$3:$I$102,7,FALSE),main!$K$26:$Q$29,4,FALSE)),1,0)</f>
        <v>0</v>
      </c>
      <c r="CU183">
        <f>IF(AND(VLOOKUP(CU$1,main!$A$3:$H$102,7,FALSE)=main!$G$104,VLOOKUP(CU$1,main!$A$3:$H$102,5,FALSE)-VLOOKUP($A183,main!$A$3:$H$102,6,FALSE)&gt;=main!$D$103+VLOOKUP(VLOOKUP(CU$1,main!$A$3:$I$102,7,FALSE),main!$K$26:$Q$29,4,FALSE)),1,0)</f>
        <v>0</v>
      </c>
      <c r="CV183">
        <f>IF(AND(VLOOKUP(CV$1,main!$A$3:$H$102,7,FALSE)=main!$G$104,VLOOKUP(CV$1,main!$A$3:$H$102,5,FALSE)-VLOOKUP($A183,main!$A$3:$H$102,6,FALSE)&gt;=main!$D$103+VLOOKUP(VLOOKUP(CV$1,main!$A$3:$I$102,7,FALSE),main!$K$26:$Q$29,4,FALSE)),1,0)</f>
        <v>0</v>
      </c>
      <c r="CW183">
        <f>IF(AND(VLOOKUP(CW$1,main!$A$3:$H$102,7,FALSE)=main!$G$104,VLOOKUP(CW$1,main!$A$3:$H$102,5,FALSE)-VLOOKUP($A183,main!$A$3:$H$102,6,FALSE)&gt;=main!$D$103+VLOOKUP(VLOOKUP(CW$1,main!$A$3:$I$102,7,FALSE),main!$K$26:$Q$29,4,FALSE)),1,0)</f>
        <v>0</v>
      </c>
      <c r="CX183">
        <f>IF(AND(VLOOKUP(CX$1,main!$A$3:$H$102,7,FALSE)=main!$G$104,VLOOKUP(CX$1,main!$A$3:$H$102,5,FALSE)-VLOOKUP($A183,main!$A$3:$H$102,6,FALSE)&gt;=main!$D$103+VLOOKUP(VLOOKUP(CX$1,main!$A$3:$I$102,7,FALSE),main!$K$26:$Q$29,4,FALSE)),1,0)</f>
        <v>0</v>
      </c>
    </row>
    <row r="184" spans="1:102" x14ac:dyDescent="0.25">
      <c r="A184" s="1">
        <v>81</v>
      </c>
      <c r="B184">
        <v>0</v>
      </c>
      <c r="C184">
        <f>IF(AND(VLOOKUP(C$1,main!$A$3:$H$102,7,FALSE)=main!$G$104,VLOOKUP(C$1,main!$A$3:$H$102,5,FALSE)-VLOOKUP($A184,main!$A$3:$H$102,6,FALSE)&gt;=main!$D$103+VLOOKUP(VLOOKUP(C$1,main!$A$3:$I$102,7,FALSE),main!$K$26:$Q$29,4,FALSE)),1,0)</f>
        <v>0</v>
      </c>
      <c r="D184">
        <f>IF(AND(VLOOKUP(D$1,main!$A$3:$H$102,7,FALSE)=main!$G$104,VLOOKUP(D$1,main!$A$3:$H$102,5,FALSE)-VLOOKUP($A184,main!$A$3:$H$102,6,FALSE)&gt;=main!$D$103+VLOOKUP(VLOOKUP(D$1,main!$A$3:$I$102,7,FALSE),main!$K$26:$Q$29,4,FALSE)),1,0)</f>
        <v>0</v>
      </c>
      <c r="E184">
        <f>IF(AND(VLOOKUP(E$1,main!$A$3:$H$102,7,FALSE)=main!$G$104,VLOOKUP(E$1,main!$A$3:$H$102,5,FALSE)-VLOOKUP($A184,main!$A$3:$H$102,6,FALSE)&gt;=main!$D$103+VLOOKUP(VLOOKUP(E$1,main!$A$3:$I$102,7,FALSE),main!$K$26:$Q$29,4,FALSE)),1,0)</f>
        <v>0</v>
      </c>
      <c r="F184">
        <f>IF(AND(VLOOKUP(F$1,main!$A$3:$H$102,7,FALSE)=main!$G$104,VLOOKUP(F$1,main!$A$3:$H$102,5,FALSE)-VLOOKUP($A184,main!$A$3:$H$102,6,FALSE)&gt;=main!$D$103+VLOOKUP(VLOOKUP(F$1,main!$A$3:$I$102,7,FALSE),main!$K$26:$Q$29,4,FALSE)),1,0)</f>
        <v>0</v>
      </c>
      <c r="G184">
        <f>IF(AND(VLOOKUP(G$1,main!$A$3:$H$102,7,FALSE)=main!$G$104,VLOOKUP(G$1,main!$A$3:$H$102,5,FALSE)-VLOOKUP($A184,main!$A$3:$H$102,6,FALSE)&gt;=main!$D$103+VLOOKUP(VLOOKUP(G$1,main!$A$3:$I$102,7,FALSE),main!$K$26:$Q$29,4,FALSE)),1,0)</f>
        <v>0</v>
      </c>
      <c r="H184">
        <f>IF(AND(VLOOKUP(H$1,main!$A$3:$H$102,7,FALSE)=main!$G$104,VLOOKUP(H$1,main!$A$3:$H$102,5,FALSE)-VLOOKUP($A184,main!$A$3:$H$102,6,FALSE)&gt;=main!$D$103+VLOOKUP(VLOOKUP(H$1,main!$A$3:$I$102,7,FALSE),main!$K$26:$Q$29,4,FALSE)),1,0)</f>
        <v>1</v>
      </c>
      <c r="I184">
        <f>IF(AND(VLOOKUP(I$1,main!$A$3:$H$102,7,FALSE)=main!$G$104,VLOOKUP(I$1,main!$A$3:$H$102,5,FALSE)-VLOOKUP($A184,main!$A$3:$H$102,6,FALSE)&gt;=main!$D$103+VLOOKUP(VLOOKUP(I$1,main!$A$3:$I$102,7,FALSE),main!$K$26:$Q$29,4,FALSE)),1,0)</f>
        <v>1</v>
      </c>
      <c r="J184">
        <f>IF(AND(VLOOKUP(J$1,main!$A$3:$H$102,7,FALSE)=main!$G$104,VLOOKUP(J$1,main!$A$3:$H$102,5,FALSE)-VLOOKUP($A184,main!$A$3:$H$102,6,FALSE)&gt;=main!$D$103+VLOOKUP(VLOOKUP(J$1,main!$A$3:$I$102,7,FALSE),main!$K$26:$Q$29,4,FALSE)),1,0)</f>
        <v>1</v>
      </c>
      <c r="K184">
        <f>IF(AND(VLOOKUP(K$1,main!$A$3:$H$102,7,FALSE)=main!$G$104,VLOOKUP(K$1,main!$A$3:$H$102,5,FALSE)-VLOOKUP($A184,main!$A$3:$H$102,6,FALSE)&gt;=main!$D$103+VLOOKUP(VLOOKUP(K$1,main!$A$3:$I$102,7,FALSE),main!$K$26:$Q$29,4,FALSE)),1,0)</f>
        <v>1</v>
      </c>
      <c r="L184">
        <f>IF(AND(VLOOKUP(L$1,main!$A$3:$H$102,7,FALSE)=main!$G$104,VLOOKUP(L$1,main!$A$3:$H$102,5,FALSE)-VLOOKUP($A184,main!$A$3:$H$102,6,FALSE)&gt;=main!$D$103+VLOOKUP(VLOOKUP(L$1,main!$A$3:$I$102,7,FALSE),main!$K$26:$Q$29,4,FALSE)),1,0)</f>
        <v>1</v>
      </c>
      <c r="M184">
        <f>IF(AND(VLOOKUP(M$1,main!$A$3:$H$102,7,FALSE)=main!$G$104,VLOOKUP(M$1,main!$A$3:$H$102,5,FALSE)-VLOOKUP($A184,main!$A$3:$H$102,6,FALSE)&gt;=main!$D$103+VLOOKUP(VLOOKUP(M$1,main!$A$3:$I$102,7,FALSE),main!$K$26:$Q$29,4,FALSE)),1,0)</f>
        <v>0</v>
      </c>
      <c r="N184">
        <f>IF(AND(VLOOKUP(N$1,main!$A$3:$H$102,7,FALSE)=main!$G$104,VLOOKUP(N$1,main!$A$3:$H$102,5,FALSE)-VLOOKUP($A184,main!$A$3:$H$102,6,FALSE)&gt;=main!$D$103+VLOOKUP(VLOOKUP(N$1,main!$A$3:$I$102,7,FALSE),main!$K$26:$Q$29,4,FALSE)),1,0)</f>
        <v>0</v>
      </c>
      <c r="O184">
        <f>IF(AND(VLOOKUP(O$1,main!$A$3:$H$102,7,FALSE)=main!$G$104,VLOOKUP(O$1,main!$A$3:$H$102,5,FALSE)-VLOOKUP($A184,main!$A$3:$H$102,6,FALSE)&gt;=main!$D$103+VLOOKUP(VLOOKUP(O$1,main!$A$3:$I$102,7,FALSE),main!$K$26:$Q$29,4,FALSE)),1,0)</f>
        <v>0</v>
      </c>
      <c r="P184">
        <f>IF(AND(VLOOKUP(P$1,main!$A$3:$H$102,7,FALSE)=main!$G$104,VLOOKUP(P$1,main!$A$3:$H$102,5,FALSE)-VLOOKUP($A184,main!$A$3:$H$102,6,FALSE)&gt;=main!$D$103+VLOOKUP(VLOOKUP(P$1,main!$A$3:$I$102,7,FALSE),main!$K$26:$Q$29,4,FALSE)),1,0)</f>
        <v>0</v>
      </c>
      <c r="Q184">
        <f>IF(AND(VLOOKUP(Q$1,main!$A$3:$H$102,7,FALSE)=main!$G$104,VLOOKUP(Q$1,main!$A$3:$H$102,5,FALSE)-VLOOKUP($A184,main!$A$3:$H$102,6,FALSE)&gt;=main!$D$103+VLOOKUP(VLOOKUP(Q$1,main!$A$3:$I$102,7,FALSE),main!$K$26:$Q$29,4,FALSE)),1,0)</f>
        <v>0</v>
      </c>
      <c r="R184">
        <f>IF(AND(VLOOKUP(R$1,main!$A$3:$H$102,7,FALSE)=main!$G$104,VLOOKUP(R$1,main!$A$3:$H$102,5,FALSE)-VLOOKUP($A184,main!$A$3:$H$102,6,FALSE)&gt;=main!$D$103+VLOOKUP(VLOOKUP(R$1,main!$A$3:$I$102,7,FALSE),main!$K$26:$Q$29,4,FALSE)),1,0)</f>
        <v>0</v>
      </c>
      <c r="S184">
        <f>IF(AND(VLOOKUP(S$1,main!$A$3:$H$102,7,FALSE)=main!$G$104,VLOOKUP(S$1,main!$A$3:$H$102,5,FALSE)-VLOOKUP($A184,main!$A$3:$H$102,6,FALSE)&gt;=main!$D$103+VLOOKUP(VLOOKUP(S$1,main!$A$3:$I$102,7,FALSE),main!$K$26:$Q$29,4,FALSE)),1,0)</f>
        <v>1</v>
      </c>
      <c r="T184">
        <f>IF(AND(VLOOKUP(T$1,main!$A$3:$H$102,7,FALSE)=main!$G$104,VLOOKUP(T$1,main!$A$3:$H$102,5,FALSE)-VLOOKUP($A184,main!$A$3:$H$102,6,FALSE)&gt;=main!$D$103+VLOOKUP(VLOOKUP(T$1,main!$A$3:$I$102,7,FALSE),main!$K$26:$Q$29,4,FALSE)),1,0)</f>
        <v>1</v>
      </c>
      <c r="U184">
        <f>IF(AND(VLOOKUP(U$1,main!$A$3:$H$102,7,FALSE)=main!$G$104,VLOOKUP(U$1,main!$A$3:$H$102,5,FALSE)-VLOOKUP($A184,main!$A$3:$H$102,6,FALSE)&gt;=main!$D$103+VLOOKUP(VLOOKUP(U$1,main!$A$3:$I$102,7,FALSE),main!$K$26:$Q$29,4,FALSE)),1,0)</f>
        <v>1</v>
      </c>
      <c r="V184">
        <f>IF(AND(VLOOKUP(V$1,main!$A$3:$H$102,7,FALSE)=main!$G$104,VLOOKUP(V$1,main!$A$3:$H$102,5,FALSE)-VLOOKUP($A184,main!$A$3:$H$102,6,FALSE)&gt;=main!$D$103+VLOOKUP(VLOOKUP(V$1,main!$A$3:$I$102,7,FALSE),main!$K$26:$Q$29,4,FALSE)),1,0)</f>
        <v>1</v>
      </c>
      <c r="W184">
        <f>IF(AND(VLOOKUP(W$1,main!$A$3:$H$102,7,FALSE)=main!$G$104,VLOOKUP(W$1,main!$A$3:$H$102,5,FALSE)-VLOOKUP($A184,main!$A$3:$H$102,6,FALSE)&gt;=main!$D$103+VLOOKUP(VLOOKUP(W$1,main!$A$3:$I$102,7,FALSE),main!$K$26:$Q$29,4,FALSE)),1,0)</f>
        <v>0</v>
      </c>
      <c r="X184">
        <f>IF(AND(VLOOKUP(X$1,main!$A$3:$H$102,7,FALSE)=main!$G$104,VLOOKUP(X$1,main!$A$3:$H$102,5,FALSE)-VLOOKUP($A184,main!$A$3:$H$102,6,FALSE)&gt;=main!$D$103+VLOOKUP(VLOOKUP(X$1,main!$A$3:$I$102,7,FALSE),main!$K$26:$Q$29,4,FALSE)),1,0)</f>
        <v>0</v>
      </c>
      <c r="Y184">
        <f>IF(AND(VLOOKUP(Y$1,main!$A$3:$H$102,7,FALSE)=main!$G$104,VLOOKUP(Y$1,main!$A$3:$H$102,5,FALSE)-VLOOKUP($A184,main!$A$3:$H$102,6,FALSE)&gt;=main!$D$103+VLOOKUP(VLOOKUP(Y$1,main!$A$3:$I$102,7,FALSE),main!$K$26:$Q$29,4,FALSE)),1,0)</f>
        <v>0</v>
      </c>
      <c r="Z184">
        <f>IF(AND(VLOOKUP(Z$1,main!$A$3:$H$102,7,FALSE)=main!$G$104,VLOOKUP(Z$1,main!$A$3:$H$102,5,FALSE)-VLOOKUP($A184,main!$A$3:$H$102,6,FALSE)&gt;=main!$D$103+VLOOKUP(VLOOKUP(Z$1,main!$A$3:$I$102,7,FALSE),main!$K$26:$Q$29,4,FALSE)),1,0)</f>
        <v>1</v>
      </c>
      <c r="AA184">
        <f>IF(AND(VLOOKUP(AA$1,main!$A$3:$H$102,7,FALSE)=main!$G$104,VLOOKUP(AA$1,main!$A$3:$H$102,5,FALSE)-VLOOKUP($A184,main!$A$3:$H$102,6,FALSE)&gt;=main!$D$103+VLOOKUP(VLOOKUP(AA$1,main!$A$3:$I$102,7,FALSE),main!$K$26:$Q$29,4,FALSE)),1,0)</f>
        <v>1</v>
      </c>
      <c r="AB184">
        <f>IF(AND(VLOOKUP(AB$1,main!$A$3:$H$102,7,FALSE)=main!$G$104,VLOOKUP(AB$1,main!$A$3:$H$102,5,FALSE)-VLOOKUP($A184,main!$A$3:$H$102,6,FALSE)&gt;=main!$D$103+VLOOKUP(VLOOKUP(AB$1,main!$A$3:$I$102,7,FALSE),main!$K$26:$Q$29,4,FALSE)),1,0)</f>
        <v>0</v>
      </c>
      <c r="AC184">
        <f>IF(AND(VLOOKUP(AC$1,main!$A$3:$H$102,7,FALSE)=main!$G$104,VLOOKUP(AC$1,main!$A$3:$H$102,5,FALSE)-VLOOKUP($A184,main!$A$3:$H$102,6,FALSE)&gt;=main!$D$103+VLOOKUP(VLOOKUP(AC$1,main!$A$3:$I$102,7,FALSE),main!$K$26:$Q$29,4,FALSE)),1,0)</f>
        <v>0</v>
      </c>
      <c r="AD184">
        <f>IF(AND(VLOOKUP(AD$1,main!$A$3:$H$102,7,FALSE)=main!$G$104,VLOOKUP(AD$1,main!$A$3:$H$102,5,FALSE)-VLOOKUP($A184,main!$A$3:$H$102,6,FALSE)&gt;=main!$D$103+VLOOKUP(VLOOKUP(AD$1,main!$A$3:$I$102,7,FALSE),main!$K$26:$Q$29,4,FALSE)),1,0)</f>
        <v>0</v>
      </c>
      <c r="AE184">
        <f>IF(AND(VLOOKUP(AE$1,main!$A$3:$H$102,7,FALSE)=main!$G$104,VLOOKUP(AE$1,main!$A$3:$H$102,5,FALSE)-VLOOKUP($A184,main!$A$3:$H$102,6,FALSE)&gt;=main!$D$103+VLOOKUP(VLOOKUP(AE$1,main!$A$3:$I$102,7,FALSE),main!$K$26:$Q$29,4,FALSE)),1,0)</f>
        <v>1</v>
      </c>
      <c r="AF184">
        <f>IF(AND(VLOOKUP(AF$1,main!$A$3:$H$102,7,FALSE)=main!$G$104,VLOOKUP(AF$1,main!$A$3:$H$102,5,FALSE)-VLOOKUP($A184,main!$A$3:$H$102,6,FALSE)&gt;=main!$D$103+VLOOKUP(VLOOKUP(AF$1,main!$A$3:$I$102,7,FALSE),main!$K$26:$Q$29,4,FALSE)),1,0)</f>
        <v>1</v>
      </c>
      <c r="AG184">
        <f>IF(AND(VLOOKUP(AG$1,main!$A$3:$H$102,7,FALSE)=main!$G$104,VLOOKUP(AG$1,main!$A$3:$H$102,5,FALSE)-VLOOKUP($A184,main!$A$3:$H$102,6,FALSE)&gt;=main!$D$103+VLOOKUP(VLOOKUP(AG$1,main!$A$3:$I$102,7,FALSE),main!$K$26:$Q$29,4,FALSE)),1,0)</f>
        <v>0</v>
      </c>
      <c r="AH184">
        <f>IF(AND(VLOOKUP(AH$1,main!$A$3:$H$102,7,FALSE)=main!$G$104,VLOOKUP(AH$1,main!$A$3:$H$102,5,FALSE)-VLOOKUP($A184,main!$A$3:$H$102,6,FALSE)&gt;=main!$D$103+VLOOKUP(VLOOKUP(AH$1,main!$A$3:$I$102,7,FALSE),main!$K$26:$Q$29,4,FALSE)),1,0)</f>
        <v>0</v>
      </c>
      <c r="AI184">
        <f>IF(AND(VLOOKUP(AI$1,main!$A$3:$H$102,7,FALSE)=main!$G$104,VLOOKUP(AI$1,main!$A$3:$H$102,5,FALSE)-VLOOKUP($A184,main!$A$3:$H$102,6,FALSE)&gt;=main!$D$103+VLOOKUP(VLOOKUP(AI$1,main!$A$3:$I$102,7,FALSE),main!$K$26:$Q$29,4,FALSE)),1,0)</f>
        <v>0</v>
      </c>
      <c r="AJ184">
        <f>IF(AND(VLOOKUP(AJ$1,main!$A$3:$H$102,7,FALSE)=main!$G$104,VLOOKUP(AJ$1,main!$A$3:$H$102,5,FALSE)-VLOOKUP($A184,main!$A$3:$H$102,6,FALSE)&gt;=main!$D$103+VLOOKUP(VLOOKUP(AJ$1,main!$A$3:$I$102,7,FALSE),main!$K$26:$Q$29,4,FALSE)),1,0)</f>
        <v>0</v>
      </c>
      <c r="AK184">
        <f>IF(AND(VLOOKUP(AK$1,main!$A$3:$H$102,7,FALSE)=main!$G$104,VLOOKUP(AK$1,main!$A$3:$H$102,5,FALSE)-VLOOKUP($A184,main!$A$3:$H$102,6,FALSE)&gt;=main!$D$103+VLOOKUP(VLOOKUP(AK$1,main!$A$3:$I$102,7,FALSE),main!$K$26:$Q$29,4,FALSE)),1,0)</f>
        <v>0</v>
      </c>
      <c r="AL184">
        <f>IF(AND(VLOOKUP(AL$1,main!$A$3:$H$102,7,FALSE)=main!$G$104,VLOOKUP(AL$1,main!$A$3:$H$102,5,FALSE)-VLOOKUP($A184,main!$A$3:$H$102,6,FALSE)&gt;=main!$D$103+VLOOKUP(VLOOKUP(AL$1,main!$A$3:$I$102,7,FALSE),main!$K$26:$Q$29,4,FALSE)),1,0)</f>
        <v>0</v>
      </c>
      <c r="AM184">
        <f>IF(AND(VLOOKUP(AM$1,main!$A$3:$H$102,7,FALSE)=main!$G$104,VLOOKUP(AM$1,main!$A$3:$H$102,5,FALSE)-VLOOKUP($A184,main!$A$3:$H$102,6,FALSE)&gt;=main!$D$103+VLOOKUP(VLOOKUP(AM$1,main!$A$3:$I$102,7,FALSE),main!$K$26:$Q$29,4,FALSE)),1,0)</f>
        <v>0</v>
      </c>
      <c r="AN184">
        <f>IF(AND(VLOOKUP(AN$1,main!$A$3:$H$102,7,FALSE)=main!$G$104,VLOOKUP(AN$1,main!$A$3:$H$102,5,FALSE)-VLOOKUP($A184,main!$A$3:$H$102,6,FALSE)&gt;=main!$D$103+VLOOKUP(VLOOKUP(AN$1,main!$A$3:$I$102,7,FALSE),main!$K$26:$Q$29,4,FALSE)),1,0)</f>
        <v>0</v>
      </c>
      <c r="AO184">
        <f>IF(AND(VLOOKUP(AO$1,main!$A$3:$H$102,7,FALSE)=main!$G$104,VLOOKUP(AO$1,main!$A$3:$H$102,5,FALSE)-VLOOKUP($A184,main!$A$3:$H$102,6,FALSE)&gt;=main!$D$103+VLOOKUP(VLOOKUP(AO$1,main!$A$3:$I$102,7,FALSE),main!$K$26:$Q$29,4,FALSE)),1,0)</f>
        <v>0</v>
      </c>
      <c r="AP184">
        <f>IF(AND(VLOOKUP(AP$1,main!$A$3:$H$102,7,FALSE)=main!$G$104,VLOOKUP(AP$1,main!$A$3:$H$102,5,FALSE)-VLOOKUP($A184,main!$A$3:$H$102,6,FALSE)&gt;=main!$D$103+VLOOKUP(VLOOKUP(AP$1,main!$A$3:$I$102,7,FALSE),main!$K$26:$Q$29,4,FALSE)),1,0)</f>
        <v>0</v>
      </c>
      <c r="AQ184">
        <f>IF(AND(VLOOKUP(AQ$1,main!$A$3:$H$102,7,FALSE)=main!$G$104,VLOOKUP(AQ$1,main!$A$3:$H$102,5,FALSE)-VLOOKUP($A184,main!$A$3:$H$102,6,FALSE)&gt;=main!$D$103+VLOOKUP(VLOOKUP(AQ$1,main!$A$3:$I$102,7,FALSE),main!$K$26:$Q$29,4,FALSE)),1,0)</f>
        <v>0</v>
      </c>
      <c r="AR184">
        <f>IF(AND(VLOOKUP(AR$1,main!$A$3:$H$102,7,FALSE)=main!$G$104,VLOOKUP(AR$1,main!$A$3:$H$102,5,FALSE)-VLOOKUP($A184,main!$A$3:$H$102,6,FALSE)&gt;=main!$D$103+VLOOKUP(VLOOKUP(AR$1,main!$A$3:$I$102,7,FALSE),main!$K$26:$Q$29,4,FALSE)),1,0)</f>
        <v>0</v>
      </c>
      <c r="AS184">
        <f>IF(AND(VLOOKUP(AS$1,main!$A$3:$H$102,7,FALSE)=main!$G$104,VLOOKUP(AS$1,main!$A$3:$H$102,5,FALSE)-VLOOKUP($A184,main!$A$3:$H$102,6,FALSE)&gt;=main!$D$103+VLOOKUP(VLOOKUP(AS$1,main!$A$3:$I$102,7,FALSE),main!$K$26:$Q$29,4,FALSE)),1,0)</f>
        <v>0</v>
      </c>
      <c r="AT184">
        <f>IF(AND(VLOOKUP(AT$1,main!$A$3:$H$102,7,FALSE)=main!$G$104,VLOOKUP(AT$1,main!$A$3:$H$102,5,FALSE)-VLOOKUP($A184,main!$A$3:$H$102,6,FALSE)&gt;=main!$D$103+VLOOKUP(VLOOKUP(AT$1,main!$A$3:$I$102,7,FALSE),main!$K$26:$Q$29,4,FALSE)),1,0)</f>
        <v>0</v>
      </c>
      <c r="AU184">
        <f>IF(AND(VLOOKUP(AU$1,main!$A$3:$H$102,7,FALSE)=main!$G$104,VLOOKUP(AU$1,main!$A$3:$H$102,5,FALSE)-VLOOKUP($A184,main!$A$3:$H$102,6,FALSE)&gt;=main!$D$103+VLOOKUP(VLOOKUP(AU$1,main!$A$3:$I$102,7,FALSE),main!$K$26:$Q$29,4,FALSE)),1,0)</f>
        <v>0</v>
      </c>
      <c r="AV184">
        <f>IF(AND(VLOOKUP(AV$1,main!$A$3:$H$102,7,FALSE)=main!$G$104,VLOOKUP(AV$1,main!$A$3:$H$102,5,FALSE)-VLOOKUP($A184,main!$A$3:$H$102,6,FALSE)&gt;=main!$D$103+VLOOKUP(VLOOKUP(AV$1,main!$A$3:$I$102,7,FALSE),main!$K$26:$Q$29,4,FALSE)),1,0)</f>
        <v>0</v>
      </c>
      <c r="AW184">
        <f>IF(AND(VLOOKUP(AW$1,main!$A$3:$H$102,7,FALSE)=main!$G$104,VLOOKUP(AW$1,main!$A$3:$H$102,5,FALSE)-VLOOKUP($A184,main!$A$3:$H$102,6,FALSE)&gt;=main!$D$103+VLOOKUP(VLOOKUP(AW$1,main!$A$3:$I$102,7,FALSE),main!$K$26:$Q$29,4,FALSE)),1,0)</f>
        <v>0</v>
      </c>
      <c r="AX184">
        <f>IF(AND(VLOOKUP(AX$1,main!$A$3:$H$102,7,FALSE)=main!$G$104,VLOOKUP(AX$1,main!$A$3:$H$102,5,FALSE)-VLOOKUP($A184,main!$A$3:$H$102,6,FALSE)&gt;=main!$D$103+VLOOKUP(VLOOKUP(AX$1,main!$A$3:$I$102,7,FALSE),main!$K$26:$Q$29,4,FALSE)),1,0)</f>
        <v>0</v>
      </c>
      <c r="AY184">
        <f>IF(AND(VLOOKUP(AY$1,main!$A$3:$H$102,7,FALSE)=main!$G$104,VLOOKUP(AY$1,main!$A$3:$H$102,5,FALSE)-VLOOKUP($A184,main!$A$3:$H$102,6,FALSE)&gt;=main!$D$103+VLOOKUP(VLOOKUP(AY$1,main!$A$3:$I$102,7,FALSE),main!$K$26:$Q$29,4,FALSE)),1,0)</f>
        <v>0</v>
      </c>
      <c r="AZ184">
        <f>IF(AND(VLOOKUP(AZ$1,main!$A$3:$H$102,7,FALSE)=main!$G$104,VLOOKUP(AZ$1,main!$A$3:$H$102,5,FALSE)-VLOOKUP($A184,main!$A$3:$H$102,6,FALSE)&gt;=main!$D$103+VLOOKUP(VLOOKUP(AZ$1,main!$A$3:$I$102,7,FALSE),main!$K$26:$Q$29,4,FALSE)),1,0)</f>
        <v>0</v>
      </c>
      <c r="BA184">
        <f>IF(AND(VLOOKUP(BA$1,main!$A$3:$H$102,7,FALSE)=main!$G$104,VLOOKUP(BA$1,main!$A$3:$H$102,5,FALSE)-VLOOKUP($A184,main!$A$3:$H$102,6,FALSE)&gt;=main!$D$103+VLOOKUP(VLOOKUP(BA$1,main!$A$3:$I$102,7,FALSE),main!$K$26:$Q$29,4,FALSE)),1,0)</f>
        <v>0</v>
      </c>
      <c r="BB184">
        <f>IF(AND(VLOOKUP(BB$1,main!$A$3:$H$102,7,FALSE)=main!$G$104,VLOOKUP(BB$1,main!$A$3:$H$102,5,FALSE)-VLOOKUP($A184,main!$A$3:$H$102,6,FALSE)&gt;=main!$D$103+VLOOKUP(VLOOKUP(BB$1,main!$A$3:$I$102,7,FALSE),main!$K$26:$Q$29,4,FALSE)),1,0)</f>
        <v>0</v>
      </c>
      <c r="BC184">
        <f>IF(AND(VLOOKUP(BC$1,main!$A$3:$H$102,7,FALSE)=main!$G$104,VLOOKUP(BC$1,main!$A$3:$H$102,5,FALSE)-VLOOKUP($A184,main!$A$3:$H$102,6,FALSE)&gt;=main!$D$103+VLOOKUP(VLOOKUP(BC$1,main!$A$3:$I$102,7,FALSE),main!$K$26:$Q$29,4,FALSE)),1,0)</f>
        <v>0</v>
      </c>
      <c r="BD184">
        <f>IF(AND(VLOOKUP(BD$1,main!$A$3:$H$102,7,FALSE)=main!$G$104,VLOOKUP(BD$1,main!$A$3:$H$102,5,FALSE)-VLOOKUP($A184,main!$A$3:$H$102,6,FALSE)&gt;=main!$D$103+VLOOKUP(VLOOKUP(BD$1,main!$A$3:$I$102,7,FALSE),main!$K$26:$Q$29,4,FALSE)),1,0)</f>
        <v>0</v>
      </c>
      <c r="BE184">
        <f>IF(AND(VLOOKUP(BE$1,main!$A$3:$H$102,7,FALSE)=main!$G$104,VLOOKUP(BE$1,main!$A$3:$H$102,5,FALSE)-VLOOKUP($A184,main!$A$3:$H$102,6,FALSE)&gt;=main!$D$103+VLOOKUP(VLOOKUP(BE$1,main!$A$3:$I$102,7,FALSE),main!$K$26:$Q$29,4,FALSE)),1,0)</f>
        <v>0</v>
      </c>
      <c r="BF184">
        <f>IF(AND(VLOOKUP(BF$1,main!$A$3:$H$102,7,FALSE)=main!$G$104,VLOOKUP(BF$1,main!$A$3:$H$102,5,FALSE)-VLOOKUP($A184,main!$A$3:$H$102,6,FALSE)&gt;=main!$D$103+VLOOKUP(VLOOKUP(BF$1,main!$A$3:$I$102,7,FALSE),main!$K$26:$Q$29,4,FALSE)),1,0)</f>
        <v>0</v>
      </c>
      <c r="BG184">
        <f>IF(AND(VLOOKUP(BG$1,main!$A$3:$H$102,7,FALSE)=main!$G$104,VLOOKUP(BG$1,main!$A$3:$H$102,5,FALSE)-VLOOKUP($A184,main!$A$3:$H$102,6,FALSE)&gt;=main!$D$103+VLOOKUP(VLOOKUP(BG$1,main!$A$3:$I$102,7,FALSE),main!$K$26:$Q$29,4,FALSE)),1,0)</f>
        <v>0</v>
      </c>
      <c r="BH184">
        <f>IF(AND(VLOOKUP(BH$1,main!$A$3:$H$102,7,FALSE)=main!$G$104,VLOOKUP(BH$1,main!$A$3:$H$102,5,FALSE)-VLOOKUP($A184,main!$A$3:$H$102,6,FALSE)&gt;=main!$D$103+VLOOKUP(VLOOKUP(BH$1,main!$A$3:$I$102,7,FALSE),main!$K$26:$Q$29,4,FALSE)),1,0)</f>
        <v>0</v>
      </c>
      <c r="BI184">
        <f>IF(AND(VLOOKUP(BI$1,main!$A$3:$H$102,7,FALSE)=main!$G$104,VLOOKUP(BI$1,main!$A$3:$H$102,5,FALSE)-VLOOKUP($A184,main!$A$3:$H$102,6,FALSE)&gt;=main!$D$103+VLOOKUP(VLOOKUP(BI$1,main!$A$3:$I$102,7,FALSE),main!$K$26:$Q$29,4,FALSE)),1,0)</f>
        <v>0</v>
      </c>
      <c r="BJ184">
        <f>IF(AND(VLOOKUP(BJ$1,main!$A$3:$H$102,7,FALSE)=main!$G$104,VLOOKUP(BJ$1,main!$A$3:$H$102,5,FALSE)-VLOOKUP($A184,main!$A$3:$H$102,6,FALSE)&gt;=main!$D$103+VLOOKUP(VLOOKUP(BJ$1,main!$A$3:$I$102,7,FALSE),main!$K$26:$Q$29,4,FALSE)),1,0)</f>
        <v>0</v>
      </c>
      <c r="BK184">
        <f>IF(AND(VLOOKUP(BK$1,main!$A$3:$H$102,7,FALSE)=main!$G$104,VLOOKUP(BK$1,main!$A$3:$H$102,5,FALSE)-VLOOKUP($A184,main!$A$3:$H$102,6,FALSE)&gt;=main!$D$103+VLOOKUP(VLOOKUP(BK$1,main!$A$3:$I$102,7,FALSE),main!$K$26:$Q$29,4,FALSE)),1,0)</f>
        <v>0</v>
      </c>
      <c r="BL184">
        <f>IF(AND(VLOOKUP(BL$1,main!$A$3:$H$102,7,FALSE)=main!$G$104,VLOOKUP(BL$1,main!$A$3:$H$102,5,FALSE)-VLOOKUP($A184,main!$A$3:$H$102,6,FALSE)&gt;=main!$D$103+VLOOKUP(VLOOKUP(BL$1,main!$A$3:$I$102,7,FALSE),main!$K$26:$Q$29,4,FALSE)),1,0)</f>
        <v>0</v>
      </c>
      <c r="BM184">
        <f>IF(AND(VLOOKUP(BM$1,main!$A$3:$H$102,7,FALSE)=main!$G$104,VLOOKUP(BM$1,main!$A$3:$H$102,5,FALSE)-VLOOKUP($A184,main!$A$3:$H$102,6,FALSE)&gt;=main!$D$103+VLOOKUP(VLOOKUP(BM$1,main!$A$3:$I$102,7,FALSE),main!$K$26:$Q$29,4,FALSE)),1,0)</f>
        <v>0</v>
      </c>
      <c r="BN184">
        <f>IF(AND(VLOOKUP(BN$1,main!$A$3:$H$102,7,FALSE)=main!$G$104,VLOOKUP(BN$1,main!$A$3:$H$102,5,FALSE)-VLOOKUP($A184,main!$A$3:$H$102,6,FALSE)&gt;=main!$D$103+VLOOKUP(VLOOKUP(BN$1,main!$A$3:$I$102,7,FALSE),main!$K$26:$Q$29,4,FALSE)),1,0)</f>
        <v>0</v>
      </c>
      <c r="BO184">
        <f>IF(AND(VLOOKUP(BO$1,main!$A$3:$H$102,7,FALSE)=main!$G$104,VLOOKUP(BO$1,main!$A$3:$H$102,5,FALSE)-VLOOKUP($A184,main!$A$3:$H$102,6,FALSE)&gt;=main!$D$103+VLOOKUP(VLOOKUP(BO$1,main!$A$3:$I$102,7,FALSE),main!$K$26:$Q$29,4,FALSE)),1,0)</f>
        <v>0</v>
      </c>
      <c r="BP184">
        <f>IF(AND(VLOOKUP(BP$1,main!$A$3:$H$102,7,FALSE)=main!$G$104,VLOOKUP(BP$1,main!$A$3:$H$102,5,FALSE)-VLOOKUP($A184,main!$A$3:$H$102,6,FALSE)&gt;=main!$D$103+VLOOKUP(VLOOKUP(BP$1,main!$A$3:$I$102,7,FALSE),main!$K$26:$Q$29,4,FALSE)),1,0)</f>
        <v>0</v>
      </c>
      <c r="BQ184">
        <f>IF(AND(VLOOKUP(BQ$1,main!$A$3:$H$102,7,FALSE)=main!$G$104,VLOOKUP(BQ$1,main!$A$3:$H$102,5,FALSE)-VLOOKUP($A184,main!$A$3:$H$102,6,FALSE)&gt;=main!$D$103+VLOOKUP(VLOOKUP(BQ$1,main!$A$3:$I$102,7,FALSE),main!$K$26:$Q$29,4,FALSE)),1,0)</f>
        <v>0</v>
      </c>
      <c r="BR184">
        <f>IF(AND(VLOOKUP(BR$1,main!$A$3:$H$102,7,FALSE)=main!$G$104,VLOOKUP(BR$1,main!$A$3:$H$102,5,FALSE)-VLOOKUP($A184,main!$A$3:$H$102,6,FALSE)&gt;=main!$D$103+VLOOKUP(VLOOKUP(BR$1,main!$A$3:$I$102,7,FALSE),main!$K$26:$Q$29,4,FALSE)),1,0)</f>
        <v>0</v>
      </c>
      <c r="BS184">
        <f>IF(AND(VLOOKUP(BS$1,main!$A$3:$H$102,7,FALSE)=main!$G$104,VLOOKUP(BS$1,main!$A$3:$H$102,5,FALSE)-VLOOKUP($A184,main!$A$3:$H$102,6,FALSE)&gt;=main!$D$103+VLOOKUP(VLOOKUP(BS$1,main!$A$3:$I$102,7,FALSE),main!$K$26:$Q$29,4,FALSE)),1,0)</f>
        <v>0</v>
      </c>
      <c r="BT184">
        <f>IF(AND(VLOOKUP(BT$1,main!$A$3:$H$102,7,FALSE)=main!$G$104,VLOOKUP(BT$1,main!$A$3:$H$102,5,FALSE)-VLOOKUP($A184,main!$A$3:$H$102,6,FALSE)&gt;=main!$D$103+VLOOKUP(VLOOKUP(BT$1,main!$A$3:$I$102,7,FALSE),main!$K$26:$Q$29,4,FALSE)),1,0)</f>
        <v>0</v>
      </c>
      <c r="BU184">
        <f>IF(AND(VLOOKUP(BU$1,main!$A$3:$H$102,7,FALSE)=main!$G$104,VLOOKUP(BU$1,main!$A$3:$H$102,5,FALSE)-VLOOKUP($A184,main!$A$3:$H$102,6,FALSE)&gt;=main!$D$103+VLOOKUP(VLOOKUP(BU$1,main!$A$3:$I$102,7,FALSE),main!$K$26:$Q$29,4,FALSE)),1,0)</f>
        <v>0</v>
      </c>
      <c r="BV184">
        <f>IF(AND(VLOOKUP(BV$1,main!$A$3:$H$102,7,FALSE)=main!$G$104,VLOOKUP(BV$1,main!$A$3:$H$102,5,FALSE)-VLOOKUP($A184,main!$A$3:$H$102,6,FALSE)&gt;=main!$D$103+VLOOKUP(VLOOKUP(BV$1,main!$A$3:$I$102,7,FALSE),main!$K$26:$Q$29,4,FALSE)),1,0)</f>
        <v>0</v>
      </c>
      <c r="BW184">
        <f>IF(AND(VLOOKUP(BW$1,main!$A$3:$H$102,7,FALSE)=main!$G$104,VLOOKUP(BW$1,main!$A$3:$H$102,5,FALSE)-VLOOKUP($A184,main!$A$3:$H$102,6,FALSE)&gt;=main!$D$103+VLOOKUP(VLOOKUP(BW$1,main!$A$3:$I$102,7,FALSE),main!$K$26:$Q$29,4,FALSE)),1,0)</f>
        <v>0</v>
      </c>
      <c r="BX184">
        <f>IF(AND(VLOOKUP(BX$1,main!$A$3:$H$102,7,FALSE)=main!$G$104,VLOOKUP(BX$1,main!$A$3:$H$102,5,FALSE)-VLOOKUP($A184,main!$A$3:$H$102,6,FALSE)&gt;=main!$D$103+VLOOKUP(VLOOKUP(BX$1,main!$A$3:$I$102,7,FALSE),main!$K$26:$Q$29,4,FALSE)),1,0)</f>
        <v>0</v>
      </c>
      <c r="BY184">
        <f>IF(AND(VLOOKUP(BY$1,main!$A$3:$H$102,7,FALSE)=main!$G$104,VLOOKUP(BY$1,main!$A$3:$H$102,5,FALSE)-VLOOKUP($A184,main!$A$3:$H$102,6,FALSE)&gt;=main!$D$103+VLOOKUP(VLOOKUP(BY$1,main!$A$3:$I$102,7,FALSE),main!$K$26:$Q$29,4,FALSE)),1,0)</f>
        <v>0</v>
      </c>
      <c r="BZ184">
        <f>IF(AND(VLOOKUP(BZ$1,main!$A$3:$H$102,7,FALSE)=main!$G$104,VLOOKUP(BZ$1,main!$A$3:$H$102,5,FALSE)-VLOOKUP($A184,main!$A$3:$H$102,6,FALSE)&gt;=main!$D$103+VLOOKUP(VLOOKUP(BZ$1,main!$A$3:$I$102,7,FALSE),main!$K$26:$Q$29,4,FALSE)),1,0)</f>
        <v>0</v>
      </c>
      <c r="CA184">
        <f>IF(AND(VLOOKUP(CA$1,main!$A$3:$H$102,7,FALSE)=main!$G$104,VLOOKUP(CA$1,main!$A$3:$H$102,5,FALSE)-VLOOKUP($A184,main!$A$3:$H$102,6,FALSE)&gt;=main!$D$103+VLOOKUP(VLOOKUP(CA$1,main!$A$3:$I$102,7,FALSE),main!$K$26:$Q$29,4,FALSE)),1,0)</f>
        <v>0</v>
      </c>
      <c r="CB184">
        <f>IF(AND(VLOOKUP(CB$1,main!$A$3:$H$102,7,FALSE)=main!$G$104,VLOOKUP(CB$1,main!$A$3:$H$102,5,FALSE)-VLOOKUP($A184,main!$A$3:$H$102,6,FALSE)&gt;=main!$D$103+VLOOKUP(VLOOKUP(CB$1,main!$A$3:$I$102,7,FALSE),main!$K$26:$Q$29,4,FALSE)),1,0)</f>
        <v>0</v>
      </c>
      <c r="CC184">
        <f>IF(AND(VLOOKUP(CC$1,main!$A$3:$H$102,7,FALSE)=main!$G$104,VLOOKUP(CC$1,main!$A$3:$H$102,5,FALSE)-VLOOKUP($A184,main!$A$3:$H$102,6,FALSE)&gt;=main!$D$103+VLOOKUP(VLOOKUP(CC$1,main!$A$3:$I$102,7,FALSE),main!$K$26:$Q$29,4,FALSE)),1,0)</f>
        <v>0</v>
      </c>
      <c r="CD184">
        <f>IF(AND(VLOOKUP(CD$1,main!$A$3:$H$102,7,FALSE)=main!$G$104,VLOOKUP(CD$1,main!$A$3:$H$102,5,FALSE)-VLOOKUP($A184,main!$A$3:$H$102,6,FALSE)&gt;=main!$D$103+VLOOKUP(VLOOKUP(CD$1,main!$A$3:$I$102,7,FALSE),main!$K$26:$Q$29,4,FALSE)),1,0)</f>
        <v>0</v>
      </c>
      <c r="CE184">
        <f>IF(AND(VLOOKUP(CE$1,main!$A$3:$H$102,7,FALSE)=main!$G$104,VLOOKUP(CE$1,main!$A$3:$H$102,5,FALSE)-VLOOKUP($A184,main!$A$3:$H$102,6,FALSE)&gt;=main!$D$103+VLOOKUP(VLOOKUP(CE$1,main!$A$3:$I$102,7,FALSE),main!$K$26:$Q$29,4,FALSE)),1,0)</f>
        <v>0</v>
      </c>
      <c r="CF184">
        <f>IF(AND(VLOOKUP(CF$1,main!$A$3:$H$102,7,FALSE)=main!$G$104,VLOOKUP(CF$1,main!$A$3:$H$102,5,FALSE)-VLOOKUP($A184,main!$A$3:$H$102,6,FALSE)&gt;=main!$D$103+VLOOKUP(VLOOKUP(CF$1,main!$A$3:$I$102,7,FALSE),main!$K$26:$Q$29,4,FALSE)),1,0)</f>
        <v>0</v>
      </c>
      <c r="CG184">
        <f>IF(AND(VLOOKUP(CG$1,main!$A$3:$H$102,7,FALSE)=main!$G$104,VLOOKUP(CG$1,main!$A$3:$H$102,5,FALSE)-VLOOKUP($A184,main!$A$3:$H$102,6,FALSE)&gt;=main!$D$103+VLOOKUP(VLOOKUP(CG$1,main!$A$3:$I$102,7,FALSE),main!$K$26:$Q$29,4,FALSE)),1,0)</f>
        <v>0</v>
      </c>
      <c r="CH184">
        <f>IF(AND(VLOOKUP(CH$1,main!$A$3:$H$102,7,FALSE)=main!$G$104,VLOOKUP(CH$1,main!$A$3:$H$102,5,FALSE)-VLOOKUP($A184,main!$A$3:$H$102,6,FALSE)&gt;=main!$D$103+VLOOKUP(VLOOKUP(CH$1,main!$A$3:$I$102,7,FALSE),main!$K$26:$Q$29,4,FALSE)),1,0)</f>
        <v>0</v>
      </c>
      <c r="CI184">
        <f>IF(AND(VLOOKUP(CI$1,main!$A$3:$H$102,7,FALSE)=main!$G$104,VLOOKUP(CI$1,main!$A$3:$H$102,5,FALSE)-VLOOKUP($A184,main!$A$3:$H$102,6,FALSE)&gt;=main!$D$103+VLOOKUP(VLOOKUP(CI$1,main!$A$3:$I$102,7,FALSE),main!$K$26:$Q$29,4,FALSE)),1,0)</f>
        <v>0</v>
      </c>
      <c r="CJ184">
        <f>IF(AND(VLOOKUP(CJ$1,main!$A$3:$H$102,7,FALSE)=main!$G$104,VLOOKUP(CJ$1,main!$A$3:$H$102,5,FALSE)-VLOOKUP($A184,main!$A$3:$H$102,6,FALSE)&gt;=main!$D$103+VLOOKUP(VLOOKUP(CJ$1,main!$A$3:$I$102,7,FALSE),main!$K$26:$Q$29,4,FALSE)),1,0)</f>
        <v>0</v>
      </c>
      <c r="CK184">
        <f>IF(AND(VLOOKUP(CK$1,main!$A$3:$H$102,7,FALSE)=main!$G$104,VLOOKUP(CK$1,main!$A$3:$H$102,5,FALSE)-VLOOKUP($A184,main!$A$3:$H$102,6,FALSE)&gt;=main!$D$103+VLOOKUP(VLOOKUP(CK$1,main!$A$3:$I$102,7,FALSE),main!$K$26:$Q$29,4,FALSE)),1,0)</f>
        <v>0</v>
      </c>
      <c r="CL184">
        <f>IF(AND(VLOOKUP(CL$1,main!$A$3:$H$102,7,FALSE)=main!$G$104,VLOOKUP(CL$1,main!$A$3:$H$102,5,FALSE)-VLOOKUP($A184,main!$A$3:$H$102,6,FALSE)&gt;=main!$D$103+VLOOKUP(VLOOKUP(CL$1,main!$A$3:$I$102,7,FALSE),main!$K$26:$Q$29,4,FALSE)),1,0)</f>
        <v>0</v>
      </c>
      <c r="CM184">
        <f>IF(AND(VLOOKUP(CM$1,main!$A$3:$H$102,7,FALSE)=main!$G$104,VLOOKUP(CM$1,main!$A$3:$H$102,5,FALSE)-VLOOKUP($A184,main!$A$3:$H$102,6,FALSE)&gt;=main!$D$103+VLOOKUP(VLOOKUP(CM$1,main!$A$3:$I$102,7,FALSE),main!$K$26:$Q$29,4,FALSE)),1,0)</f>
        <v>0</v>
      </c>
      <c r="CN184">
        <f>IF(AND(VLOOKUP(CN$1,main!$A$3:$H$102,7,FALSE)=main!$G$104,VLOOKUP(CN$1,main!$A$3:$H$102,5,FALSE)-VLOOKUP($A184,main!$A$3:$H$102,6,FALSE)&gt;=main!$D$103+VLOOKUP(VLOOKUP(CN$1,main!$A$3:$I$102,7,FALSE),main!$K$26:$Q$29,4,FALSE)),1,0)</f>
        <v>0</v>
      </c>
      <c r="CO184">
        <f>IF(AND(VLOOKUP(CO$1,main!$A$3:$H$102,7,FALSE)=main!$G$104,VLOOKUP(CO$1,main!$A$3:$H$102,5,FALSE)-VLOOKUP($A184,main!$A$3:$H$102,6,FALSE)&gt;=main!$D$103+VLOOKUP(VLOOKUP(CO$1,main!$A$3:$I$102,7,FALSE),main!$K$26:$Q$29,4,FALSE)),1,0)</f>
        <v>0</v>
      </c>
      <c r="CP184">
        <f>IF(AND(VLOOKUP(CP$1,main!$A$3:$H$102,7,FALSE)=main!$G$104,VLOOKUP(CP$1,main!$A$3:$H$102,5,FALSE)-VLOOKUP($A184,main!$A$3:$H$102,6,FALSE)&gt;=main!$D$103+VLOOKUP(VLOOKUP(CP$1,main!$A$3:$I$102,7,FALSE),main!$K$26:$Q$29,4,FALSE)),1,0)</f>
        <v>0</v>
      </c>
      <c r="CQ184">
        <f>IF(AND(VLOOKUP(CQ$1,main!$A$3:$H$102,7,FALSE)=main!$G$104,VLOOKUP(CQ$1,main!$A$3:$H$102,5,FALSE)-VLOOKUP($A184,main!$A$3:$H$102,6,FALSE)&gt;=main!$D$103+VLOOKUP(VLOOKUP(CQ$1,main!$A$3:$I$102,7,FALSE),main!$K$26:$Q$29,4,FALSE)),1,0)</f>
        <v>0</v>
      </c>
      <c r="CR184">
        <f>IF(AND(VLOOKUP(CR$1,main!$A$3:$H$102,7,FALSE)=main!$G$104,VLOOKUP(CR$1,main!$A$3:$H$102,5,FALSE)-VLOOKUP($A184,main!$A$3:$H$102,6,FALSE)&gt;=main!$D$103+VLOOKUP(VLOOKUP(CR$1,main!$A$3:$I$102,7,FALSE),main!$K$26:$Q$29,4,FALSE)),1,0)</f>
        <v>0</v>
      </c>
      <c r="CS184">
        <f>IF(AND(VLOOKUP(CS$1,main!$A$3:$H$102,7,FALSE)=main!$G$104,VLOOKUP(CS$1,main!$A$3:$H$102,5,FALSE)-VLOOKUP($A184,main!$A$3:$H$102,6,FALSE)&gt;=main!$D$103+VLOOKUP(VLOOKUP(CS$1,main!$A$3:$I$102,7,FALSE),main!$K$26:$Q$29,4,FALSE)),1,0)</f>
        <v>0</v>
      </c>
      <c r="CT184">
        <f>IF(AND(VLOOKUP(CT$1,main!$A$3:$H$102,7,FALSE)=main!$G$104,VLOOKUP(CT$1,main!$A$3:$H$102,5,FALSE)-VLOOKUP($A184,main!$A$3:$H$102,6,FALSE)&gt;=main!$D$103+VLOOKUP(VLOOKUP(CT$1,main!$A$3:$I$102,7,FALSE),main!$K$26:$Q$29,4,FALSE)),1,0)</f>
        <v>0</v>
      </c>
      <c r="CU184">
        <f>IF(AND(VLOOKUP(CU$1,main!$A$3:$H$102,7,FALSE)=main!$G$104,VLOOKUP(CU$1,main!$A$3:$H$102,5,FALSE)-VLOOKUP($A184,main!$A$3:$H$102,6,FALSE)&gt;=main!$D$103+VLOOKUP(VLOOKUP(CU$1,main!$A$3:$I$102,7,FALSE),main!$K$26:$Q$29,4,FALSE)),1,0)</f>
        <v>0</v>
      </c>
      <c r="CV184">
        <f>IF(AND(VLOOKUP(CV$1,main!$A$3:$H$102,7,FALSE)=main!$G$104,VLOOKUP(CV$1,main!$A$3:$H$102,5,FALSE)-VLOOKUP($A184,main!$A$3:$H$102,6,FALSE)&gt;=main!$D$103+VLOOKUP(VLOOKUP(CV$1,main!$A$3:$I$102,7,FALSE),main!$K$26:$Q$29,4,FALSE)),1,0)</f>
        <v>0</v>
      </c>
      <c r="CW184">
        <f>IF(AND(VLOOKUP(CW$1,main!$A$3:$H$102,7,FALSE)=main!$G$104,VLOOKUP(CW$1,main!$A$3:$H$102,5,FALSE)-VLOOKUP($A184,main!$A$3:$H$102,6,FALSE)&gt;=main!$D$103+VLOOKUP(VLOOKUP(CW$1,main!$A$3:$I$102,7,FALSE),main!$K$26:$Q$29,4,FALSE)),1,0)</f>
        <v>0</v>
      </c>
      <c r="CX184">
        <f>IF(AND(VLOOKUP(CX$1,main!$A$3:$H$102,7,FALSE)=main!$G$104,VLOOKUP(CX$1,main!$A$3:$H$102,5,FALSE)-VLOOKUP($A184,main!$A$3:$H$102,6,FALSE)&gt;=main!$D$103+VLOOKUP(VLOOKUP(CX$1,main!$A$3:$I$102,7,FALSE),main!$K$26:$Q$29,4,FALSE)),1,0)</f>
        <v>0</v>
      </c>
    </row>
    <row r="185" spans="1:102" x14ac:dyDescent="0.25">
      <c r="A185" s="1">
        <v>82</v>
      </c>
      <c r="B185">
        <v>0</v>
      </c>
      <c r="C185">
        <f>IF(AND(VLOOKUP(C$1,main!$A$3:$H$102,7,FALSE)=main!$G$104,VLOOKUP(C$1,main!$A$3:$H$102,5,FALSE)-VLOOKUP($A185,main!$A$3:$H$102,6,FALSE)&gt;=main!$D$103+VLOOKUP(VLOOKUP(C$1,main!$A$3:$I$102,7,FALSE),main!$K$26:$Q$29,4,FALSE)),1,0)</f>
        <v>0</v>
      </c>
      <c r="D185">
        <f>IF(AND(VLOOKUP(D$1,main!$A$3:$H$102,7,FALSE)=main!$G$104,VLOOKUP(D$1,main!$A$3:$H$102,5,FALSE)-VLOOKUP($A185,main!$A$3:$H$102,6,FALSE)&gt;=main!$D$103+VLOOKUP(VLOOKUP(D$1,main!$A$3:$I$102,7,FALSE),main!$K$26:$Q$29,4,FALSE)),1,0)</f>
        <v>0</v>
      </c>
      <c r="E185">
        <f>IF(AND(VLOOKUP(E$1,main!$A$3:$H$102,7,FALSE)=main!$G$104,VLOOKUP(E$1,main!$A$3:$H$102,5,FALSE)-VLOOKUP($A185,main!$A$3:$H$102,6,FALSE)&gt;=main!$D$103+VLOOKUP(VLOOKUP(E$1,main!$A$3:$I$102,7,FALSE),main!$K$26:$Q$29,4,FALSE)),1,0)</f>
        <v>0</v>
      </c>
      <c r="F185">
        <f>IF(AND(VLOOKUP(F$1,main!$A$3:$H$102,7,FALSE)=main!$G$104,VLOOKUP(F$1,main!$A$3:$H$102,5,FALSE)-VLOOKUP($A185,main!$A$3:$H$102,6,FALSE)&gt;=main!$D$103+VLOOKUP(VLOOKUP(F$1,main!$A$3:$I$102,7,FALSE),main!$K$26:$Q$29,4,FALSE)),1,0)</f>
        <v>0</v>
      </c>
      <c r="G185">
        <f>IF(AND(VLOOKUP(G$1,main!$A$3:$H$102,7,FALSE)=main!$G$104,VLOOKUP(G$1,main!$A$3:$H$102,5,FALSE)-VLOOKUP($A185,main!$A$3:$H$102,6,FALSE)&gt;=main!$D$103+VLOOKUP(VLOOKUP(G$1,main!$A$3:$I$102,7,FALSE),main!$K$26:$Q$29,4,FALSE)),1,0)</f>
        <v>0</v>
      </c>
      <c r="H185">
        <f>IF(AND(VLOOKUP(H$1,main!$A$3:$H$102,7,FALSE)=main!$G$104,VLOOKUP(H$1,main!$A$3:$H$102,5,FALSE)-VLOOKUP($A185,main!$A$3:$H$102,6,FALSE)&gt;=main!$D$103+VLOOKUP(VLOOKUP(H$1,main!$A$3:$I$102,7,FALSE),main!$K$26:$Q$29,4,FALSE)),1,0)</f>
        <v>0</v>
      </c>
      <c r="I185">
        <f>IF(AND(VLOOKUP(I$1,main!$A$3:$H$102,7,FALSE)=main!$G$104,VLOOKUP(I$1,main!$A$3:$H$102,5,FALSE)-VLOOKUP($A185,main!$A$3:$H$102,6,FALSE)&gt;=main!$D$103+VLOOKUP(VLOOKUP(I$1,main!$A$3:$I$102,7,FALSE),main!$K$26:$Q$29,4,FALSE)),1,0)</f>
        <v>1</v>
      </c>
      <c r="J185">
        <f>IF(AND(VLOOKUP(J$1,main!$A$3:$H$102,7,FALSE)=main!$G$104,VLOOKUP(J$1,main!$A$3:$H$102,5,FALSE)-VLOOKUP($A185,main!$A$3:$H$102,6,FALSE)&gt;=main!$D$103+VLOOKUP(VLOOKUP(J$1,main!$A$3:$I$102,7,FALSE),main!$K$26:$Q$29,4,FALSE)),1,0)</f>
        <v>1</v>
      </c>
      <c r="K185">
        <f>IF(AND(VLOOKUP(K$1,main!$A$3:$H$102,7,FALSE)=main!$G$104,VLOOKUP(K$1,main!$A$3:$H$102,5,FALSE)-VLOOKUP($A185,main!$A$3:$H$102,6,FALSE)&gt;=main!$D$103+VLOOKUP(VLOOKUP(K$1,main!$A$3:$I$102,7,FALSE),main!$K$26:$Q$29,4,FALSE)),1,0)</f>
        <v>1</v>
      </c>
      <c r="L185">
        <f>IF(AND(VLOOKUP(L$1,main!$A$3:$H$102,7,FALSE)=main!$G$104,VLOOKUP(L$1,main!$A$3:$H$102,5,FALSE)-VLOOKUP($A185,main!$A$3:$H$102,6,FALSE)&gt;=main!$D$103+VLOOKUP(VLOOKUP(L$1,main!$A$3:$I$102,7,FALSE),main!$K$26:$Q$29,4,FALSE)),1,0)</f>
        <v>1</v>
      </c>
      <c r="M185">
        <f>IF(AND(VLOOKUP(M$1,main!$A$3:$H$102,7,FALSE)=main!$G$104,VLOOKUP(M$1,main!$A$3:$H$102,5,FALSE)-VLOOKUP($A185,main!$A$3:$H$102,6,FALSE)&gt;=main!$D$103+VLOOKUP(VLOOKUP(M$1,main!$A$3:$I$102,7,FALSE),main!$K$26:$Q$29,4,FALSE)),1,0)</f>
        <v>0</v>
      </c>
      <c r="N185">
        <f>IF(AND(VLOOKUP(N$1,main!$A$3:$H$102,7,FALSE)=main!$G$104,VLOOKUP(N$1,main!$A$3:$H$102,5,FALSE)-VLOOKUP($A185,main!$A$3:$H$102,6,FALSE)&gt;=main!$D$103+VLOOKUP(VLOOKUP(N$1,main!$A$3:$I$102,7,FALSE),main!$K$26:$Q$29,4,FALSE)),1,0)</f>
        <v>0</v>
      </c>
      <c r="O185">
        <f>IF(AND(VLOOKUP(O$1,main!$A$3:$H$102,7,FALSE)=main!$G$104,VLOOKUP(O$1,main!$A$3:$H$102,5,FALSE)-VLOOKUP($A185,main!$A$3:$H$102,6,FALSE)&gt;=main!$D$103+VLOOKUP(VLOOKUP(O$1,main!$A$3:$I$102,7,FALSE),main!$K$26:$Q$29,4,FALSE)),1,0)</f>
        <v>0</v>
      </c>
      <c r="P185">
        <f>IF(AND(VLOOKUP(P$1,main!$A$3:$H$102,7,FALSE)=main!$G$104,VLOOKUP(P$1,main!$A$3:$H$102,5,FALSE)-VLOOKUP($A185,main!$A$3:$H$102,6,FALSE)&gt;=main!$D$103+VLOOKUP(VLOOKUP(P$1,main!$A$3:$I$102,7,FALSE),main!$K$26:$Q$29,4,FALSE)),1,0)</f>
        <v>0</v>
      </c>
      <c r="Q185">
        <f>IF(AND(VLOOKUP(Q$1,main!$A$3:$H$102,7,FALSE)=main!$G$104,VLOOKUP(Q$1,main!$A$3:$H$102,5,FALSE)-VLOOKUP($A185,main!$A$3:$H$102,6,FALSE)&gt;=main!$D$103+VLOOKUP(VLOOKUP(Q$1,main!$A$3:$I$102,7,FALSE),main!$K$26:$Q$29,4,FALSE)),1,0)</f>
        <v>0</v>
      </c>
      <c r="R185">
        <f>IF(AND(VLOOKUP(R$1,main!$A$3:$H$102,7,FALSE)=main!$G$104,VLOOKUP(R$1,main!$A$3:$H$102,5,FALSE)-VLOOKUP($A185,main!$A$3:$H$102,6,FALSE)&gt;=main!$D$103+VLOOKUP(VLOOKUP(R$1,main!$A$3:$I$102,7,FALSE),main!$K$26:$Q$29,4,FALSE)),1,0)</f>
        <v>0</v>
      </c>
      <c r="S185">
        <f>IF(AND(VLOOKUP(S$1,main!$A$3:$H$102,7,FALSE)=main!$G$104,VLOOKUP(S$1,main!$A$3:$H$102,5,FALSE)-VLOOKUP($A185,main!$A$3:$H$102,6,FALSE)&gt;=main!$D$103+VLOOKUP(VLOOKUP(S$1,main!$A$3:$I$102,7,FALSE),main!$K$26:$Q$29,4,FALSE)),1,0)</f>
        <v>0</v>
      </c>
      <c r="T185">
        <f>IF(AND(VLOOKUP(T$1,main!$A$3:$H$102,7,FALSE)=main!$G$104,VLOOKUP(T$1,main!$A$3:$H$102,5,FALSE)-VLOOKUP($A185,main!$A$3:$H$102,6,FALSE)&gt;=main!$D$103+VLOOKUP(VLOOKUP(T$1,main!$A$3:$I$102,7,FALSE),main!$K$26:$Q$29,4,FALSE)),1,0)</f>
        <v>1</v>
      </c>
      <c r="U185">
        <f>IF(AND(VLOOKUP(U$1,main!$A$3:$H$102,7,FALSE)=main!$G$104,VLOOKUP(U$1,main!$A$3:$H$102,5,FALSE)-VLOOKUP($A185,main!$A$3:$H$102,6,FALSE)&gt;=main!$D$103+VLOOKUP(VLOOKUP(U$1,main!$A$3:$I$102,7,FALSE),main!$K$26:$Q$29,4,FALSE)),1,0)</f>
        <v>1</v>
      </c>
      <c r="V185">
        <f>IF(AND(VLOOKUP(V$1,main!$A$3:$H$102,7,FALSE)=main!$G$104,VLOOKUP(V$1,main!$A$3:$H$102,5,FALSE)-VLOOKUP($A185,main!$A$3:$H$102,6,FALSE)&gt;=main!$D$103+VLOOKUP(VLOOKUP(V$1,main!$A$3:$I$102,7,FALSE),main!$K$26:$Q$29,4,FALSE)),1,0)</f>
        <v>1</v>
      </c>
      <c r="W185">
        <f>IF(AND(VLOOKUP(W$1,main!$A$3:$H$102,7,FALSE)=main!$G$104,VLOOKUP(W$1,main!$A$3:$H$102,5,FALSE)-VLOOKUP($A185,main!$A$3:$H$102,6,FALSE)&gt;=main!$D$103+VLOOKUP(VLOOKUP(W$1,main!$A$3:$I$102,7,FALSE),main!$K$26:$Q$29,4,FALSE)),1,0)</f>
        <v>0</v>
      </c>
      <c r="X185">
        <f>IF(AND(VLOOKUP(X$1,main!$A$3:$H$102,7,FALSE)=main!$G$104,VLOOKUP(X$1,main!$A$3:$H$102,5,FALSE)-VLOOKUP($A185,main!$A$3:$H$102,6,FALSE)&gt;=main!$D$103+VLOOKUP(VLOOKUP(X$1,main!$A$3:$I$102,7,FALSE),main!$K$26:$Q$29,4,FALSE)),1,0)</f>
        <v>0</v>
      </c>
      <c r="Y185">
        <f>IF(AND(VLOOKUP(Y$1,main!$A$3:$H$102,7,FALSE)=main!$G$104,VLOOKUP(Y$1,main!$A$3:$H$102,5,FALSE)-VLOOKUP($A185,main!$A$3:$H$102,6,FALSE)&gt;=main!$D$103+VLOOKUP(VLOOKUP(Y$1,main!$A$3:$I$102,7,FALSE),main!$K$26:$Q$29,4,FALSE)),1,0)</f>
        <v>0</v>
      </c>
      <c r="Z185">
        <f>IF(AND(VLOOKUP(Z$1,main!$A$3:$H$102,7,FALSE)=main!$G$104,VLOOKUP(Z$1,main!$A$3:$H$102,5,FALSE)-VLOOKUP($A185,main!$A$3:$H$102,6,FALSE)&gt;=main!$D$103+VLOOKUP(VLOOKUP(Z$1,main!$A$3:$I$102,7,FALSE),main!$K$26:$Q$29,4,FALSE)),1,0)</f>
        <v>1</v>
      </c>
      <c r="AA185">
        <f>IF(AND(VLOOKUP(AA$1,main!$A$3:$H$102,7,FALSE)=main!$G$104,VLOOKUP(AA$1,main!$A$3:$H$102,5,FALSE)-VLOOKUP($A185,main!$A$3:$H$102,6,FALSE)&gt;=main!$D$103+VLOOKUP(VLOOKUP(AA$1,main!$A$3:$I$102,7,FALSE),main!$K$26:$Q$29,4,FALSE)),1,0)</f>
        <v>1</v>
      </c>
      <c r="AB185">
        <f>IF(AND(VLOOKUP(AB$1,main!$A$3:$H$102,7,FALSE)=main!$G$104,VLOOKUP(AB$1,main!$A$3:$H$102,5,FALSE)-VLOOKUP($A185,main!$A$3:$H$102,6,FALSE)&gt;=main!$D$103+VLOOKUP(VLOOKUP(AB$1,main!$A$3:$I$102,7,FALSE),main!$K$26:$Q$29,4,FALSE)),1,0)</f>
        <v>0</v>
      </c>
      <c r="AC185">
        <f>IF(AND(VLOOKUP(AC$1,main!$A$3:$H$102,7,FALSE)=main!$G$104,VLOOKUP(AC$1,main!$A$3:$H$102,5,FALSE)-VLOOKUP($A185,main!$A$3:$H$102,6,FALSE)&gt;=main!$D$103+VLOOKUP(VLOOKUP(AC$1,main!$A$3:$I$102,7,FALSE),main!$K$26:$Q$29,4,FALSE)),1,0)</f>
        <v>0</v>
      </c>
      <c r="AD185">
        <f>IF(AND(VLOOKUP(AD$1,main!$A$3:$H$102,7,FALSE)=main!$G$104,VLOOKUP(AD$1,main!$A$3:$H$102,5,FALSE)-VLOOKUP($A185,main!$A$3:$H$102,6,FALSE)&gt;=main!$D$103+VLOOKUP(VLOOKUP(AD$1,main!$A$3:$I$102,7,FALSE),main!$K$26:$Q$29,4,FALSE)),1,0)</f>
        <v>0</v>
      </c>
      <c r="AE185">
        <f>IF(AND(VLOOKUP(AE$1,main!$A$3:$H$102,7,FALSE)=main!$G$104,VLOOKUP(AE$1,main!$A$3:$H$102,5,FALSE)-VLOOKUP($A185,main!$A$3:$H$102,6,FALSE)&gt;=main!$D$103+VLOOKUP(VLOOKUP(AE$1,main!$A$3:$I$102,7,FALSE),main!$K$26:$Q$29,4,FALSE)),1,0)</f>
        <v>0</v>
      </c>
      <c r="AF185">
        <f>IF(AND(VLOOKUP(AF$1,main!$A$3:$H$102,7,FALSE)=main!$G$104,VLOOKUP(AF$1,main!$A$3:$H$102,5,FALSE)-VLOOKUP($A185,main!$A$3:$H$102,6,FALSE)&gt;=main!$D$103+VLOOKUP(VLOOKUP(AF$1,main!$A$3:$I$102,7,FALSE),main!$K$26:$Q$29,4,FALSE)),1,0)</f>
        <v>1</v>
      </c>
      <c r="AG185">
        <f>IF(AND(VLOOKUP(AG$1,main!$A$3:$H$102,7,FALSE)=main!$G$104,VLOOKUP(AG$1,main!$A$3:$H$102,5,FALSE)-VLOOKUP($A185,main!$A$3:$H$102,6,FALSE)&gt;=main!$D$103+VLOOKUP(VLOOKUP(AG$1,main!$A$3:$I$102,7,FALSE),main!$K$26:$Q$29,4,FALSE)),1,0)</f>
        <v>0</v>
      </c>
      <c r="AH185">
        <f>IF(AND(VLOOKUP(AH$1,main!$A$3:$H$102,7,FALSE)=main!$G$104,VLOOKUP(AH$1,main!$A$3:$H$102,5,FALSE)-VLOOKUP($A185,main!$A$3:$H$102,6,FALSE)&gt;=main!$D$103+VLOOKUP(VLOOKUP(AH$1,main!$A$3:$I$102,7,FALSE),main!$K$26:$Q$29,4,FALSE)),1,0)</f>
        <v>0</v>
      </c>
      <c r="AI185">
        <f>IF(AND(VLOOKUP(AI$1,main!$A$3:$H$102,7,FALSE)=main!$G$104,VLOOKUP(AI$1,main!$A$3:$H$102,5,FALSE)-VLOOKUP($A185,main!$A$3:$H$102,6,FALSE)&gt;=main!$D$103+VLOOKUP(VLOOKUP(AI$1,main!$A$3:$I$102,7,FALSE),main!$K$26:$Q$29,4,FALSE)),1,0)</f>
        <v>0</v>
      </c>
      <c r="AJ185">
        <f>IF(AND(VLOOKUP(AJ$1,main!$A$3:$H$102,7,FALSE)=main!$G$104,VLOOKUP(AJ$1,main!$A$3:$H$102,5,FALSE)-VLOOKUP($A185,main!$A$3:$H$102,6,FALSE)&gt;=main!$D$103+VLOOKUP(VLOOKUP(AJ$1,main!$A$3:$I$102,7,FALSE),main!$K$26:$Q$29,4,FALSE)),1,0)</f>
        <v>0</v>
      </c>
      <c r="AK185">
        <f>IF(AND(VLOOKUP(AK$1,main!$A$3:$H$102,7,FALSE)=main!$G$104,VLOOKUP(AK$1,main!$A$3:$H$102,5,FALSE)-VLOOKUP($A185,main!$A$3:$H$102,6,FALSE)&gt;=main!$D$103+VLOOKUP(VLOOKUP(AK$1,main!$A$3:$I$102,7,FALSE),main!$K$26:$Q$29,4,FALSE)),1,0)</f>
        <v>0</v>
      </c>
      <c r="AL185">
        <f>IF(AND(VLOOKUP(AL$1,main!$A$3:$H$102,7,FALSE)=main!$G$104,VLOOKUP(AL$1,main!$A$3:$H$102,5,FALSE)-VLOOKUP($A185,main!$A$3:$H$102,6,FALSE)&gt;=main!$D$103+VLOOKUP(VLOOKUP(AL$1,main!$A$3:$I$102,7,FALSE),main!$K$26:$Q$29,4,FALSE)),1,0)</f>
        <v>0</v>
      </c>
      <c r="AM185">
        <f>IF(AND(VLOOKUP(AM$1,main!$A$3:$H$102,7,FALSE)=main!$G$104,VLOOKUP(AM$1,main!$A$3:$H$102,5,FALSE)-VLOOKUP($A185,main!$A$3:$H$102,6,FALSE)&gt;=main!$D$103+VLOOKUP(VLOOKUP(AM$1,main!$A$3:$I$102,7,FALSE),main!$K$26:$Q$29,4,FALSE)),1,0)</f>
        <v>0</v>
      </c>
      <c r="AN185">
        <f>IF(AND(VLOOKUP(AN$1,main!$A$3:$H$102,7,FALSE)=main!$G$104,VLOOKUP(AN$1,main!$A$3:$H$102,5,FALSE)-VLOOKUP($A185,main!$A$3:$H$102,6,FALSE)&gt;=main!$D$103+VLOOKUP(VLOOKUP(AN$1,main!$A$3:$I$102,7,FALSE),main!$K$26:$Q$29,4,FALSE)),1,0)</f>
        <v>0</v>
      </c>
      <c r="AO185">
        <f>IF(AND(VLOOKUP(AO$1,main!$A$3:$H$102,7,FALSE)=main!$G$104,VLOOKUP(AO$1,main!$A$3:$H$102,5,FALSE)-VLOOKUP($A185,main!$A$3:$H$102,6,FALSE)&gt;=main!$D$103+VLOOKUP(VLOOKUP(AO$1,main!$A$3:$I$102,7,FALSE),main!$K$26:$Q$29,4,FALSE)),1,0)</f>
        <v>0</v>
      </c>
      <c r="AP185">
        <f>IF(AND(VLOOKUP(AP$1,main!$A$3:$H$102,7,FALSE)=main!$G$104,VLOOKUP(AP$1,main!$A$3:$H$102,5,FALSE)-VLOOKUP($A185,main!$A$3:$H$102,6,FALSE)&gt;=main!$D$103+VLOOKUP(VLOOKUP(AP$1,main!$A$3:$I$102,7,FALSE),main!$K$26:$Q$29,4,FALSE)),1,0)</f>
        <v>0</v>
      </c>
      <c r="AQ185">
        <f>IF(AND(VLOOKUP(AQ$1,main!$A$3:$H$102,7,FALSE)=main!$G$104,VLOOKUP(AQ$1,main!$A$3:$H$102,5,FALSE)-VLOOKUP($A185,main!$A$3:$H$102,6,FALSE)&gt;=main!$D$103+VLOOKUP(VLOOKUP(AQ$1,main!$A$3:$I$102,7,FALSE),main!$K$26:$Q$29,4,FALSE)),1,0)</f>
        <v>0</v>
      </c>
      <c r="AR185">
        <f>IF(AND(VLOOKUP(AR$1,main!$A$3:$H$102,7,FALSE)=main!$G$104,VLOOKUP(AR$1,main!$A$3:$H$102,5,FALSE)-VLOOKUP($A185,main!$A$3:$H$102,6,FALSE)&gt;=main!$D$103+VLOOKUP(VLOOKUP(AR$1,main!$A$3:$I$102,7,FALSE),main!$K$26:$Q$29,4,FALSE)),1,0)</f>
        <v>0</v>
      </c>
      <c r="AS185">
        <f>IF(AND(VLOOKUP(AS$1,main!$A$3:$H$102,7,FALSE)=main!$G$104,VLOOKUP(AS$1,main!$A$3:$H$102,5,FALSE)-VLOOKUP($A185,main!$A$3:$H$102,6,FALSE)&gt;=main!$D$103+VLOOKUP(VLOOKUP(AS$1,main!$A$3:$I$102,7,FALSE),main!$K$26:$Q$29,4,FALSE)),1,0)</f>
        <v>0</v>
      </c>
      <c r="AT185">
        <f>IF(AND(VLOOKUP(AT$1,main!$A$3:$H$102,7,FALSE)=main!$G$104,VLOOKUP(AT$1,main!$A$3:$H$102,5,FALSE)-VLOOKUP($A185,main!$A$3:$H$102,6,FALSE)&gt;=main!$D$103+VLOOKUP(VLOOKUP(AT$1,main!$A$3:$I$102,7,FALSE),main!$K$26:$Q$29,4,FALSE)),1,0)</f>
        <v>0</v>
      </c>
      <c r="AU185">
        <f>IF(AND(VLOOKUP(AU$1,main!$A$3:$H$102,7,FALSE)=main!$G$104,VLOOKUP(AU$1,main!$A$3:$H$102,5,FALSE)-VLOOKUP($A185,main!$A$3:$H$102,6,FALSE)&gt;=main!$D$103+VLOOKUP(VLOOKUP(AU$1,main!$A$3:$I$102,7,FALSE),main!$K$26:$Q$29,4,FALSE)),1,0)</f>
        <v>0</v>
      </c>
      <c r="AV185">
        <f>IF(AND(VLOOKUP(AV$1,main!$A$3:$H$102,7,FALSE)=main!$G$104,VLOOKUP(AV$1,main!$A$3:$H$102,5,FALSE)-VLOOKUP($A185,main!$A$3:$H$102,6,FALSE)&gt;=main!$D$103+VLOOKUP(VLOOKUP(AV$1,main!$A$3:$I$102,7,FALSE),main!$K$26:$Q$29,4,FALSE)),1,0)</f>
        <v>0</v>
      </c>
      <c r="AW185">
        <f>IF(AND(VLOOKUP(AW$1,main!$A$3:$H$102,7,FALSE)=main!$G$104,VLOOKUP(AW$1,main!$A$3:$H$102,5,FALSE)-VLOOKUP($A185,main!$A$3:$H$102,6,FALSE)&gt;=main!$D$103+VLOOKUP(VLOOKUP(AW$1,main!$A$3:$I$102,7,FALSE),main!$K$26:$Q$29,4,FALSE)),1,0)</f>
        <v>0</v>
      </c>
      <c r="AX185">
        <f>IF(AND(VLOOKUP(AX$1,main!$A$3:$H$102,7,FALSE)=main!$G$104,VLOOKUP(AX$1,main!$A$3:$H$102,5,FALSE)-VLOOKUP($A185,main!$A$3:$H$102,6,FALSE)&gt;=main!$D$103+VLOOKUP(VLOOKUP(AX$1,main!$A$3:$I$102,7,FALSE),main!$K$26:$Q$29,4,FALSE)),1,0)</f>
        <v>0</v>
      </c>
      <c r="AY185">
        <f>IF(AND(VLOOKUP(AY$1,main!$A$3:$H$102,7,FALSE)=main!$G$104,VLOOKUP(AY$1,main!$A$3:$H$102,5,FALSE)-VLOOKUP($A185,main!$A$3:$H$102,6,FALSE)&gt;=main!$D$103+VLOOKUP(VLOOKUP(AY$1,main!$A$3:$I$102,7,FALSE),main!$K$26:$Q$29,4,FALSE)),1,0)</f>
        <v>0</v>
      </c>
      <c r="AZ185">
        <f>IF(AND(VLOOKUP(AZ$1,main!$A$3:$H$102,7,FALSE)=main!$G$104,VLOOKUP(AZ$1,main!$A$3:$H$102,5,FALSE)-VLOOKUP($A185,main!$A$3:$H$102,6,FALSE)&gt;=main!$D$103+VLOOKUP(VLOOKUP(AZ$1,main!$A$3:$I$102,7,FALSE),main!$K$26:$Q$29,4,FALSE)),1,0)</f>
        <v>0</v>
      </c>
      <c r="BA185">
        <f>IF(AND(VLOOKUP(BA$1,main!$A$3:$H$102,7,FALSE)=main!$G$104,VLOOKUP(BA$1,main!$A$3:$H$102,5,FALSE)-VLOOKUP($A185,main!$A$3:$H$102,6,FALSE)&gt;=main!$D$103+VLOOKUP(VLOOKUP(BA$1,main!$A$3:$I$102,7,FALSE),main!$K$26:$Q$29,4,FALSE)),1,0)</f>
        <v>0</v>
      </c>
      <c r="BB185">
        <f>IF(AND(VLOOKUP(BB$1,main!$A$3:$H$102,7,FALSE)=main!$G$104,VLOOKUP(BB$1,main!$A$3:$H$102,5,FALSE)-VLOOKUP($A185,main!$A$3:$H$102,6,FALSE)&gt;=main!$D$103+VLOOKUP(VLOOKUP(BB$1,main!$A$3:$I$102,7,FALSE),main!$K$26:$Q$29,4,FALSE)),1,0)</f>
        <v>0</v>
      </c>
      <c r="BC185">
        <f>IF(AND(VLOOKUP(BC$1,main!$A$3:$H$102,7,FALSE)=main!$G$104,VLOOKUP(BC$1,main!$A$3:$H$102,5,FALSE)-VLOOKUP($A185,main!$A$3:$H$102,6,FALSE)&gt;=main!$D$103+VLOOKUP(VLOOKUP(BC$1,main!$A$3:$I$102,7,FALSE),main!$K$26:$Q$29,4,FALSE)),1,0)</f>
        <v>0</v>
      </c>
      <c r="BD185">
        <f>IF(AND(VLOOKUP(BD$1,main!$A$3:$H$102,7,FALSE)=main!$G$104,VLOOKUP(BD$1,main!$A$3:$H$102,5,FALSE)-VLOOKUP($A185,main!$A$3:$H$102,6,FALSE)&gt;=main!$D$103+VLOOKUP(VLOOKUP(BD$1,main!$A$3:$I$102,7,FALSE),main!$K$26:$Q$29,4,FALSE)),1,0)</f>
        <v>0</v>
      </c>
      <c r="BE185">
        <f>IF(AND(VLOOKUP(BE$1,main!$A$3:$H$102,7,FALSE)=main!$G$104,VLOOKUP(BE$1,main!$A$3:$H$102,5,FALSE)-VLOOKUP($A185,main!$A$3:$H$102,6,FALSE)&gt;=main!$D$103+VLOOKUP(VLOOKUP(BE$1,main!$A$3:$I$102,7,FALSE),main!$K$26:$Q$29,4,FALSE)),1,0)</f>
        <v>0</v>
      </c>
      <c r="BF185">
        <f>IF(AND(VLOOKUP(BF$1,main!$A$3:$H$102,7,FALSE)=main!$G$104,VLOOKUP(BF$1,main!$A$3:$H$102,5,FALSE)-VLOOKUP($A185,main!$A$3:$H$102,6,FALSE)&gt;=main!$D$103+VLOOKUP(VLOOKUP(BF$1,main!$A$3:$I$102,7,FALSE),main!$K$26:$Q$29,4,FALSE)),1,0)</f>
        <v>0</v>
      </c>
      <c r="BG185">
        <f>IF(AND(VLOOKUP(BG$1,main!$A$3:$H$102,7,FALSE)=main!$G$104,VLOOKUP(BG$1,main!$A$3:$H$102,5,FALSE)-VLOOKUP($A185,main!$A$3:$H$102,6,FALSE)&gt;=main!$D$103+VLOOKUP(VLOOKUP(BG$1,main!$A$3:$I$102,7,FALSE),main!$K$26:$Q$29,4,FALSE)),1,0)</f>
        <v>0</v>
      </c>
      <c r="BH185">
        <f>IF(AND(VLOOKUP(BH$1,main!$A$3:$H$102,7,FALSE)=main!$G$104,VLOOKUP(BH$1,main!$A$3:$H$102,5,FALSE)-VLOOKUP($A185,main!$A$3:$H$102,6,FALSE)&gt;=main!$D$103+VLOOKUP(VLOOKUP(BH$1,main!$A$3:$I$102,7,FALSE),main!$K$26:$Q$29,4,FALSE)),1,0)</f>
        <v>0</v>
      </c>
      <c r="BI185">
        <f>IF(AND(VLOOKUP(BI$1,main!$A$3:$H$102,7,FALSE)=main!$G$104,VLOOKUP(BI$1,main!$A$3:$H$102,5,FALSE)-VLOOKUP($A185,main!$A$3:$H$102,6,FALSE)&gt;=main!$D$103+VLOOKUP(VLOOKUP(BI$1,main!$A$3:$I$102,7,FALSE),main!$K$26:$Q$29,4,FALSE)),1,0)</f>
        <v>0</v>
      </c>
      <c r="BJ185">
        <f>IF(AND(VLOOKUP(BJ$1,main!$A$3:$H$102,7,FALSE)=main!$G$104,VLOOKUP(BJ$1,main!$A$3:$H$102,5,FALSE)-VLOOKUP($A185,main!$A$3:$H$102,6,FALSE)&gt;=main!$D$103+VLOOKUP(VLOOKUP(BJ$1,main!$A$3:$I$102,7,FALSE),main!$K$26:$Q$29,4,FALSE)),1,0)</f>
        <v>0</v>
      </c>
      <c r="BK185">
        <f>IF(AND(VLOOKUP(BK$1,main!$A$3:$H$102,7,FALSE)=main!$G$104,VLOOKUP(BK$1,main!$A$3:$H$102,5,FALSE)-VLOOKUP($A185,main!$A$3:$H$102,6,FALSE)&gt;=main!$D$103+VLOOKUP(VLOOKUP(BK$1,main!$A$3:$I$102,7,FALSE),main!$K$26:$Q$29,4,FALSE)),1,0)</f>
        <v>0</v>
      </c>
      <c r="BL185">
        <f>IF(AND(VLOOKUP(BL$1,main!$A$3:$H$102,7,FALSE)=main!$G$104,VLOOKUP(BL$1,main!$A$3:$H$102,5,FALSE)-VLOOKUP($A185,main!$A$3:$H$102,6,FALSE)&gt;=main!$D$103+VLOOKUP(VLOOKUP(BL$1,main!$A$3:$I$102,7,FALSE),main!$K$26:$Q$29,4,FALSE)),1,0)</f>
        <v>0</v>
      </c>
      <c r="BM185">
        <f>IF(AND(VLOOKUP(BM$1,main!$A$3:$H$102,7,FALSE)=main!$G$104,VLOOKUP(BM$1,main!$A$3:$H$102,5,FALSE)-VLOOKUP($A185,main!$A$3:$H$102,6,FALSE)&gt;=main!$D$103+VLOOKUP(VLOOKUP(BM$1,main!$A$3:$I$102,7,FALSE),main!$K$26:$Q$29,4,FALSE)),1,0)</f>
        <v>0</v>
      </c>
      <c r="BN185">
        <f>IF(AND(VLOOKUP(BN$1,main!$A$3:$H$102,7,FALSE)=main!$G$104,VLOOKUP(BN$1,main!$A$3:$H$102,5,FALSE)-VLOOKUP($A185,main!$A$3:$H$102,6,FALSE)&gt;=main!$D$103+VLOOKUP(VLOOKUP(BN$1,main!$A$3:$I$102,7,FALSE),main!$K$26:$Q$29,4,FALSE)),1,0)</f>
        <v>0</v>
      </c>
      <c r="BO185">
        <f>IF(AND(VLOOKUP(BO$1,main!$A$3:$H$102,7,FALSE)=main!$G$104,VLOOKUP(BO$1,main!$A$3:$H$102,5,FALSE)-VLOOKUP($A185,main!$A$3:$H$102,6,FALSE)&gt;=main!$D$103+VLOOKUP(VLOOKUP(BO$1,main!$A$3:$I$102,7,FALSE),main!$K$26:$Q$29,4,FALSE)),1,0)</f>
        <v>0</v>
      </c>
      <c r="BP185">
        <f>IF(AND(VLOOKUP(BP$1,main!$A$3:$H$102,7,FALSE)=main!$G$104,VLOOKUP(BP$1,main!$A$3:$H$102,5,FALSE)-VLOOKUP($A185,main!$A$3:$H$102,6,FALSE)&gt;=main!$D$103+VLOOKUP(VLOOKUP(BP$1,main!$A$3:$I$102,7,FALSE),main!$K$26:$Q$29,4,FALSE)),1,0)</f>
        <v>0</v>
      </c>
      <c r="BQ185">
        <f>IF(AND(VLOOKUP(BQ$1,main!$A$3:$H$102,7,FALSE)=main!$G$104,VLOOKUP(BQ$1,main!$A$3:$H$102,5,FALSE)-VLOOKUP($A185,main!$A$3:$H$102,6,FALSE)&gt;=main!$D$103+VLOOKUP(VLOOKUP(BQ$1,main!$A$3:$I$102,7,FALSE),main!$K$26:$Q$29,4,FALSE)),1,0)</f>
        <v>0</v>
      </c>
      <c r="BR185">
        <f>IF(AND(VLOOKUP(BR$1,main!$A$3:$H$102,7,FALSE)=main!$G$104,VLOOKUP(BR$1,main!$A$3:$H$102,5,FALSE)-VLOOKUP($A185,main!$A$3:$H$102,6,FALSE)&gt;=main!$D$103+VLOOKUP(VLOOKUP(BR$1,main!$A$3:$I$102,7,FALSE),main!$K$26:$Q$29,4,FALSE)),1,0)</f>
        <v>0</v>
      </c>
      <c r="BS185">
        <f>IF(AND(VLOOKUP(BS$1,main!$A$3:$H$102,7,FALSE)=main!$G$104,VLOOKUP(BS$1,main!$A$3:$H$102,5,FALSE)-VLOOKUP($A185,main!$A$3:$H$102,6,FALSE)&gt;=main!$D$103+VLOOKUP(VLOOKUP(BS$1,main!$A$3:$I$102,7,FALSE),main!$K$26:$Q$29,4,FALSE)),1,0)</f>
        <v>0</v>
      </c>
      <c r="BT185">
        <f>IF(AND(VLOOKUP(BT$1,main!$A$3:$H$102,7,FALSE)=main!$G$104,VLOOKUP(BT$1,main!$A$3:$H$102,5,FALSE)-VLOOKUP($A185,main!$A$3:$H$102,6,FALSE)&gt;=main!$D$103+VLOOKUP(VLOOKUP(BT$1,main!$A$3:$I$102,7,FALSE),main!$K$26:$Q$29,4,FALSE)),1,0)</f>
        <v>0</v>
      </c>
      <c r="BU185">
        <f>IF(AND(VLOOKUP(BU$1,main!$A$3:$H$102,7,FALSE)=main!$G$104,VLOOKUP(BU$1,main!$A$3:$H$102,5,FALSE)-VLOOKUP($A185,main!$A$3:$H$102,6,FALSE)&gt;=main!$D$103+VLOOKUP(VLOOKUP(BU$1,main!$A$3:$I$102,7,FALSE),main!$K$26:$Q$29,4,FALSE)),1,0)</f>
        <v>0</v>
      </c>
      <c r="BV185">
        <f>IF(AND(VLOOKUP(BV$1,main!$A$3:$H$102,7,FALSE)=main!$G$104,VLOOKUP(BV$1,main!$A$3:$H$102,5,FALSE)-VLOOKUP($A185,main!$A$3:$H$102,6,FALSE)&gt;=main!$D$103+VLOOKUP(VLOOKUP(BV$1,main!$A$3:$I$102,7,FALSE),main!$K$26:$Q$29,4,FALSE)),1,0)</f>
        <v>0</v>
      </c>
      <c r="BW185">
        <f>IF(AND(VLOOKUP(BW$1,main!$A$3:$H$102,7,FALSE)=main!$G$104,VLOOKUP(BW$1,main!$A$3:$H$102,5,FALSE)-VLOOKUP($A185,main!$A$3:$H$102,6,FALSE)&gt;=main!$D$103+VLOOKUP(VLOOKUP(BW$1,main!$A$3:$I$102,7,FALSE),main!$K$26:$Q$29,4,FALSE)),1,0)</f>
        <v>0</v>
      </c>
      <c r="BX185">
        <f>IF(AND(VLOOKUP(BX$1,main!$A$3:$H$102,7,FALSE)=main!$G$104,VLOOKUP(BX$1,main!$A$3:$H$102,5,FALSE)-VLOOKUP($A185,main!$A$3:$H$102,6,FALSE)&gt;=main!$D$103+VLOOKUP(VLOOKUP(BX$1,main!$A$3:$I$102,7,FALSE),main!$K$26:$Q$29,4,FALSE)),1,0)</f>
        <v>0</v>
      </c>
      <c r="BY185">
        <f>IF(AND(VLOOKUP(BY$1,main!$A$3:$H$102,7,FALSE)=main!$G$104,VLOOKUP(BY$1,main!$A$3:$H$102,5,FALSE)-VLOOKUP($A185,main!$A$3:$H$102,6,FALSE)&gt;=main!$D$103+VLOOKUP(VLOOKUP(BY$1,main!$A$3:$I$102,7,FALSE),main!$K$26:$Q$29,4,FALSE)),1,0)</f>
        <v>0</v>
      </c>
      <c r="BZ185">
        <f>IF(AND(VLOOKUP(BZ$1,main!$A$3:$H$102,7,FALSE)=main!$G$104,VLOOKUP(BZ$1,main!$A$3:$H$102,5,FALSE)-VLOOKUP($A185,main!$A$3:$H$102,6,FALSE)&gt;=main!$D$103+VLOOKUP(VLOOKUP(BZ$1,main!$A$3:$I$102,7,FALSE),main!$K$26:$Q$29,4,FALSE)),1,0)</f>
        <v>0</v>
      </c>
      <c r="CA185">
        <f>IF(AND(VLOOKUP(CA$1,main!$A$3:$H$102,7,FALSE)=main!$G$104,VLOOKUP(CA$1,main!$A$3:$H$102,5,FALSE)-VLOOKUP($A185,main!$A$3:$H$102,6,FALSE)&gt;=main!$D$103+VLOOKUP(VLOOKUP(CA$1,main!$A$3:$I$102,7,FALSE),main!$K$26:$Q$29,4,FALSE)),1,0)</f>
        <v>0</v>
      </c>
      <c r="CB185">
        <f>IF(AND(VLOOKUP(CB$1,main!$A$3:$H$102,7,FALSE)=main!$G$104,VLOOKUP(CB$1,main!$A$3:$H$102,5,FALSE)-VLOOKUP($A185,main!$A$3:$H$102,6,FALSE)&gt;=main!$D$103+VLOOKUP(VLOOKUP(CB$1,main!$A$3:$I$102,7,FALSE),main!$K$26:$Q$29,4,FALSE)),1,0)</f>
        <v>0</v>
      </c>
      <c r="CC185">
        <f>IF(AND(VLOOKUP(CC$1,main!$A$3:$H$102,7,FALSE)=main!$G$104,VLOOKUP(CC$1,main!$A$3:$H$102,5,FALSE)-VLOOKUP($A185,main!$A$3:$H$102,6,FALSE)&gt;=main!$D$103+VLOOKUP(VLOOKUP(CC$1,main!$A$3:$I$102,7,FALSE),main!$K$26:$Q$29,4,FALSE)),1,0)</f>
        <v>0</v>
      </c>
      <c r="CD185">
        <f>IF(AND(VLOOKUP(CD$1,main!$A$3:$H$102,7,FALSE)=main!$G$104,VLOOKUP(CD$1,main!$A$3:$H$102,5,FALSE)-VLOOKUP($A185,main!$A$3:$H$102,6,FALSE)&gt;=main!$D$103+VLOOKUP(VLOOKUP(CD$1,main!$A$3:$I$102,7,FALSE),main!$K$26:$Q$29,4,FALSE)),1,0)</f>
        <v>0</v>
      </c>
      <c r="CE185">
        <f>IF(AND(VLOOKUP(CE$1,main!$A$3:$H$102,7,FALSE)=main!$G$104,VLOOKUP(CE$1,main!$A$3:$H$102,5,FALSE)-VLOOKUP($A185,main!$A$3:$H$102,6,FALSE)&gt;=main!$D$103+VLOOKUP(VLOOKUP(CE$1,main!$A$3:$I$102,7,FALSE),main!$K$26:$Q$29,4,FALSE)),1,0)</f>
        <v>0</v>
      </c>
      <c r="CF185">
        <f>IF(AND(VLOOKUP(CF$1,main!$A$3:$H$102,7,FALSE)=main!$G$104,VLOOKUP(CF$1,main!$A$3:$H$102,5,FALSE)-VLOOKUP($A185,main!$A$3:$H$102,6,FALSE)&gt;=main!$D$103+VLOOKUP(VLOOKUP(CF$1,main!$A$3:$I$102,7,FALSE),main!$K$26:$Q$29,4,FALSE)),1,0)</f>
        <v>0</v>
      </c>
      <c r="CG185">
        <f>IF(AND(VLOOKUP(CG$1,main!$A$3:$H$102,7,FALSE)=main!$G$104,VLOOKUP(CG$1,main!$A$3:$H$102,5,FALSE)-VLOOKUP($A185,main!$A$3:$H$102,6,FALSE)&gt;=main!$D$103+VLOOKUP(VLOOKUP(CG$1,main!$A$3:$I$102,7,FALSE),main!$K$26:$Q$29,4,FALSE)),1,0)</f>
        <v>0</v>
      </c>
      <c r="CH185">
        <f>IF(AND(VLOOKUP(CH$1,main!$A$3:$H$102,7,FALSE)=main!$G$104,VLOOKUP(CH$1,main!$A$3:$H$102,5,FALSE)-VLOOKUP($A185,main!$A$3:$H$102,6,FALSE)&gt;=main!$D$103+VLOOKUP(VLOOKUP(CH$1,main!$A$3:$I$102,7,FALSE),main!$K$26:$Q$29,4,FALSE)),1,0)</f>
        <v>0</v>
      </c>
      <c r="CI185">
        <f>IF(AND(VLOOKUP(CI$1,main!$A$3:$H$102,7,FALSE)=main!$G$104,VLOOKUP(CI$1,main!$A$3:$H$102,5,FALSE)-VLOOKUP($A185,main!$A$3:$H$102,6,FALSE)&gt;=main!$D$103+VLOOKUP(VLOOKUP(CI$1,main!$A$3:$I$102,7,FALSE),main!$K$26:$Q$29,4,FALSE)),1,0)</f>
        <v>0</v>
      </c>
      <c r="CJ185">
        <f>IF(AND(VLOOKUP(CJ$1,main!$A$3:$H$102,7,FALSE)=main!$G$104,VLOOKUP(CJ$1,main!$A$3:$H$102,5,FALSE)-VLOOKUP($A185,main!$A$3:$H$102,6,FALSE)&gt;=main!$D$103+VLOOKUP(VLOOKUP(CJ$1,main!$A$3:$I$102,7,FALSE),main!$K$26:$Q$29,4,FALSE)),1,0)</f>
        <v>0</v>
      </c>
      <c r="CK185">
        <f>IF(AND(VLOOKUP(CK$1,main!$A$3:$H$102,7,FALSE)=main!$G$104,VLOOKUP(CK$1,main!$A$3:$H$102,5,FALSE)-VLOOKUP($A185,main!$A$3:$H$102,6,FALSE)&gt;=main!$D$103+VLOOKUP(VLOOKUP(CK$1,main!$A$3:$I$102,7,FALSE),main!$K$26:$Q$29,4,FALSE)),1,0)</f>
        <v>0</v>
      </c>
      <c r="CL185">
        <f>IF(AND(VLOOKUP(CL$1,main!$A$3:$H$102,7,FALSE)=main!$G$104,VLOOKUP(CL$1,main!$A$3:$H$102,5,FALSE)-VLOOKUP($A185,main!$A$3:$H$102,6,FALSE)&gt;=main!$D$103+VLOOKUP(VLOOKUP(CL$1,main!$A$3:$I$102,7,FALSE),main!$K$26:$Q$29,4,FALSE)),1,0)</f>
        <v>0</v>
      </c>
      <c r="CM185">
        <f>IF(AND(VLOOKUP(CM$1,main!$A$3:$H$102,7,FALSE)=main!$G$104,VLOOKUP(CM$1,main!$A$3:$H$102,5,FALSE)-VLOOKUP($A185,main!$A$3:$H$102,6,FALSE)&gt;=main!$D$103+VLOOKUP(VLOOKUP(CM$1,main!$A$3:$I$102,7,FALSE),main!$K$26:$Q$29,4,FALSE)),1,0)</f>
        <v>0</v>
      </c>
      <c r="CN185">
        <f>IF(AND(VLOOKUP(CN$1,main!$A$3:$H$102,7,FALSE)=main!$G$104,VLOOKUP(CN$1,main!$A$3:$H$102,5,FALSE)-VLOOKUP($A185,main!$A$3:$H$102,6,FALSE)&gt;=main!$D$103+VLOOKUP(VLOOKUP(CN$1,main!$A$3:$I$102,7,FALSE),main!$K$26:$Q$29,4,FALSE)),1,0)</f>
        <v>0</v>
      </c>
      <c r="CO185">
        <f>IF(AND(VLOOKUP(CO$1,main!$A$3:$H$102,7,FALSE)=main!$G$104,VLOOKUP(CO$1,main!$A$3:$H$102,5,FALSE)-VLOOKUP($A185,main!$A$3:$H$102,6,FALSE)&gt;=main!$D$103+VLOOKUP(VLOOKUP(CO$1,main!$A$3:$I$102,7,FALSE),main!$K$26:$Q$29,4,FALSE)),1,0)</f>
        <v>0</v>
      </c>
      <c r="CP185">
        <f>IF(AND(VLOOKUP(CP$1,main!$A$3:$H$102,7,FALSE)=main!$G$104,VLOOKUP(CP$1,main!$A$3:$H$102,5,FALSE)-VLOOKUP($A185,main!$A$3:$H$102,6,FALSE)&gt;=main!$D$103+VLOOKUP(VLOOKUP(CP$1,main!$A$3:$I$102,7,FALSE),main!$K$26:$Q$29,4,FALSE)),1,0)</f>
        <v>0</v>
      </c>
      <c r="CQ185">
        <f>IF(AND(VLOOKUP(CQ$1,main!$A$3:$H$102,7,FALSE)=main!$G$104,VLOOKUP(CQ$1,main!$A$3:$H$102,5,FALSE)-VLOOKUP($A185,main!$A$3:$H$102,6,FALSE)&gt;=main!$D$103+VLOOKUP(VLOOKUP(CQ$1,main!$A$3:$I$102,7,FALSE),main!$K$26:$Q$29,4,FALSE)),1,0)</f>
        <v>0</v>
      </c>
      <c r="CR185">
        <f>IF(AND(VLOOKUP(CR$1,main!$A$3:$H$102,7,FALSE)=main!$G$104,VLOOKUP(CR$1,main!$A$3:$H$102,5,FALSE)-VLOOKUP($A185,main!$A$3:$H$102,6,FALSE)&gt;=main!$D$103+VLOOKUP(VLOOKUP(CR$1,main!$A$3:$I$102,7,FALSE),main!$K$26:$Q$29,4,FALSE)),1,0)</f>
        <v>0</v>
      </c>
      <c r="CS185">
        <f>IF(AND(VLOOKUP(CS$1,main!$A$3:$H$102,7,FALSE)=main!$G$104,VLOOKUP(CS$1,main!$A$3:$H$102,5,FALSE)-VLOOKUP($A185,main!$A$3:$H$102,6,FALSE)&gt;=main!$D$103+VLOOKUP(VLOOKUP(CS$1,main!$A$3:$I$102,7,FALSE),main!$K$26:$Q$29,4,FALSE)),1,0)</f>
        <v>0</v>
      </c>
      <c r="CT185">
        <f>IF(AND(VLOOKUP(CT$1,main!$A$3:$H$102,7,FALSE)=main!$G$104,VLOOKUP(CT$1,main!$A$3:$H$102,5,FALSE)-VLOOKUP($A185,main!$A$3:$H$102,6,FALSE)&gt;=main!$D$103+VLOOKUP(VLOOKUP(CT$1,main!$A$3:$I$102,7,FALSE),main!$K$26:$Q$29,4,FALSE)),1,0)</f>
        <v>0</v>
      </c>
      <c r="CU185">
        <f>IF(AND(VLOOKUP(CU$1,main!$A$3:$H$102,7,FALSE)=main!$G$104,VLOOKUP(CU$1,main!$A$3:$H$102,5,FALSE)-VLOOKUP($A185,main!$A$3:$H$102,6,FALSE)&gt;=main!$D$103+VLOOKUP(VLOOKUP(CU$1,main!$A$3:$I$102,7,FALSE),main!$K$26:$Q$29,4,FALSE)),1,0)</f>
        <v>0</v>
      </c>
      <c r="CV185">
        <f>IF(AND(VLOOKUP(CV$1,main!$A$3:$H$102,7,FALSE)=main!$G$104,VLOOKUP(CV$1,main!$A$3:$H$102,5,FALSE)-VLOOKUP($A185,main!$A$3:$H$102,6,FALSE)&gt;=main!$D$103+VLOOKUP(VLOOKUP(CV$1,main!$A$3:$I$102,7,FALSE),main!$K$26:$Q$29,4,FALSE)),1,0)</f>
        <v>0</v>
      </c>
      <c r="CW185">
        <f>IF(AND(VLOOKUP(CW$1,main!$A$3:$H$102,7,FALSE)=main!$G$104,VLOOKUP(CW$1,main!$A$3:$H$102,5,FALSE)-VLOOKUP($A185,main!$A$3:$H$102,6,FALSE)&gt;=main!$D$103+VLOOKUP(VLOOKUP(CW$1,main!$A$3:$I$102,7,FALSE),main!$K$26:$Q$29,4,FALSE)),1,0)</f>
        <v>0</v>
      </c>
      <c r="CX185">
        <f>IF(AND(VLOOKUP(CX$1,main!$A$3:$H$102,7,FALSE)=main!$G$104,VLOOKUP(CX$1,main!$A$3:$H$102,5,FALSE)-VLOOKUP($A185,main!$A$3:$H$102,6,FALSE)&gt;=main!$D$103+VLOOKUP(VLOOKUP(CX$1,main!$A$3:$I$102,7,FALSE),main!$K$26:$Q$29,4,FALSE)),1,0)</f>
        <v>0</v>
      </c>
    </row>
    <row r="186" spans="1:102" x14ac:dyDescent="0.25">
      <c r="A186" s="1">
        <v>83</v>
      </c>
      <c r="B186">
        <v>0</v>
      </c>
      <c r="C186">
        <f>IF(AND(VLOOKUP(C$1,main!$A$3:$H$102,7,FALSE)=main!$G$104,VLOOKUP(C$1,main!$A$3:$H$102,5,FALSE)-VLOOKUP($A186,main!$A$3:$H$102,6,FALSE)&gt;=main!$D$103+VLOOKUP(VLOOKUP(C$1,main!$A$3:$I$102,7,FALSE),main!$K$26:$Q$29,4,FALSE)),1,0)</f>
        <v>0</v>
      </c>
      <c r="D186">
        <f>IF(AND(VLOOKUP(D$1,main!$A$3:$H$102,7,FALSE)=main!$G$104,VLOOKUP(D$1,main!$A$3:$H$102,5,FALSE)-VLOOKUP($A186,main!$A$3:$H$102,6,FALSE)&gt;=main!$D$103+VLOOKUP(VLOOKUP(D$1,main!$A$3:$I$102,7,FALSE),main!$K$26:$Q$29,4,FALSE)),1,0)</f>
        <v>0</v>
      </c>
      <c r="E186">
        <f>IF(AND(VLOOKUP(E$1,main!$A$3:$H$102,7,FALSE)=main!$G$104,VLOOKUP(E$1,main!$A$3:$H$102,5,FALSE)-VLOOKUP($A186,main!$A$3:$H$102,6,FALSE)&gt;=main!$D$103+VLOOKUP(VLOOKUP(E$1,main!$A$3:$I$102,7,FALSE),main!$K$26:$Q$29,4,FALSE)),1,0)</f>
        <v>0</v>
      </c>
      <c r="F186">
        <f>IF(AND(VLOOKUP(F$1,main!$A$3:$H$102,7,FALSE)=main!$G$104,VLOOKUP(F$1,main!$A$3:$H$102,5,FALSE)-VLOOKUP($A186,main!$A$3:$H$102,6,FALSE)&gt;=main!$D$103+VLOOKUP(VLOOKUP(F$1,main!$A$3:$I$102,7,FALSE),main!$K$26:$Q$29,4,FALSE)),1,0)</f>
        <v>0</v>
      </c>
      <c r="G186">
        <f>IF(AND(VLOOKUP(G$1,main!$A$3:$H$102,7,FALSE)=main!$G$104,VLOOKUP(G$1,main!$A$3:$H$102,5,FALSE)-VLOOKUP($A186,main!$A$3:$H$102,6,FALSE)&gt;=main!$D$103+VLOOKUP(VLOOKUP(G$1,main!$A$3:$I$102,7,FALSE),main!$K$26:$Q$29,4,FALSE)),1,0)</f>
        <v>0</v>
      </c>
      <c r="H186">
        <f>IF(AND(VLOOKUP(H$1,main!$A$3:$H$102,7,FALSE)=main!$G$104,VLOOKUP(H$1,main!$A$3:$H$102,5,FALSE)-VLOOKUP($A186,main!$A$3:$H$102,6,FALSE)&gt;=main!$D$103+VLOOKUP(VLOOKUP(H$1,main!$A$3:$I$102,7,FALSE),main!$K$26:$Q$29,4,FALSE)),1,0)</f>
        <v>0</v>
      </c>
      <c r="I186">
        <f>IF(AND(VLOOKUP(I$1,main!$A$3:$H$102,7,FALSE)=main!$G$104,VLOOKUP(I$1,main!$A$3:$H$102,5,FALSE)-VLOOKUP($A186,main!$A$3:$H$102,6,FALSE)&gt;=main!$D$103+VLOOKUP(VLOOKUP(I$1,main!$A$3:$I$102,7,FALSE),main!$K$26:$Q$29,4,FALSE)),1,0)</f>
        <v>0</v>
      </c>
      <c r="J186">
        <f>IF(AND(VLOOKUP(J$1,main!$A$3:$H$102,7,FALSE)=main!$G$104,VLOOKUP(J$1,main!$A$3:$H$102,5,FALSE)-VLOOKUP($A186,main!$A$3:$H$102,6,FALSE)&gt;=main!$D$103+VLOOKUP(VLOOKUP(J$1,main!$A$3:$I$102,7,FALSE),main!$K$26:$Q$29,4,FALSE)),1,0)</f>
        <v>1</v>
      </c>
      <c r="K186">
        <f>IF(AND(VLOOKUP(K$1,main!$A$3:$H$102,7,FALSE)=main!$G$104,VLOOKUP(K$1,main!$A$3:$H$102,5,FALSE)-VLOOKUP($A186,main!$A$3:$H$102,6,FALSE)&gt;=main!$D$103+VLOOKUP(VLOOKUP(K$1,main!$A$3:$I$102,7,FALSE),main!$K$26:$Q$29,4,FALSE)),1,0)</f>
        <v>1</v>
      </c>
      <c r="L186">
        <f>IF(AND(VLOOKUP(L$1,main!$A$3:$H$102,7,FALSE)=main!$G$104,VLOOKUP(L$1,main!$A$3:$H$102,5,FALSE)-VLOOKUP($A186,main!$A$3:$H$102,6,FALSE)&gt;=main!$D$103+VLOOKUP(VLOOKUP(L$1,main!$A$3:$I$102,7,FALSE),main!$K$26:$Q$29,4,FALSE)),1,0)</f>
        <v>1</v>
      </c>
      <c r="M186">
        <f>IF(AND(VLOOKUP(M$1,main!$A$3:$H$102,7,FALSE)=main!$G$104,VLOOKUP(M$1,main!$A$3:$H$102,5,FALSE)-VLOOKUP($A186,main!$A$3:$H$102,6,FALSE)&gt;=main!$D$103+VLOOKUP(VLOOKUP(M$1,main!$A$3:$I$102,7,FALSE),main!$K$26:$Q$29,4,FALSE)),1,0)</f>
        <v>0</v>
      </c>
      <c r="N186">
        <f>IF(AND(VLOOKUP(N$1,main!$A$3:$H$102,7,FALSE)=main!$G$104,VLOOKUP(N$1,main!$A$3:$H$102,5,FALSE)-VLOOKUP($A186,main!$A$3:$H$102,6,FALSE)&gt;=main!$D$103+VLOOKUP(VLOOKUP(N$1,main!$A$3:$I$102,7,FALSE),main!$K$26:$Q$29,4,FALSE)),1,0)</f>
        <v>0</v>
      </c>
      <c r="O186">
        <f>IF(AND(VLOOKUP(O$1,main!$A$3:$H$102,7,FALSE)=main!$G$104,VLOOKUP(O$1,main!$A$3:$H$102,5,FALSE)-VLOOKUP($A186,main!$A$3:$H$102,6,FALSE)&gt;=main!$D$103+VLOOKUP(VLOOKUP(O$1,main!$A$3:$I$102,7,FALSE),main!$K$26:$Q$29,4,FALSE)),1,0)</f>
        <v>0</v>
      </c>
      <c r="P186">
        <f>IF(AND(VLOOKUP(P$1,main!$A$3:$H$102,7,FALSE)=main!$G$104,VLOOKUP(P$1,main!$A$3:$H$102,5,FALSE)-VLOOKUP($A186,main!$A$3:$H$102,6,FALSE)&gt;=main!$D$103+VLOOKUP(VLOOKUP(P$1,main!$A$3:$I$102,7,FALSE),main!$K$26:$Q$29,4,FALSE)),1,0)</f>
        <v>0</v>
      </c>
      <c r="Q186">
        <f>IF(AND(VLOOKUP(Q$1,main!$A$3:$H$102,7,FALSE)=main!$G$104,VLOOKUP(Q$1,main!$A$3:$H$102,5,FALSE)-VLOOKUP($A186,main!$A$3:$H$102,6,FALSE)&gt;=main!$D$103+VLOOKUP(VLOOKUP(Q$1,main!$A$3:$I$102,7,FALSE),main!$K$26:$Q$29,4,FALSE)),1,0)</f>
        <v>0</v>
      </c>
      <c r="R186">
        <f>IF(AND(VLOOKUP(R$1,main!$A$3:$H$102,7,FALSE)=main!$G$104,VLOOKUP(R$1,main!$A$3:$H$102,5,FALSE)-VLOOKUP($A186,main!$A$3:$H$102,6,FALSE)&gt;=main!$D$103+VLOOKUP(VLOOKUP(R$1,main!$A$3:$I$102,7,FALSE),main!$K$26:$Q$29,4,FALSE)),1,0)</f>
        <v>0</v>
      </c>
      <c r="S186">
        <f>IF(AND(VLOOKUP(S$1,main!$A$3:$H$102,7,FALSE)=main!$G$104,VLOOKUP(S$1,main!$A$3:$H$102,5,FALSE)-VLOOKUP($A186,main!$A$3:$H$102,6,FALSE)&gt;=main!$D$103+VLOOKUP(VLOOKUP(S$1,main!$A$3:$I$102,7,FALSE),main!$K$26:$Q$29,4,FALSE)),1,0)</f>
        <v>0</v>
      </c>
      <c r="T186">
        <f>IF(AND(VLOOKUP(T$1,main!$A$3:$H$102,7,FALSE)=main!$G$104,VLOOKUP(T$1,main!$A$3:$H$102,5,FALSE)-VLOOKUP($A186,main!$A$3:$H$102,6,FALSE)&gt;=main!$D$103+VLOOKUP(VLOOKUP(T$1,main!$A$3:$I$102,7,FALSE),main!$K$26:$Q$29,4,FALSE)),1,0)</f>
        <v>1</v>
      </c>
      <c r="U186">
        <f>IF(AND(VLOOKUP(U$1,main!$A$3:$H$102,7,FALSE)=main!$G$104,VLOOKUP(U$1,main!$A$3:$H$102,5,FALSE)-VLOOKUP($A186,main!$A$3:$H$102,6,FALSE)&gt;=main!$D$103+VLOOKUP(VLOOKUP(U$1,main!$A$3:$I$102,7,FALSE),main!$K$26:$Q$29,4,FALSE)),1,0)</f>
        <v>1</v>
      </c>
      <c r="V186">
        <f>IF(AND(VLOOKUP(V$1,main!$A$3:$H$102,7,FALSE)=main!$G$104,VLOOKUP(V$1,main!$A$3:$H$102,5,FALSE)-VLOOKUP($A186,main!$A$3:$H$102,6,FALSE)&gt;=main!$D$103+VLOOKUP(VLOOKUP(V$1,main!$A$3:$I$102,7,FALSE),main!$K$26:$Q$29,4,FALSE)),1,0)</f>
        <v>1</v>
      </c>
      <c r="W186">
        <f>IF(AND(VLOOKUP(W$1,main!$A$3:$H$102,7,FALSE)=main!$G$104,VLOOKUP(W$1,main!$A$3:$H$102,5,FALSE)-VLOOKUP($A186,main!$A$3:$H$102,6,FALSE)&gt;=main!$D$103+VLOOKUP(VLOOKUP(W$1,main!$A$3:$I$102,7,FALSE),main!$K$26:$Q$29,4,FALSE)),1,0)</f>
        <v>0</v>
      </c>
      <c r="X186">
        <f>IF(AND(VLOOKUP(X$1,main!$A$3:$H$102,7,FALSE)=main!$G$104,VLOOKUP(X$1,main!$A$3:$H$102,5,FALSE)-VLOOKUP($A186,main!$A$3:$H$102,6,FALSE)&gt;=main!$D$103+VLOOKUP(VLOOKUP(X$1,main!$A$3:$I$102,7,FALSE),main!$K$26:$Q$29,4,FALSE)),1,0)</f>
        <v>0</v>
      </c>
      <c r="Y186">
        <f>IF(AND(VLOOKUP(Y$1,main!$A$3:$H$102,7,FALSE)=main!$G$104,VLOOKUP(Y$1,main!$A$3:$H$102,5,FALSE)-VLOOKUP($A186,main!$A$3:$H$102,6,FALSE)&gt;=main!$D$103+VLOOKUP(VLOOKUP(Y$1,main!$A$3:$I$102,7,FALSE),main!$K$26:$Q$29,4,FALSE)),1,0)</f>
        <v>0</v>
      </c>
      <c r="Z186">
        <f>IF(AND(VLOOKUP(Z$1,main!$A$3:$H$102,7,FALSE)=main!$G$104,VLOOKUP(Z$1,main!$A$3:$H$102,5,FALSE)-VLOOKUP($A186,main!$A$3:$H$102,6,FALSE)&gt;=main!$D$103+VLOOKUP(VLOOKUP(Z$1,main!$A$3:$I$102,7,FALSE),main!$K$26:$Q$29,4,FALSE)),1,0)</f>
        <v>0</v>
      </c>
      <c r="AA186">
        <f>IF(AND(VLOOKUP(AA$1,main!$A$3:$H$102,7,FALSE)=main!$G$104,VLOOKUP(AA$1,main!$A$3:$H$102,5,FALSE)-VLOOKUP($A186,main!$A$3:$H$102,6,FALSE)&gt;=main!$D$103+VLOOKUP(VLOOKUP(AA$1,main!$A$3:$I$102,7,FALSE),main!$K$26:$Q$29,4,FALSE)),1,0)</f>
        <v>1</v>
      </c>
      <c r="AB186">
        <f>IF(AND(VLOOKUP(AB$1,main!$A$3:$H$102,7,FALSE)=main!$G$104,VLOOKUP(AB$1,main!$A$3:$H$102,5,FALSE)-VLOOKUP($A186,main!$A$3:$H$102,6,FALSE)&gt;=main!$D$103+VLOOKUP(VLOOKUP(AB$1,main!$A$3:$I$102,7,FALSE),main!$K$26:$Q$29,4,FALSE)),1,0)</f>
        <v>0</v>
      </c>
      <c r="AC186">
        <f>IF(AND(VLOOKUP(AC$1,main!$A$3:$H$102,7,FALSE)=main!$G$104,VLOOKUP(AC$1,main!$A$3:$H$102,5,FALSE)-VLOOKUP($A186,main!$A$3:$H$102,6,FALSE)&gt;=main!$D$103+VLOOKUP(VLOOKUP(AC$1,main!$A$3:$I$102,7,FALSE),main!$K$26:$Q$29,4,FALSE)),1,0)</f>
        <v>0</v>
      </c>
      <c r="AD186">
        <f>IF(AND(VLOOKUP(AD$1,main!$A$3:$H$102,7,FALSE)=main!$G$104,VLOOKUP(AD$1,main!$A$3:$H$102,5,FALSE)-VLOOKUP($A186,main!$A$3:$H$102,6,FALSE)&gt;=main!$D$103+VLOOKUP(VLOOKUP(AD$1,main!$A$3:$I$102,7,FALSE),main!$K$26:$Q$29,4,FALSE)),1,0)</f>
        <v>0</v>
      </c>
      <c r="AE186">
        <f>IF(AND(VLOOKUP(AE$1,main!$A$3:$H$102,7,FALSE)=main!$G$104,VLOOKUP(AE$1,main!$A$3:$H$102,5,FALSE)-VLOOKUP($A186,main!$A$3:$H$102,6,FALSE)&gt;=main!$D$103+VLOOKUP(VLOOKUP(AE$1,main!$A$3:$I$102,7,FALSE),main!$K$26:$Q$29,4,FALSE)),1,0)</f>
        <v>0</v>
      </c>
      <c r="AF186">
        <f>IF(AND(VLOOKUP(AF$1,main!$A$3:$H$102,7,FALSE)=main!$G$104,VLOOKUP(AF$1,main!$A$3:$H$102,5,FALSE)-VLOOKUP($A186,main!$A$3:$H$102,6,FALSE)&gt;=main!$D$103+VLOOKUP(VLOOKUP(AF$1,main!$A$3:$I$102,7,FALSE),main!$K$26:$Q$29,4,FALSE)),1,0)</f>
        <v>1</v>
      </c>
      <c r="AG186">
        <f>IF(AND(VLOOKUP(AG$1,main!$A$3:$H$102,7,FALSE)=main!$G$104,VLOOKUP(AG$1,main!$A$3:$H$102,5,FALSE)-VLOOKUP($A186,main!$A$3:$H$102,6,FALSE)&gt;=main!$D$103+VLOOKUP(VLOOKUP(AG$1,main!$A$3:$I$102,7,FALSE),main!$K$26:$Q$29,4,FALSE)),1,0)</f>
        <v>0</v>
      </c>
      <c r="AH186">
        <f>IF(AND(VLOOKUP(AH$1,main!$A$3:$H$102,7,FALSE)=main!$G$104,VLOOKUP(AH$1,main!$A$3:$H$102,5,FALSE)-VLOOKUP($A186,main!$A$3:$H$102,6,FALSE)&gt;=main!$D$103+VLOOKUP(VLOOKUP(AH$1,main!$A$3:$I$102,7,FALSE),main!$K$26:$Q$29,4,FALSE)),1,0)</f>
        <v>0</v>
      </c>
      <c r="AI186">
        <f>IF(AND(VLOOKUP(AI$1,main!$A$3:$H$102,7,FALSE)=main!$G$104,VLOOKUP(AI$1,main!$A$3:$H$102,5,FALSE)-VLOOKUP($A186,main!$A$3:$H$102,6,FALSE)&gt;=main!$D$103+VLOOKUP(VLOOKUP(AI$1,main!$A$3:$I$102,7,FALSE),main!$K$26:$Q$29,4,FALSE)),1,0)</f>
        <v>0</v>
      </c>
      <c r="AJ186">
        <f>IF(AND(VLOOKUP(AJ$1,main!$A$3:$H$102,7,FALSE)=main!$G$104,VLOOKUP(AJ$1,main!$A$3:$H$102,5,FALSE)-VLOOKUP($A186,main!$A$3:$H$102,6,FALSE)&gt;=main!$D$103+VLOOKUP(VLOOKUP(AJ$1,main!$A$3:$I$102,7,FALSE),main!$K$26:$Q$29,4,FALSE)),1,0)</f>
        <v>0</v>
      </c>
      <c r="AK186">
        <f>IF(AND(VLOOKUP(AK$1,main!$A$3:$H$102,7,FALSE)=main!$G$104,VLOOKUP(AK$1,main!$A$3:$H$102,5,FALSE)-VLOOKUP($A186,main!$A$3:$H$102,6,FALSE)&gt;=main!$D$103+VLOOKUP(VLOOKUP(AK$1,main!$A$3:$I$102,7,FALSE),main!$K$26:$Q$29,4,FALSE)),1,0)</f>
        <v>0</v>
      </c>
      <c r="AL186">
        <f>IF(AND(VLOOKUP(AL$1,main!$A$3:$H$102,7,FALSE)=main!$G$104,VLOOKUP(AL$1,main!$A$3:$H$102,5,FALSE)-VLOOKUP($A186,main!$A$3:$H$102,6,FALSE)&gt;=main!$D$103+VLOOKUP(VLOOKUP(AL$1,main!$A$3:$I$102,7,FALSE),main!$K$26:$Q$29,4,FALSE)),1,0)</f>
        <v>0</v>
      </c>
      <c r="AM186">
        <f>IF(AND(VLOOKUP(AM$1,main!$A$3:$H$102,7,FALSE)=main!$G$104,VLOOKUP(AM$1,main!$A$3:$H$102,5,FALSE)-VLOOKUP($A186,main!$A$3:$H$102,6,FALSE)&gt;=main!$D$103+VLOOKUP(VLOOKUP(AM$1,main!$A$3:$I$102,7,FALSE),main!$K$26:$Q$29,4,FALSE)),1,0)</f>
        <v>0</v>
      </c>
      <c r="AN186">
        <f>IF(AND(VLOOKUP(AN$1,main!$A$3:$H$102,7,FALSE)=main!$G$104,VLOOKUP(AN$1,main!$A$3:$H$102,5,FALSE)-VLOOKUP($A186,main!$A$3:$H$102,6,FALSE)&gt;=main!$D$103+VLOOKUP(VLOOKUP(AN$1,main!$A$3:$I$102,7,FALSE),main!$K$26:$Q$29,4,FALSE)),1,0)</f>
        <v>0</v>
      </c>
      <c r="AO186">
        <f>IF(AND(VLOOKUP(AO$1,main!$A$3:$H$102,7,FALSE)=main!$G$104,VLOOKUP(AO$1,main!$A$3:$H$102,5,FALSE)-VLOOKUP($A186,main!$A$3:$H$102,6,FALSE)&gt;=main!$D$103+VLOOKUP(VLOOKUP(AO$1,main!$A$3:$I$102,7,FALSE),main!$K$26:$Q$29,4,FALSE)),1,0)</f>
        <v>0</v>
      </c>
      <c r="AP186">
        <f>IF(AND(VLOOKUP(AP$1,main!$A$3:$H$102,7,FALSE)=main!$G$104,VLOOKUP(AP$1,main!$A$3:$H$102,5,FALSE)-VLOOKUP($A186,main!$A$3:$H$102,6,FALSE)&gt;=main!$D$103+VLOOKUP(VLOOKUP(AP$1,main!$A$3:$I$102,7,FALSE),main!$K$26:$Q$29,4,FALSE)),1,0)</f>
        <v>0</v>
      </c>
      <c r="AQ186">
        <f>IF(AND(VLOOKUP(AQ$1,main!$A$3:$H$102,7,FALSE)=main!$G$104,VLOOKUP(AQ$1,main!$A$3:$H$102,5,FALSE)-VLOOKUP($A186,main!$A$3:$H$102,6,FALSE)&gt;=main!$D$103+VLOOKUP(VLOOKUP(AQ$1,main!$A$3:$I$102,7,FALSE),main!$K$26:$Q$29,4,FALSE)),1,0)</f>
        <v>0</v>
      </c>
      <c r="AR186">
        <f>IF(AND(VLOOKUP(AR$1,main!$A$3:$H$102,7,FALSE)=main!$G$104,VLOOKUP(AR$1,main!$A$3:$H$102,5,FALSE)-VLOOKUP($A186,main!$A$3:$H$102,6,FALSE)&gt;=main!$D$103+VLOOKUP(VLOOKUP(AR$1,main!$A$3:$I$102,7,FALSE),main!$K$26:$Q$29,4,FALSE)),1,0)</f>
        <v>0</v>
      </c>
      <c r="AS186">
        <f>IF(AND(VLOOKUP(AS$1,main!$A$3:$H$102,7,FALSE)=main!$G$104,VLOOKUP(AS$1,main!$A$3:$H$102,5,FALSE)-VLOOKUP($A186,main!$A$3:$H$102,6,FALSE)&gt;=main!$D$103+VLOOKUP(VLOOKUP(AS$1,main!$A$3:$I$102,7,FALSE),main!$K$26:$Q$29,4,FALSE)),1,0)</f>
        <v>0</v>
      </c>
      <c r="AT186">
        <f>IF(AND(VLOOKUP(AT$1,main!$A$3:$H$102,7,FALSE)=main!$G$104,VLOOKUP(AT$1,main!$A$3:$H$102,5,FALSE)-VLOOKUP($A186,main!$A$3:$H$102,6,FALSE)&gt;=main!$D$103+VLOOKUP(VLOOKUP(AT$1,main!$A$3:$I$102,7,FALSE),main!$K$26:$Q$29,4,FALSE)),1,0)</f>
        <v>0</v>
      </c>
      <c r="AU186">
        <f>IF(AND(VLOOKUP(AU$1,main!$A$3:$H$102,7,FALSE)=main!$G$104,VLOOKUP(AU$1,main!$A$3:$H$102,5,FALSE)-VLOOKUP($A186,main!$A$3:$H$102,6,FALSE)&gt;=main!$D$103+VLOOKUP(VLOOKUP(AU$1,main!$A$3:$I$102,7,FALSE),main!$K$26:$Q$29,4,FALSE)),1,0)</f>
        <v>0</v>
      </c>
      <c r="AV186">
        <f>IF(AND(VLOOKUP(AV$1,main!$A$3:$H$102,7,FALSE)=main!$G$104,VLOOKUP(AV$1,main!$A$3:$H$102,5,FALSE)-VLOOKUP($A186,main!$A$3:$H$102,6,FALSE)&gt;=main!$D$103+VLOOKUP(VLOOKUP(AV$1,main!$A$3:$I$102,7,FALSE),main!$K$26:$Q$29,4,FALSE)),1,0)</f>
        <v>0</v>
      </c>
      <c r="AW186">
        <f>IF(AND(VLOOKUP(AW$1,main!$A$3:$H$102,7,FALSE)=main!$G$104,VLOOKUP(AW$1,main!$A$3:$H$102,5,FALSE)-VLOOKUP($A186,main!$A$3:$H$102,6,FALSE)&gt;=main!$D$103+VLOOKUP(VLOOKUP(AW$1,main!$A$3:$I$102,7,FALSE),main!$K$26:$Q$29,4,FALSE)),1,0)</f>
        <v>0</v>
      </c>
      <c r="AX186">
        <f>IF(AND(VLOOKUP(AX$1,main!$A$3:$H$102,7,FALSE)=main!$G$104,VLOOKUP(AX$1,main!$A$3:$H$102,5,FALSE)-VLOOKUP($A186,main!$A$3:$H$102,6,FALSE)&gt;=main!$D$103+VLOOKUP(VLOOKUP(AX$1,main!$A$3:$I$102,7,FALSE),main!$K$26:$Q$29,4,FALSE)),1,0)</f>
        <v>0</v>
      </c>
      <c r="AY186">
        <f>IF(AND(VLOOKUP(AY$1,main!$A$3:$H$102,7,FALSE)=main!$G$104,VLOOKUP(AY$1,main!$A$3:$H$102,5,FALSE)-VLOOKUP($A186,main!$A$3:$H$102,6,FALSE)&gt;=main!$D$103+VLOOKUP(VLOOKUP(AY$1,main!$A$3:$I$102,7,FALSE),main!$K$26:$Q$29,4,FALSE)),1,0)</f>
        <v>0</v>
      </c>
      <c r="AZ186">
        <f>IF(AND(VLOOKUP(AZ$1,main!$A$3:$H$102,7,FALSE)=main!$G$104,VLOOKUP(AZ$1,main!$A$3:$H$102,5,FALSE)-VLOOKUP($A186,main!$A$3:$H$102,6,FALSE)&gt;=main!$D$103+VLOOKUP(VLOOKUP(AZ$1,main!$A$3:$I$102,7,FALSE),main!$K$26:$Q$29,4,FALSE)),1,0)</f>
        <v>0</v>
      </c>
      <c r="BA186">
        <f>IF(AND(VLOOKUP(BA$1,main!$A$3:$H$102,7,FALSE)=main!$G$104,VLOOKUP(BA$1,main!$A$3:$H$102,5,FALSE)-VLOOKUP($A186,main!$A$3:$H$102,6,FALSE)&gt;=main!$D$103+VLOOKUP(VLOOKUP(BA$1,main!$A$3:$I$102,7,FALSE),main!$K$26:$Q$29,4,FALSE)),1,0)</f>
        <v>0</v>
      </c>
      <c r="BB186">
        <f>IF(AND(VLOOKUP(BB$1,main!$A$3:$H$102,7,FALSE)=main!$G$104,VLOOKUP(BB$1,main!$A$3:$H$102,5,FALSE)-VLOOKUP($A186,main!$A$3:$H$102,6,FALSE)&gt;=main!$D$103+VLOOKUP(VLOOKUP(BB$1,main!$A$3:$I$102,7,FALSE),main!$K$26:$Q$29,4,FALSE)),1,0)</f>
        <v>0</v>
      </c>
      <c r="BC186">
        <f>IF(AND(VLOOKUP(BC$1,main!$A$3:$H$102,7,FALSE)=main!$G$104,VLOOKUP(BC$1,main!$A$3:$H$102,5,FALSE)-VLOOKUP($A186,main!$A$3:$H$102,6,FALSE)&gt;=main!$D$103+VLOOKUP(VLOOKUP(BC$1,main!$A$3:$I$102,7,FALSE),main!$K$26:$Q$29,4,FALSE)),1,0)</f>
        <v>0</v>
      </c>
      <c r="BD186">
        <f>IF(AND(VLOOKUP(BD$1,main!$A$3:$H$102,7,FALSE)=main!$G$104,VLOOKUP(BD$1,main!$A$3:$H$102,5,FALSE)-VLOOKUP($A186,main!$A$3:$H$102,6,FALSE)&gt;=main!$D$103+VLOOKUP(VLOOKUP(BD$1,main!$A$3:$I$102,7,FALSE),main!$K$26:$Q$29,4,FALSE)),1,0)</f>
        <v>0</v>
      </c>
      <c r="BE186">
        <f>IF(AND(VLOOKUP(BE$1,main!$A$3:$H$102,7,FALSE)=main!$G$104,VLOOKUP(BE$1,main!$A$3:$H$102,5,FALSE)-VLOOKUP($A186,main!$A$3:$H$102,6,FALSE)&gt;=main!$D$103+VLOOKUP(VLOOKUP(BE$1,main!$A$3:$I$102,7,FALSE),main!$K$26:$Q$29,4,FALSE)),1,0)</f>
        <v>0</v>
      </c>
      <c r="BF186">
        <f>IF(AND(VLOOKUP(BF$1,main!$A$3:$H$102,7,FALSE)=main!$G$104,VLOOKUP(BF$1,main!$A$3:$H$102,5,FALSE)-VLOOKUP($A186,main!$A$3:$H$102,6,FALSE)&gt;=main!$D$103+VLOOKUP(VLOOKUP(BF$1,main!$A$3:$I$102,7,FALSE),main!$K$26:$Q$29,4,FALSE)),1,0)</f>
        <v>0</v>
      </c>
      <c r="BG186">
        <f>IF(AND(VLOOKUP(BG$1,main!$A$3:$H$102,7,FALSE)=main!$G$104,VLOOKUP(BG$1,main!$A$3:$H$102,5,FALSE)-VLOOKUP($A186,main!$A$3:$H$102,6,FALSE)&gt;=main!$D$103+VLOOKUP(VLOOKUP(BG$1,main!$A$3:$I$102,7,FALSE),main!$K$26:$Q$29,4,FALSE)),1,0)</f>
        <v>0</v>
      </c>
      <c r="BH186">
        <f>IF(AND(VLOOKUP(BH$1,main!$A$3:$H$102,7,FALSE)=main!$G$104,VLOOKUP(BH$1,main!$A$3:$H$102,5,FALSE)-VLOOKUP($A186,main!$A$3:$H$102,6,FALSE)&gt;=main!$D$103+VLOOKUP(VLOOKUP(BH$1,main!$A$3:$I$102,7,FALSE),main!$K$26:$Q$29,4,FALSE)),1,0)</f>
        <v>0</v>
      </c>
      <c r="BI186">
        <f>IF(AND(VLOOKUP(BI$1,main!$A$3:$H$102,7,FALSE)=main!$G$104,VLOOKUP(BI$1,main!$A$3:$H$102,5,FALSE)-VLOOKUP($A186,main!$A$3:$H$102,6,FALSE)&gt;=main!$D$103+VLOOKUP(VLOOKUP(BI$1,main!$A$3:$I$102,7,FALSE),main!$K$26:$Q$29,4,FALSE)),1,0)</f>
        <v>0</v>
      </c>
      <c r="BJ186">
        <f>IF(AND(VLOOKUP(BJ$1,main!$A$3:$H$102,7,FALSE)=main!$G$104,VLOOKUP(BJ$1,main!$A$3:$H$102,5,FALSE)-VLOOKUP($A186,main!$A$3:$H$102,6,FALSE)&gt;=main!$D$103+VLOOKUP(VLOOKUP(BJ$1,main!$A$3:$I$102,7,FALSE),main!$K$26:$Q$29,4,FALSE)),1,0)</f>
        <v>0</v>
      </c>
      <c r="BK186">
        <f>IF(AND(VLOOKUP(BK$1,main!$A$3:$H$102,7,FALSE)=main!$G$104,VLOOKUP(BK$1,main!$A$3:$H$102,5,FALSE)-VLOOKUP($A186,main!$A$3:$H$102,6,FALSE)&gt;=main!$D$103+VLOOKUP(VLOOKUP(BK$1,main!$A$3:$I$102,7,FALSE),main!$K$26:$Q$29,4,FALSE)),1,0)</f>
        <v>0</v>
      </c>
      <c r="BL186">
        <f>IF(AND(VLOOKUP(BL$1,main!$A$3:$H$102,7,FALSE)=main!$G$104,VLOOKUP(BL$1,main!$A$3:$H$102,5,FALSE)-VLOOKUP($A186,main!$A$3:$H$102,6,FALSE)&gt;=main!$D$103+VLOOKUP(VLOOKUP(BL$1,main!$A$3:$I$102,7,FALSE),main!$K$26:$Q$29,4,FALSE)),1,0)</f>
        <v>0</v>
      </c>
      <c r="BM186">
        <f>IF(AND(VLOOKUP(BM$1,main!$A$3:$H$102,7,FALSE)=main!$G$104,VLOOKUP(BM$1,main!$A$3:$H$102,5,FALSE)-VLOOKUP($A186,main!$A$3:$H$102,6,FALSE)&gt;=main!$D$103+VLOOKUP(VLOOKUP(BM$1,main!$A$3:$I$102,7,FALSE),main!$K$26:$Q$29,4,FALSE)),1,0)</f>
        <v>0</v>
      </c>
      <c r="BN186">
        <f>IF(AND(VLOOKUP(BN$1,main!$A$3:$H$102,7,FALSE)=main!$G$104,VLOOKUP(BN$1,main!$A$3:$H$102,5,FALSE)-VLOOKUP($A186,main!$A$3:$H$102,6,FALSE)&gt;=main!$D$103+VLOOKUP(VLOOKUP(BN$1,main!$A$3:$I$102,7,FALSE),main!$K$26:$Q$29,4,FALSE)),1,0)</f>
        <v>0</v>
      </c>
      <c r="BO186">
        <f>IF(AND(VLOOKUP(BO$1,main!$A$3:$H$102,7,FALSE)=main!$G$104,VLOOKUP(BO$1,main!$A$3:$H$102,5,FALSE)-VLOOKUP($A186,main!$A$3:$H$102,6,FALSE)&gt;=main!$D$103+VLOOKUP(VLOOKUP(BO$1,main!$A$3:$I$102,7,FALSE),main!$K$26:$Q$29,4,FALSE)),1,0)</f>
        <v>0</v>
      </c>
      <c r="BP186">
        <f>IF(AND(VLOOKUP(BP$1,main!$A$3:$H$102,7,FALSE)=main!$G$104,VLOOKUP(BP$1,main!$A$3:$H$102,5,FALSE)-VLOOKUP($A186,main!$A$3:$H$102,6,FALSE)&gt;=main!$D$103+VLOOKUP(VLOOKUP(BP$1,main!$A$3:$I$102,7,FALSE),main!$K$26:$Q$29,4,FALSE)),1,0)</f>
        <v>0</v>
      </c>
      <c r="BQ186">
        <f>IF(AND(VLOOKUP(BQ$1,main!$A$3:$H$102,7,FALSE)=main!$G$104,VLOOKUP(BQ$1,main!$A$3:$H$102,5,FALSE)-VLOOKUP($A186,main!$A$3:$H$102,6,FALSE)&gt;=main!$D$103+VLOOKUP(VLOOKUP(BQ$1,main!$A$3:$I$102,7,FALSE),main!$K$26:$Q$29,4,FALSE)),1,0)</f>
        <v>0</v>
      </c>
      <c r="BR186">
        <f>IF(AND(VLOOKUP(BR$1,main!$A$3:$H$102,7,FALSE)=main!$G$104,VLOOKUP(BR$1,main!$A$3:$H$102,5,FALSE)-VLOOKUP($A186,main!$A$3:$H$102,6,FALSE)&gt;=main!$D$103+VLOOKUP(VLOOKUP(BR$1,main!$A$3:$I$102,7,FALSE),main!$K$26:$Q$29,4,FALSE)),1,0)</f>
        <v>0</v>
      </c>
      <c r="BS186">
        <f>IF(AND(VLOOKUP(BS$1,main!$A$3:$H$102,7,FALSE)=main!$G$104,VLOOKUP(BS$1,main!$A$3:$H$102,5,FALSE)-VLOOKUP($A186,main!$A$3:$H$102,6,FALSE)&gt;=main!$D$103+VLOOKUP(VLOOKUP(BS$1,main!$A$3:$I$102,7,FALSE),main!$K$26:$Q$29,4,FALSE)),1,0)</f>
        <v>0</v>
      </c>
      <c r="BT186">
        <f>IF(AND(VLOOKUP(BT$1,main!$A$3:$H$102,7,FALSE)=main!$G$104,VLOOKUP(BT$1,main!$A$3:$H$102,5,FALSE)-VLOOKUP($A186,main!$A$3:$H$102,6,FALSE)&gt;=main!$D$103+VLOOKUP(VLOOKUP(BT$1,main!$A$3:$I$102,7,FALSE),main!$K$26:$Q$29,4,FALSE)),1,0)</f>
        <v>0</v>
      </c>
      <c r="BU186">
        <f>IF(AND(VLOOKUP(BU$1,main!$A$3:$H$102,7,FALSE)=main!$G$104,VLOOKUP(BU$1,main!$A$3:$H$102,5,FALSE)-VLOOKUP($A186,main!$A$3:$H$102,6,FALSE)&gt;=main!$D$103+VLOOKUP(VLOOKUP(BU$1,main!$A$3:$I$102,7,FALSE),main!$K$26:$Q$29,4,FALSE)),1,0)</f>
        <v>0</v>
      </c>
      <c r="BV186">
        <f>IF(AND(VLOOKUP(BV$1,main!$A$3:$H$102,7,FALSE)=main!$G$104,VLOOKUP(BV$1,main!$A$3:$H$102,5,FALSE)-VLOOKUP($A186,main!$A$3:$H$102,6,FALSE)&gt;=main!$D$103+VLOOKUP(VLOOKUP(BV$1,main!$A$3:$I$102,7,FALSE),main!$K$26:$Q$29,4,FALSE)),1,0)</f>
        <v>0</v>
      </c>
      <c r="BW186">
        <f>IF(AND(VLOOKUP(BW$1,main!$A$3:$H$102,7,FALSE)=main!$G$104,VLOOKUP(BW$1,main!$A$3:$H$102,5,FALSE)-VLOOKUP($A186,main!$A$3:$H$102,6,FALSE)&gt;=main!$D$103+VLOOKUP(VLOOKUP(BW$1,main!$A$3:$I$102,7,FALSE),main!$K$26:$Q$29,4,FALSE)),1,0)</f>
        <v>0</v>
      </c>
      <c r="BX186">
        <f>IF(AND(VLOOKUP(BX$1,main!$A$3:$H$102,7,FALSE)=main!$G$104,VLOOKUP(BX$1,main!$A$3:$H$102,5,FALSE)-VLOOKUP($A186,main!$A$3:$H$102,6,FALSE)&gt;=main!$D$103+VLOOKUP(VLOOKUP(BX$1,main!$A$3:$I$102,7,FALSE),main!$K$26:$Q$29,4,FALSE)),1,0)</f>
        <v>0</v>
      </c>
      <c r="BY186">
        <f>IF(AND(VLOOKUP(BY$1,main!$A$3:$H$102,7,FALSE)=main!$G$104,VLOOKUP(BY$1,main!$A$3:$H$102,5,FALSE)-VLOOKUP($A186,main!$A$3:$H$102,6,FALSE)&gt;=main!$D$103+VLOOKUP(VLOOKUP(BY$1,main!$A$3:$I$102,7,FALSE),main!$K$26:$Q$29,4,FALSE)),1,0)</f>
        <v>0</v>
      </c>
      <c r="BZ186">
        <f>IF(AND(VLOOKUP(BZ$1,main!$A$3:$H$102,7,FALSE)=main!$G$104,VLOOKUP(BZ$1,main!$A$3:$H$102,5,FALSE)-VLOOKUP($A186,main!$A$3:$H$102,6,FALSE)&gt;=main!$D$103+VLOOKUP(VLOOKUP(BZ$1,main!$A$3:$I$102,7,FALSE),main!$K$26:$Q$29,4,FALSE)),1,0)</f>
        <v>0</v>
      </c>
      <c r="CA186">
        <f>IF(AND(VLOOKUP(CA$1,main!$A$3:$H$102,7,FALSE)=main!$G$104,VLOOKUP(CA$1,main!$A$3:$H$102,5,FALSE)-VLOOKUP($A186,main!$A$3:$H$102,6,FALSE)&gt;=main!$D$103+VLOOKUP(VLOOKUP(CA$1,main!$A$3:$I$102,7,FALSE),main!$K$26:$Q$29,4,FALSE)),1,0)</f>
        <v>0</v>
      </c>
      <c r="CB186">
        <f>IF(AND(VLOOKUP(CB$1,main!$A$3:$H$102,7,FALSE)=main!$G$104,VLOOKUP(CB$1,main!$A$3:$H$102,5,FALSE)-VLOOKUP($A186,main!$A$3:$H$102,6,FALSE)&gt;=main!$D$103+VLOOKUP(VLOOKUP(CB$1,main!$A$3:$I$102,7,FALSE),main!$K$26:$Q$29,4,FALSE)),1,0)</f>
        <v>0</v>
      </c>
      <c r="CC186">
        <f>IF(AND(VLOOKUP(CC$1,main!$A$3:$H$102,7,FALSE)=main!$G$104,VLOOKUP(CC$1,main!$A$3:$H$102,5,FALSE)-VLOOKUP($A186,main!$A$3:$H$102,6,FALSE)&gt;=main!$D$103+VLOOKUP(VLOOKUP(CC$1,main!$A$3:$I$102,7,FALSE),main!$K$26:$Q$29,4,FALSE)),1,0)</f>
        <v>0</v>
      </c>
      <c r="CD186">
        <f>IF(AND(VLOOKUP(CD$1,main!$A$3:$H$102,7,FALSE)=main!$G$104,VLOOKUP(CD$1,main!$A$3:$H$102,5,FALSE)-VLOOKUP($A186,main!$A$3:$H$102,6,FALSE)&gt;=main!$D$103+VLOOKUP(VLOOKUP(CD$1,main!$A$3:$I$102,7,FALSE),main!$K$26:$Q$29,4,FALSE)),1,0)</f>
        <v>0</v>
      </c>
      <c r="CE186">
        <f>IF(AND(VLOOKUP(CE$1,main!$A$3:$H$102,7,FALSE)=main!$G$104,VLOOKUP(CE$1,main!$A$3:$H$102,5,FALSE)-VLOOKUP($A186,main!$A$3:$H$102,6,FALSE)&gt;=main!$D$103+VLOOKUP(VLOOKUP(CE$1,main!$A$3:$I$102,7,FALSE),main!$K$26:$Q$29,4,FALSE)),1,0)</f>
        <v>0</v>
      </c>
      <c r="CF186">
        <f>IF(AND(VLOOKUP(CF$1,main!$A$3:$H$102,7,FALSE)=main!$G$104,VLOOKUP(CF$1,main!$A$3:$H$102,5,FALSE)-VLOOKUP($A186,main!$A$3:$H$102,6,FALSE)&gt;=main!$D$103+VLOOKUP(VLOOKUP(CF$1,main!$A$3:$I$102,7,FALSE),main!$K$26:$Q$29,4,FALSE)),1,0)</f>
        <v>0</v>
      </c>
      <c r="CG186">
        <f>IF(AND(VLOOKUP(CG$1,main!$A$3:$H$102,7,FALSE)=main!$G$104,VLOOKUP(CG$1,main!$A$3:$H$102,5,FALSE)-VLOOKUP($A186,main!$A$3:$H$102,6,FALSE)&gt;=main!$D$103+VLOOKUP(VLOOKUP(CG$1,main!$A$3:$I$102,7,FALSE),main!$K$26:$Q$29,4,FALSE)),1,0)</f>
        <v>0</v>
      </c>
      <c r="CH186">
        <f>IF(AND(VLOOKUP(CH$1,main!$A$3:$H$102,7,FALSE)=main!$G$104,VLOOKUP(CH$1,main!$A$3:$H$102,5,FALSE)-VLOOKUP($A186,main!$A$3:$H$102,6,FALSE)&gt;=main!$D$103+VLOOKUP(VLOOKUP(CH$1,main!$A$3:$I$102,7,FALSE),main!$K$26:$Q$29,4,FALSE)),1,0)</f>
        <v>0</v>
      </c>
      <c r="CI186">
        <f>IF(AND(VLOOKUP(CI$1,main!$A$3:$H$102,7,FALSE)=main!$G$104,VLOOKUP(CI$1,main!$A$3:$H$102,5,FALSE)-VLOOKUP($A186,main!$A$3:$H$102,6,FALSE)&gt;=main!$D$103+VLOOKUP(VLOOKUP(CI$1,main!$A$3:$I$102,7,FALSE),main!$K$26:$Q$29,4,FALSE)),1,0)</f>
        <v>0</v>
      </c>
      <c r="CJ186">
        <f>IF(AND(VLOOKUP(CJ$1,main!$A$3:$H$102,7,FALSE)=main!$G$104,VLOOKUP(CJ$1,main!$A$3:$H$102,5,FALSE)-VLOOKUP($A186,main!$A$3:$H$102,6,FALSE)&gt;=main!$D$103+VLOOKUP(VLOOKUP(CJ$1,main!$A$3:$I$102,7,FALSE),main!$K$26:$Q$29,4,FALSE)),1,0)</f>
        <v>0</v>
      </c>
      <c r="CK186">
        <f>IF(AND(VLOOKUP(CK$1,main!$A$3:$H$102,7,FALSE)=main!$G$104,VLOOKUP(CK$1,main!$A$3:$H$102,5,FALSE)-VLOOKUP($A186,main!$A$3:$H$102,6,FALSE)&gt;=main!$D$103+VLOOKUP(VLOOKUP(CK$1,main!$A$3:$I$102,7,FALSE),main!$K$26:$Q$29,4,FALSE)),1,0)</f>
        <v>0</v>
      </c>
      <c r="CL186">
        <f>IF(AND(VLOOKUP(CL$1,main!$A$3:$H$102,7,FALSE)=main!$G$104,VLOOKUP(CL$1,main!$A$3:$H$102,5,FALSE)-VLOOKUP($A186,main!$A$3:$H$102,6,FALSE)&gt;=main!$D$103+VLOOKUP(VLOOKUP(CL$1,main!$A$3:$I$102,7,FALSE),main!$K$26:$Q$29,4,FALSE)),1,0)</f>
        <v>0</v>
      </c>
      <c r="CM186">
        <f>IF(AND(VLOOKUP(CM$1,main!$A$3:$H$102,7,FALSE)=main!$G$104,VLOOKUP(CM$1,main!$A$3:$H$102,5,FALSE)-VLOOKUP($A186,main!$A$3:$H$102,6,FALSE)&gt;=main!$D$103+VLOOKUP(VLOOKUP(CM$1,main!$A$3:$I$102,7,FALSE),main!$K$26:$Q$29,4,FALSE)),1,0)</f>
        <v>0</v>
      </c>
      <c r="CN186">
        <f>IF(AND(VLOOKUP(CN$1,main!$A$3:$H$102,7,FALSE)=main!$G$104,VLOOKUP(CN$1,main!$A$3:$H$102,5,FALSE)-VLOOKUP($A186,main!$A$3:$H$102,6,FALSE)&gt;=main!$D$103+VLOOKUP(VLOOKUP(CN$1,main!$A$3:$I$102,7,FALSE),main!$K$26:$Q$29,4,FALSE)),1,0)</f>
        <v>0</v>
      </c>
      <c r="CO186">
        <f>IF(AND(VLOOKUP(CO$1,main!$A$3:$H$102,7,FALSE)=main!$G$104,VLOOKUP(CO$1,main!$A$3:$H$102,5,FALSE)-VLOOKUP($A186,main!$A$3:$H$102,6,FALSE)&gt;=main!$D$103+VLOOKUP(VLOOKUP(CO$1,main!$A$3:$I$102,7,FALSE),main!$K$26:$Q$29,4,FALSE)),1,0)</f>
        <v>0</v>
      </c>
      <c r="CP186">
        <f>IF(AND(VLOOKUP(CP$1,main!$A$3:$H$102,7,FALSE)=main!$G$104,VLOOKUP(CP$1,main!$A$3:$H$102,5,FALSE)-VLOOKUP($A186,main!$A$3:$H$102,6,FALSE)&gt;=main!$D$103+VLOOKUP(VLOOKUP(CP$1,main!$A$3:$I$102,7,FALSE),main!$K$26:$Q$29,4,FALSE)),1,0)</f>
        <v>0</v>
      </c>
      <c r="CQ186">
        <f>IF(AND(VLOOKUP(CQ$1,main!$A$3:$H$102,7,FALSE)=main!$G$104,VLOOKUP(CQ$1,main!$A$3:$H$102,5,FALSE)-VLOOKUP($A186,main!$A$3:$H$102,6,FALSE)&gt;=main!$D$103+VLOOKUP(VLOOKUP(CQ$1,main!$A$3:$I$102,7,FALSE),main!$K$26:$Q$29,4,FALSE)),1,0)</f>
        <v>0</v>
      </c>
      <c r="CR186">
        <f>IF(AND(VLOOKUP(CR$1,main!$A$3:$H$102,7,FALSE)=main!$G$104,VLOOKUP(CR$1,main!$A$3:$H$102,5,FALSE)-VLOOKUP($A186,main!$A$3:$H$102,6,FALSE)&gt;=main!$D$103+VLOOKUP(VLOOKUP(CR$1,main!$A$3:$I$102,7,FALSE),main!$K$26:$Q$29,4,FALSE)),1,0)</f>
        <v>0</v>
      </c>
      <c r="CS186">
        <f>IF(AND(VLOOKUP(CS$1,main!$A$3:$H$102,7,FALSE)=main!$G$104,VLOOKUP(CS$1,main!$A$3:$H$102,5,FALSE)-VLOOKUP($A186,main!$A$3:$H$102,6,FALSE)&gt;=main!$D$103+VLOOKUP(VLOOKUP(CS$1,main!$A$3:$I$102,7,FALSE),main!$K$26:$Q$29,4,FALSE)),1,0)</f>
        <v>0</v>
      </c>
      <c r="CT186">
        <f>IF(AND(VLOOKUP(CT$1,main!$A$3:$H$102,7,FALSE)=main!$G$104,VLOOKUP(CT$1,main!$A$3:$H$102,5,FALSE)-VLOOKUP($A186,main!$A$3:$H$102,6,FALSE)&gt;=main!$D$103+VLOOKUP(VLOOKUP(CT$1,main!$A$3:$I$102,7,FALSE),main!$K$26:$Q$29,4,FALSE)),1,0)</f>
        <v>0</v>
      </c>
      <c r="CU186">
        <f>IF(AND(VLOOKUP(CU$1,main!$A$3:$H$102,7,FALSE)=main!$G$104,VLOOKUP(CU$1,main!$A$3:$H$102,5,FALSE)-VLOOKUP($A186,main!$A$3:$H$102,6,FALSE)&gt;=main!$D$103+VLOOKUP(VLOOKUP(CU$1,main!$A$3:$I$102,7,FALSE),main!$K$26:$Q$29,4,FALSE)),1,0)</f>
        <v>0</v>
      </c>
      <c r="CV186">
        <f>IF(AND(VLOOKUP(CV$1,main!$A$3:$H$102,7,FALSE)=main!$G$104,VLOOKUP(CV$1,main!$A$3:$H$102,5,FALSE)-VLOOKUP($A186,main!$A$3:$H$102,6,FALSE)&gt;=main!$D$103+VLOOKUP(VLOOKUP(CV$1,main!$A$3:$I$102,7,FALSE),main!$K$26:$Q$29,4,FALSE)),1,0)</f>
        <v>0</v>
      </c>
      <c r="CW186">
        <f>IF(AND(VLOOKUP(CW$1,main!$A$3:$H$102,7,FALSE)=main!$G$104,VLOOKUP(CW$1,main!$A$3:$H$102,5,FALSE)-VLOOKUP($A186,main!$A$3:$H$102,6,FALSE)&gt;=main!$D$103+VLOOKUP(VLOOKUP(CW$1,main!$A$3:$I$102,7,FALSE),main!$K$26:$Q$29,4,FALSE)),1,0)</f>
        <v>0</v>
      </c>
      <c r="CX186">
        <f>IF(AND(VLOOKUP(CX$1,main!$A$3:$H$102,7,FALSE)=main!$G$104,VLOOKUP(CX$1,main!$A$3:$H$102,5,FALSE)-VLOOKUP($A186,main!$A$3:$H$102,6,FALSE)&gt;=main!$D$103+VLOOKUP(VLOOKUP(CX$1,main!$A$3:$I$102,7,FALSE),main!$K$26:$Q$29,4,FALSE)),1,0)</f>
        <v>0</v>
      </c>
    </row>
    <row r="187" spans="1:102" x14ac:dyDescent="0.25">
      <c r="A187" s="1">
        <v>84</v>
      </c>
      <c r="B187">
        <v>0</v>
      </c>
      <c r="C187">
        <f>IF(AND(VLOOKUP(C$1,main!$A$3:$H$102,7,FALSE)=main!$G$104,VLOOKUP(C$1,main!$A$3:$H$102,5,FALSE)-VLOOKUP($A187,main!$A$3:$H$102,6,FALSE)&gt;=main!$D$103+VLOOKUP(VLOOKUP(C$1,main!$A$3:$I$102,7,FALSE),main!$K$26:$Q$29,4,FALSE)),1,0)</f>
        <v>0</v>
      </c>
      <c r="D187">
        <f>IF(AND(VLOOKUP(D$1,main!$A$3:$H$102,7,FALSE)=main!$G$104,VLOOKUP(D$1,main!$A$3:$H$102,5,FALSE)-VLOOKUP($A187,main!$A$3:$H$102,6,FALSE)&gt;=main!$D$103+VLOOKUP(VLOOKUP(D$1,main!$A$3:$I$102,7,FALSE),main!$K$26:$Q$29,4,FALSE)),1,0)</f>
        <v>0</v>
      </c>
      <c r="E187">
        <f>IF(AND(VLOOKUP(E$1,main!$A$3:$H$102,7,FALSE)=main!$G$104,VLOOKUP(E$1,main!$A$3:$H$102,5,FALSE)-VLOOKUP($A187,main!$A$3:$H$102,6,FALSE)&gt;=main!$D$103+VLOOKUP(VLOOKUP(E$1,main!$A$3:$I$102,7,FALSE),main!$K$26:$Q$29,4,FALSE)),1,0)</f>
        <v>0</v>
      </c>
      <c r="F187">
        <f>IF(AND(VLOOKUP(F$1,main!$A$3:$H$102,7,FALSE)=main!$G$104,VLOOKUP(F$1,main!$A$3:$H$102,5,FALSE)-VLOOKUP($A187,main!$A$3:$H$102,6,FALSE)&gt;=main!$D$103+VLOOKUP(VLOOKUP(F$1,main!$A$3:$I$102,7,FALSE),main!$K$26:$Q$29,4,FALSE)),1,0)</f>
        <v>0</v>
      </c>
      <c r="G187">
        <f>IF(AND(VLOOKUP(G$1,main!$A$3:$H$102,7,FALSE)=main!$G$104,VLOOKUP(G$1,main!$A$3:$H$102,5,FALSE)-VLOOKUP($A187,main!$A$3:$H$102,6,FALSE)&gt;=main!$D$103+VLOOKUP(VLOOKUP(G$1,main!$A$3:$I$102,7,FALSE),main!$K$26:$Q$29,4,FALSE)),1,0)</f>
        <v>0</v>
      </c>
      <c r="H187">
        <f>IF(AND(VLOOKUP(H$1,main!$A$3:$H$102,7,FALSE)=main!$G$104,VLOOKUP(H$1,main!$A$3:$H$102,5,FALSE)-VLOOKUP($A187,main!$A$3:$H$102,6,FALSE)&gt;=main!$D$103+VLOOKUP(VLOOKUP(H$1,main!$A$3:$I$102,7,FALSE),main!$K$26:$Q$29,4,FALSE)),1,0)</f>
        <v>0</v>
      </c>
      <c r="I187">
        <f>IF(AND(VLOOKUP(I$1,main!$A$3:$H$102,7,FALSE)=main!$G$104,VLOOKUP(I$1,main!$A$3:$H$102,5,FALSE)-VLOOKUP($A187,main!$A$3:$H$102,6,FALSE)&gt;=main!$D$103+VLOOKUP(VLOOKUP(I$1,main!$A$3:$I$102,7,FALSE),main!$K$26:$Q$29,4,FALSE)),1,0)</f>
        <v>0</v>
      </c>
      <c r="J187">
        <f>IF(AND(VLOOKUP(J$1,main!$A$3:$H$102,7,FALSE)=main!$G$104,VLOOKUP(J$1,main!$A$3:$H$102,5,FALSE)-VLOOKUP($A187,main!$A$3:$H$102,6,FALSE)&gt;=main!$D$103+VLOOKUP(VLOOKUP(J$1,main!$A$3:$I$102,7,FALSE),main!$K$26:$Q$29,4,FALSE)),1,0)</f>
        <v>0</v>
      </c>
      <c r="K187">
        <f>IF(AND(VLOOKUP(K$1,main!$A$3:$H$102,7,FALSE)=main!$G$104,VLOOKUP(K$1,main!$A$3:$H$102,5,FALSE)-VLOOKUP($A187,main!$A$3:$H$102,6,FALSE)&gt;=main!$D$103+VLOOKUP(VLOOKUP(K$1,main!$A$3:$I$102,7,FALSE),main!$K$26:$Q$29,4,FALSE)),1,0)</f>
        <v>0</v>
      </c>
      <c r="L187">
        <f>IF(AND(VLOOKUP(L$1,main!$A$3:$H$102,7,FALSE)=main!$G$104,VLOOKUP(L$1,main!$A$3:$H$102,5,FALSE)-VLOOKUP($A187,main!$A$3:$H$102,6,FALSE)&gt;=main!$D$103+VLOOKUP(VLOOKUP(L$1,main!$A$3:$I$102,7,FALSE),main!$K$26:$Q$29,4,FALSE)),1,0)</f>
        <v>0</v>
      </c>
      <c r="M187">
        <f>IF(AND(VLOOKUP(M$1,main!$A$3:$H$102,7,FALSE)=main!$G$104,VLOOKUP(M$1,main!$A$3:$H$102,5,FALSE)-VLOOKUP($A187,main!$A$3:$H$102,6,FALSE)&gt;=main!$D$103+VLOOKUP(VLOOKUP(M$1,main!$A$3:$I$102,7,FALSE),main!$K$26:$Q$29,4,FALSE)),1,0)</f>
        <v>0</v>
      </c>
      <c r="N187">
        <f>IF(AND(VLOOKUP(N$1,main!$A$3:$H$102,7,FALSE)=main!$G$104,VLOOKUP(N$1,main!$A$3:$H$102,5,FALSE)-VLOOKUP($A187,main!$A$3:$H$102,6,FALSE)&gt;=main!$D$103+VLOOKUP(VLOOKUP(N$1,main!$A$3:$I$102,7,FALSE),main!$K$26:$Q$29,4,FALSE)),1,0)</f>
        <v>0</v>
      </c>
      <c r="O187">
        <f>IF(AND(VLOOKUP(O$1,main!$A$3:$H$102,7,FALSE)=main!$G$104,VLOOKUP(O$1,main!$A$3:$H$102,5,FALSE)-VLOOKUP($A187,main!$A$3:$H$102,6,FALSE)&gt;=main!$D$103+VLOOKUP(VLOOKUP(O$1,main!$A$3:$I$102,7,FALSE),main!$K$26:$Q$29,4,FALSE)),1,0)</f>
        <v>0</v>
      </c>
      <c r="P187">
        <f>IF(AND(VLOOKUP(P$1,main!$A$3:$H$102,7,FALSE)=main!$G$104,VLOOKUP(P$1,main!$A$3:$H$102,5,FALSE)-VLOOKUP($A187,main!$A$3:$H$102,6,FALSE)&gt;=main!$D$103+VLOOKUP(VLOOKUP(P$1,main!$A$3:$I$102,7,FALSE),main!$K$26:$Q$29,4,FALSE)),1,0)</f>
        <v>0</v>
      </c>
      <c r="Q187">
        <f>IF(AND(VLOOKUP(Q$1,main!$A$3:$H$102,7,FALSE)=main!$G$104,VLOOKUP(Q$1,main!$A$3:$H$102,5,FALSE)-VLOOKUP($A187,main!$A$3:$H$102,6,FALSE)&gt;=main!$D$103+VLOOKUP(VLOOKUP(Q$1,main!$A$3:$I$102,7,FALSE),main!$K$26:$Q$29,4,FALSE)),1,0)</f>
        <v>0</v>
      </c>
      <c r="R187">
        <f>IF(AND(VLOOKUP(R$1,main!$A$3:$H$102,7,FALSE)=main!$G$104,VLOOKUP(R$1,main!$A$3:$H$102,5,FALSE)-VLOOKUP($A187,main!$A$3:$H$102,6,FALSE)&gt;=main!$D$103+VLOOKUP(VLOOKUP(R$1,main!$A$3:$I$102,7,FALSE),main!$K$26:$Q$29,4,FALSE)),1,0)</f>
        <v>0</v>
      </c>
      <c r="S187">
        <f>IF(AND(VLOOKUP(S$1,main!$A$3:$H$102,7,FALSE)=main!$G$104,VLOOKUP(S$1,main!$A$3:$H$102,5,FALSE)-VLOOKUP($A187,main!$A$3:$H$102,6,FALSE)&gt;=main!$D$103+VLOOKUP(VLOOKUP(S$1,main!$A$3:$I$102,7,FALSE),main!$K$26:$Q$29,4,FALSE)),1,0)</f>
        <v>0</v>
      </c>
      <c r="T187">
        <f>IF(AND(VLOOKUP(T$1,main!$A$3:$H$102,7,FALSE)=main!$G$104,VLOOKUP(T$1,main!$A$3:$H$102,5,FALSE)-VLOOKUP($A187,main!$A$3:$H$102,6,FALSE)&gt;=main!$D$103+VLOOKUP(VLOOKUP(T$1,main!$A$3:$I$102,7,FALSE),main!$K$26:$Q$29,4,FALSE)),1,0)</f>
        <v>0</v>
      </c>
      <c r="U187">
        <f>IF(AND(VLOOKUP(U$1,main!$A$3:$H$102,7,FALSE)=main!$G$104,VLOOKUP(U$1,main!$A$3:$H$102,5,FALSE)-VLOOKUP($A187,main!$A$3:$H$102,6,FALSE)&gt;=main!$D$103+VLOOKUP(VLOOKUP(U$1,main!$A$3:$I$102,7,FALSE),main!$K$26:$Q$29,4,FALSE)),1,0)</f>
        <v>0</v>
      </c>
      <c r="V187">
        <f>IF(AND(VLOOKUP(V$1,main!$A$3:$H$102,7,FALSE)=main!$G$104,VLOOKUP(V$1,main!$A$3:$H$102,5,FALSE)-VLOOKUP($A187,main!$A$3:$H$102,6,FALSE)&gt;=main!$D$103+VLOOKUP(VLOOKUP(V$1,main!$A$3:$I$102,7,FALSE),main!$K$26:$Q$29,4,FALSE)),1,0)</f>
        <v>1</v>
      </c>
      <c r="W187">
        <f>IF(AND(VLOOKUP(W$1,main!$A$3:$H$102,7,FALSE)=main!$G$104,VLOOKUP(W$1,main!$A$3:$H$102,5,FALSE)-VLOOKUP($A187,main!$A$3:$H$102,6,FALSE)&gt;=main!$D$103+VLOOKUP(VLOOKUP(W$1,main!$A$3:$I$102,7,FALSE),main!$K$26:$Q$29,4,FALSE)),1,0)</f>
        <v>0</v>
      </c>
      <c r="X187">
        <f>IF(AND(VLOOKUP(X$1,main!$A$3:$H$102,7,FALSE)=main!$G$104,VLOOKUP(X$1,main!$A$3:$H$102,5,FALSE)-VLOOKUP($A187,main!$A$3:$H$102,6,FALSE)&gt;=main!$D$103+VLOOKUP(VLOOKUP(X$1,main!$A$3:$I$102,7,FALSE),main!$K$26:$Q$29,4,FALSE)),1,0)</f>
        <v>0</v>
      </c>
      <c r="Y187">
        <f>IF(AND(VLOOKUP(Y$1,main!$A$3:$H$102,7,FALSE)=main!$G$104,VLOOKUP(Y$1,main!$A$3:$H$102,5,FALSE)-VLOOKUP($A187,main!$A$3:$H$102,6,FALSE)&gt;=main!$D$103+VLOOKUP(VLOOKUP(Y$1,main!$A$3:$I$102,7,FALSE),main!$K$26:$Q$29,4,FALSE)),1,0)</f>
        <v>0</v>
      </c>
      <c r="Z187">
        <f>IF(AND(VLOOKUP(Z$1,main!$A$3:$H$102,7,FALSE)=main!$G$104,VLOOKUP(Z$1,main!$A$3:$H$102,5,FALSE)-VLOOKUP($A187,main!$A$3:$H$102,6,FALSE)&gt;=main!$D$103+VLOOKUP(VLOOKUP(Z$1,main!$A$3:$I$102,7,FALSE),main!$K$26:$Q$29,4,FALSE)),1,0)</f>
        <v>0</v>
      </c>
      <c r="AA187">
        <f>IF(AND(VLOOKUP(AA$1,main!$A$3:$H$102,7,FALSE)=main!$G$104,VLOOKUP(AA$1,main!$A$3:$H$102,5,FALSE)-VLOOKUP($A187,main!$A$3:$H$102,6,FALSE)&gt;=main!$D$103+VLOOKUP(VLOOKUP(AA$1,main!$A$3:$I$102,7,FALSE),main!$K$26:$Q$29,4,FALSE)),1,0)</f>
        <v>0</v>
      </c>
      <c r="AB187">
        <f>IF(AND(VLOOKUP(AB$1,main!$A$3:$H$102,7,FALSE)=main!$G$104,VLOOKUP(AB$1,main!$A$3:$H$102,5,FALSE)-VLOOKUP($A187,main!$A$3:$H$102,6,FALSE)&gt;=main!$D$103+VLOOKUP(VLOOKUP(AB$1,main!$A$3:$I$102,7,FALSE),main!$K$26:$Q$29,4,FALSE)),1,0)</f>
        <v>0</v>
      </c>
      <c r="AC187">
        <f>IF(AND(VLOOKUP(AC$1,main!$A$3:$H$102,7,FALSE)=main!$G$104,VLOOKUP(AC$1,main!$A$3:$H$102,5,FALSE)-VLOOKUP($A187,main!$A$3:$H$102,6,FALSE)&gt;=main!$D$103+VLOOKUP(VLOOKUP(AC$1,main!$A$3:$I$102,7,FALSE),main!$K$26:$Q$29,4,FALSE)),1,0)</f>
        <v>0</v>
      </c>
      <c r="AD187">
        <f>IF(AND(VLOOKUP(AD$1,main!$A$3:$H$102,7,FALSE)=main!$G$104,VLOOKUP(AD$1,main!$A$3:$H$102,5,FALSE)-VLOOKUP($A187,main!$A$3:$H$102,6,FALSE)&gt;=main!$D$103+VLOOKUP(VLOOKUP(AD$1,main!$A$3:$I$102,7,FALSE),main!$K$26:$Q$29,4,FALSE)),1,0)</f>
        <v>0</v>
      </c>
      <c r="AE187">
        <f>IF(AND(VLOOKUP(AE$1,main!$A$3:$H$102,7,FALSE)=main!$G$104,VLOOKUP(AE$1,main!$A$3:$H$102,5,FALSE)-VLOOKUP($A187,main!$A$3:$H$102,6,FALSE)&gt;=main!$D$103+VLOOKUP(VLOOKUP(AE$1,main!$A$3:$I$102,7,FALSE),main!$K$26:$Q$29,4,FALSE)),1,0)</f>
        <v>0</v>
      </c>
      <c r="AF187">
        <f>IF(AND(VLOOKUP(AF$1,main!$A$3:$H$102,7,FALSE)=main!$G$104,VLOOKUP(AF$1,main!$A$3:$H$102,5,FALSE)-VLOOKUP($A187,main!$A$3:$H$102,6,FALSE)&gt;=main!$D$103+VLOOKUP(VLOOKUP(AF$1,main!$A$3:$I$102,7,FALSE),main!$K$26:$Q$29,4,FALSE)),1,0)</f>
        <v>0</v>
      </c>
      <c r="AG187">
        <f>IF(AND(VLOOKUP(AG$1,main!$A$3:$H$102,7,FALSE)=main!$G$104,VLOOKUP(AG$1,main!$A$3:$H$102,5,FALSE)-VLOOKUP($A187,main!$A$3:$H$102,6,FALSE)&gt;=main!$D$103+VLOOKUP(VLOOKUP(AG$1,main!$A$3:$I$102,7,FALSE),main!$K$26:$Q$29,4,FALSE)),1,0)</f>
        <v>0</v>
      </c>
      <c r="AH187">
        <f>IF(AND(VLOOKUP(AH$1,main!$A$3:$H$102,7,FALSE)=main!$G$104,VLOOKUP(AH$1,main!$A$3:$H$102,5,FALSE)-VLOOKUP($A187,main!$A$3:$H$102,6,FALSE)&gt;=main!$D$103+VLOOKUP(VLOOKUP(AH$1,main!$A$3:$I$102,7,FALSE),main!$K$26:$Q$29,4,FALSE)),1,0)</f>
        <v>0</v>
      </c>
      <c r="AI187">
        <f>IF(AND(VLOOKUP(AI$1,main!$A$3:$H$102,7,FALSE)=main!$G$104,VLOOKUP(AI$1,main!$A$3:$H$102,5,FALSE)-VLOOKUP($A187,main!$A$3:$H$102,6,FALSE)&gt;=main!$D$103+VLOOKUP(VLOOKUP(AI$1,main!$A$3:$I$102,7,FALSE),main!$K$26:$Q$29,4,FALSE)),1,0)</f>
        <v>0</v>
      </c>
      <c r="AJ187">
        <f>IF(AND(VLOOKUP(AJ$1,main!$A$3:$H$102,7,FALSE)=main!$G$104,VLOOKUP(AJ$1,main!$A$3:$H$102,5,FALSE)-VLOOKUP($A187,main!$A$3:$H$102,6,FALSE)&gt;=main!$D$103+VLOOKUP(VLOOKUP(AJ$1,main!$A$3:$I$102,7,FALSE),main!$K$26:$Q$29,4,FALSE)),1,0)</f>
        <v>0</v>
      </c>
      <c r="AK187">
        <f>IF(AND(VLOOKUP(AK$1,main!$A$3:$H$102,7,FALSE)=main!$G$104,VLOOKUP(AK$1,main!$A$3:$H$102,5,FALSE)-VLOOKUP($A187,main!$A$3:$H$102,6,FALSE)&gt;=main!$D$103+VLOOKUP(VLOOKUP(AK$1,main!$A$3:$I$102,7,FALSE),main!$K$26:$Q$29,4,FALSE)),1,0)</f>
        <v>0</v>
      </c>
      <c r="AL187">
        <f>IF(AND(VLOOKUP(AL$1,main!$A$3:$H$102,7,FALSE)=main!$G$104,VLOOKUP(AL$1,main!$A$3:$H$102,5,FALSE)-VLOOKUP($A187,main!$A$3:$H$102,6,FALSE)&gt;=main!$D$103+VLOOKUP(VLOOKUP(AL$1,main!$A$3:$I$102,7,FALSE),main!$K$26:$Q$29,4,FALSE)),1,0)</f>
        <v>0</v>
      </c>
      <c r="AM187">
        <f>IF(AND(VLOOKUP(AM$1,main!$A$3:$H$102,7,FALSE)=main!$G$104,VLOOKUP(AM$1,main!$A$3:$H$102,5,FALSE)-VLOOKUP($A187,main!$A$3:$H$102,6,FALSE)&gt;=main!$D$103+VLOOKUP(VLOOKUP(AM$1,main!$A$3:$I$102,7,FALSE),main!$K$26:$Q$29,4,FALSE)),1,0)</f>
        <v>0</v>
      </c>
      <c r="AN187">
        <f>IF(AND(VLOOKUP(AN$1,main!$A$3:$H$102,7,FALSE)=main!$G$104,VLOOKUP(AN$1,main!$A$3:$H$102,5,FALSE)-VLOOKUP($A187,main!$A$3:$H$102,6,FALSE)&gt;=main!$D$103+VLOOKUP(VLOOKUP(AN$1,main!$A$3:$I$102,7,FALSE),main!$K$26:$Q$29,4,FALSE)),1,0)</f>
        <v>0</v>
      </c>
      <c r="AO187">
        <f>IF(AND(VLOOKUP(AO$1,main!$A$3:$H$102,7,FALSE)=main!$G$104,VLOOKUP(AO$1,main!$A$3:$H$102,5,FALSE)-VLOOKUP($A187,main!$A$3:$H$102,6,FALSE)&gt;=main!$D$103+VLOOKUP(VLOOKUP(AO$1,main!$A$3:$I$102,7,FALSE),main!$K$26:$Q$29,4,FALSE)),1,0)</f>
        <v>0</v>
      </c>
      <c r="AP187">
        <f>IF(AND(VLOOKUP(AP$1,main!$A$3:$H$102,7,FALSE)=main!$G$104,VLOOKUP(AP$1,main!$A$3:$H$102,5,FALSE)-VLOOKUP($A187,main!$A$3:$H$102,6,FALSE)&gt;=main!$D$103+VLOOKUP(VLOOKUP(AP$1,main!$A$3:$I$102,7,FALSE),main!$K$26:$Q$29,4,FALSE)),1,0)</f>
        <v>0</v>
      </c>
      <c r="AQ187">
        <f>IF(AND(VLOOKUP(AQ$1,main!$A$3:$H$102,7,FALSE)=main!$G$104,VLOOKUP(AQ$1,main!$A$3:$H$102,5,FALSE)-VLOOKUP($A187,main!$A$3:$H$102,6,FALSE)&gt;=main!$D$103+VLOOKUP(VLOOKUP(AQ$1,main!$A$3:$I$102,7,FALSE),main!$K$26:$Q$29,4,FALSE)),1,0)</f>
        <v>0</v>
      </c>
      <c r="AR187">
        <f>IF(AND(VLOOKUP(AR$1,main!$A$3:$H$102,7,FALSE)=main!$G$104,VLOOKUP(AR$1,main!$A$3:$H$102,5,FALSE)-VLOOKUP($A187,main!$A$3:$H$102,6,FALSE)&gt;=main!$D$103+VLOOKUP(VLOOKUP(AR$1,main!$A$3:$I$102,7,FALSE),main!$K$26:$Q$29,4,FALSE)),1,0)</f>
        <v>0</v>
      </c>
      <c r="AS187">
        <f>IF(AND(VLOOKUP(AS$1,main!$A$3:$H$102,7,FALSE)=main!$G$104,VLOOKUP(AS$1,main!$A$3:$H$102,5,FALSE)-VLOOKUP($A187,main!$A$3:$H$102,6,FALSE)&gt;=main!$D$103+VLOOKUP(VLOOKUP(AS$1,main!$A$3:$I$102,7,FALSE),main!$K$26:$Q$29,4,FALSE)),1,0)</f>
        <v>0</v>
      </c>
      <c r="AT187">
        <f>IF(AND(VLOOKUP(AT$1,main!$A$3:$H$102,7,FALSE)=main!$G$104,VLOOKUP(AT$1,main!$A$3:$H$102,5,FALSE)-VLOOKUP($A187,main!$A$3:$H$102,6,FALSE)&gt;=main!$D$103+VLOOKUP(VLOOKUP(AT$1,main!$A$3:$I$102,7,FALSE),main!$K$26:$Q$29,4,FALSE)),1,0)</f>
        <v>0</v>
      </c>
      <c r="AU187">
        <f>IF(AND(VLOOKUP(AU$1,main!$A$3:$H$102,7,FALSE)=main!$G$104,VLOOKUP(AU$1,main!$A$3:$H$102,5,FALSE)-VLOOKUP($A187,main!$A$3:$H$102,6,FALSE)&gt;=main!$D$103+VLOOKUP(VLOOKUP(AU$1,main!$A$3:$I$102,7,FALSE),main!$K$26:$Q$29,4,FALSE)),1,0)</f>
        <v>0</v>
      </c>
      <c r="AV187">
        <f>IF(AND(VLOOKUP(AV$1,main!$A$3:$H$102,7,FALSE)=main!$G$104,VLOOKUP(AV$1,main!$A$3:$H$102,5,FALSE)-VLOOKUP($A187,main!$A$3:$H$102,6,FALSE)&gt;=main!$D$103+VLOOKUP(VLOOKUP(AV$1,main!$A$3:$I$102,7,FALSE),main!$K$26:$Q$29,4,FALSE)),1,0)</f>
        <v>0</v>
      </c>
      <c r="AW187">
        <f>IF(AND(VLOOKUP(AW$1,main!$A$3:$H$102,7,FALSE)=main!$G$104,VLOOKUP(AW$1,main!$A$3:$H$102,5,FALSE)-VLOOKUP($A187,main!$A$3:$H$102,6,FALSE)&gt;=main!$D$103+VLOOKUP(VLOOKUP(AW$1,main!$A$3:$I$102,7,FALSE),main!$K$26:$Q$29,4,FALSE)),1,0)</f>
        <v>0</v>
      </c>
      <c r="AX187">
        <f>IF(AND(VLOOKUP(AX$1,main!$A$3:$H$102,7,FALSE)=main!$G$104,VLOOKUP(AX$1,main!$A$3:$H$102,5,FALSE)-VLOOKUP($A187,main!$A$3:$H$102,6,FALSE)&gt;=main!$D$103+VLOOKUP(VLOOKUP(AX$1,main!$A$3:$I$102,7,FALSE),main!$K$26:$Q$29,4,FALSE)),1,0)</f>
        <v>0</v>
      </c>
      <c r="AY187">
        <f>IF(AND(VLOOKUP(AY$1,main!$A$3:$H$102,7,FALSE)=main!$G$104,VLOOKUP(AY$1,main!$A$3:$H$102,5,FALSE)-VLOOKUP($A187,main!$A$3:$H$102,6,FALSE)&gt;=main!$D$103+VLOOKUP(VLOOKUP(AY$1,main!$A$3:$I$102,7,FALSE),main!$K$26:$Q$29,4,FALSE)),1,0)</f>
        <v>0</v>
      </c>
      <c r="AZ187">
        <f>IF(AND(VLOOKUP(AZ$1,main!$A$3:$H$102,7,FALSE)=main!$G$104,VLOOKUP(AZ$1,main!$A$3:$H$102,5,FALSE)-VLOOKUP($A187,main!$A$3:$H$102,6,FALSE)&gt;=main!$D$103+VLOOKUP(VLOOKUP(AZ$1,main!$A$3:$I$102,7,FALSE),main!$K$26:$Q$29,4,FALSE)),1,0)</f>
        <v>0</v>
      </c>
      <c r="BA187">
        <f>IF(AND(VLOOKUP(BA$1,main!$A$3:$H$102,7,FALSE)=main!$G$104,VLOOKUP(BA$1,main!$A$3:$H$102,5,FALSE)-VLOOKUP($A187,main!$A$3:$H$102,6,FALSE)&gt;=main!$D$103+VLOOKUP(VLOOKUP(BA$1,main!$A$3:$I$102,7,FALSE),main!$K$26:$Q$29,4,FALSE)),1,0)</f>
        <v>0</v>
      </c>
      <c r="BB187">
        <f>IF(AND(VLOOKUP(BB$1,main!$A$3:$H$102,7,FALSE)=main!$G$104,VLOOKUP(BB$1,main!$A$3:$H$102,5,FALSE)-VLOOKUP($A187,main!$A$3:$H$102,6,FALSE)&gt;=main!$D$103+VLOOKUP(VLOOKUP(BB$1,main!$A$3:$I$102,7,FALSE),main!$K$26:$Q$29,4,FALSE)),1,0)</f>
        <v>0</v>
      </c>
      <c r="BC187">
        <f>IF(AND(VLOOKUP(BC$1,main!$A$3:$H$102,7,FALSE)=main!$G$104,VLOOKUP(BC$1,main!$A$3:$H$102,5,FALSE)-VLOOKUP($A187,main!$A$3:$H$102,6,FALSE)&gt;=main!$D$103+VLOOKUP(VLOOKUP(BC$1,main!$A$3:$I$102,7,FALSE),main!$K$26:$Q$29,4,FALSE)),1,0)</f>
        <v>0</v>
      </c>
      <c r="BD187">
        <f>IF(AND(VLOOKUP(BD$1,main!$A$3:$H$102,7,FALSE)=main!$G$104,VLOOKUP(BD$1,main!$A$3:$H$102,5,FALSE)-VLOOKUP($A187,main!$A$3:$H$102,6,FALSE)&gt;=main!$D$103+VLOOKUP(VLOOKUP(BD$1,main!$A$3:$I$102,7,FALSE),main!$K$26:$Q$29,4,FALSE)),1,0)</f>
        <v>0</v>
      </c>
      <c r="BE187">
        <f>IF(AND(VLOOKUP(BE$1,main!$A$3:$H$102,7,FALSE)=main!$G$104,VLOOKUP(BE$1,main!$A$3:$H$102,5,FALSE)-VLOOKUP($A187,main!$A$3:$H$102,6,FALSE)&gt;=main!$D$103+VLOOKUP(VLOOKUP(BE$1,main!$A$3:$I$102,7,FALSE),main!$K$26:$Q$29,4,FALSE)),1,0)</f>
        <v>0</v>
      </c>
      <c r="BF187">
        <f>IF(AND(VLOOKUP(BF$1,main!$A$3:$H$102,7,FALSE)=main!$G$104,VLOOKUP(BF$1,main!$A$3:$H$102,5,FALSE)-VLOOKUP($A187,main!$A$3:$H$102,6,FALSE)&gt;=main!$D$103+VLOOKUP(VLOOKUP(BF$1,main!$A$3:$I$102,7,FALSE),main!$K$26:$Q$29,4,FALSE)),1,0)</f>
        <v>0</v>
      </c>
      <c r="BG187">
        <f>IF(AND(VLOOKUP(BG$1,main!$A$3:$H$102,7,FALSE)=main!$G$104,VLOOKUP(BG$1,main!$A$3:$H$102,5,FALSE)-VLOOKUP($A187,main!$A$3:$H$102,6,FALSE)&gt;=main!$D$103+VLOOKUP(VLOOKUP(BG$1,main!$A$3:$I$102,7,FALSE),main!$K$26:$Q$29,4,FALSE)),1,0)</f>
        <v>0</v>
      </c>
      <c r="BH187">
        <f>IF(AND(VLOOKUP(BH$1,main!$A$3:$H$102,7,FALSE)=main!$G$104,VLOOKUP(BH$1,main!$A$3:$H$102,5,FALSE)-VLOOKUP($A187,main!$A$3:$H$102,6,FALSE)&gt;=main!$D$103+VLOOKUP(VLOOKUP(BH$1,main!$A$3:$I$102,7,FALSE),main!$K$26:$Q$29,4,FALSE)),1,0)</f>
        <v>0</v>
      </c>
      <c r="BI187">
        <f>IF(AND(VLOOKUP(BI$1,main!$A$3:$H$102,7,FALSE)=main!$G$104,VLOOKUP(BI$1,main!$A$3:$H$102,5,FALSE)-VLOOKUP($A187,main!$A$3:$H$102,6,FALSE)&gt;=main!$D$103+VLOOKUP(VLOOKUP(BI$1,main!$A$3:$I$102,7,FALSE),main!$K$26:$Q$29,4,FALSE)),1,0)</f>
        <v>0</v>
      </c>
      <c r="BJ187">
        <f>IF(AND(VLOOKUP(BJ$1,main!$A$3:$H$102,7,FALSE)=main!$G$104,VLOOKUP(BJ$1,main!$A$3:$H$102,5,FALSE)-VLOOKUP($A187,main!$A$3:$H$102,6,FALSE)&gt;=main!$D$103+VLOOKUP(VLOOKUP(BJ$1,main!$A$3:$I$102,7,FALSE),main!$K$26:$Q$29,4,FALSE)),1,0)</f>
        <v>0</v>
      </c>
      <c r="BK187">
        <f>IF(AND(VLOOKUP(BK$1,main!$A$3:$H$102,7,FALSE)=main!$G$104,VLOOKUP(BK$1,main!$A$3:$H$102,5,FALSE)-VLOOKUP($A187,main!$A$3:$H$102,6,FALSE)&gt;=main!$D$103+VLOOKUP(VLOOKUP(BK$1,main!$A$3:$I$102,7,FALSE),main!$K$26:$Q$29,4,FALSE)),1,0)</f>
        <v>0</v>
      </c>
      <c r="BL187">
        <f>IF(AND(VLOOKUP(BL$1,main!$A$3:$H$102,7,FALSE)=main!$G$104,VLOOKUP(BL$1,main!$A$3:$H$102,5,FALSE)-VLOOKUP($A187,main!$A$3:$H$102,6,FALSE)&gt;=main!$D$103+VLOOKUP(VLOOKUP(BL$1,main!$A$3:$I$102,7,FALSE),main!$K$26:$Q$29,4,FALSE)),1,0)</f>
        <v>0</v>
      </c>
      <c r="BM187">
        <f>IF(AND(VLOOKUP(BM$1,main!$A$3:$H$102,7,FALSE)=main!$G$104,VLOOKUP(BM$1,main!$A$3:$H$102,5,FALSE)-VLOOKUP($A187,main!$A$3:$H$102,6,FALSE)&gt;=main!$D$103+VLOOKUP(VLOOKUP(BM$1,main!$A$3:$I$102,7,FALSE),main!$K$26:$Q$29,4,FALSE)),1,0)</f>
        <v>0</v>
      </c>
      <c r="BN187">
        <f>IF(AND(VLOOKUP(BN$1,main!$A$3:$H$102,7,FALSE)=main!$G$104,VLOOKUP(BN$1,main!$A$3:$H$102,5,FALSE)-VLOOKUP($A187,main!$A$3:$H$102,6,FALSE)&gt;=main!$D$103+VLOOKUP(VLOOKUP(BN$1,main!$A$3:$I$102,7,FALSE),main!$K$26:$Q$29,4,FALSE)),1,0)</f>
        <v>0</v>
      </c>
      <c r="BO187">
        <f>IF(AND(VLOOKUP(BO$1,main!$A$3:$H$102,7,FALSE)=main!$G$104,VLOOKUP(BO$1,main!$A$3:$H$102,5,FALSE)-VLOOKUP($A187,main!$A$3:$H$102,6,FALSE)&gt;=main!$D$103+VLOOKUP(VLOOKUP(BO$1,main!$A$3:$I$102,7,FALSE),main!$K$26:$Q$29,4,FALSE)),1,0)</f>
        <v>0</v>
      </c>
      <c r="BP187">
        <f>IF(AND(VLOOKUP(BP$1,main!$A$3:$H$102,7,FALSE)=main!$G$104,VLOOKUP(BP$1,main!$A$3:$H$102,5,FALSE)-VLOOKUP($A187,main!$A$3:$H$102,6,FALSE)&gt;=main!$D$103+VLOOKUP(VLOOKUP(BP$1,main!$A$3:$I$102,7,FALSE),main!$K$26:$Q$29,4,FALSE)),1,0)</f>
        <v>0</v>
      </c>
      <c r="BQ187">
        <f>IF(AND(VLOOKUP(BQ$1,main!$A$3:$H$102,7,FALSE)=main!$G$104,VLOOKUP(BQ$1,main!$A$3:$H$102,5,FALSE)-VLOOKUP($A187,main!$A$3:$H$102,6,FALSE)&gt;=main!$D$103+VLOOKUP(VLOOKUP(BQ$1,main!$A$3:$I$102,7,FALSE),main!$K$26:$Q$29,4,FALSE)),1,0)</f>
        <v>0</v>
      </c>
      <c r="BR187">
        <f>IF(AND(VLOOKUP(BR$1,main!$A$3:$H$102,7,FALSE)=main!$G$104,VLOOKUP(BR$1,main!$A$3:$H$102,5,FALSE)-VLOOKUP($A187,main!$A$3:$H$102,6,FALSE)&gt;=main!$D$103+VLOOKUP(VLOOKUP(BR$1,main!$A$3:$I$102,7,FALSE),main!$K$26:$Q$29,4,FALSE)),1,0)</f>
        <v>0</v>
      </c>
      <c r="BS187">
        <f>IF(AND(VLOOKUP(BS$1,main!$A$3:$H$102,7,FALSE)=main!$G$104,VLOOKUP(BS$1,main!$A$3:$H$102,5,FALSE)-VLOOKUP($A187,main!$A$3:$H$102,6,FALSE)&gt;=main!$D$103+VLOOKUP(VLOOKUP(BS$1,main!$A$3:$I$102,7,FALSE),main!$K$26:$Q$29,4,FALSE)),1,0)</f>
        <v>0</v>
      </c>
      <c r="BT187">
        <f>IF(AND(VLOOKUP(BT$1,main!$A$3:$H$102,7,FALSE)=main!$G$104,VLOOKUP(BT$1,main!$A$3:$H$102,5,FALSE)-VLOOKUP($A187,main!$A$3:$H$102,6,FALSE)&gt;=main!$D$103+VLOOKUP(VLOOKUP(BT$1,main!$A$3:$I$102,7,FALSE),main!$K$26:$Q$29,4,FALSE)),1,0)</f>
        <v>0</v>
      </c>
      <c r="BU187">
        <f>IF(AND(VLOOKUP(BU$1,main!$A$3:$H$102,7,FALSE)=main!$G$104,VLOOKUP(BU$1,main!$A$3:$H$102,5,FALSE)-VLOOKUP($A187,main!$A$3:$H$102,6,FALSE)&gt;=main!$D$103+VLOOKUP(VLOOKUP(BU$1,main!$A$3:$I$102,7,FALSE),main!$K$26:$Q$29,4,FALSE)),1,0)</f>
        <v>0</v>
      </c>
      <c r="BV187">
        <f>IF(AND(VLOOKUP(BV$1,main!$A$3:$H$102,7,FALSE)=main!$G$104,VLOOKUP(BV$1,main!$A$3:$H$102,5,FALSE)-VLOOKUP($A187,main!$A$3:$H$102,6,FALSE)&gt;=main!$D$103+VLOOKUP(VLOOKUP(BV$1,main!$A$3:$I$102,7,FALSE),main!$K$26:$Q$29,4,FALSE)),1,0)</f>
        <v>0</v>
      </c>
      <c r="BW187">
        <f>IF(AND(VLOOKUP(BW$1,main!$A$3:$H$102,7,FALSE)=main!$G$104,VLOOKUP(BW$1,main!$A$3:$H$102,5,FALSE)-VLOOKUP($A187,main!$A$3:$H$102,6,FALSE)&gt;=main!$D$103+VLOOKUP(VLOOKUP(BW$1,main!$A$3:$I$102,7,FALSE),main!$K$26:$Q$29,4,FALSE)),1,0)</f>
        <v>0</v>
      </c>
      <c r="BX187">
        <f>IF(AND(VLOOKUP(BX$1,main!$A$3:$H$102,7,FALSE)=main!$G$104,VLOOKUP(BX$1,main!$A$3:$H$102,5,FALSE)-VLOOKUP($A187,main!$A$3:$H$102,6,FALSE)&gt;=main!$D$103+VLOOKUP(VLOOKUP(BX$1,main!$A$3:$I$102,7,FALSE),main!$K$26:$Q$29,4,FALSE)),1,0)</f>
        <v>0</v>
      </c>
      <c r="BY187">
        <f>IF(AND(VLOOKUP(BY$1,main!$A$3:$H$102,7,FALSE)=main!$G$104,VLOOKUP(BY$1,main!$A$3:$H$102,5,FALSE)-VLOOKUP($A187,main!$A$3:$H$102,6,FALSE)&gt;=main!$D$103+VLOOKUP(VLOOKUP(BY$1,main!$A$3:$I$102,7,FALSE),main!$K$26:$Q$29,4,FALSE)),1,0)</f>
        <v>0</v>
      </c>
      <c r="BZ187">
        <f>IF(AND(VLOOKUP(BZ$1,main!$A$3:$H$102,7,FALSE)=main!$G$104,VLOOKUP(BZ$1,main!$A$3:$H$102,5,FALSE)-VLOOKUP($A187,main!$A$3:$H$102,6,FALSE)&gt;=main!$D$103+VLOOKUP(VLOOKUP(BZ$1,main!$A$3:$I$102,7,FALSE),main!$K$26:$Q$29,4,FALSE)),1,0)</f>
        <v>0</v>
      </c>
      <c r="CA187">
        <f>IF(AND(VLOOKUP(CA$1,main!$A$3:$H$102,7,FALSE)=main!$G$104,VLOOKUP(CA$1,main!$A$3:$H$102,5,FALSE)-VLOOKUP($A187,main!$A$3:$H$102,6,FALSE)&gt;=main!$D$103+VLOOKUP(VLOOKUP(CA$1,main!$A$3:$I$102,7,FALSE),main!$K$26:$Q$29,4,FALSE)),1,0)</f>
        <v>0</v>
      </c>
      <c r="CB187">
        <f>IF(AND(VLOOKUP(CB$1,main!$A$3:$H$102,7,FALSE)=main!$G$104,VLOOKUP(CB$1,main!$A$3:$H$102,5,FALSE)-VLOOKUP($A187,main!$A$3:$H$102,6,FALSE)&gt;=main!$D$103+VLOOKUP(VLOOKUP(CB$1,main!$A$3:$I$102,7,FALSE),main!$K$26:$Q$29,4,FALSE)),1,0)</f>
        <v>0</v>
      </c>
      <c r="CC187">
        <f>IF(AND(VLOOKUP(CC$1,main!$A$3:$H$102,7,FALSE)=main!$G$104,VLOOKUP(CC$1,main!$A$3:$H$102,5,FALSE)-VLOOKUP($A187,main!$A$3:$H$102,6,FALSE)&gt;=main!$D$103+VLOOKUP(VLOOKUP(CC$1,main!$A$3:$I$102,7,FALSE),main!$K$26:$Q$29,4,FALSE)),1,0)</f>
        <v>0</v>
      </c>
      <c r="CD187">
        <f>IF(AND(VLOOKUP(CD$1,main!$A$3:$H$102,7,FALSE)=main!$G$104,VLOOKUP(CD$1,main!$A$3:$H$102,5,FALSE)-VLOOKUP($A187,main!$A$3:$H$102,6,FALSE)&gt;=main!$D$103+VLOOKUP(VLOOKUP(CD$1,main!$A$3:$I$102,7,FALSE),main!$K$26:$Q$29,4,FALSE)),1,0)</f>
        <v>0</v>
      </c>
      <c r="CE187">
        <f>IF(AND(VLOOKUP(CE$1,main!$A$3:$H$102,7,FALSE)=main!$G$104,VLOOKUP(CE$1,main!$A$3:$H$102,5,FALSE)-VLOOKUP($A187,main!$A$3:$H$102,6,FALSE)&gt;=main!$D$103+VLOOKUP(VLOOKUP(CE$1,main!$A$3:$I$102,7,FALSE),main!$K$26:$Q$29,4,FALSE)),1,0)</f>
        <v>0</v>
      </c>
      <c r="CF187">
        <f>IF(AND(VLOOKUP(CF$1,main!$A$3:$H$102,7,FALSE)=main!$G$104,VLOOKUP(CF$1,main!$A$3:$H$102,5,FALSE)-VLOOKUP($A187,main!$A$3:$H$102,6,FALSE)&gt;=main!$D$103+VLOOKUP(VLOOKUP(CF$1,main!$A$3:$I$102,7,FALSE),main!$K$26:$Q$29,4,FALSE)),1,0)</f>
        <v>0</v>
      </c>
      <c r="CG187">
        <f>IF(AND(VLOOKUP(CG$1,main!$A$3:$H$102,7,FALSE)=main!$G$104,VLOOKUP(CG$1,main!$A$3:$H$102,5,FALSE)-VLOOKUP($A187,main!$A$3:$H$102,6,FALSE)&gt;=main!$D$103+VLOOKUP(VLOOKUP(CG$1,main!$A$3:$I$102,7,FALSE),main!$K$26:$Q$29,4,FALSE)),1,0)</f>
        <v>0</v>
      </c>
      <c r="CH187">
        <f>IF(AND(VLOOKUP(CH$1,main!$A$3:$H$102,7,FALSE)=main!$G$104,VLOOKUP(CH$1,main!$A$3:$H$102,5,FALSE)-VLOOKUP($A187,main!$A$3:$H$102,6,FALSE)&gt;=main!$D$103+VLOOKUP(VLOOKUP(CH$1,main!$A$3:$I$102,7,FALSE),main!$K$26:$Q$29,4,FALSE)),1,0)</f>
        <v>0</v>
      </c>
      <c r="CI187">
        <f>IF(AND(VLOOKUP(CI$1,main!$A$3:$H$102,7,FALSE)=main!$G$104,VLOOKUP(CI$1,main!$A$3:$H$102,5,FALSE)-VLOOKUP($A187,main!$A$3:$H$102,6,FALSE)&gt;=main!$D$103+VLOOKUP(VLOOKUP(CI$1,main!$A$3:$I$102,7,FALSE),main!$K$26:$Q$29,4,FALSE)),1,0)</f>
        <v>0</v>
      </c>
      <c r="CJ187">
        <f>IF(AND(VLOOKUP(CJ$1,main!$A$3:$H$102,7,FALSE)=main!$G$104,VLOOKUP(CJ$1,main!$A$3:$H$102,5,FALSE)-VLOOKUP($A187,main!$A$3:$H$102,6,FALSE)&gt;=main!$D$103+VLOOKUP(VLOOKUP(CJ$1,main!$A$3:$I$102,7,FALSE),main!$K$26:$Q$29,4,FALSE)),1,0)</f>
        <v>0</v>
      </c>
      <c r="CK187">
        <f>IF(AND(VLOOKUP(CK$1,main!$A$3:$H$102,7,FALSE)=main!$G$104,VLOOKUP(CK$1,main!$A$3:$H$102,5,FALSE)-VLOOKUP($A187,main!$A$3:$H$102,6,FALSE)&gt;=main!$D$103+VLOOKUP(VLOOKUP(CK$1,main!$A$3:$I$102,7,FALSE),main!$K$26:$Q$29,4,FALSE)),1,0)</f>
        <v>0</v>
      </c>
      <c r="CL187">
        <f>IF(AND(VLOOKUP(CL$1,main!$A$3:$H$102,7,FALSE)=main!$G$104,VLOOKUP(CL$1,main!$A$3:$H$102,5,FALSE)-VLOOKUP($A187,main!$A$3:$H$102,6,FALSE)&gt;=main!$D$103+VLOOKUP(VLOOKUP(CL$1,main!$A$3:$I$102,7,FALSE),main!$K$26:$Q$29,4,FALSE)),1,0)</f>
        <v>0</v>
      </c>
      <c r="CM187">
        <f>IF(AND(VLOOKUP(CM$1,main!$A$3:$H$102,7,FALSE)=main!$G$104,VLOOKUP(CM$1,main!$A$3:$H$102,5,FALSE)-VLOOKUP($A187,main!$A$3:$H$102,6,FALSE)&gt;=main!$D$103+VLOOKUP(VLOOKUP(CM$1,main!$A$3:$I$102,7,FALSE),main!$K$26:$Q$29,4,FALSE)),1,0)</f>
        <v>0</v>
      </c>
      <c r="CN187">
        <f>IF(AND(VLOOKUP(CN$1,main!$A$3:$H$102,7,FALSE)=main!$G$104,VLOOKUP(CN$1,main!$A$3:$H$102,5,FALSE)-VLOOKUP($A187,main!$A$3:$H$102,6,FALSE)&gt;=main!$D$103+VLOOKUP(VLOOKUP(CN$1,main!$A$3:$I$102,7,FALSE),main!$K$26:$Q$29,4,FALSE)),1,0)</f>
        <v>0</v>
      </c>
      <c r="CO187">
        <f>IF(AND(VLOOKUP(CO$1,main!$A$3:$H$102,7,FALSE)=main!$G$104,VLOOKUP(CO$1,main!$A$3:$H$102,5,FALSE)-VLOOKUP($A187,main!$A$3:$H$102,6,FALSE)&gt;=main!$D$103+VLOOKUP(VLOOKUP(CO$1,main!$A$3:$I$102,7,FALSE),main!$K$26:$Q$29,4,FALSE)),1,0)</f>
        <v>0</v>
      </c>
      <c r="CP187">
        <f>IF(AND(VLOOKUP(CP$1,main!$A$3:$H$102,7,FALSE)=main!$G$104,VLOOKUP(CP$1,main!$A$3:$H$102,5,FALSE)-VLOOKUP($A187,main!$A$3:$H$102,6,FALSE)&gt;=main!$D$103+VLOOKUP(VLOOKUP(CP$1,main!$A$3:$I$102,7,FALSE),main!$K$26:$Q$29,4,FALSE)),1,0)</f>
        <v>0</v>
      </c>
      <c r="CQ187">
        <f>IF(AND(VLOOKUP(CQ$1,main!$A$3:$H$102,7,FALSE)=main!$G$104,VLOOKUP(CQ$1,main!$A$3:$H$102,5,FALSE)-VLOOKUP($A187,main!$A$3:$H$102,6,FALSE)&gt;=main!$D$103+VLOOKUP(VLOOKUP(CQ$1,main!$A$3:$I$102,7,FALSE),main!$K$26:$Q$29,4,FALSE)),1,0)</f>
        <v>0</v>
      </c>
      <c r="CR187">
        <f>IF(AND(VLOOKUP(CR$1,main!$A$3:$H$102,7,FALSE)=main!$G$104,VLOOKUP(CR$1,main!$A$3:$H$102,5,FALSE)-VLOOKUP($A187,main!$A$3:$H$102,6,FALSE)&gt;=main!$D$103+VLOOKUP(VLOOKUP(CR$1,main!$A$3:$I$102,7,FALSE),main!$K$26:$Q$29,4,FALSE)),1,0)</f>
        <v>0</v>
      </c>
      <c r="CS187">
        <f>IF(AND(VLOOKUP(CS$1,main!$A$3:$H$102,7,FALSE)=main!$G$104,VLOOKUP(CS$1,main!$A$3:$H$102,5,FALSE)-VLOOKUP($A187,main!$A$3:$H$102,6,FALSE)&gt;=main!$D$103+VLOOKUP(VLOOKUP(CS$1,main!$A$3:$I$102,7,FALSE),main!$K$26:$Q$29,4,FALSE)),1,0)</f>
        <v>0</v>
      </c>
      <c r="CT187">
        <f>IF(AND(VLOOKUP(CT$1,main!$A$3:$H$102,7,FALSE)=main!$G$104,VLOOKUP(CT$1,main!$A$3:$H$102,5,FALSE)-VLOOKUP($A187,main!$A$3:$H$102,6,FALSE)&gt;=main!$D$103+VLOOKUP(VLOOKUP(CT$1,main!$A$3:$I$102,7,FALSE),main!$K$26:$Q$29,4,FALSE)),1,0)</f>
        <v>0</v>
      </c>
      <c r="CU187">
        <f>IF(AND(VLOOKUP(CU$1,main!$A$3:$H$102,7,FALSE)=main!$G$104,VLOOKUP(CU$1,main!$A$3:$H$102,5,FALSE)-VLOOKUP($A187,main!$A$3:$H$102,6,FALSE)&gt;=main!$D$103+VLOOKUP(VLOOKUP(CU$1,main!$A$3:$I$102,7,FALSE),main!$K$26:$Q$29,4,FALSE)),1,0)</f>
        <v>0</v>
      </c>
      <c r="CV187">
        <f>IF(AND(VLOOKUP(CV$1,main!$A$3:$H$102,7,FALSE)=main!$G$104,VLOOKUP(CV$1,main!$A$3:$H$102,5,FALSE)-VLOOKUP($A187,main!$A$3:$H$102,6,FALSE)&gt;=main!$D$103+VLOOKUP(VLOOKUP(CV$1,main!$A$3:$I$102,7,FALSE),main!$K$26:$Q$29,4,FALSE)),1,0)</f>
        <v>0</v>
      </c>
      <c r="CW187">
        <f>IF(AND(VLOOKUP(CW$1,main!$A$3:$H$102,7,FALSE)=main!$G$104,VLOOKUP(CW$1,main!$A$3:$H$102,5,FALSE)-VLOOKUP($A187,main!$A$3:$H$102,6,FALSE)&gt;=main!$D$103+VLOOKUP(VLOOKUP(CW$1,main!$A$3:$I$102,7,FALSE),main!$K$26:$Q$29,4,FALSE)),1,0)</f>
        <v>0</v>
      </c>
      <c r="CX187">
        <f>IF(AND(VLOOKUP(CX$1,main!$A$3:$H$102,7,FALSE)=main!$G$104,VLOOKUP(CX$1,main!$A$3:$H$102,5,FALSE)-VLOOKUP($A187,main!$A$3:$H$102,6,FALSE)&gt;=main!$D$103+VLOOKUP(VLOOKUP(CX$1,main!$A$3:$I$102,7,FALSE),main!$K$26:$Q$29,4,FALSE)),1,0)</f>
        <v>0</v>
      </c>
    </row>
    <row r="188" spans="1:102" x14ac:dyDescent="0.25">
      <c r="A188" s="1">
        <v>85</v>
      </c>
      <c r="B188">
        <v>0</v>
      </c>
      <c r="C188">
        <f>IF(AND(VLOOKUP(C$1,main!$A$3:$H$102,7,FALSE)=main!$G$104,VLOOKUP(C$1,main!$A$3:$H$102,5,FALSE)-VLOOKUP($A188,main!$A$3:$H$102,6,FALSE)&gt;=main!$D$103+VLOOKUP(VLOOKUP(C$1,main!$A$3:$I$102,7,FALSE),main!$K$26:$Q$29,4,FALSE)),1,0)</f>
        <v>0</v>
      </c>
      <c r="D188">
        <f>IF(AND(VLOOKUP(D$1,main!$A$3:$H$102,7,FALSE)=main!$G$104,VLOOKUP(D$1,main!$A$3:$H$102,5,FALSE)-VLOOKUP($A188,main!$A$3:$H$102,6,FALSE)&gt;=main!$D$103+VLOOKUP(VLOOKUP(D$1,main!$A$3:$I$102,7,FALSE),main!$K$26:$Q$29,4,FALSE)),1,0)</f>
        <v>0</v>
      </c>
      <c r="E188">
        <f>IF(AND(VLOOKUP(E$1,main!$A$3:$H$102,7,FALSE)=main!$G$104,VLOOKUP(E$1,main!$A$3:$H$102,5,FALSE)-VLOOKUP($A188,main!$A$3:$H$102,6,FALSE)&gt;=main!$D$103+VLOOKUP(VLOOKUP(E$1,main!$A$3:$I$102,7,FALSE),main!$K$26:$Q$29,4,FALSE)),1,0)</f>
        <v>0</v>
      </c>
      <c r="F188">
        <f>IF(AND(VLOOKUP(F$1,main!$A$3:$H$102,7,FALSE)=main!$G$104,VLOOKUP(F$1,main!$A$3:$H$102,5,FALSE)-VLOOKUP($A188,main!$A$3:$H$102,6,FALSE)&gt;=main!$D$103+VLOOKUP(VLOOKUP(F$1,main!$A$3:$I$102,7,FALSE),main!$K$26:$Q$29,4,FALSE)),1,0)</f>
        <v>0</v>
      </c>
      <c r="G188">
        <f>IF(AND(VLOOKUP(G$1,main!$A$3:$H$102,7,FALSE)=main!$G$104,VLOOKUP(G$1,main!$A$3:$H$102,5,FALSE)-VLOOKUP($A188,main!$A$3:$H$102,6,FALSE)&gt;=main!$D$103+VLOOKUP(VLOOKUP(G$1,main!$A$3:$I$102,7,FALSE),main!$K$26:$Q$29,4,FALSE)),1,0)</f>
        <v>0</v>
      </c>
      <c r="H188">
        <f>IF(AND(VLOOKUP(H$1,main!$A$3:$H$102,7,FALSE)=main!$G$104,VLOOKUP(H$1,main!$A$3:$H$102,5,FALSE)-VLOOKUP($A188,main!$A$3:$H$102,6,FALSE)&gt;=main!$D$103+VLOOKUP(VLOOKUP(H$1,main!$A$3:$I$102,7,FALSE),main!$K$26:$Q$29,4,FALSE)),1,0)</f>
        <v>0</v>
      </c>
      <c r="I188">
        <f>IF(AND(VLOOKUP(I$1,main!$A$3:$H$102,7,FALSE)=main!$G$104,VLOOKUP(I$1,main!$A$3:$H$102,5,FALSE)-VLOOKUP($A188,main!$A$3:$H$102,6,FALSE)&gt;=main!$D$103+VLOOKUP(VLOOKUP(I$1,main!$A$3:$I$102,7,FALSE),main!$K$26:$Q$29,4,FALSE)),1,0)</f>
        <v>0</v>
      </c>
      <c r="J188">
        <f>IF(AND(VLOOKUP(J$1,main!$A$3:$H$102,7,FALSE)=main!$G$104,VLOOKUP(J$1,main!$A$3:$H$102,5,FALSE)-VLOOKUP($A188,main!$A$3:$H$102,6,FALSE)&gt;=main!$D$103+VLOOKUP(VLOOKUP(J$1,main!$A$3:$I$102,7,FALSE),main!$K$26:$Q$29,4,FALSE)),1,0)</f>
        <v>0</v>
      </c>
      <c r="K188">
        <f>IF(AND(VLOOKUP(K$1,main!$A$3:$H$102,7,FALSE)=main!$G$104,VLOOKUP(K$1,main!$A$3:$H$102,5,FALSE)-VLOOKUP($A188,main!$A$3:$H$102,6,FALSE)&gt;=main!$D$103+VLOOKUP(VLOOKUP(K$1,main!$A$3:$I$102,7,FALSE),main!$K$26:$Q$29,4,FALSE)),1,0)</f>
        <v>0</v>
      </c>
      <c r="L188">
        <f>IF(AND(VLOOKUP(L$1,main!$A$3:$H$102,7,FALSE)=main!$G$104,VLOOKUP(L$1,main!$A$3:$H$102,5,FALSE)-VLOOKUP($A188,main!$A$3:$H$102,6,FALSE)&gt;=main!$D$103+VLOOKUP(VLOOKUP(L$1,main!$A$3:$I$102,7,FALSE),main!$K$26:$Q$29,4,FALSE)),1,0)</f>
        <v>0</v>
      </c>
      <c r="M188">
        <f>IF(AND(VLOOKUP(M$1,main!$A$3:$H$102,7,FALSE)=main!$G$104,VLOOKUP(M$1,main!$A$3:$H$102,5,FALSE)-VLOOKUP($A188,main!$A$3:$H$102,6,FALSE)&gt;=main!$D$103+VLOOKUP(VLOOKUP(M$1,main!$A$3:$I$102,7,FALSE),main!$K$26:$Q$29,4,FALSE)),1,0)</f>
        <v>0</v>
      </c>
      <c r="N188">
        <f>IF(AND(VLOOKUP(N$1,main!$A$3:$H$102,7,FALSE)=main!$G$104,VLOOKUP(N$1,main!$A$3:$H$102,5,FALSE)-VLOOKUP($A188,main!$A$3:$H$102,6,FALSE)&gt;=main!$D$103+VLOOKUP(VLOOKUP(N$1,main!$A$3:$I$102,7,FALSE),main!$K$26:$Q$29,4,FALSE)),1,0)</f>
        <v>0</v>
      </c>
      <c r="O188">
        <f>IF(AND(VLOOKUP(O$1,main!$A$3:$H$102,7,FALSE)=main!$G$104,VLOOKUP(O$1,main!$A$3:$H$102,5,FALSE)-VLOOKUP($A188,main!$A$3:$H$102,6,FALSE)&gt;=main!$D$103+VLOOKUP(VLOOKUP(O$1,main!$A$3:$I$102,7,FALSE),main!$K$26:$Q$29,4,FALSE)),1,0)</f>
        <v>0</v>
      </c>
      <c r="P188">
        <f>IF(AND(VLOOKUP(P$1,main!$A$3:$H$102,7,FALSE)=main!$G$104,VLOOKUP(P$1,main!$A$3:$H$102,5,FALSE)-VLOOKUP($A188,main!$A$3:$H$102,6,FALSE)&gt;=main!$D$103+VLOOKUP(VLOOKUP(P$1,main!$A$3:$I$102,7,FALSE),main!$K$26:$Q$29,4,FALSE)),1,0)</f>
        <v>0</v>
      </c>
      <c r="Q188">
        <f>IF(AND(VLOOKUP(Q$1,main!$A$3:$H$102,7,FALSE)=main!$G$104,VLOOKUP(Q$1,main!$A$3:$H$102,5,FALSE)-VLOOKUP($A188,main!$A$3:$H$102,6,FALSE)&gt;=main!$D$103+VLOOKUP(VLOOKUP(Q$1,main!$A$3:$I$102,7,FALSE),main!$K$26:$Q$29,4,FALSE)),1,0)</f>
        <v>0</v>
      </c>
      <c r="R188">
        <f>IF(AND(VLOOKUP(R$1,main!$A$3:$H$102,7,FALSE)=main!$G$104,VLOOKUP(R$1,main!$A$3:$H$102,5,FALSE)-VLOOKUP($A188,main!$A$3:$H$102,6,FALSE)&gt;=main!$D$103+VLOOKUP(VLOOKUP(R$1,main!$A$3:$I$102,7,FALSE),main!$K$26:$Q$29,4,FALSE)),1,0)</f>
        <v>0</v>
      </c>
      <c r="S188">
        <f>IF(AND(VLOOKUP(S$1,main!$A$3:$H$102,7,FALSE)=main!$G$104,VLOOKUP(S$1,main!$A$3:$H$102,5,FALSE)-VLOOKUP($A188,main!$A$3:$H$102,6,FALSE)&gt;=main!$D$103+VLOOKUP(VLOOKUP(S$1,main!$A$3:$I$102,7,FALSE),main!$K$26:$Q$29,4,FALSE)),1,0)</f>
        <v>0</v>
      </c>
      <c r="T188">
        <f>IF(AND(VLOOKUP(T$1,main!$A$3:$H$102,7,FALSE)=main!$G$104,VLOOKUP(T$1,main!$A$3:$H$102,5,FALSE)-VLOOKUP($A188,main!$A$3:$H$102,6,FALSE)&gt;=main!$D$103+VLOOKUP(VLOOKUP(T$1,main!$A$3:$I$102,7,FALSE),main!$K$26:$Q$29,4,FALSE)),1,0)</f>
        <v>0</v>
      </c>
      <c r="U188">
        <f>IF(AND(VLOOKUP(U$1,main!$A$3:$H$102,7,FALSE)=main!$G$104,VLOOKUP(U$1,main!$A$3:$H$102,5,FALSE)-VLOOKUP($A188,main!$A$3:$H$102,6,FALSE)&gt;=main!$D$103+VLOOKUP(VLOOKUP(U$1,main!$A$3:$I$102,7,FALSE),main!$K$26:$Q$29,4,FALSE)),1,0)</f>
        <v>0</v>
      </c>
      <c r="V188">
        <f>IF(AND(VLOOKUP(V$1,main!$A$3:$H$102,7,FALSE)=main!$G$104,VLOOKUP(V$1,main!$A$3:$H$102,5,FALSE)-VLOOKUP($A188,main!$A$3:$H$102,6,FALSE)&gt;=main!$D$103+VLOOKUP(VLOOKUP(V$1,main!$A$3:$I$102,7,FALSE),main!$K$26:$Q$29,4,FALSE)),1,0)</f>
        <v>0</v>
      </c>
      <c r="W188">
        <f>IF(AND(VLOOKUP(W$1,main!$A$3:$H$102,7,FALSE)=main!$G$104,VLOOKUP(W$1,main!$A$3:$H$102,5,FALSE)-VLOOKUP($A188,main!$A$3:$H$102,6,FALSE)&gt;=main!$D$103+VLOOKUP(VLOOKUP(W$1,main!$A$3:$I$102,7,FALSE),main!$K$26:$Q$29,4,FALSE)),1,0)</f>
        <v>0</v>
      </c>
      <c r="X188">
        <f>IF(AND(VLOOKUP(X$1,main!$A$3:$H$102,7,FALSE)=main!$G$104,VLOOKUP(X$1,main!$A$3:$H$102,5,FALSE)-VLOOKUP($A188,main!$A$3:$H$102,6,FALSE)&gt;=main!$D$103+VLOOKUP(VLOOKUP(X$1,main!$A$3:$I$102,7,FALSE),main!$K$26:$Q$29,4,FALSE)),1,0)</f>
        <v>0</v>
      </c>
      <c r="Y188">
        <f>IF(AND(VLOOKUP(Y$1,main!$A$3:$H$102,7,FALSE)=main!$G$104,VLOOKUP(Y$1,main!$A$3:$H$102,5,FALSE)-VLOOKUP($A188,main!$A$3:$H$102,6,FALSE)&gt;=main!$D$103+VLOOKUP(VLOOKUP(Y$1,main!$A$3:$I$102,7,FALSE),main!$K$26:$Q$29,4,FALSE)),1,0)</f>
        <v>0</v>
      </c>
      <c r="Z188">
        <f>IF(AND(VLOOKUP(Z$1,main!$A$3:$H$102,7,FALSE)=main!$G$104,VLOOKUP(Z$1,main!$A$3:$H$102,5,FALSE)-VLOOKUP($A188,main!$A$3:$H$102,6,FALSE)&gt;=main!$D$103+VLOOKUP(VLOOKUP(Z$1,main!$A$3:$I$102,7,FALSE),main!$K$26:$Q$29,4,FALSE)),1,0)</f>
        <v>0</v>
      </c>
      <c r="AA188">
        <f>IF(AND(VLOOKUP(AA$1,main!$A$3:$H$102,7,FALSE)=main!$G$104,VLOOKUP(AA$1,main!$A$3:$H$102,5,FALSE)-VLOOKUP($A188,main!$A$3:$H$102,6,FALSE)&gt;=main!$D$103+VLOOKUP(VLOOKUP(AA$1,main!$A$3:$I$102,7,FALSE),main!$K$26:$Q$29,4,FALSE)),1,0)</f>
        <v>0</v>
      </c>
      <c r="AB188">
        <f>IF(AND(VLOOKUP(AB$1,main!$A$3:$H$102,7,FALSE)=main!$G$104,VLOOKUP(AB$1,main!$A$3:$H$102,5,FALSE)-VLOOKUP($A188,main!$A$3:$H$102,6,FALSE)&gt;=main!$D$103+VLOOKUP(VLOOKUP(AB$1,main!$A$3:$I$102,7,FALSE),main!$K$26:$Q$29,4,FALSE)),1,0)</f>
        <v>0</v>
      </c>
      <c r="AC188">
        <f>IF(AND(VLOOKUP(AC$1,main!$A$3:$H$102,7,FALSE)=main!$G$104,VLOOKUP(AC$1,main!$A$3:$H$102,5,FALSE)-VLOOKUP($A188,main!$A$3:$H$102,6,FALSE)&gt;=main!$D$103+VLOOKUP(VLOOKUP(AC$1,main!$A$3:$I$102,7,FALSE),main!$K$26:$Q$29,4,FALSE)),1,0)</f>
        <v>0</v>
      </c>
      <c r="AD188">
        <f>IF(AND(VLOOKUP(AD$1,main!$A$3:$H$102,7,FALSE)=main!$G$104,VLOOKUP(AD$1,main!$A$3:$H$102,5,FALSE)-VLOOKUP($A188,main!$A$3:$H$102,6,FALSE)&gt;=main!$D$103+VLOOKUP(VLOOKUP(AD$1,main!$A$3:$I$102,7,FALSE),main!$K$26:$Q$29,4,FALSE)),1,0)</f>
        <v>0</v>
      </c>
      <c r="AE188">
        <f>IF(AND(VLOOKUP(AE$1,main!$A$3:$H$102,7,FALSE)=main!$G$104,VLOOKUP(AE$1,main!$A$3:$H$102,5,FALSE)-VLOOKUP($A188,main!$A$3:$H$102,6,FALSE)&gt;=main!$D$103+VLOOKUP(VLOOKUP(AE$1,main!$A$3:$I$102,7,FALSE),main!$K$26:$Q$29,4,FALSE)),1,0)</f>
        <v>0</v>
      </c>
      <c r="AF188">
        <f>IF(AND(VLOOKUP(AF$1,main!$A$3:$H$102,7,FALSE)=main!$G$104,VLOOKUP(AF$1,main!$A$3:$H$102,5,FALSE)-VLOOKUP($A188,main!$A$3:$H$102,6,FALSE)&gt;=main!$D$103+VLOOKUP(VLOOKUP(AF$1,main!$A$3:$I$102,7,FALSE),main!$K$26:$Q$29,4,FALSE)),1,0)</f>
        <v>0</v>
      </c>
      <c r="AG188">
        <f>IF(AND(VLOOKUP(AG$1,main!$A$3:$H$102,7,FALSE)=main!$G$104,VLOOKUP(AG$1,main!$A$3:$H$102,5,FALSE)-VLOOKUP($A188,main!$A$3:$H$102,6,FALSE)&gt;=main!$D$103+VLOOKUP(VLOOKUP(AG$1,main!$A$3:$I$102,7,FALSE),main!$K$26:$Q$29,4,FALSE)),1,0)</f>
        <v>0</v>
      </c>
      <c r="AH188">
        <f>IF(AND(VLOOKUP(AH$1,main!$A$3:$H$102,7,FALSE)=main!$G$104,VLOOKUP(AH$1,main!$A$3:$H$102,5,FALSE)-VLOOKUP($A188,main!$A$3:$H$102,6,FALSE)&gt;=main!$D$103+VLOOKUP(VLOOKUP(AH$1,main!$A$3:$I$102,7,FALSE),main!$K$26:$Q$29,4,FALSE)),1,0)</f>
        <v>0</v>
      </c>
      <c r="AI188">
        <f>IF(AND(VLOOKUP(AI$1,main!$A$3:$H$102,7,FALSE)=main!$G$104,VLOOKUP(AI$1,main!$A$3:$H$102,5,FALSE)-VLOOKUP($A188,main!$A$3:$H$102,6,FALSE)&gt;=main!$D$103+VLOOKUP(VLOOKUP(AI$1,main!$A$3:$I$102,7,FALSE),main!$K$26:$Q$29,4,FALSE)),1,0)</f>
        <v>0</v>
      </c>
      <c r="AJ188">
        <f>IF(AND(VLOOKUP(AJ$1,main!$A$3:$H$102,7,FALSE)=main!$G$104,VLOOKUP(AJ$1,main!$A$3:$H$102,5,FALSE)-VLOOKUP($A188,main!$A$3:$H$102,6,FALSE)&gt;=main!$D$103+VLOOKUP(VLOOKUP(AJ$1,main!$A$3:$I$102,7,FALSE),main!$K$26:$Q$29,4,FALSE)),1,0)</f>
        <v>0</v>
      </c>
      <c r="AK188">
        <f>IF(AND(VLOOKUP(AK$1,main!$A$3:$H$102,7,FALSE)=main!$G$104,VLOOKUP(AK$1,main!$A$3:$H$102,5,FALSE)-VLOOKUP($A188,main!$A$3:$H$102,6,FALSE)&gt;=main!$D$103+VLOOKUP(VLOOKUP(AK$1,main!$A$3:$I$102,7,FALSE),main!$K$26:$Q$29,4,FALSE)),1,0)</f>
        <v>0</v>
      </c>
      <c r="AL188">
        <f>IF(AND(VLOOKUP(AL$1,main!$A$3:$H$102,7,FALSE)=main!$G$104,VLOOKUP(AL$1,main!$A$3:$H$102,5,FALSE)-VLOOKUP($A188,main!$A$3:$H$102,6,FALSE)&gt;=main!$D$103+VLOOKUP(VLOOKUP(AL$1,main!$A$3:$I$102,7,FALSE),main!$K$26:$Q$29,4,FALSE)),1,0)</f>
        <v>0</v>
      </c>
      <c r="AM188">
        <f>IF(AND(VLOOKUP(AM$1,main!$A$3:$H$102,7,FALSE)=main!$G$104,VLOOKUP(AM$1,main!$A$3:$H$102,5,FALSE)-VLOOKUP($A188,main!$A$3:$H$102,6,FALSE)&gt;=main!$D$103+VLOOKUP(VLOOKUP(AM$1,main!$A$3:$I$102,7,FALSE),main!$K$26:$Q$29,4,FALSE)),1,0)</f>
        <v>0</v>
      </c>
      <c r="AN188">
        <f>IF(AND(VLOOKUP(AN$1,main!$A$3:$H$102,7,FALSE)=main!$G$104,VLOOKUP(AN$1,main!$A$3:$H$102,5,FALSE)-VLOOKUP($A188,main!$A$3:$H$102,6,FALSE)&gt;=main!$D$103+VLOOKUP(VLOOKUP(AN$1,main!$A$3:$I$102,7,FALSE),main!$K$26:$Q$29,4,FALSE)),1,0)</f>
        <v>0</v>
      </c>
      <c r="AO188">
        <f>IF(AND(VLOOKUP(AO$1,main!$A$3:$H$102,7,FALSE)=main!$G$104,VLOOKUP(AO$1,main!$A$3:$H$102,5,FALSE)-VLOOKUP($A188,main!$A$3:$H$102,6,FALSE)&gt;=main!$D$103+VLOOKUP(VLOOKUP(AO$1,main!$A$3:$I$102,7,FALSE),main!$K$26:$Q$29,4,FALSE)),1,0)</f>
        <v>0</v>
      </c>
      <c r="AP188">
        <f>IF(AND(VLOOKUP(AP$1,main!$A$3:$H$102,7,FALSE)=main!$G$104,VLOOKUP(AP$1,main!$A$3:$H$102,5,FALSE)-VLOOKUP($A188,main!$A$3:$H$102,6,FALSE)&gt;=main!$D$103+VLOOKUP(VLOOKUP(AP$1,main!$A$3:$I$102,7,FALSE),main!$K$26:$Q$29,4,FALSE)),1,0)</f>
        <v>0</v>
      </c>
      <c r="AQ188">
        <f>IF(AND(VLOOKUP(AQ$1,main!$A$3:$H$102,7,FALSE)=main!$G$104,VLOOKUP(AQ$1,main!$A$3:$H$102,5,FALSE)-VLOOKUP($A188,main!$A$3:$H$102,6,FALSE)&gt;=main!$D$103+VLOOKUP(VLOOKUP(AQ$1,main!$A$3:$I$102,7,FALSE),main!$K$26:$Q$29,4,FALSE)),1,0)</f>
        <v>0</v>
      </c>
      <c r="AR188">
        <f>IF(AND(VLOOKUP(AR$1,main!$A$3:$H$102,7,FALSE)=main!$G$104,VLOOKUP(AR$1,main!$A$3:$H$102,5,FALSE)-VLOOKUP($A188,main!$A$3:$H$102,6,FALSE)&gt;=main!$D$103+VLOOKUP(VLOOKUP(AR$1,main!$A$3:$I$102,7,FALSE),main!$K$26:$Q$29,4,FALSE)),1,0)</f>
        <v>0</v>
      </c>
      <c r="AS188">
        <f>IF(AND(VLOOKUP(AS$1,main!$A$3:$H$102,7,FALSE)=main!$G$104,VLOOKUP(AS$1,main!$A$3:$H$102,5,FALSE)-VLOOKUP($A188,main!$A$3:$H$102,6,FALSE)&gt;=main!$D$103+VLOOKUP(VLOOKUP(AS$1,main!$A$3:$I$102,7,FALSE),main!$K$26:$Q$29,4,FALSE)),1,0)</f>
        <v>0</v>
      </c>
      <c r="AT188">
        <f>IF(AND(VLOOKUP(AT$1,main!$A$3:$H$102,7,FALSE)=main!$G$104,VLOOKUP(AT$1,main!$A$3:$H$102,5,FALSE)-VLOOKUP($A188,main!$A$3:$H$102,6,FALSE)&gt;=main!$D$103+VLOOKUP(VLOOKUP(AT$1,main!$A$3:$I$102,7,FALSE),main!$K$26:$Q$29,4,FALSE)),1,0)</f>
        <v>0</v>
      </c>
      <c r="AU188">
        <f>IF(AND(VLOOKUP(AU$1,main!$A$3:$H$102,7,FALSE)=main!$G$104,VLOOKUP(AU$1,main!$A$3:$H$102,5,FALSE)-VLOOKUP($A188,main!$A$3:$H$102,6,FALSE)&gt;=main!$D$103+VLOOKUP(VLOOKUP(AU$1,main!$A$3:$I$102,7,FALSE),main!$K$26:$Q$29,4,FALSE)),1,0)</f>
        <v>0</v>
      </c>
      <c r="AV188">
        <f>IF(AND(VLOOKUP(AV$1,main!$A$3:$H$102,7,FALSE)=main!$G$104,VLOOKUP(AV$1,main!$A$3:$H$102,5,FALSE)-VLOOKUP($A188,main!$A$3:$H$102,6,FALSE)&gt;=main!$D$103+VLOOKUP(VLOOKUP(AV$1,main!$A$3:$I$102,7,FALSE),main!$K$26:$Q$29,4,FALSE)),1,0)</f>
        <v>0</v>
      </c>
      <c r="AW188">
        <f>IF(AND(VLOOKUP(AW$1,main!$A$3:$H$102,7,FALSE)=main!$G$104,VLOOKUP(AW$1,main!$A$3:$H$102,5,FALSE)-VLOOKUP($A188,main!$A$3:$H$102,6,FALSE)&gt;=main!$D$103+VLOOKUP(VLOOKUP(AW$1,main!$A$3:$I$102,7,FALSE),main!$K$26:$Q$29,4,FALSE)),1,0)</f>
        <v>0</v>
      </c>
      <c r="AX188">
        <f>IF(AND(VLOOKUP(AX$1,main!$A$3:$H$102,7,FALSE)=main!$G$104,VLOOKUP(AX$1,main!$A$3:$H$102,5,FALSE)-VLOOKUP($A188,main!$A$3:$H$102,6,FALSE)&gt;=main!$D$103+VLOOKUP(VLOOKUP(AX$1,main!$A$3:$I$102,7,FALSE),main!$K$26:$Q$29,4,FALSE)),1,0)</f>
        <v>0</v>
      </c>
      <c r="AY188">
        <f>IF(AND(VLOOKUP(AY$1,main!$A$3:$H$102,7,FALSE)=main!$G$104,VLOOKUP(AY$1,main!$A$3:$H$102,5,FALSE)-VLOOKUP($A188,main!$A$3:$H$102,6,FALSE)&gt;=main!$D$103+VLOOKUP(VLOOKUP(AY$1,main!$A$3:$I$102,7,FALSE),main!$K$26:$Q$29,4,FALSE)),1,0)</f>
        <v>0</v>
      </c>
      <c r="AZ188">
        <f>IF(AND(VLOOKUP(AZ$1,main!$A$3:$H$102,7,FALSE)=main!$G$104,VLOOKUP(AZ$1,main!$A$3:$H$102,5,FALSE)-VLOOKUP($A188,main!$A$3:$H$102,6,FALSE)&gt;=main!$D$103+VLOOKUP(VLOOKUP(AZ$1,main!$A$3:$I$102,7,FALSE),main!$K$26:$Q$29,4,FALSE)),1,0)</f>
        <v>0</v>
      </c>
      <c r="BA188">
        <f>IF(AND(VLOOKUP(BA$1,main!$A$3:$H$102,7,FALSE)=main!$G$104,VLOOKUP(BA$1,main!$A$3:$H$102,5,FALSE)-VLOOKUP($A188,main!$A$3:$H$102,6,FALSE)&gt;=main!$D$103+VLOOKUP(VLOOKUP(BA$1,main!$A$3:$I$102,7,FALSE),main!$K$26:$Q$29,4,FALSE)),1,0)</f>
        <v>0</v>
      </c>
      <c r="BB188">
        <f>IF(AND(VLOOKUP(BB$1,main!$A$3:$H$102,7,FALSE)=main!$G$104,VLOOKUP(BB$1,main!$A$3:$H$102,5,FALSE)-VLOOKUP($A188,main!$A$3:$H$102,6,FALSE)&gt;=main!$D$103+VLOOKUP(VLOOKUP(BB$1,main!$A$3:$I$102,7,FALSE),main!$K$26:$Q$29,4,FALSE)),1,0)</f>
        <v>0</v>
      </c>
      <c r="BC188">
        <f>IF(AND(VLOOKUP(BC$1,main!$A$3:$H$102,7,FALSE)=main!$G$104,VLOOKUP(BC$1,main!$A$3:$H$102,5,FALSE)-VLOOKUP($A188,main!$A$3:$H$102,6,FALSE)&gt;=main!$D$103+VLOOKUP(VLOOKUP(BC$1,main!$A$3:$I$102,7,FALSE),main!$K$26:$Q$29,4,FALSE)),1,0)</f>
        <v>0</v>
      </c>
      <c r="BD188">
        <f>IF(AND(VLOOKUP(BD$1,main!$A$3:$H$102,7,FALSE)=main!$G$104,VLOOKUP(BD$1,main!$A$3:$H$102,5,FALSE)-VLOOKUP($A188,main!$A$3:$H$102,6,FALSE)&gt;=main!$D$103+VLOOKUP(VLOOKUP(BD$1,main!$A$3:$I$102,7,FALSE),main!$K$26:$Q$29,4,FALSE)),1,0)</f>
        <v>0</v>
      </c>
      <c r="BE188">
        <f>IF(AND(VLOOKUP(BE$1,main!$A$3:$H$102,7,FALSE)=main!$G$104,VLOOKUP(BE$1,main!$A$3:$H$102,5,FALSE)-VLOOKUP($A188,main!$A$3:$H$102,6,FALSE)&gt;=main!$D$103+VLOOKUP(VLOOKUP(BE$1,main!$A$3:$I$102,7,FALSE),main!$K$26:$Q$29,4,FALSE)),1,0)</f>
        <v>0</v>
      </c>
      <c r="BF188">
        <f>IF(AND(VLOOKUP(BF$1,main!$A$3:$H$102,7,FALSE)=main!$G$104,VLOOKUP(BF$1,main!$A$3:$H$102,5,FALSE)-VLOOKUP($A188,main!$A$3:$H$102,6,FALSE)&gt;=main!$D$103+VLOOKUP(VLOOKUP(BF$1,main!$A$3:$I$102,7,FALSE),main!$K$26:$Q$29,4,FALSE)),1,0)</f>
        <v>0</v>
      </c>
      <c r="BG188">
        <f>IF(AND(VLOOKUP(BG$1,main!$A$3:$H$102,7,FALSE)=main!$G$104,VLOOKUP(BG$1,main!$A$3:$H$102,5,FALSE)-VLOOKUP($A188,main!$A$3:$H$102,6,FALSE)&gt;=main!$D$103+VLOOKUP(VLOOKUP(BG$1,main!$A$3:$I$102,7,FALSE),main!$K$26:$Q$29,4,FALSE)),1,0)</f>
        <v>0</v>
      </c>
      <c r="BH188">
        <f>IF(AND(VLOOKUP(BH$1,main!$A$3:$H$102,7,FALSE)=main!$G$104,VLOOKUP(BH$1,main!$A$3:$H$102,5,FALSE)-VLOOKUP($A188,main!$A$3:$H$102,6,FALSE)&gt;=main!$D$103+VLOOKUP(VLOOKUP(BH$1,main!$A$3:$I$102,7,FALSE),main!$K$26:$Q$29,4,FALSE)),1,0)</f>
        <v>0</v>
      </c>
      <c r="BI188">
        <f>IF(AND(VLOOKUP(BI$1,main!$A$3:$H$102,7,FALSE)=main!$G$104,VLOOKUP(BI$1,main!$A$3:$H$102,5,FALSE)-VLOOKUP($A188,main!$A$3:$H$102,6,FALSE)&gt;=main!$D$103+VLOOKUP(VLOOKUP(BI$1,main!$A$3:$I$102,7,FALSE),main!$K$26:$Q$29,4,FALSE)),1,0)</f>
        <v>0</v>
      </c>
      <c r="BJ188">
        <f>IF(AND(VLOOKUP(BJ$1,main!$A$3:$H$102,7,FALSE)=main!$G$104,VLOOKUP(BJ$1,main!$A$3:$H$102,5,FALSE)-VLOOKUP($A188,main!$A$3:$H$102,6,FALSE)&gt;=main!$D$103+VLOOKUP(VLOOKUP(BJ$1,main!$A$3:$I$102,7,FALSE),main!$K$26:$Q$29,4,FALSE)),1,0)</f>
        <v>0</v>
      </c>
      <c r="BK188">
        <f>IF(AND(VLOOKUP(BK$1,main!$A$3:$H$102,7,FALSE)=main!$G$104,VLOOKUP(BK$1,main!$A$3:$H$102,5,FALSE)-VLOOKUP($A188,main!$A$3:$H$102,6,FALSE)&gt;=main!$D$103+VLOOKUP(VLOOKUP(BK$1,main!$A$3:$I$102,7,FALSE),main!$K$26:$Q$29,4,FALSE)),1,0)</f>
        <v>0</v>
      </c>
      <c r="BL188">
        <f>IF(AND(VLOOKUP(BL$1,main!$A$3:$H$102,7,FALSE)=main!$G$104,VLOOKUP(BL$1,main!$A$3:$H$102,5,FALSE)-VLOOKUP($A188,main!$A$3:$H$102,6,FALSE)&gt;=main!$D$103+VLOOKUP(VLOOKUP(BL$1,main!$A$3:$I$102,7,FALSE),main!$K$26:$Q$29,4,FALSE)),1,0)</f>
        <v>0</v>
      </c>
      <c r="BM188">
        <f>IF(AND(VLOOKUP(BM$1,main!$A$3:$H$102,7,FALSE)=main!$G$104,VLOOKUP(BM$1,main!$A$3:$H$102,5,FALSE)-VLOOKUP($A188,main!$A$3:$H$102,6,FALSE)&gt;=main!$D$103+VLOOKUP(VLOOKUP(BM$1,main!$A$3:$I$102,7,FALSE),main!$K$26:$Q$29,4,FALSE)),1,0)</f>
        <v>0</v>
      </c>
      <c r="BN188">
        <f>IF(AND(VLOOKUP(BN$1,main!$A$3:$H$102,7,FALSE)=main!$G$104,VLOOKUP(BN$1,main!$A$3:$H$102,5,FALSE)-VLOOKUP($A188,main!$A$3:$H$102,6,FALSE)&gt;=main!$D$103+VLOOKUP(VLOOKUP(BN$1,main!$A$3:$I$102,7,FALSE),main!$K$26:$Q$29,4,FALSE)),1,0)</f>
        <v>0</v>
      </c>
      <c r="BO188">
        <f>IF(AND(VLOOKUP(BO$1,main!$A$3:$H$102,7,FALSE)=main!$G$104,VLOOKUP(BO$1,main!$A$3:$H$102,5,FALSE)-VLOOKUP($A188,main!$A$3:$H$102,6,FALSE)&gt;=main!$D$103+VLOOKUP(VLOOKUP(BO$1,main!$A$3:$I$102,7,FALSE),main!$K$26:$Q$29,4,FALSE)),1,0)</f>
        <v>0</v>
      </c>
      <c r="BP188">
        <f>IF(AND(VLOOKUP(BP$1,main!$A$3:$H$102,7,FALSE)=main!$G$104,VLOOKUP(BP$1,main!$A$3:$H$102,5,FALSE)-VLOOKUP($A188,main!$A$3:$H$102,6,FALSE)&gt;=main!$D$103+VLOOKUP(VLOOKUP(BP$1,main!$A$3:$I$102,7,FALSE),main!$K$26:$Q$29,4,FALSE)),1,0)</f>
        <v>0</v>
      </c>
      <c r="BQ188">
        <f>IF(AND(VLOOKUP(BQ$1,main!$A$3:$H$102,7,FALSE)=main!$G$104,VLOOKUP(BQ$1,main!$A$3:$H$102,5,FALSE)-VLOOKUP($A188,main!$A$3:$H$102,6,FALSE)&gt;=main!$D$103+VLOOKUP(VLOOKUP(BQ$1,main!$A$3:$I$102,7,FALSE),main!$K$26:$Q$29,4,FALSE)),1,0)</f>
        <v>0</v>
      </c>
      <c r="BR188">
        <f>IF(AND(VLOOKUP(BR$1,main!$A$3:$H$102,7,FALSE)=main!$G$104,VLOOKUP(BR$1,main!$A$3:$H$102,5,FALSE)-VLOOKUP($A188,main!$A$3:$H$102,6,FALSE)&gt;=main!$D$103+VLOOKUP(VLOOKUP(BR$1,main!$A$3:$I$102,7,FALSE),main!$K$26:$Q$29,4,FALSE)),1,0)</f>
        <v>0</v>
      </c>
      <c r="BS188">
        <f>IF(AND(VLOOKUP(BS$1,main!$A$3:$H$102,7,FALSE)=main!$G$104,VLOOKUP(BS$1,main!$A$3:$H$102,5,FALSE)-VLOOKUP($A188,main!$A$3:$H$102,6,FALSE)&gt;=main!$D$103+VLOOKUP(VLOOKUP(BS$1,main!$A$3:$I$102,7,FALSE),main!$K$26:$Q$29,4,FALSE)),1,0)</f>
        <v>0</v>
      </c>
      <c r="BT188">
        <f>IF(AND(VLOOKUP(BT$1,main!$A$3:$H$102,7,FALSE)=main!$G$104,VLOOKUP(BT$1,main!$A$3:$H$102,5,FALSE)-VLOOKUP($A188,main!$A$3:$H$102,6,FALSE)&gt;=main!$D$103+VLOOKUP(VLOOKUP(BT$1,main!$A$3:$I$102,7,FALSE),main!$K$26:$Q$29,4,FALSE)),1,0)</f>
        <v>0</v>
      </c>
      <c r="BU188">
        <f>IF(AND(VLOOKUP(BU$1,main!$A$3:$H$102,7,FALSE)=main!$G$104,VLOOKUP(BU$1,main!$A$3:$H$102,5,FALSE)-VLOOKUP($A188,main!$A$3:$H$102,6,FALSE)&gt;=main!$D$103+VLOOKUP(VLOOKUP(BU$1,main!$A$3:$I$102,7,FALSE),main!$K$26:$Q$29,4,FALSE)),1,0)</f>
        <v>0</v>
      </c>
      <c r="BV188">
        <f>IF(AND(VLOOKUP(BV$1,main!$A$3:$H$102,7,FALSE)=main!$G$104,VLOOKUP(BV$1,main!$A$3:$H$102,5,FALSE)-VLOOKUP($A188,main!$A$3:$H$102,6,FALSE)&gt;=main!$D$103+VLOOKUP(VLOOKUP(BV$1,main!$A$3:$I$102,7,FALSE),main!$K$26:$Q$29,4,FALSE)),1,0)</f>
        <v>0</v>
      </c>
      <c r="BW188">
        <f>IF(AND(VLOOKUP(BW$1,main!$A$3:$H$102,7,FALSE)=main!$G$104,VLOOKUP(BW$1,main!$A$3:$H$102,5,FALSE)-VLOOKUP($A188,main!$A$3:$H$102,6,FALSE)&gt;=main!$D$103+VLOOKUP(VLOOKUP(BW$1,main!$A$3:$I$102,7,FALSE),main!$K$26:$Q$29,4,FALSE)),1,0)</f>
        <v>0</v>
      </c>
      <c r="BX188">
        <f>IF(AND(VLOOKUP(BX$1,main!$A$3:$H$102,7,FALSE)=main!$G$104,VLOOKUP(BX$1,main!$A$3:$H$102,5,FALSE)-VLOOKUP($A188,main!$A$3:$H$102,6,FALSE)&gt;=main!$D$103+VLOOKUP(VLOOKUP(BX$1,main!$A$3:$I$102,7,FALSE),main!$K$26:$Q$29,4,FALSE)),1,0)</f>
        <v>0</v>
      </c>
      <c r="BY188">
        <f>IF(AND(VLOOKUP(BY$1,main!$A$3:$H$102,7,FALSE)=main!$G$104,VLOOKUP(BY$1,main!$A$3:$H$102,5,FALSE)-VLOOKUP($A188,main!$A$3:$H$102,6,FALSE)&gt;=main!$D$103+VLOOKUP(VLOOKUP(BY$1,main!$A$3:$I$102,7,FALSE),main!$K$26:$Q$29,4,FALSE)),1,0)</f>
        <v>0</v>
      </c>
      <c r="BZ188">
        <f>IF(AND(VLOOKUP(BZ$1,main!$A$3:$H$102,7,FALSE)=main!$G$104,VLOOKUP(BZ$1,main!$A$3:$H$102,5,FALSE)-VLOOKUP($A188,main!$A$3:$H$102,6,FALSE)&gt;=main!$D$103+VLOOKUP(VLOOKUP(BZ$1,main!$A$3:$I$102,7,FALSE),main!$K$26:$Q$29,4,FALSE)),1,0)</f>
        <v>0</v>
      </c>
      <c r="CA188">
        <f>IF(AND(VLOOKUP(CA$1,main!$A$3:$H$102,7,FALSE)=main!$G$104,VLOOKUP(CA$1,main!$A$3:$H$102,5,FALSE)-VLOOKUP($A188,main!$A$3:$H$102,6,FALSE)&gt;=main!$D$103+VLOOKUP(VLOOKUP(CA$1,main!$A$3:$I$102,7,FALSE),main!$K$26:$Q$29,4,FALSE)),1,0)</f>
        <v>0</v>
      </c>
      <c r="CB188">
        <f>IF(AND(VLOOKUP(CB$1,main!$A$3:$H$102,7,FALSE)=main!$G$104,VLOOKUP(CB$1,main!$A$3:$H$102,5,FALSE)-VLOOKUP($A188,main!$A$3:$H$102,6,FALSE)&gt;=main!$D$103+VLOOKUP(VLOOKUP(CB$1,main!$A$3:$I$102,7,FALSE),main!$K$26:$Q$29,4,FALSE)),1,0)</f>
        <v>0</v>
      </c>
      <c r="CC188">
        <f>IF(AND(VLOOKUP(CC$1,main!$A$3:$H$102,7,FALSE)=main!$G$104,VLOOKUP(CC$1,main!$A$3:$H$102,5,FALSE)-VLOOKUP($A188,main!$A$3:$H$102,6,FALSE)&gt;=main!$D$103+VLOOKUP(VLOOKUP(CC$1,main!$A$3:$I$102,7,FALSE),main!$K$26:$Q$29,4,FALSE)),1,0)</f>
        <v>0</v>
      </c>
      <c r="CD188">
        <f>IF(AND(VLOOKUP(CD$1,main!$A$3:$H$102,7,FALSE)=main!$G$104,VLOOKUP(CD$1,main!$A$3:$H$102,5,FALSE)-VLOOKUP($A188,main!$A$3:$H$102,6,FALSE)&gt;=main!$D$103+VLOOKUP(VLOOKUP(CD$1,main!$A$3:$I$102,7,FALSE),main!$K$26:$Q$29,4,FALSE)),1,0)</f>
        <v>0</v>
      </c>
      <c r="CE188">
        <f>IF(AND(VLOOKUP(CE$1,main!$A$3:$H$102,7,FALSE)=main!$G$104,VLOOKUP(CE$1,main!$A$3:$H$102,5,FALSE)-VLOOKUP($A188,main!$A$3:$H$102,6,FALSE)&gt;=main!$D$103+VLOOKUP(VLOOKUP(CE$1,main!$A$3:$I$102,7,FALSE),main!$K$26:$Q$29,4,FALSE)),1,0)</f>
        <v>0</v>
      </c>
      <c r="CF188">
        <f>IF(AND(VLOOKUP(CF$1,main!$A$3:$H$102,7,FALSE)=main!$G$104,VLOOKUP(CF$1,main!$A$3:$H$102,5,FALSE)-VLOOKUP($A188,main!$A$3:$H$102,6,FALSE)&gt;=main!$D$103+VLOOKUP(VLOOKUP(CF$1,main!$A$3:$I$102,7,FALSE),main!$K$26:$Q$29,4,FALSE)),1,0)</f>
        <v>0</v>
      </c>
      <c r="CG188">
        <f>IF(AND(VLOOKUP(CG$1,main!$A$3:$H$102,7,FALSE)=main!$G$104,VLOOKUP(CG$1,main!$A$3:$H$102,5,FALSE)-VLOOKUP($A188,main!$A$3:$H$102,6,FALSE)&gt;=main!$D$103+VLOOKUP(VLOOKUP(CG$1,main!$A$3:$I$102,7,FALSE),main!$K$26:$Q$29,4,FALSE)),1,0)</f>
        <v>0</v>
      </c>
      <c r="CH188">
        <f>IF(AND(VLOOKUP(CH$1,main!$A$3:$H$102,7,FALSE)=main!$G$104,VLOOKUP(CH$1,main!$A$3:$H$102,5,FALSE)-VLOOKUP($A188,main!$A$3:$H$102,6,FALSE)&gt;=main!$D$103+VLOOKUP(VLOOKUP(CH$1,main!$A$3:$I$102,7,FALSE),main!$K$26:$Q$29,4,FALSE)),1,0)</f>
        <v>0</v>
      </c>
      <c r="CI188">
        <f>IF(AND(VLOOKUP(CI$1,main!$A$3:$H$102,7,FALSE)=main!$G$104,VLOOKUP(CI$1,main!$A$3:$H$102,5,FALSE)-VLOOKUP($A188,main!$A$3:$H$102,6,FALSE)&gt;=main!$D$103+VLOOKUP(VLOOKUP(CI$1,main!$A$3:$I$102,7,FALSE),main!$K$26:$Q$29,4,FALSE)),1,0)</f>
        <v>0</v>
      </c>
      <c r="CJ188">
        <f>IF(AND(VLOOKUP(CJ$1,main!$A$3:$H$102,7,FALSE)=main!$G$104,VLOOKUP(CJ$1,main!$A$3:$H$102,5,FALSE)-VLOOKUP($A188,main!$A$3:$H$102,6,FALSE)&gt;=main!$D$103+VLOOKUP(VLOOKUP(CJ$1,main!$A$3:$I$102,7,FALSE),main!$K$26:$Q$29,4,FALSE)),1,0)</f>
        <v>0</v>
      </c>
      <c r="CK188">
        <f>IF(AND(VLOOKUP(CK$1,main!$A$3:$H$102,7,FALSE)=main!$G$104,VLOOKUP(CK$1,main!$A$3:$H$102,5,FALSE)-VLOOKUP($A188,main!$A$3:$H$102,6,FALSE)&gt;=main!$D$103+VLOOKUP(VLOOKUP(CK$1,main!$A$3:$I$102,7,FALSE),main!$K$26:$Q$29,4,FALSE)),1,0)</f>
        <v>0</v>
      </c>
      <c r="CL188">
        <f>IF(AND(VLOOKUP(CL$1,main!$A$3:$H$102,7,FALSE)=main!$G$104,VLOOKUP(CL$1,main!$A$3:$H$102,5,FALSE)-VLOOKUP($A188,main!$A$3:$H$102,6,FALSE)&gt;=main!$D$103+VLOOKUP(VLOOKUP(CL$1,main!$A$3:$I$102,7,FALSE),main!$K$26:$Q$29,4,FALSE)),1,0)</f>
        <v>0</v>
      </c>
      <c r="CM188">
        <f>IF(AND(VLOOKUP(CM$1,main!$A$3:$H$102,7,FALSE)=main!$G$104,VLOOKUP(CM$1,main!$A$3:$H$102,5,FALSE)-VLOOKUP($A188,main!$A$3:$H$102,6,FALSE)&gt;=main!$D$103+VLOOKUP(VLOOKUP(CM$1,main!$A$3:$I$102,7,FALSE),main!$K$26:$Q$29,4,FALSE)),1,0)</f>
        <v>0</v>
      </c>
      <c r="CN188">
        <f>IF(AND(VLOOKUP(CN$1,main!$A$3:$H$102,7,FALSE)=main!$G$104,VLOOKUP(CN$1,main!$A$3:$H$102,5,FALSE)-VLOOKUP($A188,main!$A$3:$H$102,6,FALSE)&gt;=main!$D$103+VLOOKUP(VLOOKUP(CN$1,main!$A$3:$I$102,7,FALSE),main!$K$26:$Q$29,4,FALSE)),1,0)</f>
        <v>0</v>
      </c>
      <c r="CO188">
        <f>IF(AND(VLOOKUP(CO$1,main!$A$3:$H$102,7,FALSE)=main!$G$104,VLOOKUP(CO$1,main!$A$3:$H$102,5,FALSE)-VLOOKUP($A188,main!$A$3:$H$102,6,FALSE)&gt;=main!$D$103+VLOOKUP(VLOOKUP(CO$1,main!$A$3:$I$102,7,FALSE),main!$K$26:$Q$29,4,FALSE)),1,0)</f>
        <v>0</v>
      </c>
      <c r="CP188">
        <f>IF(AND(VLOOKUP(CP$1,main!$A$3:$H$102,7,FALSE)=main!$G$104,VLOOKUP(CP$1,main!$A$3:$H$102,5,FALSE)-VLOOKUP($A188,main!$A$3:$H$102,6,FALSE)&gt;=main!$D$103+VLOOKUP(VLOOKUP(CP$1,main!$A$3:$I$102,7,FALSE),main!$K$26:$Q$29,4,FALSE)),1,0)</f>
        <v>0</v>
      </c>
      <c r="CQ188">
        <f>IF(AND(VLOOKUP(CQ$1,main!$A$3:$H$102,7,FALSE)=main!$G$104,VLOOKUP(CQ$1,main!$A$3:$H$102,5,FALSE)-VLOOKUP($A188,main!$A$3:$H$102,6,FALSE)&gt;=main!$D$103+VLOOKUP(VLOOKUP(CQ$1,main!$A$3:$I$102,7,FALSE),main!$K$26:$Q$29,4,FALSE)),1,0)</f>
        <v>0</v>
      </c>
      <c r="CR188">
        <f>IF(AND(VLOOKUP(CR$1,main!$A$3:$H$102,7,FALSE)=main!$G$104,VLOOKUP(CR$1,main!$A$3:$H$102,5,FALSE)-VLOOKUP($A188,main!$A$3:$H$102,6,FALSE)&gt;=main!$D$103+VLOOKUP(VLOOKUP(CR$1,main!$A$3:$I$102,7,FALSE),main!$K$26:$Q$29,4,FALSE)),1,0)</f>
        <v>0</v>
      </c>
      <c r="CS188">
        <f>IF(AND(VLOOKUP(CS$1,main!$A$3:$H$102,7,FALSE)=main!$G$104,VLOOKUP(CS$1,main!$A$3:$H$102,5,FALSE)-VLOOKUP($A188,main!$A$3:$H$102,6,FALSE)&gt;=main!$D$103+VLOOKUP(VLOOKUP(CS$1,main!$A$3:$I$102,7,FALSE),main!$K$26:$Q$29,4,FALSE)),1,0)</f>
        <v>0</v>
      </c>
      <c r="CT188">
        <f>IF(AND(VLOOKUP(CT$1,main!$A$3:$H$102,7,FALSE)=main!$G$104,VLOOKUP(CT$1,main!$A$3:$H$102,5,FALSE)-VLOOKUP($A188,main!$A$3:$H$102,6,FALSE)&gt;=main!$D$103+VLOOKUP(VLOOKUP(CT$1,main!$A$3:$I$102,7,FALSE),main!$K$26:$Q$29,4,FALSE)),1,0)</f>
        <v>0</v>
      </c>
      <c r="CU188">
        <f>IF(AND(VLOOKUP(CU$1,main!$A$3:$H$102,7,FALSE)=main!$G$104,VLOOKUP(CU$1,main!$A$3:$H$102,5,FALSE)-VLOOKUP($A188,main!$A$3:$H$102,6,FALSE)&gt;=main!$D$103+VLOOKUP(VLOOKUP(CU$1,main!$A$3:$I$102,7,FALSE),main!$K$26:$Q$29,4,FALSE)),1,0)</f>
        <v>0</v>
      </c>
      <c r="CV188">
        <f>IF(AND(VLOOKUP(CV$1,main!$A$3:$H$102,7,FALSE)=main!$G$104,VLOOKUP(CV$1,main!$A$3:$H$102,5,FALSE)-VLOOKUP($A188,main!$A$3:$H$102,6,FALSE)&gt;=main!$D$103+VLOOKUP(VLOOKUP(CV$1,main!$A$3:$I$102,7,FALSE),main!$K$26:$Q$29,4,FALSE)),1,0)</f>
        <v>0</v>
      </c>
      <c r="CW188">
        <f>IF(AND(VLOOKUP(CW$1,main!$A$3:$H$102,7,FALSE)=main!$G$104,VLOOKUP(CW$1,main!$A$3:$H$102,5,FALSE)-VLOOKUP($A188,main!$A$3:$H$102,6,FALSE)&gt;=main!$D$103+VLOOKUP(VLOOKUP(CW$1,main!$A$3:$I$102,7,FALSE),main!$K$26:$Q$29,4,FALSE)),1,0)</f>
        <v>0</v>
      </c>
      <c r="CX188">
        <f>IF(AND(VLOOKUP(CX$1,main!$A$3:$H$102,7,FALSE)=main!$G$104,VLOOKUP(CX$1,main!$A$3:$H$102,5,FALSE)-VLOOKUP($A188,main!$A$3:$H$102,6,FALSE)&gt;=main!$D$103+VLOOKUP(VLOOKUP(CX$1,main!$A$3:$I$102,7,FALSE),main!$K$26:$Q$29,4,FALSE)),1,0)</f>
        <v>0</v>
      </c>
    </row>
    <row r="189" spans="1:102" x14ac:dyDescent="0.25">
      <c r="A189" s="1">
        <v>86</v>
      </c>
      <c r="B189">
        <v>0</v>
      </c>
      <c r="C189">
        <f>IF(AND(VLOOKUP(C$1,main!$A$3:$H$102,7,FALSE)=main!$G$104,VLOOKUP(C$1,main!$A$3:$H$102,5,FALSE)-VLOOKUP($A189,main!$A$3:$H$102,6,FALSE)&gt;=main!$D$103+VLOOKUP(VLOOKUP(C$1,main!$A$3:$I$102,7,FALSE),main!$K$26:$Q$29,4,FALSE)),1,0)</f>
        <v>0</v>
      </c>
      <c r="D189">
        <f>IF(AND(VLOOKUP(D$1,main!$A$3:$H$102,7,FALSE)=main!$G$104,VLOOKUP(D$1,main!$A$3:$H$102,5,FALSE)-VLOOKUP($A189,main!$A$3:$H$102,6,FALSE)&gt;=main!$D$103+VLOOKUP(VLOOKUP(D$1,main!$A$3:$I$102,7,FALSE),main!$K$26:$Q$29,4,FALSE)),1,0)</f>
        <v>0</v>
      </c>
      <c r="E189">
        <f>IF(AND(VLOOKUP(E$1,main!$A$3:$H$102,7,FALSE)=main!$G$104,VLOOKUP(E$1,main!$A$3:$H$102,5,FALSE)-VLOOKUP($A189,main!$A$3:$H$102,6,FALSE)&gt;=main!$D$103+VLOOKUP(VLOOKUP(E$1,main!$A$3:$I$102,7,FALSE),main!$K$26:$Q$29,4,FALSE)),1,0)</f>
        <v>0</v>
      </c>
      <c r="F189">
        <f>IF(AND(VLOOKUP(F$1,main!$A$3:$H$102,7,FALSE)=main!$G$104,VLOOKUP(F$1,main!$A$3:$H$102,5,FALSE)-VLOOKUP($A189,main!$A$3:$H$102,6,FALSE)&gt;=main!$D$103+VLOOKUP(VLOOKUP(F$1,main!$A$3:$I$102,7,FALSE),main!$K$26:$Q$29,4,FALSE)),1,0)</f>
        <v>0</v>
      </c>
      <c r="G189">
        <f>IF(AND(VLOOKUP(G$1,main!$A$3:$H$102,7,FALSE)=main!$G$104,VLOOKUP(G$1,main!$A$3:$H$102,5,FALSE)-VLOOKUP($A189,main!$A$3:$H$102,6,FALSE)&gt;=main!$D$103+VLOOKUP(VLOOKUP(G$1,main!$A$3:$I$102,7,FALSE),main!$K$26:$Q$29,4,FALSE)),1,0)</f>
        <v>0</v>
      </c>
      <c r="H189">
        <f>IF(AND(VLOOKUP(H$1,main!$A$3:$H$102,7,FALSE)=main!$G$104,VLOOKUP(H$1,main!$A$3:$H$102,5,FALSE)-VLOOKUP($A189,main!$A$3:$H$102,6,FALSE)&gt;=main!$D$103+VLOOKUP(VLOOKUP(H$1,main!$A$3:$I$102,7,FALSE),main!$K$26:$Q$29,4,FALSE)),1,0)</f>
        <v>1</v>
      </c>
      <c r="I189">
        <f>IF(AND(VLOOKUP(I$1,main!$A$3:$H$102,7,FALSE)=main!$G$104,VLOOKUP(I$1,main!$A$3:$H$102,5,FALSE)-VLOOKUP($A189,main!$A$3:$H$102,6,FALSE)&gt;=main!$D$103+VLOOKUP(VLOOKUP(I$1,main!$A$3:$I$102,7,FALSE),main!$K$26:$Q$29,4,FALSE)),1,0)</f>
        <v>1</v>
      </c>
      <c r="J189">
        <f>IF(AND(VLOOKUP(J$1,main!$A$3:$H$102,7,FALSE)=main!$G$104,VLOOKUP(J$1,main!$A$3:$H$102,5,FALSE)-VLOOKUP($A189,main!$A$3:$H$102,6,FALSE)&gt;=main!$D$103+VLOOKUP(VLOOKUP(J$1,main!$A$3:$I$102,7,FALSE),main!$K$26:$Q$29,4,FALSE)),1,0)</f>
        <v>1</v>
      </c>
      <c r="K189">
        <f>IF(AND(VLOOKUP(K$1,main!$A$3:$H$102,7,FALSE)=main!$G$104,VLOOKUP(K$1,main!$A$3:$H$102,5,FALSE)-VLOOKUP($A189,main!$A$3:$H$102,6,FALSE)&gt;=main!$D$103+VLOOKUP(VLOOKUP(K$1,main!$A$3:$I$102,7,FALSE),main!$K$26:$Q$29,4,FALSE)),1,0)</f>
        <v>1</v>
      </c>
      <c r="L189">
        <f>IF(AND(VLOOKUP(L$1,main!$A$3:$H$102,7,FALSE)=main!$G$104,VLOOKUP(L$1,main!$A$3:$H$102,5,FALSE)-VLOOKUP($A189,main!$A$3:$H$102,6,FALSE)&gt;=main!$D$103+VLOOKUP(VLOOKUP(L$1,main!$A$3:$I$102,7,FALSE),main!$K$26:$Q$29,4,FALSE)),1,0)</f>
        <v>1</v>
      </c>
      <c r="M189">
        <f>IF(AND(VLOOKUP(M$1,main!$A$3:$H$102,7,FALSE)=main!$G$104,VLOOKUP(M$1,main!$A$3:$H$102,5,FALSE)-VLOOKUP($A189,main!$A$3:$H$102,6,FALSE)&gt;=main!$D$103+VLOOKUP(VLOOKUP(M$1,main!$A$3:$I$102,7,FALSE),main!$K$26:$Q$29,4,FALSE)),1,0)</f>
        <v>0</v>
      </c>
      <c r="N189">
        <f>IF(AND(VLOOKUP(N$1,main!$A$3:$H$102,7,FALSE)=main!$G$104,VLOOKUP(N$1,main!$A$3:$H$102,5,FALSE)-VLOOKUP($A189,main!$A$3:$H$102,6,FALSE)&gt;=main!$D$103+VLOOKUP(VLOOKUP(N$1,main!$A$3:$I$102,7,FALSE),main!$K$26:$Q$29,4,FALSE)),1,0)</f>
        <v>0</v>
      </c>
      <c r="O189">
        <f>IF(AND(VLOOKUP(O$1,main!$A$3:$H$102,7,FALSE)=main!$G$104,VLOOKUP(O$1,main!$A$3:$H$102,5,FALSE)-VLOOKUP($A189,main!$A$3:$H$102,6,FALSE)&gt;=main!$D$103+VLOOKUP(VLOOKUP(O$1,main!$A$3:$I$102,7,FALSE),main!$K$26:$Q$29,4,FALSE)),1,0)</f>
        <v>0</v>
      </c>
      <c r="P189">
        <f>IF(AND(VLOOKUP(P$1,main!$A$3:$H$102,7,FALSE)=main!$G$104,VLOOKUP(P$1,main!$A$3:$H$102,5,FALSE)-VLOOKUP($A189,main!$A$3:$H$102,6,FALSE)&gt;=main!$D$103+VLOOKUP(VLOOKUP(P$1,main!$A$3:$I$102,7,FALSE),main!$K$26:$Q$29,4,FALSE)),1,0)</f>
        <v>0</v>
      </c>
      <c r="Q189">
        <f>IF(AND(VLOOKUP(Q$1,main!$A$3:$H$102,7,FALSE)=main!$G$104,VLOOKUP(Q$1,main!$A$3:$H$102,5,FALSE)-VLOOKUP($A189,main!$A$3:$H$102,6,FALSE)&gt;=main!$D$103+VLOOKUP(VLOOKUP(Q$1,main!$A$3:$I$102,7,FALSE),main!$K$26:$Q$29,4,FALSE)),1,0)</f>
        <v>0</v>
      </c>
      <c r="R189">
        <f>IF(AND(VLOOKUP(R$1,main!$A$3:$H$102,7,FALSE)=main!$G$104,VLOOKUP(R$1,main!$A$3:$H$102,5,FALSE)-VLOOKUP($A189,main!$A$3:$H$102,6,FALSE)&gt;=main!$D$103+VLOOKUP(VLOOKUP(R$1,main!$A$3:$I$102,7,FALSE),main!$K$26:$Q$29,4,FALSE)),1,0)</f>
        <v>0</v>
      </c>
      <c r="S189">
        <f>IF(AND(VLOOKUP(S$1,main!$A$3:$H$102,7,FALSE)=main!$G$104,VLOOKUP(S$1,main!$A$3:$H$102,5,FALSE)-VLOOKUP($A189,main!$A$3:$H$102,6,FALSE)&gt;=main!$D$103+VLOOKUP(VLOOKUP(S$1,main!$A$3:$I$102,7,FALSE),main!$K$26:$Q$29,4,FALSE)),1,0)</f>
        <v>1</v>
      </c>
      <c r="T189">
        <f>IF(AND(VLOOKUP(T$1,main!$A$3:$H$102,7,FALSE)=main!$G$104,VLOOKUP(T$1,main!$A$3:$H$102,5,FALSE)-VLOOKUP($A189,main!$A$3:$H$102,6,FALSE)&gt;=main!$D$103+VLOOKUP(VLOOKUP(T$1,main!$A$3:$I$102,7,FALSE),main!$K$26:$Q$29,4,FALSE)),1,0)</f>
        <v>1</v>
      </c>
      <c r="U189">
        <f>IF(AND(VLOOKUP(U$1,main!$A$3:$H$102,7,FALSE)=main!$G$104,VLOOKUP(U$1,main!$A$3:$H$102,5,FALSE)-VLOOKUP($A189,main!$A$3:$H$102,6,FALSE)&gt;=main!$D$103+VLOOKUP(VLOOKUP(U$1,main!$A$3:$I$102,7,FALSE),main!$K$26:$Q$29,4,FALSE)),1,0)</f>
        <v>1</v>
      </c>
      <c r="V189">
        <f>IF(AND(VLOOKUP(V$1,main!$A$3:$H$102,7,FALSE)=main!$G$104,VLOOKUP(V$1,main!$A$3:$H$102,5,FALSE)-VLOOKUP($A189,main!$A$3:$H$102,6,FALSE)&gt;=main!$D$103+VLOOKUP(VLOOKUP(V$1,main!$A$3:$I$102,7,FALSE),main!$K$26:$Q$29,4,FALSE)),1,0)</f>
        <v>1</v>
      </c>
      <c r="W189">
        <f>IF(AND(VLOOKUP(W$1,main!$A$3:$H$102,7,FALSE)=main!$G$104,VLOOKUP(W$1,main!$A$3:$H$102,5,FALSE)-VLOOKUP($A189,main!$A$3:$H$102,6,FALSE)&gt;=main!$D$103+VLOOKUP(VLOOKUP(W$1,main!$A$3:$I$102,7,FALSE),main!$K$26:$Q$29,4,FALSE)),1,0)</f>
        <v>0</v>
      </c>
      <c r="X189">
        <f>IF(AND(VLOOKUP(X$1,main!$A$3:$H$102,7,FALSE)=main!$G$104,VLOOKUP(X$1,main!$A$3:$H$102,5,FALSE)-VLOOKUP($A189,main!$A$3:$H$102,6,FALSE)&gt;=main!$D$103+VLOOKUP(VLOOKUP(X$1,main!$A$3:$I$102,7,FALSE),main!$K$26:$Q$29,4,FALSE)),1,0)</f>
        <v>0</v>
      </c>
      <c r="Y189">
        <f>IF(AND(VLOOKUP(Y$1,main!$A$3:$H$102,7,FALSE)=main!$G$104,VLOOKUP(Y$1,main!$A$3:$H$102,5,FALSE)-VLOOKUP($A189,main!$A$3:$H$102,6,FALSE)&gt;=main!$D$103+VLOOKUP(VLOOKUP(Y$1,main!$A$3:$I$102,7,FALSE),main!$K$26:$Q$29,4,FALSE)),1,0)</f>
        <v>0</v>
      </c>
      <c r="Z189">
        <f>IF(AND(VLOOKUP(Z$1,main!$A$3:$H$102,7,FALSE)=main!$G$104,VLOOKUP(Z$1,main!$A$3:$H$102,5,FALSE)-VLOOKUP($A189,main!$A$3:$H$102,6,FALSE)&gt;=main!$D$103+VLOOKUP(VLOOKUP(Z$1,main!$A$3:$I$102,7,FALSE),main!$K$26:$Q$29,4,FALSE)),1,0)</f>
        <v>1</v>
      </c>
      <c r="AA189">
        <f>IF(AND(VLOOKUP(AA$1,main!$A$3:$H$102,7,FALSE)=main!$G$104,VLOOKUP(AA$1,main!$A$3:$H$102,5,FALSE)-VLOOKUP($A189,main!$A$3:$H$102,6,FALSE)&gt;=main!$D$103+VLOOKUP(VLOOKUP(AA$1,main!$A$3:$I$102,7,FALSE),main!$K$26:$Q$29,4,FALSE)),1,0)</f>
        <v>1</v>
      </c>
      <c r="AB189">
        <f>IF(AND(VLOOKUP(AB$1,main!$A$3:$H$102,7,FALSE)=main!$G$104,VLOOKUP(AB$1,main!$A$3:$H$102,5,FALSE)-VLOOKUP($A189,main!$A$3:$H$102,6,FALSE)&gt;=main!$D$103+VLOOKUP(VLOOKUP(AB$1,main!$A$3:$I$102,7,FALSE),main!$K$26:$Q$29,4,FALSE)),1,0)</f>
        <v>0</v>
      </c>
      <c r="AC189">
        <f>IF(AND(VLOOKUP(AC$1,main!$A$3:$H$102,7,FALSE)=main!$G$104,VLOOKUP(AC$1,main!$A$3:$H$102,5,FALSE)-VLOOKUP($A189,main!$A$3:$H$102,6,FALSE)&gt;=main!$D$103+VLOOKUP(VLOOKUP(AC$1,main!$A$3:$I$102,7,FALSE),main!$K$26:$Q$29,4,FALSE)),1,0)</f>
        <v>0</v>
      </c>
      <c r="AD189">
        <f>IF(AND(VLOOKUP(AD$1,main!$A$3:$H$102,7,FALSE)=main!$G$104,VLOOKUP(AD$1,main!$A$3:$H$102,5,FALSE)-VLOOKUP($A189,main!$A$3:$H$102,6,FALSE)&gt;=main!$D$103+VLOOKUP(VLOOKUP(AD$1,main!$A$3:$I$102,7,FALSE),main!$K$26:$Q$29,4,FALSE)),1,0)</f>
        <v>0</v>
      </c>
      <c r="AE189">
        <f>IF(AND(VLOOKUP(AE$1,main!$A$3:$H$102,7,FALSE)=main!$G$104,VLOOKUP(AE$1,main!$A$3:$H$102,5,FALSE)-VLOOKUP($A189,main!$A$3:$H$102,6,FALSE)&gt;=main!$D$103+VLOOKUP(VLOOKUP(AE$1,main!$A$3:$I$102,7,FALSE),main!$K$26:$Q$29,4,FALSE)),1,0)</f>
        <v>1</v>
      </c>
      <c r="AF189">
        <f>IF(AND(VLOOKUP(AF$1,main!$A$3:$H$102,7,FALSE)=main!$G$104,VLOOKUP(AF$1,main!$A$3:$H$102,5,FALSE)-VLOOKUP($A189,main!$A$3:$H$102,6,FALSE)&gt;=main!$D$103+VLOOKUP(VLOOKUP(AF$1,main!$A$3:$I$102,7,FALSE),main!$K$26:$Q$29,4,FALSE)),1,0)</f>
        <v>1</v>
      </c>
      <c r="AG189">
        <f>IF(AND(VLOOKUP(AG$1,main!$A$3:$H$102,7,FALSE)=main!$G$104,VLOOKUP(AG$1,main!$A$3:$H$102,5,FALSE)-VLOOKUP($A189,main!$A$3:$H$102,6,FALSE)&gt;=main!$D$103+VLOOKUP(VLOOKUP(AG$1,main!$A$3:$I$102,7,FALSE),main!$K$26:$Q$29,4,FALSE)),1,0)</f>
        <v>0</v>
      </c>
      <c r="AH189">
        <f>IF(AND(VLOOKUP(AH$1,main!$A$3:$H$102,7,FALSE)=main!$G$104,VLOOKUP(AH$1,main!$A$3:$H$102,5,FALSE)-VLOOKUP($A189,main!$A$3:$H$102,6,FALSE)&gt;=main!$D$103+VLOOKUP(VLOOKUP(AH$1,main!$A$3:$I$102,7,FALSE),main!$K$26:$Q$29,4,FALSE)),1,0)</f>
        <v>0</v>
      </c>
      <c r="AI189">
        <f>IF(AND(VLOOKUP(AI$1,main!$A$3:$H$102,7,FALSE)=main!$G$104,VLOOKUP(AI$1,main!$A$3:$H$102,5,FALSE)-VLOOKUP($A189,main!$A$3:$H$102,6,FALSE)&gt;=main!$D$103+VLOOKUP(VLOOKUP(AI$1,main!$A$3:$I$102,7,FALSE),main!$K$26:$Q$29,4,FALSE)),1,0)</f>
        <v>0</v>
      </c>
      <c r="AJ189">
        <f>IF(AND(VLOOKUP(AJ$1,main!$A$3:$H$102,7,FALSE)=main!$G$104,VLOOKUP(AJ$1,main!$A$3:$H$102,5,FALSE)-VLOOKUP($A189,main!$A$3:$H$102,6,FALSE)&gt;=main!$D$103+VLOOKUP(VLOOKUP(AJ$1,main!$A$3:$I$102,7,FALSE),main!$K$26:$Q$29,4,FALSE)),1,0)</f>
        <v>0</v>
      </c>
      <c r="AK189">
        <f>IF(AND(VLOOKUP(AK$1,main!$A$3:$H$102,7,FALSE)=main!$G$104,VLOOKUP(AK$1,main!$A$3:$H$102,5,FALSE)-VLOOKUP($A189,main!$A$3:$H$102,6,FALSE)&gt;=main!$D$103+VLOOKUP(VLOOKUP(AK$1,main!$A$3:$I$102,7,FALSE),main!$K$26:$Q$29,4,FALSE)),1,0)</f>
        <v>0</v>
      </c>
      <c r="AL189">
        <f>IF(AND(VLOOKUP(AL$1,main!$A$3:$H$102,7,FALSE)=main!$G$104,VLOOKUP(AL$1,main!$A$3:$H$102,5,FALSE)-VLOOKUP($A189,main!$A$3:$H$102,6,FALSE)&gt;=main!$D$103+VLOOKUP(VLOOKUP(AL$1,main!$A$3:$I$102,7,FALSE),main!$K$26:$Q$29,4,FALSE)),1,0)</f>
        <v>0</v>
      </c>
      <c r="AM189">
        <f>IF(AND(VLOOKUP(AM$1,main!$A$3:$H$102,7,FALSE)=main!$G$104,VLOOKUP(AM$1,main!$A$3:$H$102,5,FALSE)-VLOOKUP($A189,main!$A$3:$H$102,6,FALSE)&gt;=main!$D$103+VLOOKUP(VLOOKUP(AM$1,main!$A$3:$I$102,7,FALSE),main!$K$26:$Q$29,4,FALSE)),1,0)</f>
        <v>0</v>
      </c>
      <c r="AN189">
        <f>IF(AND(VLOOKUP(AN$1,main!$A$3:$H$102,7,FALSE)=main!$G$104,VLOOKUP(AN$1,main!$A$3:$H$102,5,FALSE)-VLOOKUP($A189,main!$A$3:$H$102,6,FALSE)&gt;=main!$D$103+VLOOKUP(VLOOKUP(AN$1,main!$A$3:$I$102,7,FALSE),main!$K$26:$Q$29,4,FALSE)),1,0)</f>
        <v>0</v>
      </c>
      <c r="AO189">
        <f>IF(AND(VLOOKUP(AO$1,main!$A$3:$H$102,7,FALSE)=main!$G$104,VLOOKUP(AO$1,main!$A$3:$H$102,5,FALSE)-VLOOKUP($A189,main!$A$3:$H$102,6,FALSE)&gt;=main!$D$103+VLOOKUP(VLOOKUP(AO$1,main!$A$3:$I$102,7,FALSE),main!$K$26:$Q$29,4,FALSE)),1,0)</f>
        <v>0</v>
      </c>
      <c r="AP189">
        <f>IF(AND(VLOOKUP(AP$1,main!$A$3:$H$102,7,FALSE)=main!$G$104,VLOOKUP(AP$1,main!$A$3:$H$102,5,FALSE)-VLOOKUP($A189,main!$A$3:$H$102,6,FALSE)&gt;=main!$D$103+VLOOKUP(VLOOKUP(AP$1,main!$A$3:$I$102,7,FALSE),main!$K$26:$Q$29,4,FALSE)),1,0)</f>
        <v>0</v>
      </c>
      <c r="AQ189">
        <f>IF(AND(VLOOKUP(AQ$1,main!$A$3:$H$102,7,FALSE)=main!$G$104,VLOOKUP(AQ$1,main!$A$3:$H$102,5,FALSE)-VLOOKUP($A189,main!$A$3:$H$102,6,FALSE)&gt;=main!$D$103+VLOOKUP(VLOOKUP(AQ$1,main!$A$3:$I$102,7,FALSE),main!$K$26:$Q$29,4,FALSE)),1,0)</f>
        <v>0</v>
      </c>
      <c r="AR189">
        <f>IF(AND(VLOOKUP(AR$1,main!$A$3:$H$102,7,FALSE)=main!$G$104,VLOOKUP(AR$1,main!$A$3:$H$102,5,FALSE)-VLOOKUP($A189,main!$A$3:$H$102,6,FALSE)&gt;=main!$D$103+VLOOKUP(VLOOKUP(AR$1,main!$A$3:$I$102,7,FALSE),main!$K$26:$Q$29,4,FALSE)),1,0)</f>
        <v>0</v>
      </c>
      <c r="AS189">
        <f>IF(AND(VLOOKUP(AS$1,main!$A$3:$H$102,7,FALSE)=main!$G$104,VLOOKUP(AS$1,main!$A$3:$H$102,5,FALSE)-VLOOKUP($A189,main!$A$3:$H$102,6,FALSE)&gt;=main!$D$103+VLOOKUP(VLOOKUP(AS$1,main!$A$3:$I$102,7,FALSE),main!$K$26:$Q$29,4,FALSE)),1,0)</f>
        <v>0</v>
      </c>
      <c r="AT189">
        <f>IF(AND(VLOOKUP(AT$1,main!$A$3:$H$102,7,FALSE)=main!$G$104,VLOOKUP(AT$1,main!$A$3:$H$102,5,FALSE)-VLOOKUP($A189,main!$A$3:$H$102,6,FALSE)&gt;=main!$D$103+VLOOKUP(VLOOKUP(AT$1,main!$A$3:$I$102,7,FALSE),main!$K$26:$Q$29,4,FALSE)),1,0)</f>
        <v>0</v>
      </c>
      <c r="AU189">
        <f>IF(AND(VLOOKUP(AU$1,main!$A$3:$H$102,7,FALSE)=main!$G$104,VLOOKUP(AU$1,main!$A$3:$H$102,5,FALSE)-VLOOKUP($A189,main!$A$3:$H$102,6,FALSE)&gt;=main!$D$103+VLOOKUP(VLOOKUP(AU$1,main!$A$3:$I$102,7,FALSE),main!$K$26:$Q$29,4,FALSE)),1,0)</f>
        <v>0</v>
      </c>
      <c r="AV189">
        <f>IF(AND(VLOOKUP(AV$1,main!$A$3:$H$102,7,FALSE)=main!$G$104,VLOOKUP(AV$1,main!$A$3:$H$102,5,FALSE)-VLOOKUP($A189,main!$A$3:$H$102,6,FALSE)&gt;=main!$D$103+VLOOKUP(VLOOKUP(AV$1,main!$A$3:$I$102,7,FALSE),main!$K$26:$Q$29,4,FALSE)),1,0)</f>
        <v>0</v>
      </c>
      <c r="AW189">
        <f>IF(AND(VLOOKUP(AW$1,main!$A$3:$H$102,7,FALSE)=main!$G$104,VLOOKUP(AW$1,main!$A$3:$H$102,5,FALSE)-VLOOKUP($A189,main!$A$3:$H$102,6,FALSE)&gt;=main!$D$103+VLOOKUP(VLOOKUP(AW$1,main!$A$3:$I$102,7,FALSE),main!$K$26:$Q$29,4,FALSE)),1,0)</f>
        <v>0</v>
      </c>
      <c r="AX189">
        <f>IF(AND(VLOOKUP(AX$1,main!$A$3:$H$102,7,FALSE)=main!$G$104,VLOOKUP(AX$1,main!$A$3:$H$102,5,FALSE)-VLOOKUP($A189,main!$A$3:$H$102,6,FALSE)&gt;=main!$D$103+VLOOKUP(VLOOKUP(AX$1,main!$A$3:$I$102,7,FALSE),main!$K$26:$Q$29,4,FALSE)),1,0)</f>
        <v>0</v>
      </c>
      <c r="AY189">
        <f>IF(AND(VLOOKUP(AY$1,main!$A$3:$H$102,7,FALSE)=main!$G$104,VLOOKUP(AY$1,main!$A$3:$H$102,5,FALSE)-VLOOKUP($A189,main!$A$3:$H$102,6,FALSE)&gt;=main!$D$103+VLOOKUP(VLOOKUP(AY$1,main!$A$3:$I$102,7,FALSE),main!$K$26:$Q$29,4,FALSE)),1,0)</f>
        <v>0</v>
      </c>
      <c r="AZ189">
        <f>IF(AND(VLOOKUP(AZ$1,main!$A$3:$H$102,7,FALSE)=main!$G$104,VLOOKUP(AZ$1,main!$A$3:$H$102,5,FALSE)-VLOOKUP($A189,main!$A$3:$H$102,6,FALSE)&gt;=main!$D$103+VLOOKUP(VLOOKUP(AZ$1,main!$A$3:$I$102,7,FALSE),main!$K$26:$Q$29,4,FALSE)),1,0)</f>
        <v>0</v>
      </c>
      <c r="BA189">
        <f>IF(AND(VLOOKUP(BA$1,main!$A$3:$H$102,7,FALSE)=main!$G$104,VLOOKUP(BA$1,main!$A$3:$H$102,5,FALSE)-VLOOKUP($A189,main!$A$3:$H$102,6,FALSE)&gt;=main!$D$103+VLOOKUP(VLOOKUP(BA$1,main!$A$3:$I$102,7,FALSE),main!$K$26:$Q$29,4,FALSE)),1,0)</f>
        <v>0</v>
      </c>
      <c r="BB189">
        <f>IF(AND(VLOOKUP(BB$1,main!$A$3:$H$102,7,FALSE)=main!$G$104,VLOOKUP(BB$1,main!$A$3:$H$102,5,FALSE)-VLOOKUP($A189,main!$A$3:$H$102,6,FALSE)&gt;=main!$D$103+VLOOKUP(VLOOKUP(BB$1,main!$A$3:$I$102,7,FALSE),main!$K$26:$Q$29,4,FALSE)),1,0)</f>
        <v>0</v>
      </c>
      <c r="BC189">
        <f>IF(AND(VLOOKUP(BC$1,main!$A$3:$H$102,7,FALSE)=main!$G$104,VLOOKUP(BC$1,main!$A$3:$H$102,5,FALSE)-VLOOKUP($A189,main!$A$3:$H$102,6,FALSE)&gt;=main!$D$103+VLOOKUP(VLOOKUP(BC$1,main!$A$3:$I$102,7,FALSE),main!$K$26:$Q$29,4,FALSE)),1,0)</f>
        <v>0</v>
      </c>
      <c r="BD189">
        <f>IF(AND(VLOOKUP(BD$1,main!$A$3:$H$102,7,FALSE)=main!$G$104,VLOOKUP(BD$1,main!$A$3:$H$102,5,FALSE)-VLOOKUP($A189,main!$A$3:$H$102,6,FALSE)&gt;=main!$D$103+VLOOKUP(VLOOKUP(BD$1,main!$A$3:$I$102,7,FALSE),main!$K$26:$Q$29,4,FALSE)),1,0)</f>
        <v>0</v>
      </c>
      <c r="BE189">
        <f>IF(AND(VLOOKUP(BE$1,main!$A$3:$H$102,7,FALSE)=main!$G$104,VLOOKUP(BE$1,main!$A$3:$H$102,5,FALSE)-VLOOKUP($A189,main!$A$3:$H$102,6,FALSE)&gt;=main!$D$103+VLOOKUP(VLOOKUP(BE$1,main!$A$3:$I$102,7,FALSE),main!$K$26:$Q$29,4,FALSE)),1,0)</f>
        <v>0</v>
      </c>
      <c r="BF189">
        <f>IF(AND(VLOOKUP(BF$1,main!$A$3:$H$102,7,FALSE)=main!$G$104,VLOOKUP(BF$1,main!$A$3:$H$102,5,FALSE)-VLOOKUP($A189,main!$A$3:$H$102,6,FALSE)&gt;=main!$D$103+VLOOKUP(VLOOKUP(BF$1,main!$A$3:$I$102,7,FALSE),main!$K$26:$Q$29,4,FALSE)),1,0)</f>
        <v>0</v>
      </c>
      <c r="BG189">
        <f>IF(AND(VLOOKUP(BG$1,main!$A$3:$H$102,7,FALSE)=main!$G$104,VLOOKUP(BG$1,main!$A$3:$H$102,5,FALSE)-VLOOKUP($A189,main!$A$3:$H$102,6,FALSE)&gt;=main!$D$103+VLOOKUP(VLOOKUP(BG$1,main!$A$3:$I$102,7,FALSE),main!$K$26:$Q$29,4,FALSE)),1,0)</f>
        <v>0</v>
      </c>
      <c r="BH189">
        <f>IF(AND(VLOOKUP(BH$1,main!$A$3:$H$102,7,FALSE)=main!$G$104,VLOOKUP(BH$1,main!$A$3:$H$102,5,FALSE)-VLOOKUP($A189,main!$A$3:$H$102,6,FALSE)&gt;=main!$D$103+VLOOKUP(VLOOKUP(BH$1,main!$A$3:$I$102,7,FALSE),main!$K$26:$Q$29,4,FALSE)),1,0)</f>
        <v>0</v>
      </c>
      <c r="BI189">
        <f>IF(AND(VLOOKUP(BI$1,main!$A$3:$H$102,7,FALSE)=main!$G$104,VLOOKUP(BI$1,main!$A$3:$H$102,5,FALSE)-VLOOKUP($A189,main!$A$3:$H$102,6,FALSE)&gt;=main!$D$103+VLOOKUP(VLOOKUP(BI$1,main!$A$3:$I$102,7,FALSE),main!$K$26:$Q$29,4,FALSE)),1,0)</f>
        <v>0</v>
      </c>
      <c r="BJ189">
        <f>IF(AND(VLOOKUP(BJ$1,main!$A$3:$H$102,7,FALSE)=main!$G$104,VLOOKUP(BJ$1,main!$A$3:$H$102,5,FALSE)-VLOOKUP($A189,main!$A$3:$H$102,6,FALSE)&gt;=main!$D$103+VLOOKUP(VLOOKUP(BJ$1,main!$A$3:$I$102,7,FALSE),main!$K$26:$Q$29,4,FALSE)),1,0)</f>
        <v>0</v>
      </c>
      <c r="BK189">
        <f>IF(AND(VLOOKUP(BK$1,main!$A$3:$H$102,7,FALSE)=main!$G$104,VLOOKUP(BK$1,main!$A$3:$H$102,5,FALSE)-VLOOKUP($A189,main!$A$3:$H$102,6,FALSE)&gt;=main!$D$103+VLOOKUP(VLOOKUP(BK$1,main!$A$3:$I$102,7,FALSE),main!$K$26:$Q$29,4,FALSE)),1,0)</f>
        <v>0</v>
      </c>
      <c r="BL189">
        <f>IF(AND(VLOOKUP(BL$1,main!$A$3:$H$102,7,FALSE)=main!$G$104,VLOOKUP(BL$1,main!$A$3:$H$102,5,FALSE)-VLOOKUP($A189,main!$A$3:$H$102,6,FALSE)&gt;=main!$D$103+VLOOKUP(VLOOKUP(BL$1,main!$A$3:$I$102,7,FALSE),main!$K$26:$Q$29,4,FALSE)),1,0)</f>
        <v>0</v>
      </c>
      <c r="BM189">
        <f>IF(AND(VLOOKUP(BM$1,main!$A$3:$H$102,7,FALSE)=main!$G$104,VLOOKUP(BM$1,main!$A$3:$H$102,5,FALSE)-VLOOKUP($A189,main!$A$3:$H$102,6,FALSE)&gt;=main!$D$103+VLOOKUP(VLOOKUP(BM$1,main!$A$3:$I$102,7,FALSE),main!$K$26:$Q$29,4,FALSE)),1,0)</f>
        <v>0</v>
      </c>
      <c r="BN189">
        <f>IF(AND(VLOOKUP(BN$1,main!$A$3:$H$102,7,FALSE)=main!$G$104,VLOOKUP(BN$1,main!$A$3:$H$102,5,FALSE)-VLOOKUP($A189,main!$A$3:$H$102,6,FALSE)&gt;=main!$D$103+VLOOKUP(VLOOKUP(BN$1,main!$A$3:$I$102,7,FALSE),main!$K$26:$Q$29,4,FALSE)),1,0)</f>
        <v>0</v>
      </c>
      <c r="BO189">
        <f>IF(AND(VLOOKUP(BO$1,main!$A$3:$H$102,7,FALSE)=main!$G$104,VLOOKUP(BO$1,main!$A$3:$H$102,5,FALSE)-VLOOKUP($A189,main!$A$3:$H$102,6,FALSE)&gt;=main!$D$103+VLOOKUP(VLOOKUP(BO$1,main!$A$3:$I$102,7,FALSE),main!$K$26:$Q$29,4,FALSE)),1,0)</f>
        <v>0</v>
      </c>
      <c r="BP189">
        <f>IF(AND(VLOOKUP(BP$1,main!$A$3:$H$102,7,FALSE)=main!$G$104,VLOOKUP(BP$1,main!$A$3:$H$102,5,FALSE)-VLOOKUP($A189,main!$A$3:$H$102,6,FALSE)&gt;=main!$D$103+VLOOKUP(VLOOKUP(BP$1,main!$A$3:$I$102,7,FALSE),main!$K$26:$Q$29,4,FALSE)),1,0)</f>
        <v>0</v>
      </c>
      <c r="BQ189">
        <f>IF(AND(VLOOKUP(BQ$1,main!$A$3:$H$102,7,FALSE)=main!$G$104,VLOOKUP(BQ$1,main!$A$3:$H$102,5,FALSE)-VLOOKUP($A189,main!$A$3:$H$102,6,FALSE)&gt;=main!$D$103+VLOOKUP(VLOOKUP(BQ$1,main!$A$3:$I$102,7,FALSE),main!$K$26:$Q$29,4,FALSE)),1,0)</f>
        <v>0</v>
      </c>
      <c r="BR189">
        <f>IF(AND(VLOOKUP(BR$1,main!$A$3:$H$102,7,FALSE)=main!$G$104,VLOOKUP(BR$1,main!$A$3:$H$102,5,FALSE)-VLOOKUP($A189,main!$A$3:$H$102,6,FALSE)&gt;=main!$D$103+VLOOKUP(VLOOKUP(BR$1,main!$A$3:$I$102,7,FALSE),main!$K$26:$Q$29,4,FALSE)),1,0)</f>
        <v>0</v>
      </c>
      <c r="BS189">
        <f>IF(AND(VLOOKUP(BS$1,main!$A$3:$H$102,7,FALSE)=main!$G$104,VLOOKUP(BS$1,main!$A$3:$H$102,5,FALSE)-VLOOKUP($A189,main!$A$3:$H$102,6,FALSE)&gt;=main!$D$103+VLOOKUP(VLOOKUP(BS$1,main!$A$3:$I$102,7,FALSE),main!$K$26:$Q$29,4,FALSE)),1,0)</f>
        <v>0</v>
      </c>
      <c r="BT189">
        <f>IF(AND(VLOOKUP(BT$1,main!$A$3:$H$102,7,FALSE)=main!$G$104,VLOOKUP(BT$1,main!$A$3:$H$102,5,FALSE)-VLOOKUP($A189,main!$A$3:$H$102,6,FALSE)&gt;=main!$D$103+VLOOKUP(VLOOKUP(BT$1,main!$A$3:$I$102,7,FALSE),main!$K$26:$Q$29,4,FALSE)),1,0)</f>
        <v>0</v>
      </c>
      <c r="BU189">
        <f>IF(AND(VLOOKUP(BU$1,main!$A$3:$H$102,7,FALSE)=main!$G$104,VLOOKUP(BU$1,main!$A$3:$H$102,5,FALSE)-VLOOKUP($A189,main!$A$3:$H$102,6,FALSE)&gt;=main!$D$103+VLOOKUP(VLOOKUP(BU$1,main!$A$3:$I$102,7,FALSE),main!$K$26:$Q$29,4,FALSE)),1,0)</f>
        <v>0</v>
      </c>
      <c r="BV189">
        <f>IF(AND(VLOOKUP(BV$1,main!$A$3:$H$102,7,FALSE)=main!$G$104,VLOOKUP(BV$1,main!$A$3:$H$102,5,FALSE)-VLOOKUP($A189,main!$A$3:$H$102,6,FALSE)&gt;=main!$D$103+VLOOKUP(VLOOKUP(BV$1,main!$A$3:$I$102,7,FALSE),main!$K$26:$Q$29,4,FALSE)),1,0)</f>
        <v>0</v>
      </c>
      <c r="BW189">
        <f>IF(AND(VLOOKUP(BW$1,main!$A$3:$H$102,7,FALSE)=main!$G$104,VLOOKUP(BW$1,main!$A$3:$H$102,5,FALSE)-VLOOKUP($A189,main!$A$3:$H$102,6,FALSE)&gt;=main!$D$103+VLOOKUP(VLOOKUP(BW$1,main!$A$3:$I$102,7,FALSE),main!$K$26:$Q$29,4,FALSE)),1,0)</f>
        <v>0</v>
      </c>
      <c r="BX189">
        <f>IF(AND(VLOOKUP(BX$1,main!$A$3:$H$102,7,FALSE)=main!$G$104,VLOOKUP(BX$1,main!$A$3:$H$102,5,FALSE)-VLOOKUP($A189,main!$A$3:$H$102,6,FALSE)&gt;=main!$D$103+VLOOKUP(VLOOKUP(BX$1,main!$A$3:$I$102,7,FALSE),main!$K$26:$Q$29,4,FALSE)),1,0)</f>
        <v>0</v>
      </c>
      <c r="BY189">
        <f>IF(AND(VLOOKUP(BY$1,main!$A$3:$H$102,7,FALSE)=main!$G$104,VLOOKUP(BY$1,main!$A$3:$H$102,5,FALSE)-VLOOKUP($A189,main!$A$3:$H$102,6,FALSE)&gt;=main!$D$103+VLOOKUP(VLOOKUP(BY$1,main!$A$3:$I$102,7,FALSE),main!$K$26:$Q$29,4,FALSE)),1,0)</f>
        <v>0</v>
      </c>
      <c r="BZ189">
        <f>IF(AND(VLOOKUP(BZ$1,main!$A$3:$H$102,7,FALSE)=main!$G$104,VLOOKUP(BZ$1,main!$A$3:$H$102,5,FALSE)-VLOOKUP($A189,main!$A$3:$H$102,6,FALSE)&gt;=main!$D$103+VLOOKUP(VLOOKUP(BZ$1,main!$A$3:$I$102,7,FALSE),main!$K$26:$Q$29,4,FALSE)),1,0)</f>
        <v>0</v>
      </c>
      <c r="CA189">
        <f>IF(AND(VLOOKUP(CA$1,main!$A$3:$H$102,7,FALSE)=main!$G$104,VLOOKUP(CA$1,main!$A$3:$H$102,5,FALSE)-VLOOKUP($A189,main!$A$3:$H$102,6,FALSE)&gt;=main!$D$103+VLOOKUP(VLOOKUP(CA$1,main!$A$3:$I$102,7,FALSE),main!$K$26:$Q$29,4,FALSE)),1,0)</f>
        <v>0</v>
      </c>
      <c r="CB189">
        <f>IF(AND(VLOOKUP(CB$1,main!$A$3:$H$102,7,FALSE)=main!$G$104,VLOOKUP(CB$1,main!$A$3:$H$102,5,FALSE)-VLOOKUP($A189,main!$A$3:$H$102,6,FALSE)&gt;=main!$D$103+VLOOKUP(VLOOKUP(CB$1,main!$A$3:$I$102,7,FALSE),main!$K$26:$Q$29,4,FALSE)),1,0)</f>
        <v>0</v>
      </c>
      <c r="CC189">
        <f>IF(AND(VLOOKUP(CC$1,main!$A$3:$H$102,7,FALSE)=main!$G$104,VLOOKUP(CC$1,main!$A$3:$H$102,5,FALSE)-VLOOKUP($A189,main!$A$3:$H$102,6,FALSE)&gt;=main!$D$103+VLOOKUP(VLOOKUP(CC$1,main!$A$3:$I$102,7,FALSE),main!$K$26:$Q$29,4,FALSE)),1,0)</f>
        <v>0</v>
      </c>
      <c r="CD189">
        <f>IF(AND(VLOOKUP(CD$1,main!$A$3:$H$102,7,FALSE)=main!$G$104,VLOOKUP(CD$1,main!$A$3:$H$102,5,FALSE)-VLOOKUP($A189,main!$A$3:$H$102,6,FALSE)&gt;=main!$D$103+VLOOKUP(VLOOKUP(CD$1,main!$A$3:$I$102,7,FALSE),main!$K$26:$Q$29,4,FALSE)),1,0)</f>
        <v>0</v>
      </c>
      <c r="CE189">
        <f>IF(AND(VLOOKUP(CE$1,main!$A$3:$H$102,7,FALSE)=main!$G$104,VLOOKUP(CE$1,main!$A$3:$H$102,5,FALSE)-VLOOKUP($A189,main!$A$3:$H$102,6,FALSE)&gt;=main!$D$103+VLOOKUP(VLOOKUP(CE$1,main!$A$3:$I$102,7,FALSE),main!$K$26:$Q$29,4,FALSE)),1,0)</f>
        <v>0</v>
      </c>
      <c r="CF189">
        <f>IF(AND(VLOOKUP(CF$1,main!$A$3:$H$102,7,FALSE)=main!$G$104,VLOOKUP(CF$1,main!$A$3:$H$102,5,FALSE)-VLOOKUP($A189,main!$A$3:$H$102,6,FALSE)&gt;=main!$D$103+VLOOKUP(VLOOKUP(CF$1,main!$A$3:$I$102,7,FALSE),main!$K$26:$Q$29,4,FALSE)),1,0)</f>
        <v>0</v>
      </c>
      <c r="CG189">
        <f>IF(AND(VLOOKUP(CG$1,main!$A$3:$H$102,7,FALSE)=main!$G$104,VLOOKUP(CG$1,main!$A$3:$H$102,5,FALSE)-VLOOKUP($A189,main!$A$3:$H$102,6,FALSE)&gt;=main!$D$103+VLOOKUP(VLOOKUP(CG$1,main!$A$3:$I$102,7,FALSE),main!$K$26:$Q$29,4,FALSE)),1,0)</f>
        <v>0</v>
      </c>
      <c r="CH189">
        <f>IF(AND(VLOOKUP(CH$1,main!$A$3:$H$102,7,FALSE)=main!$G$104,VLOOKUP(CH$1,main!$A$3:$H$102,5,FALSE)-VLOOKUP($A189,main!$A$3:$H$102,6,FALSE)&gt;=main!$D$103+VLOOKUP(VLOOKUP(CH$1,main!$A$3:$I$102,7,FALSE),main!$K$26:$Q$29,4,FALSE)),1,0)</f>
        <v>0</v>
      </c>
      <c r="CI189">
        <f>IF(AND(VLOOKUP(CI$1,main!$A$3:$H$102,7,FALSE)=main!$G$104,VLOOKUP(CI$1,main!$A$3:$H$102,5,FALSE)-VLOOKUP($A189,main!$A$3:$H$102,6,FALSE)&gt;=main!$D$103+VLOOKUP(VLOOKUP(CI$1,main!$A$3:$I$102,7,FALSE),main!$K$26:$Q$29,4,FALSE)),1,0)</f>
        <v>0</v>
      </c>
      <c r="CJ189">
        <f>IF(AND(VLOOKUP(CJ$1,main!$A$3:$H$102,7,FALSE)=main!$G$104,VLOOKUP(CJ$1,main!$A$3:$H$102,5,FALSE)-VLOOKUP($A189,main!$A$3:$H$102,6,FALSE)&gt;=main!$D$103+VLOOKUP(VLOOKUP(CJ$1,main!$A$3:$I$102,7,FALSE),main!$K$26:$Q$29,4,FALSE)),1,0)</f>
        <v>0</v>
      </c>
      <c r="CK189">
        <f>IF(AND(VLOOKUP(CK$1,main!$A$3:$H$102,7,FALSE)=main!$G$104,VLOOKUP(CK$1,main!$A$3:$H$102,5,FALSE)-VLOOKUP($A189,main!$A$3:$H$102,6,FALSE)&gt;=main!$D$103+VLOOKUP(VLOOKUP(CK$1,main!$A$3:$I$102,7,FALSE),main!$K$26:$Q$29,4,FALSE)),1,0)</f>
        <v>0</v>
      </c>
      <c r="CL189">
        <f>IF(AND(VLOOKUP(CL$1,main!$A$3:$H$102,7,FALSE)=main!$G$104,VLOOKUP(CL$1,main!$A$3:$H$102,5,FALSE)-VLOOKUP($A189,main!$A$3:$H$102,6,FALSE)&gt;=main!$D$103+VLOOKUP(VLOOKUP(CL$1,main!$A$3:$I$102,7,FALSE),main!$K$26:$Q$29,4,FALSE)),1,0)</f>
        <v>0</v>
      </c>
      <c r="CM189">
        <f>IF(AND(VLOOKUP(CM$1,main!$A$3:$H$102,7,FALSE)=main!$G$104,VLOOKUP(CM$1,main!$A$3:$H$102,5,FALSE)-VLOOKUP($A189,main!$A$3:$H$102,6,FALSE)&gt;=main!$D$103+VLOOKUP(VLOOKUP(CM$1,main!$A$3:$I$102,7,FALSE),main!$K$26:$Q$29,4,FALSE)),1,0)</f>
        <v>0</v>
      </c>
      <c r="CN189">
        <f>IF(AND(VLOOKUP(CN$1,main!$A$3:$H$102,7,FALSE)=main!$G$104,VLOOKUP(CN$1,main!$A$3:$H$102,5,FALSE)-VLOOKUP($A189,main!$A$3:$H$102,6,FALSE)&gt;=main!$D$103+VLOOKUP(VLOOKUP(CN$1,main!$A$3:$I$102,7,FALSE),main!$K$26:$Q$29,4,FALSE)),1,0)</f>
        <v>0</v>
      </c>
      <c r="CO189">
        <f>IF(AND(VLOOKUP(CO$1,main!$A$3:$H$102,7,FALSE)=main!$G$104,VLOOKUP(CO$1,main!$A$3:$H$102,5,FALSE)-VLOOKUP($A189,main!$A$3:$H$102,6,FALSE)&gt;=main!$D$103+VLOOKUP(VLOOKUP(CO$1,main!$A$3:$I$102,7,FALSE),main!$K$26:$Q$29,4,FALSE)),1,0)</f>
        <v>0</v>
      </c>
      <c r="CP189">
        <f>IF(AND(VLOOKUP(CP$1,main!$A$3:$H$102,7,FALSE)=main!$G$104,VLOOKUP(CP$1,main!$A$3:$H$102,5,FALSE)-VLOOKUP($A189,main!$A$3:$H$102,6,FALSE)&gt;=main!$D$103+VLOOKUP(VLOOKUP(CP$1,main!$A$3:$I$102,7,FALSE),main!$K$26:$Q$29,4,FALSE)),1,0)</f>
        <v>0</v>
      </c>
      <c r="CQ189">
        <f>IF(AND(VLOOKUP(CQ$1,main!$A$3:$H$102,7,FALSE)=main!$G$104,VLOOKUP(CQ$1,main!$A$3:$H$102,5,FALSE)-VLOOKUP($A189,main!$A$3:$H$102,6,FALSE)&gt;=main!$D$103+VLOOKUP(VLOOKUP(CQ$1,main!$A$3:$I$102,7,FALSE),main!$K$26:$Q$29,4,FALSE)),1,0)</f>
        <v>0</v>
      </c>
      <c r="CR189">
        <f>IF(AND(VLOOKUP(CR$1,main!$A$3:$H$102,7,FALSE)=main!$G$104,VLOOKUP(CR$1,main!$A$3:$H$102,5,FALSE)-VLOOKUP($A189,main!$A$3:$H$102,6,FALSE)&gt;=main!$D$103+VLOOKUP(VLOOKUP(CR$1,main!$A$3:$I$102,7,FALSE),main!$K$26:$Q$29,4,FALSE)),1,0)</f>
        <v>0</v>
      </c>
      <c r="CS189">
        <f>IF(AND(VLOOKUP(CS$1,main!$A$3:$H$102,7,FALSE)=main!$G$104,VLOOKUP(CS$1,main!$A$3:$H$102,5,FALSE)-VLOOKUP($A189,main!$A$3:$H$102,6,FALSE)&gt;=main!$D$103+VLOOKUP(VLOOKUP(CS$1,main!$A$3:$I$102,7,FALSE),main!$K$26:$Q$29,4,FALSE)),1,0)</f>
        <v>0</v>
      </c>
      <c r="CT189">
        <f>IF(AND(VLOOKUP(CT$1,main!$A$3:$H$102,7,FALSE)=main!$G$104,VLOOKUP(CT$1,main!$A$3:$H$102,5,FALSE)-VLOOKUP($A189,main!$A$3:$H$102,6,FALSE)&gt;=main!$D$103+VLOOKUP(VLOOKUP(CT$1,main!$A$3:$I$102,7,FALSE),main!$K$26:$Q$29,4,FALSE)),1,0)</f>
        <v>0</v>
      </c>
      <c r="CU189">
        <f>IF(AND(VLOOKUP(CU$1,main!$A$3:$H$102,7,FALSE)=main!$G$104,VLOOKUP(CU$1,main!$A$3:$H$102,5,FALSE)-VLOOKUP($A189,main!$A$3:$H$102,6,FALSE)&gt;=main!$D$103+VLOOKUP(VLOOKUP(CU$1,main!$A$3:$I$102,7,FALSE),main!$K$26:$Q$29,4,FALSE)),1,0)</f>
        <v>0</v>
      </c>
      <c r="CV189">
        <f>IF(AND(VLOOKUP(CV$1,main!$A$3:$H$102,7,FALSE)=main!$G$104,VLOOKUP(CV$1,main!$A$3:$H$102,5,FALSE)-VLOOKUP($A189,main!$A$3:$H$102,6,FALSE)&gt;=main!$D$103+VLOOKUP(VLOOKUP(CV$1,main!$A$3:$I$102,7,FALSE),main!$K$26:$Q$29,4,FALSE)),1,0)</f>
        <v>0</v>
      </c>
      <c r="CW189">
        <f>IF(AND(VLOOKUP(CW$1,main!$A$3:$H$102,7,FALSE)=main!$G$104,VLOOKUP(CW$1,main!$A$3:$H$102,5,FALSE)-VLOOKUP($A189,main!$A$3:$H$102,6,FALSE)&gt;=main!$D$103+VLOOKUP(VLOOKUP(CW$1,main!$A$3:$I$102,7,FALSE),main!$K$26:$Q$29,4,FALSE)),1,0)</f>
        <v>0</v>
      </c>
      <c r="CX189">
        <f>IF(AND(VLOOKUP(CX$1,main!$A$3:$H$102,7,FALSE)=main!$G$104,VLOOKUP(CX$1,main!$A$3:$H$102,5,FALSE)-VLOOKUP($A189,main!$A$3:$H$102,6,FALSE)&gt;=main!$D$103+VLOOKUP(VLOOKUP(CX$1,main!$A$3:$I$102,7,FALSE),main!$K$26:$Q$29,4,FALSE)),1,0)</f>
        <v>0</v>
      </c>
    </row>
    <row r="190" spans="1:102" x14ac:dyDescent="0.25">
      <c r="A190" s="1">
        <v>87</v>
      </c>
      <c r="B190">
        <v>0</v>
      </c>
      <c r="C190">
        <f>IF(AND(VLOOKUP(C$1,main!$A$3:$H$102,7,FALSE)=main!$G$104,VLOOKUP(C$1,main!$A$3:$H$102,5,FALSE)-VLOOKUP($A190,main!$A$3:$H$102,6,FALSE)&gt;=main!$D$103+VLOOKUP(VLOOKUP(C$1,main!$A$3:$I$102,7,FALSE),main!$K$26:$Q$29,4,FALSE)),1,0)</f>
        <v>0</v>
      </c>
      <c r="D190">
        <f>IF(AND(VLOOKUP(D$1,main!$A$3:$H$102,7,FALSE)=main!$G$104,VLOOKUP(D$1,main!$A$3:$H$102,5,FALSE)-VLOOKUP($A190,main!$A$3:$H$102,6,FALSE)&gt;=main!$D$103+VLOOKUP(VLOOKUP(D$1,main!$A$3:$I$102,7,FALSE),main!$K$26:$Q$29,4,FALSE)),1,0)</f>
        <v>0</v>
      </c>
      <c r="E190">
        <f>IF(AND(VLOOKUP(E$1,main!$A$3:$H$102,7,FALSE)=main!$G$104,VLOOKUP(E$1,main!$A$3:$H$102,5,FALSE)-VLOOKUP($A190,main!$A$3:$H$102,6,FALSE)&gt;=main!$D$103+VLOOKUP(VLOOKUP(E$1,main!$A$3:$I$102,7,FALSE),main!$K$26:$Q$29,4,FALSE)),1,0)</f>
        <v>0</v>
      </c>
      <c r="F190">
        <f>IF(AND(VLOOKUP(F$1,main!$A$3:$H$102,7,FALSE)=main!$G$104,VLOOKUP(F$1,main!$A$3:$H$102,5,FALSE)-VLOOKUP($A190,main!$A$3:$H$102,6,FALSE)&gt;=main!$D$103+VLOOKUP(VLOOKUP(F$1,main!$A$3:$I$102,7,FALSE),main!$K$26:$Q$29,4,FALSE)),1,0)</f>
        <v>0</v>
      </c>
      <c r="G190">
        <f>IF(AND(VLOOKUP(G$1,main!$A$3:$H$102,7,FALSE)=main!$G$104,VLOOKUP(G$1,main!$A$3:$H$102,5,FALSE)-VLOOKUP($A190,main!$A$3:$H$102,6,FALSE)&gt;=main!$D$103+VLOOKUP(VLOOKUP(G$1,main!$A$3:$I$102,7,FALSE),main!$K$26:$Q$29,4,FALSE)),1,0)</f>
        <v>1</v>
      </c>
      <c r="H190">
        <f>IF(AND(VLOOKUP(H$1,main!$A$3:$H$102,7,FALSE)=main!$G$104,VLOOKUP(H$1,main!$A$3:$H$102,5,FALSE)-VLOOKUP($A190,main!$A$3:$H$102,6,FALSE)&gt;=main!$D$103+VLOOKUP(VLOOKUP(H$1,main!$A$3:$I$102,7,FALSE),main!$K$26:$Q$29,4,FALSE)),1,0)</f>
        <v>1</v>
      </c>
      <c r="I190">
        <f>IF(AND(VLOOKUP(I$1,main!$A$3:$H$102,7,FALSE)=main!$G$104,VLOOKUP(I$1,main!$A$3:$H$102,5,FALSE)-VLOOKUP($A190,main!$A$3:$H$102,6,FALSE)&gt;=main!$D$103+VLOOKUP(VLOOKUP(I$1,main!$A$3:$I$102,7,FALSE),main!$K$26:$Q$29,4,FALSE)),1,0)</f>
        <v>1</v>
      </c>
      <c r="J190">
        <f>IF(AND(VLOOKUP(J$1,main!$A$3:$H$102,7,FALSE)=main!$G$104,VLOOKUP(J$1,main!$A$3:$H$102,5,FALSE)-VLOOKUP($A190,main!$A$3:$H$102,6,FALSE)&gt;=main!$D$103+VLOOKUP(VLOOKUP(J$1,main!$A$3:$I$102,7,FALSE),main!$K$26:$Q$29,4,FALSE)),1,0)</f>
        <v>1</v>
      </c>
      <c r="K190">
        <f>IF(AND(VLOOKUP(K$1,main!$A$3:$H$102,7,FALSE)=main!$G$104,VLOOKUP(K$1,main!$A$3:$H$102,5,FALSE)-VLOOKUP($A190,main!$A$3:$H$102,6,FALSE)&gt;=main!$D$103+VLOOKUP(VLOOKUP(K$1,main!$A$3:$I$102,7,FALSE),main!$K$26:$Q$29,4,FALSE)),1,0)</f>
        <v>1</v>
      </c>
      <c r="L190">
        <f>IF(AND(VLOOKUP(L$1,main!$A$3:$H$102,7,FALSE)=main!$G$104,VLOOKUP(L$1,main!$A$3:$H$102,5,FALSE)-VLOOKUP($A190,main!$A$3:$H$102,6,FALSE)&gt;=main!$D$103+VLOOKUP(VLOOKUP(L$1,main!$A$3:$I$102,7,FALSE),main!$K$26:$Q$29,4,FALSE)),1,0)</f>
        <v>1</v>
      </c>
      <c r="M190">
        <f>IF(AND(VLOOKUP(M$1,main!$A$3:$H$102,7,FALSE)=main!$G$104,VLOOKUP(M$1,main!$A$3:$H$102,5,FALSE)-VLOOKUP($A190,main!$A$3:$H$102,6,FALSE)&gt;=main!$D$103+VLOOKUP(VLOOKUP(M$1,main!$A$3:$I$102,7,FALSE),main!$K$26:$Q$29,4,FALSE)),1,0)</f>
        <v>0</v>
      </c>
      <c r="N190">
        <f>IF(AND(VLOOKUP(N$1,main!$A$3:$H$102,7,FALSE)=main!$G$104,VLOOKUP(N$1,main!$A$3:$H$102,5,FALSE)-VLOOKUP($A190,main!$A$3:$H$102,6,FALSE)&gt;=main!$D$103+VLOOKUP(VLOOKUP(N$1,main!$A$3:$I$102,7,FALSE),main!$K$26:$Q$29,4,FALSE)),1,0)</f>
        <v>0</v>
      </c>
      <c r="O190">
        <f>IF(AND(VLOOKUP(O$1,main!$A$3:$H$102,7,FALSE)=main!$G$104,VLOOKUP(O$1,main!$A$3:$H$102,5,FALSE)-VLOOKUP($A190,main!$A$3:$H$102,6,FALSE)&gt;=main!$D$103+VLOOKUP(VLOOKUP(O$1,main!$A$3:$I$102,7,FALSE),main!$K$26:$Q$29,4,FALSE)),1,0)</f>
        <v>0</v>
      </c>
      <c r="P190">
        <f>IF(AND(VLOOKUP(P$1,main!$A$3:$H$102,7,FALSE)=main!$G$104,VLOOKUP(P$1,main!$A$3:$H$102,5,FALSE)-VLOOKUP($A190,main!$A$3:$H$102,6,FALSE)&gt;=main!$D$103+VLOOKUP(VLOOKUP(P$1,main!$A$3:$I$102,7,FALSE),main!$K$26:$Q$29,4,FALSE)),1,0)</f>
        <v>0</v>
      </c>
      <c r="Q190">
        <f>IF(AND(VLOOKUP(Q$1,main!$A$3:$H$102,7,FALSE)=main!$G$104,VLOOKUP(Q$1,main!$A$3:$H$102,5,FALSE)-VLOOKUP($A190,main!$A$3:$H$102,6,FALSE)&gt;=main!$D$103+VLOOKUP(VLOOKUP(Q$1,main!$A$3:$I$102,7,FALSE),main!$K$26:$Q$29,4,FALSE)),1,0)</f>
        <v>0</v>
      </c>
      <c r="R190">
        <f>IF(AND(VLOOKUP(R$1,main!$A$3:$H$102,7,FALSE)=main!$G$104,VLOOKUP(R$1,main!$A$3:$H$102,5,FALSE)-VLOOKUP($A190,main!$A$3:$H$102,6,FALSE)&gt;=main!$D$103+VLOOKUP(VLOOKUP(R$1,main!$A$3:$I$102,7,FALSE),main!$K$26:$Q$29,4,FALSE)),1,0)</f>
        <v>0</v>
      </c>
      <c r="S190">
        <f>IF(AND(VLOOKUP(S$1,main!$A$3:$H$102,7,FALSE)=main!$G$104,VLOOKUP(S$1,main!$A$3:$H$102,5,FALSE)-VLOOKUP($A190,main!$A$3:$H$102,6,FALSE)&gt;=main!$D$103+VLOOKUP(VLOOKUP(S$1,main!$A$3:$I$102,7,FALSE),main!$K$26:$Q$29,4,FALSE)),1,0)</f>
        <v>1</v>
      </c>
      <c r="T190">
        <f>IF(AND(VLOOKUP(T$1,main!$A$3:$H$102,7,FALSE)=main!$G$104,VLOOKUP(T$1,main!$A$3:$H$102,5,FALSE)-VLOOKUP($A190,main!$A$3:$H$102,6,FALSE)&gt;=main!$D$103+VLOOKUP(VLOOKUP(T$1,main!$A$3:$I$102,7,FALSE),main!$K$26:$Q$29,4,FALSE)),1,0)</f>
        <v>1</v>
      </c>
      <c r="U190">
        <f>IF(AND(VLOOKUP(U$1,main!$A$3:$H$102,7,FALSE)=main!$G$104,VLOOKUP(U$1,main!$A$3:$H$102,5,FALSE)-VLOOKUP($A190,main!$A$3:$H$102,6,FALSE)&gt;=main!$D$103+VLOOKUP(VLOOKUP(U$1,main!$A$3:$I$102,7,FALSE),main!$K$26:$Q$29,4,FALSE)),1,0)</f>
        <v>1</v>
      </c>
      <c r="V190">
        <f>IF(AND(VLOOKUP(V$1,main!$A$3:$H$102,7,FALSE)=main!$G$104,VLOOKUP(V$1,main!$A$3:$H$102,5,FALSE)-VLOOKUP($A190,main!$A$3:$H$102,6,FALSE)&gt;=main!$D$103+VLOOKUP(VLOOKUP(V$1,main!$A$3:$I$102,7,FALSE),main!$K$26:$Q$29,4,FALSE)),1,0)</f>
        <v>1</v>
      </c>
      <c r="W190">
        <f>IF(AND(VLOOKUP(W$1,main!$A$3:$H$102,7,FALSE)=main!$G$104,VLOOKUP(W$1,main!$A$3:$H$102,5,FALSE)-VLOOKUP($A190,main!$A$3:$H$102,6,FALSE)&gt;=main!$D$103+VLOOKUP(VLOOKUP(W$1,main!$A$3:$I$102,7,FALSE),main!$K$26:$Q$29,4,FALSE)),1,0)</f>
        <v>0</v>
      </c>
      <c r="X190">
        <f>IF(AND(VLOOKUP(X$1,main!$A$3:$H$102,7,FALSE)=main!$G$104,VLOOKUP(X$1,main!$A$3:$H$102,5,FALSE)-VLOOKUP($A190,main!$A$3:$H$102,6,FALSE)&gt;=main!$D$103+VLOOKUP(VLOOKUP(X$1,main!$A$3:$I$102,7,FALSE),main!$K$26:$Q$29,4,FALSE)),1,0)</f>
        <v>0</v>
      </c>
      <c r="Y190">
        <f>IF(AND(VLOOKUP(Y$1,main!$A$3:$H$102,7,FALSE)=main!$G$104,VLOOKUP(Y$1,main!$A$3:$H$102,5,FALSE)-VLOOKUP($A190,main!$A$3:$H$102,6,FALSE)&gt;=main!$D$103+VLOOKUP(VLOOKUP(Y$1,main!$A$3:$I$102,7,FALSE),main!$K$26:$Q$29,4,FALSE)),1,0)</f>
        <v>0</v>
      </c>
      <c r="Z190">
        <f>IF(AND(VLOOKUP(Z$1,main!$A$3:$H$102,7,FALSE)=main!$G$104,VLOOKUP(Z$1,main!$A$3:$H$102,5,FALSE)-VLOOKUP($A190,main!$A$3:$H$102,6,FALSE)&gt;=main!$D$103+VLOOKUP(VLOOKUP(Z$1,main!$A$3:$I$102,7,FALSE),main!$K$26:$Q$29,4,FALSE)),1,0)</f>
        <v>1</v>
      </c>
      <c r="AA190">
        <f>IF(AND(VLOOKUP(AA$1,main!$A$3:$H$102,7,FALSE)=main!$G$104,VLOOKUP(AA$1,main!$A$3:$H$102,5,FALSE)-VLOOKUP($A190,main!$A$3:$H$102,6,FALSE)&gt;=main!$D$103+VLOOKUP(VLOOKUP(AA$1,main!$A$3:$I$102,7,FALSE),main!$K$26:$Q$29,4,FALSE)),1,0)</f>
        <v>1</v>
      </c>
      <c r="AB190">
        <f>IF(AND(VLOOKUP(AB$1,main!$A$3:$H$102,7,FALSE)=main!$G$104,VLOOKUP(AB$1,main!$A$3:$H$102,5,FALSE)-VLOOKUP($A190,main!$A$3:$H$102,6,FALSE)&gt;=main!$D$103+VLOOKUP(VLOOKUP(AB$1,main!$A$3:$I$102,7,FALSE),main!$K$26:$Q$29,4,FALSE)),1,0)</f>
        <v>0</v>
      </c>
      <c r="AC190">
        <f>IF(AND(VLOOKUP(AC$1,main!$A$3:$H$102,7,FALSE)=main!$G$104,VLOOKUP(AC$1,main!$A$3:$H$102,5,FALSE)-VLOOKUP($A190,main!$A$3:$H$102,6,FALSE)&gt;=main!$D$103+VLOOKUP(VLOOKUP(AC$1,main!$A$3:$I$102,7,FALSE),main!$K$26:$Q$29,4,FALSE)),1,0)</f>
        <v>0</v>
      </c>
      <c r="AD190">
        <f>IF(AND(VLOOKUP(AD$1,main!$A$3:$H$102,7,FALSE)=main!$G$104,VLOOKUP(AD$1,main!$A$3:$H$102,5,FALSE)-VLOOKUP($A190,main!$A$3:$H$102,6,FALSE)&gt;=main!$D$103+VLOOKUP(VLOOKUP(AD$1,main!$A$3:$I$102,7,FALSE),main!$K$26:$Q$29,4,FALSE)),1,0)</f>
        <v>0</v>
      </c>
      <c r="AE190">
        <f>IF(AND(VLOOKUP(AE$1,main!$A$3:$H$102,7,FALSE)=main!$G$104,VLOOKUP(AE$1,main!$A$3:$H$102,5,FALSE)-VLOOKUP($A190,main!$A$3:$H$102,6,FALSE)&gt;=main!$D$103+VLOOKUP(VLOOKUP(AE$1,main!$A$3:$I$102,7,FALSE),main!$K$26:$Q$29,4,FALSE)),1,0)</f>
        <v>1</v>
      </c>
      <c r="AF190">
        <f>IF(AND(VLOOKUP(AF$1,main!$A$3:$H$102,7,FALSE)=main!$G$104,VLOOKUP(AF$1,main!$A$3:$H$102,5,FALSE)-VLOOKUP($A190,main!$A$3:$H$102,6,FALSE)&gt;=main!$D$103+VLOOKUP(VLOOKUP(AF$1,main!$A$3:$I$102,7,FALSE),main!$K$26:$Q$29,4,FALSE)),1,0)</f>
        <v>1</v>
      </c>
      <c r="AG190">
        <f>IF(AND(VLOOKUP(AG$1,main!$A$3:$H$102,7,FALSE)=main!$G$104,VLOOKUP(AG$1,main!$A$3:$H$102,5,FALSE)-VLOOKUP($A190,main!$A$3:$H$102,6,FALSE)&gt;=main!$D$103+VLOOKUP(VLOOKUP(AG$1,main!$A$3:$I$102,7,FALSE),main!$K$26:$Q$29,4,FALSE)),1,0)</f>
        <v>0</v>
      </c>
      <c r="AH190">
        <f>IF(AND(VLOOKUP(AH$1,main!$A$3:$H$102,7,FALSE)=main!$G$104,VLOOKUP(AH$1,main!$A$3:$H$102,5,FALSE)-VLOOKUP($A190,main!$A$3:$H$102,6,FALSE)&gt;=main!$D$103+VLOOKUP(VLOOKUP(AH$1,main!$A$3:$I$102,7,FALSE),main!$K$26:$Q$29,4,FALSE)),1,0)</f>
        <v>0</v>
      </c>
      <c r="AI190">
        <f>IF(AND(VLOOKUP(AI$1,main!$A$3:$H$102,7,FALSE)=main!$G$104,VLOOKUP(AI$1,main!$A$3:$H$102,5,FALSE)-VLOOKUP($A190,main!$A$3:$H$102,6,FALSE)&gt;=main!$D$103+VLOOKUP(VLOOKUP(AI$1,main!$A$3:$I$102,7,FALSE),main!$K$26:$Q$29,4,FALSE)),1,0)</f>
        <v>0</v>
      </c>
      <c r="AJ190">
        <f>IF(AND(VLOOKUP(AJ$1,main!$A$3:$H$102,7,FALSE)=main!$G$104,VLOOKUP(AJ$1,main!$A$3:$H$102,5,FALSE)-VLOOKUP($A190,main!$A$3:$H$102,6,FALSE)&gt;=main!$D$103+VLOOKUP(VLOOKUP(AJ$1,main!$A$3:$I$102,7,FALSE),main!$K$26:$Q$29,4,FALSE)),1,0)</f>
        <v>0</v>
      </c>
      <c r="AK190">
        <f>IF(AND(VLOOKUP(AK$1,main!$A$3:$H$102,7,FALSE)=main!$G$104,VLOOKUP(AK$1,main!$A$3:$H$102,5,FALSE)-VLOOKUP($A190,main!$A$3:$H$102,6,FALSE)&gt;=main!$D$103+VLOOKUP(VLOOKUP(AK$1,main!$A$3:$I$102,7,FALSE),main!$K$26:$Q$29,4,FALSE)),1,0)</f>
        <v>0</v>
      </c>
      <c r="AL190">
        <f>IF(AND(VLOOKUP(AL$1,main!$A$3:$H$102,7,FALSE)=main!$G$104,VLOOKUP(AL$1,main!$A$3:$H$102,5,FALSE)-VLOOKUP($A190,main!$A$3:$H$102,6,FALSE)&gt;=main!$D$103+VLOOKUP(VLOOKUP(AL$1,main!$A$3:$I$102,7,FALSE),main!$K$26:$Q$29,4,FALSE)),1,0)</f>
        <v>0</v>
      </c>
      <c r="AM190">
        <f>IF(AND(VLOOKUP(AM$1,main!$A$3:$H$102,7,FALSE)=main!$G$104,VLOOKUP(AM$1,main!$A$3:$H$102,5,FALSE)-VLOOKUP($A190,main!$A$3:$H$102,6,FALSE)&gt;=main!$D$103+VLOOKUP(VLOOKUP(AM$1,main!$A$3:$I$102,7,FALSE),main!$K$26:$Q$29,4,FALSE)),1,0)</f>
        <v>0</v>
      </c>
      <c r="AN190">
        <f>IF(AND(VLOOKUP(AN$1,main!$A$3:$H$102,7,FALSE)=main!$G$104,VLOOKUP(AN$1,main!$A$3:$H$102,5,FALSE)-VLOOKUP($A190,main!$A$3:$H$102,6,FALSE)&gt;=main!$D$103+VLOOKUP(VLOOKUP(AN$1,main!$A$3:$I$102,7,FALSE),main!$K$26:$Q$29,4,FALSE)),1,0)</f>
        <v>0</v>
      </c>
      <c r="AO190">
        <f>IF(AND(VLOOKUP(AO$1,main!$A$3:$H$102,7,FALSE)=main!$G$104,VLOOKUP(AO$1,main!$A$3:$H$102,5,FALSE)-VLOOKUP($A190,main!$A$3:$H$102,6,FALSE)&gt;=main!$D$103+VLOOKUP(VLOOKUP(AO$1,main!$A$3:$I$102,7,FALSE),main!$K$26:$Q$29,4,FALSE)),1,0)</f>
        <v>0</v>
      </c>
      <c r="AP190">
        <f>IF(AND(VLOOKUP(AP$1,main!$A$3:$H$102,7,FALSE)=main!$G$104,VLOOKUP(AP$1,main!$A$3:$H$102,5,FALSE)-VLOOKUP($A190,main!$A$3:$H$102,6,FALSE)&gt;=main!$D$103+VLOOKUP(VLOOKUP(AP$1,main!$A$3:$I$102,7,FALSE),main!$K$26:$Q$29,4,FALSE)),1,0)</f>
        <v>0</v>
      </c>
      <c r="AQ190">
        <f>IF(AND(VLOOKUP(AQ$1,main!$A$3:$H$102,7,FALSE)=main!$G$104,VLOOKUP(AQ$1,main!$A$3:$H$102,5,FALSE)-VLOOKUP($A190,main!$A$3:$H$102,6,FALSE)&gt;=main!$D$103+VLOOKUP(VLOOKUP(AQ$1,main!$A$3:$I$102,7,FALSE),main!$K$26:$Q$29,4,FALSE)),1,0)</f>
        <v>0</v>
      </c>
      <c r="AR190">
        <f>IF(AND(VLOOKUP(AR$1,main!$A$3:$H$102,7,FALSE)=main!$G$104,VLOOKUP(AR$1,main!$A$3:$H$102,5,FALSE)-VLOOKUP($A190,main!$A$3:$H$102,6,FALSE)&gt;=main!$D$103+VLOOKUP(VLOOKUP(AR$1,main!$A$3:$I$102,7,FALSE),main!$K$26:$Q$29,4,FALSE)),1,0)</f>
        <v>0</v>
      </c>
      <c r="AS190">
        <f>IF(AND(VLOOKUP(AS$1,main!$A$3:$H$102,7,FALSE)=main!$G$104,VLOOKUP(AS$1,main!$A$3:$H$102,5,FALSE)-VLOOKUP($A190,main!$A$3:$H$102,6,FALSE)&gt;=main!$D$103+VLOOKUP(VLOOKUP(AS$1,main!$A$3:$I$102,7,FALSE),main!$K$26:$Q$29,4,FALSE)),1,0)</f>
        <v>0</v>
      </c>
      <c r="AT190">
        <f>IF(AND(VLOOKUP(AT$1,main!$A$3:$H$102,7,FALSE)=main!$G$104,VLOOKUP(AT$1,main!$A$3:$H$102,5,FALSE)-VLOOKUP($A190,main!$A$3:$H$102,6,FALSE)&gt;=main!$D$103+VLOOKUP(VLOOKUP(AT$1,main!$A$3:$I$102,7,FALSE),main!$K$26:$Q$29,4,FALSE)),1,0)</f>
        <v>0</v>
      </c>
      <c r="AU190">
        <f>IF(AND(VLOOKUP(AU$1,main!$A$3:$H$102,7,FALSE)=main!$G$104,VLOOKUP(AU$1,main!$A$3:$H$102,5,FALSE)-VLOOKUP($A190,main!$A$3:$H$102,6,FALSE)&gt;=main!$D$103+VLOOKUP(VLOOKUP(AU$1,main!$A$3:$I$102,7,FALSE),main!$K$26:$Q$29,4,FALSE)),1,0)</f>
        <v>0</v>
      </c>
      <c r="AV190">
        <f>IF(AND(VLOOKUP(AV$1,main!$A$3:$H$102,7,FALSE)=main!$G$104,VLOOKUP(AV$1,main!$A$3:$H$102,5,FALSE)-VLOOKUP($A190,main!$A$3:$H$102,6,FALSE)&gt;=main!$D$103+VLOOKUP(VLOOKUP(AV$1,main!$A$3:$I$102,7,FALSE),main!$K$26:$Q$29,4,FALSE)),1,0)</f>
        <v>0</v>
      </c>
      <c r="AW190">
        <f>IF(AND(VLOOKUP(AW$1,main!$A$3:$H$102,7,FALSE)=main!$G$104,VLOOKUP(AW$1,main!$A$3:$H$102,5,FALSE)-VLOOKUP($A190,main!$A$3:$H$102,6,FALSE)&gt;=main!$D$103+VLOOKUP(VLOOKUP(AW$1,main!$A$3:$I$102,7,FALSE),main!$K$26:$Q$29,4,FALSE)),1,0)</f>
        <v>0</v>
      </c>
      <c r="AX190">
        <f>IF(AND(VLOOKUP(AX$1,main!$A$3:$H$102,7,FALSE)=main!$G$104,VLOOKUP(AX$1,main!$A$3:$H$102,5,FALSE)-VLOOKUP($A190,main!$A$3:$H$102,6,FALSE)&gt;=main!$D$103+VLOOKUP(VLOOKUP(AX$1,main!$A$3:$I$102,7,FALSE),main!$K$26:$Q$29,4,FALSE)),1,0)</f>
        <v>0</v>
      </c>
      <c r="AY190">
        <f>IF(AND(VLOOKUP(AY$1,main!$A$3:$H$102,7,FALSE)=main!$G$104,VLOOKUP(AY$1,main!$A$3:$H$102,5,FALSE)-VLOOKUP($A190,main!$A$3:$H$102,6,FALSE)&gt;=main!$D$103+VLOOKUP(VLOOKUP(AY$1,main!$A$3:$I$102,7,FALSE),main!$K$26:$Q$29,4,FALSE)),1,0)</f>
        <v>0</v>
      </c>
      <c r="AZ190">
        <f>IF(AND(VLOOKUP(AZ$1,main!$A$3:$H$102,7,FALSE)=main!$G$104,VLOOKUP(AZ$1,main!$A$3:$H$102,5,FALSE)-VLOOKUP($A190,main!$A$3:$H$102,6,FALSE)&gt;=main!$D$103+VLOOKUP(VLOOKUP(AZ$1,main!$A$3:$I$102,7,FALSE),main!$K$26:$Q$29,4,FALSE)),1,0)</f>
        <v>0</v>
      </c>
      <c r="BA190">
        <f>IF(AND(VLOOKUP(BA$1,main!$A$3:$H$102,7,FALSE)=main!$G$104,VLOOKUP(BA$1,main!$A$3:$H$102,5,FALSE)-VLOOKUP($A190,main!$A$3:$H$102,6,FALSE)&gt;=main!$D$103+VLOOKUP(VLOOKUP(BA$1,main!$A$3:$I$102,7,FALSE),main!$K$26:$Q$29,4,FALSE)),1,0)</f>
        <v>0</v>
      </c>
      <c r="BB190">
        <f>IF(AND(VLOOKUP(BB$1,main!$A$3:$H$102,7,FALSE)=main!$G$104,VLOOKUP(BB$1,main!$A$3:$H$102,5,FALSE)-VLOOKUP($A190,main!$A$3:$H$102,6,FALSE)&gt;=main!$D$103+VLOOKUP(VLOOKUP(BB$1,main!$A$3:$I$102,7,FALSE),main!$K$26:$Q$29,4,FALSE)),1,0)</f>
        <v>0</v>
      </c>
      <c r="BC190">
        <f>IF(AND(VLOOKUP(BC$1,main!$A$3:$H$102,7,FALSE)=main!$G$104,VLOOKUP(BC$1,main!$A$3:$H$102,5,FALSE)-VLOOKUP($A190,main!$A$3:$H$102,6,FALSE)&gt;=main!$D$103+VLOOKUP(VLOOKUP(BC$1,main!$A$3:$I$102,7,FALSE),main!$K$26:$Q$29,4,FALSE)),1,0)</f>
        <v>0</v>
      </c>
      <c r="BD190">
        <f>IF(AND(VLOOKUP(BD$1,main!$A$3:$H$102,7,FALSE)=main!$G$104,VLOOKUP(BD$1,main!$A$3:$H$102,5,FALSE)-VLOOKUP($A190,main!$A$3:$H$102,6,FALSE)&gt;=main!$D$103+VLOOKUP(VLOOKUP(BD$1,main!$A$3:$I$102,7,FALSE),main!$K$26:$Q$29,4,FALSE)),1,0)</f>
        <v>0</v>
      </c>
      <c r="BE190">
        <f>IF(AND(VLOOKUP(BE$1,main!$A$3:$H$102,7,FALSE)=main!$G$104,VLOOKUP(BE$1,main!$A$3:$H$102,5,FALSE)-VLOOKUP($A190,main!$A$3:$H$102,6,FALSE)&gt;=main!$D$103+VLOOKUP(VLOOKUP(BE$1,main!$A$3:$I$102,7,FALSE),main!$K$26:$Q$29,4,FALSE)),1,0)</f>
        <v>0</v>
      </c>
      <c r="BF190">
        <f>IF(AND(VLOOKUP(BF$1,main!$A$3:$H$102,7,FALSE)=main!$G$104,VLOOKUP(BF$1,main!$A$3:$H$102,5,FALSE)-VLOOKUP($A190,main!$A$3:$H$102,6,FALSE)&gt;=main!$D$103+VLOOKUP(VLOOKUP(BF$1,main!$A$3:$I$102,7,FALSE),main!$K$26:$Q$29,4,FALSE)),1,0)</f>
        <v>0</v>
      </c>
      <c r="BG190">
        <f>IF(AND(VLOOKUP(BG$1,main!$A$3:$H$102,7,FALSE)=main!$G$104,VLOOKUP(BG$1,main!$A$3:$H$102,5,FALSE)-VLOOKUP($A190,main!$A$3:$H$102,6,FALSE)&gt;=main!$D$103+VLOOKUP(VLOOKUP(BG$1,main!$A$3:$I$102,7,FALSE),main!$K$26:$Q$29,4,FALSE)),1,0)</f>
        <v>0</v>
      </c>
      <c r="BH190">
        <f>IF(AND(VLOOKUP(BH$1,main!$A$3:$H$102,7,FALSE)=main!$G$104,VLOOKUP(BH$1,main!$A$3:$H$102,5,FALSE)-VLOOKUP($A190,main!$A$3:$H$102,6,FALSE)&gt;=main!$D$103+VLOOKUP(VLOOKUP(BH$1,main!$A$3:$I$102,7,FALSE),main!$K$26:$Q$29,4,FALSE)),1,0)</f>
        <v>0</v>
      </c>
      <c r="BI190">
        <f>IF(AND(VLOOKUP(BI$1,main!$A$3:$H$102,7,FALSE)=main!$G$104,VLOOKUP(BI$1,main!$A$3:$H$102,5,FALSE)-VLOOKUP($A190,main!$A$3:$H$102,6,FALSE)&gt;=main!$D$103+VLOOKUP(VLOOKUP(BI$1,main!$A$3:$I$102,7,FALSE),main!$K$26:$Q$29,4,FALSE)),1,0)</f>
        <v>0</v>
      </c>
      <c r="BJ190">
        <f>IF(AND(VLOOKUP(BJ$1,main!$A$3:$H$102,7,FALSE)=main!$G$104,VLOOKUP(BJ$1,main!$A$3:$H$102,5,FALSE)-VLOOKUP($A190,main!$A$3:$H$102,6,FALSE)&gt;=main!$D$103+VLOOKUP(VLOOKUP(BJ$1,main!$A$3:$I$102,7,FALSE),main!$K$26:$Q$29,4,FALSE)),1,0)</f>
        <v>0</v>
      </c>
      <c r="BK190">
        <f>IF(AND(VLOOKUP(BK$1,main!$A$3:$H$102,7,FALSE)=main!$G$104,VLOOKUP(BK$1,main!$A$3:$H$102,5,FALSE)-VLOOKUP($A190,main!$A$3:$H$102,6,FALSE)&gt;=main!$D$103+VLOOKUP(VLOOKUP(BK$1,main!$A$3:$I$102,7,FALSE),main!$K$26:$Q$29,4,FALSE)),1,0)</f>
        <v>0</v>
      </c>
      <c r="BL190">
        <f>IF(AND(VLOOKUP(BL$1,main!$A$3:$H$102,7,FALSE)=main!$G$104,VLOOKUP(BL$1,main!$A$3:$H$102,5,FALSE)-VLOOKUP($A190,main!$A$3:$H$102,6,FALSE)&gt;=main!$D$103+VLOOKUP(VLOOKUP(BL$1,main!$A$3:$I$102,7,FALSE),main!$K$26:$Q$29,4,FALSE)),1,0)</f>
        <v>0</v>
      </c>
      <c r="BM190">
        <f>IF(AND(VLOOKUP(BM$1,main!$A$3:$H$102,7,FALSE)=main!$G$104,VLOOKUP(BM$1,main!$A$3:$H$102,5,FALSE)-VLOOKUP($A190,main!$A$3:$H$102,6,FALSE)&gt;=main!$D$103+VLOOKUP(VLOOKUP(BM$1,main!$A$3:$I$102,7,FALSE),main!$K$26:$Q$29,4,FALSE)),1,0)</f>
        <v>0</v>
      </c>
      <c r="BN190">
        <f>IF(AND(VLOOKUP(BN$1,main!$A$3:$H$102,7,FALSE)=main!$G$104,VLOOKUP(BN$1,main!$A$3:$H$102,5,FALSE)-VLOOKUP($A190,main!$A$3:$H$102,6,FALSE)&gt;=main!$D$103+VLOOKUP(VLOOKUP(BN$1,main!$A$3:$I$102,7,FALSE),main!$K$26:$Q$29,4,FALSE)),1,0)</f>
        <v>0</v>
      </c>
      <c r="BO190">
        <f>IF(AND(VLOOKUP(BO$1,main!$A$3:$H$102,7,FALSE)=main!$G$104,VLOOKUP(BO$1,main!$A$3:$H$102,5,FALSE)-VLOOKUP($A190,main!$A$3:$H$102,6,FALSE)&gt;=main!$D$103+VLOOKUP(VLOOKUP(BO$1,main!$A$3:$I$102,7,FALSE),main!$K$26:$Q$29,4,FALSE)),1,0)</f>
        <v>0</v>
      </c>
      <c r="BP190">
        <f>IF(AND(VLOOKUP(BP$1,main!$A$3:$H$102,7,FALSE)=main!$G$104,VLOOKUP(BP$1,main!$A$3:$H$102,5,FALSE)-VLOOKUP($A190,main!$A$3:$H$102,6,FALSE)&gt;=main!$D$103+VLOOKUP(VLOOKUP(BP$1,main!$A$3:$I$102,7,FALSE),main!$K$26:$Q$29,4,FALSE)),1,0)</f>
        <v>0</v>
      </c>
      <c r="BQ190">
        <f>IF(AND(VLOOKUP(BQ$1,main!$A$3:$H$102,7,FALSE)=main!$G$104,VLOOKUP(BQ$1,main!$A$3:$H$102,5,FALSE)-VLOOKUP($A190,main!$A$3:$H$102,6,FALSE)&gt;=main!$D$103+VLOOKUP(VLOOKUP(BQ$1,main!$A$3:$I$102,7,FALSE),main!$K$26:$Q$29,4,FALSE)),1,0)</f>
        <v>0</v>
      </c>
      <c r="BR190">
        <f>IF(AND(VLOOKUP(BR$1,main!$A$3:$H$102,7,FALSE)=main!$G$104,VLOOKUP(BR$1,main!$A$3:$H$102,5,FALSE)-VLOOKUP($A190,main!$A$3:$H$102,6,FALSE)&gt;=main!$D$103+VLOOKUP(VLOOKUP(BR$1,main!$A$3:$I$102,7,FALSE),main!$K$26:$Q$29,4,FALSE)),1,0)</f>
        <v>0</v>
      </c>
      <c r="BS190">
        <f>IF(AND(VLOOKUP(BS$1,main!$A$3:$H$102,7,FALSE)=main!$G$104,VLOOKUP(BS$1,main!$A$3:$H$102,5,FALSE)-VLOOKUP($A190,main!$A$3:$H$102,6,FALSE)&gt;=main!$D$103+VLOOKUP(VLOOKUP(BS$1,main!$A$3:$I$102,7,FALSE),main!$K$26:$Q$29,4,FALSE)),1,0)</f>
        <v>0</v>
      </c>
      <c r="BT190">
        <f>IF(AND(VLOOKUP(BT$1,main!$A$3:$H$102,7,FALSE)=main!$G$104,VLOOKUP(BT$1,main!$A$3:$H$102,5,FALSE)-VLOOKUP($A190,main!$A$3:$H$102,6,FALSE)&gt;=main!$D$103+VLOOKUP(VLOOKUP(BT$1,main!$A$3:$I$102,7,FALSE),main!$K$26:$Q$29,4,FALSE)),1,0)</f>
        <v>0</v>
      </c>
      <c r="BU190">
        <f>IF(AND(VLOOKUP(BU$1,main!$A$3:$H$102,7,FALSE)=main!$G$104,VLOOKUP(BU$1,main!$A$3:$H$102,5,FALSE)-VLOOKUP($A190,main!$A$3:$H$102,6,FALSE)&gt;=main!$D$103+VLOOKUP(VLOOKUP(BU$1,main!$A$3:$I$102,7,FALSE),main!$K$26:$Q$29,4,FALSE)),1,0)</f>
        <v>0</v>
      </c>
      <c r="BV190">
        <f>IF(AND(VLOOKUP(BV$1,main!$A$3:$H$102,7,FALSE)=main!$G$104,VLOOKUP(BV$1,main!$A$3:$H$102,5,FALSE)-VLOOKUP($A190,main!$A$3:$H$102,6,FALSE)&gt;=main!$D$103+VLOOKUP(VLOOKUP(BV$1,main!$A$3:$I$102,7,FALSE),main!$K$26:$Q$29,4,FALSE)),1,0)</f>
        <v>0</v>
      </c>
      <c r="BW190">
        <f>IF(AND(VLOOKUP(BW$1,main!$A$3:$H$102,7,FALSE)=main!$G$104,VLOOKUP(BW$1,main!$A$3:$H$102,5,FALSE)-VLOOKUP($A190,main!$A$3:$H$102,6,FALSE)&gt;=main!$D$103+VLOOKUP(VLOOKUP(BW$1,main!$A$3:$I$102,7,FALSE),main!$K$26:$Q$29,4,FALSE)),1,0)</f>
        <v>0</v>
      </c>
      <c r="BX190">
        <f>IF(AND(VLOOKUP(BX$1,main!$A$3:$H$102,7,FALSE)=main!$G$104,VLOOKUP(BX$1,main!$A$3:$H$102,5,FALSE)-VLOOKUP($A190,main!$A$3:$H$102,6,FALSE)&gt;=main!$D$103+VLOOKUP(VLOOKUP(BX$1,main!$A$3:$I$102,7,FALSE),main!$K$26:$Q$29,4,FALSE)),1,0)</f>
        <v>0</v>
      </c>
      <c r="BY190">
        <f>IF(AND(VLOOKUP(BY$1,main!$A$3:$H$102,7,FALSE)=main!$G$104,VLOOKUP(BY$1,main!$A$3:$H$102,5,FALSE)-VLOOKUP($A190,main!$A$3:$H$102,6,FALSE)&gt;=main!$D$103+VLOOKUP(VLOOKUP(BY$1,main!$A$3:$I$102,7,FALSE),main!$K$26:$Q$29,4,FALSE)),1,0)</f>
        <v>0</v>
      </c>
      <c r="BZ190">
        <f>IF(AND(VLOOKUP(BZ$1,main!$A$3:$H$102,7,FALSE)=main!$G$104,VLOOKUP(BZ$1,main!$A$3:$H$102,5,FALSE)-VLOOKUP($A190,main!$A$3:$H$102,6,FALSE)&gt;=main!$D$103+VLOOKUP(VLOOKUP(BZ$1,main!$A$3:$I$102,7,FALSE),main!$K$26:$Q$29,4,FALSE)),1,0)</f>
        <v>0</v>
      </c>
      <c r="CA190">
        <f>IF(AND(VLOOKUP(CA$1,main!$A$3:$H$102,7,FALSE)=main!$G$104,VLOOKUP(CA$1,main!$A$3:$H$102,5,FALSE)-VLOOKUP($A190,main!$A$3:$H$102,6,FALSE)&gt;=main!$D$103+VLOOKUP(VLOOKUP(CA$1,main!$A$3:$I$102,7,FALSE),main!$K$26:$Q$29,4,FALSE)),1,0)</f>
        <v>0</v>
      </c>
      <c r="CB190">
        <f>IF(AND(VLOOKUP(CB$1,main!$A$3:$H$102,7,FALSE)=main!$G$104,VLOOKUP(CB$1,main!$A$3:$H$102,5,FALSE)-VLOOKUP($A190,main!$A$3:$H$102,6,FALSE)&gt;=main!$D$103+VLOOKUP(VLOOKUP(CB$1,main!$A$3:$I$102,7,FALSE),main!$K$26:$Q$29,4,FALSE)),1,0)</f>
        <v>0</v>
      </c>
      <c r="CC190">
        <f>IF(AND(VLOOKUP(CC$1,main!$A$3:$H$102,7,FALSE)=main!$G$104,VLOOKUP(CC$1,main!$A$3:$H$102,5,FALSE)-VLOOKUP($A190,main!$A$3:$H$102,6,FALSE)&gt;=main!$D$103+VLOOKUP(VLOOKUP(CC$1,main!$A$3:$I$102,7,FALSE),main!$K$26:$Q$29,4,FALSE)),1,0)</f>
        <v>0</v>
      </c>
      <c r="CD190">
        <f>IF(AND(VLOOKUP(CD$1,main!$A$3:$H$102,7,FALSE)=main!$G$104,VLOOKUP(CD$1,main!$A$3:$H$102,5,FALSE)-VLOOKUP($A190,main!$A$3:$H$102,6,FALSE)&gt;=main!$D$103+VLOOKUP(VLOOKUP(CD$1,main!$A$3:$I$102,7,FALSE),main!$K$26:$Q$29,4,FALSE)),1,0)</f>
        <v>0</v>
      </c>
      <c r="CE190">
        <f>IF(AND(VLOOKUP(CE$1,main!$A$3:$H$102,7,FALSE)=main!$G$104,VLOOKUP(CE$1,main!$A$3:$H$102,5,FALSE)-VLOOKUP($A190,main!$A$3:$H$102,6,FALSE)&gt;=main!$D$103+VLOOKUP(VLOOKUP(CE$1,main!$A$3:$I$102,7,FALSE),main!$K$26:$Q$29,4,FALSE)),1,0)</f>
        <v>0</v>
      </c>
      <c r="CF190">
        <f>IF(AND(VLOOKUP(CF$1,main!$A$3:$H$102,7,FALSE)=main!$G$104,VLOOKUP(CF$1,main!$A$3:$H$102,5,FALSE)-VLOOKUP($A190,main!$A$3:$H$102,6,FALSE)&gt;=main!$D$103+VLOOKUP(VLOOKUP(CF$1,main!$A$3:$I$102,7,FALSE),main!$K$26:$Q$29,4,FALSE)),1,0)</f>
        <v>0</v>
      </c>
      <c r="CG190">
        <f>IF(AND(VLOOKUP(CG$1,main!$A$3:$H$102,7,FALSE)=main!$G$104,VLOOKUP(CG$1,main!$A$3:$H$102,5,FALSE)-VLOOKUP($A190,main!$A$3:$H$102,6,FALSE)&gt;=main!$D$103+VLOOKUP(VLOOKUP(CG$1,main!$A$3:$I$102,7,FALSE),main!$K$26:$Q$29,4,FALSE)),1,0)</f>
        <v>0</v>
      </c>
      <c r="CH190">
        <f>IF(AND(VLOOKUP(CH$1,main!$A$3:$H$102,7,FALSE)=main!$G$104,VLOOKUP(CH$1,main!$A$3:$H$102,5,FALSE)-VLOOKUP($A190,main!$A$3:$H$102,6,FALSE)&gt;=main!$D$103+VLOOKUP(VLOOKUP(CH$1,main!$A$3:$I$102,7,FALSE),main!$K$26:$Q$29,4,FALSE)),1,0)</f>
        <v>0</v>
      </c>
      <c r="CI190">
        <f>IF(AND(VLOOKUP(CI$1,main!$A$3:$H$102,7,FALSE)=main!$G$104,VLOOKUP(CI$1,main!$A$3:$H$102,5,FALSE)-VLOOKUP($A190,main!$A$3:$H$102,6,FALSE)&gt;=main!$D$103+VLOOKUP(VLOOKUP(CI$1,main!$A$3:$I$102,7,FALSE),main!$K$26:$Q$29,4,FALSE)),1,0)</f>
        <v>0</v>
      </c>
      <c r="CJ190">
        <f>IF(AND(VLOOKUP(CJ$1,main!$A$3:$H$102,7,FALSE)=main!$G$104,VLOOKUP(CJ$1,main!$A$3:$H$102,5,FALSE)-VLOOKUP($A190,main!$A$3:$H$102,6,FALSE)&gt;=main!$D$103+VLOOKUP(VLOOKUP(CJ$1,main!$A$3:$I$102,7,FALSE),main!$K$26:$Q$29,4,FALSE)),1,0)</f>
        <v>0</v>
      </c>
      <c r="CK190">
        <f>IF(AND(VLOOKUP(CK$1,main!$A$3:$H$102,7,FALSE)=main!$G$104,VLOOKUP(CK$1,main!$A$3:$H$102,5,FALSE)-VLOOKUP($A190,main!$A$3:$H$102,6,FALSE)&gt;=main!$D$103+VLOOKUP(VLOOKUP(CK$1,main!$A$3:$I$102,7,FALSE),main!$K$26:$Q$29,4,FALSE)),1,0)</f>
        <v>0</v>
      </c>
      <c r="CL190">
        <f>IF(AND(VLOOKUP(CL$1,main!$A$3:$H$102,7,FALSE)=main!$G$104,VLOOKUP(CL$1,main!$A$3:$H$102,5,FALSE)-VLOOKUP($A190,main!$A$3:$H$102,6,FALSE)&gt;=main!$D$103+VLOOKUP(VLOOKUP(CL$1,main!$A$3:$I$102,7,FALSE),main!$K$26:$Q$29,4,FALSE)),1,0)</f>
        <v>0</v>
      </c>
      <c r="CM190">
        <f>IF(AND(VLOOKUP(CM$1,main!$A$3:$H$102,7,FALSE)=main!$G$104,VLOOKUP(CM$1,main!$A$3:$H$102,5,FALSE)-VLOOKUP($A190,main!$A$3:$H$102,6,FALSE)&gt;=main!$D$103+VLOOKUP(VLOOKUP(CM$1,main!$A$3:$I$102,7,FALSE),main!$K$26:$Q$29,4,FALSE)),1,0)</f>
        <v>0</v>
      </c>
      <c r="CN190">
        <f>IF(AND(VLOOKUP(CN$1,main!$A$3:$H$102,7,FALSE)=main!$G$104,VLOOKUP(CN$1,main!$A$3:$H$102,5,FALSE)-VLOOKUP($A190,main!$A$3:$H$102,6,FALSE)&gt;=main!$D$103+VLOOKUP(VLOOKUP(CN$1,main!$A$3:$I$102,7,FALSE),main!$K$26:$Q$29,4,FALSE)),1,0)</f>
        <v>0</v>
      </c>
      <c r="CO190">
        <f>IF(AND(VLOOKUP(CO$1,main!$A$3:$H$102,7,FALSE)=main!$G$104,VLOOKUP(CO$1,main!$A$3:$H$102,5,FALSE)-VLOOKUP($A190,main!$A$3:$H$102,6,FALSE)&gt;=main!$D$103+VLOOKUP(VLOOKUP(CO$1,main!$A$3:$I$102,7,FALSE),main!$K$26:$Q$29,4,FALSE)),1,0)</f>
        <v>0</v>
      </c>
      <c r="CP190">
        <f>IF(AND(VLOOKUP(CP$1,main!$A$3:$H$102,7,FALSE)=main!$G$104,VLOOKUP(CP$1,main!$A$3:$H$102,5,FALSE)-VLOOKUP($A190,main!$A$3:$H$102,6,FALSE)&gt;=main!$D$103+VLOOKUP(VLOOKUP(CP$1,main!$A$3:$I$102,7,FALSE),main!$K$26:$Q$29,4,FALSE)),1,0)</f>
        <v>0</v>
      </c>
      <c r="CQ190">
        <f>IF(AND(VLOOKUP(CQ$1,main!$A$3:$H$102,7,FALSE)=main!$G$104,VLOOKUP(CQ$1,main!$A$3:$H$102,5,FALSE)-VLOOKUP($A190,main!$A$3:$H$102,6,FALSE)&gt;=main!$D$103+VLOOKUP(VLOOKUP(CQ$1,main!$A$3:$I$102,7,FALSE),main!$K$26:$Q$29,4,FALSE)),1,0)</f>
        <v>0</v>
      </c>
      <c r="CR190">
        <f>IF(AND(VLOOKUP(CR$1,main!$A$3:$H$102,7,FALSE)=main!$G$104,VLOOKUP(CR$1,main!$A$3:$H$102,5,FALSE)-VLOOKUP($A190,main!$A$3:$H$102,6,FALSE)&gt;=main!$D$103+VLOOKUP(VLOOKUP(CR$1,main!$A$3:$I$102,7,FALSE),main!$K$26:$Q$29,4,FALSE)),1,0)</f>
        <v>0</v>
      </c>
      <c r="CS190">
        <f>IF(AND(VLOOKUP(CS$1,main!$A$3:$H$102,7,FALSE)=main!$G$104,VLOOKUP(CS$1,main!$A$3:$H$102,5,FALSE)-VLOOKUP($A190,main!$A$3:$H$102,6,FALSE)&gt;=main!$D$103+VLOOKUP(VLOOKUP(CS$1,main!$A$3:$I$102,7,FALSE),main!$K$26:$Q$29,4,FALSE)),1,0)</f>
        <v>0</v>
      </c>
      <c r="CT190">
        <f>IF(AND(VLOOKUP(CT$1,main!$A$3:$H$102,7,FALSE)=main!$G$104,VLOOKUP(CT$1,main!$A$3:$H$102,5,FALSE)-VLOOKUP($A190,main!$A$3:$H$102,6,FALSE)&gt;=main!$D$103+VLOOKUP(VLOOKUP(CT$1,main!$A$3:$I$102,7,FALSE),main!$K$26:$Q$29,4,FALSE)),1,0)</f>
        <v>0</v>
      </c>
      <c r="CU190">
        <f>IF(AND(VLOOKUP(CU$1,main!$A$3:$H$102,7,FALSE)=main!$G$104,VLOOKUP(CU$1,main!$A$3:$H$102,5,FALSE)-VLOOKUP($A190,main!$A$3:$H$102,6,FALSE)&gt;=main!$D$103+VLOOKUP(VLOOKUP(CU$1,main!$A$3:$I$102,7,FALSE),main!$K$26:$Q$29,4,FALSE)),1,0)</f>
        <v>0</v>
      </c>
      <c r="CV190">
        <f>IF(AND(VLOOKUP(CV$1,main!$A$3:$H$102,7,FALSE)=main!$G$104,VLOOKUP(CV$1,main!$A$3:$H$102,5,FALSE)-VLOOKUP($A190,main!$A$3:$H$102,6,FALSE)&gt;=main!$D$103+VLOOKUP(VLOOKUP(CV$1,main!$A$3:$I$102,7,FALSE),main!$K$26:$Q$29,4,FALSE)),1,0)</f>
        <v>0</v>
      </c>
      <c r="CW190">
        <f>IF(AND(VLOOKUP(CW$1,main!$A$3:$H$102,7,FALSE)=main!$G$104,VLOOKUP(CW$1,main!$A$3:$H$102,5,FALSE)-VLOOKUP($A190,main!$A$3:$H$102,6,FALSE)&gt;=main!$D$103+VLOOKUP(VLOOKUP(CW$1,main!$A$3:$I$102,7,FALSE),main!$K$26:$Q$29,4,FALSE)),1,0)</f>
        <v>0</v>
      </c>
      <c r="CX190">
        <f>IF(AND(VLOOKUP(CX$1,main!$A$3:$H$102,7,FALSE)=main!$G$104,VLOOKUP(CX$1,main!$A$3:$H$102,5,FALSE)-VLOOKUP($A190,main!$A$3:$H$102,6,FALSE)&gt;=main!$D$103+VLOOKUP(VLOOKUP(CX$1,main!$A$3:$I$102,7,FALSE),main!$K$26:$Q$29,4,FALSE)),1,0)</f>
        <v>0</v>
      </c>
    </row>
    <row r="191" spans="1:102" x14ac:dyDescent="0.25">
      <c r="A191" s="1">
        <v>88</v>
      </c>
      <c r="B191">
        <v>0</v>
      </c>
      <c r="C191">
        <f>IF(AND(VLOOKUP(C$1,main!$A$3:$H$102,7,FALSE)=main!$G$104,VLOOKUP(C$1,main!$A$3:$H$102,5,FALSE)-VLOOKUP($A191,main!$A$3:$H$102,6,FALSE)&gt;=main!$D$103+VLOOKUP(VLOOKUP(C$1,main!$A$3:$I$102,7,FALSE),main!$K$26:$Q$29,4,FALSE)),1,0)</f>
        <v>0</v>
      </c>
      <c r="D191">
        <f>IF(AND(VLOOKUP(D$1,main!$A$3:$H$102,7,FALSE)=main!$G$104,VLOOKUP(D$1,main!$A$3:$H$102,5,FALSE)-VLOOKUP($A191,main!$A$3:$H$102,6,FALSE)&gt;=main!$D$103+VLOOKUP(VLOOKUP(D$1,main!$A$3:$I$102,7,FALSE),main!$K$26:$Q$29,4,FALSE)),1,0)</f>
        <v>0</v>
      </c>
      <c r="E191">
        <f>IF(AND(VLOOKUP(E$1,main!$A$3:$H$102,7,FALSE)=main!$G$104,VLOOKUP(E$1,main!$A$3:$H$102,5,FALSE)-VLOOKUP($A191,main!$A$3:$H$102,6,FALSE)&gt;=main!$D$103+VLOOKUP(VLOOKUP(E$1,main!$A$3:$I$102,7,FALSE),main!$K$26:$Q$29,4,FALSE)),1,0)</f>
        <v>0</v>
      </c>
      <c r="F191">
        <f>IF(AND(VLOOKUP(F$1,main!$A$3:$H$102,7,FALSE)=main!$G$104,VLOOKUP(F$1,main!$A$3:$H$102,5,FALSE)-VLOOKUP($A191,main!$A$3:$H$102,6,FALSE)&gt;=main!$D$103+VLOOKUP(VLOOKUP(F$1,main!$A$3:$I$102,7,FALSE),main!$K$26:$Q$29,4,FALSE)),1,0)</f>
        <v>0</v>
      </c>
      <c r="G191">
        <f>IF(AND(VLOOKUP(G$1,main!$A$3:$H$102,7,FALSE)=main!$G$104,VLOOKUP(G$1,main!$A$3:$H$102,5,FALSE)-VLOOKUP($A191,main!$A$3:$H$102,6,FALSE)&gt;=main!$D$103+VLOOKUP(VLOOKUP(G$1,main!$A$3:$I$102,7,FALSE),main!$K$26:$Q$29,4,FALSE)),1,0)</f>
        <v>0</v>
      </c>
      <c r="H191">
        <f>IF(AND(VLOOKUP(H$1,main!$A$3:$H$102,7,FALSE)=main!$G$104,VLOOKUP(H$1,main!$A$3:$H$102,5,FALSE)-VLOOKUP($A191,main!$A$3:$H$102,6,FALSE)&gt;=main!$D$103+VLOOKUP(VLOOKUP(H$1,main!$A$3:$I$102,7,FALSE),main!$K$26:$Q$29,4,FALSE)),1,0)</f>
        <v>0</v>
      </c>
      <c r="I191">
        <f>IF(AND(VLOOKUP(I$1,main!$A$3:$H$102,7,FALSE)=main!$G$104,VLOOKUP(I$1,main!$A$3:$H$102,5,FALSE)-VLOOKUP($A191,main!$A$3:$H$102,6,FALSE)&gt;=main!$D$103+VLOOKUP(VLOOKUP(I$1,main!$A$3:$I$102,7,FALSE),main!$K$26:$Q$29,4,FALSE)),1,0)</f>
        <v>1</v>
      </c>
      <c r="J191">
        <f>IF(AND(VLOOKUP(J$1,main!$A$3:$H$102,7,FALSE)=main!$G$104,VLOOKUP(J$1,main!$A$3:$H$102,5,FALSE)-VLOOKUP($A191,main!$A$3:$H$102,6,FALSE)&gt;=main!$D$103+VLOOKUP(VLOOKUP(J$1,main!$A$3:$I$102,7,FALSE),main!$K$26:$Q$29,4,FALSE)),1,0)</f>
        <v>1</v>
      </c>
      <c r="K191">
        <f>IF(AND(VLOOKUP(K$1,main!$A$3:$H$102,7,FALSE)=main!$G$104,VLOOKUP(K$1,main!$A$3:$H$102,5,FALSE)-VLOOKUP($A191,main!$A$3:$H$102,6,FALSE)&gt;=main!$D$103+VLOOKUP(VLOOKUP(K$1,main!$A$3:$I$102,7,FALSE),main!$K$26:$Q$29,4,FALSE)),1,0)</f>
        <v>1</v>
      </c>
      <c r="L191">
        <f>IF(AND(VLOOKUP(L$1,main!$A$3:$H$102,7,FALSE)=main!$G$104,VLOOKUP(L$1,main!$A$3:$H$102,5,FALSE)-VLOOKUP($A191,main!$A$3:$H$102,6,FALSE)&gt;=main!$D$103+VLOOKUP(VLOOKUP(L$1,main!$A$3:$I$102,7,FALSE),main!$K$26:$Q$29,4,FALSE)),1,0)</f>
        <v>1</v>
      </c>
      <c r="M191">
        <f>IF(AND(VLOOKUP(M$1,main!$A$3:$H$102,7,FALSE)=main!$G$104,VLOOKUP(M$1,main!$A$3:$H$102,5,FALSE)-VLOOKUP($A191,main!$A$3:$H$102,6,FALSE)&gt;=main!$D$103+VLOOKUP(VLOOKUP(M$1,main!$A$3:$I$102,7,FALSE),main!$K$26:$Q$29,4,FALSE)),1,0)</f>
        <v>0</v>
      </c>
      <c r="N191">
        <f>IF(AND(VLOOKUP(N$1,main!$A$3:$H$102,7,FALSE)=main!$G$104,VLOOKUP(N$1,main!$A$3:$H$102,5,FALSE)-VLOOKUP($A191,main!$A$3:$H$102,6,FALSE)&gt;=main!$D$103+VLOOKUP(VLOOKUP(N$1,main!$A$3:$I$102,7,FALSE),main!$K$26:$Q$29,4,FALSE)),1,0)</f>
        <v>0</v>
      </c>
      <c r="O191">
        <f>IF(AND(VLOOKUP(O$1,main!$A$3:$H$102,7,FALSE)=main!$G$104,VLOOKUP(O$1,main!$A$3:$H$102,5,FALSE)-VLOOKUP($A191,main!$A$3:$H$102,6,FALSE)&gt;=main!$D$103+VLOOKUP(VLOOKUP(O$1,main!$A$3:$I$102,7,FALSE),main!$K$26:$Q$29,4,FALSE)),1,0)</f>
        <v>0</v>
      </c>
      <c r="P191">
        <f>IF(AND(VLOOKUP(P$1,main!$A$3:$H$102,7,FALSE)=main!$G$104,VLOOKUP(P$1,main!$A$3:$H$102,5,FALSE)-VLOOKUP($A191,main!$A$3:$H$102,6,FALSE)&gt;=main!$D$103+VLOOKUP(VLOOKUP(P$1,main!$A$3:$I$102,7,FALSE),main!$K$26:$Q$29,4,FALSE)),1,0)</f>
        <v>0</v>
      </c>
      <c r="Q191">
        <f>IF(AND(VLOOKUP(Q$1,main!$A$3:$H$102,7,FALSE)=main!$G$104,VLOOKUP(Q$1,main!$A$3:$H$102,5,FALSE)-VLOOKUP($A191,main!$A$3:$H$102,6,FALSE)&gt;=main!$D$103+VLOOKUP(VLOOKUP(Q$1,main!$A$3:$I$102,7,FALSE),main!$K$26:$Q$29,4,FALSE)),1,0)</f>
        <v>0</v>
      </c>
      <c r="R191">
        <f>IF(AND(VLOOKUP(R$1,main!$A$3:$H$102,7,FALSE)=main!$G$104,VLOOKUP(R$1,main!$A$3:$H$102,5,FALSE)-VLOOKUP($A191,main!$A$3:$H$102,6,FALSE)&gt;=main!$D$103+VLOOKUP(VLOOKUP(R$1,main!$A$3:$I$102,7,FALSE),main!$K$26:$Q$29,4,FALSE)),1,0)</f>
        <v>0</v>
      </c>
      <c r="S191">
        <f>IF(AND(VLOOKUP(S$1,main!$A$3:$H$102,7,FALSE)=main!$G$104,VLOOKUP(S$1,main!$A$3:$H$102,5,FALSE)-VLOOKUP($A191,main!$A$3:$H$102,6,FALSE)&gt;=main!$D$103+VLOOKUP(VLOOKUP(S$1,main!$A$3:$I$102,7,FALSE),main!$K$26:$Q$29,4,FALSE)),1,0)</f>
        <v>0</v>
      </c>
      <c r="T191">
        <f>IF(AND(VLOOKUP(T$1,main!$A$3:$H$102,7,FALSE)=main!$G$104,VLOOKUP(T$1,main!$A$3:$H$102,5,FALSE)-VLOOKUP($A191,main!$A$3:$H$102,6,FALSE)&gt;=main!$D$103+VLOOKUP(VLOOKUP(T$1,main!$A$3:$I$102,7,FALSE),main!$K$26:$Q$29,4,FALSE)),1,0)</f>
        <v>1</v>
      </c>
      <c r="U191">
        <f>IF(AND(VLOOKUP(U$1,main!$A$3:$H$102,7,FALSE)=main!$G$104,VLOOKUP(U$1,main!$A$3:$H$102,5,FALSE)-VLOOKUP($A191,main!$A$3:$H$102,6,FALSE)&gt;=main!$D$103+VLOOKUP(VLOOKUP(U$1,main!$A$3:$I$102,7,FALSE),main!$K$26:$Q$29,4,FALSE)),1,0)</f>
        <v>1</v>
      </c>
      <c r="V191">
        <f>IF(AND(VLOOKUP(V$1,main!$A$3:$H$102,7,FALSE)=main!$G$104,VLOOKUP(V$1,main!$A$3:$H$102,5,FALSE)-VLOOKUP($A191,main!$A$3:$H$102,6,FALSE)&gt;=main!$D$103+VLOOKUP(VLOOKUP(V$1,main!$A$3:$I$102,7,FALSE),main!$K$26:$Q$29,4,FALSE)),1,0)</f>
        <v>1</v>
      </c>
      <c r="W191">
        <f>IF(AND(VLOOKUP(W$1,main!$A$3:$H$102,7,FALSE)=main!$G$104,VLOOKUP(W$1,main!$A$3:$H$102,5,FALSE)-VLOOKUP($A191,main!$A$3:$H$102,6,FALSE)&gt;=main!$D$103+VLOOKUP(VLOOKUP(W$1,main!$A$3:$I$102,7,FALSE),main!$K$26:$Q$29,4,FALSE)),1,0)</f>
        <v>0</v>
      </c>
      <c r="X191">
        <f>IF(AND(VLOOKUP(X$1,main!$A$3:$H$102,7,FALSE)=main!$G$104,VLOOKUP(X$1,main!$A$3:$H$102,5,FALSE)-VLOOKUP($A191,main!$A$3:$H$102,6,FALSE)&gt;=main!$D$103+VLOOKUP(VLOOKUP(X$1,main!$A$3:$I$102,7,FALSE),main!$K$26:$Q$29,4,FALSE)),1,0)</f>
        <v>0</v>
      </c>
      <c r="Y191">
        <f>IF(AND(VLOOKUP(Y$1,main!$A$3:$H$102,7,FALSE)=main!$G$104,VLOOKUP(Y$1,main!$A$3:$H$102,5,FALSE)-VLOOKUP($A191,main!$A$3:$H$102,6,FALSE)&gt;=main!$D$103+VLOOKUP(VLOOKUP(Y$1,main!$A$3:$I$102,7,FALSE),main!$K$26:$Q$29,4,FALSE)),1,0)</f>
        <v>0</v>
      </c>
      <c r="Z191">
        <f>IF(AND(VLOOKUP(Z$1,main!$A$3:$H$102,7,FALSE)=main!$G$104,VLOOKUP(Z$1,main!$A$3:$H$102,5,FALSE)-VLOOKUP($A191,main!$A$3:$H$102,6,FALSE)&gt;=main!$D$103+VLOOKUP(VLOOKUP(Z$1,main!$A$3:$I$102,7,FALSE),main!$K$26:$Q$29,4,FALSE)),1,0)</f>
        <v>1</v>
      </c>
      <c r="AA191">
        <f>IF(AND(VLOOKUP(AA$1,main!$A$3:$H$102,7,FALSE)=main!$G$104,VLOOKUP(AA$1,main!$A$3:$H$102,5,FALSE)-VLOOKUP($A191,main!$A$3:$H$102,6,FALSE)&gt;=main!$D$103+VLOOKUP(VLOOKUP(AA$1,main!$A$3:$I$102,7,FALSE),main!$K$26:$Q$29,4,FALSE)),1,0)</f>
        <v>1</v>
      </c>
      <c r="AB191">
        <f>IF(AND(VLOOKUP(AB$1,main!$A$3:$H$102,7,FALSE)=main!$G$104,VLOOKUP(AB$1,main!$A$3:$H$102,5,FALSE)-VLOOKUP($A191,main!$A$3:$H$102,6,FALSE)&gt;=main!$D$103+VLOOKUP(VLOOKUP(AB$1,main!$A$3:$I$102,7,FALSE),main!$K$26:$Q$29,4,FALSE)),1,0)</f>
        <v>0</v>
      </c>
      <c r="AC191">
        <f>IF(AND(VLOOKUP(AC$1,main!$A$3:$H$102,7,FALSE)=main!$G$104,VLOOKUP(AC$1,main!$A$3:$H$102,5,FALSE)-VLOOKUP($A191,main!$A$3:$H$102,6,FALSE)&gt;=main!$D$103+VLOOKUP(VLOOKUP(AC$1,main!$A$3:$I$102,7,FALSE),main!$K$26:$Q$29,4,FALSE)),1,0)</f>
        <v>0</v>
      </c>
      <c r="AD191">
        <f>IF(AND(VLOOKUP(AD$1,main!$A$3:$H$102,7,FALSE)=main!$G$104,VLOOKUP(AD$1,main!$A$3:$H$102,5,FALSE)-VLOOKUP($A191,main!$A$3:$H$102,6,FALSE)&gt;=main!$D$103+VLOOKUP(VLOOKUP(AD$1,main!$A$3:$I$102,7,FALSE),main!$K$26:$Q$29,4,FALSE)),1,0)</f>
        <v>0</v>
      </c>
      <c r="AE191">
        <f>IF(AND(VLOOKUP(AE$1,main!$A$3:$H$102,7,FALSE)=main!$G$104,VLOOKUP(AE$1,main!$A$3:$H$102,5,FALSE)-VLOOKUP($A191,main!$A$3:$H$102,6,FALSE)&gt;=main!$D$103+VLOOKUP(VLOOKUP(AE$1,main!$A$3:$I$102,7,FALSE),main!$K$26:$Q$29,4,FALSE)),1,0)</f>
        <v>0</v>
      </c>
      <c r="AF191">
        <f>IF(AND(VLOOKUP(AF$1,main!$A$3:$H$102,7,FALSE)=main!$G$104,VLOOKUP(AF$1,main!$A$3:$H$102,5,FALSE)-VLOOKUP($A191,main!$A$3:$H$102,6,FALSE)&gt;=main!$D$103+VLOOKUP(VLOOKUP(AF$1,main!$A$3:$I$102,7,FALSE),main!$K$26:$Q$29,4,FALSE)),1,0)</f>
        <v>1</v>
      </c>
      <c r="AG191">
        <f>IF(AND(VLOOKUP(AG$1,main!$A$3:$H$102,7,FALSE)=main!$G$104,VLOOKUP(AG$1,main!$A$3:$H$102,5,FALSE)-VLOOKUP($A191,main!$A$3:$H$102,6,FALSE)&gt;=main!$D$103+VLOOKUP(VLOOKUP(AG$1,main!$A$3:$I$102,7,FALSE),main!$K$26:$Q$29,4,FALSE)),1,0)</f>
        <v>0</v>
      </c>
      <c r="AH191">
        <f>IF(AND(VLOOKUP(AH$1,main!$A$3:$H$102,7,FALSE)=main!$G$104,VLOOKUP(AH$1,main!$A$3:$H$102,5,FALSE)-VLOOKUP($A191,main!$A$3:$H$102,6,FALSE)&gt;=main!$D$103+VLOOKUP(VLOOKUP(AH$1,main!$A$3:$I$102,7,FALSE),main!$K$26:$Q$29,4,FALSE)),1,0)</f>
        <v>0</v>
      </c>
      <c r="AI191">
        <f>IF(AND(VLOOKUP(AI$1,main!$A$3:$H$102,7,FALSE)=main!$G$104,VLOOKUP(AI$1,main!$A$3:$H$102,5,FALSE)-VLOOKUP($A191,main!$A$3:$H$102,6,FALSE)&gt;=main!$D$103+VLOOKUP(VLOOKUP(AI$1,main!$A$3:$I$102,7,FALSE),main!$K$26:$Q$29,4,FALSE)),1,0)</f>
        <v>0</v>
      </c>
      <c r="AJ191">
        <f>IF(AND(VLOOKUP(AJ$1,main!$A$3:$H$102,7,FALSE)=main!$G$104,VLOOKUP(AJ$1,main!$A$3:$H$102,5,FALSE)-VLOOKUP($A191,main!$A$3:$H$102,6,FALSE)&gt;=main!$D$103+VLOOKUP(VLOOKUP(AJ$1,main!$A$3:$I$102,7,FALSE),main!$K$26:$Q$29,4,FALSE)),1,0)</f>
        <v>0</v>
      </c>
      <c r="AK191">
        <f>IF(AND(VLOOKUP(AK$1,main!$A$3:$H$102,7,FALSE)=main!$G$104,VLOOKUP(AK$1,main!$A$3:$H$102,5,FALSE)-VLOOKUP($A191,main!$A$3:$H$102,6,FALSE)&gt;=main!$D$103+VLOOKUP(VLOOKUP(AK$1,main!$A$3:$I$102,7,FALSE),main!$K$26:$Q$29,4,FALSE)),1,0)</f>
        <v>0</v>
      </c>
      <c r="AL191">
        <f>IF(AND(VLOOKUP(AL$1,main!$A$3:$H$102,7,FALSE)=main!$G$104,VLOOKUP(AL$1,main!$A$3:$H$102,5,FALSE)-VLOOKUP($A191,main!$A$3:$H$102,6,FALSE)&gt;=main!$D$103+VLOOKUP(VLOOKUP(AL$1,main!$A$3:$I$102,7,FALSE),main!$K$26:$Q$29,4,FALSE)),1,0)</f>
        <v>0</v>
      </c>
      <c r="AM191">
        <f>IF(AND(VLOOKUP(AM$1,main!$A$3:$H$102,7,FALSE)=main!$G$104,VLOOKUP(AM$1,main!$A$3:$H$102,5,FALSE)-VLOOKUP($A191,main!$A$3:$H$102,6,FALSE)&gt;=main!$D$103+VLOOKUP(VLOOKUP(AM$1,main!$A$3:$I$102,7,FALSE),main!$K$26:$Q$29,4,FALSE)),1,0)</f>
        <v>0</v>
      </c>
      <c r="AN191">
        <f>IF(AND(VLOOKUP(AN$1,main!$A$3:$H$102,7,FALSE)=main!$G$104,VLOOKUP(AN$1,main!$A$3:$H$102,5,FALSE)-VLOOKUP($A191,main!$A$3:$H$102,6,FALSE)&gt;=main!$D$103+VLOOKUP(VLOOKUP(AN$1,main!$A$3:$I$102,7,FALSE),main!$K$26:$Q$29,4,FALSE)),1,0)</f>
        <v>0</v>
      </c>
      <c r="AO191">
        <f>IF(AND(VLOOKUP(AO$1,main!$A$3:$H$102,7,FALSE)=main!$G$104,VLOOKUP(AO$1,main!$A$3:$H$102,5,FALSE)-VLOOKUP($A191,main!$A$3:$H$102,6,FALSE)&gt;=main!$D$103+VLOOKUP(VLOOKUP(AO$1,main!$A$3:$I$102,7,FALSE),main!$K$26:$Q$29,4,FALSE)),1,0)</f>
        <v>0</v>
      </c>
      <c r="AP191">
        <f>IF(AND(VLOOKUP(AP$1,main!$A$3:$H$102,7,FALSE)=main!$G$104,VLOOKUP(AP$1,main!$A$3:$H$102,5,FALSE)-VLOOKUP($A191,main!$A$3:$H$102,6,FALSE)&gt;=main!$D$103+VLOOKUP(VLOOKUP(AP$1,main!$A$3:$I$102,7,FALSE),main!$K$26:$Q$29,4,FALSE)),1,0)</f>
        <v>0</v>
      </c>
      <c r="AQ191">
        <f>IF(AND(VLOOKUP(AQ$1,main!$A$3:$H$102,7,FALSE)=main!$G$104,VLOOKUP(AQ$1,main!$A$3:$H$102,5,FALSE)-VLOOKUP($A191,main!$A$3:$H$102,6,FALSE)&gt;=main!$D$103+VLOOKUP(VLOOKUP(AQ$1,main!$A$3:$I$102,7,FALSE),main!$K$26:$Q$29,4,FALSE)),1,0)</f>
        <v>0</v>
      </c>
      <c r="AR191">
        <f>IF(AND(VLOOKUP(AR$1,main!$A$3:$H$102,7,FALSE)=main!$G$104,VLOOKUP(AR$1,main!$A$3:$H$102,5,FALSE)-VLOOKUP($A191,main!$A$3:$H$102,6,FALSE)&gt;=main!$D$103+VLOOKUP(VLOOKUP(AR$1,main!$A$3:$I$102,7,FALSE),main!$K$26:$Q$29,4,FALSE)),1,0)</f>
        <v>0</v>
      </c>
      <c r="AS191">
        <f>IF(AND(VLOOKUP(AS$1,main!$A$3:$H$102,7,FALSE)=main!$G$104,VLOOKUP(AS$1,main!$A$3:$H$102,5,FALSE)-VLOOKUP($A191,main!$A$3:$H$102,6,FALSE)&gt;=main!$D$103+VLOOKUP(VLOOKUP(AS$1,main!$A$3:$I$102,7,FALSE),main!$K$26:$Q$29,4,FALSE)),1,0)</f>
        <v>0</v>
      </c>
      <c r="AT191">
        <f>IF(AND(VLOOKUP(AT$1,main!$A$3:$H$102,7,FALSE)=main!$G$104,VLOOKUP(AT$1,main!$A$3:$H$102,5,FALSE)-VLOOKUP($A191,main!$A$3:$H$102,6,FALSE)&gt;=main!$D$103+VLOOKUP(VLOOKUP(AT$1,main!$A$3:$I$102,7,FALSE),main!$K$26:$Q$29,4,FALSE)),1,0)</f>
        <v>0</v>
      </c>
      <c r="AU191">
        <f>IF(AND(VLOOKUP(AU$1,main!$A$3:$H$102,7,FALSE)=main!$G$104,VLOOKUP(AU$1,main!$A$3:$H$102,5,FALSE)-VLOOKUP($A191,main!$A$3:$H$102,6,FALSE)&gt;=main!$D$103+VLOOKUP(VLOOKUP(AU$1,main!$A$3:$I$102,7,FALSE),main!$K$26:$Q$29,4,FALSE)),1,0)</f>
        <v>0</v>
      </c>
      <c r="AV191">
        <f>IF(AND(VLOOKUP(AV$1,main!$A$3:$H$102,7,FALSE)=main!$G$104,VLOOKUP(AV$1,main!$A$3:$H$102,5,FALSE)-VLOOKUP($A191,main!$A$3:$H$102,6,FALSE)&gt;=main!$D$103+VLOOKUP(VLOOKUP(AV$1,main!$A$3:$I$102,7,FALSE),main!$K$26:$Q$29,4,FALSE)),1,0)</f>
        <v>0</v>
      </c>
      <c r="AW191">
        <f>IF(AND(VLOOKUP(AW$1,main!$A$3:$H$102,7,FALSE)=main!$G$104,VLOOKUP(AW$1,main!$A$3:$H$102,5,FALSE)-VLOOKUP($A191,main!$A$3:$H$102,6,FALSE)&gt;=main!$D$103+VLOOKUP(VLOOKUP(AW$1,main!$A$3:$I$102,7,FALSE),main!$K$26:$Q$29,4,FALSE)),1,0)</f>
        <v>0</v>
      </c>
      <c r="AX191">
        <f>IF(AND(VLOOKUP(AX$1,main!$A$3:$H$102,7,FALSE)=main!$G$104,VLOOKUP(AX$1,main!$A$3:$H$102,5,FALSE)-VLOOKUP($A191,main!$A$3:$H$102,6,FALSE)&gt;=main!$D$103+VLOOKUP(VLOOKUP(AX$1,main!$A$3:$I$102,7,FALSE),main!$K$26:$Q$29,4,FALSE)),1,0)</f>
        <v>0</v>
      </c>
      <c r="AY191">
        <f>IF(AND(VLOOKUP(AY$1,main!$A$3:$H$102,7,FALSE)=main!$G$104,VLOOKUP(AY$1,main!$A$3:$H$102,5,FALSE)-VLOOKUP($A191,main!$A$3:$H$102,6,FALSE)&gt;=main!$D$103+VLOOKUP(VLOOKUP(AY$1,main!$A$3:$I$102,7,FALSE),main!$K$26:$Q$29,4,FALSE)),1,0)</f>
        <v>0</v>
      </c>
      <c r="AZ191">
        <f>IF(AND(VLOOKUP(AZ$1,main!$A$3:$H$102,7,FALSE)=main!$G$104,VLOOKUP(AZ$1,main!$A$3:$H$102,5,FALSE)-VLOOKUP($A191,main!$A$3:$H$102,6,FALSE)&gt;=main!$D$103+VLOOKUP(VLOOKUP(AZ$1,main!$A$3:$I$102,7,FALSE),main!$K$26:$Q$29,4,FALSE)),1,0)</f>
        <v>0</v>
      </c>
      <c r="BA191">
        <f>IF(AND(VLOOKUP(BA$1,main!$A$3:$H$102,7,FALSE)=main!$G$104,VLOOKUP(BA$1,main!$A$3:$H$102,5,FALSE)-VLOOKUP($A191,main!$A$3:$H$102,6,FALSE)&gt;=main!$D$103+VLOOKUP(VLOOKUP(BA$1,main!$A$3:$I$102,7,FALSE),main!$K$26:$Q$29,4,FALSE)),1,0)</f>
        <v>0</v>
      </c>
      <c r="BB191">
        <f>IF(AND(VLOOKUP(BB$1,main!$A$3:$H$102,7,FALSE)=main!$G$104,VLOOKUP(BB$1,main!$A$3:$H$102,5,FALSE)-VLOOKUP($A191,main!$A$3:$H$102,6,FALSE)&gt;=main!$D$103+VLOOKUP(VLOOKUP(BB$1,main!$A$3:$I$102,7,FALSE),main!$K$26:$Q$29,4,FALSE)),1,0)</f>
        <v>0</v>
      </c>
      <c r="BC191">
        <f>IF(AND(VLOOKUP(BC$1,main!$A$3:$H$102,7,FALSE)=main!$G$104,VLOOKUP(BC$1,main!$A$3:$H$102,5,FALSE)-VLOOKUP($A191,main!$A$3:$H$102,6,FALSE)&gt;=main!$D$103+VLOOKUP(VLOOKUP(BC$1,main!$A$3:$I$102,7,FALSE),main!$K$26:$Q$29,4,FALSE)),1,0)</f>
        <v>0</v>
      </c>
      <c r="BD191">
        <f>IF(AND(VLOOKUP(BD$1,main!$A$3:$H$102,7,FALSE)=main!$G$104,VLOOKUP(BD$1,main!$A$3:$H$102,5,FALSE)-VLOOKUP($A191,main!$A$3:$H$102,6,FALSE)&gt;=main!$D$103+VLOOKUP(VLOOKUP(BD$1,main!$A$3:$I$102,7,FALSE),main!$K$26:$Q$29,4,FALSE)),1,0)</f>
        <v>0</v>
      </c>
      <c r="BE191">
        <f>IF(AND(VLOOKUP(BE$1,main!$A$3:$H$102,7,FALSE)=main!$G$104,VLOOKUP(BE$1,main!$A$3:$H$102,5,FALSE)-VLOOKUP($A191,main!$A$3:$H$102,6,FALSE)&gt;=main!$D$103+VLOOKUP(VLOOKUP(BE$1,main!$A$3:$I$102,7,FALSE),main!$K$26:$Q$29,4,FALSE)),1,0)</f>
        <v>0</v>
      </c>
      <c r="BF191">
        <f>IF(AND(VLOOKUP(BF$1,main!$A$3:$H$102,7,FALSE)=main!$G$104,VLOOKUP(BF$1,main!$A$3:$H$102,5,FALSE)-VLOOKUP($A191,main!$A$3:$H$102,6,FALSE)&gt;=main!$D$103+VLOOKUP(VLOOKUP(BF$1,main!$A$3:$I$102,7,FALSE),main!$K$26:$Q$29,4,FALSE)),1,0)</f>
        <v>0</v>
      </c>
      <c r="BG191">
        <f>IF(AND(VLOOKUP(BG$1,main!$A$3:$H$102,7,FALSE)=main!$G$104,VLOOKUP(BG$1,main!$A$3:$H$102,5,FALSE)-VLOOKUP($A191,main!$A$3:$H$102,6,FALSE)&gt;=main!$D$103+VLOOKUP(VLOOKUP(BG$1,main!$A$3:$I$102,7,FALSE),main!$K$26:$Q$29,4,FALSE)),1,0)</f>
        <v>0</v>
      </c>
      <c r="BH191">
        <f>IF(AND(VLOOKUP(BH$1,main!$A$3:$H$102,7,FALSE)=main!$G$104,VLOOKUP(BH$1,main!$A$3:$H$102,5,FALSE)-VLOOKUP($A191,main!$A$3:$H$102,6,FALSE)&gt;=main!$D$103+VLOOKUP(VLOOKUP(BH$1,main!$A$3:$I$102,7,FALSE),main!$K$26:$Q$29,4,FALSE)),1,0)</f>
        <v>0</v>
      </c>
      <c r="BI191">
        <f>IF(AND(VLOOKUP(BI$1,main!$A$3:$H$102,7,FALSE)=main!$G$104,VLOOKUP(BI$1,main!$A$3:$H$102,5,FALSE)-VLOOKUP($A191,main!$A$3:$H$102,6,FALSE)&gt;=main!$D$103+VLOOKUP(VLOOKUP(BI$1,main!$A$3:$I$102,7,FALSE),main!$K$26:$Q$29,4,FALSE)),1,0)</f>
        <v>0</v>
      </c>
      <c r="BJ191">
        <f>IF(AND(VLOOKUP(BJ$1,main!$A$3:$H$102,7,FALSE)=main!$G$104,VLOOKUP(BJ$1,main!$A$3:$H$102,5,FALSE)-VLOOKUP($A191,main!$A$3:$H$102,6,FALSE)&gt;=main!$D$103+VLOOKUP(VLOOKUP(BJ$1,main!$A$3:$I$102,7,FALSE),main!$K$26:$Q$29,4,FALSE)),1,0)</f>
        <v>0</v>
      </c>
      <c r="BK191">
        <f>IF(AND(VLOOKUP(BK$1,main!$A$3:$H$102,7,FALSE)=main!$G$104,VLOOKUP(BK$1,main!$A$3:$H$102,5,FALSE)-VLOOKUP($A191,main!$A$3:$H$102,6,FALSE)&gt;=main!$D$103+VLOOKUP(VLOOKUP(BK$1,main!$A$3:$I$102,7,FALSE),main!$K$26:$Q$29,4,FALSE)),1,0)</f>
        <v>0</v>
      </c>
      <c r="BL191">
        <f>IF(AND(VLOOKUP(BL$1,main!$A$3:$H$102,7,FALSE)=main!$G$104,VLOOKUP(BL$1,main!$A$3:$H$102,5,FALSE)-VLOOKUP($A191,main!$A$3:$H$102,6,FALSE)&gt;=main!$D$103+VLOOKUP(VLOOKUP(BL$1,main!$A$3:$I$102,7,FALSE),main!$K$26:$Q$29,4,FALSE)),1,0)</f>
        <v>0</v>
      </c>
      <c r="BM191">
        <f>IF(AND(VLOOKUP(BM$1,main!$A$3:$H$102,7,FALSE)=main!$G$104,VLOOKUP(BM$1,main!$A$3:$H$102,5,FALSE)-VLOOKUP($A191,main!$A$3:$H$102,6,FALSE)&gt;=main!$D$103+VLOOKUP(VLOOKUP(BM$1,main!$A$3:$I$102,7,FALSE),main!$K$26:$Q$29,4,FALSE)),1,0)</f>
        <v>0</v>
      </c>
      <c r="BN191">
        <f>IF(AND(VLOOKUP(BN$1,main!$A$3:$H$102,7,FALSE)=main!$G$104,VLOOKUP(BN$1,main!$A$3:$H$102,5,FALSE)-VLOOKUP($A191,main!$A$3:$H$102,6,FALSE)&gt;=main!$D$103+VLOOKUP(VLOOKUP(BN$1,main!$A$3:$I$102,7,FALSE),main!$K$26:$Q$29,4,FALSE)),1,0)</f>
        <v>0</v>
      </c>
      <c r="BO191">
        <f>IF(AND(VLOOKUP(BO$1,main!$A$3:$H$102,7,FALSE)=main!$G$104,VLOOKUP(BO$1,main!$A$3:$H$102,5,FALSE)-VLOOKUP($A191,main!$A$3:$H$102,6,FALSE)&gt;=main!$D$103+VLOOKUP(VLOOKUP(BO$1,main!$A$3:$I$102,7,FALSE),main!$K$26:$Q$29,4,FALSE)),1,0)</f>
        <v>0</v>
      </c>
      <c r="BP191">
        <f>IF(AND(VLOOKUP(BP$1,main!$A$3:$H$102,7,FALSE)=main!$G$104,VLOOKUP(BP$1,main!$A$3:$H$102,5,FALSE)-VLOOKUP($A191,main!$A$3:$H$102,6,FALSE)&gt;=main!$D$103+VLOOKUP(VLOOKUP(BP$1,main!$A$3:$I$102,7,FALSE),main!$K$26:$Q$29,4,FALSE)),1,0)</f>
        <v>0</v>
      </c>
      <c r="BQ191">
        <f>IF(AND(VLOOKUP(BQ$1,main!$A$3:$H$102,7,FALSE)=main!$G$104,VLOOKUP(BQ$1,main!$A$3:$H$102,5,FALSE)-VLOOKUP($A191,main!$A$3:$H$102,6,FALSE)&gt;=main!$D$103+VLOOKUP(VLOOKUP(BQ$1,main!$A$3:$I$102,7,FALSE),main!$K$26:$Q$29,4,FALSE)),1,0)</f>
        <v>0</v>
      </c>
      <c r="BR191">
        <f>IF(AND(VLOOKUP(BR$1,main!$A$3:$H$102,7,FALSE)=main!$G$104,VLOOKUP(BR$1,main!$A$3:$H$102,5,FALSE)-VLOOKUP($A191,main!$A$3:$H$102,6,FALSE)&gt;=main!$D$103+VLOOKUP(VLOOKUP(BR$1,main!$A$3:$I$102,7,FALSE),main!$K$26:$Q$29,4,FALSE)),1,0)</f>
        <v>0</v>
      </c>
      <c r="BS191">
        <f>IF(AND(VLOOKUP(BS$1,main!$A$3:$H$102,7,FALSE)=main!$G$104,VLOOKUP(BS$1,main!$A$3:$H$102,5,FALSE)-VLOOKUP($A191,main!$A$3:$H$102,6,FALSE)&gt;=main!$D$103+VLOOKUP(VLOOKUP(BS$1,main!$A$3:$I$102,7,FALSE),main!$K$26:$Q$29,4,FALSE)),1,0)</f>
        <v>0</v>
      </c>
      <c r="BT191">
        <f>IF(AND(VLOOKUP(BT$1,main!$A$3:$H$102,7,FALSE)=main!$G$104,VLOOKUP(BT$1,main!$A$3:$H$102,5,FALSE)-VLOOKUP($A191,main!$A$3:$H$102,6,FALSE)&gt;=main!$D$103+VLOOKUP(VLOOKUP(BT$1,main!$A$3:$I$102,7,FALSE),main!$K$26:$Q$29,4,FALSE)),1,0)</f>
        <v>0</v>
      </c>
      <c r="BU191">
        <f>IF(AND(VLOOKUP(BU$1,main!$A$3:$H$102,7,FALSE)=main!$G$104,VLOOKUP(BU$1,main!$A$3:$H$102,5,FALSE)-VLOOKUP($A191,main!$A$3:$H$102,6,FALSE)&gt;=main!$D$103+VLOOKUP(VLOOKUP(BU$1,main!$A$3:$I$102,7,FALSE),main!$K$26:$Q$29,4,FALSE)),1,0)</f>
        <v>0</v>
      </c>
      <c r="BV191">
        <f>IF(AND(VLOOKUP(BV$1,main!$A$3:$H$102,7,FALSE)=main!$G$104,VLOOKUP(BV$1,main!$A$3:$H$102,5,FALSE)-VLOOKUP($A191,main!$A$3:$H$102,6,FALSE)&gt;=main!$D$103+VLOOKUP(VLOOKUP(BV$1,main!$A$3:$I$102,7,FALSE),main!$K$26:$Q$29,4,FALSE)),1,0)</f>
        <v>0</v>
      </c>
      <c r="BW191">
        <f>IF(AND(VLOOKUP(BW$1,main!$A$3:$H$102,7,FALSE)=main!$G$104,VLOOKUP(BW$1,main!$A$3:$H$102,5,FALSE)-VLOOKUP($A191,main!$A$3:$H$102,6,FALSE)&gt;=main!$D$103+VLOOKUP(VLOOKUP(BW$1,main!$A$3:$I$102,7,FALSE),main!$K$26:$Q$29,4,FALSE)),1,0)</f>
        <v>0</v>
      </c>
      <c r="BX191">
        <f>IF(AND(VLOOKUP(BX$1,main!$A$3:$H$102,7,FALSE)=main!$G$104,VLOOKUP(BX$1,main!$A$3:$H$102,5,FALSE)-VLOOKUP($A191,main!$A$3:$H$102,6,FALSE)&gt;=main!$D$103+VLOOKUP(VLOOKUP(BX$1,main!$A$3:$I$102,7,FALSE),main!$K$26:$Q$29,4,FALSE)),1,0)</f>
        <v>0</v>
      </c>
      <c r="BY191">
        <f>IF(AND(VLOOKUP(BY$1,main!$A$3:$H$102,7,FALSE)=main!$G$104,VLOOKUP(BY$1,main!$A$3:$H$102,5,FALSE)-VLOOKUP($A191,main!$A$3:$H$102,6,FALSE)&gt;=main!$D$103+VLOOKUP(VLOOKUP(BY$1,main!$A$3:$I$102,7,FALSE),main!$K$26:$Q$29,4,FALSE)),1,0)</f>
        <v>0</v>
      </c>
      <c r="BZ191">
        <f>IF(AND(VLOOKUP(BZ$1,main!$A$3:$H$102,7,FALSE)=main!$G$104,VLOOKUP(BZ$1,main!$A$3:$H$102,5,FALSE)-VLOOKUP($A191,main!$A$3:$H$102,6,FALSE)&gt;=main!$D$103+VLOOKUP(VLOOKUP(BZ$1,main!$A$3:$I$102,7,FALSE),main!$K$26:$Q$29,4,FALSE)),1,0)</f>
        <v>0</v>
      </c>
      <c r="CA191">
        <f>IF(AND(VLOOKUP(CA$1,main!$A$3:$H$102,7,FALSE)=main!$G$104,VLOOKUP(CA$1,main!$A$3:$H$102,5,FALSE)-VLOOKUP($A191,main!$A$3:$H$102,6,FALSE)&gt;=main!$D$103+VLOOKUP(VLOOKUP(CA$1,main!$A$3:$I$102,7,FALSE),main!$K$26:$Q$29,4,FALSE)),1,0)</f>
        <v>0</v>
      </c>
      <c r="CB191">
        <f>IF(AND(VLOOKUP(CB$1,main!$A$3:$H$102,7,FALSE)=main!$G$104,VLOOKUP(CB$1,main!$A$3:$H$102,5,FALSE)-VLOOKUP($A191,main!$A$3:$H$102,6,FALSE)&gt;=main!$D$103+VLOOKUP(VLOOKUP(CB$1,main!$A$3:$I$102,7,FALSE),main!$K$26:$Q$29,4,FALSE)),1,0)</f>
        <v>0</v>
      </c>
      <c r="CC191">
        <f>IF(AND(VLOOKUP(CC$1,main!$A$3:$H$102,7,FALSE)=main!$G$104,VLOOKUP(CC$1,main!$A$3:$H$102,5,FALSE)-VLOOKUP($A191,main!$A$3:$H$102,6,FALSE)&gt;=main!$D$103+VLOOKUP(VLOOKUP(CC$1,main!$A$3:$I$102,7,FALSE),main!$K$26:$Q$29,4,FALSE)),1,0)</f>
        <v>0</v>
      </c>
      <c r="CD191">
        <f>IF(AND(VLOOKUP(CD$1,main!$A$3:$H$102,7,FALSE)=main!$G$104,VLOOKUP(CD$1,main!$A$3:$H$102,5,FALSE)-VLOOKUP($A191,main!$A$3:$H$102,6,FALSE)&gt;=main!$D$103+VLOOKUP(VLOOKUP(CD$1,main!$A$3:$I$102,7,FALSE),main!$K$26:$Q$29,4,FALSE)),1,0)</f>
        <v>0</v>
      </c>
      <c r="CE191">
        <f>IF(AND(VLOOKUP(CE$1,main!$A$3:$H$102,7,FALSE)=main!$G$104,VLOOKUP(CE$1,main!$A$3:$H$102,5,FALSE)-VLOOKUP($A191,main!$A$3:$H$102,6,FALSE)&gt;=main!$D$103+VLOOKUP(VLOOKUP(CE$1,main!$A$3:$I$102,7,FALSE),main!$K$26:$Q$29,4,FALSE)),1,0)</f>
        <v>0</v>
      </c>
      <c r="CF191">
        <f>IF(AND(VLOOKUP(CF$1,main!$A$3:$H$102,7,FALSE)=main!$G$104,VLOOKUP(CF$1,main!$A$3:$H$102,5,FALSE)-VLOOKUP($A191,main!$A$3:$H$102,6,FALSE)&gt;=main!$D$103+VLOOKUP(VLOOKUP(CF$1,main!$A$3:$I$102,7,FALSE),main!$K$26:$Q$29,4,FALSE)),1,0)</f>
        <v>0</v>
      </c>
      <c r="CG191">
        <f>IF(AND(VLOOKUP(CG$1,main!$A$3:$H$102,7,FALSE)=main!$G$104,VLOOKUP(CG$1,main!$A$3:$H$102,5,FALSE)-VLOOKUP($A191,main!$A$3:$H$102,6,FALSE)&gt;=main!$D$103+VLOOKUP(VLOOKUP(CG$1,main!$A$3:$I$102,7,FALSE),main!$K$26:$Q$29,4,FALSE)),1,0)</f>
        <v>0</v>
      </c>
      <c r="CH191">
        <f>IF(AND(VLOOKUP(CH$1,main!$A$3:$H$102,7,FALSE)=main!$G$104,VLOOKUP(CH$1,main!$A$3:$H$102,5,FALSE)-VLOOKUP($A191,main!$A$3:$H$102,6,FALSE)&gt;=main!$D$103+VLOOKUP(VLOOKUP(CH$1,main!$A$3:$I$102,7,FALSE),main!$K$26:$Q$29,4,FALSE)),1,0)</f>
        <v>0</v>
      </c>
      <c r="CI191">
        <f>IF(AND(VLOOKUP(CI$1,main!$A$3:$H$102,7,FALSE)=main!$G$104,VLOOKUP(CI$1,main!$A$3:$H$102,5,FALSE)-VLOOKUP($A191,main!$A$3:$H$102,6,FALSE)&gt;=main!$D$103+VLOOKUP(VLOOKUP(CI$1,main!$A$3:$I$102,7,FALSE),main!$K$26:$Q$29,4,FALSE)),1,0)</f>
        <v>0</v>
      </c>
      <c r="CJ191">
        <f>IF(AND(VLOOKUP(CJ$1,main!$A$3:$H$102,7,FALSE)=main!$G$104,VLOOKUP(CJ$1,main!$A$3:$H$102,5,FALSE)-VLOOKUP($A191,main!$A$3:$H$102,6,FALSE)&gt;=main!$D$103+VLOOKUP(VLOOKUP(CJ$1,main!$A$3:$I$102,7,FALSE),main!$K$26:$Q$29,4,FALSE)),1,0)</f>
        <v>0</v>
      </c>
      <c r="CK191">
        <f>IF(AND(VLOOKUP(CK$1,main!$A$3:$H$102,7,FALSE)=main!$G$104,VLOOKUP(CK$1,main!$A$3:$H$102,5,FALSE)-VLOOKUP($A191,main!$A$3:$H$102,6,FALSE)&gt;=main!$D$103+VLOOKUP(VLOOKUP(CK$1,main!$A$3:$I$102,7,FALSE),main!$K$26:$Q$29,4,FALSE)),1,0)</f>
        <v>0</v>
      </c>
      <c r="CL191">
        <f>IF(AND(VLOOKUP(CL$1,main!$A$3:$H$102,7,FALSE)=main!$G$104,VLOOKUP(CL$1,main!$A$3:$H$102,5,FALSE)-VLOOKUP($A191,main!$A$3:$H$102,6,FALSE)&gt;=main!$D$103+VLOOKUP(VLOOKUP(CL$1,main!$A$3:$I$102,7,FALSE),main!$K$26:$Q$29,4,FALSE)),1,0)</f>
        <v>0</v>
      </c>
      <c r="CM191">
        <f>IF(AND(VLOOKUP(CM$1,main!$A$3:$H$102,7,FALSE)=main!$G$104,VLOOKUP(CM$1,main!$A$3:$H$102,5,FALSE)-VLOOKUP($A191,main!$A$3:$H$102,6,FALSE)&gt;=main!$D$103+VLOOKUP(VLOOKUP(CM$1,main!$A$3:$I$102,7,FALSE),main!$K$26:$Q$29,4,FALSE)),1,0)</f>
        <v>0</v>
      </c>
      <c r="CN191">
        <f>IF(AND(VLOOKUP(CN$1,main!$A$3:$H$102,7,FALSE)=main!$G$104,VLOOKUP(CN$1,main!$A$3:$H$102,5,FALSE)-VLOOKUP($A191,main!$A$3:$H$102,6,FALSE)&gt;=main!$D$103+VLOOKUP(VLOOKUP(CN$1,main!$A$3:$I$102,7,FALSE),main!$K$26:$Q$29,4,FALSE)),1,0)</f>
        <v>0</v>
      </c>
      <c r="CO191">
        <f>IF(AND(VLOOKUP(CO$1,main!$A$3:$H$102,7,FALSE)=main!$G$104,VLOOKUP(CO$1,main!$A$3:$H$102,5,FALSE)-VLOOKUP($A191,main!$A$3:$H$102,6,FALSE)&gt;=main!$D$103+VLOOKUP(VLOOKUP(CO$1,main!$A$3:$I$102,7,FALSE),main!$K$26:$Q$29,4,FALSE)),1,0)</f>
        <v>0</v>
      </c>
      <c r="CP191">
        <f>IF(AND(VLOOKUP(CP$1,main!$A$3:$H$102,7,FALSE)=main!$G$104,VLOOKUP(CP$1,main!$A$3:$H$102,5,FALSE)-VLOOKUP($A191,main!$A$3:$H$102,6,FALSE)&gt;=main!$D$103+VLOOKUP(VLOOKUP(CP$1,main!$A$3:$I$102,7,FALSE),main!$K$26:$Q$29,4,FALSE)),1,0)</f>
        <v>0</v>
      </c>
      <c r="CQ191">
        <f>IF(AND(VLOOKUP(CQ$1,main!$A$3:$H$102,7,FALSE)=main!$G$104,VLOOKUP(CQ$1,main!$A$3:$H$102,5,FALSE)-VLOOKUP($A191,main!$A$3:$H$102,6,FALSE)&gt;=main!$D$103+VLOOKUP(VLOOKUP(CQ$1,main!$A$3:$I$102,7,FALSE),main!$K$26:$Q$29,4,FALSE)),1,0)</f>
        <v>0</v>
      </c>
      <c r="CR191">
        <f>IF(AND(VLOOKUP(CR$1,main!$A$3:$H$102,7,FALSE)=main!$G$104,VLOOKUP(CR$1,main!$A$3:$H$102,5,FALSE)-VLOOKUP($A191,main!$A$3:$H$102,6,FALSE)&gt;=main!$D$103+VLOOKUP(VLOOKUP(CR$1,main!$A$3:$I$102,7,FALSE),main!$K$26:$Q$29,4,FALSE)),1,0)</f>
        <v>0</v>
      </c>
      <c r="CS191">
        <f>IF(AND(VLOOKUP(CS$1,main!$A$3:$H$102,7,FALSE)=main!$G$104,VLOOKUP(CS$1,main!$A$3:$H$102,5,FALSE)-VLOOKUP($A191,main!$A$3:$H$102,6,FALSE)&gt;=main!$D$103+VLOOKUP(VLOOKUP(CS$1,main!$A$3:$I$102,7,FALSE),main!$K$26:$Q$29,4,FALSE)),1,0)</f>
        <v>0</v>
      </c>
      <c r="CT191">
        <f>IF(AND(VLOOKUP(CT$1,main!$A$3:$H$102,7,FALSE)=main!$G$104,VLOOKUP(CT$1,main!$A$3:$H$102,5,FALSE)-VLOOKUP($A191,main!$A$3:$H$102,6,FALSE)&gt;=main!$D$103+VLOOKUP(VLOOKUP(CT$1,main!$A$3:$I$102,7,FALSE),main!$K$26:$Q$29,4,FALSE)),1,0)</f>
        <v>0</v>
      </c>
      <c r="CU191">
        <f>IF(AND(VLOOKUP(CU$1,main!$A$3:$H$102,7,FALSE)=main!$G$104,VLOOKUP(CU$1,main!$A$3:$H$102,5,FALSE)-VLOOKUP($A191,main!$A$3:$H$102,6,FALSE)&gt;=main!$D$103+VLOOKUP(VLOOKUP(CU$1,main!$A$3:$I$102,7,FALSE),main!$K$26:$Q$29,4,FALSE)),1,0)</f>
        <v>0</v>
      </c>
      <c r="CV191">
        <f>IF(AND(VLOOKUP(CV$1,main!$A$3:$H$102,7,FALSE)=main!$G$104,VLOOKUP(CV$1,main!$A$3:$H$102,5,FALSE)-VLOOKUP($A191,main!$A$3:$H$102,6,FALSE)&gt;=main!$D$103+VLOOKUP(VLOOKUP(CV$1,main!$A$3:$I$102,7,FALSE),main!$K$26:$Q$29,4,FALSE)),1,0)</f>
        <v>0</v>
      </c>
      <c r="CW191">
        <f>IF(AND(VLOOKUP(CW$1,main!$A$3:$H$102,7,FALSE)=main!$G$104,VLOOKUP(CW$1,main!$A$3:$H$102,5,FALSE)-VLOOKUP($A191,main!$A$3:$H$102,6,FALSE)&gt;=main!$D$103+VLOOKUP(VLOOKUP(CW$1,main!$A$3:$I$102,7,FALSE),main!$K$26:$Q$29,4,FALSE)),1,0)</f>
        <v>0</v>
      </c>
      <c r="CX191">
        <f>IF(AND(VLOOKUP(CX$1,main!$A$3:$H$102,7,FALSE)=main!$G$104,VLOOKUP(CX$1,main!$A$3:$H$102,5,FALSE)-VLOOKUP($A191,main!$A$3:$H$102,6,FALSE)&gt;=main!$D$103+VLOOKUP(VLOOKUP(CX$1,main!$A$3:$I$102,7,FALSE),main!$K$26:$Q$29,4,FALSE)),1,0)</f>
        <v>0</v>
      </c>
    </row>
    <row r="192" spans="1:102" x14ac:dyDescent="0.25">
      <c r="A192" s="1">
        <v>89</v>
      </c>
      <c r="B192">
        <v>0</v>
      </c>
      <c r="C192">
        <f>IF(AND(VLOOKUP(C$1,main!$A$3:$H$102,7,FALSE)=main!$G$104,VLOOKUP(C$1,main!$A$3:$H$102,5,FALSE)-VLOOKUP($A192,main!$A$3:$H$102,6,FALSE)&gt;=main!$D$103+VLOOKUP(VLOOKUP(C$1,main!$A$3:$I$102,7,FALSE),main!$K$26:$Q$29,4,FALSE)),1,0)</f>
        <v>0</v>
      </c>
      <c r="D192">
        <f>IF(AND(VLOOKUP(D$1,main!$A$3:$H$102,7,FALSE)=main!$G$104,VLOOKUP(D$1,main!$A$3:$H$102,5,FALSE)-VLOOKUP($A192,main!$A$3:$H$102,6,FALSE)&gt;=main!$D$103+VLOOKUP(VLOOKUP(D$1,main!$A$3:$I$102,7,FALSE),main!$K$26:$Q$29,4,FALSE)),1,0)</f>
        <v>0</v>
      </c>
      <c r="E192">
        <f>IF(AND(VLOOKUP(E$1,main!$A$3:$H$102,7,FALSE)=main!$G$104,VLOOKUP(E$1,main!$A$3:$H$102,5,FALSE)-VLOOKUP($A192,main!$A$3:$H$102,6,FALSE)&gt;=main!$D$103+VLOOKUP(VLOOKUP(E$1,main!$A$3:$I$102,7,FALSE),main!$K$26:$Q$29,4,FALSE)),1,0)</f>
        <v>0</v>
      </c>
      <c r="F192">
        <f>IF(AND(VLOOKUP(F$1,main!$A$3:$H$102,7,FALSE)=main!$G$104,VLOOKUP(F$1,main!$A$3:$H$102,5,FALSE)-VLOOKUP($A192,main!$A$3:$H$102,6,FALSE)&gt;=main!$D$103+VLOOKUP(VLOOKUP(F$1,main!$A$3:$I$102,7,FALSE),main!$K$26:$Q$29,4,FALSE)),1,0)</f>
        <v>0</v>
      </c>
      <c r="G192">
        <f>IF(AND(VLOOKUP(G$1,main!$A$3:$H$102,7,FALSE)=main!$G$104,VLOOKUP(G$1,main!$A$3:$H$102,5,FALSE)-VLOOKUP($A192,main!$A$3:$H$102,6,FALSE)&gt;=main!$D$103+VLOOKUP(VLOOKUP(G$1,main!$A$3:$I$102,7,FALSE),main!$K$26:$Q$29,4,FALSE)),1,0)</f>
        <v>0</v>
      </c>
      <c r="H192">
        <f>IF(AND(VLOOKUP(H$1,main!$A$3:$H$102,7,FALSE)=main!$G$104,VLOOKUP(H$1,main!$A$3:$H$102,5,FALSE)-VLOOKUP($A192,main!$A$3:$H$102,6,FALSE)&gt;=main!$D$103+VLOOKUP(VLOOKUP(H$1,main!$A$3:$I$102,7,FALSE),main!$K$26:$Q$29,4,FALSE)),1,0)</f>
        <v>0</v>
      </c>
      <c r="I192">
        <f>IF(AND(VLOOKUP(I$1,main!$A$3:$H$102,7,FALSE)=main!$G$104,VLOOKUP(I$1,main!$A$3:$H$102,5,FALSE)-VLOOKUP($A192,main!$A$3:$H$102,6,FALSE)&gt;=main!$D$103+VLOOKUP(VLOOKUP(I$1,main!$A$3:$I$102,7,FALSE),main!$K$26:$Q$29,4,FALSE)),1,0)</f>
        <v>0</v>
      </c>
      <c r="J192">
        <f>IF(AND(VLOOKUP(J$1,main!$A$3:$H$102,7,FALSE)=main!$G$104,VLOOKUP(J$1,main!$A$3:$H$102,5,FALSE)-VLOOKUP($A192,main!$A$3:$H$102,6,FALSE)&gt;=main!$D$103+VLOOKUP(VLOOKUP(J$1,main!$A$3:$I$102,7,FALSE),main!$K$26:$Q$29,4,FALSE)),1,0)</f>
        <v>0</v>
      </c>
      <c r="K192">
        <f>IF(AND(VLOOKUP(K$1,main!$A$3:$H$102,7,FALSE)=main!$G$104,VLOOKUP(K$1,main!$A$3:$H$102,5,FALSE)-VLOOKUP($A192,main!$A$3:$H$102,6,FALSE)&gt;=main!$D$103+VLOOKUP(VLOOKUP(K$1,main!$A$3:$I$102,7,FALSE),main!$K$26:$Q$29,4,FALSE)),1,0)</f>
        <v>0</v>
      </c>
      <c r="L192">
        <f>IF(AND(VLOOKUP(L$1,main!$A$3:$H$102,7,FALSE)=main!$G$104,VLOOKUP(L$1,main!$A$3:$H$102,5,FALSE)-VLOOKUP($A192,main!$A$3:$H$102,6,FALSE)&gt;=main!$D$103+VLOOKUP(VLOOKUP(L$1,main!$A$3:$I$102,7,FALSE),main!$K$26:$Q$29,4,FALSE)),1,0)</f>
        <v>1</v>
      </c>
      <c r="M192">
        <f>IF(AND(VLOOKUP(M$1,main!$A$3:$H$102,7,FALSE)=main!$G$104,VLOOKUP(M$1,main!$A$3:$H$102,5,FALSE)-VLOOKUP($A192,main!$A$3:$H$102,6,FALSE)&gt;=main!$D$103+VLOOKUP(VLOOKUP(M$1,main!$A$3:$I$102,7,FALSE),main!$K$26:$Q$29,4,FALSE)),1,0)</f>
        <v>0</v>
      </c>
      <c r="N192">
        <f>IF(AND(VLOOKUP(N$1,main!$A$3:$H$102,7,FALSE)=main!$G$104,VLOOKUP(N$1,main!$A$3:$H$102,5,FALSE)-VLOOKUP($A192,main!$A$3:$H$102,6,FALSE)&gt;=main!$D$103+VLOOKUP(VLOOKUP(N$1,main!$A$3:$I$102,7,FALSE),main!$K$26:$Q$29,4,FALSE)),1,0)</f>
        <v>0</v>
      </c>
      <c r="O192">
        <f>IF(AND(VLOOKUP(O$1,main!$A$3:$H$102,7,FALSE)=main!$G$104,VLOOKUP(O$1,main!$A$3:$H$102,5,FALSE)-VLOOKUP($A192,main!$A$3:$H$102,6,FALSE)&gt;=main!$D$103+VLOOKUP(VLOOKUP(O$1,main!$A$3:$I$102,7,FALSE),main!$K$26:$Q$29,4,FALSE)),1,0)</f>
        <v>0</v>
      </c>
      <c r="P192">
        <f>IF(AND(VLOOKUP(P$1,main!$A$3:$H$102,7,FALSE)=main!$G$104,VLOOKUP(P$1,main!$A$3:$H$102,5,FALSE)-VLOOKUP($A192,main!$A$3:$H$102,6,FALSE)&gt;=main!$D$103+VLOOKUP(VLOOKUP(P$1,main!$A$3:$I$102,7,FALSE),main!$K$26:$Q$29,4,FALSE)),1,0)</f>
        <v>0</v>
      </c>
      <c r="Q192">
        <f>IF(AND(VLOOKUP(Q$1,main!$A$3:$H$102,7,FALSE)=main!$G$104,VLOOKUP(Q$1,main!$A$3:$H$102,5,FALSE)-VLOOKUP($A192,main!$A$3:$H$102,6,FALSE)&gt;=main!$D$103+VLOOKUP(VLOOKUP(Q$1,main!$A$3:$I$102,7,FALSE),main!$K$26:$Q$29,4,FALSE)),1,0)</f>
        <v>0</v>
      </c>
      <c r="R192">
        <f>IF(AND(VLOOKUP(R$1,main!$A$3:$H$102,7,FALSE)=main!$G$104,VLOOKUP(R$1,main!$A$3:$H$102,5,FALSE)-VLOOKUP($A192,main!$A$3:$H$102,6,FALSE)&gt;=main!$D$103+VLOOKUP(VLOOKUP(R$1,main!$A$3:$I$102,7,FALSE),main!$K$26:$Q$29,4,FALSE)),1,0)</f>
        <v>0</v>
      </c>
      <c r="S192">
        <f>IF(AND(VLOOKUP(S$1,main!$A$3:$H$102,7,FALSE)=main!$G$104,VLOOKUP(S$1,main!$A$3:$H$102,5,FALSE)-VLOOKUP($A192,main!$A$3:$H$102,6,FALSE)&gt;=main!$D$103+VLOOKUP(VLOOKUP(S$1,main!$A$3:$I$102,7,FALSE),main!$K$26:$Q$29,4,FALSE)),1,0)</f>
        <v>0</v>
      </c>
      <c r="T192">
        <f>IF(AND(VLOOKUP(T$1,main!$A$3:$H$102,7,FALSE)=main!$G$104,VLOOKUP(T$1,main!$A$3:$H$102,5,FALSE)-VLOOKUP($A192,main!$A$3:$H$102,6,FALSE)&gt;=main!$D$103+VLOOKUP(VLOOKUP(T$1,main!$A$3:$I$102,7,FALSE),main!$K$26:$Q$29,4,FALSE)),1,0)</f>
        <v>0</v>
      </c>
      <c r="U192">
        <f>IF(AND(VLOOKUP(U$1,main!$A$3:$H$102,7,FALSE)=main!$G$104,VLOOKUP(U$1,main!$A$3:$H$102,5,FALSE)-VLOOKUP($A192,main!$A$3:$H$102,6,FALSE)&gt;=main!$D$103+VLOOKUP(VLOOKUP(U$1,main!$A$3:$I$102,7,FALSE),main!$K$26:$Q$29,4,FALSE)),1,0)</f>
        <v>1</v>
      </c>
      <c r="V192">
        <f>IF(AND(VLOOKUP(V$1,main!$A$3:$H$102,7,FALSE)=main!$G$104,VLOOKUP(V$1,main!$A$3:$H$102,5,FALSE)-VLOOKUP($A192,main!$A$3:$H$102,6,FALSE)&gt;=main!$D$103+VLOOKUP(VLOOKUP(V$1,main!$A$3:$I$102,7,FALSE),main!$K$26:$Q$29,4,FALSE)),1,0)</f>
        <v>1</v>
      </c>
      <c r="W192">
        <f>IF(AND(VLOOKUP(W$1,main!$A$3:$H$102,7,FALSE)=main!$G$104,VLOOKUP(W$1,main!$A$3:$H$102,5,FALSE)-VLOOKUP($A192,main!$A$3:$H$102,6,FALSE)&gt;=main!$D$103+VLOOKUP(VLOOKUP(W$1,main!$A$3:$I$102,7,FALSE),main!$K$26:$Q$29,4,FALSE)),1,0)</f>
        <v>0</v>
      </c>
      <c r="X192">
        <f>IF(AND(VLOOKUP(X$1,main!$A$3:$H$102,7,FALSE)=main!$G$104,VLOOKUP(X$1,main!$A$3:$H$102,5,FALSE)-VLOOKUP($A192,main!$A$3:$H$102,6,FALSE)&gt;=main!$D$103+VLOOKUP(VLOOKUP(X$1,main!$A$3:$I$102,7,FALSE),main!$K$26:$Q$29,4,FALSE)),1,0)</f>
        <v>0</v>
      </c>
      <c r="Y192">
        <f>IF(AND(VLOOKUP(Y$1,main!$A$3:$H$102,7,FALSE)=main!$G$104,VLOOKUP(Y$1,main!$A$3:$H$102,5,FALSE)-VLOOKUP($A192,main!$A$3:$H$102,6,FALSE)&gt;=main!$D$103+VLOOKUP(VLOOKUP(Y$1,main!$A$3:$I$102,7,FALSE),main!$K$26:$Q$29,4,FALSE)),1,0)</f>
        <v>0</v>
      </c>
      <c r="Z192">
        <f>IF(AND(VLOOKUP(Z$1,main!$A$3:$H$102,7,FALSE)=main!$G$104,VLOOKUP(Z$1,main!$A$3:$H$102,5,FALSE)-VLOOKUP($A192,main!$A$3:$H$102,6,FALSE)&gt;=main!$D$103+VLOOKUP(VLOOKUP(Z$1,main!$A$3:$I$102,7,FALSE),main!$K$26:$Q$29,4,FALSE)),1,0)</f>
        <v>0</v>
      </c>
      <c r="AA192">
        <f>IF(AND(VLOOKUP(AA$1,main!$A$3:$H$102,7,FALSE)=main!$G$104,VLOOKUP(AA$1,main!$A$3:$H$102,5,FALSE)-VLOOKUP($A192,main!$A$3:$H$102,6,FALSE)&gt;=main!$D$103+VLOOKUP(VLOOKUP(AA$1,main!$A$3:$I$102,7,FALSE),main!$K$26:$Q$29,4,FALSE)),1,0)</f>
        <v>0</v>
      </c>
      <c r="AB192">
        <f>IF(AND(VLOOKUP(AB$1,main!$A$3:$H$102,7,FALSE)=main!$G$104,VLOOKUP(AB$1,main!$A$3:$H$102,5,FALSE)-VLOOKUP($A192,main!$A$3:$H$102,6,FALSE)&gt;=main!$D$103+VLOOKUP(VLOOKUP(AB$1,main!$A$3:$I$102,7,FALSE),main!$K$26:$Q$29,4,FALSE)),1,0)</f>
        <v>0</v>
      </c>
      <c r="AC192">
        <f>IF(AND(VLOOKUP(AC$1,main!$A$3:$H$102,7,FALSE)=main!$G$104,VLOOKUP(AC$1,main!$A$3:$H$102,5,FALSE)-VLOOKUP($A192,main!$A$3:$H$102,6,FALSE)&gt;=main!$D$103+VLOOKUP(VLOOKUP(AC$1,main!$A$3:$I$102,7,FALSE),main!$K$26:$Q$29,4,FALSE)),1,0)</f>
        <v>0</v>
      </c>
      <c r="AD192">
        <f>IF(AND(VLOOKUP(AD$1,main!$A$3:$H$102,7,FALSE)=main!$G$104,VLOOKUP(AD$1,main!$A$3:$H$102,5,FALSE)-VLOOKUP($A192,main!$A$3:$H$102,6,FALSE)&gt;=main!$D$103+VLOOKUP(VLOOKUP(AD$1,main!$A$3:$I$102,7,FALSE),main!$K$26:$Q$29,4,FALSE)),1,0)</f>
        <v>0</v>
      </c>
      <c r="AE192">
        <f>IF(AND(VLOOKUP(AE$1,main!$A$3:$H$102,7,FALSE)=main!$G$104,VLOOKUP(AE$1,main!$A$3:$H$102,5,FALSE)-VLOOKUP($A192,main!$A$3:$H$102,6,FALSE)&gt;=main!$D$103+VLOOKUP(VLOOKUP(AE$1,main!$A$3:$I$102,7,FALSE),main!$K$26:$Q$29,4,FALSE)),1,0)</f>
        <v>0</v>
      </c>
      <c r="AF192">
        <f>IF(AND(VLOOKUP(AF$1,main!$A$3:$H$102,7,FALSE)=main!$G$104,VLOOKUP(AF$1,main!$A$3:$H$102,5,FALSE)-VLOOKUP($A192,main!$A$3:$H$102,6,FALSE)&gt;=main!$D$103+VLOOKUP(VLOOKUP(AF$1,main!$A$3:$I$102,7,FALSE),main!$K$26:$Q$29,4,FALSE)),1,0)</f>
        <v>0</v>
      </c>
      <c r="AG192">
        <f>IF(AND(VLOOKUP(AG$1,main!$A$3:$H$102,7,FALSE)=main!$G$104,VLOOKUP(AG$1,main!$A$3:$H$102,5,FALSE)-VLOOKUP($A192,main!$A$3:$H$102,6,FALSE)&gt;=main!$D$103+VLOOKUP(VLOOKUP(AG$1,main!$A$3:$I$102,7,FALSE),main!$K$26:$Q$29,4,FALSE)),1,0)</f>
        <v>0</v>
      </c>
      <c r="AH192">
        <f>IF(AND(VLOOKUP(AH$1,main!$A$3:$H$102,7,FALSE)=main!$G$104,VLOOKUP(AH$1,main!$A$3:$H$102,5,FALSE)-VLOOKUP($A192,main!$A$3:$H$102,6,FALSE)&gt;=main!$D$103+VLOOKUP(VLOOKUP(AH$1,main!$A$3:$I$102,7,FALSE),main!$K$26:$Q$29,4,FALSE)),1,0)</f>
        <v>0</v>
      </c>
      <c r="AI192">
        <f>IF(AND(VLOOKUP(AI$1,main!$A$3:$H$102,7,FALSE)=main!$G$104,VLOOKUP(AI$1,main!$A$3:$H$102,5,FALSE)-VLOOKUP($A192,main!$A$3:$H$102,6,FALSE)&gt;=main!$D$103+VLOOKUP(VLOOKUP(AI$1,main!$A$3:$I$102,7,FALSE),main!$K$26:$Q$29,4,FALSE)),1,0)</f>
        <v>0</v>
      </c>
      <c r="AJ192">
        <f>IF(AND(VLOOKUP(AJ$1,main!$A$3:$H$102,7,FALSE)=main!$G$104,VLOOKUP(AJ$1,main!$A$3:$H$102,5,FALSE)-VLOOKUP($A192,main!$A$3:$H$102,6,FALSE)&gt;=main!$D$103+VLOOKUP(VLOOKUP(AJ$1,main!$A$3:$I$102,7,FALSE),main!$K$26:$Q$29,4,FALSE)),1,0)</f>
        <v>0</v>
      </c>
      <c r="AK192">
        <f>IF(AND(VLOOKUP(AK$1,main!$A$3:$H$102,7,FALSE)=main!$G$104,VLOOKUP(AK$1,main!$A$3:$H$102,5,FALSE)-VLOOKUP($A192,main!$A$3:$H$102,6,FALSE)&gt;=main!$D$103+VLOOKUP(VLOOKUP(AK$1,main!$A$3:$I$102,7,FALSE),main!$K$26:$Q$29,4,FALSE)),1,0)</f>
        <v>0</v>
      </c>
      <c r="AL192">
        <f>IF(AND(VLOOKUP(AL$1,main!$A$3:$H$102,7,FALSE)=main!$G$104,VLOOKUP(AL$1,main!$A$3:$H$102,5,FALSE)-VLOOKUP($A192,main!$A$3:$H$102,6,FALSE)&gt;=main!$D$103+VLOOKUP(VLOOKUP(AL$1,main!$A$3:$I$102,7,FALSE),main!$K$26:$Q$29,4,FALSE)),1,0)</f>
        <v>0</v>
      </c>
      <c r="AM192">
        <f>IF(AND(VLOOKUP(AM$1,main!$A$3:$H$102,7,FALSE)=main!$G$104,VLOOKUP(AM$1,main!$A$3:$H$102,5,FALSE)-VLOOKUP($A192,main!$A$3:$H$102,6,FALSE)&gt;=main!$D$103+VLOOKUP(VLOOKUP(AM$1,main!$A$3:$I$102,7,FALSE),main!$K$26:$Q$29,4,FALSE)),1,0)</f>
        <v>0</v>
      </c>
      <c r="AN192">
        <f>IF(AND(VLOOKUP(AN$1,main!$A$3:$H$102,7,FALSE)=main!$G$104,VLOOKUP(AN$1,main!$A$3:$H$102,5,FALSE)-VLOOKUP($A192,main!$A$3:$H$102,6,FALSE)&gt;=main!$D$103+VLOOKUP(VLOOKUP(AN$1,main!$A$3:$I$102,7,FALSE),main!$K$26:$Q$29,4,FALSE)),1,0)</f>
        <v>0</v>
      </c>
      <c r="AO192">
        <f>IF(AND(VLOOKUP(AO$1,main!$A$3:$H$102,7,FALSE)=main!$G$104,VLOOKUP(AO$1,main!$A$3:$H$102,5,FALSE)-VLOOKUP($A192,main!$A$3:$H$102,6,FALSE)&gt;=main!$D$103+VLOOKUP(VLOOKUP(AO$1,main!$A$3:$I$102,7,FALSE),main!$K$26:$Q$29,4,FALSE)),1,0)</f>
        <v>0</v>
      </c>
      <c r="AP192">
        <f>IF(AND(VLOOKUP(AP$1,main!$A$3:$H$102,7,FALSE)=main!$G$104,VLOOKUP(AP$1,main!$A$3:$H$102,5,FALSE)-VLOOKUP($A192,main!$A$3:$H$102,6,FALSE)&gt;=main!$D$103+VLOOKUP(VLOOKUP(AP$1,main!$A$3:$I$102,7,FALSE),main!$K$26:$Q$29,4,FALSE)),1,0)</f>
        <v>0</v>
      </c>
      <c r="AQ192">
        <f>IF(AND(VLOOKUP(AQ$1,main!$A$3:$H$102,7,FALSE)=main!$G$104,VLOOKUP(AQ$1,main!$A$3:$H$102,5,FALSE)-VLOOKUP($A192,main!$A$3:$H$102,6,FALSE)&gt;=main!$D$103+VLOOKUP(VLOOKUP(AQ$1,main!$A$3:$I$102,7,FALSE),main!$K$26:$Q$29,4,FALSE)),1,0)</f>
        <v>0</v>
      </c>
      <c r="AR192">
        <f>IF(AND(VLOOKUP(AR$1,main!$A$3:$H$102,7,FALSE)=main!$G$104,VLOOKUP(AR$1,main!$A$3:$H$102,5,FALSE)-VLOOKUP($A192,main!$A$3:$H$102,6,FALSE)&gt;=main!$D$103+VLOOKUP(VLOOKUP(AR$1,main!$A$3:$I$102,7,FALSE),main!$K$26:$Q$29,4,FALSE)),1,0)</f>
        <v>0</v>
      </c>
      <c r="AS192">
        <f>IF(AND(VLOOKUP(AS$1,main!$A$3:$H$102,7,FALSE)=main!$G$104,VLOOKUP(AS$1,main!$A$3:$H$102,5,FALSE)-VLOOKUP($A192,main!$A$3:$H$102,6,FALSE)&gt;=main!$D$103+VLOOKUP(VLOOKUP(AS$1,main!$A$3:$I$102,7,FALSE),main!$K$26:$Q$29,4,FALSE)),1,0)</f>
        <v>0</v>
      </c>
      <c r="AT192">
        <f>IF(AND(VLOOKUP(AT$1,main!$A$3:$H$102,7,FALSE)=main!$G$104,VLOOKUP(AT$1,main!$A$3:$H$102,5,FALSE)-VLOOKUP($A192,main!$A$3:$H$102,6,FALSE)&gt;=main!$D$103+VLOOKUP(VLOOKUP(AT$1,main!$A$3:$I$102,7,FALSE),main!$K$26:$Q$29,4,FALSE)),1,0)</f>
        <v>0</v>
      </c>
      <c r="AU192">
        <f>IF(AND(VLOOKUP(AU$1,main!$A$3:$H$102,7,FALSE)=main!$G$104,VLOOKUP(AU$1,main!$A$3:$H$102,5,FALSE)-VLOOKUP($A192,main!$A$3:$H$102,6,FALSE)&gt;=main!$D$103+VLOOKUP(VLOOKUP(AU$1,main!$A$3:$I$102,7,FALSE),main!$K$26:$Q$29,4,FALSE)),1,0)</f>
        <v>0</v>
      </c>
      <c r="AV192">
        <f>IF(AND(VLOOKUP(AV$1,main!$A$3:$H$102,7,FALSE)=main!$G$104,VLOOKUP(AV$1,main!$A$3:$H$102,5,FALSE)-VLOOKUP($A192,main!$A$3:$H$102,6,FALSE)&gt;=main!$D$103+VLOOKUP(VLOOKUP(AV$1,main!$A$3:$I$102,7,FALSE),main!$K$26:$Q$29,4,FALSE)),1,0)</f>
        <v>0</v>
      </c>
      <c r="AW192">
        <f>IF(AND(VLOOKUP(AW$1,main!$A$3:$H$102,7,FALSE)=main!$G$104,VLOOKUP(AW$1,main!$A$3:$H$102,5,FALSE)-VLOOKUP($A192,main!$A$3:$H$102,6,FALSE)&gt;=main!$D$103+VLOOKUP(VLOOKUP(AW$1,main!$A$3:$I$102,7,FALSE),main!$K$26:$Q$29,4,FALSE)),1,0)</f>
        <v>0</v>
      </c>
      <c r="AX192">
        <f>IF(AND(VLOOKUP(AX$1,main!$A$3:$H$102,7,FALSE)=main!$G$104,VLOOKUP(AX$1,main!$A$3:$H$102,5,FALSE)-VLOOKUP($A192,main!$A$3:$H$102,6,FALSE)&gt;=main!$D$103+VLOOKUP(VLOOKUP(AX$1,main!$A$3:$I$102,7,FALSE),main!$K$26:$Q$29,4,FALSE)),1,0)</f>
        <v>0</v>
      </c>
      <c r="AY192">
        <f>IF(AND(VLOOKUP(AY$1,main!$A$3:$H$102,7,FALSE)=main!$G$104,VLOOKUP(AY$1,main!$A$3:$H$102,5,FALSE)-VLOOKUP($A192,main!$A$3:$H$102,6,FALSE)&gt;=main!$D$103+VLOOKUP(VLOOKUP(AY$1,main!$A$3:$I$102,7,FALSE),main!$K$26:$Q$29,4,FALSE)),1,0)</f>
        <v>0</v>
      </c>
      <c r="AZ192">
        <f>IF(AND(VLOOKUP(AZ$1,main!$A$3:$H$102,7,FALSE)=main!$G$104,VLOOKUP(AZ$1,main!$A$3:$H$102,5,FALSE)-VLOOKUP($A192,main!$A$3:$H$102,6,FALSE)&gt;=main!$D$103+VLOOKUP(VLOOKUP(AZ$1,main!$A$3:$I$102,7,FALSE),main!$K$26:$Q$29,4,FALSE)),1,0)</f>
        <v>0</v>
      </c>
      <c r="BA192">
        <f>IF(AND(VLOOKUP(BA$1,main!$A$3:$H$102,7,FALSE)=main!$G$104,VLOOKUP(BA$1,main!$A$3:$H$102,5,FALSE)-VLOOKUP($A192,main!$A$3:$H$102,6,FALSE)&gt;=main!$D$103+VLOOKUP(VLOOKUP(BA$1,main!$A$3:$I$102,7,FALSE),main!$K$26:$Q$29,4,FALSE)),1,0)</f>
        <v>0</v>
      </c>
      <c r="BB192">
        <f>IF(AND(VLOOKUP(BB$1,main!$A$3:$H$102,7,FALSE)=main!$G$104,VLOOKUP(BB$1,main!$A$3:$H$102,5,FALSE)-VLOOKUP($A192,main!$A$3:$H$102,6,FALSE)&gt;=main!$D$103+VLOOKUP(VLOOKUP(BB$1,main!$A$3:$I$102,7,FALSE),main!$K$26:$Q$29,4,FALSE)),1,0)</f>
        <v>0</v>
      </c>
      <c r="BC192">
        <f>IF(AND(VLOOKUP(BC$1,main!$A$3:$H$102,7,FALSE)=main!$G$104,VLOOKUP(BC$1,main!$A$3:$H$102,5,FALSE)-VLOOKUP($A192,main!$A$3:$H$102,6,FALSE)&gt;=main!$D$103+VLOOKUP(VLOOKUP(BC$1,main!$A$3:$I$102,7,FALSE),main!$K$26:$Q$29,4,FALSE)),1,0)</f>
        <v>0</v>
      </c>
      <c r="BD192">
        <f>IF(AND(VLOOKUP(BD$1,main!$A$3:$H$102,7,FALSE)=main!$G$104,VLOOKUP(BD$1,main!$A$3:$H$102,5,FALSE)-VLOOKUP($A192,main!$A$3:$H$102,6,FALSE)&gt;=main!$D$103+VLOOKUP(VLOOKUP(BD$1,main!$A$3:$I$102,7,FALSE),main!$K$26:$Q$29,4,FALSE)),1,0)</f>
        <v>0</v>
      </c>
      <c r="BE192">
        <f>IF(AND(VLOOKUP(BE$1,main!$A$3:$H$102,7,FALSE)=main!$G$104,VLOOKUP(BE$1,main!$A$3:$H$102,5,FALSE)-VLOOKUP($A192,main!$A$3:$H$102,6,FALSE)&gt;=main!$D$103+VLOOKUP(VLOOKUP(BE$1,main!$A$3:$I$102,7,FALSE),main!$K$26:$Q$29,4,FALSE)),1,0)</f>
        <v>0</v>
      </c>
      <c r="BF192">
        <f>IF(AND(VLOOKUP(BF$1,main!$A$3:$H$102,7,FALSE)=main!$G$104,VLOOKUP(BF$1,main!$A$3:$H$102,5,FALSE)-VLOOKUP($A192,main!$A$3:$H$102,6,FALSE)&gt;=main!$D$103+VLOOKUP(VLOOKUP(BF$1,main!$A$3:$I$102,7,FALSE),main!$K$26:$Q$29,4,FALSE)),1,0)</f>
        <v>0</v>
      </c>
      <c r="BG192">
        <f>IF(AND(VLOOKUP(BG$1,main!$A$3:$H$102,7,FALSE)=main!$G$104,VLOOKUP(BG$1,main!$A$3:$H$102,5,FALSE)-VLOOKUP($A192,main!$A$3:$H$102,6,FALSE)&gt;=main!$D$103+VLOOKUP(VLOOKUP(BG$1,main!$A$3:$I$102,7,FALSE),main!$K$26:$Q$29,4,FALSE)),1,0)</f>
        <v>0</v>
      </c>
      <c r="BH192">
        <f>IF(AND(VLOOKUP(BH$1,main!$A$3:$H$102,7,FALSE)=main!$G$104,VLOOKUP(BH$1,main!$A$3:$H$102,5,FALSE)-VLOOKUP($A192,main!$A$3:$H$102,6,FALSE)&gt;=main!$D$103+VLOOKUP(VLOOKUP(BH$1,main!$A$3:$I$102,7,FALSE),main!$K$26:$Q$29,4,FALSE)),1,0)</f>
        <v>0</v>
      </c>
      <c r="BI192">
        <f>IF(AND(VLOOKUP(BI$1,main!$A$3:$H$102,7,FALSE)=main!$G$104,VLOOKUP(BI$1,main!$A$3:$H$102,5,FALSE)-VLOOKUP($A192,main!$A$3:$H$102,6,FALSE)&gt;=main!$D$103+VLOOKUP(VLOOKUP(BI$1,main!$A$3:$I$102,7,FALSE),main!$K$26:$Q$29,4,FALSE)),1,0)</f>
        <v>0</v>
      </c>
      <c r="BJ192">
        <f>IF(AND(VLOOKUP(BJ$1,main!$A$3:$H$102,7,FALSE)=main!$G$104,VLOOKUP(BJ$1,main!$A$3:$H$102,5,FALSE)-VLOOKUP($A192,main!$A$3:$H$102,6,FALSE)&gt;=main!$D$103+VLOOKUP(VLOOKUP(BJ$1,main!$A$3:$I$102,7,FALSE),main!$K$26:$Q$29,4,FALSE)),1,0)</f>
        <v>0</v>
      </c>
      <c r="BK192">
        <f>IF(AND(VLOOKUP(BK$1,main!$A$3:$H$102,7,FALSE)=main!$G$104,VLOOKUP(BK$1,main!$A$3:$H$102,5,FALSE)-VLOOKUP($A192,main!$A$3:$H$102,6,FALSE)&gt;=main!$D$103+VLOOKUP(VLOOKUP(BK$1,main!$A$3:$I$102,7,FALSE),main!$K$26:$Q$29,4,FALSE)),1,0)</f>
        <v>0</v>
      </c>
      <c r="BL192">
        <f>IF(AND(VLOOKUP(BL$1,main!$A$3:$H$102,7,FALSE)=main!$G$104,VLOOKUP(BL$1,main!$A$3:$H$102,5,FALSE)-VLOOKUP($A192,main!$A$3:$H$102,6,FALSE)&gt;=main!$D$103+VLOOKUP(VLOOKUP(BL$1,main!$A$3:$I$102,7,FALSE),main!$K$26:$Q$29,4,FALSE)),1,0)</f>
        <v>0</v>
      </c>
      <c r="BM192">
        <f>IF(AND(VLOOKUP(BM$1,main!$A$3:$H$102,7,FALSE)=main!$G$104,VLOOKUP(BM$1,main!$A$3:$H$102,5,FALSE)-VLOOKUP($A192,main!$A$3:$H$102,6,FALSE)&gt;=main!$D$103+VLOOKUP(VLOOKUP(BM$1,main!$A$3:$I$102,7,FALSE),main!$K$26:$Q$29,4,FALSE)),1,0)</f>
        <v>0</v>
      </c>
      <c r="BN192">
        <f>IF(AND(VLOOKUP(BN$1,main!$A$3:$H$102,7,FALSE)=main!$G$104,VLOOKUP(BN$1,main!$A$3:$H$102,5,FALSE)-VLOOKUP($A192,main!$A$3:$H$102,6,FALSE)&gt;=main!$D$103+VLOOKUP(VLOOKUP(BN$1,main!$A$3:$I$102,7,FALSE),main!$K$26:$Q$29,4,FALSE)),1,0)</f>
        <v>0</v>
      </c>
      <c r="BO192">
        <f>IF(AND(VLOOKUP(BO$1,main!$A$3:$H$102,7,FALSE)=main!$G$104,VLOOKUP(BO$1,main!$A$3:$H$102,5,FALSE)-VLOOKUP($A192,main!$A$3:$H$102,6,FALSE)&gt;=main!$D$103+VLOOKUP(VLOOKUP(BO$1,main!$A$3:$I$102,7,FALSE),main!$K$26:$Q$29,4,FALSE)),1,0)</f>
        <v>0</v>
      </c>
      <c r="BP192">
        <f>IF(AND(VLOOKUP(BP$1,main!$A$3:$H$102,7,FALSE)=main!$G$104,VLOOKUP(BP$1,main!$A$3:$H$102,5,FALSE)-VLOOKUP($A192,main!$A$3:$H$102,6,FALSE)&gt;=main!$D$103+VLOOKUP(VLOOKUP(BP$1,main!$A$3:$I$102,7,FALSE),main!$K$26:$Q$29,4,FALSE)),1,0)</f>
        <v>0</v>
      </c>
      <c r="BQ192">
        <f>IF(AND(VLOOKUP(BQ$1,main!$A$3:$H$102,7,FALSE)=main!$G$104,VLOOKUP(BQ$1,main!$A$3:$H$102,5,FALSE)-VLOOKUP($A192,main!$A$3:$H$102,6,FALSE)&gt;=main!$D$103+VLOOKUP(VLOOKUP(BQ$1,main!$A$3:$I$102,7,FALSE),main!$K$26:$Q$29,4,FALSE)),1,0)</f>
        <v>0</v>
      </c>
      <c r="BR192">
        <f>IF(AND(VLOOKUP(BR$1,main!$A$3:$H$102,7,FALSE)=main!$G$104,VLOOKUP(BR$1,main!$A$3:$H$102,5,FALSE)-VLOOKUP($A192,main!$A$3:$H$102,6,FALSE)&gt;=main!$D$103+VLOOKUP(VLOOKUP(BR$1,main!$A$3:$I$102,7,FALSE),main!$K$26:$Q$29,4,FALSE)),1,0)</f>
        <v>0</v>
      </c>
      <c r="BS192">
        <f>IF(AND(VLOOKUP(BS$1,main!$A$3:$H$102,7,FALSE)=main!$G$104,VLOOKUP(BS$1,main!$A$3:$H$102,5,FALSE)-VLOOKUP($A192,main!$A$3:$H$102,6,FALSE)&gt;=main!$D$103+VLOOKUP(VLOOKUP(BS$1,main!$A$3:$I$102,7,FALSE),main!$K$26:$Q$29,4,FALSE)),1,0)</f>
        <v>0</v>
      </c>
      <c r="BT192">
        <f>IF(AND(VLOOKUP(BT$1,main!$A$3:$H$102,7,FALSE)=main!$G$104,VLOOKUP(BT$1,main!$A$3:$H$102,5,FALSE)-VLOOKUP($A192,main!$A$3:$H$102,6,FALSE)&gt;=main!$D$103+VLOOKUP(VLOOKUP(BT$1,main!$A$3:$I$102,7,FALSE),main!$K$26:$Q$29,4,FALSE)),1,0)</f>
        <v>0</v>
      </c>
      <c r="BU192">
        <f>IF(AND(VLOOKUP(BU$1,main!$A$3:$H$102,7,FALSE)=main!$G$104,VLOOKUP(BU$1,main!$A$3:$H$102,5,FALSE)-VLOOKUP($A192,main!$A$3:$H$102,6,FALSE)&gt;=main!$D$103+VLOOKUP(VLOOKUP(BU$1,main!$A$3:$I$102,7,FALSE),main!$K$26:$Q$29,4,FALSE)),1,0)</f>
        <v>0</v>
      </c>
      <c r="BV192">
        <f>IF(AND(VLOOKUP(BV$1,main!$A$3:$H$102,7,FALSE)=main!$G$104,VLOOKUP(BV$1,main!$A$3:$H$102,5,FALSE)-VLOOKUP($A192,main!$A$3:$H$102,6,FALSE)&gt;=main!$D$103+VLOOKUP(VLOOKUP(BV$1,main!$A$3:$I$102,7,FALSE),main!$K$26:$Q$29,4,FALSE)),1,0)</f>
        <v>0</v>
      </c>
      <c r="BW192">
        <f>IF(AND(VLOOKUP(BW$1,main!$A$3:$H$102,7,FALSE)=main!$G$104,VLOOKUP(BW$1,main!$A$3:$H$102,5,FALSE)-VLOOKUP($A192,main!$A$3:$H$102,6,FALSE)&gt;=main!$D$103+VLOOKUP(VLOOKUP(BW$1,main!$A$3:$I$102,7,FALSE),main!$K$26:$Q$29,4,FALSE)),1,0)</f>
        <v>0</v>
      </c>
      <c r="BX192">
        <f>IF(AND(VLOOKUP(BX$1,main!$A$3:$H$102,7,FALSE)=main!$G$104,VLOOKUP(BX$1,main!$A$3:$H$102,5,FALSE)-VLOOKUP($A192,main!$A$3:$H$102,6,FALSE)&gt;=main!$D$103+VLOOKUP(VLOOKUP(BX$1,main!$A$3:$I$102,7,FALSE),main!$K$26:$Q$29,4,FALSE)),1,0)</f>
        <v>0</v>
      </c>
      <c r="BY192">
        <f>IF(AND(VLOOKUP(BY$1,main!$A$3:$H$102,7,FALSE)=main!$G$104,VLOOKUP(BY$1,main!$A$3:$H$102,5,FALSE)-VLOOKUP($A192,main!$A$3:$H$102,6,FALSE)&gt;=main!$D$103+VLOOKUP(VLOOKUP(BY$1,main!$A$3:$I$102,7,FALSE),main!$K$26:$Q$29,4,FALSE)),1,0)</f>
        <v>0</v>
      </c>
      <c r="BZ192">
        <f>IF(AND(VLOOKUP(BZ$1,main!$A$3:$H$102,7,FALSE)=main!$G$104,VLOOKUP(BZ$1,main!$A$3:$H$102,5,FALSE)-VLOOKUP($A192,main!$A$3:$H$102,6,FALSE)&gt;=main!$D$103+VLOOKUP(VLOOKUP(BZ$1,main!$A$3:$I$102,7,FALSE),main!$K$26:$Q$29,4,FALSE)),1,0)</f>
        <v>0</v>
      </c>
      <c r="CA192">
        <f>IF(AND(VLOOKUP(CA$1,main!$A$3:$H$102,7,FALSE)=main!$G$104,VLOOKUP(CA$1,main!$A$3:$H$102,5,FALSE)-VLOOKUP($A192,main!$A$3:$H$102,6,FALSE)&gt;=main!$D$103+VLOOKUP(VLOOKUP(CA$1,main!$A$3:$I$102,7,FALSE),main!$K$26:$Q$29,4,FALSE)),1,0)</f>
        <v>0</v>
      </c>
      <c r="CB192">
        <f>IF(AND(VLOOKUP(CB$1,main!$A$3:$H$102,7,FALSE)=main!$G$104,VLOOKUP(CB$1,main!$A$3:$H$102,5,FALSE)-VLOOKUP($A192,main!$A$3:$H$102,6,FALSE)&gt;=main!$D$103+VLOOKUP(VLOOKUP(CB$1,main!$A$3:$I$102,7,FALSE),main!$K$26:$Q$29,4,FALSE)),1,0)</f>
        <v>0</v>
      </c>
      <c r="CC192">
        <f>IF(AND(VLOOKUP(CC$1,main!$A$3:$H$102,7,FALSE)=main!$G$104,VLOOKUP(CC$1,main!$A$3:$H$102,5,FALSE)-VLOOKUP($A192,main!$A$3:$H$102,6,FALSE)&gt;=main!$D$103+VLOOKUP(VLOOKUP(CC$1,main!$A$3:$I$102,7,FALSE),main!$K$26:$Q$29,4,FALSE)),1,0)</f>
        <v>0</v>
      </c>
      <c r="CD192">
        <f>IF(AND(VLOOKUP(CD$1,main!$A$3:$H$102,7,FALSE)=main!$G$104,VLOOKUP(CD$1,main!$A$3:$H$102,5,FALSE)-VLOOKUP($A192,main!$A$3:$H$102,6,FALSE)&gt;=main!$D$103+VLOOKUP(VLOOKUP(CD$1,main!$A$3:$I$102,7,FALSE),main!$K$26:$Q$29,4,FALSE)),1,0)</f>
        <v>0</v>
      </c>
      <c r="CE192">
        <f>IF(AND(VLOOKUP(CE$1,main!$A$3:$H$102,7,FALSE)=main!$G$104,VLOOKUP(CE$1,main!$A$3:$H$102,5,FALSE)-VLOOKUP($A192,main!$A$3:$H$102,6,FALSE)&gt;=main!$D$103+VLOOKUP(VLOOKUP(CE$1,main!$A$3:$I$102,7,FALSE),main!$K$26:$Q$29,4,FALSE)),1,0)</f>
        <v>0</v>
      </c>
      <c r="CF192">
        <f>IF(AND(VLOOKUP(CF$1,main!$A$3:$H$102,7,FALSE)=main!$G$104,VLOOKUP(CF$1,main!$A$3:$H$102,5,FALSE)-VLOOKUP($A192,main!$A$3:$H$102,6,FALSE)&gt;=main!$D$103+VLOOKUP(VLOOKUP(CF$1,main!$A$3:$I$102,7,FALSE),main!$K$26:$Q$29,4,FALSE)),1,0)</f>
        <v>0</v>
      </c>
      <c r="CG192">
        <f>IF(AND(VLOOKUP(CG$1,main!$A$3:$H$102,7,FALSE)=main!$G$104,VLOOKUP(CG$1,main!$A$3:$H$102,5,FALSE)-VLOOKUP($A192,main!$A$3:$H$102,6,FALSE)&gt;=main!$D$103+VLOOKUP(VLOOKUP(CG$1,main!$A$3:$I$102,7,FALSE),main!$K$26:$Q$29,4,FALSE)),1,0)</f>
        <v>0</v>
      </c>
      <c r="CH192">
        <f>IF(AND(VLOOKUP(CH$1,main!$A$3:$H$102,7,FALSE)=main!$G$104,VLOOKUP(CH$1,main!$A$3:$H$102,5,FALSE)-VLOOKUP($A192,main!$A$3:$H$102,6,FALSE)&gt;=main!$D$103+VLOOKUP(VLOOKUP(CH$1,main!$A$3:$I$102,7,FALSE),main!$K$26:$Q$29,4,FALSE)),1,0)</f>
        <v>0</v>
      </c>
      <c r="CI192">
        <f>IF(AND(VLOOKUP(CI$1,main!$A$3:$H$102,7,FALSE)=main!$G$104,VLOOKUP(CI$1,main!$A$3:$H$102,5,FALSE)-VLOOKUP($A192,main!$A$3:$H$102,6,FALSE)&gt;=main!$D$103+VLOOKUP(VLOOKUP(CI$1,main!$A$3:$I$102,7,FALSE),main!$K$26:$Q$29,4,FALSE)),1,0)</f>
        <v>0</v>
      </c>
      <c r="CJ192">
        <f>IF(AND(VLOOKUP(CJ$1,main!$A$3:$H$102,7,FALSE)=main!$G$104,VLOOKUP(CJ$1,main!$A$3:$H$102,5,FALSE)-VLOOKUP($A192,main!$A$3:$H$102,6,FALSE)&gt;=main!$D$103+VLOOKUP(VLOOKUP(CJ$1,main!$A$3:$I$102,7,FALSE),main!$K$26:$Q$29,4,FALSE)),1,0)</f>
        <v>0</v>
      </c>
      <c r="CK192">
        <f>IF(AND(VLOOKUP(CK$1,main!$A$3:$H$102,7,FALSE)=main!$G$104,VLOOKUP(CK$1,main!$A$3:$H$102,5,FALSE)-VLOOKUP($A192,main!$A$3:$H$102,6,FALSE)&gt;=main!$D$103+VLOOKUP(VLOOKUP(CK$1,main!$A$3:$I$102,7,FALSE),main!$K$26:$Q$29,4,FALSE)),1,0)</f>
        <v>0</v>
      </c>
      <c r="CL192">
        <f>IF(AND(VLOOKUP(CL$1,main!$A$3:$H$102,7,FALSE)=main!$G$104,VLOOKUP(CL$1,main!$A$3:$H$102,5,FALSE)-VLOOKUP($A192,main!$A$3:$H$102,6,FALSE)&gt;=main!$D$103+VLOOKUP(VLOOKUP(CL$1,main!$A$3:$I$102,7,FALSE),main!$K$26:$Q$29,4,FALSE)),1,0)</f>
        <v>0</v>
      </c>
      <c r="CM192">
        <f>IF(AND(VLOOKUP(CM$1,main!$A$3:$H$102,7,FALSE)=main!$G$104,VLOOKUP(CM$1,main!$A$3:$H$102,5,FALSE)-VLOOKUP($A192,main!$A$3:$H$102,6,FALSE)&gt;=main!$D$103+VLOOKUP(VLOOKUP(CM$1,main!$A$3:$I$102,7,FALSE),main!$K$26:$Q$29,4,FALSE)),1,0)</f>
        <v>0</v>
      </c>
      <c r="CN192">
        <f>IF(AND(VLOOKUP(CN$1,main!$A$3:$H$102,7,FALSE)=main!$G$104,VLOOKUP(CN$1,main!$A$3:$H$102,5,FALSE)-VLOOKUP($A192,main!$A$3:$H$102,6,FALSE)&gt;=main!$D$103+VLOOKUP(VLOOKUP(CN$1,main!$A$3:$I$102,7,FALSE),main!$K$26:$Q$29,4,FALSE)),1,0)</f>
        <v>0</v>
      </c>
      <c r="CO192">
        <f>IF(AND(VLOOKUP(CO$1,main!$A$3:$H$102,7,FALSE)=main!$G$104,VLOOKUP(CO$1,main!$A$3:$H$102,5,FALSE)-VLOOKUP($A192,main!$A$3:$H$102,6,FALSE)&gt;=main!$D$103+VLOOKUP(VLOOKUP(CO$1,main!$A$3:$I$102,7,FALSE),main!$K$26:$Q$29,4,FALSE)),1,0)</f>
        <v>0</v>
      </c>
      <c r="CP192">
        <f>IF(AND(VLOOKUP(CP$1,main!$A$3:$H$102,7,FALSE)=main!$G$104,VLOOKUP(CP$1,main!$A$3:$H$102,5,FALSE)-VLOOKUP($A192,main!$A$3:$H$102,6,FALSE)&gt;=main!$D$103+VLOOKUP(VLOOKUP(CP$1,main!$A$3:$I$102,7,FALSE),main!$K$26:$Q$29,4,FALSE)),1,0)</f>
        <v>0</v>
      </c>
      <c r="CQ192">
        <f>IF(AND(VLOOKUP(CQ$1,main!$A$3:$H$102,7,FALSE)=main!$G$104,VLOOKUP(CQ$1,main!$A$3:$H$102,5,FALSE)-VLOOKUP($A192,main!$A$3:$H$102,6,FALSE)&gt;=main!$D$103+VLOOKUP(VLOOKUP(CQ$1,main!$A$3:$I$102,7,FALSE),main!$K$26:$Q$29,4,FALSE)),1,0)</f>
        <v>0</v>
      </c>
      <c r="CR192">
        <f>IF(AND(VLOOKUP(CR$1,main!$A$3:$H$102,7,FALSE)=main!$G$104,VLOOKUP(CR$1,main!$A$3:$H$102,5,FALSE)-VLOOKUP($A192,main!$A$3:$H$102,6,FALSE)&gt;=main!$D$103+VLOOKUP(VLOOKUP(CR$1,main!$A$3:$I$102,7,FALSE),main!$K$26:$Q$29,4,FALSE)),1,0)</f>
        <v>0</v>
      </c>
      <c r="CS192">
        <f>IF(AND(VLOOKUP(CS$1,main!$A$3:$H$102,7,FALSE)=main!$G$104,VLOOKUP(CS$1,main!$A$3:$H$102,5,FALSE)-VLOOKUP($A192,main!$A$3:$H$102,6,FALSE)&gt;=main!$D$103+VLOOKUP(VLOOKUP(CS$1,main!$A$3:$I$102,7,FALSE),main!$K$26:$Q$29,4,FALSE)),1,0)</f>
        <v>0</v>
      </c>
      <c r="CT192">
        <f>IF(AND(VLOOKUP(CT$1,main!$A$3:$H$102,7,FALSE)=main!$G$104,VLOOKUP(CT$1,main!$A$3:$H$102,5,FALSE)-VLOOKUP($A192,main!$A$3:$H$102,6,FALSE)&gt;=main!$D$103+VLOOKUP(VLOOKUP(CT$1,main!$A$3:$I$102,7,FALSE),main!$K$26:$Q$29,4,FALSE)),1,0)</f>
        <v>0</v>
      </c>
      <c r="CU192">
        <f>IF(AND(VLOOKUP(CU$1,main!$A$3:$H$102,7,FALSE)=main!$G$104,VLOOKUP(CU$1,main!$A$3:$H$102,5,FALSE)-VLOOKUP($A192,main!$A$3:$H$102,6,FALSE)&gt;=main!$D$103+VLOOKUP(VLOOKUP(CU$1,main!$A$3:$I$102,7,FALSE),main!$K$26:$Q$29,4,FALSE)),1,0)</f>
        <v>0</v>
      </c>
      <c r="CV192">
        <f>IF(AND(VLOOKUP(CV$1,main!$A$3:$H$102,7,FALSE)=main!$G$104,VLOOKUP(CV$1,main!$A$3:$H$102,5,FALSE)-VLOOKUP($A192,main!$A$3:$H$102,6,FALSE)&gt;=main!$D$103+VLOOKUP(VLOOKUP(CV$1,main!$A$3:$I$102,7,FALSE),main!$K$26:$Q$29,4,FALSE)),1,0)</f>
        <v>0</v>
      </c>
      <c r="CW192">
        <f>IF(AND(VLOOKUP(CW$1,main!$A$3:$H$102,7,FALSE)=main!$G$104,VLOOKUP(CW$1,main!$A$3:$H$102,5,FALSE)-VLOOKUP($A192,main!$A$3:$H$102,6,FALSE)&gt;=main!$D$103+VLOOKUP(VLOOKUP(CW$1,main!$A$3:$I$102,7,FALSE),main!$K$26:$Q$29,4,FALSE)),1,0)</f>
        <v>0</v>
      </c>
      <c r="CX192">
        <f>IF(AND(VLOOKUP(CX$1,main!$A$3:$H$102,7,FALSE)=main!$G$104,VLOOKUP(CX$1,main!$A$3:$H$102,5,FALSE)-VLOOKUP($A192,main!$A$3:$H$102,6,FALSE)&gt;=main!$D$103+VLOOKUP(VLOOKUP(CX$1,main!$A$3:$I$102,7,FALSE),main!$K$26:$Q$29,4,FALSE)),1,0)</f>
        <v>0</v>
      </c>
    </row>
    <row r="193" spans="1:102" x14ac:dyDescent="0.25">
      <c r="A193" s="1">
        <v>90</v>
      </c>
      <c r="B193">
        <v>0</v>
      </c>
      <c r="C193">
        <f>IF(AND(VLOOKUP(C$1,main!$A$3:$H$102,7,FALSE)=main!$G$104,VLOOKUP(C$1,main!$A$3:$H$102,5,FALSE)-VLOOKUP($A193,main!$A$3:$H$102,6,FALSE)&gt;=main!$D$103+VLOOKUP(VLOOKUP(C$1,main!$A$3:$I$102,7,FALSE),main!$K$26:$Q$29,4,FALSE)),1,0)</f>
        <v>0</v>
      </c>
      <c r="D193">
        <f>IF(AND(VLOOKUP(D$1,main!$A$3:$H$102,7,FALSE)=main!$G$104,VLOOKUP(D$1,main!$A$3:$H$102,5,FALSE)-VLOOKUP($A193,main!$A$3:$H$102,6,FALSE)&gt;=main!$D$103+VLOOKUP(VLOOKUP(D$1,main!$A$3:$I$102,7,FALSE),main!$K$26:$Q$29,4,FALSE)),1,0)</f>
        <v>0</v>
      </c>
      <c r="E193">
        <f>IF(AND(VLOOKUP(E$1,main!$A$3:$H$102,7,FALSE)=main!$G$104,VLOOKUP(E$1,main!$A$3:$H$102,5,FALSE)-VLOOKUP($A193,main!$A$3:$H$102,6,FALSE)&gt;=main!$D$103+VLOOKUP(VLOOKUP(E$1,main!$A$3:$I$102,7,FALSE),main!$K$26:$Q$29,4,FALSE)),1,0)</f>
        <v>0</v>
      </c>
      <c r="F193">
        <f>IF(AND(VLOOKUP(F$1,main!$A$3:$H$102,7,FALSE)=main!$G$104,VLOOKUP(F$1,main!$A$3:$H$102,5,FALSE)-VLOOKUP($A193,main!$A$3:$H$102,6,FALSE)&gt;=main!$D$103+VLOOKUP(VLOOKUP(F$1,main!$A$3:$I$102,7,FALSE),main!$K$26:$Q$29,4,FALSE)),1,0)</f>
        <v>0</v>
      </c>
      <c r="G193">
        <f>IF(AND(VLOOKUP(G$1,main!$A$3:$H$102,7,FALSE)=main!$G$104,VLOOKUP(G$1,main!$A$3:$H$102,5,FALSE)-VLOOKUP($A193,main!$A$3:$H$102,6,FALSE)&gt;=main!$D$103+VLOOKUP(VLOOKUP(G$1,main!$A$3:$I$102,7,FALSE),main!$K$26:$Q$29,4,FALSE)),1,0)</f>
        <v>0</v>
      </c>
      <c r="H193">
        <f>IF(AND(VLOOKUP(H$1,main!$A$3:$H$102,7,FALSE)=main!$G$104,VLOOKUP(H$1,main!$A$3:$H$102,5,FALSE)-VLOOKUP($A193,main!$A$3:$H$102,6,FALSE)&gt;=main!$D$103+VLOOKUP(VLOOKUP(H$1,main!$A$3:$I$102,7,FALSE),main!$K$26:$Q$29,4,FALSE)),1,0)</f>
        <v>0</v>
      </c>
      <c r="I193">
        <f>IF(AND(VLOOKUP(I$1,main!$A$3:$H$102,7,FALSE)=main!$G$104,VLOOKUP(I$1,main!$A$3:$H$102,5,FALSE)-VLOOKUP($A193,main!$A$3:$H$102,6,FALSE)&gt;=main!$D$103+VLOOKUP(VLOOKUP(I$1,main!$A$3:$I$102,7,FALSE),main!$K$26:$Q$29,4,FALSE)),1,0)</f>
        <v>0</v>
      </c>
      <c r="J193">
        <f>IF(AND(VLOOKUP(J$1,main!$A$3:$H$102,7,FALSE)=main!$G$104,VLOOKUP(J$1,main!$A$3:$H$102,5,FALSE)-VLOOKUP($A193,main!$A$3:$H$102,6,FALSE)&gt;=main!$D$103+VLOOKUP(VLOOKUP(J$1,main!$A$3:$I$102,7,FALSE),main!$K$26:$Q$29,4,FALSE)),1,0)</f>
        <v>0</v>
      </c>
      <c r="K193">
        <f>IF(AND(VLOOKUP(K$1,main!$A$3:$H$102,7,FALSE)=main!$G$104,VLOOKUP(K$1,main!$A$3:$H$102,5,FALSE)-VLOOKUP($A193,main!$A$3:$H$102,6,FALSE)&gt;=main!$D$103+VLOOKUP(VLOOKUP(K$1,main!$A$3:$I$102,7,FALSE),main!$K$26:$Q$29,4,FALSE)),1,0)</f>
        <v>0</v>
      </c>
      <c r="L193">
        <f>IF(AND(VLOOKUP(L$1,main!$A$3:$H$102,7,FALSE)=main!$G$104,VLOOKUP(L$1,main!$A$3:$H$102,5,FALSE)-VLOOKUP($A193,main!$A$3:$H$102,6,FALSE)&gt;=main!$D$103+VLOOKUP(VLOOKUP(L$1,main!$A$3:$I$102,7,FALSE),main!$K$26:$Q$29,4,FALSE)),1,0)</f>
        <v>0</v>
      </c>
      <c r="M193">
        <f>IF(AND(VLOOKUP(M$1,main!$A$3:$H$102,7,FALSE)=main!$G$104,VLOOKUP(M$1,main!$A$3:$H$102,5,FALSE)-VLOOKUP($A193,main!$A$3:$H$102,6,FALSE)&gt;=main!$D$103+VLOOKUP(VLOOKUP(M$1,main!$A$3:$I$102,7,FALSE),main!$K$26:$Q$29,4,FALSE)),1,0)</f>
        <v>0</v>
      </c>
      <c r="N193">
        <f>IF(AND(VLOOKUP(N$1,main!$A$3:$H$102,7,FALSE)=main!$G$104,VLOOKUP(N$1,main!$A$3:$H$102,5,FALSE)-VLOOKUP($A193,main!$A$3:$H$102,6,FALSE)&gt;=main!$D$103+VLOOKUP(VLOOKUP(N$1,main!$A$3:$I$102,7,FALSE),main!$K$26:$Q$29,4,FALSE)),1,0)</f>
        <v>0</v>
      </c>
      <c r="O193">
        <f>IF(AND(VLOOKUP(O$1,main!$A$3:$H$102,7,FALSE)=main!$G$104,VLOOKUP(O$1,main!$A$3:$H$102,5,FALSE)-VLOOKUP($A193,main!$A$3:$H$102,6,FALSE)&gt;=main!$D$103+VLOOKUP(VLOOKUP(O$1,main!$A$3:$I$102,7,FALSE),main!$K$26:$Q$29,4,FALSE)),1,0)</f>
        <v>0</v>
      </c>
      <c r="P193">
        <f>IF(AND(VLOOKUP(P$1,main!$A$3:$H$102,7,FALSE)=main!$G$104,VLOOKUP(P$1,main!$A$3:$H$102,5,FALSE)-VLOOKUP($A193,main!$A$3:$H$102,6,FALSE)&gt;=main!$D$103+VLOOKUP(VLOOKUP(P$1,main!$A$3:$I$102,7,FALSE),main!$K$26:$Q$29,4,FALSE)),1,0)</f>
        <v>0</v>
      </c>
      <c r="Q193">
        <f>IF(AND(VLOOKUP(Q$1,main!$A$3:$H$102,7,FALSE)=main!$G$104,VLOOKUP(Q$1,main!$A$3:$H$102,5,FALSE)-VLOOKUP($A193,main!$A$3:$H$102,6,FALSE)&gt;=main!$D$103+VLOOKUP(VLOOKUP(Q$1,main!$A$3:$I$102,7,FALSE),main!$K$26:$Q$29,4,FALSE)),1,0)</f>
        <v>0</v>
      </c>
      <c r="R193">
        <f>IF(AND(VLOOKUP(R$1,main!$A$3:$H$102,7,FALSE)=main!$G$104,VLOOKUP(R$1,main!$A$3:$H$102,5,FALSE)-VLOOKUP($A193,main!$A$3:$H$102,6,FALSE)&gt;=main!$D$103+VLOOKUP(VLOOKUP(R$1,main!$A$3:$I$102,7,FALSE),main!$K$26:$Q$29,4,FALSE)),1,0)</f>
        <v>0</v>
      </c>
      <c r="S193">
        <f>IF(AND(VLOOKUP(S$1,main!$A$3:$H$102,7,FALSE)=main!$G$104,VLOOKUP(S$1,main!$A$3:$H$102,5,FALSE)-VLOOKUP($A193,main!$A$3:$H$102,6,FALSE)&gt;=main!$D$103+VLOOKUP(VLOOKUP(S$1,main!$A$3:$I$102,7,FALSE),main!$K$26:$Q$29,4,FALSE)),1,0)</f>
        <v>0</v>
      </c>
      <c r="T193">
        <f>IF(AND(VLOOKUP(T$1,main!$A$3:$H$102,7,FALSE)=main!$G$104,VLOOKUP(T$1,main!$A$3:$H$102,5,FALSE)-VLOOKUP($A193,main!$A$3:$H$102,6,FALSE)&gt;=main!$D$103+VLOOKUP(VLOOKUP(T$1,main!$A$3:$I$102,7,FALSE),main!$K$26:$Q$29,4,FALSE)),1,0)</f>
        <v>0</v>
      </c>
      <c r="U193">
        <f>IF(AND(VLOOKUP(U$1,main!$A$3:$H$102,7,FALSE)=main!$G$104,VLOOKUP(U$1,main!$A$3:$H$102,5,FALSE)-VLOOKUP($A193,main!$A$3:$H$102,6,FALSE)&gt;=main!$D$103+VLOOKUP(VLOOKUP(U$1,main!$A$3:$I$102,7,FALSE),main!$K$26:$Q$29,4,FALSE)),1,0)</f>
        <v>0</v>
      </c>
      <c r="V193">
        <f>IF(AND(VLOOKUP(V$1,main!$A$3:$H$102,7,FALSE)=main!$G$104,VLOOKUP(V$1,main!$A$3:$H$102,5,FALSE)-VLOOKUP($A193,main!$A$3:$H$102,6,FALSE)&gt;=main!$D$103+VLOOKUP(VLOOKUP(V$1,main!$A$3:$I$102,7,FALSE),main!$K$26:$Q$29,4,FALSE)),1,0)</f>
        <v>0</v>
      </c>
      <c r="W193">
        <f>IF(AND(VLOOKUP(W$1,main!$A$3:$H$102,7,FALSE)=main!$G$104,VLOOKUP(W$1,main!$A$3:$H$102,5,FALSE)-VLOOKUP($A193,main!$A$3:$H$102,6,FALSE)&gt;=main!$D$103+VLOOKUP(VLOOKUP(W$1,main!$A$3:$I$102,7,FALSE),main!$K$26:$Q$29,4,FALSE)),1,0)</f>
        <v>0</v>
      </c>
      <c r="X193">
        <f>IF(AND(VLOOKUP(X$1,main!$A$3:$H$102,7,FALSE)=main!$G$104,VLOOKUP(X$1,main!$A$3:$H$102,5,FALSE)-VLOOKUP($A193,main!$A$3:$H$102,6,FALSE)&gt;=main!$D$103+VLOOKUP(VLOOKUP(X$1,main!$A$3:$I$102,7,FALSE),main!$K$26:$Q$29,4,FALSE)),1,0)</f>
        <v>0</v>
      </c>
      <c r="Y193">
        <f>IF(AND(VLOOKUP(Y$1,main!$A$3:$H$102,7,FALSE)=main!$G$104,VLOOKUP(Y$1,main!$A$3:$H$102,5,FALSE)-VLOOKUP($A193,main!$A$3:$H$102,6,FALSE)&gt;=main!$D$103+VLOOKUP(VLOOKUP(Y$1,main!$A$3:$I$102,7,FALSE),main!$K$26:$Q$29,4,FALSE)),1,0)</f>
        <v>0</v>
      </c>
      <c r="Z193">
        <f>IF(AND(VLOOKUP(Z$1,main!$A$3:$H$102,7,FALSE)=main!$G$104,VLOOKUP(Z$1,main!$A$3:$H$102,5,FALSE)-VLOOKUP($A193,main!$A$3:$H$102,6,FALSE)&gt;=main!$D$103+VLOOKUP(VLOOKUP(Z$1,main!$A$3:$I$102,7,FALSE),main!$K$26:$Q$29,4,FALSE)),1,0)</f>
        <v>0</v>
      </c>
      <c r="AA193">
        <f>IF(AND(VLOOKUP(AA$1,main!$A$3:$H$102,7,FALSE)=main!$G$104,VLOOKUP(AA$1,main!$A$3:$H$102,5,FALSE)-VLOOKUP($A193,main!$A$3:$H$102,6,FALSE)&gt;=main!$D$103+VLOOKUP(VLOOKUP(AA$1,main!$A$3:$I$102,7,FALSE),main!$K$26:$Q$29,4,FALSE)),1,0)</f>
        <v>0</v>
      </c>
      <c r="AB193">
        <f>IF(AND(VLOOKUP(AB$1,main!$A$3:$H$102,7,FALSE)=main!$G$104,VLOOKUP(AB$1,main!$A$3:$H$102,5,FALSE)-VLOOKUP($A193,main!$A$3:$H$102,6,FALSE)&gt;=main!$D$103+VLOOKUP(VLOOKUP(AB$1,main!$A$3:$I$102,7,FALSE),main!$K$26:$Q$29,4,FALSE)),1,0)</f>
        <v>0</v>
      </c>
      <c r="AC193">
        <f>IF(AND(VLOOKUP(AC$1,main!$A$3:$H$102,7,FALSE)=main!$G$104,VLOOKUP(AC$1,main!$A$3:$H$102,5,FALSE)-VLOOKUP($A193,main!$A$3:$H$102,6,FALSE)&gt;=main!$D$103+VLOOKUP(VLOOKUP(AC$1,main!$A$3:$I$102,7,FALSE),main!$K$26:$Q$29,4,FALSE)),1,0)</f>
        <v>0</v>
      </c>
      <c r="AD193">
        <f>IF(AND(VLOOKUP(AD$1,main!$A$3:$H$102,7,FALSE)=main!$G$104,VLOOKUP(AD$1,main!$A$3:$H$102,5,FALSE)-VLOOKUP($A193,main!$A$3:$H$102,6,FALSE)&gt;=main!$D$103+VLOOKUP(VLOOKUP(AD$1,main!$A$3:$I$102,7,FALSE),main!$K$26:$Q$29,4,FALSE)),1,0)</f>
        <v>0</v>
      </c>
      <c r="AE193">
        <f>IF(AND(VLOOKUP(AE$1,main!$A$3:$H$102,7,FALSE)=main!$G$104,VLOOKUP(AE$1,main!$A$3:$H$102,5,FALSE)-VLOOKUP($A193,main!$A$3:$H$102,6,FALSE)&gt;=main!$D$103+VLOOKUP(VLOOKUP(AE$1,main!$A$3:$I$102,7,FALSE),main!$K$26:$Q$29,4,FALSE)),1,0)</f>
        <v>0</v>
      </c>
      <c r="AF193">
        <f>IF(AND(VLOOKUP(AF$1,main!$A$3:$H$102,7,FALSE)=main!$G$104,VLOOKUP(AF$1,main!$A$3:$H$102,5,FALSE)-VLOOKUP($A193,main!$A$3:$H$102,6,FALSE)&gt;=main!$D$103+VLOOKUP(VLOOKUP(AF$1,main!$A$3:$I$102,7,FALSE),main!$K$26:$Q$29,4,FALSE)),1,0)</f>
        <v>0</v>
      </c>
      <c r="AG193">
        <f>IF(AND(VLOOKUP(AG$1,main!$A$3:$H$102,7,FALSE)=main!$G$104,VLOOKUP(AG$1,main!$A$3:$H$102,5,FALSE)-VLOOKUP($A193,main!$A$3:$H$102,6,FALSE)&gt;=main!$D$103+VLOOKUP(VLOOKUP(AG$1,main!$A$3:$I$102,7,FALSE),main!$K$26:$Q$29,4,FALSE)),1,0)</f>
        <v>0</v>
      </c>
      <c r="AH193">
        <f>IF(AND(VLOOKUP(AH$1,main!$A$3:$H$102,7,FALSE)=main!$G$104,VLOOKUP(AH$1,main!$A$3:$H$102,5,FALSE)-VLOOKUP($A193,main!$A$3:$H$102,6,FALSE)&gt;=main!$D$103+VLOOKUP(VLOOKUP(AH$1,main!$A$3:$I$102,7,FALSE),main!$K$26:$Q$29,4,FALSE)),1,0)</f>
        <v>0</v>
      </c>
      <c r="AI193">
        <f>IF(AND(VLOOKUP(AI$1,main!$A$3:$H$102,7,FALSE)=main!$G$104,VLOOKUP(AI$1,main!$A$3:$H$102,5,FALSE)-VLOOKUP($A193,main!$A$3:$H$102,6,FALSE)&gt;=main!$D$103+VLOOKUP(VLOOKUP(AI$1,main!$A$3:$I$102,7,FALSE),main!$K$26:$Q$29,4,FALSE)),1,0)</f>
        <v>0</v>
      </c>
      <c r="AJ193">
        <f>IF(AND(VLOOKUP(AJ$1,main!$A$3:$H$102,7,FALSE)=main!$G$104,VLOOKUP(AJ$1,main!$A$3:$H$102,5,FALSE)-VLOOKUP($A193,main!$A$3:$H$102,6,FALSE)&gt;=main!$D$103+VLOOKUP(VLOOKUP(AJ$1,main!$A$3:$I$102,7,FALSE),main!$K$26:$Q$29,4,FALSE)),1,0)</f>
        <v>0</v>
      </c>
      <c r="AK193">
        <f>IF(AND(VLOOKUP(AK$1,main!$A$3:$H$102,7,FALSE)=main!$G$104,VLOOKUP(AK$1,main!$A$3:$H$102,5,FALSE)-VLOOKUP($A193,main!$A$3:$H$102,6,FALSE)&gt;=main!$D$103+VLOOKUP(VLOOKUP(AK$1,main!$A$3:$I$102,7,FALSE),main!$K$26:$Q$29,4,FALSE)),1,0)</f>
        <v>0</v>
      </c>
      <c r="AL193">
        <f>IF(AND(VLOOKUP(AL$1,main!$A$3:$H$102,7,FALSE)=main!$G$104,VLOOKUP(AL$1,main!$A$3:$H$102,5,FALSE)-VLOOKUP($A193,main!$A$3:$H$102,6,FALSE)&gt;=main!$D$103+VLOOKUP(VLOOKUP(AL$1,main!$A$3:$I$102,7,FALSE),main!$K$26:$Q$29,4,FALSE)),1,0)</f>
        <v>0</v>
      </c>
      <c r="AM193">
        <f>IF(AND(VLOOKUP(AM$1,main!$A$3:$H$102,7,FALSE)=main!$G$104,VLOOKUP(AM$1,main!$A$3:$H$102,5,FALSE)-VLOOKUP($A193,main!$A$3:$H$102,6,FALSE)&gt;=main!$D$103+VLOOKUP(VLOOKUP(AM$1,main!$A$3:$I$102,7,FALSE),main!$K$26:$Q$29,4,FALSE)),1,0)</f>
        <v>0</v>
      </c>
      <c r="AN193">
        <f>IF(AND(VLOOKUP(AN$1,main!$A$3:$H$102,7,FALSE)=main!$G$104,VLOOKUP(AN$1,main!$A$3:$H$102,5,FALSE)-VLOOKUP($A193,main!$A$3:$H$102,6,FALSE)&gt;=main!$D$103+VLOOKUP(VLOOKUP(AN$1,main!$A$3:$I$102,7,FALSE),main!$K$26:$Q$29,4,FALSE)),1,0)</f>
        <v>0</v>
      </c>
      <c r="AO193">
        <f>IF(AND(VLOOKUP(AO$1,main!$A$3:$H$102,7,FALSE)=main!$G$104,VLOOKUP(AO$1,main!$A$3:$H$102,5,FALSE)-VLOOKUP($A193,main!$A$3:$H$102,6,FALSE)&gt;=main!$D$103+VLOOKUP(VLOOKUP(AO$1,main!$A$3:$I$102,7,FALSE),main!$K$26:$Q$29,4,FALSE)),1,0)</f>
        <v>0</v>
      </c>
      <c r="AP193">
        <f>IF(AND(VLOOKUP(AP$1,main!$A$3:$H$102,7,FALSE)=main!$G$104,VLOOKUP(AP$1,main!$A$3:$H$102,5,FALSE)-VLOOKUP($A193,main!$A$3:$H$102,6,FALSE)&gt;=main!$D$103+VLOOKUP(VLOOKUP(AP$1,main!$A$3:$I$102,7,FALSE),main!$K$26:$Q$29,4,FALSE)),1,0)</f>
        <v>0</v>
      </c>
      <c r="AQ193">
        <f>IF(AND(VLOOKUP(AQ$1,main!$A$3:$H$102,7,FALSE)=main!$G$104,VLOOKUP(AQ$1,main!$A$3:$H$102,5,FALSE)-VLOOKUP($A193,main!$A$3:$H$102,6,FALSE)&gt;=main!$D$103+VLOOKUP(VLOOKUP(AQ$1,main!$A$3:$I$102,7,FALSE),main!$K$26:$Q$29,4,FALSE)),1,0)</f>
        <v>0</v>
      </c>
      <c r="AR193">
        <f>IF(AND(VLOOKUP(AR$1,main!$A$3:$H$102,7,FALSE)=main!$G$104,VLOOKUP(AR$1,main!$A$3:$H$102,5,FALSE)-VLOOKUP($A193,main!$A$3:$H$102,6,FALSE)&gt;=main!$D$103+VLOOKUP(VLOOKUP(AR$1,main!$A$3:$I$102,7,FALSE),main!$K$26:$Q$29,4,FALSE)),1,0)</f>
        <v>0</v>
      </c>
      <c r="AS193">
        <f>IF(AND(VLOOKUP(AS$1,main!$A$3:$H$102,7,FALSE)=main!$G$104,VLOOKUP(AS$1,main!$A$3:$H$102,5,FALSE)-VLOOKUP($A193,main!$A$3:$H$102,6,FALSE)&gt;=main!$D$103+VLOOKUP(VLOOKUP(AS$1,main!$A$3:$I$102,7,FALSE),main!$K$26:$Q$29,4,FALSE)),1,0)</f>
        <v>0</v>
      </c>
      <c r="AT193">
        <f>IF(AND(VLOOKUP(AT$1,main!$A$3:$H$102,7,FALSE)=main!$G$104,VLOOKUP(AT$1,main!$A$3:$H$102,5,FALSE)-VLOOKUP($A193,main!$A$3:$H$102,6,FALSE)&gt;=main!$D$103+VLOOKUP(VLOOKUP(AT$1,main!$A$3:$I$102,7,FALSE),main!$K$26:$Q$29,4,FALSE)),1,0)</f>
        <v>0</v>
      </c>
      <c r="AU193">
        <f>IF(AND(VLOOKUP(AU$1,main!$A$3:$H$102,7,FALSE)=main!$G$104,VLOOKUP(AU$1,main!$A$3:$H$102,5,FALSE)-VLOOKUP($A193,main!$A$3:$H$102,6,FALSE)&gt;=main!$D$103+VLOOKUP(VLOOKUP(AU$1,main!$A$3:$I$102,7,FALSE),main!$K$26:$Q$29,4,FALSE)),1,0)</f>
        <v>0</v>
      </c>
      <c r="AV193">
        <f>IF(AND(VLOOKUP(AV$1,main!$A$3:$H$102,7,FALSE)=main!$G$104,VLOOKUP(AV$1,main!$A$3:$H$102,5,FALSE)-VLOOKUP($A193,main!$A$3:$H$102,6,FALSE)&gt;=main!$D$103+VLOOKUP(VLOOKUP(AV$1,main!$A$3:$I$102,7,FALSE),main!$K$26:$Q$29,4,FALSE)),1,0)</f>
        <v>0</v>
      </c>
      <c r="AW193">
        <f>IF(AND(VLOOKUP(AW$1,main!$A$3:$H$102,7,FALSE)=main!$G$104,VLOOKUP(AW$1,main!$A$3:$H$102,5,FALSE)-VLOOKUP($A193,main!$A$3:$H$102,6,FALSE)&gt;=main!$D$103+VLOOKUP(VLOOKUP(AW$1,main!$A$3:$I$102,7,FALSE),main!$K$26:$Q$29,4,FALSE)),1,0)</f>
        <v>0</v>
      </c>
      <c r="AX193">
        <f>IF(AND(VLOOKUP(AX$1,main!$A$3:$H$102,7,FALSE)=main!$G$104,VLOOKUP(AX$1,main!$A$3:$H$102,5,FALSE)-VLOOKUP($A193,main!$A$3:$H$102,6,FALSE)&gt;=main!$D$103+VLOOKUP(VLOOKUP(AX$1,main!$A$3:$I$102,7,FALSE),main!$K$26:$Q$29,4,FALSE)),1,0)</f>
        <v>0</v>
      </c>
      <c r="AY193">
        <f>IF(AND(VLOOKUP(AY$1,main!$A$3:$H$102,7,FALSE)=main!$G$104,VLOOKUP(AY$1,main!$A$3:$H$102,5,FALSE)-VLOOKUP($A193,main!$A$3:$H$102,6,FALSE)&gt;=main!$D$103+VLOOKUP(VLOOKUP(AY$1,main!$A$3:$I$102,7,FALSE),main!$K$26:$Q$29,4,FALSE)),1,0)</f>
        <v>0</v>
      </c>
      <c r="AZ193">
        <f>IF(AND(VLOOKUP(AZ$1,main!$A$3:$H$102,7,FALSE)=main!$G$104,VLOOKUP(AZ$1,main!$A$3:$H$102,5,FALSE)-VLOOKUP($A193,main!$A$3:$H$102,6,FALSE)&gt;=main!$D$103+VLOOKUP(VLOOKUP(AZ$1,main!$A$3:$I$102,7,FALSE),main!$K$26:$Q$29,4,FALSE)),1,0)</f>
        <v>0</v>
      </c>
      <c r="BA193">
        <f>IF(AND(VLOOKUP(BA$1,main!$A$3:$H$102,7,FALSE)=main!$G$104,VLOOKUP(BA$1,main!$A$3:$H$102,5,FALSE)-VLOOKUP($A193,main!$A$3:$H$102,6,FALSE)&gt;=main!$D$103+VLOOKUP(VLOOKUP(BA$1,main!$A$3:$I$102,7,FALSE),main!$K$26:$Q$29,4,FALSE)),1,0)</f>
        <v>0</v>
      </c>
      <c r="BB193">
        <f>IF(AND(VLOOKUP(BB$1,main!$A$3:$H$102,7,FALSE)=main!$G$104,VLOOKUP(BB$1,main!$A$3:$H$102,5,FALSE)-VLOOKUP($A193,main!$A$3:$H$102,6,FALSE)&gt;=main!$D$103+VLOOKUP(VLOOKUP(BB$1,main!$A$3:$I$102,7,FALSE),main!$K$26:$Q$29,4,FALSE)),1,0)</f>
        <v>0</v>
      </c>
      <c r="BC193">
        <f>IF(AND(VLOOKUP(BC$1,main!$A$3:$H$102,7,FALSE)=main!$G$104,VLOOKUP(BC$1,main!$A$3:$H$102,5,FALSE)-VLOOKUP($A193,main!$A$3:$H$102,6,FALSE)&gt;=main!$D$103+VLOOKUP(VLOOKUP(BC$1,main!$A$3:$I$102,7,FALSE),main!$K$26:$Q$29,4,FALSE)),1,0)</f>
        <v>0</v>
      </c>
      <c r="BD193">
        <f>IF(AND(VLOOKUP(BD$1,main!$A$3:$H$102,7,FALSE)=main!$G$104,VLOOKUP(BD$1,main!$A$3:$H$102,5,FALSE)-VLOOKUP($A193,main!$A$3:$H$102,6,FALSE)&gt;=main!$D$103+VLOOKUP(VLOOKUP(BD$1,main!$A$3:$I$102,7,FALSE),main!$K$26:$Q$29,4,FALSE)),1,0)</f>
        <v>0</v>
      </c>
      <c r="BE193">
        <f>IF(AND(VLOOKUP(BE$1,main!$A$3:$H$102,7,FALSE)=main!$G$104,VLOOKUP(BE$1,main!$A$3:$H$102,5,FALSE)-VLOOKUP($A193,main!$A$3:$H$102,6,FALSE)&gt;=main!$D$103+VLOOKUP(VLOOKUP(BE$1,main!$A$3:$I$102,7,FALSE),main!$K$26:$Q$29,4,FALSE)),1,0)</f>
        <v>0</v>
      </c>
      <c r="BF193">
        <f>IF(AND(VLOOKUP(BF$1,main!$A$3:$H$102,7,FALSE)=main!$G$104,VLOOKUP(BF$1,main!$A$3:$H$102,5,FALSE)-VLOOKUP($A193,main!$A$3:$H$102,6,FALSE)&gt;=main!$D$103+VLOOKUP(VLOOKUP(BF$1,main!$A$3:$I$102,7,FALSE),main!$K$26:$Q$29,4,FALSE)),1,0)</f>
        <v>0</v>
      </c>
      <c r="BG193">
        <f>IF(AND(VLOOKUP(BG$1,main!$A$3:$H$102,7,FALSE)=main!$G$104,VLOOKUP(BG$1,main!$A$3:$H$102,5,FALSE)-VLOOKUP($A193,main!$A$3:$H$102,6,FALSE)&gt;=main!$D$103+VLOOKUP(VLOOKUP(BG$1,main!$A$3:$I$102,7,FALSE),main!$K$26:$Q$29,4,FALSE)),1,0)</f>
        <v>0</v>
      </c>
      <c r="BH193">
        <f>IF(AND(VLOOKUP(BH$1,main!$A$3:$H$102,7,FALSE)=main!$G$104,VLOOKUP(BH$1,main!$A$3:$H$102,5,FALSE)-VLOOKUP($A193,main!$A$3:$H$102,6,FALSE)&gt;=main!$D$103+VLOOKUP(VLOOKUP(BH$1,main!$A$3:$I$102,7,FALSE),main!$K$26:$Q$29,4,FALSE)),1,0)</f>
        <v>0</v>
      </c>
      <c r="BI193">
        <f>IF(AND(VLOOKUP(BI$1,main!$A$3:$H$102,7,FALSE)=main!$G$104,VLOOKUP(BI$1,main!$A$3:$H$102,5,FALSE)-VLOOKUP($A193,main!$A$3:$H$102,6,FALSE)&gt;=main!$D$103+VLOOKUP(VLOOKUP(BI$1,main!$A$3:$I$102,7,FALSE),main!$K$26:$Q$29,4,FALSE)),1,0)</f>
        <v>0</v>
      </c>
      <c r="BJ193">
        <f>IF(AND(VLOOKUP(BJ$1,main!$A$3:$H$102,7,FALSE)=main!$G$104,VLOOKUP(BJ$1,main!$A$3:$H$102,5,FALSE)-VLOOKUP($A193,main!$A$3:$H$102,6,FALSE)&gt;=main!$D$103+VLOOKUP(VLOOKUP(BJ$1,main!$A$3:$I$102,7,FALSE),main!$K$26:$Q$29,4,FALSE)),1,0)</f>
        <v>0</v>
      </c>
      <c r="BK193">
        <f>IF(AND(VLOOKUP(BK$1,main!$A$3:$H$102,7,FALSE)=main!$G$104,VLOOKUP(BK$1,main!$A$3:$H$102,5,FALSE)-VLOOKUP($A193,main!$A$3:$H$102,6,FALSE)&gt;=main!$D$103+VLOOKUP(VLOOKUP(BK$1,main!$A$3:$I$102,7,FALSE),main!$K$26:$Q$29,4,FALSE)),1,0)</f>
        <v>0</v>
      </c>
      <c r="BL193">
        <f>IF(AND(VLOOKUP(BL$1,main!$A$3:$H$102,7,FALSE)=main!$G$104,VLOOKUP(BL$1,main!$A$3:$H$102,5,FALSE)-VLOOKUP($A193,main!$A$3:$H$102,6,FALSE)&gt;=main!$D$103+VLOOKUP(VLOOKUP(BL$1,main!$A$3:$I$102,7,FALSE),main!$K$26:$Q$29,4,FALSE)),1,0)</f>
        <v>0</v>
      </c>
      <c r="BM193">
        <f>IF(AND(VLOOKUP(BM$1,main!$A$3:$H$102,7,FALSE)=main!$G$104,VLOOKUP(BM$1,main!$A$3:$H$102,5,FALSE)-VLOOKUP($A193,main!$A$3:$H$102,6,FALSE)&gt;=main!$D$103+VLOOKUP(VLOOKUP(BM$1,main!$A$3:$I$102,7,FALSE),main!$K$26:$Q$29,4,FALSE)),1,0)</f>
        <v>0</v>
      </c>
      <c r="BN193">
        <f>IF(AND(VLOOKUP(BN$1,main!$A$3:$H$102,7,FALSE)=main!$G$104,VLOOKUP(BN$1,main!$A$3:$H$102,5,FALSE)-VLOOKUP($A193,main!$A$3:$H$102,6,FALSE)&gt;=main!$D$103+VLOOKUP(VLOOKUP(BN$1,main!$A$3:$I$102,7,FALSE),main!$K$26:$Q$29,4,FALSE)),1,0)</f>
        <v>0</v>
      </c>
      <c r="BO193">
        <f>IF(AND(VLOOKUP(BO$1,main!$A$3:$H$102,7,FALSE)=main!$G$104,VLOOKUP(BO$1,main!$A$3:$H$102,5,FALSE)-VLOOKUP($A193,main!$A$3:$H$102,6,FALSE)&gt;=main!$D$103+VLOOKUP(VLOOKUP(BO$1,main!$A$3:$I$102,7,FALSE),main!$K$26:$Q$29,4,FALSE)),1,0)</f>
        <v>0</v>
      </c>
      <c r="BP193">
        <f>IF(AND(VLOOKUP(BP$1,main!$A$3:$H$102,7,FALSE)=main!$G$104,VLOOKUP(BP$1,main!$A$3:$H$102,5,FALSE)-VLOOKUP($A193,main!$A$3:$H$102,6,FALSE)&gt;=main!$D$103+VLOOKUP(VLOOKUP(BP$1,main!$A$3:$I$102,7,FALSE),main!$K$26:$Q$29,4,FALSE)),1,0)</f>
        <v>0</v>
      </c>
      <c r="BQ193">
        <f>IF(AND(VLOOKUP(BQ$1,main!$A$3:$H$102,7,FALSE)=main!$G$104,VLOOKUP(BQ$1,main!$A$3:$H$102,5,FALSE)-VLOOKUP($A193,main!$A$3:$H$102,6,FALSE)&gt;=main!$D$103+VLOOKUP(VLOOKUP(BQ$1,main!$A$3:$I$102,7,FALSE),main!$K$26:$Q$29,4,FALSE)),1,0)</f>
        <v>0</v>
      </c>
      <c r="BR193">
        <f>IF(AND(VLOOKUP(BR$1,main!$A$3:$H$102,7,FALSE)=main!$G$104,VLOOKUP(BR$1,main!$A$3:$H$102,5,FALSE)-VLOOKUP($A193,main!$A$3:$H$102,6,FALSE)&gt;=main!$D$103+VLOOKUP(VLOOKUP(BR$1,main!$A$3:$I$102,7,FALSE),main!$K$26:$Q$29,4,FALSE)),1,0)</f>
        <v>0</v>
      </c>
      <c r="BS193">
        <f>IF(AND(VLOOKUP(BS$1,main!$A$3:$H$102,7,FALSE)=main!$G$104,VLOOKUP(BS$1,main!$A$3:$H$102,5,FALSE)-VLOOKUP($A193,main!$A$3:$H$102,6,FALSE)&gt;=main!$D$103+VLOOKUP(VLOOKUP(BS$1,main!$A$3:$I$102,7,FALSE),main!$K$26:$Q$29,4,FALSE)),1,0)</f>
        <v>0</v>
      </c>
      <c r="BT193">
        <f>IF(AND(VLOOKUP(BT$1,main!$A$3:$H$102,7,FALSE)=main!$G$104,VLOOKUP(BT$1,main!$A$3:$H$102,5,FALSE)-VLOOKUP($A193,main!$A$3:$H$102,6,FALSE)&gt;=main!$D$103+VLOOKUP(VLOOKUP(BT$1,main!$A$3:$I$102,7,FALSE),main!$K$26:$Q$29,4,FALSE)),1,0)</f>
        <v>0</v>
      </c>
      <c r="BU193">
        <f>IF(AND(VLOOKUP(BU$1,main!$A$3:$H$102,7,FALSE)=main!$G$104,VLOOKUP(BU$1,main!$A$3:$H$102,5,FALSE)-VLOOKUP($A193,main!$A$3:$H$102,6,FALSE)&gt;=main!$D$103+VLOOKUP(VLOOKUP(BU$1,main!$A$3:$I$102,7,FALSE),main!$K$26:$Q$29,4,FALSE)),1,0)</f>
        <v>0</v>
      </c>
      <c r="BV193">
        <f>IF(AND(VLOOKUP(BV$1,main!$A$3:$H$102,7,FALSE)=main!$G$104,VLOOKUP(BV$1,main!$A$3:$H$102,5,FALSE)-VLOOKUP($A193,main!$A$3:$H$102,6,FALSE)&gt;=main!$D$103+VLOOKUP(VLOOKUP(BV$1,main!$A$3:$I$102,7,FALSE),main!$K$26:$Q$29,4,FALSE)),1,0)</f>
        <v>0</v>
      </c>
      <c r="BW193">
        <f>IF(AND(VLOOKUP(BW$1,main!$A$3:$H$102,7,FALSE)=main!$G$104,VLOOKUP(BW$1,main!$A$3:$H$102,5,FALSE)-VLOOKUP($A193,main!$A$3:$H$102,6,FALSE)&gt;=main!$D$103+VLOOKUP(VLOOKUP(BW$1,main!$A$3:$I$102,7,FALSE),main!$K$26:$Q$29,4,FALSE)),1,0)</f>
        <v>0</v>
      </c>
      <c r="BX193">
        <f>IF(AND(VLOOKUP(BX$1,main!$A$3:$H$102,7,FALSE)=main!$G$104,VLOOKUP(BX$1,main!$A$3:$H$102,5,FALSE)-VLOOKUP($A193,main!$A$3:$H$102,6,FALSE)&gt;=main!$D$103+VLOOKUP(VLOOKUP(BX$1,main!$A$3:$I$102,7,FALSE),main!$K$26:$Q$29,4,FALSE)),1,0)</f>
        <v>0</v>
      </c>
      <c r="BY193">
        <f>IF(AND(VLOOKUP(BY$1,main!$A$3:$H$102,7,FALSE)=main!$G$104,VLOOKUP(BY$1,main!$A$3:$H$102,5,FALSE)-VLOOKUP($A193,main!$A$3:$H$102,6,FALSE)&gt;=main!$D$103+VLOOKUP(VLOOKUP(BY$1,main!$A$3:$I$102,7,FALSE),main!$K$26:$Q$29,4,FALSE)),1,0)</f>
        <v>0</v>
      </c>
      <c r="BZ193">
        <f>IF(AND(VLOOKUP(BZ$1,main!$A$3:$H$102,7,FALSE)=main!$G$104,VLOOKUP(BZ$1,main!$A$3:$H$102,5,FALSE)-VLOOKUP($A193,main!$A$3:$H$102,6,FALSE)&gt;=main!$D$103+VLOOKUP(VLOOKUP(BZ$1,main!$A$3:$I$102,7,FALSE),main!$K$26:$Q$29,4,FALSE)),1,0)</f>
        <v>0</v>
      </c>
      <c r="CA193">
        <f>IF(AND(VLOOKUP(CA$1,main!$A$3:$H$102,7,FALSE)=main!$G$104,VLOOKUP(CA$1,main!$A$3:$H$102,5,FALSE)-VLOOKUP($A193,main!$A$3:$H$102,6,FALSE)&gt;=main!$D$103+VLOOKUP(VLOOKUP(CA$1,main!$A$3:$I$102,7,FALSE),main!$K$26:$Q$29,4,FALSE)),1,0)</f>
        <v>0</v>
      </c>
      <c r="CB193">
        <f>IF(AND(VLOOKUP(CB$1,main!$A$3:$H$102,7,FALSE)=main!$G$104,VLOOKUP(CB$1,main!$A$3:$H$102,5,FALSE)-VLOOKUP($A193,main!$A$3:$H$102,6,FALSE)&gt;=main!$D$103+VLOOKUP(VLOOKUP(CB$1,main!$A$3:$I$102,7,FALSE),main!$K$26:$Q$29,4,FALSE)),1,0)</f>
        <v>0</v>
      </c>
      <c r="CC193">
        <f>IF(AND(VLOOKUP(CC$1,main!$A$3:$H$102,7,FALSE)=main!$G$104,VLOOKUP(CC$1,main!$A$3:$H$102,5,FALSE)-VLOOKUP($A193,main!$A$3:$H$102,6,FALSE)&gt;=main!$D$103+VLOOKUP(VLOOKUP(CC$1,main!$A$3:$I$102,7,FALSE),main!$K$26:$Q$29,4,FALSE)),1,0)</f>
        <v>0</v>
      </c>
      <c r="CD193">
        <f>IF(AND(VLOOKUP(CD$1,main!$A$3:$H$102,7,FALSE)=main!$G$104,VLOOKUP(CD$1,main!$A$3:$H$102,5,FALSE)-VLOOKUP($A193,main!$A$3:$H$102,6,FALSE)&gt;=main!$D$103+VLOOKUP(VLOOKUP(CD$1,main!$A$3:$I$102,7,FALSE),main!$K$26:$Q$29,4,FALSE)),1,0)</f>
        <v>0</v>
      </c>
      <c r="CE193">
        <f>IF(AND(VLOOKUP(CE$1,main!$A$3:$H$102,7,FALSE)=main!$G$104,VLOOKUP(CE$1,main!$A$3:$H$102,5,FALSE)-VLOOKUP($A193,main!$A$3:$H$102,6,FALSE)&gt;=main!$D$103+VLOOKUP(VLOOKUP(CE$1,main!$A$3:$I$102,7,FALSE),main!$K$26:$Q$29,4,FALSE)),1,0)</f>
        <v>0</v>
      </c>
      <c r="CF193">
        <f>IF(AND(VLOOKUP(CF$1,main!$A$3:$H$102,7,FALSE)=main!$G$104,VLOOKUP(CF$1,main!$A$3:$H$102,5,FALSE)-VLOOKUP($A193,main!$A$3:$H$102,6,FALSE)&gt;=main!$D$103+VLOOKUP(VLOOKUP(CF$1,main!$A$3:$I$102,7,FALSE),main!$K$26:$Q$29,4,FALSE)),1,0)</f>
        <v>0</v>
      </c>
      <c r="CG193">
        <f>IF(AND(VLOOKUP(CG$1,main!$A$3:$H$102,7,FALSE)=main!$G$104,VLOOKUP(CG$1,main!$A$3:$H$102,5,FALSE)-VLOOKUP($A193,main!$A$3:$H$102,6,FALSE)&gt;=main!$D$103+VLOOKUP(VLOOKUP(CG$1,main!$A$3:$I$102,7,FALSE),main!$K$26:$Q$29,4,FALSE)),1,0)</f>
        <v>0</v>
      </c>
      <c r="CH193">
        <f>IF(AND(VLOOKUP(CH$1,main!$A$3:$H$102,7,FALSE)=main!$G$104,VLOOKUP(CH$1,main!$A$3:$H$102,5,FALSE)-VLOOKUP($A193,main!$A$3:$H$102,6,FALSE)&gt;=main!$D$103+VLOOKUP(VLOOKUP(CH$1,main!$A$3:$I$102,7,FALSE),main!$K$26:$Q$29,4,FALSE)),1,0)</f>
        <v>0</v>
      </c>
      <c r="CI193">
        <f>IF(AND(VLOOKUP(CI$1,main!$A$3:$H$102,7,FALSE)=main!$G$104,VLOOKUP(CI$1,main!$A$3:$H$102,5,FALSE)-VLOOKUP($A193,main!$A$3:$H$102,6,FALSE)&gt;=main!$D$103+VLOOKUP(VLOOKUP(CI$1,main!$A$3:$I$102,7,FALSE),main!$K$26:$Q$29,4,FALSE)),1,0)</f>
        <v>0</v>
      </c>
      <c r="CJ193">
        <f>IF(AND(VLOOKUP(CJ$1,main!$A$3:$H$102,7,FALSE)=main!$G$104,VLOOKUP(CJ$1,main!$A$3:$H$102,5,FALSE)-VLOOKUP($A193,main!$A$3:$H$102,6,FALSE)&gt;=main!$D$103+VLOOKUP(VLOOKUP(CJ$1,main!$A$3:$I$102,7,FALSE),main!$K$26:$Q$29,4,FALSE)),1,0)</f>
        <v>0</v>
      </c>
      <c r="CK193">
        <f>IF(AND(VLOOKUP(CK$1,main!$A$3:$H$102,7,FALSE)=main!$G$104,VLOOKUP(CK$1,main!$A$3:$H$102,5,FALSE)-VLOOKUP($A193,main!$A$3:$H$102,6,FALSE)&gt;=main!$D$103+VLOOKUP(VLOOKUP(CK$1,main!$A$3:$I$102,7,FALSE),main!$K$26:$Q$29,4,FALSE)),1,0)</f>
        <v>0</v>
      </c>
      <c r="CL193">
        <f>IF(AND(VLOOKUP(CL$1,main!$A$3:$H$102,7,FALSE)=main!$G$104,VLOOKUP(CL$1,main!$A$3:$H$102,5,FALSE)-VLOOKUP($A193,main!$A$3:$H$102,6,FALSE)&gt;=main!$D$103+VLOOKUP(VLOOKUP(CL$1,main!$A$3:$I$102,7,FALSE),main!$K$26:$Q$29,4,FALSE)),1,0)</f>
        <v>0</v>
      </c>
      <c r="CM193">
        <f>IF(AND(VLOOKUP(CM$1,main!$A$3:$H$102,7,FALSE)=main!$G$104,VLOOKUP(CM$1,main!$A$3:$H$102,5,FALSE)-VLOOKUP($A193,main!$A$3:$H$102,6,FALSE)&gt;=main!$D$103+VLOOKUP(VLOOKUP(CM$1,main!$A$3:$I$102,7,FALSE),main!$K$26:$Q$29,4,FALSE)),1,0)</f>
        <v>0</v>
      </c>
      <c r="CN193">
        <f>IF(AND(VLOOKUP(CN$1,main!$A$3:$H$102,7,FALSE)=main!$G$104,VLOOKUP(CN$1,main!$A$3:$H$102,5,FALSE)-VLOOKUP($A193,main!$A$3:$H$102,6,FALSE)&gt;=main!$D$103+VLOOKUP(VLOOKUP(CN$1,main!$A$3:$I$102,7,FALSE),main!$K$26:$Q$29,4,FALSE)),1,0)</f>
        <v>0</v>
      </c>
      <c r="CO193">
        <f>IF(AND(VLOOKUP(CO$1,main!$A$3:$H$102,7,FALSE)=main!$G$104,VLOOKUP(CO$1,main!$A$3:$H$102,5,FALSE)-VLOOKUP($A193,main!$A$3:$H$102,6,FALSE)&gt;=main!$D$103+VLOOKUP(VLOOKUP(CO$1,main!$A$3:$I$102,7,FALSE),main!$K$26:$Q$29,4,FALSE)),1,0)</f>
        <v>0</v>
      </c>
      <c r="CP193">
        <f>IF(AND(VLOOKUP(CP$1,main!$A$3:$H$102,7,FALSE)=main!$G$104,VLOOKUP(CP$1,main!$A$3:$H$102,5,FALSE)-VLOOKUP($A193,main!$A$3:$H$102,6,FALSE)&gt;=main!$D$103+VLOOKUP(VLOOKUP(CP$1,main!$A$3:$I$102,7,FALSE),main!$K$26:$Q$29,4,FALSE)),1,0)</f>
        <v>0</v>
      </c>
      <c r="CQ193">
        <f>IF(AND(VLOOKUP(CQ$1,main!$A$3:$H$102,7,FALSE)=main!$G$104,VLOOKUP(CQ$1,main!$A$3:$H$102,5,FALSE)-VLOOKUP($A193,main!$A$3:$H$102,6,FALSE)&gt;=main!$D$103+VLOOKUP(VLOOKUP(CQ$1,main!$A$3:$I$102,7,FALSE),main!$K$26:$Q$29,4,FALSE)),1,0)</f>
        <v>0</v>
      </c>
      <c r="CR193">
        <f>IF(AND(VLOOKUP(CR$1,main!$A$3:$H$102,7,FALSE)=main!$G$104,VLOOKUP(CR$1,main!$A$3:$H$102,5,FALSE)-VLOOKUP($A193,main!$A$3:$H$102,6,FALSE)&gt;=main!$D$103+VLOOKUP(VLOOKUP(CR$1,main!$A$3:$I$102,7,FALSE),main!$K$26:$Q$29,4,FALSE)),1,0)</f>
        <v>0</v>
      </c>
      <c r="CS193">
        <f>IF(AND(VLOOKUP(CS$1,main!$A$3:$H$102,7,FALSE)=main!$G$104,VLOOKUP(CS$1,main!$A$3:$H$102,5,FALSE)-VLOOKUP($A193,main!$A$3:$H$102,6,FALSE)&gt;=main!$D$103+VLOOKUP(VLOOKUP(CS$1,main!$A$3:$I$102,7,FALSE),main!$K$26:$Q$29,4,FALSE)),1,0)</f>
        <v>0</v>
      </c>
      <c r="CT193">
        <f>IF(AND(VLOOKUP(CT$1,main!$A$3:$H$102,7,FALSE)=main!$G$104,VLOOKUP(CT$1,main!$A$3:$H$102,5,FALSE)-VLOOKUP($A193,main!$A$3:$H$102,6,FALSE)&gt;=main!$D$103+VLOOKUP(VLOOKUP(CT$1,main!$A$3:$I$102,7,FALSE),main!$K$26:$Q$29,4,FALSE)),1,0)</f>
        <v>0</v>
      </c>
      <c r="CU193">
        <f>IF(AND(VLOOKUP(CU$1,main!$A$3:$H$102,7,FALSE)=main!$G$104,VLOOKUP(CU$1,main!$A$3:$H$102,5,FALSE)-VLOOKUP($A193,main!$A$3:$H$102,6,FALSE)&gt;=main!$D$103+VLOOKUP(VLOOKUP(CU$1,main!$A$3:$I$102,7,FALSE),main!$K$26:$Q$29,4,FALSE)),1,0)</f>
        <v>0</v>
      </c>
      <c r="CV193">
        <f>IF(AND(VLOOKUP(CV$1,main!$A$3:$H$102,7,FALSE)=main!$G$104,VLOOKUP(CV$1,main!$A$3:$H$102,5,FALSE)-VLOOKUP($A193,main!$A$3:$H$102,6,FALSE)&gt;=main!$D$103+VLOOKUP(VLOOKUP(CV$1,main!$A$3:$I$102,7,FALSE),main!$K$26:$Q$29,4,FALSE)),1,0)</f>
        <v>0</v>
      </c>
      <c r="CW193">
        <f>IF(AND(VLOOKUP(CW$1,main!$A$3:$H$102,7,FALSE)=main!$G$104,VLOOKUP(CW$1,main!$A$3:$H$102,5,FALSE)-VLOOKUP($A193,main!$A$3:$H$102,6,FALSE)&gt;=main!$D$103+VLOOKUP(VLOOKUP(CW$1,main!$A$3:$I$102,7,FALSE),main!$K$26:$Q$29,4,FALSE)),1,0)</f>
        <v>0</v>
      </c>
      <c r="CX193">
        <f>IF(AND(VLOOKUP(CX$1,main!$A$3:$H$102,7,FALSE)=main!$G$104,VLOOKUP(CX$1,main!$A$3:$H$102,5,FALSE)-VLOOKUP($A193,main!$A$3:$H$102,6,FALSE)&gt;=main!$D$103+VLOOKUP(VLOOKUP(CX$1,main!$A$3:$I$102,7,FALSE),main!$K$26:$Q$29,4,FALSE)),1,0)</f>
        <v>0</v>
      </c>
    </row>
    <row r="194" spans="1:102" x14ac:dyDescent="0.25">
      <c r="A194" s="1">
        <v>91</v>
      </c>
      <c r="B194">
        <v>0</v>
      </c>
      <c r="C194">
        <f>IF(AND(VLOOKUP(C$1,main!$A$3:$H$102,7,FALSE)=main!$G$104,VLOOKUP(C$1,main!$A$3:$H$102,5,FALSE)-VLOOKUP($A194,main!$A$3:$H$102,6,FALSE)&gt;=main!$D$103+VLOOKUP(VLOOKUP(C$1,main!$A$3:$I$102,7,FALSE),main!$K$26:$Q$29,4,FALSE)),1,0)</f>
        <v>0</v>
      </c>
      <c r="D194">
        <f>IF(AND(VLOOKUP(D$1,main!$A$3:$H$102,7,FALSE)=main!$G$104,VLOOKUP(D$1,main!$A$3:$H$102,5,FALSE)-VLOOKUP($A194,main!$A$3:$H$102,6,FALSE)&gt;=main!$D$103+VLOOKUP(VLOOKUP(D$1,main!$A$3:$I$102,7,FALSE),main!$K$26:$Q$29,4,FALSE)),1,0)</f>
        <v>0</v>
      </c>
      <c r="E194">
        <f>IF(AND(VLOOKUP(E$1,main!$A$3:$H$102,7,FALSE)=main!$G$104,VLOOKUP(E$1,main!$A$3:$H$102,5,FALSE)-VLOOKUP($A194,main!$A$3:$H$102,6,FALSE)&gt;=main!$D$103+VLOOKUP(VLOOKUP(E$1,main!$A$3:$I$102,7,FALSE),main!$K$26:$Q$29,4,FALSE)),1,0)</f>
        <v>0</v>
      </c>
      <c r="F194">
        <f>IF(AND(VLOOKUP(F$1,main!$A$3:$H$102,7,FALSE)=main!$G$104,VLOOKUP(F$1,main!$A$3:$H$102,5,FALSE)-VLOOKUP($A194,main!$A$3:$H$102,6,FALSE)&gt;=main!$D$103+VLOOKUP(VLOOKUP(F$1,main!$A$3:$I$102,7,FALSE),main!$K$26:$Q$29,4,FALSE)),1,0)</f>
        <v>0</v>
      </c>
      <c r="G194">
        <f>IF(AND(VLOOKUP(G$1,main!$A$3:$H$102,7,FALSE)=main!$G$104,VLOOKUP(G$1,main!$A$3:$H$102,5,FALSE)-VLOOKUP($A194,main!$A$3:$H$102,6,FALSE)&gt;=main!$D$103+VLOOKUP(VLOOKUP(G$1,main!$A$3:$I$102,7,FALSE),main!$K$26:$Q$29,4,FALSE)),1,0)</f>
        <v>1</v>
      </c>
      <c r="H194">
        <f>IF(AND(VLOOKUP(H$1,main!$A$3:$H$102,7,FALSE)=main!$G$104,VLOOKUP(H$1,main!$A$3:$H$102,5,FALSE)-VLOOKUP($A194,main!$A$3:$H$102,6,FALSE)&gt;=main!$D$103+VLOOKUP(VLOOKUP(H$1,main!$A$3:$I$102,7,FALSE),main!$K$26:$Q$29,4,FALSE)),1,0)</f>
        <v>1</v>
      </c>
      <c r="I194">
        <f>IF(AND(VLOOKUP(I$1,main!$A$3:$H$102,7,FALSE)=main!$G$104,VLOOKUP(I$1,main!$A$3:$H$102,5,FALSE)-VLOOKUP($A194,main!$A$3:$H$102,6,FALSE)&gt;=main!$D$103+VLOOKUP(VLOOKUP(I$1,main!$A$3:$I$102,7,FALSE),main!$K$26:$Q$29,4,FALSE)),1,0)</f>
        <v>1</v>
      </c>
      <c r="J194">
        <f>IF(AND(VLOOKUP(J$1,main!$A$3:$H$102,7,FALSE)=main!$G$104,VLOOKUP(J$1,main!$A$3:$H$102,5,FALSE)-VLOOKUP($A194,main!$A$3:$H$102,6,FALSE)&gt;=main!$D$103+VLOOKUP(VLOOKUP(J$1,main!$A$3:$I$102,7,FALSE),main!$K$26:$Q$29,4,FALSE)),1,0)</f>
        <v>1</v>
      </c>
      <c r="K194">
        <f>IF(AND(VLOOKUP(K$1,main!$A$3:$H$102,7,FALSE)=main!$G$104,VLOOKUP(K$1,main!$A$3:$H$102,5,FALSE)-VLOOKUP($A194,main!$A$3:$H$102,6,FALSE)&gt;=main!$D$103+VLOOKUP(VLOOKUP(K$1,main!$A$3:$I$102,7,FALSE),main!$K$26:$Q$29,4,FALSE)),1,0)</f>
        <v>1</v>
      </c>
      <c r="L194">
        <f>IF(AND(VLOOKUP(L$1,main!$A$3:$H$102,7,FALSE)=main!$G$104,VLOOKUP(L$1,main!$A$3:$H$102,5,FALSE)-VLOOKUP($A194,main!$A$3:$H$102,6,FALSE)&gt;=main!$D$103+VLOOKUP(VLOOKUP(L$1,main!$A$3:$I$102,7,FALSE),main!$K$26:$Q$29,4,FALSE)),1,0)</f>
        <v>1</v>
      </c>
      <c r="M194">
        <f>IF(AND(VLOOKUP(M$1,main!$A$3:$H$102,7,FALSE)=main!$G$104,VLOOKUP(M$1,main!$A$3:$H$102,5,FALSE)-VLOOKUP($A194,main!$A$3:$H$102,6,FALSE)&gt;=main!$D$103+VLOOKUP(VLOOKUP(M$1,main!$A$3:$I$102,7,FALSE),main!$K$26:$Q$29,4,FALSE)),1,0)</f>
        <v>0</v>
      </c>
      <c r="N194">
        <f>IF(AND(VLOOKUP(N$1,main!$A$3:$H$102,7,FALSE)=main!$G$104,VLOOKUP(N$1,main!$A$3:$H$102,5,FALSE)-VLOOKUP($A194,main!$A$3:$H$102,6,FALSE)&gt;=main!$D$103+VLOOKUP(VLOOKUP(N$1,main!$A$3:$I$102,7,FALSE),main!$K$26:$Q$29,4,FALSE)),1,0)</f>
        <v>0</v>
      </c>
      <c r="O194">
        <f>IF(AND(VLOOKUP(O$1,main!$A$3:$H$102,7,FALSE)=main!$G$104,VLOOKUP(O$1,main!$A$3:$H$102,5,FALSE)-VLOOKUP($A194,main!$A$3:$H$102,6,FALSE)&gt;=main!$D$103+VLOOKUP(VLOOKUP(O$1,main!$A$3:$I$102,7,FALSE),main!$K$26:$Q$29,4,FALSE)),1,0)</f>
        <v>0</v>
      </c>
      <c r="P194">
        <f>IF(AND(VLOOKUP(P$1,main!$A$3:$H$102,7,FALSE)=main!$G$104,VLOOKUP(P$1,main!$A$3:$H$102,5,FALSE)-VLOOKUP($A194,main!$A$3:$H$102,6,FALSE)&gt;=main!$D$103+VLOOKUP(VLOOKUP(P$1,main!$A$3:$I$102,7,FALSE),main!$K$26:$Q$29,4,FALSE)),1,0)</f>
        <v>0</v>
      </c>
      <c r="Q194">
        <f>IF(AND(VLOOKUP(Q$1,main!$A$3:$H$102,7,FALSE)=main!$G$104,VLOOKUP(Q$1,main!$A$3:$H$102,5,FALSE)-VLOOKUP($A194,main!$A$3:$H$102,6,FALSE)&gt;=main!$D$103+VLOOKUP(VLOOKUP(Q$1,main!$A$3:$I$102,7,FALSE),main!$K$26:$Q$29,4,FALSE)),1,0)</f>
        <v>0</v>
      </c>
      <c r="R194">
        <f>IF(AND(VLOOKUP(R$1,main!$A$3:$H$102,7,FALSE)=main!$G$104,VLOOKUP(R$1,main!$A$3:$H$102,5,FALSE)-VLOOKUP($A194,main!$A$3:$H$102,6,FALSE)&gt;=main!$D$103+VLOOKUP(VLOOKUP(R$1,main!$A$3:$I$102,7,FALSE),main!$K$26:$Q$29,4,FALSE)),1,0)</f>
        <v>0</v>
      </c>
      <c r="S194">
        <f>IF(AND(VLOOKUP(S$1,main!$A$3:$H$102,7,FALSE)=main!$G$104,VLOOKUP(S$1,main!$A$3:$H$102,5,FALSE)-VLOOKUP($A194,main!$A$3:$H$102,6,FALSE)&gt;=main!$D$103+VLOOKUP(VLOOKUP(S$1,main!$A$3:$I$102,7,FALSE),main!$K$26:$Q$29,4,FALSE)),1,0)</f>
        <v>1</v>
      </c>
      <c r="T194">
        <f>IF(AND(VLOOKUP(T$1,main!$A$3:$H$102,7,FALSE)=main!$G$104,VLOOKUP(T$1,main!$A$3:$H$102,5,FALSE)-VLOOKUP($A194,main!$A$3:$H$102,6,FALSE)&gt;=main!$D$103+VLOOKUP(VLOOKUP(T$1,main!$A$3:$I$102,7,FALSE),main!$K$26:$Q$29,4,FALSE)),1,0)</f>
        <v>1</v>
      </c>
      <c r="U194">
        <f>IF(AND(VLOOKUP(U$1,main!$A$3:$H$102,7,FALSE)=main!$G$104,VLOOKUP(U$1,main!$A$3:$H$102,5,FALSE)-VLOOKUP($A194,main!$A$3:$H$102,6,FALSE)&gt;=main!$D$103+VLOOKUP(VLOOKUP(U$1,main!$A$3:$I$102,7,FALSE),main!$K$26:$Q$29,4,FALSE)),1,0)</f>
        <v>1</v>
      </c>
      <c r="V194">
        <f>IF(AND(VLOOKUP(V$1,main!$A$3:$H$102,7,FALSE)=main!$G$104,VLOOKUP(V$1,main!$A$3:$H$102,5,FALSE)-VLOOKUP($A194,main!$A$3:$H$102,6,FALSE)&gt;=main!$D$103+VLOOKUP(VLOOKUP(V$1,main!$A$3:$I$102,7,FALSE),main!$K$26:$Q$29,4,FALSE)),1,0)</f>
        <v>1</v>
      </c>
      <c r="W194">
        <f>IF(AND(VLOOKUP(W$1,main!$A$3:$H$102,7,FALSE)=main!$G$104,VLOOKUP(W$1,main!$A$3:$H$102,5,FALSE)-VLOOKUP($A194,main!$A$3:$H$102,6,FALSE)&gt;=main!$D$103+VLOOKUP(VLOOKUP(W$1,main!$A$3:$I$102,7,FALSE),main!$K$26:$Q$29,4,FALSE)),1,0)</f>
        <v>0</v>
      </c>
      <c r="X194">
        <f>IF(AND(VLOOKUP(X$1,main!$A$3:$H$102,7,FALSE)=main!$G$104,VLOOKUP(X$1,main!$A$3:$H$102,5,FALSE)-VLOOKUP($A194,main!$A$3:$H$102,6,FALSE)&gt;=main!$D$103+VLOOKUP(VLOOKUP(X$1,main!$A$3:$I$102,7,FALSE),main!$K$26:$Q$29,4,FALSE)),1,0)</f>
        <v>0</v>
      </c>
      <c r="Y194">
        <f>IF(AND(VLOOKUP(Y$1,main!$A$3:$H$102,7,FALSE)=main!$G$104,VLOOKUP(Y$1,main!$A$3:$H$102,5,FALSE)-VLOOKUP($A194,main!$A$3:$H$102,6,FALSE)&gt;=main!$D$103+VLOOKUP(VLOOKUP(Y$1,main!$A$3:$I$102,7,FALSE),main!$K$26:$Q$29,4,FALSE)),1,0)</f>
        <v>0</v>
      </c>
      <c r="Z194">
        <f>IF(AND(VLOOKUP(Z$1,main!$A$3:$H$102,7,FALSE)=main!$G$104,VLOOKUP(Z$1,main!$A$3:$H$102,5,FALSE)-VLOOKUP($A194,main!$A$3:$H$102,6,FALSE)&gt;=main!$D$103+VLOOKUP(VLOOKUP(Z$1,main!$A$3:$I$102,7,FALSE),main!$K$26:$Q$29,4,FALSE)),1,0)</f>
        <v>1</v>
      </c>
      <c r="AA194">
        <f>IF(AND(VLOOKUP(AA$1,main!$A$3:$H$102,7,FALSE)=main!$G$104,VLOOKUP(AA$1,main!$A$3:$H$102,5,FALSE)-VLOOKUP($A194,main!$A$3:$H$102,6,FALSE)&gt;=main!$D$103+VLOOKUP(VLOOKUP(AA$1,main!$A$3:$I$102,7,FALSE),main!$K$26:$Q$29,4,FALSE)),1,0)</f>
        <v>1</v>
      </c>
      <c r="AB194">
        <f>IF(AND(VLOOKUP(AB$1,main!$A$3:$H$102,7,FALSE)=main!$G$104,VLOOKUP(AB$1,main!$A$3:$H$102,5,FALSE)-VLOOKUP($A194,main!$A$3:$H$102,6,FALSE)&gt;=main!$D$103+VLOOKUP(VLOOKUP(AB$1,main!$A$3:$I$102,7,FALSE),main!$K$26:$Q$29,4,FALSE)),1,0)</f>
        <v>0</v>
      </c>
      <c r="AC194">
        <f>IF(AND(VLOOKUP(AC$1,main!$A$3:$H$102,7,FALSE)=main!$G$104,VLOOKUP(AC$1,main!$A$3:$H$102,5,FALSE)-VLOOKUP($A194,main!$A$3:$H$102,6,FALSE)&gt;=main!$D$103+VLOOKUP(VLOOKUP(AC$1,main!$A$3:$I$102,7,FALSE),main!$K$26:$Q$29,4,FALSE)),1,0)</f>
        <v>0</v>
      </c>
      <c r="AD194">
        <f>IF(AND(VLOOKUP(AD$1,main!$A$3:$H$102,7,FALSE)=main!$G$104,VLOOKUP(AD$1,main!$A$3:$H$102,5,FALSE)-VLOOKUP($A194,main!$A$3:$H$102,6,FALSE)&gt;=main!$D$103+VLOOKUP(VLOOKUP(AD$1,main!$A$3:$I$102,7,FALSE),main!$K$26:$Q$29,4,FALSE)),1,0)</f>
        <v>0</v>
      </c>
      <c r="AE194">
        <f>IF(AND(VLOOKUP(AE$1,main!$A$3:$H$102,7,FALSE)=main!$G$104,VLOOKUP(AE$1,main!$A$3:$H$102,5,FALSE)-VLOOKUP($A194,main!$A$3:$H$102,6,FALSE)&gt;=main!$D$103+VLOOKUP(VLOOKUP(AE$1,main!$A$3:$I$102,7,FALSE),main!$K$26:$Q$29,4,FALSE)),1,0)</f>
        <v>1</v>
      </c>
      <c r="AF194">
        <f>IF(AND(VLOOKUP(AF$1,main!$A$3:$H$102,7,FALSE)=main!$G$104,VLOOKUP(AF$1,main!$A$3:$H$102,5,FALSE)-VLOOKUP($A194,main!$A$3:$H$102,6,FALSE)&gt;=main!$D$103+VLOOKUP(VLOOKUP(AF$1,main!$A$3:$I$102,7,FALSE),main!$K$26:$Q$29,4,FALSE)),1,0)</f>
        <v>1</v>
      </c>
      <c r="AG194">
        <f>IF(AND(VLOOKUP(AG$1,main!$A$3:$H$102,7,FALSE)=main!$G$104,VLOOKUP(AG$1,main!$A$3:$H$102,5,FALSE)-VLOOKUP($A194,main!$A$3:$H$102,6,FALSE)&gt;=main!$D$103+VLOOKUP(VLOOKUP(AG$1,main!$A$3:$I$102,7,FALSE),main!$K$26:$Q$29,4,FALSE)),1,0)</f>
        <v>0</v>
      </c>
      <c r="AH194">
        <f>IF(AND(VLOOKUP(AH$1,main!$A$3:$H$102,7,FALSE)=main!$G$104,VLOOKUP(AH$1,main!$A$3:$H$102,5,FALSE)-VLOOKUP($A194,main!$A$3:$H$102,6,FALSE)&gt;=main!$D$103+VLOOKUP(VLOOKUP(AH$1,main!$A$3:$I$102,7,FALSE),main!$K$26:$Q$29,4,FALSE)),1,0)</f>
        <v>0</v>
      </c>
      <c r="AI194">
        <f>IF(AND(VLOOKUP(AI$1,main!$A$3:$H$102,7,FALSE)=main!$G$104,VLOOKUP(AI$1,main!$A$3:$H$102,5,FALSE)-VLOOKUP($A194,main!$A$3:$H$102,6,FALSE)&gt;=main!$D$103+VLOOKUP(VLOOKUP(AI$1,main!$A$3:$I$102,7,FALSE),main!$K$26:$Q$29,4,FALSE)),1,0)</f>
        <v>0</v>
      </c>
      <c r="AJ194">
        <f>IF(AND(VLOOKUP(AJ$1,main!$A$3:$H$102,7,FALSE)=main!$G$104,VLOOKUP(AJ$1,main!$A$3:$H$102,5,FALSE)-VLOOKUP($A194,main!$A$3:$H$102,6,FALSE)&gt;=main!$D$103+VLOOKUP(VLOOKUP(AJ$1,main!$A$3:$I$102,7,FALSE),main!$K$26:$Q$29,4,FALSE)),1,0)</f>
        <v>0</v>
      </c>
      <c r="AK194">
        <f>IF(AND(VLOOKUP(AK$1,main!$A$3:$H$102,7,FALSE)=main!$G$104,VLOOKUP(AK$1,main!$A$3:$H$102,5,FALSE)-VLOOKUP($A194,main!$A$3:$H$102,6,FALSE)&gt;=main!$D$103+VLOOKUP(VLOOKUP(AK$1,main!$A$3:$I$102,7,FALSE),main!$K$26:$Q$29,4,FALSE)),1,0)</f>
        <v>0</v>
      </c>
      <c r="AL194">
        <f>IF(AND(VLOOKUP(AL$1,main!$A$3:$H$102,7,FALSE)=main!$G$104,VLOOKUP(AL$1,main!$A$3:$H$102,5,FALSE)-VLOOKUP($A194,main!$A$3:$H$102,6,FALSE)&gt;=main!$D$103+VLOOKUP(VLOOKUP(AL$1,main!$A$3:$I$102,7,FALSE),main!$K$26:$Q$29,4,FALSE)),1,0)</f>
        <v>0</v>
      </c>
      <c r="AM194">
        <f>IF(AND(VLOOKUP(AM$1,main!$A$3:$H$102,7,FALSE)=main!$G$104,VLOOKUP(AM$1,main!$A$3:$H$102,5,FALSE)-VLOOKUP($A194,main!$A$3:$H$102,6,FALSE)&gt;=main!$D$103+VLOOKUP(VLOOKUP(AM$1,main!$A$3:$I$102,7,FALSE),main!$K$26:$Q$29,4,FALSE)),1,0)</f>
        <v>0</v>
      </c>
      <c r="AN194">
        <f>IF(AND(VLOOKUP(AN$1,main!$A$3:$H$102,7,FALSE)=main!$G$104,VLOOKUP(AN$1,main!$A$3:$H$102,5,FALSE)-VLOOKUP($A194,main!$A$3:$H$102,6,FALSE)&gt;=main!$D$103+VLOOKUP(VLOOKUP(AN$1,main!$A$3:$I$102,7,FALSE),main!$K$26:$Q$29,4,FALSE)),1,0)</f>
        <v>0</v>
      </c>
      <c r="AO194">
        <f>IF(AND(VLOOKUP(AO$1,main!$A$3:$H$102,7,FALSE)=main!$G$104,VLOOKUP(AO$1,main!$A$3:$H$102,5,FALSE)-VLOOKUP($A194,main!$A$3:$H$102,6,FALSE)&gt;=main!$D$103+VLOOKUP(VLOOKUP(AO$1,main!$A$3:$I$102,7,FALSE),main!$K$26:$Q$29,4,FALSE)),1,0)</f>
        <v>0</v>
      </c>
      <c r="AP194">
        <f>IF(AND(VLOOKUP(AP$1,main!$A$3:$H$102,7,FALSE)=main!$G$104,VLOOKUP(AP$1,main!$A$3:$H$102,5,FALSE)-VLOOKUP($A194,main!$A$3:$H$102,6,FALSE)&gt;=main!$D$103+VLOOKUP(VLOOKUP(AP$1,main!$A$3:$I$102,7,FALSE),main!$K$26:$Q$29,4,FALSE)),1,0)</f>
        <v>0</v>
      </c>
      <c r="AQ194">
        <f>IF(AND(VLOOKUP(AQ$1,main!$A$3:$H$102,7,FALSE)=main!$G$104,VLOOKUP(AQ$1,main!$A$3:$H$102,5,FALSE)-VLOOKUP($A194,main!$A$3:$H$102,6,FALSE)&gt;=main!$D$103+VLOOKUP(VLOOKUP(AQ$1,main!$A$3:$I$102,7,FALSE),main!$K$26:$Q$29,4,FALSE)),1,0)</f>
        <v>0</v>
      </c>
      <c r="AR194">
        <f>IF(AND(VLOOKUP(AR$1,main!$A$3:$H$102,7,FALSE)=main!$G$104,VLOOKUP(AR$1,main!$A$3:$H$102,5,FALSE)-VLOOKUP($A194,main!$A$3:$H$102,6,FALSE)&gt;=main!$D$103+VLOOKUP(VLOOKUP(AR$1,main!$A$3:$I$102,7,FALSE),main!$K$26:$Q$29,4,FALSE)),1,0)</f>
        <v>0</v>
      </c>
      <c r="AS194">
        <f>IF(AND(VLOOKUP(AS$1,main!$A$3:$H$102,7,FALSE)=main!$G$104,VLOOKUP(AS$1,main!$A$3:$H$102,5,FALSE)-VLOOKUP($A194,main!$A$3:$H$102,6,FALSE)&gt;=main!$D$103+VLOOKUP(VLOOKUP(AS$1,main!$A$3:$I$102,7,FALSE),main!$K$26:$Q$29,4,FALSE)),1,0)</f>
        <v>0</v>
      </c>
      <c r="AT194">
        <f>IF(AND(VLOOKUP(AT$1,main!$A$3:$H$102,7,FALSE)=main!$G$104,VLOOKUP(AT$1,main!$A$3:$H$102,5,FALSE)-VLOOKUP($A194,main!$A$3:$H$102,6,FALSE)&gt;=main!$D$103+VLOOKUP(VLOOKUP(AT$1,main!$A$3:$I$102,7,FALSE),main!$K$26:$Q$29,4,FALSE)),1,0)</f>
        <v>0</v>
      </c>
      <c r="AU194">
        <f>IF(AND(VLOOKUP(AU$1,main!$A$3:$H$102,7,FALSE)=main!$G$104,VLOOKUP(AU$1,main!$A$3:$H$102,5,FALSE)-VLOOKUP($A194,main!$A$3:$H$102,6,FALSE)&gt;=main!$D$103+VLOOKUP(VLOOKUP(AU$1,main!$A$3:$I$102,7,FALSE),main!$K$26:$Q$29,4,FALSE)),1,0)</f>
        <v>0</v>
      </c>
      <c r="AV194">
        <f>IF(AND(VLOOKUP(AV$1,main!$A$3:$H$102,7,FALSE)=main!$G$104,VLOOKUP(AV$1,main!$A$3:$H$102,5,FALSE)-VLOOKUP($A194,main!$A$3:$H$102,6,FALSE)&gt;=main!$D$103+VLOOKUP(VLOOKUP(AV$1,main!$A$3:$I$102,7,FALSE),main!$K$26:$Q$29,4,FALSE)),1,0)</f>
        <v>0</v>
      </c>
      <c r="AW194">
        <f>IF(AND(VLOOKUP(AW$1,main!$A$3:$H$102,7,FALSE)=main!$G$104,VLOOKUP(AW$1,main!$A$3:$H$102,5,FALSE)-VLOOKUP($A194,main!$A$3:$H$102,6,FALSE)&gt;=main!$D$103+VLOOKUP(VLOOKUP(AW$1,main!$A$3:$I$102,7,FALSE),main!$K$26:$Q$29,4,FALSE)),1,0)</f>
        <v>0</v>
      </c>
      <c r="AX194">
        <f>IF(AND(VLOOKUP(AX$1,main!$A$3:$H$102,7,FALSE)=main!$G$104,VLOOKUP(AX$1,main!$A$3:$H$102,5,FALSE)-VLOOKUP($A194,main!$A$3:$H$102,6,FALSE)&gt;=main!$D$103+VLOOKUP(VLOOKUP(AX$1,main!$A$3:$I$102,7,FALSE),main!$K$26:$Q$29,4,FALSE)),1,0)</f>
        <v>0</v>
      </c>
      <c r="AY194">
        <f>IF(AND(VLOOKUP(AY$1,main!$A$3:$H$102,7,FALSE)=main!$G$104,VLOOKUP(AY$1,main!$A$3:$H$102,5,FALSE)-VLOOKUP($A194,main!$A$3:$H$102,6,FALSE)&gt;=main!$D$103+VLOOKUP(VLOOKUP(AY$1,main!$A$3:$I$102,7,FALSE),main!$K$26:$Q$29,4,FALSE)),1,0)</f>
        <v>0</v>
      </c>
      <c r="AZ194">
        <f>IF(AND(VLOOKUP(AZ$1,main!$A$3:$H$102,7,FALSE)=main!$G$104,VLOOKUP(AZ$1,main!$A$3:$H$102,5,FALSE)-VLOOKUP($A194,main!$A$3:$H$102,6,FALSE)&gt;=main!$D$103+VLOOKUP(VLOOKUP(AZ$1,main!$A$3:$I$102,7,FALSE),main!$K$26:$Q$29,4,FALSE)),1,0)</f>
        <v>0</v>
      </c>
      <c r="BA194">
        <f>IF(AND(VLOOKUP(BA$1,main!$A$3:$H$102,7,FALSE)=main!$G$104,VLOOKUP(BA$1,main!$A$3:$H$102,5,FALSE)-VLOOKUP($A194,main!$A$3:$H$102,6,FALSE)&gt;=main!$D$103+VLOOKUP(VLOOKUP(BA$1,main!$A$3:$I$102,7,FALSE),main!$K$26:$Q$29,4,FALSE)),1,0)</f>
        <v>0</v>
      </c>
      <c r="BB194">
        <f>IF(AND(VLOOKUP(BB$1,main!$A$3:$H$102,7,FALSE)=main!$G$104,VLOOKUP(BB$1,main!$A$3:$H$102,5,FALSE)-VLOOKUP($A194,main!$A$3:$H$102,6,FALSE)&gt;=main!$D$103+VLOOKUP(VLOOKUP(BB$1,main!$A$3:$I$102,7,FALSE),main!$K$26:$Q$29,4,FALSE)),1,0)</f>
        <v>0</v>
      </c>
      <c r="BC194">
        <f>IF(AND(VLOOKUP(BC$1,main!$A$3:$H$102,7,FALSE)=main!$G$104,VLOOKUP(BC$1,main!$A$3:$H$102,5,FALSE)-VLOOKUP($A194,main!$A$3:$H$102,6,FALSE)&gt;=main!$D$103+VLOOKUP(VLOOKUP(BC$1,main!$A$3:$I$102,7,FALSE),main!$K$26:$Q$29,4,FALSE)),1,0)</f>
        <v>0</v>
      </c>
      <c r="BD194">
        <f>IF(AND(VLOOKUP(BD$1,main!$A$3:$H$102,7,FALSE)=main!$G$104,VLOOKUP(BD$1,main!$A$3:$H$102,5,FALSE)-VLOOKUP($A194,main!$A$3:$H$102,6,FALSE)&gt;=main!$D$103+VLOOKUP(VLOOKUP(BD$1,main!$A$3:$I$102,7,FALSE),main!$K$26:$Q$29,4,FALSE)),1,0)</f>
        <v>0</v>
      </c>
      <c r="BE194">
        <f>IF(AND(VLOOKUP(BE$1,main!$A$3:$H$102,7,FALSE)=main!$G$104,VLOOKUP(BE$1,main!$A$3:$H$102,5,FALSE)-VLOOKUP($A194,main!$A$3:$H$102,6,FALSE)&gt;=main!$D$103+VLOOKUP(VLOOKUP(BE$1,main!$A$3:$I$102,7,FALSE),main!$K$26:$Q$29,4,FALSE)),1,0)</f>
        <v>0</v>
      </c>
      <c r="BF194">
        <f>IF(AND(VLOOKUP(BF$1,main!$A$3:$H$102,7,FALSE)=main!$G$104,VLOOKUP(BF$1,main!$A$3:$H$102,5,FALSE)-VLOOKUP($A194,main!$A$3:$H$102,6,FALSE)&gt;=main!$D$103+VLOOKUP(VLOOKUP(BF$1,main!$A$3:$I$102,7,FALSE),main!$K$26:$Q$29,4,FALSE)),1,0)</f>
        <v>0</v>
      </c>
      <c r="BG194">
        <f>IF(AND(VLOOKUP(BG$1,main!$A$3:$H$102,7,FALSE)=main!$G$104,VLOOKUP(BG$1,main!$A$3:$H$102,5,FALSE)-VLOOKUP($A194,main!$A$3:$H$102,6,FALSE)&gt;=main!$D$103+VLOOKUP(VLOOKUP(BG$1,main!$A$3:$I$102,7,FALSE),main!$K$26:$Q$29,4,FALSE)),1,0)</f>
        <v>0</v>
      </c>
      <c r="BH194">
        <f>IF(AND(VLOOKUP(BH$1,main!$A$3:$H$102,7,FALSE)=main!$G$104,VLOOKUP(BH$1,main!$A$3:$H$102,5,FALSE)-VLOOKUP($A194,main!$A$3:$H$102,6,FALSE)&gt;=main!$D$103+VLOOKUP(VLOOKUP(BH$1,main!$A$3:$I$102,7,FALSE),main!$K$26:$Q$29,4,FALSE)),1,0)</f>
        <v>0</v>
      </c>
      <c r="BI194">
        <f>IF(AND(VLOOKUP(BI$1,main!$A$3:$H$102,7,FALSE)=main!$G$104,VLOOKUP(BI$1,main!$A$3:$H$102,5,FALSE)-VLOOKUP($A194,main!$A$3:$H$102,6,FALSE)&gt;=main!$D$103+VLOOKUP(VLOOKUP(BI$1,main!$A$3:$I$102,7,FALSE),main!$K$26:$Q$29,4,FALSE)),1,0)</f>
        <v>0</v>
      </c>
      <c r="BJ194">
        <f>IF(AND(VLOOKUP(BJ$1,main!$A$3:$H$102,7,FALSE)=main!$G$104,VLOOKUP(BJ$1,main!$A$3:$H$102,5,FALSE)-VLOOKUP($A194,main!$A$3:$H$102,6,FALSE)&gt;=main!$D$103+VLOOKUP(VLOOKUP(BJ$1,main!$A$3:$I$102,7,FALSE),main!$K$26:$Q$29,4,FALSE)),1,0)</f>
        <v>0</v>
      </c>
      <c r="BK194">
        <f>IF(AND(VLOOKUP(BK$1,main!$A$3:$H$102,7,FALSE)=main!$G$104,VLOOKUP(BK$1,main!$A$3:$H$102,5,FALSE)-VLOOKUP($A194,main!$A$3:$H$102,6,FALSE)&gt;=main!$D$103+VLOOKUP(VLOOKUP(BK$1,main!$A$3:$I$102,7,FALSE),main!$K$26:$Q$29,4,FALSE)),1,0)</f>
        <v>0</v>
      </c>
      <c r="BL194">
        <f>IF(AND(VLOOKUP(BL$1,main!$A$3:$H$102,7,FALSE)=main!$G$104,VLOOKUP(BL$1,main!$A$3:$H$102,5,FALSE)-VLOOKUP($A194,main!$A$3:$H$102,6,FALSE)&gt;=main!$D$103+VLOOKUP(VLOOKUP(BL$1,main!$A$3:$I$102,7,FALSE),main!$K$26:$Q$29,4,FALSE)),1,0)</f>
        <v>0</v>
      </c>
      <c r="BM194">
        <f>IF(AND(VLOOKUP(BM$1,main!$A$3:$H$102,7,FALSE)=main!$G$104,VLOOKUP(BM$1,main!$A$3:$H$102,5,FALSE)-VLOOKUP($A194,main!$A$3:$H$102,6,FALSE)&gt;=main!$D$103+VLOOKUP(VLOOKUP(BM$1,main!$A$3:$I$102,7,FALSE),main!$K$26:$Q$29,4,FALSE)),1,0)</f>
        <v>0</v>
      </c>
      <c r="BN194">
        <f>IF(AND(VLOOKUP(BN$1,main!$A$3:$H$102,7,FALSE)=main!$G$104,VLOOKUP(BN$1,main!$A$3:$H$102,5,FALSE)-VLOOKUP($A194,main!$A$3:$H$102,6,FALSE)&gt;=main!$D$103+VLOOKUP(VLOOKUP(BN$1,main!$A$3:$I$102,7,FALSE),main!$K$26:$Q$29,4,FALSE)),1,0)</f>
        <v>0</v>
      </c>
      <c r="BO194">
        <f>IF(AND(VLOOKUP(BO$1,main!$A$3:$H$102,7,FALSE)=main!$G$104,VLOOKUP(BO$1,main!$A$3:$H$102,5,FALSE)-VLOOKUP($A194,main!$A$3:$H$102,6,FALSE)&gt;=main!$D$103+VLOOKUP(VLOOKUP(BO$1,main!$A$3:$I$102,7,FALSE),main!$K$26:$Q$29,4,FALSE)),1,0)</f>
        <v>0</v>
      </c>
      <c r="BP194">
        <f>IF(AND(VLOOKUP(BP$1,main!$A$3:$H$102,7,FALSE)=main!$G$104,VLOOKUP(BP$1,main!$A$3:$H$102,5,FALSE)-VLOOKUP($A194,main!$A$3:$H$102,6,FALSE)&gt;=main!$D$103+VLOOKUP(VLOOKUP(BP$1,main!$A$3:$I$102,7,FALSE),main!$K$26:$Q$29,4,FALSE)),1,0)</f>
        <v>0</v>
      </c>
      <c r="BQ194">
        <f>IF(AND(VLOOKUP(BQ$1,main!$A$3:$H$102,7,FALSE)=main!$G$104,VLOOKUP(BQ$1,main!$A$3:$H$102,5,FALSE)-VLOOKUP($A194,main!$A$3:$H$102,6,FALSE)&gt;=main!$D$103+VLOOKUP(VLOOKUP(BQ$1,main!$A$3:$I$102,7,FALSE),main!$K$26:$Q$29,4,FALSE)),1,0)</f>
        <v>0</v>
      </c>
      <c r="BR194">
        <f>IF(AND(VLOOKUP(BR$1,main!$A$3:$H$102,7,FALSE)=main!$G$104,VLOOKUP(BR$1,main!$A$3:$H$102,5,FALSE)-VLOOKUP($A194,main!$A$3:$H$102,6,FALSE)&gt;=main!$D$103+VLOOKUP(VLOOKUP(BR$1,main!$A$3:$I$102,7,FALSE),main!$K$26:$Q$29,4,FALSE)),1,0)</f>
        <v>0</v>
      </c>
      <c r="BS194">
        <f>IF(AND(VLOOKUP(BS$1,main!$A$3:$H$102,7,FALSE)=main!$G$104,VLOOKUP(BS$1,main!$A$3:$H$102,5,FALSE)-VLOOKUP($A194,main!$A$3:$H$102,6,FALSE)&gt;=main!$D$103+VLOOKUP(VLOOKUP(BS$1,main!$A$3:$I$102,7,FALSE),main!$K$26:$Q$29,4,FALSE)),1,0)</f>
        <v>0</v>
      </c>
      <c r="BT194">
        <f>IF(AND(VLOOKUP(BT$1,main!$A$3:$H$102,7,FALSE)=main!$G$104,VLOOKUP(BT$1,main!$A$3:$H$102,5,FALSE)-VLOOKUP($A194,main!$A$3:$H$102,6,FALSE)&gt;=main!$D$103+VLOOKUP(VLOOKUP(BT$1,main!$A$3:$I$102,7,FALSE),main!$K$26:$Q$29,4,FALSE)),1,0)</f>
        <v>0</v>
      </c>
      <c r="BU194">
        <f>IF(AND(VLOOKUP(BU$1,main!$A$3:$H$102,7,FALSE)=main!$G$104,VLOOKUP(BU$1,main!$A$3:$H$102,5,FALSE)-VLOOKUP($A194,main!$A$3:$H$102,6,FALSE)&gt;=main!$D$103+VLOOKUP(VLOOKUP(BU$1,main!$A$3:$I$102,7,FALSE),main!$K$26:$Q$29,4,FALSE)),1,0)</f>
        <v>0</v>
      </c>
      <c r="BV194">
        <f>IF(AND(VLOOKUP(BV$1,main!$A$3:$H$102,7,FALSE)=main!$G$104,VLOOKUP(BV$1,main!$A$3:$H$102,5,FALSE)-VLOOKUP($A194,main!$A$3:$H$102,6,FALSE)&gt;=main!$D$103+VLOOKUP(VLOOKUP(BV$1,main!$A$3:$I$102,7,FALSE),main!$K$26:$Q$29,4,FALSE)),1,0)</f>
        <v>0</v>
      </c>
      <c r="BW194">
        <f>IF(AND(VLOOKUP(BW$1,main!$A$3:$H$102,7,FALSE)=main!$G$104,VLOOKUP(BW$1,main!$A$3:$H$102,5,FALSE)-VLOOKUP($A194,main!$A$3:$H$102,6,FALSE)&gt;=main!$D$103+VLOOKUP(VLOOKUP(BW$1,main!$A$3:$I$102,7,FALSE),main!$K$26:$Q$29,4,FALSE)),1,0)</f>
        <v>0</v>
      </c>
      <c r="BX194">
        <f>IF(AND(VLOOKUP(BX$1,main!$A$3:$H$102,7,FALSE)=main!$G$104,VLOOKUP(BX$1,main!$A$3:$H$102,5,FALSE)-VLOOKUP($A194,main!$A$3:$H$102,6,FALSE)&gt;=main!$D$103+VLOOKUP(VLOOKUP(BX$1,main!$A$3:$I$102,7,FALSE),main!$K$26:$Q$29,4,FALSE)),1,0)</f>
        <v>0</v>
      </c>
      <c r="BY194">
        <f>IF(AND(VLOOKUP(BY$1,main!$A$3:$H$102,7,FALSE)=main!$G$104,VLOOKUP(BY$1,main!$A$3:$H$102,5,FALSE)-VLOOKUP($A194,main!$A$3:$H$102,6,FALSE)&gt;=main!$D$103+VLOOKUP(VLOOKUP(BY$1,main!$A$3:$I$102,7,FALSE),main!$K$26:$Q$29,4,FALSE)),1,0)</f>
        <v>0</v>
      </c>
      <c r="BZ194">
        <f>IF(AND(VLOOKUP(BZ$1,main!$A$3:$H$102,7,FALSE)=main!$G$104,VLOOKUP(BZ$1,main!$A$3:$H$102,5,FALSE)-VLOOKUP($A194,main!$A$3:$H$102,6,FALSE)&gt;=main!$D$103+VLOOKUP(VLOOKUP(BZ$1,main!$A$3:$I$102,7,FALSE),main!$K$26:$Q$29,4,FALSE)),1,0)</f>
        <v>0</v>
      </c>
      <c r="CA194">
        <f>IF(AND(VLOOKUP(CA$1,main!$A$3:$H$102,7,FALSE)=main!$G$104,VLOOKUP(CA$1,main!$A$3:$H$102,5,FALSE)-VLOOKUP($A194,main!$A$3:$H$102,6,FALSE)&gt;=main!$D$103+VLOOKUP(VLOOKUP(CA$1,main!$A$3:$I$102,7,FALSE),main!$K$26:$Q$29,4,FALSE)),1,0)</f>
        <v>0</v>
      </c>
      <c r="CB194">
        <f>IF(AND(VLOOKUP(CB$1,main!$A$3:$H$102,7,FALSE)=main!$G$104,VLOOKUP(CB$1,main!$A$3:$H$102,5,FALSE)-VLOOKUP($A194,main!$A$3:$H$102,6,FALSE)&gt;=main!$D$103+VLOOKUP(VLOOKUP(CB$1,main!$A$3:$I$102,7,FALSE),main!$K$26:$Q$29,4,FALSE)),1,0)</f>
        <v>0</v>
      </c>
      <c r="CC194">
        <f>IF(AND(VLOOKUP(CC$1,main!$A$3:$H$102,7,FALSE)=main!$G$104,VLOOKUP(CC$1,main!$A$3:$H$102,5,FALSE)-VLOOKUP($A194,main!$A$3:$H$102,6,FALSE)&gt;=main!$D$103+VLOOKUP(VLOOKUP(CC$1,main!$A$3:$I$102,7,FALSE),main!$K$26:$Q$29,4,FALSE)),1,0)</f>
        <v>0</v>
      </c>
      <c r="CD194">
        <f>IF(AND(VLOOKUP(CD$1,main!$A$3:$H$102,7,FALSE)=main!$G$104,VLOOKUP(CD$1,main!$A$3:$H$102,5,FALSE)-VLOOKUP($A194,main!$A$3:$H$102,6,FALSE)&gt;=main!$D$103+VLOOKUP(VLOOKUP(CD$1,main!$A$3:$I$102,7,FALSE),main!$K$26:$Q$29,4,FALSE)),1,0)</f>
        <v>0</v>
      </c>
      <c r="CE194">
        <f>IF(AND(VLOOKUP(CE$1,main!$A$3:$H$102,7,FALSE)=main!$G$104,VLOOKUP(CE$1,main!$A$3:$H$102,5,FALSE)-VLOOKUP($A194,main!$A$3:$H$102,6,FALSE)&gt;=main!$D$103+VLOOKUP(VLOOKUP(CE$1,main!$A$3:$I$102,7,FALSE),main!$K$26:$Q$29,4,FALSE)),1,0)</f>
        <v>0</v>
      </c>
      <c r="CF194">
        <f>IF(AND(VLOOKUP(CF$1,main!$A$3:$H$102,7,FALSE)=main!$G$104,VLOOKUP(CF$1,main!$A$3:$H$102,5,FALSE)-VLOOKUP($A194,main!$A$3:$H$102,6,FALSE)&gt;=main!$D$103+VLOOKUP(VLOOKUP(CF$1,main!$A$3:$I$102,7,FALSE),main!$K$26:$Q$29,4,FALSE)),1,0)</f>
        <v>0</v>
      </c>
      <c r="CG194">
        <f>IF(AND(VLOOKUP(CG$1,main!$A$3:$H$102,7,FALSE)=main!$G$104,VLOOKUP(CG$1,main!$A$3:$H$102,5,FALSE)-VLOOKUP($A194,main!$A$3:$H$102,6,FALSE)&gt;=main!$D$103+VLOOKUP(VLOOKUP(CG$1,main!$A$3:$I$102,7,FALSE),main!$K$26:$Q$29,4,FALSE)),1,0)</f>
        <v>0</v>
      </c>
      <c r="CH194">
        <f>IF(AND(VLOOKUP(CH$1,main!$A$3:$H$102,7,FALSE)=main!$G$104,VLOOKUP(CH$1,main!$A$3:$H$102,5,FALSE)-VLOOKUP($A194,main!$A$3:$H$102,6,FALSE)&gt;=main!$D$103+VLOOKUP(VLOOKUP(CH$1,main!$A$3:$I$102,7,FALSE),main!$K$26:$Q$29,4,FALSE)),1,0)</f>
        <v>0</v>
      </c>
      <c r="CI194">
        <f>IF(AND(VLOOKUP(CI$1,main!$A$3:$H$102,7,FALSE)=main!$G$104,VLOOKUP(CI$1,main!$A$3:$H$102,5,FALSE)-VLOOKUP($A194,main!$A$3:$H$102,6,FALSE)&gt;=main!$D$103+VLOOKUP(VLOOKUP(CI$1,main!$A$3:$I$102,7,FALSE),main!$K$26:$Q$29,4,FALSE)),1,0)</f>
        <v>0</v>
      </c>
      <c r="CJ194">
        <f>IF(AND(VLOOKUP(CJ$1,main!$A$3:$H$102,7,FALSE)=main!$G$104,VLOOKUP(CJ$1,main!$A$3:$H$102,5,FALSE)-VLOOKUP($A194,main!$A$3:$H$102,6,FALSE)&gt;=main!$D$103+VLOOKUP(VLOOKUP(CJ$1,main!$A$3:$I$102,7,FALSE),main!$K$26:$Q$29,4,FALSE)),1,0)</f>
        <v>0</v>
      </c>
      <c r="CK194">
        <f>IF(AND(VLOOKUP(CK$1,main!$A$3:$H$102,7,FALSE)=main!$G$104,VLOOKUP(CK$1,main!$A$3:$H$102,5,FALSE)-VLOOKUP($A194,main!$A$3:$H$102,6,FALSE)&gt;=main!$D$103+VLOOKUP(VLOOKUP(CK$1,main!$A$3:$I$102,7,FALSE),main!$K$26:$Q$29,4,FALSE)),1,0)</f>
        <v>0</v>
      </c>
      <c r="CL194">
        <f>IF(AND(VLOOKUP(CL$1,main!$A$3:$H$102,7,FALSE)=main!$G$104,VLOOKUP(CL$1,main!$A$3:$H$102,5,FALSE)-VLOOKUP($A194,main!$A$3:$H$102,6,FALSE)&gt;=main!$D$103+VLOOKUP(VLOOKUP(CL$1,main!$A$3:$I$102,7,FALSE),main!$K$26:$Q$29,4,FALSE)),1,0)</f>
        <v>0</v>
      </c>
      <c r="CM194">
        <f>IF(AND(VLOOKUP(CM$1,main!$A$3:$H$102,7,FALSE)=main!$G$104,VLOOKUP(CM$1,main!$A$3:$H$102,5,FALSE)-VLOOKUP($A194,main!$A$3:$H$102,6,FALSE)&gt;=main!$D$103+VLOOKUP(VLOOKUP(CM$1,main!$A$3:$I$102,7,FALSE),main!$K$26:$Q$29,4,FALSE)),1,0)</f>
        <v>0</v>
      </c>
      <c r="CN194">
        <f>IF(AND(VLOOKUP(CN$1,main!$A$3:$H$102,7,FALSE)=main!$G$104,VLOOKUP(CN$1,main!$A$3:$H$102,5,FALSE)-VLOOKUP($A194,main!$A$3:$H$102,6,FALSE)&gt;=main!$D$103+VLOOKUP(VLOOKUP(CN$1,main!$A$3:$I$102,7,FALSE),main!$K$26:$Q$29,4,FALSE)),1,0)</f>
        <v>0</v>
      </c>
      <c r="CO194">
        <f>IF(AND(VLOOKUP(CO$1,main!$A$3:$H$102,7,FALSE)=main!$G$104,VLOOKUP(CO$1,main!$A$3:$H$102,5,FALSE)-VLOOKUP($A194,main!$A$3:$H$102,6,FALSE)&gt;=main!$D$103+VLOOKUP(VLOOKUP(CO$1,main!$A$3:$I$102,7,FALSE),main!$K$26:$Q$29,4,FALSE)),1,0)</f>
        <v>0</v>
      </c>
      <c r="CP194">
        <f>IF(AND(VLOOKUP(CP$1,main!$A$3:$H$102,7,FALSE)=main!$G$104,VLOOKUP(CP$1,main!$A$3:$H$102,5,FALSE)-VLOOKUP($A194,main!$A$3:$H$102,6,FALSE)&gt;=main!$D$103+VLOOKUP(VLOOKUP(CP$1,main!$A$3:$I$102,7,FALSE),main!$K$26:$Q$29,4,FALSE)),1,0)</f>
        <v>0</v>
      </c>
      <c r="CQ194">
        <f>IF(AND(VLOOKUP(CQ$1,main!$A$3:$H$102,7,FALSE)=main!$G$104,VLOOKUP(CQ$1,main!$A$3:$H$102,5,FALSE)-VLOOKUP($A194,main!$A$3:$H$102,6,FALSE)&gt;=main!$D$103+VLOOKUP(VLOOKUP(CQ$1,main!$A$3:$I$102,7,FALSE),main!$K$26:$Q$29,4,FALSE)),1,0)</f>
        <v>0</v>
      </c>
      <c r="CR194">
        <f>IF(AND(VLOOKUP(CR$1,main!$A$3:$H$102,7,FALSE)=main!$G$104,VLOOKUP(CR$1,main!$A$3:$H$102,5,FALSE)-VLOOKUP($A194,main!$A$3:$H$102,6,FALSE)&gt;=main!$D$103+VLOOKUP(VLOOKUP(CR$1,main!$A$3:$I$102,7,FALSE),main!$K$26:$Q$29,4,FALSE)),1,0)</f>
        <v>0</v>
      </c>
      <c r="CS194">
        <f>IF(AND(VLOOKUP(CS$1,main!$A$3:$H$102,7,FALSE)=main!$G$104,VLOOKUP(CS$1,main!$A$3:$H$102,5,FALSE)-VLOOKUP($A194,main!$A$3:$H$102,6,FALSE)&gt;=main!$D$103+VLOOKUP(VLOOKUP(CS$1,main!$A$3:$I$102,7,FALSE),main!$K$26:$Q$29,4,FALSE)),1,0)</f>
        <v>0</v>
      </c>
      <c r="CT194">
        <f>IF(AND(VLOOKUP(CT$1,main!$A$3:$H$102,7,FALSE)=main!$G$104,VLOOKUP(CT$1,main!$A$3:$H$102,5,FALSE)-VLOOKUP($A194,main!$A$3:$H$102,6,FALSE)&gt;=main!$D$103+VLOOKUP(VLOOKUP(CT$1,main!$A$3:$I$102,7,FALSE),main!$K$26:$Q$29,4,FALSE)),1,0)</f>
        <v>0</v>
      </c>
      <c r="CU194">
        <f>IF(AND(VLOOKUP(CU$1,main!$A$3:$H$102,7,FALSE)=main!$G$104,VLOOKUP(CU$1,main!$A$3:$H$102,5,FALSE)-VLOOKUP($A194,main!$A$3:$H$102,6,FALSE)&gt;=main!$D$103+VLOOKUP(VLOOKUP(CU$1,main!$A$3:$I$102,7,FALSE),main!$K$26:$Q$29,4,FALSE)),1,0)</f>
        <v>0</v>
      </c>
      <c r="CV194">
        <f>IF(AND(VLOOKUP(CV$1,main!$A$3:$H$102,7,FALSE)=main!$G$104,VLOOKUP(CV$1,main!$A$3:$H$102,5,FALSE)-VLOOKUP($A194,main!$A$3:$H$102,6,FALSE)&gt;=main!$D$103+VLOOKUP(VLOOKUP(CV$1,main!$A$3:$I$102,7,FALSE),main!$K$26:$Q$29,4,FALSE)),1,0)</f>
        <v>0</v>
      </c>
      <c r="CW194">
        <f>IF(AND(VLOOKUP(CW$1,main!$A$3:$H$102,7,FALSE)=main!$G$104,VLOOKUP(CW$1,main!$A$3:$H$102,5,FALSE)-VLOOKUP($A194,main!$A$3:$H$102,6,FALSE)&gt;=main!$D$103+VLOOKUP(VLOOKUP(CW$1,main!$A$3:$I$102,7,FALSE),main!$K$26:$Q$29,4,FALSE)),1,0)</f>
        <v>0</v>
      </c>
      <c r="CX194">
        <f>IF(AND(VLOOKUP(CX$1,main!$A$3:$H$102,7,FALSE)=main!$G$104,VLOOKUP(CX$1,main!$A$3:$H$102,5,FALSE)-VLOOKUP($A194,main!$A$3:$H$102,6,FALSE)&gt;=main!$D$103+VLOOKUP(VLOOKUP(CX$1,main!$A$3:$I$102,7,FALSE),main!$K$26:$Q$29,4,FALSE)),1,0)</f>
        <v>0</v>
      </c>
    </row>
    <row r="195" spans="1:102" x14ac:dyDescent="0.25">
      <c r="A195" s="1">
        <v>92</v>
      </c>
      <c r="B195">
        <v>0</v>
      </c>
      <c r="C195">
        <f>IF(AND(VLOOKUP(C$1,main!$A$3:$H$102,7,FALSE)=main!$G$104,VLOOKUP(C$1,main!$A$3:$H$102,5,FALSE)-VLOOKUP($A195,main!$A$3:$H$102,6,FALSE)&gt;=main!$D$103+VLOOKUP(VLOOKUP(C$1,main!$A$3:$I$102,7,FALSE),main!$K$26:$Q$29,4,FALSE)),1,0)</f>
        <v>0</v>
      </c>
      <c r="D195">
        <f>IF(AND(VLOOKUP(D$1,main!$A$3:$H$102,7,FALSE)=main!$G$104,VLOOKUP(D$1,main!$A$3:$H$102,5,FALSE)-VLOOKUP($A195,main!$A$3:$H$102,6,FALSE)&gt;=main!$D$103+VLOOKUP(VLOOKUP(D$1,main!$A$3:$I$102,7,FALSE),main!$K$26:$Q$29,4,FALSE)),1,0)</f>
        <v>0</v>
      </c>
      <c r="E195">
        <f>IF(AND(VLOOKUP(E$1,main!$A$3:$H$102,7,FALSE)=main!$G$104,VLOOKUP(E$1,main!$A$3:$H$102,5,FALSE)-VLOOKUP($A195,main!$A$3:$H$102,6,FALSE)&gt;=main!$D$103+VLOOKUP(VLOOKUP(E$1,main!$A$3:$I$102,7,FALSE),main!$K$26:$Q$29,4,FALSE)),1,0)</f>
        <v>0</v>
      </c>
      <c r="F195">
        <f>IF(AND(VLOOKUP(F$1,main!$A$3:$H$102,7,FALSE)=main!$G$104,VLOOKUP(F$1,main!$A$3:$H$102,5,FALSE)-VLOOKUP($A195,main!$A$3:$H$102,6,FALSE)&gt;=main!$D$103+VLOOKUP(VLOOKUP(F$1,main!$A$3:$I$102,7,FALSE),main!$K$26:$Q$29,4,FALSE)),1,0)</f>
        <v>0</v>
      </c>
      <c r="G195">
        <f>IF(AND(VLOOKUP(G$1,main!$A$3:$H$102,7,FALSE)=main!$G$104,VLOOKUP(G$1,main!$A$3:$H$102,5,FALSE)-VLOOKUP($A195,main!$A$3:$H$102,6,FALSE)&gt;=main!$D$103+VLOOKUP(VLOOKUP(G$1,main!$A$3:$I$102,7,FALSE),main!$K$26:$Q$29,4,FALSE)),1,0)</f>
        <v>0</v>
      </c>
      <c r="H195">
        <f>IF(AND(VLOOKUP(H$1,main!$A$3:$H$102,7,FALSE)=main!$G$104,VLOOKUP(H$1,main!$A$3:$H$102,5,FALSE)-VLOOKUP($A195,main!$A$3:$H$102,6,FALSE)&gt;=main!$D$103+VLOOKUP(VLOOKUP(H$1,main!$A$3:$I$102,7,FALSE),main!$K$26:$Q$29,4,FALSE)),1,0)</f>
        <v>0</v>
      </c>
      <c r="I195">
        <f>IF(AND(VLOOKUP(I$1,main!$A$3:$H$102,7,FALSE)=main!$G$104,VLOOKUP(I$1,main!$A$3:$H$102,5,FALSE)-VLOOKUP($A195,main!$A$3:$H$102,6,FALSE)&gt;=main!$D$103+VLOOKUP(VLOOKUP(I$1,main!$A$3:$I$102,7,FALSE),main!$K$26:$Q$29,4,FALSE)),1,0)</f>
        <v>1</v>
      </c>
      <c r="J195">
        <f>IF(AND(VLOOKUP(J$1,main!$A$3:$H$102,7,FALSE)=main!$G$104,VLOOKUP(J$1,main!$A$3:$H$102,5,FALSE)-VLOOKUP($A195,main!$A$3:$H$102,6,FALSE)&gt;=main!$D$103+VLOOKUP(VLOOKUP(J$1,main!$A$3:$I$102,7,FALSE),main!$K$26:$Q$29,4,FALSE)),1,0)</f>
        <v>1</v>
      </c>
      <c r="K195">
        <f>IF(AND(VLOOKUP(K$1,main!$A$3:$H$102,7,FALSE)=main!$G$104,VLOOKUP(K$1,main!$A$3:$H$102,5,FALSE)-VLOOKUP($A195,main!$A$3:$H$102,6,FALSE)&gt;=main!$D$103+VLOOKUP(VLOOKUP(K$1,main!$A$3:$I$102,7,FALSE),main!$K$26:$Q$29,4,FALSE)),1,0)</f>
        <v>1</v>
      </c>
      <c r="L195">
        <f>IF(AND(VLOOKUP(L$1,main!$A$3:$H$102,7,FALSE)=main!$G$104,VLOOKUP(L$1,main!$A$3:$H$102,5,FALSE)-VLOOKUP($A195,main!$A$3:$H$102,6,FALSE)&gt;=main!$D$103+VLOOKUP(VLOOKUP(L$1,main!$A$3:$I$102,7,FALSE),main!$K$26:$Q$29,4,FALSE)),1,0)</f>
        <v>1</v>
      </c>
      <c r="M195">
        <f>IF(AND(VLOOKUP(M$1,main!$A$3:$H$102,7,FALSE)=main!$G$104,VLOOKUP(M$1,main!$A$3:$H$102,5,FALSE)-VLOOKUP($A195,main!$A$3:$H$102,6,FALSE)&gt;=main!$D$103+VLOOKUP(VLOOKUP(M$1,main!$A$3:$I$102,7,FALSE),main!$K$26:$Q$29,4,FALSE)),1,0)</f>
        <v>0</v>
      </c>
      <c r="N195">
        <f>IF(AND(VLOOKUP(N$1,main!$A$3:$H$102,7,FALSE)=main!$G$104,VLOOKUP(N$1,main!$A$3:$H$102,5,FALSE)-VLOOKUP($A195,main!$A$3:$H$102,6,FALSE)&gt;=main!$D$103+VLOOKUP(VLOOKUP(N$1,main!$A$3:$I$102,7,FALSE),main!$K$26:$Q$29,4,FALSE)),1,0)</f>
        <v>0</v>
      </c>
      <c r="O195">
        <f>IF(AND(VLOOKUP(O$1,main!$A$3:$H$102,7,FALSE)=main!$G$104,VLOOKUP(O$1,main!$A$3:$H$102,5,FALSE)-VLOOKUP($A195,main!$A$3:$H$102,6,FALSE)&gt;=main!$D$103+VLOOKUP(VLOOKUP(O$1,main!$A$3:$I$102,7,FALSE),main!$K$26:$Q$29,4,FALSE)),1,0)</f>
        <v>0</v>
      </c>
      <c r="P195">
        <f>IF(AND(VLOOKUP(P$1,main!$A$3:$H$102,7,FALSE)=main!$G$104,VLOOKUP(P$1,main!$A$3:$H$102,5,FALSE)-VLOOKUP($A195,main!$A$3:$H$102,6,FALSE)&gt;=main!$D$103+VLOOKUP(VLOOKUP(P$1,main!$A$3:$I$102,7,FALSE),main!$K$26:$Q$29,4,FALSE)),1,0)</f>
        <v>0</v>
      </c>
      <c r="Q195">
        <f>IF(AND(VLOOKUP(Q$1,main!$A$3:$H$102,7,FALSE)=main!$G$104,VLOOKUP(Q$1,main!$A$3:$H$102,5,FALSE)-VLOOKUP($A195,main!$A$3:$H$102,6,FALSE)&gt;=main!$D$103+VLOOKUP(VLOOKUP(Q$1,main!$A$3:$I$102,7,FALSE),main!$K$26:$Q$29,4,FALSE)),1,0)</f>
        <v>0</v>
      </c>
      <c r="R195">
        <f>IF(AND(VLOOKUP(R$1,main!$A$3:$H$102,7,FALSE)=main!$G$104,VLOOKUP(R$1,main!$A$3:$H$102,5,FALSE)-VLOOKUP($A195,main!$A$3:$H$102,6,FALSE)&gt;=main!$D$103+VLOOKUP(VLOOKUP(R$1,main!$A$3:$I$102,7,FALSE),main!$K$26:$Q$29,4,FALSE)),1,0)</f>
        <v>0</v>
      </c>
      <c r="S195">
        <f>IF(AND(VLOOKUP(S$1,main!$A$3:$H$102,7,FALSE)=main!$G$104,VLOOKUP(S$1,main!$A$3:$H$102,5,FALSE)-VLOOKUP($A195,main!$A$3:$H$102,6,FALSE)&gt;=main!$D$103+VLOOKUP(VLOOKUP(S$1,main!$A$3:$I$102,7,FALSE),main!$K$26:$Q$29,4,FALSE)),1,0)</f>
        <v>0</v>
      </c>
      <c r="T195">
        <f>IF(AND(VLOOKUP(T$1,main!$A$3:$H$102,7,FALSE)=main!$G$104,VLOOKUP(T$1,main!$A$3:$H$102,5,FALSE)-VLOOKUP($A195,main!$A$3:$H$102,6,FALSE)&gt;=main!$D$103+VLOOKUP(VLOOKUP(T$1,main!$A$3:$I$102,7,FALSE),main!$K$26:$Q$29,4,FALSE)),1,0)</f>
        <v>1</v>
      </c>
      <c r="U195">
        <f>IF(AND(VLOOKUP(U$1,main!$A$3:$H$102,7,FALSE)=main!$G$104,VLOOKUP(U$1,main!$A$3:$H$102,5,FALSE)-VLOOKUP($A195,main!$A$3:$H$102,6,FALSE)&gt;=main!$D$103+VLOOKUP(VLOOKUP(U$1,main!$A$3:$I$102,7,FALSE),main!$K$26:$Q$29,4,FALSE)),1,0)</f>
        <v>1</v>
      </c>
      <c r="V195">
        <f>IF(AND(VLOOKUP(V$1,main!$A$3:$H$102,7,FALSE)=main!$G$104,VLOOKUP(V$1,main!$A$3:$H$102,5,FALSE)-VLOOKUP($A195,main!$A$3:$H$102,6,FALSE)&gt;=main!$D$103+VLOOKUP(VLOOKUP(V$1,main!$A$3:$I$102,7,FALSE),main!$K$26:$Q$29,4,FALSE)),1,0)</f>
        <v>1</v>
      </c>
      <c r="W195">
        <f>IF(AND(VLOOKUP(W$1,main!$A$3:$H$102,7,FALSE)=main!$G$104,VLOOKUP(W$1,main!$A$3:$H$102,5,FALSE)-VLOOKUP($A195,main!$A$3:$H$102,6,FALSE)&gt;=main!$D$103+VLOOKUP(VLOOKUP(W$1,main!$A$3:$I$102,7,FALSE),main!$K$26:$Q$29,4,FALSE)),1,0)</f>
        <v>0</v>
      </c>
      <c r="X195">
        <f>IF(AND(VLOOKUP(X$1,main!$A$3:$H$102,7,FALSE)=main!$G$104,VLOOKUP(X$1,main!$A$3:$H$102,5,FALSE)-VLOOKUP($A195,main!$A$3:$H$102,6,FALSE)&gt;=main!$D$103+VLOOKUP(VLOOKUP(X$1,main!$A$3:$I$102,7,FALSE),main!$K$26:$Q$29,4,FALSE)),1,0)</f>
        <v>0</v>
      </c>
      <c r="Y195">
        <f>IF(AND(VLOOKUP(Y$1,main!$A$3:$H$102,7,FALSE)=main!$G$104,VLOOKUP(Y$1,main!$A$3:$H$102,5,FALSE)-VLOOKUP($A195,main!$A$3:$H$102,6,FALSE)&gt;=main!$D$103+VLOOKUP(VLOOKUP(Y$1,main!$A$3:$I$102,7,FALSE),main!$K$26:$Q$29,4,FALSE)),1,0)</f>
        <v>0</v>
      </c>
      <c r="Z195">
        <f>IF(AND(VLOOKUP(Z$1,main!$A$3:$H$102,7,FALSE)=main!$G$104,VLOOKUP(Z$1,main!$A$3:$H$102,5,FALSE)-VLOOKUP($A195,main!$A$3:$H$102,6,FALSE)&gt;=main!$D$103+VLOOKUP(VLOOKUP(Z$1,main!$A$3:$I$102,7,FALSE),main!$K$26:$Q$29,4,FALSE)),1,0)</f>
        <v>1</v>
      </c>
      <c r="AA195">
        <f>IF(AND(VLOOKUP(AA$1,main!$A$3:$H$102,7,FALSE)=main!$G$104,VLOOKUP(AA$1,main!$A$3:$H$102,5,FALSE)-VLOOKUP($A195,main!$A$3:$H$102,6,FALSE)&gt;=main!$D$103+VLOOKUP(VLOOKUP(AA$1,main!$A$3:$I$102,7,FALSE),main!$K$26:$Q$29,4,FALSE)),1,0)</f>
        <v>1</v>
      </c>
      <c r="AB195">
        <f>IF(AND(VLOOKUP(AB$1,main!$A$3:$H$102,7,FALSE)=main!$G$104,VLOOKUP(AB$1,main!$A$3:$H$102,5,FALSE)-VLOOKUP($A195,main!$A$3:$H$102,6,FALSE)&gt;=main!$D$103+VLOOKUP(VLOOKUP(AB$1,main!$A$3:$I$102,7,FALSE),main!$K$26:$Q$29,4,FALSE)),1,0)</f>
        <v>0</v>
      </c>
      <c r="AC195">
        <f>IF(AND(VLOOKUP(AC$1,main!$A$3:$H$102,7,FALSE)=main!$G$104,VLOOKUP(AC$1,main!$A$3:$H$102,5,FALSE)-VLOOKUP($A195,main!$A$3:$H$102,6,FALSE)&gt;=main!$D$103+VLOOKUP(VLOOKUP(AC$1,main!$A$3:$I$102,7,FALSE),main!$K$26:$Q$29,4,FALSE)),1,0)</f>
        <v>0</v>
      </c>
      <c r="AD195">
        <f>IF(AND(VLOOKUP(AD$1,main!$A$3:$H$102,7,FALSE)=main!$G$104,VLOOKUP(AD$1,main!$A$3:$H$102,5,FALSE)-VLOOKUP($A195,main!$A$3:$H$102,6,FALSE)&gt;=main!$D$103+VLOOKUP(VLOOKUP(AD$1,main!$A$3:$I$102,7,FALSE),main!$K$26:$Q$29,4,FALSE)),1,0)</f>
        <v>0</v>
      </c>
      <c r="AE195">
        <f>IF(AND(VLOOKUP(AE$1,main!$A$3:$H$102,7,FALSE)=main!$G$104,VLOOKUP(AE$1,main!$A$3:$H$102,5,FALSE)-VLOOKUP($A195,main!$A$3:$H$102,6,FALSE)&gt;=main!$D$103+VLOOKUP(VLOOKUP(AE$1,main!$A$3:$I$102,7,FALSE),main!$K$26:$Q$29,4,FALSE)),1,0)</f>
        <v>0</v>
      </c>
      <c r="AF195">
        <f>IF(AND(VLOOKUP(AF$1,main!$A$3:$H$102,7,FALSE)=main!$G$104,VLOOKUP(AF$1,main!$A$3:$H$102,5,FALSE)-VLOOKUP($A195,main!$A$3:$H$102,6,FALSE)&gt;=main!$D$103+VLOOKUP(VLOOKUP(AF$1,main!$A$3:$I$102,7,FALSE),main!$K$26:$Q$29,4,FALSE)),1,0)</f>
        <v>1</v>
      </c>
      <c r="AG195">
        <f>IF(AND(VLOOKUP(AG$1,main!$A$3:$H$102,7,FALSE)=main!$G$104,VLOOKUP(AG$1,main!$A$3:$H$102,5,FALSE)-VLOOKUP($A195,main!$A$3:$H$102,6,FALSE)&gt;=main!$D$103+VLOOKUP(VLOOKUP(AG$1,main!$A$3:$I$102,7,FALSE),main!$K$26:$Q$29,4,FALSE)),1,0)</f>
        <v>0</v>
      </c>
      <c r="AH195">
        <f>IF(AND(VLOOKUP(AH$1,main!$A$3:$H$102,7,FALSE)=main!$G$104,VLOOKUP(AH$1,main!$A$3:$H$102,5,FALSE)-VLOOKUP($A195,main!$A$3:$H$102,6,FALSE)&gt;=main!$D$103+VLOOKUP(VLOOKUP(AH$1,main!$A$3:$I$102,7,FALSE),main!$K$26:$Q$29,4,FALSE)),1,0)</f>
        <v>0</v>
      </c>
      <c r="AI195">
        <f>IF(AND(VLOOKUP(AI$1,main!$A$3:$H$102,7,FALSE)=main!$G$104,VLOOKUP(AI$1,main!$A$3:$H$102,5,FALSE)-VLOOKUP($A195,main!$A$3:$H$102,6,FALSE)&gt;=main!$D$103+VLOOKUP(VLOOKUP(AI$1,main!$A$3:$I$102,7,FALSE),main!$K$26:$Q$29,4,FALSE)),1,0)</f>
        <v>0</v>
      </c>
      <c r="AJ195">
        <f>IF(AND(VLOOKUP(AJ$1,main!$A$3:$H$102,7,FALSE)=main!$G$104,VLOOKUP(AJ$1,main!$A$3:$H$102,5,FALSE)-VLOOKUP($A195,main!$A$3:$H$102,6,FALSE)&gt;=main!$D$103+VLOOKUP(VLOOKUP(AJ$1,main!$A$3:$I$102,7,FALSE),main!$K$26:$Q$29,4,FALSE)),1,0)</f>
        <v>0</v>
      </c>
      <c r="AK195">
        <f>IF(AND(VLOOKUP(AK$1,main!$A$3:$H$102,7,FALSE)=main!$G$104,VLOOKUP(AK$1,main!$A$3:$H$102,5,FALSE)-VLOOKUP($A195,main!$A$3:$H$102,6,FALSE)&gt;=main!$D$103+VLOOKUP(VLOOKUP(AK$1,main!$A$3:$I$102,7,FALSE),main!$K$26:$Q$29,4,FALSE)),1,0)</f>
        <v>0</v>
      </c>
      <c r="AL195">
        <f>IF(AND(VLOOKUP(AL$1,main!$A$3:$H$102,7,FALSE)=main!$G$104,VLOOKUP(AL$1,main!$A$3:$H$102,5,FALSE)-VLOOKUP($A195,main!$A$3:$H$102,6,FALSE)&gt;=main!$D$103+VLOOKUP(VLOOKUP(AL$1,main!$A$3:$I$102,7,FALSE),main!$K$26:$Q$29,4,FALSE)),1,0)</f>
        <v>0</v>
      </c>
      <c r="AM195">
        <f>IF(AND(VLOOKUP(AM$1,main!$A$3:$H$102,7,FALSE)=main!$G$104,VLOOKUP(AM$1,main!$A$3:$H$102,5,FALSE)-VLOOKUP($A195,main!$A$3:$H$102,6,FALSE)&gt;=main!$D$103+VLOOKUP(VLOOKUP(AM$1,main!$A$3:$I$102,7,FALSE),main!$K$26:$Q$29,4,FALSE)),1,0)</f>
        <v>0</v>
      </c>
      <c r="AN195">
        <f>IF(AND(VLOOKUP(AN$1,main!$A$3:$H$102,7,FALSE)=main!$G$104,VLOOKUP(AN$1,main!$A$3:$H$102,5,FALSE)-VLOOKUP($A195,main!$A$3:$H$102,6,FALSE)&gt;=main!$D$103+VLOOKUP(VLOOKUP(AN$1,main!$A$3:$I$102,7,FALSE),main!$K$26:$Q$29,4,FALSE)),1,0)</f>
        <v>0</v>
      </c>
      <c r="AO195">
        <f>IF(AND(VLOOKUP(AO$1,main!$A$3:$H$102,7,FALSE)=main!$G$104,VLOOKUP(AO$1,main!$A$3:$H$102,5,FALSE)-VLOOKUP($A195,main!$A$3:$H$102,6,FALSE)&gt;=main!$D$103+VLOOKUP(VLOOKUP(AO$1,main!$A$3:$I$102,7,FALSE),main!$K$26:$Q$29,4,FALSE)),1,0)</f>
        <v>0</v>
      </c>
      <c r="AP195">
        <f>IF(AND(VLOOKUP(AP$1,main!$A$3:$H$102,7,FALSE)=main!$G$104,VLOOKUP(AP$1,main!$A$3:$H$102,5,FALSE)-VLOOKUP($A195,main!$A$3:$H$102,6,FALSE)&gt;=main!$D$103+VLOOKUP(VLOOKUP(AP$1,main!$A$3:$I$102,7,FALSE),main!$K$26:$Q$29,4,FALSE)),1,0)</f>
        <v>0</v>
      </c>
      <c r="AQ195">
        <f>IF(AND(VLOOKUP(AQ$1,main!$A$3:$H$102,7,FALSE)=main!$G$104,VLOOKUP(AQ$1,main!$A$3:$H$102,5,FALSE)-VLOOKUP($A195,main!$A$3:$H$102,6,FALSE)&gt;=main!$D$103+VLOOKUP(VLOOKUP(AQ$1,main!$A$3:$I$102,7,FALSE),main!$K$26:$Q$29,4,FALSE)),1,0)</f>
        <v>0</v>
      </c>
      <c r="AR195">
        <f>IF(AND(VLOOKUP(AR$1,main!$A$3:$H$102,7,FALSE)=main!$G$104,VLOOKUP(AR$1,main!$A$3:$H$102,5,FALSE)-VLOOKUP($A195,main!$A$3:$H$102,6,FALSE)&gt;=main!$D$103+VLOOKUP(VLOOKUP(AR$1,main!$A$3:$I$102,7,FALSE),main!$K$26:$Q$29,4,FALSE)),1,0)</f>
        <v>0</v>
      </c>
      <c r="AS195">
        <f>IF(AND(VLOOKUP(AS$1,main!$A$3:$H$102,7,FALSE)=main!$G$104,VLOOKUP(AS$1,main!$A$3:$H$102,5,FALSE)-VLOOKUP($A195,main!$A$3:$H$102,6,FALSE)&gt;=main!$D$103+VLOOKUP(VLOOKUP(AS$1,main!$A$3:$I$102,7,FALSE),main!$K$26:$Q$29,4,FALSE)),1,0)</f>
        <v>0</v>
      </c>
      <c r="AT195">
        <f>IF(AND(VLOOKUP(AT$1,main!$A$3:$H$102,7,FALSE)=main!$G$104,VLOOKUP(AT$1,main!$A$3:$H$102,5,FALSE)-VLOOKUP($A195,main!$A$3:$H$102,6,FALSE)&gt;=main!$D$103+VLOOKUP(VLOOKUP(AT$1,main!$A$3:$I$102,7,FALSE),main!$K$26:$Q$29,4,FALSE)),1,0)</f>
        <v>0</v>
      </c>
      <c r="AU195">
        <f>IF(AND(VLOOKUP(AU$1,main!$A$3:$H$102,7,FALSE)=main!$G$104,VLOOKUP(AU$1,main!$A$3:$H$102,5,FALSE)-VLOOKUP($A195,main!$A$3:$H$102,6,FALSE)&gt;=main!$D$103+VLOOKUP(VLOOKUP(AU$1,main!$A$3:$I$102,7,FALSE),main!$K$26:$Q$29,4,FALSE)),1,0)</f>
        <v>0</v>
      </c>
      <c r="AV195">
        <f>IF(AND(VLOOKUP(AV$1,main!$A$3:$H$102,7,FALSE)=main!$G$104,VLOOKUP(AV$1,main!$A$3:$H$102,5,FALSE)-VLOOKUP($A195,main!$A$3:$H$102,6,FALSE)&gt;=main!$D$103+VLOOKUP(VLOOKUP(AV$1,main!$A$3:$I$102,7,FALSE),main!$K$26:$Q$29,4,FALSE)),1,0)</f>
        <v>0</v>
      </c>
      <c r="AW195">
        <f>IF(AND(VLOOKUP(AW$1,main!$A$3:$H$102,7,FALSE)=main!$G$104,VLOOKUP(AW$1,main!$A$3:$H$102,5,FALSE)-VLOOKUP($A195,main!$A$3:$H$102,6,FALSE)&gt;=main!$D$103+VLOOKUP(VLOOKUP(AW$1,main!$A$3:$I$102,7,FALSE),main!$K$26:$Q$29,4,FALSE)),1,0)</f>
        <v>0</v>
      </c>
      <c r="AX195">
        <f>IF(AND(VLOOKUP(AX$1,main!$A$3:$H$102,7,FALSE)=main!$G$104,VLOOKUP(AX$1,main!$A$3:$H$102,5,FALSE)-VLOOKUP($A195,main!$A$3:$H$102,6,FALSE)&gt;=main!$D$103+VLOOKUP(VLOOKUP(AX$1,main!$A$3:$I$102,7,FALSE),main!$K$26:$Q$29,4,FALSE)),1,0)</f>
        <v>0</v>
      </c>
      <c r="AY195">
        <f>IF(AND(VLOOKUP(AY$1,main!$A$3:$H$102,7,FALSE)=main!$G$104,VLOOKUP(AY$1,main!$A$3:$H$102,5,FALSE)-VLOOKUP($A195,main!$A$3:$H$102,6,FALSE)&gt;=main!$D$103+VLOOKUP(VLOOKUP(AY$1,main!$A$3:$I$102,7,FALSE),main!$K$26:$Q$29,4,FALSE)),1,0)</f>
        <v>0</v>
      </c>
      <c r="AZ195">
        <f>IF(AND(VLOOKUP(AZ$1,main!$A$3:$H$102,7,FALSE)=main!$G$104,VLOOKUP(AZ$1,main!$A$3:$H$102,5,FALSE)-VLOOKUP($A195,main!$A$3:$H$102,6,FALSE)&gt;=main!$D$103+VLOOKUP(VLOOKUP(AZ$1,main!$A$3:$I$102,7,FALSE),main!$K$26:$Q$29,4,FALSE)),1,0)</f>
        <v>0</v>
      </c>
      <c r="BA195">
        <f>IF(AND(VLOOKUP(BA$1,main!$A$3:$H$102,7,FALSE)=main!$G$104,VLOOKUP(BA$1,main!$A$3:$H$102,5,FALSE)-VLOOKUP($A195,main!$A$3:$H$102,6,FALSE)&gt;=main!$D$103+VLOOKUP(VLOOKUP(BA$1,main!$A$3:$I$102,7,FALSE),main!$K$26:$Q$29,4,FALSE)),1,0)</f>
        <v>0</v>
      </c>
      <c r="BB195">
        <f>IF(AND(VLOOKUP(BB$1,main!$A$3:$H$102,7,FALSE)=main!$G$104,VLOOKUP(BB$1,main!$A$3:$H$102,5,FALSE)-VLOOKUP($A195,main!$A$3:$H$102,6,FALSE)&gt;=main!$D$103+VLOOKUP(VLOOKUP(BB$1,main!$A$3:$I$102,7,FALSE),main!$K$26:$Q$29,4,FALSE)),1,0)</f>
        <v>0</v>
      </c>
      <c r="BC195">
        <f>IF(AND(VLOOKUP(BC$1,main!$A$3:$H$102,7,FALSE)=main!$G$104,VLOOKUP(BC$1,main!$A$3:$H$102,5,FALSE)-VLOOKUP($A195,main!$A$3:$H$102,6,FALSE)&gt;=main!$D$103+VLOOKUP(VLOOKUP(BC$1,main!$A$3:$I$102,7,FALSE),main!$K$26:$Q$29,4,FALSE)),1,0)</f>
        <v>0</v>
      </c>
      <c r="BD195">
        <f>IF(AND(VLOOKUP(BD$1,main!$A$3:$H$102,7,FALSE)=main!$G$104,VLOOKUP(BD$1,main!$A$3:$H$102,5,FALSE)-VLOOKUP($A195,main!$A$3:$H$102,6,FALSE)&gt;=main!$D$103+VLOOKUP(VLOOKUP(BD$1,main!$A$3:$I$102,7,FALSE),main!$K$26:$Q$29,4,FALSE)),1,0)</f>
        <v>0</v>
      </c>
      <c r="BE195">
        <f>IF(AND(VLOOKUP(BE$1,main!$A$3:$H$102,7,FALSE)=main!$G$104,VLOOKUP(BE$1,main!$A$3:$H$102,5,FALSE)-VLOOKUP($A195,main!$A$3:$H$102,6,FALSE)&gt;=main!$D$103+VLOOKUP(VLOOKUP(BE$1,main!$A$3:$I$102,7,FALSE),main!$K$26:$Q$29,4,FALSE)),1,0)</f>
        <v>0</v>
      </c>
      <c r="BF195">
        <f>IF(AND(VLOOKUP(BF$1,main!$A$3:$H$102,7,FALSE)=main!$G$104,VLOOKUP(BF$1,main!$A$3:$H$102,5,FALSE)-VLOOKUP($A195,main!$A$3:$H$102,6,FALSE)&gt;=main!$D$103+VLOOKUP(VLOOKUP(BF$1,main!$A$3:$I$102,7,FALSE),main!$K$26:$Q$29,4,FALSE)),1,0)</f>
        <v>0</v>
      </c>
      <c r="BG195">
        <f>IF(AND(VLOOKUP(BG$1,main!$A$3:$H$102,7,FALSE)=main!$G$104,VLOOKUP(BG$1,main!$A$3:$H$102,5,FALSE)-VLOOKUP($A195,main!$A$3:$H$102,6,FALSE)&gt;=main!$D$103+VLOOKUP(VLOOKUP(BG$1,main!$A$3:$I$102,7,FALSE),main!$K$26:$Q$29,4,FALSE)),1,0)</f>
        <v>0</v>
      </c>
      <c r="BH195">
        <f>IF(AND(VLOOKUP(BH$1,main!$A$3:$H$102,7,FALSE)=main!$G$104,VLOOKUP(BH$1,main!$A$3:$H$102,5,FALSE)-VLOOKUP($A195,main!$A$3:$H$102,6,FALSE)&gt;=main!$D$103+VLOOKUP(VLOOKUP(BH$1,main!$A$3:$I$102,7,FALSE),main!$K$26:$Q$29,4,FALSE)),1,0)</f>
        <v>0</v>
      </c>
      <c r="BI195">
        <f>IF(AND(VLOOKUP(BI$1,main!$A$3:$H$102,7,FALSE)=main!$G$104,VLOOKUP(BI$1,main!$A$3:$H$102,5,FALSE)-VLOOKUP($A195,main!$A$3:$H$102,6,FALSE)&gt;=main!$D$103+VLOOKUP(VLOOKUP(BI$1,main!$A$3:$I$102,7,FALSE),main!$K$26:$Q$29,4,FALSE)),1,0)</f>
        <v>0</v>
      </c>
      <c r="BJ195">
        <f>IF(AND(VLOOKUP(BJ$1,main!$A$3:$H$102,7,FALSE)=main!$G$104,VLOOKUP(BJ$1,main!$A$3:$H$102,5,FALSE)-VLOOKUP($A195,main!$A$3:$H$102,6,FALSE)&gt;=main!$D$103+VLOOKUP(VLOOKUP(BJ$1,main!$A$3:$I$102,7,FALSE),main!$K$26:$Q$29,4,FALSE)),1,0)</f>
        <v>0</v>
      </c>
      <c r="BK195">
        <f>IF(AND(VLOOKUP(BK$1,main!$A$3:$H$102,7,FALSE)=main!$G$104,VLOOKUP(BK$1,main!$A$3:$H$102,5,FALSE)-VLOOKUP($A195,main!$A$3:$H$102,6,FALSE)&gt;=main!$D$103+VLOOKUP(VLOOKUP(BK$1,main!$A$3:$I$102,7,FALSE),main!$K$26:$Q$29,4,FALSE)),1,0)</f>
        <v>0</v>
      </c>
      <c r="BL195">
        <f>IF(AND(VLOOKUP(BL$1,main!$A$3:$H$102,7,FALSE)=main!$G$104,VLOOKUP(BL$1,main!$A$3:$H$102,5,FALSE)-VLOOKUP($A195,main!$A$3:$H$102,6,FALSE)&gt;=main!$D$103+VLOOKUP(VLOOKUP(BL$1,main!$A$3:$I$102,7,FALSE),main!$K$26:$Q$29,4,FALSE)),1,0)</f>
        <v>0</v>
      </c>
      <c r="BM195">
        <f>IF(AND(VLOOKUP(BM$1,main!$A$3:$H$102,7,FALSE)=main!$G$104,VLOOKUP(BM$1,main!$A$3:$H$102,5,FALSE)-VLOOKUP($A195,main!$A$3:$H$102,6,FALSE)&gt;=main!$D$103+VLOOKUP(VLOOKUP(BM$1,main!$A$3:$I$102,7,FALSE),main!$K$26:$Q$29,4,FALSE)),1,0)</f>
        <v>0</v>
      </c>
      <c r="BN195">
        <f>IF(AND(VLOOKUP(BN$1,main!$A$3:$H$102,7,FALSE)=main!$G$104,VLOOKUP(BN$1,main!$A$3:$H$102,5,FALSE)-VLOOKUP($A195,main!$A$3:$H$102,6,FALSE)&gt;=main!$D$103+VLOOKUP(VLOOKUP(BN$1,main!$A$3:$I$102,7,FALSE),main!$K$26:$Q$29,4,FALSE)),1,0)</f>
        <v>0</v>
      </c>
      <c r="BO195">
        <f>IF(AND(VLOOKUP(BO$1,main!$A$3:$H$102,7,FALSE)=main!$G$104,VLOOKUP(BO$1,main!$A$3:$H$102,5,FALSE)-VLOOKUP($A195,main!$A$3:$H$102,6,FALSE)&gt;=main!$D$103+VLOOKUP(VLOOKUP(BO$1,main!$A$3:$I$102,7,FALSE),main!$K$26:$Q$29,4,FALSE)),1,0)</f>
        <v>0</v>
      </c>
      <c r="BP195">
        <f>IF(AND(VLOOKUP(BP$1,main!$A$3:$H$102,7,FALSE)=main!$G$104,VLOOKUP(BP$1,main!$A$3:$H$102,5,FALSE)-VLOOKUP($A195,main!$A$3:$H$102,6,FALSE)&gt;=main!$D$103+VLOOKUP(VLOOKUP(BP$1,main!$A$3:$I$102,7,FALSE),main!$K$26:$Q$29,4,FALSE)),1,0)</f>
        <v>0</v>
      </c>
      <c r="BQ195">
        <f>IF(AND(VLOOKUP(BQ$1,main!$A$3:$H$102,7,FALSE)=main!$G$104,VLOOKUP(BQ$1,main!$A$3:$H$102,5,FALSE)-VLOOKUP($A195,main!$A$3:$H$102,6,FALSE)&gt;=main!$D$103+VLOOKUP(VLOOKUP(BQ$1,main!$A$3:$I$102,7,FALSE),main!$K$26:$Q$29,4,FALSE)),1,0)</f>
        <v>0</v>
      </c>
      <c r="BR195">
        <f>IF(AND(VLOOKUP(BR$1,main!$A$3:$H$102,7,FALSE)=main!$G$104,VLOOKUP(BR$1,main!$A$3:$H$102,5,FALSE)-VLOOKUP($A195,main!$A$3:$H$102,6,FALSE)&gt;=main!$D$103+VLOOKUP(VLOOKUP(BR$1,main!$A$3:$I$102,7,FALSE),main!$K$26:$Q$29,4,FALSE)),1,0)</f>
        <v>0</v>
      </c>
      <c r="BS195">
        <f>IF(AND(VLOOKUP(BS$1,main!$A$3:$H$102,7,FALSE)=main!$G$104,VLOOKUP(BS$1,main!$A$3:$H$102,5,FALSE)-VLOOKUP($A195,main!$A$3:$H$102,6,FALSE)&gt;=main!$D$103+VLOOKUP(VLOOKUP(BS$1,main!$A$3:$I$102,7,FALSE),main!$K$26:$Q$29,4,FALSE)),1,0)</f>
        <v>0</v>
      </c>
      <c r="BT195">
        <f>IF(AND(VLOOKUP(BT$1,main!$A$3:$H$102,7,FALSE)=main!$G$104,VLOOKUP(BT$1,main!$A$3:$H$102,5,FALSE)-VLOOKUP($A195,main!$A$3:$H$102,6,FALSE)&gt;=main!$D$103+VLOOKUP(VLOOKUP(BT$1,main!$A$3:$I$102,7,FALSE),main!$K$26:$Q$29,4,FALSE)),1,0)</f>
        <v>0</v>
      </c>
      <c r="BU195">
        <f>IF(AND(VLOOKUP(BU$1,main!$A$3:$H$102,7,FALSE)=main!$G$104,VLOOKUP(BU$1,main!$A$3:$H$102,5,FALSE)-VLOOKUP($A195,main!$A$3:$H$102,6,FALSE)&gt;=main!$D$103+VLOOKUP(VLOOKUP(BU$1,main!$A$3:$I$102,7,FALSE),main!$K$26:$Q$29,4,FALSE)),1,0)</f>
        <v>0</v>
      </c>
      <c r="BV195">
        <f>IF(AND(VLOOKUP(BV$1,main!$A$3:$H$102,7,FALSE)=main!$G$104,VLOOKUP(BV$1,main!$A$3:$H$102,5,FALSE)-VLOOKUP($A195,main!$A$3:$H$102,6,FALSE)&gt;=main!$D$103+VLOOKUP(VLOOKUP(BV$1,main!$A$3:$I$102,7,FALSE),main!$K$26:$Q$29,4,FALSE)),1,0)</f>
        <v>0</v>
      </c>
      <c r="BW195">
        <f>IF(AND(VLOOKUP(BW$1,main!$A$3:$H$102,7,FALSE)=main!$G$104,VLOOKUP(BW$1,main!$A$3:$H$102,5,FALSE)-VLOOKUP($A195,main!$A$3:$H$102,6,FALSE)&gt;=main!$D$103+VLOOKUP(VLOOKUP(BW$1,main!$A$3:$I$102,7,FALSE),main!$K$26:$Q$29,4,FALSE)),1,0)</f>
        <v>0</v>
      </c>
      <c r="BX195">
        <f>IF(AND(VLOOKUP(BX$1,main!$A$3:$H$102,7,FALSE)=main!$G$104,VLOOKUP(BX$1,main!$A$3:$H$102,5,FALSE)-VLOOKUP($A195,main!$A$3:$H$102,6,FALSE)&gt;=main!$D$103+VLOOKUP(VLOOKUP(BX$1,main!$A$3:$I$102,7,FALSE),main!$K$26:$Q$29,4,FALSE)),1,0)</f>
        <v>0</v>
      </c>
      <c r="BY195">
        <f>IF(AND(VLOOKUP(BY$1,main!$A$3:$H$102,7,FALSE)=main!$G$104,VLOOKUP(BY$1,main!$A$3:$H$102,5,FALSE)-VLOOKUP($A195,main!$A$3:$H$102,6,FALSE)&gt;=main!$D$103+VLOOKUP(VLOOKUP(BY$1,main!$A$3:$I$102,7,FALSE),main!$K$26:$Q$29,4,FALSE)),1,0)</f>
        <v>0</v>
      </c>
      <c r="BZ195">
        <f>IF(AND(VLOOKUP(BZ$1,main!$A$3:$H$102,7,FALSE)=main!$G$104,VLOOKUP(BZ$1,main!$A$3:$H$102,5,FALSE)-VLOOKUP($A195,main!$A$3:$H$102,6,FALSE)&gt;=main!$D$103+VLOOKUP(VLOOKUP(BZ$1,main!$A$3:$I$102,7,FALSE),main!$K$26:$Q$29,4,FALSE)),1,0)</f>
        <v>0</v>
      </c>
      <c r="CA195">
        <f>IF(AND(VLOOKUP(CA$1,main!$A$3:$H$102,7,FALSE)=main!$G$104,VLOOKUP(CA$1,main!$A$3:$H$102,5,FALSE)-VLOOKUP($A195,main!$A$3:$H$102,6,FALSE)&gt;=main!$D$103+VLOOKUP(VLOOKUP(CA$1,main!$A$3:$I$102,7,FALSE),main!$K$26:$Q$29,4,FALSE)),1,0)</f>
        <v>0</v>
      </c>
      <c r="CB195">
        <f>IF(AND(VLOOKUP(CB$1,main!$A$3:$H$102,7,FALSE)=main!$G$104,VLOOKUP(CB$1,main!$A$3:$H$102,5,FALSE)-VLOOKUP($A195,main!$A$3:$H$102,6,FALSE)&gt;=main!$D$103+VLOOKUP(VLOOKUP(CB$1,main!$A$3:$I$102,7,FALSE),main!$K$26:$Q$29,4,FALSE)),1,0)</f>
        <v>0</v>
      </c>
      <c r="CC195">
        <f>IF(AND(VLOOKUP(CC$1,main!$A$3:$H$102,7,FALSE)=main!$G$104,VLOOKUP(CC$1,main!$A$3:$H$102,5,FALSE)-VLOOKUP($A195,main!$A$3:$H$102,6,FALSE)&gt;=main!$D$103+VLOOKUP(VLOOKUP(CC$1,main!$A$3:$I$102,7,FALSE),main!$K$26:$Q$29,4,FALSE)),1,0)</f>
        <v>0</v>
      </c>
      <c r="CD195">
        <f>IF(AND(VLOOKUP(CD$1,main!$A$3:$H$102,7,FALSE)=main!$G$104,VLOOKUP(CD$1,main!$A$3:$H$102,5,FALSE)-VLOOKUP($A195,main!$A$3:$H$102,6,FALSE)&gt;=main!$D$103+VLOOKUP(VLOOKUP(CD$1,main!$A$3:$I$102,7,FALSE),main!$K$26:$Q$29,4,FALSE)),1,0)</f>
        <v>0</v>
      </c>
      <c r="CE195">
        <f>IF(AND(VLOOKUP(CE$1,main!$A$3:$H$102,7,FALSE)=main!$G$104,VLOOKUP(CE$1,main!$A$3:$H$102,5,FALSE)-VLOOKUP($A195,main!$A$3:$H$102,6,FALSE)&gt;=main!$D$103+VLOOKUP(VLOOKUP(CE$1,main!$A$3:$I$102,7,FALSE),main!$K$26:$Q$29,4,FALSE)),1,0)</f>
        <v>0</v>
      </c>
      <c r="CF195">
        <f>IF(AND(VLOOKUP(CF$1,main!$A$3:$H$102,7,FALSE)=main!$G$104,VLOOKUP(CF$1,main!$A$3:$H$102,5,FALSE)-VLOOKUP($A195,main!$A$3:$H$102,6,FALSE)&gt;=main!$D$103+VLOOKUP(VLOOKUP(CF$1,main!$A$3:$I$102,7,FALSE),main!$K$26:$Q$29,4,FALSE)),1,0)</f>
        <v>0</v>
      </c>
      <c r="CG195">
        <f>IF(AND(VLOOKUP(CG$1,main!$A$3:$H$102,7,FALSE)=main!$G$104,VLOOKUP(CG$1,main!$A$3:$H$102,5,FALSE)-VLOOKUP($A195,main!$A$3:$H$102,6,FALSE)&gt;=main!$D$103+VLOOKUP(VLOOKUP(CG$1,main!$A$3:$I$102,7,FALSE),main!$K$26:$Q$29,4,FALSE)),1,0)</f>
        <v>0</v>
      </c>
      <c r="CH195">
        <f>IF(AND(VLOOKUP(CH$1,main!$A$3:$H$102,7,FALSE)=main!$G$104,VLOOKUP(CH$1,main!$A$3:$H$102,5,FALSE)-VLOOKUP($A195,main!$A$3:$H$102,6,FALSE)&gt;=main!$D$103+VLOOKUP(VLOOKUP(CH$1,main!$A$3:$I$102,7,FALSE),main!$K$26:$Q$29,4,FALSE)),1,0)</f>
        <v>0</v>
      </c>
      <c r="CI195">
        <f>IF(AND(VLOOKUP(CI$1,main!$A$3:$H$102,7,FALSE)=main!$G$104,VLOOKUP(CI$1,main!$A$3:$H$102,5,FALSE)-VLOOKUP($A195,main!$A$3:$H$102,6,FALSE)&gt;=main!$D$103+VLOOKUP(VLOOKUP(CI$1,main!$A$3:$I$102,7,FALSE),main!$K$26:$Q$29,4,FALSE)),1,0)</f>
        <v>0</v>
      </c>
      <c r="CJ195">
        <f>IF(AND(VLOOKUP(CJ$1,main!$A$3:$H$102,7,FALSE)=main!$G$104,VLOOKUP(CJ$1,main!$A$3:$H$102,5,FALSE)-VLOOKUP($A195,main!$A$3:$H$102,6,FALSE)&gt;=main!$D$103+VLOOKUP(VLOOKUP(CJ$1,main!$A$3:$I$102,7,FALSE),main!$K$26:$Q$29,4,FALSE)),1,0)</f>
        <v>0</v>
      </c>
      <c r="CK195">
        <f>IF(AND(VLOOKUP(CK$1,main!$A$3:$H$102,7,FALSE)=main!$G$104,VLOOKUP(CK$1,main!$A$3:$H$102,5,FALSE)-VLOOKUP($A195,main!$A$3:$H$102,6,FALSE)&gt;=main!$D$103+VLOOKUP(VLOOKUP(CK$1,main!$A$3:$I$102,7,FALSE),main!$K$26:$Q$29,4,FALSE)),1,0)</f>
        <v>0</v>
      </c>
      <c r="CL195">
        <f>IF(AND(VLOOKUP(CL$1,main!$A$3:$H$102,7,FALSE)=main!$G$104,VLOOKUP(CL$1,main!$A$3:$H$102,5,FALSE)-VLOOKUP($A195,main!$A$3:$H$102,6,FALSE)&gt;=main!$D$103+VLOOKUP(VLOOKUP(CL$1,main!$A$3:$I$102,7,FALSE),main!$K$26:$Q$29,4,FALSE)),1,0)</f>
        <v>0</v>
      </c>
      <c r="CM195">
        <f>IF(AND(VLOOKUP(CM$1,main!$A$3:$H$102,7,FALSE)=main!$G$104,VLOOKUP(CM$1,main!$A$3:$H$102,5,FALSE)-VLOOKUP($A195,main!$A$3:$H$102,6,FALSE)&gt;=main!$D$103+VLOOKUP(VLOOKUP(CM$1,main!$A$3:$I$102,7,FALSE),main!$K$26:$Q$29,4,FALSE)),1,0)</f>
        <v>0</v>
      </c>
      <c r="CN195">
        <f>IF(AND(VLOOKUP(CN$1,main!$A$3:$H$102,7,FALSE)=main!$G$104,VLOOKUP(CN$1,main!$A$3:$H$102,5,FALSE)-VLOOKUP($A195,main!$A$3:$H$102,6,FALSE)&gt;=main!$D$103+VLOOKUP(VLOOKUP(CN$1,main!$A$3:$I$102,7,FALSE),main!$K$26:$Q$29,4,FALSE)),1,0)</f>
        <v>0</v>
      </c>
      <c r="CO195">
        <f>IF(AND(VLOOKUP(CO$1,main!$A$3:$H$102,7,FALSE)=main!$G$104,VLOOKUP(CO$1,main!$A$3:$H$102,5,FALSE)-VLOOKUP($A195,main!$A$3:$H$102,6,FALSE)&gt;=main!$D$103+VLOOKUP(VLOOKUP(CO$1,main!$A$3:$I$102,7,FALSE),main!$K$26:$Q$29,4,FALSE)),1,0)</f>
        <v>0</v>
      </c>
      <c r="CP195">
        <f>IF(AND(VLOOKUP(CP$1,main!$A$3:$H$102,7,FALSE)=main!$G$104,VLOOKUP(CP$1,main!$A$3:$H$102,5,FALSE)-VLOOKUP($A195,main!$A$3:$H$102,6,FALSE)&gt;=main!$D$103+VLOOKUP(VLOOKUP(CP$1,main!$A$3:$I$102,7,FALSE),main!$K$26:$Q$29,4,FALSE)),1,0)</f>
        <v>0</v>
      </c>
      <c r="CQ195">
        <f>IF(AND(VLOOKUP(CQ$1,main!$A$3:$H$102,7,FALSE)=main!$G$104,VLOOKUP(CQ$1,main!$A$3:$H$102,5,FALSE)-VLOOKUP($A195,main!$A$3:$H$102,6,FALSE)&gt;=main!$D$103+VLOOKUP(VLOOKUP(CQ$1,main!$A$3:$I$102,7,FALSE),main!$K$26:$Q$29,4,FALSE)),1,0)</f>
        <v>0</v>
      </c>
      <c r="CR195">
        <f>IF(AND(VLOOKUP(CR$1,main!$A$3:$H$102,7,FALSE)=main!$G$104,VLOOKUP(CR$1,main!$A$3:$H$102,5,FALSE)-VLOOKUP($A195,main!$A$3:$H$102,6,FALSE)&gt;=main!$D$103+VLOOKUP(VLOOKUP(CR$1,main!$A$3:$I$102,7,FALSE),main!$K$26:$Q$29,4,FALSE)),1,0)</f>
        <v>0</v>
      </c>
      <c r="CS195">
        <f>IF(AND(VLOOKUP(CS$1,main!$A$3:$H$102,7,FALSE)=main!$G$104,VLOOKUP(CS$1,main!$A$3:$H$102,5,FALSE)-VLOOKUP($A195,main!$A$3:$H$102,6,FALSE)&gt;=main!$D$103+VLOOKUP(VLOOKUP(CS$1,main!$A$3:$I$102,7,FALSE),main!$K$26:$Q$29,4,FALSE)),1,0)</f>
        <v>0</v>
      </c>
      <c r="CT195">
        <f>IF(AND(VLOOKUP(CT$1,main!$A$3:$H$102,7,FALSE)=main!$G$104,VLOOKUP(CT$1,main!$A$3:$H$102,5,FALSE)-VLOOKUP($A195,main!$A$3:$H$102,6,FALSE)&gt;=main!$D$103+VLOOKUP(VLOOKUP(CT$1,main!$A$3:$I$102,7,FALSE),main!$K$26:$Q$29,4,FALSE)),1,0)</f>
        <v>0</v>
      </c>
      <c r="CU195">
        <f>IF(AND(VLOOKUP(CU$1,main!$A$3:$H$102,7,FALSE)=main!$G$104,VLOOKUP(CU$1,main!$A$3:$H$102,5,FALSE)-VLOOKUP($A195,main!$A$3:$H$102,6,FALSE)&gt;=main!$D$103+VLOOKUP(VLOOKUP(CU$1,main!$A$3:$I$102,7,FALSE),main!$K$26:$Q$29,4,FALSE)),1,0)</f>
        <v>0</v>
      </c>
      <c r="CV195">
        <f>IF(AND(VLOOKUP(CV$1,main!$A$3:$H$102,7,FALSE)=main!$G$104,VLOOKUP(CV$1,main!$A$3:$H$102,5,FALSE)-VLOOKUP($A195,main!$A$3:$H$102,6,FALSE)&gt;=main!$D$103+VLOOKUP(VLOOKUP(CV$1,main!$A$3:$I$102,7,FALSE),main!$K$26:$Q$29,4,FALSE)),1,0)</f>
        <v>0</v>
      </c>
      <c r="CW195">
        <f>IF(AND(VLOOKUP(CW$1,main!$A$3:$H$102,7,FALSE)=main!$G$104,VLOOKUP(CW$1,main!$A$3:$H$102,5,FALSE)-VLOOKUP($A195,main!$A$3:$H$102,6,FALSE)&gt;=main!$D$103+VLOOKUP(VLOOKUP(CW$1,main!$A$3:$I$102,7,FALSE),main!$K$26:$Q$29,4,FALSE)),1,0)</f>
        <v>0</v>
      </c>
      <c r="CX195">
        <f>IF(AND(VLOOKUP(CX$1,main!$A$3:$H$102,7,FALSE)=main!$G$104,VLOOKUP(CX$1,main!$A$3:$H$102,5,FALSE)-VLOOKUP($A195,main!$A$3:$H$102,6,FALSE)&gt;=main!$D$103+VLOOKUP(VLOOKUP(CX$1,main!$A$3:$I$102,7,FALSE),main!$K$26:$Q$29,4,FALSE)),1,0)</f>
        <v>0</v>
      </c>
    </row>
    <row r="196" spans="1:102" x14ac:dyDescent="0.25">
      <c r="A196" s="1">
        <v>93</v>
      </c>
      <c r="B196">
        <v>0</v>
      </c>
      <c r="C196">
        <f>IF(AND(VLOOKUP(C$1,main!$A$3:$H$102,7,FALSE)=main!$G$104,VLOOKUP(C$1,main!$A$3:$H$102,5,FALSE)-VLOOKUP($A196,main!$A$3:$H$102,6,FALSE)&gt;=main!$D$103+VLOOKUP(VLOOKUP(C$1,main!$A$3:$I$102,7,FALSE),main!$K$26:$Q$29,4,FALSE)),1,0)</f>
        <v>0</v>
      </c>
      <c r="D196">
        <f>IF(AND(VLOOKUP(D$1,main!$A$3:$H$102,7,FALSE)=main!$G$104,VLOOKUP(D$1,main!$A$3:$H$102,5,FALSE)-VLOOKUP($A196,main!$A$3:$H$102,6,FALSE)&gt;=main!$D$103+VLOOKUP(VLOOKUP(D$1,main!$A$3:$I$102,7,FALSE),main!$K$26:$Q$29,4,FALSE)),1,0)</f>
        <v>0</v>
      </c>
      <c r="E196">
        <f>IF(AND(VLOOKUP(E$1,main!$A$3:$H$102,7,FALSE)=main!$G$104,VLOOKUP(E$1,main!$A$3:$H$102,5,FALSE)-VLOOKUP($A196,main!$A$3:$H$102,6,FALSE)&gt;=main!$D$103+VLOOKUP(VLOOKUP(E$1,main!$A$3:$I$102,7,FALSE),main!$K$26:$Q$29,4,FALSE)),1,0)</f>
        <v>0</v>
      </c>
      <c r="F196">
        <f>IF(AND(VLOOKUP(F$1,main!$A$3:$H$102,7,FALSE)=main!$G$104,VLOOKUP(F$1,main!$A$3:$H$102,5,FALSE)-VLOOKUP($A196,main!$A$3:$H$102,6,FALSE)&gt;=main!$D$103+VLOOKUP(VLOOKUP(F$1,main!$A$3:$I$102,7,FALSE),main!$K$26:$Q$29,4,FALSE)),1,0)</f>
        <v>0</v>
      </c>
      <c r="G196">
        <f>IF(AND(VLOOKUP(G$1,main!$A$3:$H$102,7,FALSE)=main!$G$104,VLOOKUP(G$1,main!$A$3:$H$102,5,FALSE)-VLOOKUP($A196,main!$A$3:$H$102,6,FALSE)&gt;=main!$D$103+VLOOKUP(VLOOKUP(G$1,main!$A$3:$I$102,7,FALSE),main!$K$26:$Q$29,4,FALSE)),1,0)</f>
        <v>0</v>
      </c>
      <c r="H196">
        <f>IF(AND(VLOOKUP(H$1,main!$A$3:$H$102,7,FALSE)=main!$G$104,VLOOKUP(H$1,main!$A$3:$H$102,5,FALSE)-VLOOKUP($A196,main!$A$3:$H$102,6,FALSE)&gt;=main!$D$103+VLOOKUP(VLOOKUP(H$1,main!$A$3:$I$102,7,FALSE),main!$K$26:$Q$29,4,FALSE)),1,0)</f>
        <v>0</v>
      </c>
      <c r="I196">
        <f>IF(AND(VLOOKUP(I$1,main!$A$3:$H$102,7,FALSE)=main!$G$104,VLOOKUP(I$1,main!$A$3:$H$102,5,FALSE)-VLOOKUP($A196,main!$A$3:$H$102,6,FALSE)&gt;=main!$D$103+VLOOKUP(VLOOKUP(I$1,main!$A$3:$I$102,7,FALSE),main!$K$26:$Q$29,4,FALSE)),1,0)</f>
        <v>1</v>
      </c>
      <c r="J196">
        <f>IF(AND(VLOOKUP(J$1,main!$A$3:$H$102,7,FALSE)=main!$G$104,VLOOKUP(J$1,main!$A$3:$H$102,5,FALSE)-VLOOKUP($A196,main!$A$3:$H$102,6,FALSE)&gt;=main!$D$103+VLOOKUP(VLOOKUP(J$1,main!$A$3:$I$102,7,FALSE),main!$K$26:$Q$29,4,FALSE)),1,0)</f>
        <v>1</v>
      </c>
      <c r="K196">
        <f>IF(AND(VLOOKUP(K$1,main!$A$3:$H$102,7,FALSE)=main!$G$104,VLOOKUP(K$1,main!$A$3:$H$102,5,FALSE)-VLOOKUP($A196,main!$A$3:$H$102,6,FALSE)&gt;=main!$D$103+VLOOKUP(VLOOKUP(K$1,main!$A$3:$I$102,7,FALSE),main!$K$26:$Q$29,4,FALSE)),1,0)</f>
        <v>1</v>
      </c>
      <c r="L196">
        <f>IF(AND(VLOOKUP(L$1,main!$A$3:$H$102,7,FALSE)=main!$G$104,VLOOKUP(L$1,main!$A$3:$H$102,5,FALSE)-VLOOKUP($A196,main!$A$3:$H$102,6,FALSE)&gt;=main!$D$103+VLOOKUP(VLOOKUP(L$1,main!$A$3:$I$102,7,FALSE),main!$K$26:$Q$29,4,FALSE)),1,0)</f>
        <v>1</v>
      </c>
      <c r="M196">
        <f>IF(AND(VLOOKUP(M$1,main!$A$3:$H$102,7,FALSE)=main!$G$104,VLOOKUP(M$1,main!$A$3:$H$102,5,FALSE)-VLOOKUP($A196,main!$A$3:$H$102,6,FALSE)&gt;=main!$D$103+VLOOKUP(VLOOKUP(M$1,main!$A$3:$I$102,7,FALSE),main!$K$26:$Q$29,4,FALSE)),1,0)</f>
        <v>0</v>
      </c>
      <c r="N196">
        <f>IF(AND(VLOOKUP(N$1,main!$A$3:$H$102,7,FALSE)=main!$G$104,VLOOKUP(N$1,main!$A$3:$H$102,5,FALSE)-VLOOKUP($A196,main!$A$3:$H$102,6,FALSE)&gt;=main!$D$103+VLOOKUP(VLOOKUP(N$1,main!$A$3:$I$102,7,FALSE),main!$K$26:$Q$29,4,FALSE)),1,0)</f>
        <v>0</v>
      </c>
      <c r="O196">
        <f>IF(AND(VLOOKUP(O$1,main!$A$3:$H$102,7,FALSE)=main!$G$104,VLOOKUP(O$1,main!$A$3:$H$102,5,FALSE)-VLOOKUP($A196,main!$A$3:$H$102,6,FALSE)&gt;=main!$D$103+VLOOKUP(VLOOKUP(O$1,main!$A$3:$I$102,7,FALSE),main!$K$26:$Q$29,4,FALSE)),1,0)</f>
        <v>0</v>
      </c>
      <c r="P196">
        <f>IF(AND(VLOOKUP(P$1,main!$A$3:$H$102,7,FALSE)=main!$G$104,VLOOKUP(P$1,main!$A$3:$H$102,5,FALSE)-VLOOKUP($A196,main!$A$3:$H$102,6,FALSE)&gt;=main!$D$103+VLOOKUP(VLOOKUP(P$1,main!$A$3:$I$102,7,FALSE),main!$K$26:$Q$29,4,FALSE)),1,0)</f>
        <v>0</v>
      </c>
      <c r="Q196">
        <f>IF(AND(VLOOKUP(Q$1,main!$A$3:$H$102,7,FALSE)=main!$G$104,VLOOKUP(Q$1,main!$A$3:$H$102,5,FALSE)-VLOOKUP($A196,main!$A$3:$H$102,6,FALSE)&gt;=main!$D$103+VLOOKUP(VLOOKUP(Q$1,main!$A$3:$I$102,7,FALSE),main!$K$26:$Q$29,4,FALSE)),1,0)</f>
        <v>0</v>
      </c>
      <c r="R196">
        <f>IF(AND(VLOOKUP(R$1,main!$A$3:$H$102,7,FALSE)=main!$G$104,VLOOKUP(R$1,main!$A$3:$H$102,5,FALSE)-VLOOKUP($A196,main!$A$3:$H$102,6,FALSE)&gt;=main!$D$103+VLOOKUP(VLOOKUP(R$1,main!$A$3:$I$102,7,FALSE),main!$K$26:$Q$29,4,FALSE)),1,0)</f>
        <v>0</v>
      </c>
      <c r="S196">
        <f>IF(AND(VLOOKUP(S$1,main!$A$3:$H$102,7,FALSE)=main!$G$104,VLOOKUP(S$1,main!$A$3:$H$102,5,FALSE)-VLOOKUP($A196,main!$A$3:$H$102,6,FALSE)&gt;=main!$D$103+VLOOKUP(VLOOKUP(S$1,main!$A$3:$I$102,7,FALSE),main!$K$26:$Q$29,4,FALSE)),1,0)</f>
        <v>0</v>
      </c>
      <c r="T196">
        <f>IF(AND(VLOOKUP(T$1,main!$A$3:$H$102,7,FALSE)=main!$G$104,VLOOKUP(T$1,main!$A$3:$H$102,5,FALSE)-VLOOKUP($A196,main!$A$3:$H$102,6,FALSE)&gt;=main!$D$103+VLOOKUP(VLOOKUP(T$1,main!$A$3:$I$102,7,FALSE),main!$K$26:$Q$29,4,FALSE)),1,0)</f>
        <v>1</v>
      </c>
      <c r="U196">
        <f>IF(AND(VLOOKUP(U$1,main!$A$3:$H$102,7,FALSE)=main!$G$104,VLOOKUP(U$1,main!$A$3:$H$102,5,FALSE)-VLOOKUP($A196,main!$A$3:$H$102,6,FALSE)&gt;=main!$D$103+VLOOKUP(VLOOKUP(U$1,main!$A$3:$I$102,7,FALSE),main!$K$26:$Q$29,4,FALSE)),1,0)</f>
        <v>1</v>
      </c>
      <c r="V196">
        <f>IF(AND(VLOOKUP(V$1,main!$A$3:$H$102,7,FALSE)=main!$G$104,VLOOKUP(V$1,main!$A$3:$H$102,5,FALSE)-VLOOKUP($A196,main!$A$3:$H$102,6,FALSE)&gt;=main!$D$103+VLOOKUP(VLOOKUP(V$1,main!$A$3:$I$102,7,FALSE),main!$K$26:$Q$29,4,FALSE)),1,0)</f>
        <v>1</v>
      </c>
      <c r="W196">
        <f>IF(AND(VLOOKUP(W$1,main!$A$3:$H$102,7,FALSE)=main!$G$104,VLOOKUP(W$1,main!$A$3:$H$102,5,FALSE)-VLOOKUP($A196,main!$A$3:$H$102,6,FALSE)&gt;=main!$D$103+VLOOKUP(VLOOKUP(W$1,main!$A$3:$I$102,7,FALSE),main!$K$26:$Q$29,4,FALSE)),1,0)</f>
        <v>0</v>
      </c>
      <c r="X196">
        <f>IF(AND(VLOOKUP(X$1,main!$A$3:$H$102,7,FALSE)=main!$G$104,VLOOKUP(X$1,main!$A$3:$H$102,5,FALSE)-VLOOKUP($A196,main!$A$3:$H$102,6,FALSE)&gt;=main!$D$103+VLOOKUP(VLOOKUP(X$1,main!$A$3:$I$102,7,FALSE),main!$K$26:$Q$29,4,FALSE)),1,0)</f>
        <v>0</v>
      </c>
      <c r="Y196">
        <f>IF(AND(VLOOKUP(Y$1,main!$A$3:$H$102,7,FALSE)=main!$G$104,VLOOKUP(Y$1,main!$A$3:$H$102,5,FALSE)-VLOOKUP($A196,main!$A$3:$H$102,6,FALSE)&gt;=main!$D$103+VLOOKUP(VLOOKUP(Y$1,main!$A$3:$I$102,7,FALSE),main!$K$26:$Q$29,4,FALSE)),1,0)</f>
        <v>0</v>
      </c>
      <c r="Z196">
        <f>IF(AND(VLOOKUP(Z$1,main!$A$3:$H$102,7,FALSE)=main!$G$104,VLOOKUP(Z$1,main!$A$3:$H$102,5,FALSE)-VLOOKUP($A196,main!$A$3:$H$102,6,FALSE)&gt;=main!$D$103+VLOOKUP(VLOOKUP(Z$1,main!$A$3:$I$102,7,FALSE),main!$K$26:$Q$29,4,FALSE)),1,0)</f>
        <v>1</v>
      </c>
      <c r="AA196">
        <f>IF(AND(VLOOKUP(AA$1,main!$A$3:$H$102,7,FALSE)=main!$G$104,VLOOKUP(AA$1,main!$A$3:$H$102,5,FALSE)-VLOOKUP($A196,main!$A$3:$H$102,6,FALSE)&gt;=main!$D$103+VLOOKUP(VLOOKUP(AA$1,main!$A$3:$I$102,7,FALSE),main!$K$26:$Q$29,4,FALSE)),1,0)</f>
        <v>1</v>
      </c>
      <c r="AB196">
        <f>IF(AND(VLOOKUP(AB$1,main!$A$3:$H$102,7,FALSE)=main!$G$104,VLOOKUP(AB$1,main!$A$3:$H$102,5,FALSE)-VLOOKUP($A196,main!$A$3:$H$102,6,FALSE)&gt;=main!$D$103+VLOOKUP(VLOOKUP(AB$1,main!$A$3:$I$102,7,FALSE),main!$K$26:$Q$29,4,FALSE)),1,0)</f>
        <v>0</v>
      </c>
      <c r="AC196">
        <f>IF(AND(VLOOKUP(AC$1,main!$A$3:$H$102,7,FALSE)=main!$G$104,VLOOKUP(AC$1,main!$A$3:$H$102,5,FALSE)-VLOOKUP($A196,main!$A$3:$H$102,6,FALSE)&gt;=main!$D$103+VLOOKUP(VLOOKUP(AC$1,main!$A$3:$I$102,7,FALSE),main!$K$26:$Q$29,4,FALSE)),1,0)</f>
        <v>0</v>
      </c>
      <c r="AD196">
        <f>IF(AND(VLOOKUP(AD$1,main!$A$3:$H$102,7,FALSE)=main!$G$104,VLOOKUP(AD$1,main!$A$3:$H$102,5,FALSE)-VLOOKUP($A196,main!$A$3:$H$102,6,FALSE)&gt;=main!$D$103+VLOOKUP(VLOOKUP(AD$1,main!$A$3:$I$102,7,FALSE),main!$K$26:$Q$29,4,FALSE)),1,0)</f>
        <v>0</v>
      </c>
      <c r="AE196">
        <f>IF(AND(VLOOKUP(AE$1,main!$A$3:$H$102,7,FALSE)=main!$G$104,VLOOKUP(AE$1,main!$A$3:$H$102,5,FALSE)-VLOOKUP($A196,main!$A$3:$H$102,6,FALSE)&gt;=main!$D$103+VLOOKUP(VLOOKUP(AE$1,main!$A$3:$I$102,7,FALSE),main!$K$26:$Q$29,4,FALSE)),1,0)</f>
        <v>0</v>
      </c>
      <c r="AF196">
        <f>IF(AND(VLOOKUP(AF$1,main!$A$3:$H$102,7,FALSE)=main!$G$104,VLOOKUP(AF$1,main!$A$3:$H$102,5,FALSE)-VLOOKUP($A196,main!$A$3:$H$102,6,FALSE)&gt;=main!$D$103+VLOOKUP(VLOOKUP(AF$1,main!$A$3:$I$102,7,FALSE),main!$K$26:$Q$29,4,FALSE)),1,0)</f>
        <v>1</v>
      </c>
      <c r="AG196">
        <f>IF(AND(VLOOKUP(AG$1,main!$A$3:$H$102,7,FALSE)=main!$G$104,VLOOKUP(AG$1,main!$A$3:$H$102,5,FALSE)-VLOOKUP($A196,main!$A$3:$H$102,6,FALSE)&gt;=main!$D$103+VLOOKUP(VLOOKUP(AG$1,main!$A$3:$I$102,7,FALSE),main!$K$26:$Q$29,4,FALSE)),1,0)</f>
        <v>0</v>
      </c>
      <c r="AH196">
        <f>IF(AND(VLOOKUP(AH$1,main!$A$3:$H$102,7,FALSE)=main!$G$104,VLOOKUP(AH$1,main!$A$3:$H$102,5,FALSE)-VLOOKUP($A196,main!$A$3:$H$102,6,FALSE)&gt;=main!$D$103+VLOOKUP(VLOOKUP(AH$1,main!$A$3:$I$102,7,FALSE),main!$K$26:$Q$29,4,FALSE)),1,0)</f>
        <v>0</v>
      </c>
      <c r="AI196">
        <f>IF(AND(VLOOKUP(AI$1,main!$A$3:$H$102,7,FALSE)=main!$G$104,VLOOKUP(AI$1,main!$A$3:$H$102,5,FALSE)-VLOOKUP($A196,main!$A$3:$H$102,6,FALSE)&gt;=main!$D$103+VLOOKUP(VLOOKUP(AI$1,main!$A$3:$I$102,7,FALSE),main!$K$26:$Q$29,4,FALSE)),1,0)</f>
        <v>0</v>
      </c>
      <c r="AJ196">
        <f>IF(AND(VLOOKUP(AJ$1,main!$A$3:$H$102,7,FALSE)=main!$G$104,VLOOKUP(AJ$1,main!$A$3:$H$102,5,FALSE)-VLOOKUP($A196,main!$A$3:$H$102,6,FALSE)&gt;=main!$D$103+VLOOKUP(VLOOKUP(AJ$1,main!$A$3:$I$102,7,FALSE),main!$K$26:$Q$29,4,FALSE)),1,0)</f>
        <v>0</v>
      </c>
      <c r="AK196">
        <f>IF(AND(VLOOKUP(AK$1,main!$A$3:$H$102,7,FALSE)=main!$G$104,VLOOKUP(AK$1,main!$A$3:$H$102,5,FALSE)-VLOOKUP($A196,main!$A$3:$H$102,6,FALSE)&gt;=main!$D$103+VLOOKUP(VLOOKUP(AK$1,main!$A$3:$I$102,7,FALSE),main!$K$26:$Q$29,4,FALSE)),1,0)</f>
        <v>0</v>
      </c>
      <c r="AL196">
        <f>IF(AND(VLOOKUP(AL$1,main!$A$3:$H$102,7,FALSE)=main!$G$104,VLOOKUP(AL$1,main!$A$3:$H$102,5,FALSE)-VLOOKUP($A196,main!$A$3:$H$102,6,FALSE)&gt;=main!$D$103+VLOOKUP(VLOOKUP(AL$1,main!$A$3:$I$102,7,FALSE),main!$K$26:$Q$29,4,FALSE)),1,0)</f>
        <v>0</v>
      </c>
      <c r="AM196">
        <f>IF(AND(VLOOKUP(AM$1,main!$A$3:$H$102,7,FALSE)=main!$G$104,VLOOKUP(AM$1,main!$A$3:$H$102,5,FALSE)-VLOOKUP($A196,main!$A$3:$H$102,6,FALSE)&gt;=main!$D$103+VLOOKUP(VLOOKUP(AM$1,main!$A$3:$I$102,7,FALSE),main!$K$26:$Q$29,4,FALSE)),1,0)</f>
        <v>0</v>
      </c>
      <c r="AN196">
        <f>IF(AND(VLOOKUP(AN$1,main!$A$3:$H$102,7,FALSE)=main!$G$104,VLOOKUP(AN$1,main!$A$3:$H$102,5,FALSE)-VLOOKUP($A196,main!$A$3:$H$102,6,FALSE)&gt;=main!$D$103+VLOOKUP(VLOOKUP(AN$1,main!$A$3:$I$102,7,FALSE),main!$K$26:$Q$29,4,FALSE)),1,0)</f>
        <v>0</v>
      </c>
      <c r="AO196">
        <f>IF(AND(VLOOKUP(AO$1,main!$A$3:$H$102,7,FALSE)=main!$G$104,VLOOKUP(AO$1,main!$A$3:$H$102,5,FALSE)-VLOOKUP($A196,main!$A$3:$H$102,6,FALSE)&gt;=main!$D$103+VLOOKUP(VLOOKUP(AO$1,main!$A$3:$I$102,7,FALSE),main!$K$26:$Q$29,4,FALSE)),1,0)</f>
        <v>0</v>
      </c>
      <c r="AP196">
        <f>IF(AND(VLOOKUP(AP$1,main!$A$3:$H$102,7,FALSE)=main!$G$104,VLOOKUP(AP$1,main!$A$3:$H$102,5,FALSE)-VLOOKUP($A196,main!$A$3:$H$102,6,FALSE)&gt;=main!$D$103+VLOOKUP(VLOOKUP(AP$1,main!$A$3:$I$102,7,FALSE),main!$K$26:$Q$29,4,FALSE)),1,0)</f>
        <v>0</v>
      </c>
      <c r="AQ196">
        <f>IF(AND(VLOOKUP(AQ$1,main!$A$3:$H$102,7,FALSE)=main!$G$104,VLOOKUP(AQ$1,main!$A$3:$H$102,5,FALSE)-VLOOKUP($A196,main!$A$3:$H$102,6,FALSE)&gt;=main!$D$103+VLOOKUP(VLOOKUP(AQ$1,main!$A$3:$I$102,7,FALSE),main!$K$26:$Q$29,4,FALSE)),1,0)</f>
        <v>0</v>
      </c>
      <c r="AR196">
        <f>IF(AND(VLOOKUP(AR$1,main!$A$3:$H$102,7,FALSE)=main!$G$104,VLOOKUP(AR$1,main!$A$3:$H$102,5,FALSE)-VLOOKUP($A196,main!$A$3:$H$102,6,FALSE)&gt;=main!$D$103+VLOOKUP(VLOOKUP(AR$1,main!$A$3:$I$102,7,FALSE),main!$K$26:$Q$29,4,FALSE)),1,0)</f>
        <v>0</v>
      </c>
      <c r="AS196">
        <f>IF(AND(VLOOKUP(AS$1,main!$A$3:$H$102,7,FALSE)=main!$G$104,VLOOKUP(AS$1,main!$A$3:$H$102,5,FALSE)-VLOOKUP($A196,main!$A$3:$H$102,6,FALSE)&gt;=main!$D$103+VLOOKUP(VLOOKUP(AS$1,main!$A$3:$I$102,7,FALSE),main!$K$26:$Q$29,4,FALSE)),1,0)</f>
        <v>0</v>
      </c>
      <c r="AT196">
        <f>IF(AND(VLOOKUP(AT$1,main!$A$3:$H$102,7,FALSE)=main!$G$104,VLOOKUP(AT$1,main!$A$3:$H$102,5,FALSE)-VLOOKUP($A196,main!$A$3:$H$102,6,FALSE)&gt;=main!$D$103+VLOOKUP(VLOOKUP(AT$1,main!$A$3:$I$102,7,FALSE),main!$K$26:$Q$29,4,FALSE)),1,0)</f>
        <v>0</v>
      </c>
      <c r="AU196">
        <f>IF(AND(VLOOKUP(AU$1,main!$A$3:$H$102,7,FALSE)=main!$G$104,VLOOKUP(AU$1,main!$A$3:$H$102,5,FALSE)-VLOOKUP($A196,main!$A$3:$H$102,6,FALSE)&gt;=main!$D$103+VLOOKUP(VLOOKUP(AU$1,main!$A$3:$I$102,7,FALSE),main!$K$26:$Q$29,4,FALSE)),1,0)</f>
        <v>0</v>
      </c>
      <c r="AV196">
        <f>IF(AND(VLOOKUP(AV$1,main!$A$3:$H$102,7,FALSE)=main!$G$104,VLOOKUP(AV$1,main!$A$3:$H$102,5,FALSE)-VLOOKUP($A196,main!$A$3:$H$102,6,FALSE)&gt;=main!$D$103+VLOOKUP(VLOOKUP(AV$1,main!$A$3:$I$102,7,FALSE),main!$K$26:$Q$29,4,FALSE)),1,0)</f>
        <v>0</v>
      </c>
      <c r="AW196">
        <f>IF(AND(VLOOKUP(AW$1,main!$A$3:$H$102,7,FALSE)=main!$G$104,VLOOKUP(AW$1,main!$A$3:$H$102,5,FALSE)-VLOOKUP($A196,main!$A$3:$H$102,6,FALSE)&gt;=main!$D$103+VLOOKUP(VLOOKUP(AW$1,main!$A$3:$I$102,7,FALSE),main!$K$26:$Q$29,4,FALSE)),1,0)</f>
        <v>0</v>
      </c>
      <c r="AX196">
        <f>IF(AND(VLOOKUP(AX$1,main!$A$3:$H$102,7,FALSE)=main!$G$104,VLOOKUP(AX$1,main!$A$3:$H$102,5,FALSE)-VLOOKUP($A196,main!$A$3:$H$102,6,FALSE)&gt;=main!$D$103+VLOOKUP(VLOOKUP(AX$1,main!$A$3:$I$102,7,FALSE),main!$K$26:$Q$29,4,FALSE)),1,0)</f>
        <v>0</v>
      </c>
      <c r="AY196">
        <f>IF(AND(VLOOKUP(AY$1,main!$A$3:$H$102,7,FALSE)=main!$G$104,VLOOKUP(AY$1,main!$A$3:$H$102,5,FALSE)-VLOOKUP($A196,main!$A$3:$H$102,6,FALSE)&gt;=main!$D$103+VLOOKUP(VLOOKUP(AY$1,main!$A$3:$I$102,7,FALSE),main!$K$26:$Q$29,4,FALSE)),1,0)</f>
        <v>0</v>
      </c>
      <c r="AZ196">
        <f>IF(AND(VLOOKUP(AZ$1,main!$A$3:$H$102,7,FALSE)=main!$G$104,VLOOKUP(AZ$1,main!$A$3:$H$102,5,FALSE)-VLOOKUP($A196,main!$A$3:$H$102,6,FALSE)&gt;=main!$D$103+VLOOKUP(VLOOKUP(AZ$1,main!$A$3:$I$102,7,FALSE),main!$K$26:$Q$29,4,FALSE)),1,0)</f>
        <v>0</v>
      </c>
      <c r="BA196">
        <f>IF(AND(VLOOKUP(BA$1,main!$A$3:$H$102,7,FALSE)=main!$G$104,VLOOKUP(BA$1,main!$A$3:$H$102,5,FALSE)-VLOOKUP($A196,main!$A$3:$H$102,6,FALSE)&gt;=main!$D$103+VLOOKUP(VLOOKUP(BA$1,main!$A$3:$I$102,7,FALSE),main!$K$26:$Q$29,4,FALSE)),1,0)</f>
        <v>0</v>
      </c>
      <c r="BB196">
        <f>IF(AND(VLOOKUP(BB$1,main!$A$3:$H$102,7,FALSE)=main!$G$104,VLOOKUP(BB$1,main!$A$3:$H$102,5,FALSE)-VLOOKUP($A196,main!$A$3:$H$102,6,FALSE)&gt;=main!$D$103+VLOOKUP(VLOOKUP(BB$1,main!$A$3:$I$102,7,FALSE),main!$K$26:$Q$29,4,FALSE)),1,0)</f>
        <v>0</v>
      </c>
      <c r="BC196">
        <f>IF(AND(VLOOKUP(BC$1,main!$A$3:$H$102,7,FALSE)=main!$G$104,VLOOKUP(BC$1,main!$A$3:$H$102,5,FALSE)-VLOOKUP($A196,main!$A$3:$H$102,6,FALSE)&gt;=main!$D$103+VLOOKUP(VLOOKUP(BC$1,main!$A$3:$I$102,7,FALSE),main!$K$26:$Q$29,4,FALSE)),1,0)</f>
        <v>0</v>
      </c>
      <c r="BD196">
        <f>IF(AND(VLOOKUP(BD$1,main!$A$3:$H$102,7,FALSE)=main!$G$104,VLOOKUP(BD$1,main!$A$3:$H$102,5,FALSE)-VLOOKUP($A196,main!$A$3:$H$102,6,FALSE)&gt;=main!$D$103+VLOOKUP(VLOOKUP(BD$1,main!$A$3:$I$102,7,FALSE),main!$K$26:$Q$29,4,FALSE)),1,0)</f>
        <v>0</v>
      </c>
      <c r="BE196">
        <f>IF(AND(VLOOKUP(BE$1,main!$A$3:$H$102,7,FALSE)=main!$G$104,VLOOKUP(BE$1,main!$A$3:$H$102,5,FALSE)-VLOOKUP($A196,main!$A$3:$H$102,6,FALSE)&gt;=main!$D$103+VLOOKUP(VLOOKUP(BE$1,main!$A$3:$I$102,7,FALSE),main!$K$26:$Q$29,4,FALSE)),1,0)</f>
        <v>0</v>
      </c>
      <c r="BF196">
        <f>IF(AND(VLOOKUP(BF$1,main!$A$3:$H$102,7,FALSE)=main!$G$104,VLOOKUP(BF$1,main!$A$3:$H$102,5,FALSE)-VLOOKUP($A196,main!$A$3:$H$102,6,FALSE)&gt;=main!$D$103+VLOOKUP(VLOOKUP(BF$1,main!$A$3:$I$102,7,FALSE),main!$K$26:$Q$29,4,FALSE)),1,0)</f>
        <v>0</v>
      </c>
      <c r="BG196">
        <f>IF(AND(VLOOKUP(BG$1,main!$A$3:$H$102,7,FALSE)=main!$G$104,VLOOKUP(BG$1,main!$A$3:$H$102,5,FALSE)-VLOOKUP($A196,main!$A$3:$H$102,6,FALSE)&gt;=main!$D$103+VLOOKUP(VLOOKUP(BG$1,main!$A$3:$I$102,7,FALSE),main!$K$26:$Q$29,4,FALSE)),1,0)</f>
        <v>0</v>
      </c>
      <c r="BH196">
        <f>IF(AND(VLOOKUP(BH$1,main!$A$3:$H$102,7,FALSE)=main!$G$104,VLOOKUP(BH$1,main!$A$3:$H$102,5,FALSE)-VLOOKUP($A196,main!$A$3:$H$102,6,FALSE)&gt;=main!$D$103+VLOOKUP(VLOOKUP(BH$1,main!$A$3:$I$102,7,FALSE),main!$K$26:$Q$29,4,FALSE)),1,0)</f>
        <v>0</v>
      </c>
      <c r="BI196">
        <f>IF(AND(VLOOKUP(BI$1,main!$A$3:$H$102,7,FALSE)=main!$G$104,VLOOKUP(BI$1,main!$A$3:$H$102,5,FALSE)-VLOOKUP($A196,main!$A$3:$H$102,6,FALSE)&gt;=main!$D$103+VLOOKUP(VLOOKUP(BI$1,main!$A$3:$I$102,7,FALSE),main!$K$26:$Q$29,4,FALSE)),1,0)</f>
        <v>0</v>
      </c>
      <c r="BJ196">
        <f>IF(AND(VLOOKUP(BJ$1,main!$A$3:$H$102,7,FALSE)=main!$G$104,VLOOKUP(BJ$1,main!$A$3:$H$102,5,FALSE)-VLOOKUP($A196,main!$A$3:$H$102,6,FALSE)&gt;=main!$D$103+VLOOKUP(VLOOKUP(BJ$1,main!$A$3:$I$102,7,FALSE),main!$K$26:$Q$29,4,FALSE)),1,0)</f>
        <v>0</v>
      </c>
      <c r="BK196">
        <f>IF(AND(VLOOKUP(BK$1,main!$A$3:$H$102,7,FALSE)=main!$G$104,VLOOKUP(BK$1,main!$A$3:$H$102,5,FALSE)-VLOOKUP($A196,main!$A$3:$H$102,6,FALSE)&gt;=main!$D$103+VLOOKUP(VLOOKUP(BK$1,main!$A$3:$I$102,7,FALSE),main!$K$26:$Q$29,4,FALSE)),1,0)</f>
        <v>0</v>
      </c>
      <c r="BL196">
        <f>IF(AND(VLOOKUP(BL$1,main!$A$3:$H$102,7,FALSE)=main!$G$104,VLOOKUP(BL$1,main!$A$3:$H$102,5,FALSE)-VLOOKUP($A196,main!$A$3:$H$102,6,FALSE)&gt;=main!$D$103+VLOOKUP(VLOOKUP(BL$1,main!$A$3:$I$102,7,FALSE),main!$K$26:$Q$29,4,FALSE)),1,0)</f>
        <v>0</v>
      </c>
      <c r="BM196">
        <f>IF(AND(VLOOKUP(BM$1,main!$A$3:$H$102,7,FALSE)=main!$G$104,VLOOKUP(BM$1,main!$A$3:$H$102,5,FALSE)-VLOOKUP($A196,main!$A$3:$H$102,6,FALSE)&gt;=main!$D$103+VLOOKUP(VLOOKUP(BM$1,main!$A$3:$I$102,7,FALSE),main!$K$26:$Q$29,4,FALSE)),1,0)</f>
        <v>0</v>
      </c>
      <c r="BN196">
        <f>IF(AND(VLOOKUP(BN$1,main!$A$3:$H$102,7,FALSE)=main!$G$104,VLOOKUP(BN$1,main!$A$3:$H$102,5,FALSE)-VLOOKUP($A196,main!$A$3:$H$102,6,FALSE)&gt;=main!$D$103+VLOOKUP(VLOOKUP(BN$1,main!$A$3:$I$102,7,FALSE),main!$K$26:$Q$29,4,FALSE)),1,0)</f>
        <v>0</v>
      </c>
      <c r="BO196">
        <f>IF(AND(VLOOKUP(BO$1,main!$A$3:$H$102,7,FALSE)=main!$G$104,VLOOKUP(BO$1,main!$A$3:$H$102,5,FALSE)-VLOOKUP($A196,main!$A$3:$H$102,6,FALSE)&gt;=main!$D$103+VLOOKUP(VLOOKUP(BO$1,main!$A$3:$I$102,7,FALSE),main!$K$26:$Q$29,4,FALSE)),1,0)</f>
        <v>0</v>
      </c>
      <c r="BP196">
        <f>IF(AND(VLOOKUP(BP$1,main!$A$3:$H$102,7,FALSE)=main!$G$104,VLOOKUP(BP$1,main!$A$3:$H$102,5,FALSE)-VLOOKUP($A196,main!$A$3:$H$102,6,FALSE)&gt;=main!$D$103+VLOOKUP(VLOOKUP(BP$1,main!$A$3:$I$102,7,FALSE),main!$K$26:$Q$29,4,FALSE)),1,0)</f>
        <v>0</v>
      </c>
      <c r="BQ196">
        <f>IF(AND(VLOOKUP(BQ$1,main!$A$3:$H$102,7,FALSE)=main!$G$104,VLOOKUP(BQ$1,main!$A$3:$H$102,5,FALSE)-VLOOKUP($A196,main!$A$3:$H$102,6,FALSE)&gt;=main!$D$103+VLOOKUP(VLOOKUP(BQ$1,main!$A$3:$I$102,7,FALSE),main!$K$26:$Q$29,4,FALSE)),1,0)</f>
        <v>0</v>
      </c>
      <c r="BR196">
        <f>IF(AND(VLOOKUP(BR$1,main!$A$3:$H$102,7,FALSE)=main!$G$104,VLOOKUP(BR$1,main!$A$3:$H$102,5,FALSE)-VLOOKUP($A196,main!$A$3:$H$102,6,FALSE)&gt;=main!$D$103+VLOOKUP(VLOOKUP(BR$1,main!$A$3:$I$102,7,FALSE),main!$K$26:$Q$29,4,FALSE)),1,0)</f>
        <v>0</v>
      </c>
      <c r="BS196">
        <f>IF(AND(VLOOKUP(BS$1,main!$A$3:$H$102,7,FALSE)=main!$G$104,VLOOKUP(BS$1,main!$A$3:$H$102,5,FALSE)-VLOOKUP($A196,main!$A$3:$H$102,6,FALSE)&gt;=main!$D$103+VLOOKUP(VLOOKUP(BS$1,main!$A$3:$I$102,7,FALSE),main!$K$26:$Q$29,4,FALSE)),1,0)</f>
        <v>0</v>
      </c>
      <c r="BT196">
        <f>IF(AND(VLOOKUP(BT$1,main!$A$3:$H$102,7,FALSE)=main!$G$104,VLOOKUP(BT$1,main!$A$3:$H$102,5,FALSE)-VLOOKUP($A196,main!$A$3:$H$102,6,FALSE)&gt;=main!$D$103+VLOOKUP(VLOOKUP(BT$1,main!$A$3:$I$102,7,FALSE),main!$K$26:$Q$29,4,FALSE)),1,0)</f>
        <v>0</v>
      </c>
      <c r="BU196">
        <f>IF(AND(VLOOKUP(BU$1,main!$A$3:$H$102,7,FALSE)=main!$G$104,VLOOKUP(BU$1,main!$A$3:$H$102,5,FALSE)-VLOOKUP($A196,main!$A$3:$H$102,6,FALSE)&gt;=main!$D$103+VLOOKUP(VLOOKUP(BU$1,main!$A$3:$I$102,7,FALSE),main!$K$26:$Q$29,4,FALSE)),1,0)</f>
        <v>0</v>
      </c>
      <c r="BV196">
        <f>IF(AND(VLOOKUP(BV$1,main!$A$3:$H$102,7,FALSE)=main!$G$104,VLOOKUP(BV$1,main!$A$3:$H$102,5,FALSE)-VLOOKUP($A196,main!$A$3:$H$102,6,FALSE)&gt;=main!$D$103+VLOOKUP(VLOOKUP(BV$1,main!$A$3:$I$102,7,FALSE),main!$K$26:$Q$29,4,FALSE)),1,0)</f>
        <v>0</v>
      </c>
      <c r="BW196">
        <f>IF(AND(VLOOKUP(BW$1,main!$A$3:$H$102,7,FALSE)=main!$G$104,VLOOKUP(BW$1,main!$A$3:$H$102,5,FALSE)-VLOOKUP($A196,main!$A$3:$H$102,6,FALSE)&gt;=main!$D$103+VLOOKUP(VLOOKUP(BW$1,main!$A$3:$I$102,7,FALSE),main!$K$26:$Q$29,4,FALSE)),1,0)</f>
        <v>0</v>
      </c>
      <c r="BX196">
        <f>IF(AND(VLOOKUP(BX$1,main!$A$3:$H$102,7,FALSE)=main!$G$104,VLOOKUP(BX$1,main!$A$3:$H$102,5,FALSE)-VLOOKUP($A196,main!$A$3:$H$102,6,FALSE)&gt;=main!$D$103+VLOOKUP(VLOOKUP(BX$1,main!$A$3:$I$102,7,FALSE),main!$K$26:$Q$29,4,FALSE)),1,0)</f>
        <v>0</v>
      </c>
      <c r="BY196">
        <f>IF(AND(VLOOKUP(BY$1,main!$A$3:$H$102,7,FALSE)=main!$G$104,VLOOKUP(BY$1,main!$A$3:$H$102,5,FALSE)-VLOOKUP($A196,main!$A$3:$H$102,6,FALSE)&gt;=main!$D$103+VLOOKUP(VLOOKUP(BY$1,main!$A$3:$I$102,7,FALSE),main!$K$26:$Q$29,4,FALSE)),1,0)</f>
        <v>0</v>
      </c>
      <c r="BZ196">
        <f>IF(AND(VLOOKUP(BZ$1,main!$A$3:$H$102,7,FALSE)=main!$G$104,VLOOKUP(BZ$1,main!$A$3:$H$102,5,FALSE)-VLOOKUP($A196,main!$A$3:$H$102,6,FALSE)&gt;=main!$D$103+VLOOKUP(VLOOKUP(BZ$1,main!$A$3:$I$102,7,FALSE),main!$K$26:$Q$29,4,FALSE)),1,0)</f>
        <v>0</v>
      </c>
      <c r="CA196">
        <f>IF(AND(VLOOKUP(CA$1,main!$A$3:$H$102,7,FALSE)=main!$G$104,VLOOKUP(CA$1,main!$A$3:$H$102,5,FALSE)-VLOOKUP($A196,main!$A$3:$H$102,6,FALSE)&gt;=main!$D$103+VLOOKUP(VLOOKUP(CA$1,main!$A$3:$I$102,7,FALSE),main!$K$26:$Q$29,4,FALSE)),1,0)</f>
        <v>0</v>
      </c>
      <c r="CB196">
        <f>IF(AND(VLOOKUP(CB$1,main!$A$3:$H$102,7,FALSE)=main!$G$104,VLOOKUP(CB$1,main!$A$3:$H$102,5,FALSE)-VLOOKUP($A196,main!$A$3:$H$102,6,FALSE)&gt;=main!$D$103+VLOOKUP(VLOOKUP(CB$1,main!$A$3:$I$102,7,FALSE),main!$K$26:$Q$29,4,FALSE)),1,0)</f>
        <v>0</v>
      </c>
      <c r="CC196">
        <f>IF(AND(VLOOKUP(CC$1,main!$A$3:$H$102,7,FALSE)=main!$G$104,VLOOKUP(CC$1,main!$A$3:$H$102,5,FALSE)-VLOOKUP($A196,main!$A$3:$H$102,6,FALSE)&gt;=main!$D$103+VLOOKUP(VLOOKUP(CC$1,main!$A$3:$I$102,7,FALSE),main!$K$26:$Q$29,4,FALSE)),1,0)</f>
        <v>0</v>
      </c>
      <c r="CD196">
        <f>IF(AND(VLOOKUP(CD$1,main!$A$3:$H$102,7,FALSE)=main!$G$104,VLOOKUP(CD$1,main!$A$3:$H$102,5,FALSE)-VLOOKUP($A196,main!$A$3:$H$102,6,FALSE)&gt;=main!$D$103+VLOOKUP(VLOOKUP(CD$1,main!$A$3:$I$102,7,FALSE),main!$K$26:$Q$29,4,FALSE)),1,0)</f>
        <v>0</v>
      </c>
      <c r="CE196">
        <f>IF(AND(VLOOKUP(CE$1,main!$A$3:$H$102,7,FALSE)=main!$G$104,VLOOKUP(CE$1,main!$A$3:$H$102,5,FALSE)-VLOOKUP($A196,main!$A$3:$H$102,6,FALSE)&gt;=main!$D$103+VLOOKUP(VLOOKUP(CE$1,main!$A$3:$I$102,7,FALSE),main!$K$26:$Q$29,4,FALSE)),1,0)</f>
        <v>0</v>
      </c>
      <c r="CF196">
        <f>IF(AND(VLOOKUP(CF$1,main!$A$3:$H$102,7,FALSE)=main!$G$104,VLOOKUP(CF$1,main!$A$3:$H$102,5,FALSE)-VLOOKUP($A196,main!$A$3:$H$102,6,FALSE)&gt;=main!$D$103+VLOOKUP(VLOOKUP(CF$1,main!$A$3:$I$102,7,FALSE),main!$K$26:$Q$29,4,FALSE)),1,0)</f>
        <v>0</v>
      </c>
      <c r="CG196">
        <f>IF(AND(VLOOKUP(CG$1,main!$A$3:$H$102,7,FALSE)=main!$G$104,VLOOKUP(CG$1,main!$A$3:$H$102,5,FALSE)-VLOOKUP($A196,main!$A$3:$H$102,6,FALSE)&gt;=main!$D$103+VLOOKUP(VLOOKUP(CG$1,main!$A$3:$I$102,7,FALSE),main!$K$26:$Q$29,4,FALSE)),1,0)</f>
        <v>0</v>
      </c>
      <c r="CH196">
        <f>IF(AND(VLOOKUP(CH$1,main!$A$3:$H$102,7,FALSE)=main!$G$104,VLOOKUP(CH$1,main!$A$3:$H$102,5,FALSE)-VLOOKUP($A196,main!$A$3:$H$102,6,FALSE)&gt;=main!$D$103+VLOOKUP(VLOOKUP(CH$1,main!$A$3:$I$102,7,FALSE),main!$K$26:$Q$29,4,FALSE)),1,0)</f>
        <v>0</v>
      </c>
      <c r="CI196">
        <f>IF(AND(VLOOKUP(CI$1,main!$A$3:$H$102,7,FALSE)=main!$G$104,VLOOKUP(CI$1,main!$A$3:$H$102,5,FALSE)-VLOOKUP($A196,main!$A$3:$H$102,6,FALSE)&gt;=main!$D$103+VLOOKUP(VLOOKUP(CI$1,main!$A$3:$I$102,7,FALSE),main!$K$26:$Q$29,4,FALSE)),1,0)</f>
        <v>0</v>
      </c>
      <c r="CJ196">
        <f>IF(AND(VLOOKUP(CJ$1,main!$A$3:$H$102,7,FALSE)=main!$G$104,VLOOKUP(CJ$1,main!$A$3:$H$102,5,FALSE)-VLOOKUP($A196,main!$A$3:$H$102,6,FALSE)&gt;=main!$D$103+VLOOKUP(VLOOKUP(CJ$1,main!$A$3:$I$102,7,FALSE),main!$K$26:$Q$29,4,FALSE)),1,0)</f>
        <v>0</v>
      </c>
      <c r="CK196">
        <f>IF(AND(VLOOKUP(CK$1,main!$A$3:$H$102,7,FALSE)=main!$G$104,VLOOKUP(CK$1,main!$A$3:$H$102,5,FALSE)-VLOOKUP($A196,main!$A$3:$H$102,6,FALSE)&gt;=main!$D$103+VLOOKUP(VLOOKUP(CK$1,main!$A$3:$I$102,7,FALSE),main!$K$26:$Q$29,4,FALSE)),1,0)</f>
        <v>0</v>
      </c>
      <c r="CL196">
        <f>IF(AND(VLOOKUP(CL$1,main!$A$3:$H$102,7,FALSE)=main!$G$104,VLOOKUP(CL$1,main!$A$3:$H$102,5,FALSE)-VLOOKUP($A196,main!$A$3:$H$102,6,FALSE)&gt;=main!$D$103+VLOOKUP(VLOOKUP(CL$1,main!$A$3:$I$102,7,FALSE),main!$K$26:$Q$29,4,FALSE)),1,0)</f>
        <v>0</v>
      </c>
      <c r="CM196">
        <f>IF(AND(VLOOKUP(CM$1,main!$A$3:$H$102,7,FALSE)=main!$G$104,VLOOKUP(CM$1,main!$A$3:$H$102,5,FALSE)-VLOOKUP($A196,main!$A$3:$H$102,6,FALSE)&gt;=main!$D$103+VLOOKUP(VLOOKUP(CM$1,main!$A$3:$I$102,7,FALSE),main!$K$26:$Q$29,4,FALSE)),1,0)</f>
        <v>0</v>
      </c>
      <c r="CN196">
        <f>IF(AND(VLOOKUP(CN$1,main!$A$3:$H$102,7,FALSE)=main!$G$104,VLOOKUP(CN$1,main!$A$3:$H$102,5,FALSE)-VLOOKUP($A196,main!$A$3:$H$102,6,FALSE)&gt;=main!$D$103+VLOOKUP(VLOOKUP(CN$1,main!$A$3:$I$102,7,FALSE),main!$K$26:$Q$29,4,FALSE)),1,0)</f>
        <v>0</v>
      </c>
      <c r="CO196">
        <f>IF(AND(VLOOKUP(CO$1,main!$A$3:$H$102,7,FALSE)=main!$G$104,VLOOKUP(CO$1,main!$A$3:$H$102,5,FALSE)-VLOOKUP($A196,main!$A$3:$H$102,6,FALSE)&gt;=main!$D$103+VLOOKUP(VLOOKUP(CO$1,main!$A$3:$I$102,7,FALSE),main!$K$26:$Q$29,4,FALSE)),1,0)</f>
        <v>0</v>
      </c>
      <c r="CP196">
        <f>IF(AND(VLOOKUP(CP$1,main!$A$3:$H$102,7,FALSE)=main!$G$104,VLOOKUP(CP$1,main!$A$3:$H$102,5,FALSE)-VLOOKUP($A196,main!$A$3:$H$102,6,FALSE)&gt;=main!$D$103+VLOOKUP(VLOOKUP(CP$1,main!$A$3:$I$102,7,FALSE),main!$K$26:$Q$29,4,FALSE)),1,0)</f>
        <v>0</v>
      </c>
      <c r="CQ196">
        <f>IF(AND(VLOOKUP(CQ$1,main!$A$3:$H$102,7,FALSE)=main!$G$104,VLOOKUP(CQ$1,main!$A$3:$H$102,5,FALSE)-VLOOKUP($A196,main!$A$3:$H$102,6,FALSE)&gt;=main!$D$103+VLOOKUP(VLOOKUP(CQ$1,main!$A$3:$I$102,7,FALSE),main!$K$26:$Q$29,4,FALSE)),1,0)</f>
        <v>0</v>
      </c>
      <c r="CR196">
        <f>IF(AND(VLOOKUP(CR$1,main!$A$3:$H$102,7,FALSE)=main!$G$104,VLOOKUP(CR$1,main!$A$3:$H$102,5,FALSE)-VLOOKUP($A196,main!$A$3:$H$102,6,FALSE)&gt;=main!$D$103+VLOOKUP(VLOOKUP(CR$1,main!$A$3:$I$102,7,FALSE),main!$K$26:$Q$29,4,FALSE)),1,0)</f>
        <v>0</v>
      </c>
      <c r="CS196">
        <f>IF(AND(VLOOKUP(CS$1,main!$A$3:$H$102,7,FALSE)=main!$G$104,VLOOKUP(CS$1,main!$A$3:$H$102,5,FALSE)-VLOOKUP($A196,main!$A$3:$H$102,6,FALSE)&gt;=main!$D$103+VLOOKUP(VLOOKUP(CS$1,main!$A$3:$I$102,7,FALSE),main!$K$26:$Q$29,4,FALSE)),1,0)</f>
        <v>0</v>
      </c>
      <c r="CT196">
        <f>IF(AND(VLOOKUP(CT$1,main!$A$3:$H$102,7,FALSE)=main!$G$104,VLOOKUP(CT$1,main!$A$3:$H$102,5,FALSE)-VLOOKUP($A196,main!$A$3:$H$102,6,FALSE)&gt;=main!$D$103+VLOOKUP(VLOOKUP(CT$1,main!$A$3:$I$102,7,FALSE),main!$K$26:$Q$29,4,FALSE)),1,0)</f>
        <v>0</v>
      </c>
      <c r="CU196">
        <f>IF(AND(VLOOKUP(CU$1,main!$A$3:$H$102,7,FALSE)=main!$G$104,VLOOKUP(CU$1,main!$A$3:$H$102,5,FALSE)-VLOOKUP($A196,main!$A$3:$H$102,6,FALSE)&gt;=main!$D$103+VLOOKUP(VLOOKUP(CU$1,main!$A$3:$I$102,7,FALSE),main!$K$26:$Q$29,4,FALSE)),1,0)</f>
        <v>0</v>
      </c>
      <c r="CV196">
        <f>IF(AND(VLOOKUP(CV$1,main!$A$3:$H$102,7,FALSE)=main!$G$104,VLOOKUP(CV$1,main!$A$3:$H$102,5,FALSE)-VLOOKUP($A196,main!$A$3:$H$102,6,FALSE)&gt;=main!$D$103+VLOOKUP(VLOOKUP(CV$1,main!$A$3:$I$102,7,FALSE),main!$K$26:$Q$29,4,FALSE)),1,0)</f>
        <v>0</v>
      </c>
      <c r="CW196">
        <f>IF(AND(VLOOKUP(CW$1,main!$A$3:$H$102,7,FALSE)=main!$G$104,VLOOKUP(CW$1,main!$A$3:$H$102,5,FALSE)-VLOOKUP($A196,main!$A$3:$H$102,6,FALSE)&gt;=main!$D$103+VLOOKUP(VLOOKUP(CW$1,main!$A$3:$I$102,7,FALSE),main!$K$26:$Q$29,4,FALSE)),1,0)</f>
        <v>0</v>
      </c>
      <c r="CX196">
        <f>IF(AND(VLOOKUP(CX$1,main!$A$3:$H$102,7,FALSE)=main!$G$104,VLOOKUP(CX$1,main!$A$3:$H$102,5,FALSE)-VLOOKUP($A196,main!$A$3:$H$102,6,FALSE)&gt;=main!$D$103+VLOOKUP(VLOOKUP(CX$1,main!$A$3:$I$102,7,FALSE),main!$K$26:$Q$29,4,FALSE)),1,0)</f>
        <v>0</v>
      </c>
    </row>
    <row r="197" spans="1:102" x14ac:dyDescent="0.25">
      <c r="A197" s="1">
        <v>94</v>
      </c>
      <c r="B197">
        <v>0</v>
      </c>
      <c r="C197">
        <f>IF(AND(VLOOKUP(C$1,main!$A$3:$H$102,7,FALSE)=main!$G$104,VLOOKUP(C$1,main!$A$3:$H$102,5,FALSE)-VLOOKUP($A197,main!$A$3:$H$102,6,FALSE)&gt;=main!$D$103+VLOOKUP(VLOOKUP(C$1,main!$A$3:$I$102,7,FALSE),main!$K$26:$Q$29,4,FALSE)),1,0)</f>
        <v>0</v>
      </c>
      <c r="D197">
        <f>IF(AND(VLOOKUP(D$1,main!$A$3:$H$102,7,FALSE)=main!$G$104,VLOOKUP(D$1,main!$A$3:$H$102,5,FALSE)-VLOOKUP($A197,main!$A$3:$H$102,6,FALSE)&gt;=main!$D$103+VLOOKUP(VLOOKUP(D$1,main!$A$3:$I$102,7,FALSE),main!$K$26:$Q$29,4,FALSE)),1,0)</f>
        <v>0</v>
      </c>
      <c r="E197">
        <f>IF(AND(VLOOKUP(E$1,main!$A$3:$H$102,7,FALSE)=main!$G$104,VLOOKUP(E$1,main!$A$3:$H$102,5,FALSE)-VLOOKUP($A197,main!$A$3:$H$102,6,FALSE)&gt;=main!$D$103+VLOOKUP(VLOOKUP(E$1,main!$A$3:$I$102,7,FALSE),main!$K$26:$Q$29,4,FALSE)),1,0)</f>
        <v>0</v>
      </c>
      <c r="F197">
        <f>IF(AND(VLOOKUP(F$1,main!$A$3:$H$102,7,FALSE)=main!$G$104,VLOOKUP(F$1,main!$A$3:$H$102,5,FALSE)-VLOOKUP($A197,main!$A$3:$H$102,6,FALSE)&gt;=main!$D$103+VLOOKUP(VLOOKUP(F$1,main!$A$3:$I$102,7,FALSE),main!$K$26:$Q$29,4,FALSE)),1,0)</f>
        <v>0</v>
      </c>
      <c r="G197">
        <f>IF(AND(VLOOKUP(G$1,main!$A$3:$H$102,7,FALSE)=main!$G$104,VLOOKUP(G$1,main!$A$3:$H$102,5,FALSE)-VLOOKUP($A197,main!$A$3:$H$102,6,FALSE)&gt;=main!$D$103+VLOOKUP(VLOOKUP(G$1,main!$A$3:$I$102,7,FALSE),main!$K$26:$Q$29,4,FALSE)),1,0)</f>
        <v>0</v>
      </c>
      <c r="H197">
        <f>IF(AND(VLOOKUP(H$1,main!$A$3:$H$102,7,FALSE)=main!$G$104,VLOOKUP(H$1,main!$A$3:$H$102,5,FALSE)-VLOOKUP($A197,main!$A$3:$H$102,6,FALSE)&gt;=main!$D$103+VLOOKUP(VLOOKUP(H$1,main!$A$3:$I$102,7,FALSE),main!$K$26:$Q$29,4,FALSE)),1,0)</f>
        <v>0</v>
      </c>
      <c r="I197">
        <f>IF(AND(VLOOKUP(I$1,main!$A$3:$H$102,7,FALSE)=main!$G$104,VLOOKUP(I$1,main!$A$3:$H$102,5,FALSE)-VLOOKUP($A197,main!$A$3:$H$102,6,FALSE)&gt;=main!$D$103+VLOOKUP(VLOOKUP(I$1,main!$A$3:$I$102,7,FALSE),main!$K$26:$Q$29,4,FALSE)),1,0)</f>
        <v>0</v>
      </c>
      <c r="J197">
        <f>IF(AND(VLOOKUP(J$1,main!$A$3:$H$102,7,FALSE)=main!$G$104,VLOOKUP(J$1,main!$A$3:$H$102,5,FALSE)-VLOOKUP($A197,main!$A$3:$H$102,6,FALSE)&gt;=main!$D$103+VLOOKUP(VLOOKUP(J$1,main!$A$3:$I$102,7,FALSE),main!$K$26:$Q$29,4,FALSE)),1,0)</f>
        <v>0</v>
      </c>
      <c r="K197">
        <f>IF(AND(VLOOKUP(K$1,main!$A$3:$H$102,7,FALSE)=main!$G$104,VLOOKUP(K$1,main!$A$3:$H$102,5,FALSE)-VLOOKUP($A197,main!$A$3:$H$102,6,FALSE)&gt;=main!$D$103+VLOOKUP(VLOOKUP(K$1,main!$A$3:$I$102,7,FALSE),main!$K$26:$Q$29,4,FALSE)),1,0)</f>
        <v>0</v>
      </c>
      <c r="L197">
        <f>IF(AND(VLOOKUP(L$1,main!$A$3:$H$102,7,FALSE)=main!$G$104,VLOOKUP(L$1,main!$A$3:$H$102,5,FALSE)-VLOOKUP($A197,main!$A$3:$H$102,6,FALSE)&gt;=main!$D$103+VLOOKUP(VLOOKUP(L$1,main!$A$3:$I$102,7,FALSE),main!$K$26:$Q$29,4,FALSE)),1,0)</f>
        <v>1</v>
      </c>
      <c r="M197">
        <f>IF(AND(VLOOKUP(M$1,main!$A$3:$H$102,7,FALSE)=main!$G$104,VLOOKUP(M$1,main!$A$3:$H$102,5,FALSE)-VLOOKUP($A197,main!$A$3:$H$102,6,FALSE)&gt;=main!$D$103+VLOOKUP(VLOOKUP(M$1,main!$A$3:$I$102,7,FALSE),main!$K$26:$Q$29,4,FALSE)),1,0)</f>
        <v>0</v>
      </c>
      <c r="N197">
        <f>IF(AND(VLOOKUP(N$1,main!$A$3:$H$102,7,FALSE)=main!$G$104,VLOOKUP(N$1,main!$A$3:$H$102,5,FALSE)-VLOOKUP($A197,main!$A$3:$H$102,6,FALSE)&gt;=main!$D$103+VLOOKUP(VLOOKUP(N$1,main!$A$3:$I$102,7,FALSE),main!$K$26:$Q$29,4,FALSE)),1,0)</f>
        <v>0</v>
      </c>
      <c r="O197">
        <f>IF(AND(VLOOKUP(O$1,main!$A$3:$H$102,7,FALSE)=main!$G$104,VLOOKUP(O$1,main!$A$3:$H$102,5,FALSE)-VLOOKUP($A197,main!$A$3:$H$102,6,FALSE)&gt;=main!$D$103+VLOOKUP(VLOOKUP(O$1,main!$A$3:$I$102,7,FALSE),main!$K$26:$Q$29,4,FALSE)),1,0)</f>
        <v>0</v>
      </c>
      <c r="P197">
        <f>IF(AND(VLOOKUP(P$1,main!$A$3:$H$102,7,FALSE)=main!$G$104,VLOOKUP(P$1,main!$A$3:$H$102,5,FALSE)-VLOOKUP($A197,main!$A$3:$H$102,6,FALSE)&gt;=main!$D$103+VLOOKUP(VLOOKUP(P$1,main!$A$3:$I$102,7,FALSE),main!$K$26:$Q$29,4,FALSE)),1,0)</f>
        <v>0</v>
      </c>
      <c r="Q197">
        <f>IF(AND(VLOOKUP(Q$1,main!$A$3:$H$102,7,FALSE)=main!$G$104,VLOOKUP(Q$1,main!$A$3:$H$102,5,FALSE)-VLOOKUP($A197,main!$A$3:$H$102,6,FALSE)&gt;=main!$D$103+VLOOKUP(VLOOKUP(Q$1,main!$A$3:$I$102,7,FALSE),main!$K$26:$Q$29,4,FALSE)),1,0)</f>
        <v>0</v>
      </c>
      <c r="R197">
        <f>IF(AND(VLOOKUP(R$1,main!$A$3:$H$102,7,FALSE)=main!$G$104,VLOOKUP(R$1,main!$A$3:$H$102,5,FALSE)-VLOOKUP($A197,main!$A$3:$H$102,6,FALSE)&gt;=main!$D$103+VLOOKUP(VLOOKUP(R$1,main!$A$3:$I$102,7,FALSE),main!$K$26:$Q$29,4,FALSE)),1,0)</f>
        <v>0</v>
      </c>
      <c r="S197">
        <f>IF(AND(VLOOKUP(S$1,main!$A$3:$H$102,7,FALSE)=main!$G$104,VLOOKUP(S$1,main!$A$3:$H$102,5,FALSE)-VLOOKUP($A197,main!$A$3:$H$102,6,FALSE)&gt;=main!$D$103+VLOOKUP(VLOOKUP(S$1,main!$A$3:$I$102,7,FALSE),main!$K$26:$Q$29,4,FALSE)),1,0)</f>
        <v>0</v>
      </c>
      <c r="T197">
        <f>IF(AND(VLOOKUP(T$1,main!$A$3:$H$102,7,FALSE)=main!$G$104,VLOOKUP(T$1,main!$A$3:$H$102,5,FALSE)-VLOOKUP($A197,main!$A$3:$H$102,6,FALSE)&gt;=main!$D$103+VLOOKUP(VLOOKUP(T$1,main!$A$3:$I$102,7,FALSE),main!$K$26:$Q$29,4,FALSE)),1,0)</f>
        <v>0</v>
      </c>
      <c r="U197">
        <f>IF(AND(VLOOKUP(U$1,main!$A$3:$H$102,7,FALSE)=main!$G$104,VLOOKUP(U$1,main!$A$3:$H$102,5,FALSE)-VLOOKUP($A197,main!$A$3:$H$102,6,FALSE)&gt;=main!$D$103+VLOOKUP(VLOOKUP(U$1,main!$A$3:$I$102,7,FALSE),main!$K$26:$Q$29,4,FALSE)),1,0)</f>
        <v>0</v>
      </c>
      <c r="V197">
        <f>IF(AND(VLOOKUP(V$1,main!$A$3:$H$102,7,FALSE)=main!$G$104,VLOOKUP(V$1,main!$A$3:$H$102,5,FALSE)-VLOOKUP($A197,main!$A$3:$H$102,6,FALSE)&gt;=main!$D$103+VLOOKUP(VLOOKUP(V$1,main!$A$3:$I$102,7,FALSE),main!$K$26:$Q$29,4,FALSE)),1,0)</f>
        <v>1</v>
      </c>
      <c r="W197">
        <f>IF(AND(VLOOKUP(W$1,main!$A$3:$H$102,7,FALSE)=main!$G$104,VLOOKUP(W$1,main!$A$3:$H$102,5,FALSE)-VLOOKUP($A197,main!$A$3:$H$102,6,FALSE)&gt;=main!$D$103+VLOOKUP(VLOOKUP(W$1,main!$A$3:$I$102,7,FALSE),main!$K$26:$Q$29,4,FALSE)),1,0)</f>
        <v>0</v>
      </c>
      <c r="X197">
        <f>IF(AND(VLOOKUP(X$1,main!$A$3:$H$102,7,FALSE)=main!$G$104,VLOOKUP(X$1,main!$A$3:$H$102,5,FALSE)-VLOOKUP($A197,main!$A$3:$H$102,6,FALSE)&gt;=main!$D$103+VLOOKUP(VLOOKUP(X$1,main!$A$3:$I$102,7,FALSE),main!$K$26:$Q$29,4,FALSE)),1,0)</f>
        <v>0</v>
      </c>
      <c r="Y197">
        <f>IF(AND(VLOOKUP(Y$1,main!$A$3:$H$102,7,FALSE)=main!$G$104,VLOOKUP(Y$1,main!$A$3:$H$102,5,FALSE)-VLOOKUP($A197,main!$A$3:$H$102,6,FALSE)&gt;=main!$D$103+VLOOKUP(VLOOKUP(Y$1,main!$A$3:$I$102,7,FALSE),main!$K$26:$Q$29,4,FALSE)),1,0)</f>
        <v>0</v>
      </c>
      <c r="Z197">
        <f>IF(AND(VLOOKUP(Z$1,main!$A$3:$H$102,7,FALSE)=main!$G$104,VLOOKUP(Z$1,main!$A$3:$H$102,5,FALSE)-VLOOKUP($A197,main!$A$3:$H$102,6,FALSE)&gt;=main!$D$103+VLOOKUP(VLOOKUP(Z$1,main!$A$3:$I$102,7,FALSE),main!$K$26:$Q$29,4,FALSE)),1,0)</f>
        <v>0</v>
      </c>
      <c r="AA197">
        <f>IF(AND(VLOOKUP(AA$1,main!$A$3:$H$102,7,FALSE)=main!$G$104,VLOOKUP(AA$1,main!$A$3:$H$102,5,FALSE)-VLOOKUP($A197,main!$A$3:$H$102,6,FALSE)&gt;=main!$D$103+VLOOKUP(VLOOKUP(AA$1,main!$A$3:$I$102,7,FALSE),main!$K$26:$Q$29,4,FALSE)),1,0)</f>
        <v>0</v>
      </c>
      <c r="AB197">
        <f>IF(AND(VLOOKUP(AB$1,main!$A$3:$H$102,7,FALSE)=main!$G$104,VLOOKUP(AB$1,main!$A$3:$H$102,5,FALSE)-VLOOKUP($A197,main!$A$3:$H$102,6,FALSE)&gt;=main!$D$103+VLOOKUP(VLOOKUP(AB$1,main!$A$3:$I$102,7,FALSE),main!$K$26:$Q$29,4,FALSE)),1,0)</f>
        <v>0</v>
      </c>
      <c r="AC197">
        <f>IF(AND(VLOOKUP(AC$1,main!$A$3:$H$102,7,FALSE)=main!$G$104,VLOOKUP(AC$1,main!$A$3:$H$102,5,FALSE)-VLOOKUP($A197,main!$A$3:$H$102,6,FALSE)&gt;=main!$D$103+VLOOKUP(VLOOKUP(AC$1,main!$A$3:$I$102,7,FALSE),main!$K$26:$Q$29,4,FALSE)),1,0)</f>
        <v>0</v>
      </c>
      <c r="AD197">
        <f>IF(AND(VLOOKUP(AD$1,main!$A$3:$H$102,7,FALSE)=main!$G$104,VLOOKUP(AD$1,main!$A$3:$H$102,5,FALSE)-VLOOKUP($A197,main!$A$3:$H$102,6,FALSE)&gt;=main!$D$103+VLOOKUP(VLOOKUP(AD$1,main!$A$3:$I$102,7,FALSE),main!$K$26:$Q$29,4,FALSE)),1,0)</f>
        <v>0</v>
      </c>
      <c r="AE197">
        <f>IF(AND(VLOOKUP(AE$1,main!$A$3:$H$102,7,FALSE)=main!$G$104,VLOOKUP(AE$1,main!$A$3:$H$102,5,FALSE)-VLOOKUP($A197,main!$A$3:$H$102,6,FALSE)&gt;=main!$D$103+VLOOKUP(VLOOKUP(AE$1,main!$A$3:$I$102,7,FALSE),main!$K$26:$Q$29,4,FALSE)),1,0)</f>
        <v>0</v>
      </c>
      <c r="AF197">
        <f>IF(AND(VLOOKUP(AF$1,main!$A$3:$H$102,7,FALSE)=main!$G$104,VLOOKUP(AF$1,main!$A$3:$H$102,5,FALSE)-VLOOKUP($A197,main!$A$3:$H$102,6,FALSE)&gt;=main!$D$103+VLOOKUP(VLOOKUP(AF$1,main!$A$3:$I$102,7,FALSE),main!$K$26:$Q$29,4,FALSE)),1,0)</f>
        <v>0</v>
      </c>
      <c r="AG197">
        <f>IF(AND(VLOOKUP(AG$1,main!$A$3:$H$102,7,FALSE)=main!$G$104,VLOOKUP(AG$1,main!$A$3:$H$102,5,FALSE)-VLOOKUP($A197,main!$A$3:$H$102,6,FALSE)&gt;=main!$D$103+VLOOKUP(VLOOKUP(AG$1,main!$A$3:$I$102,7,FALSE),main!$K$26:$Q$29,4,FALSE)),1,0)</f>
        <v>0</v>
      </c>
      <c r="AH197">
        <f>IF(AND(VLOOKUP(AH$1,main!$A$3:$H$102,7,FALSE)=main!$G$104,VLOOKUP(AH$1,main!$A$3:$H$102,5,FALSE)-VLOOKUP($A197,main!$A$3:$H$102,6,FALSE)&gt;=main!$D$103+VLOOKUP(VLOOKUP(AH$1,main!$A$3:$I$102,7,FALSE),main!$K$26:$Q$29,4,FALSE)),1,0)</f>
        <v>0</v>
      </c>
      <c r="AI197">
        <f>IF(AND(VLOOKUP(AI$1,main!$A$3:$H$102,7,FALSE)=main!$G$104,VLOOKUP(AI$1,main!$A$3:$H$102,5,FALSE)-VLOOKUP($A197,main!$A$3:$H$102,6,FALSE)&gt;=main!$D$103+VLOOKUP(VLOOKUP(AI$1,main!$A$3:$I$102,7,FALSE),main!$K$26:$Q$29,4,FALSE)),1,0)</f>
        <v>0</v>
      </c>
      <c r="AJ197">
        <f>IF(AND(VLOOKUP(AJ$1,main!$A$3:$H$102,7,FALSE)=main!$G$104,VLOOKUP(AJ$1,main!$A$3:$H$102,5,FALSE)-VLOOKUP($A197,main!$A$3:$H$102,6,FALSE)&gt;=main!$D$103+VLOOKUP(VLOOKUP(AJ$1,main!$A$3:$I$102,7,FALSE),main!$K$26:$Q$29,4,FALSE)),1,0)</f>
        <v>0</v>
      </c>
      <c r="AK197">
        <f>IF(AND(VLOOKUP(AK$1,main!$A$3:$H$102,7,FALSE)=main!$G$104,VLOOKUP(AK$1,main!$A$3:$H$102,5,FALSE)-VLOOKUP($A197,main!$A$3:$H$102,6,FALSE)&gt;=main!$D$103+VLOOKUP(VLOOKUP(AK$1,main!$A$3:$I$102,7,FALSE),main!$K$26:$Q$29,4,FALSE)),1,0)</f>
        <v>0</v>
      </c>
      <c r="AL197">
        <f>IF(AND(VLOOKUP(AL$1,main!$A$3:$H$102,7,FALSE)=main!$G$104,VLOOKUP(AL$1,main!$A$3:$H$102,5,FALSE)-VLOOKUP($A197,main!$A$3:$H$102,6,FALSE)&gt;=main!$D$103+VLOOKUP(VLOOKUP(AL$1,main!$A$3:$I$102,7,FALSE),main!$K$26:$Q$29,4,FALSE)),1,0)</f>
        <v>0</v>
      </c>
      <c r="AM197">
        <f>IF(AND(VLOOKUP(AM$1,main!$A$3:$H$102,7,FALSE)=main!$G$104,VLOOKUP(AM$1,main!$A$3:$H$102,5,FALSE)-VLOOKUP($A197,main!$A$3:$H$102,6,FALSE)&gt;=main!$D$103+VLOOKUP(VLOOKUP(AM$1,main!$A$3:$I$102,7,FALSE),main!$K$26:$Q$29,4,FALSE)),1,0)</f>
        <v>0</v>
      </c>
      <c r="AN197">
        <f>IF(AND(VLOOKUP(AN$1,main!$A$3:$H$102,7,FALSE)=main!$G$104,VLOOKUP(AN$1,main!$A$3:$H$102,5,FALSE)-VLOOKUP($A197,main!$A$3:$H$102,6,FALSE)&gt;=main!$D$103+VLOOKUP(VLOOKUP(AN$1,main!$A$3:$I$102,7,FALSE),main!$K$26:$Q$29,4,FALSE)),1,0)</f>
        <v>0</v>
      </c>
      <c r="AO197">
        <f>IF(AND(VLOOKUP(AO$1,main!$A$3:$H$102,7,FALSE)=main!$G$104,VLOOKUP(AO$1,main!$A$3:$H$102,5,FALSE)-VLOOKUP($A197,main!$A$3:$H$102,6,FALSE)&gt;=main!$D$103+VLOOKUP(VLOOKUP(AO$1,main!$A$3:$I$102,7,FALSE),main!$K$26:$Q$29,4,FALSE)),1,0)</f>
        <v>0</v>
      </c>
      <c r="AP197">
        <f>IF(AND(VLOOKUP(AP$1,main!$A$3:$H$102,7,FALSE)=main!$G$104,VLOOKUP(AP$1,main!$A$3:$H$102,5,FALSE)-VLOOKUP($A197,main!$A$3:$H$102,6,FALSE)&gt;=main!$D$103+VLOOKUP(VLOOKUP(AP$1,main!$A$3:$I$102,7,FALSE),main!$K$26:$Q$29,4,FALSE)),1,0)</f>
        <v>0</v>
      </c>
      <c r="AQ197">
        <f>IF(AND(VLOOKUP(AQ$1,main!$A$3:$H$102,7,FALSE)=main!$G$104,VLOOKUP(AQ$1,main!$A$3:$H$102,5,FALSE)-VLOOKUP($A197,main!$A$3:$H$102,6,FALSE)&gt;=main!$D$103+VLOOKUP(VLOOKUP(AQ$1,main!$A$3:$I$102,7,FALSE),main!$K$26:$Q$29,4,FALSE)),1,0)</f>
        <v>0</v>
      </c>
      <c r="AR197">
        <f>IF(AND(VLOOKUP(AR$1,main!$A$3:$H$102,7,FALSE)=main!$G$104,VLOOKUP(AR$1,main!$A$3:$H$102,5,FALSE)-VLOOKUP($A197,main!$A$3:$H$102,6,FALSE)&gt;=main!$D$103+VLOOKUP(VLOOKUP(AR$1,main!$A$3:$I$102,7,FALSE),main!$K$26:$Q$29,4,FALSE)),1,0)</f>
        <v>0</v>
      </c>
      <c r="AS197">
        <f>IF(AND(VLOOKUP(AS$1,main!$A$3:$H$102,7,FALSE)=main!$G$104,VLOOKUP(AS$1,main!$A$3:$H$102,5,FALSE)-VLOOKUP($A197,main!$A$3:$H$102,6,FALSE)&gt;=main!$D$103+VLOOKUP(VLOOKUP(AS$1,main!$A$3:$I$102,7,FALSE),main!$K$26:$Q$29,4,FALSE)),1,0)</f>
        <v>0</v>
      </c>
      <c r="AT197">
        <f>IF(AND(VLOOKUP(AT$1,main!$A$3:$H$102,7,FALSE)=main!$G$104,VLOOKUP(AT$1,main!$A$3:$H$102,5,FALSE)-VLOOKUP($A197,main!$A$3:$H$102,6,FALSE)&gt;=main!$D$103+VLOOKUP(VLOOKUP(AT$1,main!$A$3:$I$102,7,FALSE),main!$K$26:$Q$29,4,FALSE)),1,0)</f>
        <v>0</v>
      </c>
      <c r="AU197">
        <f>IF(AND(VLOOKUP(AU$1,main!$A$3:$H$102,7,FALSE)=main!$G$104,VLOOKUP(AU$1,main!$A$3:$H$102,5,FALSE)-VLOOKUP($A197,main!$A$3:$H$102,6,FALSE)&gt;=main!$D$103+VLOOKUP(VLOOKUP(AU$1,main!$A$3:$I$102,7,FALSE),main!$K$26:$Q$29,4,FALSE)),1,0)</f>
        <v>0</v>
      </c>
      <c r="AV197">
        <f>IF(AND(VLOOKUP(AV$1,main!$A$3:$H$102,7,FALSE)=main!$G$104,VLOOKUP(AV$1,main!$A$3:$H$102,5,FALSE)-VLOOKUP($A197,main!$A$3:$H$102,6,FALSE)&gt;=main!$D$103+VLOOKUP(VLOOKUP(AV$1,main!$A$3:$I$102,7,FALSE),main!$K$26:$Q$29,4,FALSE)),1,0)</f>
        <v>0</v>
      </c>
      <c r="AW197">
        <f>IF(AND(VLOOKUP(AW$1,main!$A$3:$H$102,7,FALSE)=main!$G$104,VLOOKUP(AW$1,main!$A$3:$H$102,5,FALSE)-VLOOKUP($A197,main!$A$3:$H$102,6,FALSE)&gt;=main!$D$103+VLOOKUP(VLOOKUP(AW$1,main!$A$3:$I$102,7,FALSE),main!$K$26:$Q$29,4,FALSE)),1,0)</f>
        <v>0</v>
      </c>
      <c r="AX197">
        <f>IF(AND(VLOOKUP(AX$1,main!$A$3:$H$102,7,FALSE)=main!$G$104,VLOOKUP(AX$1,main!$A$3:$H$102,5,FALSE)-VLOOKUP($A197,main!$A$3:$H$102,6,FALSE)&gt;=main!$D$103+VLOOKUP(VLOOKUP(AX$1,main!$A$3:$I$102,7,FALSE),main!$K$26:$Q$29,4,FALSE)),1,0)</f>
        <v>0</v>
      </c>
      <c r="AY197">
        <f>IF(AND(VLOOKUP(AY$1,main!$A$3:$H$102,7,FALSE)=main!$G$104,VLOOKUP(AY$1,main!$A$3:$H$102,5,FALSE)-VLOOKUP($A197,main!$A$3:$H$102,6,FALSE)&gt;=main!$D$103+VLOOKUP(VLOOKUP(AY$1,main!$A$3:$I$102,7,FALSE),main!$K$26:$Q$29,4,FALSE)),1,0)</f>
        <v>0</v>
      </c>
      <c r="AZ197">
        <f>IF(AND(VLOOKUP(AZ$1,main!$A$3:$H$102,7,FALSE)=main!$G$104,VLOOKUP(AZ$1,main!$A$3:$H$102,5,FALSE)-VLOOKUP($A197,main!$A$3:$H$102,6,FALSE)&gt;=main!$D$103+VLOOKUP(VLOOKUP(AZ$1,main!$A$3:$I$102,7,FALSE),main!$K$26:$Q$29,4,FALSE)),1,0)</f>
        <v>0</v>
      </c>
      <c r="BA197">
        <f>IF(AND(VLOOKUP(BA$1,main!$A$3:$H$102,7,FALSE)=main!$G$104,VLOOKUP(BA$1,main!$A$3:$H$102,5,FALSE)-VLOOKUP($A197,main!$A$3:$H$102,6,FALSE)&gt;=main!$D$103+VLOOKUP(VLOOKUP(BA$1,main!$A$3:$I$102,7,FALSE),main!$K$26:$Q$29,4,FALSE)),1,0)</f>
        <v>0</v>
      </c>
      <c r="BB197">
        <f>IF(AND(VLOOKUP(BB$1,main!$A$3:$H$102,7,FALSE)=main!$G$104,VLOOKUP(BB$1,main!$A$3:$H$102,5,FALSE)-VLOOKUP($A197,main!$A$3:$H$102,6,FALSE)&gt;=main!$D$103+VLOOKUP(VLOOKUP(BB$1,main!$A$3:$I$102,7,FALSE),main!$K$26:$Q$29,4,FALSE)),1,0)</f>
        <v>0</v>
      </c>
      <c r="BC197">
        <f>IF(AND(VLOOKUP(BC$1,main!$A$3:$H$102,7,FALSE)=main!$G$104,VLOOKUP(BC$1,main!$A$3:$H$102,5,FALSE)-VLOOKUP($A197,main!$A$3:$H$102,6,FALSE)&gt;=main!$D$103+VLOOKUP(VLOOKUP(BC$1,main!$A$3:$I$102,7,FALSE),main!$K$26:$Q$29,4,FALSE)),1,0)</f>
        <v>0</v>
      </c>
      <c r="BD197">
        <f>IF(AND(VLOOKUP(BD$1,main!$A$3:$H$102,7,FALSE)=main!$G$104,VLOOKUP(BD$1,main!$A$3:$H$102,5,FALSE)-VLOOKUP($A197,main!$A$3:$H$102,6,FALSE)&gt;=main!$D$103+VLOOKUP(VLOOKUP(BD$1,main!$A$3:$I$102,7,FALSE),main!$K$26:$Q$29,4,FALSE)),1,0)</f>
        <v>0</v>
      </c>
      <c r="BE197">
        <f>IF(AND(VLOOKUP(BE$1,main!$A$3:$H$102,7,FALSE)=main!$G$104,VLOOKUP(BE$1,main!$A$3:$H$102,5,FALSE)-VLOOKUP($A197,main!$A$3:$H$102,6,FALSE)&gt;=main!$D$103+VLOOKUP(VLOOKUP(BE$1,main!$A$3:$I$102,7,FALSE),main!$K$26:$Q$29,4,FALSE)),1,0)</f>
        <v>0</v>
      </c>
      <c r="BF197">
        <f>IF(AND(VLOOKUP(BF$1,main!$A$3:$H$102,7,FALSE)=main!$G$104,VLOOKUP(BF$1,main!$A$3:$H$102,5,FALSE)-VLOOKUP($A197,main!$A$3:$H$102,6,FALSE)&gt;=main!$D$103+VLOOKUP(VLOOKUP(BF$1,main!$A$3:$I$102,7,FALSE),main!$K$26:$Q$29,4,FALSE)),1,0)</f>
        <v>0</v>
      </c>
      <c r="BG197">
        <f>IF(AND(VLOOKUP(BG$1,main!$A$3:$H$102,7,FALSE)=main!$G$104,VLOOKUP(BG$1,main!$A$3:$H$102,5,FALSE)-VLOOKUP($A197,main!$A$3:$H$102,6,FALSE)&gt;=main!$D$103+VLOOKUP(VLOOKUP(BG$1,main!$A$3:$I$102,7,FALSE),main!$K$26:$Q$29,4,FALSE)),1,0)</f>
        <v>0</v>
      </c>
      <c r="BH197">
        <f>IF(AND(VLOOKUP(BH$1,main!$A$3:$H$102,7,FALSE)=main!$G$104,VLOOKUP(BH$1,main!$A$3:$H$102,5,FALSE)-VLOOKUP($A197,main!$A$3:$H$102,6,FALSE)&gt;=main!$D$103+VLOOKUP(VLOOKUP(BH$1,main!$A$3:$I$102,7,FALSE),main!$K$26:$Q$29,4,FALSE)),1,0)</f>
        <v>0</v>
      </c>
      <c r="BI197">
        <f>IF(AND(VLOOKUP(BI$1,main!$A$3:$H$102,7,FALSE)=main!$G$104,VLOOKUP(BI$1,main!$A$3:$H$102,5,FALSE)-VLOOKUP($A197,main!$A$3:$H$102,6,FALSE)&gt;=main!$D$103+VLOOKUP(VLOOKUP(BI$1,main!$A$3:$I$102,7,FALSE),main!$K$26:$Q$29,4,FALSE)),1,0)</f>
        <v>0</v>
      </c>
      <c r="BJ197">
        <f>IF(AND(VLOOKUP(BJ$1,main!$A$3:$H$102,7,FALSE)=main!$G$104,VLOOKUP(BJ$1,main!$A$3:$H$102,5,FALSE)-VLOOKUP($A197,main!$A$3:$H$102,6,FALSE)&gt;=main!$D$103+VLOOKUP(VLOOKUP(BJ$1,main!$A$3:$I$102,7,FALSE),main!$K$26:$Q$29,4,FALSE)),1,0)</f>
        <v>0</v>
      </c>
      <c r="BK197">
        <f>IF(AND(VLOOKUP(BK$1,main!$A$3:$H$102,7,FALSE)=main!$G$104,VLOOKUP(BK$1,main!$A$3:$H$102,5,FALSE)-VLOOKUP($A197,main!$A$3:$H$102,6,FALSE)&gt;=main!$D$103+VLOOKUP(VLOOKUP(BK$1,main!$A$3:$I$102,7,FALSE),main!$K$26:$Q$29,4,FALSE)),1,0)</f>
        <v>0</v>
      </c>
      <c r="BL197">
        <f>IF(AND(VLOOKUP(BL$1,main!$A$3:$H$102,7,FALSE)=main!$G$104,VLOOKUP(BL$1,main!$A$3:$H$102,5,FALSE)-VLOOKUP($A197,main!$A$3:$H$102,6,FALSE)&gt;=main!$D$103+VLOOKUP(VLOOKUP(BL$1,main!$A$3:$I$102,7,FALSE),main!$K$26:$Q$29,4,FALSE)),1,0)</f>
        <v>0</v>
      </c>
      <c r="BM197">
        <f>IF(AND(VLOOKUP(BM$1,main!$A$3:$H$102,7,FALSE)=main!$G$104,VLOOKUP(BM$1,main!$A$3:$H$102,5,FALSE)-VLOOKUP($A197,main!$A$3:$H$102,6,FALSE)&gt;=main!$D$103+VLOOKUP(VLOOKUP(BM$1,main!$A$3:$I$102,7,FALSE),main!$K$26:$Q$29,4,FALSE)),1,0)</f>
        <v>0</v>
      </c>
      <c r="BN197">
        <f>IF(AND(VLOOKUP(BN$1,main!$A$3:$H$102,7,FALSE)=main!$G$104,VLOOKUP(BN$1,main!$A$3:$H$102,5,FALSE)-VLOOKUP($A197,main!$A$3:$H$102,6,FALSE)&gt;=main!$D$103+VLOOKUP(VLOOKUP(BN$1,main!$A$3:$I$102,7,FALSE),main!$K$26:$Q$29,4,FALSE)),1,0)</f>
        <v>0</v>
      </c>
      <c r="BO197">
        <f>IF(AND(VLOOKUP(BO$1,main!$A$3:$H$102,7,FALSE)=main!$G$104,VLOOKUP(BO$1,main!$A$3:$H$102,5,FALSE)-VLOOKUP($A197,main!$A$3:$H$102,6,FALSE)&gt;=main!$D$103+VLOOKUP(VLOOKUP(BO$1,main!$A$3:$I$102,7,FALSE),main!$K$26:$Q$29,4,FALSE)),1,0)</f>
        <v>0</v>
      </c>
      <c r="BP197">
        <f>IF(AND(VLOOKUP(BP$1,main!$A$3:$H$102,7,FALSE)=main!$G$104,VLOOKUP(BP$1,main!$A$3:$H$102,5,FALSE)-VLOOKUP($A197,main!$A$3:$H$102,6,FALSE)&gt;=main!$D$103+VLOOKUP(VLOOKUP(BP$1,main!$A$3:$I$102,7,FALSE),main!$K$26:$Q$29,4,FALSE)),1,0)</f>
        <v>0</v>
      </c>
      <c r="BQ197">
        <f>IF(AND(VLOOKUP(BQ$1,main!$A$3:$H$102,7,FALSE)=main!$G$104,VLOOKUP(BQ$1,main!$A$3:$H$102,5,FALSE)-VLOOKUP($A197,main!$A$3:$H$102,6,FALSE)&gt;=main!$D$103+VLOOKUP(VLOOKUP(BQ$1,main!$A$3:$I$102,7,FALSE),main!$K$26:$Q$29,4,FALSE)),1,0)</f>
        <v>0</v>
      </c>
      <c r="BR197">
        <f>IF(AND(VLOOKUP(BR$1,main!$A$3:$H$102,7,FALSE)=main!$G$104,VLOOKUP(BR$1,main!$A$3:$H$102,5,FALSE)-VLOOKUP($A197,main!$A$3:$H$102,6,FALSE)&gt;=main!$D$103+VLOOKUP(VLOOKUP(BR$1,main!$A$3:$I$102,7,FALSE),main!$K$26:$Q$29,4,FALSE)),1,0)</f>
        <v>0</v>
      </c>
      <c r="BS197">
        <f>IF(AND(VLOOKUP(BS$1,main!$A$3:$H$102,7,FALSE)=main!$G$104,VLOOKUP(BS$1,main!$A$3:$H$102,5,FALSE)-VLOOKUP($A197,main!$A$3:$H$102,6,FALSE)&gt;=main!$D$103+VLOOKUP(VLOOKUP(BS$1,main!$A$3:$I$102,7,FALSE),main!$K$26:$Q$29,4,FALSE)),1,0)</f>
        <v>0</v>
      </c>
      <c r="BT197">
        <f>IF(AND(VLOOKUP(BT$1,main!$A$3:$H$102,7,FALSE)=main!$G$104,VLOOKUP(BT$1,main!$A$3:$H$102,5,FALSE)-VLOOKUP($A197,main!$A$3:$H$102,6,FALSE)&gt;=main!$D$103+VLOOKUP(VLOOKUP(BT$1,main!$A$3:$I$102,7,FALSE),main!$K$26:$Q$29,4,FALSE)),1,0)</f>
        <v>0</v>
      </c>
      <c r="BU197">
        <f>IF(AND(VLOOKUP(BU$1,main!$A$3:$H$102,7,FALSE)=main!$G$104,VLOOKUP(BU$1,main!$A$3:$H$102,5,FALSE)-VLOOKUP($A197,main!$A$3:$H$102,6,FALSE)&gt;=main!$D$103+VLOOKUP(VLOOKUP(BU$1,main!$A$3:$I$102,7,FALSE),main!$K$26:$Q$29,4,FALSE)),1,0)</f>
        <v>0</v>
      </c>
      <c r="BV197">
        <f>IF(AND(VLOOKUP(BV$1,main!$A$3:$H$102,7,FALSE)=main!$G$104,VLOOKUP(BV$1,main!$A$3:$H$102,5,FALSE)-VLOOKUP($A197,main!$A$3:$H$102,6,FALSE)&gt;=main!$D$103+VLOOKUP(VLOOKUP(BV$1,main!$A$3:$I$102,7,FALSE),main!$K$26:$Q$29,4,FALSE)),1,0)</f>
        <v>0</v>
      </c>
      <c r="BW197">
        <f>IF(AND(VLOOKUP(BW$1,main!$A$3:$H$102,7,FALSE)=main!$G$104,VLOOKUP(BW$1,main!$A$3:$H$102,5,FALSE)-VLOOKUP($A197,main!$A$3:$H$102,6,FALSE)&gt;=main!$D$103+VLOOKUP(VLOOKUP(BW$1,main!$A$3:$I$102,7,FALSE),main!$K$26:$Q$29,4,FALSE)),1,0)</f>
        <v>0</v>
      </c>
      <c r="BX197">
        <f>IF(AND(VLOOKUP(BX$1,main!$A$3:$H$102,7,FALSE)=main!$G$104,VLOOKUP(BX$1,main!$A$3:$H$102,5,FALSE)-VLOOKUP($A197,main!$A$3:$H$102,6,FALSE)&gt;=main!$D$103+VLOOKUP(VLOOKUP(BX$1,main!$A$3:$I$102,7,FALSE),main!$K$26:$Q$29,4,FALSE)),1,0)</f>
        <v>0</v>
      </c>
      <c r="BY197">
        <f>IF(AND(VLOOKUP(BY$1,main!$A$3:$H$102,7,FALSE)=main!$G$104,VLOOKUP(BY$1,main!$A$3:$H$102,5,FALSE)-VLOOKUP($A197,main!$A$3:$H$102,6,FALSE)&gt;=main!$D$103+VLOOKUP(VLOOKUP(BY$1,main!$A$3:$I$102,7,FALSE),main!$K$26:$Q$29,4,FALSE)),1,0)</f>
        <v>0</v>
      </c>
      <c r="BZ197">
        <f>IF(AND(VLOOKUP(BZ$1,main!$A$3:$H$102,7,FALSE)=main!$G$104,VLOOKUP(BZ$1,main!$A$3:$H$102,5,FALSE)-VLOOKUP($A197,main!$A$3:$H$102,6,FALSE)&gt;=main!$D$103+VLOOKUP(VLOOKUP(BZ$1,main!$A$3:$I$102,7,FALSE),main!$K$26:$Q$29,4,FALSE)),1,0)</f>
        <v>0</v>
      </c>
      <c r="CA197">
        <f>IF(AND(VLOOKUP(CA$1,main!$A$3:$H$102,7,FALSE)=main!$G$104,VLOOKUP(CA$1,main!$A$3:$H$102,5,FALSE)-VLOOKUP($A197,main!$A$3:$H$102,6,FALSE)&gt;=main!$D$103+VLOOKUP(VLOOKUP(CA$1,main!$A$3:$I$102,7,FALSE),main!$K$26:$Q$29,4,FALSE)),1,0)</f>
        <v>0</v>
      </c>
      <c r="CB197">
        <f>IF(AND(VLOOKUP(CB$1,main!$A$3:$H$102,7,FALSE)=main!$G$104,VLOOKUP(CB$1,main!$A$3:$H$102,5,FALSE)-VLOOKUP($A197,main!$A$3:$H$102,6,FALSE)&gt;=main!$D$103+VLOOKUP(VLOOKUP(CB$1,main!$A$3:$I$102,7,FALSE),main!$K$26:$Q$29,4,FALSE)),1,0)</f>
        <v>0</v>
      </c>
      <c r="CC197">
        <f>IF(AND(VLOOKUP(CC$1,main!$A$3:$H$102,7,FALSE)=main!$G$104,VLOOKUP(CC$1,main!$A$3:$H$102,5,FALSE)-VLOOKUP($A197,main!$A$3:$H$102,6,FALSE)&gt;=main!$D$103+VLOOKUP(VLOOKUP(CC$1,main!$A$3:$I$102,7,FALSE),main!$K$26:$Q$29,4,FALSE)),1,0)</f>
        <v>0</v>
      </c>
      <c r="CD197">
        <f>IF(AND(VLOOKUP(CD$1,main!$A$3:$H$102,7,FALSE)=main!$G$104,VLOOKUP(CD$1,main!$A$3:$H$102,5,FALSE)-VLOOKUP($A197,main!$A$3:$H$102,6,FALSE)&gt;=main!$D$103+VLOOKUP(VLOOKUP(CD$1,main!$A$3:$I$102,7,FALSE),main!$K$26:$Q$29,4,FALSE)),1,0)</f>
        <v>0</v>
      </c>
      <c r="CE197">
        <f>IF(AND(VLOOKUP(CE$1,main!$A$3:$H$102,7,FALSE)=main!$G$104,VLOOKUP(CE$1,main!$A$3:$H$102,5,FALSE)-VLOOKUP($A197,main!$A$3:$H$102,6,FALSE)&gt;=main!$D$103+VLOOKUP(VLOOKUP(CE$1,main!$A$3:$I$102,7,FALSE),main!$K$26:$Q$29,4,FALSE)),1,0)</f>
        <v>0</v>
      </c>
      <c r="CF197">
        <f>IF(AND(VLOOKUP(CF$1,main!$A$3:$H$102,7,FALSE)=main!$G$104,VLOOKUP(CF$1,main!$A$3:$H$102,5,FALSE)-VLOOKUP($A197,main!$A$3:$H$102,6,FALSE)&gt;=main!$D$103+VLOOKUP(VLOOKUP(CF$1,main!$A$3:$I$102,7,FALSE),main!$K$26:$Q$29,4,FALSE)),1,0)</f>
        <v>0</v>
      </c>
      <c r="CG197">
        <f>IF(AND(VLOOKUP(CG$1,main!$A$3:$H$102,7,FALSE)=main!$G$104,VLOOKUP(CG$1,main!$A$3:$H$102,5,FALSE)-VLOOKUP($A197,main!$A$3:$H$102,6,FALSE)&gt;=main!$D$103+VLOOKUP(VLOOKUP(CG$1,main!$A$3:$I$102,7,FALSE),main!$K$26:$Q$29,4,FALSE)),1,0)</f>
        <v>0</v>
      </c>
      <c r="CH197">
        <f>IF(AND(VLOOKUP(CH$1,main!$A$3:$H$102,7,FALSE)=main!$G$104,VLOOKUP(CH$1,main!$A$3:$H$102,5,FALSE)-VLOOKUP($A197,main!$A$3:$H$102,6,FALSE)&gt;=main!$D$103+VLOOKUP(VLOOKUP(CH$1,main!$A$3:$I$102,7,FALSE),main!$K$26:$Q$29,4,FALSE)),1,0)</f>
        <v>0</v>
      </c>
      <c r="CI197">
        <f>IF(AND(VLOOKUP(CI$1,main!$A$3:$H$102,7,FALSE)=main!$G$104,VLOOKUP(CI$1,main!$A$3:$H$102,5,FALSE)-VLOOKUP($A197,main!$A$3:$H$102,6,FALSE)&gt;=main!$D$103+VLOOKUP(VLOOKUP(CI$1,main!$A$3:$I$102,7,FALSE),main!$K$26:$Q$29,4,FALSE)),1,0)</f>
        <v>0</v>
      </c>
      <c r="CJ197">
        <f>IF(AND(VLOOKUP(CJ$1,main!$A$3:$H$102,7,FALSE)=main!$G$104,VLOOKUP(CJ$1,main!$A$3:$H$102,5,FALSE)-VLOOKUP($A197,main!$A$3:$H$102,6,FALSE)&gt;=main!$D$103+VLOOKUP(VLOOKUP(CJ$1,main!$A$3:$I$102,7,FALSE),main!$K$26:$Q$29,4,FALSE)),1,0)</f>
        <v>0</v>
      </c>
      <c r="CK197">
        <f>IF(AND(VLOOKUP(CK$1,main!$A$3:$H$102,7,FALSE)=main!$G$104,VLOOKUP(CK$1,main!$A$3:$H$102,5,FALSE)-VLOOKUP($A197,main!$A$3:$H$102,6,FALSE)&gt;=main!$D$103+VLOOKUP(VLOOKUP(CK$1,main!$A$3:$I$102,7,FALSE),main!$K$26:$Q$29,4,FALSE)),1,0)</f>
        <v>0</v>
      </c>
      <c r="CL197">
        <f>IF(AND(VLOOKUP(CL$1,main!$A$3:$H$102,7,FALSE)=main!$G$104,VLOOKUP(CL$1,main!$A$3:$H$102,5,FALSE)-VLOOKUP($A197,main!$A$3:$H$102,6,FALSE)&gt;=main!$D$103+VLOOKUP(VLOOKUP(CL$1,main!$A$3:$I$102,7,FALSE),main!$K$26:$Q$29,4,FALSE)),1,0)</f>
        <v>0</v>
      </c>
      <c r="CM197">
        <f>IF(AND(VLOOKUP(CM$1,main!$A$3:$H$102,7,FALSE)=main!$G$104,VLOOKUP(CM$1,main!$A$3:$H$102,5,FALSE)-VLOOKUP($A197,main!$A$3:$H$102,6,FALSE)&gt;=main!$D$103+VLOOKUP(VLOOKUP(CM$1,main!$A$3:$I$102,7,FALSE),main!$K$26:$Q$29,4,FALSE)),1,0)</f>
        <v>0</v>
      </c>
      <c r="CN197">
        <f>IF(AND(VLOOKUP(CN$1,main!$A$3:$H$102,7,FALSE)=main!$G$104,VLOOKUP(CN$1,main!$A$3:$H$102,5,FALSE)-VLOOKUP($A197,main!$A$3:$H$102,6,FALSE)&gt;=main!$D$103+VLOOKUP(VLOOKUP(CN$1,main!$A$3:$I$102,7,FALSE),main!$K$26:$Q$29,4,FALSE)),1,0)</f>
        <v>0</v>
      </c>
      <c r="CO197">
        <f>IF(AND(VLOOKUP(CO$1,main!$A$3:$H$102,7,FALSE)=main!$G$104,VLOOKUP(CO$1,main!$A$3:$H$102,5,FALSE)-VLOOKUP($A197,main!$A$3:$H$102,6,FALSE)&gt;=main!$D$103+VLOOKUP(VLOOKUP(CO$1,main!$A$3:$I$102,7,FALSE),main!$K$26:$Q$29,4,FALSE)),1,0)</f>
        <v>0</v>
      </c>
      <c r="CP197">
        <f>IF(AND(VLOOKUP(CP$1,main!$A$3:$H$102,7,FALSE)=main!$G$104,VLOOKUP(CP$1,main!$A$3:$H$102,5,FALSE)-VLOOKUP($A197,main!$A$3:$H$102,6,FALSE)&gt;=main!$D$103+VLOOKUP(VLOOKUP(CP$1,main!$A$3:$I$102,7,FALSE),main!$K$26:$Q$29,4,FALSE)),1,0)</f>
        <v>0</v>
      </c>
      <c r="CQ197">
        <f>IF(AND(VLOOKUP(CQ$1,main!$A$3:$H$102,7,FALSE)=main!$G$104,VLOOKUP(CQ$1,main!$A$3:$H$102,5,FALSE)-VLOOKUP($A197,main!$A$3:$H$102,6,FALSE)&gt;=main!$D$103+VLOOKUP(VLOOKUP(CQ$1,main!$A$3:$I$102,7,FALSE),main!$K$26:$Q$29,4,FALSE)),1,0)</f>
        <v>0</v>
      </c>
      <c r="CR197">
        <f>IF(AND(VLOOKUP(CR$1,main!$A$3:$H$102,7,FALSE)=main!$G$104,VLOOKUP(CR$1,main!$A$3:$H$102,5,FALSE)-VLOOKUP($A197,main!$A$3:$H$102,6,FALSE)&gt;=main!$D$103+VLOOKUP(VLOOKUP(CR$1,main!$A$3:$I$102,7,FALSE),main!$K$26:$Q$29,4,FALSE)),1,0)</f>
        <v>0</v>
      </c>
      <c r="CS197">
        <f>IF(AND(VLOOKUP(CS$1,main!$A$3:$H$102,7,FALSE)=main!$G$104,VLOOKUP(CS$1,main!$A$3:$H$102,5,FALSE)-VLOOKUP($A197,main!$A$3:$H$102,6,FALSE)&gt;=main!$D$103+VLOOKUP(VLOOKUP(CS$1,main!$A$3:$I$102,7,FALSE),main!$K$26:$Q$29,4,FALSE)),1,0)</f>
        <v>0</v>
      </c>
      <c r="CT197">
        <f>IF(AND(VLOOKUP(CT$1,main!$A$3:$H$102,7,FALSE)=main!$G$104,VLOOKUP(CT$1,main!$A$3:$H$102,5,FALSE)-VLOOKUP($A197,main!$A$3:$H$102,6,FALSE)&gt;=main!$D$103+VLOOKUP(VLOOKUP(CT$1,main!$A$3:$I$102,7,FALSE),main!$K$26:$Q$29,4,FALSE)),1,0)</f>
        <v>0</v>
      </c>
      <c r="CU197">
        <f>IF(AND(VLOOKUP(CU$1,main!$A$3:$H$102,7,FALSE)=main!$G$104,VLOOKUP(CU$1,main!$A$3:$H$102,5,FALSE)-VLOOKUP($A197,main!$A$3:$H$102,6,FALSE)&gt;=main!$D$103+VLOOKUP(VLOOKUP(CU$1,main!$A$3:$I$102,7,FALSE),main!$K$26:$Q$29,4,FALSE)),1,0)</f>
        <v>0</v>
      </c>
      <c r="CV197">
        <f>IF(AND(VLOOKUP(CV$1,main!$A$3:$H$102,7,FALSE)=main!$G$104,VLOOKUP(CV$1,main!$A$3:$H$102,5,FALSE)-VLOOKUP($A197,main!$A$3:$H$102,6,FALSE)&gt;=main!$D$103+VLOOKUP(VLOOKUP(CV$1,main!$A$3:$I$102,7,FALSE),main!$K$26:$Q$29,4,FALSE)),1,0)</f>
        <v>0</v>
      </c>
      <c r="CW197">
        <f>IF(AND(VLOOKUP(CW$1,main!$A$3:$H$102,7,FALSE)=main!$G$104,VLOOKUP(CW$1,main!$A$3:$H$102,5,FALSE)-VLOOKUP($A197,main!$A$3:$H$102,6,FALSE)&gt;=main!$D$103+VLOOKUP(VLOOKUP(CW$1,main!$A$3:$I$102,7,FALSE),main!$K$26:$Q$29,4,FALSE)),1,0)</f>
        <v>0</v>
      </c>
      <c r="CX197">
        <f>IF(AND(VLOOKUP(CX$1,main!$A$3:$H$102,7,FALSE)=main!$G$104,VLOOKUP(CX$1,main!$A$3:$H$102,5,FALSE)-VLOOKUP($A197,main!$A$3:$H$102,6,FALSE)&gt;=main!$D$103+VLOOKUP(VLOOKUP(CX$1,main!$A$3:$I$102,7,FALSE),main!$K$26:$Q$29,4,FALSE)),1,0)</f>
        <v>0</v>
      </c>
    </row>
    <row r="198" spans="1:102" x14ac:dyDescent="0.25">
      <c r="A198" s="1">
        <v>95</v>
      </c>
      <c r="B198">
        <v>0</v>
      </c>
      <c r="C198">
        <f>IF(AND(VLOOKUP(C$1,main!$A$3:$H$102,7,FALSE)=main!$G$104,VLOOKUP(C$1,main!$A$3:$H$102,5,FALSE)-VLOOKUP($A198,main!$A$3:$H$102,6,FALSE)&gt;=main!$D$103+VLOOKUP(VLOOKUP(C$1,main!$A$3:$I$102,7,FALSE),main!$K$26:$Q$29,4,FALSE)),1,0)</f>
        <v>0</v>
      </c>
      <c r="D198">
        <f>IF(AND(VLOOKUP(D$1,main!$A$3:$H$102,7,FALSE)=main!$G$104,VLOOKUP(D$1,main!$A$3:$H$102,5,FALSE)-VLOOKUP($A198,main!$A$3:$H$102,6,FALSE)&gt;=main!$D$103+VLOOKUP(VLOOKUP(D$1,main!$A$3:$I$102,7,FALSE),main!$K$26:$Q$29,4,FALSE)),1,0)</f>
        <v>0</v>
      </c>
      <c r="E198">
        <f>IF(AND(VLOOKUP(E$1,main!$A$3:$H$102,7,FALSE)=main!$G$104,VLOOKUP(E$1,main!$A$3:$H$102,5,FALSE)-VLOOKUP($A198,main!$A$3:$H$102,6,FALSE)&gt;=main!$D$103+VLOOKUP(VLOOKUP(E$1,main!$A$3:$I$102,7,FALSE),main!$K$26:$Q$29,4,FALSE)),1,0)</f>
        <v>0</v>
      </c>
      <c r="F198">
        <f>IF(AND(VLOOKUP(F$1,main!$A$3:$H$102,7,FALSE)=main!$G$104,VLOOKUP(F$1,main!$A$3:$H$102,5,FALSE)-VLOOKUP($A198,main!$A$3:$H$102,6,FALSE)&gt;=main!$D$103+VLOOKUP(VLOOKUP(F$1,main!$A$3:$I$102,7,FALSE),main!$K$26:$Q$29,4,FALSE)),1,0)</f>
        <v>0</v>
      </c>
      <c r="G198">
        <f>IF(AND(VLOOKUP(G$1,main!$A$3:$H$102,7,FALSE)=main!$G$104,VLOOKUP(G$1,main!$A$3:$H$102,5,FALSE)-VLOOKUP($A198,main!$A$3:$H$102,6,FALSE)&gt;=main!$D$103+VLOOKUP(VLOOKUP(G$1,main!$A$3:$I$102,7,FALSE),main!$K$26:$Q$29,4,FALSE)),1,0)</f>
        <v>0</v>
      </c>
      <c r="H198">
        <f>IF(AND(VLOOKUP(H$1,main!$A$3:$H$102,7,FALSE)=main!$G$104,VLOOKUP(H$1,main!$A$3:$H$102,5,FALSE)-VLOOKUP($A198,main!$A$3:$H$102,6,FALSE)&gt;=main!$D$103+VLOOKUP(VLOOKUP(H$1,main!$A$3:$I$102,7,FALSE),main!$K$26:$Q$29,4,FALSE)),1,0)</f>
        <v>0</v>
      </c>
      <c r="I198">
        <f>IF(AND(VLOOKUP(I$1,main!$A$3:$H$102,7,FALSE)=main!$G$104,VLOOKUP(I$1,main!$A$3:$H$102,5,FALSE)-VLOOKUP($A198,main!$A$3:$H$102,6,FALSE)&gt;=main!$D$103+VLOOKUP(VLOOKUP(I$1,main!$A$3:$I$102,7,FALSE),main!$K$26:$Q$29,4,FALSE)),1,0)</f>
        <v>0</v>
      </c>
      <c r="J198">
        <f>IF(AND(VLOOKUP(J$1,main!$A$3:$H$102,7,FALSE)=main!$G$104,VLOOKUP(J$1,main!$A$3:$H$102,5,FALSE)-VLOOKUP($A198,main!$A$3:$H$102,6,FALSE)&gt;=main!$D$103+VLOOKUP(VLOOKUP(J$1,main!$A$3:$I$102,7,FALSE),main!$K$26:$Q$29,4,FALSE)),1,0)</f>
        <v>0</v>
      </c>
      <c r="K198">
        <f>IF(AND(VLOOKUP(K$1,main!$A$3:$H$102,7,FALSE)=main!$G$104,VLOOKUP(K$1,main!$A$3:$H$102,5,FALSE)-VLOOKUP($A198,main!$A$3:$H$102,6,FALSE)&gt;=main!$D$103+VLOOKUP(VLOOKUP(K$1,main!$A$3:$I$102,7,FALSE),main!$K$26:$Q$29,4,FALSE)),1,0)</f>
        <v>0</v>
      </c>
      <c r="L198">
        <f>IF(AND(VLOOKUP(L$1,main!$A$3:$H$102,7,FALSE)=main!$G$104,VLOOKUP(L$1,main!$A$3:$H$102,5,FALSE)-VLOOKUP($A198,main!$A$3:$H$102,6,FALSE)&gt;=main!$D$103+VLOOKUP(VLOOKUP(L$1,main!$A$3:$I$102,7,FALSE),main!$K$26:$Q$29,4,FALSE)),1,0)</f>
        <v>1</v>
      </c>
      <c r="M198">
        <f>IF(AND(VLOOKUP(M$1,main!$A$3:$H$102,7,FALSE)=main!$G$104,VLOOKUP(M$1,main!$A$3:$H$102,5,FALSE)-VLOOKUP($A198,main!$A$3:$H$102,6,FALSE)&gt;=main!$D$103+VLOOKUP(VLOOKUP(M$1,main!$A$3:$I$102,7,FALSE),main!$K$26:$Q$29,4,FALSE)),1,0)</f>
        <v>0</v>
      </c>
      <c r="N198">
        <f>IF(AND(VLOOKUP(N$1,main!$A$3:$H$102,7,FALSE)=main!$G$104,VLOOKUP(N$1,main!$A$3:$H$102,5,FALSE)-VLOOKUP($A198,main!$A$3:$H$102,6,FALSE)&gt;=main!$D$103+VLOOKUP(VLOOKUP(N$1,main!$A$3:$I$102,7,FALSE),main!$K$26:$Q$29,4,FALSE)),1,0)</f>
        <v>0</v>
      </c>
      <c r="O198">
        <f>IF(AND(VLOOKUP(O$1,main!$A$3:$H$102,7,FALSE)=main!$G$104,VLOOKUP(O$1,main!$A$3:$H$102,5,FALSE)-VLOOKUP($A198,main!$A$3:$H$102,6,FALSE)&gt;=main!$D$103+VLOOKUP(VLOOKUP(O$1,main!$A$3:$I$102,7,FALSE),main!$K$26:$Q$29,4,FALSE)),1,0)</f>
        <v>0</v>
      </c>
      <c r="P198">
        <f>IF(AND(VLOOKUP(P$1,main!$A$3:$H$102,7,FALSE)=main!$G$104,VLOOKUP(P$1,main!$A$3:$H$102,5,FALSE)-VLOOKUP($A198,main!$A$3:$H$102,6,FALSE)&gt;=main!$D$103+VLOOKUP(VLOOKUP(P$1,main!$A$3:$I$102,7,FALSE),main!$K$26:$Q$29,4,FALSE)),1,0)</f>
        <v>0</v>
      </c>
      <c r="Q198">
        <f>IF(AND(VLOOKUP(Q$1,main!$A$3:$H$102,7,FALSE)=main!$G$104,VLOOKUP(Q$1,main!$A$3:$H$102,5,FALSE)-VLOOKUP($A198,main!$A$3:$H$102,6,FALSE)&gt;=main!$D$103+VLOOKUP(VLOOKUP(Q$1,main!$A$3:$I$102,7,FALSE),main!$K$26:$Q$29,4,FALSE)),1,0)</f>
        <v>0</v>
      </c>
      <c r="R198">
        <f>IF(AND(VLOOKUP(R$1,main!$A$3:$H$102,7,FALSE)=main!$G$104,VLOOKUP(R$1,main!$A$3:$H$102,5,FALSE)-VLOOKUP($A198,main!$A$3:$H$102,6,FALSE)&gt;=main!$D$103+VLOOKUP(VLOOKUP(R$1,main!$A$3:$I$102,7,FALSE),main!$K$26:$Q$29,4,FALSE)),1,0)</f>
        <v>0</v>
      </c>
      <c r="S198">
        <f>IF(AND(VLOOKUP(S$1,main!$A$3:$H$102,7,FALSE)=main!$G$104,VLOOKUP(S$1,main!$A$3:$H$102,5,FALSE)-VLOOKUP($A198,main!$A$3:$H$102,6,FALSE)&gt;=main!$D$103+VLOOKUP(VLOOKUP(S$1,main!$A$3:$I$102,7,FALSE),main!$K$26:$Q$29,4,FALSE)),1,0)</f>
        <v>0</v>
      </c>
      <c r="T198">
        <f>IF(AND(VLOOKUP(T$1,main!$A$3:$H$102,7,FALSE)=main!$G$104,VLOOKUP(T$1,main!$A$3:$H$102,5,FALSE)-VLOOKUP($A198,main!$A$3:$H$102,6,FALSE)&gt;=main!$D$103+VLOOKUP(VLOOKUP(T$1,main!$A$3:$I$102,7,FALSE),main!$K$26:$Q$29,4,FALSE)),1,0)</f>
        <v>0</v>
      </c>
      <c r="U198">
        <f>IF(AND(VLOOKUP(U$1,main!$A$3:$H$102,7,FALSE)=main!$G$104,VLOOKUP(U$1,main!$A$3:$H$102,5,FALSE)-VLOOKUP($A198,main!$A$3:$H$102,6,FALSE)&gt;=main!$D$103+VLOOKUP(VLOOKUP(U$1,main!$A$3:$I$102,7,FALSE),main!$K$26:$Q$29,4,FALSE)),1,0)</f>
        <v>0</v>
      </c>
      <c r="V198">
        <f>IF(AND(VLOOKUP(V$1,main!$A$3:$H$102,7,FALSE)=main!$G$104,VLOOKUP(V$1,main!$A$3:$H$102,5,FALSE)-VLOOKUP($A198,main!$A$3:$H$102,6,FALSE)&gt;=main!$D$103+VLOOKUP(VLOOKUP(V$1,main!$A$3:$I$102,7,FALSE),main!$K$26:$Q$29,4,FALSE)),1,0)</f>
        <v>1</v>
      </c>
      <c r="W198">
        <f>IF(AND(VLOOKUP(W$1,main!$A$3:$H$102,7,FALSE)=main!$G$104,VLOOKUP(W$1,main!$A$3:$H$102,5,FALSE)-VLOOKUP($A198,main!$A$3:$H$102,6,FALSE)&gt;=main!$D$103+VLOOKUP(VLOOKUP(W$1,main!$A$3:$I$102,7,FALSE),main!$K$26:$Q$29,4,FALSE)),1,0)</f>
        <v>0</v>
      </c>
      <c r="X198">
        <f>IF(AND(VLOOKUP(X$1,main!$A$3:$H$102,7,FALSE)=main!$G$104,VLOOKUP(X$1,main!$A$3:$H$102,5,FALSE)-VLOOKUP($A198,main!$A$3:$H$102,6,FALSE)&gt;=main!$D$103+VLOOKUP(VLOOKUP(X$1,main!$A$3:$I$102,7,FALSE),main!$K$26:$Q$29,4,FALSE)),1,0)</f>
        <v>0</v>
      </c>
      <c r="Y198">
        <f>IF(AND(VLOOKUP(Y$1,main!$A$3:$H$102,7,FALSE)=main!$G$104,VLOOKUP(Y$1,main!$A$3:$H$102,5,FALSE)-VLOOKUP($A198,main!$A$3:$H$102,6,FALSE)&gt;=main!$D$103+VLOOKUP(VLOOKUP(Y$1,main!$A$3:$I$102,7,FALSE),main!$K$26:$Q$29,4,FALSE)),1,0)</f>
        <v>0</v>
      </c>
      <c r="Z198">
        <f>IF(AND(VLOOKUP(Z$1,main!$A$3:$H$102,7,FALSE)=main!$G$104,VLOOKUP(Z$1,main!$A$3:$H$102,5,FALSE)-VLOOKUP($A198,main!$A$3:$H$102,6,FALSE)&gt;=main!$D$103+VLOOKUP(VLOOKUP(Z$1,main!$A$3:$I$102,7,FALSE),main!$K$26:$Q$29,4,FALSE)),1,0)</f>
        <v>0</v>
      </c>
      <c r="AA198">
        <f>IF(AND(VLOOKUP(AA$1,main!$A$3:$H$102,7,FALSE)=main!$G$104,VLOOKUP(AA$1,main!$A$3:$H$102,5,FALSE)-VLOOKUP($A198,main!$A$3:$H$102,6,FALSE)&gt;=main!$D$103+VLOOKUP(VLOOKUP(AA$1,main!$A$3:$I$102,7,FALSE),main!$K$26:$Q$29,4,FALSE)),1,0)</f>
        <v>0</v>
      </c>
      <c r="AB198">
        <f>IF(AND(VLOOKUP(AB$1,main!$A$3:$H$102,7,FALSE)=main!$G$104,VLOOKUP(AB$1,main!$A$3:$H$102,5,FALSE)-VLOOKUP($A198,main!$A$3:$H$102,6,FALSE)&gt;=main!$D$103+VLOOKUP(VLOOKUP(AB$1,main!$A$3:$I$102,7,FALSE),main!$K$26:$Q$29,4,FALSE)),1,0)</f>
        <v>0</v>
      </c>
      <c r="AC198">
        <f>IF(AND(VLOOKUP(AC$1,main!$A$3:$H$102,7,FALSE)=main!$G$104,VLOOKUP(AC$1,main!$A$3:$H$102,5,FALSE)-VLOOKUP($A198,main!$A$3:$H$102,6,FALSE)&gt;=main!$D$103+VLOOKUP(VLOOKUP(AC$1,main!$A$3:$I$102,7,FALSE),main!$K$26:$Q$29,4,FALSE)),1,0)</f>
        <v>0</v>
      </c>
      <c r="AD198">
        <f>IF(AND(VLOOKUP(AD$1,main!$A$3:$H$102,7,FALSE)=main!$G$104,VLOOKUP(AD$1,main!$A$3:$H$102,5,FALSE)-VLOOKUP($A198,main!$A$3:$H$102,6,FALSE)&gt;=main!$D$103+VLOOKUP(VLOOKUP(AD$1,main!$A$3:$I$102,7,FALSE),main!$K$26:$Q$29,4,FALSE)),1,0)</f>
        <v>0</v>
      </c>
      <c r="AE198">
        <f>IF(AND(VLOOKUP(AE$1,main!$A$3:$H$102,7,FALSE)=main!$G$104,VLOOKUP(AE$1,main!$A$3:$H$102,5,FALSE)-VLOOKUP($A198,main!$A$3:$H$102,6,FALSE)&gt;=main!$D$103+VLOOKUP(VLOOKUP(AE$1,main!$A$3:$I$102,7,FALSE),main!$K$26:$Q$29,4,FALSE)),1,0)</f>
        <v>0</v>
      </c>
      <c r="AF198">
        <f>IF(AND(VLOOKUP(AF$1,main!$A$3:$H$102,7,FALSE)=main!$G$104,VLOOKUP(AF$1,main!$A$3:$H$102,5,FALSE)-VLOOKUP($A198,main!$A$3:$H$102,6,FALSE)&gt;=main!$D$103+VLOOKUP(VLOOKUP(AF$1,main!$A$3:$I$102,7,FALSE),main!$K$26:$Q$29,4,FALSE)),1,0)</f>
        <v>0</v>
      </c>
      <c r="AG198">
        <f>IF(AND(VLOOKUP(AG$1,main!$A$3:$H$102,7,FALSE)=main!$G$104,VLOOKUP(AG$1,main!$A$3:$H$102,5,FALSE)-VLOOKUP($A198,main!$A$3:$H$102,6,FALSE)&gt;=main!$D$103+VLOOKUP(VLOOKUP(AG$1,main!$A$3:$I$102,7,FALSE),main!$K$26:$Q$29,4,FALSE)),1,0)</f>
        <v>0</v>
      </c>
      <c r="AH198">
        <f>IF(AND(VLOOKUP(AH$1,main!$A$3:$H$102,7,FALSE)=main!$G$104,VLOOKUP(AH$1,main!$A$3:$H$102,5,FALSE)-VLOOKUP($A198,main!$A$3:$H$102,6,FALSE)&gt;=main!$D$103+VLOOKUP(VLOOKUP(AH$1,main!$A$3:$I$102,7,FALSE),main!$K$26:$Q$29,4,FALSE)),1,0)</f>
        <v>0</v>
      </c>
      <c r="AI198">
        <f>IF(AND(VLOOKUP(AI$1,main!$A$3:$H$102,7,FALSE)=main!$G$104,VLOOKUP(AI$1,main!$A$3:$H$102,5,FALSE)-VLOOKUP($A198,main!$A$3:$H$102,6,FALSE)&gt;=main!$D$103+VLOOKUP(VLOOKUP(AI$1,main!$A$3:$I$102,7,FALSE),main!$K$26:$Q$29,4,FALSE)),1,0)</f>
        <v>0</v>
      </c>
      <c r="AJ198">
        <f>IF(AND(VLOOKUP(AJ$1,main!$A$3:$H$102,7,FALSE)=main!$G$104,VLOOKUP(AJ$1,main!$A$3:$H$102,5,FALSE)-VLOOKUP($A198,main!$A$3:$H$102,6,FALSE)&gt;=main!$D$103+VLOOKUP(VLOOKUP(AJ$1,main!$A$3:$I$102,7,FALSE),main!$K$26:$Q$29,4,FALSE)),1,0)</f>
        <v>0</v>
      </c>
      <c r="AK198">
        <f>IF(AND(VLOOKUP(AK$1,main!$A$3:$H$102,7,FALSE)=main!$G$104,VLOOKUP(AK$1,main!$A$3:$H$102,5,FALSE)-VLOOKUP($A198,main!$A$3:$H$102,6,FALSE)&gt;=main!$D$103+VLOOKUP(VLOOKUP(AK$1,main!$A$3:$I$102,7,FALSE),main!$K$26:$Q$29,4,FALSE)),1,0)</f>
        <v>0</v>
      </c>
      <c r="AL198">
        <f>IF(AND(VLOOKUP(AL$1,main!$A$3:$H$102,7,FALSE)=main!$G$104,VLOOKUP(AL$1,main!$A$3:$H$102,5,FALSE)-VLOOKUP($A198,main!$A$3:$H$102,6,FALSE)&gt;=main!$D$103+VLOOKUP(VLOOKUP(AL$1,main!$A$3:$I$102,7,FALSE),main!$K$26:$Q$29,4,FALSE)),1,0)</f>
        <v>0</v>
      </c>
      <c r="AM198">
        <f>IF(AND(VLOOKUP(AM$1,main!$A$3:$H$102,7,FALSE)=main!$G$104,VLOOKUP(AM$1,main!$A$3:$H$102,5,FALSE)-VLOOKUP($A198,main!$A$3:$H$102,6,FALSE)&gt;=main!$D$103+VLOOKUP(VLOOKUP(AM$1,main!$A$3:$I$102,7,FALSE),main!$K$26:$Q$29,4,FALSE)),1,0)</f>
        <v>0</v>
      </c>
      <c r="AN198">
        <f>IF(AND(VLOOKUP(AN$1,main!$A$3:$H$102,7,FALSE)=main!$G$104,VLOOKUP(AN$1,main!$A$3:$H$102,5,FALSE)-VLOOKUP($A198,main!$A$3:$H$102,6,FALSE)&gt;=main!$D$103+VLOOKUP(VLOOKUP(AN$1,main!$A$3:$I$102,7,FALSE),main!$K$26:$Q$29,4,FALSE)),1,0)</f>
        <v>0</v>
      </c>
      <c r="AO198">
        <f>IF(AND(VLOOKUP(AO$1,main!$A$3:$H$102,7,FALSE)=main!$G$104,VLOOKUP(AO$1,main!$A$3:$H$102,5,FALSE)-VLOOKUP($A198,main!$A$3:$H$102,6,FALSE)&gt;=main!$D$103+VLOOKUP(VLOOKUP(AO$1,main!$A$3:$I$102,7,FALSE),main!$K$26:$Q$29,4,FALSE)),1,0)</f>
        <v>0</v>
      </c>
      <c r="AP198">
        <f>IF(AND(VLOOKUP(AP$1,main!$A$3:$H$102,7,FALSE)=main!$G$104,VLOOKUP(AP$1,main!$A$3:$H$102,5,FALSE)-VLOOKUP($A198,main!$A$3:$H$102,6,FALSE)&gt;=main!$D$103+VLOOKUP(VLOOKUP(AP$1,main!$A$3:$I$102,7,FALSE),main!$K$26:$Q$29,4,FALSE)),1,0)</f>
        <v>0</v>
      </c>
      <c r="AQ198">
        <f>IF(AND(VLOOKUP(AQ$1,main!$A$3:$H$102,7,FALSE)=main!$G$104,VLOOKUP(AQ$1,main!$A$3:$H$102,5,FALSE)-VLOOKUP($A198,main!$A$3:$H$102,6,FALSE)&gt;=main!$D$103+VLOOKUP(VLOOKUP(AQ$1,main!$A$3:$I$102,7,FALSE),main!$K$26:$Q$29,4,FALSE)),1,0)</f>
        <v>0</v>
      </c>
      <c r="AR198">
        <f>IF(AND(VLOOKUP(AR$1,main!$A$3:$H$102,7,FALSE)=main!$G$104,VLOOKUP(AR$1,main!$A$3:$H$102,5,FALSE)-VLOOKUP($A198,main!$A$3:$H$102,6,FALSE)&gt;=main!$D$103+VLOOKUP(VLOOKUP(AR$1,main!$A$3:$I$102,7,FALSE),main!$K$26:$Q$29,4,FALSE)),1,0)</f>
        <v>0</v>
      </c>
      <c r="AS198">
        <f>IF(AND(VLOOKUP(AS$1,main!$A$3:$H$102,7,FALSE)=main!$G$104,VLOOKUP(AS$1,main!$A$3:$H$102,5,FALSE)-VLOOKUP($A198,main!$A$3:$H$102,6,FALSE)&gt;=main!$D$103+VLOOKUP(VLOOKUP(AS$1,main!$A$3:$I$102,7,FALSE),main!$K$26:$Q$29,4,FALSE)),1,0)</f>
        <v>0</v>
      </c>
      <c r="AT198">
        <f>IF(AND(VLOOKUP(AT$1,main!$A$3:$H$102,7,FALSE)=main!$G$104,VLOOKUP(AT$1,main!$A$3:$H$102,5,FALSE)-VLOOKUP($A198,main!$A$3:$H$102,6,FALSE)&gt;=main!$D$103+VLOOKUP(VLOOKUP(AT$1,main!$A$3:$I$102,7,FALSE),main!$K$26:$Q$29,4,FALSE)),1,0)</f>
        <v>0</v>
      </c>
      <c r="AU198">
        <f>IF(AND(VLOOKUP(AU$1,main!$A$3:$H$102,7,FALSE)=main!$G$104,VLOOKUP(AU$1,main!$A$3:$H$102,5,FALSE)-VLOOKUP($A198,main!$A$3:$H$102,6,FALSE)&gt;=main!$D$103+VLOOKUP(VLOOKUP(AU$1,main!$A$3:$I$102,7,FALSE),main!$K$26:$Q$29,4,FALSE)),1,0)</f>
        <v>0</v>
      </c>
      <c r="AV198">
        <f>IF(AND(VLOOKUP(AV$1,main!$A$3:$H$102,7,FALSE)=main!$G$104,VLOOKUP(AV$1,main!$A$3:$H$102,5,FALSE)-VLOOKUP($A198,main!$A$3:$H$102,6,FALSE)&gt;=main!$D$103+VLOOKUP(VLOOKUP(AV$1,main!$A$3:$I$102,7,FALSE),main!$K$26:$Q$29,4,FALSE)),1,0)</f>
        <v>0</v>
      </c>
      <c r="AW198">
        <f>IF(AND(VLOOKUP(AW$1,main!$A$3:$H$102,7,FALSE)=main!$G$104,VLOOKUP(AW$1,main!$A$3:$H$102,5,FALSE)-VLOOKUP($A198,main!$A$3:$H$102,6,FALSE)&gt;=main!$D$103+VLOOKUP(VLOOKUP(AW$1,main!$A$3:$I$102,7,FALSE),main!$K$26:$Q$29,4,FALSE)),1,0)</f>
        <v>0</v>
      </c>
      <c r="AX198">
        <f>IF(AND(VLOOKUP(AX$1,main!$A$3:$H$102,7,FALSE)=main!$G$104,VLOOKUP(AX$1,main!$A$3:$H$102,5,FALSE)-VLOOKUP($A198,main!$A$3:$H$102,6,FALSE)&gt;=main!$D$103+VLOOKUP(VLOOKUP(AX$1,main!$A$3:$I$102,7,FALSE),main!$K$26:$Q$29,4,FALSE)),1,0)</f>
        <v>0</v>
      </c>
      <c r="AY198">
        <f>IF(AND(VLOOKUP(AY$1,main!$A$3:$H$102,7,FALSE)=main!$G$104,VLOOKUP(AY$1,main!$A$3:$H$102,5,FALSE)-VLOOKUP($A198,main!$A$3:$H$102,6,FALSE)&gt;=main!$D$103+VLOOKUP(VLOOKUP(AY$1,main!$A$3:$I$102,7,FALSE),main!$K$26:$Q$29,4,FALSE)),1,0)</f>
        <v>0</v>
      </c>
      <c r="AZ198">
        <f>IF(AND(VLOOKUP(AZ$1,main!$A$3:$H$102,7,FALSE)=main!$G$104,VLOOKUP(AZ$1,main!$A$3:$H$102,5,FALSE)-VLOOKUP($A198,main!$A$3:$H$102,6,FALSE)&gt;=main!$D$103+VLOOKUP(VLOOKUP(AZ$1,main!$A$3:$I$102,7,FALSE),main!$K$26:$Q$29,4,FALSE)),1,0)</f>
        <v>0</v>
      </c>
      <c r="BA198">
        <f>IF(AND(VLOOKUP(BA$1,main!$A$3:$H$102,7,FALSE)=main!$G$104,VLOOKUP(BA$1,main!$A$3:$H$102,5,FALSE)-VLOOKUP($A198,main!$A$3:$H$102,6,FALSE)&gt;=main!$D$103+VLOOKUP(VLOOKUP(BA$1,main!$A$3:$I$102,7,FALSE),main!$K$26:$Q$29,4,FALSE)),1,0)</f>
        <v>0</v>
      </c>
      <c r="BB198">
        <f>IF(AND(VLOOKUP(BB$1,main!$A$3:$H$102,7,FALSE)=main!$G$104,VLOOKUP(BB$1,main!$A$3:$H$102,5,FALSE)-VLOOKUP($A198,main!$A$3:$H$102,6,FALSE)&gt;=main!$D$103+VLOOKUP(VLOOKUP(BB$1,main!$A$3:$I$102,7,FALSE),main!$K$26:$Q$29,4,FALSE)),1,0)</f>
        <v>0</v>
      </c>
      <c r="BC198">
        <f>IF(AND(VLOOKUP(BC$1,main!$A$3:$H$102,7,FALSE)=main!$G$104,VLOOKUP(BC$1,main!$A$3:$H$102,5,FALSE)-VLOOKUP($A198,main!$A$3:$H$102,6,FALSE)&gt;=main!$D$103+VLOOKUP(VLOOKUP(BC$1,main!$A$3:$I$102,7,FALSE),main!$K$26:$Q$29,4,FALSE)),1,0)</f>
        <v>0</v>
      </c>
      <c r="BD198">
        <f>IF(AND(VLOOKUP(BD$1,main!$A$3:$H$102,7,FALSE)=main!$G$104,VLOOKUP(BD$1,main!$A$3:$H$102,5,FALSE)-VLOOKUP($A198,main!$A$3:$H$102,6,FALSE)&gt;=main!$D$103+VLOOKUP(VLOOKUP(BD$1,main!$A$3:$I$102,7,FALSE),main!$K$26:$Q$29,4,FALSE)),1,0)</f>
        <v>0</v>
      </c>
      <c r="BE198">
        <f>IF(AND(VLOOKUP(BE$1,main!$A$3:$H$102,7,FALSE)=main!$G$104,VLOOKUP(BE$1,main!$A$3:$H$102,5,FALSE)-VLOOKUP($A198,main!$A$3:$H$102,6,FALSE)&gt;=main!$D$103+VLOOKUP(VLOOKUP(BE$1,main!$A$3:$I$102,7,FALSE),main!$K$26:$Q$29,4,FALSE)),1,0)</f>
        <v>0</v>
      </c>
      <c r="BF198">
        <f>IF(AND(VLOOKUP(BF$1,main!$A$3:$H$102,7,FALSE)=main!$G$104,VLOOKUP(BF$1,main!$A$3:$H$102,5,FALSE)-VLOOKUP($A198,main!$A$3:$H$102,6,FALSE)&gt;=main!$D$103+VLOOKUP(VLOOKUP(BF$1,main!$A$3:$I$102,7,FALSE),main!$K$26:$Q$29,4,FALSE)),1,0)</f>
        <v>0</v>
      </c>
      <c r="BG198">
        <f>IF(AND(VLOOKUP(BG$1,main!$A$3:$H$102,7,FALSE)=main!$G$104,VLOOKUP(BG$1,main!$A$3:$H$102,5,FALSE)-VLOOKUP($A198,main!$A$3:$H$102,6,FALSE)&gt;=main!$D$103+VLOOKUP(VLOOKUP(BG$1,main!$A$3:$I$102,7,FALSE),main!$K$26:$Q$29,4,FALSE)),1,0)</f>
        <v>0</v>
      </c>
      <c r="BH198">
        <f>IF(AND(VLOOKUP(BH$1,main!$A$3:$H$102,7,FALSE)=main!$G$104,VLOOKUP(BH$1,main!$A$3:$H$102,5,FALSE)-VLOOKUP($A198,main!$A$3:$H$102,6,FALSE)&gt;=main!$D$103+VLOOKUP(VLOOKUP(BH$1,main!$A$3:$I$102,7,FALSE),main!$K$26:$Q$29,4,FALSE)),1,0)</f>
        <v>0</v>
      </c>
      <c r="BI198">
        <f>IF(AND(VLOOKUP(BI$1,main!$A$3:$H$102,7,FALSE)=main!$G$104,VLOOKUP(BI$1,main!$A$3:$H$102,5,FALSE)-VLOOKUP($A198,main!$A$3:$H$102,6,FALSE)&gt;=main!$D$103+VLOOKUP(VLOOKUP(BI$1,main!$A$3:$I$102,7,FALSE),main!$K$26:$Q$29,4,FALSE)),1,0)</f>
        <v>0</v>
      </c>
      <c r="BJ198">
        <f>IF(AND(VLOOKUP(BJ$1,main!$A$3:$H$102,7,FALSE)=main!$G$104,VLOOKUP(BJ$1,main!$A$3:$H$102,5,FALSE)-VLOOKUP($A198,main!$A$3:$H$102,6,FALSE)&gt;=main!$D$103+VLOOKUP(VLOOKUP(BJ$1,main!$A$3:$I$102,7,FALSE),main!$K$26:$Q$29,4,FALSE)),1,0)</f>
        <v>0</v>
      </c>
      <c r="BK198">
        <f>IF(AND(VLOOKUP(BK$1,main!$A$3:$H$102,7,FALSE)=main!$G$104,VLOOKUP(BK$1,main!$A$3:$H$102,5,FALSE)-VLOOKUP($A198,main!$A$3:$H$102,6,FALSE)&gt;=main!$D$103+VLOOKUP(VLOOKUP(BK$1,main!$A$3:$I$102,7,FALSE),main!$K$26:$Q$29,4,FALSE)),1,0)</f>
        <v>0</v>
      </c>
      <c r="BL198">
        <f>IF(AND(VLOOKUP(BL$1,main!$A$3:$H$102,7,FALSE)=main!$G$104,VLOOKUP(BL$1,main!$A$3:$H$102,5,FALSE)-VLOOKUP($A198,main!$A$3:$H$102,6,FALSE)&gt;=main!$D$103+VLOOKUP(VLOOKUP(BL$1,main!$A$3:$I$102,7,FALSE),main!$K$26:$Q$29,4,FALSE)),1,0)</f>
        <v>0</v>
      </c>
      <c r="BM198">
        <f>IF(AND(VLOOKUP(BM$1,main!$A$3:$H$102,7,FALSE)=main!$G$104,VLOOKUP(BM$1,main!$A$3:$H$102,5,FALSE)-VLOOKUP($A198,main!$A$3:$H$102,6,FALSE)&gt;=main!$D$103+VLOOKUP(VLOOKUP(BM$1,main!$A$3:$I$102,7,FALSE),main!$K$26:$Q$29,4,FALSE)),1,0)</f>
        <v>0</v>
      </c>
      <c r="BN198">
        <f>IF(AND(VLOOKUP(BN$1,main!$A$3:$H$102,7,FALSE)=main!$G$104,VLOOKUP(BN$1,main!$A$3:$H$102,5,FALSE)-VLOOKUP($A198,main!$A$3:$H$102,6,FALSE)&gt;=main!$D$103+VLOOKUP(VLOOKUP(BN$1,main!$A$3:$I$102,7,FALSE),main!$K$26:$Q$29,4,FALSE)),1,0)</f>
        <v>0</v>
      </c>
      <c r="BO198">
        <f>IF(AND(VLOOKUP(BO$1,main!$A$3:$H$102,7,FALSE)=main!$G$104,VLOOKUP(BO$1,main!$A$3:$H$102,5,FALSE)-VLOOKUP($A198,main!$A$3:$H$102,6,FALSE)&gt;=main!$D$103+VLOOKUP(VLOOKUP(BO$1,main!$A$3:$I$102,7,FALSE),main!$K$26:$Q$29,4,FALSE)),1,0)</f>
        <v>0</v>
      </c>
      <c r="BP198">
        <f>IF(AND(VLOOKUP(BP$1,main!$A$3:$H$102,7,FALSE)=main!$G$104,VLOOKUP(BP$1,main!$A$3:$H$102,5,FALSE)-VLOOKUP($A198,main!$A$3:$H$102,6,FALSE)&gt;=main!$D$103+VLOOKUP(VLOOKUP(BP$1,main!$A$3:$I$102,7,FALSE),main!$K$26:$Q$29,4,FALSE)),1,0)</f>
        <v>0</v>
      </c>
      <c r="BQ198">
        <f>IF(AND(VLOOKUP(BQ$1,main!$A$3:$H$102,7,FALSE)=main!$G$104,VLOOKUP(BQ$1,main!$A$3:$H$102,5,FALSE)-VLOOKUP($A198,main!$A$3:$H$102,6,FALSE)&gt;=main!$D$103+VLOOKUP(VLOOKUP(BQ$1,main!$A$3:$I$102,7,FALSE),main!$K$26:$Q$29,4,FALSE)),1,0)</f>
        <v>0</v>
      </c>
      <c r="BR198">
        <f>IF(AND(VLOOKUP(BR$1,main!$A$3:$H$102,7,FALSE)=main!$G$104,VLOOKUP(BR$1,main!$A$3:$H$102,5,FALSE)-VLOOKUP($A198,main!$A$3:$H$102,6,FALSE)&gt;=main!$D$103+VLOOKUP(VLOOKUP(BR$1,main!$A$3:$I$102,7,FALSE),main!$K$26:$Q$29,4,FALSE)),1,0)</f>
        <v>0</v>
      </c>
      <c r="BS198">
        <f>IF(AND(VLOOKUP(BS$1,main!$A$3:$H$102,7,FALSE)=main!$G$104,VLOOKUP(BS$1,main!$A$3:$H$102,5,FALSE)-VLOOKUP($A198,main!$A$3:$H$102,6,FALSE)&gt;=main!$D$103+VLOOKUP(VLOOKUP(BS$1,main!$A$3:$I$102,7,FALSE),main!$K$26:$Q$29,4,FALSE)),1,0)</f>
        <v>0</v>
      </c>
      <c r="BT198">
        <f>IF(AND(VLOOKUP(BT$1,main!$A$3:$H$102,7,FALSE)=main!$G$104,VLOOKUP(BT$1,main!$A$3:$H$102,5,FALSE)-VLOOKUP($A198,main!$A$3:$H$102,6,FALSE)&gt;=main!$D$103+VLOOKUP(VLOOKUP(BT$1,main!$A$3:$I$102,7,FALSE),main!$K$26:$Q$29,4,FALSE)),1,0)</f>
        <v>0</v>
      </c>
      <c r="BU198">
        <f>IF(AND(VLOOKUP(BU$1,main!$A$3:$H$102,7,FALSE)=main!$G$104,VLOOKUP(BU$1,main!$A$3:$H$102,5,FALSE)-VLOOKUP($A198,main!$A$3:$H$102,6,FALSE)&gt;=main!$D$103+VLOOKUP(VLOOKUP(BU$1,main!$A$3:$I$102,7,FALSE),main!$K$26:$Q$29,4,FALSE)),1,0)</f>
        <v>0</v>
      </c>
      <c r="BV198">
        <f>IF(AND(VLOOKUP(BV$1,main!$A$3:$H$102,7,FALSE)=main!$G$104,VLOOKUP(BV$1,main!$A$3:$H$102,5,FALSE)-VLOOKUP($A198,main!$A$3:$H$102,6,FALSE)&gt;=main!$D$103+VLOOKUP(VLOOKUP(BV$1,main!$A$3:$I$102,7,FALSE),main!$K$26:$Q$29,4,FALSE)),1,0)</f>
        <v>0</v>
      </c>
      <c r="BW198">
        <f>IF(AND(VLOOKUP(BW$1,main!$A$3:$H$102,7,FALSE)=main!$G$104,VLOOKUP(BW$1,main!$A$3:$H$102,5,FALSE)-VLOOKUP($A198,main!$A$3:$H$102,6,FALSE)&gt;=main!$D$103+VLOOKUP(VLOOKUP(BW$1,main!$A$3:$I$102,7,FALSE),main!$K$26:$Q$29,4,FALSE)),1,0)</f>
        <v>0</v>
      </c>
      <c r="BX198">
        <f>IF(AND(VLOOKUP(BX$1,main!$A$3:$H$102,7,FALSE)=main!$G$104,VLOOKUP(BX$1,main!$A$3:$H$102,5,FALSE)-VLOOKUP($A198,main!$A$3:$H$102,6,FALSE)&gt;=main!$D$103+VLOOKUP(VLOOKUP(BX$1,main!$A$3:$I$102,7,FALSE),main!$K$26:$Q$29,4,FALSE)),1,0)</f>
        <v>0</v>
      </c>
      <c r="BY198">
        <f>IF(AND(VLOOKUP(BY$1,main!$A$3:$H$102,7,FALSE)=main!$G$104,VLOOKUP(BY$1,main!$A$3:$H$102,5,FALSE)-VLOOKUP($A198,main!$A$3:$H$102,6,FALSE)&gt;=main!$D$103+VLOOKUP(VLOOKUP(BY$1,main!$A$3:$I$102,7,FALSE),main!$K$26:$Q$29,4,FALSE)),1,0)</f>
        <v>0</v>
      </c>
      <c r="BZ198">
        <f>IF(AND(VLOOKUP(BZ$1,main!$A$3:$H$102,7,FALSE)=main!$G$104,VLOOKUP(BZ$1,main!$A$3:$H$102,5,FALSE)-VLOOKUP($A198,main!$A$3:$H$102,6,FALSE)&gt;=main!$D$103+VLOOKUP(VLOOKUP(BZ$1,main!$A$3:$I$102,7,FALSE),main!$K$26:$Q$29,4,FALSE)),1,0)</f>
        <v>0</v>
      </c>
      <c r="CA198">
        <f>IF(AND(VLOOKUP(CA$1,main!$A$3:$H$102,7,FALSE)=main!$G$104,VLOOKUP(CA$1,main!$A$3:$H$102,5,FALSE)-VLOOKUP($A198,main!$A$3:$H$102,6,FALSE)&gt;=main!$D$103+VLOOKUP(VLOOKUP(CA$1,main!$A$3:$I$102,7,FALSE),main!$K$26:$Q$29,4,FALSE)),1,0)</f>
        <v>0</v>
      </c>
      <c r="CB198">
        <f>IF(AND(VLOOKUP(CB$1,main!$A$3:$H$102,7,FALSE)=main!$G$104,VLOOKUP(CB$1,main!$A$3:$H$102,5,FALSE)-VLOOKUP($A198,main!$A$3:$H$102,6,FALSE)&gt;=main!$D$103+VLOOKUP(VLOOKUP(CB$1,main!$A$3:$I$102,7,FALSE),main!$K$26:$Q$29,4,FALSE)),1,0)</f>
        <v>0</v>
      </c>
      <c r="CC198">
        <f>IF(AND(VLOOKUP(CC$1,main!$A$3:$H$102,7,FALSE)=main!$G$104,VLOOKUP(CC$1,main!$A$3:$H$102,5,FALSE)-VLOOKUP($A198,main!$A$3:$H$102,6,FALSE)&gt;=main!$D$103+VLOOKUP(VLOOKUP(CC$1,main!$A$3:$I$102,7,FALSE),main!$K$26:$Q$29,4,FALSE)),1,0)</f>
        <v>0</v>
      </c>
      <c r="CD198">
        <f>IF(AND(VLOOKUP(CD$1,main!$A$3:$H$102,7,FALSE)=main!$G$104,VLOOKUP(CD$1,main!$A$3:$H$102,5,FALSE)-VLOOKUP($A198,main!$A$3:$H$102,6,FALSE)&gt;=main!$D$103+VLOOKUP(VLOOKUP(CD$1,main!$A$3:$I$102,7,FALSE),main!$K$26:$Q$29,4,FALSE)),1,0)</f>
        <v>0</v>
      </c>
      <c r="CE198">
        <f>IF(AND(VLOOKUP(CE$1,main!$A$3:$H$102,7,FALSE)=main!$G$104,VLOOKUP(CE$1,main!$A$3:$H$102,5,FALSE)-VLOOKUP($A198,main!$A$3:$H$102,6,FALSE)&gt;=main!$D$103+VLOOKUP(VLOOKUP(CE$1,main!$A$3:$I$102,7,FALSE),main!$K$26:$Q$29,4,FALSE)),1,0)</f>
        <v>0</v>
      </c>
      <c r="CF198">
        <f>IF(AND(VLOOKUP(CF$1,main!$A$3:$H$102,7,FALSE)=main!$G$104,VLOOKUP(CF$1,main!$A$3:$H$102,5,FALSE)-VLOOKUP($A198,main!$A$3:$H$102,6,FALSE)&gt;=main!$D$103+VLOOKUP(VLOOKUP(CF$1,main!$A$3:$I$102,7,FALSE),main!$K$26:$Q$29,4,FALSE)),1,0)</f>
        <v>0</v>
      </c>
      <c r="CG198">
        <f>IF(AND(VLOOKUP(CG$1,main!$A$3:$H$102,7,FALSE)=main!$G$104,VLOOKUP(CG$1,main!$A$3:$H$102,5,FALSE)-VLOOKUP($A198,main!$A$3:$H$102,6,FALSE)&gt;=main!$D$103+VLOOKUP(VLOOKUP(CG$1,main!$A$3:$I$102,7,FALSE),main!$K$26:$Q$29,4,FALSE)),1,0)</f>
        <v>0</v>
      </c>
      <c r="CH198">
        <f>IF(AND(VLOOKUP(CH$1,main!$A$3:$H$102,7,FALSE)=main!$G$104,VLOOKUP(CH$1,main!$A$3:$H$102,5,FALSE)-VLOOKUP($A198,main!$A$3:$H$102,6,FALSE)&gt;=main!$D$103+VLOOKUP(VLOOKUP(CH$1,main!$A$3:$I$102,7,FALSE),main!$K$26:$Q$29,4,FALSE)),1,0)</f>
        <v>0</v>
      </c>
      <c r="CI198">
        <f>IF(AND(VLOOKUP(CI$1,main!$A$3:$H$102,7,FALSE)=main!$G$104,VLOOKUP(CI$1,main!$A$3:$H$102,5,FALSE)-VLOOKUP($A198,main!$A$3:$H$102,6,FALSE)&gt;=main!$D$103+VLOOKUP(VLOOKUP(CI$1,main!$A$3:$I$102,7,FALSE),main!$K$26:$Q$29,4,FALSE)),1,0)</f>
        <v>0</v>
      </c>
      <c r="CJ198">
        <f>IF(AND(VLOOKUP(CJ$1,main!$A$3:$H$102,7,FALSE)=main!$G$104,VLOOKUP(CJ$1,main!$A$3:$H$102,5,FALSE)-VLOOKUP($A198,main!$A$3:$H$102,6,FALSE)&gt;=main!$D$103+VLOOKUP(VLOOKUP(CJ$1,main!$A$3:$I$102,7,FALSE),main!$K$26:$Q$29,4,FALSE)),1,0)</f>
        <v>0</v>
      </c>
      <c r="CK198">
        <f>IF(AND(VLOOKUP(CK$1,main!$A$3:$H$102,7,FALSE)=main!$G$104,VLOOKUP(CK$1,main!$A$3:$H$102,5,FALSE)-VLOOKUP($A198,main!$A$3:$H$102,6,FALSE)&gt;=main!$D$103+VLOOKUP(VLOOKUP(CK$1,main!$A$3:$I$102,7,FALSE),main!$K$26:$Q$29,4,FALSE)),1,0)</f>
        <v>0</v>
      </c>
      <c r="CL198">
        <f>IF(AND(VLOOKUP(CL$1,main!$A$3:$H$102,7,FALSE)=main!$G$104,VLOOKUP(CL$1,main!$A$3:$H$102,5,FALSE)-VLOOKUP($A198,main!$A$3:$H$102,6,FALSE)&gt;=main!$D$103+VLOOKUP(VLOOKUP(CL$1,main!$A$3:$I$102,7,FALSE),main!$K$26:$Q$29,4,FALSE)),1,0)</f>
        <v>0</v>
      </c>
      <c r="CM198">
        <f>IF(AND(VLOOKUP(CM$1,main!$A$3:$H$102,7,FALSE)=main!$G$104,VLOOKUP(CM$1,main!$A$3:$H$102,5,FALSE)-VLOOKUP($A198,main!$A$3:$H$102,6,FALSE)&gt;=main!$D$103+VLOOKUP(VLOOKUP(CM$1,main!$A$3:$I$102,7,FALSE),main!$K$26:$Q$29,4,FALSE)),1,0)</f>
        <v>0</v>
      </c>
      <c r="CN198">
        <f>IF(AND(VLOOKUP(CN$1,main!$A$3:$H$102,7,FALSE)=main!$G$104,VLOOKUP(CN$1,main!$A$3:$H$102,5,FALSE)-VLOOKUP($A198,main!$A$3:$H$102,6,FALSE)&gt;=main!$D$103+VLOOKUP(VLOOKUP(CN$1,main!$A$3:$I$102,7,FALSE),main!$K$26:$Q$29,4,FALSE)),1,0)</f>
        <v>0</v>
      </c>
      <c r="CO198">
        <f>IF(AND(VLOOKUP(CO$1,main!$A$3:$H$102,7,FALSE)=main!$G$104,VLOOKUP(CO$1,main!$A$3:$H$102,5,FALSE)-VLOOKUP($A198,main!$A$3:$H$102,6,FALSE)&gt;=main!$D$103+VLOOKUP(VLOOKUP(CO$1,main!$A$3:$I$102,7,FALSE),main!$K$26:$Q$29,4,FALSE)),1,0)</f>
        <v>0</v>
      </c>
      <c r="CP198">
        <f>IF(AND(VLOOKUP(CP$1,main!$A$3:$H$102,7,FALSE)=main!$G$104,VLOOKUP(CP$1,main!$A$3:$H$102,5,FALSE)-VLOOKUP($A198,main!$A$3:$H$102,6,FALSE)&gt;=main!$D$103+VLOOKUP(VLOOKUP(CP$1,main!$A$3:$I$102,7,FALSE),main!$K$26:$Q$29,4,FALSE)),1,0)</f>
        <v>0</v>
      </c>
      <c r="CQ198">
        <f>IF(AND(VLOOKUP(CQ$1,main!$A$3:$H$102,7,FALSE)=main!$G$104,VLOOKUP(CQ$1,main!$A$3:$H$102,5,FALSE)-VLOOKUP($A198,main!$A$3:$H$102,6,FALSE)&gt;=main!$D$103+VLOOKUP(VLOOKUP(CQ$1,main!$A$3:$I$102,7,FALSE),main!$K$26:$Q$29,4,FALSE)),1,0)</f>
        <v>0</v>
      </c>
      <c r="CR198">
        <f>IF(AND(VLOOKUP(CR$1,main!$A$3:$H$102,7,FALSE)=main!$G$104,VLOOKUP(CR$1,main!$A$3:$H$102,5,FALSE)-VLOOKUP($A198,main!$A$3:$H$102,6,FALSE)&gt;=main!$D$103+VLOOKUP(VLOOKUP(CR$1,main!$A$3:$I$102,7,FALSE),main!$K$26:$Q$29,4,FALSE)),1,0)</f>
        <v>0</v>
      </c>
      <c r="CS198">
        <f>IF(AND(VLOOKUP(CS$1,main!$A$3:$H$102,7,FALSE)=main!$G$104,VLOOKUP(CS$1,main!$A$3:$H$102,5,FALSE)-VLOOKUP($A198,main!$A$3:$H$102,6,FALSE)&gt;=main!$D$103+VLOOKUP(VLOOKUP(CS$1,main!$A$3:$I$102,7,FALSE),main!$K$26:$Q$29,4,FALSE)),1,0)</f>
        <v>0</v>
      </c>
      <c r="CT198">
        <f>IF(AND(VLOOKUP(CT$1,main!$A$3:$H$102,7,FALSE)=main!$G$104,VLOOKUP(CT$1,main!$A$3:$H$102,5,FALSE)-VLOOKUP($A198,main!$A$3:$H$102,6,FALSE)&gt;=main!$D$103+VLOOKUP(VLOOKUP(CT$1,main!$A$3:$I$102,7,FALSE),main!$K$26:$Q$29,4,FALSE)),1,0)</f>
        <v>0</v>
      </c>
      <c r="CU198">
        <f>IF(AND(VLOOKUP(CU$1,main!$A$3:$H$102,7,FALSE)=main!$G$104,VLOOKUP(CU$1,main!$A$3:$H$102,5,FALSE)-VLOOKUP($A198,main!$A$3:$H$102,6,FALSE)&gt;=main!$D$103+VLOOKUP(VLOOKUP(CU$1,main!$A$3:$I$102,7,FALSE),main!$K$26:$Q$29,4,FALSE)),1,0)</f>
        <v>0</v>
      </c>
      <c r="CV198">
        <f>IF(AND(VLOOKUP(CV$1,main!$A$3:$H$102,7,FALSE)=main!$G$104,VLOOKUP(CV$1,main!$A$3:$H$102,5,FALSE)-VLOOKUP($A198,main!$A$3:$H$102,6,FALSE)&gt;=main!$D$103+VLOOKUP(VLOOKUP(CV$1,main!$A$3:$I$102,7,FALSE),main!$K$26:$Q$29,4,FALSE)),1,0)</f>
        <v>0</v>
      </c>
      <c r="CW198">
        <f>IF(AND(VLOOKUP(CW$1,main!$A$3:$H$102,7,FALSE)=main!$G$104,VLOOKUP(CW$1,main!$A$3:$H$102,5,FALSE)-VLOOKUP($A198,main!$A$3:$H$102,6,FALSE)&gt;=main!$D$103+VLOOKUP(VLOOKUP(CW$1,main!$A$3:$I$102,7,FALSE),main!$K$26:$Q$29,4,FALSE)),1,0)</f>
        <v>0</v>
      </c>
      <c r="CX198">
        <f>IF(AND(VLOOKUP(CX$1,main!$A$3:$H$102,7,FALSE)=main!$G$104,VLOOKUP(CX$1,main!$A$3:$H$102,5,FALSE)-VLOOKUP($A198,main!$A$3:$H$102,6,FALSE)&gt;=main!$D$103+VLOOKUP(VLOOKUP(CX$1,main!$A$3:$I$102,7,FALSE),main!$K$26:$Q$29,4,FALSE)),1,0)</f>
        <v>0</v>
      </c>
    </row>
    <row r="199" spans="1:102" x14ac:dyDescent="0.25">
      <c r="A199" s="1">
        <v>96</v>
      </c>
      <c r="B199">
        <v>0</v>
      </c>
      <c r="C199">
        <f>IF(AND(VLOOKUP(C$1,main!$A$3:$H$102,7,FALSE)=main!$G$104,VLOOKUP(C$1,main!$A$3:$H$102,5,FALSE)-VLOOKUP($A199,main!$A$3:$H$102,6,FALSE)&gt;=main!$D$103+VLOOKUP(VLOOKUP(C$1,main!$A$3:$I$102,7,FALSE),main!$K$26:$Q$29,4,FALSE)),1,0)</f>
        <v>0</v>
      </c>
      <c r="D199">
        <f>IF(AND(VLOOKUP(D$1,main!$A$3:$H$102,7,FALSE)=main!$G$104,VLOOKUP(D$1,main!$A$3:$H$102,5,FALSE)-VLOOKUP($A199,main!$A$3:$H$102,6,FALSE)&gt;=main!$D$103+VLOOKUP(VLOOKUP(D$1,main!$A$3:$I$102,7,FALSE),main!$K$26:$Q$29,4,FALSE)),1,0)</f>
        <v>0</v>
      </c>
      <c r="E199">
        <f>IF(AND(VLOOKUP(E$1,main!$A$3:$H$102,7,FALSE)=main!$G$104,VLOOKUP(E$1,main!$A$3:$H$102,5,FALSE)-VLOOKUP($A199,main!$A$3:$H$102,6,FALSE)&gt;=main!$D$103+VLOOKUP(VLOOKUP(E$1,main!$A$3:$I$102,7,FALSE),main!$K$26:$Q$29,4,FALSE)),1,0)</f>
        <v>1</v>
      </c>
      <c r="F199">
        <f>IF(AND(VLOOKUP(F$1,main!$A$3:$H$102,7,FALSE)=main!$G$104,VLOOKUP(F$1,main!$A$3:$H$102,5,FALSE)-VLOOKUP($A199,main!$A$3:$H$102,6,FALSE)&gt;=main!$D$103+VLOOKUP(VLOOKUP(F$1,main!$A$3:$I$102,7,FALSE),main!$K$26:$Q$29,4,FALSE)),1,0)</f>
        <v>1</v>
      </c>
      <c r="G199">
        <f>IF(AND(VLOOKUP(G$1,main!$A$3:$H$102,7,FALSE)=main!$G$104,VLOOKUP(G$1,main!$A$3:$H$102,5,FALSE)-VLOOKUP($A199,main!$A$3:$H$102,6,FALSE)&gt;=main!$D$103+VLOOKUP(VLOOKUP(G$1,main!$A$3:$I$102,7,FALSE),main!$K$26:$Q$29,4,FALSE)),1,0)</f>
        <v>1</v>
      </c>
      <c r="H199">
        <f>IF(AND(VLOOKUP(H$1,main!$A$3:$H$102,7,FALSE)=main!$G$104,VLOOKUP(H$1,main!$A$3:$H$102,5,FALSE)-VLOOKUP($A199,main!$A$3:$H$102,6,FALSE)&gt;=main!$D$103+VLOOKUP(VLOOKUP(H$1,main!$A$3:$I$102,7,FALSE),main!$K$26:$Q$29,4,FALSE)),1,0)</f>
        <v>1</v>
      </c>
      <c r="I199">
        <f>IF(AND(VLOOKUP(I$1,main!$A$3:$H$102,7,FALSE)=main!$G$104,VLOOKUP(I$1,main!$A$3:$H$102,5,FALSE)-VLOOKUP($A199,main!$A$3:$H$102,6,FALSE)&gt;=main!$D$103+VLOOKUP(VLOOKUP(I$1,main!$A$3:$I$102,7,FALSE),main!$K$26:$Q$29,4,FALSE)),1,0)</f>
        <v>1</v>
      </c>
      <c r="J199">
        <f>IF(AND(VLOOKUP(J$1,main!$A$3:$H$102,7,FALSE)=main!$G$104,VLOOKUP(J$1,main!$A$3:$H$102,5,FALSE)-VLOOKUP($A199,main!$A$3:$H$102,6,FALSE)&gt;=main!$D$103+VLOOKUP(VLOOKUP(J$1,main!$A$3:$I$102,7,FALSE),main!$K$26:$Q$29,4,FALSE)),1,0)</f>
        <v>1</v>
      </c>
      <c r="K199">
        <f>IF(AND(VLOOKUP(K$1,main!$A$3:$H$102,7,FALSE)=main!$G$104,VLOOKUP(K$1,main!$A$3:$H$102,5,FALSE)-VLOOKUP($A199,main!$A$3:$H$102,6,FALSE)&gt;=main!$D$103+VLOOKUP(VLOOKUP(K$1,main!$A$3:$I$102,7,FALSE),main!$K$26:$Q$29,4,FALSE)),1,0)</f>
        <v>1</v>
      </c>
      <c r="L199">
        <f>IF(AND(VLOOKUP(L$1,main!$A$3:$H$102,7,FALSE)=main!$G$104,VLOOKUP(L$1,main!$A$3:$H$102,5,FALSE)-VLOOKUP($A199,main!$A$3:$H$102,6,FALSE)&gt;=main!$D$103+VLOOKUP(VLOOKUP(L$1,main!$A$3:$I$102,7,FALSE),main!$K$26:$Q$29,4,FALSE)),1,0)</f>
        <v>1</v>
      </c>
      <c r="M199">
        <f>IF(AND(VLOOKUP(M$1,main!$A$3:$H$102,7,FALSE)=main!$G$104,VLOOKUP(M$1,main!$A$3:$H$102,5,FALSE)-VLOOKUP($A199,main!$A$3:$H$102,6,FALSE)&gt;=main!$D$103+VLOOKUP(VLOOKUP(M$1,main!$A$3:$I$102,7,FALSE),main!$K$26:$Q$29,4,FALSE)),1,0)</f>
        <v>0</v>
      </c>
      <c r="N199">
        <f>IF(AND(VLOOKUP(N$1,main!$A$3:$H$102,7,FALSE)=main!$G$104,VLOOKUP(N$1,main!$A$3:$H$102,5,FALSE)-VLOOKUP($A199,main!$A$3:$H$102,6,FALSE)&gt;=main!$D$103+VLOOKUP(VLOOKUP(N$1,main!$A$3:$I$102,7,FALSE),main!$K$26:$Q$29,4,FALSE)),1,0)</f>
        <v>0</v>
      </c>
      <c r="O199">
        <f>IF(AND(VLOOKUP(O$1,main!$A$3:$H$102,7,FALSE)=main!$G$104,VLOOKUP(O$1,main!$A$3:$H$102,5,FALSE)-VLOOKUP($A199,main!$A$3:$H$102,6,FALSE)&gt;=main!$D$103+VLOOKUP(VLOOKUP(O$1,main!$A$3:$I$102,7,FALSE),main!$K$26:$Q$29,4,FALSE)),1,0)</f>
        <v>0</v>
      </c>
      <c r="P199">
        <f>IF(AND(VLOOKUP(P$1,main!$A$3:$H$102,7,FALSE)=main!$G$104,VLOOKUP(P$1,main!$A$3:$H$102,5,FALSE)-VLOOKUP($A199,main!$A$3:$H$102,6,FALSE)&gt;=main!$D$103+VLOOKUP(VLOOKUP(P$1,main!$A$3:$I$102,7,FALSE),main!$K$26:$Q$29,4,FALSE)),1,0)</f>
        <v>0</v>
      </c>
      <c r="Q199">
        <f>IF(AND(VLOOKUP(Q$1,main!$A$3:$H$102,7,FALSE)=main!$G$104,VLOOKUP(Q$1,main!$A$3:$H$102,5,FALSE)-VLOOKUP($A199,main!$A$3:$H$102,6,FALSE)&gt;=main!$D$103+VLOOKUP(VLOOKUP(Q$1,main!$A$3:$I$102,7,FALSE),main!$K$26:$Q$29,4,FALSE)),1,0)</f>
        <v>1</v>
      </c>
      <c r="R199">
        <f>IF(AND(VLOOKUP(R$1,main!$A$3:$H$102,7,FALSE)=main!$G$104,VLOOKUP(R$1,main!$A$3:$H$102,5,FALSE)-VLOOKUP($A199,main!$A$3:$H$102,6,FALSE)&gt;=main!$D$103+VLOOKUP(VLOOKUP(R$1,main!$A$3:$I$102,7,FALSE),main!$K$26:$Q$29,4,FALSE)),1,0)</f>
        <v>1</v>
      </c>
      <c r="S199">
        <f>IF(AND(VLOOKUP(S$1,main!$A$3:$H$102,7,FALSE)=main!$G$104,VLOOKUP(S$1,main!$A$3:$H$102,5,FALSE)-VLOOKUP($A199,main!$A$3:$H$102,6,FALSE)&gt;=main!$D$103+VLOOKUP(VLOOKUP(S$1,main!$A$3:$I$102,7,FALSE),main!$K$26:$Q$29,4,FALSE)),1,0)</f>
        <v>1</v>
      </c>
      <c r="T199">
        <f>IF(AND(VLOOKUP(T$1,main!$A$3:$H$102,7,FALSE)=main!$G$104,VLOOKUP(T$1,main!$A$3:$H$102,5,FALSE)-VLOOKUP($A199,main!$A$3:$H$102,6,FALSE)&gt;=main!$D$103+VLOOKUP(VLOOKUP(T$1,main!$A$3:$I$102,7,FALSE),main!$K$26:$Q$29,4,FALSE)),1,0)</f>
        <v>1</v>
      </c>
      <c r="U199">
        <f>IF(AND(VLOOKUP(U$1,main!$A$3:$H$102,7,FALSE)=main!$G$104,VLOOKUP(U$1,main!$A$3:$H$102,5,FALSE)-VLOOKUP($A199,main!$A$3:$H$102,6,FALSE)&gt;=main!$D$103+VLOOKUP(VLOOKUP(U$1,main!$A$3:$I$102,7,FALSE),main!$K$26:$Q$29,4,FALSE)),1,0)</f>
        <v>1</v>
      </c>
      <c r="V199">
        <f>IF(AND(VLOOKUP(V$1,main!$A$3:$H$102,7,FALSE)=main!$G$104,VLOOKUP(V$1,main!$A$3:$H$102,5,FALSE)-VLOOKUP($A199,main!$A$3:$H$102,6,FALSE)&gt;=main!$D$103+VLOOKUP(VLOOKUP(V$1,main!$A$3:$I$102,7,FALSE),main!$K$26:$Q$29,4,FALSE)),1,0)</f>
        <v>1</v>
      </c>
      <c r="W199">
        <f>IF(AND(VLOOKUP(W$1,main!$A$3:$H$102,7,FALSE)=main!$G$104,VLOOKUP(W$1,main!$A$3:$H$102,5,FALSE)-VLOOKUP($A199,main!$A$3:$H$102,6,FALSE)&gt;=main!$D$103+VLOOKUP(VLOOKUP(W$1,main!$A$3:$I$102,7,FALSE),main!$K$26:$Q$29,4,FALSE)),1,0)</f>
        <v>0</v>
      </c>
      <c r="X199">
        <f>IF(AND(VLOOKUP(X$1,main!$A$3:$H$102,7,FALSE)=main!$G$104,VLOOKUP(X$1,main!$A$3:$H$102,5,FALSE)-VLOOKUP($A199,main!$A$3:$H$102,6,FALSE)&gt;=main!$D$103+VLOOKUP(VLOOKUP(X$1,main!$A$3:$I$102,7,FALSE),main!$K$26:$Q$29,4,FALSE)),1,0)</f>
        <v>0</v>
      </c>
      <c r="Y199">
        <f>IF(AND(VLOOKUP(Y$1,main!$A$3:$H$102,7,FALSE)=main!$G$104,VLOOKUP(Y$1,main!$A$3:$H$102,5,FALSE)-VLOOKUP($A199,main!$A$3:$H$102,6,FALSE)&gt;=main!$D$103+VLOOKUP(VLOOKUP(Y$1,main!$A$3:$I$102,7,FALSE),main!$K$26:$Q$29,4,FALSE)),1,0)</f>
        <v>1</v>
      </c>
      <c r="Z199">
        <f>IF(AND(VLOOKUP(Z$1,main!$A$3:$H$102,7,FALSE)=main!$G$104,VLOOKUP(Z$1,main!$A$3:$H$102,5,FALSE)-VLOOKUP($A199,main!$A$3:$H$102,6,FALSE)&gt;=main!$D$103+VLOOKUP(VLOOKUP(Z$1,main!$A$3:$I$102,7,FALSE),main!$K$26:$Q$29,4,FALSE)),1,0)</f>
        <v>1</v>
      </c>
      <c r="AA199">
        <f>IF(AND(VLOOKUP(AA$1,main!$A$3:$H$102,7,FALSE)=main!$G$104,VLOOKUP(AA$1,main!$A$3:$H$102,5,FALSE)-VLOOKUP($A199,main!$A$3:$H$102,6,FALSE)&gt;=main!$D$103+VLOOKUP(VLOOKUP(AA$1,main!$A$3:$I$102,7,FALSE),main!$K$26:$Q$29,4,FALSE)),1,0)</f>
        <v>1</v>
      </c>
      <c r="AB199">
        <f>IF(AND(VLOOKUP(AB$1,main!$A$3:$H$102,7,FALSE)=main!$G$104,VLOOKUP(AB$1,main!$A$3:$H$102,5,FALSE)-VLOOKUP($A199,main!$A$3:$H$102,6,FALSE)&gt;=main!$D$103+VLOOKUP(VLOOKUP(AB$1,main!$A$3:$I$102,7,FALSE),main!$K$26:$Q$29,4,FALSE)),1,0)</f>
        <v>0</v>
      </c>
      <c r="AC199">
        <f>IF(AND(VLOOKUP(AC$1,main!$A$3:$H$102,7,FALSE)=main!$G$104,VLOOKUP(AC$1,main!$A$3:$H$102,5,FALSE)-VLOOKUP($A199,main!$A$3:$H$102,6,FALSE)&gt;=main!$D$103+VLOOKUP(VLOOKUP(AC$1,main!$A$3:$I$102,7,FALSE),main!$K$26:$Q$29,4,FALSE)),1,0)</f>
        <v>0</v>
      </c>
      <c r="AD199">
        <f>IF(AND(VLOOKUP(AD$1,main!$A$3:$H$102,7,FALSE)=main!$G$104,VLOOKUP(AD$1,main!$A$3:$H$102,5,FALSE)-VLOOKUP($A199,main!$A$3:$H$102,6,FALSE)&gt;=main!$D$103+VLOOKUP(VLOOKUP(AD$1,main!$A$3:$I$102,7,FALSE),main!$K$26:$Q$29,4,FALSE)),1,0)</f>
        <v>1</v>
      </c>
      <c r="AE199">
        <f>IF(AND(VLOOKUP(AE$1,main!$A$3:$H$102,7,FALSE)=main!$G$104,VLOOKUP(AE$1,main!$A$3:$H$102,5,FALSE)-VLOOKUP($A199,main!$A$3:$H$102,6,FALSE)&gt;=main!$D$103+VLOOKUP(VLOOKUP(AE$1,main!$A$3:$I$102,7,FALSE),main!$K$26:$Q$29,4,FALSE)),1,0)</f>
        <v>1</v>
      </c>
      <c r="AF199">
        <f>IF(AND(VLOOKUP(AF$1,main!$A$3:$H$102,7,FALSE)=main!$G$104,VLOOKUP(AF$1,main!$A$3:$H$102,5,FALSE)-VLOOKUP($A199,main!$A$3:$H$102,6,FALSE)&gt;=main!$D$103+VLOOKUP(VLOOKUP(AF$1,main!$A$3:$I$102,7,FALSE),main!$K$26:$Q$29,4,FALSE)),1,0)</f>
        <v>1</v>
      </c>
      <c r="AG199">
        <f>IF(AND(VLOOKUP(AG$1,main!$A$3:$H$102,7,FALSE)=main!$G$104,VLOOKUP(AG$1,main!$A$3:$H$102,5,FALSE)-VLOOKUP($A199,main!$A$3:$H$102,6,FALSE)&gt;=main!$D$103+VLOOKUP(VLOOKUP(AG$1,main!$A$3:$I$102,7,FALSE),main!$K$26:$Q$29,4,FALSE)),1,0)</f>
        <v>0</v>
      </c>
      <c r="AH199">
        <f>IF(AND(VLOOKUP(AH$1,main!$A$3:$H$102,7,FALSE)=main!$G$104,VLOOKUP(AH$1,main!$A$3:$H$102,5,FALSE)-VLOOKUP($A199,main!$A$3:$H$102,6,FALSE)&gt;=main!$D$103+VLOOKUP(VLOOKUP(AH$1,main!$A$3:$I$102,7,FALSE),main!$K$26:$Q$29,4,FALSE)),1,0)</f>
        <v>0</v>
      </c>
      <c r="AI199">
        <f>IF(AND(VLOOKUP(AI$1,main!$A$3:$H$102,7,FALSE)=main!$G$104,VLOOKUP(AI$1,main!$A$3:$H$102,5,FALSE)-VLOOKUP($A199,main!$A$3:$H$102,6,FALSE)&gt;=main!$D$103+VLOOKUP(VLOOKUP(AI$1,main!$A$3:$I$102,7,FALSE),main!$K$26:$Q$29,4,FALSE)),1,0)</f>
        <v>0</v>
      </c>
      <c r="AJ199">
        <f>IF(AND(VLOOKUP(AJ$1,main!$A$3:$H$102,7,FALSE)=main!$G$104,VLOOKUP(AJ$1,main!$A$3:$H$102,5,FALSE)-VLOOKUP($A199,main!$A$3:$H$102,6,FALSE)&gt;=main!$D$103+VLOOKUP(VLOOKUP(AJ$1,main!$A$3:$I$102,7,FALSE),main!$K$26:$Q$29,4,FALSE)),1,0)</f>
        <v>0</v>
      </c>
      <c r="AK199">
        <f>IF(AND(VLOOKUP(AK$1,main!$A$3:$H$102,7,FALSE)=main!$G$104,VLOOKUP(AK$1,main!$A$3:$H$102,5,FALSE)-VLOOKUP($A199,main!$A$3:$H$102,6,FALSE)&gt;=main!$D$103+VLOOKUP(VLOOKUP(AK$1,main!$A$3:$I$102,7,FALSE),main!$K$26:$Q$29,4,FALSE)),1,0)</f>
        <v>0</v>
      </c>
      <c r="AL199">
        <f>IF(AND(VLOOKUP(AL$1,main!$A$3:$H$102,7,FALSE)=main!$G$104,VLOOKUP(AL$1,main!$A$3:$H$102,5,FALSE)-VLOOKUP($A199,main!$A$3:$H$102,6,FALSE)&gt;=main!$D$103+VLOOKUP(VLOOKUP(AL$1,main!$A$3:$I$102,7,FALSE),main!$K$26:$Q$29,4,FALSE)),1,0)</f>
        <v>0</v>
      </c>
      <c r="AM199">
        <f>IF(AND(VLOOKUP(AM$1,main!$A$3:$H$102,7,FALSE)=main!$G$104,VLOOKUP(AM$1,main!$A$3:$H$102,5,FALSE)-VLOOKUP($A199,main!$A$3:$H$102,6,FALSE)&gt;=main!$D$103+VLOOKUP(VLOOKUP(AM$1,main!$A$3:$I$102,7,FALSE),main!$K$26:$Q$29,4,FALSE)),1,0)</f>
        <v>0</v>
      </c>
      <c r="AN199">
        <f>IF(AND(VLOOKUP(AN$1,main!$A$3:$H$102,7,FALSE)=main!$G$104,VLOOKUP(AN$1,main!$A$3:$H$102,5,FALSE)-VLOOKUP($A199,main!$A$3:$H$102,6,FALSE)&gt;=main!$D$103+VLOOKUP(VLOOKUP(AN$1,main!$A$3:$I$102,7,FALSE),main!$K$26:$Q$29,4,FALSE)),1,0)</f>
        <v>0</v>
      </c>
      <c r="AO199">
        <f>IF(AND(VLOOKUP(AO$1,main!$A$3:$H$102,7,FALSE)=main!$G$104,VLOOKUP(AO$1,main!$A$3:$H$102,5,FALSE)-VLOOKUP($A199,main!$A$3:$H$102,6,FALSE)&gt;=main!$D$103+VLOOKUP(VLOOKUP(AO$1,main!$A$3:$I$102,7,FALSE),main!$K$26:$Q$29,4,FALSE)),1,0)</f>
        <v>0</v>
      </c>
      <c r="AP199">
        <f>IF(AND(VLOOKUP(AP$1,main!$A$3:$H$102,7,FALSE)=main!$G$104,VLOOKUP(AP$1,main!$A$3:$H$102,5,FALSE)-VLOOKUP($A199,main!$A$3:$H$102,6,FALSE)&gt;=main!$D$103+VLOOKUP(VLOOKUP(AP$1,main!$A$3:$I$102,7,FALSE),main!$K$26:$Q$29,4,FALSE)),1,0)</f>
        <v>0</v>
      </c>
      <c r="AQ199">
        <f>IF(AND(VLOOKUP(AQ$1,main!$A$3:$H$102,7,FALSE)=main!$G$104,VLOOKUP(AQ$1,main!$A$3:$H$102,5,FALSE)-VLOOKUP($A199,main!$A$3:$H$102,6,FALSE)&gt;=main!$D$103+VLOOKUP(VLOOKUP(AQ$1,main!$A$3:$I$102,7,FALSE),main!$K$26:$Q$29,4,FALSE)),1,0)</f>
        <v>0</v>
      </c>
      <c r="AR199">
        <f>IF(AND(VLOOKUP(AR$1,main!$A$3:$H$102,7,FALSE)=main!$G$104,VLOOKUP(AR$1,main!$A$3:$H$102,5,FALSE)-VLOOKUP($A199,main!$A$3:$H$102,6,FALSE)&gt;=main!$D$103+VLOOKUP(VLOOKUP(AR$1,main!$A$3:$I$102,7,FALSE),main!$K$26:$Q$29,4,FALSE)),1,0)</f>
        <v>0</v>
      </c>
      <c r="AS199">
        <f>IF(AND(VLOOKUP(AS$1,main!$A$3:$H$102,7,FALSE)=main!$G$104,VLOOKUP(AS$1,main!$A$3:$H$102,5,FALSE)-VLOOKUP($A199,main!$A$3:$H$102,6,FALSE)&gt;=main!$D$103+VLOOKUP(VLOOKUP(AS$1,main!$A$3:$I$102,7,FALSE),main!$K$26:$Q$29,4,FALSE)),1,0)</f>
        <v>0</v>
      </c>
      <c r="AT199">
        <f>IF(AND(VLOOKUP(AT$1,main!$A$3:$H$102,7,FALSE)=main!$G$104,VLOOKUP(AT$1,main!$A$3:$H$102,5,FALSE)-VLOOKUP($A199,main!$A$3:$H$102,6,FALSE)&gt;=main!$D$103+VLOOKUP(VLOOKUP(AT$1,main!$A$3:$I$102,7,FALSE),main!$K$26:$Q$29,4,FALSE)),1,0)</f>
        <v>0</v>
      </c>
      <c r="AU199">
        <f>IF(AND(VLOOKUP(AU$1,main!$A$3:$H$102,7,FALSE)=main!$G$104,VLOOKUP(AU$1,main!$A$3:$H$102,5,FALSE)-VLOOKUP($A199,main!$A$3:$H$102,6,FALSE)&gt;=main!$D$103+VLOOKUP(VLOOKUP(AU$1,main!$A$3:$I$102,7,FALSE),main!$K$26:$Q$29,4,FALSE)),1,0)</f>
        <v>0</v>
      </c>
      <c r="AV199">
        <f>IF(AND(VLOOKUP(AV$1,main!$A$3:$H$102,7,FALSE)=main!$G$104,VLOOKUP(AV$1,main!$A$3:$H$102,5,FALSE)-VLOOKUP($A199,main!$A$3:$H$102,6,FALSE)&gt;=main!$D$103+VLOOKUP(VLOOKUP(AV$1,main!$A$3:$I$102,7,FALSE),main!$K$26:$Q$29,4,FALSE)),1,0)</f>
        <v>0</v>
      </c>
      <c r="AW199">
        <f>IF(AND(VLOOKUP(AW$1,main!$A$3:$H$102,7,FALSE)=main!$G$104,VLOOKUP(AW$1,main!$A$3:$H$102,5,FALSE)-VLOOKUP($A199,main!$A$3:$H$102,6,FALSE)&gt;=main!$D$103+VLOOKUP(VLOOKUP(AW$1,main!$A$3:$I$102,7,FALSE),main!$K$26:$Q$29,4,FALSE)),1,0)</f>
        <v>0</v>
      </c>
      <c r="AX199">
        <f>IF(AND(VLOOKUP(AX$1,main!$A$3:$H$102,7,FALSE)=main!$G$104,VLOOKUP(AX$1,main!$A$3:$H$102,5,FALSE)-VLOOKUP($A199,main!$A$3:$H$102,6,FALSE)&gt;=main!$D$103+VLOOKUP(VLOOKUP(AX$1,main!$A$3:$I$102,7,FALSE),main!$K$26:$Q$29,4,FALSE)),1,0)</f>
        <v>0</v>
      </c>
      <c r="AY199">
        <f>IF(AND(VLOOKUP(AY$1,main!$A$3:$H$102,7,FALSE)=main!$G$104,VLOOKUP(AY$1,main!$A$3:$H$102,5,FALSE)-VLOOKUP($A199,main!$A$3:$H$102,6,FALSE)&gt;=main!$D$103+VLOOKUP(VLOOKUP(AY$1,main!$A$3:$I$102,7,FALSE),main!$K$26:$Q$29,4,FALSE)),1,0)</f>
        <v>0</v>
      </c>
      <c r="AZ199">
        <f>IF(AND(VLOOKUP(AZ$1,main!$A$3:$H$102,7,FALSE)=main!$G$104,VLOOKUP(AZ$1,main!$A$3:$H$102,5,FALSE)-VLOOKUP($A199,main!$A$3:$H$102,6,FALSE)&gt;=main!$D$103+VLOOKUP(VLOOKUP(AZ$1,main!$A$3:$I$102,7,FALSE),main!$K$26:$Q$29,4,FALSE)),1,0)</f>
        <v>0</v>
      </c>
      <c r="BA199">
        <f>IF(AND(VLOOKUP(BA$1,main!$A$3:$H$102,7,FALSE)=main!$G$104,VLOOKUP(BA$1,main!$A$3:$H$102,5,FALSE)-VLOOKUP($A199,main!$A$3:$H$102,6,FALSE)&gt;=main!$D$103+VLOOKUP(VLOOKUP(BA$1,main!$A$3:$I$102,7,FALSE),main!$K$26:$Q$29,4,FALSE)),1,0)</f>
        <v>0</v>
      </c>
      <c r="BB199">
        <f>IF(AND(VLOOKUP(BB$1,main!$A$3:$H$102,7,FALSE)=main!$G$104,VLOOKUP(BB$1,main!$A$3:$H$102,5,FALSE)-VLOOKUP($A199,main!$A$3:$H$102,6,FALSE)&gt;=main!$D$103+VLOOKUP(VLOOKUP(BB$1,main!$A$3:$I$102,7,FALSE),main!$K$26:$Q$29,4,FALSE)),1,0)</f>
        <v>0</v>
      </c>
      <c r="BC199">
        <f>IF(AND(VLOOKUP(BC$1,main!$A$3:$H$102,7,FALSE)=main!$G$104,VLOOKUP(BC$1,main!$A$3:$H$102,5,FALSE)-VLOOKUP($A199,main!$A$3:$H$102,6,FALSE)&gt;=main!$D$103+VLOOKUP(VLOOKUP(BC$1,main!$A$3:$I$102,7,FALSE),main!$K$26:$Q$29,4,FALSE)),1,0)</f>
        <v>0</v>
      </c>
      <c r="BD199">
        <f>IF(AND(VLOOKUP(BD$1,main!$A$3:$H$102,7,FALSE)=main!$G$104,VLOOKUP(BD$1,main!$A$3:$H$102,5,FALSE)-VLOOKUP($A199,main!$A$3:$H$102,6,FALSE)&gt;=main!$D$103+VLOOKUP(VLOOKUP(BD$1,main!$A$3:$I$102,7,FALSE),main!$K$26:$Q$29,4,FALSE)),1,0)</f>
        <v>0</v>
      </c>
      <c r="BE199">
        <f>IF(AND(VLOOKUP(BE$1,main!$A$3:$H$102,7,FALSE)=main!$G$104,VLOOKUP(BE$1,main!$A$3:$H$102,5,FALSE)-VLOOKUP($A199,main!$A$3:$H$102,6,FALSE)&gt;=main!$D$103+VLOOKUP(VLOOKUP(BE$1,main!$A$3:$I$102,7,FALSE),main!$K$26:$Q$29,4,FALSE)),1,0)</f>
        <v>0</v>
      </c>
      <c r="BF199">
        <f>IF(AND(VLOOKUP(BF$1,main!$A$3:$H$102,7,FALSE)=main!$G$104,VLOOKUP(BF$1,main!$A$3:$H$102,5,FALSE)-VLOOKUP($A199,main!$A$3:$H$102,6,FALSE)&gt;=main!$D$103+VLOOKUP(VLOOKUP(BF$1,main!$A$3:$I$102,7,FALSE),main!$K$26:$Q$29,4,FALSE)),1,0)</f>
        <v>0</v>
      </c>
      <c r="BG199">
        <f>IF(AND(VLOOKUP(BG$1,main!$A$3:$H$102,7,FALSE)=main!$G$104,VLOOKUP(BG$1,main!$A$3:$H$102,5,FALSE)-VLOOKUP($A199,main!$A$3:$H$102,6,FALSE)&gt;=main!$D$103+VLOOKUP(VLOOKUP(BG$1,main!$A$3:$I$102,7,FALSE),main!$K$26:$Q$29,4,FALSE)),1,0)</f>
        <v>0</v>
      </c>
      <c r="BH199">
        <f>IF(AND(VLOOKUP(BH$1,main!$A$3:$H$102,7,FALSE)=main!$G$104,VLOOKUP(BH$1,main!$A$3:$H$102,5,FALSE)-VLOOKUP($A199,main!$A$3:$H$102,6,FALSE)&gt;=main!$D$103+VLOOKUP(VLOOKUP(BH$1,main!$A$3:$I$102,7,FALSE),main!$K$26:$Q$29,4,FALSE)),1,0)</f>
        <v>0</v>
      </c>
      <c r="BI199">
        <f>IF(AND(VLOOKUP(BI$1,main!$A$3:$H$102,7,FALSE)=main!$G$104,VLOOKUP(BI$1,main!$A$3:$H$102,5,FALSE)-VLOOKUP($A199,main!$A$3:$H$102,6,FALSE)&gt;=main!$D$103+VLOOKUP(VLOOKUP(BI$1,main!$A$3:$I$102,7,FALSE),main!$K$26:$Q$29,4,FALSE)),1,0)</f>
        <v>0</v>
      </c>
      <c r="BJ199">
        <f>IF(AND(VLOOKUP(BJ$1,main!$A$3:$H$102,7,FALSE)=main!$G$104,VLOOKUP(BJ$1,main!$A$3:$H$102,5,FALSE)-VLOOKUP($A199,main!$A$3:$H$102,6,FALSE)&gt;=main!$D$103+VLOOKUP(VLOOKUP(BJ$1,main!$A$3:$I$102,7,FALSE),main!$K$26:$Q$29,4,FALSE)),1,0)</f>
        <v>0</v>
      </c>
      <c r="BK199">
        <f>IF(AND(VLOOKUP(BK$1,main!$A$3:$H$102,7,FALSE)=main!$G$104,VLOOKUP(BK$1,main!$A$3:$H$102,5,FALSE)-VLOOKUP($A199,main!$A$3:$H$102,6,FALSE)&gt;=main!$D$103+VLOOKUP(VLOOKUP(BK$1,main!$A$3:$I$102,7,FALSE),main!$K$26:$Q$29,4,FALSE)),1,0)</f>
        <v>0</v>
      </c>
      <c r="BL199">
        <f>IF(AND(VLOOKUP(BL$1,main!$A$3:$H$102,7,FALSE)=main!$G$104,VLOOKUP(BL$1,main!$A$3:$H$102,5,FALSE)-VLOOKUP($A199,main!$A$3:$H$102,6,FALSE)&gt;=main!$D$103+VLOOKUP(VLOOKUP(BL$1,main!$A$3:$I$102,7,FALSE),main!$K$26:$Q$29,4,FALSE)),1,0)</f>
        <v>0</v>
      </c>
      <c r="BM199">
        <f>IF(AND(VLOOKUP(BM$1,main!$A$3:$H$102,7,FALSE)=main!$G$104,VLOOKUP(BM$1,main!$A$3:$H$102,5,FALSE)-VLOOKUP($A199,main!$A$3:$H$102,6,FALSE)&gt;=main!$D$103+VLOOKUP(VLOOKUP(BM$1,main!$A$3:$I$102,7,FALSE),main!$K$26:$Q$29,4,FALSE)),1,0)</f>
        <v>0</v>
      </c>
      <c r="BN199">
        <f>IF(AND(VLOOKUP(BN$1,main!$A$3:$H$102,7,FALSE)=main!$G$104,VLOOKUP(BN$1,main!$A$3:$H$102,5,FALSE)-VLOOKUP($A199,main!$A$3:$H$102,6,FALSE)&gt;=main!$D$103+VLOOKUP(VLOOKUP(BN$1,main!$A$3:$I$102,7,FALSE),main!$K$26:$Q$29,4,FALSE)),1,0)</f>
        <v>0</v>
      </c>
      <c r="BO199">
        <f>IF(AND(VLOOKUP(BO$1,main!$A$3:$H$102,7,FALSE)=main!$G$104,VLOOKUP(BO$1,main!$A$3:$H$102,5,FALSE)-VLOOKUP($A199,main!$A$3:$H$102,6,FALSE)&gt;=main!$D$103+VLOOKUP(VLOOKUP(BO$1,main!$A$3:$I$102,7,FALSE),main!$K$26:$Q$29,4,FALSE)),1,0)</f>
        <v>0</v>
      </c>
      <c r="BP199">
        <f>IF(AND(VLOOKUP(BP$1,main!$A$3:$H$102,7,FALSE)=main!$G$104,VLOOKUP(BP$1,main!$A$3:$H$102,5,FALSE)-VLOOKUP($A199,main!$A$3:$H$102,6,FALSE)&gt;=main!$D$103+VLOOKUP(VLOOKUP(BP$1,main!$A$3:$I$102,7,FALSE),main!$K$26:$Q$29,4,FALSE)),1,0)</f>
        <v>0</v>
      </c>
      <c r="BQ199">
        <f>IF(AND(VLOOKUP(BQ$1,main!$A$3:$H$102,7,FALSE)=main!$G$104,VLOOKUP(BQ$1,main!$A$3:$H$102,5,FALSE)-VLOOKUP($A199,main!$A$3:$H$102,6,FALSE)&gt;=main!$D$103+VLOOKUP(VLOOKUP(BQ$1,main!$A$3:$I$102,7,FALSE),main!$K$26:$Q$29,4,FALSE)),1,0)</f>
        <v>0</v>
      </c>
      <c r="BR199">
        <f>IF(AND(VLOOKUP(BR$1,main!$A$3:$H$102,7,FALSE)=main!$G$104,VLOOKUP(BR$1,main!$A$3:$H$102,5,FALSE)-VLOOKUP($A199,main!$A$3:$H$102,6,FALSE)&gt;=main!$D$103+VLOOKUP(VLOOKUP(BR$1,main!$A$3:$I$102,7,FALSE),main!$K$26:$Q$29,4,FALSE)),1,0)</f>
        <v>0</v>
      </c>
      <c r="BS199">
        <f>IF(AND(VLOOKUP(BS$1,main!$A$3:$H$102,7,FALSE)=main!$G$104,VLOOKUP(BS$1,main!$A$3:$H$102,5,FALSE)-VLOOKUP($A199,main!$A$3:$H$102,6,FALSE)&gt;=main!$D$103+VLOOKUP(VLOOKUP(BS$1,main!$A$3:$I$102,7,FALSE),main!$K$26:$Q$29,4,FALSE)),1,0)</f>
        <v>0</v>
      </c>
      <c r="BT199">
        <f>IF(AND(VLOOKUP(BT$1,main!$A$3:$H$102,7,FALSE)=main!$G$104,VLOOKUP(BT$1,main!$A$3:$H$102,5,FALSE)-VLOOKUP($A199,main!$A$3:$H$102,6,FALSE)&gt;=main!$D$103+VLOOKUP(VLOOKUP(BT$1,main!$A$3:$I$102,7,FALSE),main!$K$26:$Q$29,4,FALSE)),1,0)</f>
        <v>0</v>
      </c>
      <c r="BU199">
        <f>IF(AND(VLOOKUP(BU$1,main!$A$3:$H$102,7,FALSE)=main!$G$104,VLOOKUP(BU$1,main!$A$3:$H$102,5,FALSE)-VLOOKUP($A199,main!$A$3:$H$102,6,FALSE)&gt;=main!$D$103+VLOOKUP(VLOOKUP(BU$1,main!$A$3:$I$102,7,FALSE),main!$K$26:$Q$29,4,FALSE)),1,0)</f>
        <v>0</v>
      </c>
      <c r="BV199">
        <f>IF(AND(VLOOKUP(BV$1,main!$A$3:$H$102,7,FALSE)=main!$G$104,VLOOKUP(BV$1,main!$A$3:$H$102,5,FALSE)-VLOOKUP($A199,main!$A$3:$H$102,6,FALSE)&gt;=main!$D$103+VLOOKUP(VLOOKUP(BV$1,main!$A$3:$I$102,7,FALSE),main!$K$26:$Q$29,4,FALSE)),1,0)</f>
        <v>0</v>
      </c>
      <c r="BW199">
        <f>IF(AND(VLOOKUP(BW$1,main!$A$3:$H$102,7,FALSE)=main!$G$104,VLOOKUP(BW$1,main!$A$3:$H$102,5,FALSE)-VLOOKUP($A199,main!$A$3:$H$102,6,FALSE)&gt;=main!$D$103+VLOOKUP(VLOOKUP(BW$1,main!$A$3:$I$102,7,FALSE),main!$K$26:$Q$29,4,FALSE)),1,0)</f>
        <v>0</v>
      </c>
      <c r="BX199">
        <f>IF(AND(VLOOKUP(BX$1,main!$A$3:$H$102,7,FALSE)=main!$G$104,VLOOKUP(BX$1,main!$A$3:$H$102,5,FALSE)-VLOOKUP($A199,main!$A$3:$H$102,6,FALSE)&gt;=main!$D$103+VLOOKUP(VLOOKUP(BX$1,main!$A$3:$I$102,7,FALSE),main!$K$26:$Q$29,4,FALSE)),1,0)</f>
        <v>0</v>
      </c>
      <c r="BY199">
        <f>IF(AND(VLOOKUP(BY$1,main!$A$3:$H$102,7,FALSE)=main!$G$104,VLOOKUP(BY$1,main!$A$3:$H$102,5,FALSE)-VLOOKUP($A199,main!$A$3:$H$102,6,FALSE)&gt;=main!$D$103+VLOOKUP(VLOOKUP(BY$1,main!$A$3:$I$102,7,FALSE),main!$K$26:$Q$29,4,FALSE)),1,0)</f>
        <v>0</v>
      </c>
      <c r="BZ199">
        <f>IF(AND(VLOOKUP(BZ$1,main!$A$3:$H$102,7,FALSE)=main!$G$104,VLOOKUP(BZ$1,main!$A$3:$H$102,5,FALSE)-VLOOKUP($A199,main!$A$3:$H$102,6,FALSE)&gt;=main!$D$103+VLOOKUP(VLOOKUP(BZ$1,main!$A$3:$I$102,7,FALSE),main!$K$26:$Q$29,4,FALSE)),1,0)</f>
        <v>0</v>
      </c>
      <c r="CA199">
        <f>IF(AND(VLOOKUP(CA$1,main!$A$3:$H$102,7,FALSE)=main!$G$104,VLOOKUP(CA$1,main!$A$3:$H$102,5,FALSE)-VLOOKUP($A199,main!$A$3:$H$102,6,FALSE)&gt;=main!$D$103+VLOOKUP(VLOOKUP(CA$1,main!$A$3:$I$102,7,FALSE),main!$K$26:$Q$29,4,FALSE)),1,0)</f>
        <v>0</v>
      </c>
      <c r="CB199">
        <f>IF(AND(VLOOKUP(CB$1,main!$A$3:$H$102,7,FALSE)=main!$G$104,VLOOKUP(CB$1,main!$A$3:$H$102,5,FALSE)-VLOOKUP($A199,main!$A$3:$H$102,6,FALSE)&gt;=main!$D$103+VLOOKUP(VLOOKUP(CB$1,main!$A$3:$I$102,7,FALSE),main!$K$26:$Q$29,4,FALSE)),1,0)</f>
        <v>0</v>
      </c>
      <c r="CC199">
        <f>IF(AND(VLOOKUP(CC$1,main!$A$3:$H$102,7,FALSE)=main!$G$104,VLOOKUP(CC$1,main!$A$3:$H$102,5,FALSE)-VLOOKUP($A199,main!$A$3:$H$102,6,FALSE)&gt;=main!$D$103+VLOOKUP(VLOOKUP(CC$1,main!$A$3:$I$102,7,FALSE),main!$K$26:$Q$29,4,FALSE)),1,0)</f>
        <v>0</v>
      </c>
      <c r="CD199">
        <f>IF(AND(VLOOKUP(CD$1,main!$A$3:$H$102,7,FALSE)=main!$G$104,VLOOKUP(CD$1,main!$A$3:$H$102,5,FALSE)-VLOOKUP($A199,main!$A$3:$H$102,6,FALSE)&gt;=main!$D$103+VLOOKUP(VLOOKUP(CD$1,main!$A$3:$I$102,7,FALSE),main!$K$26:$Q$29,4,FALSE)),1,0)</f>
        <v>0</v>
      </c>
      <c r="CE199">
        <f>IF(AND(VLOOKUP(CE$1,main!$A$3:$H$102,7,FALSE)=main!$G$104,VLOOKUP(CE$1,main!$A$3:$H$102,5,FALSE)-VLOOKUP($A199,main!$A$3:$H$102,6,FALSE)&gt;=main!$D$103+VLOOKUP(VLOOKUP(CE$1,main!$A$3:$I$102,7,FALSE),main!$K$26:$Q$29,4,FALSE)),1,0)</f>
        <v>0</v>
      </c>
      <c r="CF199">
        <f>IF(AND(VLOOKUP(CF$1,main!$A$3:$H$102,7,FALSE)=main!$G$104,VLOOKUP(CF$1,main!$A$3:$H$102,5,FALSE)-VLOOKUP($A199,main!$A$3:$H$102,6,FALSE)&gt;=main!$D$103+VLOOKUP(VLOOKUP(CF$1,main!$A$3:$I$102,7,FALSE),main!$K$26:$Q$29,4,FALSE)),1,0)</f>
        <v>0</v>
      </c>
      <c r="CG199">
        <f>IF(AND(VLOOKUP(CG$1,main!$A$3:$H$102,7,FALSE)=main!$G$104,VLOOKUP(CG$1,main!$A$3:$H$102,5,FALSE)-VLOOKUP($A199,main!$A$3:$H$102,6,FALSE)&gt;=main!$D$103+VLOOKUP(VLOOKUP(CG$1,main!$A$3:$I$102,7,FALSE),main!$K$26:$Q$29,4,FALSE)),1,0)</f>
        <v>0</v>
      </c>
      <c r="CH199">
        <f>IF(AND(VLOOKUP(CH$1,main!$A$3:$H$102,7,FALSE)=main!$G$104,VLOOKUP(CH$1,main!$A$3:$H$102,5,FALSE)-VLOOKUP($A199,main!$A$3:$H$102,6,FALSE)&gt;=main!$D$103+VLOOKUP(VLOOKUP(CH$1,main!$A$3:$I$102,7,FALSE),main!$K$26:$Q$29,4,FALSE)),1,0)</f>
        <v>0</v>
      </c>
      <c r="CI199">
        <f>IF(AND(VLOOKUP(CI$1,main!$A$3:$H$102,7,FALSE)=main!$G$104,VLOOKUP(CI$1,main!$A$3:$H$102,5,FALSE)-VLOOKUP($A199,main!$A$3:$H$102,6,FALSE)&gt;=main!$D$103+VLOOKUP(VLOOKUP(CI$1,main!$A$3:$I$102,7,FALSE),main!$K$26:$Q$29,4,FALSE)),1,0)</f>
        <v>0</v>
      </c>
      <c r="CJ199">
        <f>IF(AND(VLOOKUP(CJ$1,main!$A$3:$H$102,7,FALSE)=main!$G$104,VLOOKUP(CJ$1,main!$A$3:$H$102,5,FALSE)-VLOOKUP($A199,main!$A$3:$H$102,6,FALSE)&gt;=main!$D$103+VLOOKUP(VLOOKUP(CJ$1,main!$A$3:$I$102,7,FALSE),main!$K$26:$Q$29,4,FALSE)),1,0)</f>
        <v>0</v>
      </c>
      <c r="CK199">
        <f>IF(AND(VLOOKUP(CK$1,main!$A$3:$H$102,7,FALSE)=main!$G$104,VLOOKUP(CK$1,main!$A$3:$H$102,5,FALSE)-VLOOKUP($A199,main!$A$3:$H$102,6,FALSE)&gt;=main!$D$103+VLOOKUP(VLOOKUP(CK$1,main!$A$3:$I$102,7,FALSE),main!$K$26:$Q$29,4,FALSE)),1,0)</f>
        <v>0</v>
      </c>
      <c r="CL199">
        <f>IF(AND(VLOOKUP(CL$1,main!$A$3:$H$102,7,FALSE)=main!$G$104,VLOOKUP(CL$1,main!$A$3:$H$102,5,FALSE)-VLOOKUP($A199,main!$A$3:$H$102,6,FALSE)&gt;=main!$D$103+VLOOKUP(VLOOKUP(CL$1,main!$A$3:$I$102,7,FALSE),main!$K$26:$Q$29,4,FALSE)),1,0)</f>
        <v>0</v>
      </c>
      <c r="CM199">
        <f>IF(AND(VLOOKUP(CM$1,main!$A$3:$H$102,7,FALSE)=main!$G$104,VLOOKUP(CM$1,main!$A$3:$H$102,5,FALSE)-VLOOKUP($A199,main!$A$3:$H$102,6,FALSE)&gt;=main!$D$103+VLOOKUP(VLOOKUP(CM$1,main!$A$3:$I$102,7,FALSE),main!$K$26:$Q$29,4,FALSE)),1,0)</f>
        <v>0</v>
      </c>
      <c r="CN199">
        <f>IF(AND(VLOOKUP(CN$1,main!$A$3:$H$102,7,FALSE)=main!$G$104,VLOOKUP(CN$1,main!$A$3:$H$102,5,FALSE)-VLOOKUP($A199,main!$A$3:$H$102,6,FALSE)&gt;=main!$D$103+VLOOKUP(VLOOKUP(CN$1,main!$A$3:$I$102,7,FALSE),main!$K$26:$Q$29,4,FALSE)),1,0)</f>
        <v>0</v>
      </c>
      <c r="CO199">
        <f>IF(AND(VLOOKUP(CO$1,main!$A$3:$H$102,7,FALSE)=main!$G$104,VLOOKUP(CO$1,main!$A$3:$H$102,5,FALSE)-VLOOKUP($A199,main!$A$3:$H$102,6,FALSE)&gt;=main!$D$103+VLOOKUP(VLOOKUP(CO$1,main!$A$3:$I$102,7,FALSE),main!$K$26:$Q$29,4,FALSE)),1,0)</f>
        <v>0</v>
      </c>
      <c r="CP199">
        <f>IF(AND(VLOOKUP(CP$1,main!$A$3:$H$102,7,FALSE)=main!$G$104,VLOOKUP(CP$1,main!$A$3:$H$102,5,FALSE)-VLOOKUP($A199,main!$A$3:$H$102,6,FALSE)&gt;=main!$D$103+VLOOKUP(VLOOKUP(CP$1,main!$A$3:$I$102,7,FALSE),main!$K$26:$Q$29,4,FALSE)),1,0)</f>
        <v>0</v>
      </c>
      <c r="CQ199">
        <f>IF(AND(VLOOKUP(CQ$1,main!$A$3:$H$102,7,FALSE)=main!$G$104,VLOOKUP(CQ$1,main!$A$3:$H$102,5,FALSE)-VLOOKUP($A199,main!$A$3:$H$102,6,FALSE)&gt;=main!$D$103+VLOOKUP(VLOOKUP(CQ$1,main!$A$3:$I$102,7,FALSE),main!$K$26:$Q$29,4,FALSE)),1,0)</f>
        <v>0</v>
      </c>
      <c r="CR199">
        <f>IF(AND(VLOOKUP(CR$1,main!$A$3:$H$102,7,FALSE)=main!$G$104,VLOOKUP(CR$1,main!$A$3:$H$102,5,FALSE)-VLOOKUP($A199,main!$A$3:$H$102,6,FALSE)&gt;=main!$D$103+VLOOKUP(VLOOKUP(CR$1,main!$A$3:$I$102,7,FALSE),main!$K$26:$Q$29,4,FALSE)),1,0)</f>
        <v>0</v>
      </c>
      <c r="CS199">
        <f>IF(AND(VLOOKUP(CS$1,main!$A$3:$H$102,7,FALSE)=main!$G$104,VLOOKUP(CS$1,main!$A$3:$H$102,5,FALSE)-VLOOKUP($A199,main!$A$3:$H$102,6,FALSE)&gt;=main!$D$103+VLOOKUP(VLOOKUP(CS$1,main!$A$3:$I$102,7,FALSE),main!$K$26:$Q$29,4,FALSE)),1,0)</f>
        <v>0</v>
      </c>
      <c r="CT199">
        <f>IF(AND(VLOOKUP(CT$1,main!$A$3:$H$102,7,FALSE)=main!$G$104,VLOOKUP(CT$1,main!$A$3:$H$102,5,FALSE)-VLOOKUP($A199,main!$A$3:$H$102,6,FALSE)&gt;=main!$D$103+VLOOKUP(VLOOKUP(CT$1,main!$A$3:$I$102,7,FALSE),main!$K$26:$Q$29,4,FALSE)),1,0)</f>
        <v>0</v>
      </c>
      <c r="CU199">
        <f>IF(AND(VLOOKUP(CU$1,main!$A$3:$H$102,7,FALSE)=main!$G$104,VLOOKUP(CU$1,main!$A$3:$H$102,5,FALSE)-VLOOKUP($A199,main!$A$3:$H$102,6,FALSE)&gt;=main!$D$103+VLOOKUP(VLOOKUP(CU$1,main!$A$3:$I$102,7,FALSE),main!$K$26:$Q$29,4,FALSE)),1,0)</f>
        <v>0</v>
      </c>
      <c r="CV199">
        <f>IF(AND(VLOOKUP(CV$1,main!$A$3:$H$102,7,FALSE)=main!$G$104,VLOOKUP(CV$1,main!$A$3:$H$102,5,FALSE)-VLOOKUP($A199,main!$A$3:$H$102,6,FALSE)&gt;=main!$D$103+VLOOKUP(VLOOKUP(CV$1,main!$A$3:$I$102,7,FALSE),main!$K$26:$Q$29,4,FALSE)),1,0)</f>
        <v>0</v>
      </c>
      <c r="CW199">
        <f>IF(AND(VLOOKUP(CW$1,main!$A$3:$H$102,7,FALSE)=main!$G$104,VLOOKUP(CW$1,main!$A$3:$H$102,5,FALSE)-VLOOKUP($A199,main!$A$3:$H$102,6,FALSE)&gt;=main!$D$103+VLOOKUP(VLOOKUP(CW$1,main!$A$3:$I$102,7,FALSE),main!$K$26:$Q$29,4,FALSE)),1,0)</f>
        <v>0</v>
      </c>
      <c r="CX199">
        <f>IF(AND(VLOOKUP(CX$1,main!$A$3:$H$102,7,FALSE)=main!$G$104,VLOOKUP(CX$1,main!$A$3:$H$102,5,FALSE)-VLOOKUP($A199,main!$A$3:$H$102,6,FALSE)&gt;=main!$D$103+VLOOKUP(VLOOKUP(CX$1,main!$A$3:$I$102,7,FALSE),main!$K$26:$Q$29,4,FALSE)),1,0)</f>
        <v>0</v>
      </c>
    </row>
    <row r="200" spans="1:102" x14ac:dyDescent="0.25">
      <c r="A200" s="1">
        <v>97</v>
      </c>
      <c r="B200">
        <v>0</v>
      </c>
      <c r="C200">
        <f>IF(AND(VLOOKUP(C$1,main!$A$3:$H$102,7,FALSE)=main!$G$104,VLOOKUP(C$1,main!$A$3:$H$102,5,FALSE)-VLOOKUP($A200,main!$A$3:$H$102,6,FALSE)&gt;=main!$D$103+VLOOKUP(VLOOKUP(C$1,main!$A$3:$I$102,7,FALSE),main!$K$26:$Q$29,4,FALSE)),1,0)</f>
        <v>0</v>
      </c>
      <c r="D200">
        <f>IF(AND(VLOOKUP(D$1,main!$A$3:$H$102,7,FALSE)=main!$G$104,VLOOKUP(D$1,main!$A$3:$H$102,5,FALSE)-VLOOKUP($A200,main!$A$3:$H$102,6,FALSE)&gt;=main!$D$103+VLOOKUP(VLOOKUP(D$1,main!$A$3:$I$102,7,FALSE),main!$K$26:$Q$29,4,FALSE)),1,0)</f>
        <v>0</v>
      </c>
      <c r="E200">
        <f>IF(AND(VLOOKUP(E$1,main!$A$3:$H$102,7,FALSE)=main!$G$104,VLOOKUP(E$1,main!$A$3:$H$102,5,FALSE)-VLOOKUP($A200,main!$A$3:$H$102,6,FALSE)&gt;=main!$D$103+VLOOKUP(VLOOKUP(E$1,main!$A$3:$I$102,7,FALSE),main!$K$26:$Q$29,4,FALSE)),1,0)</f>
        <v>1</v>
      </c>
      <c r="F200">
        <f>IF(AND(VLOOKUP(F$1,main!$A$3:$H$102,7,FALSE)=main!$G$104,VLOOKUP(F$1,main!$A$3:$H$102,5,FALSE)-VLOOKUP($A200,main!$A$3:$H$102,6,FALSE)&gt;=main!$D$103+VLOOKUP(VLOOKUP(F$1,main!$A$3:$I$102,7,FALSE),main!$K$26:$Q$29,4,FALSE)),1,0)</f>
        <v>1</v>
      </c>
      <c r="G200">
        <f>IF(AND(VLOOKUP(G$1,main!$A$3:$H$102,7,FALSE)=main!$G$104,VLOOKUP(G$1,main!$A$3:$H$102,5,FALSE)-VLOOKUP($A200,main!$A$3:$H$102,6,FALSE)&gt;=main!$D$103+VLOOKUP(VLOOKUP(G$1,main!$A$3:$I$102,7,FALSE),main!$K$26:$Q$29,4,FALSE)),1,0)</f>
        <v>1</v>
      </c>
      <c r="H200">
        <f>IF(AND(VLOOKUP(H$1,main!$A$3:$H$102,7,FALSE)=main!$G$104,VLOOKUP(H$1,main!$A$3:$H$102,5,FALSE)-VLOOKUP($A200,main!$A$3:$H$102,6,FALSE)&gt;=main!$D$103+VLOOKUP(VLOOKUP(H$1,main!$A$3:$I$102,7,FALSE),main!$K$26:$Q$29,4,FALSE)),1,0)</f>
        <v>1</v>
      </c>
      <c r="I200">
        <f>IF(AND(VLOOKUP(I$1,main!$A$3:$H$102,7,FALSE)=main!$G$104,VLOOKUP(I$1,main!$A$3:$H$102,5,FALSE)-VLOOKUP($A200,main!$A$3:$H$102,6,FALSE)&gt;=main!$D$103+VLOOKUP(VLOOKUP(I$1,main!$A$3:$I$102,7,FALSE),main!$K$26:$Q$29,4,FALSE)),1,0)</f>
        <v>1</v>
      </c>
      <c r="J200">
        <f>IF(AND(VLOOKUP(J$1,main!$A$3:$H$102,7,FALSE)=main!$G$104,VLOOKUP(J$1,main!$A$3:$H$102,5,FALSE)-VLOOKUP($A200,main!$A$3:$H$102,6,FALSE)&gt;=main!$D$103+VLOOKUP(VLOOKUP(J$1,main!$A$3:$I$102,7,FALSE),main!$K$26:$Q$29,4,FALSE)),1,0)</f>
        <v>1</v>
      </c>
      <c r="K200">
        <f>IF(AND(VLOOKUP(K$1,main!$A$3:$H$102,7,FALSE)=main!$G$104,VLOOKUP(K$1,main!$A$3:$H$102,5,FALSE)-VLOOKUP($A200,main!$A$3:$H$102,6,FALSE)&gt;=main!$D$103+VLOOKUP(VLOOKUP(K$1,main!$A$3:$I$102,7,FALSE),main!$K$26:$Q$29,4,FALSE)),1,0)</f>
        <v>1</v>
      </c>
      <c r="L200">
        <f>IF(AND(VLOOKUP(L$1,main!$A$3:$H$102,7,FALSE)=main!$G$104,VLOOKUP(L$1,main!$A$3:$H$102,5,FALSE)-VLOOKUP($A200,main!$A$3:$H$102,6,FALSE)&gt;=main!$D$103+VLOOKUP(VLOOKUP(L$1,main!$A$3:$I$102,7,FALSE),main!$K$26:$Q$29,4,FALSE)),1,0)</f>
        <v>1</v>
      </c>
      <c r="M200">
        <f>IF(AND(VLOOKUP(M$1,main!$A$3:$H$102,7,FALSE)=main!$G$104,VLOOKUP(M$1,main!$A$3:$H$102,5,FALSE)-VLOOKUP($A200,main!$A$3:$H$102,6,FALSE)&gt;=main!$D$103+VLOOKUP(VLOOKUP(M$1,main!$A$3:$I$102,7,FALSE),main!$K$26:$Q$29,4,FALSE)),1,0)</f>
        <v>0</v>
      </c>
      <c r="N200">
        <f>IF(AND(VLOOKUP(N$1,main!$A$3:$H$102,7,FALSE)=main!$G$104,VLOOKUP(N$1,main!$A$3:$H$102,5,FALSE)-VLOOKUP($A200,main!$A$3:$H$102,6,FALSE)&gt;=main!$D$103+VLOOKUP(VLOOKUP(N$1,main!$A$3:$I$102,7,FALSE),main!$K$26:$Q$29,4,FALSE)),1,0)</f>
        <v>0</v>
      </c>
      <c r="O200">
        <f>IF(AND(VLOOKUP(O$1,main!$A$3:$H$102,7,FALSE)=main!$G$104,VLOOKUP(O$1,main!$A$3:$H$102,5,FALSE)-VLOOKUP($A200,main!$A$3:$H$102,6,FALSE)&gt;=main!$D$103+VLOOKUP(VLOOKUP(O$1,main!$A$3:$I$102,7,FALSE),main!$K$26:$Q$29,4,FALSE)),1,0)</f>
        <v>0</v>
      </c>
      <c r="P200">
        <f>IF(AND(VLOOKUP(P$1,main!$A$3:$H$102,7,FALSE)=main!$G$104,VLOOKUP(P$1,main!$A$3:$H$102,5,FALSE)-VLOOKUP($A200,main!$A$3:$H$102,6,FALSE)&gt;=main!$D$103+VLOOKUP(VLOOKUP(P$1,main!$A$3:$I$102,7,FALSE),main!$K$26:$Q$29,4,FALSE)),1,0)</f>
        <v>0</v>
      </c>
      <c r="Q200">
        <f>IF(AND(VLOOKUP(Q$1,main!$A$3:$H$102,7,FALSE)=main!$G$104,VLOOKUP(Q$1,main!$A$3:$H$102,5,FALSE)-VLOOKUP($A200,main!$A$3:$H$102,6,FALSE)&gt;=main!$D$103+VLOOKUP(VLOOKUP(Q$1,main!$A$3:$I$102,7,FALSE),main!$K$26:$Q$29,4,FALSE)),1,0)</f>
        <v>1</v>
      </c>
      <c r="R200">
        <f>IF(AND(VLOOKUP(R$1,main!$A$3:$H$102,7,FALSE)=main!$G$104,VLOOKUP(R$1,main!$A$3:$H$102,5,FALSE)-VLOOKUP($A200,main!$A$3:$H$102,6,FALSE)&gt;=main!$D$103+VLOOKUP(VLOOKUP(R$1,main!$A$3:$I$102,7,FALSE),main!$K$26:$Q$29,4,FALSE)),1,0)</f>
        <v>1</v>
      </c>
      <c r="S200">
        <f>IF(AND(VLOOKUP(S$1,main!$A$3:$H$102,7,FALSE)=main!$G$104,VLOOKUP(S$1,main!$A$3:$H$102,5,FALSE)-VLOOKUP($A200,main!$A$3:$H$102,6,FALSE)&gt;=main!$D$103+VLOOKUP(VLOOKUP(S$1,main!$A$3:$I$102,7,FALSE),main!$K$26:$Q$29,4,FALSE)),1,0)</f>
        <v>1</v>
      </c>
      <c r="T200">
        <f>IF(AND(VLOOKUP(T$1,main!$A$3:$H$102,7,FALSE)=main!$G$104,VLOOKUP(T$1,main!$A$3:$H$102,5,FALSE)-VLOOKUP($A200,main!$A$3:$H$102,6,FALSE)&gt;=main!$D$103+VLOOKUP(VLOOKUP(T$1,main!$A$3:$I$102,7,FALSE),main!$K$26:$Q$29,4,FALSE)),1,0)</f>
        <v>1</v>
      </c>
      <c r="U200">
        <f>IF(AND(VLOOKUP(U$1,main!$A$3:$H$102,7,FALSE)=main!$G$104,VLOOKUP(U$1,main!$A$3:$H$102,5,FALSE)-VLOOKUP($A200,main!$A$3:$H$102,6,FALSE)&gt;=main!$D$103+VLOOKUP(VLOOKUP(U$1,main!$A$3:$I$102,7,FALSE),main!$K$26:$Q$29,4,FALSE)),1,0)</f>
        <v>1</v>
      </c>
      <c r="V200">
        <f>IF(AND(VLOOKUP(V$1,main!$A$3:$H$102,7,FALSE)=main!$G$104,VLOOKUP(V$1,main!$A$3:$H$102,5,FALSE)-VLOOKUP($A200,main!$A$3:$H$102,6,FALSE)&gt;=main!$D$103+VLOOKUP(VLOOKUP(V$1,main!$A$3:$I$102,7,FALSE),main!$K$26:$Q$29,4,FALSE)),1,0)</f>
        <v>1</v>
      </c>
      <c r="W200">
        <f>IF(AND(VLOOKUP(W$1,main!$A$3:$H$102,7,FALSE)=main!$G$104,VLOOKUP(W$1,main!$A$3:$H$102,5,FALSE)-VLOOKUP($A200,main!$A$3:$H$102,6,FALSE)&gt;=main!$D$103+VLOOKUP(VLOOKUP(W$1,main!$A$3:$I$102,7,FALSE),main!$K$26:$Q$29,4,FALSE)),1,0)</f>
        <v>0</v>
      </c>
      <c r="X200">
        <f>IF(AND(VLOOKUP(X$1,main!$A$3:$H$102,7,FALSE)=main!$G$104,VLOOKUP(X$1,main!$A$3:$H$102,5,FALSE)-VLOOKUP($A200,main!$A$3:$H$102,6,FALSE)&gt;=main!$D$103+VLOOKUP(VLOOKUP(X$1,main!$A$3:$I$102,7,FALSE),main!$K$26:$Q$29,4,FALSE)),1,0)</f>
        <v>0</v>
      </c>
      <c r="Y200">
        <f>IF(AND(VLOOKUP(Y$1,main!$A$3:$H$102,7,FALSE)=main!$G$104,VLOOKUP(Y$1,main!$A$3:$H$102,5,FALSE)-VLOOKUP($A200,main!$A$3:$H$102,6,FALSE)&gt;=main!$D$103+VLOOKUP(VLOOKUP(Y$1,main!$A$3:$I$102,7,FALSE),main!$K$26:$Q$29,4,FALSE)),1,0)</f>
        <v>1</v>
      </c>
      <c r="Z200">
        <f>IF(AND(VLOOKUP(Z$1,main!$A$3:$H$102,7,FALSE)=main!$G$104,VLOOKUP(Z$1,main!$A$3:$H$102,5,FALSE)-VLOOKUP($A200,main!$A$3:$H$102,6,FALSE)&gt;=main!$D$103+VLOOKUP(VLOOKUP(Z$1,main!$A$3:$I$102,7,FALSE),main!$K$26:$Q$29,4,FALSE)),1,0)</f>
        <v>1</v>
      </c>
      <c r="AA200">
        <f>IF(AND(VLOOKUP(AA$1,main!$A$3:$H$102,7,FALSE)=main!$G$104,VLOOKUP(AA$1,main!$A$3:$H$102,5,FALSE)-VLOOKUP($A200,main!$A$3:$H$102,6,FALSE)&gt;=main!$D$103+VLOOKUP(VLOOKUP(AA$1,main!$A$3:$I$102,7,FALSE),main!$K$26:$Q$29,4,FALSE)),1,0)</f>
        <v>1</v>
      </c>
      <c r="AB200">
        <f>IF(AND(VLOOKUP(AB$1,main!$A$3:$H$102,7,FALSE)=main!$G$104,VLOOKUP(AB$1,main!$A$3:$H$102,5,FALSE)-VLOOKUP($A200,main!$A$3:$H$102,6,FALSE)&gt;=main!$D$103+VLOOKUP(VLOOKUP(AB$1,main!$A$3:$I$102,7,FALSE),main!$K$26:$Q$29,4,FALSE)),1,0)</f>
        <v>0</v>
      </c>
      <c r="AC200">
        <f>IF(AND(VLOOKUP(AC$1,main!$A$3:$H$102,7,FALSE)=main!$G$104,VLOOKUP(AC$1,main!$A$3:$H$102,5,FALSE)-VLOOKUP($A200,main!$A$3:$H$102,6,FALSE)&gt;=main!$D$103+VLOOKUP(VLOOKUP(AC$1,main!$A$3:$I$102,7,FALSE),main!$K$26:$Q$29,4,FALSE)),1,0)</f>
        <v>0</v>
      </c>
      <c r="AD200">
        <f>IF(AND(VLOOKUP(AD$1,main!$A$3:$H$102,7,FALSE)=main!$G$104,VLOOKUP(AD$1,main!$A$3:$H$102,5,FALSE)-VLOOKUP($A200,main!$A$3:$H$102,6,FALSE)&gt;=main!$D$103+VLOOKUP(VLOOKUP(AD$1,main!$A$3:$I$102,7,FALSE),main!$K$26:$Q$29,4,FALSE)),1,0)</f>
        <v>1</v>
      </c>
      <c r="AE200">
        <f>IF(AND(VLOOKUP(AE$1,main!$A$3:$H$102,7,FALSE)=main!$G$104,VLOOKUP(AE$1,main!$A$3:$H$102,5,FALSE)-VLOOKUP($A200,main!$A$3:$H$102,6,FALSE)&gt;=main!$D$103+VLOOKUP(VLOOKUP(AE$1,main!$A$3:$I$102,7,FALSE),main!$K$26:$Q$29,4,FALSE)),1,0)</f>
        <v>1</v>
      </c>
      <c r="AF200">
        <f>IF(AND(VLOOKUP(AF$1,main!$A$3:$H$102,7,FALSE)=main!$G$104,VLOOKUP(AF$1,main!$A$3:$H$102,5,FALSE)-VLOOKUP($A200,main!$A$3:$H$102,6,FALSE)&gt;=main!$D$103+VLOOKUP(VLOOKUP(AF$1,main!$A$3:$I$102,7,FALSE),main!$K$26:$Q$29,4,FALSE)),1,0)</f>
        <v>1</v>
      </c>
      <c r="AG200">
        <f>IF(AND(VLOOKUP(AG$1,main!$A$3:$H$102,7,FALSE)=main!$G$104,VLOOKUP(AG$1,main!$A$3:$H$102,5,FALSE)-VLOOKUP($A200,main!$A$3:$H$102,6,FALSE)&gt;=main!$D$103+VLOOKUP(VLOOKUP(AG$1,main!$A$3:$I$102,7,FALSE),main!$K$26:$Q$29,4,FALSE)),1,0)</f>
        <v>0</v>
      </c>
      <c r="AH200">
        <f>IF(AND(VLOOKUP(AH$1,main!$A$3:$H$102,7,FALSE)=main!$G$104,VLOOKUP(AH$1,main!$A$3:$H$102,5,FALSE)-VLOOKUP($A200,main!$A$3:$H$102,6,FALSE)&gt;=main!$D$103+VLOOKUP(VLOOKUP(AH$1,main!$A$3:$I$102,7,FALSE),main!$K$26:$Q$29,4,FALSE)),1,0)</f>
        <v>0</v>
      </c>
      <c r="AI200">
        <f>IF(AND(VLOOKUP(AI$1,main!$A$3:$H$102,7,FALSE)=main!$G$104,VLOOKUP(AI$1,main!$A$3:$H$102,5,FALSE)-VLOOKUP($A200,main!$A$3:$H$102,6,FALSE)&gt;=main!$D$103+VLOOKUP(VLOOKUP(AI$1,main!$A$3:$I$102,7,FALSE),main!$K$26:$Q$29,4,FALSE)),1,0)</f>
        <v>0</v>
      </c>
      <c r="AJ200">
        <f>IF(AND(VLOOKUP(AJ$1,main!$A$3:$H$102,7,FALSE)=main!$G$104,VLOOKUP(AJ$1,main!$A$3:$H$102,5,FALSE)-VLOOKUP($A200,main!$A$3:$H$102,6,FALSE)&gt;=main!$D$103+VLOOKUP(VLOOKUP(AJ$1,main!$A$3:$I$102,7,FALSE),main!$K$26:$Q$29,4,FALSE)),1,0)</f>
        <v>0</v>
      </c>
      <c r="AK200">
        <f>IF(AND(VLOOKUP(AK$1,main!$A$3:$H$102,7,FALSE)=main!$G$104,VLOOKUP(AK$1,main!$A$3:$H$102,5,FALSE)-VLOOKUP($A200,main!$A$3:$H$102,6,FALSE)&gt;=main!$D$103+VLOOKUP(VLOOKUP(AK$1,main!$A$3:$I$102,7,FALSE),main!$K$26:$Q$29,4,FALSE)),1,0)</f>
        <v>0</v>
      </c>
      <c r="AL200">
        <f>IF(AND(VLOOKUP(AL$1,main!$A$3:$H$102,7,FALSE)=main!$G$104,VLOOKUP(AL$1,main!$A$3:$H$102,5,FALSE)-VLOOKUP($A200,main!$A$3:$H$102,6,FALSE)&gt;=main!$D$103+VLOOKUP(VLOOKUP(AL$1,main!$A$3:$I$102,7,FALSE),main!$K$26:$Q$29,4,FALSE)),1,0)</f>
        <v>0</v>
      </c>
      <c r="AM200">
        <f>IF(AND(VLOOKUP(AM$1,main!$A$3:$H$102,7,FALSE)=main!$G$104,VLOOKUP(AM$1,main!$A$3:$H$102,5,FALSE)-VLOOKUP($A200,main!$A$3:$H$102,6,FALSE)&gt;=main!$D$103+VLOOKUP(VLOOKUP(AM$1,main!$A$3:$I$102,7,FALSE),main!$K$26:$Q$29,4,FALSE)),1,0)</f>
        <v>0</v>
      </c>
      <c r="AN200">
        <f>IF(AND(VLOOKUP(AN$1,main!$A$3:$H$102,7,FALSE)=main!$G$104,VLOOKUP(AN$1,main!$A$3:$H$102,5,FALSE)-VLOOKUP($A200,main!$A$3:$H$102,6,FALSE)&gt;=main!$D$103+VLOOKUP(VLOOKUP(AN$1,main!$A$3:$I$102,7,FALSE),main!$K$26:$Q$29,4,FALSE)),1,0)</f>
        <v>0</v>
      </c>
      <c r="AO200">
        <f>IF(AND(VLOOKUP(AO$1,main!$A$3:$H$102,7,FALSE)=main!$G$104,VLOOKUP(AO$1,main!$A$3:$H$102,5,FALSE)-VLOOKUP($A200,main!$A$3:$H$102,6,FALSE)&gt;=main!$D$103+VLOOKUP(VLOOKUP(AO$1,main!$A$3:$I$102,7,FALSE),main!$K$26:$Q$29,4,FALSE)),1,0)</f>
        <v>0</v>
      </c>
      <c r="AP200">
        <f>IF(AND(VLOOKUP(AP$1,main!$A$3:$H$102,7,FALSE)=main!$G$104,VLOOKUP(AP$1,main!$A$3:$H$102,5,FALSE)-VLOOKUP($A200,main!$A$3:$H$102,6,FALSE)&gt;=main!$D$103+VLOOKUP(VLOOKUP(AP$1,main!$A$3:$I$102,7,FALSE),main!$K$26:$Q$29,4,FALSE)),1,0)</f>
        <v>0</v>
      </c>
      <c r="AQ200">
        <f>IF(AND(VLOOKUP(AQ$1,main!$A$3:$H$102,7,FALSE)=main!$G$104,VLOOKUP(AQ$1,main!$A$3:$H$102,5,FALSE)-VLOOKUP($A200,main!$A$3:$H$102,6,FALSE)&gt;=main!$D$103+VLOOKUP(VLOOKUP(AQ$1,main!$A$3:$I$102,7,FALSE),main!$K$26:$Q$29,4,FALSE)),1,0)</f>
        <v>0</v>
      </c>
      <c r="AR200">
        <f>IF(AND(VLOOKUP(AR$1,main!$A$3:$H$102,7,FALSE)=main!$G$104,VLOOKUP(AR$1,main!$A$3:$H$102,5,FALSE)-VLOOKUP($A200,main!$A$3:$H$102,6,FALSE)&gt;=main!$D$103+VLOOKUP(VLOOKUP(AR$1,main!$A$3:$I$102,7,FALSE),main!$K$26:$Q$29,4,FALSE)),1,0)</f>
        <v>0</v>
      </c>
      <c r="AS200">
        <f>IF(AND(VLOOKUP(AS$1,main!$A$3:$H$102,7,FALSE)=main!$G$104,VLOOKUP(AS$1,main!$A$3:$H$102,5,FALSE)-VLOOKUP($A200,main!$A$3:$H$102,6,FALSE)&gt;=main!$D$103+VLOOKUP(VLOOKUP(AS$1,main!$A$3:$I$102,7,FALSE),main!$K$26:$Q$29,4,FALSE)),1,0)</f>
        <v>0</v>
      </c>
      <c r="AT200">
        <f>IF(AND(VLOOKUP(AT$1,main!$A$3:$H$102,7,FALSE)=main!$G$104,VLOOKUP(AT$1,main!$A$3:$H$102,5,FALSE)-VLOOKUP($A200,main!$A$3:$H$102,6,FALSE)&gt;=main!$D$103+VLOOKUP(VLOOKUP(AT$1,main!$A$3:$I$102,7,FALSE),main!$K$26:$Q$29,4,FALSE)),1,0)</f>
        <v>0</v>
      </c>
      <c r="AU200">
        <f>IF(AND(VLOOKUP(AU$1,main!$A$3:$H$102,7,FALSE)=main!$G$104,VLOOKUP(AU$1,main!$A$3:$H$102,5,FALSE)-VLOOKUP($A200,main!$A$3:$H$102,6,FALSE)&gt;=main!$D$103+VLOOKUP(VLOOKUP(AU$1,main!$A$3:$I$102,7,FALSE),main!$K$26:$Q$29,4,FALSE)),1,0)</f>
        <v>0</v>
      </c>
      <c r="AV200">
        <f>IF(AND(VLOOKUP(AV$1,main!$A$3:$H$102,7,FALSE)=main!$G$104,VLOOKUP(AV$1,main!$A$3:$H$102,5,FALSE)-VLOOKUP($A200,main!$A$3:$H$102,6,FALSE)&gt;=main!$D$103+VLOOKUP(VLOOKUP(AV$1,main!$A$3:$I$102,7,FALSE),main!$K$26:$Q$29,4,FALSE)),1,0)</f>
        <v>0</v>
      </c>
      <c r="AW200">
        <f>IF(AND(VLOOKUP(AW$1,main!$A$3:$H$102,7,FALSE)=main!$G$104,VLOOKUP(AW$1,main!$A$3:$H$102,5,FALSE)-VLOOKUP($A200,main!$A$3:$H$102,6,FALSE)&gt;=main!$D$103+VLOOKUP(VLOOKUP(AW$1,main!$A$3:$I$102,7,FALSE),main!$K$26:$Q$29,4,FALSE)),1,0)</f>
        <v>0</v>
      </c>
      <c r="AX200">
        <f>IF(AND(VLOOKUP(AX$1,main!$A$3:$H$102,7,FALSE)=main!$G$104,VLOOKUP(AX$1,main!$A$3:$H$102,5,FALSE)-VLOOKUP($A200,main!$A$3:$H$102,6,FALSE)&gt;=main!$D$103+VLOOKUP(VLOOKUP(AX$1,main!$A$3:$I$102,7,FALSE),main!$K$26:$Q$29,4,FALSE)),1,0)</f>
        <v>0</v>
      </c>
      <c r="AY200">
        <f>IF(AND(VLOOKUP(AY$1,main!$A$3:$H$102,7,FALSE)=main!$G$104,VLOOKUP(AY$1,main!$A$3:$H$102,5,FALSE)-VLOOKUP($A200,main!$A$3:$H$102,6,FALSE)&gt;=main!$D$103+VLOOKUP(VLOOKUP(AY$1,main!$A$3:$I$102,7,FALSE),main!$K$26:$Q$29,4,FALSE)),1,0)</f>
        <v>0</v>
      </c>
      <c r="AZ200">
        <f>IF(AND(VLOOKUP(AZ$1,main!$A$3:$H$102,7,FALSE)=main!$G$104,VLOOKUP(AZ$1,main!$A$3:$H$102,5,FALSE)-VLOOKUP($A200,main!$A$3:$H$102,6,FALSE)&gt;=main!$D$103+VLOOKUP(VLOOKUP(AZ$1,main!$A$3:$I$102,7,FALSE),main!$K$26:$Q$29,4,FALSE)),1,0)</f>
        <v>0</v>
      </c>
      <c r="BA200">
        <f>IF(AND(VLOOKUP(BA$1,main!$A$3:$H$102,7,FALSE)=main!$G$104,VLOOKUP(BA$1,main!$A$3:$H$102,5,FALSE)-VLOOKUP($A200,main!$A$3:$H$102,6,FALSE)&gt;=main!$D$103+VLOOKUP(VLOOKUP(BA$1,main!$A$3:$I$102,7,FALSE),main!$K$26:$Q$29,4,FALSE)),1,0)</f>
        <v>0</v>
      </c>
      <c r="BB200">
        <f>IF(AND(VLOOKUP(BB$1,main!$A$3:$H$102,7,FALSE)=main!$G$104,VLOOKUP(BB$1,main!$A$3:$H$102,5,FALSE)-VLOOKUP($A200,main!$A$3:$H$102,6,FALSE)&gt;=main!$D$103+VLOOKUP(VLOOKUP(BB$1,main!$A$3:$I$102,7,FALSE),main!$K$26:$Q$29,4,FALSE)),1,0)</f>
        <v>0</v>
      </c>
      <c r="BC200">
        <f>IF(AND(VLOOKUP(BC$1,main!$A$3:$H$102,7,FALSE)=main!$G$104,VLOOKUP(BC$1,main!$A$3:$H$102,5,FALSE)-VLOOKUP($A200,main!$A$3:$H$102,6,FALSE)&gt;=main!$D$103+VLOOKUP(VLOOKUP(BC$1,main!$A$3:$I$102,7,FALSE),main!$K$26:$Q$29,4,FALSE)),1,0)</f>
        <v>0</v>
      </c>
      <c r="BD200">
        <f>IF(AND(VLOOKUP(BD$1,main!$A$3:$H$102,7,FALSE)=main!$G$104,VLOOKUP(BD$1,main!$A$3:$H$102,5,FALSE)-VLOOKUP($A200,main!$A$3:$H$102,6,FALSE)&gt;=main!$D$103+VLOOKUP(VLOOKUP(BD$1,main!$A$3:$I$102,7,FALSE),main!$K$26:$Q$29,4,FALSE)),1,0)</f>
        <v>0</v>
      </c>
      <c r="BE200">
        <f>IF(AND(VLOOKUP(BE$1,main!$A$3:$H$102,7,FALSE)=main!$G$104,VLOOKUP(BE$1,main!$A$3:$H$102,5,FALSE)-VLOOKUP($A200,main!$A$3:$H$102,6,FALSE)&gt;=main!$D$103+VLOOKUP(VLOOKUP(BE$1,main!$A$3:$I$102,7,FALSE),main!$K$26:$Q$29,4,FALSE)),1,0)</f>
        <v>0</v>
      </c>
      <c r="BF200">
        <f>IF(AND(VLOOKUP(BF$1,main!$A$3:$H$102,7,FALSE)=main!$G$104,VLOOKUP(BF$1,main!$A$3:$H$102,5,FALSE)-VLOOKUP($A200,main!$A$3:$H$102,6,FALSE)&gt;=main!$D$103+VLOOKUP(VLOOKUP(BF$1,main!$A$3:$I$102,7,FALSE),main!$K$26:$Q$29,4,FALSE)),1,0)</f>
        <v>0</v>
      </c>
      <c r="BG200">
        <f>IF(AND(VLOOKUP(BG$1,main!$A$3:$H$102,7,FALSE)=main!$G$104,VLOOKUP(BG$1,main!$A$3:$H$102,5,FALSE)-VLOOKUP($A200,main!$A$3:$H$102,6,FALSE)&gt;=main!$D$103+VLOOKUP(VLOOKUP(BG$1,main!$A$3:$I$102,7,FALSE),main!$K$26:$Q$29,4,FALSE)),1,0)</f>
        <v>0</v>
      </c>
      <c r="BH200">
        <f>IF(AND(VLOOKUP(BH$1,main!$A$3:$H$102,7,FALSE)=main!$G$104,VLOOKUP(BH$1,main!$A$3:$H$102,5,FALSE)-VLOOKUP($A200,main!$A$3:$H$102,6,FALSE)&gt;=main!$D$103+VLOOKUP(VLOOKUP(BH$1,main!$A$3:$I$102,7,FALSE),main!$K$26:$Q$29,4,FALSE)),1,0)</f>
        <v>0</v>
      </c>
      <c r="BI200">
        <f>IF(AND(VLOOKUP(BI$1,main!$A$3:$H$102,7,FALSE)=main!$G$104,VLOOKUP(BI$1,main!$A$3:$H$102,5,FALSE)-VLOOKUP($A200,main!$A$3:$H$102,6,FALSE)&gt;=main!$D$103+VLOOKUP(VLOOKUP(BI$1,main!$A$3:$I$102,7,FALSE),main!$K$26:$Q$29,4,FALSE)),1,0)</f>
        <v>0</v>
      </c>
      <c r="BJ200">
        <f>IF(AND(VLOOKUP(BJ$1,main!$A$3:$H$102,7,FALSE)=main!$G$104,VLOOKUP(BJ$1,main!$A$3:$H$102,5,FALSE)-VLOOKUP($A200,main!$A$3:$H$102,6,FALSE)&gt;=main!$D$103+VLOOKUP(VLOOKUP(BJ$1,main!$A$3:$I$102,7,FALSE),main!$K$26:$Q$29,4,FALSE)),1,0)</f>
        <v>0</v>
      </c>
      <c r="BK200">
        <f>IF(AND(VLOOKUP(BK$1,main!$A$3:$H$102,7,FALSE)=main!$G$104,VLOOKUP(BK$1,main!$A$3:$H$102,5,FALSE)-VLOOKUP($A200,main!$A$3:$H$102,6,FALSE)&gt;=main!$D$103+VLOOKUP(VLOOKUP(BK$1,main!$A$3:$I$102,7,FALSE),main!$K$26:$Q$29,4,FALSE)),1,0)</f>
        <v>0</v>
      </c>
      <c r="BL200">
        <f>IF(AND(VLOOKUP(BL$1,main!$A$3:$H$102,7,FALSE)=main!$G$104,VLOOKUP(BL$1,main!$A$3:$H$102,5,FALSE)-VLOOKUP($A200,main!$A$3:$H$102,6,FALSE)&gt;=main!$D$103+VLOOKUP(VLOOKUP(BL$1,main!$A$3:$I$102,7,FALSE),main!$K$26:$Q$29,4,FALSE)),1,0)</f>
        <v>0</v>
      </c>
      <c r="BM200">
        <f>IF(AND(VLOOKUP(BM$1,main!$A$3:$H$102,7,FALSE)=main!$G$104,VLOOKUP(BM$1,main!$A$3:$H$102,5,FALSE)-VLOOKUP($A200,main!$A$3:$H$102,6,FALSE)&gt;=main!$D$103+VLOOKUP(VLOOKUP(BM$1,main!$A$3:$I$102,7,FALSE),main!$K$26:$Q$29,4,FALSE)),1,0)</f>
        <v>0</v>
      </c>
      <c r="BN200">
        <f>IF(AND(VLOOKUP(BN$1,main!$A$3:$H$102,7,FALSE)=main!$G$104,VLOOKUP(BN$1,main!$A$3:$H$102,5,FALSE)-VLOOKUP($A200,main!$A$3:$H$102,6,FALSE)&gt;=main!$D$103+VLOOKUP(VLOOKUP(BN$1,main!$A$3:$I$102,7,FALSE),main!$K$26:$Q$29,4,FALSE)),1,0)</f>
        <v>0</v>
      </c>
      <c r="BO200">
        <f>IF(AND(VLOOKUP(BO$1,main!$A$3:$H$102,7,FALSE)=main!$G$104,VLOOKUP(BO$1,main!$A$3:$H$102,5,FALSE)-VLOOKUP($A200,main!$A$3:$H$102,6,FALSE)&gt;=main!$D$103+VLOOKUP(VLOOKUP(BO$1,main!$A$3:$I$102,7,FALSE),main!$K$26:$Q$29,4,FALSE)),1,0)</f>
        <v>0</v>
      </c>
      <c r="BP200">
        <f>IF(AND(VLOOKUP(BP$1,main!$A$3:$H$102,7,FALSE)=main!$G$104,VLOOKUP(BP$1,main!$A$3:$H$102,5,FALSE)-VLOOKUP($A200,main!$A$3:$H$102,6,FALSE)&gt;=main!$D$103+VLOOKUP(VLOOKUP(BP$1,main!$A$3:$I$102,7,FALSE),main!$K$26:$Q$29,4,FALSE)),1,0)</f>
        <v>0</v>
      </c>
      <c r="BQ200">
        <f>IF(AND(VLOOKUP(BQ$1,main!$A$3:$H$102,7,FALSE)=main!$G$104,VLOOKUP(BQ$1,main!$A$3:$H$102,5,FALSE)-VLOOKUP($A200,main!$A$3:$H$102,6,FALSE)&gt;=main!$D$103+VLOOKUP(VLOOKUP(BQ$1,main!$A$3:$I$102,7,FALSE),main!$K$26:$Q$29,4,FALSE)),1,0)</f>
        <v>0</v>
      </c>
      <c r="BR200">
        <f>IF(AND(VLOOKUP(BR$1,main!$A$3:$H$102,7,FALSE)=main!$G$104,VLOOKUP(BR$1,main!$A$3:$H$102,5,FALSE)-VLOOKUP($A200,main!$A$3:$H$102,6,FALSE)&gt;=main!$D$103+VLOOKUP(VLOOKUP(BR$1,main!$A$3:$I$102,7,FALSE),main!$K$26:$Q$29,4,FALSE)),1,0)</f>
        <v>0</v>
      </c>
      <c r="BS200">
        <f>IF(AND(VLOOKUP(BS$1,main!$A$3:$H$102,7,FALSE)=main!$G$104,VLOOKUP(BS$1,main!$A$3:$H$102,5,FALSE)-VLOOKUP($A200,main!$A$3:$H$102,6,FALSE)&gt;=main!$D$103+VLOOKUP(VLOOKUP(BS$1,main!$A$3:$I$102,7,FALSE),main!$K$26:$Q$29,4,FALSE)),1,0)</f>
        <v>0</v>
      </c>
      <c r="BT200">
        <f>IF(AND(VLOOKUP(BT$1,main!$A$3:$H$102,7,FALSE)=main!$G$104,VLOOKUP(BT$1,main!$A$3:$H$102,5,FALSE)-VLOOKUP($A200,main!$A$3:$H$102,6,FALSE)&gt;=main!$D$103+VLOOKUP(VLOOKUP(BT$1,main!$A$3:$I$102,7,FALSE),main!$K$26:$Q$29,4,FALSE)),1,0)</f>
        <v>0</v>
      </c>
      <c r="BU200">
        <f>IF(AND(VLOOKUP(BU$1,main!$A$3:$H$102,7,FALSE)=main!$G$104,VLOOKUP(BU$1,main!$A$3:$H$102,5,FALSE)-VLOOKUP($A200,main!$A$3:$H$102,6,FALSE)&gt;=main!$D$103+VLOOKUP(VLOOKUP(BU$1,main!$A$3:$I$102,7,FALSE),main!$K$26:$Q$29,4,FALSE)),1,0)</f>
        <v>0</v>
      </c>
      <c r="BV200">
        <f>IF(AND(VLOOKUP(BV$1,main!$A$3:$H$102,7,FALSE)=main!$G$104,VLOOKUP(BV$1,main!$A$3:$H$102,5,FALSE)-VLOOKUP($A200,main!$A$3:$H$102,6,FALSE)&gt;=main!$D$103+VLOOKUP(VLOOKUP(BV$1,main!$A$3:$I$102,7,FALSE),main!$K$26:$Q$29,4,FALSE)),1,0)</f>
        <v>0</v>
      </c>
      <c r="BW200">
        <f>IF(AND(VLOOKUP(BW$1,main!$A$3:$H$102,7,FALSE)=main!$G$104,VLOOKUP(BW$1,main!$A$3:$H$102,5,FALSE)-VLOOKUP($A200,main!$A$3:$H$102,6,FALSE)&gt;=main!$D$103+VLOOKUP(VLOOKUP(BW$1,main!$A$3:$I$102,7,FALSE),main!$K$26:$Q$29,4,FALSE)),1,0)</f>
        <v>0</v>
      </c>
      <c r="BX200">
        <f>IF(AND(VLOOKUP(BX$1,main!$A$3:$H$102,7,FALSE)=main!$G$104,VLOOKUP(BX$1,main!$A$3:$H$102,5,FALSE)-VLOOKUP($A200,main!$A$3:$H$102,6,FALSE)&gt;=main!$D$103+VLOOKUP(VLOOKUP(BX$1,main!$A$3:$I$102,7,FALSE),main!$K$26:$Q$29,4,FALSE)),1,0)</f>
        <v>0</v>
      </c>
      <c r="BY200">
        <f>IF(AND(VLOOKUP(BY$1,main!$A$3:$H$102,7,FALSE)=main!$G$104,VLOOKUP(BY$1,main!$A$3:$H$102,5,FALSE)-VLOOKUP($A200,main!$A$3:$H$102,6,FALSE)&gt;=main!$D$103+VLOOKUP(VLOOKUP(BY$1,main!$A$3:$I$102,7,FALSE),main!$K$26:$Q$29,4,FALSE)),1,0)</f>
        <v>0</v>
      </c>
      <c r="BZ200">
        <f>IF(AND(VLOOKUP(BZ$1,main!$A$3:$H$102,7,FALSE)=main!$G$104,VLOOKUP(BZ$1,main!$A$3:$H$102,5,FALSE)-VLOOKUP($A200,main!$A$3:$H$102,6,FALSE)&gt;=main!$D$103+VLOOKUP(VLOOKUP(BZ$1,main!$A$3:$I$102,7,FALSE),main!$K$26:$Q$29,4,FALSE)),1,0)</f>
        <v>0</v>
      </c>
      <c r="CA200">
        <f>IF(AND(VLOOKUP(CA$1,main!$A$3:$H$102,7,FALSE)=main!$G$104,VLOOKUP(CA$1,main!$A$3:$H$102,5,FALSE)-VLOOKUP($A200,main!$A$3:$H$102,6,FALSE)&gt;=main!$D$103+VLOOKUP(VLOOKUP(CA$1,main!$A$3:$I$102,7,FALSE),main!$K$26:$Q$29,4,FALSE)),1,0)</f>
        <v>0</v>
      </c>
      <c r="CB200">
        <f>IF(AND(VLOOKUP(CB$1,main!$A$3:$H$102,7,FALSE)=main!$G$104,VLOOKUP(CB$1,main!$A$3:$H$102,5,FALSE)-VLOOKUP($A200,main!$A$3:$H$102,6,FALSE)&gt;=main!$D$103+VLOOKUP(VLOOKUP(CB$1,main!$A$3:$I$102,7,FALSE),main!$K$26:$Q$29,4,FALSE)),1,0)</f>
        <v>0</v>
      </c>
      <c r="CC200">
        <f>IF(AND(VLOOKUP(CC$1,main!$A$3:$H$102,7,FALSE)=main!$G$104,VLOOKUP(CC$1,main!$A$3:$H$102,5,FALSE)-VLOOKUP($A200,main!$A$3:$H$102,6,FALSE)&gt;=main!$D$103+VLOOKUP(VLOOKUP(CC$1,main!$A$3:$I$102,7,FALSE),main!$K$26:$Q$29,4,FALSE)),1,0)</f>
        <v>0</v>
      </c>
      <c r="CD200">
        <f>IF(AND(VLOOKUP(CD$1,main!$A$3:$H$102,7,FALSE)=main!$G$104,VLOOKUP(CD$1,main!$A$3:$H$102,5,FALSE)-VLOOKUP($A200,main!$A$3:$H$102,6,FALSE)&gt;=main!$D$103+VLOOKUP(VLOOKUP(CD$1,main!$A$3:$I$102,7,FALSE),main!$K$26:$Q$29,4,FALSE)),1,0)</f>
        <v>0</v>
      </c>
      <c r="CE200">
        <f>IF(AND(VLOOKUP(CE$1,main!$A$3:$H$102,7,FALSE)=main!$G$104,VLOOKUP(CE$1,main!$A$3:$H$102,5,FALSE)-VLOOKUP($A200,main!$A$3:$H$102,6,FALSE)&gt;=main!$D$103+VLOOKUP(VLOOKUP(CE$1,main!$A$3:$I$102,7,FALSE),main!$K$26:$Q$29,4,FALSE)),1,0)</f>
        <v>0</v>
      </c>
      <c r="CF200">
        <f>IF(AND(VLOOKUP(CF$1,main!$A$3:$H$102,7,FALSE)=main!$G$104,VLOOKUP(CF$1,main!$A$3:$H$102,5,FALSE)-VLOOKUP($A200,main!$A$3:$H$102,6,FALSE)&gt;=main!$D$103+VLOOKUP(VLOOKUP(CF$1,main!$A$3:$I$102,7,FALSE),main!$K$26:$Q$29,4,FALSE)),1,0)</f>
        <v>0</v>
      </c>
      <c r="CG200">
        <f>IF(AND(VLOOKUP(CG$1,main!$A$3:$H$102,7,FALSE)=main!$G$104,VLOOKUP(CG$1,main!$A$3:$H$102,5,FALSE)-VLOOKUP($A200,main!$A$3:$H$102,6,FALSE)&gt;=main!$D$103+VLOOKUP(VLOOKUP(CG$1,main!$A$3:$I$102,7,FALSE),main!$K$26:$Q$29,4,FALSE)),1,0)</f>
        <v>0</v>
      </c>
      <c r="CH200">
        <f>IF(AND(VLOOKUP(CH$1,main!$A$3:$H$102,7,FALSE)=main!$G$104,VLOOKUP(CH$1,main!$A$3:$H$102,5,FALSE)-VLOOKUP($A200,main!$A$3:$H$102,6,FALSE)&gt;=main!$D$103+VLOOKUP(VLOOKUP(CH$1,main!$A$3:$I$102,7,FALSE),main!$K$26:$Q$29,4,FALSE)),1,0)</f>
        <v>0</v>
      </c>
      <c r="CI200">
        <f>IF(AND(VLOOKUP(CI$1,main!$A$3:$H$102,7,FALSE)=main!$G$104,VLOOKUP(CI$1,main!$A$3:$H$102,5,FALSE)-VLOOKUP($A200,main!$A$3:$H$102,6,FALSE)&gt;=main!$D$103+VLOOKUP(VLOOKUP(CI$1,main!$A$3:$I$102,7,FALSE),main!$K$26:$Q$29,4,FALSE)),1,0)</f>
        <v>0</v>
      </c>
      <c r="CJ200">
        <f>IF(AND(VLOOKUP(CJ$1,main!$A$3:$H$102,7,FALSE)=main!$G$104,VLOOKUP(CJ$1,main!$A$3:$H$102,5,FALSE)-VLOOKUP($A200,main!$A$3:$H$102,6,FALSE)&gt;=main!$D$103+VLOOKUP(VLOOKUP(CJ$1,main!$A$3:$I$102,7,FALSE),main!$K$26:$Q$29,4,FALSE)),1,0)</f>
        <v>0</v>
      </c>
      <c r="CK200">
        <f>IF(AND(VLOOKUP(CK$1,main!$A$3:$H$102,7,FALSE)=main!$G$104,VLOOKUP(CK$1,main!$A$3:$H$102,5,FALSE)-VLOOKUP($A200,main!$A$3:$H$102,6,FALSE)&gt;=main!$D$103+VLOOKUP(VLOOKUP(CK$1,main!$A$3:$I$102,7,FALSE),main!$K$26:$Q$29,4,FALSE)),1,0)</f>
        <v>0</v>
      </c>
      <c r="CL200">
        <f>IF(AND(VLOOKUP(CL$1,main!$A$3:$H$102,7,FALSE)=main!$G$104,VLOOKUP(CL$1,main!$A$3:$H$102,5,FALSE)-VLOOKUP($A200,main!$A$3:$H$102,6,FALSE)&gt;=main!$D$103+VLOOKUP(VLOOKUP(CL$1,main!$A$3:$I$102,7,FALSE),main!$K$26:$Q$29,4,FALSE)),1,0)</f>
        <v>0</v>
      </c>
      <c r="CM200">
        <f>IF(AND(VLOOKUP(CM$1,main!$A$3:$H$102,7,FALSE)=main!$G$104,VLOOKUP(CM$1,main!$A$3:$H$102,5,FALSE)-VLOOKUP($A200,main!$A$3:$H$102,6,FALSE)&gt;=main!$D$103+VLOOKUP(VLOOKUP(CM$1,main!$A$3:$I$102,7,FALSE),main!$K$26:$Q$29,4,FALSE)),1,0)</f>
        <v>0</v>
      </c>
      <c r="CN200">
        <f>IF(AND(VLOOKUP(CN$1,main!$A$3:$H$102,7,FALSE)=main!$G$104,VLOOKUP(CN$1,main!$A$3:$H$102,5,FALSE)-VLOOKUP($A200,main!$A$3:$H$102,6,FALSE)&gt;=main!$D$103+VLOOKUP(VLOOKUP(CN$1,main!$A$3:$I$102,7,FALSE),main!$K$26:$Q$29,4,FALSE)),1,0)</f>
        <v>0</v>
      </c>
      <c r="CO200">
        <f>IF(AND(VLOOKUP(CO$1,main!$A$3:$H$102,7,FALSE)=main!$G$104,VLOOKUP(CO$1,main!$A$3:$H$102,5,FALSE)-VLOOKUP($A200,main!$A$3:$H$102,6,FALSE)&gt;=main!$D$103+VLOOKUP(VLOOKUP(CO$1,main!$A$3:$I$102,7,FALSE),main!$K$26:$Q$29,4,FALSE)),1,0)</f>
        <v>0</v>
      </c>
      <c r="CP200">
        <f>IF(AND(VLOOKUP(CP$1,main!$A$3:$H$102,7,FALSE)=main!$G$104,VLOOKUP(CP$1,main!$A$3:$H$102,5,FALSE)-VLOOKUP($A200,main!$A$3:$H$102,6,FALSE)&gt;=main!$D$103+VLOOKUP(VLOOKUP(CP$1,main!$A$3:$I$102,7,FALSE),main!$K$26:$Q$29,4,FALSE)),1,0)</f>
        <v>0</v>
      </c>
      <c r="CQ200">
        <f>IF(AND(VLOOKUP(CQ$1,main!$A$3:$H$102,7,FALSE)=main!$G$104,VLOOKUP(CQ$1,main!$A$3:$H$102,5,FALSE)-VLOOKUP($A200,main!$A$3:$H$102,6,FALSE)&gt;=main!$D$103+VLOOKUP(VLOOKUP(CQ$1,main!$A$3:$I$102,7,FALSE),main!$K$26:$Q$29,4,FALSE)),1,0)</f>
        <v>0</v>
      </c>
      <c r="CR200">
        <f>IF(AND(VLOOKUP(CR$1,main!$A$3:$H$102,7,FALSE)=main!$G$104,VLOOKUP(CR$1,main!$A$3:$H$102,5,FALSE)-VLOOKUP($A200,main!$A$3:$H$102,6,FALSE)&gt;=main!$D$103+VLOOKUP(VLOOKUP(CR$1,main!$A$3:$I$102,7,FALSE),main!$K$26:$Q$29,4,FALSE)),1,0)</f>
        <v>0</v>
      </c>
      <c r="CS200">
        <f>IF(AND(VLOOKUP(CS$1,main!$A$3:$H$102,7,FALSE)=main!$G$104,VLOOKUP(CS$1,main!$A$3:$H$102,5,FALSE)-VLOOKUP($A200,main!$A$3:$H$102,6,FALSE)&gt;=main!$D$103+VLOOKUP(VLOOKUP(CS$1,main!$A$3:$I$102,7,FALSE),main!$K$26:$Q$29,4,FALSE)),1,0)</f>
        <v>0</v>
      </c>
      <c r="CT200">
        <f>IF(AND(VLOOKUP(CT$1,main!$A$3:$H$102,7,FALSE)=main!$G$104,VLOOKUP(CT$1,main!$A$3:$H$102,5,FALSE)-VLOOKUP($A200,main!$A$3:$H$102,6,FALSE)&gt;=main!$D$103+VLOOKUP(VLOOKUP(CT$1,main!$A$3:$I$102,7,FALSE),main!$K$26:$Q$29,4,FALSE)),1,0)</f>
        <v>0</v>
      </c>
      <c r="CU200">
        <f>IF(AND(VLOOKUP(CU$1,main!$A$3:$H$102,7,FALSE)=main!$G$104,VLOOKUP(CU$1,main!$A$3:$H$102,5,FALSE)-VLOOKUP($A200,main!$A$3:$H$102,6,FALSE)&gt;=main!$D$103+VLOOKUP(VLOOKUP(CU$1,main!$A$3:$I$102,7,FALSE),main!$K$26:$Q$29,4,FALSE)),1,0)</f>
        <v>0</v>
      </c>
      <c r="CV200">
        <f>IF(AND(VLOOKUP(CV$1,main!$A$3:$H$102,7,FALSE)=main!$G$104,VLOOKUP(CV$1,main!$A$3:$H$102,5,FALSE)-VLOOKUP($A200,main!$A$3:$H$102,6,FALSE)&gt;=main!$D$103+VLOOKUP(VLOOKUP(CV$1,main!$A$3:$I$102,7,FALSE),main!$K$26:$Q$29,4,FALSE)),1,0)</f>
        <v>0</v>
      </c>
      <c r="CW200">
        <f>IF(AND(VLOOKUP(CW$1,main!$A$3:$H$102,7,FALSE)=main!$G$104,VLOOKUP(CW$1,main!$A$3:$H$102,5,FALSE)-VLOOKUP($A200,main!$A$3:$H$102,6,FALSE)&gt;=main!$D$103+VLOOKUP(VLOOKUP(CW$1,main!$A$3:$I$102,7,FALSE),main!$K$26:$Q$29,4,FALSE)),1,0)</f>
        <v>0</v>
      </c>
      <c r="CX200">
        <f>IF(AND(VLOOKUP(CX$1,main!$A$3:$H$102,7,FALSE)=main!$G$104,VLOOKUP(CX$1,main!$A$3:$H$102,5,FALSE)-VLOOKUP($A200,main!$A$3:$H$102,6,FALSE)&gt;=main!$D$103+VLOOKUP(VLOOKUP(CX$1,main!$A$3:$I$102,7,FALSE),main!$K$26:$Q$29,4,FALSE)),1,0)</f>
        <v>0</v>
      </c>
    </row>
    <row r="201" spans="1:102" x14ac:dyDescent="0.25">
      <c r="A201" s="1">
        <v>98</v>
      </c>
      <c r="B201">
        <v>0</v>
      </c>
      <c r="C201">
        <f>IF(AND(VLOOKUP(C$1,main!$A$3:$H$102,7,FALSE)=main!$G$104,VLOOKUP(C$1,main!$A$3:$H$102,5,FALSE)-VLOOKUP($A201,main!$A$3:$H$102,6,FALSE)&gt;=main!$D$103+VLOOKUP(VLOOKUP(C$1,main!$A$3:$I$102,7,FALSE),main!$K$26:$Q$29,4,FALSE)),1,0)</f>
        <v>0</v>
      </c>
      <c r="D201">
        <f>IF(AND(VLOOKUP(D$1,main!$A$3:$H$102,7,FALSE)=main!$G$104,VLOOKUP(D$1,main!$A$3:$H$102,5,FALSE)-VLOOKUP($A201,main!$A$3:$H$102,6,FALSE)&gt;=main!$D$103+VLOOKUP(VLOOKUP(D$1,main!$A$3:$I$102,7,FALSE),main!$K$26:$Q$29,4,FALSE)),1,0)</f>
        <v>0</v>
      </c>
      <c r="E201">
        <f>IF(AND(VLOOKUP(E$1,main!$A$3:$H$102,7,FALSE)=main!$G$104,VLOOKUP(E$1,main!$A$3:$H$102,5,FALSE)-VLOOKUP($A201,main!$A$3:$H$102,6,FALSE)&gt;=main!$D$103+VLOOKUP(VLOOKUP(E$1,main!$A$3:$I$102,7,FALSE),main!$K$26:$Q$29,4,FALSE)),1,0)</f>
        <v>0</v>
      </c>
      <c r="F201">
        <f>IF(AND(VLOOKUP(F$1,main!$A$3:$H$102,7,FALSE)=main!$G$104,VLOOKUP(F$1,main!$A$3:$H$102,5,FALSE)-VLOOKUP($A201,main!$A$3:$H$102,6,FALSE)&gt;=main!$D$103+VLOOKUP(VLOOKUP(F$1,main!$A$3:$I$102,7,FALSE),main!$K$26:$Q$29,4,FALSE)),1,0)</f>
        <v>0</v>
      </c>
      <c r="G201">
        <f>IF(AND(VLOOKUP(G$1,main!$A$3:$H$102,7,FALSE)=main!$G$104,VLOOKUP(G$1,main!$A$3:$H$102,5,FALSE)-VLOOKUP($A201,main!$A$3:$H$102,6,FALSE)&gt;=main!$D$103+VLOOKUP(VLOOKUP(G$1,main!$A$3:$I$102,7,FALSE),main!$K$26:$Q$29,4,FALSE)),1,0)</f>
        <v>0</v>
      </c>
      <c r="H201">
        <f>IF(AND(VLOOKUP(H$1,main!$A$3:$H$102,7,FALSE)=main!$G$104,VLOOKUP(H$1,main!$A$3:$H$102,5,FALSE)-VLOOKUP($A201,main!$A$3:$H$102,6,FALSE)&gt;=main!$D$103+VLOOKUP(VLOOKUP(H$1,main!$A$3:$I$102,7,FALSE),main!$K$26:$Q$29,4,FALSE)),1,0)</f>
        <v>1</v>
      </c>
      <c r="I201">
        <f>IF(AND(VLOOKUP(I$1,main!$A$3:$H$102,7,FALSE)=main!$G$104,VLOOKUP(I$1,main!$A$3:$H$102,5,FALSE)-VLOOKUP($A201,main!$A$3:$H$102,6,FALSE)&gt;=main!$D$103+VLOOKUP(VLOOKUP(I$1,main!$A$3:$I$102,7,FALSE),main!$K$26:$Q$29,4,FALSE)),1,0)</f>
        <v>1</v>
      </c>
      <c r="J201">
        <f>IF(AND(VLOOKUP(J$1,main!$A$3:$H$102,7,FALSE)=main!$G$104,VLOOKUP(J$1,main!$A$3:$H$102,5,FALSE)-VLOOKUP($A201,main!$A$3:$H$102,6,FALSE)&gt;=main!$D$103+VLOOKUP(VLOOKUP(J$1,main!$A$3:$I$102,7,FALSE),main!$K$26:$Q$29,4,FALSE)),1,0)</f>
        <v>1</v>
      </c>
      <c r="K201">
        <f>IF(AND(VLOOKUP(K$1,main!$A$3:$H$102,7,FALSE)=main!$G$104,VLOOKUP(K$1,main!$A$3:$H$102,5,FALSE)-VLOOKUP($A201,main!$A$3:$H$102,6,FALSE)&gt;=main!$D$103+VLOOKUP(VLOOKUP(K$1,main!$A$3:$I$102,7,FALSE),main!$K$26:$Q$29,4,FALSE)),1,0)</f>
        <v>1</v>
      </c>
      <c r="L201">
        <f>IF(AND(VLOOKUP(L$1,main!$A$3:$H$102,7,FALSE)=main!$G$104,VLOOKUP(L$1,main!$A$3:$H$102,5,FALSE)-VLOOKUP($A201,main!$A$3:$H$102,6,FALSE)&gt;=main!$D$103+VLOOKUP(VLOOKUP(L$1,main!$A$3:$I$102,7,FALSE),main!$K$26:$Q$29,4,FALSE)),1,0)</f>
        <v>1</v>
      </c>
      <c r="M201">
        <f>IF(AND(VLOOKUP(M$1,main!$A$3:$H$102,7,FALSE)=main!$G$104,VLOOKUP(M$1,main!$A$3:$H$102,5,FALSE)-VLOOKUP($A201,main!$A$3:$H$102,6,FALSE)&gt;=main!$D$103+VLOOKUP(VLOOKUP(M$1,main!$A$3:$I$102,7,FALSE),main!$K$26:$Q$29,4,FALSE)),1,0)</f>
        <v>0</v>
      </c>
      <c r="N201">
        <f>IF(AND(VLOOKUP(N$1,main!$A$3:$H$102,7,FALSE)=main!$G$104,VLOOKUP(N$1,main!$A$3:$H$102,5,FALSE)-VLOOKUP($A201,main!$A$3:$H$102,6,FALSE)&gt;=main!$D$103+VLOOKUP(VLOOKUP(N$1,main!$A$3:$I$102,7,FALSE),main!$K$26:$Q$29,4,FALSE)),1,0)</f>
        <v>0</v>
      </c>
      <c r="O201">
        <f>IF(AND(VLOOKUP(O$1,main!$A$3:$H$102,7,FALSE)=main!$G$104,VLOOKUP(O$1,main!$A$3:$H$102,5,FALSE)-VLOOKUP($A201,main!$A$3:$H$102,6,FALSE)&gt;=main!$D$103+VLOOKUP(VLOOKUP(O$1,main!$A$3:$I$102,7,FALSE),main!$K$26:$Q$29,4,FALSE)),1,0)</f>
        <v>0</v>
      </c>
      <c r="P201">
        <f>IF(AND(VLOOKUP(P$1,main!$A$3:$H$102,7,FALSE)=main!$G$104,VLOOKUP(P$1,main!$A$3:$H$102,5,FALSE)-VLOOKUP($A201,main!$A$3:$H$102,6,FALSE)&gt;=main!$D$103+VLOOKUP(VLOOKUP(P$1,main!$A$3:$I$102,7,FALSE),main!$K$26:$Q$29,4,FALSE)),1,0)</f>
        <v>0</v>
      </c>
      <c r="Q201">
        <f>IF(AND(VLOOKUP(Q$1,main!$A$3:$H$102,7,FALSE)=main!$G$104,VLOOKUP(Q$1,main!$A$3:$H$102,5,FALSE)-VLOOKUP($A201,main!$A$3:$H$102,6,FALSE)&gt;=main!$D$103+VLOOKUP(VLOOKUP(Q$1,main!$A$3:$I$102,7,FALSE),main!$K$26:$Q$29,4,FALSE)),1,0)</f>
        <v>0</v>
      </c>
      <c r="R201">
        <f>IF(AND(VLOOKUP(R$1,main!$A$3:$H$102,7,FALSE)=main!$G$104,VLOOKUP(R$1,main!$A$3:$H$102,5,FALSE)-VLOOKUP($A201,main!$A$3:$H$102,6,FALSE)&gt;=main!$D$103+VLOOKUP(VLOOKUP(R$1,main!$A$3:$I$102,7,FALSE),main!$K$26:$Q$29,4,FALSE)),1,0)</f>
        <v>0</v>
      </c>
      <c r="S201">
        <f>IF(AND(VLOOKUP(S$1,main!$A$3:$H$102,7,FALSE)=main!$G$104,VLOOKUP(S$1,main!$A$3:$H$102,5,FALSE)-VLOOKUP($A201,main!$A$3:$H$102,6,FALSE)&gt;=main!$D$103+VLOOKUP(VLOOKUP(S$1,main!$A$3:$I$102,7,FALSE),main!$K$26:$Q$29,4,FALSE)),1,0)</f>
        <v>1</v>
      </c>
      <c r="T201">
        <f>IF(AND(VLOOKUP(T$1,main!$A$3:$H$102,7,FALSE)=main!$G$104,VLOOKUP(T$1,main!$A$3:$H$102,5,FALSE)-VLOOKUP($A201,main!$A$3:$H$102,6,FALSE)&gt;=main!$D$103+VLOOKUP(VLOOKUP(T$1,main!$A$3:$I$102,7,FALSE),main!$K$26:$Q$29,4,FALSE)),1,0)</f>
        <v>1</v>
      </c>
      <c r="U201">
        <f>IF(AND(VLOOKUP(U$1,main!$A$3:$H$102,7,FALSE)=main!$G$104,VLOOKUP(U$1,main!$A$3:$H$102,5,FALSE)-VLOOKUP($A201,main!$A$3:$H$102,6,FALSE)&gt;=main!$D$103+VLOOKUP(VLOOKUP(U$1,main!$A$3:$I$102,7,FALSE),main!$K$26:$Q$29,4,FALSE)),1,0)</f>
        <v>1</v>
      </c>
      <c r="V201">
        <f>IF(AND(VLOOKUP(V$1,main!$A$3:$H$102,7,FALSE)=main!$G$104,VLOOKUP(V$1,main!$A$3:$H$102,5,FALSE)-VLOOKUP($A201,main!$A$3:$H$102,6,FALSE)&gt;=main!$D$103+VLOOKUP(VLOOKUP(V$1,main!$A$3:$I$102,7,FALSE),main!$K$26:$Q$29,4,FALSE)),1,0)</f>
        <v>1</v>
      </c>
      <c r="W201">
        <f>IF(AND(VLOOKUP(W$1,main!$A$3:$H$102,7,FALSE)=main!$G$104,VLOOKUP(W$1,main!$A$3:$H$102,5,FALSE)-VLOOKUP($A201,main!$A$3:$H$102,6,FALSE)&gt;=main!$D$103+VLOOKUP(VLOOKUP(W$1,main!$A$3:$I$102,7,FALSE),main!$K$26:$Q$29,4,FALSE)),1,0)</f>
        <v>0</v>
      </c>
      <c r="X201">
        <f>IF(AND(VLOOKUP(X$1,main!$A$3:$H$102,7,FALSE)=main!$G$104,VLOOKUP(X$1,main!$A$3:$H$102,5,FALSE)-VLOOKUP($A201,main!$A$3:$H$102,6,FALSE)&gt;=main!$D$103+VLOOKUP(VLOOKUP(X$1,main!$A$3:$I$102,7,FALSE),main!$K$26:$Q$29,4,FALSE)),1,0)</f>
        <v>0</v>
      </c>
      <c r="Y201">
        <f>IF(AND(VLOOKUP(Y$1,main!$A$3:$H$102,7,FALSE)=main!$G$104,VLOOKUP(Y$1,main!$A$3:$H$102,5,FALSE)-VLOOKUP($A201,main!$A$3:$H$102,6,FALSE)&gt;=main!$D$103+VLOOKUP(VLOOKUP(Y$1,main!$A$3:$I$102,7,FALSE),main!$K$26:$Q$29,4,FALSE)),1,0)</f>
        <v>0</v>
      </c>
      <c r="Z201">
        <f>IF(AND(VLOOKUP(Z$1,main!$A$3:$H$102,7,FALSE)=main!$G$104,VLOOKUP(Z$1,main!$A$3:$H$102,5,FALSE)-VLOOKUP($A201,main!$A$3:$H$102,6,FALSE)&gt;=main!$D$103+VLOOKUP(VLOOKUP(Z$1,main!$A$3:$I$102,7,FALSE),main!$K$26:$Q$29,4,FALSE)),1,0)</f>
        <v>1</v>
      </c>
      <c r="AA201">
        <f>IF(AND(VLOOKUP(AA$1,main!$A$3:$H$102,7,FALSE)=main!$G$104,VLOOKUP(AA$1,main!$A$3:$H$102,5,FALSE)-VLOOKUP($A201,main!$A$3:$H$102,6,FALSE)&gt;=main!$D$103+VLOOKUP(VLOOKUP(AA$1,main!$A$3:$I$102,7,FALSE),main!$K$26:$Q$29,4,FALSE)),1,0)</f>
        <v>1</v>
      </c>
      <c r="AB201">
        <f>IF(AND(VLOOKUP(AB$1,main!$A$3:$H$102,7,FALSE)=main!$G$104,VLOOKUP(AB$1,main!$A$3:$H$102,5,FALSE)-VLOOKUP($A201,main!$A$3:$H$102,6,FALSE)&gt;=main!$D$103+VLOOKUP(VLOOKUP(AB$1,main!$A$3:$I$102,7,FALSE),main!$K$26:$Q$29,4,FALSE)),1,0)</f>
        <v>0</v>
      </c>
      <c r="AC201">
        <f>IF(AND(VLOOKUP(AC$1,main!$A$3:$H$102,7,FALSE)=main!$G$104,VLOOKUP(AC$1,main!$A$3:$H$102,5,FALSE)-VLOOKUP($A201,main!$A$3:$H$102,6,FALSE)&gt;=main!$D$103+VLOOKUP(VLOOKUP(AC$1,main!$A$3:$I$102,7,FALSE),main!$K$26:$Q$29,4,FALSE)),1,0)</f>
        <v>0</v>
      </c>
      <c r="AD201">
        <f>IF(AND(VLOOKUP(AD$1,main!$A$3:$H$102,7,FALSE)=main!$G$104,VLOOKUP(AD$1,main!$A$3:$H$102,5,FALSE)-VLOOKUP($A201,main!$A$3:$H$102,6,FALSE)&gt;=main!$D$103+VLOOKUP(VLOOKUP(AD$1,main!$A$3:$I$102,7,FALSE),main!$K$26:$Q$29,4,FALSE)),1,0)</f>
        <v>0</v>
      </c>
      <c r="AE201">
        <f>IF(AND(VLOOKUP(AE$1,main!$A$3:$H$102,7,FALSE)=main!$G$104,VLOOKUP(AE$1,main!$A$3:$H$102,5,FALSE)-VLOOKUP($A201,main!$A$3:$H$102,6,FALSE)&gt;=main!$D$103+VLOOKUP(VLOOKUP(AE$1,main!$A$3:$I$102,7,FALSE),main!$K$26:$Q$29,4,FALSE)),1,0)</f>
        <v>1</v>
      </c>
      <c r="AF201">
        <f>IF(AND(VLOOKUP(AF$1,main!$A$3:$H$102,7,FALSE)=main!$G$104,VLOOKUP(AF$1,main!$A$3:$H$102,5,FALSE)-VLOOKUP($A201,main!$A$3:$H$102,6,FALSE)&gt;=main!$D$103+VLOOKUP(VLOOKUP(AF$1,main!$A$3:$I$102,7,FALSE),main!$K$26:$Q$29,4,FALSE)),1,0)</f>
        <v>1</v>
      </c>
      <c r="AG201">
        <f>IF(AND(VLOOKUP(AG$1,main!$A$3:$H$102,7,FALSE)=main!$G$104,VLOOKUP(AG$1,main!$A$3:$H$102,5,FALSE)-VLOOKUP($A201,main!$A$3:$H$102,6,FALSE)&gt;=main!$D$103+VLOOKUP(VLOOKUP(AG$1,main!$A$3:$I$102,7,FALSE),main!$K$26:$Q$29,4,FALSE)),1,0)</f>
        <v>0</v>
      </c>
      <c r="AH201">
        <f>IF(AND(VLOOKUP(AH$1,main!$A$3:$H$102,7,FALSE)=main!$G$104,VLOOKUP(AH$1,main!$A$3:$H$102,5,FALSE)-VLOOKUP($A201,main!$A$3:$H$102,6,FALSE)&gt;=main!$D$103+VLOOKUP(VLOOKUP(AH$1,main!$A$3:$I$102,7,FALSE),main!$K$26:$Q$29,4,FALSE)),1,0)</f>
        <v>0</v>
      </c>
      <c r="AI201">
        <f>IF(AND(VLOOKUP(AI$1,main!$A$3:$H$102,7,FALSE)=main!$G$104,VLOOKUP(AI$1,main!$A$3:$H$102,5,FALSE)-VLOOKUP($A201,main!$A$3:$H$102,6,FALSE)&gt;=main!$D$103+VLOOKUP(VLOOKUP(AI$1,main!$A$3:$I$102,7,FALSE),main!$K$26:$Q$29,4,FALSE)),1,0)</f>
        <v>0</v>
      </c>
      <c r="AJ201">
        <f>IF(AND(VLOOKUP(AJ$1,main!$A$3:$H$102,7,FALSE)=main!$G$104,VLOOKUP(AJ$1,main!$A$3:$H$102,5,FALSE)-VLOOKUP($A201,main!$A$3:$H$102,6,FALSE)&gt;=main!$D$103+VLOOKUP(VLOOKUP(AJ$1,main!$A$3:$I$102,7,FALSE),main!$K$26:$Q$29,4,FALSE)),1,0)</f>
        <v>0</v>
      </c>
      <c r="AK201">
        <f>IF(AND(VLOOKUP(AK$1,main!$A$3:$H$102,7,FALSE)=main!$G$104,VLOOKUP(AK$1,main!$A$3:$H$102,5,FALSE)-VLOOKUP($A201,main!$A$3:$H$102,6,FALSE)&gt;=main!$D$103+VLOOKUP(VLOOKUP(AK$1,main!$A$3:$I$102,7,FALSE),main!$K$26:$Q$29,4,FALSE)),1,0)</f>
        <v>0</v>
      </c>
      <c r="AL201">
        <f>IF(AND(VLOOKUP(AL$1,main!$A$3:$H$102,7,FALSE)=main!$G$104,VLOOKUP(AL$1,main!$A$3:$H$102,5,FALSE)-VLOOKUP($A201,main!$A$3:$H$102,6,FALSE)&gt;=main!$D$103+VLOOKUP(VLOOKUP(AL$1,main!$A$3:$I$102,7,FALSE),main!$K$26:$Q$29,4,FALSE)),1,0)</f>
        <v>0</v>
      </c>
      <c r="AM201">
        <f>IF(AND(VLOOKUP(AM$1,main!$A$3:$H$102,7,FALSE)=main!$G$104,VLOOKUP(AM$1,main!$A$3:$H$102,5,FALSE)-VLOOKUP($A201,main!$A$3:$H$102,6,FALSE)&gt;=main!$D$103+VLOOKUP(VLOOKUP(AM$1,main!$A$3:$I$102,7,FALSE),main!$K$26:$Q$29,4,FALSE)),1,0)</f>
        <v>0</v>
      </c>
      <c r="AN201">
        <f>IF(AND(VLOOKUP(AN$1,main!$A$3:$H$102,7,FALSE)=main!$G$104,VLOOKUP(AN$1,main!$A$3:$H$102,5,FALSE)-VLOOKUP($A201,main!$A$3:$H$102,6,FALSE)&gt;=main!$D$103+VLOOKUP(VLOOKUP(AN$1,main!$A$3:$I$102,7,FALSE),main!$K$26:$Q$29,4,FALSE)),1,0)</f>
        <v>0</v>
      </c>
      <c r="AO201">
        <f>IF(AND(VLOOKUP(AO$1,main!$A$3:$H$102,7,FALSE)=main!$G$104,VLOOKUP(AO$1,main!$A$3:$H$102,5,FALSE)-VLOOKUP($A201,main!$A$3:$H$102,6,FALSE)&gt;=main!$D$103+VLOOKUP(VLOOKUP(AO$1,main!$A$3:$I$102,7,FALSE),main!$K$26:$Q$29,4,FALSE)),1,0)</f>
        <v>0</v>
      </c>
      <c r="AP201">
        <f>IF(AND(VLOOKUP(AP$1,main!$A$3:$H$102,7,FALSE)=main!$G$104,VLOOKUP(AP$1,main!$A$3:$H$102,5,FALSE)-VLOOKUP($A201,main!$A$3:$H$102,6,FALSE)&gt;=main!$D$103+VLOOKUP(VLOOKUP(AP$1,main!$A$3:$I$102,7,FALSE),main!$K$26:$Q$29,4,FALSE)),1,0)</f>
        <v>0</v>
      </c>
      <c r="AQ201">
        <f>IF(AND(VLOOKUP(AQ$1,main!$A$3:$H$102,7,FALSE)=main!$G$104,VLOOKUP(AQ$1,main!$A$3:$H$102,5,FALSE)-VLOOKUP($A201,main!$A$3:$H$102,6,FALSE)&gt;=main!$D$103+VLOOKUP(VLOOKUP(AQ$1,main!$A$3:$I$102,7,FALSE),main!$K$26:$Q$29,4,FALSE)),1,0)</f>
        <v>0</v>
      </c>
      <c r="AR201">
        <f>IF(AND(VLOOKUP(AR$1,main!$A$3:$H$102,7,FALSE)=main!$G$104,VLOOKUP(AR$1,main!$A$3:$H$102,5,FALSE)-VLOOKUP($A201,main!$A$3:$H$102,6,FALSE)&gt;=main!$D$103+VLOOKUP(VLOOKUP(AR$1,main!$A$3:$I$102,7,FALSE),main!$K$26:$Q$29,4,FALSE)),1,0)</f>
        <v>0</v>
      </c>
      <c r="AS201">
        <f>IF(AND(VLOOKUP(AS$1,main!$A$3:$H$102,7,FALSE)=main!$G$104,VLOOKUP(AS$1,main!$A$3:$H$102,5,FALSE)-VLOOKUP($A201,main!$A$3:$H$102,6,FALSE)&gt;=main!$D$103+VLOOKUP(VLOOKUP(AS$1,main!$A$3:$I$102,7,FALSE),main!$K$26:$Q$29,4,FALSE)),1,0)</f>
        <v>0</v>
      </c>
      <c r="AT201">
        <f>IF(AND(VLOOKUP(AT$1,main!$A$3:$H$102,7,FALSE)=main!$G$104,VLOOKUP(AT$1,main!$A$3:$H$102,5,FALSE)-VLOOKUP($A201,main!$A$3:$H$102,6,FALSE)&gt;=main!$D$103+VLOOKUP(VLOOKUP(AT$1,main!$A$3:$I$102,7,FALSE),main!$K$26:$Q$29,4,FALSE)),1,0)</f>
        <v>0</v>
      </c>
      <c r="AU201">
        <f>IF(AND(VLOOKUP(AU$1,main!$A$3:$H$102,7,FALSE)=main!$G$104,VLOOKUP(AU$1,main!$A$3:$H$102,5,FALSE)-VLOOKUP($A201,main!$A$3:$H$102,6,FALSE)&gt;=main!$D$103+VLOOKUP(VLOOKUP(AU$1,main!$A$3:$I$102,7,FALSE),main!$K$26:$Q$29,4,FALSE)),1,0)</f>
        <v>0</v>
      </c>
      <c r="AV201">
        <f>IF(AND(VLOOKUP(AV$1,main!$A$3:$H$102,7,FALSE)=main!$G$104,VLOOKUP(AV$1,main!$A$3:$H$102,5,FALSE)-VLOOKUP($A201,main!$A$3:$H$102,6,FALSE)&gt;=main!$D$103+VLOOKUP(VLOOKUP(AV$1,main!$A$3:$I$102,7,FALSE),main!$K$26:$Q$29,4,FALSE)),1,0)</f>
        <v>0</v>
      </c>
      <c r="AW201">
        <f>IF(AND(VLOOKUP(AW$1,main!$A$3:$H$102,7,FALSE)=main!$G$104,VLOOKUP(AW$1,main!$A$3:$H$102,5,FALSE)-VLOOKUP($A201,main!$A$3:$H$102,6,FALSE)&gt;=main!$D$103+VLOOKUP(VLOOKUP(AW$1,main!$A$3:$I$102,7,FALSE),main!$K$26:$Q$29,4,FALSE)),1,0)</f>
        <v>0</v>
      </c>
      <c r="AX201">
        <f>IF(AND(VLOOKUP(AX$1,main!$A$3:$H$102,7,FALSE)=main!$G$104,VLOOKUP(AX$1,main!$A$3:$H$102,5,FALSE)-VLOOKUP($A201,main!$A$3:$H$102,6,FALSE)&gt;=main!$D$103+VLOOKUP(VLOOKUP(AX$1,main!$A$3:$I$102,7,FALSE),main!$K$26:$Q$29,4,FALSE)),1,0)</f>
        <v>0</v>
      </c>
      <c r="AY201">
        <f>IF(AND(VLOOKUP(AY$1,main!$A$3:$H$102,7,FALSE)=main!$G$104,VLOOKUP(AY$1,main!$A$3:$H$102,5,FALSE)-VLOOKUP($A201,main!$A$3:$H$102,6,FALSE)&gt;=main!$D$103+VLOOKUP(VLOOKUP(AY$1,main!$A$3:$I$102,7,FALSE),main!$K$26:$Q$29,4,FALSE)),1,0)</f>
        <v>0</v>
      </c>
      <c r="AZ201">
        <f>IF(AND(VLOOKUP(AZ$1,main!$A$3:$H$102,7,FALSE)=main!$G$104,VLOOKUP(AZ$1,main!$A$3:$H$102,5,FALSE)-VLOOKUP($A201,main!$A$3:$H$102,6,FALSE)&gt;=main!$D$103+VLOOKUP(VLOOKUP(AZ$1,main!$A$3:$I$102,7,FALSE),main!$K$26:$Q$29,4,FALSE)),1,0)</f>
        <v>0</v>
      </c>
      <c r="BA201">
        <f>IF(AND(VLOOKUP(BA$1,main!$A$3:$H$102,7,FALSE)=main!$G$104,VLOOKUP(BA$1,main!$A$3:$H$102,5,FALSE)-VLOOKUP($A201,main!$A$3:$H$102,6,FALSE)&gt;=main!$D$103+VLOOKUP(VLOOKUP(BA$1,main!$A$3:$I$102,7,FALSE),main!$K$26:$Q$29,4,FALSE)),1,0)</f>
        <v>0</v>
      </c>
      <c r="BB201">
        <f>IF(AND(VLOOKUP(BB$1,main!$A$3:$H$102,7,FALSE)=main!$G$104,VLOOKUP(BB$1,main!$A$3:$H$102,5,FALSE)-VLOOKUP($A201,main!$A$3:$H$102,6,FALSE)&gt;=main!$D$103+VLOOKUP(VLOOKUP(BB$1,main!$A$3:$I$102,7,FALSE),main!$K$26:$Q$29,4,FALSE)),1,0)</f>
        <v>0</v>
      </c>
      <c r="BC201">
        <f>IF(AND(VLOOKUP(BC$1,main!$A$3:$H$102,7,FALSE)=main!$G$104,VLOOKUP(BC$1,main!$A$3:$H$102,5,FALSE)-VLOOKUP($A201,main!$A$3:$H$102,6,FALSE)&gt;=main!$D$103+VLOOKUP(VLOOKUP(BC$1,main!$A$3:$I$102,7,FALSE),main!$K$26:$Q$29,4,FALSE)),1,0)</f>
        <v>0</v>
      </c>
      <c r="BD201">
        <f>IF(AND(VLOOKUP(BD$1,main!$A$3:$H$102,7,FALSE)=main!$G$104,VLOOKUP(BD$1,main!$A$3:$H$102,5,FALSE)-VLOOKUP($A201,main!$A$3:$H$102,6,FALSE)&gt;=main!$D$103+VLOOKUP(VLOOKUP(BD$1,main!$A$3:$I$102,7,FALSE),main!$K$26:$Q$29,4,FALSE)),1,0)</f>
        <v>0</v>
      </c>
      <c r="BE201">
        <f>IF(AND(VLOOKUP(BE$1,main!$A$3:$H$102,7,FALSE)=main!$G$104,VLOOKUP(BE$1,main!$A$3:$H$102,5,FALSE)-VLOOKUP($A201,main!$A$3:$H$102,6,FALSE)&gt;=main!$D$103+VLOOKUP(VLOOKUP(BE$1,main!$A$3:$I$102,7,FALSE),main!$K$26:$Q$29,4,FALSE)),1,0)</f>
        <v>0</v>
      </c>
      <c r="BF201">
        <f>IF(AND(VLOOKUP(BF$1,main!$A$3:$H$102,7,FALSE)=main!$G$104,VLOOKUP(BF$1,main!$A$3:$H$102,5,FALSE)-VLOOKUP($A201,main!$A$3:$H$102,6,FALSE)&gt;=main!$D$103+VLOOKUP(VLOOKUP(BF$1,main!$A$3:$I$102,7,FALSE),main!$K$26:$Q$29,4,FALSE)),1,0)</f>
        <v>0</v>
      </c>
      <c r="BG201">
        <f>IF(AND(VLOOKUP(BG$1,main!$A$3:$H$102,7,FALSE)=main!$G$104,VLOOKUP(BG$1,main!$A$3:$H$102,5,FALSE)-VLOOKUP($A201,main!$A$3:$H$102,6,FALSE)&gt;=main!$D$103+VLOOKUP(VLOOKUP(BG$1,main!$A$3:$I$102,7,FALSE),main!$K$26:$Q$29,4,FALSE)),1,0)</f>
        <v>0</v>
      </c>
      <c r="BH201">
        <f>IF(AND(VLOOKUP(BH$1,main!$A$3:$H$102,7,FALSE)=main!$G$104,VLOOKUP(BH$1,main!$A$3:$H$102,5,FALSE)-VLOOKUP($A201,main!$A$3:$H$102,6,FALSE)&gt;=main!$D$103+VLOOKUP(VLOOKUP(BH$1,main!$A$3:$I$102,7,FALSE),main!$K$26:$Q$29,4,FALSE)),1,0)</f>
        <v>0</v>
      </c>
      <c r="BI201">
        <f>IF(AND(VLOOKUP(BI$1,main!$A$3:$H$102,7,FALSE)=main!$G$104,VLOOKUP(BI$1,main!$A$3:$H$102,5,FALSE)-VLOOKUP($A201,main!$A$3:$H$102,6,FALSE)&gt;=main!$D$103+VLOOKUP(VLOOKUP(BI$1,main!$A$3:$I$102,7,FALSE),main!$K$26:$Q$29,4,FALSE)),1,0)</f>
        <v>0</v>
      </c>
      <c r="BJ201">
        <f>IF(AND(VLOOKUP(BJ$1,main!$A$3:$H$102,7,FALSE)=main!$G$104,VLOOKUP(BJ$1,main!$A$3:$H$102,5,FALSE)-VLOOKUP($A201,main!$A$3:$H$102,6,FALSE)&gt;=main!$D$103+VLOOKUP(VLOOKUP(BJ$1,main!$A$3:$I$102,7,FALSE),main!$K$26:$Q$29,4,FALSE)),1,0)</f>
        <v>0</v>
      </c>
      <c r="BK201">
        <f>IF(AND(VLOOKUP(BK$1,main!$A$3:$H$102,7,FALSE)=main!$G$104,VLOOKUP(BK$1,main!$A$3:$H$102,5,FALSE)-VLOOKUP($A201,main!$A$3:$H$102,6,FALSE)&gt;=main!$D$103+VLOOKUP(VLOOKUP(BK$1,main!$A$3:$I$102,7,FALSE),main!$K$26:$Q$29,4,FALSE)),1,0)</f>
        <v>0</v>
      </c>
      <c r="BL201">
        <f>IF(AND(VLOOKUP(BL$1,main!$A$3:$H$102,7,FALSE)=main!$G$104,VLOOKUP(BL$1,main!$A$3:$H$102,5,FALSE)-VLOOKUP($A201,main!$A$3:$H$102,6,FALSE)&gt;=main!$D$103+VLOOKUP(VLOOKUP(BL$1,main!$A$3:$I$102,7,FALSE),main!$K$26:$Q$29,4,FALSE)),1,0)</f>
        <v>0</v>
      </c>
      <c r="BM201">
        <f>IF(AND(VLOOKUP(BM$1,main!$A$3:$H$102,7,FALSE)=main!$G$104,VLOOKUP(BM$1,main!$A$3:$H$102,5,FALSE)-VLOOKUP($A201,main!$A$3:$H$102,6,FALSE)&gt;=main!$D$103+VLOOKUP(VLOOKUP(BM$1,main!$A$3:$I$102,7,FALSE),main!$K$26:$Q$29,4,FALSE)),1,0)</f>
        <v>0</v>
      </c>
      <c r="BN201">
        <f>IF(AND(VLOOKUP(BN$1,main!$A$3:$H$102,7,FALSE)=main!$G$104,VLOOKUP(BN$1,main!$A$3:$H$102,5,FALSE)-VLOOKUP($A201,main!$A$3:$H$102,6,FALSE)&gt;=main!$D$103+VLOOKUP(VLOOKUP(BN$1,main!$A$3:$I$102,7,FALSE),main!$K$26:$Q$29,4,FALSE)),1,0)</f>
        <v>0</v>
      </c>
      <c r="BO201">
        <f>IF(AND(VLOOKUP(BO$1,main!$A$3:$H$102,7,FALSE)=main!$G$104,VLOOKUP(BO$1,main!$A$3:$H$102,5,FALSE)-VLOOKUP($A201,main!$A$3:$H$102,6,FALSE)&gt;=main!$D$103+VLOOKUP(VLOOKUP(BO$1,main!$A$3:$I$102,7,FALSE),main!$K$26:$Q$29,4,FALSE)),1,0)</f>
        <v>0</v>
      </c>
      <c r="BP201">
        <f>IF(AND(VLOOKUP(BP$1,main!$A$3:$H$102,7,FALSE)=main!$G$104,VLOOKUP(BP$1,main!$A$3:$H$102,5,FALSE)-VLOOKUP($A201,main!$A$3:$H$102,6,FALSE)&gt;=main!$D$103+VLOOKUP(VLOOKUP(BP$1,main!$A$3:$I$102,7,FALSE),main!$K$26:$Q$29,4,FALSE)),1,0)</f>
        <v>0</v>
      </c>
      <c r="BQ201">
        <f>IF(AND(VLOOKUP(BQ$1,main!$A$3:$H$102,7,FALSE)=main!$G$104,VLOOKUP(BQ$1,main!$A$3:$H$102,5,FALSE)-VLOOKUP($A201,main!$A$3:$H$102,6,FALSE)&gt;=main!$D$103+VLOOKUP(VLOOKUP(BQ$1,main!$A$3:$I$102,7,FALSE),main!$K$26:$Q$29,4,FALSE)),1,0)</f>
        <v>0</v>
      </c>
      <c r="BR201">
        <f>IF(AND(VLOOKUP(BR$1,main!$A$3:$H$102,7,FALSE)=main!$G$104,VLOOKUP(BR$1,main!$A$3:$H$102,5,FALSE)-VLOOKUP($A201,main!$A$3:$H$102,6,FALSE)&gt;=main!$D$103+VLOOKUP(VLOOKUP(BR$1,main!$A$3:$I$102,7,FALSE),main!$K$26:$Q$29,4,FALSE)),1,0)</f>
        <v>0</v>
      </c>
      <c r="BS201">
        <f>IF(AND(VLOOKUP(BS$1,main!$A$3:$H$102,7,FALSE)=main!$G$104,VLOOKUP(BS$1,main!$A$3:$H$102,5,FALSE)-VLOOKUP($A201,main!$A$3:$H$102,6,FALSE)&gt;=main!$D$103+VLOOKUP(VLOOKUP(BS$1,main!$A$3:$I$102,7,FALSE),main!$K$26:$Q$29,4,FALSE)),1,0)</f>
        <v>0</v>
      </c>
      <c r="BT201">
        <f>IF(AND(VLOOKUP(BT$1,main!$A$3:$H$102,7,FALSE)=main!$G$104,VLOOKUP(BT$1,main!$A$3:$H$102,5,FALSE)-VLOOKUP($A201,main!$A$3:$H$102,6,FALSE)&gt;=main!$D$103+VLOOKUP(VLOOKUP(BT$1,main!$A$3:$I$102,7,FALSE),main!$K$26:$Q$29,4,FALSE)),1,0)</f>
        <v>0</v>
      </c>
      <c r="BU201">
        <f>IF(AND(VLOOKUP(BU$1,main!$A$3:$H$102,7,FALSE)=main!$G$104,VLOOKUP(BU$1,main!$A$3:$H$102,5,FALSE)-VLOOKUP($A201,main!$A$3:$H$102,6,FALSE)&gt;=main!$D$103+VLOOKUP(VLOOKUP(BU$1,main!$A$3:$I$102,7,FALSE),main!$K$26:$Q$29,4,FALSE)),1,0)</f>
        <v>0</v>
      </c>
      <c r="BV201">
        <f>IF(AND(VLOOKUP(BV$1,main!$A$3:$H$102,7,FALSE)=main!$G$104,VLOOKUP(BV$1,main!$A$3:$H$102,5,FALSE)-VLOOKUP($A201,main!$A$3:$H$102,6,FALSE)&gt;=main!$D$103+VLOOKUP(VLOOKUP(BV$1,main!$A$3:$I$102,7,FALSE),main!$K$26:$Q$29,4,FALSE)),1,0)</f>
        <v>0</v>
      </c>
      <c r="BW201">
        <f>IF(AND(VLOOKUP(BW$1,main!$A$3:$H$102,7,FALSE)=main!$G$104,VLOOKUP(BW$1,main!$A$3:$H$102,5,FALSE)-VLOOKUP($A201,main!$A$3:$H$102,6,FALSE)&gt;=main!$D$103+VLOOKUP(VLOOKUP(BW$1,main!$A$3:$I$102,7,FALSE),main!$K$26:$Q$29,4,FALSE)),1,0)</f>
        <v>0</v>
      </c>
      <c r="BX201">
        <f>IF(AND(VLOOKUP(BX$1,main!$A$3:$H$102,7,FALSE)=main!$G$104,VLOOKUP(BX$1,main!$A$3:$H$102,5,FALSE)-VLOOKUP($A201,main!$A$3:$H$102,6,FALSE)&gt;=main!$D$103+VLOOKUP(VLOOKUP(BX$1,main!$A$3:$I$102,7,FALSE),main!$K$26:$Q$29,4,FALSE)),1,0)</f>
        <v>0</v>
      </c>
      <c r="BY201">
        <f>IF(AND(VLOOKUP(BY$1,main!$A$3:$H$102,7,FALSE)=main!$G$104,VLOOKUP(BY$1,main!$A$3:$H$102,5,FALSE)-VLOOKUP($A201,main!$A$3:$H$102,6,FALSE)&gt;=main!$D$103+VLOOKUP(VLOOKUP(BY$1,main!$A$3:$I$102,7,FALSE),main!$K$26:$Q$29,4,FALSE)),1,0)</f>
        <v>0</v>
      </c>
      <c r="BZ201">
        <f>IF(AND(VLOOKUP(BZ$1,main!$A$3:$H$102,7,FALSE)=main!$G$104,VLOOKUP(BZ$1,main!$A$3:$H$102,5,FALSE)-VLOOKUP($A201,main!$A$3:$H$102,6,FALSE)&gt;=main!$D$103+VLOOKUP(VLOOKUP(BZ$1,main!$A$3:$I$102,7,FALSE),main!$K$26:$Q$29,4,FALSE)),1,0)</f>
        <v>0</v>
      </c>
      <c r="CA201">
        <f>IF(AND(VLOOKUP(CA$1,main!$A$3:$H$102,7,FALSE)=main!$G$104,VLOOKUP(CA$1,main!$A$3:$H$102,5,FALSE)-VLOOKUP($A201,main!$A$3:$H$102,6,FALSE)&gt;=main!$D$103+VLOOKUP(VLOOKUP(CA$1,main!$A$3:$I$102,7,FALSE),main!$K$26:$Q$29,4,FALSE)),1,0)</f>
        <v>0</v>
      </c>
      <c r="CB201">
        <f>IF(AND(VLOOKUP(CB$1,main!$A$3:$H$102,7,FALSE)=main!$G$104,VLOOKUP(CB$1,main!$A$3:$H$102,5,FALSE)-VLOOKUP($A201,main!$A$3:$H$102,6,FALSE)&gt;=main!$D$103+VLOOKUP(VLOOKUP(CB$1,main!$A$3:$I$102,7,FALSE),main!$K$26:$Q$29,4,FALSE)),1,0)</f>
        <v>0</v>
      </c>
      <c r="CC201">
        <f>IF(AND(VLOOKUP(CC$1,main!$A$3:$H$102,7,FALSE)=main!$G$104,VLOOKUP(CC$1,main!$A$3:$H$102,5,FALSE)-VLOOKUP($A201,main!$A$3:$H$102,6,FALSE)&gt;=main!$D$103+VLOOKUP(VLOOKUP(CC$1,main!$A$3:$I$102,7,FALSE),main!$K$26:$Q$29,4,FALSE)),1,0)</f>
        <v>0</v>
      </c>
      <c r="CD201">
        <f>IF(AND(VLOOKUP(CD$1,main!$A$3:$H$102,7,FALSE)=main!$G$104,VLOOKUP(CD$1,main!$A$3:$H$102,5,FALSE)-VLOOKUP($A201,main!$A$3:$H$102,6,FALSE)&gt;=main!$D$103+VLOOKUP(VLOOKUP(CD$1,main!$A$3:$I$102,7,FALSE),main!$K$26:$Q$29,4,FALSE)),1,0)</f>
        <v>0</v>
      </c>
      <c r="CE201">
        <f>IF(AND(VLOOKUP(CE$1,main!$A$3:$H$102,7,FALSE)=main!$G$104,VLOOKUP(CE$1,main!$A$3:$H$102,5,FALSE)-VLOOKUP($A201,main!$A$3:$H$102,6,FALSE)&gt;=main!$D$103+VLOOKUP(VLOOKUP(CE$1,main!$A$3:$I$102,7,FALSE),main!$K$26:$Q$29,4,FALSE)),1,0)</f>
        <v>0</v>
      </c>
      <c r="CF201">
        <f>IF(AND(VLOOKUP(CF$1,main!$A$3:$H$102,7,FALSE)=main!$G$104,VLOOKUP(CF$1,main!$A$3:$H$102,5,FALSE)-VLOOKUP($A201,main!$A$3:$H$102,6,FALSE)&gt;=main!$D$103+VLOOKUP(VLOOKUP(CF$1,main!$A$3:$I$102,7,FALSE),main!$K$26:$Q$29,4,FALSE)),1,0)</f>
        <v>0</v>
      </c>
      <c r="CG201">
        <f>IF(AND(VLOOKUP(CG$1,main!$A$3:$H$102,7,FALSE)=main!$G$104,VLOOKUP(CG$1,main!$A$3:$H$102,5,FALSE)-VLOOKUP($A201,main!$A$3:$H$102,6,FALSE)&gt;=main!$D$103+VLOOKUP(VLOOKUP(CG$1,main!$A$3:$I$102,7,FALSE),main!$K$26:$Q$29,4,FALSE)),1,0)</f>
        <v>0</v>
      </c>
      <c r="CH201">
        <f>IF(AND(VLOOKUP(CH$1,main!$A$3:$H$102,7,FALSE)=main!$G$104,VLOOKUP(CH$1,main!$A$3:$H$102,5,FALSE)-VLOOKUP($A201,main!$A$3:$H$102,6,FALSE)&gt;=main!$D$103+VLOOKUP(VLOOKUP(CH$1,main!$A$3:$I$102,7,FALSE),main!$K$26:$Q$29,4,FALSE)),1,0)</f>
        <v>0</v>
      </c>
      <c r="CI201">
        <f>IF(AND(VLOOKUP(CI$1,main!$A$3:$H$102,7,FALSE)=main!$G$104,VLOOKUP(CI$1,main!$A$3:$H$102,5,FALSE)-VLOOKUP($A201,main!$A$3:$H$102,6,FALSE)&gt;=main!$D$103+VLOOKUP(VLOOKUP(CI$1,main!$A$3:$I$102,7,FALSE),main!$K$26:$Q$29,4,FALSE)),1,0)</f>
        <v>0</v>
      </c>
      <c r="CJ201">
        <f>IF(AND(VLOOKUP(CJ$1,main!$A$3:$H$102,7,FALSE)=main!$G$104,VLOOKUP(CJ$1,main!$A$3:$H$102,5,FALSE)-VLOOKUP($A201,main!$A$3:$H$102,6,FALSE)&gt;=main!$D$103+VLOOKUP(VLOOKUP(CJ$1,main!$A$3:$I$102,7,FALSE),main!$K$26:$Q$29,4,FALSE)),1,0)</f>
        <v>0</v>
      </c>
      <c r="CK201">
        <f>IF(AND(VLOOKUP(CK$1,main!$A$3:$H$102,7,FALSE)=main!$G$104,VLOOKUP(CK$1,main!$A$3:$H$102,5,FALSE)-VLOOKUP($A201,main!$A$3:$H$102,6,FALSE)&gt;=main!$D$103+VLOOKUP(VLOOKUP(CK$1,main!$A$3:$I$102,7,FALSE),main!$K$26:$Q$29,4,FALSE)),1,0)</f>
        <v>0</v>
      </c>
      <c r="CL201">
        <f>IF(AND(VLOOKUP(CL$1,main!$A$3:$H$102,7,FALSE)=main!$G$104,VLOOKUP(CL$1,main!$A$3:$H$102,5,FALSE)-VLOOKUP($A201,main!$A$3:$H$102,6,FALSE)&gt;=main!$D$103+VLOOKUP(VLOOKUP(CL$1,main!$A$3:$I$102,7,FALSE),main!$K$26:$Q$29,4,FALSE)),1,0)</f>
        <v>0</v>
      </c>
      <c r="CM201">
        <f>IF(AND(VLOOKUP(CM$1,main!$A$3:$H$102,7,FALSE)=main!$G$104,VLOOKUP(CM$1,main!$A$3:$H$102,5,FALSE)-VLOOKUP($A201,main!$A$3:$H$102,6,FALSE)&gt;=main!$D$103+VLOOKUP(VLOOKUP(CM$1,main!$A$3:$I$102,7,FALSE),main!$K$26:$Q$29,4,FALSE)),1,0)</f>
        <v>0</v>
      </c>
      <c r="CN201">
        <f>IF(AND(VLOOKUP(CN$1,main!$A$3:$H$102,7,FALSE)=main!$G$104,VLOOKUP(CN$1,main!$A$3:$H$102,5,FALSE)-VLOOKUP($A201,main!$A$3:$H$102,6,FALSE)&gt;=main!$D$103+VLOOKUP(VLOOKUP(CN$1,main!$A$3:$I$102,7,FALSE),main!$K$26:$Q$29,4,FALSE)),1,0)</f>
        <v>0</v>
      </c>
      <c r="CO201">
        <f>IF(AND(VLOOKUP(CO$1,main!$A$3:$H$102,7,FALSE)=main!$G$104,VLOOKUP(CO$1,main!$A$3:$H$102,5,FALSE)-VLOOKUP($A201,main!$A$3:$H$102,6,FALSE)&gt;=main!$D$103+VLOOKUP(VLOOKUP(CO$1,main!$A$3:$I$102,7,FALSE),main!$K$26:$Q$29,4,FALSE)),1,0)</f>
        <v>0</v>
      </c>
      <c r="CP201">
        <f>IF(AND(VLOOKUP(CP$1,main!$A$3:$H$102,7,FALSE)=main!$G$104,VLOOKUP(CP$1,main!$A$3:$H$102,5,FALSE)-VLOOKUP($A201,main!$A$3:$H$102,6,FALSE)&gt;=main!$D$103+VLOOKUP(VLOOKUP(CP$1,main!$A$3:$I$102,7,FALSE),main!$K$26:$Q$29,4,FALSE)),1,0)</f>
        <v>0</v>
      </c>
      <c r="CQ201">
        <f>IF(AND(VLOOKUP(CQ$1,main!$A$3:$H$102,7,FALSE)=main!$G$104,VLOOKUP(CQ$1,main!$A$3:$H$102,5,FALSE)-VLOOKUP($A201,main!$A$3:$H$102,6,FALSE)&gt;=main!$D$103+VLOOKUP(VLOOKUP(CQ$1,main!$A$3:$I$102,7,FALSE),main!$K$26:$Q$29,4,FALSE)),1,0)</f>
        <v>0</v>
      </c>
      <c r="CR201">
        <f>IF(AND(VLOOKUP(CR$1,main!$A$3:$H$102,7,FALSE)=main!$G$104,VLOOKUP(CR$1,main!$A$3:$H$102,5,FALSE)-VLOOKUP($A201,main!$A$3:$H$102,6,FALSE)&gt;=main!$D$103+VLOOKUP(VLOOKUP(CR$1,main!$A$3:$I$102,7,FALSE),main!$K$26:$Q$29,4,FALSE)),1,0)</f>
        <v>0</v>
      </c>
      <c r="CS201">
        <f>IF(AND(VLOOKUP(CS$1,main!$A$3:$H$102,7,FALSE)=main!$G$104,VLOOKUP(CS$1,main!$A$3:$H$102,5,FALSE)-VLOOKUP($A201,main!$A$3:$H$102,6,FALSE)&gt;=main!$D$103+VLOOKUP(VLOOKUP(CS$1,main!$A$3:$I$102,7,FALSE),main!$K$26:$Q$29,4,FALSE)),1,0)</f>
        <v>0</v>
      </c>
      <c r="CT201">
        <f>IF(AND(VLOOKUP(CT$1,main!$A$3:$H$102,7,FALSE)=main!$G$104,VLOOKUP(CT$1,main!$A$3:$H$102,5,FALSE)-VLOOKUP($A201,main!$A$3:$H$102,6,FALSE)&gt;=main!$D$103+VLOOKUP(VLOOKUP(CT$1,main!$A$3:$I$102,7,FALSE),main!$K$26:$Q$29,4,FALSE)),1,0)</f>
        <v>0</v>
      </c>
      <c r="CU201">
        <f>IF(AND(VLOOKUP(CU$1,main!$A$3:$H$102,7,FALSE)=main!$G$104,VLOOKUP(CU$1,main!$A$3:$H$102,5,FALSE)-VLOOKUP($A201,main!$A$3:$H$102,6,FALSE)&gt;=main!$D$103+VLOOKUP(VLOOKUP(CU$1,main!$A$3:$I$102,7,FALSE),main!$K$26:$Q$29,4,FALSE)),1,0)</f>
        <v>0</v>
      </c>
      <c r="CV201">
        <f>IF(AND(VLOOKUP(CV$1,main!$A$3:$H$102,7,FALSE)=main!$G$104,VLOOKUP(CV$1,main!$A$3:$H$102,5,FALSE)-VLOOKUP($A201,main!$A$3:$H$102,6,FALSE)&gt;=main!$D$103+VLOOKUP(VLOOKUP(CV$1,main!$A$3:$I$102,7,FALSE),main!$K$26:$Q$29,4,FALSE)),1,0)</f>
        <v>0</v>
      </c>
      <c r="CW201">
        <f>IF(AND(VLOOKUP(CW$1,main!$A$3:$H$102,7,FALSE)=main!$G$104,VLOOKUP(CW$1,main!$A$3:$H$102,5,FALSE)-VLOOKUP($A201,main!$A$3:$H$102,6,FALSE)&gt;=main!$D$103+VLOOKUP(VLOOKUP(CW$1,main!$A$3:$I$102,7,FALSE),main!$K$26:$Q$29,4,FALSE)),1,0)</f>
        <v>0</v>
      </c>
      <c r="CX201">
        <f>IF(AND(VLOOKUP(CX$1,main!$A$3:$H$102,7,FALSE)=main!$G$104,VLOOKUP(CX$1,main!$A$3:$H$102,5,FALSE)-VLOOKUP($A201,main!$A$3:$H$102,6,FALSE)&gt;=main!$D$103+VLOOKUP(VLOOKUP(CX$1,main!$A$3:$I$102,7,FALSE),main!$K$26:$Q$29,4,FALSE)),1,0)</f>
        <v>0</v>
      </c>
    </row>
    <row r="202" spans="1:102" x14ac:dyDescent="0.25">
      <c r="A202" s="1">
        <v>99</v>
      </c>
      <c r="B202">
        <v>0</v>
      </c>
      <c r="C202">
        <f>IF(AND(VLOOKUP(C$1,main!$A$3:$H$102,7,FALSE)=main!$G$104,VLOOKUP(C$1,main!$A$3:$H$102,5,FALSE)-VLOOKUP($A202,main!$A$3:$H$102,6,FALSE)&gt;=main!$D$103+VLOOKUP(VLOOKUP(C$1,main!$A$3:$I$102,7,FALSE),main!$K$26:$Q$29,4,FALSE)),1,0)</f>
        <v>0</v>
      </c>
      <c r="D202">
        <f>IF(AND(VLOOKUP(D$1,main!$A$3:$H$102,7,FALSE)=main!$G$104,VLOOKUP(D$1,main!$A$3:$H$102,5,FALSE)-VLOOKUP($A202,main!$A$3:$H$102,6,FALSE)&gt;=main!$D$103+VLOOKUP(VLOOKUP(D$1,main!$A$3:$I$102,7,FALSE),main!$K$26:$Q$29,4,FALSE)),1,0)</f>
        <v>0</v>
      </c>
      <c r="E202">
        <f>IF(AND(VLOOKUP(E$1,main!$A$3:$H$102,7,FALSE)=main!$G$104,VLOOKUP(E$1,main!$A$3:$H$102,5,FALSE)-VLOOKUP($A202,main!$A$3:$H$102,6,FALSE)&gt;=main!$D$103+VLOOKUP(VLOOKUP(E$1,main!$A$3:$I$102,7,FALSE),main!$K$26:$Q$29,4,FALSE)),1,0)</f>
        <v>0</v>
      </c>
      <c r="F202">
        <f>IF(AND(VLOOKUP(F$1,main!$A$3:$H$102,7,FALSE)=main!$G$104,VLOOKUP(F$1,main!$A$3:$H$102,5,FALSE)-VLOOKUP($A202,main!$A$3:$H$102,6,FALSE)&gt;=main!$D$103+VLOOKUP(VLOOKUP(F$1,main!$A$3:$I$102,7,FALSE),main!$K$26:$Q$29,4,FALSE)),1,0)</f>
        <v>0</v>
      </c>
      <c r="G202">
        <f>IF(AND(VLOOKUP(G$1,main!$A$3:$H$102,7,FALSE)=main!$G$104,VLOOKUP(G$1,main!$A$3:$H$102,5,FALSE)-VLOOKUP($A202,main!$A$3:$H$102,6,FALSE)&gt;=main!$D$103+VLOOKUP(VLOOKUP(G$1,main!$A$3:$I$102,7,FALSE),main!$K$26:$Q$29,4,FALSE)),1,0)</f>
        <v>0</v>
      </c>
      <c r="H202">
        <f>IF(AND(VLOOKUP(H$1,main!$A$3:$H$102,7,FALSE)=main!$G$104,VLOOKUP(H$1,main!$A$3:$H$102,5,FALSE)-VLOOKUP($A202,main!$A$3:$H$102,6,FALSE)&gt;=main!$D$103+VLOOKUP(VLOOKUP(H$1,main!$A$3:$I$102,7,FALSE),main!$K$26:$Q$29,4,FALSE)),1,0)</f>
        <v>0</v>
      </c>
      <c r="I202">
        <f>IF(AND(VLOOKUP(I$1,main!$A$3:$H$102,7,FALSE)=main!$G$104,VLOOKUP(I$1,main!$A$3:$H$102,5,FALSE)-VLOOKUP($A202,main!$A$3:$H$102,6,FALSE)&gt;=main!$D$103+VLOOKUP(VLOOKUP(I$1,main!$A$3:$I$102,7,FALSE),main!$K$26:$Q$29,4,FALSE)),1,0)</f>
        <v>0</v>
      </c>
      <c r="J202">
        <f>IF(AND(VLOOKUP(J$1,main!$A$3:$H$102,7,FALSE)=main!$G$104,VLOOKUP(J$1,main!$A$3:$H$102,5,FALSE)-VLOOKUP($A202,main!$A$3:$H$102,6,FALSE)&gt;=main!$D$103+VLOOKUP(VLOOKUP(J$1,main!$A$3:$I$102,7,FALSE),main!$K$26:$Q$29,4,FALSE)),1,0)</f>
        <v>0</v>
      </c>
      <c r="K202">
        <f>IF(AND(VLOOKUP(K$1,main!$A$3:$H$102,7,FALSE)=main!$G$104,VLOOKUP(K$1,main!$A$3:$H$102,5,FALSE)-VLOOKUP($A202,main!$A$3:$H$102,6,FALSE)&gt;=main!$D$103+VLOOKUP(VLOOKUP(K$1,main!$A$3:$I$102,7,FALSE),main!$K$26:$Q$29,4,FALSE)),1,0)</f>
        <v>0</v>
      </c>
      <c r="L202">
        <f>IF(AND(VLOOKUP(L$1,main!$A$3:$H$102,7,FALSE)=main!$G$104,VLOOKUP(L$1,main!$A$3:$H$102,5,FALSE)-VLOOKUP($A202,main!$A$3:$H$102,6,FALSE)&gt;=main!$D$103+VLOOKUP(VLOOKUP(L$1,main!$A$3:$I$102,7,FALSE),main!$K$26:$Q$29,4,FALSE)),1,0)</f>
        <v>1</v>
      </c>
      <c r="M202">
        <f>IF(AND(VLOOKUP(M$1,main!$A$3:$H$102,7,FALSE)=main!$G$104,VLOOKUP(M$1,main!$A$3:$H$102,5,FALSE)-VLOOKUP($A202,main!$A$3:$H$102,6,FALSE)&gt;=main!$D$103+VLOOKUP(VLOOKUP(M$1,main!$A$3:$I$102,7,FALSE),main!$K$26:$Q$29,4,FALSE)),1,0)</f>
        <v>0</v>
      </c>
      <c r="N202">
        <f>IF(AND(VLOOKUP(N$1,main!$A$3:$H$102,7,FALSE)=main!$G$104,VLOOKUP(N$1,main!$A$3:$H$102,5,FALSE)-VLOOKUP($A202,main!$A$3:$H$102,6,FALSE)&gt;=main!$D$103+VLOOKUP(VLOOKUP(N$1,main!$A$3:$I$102,7,FALSE),main!$K$26:$Q$29,4,FALSE)),1,0)</f>
        <v>0</v>
      </c>
      <c r="O202">
        <f>IF(AND(VLOOKUP(O$1,main!$A$3:$H$102,7,FALSE)=main!$G$104,VLOOKUP(O$1,main!$A$3:$H$102,5,FALSE)-VLOOKUP($A202,main!$A$3:$H$102,6,FALSE)&gt;=main!$D$103+VLOOKUP(VLOOKUP(O$1,main!$A$3:$I$102,7,FALSE),main!$K$26:$Q$29,4,FALSE)),1,0)</f>
        <v>0</v>
      </c>
      <c r="P202">
        <f>IF(AND(VLOOKUP(P$1,main!$A$3:$H$102,7,FALSE)=main!$G$104,VLOOKUP(P$1,main!$A$3:$H$102,5,FALSE)-VLOOKUP($A202,main!$A$3:$H$102,6,FALSE)&gt;=main!$D$103+VLOOKUP(VLOOKUP(P$1,main!$A$3:$I$102,7,FALSE),main!$K$26:$Q$29,4,FALSE)),1,0)</f>
        <v>0</v>
      </c>
      <c r="Q202">
        <f>IF(AND(VLOOKUP(Q$1,main!$A$3:$H$102,7,FALSE)=main!$G$104,VLOOKUP(Q$1,main!$A$3:$H$102,5,FALSE)-VLOOKUP($A202,main!$A$3:$H$102,6,FALSE)&gt;=main!$D$103+VLOOKUP(VLOOKUP(Q$1,main!$A$3:$I$102,7,FALSE),main!$K$26:$Q$29,4,FALSE)),1,0)</f>
        <v>0</v>
      </c>
      <c r="R202">
        <f>IF(AND(VLOOKUP(R$1,main!$A$3:$H$102,7,FALSE)=main!$G$104,VLOOKUP(R$1,main!$A$3:$H$102,5,FALSE)-VLOOKUP($A202,main!$A$3:$H$102,6,FALSE)&gt;=main!$D$103+VLOOKUP(VLOOKUP(R$1,main!$A$3:$I$102,7,FALSE),main!$K$26:$Q$29,4,FALSE)),1,0)</f>
        <v>0</v>
      </c>
      <c r="S202">
        <f>IF(AND(VLOOKUP(S$1,main!$A$3:$H$102,7,FALSE)=main!$G$104,VLOOKUP(S$1,main!$A$3:$H$102,5,FALSE)-VLOOKUP($A202,main!$A$3:$H$102,6,FALSE)&gt;=main!$D$103+VLOOKUP(VLOOKUP(S$1,main!$A$3:$I$102,7,FALSE),main!$K$26:$Q$29,4,FALSE)),1,0)</f>
        <v>0</v>
      </c>
      <c r="T202">
        <f>IF(AND(VLOOKUP(T$1,main!$A$3:$H$102,7,FALSE)=main!$G$104,VLOOKUP(T$1,main!$A$3:$H$102,5,FALSE)-VLOOKUP($A202,main!$A$3:$H$102,6,FALSE)&gt;=main!$D$103+VLOOKUP(VLOOKUP(T$1,main!$A$3:$I$102,7,FALSE),main!$K$26:$Q$29,4,FALSE)),1,0)</f>
        <v>0</v>
      </c>
      <c r="U202">
        <f>IF(AND(VLOOKUP(U$1,main!$A$3:$H$102,7,FALSE)=main!$G$104,VLOOKUP(U$1,main!$A$3:$H$102,5,FALSE)-VLOOKUP($A202,main!$A$3:$H$102,6,FALSE)&gt;=main!$D$103+VLOOKUP(VLOOKUP(U$1,main!$A$3:$I$102,7,FALSE),main!$K$26:$Q$29,4,FALSE)),1,0)</f>
        <v>1</v>
      </c>
      <c r="V202">
        <f>IF(AND(VLOOKUP(V$1,main!$A$3:$H$102,7,FALSE)=main!$G$104,VLOOKUP(V$1,main!$A$3:$H$102,5,FALSE)-VLOOKUP($A202,main!$A$3:$H$102,6,FALSE)&gt;=main!$D$103+VLOOKUP(VLOOKUP(V$1,main!$A$3:$I$102,7,FALSE),main!$K$26:$Q$29,4,FALSE)),1,0)</f>
        <v>1</v>
      </c>
      <c r="W202">
        <f>IF(AND(VLOOKUP(W$1,main!$A$3:$H$102,7,FALSE)=main!$G$104,VLOOKUP(W$1,main!$A$3:$H$102,5,FALSE)-VLOOKUP($A202,main!$A$3:$H$102,6,FALSE)&gt;=main!$D$103+VLOOKUP(VLOOKUP(W$1,main!$A$3:$I$102,7,FALSE),main!$K$26:$Q$29,4,FALSE)),1,0)</f>
        <v>0</v>
      </c>
      <c r="X202">
        <f>IF(AND(VLOOKUP(X$1,main!$A$3:$H$102,7,FALSE)=main!$G$104,VLOOKUP(X$1,main!$A$3:$H$102,5,FALSE)-VLOOKUP($A202,main!$A$3:$H$102,6,FALSE)&gt;=main!$D$103+VLOOKUP(VLOOKUP(X$1,main!$A$3:$I$102,7,FALSE),main!$K$26:$Q$29,4,FALSE)),1,0)</f>
        <v>0</v>
      </c>
      <c r="Y202">
        <f>IF(AND(VLOOKUP(Y$1,main!$A$3:$H$102,7,FALSE)=main!$G$104,VLOOKUP(Y$1,main!$A$3:$H$102,5,FALSE)-VLOOKUP($A202,main!$A$3:$H$102,6,FALSE)&gt;=main!$D$103+VLOOKUP(VLOOKUP(Y$1,main!$A$3:$I$102,7,FALSE),main!$K$26:$Q$29,4,FALSE)),1,0)</f>
        <v>0</v>
      </c>
      <c r="Z202">
        <f>IF(AND(VLOOKUP(Z$1,main!$A$3:$H$102,7,FALSE)=main!$G$104,VLOOKUP(Z$1,main!$A$3:$H$102,5,FALSE)-VLOOKUP($A202,main!$A$3:$H$102,6,FALSE)&gt;=main!$D$103+VLOOKUP(VLOOKUP(Z$1,main!$A$3:$I$102,7,FALSE),main!$K$26:$Q$29,4,FALSE)),1,0)</f>
        <v>0</v>
      </c>
      <c r="AA202">
        <f>IF(AND(VLOOKUP(AA$1,main!$A$3:$H$102,7,FALSE)=main!$G$104,VLOOKUP(AA$1,main!$A$3:$H$102,5,FALSE)-VLOOKUP($A202,main!$A$3:$H$102,6,FALSE)&gt;=main!$D$103+VLOOKUP(VLOOKUP(AA$1,main!$A$3:$I$102,7,FALSE),main!$K$26:$Q$29,4,FALSE)),1,0)</f>
        <v>1</v>
      </c>
      <c r="AB202">
        <f>IF(AND(VLOOKUP(AB$1,main!$A$3:$H$102,7,FALSE)=main!$G$104,VLOOKUP(AB$1,main!$A$3:$H$102,5,FALSE)-VLOOKUP($A202,main!$A$3:$H$102,6,FALSE)&gt;=main!$D$103+VLOOKUP(VLOOKUP(AB$1,main!$A$3:$I$102,7,FALSE),main!$K$26:$Q$29,4,FALSE)),1,0)</f>
        <v>0</v>
      </c>
      <c r="AC202">
        <f>IF(AND(VLOOKUP(AC$1,main!$A$3:$H$102,7,FALSE)=main!$G$104,VLOOKUP(AC$1,main!$A$3:$H$102,5,FALSE)-VLOOKUP($A202,main!$A$3:$H$102,6,FALSE)&gt;=main!$D$103+VLOOKUP(VLOOKUP(AC$1,main!$A$3:$I$102,7,FALSE),main!$K$26:$Q$29,4,FALSE)),1,0)</f>
        <v>0</v>
      </c>
      <c r="AD202">
        <f>IF(AND(VLOOKUP(AD$1,main!$A$3:$H$102,7,FALSE)=main!$G$104,VLOOKUP(AD$1,main!$A$3:$H$102,5,FALSE)-VLOOKUP($A202,main!$A$3:$H$102,6,FALSE)&gt;=main!$D$103+VLOOKUP(VLOOKUP(AD$1,main!$A$3:$I$102,7,FALSE),main!$K$26:$Q$29,4,FALSE)),1,0)</f>
        <v>0</v>
      </c>
      <c r="AE202">
        <f>IF(AND(VLOOKUP(AE$1,main!$A$3:$H$102,7,FALSE)=main!$G$104,VLOOKUP(AE$1,main!$A$3:$H$102,5,FALSE)-VLOOKUP($A202,main!$A$3:$H$102,6,FALSE)&gt;=main!$D$103+VLOOKUP(VLOOKUP(AE$1,main!$A$3:$I$102,7,FALSE),main!$K$26:$Q$29,4,FALSE)),1,0)</f>
        <v>0</v>
      </c>
      <c r="AF202">
        <f>IF(AND(VLOOKUP(AF$1,main!$A$3:$H$102,7,FALSE)=main!$G$104,VLOOKUP(AF$1,main!$A$3:$H$102,5,FALSE)-VLOOKUP($A202,main!$A$3:$H$102,6,FALSE)&gt;=main!$D$103+VLOOKUP(VLOOKUP(AF$1,main!$A$3:$I$102,7,FALSE),main!$K$26:$Q$29,4,FALSE)),1,0)</f>
        <v>0</v>
      </c>
      <c r="AG202">
        <f>IF(AND(VLOOKUP(AG$1,main!$A$3:$H$102,7,FALSE)=main!$G$104,VLOOKUP(AG$1,main!$A$3:$H$102,5,FALSE)-VLOOKUP($A202,main!$A$3:$H$102,6,FALSE)&gt;=main!$D$103+VLOOKUP(VLOOKUP(AG$1,main!$A$3:$I$102,7,FALSE),main!$K$26:$Q$29,4,FALSE)),1,0)</f>
        <v>0</v>
      </c>
      <c r="AH202">
        <f>IF(AND(VLOOKUP(AH$1,main!$A$3:$H$102,7,FALSE)=main!$G$104,VLOOKUP(AH$1,main!$A$3:$H$102,5,FALSE)-VLOOKUP($A202,main!$A$3:$H$102,6,FALSE)&gt;=main!$D$103+VLOOKUP(VLOOKUP(AH$1,main!$A$3:$I$102,7,FALSE),main!$K$26:$Q$29,4,FALSE)),1,0)</f>
        <v>0</v>
      </c>
      <c r="AI202">
        <f>IF(AND(VLOOKUP(AI$1,main!$A$3:$H$102,7,FALSE)=main!$G$104,VLOOKUP(AI$1,main!$A$3:$H$102,5,FALSE)-VLOOKUP($A202,main!$A$3:$H$102,6,FALSE)&gt;=main!$D$103+VLOOKUP(VLOOKUP(AI$1,main!$A$3:$I$102,7,FALSE),main!$K$26:$Q$29,4,FALSE)),1,0)</f>
        <v>0</v>
      </c>
      <c r="AJ202">
        <f>IF(AND(VLOOKUP(AJ$1,main!$A$3:$H$102,7,FALSE)=main!$G$104,VLOOKUP(AJ$1,main!$A$3:$H$102,5,FALSE)-VLOOKUP($A202,main!$A$3:$H$102,6,FALSE)&gt;=main!$D$103+VLOOKUP(VLOOKUP(AJ$1,main!$A$3:$I$102,7,FALSE),main!$K$26:$Q$29,4,FALSE)),1,0)</f>
        <v>0</v>
      </c>
      <c r="AK202">
        <f>IF(AND(VLOOKUP(AK$1,main!$A$3:$H$102,7,FALSE)=main!$G$104,VLOOKUP(AK$1,main!$A$3:$H$102,5,FALSE)-VLOOKUP($A202,main!$A$3:$H$102,6,FALSE)&gt;=main!$D$103+VLOOKUP(VLOOKUP(AK$1,main!$A$3:$I$102,7,FALSE),main!$K$26:$Q$29,4,FALSE)),1,0)</f>
        <v>0</v>
      </c>
      <c r="AL202">
        <f>IF(AND(VLOOKUP(AL$1,main!$A$3:$H$102,7,FALSE)=main!$G$104,VLOOKUP(AL$1,main!$A$3:$H$102,5,FALSE)-VLOOKUP($A202,main!$A$3:$H$102,6,FALSE)&gt;=main!$D$103+VLOOKUP(VLOOKUP(AL$1,main!$A$3:$I$102,7,FALSE),main!$K$26:$Q$29,4,FALSE)),1,0)</f>
        <v>0</v>
      </c>
      <c r="AM202">
        <f>IF(AND(VLOOKUP(AM$1,main!$A$3:$H$102,7,FALSE)=main!$G$104,VLOOKUP(AM$1,main!$A$3:$H$102,5,FALSE)-VLOOKUP($A202,main!$A$3:$H$102,6,FALSE)&gt;=main!$D$103+VLOOKUP(VLOOKUP(AM$1,main!$A$3:$I$102,7,FALSE),main!$K$26:$Q$29,4,FALSE)),1,0)</f>
        <v>0</v>
      </c>
      <c r="AN202">
        <f>IF(AND(VLOOKUP(AN$1,main!$A$3:$H$102,7,FALSE)=main!$G$104,VLOOKUP(AN$1,main!$A$3:$H$102,5,FALSE)-VLOOKUP($A202,main!$A$3:$H$102,6,FALSE)&gt;=main!$D$103+VLOOKUP(VLOOKUP(AN$1,main!$A$3:$I$102,7,FALSE),main!$K$26:$Q$29,4,FALSE)),1,0)</f>
        <v>0</v>
      </c>
      <c r="AO202">
        <f>IF(AND(VLOOKUP(AO$1,main!$A$3:$H$102,7,FALSE)=main!$G$104,VLOOKUP(AO$1,main!$A$3:$H$102,5,FALSE)-VLOOKUP($A202,main!$A$3:$H$102,6,FALSE)&gt;=main!$D$103+VLOOKUP(VLOOKUP(AO$1,main!$A$3:$I$102,7,FALSE),main!$K$26:$Q$29,4,FALSE)),1,0)</f>
        <v>0</v>
      </c>
      <c r="AP202">
        <f>IF(AND(VLOOKUP(AP$1,main!$A$3:$H$102,7,FALSE)=main!$G$104,VLOOKUP(AP$1,main!$A$3:$H$102,5,FALSE)-VLOOKUP($A202,main!$A$3:$H$102,6,FALSE)&gt;=main!$D$103+VLOOKUP(VLOOKUP(AP$1,main!$A$3:$I$102,7,FALSE),main!$K$26:$Q$29,4,FALSE)),1,0)</f>
        <v>0</v>
      </c>
      <c r="AQ202">
        <f>IF(AND(VLOOKUP(AQ$1,main!$A$3:$H$102,7,FALSE)=main!$G$104,VLOOKUP(AQ$1,main!$A$3:$H$102,5,FALSE)-VLOOKUP($A202,main!$A$3:$H$102,6,FALSE)&gt;=main!$D$103+VLOOKUP(VLOOKUP(AQ$1,main!$A$3:$I$102,7,FALSE),main!$K$26:$Q$29,4,FALSE)),1,0)</f>
        <v>0</v>
      </c>
      <c r="AR202">
        <f>IF(AND(VLOOKUP(AR$1,main!$A$3:$H$102,7,FALSE)=main!$G$104,VLOOKUP(AR$1,main!$A$3:$H$102,5,FALSE)-VLOOKUP($A202,main!$A$3:$H$102,6,FALSE)&gt;=main!$D$103+VLOOKUP(VLOOKUP(AR$1,main!$A$3:$I$102,7,FALSE),main!$K$26:$Q$29,4,FALSE)),1,0)</f>
        <v>0</v>
      </c>
      <c r="AS202">
        <f>IF(AND(VLOOKUP(AS$1,main!$A$3:$H$102,7,FALSE)=main!$G$104,VLOOKUP(AS$1,main!$A$3:$H$102,5,FALSE)-VLOOKUP($A202,main!$A$3:$H$102,6,FALSE)&gt;=main!$D$103+VLOOKUP(VLOOKUP(AS$1,main!$A$3:$I$102,7,FALSE),main!$K$26:$Q$29,4,FALSE)),1,0)</f>
        <v>0</v>
      </c>
      <c r="AT202">
        <f>IF(AND(VLOOKUP(AT$1,main!$A$3:$H$102,7,FALSE)=main!$G$104,VLOOKUP(AT$1,main!$A$3:$H$102,5,FALSE)-VLOOKUP($A202,main!$A$3:$H$102,6,FALSE)&gt;=main!$D$103+VLOOKUP(VLOOKUP(AT$1,main!$A$3:$I$102,7,FALSE),main!$K$26:$Q$29,4,FALSE)),1,0)</f>
        <v>0</v>
      </c>
      <c r="AU202">
        <f>IF(AND(VLOOKUP(AU$1,main!$A$3:$H$102,7,FALSE)=main!$G$104,VLOOKUP(AU$1,main!$A$3:$H$102,5,FALSE)-VLOOKUP($A202,main!$A$3:$H$102,6,FALSE)&gt;=main!$D$103+VLOOKUP(VLOOKUP(AU$1,main!$A$3:$I$102,7,FALSE),main!$K$26:$Q$29,4,FALSE)),1,0)</f>
        <v>0</v>
      </c>
      <c r="AV202">
        <f>IF(AND(VLOOKUP(AV$1,main!$A$3:$H$102,7,FALSE)=main!$G$104,VLOOKUP(AV$1,main!$A$3:$H$102,5,FALSE)-VLOOKUP($A202,main!$A$3:$H$102,6,FALSE)&gt;=main!$D$103+VLOOKUP(VLOOKUP(AV$1,main!$A$3:$I$102,7,FALSE),main!$K$26:$Q$29,4,FALSE)),1,0)</f>
        <v>0</v>
      </c>
      <c r="AW202">
        <f>IF(AND(VLOOKUP(AW$1,main!$A$3:$H$102,7,FALSE)=main!$G$104,VLOOKUP(AW$1,main!$A$3:$H$102,5,FALSE)-VLOOKUP($A202,main!$A$3:$H$102,6,FALSE)&gt;=main!$D$103+VLOOKUP(VLOOKUP(AW$1,main!$A$3:$I$102,7,FALSE),main!$K$26:$Q$29,4,FALSE)),1,0)</f>
        <v>0</v>
      </c>
      <c r="AX202">
        <f>IF(AND(VLOOKUP(AX$1,main!$A$3:$H$102,7,FALSE)=main!$G$104,VLOOKUP(AX$1,main!$A$3:$H$102,5,FALSE)-VLOOKUP($A202,main!$A$3:$H$102,6,FALSE)&gt;=main!$D$103+VLOOKUP(VLOOKUP(AX$1,main!$A$3:$I$102,7,FALSE),main!$K$26:$Q$29,4,FALSE)),1,0)</f>
        <v>0</v>
      </c>
      <c r="AY202">
        <f>IF(AND(VLOOKUP(AY$1,main!$A$3:$H$102,7,FALSE)=main!$G$104,VLOOKUP(AY$1,main!$A$3:$H$102,5,FALSE)-VLOOKUP($A202,main!$A$3:$H$102,6,FALSE)&gt;=main!$D$103+VLOOKUP(VLOOKUP(AY$1,main!$A$3:$I$102,7,FALSE),main!$K$26:$Q$29,4,FALSE)),1,0)</f>
        <v>0</v>
      </c>
      <c r="AZ202">
        <f>IF(AND(VLOOKUP(AZ$1,main!$A$3:$H$102,7,FALSE)=main!$G$104,VLOOKUP(AZ$1,main!$A$3:$H$102,5,FALSE)-VLOOKUP($A202,main!$A$3:$H$102,6,FALSE)&gt;=main!$D$103+VLOOKUP(VLOOKUP(AZ$1,main!$A$3:$I$102,7,FALSE),main!$K$26:$Q$29,4,FALSE)),1,0)</f>
        <v>0</v>
      </c>
      <c r="BA202">
        <f>IF(AND(VLOOKUP(BA$1,main!$A$3:$H$102,7,FALSE)=main!$G$104,VLOOKUP(BA$1,main!$A$3:$H$102,5,FALSE)-VLOOKUP($A202,main!$A$3:$H$102,6,FALSE)&gt;=main!$D$103+VLOOKUP(VLOOKUP(BA$1,main!$A$3:$I$102,7,FALSE),main!$K$26:$Q$29,4,FALSE)),1,0)</f>
        <v>0</v>
      </c>
      <c r="BB202">
        <f>IF(AND(VLOOKUP(BB$1,main!$A$3:$H$102,7,FALSE)=main!$G$104,VLOOKUP(BB$1,main!$A$3:$H$102,5,FALSE)-VLOOKUP($A202,main!$A$3:$H$102,6,FALSE)&gt;=main!$D$103+VLOOKUP(VLOOKUP(BB$1,main!$A$3:$I$102,7,FALSE),main!$K$26:$Q$29,4,FALSE)),1,0)</f>
        <v>0</v>
      </c>
      <c r="BC202">
        <f>IF(AND(VLOOKUP(BC$1,main!$A$3:$H$102,7,FALSE)=main!$G$104,VLOOKUP(BC$1,main!$A$3:$H$102,5,FALSE)-VLOOKUP($A202,main!$A$3:$H$102,6,FALSE)&gt;=main!$D$103+VLOOKUP(VLOOKUP(BC$1,main!$A$3:$I$102,7,FALSE),main!$K$26:$Q$29,4,FALSE)),1,0)</f>
        <v>0</v>
      </c>
      <c r="BD202">
        <f>IF(AND(VLOOKUP(BD$1,main!$A$3:$H$102,7,FALSE)=main!$G$104,VLOOKUP(BD$1,main!$A$3:$H$102,5,FALSE)-VLOOKUP($A202,main!$A$3:$H$102,6,FALSE)&gt;=main!$D$103+VLOOKUP(VLOOKUP(BD$1,main!$A$3:$I$102,7,FALSE),main!$K$26:$Q$29,4,FALSE)),1,0)</f>
        <v>0</v>
      </c>
      <c r="BE202">
        <f>IF(AND(VLOOKUP(BE$1,main!$A$3:$H$102,7,FALSE)=main!$G$104,VLOOKUP(BE$1,main!$A$3:$H$102,5,FALSE)-VLOOKUP($A202,main!$A$3:$H$102,6,FALSE)&gt;=main!$D$103+VLOOKUP(VLOOKUP(BE$1,main!$A$3:$I$102,7,FALSE),main!$K$26:$Q$29,4,FALSE)),1,0)</f>
        <v>0</v>
      </c>
      <c r="BF202">
        <f>IF(AND(VLOOKUP(BF$1,main!$A$3:$H$102,7,FALSE)=main!$G$104,VLOOKUP(BF$1,main!$A$3:$H$102,5,FALSE)-VLOOKUP($A202,main!$A$3:$H$102,6,FALSE)&gt;=main!$D$103+VLOOKUP(VLOOKUP(BF$1,main!$A$3:$I$102,7,FALSE),main!$K$26:$Q$29,4,FALSE)),1,0)</f>
        <v>0</v>
      </c>
      <c r="BG202">
        <f>IF(AND(VLOOKUP(BG$1,main!$A$3:$H$102,7,FALSE)=main!$G$104,VLOOKUP(BG$1,main!$A$3:$H$102,5,FALSE)-VLOOKUP($A202,main!$A$3:$H$102,6,FALSE)&gt;=main!$D$103+VLOOKUP(VLOOKUP(BG$1,main!$A$3:$I$102,7,FALSE),main!$K$26:$Q$29,4,FALSE)),1,0)</f>
        <v>0</v>
      </c>
      <c r="BH202">
        <f>IF(AND(VLOOKUP(BH$1,main!$A$3:$H$102,7,FALSE)=main!$G$104,VLOOKUP(BH$1,main!$A$3:$H$102,5,FALSE)-VLOOKUP($A202,main!$A$3:$H$102,6,FALSE)&gt;=main!$D$103+VLOOKUP(VLOOKUP(BH$1,main!$A$3:$I$102,7,FALSE),main!$K$26:$Q$29,4,FALSE)),1,0)</f>
        <v>0</v>
      </c>
      <c r="BI202">
        <f>IF(AND(VLOOKUP(BI$1,main!$A$3:$H$102,7,FALSE)=main!$G$104,VLOOKUP(BI$1,main!$A$3:$H$102,5,FALSE)-VLOOKUP($A202,main!$A$3:$H$102,6,FALSE)&gt;=main!$D$103+VLOOKUP(VLOOKUP(BI$1,main!$A$3:$I$102,7,FALSE),main!$K$26:$Q$29,4,FALSE)),1,0)</f>
        <v>0</v>
      </c>
      <c r="BJ202">
        <f>IF(AND(VLOOKUP(BJ$1,main!$A$3:$H$102,7,FALSE)=main!$G$104,VLOOKUP(BJ$1,main!$A$3:$H$102,5,FALSE)-VLOOKUP($A202,main!$A$3:$H$102,6,FALSE)&gt;=main!$D$103+VLOOKUP(VLOOKUP(BJ$1,main!$A$3:$I$102,7,FALSE),main!$K$26:$Q$29,4,FALSE)),1,0)</f>
        <v>0</v>
      </c>
      <c r="BK202">
        <f>IF(AND(VLOOKUP(BK$1,main!$A$3:$H$102,7,FALSE)=main!$G$104,VLOOKUP(BK$1,main!$A$3:$H$102,5,FALSE)-VLOOKUP($A202,main!$A$3:$H$102,6,FALSE)&gt;=main!$D$103+VLOOKUP(VLOOKUP(BK$1,main!$A$3:$I$102,7,FALSE),main!$K$26:$Q$29,4,FALSE)),1,0)</f>
        <v>0</v>
      </c>
      <c r="BL202">
        <f>IF(AND(VLOOKUP(BL$1,main!$A$3:$H$102,7,FALSE)=main!$G$104,VLOOKUP(BL$1,main!$A$3:$H$102,5,FALSE)-VLOOKUP($A202,main!$A$3:$H$102,6,FALSE)&gt;=main!$D$103+VLOOKUP(VLOOKUP(BL$1,main!$A$3:$I$102,7,FALSE),main!$K$26:$Q$29,4,FALSE)),1,0)</f>
        <v>0</v>
      </c>
      <c r="BM202">
        <f>IF(AND(VLOOKUP(BM$1,main!$A$3:$H$102,7,FALSE)=main!$G$104,VLOOKUP(BM$1,main!$A$3:$H$102,5,FALSE)-VLOOKUP($A202,main!$A$3:$H$102,6,FALSE)&gt;=main!$D$103+VLOOKUP(VLOOKUP(BM$1,main!$A$3:$I$102,7,FALSE),main!$K$26:$Q$29,4,FALSE)),1,0)</f>
        <v>0</v>
      </c>
      <c r="BN202">
        <f>IF(AND(VLOOKUP(BN$1,main!$A$3:$H$102,7,FALSE)=main!$G$104,VLOOKUP(BN$1,main!$A$3:$H$102,5,FALSE)-VLOOKUP($A202,main!$A$3:$H$102,6,FALSE)&gt;=main!$D$103+VLOOKUP(VLOOKUP(BN$1,main!$A$3:$I$102,7,FALSE),main!$K$26:$Q$29,4,FALSE)),1,0)</f>
        <v>0</v>
      </c>
      <c r="BO202">
        <f>IF(AND(VLOOKUP(BO$1,main!$A$3:$H$102,7,FALSE)=main!$G$104,VLOOKUP(BO$1,main!$A$3:$H$102,5,FALSE)-VLOOKUP($A202,main!$A$3:$H$102,6,FALSE)&gt;=main!$D$103+VLOOKUP(VLOOKUP(BO$1,main!$A$3:$I$102,7,FALSE),main!$K$26:$Q$29,4,FALSE)),1,0)</f>
        <v>0</v>
      </c>
      <c r="BP202">
        <f>IF(AND(VLOOKUP(BP$1,main!$A$3:$H$102,7,FALSE)=main!$G$104,VLOOKUP(BP$1,main!$A$3:$H$102,5,FALSE)-VLOOKUP($A202,main!$A$3:$H$102,6,FALSE)&gt;=main!$D$103+VLOOKUP(VLOOKUP(BP$1,main!$A$3:$I$102,7,FALSE),main!$K$26:$Q$29,4,FALSE)),1,0)</f>
        <v>0</v>
      </c>
      <c r="BQ202">
        <f>IF(AND(VLOOKUP(BQ$1,main!$A$3:$H$102,7,FALSE)=main!$G$104,VLOOKUP(BQ$1,main!$A$3:$H$102,5,FALSE)-VLOOKUP($A202,main!$A$3:$H$102,6,FALSE)&gt;=main!$D$103+VLOOKUP(VLOOKUP(BQ$1,main!$A$3:$I$102,7,FALSE),main!$K$26:$Q$29,4,FALSE)),1,0)</f>
        <v>0</v>
      </c>
      <c r="BR202">
        <f>IF(AND(VLOOKUP(BR$1,main!$A$3:$H$102,7,FALSE)=main!$G$104,VLOOKUP(BR$1,main!$A$3:$H$102,5,FALSE)-VLOOKUP($A202,main!$A$3:$H$102,6,FALSE)&gt;=main!$D$103+VLOOKUP(VLOOKUP(BR$1,main!$A$3:$I$102,7,FALSE),main!$K$26:$Q$29,4,FALSE)),1,0)</f>
        <v>0</v>
      </c>
      <c r="BS202">
        <f>IF(AND(VLOOKUP(BS$1,main!$A$3:$H$102,7,FALSE)=main!$G$104,VLOOKUP(BS$1,main!$A$3:$H$102,5,FALSE)-VLOOKUP($A202,main!$A$3:$H$102,6,FALSE)&gt;=main!$D$103+VLOOKUP(VLOOKUP(BS$1,main!$A$3:$I$102,7,FALSE),main!$K$26:$Q$29,4,FALSE)),1,0)</f>
        <v>0</v>
      </c>
      <c r="BT202">
        <f>IF(AND(VLOOKUP(BT$1,main!$A$3:$H$102,7,FALSE)=main!$G$104,VLOOKUP(BT$1,main!$A$3:$H$102,5,FALSE)-VLOOKUP($A202,main!$A$3:$H$102,6,FALSE)&gt;=main!$D$103+VLOOKUP(VLOOKUP(BT$1,main!$A$3:$I$102,7,FALSE),main!$K$26:$Q$29,4,FALSE)),1,0)</f>
        <v>0</v>
      </c>
      <c r="BU202">
        <f>IF(AND(VLOOKUP(BU$1,main!$A$3:$H$102,7,FALSE)=main!$G$104,VLOOKUP(BU$1,main!$A$3:$H$102,5,FALSE)-VLOOKUP($A202,main!$A$3:$H$102,6,FALSE)&gt;=main!$D$103+VLOOKUP(VLOOKUP(BU$1,main!$A$3:$I$102,7,FALSE),main!$K$26:$Q$29,4,FALSE)),1,0)</f>
        <v>0</v>
      </c>
      <c r="BV202">
        <f>IF(AND(VLOOKUP(BV$1,main!$A$3:$H$102,7,FALSE)=main!$G$104,VLOOKUP(BV$1,main!$A$3:$H$102,5,FALSE)-VLOOKUP($A202,main!$A$3:$H$102,6,FALSE)&gt;=main!$D$103+VLOOKUP(VLOOKUP(BV$1,main!$A$3:$I$102,7,FALSE),main!$K$26:$Q$29,4,FALSE)),1,0)</f>
        <v>0</v>
      </c>
      <c r="BW202">
        <f>IF(AND(VLOOKUP(BW$1,main!$A$3:$H$102,7,FALSE)=main!$G$104,VLOOKUP(BW$1,main!$A$3:$H$102,5,FALSE)-VLOOKUP($A202,main!$A$3:$H$102,6,FALSE)&gt;=main!$D$103+VLOOKUP(VLOOKUP(BW$1,main!$A$3:$I$102,7,FALSE),main!$K$26:$Q$29,4,FALSE)),1,0)</f>
        <v>0</v>
      </c>
      <c r="BX202">
        <f>IF(AND(VLOOKUP(BX$1,main!$A$3:$H$102,7,FALSE)=main!$G$104,VLOOKUP(BX$1,main!$A$3:$H$102,5,FALSE)-VLOOKUP($A202,main!$A$3:$H$102,6,FALSE)&gt;=main!$D$103+VLOOKUP(VLOOKUP(BX$1,main!$A$3:$I$102,7,FALSE),main!$K$26:$Q$29,4,FALSE)),1,0)</f>
        <v>0</v>
      </c>
      <c r="BY202">
        <f>IF(AND(VLOOKUP(BY$1,main!$A$3:$H$102,7,FALSE)=main!$G$104,VLOOKUP(BY$1,main!$A$3:$H$102,5,FALSE)-VLOOKUP($A202,main!$A$3:$H$102,6,FALSE)&gt;=main!$D$103+VLOOKUP(VLOOKUP(BY$1,main!$A$3:$I$102,7,FALSE),main!$K$26:$Q$29,4,FALSE)),1,0)</f>
        <v>0</v>
      </c>
      <c r="BZ202">
        <f>IF(AND(VLOOKUP(BZ$1,main!$A$3:$H$102,7,FALSE)=main!$G$104,VLOOKUP(BZ$1,main!$A$3:$H$102,5,FALSE)-VLOOKUP($A202,main!$A$3:$H$102,6,FALSE)&gt;=main!$D$103+VLOOKUP(VLOOKUP(BZ$1,main!$A$3:$I$102,7,FALSE),main!$K$26:$Q$29,4,FALSE)),1,0)</f>
        <v>0</v>
      </c>
      <c r="CA202">
        <f>IF(AND(VLOOKUP(CA$1,main!$A$3:$H$102,7,FALSE)=main!$G$104,VLOOKUP(CA$1,main!$A$3:$H$102,5,FALSE)-VLOOKUP($A202,main!$A$3:$H$102,6,FALSE)&gt;=main!$D$103+VLOOKUP(VLOOKUP(CA$1,main!$A$3:$I$102,7,FALSE),main!$K$26:$Q$29,4,FALSE)),1,0)</f>
        <v>0</v>
      </c>
      <c r="CB202">
        <f>IF(AND(VLOOKUP(CB$1,main!$A$3:$H$102,7,FALSE)=main!$G$104,VLOOKUP(CB$1,main!$A$3:$H$102,5,FALSE)-VLOOKUP($A202,main!$A$3:$H$102,6,FALSE)&gt;=main!$D$103+VLOOKUP(VLOOKUP(CB$1,main!$A$3:$I$102,7,FALSE),main!$K$26:$Q$29,4,FALSE)),1,0)</f>
        <v>0</v>
      </c>
      <c r="CC202">
        <f>IF(AND(VLOOKUP(CC$1,main!$A$3:$H$102,7,FALSE)=main!$G$104,VLOOKUP(CC$1,main!$A$3:$H$102,5,FALSE)-VLOOKUP($A202,main!$A$3:$H$102,6,FALSE)&gt;=main!$D$103+VLOOKUP(VLOOKUP(CC$1,main!$A$3:$I$102,7,FALSE),main!$K$26:$Q$29,4,FALSE)),1,0)</f>
        <v>0</v>
      </c>
      <c r="CD202">
        <f>IF(AND(VLOOKUP(CD$1,main!$A$3:$H$102,7,FALSE)=main!$G$104,VLOOKUP(CD$1,main!$A$3:$H$102,5,FALSE)-VLOOKUP($A202,main!$A$3:$H$102,6,FALSE)&gt;=main!$D$103+VLOOKUP(VLOOKUP(CD$1,main!$A$3:$I$102,7,FALSE),main!$K$26:$Q$29,4,FALSE)),1,0)</f>
        <v>0</v>
      </c>
      <c r="CE202">
        <f>IF(AND(VLOOKUP(CE$1,main!$A$3:$H$102,7,FALSE)=main!$G$104,VLOOKUP(CE$1,main!$A$3:$H$102,5,FALSE)-VLOOKUP($A202,main!$A$3:$H$102,6,FALSE)&gt;=main!$D$103+VLOOKUP(VLOOKUP(CE$1,main!$A$3:$I$102,7,FALSE),main!$K$26:$Q$29,4,FALSE)),1,0)</f>
        <v>0</v>
      </c>
      <c r="CF202">
        <f>IF(AND(VLOOKUP(CF$1,main!$A$3:$H$102,7,FALSE)=main!$G$104,VLOOKUP(CF$1,main!$A$3:$H$102,5,FALSE)-VLOOKUP($A202,main!$A$3:$H$102,6,FALSE)&gt;=main!$D$103+VLOOKUP(VLOOKUP(CF$1,main!$A$3:$I$102,7,FALSE),main!$K$26:$Q$29,4,FALSE)),1,0)</f>
        <v>0</v>
      </c>
      <c r="CG202">
        <f>IF(AND(VLOOKUP(CG$1,main!$A$3:$H$102,7,FALSE)=main!$G$104,VLOOKUP(CG$1,main!$A$3:$H$102,5,FALSE)-VLOOKUP($A202,main!$A$3:$H$102,6,FALSE)&gt;=main!$D$103+VLOOKUP(VLOOKUP(CG$1,main!$A$3:$I$102,7,FALSE),main!$K$26:$Q$29,4,FALSE)),1,0)</f>
        <v>0</v>
      </c>
      <c r="CH202">
        <f>IF(AND(VLOOKUP(CH$1,main!$A$3:$H$102,7,FALSE)=main!$G$104,VLOOKUP(CH$1,main!$A$3:$H$102,5,FALSE)-VLOOKUP($A202,main!$A$3:$H$102,6,FALSE)&gt;=main!$D$103+VLOOKUP(VLOOKUP(CH$1,main!$A$3:$I$102,7,FALSE),main!$K$26:$Q$29,4,FALSE)),1,0)</f>
        <v>0</v>
      </c>
      <c r="CI202">
        <f>IF(AND(VLOOKUP(CI$1,main!$A$3:$H$102,7,FALSE)=main!$G$104,VLOOKUP(CI$1,main!$A$3:$H$102,5,FALSE)-VLOOKUP($A202,main!$A$3:$H$102,6,FALSE)&gt;=main!$D$103+VLOOKUP(VLOOKUP(CI$1,main!$A$3:$I$102,7,FALSE),main!$K$26:$Q$29,4,FALSE)),1,0)</f>
        <v>0</v>
      </c>
      <c r="CJ202">
        <f>IF(AND(VLOOKUP(CJ$1,main!$A$3:$H$102,7,FALSE)=main!$G$104,VLOOKUP(CJ$1,main!$A$3:$H$102,5,FALSE)-VLOOKUP($A202,main!$A$3:$H$102,6,FALSE)&gt;=main!$D$103+VLOOKUP(VLOOKUP(CJ$1,main!$A$3:$I$102,7,FALSE),main!$K$26:$Q$29,4,FALSE)),1,0)</f>
        <v>0</v>
      </c>
      <c r="CK202">
        <f>IF(AND(VLOOKUP(CK$1,main!$A$3:$H$102,7,FALSE)=main!$G$104,VLOOKUP(CK$1,main!$A$3:$H$102,5,FALSE)-VLOOKUP($A202,main!$A$3:$H$102,6,FALSE)&gt;=main!$D$103+VLOOKUP(VLOOKUP(CK$1,main!$A$3:$I$102,7,FALSE),main!$K$26:$Q$29,4,FALSE)),1,0)</f>
        <v>0</v>
      </c>
      <c r="CL202">
        <f>IF(AND(VLOOKUP(CL$1,main!$A$3:$H$102,7,FALSE)=main!$G$104,VLOOKUP(CL$1,main!$A$3:$H$102,5,FALSE)-VLOOKUP($A202,main!$A$3:$H$102,6,FALSE)&gt;=main!$D$103+VLOOKUP(VLOOKUP(CL$1,main!$A$3:$I$102,7,FALSE),main!$K$26:$Q$29,4,FALSE)),1,0)</f>
        <v>0</v>
      </c>
      <c r="CM202">
        <f>IF(AND(VLOOKUP(CM$1,main!$A$3:$H$102,7,FALSE)=main!$G$104,VLOOKUP(CM$1,main!$A$3:$H$102,5,FALSE)-VLOOKUP($A202,main!$A$3:$H$102,6,FALSE)&gt;=main!$D$103+VLOOKUP(VLOOKUP(CM$1,main!$A$3:$I$102,7,FALSE),main!$K$26:$Q$29,4,FALSE)),1,0)</f>
        <v>0</v>
      </c>
      <c r="CN202">
        <f>IF(AND(VLOOKUP(CN$1,main!$A$3:$H$102,7,FALSE)=main!$G$104,VLOOKUP(CN$1,main!$A$3:$H$102,5,FALSE)-VLOOKUP($A202,main!$A$3:$H$102,6,FALSE)&gt;=main!$D$103+VLOOKUP(VLOOKUP(CN$1,main!$A$3:$I$102,7,FALSE),main!$K$26:$Q$29,4,FALSE)),1,0)</f>
        <v>0</v>
      </c>
      <c r="CO202">
        <f>IF(AND(VLOOKUP(CO$1,main!$A$3:$H$102,7,FALSE)=main!$G$104,VLOOKUP(CO$1,main!$A$3:$H$102,5,FALSE)-VLOOKUP($A202,main!$A$3:$H$102,6,FALSE)&gt;=main!$D$103+VLOOKUP(VLOOKUP(CO$1,main!$A$3:$I$102,7,FALSE),main!$K$26:$Q$29,4,FALSE)),1,0)</f>
        <v>0</v>
      </c>
      <c r="CP202">
        <f>IF(AND(VLOOKUP(CP$1,main!$A$3:$H$102,7,FALSE)=main!$G$104,VLOOKUP(CP$1,main!$A$3:$H$102,5,FALSE)-VLOOKUP($A202,main!$A$3:$H$102,6,FALSE)&gt;=main!$D$103+VLOOKUP(VLOOKUP(CP$1,main!$A$3:$I$102,7,FALSE),main!$K$26:$Q$29,4,FALSE)),1,0)</f>
        <v>0</v>
      </c>
      <c r="CQ202">
        <f>IF(AND(VLOOKUP(CQ$1,main!$A$3:$H$102,7,FALSE)=main!$G$104,VLOOKUP(CQ$1,main!$A$3:$H$102,5,FALSE)-VLOOKUP($A202,main!$A$3:$H$102,6,FALSE)&gt;=main!$D$103+VLOOKUP(VLOOKUP(CQ$1,main!$A$3:$I$102,7,FALSE),main!$K$26:$Q$29,4,FALSE)),1,0)</f>
        <v>0</v>
      </c>
      <c r="CR202">
        <f>IF(AND(VLOOKUP(CR$1,main!$A$3:$H$102,7,FALSE)=main!$G$104,VLOOKUP(CR$1,main!$A$3:$H$102,5,FALSE)-VLOOKUP($A202,main!$A$3:$H$102,6,FALSE)&gt;=main!$D$103+VLOOKUP(VLOOKUP(CR$1,main!$A$3:$I$102,7,FALSE),main!$K$26:$Q$29,4,FALSE)),1,0)</f>
        <v>0</v>
      </c>
      <c r="CS202">
        <f>IF(AND(VLOOKUP(CS$1,main!$A$3:$H$102,7,FALSE)=main!$G$104,VLOOKUP(CS$1,main!$A$3:$H$102,5,FALSE)-VLOOKUP($A202,main!$A$3:$H$102,6,FALSE)&gt;=main!$D$103+VLOOKUP(VLOOKUP(CS$1,main!$A$3:$I$102,7,FALSE),main!$K$26:$Q$29,4,FALSE)),1,0)</f>
        <v>0</v>
      </c>
      <c r="CT202">
        <f>IF(AND(VLOOKUP(CT$1,main!$A$3:$H$102,7,FALSE)=main!$G$104,VLOOKUP(CT$1,main!$A$3:$H$102,5,FALSE)-VLOOKUP($A202,main!$A$3:$H$102,6,FALSE)&gt;=main!$D$103+VLOOKUP(VLOOKUP(CT$1,main!$A$3:$I$102,7,FALSE),main!$K$26:$Q$29,4,FALSE)),1,0)</f>
        <v>0</v>
      </c>
      <c r="CU202">
        <f>IF(AND(VLOOKUP(CU$1,main!$A$3:$H$102,7,FALSE)=main!$G$104,VLOOKUP(CU$1,main!$A$3:$H$102,5,FALSE)-VLOOKUP($A202,main!$A$3:$H$102,6,FALSE)&gt;=main!$D$103+VLOOKUP(VLOOKUP(CU$1,main!$A$3:$I$102,7,FALSE),main!$K$26:$Q$29,4,FALSE)),1,0)</f>
        <v>0</v>
      </c>
      <c r="CV202">
        <f>IF(AND(VLOOKUP(CV$1,main!$A$3:$H$102,7,FALSE)=main!$G$104,VLOOKUP(CV$1,main!$A$3:$H$102,5,FALSE)-VLOOKUP($A202,main!$A$3:$H$102,6,FALSE)&gt;=main!$D$103+VLOOKUP(VLOOKUP(CV$1,main!$A$3:$I$102,7,FALSE),main!$K$26:$Q$29,4,FALSE)),1,0)</f>
        <v>0</v>
      </c>
      <c r="CW202">
        <f>IF(AND(VLOOKUP(CW$1,main!$A$3:$H$102,7,FALSE)=main!$G$104,VLOOKUP(CW$1,main!$A$3:$H$102,5,FALSE)-VLOOKUP($A202,main!$A$3:$H$102,6,FALSE)&gt;=main!$D$103+VLOOKUP(VLOOKUP(CW$1,main!$A$3:$I$102,7,FALSE),main!$K$26:$Q$29,4,FALSE)),1,0)</f>
        <v>0</v>
      </c>
      <c r="CX202">
        <f>IF(AND(VLOOKUP(CX$1,main!$A$3:$H$102,7,FALSE)=main!$G$104,VLOOKUP(CX$1,main!$A$3:$H$102,5,FALSE)-VLOOKUP($A202,main!$A$3:$H$102,6,FALSE)&gt;=main!$D$103+VLOOKUP(VLOOKUP(CX$1,main!$A$3:$I$102,7,FALSE),main!$K$26:$Q$29,4,FALSE)),1,0)</f>
        <v>0</v>
      </c>
    </row>
    <row r="203" spans="1:102" x14ac:dyDescent="0.25">
      <c r="A203" s="1">
        <v>100</v>
      </c>
      <c r="B203">
        <v>0</v>
      </c>
      <c r="C203">
        <f>IF(AND(VLOOKUP(C$1,main!$A$3:$H$102,7,FALSE)=main!$G$104,VLOOKUP(C$1,main!$A$3:$H$102,5,FALSE)-VLOOKUP($A203,main!$A$3:$H$102,6,FALSE)&gt;=main!$D$103+VLOOKUP(VLOOKUP(C$1,main!$A$3:$I$102,7,FALSE),main!$K$26:$Q$29,4,FALSE)),1,0)</f>
        <v>0</v>
      </c>
      <c r="D203">
        <f>IF(AND(VLOOKUP(D$1,main!$A$3:$H$102,7,FALSE)=main!$G$104,VLOOKUP(D$1,main!$A$3:$H$102,5,FALSE)-VLOOKUP($A203,main!$A$3:$H$102,6,FALSE)&gt;=main!$D$103+VLOOKUP(VLOOKUP(D$1,main!$A$3:$I$102,7,FALSE),main!$K$26:$Q$29,4,FALSE)),1,0)</f>
        <v>0</v>
      </c>
      <c r="E203">
        <f>IF(AND(VLOOKUP(E$1,main!$A$3:$H$102,7,FALSE)=main!$G$104,VLOOKUP(E$1,main!$A$3:$H$102,5,FALSE)-VLOOKUP($A203,main!$A$3:$H$102,6,FALSE)&gt;=main!$D$103+VLOOKUP(VLOOKUP(E$1,main!$A$3:$I$102,7,FALSE),main!$K$26:$Q$29,4,FALSE)),1,0)</f>
        <v>0</v>
      </c>
      <c r="F203">
        <f>IF(AND(VLOOKUP(F$1,main!$A$3:$H$102,7,FALSE)=main!$G$104,VLOOKUP(F$1,main!$A$3:$H$102,5,FALSE)-VLOOKUP($A203,main!$A$3:$H$102,6,FALSE)&gt;=main!$D$103+VLOOKUP(VLOOKUP(F$1,main!$A$3:$I$102,7,FALSE),main!$K$26:$Q$29,4,FALSE)),1,0)</f>
        <v>0</v>
      </c>
      <c r="G203">
        <f>IF(AND(VLOOKUP(G$1,main!$A$3:$H$102,7,FALSE)=main!$G$104,VLOOKUP(G$1,main!$A$3:$H$102,5,FALSE)-VLOOKUP($A203,main!$A$3:$H$102,6,FALSE)&gt;=main!$D$103+VLOOKUP(VLOOKUP(G$1,main!$A$3:$I$102,7,FALSE),main!$K$26:$Q$29,4,FALSE)),1,0)</f>
        <v>0</v>
      </c>
      <c r="H203">
        <f>IF(AND(VLOOKUP(H$1,main!$A$3:$H$102,7,FALSE)=main!$G$104,VLOOKUP(H$1,main!$A$3:$H$102,5,FALSE)-VLOOKUP($A203,main!$A$3:$H$102,6,FALSE)&gt;=main!$D$103+VLOOKUP(VLOOKUP(H$1,main!$A$3:$I$102,7,FALSE),main!$K$26:$Q$29,4,FALSE)),1,0)</f>
        <v>0</v>
      </c>
      <c r="I203">
        <f>IF(AND(VLOOKUP(I$1,main!$A$3:$H$102,7,FALSE)=main!$G$104,VLOOKUP(I$1,main!$A$3:$H$102,5,FALSE)-VLOOKUP($A203,main!$A$3:$H$102,6,FALSE)&gt;=main!$D$103+VLOOKUP(VLOOKUP(I$1,main!$A$3:$I$102,7,FALSE),main!$K$26:$Q$29,4,FALSE)),1,0)</f>
        <v>0</v>
      </c>
      <c r="J203">
        <f>IF(AND(VLOOKUP(J$1,main!$A$3:$H$102,7,FALSE)=main!$G$104,VLOOKUP(J$1,main!$A$3:$H$102,5,FALSE)-VLOOKUP($A203,main!$A$3:$H$102,6,FALSE)&gt;=main!$D$103+VLOOKUP(VLOOKUP(J$1,main!$A$3:$I$102,7,FALSE),main!$K$26:$Q$29,4,FALSE)),1,0)</f>
        <v>0</v>
      </c>
      <c r="K203">
        <f>IF(AND(VLOOKUP(K$1,main!$A$3:$H$102,7,FALSE)=main!$G$104,VLOOKUP(K$1,main!$A$3:$H$102,5,FALSE)-VLOOKUP($A203,main!$A$3:$H$102,6,FALSE)&gt;=main!$D$103+VLOOKUP(VLOOKUP(K$1,main!$A$3:$I$102,7,FALSE),main!$K$26:$Q$29,4,FALSE)),1,0)</f>
        <v>0</v>
      </c>
      <c r="L203">
        <f>IF(AND(VLOOKUP(L$1,main!$A$3:$H$102,7,FALSE)=main!$G$104,VLOOKUP(L$1,main!$A$3:$H$102,5,FALSE)-VLOOKUP($A203,main!$A$3:$H$102,6,FALSE)&gt;=main!$D$103+VLOOKUP(VLOOKUP(L$1,main!$A$3:$I$102,7,FALSE),main!$K$26:$Q$29,4,FALSE)),1,0)</f>
        <v>1</v>
      </c>
      <c r="M203">
        <f>IF(AND(VLOOKUP(M$1,main!$A$3:$H$102,7,FALSE)=main!$G$104,VLOOKUP(M$1,main!$A$3:$H$102,5,FALSE)-VLOOKUP($A203,main!$A$3:$H$102,6,FALSE)&gt;=main!$D$103+VLOOKUP(VLOOKUP(M$1,main!$A$3:$I$102,7,FALSE),main!$K$26:$Q$29,4,FALSE)),1,0)</f>
        <v>0</v>
      </c>
      <c r="N203">
        <f>IF(AND(VLOOKUP(N$1,main!$A$3:$H$102,7,FALSE)=main!$G$104,VLOOKUP(N$1,main!$A$3:$H$102,5,FALSE)-VLOOKUP($A203,main!$A$3:$H$102,6,FALSE)&gt;=main!$D$103+VLOOKUP(VLOOKUP(N$1,main!$A$3:$I$102,7,FALSE),main!$K$26:$Q$29,4,FALSE)),1,0)</f>
        <v>0</v>
      </c>
      <c r="O203">
        <f>IF(AND(VLOOKUP(O$1,main!$A$3:$H$102,7,FALSE)=main!$G$104,VLOOKUP(O$1,main!$A$3:$H$102,5,FALSE)-VLOOKUP($A203,main!$A$3:$H$102,6,FALSE)&gt;=main!$D$103+VLOOKUP(VLOOKUP(O$1,main!$A$3:$I$102,7,FALSE),main!$K$26:$Q$29,4,FALSE)),1,0)</f>
        <v>0</v>
      </c>
      <c r="P203">
        <f>IF(AND(VLOOKUP(P$1,main!$A$3:$H$102,7,FALSE)=main!$G$104,VLOOKUP(P$1,main!$A$3:$H$102,5,FALSE)-VLOOKUP($A203,main!$A$3:$H$102,6,FALSE)&gt;=main!$D$103+VLOOKUP(VLOOKUP(P$1,main!$A$3:$I$102,7,FALSE),main!$K$26:$Q$29,4,FALSE)),1,0)</f>
        <v>0</v>
      </c>
      <c r="Q203">
        <f>IF(AND(VLOOKUP(Q$1,main!$A$3:$H$102,7,FALSE)=main!$G$104,VLOOKUP(Q$1,main!$A$3:$H$102,5,FALSE)-VLOOKUP($A203,main!$A$3:$H$102,6,FALSE)&gt;=main!$D$103+VLOOKUP(VLOOKUP(Q$1,main!$A$3:$I$102,7,FALSE),main!$K$26:$Q$29,4,FALSE)),1,0)</f>
        <v>0</v>
      </c>
      <c r="R203">
        <f>IF(AND(VLOOKUP(R$1,main!$A$3:$H$102,7,FALSE)=main!$G$104,VLOOKUP(R$1,main!$A$3:$H$102,5,FALSE)-VLOOKUP($A203,main!$A$3:$H$102,6,FALSE)&gt;=main!$D$103+VLOOKUP(VLOOKUP(R$1,main!$A$3:$I$102,7,FALSE),main!$K$26:$Q$29,4,FALSE)),1,0)</f>
        <v>0</v>
      </c>
      <c r="S203">
        <f>IF(AND(VLOOKUP(S$1,main!$A$3:$H$102,7,FALSE)=main!$G$104,VLOOKUP(S$1,main!$A$3:$H$102,5,FALSE)-VLOOKUP($A203,main!$A$3:$H$102,6,FALSE)&gt;=main!$D$103+VLOOKUP(VLOOKUP(S$1,main!$A$3:$I$102,7,FALSE),main!$K$26:$Q$29,4,FALSE)),1,0)</f>
        <v>0</v>
      </c>
      <c r="T203">
        <f>IF(AND(VLOOKUP(T$1,main!$A$3:$H$102,7,FALSE)=main!$G$104,VLOOKUP(T$1,main!$A$3:$H$102,5,FALSE)-VLOOKUP($A203,main!$A$3:$H$102,6,FALSE)&gt;=main!$D$103+VLOOKUP(VLOOKUP(T$1,main!$A$3:$I$102,7,FALSE),main!$K$26:$Q$29,4,FALSE)),1,0)</f>
        <v>0</v>
      </c>
      <c r="U203">
        <f>IF(AND(VLOOKUP(U$1,main!$A$3:$H$102,7,FALSE)=main!$G$104,VLOOKUP(U$1,main!$A$3:$H$102,5,FALSE)-VLOOKUP($A203,main!$A$3:$H$102,6,FALSE)&gt;=main!$D$103+VLOOKUP(VLOOKUP(U$1,main!$A$3:$I$102,7,FALSE),main!$K$26:$Q$29,4,FALSE)),1,0)</f>
        <v>1</v>
      </c>
      <c r="V203">
        <f>IF(AND(VLOOKUP(V$1,main!$A$3:$H$102,7,FALSE)=main!$G$104,VLOOKUP(V$1,main!$A$3:$H$102,5,FALSE)-VLOOKUP($A203,main!$A$3:$H$102,6,FALSE)&gt;=main!$D$103+VLOOKUP(VLOOKUP(V$1,main!$A$3:$I$102,7,FALSE),main!$K$26:$Q$29,4,FALSE)),1,0)</f>
        <v>1</v>
      </c>
      <c r="W203">
        <f>IF(AND(VLOOKUP(W$1,main!$A$3:$H$102,7,FALSE)=main!$G$104,VLOOKUP(W$1,main!$A$3:$H$102,5,FALSE)-VLOOKUP($A203,main!$A$3:$H$102,6,FALSE)&gt;=main!$D$103+VLOOKUP(VLOOKUP(W$1,main!$A$3:$I$102,7,FALSE),main!$K$26:$Q$29,4,FALSE)),1,0)</f>
        <v>0</v>
      </c>
      <c r="X203">
        <f>IF(AND(VLOOKUP(X$1,main!$A$3:$H$102,7,FALSE)=main!$G$104,VLOOKUP(X$1,main!$A$3:$H$102,5,FALSE)-VLOOKUP($A203,main!$A$3:$H$102,6,FALSE)&gt;=main!$D$103+VLOOKUP(VLOOKUP(X$1,main!$A$3:$I$102,7,FALSE),main!$K$26:$Q$29,4,FALSE)),1,0)</f>
        <v>0</v>
      </c>
      <c r="Y203">
        <f>IF(AND(VLOOKUP(Y$1,main!$A$3:$H$102,7,FALSE)=main!$G$104,VLOOKUP(Y$1,main!$A$3:$H$102,5,FALSE)-VLOOKUP($A203,main!$A$3:$H$102,6,FALSE)&gt;=main!$D$103+VLOOKUP(VLOOKUP(Y$1,main!$A$3:$I$102,7,FALSE),main!$K$26:$Q$29,4,FALSE)),1,0)</f>
        <v>0</v>
      </c>
      <c r="Z203">
        <f>IF(AND(VLOOKUP(Z$1,main!$A$3:$H$102,7,FALSE)=main!$G$104,VLOOKUP(Z$1,main!$A$3:$H$102,5,FALSE)-VLOOKUP($A203,main!$A$3:$H$102,6,FALSE)&gt;=main!$D$103+VLOOKUP(VLOOKUP(Z$1,main!$A$3:$I$102,7,FALSE),main!$K$26:$Q$29,4,FALSE)),1,0)</f>
        <v>0</v>
      </c>
      <c r="AA203">
        <f>IF(AND(VLOOKUP(AA$1,main!$A$3:$H$102,7,FALSE)=main!$G$104,VLOOKUP(AA$1,main!$A$3:$H$102,5,FALSE)-VLOOKUP($A203,main!$A$3:$H$102,6,FALSE)&gt;=main!$D$103+VLOOKUP(VLOOKUP(AA$1,main!$A$3:$I$102,7,FALSE),main!$K$26:$Q$29,4,FALSE)),1,0)</f>
        <v>0</v>
      </c>
      <c r="AB203">
        <f>IF(AND(VLOOKUP(AB$1,main!$A$3:$H$102,7,FALSE)=main!$G$104,VLOOKUP(AB$1,main!$A$3:$H$102,5,FALSE)-VLOOKUP($A203,main!$A$3:$H$102,6,FALSE)&gt;=main!$D$103+VLOOKUP(VLOOKUP(AB$1,main!$A$3:$I$102,7,FALSE),main!$K$26:$Q$29,4,FALSE)),1,0)</f>
        <v>0</v>
      </c>
      <c r="AC203">
        <f>IF(AND(VLOOKUP(AC$1,main!$A$3:$H$102,7,FALSE)=main!$G$104,VLOOKUP(AC$1,main!$A$3:$H$102,5,FALSE)-VLOOKUP($A203,main!$A$3:$H$102,6,FALSE)&gt;=main!$D$103+VLOOKUP(VLOOKUP(AC$1,main!$A$3:$I$102,7,FALSE),main!$K$26:$Q$29,4,FALSE)),1,0)</f>
        <v>0</v>
      </c>
      <c r="AD203">
        <f>IF(AND(VLOOKUP(AD$1,main!$A$3:$H$102,7,FALSE)=main!$G$104,VLOOKUP(AD$1,main!$A$3:$H$102,5,FALSE)-VLOOKUP($A203,main!$A$3:$H$102,6,FALSE)&gt;=main!$D$103+VLOOKUP(VLOOKUP(AD$1,main!$A$3:$I$102,7,FALSE),main!$K$26:$Q$29,4,FALSE)),1,0)</f>
        <v>0</v>
      </c>
      <c r="AE203">
        <f>IF(AND(VLOOKUP(AE$1,main!$A$3:$H$102,7,FALSE)=main!$G$104,VLOOKUP(AE$1,main!$A$3:$H$102,5,FALSE)-VLOOKUP($A203,main!$A$3:$H$102,6,FALSE)&gt;=main!$D$103+VLOOKUP(VLOOKUP(AE$1,main!$A$3:$I$102,7,FALSE),main!$K$26:$Q$29,4,FALSE)),1,0)</f>
        <v>0</v>
      </c>
      <c r="AF203">
        <f>IF(AND(VLOOKUP(AF$1,main!$A$3:$H$102,7,FALSE)=main!$G$104,VLOOKUP(AF$1,main!$A$3:$H$102,5,FALSE)-VLOOKUP($A203,main!$A$3:$H$102,6,FALSE)&gt;=main!$D$103+VLOOKUP(VLOOKUP(AF$1,main!$A$3:$I$102,7,FALSE),main!$K$26:$Q$29,4,FALSE)),1,0)</f>
        <v>0</v>
      </c>
      <c r="AG203">
        <f>IF(AND(VLOOKUP(AG$1,main!$A$3:$H$102,7,FALSE)=main!$G$104,VLOOKUP(AG$1,main!$A$3:$H$102,5,FALSE)-VLOOKUP($A203,main!$A$3:$H$102,6,FALSE)&gt;=main!$D$103+VLOOKUP(VLOOKUP(AG$1,main!$A$3:$I$102,7,FALSE),main!$K$26:$Q$29,4,FALSE)),1,0)</f>
        <v>0</v>
      </c>
      <c r="AH203">
        <f>IF(AND(VLOOKUP(AH$1,main!$A$3:$H$102,7,FALSE)=main!$G$104,VLOOKUP(AH$1,main!$A$3:$H$102,5,FALSE)-VLOOKUP($A203,main!$A$3:$H$102,6,FALSE)&gt;=main!$D$103+VLOOKUP(VLOOKUP(AH$1,main!$A$3:$I$102,7,FALSE),main!$K$26:$Q$29,4,FALSE)),1,0)</f>
        <v>0</v>
      </c>
      <c r="AI203">
        <f>IF(AND(VLOOKUP(AI$1,main!$A$3:$H$102,7,FALSE)=main!$G$104,VLOOKUP(AI$1,main!$A$3:$H$102,5,FALSE)-VLOOKUP($A203,main!$A$3:$H$102,6,FALSE)&gt;=main!$D$103+VLOOKUP(VLOOKUP(AI$1,main!$A$3:$I$102,7,FALSE),main!$K$26:$Q$29,4,FALSE)),1,0)</f>
        <v>0</v>
      </c>
      <c r="AJ203">
        <f>IF(AND(VLOOKUP(AJ$1,main!$A$3:$H$102,7,FALSE)=main!$G$104,VLOOKUP(AJ$1,main!$A$3:$H$102,5,FALSE)-VLOOKUP($A203,main!$A$3:$H$102,6,FALSE)&gt;=main!$D$103+VLOOKUP(VLOOKUP(AJ$1,main!$A$3:$I$102,7,FALSE),main!$K$26:$Q$29,4,FALSE)),1,0)</f>
        <v>0</v>
      </c>
      <c r="AK203">
        <f>IF(AND(VLOOKUP(AK$1,main!$A$3:$H$102,7,FALSE)=main!$G$104,VLOOKUP(AK$1,main!$A$3:$H$102,5,FALSE)-VLOOKUP($A203,main!$A$3:$H$102,6,FALSE)&gt;=main!$D$103+VLOOKUP(VLOOKUP(AK$1,main!$A$3:$I$102,7,FALSE),main!$K$26:$Q$29,4,FALSE)),1,0)</f>
        <v>0</v>
      </c>
      <c r="AL203">
        <f>IF(AND(VLOOKUP(AL$1,main!$A$3:$H$102,7,FALSE)=main!$G$104,VLOOKUP(AL$1,main!$A$3:$H$102,5,FALSE)-VLOOKUP($A203,main!$A$3:$H$102,6,FALSE)&gt;=main!$D$103+VLOOKUP(VLOOKUP(AL$1,main!$A$3:$I$102,7,FALSE),main!$K$26:$Q$29,4,FALSE)),1,0)</f>
        <v>0</v>
      </c>
      <c r="AM203">
        <f>IF(AND(VLOOKUP(AM$1,main!$A$3:$H$102,7,FALSE)=main!$G$104,VLOOKUP(AM$1,main!$A$3:$H$102,5,FALSE)-VLOOKUP($A203,main!$A$3:$H$102,6,FALSE)&gt;=main!$D$103+VLOOKUP(VLOOKUP(AM$1,main!$A$3:$I$102,7,FALSE),main!$K$26:$Q$29,4,FALSE)),1,0)</f>
        <v>0</v>
      </c>
      <c r="AN203">
        <f>IF(AND(VLOOKUP(AN$1,main!$A$3:$H$102,7,FALSE)=main!$G$104,VLOOKUP(AN$1,main!$A$3:$H$102,5,FALSE)-VLOOKUP($A203,main!$A$3:$H$102,6,FALSE)&gt;=main!$D$103+VLOOKUP(VLOOKUP(AN$1,main!$A$3:$I$102,7,FALSE),main!$K$26:$Q$29,4,FALSE)),1,0)</f>
        <v>0</v>
      </c>
      <c r="AO203">
        <f>IF(AND(VLOOKUP(AO$1,main!$A$3:$H$102,7,FALSE)=main!$G$104,VLOOKUP(AO$1,main!$A$3:$H$102,5,FALSE)-VLOOKUP($A203,main!$A$3:$H$102,6,FALSE)&gt;=main!$D$103+VLOOKUP(VLOOKUP(AO$1,main!$A$3:$I$102,7,FALSE),main!$K$26:$Q$29,4,FALSE)),1,0)</f>
        <v>0</v>
      </c>
      <c r="AP203">
        <f>IF(AND(VLOOKUP(AP$1,main!$A$3:$H$102,7,FALSE)=main!$G$104,VLOOKUP(AP$1,main!$A$3:$H$102,5,FALSE)-VLOOKUP($A203,main!$A$3:$H$102,6,FALSE)&gt;=main!$D$103+VLOOKUP(VLOOKUP(AP$1,main!$A$3:$I$102,7,FALSE),main!$K$26:$Q$29,4,FALSE)),1,0)</f>
        <v>0</v>
      </c>
      <c r="AQ203">
        <f>IF(AND(VLOOKUP(AQ$1,main!$A$3:$H$102,7,FALSE)=main!$G$104,VLOOKUP(AQ$1,main!$A$3:$H$102,5,FALSE)-VLOOKUP($A203,main!$A$3:$H$102,6,FALSE)&gt;=main!$D$103+VLOOKUP(VLOOKUP(AQ$1,main!$A$3:$I$102,7,FALSE),main!$K$26:$Q$29,4,FALSE)),1,0)</f>
        <v>0</v>
      </c>
      <c r="AR203">
        <f>IF(AND(VLOOKUP(AR$1,main!$A$3:$H$102,7,FALSE)=main!$G$104,VLOOKUP(AR$1,main!$A$3:$H$102,5,FALSE)-VLOOKUP($A203,main!$A$3:$H$102,6,FALSE)&gt;=main!$D$103+VLOOKUP(VLOOKUP(AR$1,main!$A$3:$I$102,7,FALSE),main!$K$26:$Q$29,4,FALSE)),1,0)</f>
        <v>0</v>
      </c>
      <c r="AS203">
        <f>IF(AND(VLOOKUP(AS$1,main!$A$3:$H$102,7,FALSE)=main!$G$104,VLOOKUP(AS$1,main!$A$3:$H$102,5,FALSE)-VLOOKUP($A203,main!$A$3:$H$102,6,FALSE)&gt;=main!$D$103+VLOOKUP(VLOOKUP(AS$1,main!$A$3:$I$102,7,FALSE),main!$K$26:$Q$29,4,FALSE)),1,0)</f>
        <v>0</v>
      </c>
      <c r="AT203">
        <f>IF(AND(VLOOKUP(AT$1,main!$A$3:$H$102,7,FALSE)=main!$G$104,VLOOKUP(AT$1,main!$A$3:$H$102,5,FALSE)-VLOOKUP($A203,main!$A$3:$H$102,6,FALSE)&gt;=main!$D$103+VLOOKUP(VLOOKUP(AT$1,main!$A$3:$I$102,7,FALSE),main!$K$26:$Q$29,4,FALSE)),1,0)</f>
        <v>0</v>
      </c>
      <c r="AU203">
        <f>IF(AND(VLOOKUP(AU$1,main!$A$3:$H$102,7,FALSE)=main!$G$104,VLOOKUP(AU$1,main!$A$3:$H$102,5,FALSE)-VLOOKUP($A203,main!$A$3:$H$102,6,FALSE)&gt;=main!$D$103+VLOOKUP(VLOOKUP(AU$1,main!$A$3:$I$102,7,FALSE),main!$K$26:$Q$29,4,FALSE)),1,0)</f>
        <v>0</v>
      </c>
      <c r="AV203">
        <f>IF(AND(VLOOKUP(AV$1,main!$A$3:$H$102,7,FALSE)=main!$G$104,VLOOKUP(AV$1,main!$A$3:$H$102,5,FALSE)-VLOOKUP($A203,main!$A$3:$H$102,6,FALSE)&gt;=main!$D$103+VLOOKUP(VLOOKUP(AV$1,main!$A$3:$I$102,7,FALSE),main!$K$26:$Q$29,4,FALSE)),1,0)</f>
        <v>0</v>
      </c>
      <c r="AW203">
        <f>IF(AND(VLOOKUP(AW$1,main!$A$3:$H$102,7,FALSE)=main!$G$104,VLOOKUP(AW$1,main!$A$3:$H$102,5,FALSE)-VLOOKUP($A203,main!$A$3:$H$102,6,FALSE)&gt;=main!$D$103+VLOOKUP(VLOOKUP(AW$1,main!$A$3:$I$102,7,FALSE),main!$K$26:$Q$29,4,FALSE)),1,0)</f>
        <v>0</v>
      </c>
      <c r="AX203">
        <f>IF(AND(VLOOKUP(AX$1,main!$A$3:$H$102,7,FALSE)=main!$G$104,VLOOKUP(AX$1,main!$A$3:$H$102,5,FALSE)-VLOOKUP($A203,main!$A$3:$H$102,6,FALSE)&gt;=main!$D$103+VLOOKUP(VLOOKUP(AX$1,main!$A$3:$I$102,7,FALSE),main!$K$26:$Q$29,4,FALSE)),1,0)</f>
        <v>0</v>
      </c>
      <c r="AY203">
        <f>IF(AND(VLOOKUP(AY$1,main!$A$3:$H$102,7,FALSE)=main!$G$104,VLOOKUP(AY$1,main!$A$3:$H$102,5,FALSE)-VLOOKUP($A203,main!$A$3:$H$102,6,FALSE)&gt;=main!$D$103+VLOOKUP(VLOOKUP(AY$1,main!$A$3:$I$102,7,FALSE),main!$K$26:$Q$29,4,FALSE)),1,0)</f>
        <v>0</v>
      </c>
      <c r="AZ203">
        <f>IF(AND(VLOOKUP(AZ$1,main!$A$3:$H$102,7,FALSE)=main!$G$104,VLOOKUP(AZ$1,main!$A$3:$H$102,5,FALSE)-VLOOKUP($A203,main!$A$3:$H$102,6,FALSE)&gt;=main!$D$103+VLOOKUP(VLOOKUP(AZ$1,main!$A$3:$I$102,7,FALSE),main!$K$26:$Q$29,4,FALSE)),1,0)</f>
        <v>0</v>
      </c>
      <c r="BA203">
        <f>IF(AND(VLOOKUP(BA$1,main!$A$3:$H$102,7,FALSE)=main!$G$104,VLOOKUP(BA$1,main!$A$3:$H$102,5,FALSE)-VLOOKUP($A203,main!$A$3:$H$102,6,FALSE)&gt;=main!$D$103+VLOOKUP(VLOOKUP(BA$1,main!$A$3:$I$102,7,FALSE),main!$K$26:$Q$29,4,FALSE)),1,0)</f>
        <v>0</v>
      </c>
      <c r="BB203">
        <f>IF(AND(VLOOKUP(BB$1,main!$A$3:$H$102,7,FALSE)=main!$G$104,VLOOKUP(BB$1,main!$A$3:$H$102,5,FALSE)-VLOOKUP($A203,main!$A$3:$H$102,6,FALSE)&gt;=main!$D$103+VLOOKUP(VLOOKUP(BB$1,main!$A$3:$I$102,7,FALSE),main!$K$26:$Q$29,4,FALSE)),1,0)</f>
        <v>0</v>
      </c>
      <c r="BC203">
        <f>IF(AND(VLOOKUP(BC$1,main!$A$3:$H$102,7,FALSE)=main!$G$104,VLOOKUP(BC$1,main!$A$3:$H$102,5,FALSE)-VLOOKUP($A203,main!$A$3:$H$102,6,FALSE)&gt;=main!$D$103+VLOOKUP(VLOOKUP(BC$1,main!$A$3:$I$102,7,FALSE),main!$K$26:$Q$29,4,FALSE)),1,0)</f>
        <v>0</v>
      </c>
      <c r="BD203">
        <f>IF(AND(VLOOKUP(BD$1,main!$A$3:$H$102,7,FALSE)=main!$G$104,VLOOKUP(BD$1,main!$A$3:$H$102,5,FALSE)-VLOOKUP($A203,main!$A$3:$H$102,6,FALSE)&gt;=main!$D$103+VLOOKUP(VLOOKUP(BD$1,main!$A$3:$I$102,7,FALSE),main!$K$26:$Q$29,4,FALSE)),1,0)</f>
        <v>0</v>
      </c>
      <c r="BE203">
        <f>IF(AND(VLOOKUP(BE$1,main!$A$3:$H$102,7,FALSE)=main!$G$104,VLOOKUP(BE$1,main!$A$3:$H$102,5,FALSE)-VLOOKUP($A203,main!$A$3:$H$102,6,FALSE)&gt;=main!$D$103+VLOOKUP(VLOOKUP(BE$1,main!$A$3:$I$102,7,FALSE),main!$K$26:$Q$29,4,FALSE)),1,0)</f>
        <v>0</v>
      </c>
      <c r="BF203">
        <f>IF(AND(VLOOKUP(BF$1,main!$A$3:$H$102,7,FALSE)=main!$G$104,VLOOKUP(BF$1,main!$A$3:$H$102,5,FALSE)-VLOOKUP($A203,main!$A$3:$H$102,6,FALSE)&gt;=main!$D$103+VLOOKUP(VLOOKUP(BF$1,main!$A$3:$I$102,7,FALSE),main!$K$26:$Q$29,4,FALSE)),1,0)</f>
        <v>0</v>
      </c>
      <c r="BG203">
        <f>IF(AND(VLOOKUP(BG$1,main!$A$3:$H$102,7,FALSE)=main!$G$104,VLOOKUP(BG$1,main!$A$3:$H$102,5,FALSE)-VLOOKUP($A203,main!$A$3:$H$102,6,FALSE)&gt;=main!$D$103+VLOOKUP(VLOOKUP(BG$1,main!$A$3:$I$102,7,FALSE),main!$K$26:$Q$29,4,FALSE)),1,0)</f>
        <v>0</v>
      </c>
      <c r="BH203">
        <f>IF(AND(VLOOKUP(BH$1,main!$A$3:$H$102,7,FALSE)=main!$G$104,VLOOKUP(BH$1,main!$A$3:$H$102,5,FALSE)-VLOOKUP($A203,main!$A$3:$H$102,6,FALSE)&gt;=main!$D$103+VLOOKUP(VLOOKUP(BH$1,main!$A$3:$I$102,7,FALSE),main!$K$26:$Q$29,4,FALSE)),1,0)</f>
        <v>0</v>
      </c>
      <c r="BI203">
        <f>IF(AND(VLOOKUP(BI$1,main!$A$3:$H$102,7,FALSE)=main!$G$104,VLOOKUP(BI$1,main!$A$3:$H$102,5,FALSE)-VLOOKUP($A203,main!$A$3:$H$102,6,FALSE)&gt;=main!$D$103+VLOOKUP(VLOOKUP(BI$1,main!$A$3:$I$102,7,FALSE),main!$K$26:$Q$29,4,FALSE)),1,0)</f>
        <v>0</v>
      </c>
      <c r="BJ203">
        <f>IF(AND(VLOOKUP(BJ$1,main!$A$3:$H$102,7,FALSE)=main!$G$104,VLOOKUP(BJ$1,main!$A$3:$H$102,5,FALSE)-VLOOKUP($A203,main!$A$3:$H$102,6,FALSE)&gt;=main!$D$103+VLOOKUP(VLOOKUP(BJ$1,main!$A$3:$I$102,7,FALSE),main!$K$26:$Q$29,4,FALSE)),1,0)</f>
        <v>0</v>
      </c>
      <c r="BK203">
        <f>IF(AND(VLOOKUP(BK$1,main!$A$3:$H$102,7,FALSE)=main!$G$104,VLOOKUP(BK$1,main!$A$3:$H$102,5,FALSE)-VLOOKUP($A203,main!$A$3:$H$102,6,FALSE)&gt;=main!$D$103+VLOOKUP(VLOOKUP(BK$1,main!$A$3:$I$102,7,FALSE),main!$K$26:$Q$29,4,FALSE)),1,0)</f>
        <v>0</v>
      </c>
      <c r="BL203">
        <f>IF(AND(VLOOKUP(BL$1,main!$A$3:$H$102,7,FALSE)=main!$G$104,VLOOKUP(BL$1,main!$A$3:$H$102,5,FALSE)-VLOOKUP($A203,main!$A$3:$H$102,6,FALSE)&gt;=main!$D$103+VLOOKUP(VLOOKUP(BL$1,main!$A$3:$I$102,7,FALSE),main!$K$26:$Q$29,4,FALSE)),1,0)</f>
        <v>0</v>
      </c>
      <c r="BM203">
        <f>IF(AND(VLOOKUP(BM$1,main!$A$3:$H$102,7,FALSE)=main!$G$104,VLOOKUP(BM$1,main!$A$3:$H$102,5,FALSE)-VLOOKUP($A203,main!$A$3:$H$102,6,FALSE)&gt;=main!$D$103+VLOOKUP(VLOOKUP(BM$1,main!$A$3:$I$102,7,FALSE),main!$K$26:$Q$29,4,FALSE)),1,0)</f>
        <v>0</v>
      </c>
      <c r="BN203">
        <f>IF(AND(VLOOKUP(BN$1,main!$A$3:$H$102,7,FALSE)=main!$G$104,VLOOKUP(BN$1,main!$A$3:$H$102,5,FALSE)-VLOOKUP($A203,main!$A$3:$H$102,6,FALSE)&gt;=main!$D$103+VLOOKUP(VLOOKUP(BN$1,main!$A$3:$I$102,7,FALSE),main!$K$26:$Q$29,4,FALSE)),1,0)</f>
        <v>0</v>
      </c>
      <c r="BO203">
        <f>IF(AND(VLOOKUP(BO$1,main!$A$3:$H$102,7,FALSE)=main!$G$104,VLOOKUP(BO$1,main!$A$3:$H$102,5,FALSE)-VLOOKUP($A203,main!$A$3:$H$102,6,FALSE)&gt;=main!$D$103+VLOOKUP(VLOOKUP(BO$1,main!$A$3:$I$102,7,FALSE),main!$K$26:$Q$29,4,FALSE)),1,0)</f>
        <v>0</v>
      </c>
      <c r="BP203">
        <f>IF(AND(VLOOKUP(BP$1,main!$A$3:$H$102,7,FALSE)=main!$G$104,VLOOKUP(BP$1,main!$A$3:$H$102,5,FALSE)-VLOOKUP($A203,main!$A$3:$H$102,6,FALSE)&gt;=main!$D$103+VLOOKUP(VLOOKUP(BP$1,main!$A$3:$I$102,7,FALSE),main!$K$26:$Q$29,4,FALSE)),1,0)</f>
        <v>0</v>
      </c>
      <c r="BQ203">
        <f>IF(AND(VLOOKUP(BQ$1,main!$A$3:$H$102,7,FALSE)=main!$G$104,VLOOKUP(BQ$1,main!$A$3:$H$102,5,FALSE)-VLOOKUP($A203,main!$A$3:$H$102,6,FALSE)&gt;=main!$D$103+VLOOKUP(VLOOKUP(BQ$1,main!$A$3:$I$102,7,FALSE),main!$K$26:$Q$29,4,FALSE)),1,0)</f>
        <v>0</v>
      </c>
      <c r="BR203">
        <f>IF(AND(VLOOKUP(BR$1,main!$A$3:$H$102,7,FALSE)=main!$G$104,VLOOKUP(BR$1,main!$A$3:$H$102,5,FALSE)-VLOOKUP($A203,main!$A$3:$H$102,6,FALSE)&gt;=main!$D$103+VLOOKUP(VLOOKUP(BR$1,main!$A$3:$I$102,7,FALSE),main!$K$26:$Q$29,4,FALSE)),1,0)</f>
        <v>0</v>
      </c>
      <c r="BS203">
        <f>IF(AND(VLOOKUP(BS$1,main!$A$3:$H$102,7,FALSE)=main!$G$104,VLOOKUP(BS$1,main!$A$3:$H$102,5,FALSE)-VLOOKUP($A203,main!$A$3:$H$102,6,FALSE)&gt;=main!$D$103+VLOOKUP(VLOOKUP(BS$1,main!$A$3:$I$102,7,FALSE),main!$K$26:$Q$29,4,FALSE)),1,0)</f>
        <v>0</v>
      </c>
      <c r="BT203">
        <f>IF(AND(VLOOKUP(BT$1,main!$A$3:$H$102,7,FALSE)=main!$G$104,VLOOKUP(BT$1,main!$A$3:$H$102,5,FALSE)-VLOOKUP($A203,main!$A$3:$H$102,6,FALSE)&gt;=main!$D$103+VLOOKUP(VLOOKUP(BT$1,main!$A$3:$I$102,7,FALSE),main!$K$26:$Q$29,4,FALSE)),1,0)</f>
        <v>0</v>
      </c>
      <c r="BU203">
        <f>IF(AND(VLOOKUP(BU$1,main!$A$3:$H$102,7,FALSE)=main!$G$104,VLOOKUP(BU$1,main!$A$3:$H$102,5,FALSE)-VLOOKUP($A203,main!$A$3:$H$102,6,FALSE)&gt;=main!$D$103+VLOOKUP(VLOOKUP(BU$1,main!$A$3:$I$102,7,FALSE),main!$K$26:$Q$29,4,FALSE)),1,0)</f>
        <v>0</v>
      </c>
      <c r="BV203">
        <f>IF(AND(VLOOKUP(BV$1,main!$A$3:$H$102,7,FALSE)=main!$G$104,VLOOKUP(BV$1,main!$A$3:$H$102,5,FALSE)-VLOOKUP($A203,main!$A$3:$H$102,6,FALSE)&gt;=main!$D$103+VLOOKUP(VLOOKUP(BV$1,main!$A$3:$I$102,7,FALSE),main!$K$26:$Q$29,4,FALSE)),1,0)</f>
        <v>0</v>
      </c>
      <c r="BW203">
        <f>IF(AND(VLOOKUP(BW$1,main!$A$3:$H$102,7,FALSE)=main!$G$104,VLOOKUP(BW$1,main!$A$3:$H$102,5,FALSE)-VLOOKUP($A203,main!$A$3:$H$102,6,FALSE)&gt;=main!$D$103+VLOOKUP(VLOOKUP(BW$1,main!$A$3:$I$102,7,FALSE),main!$K$26:$Q$29,4,FALSE)),1,0)</f>
        <v>0</v>
      </c>
      <c r="BX203">
        <f>IF(AND(VLOOKUP(BX$1,main!$A$3:$H$102,7,FALSE)=main!$G$104,VLOOKUP(BX$1,main!$A$3:$H$102,5,FALSE)-VLOOKUP($A203,main!$A$3:$H$102,6,FALSE)&gt;=main!$D$103+VLOOKUP(VLOOKUP(BX$1,main!$A$3:$I$102,7,FALSE),main!$K$26:$Q$29,4,FALSE)),1,0)</f>
        <v>0</v>
      </c>
      <c r="BY203">
        <f>IF(AND(VLOOKUP(BY$1,main!$A$3:$H$102,7,FALSE)=main!$G$104,VLOOKUP(BY$1,main!$A$3:$H$102,5,FALSE)-VLOOKUP($A203,main!$A$3:$H$102,6,FALSE)&gt;=main!$D$103+VLOOKUP(VLOOKUP(BY$1,main!$A$3:$I$102,7,FALSE),main!$K$26:$Q$29,4,FALSE)),1,0)</f>
        <v>0</v>
      </c>
      <c r="BZ203">
        <f>IF(AND(VLOOKUP(BZ$1,main!$A$3:$H$102,7,FALSE)=main!$G$104,VLOOKUP(BZ$1,main!$A$3:$H$102,5,FALSE)-VLOOKUP($A203,main!$A$3:$H$102,6,FALSE)&gt;=main!$D$103+VLOOKUP(VLOOKUP(BZ$1,main!$A$3:$I$102,7,FALSE),main!$K$26:$Q$29,4,FALSE)),1,0)</f>
        <v>0</v>
      </c>
      <c r="CA203">
        <f>IF(AND(VLOOKUP(CA$1,main!$A$3:$H$102,7,FALSE)=main!$G$104,VLOOKUP(CA$1,main!$A$3:$H$102,5,FALSE)-VLOOKUP($A203,main!$A$3:$H$102,6,FALSE)&gt;=main!$D$103+VLOOKUP(VLOOKUP(CA$1,main!$A$3:$I$102,7,FALSE),main!$K$26:$Q$29,4,FALSE)),1,0)</f>
        <v>0</v>
      </c>
      <c r="CB203">
        <f>IF(AND(VLOOKUP(CB$1,main!$A$3:$H$102,7,FALSE)=main!$G$104,VLOOKUP(CB$1,main!$A$3:$H$102,5,FALSE)-VLOOKUP($A203,main!$A$3:$H$102,6,FALSE)&gt;=main!$D$103+VLOOKUP(VLOOKUP(CB$1,main!$A$3:$I$102,7,FALSE),main!$K$26:$Q$29,4,FALSE)),1,0)</f>
        <v>0</v>
      </c>
      <c r="CC203">
        <f>IF(AND(VLOOKUP(CC$1,main!$A$3:$H$102,7,FALSE)=main!$G$104,VLOOKUP(CC$1,main!$A$3:$H$102,5,FALSE)-VLOOKUP($A203,main!$A$3:$H$102,6,FALSE)&gt;=main!$D$103+VLOOKUP(VLOOKUP(CC$1,main!$A$3:$I$102,7,FALSE),main!$K$26:$Q$29,4,FALSE)),1,0)</f>
        <v>0</v>
      </c>
      <c r="CD203">
        <f>IF(AND(VLOOKUP(CD$1,main!$A$3:$H$102,7,FALSE)=main!$G$104,VLOOKUP(CD$1,main!$A$3:$H$102,5,FALSE)-VLOOKUP($A203,main!$A$3:$H$102,6,FALSE)&gt;=main!$D$103+VLOOKUP(VLOOKUP(CD$1,main!$A$3:$I$102,7,FALSE),main!$K$26:$Q$29,4,FALSE)),1,0)</f>
        <v>0</v>
      </c>
      <c r="CE203">
        <f>IF(AND(VLOOKUP(CE$1,main!$A$3:$H$102,7,FALSE)=main!$G$104,VLOOKUP(CE$1,main!$A$3:$H$102,5,FALSE)-VLOOKUP($A203,main!$A$3:$H$102,6,FALSE)&gt;=main!$D$103+VLOOKUP(VLOOKUP(CE$1,main!$A$3:$I$102,7,FALSE),main!$K$26:$Q$29,4,FALSE)),1,0)</f>
        <v>0</v>
      </c>
      <c r="CF203">
        <f>IF(AND(VLOOKUP(CF$1,main!$A$3:$H$102,7,FALSE)=main!$G$104,VLOOKUP(CF$1,main!$A$3:$H$102,5,FALSE)-VLOOKUP($A203,main!$A$3:$H$102,6,FALSE)&gt;=main!$D$103+VLOOKUP(VLOOKUP(CF$1,main!$A$3:$I$102,7,FALSE),main!$K$26:$Q$29,4,FALSE)),1,0)</f>
        <v>0</v>
      </c>
      <c r="CG203">
        <f>IF(AND(VLOOKUP(CG$1,main!$A$3:$H$102,7,FALSE)=main!$G$104,VLOOKUP(CG$1,main!$A$3:$H$102,5,FALSE)-VLOOKUP($A203,main!$A$3:$H$102,6,FALSE)&gt;=main!$D$103+VLOOKUP(VLOOKUP(CG$1,main!$A$3:$I$102,7,FALSE),main!$K$26:$Q$29,4,FALSE)),1,0)</f>
        <v>0</v>
      </c>
      <c r="CH203">
        <f>IF(AND(VLOOKUP(CH$1,main!$A$3:$H$102,7,FALSE)=main!$G$104,VLOOKUP(CH$1,main!$A$3:$H$102,5,FALSE)-VLOOKUP($A203,main!$A$3:$H$102,6,FALSE)&gt;=main!$D$103+VLOOKUP(VLOOKUP(CH$1,main!$A$3:$I$102,7,FALSE),main!$K$26:$Q$29,4,FALSE)),1,0)</f>
        <v>0</v>
      </c>
      <c r="CI203">
        <f>IF(AND(VLOOKUP(CI$1,main!$A$3:$H$102,7,FALSE)=main!$G$104,VLOOKUP(CI$1,main!$A$3:$H$102,5,FALSE)-VLOOKUP($A203,main!$A$3:$H$102,6,FALSE)&gt;=main!$D$103+VLOOKUP(VLOOKUP(CI$1,main!$A$3:$I$102,7,FALSE),main!$K$26:$Q$29,4,FALSE)),1,0)</f>
        <v>0</v>
      </c>
      <c r="CJ203">
        <f>IF(AND(VLOOKUP(CJ$1,main!$A$3:$H$102,7,FALSE)=main!$G$104,VLOOKUP(CJ$1,main!$A$3:$H$102,5,FALSE)-VLOOKUP($A203,main!$A$3:$H$102,6,FALSE)&gt;=main!$D$103+VLOOKUP(VLOOKUP(CJ$1,main!$A$3:$I$102,7,FALSE),main!$K$26:$Q$29,4,FALSE)),1,0)</f>
        <v>0</v>
      </c>
      <c r="CK203">
        <f>IF(AND(VLOOKUP(CK$1,main!$A$3:$H$102,7,FALSE)=main!$G$104,VLOOKUP(CK$1,main!$A$3:$H$102,5,FALSE)-VLOOKUP($A203,main!$A$3:$H$102,6,FALSE)&gt;=main!$D$103+VLOOKUP(VLOOKUP(CK$1,main!$A$3:$I$102,7,FALSE),main!$K$26:$Q$29,4,FALSE)),1,0)</f>
        <v>0</v>
      </c>
      <c r="CL203">
        <f>IF(AND(VLOOKUP(CL$1,main!$A$3:$H$102,7,FALSE)=main!$G$104,VLOOKUP(CL$1,main!$A$3:$H$102,5,FALSE)-VLOOKUP($A203,main!$A$3:$H$102,6,FALSE)&gt;=main!$D$103+VLOOKUP(VLOOKUP(CL$1,main!$A$3:$I$102,7,FALSE),main!$K$26:$Q$29,4,FALSE)),1,0)</f>
        <v>0</v>
      </c>
      <c r="CM203">
        <f>IF(AND(VLOOKUP(CM$1,main!$A$3:$H$102,7,FALSE)=main!$G$104,VLOOKUP(CM$1,main!$A$3:$H$102,5,FALSE)-VLOOKUP($A203,main!$A$3:$H$102,6,FALSE)&gt;=main!$D$103+VLOOKUP(VLOOKUP(CM$1,main!$A$3:$I$102,7,FALSE),main!$K$26:$Q$29,4,FALSE)),1,0)</f>
        <v>0</v>
      </c>
      <c r="CN203">
        <f>IF(AND(VLOOKUP(CN$1,main!$A$3:$H$102,7,FALSE)=main!$G$104,VLOOKUP(CN$1,main!$A$3:$H$102,5,FALSE)-VLOOKUP($A203,main!$A$3:$H$102,6,FALSE)&gt;=main!$D$103+VLOOKUP(VLOOKUP(CN$1,main!$A$3:$I$102,7,FALSE),main!$K$26:$Q$29,4,FALSE)),1,0)</f>
        <v>0</v>
      </c>
      <c r="CO203">
        <f>IF(AND(VLOOKUP(CO$1,main!$A$3:$H$102,7,FALSE)=main!$G$104,VLOOKUP(CO$1,main!$A$3:$H$102,5,FALSE)-VLOOKUP($A203,main!$A$3:$H$102,6,FALSE)&gt;=main!$D$103+VLOOKUP(VLOOKUP(CO$1,main!$A$3:$I$102,7,FALSE),main!$K$26:$Q$29,4,FALSE)),1,0)</f>
        <v>0</v>
      </c>
      <c r="CP203">
        <f>IF(AND(VLOOKUP(CP$1,main!$A$3:$H$102,7,FALSE)=main!$G$104,VLOOKUP(CP$1,main!$A$3:$H$102,5,FALSE)-VLOOKUP($A203,main!$A$3:$H$102,6,FALSE)&gt;=main!$D$103+VLOOKUP(VLOOKUP(CP$1,main!$A$3:$I$102,7,FALSE),main!$K$26:$Q$29,4,FALSE)),1,0)</f>
        <v>0</v>
      </c>
      <c r="CQ203">
        <f>IF(AND(VLOOKUP(CQ$1,main!$A$3:$H$102,7,FALSE)=main!$G$104,VLOOKUP(CQ$1,main!$A$3:$H$102,5,FALSE)-VLOOKUP($A203,main!$A$3:$H$102,6,FALSE)&gt;=main!$D$103+VLOOKUP(VLOOKUP(CQ$1,main!$A$3:$I$102,7,FALSE),main!$K$26:$Q$29,4,FALSE)),1,0)</f>
        <v>0</v>
      </c>
      <c r="CR203">
        <f>IF(AND(VLOOKUP(CR$1,main!$A$3:$H$102,7,FALSE)=main!$G$104,VLOOKUP(CR$1,main!$A$3:$H$102,5,FALSE)-VLOOKUP($A203,main!$A$3:$H$102,6,FALSE)&gt;=main!$D$103+VLOOKUP(VLOOKUP(CR$1,main!$A$3:$I$102,7,FALSE),main!$K$26:$Q$29,4,FALSE)),1,0)</f>
        <v>0</v>
      </c>
      <c r="CS203">
        <f>IF(AND(VLOOKUP(CS$1,main!$A$3:$H$102,7,FALSE)=main!$G$104,VLOOKUP(CS$1,main!$A$3:$H$102,5,FALSE)-VLOOKUP($A203,main!$A$3:$H$102,6,FALSE)&gt;=main!$D$103+VLOOKUP(VLOOKUP(CS$1,main!$A$3:$I$102,7,FALSE),main!$K$26:$Q$29,4,FALSE)),1,0)</f>
        <v>0</v>
      </c>
      <c r="CT203">
        <f>IF(AND(VLOOKUP(CT$1,main!$A$3:$H$102,7,FALSE)=main!$G$104,VLOOKUP(CT$1,main!$A$3:$H$102,5,FALSE)-VLOOKUP($A203,main!$A$3:$H$102,6,FALSE)&gt;=main!$D$103+VLOOKUP(VLOOKUP(CT$1,main!$A$3:$I$102,7,FALSE),main!$K$26:$Q$29,4,FALSE)),1,0)</f>
        <v>0</v>
      </c>
      <c r="CU203">
        <f>IF(AND(VLOOKUP(CU$1,main!$A$3:$H$102,7,FALSE)=main!$G$104,VLOOKUP(CU$1,main!$A$3:$H$102,5,FALSE)-VLOOKUP($A203,main!$A$3:$H$102,6,FALSE)&gt;=main!$D$103+VLOOKUP(VLOOKUP(CU$1,main!$A$3:$I$102,7,FALSE),main!$K$26:$Q$29,4,FALSE)),1,0)</f>
        <v>0</v>
      </c>
      <c r="CV203">
        <f>IF(AND(VLOOKUP(CV$1,main!$A$3:$H$102,7,FALSE)=main!$G$104,VLOOKUP(CV$1,main!$A$3:$H$102,5,FALSE)-VLOOKUP($A203,main!$A$3:$H$102,6,FALSE)&gt;=main!$D$103+VLOOKUP(VLOOKUP(CV$1,main!$A$3:$I$102,7,FALSE),main!$K$26:$Q$29,4,FALSE)),1,0)</f>
        <v>0</v>
      </c>
      <c r="CW203">
        <f>IF(AND(VLOOKUP(CW$1,main!$A$3:$H$102,7,FALSE)=main!$G$104,VLOOKUP(CW$1,main!$A$3:$H$102,5,FALSE)-VLOOKUP($A203,main!$A$3:$H$102,6,FALSE)&gt;=main!$D$103+VLOOKUP(VLOOKUP(CW$1,main!$A$3:$I$102,7,FALSE),main!$K$26:$Q$29,4,FALSE)),1,0)</f>
        <v>0</v>
      </c>
      <c r="CX203">
        <f>IF(AND(VLOOKUP(CX$1,main!$A$3:$H$102,7,FALSE)=main!$G$104,VLOOKUP(CX$1,main!$A$3:$H$102,5,FALSE)-VLOOKUP($A203,main!$A$3:$H$102,6,FALSE)&gt;=main!$D$103+VLOOKUP(VLOOKUP(CX$1,main!$A$3:$I$102,7,FALSE),main!$K$26:$Q$29,4,FALSE)),1,0)</f>
        <v>0</v>
      </c>
    </row>
    <row r="204" spans="1:102" x14ac:dyDescent="0.25">
      <c r="A204" s="1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</row>
    <row r="205" spans="1:102" x14ac:dyDescent="0.25">
      <c r="A205" s="1">
        <v>1</v>
      </c>
      <c r="B205">
        <v>0</v>
      </c>
      <c r="C205">
        <f>IF(AND(VLOOKUP(C$1,main!$A$3:$H$102,7,FALSE)=main!$G$105,VLOOKUP(C$1,main!$A$3:$H$102,5,FALSE)-VLOOKUP($A205,main!$A$3:$H$102,6,FALSE)&gt;=main!$D$103+VLOOKUP(VLOOKUP(C$1,main!$A$3:$I$102,7,FALSE),main!$K$26:$Q$29,5,FALSE)),1,0)</f>
        <v>0</v>
      </c>
      <c r="D205">
        <f>IF(AND(VLOOKUP(D$1,main!$A$3:$H$102,7,FALSE)=main!$G$105,VLOOKUP(D$1,main!$A$3:$H$102,5,FALSE)-VLOOKUP($A205,main!$A$3:$H$102,6,FALSE)&gt;=main!$D$103+VLOOKUP(VLOOKUP(D$1,main!$A$3:$I$102,7,FALSE),main!$K$26:$Q$29,5,FALSE)),1,0)</f>
        <v>0</v>
      </c>
      <c r="E205">
        <f>IF(AND(VLOOKUP(E$1,main!$A$3:$H$102,7,FALSE)=main!$G$105,VLOOKUP(E$1,main!$A$3:$H$102,5,FALSE)-VLOOKUP($A205,main!$A$3:$H$102,6,FALSE)&gt;=main!$D$103+VLOOKUP(VLOOKUP(E$1,main!$A$3:$I$102,7,FALSE),main!$K$26:$Q$29,5,FALSE)),1,0)</f>
        <v>0</v>
      </c>
      <c r="F205">
        <f>IF(AND(VLOOKUP(F$1,main!$A$3:$H$102,7,FALSE)=main!$G$105,VLOOKUP(F$1,main!$A$3:$H$102,5,FALSE)-VLOOKUP($A205,main!$A$3:$H$102,6,FALSE)&gt;=main!$D$103+VLOOKUP(VLOOKUP(F$1,main!$A$3:$I$102,7,FALSE),main!$K$26:$Q$29,5,FALSE)),1,0)</f>
        <v>0</v>
      </c>
      <c r="G205">
        <f>IF(AND(VLOOKUP(G$1,main!$A$3:$H$102,7,FALSE)=main!$G$105,VLOOKUP(G$1,main!$A$3:$H$102,5,FALSE)-VLOOKUP($A205,main!$A$3:$H$102,6,FALSE)&gt;=main!$D$103+VLOOKUP(VLOOKUP(G$1,main!$A$3:$I$102,7,FALSE),main!$K$26:$Q$29,5,FALSE)),1,0)</f>
        <v>0</v>
      </c>
      <c r="H205">
        <f>IF(AND(VLOOKUP(H$1,main!$A$3:$H$102,7,FALSE)=main!$G$105,VLOOKUP(H$1,main!$A$3:$H$102,5,FALSE)-VLOOKUP($A205,main!$A$3:$H$102,6,FALSE)&gt;=main!$D$103+VLOOKUP(VLOOKUP(H$1,main!$A$3:$I$102,7,FALSE),main!$K$26:$Q$29,5,FALSE)),1,0)</f>
        <v>0</v>
      </c>
      <c r="I205">
        <f>IF(AND(VLOOKUP(I$1,main!$A$3:$H$102,7,FALSE)=main!$G$105,VLOOKUP(I$1,main!$A$3:$H$102,5,FALSE)-VLOOKUP($A205,main!$A$3:$H$102,6,FALSE)&gt;=main!$D$103+VLOOKUP(VLOOKUP(I$1,main!$A$3:$I$102,7,FALSE),main!$K$26:$Q$29,5,FALSE)),1,0)</f>
        <v>0</v>
      </c>
      <c r="J205">
        <f>IF(AND(VLOOKUP(J$1,main!$A$3:$H$102,7,FALSE)=main!$G$105,VLOOKUP(J$1,main!$A$3:$H$102,5,FALSE)-VLOOKUP($A205,main!$A$3:$H$102,6,FALSE)&gt;=main!$D$103+VLOOKUP(VLOOKUP(J$1,main!$A$3:$I$102,7,FALSE),main!$K$26:$Q$29,5,FALSE)),1,0)</f>
        <v>0</v>
      </c>
      <c r="K205">
        <f>IF(AND(VLOOKUP(K$1,main!$A$3:$H$102,7,FALSE)=main!$G$105,VLOOKUP(K$1,main!$A$3:$H$102,5,FALSE)-VLOOKUP($A205,main!$A$3:$H$102,6,FALSE)&gt;=main!$D$103+VLOOKUP(VLOOKUP(K$1,main!$A$3:$I$102,7,FALSE),main!$K$26:$Q$29,5,FALSE)),1,0)</f>
        <v>0</v>
      </c>
      <c r="L205">
        <f>IF(AND(VLOOKUP(L$1,main!$A$3:$H$102,7,FALSE)=main!$G$105,VLOOKUP(L$1,main!$A$3:$H$102,5,FALSE)-VLOOKUP($A205,main!$A$3:$H$102,6,FALSE)&gt;=main!$D$103+VLOOKUP(VLOOKUP(L$1,main!$A$3:$I$102,7,FALSE),main!$K$26:$Q$29,5,FALSE)),1,0)</f>
        <v>0</v>
      </c>
      <c r="M205">
        <f>IF(AND(VLOOKUP(M$1,main!$A$3:$H$102,7,FALSE)=main!$G$105,VLOOKUP(M$1,main!$A$3:$H$102,5,FALSE)-VLOOKUP($A205,main!$A$3:$H$102,6,FALSE)&gt;=main!$D$103+VLOOKUP(VLOOKUP(M$1,main!$A$3:$I$102,7,FALSE),main!$K$26:$Q$29,5,FALSE)),1,0)</f>
        <v>0</v>
      </c>
      <c r="N205">
        <f>IF(AND(VLOOKUP(N$1,main!$A$3:$H$102,7,FALSE)=main!$G$105,VLOOKUP(N$1,main!$A$3:$H$102,5,FALSE)-VLOOKUP($A205,main!$A$3:$H$102,6,FALSE)&gt;=main!$D$103+VLOOKUP(VLOOKUP(N$1,main!$A$3:$I$102,7,FALSE),main!$K$26:$Q$29,5,FALSE)),1,0)</f>
        <v>0</v>
      </c>
      <c r="O205">
        <f>IF(AND(VLOOKUP(O$1,main!$A$3:$H$102,7,FALSE)=main!$G$105,VLOOKUP(O$1,main!$A$3:$H$102,5,FALSE)-VLOOKUP($A205,main!$A$3:$H$102,6,FALSE)&gt;=main!$D$103+VLOOKUP(VLOOKUP(O$1,main!$A$3:$I$102,7,FALSE),main!$K$26:$Q$29,5,FALSE)),1,0)</f>
        <v>0</v>
      </c>
      <c r="P205">
        <f>IF(AND(VLOOKUP(P$1,main!$A$3:$H$102,7,FALSE)=main!$G$105,VLOOKUP(P$1,main!$A$3:$H$102,5,FALSE)-VLOOKUP($A205,main!$A$3:$H$102,6,FALSE)&gt;=main!$D$103+VLOOKUP(VLOOKUP(P$1,main!$A$3:$I$102,7,FALSE),main!$K$26:$Q$29,5,FALSE)),1,0)</f>
        <v>0</v>
      </c>
      <c r="Q205">
        <f>IF(AND(VLOOKUP(Q$1,main!$A$3:$H$102,7,FALSE)=main!$G$105,VLOOKUP(Q$1,main!$A$3:$H$102,5,FALSE)-VLOOKUP($A205,main!$A$3:$H$102,6,FALSE)&gt;=main!$D$103+VLOOKUP(VLOOKUP(Q$1,main!$A$3:$I$102,7,FALSE),main!$K$26:$Q$29,5,FALSE)),1,0)</f>
        <v>0</v>
      </c>
      <c r="R205">
        <f>IF(AND(VLOOKUP(R$1,main!$A$3:$H$102,7,FALSE)=main!$G$105,VLOOKUP(R$1,main!$A$3:$H$102,5,FALSE)-VLOOKUP($A205,main!$A$3:$H$102,6,FALSE)&gt;=main!$D$103+VLOOKUP(VLOOKUP(R$1,main!$A$3:$I$102,7,FALSE),main!$K$26:$Q$29,5,FALSE)),1,0)</f>
        <v>0</v>
      </c>
      <c r="S205">
        <f>IF(AND(VLOOKUP(S$1,main!$A$3:$H$102,7,FALSE)=main!$G$105,VLOOKUP(S$1,main!$A$3:$H$102,5,FALSE)-VLOOKUP($A205,main!$A$3:$H$102,6,FALSE)&gt;=main!$D$103+VLOOKUP(VLOOKUP(S$1,main!$A$3:$I$102,7,FALSE),main!$K$26:$Q$29,5,FALSE)),1,0)</f>
        <v>0</v>
      </c>
      <c r="T205">
        <f>IF(AND(VLOOKUP(T$1,main!$A$3:$H$102,7,FALSE)=main!$G$105,VLOOKUP(T$1,main!$A$3:$H$102,5,FALSE)-VLOOKUP($A205,main!$A$3:$H$102,6,FALSE)&gt;=main!$D$103+VLOOKUP(VLOOKUP(T$1,main!$A$3:$I$102,7,FALSE),main!$K$26:$Q$29,5,FALSE)),1,0)</f>
        <v>0</v>
      </c>
      <c r="U205">
        <f>IF(AND(VLOOKUP(U$1,main!$A$3:$H$102,7,FALSE)=main!$G$105,VLOOKUP(U$1,main!$A$3:$H$102,5,FALSE)-VLOOKUP($A205,main!$A$3:$H$102,6,FALSE)&gt;=main!$D$103+VLOOKUP(VLOOKUP(U$1,main!$A$3:$I$102,7,FALSE),main!$K$26:$Q$29,5,FALSE)),1,0)</f>
        <v>0</v>
      </c>
      <c r="V205">
        <f>IF(AND(VLOOKUP(V$1,main!$A$3:$H$102,7,FALSE)=main!$G$105,VLOOKUP(V$1,main!$A$3:$H$102,5,FALSE)-VLOOKUP($A205,main!$A$3:$H$102,6,FALSE)&gt;=main!$D$103+VLOOKUP(VLOOKUP(V$1,main!$A$3:$I$102,7,FALSE),main!$K$26:$Q$29,5,FALSE)),1,0)</f>
        <v>0</v>
      </c>
      <c r="W205">
        <f>IF(AND(VLOOKUP(W$1,main!$A$3:$H$102,7,FALSE)=main!$G$105,VLOOKUP(W$1,main!$A$3:$H$102,5,FALSE)-VLOOKUP($A205,main!$A$3:$H$102,6,FALSE)&gt;=main!$D$103+VLOOKUP(VLOOKUP(W$1,main!$A$3:$I$102,7,FALSE),main!$K$26:$Q$29,5,FALSE)),1,0)</f>
        <v>0</v>
      </c>
      <c r="X205">
        <f>IF(AND(VLOOKUP(X$1,main!$A$3:$H$102,7,FALSE)=main!$G$105,VLOOKUP(X$1,main!$A$3:$H$102,5,FALSE)-VLOOKUP($A205,main!$A$3:$H$102,6,FALSE)&gt;=main!$D$103+VLOOKUP(VLOOKUP(X$1,main!$A$3:$I$102,7,FALSE),main!$K$26:$Q$29,5,FALSE)),1,0)</f>
        <v>0</v>
      </c>
      <c r="Y205">
        <f>IF(AND(VLOOKUP(Y$1,main!$A$3:$H$102,7,FALSE)=main!$G$105,VLOOKUP(Y$1,main!$A$3:$H$102,5,FALSE)-VLOOKUP($A205,main!$A$3:$H$102,6,FALSE)&gt;=main!$D$103+VLOOKUP(VLOOKUP(Y$1,main!$A$3:$I$102,7,FALSE),main!$K$26:$Q$29,5,FALSE)),1,0)</f>
        <v>0</v>
      </c>
      <c r="Z205">
        <f>IF(AND(VLOOKUP(Z$1,main!$A$3:$H$102,7,FALSE)=main!$G$105,VLOOKUP(Z$1,main!$A$3:$H$102,5,FALSE)-VLOOKUP($A205,main!$A$3:$H$102,6,FALSE)&gt;=main!$D$103+VLOOKUP(VLOOKUP(Z$1,main!$A$3:$I$102,7,FALSE),main!$K$26:$Q$29,5,FALSE)),1,0)</f>
        <v>0</v>
      </c>
      <c r="AA205">
        <f>IF(AND(VLOOKUP(AA$1,main!$A$3:$H$102,7,FALSE)=main!$G$105,VLOOKUP(AA$1,main!$A$3:$H$102,5,FALSE)-VLOOKUP($A205,main!$A$3:$H$102,6,FALSE)&gt;=main!$D$103+VLOOKUP(VLOOKUP(AA$1,main!$A$3:$I$102,7,FALSE),main!$K$26:$Q$29,5,FALSE)),1,0)</f>
        <v>0</v>
      </c>
      <c r="AB205">
        <f>IF(AND(VLOOKUP(AB$1,main!$A$3:$H$102,7,FALSE)=main!$G$105,VLOOKUP(AB$1,main!$A$3:$H$102,5,FALSE)-VLOOKUP($A205,main!$A$3:$H$102,6,FALSE)&gt;=main!$D$103+VLOOKUP(VLOOKUP(AB$1,main!$A$3:$I$102,7,FALSE),main!$K$26:$Q$29,5,FALSE)),1,0)</f>
        <v>0</v>
      </c>
      <c r="AC205">
        <f>IF(AND(VLOOKUP(AC$1,main!$A$3:$H$102,7,FALSE)=main!$G$105,VLOOKUP(AC$1,main!$A$3:$H$102,5,FALSE)-VLOOKUP($A205,main!$A$3:$H$102,6,FALSE)&gt;=main!$D$103+VLOOKUP(VLOOKUP(AC$1,main!$A$3:$I$102,7,FALSE),main!$K$26:$Q$29,5,FALSE)),1,0)</f>
        <v>0</v>
      </c>
      <c r="AD205">
        <f>IF(AND(VLOOKUP(AD$1,main!$A$3:$H$102,7,FALSE)=main!$G$105,VLOOKUP(AD$1,main!$A$3:$H$102,5,FALSE)-VLOOKUP($A205,main!$A$3:$H$102,6,FALSE)&gt;=main!$D$103+VLOOKUP(VLOOKUP(AD$1,main!$A$3:$I$102,7,FALSE),main!$K$26:$Q$29,5,FALSE)),1,0)</f>
        <v>0</v>
      </c>
      <c r="AE205">
        <f>IF(AND(VLOOKUP(AE$1,main!$A$3:$H$102,7,FALSE)=main!$G$105,VLOOKUP(AE$1,main!$A$3:$H$102,5,FALSE)-VLOOKUP($A205,main!$A$3:$H$102,6,FALSE)&gt;=main!$D$103+VLOOKUP(VLOOKUP(AE$1,main!$A$3:$I$102,7,FALSE),main!$K$26:$Q$29,5,FALSE)),1,0)</f>
        <v>0</v>
      </c>
      <c r="AF205">
        <f>IF(AND(VLOOKUP(AF$1,main!$A$3:$H$102,7,FALSE)=main!$G$105,VLOOKUP(AF$1,main!$A$3:$H$102,5,FALSE)-VLOOKUP($A205,main!$A$3:$H$102,6,FALSE)&gt;=main!$D$103+VLOOKUP(VLOOKUP(AF$1,main!$A$3:$I$102,7,FALSE),main!$K$26:$Q$29,5,FALSE)),1,0)</f>
        <v>0</v>
      </c>
      <c r="AG205">
        <f>IF(AND(VLOOKUP(AG$1,main!$A$3:$H$102,7,FALSE)=main!$G$105,VLOOKUP(AG$1,main!$A$3:$H$102,5,FALSE)-VLOOKUP($A205,main!$A$3:$H$102,6,FALSE)&gt;=main!$D$103+VLOOKUP(VLOOKUP(AG$1,main!$A$3:$I$102,7,FALSE),main!$K$26:$Q$29,5,FALSE)),1,0)</f>
        <v>0</v>
      </c>
      <c r="AH205">
        <f>IF(AND(VLOOKUP(AH$1,main!$A$3:$H$102,7,FALSE)=main!$G$105,VLOOKUP(AH$1,main!$A$3:$H$102,5,FALSE)-VLOOKUP($A205,main!$A$3:$H$102,6,FALSE)&gt;=main!$D$103+VLOOKUP(VLOOKUP(AH$1,main!$A$3:$I$102,7,FALSE),main!$K$26:$Q$29,5,FALSE)),1,0)</f>
        <v>1</v>
      </c>
      <c r="AI205">
        <f>IF(AND(VLOOKUP(AI$1,main!$A$3:$H$102,7,FALSE)=main!$G$105,VLOOKUP(AI$1,main!$A$3:$H$102,5,FALSE)-VLOOKUP($A205,main!$A$3:$H$102,6,FALSE)&gt;=main!$D$103+VLOOKUP(VLOOKUP(AI$1,main!$A$3:$I$102,7,FALSE),main!$K$26:$Q$29,5,FALSE)),1,0)</f>
        <v>1</v>
      </c>
      <c r="AJ205">
        <f>IF(AND(VLOOKUP(AJ$1,main!$A$3:$H$102,7,FALSE)=main!$G$105,VLOOKUP(AJ$1,main!$A$3:$H$102,5,FALSE)-VLOOKUP($A205,main!$A$3:$H$102,6,FALSE)&gt;=main!$D$103+VLOOKUP(VLOOKUP(AJ$1,main!$A$3:$I$102,7,FALSE),main!$K$26:$Q$29,5,FALSE)),1,0)</f>
        <v>1</v>
      </c>
      <c r="AK205">
        <f>IF(AND(VLOOKUP(AK$1,main!$A$3:$H$102,7,FALSE)=main!$G$105,VLOOKUP(AK$1,main!$A$3:$H$102,5,FALSE)-VLOOKUP($A205,main!$A$3:$H$102,6,FALSE)&gt;=main!$D$103+VLOOKUP(VLOOKUP(AK$1,main!$A$3:$I$102,7,FALSE),main!$K$26:$Q$29,5,FALSE)),1,0)</f>
        <v>1</v>
      </c>
      <c r="AL205">
        <f>IF(AND(VLOOKUP(AL$1,main!$A$3:$H$102,7,FALSE)=main!$G$105,VLOOKUP(AL$1,main!$A$3:$H$102,5,FALSE)-VLOOKUP($A205,main!$A$3:$H$102,6,FALSE)&gt;=main!$D$103+VLOOKUP(VLOOKUP(AL$1,main!$A$3:$I$102,7,FALSE),main!$K$26:$Q$29,5,FALSE)),1,0)</f>
        <v>1</v>
      </c>
      <c r="AM205">
        <f>IF(AND(VLOOKUP(AM$1,main!$A$3:$H$102,7,FALSE)=main!$G$105,VLOOKUP(AM$1,main!$A$3:$H$102,5,FALSE)-VLOOKUP($A205,main!$A$3:$H$102,6,FALSE)&gt;=main!$D$103+VLOOKUP(VLOOKUP(AM$1,main!$A$3:$I$102,7,FALSE),main!$K$26:$Q$29,5,FALSE)),1,0)</f>
        <v>1</v>
      </c>
      <c r="AN205">
        <f>IF(AND(VLOOKUP(AN$1,main!$A$3:$H$102,7,FALSE)=main!$G$105,VLOOKUP(AN$1,main!$A$3:$H$102,5,FALSE)-VLOOKUP($A205,main!$A$3:$H$102,6,FALSE)&gt;=main!$D$103+VLOOKUP(VLOOKUP(AN$1,main!$A$3:$I$102,7,FALSE),main!$K$26:$Q$29,5,FALSE)),1,0)</f>
        <v>1</v>
      </c>
      <c r="AO205">
        <f>IF(AND(VLOOKUP(AO$1,main!$A$3:$H$102,7,FALSE)=main!$G$105,VLOOKUP(AO$1,main!$A$3:$H$102,5,FALSE)-VLOOKUP($A205,main!$A$3:$H$102,6,FALSE)&gt;=main!$D$103+VLOOKUP(VLOOKUP(AO$1,main!$A$3:$I$102,7,FALSE),main!$K$26:$Q$29,5,FALSE)),1,0)</f>
        <v>0</v>
      </c>
      <c r="AP205">
        <f>IF(AND(VLOOKUP(AP$1,main!$A$3:$H$102,7,FALSE)=main!$G$105,VLOOKUP(AP$1,main!$A$3:$H$102,5,FALSE)-VLOOKUP($A205,main!$A$3:$H$102,6,FALSE)&gt;=main!$D$103+VLOOKUP(VLOOKUP(AP$1,main!$A$3:$I$102,7,FALSE),main!$K$26:$Q$29,5,FALSE)),1,0)</f>
        <v>1</v>
      </c>
      <c r="AQ205">
        <f>IF(AND(VLOOKUP(AQ$1,main!$A$3:$H$102,7,FALSE)=main!$G$105,VLOOKUP(AQ$1,main!$A$3:$H$102,5,FALSE)-VLOOKUP($A205,main!$A$3:$H$102,6,FALSE)&gt;=main!$D$103+VLOOKUP(VLOOKUP(AQ$1,main!$A$3:$I$102,7,FALSE),main!$K$26:$Q$29,5,FALSE)),1,0)</f>
        <v>0</v>
      </c>
      <c r="AR205">
        <f>IF(AND(VLOOKUP(AR$1,main!$A$3:$H$102,7,FALSE)=main!$G$105,VLOOKUP(AR$1,main!$A$3:$H$102,5,FALSE)-VLOOKUP($A205,main!$A$3:$H$102,6,FALSE)&gt;=main!$D$103+VLOOKUP(VLOOKUP(AR$1,main!$A$3:$I$102,7,FALSE),main!$K$26:$Q$29,5,FALSE)),1,0)</f>
        <v>0</v>
      </c>
      <c r="AS205">
        <f>IF(AND(VLOOKUP(AS$1,main!$A$3:$H$102,7,FALSE)=main!$G$105,VLOOKUP(AS$1,main!$A$3:$H$102,5,FALSE)-VLOOKUP($A205,main!$A$3:$H$102,6,FALSE)&gt;=main!$D$103+VLOOKUP(VLOOKUP(AS$1,main!$A$3:$I$102,7,FALSE),main!$K$26:$Q$29,5,FALSE)),1,0)</f>
        <v>1</v>
      </c>
      <c r="AT205">
        <f>IF(AND(VLOOKUP(AT$1,main!$A$3:$H$102,7,FALSE)=main!$G$105,VLOOKUP(AT$1,main!$A$3:$H$102,5,FALSE)-VLOOKUP($A205,main!$A$3:$H$102,6,FALSE)&gt;=main!$D$103+VLOOKUP(VLOOKUP(AT$1,main!$A$3:$I$102,7,FALSE),main!$K$26:$Q$29,5,FALSE)),1,0)</f>
        <v>1</v>
      </c>
      <c r="AU205">
        <f>IF(AND(VLOOKUP(AU$1,main!$A$3:$H$102,7,FALSE)=main!$G$105,VLOOKUP(AU$1,main!$A$3:$H$102,5,FALSE)-VLOOKUP($A205,main!$A$3:$H$102,6,FALSE)&gt;=main!$D$103+VLOOKUP(VLOOKUP(AU$1,main!$A$3:$I$102,7,FALSE),main!$K$26:$Q$29,5,FALSE)),1,0)</f>
        <v>0</v>
      </c>
      <c r="AV205">
        <f>IF(AND(VLOOKUP(AV$1,main!$A$3:$H$102,7,FALSE)=main!$G$105,VLOOKUP(AV$1,main!$A$3:$H$102,5,FALSE)-VLOOKUP($A205,main!$A$3:$H$102,6,FALSE)&gt;=main!$D$103+VLOOKUP(VLOOKUP(AV$1,main!$A$3:$I$102,7,FALSE),main!$K$26:$Q$29,5,FALSE)),1,0)</f>
        <v>0</v>
      </c>
      <c r="AW205">
        <f>IF(AND(VLOOKUP(AW$1,main!$A$3:$H$102,7,FALSE)=main!$G$105,VLOOKUP(AW$1,main!$A$3:$H$102,5,FALSE)-VLOOKUP($A205,main!$A$3:$H$102,6,FALSE)&gt;=main!$D$103+VLOOKUP(VLOOKUP(AW$1,main!$A$3:$I$102,7,FALSE),main!$K$26:$Q$29,5,FALSE)),1,0)</f>
        <v>1</v>
      </c>
      <c r="AX205">
        <f>IF(AND(VLOOKUP(AX$1,main!$A$3:$H$102,7,FALSE)=main!$G$105,VLOOKUP(AX$1,main!$A$3:$H$102,5,FALSE)-VLOOKUP($A205,main!$A$3:$H$102,6,FALSE)&gt;=main!$D$103+VLOOKUP(VLOOKUP(AX$1,main!$A$3:$I$102,7,FALSE),main!$K$26:$Q$29,5,FALSE)),1,0)</f>
        <v>1</v>
      </c>
      <c r="AY205">
        <f>IF(AND(VLOOKUP(AY$1,main!$A$3:$H$102,7,FALSE)=main!$G$105,VLOOKUP(AY$1,main!$A$3:$H$102,5,FALSE)-VLOOKUP($A205,main!$A$3:$H$102,6,FALSE)&gt;=main!$D$103+VLOOKUP(VLOOKUP(AY$1,main!$A$3:$I$102,7,FALSE),main!$K$26:$Q$29,5,FALSE)),1,0)</f>
        <v>0</v>
      </c>
      <c r="AZ205">
        <f>IF(AND(VLOOKUP(AZ$1,main!$A$3:$H$102,7,FALSE)=main!$G$105,VLOOKUP(AZ$1,main!$A$3:$H$102,5,FALSE)-VLOOKUP($A205,main!$A$3:$H$102,6,FALSE)&gt;=main!$D$103+VLOOKUP(VLOOKUP(AZ$1,main!$A$3:$I$102,7,FALSE),main!$K$26:$Q$29,5,FALSE)),1,0)</f>
        <v>1</v>
      </c>
      <c r="BA205">
        <f>IF(AND(VLOOKUP(BA$1,main!$A$3:$H$102,7,FALSE)=main!$G$105,VLOOKUP(BA$1,main!$A$3:$H$102,5,FALSE)-VLOOKUP($A205,main!$A$3:$H$102,6,FALSE)&gt;=main!$D$103+VLOOKUP(VLOOKUP(BA$1,main!$A$3:$I$102,7,FALSE),main!$K$26:$Q$29,5,FALSE)),1,0)</f>
        <v>0</v>
      </c>
      <c r="BB205">
        <f>IF(AND(VLOOKUP(BB$1,main!$A$3:$H$102,7,FALSE)=main!$G$105,VLOOKUP(BB$1,main!$A$3:$H$102,5,FALSE)-VLOOKUP($A205,main!$A$3:$H$102,6,FALSE)&gt;=main!$D$103+VLOOKUP(VLOOKUP(BB$1,main!$A$3:$I$102,7,FALSE),main!$K$26:$Q$29,5,FALSE)),1,0)</f>
        <v>0</v>
      </c>
      <c r="BC205">
        <f>IF(AND(VLOOKUP(BC$1,main!$A$3:$H$102,7,FALSE)=main!$G$105,VLOOKUP(BC$1,main!$A$3:$H$102,5,FALSE)-VLOOKUP($A205,main!$A$3:$H$102,6,FALSE)&gt;=main!$D$103+VLOOKUP(VLOOKUP(BC$1,main!$A$3:$I$102,7,FALSE),main!$K$26:$Q$29,5,FALSE)),1,0)</f>
        <v>0</v>
      </c>
      <c r="BD205">
        <f>IF(AND(VLOOKUP(BD$1,main!$A$3:$H$102,7,FALSE)=main!$G$105,VLOOKUP(BD$1,main!$A$3:$H$102,5,FALSE)-VLOOKUP($A205,main!$A$3:$H$102,6,FALSE)&gt;=main!$D$103+VLOOKUP(VLOOKUP(BD$1,main!$A$3:$I$102,7,FALSE),main!$K$26:$Q$29,5,FALSE)),1,0)</f>
        <v>0</v>
      </c>
      <c r="BE205">
        <f>IF(AND(VLOOKUP(BE$1,main!$A$3:$H$102,7,FALSE)=main!$G$105,VLOOKUP(BE$1,main!$A$3:$H$102,5,FALSE)-VLOOKUP($A205,main!$A$3:$H$102,6,FALSE)&gt;=main!$D$103+VLOOKUP(VLOOKUP(BE$1,main!$A$3:$I$102,7,FALSE),main!$K$26:$Q$29,5,FALSE)),1,0)</f>
        <v>0</v>
      </c>
      <c r="BF205">
        <f>IF(AND(VLOOKUP(BF$1,main!$A$3:$H$102,7,FALSE)=main!$G$105,VLOOKUP(BF$1,main!$A$3:$H$102,5,FALSE)-VLOOKUP($A205,main!$A$3:$H$102,6,FALSE)&gt;=main!$D$103+VLOOKUP(VLOOKUP(BF$1,main!$A$3:$I$102,7,FALSE),main!$K$26:$Q$29,5,FALSE)),1,0)</f>
        <v>0</v>
      </c>
      <c r="BG205">
        <f>IF(AND(VLOOKUP(BG$1,main!$A$3:$H$102,7,FALSE)=main!$G$105,VLOOKUP(BG$1,main!$A$3:$H$102,5,FALSE)-VLOOKUP($A205,main!$A$3:$H$102,6,FALSE)&gt;=main!$D$103+VLOOKUP(VLOOKUP(BG$1,main!$A$3:$I$102,7,FALSE),main!$K$26:$Q$29,5,FALSE)),1,0)</f>
        <v>0</v>
      </c>
      <c r="BH205">
        <f>IF(AND(VLOOKUP(BH$1,main!$A$3:$H$102,7,FALSE)=main!$G$105,VLOOKUP(BH$1,main!$A$3:$H$102,5,FALSE)-VLOOKUP($A205,main!$A$3:$H$102,6,FALSE)&gt;=main!$D$103+VLOOKUP(VLOOKUP(BH$1,main!$A$3:$I$102,7,FALSE),main!$K$26:$Q$29,5,FALSE)),1,0)</f>
        <v>0</v>
      </c>
      <c r="BI205">
        <f>IF(AND(VLOOKUP(BI$1,main!$A$3:$H$102,7,FALSE)=main!$G$105,VLOOKUP(BI$1,main!$A$3:$H$102,5,FALSE)-VLOOKUP($A205,main!$A$3:$H$102,6,FALSE)&gt;=main!$D$103+VLOOKUP(VLOOKUP(BI$1,main!$A$3:$I$102,7,FALSE),main!$K$26:$Q$29,5,FALSE)),1,0)</f>
        <v>0</v>
      </c>
      <c r="BJ205">
        <f>IF(AND(VLOOKUP(BJ$1,main!$A$3:$H$102,7,FALSE)=main!$G$105,VLOOKUP(BJ$1,main!$A$3:$H$102,5,FALSE)-VLOOKUP($A205,main!$A$3:$H$102,6,FALSE)&gt;=main!$D$103+VLOOKUP(VLOOKUP(BJ$1,main!$A$3:$I$102,7,FALSE),main!$K$26:$Q$29,5,FALSE)),1,0)</f>
        <v>0</v>
      </c>
      <c r="BK205">
        <f>IF(AND(VLOOKUP(BK$1,main!$A$3:$H$102,7,FALSE)=main!$G$105,VLOOKUP(BK$1,main!$A$3:$H$102,5,FALSE)-VLOOKUP($A205,main!$A$3:$H$102,6,FALSE)&gt;=main!$D$103+VLOOKUP(VLOOKUP(BK$1,main!$A$3:$I$102,7,FALSE),main!$K$26:$Q$29,5,FALSE)),1,0)</f>
        <v>0</v>
      </c>
      <c r="BL205">
        <f>IF(AND(VLOOKUP(BL$1,main!$A$3:$H$102,7,FALSE)=main!$G$105,VLOOKUP(BL$1,main!$A$3:$H$102,5,FALSE)-VLOOKUP($A205,main!$A$3:$H$102,6,FALSE)&gt;=main!$D$103+VLOOKUP(VLOOKUP(BL$1,main!$A$3:$I$102,7,FALSE),main!$K$26:$Q$29,5,FALSE)),1,0)</f>
        <v>0</v>
      </c>
      <c r="BM205">
        <f>IF(AND(VLOOKUP(BM$1,main!$A$3:$H$102,7,FALSE)=main!$G$105,VLOOKUP(BM$1,main!$A$3:$H$102,5,FALSE)-VLOOKUP($A205,main!$A$3:$H$102,6,FALSE)&gt;=main!$D$103+VLOOKUP(VLOOKUP(BM$1,main!$A$3:$I$102,7,FALSE),main!$K$26:$Q$29,5,FALSE)),1,0)</f>
        <v>0</v>
      </c>
      <c r="BN205">
        <f>IF(AND(VLOOKUP(BN$1,main!$A$3:$H$102,7,FALSE)=main!$G$105,VLOOKUP(BN$1,main!$A$3:$H$102,5,FALSE)-VLOOKUP($A205,main!$A$3:$H$102,6,FALSE)&gt;=main!$D$103+VLOOKUP(VLOOKUP(BN$1,main!$A$3:$I$102,7,FALSE),main!$K$26:$Q$29,5,FALSE)),1,0)</f>
        <v>0</v>
      </c>
      <c r="BO205">
        <f>IF(AND(VLOOKUP(BO$1,main!$A$3:$H$102,7,FALSE)=main!$G$105,VLOOKUP(BO$1,main!$A$3:$H$102,5,FALSE)-VLOOKUP($A205,main!$A$3:$H$102,6,FALSE)&gt;=main!$D$103+VLOOKUP(VLOOKUP(BO$1,main!$A$3:$I$102,7,FALSE),main!$K$26:$Q$29,5,FALSE)),1,0)</f>
        <v>0</v>
      </c>
      <c r="BP205">
        <f>IF(AND(VLOOKUP(BP$1,main!$A$3:$H$102,7,FALSE)=main!$G$105,VLOOKUP(BP$1,main!$A$3:$H$102,5,FALSE)-VLOOKUP($A205,main!$A$3:$H$102,6,FALSE)&gt;=main!$D$103+VLOOKUP(VLOOKUP(BP$1,main!$A$3:$I$102,7,FALSE),main!$K$26:$Q$29,5,FALSE)),1,0)</f>
        <v>0</v>
      </c>
      <c r="BQ205">
        <f>IF(AND(VLOOKUP(BQ$1,main!$A$3:$H$102,7,FALSE)=main!$G$105,VLOOKUP(BQ$1,main!$A$3:$H$102,5,FALSE)-VLOOKUP($A205,main!$A$3:$H$102,6,FALSE)&gt;=main!$D$103+VLOOKUP(VLOOKUP(BQ$1,main!$A$3:$I$102,7,FALSE),main!$K$26:$Q$29,5,FALSE)),1,0)</f>
        <v>0</v>
      </c>
      <c r="BR205">
        <f>IF(AND(VLOOKUP(BR$1,main!$A$3:$H$102,7,FALSE)=main!$G$105,VLOOKUP(BR$1,main!$A$3:$H$102,5,FALSE)-VLOOKUP($A205,main!$A$3:$H$102,6,FALSE)&gt;=main!$D$103+VLOOKUP(VLOOKUP(BR$1,main!$A$3:$I$102,7,FALSE),main!$K$26:$Q$29,5,FALSE)),1,0)</f>
        <v>0</v>
      </c>
      <c r="BS205">
        <f>IF(AND(VLOOKUP(BS$1,main!$A$3:$H$102,7,FALSE)=main!$G$105,VLOOKUP(BS$1,main!$A$3:$H$102,5,FALSE)-VLOOKUP($A205,main!$A$3:$H$102,6,FALSE)&gt;=main!$D$103+VLOOKUP(VLOOKUP(BS$1,main!$A$3:$I$102,7,FALSE),main!$K$26:$Q$29,5,FALSE)),1,0)</f>
        <v>0</v>
      </c>
      <c r="BT205">
        <f>IF(AND(VLOOKUP(BT$1,main!$A$3:$H$102,7,FALSE)=main!$G$105,VLOOKUP(BT$1,main!$A$3:$H$102,5,FALSE)-VLOOKUP($A205,main!$A$3:$H$102,6,FALSE)&gt;=main!$D$103+VLOOKUP(VLOOKUP(BT$1,main!$A$3:$I$102,7,FALSE),main!$K$26:$Q$29,5,FALSE)),1,0)</f>
        <v>0</v>
      </c>
      <c r="BU205">
        <f>IF(AND(VLOOKUP(BU$1,main!$A$3:$H$102,7,FALSE)=main!$G$105,VLOOKUP(BU$1,main!$A$3:$H$102,5,FALSE)-VLOOKUP($A205,main!$A$3:$H$102,6,FALSE)&gt;=main!$D$103+VLOOKUP(VLOOKUP(BU$1,main!$A$3:$I$102,7,FALSE),main!$K$26:$Q$29,5,FALSE)),1,0)</f>
        <v>0</v>
      </c>
      <c r="BV205">
        <f>IF(AND(VLOOKUP(BV$1,main!$A$3:$H$102,7,FALSE)=main!$G$105,VLOOKUP(BV$1,main!$A$3:$H$102,5,FALSE)-VLOOKUP($A205,main!$A$3:$H$102,6,FALSE)&gt;=main!$D$103+VLOOKUP(VLOOKUP(BV$1,main!$A$3:$I$102,7,FALSE),main!$K$26:$Q$29,5,FALSE)),1,0)</f>
        <v>0</v>
      </c>
      <c r="BW205">
        <f>IF(AND(VLOOKUP(BW$1,main!$A$3:$H$102,7,FALSE)=main!$G$105,VLOOKUP(BW$1,main!$A$3:$H$102,5,FALSE)-VLOOKUP($A205,main!$A$3:$H$102,6,FALSE)&gt;=main!$D$103+VLOOKUP(VLOOKUP(BW$1,main!$A$3:$I$102,7,FALSE),main!$K$26:$Q$29,5,FALSE)),1,0)</f>
        <v>0</v>
      </c>
      <c r="BX205">
        <f>IF(AND(VLOOKUP(BX$1,main!$A$3:$H$102,7,FALSE)=main!$G$105,VLOOKUP(BX$1,main!$A$3:$H$102,5,FALSE)-VLOOKUP($A205,main!$A$3:$H$102,6,FALSE)&gt;=main!$D$103+VLOOKUP(VLOOKUP(BX$1,main!$A$3:$I$102,7,FALSE),main!$K$26:$Q$29,5,FALSE)),1,0)</f>
        <v>0</v>
      </c>
      <c r="BY205">
        <f>IF(AND(VLOOKUP(BY$1,main!$A$3:$H$102,7,FALSE)=main!$G$105,VLOOKUP(BY$1,main!$A$3:$H$102,5,FALSE)-VLOOKUP($A205,main!$A$3:$H$102,6,FALSE)&gt;=main!$D$103+VLOOKUP(VLOOKUP(BY$1,main!$A$3:$I$102,7,FALSE),main!$K$26:$Q$29,5,FALSE)),1,0)</f>
        <v>0</v>
      </c>
      <c r="BZ205">
        <f>IF(AND(VLOOKUP(BZ$1,main!$A$3:$H$102,7,FALSE)=main!$G$105,VLOOKUP(BZ$1,main!$A$3:$H$102,5,FALSE)-VLOOKUP($A205,main!$A$3:$H$102,6,FALSE)&gt;=main!$D$103+VLOOKUP(VLOOKUP(BZ$1,main!$A$3:$I$102,7,FALSE),main!$K$26:$Q$29,5,FALSE)),1,0)</f>
        <v>0</v>
      </c>
      <c r="CA205">
        <f>IF(AND(VLOOKUP(CA$1,main!$A$3:$H$102,7,FALSE)=main!$G$105,VLOOKUP(CA$1,main!$A$3:$H$102,5,FALSE)-VLOOKUP($A205,main!$A$3:$H$102,6,FALSE)&gt;=main!$D$103+VLOOKUP(VLOOKUP(CA$1,main!$A$3:$I$102,7,FALSE),main!$K$26:$Q$29,5,FALSE)),1,0)</f>
        <v>0</v>
      </c>
      <c r="CB205">
        <f>IF(AND(VLOOKUP(CB$1,main!$A$3:$H$102,7,FALSE)=main!$G$105,VLOOKUP(CB$1,main!$A$3:$H$102,5,FALSE)-VLOOKUP($A205,main!$A$3:$H$102,6,FALSE)&gt;=main!$D$103+VLOOKUP(VLOOKUP(CB$1,main!$A$3:$I$102,7,FALSE),main!$K$26:$Q$29,5,FALSE)),1,0)</f>
        <v>0</v>
      </c>
      <c r="CC205">
        <f>IF(AND(VLOOKUP(CC$1,main!$A$3:$H$102,7,FALSE)=main!$G$105,VLOOKUP(CC$1,main!$A$3:$H$102,5,FALSE)-VLOOKUP($A205,main!$A$3:$H$102,6,FALSE)&gt;=main!$D$103+VLOOKUP(VLOOKUP(CC$1,main!$A$3:$I$102,7,FALSE),main!$K$26:$Q$29,5,FALSE)),1,0)</f>
        <v>0</v>
      </c>
      <c r="CD205">
        <f>IF(AND(VLOOKUP(CD$1,main!$A$3:$H$102,7,FALSE)=main!$G$105,VLOOKUP(CD$1,main!$A$3:$H$102,5,FALSE)-VLOOKUP($A205,main!$A$3:$H$102,6,FALSE)&gt;=main!$D$103+VLOOKUP(VLOOKUP(CD$1,main!$A$3:$I$102,7,FALSE),main!$K$26:$Q$29,5,FALSE)),1,0)</f>
        <v>0</v>
      </c>
      <c r="CE205">
        <f>IF(AND(VLOOKUP(CE$1,main!$A$3:$H$102,7,FALSE)=main!$G$105,VLOOKUP(CE$1,main!$A$3:$H$102,5,FALSE)-VLOOKUP($A205,main!$A$3:$H$102,6,FALSE)&gt;=main!$D$103+VLOOKUP(VLOOKUP(CE$1,main!$A$3:$I$102,7,FALSE),main!$K$26:$Q$29,5,FALSE)),1,0)</f>
        <v>0</v>
      </c>
      <c r="CF205">
        <f>IF(AND(VLOOKUP(CF$1,main!$A$3:$H$102,7,FALSE)=main!$G$105,VLOOKUP(CF$1,main!$A$3:$H$102,5,FALSE)-VLOOKUP($A205,main!$A$3:$H$102,6,FALSE)&gt;=main!$D$103+VLOOKUP(VLOOKUP(CF$1,main!$A$3:$I$102,7,FALSE),main!$K$26:$Q$29,5,FALSE)),1,0)</f>
        <v>0</v>
      </c>
      <c r="CG205">
        <f>IF(AND(VLOOKUP(CG$1,main!$A$3:$H$102,7,FALSE)=main!$G$105,VLOOKUP(CG$1,main!$A$3:$H$102,5,FALSE)-VLOOKUP($A205,main!$A$3:$H$102,6,FALSE)&gt;=main!$D$103+VLOOKUP(VLOOKUP(CG$1,main!$A$3:$I$102,7,FALSE),main!$K$26:$Q$29,5,FALSE)),1,0)</f>
        <v>0</v>
      </c>
      <c r="CH205">
        <f>IF(AND(VLOOKUP(CH$1,main!$A$3:$H$102,7,FALSE)=main!$G$105,VLOOKUP(CH$1,main!$A$3:$H$102,5,FALSE)-VLOOKUP($A205,main!$A$3:$H$102,6,FALSE)&gt;=main!$D$103+VLOOKUP(VLOOKUP(CH$1,main!$A$3:$I$102,7,FALSE),main!$K$26:$Q$29,5,FALSE)),1,0)</f>
        <v>0</v>
      </c>
      <c r="CI205">
        <f>IF(AND(VLOOKUP(CI$1,main!$A$3:$H$102,7,FALSE)=main!$G$105,VLOOKUP(CI$1,main!$A$3:$H$102,5,FALSE)-VLOOKUP($A205,main!$A$3:$H$102,6,FALSE)&gt;=main!$D$103+VLOOKUP(VLOOKUP(CI$1,main!$A$3:$I$102,7,FALSE),main!$K$26:$Q$29,5,FALSE)),1,0)</f>
        <v>0</v>
      </c>
      <c r="CJ205">
        <f>IF(AND(VLOOKUP(CJ$1,main!$A$3:$H$102,7,FALSE)=main!$G$105,VLOOKUP(CJ$1,main!$A$3:$H$102,5,FALSE)-VLOOKUP($A205,main!$A$3:$H$102,6,FALSE)&gt;=main!$D$103+VLOOKUP(VLOOKUP(CJ$1,main!$A$3:$I$102,7,FALSE),main!$K$26:$Q$29,5,FALSE)),1,0)</f>
        <v>0</v>
      </c>
      <c r="CK205">
        <f>IF(AND(VLOOKUP(CK$1,main!$A$3:$H$102,7,FALSE)=main!$G$105,VLOOKUP(CK$1,main!$A$3:$H$102,5,FALSE)-VLOOKUP($A205,main!$A$3:$H$102,6,FALSE)&gt;=main!$D$103+VLOOKUP(VLOOKUP(CK$1,main!$A$3:$I$102,7,FALSE),main!$K$26:$Q$29,5,FALSE)),1,0)</f>
        <v>0</v>
      </c>
      <c r="CL205">
        <f>IF(AND(VLOOKUP(CL$1,main!$A$3:$H$102,7,FALSE)=main!$G$105,VLOOKUP(CL$1,main!$A$3:$H$102,5,FALSE)-VLOOKUP($A205,main!$A$3:$H$102,6,FALSE)&gt;=main!$D$103+VLOOKUP(VLOOKUP(CL$1,main!$A$3:$I$102,7,FALSE),main!$K$26:$Q$29,5,FALSE)),1,0)</f>
        <v>0</v>
      </c>
      <c r="CM205">
        <f>IF(AND(VLOOKUP(CM$1,main!$A$3:$H$102,7,FALSE)=main!$G$105,VLOOKUP(CM$1,main!$A$3:$H$102,5,FALSE)-VLOOKUP($A205,main!$A$3:$H$102,6,FALSE)&gt;=main!$D$103+VLOOKUP(VLOOKUP(CM$1,main!$A$3:$I$102,7,FALSE),main!$K$26:$Q$29,5,FALSE)),1,0)</f>
        <v>0</v>
      </c>
      <c r="CN205">
        <f>IF(AND(VLOOKUP(CN$1,main!$A$3:$H$102,7,FALSE)=main!$G$105,VLOOKUP(CN$1,main!$A$3:$H$102,5,FALSE)-VLOOKUP($A205,main!$A$3:$H$102,6,FALSE)&gt;=main!$D$103+VLOOKUP(VLOOKUP(CN$1,main!$A$3:$I$102,7,FALSE),main!$K$26:$Q$29,5,FALSE)),1,0)</f>
        <v>0</v>
      </c>
      <c r="CO205">
        <f>IF(AND(VLOOKUP(CO$1,main!$A$3:$H$102,7,FALSE)=main!$G$105,VLOOKUP(CO$1,main!$A$3:$H$102,5,FALSE)-VLOOKUP($A205,main!$A$3:$H$102,6,FALSE)&gt;=main!$D$103+VLOOKUP(VLOOKUP(CO$1,main!$A$3:$I$102,7,FALSE),main!$K$26:$Q$29,5,FALSE)),1,0)</f>
        <v>0</v>
      </c>
      <c r="CP205">
        <f>IF(AND(VLOOKUP(CP$1,main!$A$3:$H$102,7,FALSE)=main!$G$105,VLOOKUP(CP$1,main!$A$3:$H$102,5,FALSE)-VLOOKUP($A205,main!$A$3:$H$102,6,FALSE)&gt;=main!$D$103+VLOOKUP(VLOOKUP(CP$1,main!$A$3:$I$102,7,FALSE),main!$K$26:$Q$29,5,FALSE)),1,0)</f>
        <v>0</v>
      </c>
      <c r="CQ205">
        <f>IF(AND(VLOOKUP(CQ$1,main!$A$3:$H$102,7,FALSE)=main!$G$105,VLOOKUP(CQ$1,main!$A$3:$H$102,5,FALSE)-VLOOKUP($A205,main!$A$3:$H$102,6,FALSE)&gt;=main!$D$103+VLOOKUP(VLOOKUP(CQ$1,main!$A$3:$I$102,7,FALSE),main!$K$26:$Q$29,5,FALSE)),1,0)</f>
        <v>0</v>
      </c>
      <c r="CR205">
        <f>IF(AND(VLOOKUP(CR$1,main!$A$3:$H$102,7,FALSE)=main!$G$105,VLOOKUP(CR$1,main!$A$3:$H$102,5,FALSE)-VLOOKUP($A205,main!$A$3:$H$102,6,FALSE)&gt;=main!$D$103+VLOOKUP(VLOOKUP(CR$1,main!$A$3:$I$102,7,FALSE),main!$K$26:$Q$29,5,FALSE)),1,0)</f>
        <v>0</v>
      </c>
      <c r="CS205">
        <f>IF(AND(VLOOKUP(CS$1,main!$A$3:$H$102,7,FALSE)=main!$G$105,VLOOKUP(CS$1,main!$A$3:$H$102,5,FALSE)-VLOOKUP($A205,main!$A$3:$H$102,6,FALSE)&gt;=main!$D$103+VLOOKUP(VLOOKUP(CS$1,main!$A$3:$I$102,7,FALSE),main!$K$26:$Q$29,5,FALSE)),1,0)</f>
        <v>0</v>
      </c>
      <c r="CT205">
        <f>IF(AND(VLOOKUP(CT$1,main!$A$3:$H$102,7,FALSE)=main!$G$105,VLOOKUP(CT$1,main!$A$3:$H$102,5,FALSE)-VLOOKUP($A205,main!$A$3:$H$102,6,FALSE)&gt;=main!$D$103+VLOOKUP(VLOOKUP(CT$1,main!$A$3:$I$102,7,FALSE),main!$K$26:$Q$29,5,FALSE)),1,0)</f>
        <v>0</v>
      </c>
      <c r="CU205">
        <f>IF(AND(VLOOKUP(CU$1,main!$A$3:$H$102,7,FALSE)=main!$G$105,VLOOKUP(CU$1,main!$A$3:$H$102,5,FALSE)-VLOOKUP($A205,main!$A$3:$H$102,6,FALSE)&gt;=main!$D$103+VLOOKUP(VLOOKUP(CU$1,main!$A$3:$I$102,7,FALSE),main!$K$26:$Q$29,5,FALSE)),1,0)</f>
        <v>0</v>
      </c>
      <c r="CV205">
        <f>IF(AND(VLOOKUP(CV$1,main!$A$3:$H$102,7,FALSE)=main!$G$105,VLOOKUP(CV$1,main!$A$3:$H$102,5,FALSE)-VLOOKUP($A205,main!$A$3:$H$102,6,FALSE)&gt;=main!$D$103+VLOOKUP(VLOOKUP(CV$1,main!$A$3:$I$102,7,FALSE),main!$K$26:$Q$29,5,FALSE)),1,0)</f>
        <v>0</v>
      </c>
      <c r="CW205">
        <f>IF(AND(VLOOKUP(CW$1,main!$A$3:$H$102,7,FALSE)=main!$G$105,VLOOKUP(CW$1,main!$A$3:$H$102,5,FALSE)-VLOOKUP($A205,main!$A$3:$H$102,6,FALSE)&gt;=main!$D$103+VLOOKUP(VLOOKUP(CW$1,main!$A$3:$I$102,7,FALSE),main!$K$26:$Q$29,5,FALSE)),1,0)</f>
        <v>0</v>
      </c>
      <c r="CX205">
        <f>IF(AND(VLOOKUP(CX$1,main!$A$3:$H$102,7,FALSE)=main!$G$105,VLOOKUP(CX$1,main!$A$3:$H$102,5,FALSE)-VLOOKUP($A205,main!$A$3:$H$102,6,FALSE)&gt;=main!$D$103+VLOOKUP(VLOOKUP(CX$1,main!$A$3:$I$102,7,FALSE),main!$K$26:$Q$29,5,FALSE)),1,0)</f>
        <v>0</v>
      </c>
    </row>
    <row r="206" spans="1:102" x14ac:dyDescent="0.25">
      <c r="A206" s="1">
        <v>2</v>
      </c>
      <c r="B206">
        <v>0</v>
      </c>
      <c r="C206">
        <f>IF(AND(VLOOKUP(C$1,main!$A$3:$H$102,7,FALSE)=main!$G$105,VLOOKUP(C$1,main!$A$3:$H$102,5,FALSE)-VLOOKUP($A206,main!$A$3:$H$102,6,FALSE)&gt;=main!$D$103+VLOOKUP(VLOOKUP(C$1,main!$A$3:$I$102,7,FALSE),main!$K$26:$Q$29,5,FALSE)),1,0)</f>
        <v>0</v>
      </c>
      <c r="D206">
        <f>IF(AND(VLOOKUP(D$1,main!$A$3:$H$102,7,FALSE)=main!$G$105,VLOOKUP(D$1,main!$A$3:$H$102,5,FALSE)-VLOOKUP($A206,main!$A$3:$H$102,6,FALSE)&gt;=main!$D$103+VLOOKUP(VLOOKUP(D$1,main!$A$3:$I$102,7,FALSE),main!$K$26:$Q$29,5,FALSE)),1,0)</f>
        <v>0</v>
      </c>
      <c r="E206">
        <f>IF(AND(VLOOKUP(E$1,main!$A$3:$H$102,7,FALSE)=main!$G$105,VLOOKUP(E$1,main!$A$3:$H$102,5,FALSE)-VLOOKUP($A206,main!$A$3:$H$102,6,FALSE)&gt;=main!$D$103+VLOOKUP(VLOOKUP(E$1,main!$A$3:$I$102,7,FALSE),main!$K$26:$Q$29,5,FALSE)),1,0)</f>
        <v>0</v>
      </c>
      <c r="F206">
        <f>IF(AND(VLOOKUP(F$1,main!$A$3:$H$102,7,FALSE)=main!$G$105,VLOOKUP(F$1,main!$A$3:$H$102,5,FALSE)-VLOOKUP($A206,main!$A$3:$H$102,6,FALSE)&gt;=main!$D$103+VLOOKUP(VLOOKUP(F$1,main!$A$3:$I$102,7,FALSE),main!$K$26:$Q$29,5,FALSE)),1,0)</f>
        <v>0</v>
      </c>
      <c r="G206">
        <f>IF(AND(VLOOKUP(G$1,main!$A$3:$H$102,7,FALSE)=main!$G$105,VLOOKUP(G$1,main!$A$3:$H$102,5,FALSE)-VLOOKUP($A206,main!$A$3:$H$102,6,FALSE)&gt;=main!$D$103+VLOOKUP(VLOOKUP(G$1,main!$A$3:$I$102,7,FALSE),main!$K$26:$Q$29,5,FALSE)),1,0)</f>
        <v>0</v>
      </c>
      <c r="H206">
        <f>IF(AND(VLOOKUP(H$1,main!$A$3:$H$102,7,FALSE)=main!$G$105,VLOOKUP(H$1,main!$A$3:$H$102,5,FALSE)-VLOOKUP($A206,main!$A$3:$H$102,6,FALSE)&gt;=main!$D$103+VLOOKUP(VLOOKUP(H$1,main!$A$3:$I$102,7,FALSE),main!$K$26:$Q$29,5,FALSE)),1,0)</f>
        <v>0</v>
      </c>
      <c r="I206">
        <f>IF(AND(VLOOKUP(I$1,main!$A$3:$H$102,7,FALSE)=main!$G$105,VLOOKUP(I$1,main!$A$3:$H$102,5,FALSE)-VLOOKUP($A206,main!$A$3:$H$102,6,FALSE)&gt;=main!$D$103+VLOOKUP(VLOOKUP(I$1,main!$A$3:$I$102,7,FALSE),main!$K$26:$Q$29,5,FALSE)),1,0)</f>
        <v>0</v>
      </c>
      <c r="J206">
        <f>IF(AND(VLOOKUP(J$1,main!$A$3:$H$102,7,FALSE)=main!$G$105,VLOOKUP(J$1,main!$A$3:$H$102,5,FALSE)-VLOOKUP($A206,main!$A$3:$H$102,6,FALSE)&gt;=main!$D$103+VLOOKUP(VLOOKUP(J$1,main!$A$3:$I$102,7,FALSE),main!$K$26:$Q$29,5,FALSE)),1,0)</f>
        <v>0</v>
      </c>
      <c r="K206">
        <f>IF(AND(VLOOKUP(K$1,main!$A$3:$H$102,7,FALSE)=main!$G$105,VLOOKUP(K$1,main!$A$3:$H$102,5,FALSE)-VLOOKUP($A206,main!$A$3:$H$102,6,FALSE)&gt;=main!$D$103+VLOOKUP(VLOOKUP(K$1,main!$A$3:$I$102,7,FALSE),main!$K$26:$Q$29,5,FALSE)),1,0)</f>
        <v>0</v>
      </c>
      <c r="L206">
        <f>IF(AND(VLOOKUP(L$1,main!$A$3:$H$102,7,FALSE)=main!$G$105,VLOOKUP(L$1,main!$A$3:$H$102,5,FALSE)-VLOOKUP($A206,main!$A$3:$H$102,6,FALSE)&gt;=main!$D$103+VLOOKUP(VLOOKUP(L$1,main!$A$3:$I$102,7,FALSE),main!$K$26:$Q$29,5,FALSE)),1,0)</f>
        <v>0</v>
      </c>
      <c r="M206">
        <f>IF(AND(VLOOKUP(M$1,main!$A$3:$H$102,7,FALSE)=main!$G$105,VLOOKUP(M$1,main!$A$3:$H$102,5,FALSE)-VLOOKUP($A206,main!$A$3:$H$102,6,FALSE)&gt;=main!$D$103+VLOOKUP(VLOOKUP(M$1,main!$A$3:$I$102,7,FALSE),main!$K$26:$Q$29,5,FALSE)),1,0)</f>
        <v>0</v>
      </c>
      <c r="N206">
        <f>IF(AND(VLOOKUP(N$1,main!$A$3:$H$102,7,FALSE)=main!$G$105,VLOOKUP(N$1,main!$A$3:$H$102,5,FALSE)-VLOOKUP($A206,main!$A$3:$H$102,6,FALSE)&gt;=main!$D$103+VLOOKUP(VLOOKUP(N$1,main!$A$3:$I$102,7,FALSE),main!$K$26:$Q$29,5,FALSE)),1,0)</f>
        <v>0</v>
      </c>
      <c r="O206">
        <f>IF(AND(VLOOKUP(O$1,main!$A$3:$H$102,7,FALSE)=main!$G$105,VLOOKUP(O$1,main!$A$3:$H$102,5,FALSE)-VLOOKUP($A206,main!$A$3:$H$102,6,FALSE)&gt;=main!$D$103+VLOOKUP(VLOOKUP(O$1,main!$A$3:$I$102,7,FALSE),main!$K$26:$Q$29,5,FALSE)),1,0)</f>
        <v>0</v>
      </c>
      <c r="P206">
        <f>IF(AND(VLOOKUP(P$1,main!$A$3:$H$102,7,FALSE)=main!$G$105,VLOOKUP(P$1,main!$A$3:$H$102,5,FALSE)-VLOOKUP($A206,main!$A$3:$H$102,6,FALSE)&gt;=main!$D$103+VLOOKUP(VLOOKUP(P$1,main!$A$3:$I$102,7,FALSE),main!$K$26:$Q$29,5,FALSE)),1,0)</f>
        <v>0</v>
      </c>
      <c r="Q206">
        <f>IF(AND(VLOOKUP(Q$1,main!$A$3:$H$102,7,FALSE)=main!$G$105,VLOOKUP(Q$1,main!$A$3:$H$102,5,FALSE)-VLOOKUP($A206,main!$A$3:$H$102,6,FALSE)&gt;=main!$D$103+VLOOKUP(VLOOKUP(Q$1,main!$A$3:$I$102,7,FALSE),main!$K$26:$Q$29,5,FALSE)),1,0)</f>
        <v>0</v>
      </c>
      <c r="R206">
        <f>IF(AND(VLOOKUP(R$1,main!$A$3:$H$102,7,FALSE)=main!$G$105,VLOOKUP(R$1,main!$A$3:$H$102,5,FALSE)-VLOOKUP($A206,main!$A$3:$H$102,6,FALSE)&gt;=main!$D$103+VLOOKUP(VLOOKUP(R$1,main!$A$3:$I$102,7,FALSE),main!$K$26:$Q$29,5,FALSE)),1,0)</f>
        <v>0</v>
      </c>
      <c r="S206">
        <f>IF(AND(VLOOKUP(S$1,main!$A$3:$H$102,7,FALSE)=main!$G$105,VLOOKUP(S$1,main!$A$3:$H$102,5,FALSE)-VLOOKUP($A206,main!$A$3:$H$102,6,FALSE)&gt;=main!$D$103+VLOOKUP(VLOOKUP(S$1,main!$A$3:$I$102,7,FALSE),main!$K$26:$Q$29,5,FALSE)),1,0)</f>
        <v>0</v>
      </c>
      <c r="T206">
        <f>IF(AND(VLOOKUP(T$1,main!$A$3:$H$102,7,FALSE)=main!$G$105,VLOOKUP(T$1,main!$A$3:$H$102,5,FALSE)-VLOOKUP($A206,main!$A$3:$H$102,6,FALSE)&gt;=main!$D$103+VLOOKUP(VLOOKUP(T$1,main!$A$3:$I$102,7,FALSE),main!$K$26:$Q$29,5,FALSE)),1,0)</f>
        <v>0</v>
      </c>
      <c r="U206">
        <f>IF(AND(VLOOKUP(U$1,main!$A$3:$H$102,7,FALSE)=main!$G$105,VLOOKUP(U$1,main!$A$3:$H$102,5,FALSE)-VLOOKUP($A206,main!$A$3:$H$102,6,FALSE)&gt;=main!$D$103+VLOOKUP(VLOOKUP(U$1,main!$A$3:$I$102,7,FALSE),main!$K$26:$Q$29,5,FALSE)),1,0)</f>
        <v>0</v>
      </c>
      <c r="V206">
        <f>IF(AND(VLOOKUP(V$1,main!$A$3:$H$102,7,FALSE)=main!$G$105,VLOOKUP(V$1,main!$A$3:$H$102,5,FALSE)-VLOOKUP($A206,main!$A$3:$H$102,6,FALSE)&gt;=main!$D$103+VLOOKUP(VLOOKUP(V$1,main!$A$3:$I$102,7,FALSE),main!$K$26:$Q$29,5,FALSE)),1,0)</f>
        <v>0</v>
      </c>
      <c r="W206">
        <f>IF(AND(VLOOKUP(W$1,main!$A$3:$H$102,7,FALSE)=main!$G$105,VLOOKUP(W$1,main!$A$3:$H$102,5,FALSE)-VLOOKUP($A206,main!$A$3:$H$102,6,FALSE)&gt;=main!$D$103+VLOOKUP(VLOOKUP(W$1,main!$A$3:$I$102,7,FALSE),main!$K$26:$Q$29,5,FALSE)),1,0)</f>
        <v>0</v>
      </c>
      <c r="X206">
        <f>IF(AND(VLOOKUP(X$1,main!$A$3:$H$102,7,FALSE)=main!$G$105,VLOOKUP(X$1,main!$A$3:$H$102,5,FALSE)-VLOOKUP($A206,main!$A$3:$H$102,6,FALSE)&gt;=main!$D$103+VLOOKUP(VLOOKUP(X$1,main!$A$3:$I$102,7,FALSE),main!$K$26:$Q$29,5,FALSE)),1,0)</f>
        <v>0</v>
      </c>
      <c r="Y206">
        <f>IF(AND(VLOOKUP(Y$1,main!$A$3:$H$102,7,FALSE)=main!$G$105,VLOOKUP(Y$1,main!$A$3:$H$102,5,FALSE)-VLOOKUP($A206,main!$A$3:$H$102,6,FALSE)&gt;=main!$D$103+VLOOKUP(VLOOKUP(Y$1,main!$A$3:$I$102,7,FALSE),main!$K$26:$Q$29,5,FALSE)),1,0)</f>
        <v>0</v>
      </c>
      <c r="Z206">
        <f>IF(AND(VLOOKUP(Z$1,main!$A$3:$H$102,7,FALSE)=main!$G$105,VLOOKUP(Z$1,main!$A$3:$H$102,5,FALSE)-VLOOKUP($A206,main!$A$3:$H$102,6,FALSE)&gt;=main!$D$103+VLOOKUP(VLOOKUP(Z$1,main!$A$3:$I$102,7,FALSE),main!$K$26:$Q$29,5,FALSE)),1,0)</f>
        <v>0</v>
      </c>
      <c r="AA206">
        <f>IF(AND(VLOOKUP(AA$1,main!$A$3:$H$102,7,FALSE)=main!$G$105,VLOOKUP(AA$1,main!$A$3:$H$102,5,FALSE)-VLOOKUP($A206,main!$A$3:$H$102,6,FALSE)&gt;=main!$D$103+VLOOKUP(VLOOKUP(AA$1,main!$A$3:$I$102,7,FALSE),main!$K$26:$Q$29,5,FALSE)),1,0)</f>
        <v>0</v>
      </c>
      <c r="AB206">
        <f>IF(AND(VLOOKUP(AB$1,main!$A$3:$H$102,7,FALSE)=main!$G$105,VLOOKUP(AB$1,main!$A$3:$H$102,5,FALSE)-VLOOKUP($A206,main!$A$3:$H$102,6,FALSE)&gt;=main!$D$103+VLOOKUP(VLOOKUP(AB$1,main!$A$3:$I$102,7,FALSE),main!$K$26:$Q$29,5,FALSE)),1,0)</f>
        <v>0</v>
      </c>
      <c r="AC206">
        <f>IF(AND(VLOOKUP(AC$1,main!$A$3:$H$102,7,FALSE)=main!$G$105,VLOOKUP(AC$1,main!$A$3:$H$102,5,FALSE)-VLOOKUP($A206,main!$A$3:$H$102,6,FALSE)&gt;=main!$D$103+VLOOKUP(VLOOKUP(AC$1,main!$A$3:$I$102,7,FALSE),main!$K$26:$Q$29,5,FALSE)),1,0)</f>
        <v>0</v>
      </c>
      <c r="AD206">
        <f>IF(AND(VLOOKUP(AD$1,main!$A$3:$H$102,7,FALSE)=main!$G$105,VLOOKUP(AD$1,main!$A$3:$H$102,5,FALSE)-VLOOKUP($A206,main!$A$3:$H$102,6,FALSE)&gt;=main!$D$103+VLOOKUP(VLOOKUP(AD$1,main!$A$3:$I$102,7,FALSE),main!$K$26:$Q$29,5,FALSE)),1,0)</f>
        <v>0</v>
      </c>
      <c r="AE206">
        <f>IF(AND(VLOOKUP(AE$1,main!$A$3:$H$102,7,FALSE)=main!$G$105,VLOOKUP(AE$1,main!$A$3:$H$102,5,FALSE)-VLOOKUP($A206,main!$A$3:$H$102,6,FALSE)&gt;=main!$D$103+VLOOKUP(VLOOKUP(AE$1,main!$A$3:$I$102,7,FALSE),main!$K$26:$Q$29,5,FALSE)),1,0)</f>
        <v>0</v>
      </c>
      <c r="AF206">
        <f>IF(AND(VLOOKUP(AF$1,main!$A$3:$H$102,7,FALSE)=main!$G$105,VLOOKUP(AF$1,main!$A$3:$H$102,5,FALSE)-VLOOKUP($A206,main!$A$3:$H$102,6,FALSE)&gt;=main!$D$103+VLOOKUP(VLOOKUP(AF$1,main!$A$3:$I$102,7,FALSE),main!$K$26:$Q$29,5,FALSE)),1,0)</f>
        <v>0</v>
      </c>
      <c r="AG206">
        <f>IF(AND(VLOOKUP(AG$1,main!$A$3:$H$102,7,FALSE)=main!$G$105,VLOOKUP(AG$1,main!$A$3:$H$102,5,FALSE)-VLOOKUP($A206,main!$A$3:$H$102,6,FALSE)&gt;=main!$D$103+VLOOKUP(VLOOKUP(AG$1,main!$A$3:$I$102,7,FALSE),main!$K$26:$Q$29,5,FALSE)),1,0)</f>
        <v>0</v>
      </c>
      <c r="AH206">
        <f>IF(AND(VLOOKUP(AH$1,main!$A$3:$H$102,7,FALSE)=main!$G$105,VLOOKUP(AH$1,main!$A$3:$H$102,5,FALSE)-VLOOKUP($A206,main!$A$3:$H$102,6,FALSE)&gt;=main!$D$103+VLOOKUP(VLOOKUP(AH$1,main!$A$3:$I$102,7,FALSE),main!$K$26:$Q$29,5,FALSE)),1,0)</f>
        <v>0</v>
      </c>
      <c r="AI206">
        <f>IF(AND(VLOOKUP(AI$1,main!$A$3:$H$102,7,FALSE)=main!$G$105,VLOOKUP(AI$1,main!$A$3:$H$102,5,FALSE)-VLOOKUP($A206,main!$A$3:$H$102,6,FALSE)&gt;=main!$D$103+VLOOKUP(VLOOKUP(AI$1,main!$A$3:$I$102,7,FALSE),main!$K$26:$Q$29,5,FALSE)),1,0)</f>
        <v>0</v>
      </c>
      <c r="AJ206">
        <f>IF(AND(VLOOKUP(AJ$1,main!$A$3:$H$102,7,FALSE)=main!$G$105,VLOOKUP(AJ$1,main!$A$3:$H$102,5,FALSE)-VLOOKUP($A206,main!$A$3:$H$102,6,FALSE)&gt;=main!$D$103+VLOOKUP(VLOOKUP(AJ$1,main!$A$3:$I$102,7,FALSE),main!$K$26:$Q$29,5,FALSE)),1,0)</f>
        <v>1</v>
      </c>
      <c r="AK206">
        <f>IF(AND(VLOOKUP(AK$1,main!$A$3:$H$102,7,FALSE)=main!$G$105,VLOOKUP(AK$1,main!$A$3:$H$102,5,FALSE)-VLOOKUP($A206,main!$A$3:$H$102,6,FALSE)&gt;=main!$D$103+VLOOKUP(VLOOKUP(AK$1,main!$A$3:$I$102,7,FALSE),main!$K$26:$Q$29,5,FALSE)),1,0)</f>
        <v>1</v>
      </c>
      <c r="AL206">
        <f>IF(AND(VLOOKUP(AL$1,main!$A$3:$H$102,7,FALSE)=main!$G$105,VLOOKUP(AL$1,main!$A$3:$H$102,5,FALSE)-VLOOKUP($A206,main!$A$3:$H$102,6,FALSE)&gt;=main!$D$103+VLOOKUP(VLOOKUP(AL$1,main!$A$3:$I$102,7,FALSE),main!$K$26:$Q$29,5,FALSE)),1,0)</f>
        <v>1</v>
      </c>
      <c r="AM206">
        <f>IF(AND(VLOOKUP(AM$1,main!$A$3:$H$102,7,FALSE)=main!$G$105,VLOOKUP(AM$1,main!$A$3:$H$102,5,FALSE)-VLOOKUP($A206,main!$A$3:$H$102,6,FALSE)&gt;=main!$D$103+VLOOKUP(VLOOKUP(AM$1,main!$A$3:$I$102,7,FALSE),main!$K$26:$Q$29,5,FALSE)),1,0)</f>
        <v>1</v>
      </c>
      <c r="AN206">
        <f>IF(AND(VLOOKUP(AN$1,main!$A$3:$H$102,7,FALSE)=main!$G$105,VLOOKUP(AN$1,main!$A$3:$H$102,5,FALSE)-VLOOKUP($A206,main!$A$3:$H$102,6,FALSE)&gt;=main!$D$103+VLOOKUP(VLOOKUP(AN$1,main!$A$3:$I$102,7,FALSE),main!$K$26:$Q$29,5,FALSE)),1,0)</f>
        <v>1</v>
      </c>
      <c r="AO206">
        <f>IF(AND(VLOOKUP(AO$1,main!$A$3:$H$102,7,FALSE)=main!$G$105,VLOOKUP(AO$1,main!$A$3:$H$102,5,FALSE)-VLOOKUP($A206,main!$A$3:$H$102,6,FALSE)&gt;=main!$D$103+VLOOKUP(VLOOKUP(AO$1,main!$A$3:$I$102,7,FALSE),main!$K$26:$Q$29,5,FALSE)),1,0)</f>
        <v>0</v>
      </c>
      <c r="AP206">
        <f>IF(AND(VLOOKUP(AP$1,main!$A$3:$H$102,7,FALSE)=main!$G$105,VLOOKUP(AP$1,main!$A$3:$H$102,5,FALSE)-VLOOKUP($A206,main!$A$3:$H$102,6,FALSE)&gt;=main!$D$103+VLOOKUP(VLOOKUP(AP$1,main!$A$3:$I$102,7,FALSE),main!$K$26:$Q$29,5,FALSE)),1,0)</f>
        <v>1</v>
      </c>
      <c r="AQ206">
        <f>IF(AND(VLOOKUP(AQ$1,main!$A$3:$H$102,7,FALSE)=main!$G$105,VLOOKUP(AQ$1,main!$A$3:$H$102,5,FALSE)-VLOOKUP($A206,main!$A$3:$H$102,6,FALSE)&gt;=main!$D$103+VLOOKUP(VLOOKUP(AQ$1,main!$A$3:$I$102,7,FALSE),main!$K$26:$Q$29,5,FALSE)),1,0)</f>
        <v>0</v>
      </c>
      <c r="AR206">
        <f>IF(AND(VLOOKUP(AR$1,main!$A$3:$H$102,7,FALSE)=main!$G$105,VLOOKUP(AR$1,main!$A$3:$H$102,5,FALSE)-VLOOKUP($A206,main!$A$3:$H$102,6,FALSE)&gt;=main!$D$103+VLOOKUP(VLOOKUP(AR$1,main!$A$3:$I$102,7,FALSE),main!$K$26:$Q$29,5,FALSE)),1,0)</f>
        <v>0</v>
      </c>
      <c r="AS206">
        <f>IF(AND(VLOOKUP(AS$1,main!$A$3:$H$102,7,FALSE)=main!$G$105,VLOOKUP(AS$1,main!$A$3:$H$102,5,FALSE)-VLOOKUP($A206,main!$A$3:$H$102,6,FALSE)&gt;=main!$D$103+VLOOKUP(VLOOKUP(AS$1,main!$A$3:$I$102,7,FALSE),main!$K$26:$Q$29,5,FALSE)),1,0)</f>
        <v>1</v>
      </c>
      <c r="AT206">
        <f>IF(AND(VLOOKUP(AT$1,main!$A$3:$H$102,7,FALSE)=main!$G$105,VLOOKUP(AT$1,main!$A$3:$H$102,5,FALSE)-VLOOKUP($A206,main!$A$3:$H$102,6,FALSE)&gt;=main!$D$103+VLOOKUP(VLOOKUP(AT$1,main!$A$3:$I$102,7,FALSE),main!$K$26:$Q$29,5,FALSE)),1,0)</f>
        <v>1</v>
      </c>
      <c r="AU206">
        <f>IF(AND(VLOOKUP(AU$1,main!$A$3:$H$102,7,FALSE)=main!$G$105,VLOOKUP(AU$1,main!$A$3:$H$102,5,FALSE)-VLOOKUP($A206,main!$A$3:$H$102,6,FALSE)&gt;=main!$D$103+VLOOKUP(VLOOKUP(AU$1,main!$A$3:$I$102,7,FALSE),main!$K$26:$Q$29,5,FALSE)),1,0)</f>
        <v>0</v>
      </c>
      <c r="AV206">
        <f>IF(AND(VLOOKUP(AV$1,main!$A$3:$H$102,7,FALSE)=main!$G$105,VLOOKUP(AV$1,main!$A$3:$H$102,5,FALSE)-VLOOKUP($A206,main!$A$3:$H$102,6,FALSE)&gt;=main!$D$103+VLOOKUP(VLOOKUP(AV$1,main!$A$3:$I$102,7,FALSE),main!$K$26:$Q$29,5,FALSE)),1,0)</f>
        <v>0</v>
      </c>
      <c r="AW206">
        <f>IF(AND(VLOOKUP(AW$1,main!$A$3:$H$102,7,FALSE)=main!$G$105,VLOOKUP(AW$1,main!$A$3:$H$102,5,FALSE)-VLOOKUP($A206,main!$A$3:$H$102,6,FALSE)&gt;=main!$D$103+VLOOKUP(VLOOKUP(AW$1,main!$A$3:$I$102,7,FALSE),main!$K$26:$Q$29,5,FALSE)),1,0)</f>
        <v>1</v>
      </c>
      <c r="AX206">
        <f>IF(AND(VLOOKUP(AX$1,main!$A$3:$H$102,7,FALSE)=main!$G$105,VLOOKUP(AX$1,main!$A$3:$H$102,5,FALSE)-VLOOKUP($A206,main!$A$3:$H$102,6,FALSE)&gt;=main!$D$103+VLOOKUP(VLOOKUP(AX$1,main!$A$3:$I$102,7,FALSE),main!$K$26:$Q$29,5,FALSE)),1,0)</f>
        <v>0</v>
      </c>
      <c r="AY206">
        <f>IF(AND(VLOOKUP(AY$1,main!$A$3:$H$102,7,FALSE)=main!$G$105,VLOOKUP(AY$1,main!$A$3:$H$102,5,FALSE)-VLOOKUP($A206,main!$A$3:$H$102,6,FALSE)&gt;=main!$D$103+VLOOKUP(VLOOKUP(AY$1,main!$A$3:$I$102,7,FALSE),main!$K$26:$Q$29,5,FALSE)),1,0)</f>
        <v>0</v>
      </c>
      <c r="AZ206">
        <f>IF(AND(VLOOKUP(AZ$1,main!$A$3:$H$102,7,FALSE)=main!$G$105,VLOOKUP(AZ$1,main!$A$3:$H$102,5,FALSE)-VLOOKUP($A206,main!$A$3:$H$102,6,FALSE)&gt;=main!$D$103+VLOOKUP(VLOOKUP(AZ$1,main!$A$3:$I$102,7,FALSE),main!$K$26:$Q$29,5,FALSE)),1,0)</f>
        <v>0</v>
      </c>
      <c r="BA206">
        <f>IF(AND(VLOOKUP(BA$1,main!$A$3:$H$102,7,FALSE)=main!$G$105,VLOOKUP(BA$1,main!$A$3:$H$102,5,FALSE)-VLOOKUP($A206,main!$A$3:$H$102,6,FALSE)&gt;=main!$D$103+VLOOKUP(VLOOKUP(BA$1,main!$A$3:$I$102,7,FALSE),main!$K$26:$Q$29,5,FALSE)),1,0)</f>
        <v>0</v>
      </c>
      <c r="BB206">
        <f>IF(AND(VLOOKUP(BB$1,main!$A$3:$H$102,7,FALSE)=main!$G$105,VLOOKUP(BB$1,main!$A$3:$H$102,5,FALSE)-VLOOKUP($A206,main!$A$3:$H$102,6,FALSE)&gt;=main!$D$103+VLOOKUP(VLOOKUP(BB$1,main!$A$3:$I$102,7,FALSE),main!$K$26:$Q$29,5,FALSE)),1,0)</f>
        <v>0</v>
      </c>
      <c r="BC206">
        <f>IF(AND(VLOOKUP(BC$1,main!$A$3:$H$102,7,FALSE)=main!$G$105,VLOOKUP(BC$1,main!$A$3:$H$102,5,FALSE)-VLOOKUP($A206,main!$A$3:$H$102,6,FALSE)&gt;=main!$D$103+VLOOKUP(VLOOKUP(BC$1,main!$A$3:$I$102,7,FALSE),main!$K$26:$Q$29,5,FALSE)),1,0)</f>
        <v>0</v>
      </c>
      <c r="BD206">
        <f>IF(AND(VLOOKUP(BD$1,main!$A$3:$H$102,7,FALSE)=main!$G$105,VLOOKUP(BD$1,main!$A$3:$H$102,5,FALSE)-VLOOKUP($A206,main!$A$3:$H$102,6,FALSE)&gt;=main!$D$103+VLOOKUP(VLOOKUP(BD$1,main!$A$3:$I$102,7,FALSE),main!$K$26:$Q$29,5,FALSE)),1,0)</f>
        <v>0</v>
      </c>
      <c r="BE206">
        <f>IF(AND(VLOOKUP(BE$1,main!$A$3:$H$102,7,FALSE)=main!$G$105,VLOOKUP(BE$1,main!$A$3:$H$102,5,FALSE)-VLOOKUP($A206,main!$A$3:$H$102,6,FALSE)&gt;=main!$D$103+VLOOKUP(VLOOKUP(BE$1,main!$A$3:$I$102,7,FALSE),main!$K$26:$Q$29,5,FALSE)),1,0)</f>
        <v>0</v>
      </c>
      <c r="BF206">
        <f>IF(AND(VLOOKUP(BF$1,main!$A$3:$H$102,7,FALSE)=main!$G$105,VLOOKUP(BF$1,main!$A$3:$H$102,5,FALSE)-VLOOKUP($A206,main!$A$3:$H$102,6,FALSE)&gt;=main!$D$103+VLOOKUP(VLOOKUP(BF$1,main!$A$3:$I$102,7,FALSE),main!$K$26:$Q$29,5,FALSE)),1,0)</f>
        <v>0</v>
      </c>
      <c r="BG206">
        <f>IF(AND(VLOOKUP(BG$1,main!$A$3:$H$102,7,FALSE)=main!$G$105,VLOOKUP(BG$1,main!$A$3:$H$102,5,FALSE)-VLOOKUP($A206,main!$A$3:$H$102,6,FALSE)&gt;=main!$D$103+VLOOKUP(VLOOKUP(BG$1,main!$A$3:$I$102,7,FALSE),main!$K$26:$Q$29,5,FALSE)),1,0)</f>
        <v>0</v>
      </c>
      <c r="BH206">
        <f>IF(AND(VLOOKUP(BH$1,main!$A$3:$H$102,7,FALSE)=main!$G$105,VLOOKUP(BH$1,main!$A$3:$H$102,5,FALSE)-VLOOKUP($A206,main!$A$3:$H$102,6,FALSE)&gt;=main!$D$103+VLOOKUP(VLOOKUP(BH$1,main!$A$3:$I$102,7,FALSE),main!$K$26:$Q$29,5,FALSE)),1,0)</f>
        <v>0</v>
      </c>
      <c r="BI206">
        <f>IF(AND(VLOOKUP(BI$1,main!$A$3:$H$102,7,FALSE)=main!$G$105,VLOOKUP(BI$1,main!$A$3:$H$102,5,FALSE)-VLOOKUP($A206,main!$A$3:$H$102,6,FALSE)&gt;=main!$D$103+VLOOKUP(VLOOKUP(BI$1,main!$A$3:$I$102,7,FALSE),main!$K$26:$Q$29,5,FALSE)),1,0)</f>
        <v>0</v>
      </c>
      <c r="BJ206">
        <f>IF(AND(VLOOKUP(BJ$1,main!$A$3:$H$102,7,FALSE)=main!$G$105,VLOOKUP(BJ$1,main!$A$3:$H$102,5,FALSE)-VLOOKUP($A206,main!$A$3:$H$102,6,FALSE)&gt;=main!$D$103+VLOOKUP(VLOOKUP(BJ$1,main!$A$3:$I$102,7,FALSE),main!$K$26:$Q$29,5,FALSE)),1,0)</f>
        <v>0</v>
      </c>
      <c r="BK206">
        <f>IF(AND(VLOOKUP(BK$1,main!$A$3:$H$102,7,FALSE)=main!$G$105,VLOOKUP(BK$1,main!$A$3:$H$102,5,FALSE)-VLOOKUP($A206,main!$A$3:$H$102,6,FALSE)&gt;=main!$D$103+VLOOKUP(VLOOKUP(BK$1,main!$A$3:$I$102,7,FALSE),main!$K$26:$Q$29,5,FALSE)),1,0)</f>
        <v>0</v>
      </c>
      <c r="BL206">
        <f>IF(AND(VLOOKUP(BL$1,main!$A$3:$H$102,7,FALSE)=main!$G$105,VLOOKUP(BL$1,main!$A$3:$H$102,5,FALSE)-VLOOKUP($A206,main!$A$3:$H$102,6,FALSE)&gt;=main!$D$103+VLOOKUP(VLOOKUP(BL$1,main!$A$3:$I$102,7,FALSE),main!$K$26:$Q$29,5,FALSE)),1,0)</f>
        <v>0</v>
      </c>
      <c r="BM206">
        <f>IF(AND(VLOOKUP(BM$1,main!$A$3:$H$102,7,FALSE)=main!$G$105,VLOOKUP(BM$1,main!$A$3:$H$102,5,FALSE)-VLOOKUP($A206,main!$A$3:$H$102,6,FALSE)&gt;=main!$D$103+VLOOKUP(VLOOKUP(BM$1,main!$A$3:$I$102,7,FALSE),main!$K$26:$Q$29,5,FALSE)),1,0)</f>
        <v>0</v>
      </c>
      <c r="BN206">
        <f>IF(AND(VLOOKUP(BN$1,main!$A$3:$H$102,7,FALSE)=main!$G$105,VLOOKUP(BN$1,main!$A$3:$H$102,5,FALSE)-VLOOKUP($A206,main!$A$3:$H$102,6,FALSE)&gt;=main!$D$103+VLOOKUP(VLOOKUP(BN$1,main!$A$3:$I$102,7,FALSE),main!$K$26:$Q$29,5,FALSE)),1,0)</f>
        <v>0</v>
      </c>
      <c r="BO206">
        <f>IF(AND(VLOOKUP(BO$1,main!$A$3:$H$102,7,FALSE)=main!$G$105,VLOOKUP(BO$1,main!$A$3:$H$102,5,FALSE)-VLOOKUP($A206,main!$A$3:$H$102,6,FALSE)&gt;=main!$D$103+VLOOKUP(VLOOKUP(BO$1,main!$A$3:$I$102,7,FALSE),main!$K$26:$Q$29,5,FALSE)),1,0)</f>
        <v>0</v>
      </c>
      <c r="BP206">
        <f>IF(AND(VLOOKUP(BP$1,main!$A$3:$H$102,7,FALSE)=main!$G$105,VLOOKUP(BP$1,main!$A$3:$H$102,5,FALSE)-VLOOKUP($A206,main!$A$3:$H$102,6,FALSE)&gt;=main!$D$103+VLOOKUP(VLOOKUP(BP$1,main!$A$3:$I$102,7,FALSE),main!$K$26:$Q$29,5,FALSE)),1,0)</f>
        <v>0</v>
      </c>
      <c r="BQ206">
        <f>IF(AND(VLOOKUP(BQ$1,main!$A$3:$H$102,7,FALSE)=main!$G$105,VLOOKUP(BQ$1,main!$A$3:$H$102,5,FALSE)-VLOOKUP($A206,main!$A$3:$H$102,6,FALSE)&gt;=main!$D$103+VLOOKUP(VLOOKUP(BQ$1,main!$A$3:$I$102,7,FALSE),main!$K$26:$Q$29,5,FALSE)),1,0)</f>
        <v>0</v>
      </c>
      <c r="BR206">
        <f>IF(AND(VLOOKUP(BR$1,main!$A$3:$H$102,7,FALSE)=main!$G$105,VLOOKUP(BR$1,main!$A$3:$H$102,5,FALSE)-VLOOKUP($A206,main!$A$3:$H$102,6,FALSE)&gt;=main!$D$103+VLOOKUP(VLOOKUP(BR$1,main!$A$3:$I$102,7,FALSE),main!$K$26:$Q$29,5,FALSE)),1,0)</f>
        <v>0</v>
      </c>
      <c r="BS206">
        <f>IF(AND(VLOOKUP(BS$1,main!$A$3:$H$102,7,FALSE)=main!$G$105,VLOOKUP(BS$1,main!$A$3:$H$102,5,FALSE)-VLOOKUP($A206,main!$A$3:$H$102,6,FALSE)&gt;=main!$D$103+VLOOKUP(VLOOKUP(BS$1,main!$A$3:$I$102,7,FALSE),main!$K$26:$Q$29,5,FALSE)),1,0)</f>
        <v>0</v>
      </c>
      <c r="BT206">
        <f>IF(AND(VLOOKUP(BT$1,main!$A$3:$H$102,7,FALSE)=main!$G$105,VLOOKUP(BT$1,main!$A$3:$H$102,5,FALSE)-VLOOKUP($A206,main!$A$3:$H$102,6,FALSE)&gt;=main!$D$103+VLOOKUP(VLOOKUP(BT$1,main!$A$3:$I$102,7,FALSE),main!$K$26:$Q$29,5,FALSE)),1,0)</f>
        <v>0</v>
      </c>
      <c r="BU206">
        <f>IF(AND(VLOOKUP(BU$1,main!$A$3:$H$102,7,FALSE)=main!$G$105,VLOOKUP(BU$1,main!$A$3:$H$102,5,FALSE)-VLOOKUP($A206,main!$A$3:$H$102,6,FALSE)&gt;=main!$D$103+VLOOKUP(VLOOKUP(BU$1,main!$A$3:$I$102,7,FALSE),main!$K$26:$Q$29,5,FALSE)),1,0)</f>
        <v>0</v>
      </c>
      <c r="BV206">
        <f>IF(AND(VLOOKUP(BV$1,main!$A$3:$H$102,7,FALSE)=main!$G$105,VLOOKUP(BV$1,main!$A$3:$H$102,5,FALSE)-VLOOKUP($A206,main!$A$3:$H$102,6,FALSE)&gt;=main!$D$103+VLOOKUP(VLOOKUP(BV$1,main!$A$3:$I$102,7,FALSE),main!$K$26:$Q$29,5,FALSE)),1,0)</f>
        <v>0</v>
      </c>
      <c r="BW206">
        <f>IF(AND(VLOOKUP(BW$1,main!$A$3:$H$102,7,FALSE)=main!$G$105,VLOOKUP(BW$1,main!$A$3:$H$102,5,FALSE)-VLOOKUP($A206,main!$A$3:$H$102,6,FALSE)&gt;=main!$D$103+VLOOKUP(VLOOKUP(BW$1,main!$A$3:$I$102,7,FALSE),main!$K$26:$Q$29,5,FALSE)),1,0)</f>
        <v>0</v>
      </c>
      <c r="BX206">
        <f>IF(AND(VLOOKUP(BX$1,main!$A$3:$H$102,7,FALSE)=main!$G$105,VLOOKUP(BX$1,main!$A$3:$H$102,5,FALSE)-VLOOKUP($A206,main!$A$3:$H$102,6,FALSE)&gt;=main!$D$103+VLOOKUP(VLOOKUP(BX$1,main!$A$3:$I$102,7,FALSE),main!$K$26:$Q$29,5,FALSE)),1,0)</f>
        <v>0</v>
      </c>
      <c r="BY206">
        <f>IF(AND(VLOOKUP(BY$1,main!$A$3:$H$102,7,FALSE)=main!$G$105,VLOOKUP(BY$1,main!$A$3:$H$102,5,FALSE)-VLOOKUP($A206,main!$A$3:$H$102,6,FALSE)&gt;=main!$D$103+VLOOKUP(VLOOKUP(BY$1,main!$A$3:$I$102,7,FALSE),main!$K$26:$Q$29,5,FALSE)),1,0)</f>
        <v>0</v>
      </c>
      <c r="BZ206">
        <f>IF(AND(VLOOKUP(BZ$1,main!$A$3:$H$102,7,FALSE)=main!$G$105,VLOOKUP(BZ$1,main!$A$3:$H$102,5,FALSE)-VLOOKUP($A206,main!$A$3:$H$102,6,FALSE)&gt;=main!$D$103+VLOOKUP(VLOOKUP(BZ$1,main!$A$3:$I$102,7,FALSE),main!$K$26:$Q$29,5,FALSE)),1,0)</f>
        <v>0</v>
      </c>
      <c r="CA206">
        <f>IF(AND(VLOOKUP(CA$1,main!$A$3:$H$102,7,FALSE)=main!$G$105,VLOOKUP(CA$1,main!$A$3:$H$102,5,FALSE)-VLOOKUP($A206,main!$A$3:$H$102,6,FALSE)&gt;=main!$D$103+VLOOKUP(VLOOKUP(CA$1,main!$A$3:$I$102,7,FALSE),main!$K$26:$Q$29,5,FALSE)),1,0)</f>
        <v>0</v>
      </c>
      <c r="CB206">
        <f>IF(AND(VLOOKUP(CB$1,main!$A$3:$H$102,7,FALSE)=main!$G$105,VLOOKUP(CB$1,main!$A$3:$H$102,5,FALSE)-VLOOKUP($A206,main!$A$3:$H$102,6,FALSE)&gt;=main!$D$103+VLOOKUP(VLOOKUP(CB$1,main!$A$3:$I$102,7,FALSE),main!$K$26:$Q$29,5,FALSE)),1,0)</f>
        <v>0</v>
      </c>
      <c r="CC206">
        <f>IF(AND(VLOOKUP(CC$1,main!$A$3:$H$102,7,FALSE)=main!$G$105,VLOOKUP(CC$1,main!$A$3:$H$102,5,FALSE)-VLOOKUP($A206,main!$A$3:$H$102,6,FALSE)&gt;=main!$D$103+VLOOKUP(VLOOKUP(CC$1,main!$A$3:$I$102,7,FALSE),main!$K$26:$Q$29,5,FALSE)),1,0)</f>
        <v>0</v>
      </c>
      <c r="CD206">
        <f>IF(AND(VLOOKUP(CD$1,main!$A$3:$H$102,7,FALSE)=main!$G$105,VLOOKUP(CD$1,main!$A$3:$H$102,5,FALSE)-VLOOKUP($A206,main!$A$3:$H$102,6,FALSE)&gt;=main!$D$103+VLOOKUP(VLOOKUP(CD$1,main!$A$3:$I$102,7,FALSE),main!$K$26:$Q$29,5,FALSE)),1,0)</f>
        <v>0</v>
      </c>
      <c r="CE206">
        <f>IF(AND(VLOOKUP(CE$1,main!$A$3:$H$102,7,FALSE)=main!$G$105,VLOOKUP(CE$1,main!$A$3:$H$102,5,FALSE)-VLOOKUP($A206,main!$A$3:$H$102,6,FALSE)&gt;=main!$D$103+VLOOKUP(VLOOKUP(CE$1,main!$A$3:$I$102,7,FALSE),main!$K$26:$Q$29,5,FALSE)),1,0)</f>
        <v>0</v>
      </c>
      <c r="CF206">
        <f>IF(AND(VLOOKUP(CF$1,main!$A$3:$H$102,7,FALSE)=main!$G$105,VLOOKUP(CF$1,main!$A$3:$H$102,5,FALSE)-VLOOKUP($A206,main!$A$3:$H$102,6,FALSE)&gt;=main!$D$103+VLOOKUP(VLOOKUP(CF$1,main!$A$3:$I$102,7,FALSE),main!$K$26:$Q$29,5,FALSE)),1,0)</f>
        <v>0</v>
      </c>
      <c r="CG206">
        <f>IF(AND(VLOOKUP(CG$1,main!$A$3:$H$102,7,FALSE)=main!$G$105,VLOOKUP(CG$1,main!$A$3:$H$102,5,FALSE)-VLOOKUP($A206,main!$A$3:$H$102,6,FALSE)&gt;=main!$D$103+VLOOKUP(VLOOKUP(CG$1,main!$A$3:$I$102,7,FALSE),main!$K$26:$Q$29,5,FALSE)),1,0)</f>
        <v>0</v>
      </c>
      <c r="CH206">
        <f>IF(AND(VLOOKUP(CH$1,main!$A$3:$H$102,7,FALSE)=main!$G$105,VLOOKUP(CH$1,main!$A$3:$H$102,5,FALSE)-VLOOKUP($A206,main!$A$3:$H$102,6,FALSE)&gt;=main!$D$103+VLOOKUP(VLOOKUP(CH$1,main!$A$3:$I$102,7,FALSE),main!$K$26:$Q$29,5,FALSE)),1,0)</f>
        <v>0</v>
      </c>
      <c r="CI206">
        <f>IF(AND(VLOOKUP(CI$1,main!$A$3:$H$102,7,FALSE)=main!$G$105,VLOOKUP(CI$1,main!$A$3:$H$102,5,FALSE)-VLOOKUP($A206,main!$A$3:$H$102,6,FALSE)&gt;=main!$D$103+VLOOKUP(VLOOKUP(CI$1,main!$A$3:$I$102,7,FALSE),main!$K$26:$Q$29,5,FALSE)),1,0)</f>
        <v>0</v>
      </c>
      <c r="CJ206">
        <f>IF(AND(VLOOKUP(CJ$1,main!$A$3:$H$102,7,FALSE)=main!$G$105,VLOOKUP(CJ$1,main!$A$3:$H$102,5,FALSE)-VLOOKUP($A206,main!$A$3:$H$102,6,FALSE)&gt;=main!$D$103+VLOOKUP(VLOOKUP(CJ$1,main!$A$3:$I$102,7,FALSE),main!$K$26:$Q$29,5,FALSE)),1,0)</f>
        <v>0</v>
      </c>
      <c r="CK206">
        <f>IF(AND(VLOOKUP(CK$1,main!$A$3:$H$102,7,FALSE)=main!$G$105,VLOOKUP(CK$1,main!$A$3:$H$102,5,FALSE)-VLOOKUP($A206,main!$A$3:$H$102,6,FALSE)&gt;=main!$D$103+VLOOKUP(VLOOKUP(CK$1,main!$A$3:$I$102,7,FALSE),main!$K$26:$Q$29,5,FALSE)),1,0)</f>
        <v>0</v>
      </c>
      <c r="CL206">
        <f>IF(AND(VLOOKUP(CL$1,main!$A$3:$H$102,7,FALSE)=main!$G$105,VLOOKUP(CL$1,main!$A$3:$H$102,5,FALSE)-VLOOKUP($A206,main!$A$3:$H$102,6,FALSE)&gt;=main!$D$103+VLOOKUP(VLOOKUP(CL$1,main!$A$3:$I$102,7,FALSE),main!$K$26:$Q$29,5,FALSE)),1,0)</f>
        <v>0</v>
      </c>
      <c r="CM206">
        <f>IF(AND(VLOOKUP(CM$1,main!$A$3:$H$102,7,FALSE)=main!$G$105,VLOOKUP(CM$1,main!$A$3:$H$102,5,FALSE)-VLOOKUP($A206,main!$A$3:$H$102,6,FALSE)&gt;=main!$D$103+VLOOKUP(VLOOKUP(CM$1,main!$A$3:$I$102,7,FALSE),main!$K$26:$Q$29,5,FALSE)),1,0)</f>
        <v>0</v>
      </c>
      <c r="CN206">
        <f>IF(AND(VLOOKUP(CN$1,main!$A$3:$H$102,7,FALSE)=main!$G$105,VLOOKUP(CN$1,main!$A$3:$H$102,5,FALSE)-VLOOKUP($A206,main!$A$3:$H$102,6,FALSE)&gt;=main!$D$103+VLOOKUP(VLOOKUP(CN$1,main!$A$3:$I$102,7,FALSE),main!$K$26:$Q$29,5,FALSE)),1,0)</f>
        <v>0</v>
      </c>
      <c r="CO206">
        <f>IF(AND(VLOOKUP(CO$1,main!$A$3:$H$102,7,FALSE)=main!$G$105,VLOOKUP(CO$1,main!$A$3:$H$102,5,FALSE)-VLOOKUP($A206,main!$A$3:$H$102,6,FALSE)&gt;=main!$D$103+VLOOKUP(VLOOKUP(CO$1,main!$A$3:$I$102,7,FALSE),main!$K$26:$Q$29,5,FALSE)),1,0)</f>
        <v>0</v>
      </c>
      <c r="CP206">
        <f>IF(AND(VLOOKUP(CP$1,main!$A$3:$H$102,7,FALSE)=main!$G$105,VLOOKUP(CP$1,main!$A$3:$H$102,5,FALSE)-VLOOKUP($A206,main!$A$3:$H$102,6,FALSE)&gt;=main!$D$103+VLOOKUP(VLOOKUP(CP$1,main!$A$3:$I$102,7,FALSE),main!$K$26:$Q$29,5,FALSE)),1,0)</f>
        <v>0</v>
      </c>
      <c r="CQ206">
        <f>IF(AND(VLOOKUP(CQ$1,main!$A$3:$H$102,7,FALSE)=main!$G$105,VLOOKUP(CQ$1,main!$A$3:$H$102,5,FALSE)-VLOOKUP($A206,main!$A$3:$H$102,6,FALSE)&gt;=main!$D$103+VLOOKUP(VLOOKUP(CQ$1,main!$A$3:$I$102,7,FALSE),main!$K$26:$Q$29,5,FALSE)),1,0)</f>
        <v>0</v>
      </c>
      <c r="CR206">
        <f>IF(AND(VLOOKUP(CR$1,main!$A$3:$H$102,7,FALSE)=main!$G$105,VLOOKUP(CR$1,main!$A$3:$H$102,5,FALSE)-VLOOKUP($A206,main!$A$3:$H$102,6,FALSE)&gt;=main!$D$103+VLOOKUP(VLOOKUP(CR$1,main!$A$3:$I$102,7,FALSE),main!$K$26:$Q$29,5,FALSE)),1,0)</f>
        <v>0</v>
      </c>
      <c r="CS206">
        <f>IF(AND(VLOOKUP(CS$1,main!$A$3:$H$102,7,FALSE)=main!$G$105,VLOOKUP(CS$1,main!$A$3:$H$102,5,FALSE)-VLOOKUP($A206,main!$A$3:$H$102,6,FALSE)&gt;=main!$D$103+VLOOKUP(VLOOKUP(CS$1,main!$A$3:$I$102,7,FALSE),main!$K$26:$Q$29,5,FALSE)),1,0)</f>
        <v>0</v>
      </c>
      <c r="CT206">
        <f>IF(AND(VLOOKUP(CT$1,main!$A$3:$H$102,7,FALSE)=main!$G$105,VLOOKUP(CT$1,main!$A$3:$H$102,5,FALSE)-VLOOKUP($A206,main!$A$3:$H$102,6,FALSE)&gt;=main!$D$103+VLOOKUP(VLOOKUP(CT$1,main!$A$3:$I$102,7,FALSE),main!$K$26:$Q$29,5,FALSE)),1,0)</f>
        <v>0</v>
      </c>
      <c r="CU206">
        <f>IF(AND(VLOOKUP(CU$1,main!$A$3:$H$102,7,FALSE)=main!$G$105,VLOOKUP(CU$1,main!$A$3:$H$102,5,FALSE)-VLOOKUP($A206,main!$A$3:$H$102,6,FALSE)&gt;=main!$D$103+VLOOKUP(VLOOKUP(CU$1,main!$A$3:$I$102,7,FALSE),main!$K$26:$Q$29,5,FALSE)),1,0)</f>
        <v>0</v>
      </c>
      <c r="CV206">
        <f>IF(AND(VLOOKUP(CV$1,main!$A$3:$H$102,7,FALSE)=main!$G$105,VLOOKUP(CV$1,main!$A$3:$H$102,5,FALSE)-VLOOKUP($A206,main!$A$3:$H$102,6,FALSE)&gt;=main!$D$103+VLOOKUP(VLOOKUP(CV$1,main!$A$3:$I$102,7,FALSE),main!$K$26:$Q$29,5,FALSE)),1,0)</f>
        <v>0</v>
      </c>
      <c r="CW206">
        <f>IF(AND(VLOOKUP(CW$1,main!$A$3:$H$102,7,FALSE)=main!$G$105,VLOOKUP(CW$1,main!$A$3:$H$102,5,FALSE)-VLOOKUP($A206,main!$A$3:$H$102,6,FALSE)&gt;=main!$D$103+VLOOKUP(VLOOKUP(CW$1,main!$A$3:$I$102,7,FALSE),main!$K$26:$Q$29,5,FALSE)),1,0)</f>
        <v>0</v>
      </c>
      <c r="CX206">
        <f>IF(AND(VLOOKUP(CX$1,main!$A$3:$H$102,7,FALSE)=main!$G$105,VLOOKUP(CX$1,main!$A$3:$H$102,5,FALSE)-VLOOKUP($A206,main!$A$3:$H$102,6,FALSE)&gt;=main!$D$103+VLOOKUP(VLOOKUP(CX$1,main!$A$3:$I$102,7,FALSE),main!$K$26:$Q$29,5,FALSE)),1,0)</f>
        <v>0</v>
      </c>
    </row>
    <row r="207" spans="1:102" x14ac:dyDescent="0.25">
      <c r="A207" s="1">
        <v>3</v>
      </c>
      <c r="B207">
        <v>0</v>
      </c>
      <c r="C207">
        <f>IF(AND(VLOOKUP(C$1,main!$A$3:$H$102,7,FALSE)=main!$G$105,VLOOKUP(C$1,main!$A$3:$H$102,5,FALSE)-VLOOKUP($A207,main!$A$3:$H$102,6,FALSE)&gt;=main!$D$103+VLOOKUP(VLOOKUP(C$1,main!$A$3:$I$102,7,FALSE),main!$K$26:$Q$29,5,FALSE)),1,0)</f>
        <v>0</v>
      </c>
      <c r="D207">
        <f>IF(AND(VLOOKUP(D$1,main!$A$3:$H$102,7,FALSE)=main!$G$105,VLOOKUP(D$1,main!$A$3:$H$102,5,FALSE)-VLOOKUP($A207,main!$A$3:$H$102,6,FALSE)&gt;=main!$D$103+VLOOKUP(VLOOKUP(D$1,main!$A$3:$I$102,7,FALSE),main!$K$26:$Q$29,5,FALSE)),1,0)</f>
        <v>0</v>
      </c>
      <c r="E207">
        <f>IF(AND(VLOOKUP(E$1,main!$A$3:$H$102,7,FALSE)=main!$G$105,VLOOKUP(E$1,main!$A$3:$H$102,5,FALSE)-VLOOKUP($A207,main!$A$3:$H$102,6,FALSE)&gt;=main!$D$103+VLOOKUP(VLOOKUP(E$1,main!$A$3:$I$102,7,FALSE),main!$K$26:$Q$29,5,FALSE)),1,0)</f>
        <v>0</v>
      </c>
      <c r="F207">
        <f>IF(AND(VLOOKUP(F$1,main!$A$3:$H$102,7,FALSE)=main!$G$105,VLOOKUP(F$1,main!$A$3:$H$102,5,FALSE)-VLOOKUP($A207,main!$A$3:$H$102,6,FALSE)&gt;=main!$D$103+VLOOKUP(VLOOKUP(F$1,main!$A$3:$I$102,7,FALSE),main!$K$26:$Q$29,5,FALSE)),1,0)</f>
        <v>0</v>
      </c>
      <c r="G207">
        <f>IF(AND(VLOOKUP(G$1,main!$A$3:$H$102,7,FALSE)=main!$G$105,VLOOKUP(G$1,main!$A$3:$H$102,5,FALSE)-VLOOKUP($A207,main!$A$3:$H$102,6,FALSE)&gt;=main!$D$103+VLOOKUP(VLOOKUP(G$1,main!$A$3:$I$102,7,FALSE),main!$K$26:$Q$29,5,FALSE)),1,0)</f>
        <v>0</v>
      </c>
      <c r="H207">
        <f>IF(AND(VLOOKUP(H$1,main!$A$3:$H$102,7,FALSE)=main!$G$105,VLOOKUP(H$1,main!$A$3:$H$102,5,FALSE)-VLOOKUP($A207,main!$A$3:$H$102,6,FALSE)&gt;=main!$D$103+VLOOKUP(VLOOKUP(H$1,main!$A$3:$I$102,7,FALSE),main!$K$26:$Q$29,5,FALSE)),1,0)</f>
        <v>0</v>
      </c>
      <c r="I207">
        <f>IF(AND(VLOOKUP(I$1,main!$A$3:$H$102,7,FALSE)=main!$G$105,VLOOKUP(I$1,main!$A$3:$H$102,5,FALSE)-VLOOKUP($A207,main!$A$3:$H$102,6,FALSE)&gt;=main!$D$103+VLOOKUP(VLOOKUP(I$1,main!$A$3:$I$102,7,FALSE),main!$K$26:$Q$29,5,FALSE)),1,0)</f>
        <v>0</v>
      </c>
      <c r="J207">
        <f>IF(AND(VLOOKUP(J$1,main!$A$3:$H$102,7,FALSE)=main!$G$105,VLOOKUP(J$1,main!$A$3:$H$102,5,FALSE)-VLOOKUP($A207,main!$A$3:$H$102,6,FALSE)&gt;=main!$D$103+VLOOKUP(VLOOKUP(J$1,main!$A$3:$I$102,7,FALSE),main!$K$26:$Q$29,5,FALSE)),1,0)</f>
        <v>0</v>
      </c>
      <c r="K207">
        <f>IF(AND(VLOOKUP(K$1,main!$A$3:$H$102,7,FALSE)=main!$G$105,VLOOKUP(K$1,main!$A$3:$H$102,5,FALSE)-VLOOKUP($A207,main!$A$3:$H$102,6,FALSE)&gt;=main!$D$103+VLOOKUP(VLOOKUP(K$1,main!$A$3:$I$102,7,FALSE),main!$K$26:$Q$29,5,FALSE)),1,0)</f>
        <v>0</v>
      </c>
      <c r="L207">
        <f>IF(AND(VLOOKUP(L$1,main!$A$3:$H$102,7,FALSE)=main!$G$105,VLOOKUP(L$1,main!$A$3:$H$102,5,FALSE)-VLOOKUP($A207,main!$A$3:$H$102,6,FALSE)&gt;=main!$D$103+VLOOKUP(VLOOKUP(L$1,main!$A$3:$I$102,7,FALSE),main!$K$26:$Q$29,5,FALSE)),1,0)</f>
        <v>0</v>
      </c>
      <c r="M207">
        <f>IF(AND(VLOOKUP(M$1,main!$A$3:$H$102,7,FALSE)=main!$G$105,VLOOKUP(M$1,main!$A$3:$H$102,5,FALSE)-VLOOKUP($A207,main!$A$3:$H$102,6,FALSE)&gt;=main!$D$103+VLOOKUP(VLOOKUP(M$1,main!$A$3:$I$102,7,FALSE),main!$K$26:$Q$29,5,FALSE)),1,0)</f>
        <v>0</v>
      </c>
      <c r="N207">
        <f>IF(AND(VLOOKUP(N$1,main!$A$3:$H$102,7,FALSE)=main!$G$105,VLOOKUP(N$1,main!$A$3:$H$102,5,FALSE)-VLOOKUP($A207,main!$A$3:$H$102,6,FALSE)&gt;=main!$D$103+VLOOKUP(VLOOKUP(N$1,main!$A$3:$I$102,7,FALSE),main!$K$26:$Q$29,5,FALSE)),1,0)</f>
        <v>0</v>
      </c>
      <c r="O207">
        <f>IF(AND(VLOOKUP(O$1,main!$A$3:$H$102,7,FALSE)=main!$G$105,VLOOKUP(O$1,main!$A$3:$H$102,5,FALSE)-VLOOKUP($A207,main!$A$3:$H$102,6,FALSE)&gt;=main!$D$103+VLOOKUP(VLOOKUP(O$1,main!$A$3:$I$102,7,FALSE),main!$K$26:$Q$29,5,FALSE)),1,0)</f>
        <v>0</v>
      </c>
      <c r="P207">
        <f>IF(AND(VLOOKUP(P$1,main!$A$3:$H$102,7,FALSE)=main!$G$105,VLOOKUP(P$1,main!$A$3:$H$102,5,FALSE)-VLOOKUP($A207,main!$A$3:$H$102,6,FALSE)&gt;=main!$D$103+VLOOKUP(VLOOKUP(P$1,main!$A$3:$I$102,7,FALSE),main!$K$26:$Q$29,5,FALSE)),1,0)</f>
        <v>0</v>
      </c>
      <c r="Q207">
        <f>IF(AND(VLOOKUP(Q$1,main!$A$3:$H$102,7,FALSE)=main!$G$105,VLOOKUP(Q$1,main!$A$3:$H$102,5,FALSE)-VLOOKUP($A207,main!$A$3:$H$102,6,FALSE)&gt;=main!$D$103+VLOOKUP(VLOOKUP(Q$1,main!$A$3:$I$102,7,FALSE),main!$K$26:$Q$29,5,FALSE)),1,0)</f>
        <v>0</v>
      </c>
      <c r="R207">
        <f>IF(AND(VLOOKUP(R$1,main!$A$3:$H$102,7,FALSE)=main!$G$105,VLOOKUP(R$1,main!$A$3:$H$102,5,FALSE)-VLOOKUP($A207,main!$A$3:$H$102,6,FALSE)&gt;=main!$D$103+VLOOKUP(VLOOKUP(R$1,main!$A$3:$I$102,7,FALSE),main!$K$26:$Q$29,5,FALSE)),1,0)</f>
        <v>0</v>
      </c>
      <c r="S207">
        <f>IF(AND(VLOOKUP(S$1,main!$A$3:$H$102,7,FALSE)=main!$G$105,VLOOKUP(S$1,main!$A$3:$H$102,5,FALSE)-VLOOKUP($A207,main!$A$3:$H$102,6,FALSE)&gt;=main!$D$103+VLOOKUP(VLOOKUP(S$1,main!$A$3:$I$102,7,FALSE),main!$K$26:$Q$29,5,FALSE)),1,0)</f>
        <v>0</v>
      </c>
      <c r="T207">
        <f>IF(AND(VLOOKUP(T$1,main!$A$3:$H$102,7,FALSE)=main!$G$105,VLOOKUP(T$1,main!$A$3:$H$102,5,FALSE)-VLOOKUP($A207,main!$A$3:$H$102,6,FALSE)&gt;=main!$D$103+VLOOKUP(VLOOKUP(T$1,main!$A$3:$I$102,7,FALSE),main!$K$26:$Q$29,5,FALSE)),1,0)</f>
        <v>0</v>
      </c>
      <c r="U207">
        <f>IF(AND(VLOOKUP(U$1,main!$A$3:$H$102,7,FALSE)=main!$G$105,VLOOKUP(U$1,main!$A$3:$H$102,5,FALSE)-VLOOKUP($A207,main!$A$3:$H$102,6,FALSE)&gt;=main!$D$103+VLOOKUP(VLOOKUP(U$1,main!$A$3:$I$102,7,FALSE),main!$K$26:$Q$29,5,FALSE)),1,0)</f>
        <v>0</v>
      </c>
      <c r="V207">
        <f>IF(AND(VLOOKUP(V$1,main!$A$3:$H$102,7,FALSE)=main!$G$105,VLOOKUP(V$1,main!$A$3:$H$102,5,FALSE)-VLOOKUP($A207,main!$A$3:$H$102,6,FALSE)&gt;=main!$D$103+VLOOKUP(VLOOKUP(V$1,main!$A$3:$I$102,7,FALSE),main!$K$26:$Q$29,5,FALSE)),1,0)</f>
        <v>0</v>
      </c>
      <c r="W207">
        <f>IF(AND(VLOOKUP(W$1,main!$A$3:$H$102,7,FALSE)=main!$G$105,VLOOKUP(W$1,main!$A$3:$H$102,5,FALSE)-VLOOKUP($A207,main!$A$3:$H$102,6,FALSE)&gt;=main!$D$103+VLOOKUP(VLOOKUP(W$1,main!$A$3:$I$102,7,FALSE),main!$K$26:$Q$29,5,FALSE)),1,0)</f>
        <v>0</v>
      </c>
      <c r="X207">
        <f>IF(AND(VLOOKUP(X$1,main!$A$3:$H$102,7,FALSE)=main!$G$105,VLOOKUP(X$1,main!$A$3:$H$102,5,FALSE)-VLOOKUP($A207,main!$A$3:$H$102,6,FALSE)&gt;=main!$D$103+VLOOKUP(VLOOKUP(X$1,main!$A$3:$I$102,7,FALSE),main!$K$26:$Q$29,5,FALSE)),1,0)</f>
        <v>0</v>
      </c>
      <c r="Y207">
        <f>IF(AND(VLOOKUP(Y$1,main!$A$3:$H$102,7,FALSE)=main!$G$105,VLOOKUP(Y$1,main!$A$3:$H$102,5,FALSE)-VLOOKUP($A207,main!$A$3:$H$102,6,FALSE)&gt;=main!$D$103+VLOOKUP(VLOOKUP(Y$1,main!$A$3:$I$102,7,FALSE),main!$K$26:$Q$29,5,FALSE)),1,0)</f>
        <v>0</v>
      </c>
      <c r="Z207">
        <f>IF(AND(VLOOKUP(Z$1,main!$A$3:$H$102,7,FALSE)=main!$G$105,VLOOKUP(Z$1,main!$A$3:$H$102,5,FALSE)-VLOOKUP($A207,main!$A$3:$H$102,6,FALSE)&gt;=main!$D$103+VLOOKUP(VLOOKUP(Z$1,main!$A$3:$I$102,7,FALSE),main!$K$26:$Q$29,5,FALSE)),1,0)</f>
        <v>0</v>
      </c>
      <c r="AA207">
        <f>IF(AND(VLOOKUP(AA$1,main!$A$3:$H$102,7,FALSE)=main!$G$105,VLOOKUP(AA$1,main!$A$3:$H$102,5,FALSE)-VLOOKUP($A207,main!$A$3:$H$102,6,FALSE)&gt;=main!$D$103+VLOOKUP(VLOOKUP(AA$1,main!$A$3:$I$102,7,FALSE),main!$K$26:$Q$29,5,FALSE)),1,0)</f>
        <v>0</v>
      </c>
      <c r="AB207">
        <f>IF(AND(VLOOKUP(AB$1,main!$A$3:$H$102,7,FALSE)=main!$G$105,VLOOKUP(AB$1,main!$A$3:$H$102,5,FALSE)-VLOOKUP($A207,main!$A$3:$H$102,6,FALSE)&gt;=main!$D$103+VLOOKUP(VLOOKUP(AB$1,main!$A$3:$I$102,7,FALSE),main!$K$26:$Q$29,5,FALSE)),1,0)</f>
        <v>0</v>
      </c>
      <c r="AC207">
        <f>IF(AND(VLOOKUP(AC$1,main!$A$3:$H$102,7,FALSE)=main!$G$105,VLOOKUP(AC$1,main!$A$3:$H$102,5,FALSE)-VLOOKUP($A207,main!$A$3:$H$102,6,FALSE)&gt;=main!$D$103+VLOOKUP(VLOOKUP(AC$1,main!$A$3:$I$102,7,FALSE),main!$K$26:$Q$29,5,FALSE)),1,0)</f>
        <v>0</v>
      </c>
      <c r="AD207">
        <f>IF(AND(VLOOKUP(AD$1,main!$A$3:$H$102,7,FALSE)=main!$G$105,VLOOKUP(AD$1,main!$A$3:$H$102,5,FALSE)-VLOOKUP($A207,main!$A$3:$H$102,6,FALSE)&gt;=main!$D$103+VLOOKUP(VLOOKUP(AD$1,main!$A$3:$I$102,7,FALSE),main!$K$26:$Q$29,5,FALSE)),1,0)</f>
        <v>0</v>
      </c>
      <c r="AE207">
        <f>IF(AND(VLOOKUP(AE$1,main!$A$3:$H$102,7,FALSE)=main!$G$105,VLOOKUP(AE$1,main!$A$3:$H$102,5,FALSE)-VLOOKUP($A207,main!$A$3:$H$102,6,FALSE)&gt;=main!$D$103+VLOOKUP(VLOOKUP(AE$1,main!$A$3:$I$102,7,FALSE),main!$K$26:$Q$29,5,FALSE)),1,0)</f>
        <v>0</v>
      </c>
      <c r="AF207">
        <f>IF(AND(VLOOKUP(AF$1,main!$A$3:$H$102,7,FALSE)=main!$G$105,VLOOKUP(AF$1,main!$A$3:$H$102,5,FALSE)-VLOOKUP($A207,main!$A$3:$H$102,6,FALSE)&gt;=main!$D$103+VLOOKUP(VLOOKUP(AF$1,main!$A$3:$I$102,7,FALSE),main!$K$26:$Q$29,5,FALSE)),1,0)</f>
        <v>0</v>
      </c>
      <c r="AG207">
        <f>IF(AND(VLOOKUP(AG$1,main!$A$3:$H$102,7,FALSE)=main!$G$105,VLOOKUP(AG$1,main!$A$3:$H$102,5,FALSE)-VLOOKUP($A207,main!$A$3:$H$102,6,FALSE)&gt;=main!$D$103+VLOOKUP(VLOOKUP(AG$1,main!$A$3:$I$102,7,FALSE),main!$K$26:$Q$29,5,FALSE)),1,0)</f>
        <v>0</v>
      </c>
      <c r="AH207">
        <f>IF(AND(VLOOKUP(AH$1,main!$A$3:$H$102,7,FALSE)=main!$G$105,VLOOKUP(AH$1,main!$A$3:$H$102,5,FALSE)-VLOOKUP($A207,main!$A$3:$H$102,6,FALSE)&gt;=main!$D$103+VLOOKUP(VLOOKUP(AH$1,main!$A$3:$I$102,7,FALSE),main!$K$26:$Q$29,5,FALSE)),1,0)</f>
        <v>0</v>
      </c>
      <c r="AI207">
        <f>IF(AND(VLOOKUP(AI$1,main!$A$3:$H$102,7,FALSE)=main!$G$105,VLOOKUP(AI$1,main!$A$3:$H$102,5,FALSE)-VLOOKUP($A207,main!$A$3:$H$102,6,FALSE)&gt;=main!$D$103+VLOOKUP(VLOOKUP(AI$1,main!$A$3:$I$102,7,FALSE),main!$K$26:$Q$29,5,FALSE)),1,0)</f>
        <v>0</v>
      </c>
      <c r="AJ207">
        <f>IF(AND(VLOOKUP(AJ$1,main!$A$3:$H$102,7,FALSE)=main!$G$105,VLOOKUP(AJ$1,main!$A$3:$H$102,5,FALSE)-VLOOKUP($A207,main!$A$3:$H$102,6,FALSE)&gt;=main!$D$103+VLOOKUP(VLOOKUP(AJ$1,main!$A$3:$I$102,7,FALSE),main!$K$26:$Q$29,5,FALSE)),1,0)</f>
        <v>0</v>
      </c>
      <c r="AK207">
        <f>IF(AND(VLOOKUP(AK$1,main!$A$3:$H$102,7,FALSE)=main!$G$105,VLOOKUP(AK$1,main!$A$3:$H$102,5,FALSE)-VLOOKUP($A207,main!$A$3:$H$102,6,FALSE)&gt;=main!$D$103+VLOOKUP(VLOOKUP(AK$1,main!$A$3:$I$102,7,FALSE),main!$K$26:$Q$29,5,FALSE)),1,0)</f>
        <v>0</v>
      </c>
      <c r="AL207">
        <f>IF(AND(VLOOKUP(AL$1,main!$A$3:$H$102,7,FALSE)=main!$G$105,VLOOKUP(AL$1,main!$A$3:$H$102,5,FALSE)-VLOOKUP($A207,main!$A$3:$H$102,6,FALSE)&gt;=main!$D$103+VLOOKUP(VLOOKUP(AL$1,main!$A$3:$I$102,7,FALSE),main!$K$26:$Q$29,5,FALSE)),1,0)</f>
        <v>1</v>
      </c>
      <c r="AM207">
        <f>IF(AND(VLOOKUP(AM$1,main!$A$3:$H$102,7,FALSE)=main!$G$105,VLOOKUP(AM$1,main!$A$3:$H$102,5,FALSE)-VLOOKUP($A207,main!$A$3:$H$102,6,FALSE)&gt;=main!$D$103+VLOOKUP(VLOOKUP(AM$1,main!$A$3:$I$102,7,FALSE),main!$K$26:$Q$29,5,FALSE)),1,0)</f>
        <v>1</v>
      </c>
      <c r="AN207">
        <f>IF(AND(VLOOKUP(AN$1,main!$A$3:$H$102,7,FALSE)=main!$G$105,VLOOKUP(AN$1,main!$A$3:$H$102,5,FALSE)-VLOOKUP($A207,main!$A$3:$H$102,6,FALSE)&gt;=main!$D$103+VLOOKUP(VLOOKUP(AN$1,main!$A$3:$I$102,7,FALSE),main!$K$26:$Q$29,5,FALSE)),1,0)</f>
        <v>1</v>
      </c>
      <c r="AO207">
        <f>IF(AND(VLOOKUP(AO$1,main!$A$3:$H$102,7,FALSE)=main!$G$105,VLOOKUP(AO$1,main!$A$3:$H$102,5,FALSE)-VLOOKUP($A207,main!$A$3:$H$102,6,FALSE)&gt;=main!$D$103+VLOOKUP(VLOOKUP(AO$1,main!$A$3:$I$102,7,FALSE),main!$K$26:$Q$29,5,FALSE)),1,0)</f>
        <v>0</v>
      </c>
      <c r="AP207">
        <f>IF(AND(VLOOKUP(AP$1,main!$A$3:$H$102,7,FALSE)=main!$G$105,VLOOKUP(AP$1,main!$A$3:$H$102,5,FALSE)-VLOOKUP($A207,main!$A$3:$H$102,6,FALSE)&gt;=main!$D$103+VLOOKUP(VLOOKUP(AP$1,main!$A$3:$I$102,7,FALSE),main!$K$26:$Q$29,5,FALSE)),1,0)</f>
        <v>1</v>
      </c>
      <c r="AQ207">
        <f>IF(AND(VLOOKUP(AQ$1,main!$A$3:$H$102,7,FALSE)=main!$G$105,VLOOKUP(AQ$1,main!$A$3:$H$102,5,FALSE)-VLOOKUP($A207,main!$A$3:$H$102,6,FALSE)&gt;=main!$D$103+VLOOKUP(VLOOKUP(AQ$1,main!$A$3:$I$102,7,FALSE),main!$K$26:$Q$29,5,FALSE)),1,0)</f>
        <v>0</v>
      </c>
      <c r="AR207">
        <f>IF(AND(VLOOKUP(AR$1,main!$A$3:$H$102,7,FALSE)=main!$G$105,VLOOKUP(AR$1,main!$A$3:$H$102,5,FALSE)-VLOOKUP($A207,main!$A$3:$H$102,6,FALSE)&gt;=main!$D$103+VLOOKUP(VLOOKUP(AR$1,main!$A$3:$I$102,7,FALSE),main!$K$26:$Q$29,5,FALSE)),1,0)</f>
        <v>0</v>
      </c>
      <c r="AS207">
        <f>IF(AND(VLOOKUP(AS$1,main!$A$3:$H$102,7,FALSE)=main!$G$105,VLOOKUP(AS$1,main!$A$3:$H$102,5,FALSE)-VLOOKUP($A207,main!$A$3:$H$102,6,FALSE)&gt;=main!$D$103+VLOOKUP(VLOOKUP(AS$1,main!$A$3:$I$102,7,FALSE),main!$K$26:$Q$29,5,FALSE)),1,0)</f>
        <v>0</v>
      </c>
      <c r="AT207">
        <f>IF(AND(VLOOKUP(AT$1,main!$A$3:$H$102,7,FALSE)=main!$G$105,VLOOKUP(AT$1,main!$A$3:$H$102,5,FALSE)-VLOOKUP($A207,main!$A$3:$H$102,6,FALSE)&gt;=main!$D$103+VLOOKUP(VLOOKUP(AT$1,main!$A$3:$I$102,7,FALSE),main!$K$26:$Q$29,5,FALSE)),1,0)</f>
        <v>1</v>
      </c>
      <c r="AU207">
        <f>IF(AND(VLOOKUP(AU$1,main!$A$3:$H$102,7,FALSE)=main!$G$105,VLOOKUP(AU$1,main!$A$3:$H$102,5,FALSE)-VLOOKUP($A207,main!$A$3:$H$102,6,FALSE)&gt;=main!$D$103+VLOOKUP(VLOOKUP(AU$1,main!$A$3:$I$102,7,FALSE),main!$K$26:$Q$29,5,FALSE)),1,0)</f>
        <v>0</v>
      </c>
      <c r="AV207">
        <f>IF(AND(VLOOKUP(AV$1,main!$A$3:$H$102,7,FALSE)=main!$G$105,VLOOKUP(AV$1,main!$A$3:$H$102,5,FALSE)-VLOOKUP($A207,main!$A$3:$H$102,6,FALSE)&gt;=main!$D$103+VLOOKUP(VLOOKUP(AV$1,main!$A$3:$I$102,7,FALSE),main!$K$26:$Q$29,5,FALSE)),1,0)</f>
        <v>0</v>
      </c>
      <c r="AW207">
        <f>IF(AND(VLOOKUP(AW$1,main!$A$3:$H$102,7,FALSE)=main!$G$105,VLOOKUP(AW$1,main!$A$3:$H$102,5,FALSE)-VLOOKUP($A207,main!$A$3:$H$102,6,FALSE)&gt;=main!$D$103+VLOOKUP(VLOOKUP(AW$1,main!$A$3:$I$102,7,FALSE),main!$K$26:$Q$29,5,FALSE)),1,0)</f>
        <v>0</v>
      </c>
      <c r="AX207">
        <f>IF(AND(VLOOKUP(AX$1,main!$A$3:$H$102,7,FALSE)=main!$G$105,VLOOKUP(AX$1,main!$A$3:$H$102,5,FALSE)-VLOOKUP($A207,main!$A$3:$H$102,6,FALSE)&gt;=main!$D$103+VLOOKUP(VLOOKUP(AX$1,main!$A$3:$I$102,7,FALSE),main!$K$26:$Q$29,5,FALSE)),1,0)</f>
        <v>0</v>
      </c>
      <c r="AY207">
        <f>IF(AND(VLOOKUP(AY$1,main!$A$3:$H$102,7,FALSE)=main!$G$105,VLOOKUP(AY$1,main!$A$3:$H$102,5,FALSE)-VLOOKUP($A207,main!$A$3:$H$102,6,FALSE)&gt;=main!$D$103+VLOOKUP(VLOOKUP(AY$1,main!$A$3:$I$102,7,FALSE),main!$K$26:$Q$29,5,FALSE)),1,0)</f>
        <v>0</v>
      </c>
      <c r="AZ207">
        <f>IF(AND(VLOOKUP(AZ$1,main!$A$3:$H$102,7,FALSE)=main!$G$105,VLOOKUP(AZ$1,main!$A$3:$H$102,5,FALSE)-VLOOKUP($A207,main!$A$3:$H$102,6,FALSE)&gt;=main!$D$103+VLOOKUP(VLOOKUP(AZ$1,main!$A$3:$I$102,7,FALSE),main!$K$26:$Q$29,5,FALSE)),1,0)</f>
        <v>0</v>
      </c>
      <c r="BA207">
        <f>IF(AND(VLOOKUP(BA$1,main!$A$3:$H$102,7,FALSE)=main!$G$105,VLOOKUP(BA$1,main!$A$3:$H$102,5,FALSE)-VLOOKUP($A207,main!$A$3:$H$102,6,FALSE)&gt;=main!$D$103+VLOOKUP(VLOOKUP(BA$1,main!$A$3:$I$102,7,FALSE),main!$K$26:$Q$29,5,FALSE)),1,0)</f>
        <v>0</v>
      </c>
      <c r="BB207">
        <f>IF(AND(VLOOKUP(BB$1,main!$A$3:$H$102,7,FALSE)=main!$G$105,VLOOKUP(BB$1,main!$A$3:$H$102,5,FALSE)-VLOOKUP($A207,main!$A$3:$H$102,6,FALSE)&gt;=main!$D$103+VLOOKUP(VLOOKUP(BB$1,main!$A$3:$I$102,7,FALSE),main!$K$26:$Q$29,5,FALSE)),1,0)</f>
        <v>0</v>
      </c>
      <c r="BC207">
        <f>IF(AND(VLOOKUP(BC$1,main!$A$3:$H$102,7,FALSE)=main!$G$105,VLOOKUP(BC$1,main!$A$3:$H$102,5,FALSE)-VLOOKUP($A207,main!$A$3:$H$102,6,FALSE)&gt;=main!$D$103+VLOOKUP(VLOOKUP(BC$1,main!$A$3:$I$102,7,FALSE),main!$K$26:$Q$29,5,FALSE)),1,0)</f>
        <v>0</v>
      </c>
      <c r="BD207">
        <f>IF(AND(VLOOKUP(BD$1,main!$A$3:$H$102,7,FALSE)=main!$G$105,VLOOKUP(BD$1,main!$A$3:$H$102,5,FALSE)-VLOOKUP($A207,main!$A$3:$H$102,6,FALSE)&gt;=main!$D$103+VLOOKUP(VLOOKUP(BD$1,main!$A$3:$I$102,7,FALSE),main!$K$26:$Q$29,5,FALSE)),1,0)</f>
        <v>0</v>
      </c>
      <c r="BE207">
        <f>IF(AND(VLOOKUP(BE$1,main!$A$3:$H$102,7,FALSE)=main!$G$105,VLOOKUP(BE$1,main!$A$3:$H$102,5,FALSE)-VLOOKUP($A207,main!$A$3:$H$102,6,FALSE)&gt;=main!$D$103+VLOOKUP(VLOOKUP(BE$1,main!$A$3:$I$102,7,FALSE),main!$K$26:$Q$29,5,FALSE)),1,0)</f>
        <v>0</v>
      </c>
      <c r="BF207">
        <f>IF(AND(VLOOKUP(BF$1,main!$A$3:$H$102,7,FALSE)=main!$G$105,VLOOKUP(BF$1,main!$A$3:$H$102,5,FALSE)-VLOOKUP($A207,main!$A$3:$H$102,6,FALSE)&gt;=main!$D$103+VLOOKUP(VLOOKUP(BF$1,main!$A$3:$I$102,7,FALSE),main!$K$26:$Q$29,5,FALSE)),1,0)</f>
        <v>0</v>
      </c>
      <c r="BG207">
        <f>IF(AND(VLOOKUP(BG$1,main!$A$3:$H$102,7,FALSE)=main!$G$105,VLOOKUP(BG$1,main!$A$3:$H$102,5,FALSE)-VLOOKUP($A207,main!$A$3:$H$102,6,FALSE)&gt;=main!$D$103+VLOOKUP(VLOOKUP(BG$1,main!$A$3:$I$102,7,FALSE),main!$K$26:$Q$29,5,FALSE)),1,0)</f>
        <v>0</v>
      </c>
      <c r="BH207">
        <f>IF(AND(VLOOKUP(BH$1,main!$A$3:$H$102,7,FALSE)=main!$G$105,VLOOKUP(BH$1,main!$A$3:$H$102,5,FALSE)-VLOOKUP($A207,main!$A$3:$H$102,6,FALSE)&gt;=main!$D$103+VLOOKUP(VLOOKUP(BH$1,main!$A$3:$I$102,7,FALSE),main!$K$26:$Q$29,5,FALSE)),1,0)</f>
        <v>0</v>
      </c>
      <c r="BI207">
        <f>IF(AND(VLOOKUP(BI$1,main!$A$3:$H$102,7,FALSE)=main!$G$105,VLOOKUP(BI$1,main!$A$3:$H$102,5,FALSE)-VLOOKUP($A207,main!$A$3:$H$102,6,FALSE)&gt;=main!$D$103+VLOOKUP(VLOOKUP(BI$1,main!$A$3:$I$102,7,FALSE),main!$K$26:$Q$29,5,FALSE)),1,0)</f>
        <v>0</v>
      </c>
      <c r="BJ207">
        <f>IF(AND(VLOOKUP(BJ$1,main!$A$3:$H$102,7,FALSE)=main!$G$105,VLOOKUP(BJ$1,main!$A$3:$H$102,5,FALSE)-VLOOKUP($A207,main!$A$3:$H$102,6,FALSE)&gt;=main!$D$103+VLOOKUP(VLOOKUP(BJ$1,main!$A$3:$I$102,7,FALSE),main!$K$26:$Q$29,5,FALSE)),1,0)</f>
        <v>0</v>
      </c>
      <c r="BK207">
        <f>IF(AND(VLOOKUP(BK$1,main!$A$3:$H$102,7,FALSE)=main!$G$105,VLOOKUP(BK$1,main!$A$3:$H$102,5,FALSE)-VLOOKUP($A207,main!$A$3:$H$102,6,FALSE)&gt;=main!$D$103+VLOOKUP(VLOOKUP(BK$1,main!$A$3:$I$102,7,FALSE),main!$K$26:$Q$29,5,FALSE)),1,0)</f>
        <v>0</v>
      </c>
      <c r="BL207">
        <f>IF(AND(VLOOKUP(BL$1,main!$A$3:$H$102,7,FALSE)=main!$G$105,VLOOKUP(BL$1,main!$A$3:$H$102,5,FALSE)-VLOOKUP($A207,main!$A$3:$H$102,6,FALSE)&gt;=main!$D$103+VLOOKUP(VLOOKUP(BL$1,main!$A$3:$I$102,7,FALSE),main!$K$26:$Q$29,5,FALSE)),1,0)</f>
        <v>0</v>
      </c>
      <c r="BM207">
        <f>IF(AND(VLOOKUP(BM$1,main!$A$3:$H$102,7,FALSE)=main!$G$105,VLOOKUP(BM$1,main!$A$3:$H$102,5,FALSE)-VLOOKUP($A207,main!$A$3:$H$102,6,FALSE)&gt;=main!$D$103+VLOOKUP(VLOOKUP(BM$1,main!$A$3:$I$102,7,FALSE),main!$K$26:$Q$29,5,FALSE)),1,0)</f>
        <v>0</v>
      </c>
      <c r="BN207">
        <f>IF(AND(VLOOKUP(BN$1,main!$A$3:$H$102,7,FALSE)=main!$G$105,VLOOKUP(BN$1,main!$A$3:$H$102,5,FALSE)-VLOOKUP($A207,main!$A$3:$H$102,6,FALSE)&gt;=main!$D$103+VLOOKUP(VLOOKUP(BN$1,main!$A$3:$I$102,7,FALSE),main!$K$26:$Q$29,5,FALSE)),1,0)</f>
        <v>0</v>
      </c>
      <c r="BO207">
        <f>IF(AND(VLOOKUP(BO$1,main!$A$3:$H$102,7,FALSE)=main!$G$105,VLOOKUP(BO$1,main!$A$3:$H$102,5,FALSE)-VLOOKUP($A207,main!$A$3:$H$102,6,FALSE)&gt;=main!$D$103+VLOOKUP(VLOOKUP(BO$1,main!$A$3:$I$102,7,FALSE),main!$K$26:$Q$29,5,FALSE)),1,0)</f>
        <v>0</v>
      </c>
      <c r="BP207">
        <f>IF(AND(VLOOKUP(BP$1,main!$A$3:$H$102,7,FALSE)=main!$G$105,VLOOKUP(BP$1,main!$A$3:$H$102,5,FALSE)-VLOOKUP($A207,main!$A$3:$H$102,6,FALSE)&gt;=main!$D$103+VLOOKUP(VLOOKUP(BP$1,main!$A$3:$I$102,7,FALSE),main!$K$26:$Q$29,5,FALSE)),1,0)</f>
        <v>0</v>
      </c>
      <c r="BQ207">
        <f>IF(AND(VLOOKUP(BQ$1,main!$A$3:$H$102,7,FALSE)=main!$G$105,VLOOKUP(BQ$1,main!$A$3:$H$102,5,FALSE)-VLOOKUP($A207,main!$A$3:$H$102,6,FALSE)&gt;=main!$D$103+VLOOKUP(VLOOKUP(BQ$1,main!$A$3:$I$102,7,FALSE),main!$K$26:$Q$29,5,FALSE)),1,0)</f>
        <v>0</v>
      </c>
      <c r="BR207">
        <f>IF(AND(VLOOKUP(BR$1,main!$A$3:$H$102,7,FALSE)=main!$G$105,VLOOKUP(BR$1,main!$A$3:$H$102,5,FALSE)-VLOOKUP($A207,main!$A$3:$H$102,6,FALSE)&gt;=main!$D$103+VLOOKUP(VLOOKUP(BR$1,main!$A$3:$I$102,7,FALSE),main!$K$26:$Q$29,5,FALSE)),1,0)</f>
        <v>0</v>
      </c>
      <c r="BS207">
        <f>IF(AND(VLOOKUP(BS$1,main!$A$3:$H$102,7,FALSE)=main!$G$105,VLOOKUP(BS$1,main!$A$3:$H$102,5,FALSE)-VLOOKUP($A207,main!$A$3:$H$102,6,FALSE)&gt;=main!$D$103+VLOOKUP(VLOOKUP(BS$1,main!$A$3:$I$102,7,FALSE),main!$K$26:$Q$29,5,FALSE)),1,0)</f>
        <v>0</v>
      </c>
      <c r="BT207">
        <f>IF(AND(VLOOKUP(BT$1,main!$A$3:$H$102,7,FALSE)=main!$G$105,VLOOKUP(BT$1,main!$A$3:$H$102,5,FALSE)-VLOOKUP($A207,main!$A$3:$H$102,6,FALSE)&gt;=main!$D$103+VLOOKUP(VLOOKUP(BT$1,main!$A$3:$I$102,7,FALSE),main!$K$26:$Q$29,5,FALSE)),1,0)</f>
        <v>0</v>
      </c>
      <c r="BU207">
        <f>IF(AND(VLOOKUP(BU$1,main!$A$3:$H$102,7,FALSE)=main!$G$105,VLOOKUP(BU$1,main!$A$3:$H$102,5,FALSE)-VLOOKUP($A207,main!$A$3:$H$102,6,FALSE)&gt;=main!$D$103+VLOOKUP(VLOOKUP(BU$1,main!$A$3:$I$102,7,FALSE),main!$K$26:$Q$29,5,FALSE)),1,0)</f>
        <v>0</v>
      </c>
      <c r="BV207">
        <f>IF(AND(VLOOKUP(BV$1,main!$A$3:$H$102,7,FALSE)=main!$G$105,VLOOKUP(BV$1,main!$A$3:$H$102,5,FALSE)-VLOOKUP($A207,main!$A$3:$H$102,6,FALSE)&gt;=main!$D$103+VLOOKUP(VLOOKUP(BV$1,main!$A$3:$I$102,7,FALSE),main!$K$26:$Q$29,5,FALSE)),1,0)</f>
        <v>0</v>
      </c>
      <c r="BW207">
        <f>IF(AND(VLOOKUP(BW$1,main!$A$3:$H$102,7,FALSE)=main!$G$105,VLOOKUP(BW$1,main!$A$3:$H$102,5,FALSE)-VLOOKUP($A207,main!$A$3:$H$102,6,FALSE)&gt;=main!$D$103+VLOOKUP(VLOOKUP(BW$1,main!$A$3:$I$102,7,FALSE),main!$K$26:$Q$29,5,FALSE)),1,0)</f>
        <v>0</v>
      </c>
      <c r="BX207">
        <f>IF(AND(VLOOKUP(BX$1,main!$A$3:$H$102,7,FALSE)=main!$G$105,VLOOKUP(BX$1,main!$A$3:$H$102,5,FALSE)-VLOOKUP($A207,main!$A$3:$H$102,6,FALSE)&gt;=main!$D$103+VLOOKUP(VLOOKUP(BX$1,main!$A$3:$I$102,7,FALSE),main!$K$26:$Q$29,5,FALSE)),1,0)</f>
        <v>0</v>
      </c>
      <c r="BY207">
        <f>IF(AND(VLOOKUP(BY$1,main!$A$3:$H$102,7,FALSE)=main!$G$105,VLOOKUP(BY$1,main!$A$3:$H$102,5,FALSE)-VLOOKUP($A207,main!$A$3:$H$102,6,FALSE)&gt;=main!$D$103+VLOOKUP(VLOOKUP(BY$1,main!$A$3:$I$102,7,FALSE),main!$K$26:$Q$29,5,FALSE)),1,0)</f>
        <v>0</v>
      </c>
      <c r="BZ207">
        <f>IF(AND(VLOOKUP(BZ$1,main!$A$3:$H$102,7,FALSE)=main!$G$105,VLOOKUP(BZ$1,main!$A$3:$H$102,5,FALSE)-VLOOKUP($A207,main!$A$3:$H$102,6,FALSE)&gt;=main!$D$103+VLOOKUP(VLOOKUP(BZ$1,main!$A$3:$I$102,7,FALSE),main!$K$26:$Q$29,5,FALSE)),1,0)</f>
        <v>0</v>
      </c>
      <c r="CA207">
        <f>IF(AND(VLOOKUP(CA$1,main!$A$3:$H$102,7,FALSE)=main!$G$105,VLOOKUP(CA$1,main!$A$3:$H$102,5,FALSE)-VLOOKUP($A207,main!$A$3:$H$102,6,FALSE)&gt;=main!$D$103+VLOOKUP(VLOOKUP(CA$1,main!$A$3:$I$102,7,FALSE),main!$K$26:$Q$29,5,FALSE)),1,0)</f>
        <v>0</v>
      </c>
      <c r="CB207">
        <f>IF(AND(VLOOKUP(CB$1,main!$A$3:$H$102,7,FALSE)=main!$G$105,VLOOKUP(CB$1,main!$A$3:$H$102,5,FALSE)-VLOOKUP($A207,main!$A$3:$H$102,6,FALSE)&gt;=main!$D$103+VLOOKUP(VLOOKUP(CB$1,main!$A$3:$I$102,7,FALSE),main!$K$26:$Q$29,5,FALSE)),1,0)</f>
        <v>0</v>
      </c>
      <c r="CC207">
        <f>IF(AND(VLOOKUP(CC$1,main!$A$3:$H$102,7,FALSE)=main!$G$105,VLOOKUP(CC$1,main!$A$3:$H$102,5,FALSE)-VLOOKUP($A207,main!$A$3:$H$102,6,FALSE)&gt;=main!$D$103+VLOOKUP(VLOOKUP(CC$1,main!$A$3:$I$102,7,FALSE),main!$K$26:$Q$29,5,FALSE)),1,0)</f>
        <v>0</v>
      </c>
      <c r="CD207">
        <f>IF(AND(VLOOKUP(CD$1,main!$A$3:$H$102,7,FALSE)=main!$G$105,VLOOKUP(CD$1,main!$A$3:$H$102,5,FALSE)-VLOOKUP($A207,main!$A$3:$H$102,6,FALSE)&gt;=main!$D$103+VLOOKUP(VLOOKUP(CD$1,main!$A$3:$I$102,7,FALSE),main!$K$26:$Q$29,5,FALSE)),1,0)</f>
        <v>0</v>
      </c>
      <c r="CE207">
        <f>IF(AND(VLOOKUP(CE$1,main!$A$3:$H$102,7,FALSE)=main!$G$105,VLOOKUP(CE$1,main!$A$3:$H$102,5,FALSE)-VLOOKUP($A207,main!$A$3:$H$102,6,FALSE)&gt;=main!$D$103+VLOOKUP(VLOOKUP(CE$1,main!$A$3:$I$102,7,FALSE),main!$K$26:$Q$29,5,FALSE)),1,0)</f>
        <v>0</v>
      </c>
      <c r="CF207">
        <f>IF(AND(VLOOKUP(CF$1,main!$A$3:$H$102,7,FALSE)=main!$G$105,VLOOKUP(CF$1,main!$A$3:$H$102,5,FALSE)-VLOOKUP($A207,main!$A$3:$H$102,6,FALSE)&gt;=main!$D$103+VLOOKUP(VLOOKUP(CF$1,main!$A$3:$I$102,7,FALSE),main!$K$26:$Q$29,5,FALSE)),1,0)</f>
        <v>0</v>
      </c>
      <c r="CG207">
        <f>IF(AND(VLOOKUP(CG$1,main!$A$3:$H$102,7,FALSE)=main!$G$105,VLOOKUP(CG$1,main!$A$3:$H$102,5,FALSE)-VLOOKUP($A207,main!$A$3:$H$102,6,FALSE)&gt;=main!$D$103+VLOOKUP(VLOOKUP(CG$1,main!$A$3:$I$102,7,FALSE),main!$K$26:$Q$29,5,FALSE)),1,0)</f>
        <v>0</v>
      </c>
      <c r="CH207">
        <f>IF(AND(VLOOKUP(CH$1,main!$A$3:$H$102,7,FALSE)=main!$G$105,VLOOKUP(CH$1,main!$A$3:$H$102,5,FALSE)-VLOOKUP($A207,main!$A$3:$H$102,6,FALSE)&gt;=main!$D$103+VLOOKUP(VLOOKUP(CH$1,main!$A$3:$I$102,7,FALSE),main!$K$26:$Q$29,5,FALSE)),1,0)</f>
        <v>0</v>
      </c>
      <c r="CI207">
        <f>IF(AND(VLOOKUP(CI$1,main!$A$3:$H$102,7,FALSE)=main!$G$105,VLOOKUP(CI$1,main!$A$3:$H$102,5,FALSE)-VLOOKUP($A207,main!$A$3:$H$102,6,FALSE)&gt;=main!$D$103+VLOOKUP(VLOOKUP(CI$1,main!$A$3:$I$102,7,FALSE),main!$K$26:$Q$29,5,FALSE)),1,0)</f>
        <v>0</v>
      </c>
      <c r="CJ207">
        <f>IF(AND(VLOOKUP(CJ$1,main!$A$3:$H$102,7,FALSE)=main!$G$105,VLOOKUP(CJ$1,main!$A$3:$H$102,5,FALSE)-VLOOKUP($A207,main!$A$3:$H$102,6,FALSE)&gt;=main!$D$103+VLOOKUP(VLOOKUP(CJ$1,main!$A$3:$I$102,7,FALSE),main!$K$26:$Q$29,5,FALSE)),1,0)</f>
        <v>0</v>
      </c>
      <c r="CK207">
        <f>IF(AND(VLOOKUP(CK$1,main!$A$3:$H$102,7,FALSE)=main!$G$105,VLOOKUP(CK$1,main!$A$3:$H$102,5,FALSE)-VLOOKUP($A207,main!$A$3:$H$102,6,FALSE)&gt;=main!$D$103+VLOOKUP(VLOOKUP(CK$1,main!$A$3:$I$102,7,FALSE),main!$K$26:$Q$29,5,FALSE)),1,0)</f>
        <v>0</v>
      </c>
      <c r="CL207">
        <f>IF(AND(VLOOKUP(CL$1,main!$A$3:$H$102,7,FALSE)=main!$G$105,VLOOKUP(CL$1,main!$A$3:$H$102,5,FALSE)-VLOOKUP($A207,main!$A$3:$H$102,6,FALSE)&gt;=main!$D$103+VLOOKUP(VLOOKUP(CL$1,main!$A$3:$I$102,7,FALSE),main!$K$26:$Q$29,5,FALSE)),1,0)</f>
        <v>0</v>
      </c>
      <c r="CM207">
        <f>IF(AND(VLOOKUP(CM$1,main!$A$3:$H$102,7,FALSE)=main!$G$105,VLOOKUP(CM$1,main!$A$3:$H$102,5,FALSE)-VLOOKUP($A207,main!$A$3:$H$102,6,FALSE)&gt;=main!$D$103+VLOOKUP(VLOOKUP(CM$1,main!$A$3:$I$102,7,FALSE),main!$K$26:$Q$29,5,FALSE)),1,0)</f>
        <v>0</v>
      </c>
      <c r="CN207">
        <f>IF(AND(VLOOKUP(CN$1,main!$A$3:$H$102,7,FALSE)=main!$G$105,VLOOKUP(CN$1,main!$A$3:$H$102,5,FALSE)-VLOOKUP($A207,main!$A$3:$H$102,6,FALSE)&gt;=main!$D$103+VLOOKUP(VLOOKUP(CN$1,main!$A$3:$I$102,7,FALSE),main!$K$26:$Q$29,5,FALSE)),1,0)</f>
        <v>0</v>
      </c>
      <c r="CO207">
        <f>IF(AND(VLOOKUP(CO$1,main!$A$3:$H$102,7,FALSE)=main!$G$105,VLOOKUP(CO$1,main!$A$3:$H$102,5,FALSE)-VLOOKUP($A207,main!$A$3:$H$102,6,FALSE)&gt;=main!$D$103+VLOOKUP(VLOOKUP(CO$1,main!$A$3:$I$102,7,FALSE),main!$K$26:$Q$29,5,FALSE)),1,0)</f>
        <v>0</v>
      </c>
      <c r="CP207">
        <f>IF(AND(VLOOKUP(CP$1,main!$A$3:$H$102,7,FALSE)=main!$G$105,VLOOKUP(CP$1,main!$A$3:$H$102,5,FALSE)-VLOOKUP($A207,main!$A$3:$H$102,6,FALSE)&gt;=main!$D$103+VLOOKUP(VLOOKUP(CP$1,main!$A$3:$I$102,7,FALSE),main!$K$26:$Q$29,5,FALSE)),1,0)</f>
        <v>0</v>
      </c>
      <c r="CQ207">
        <f>IF(AND(VLOOKUP(CQ$1,main!$A$3:$H$102,7,FALSE)=main!$G$105,VLOOKUP(CQ$1,main!$A$3:$H$102,5,FALSE)-VLOOKUP($A207,main!$A$3:$H$102,6,FALSE)&gt;=main!$D$103+VLOOKUP(VLOOKUP(CQ$1,main!$A$3:$I$102,7,FALSE),main!$K$26:$Q$29,5,FALSE)),1,0)</f>
        <v>0</v>
      </c>
      <c r="CR207">
        <f>IF(AND(VLOOKUP(CR$1,main!$A$3:$H$102,7,FALSE)=main!$G$105,VLOOKUP(CR$1,main!$A$3:$H$102,5,FALSE)-VLOOKUP($A207,main!$A$3:$H$102,6,FALSE)&gt;=main!$D$103+VLOOKUP(VLOOKUP(CR$1,main!$A$3:$I$102,7,FALSE),main!$K$26:$Q$29,5,FALSE)),1,0)</f>
        <v>0</v>
      </c>
      <c r="CS207">
        <f>IF(AND(VLOOKUP(CS$1,main!$A$3:$H$102,7,FALSE)=main!$G$105,VLOOKUP(CS$1,main!$A$3:$H$102,5,FALSE)-VLOOKUP($A207,main!$A$3:$H$102,6,FALSE)&gt;=main!$D$103+VLOOKUP(VLOOKUP(CS$1,main!$A$3:$I$102,7,FALSE),main!$K$26:$Q$29,5,FALSE)),1,0)</f>
        <v>0</v>
      </c>
      <c r="CT207">
        <f>IF(AND(VLOOKUP(CT$1,main!$A$3:$H$102,7,FALSE)=main!$G$105,VLOOKUP(CT$1,main!$A$3:$H$102,5,FALSE)-VLOOKUP($A207,main!$A$3:$H$102,6,FALSE)&gt;=main!$D$103+VLOOKUP(VLOOKUP(CT$1,main!$A$3:$I$102,7,FALSE),main!$K$26:$Q$29,5,FALSE)),1,0)</f>
        <v>0</v>
      </c>
      <c r="CU207">
        <f>IF(AND(VLOOKUP(CU$1,main!$A$3:$H$102,7,FALSE)=main!$G$105,VLOOKUP(CU$1,main!$A$3:$H$102,5,FALSE)-VLOOKUP($A207,main!$A$3:$H$102,6,FALSE)&gt;=main!$D$103+VLOOKUP(VLOOKUP(CU$1,main!$A$3:$I$102,7,FALSE),main!$K$26:$Q$29,5,FALSE)),1,0)</f>
        <v>0</v>
      </c>
      <c r="CV207">
        <f>IF(AND(VLOOKUP(CV$1,main!$A$3:$H$102,7,FALSE)=main!$G$105,VLOOKUP(CV$1,main!$A$3:$H$102,5,FALSE)-VLOOKUP($A207,main!$A$3:$H$102,6,FALSE)&gt;=main!$D$103+VLOOKUP(VLOOKUP(CV$1,main!$A$3:$I$102,7,FALSE),main!$K$26:$Q$29,5,FALSE)),1,0)</f>
        <v>0</v>
      </c>
      <c r="CW207">
        <f>IF(AND(VLOOKUP(CW$1,main!$A$3:$H$102,7,FALSE)=main!$G$105,VLOOKUP(CW$1,main!$A$3:$H$102,5,FALSE)-VLOOKUP($A207,main!$A$3:$H$102,6,FALSE)&gt;=main!$D$103+VLOOKUP(VLOOKUP(CW$1,main!$A$3:$I$102,7,FALSE),main!$K$26:$Q$29,5,FALSE)),1,0)</f>
        <v>0</v>
      </c>
      <c r="CX207">
        <f>IF(AND(VLOOKUP(CX$1,main!$A$3:$H$102,7,FALSE)=main!$G$105,VLOOKUP(CX$1,main!$A$3:$H$102,5,FALSE)-VLOOKUP($A207,main!$A$3:$H$102,6,FALSE)&gt;=main!$D$103+VLOOKUP(VLOOKUP(CX$1,main!$A$3:$I$102,7,FALSE),main!$K$26:$Q$29,5,FALSE)),1,0)</f>
        <v>0</v>
      </c>
    </row>
    <row r="208" spans="1:102" x14ac:dyDescent="0.25">
      <c r="A208" s="1">
        <v>4</v>
      </c>
      <c r="B208">
        <v>0</v>
      </c>
      <c r="C208">
        <f>IF(AND(VLOOKUP(C$1,main!$A$3:$H$102,7,FALSE)=main!$G$105,VLOOKUP(C$1,main!$A$3:$H$102,5,FALSE)-VLOOKUP($A208,main!$A$3:$H$102,6,FALSE)&gt;=main!$D$103+VLOOKUP(VLOOKUP(C$1,main!$A$3:$I$102,7,FALSE),main!$K$26:$Q$29,5,FALSE)),1,0)</f>
        <v>0</v>
      </c>
      <c r="D208">
        <f>IF(AND(VLOOKUP(D$1,main!$A$3:$H$102,7,FALSE)=main!$G$105,VLOOKUP(D$1,main!$A$3:$H$102,5,FALSE)-VLOOKUP($A208,main!$A$3:$H$102,6,FALSE)&gt;=main!$D$103+VLOOKUP(VLOOKUP(D$1,main!$A$3:$I$102,7,FALSE),main!$K$26:$Q$29,5,FALSE)),1,0)</f>
        <v>0</v>
      </c>
      <c r="E208">
        <f>IF(AND(VLOOKUP(E$1,main!$A$3:$H$102,7,FALSE)=main!$G$105,VLOOKUP(E$1,main!$A$3:$H$102,5,FALSE)-VLOOKUP($A208,main!$A$3:$H$102,6,FALSE)&gt;=main!$D$103+VLOOKUP(VLOOKUP(E$1,main!$A$3:$I$102,7,FALSE),main!$K$26:$Q$29,5,FALSE)),1,0)</f>
        <v>0</v>
      </c>
      <c r="F208">
        <f>IF(AND(VLOOKUP(F$1,main!$A$3:$H$102,7,FALSE)=main!$G$105,VLOOKUP(F$1,main!$A$3:$H$102,5,FALSE)-VLOOKUP($A208,main!$A$3:$H$102,6,FALSE)&gt;=main!$D$103+VLOOKUP(VLOOKUP(F$1,main!$A$3:$I$102,7,FALSE),main!$K$26:$Q$29,5,FALSE)),1,0)</f>
        <v>0</v>
      </c>
      <c r="G208">
        <f>IF(AND(VLOOKUP(G$1,main!$A$3:$H$102,7,FALSE)=main!$G$105,VLOOKUP(G$1,main!$A$3:$H$102,5,FALSE)-VLOOKUP($A208,main!$A$3:$H$102,6,FALSE)&gt;=main!$D$103+VLOOKUP(VLOOKUP(G$1,main!$A$3:$I$102,7,FALSE),main!$K$26:$Q$29,5,FALSE)),1,0)</f>
        <v>0</v>
      </c>
      <c r="H208">
        <f>IF(AND(VLOOKUP(H$1,main!$A$3:$H$102,7,FALSE)=main!$G$105,VLOOKUP(H$1,main!$A$3:$H$102,5,FALSE)-VLOOKUP($A208,main!$A$3:$H$102,6,FALSE)&gt;=main!$D$103+VLOOKUP(VLOOKUP(H$1,main!$A$3:$I$102,7,FALSE),main!$K$26:$Q$29,5,FALSE)),1,0)</f>
        <v>0</v>
      </c>
      <c r="I208">
        <f>IF(AND(VLOOKUP(I$1,main!$A$3:$H$102,7,FALSE)=main!$G$105,VLOOKUP(I$1,main!$A$3:$H$102,5,FALSE)-VLOOKUP($A208,main!$A$3:$H$102,6,FALSE)&gt;=main!$D$103+VLOOKUP(VLOOKUP(I$1,main!$A$3:$I$102,7,FALSE),main!$K$26:$Q$29,5,FALSE)),1,0)</f>
        <v>0</v>
      </c>
      <c r="J208">
        <f>IF(AND(VLOOKUP(J$1,main!$A$3:$H$102,7,FALSE)=main!$G$105,VLOOKUP(J$1,main!$A$3:$H$102,5,FALSE)-VLOOKUP($A208,main!$A$3:$H$102,6,FALSE)&gt;=main!$D$103+VLOOKUP(VLOOKUP(J$1,main!$A$3:$I$102,7,FALSE),main!$K$26:$Q$29,5,FALSE)),1,0)</f>
        <v>0</v>
      </c>
      <c r="K208">
        <f>IF(AND(VLOOKUP(K$1,main!$A$3:$H$102,7,FALSE)=main!$G$105,VLOOKUP(K$1,main!$A$3:$H$102,5,FALSE)-VLOOKUP($A208,main!$A$3:$H$102,6,FALSE)&gt;=main!$D$103+VLOOKUP(VLOOKUP(K$1,main!$A$3:$I$102,7,FALSE),main!$K$26:$Q$29,5,FALSE)),1,0)</f>
        <v>0</v>
      </c>
      <c r="L208">
        <f>IF(AND(VLOOKUP(L$1,main!$A$3:$H$102,7,FALSE)=main!$G$105,VLOOKUP(L$1,main!$A$3:$H$102,5,FALSE)-VLOOKUP($A208,main!$A$3:$H$102,6,FALSE)&gt;=main!$D$103+VLOOKUP(VLOOKUP(L$1,main!$A$3:$I$102,7,FALSE),main!$K$26:$Q$29,5,FALSE)),1,0)</f>
        <v>0</v>
      </c>
      <c r="M208">
        <f>IF(AND(VLOOKUP(M$1,main!$A$3:$H$102,7,FALSE)=main!$G$105,VLOOKUP(M$1,main!$A$3:$H$102,5,FALSE)-VLOOKUP($A208,main!$A$3:$H$102,6,FALSE)&gt;=main!$D$103+VLOOKUP(VLOOKUP(M$1,main!$A$3:$I$102,7,FALSE),main!$K$26:$Q$29,5,FALSE)),1,0)</f>
        <v>0</v>
      </c>
      <c r="N208">
        <f>IF(AND(VLOOKUP(N$1,main!$A$3:$H$102,7,FALSE)=main!$G$105,VLOOKUP(N$1,main!$A$3:$H$102,5,FALSE)-VLOOKUP($A208,main!$A$3:$H$102,6,FALSE)&gt;=main!$D$103+VLOOKUP(VLOOKUP(N$1,main!$A$3:$I$102,7,FALSE),main!$K$26:$Q$29,5,FALSE)),1,0)</f>
        <v>0</v>
      </c>
      <c r="O208">
        <f>IF(AND(VLOOKUP(O$1,main!$A$3:$H$102,7,FALSE)=main!$G$105,VLOOKUP(O$1,main!$A$3:$H$102,5,FALSE)-VLOOKUP($A208,main!$A$3:$H$102,6,FALSE)&gt;=main!$D$103+VLOOKUP(VLOOKUP(O$1,main!$A$3:$I$102,7,FALSE),main!$K$26:$Q$29,5,FALSE)),1,0)</f>
        <v>0</v>
      </c>
      <c r="P208">
        <f>IF(AND(VLOOKUP(P$1,main!$A$3:$H$102,7,FALSE)=main!$G$105,VLOOKUP(P$1,main!$A$3:$H$102,5,FALSE)-VLOOKUP($A208,main!$A$3:$H$102,6,FALSE)&gt;=main!$D$103+VLOOKUP(VLOOKUP(P$1,main!$A$3:$I$102,7,FALSE),main!$K$26:$Q$29,5,FALSE)),1,0)</f>
        <v>0</v>
      </c>
      <c r="Q208">
        <f>IF(AND(VLOOKUP(Q$1,main!$A$3:$H$102,7,FALSE)=main!$G$105,VLOOKUP(Q$1,main!$A$3:$H$102,5,FALSE)-VLOOKUP($A208,main!$A$3:$H$102,6,FALSE)&gt;=main!$D$103+VLOOKUP(VLOOKUP(Q$1,main!$A$3:$I$102,7,FALSE),main!$K$26:$Q$29,5,FALSE)),1,0)</f>
        <v>0</v>
      </c>
      <c r="R208">
        <f>IF(AND(VLOOKUP(R$1,main!$A$3:$H$102,7,FALSE)=main!$G$105,VLOOKUP(R$1,main!$A$3:$H$102,5,FALSE)-VLOOKUP($A208,main!$A$3:$H$102,6,FALSE)&gt;=main!$D$103+VLOOKUP(VLOOKUP(R$1,main!$A$3:$I$102,7,FALSE),main!$K$26:$Q$29,5,FALSE)),1,0)</f>
        <v>0</v>
      </c>
      <c r="S208">
        <f>IF(AND(VLOOKUP(S$1,main!$A$3:$H$102,7,FALSE)=main!$G$105,VLOOKUP(S$1,main!$A$3:$H$102,5,FALSE)-VLOOKUP($A208,main!$A$3:$H$102,6,FALSE)&gt;=main!$D$103+VLOOKUP(VLOOKUP(S$1,main!$A$3:$I$102,7,FALSE),main!$K$26:$Q$29,5,FALSE)),1,0)</f>
        <v>0</v>
      </c>
      <c r="T208">
        <f>IF(AND(VLOOKUP(T$1,main!$A$3:$H$102,7,FALSE)=main!$G$105,VLOOKUP(T$1,main!$A$3:$H$102,5,FALSE)-VLOOKUP($A208,main!$A$3:$H$102,6,FALSE)&gt;=main!$D$103+VLOOKUP(VLOOKUP(T$1,main!$A$3:$I$102,7,FALSE),main!$K$26:$Q$29,5,FALSE)),1,0)</f>
        <v>0</v>
      </c>
      <c r="U208">
        <f>IF(AND(VLOOKUP(U$1,main!$A$3:$H$102,7,FALSE)=main!$G$105,VLOOKUP(U$1,main!$A$3:$H$102,5,FALSE)-VLOOKUP($A208,main!$A$3:$H$102,6,FALSE)&gt;=main!$D$103+VLOOKUP(VLOOKUP(U$1,main!$A$3:$I$102,7,FALSE),main!$K$26:$Q$29,5,FALSE)),1,0)</f>
        <v>0</v>
      </c>
      <c r="V208">
        <f>IF(AND(VLOOKUP(V$1,main!$A$3:$H$102,7,FALSE)=main!$G$105,VLOOKUP(V$1,main!$A$3:$H$102,5,FALSE)-VLOOKUP($A208,main!$A$3:$H$102,6,FALSE)&gt;=main!$D$103+VLOOKUP(VLOOKUP(V$1,main!$A$3:$I$102,7,FALSE),main!$K$26:$Q$29,5,FALSE)),1,0)</f>
        <v>0</v>
      </c>
      <c r="W208">
        <f>IF(AND(VLOOKUP(W$1,main!$A$3:$H$102,7,FALSE)=main!$G$105,VLOOKUP(W$1,main!$A$3:$H$102,5,FALSE)-VLOOKUP($A208,main!$A$3:$H$102,6,FALSE)&gt;=main!$D$103+VLOOKUP(VLOOKUP(W$1,main!$A$3:$I$102,7,FALSE),main!$K$26:$Q$29,5,FALSE)),1,0)</f>
        <v>0</v>
      </c>
      <c r="X208">
        <f>IF(AND(VLOOKUP(X$1,main!$A$3:$H$102,7,FALSE)=main!$G$105,VLOOKUP(X$1,main!$A$3:$H$102,5,FALSE)-VLOOKUP($A208,main!$A$3:$H$102,6,FALSE)&gt;=main!$D$103+VLOOKUP(VLOOKUP(X$1,main!$A$3:$I$102,7,FALSE),main!$K$26:$Q$29,5,FALSE)),1,0)</f>
        <v>0</v>
      </c>
      <c r="Y208">
        <f>IF(AND(VLOOKUP(Y$1,main!$A$3:$H$102,7,FALSE)=main!$G$105,VLOOKUP(Y$1,main!$A$3:$H$102,5,FALSE)-VLOOKUP($A208,main!$A$3:$H$102,6,FALSE)&gt;=main!$D$103+VLOOKUP(VLOOKUP(Y$1,main!$A$3:$I$102,7,FALSE),main!$K$26:$Q$29,5,FALSE)),1,0)</f>
        <v>0</v>
      </c>
      <c r="Z208">
        <f>IF(AND(VLOOKUP(Z$1,main!$A$3:$H$102,7,FALSE)=main!$G$105,VLOOKUP(Z$1,main!$A$3:$H$102,5,FALSE)-VLOOKUP($A208,main!$A$3:$H$102,6,FALSE)&gt;=main!$D$103+VLOOKUP(VLOOKUP(Z$1,main!$A$3:$I$102,7,FALSE),main!$K$26:$Q$29,5,FALSE)),1,0)</f>
        <v>0</v>
      </c>
      <c r="AA208">
        <f>IF(AND(VLOOKUP(AA$1,main!$A$3:$H$102,7,FALSE)=main!$G$105,VLOOKUP(AA$1,main!$A$3:$H$102,5,FALSE)-VLOOKUP($A208,main!$A$3:$H$102,6,FALSE)&gt;=main!$D$103+VLOOKUP(VLOOKUP(AA$1,main!$A$3:$I$102,7,FALSE),main!$K$26:$Q$29,5,FALSE)),1,0)</f>
        <v>0</v>
      </c>
      <c r="AB208">
        <f>IF(AND(VLOOKUP(AB$1,main!$A$3:$H$102,7,FALSE)=main!$G$105,VLOOKUP(AB$1,main!$A$3:$H$102,5,FALSE)-VLOOKUP($A208,main!$A$3:$H$102,6,FALSE)&gt;=main!$D$103+VLOOKUP(VLOOKUP(AB$1,main!$A$3:$I$102,7,FALSE),main!$K$26:$Q$29,5,FALSE)),1,0)</f>
        <v>0</v>
      </c>
      <c r="AC208">
        <f>IF(AND(VLOOKUP(AC$1,main!$A$3:$H$102,7,FALSE)=main!$G$105,VLOOKUP(AC$1,main!$A$3:$H$102,5,FALSE)-VLOOKUP($A208,main!$A$3:$H$102,6,FALSE)&gt;=main!$D$103+VLOOKUP(VLOOKUP(AC$1,main!$A$3:$I$102,7,FALSE),main!$K$26:$Q$29,5,FALSE)),1,0)</f>
        <v>0</v>
      </c>
      <c r="AD208">
        <f>IF(AND(VLOOKUP(AD$1,main!$A$3:$H$102,7,FALSE)=main!$G$105,VLOOKUP(AD$1,main!$A$3:$H$102,5,FALSE)-VLOOKUP($A208,main!$A$3:$H$102,6,FALSE)&gt;=main!$D$103+VLOOKUP(VLOOKUP(AD$1,main!$A$3:$I$102,7,FALSE),main!$K$26:$Q$29,5,FALSE)),1,0)</f>
        <v>0</v>
      </c>
      <c r="AE208">
        <f>IF(AND(VLOOKUP(AE$1,main!$A$3:$H$102,7,FALSE)=main!$G$105,VLOOKUP(AE$1,main!$A$3:$H$102,5,FALSE)-VLOOKUP($A208,main!$A$3:$H$102,6,FALSE)&gt;=main!$D$103+VLOOKUP(VLOOKUP(AE$1,main!$A$3:$I$102,7,FALSE),main!$K$26:$Q$29,5,FALSE)),1,0)</f>
        <v>0</v>
      </c>
      <c r="AF208">
        <f>IF(AND(VLOOKUP(AF$1,main!$A$3:$H$102,7,FALSE)=main!$G$105,VLOOKUP(AF$1,main!$A$3:$H$102,5,FALSE)-VLOOKUP($A208,main!$A$3:$H$102,6,FALSE)&gt;=main!$D$103+VLOOKUP(VLOOKUP(AF$1,main!$A$3:$I$102,7,FALSE),main!$K$26:$Q$29,5,FALSE)),1,0)</f>
        <v>0</v>
      </c>
      <c r="AG208">
        <f>IF(AND(VLOOKUP(AG$1,main!$A$3:$H$102,7,FALSE)=main!$G$105,VLOOKUP(AG$1,main!$A$3:$H$102,5,FALSE)-VLOOKUP($A208,main!$A$3:$H$102,6,FALSE)&gt;=main!$D$103+VLOOKUP(VLOOKUP(AG$1,main!$A$3:$I$102,7,FALSE),main!$K$26:$Q$29,5,FALSE)),1,0)</f>
        <v>0</v>
      </c>
      <c r="AH208">
        <f>IF(AND(VLOOKUP(AH$1,main!$A$3:$H$102,7,FALSE)=main!$G$105,VLOOKUP(AH$1,main!$A$3:$H$102,5,FALSE)-VLOOKUP($A208,main!$A$3:$H$102,6,FALSE)&gt;=main!$D$103+VLOOKUP(VLOOKUP(AH$1,main!$A$3:$I$102,7,FALSE),main!$K$26:$Q$29,5,FALSE)),1,0)</f>
        <v>0</v>
      </c>
      <c r="AI208">
        <f>IF(AND(VLOOKUP(AI$1,main!$A$3:$H$102,7,FALSE)=main!$G$105,VLOOKUP(AI$1,main!$A$3:$H$102,5,FALSE)-VLOOKUP($A208,main!$A$3:$H$102,6,FALSE)&gt;=main!$D$103+VLOOKUP(VLOOKUP(AI$1,main!$A$3:$I$102,7,FALSE),main!$K$26:$Q$29,5,FALSE)),1,0)</f>
        <v>0</v>
      </c>
      <c r="AJ208">
        <f>IF(AND(VLOOKUP(AJ$1,main!$A$3:$H$102,7,FALSE)=main!$G$105,VLOOKUP(AJ$1,main!$A$3:$H$102,5,FALSE)-VLOOKUP($A208,main!$A$3:$H$102,6,FALSE)&gt;=main!$D$103+VLOOKUP(VLOOKUP(AJ$1,main!$A$3:$I$102,7,FALSE),main!$K$26:$Q$29,5,FALSE)),1,0)</f>
        <v>0</v>
      </c>
      <c r="AK208">
        <f>IF(AND(VLOOKUP(AK$1,main!$A$3:$H$102,7,FALSE)=main!$G$105,VLOOKUP(AK$1,main!$A$3:$H$102,5,FALSE)-VLOOKUP($A208,main!$A$3:$H$102,6,FALSE)&gt;=main!$D$103+VLOOKUP(VLOOKUP(AK$1,main!$A$3:$I$102,7,FALSE),main!$K$26:$Q$29,5,FALSE)),1,0)</f>
        <v>0</v>
      </c>
      <c r="AL208">
        <f>IF(AND(VLOOKUP(AL$1,main!$A$3:$H$102,7,FALSE)=main!$G$105,VLOOKUP(AL$1,main!$A$3:$H$102,5,FALSE)-VLOOKUP($A208,main!$A$3:$H$102,6,FALSE)&gt;=main!$D$103+VLOOKUP(VLOOKUP(AL$1,main!$A$3:$I$102,7,FALSE),main!$K$26:$Q$29,5,FALSE)),1,0)</f>
        <v>1</v>
      </c>
      <c r="AM208">
        <f>IF(AND(VLOOKUP(AM$1,main!$A$3:$H$102,7,FALSE)=main!$G$105,VLOOKUP(AM$1,main!$A$3:$H$102,5,FALSE)-VLOOKUP($A208,main!$A$3:$H$102,6,FALSE)&gt;=main!$D$103+VLOOKUP(VLOOKUP(AM$1,main!$A$3:$I$102,7,FALSE),main!$K$26:$Q$29,5,FALSE)),1,0)</f>
        <v>1</v>
      </c>
      <c r="AN208">
        <f>IF(AND(VLOOKUP(AN$1,main!$A$3:$H$102,7,FALSE)=main!$G$105,VLOOKUP(AN$1,main!$A$3:$H$102,5,FALSE)-VLOOKUP($A208,main!$A$3:$H$102,6,FALSE)&gt;=main!$D$103+VLOOKUP(VLOOKUP(AN$1,main!$A$3:$I$102,7,FALSE),main!$K$26:$Q$29,5,FALSE)),1,0)</f>
        <v>1</v>
      </c>
      <c r="AO208">
        <f>IF(AND(VLOOKUP(AO$1,main!$A$3:$H$102,7,FALSE)=main!$G$105,VLOOKUP(AO$1,main!$A$3:$H$102,5,FALSE)-VLOOKUP($A208,main!$A$3:$H$102,6,FALSE)&gt;=main!$D$103+VLOOKUP(VLOOKUP(AO$1,main!$A$3:$I$102,7,FALSE),main!$K$26:$Q$29,5,FALSE)),1,0)</f>
        <v>0</v>
      </c>
      <c r="AP208">
        <f>IF(AND(VLOOKUP(AP$1,main!$A$3:$H$102,7,FALSE)=main!$G$105,VLOOKUP(AP$1,main!$A$3:$H$102,5,FALSE)-VLOOKUP($A208,main!$A$3:$H$102,6,FALSE)&gt;=main!$D$103+VLOOKUP(VLOOKUP(AP$1,main!$A$3:$I$102,7,FALSE),main!$K$26:$Q$29,5,FALSE)),1,0)</f>
        <v>1</v>
      </c>
      <c r="AQ208">
        <f>IF(AND(VLOOKUP(AQ$1,main!$A$3:$H$102,7,FALSE)=main!$G$105,VLOOKUP(AQ$1,main!$A$3:$H$102,5,FALSE)-VLOOKUP($A208,main!$A$3:$H$102,6,FALSE)&gt;=main!$D$103+VLOOKUP(VLOOKUP(AQ$1,main!$A$3:$I$102,7,FALSE),main!$K$26:$Q$29,5,FALSE)),1,0)</f>
        <v>0</v>
      </c>
      <c r="AR208">
        <f>IF(AND(VLOOKUP(AR$1,main!$A$3:$H$102,7,FALSE)=main!$G$105,VLOOKUP(AR$1,main!$A$3:$H$102,5,FALSE)-VLOOKUP($A208,main!$A$3:$H$102,6,FALSE)&gt;=main!$D$103+VLOOKUP(VLOOKUP(AR$1,main!$A$3:$I$102,7,FALSE),main!$K$26:$Q$29,5,FALSE)),1,0)</f>
        <v>0</v>
      </c>
      <c r="AS208">
        <f>IF(AND(VLOOKUP(AS$1,main!$A$3:$H$102,7,FALSE)=main!$G$105,VLOOKUP(AS$1,main!$A$3:$H$102,5,FALSE)-VLOOKUP($A208,main!$A$3:$H$102,6,FALSE)&gt;=main!$D$103+VLOOKUP(VLOOKUP(AS$1,main!$A$3:$I$102,7,FALSE),main!$K$26:$Q$29,5,FALSE)),1,0)</f>
        <v>0</v>
      </c>
      <c r="AT208">
        <f>IF(AND(VLOOKUP(AT$1,main!$A$3:$H$102,7,FALSE)=main!$G$105,VLOOKUP(AT$1,main!$A$3:$H$102,5,FALSE)-VLOOKUP($A208,main!$A$3:$H$102,6,FALSE)&gt;=main!$D$103+VLOOKUP(VLOOKUP(AT$1,main!$A$3:$I$102,7,FALSE),main!$K$26:$Q$29,5,FALSE)),1,0)</f>
        <v>1</v>
      </c>
      <c r="AU208">
        <f>IF(AND(VLOOKUP(AU$1,main!$A$3:$H$102,7,FALSE)=main!$G$105,VLOOKUP(AU$1,main!$A$3:$H$102,5,FALSE)-VLOOKUP($A208,main!$A$3:$H$102,6,FALSE)&gt;=main!$D$103+VLOOKUP(VLOOKUP(AU$1,main!$A$3:$I$102,7,FALSE),main!$K$26:$Q$29,5,FALSE)),1,0)</f>
        <v>0</v>
      </c>
      <c r="AV208">
        <f>IF(AND(VLOOKUP(AV$1,main!$A$3:$H$102,7,FALSE)=main!$G$105,VLOOKUP(AV$1,main!$A$3:$H$102,5,FALSE)-VLOOKUP($A208,main!$A$3:$H$102,6,FALSE)&gt;=main!$D$103+VLOOKUP(VLOOKUP(AV$1,main!$A$3:$I$102,7,FALSE),main!$K$26:$Q$29,5,FALSE)),1,0)</f>
        <v>0</v>
      </c>
      <c r="AW208">
        <f>IF(AND(VLOOKUP(AW$1,main!$A$3:$H$102,7,FALSE)=main!$G$105,VLOOKUP(AW$1,main!$A$3:$H$102,5,FALSE)-VLOOKUP($A208,main!$A$3:$H$102,6,FALSE)&gt;=main!$D$103+VLOOKUP(VLOOKUP(AW$1,main!$A$3:$I$102,7,FALSE),main!$K$26:$Q$29,5,FALSE)),1,0)</f>
        <v>0</v>
      </c>
      <c r="AX208">
        <f>IF(AND(VLOOKUP(AX$1,main!$A$3:$H$102,7,FALSE)=main!$G$105,VLOOKUP(AX$1,main!$A$3:$H$102,5,FALSE)-VLOOKUP($A208,main!$A$3:$H$102,6,FALSE)&gt;=main!$D$103+VLOOKUP(VLOOKUP(AX$1,main!$A$3:$I$102,7,FALSE),main!$K$26:$Q$29,5,FALSE)),1,0)</f>
        <v>0</v>
      </c>
      <c r="AY208">
        <f>IF(AND(VLOOKUP(AY$1,main!$A$3:$H$102,7,FALSE)=main!$G$105,VLOOKUP(AY$1,main!$A$3:$H$102,5,FALSE)-VLOOKUP($A208,main!$A$3:$H$102,6,FALSE)&gt;=main!$D$103+VLOOKUP(VLOOKUP(AY$1,main!$A$3:$I$102,7,FALSE),main!$K$26:$Q$29,5,FALSE)),1,0)</f>
        <v>0</v>
      </c>
      <c r="AZ208">
        <f>IF(AND(VLOOKUP(AZ$1,main!$A$3:$H$102,7,FALSE)=main!$G$105,VLOOKUP(AZ$1,main!$A$3:$H$102,5,FALSE)-VLOOKUP($A208,main!$A$3:$H$102,6,FALSE)&gt;=main!$D$103+VLOOKUP(VLOOKUP(AZ$1,main!$A$3:$I$102,7,FALSE),main!$K$26:$Q$29,5,FALSE)),1,0)</f>
        <v>0</v>
      </c>
      <c r="BA208">
        <f>IF(AND(VLOOKUP(BA$1,main!$A$3:$H$102,7,FALSE)=main!$G$105,VLOOKUP(BA$1,main!$A$3:$H$102,5,FALSE)-VLOOKUP($A208,main!$A$3:$H$102,6,FALSE)&gt;=main!$D$103+VLOOKUP(VLOOKUP(BA$1,main!$A$3:$I$102,7,FALSE),main!$K$26:$Q$29,5,FALSE)),1,0)</f>
        <v>0</v>
      </c>
      <c r="BB208">
        <f>IF(AND(VLOOKUP(BB$1,main!$A$3:$H$102,7,FALSE)=main!$G$105,VLOOKUP(BB$1,main!$A$3:$H$102,5,FALSE)-VLOOKUP($A208,main!$A$3:$H$102,6,FALSE)&gt;=main!$D$103+VLOOKUP(VLOOKUP(BB$1,main!$A$3:$I$102,7,FALSE),main!$K$26:$Q$29,5,FALSE)),1,0)</f>
        <v>0</v>
      </c>
      <c r="BC208">
        <f>IF(AND(VLOOKUP(BC$1,main!$A$3:$H$102,7,FALSE)=main!$G$105,VLOOKUP(BC$1,main!$A$3:$H$102,5,FALSE)-VLOOKUP($A208,main!$A$3:$H$102,6,FALSE)&gt;=main!$D$103+VLOOKUP(VLOOKUP(BC$1,main!$A$3:$I$102,7,FALSE),main!$K$26:$Q$29,5,FALSE)),1,0)</f>
        <v>0</v>
      </c>
      <c r="BD208">
        <f>IF(AND(VLOOKUP(BD$1,main!$A$3:$H$102,7,FALSE)=main!$G$105,VLOOKUP(BD$1,main!$A$3:$H$102,5,FALSE)-VLOOKUP($A208,main!$A$3:$H$102,6,FALSE)&gt;=main!$D$103+VLOOKUP(VLOOKUP(BD$1,main!$A$3:$I$102,7,FALSE),main!$K$26:$Q$29,5,FALSE)),1,0)</f>
        <v>0</v>
      </c>
      <c r="BE208">
        <f>IF(AND(VLOOKUP(BE$1,main!$A$3:$H$102,7,FALSE)=main!$G$105,VLOOKUP(BE$1,main!$A$3:$H$102,5,FALSE)-VLOOKUP($A208,main!$A$3:$H$102,6,FALSE)&gt;=main!$D$103+VLOOKUP(VLOOKUP(BE$1,main!$A$3:$I$102,7,FALSE),main!$K$26:$Q$29,5,FALSE)),1,0)</f>
        <v>0</v>
      </c>
      <c r="BF208">
        <f>IF(AND(VLOOKUP(BF$1,main!$A$3:$H$102,7,FALSE)=main!$G$105,VLOOKUP(BF$1,main!$A$3:$H$102,5,FALSE)-VLOOKUP($A208,main!$A$3:$H$102,6,FALSE)&gt;=main!$D$103+VLOOKUP(VLOOKUP(BF$1,main!$A$3:$I$102,7,FALSE),main!$K$26:$Q$29,5,FALSE)),1,0)</f>
        <v>0</v>
      </c>
      <c r="BG208">
        <f>IF(AND(VLOOKUP(BG$1,main!$A$3:$H$102,7,FALSE)=main!$G$105,VLOOKUP(BG$1,main!$A$3:$H$102,5,FALSE)-VLOOKUP($A208,main!$A$3:$H$102,6,FALSE)&gt;=main!$D$103+VLOOKUP(VLOOKUP(BG$1,main!$A$3:$I$102,7,FALSE),main!$K$26:$Q$29,5,FALSE)),1,0)</f>
        <v>0</v>
      </c>
      <c r="BH208">
        <f>IF(AND(VLOOKUP(BH$1,main!$A$3:$H$102,7,FALSE)=main!$G$105,VLOOKUP(BH$1,main!$A$3:$H$102,5,FALSE)-VLOOKUP($A208,main!$A$3:$H$102,6,FALSE)&gt;=main!$D$103+VLOOKUP(VLOOKUP(BH$1,main!$A$3:$I$102,7,FALSE),main!$K$26:$Q$29,5,FALSE)),1,0)</f>
        <v>0</v>
      </c>
      <c r="BI208">
        <f>IF(AND(VLOOKUP(BI$1,main!$A$3:$H$102,7,FALSE)=main!$G$105,VLOOKUP(BI$1,main!$A$3:$H$102,5,FALSE)-VLOOKUP($A208,main!$A$3:$H$102,6,FALSE)&gt;=main!$D$103+VLOOKUP(VLOOKUP(BI$1,main!$A$3:$I$102,7,FALSE),main!$K$26:$Q$29,5,FALSE)),1,0)</f>
        <v>0</v>
      </c>
      <c r="BJ208">
        <f>IF(AND(VLOOKUP(BJ$1,main!$A$3:$H$102,7,FALSE)=main!$G$105,VLOOKUP(BJ$1,main!$A$3:$H$102,5,FALSE)-VLOOKUP($A208,main!$A$3:$H$102,6,FALSE)&gt;=main!$D$103+VLOOKUP(VLOOKUP(BJ$1,main!$A$3:$I$102,7,FALSE),main!$K$26:$Q$29,5,FALSE)),1,0)</f>
        <v>0</v>
      </c>
      <c r="BK208">
        <f>IF(AND(VLOOKUP(BK$1,main!$A$3:$H$102,7,FALSE)=main!$G$105,VLOOKUP(BK$1,main!$A$3:$H$102,5,FALSE)-VLOOKUP($A208,main!$A$3:$H$102,6,FALSE)&gt;=main!$D$103+VLOOKUP(VLOOKUP(BK$1,main!$A$3:$I$102,7,FALSE),main!$K$26:$Q$29,5,FALSE)),1,0)</f>
        <v>0</v>
      </c>
      <c r="BL208">
        <f>IF(AND(VLOOKUP(BL$1,main!$A$3:$H$102,7,FALSE)=main!$G$105,VLOOKUP(BL$1,main!$A$3:$H$102,5,FALSE)-VLOOKUP($A208,main!$A$3:$H$102,6,FALSE)&gt;=main!$D$103+VLOOKUP(VLOOKUP(BL$1,main!$A$3:$I$102,7,FALSE),main!$K$26:$Q$29,5,FALSE)),1,0)</f>
        <v>0</v>
      </c>
      <c r="BM208">
        <f>IF(AND(VLOOKUP(BM$1,main!$A$3:$H$102,7,FALSE)=main!$G$105,VLOOKUP(BM$1,main!$A$3:$H$102,5,FALSE)-VLOOKUP($A208,main!$A$3:$H$102,6,FALSE)&gt;=main!$D$103+VLOOKUP(VLOOKUP(BM$1,main!$A$3:$I$102,7,FALSE),main!$K$26:$Q$29,5,FALSE)),1,0)</f>
        <v>0</v>
      </c>
      <c r="BN208">
        <f>IF(AND(VLOOKUP(BN$1,main!$A$3:$H$102,7,FALSE)=main!$G$105,VLOOKUP(BN$1,main!$A$3:$H$102,5,FALSE)-VLOOKUP($A208,main!$A$3:$H$102,6,FALSE)&gt;=main!$D$103+VLOOKUP(VLOOKUP(BN$1,main!$A$3:$I$102,7,FALSE),main!$K$26:$Q$29,5,FALSE)),1,0)</f>
        <v>0</v>
      </c>
      <c r="BO208">
        <f>IF(AND(VLOOKUP(BO$1,main!$A$3:$H$102,7,FALSE)=main!$G$105,VLOOKUP(BO$1,main!$A$3:$H$102,5,FALSE)-VLOOKUP($A208,main!$A$3:$H$102,6,FALSE)&gt;=main!$D$103+VLOOKUP(VLOOKUP(BO$1,main!$A$3:$I$102,7,FALSE),main!$K$26:$Q$29,5,FALSE)),1,0)</f>
        <v>0</v>
      </c>
      <c r="BP208">
        <f>IF(AND(VLOOKUP(BP$1,main!$A$3:$H$102,7,FALSE)=main!$G$105,VLOOKUP(BP$1,main!$A$3:$H$102,5,FALSE)-VLOOKUP($A208,main!$A$3:$H$102,6,FALSE)&gt;=main!$D$103+VLOOKUP(VLOOKUP(BP$1,main!$A$3:$I$102,7,FALSE),main!$K$26:$Q$29,5,FALSE)),1,0)</f>
        <v>0</v>
      </c>
      <c r="BQ208">
        <f>IF(AND(VLOOKUP(BQ$1,main!$A$3:$H$102,7,FALSE)=main!$G$105,VLOOKUP(BQ$1,main!$A$3:$H$102,5,FALSE)-VLOOKUP($A208,main!$A$3:$H$102,6,FALSE)&gt;=main!$D$103+VLOOKUP(VLOOKUP(BQ$1,main!$A$3:$I$102,7,FALSE),main!$K$26:$Q$29,5,FALSE)),1,0)</f>
        <v>0</v>
      </c>
      <c r="BR208">
        <f>IF(AND(VLOOKUP(BR$1,main!$A$3:$H$102,7,FALSE)=main!$G$105,VLOOKUP(BR$1,main!$A$3:$H$102,5,FALSE)-VLOOKUP($A208,main!$A$3:$H$102,6,FALSE)&gt;=main!$D$103+VLOOKUP(VLOOKUP(BR$1,main!$A$3:$I$102,7,FALSE),main!$K$26:$Q$29,5,FALSE)),1,0)</f>
        <v>0</v>
      </c>
      <c r="BS208">
        <f>IF(AND(VLOOKUP(BS$1,main!$A$3:$H$102,7,FALSE)=main!$G$105,VLOOKUP(BS$1,main!$A$3:$H$102,5,FALSE)-VLOOKUP($A208,main!$A$3:$H$102,6,FALSE)&gt;=main!$D$103+VLOOKUP(VLOOKUP(BS$1,main!$A$3:$I$102,7,FALSE),main!$K$26:$Q$29,5,FALSE)),1,0)</f>
        <v>0</v>
      </c>
      <c r="BT208">
        <f>IF(AND(VLOOKUP(BT$1,main!$A$3:$H$102,7,FALSE)=main!$G$105,VLOOKUP(BT$1,main!$A$3:$H$102,5,FALSE)-VLOOKUP($A208,main!$A$3:$H$102,6,FALSE)&gt;=main!$D$103+VLOOKUP(VLOOKUP(BT$1,main!$A$3:$I$102,7,FALSE),main!$K$26:$Q$29,5,FALSE)),1,0)</f>
        <v>0</v>
      </c>
      <c r="BU208">
        <f>IF(AND(VLOOKUP(BU$1,main!$A$3:$H$102,7,FALSE)=main!$G$105,VLOOKUP(BU$1,main!$A$3:$H$102,5,FALSE)-VLOOKUP($A208,main!$A$3:$H$102,6,FALSE)&gt;=main!$D$103+VLOOKUP(VLOOKUP(BU$1,main!$A$3:$I$102,7,FALSE),main!$K$26:$Q$29,5,FALSE)),1,0)</f>
        <v>0</v>
      </c>
      <c r="BV208">
        <f>IF(AND(VLOOKUP(BV$1,main!$A$3:$H$102,7,FALSE)=main!$G$105,VLOOKUP(BV$1,main!$A$3:$H$102,5,FALSE)-VLOOKUP($A208,main!$A$3:$H$102,6,FALSE)&gt;=main!$D$103+VLOOKUP(VLOOKUP(BV$1,main!$A$3:$I$102,7,FALSE),main!$K$26:$Q$29,5,FALSE)),1,0)</f>
        <v>0</v>
      </c>
      <c r="BW208">
        <f>IF(AND(VLOOKUP(BW$1,main!$A$3:$H$102,7,FALSE)=main!$G$105,VLOOKUP(BW$1,main!$A$3:$H$102,5,FALSE)-VLOOKUP($A208,main!$A$3:$H$102,6,FALSE)&gt;=main!$D$103+VLOOKUP(VLOOKUP(BW$1,main!$A$3:$I$102,7,FALSE),main!$K$26:$Q$29,5,FALSE)),1,0)</f>
        <v>0</v>
      </c>
      <c r="BX208">
        <f>IF(AND(VLOOKUP(BX$1,main!$A$3:$H$102,7,FALSE)=main!$G$105,VLOOKUP(BX$1,main!$A$3:$H$102,5,FALSE)-VLOOKUP($A208,main!$A$3:$H$102,6,FALSE)&gt;=main!$D$103+VLOOKUP(VLOOKUP(BX$1,main!$A$3:$I$102,7,FALSE),main!$K$26:$Q$29,5,FALSE)),1,0)</f>
        <v>0</v>
      </c>
      <c r="BY208">
        <f>IF(AND(VLOOKUP(BY$1,main!$A$3:$H$102,7,FALSE)=main!$G$105,VLOOKUP(BY$1,main!$A$3:$H$102,5,FALSE)-VLOOKUP($A208,main!$A$3:$H$102,6,FALSE)&gt;=main!$D$103+VLOOKUP(VLOOKUP(BY$1,main!$A$3:$I$102,7,FALSE),main!$K$26:$Q$29,5,FALSE)),1,0)</f>
        <v>0</v>
      </c>
      <c r="BZ208">
        <f>IF(AND(VLOOKUP(BZ$1,main!$A$3:$H$102,7,FALSE)=main!$G$105,VLOOKUP(BZ$1,main!$A$3:$H$102,5,FALSE)-VLOOKUP($A208,main!$A$3:$H$102,6,FALSE)&gt;=main!$D$103+VLOOKUP(VLOOKUP(BZ$1,main!$A$3:$I$102,7,FALSE),main!$K$26:$Q$29,5,FALSE)),1,0)</f>
        <v>0</v>
      </c>
      <c r="CA208">
        <f>IF(AND(VLOOKUP(CA$1,main!$A$3:$H$102,7,FALSE)=main!$G$105,VLOOKUP(CA$1,main!$A$3:$H$102,5,FALSE)-VLOOKUP($A208,main!$A$3:$H$102,6,FALSE)&gt;=main!$D$103+VLOOKUP(VLOOKUP(CA$1,main!$A$3:$I$102,7,FALSE),main!$K$26:$Q$29,5,FALSE)),1,0)</f>
        <v>0</v>
      </c>
      <c r="CB208">
        <f>IF(AND(VLOOKUP(CB$1,main!$A$3:$H$102,7,FALSE)=main!$G$105,VLOOKUP(CB$1,main!$A$3:$H$102,5,FALSE)-VLOOKUP($A208,main!$A$3:$H$102,6,FALSE)&gt;=main!$D$103+VLOOKUP(VLOOKUP(CB$1,main!$A$3:$I$102,7,FALSE),main!$K$26:$Q$29,5,FALSE)),1,0)</f>
        <v>0</v>
      </c>
      <c r="CC208">
        <f>IF(AND(VLOOKUP(CC$1,main!$A$3:$H$102,7,FALSE)=main!$G$105,VLOOKUP(CC$1,main!$A$3:$H$102,5,FALSE)-VLOOKUP($A208,main!$A$3:$H$102,6,FALSE)&gt;=main!$D$103+VLOOKUP(VLOOKUP(CC$1,main!$A$3:$I$102,7,FALSE),main!$K$26:$Q$29,5,FALSE)),1,0)</f>
        <v>0</v>
      </c>
      <c r="CD208">
        <f>IF(AND(VLOOKUP(CD$1,main!$A$3:$H$102,7,FALSE)=main!$G$105,VLOOKUP(CD$1,main!$A$3:$H$102,5,FALSE)-VLOOKUP($A208,main!$A$3:$H$102,6,FALSE)&gt;=main!$D$103+VLOOKUP(VLOOKUP(CD$1,main!$A$3:$I$102,7,FALSE),main!$K$26:$Q$29,5,FALSE)),1,0)</f>
        <v>0</v>
      </c>
      <c r="CE208">
        <f>IF(AND(VLOOKUP(CE$1,main!$A$3:$H$102,7,FALSE)=main!$G$105,VLOOKUP(CE$1,main!$A$3:$H$102,5,FALSE)-VLOOKUP($A208,main!$A$3:$H$102,6,FALSE)&gt;=main!$D$103+VLOOKUP(VLOOKUP(CE$1,main!$A$3:$I$102,7,FALSE),main!$K$26:$Q$29,5,FALSE)),1,0)</f>
        <v>0</v>
      </c>
      <c r="CF208">
        <f>IF(AND(VLOOKUP(CF$1,main!$A$3:$H$102,7,FALSE)=main!$G$105,VLOOKUP(CF$1,main!$A$3:$H$102,5,FALSE)-VLOOKUP($A208,main!$A$3:$H$102,6,FALSE)&gt;=main!$D$103+VLOOKUP(VLOOKUP(CF$1,main!$A$3:$I$102,7,FALSE),main!$K$26:$Q$29,5,FALSE)),1,0)</f>
        <v>0</v>
      </c>
      <c r="CG208">
        <f>IF(AND(VLOOKUP(CG$1,main!$A$3:$H$102,7,FALSE)=main!$G$105,VLOOKUP(CG$1,main!$A$3:$H$102,5,FALSE)-VLOOKUP($A208,main!$A$3:$H$102,6,FALSE)&gt;=main!$D$103+VLOOKUP(VLOOKUP(CG$1,main!$A$3:$I$102,7,FALSE),main!$K$26:$Q$29,5,FALSE)),1,0)</f>
        <v>0</v>
      </c>
      <c r="CH208">
        <f>IF(AND(VLOOKUP(CH$1,main!$A$3:$H$102,7,FALSE)=main!$G$105,VLOOKUP(CH$1,main!$A$3:$H$102,5,FALSE)-VLOOKUP($A208,main!$A$3:$H$102,6,FALSE)&gt;=main!$D$103+VLOOKUP(VLOOKUP(CH$1,main!$A$3:$I$102,7,FALSE),main!$K$26:$Q$29,5,FALSE)),1,0)</f>
        <v>0</v>
      </c>
      <c r="CI208">
        <f>IF(AND(VLOOKUP(CI$1,main!$A$3:$H$102,7,FALSE)=main!$G$105,VLOOKUP(CI$1,main!$A$3:$H$102,5,FALSE)-VLOOKUP($A208,main!$A$3:$H$102,6,FALSE)&gt;=main!$D$103+VLOOKUP(VLOOKUP(CI$1,main!$A$3:$I$102,7,FALSE),main!$K$26:$Q$29,5,FALSE)),1,0)</f>
        <v>0</v>
      </c>
      <c r="CJ208">
        <f>IF(AND(VLOOKUP(CJ$1,main!$A$3:$H$102,7,FALSE)=main!$G$105,VLOOKUP(CJ$1,main!$A$3:$H$102,5,FALSE)-VLOOKUP($A208,main!$A$3:$H$102,6,FALSE)&gt;=main!$D$103+VLOOKUP(VLOOKUP(CJ$1,main!$A$3:$I$102,7,FALSE),main!$K$26:$Q$29,5,FALSE)),1,0)</f>
        <v>0</v>
      </c>
      <c r="CK208">
        <f>IF(AND(VLOOKUP(CK$1,main!$A$3:$H$102,7,FALSE)=main!$G$105,VLOOKUP(CK$1,main!$A$3:$H$102,5,FALSE)-VLOOKUP($A208,main!$A$3:$H$102,6,FALSE)&gt;=main!$D$103+VLOOKUP(VLOOKUP(CK$1,main!$A$3:$I$102,7,FALSE),main!$K$26:$Q$29,5,FALSE)),1,0)</f>
        <v>0</v>
      </c>
      <c r="CL208">
        <f>IF(AND(VLOOKUP(CL$1,main!$A$3:$H$102,7,FALSE)=main!$G$105,VLOOKUP(CL$1,main!$A$3:$H$102,5,FALSE)-VLOOKUP($A208,main!$A$3:$H$102,6,FALSE)&gt;=main!$D$103+VLOOKUP(VLOOKUP(CL$1,main!$A$3:$I$102,7,FALSE),main!$K$26:$Q$29,5,FALSE)),1,0)</f>
        <v>0</v>
      </c>
      <c r="CM208">
        <f>IF(AND(VLOOKUP(CM$1,main!$A$3:$H$102,7,FALSE)=main!$G$105,VLOOKUP(CM$1,main!$A$3:$H$102,5,FALSE)-VLOOKUP($A208,main!$A$3:$H$102,6,FALSE)&gt;=main!$D$103+VLOOKUP(VLOOKUP(CM$1,main!$A$3:$I$102,7,FALSE),main!$K$26:$Q$29,5,FALSE)),1,0)</f>
        <v>0</v>
      </c>
      <c r="CN208">
        <f>IF(AND(VLOOKUP(CN$1,main!$A$3:$H$102,7,FALSE)=main!$G$105,VLOOKUP(CN$1,main!$A$3:$H$102,5,FALSE)-VLOOKUP($A208,main!$A$3:$H$102,6,FALSE)&gt;=main!$D$103+VLOOKUP(VLOOKUP(CN$1,main!$A$3:$I$102,7,FALSE),main!$K$26:$Q$29,5,FALSE)),1,0)</f>
        <v>0</v>
      </c>
      <c r="CO208">
        <f>IF(AND(VLOOKUP(CO$1,main!$A$3:$H$102,7,FALSE)=main!$G$105,VLOOKUP(CO$1,main!$A$3:$H$102,5,FALSE)-VLOOKUP($A208,main!$A$3:$H$102,6,FALSE)&gt;=main!$D$103+VLOOKUP(VLOOKUP(CO$1,main!$A$3:$I$102,7,FALSE),main!$K$26:$Q$29,5,FALSE)),1,0)</f>
        <v>0</v>
      </c>
      <c r="CP208">
        <f>IF(AND(VLOOKUP(CP$1,main!$A$3:$H$102,7,FALSE)=main!$G$105,VLOOKUP(CP$1,main!$A$3:$H$102,5,FALSE)-VLOOKUP($A208,main!$A$3:$H$102,6,FALSE)&gt;=main!$D$103+VLOOKUP(VLOOKUP(CP$1,main!$A$3:$I$102,7,FALSE),main!$K$26:$Q$29,5,FALSE)),1,0)</f>
        <v>0</v>
      </c>
      <c r="CQ208">
        <f>IF(AND(VLOOKUP(CQ$1,main!$A$3:$H$102,7,FALSE)=main!$G$105,VLOOKUP(CQ$1,main!$A$3:$H$102,5,FALSE)-VLOOKUP($A208,main!$A$3:$H$102,6,FALSE)&gt;=main!$D$103+VLOOKUP(VLOOKUP(CQ$1,main!$A$3:$I$102,7,FALSE),main!$K$26:$Q$29,5,FALSE)),1,0)</f>
        <v>0</v>
      </c>
      <c r="CR208">
        <f>IF(AND(VLOOKUP(CR$1,main!$A$3:$H$102,7,FALSE)=main!$G$105,VLOOKUP(CR$1,main!$A$3:$H$102,5,FALSE)-VLOOKUP($A208,main!$A$3:$H$102,6,FALSE)&gt;=main!$D$103+VLOOKUP(VLOOKUP(CR$1,main!$A$3:$I$102,7,FALSE),main!$K$26:$Q$29,5,FALSE)),1,0)</f>
        <v>0</v>
      </c>
      <c r="CS208">
        <f>IF(AND(VLOOKUP(CS$1,main!$A$3:$H$102,7,FALSE)=main!$G$105,VLOOKUP(CS$1,main!$A$3:$H$102,5,FALSE)-VLOOKUP($A208,main!$A$3:$H$102,6,FALSE)&gt;=main!$D$103+VLOOKUP(VLOOKUP(CS$1,main!$A$3:$I$102,7,FALSE),main!$K$26:$Q$29,5,FALSE)),1,0)</f>
        <v>0</v>
      </c>
      <c r="CT208">
        <f>IF(AND(VLOOKUP(CT$1,main!$A$3:$H$102,7,FALSE)=main!$G$105,VLOOKUP(CT$1,main!$A$3:$H$102,5,FALSE)-VLOOKUP($A208,main!$A$3:$H$102,6,FALSE)&gt;=main!$D$103+VLOOKUP(VLOOKUP(CT$1,main!$A$3:$I$102,7,FALSE),main!$K$26:$Q$29,5,FALSE)),1,0)</f>
        <v>0</v>
      </c>
      <c r="CU208">
        <f>IF(AND(VLOOKUP(CU$1,main!$A$3:$H$102,7,FALSE)=main!$G$105,VLOOKUP(CU$1,main!$A$3:$H$102,5,FALSE)-VLOOKUP($A208,main!$A$3:$H$102,6,FALSE)&gt;=main!$D$103+VLOOKUP(VLOOKUP(CU$1,main!$A$3:$I$102,7,FALSE),main!$K$26:$Q$29,5,FALSE)),1,0)</f>
        <v>0</v>
      </c>
      <c r="CV208">
        <f>IF(AND(VLOOKUP(CV$1,main!$A$3:$H$102,7,FALSE)=main!$G$105,VLOOKUP(CV$1,main!$A$3:$H$102,5,FALSE)-VLOOKUP($A208,main!$A$3:$H$102,6,FALSE)&gt;=main!$D$103+VLOOKUP(VLOOKUP(CV$1,main!$A$3:$I$102,7,FALSE),main!$K$26:$Q$29,5,FALSE)),1,0)</f>
        <v>0</v>
      </c>
      <c r="CW208">
        <f>IF(AND(VLOOKUP(CW$1,main!$A$3:$H$102,7,FALSE)=main!$G$105,VLOOKUP(CW$1,main!$A$3:$H$102,5,FALSE)-VLOOKUP($A208,main!$A$3:$H$102,6,FALSE)&gt;=main!$D$103+VLOOKUP(VLOOKUP(CW$1,main!$A$3:$I$102,7,FALSE),main!$K$26:$Q$29,5,FALSE)),1,0)</f>
        <v>0</v>
      </c>
      <c r="CX208">
        <f>IF(AND(VLOOKUP(CX$1,main!$A$3:$H$102,7,FALSE)=main!$G$105,VLOOKUP(CX$1,main!$A$3:$H$102,5,FALSE)-VLOOKUP($A208,main!$A$3:$H$102,6,FALSE)&gt;=main!$D$103+VLOOKUP(VLOOKUP(CX$1,main!$A$3:$I$102,7,FALSE),main!$K$26:$Q$29,5,FALSE)),1,0)</f>
        <v>0</v>
      </c>
    </row>
    <row r="209" spans="1:102" x14ac:dyDescent="0.25">
      <c r="A209" s="1">
        <v>5</v>
      </c>
      <c r="B209">
        <v>0</v>
      </c>
      <c r="C209">
        <f>IF(AND(VLOOKUP(C$1,main!$A$3:$H$102,7,FALSE)=main!$G$105,VLOOKUP(C$1,main!$A$3:$H$102,5,FALSE)-VLOOKUP($A209,main!$A$3:$H$102,6,FALSE)&gt;=main!$D$103+VLOOKUP(VLOOKUP(C$1,main!$A$3:$I$102,7,FALSE),main!$K$26:$Q$29,5,FALSE)),1,0)</f>
        <v>0</v>
      </c>
      <c r="D209">
        <f>IF(AND(VLOOKUP(D$1,main!$A$3:$H$102,7,FALSE)=main!$G$105,VLOOKUP(D$1,main!$A$3:$H$102,5,FALSE)-VLOOKUP($A209,main!$A$3:$H$102,6,FALSE)&gt;=main!$D$103+VLOOKUP(VLOOKUP(D$1,main!$A$3:$I$102,7,FALSE),main!$K$26:$Q$29,5,FALSE)),1,0)</f>
        <v>0</v>
      </c>
      <c r="E209">
        <f>IF(AND(VLOOKUP(E$1,main!$A$3:$H$102,7,FALSE)=main!$G$105,VLOOKUP(E$1,main!$A$3:$H$102,5,FALSE)-VLOOKUP($A209,main!$A$3:$H$102,6,FALSE)&gt;=main!$D$103+VLOOKUP(VLOOKUP(E$1,main!$A$3:$I$102,7,FALSE),main!$K$26:$Q$29,5,FALSE)),1,0)</f>
        <v>0</v>
      </c>
      <c r="F209">
        <f>IF(AND(VLOOKUP(F$1,main!$A$3:$H$102,7,FALSE)=main!$G$105,VLOOKUP(F$1,main!$A$3:$H$102,5,FALSE)-VLOOKUP($A209,main!$A$3:$H$102,6,FALSE)&gt;=main!$D$103+VLOOKUP(VLOOKUP(F$1,main!$A$3:$I$102,7,FALSE),main!$K$26:$Q$29,5,FALSE)),1,0)</f>
        <v>0</v>
      </c>
      <c r="G209">
        <f>IF(AND(VLOOKUP(G$1,main!$A$3:$H$102,7,FALSE)=main!$G$105,VLOOKUP(G$1,main!$A$3:$H$102,5,FALSE)-VLOOKUP($A209,main!$A$3:$H$102,6,FALSE)&gt;=main!$D$103+VLOOKUP(VLOOKUP(G$1,main!$A$3:$I$102,7,FALSE),main!$K$26:$Q$29,5,FALSE)),1,0)</f>
        <v>0</v>
      </c>
      <c r="H209">
        <f>IF(AND(VLOOKUP(H$1,main!$A$3:$H$102,7,FALSE)=main!$G$105,VLOOKUP(H$1,main!$A$3:$H$102,5,FALSE)-VLOOKUP($A209,main!$A$3:$H$102,6,FALSE)&gt;=main!$D$103+VLOOKUP(VLOOKUP(H$1,main!$A$3:$I$102,7,FALSE),main!$K$26:$Q$29,5,FALSE)),1,0)</f>
        <v>0</v>
      </c>
      <c r="I209">
        <f>IF(AND(VLOOKUP(I$1,main!$A$3:$H$102,7,FALSE)=main!$G$105,VLOOKUP(I$1,main!$A$3:$H$102,5,FALSE)-VLOOKUP($A209,main!$A$3:$H$102,6,FALSE)&gt;=main!$D$103+VLOOKUP(VLOOKUP(I$1,main!$A$3:$I$102,7,FALSE),main!$K$26:$Q$29,5,FALSE)),1,0)</f>
        <v>0</v>
      </c>
      <c r="J209">
        <f>IF(AND(VLOOKUP(J$1,main!$A$3:$H$102,7,FALSE)=main!$G$105,VLOOKUP(J$1,main!$A$3:$H$102,5,FALSE)-VLOOKUP($A209,main!$A$3:$H$102,6,FALSE)&gt;=main!$D$103+VLOOKUP(VLOOKUP(J$1,main!$A$3:$I$102,7,FALSE),main!$K$26:$Q$29,5,FALSE)),1,0)</f>
        <v>0</v>
      </c>
      <c r="K209">
        <f>IF(AND(VLOOKUP(K$1,main!$A$3:$H$102,7,FALSE)=main!$G$105,VLOOKUP(K$1,main!$A$3:$H$102,5,FALSE)-VLOOKUP($A209,main!$A$3:$H$102,6,FALSE)&gt;=main!$D$103+VLOOKUP(VLOOKUP(K$1,main!$A$3:$I$102,7,FALSE),main!$K$26:$Q$29,5,FALSE)),1,0)</f>
        <v>0</v>
      </c>
      <c r="L209">
        <f>IF(AND(VLOOKUP(L$1,main!$A$3:$H$102,7,FALSE)=main!$G$105,VLOOKUP(L$1,main!$A$3:$H$102,5,FALSE)-VLOOKUP($A209,main!$A$3:$H$102,6,FALSE)&gt;=main!$D$103+VLOOKUP(VLOOKUP(L$1,main!$A$3:$I$102,7,FALSE),main!$K$26:$Q$29,5,FALSE)),1,0)</f>
        <v>0</v>
      </c>
      <c r="M209">
        <f>IF(AND(VLOOKUP(M$1,main!$A$3:$H$102,7,FALSE)=main!$G$105,VLOOKUP(M$1,main!$A$3:$H$102,5,FALSE)-VLOOKUP($A209,main!$A$3:$H$102,6,FALSE)&gt;=main!$D$103+VLOOKUP(VLOOKUP(M$1,main!$A$3:$I$102,7,FALSE),main!$K$26:$Q$29,5,FALSE)),1,0)</f>
        <v>0</v>
      </c>
      <c r="N209">
        <f>IF(AND(VLOOKUP(N$1,main!$A$3:$H$102,7,FALSE)=main!$G$105,VLOOKUP(N$1,main!$A$3:$H$102,5,FALSE)-VLOOKUP($A209,main!$A$3:$H$102,6,FALSE)&gt;=main!$D$103+VLOOKUP(VLOOKUP(N$1,main!$A$3:$I$102,7,FALSE),main!$K$26:$Q$29,5,FALSE)),1,0)</f>
        <v>0</v>
      </c>
      <c r="O209">
        <f>IF(AND(VLOOKUP(O$1,main!$A$3:$H$102,7,FALSE)=main!$G$105,VLOOKUP(O$1,main!$A$3:$H$102,5,FALSE)-VLOOKUP($A209,main!$A$3:$H$102,6,FALSE)&gt;=main!$D$103+VLOOKUP(VLOOKUP(O$1,main!$A$3:$I$102,7,FALSE),main!$K$26:$Q$29,5,FALSE)),1,0)</f>
        <v>0</v>
      </c>
      <c r="P209">
        <f>IF(AND(VLOOKUP(P$1,main!$A$3:$H$102,7,FALSE)=main!$G$105,VLOOKUP(P$1,main!$A$3:$H$102,5,FALSE)-VLOOKUP($A209,main!$A$3:$H$102,6,FALSE)&gt;=main!$D$103+VLOOKUP(VLOOKUP(P$1,main!$A$3:$I$102,7,FALSE),main!$K$26:$Q$29,5,FALSE)),1,0)</f>
        <v>0</v>
      </c>
      <c r="Q209">
        <f>IF(AND(VLOOKUP(Q$1,main!$A$3:$H$102,7,FALSE)=main!$G$105,VLOOKUP(Q$1,main!$A$3:$H$102,5,FALSE)-VLOOKUP($A209,main!$A$3:$H$102,6,FALSE)&gt;=main!$D$103+VLOOKUP(VLOOKUP(Q$1,main!$A$3:$I$102,7,FALSE),main!$K$26:$Q$29,5,FALSE)),1,0)</f>
        <v>0</v>
      </c>
      <c r="R209">
        <f>IF(AND(VLOOKUP(R$1,main!$A$3:$H$102,7,FALSE)=main!$G$105,VLOOKUP(R$1,main!$A$3:$H$102,5,FALSE)-VLOOKUP($A209,main!$A$3:$H$102,6,FALSE)&gt;=main!$D$103+VLOOKUP(VLOOKUP(R$1,main!$A$3:$I$102,7,FALSE),main!$K$26:$Q$29,5,FALSE)),1,0)</f>
        <v>0</v>
      </c>
      <c r="S209">
        <f>IF(AND(VLOOKUP(S$1,main!$A$3:$H$102,7,FALSE)=main!$G$105,VLOOKUP(S$1,main!$A$3:$H$102,5,FALSE)-VLOOKUP($A209,main!$A$3:$H$102,6,FALSE)&gt;=main!$D$103+VLOOKUP(VLOOKUP(S$1,main!$A$3:$I$102,7,FALSE),main!$K$26:$Q$29,5,FALSE)),1,0)</f>
        <v>0</v>
      </c>
      <c r="T209">
        <f>IF(AND(VLOOKUP(T$1,main!$A$3:$H$102,7,FALSE)=main!$G$105,VLOOKUP(T$1,main!$A$3:$H$102,5,FALSE)-VLOOKUP($A209,main!$A$3:$H$102,6,FALSE)&gt;=main!$D$103+VLOOKUP(VLOOKUP(T$1,main!$A$3:$I$102,7,FALSE),main!$K$26:$Q$29,5,FALSE)),1,0)</f>
        <v>0</v>
      </c>
      <c r="U209">
        <f>IF(AND(VLOOKUP(U$1,main!$A$3:$H$102,7,FALSE)=main!$G$105,VLOOKUP(U$1,main!$A$3:$H$102,5,FALSE)-VLOOKUP($A209,main!$A$3:$H$102,6,FALSE)&gt;=main!$D$103+VLOOKUP(VLOOKUP(U$1,main!$A$3:$I$102,7,FALSE),main!$K$26:$Q$29,5,FALSE)),1,0)</f>
        <v>0</v>
      </c>
      <c r="V209">
        <f>IF(AND(VLOOKUP(V$1,main!$A$3:$H$102,7,FALSE)=main!$G$105,VLOOKUP(V$1,main!$A$3:$H$102,5,FALSE)-VLOOKUP($A209,main!$A$3:$H$102,6,FALSE)&gt;=main!$D$103+VLOOKUP(VLOOKUP(V$1,main!$A$3:$I$102,7,FALSE),main!$K$26:$Q$29,5,FALSE)),1,0)</f>
        <v>0</v>
      </c>
      <c r="W209">
        <f>IF(AND(VLOOKUP(W$1,main!$A$3:$H$102,7,FALSE)=main!$G$105,VLOOKUP(W$1,main!$A$3:$H$102,5,FALSE)-VLOOKUP($A209,main!$A$3:$H$102,6,FALSE)&gt;=main!$D$103+VLOOKUP(VLOOKUP(W$1,main!$A$3:$I$102,7,FALSE),main!$K$26:$Q$29,5,FALSE)),1,0)</f>
        <v>0</v>
      </c>
      <c r="X209">
        <f>IF(AND(VLOOKUP(X$1,main!$A$3:$H$102,7,FALSE)=main!$G$105,VLOOKUP(X$1,main!$A$3:$H$102,5,FALSE)-VLOOKUP($A209,main!$A$3:$H$102,6,FALSE)&gt;=main!$D$103+VLOOKUP(VLOOKUP(X$1,main!$A$3:$I$102,7,FALSE),main!$K$26:$Q$29,5,FALSE)),1,0)</f>
        <v>0</v>
      </c>
      <c r="Y209">
        <f>IF(AND(VLOOKUP(Y$1,main!$A$3:$H$102,7,FALSE)=main!$G$105,VLOOKUP(Y$1,main!$A$3:$H$102,5,FALSE)-VLOOKUP($A209,main!$A$3:$H$102,6,FALSE)&gt;=main!$D$103+VLOOKUP(VLOOKUP(Y$1,main!$A$3:$I$102,7,FALSE),main!$K$26:$Q$29,5,FALSE)),1,0)</f>
        <v>0</v>
      </c>
      <c r="Z209">
        <f>IF(AND(VLOOKUP(Z$1,main!$A$3:$H$102,7,FALSE)=main!$G$105,VLOOKUP(Z$1,main!$A$3:$H$102,5,FALSE)-VLOOKUP($A209,main!$A$3:$H$102,6,FALSE)&gt;=main!$D$103+VLOOKUP(VLOOKUP(Z$1,main!$A$3:$I$102,7,FALSE),main!$K$26:$Q$29,5,FALSE)),1,0)</f>
        <v>0</v>
      </c>
      <c r="AA209">
        <f>IF(AND(VLOOKUP(AA$1,main!$A$3:$H$102,7,FALSE)=main!$G$105,VLOOKUP(AA$1,main!$A$3:$H$102,5,FALSE)-VLOOKUP($A209,main!$A$3:$H$102,6,FALSE)&gt;=main!$D$103+VLOOKUP(VLOOKUP(AA$1,main!$A$3:$I$102,7,FALSE),main!$K$26:$Q$29,5,FALSE)),1,0)</f>
        <v>0</v>
      </c>
      <c r="AB209">
        <f>IF(AND(VLOOKUP(AB$1,main!$A$3:$H$102,7,FALSE)=main!$G$105,VLOOKUP(AB$1,main!$A$3:$H$102,5,FALSE)-VLOOKUP($A209,main!$A$3:$H$102,6,FALSE)&gt;=main!$D$103+VLOOKUP(VLOOKUP(AB$1,main!$A$3:$I$102,7,FALSE),main!$K$26:$Q$29,5,FALSE)),1,0)</f>
        <v>0</v>
      </c>
      <c r="AC209">
        <f>IF(AND(VLOOKUP(AC$1,main!$A$3:$H$102,7,FALSE)=main!$G$105,VLOOKUP(AC$1,main!$A$3:$H$102,5,FALSE)-VLOOKUP($A209,main!$A$3:$H$102,6,FALSE)&gt;=main!$D$103+VLOOKUP(VLOOKUP(AC$1,main!$A$3:$I$102,7,FALSE),main!$K$26:$Q$29,5,FALSE)),1,0)</f>
        <v>0</v>
      </c>
      <c r="AD209">
        <f>IF(AND(VLOOKUP(AD$1,main!$A$3:$H$102,7,FALSE)=main!$G$105,VLOOKUP(AD$1,main!$A$3:$H$102,5,FALSE)-VLOOKUP($A209,main!$A$3:$H$102,6,FALSE)&gt;=main!$D$103+VLOOKUP(VLOOKUP(AD$1,main!$A$3:$I$102,7,FALSE),main!$K$26:$Q$29,5,FALSE)),1,0)</f>
        <v>0</v>
      </c>
      <c r="AE209">
        <f>IF(AND(VLOOKUP(AE$1,main!$A$3:$H$102,7,FALSE)=main!$G$105,VLOOKUP(AE$1,main!$A$3:$H$102,5,FALSE)-VLOOKUP($A209,main!$A$3:$H$102,6,FALSE)&gt;=main!$D$103+VLOOKUP(VLOOKUP(AE$1,main!$A$3:$I$102,7,FALSE),main!$K$26:$Q$29,5,FALSE)),1,0)</f>
        <v>0</v>
      </c>
      <c r="AF209">
        <f>IF(AND(VLOOKUP(AF$1,main!$A$3:$H$102,7,FALSE)=main!$G$105,VLOOKUP(AF$1,main!$A$3:$H$102,5,FALSE)-VLOOKUP($A209,main!$A$3:$H$102,6,FALSE)&gt;=main!$D$103+VLOOKUP(VLOOKUP(AF$1,main!$A$3:$I$102,7,FALSE),main!$K$26:$Q$29,5,FALSE)),1,0)</f>
        <v>0</v>
      </c>
      <c r="AG209">
        <f>IF(AND(VLOOKUP(AG$1,main!$A$3:$H$102,7,FALSE)=main!$G$105,VLOOKUP(AG$1,main!$A$3:$H$102,5,FALSE)-VLOOKUP($A209,main!$A$3:$H$102,6,FALSE)&gt;=main!$D$103+VLOOKUP(VLOOKUP(AG$1,main!$A$3:$I$102,7,FALSE),main!$K$26:$Q$29,5,FALSE)),1,0)</f>
        <v>0</v>
      </c>
      <c r="AH209">
        <f>IF(AND(VLOOKUP(AH$1,main!$A$3:$H$102,7,FALSE)=main!$G$105,VLOOKUP(AH$1,main!$A$3:$H$102,5,FALSE)-VLOOKUP($A209,main!$A$3:$H$102,6,FALSE)&gt;=main!$D$103+VLOOKUP(VLOOKUP(AH$1,main!$A$3:$I$102,7,FALSE),main!$K$26:$Q$29,5,FALSE)),1,0)</f>
        <v>0</v>
      </c>
      <c r="AI209">
        <f>IF(AND(VLOOKUP(AI$1,main!$A$3:$H$102,7,FALSE)=main!$G$105,VLOOKUP(AI$1,main!$A$3:$H$102,5,FALSE)-VLOOKUP($A209,main!$A$3:$H$102,6,FALSE)&gt;=main!$D$103+VLOOKUP(VLOOKUP(AI$1,main!$A$3:$I$102,7,FALSE),main!$K$26:$Q$29,5,FALSE)),1,0)</f>
        <v>0</v>
      </c>
      <c r="AJ209">
        <f>IF(AND(VLOOKUP(AJ$1,main!$A$3:$H$102,7,FALSE)=main!$G$105,VLOOKUP(AJ$1,main!$A$3:$H$102,5,FALSE)-VLOOKUP($A209,main!$A$3:$H$102,6,FALSE)&gt;=main!$D$103+VLOOKUP(VLOOKUP(AJ$1,main!$A$3:$I$102,7,FALSE),main!$K$26:$Q$29,5,FALSE)),1,0)</f>
        <v>0</v>
      </c>
      <c r="AK209">
        <f>IF(AND(VLOOKUP(AK$1,main!$A$3:$H$102,7,FALSE)=main!$G$105,VLOOKUP(AK$1,main!$A$3:$H$102,5,FALSE)-VLOOKUP($A209,main!$A$3:$H$102,6,FALSE)&gt;=main!$D$103+VLOOKUP(VLOOKUP(AK$1,main!$A$3:$I$102,7,FALSE),main!$K$26:$Q$29,5,FALSE)),1,0)</f>
        <v>0</v>
      </c>
      <c r="AL209">
        <f>IF(AND(VLOOKUP(AL$1,main!$A$3:$H$102,7,FALSE)=main!$G$105,VLOOKUP(AL$1,main!$A$3:$H$102,5,FALSE)-VLOOKUP($A209,main!$A$3:$H$102,6,FALSE)&gt;=main!$D$103+VLOOKUP(VLOOKUP(AL$1,main!$A$3:$I$102,7,FALSE),main!$K$26:$Q$29,5,FALSE)),1,0)</f>
        <v>0</v>
      </c>
      <c r="AM209">
        <f>IF(AND(VLOOKUP(AM$1,main!$A$3:$H$102,7,FALSE)=main!$G$105,VLOOKUP(AM$1,main!$A$3:$H$102,5,FALSE)-VLOOKUP($A209,main!$A$3:$H$102,6,FALSE)&gt;=main!$D$103+VLOOKUP(VLOOKUP(AM$1,main!$A$3:$I$102,7,FALSE),main!$K$26:$Q$29,5,FALSE)),1,0)</f>
        <v>1</v>
      </c>
      <c r="AN209">
        <f>IF(AND(VLOOKUP(AN$1,main!$A$3:$H$102,7,FALSE)=main!$G$105,VLOOKUP(AN$1,main!$A$3:$H$102,5,FALSE)-VLOOKUP($A209,main!$A$3:$H$102,6,FALSE)&gt;=main!$D$103+VLOOKUP(VLOOKUP(AN$1,main!$A$3:$I$102,7,FALSE),main!$K$26:$Q$29,5,FALSE)),1,0)</f>
        <v>1</v>
      </c>
      <c r="AO209">
        <f>IF(AND(VLOOKUP(AO$1,main!$A$3:$H$102,7,FALSE)=main!$G$105,VLOOKUP(AO$1,main!$A$3:$H$102,5,FALSE)-VLOOKUP($A209,main!$A$3:$H$102,6,FALSE)&gt;=main!$D$103+VLOOKUP(VLOOKUP(AO$1,main!$A$3:$I$102,7,FALSE),main!$K$26:$Q$29,5,FALSE)),1,0)</f>
        <v>0</v>
      </c>
      <c r="AP209">
        <f>IF(AND(VLOOKUP(AP$1,main!$A$3:$H$102,7,FALSE)=main!$G$105,VLOOKUP(AP$1,main!$A$3:$H$102,5,FALSE)-VLOOKUP($A209,main!$A$3:$H$102,6,FALSE)&gt;=main!$D$103+VLOOKUP(VLOOKUP(AP$1,main!$A$3:$I$102,7,FALSE),main!$K$26:$Q$29,5,FALSE)),1,0)</f>
        <v>1</v>
      </c>
      <c r="AQ209">
        <f>IF(AND(VLOOKUP(AQ$1,main!$A$3:$H$102,7,FALSE)=main!$G$105,VLOOKUP(AQ$1,main!$A$3:$H$102,5,FALSE)-VLOOKUP($A209,main!$A$3:$H$102,6,FALSE)&gt;=main!$D$103+VLOOKUP(VLOOKUP(AQ$1,main!$A$3:$I$102,7,FALSE),main!$K$26:$Q$29,5,FALSE)),1,0)</f>
        <v>0</v>
      </c>
      <c r="AR209">
        <f>IF(AND(VLOOKUP(AR$1,main!$A$3:$H$102,7,FALSE)=main!$G$105,VLOOKUP(AR$1,main!$A$3:$H$102,5,FALSE)-VLOOKUP($A209,main!$A$3:$H$102,6,FALSE)&gt;=main!$D$103+VLOOKUP(VLOOKUP(AR$1,main!$A$3:$I$102,7,FALSE),main!$K$26:$Q$29,5,FALSE)),1,0)</f>
        <v>0</v>
      </c>
      <c r="AS209">
        <f>IF(AND(VLOOKUP(AS$1,main!$A$3:$H$102,7,FALSE)=main!$G$105,VLOOKUP(AS$1,main!$A$3:$H$102,5,FALSE)-VLOOKUP($A209,main!$A$3:$H$102,6,FALSE)&gt;=main!$D$103+VLOOKUP(VLOOKUP(AS$1,main!$A$3:$I$102,7,FALSE),main!$K$26:$Q$29,5,FALSE)),1,0)</f>
        <v>0</v>
      </c>
      <c r="AT209">
        <f>IF(AND(VLOOKUP(AT$1,main!$A$3:$H$102,7,FALSE)=main!$G$105,VLOOKUP(AT$1,main!$A$3:$H$102,5,FALSE)-VLOOKUP($A209,main!$A$3:$H$102,6,FALSE)&gt;=main!$D$103+VLOOKUP(VLOOKUP(AT$1,main!$A$3:$I$102,7,FALSE),main!$K$26:$Q$29,5,FALSE)),1,0)</f>
        <v>0</v>
      </c>
      <c r="AU209">
        <f>IF(AND(VLOOKUP(AU$1,main!$A$3:$H$102,7,FALSE)=main!$G$105,VLOOKUP(AU$1,main!$A$3:$H$102,5,FALSE)-VLOOKUP($A209,main!$A$3:$H$102,6,FALSE)&gt;=main!$D$103+VLOOKUP(VLOOKUP(AU$1,main!$A$3:$I$102,7,FALSE),main!$K$26:$Q$29,5,FALSE)),1,0)</f>
        <v>0</v>
      </c>
      <c r="AV209">
        <f>IF(AND(VLOOKUP(AV$1,main!$A$3:$H$102,7,FALSE)=main!$G$105,VLOOKUP(AV$1,main!$A$3:$H$102,5,FALSE)-VLOOKUP($A209,main!$A$3:$H$102,6,FALSE)&gt;=main!$D$103+VLOOKUP(VLOOKUP(AV$1,main!$A$3:$I$102,7,FALSE),main!$K$26:$Q$29,5,FALSE)),1,0)</f>
        <v>0</v>
      </c>
      <c r="AW209">
        <f>IF(AND(VLOOKUP(AW$1,main!$A$3:$H$102,7,FALSE)=main!$G$105,VLOOKUP(AW$1,main!$A$3:$H$102,5,FALSE)-VLOOKUP($A209,main!$A$3:$H$102,6,FALSE)&gt;=main!$D$103+VLOOKUP(VLOOKUP(AW$1,main!$A$3:$I$102,7,FALSE),main!$K$26:$Q$29,5,FALSE)),1,0)</f>
        <v>0</v>
      </c>
      <c r="AX209">
        <f>IF(AND(VLOOKUP(AX$1,main!$A$3:$H$102,7,FALSE)=main!$G$105,VLOOKUP(AX$1,main!$A$3:$H$102,5,FALSE)-VLOOKUP($A209,main!$A$3:$H$102,6,FALSE)&gt;=main!$D$103+VLOOKUP(VLOOKUP(AX$1,main!$A$3:$I$102,7,FALSE),main!$K$26:$Q$29,5,FALSE)),1,0)</f>
        <v>0</v>
      </c>
      <c r="AY209">
        <f>IF(AND(VLOOKUP(AY$1,main!$A$3:$H$102,7,FALSE)=main!$G$105,VLOOKUP(AY$1,main!$A$3:$H$102,5,FALSE)-VLOOKUP($A209,main!$A$3:$H$102,6,FALSE)&gt;=main!$D$103+VLOOKUP(VLOOKUP(AY$1,main!$A$3:$I$102,7,FALSE),main!$K$26:$Q$29,5,FALSE)),1,0)</f>
        <v>0</v>
      </c>
      <c r="AZ209">
        <f>IF(AND(VLOOKUP(AZ$1,main!$A$3:$H$102,7,FALSE)=main!$G$105,VLOOKUP(AZ$1,main!$A$3:$H$102,5,FALSE)-VLOOKUP($A209,main!$A$3:$H$102,6,FALSE)&gt;=main!$D$103+VLOOKUP(VLOOKUP(AZ$1,main!$A$3:$I$102,7,FALSE),main!$K$26:$Q$29,5,FALSE)),1,0)</f>
        <v>0</v>
      </c>
      <c r="BA209">
        <f>IF(AND(VLOOKUP(BA$1,main!$A$3:$H$102,7,FALSE)=main!$G$105,VLOOKUP(BA$1,main!$A$3:$H$102,5,FALSE)-VLOOKUP($A209,main!$A$3:$H$102,6,FALSE)&gt;=main!$D$103+VLOOKUP(VLOOKUP(BA$1,main!$A$3:$I$102,7,FALSE),main!$K$26:$Q$29,5,FALSE)),1,0)</f>
        <v>0</v>
      </c>
      <c r="BB209">
        <f>IF(AND(VLOOKUP(BB$1,main!$A$3:$H$102,7,FALSE)=main!$G$105,VLOOKUP(BB$1,main!$A$3:$H$102,5,FALSE)-VLOOKUP($A209,main!$A$3:$H$102,6,FALSE)&gt;=main!$D$103+VLOOKUP(VLOOKUP(BB$1,main!$A$3:$I$102,7,FALSE),main!$K$26:$Q$29,5,FALSE)),1,0)</f>
        <v>0</v>
      </c>
      <c r="BC209">
        <f>IF(AND(VLOOKUP(BC$1,main!$A$3:$H$102,7,FALSE)=main!$G$105,VLOOKUP(BC$1,main!$A$3:$H$102,5,FALSE)-VLOOKUP($A209,main!$A$3:$H$102,6,FALSE)&gt;=main!$D$103+VLOOKUP(VLOOKUP(BC$1,main!$A$3:$I$102,7,FALSE),main!$K$26:$Q$29,5,FALSE)),1,0)</f>
        <v>0</v>
      </c>
      <c r="BD209">
        <f>IF(AND(VLOOKUP(BD$1,main!$A$3:$H$102,7,FALSE)=main!$G$105,VLOOKUP(BD$1,main!$A$3:$H$102,5,FALSE)-VLOOKUP($A209,main!$A$3:$H$102,6,FALSE)&gt;=main!$D$103+VLOOKUP(VLOOKUP(BD$1,main!$A$3:$I$102,7,FALSE),main!$K$26:$Q$29,5,FALSE)),1,0)</f>
        <v>0</v>
      </c>
      <c r="BE209">
        <f>IF(AND(VLOOKUP(BE$1,main!$A$3:$H$102,7,FALSE)=main!$G$105,VLOOKUP(BE$1,main!$A$3:$H$102,5,FALSE)-VLOOKUP($A209,main!$A$3:$H$102,6,FALSE)&gt;=main!$D$103+VLOOKUP(VLOOKUP(BE$1,main!$A$3:$I$102,7,FALSE),main!$K$26:$Q$29,5,FALSE)),1,0)</f>
        <v>0</v>
      </c>
      <c r="BF209">
        <f>IF(AND(VLOOKUP(BF$1,main!$A$3:$H$102,7,FALSE)=main!$G$105,VLOOKUP(BF$1,main!$A$3:$H$102,5,FALSE)-VLOOKUP($A209,main!$A$3:$H$102,6,FALSE)&gt;=main!$D$103+VLOOKUP(VLOOKUP(BF$1,main!$A$3:$I$102,7,FALSE),main!$K$26:$Q$29,5,FALSE)),1,0)</f>
        <v>0</v>
      </c>
      <c r="BG209">
        <f>IF(AND(VLOOKUP(BG$1,main!$A$3:$H$102,7,FALSE)=main!$G$105,VLOOKUP(BG$1,main!$A$3:$H$102,5,FALSE)-VLOOKUP($A209,main!$A$3:$H$102,6,FALSE)&gt;=main!$D$103+VLOOKUP(VLOOKUP(BG$1,main!$A$3:$I$102,7,FALSE),main!$K$26:$Q$29,5,FALSE)),1,0)</f>
        <v>0</v>
      </c>
      <c r="BH209">
        <f>IF(AND(VLOOKUP(BH$1,main!$A$3:$H$102,7,FALSE)=main!$G$105,VLOOKUP(BH$1,main!$A$3:$H$102,5,FALSE)-VLOOKUP($A209,main!$A$3:$H$102,6,FALSE)&gt;=main!$D$103+VLOOKUP(VLOOKUP(BH$1,main!$A$3:$I$102,7,FALSE),main!$K$26:$Q$29,5,FALSE)),1,0)</f>
        <v>0</v>
      </c>
      <c r="BI209">
        <f>IF(AND(VLOOKUP(BI$1,main!$A$3:$H$102,7,FALSE)=main!$G$105,VLOOKUP(BI$1,main!$A$3:$H$102,5,FALSE)-VLOOKUP($A209,main!$A$3:$H$102,6,FALSE)&gt;=main!$D$103+VLOOKUP(VLOOKUP(BI$1,main!$A$3:$I$102,7,FALSE),main!$K$26:$Q$29,5,FALSE)),1,0)</f>
        <v>0</v>
      </c>
      <c r="BJ209">
        <f>IF(AND(VLOOKUP(BJ$1,main!$A$3:$H$102,7,FALSE)=main!$G$105,VLOOKUP(BJ$1,main!$A$3:$H$102,5,FALSE)-VLOOKUP($A209,main!$A$3:$H$102,6,FALSE)&gt;=main!$D$103+VLOOKUP(VLOOKUP(BJ$1,main!$A$3:$I$102,7,FALSE),main!$K$26:$Q$29,5,FALSE)),1,0)</f>
        <v>0</v>
      </c>
      <c r="BK209">
        <f>IF(AND(VLOOKUP(BK$1,main!$A$3:$H$102,7,FALSE)=main!$G$105,VLOOKUP(BK$1,main!$A$3:$H$102,5,FALSE)-VLOOKUP($A209,main!$A$3:$H$102,6,FALSE)&gt;=main!$D$103+VLOOKUP(VLOOKUP(BK$1,main!$A$3:$I$102,7,FALSE),main!$K$26:$Q$29,5,FALSE)),1,0)</f>
        <v>0</v>
      </c>
      <c r="BL209">
        <f>IF(AND(VLOOKUP(BL$1,main!$A$3:$H$102,7,FALSE)=main!$G$105,VLOOKUP(BL$1,main!$A$3:$H$102,5,FALSE)-VLOOKUP($A209,main!$A$3:$H$102,6,FALSE)&gt;=main!$D$103+VLOOKUP(VLOOKUP(BL$1,main!$A$3:$I$102,7,FALSE),main!$K$26:$Q$29,5,FALSE)),1,0)</f>
        <v>0</v>
      </c>
      <c r="BM209">
        <f>IF(AND(VLOOKUP(BM$1,main!$A$3:$H$102,7,FALSE)=main!$G$105,VLOOKUP(BM$1,main!$A$3:$H$102,5,FALSE)-VLOOKUP($A209,main!$A$3:$H$102,6,FALSE)&gt;=main!$D$103+VLOOKUP(VLOOKUP(BM$1,main!$A$3:$I$102,7,FALSE),main!$K$26:$Q$29,5,FALSE)),1,0)</f>
        <v>0</v>
      </c>
      <c r="BN209">
        <f>IF(AND(VLOOKUP(BN$1,main!$A$3:$H$102,7,FALSE)=main!$G$105,VLOOKUP(BN$1,main!$A$3:$H$102,5,FALSE)-VLOOKUP($A209,main!$A$3:$H$102,6,FALSE)&gt;=main!$D$103+VLOOKUP(VLOOKUP(BN$1,main!$A$3:$I$102,7,FALSE),main!$K$26:$Q$29,5,FALSE)),1,0)</f>
        <v>0</v>
      </c>
      <c r="BO209">
        <f>IF(AND(VLOOKUP(BO$1,main!$A$3:$H$102,7,FALSE)=main!$G$105,VLOOKUP(BO$1,main!$A$3:$H$102,5,FALSE)-VLOOKUP($A209,main!$A$3:$H$102,6,FALSE)&gt;=main!$D$103+VLOOKUP(VLOOKUP(BO$1,main!$A$3:$I$102,7,FALSE),main!$K$26:$Q$29,5,FALSE)),1,0)</f>
        <v>0</v>
      </c>
      <c r="BP209">
        <f>IF(AND(VLOOKUP(BP$1,main!$A$3:$H$102,7,FALSE)=main!$G$105,VLOOKUP(BP$1,main!$A$3:$H$102,5,FALSE)-VLOOKUP($A209,main!$A$3:$H$102,6,FALSE)&gt;=main!$D$103+VLOOKUP(VLOOKUP(BP$1,main!$A$3:$I$102,7,FALSE),main!$K$26:$Q$29,5,FALSE)),1,0)</f>
        <v>0</v>
      </c>
      <c r="BQ209">
        <f>IF(AND(VLOOKUP(BQ$1,main!$A$3:$H$102,7,FALSE)=main!$G$105,VLOOKUP(BQ$1,main!$A$3:$H$102,5,FALSE)-VLOOKUP($A209,main!$A$3:$H$102,6,FALSE)&gt;=main!$D$103+VLOOKUP(VLOOKUP(BQ$1,main!$A$3:$I$102,7,FALSE),main!$K$26:$Q$29,5,FALSE)),1,0)</f>
        <v>0</v>
      </c>
      <c r="BR209">
        <f>IF(AND(VLOOKUP(BR$1,main!$A$3:$H$102,7,FALSE)=main!$G$105,VLOOKUP(BR$1,main!$A$3:$H$102,5,FALSE)-VLOOKUP($A209,main!$A$3:$H$102,6,FALSE)&gt;=main!$D$103+VLOOKUP(VLOOKUP(BR$1,main!$A$3:$I$102,7,FALSE),main!$K$26:$Q$29,5,FALSE)),1,0)</f>
        <v>0</v>
      </c>
      <c r="BS209">
        <f>IF(AND(VLOOKUP(BS$1,main!$A$3:$H$102,7,FALSE)=main!$G$105,VLOOKUP(BS$1,main!$A$3:$H$102,5,FALSE)-VLOOKUP($A209,main!$A$3:$H$102,6,FALSE)&gt;=main!$D$103+VLOOKUP(VLOOKUP(BS$1,main!$A$3:$I$102,7,FALSE),main!$K$26:$Q$29,5,FALSE)),1,0)</f>
        <v>0</v>
      </c>
      <c r="BT209">
        <f>IF(AND(VLOOKUP(BT$1,main!$A$3:$H$102,7,FALSE)=main!$G$105,VLOOKUP(BT$1,main!$A$3:$H$102,5,FALSE)-VLOOKUP($A209,main!$A$3:$H$102,6,FALSE)&gt;=main!$D$103+VLOOKUP(VLOOKUP(BT$1,main!$A$3:$I$102,7,FALSE),main!$K$26:$Q$29,5,FALSE)),1,0)</f>
        <v>0</v>
      </c>
      <c r="BU209">
        <f>IF(AND(VLOOKUP(BU$1,main!$A$3:$H$102,7,FALSE)=main!$G$105,VLOOKUP(BU$1,main!$A$3:$H$102,5,FALSE)-VLOOKUP($A209,main!$A$3:$H$102,6,FALSE)&gt;=main!$D$103+VLOOKUP(VLOOKUP(BU$1,main!$A$3:$I$102,7,FALSE),main!$K$26:$Q$29,5,FALSE)),1,0)</f>
        <v>0</v>
      </c>
      <c r="BV209">
        <f>IF(AND(VLOOKUP(BV$1,main!$A$3:$H$102,7,FALSE)=main!$G$105,VLOOKUP(BV$1,main!$A$3:$H$102,5,FALSE)-VLOOKUP($A209,main!$A$3:$H$102,6,FALSE)&gt;=main!$D$103+VLOOKUP(VLOOKUP(BV$1,main!$A$3:$I$102,7,FALSE),main!$K$26:$Q$29,5,FALSE)),1,0)</f>
        <v>0</v>
      </c>
      <c r="BW209">
        <f>IF(AND(VLOOKUP(BW$1,main!$A$3:$H$102,7,FALSE)=main!$G$105,VLOOKUP(BW$1,main!$A$3:$H$102,5,FALSE)-VLOOKUP($A209,main!$A$3:$H$102,6,FALSE)&gt;=main!$D$103+VLOOKUP(VLOOKUP(BW$1,main!$A$3:$I$102,7,FALSE),main!$K$26:$Q$29,5,FALSE)),1,0)</f>
        <v>0</v>
      </c>
      <c r="BX209">
        <f>IF(AND(VLOOKUP(BX$1,main!$A$3:$H$102,7,FALSE)=main!$G$105,VLOOKUP(BX$1,main!$A$3:$H$102,5,FALSE)-VLOOKUP($A209,main!$A$3:$H$102,6,FALSE)&gt;=main!$D$103+VLOOKUP(VLOOKUP(BX$1,main!$A$3:$I$102,7,FALSE),main!$K$26:$Q$29,5,FALSE)),1,0)</f>
        <v>0</v>
      </c>
      <c r="BY209">
        <f>IF(AND(VLOOKUP(BY$1,main!$A$3:$H$102,7,FALSE)=main!$G$105,VLOOKUP(BY$1,main!$A$3:$H$102,5,FALSE)-VLOOKUP($A209,main!$A$3:$H$102,6,FALSE)&gt;=main!$D$103+VLOOKUP(VLOOKUP(BY$1,main!$A$3:$I$102,7,FALSE),main!$K$26:$Q$29,5,FALSE)),1,0)</f>
        <v>0</v>
      </c>
      <c r="BZ209">
        <f>IF(AND(VLOOKUP(BZ$1,main!$A$3:$H$102,7,FALSE)=main!$G$105,VLOOKUP(BZ$1,main!$A$3:$H$102,5,FALSE)-VLOOKUP($A209,main!$A$3:$H$102,6,FALSE)&gt;=main!$D$103+VLOOKUP(VLOOKUP(BZ$1,main!$A$3:$I$102,7,FALSE),main!$K$26:$Q$29,5,FALSE)),1,0)</f>
        <v>0</v>
      </c>
      <c r="CA209">
        <f>IF(AND(VLOOKUP(CA$1,main!$A$3:$H$102,7,FALSE)=main!$G$105,VLOOKUP(CA$1,main!$A$3:$H$102,5,FALSE)-VLOOKUP($A209,main!$A$3:$H$102,6,FALSE)&gt;=main!$D$103+VLOOKUP(VLOOKUP(CA$1,main!$A$3:$I$102,7,FALSE),main!$K$26:$Q$29,5,FALSE)),1,0)</f>
        <v>0</v>
      </c>
      <c r="CB209">
        <f>IF(AND(VLOOKUP(CB$1,main!$A$3:$H$102,7,FALSE)=main!$G$105,VLOOKUP(CB$1,main!$A$3:$H$102,5,FALSE)-VLOOKUP($A209,main!$A$3:$H$102,6,FALSE)&gt;=main!$D$103+VLOOKUP(VLOOKUP(CB$1,main!$A$3:$I$102,7,FALSE),main!$K$26:$Q$29,5,FALSE)),1,0)</f>
        <v>0</v>
      </c>
      <c r="CC209">
        <f>IF(AND(VLOOKUP(CC$1,main!$A$3:$H$102,7,FALSE)=main!$G$105,VLOOKUP(CC$1,main!$A$3:$H$102,5,FALSE)-VLOOKUP($A209,main!$A$3:$H$102,6,FALSE)&gt;=main!$D$103+VLOOKUP(VLOOKUP(CC$1,main!$A$3:$I$102,7,FALSE),main!$K$26:$Q$29,5,FALSE)),1,0)</f>
        <v>0</v>
      </c>
      <c r="CD209">
        <f>IF(AND(VLOOKUP(CD$1,main!$A$3:$H$102,7,FALSE)=main!$G$105,VLOOKUP(CD$1,main!$A$3:$H$102,5,FALSE)-VLOOKUP($A209,main!$A$3:$H$102,6,FALSE)&gt;=main!$D$103+VLOOKUP(VLOOKUP(CD$1,main!$A$3:$I$102,7,FALSE),main!$K$26:$Q$29,5,FALSE)),1,0)</f>
        <v>0</v>
      </c>
      <c r="CE209">
        <f>IF(AND(VLOOKUP(CE$1,main!$A$3:$H$102,7,FALSE)=main!$G$105,VLOOKUP(CE$1,main!$A$3:$H$102,5,FALSE)-VLOOKUP($A209,main!$A$3:$H$102,6,FALSE)&gt;=main!$D$103+VLOOKUP(VLOOKUP(CE$1,main!$A$3:$I$102,7,FALSE),main!$K$26:$Q$29,5,FALSE)),1,0)</f>
        <v>0</v>
      </c>
      <c r="CF209">
        <f>IF(AND(VLOOKUP(CF$1,main!$A$3:$H$102,7,FALSE)=main!$G$105,VLOOKUP(CF$1,main!$A$3:$H$102,5,FALSE)-VLOOKUP($A209,main!$A$3:$H$102,6,FALSE)&gt;=main!$D$103+VLOOKUP(VLOOKUP(CF$1,main!$A$3:$I$102,7,FALSE),main!$K$26:$Q$29,5,FALSE)),1,0)</f>
        <v>0</v>
      </c>
      <c r="CG209">
        <f>IF(AND(VLOOKUP(CG$1,main!$A$3:$H$102,7,FALSE)=main!$G$105,VLOOKUP(CG$1,main!$A$3:$H$102,5,FALSE)-VLOOKUP($A209,main!$A$3:$H$102,6,FALSE)&gt;=main!$D$103+VLOOKUP(VLOOKUP(CG$1,main!$A$3:$I$102,7,FALSE),main!$K$26:$Q$29,5,FALSE)),1,0)</f>
        <v>0</v>
      </c>
      <c r="CH209">
        <f>IF(AND(VLOOKUP(CH$1,main!$A$3:$H$102,7,FALSE)=main!$G$105,VLOOKUP(CH$1,main!$A$3:$H$102,5,FALSE)-VLOOKUP($A209,main!$A$3:$H$102,6,FALSE)&gt;=main!$D$103+VLOOKUP(VLOOKUP(CH$1,main!$A$3:$I$102,7,FALSE),main!$K$26:$Q$29,5,FALSE)),1,0)</f>
        <v>0</v>
      </c>
      <c r="CI209">
        <f>IF(AND(VLOOKUP(CI$1,main!$A$3:$H$102,7,FALSE)=main!$G$105,VLOOKUP(CI$1,main!$A$3:$H$102,5,FALSE)-VLOOKUP($A209,main!$A$3:$H$102,6,FALSE)&gt;=main!$D$103+VLOOKUP(VLOOKUP(CI$1,main!$A$3:$I$102,7,FALSE),main!$K$26:$Q$29,5,FALSE)),1,0)</f>
        <v>0</v>
      </c>
      <c r="CJ209">
        <f>IF(AND(VLOOKUP(CJ$1,main!$A$3:$H$102,7,FALSE)=main!$G$105,VLOOKUP(CJ$1,main!$A$3:$H$102,5,FALSE)-VLOOKUP($A209,main!$A$3:$H$102,6,FALSE)&gt;=main!$D$103+VLOOKUP(VLOOKUP(CJ$1,main!$A$3:$I$102,7,FALSE),main!$K$26:$Q$29,5,FALSE)),1,0)</f>
        <v>0</v>
      </c>
      <c r="CK209">
        <f>IF(AND(VLOOKUP(CK$1,main!$A$3:$H$102,7,FALSE)=main!$G$105,VLOOKUP(CK$1,main!$A$3:$H$102,5,FALSE)-VLOOKUP($A209,main!$A$3:$H$102,6,FALSE)&gt;=main!$D$103+VLOOKUP(VLOOKUP(CK$1,main!$A$3:$I$102,7,FALSE),main!$K$26:$Q$29,5,FALSE)),1,0)</f>
        <v>0</v>
      </c>
      <c r="CL209">
        <f>IF(AND(VLOOKUP(CL$1,main!$A$3:$H$102,7,FALSE)=main!$G$105,VLOOKUP(CL$1,main!$A$3:$H$102,5,FALSE)-VLOOKUP($A209,main!$A$3:$H$102,6,FALSE)&gt;=main!$D$103+VLOOKUP(VLOOKUP(CL$1,main!$A$3:$I$102,7,FALSE),main!$K$26:$Q$29,5,FALSE)),1,0)</f>
        <v>0</v>
      </c>
      <c r="CM209">
        <f>IF(AND(VLOOKUP(CM$1,main!$A$3:$H$102,7,FALSE)=main!$G$105,VLOOKUP(CM$1,main!$A$3:$H$102,5,FALSE)-VLOOKUP($A209,main!$A$3:$H$102,6,FALSE)&gt;=main!$D$103+VLOOKUP(VLOOKUP(CM$1,main!$A$3:$I$102,7,FALSE),main!$K$26:$Q$29,5,FALSE)),1,0)</f>
        <v>0</v>
      </c>
      <c r="CN209">
        <f>IF(AND(VLOOKUP(CN$1,main!$A$3:$H$102,7,FALSE)=main!$G$105,VLOOKUP(CN$1,main!$A$3:$H$102,5,FALSE)-VLOOKUP($A209,main!$A$3:$H$102,6,FALSE)&gt;=main!$D$103+VLOOKUP(VLOOKUP(CN$1,main!$A$3:$I$102,7,FALSE),main!$K$26:$Q$29,5,FALSE)),1,0)</f>
        <v>0</v>
      </c>
      <c r="CO209">
        <f>IF(AND(VLOOKUP(CO$1,main!$A$3:$H$102,7,FALSE)=main!$G$105,VLOOKUP(CO$1,main!$A$3:$H$102,5,FALSE)-VLOOKUP($A209,main!$A$3:$H$102,6,FALSE)&gt;=main!$D$103+VLOOKUP(VLOOKUP(CO$1,main!$A$3:$I$102,7,FALSE),main!$K$26:$Q$29,5,FALSE)),1,0)</f>
        <v>0</v>
      </c>
      <c r="CP209">
        <f>IF(AND(VLOOKUP(CP$1,main!$A$3:$H$102,7,FALSE)=main!$G$105,VLOOKUP(CP$1,main!$A$3:$H$102,5,FALSE)-VLOOKUP($A209,main!$A$3:$H$102,6,FALSE)&gt;=main!$D$103+VLOOKUP(VLOOKUP(CP$1,main!$A$3:$I$102,7,FALSE),main!$K$26:$Q$29,5,FALSE)),1,0)</f>
        <v>0</v>
      </c>
      <c r="CQ209">
        <f>IF(AND(VLOOKUP(CQ$1,main!$A$3:$H$102,7,FALSE)=main!$G$105,VLOOKUP(CQ$1,main!$A$3:$H$102,5,FALSE)-VLOOKUP($A209,main!$A$3:$H$102,6,FALSE)&gt;=main!$D$103+VLOOKUP(VLOOKUP(CQ$1,main!$A$3:$I$102,7,FALSE),main!$K$26:$Q$29,5,FALSE)),1,0)</f>
        <v>0</v>
      </c>
      <c r="CR209">
        <f>IF(AND(VLOOKUP(CR$1,main!$A$3:$H$102,7,FALSE)=main!$G$105,VLOOKUP(CR$1,main!$A$3:$H$102,5,FALSE)-VLOOKUP($A209,main!$A$3:$H$102,6,FALSE)&gt;=main!$D$103+VLOOKUP(VLOOKUP(CR$1,main!$A$3:$I$102,7,FALSE),main!$K$26:$Q$29,5,FALSE)),1,0)</f>
        <v>0</v>
      </c>
      <c r="CS209">
        <f>IF(AND(VLOOKUP(CS$1,main!$A$3:$H$102,7,FALSE)=main!$G$105,VLOOKUP(CS$1,main!$A$3:$H$102,5,FALSE)-VLOOKUP($A209,main!$A$3:$H$102,6,FALSE)&gt;=main!$D$103+VLOOKUP(VLOOKUP(CS$1,main!$A$3:$I$102,7,FALSE),main!$K$26:$Q$29,5,FALSE)),1,0)</f>
        <v>0</v>
      </c>
      <c r="CT209">
        <f>IF(AND(VLOOKUP(CT$1,main!$A$3:$H$102,7,FALSE)=main!$G$105,VLOOKUP(CT$1,main!$A$3:$H$102,5,FALSE)-VLOOKUP($A209,main!$A$3:$H$102,6,FALSE)&gt;=main!$D$103+VLOOKUP(VLOOKUP(CT$1,main!$A$3:$I$102,7,FALSE),main!$K$26:$Q$29,5,FALSE)),1,0)</f>
        <v>0</v>
      </c>
      <c r="CU209">
        <f>IF(AND(VLOOKUP(CU$1,main!$A$3:$H$102,7,FALSE)=main!$G$105,VLOOKUP(CU$1,main!$A$3:$H$102,5,FALSE)-VLOOKUP($A209,main!$A$3:$H$102,6,FALSE)&gt;=main!$D$103+VLOOKUP(VLOOKUP(CU$1,main!$A$3:$I$102,7,FALSE),main!$K$26:$Q$29,5,FALSE)),1,0)</f>
        <v>0</v>
      </c>
      <c r="CV209">
        <f>IF(AND(VLOOKUP(CV$1,main!$A$3:$H$102,7,FALSE)=main!$G$105,VLOOKUP(CV$1,main!$A$3:$H$102,5,FALSE)-VLOOKUP($A209,main!$A$3:$H$102,6,FALSE)&gt;=main!$D$103+VLOOKUP(VLOOKUP(CV$1,main!$A$3:$I$102,7,FALSE),main!$K$26:$Q$29,5,FALSE)),1,0)</f>
        <v>0</v>
      </c>
      <c r="CW209">
        <f>IF(AND(VLOOKUP(CW$1,main!$A$3:$H$102,7,FALSE)=main!$G$105,VLOOKUP(CW$1,main!$A$3:$H$102,5,FALSE)-VLOOKUP($A209,main!$A$3:$H$102,6,FALSE)&gt;=main!$D$103+VLOOKUP(VLOOKUP(CW$1,main!$A$3:$I$102,7,FALSE),main!$K$26:$Q$29,5,FALSE)),1,0)</f>
        <v>0</v>
      </c>
      <c r="CX209">
        <f>IF(AND(VLOOKUP(CX$1,main!$A$3:$H$102,7,FALSE)=main!$G$105,VLOOKUP(CX$1,main!$A$3:$H$102,5,FALSE)-VLOOKUP($A209,main!$A$3:$H$102,6,FALSE)&gt;=main!$D$103+VLOOKUP(VLOOKUP(CX$1,main!$A$3:$I$102,7,FALSE),main!$K$26:$Q$29,5,FALSE)),1,0)</f>
        <v>0</v>
      </c>
    </row>
    <row r="210" spans="1:102" x14ac:dyDescent="0.25">
      <c r="A210" s="1">
        <v>6</v>
      </c>
      <c r="B210">
        <v>0</v>
      </c>
      <c r="C210">
        <f>IF(AND(VLOOKUP(C$1,main!$A$3:$H$102,7,FALSE)=main!$G$105,VLOOKUP(C$1,main!$A$3:$H$102,5,FALSE)-VLOOKUP($A210,main!$A$3:$H$102,6,FALSE)&gt;=main!$D$103+VLOOKUP(VLOOKUP(C$1,main!$A$3:$I$102,7,FALSE),main!$K$26:$Q$29,5,FALSE)),1,0)</f>
        <v>0</v>
      </c>
      <c r="D210">
        <f>IF(AND(VLOOKUP(D$1,main!$A$3:$H$102,7,FALSE)=main!$G$105,VLOOKUP(D$1,main!$A$3:$H$102,5,FALSE)-VLOOKUP($A210,main!$A$3:$H$102,6,FALSE)&gt;=main!$D$103+VLOOKUP(VLOOKUP(D$1,main!$A$3:$I$102,7,FALSE),main!$K$26:$Q$29,5,FALSE)),1,0)</f>
        <v>0</v>
      </c>
      <c r="E210">
        <f>IF(AND(VLOOKUP(E$1,main!$A$3:$H$102,7,FALSE)=main!$G$105,VLOOKUP(E$1,main!$A$3:$H$102,5,FALSE)-VLOOKUP($A210,main!$A$3:$H$102,6,FALSE)&gt;=main!$D$103+VLOOKUP(VLOOKUP(E$1,main!$A$3:$I$102,7,FALSE),main!$K$26:$Q$29,5,FALSE)),1,0)</f>
        <v>0</v>
      </c>
      <c r="F210">
        <f>IF(AND(VLOOKUP(F$1,main!$A$3:$H$102,7,FALSE)=main!$G$105,VLOOKUP(F$1,main!$A$3:$H$102,5,FALSE)-VLOOKUP($A210,main!$A$3:$H$102,6,FALSE)&gt;=main!$D$103+VLOOKUP(VLOOKUP(F$1,main!$A$3:$I$102,7,FALSE),main!$K$26:$Q$29,5,FALSE)),1,0)</f>
        <v>0</v>
      </c>
      <c r="G210">
        <f>IF(AND(VLOOKUP(G$1,main!$A$3:$H$102,7,FALSE)=main!$G$105,VLOOKUP(G$1,main!$A$3:$H$102,5,FALSE)-VLOOKUP($A210,main!$A$3:$H$102,6,FALSE)&gt;=main!$D$103+VLOOKUP(VLOOKUP(G$1,main!$A$3:$I$102,7,FALSE),main!$K$26:$Q$29,5,FALSE)),1,0)</f>
        <v>0</v>
      </c>
      <c r="H210">
        <f>IF(AND(VLOOKUP(H$1,main!$A$3:$H$102,7,FALSE)=main!$G$105,VLOOKUP(H$1,main!$A$3:$H$102,5,FALSE)-VLOOKUP($A210,main!$A$3:$H$102,6,FALSE)&gt;=main!$D$103+VLOOKUP(VLOOKUP(H$1,main!$A$3:$I$102,7,FALSE),main!$K$26:$Q$29,5,FALSE)),1,0)</f>
        <v>0</v>
      </c>
      <c r="I210">
        <f>IF(AND(VLOOKUP(I$1,main!$A$3:$H$102,7,FALSE)=main!$G$105,VLOOKUP(I$1,main!$A$3:$H$102,5,FALSE)-VLOOKUP($A210,main!$A$3:$H$102,6,FALSE)&gt;=main!$D$103+VLOOKUP(VLOOKUP(I$1,main!$A$3:$I$102,7,FALSE),main!$K$26:$Q$29,5,FALSE)),1,0)</f>
        <v>0</v>
      </c>
      <c r="J210">
        <f>IF(AND(VLOOKUP(J$1,main!$A$3:$H$102,7,FALSE)=main!$G$105,VLOOKUP(J$1,main!$A$3:$H$102,5,FALSE)-VLOOKUP($A210,main!$A$3:$H$102,6,FALSE)&gt;=main!$D$103+VLOOKUP(VLOOKUP(J$1,main!$A$3:$I$102,7,FALSE),main!$K$26:$Q$29,5,FALSE)),1,0)</f>
        <v>0</v>
      </c>
      <c r="K210">
        <f>IF(AND(VLOOKUP(K$1,main!$A$3:$H$102,7,FALSE)=main!$G$105,VLOOKUP(K$1,main!$A$3:$H$102,5,FALSE)-VLOOKUP($A210,main!$A$3:$H$102,6,FALSE)&gt;=main!$D$103+VLOOKUP(VLOOKUP(K$1,main!$A$3:$I$102,7,FALSE),main!$K$26:$Q$29,5,FALSE)),1,0)</f>
        <v>0</v>
      </c>
      <c r="L210">
        <f>IF(AND(VLOOKUP(L$1,main!$A$3:$H$102,7,FALSE)=main!$G$105,VLOOKUP(L$1,main!$A$3:$H$102,5,FALSE)-VLOOKUP($A210,main!$A$3:$H$102,6,FALSE)&gt;=main!$D$103+VLOOKUP(VLOOKUP(L$1,main!$A$3:$I$102,7,FALSE),main!$K$26:$Q$29,5,FALSE)),1,0)</f>
        <v>0</v>
      </c>
      <c r="M210">
        <f>IF(AND(VLOOKUP(M$1,main!$A$3:$H$102,7,FALSE)=main!$G$105,VLOOKUP(M$1,main!$A$3:$H$102,5,FALSE)-VLOOKUP($A210,main!$A$3:$H$102,6,FALSE)&gt;=main!$D$103+VLOOKUP(VLOOKUP(M$1,main!$A$3:$I$102,7,FALSE),main!$K$26:$Q$29,5,FALSE)),1,0)</f>
        <v>0</v>
      </c>
      <c r="N210">
        <f>IF(AND(VLOOKUP(N$1,main!$A$3:$H$102,7,FALSE)=main!$G$105,VLOOKUP(N$1,main!$A$3:$H$102,5,FALSE)-VLOOKUP($A210,main!$A$3:$H$102,6,FALSE)&gt;=main!$D$103+VLOOKUP(VLOOKUP(N$1,main!$A$3:$I$102,7,FALSE),main!$K$26:$Q$29,5,FALSE)),1,0)</f>
        <v>0</v>
      </c>
      <c r="O210">
        <f>IF(AND(VLOOKUP(O$1,main!$A$3:$H$102,7,FALSE)=main!$G$105,VLOOKUP(O$1,main!$A$3:$H$102,5,FALSE)-VLOOKUP($A210,main!$A$3:$H$102,6,FALSE)&gt;=main!$D$103+VLOOKUP(VLOOKUP(O$1,main!$A$3:$I$102,7,FALSE),main!$K$26:$Q$29,5,FALSE)),1,0)</f>
        <v>0</v>
      </c>
      <c r="P210">
        <f>IF(AND(VLOOKUP(P$1,main!$A$3:$H$102,7,FALSE)=main!$G$105,VLOOKUP(P$1,main!$A$3:$H$102,5,FALSE)-VLOOKUP($A210,main!$A$3:$H$102,6,FALSE)&gt;=main!$D$103+VLOOKUP(VLOOKUP(P$1,main!$A$3:$I$102,7,FALSE),main!$K$26:$Q$29,5,FALSE)),1,0)</f>
        <v>0</v>
      </c>
      <c r="Q210">
        <f>IF(AND(VLOOKUP(Q$1,main!$A$3:$H$102,7,FALSE)=main!$G$105,VLOOKUP(Q$1,main!$A$3:$H$102,5,FALSE)-VLOOKUP($A210,main!$A$3:$H$102,6,FALSE)&gt;=main!$D$103+VLOOKUP(VLOOKUP(Q$1,main!$A$3:$I$102,7,FALSE),main!$K$26:$Q$29,5,FALSE)),1,0)</f>
        <v>0</v>
      </c>
      <c r="R210">
        <f>IF(AND(VLOOKUP(R$1,main!$A$3:$H$102,7,FALSE)=main!$G$105,VLOOKUP(R$1,main!$A$3:$H$102,5,FALSE)-VLOOKUP($A210,main!$A$3:$H$102,6,FALSE)&gt;=main!$D$103+VLOOKUP(VLOOKUP(R$1,main!$A$3:$I$102,7,FALSE),main!$K$26:$Q$29,5,FALSE)),1,0)</f>
        <v>0</v>
      </c>
      <c r="S210">
        <f>IF(AND(VLOOKUP(S$1,main!$A$3:$H$102,7,FALSE)=main!$G$105,VLOOKUP(S$1,main!$A$3:$H$102,5,FALSE)-VLOOKUP($A210,main!$A$3:$H$102,6,FALSE)&gt;=main!$D$103+VLOOKUP(VLOOKUP(S$1,main!$A$3:$I$102,7,FALSE),main!$K$26:$Q$29,5,FALSE)),1,0)</f>
        <v>0</v>
      </c>
      <c r="T210">
        <f>IF(AND(VLOOKUP(T$1,main!$A$3:$H$102,7,FALSE)=main!$G$105,VLOOKUP(T$1,main!$A$3:$H$102,5,FALSE)-VLOOKUP($A210,main!$A$3:$H$102,6,FALSE)&gt;=main!$D$103+VLOOKUP(VLOOKUP(T$1,main!$A$3:$I$102,7,FALSE),main!$K$26:$Q$29,5,FALSE)),1,0)</f>
        <v>0</v>
      </c>
      <c r="U210">
        <f>IF(AND(VLOOKUP(U$1,main!$A$3:$H$102,7,FALSE)=main!$G$105,VLOOKUP(U$1,main!$A$3:$H$102,5,FALSE)-VLOOKUP($A210,main!$A$3:$H$102,6,FALSE)&gt;=main!$D$103+VLOOKUP(VLOOKUP(U$1,main!$A$3:$I$102,7,FALSE),main!$K$26:$Q$29,5,FALSE)),1,0)</f>
        <v>0</v>
      </c>
      <c r="V210">
        <f>IF(AND(VLOOKUP(V$1,main!$A$3:$H$102,7,FALSE)=main!$G$105,VLOOKUP(V$1,main!$A$3:$H$102,5,FALSE)-VLOOKUP($A210,main!$A$3:$H$102,6,FALSE)&gt;=main!$D$103+VLOOKUP(VLOOKUP(V$1,main!$A$3:$I$102,7,FALSE),main!$K$26:$Q$29,5,FALSE)),1,0)</f>
        <v>0</v>
      </c>
      <c r="W210">
        <f>IF(AND(VLOOKUP(W$1,main!$A$3:$H$102,7,FALSE)=main!$G$105,VLOOKUP(W$1,main!$A$3:$H$102,5,FALSE)-VLOOKUP($A210,main!$A$3:$H$102,6,FALSE)&gt;=main!$D$103+VLOOKUP(VLOOKUP(W$1,main!$A$3:$I$102,7,FALSE),main!$K$26:$Q$29,5,FALSE)),1,0)</f>
        <v>0</v>
      </c>
      <c r="X210">
        <f>IF(AND(VLOOKUP(X$1,main!$A$3:$H$102,7,FALSE)=main!$G$105,VLOOKUP(X$1,main!$A$3:$H$102,5,FALSE)-VLOOKUP($A210,main!$A$3:$H$102,6,FALSE)&gt;=main!$D$103+VLOOKUP(VLOOKUP(X$1,main!$A$3:$I$102,7,FALSE),main!$K$26:$Q$29,5,FALSE)),1,0)</f>
        <v>0</v>
      </c>
      <c r="Y210">
        <f>IF(AND(VLOOKUP(Y$1,main!$A$3:$H$102,7,FALSE)=main!$G$105,VLOOKUP(Y$1,main!$A$3:$H$102,5,FALSE)-VLOOKUP($A210,main!$A$3:$H$102,6,FALSE)&gt;=main!$D$103+VLOOKUP(VLOOKUP(Y$1,main!$A$3:$I$102,7,FALSE),main!$K$26:$Q$29,5,FALSE)),1,0)</f>
        <v>0</v>
      </c>
      <c r="Z210">
        <f>IF(AND(VLOOKUP(Z$1,main!$A$3:$H$102,7,FALSE)=main!$G$105,VLOOKUP(Z$1,main!$A$3:$H$102,5,FALSE)-VLOOKUP($A210,main!$A$3:$H$102,6,FALSE)&gt;=main!$D$103+VLOOKUP(VLOOKUP(Z$1,main!$A$3:$I$102,7,FALSE),main!$K$26:$Q$29,5,FALSE)),1,0)</f>
        <v>0</v>
      </c>
      <c r="AA210">
        <f>IF(AND(VLOOKUP(AA$1,main!$A$3:$H$102,7,FALSE)=main!$G$105,VLOOKUP(AA$1,main!$A$3:$H$102,5,FALSE)-VLOOKUP($A210,main!$A$3:$H$102,6,FALSE)&gt;=main!$D$103+VLOOKUP(VLOOKUP(AA$1,main!$A$3:$I$102,7,FALSE),main!$K$26:$Q$29,5,FALSE)),1,0)</f>
        <v>0</v>
      </c>
      <c r="AB210">
        <f>IF(AND(VLOOKUP(AB$1,main!$A$3:$H$102,7,FALSE)=main!$G$105,VLOOKUP(AB$1,main!$A$3:$H$102,5,FALSE)-VLOOKUP($A210,main!$A$3:$H$102,6,FALSE)&gt;=main!$D$103+VLOOKUP(VLOOKUP(AB$1,main!$A$3:$I$102,7,FALSE),main!$K$26:$Q$29,5,FALSE)),1,0)</f>
        <v>0</v>
      </c>
      <c r="AC210">
        <f>IF(AND(VLOOKUP(AC$1,main!$A$3:$H$102,7,FALSE)=main!$G$105,VLOOKUP(AC$1,main!$A$3:$H$102,5,FALSE)-VLOOKUP($A210,main!$A$3:$H$102,6,FALSE)&gt;=main!$D$103+VLOOKUP(VLOOKUP(AC$1,main!$A$3:$I$102,7,FALSE),main!$K$26:$Q$29,5,FALSE)),1,0)</f>
        <v>0</v>
      </c>
      <c r="AD210">
        <f>IF(AND(VLOOKUP(AD$1,main!$A$3:$H$102,7,FALSE)=main!$G$105,VLOOKUP(AD$1,main!$A$3:$H$102,5,FALSE)-VLOOKUP($A210,main!$A$3:$H$102,6,FALSE)&gt;=main!$D$103+VLOOKUP(VLOOKUP(AD$1,main!$A$3:$I$102,7,FALSE),main!$K$26:$Q$29,5,FALSE)),1,0)</f>
        <v>0</v>
      </c>
      <c r="AE210">
        <f>IF(AND(VLOOKUP(AE$1,main!$A$3:$H$102,7,FALSE)=main!$G$105,VLOOKUP(AE$1,main!$A$3:$H$102,5,FALSE)-VLOOKUP($A210,main!$A$3:$H$102,6,FALSE)&gt;=main!$D$103+VLOOKUP(VLOOKUP(AE$1,main!$A$3:$I$102,7,FALSE),main!$K$26:$Q$29,5,FALSE)),1,0)</f>
        <v>0</v>
      </c>
      <c r="AF210">
        <f>IF(AND(VLOOKUP(AF$1,main!$A$3:$H$102,7,FALSE)=main!$G$105,VLOOKUP(AF$1,main!$A$3:$H$102,5,FALSE)-VLOOKUP($A210,main!$A$3:$H$102,6,FALSE)&gt;=main!$D$103+VLOOKUP(VLOOKUP(AF$1,main!$A$3:$I$102,7,FALSE),main!$K$26:$Q$29,5,FALSE)),1,0)</f>
        <v>0</v>
      </c>
      <c r="AG210">
        <f>IF(AND(VLOOKUP(AG$1,main!$A$3:$H$102,7,FALSE)=main!$G$105,VLOOKUP(AG$1,main!$A$3:$H$102,5,FALSE)-VLOOKUP($A210,main!$A$3:$H$102,6,FALSE)&gt;=main!$D$103+VLOOKUP(VLOOKUP(AG$1,main!$A$3:$I$102,7,FALSE),main!$K$26:$Q$29,5,FALSE)),1,0)</f>
        <v>0</v>
      </c>
      <c r="AH210">
        <f>IF(AND(VLOOKUP(AH$1,main!$A$3:$H$102,7,FALSE)=main!$G$105,VLOOKUP(AH$1,main!$A$3:$H$102,5,FALSE)-VLOOKUP($A210,main!$A$3:$H$102,6,FALSE)&gt;=main!$D$103+VLOOKUP(VLOOKUP(AH$1,main!$A$3:$I$102,7,FALSE),main!$K$26:$Q$29,5,FALSE)),1,0)</f>
        <v>0</v>
      </c>
      <c r="AI210">
        <f>IF(AND(VLOOKUP(AI$1,main!$A$3:$H$102,7,FALSE)=main!$G$105,VLOOKUP(AI$1,main!$A$3:$H$102,5,FALSE)-VLOOKUP($A210,main!$A$3:$H$102,6,FALSE)&gt;=main!$D$103+VLOOKUP(VLOOKUP(AI$1,main!$A$3:$I$102,7,FALSE),main!$K$26:$Q$29,5,FALSE)),1,0)</f>
        <v>0</v>
      </c>
      <c r="AJ210">
        <f>IF(AND(VLOOKUP(AJ$1,main!$A$3:$H$102,7,FALSE)=main!$G$105,VLOOKUP(AJ$1,main!$A$3:$H$102,5,FALSE)-VLOOKUP($A210,main!$A$3:$H$102,6,FALSE)&gt;=main!$D$103+VLOOKUP(VLOOKUP(AJ$1,main!$A$3:$I$102,7,FALSE),main!$K$26:$Q$29,5,FALSE)),1,0)</f>
        <v>0</v>
      </c>
      <c r="AK210">
        <f>IF(AND(VLOOKUP(AK$1,main!$A$3:$H$102,7,FALSE)=main!$G$105,VLOOKUP(AK$1,main!$A$3:$H$102,5,FALSE)-VLOOKUP($A210,main!$A$3:$H$102,6,FALSE)&gt;=main!$D$103+VLOOKUP(VLOOKUP(AK$1,main!$A$3:$I$102,7,FALSE),main!$K$26:$Q$29,5,FALSE)),1,0)</f>
        <v>0</v>
      </c>
      <c r="AL210">
        <f>IF(AND(VLOOKUP(AL$1,main!$A$3:$H$102,7,FALSE)=main!$G$105,VLOOKUP(AL$1,main!$A$3:$H$102,5,FALSE)-VLOOKUP($A210,main!$A$3:$H$102,6,FALSE)&gt;=main!$D$103+VLOOKUP(VLOOKUP(AL$1,main!$A$3:$I$102,7,FALSE),main!$K$26:$Q$29,5,FALSE)),1,0)</f>
        <v>0</v>
      </c>
      <c r="AM210">
        <f>IF(AND(VLOOKUP(AM$1,main!$A$3:$H$102,7,FALSE)=main!$G$105,VLOOKUP(AM$1,main!$A$3:$H$102,5,FALSE)-VLOOKUP($A210,main!$A$3:$H$102,6,FALSE)&gt;=main!$D$103+VLOOKUP(VLOOKUP(AM$1,main!$A$3:$I$102,7,FALSE),main!$K$26:$Q$29,5,FALSE)),1,0)</f>
        <v>0</v>
      </c>
      <c r="AN210">
        <f>IF(AND(VLOOKUP(AN$1,main!$A$3:$H$102,7,FALSE)=main!$G$105,VLOOKUP(AN$1,main!$A$3:$H$102,5,FALSE)-VLOOKUP($A210,main!$A$3:$H$102,6,FALSE)&gt;=main!$D$103+VLOOKUP(VLOOKUP(AN$1,main!$A$3:$I$102,7,FALSE),main!$K$26:$Q$29,5,FALSE)),1,0)</f>
        <v>1</v>
      </c>
      <c r="AO210">
        <f>IF(AND(VLOOKUP(AO$1,main!$A$3:$H$102,7,FALSE)=main!$G$105,VLOOKUP(AO$1,main!$A$3:$H$102,5,FALSE)-VLOOKUP($A210,main!$A$3:$H$102,6,FALSE)&gt;=main!$D$103+VLOOKUP(VLOOKUP(AO$1,main!$A$3:$I$102,7,FALSE),main!$K$26:$Q$29,5,FALSE)),1,0)</f>
        <v>0</v>
      </c>
      <c r="AP210">
        <f>IF(AND(VLOOKUP(AP$1,main!$A$3:$H$102,7,FALSE)=main!$G$105,VLOOKUP(AP$1,main!$A$3:$H$102,5,FALSE)-VLOOKUP($A210,main!$A$3:$H$102,6,FALSE)&gt;=main!$D$103+VLOOKUP(VLOOKUP(AP$1,main!$A$3:$I$102,7,FALSE),main!$K$26:$Q$29,5,FALSE)),1,0)</f>
        <v>1</v>
      </c>
      <c r="AQ210">
        <f>IF(AND(VLOOKUP(AQ$1,main!$A$3:$H$102,7,FALSE)=main!$G$105,VLOOKUP(AQ$1,main!$A$3:$H$102,5,FALSE)-VLOOKUP($A210,main!$A$3:$H$102,6,FALSE)&gt;=main!$D$103+VLOOKUP(VLOOKUP(AQ$1,main!$A$3:$I$102,7,FALSE),main!$K$26:$Q$29,5,FALSE)),1,0)</f>
        <v>0</v>
      </c>
      <c r="AR210">
        <f>IF(AND(VLOOKUP(AR$1,main!$A$3:$H$102,7,FALSE)=main!$G$105,VLOOKUP(AR$1,main!$A$3:$H$102,5,FALSE)-VLOOKUP($A210,main!$A$3:$H$102,6,FALSE)&gt;=main!$D$103+VLOOKUP(VLOOKUP(AR$1,main!$A$3:$I$102,7,FALSE),main!$K$26:$Q$29,5,FALSE)),1,0)</f>
        <v>0</v>
      </c>
      <c r="AS210">
        <f>IF(AND(VLOOKUP(AS$1,main!$A$3:$H$102,7,FALSE)=main!$G$105,VLOOKUP(AS$1,main!$A$3:$H$102,5,FALSE)-VLOOKUP($A210,main!$A$3:$H$102,6,FALSE)&gt;=main!$D$103+VLOOKUP(VLOOKUP(AS$1,main!$A$3:$I$102,7,FALSE),main!$K$26:$Q$29,5,FALSE)),1,0)</f>
        <v>0</v>
      </c>
      <c r="AT210">
        <f>IF(AND(VLOOKUP(AT$1,main!$A$3:$H$102,7,FALSE)=main!$G$105,VLOOKUP(AT$1,main!$A$3:$H$102,5,FALSE)-VLOOKUP($A210,main!$A$3:$H$102,6,FALSE)&gt;=main!$D$103+VLOOKUP(VLOOKUP(AT$1,main!$A$3:$I$102,7,FALSE),main!$K$26:$Q$29,5,FALSE)),1,0)</f>
        <v>0</v>
      </c>
      <c r="AU210">
        <f>IF(AND(VLOOKUP(AU$1,main!$A$3:$H$102,7,FALSE)=main!$G$105,VLOOKUP(AU$1,main!$A$3:$H$102,5,FALSE)-VLOOKUP($A210,main!$A$3:$H$102,6,FALSE)&gt;=main!$D$103+VLOOKUP(VLOOKUP(AU$1,main!$A$3:$I$102,7,FALSE),main!$K$26:$Q$29,5,FALSE)),1,0)</f>
        <v>0</v>
      </c>
      <c r="AV210">
        <f>IF(AND(VLOOKUP(AV$1,main!$A$3:$H$102,7,FALSE)=main!$G$105,VLOOKUP(AV$1,main!$A$3:$H$102,5,FALSE)-VLOOKUP($A210,main!$A$3:$H$102,6,FALSE)&gt;=main!$D$103+VLOOKUP(VLOOKUP(AV$1,main!$A$3:$I$102,7,FALSE),main!$K$26:$Q$29,5,FALSE)),1,0)</f>
        <v>0</v>
      </c>
      <c r="AW210">
        <f>IF(AND(VLOOKUP(AW$1,main!$A$3:$H$102,7,FALSE)=main!$G$105,VLOOKUP(AW$1,main!$A$3:$H$102,5,FALSE)-VLOOKUP($A210,main!$A$3:$H$102,6,FALSE)&gt;=main!$D$103+VLOOKUP(VLOOKUP(AW$1,main!$A$3:$I$102,7,FALSE),main!$K$26:$Q$29,5,FALSE)),1,0)</f>
        <v>0</v>
      </c>
      <c r="AX210">
        <f>IF(AND(VLOOKUP(AX$1,main!$A$3:$H$102,7,FALSE)=main!$G$105,VLOOKUP(AX$1,main!$A$3:$H$102,5,FALSE)-VLOOKUP($A210,main!$A$3:$H$102,6,FALSE)&gt;=main!$D$103+VLOOKUP(VLOOKUP(AX$1,main!$A$3:$I$102,7,FALSE),main!$K$26:$Q$29,5,FALSE)),1,0)</f>
        <v>0</v>
      </c>
      <c r="AY210">
        <f>IF(AND(VLOOKUP(AY$1,main!$A$3:$H$102,7,FALSE)=main!$G$105,VLOOKUP(AY$1,main!$A$3:$H$102,5,FALSE)-VLOOKUP($A210,main!$A$3:$H$102,6,FALSE)&gt;=main!$D$103+VLOOKUP(VLOOKUP(AY$1,main!$A$3:$I$102,7,FALSE),main!$K$26:$Q$29,5,FALSE)),1,0)</f>
        <v>0</v>
      </c>
      <c r="AZ210">
        <f>IF(AND(VLOOKUP(AZ$1,main!$A$3:$H$102,7,FALSE)=main!$G$105,VLOOKUP(AZ$1,main!$A$3:$H$102,5,FALSE)-VLOOKUP($A210,main!$A$3:$H$102,6,FALSE)&gt;=main!$D$103+VLOOKUP(VLOOKUP(AZ$1,main!$A$3:$I$102,7,FALSE),main!$K$26:$Q$29,5,FALSE)),1,0)</f>
        <v>0</v>
      </c>
      <c r="BA210">
        <f>IF(AND(VLOOKUP(BA$1,main!$A$3:$H$102,7,FALSE)=main!$G$105,VLOOKUP(BA$1,main!$A$3:$H$102,5,FALSE)-VLOOKUP($A210,main!$A$3:$H$102,6,FALSE)&gt;=main!$D$103+VLOOKUP(VLOOKUP(BA$1,main!$A$3:$I$102,7,FALSE),main!$K$26:$Q$29,5,FALSE)),1,0)</f>
        <v>0</v>
      </c>
      <c r="BB210">
        <f>IF(AND(VLOOKUP(BB$1,main!$A$3:$H$102,7,FALSE)=main!$G$105,VLOOKUP(BB$1,main!$A$3:$H$102,5,FALSE)-VLOOKUP($A210,main!$A$3:$H$102,6,FALSE)&gt;=main!$D$103+VLOOKUP(VLOOKUP(BB$1,main!$A$3:$I$102,7,FALSE),main!$K$26:$Q$29,5,FALSE)),1,0)</f>
        <v>0</v>
      </c>
      <c r="BC210">
        <f>IF(AND(VLOOKUP(BC$1,main!$A$3:$H$102,7,FALSE)=main!$G$105,VLOOKUP(BC$1,main!$A$3:$H$102,5,FALSE)-VLOOKUP($A210,main!$A$3:$H$102,6,FALSE)&gt;=main!$D$103+VLOOKUP(VLOOKUP(BC$1,main!$A$3:$I$102,7,FALSE),main!$K$26:$Q$29,5,FALSE)),1,0)</f>
        <v>0</v>
      </c>
      <c r="BD210">
        <f>IF(AND(VLOOKUP(BD$1,main!$A$3:$H$102,7,FALSE)=main!$G$105,VLOOKUP(BD$1,main!$A$3:$H$102,5,FALSE)-VLOOKUP($A210,main!$A$3:$H$102,6,FALSE)&gt;=main!$D$103+VLOOKUP(VLOOKUP(BD$1,main!$A$3:$I$102,7,FALSE),main!$K$26:$Q$29,5,FALSE)),1,0)</f>
        <v>0</v>
      </c>
      <c r="BE210">
        <f>IF(AND(VLOOKUP(BE$1,main!$A$3:$H$102,7,FALSE)=main!$G$105,VLOOKUP(BE$1,main!$A$3:$H$102,5,FALSE)-VLOOKUP($A210,main!$A$3:$H$102,6,FALSE)&gt;=main!$D$103+VLOOKUP(VLOOKUP(BE$1,main!$A$3:$I$102,7,FALSE),main!$K$26:$Q$29,5,FALSE)),1,0)</f>
        <v>0</v>
      </c>
      <c r="BF210">
        <f>IF(AND(VLOOKUP(BF$1,main!$A$3:$H$102,7,FALSE)=main!$G$105,VLOOKUP(BF$1,main!$A$3:$H$102,5,FALSE)-VLOOKUP($A210,main!$A$3:$H$102,6,FALSE)&gt;=main!$D$103+VLOOKUP(VLOOKUP(BF$1,main!$A$3:$I$102,7,FALSE),main!$K$26:$Q$29,5,FALSE)),1,0)</f>
        <v>0</v>
      </c>
      <c r="BG210">
        <f>IF(AND(VLOOKUP(BG$1,main!$A$3:$H$102,7,FALSE)=main!$G$105,VLOOKUP(BG$1,main!$A$3:$H$102,5,FALSE)-VLOOKUP($A210,main!$A$3:$H$102,6,FALSE)&gt;=main!$D$103+VLOOKUP(VLOOKUP(BG$1,main!$A$3:$I$102,7,FALSE),main!$K$26:$Q$29,5,FALSE)),1,0)</f>
        <v>0</v>
      </c>
      <c r="BH210">
        <f>IF(AND(VLOOKUP(BH$1,main!$A$3:$H$102,7,FALSE)=main!$G$105,VLOOKUP(BH$1,main!$A$3:$H$102,5,FALSE)-VLOOKUP($A210,main!$A$3:$H$102,6,FALSE)&gt;=main!$D$103+VLOOKUP(VLOOKUP(BH$1,main!$A$3:$I$102,7,FALSE),main!$K$26:$Q$29,5,FALSE)),1,0)</f>
        <v>0</v>
      </c>
      <c r="BI210">
        <f>IF(AND(VLOOKUP(BI$1,main!$A$3:$H$102,7,FALSE)=main!$G$105,VLOOKUP(BI$1,main!$A$3:$H$102,5,FALSE)-VLOOKUP($A210,main!$A$3:$H$102,6,FALSE)&gt;=main!$D$103+VLOOKUP(VLOOKUP(BI$1,main!$A$3:$I$102,7,FALSE),main!$K$26:$Q$29,5,FALSE)),1,0)</f>
        <v>0</v>
      </c>
      <c r="BJ210">
        <f>IF(AND(VLOOKUP(BJ$1,main!$A$3:$H$102,7,FALSE)=main!$G$105,VLOOKUP(BJ$1,main!$A$3:$H$102,5,FALSE)-VLOOKUP($A210,main!$A$3:$H$102,6,FALSE)&gt;=main!$D$103+VLOOKUP(VLOOKUP(BJ$1,main!$A$3:$I$102,7,FALSE),main!$K$26:$Q$29,5,FALSE)),1,0)</f>
        <v>0</v>
      </c>
      <c r="BK210">
        <f>IF(AND(VLOOKUP(BK$1,main!$A$3:$H$102,7,FALSE)=main!$G$105,VLOOKUP(BK$1,main!$A$3:$H$102,5,FALSE)-VLOOKUP($A210,main!$A$3:$H$102,6,FALSE)&gt;=main!$D$103+VLOOKUP(VLOOKUP(BK$1,main!$A$3:$I$102,7,FALSE),main!$K$26:$Q$29,5,FALSE)),1,0)</f>
        <v>0</v>
      </c>
      <c r="BL210">
        <f>IF(AND(VLOOKUP(BL$1,main!$A$3:$H$102,7,FALSE)=main!$G$105,VLOOKUP(BL$1,main!$A$3:$H$102,5,FALSE)-VLOOKUP($A210,main!$A$3:$H$102,6,FALSE)&gt;=main!$D$103+VLOOKUP(VLOOKUP(BL$1,main!$A$3:$I$102,7,FALSE),main!$K$26:$Q$29,5,FALSE)),1,0)</f>
        <v>0</v>
      </c>
      <c r="BM210">
        <f>IF(AND(VLOOKUP(BM$1,main!$A$3:$H$102,7,FALSE)=main!$G$105,VLOOKUP(BM$1,main!$A$3:$H$102,5,FALSE)-VLOOKUP($A210,main!$A$3:$H$102,6,FALSE)&gt;=main!$D$103+VLOOKUP(VLOOKUP(BM$1,main!$A$3:$I$102,7,FALSE),main!$K$26:$Q$29,5,FALSE)),1,0)</f>
        <v>0</v>
      </c>
      <c r="BN210">
        <f>IF(AND(VLOOKUP(BN$1,main!$A$3:$H$102,7,FALSE)=main!$G$105,VLOOKUP(BN$1,main!$A$3:$H$102,5,FALSE)-VLOOKUP($A210,main!$A$3:$H$102,6,FALSE)&gt;=main!$D$103+VLOOKUP(VLOOKUP(BN$1,main!$A$3:$I$102,7,FALSE),main!$K$26:$Q$29,5,FALSE)),1,0)</f>
        <v>0</v>
      </c>
      <c r="BO210">
        <f>IF(AND(VLOOKUP(BO$1,main!$A$3:$H$102,7,FALSE)=main!$G$105,VLOOKUP(BO$1,main!$A$3:$H$102,5,FALSE)-VLOOKUP($A210,main!$A$3:$H$102,6,FALSE)&gt;=main!$D$103+VLOOKUP(VLOOKUP(BO$1,main!$A$3:$I$102,7,FALSE),main!$K$26:$Q$29,5,FALSE)),1,0)</f>
        <v>0</v>
      </c>
      <c r="BP210">
        <f>IF(AND(VLOOKUP(BP$1,main!$A$3:$H$102,7,FALSE)=main!$G$105,VLOOKUP(BP$1,main!$A$3:$H$102,5,FALSE)-VLOOKUP($A210,main!$A$3:$H$102,6,FALSE)&gt;=main!$D$103+VLOOKUP(VLOOKUP(BP$1,main!$A$3:$I$102,7,FALSE),main!$K$26:$Q$29,5,FALSE)),1,0)</f>
        <v>0</v>
      </c>
      <c r="BQ210">
        <f>IF(AND(VLOOKUP(BQ$1,main!$A$3:$H$102,7,FALSE)=main!$G$105,VLOOKUP(BQ$1,main!$A$3:$H$102,5,FALSE)-VLOOKUP($A210,main!$A$3:$H$102,6,FALSE)&gt;=main!$D$103+VLOOKUP(VLOOKUP(BQ$1,main!$A$3:$I$102,7,FALSE),main!$K$26:$Q$29,5,FALSE)),1,0)</f>
        <v>0</v>
      </c>
      <c r="BR210">
        <f>IF(AND(VLOOKUP(BR$1,main!$A$3:$H$102,7,FALSE)=main!$G$105,VLOOKUP(BR$1,main!$A$3:$H$102,5,FALSE)-VLOOKUP($A210,main!$A$3:$H$102,6,FALSE)&gt;=main!$D$103+VLOOKUP(VLOOKUP(BR$1,main!$A$3:$I$102,7,FALSE),main!$K$26:$Q$29,5,FALSE)),1,0)</f>
        <v>0</v>
      </c>
      <c r="BS210">
        <f>IF(AND(VLOOKUP(BS$1,main!$A$3:$H$102,7,FALSE)=main!$G$105,VLOOKUP(BS$1,main!$A$3:$H$102,5,FALSE)-VLOOKUP($A210,main!$A$3:$H$102,6,FALSE)&gt;=main!$D$103+VLOOKUP(VLOOKUP(BS$1,main!$A$3:$I$102,7,FALSE),main!$K$26:$Q$29,5,FALSE)),1,0)</f>
        <v>0</v>
      </c>
      <c r="BT210">
        <f>IF(AND(VLOOKUP(BT$1,main!$A$3:$H$102,7,FALSE)=main!$G$105,VLOOKUP(BT$1,main!$A$3:$H$102,5,FALSE)-VLOOKUP($A210,main!$A$3:$H$102,6,FALSE)&gt;=main!$D$103+VLOOKUP(VLOOKUP(BT$1,main!$A$3:$I$102,7,FALSE),main!$K$26:$Q$29,5,FALSE)),1,0)</f>
        <v>0</v>
      </c>
      <c r="BU210">
        <f>IF(AND(VLOOKUP(BU$1,main!$A$3:$H$102,7,FALSE)=main!$G$105,VLOOKUP(BU$1,main!$A$3:$H$102,5,FALSE)-VLOOKUP($A210,main!$A$3:$H$102,6,FALSE)&gt;=main!$D$103+VLOOKUP(VLOOKUP(BU$1,main!$A$3:$I$102,7,FALSE),main!$K$26:$Q$29,5,FALSE)),1,0)</f>
        <v>0</v>
      </c>
      <c r="BV210">
        <f>IF(AND(VLOOKUP(BV$1,main!$A$3:$H$102,7,FALSE)=main!$G$105,VLOOKUP(BV$1,main!$A$3:$H$102,5,FALSE)-VLOOKUP($A210,main!$A$3:$H$102,6,FALSE)&gt;=main!$D$103+VLOOKUP(VLOOKUP(BV$1,main!$A$3:$I$102,7,FALSE),main!$K$26:$Q$29,5,FALSE)),1,0)</f>
        <v>0</v>
      </c>
      <c r="BW210">
        <f>IF(AND(VLOOKUP(BW$1,main!$A$3:$H$102,7,FALSE)=main!$G$105,VLOOKUP(BW$1,main!$A$3:$H$102,5,FALSE)-VLOOKUP($A210,main!$A$3:$H$102,6,FALSE)&gt;=main!$D$103+VLOOKUP(VLOOKUP(BW$1,main!$A$3:$I$102,7,FALSE),main!$K$26:$Q$29,5,FALSE)),1,0)</f>
        <v>0</v>
      </c>
      <c r="BX210">
        <f>IF(AND(VLOOKUP(BX$1,main!$A$3:$H$102,7,FALSE)=main!$G$105,VLOOKUP(BX$1,main!$A$3:$H$102,5,FALSE)-VLOOKUP($A210,main!$A$3:$H$102,6,FALSE)&gt;=main!$D$103+VLOOKUP(VLOOKUP(BX$1,main!$A$3:$I$102,7,FALSE),main!$K$26:$Q$29,5,FALSE)),1,0)</f>
        <v>0</v>
      </c>
      <c r="BY210">
        <f>IF(AND(VLOOKUP(BY$1,main!$A$3:$H$102,7,FALSE)=main!$G$105,VLOOKUP(BY$1,main!$A$3:$H$102,5,FALSE)-VLOOKUP($A210,main!$A$3:$H$102,6,FALSE)&gt;=main!$D$103+VLOOKUP(VLOOKUP(BY$1,main!$A$3:$I$102,7,FALSE),main!$K$26:$Q$29,5,FALSE)),1,0)</f>
        <v>0</v>
      </c>
      <c r="BZ210">
        <f>IF(AND(VLOOKUP(BZ$1,main!$A$3:$H$102,7,FALSE)=main!$G$105,VLOOKUP(BZ$1,main!$A$3:$H$102,5,FALSE)-VLOOKUP($A210,main!$A$3:$H$102,6,FALSE)&gt;=main!$D$103+VLOOKUP(VLOOKUP(BZ$1,main!$A$3:$I$102,7,FALSE),main!$K$26:$Q$29,5,FALSE)),1,0)</f>
        <v>0</v>
      </c>
      <c r="CA210">
        <f>IF(AND(VLOOKUP(CA$1,main!$A$3:$H$102,7,FALSE)=main!$G$105,VLOOKUP(CA$1,main!$A$3:$H$102,5,FALSE)-VLOOKUP($A210,main!$A$3:$H$102,6,FALSE)&gt;=main!$D$103+VLOOKUP(VLOOKUP(CA$1,main!$A$3:$I$102,7,FALSE),main!$K$26:$Q$29,5,FALSE)),1,0)</f>
        <v>0</v>
      </c>
      <c r="CB210">
        <f>IF(AND(VLOOKUP(CB$1,main!$A$3:$H$102,7,FALSE)=main!$G$105,VLOOKUP(CB$1,main!$A$3:$H$102,5,FALSE)-VLOOKUP($A210,main!$A$3:$H$102,6,FALSE)&gt;=main!$D$103+VLOOKUP(VLOOKUP(CB$1,main!$A$3:$I$102,7,FALSE),main!$K$26:$Q$29,5,FALSE)),1,0)</f>
        <v>0</v>
      </c>
      <c r="CC210">
        <f>IF(AND(VLOOKUP(CC$1,main!$A$3:$H$102,7,FALSE)=main!$G$105,VLOOKUP(CC$1,main!$A$3:$H$102,5,FALSE)-VLOOKUP($A210,main!$A$3:$H$102,6,FALSE)&gt;=main!$D$103+VLOOKUP(VLOOKUP(CC$1,main!$A$3:$I$102,7,FALSE),main!$K$26:$Q$29,5,FALSE)),1,0)</f>
        <v>0</v>
      </c>
      <c r="CD210">
        <f>IF(AND(VLOOKUP(CD$1,main!$A$3:$H$102,7,FALSE)=main!$G$105,VLOOKUP(CD$1,main!$A$3:$H$102,5,FALSE)-VLOOKUP($A210,main!$A$3:$H$102,6,FALSE)&gt;=main!$D$103+VLOOKUP(VLOOKUP(CD$1,main!$A$3:$I$102,7,FALSE),main!$K$26:$Q$29,5,FALSE)),1,0)</f>
        <v>0</v>
      </c>
      <c r="CE210">
        <f>IF(AND(VLOOKUP(CE$1,main!$A$3:$H$102,7,FALSE)=main!$G$105,VLOOKUP(CE$1,main!$A$3:$H$102,5,FALSE)-VLOOKUP($A210,main!$A$3:$H$102,6,FALSE)&gt;=main!$D$103+VLOOKUP(VLOOKUP(CE$1,main!$A$3:$I$102,7,FALSE),main!$K$26:$Q$29,5,FALSE)),1,0)</f>
        <v>0</v>
      </c>
      <c r="CF210">
        <f>IF(AND(VLOOKUP(CF$1,main!$A$3:$H$102,7,FALSE)=main!$G$105,VLOOKUP(CF$1,main!$A$3:$H$102,5,FALSE)-VLOOKUP($A210,main!$A$3:$H$102,6,FALSE)&gt;=main!$D$103+VLOOKUP(VLOOKUP(CF$1,main!$A$3:$I$102,7,FALSE),main!$K$26:$Q$29,5,FALSE)),1,0)</f>
        <v>0</v>
      </c>
      <c r="CG210">
        <f>IF(AND(VLOOKUP(CG$1,main!$A$3:$H$102,7,FALSE)=main!$G$105,VLOOKUP(CG$1,main!$A$3:$H$102,5,FALSE)-VLOOKUP($A210,main!$A$3:$H$102,6,FALSE)&gt;=main!$D$103+VLOOKUP(VLOOKUP(CG$1,main!$A$3:$I$102,7,FALSE),main!$K$26:$Q$29,5,FALSE)),1,0)</f>
        <v>0</v>
      </c>
      <c r="CH210">
        <f>IF(AND(VLOOKUP(CH$1,main!$A$3:$H$102,7,FALSE)=main!$G$105,VLOOKUP(CH$1,main!$A$3:$H$102,5,FALSE)-VLOOKUP($A210,main!$A$3:$H$102,6,FALSE)&gt;=main!$D$103+VLOOKUP(VLOOKUP(CH$1,main!$A$3:$I$102,7,FALSE),main!$K$26:$Q$29,5,FALSE)),1,0)</f>
        <v>0</v>
      </c>
      <c r="CI210">
        <f>IF(AND(VLOOKUP(CI$1,main!$A$3:$H$102,7,FALSE)=main!$G$105,VLOOKUP(CI$1,main!$A$3:$H$102,5,FALSE)-VLOOKUP($A210,main!$A$3:$H$102,6,FALSE)&gt;=main!$D$103+VLOOKUP(VLOOKUP(CI$1,main!$A$3:$I$102,7,FALSE),main!$K$26:$Q$29,5,FALSE)),1,0)</f>
        <v>0</v>
      </c>
      <c r="CJ210">
        <f>IF(AND(VLOOKUP(CJ$1,main!$A$3:$H$102,7,FALSE)=main!$G$105,VLOOKUP(CJ$1,main!$A$3:$H$102,5,FALSE)-VLOOKUP($A210,main!$A$3:$H$102,6,FALSE)&gt;=main!$D$103+VLOOKUP(VLOOKUP(CJ$1,main!$A$3:$I$102,7,FALSE),main!$K$26:$Q$29,5,FALSE)),1,0)</f>
        <v>0</v>
      </c>
      <c r="CK210">
        <f>IF(AND(VLOOKUP(CK$1,main!$A$3:$H$102,7,FALSE)=main!$G$105,VLOOKUP(CK$1,main!$A$3:$H$102,5,FALSE)-VLOOKUP($A210,main!$A$3:$H$102,6,FALSE)&gt;=main!$D$103+VLOOKUP(VLOOKUP(CK$1,main!$A$3:$I$102,7,FALSE),main!$K$26:$Q$29,5,FALSE)),1,0)</f>
        <v>0</v>
      </c>
      <c r="CL210">
        <f>IF(AND(VLOOKUP(CL$1,main!$A$3:$H$102,7,FALSE)=main!$G$105,VLOOKUP(CL$1,main!$A$3:$H$102,5,FALSE)-VLOOKUP($A210,main!$A$3:$H$102,6,FALSE)&gt;=main!$D$103+VLOOKUP(VLOOKUP(CL$1,main!$A$3:$I$102,7,FALSE),main!$K$26:$Q$29,5,FALSE)),1,0)</f>
        <v>0</v>
      </c>
      <c r="CM210">
        <f>IF(AND(VLOOKUP(CM$1,main!$A$3:$H$102,7,FALSE)=main!$G$105,VLOOKUP(CM$1,main!$A$3:$H$102,5,FALSE)-VLOOKUP($A210,main!$A$3:$H$102,6,FALSE)&gt;=main!$D$103+VLOOKUP(VLOOKUP(CM$1,main!$A$3:$I$102,7,FALSE),main!$K$26:$Q$29,5,FALSE)),1,0)</f>
        <v>0</v>
      </c>
      <c r="CN210">
        <f>IF(AND(VLOOKUP(CN$1,main!$A$3:$H$102,7,FALSE)=main!$G$105,VLOOKUP(CN$1,main!$A$3:$H$102,5,FALSE)-VLOOKUP($A210,main!$A$3:$H$102,6,FALSE)&gt;=main!$D$103+VLOOKUP(VLOOKUP(CN$1,main!$A$3:$I$102,7,FALSE),main!$K$26:$Q$29,5,FALSE)),1,0)</f>
        <v>0</v>
      </c>
      <c r="CO210">
        <f>IF(AND(VLOOKUP(CO$1,main!$A$3:$H$102,7,FALSE)=main!$G$105,VLOOKUP(CO$1,main!$A$3:$H$102,5,FALSE)-VLOOKUP($A210,main!$A$3:$H$102,6,FALSE)&gt;=main!$D$103+VLOOKUP(VLOOKUP(CO$1,main!$A$3:$I$102,7,FALSE),main!$K$26:$Q$29,5,FALSE)),1,0)</f>
        <v>0</v>
      </c>
      <c r="CP210">
        <f>IF(AND(VLOOKUP(CP$1,main!$A$3:$H$102,7,FALSE)=main!$G$105,VLOOKUP(CP$1,main!$A$3:$H$102,5,FALSE)-VLOOKUP($A210,main!$A$3:$H$102,6,FALSE)&gt;=main!$D$103+VLOOKUP(VLOOKUP(CP$1,main!$A$3:$I$102,7,FALSE),main!$K$26:$Q$29,5,FALSE)),1,0)</f>
        <v>0</v>
      </c>
      <c r="CQ210">
        <f>IF(AND(VLOOKUP(CQ$1,main!$A$3:$H$102,7,FALSE)=main!$G$105,VLOOKUP(CQ$1,main!$A$3:$H$102,5,FALSE)-VLOOKUP($A210,main!$A$3:$H$102,6,FALSE)&gt;=main!$D$103+VLOOKUP(VLOOKUP(CQ$1,main!$A$3:$I$102,7,FALSE),main!$K$26:$Q$29,5,FALSE)),1,0)</f>
        <v>0</v>
      </c>
      <c r="CR210">
        <f>IF(AND(VLOOKUP(CR$1,main!$A$3:$H$102,7,FALSE)=main!$G$105,VLOOKUP(CR$1,main!$A$3:$H$102,5,FALSE)-VLOOKUP($A210,main!$A$3:$H$102,6,FALSE)&gt;=main!$D$103+VLOOKUP(VLOOKUP(CR$1,main!$A$3:$I$102,7,FALSE),main!$K$26:$Q$29,5,FALSE)),1,0)</f>
        <v>0</v>
      </c>
      <c r="CS210">
        <f>IF(AND(VLOOKUP(CS$1,main!$A$3:$H$102,7,FALSE)=main!$G$105,VLOOKUP(CS$1,main!$A$3:$H$102,5,FALSE)-VLOOKUP($A210,main!$A$3:$H$102,6,FALSE)&gt;=main!$D$103+VLOOKUP(VLOOKUP(CS$1,main!$A$3:$I$102,7,FALSE),main!$K$26:$Q$29,5,FALSE)),1,0)</f>
        <v>0</v>
      </c>
      <c r="CT210">
        <f>IF(AND(VLOOKUP(CT$1,main!$A$3:$H$102,7,FALSE)=main!$G$105,VLOOKUP(CT$1,main!$A$3:$H$102,5,FALSE)-VLOOKUP($A210,main!$A$3:$H$102,6,FALSE)&gt;=main!$D$103+VLOOKUP(VLOOKUP(CT$1,main!$A$3:$I$102,7,FALSE),main!$K$26:$Q$29,5,FALSE)),1,0)</f>
        <v>0</v>
      </c>
      <c r="CU210">
        <f>IF(AND(VLOOKUP(CU$1,main!$A$3:$H$102,7,FALSE)=main!$G$105,VLOOKUP(CU$1,main!$A$3:$H$102,5,FALSE)-VLOOKUP($A210,main!$A$3:$H$102,6,FALSE)&gt;=main!$D$103+VLOOKUP(VLOOKUP(CU$1,main!$A$3:$I$102,7,FALSE),main!$K$26:$Q$29,5,FALSE)),1,0)</f>
        <v>0</v>
      </c>
      <c r="CV210">
        <f>IF(AND(VLOOKUP(CV$1,main!$A$3:$H$102,7,FALSE)=main!$G$105,VLOOKUP(CV$1,main!$A$3:$H$102,5,FALSE)-VLOOKUP($A210,main!$A$3:$H$102,6,FALSE)&gt;=main!$D$103+VLOOKUP(VLOOKUP(CV$1,main!$A$3:$I$102,7,FALSE),main!$K$26:$Q$29,5,FALSE)),1,0)</f>
        <v>0</v>
      </c>
      <c r="CW210">
        <f>IF(AND(VLOOKUP(CW$1,main!$A$3:$H$102,7,FALSE)=main!$G$105,VLOOKUP(CW$1,main!$A$3:$H$102,5,FALSE)-VLOOKUP($A210,main!$A$3:$H$102,6,FALSE)&gt;=main!$D$103+VLOOKUP(VLOOKUP(CW$1,main!$A$3:$I$102,7,FALSE),main!$K$26:$Q$29,5,FALSE)),1,0)</f>
        <v>0</v>
      </c>
      <c r="CX210">
        <f>IF(AND(VLOOKUP(CX$1,main!$A$3:$H$102,7,FALSE)=main!$G$105,VLOOKUP(CX$1,main!$A$3:$H$102,5,FALSE)-VLOOKUP($A210,main!$A$3:$H$102,6,FALSE)&gt;=main!$D$103+VLOOKUP(VLOOKUP(CX$1,main!$A$3:$I$102,7,FALSE),main!$K$26:$Q$29,5,FALSE)),1,0)</f>
        <v>0</v>
      </c>
    </row>
    <row r="211" spans="1:102" x14ac:dyDescent="0.25">
      <c r="A211" s="1">
        <v>7</v>
      </c>
      <c r="B211">
        <v>0</v>
      </c>
      <c r="C211">
        <f>IF(AND(VLOOKUP(C$1,main!$A$3:$H$102,7,FALSE)=main!$G$105,VLOOKUP(C$1,main!$A$3:$H$102,5,FALSE)-VLOOKUP($A211,main!$A$3:$H$102,6,FALSE)&gt;=main!$D$103+VLOOKUP(VLOOKUP(C$1,main!$A$3:$I$102,7,FALSE),main!$K$26:$Q$29,5,FALSE)),1,0)</f>
        <v>0</v>
      </c>
      <c r="D211">
        <f>IF(AND(VLOOKUP(D$1,main!$A$3:$H$102,7,FALSE)=main!$G$105,VLOOKUP(D$1,main!$A$3:$H$102,5,FALSE)-VLOOKUP($A211,main!$A$3:$H$102,6,FALSE)&gt;=main!$D$103+VLOOKUP(VLOOKUP(D$1,main!$A$3:$I$102,7,FALSE),main!$K$26:$Q$29,5,FALSE)),1,0)</f>
        <v>0</v>
      </c>
      <c r="E211">
        <f>IF(AND(VLOOKUP(E$1,main!$A$3:$H$102,7,FALSE)=main!$G$105,VLOOKUP(E$1,main!$A$3:$H$102,5,FALSE)-VLOOKUP($A211,main!$A$3:$H$102,6,FALSE)&gt;=main!$D$103+VLOOKUP(VLOOKUP(E$1,main!$A$3:$I$102,7,FALSE),main!$K$26:$Q$29,5,FALSE)),1,0)</f>
        <v>0</v>
      </c>
      <c r="F211">
        <f>IF(AND(VLOOKUP(F$1,main!$A$3:$H$102,7,FALSE)=main!$G$105,VLOOKUP(F$1,main!$A$3:$H$102,5,FALSE)-VLOOKUP($A211,main!$A$3:$H$102,6,FALSE)&gt;=main!$D$103+VLOOKUP(VLOOKUP(F$1,main!$A$3:$I$102,7,FALSE),main!$K$26:$Q$29,5,FALSE)),1,0)</f>
        <v>0</v>
      </c>
      <c r="G211">
        <f>IF(AND(VLOOKUP(G$1,main!$A$3:$H$102,7,FALSE)=main!$G$105,VLOOKUP(G$1,main!$A$3:$H$102,5,FALSE)-VLOOKUP($A211,main!$A$3:$H$102,6,FALSE)&gt;=main!$D$103+VLOOKUP(VLOOKUP(G$1,main!$A$3:$I$102,7,FALSE),main!$K$26:$Q$29,5,FALSE)),1,0)</f>
        <v>0</v>
      </c>
      <c r="H211">
        <f>IF(AND(VLOOKUP(H$1,main!$A$3:$H$102,7,FALSE)=main!$G$105,VLOOKUP(H$1,main!$A$3:$H$102,5,FALSE)-VLOOKUP($A211,main!$A$3:$H$102,6,FALSE)&gt;=main!$D$103+VLOOKUP(VLOOKUP(H$1,main!$A$3:$I$102,7,FALSE),main!$K$26:$Q$29,5,FALSE)),1,0)</f>
        <v>0</v>
      </c>
      <c r="I211">
        <f>IF(AND(VLOOKUP(I$1,main!$A$3:$H$102,7,FALSE)=main!$G$105,VLOOKUP(I$1,main!$A$3:$H$102,5,FALSE)-VLOOKUP($A211,main!$A$3:$H$102,6,FALSE)&gt;=main!$D$103+VLOOKUP(VLOOKUP(I$1,main!$A$3:$I$102,7,FALSE),main!$K$26:$Q$29,5,FALSE)),1,0)</f>
        <v>0</v>
      </c>
      <c r="J211">
        <f>IF(AND(VLOOKUP(J$1,main!$A$3:$H$102,7,FALSE)=main!$G$105,VLOOKUP(J$1,main!$A$3:$H$102,5,FALSE)-VLOOKUP($A211,main!$A$3:$H$102,6,FALSE)&gt;=main!$D$103+VLOOKUP(VLOOKUP(J$1,main!$A$3:$I$102,7,FALSE),main!$K$26:$Q$29,5,FALSE)),1,0)</f>
        <v>0</v>
      </c>
      <c r="K211">
        <f>IF(AND(VLOOKUP(K$1,main!$A$3:$H$102,7,FALSE)=main!$G$105,VLOOKUP(K$1,main!$A$3:$H$102,5,FALSE)-VLOOKUP($A211,main!$A$3:$H$102,6,FALSE)&gt;=main!$D$103+VLOOKUP(VLOOKUP(K$1,main!$A$3:$I$102,7,FALSE),main!$K$26:$Q$29,5,FALSE)),1,0)</f>
        <v>0</v>
      </c>
      <c r="L211">
        <f>IF(AND(VLOOKUP(L$1,main!$A$3:$H$102,7,FALSE)=main!$G$105,VLOOKUP(L$1,main!$A$3:$H$102,5,FALSE)-VLOOKUP($A211,main!$A$3:$H$102,6,FALSE)&gt;=main!$D$103+VLOOKUP(VLOOKUP(L$1,main!$A$3:$I$102,7,FALSE),main!$K$26:$Q$29,5,FALSE)),1,0)</f>
        <v>0</v>
      </c>
      <c r="M211">
        <f>IF(AND(VLOOKUP(M$1,main!$A$3:$H$102,7,FALSE)=main!$G$105,VLOOKUP(M$1,main!$A$3:$H$102,5,FALSE)-VLOOKUP($A211,main!$A$3:$H$102,6,FALSE)&gt;=main!$D$103+VLOOKUP(VLOOKUP(M$1,main!$A$3:$I$102,7,FALSE),main!$K$26:$Q$29,5,FALSE)),1,0)</f>
        <v>0</v>
      </c>
      <c r="N211">
        <f>IF(AND(VLOOKUP(N$1,main!$A$3:$H$102,7,FALSE)=main!$G$105,VLOOKUP(N$1,main!$A$3:$H$102,5,FALSE)-VLOOKUP($A211,main!$A$3:$H$102,6,FALSE)&gt;=main!$D$103+VLOOKUP(VLOOKUP(N$1,main!$A$3:$I$102,7,FALSE),main!$K$26:$Q$29,5,FALSE)),1,0)</f>
        <v>0</v>
      </c>
      <c r="O211">
        <f>IF(AND(VLOOKUP(O$1,main!$A$3:$H$102,7,FALSE)=main!$G$105,VLOOKUP(O$1,main!$A$3:$H$102,5,FALSE)-VLOOKUP($A211,main!$A$3:$H$102,6,FALSE)&gt;=main!$D$103+VLOOKUP(VLOOKUP(O$1,main!$A$3:$I$102,7,FALSE),main!$K$26:$Q$29,5,FALSE)),1,0)</f>
        <v>0</v>
      </c>
      <c r="P211">
        <f>IF(AND(VLOOKUP(P$1,main!$A$3:$H$102,7,FALSE)=main!$G$105,VLOOKUP(P$1,main!$A$3:$H$102,5,FALSE)-VLOOKUP($A211,main!$A$3:$H$102,6,FALSE)&gt;=main!$D$103+VLOOKUP(VLOOKUP(P$1,main!$A$3:$I$102,7,FALSE),main!$K$26:$Q$29,5,FALSE)),1,0)</f>
        <v>0</v>
      </c>
      <c r="Q211">
        <f>IF(AND(VLOOKUP(Q$1,main!$A$3:$H$102,7,FALSE)=main!$G$105,VLOOKUP(Q$1,main!$A$3:$H$102,5,FALSE)-VLOOKUP($A211,main!$A$3:$H$102,6,FALSE)&gt;=main!$D$103+VLOOKUP(VLOOKUP(Q$1,main!$A$3:$I$102,7,FALSE),main!$K$26:$Q$29,5,FALSE)),1,0)</f>
        <v>0</v>
      </c>
      <c r="R211">
        <f>IF(AND(VLOOKUP(R$1,main!$A$3:$H$102,7,FALSE)=main!$G$105,VLOOKUP(R$1,main!$A$3:$H$102,5,FALSE)-VLOOKUP($A211,main!$A$3:$H$102,6,FALSE)&gt;=main!$D$103+VLOOKUP(VLOOKUP(R$1,main!$A$3:$I$102,7,FALSE),main!$K$26:$Q$29,5,FALSE)),1,0)</f>
        <v>0</v>
      </c>
      <c r="S211">
        <f>IF(AND(VLOOKUP(S$1,main!$A$3:$H$102,7,FALSE)=main!$G$105,VLOOKUP(S$1,main!$A$3:$H$102,5,FALSE)-VLOOKUP($A211,main!$A$3:$H$102,6,FALSE)&gt;=main!$D$103+VLOOKUP(VLOOKUP(S$1,main!$A$3:$I$102,7,FALSE),main!$K$26:$Q$29,5,FALSE)),1,0)</f>
        <v>0</v>
      </c>
      <c r="T211">
        <f>IF(AND(VLOOKUP(T$1,main!$A$3:$H$102,7,FALSE)=main!$G$105,VLOOKUP(T$1,main!$A$3:$H$102,5,FALSE)-VLOOKUP($A211,main!$A$3:$H$102,6,FALSE)&gt;=main!$D$103+VLOOKUP(VLOOKUP(T$1,main!$A$3:$I$102,7,FALSE),main!$K$26:$Q$29,5,FALSE)),1,0)</f>
        <v>0</v>
      </c>
      <c r="U211">
        <f>IF(AND(VLOOKUP(U$1,main!$A$3:$H$102,7,FALSE)=main!$G$105,VLOOKUP(U$1,main!$A$3:$H$102,5,FALSE)-VLOOKUP($A211,main!$A$3:$H$102,6,FALSE)&gt;=main!$D$103+VLOOKUP(VLOOKUP(U$1,main!$A$3:$I$102,7,FALSE),main!$K$26:$Q$29,5,FALSE)),1,0)</f>
        <v>0</v>
      </c>
      <c r="V211">
        <f>IF(AND(VLOOKUP(V$1,main!$A$3:$H$102,7,FALSE)=main!$G$105,VLOOKUP(V$1,main!$A$3:$H$102,5,FALSE)-VLOOKUP($A211,main!$A$3:$H$102,6,FALSE)&gt;=main!$D$103+VLOOKUP(VLOOKUP(V$1,main!$A$3:$I$102,7,FALSE),main!$K$26:$Q$29,5,FALSE)),1,0)</f>
        <v>0</v>
      </c>
      <c r="W211">
        <f>IF(AND(VLOOKUP(W$1,main!$A$3:$H$102,7,FALSE)=main!$G$105,VLOOKUP(W$1,main!$A$3:$H$102,5,FALSE)-VLOOKUP($A211,main!$A$3:$H$102,6,FALSE)&gt;=main!$D$103+VLOOKUP(VLOOKUP(W$1,main!$A$3:$I$102,7,FALSE),main!$K$26:$Q$29,5,FALSE)),1,0)</f>
        <v>0</v>
      </c>
      <c r="X211">
        <f>IF(AND(VLOOKUP(X$1,main!$A$3:$H$102,7,FALSE)=main!$G$105,VLOOKUP(X$1,main!$A$3:$H$102,5,FALSE)-VLOOKUP($A211,main!$A$3:$H$102,6,FALSE)&gt;=main!$D$103+VLOOKUP(VLOOKUP(X$1,main!$A$3:$I$102,7,FALSE),main!$K$26:$Q$29,5,FALSE)),1,0)</f>
        <v>0</v>
      </c>
      <c r="Y211">
        <f>IF(AND(VLOOKUP(Y$1,main!$A$3:$H$102,7,FALSE)=main!$G$105,VLOOKUP(Y$1,main!$A$3:$H$102,5,FALSE)-VLOOKUP($A211,main!$A$3:$H$102,6,FALSE)&gt;=main!$D$103+VLOOKUP(VLOOKUP(Y$1,main!$A$3:$I$102,7,FALSE),main!$K$26:$Q$29,5,FALSE)),1,0)</f>
        <v>0</v>
      </c>
      <c r="Z211">
        <f>IF(AND(VLOOKUP(Z$1,main!$A$3:$H$102,7,FALSE)=main!$G$105,VLOOKUP(Z$1,main!$A$3:$H$102,5,FALSE)-VLOOKUP($A211,main!$A$3:$H$102,6,FALSE)&gt;=main!$D$103+VLOOKUP(VLOOKUP(Z$1,main!$A$3:$I$102,7,FALSE),main!$K$26:$Q$29,5,FALSE)),1,0)</f>
        <v>0</v>
      </c>
      <c r="AA211">
        <f>IF(AND(VLOOKUP(AA$1,main!$A$3:$H$102,7,FALSE)=main!$G$105,VLOOKUP(AA$1,main!$A$3:$H$102,5,FALSE)-VLOOKUP($A211,main!$A$3:$H$102,6,FALSE)&gt;=main!$D$103+VLOOKUP(VLOOKUP(AA$1,main!$A$3:$I$102,7,FALSE),main!$K$26:$Q$29,5,FALSE)),1,0)</f>
        <v>0</v>
      </c>
      <c r="AB211">
        <f>IF(AND(VLOOKUP(AB$1,main!$A$3:$H$102,7,FALSE)=main!$G$105,VLOOKUP(AB$1,main!$A$3:$H$102,5,FALSE)-VLOOKUP($A211,main!$A$3:$H$102,6,FALSE)&gt;=main!$D$103+VLOOKUP(VLOOKUP(AB$1,main!$A$3:$I$102,7,FALSE),main!$K$26:$Q$29,5,FALSE)),1,0)</f>
        <v>0</v>
      </c>
      <c r="AC211">
        <f>IF(AND(VLOOKUP(AC$1,main!$A$3:$H$102,7,FALSE)=main!$G$105,VLOOKUP(AC$1,main!$A$3:$H$102,5,FALSE)-VLOOKUP($A211,main!$A$3:$H$102,6,FALSE)&gt;=main!$D$103+VLOOKUP(VLOOKUP(AC$1,main!$A$3:$I$102,7,FALSE),main!$K$26:$Q$29,5,FALSE)),1,0)</f>
        <v>0</v>
      </c>
      <c r="AD211">
        <f>IF(AND(VLOOKUP(AD$1,main!$A$3:$H$102,7,FALSE)=main!$G$105,VLOOKUP(AD$1,main!$A$3:$H$102,5,FALSE)-VLOOKUP($A211,main!$A$3:$H$102,6,FALSE)&gt;=main!$D$103+VLOOKUP(VLOOKUP(AD$1,main!$A$3:$I$102,7,FALSE),main!$K$26:$Q$29,5,FALSE)),1,0)</f>
        <v>0</v>
      </c>
      <c r="AE211">
        <f>IF(AND(VLOOKUP(AE$1,main!$A$3:$H$102,7,FALSE)=main!$G$105,VLOOKUP(AE$1,main!$A$3:$H$102,5,FALSE)-VLOOKUP($A211,main!$A$3:$H$102,6,FALSE)&gt;=main!$D$103+VLOOKUP(VLOOKUP(AE$1,main!$A$3:$I$102,7,FALSE),main!$K$26:$Q$29,5,FALSE)),1,0)</f>
        <v>0</v>
      </c>
      <c r="AF211">
        <f>IF(AND(VLOOKUP(AF$1,main!$A$3:$H$102,7,FALSE)=main!$G$105,VLOOKUP(AF$1,main!$A$3:$H$102,5,FALSE)-VLOOKUP($A211,main!$A$3:$H$102,6,FALSE)&gt;=main!$D$103+VLOOKUP(VLOOKUP(AF$1,main!$A$3:$I$102,7,FALSE),main!$K$26:$Q$29,5,FALSE)),1,0)</f>
        <v>0</v>
      </c>
      <c r="AG211">
        <f>IF(AND(VLOOKUP(AG$1,main!$A$3:$H$102,7,FALSE)=main!$G$105,VLOOKUP(AG$1,main!$A$3:$H$102,5,FALSE)-VLOOKUP($A211,main!$A$3:$H$102,6,FALSE)&gt;=main!$D$103+VLOOKUP(VLOOKUP(AG$1,main!$A$3:$I$102,7,FALSE),main!$K$26:$Q$29,5,FALSE)),1,0)</f>
        <v>0</v>
      </c>
      <c r="AH211">
        <f>IF(AND(VLOOKUP(AH$1,main!$A$3:$H$102,7,FALSE)=main!$G$105,VLOOKUP(AH$1,main!$A$3:$H$102,5,FALSE)-VLOOKUP($A211,main!$A$3:$H$102,6,FALSE)&gt;=main!$D$103+VLOOKUP(VLOOKUP(AH$1,main!$A$3:$I$102,7,FALSE),main!$K$26:$Q$29,5,FALSE)),1,0)</f>
        <v>0</v>
      </c>
      <c r="AI211">
        <f>IF(AND(VLOOKUP(AI$1,main!$A$3:$H$102,7,FALSE)=main!$G$105,VLOOKUP(AI$1,main!$A$3:$H$102,5,FALSE)-VLOOKUP($A211,main!$A$3:$H$102,6,FALSE)&gt;=main!$D$103+VLOOKUP(VLOOKUP(AI$1,main!$A$3:$I$102,7,FALSE),main!$K$26:$Q$29,5,FALSE)),1,0)</f>
        <v>0</v>
      </c>
      <c r="AJ211">
        <f>IF(AND(VLOOKUP(AJ$1,main!$A$3:$H$102,7,FALSE)=main!$G$105,VLOOKUP(AJ$1,main!$A$3:$H$102,5,FALSE)-VLOOKUP($A211,main!$A$3:$H$102,6,FALSE)&gt;=main!$D$103+VLOOKUP(VLOOKUP(AJ$1,main!$A$3:$I$102,7,FALSE),main!$K$26:$Q$29,5,FALSE)),1,0)</f>
        <v>0</v>
      </c>
      <c r="AK211">
        <f>IF(AND(VLOOKUP(AK$1,main!$A$3:$H$102,7,FALSE)=main!$G$105,VLOOKUP(AK$1,main!$A$3:$H$102,5,FALSE)-VLOOKUP($A211,main!$A$3:$H$102,6,FALSE)&gt;=main!$D$103+VLOOKUP(VLOOKUP(AK$1,main!$A$3:$I$102,7,FALSE),main!$K$26:$Q$29,5,FALSE)),1,0)</f>
        <v>0</v>
      </c>
      <c r="AL211">
        <f>IF(AND(VLOOKUP(AL$1,main!$A$3:$H$102,7,FALSE)=main!$G$105,VLOOKUP(AL$1,main!$A$3:$H$102,5,FALSE)-VLOOKUP($A211,main!$A$3:$H$102,6,FALSE)&gt;=main!$D$103+VLOOKUP(VLOOKUP(AL$1,main!$A$3:$I$102,7,FALSE),main!$K$26:$Q$29,5,FALSE)),1,0)</f>
        <v>0</v>
      </c>
      <c r="AM211">
        <f>IF(AND(VLOOKUP(AM$1,main!$A$3:$H$102,7,FALSE)=main!$G$105,VLOOKUP(AM$1,main!$A$3:$H$102,5,FALSE)-VLOOKUP($A211,main!$A$3:$H$102,6,FALSE)&gt;=main!$D$103+VLOOKUP(VLOOKUP(AM$1,main!$A$3:$I$102,7,FALSE),main!$K$26:$Q$29,5,FALSE)),1,0)</f>
        <v>0</v>
      </c>
      <c r="AN211">
        <f>IF(AND(VLOOKUP(AN$1,main!$A$3:$H$102,7,FALSE)=main!$G$105,VLOOKUP(AN$1,main!$A$3:$H$102,5,FALSE)-VLOOKUP($A211,main!$A$3:$H$102,6,FALSE)&gt;=main!$D$103+VLOOKUP(VLOOKUP(AN$1,main!$A$3:$I$102,7,FALSE),main!$K$26:$Q$29,5,FALSE)),1,0)</f>
        <v>0</v>
      </c>
      <c r="AO211">
        <f>IF(AND(VLOOKUP(AO$1,main!$A$3:$H$102,7,FALSE)=main!$G$105,VLOOKUP(AO$1,main!$A$3:$H$102,5,FALSE)-VLOOKUP($A211,main!$A$3:$H$102,6,FALSE)&gt;=main!$D$103+VLOOKUP(VLOOKUP(AO$1,main!$A$3:$I$102,7,FALSE),main!$K$26:$Q$29,5,FALSE)),1,0)</f>
        <v>0</v>
      </c>
      <c r="AP211">
        <f>IF(AND(VLOOKUP(AP$1,main!$A$3:$H$102,7,FALSE)=main!$G$105,VLOOKUP(AP$1,main!$A$3:$H$102,5,FALSE)-VLOOKUP($A211,main!$A$3:$H$102,6,FALSE)&gt;=main!$D$103+VLOOKUP(VLOOKUP(AP$1,main!$A$3:$I$102,7,FALSE),main!$K$26:$Q$29,5,FALSE)),1,0)</f>
        <v>1</v>
      </c>
      <c r="AQ211">
        <f>IF(AND(VLOOKUP(AQ$1,main!$A$3:$H$102,7,FALSE)=main!$G$105,VLOOKUP(AQ$1,main!$A$3:$H$102,5,FALSE)-VLOOKUP($A211,main!$A$3:$H$102,6,FALSE)&gt;=main!$D$103+VLOOKUP(VLOOKUP(AQ$1,main!$A$3:$I$102,7,FALSE),main!$K$26:$Q$29,5,FALSE)),1,0)</f>
        <v>0</v>
      </c>
      <c r="AR211">
        <f>IF(AND(VLOOKUP(AR$1,main!$A$3:$H$102,7,FALSE)=main!$G$105,VLOOKUP(AR$1,main!$A$3:$H$102,5,FALSE)-VLOOKUP($A211,main!$A$3:$H$102,6,FALSE)&gt;=main!$D$103+VLOOKUP(VLOOKUP(AR$1,main!$A$3:$I$102,7,FALSE),main!$K$26:$Q$29,5,FALSE)),1,0)</f>
        <v>0</v>
      </c>
      <c r="AS211">
        <f>IF(AND(VLOOKUP(AS$1,main!$A$3:$H$102,7,FALSE)=main!$G$105,VLOOKUP(AS$1,main!$A$3:$H$102,5,FALSE)-VLOOKUP($A211,main!$A$3:$H$102,6,FALSE)&gt;=main!$D$103+VLOOKUP(VLOOKUP(AS$1,main!$A$3:$I$102,7,FALSE),main!$K$26:$Q$29,5,FALSE)),1,0)</f>
        <v>0</v>
      </c>
      <c r="AT211">
        <f>IF(AND(VLOOKUP(AT$1,main!$A$3:$H$102,7,FALSE)=main!$G$105,VLOOKUP(AT$1,main!$A$3:$H$102,5,FALSE)-VLOOKUP($A211,main!$A$3:$H$102,6,FALSE)&gt;=main!$D$103+VLOOKUP(VLOOKUP(AT$1,main!$A$3:$I$102,7,FALSE),main!$K$26:$Q$29,5,FALSE)),1,0)</f>
        <v>0</v>
      </c>
      <c r="AU211">
        <f>IF(AND(VLOOKUP(AU$1,main!$A$3:$H$102,7,FALSE)=main!$G$105,VLOOKUP(AU$1,main!$A$3:$H$102,5,FALSE)-VLOOKUP($A211,main!$A$3:$H$102,6,FALSE)&gt;=main!$D$103+VLOOKUP(VLOOKUP(AU$1,main!$A$3:$I$102,7,FALSE),main!$K$26:$Q$29,5,FALSE)),1,0)</f>
        <v>0</v>
      </c>
      <c r="AV211">
        <f>IF(AND(VLOOKUP(AV$1,main!$A$3:$H$102,7,FALSE)=main!$G$105,VLOOKUP(AV$1,main!$A$3:$H$102,5,FALSE)-VLOOKUP($A211,main!$A$3:$H$102,6,FALSE)&gt;=main!$D$103+VLOOKUP(VLOOKUP(AV$1,main!$A$3:$I$102,7,FALSE),main!$K$26:$Q$29,5,FALSE)),1,0)</f>
        <v>0</v>
      </c>
      <c r="AW211">
        <f>IF(AND(VLOOKUP(AW$1,main!$A$3:$H$102,7,FALSE)=main!$G$105,VLOOKUP(AW$1,main!$A$3:$H$102,5,FALSE)-VLOOKUP($A211,main!$A$3:$H$102,6,FALSE)&gt;=main!$D$103+VLOOKUP(VLOOKUP(AW$1,main!$A$3:$I$102,7,FALSE),main!$K$26:$Q$29,5,FALSE)),1,0)</f>
        <v>0</v>
      </c>
      <c r="AX211">
        <f>IF(AND(VLOOKUP(AX$1,main!$A$3:$H$102,7,FALSE)=main!$G$105,VLOOKUP(AX$1,main!$A$3:$H$102,5,FALSE)-VLOOKUP($A211,main!$A$3:$H$102,6,FALSE)&gt;=main!$D$103+VLOOKUP(VLOOKUP(AX$1,main!$A$3:$I$102,7,FALSE),main!$K$26:$Q$29,5,FALSE)),1,0)</f>
        <v>0</v>
      </c>
      <c r="AY211">
        <f>IF(AND(VLOOKUP(AY$1,main!$A$3:$H$102,7,FALSE)=main!$G$105,VLOOKUP(AY$1,main!$A$3:$H$102,5,FALSE)-VLOOKUP($A211,main!$A$3:$H$102,6,FALSE)&gt;=main!$D$103+VLOOKUP(VLOOKUP(AY$1,main!$A$3:$I$102,7,FALSE),main!$K$26:$Q$29,5,FALSE)),1,0)</f>
        <v>0</v>
      </c>
      <c r="AZ211">
        <f>IF(AND(VLOOKUP(AZ$1,main!$A$3:$H$102,7,FALSE)=main!$G$105,VLOOKUP(AZ$1,main!$A$3:$H$102,5,FALSE)-VLOOKUP($A211,main!$A$3:$H$102,6,FALSE)&gt;=main!$D$103+VLOOKUP(VLOOKUP(AZ$1,main!$A$3:$I$102,7,FALSE),main!$K$26:$Q$29,5,FALSE)),1,0)</f>
        <v>0</v>
      </c>
      <c r="BA211">
        <f>IF(AND(VLOOKUP(BA$1,main!$A$3:$H$102,7,FALSE)=main!$G$105,VLOOKUP(BA$1,main!$A$3:$H$102,5,FALSE)-VLOOKUP($A211,main!$A$3:$H$102,6,FALSE)&gt;=main!$D$103+VLOOKUP(VLOOKUP(BA$1,main!$A$3:$I$102,7,FALSE),main!$K$26:$Q$29,5,FALSE)),1,0)</f>
        <v>0</v>
      </c>
      <c r="BB211">
        <f>IF(AND(VLOOKUP(BB$1,main!$A$3:$H$102,7,FALSE)=main!$G$105,VLOOKUP(BB$1,main!$A$3:$H$102,5,FALSE)-VLOOKUP($A211,main!$A$3:$H$102,6,FALSE)&gt;=main!$D$103+VLOOKUP(VLOOKUP(BB$1,main!$A$3:$I$102,7,FALSE),main!$K$26:$Q$29,5,FALSE)),1,0)</f>
        <v>0</v>
      </c>
      <c r="BC211">
        <f>IF(AND(VLOOKUP(BC$1,main!$A$3:$H$102,7,FALSE)=main!$G$105,VLOOKUP(BC$1,main!$A$3:$H$102,5,FALSE)-VLOOKUP($A211,main!$A$3:$H$102,6,FALSE)&gt;=main!$D$103+VLOOKUP(VLOOKUP(BC$1,main!$A$3:$I$102,7,FALSE),main!$K$26:$Q$29,5,FALSE)),1,0)</f>
        <v>0</v>
      </c>
      <c r="BD211">
        <f>IF(AND(VLOOKUP(BD$1,main!$A$3:$H$102,7,FALSE)=main!$G$105,VLOOKUP(BD$1,main!$A$3:$H$102,5,FALSE)-VLOOKUP($A211,main!$A$3:$H$102,6,FALSE)&gt;=main!$D$103+VLOOKUP(VLOOKUP(BD$1,main!$A$3:$I$102,7,FALSE),main!$K$26:$Q$29,5,FALSE)),1,0)</f>
        <v>0</v>
      </c>
      <c r="BE211">
        <f>IF(AND(VLOOKUP(BE$1,main!$A$3:$H$102,7,FALSE)=main!$G$105,VLOOKUP(BE$1,main!$A$3:$H$102,5,FALSE)-VLOOKUP($A211,main!$A$3:$H$102,6,FALSE)&gt;=main!$D$103+VLOOKUP(VLOOKUP(BE$1,main!$A$3:$I$102,7,FALSE),main!$K$26:$Q$29,5,FALSE)),1,0)</f>
        <v>0</v>
      </c>
      <c r="BF211">
        <f>IF(AND(VLOOKUP(BF$1,main!$A$3:$H$102,7,FALSE)=main!$G$105,VLOOKUP(BF$1,main!$A$3:$H$102,5,FALSE)-VLOOKUP($A211,main!$A$3:$H$102,6,FALSE)&gt;=main!$D$103+VLOOKUP(VLOOKUP(BF$1,main!$A$3:$I$102,7,FALSE),main!$K$26:$Q$29,5,FALSE)),1,0)</f>
        <v>0</v>
      </c>
      <c r="BG211">
        <f>IF(AND(VLOOKUP(BG$1,main!$A$3:$H$102,7,FALSE)=main!$G$105,VLOOKUP(BG$1,main!$A$3:$H$102,5,FALSE)-VLOOKUP($A211,main!$A$3:$H$102,6,FALSE)&gt;=main!$D$103+VLOOKUP(VLOOKUP(BG$1,main!$A$3:$I$102,7,FALSE),main!$K$26:$Q$29,5,FALSE)),1,0)</f>
        <v>0</v>
      </c>
      <c r="BH211">
        <f>IF(AND(VLOOKUP(BH$1,main!$A$3:$H$102,7,FALSE)=main!$G$105,VLOOKUP(BH$1,main!$A$3:$H$102,5,FALSE)-VLOOKUP($A211,main!$A$3:$H$102,6,FALSE)&gt;=main!$D$103+VLOOKUP(VLOOKUP(BH$1,main!$A$3:$I$102,7,FALSE),main!$K$26:$Q$29,5,FALSE)),1,0)</f>
        <v>0</v>
      </c>
      <c r="BI211">
        <f>IF(AND(VLOOKUP(BI$1,main!$A$3:$H$102,7,FALSE)=main!$G$105,VLOOKUP(BI$1,main!$A$3:$H$102,5,FALSE)-VLOOKUP($A211,main!$A$3:$H$102,6,FALSE)&gt;=main!$D$103+VLOOKUP(VLOOKUP(BI$1,main!$A$3:$I$102,7,FALSE),main!$K$26:$Q$29,5,FALSE)),1,0)</f>
        <v>0</v>
      </c>
      <c r="BJ211">
        <f>IF(AND(VLOOKUP(BJ$1,main!$A$3:$H$102,7,FALSE)=main!$G$105,VLOOKUP(BJ$1,main!$A$3:$H$102,5,FALSE)-VLOOKUP($A211,main!$A$3:$H$102,6,FALSE)&gt;=main!$D$103+VLOOKUP(VLOOKUP(BJ$1,main!$A$3:$I$102,7,FALSE),main!$K$26:$Q$29,5,FALSE)),1,0)</f>
        <v>0</v>
      </c>
      <c r="BK211">
        <f>IF(AND(VLOOKUP(BK$1,main!$A$3:$H$102,7,FALSE)=main!$G$105,VLOOKUP(BK$1,main!$A$3:$H$102,5,FALSE)-VLOOKUP($A211,main!$A$3:$H$102,6,FALSE)&gt;=main!$D$103+VLOOKUP(VLOOKUP(BK$1,main!$A$3:$I$102,7,FALSE),main!$K$26:$Q$29,5,FALSE)),1,0)</f>
        <v>0</v>
      </c>
      <c r="BL211">
        <f>IF(AND(VLOOKUP(BL$1,main!$A$3:$H$102,7,FALSE)=main!$G$105,VLOOKUP(BL$1,main!$A$3:$H$102,5,FALSE)-VLOOKUP($A211,main!$A$3:$H$102,6,FALSE)&gt;=main!$D$103+VLOOKUP(VLOOKUP(BL$1,main!$A$3:$I$102,7,FALSE),main!$K$26:$Q$29,5,FALSE)),1,0)</f>
        <v>0</v>
      </c>
      <c r="BM211">
        <f>IF(AND(VLOOKUP(BM$1,main!$A$3:$H$102,7,FALSE)=main!$G$105,VLOOKUP(BM$1,main!$A$3:$H$102,5,FALSE)-VLOOKUP($A211,main!$A$3:$H$102,6,FALSE)&gt;=main!$D$103+VLOOKUP(VLOOKUP(BM$1,main!$A$3:$I$102,7,FALSE),main!$K$26:$Q$29,5,FALSE)),1,0)</f>
        <v>0</v>
      </c>
      <c r="BN211">
        <f>IF(AND(VLOOKUP(BN$1,main!$A$3:$H$102,7,FALSE)=main!$G$105,VLOOKUP(BN$1,main!$A$3:$H$102,5,FALSE)-VLOOKUP($A211,main!$A$3:$H$102,6,FALSE)&gt;=main!$D$103+VLOOKUP(VLOOKUP(BN$1,main!$A$3:$I$102,7,FALSE),main!$K$26:$Q$29,5,FALSE)),1,0)</f>
        <v>0</v>
      </c>
      <c r="BO211">
        <f>IF(AND(VLOOKUP(BO$1,main!$A$3:$H$102,7,FALSE)=main!$G$105,VLOOKUP(BO$1,main!$A$3:$H$102,5,FALSE)-VLOOKUP($A211,main!$A$3:$H$102,6,FALSE)&gt;=main!$D$103+VLOOKUP(VLOOKUP(BO$1,main!$A$3:$I$102,7,FALSE),main!$K$26:$Q$29,5,FALSE)),1,0)</f>
        <v>0</v>
      </c>
      <c r="BP211">
        <f>IF(AND(VLOOKUP(BP$1,main!$A$3:$H$102,7,FALSE)=main!$G$105,VLOOKUP(BP$1,main!$A$3:$H$102,5,FALSE)-VLOOKUP($A211,main!$A$3:$H$102,6,FALSE)&gt;=main!$D$103+VLOOKUP(VLOOKUP(BP$1,main!$A$3:$I$102,7,FALSE),main!$K$26:$Q$29,5,FALSE)),1,0)</f>
        <v>0</v>
      </c>
      <c r="BQ211">
        <f>IF(AND(VLOOKUP(BQ$1,main!$A$3:$H$102,7,FALSE)=main!$G$105,VLOOKUP(BQ$1,main!$A$3:$H$102,5,FALSE)-VLOOKUP($A211,main!$A$3:$H$102,6,FALSE)&gt;=main!$D$103+VLOOKUP(VLOOKUP(BQ$1,main!$A$3:$I$102,7,FALSE),main!$K$26:$Q$29,5,FALSE)),1,0)</f>
        <v>0</v>
      </c>
      <c r="BR211">
        <f>IF(AND(VLOOKUP(BR$1,main!$A$3:$H$102,7,FALSE)=main!$G$105,VLOOKUP(BR$1,main!$A$3:$H$102,5,FALSE)-VLOOKUP($A211,main!$A$3:$H$102,6,FALSE)&gt;=main!$D$103+VLOOKUP(VLOOKUP(BR$1,main!$A$3:$I$102,7,FALSE),main!$K$26:$Q$29,5,FALSE)),1,0)</f>
        <v>0</v>
      </c>
      <c r="BS211">
        <f>IF(AND(VLOOKUP(BS$1,main!$A$3:$H$102,7,FALSE)=main!$G$105,VLOOKUP(BS$1,main!$A$3:$H$102,5,FALSE)-VLOOKUP($A211,main!$A$3:$H$102,6,FALSE)&gt;=main!$D$103+VLOOKUP(VLOOKUP(BS$1,main!$A$3:$I$102,7,FALSE),main!$K$26:$Q$29,5,FALSE)),1,0)</f>
        <v>0</v>
      </c>
      <c r="BT211">
        <f>IF(AND(VLOOKUP(BT$1,main!$A$3:$H$102,7,FALSE)=main!$G$105,VLOOKUP(BT$1,main!$A$3:$H$102,5,FALSE)-VLOOKUP($A211,main!$A$3:$H$102,6,FALSE)&gt;=main!$D$103+VLOOKUP(VLOOKUP(BT$1,main!$A$3:$I$102,7,FALSE),main!$K$26:$Q$29,5,FALSE)),1,0)</f>
        <v>0</v>
      </c>
      <c r="BU211">
        <f>IF(AND(VLOOKUP(BU$1,main!$A$3:$H$102,7,FALSE)=main!$G$105,VLOOKUP(BU$1,main!$A$3:$H$102,5,FALSE)-VLOOKUP($A211,main!$A$3:$H$102,6,FALSE)&gt;=main!$D$103+VLOOKUP(VLOOKUP(BU$1,main!$A$3:$I$102,7,FALSE),main!$K$26:$Q$29,5,FALSE)),1,0)</f>
        <v>0</v>
      </c>
      <c r="BV211">
        <f>IF(AND(VLOOKUP(BV$1,main!$A$3:$H$102,7,FALSE)=main!$G$105,VLOOKUP(BV$1,main!$A$3:$H$102,5,FALSE)-VLOOKUP($A211,main!$A$3:$H$102,6,FALSE)&gt;=main!$D$103+VLOOKUP(VLOOKUP(BV$1,main!$A$3:$I$102,7,FALSE),main!$K$26:$Q$29,5,FALSE)),1,0)</f>
        <v>0</v>
      </c>
      <c r="BW211">
        <f>IF(AND(VLOOKUP(BW$1,main!$A$3:$H$102,7,FALSE)=main!$G$105,VLOOKUP(BW$1,main!$A$3:$H$102,5,FALSE)-VLOOKUP($A211,main!$A$3:$H$102,6,FALSE)&gt;=main!$D$103+VLOOKUP(VLOOKUP(BW$1,main!$A$3:$I$102,7,FALSE),main!$K$26:$Q$29,5,FALSE)),1,0)</f>
        <v>0</v>
      </c>
      <c r="BX211">
        <f>IF(AND(VLOOKUP(BX$1,main!$A$3:$H$102,7,FALSE)=main!$G$105,VLOOKUP(BX$1,main!$A$3:$H$102,5,FALSE)-VLOOKUP($A211,main!$A$3:$H$102,6,FALSE)&gt;=main!$D$103+VLOOKUP(VLOOKUP(BX$1,main!$A$3:$I$102,7,FALSE),main!$K$26:$Q$29,5,FALSE)),1,0)</f>
        <v>0</v>
      </c>
      <c r="BY211">
        <f>IF(AND(VLOOKUP(BY$1,main!$A$3:$H$102,7,FALSE)=main!$G$105,VLOOKUP(BY$1,main!$A$3:$H$102,5,FALSE)-VLOOKUP($A211,main!$A$3:$H$102,6,FALSE)&gt;=main!$D$103+VLOOKUP(VLOOKUP(BY$1,main!$A$3:$I$102,7,FALSE),main!$K$26:$Q$29,5,FALSE)),1,0)</f>
        <v>0</v>
      </c>
      <c r="BZ211">
        <f>IF(AND(VLOOKUP(BZ$1,main!$A$3:$H$102,7,FALSE)=main!$G$105,VLOOKUP(BZ$1,main!$A$3:$H$102,5,FALSE)-VLOOKUP($A211,main!$A$3:$H$102,6,FALSE)&gt;=main!$D$103+VLOOKUP(VLOOKUP(BZ$1,main!$A$3:$I$102,7,FALSE),main!$K$26:$Q$29,5,FALSE)),1,0)</f>
        <v>0</v>
      </c>
      <c r="CA211">
        <f>IF(AND(VLOOKUP(CA$1,main!$A$3:$H$102,7,FALSE)=main!$G$105,VLOOKUP(CA$1,main!$A$3:$H$102,5,FALSE)-VLOOKUP($A211,main!$A$3:$H$102,6,FALSE)&gt;=main!$D$103+VLOOKUP(VLOOKUP(CA$1,main!$A$3:$I$102,7,FALSE),main!$K$26:$Q$29,5,FALSE)),1,0)</f>
        <v>0</v>
      </c>
      <c r="CB211">
        <f>IF(AND(VLOOKUP(CB$1,main!$A$3:$H$102,7,FALSE)=main!$G$105,VLOOKUP(CB$1,main!$A$3:$H$102,5,FALSE)-VLOOKUP($A211,main!$A$3:$H$102,6,FALSE)&gt;=main!$D$103+VLOOKUP(VLOOKUP(CB$1,main!$A$3:$I$102,7,FALSE),main!$K$26:$Q$29,5,FALSE)),1,0)</f>
        <v>0</v>
      </c>
      <c r="CC211">
        <f>IF(AND(VLOOKUP(CC$1,main!$A$3:$H$102,7,FALSE)=main!$G$105,VLOOKUP(CC$1,main!$A$3:$H$102,5,FALSE)-VLOOKUP($A211,main!$A$3:$H$102,6,FALSE)&gt;=main!$D$103+VLOOKUP(VLOOKUP(CC$1,main!$A$3:$I$102,7,FALSE),main!$K$26:$Q$29,5,FALSE)),1,0)</f>
        <v>0</v>
      </c>
      <c r="CD211">
        <f>IF(AND(VLOOKUP(CD$1,main!$A$3:$H$102,7,FALSE)=main!$G$105,VLOOKUP(CD$1,main!$A$3:$H$102,5,FALSE)-VLOOKUP($A211,main!$A$3:$H$102,6,FALSE)&gt;=main!$D$103+VLOOKUP(VLOOKUP(CD$1,main!$A$3:$I$102,7,FALSE),main!$K$26:$Q$29,5,FALSE)),1,0)</f>
        <v>0</v>
      </c>
      <c r="CE211">
        <f>IF(AND(VLOOKUP(CE$1,main!$A$3:$H$102,7,FALSE)=main!$G$105,VLOOKUP(CE$1,main!$A$3:$H$102,5,FALSE)-VLOOKUP($A211,main!$A$3:$H$102,6,FALSE)&gt;=main!$D$103+VLOOKUP(VLOOKUP(CE$1,main!$A$3:$I$102,7,FALSE),main!$K$26:$Q$29,5,FALSE)),1,0)</f>
        <v>0</v>
      </c>
      <c r="CF211">
        <f>IF(AND(VLOOKUP(CF$1,main!$A$3:$H$102,7,FALSE)=main!$G$105,VLOOKUP(CF$1,main!$A$3:$H$102,5,FALSE)-VLOOKUP($A211,main!$A$3:$H$102,6,FALSE)&gt;=main!$D$103+VLOOKUP(VLOOKUP(CF$1,main!$A$3:$I$102,7,FALSE),main!$K$26:$Q$29,5,FALSE)),1,0)</f>
        <v>0</v>
      </c>
      <c r="CG211">
        <f>IF(AND(VLOOKUP(CG$1,main!$A$3:$H$102,7,FALSE)=main!$G$105,VLOOKUP(CG$1,main!$A$3:$H$102,5,FALSE)-VLOOKUP($A211,main!$A$3:$H$102,6,FALSE)&gt;=main!$D$103+VLOOKUP(VLOOKUP(CG$1,main!$A$3:$I$102,7,FALSE),main!$K$26:$Q$29,5,FALSE)),1,0)</f>
        <v>0</v>
      </c>
      <c r="CH211">
        <f>IF(AND(VLOOKUP(CH$1,main!$A$3:$H$102,7,FALSE)=main!$G$105,VLOOKUP(CH$1,main!$A$3:$H$102,5,FALSE)-VLOOKUP($A211,main!$A$3:$H$102,6,FALSE)&gt;=main!$D$103+VLOOKUP(VLOOKUP(CH$1,main!$A$3:$I$102,7,FALSE),main!$K$26:$Q$29,5,FALSE)),1,0)</f>
        <v>0</v>
      </c>
      <c r="CI211">
        <f>IF(AND(VLOOKUP(CI$1,main!$A$3:$H$102,7,FALSE)=main!$G$105,VLOOKUP(CI$1,main!$A$3:$H$102,5,FALSE)-VLOOKUP($A211,main!$A$3:$H$102,6,FALSE)&gt;=main!$D$103+VLOOKUP(VLOOKUP(CI$1,main!$A$3:$I$102,7,FALSE),main!$K$26:$Q$29,5,FALSE)),1,0)</f>
        <v>0</v>
      </c>
      <c r="CJ211">
        <f>IF(AND(VLOOKUP(CJ$1,main!$A$3:$H$102,7,FALSE)=main!$G$105,VLOOKUP(CJ$1,main!$A$3:$H$102,5,FALSE)-VLOOKUP($A211,main!$A$3:$H$102,6,FALSE)&gt;=main!$D$103+VLOOKUP(VLOOKUP(CJ$1,main!$A$3:$I$102,7,FALSE),main!$K$26:$Q$29,5,FALSE)),1,0)</f>
        <v>0</v>
      </c>
      <c r="CK211">
        <f>IF(AND(VLOOKUP(CK$1,main!$A$3:$H$102,7,FALSE)=main!$G$105,VLOOKUP(CK$1,main!$A$3:$H$102,5,FALSE)-VLOOKUP($A211,main!$A$3:$H$102,6,FALSE)&gt;=main!$D$103+VLOOKUP(VLOOKUP(CK$1,main!$A$3:$I$102,7,FALSE),main!$K$26:$Q$29,5,FALSE)),1,0)</f>
        <v>0</v>
      </c>
      <c r="CL211">
        <f>IF(AND(VLOOKUP(CL$1,main!$A$3:$H$102,7,FALSE)=main!$G$105,VLOOKUP(CL$1,main!$A$3:$H$102,5,FALSE)-VLOOKUP($A211,main!$A$3:$H$102,6,FALSE)&gt;=main!$D$103+VLOOKUP(VLOOKUP(CL$1,main!$A$3:$I$102,7,FALSE),main!$K$26:$Q$29,5,FALSE)),1,0)</f>
        <v>0</v>
      </c>
      <c r="CM211">
        <f>IF(AND(VLOOKUP(CM$1,main!$A$3:$H$102,7,FALSE)=main!$G$105,VLOOKUP(CM$1,main!$A$3:$H$102,5,FALSE)-VLOOKUP($A211,main!$A$3:$H$102,6,FALSE)&gt;=main!$D$103+VLOOKUP(VLOOKUP(CM$1,main!$A$3:$I$102,7,FALSE),main!$K$26:$Q$29,5,FALSE)),1,0)</f>
        <v>0</v>
      </c>
      <c r="CN211">
        <f>IF(AND(VLOOKUP(CN$1,main!$A$3:$H$102,7,FALSE)=main!$G$105,VLOOKUP(CN$1,main!$A$3:$H$102,5,FALSE)-VLOOKUP($A211,main!$A$3:$H$102,6,FALSE)&gt;=main!$D$103+VLOOKUP(VLOOKUP(CN$1,main!$A$3:$I$102,7,FALSE),main!$K$26:$Q$29,5,FALSE)),1,0)</f>
        <v>0</v>
      </c>
      <c r="CO211">
        <f>IF(AND(VLOOKUP(CO$1,main!$A$3:$H$102,7,FALSE)=main!$G$105,VLOOKUP(CO$1,main!$A$3:$H$102,5,FALSE)-VLOOKUP($A211,main!$A$3:$H$102,6,FALSE)&gt;=main!$D$103+VLOOKUP(VLOOKUP(CO$1,main!$A$3:$I$102,7,FALSE),main!$K$26:$Q$29,5,FALSE)),1,0)</f>
        <v>0</v>
      </c>
      <c r="CP211">
        <f>IF(AND(VLOOKUP(CP$1,main!$A$3:$H$102,7,FALSE)=main!$G$105,VLOOKUP(CP$1,main!$A$3:$H$102,5,FALSE)-VLOOKUP($A211,main!$A$3:$H$102,6,FALSE)&gt;=main!$D$103+VLOOKUP(VLOOKUP(CP$1,main!$A$3:$I$102,7,FALSE),main!$K$26:$Q$29,5,FALSE)),1,0)</f>
        <v>0</v>
      </c>
      <c r="CQ211">
        <f>IF(AND(VLOOKUP(CQ$1,main!$A$3:$H$102,7,FALSE)=main!$G$105,VLOOKUP(CQ$1,main!$A$3:$H$102,5,FALSE)-VLOOKUP($A211,main!$A$3:$H$102,6,FALSE)&gt;=main!$D$103+VLOOKUP(VLOOKUP(CQ$1,main!$A$3:$I$102,7,FALSE),main!$K$26:$Q$29,5,FALSE)),1,0)</f>
        <v>0</v>
      </c>
      <c r="CR211">
        <f>IF(AND(VLOOKUP(CR$1,main!$A$3:$H$102,7,FALSE)=main!$G$105,VLOOKUP(CR$1,main!$A$3:$H$102,5,FALSE)-VLOOKUP($A211,main!$A$3:$H$102,6,FALSE)&gt;=main!$D$103+VLOOKUP(VLOOKUP(CR$1,main!$A$3:$I$102,7,FALSE),main!$K$26:$Q$29,5,FALSE)),1,0)</f>
        <v>0</v>
      </c>
      <c r="CS211">
        <f>IF(AND(VLOOKUP(CS$1,main!$A$3:$H$102,7,FALSE)=main!$G$105,VLOOKUP(CS$1,main!$A$3:$H$102,5,FALSE)-VLOOKUP($A211,main!$A$3:$H$102,6,FALSE)&gt;=main!$D$103+VLOOKUP(VLOOKUP(CS$1,main!$A$3:$I$102,7,FALSE),main!$K$26:$Q$29,5,FALSE)),1,0)</f>
        <v>0</v>
      </c>
      <c r="CT211">
        <f>IF(AND(VLOOKUP(CT$1,main!$A$3:$H$102,7,FALSE)=main!$G$105,VLOOKUP(CT$1,main!$A$3:$H$102,5,FALSE)-VLOOKUP($A211,main!$A$3:$H$102,6,FALSE)&gt;=main!$D$103+VLOOKUP(VLOOKUP(CT$1,main!$A$3:$I$102,7,FALSE),main!$K$26:$Q$29,5,FALSE)),1,0)</f>
        <v>0</v>
      </c>
      <c r="CU211">
        <f>IF(AND(VLOOKUP(CU$1,main!$A$3:$H$102,7,FALSE)=main!$G$105,VLOOKUP(CU$1,main!$A$3:$H$102,5,FALSE)-VLOOKUP($A211,main!$A$3:$H$102,6,FALSE)&gt;=main!$D$103+VLOOKUP(VLOOKUP(CU$1,main!$A$3:$I$102,7,FALSE),main!$K$26:$Q$29,5,FALSE)),1,0)</f>
        <v>0</v>
      </c>
      <c r="CV211">
        <f>IF(AND(VLOOKUP(CV$1,main!$A$3:$H$102,7,FALSE)=main!$G$105,VLOOKUP(CV$1,main!$A$3:$H$102,5,FALSE)-VLOOKUP($A211,main!$A$3:$H$102,6,FALSE)&gt;=main!$D$103+VLOOKUP(VLOOKUP(CV$1,main!$A$3:$I$102,7,FALSE),main!$K$26:$Q$29,5,FALSE)),1,0)</f>
        <v>0</v>
      </c>
      <c r="CW211">
        <f>IF(AND(VLOOKUP(CW$1,main!$A$3:$H$102,7,FALSE)=main!$G$105,VLOOKUP(CW$1,main!$A$3:$H$102,5,FALSE)-VLOOKUP($A211,main!$A$3:$H$102,6,FALSE)&gt;=main!$D$103+VLOOKUP(VLOOKUP(CW$1,main!$A$3:$I$102,7,FALSE),main!$K$26:$Q$29,5,FALSE)),1,0)</f>
        <v>0</v>
      </c>
      <c r="CX211">
        <f>IF(AND(VLOOKUP(CX$1,main!$A$3:$H$102,7,FALSE)=main!$G$105,VLOOKUP(CX$1,main!$A$3:$H$102,5,FALSE)-VLOOKUP($A211,main!$A$3:$H$102,6,FALSE)&gt;=main!$D$103+VLOOKUP(VLOOKUP(CX$1,main!$A$3:$I$102,7,FALSE),main!$K$26:$Q$29,5,FALSE)),1,0)</f>
        <v>0</v>
      </c>
    </row>
    <row r="212" spans="1:102" x14ac:dyDescent="0.25">
      <c r="A212" s="1">
        <v>8</v>
      </c>
      <c r="B212">
        <v>0</v>
      </c>
      <c r="C212">
        <f>IF(AND(VLOOKUP(C$1,main!$A$3:$H$102,7,FALSE)=main!$G$105,VLOOKUP(C$1,main!$A$3:$H$102,5,FALSE)-VLOOKUP($A212,main!$A$3:$H$102,6,FALSE)&gt;=main!$D$103+VLOOKUP(VLOOKUP(C$1,main!$A$3:$I$102,7,FALSE),main!$K$26:$Q$29,5,FALSE)),1,0)</f>
        <v>0</v>
      </c>
      <c r="D212">
        <f>IF(AND(VLOOKUP(D$1,main!$A$3:$H$102,7,FALSE)=main!$G$105,VLOOKUP(D$1,main!$A$3:$H$102,5,FALSE)-VLOOKUP($A212,main!$A$3:$H$102,6,FALSE)&gt;=main!$D$103+VLOOKUP(VLOOKUP(D$1,main!$A$3:$I$102,7,FALSE),main!$K$26:$Q$29,5,FALSE)),1,0)</f>
        <v>0</v>
      </c>
      <c r="E212">
        <f>IF(AND(VLOOKUP(E$1,main!$A$3:$H$102,7,FALSE)=main!$G$105,VLOOKUP(E$1,main!$A$3:$H$102,5,FALSE)-VLOOKUP($A212,main!$A$3:$H$102,6,FALSE)&gt;=main!$D$103+VLOOKUP(VLOOKUP(E$1,main!$A$3:$I$102,7,FALSE),main!$K$26:$Q$29,5,FALSE)),1,0)</f>
        <v>0</v>
      </c>
      <c r="F212">
        <f>IF(AND(VLOOKUP(F$1,main!$A$3:$H$102,7,FALSE)=main!$G$105,VLOOKUP(F$1,main!$A$3:$H$102,5,FALSE)-VLOOKUP($A212,main!$A$3:$H$102,6,FALSE)&gt;=main!$D$103+VLOOKUP(VLOOKUP(F$1,main!$A$3:$I$102,7,FALSE),main!$K$26:$Q$29,5,FALSE)),1,0)</f>
        <v>0</v>
      </c>
      <c r="G212">
        <f>IF(AND(VLOOKUP(G$1,main!$A$3:$H$102,7,FALSE)=main!$G$105,VLOOKUP(G$1,main!$A$3:$H$102,5,FALSE)-VLOOKUP($A212,main!$A$3:$H$102,6,FALSE)&gt;=main!$D$103+VLOOKUP(VLOOKUP(G$1,main!$A$3:$I$102,7,FALSE),main!$K$26:$Q$29,5,FALSE)),1,0)</f>
        <v>0</v>
      </c>
      <c r="H212">
        <f>IF(AND(VLOOKUP(H$1,main!$A$3:$H$102,7,FALSE)=main!$G$105,VLOOKUP(H$1,main!$A$3:$H$102,5,FALSE)-VLOOKUP($A212,main!$A$3:$H$102,6,FALSE)&gt;=main!$D$103+VLOOKUP(VLOOKUP(H$1,main!$A$3:$I$102,7,FALSE),main!$K$26:$Q$29,5,FALSE)),1,0)</f>
        <v>0</v>
      </c>
      <c r="I212">
        <f>IF(AND(VLOOKUP(I$1,main!$A$3:$H$102,7,FALSE)=main!$G$105,VLOOKUP(I$1,main!$A$3:$H$102,5,FALSE)-VLOOKUP($A212,main!$A$3:$H$102,6,FALSE)&gt;=main!$D$103+VLOOKUP(VLOOKUP(I$1,main!$A$3:$I$102,7,FALSE),main!$K$26:$Q$29,5,FALSE)),1,0)</f>
        <v>0</v>
      </c>
      <c r="J212">
        <f>IF(AND(VLOOKUP(J$1,main!$A$3:$H$102,7,FALSE)=main!$G$105,VLOOKUP(J$1,main!$A$3:$H$102,5,FALSE)-VLOOKUP($A212,main!$A$3:$H$102,6,FALSE)&gt;=main!$D$103+VLOOKUP(VLOOKUP(J$1,main!$A$3:$I$102,7,FALSE),main!$K$26:$Q$29,5,FALSE)),1,0)</f>
        <v>0</v>
      </c>
      <c r="K212">
        <f>IF(AND(VLOOKUP(K$1,main!$A$3:$H$102,7,FALSE)=main!$G$105,VLOOKUP(K$1,main!$A$3:$H$102,5,FALSE)-VLOOKUP($A212,main!$A$3:$H$102,6,FALSE)&gt;=main!$D$103+VLOOKUP(VLOOKUP(K$1,main!$A$3:$I$102,7,FALSE),main!$K$26:$Q$29,5,FALSE)),1,0)</f>
        <v>0</v>
      </c>
      <c r="L212">
        <f>IF(AND(VLOOKUP(L$1,main!$A$3:$H$102,7,FALSE)=main!$G$105,VLOOKUP(L$1,main!$A$3:$H$102,5,FALSE)-VLOOKUP($A212,main!$A$3:$H$102,6,FALSE)&gt;=main!$D$103+VLOOKUP(VLOOKUP(L$1,main!$A$3:$I$102,7,FALSE),main!$K$26:$Q$29,5,FALSE)),1,0)</f>
        <v>0</v>
      </c>
      <c r="M212">
        <f>IF(AND(VLOOKUP(M$1,main!$A$3:$H$102,7,FALSE)=main!$G$105,VLOOKUP(M$1,main!$A$3:$H$102,5,FALSE)-VLOOKUP($A212,main!$A$3:$H$102,6,FALSE)&gt;=main!$D$103+VLOOKUP(VLOOKUP(M$1,main!$A$3:$I$102,7,FALSE),main!$K$26:$Q$29,5,FALSE)),1,0)</f>
        <v>0</v>
      </c>
      <c r="N212">
        <f>IF(AND(VLOOKUP(N$1,main!$A$3:$H$102,7,FALSE)=main!$G$105,VLOOKUP(N$1,main!$A$3:$H$102,5,FALSE)-VLOOKUP($A212,main!$A$3:$H$102,6,FALSE)&gt;=main!$D$103+VLOOKUP(VLOOKUP(N$1,main!$A$3:$I$102,7,FALSE),main!$K$26:$Q$29,5,FALSE)),1,0)</f>
        <v>0</v>
      </c>
      <c r="O212">
        <f>IF(AND(VLOOKUP(O$1,main!$A$3:$H$102,7,FALSE)=main!$G$105,VLOOKUP(O$1,main!$A$3:$H$102,5,FALSE)-VLOOKUP($A212,main!$A$3:$H$102,6,FALSE)&gt;=main!$D$103+VLOOKUP(VLOOKUP(O$1,main!$A$3:$I$102,7,FALSE),main!$K$26:$Q$29,5,FALSE)),1,0)</f>
        <v>0</v>
      </c>
      <c r="P212">
        <f>IF(AND(VLOOKUP(P$1,main!$A$3:$H$102,7,FALSE)=main!$G$105,VLOOKUP(P$1,main!$A$3:$H$102,5,FALSE)-VLOOKUP($A212,main!$A$3:$H$102,6,FALSE)&gt;=main!$D$103+VLOOKUP(VLOOKUP(P$1,main!$A$3:$I$102,7,FALSE),main!$K$26:$Q$29,5,FALSE)),1,0)</f>
        <v>0</v>
      </c>
      <c r="Q212">
        <f>IF(AND(VLOOKUP(Q$1,main!$A$3:$H$102,7,FALSE)=main!$G$105,VLOOKUP(Q$1,main!$A$3:$H$102,5,FALSE)-VLOOKUP($A212,main!$A$3:$H$102,6,FALSE)&gt;=main!$D$103+VLOOKUP(VLOOKUP(Q$1,main!$A$3:$I$102,7,FALSE),main!$K$26:$Q$29,5,FALSE)),1,0)</f>
        <v>0</v>
      </c>
      <c r="R212">
        <f>IF(AND(VLOOKUP(R$1,main!$A$3:$H$102,7,FALSE)=main!$G$105,VLOOKUP(R$1,main!$A$3:$H$102,5,FALSE)-VLOOKUP($A212,main!$A$3:$H$102,6,FALSE)&gt;=main!$D$103+VLOOKUP(VLOOKUP(R$1,main!$A$3:$I$102,7,FALSE),main!$K$26:$Q$29,5,FALSE)),1,0)</f>
        <v>0</v>
      </c>
      <c r="S212">
        <f>IF(AND(VLOOKUP(S$1,main!$A$3:$H$102,7,FALSE)=main!$G$105,VLOOKUP(S$1,main!$A$3:$H$102,5,FALSE)-VLOOKUP($A212,main!$A$3:$H$102,6,FALSE)&gt;=main!$D$103+VLOOKUP(VLOOKUP(S$1,main!$A$3:$I$102,7,FALSE),main!$K$26:$Q$29,5,FALSE)),1,0)</f>
        <v>0</v>
      </c>
      <c r="T212">
        <f>IF(AND(VLOOKUP(T$1,main!$A$3:$H$102,7,FALSE)=main!$G$105,VLOOKUP(T$1,main!$A$3:$H$102,5,FALSE)-VLOOKUP($A212,main!$A$3:$H$102,6,FALSE)&gt;=main!$D$103+VLOOKUP(VLOOKUP(T$1,main!$A$3:$I$102,7,FALSE),main!$K$26:$Q$29,5,FALSE)),1,0)</f>
        <v>0</v>
      </c>
      <c r="U212">
        <f>IF(AND(VLOOKUP(U$1,main!$A$3:$H$102,7,FALSE)=main!$G$105,VLOOKUP(U$1,main!$A$3:$H$102,5,FALSE)-VLOOKUP($A212,main!$A$3:$H$102,6,FALSE)&gt;=main!$D$103+VLOOKUP(VLOOKUP(U$1,main!$A$3:$I$102,7,FALSE),main!$K$26:$Q$29,5,FALSE)),1,0)</f>
        <v>0</v>
      </c>
      <c r="V212">
        <f>IF(AND(VLOOKUP(V$1,main!$A$3:$H$102,7,FALSE)=main!$G$105,VLOOKUP(V$1,main!$A$3:$H$102,5,FALSE)-VLOOKUP($A212,main!$A$3:$H$102,6,FALSE)&gt;=main!$D$103+VLOOKUP(VLOOKUP(V$1,main!$A$3:$I$102,7,FALSE),main!$K$26:$Q$29,5,FALSE)),1,0)</f>
        <v>0</v>
      </c>
      <c r="W212">
        <f>IF(AND(VLOOKUP(W$1,main!$A$3:$H$102,7,FALSE)=main!$G$105,VLOOKUP(W$1,main!$A$3:$H$102,5,FALSE)-VLOOKUP($A212,main!$A$3:$H$102,6,FALSE)&gt;=main!$D$103+VLOOKUP(VLOOKUP(W$1,main!$A$3:$I$102,7,FALSE),main!$K$26:$Q$29,5,FALSE)),1,0)</f>
        <v>0</v>
      </c>
      <c r="X212">
        <f>IF(AND(VLOOKUP(X$1,main!$A$3:$H$102,7,FALSE)=main!$G$105,VLOOKUP(X$1,main!$A$3:$H$102,5,FALSE)-VLOOKUP($A212,main!$A$3:$H$102,6,FALSE)&gt;=main!$D$103+VLOOKUP(VLOOKUP(X$1,main!$A$3:$I$102,7,FALSE),main!$K$26:$Q$29,5,FALSE)),1,0)</f>
        <v>0</v>
      </c>
      <c r="Y212">
        <f>IF(AND(VLOOKUP(Y$1,main!$A$3:$H$102,7,FALSE)=main!$G$105,VLOOKUP(Y$1,main!$A$3:$H$102,5,FALSE)-VLOOKUP($A212,main!$A$3:$H$102,6,FALSE)&gt;=main!$D$103+VLOOKUP(VLOOKUP(Y$1,main!$A$3:$I$102,7,FALSE),main!$K$26:$Q$29,5,FALSE)),1,0)</f>
        <v>0</v>
      </c>
      <c r="Z212">
        <f>IF(AND(VLOOKUP(Z$1,main!$A$3:$H$102,7,FALSE)=main!$G$105,VLOOKUP(Z$1,main!$A$3:$H$102,5,FALSE)-VLOOKUP($A212,main!$A$3:$H$102,6,FALSE)&gt;=main!$D$103+VLOOKUP(VLOOKUP(Z$1,main!$A$3:$I$102,7,FALSE),main!$K$26:$Q$29,5,FALSE)),1,0)</f>
        <v>0</v>
      </c>
      <c r="AA212">
        <f>IF(AND(VLOOKUP(AA$1,main!$A$3:$H$102,7,FALSE)=main!$G$105,VLOOKUP(AA$1,main!$A$3:$H$102,5,FALSE)-VLOOKUP($A212,main!$A$3:$H$102,6,FALSE)&gt;=main!$D$103+VLOOKUP(VLOOKUP(AA$1,main!$A$3:$I$102,7,FALSE),main!$K$26:$Q$29,5,FALSE)),1,0)</f>
        <v>0</v>
      </c>
      <c r="AB212">
        <f>IF(AND(VLOOKUP(AB$1,main!$A$3:$H$102,7,FALSE)=main!$G$105,VLOOKUP(AB$1,main!$A$3:$H$102,5,FALSE)-VLOOKUP($A212,main!$A$3:$H$102,6,FALSE)&gt;=main!$D$103+VLOOKUP(VLOOKUP(AB$1,main!$A$3:$I$102,7,FALSE),main!$K$26:$Q$29,5,FALSE)),1,0)</f>
        <v>0</v>
      </c>
      <c r="AC212">
        <f>IF(AND(VLOOKUP(AC$1,main!$A$3:$H$102,7,FALSE)=main!$G$105,VLOOKUP(AC$1,main!$A$3:$H$102,5,FALSE)-VLOOKUP($A212,main!$A$3:$H$102,6,FALSE)&gt;=main!$D$103+VLOOKUP(VLOOKUP(AC$1,main!$A$3:$I$102,7,FALSE),main!$K$26:$Q$29,5,FALSE)),1,0)</f>
        <v>0</v>
      </c>
      <c r="AD212">
        <f>IF(AND(VLOOKUP(AD$1,main!$A$3:$H$102,7,FALSE)=main!$G$105,VLOOKUP(AD$1,main!$A$3:$H$102,5,FALSE)-VLOOKUP($A212,main!$A$3:$H$102,6,FALSE)&gt;=main!$D$103+VLOOKUP(VLOOKUP(AD$1,main!$A$3:$I$102,7,FALSE),main!$K$26:$Q$29,5,FALSE)),1,0)</f>
        <v>0</v>
      </c>
      <c r="AE212">
        <f>IF(AND(VLOOKUP(AE$1,main!$A$3:$H$102,7,FALSE)=main!$G$105,VLOOKUP(AE$1,main!$A$3:$H$102,5,FALSE)-VLOOKUP($A212,main!$A$3:$H$102,6,FALSE)&gt;=main!$D$103+VLOOKUP(VLOOKUP(AE$1,main!$A$3:$I$102,7,FALSE),main!$K$26:$Q$29,5,FALSE)),1,0)</f>
        <v>0</v>
      </c>
      <c r="AF212">
        <f>IF(AND(VLOOKUP(AF$1,main!$A$3:$H$102,7,FALSE)=main!$G$105,VLOOKUP(AF$1,main!$A$3:$H$102,5,FALSE)-VLOOKUP($A212,main!$A$3:$H$102,6,FALSE)&gt;=main!$D$103+VLOOKUP(VLOOKUP(AF$1,main!$A$3:$I$102,7,FALSE),main!$K$26:$Q$29,5,FALSE)),1,0)</f>
        <v>0</v>
      </c>
      <c r="AG212">
        <f>IF(AND(VLOOKUP(AG$1,main!$A$3:$H$102,7,FALSE)=main!$G$105,VLOOKUP(AG$1,main!$A$3:$H$102,5,FALSE)-VLOOKUP($A212,main!$A$3:$H$102,6,FALSE)&gt;=main!$D$103+VLOOKUP(VLOOKUP(AG$1,main!$A$3:$I$102,7,FALSE),main!$K$26:$Q$29,5,FALSE)),1,0)</f>
        <v>0</v>
      </c>
      <c r="AH212">
        <f>IF(AND(VLOOKUP(AH$1,main!$A$3:$H$102,7,FALSE)=main!$G$105,VLOOKUP(AH$1,main!$A$3:$H$102,5,FALSE)-VLOOKUP($A212,main!$A$3:$H$102,6,FALSE)&gt;=main!$D$103+VLOOKUP(VLOOKUP(AH$1,main!$A$3:$I$102,7,FALSE),main!$K$26:$Q$29,5,FALSE)),1,0)</f>
        <v>0</v>
      </c>
      <c r="AI212">
        <f>IF(AND(VLOOKUP(AI$1,main!$A$3:$H$102,7,FALSE)=main!$G$105,VLOOKUP(AI$1,main!$A$3:$H$102,5,FALSE)-VLOOKUP($A212,main!$A$3:$H$102,6,FALSE)&gt;=main!$D$103+VLOOKUP(VLOOKUP(AI$1,main!$A$3:$I$102,7,FALSE),main!$K$26:$Q$29,5,FALSE)),1,0)</f>
        <v>0</v>
      </c>
      <c r="AJ212">
        <f>IF(AND(VLOOKUP(AJ$1,main!$A$3:$H$102,7,FALSE)=main!$G$105,VLOOKUP(AJ$1,main!$A$3:$H$102,5,FALSE)-VLOOKUP($A212,main!$A$3:$H$102,6,FALSE)&gt;=main!$D$103+VLOOKUP(VLOOKUP(AJ$1,main!$A$3:$I$102,7,FALSE),main!$K$26:$Q$29,5,FALSE)),1,0)</f>
        <v>0</v>
      </c>
      <c r="AK212">
        <f>IF(AND(VLOOKUP(AK$1,main!$A$3:$H$102,7,FALSE)=main!$G$105,VLOOKUP(AK$1,main!$A$3:$H$102,5,FALSE)-VLOOKUP($A212,main!$A$3:$H$102,6,FALSE)&gt;=main!$D$103+VLOOKUP(VLOOKUP(AK$1,main!$A$3:$I$102,7,FALSE),main!$K$26:$Q$29,5,FALSE)),1,0)</f>
        <v>0</v>
      </c>
      <c r="AL212">
        <f>IF(AND(VLOOKUP(AL$1,main!$A$3:$H$102,7,FALSE)=main!$G$105,VLOOKUP(AL$1,main!$A$3:$H$102,5,FALSE)-VLOOKUP($A212,main!$A$3:$H$102,6,FALSE)&gt;=main!$D$103+VLOOKUP(VLOOKUP(AL$1,main!$A$3:$I$102,7,FALSE),main!$K$26:$Q$29,5,FALSE)),1,0)</f>
        <v>0</v>
      </c>
      <c r="AM212">
        <f>IF(AND(VLOOKUP(AM$1,main!$A$3:$H$102,7,FALSE)=main!$G$105,VLOOKUP(AM$1,main!$A$3:$H$102,5,FALSE)-VLOOKUP($A212,main!$A$3:$H$102,6,FALSE)&gt;=main!$D$103+VLOOKUP(VLOOKUP(AM$1,main!$A$3:$I$102,7,FALSE),main!$K$26:$Q$29,5,FALSE)),1,0)</f>
        <v>0</v>
      </c>
      <c r="AN212">
        <f>IF(AND(VLOOKUP(AN$1,main!$A$3:$H$102,7,FALSE)=main!$G$105,VLOOKUP(AN$1,main!$A$3:$H$102,5,FALSE)-VLOOKUP($A212,main!$A$3:$H$102,6,FALSE)&gt;=main!$D$103+VLOOKUP(VLOOKUP(AN$1,main!$A$3:$I$102,7,FALSE),main!$K$26:$Q$29,5,FALSE)),1,0)</f>
        <v>0</v>
      </c>
      <c r="AO212">
        <f>IF(AND(VLOOKUP(AO$1,main!$A$3:$H$102,7,FALSE)=main!$G$105,VLOOKUP(AO$1,main!$A$3:$H$102,5,FALSE)-VLOOKUP($A212,main!$A$3:$H$102,6,FALSE)&gt;=main!$D$103+VLOOKUP(VLOOKUP(AO$1,main!$A$3:$I$102,7,FALSE),main!$K$26:$Q$29,5,FALSE)),1,0)</f>
        <v>0</v>
      </c>
      <c r="AP212">
        <f>IF(AND(VLOOKUP(AP$1,main!$A$3:$H$102,7,FALSE)=main!$G$105,VLOOKUP(AP$1,main!$A$3:$H$102,5,FALSE)-VLOOKUP($A212,main!$A$3:$H$102,6,FALSE)&gt;=main!$D$103+VLOOKUP(VLOOKUP(AP$1,main!$A$3:$I$102,7,FALSE),main!$K$26:$Q$29,5,FALSE)),1,0)</f>
        <v>0</v>
      </c>
      <c r="AQ212">
        <f>IF(AND(VLOOKUP(AQ$1,main!$A$3:$H$102,7,FALSE)=main!$G$105,VLOOKUP(AQ$1,main!$A$3:$H$102,5,FALSE)-VLOOKUP($A212,main!$A$3:$H$102,6,FALSE)&gt;=main!$D$103+VLOOKUP(VLOOKUP(AQ$1,main!$A$3:$I$102,7,FALSE),main!$K$26:$Q$29,5,FALSE)),1,0)</f>
        <v>0</v>
      </c>
      <c r="AR212">
        <f>IF(AND(VLOOKUP(AR$1,main!$A$3:$H$102,7,FALSE)=main!$G$105,VLOOKUP(AR$1,main!$A$3:$H$102,5,FALSE)-VLOOKUP($A212,main!$A$3:$H$102,6,FALSE)&gt;=main!$D$103+VLOOKUP(VLOOKUP(AR$1,main!$A$3:$I$102,7,FALSE),main!$K$26:$Q$29,5,FALSE)),1,0)</f>
        <v>0</v>
      </c>
      <c r="AS212">
        <f>IF(AND(VLOOKUP(AS$1,main!$A$3:$H$102,7,FALSE)=main!$G$105,VLOOKUP(AS$1,main!$A$3:$H$102,5,FALSE)-VLOOKUP($A212,main!$A$3:$H$102,6,FALSE)&gt;=main!$D$103+VLOOKUP(VLOOKUP(AS$1,main!$A$3:$I$102,7,FALSE),main!$K$26:$Q$29,5,FALSE)),1,0)</f>
        <v>0</v>
      </c>
      <c r="AT212">
        <f>IF(AND(VLOOKUP(AT$1,main!$A$3:$H$102,7,FALSE)=main!$G$105,VLOOKUP(AT$1,main!$A$3:$H$102,5,FALSE)-VLOOKUP($A212,main!$A$3:$H$102,6,FALSE)&gt;=main!$D$103+VLOOKUP(VLOOKUP(AT$1,main!$A$3:$I$102,7,FALSE),main!$K$26:$Q$29,5,FALSE)),1,0)</f>
        <v>0</v>
      </c>
      <c r="AU212">
        <f>IF(AND(VLOOKUP(AU$1,main!$A$3:$H$102,7,FALSE)=main!$G$105,VLOOKUP(AU$1,main!$A$3:$H$102,5,FALSE)-VLOOKUP($A212,main!$A$3:$H$102,6,FALSE)&gt;=main!$D$103+VLOOKUP(VLOOKUP(AU$1,main!$A$3:$I$102,7,FALSE),main!$K$26:$Q$29,5,FALSE)),1,0)</f>
        <v>0</v>
      </c>
      <c r="AV212">
        <f>IF(AND(VLOOKUP(AV$1,main!$A$3:$H$102,7,FALSE)=main!$G$105,VLOOKUP(AV$1,main!$A$3:$H$102,5,FALSE)-VLOOKUP($A212,main!$A$3:$H$102,6,FALSE)&gt;=main!$D$103+VLOOKUP(VLOOKUP(AV$1,main!$A$3:$I$102,7,FALSE),main!$K$26:$Q$29,5,FALSE)),1,0)</f>
        <v>0</v>
      </c>
      <c r="AW212">
        <f>IF(AND(VLOOKUP(AW$1,main!$A$3:$H$102,7,FALSE)=main!$G$105,VLOOKUP(AW$1,main!$A$3:$H$102,5,FALSE)-VLOOKUP($A212,main!$A$3:$H$102,6,FALSE)&gt;=main!$D$103+VLOOKUP(VLOOKUP(AW$1,main!$A$3:$I$102,7,FALSE),main!$K$26:$Q$29,5,FALSE)),1,0)</f>
        <v>0</v>
      </c>
      <c r="AX212">
        <f>IF(AND(VLOOKUP(AX$1,main!$A$3:$H$102,7,FALSE)=main!$G$105,VLOOKUP(AX$1,main!$A$3:$H$102,5,FALSE)-VLOOKUP($A212,main!$A$3:$H$102,6,FALSE)&gt;=main!$D$103+VLOOKUP(VLOOKUP(AX$1,main!$A$3:$I$102,7,FALSE),main!$K$26:$Q$29,5,FALSE)),1,0)</f>
        <v>0</v>
      </c>
      <c r="AY212">
        <f>IF(AND(VLOOKUP(AY$1,main!$A$3:$H$102,7,FALSE)=main!$G$105,VLOOKUP(AY$1,main!$A$3:$H$102,5,FALSE)-VLOOKUP($A212,main!$A$3:$H$102,6,FALSE)&gt;=main!$D$103+VLOOKUP(VLOOKUP(AY$1,main!$A$3:$I$102,7,FALSE),main!$K$26:$Q$29,5,FALSE)),1,0)</f>
        <v>0</v>
      </c>
      <c r="AZ212">
        <f>IF(AND(VLOOKUP(AZ$1,main!$A$3:$H$102,7,FALSE)=main!$G$105,VLOOKUP(AZ$1,main!$A$3:$H$102,5,FALSE)-VLOOKUP($A212,main!$A$3:$H$102,6,FALSE)&gt;=main!$D$103+VLOOKUP(VLOOKUP(AZ$1,main!$A$3:$I$102,7,FALSE),main!$K$26:$Q$29,5,FALSE)),1,0)</f>
        <v>0</v>
      </c>
      <c r="BA212">
        <f>IF(AND(VLOOKUP(BA$1,main!$A$3:$H$102,7,FALSE)=main!$G$105,VLOOKUP(BA$1,main!$A$3:$H$102,5,FALSE)-VLOOKUP($A212,main!$A$3:$H$102,6,FALSE)&gt;=main!$D$103+VLOOKUP(VLOOKUP(BA$1,main!$A$3:$I$102,7,FALSE),main!$K$26:$Q$29,5,FALSE)),1,0)</f>
        <v>0</v>
      </c>
      <c r="BB212">
        <f>IF(AND(VLOOKUP(BB$1,main!$A$3:$H$102,7,FALSE)=main!$G$105,VLOOKUP(BB$1,main!$A$3:$H$102,5,FALSE)-VLOOKUP($A212,main!$A$3:$H$102,6,FALSE)&gt;=main!$D$103+VLOOKUP(VLOOKUP(BB$1,main!$A$3:$I$102,7,FALSE),main!$K$26:$Q$29,5,FALSE)),1,0)</f>
        <v>0</v>
      </c>
      <c r="BC212">
        <f>IF(AND(VLOOKUP(BC$1,main!$A$3:$H$102,7,FALSE)=main!$G$105,VLOOKUP(BC$1,main!$A$3:$H$102,5,FALSE)-VLOOKUP($A212,main!$A$3:$H$102,6,FALSE)&gt;=main!$D$103+VLOOKUP(VLOOKUP(BC$1,main!$A$3:$I$102,7,FALSE),main!$K$26:$Q$29,5,FALSE)),1,0)</f>
        <v>0</v>
      </c>
      <c r="BD212">
        <f>IF(AND(VLOOKUP(BD$1,main!$A$3:$H$102,7,FALSE)=main!$G$105,VLOOKUP(BD$1,main!$A$3:$H$102,5,FALSE)-VLOOKUP($A212,main!$A$3:$H$102,6,FALSE)&gt;=main!$D$103+VLOOKUP(VLOOKUP(BD$1,main!$A$3:$I$102,7,FALSE),main!$K$26:$Q$29,5,FALSE)),1,0)</f>
        <v>0</v>
      </c>
      <c r="BE212">
        <f>IF(AND(VLOOKUP(BE$1,main!$A$3:$H$102,7,FALSE)=main!$G$105,VLOOKUP(BE$1,main!$A$3:$H$102,5,FALSE)-VLOOKUP($A212,main!$A$3:$H$102,6,FALSE)&gt;=main!$D$103+VLOOKUP(VLOOKUP(BE$1,main!$A$3:$I$102,7,FALSE),main!$K$26:$Q$29,5,FALSE)),1,0)</f>
        <v>0</v>
      </c>
      <c r="BF212">
        <f>IF(AND(VLOOKUP(BF$1,main!$A$3:$H$102,7,FALSE)=main!$G$105,VLOOKUP(BF$1,main!$A$3:$H$102,5,FALSE)-VLOOKUP($A212,main!$A$3:$H$102,6,FALSE)&gt;=main!$D$103+VLOOKUP(VLOOKUP(BF$1,main!$A$3:$I$102,7,FALSE),main!$K$26:$Q$29,5,FALSE)),1,0)</f>
        <v>0</v>
      </c>
      <c r="BG212">
        <f>IF(AND(VLOOKUP(BG$1,main!$A$3:$H$102,7,FALSE)=main!$G$105,VLOOKUP(BG$1,main!$A$3:$H$102,5,FALSE)-VLOOKUP($A212,main!$A$3:$H$102,6,FALSE)&gt;=main!$D$103+VLOOKUP(VLOOKUP(BG$1,main!$A$3:$I$102,7,FALSE),main!$K$26:$Q$29,5,FALSE)),1,0)</f>
        <v>0</v>
      </c>
      <c r="BH212">
        <f>IF(AND(VLOOKUP(BH$1,main!$A$3:$H$102,7,FALSE)=main!$G$105,VLOOKUP(BH$1,main!$A$3:$H$102,5,FALSE)-VLOOKUP($A212,main!$A$3:$H$102,6,FALSE)&gt;=main!$D$103+VLOOKUP(VLOOKUP(BH$1,main!$A$3:$I$102,7,FALSE),main!$K$26:$Q$29,5,FALSE)),1,0)</f>
        <v>0</v>
      </c>
      <c r="BI212">
        <f>IF(AND(VLOOKUP(BI$1,main!$A$3:$H$102,7,FALSE)=main!$G$105,VLOOKUP(BI$1,main!$A$3:$H$102,5,FALSE)-VLOOKUP($A212,main!$A$3:$H$102,6,FALSE)&gt;=main!$D$103+VLOOKUP(VLOOKUP(BI$1,main!$A$3:$I$102,7,FALSE),main!$K$26:$Q$29,5,FALSE)),1,0)</f>
        <v>0</v>
      </c>
      <c r="BJ212">
        <f>IF(AND(VLOOKUP(BJ$1,main!$A$3:$H$102,7,FALSE)=main!$G$105,VLOOKUP(BJ$1,main!$A$3:$H$102,5,FALSE)-VLOOKUP($A212,main!$A$3:$H$102,6,FALSE)&gt;=main!$D$103+VLOOKUP(VLOOKUP(BJ$1,main!$A$3:$I$102,7,FALSE),main!$K$26:$Q$29,5,FALSE)),1,0)</f>
        <v>0</v>
      </c>
      <c r="BK212">
        <f>IF(AND(VLOOKUP(BK$1,main!$A$3:$H$102,7,FALSE)=main!$G$105,VLOOKUP(BK$1,main!$A$3:$H$102,5,FALSE)-VLOOKUP($A212,main!$A$3:$H$102,6,FALSE)&gt;=main!$D$103+VLOOKUP(VLOOKUP(BK$1,main!$A$3:$I$102,7,FALSE),main!$K$26:$Q$29,5,FALSE)),1,0)</f>
        <v>0</v>
      </c>
      <c r="BL212">
        <f>IF(AND(VLOOKUP(BL$1,main!$A$3:$H$102,7,FALSE)=main!$G$105,VLOOKUP(BL$1,main!$A$3:$H$102,5,FALSE)-VLOOKUP($A212,main!$A$3:$H$102,6,FALSE)&gt;=main!$D$103+VLOOKUP(VLOOKUP(BL$1,main!$A$3:$I$102,7,FALSE),main!$K$26:$Q$29,5,FALSE)),1,0)</f>
        <v>0</v>
      </c>
      <c r="BM212">
        <f>IF(AND(VLOOKUP(BM$1,main!$A$3:$H$102,7,FALSE)=main!$G$105,VLOOKUP(BM$1,main!$A$3:$H$102,5,FALSE)-VLOOKUP($A212,main!$A$3:$H$102,6,FALSE)&gt;=main!$D$103+VLOOKUP(VLOOKUP(BM$1,main!$A$3:$I$102,7,FALSE),main!$K$26:$Q$29,5,FALSE)),1,0)</f>
        <v>0</v>
      </c>
      <c r="BN212">
        <f>IF(AND(VLOOKUP(BN$1,main!$A$3:$H$102,7,FALSE)=main!$G$105,VLOOKUP(BN$1,main!$A$3:$H$102,5,FALSE)-VLOOKUP($A212,main!$A$3:$H$102,6,FALSE)&gt;=main!$D$103+VLOOKUP(VLOOKUP(BN$1,main!$A$3:$I$102,7,FALSE),main!$K$26:$Q$29,5,FALSE)),1,0)</f>
        <v>0</v>
      </c>
      <c r="BO212">
        <f>IF(AND(VLOOKUP(BO$1,main!$A$3:$H$102,7,FALSE)=main!$G$105,VLOOKUP(BO$1,main!$A$3:$H$102,5,FALSE)-VLOOKUP($A212,main!$A$3:$H$102,6,FALSE)&gt;=main!$D$103+VLOOKUP(VLOOKUP(BO$1,main!$A$3:$I$102,7,FALSE),main!$K$26:$Q$29,5,FALSE)),1,0)</f>
        <v>0</v>
      </c>
      <c r="BP212">
        <f>IF(AND(VLOOKUP(BP$1,main!$A$3:$H$102,7,FALSE)=main!$G$105,VLOOKUP(BP$1,main!$A$3:$H$102,5,FALSE)-VLOOKUP($A212,main!$A$3:$H$102,6,FALSE)&gt;=main!$D$103+VLOOKUP(VLOOKUP(BP$1,main!$A$3:$I$102,7,FALSE),main!$K$26:$Q$29,5,FALSE)),1,0)</f>
        <v>0</v>
      </c>
      <c r="BQ212">
        <f>IF(AND(VLOOKUP(BQ$1,main!$A$3:$H$102,7,FALSE)=main!$G$105,VLOOKUP(BQ$1,main!$A$3:$H$102,5,FALSE)-VLOOKUP($A212,main!$A$3:$H$102,6,FALSE)&gt;=main!$D$103+VLOOKUP(VLOOKUP(BQ$1,main!$A$3:$I$102,7,FALSE),main!$K$26:$Q$29,5,FALSE)),1,0)</f>
        <v>0</v>
      </c>
      <c r="BR212">
        <f>IF(AND(VLOOKUP(BR$1,main!$A$3:$H$102,7,FALSE)=main!$G$105,VLOOKUP(BR$1,main!$A$3:$H$102,5,FALSE)-VLOOKUP($A212,main!$A$3:$H$102,6,FALSE)&gt;=main!$D$103+VLOOKUP(VLOOKUP(BR$1,main!$A$3:$I$102,7,FALSE),main!$K$26:$Q$29,5,FALSE)),1,0)</f>
        <v>0</v>
      </c>
      <c r="BS212">
        <f>IF(AND(VLOOKUP(BS$1,main!$A$3:$H$102,7,FALSE)=main!$G$105,VLOOKUP(BS$1,main!$A$3:$H$102,5,FALSE)-VLOOKUP($A212,main!$A$3:$H$102,6,FALSE)&gt;=main!$D$103+VLOOKUP(VLOOKUP(BS$1,main!$A$3:$I$102,7,FALSE),main!$K$26:$Q$29,5,FALSE)),1,0)</f>
        <v>0</v>
      </c>
      <c r="BT212">
        <f>IF(AND(VLOOKUP(BT$1,main!$A$3:$H$102,7,FALSE)=main!$G$105,VLOOKUP(BT$1,main!$A$3:$H$102,5,FALSE)-VLOOKUP($A212,main!$A$3:$H$102,6,FALSE)&gt;=main!$D$103+VLOOKUP(VLOOKUP(BT$1,main!$A$3:$I$102,7,FALSE),main!$K$26:$Q$29,5,FALSE)),1,0)</f>
        <v>0</v>
      </c>
      <c r="BU212">
        <f>IF(AND(VLOOKUP(BU$1,main!$A$3:$H$102,7,FALSE)=main!$G$105,VLOOKUP(BU$1,main!$A$3:$H$102,5,FALSE)-VLOOKUP($A212,main!$A$3:$H$102,6,FALSE)&gt;=main!$D$103+VLOOKUP(VLOOKUP(BU$1,main!$A$3:$I$102,7,FALSE),main!$K$26:$Q$29,5,FALSE)),1,0)</f>
        <v>0</v>
      </c>
      <c r="BV212">
        <f>IF(AND(VLOOKUP(BV$1,main!$A$3:$H$102,7,FALSE)=main!$G$105,VLOOKUP(BV$1,main!$A$3:$H$102,5,FALSE)-VLOOKUP($A212,main!$A$3:$H$102,6,FALSE)&gt;=main!$D$103+VLOOKUP(VLOOKUP(BV$1,main!$A$3:$I$102,7,FALSE),main!$K$26:$Q$29,5,FALSE)),1,0)</f>
        <v>0</v>
      </c>
      <c r="BW212">
        <f>IF(AND(VLOOKUP(BW$1,main!$A$3:$H$102,7,FALSE)=main!$G$105,VLOOKUP(BW$1,main!$A$3:$H$102,5,FALSE)-VLOOKUP($A212,main!$A$3:$H$102,6,FALSE)&gt;=main!$D$103+VLOOKUP(VLOOKUP(BW$1,main!$A$3:$I$102,7,FALSE),main!$K$26:$Q$29,5,FALSE)),1,0)</f>
        <v>0</v>
      </c>
      <c r="BX212">
        <f>IF(AND(VLOOKUP(BX$1,main!$A$3:$H$102,7,FALSE)=main!$G$105,VLOOKUP(BX$1,main!$A$3:$H$102,5,FALSE)-VLOOKUP($A212,main!$A$3:$H$102,6,FALSE)&gt;=main!$D$103+VLOOKUP(VLOOKUP(BX$1,main!$A$3:$I$102,7,FALSE),main!$K$26:$Q$29,5,FALSE)),1,0)</f>
        <v>0</v>
      </c>
      <c r="BY212">
        <f>IF(AND(VLOOKUP(BY$1,main!$A$3:$H$102,7,FALSE)=main!$G$105,VLOOKUP(BY$1,main!$A$3:$H$102,5,FALSE)-VLOOKUP($A212,main!$A$3:$H$102,6,FALSE)&gt;=main!$D$103+VLOOKUP(VLOOKUP(BY$1,main!$A$3:$I$102,7,FALSE),main!$K$26:$Q$29,5,FALSE)),1,0)</f>
        <v>0</v>
      </c>
      <c r="BZ212">
        <f>IF(AND(VLOOKUP(BZ$1,main!$A$3:$H$102,7,FALSE)=main!$G$105,VLOOKUP(BZ$1,main!$A$3:$H$102,5,FALSE)-VLOOKUP($A212,main!$A$3:$H$102,6,FALSE)&gt;=main!$D$103+VLOOKUP(VLOOKUP(BZ$1,main!$A$3:$I$102,7,FALSE),main!$K$26:$Q$29,5,FALSE)),1,0)</f>
        <v>0</v>
      </c>
      <c r="CA212">
        <f>IF(AND(VLOOKUP(CA$1,main!$A$3:$H$102,7,FALSE)=main!$G$105,VLOOKUP(CA$1,main!$A$3:$H$102,5,FALSE)-VLOOKUP($A212,main!$A$3:$H$102,6,FALSE)&gt;=main!$D$103+VLOOKUP(VLOOKUP(CA$1,main!$A$3:$I$102,7,FALSE),main!$K$26:$Q$29,5,FALSE)),1,0)</f>
        <v>0</v>
      </c>
      <c r="CB212">
        <f>IF(AND(VLOOKUP(CB$1,main!$A$3:$H$102,7,FALSE)=main!$G$105,VLOOKUP(CB$1,main!$A$3:$H$102,5,FALSE)-VLOOKUP($A212,main!$A$3:$H$102,6,FALSE)&gt;=main!$D$103+VLOOKUP(VLOOKUP(CB$1,main!$A$3:$I$102,7,FALSE),main!$K$26:$Q$29,5,FALSE)),1,0)</f>
        <v>0</v>
      </c>
      <c r="CC212">
        <f>IF(AND(VLOOKUP(CC$1,main!$A$3:$H$102,7,FALSE)=main!$G$105,VLOOKUP(CC$1,main!$A$3:$H$102,5,FALSE)-VLOOKUP($A212,main!$A$3:$H$102,6,FALSE)&gt;=main!$D$103+VLOOKUP(VLOOKUP(CC$1,main!$A$3:$I$102,7,FALSE),main!$K$26:$Q$29,5,FALSE)),1,0)</f>
        <v>0</v>
      </c>
      <c r="CD212">
        <f>IF(AND(VLOOKUP(CD$1,main!$A$3:$H$102,7,FALSE)=main!$G$105,VLOOKUP(CD$1,main!$A$3:$H$102,5,FALSE)-VLOOKUP($A212,main!$A$3:$H$102,6,FALSE)&gt;=main!$D$103+VLOOKUP(VLOOKUP(CD$1,main!$A$3:$I$102,7,FALSE),main!$K$26:$Q$29,5,FALSE)),1,0)</f>
        <v>0</v>
      </c>
      <c r="CE212">
        <f>IF(AND(VLOOKUP(CE$1,main!$A$3:$H$102,7,FALSE)=main!$G$105,VLOOKUP(CE$1,main!$A$3:$H$102,5,FALSE)-VLOOKUP($A212,main!$A$3:$H$102,6,FALSE)&gt;=main!$D$103+VLOOKUP(VLOOKUP(CE$1,main!$A$3:$I$102,7,FALSE),main!$K$26:$Q$29,5,FALSE)),1,0)</f>
        <v>0</v>
      </c>
      <c r="CF212">
        <f>IF(AND(VLOOKUP(CF$1,main!$A$3:$H$102,7,FALSE)=main!$G$105,VLOOKUP(CF$1,main!$A$3:$H$102,5,FALSE)-VLOOKUP($A212,main!$A$3:$H$102,6,FALSE)&gt;=main!$D$103+VLOOKUP(VLOOKUP(CF$1,main!$A$3:$I$102,7,FALSE),main!$K$26:$Q$29,5,FALSE)),1,0)</f>
        <v>0</v>
      </c>
      <c r="CG212">
        <f>IF(AND(VLOOKUP(CG$1,main!$A$3:$H$102,7,FALSE)=main!$G$105,VLOOKUP(CG$1,main!$A$3:$H$102,5,FALSE)-VLOOKUP($A212,main!$A$3:$H$102,6,FALSE)&gt;=main!$D$103+VLOOKUP(VLOOKUP(CG$1,main!$A$3:$I$102,7,FALSE),main!$K$26:$Q$29,5,FALSE)),1,0)</f>
        <v>0</v>
      </c>
      <c r="CH212">
        <f>IF(AND(VLOOKUP(CH$1,main!$A$3:$H$102,7,FALSE)=main!$G$105,VLOOKUP(CH$1,main!$A$3:$H$102,5,FALSE)-VLOOKUP($A212,main!$A$3:$H$102,6,FALSE)&gt;=main!$D$103+VLOOKUP(VLOOKUP(CH$1,main!$A$3:$I$102,7,FALSE),main!$K$26:$Q$29,5,FALSE)),1,0)</f>
        <v>0</v>
      </c>
      <c r="CI212">
        <f>IF(AND(VLOOKUP(CI$1,main!$A$3:$H$102,7,FALSE)=main!$G$105,VLOOKUP(CI$1,main!$A$3:$H$102,5,FALSE)-VLOOKUP($A212,main!$A$3:$H$102,6,FALSE)&gt;=main!$D$103+VLOOKUP(VLOOKUP(CI$1,main!$A$3:$I$102,7,FALSE),main!$K$26:$Q$29,5,FALSE)),1,0)</f>
        <v>0</v>
      </c>
      <c r="CJ212">
        <f>IF(AND(VLOOKUP(CJ$1,main!$A$3:$H$102,7,FALSE)=main!$G$105,VLOOKUP(CJ$1,main!$A$3:$H$102,5,FALSE)-VLOOKUP($A212,main!$A$3:$H$102,6,FALSE)&gt;=main!$D$103+VLOOKUP(VLOOKUP(CJ$1,main!$A$3:$I$102,7,FALSE),main!$K$26:$Q$29,5,FALSE)),1,0)</f>
        <v>0</v>
      </c>
      <c r="CK212">
        <f>IF(AND(VLOOKUP(CK$1,main!$A$3:$H$102,7,FALSE)=main!$G$105,VLOOKUP(CK$1,main!$A$3:$H$102,5,FALSE)-VLOOKUP($A212,main!$A$3:$H$102,6,FALSE)&gt;=main!$D$103+VLOOKUP(VLOOKUP(CK$1,main!$A$3:$I$102,7,FALSE),main!$K$26:$Q$29,5,FALSE)),1,0)</f>
        <v>0</v>
      </c>
      <c r="CL212">
        <f>IF(AND(VLOOKUP(CL$1,main!$A$3:$H$102,7,FALSE)=main!$G$105,VLOOKUP(CL$1,main!$A$3:$H$102,5,FALSE)-VLOOKUP($A212,main!$A$3:$H$102,6,FALSE)&gt;=main!$D$103+VLOOKUP(VLOOKUP(CL$1,main!$A$3:$I$102,7,FALSE),main!$K$26:$Q$29,5,FALSE)),1,0)</f>
        <v>0</v>
      </c>
      <c r="CM212">
        <f>IF(AND(VLOOKUP(CM$1,main!$A$3:$H$102,7,FALSE)=main!$G$105,VLOOKUP(CM$1,main!$A$3:$H$102,5,FALSE)-VLOOKUP($A212,main!$A$3:$H$102,6,FALSE)&gt;=main!$D$103+VLOOKUP(VLOOKUP(CM$1,main!$A$3:$I$102,7,FALSE),main!$K$26:$Q$29,5,FALSE)),1,0)</f>
        <v>0</v>
      </c>
      <c r="CN212">
        <f>IF(AND(VLOOKUP(CN$1,main!$A$3:$H$102,7,FALSE)=main!$G$105,VLOOKUP(CN$1,main!$A$3:$H$102,5,FALSE)-VLOOKUP($A212,main!$A$3:$H$102,6,FALSE)&gt;=main!$D$103+VLOOKUP(VLOOKUP(CN$1,main!$A$3:$I$102,7,FALSE),main!$K$26:$Q$29,5,FALSE)),1,0)</f>
        <v>0</v>
      </c>
      <c r="CO212">
        <f>IF(AND(VLOOKUP(CO$1,main!$A$3:$H$102,7,FALSE)=main!$G$105,VLOOKUP(CO$1,main!$A$3:$H$102,5,FALSE)-VLOOKUP($A212,main!$A$3:$H$102,6,FALSE)&gt;=main!$D$103+VLOOKUP(VLOOKUP(CO$1,main!$A$3:$I$102,7,FALSE),main!$K$26:$Q$29,5,FALSE)),1,0)</f>
        <v>0</v>
      </c>
      <c r="CP212">
        <f>IF(AND(VLOOKUP(CP$1,main!$A$3:$H$102,7,FALSE)=main!$G$105,VLOOKUP(CP$1,main!$A$3:$H$102,5,FALSE)-VLOOKUP($A212,main!$A$3:$H$102,6,FALSE)&gt;=main!$D$103+VLOOKUP(VLOOKUP(CP$1,main!$A$3:$I$102,7,FALSE),main!$K$26:$Q$29,5,FALSE)),1,0)</f>
        <v>0</v>
      </c>
      <c r="CQ212">
        <f>IF(AND(VLOOKUP(CQ$1,main!$A$3:$H$102,7,FALSE)=main!$G$105,VLOOKUP(CQ$1,main!$A$3:$H$102,5,FALSE)-VLOOKUP($A212,main!$A$3:$H$102,6,FALSE)&gt;=main!$D$103+VLOOKUP(VLOOKUP(CQ$1,main!$A$3:$I$102,7,FALSE),main!$K$26:$Q$29,5,FALSE)),1,0)</f>
        <v>0</v>
      </c>
      <c r="CR212">
        <f>IF(AND(VLOOKUP(CR$1,main!$A$3:$H$102,7,FALSE)=main!$G$105,VLOOKUP(CR$1,main!$A$3:$H$102,5,FALSE)-VLOOKUP($A212,main!$A$3:$H$102,6,FALSE)&gt;=main!$D$103+VLOOKUP(VLOOKUP(CR$1,main!$A$3:$I$102,7,FALSE),main!$K$26:$Q$29,5,FALSE)),1,0)</f>
        <v>0</v>
      </c>
      <c r="CS212">
        <f>IF(AND(VLOOKUP(CS$1,main!$A$3:$H$102,7,FALSE)=main!$G$105,VLOOKUP(CS$1,main!$A$3:$H$102,5,FALSE)-VLOOKUP($A212,main!$A$3:$H$102,6,FALSE)&gt;=main!$D$103+VLOOKUP(VLOOKUP(CS$1,main!$A$3:$I$102,7,FALSE),main!$K$26:$Q$29,5,FALSE)),1,0)</f>
        <v>0</v>
      </c>
      <c r="CT212">
        <f>IF(AND(VLOOKUP(CT$1,main!$A$3:$H$102,7,FALSE)=main!$G$105,VLOOKUP(CT$1,main!$A$3:$H$102,5,FALSE)-VLOOKUP($A212,main!$A$3:$H$102,6,FALSE)&gt;=main!$D$103+VLOOKUP(VLOOKUP(CT$1,main!$A$3:$I$102,7,FALSE),main!$K$26:$Q$29,5,FALSE)),1,0)</f>
        <v>0</v>
      </c>
      <c r="CU212">
        <f>IF(AND(VLOOKUP(CU$1,main!$A$3:$H$102,7,FALSE)=main!$G$105,VLOOKUP(CU$1,main!$A$3:$H$102,5,FALSE)-VLOOKUP($A212,main!$A$3:$H$102,6,FALSE)&gt;=main!$D$103+VLOOKUP(VLOOKUP(CU$1,main!$A$3:$I$102,7,FALSE),main!$K$26:$Q$29,5,FALSE)),1,0)</f>
        <v>0</v>
      </c>
      <c r="CV212">
        <f>IF(AND(VLOOKUP(CV$1,main!$A$3:$H$102,7,FALSE)=main!$G$105,VLOOKUP(CV$1,main!$A$3:$H$102,5,FALSE)-VLOOKUP($A212,main!$A$3:$H$102,6,FALSE)&gt;=main!$D$103+VLOOKUP(VLOOKUP(CV$1,main!$A$3:$I$102,7,FALSE),main!$K$26:$Q$29,5,FALSE)),1,0)</f>
        <v>0</v>
      </c>
      <c r="CW212">
        <f>IF(AND(VLOOKUP(CW$1,main!$A$3:$H$102,7,FALSE)=main!$G$105,VLOOKUP(CW$1,main!$A$3:$H$102,5,FALSE)-VLOOKUP($A212,main!$A$3:$H$102,6,FALSE)&gt;=main!$D$103+VLOOKUP(VLOOKUP(CW$1,main!$A$3:$I$102,7,FALSE),main!$K$26:$Q$29,5,FALSE)),1,0)</f>
        <v>0</v>
      </c>
      <c r="CX212">
        <f>IF(AND(VLOOKUP(CX$1,main!$A$3:$H$102,7,FALSE)=main!$G$105,VLOOKUP(CX$1,main!$A$3:$H$102,5,FALSE)-VLOOKUP($A212,main!$A$3:$H$102,6,FALSE)&gt;=main!$D$103+VLOOKUP(VLOOKUP(CX$1,main!$A$3:$I$102,7,FALSE),main!$K$26:$Q$29,5,FALSE)),1,0)</f>
        <v>0</v>
      </c>
    </row>
    <row r="213" spans="1:102" x14ac:dyDescent="0.25">
      <c r="A213" s="1">
        <v>9</v>
      </c>
      <c r="B213">
        <v>0</v>
      </c>
      <c r="C213">
        <f>IF(AND(VLOOKUP(C$1,main!$A$3:$H$102,7,FALSE)=main!$G$105,VLOOKUP(C$1,main!$A$3:$H$102,5,FALSE)-VLOOKUP($A213,main!$A$3:$H$102,6,FALSE)&gt;=main!$D$103+VLOOKUP(VLOOKUP(C$1,main!$A$3:$I$102,7,FALSE),main!$K$26:$Q$29,5,FALSE)),1,0)</f>
        <v>0</v>
      </c>
      <c r="D213">
        <f>IF(AND(VLOOKUP(D$1,main!$A$3:$H$102,7,FALSE)=main!$G$105,VLOOKUP(D$1,main!$A$3:$H$102,5,FALSE)-VLOOKUP($A213,main!$A$3:$H$102,6,FALSE)&gt;=main!$D$103+VLOOKUP(VLOOKUP(D$1,main!$A$3:$I$102,7,FALSE),main!$K$26:$Q$29,5,FALSE)),1,0)</f>
        <v>0</v>
      </c>
      <c r="E213">
        <f>IF(AND(VLOOKUP(E$1,main!$A$3:$H$102,7,FALSE)=main!$G$105,VLOOKUP(E$1,main!$A$3:$H$102,5,FALSE)-VLOOKUP($A213,main!$A$3:$H$102,6,FALSE)&gt;=main!$D$103+VLOOKUP(VLOOKUP(E$1,main!$A$3:$I$102,7,FALSE),main!$K$26:$Q$29,5,FALSE)),1,0)</f>
        <v>0</v>
      </c>
      <c r="F213">
        <f>IF(AND(VLOOKUP(F$1,main!$A$3:$H$102,7,FALSE)=main!$G$105,VLOOKUP(F$1,main!$A$3:$H$102,5,FALSE)-VLOOKUP($A213,main!$A$3:$H$102,6,FALSE)&gt;=main!$D$103+VLOOKUP(VLOOKUP(F$1,main!$A$3:$I$102,7,FALSE),main!$K$26:$Q$29,5,FALSE)),1,0)</f>
        <v>0</v>
      </c>
      <c r="G213">
        <f>IF(AND(VLOOKUP(G$1,main!$A$3:$H$102,7,FALSE)=main!$G$105,VLOOKUP(G$1,main!$A$3:$H$102,5,FALSE)-VLOOKUP($A213,main!$A$3:$H$102,6,FALSE)&gt;=main!$D$103+VLOOKUP(VLOOKUP(G$1,main!$A$3:$I$102,7,FALSE),main!$K$26:$Q$29,5,FALSE)),1,0)</f>
        <v>0</v>
      </c>
      <c r="H213">
        <f>IF(AND(VLOOKUP(H$1,main!$A$3:$H$102,7,FALSE)=main!$G$105,VLOOKUP(H$1,main!$A$3:$H$102,5,FALSE)-VLOOKUP($A213,main!$A$3:$H$102,6,FALSE)&gt;=main!$D$103+VLOOKUP(VLOOKUP(H$1,main!$A$3:$I$102,7,FALSE),main!$K$26:$Q$29,5,FALSE)),1,0)</f>
        <v>0</v>
      </c>
      <c r="I213">
        <f>IF(AND(VLOOKUP(I$1,main!$A$3:$H$102,7,FALSE)=main!$G$105,VLOOKUP(I$1,main!$A$3:$H$102,5,FALSE)-VLOOKUP($A213,main!$A$3:$H$102,6,FALSE)&gt;=main!$D$103+VLOOKUP(VLOOKUP(I$1,main!$A$3:$I$102,7,FALSE),main!$K$26:$Q$29,5,FALSE)),1,0)</f>
        <v>0</v>
      </c>
      <c r="J213">
        <f>IF(AND(VLOOKUP(J$1,main!$A$3:$H$102,7,FALSE)=main!$G$105,VLOOKUP(J$1,main!$A$3:$H$102,5,FALSE)-VLOOKUP($A213,main!$A$3:$H$102,6,FALSE)&gt;=main!$D$103+VLOOKUP(VLOOKUP(J$1,main!$A$3:$I$102,7,FALSE),main!$K$26:$Q$29,5,FALSE)),1,0)</f>
        <v>0</v>
      </c>
      <c r="K213">
        <f>IF(AND(VLOOKUP(K$1,main!$A$3:$H$102,7,FALSE)=main!$G$105,VLOOKUP(K$1,main!$A$3:$H$102,5,FALSE)-VLOOKUP($A213,main!$A$3:$H$102,6,FALSE)&gt;=main!$D$103+VLOOKUP(VLOOKUP(K$1,main!$A$3:$I$102,7,FALSE),main!$K$26:$Q$29,5,FALSE)),1,0)</f>
        <v>0</v>
      </c>
      <c r="L213">
        <f>IF(AND(VLOOKUP(L$1,main!$A$3:$H$102,7,FALSE)=main!$G$105,VLOOKUP(L$1,main!$A$3:$H$102,5,FALSE)-VLOOKUP($A213,main!$A$3:$H$102,6,FALSE)&gt;=main!$D$103+VLOOKUP(VLOOKUP(L$1,main!$A$3:$I$102,7,FALSE),main!$K$26:$Q$29,5,FALSE)),1,0)</f>
        <v>0</v>
      </c>
      <c r="M213">
        <f>IF(AND(VLOOKUP(M$1,main!$A$3:$H$102,7,FALSE)=main!$G$105,VLOOKUP(M$1,main!$A$3:$H$102,5,FALSE)-VLOOKUP($A213,main!$A$3:$H$102,6,FALSE)&gt;=main!$D$103+VLOOKUP(VLOOKUP(M$1,main!$A$3:$I$102,7,FALSE),main!$K$26:$Q$29,5,FALSE)),1,0)</f>
        <v>0</v>
      </c>
      <c r="N213">
        <f>IF(AND(VLOOKUP(N$1,main!$A$3:$H$102,7,FALSE)=main!$G$105,VLOOKUP(N$1,main!$A$3:$H$102,5,FALSE)-VLOOKUP($A213,main!$A$3:$H$102,6,FALSE)&gt;=main!$D$103+VLOOKUP(VLOOKUP(N$1,main!$A$3:$I$102,7,FALSE),main!$K$26:$Q$29,5,FALSE)),1,0)</f>
        <v>0</v>
      </c>
      <c r="O213">
        <f>IF(AND(VLOOKUP(O$1,main!$A$3:$H$102,7,FALSE)=main!$G$105,VLOOKUP(O$1,main!$A$3:$H$102,5,FALSE)-VLOOKUP($A213,main!$A$3:$H$102,6,FALSE)&gt;=main!$D$103+VLOOKUP(VLOOKUP(O$1,main!$A$3:$I$102,7,FALSE),main!$K$26:$Q$29,5,FALSE)),1,0)</f>
        <v>0</v>
      </c>
      <c r="P213">
        <f>IF(AND(VLOOKUP(P$1,main!$A$3:$H$102,7,FALSE)=main!$G$105,VLOOKUP(P$1,main!$A$3:$H$102,5,FALSE)-VLOOKUP($A213,main!$A$3:$H$102,6,FALSE)&gt;=main!$D$103+VLOOKUP(VLOOKUP(P$1,main!$A$3:$I$102,7,FALSE),main!$K$26:$Q$29,5,FALSE)),1,0)</f>
        <v>0</v>
      </c>
      <c r="Q213">
        <f>IF(AND(VLOOKUP(Q$1,main!$A$3:$H$102,7,FALSE)=main!$G$105,VLOOKUP(Q$1,main!$A$3:$H$102,5,FALSE)-VLOOKUP($A213,main!$A$3:$H$102,6,FALSE)&gt;=main!$D$103+VLOOKUP(VLOOKUP(Q$1,main!$A$3:$I$102,7,FALSE),main!$K$26:$Q$29,5,FALSE)),1,0)</f>
        <v>0</v>
      </c>
      <c r="R213">
        <f>IF(AND(VLOOKUP(R$1,main!$A$3:$H$102,7,FALSE)=main!$G$105,VLOOKUP(R$1,main!$A$3:$H$102,5,FALSE)-VLOOKUP($A213,main!$A$3:$H$102,6,FALSE)&gt;=main!$D$103+VLOOKUP(VLOOKUP(R$1,main!$A$3:$I$102,7,FALSE),main!$K$26:$Q$29,5,FALSE)),1,0)</f>
        <v>0</v>
      </c>
      <c r="S213">
        <f>IF(AND(VLOOKUP(S$1,main!$A$3:$H$102,7,FALSE)=main!$G$105,VLOOKUP(S$1,main!$A$3:$H$102,5,FALSE)-VLOOKUP($A213,main!$A$3:$H$102,6,FALSE)&gt;=main!$D$103+VLOOKUP(VLOOKUP(S$1,main!$A$3:$I$102,7,FALSE),main!$K$26:$Q$29,5,FALSE)),1,0)</f>
        <v>0</v>
      </c>
      <c r="T213">
        <f>IF(AND(VLOOKUP(T$1,main!$A$3:$H$102,7,FALSE)=main!$G$105,VLOOKUP(T$1,main!$A$3:$H$102,5,FALSE)-VLOOKUP($A213,main!$A$3:$H$102,6,FALSE)&gt;=main!$D$103+VLOOKUP(VLOOKUP(T$1,main!$A$3:$I$102,7,FALSE),main!$K$26:$Q$29,5,FALSE)),1,0)</f>
        <v>0</v>
      </c>
      <c r="U213">
        <f>IF(AND(VLOOKUP(U$1,main!$A$3:$H$102,7,FALSE)=main!$G$105,VLOOKUP(U$1,main!$A$3:$H$102,5,FALSE)-VLOOKUP($A213,main!$A$3:$H$102,6,FALSE)&gt;=main!$D$103+VLOOKUP(VLOOKUP(U$1,main!$A$3:$I$102,7,FALSE),main!$K$26:$Q$29,5,FALSE)),1,0)</f>
        <v>0</v>
      </c>
      <c r="V213">
        <f>IF(AND(VLOOKUP(V$1,main!$A$3:$H$102,7,FALSE)=main!$G$105,VLOOKUP(V$1,main!$A$3:$H$102,5,FALSE)-VLOOKUP($A213,main!$A$3:$H$102,6,FALSE)&gt;=main!$D$103+VLOOKUP(VLOOKUP(V$1,main!$A$3:$I$102,7,FALSE),main!$K$26:$Q$29,5,FALSE)),1,0)</f>
        <v>0</v>
      </c>
      <c r="W213">
        <f>IF(AND(VLOOKUP(W$1,main!$A$3:$H$102,7,FALSE)=main!$G$105,VLOOKUP(W$1,main!$A$3:$H$102,5,FALSE)-VLOOKUP($A213,main!$A$3:$H$102,6,FALSE)&gt;=main!$D$103+VLOOKUP(VLOOKUP(W$1,main!$A$3:$I$102,7,FALSE),main!$K$26:$Q$29,5,FALSE)),1,0)</f>
        <v>0</v>
      </c>
      <c r="X213">
        <f>IF(AND(VLOOKUP(X$1,main!$A$3:$H$102,7,FALSE)=main!$G$105,VLOOKUP(X$1,main!$A$3:$H$102,5,FALSE)-VLOOKUP($A213,main!$A$3:$H$102,6,FALSE)&gt;=main!$D$103+VLOOKUP(VLOOKUP(X$1,main!$A$3:$I$102,7,FALSE),main!$K$26:$Q$29,5,FALSE)),1,0)</f>
        <v>0</v>
      </c>
      <c r="Y213">
        <f>IF(AND(VLOOKUP(Y$1,main!$A$3:$H$102,7,FALSE)=main!$G$105,VLOOKUP(Y$1,main!$A$3:$H$102,5,FALSE)-VLOOKUP($A213,main!$A$3:$H$102,6,FALSE)&gt;=main!$D$103+VLOOKUP(VLOOKUP(Y$1,main!$A$3:$I$102,7,FALSE),main!$K$26:$Q$29,5,FALSE)),1,0)</f>
        <v>0</v>
      </c>
      <c r="Z213">
        <f>IF(AND(VLOOKUP(Z$1,main!$A$3:$H$102,7,FALSE)=main!$G$105,VLOOKUP(Z$1,main!$A$3:$H$102,5,FALSE)-VLOOKUP($A213,main!$A$3:$H$102,6,FALSE)&gt;=main!$D$103+VLOOKUP(VLOOKUP(Z$1,main!$A$3:$I$102,7,FALSE),main!$K$26:$Q$29,5,FALSE)),1,0)</f>
        <v>0</v>
      </c>
      <c r="AA213">
        <f>IF(AND(VLOOKUP(AA$1,main!$A$3:$H$102,7,FALSE)=main!$G$105,VLOOKUP(AA$1,main!$A$3:$H$102,5,FALSE)-VLOOKUP($A213,main!$A$3:$H$102,6,FALSE)&gt;=main!$D$103+VLOOKUP(VLOOKUP(AA$1,main!$A$3:$I$102,7,FALSE),main!$K$26:$Q$29,5,FALSE)),1,0)</f>
        <v>0</v>
      </c>
      <c r="AB213">
        <f>IF(AND(VLOOKUP(AB$1,main!$A$3:$H$102,7,FALSE)=main!$G$105,VLOOKUP(AB$1,main!$A$3:$H$102,5,FALSE)-VLOOKUP($A213,main!$A$3:$H$102,6,FALSE)&gt;=main!$D$103+VLOOKUP(VLOOKUP(AB$1,main!$A$3:$I$102,7,FALSE),main!$K$26:$Q$29,5,FALSE)),1,0)</f>
        <v>0</v>
      </c>
      <c r="AC213">
        <f>IF(AND(VLOOKUP(AC$1,main!$A$3:$H$102,7,FALSE)=main!$G$105,VLOOKUP(AC$1,main!$A$3:$H$102,5,FALSE)-VLOOKUP($A213,main!$A$3:$H$102,6,FALSE)&gt;=main!$D$103+VLOOKUP(VLOOKUP(AC$1,main!$A$3:$I$102,7,FALSE),main!$K$26:$Q$29,5,FALSE)),1,0)</f>
        <v>0</v>
      </c>
      <c r="AD213">
        <f>IF(AND(VLOOKUP(AD$1,main!$A$3:$H$102,7,FALSE)=main!$G$105,VLOOKUP(AD$1,main!$A$3:$H$102,5,FALSE)-VLOOKUP($A213,main!$A$3:$H$102,6,FALSE)&gt;=main!$D$103+VLOOKUP(VLOOKUP(AD$1,main!$A$3:$I$102,7,FALSE),main!$K$26:$Q$29,5,FALSE)),1,0)</f>
        <v>0</v>
      </c>
      <c r="AE213">
        <f>IF(AND(VLOOKUP(AE$1,main!$A$3:$H$102,7,FALSE)=main!$G$105,VLOOKUP(AE$1,main!$A$3:$H$102,5,FALSE)-VLOOKUP($A213,main!$A$3:$H$102,6,FALSE)&gt;=main!$D$103+VLOOKUP(VLOOKUP(AE$1,main!$A$3:$I$102,7,FALSE),main!$K$26:$Q$29,5,FALSE)),1,0)</f>
        <v>0</v>
      </c>
      <c r="AF213">
        <f>IF(AND(VLOOKUP(AF$1,main!$A$3:$H$102,7,FALSE)=main!$G$105,VLOOKUP(AF$1,main!$A$3:$H$102,5,FALSE)-VLOOKUP($A213,main!$A$3:$H$102,6,FALSE)&gt;=main!$D$103+VLOOKUP(VLOOKUP(AF$1,main!$A$3:$I$102,7,FALSE),main!$K$26:$Q$29,5,FALSE)),1,0)</f>
        <v>0</v>
      </c>
      <c r="AG213">
        <f>IF(AND(VLOOKUP(AG$1,main!$A$3:$H$102,7,FALSE)=main!$G$105,VLOOKUP(AG$1,main!$A$3:$H$102,5,FALSE)-VLOOKUP($A213,main!$A$3:$H$102,6,FALSE)&gt;=main!$D$103+VLOOKUP(VLOOKUP(AG$1,main!$A$3:$I$102,7,FALSE),main!$K$26:$Q$29,5,FALSE)),1,0)</f>
        <v>0</v>
      </c>
      <c r="AH213">
        <f>IF(AND(VLOOKUP(AH$1,main!$A$3:$H$102,7,FALSE)=main!$G$105,VLOOKUP(AH$1,main!$A$3:$H$102,5,FALSE)-VLOOKUP($A213,main!$A$3:$H$102,6,FALSE)&gt;=main!$D$103+VLOOKUP(VLOOKUP(AH$1,main!$A$3:$I$102,7,FALSE),main!$K$26:$Q$29,5,FALSE)),1,0)</f>
        <v>0</v>
      </c>
      <c r="AI213">
        <f>IF(AND(VLOOKUP(AI$1,main!$A$3:$H$102,7,FALSE)=main!$G$105,VLOOKUP(AI$1,main!$A$3:$H$102,5,FALSE)-VLOOKUP($A213,main!$A$3:$H$102,6,FALSE)&gt;=main!$D$103+VLOOKUP(VLOOKUP(AI$1,main!$A$3:$I$102,7,FALSE),main!$K$26:$Q$29,5,FALSE)),1,0)</f>
        <v>0</v>
      </c>
      <c r="AJ213">
        <f>IF(AND(VLOOKUP(AJ$1,main!$A$3:$H$102,7,FALSE)=main!$G$105,VLOOKUP(AJ$1,main!$A$3:$H$102,5,FALSE)-VLOOKUP($A213,main!$A$3:$H$102,6,FALSE)&gt;=main!$D$103+VLOOKUP(VLOOKUP(AJ$1,main!$A$3:$I$102,7,FALSE),main!$K$26:$Q$29,5,FALSE)),1,0)</f>
        <v>0</v>
      </c>
      <c r="AK213">
        <f>IF(AND(VLOOKUP(AK$1,main!$A$3:$H$102,7,FALSE)=main!$G$105,VLOOKUP(AK$1,main!$A$3:$H$102,5,FALSE)-VLOOKUP($A213,main!$A$3:$H$102,6,FALSE)&gt;=main!$D$103+VLOOKUP(VLOOKUP(AK$1,main!$A$3:$I$102,7,FALSE),main!$K$26:$Q$29,5,FALSE)),1,0)</f>
        <v>0</v>
      </c>
      <c r="AL213">
        <f>IF(AND(VLOOKUP(AL$1,main!$A$3:$H$102,7,FALSE)=main!$G$105,VLOOKUP(AL$1,main!$A$3:$H$102,5,FALSE)-VLOOKUP($A213,main!$A$3:$H$102,6,FALSE)&gt;=main!$D$103+VLOOKUP(VLOOKUP(AL$1,main!$A$3:$I$102,7,FALSE),main!$K$26:$Q$29,5,FALSE)),1,0)</f>
        <v>0</v>
      </c>
      <c r="AM213">
        <f>IF(AND(VLOOKUP(AM$1,main!$A$3:$H$102,7,FALSE)=main!$G$105,VLOOKUP(AM$1,main!$A$3:$H$102,5,FALSE)-VLOOKUP($A213,main!$A$3:$H$102,6,FALSE)&gt;=main!$D$103+VLOOKUP(VLOOKUP(AM$1,main!$A$3:$I$102,7,FALSE),main!$K$26:$Q$29,5,FALSE)),1,0)</f>
        <v>0</v>
      </c>
      <c r="AN213">
        <f>IF(AND(VLOOKUP(AN$1,main!$A$3:$H$102,7,FALSE)=main!$G$105,VLOOKUP(AN$1,main!$A$3:$H$102,5,FALSE)-VLOOKUP($A213,main!$A$3:$H$102,6,FALSE)&gt;=main!$D$103+VLOOKUP(VLOOKUP(AN$1,main!$A$3:$I$102,7,FALSE),main!$K$26:$Q$29,5,FALSE)),1,0)</f>
        <v>0</v>
      </c>
      <c r="AO213">
        <f>IF(AND(VLOOKUP(AO$1,main!$A$3:$H$102,7,FALSE)=main!$G$105,VLOOKUP(AO$1,main!$A$3:$H$102,5,FALSE)-VLOOKUP($A213,main!$A$3:$H$102,6,FALSE)&gt;=main!$D$103+VLOOKUP(VLOOKUP(AO$1,main!$A$3:$I$102,7,FALSE),main!$K$26:$Q$29,5,FALSE)),1,0)</f>
        <v>0</v>
      </c>
      <c r="AP213">
        <f>IF(AND(VLOOKUP(AP$1,main!$A$3:$H$102,7,FALSE)=main!$G$105,VLOOKUP(AP$1,main!$A$3:$H$102,5,FALSE)-VLOOKUP($A213,main!$A$3:$H$102,6,FALSE)&gt;=main!$D$103+VLOOKUP(VLOOKUP(AP$1,main!$A$3:$I$102,7,FALSE),main!$K$26:$Q$29,5,FALSE)),1,0)</f>
        <v>0</v>
      </c>
      <c r="AQ213">
        <f>IF(AND(VLOOKUP(AQ$1,main!$A$3:$H$102,7,FALSE)=main!$G$105,VLOOKUP(AQ$1,main!$A$3:$H$102,5,FALSE)-VLOOKUP($A213,main!$A$3:$H$102,6,FALSE)&gt;=main!$D$103+VLOOKUP(VLOOKUP(AQ$1,main!$A$3:$I$102,7,FALSE),main!$K$26:$Q$29,5,FALSE)),1,0)</f>
        <v>0</v>
      </c>
      <c r="AR213">
        <f>IF(AND(VLOOKUP(AR$1,main!$A$3:$H$102,7,FALSE)=main!$G$105,VLOOKUP(AR$1,main!$A$3:$H$102,5,FALSE)-VLOOKUP($A213,main!$A$3:$H$102,6,FALSE)&gt;=main!$D$103+VLOOKUP(VLOOKUP(AR$1,main!$A$3:$I$102,7,FALSE),main!$K$26:$Q$29,5,FALSE)),1,0)</f>
        <v>0</v>
      </c>
      <c r="AS213">
        <f>IF(AND(VLOOKUP(AS$1,main!$A$3:$H$102,7,FALSE)=main!$G$105,VLOOKUP(AS$1,main!$A$3:$H$102,5,FALSE)-VLOOKUP($A213,main!$A$3:$H$102,6,FALSE)&gt;=main!$D$103+VLOOKUP(VLOOKUP(AS$1,main!$A$3:$I$102,7,FALSE),main!$K$26:$Q$29,5,FALSE)),1,0)</f>
        <v>0</v>
      </c>
      <c r="AT213">
        <f>IF(AND(VLOOKUP(AT$1,main!$A$3:$H$102,7,FALSE)=main!$G$105,VLOOKUP(AT$1,main!$A$3:$H$102,5,FALSE)-VLOOKUP($A213,main!$A$3:$H$102,6,FALSE)&gt;=main!$D$103+VLOOKUP(VLOOKUP(AT$1,main!$A$3:$I$102,7,FALSE),main!$K$26:$Q$29,5,FALSE)),1,0)</f>
        <v>0</v>
      </c>
      <c r="AU213">
        <f>IF(AND(VLOOKUP(AU$1,main!$A$3:$H$102,7,FALSE)=main!$G$105,VLOOKUP(AU$1,main!$A$3:$H$102,5,FALSE)-VLOOKUP($A213,main!$A$3:$H$102,6,FALSE)&gt;=main!$D$103+VLOOKUP(VLOOKUP(AU$1,main!$A$3:$I$102,7,FALSE),main!$K$26:$Q$29,5,FALSE)),1,0)</f>
        <v>0</v>
      </c>
      <c r="AV213">
        <f>IF(AND(VLOOKUP(AV$1,main!$A$3:$H$102,7,FALSE)=main!$G$105,VLOOKUP(AV$1,main!$A$3:$H$102,5,FALSE)-VLOOKUP($A213,main!$A$3:$H$102,6,FALSE)&gt;=main!$D$103+VLOOKUP(VLOOKUP(AV$1,main!$A$3:$I$102,7,FALSE),main!$K$26:$Q$29,5,FALSE)),1,0)</f>
        <v>0</v>
      </c>
      <c r="AW213">
        <f>IF(AND(VLOOKUP(AW$1,main!$A$3:$H$102,7,FALSE)=main!$G$105,VLOOKUP(AW$1,main!$A$3:$H$102,5,FALSE)-VLOOKUP($A213,main!$A$3:$H$102,6,FALSE)&gt;=main!$D$103+VLOOKUP(VLOOKUP(AW$1,main!$A$3:$I$102,7,FALSE),main!$K$26:$Q$29,5,FALSE)),1,0)</f>
        <v>0</v>
      </c>
      <c r="AX213">
        <f>IF(AND(VLOOKUP(AX$1,main!$A$3:$H$102,7,FALSE)=main!$G$105,VLOOKUP(AX$1,main!$A$3:$H$102,5,FALSE)-VLOOKUP($A213,main!$A$3:$H$102,6,FALSE)&gt;=main!$D$103+VLOOKUP(VLOOKUP(AX$1,main!$A$3:$I$102,7,FALSE),main!$K$26:$Q$29,5,FALSE)),1,0)</f>
        <v>0</v>
      </c>
      <c r="AY213">
        <f>IF(AND(VLOOKUP(AY$1,main!$A$3:$H$102,7,FALSE)=main!$G$105,VLOOKUP(AY$1,main!$A$3:$H$102,5,FALSE)-VLOOKUP($A213,main!$A$3:$H$102,6,FALSE)&gt;=main!$D$103+VLOOKUP(VLOOKUP(AY$1,main!$A$3:$I$102,7,FALSE),main!$K$26:$Q$29,5,FALSE)),1,0)</f>
        <v>0</v>
      </c>
      <c r="AZ213">
        <f>IF(AND(VLOOKUP(AZ$1,main!$A$3:$H$102,7,FALSE)=main!$G$105,VLOOKUP(AZ$1,main!$A$3:$H$102,5,FALSE)-VLOOKUP($A213,main!$A$3:$H$102,6,FALSE)&gt;=main!$D$103+VLOOKUP(VLOOKUP(AZ$1,main!$A$3:$I$102,7,FALSE),main!$K$26:$Q$29,5,FALSE)),1,0)</f>
        <v>0</v>
      </c>
      <c r="BA213">
        <f>IF(AND(VLOOKUP(BA$1,main!$A$3:$H$102,7,FALSE)=main!$G$105,VLOOKUP(BA$1,main!$A$3:$H$102,5,FALSE)-VLOOKUP($A213,main!$A$3:$H$102,6,FALSE)&gt;=main!$D$103+VLOOKUP(VLOOKUP(BA$1,main!$A$3:$I$102,7,FALSE),main!$K$26:$Q$29,5,FALSE)),1,0)</f>
        <v>0</v>
      </c>
      <c r="BB213">
        <f>IF(AND(VLOOKUP(BB$1,main!$A$3:$H$102,7,FALSE)=main!$G$105,VLOOKUP(BB$1,main!$A$3:$H$102,5,FALSE)-VLOOKUP($A213,main!$A$3:$H$102,6,FALSE)&gt;=main!$D$103+VLOOKUP(VLOOKUP(BB$1,main!$A$3:$I$102,7,FALSE),main!$K$26:$Q$29,5,FALSE)),1,0)</f>
        <v>0</v>
      </c>
      <c r="BC213">
        <f>IF(AND(VLOOKUP(BC$1,main!$A$3:$H$102,7,FALSE)=main!$G$105,VLOOKUP(BC$1,main!$A$3:$H$102,5,FALSE)-VLOOKUP($A213,main!$A$3:$H$102,6,FALSE)&gt;=main!$D$103+VLOOKUP(VLOOKUP(BC$1,main!$A$3:$I$102,7,FALSE),main!$K$26:$Q$29,5,FALSE)),1,0)</f>
        <v>0</v>
      </c>
      <c r="BD213">
        <f>IF(AND(VLOOKUP(BD$1,main!$A$3:$H$102,7,FALSE)=main!$G$105,VLOOKUP(BD$1,main!$A$3:$H$102,5,FALSE)-VLOOKUP($A213,main!$A$3:$H$102,6,FALSE)&gt;=main!$D$103+VLOOKUP(VLOOKUP(BD$1,main!$A$3:$I$102,7,FALSE),main!$K$26:$Q$29,5,FALSE)),1,0)</f>
        <v>0</v>
      </c>
      <c r="BE213">
        <f>IF(AND(VLOOKUP(BE$1,main!$A$3:$H$102,7,FALSE)=main!$G$105,VLOOKUP(BE$1,main!$A$3:$H$102,5,FALSE)-VLOOKUP($A213,main!$A$3:$H$102,6,FALSE)&gt;=main!$D$103+VLOOKUP(VLOOKUP(BE$1,main!$A$3:$I$102,7,FALSE),main!$K$26:$Q$29,5,FALSE)),1,0)</f>
        <v>0</v>
      </c>
      <c r="BF213">
        <f>IF(AND(VLOOKUP(BF$1,main!$A$3:$H$102,7,FALSE)=main!$G$105,VLOOKUP(BF$1,main!$A$3:$H$102,5,FALSE)-VLOOKUP($A213,main!$A$3:$H$102,6,FALSE)&gt;=main!$D$103+VLOOKUP(VLOOKUP(BF$1,main!$A$3:$I$102,7,FALSE),main!$K$26:$Q$29,5,FALSE)),1,0)</f>
        <v>0</v>
      </c>
      <c r="BG213">
        <f>IF(AND(VLOOKUP(BG$1,main!$A$3:$H$102,7,FALSE)=main!$G$105,VLOOKUP(BG$1,main!$A$3:$H$102,5,FALSE)-VLOOKUP($A213,main!$A$3:$H$102,6,FALSE)&gt;=main!$D$103+VLOOKUP(VLOOKUP(BG$1,main!$A$3:$I$102,7,FALSE),main!$K$26:$Q$29,5,FALSE)),1,0)</f>
        <v>0</v>
      </c>
      <c r="BH213">
        <f>IF(AND(VLOOKUP(BH$1,main!$A$3:$H$102,7,FALSE)=main!$G$105,VLOOKUP(BH$1,main!$A$3:$H$102,5,FALSE)-VLOOKUP($A213,main!$A$3:$H$102,6,FALSE)&gt;=main!$D$103+VLOOKUP(VLOOKUP(BH$1,main!$A$3:$I$102,7,FALSE),main!$K$26:$Q$29,5,FALSE)),1,0)</f>
        <v>0</v>
      </c>
      <c r="BI213">
        <f>IF(AND(VLOOKUP(BI$1,main!$A$3:$H$102,7,FALSE)=main!$G$105,VLOOKUP(BI$1,main!$A$3:$H$102,5,FALSE)-VLOOKUP($A213,main!$A$3:$H$102,6,FALSE)&gt;=main!$D$103+VLOOKUP(VLOOKUP(BI$1,main!$A$3:$I$102,7,FALSE),main!$K$26:$Q$29,5,FALSE)),1,0)</f>
        <v>0</v>
      </c>
      <c r="BJ213">
        <f>IF(AND(VLOOKUP(BJ$1,main!$A$3:$H$102,7,FALSE)=main!$G$105,VLOOKUP(BJ$1,main!$A$3:$H$102,5,FALSE)-VLOOKUP($A213,main!$A$3:$H$102,6,FALSE)&gt;=main!$D$103+VLOOKUP(VLOOKUP(BJ$1,main!$A$3:$I$102,7,FALSE),main!$K$26:$Q$29,5,FALSE)),1,0)</f>
        <v>0</v>
      </c>
      <c r="BK213">
        <f>IF(AND(VLOOKUP(BK$1,main!$A$3:$H$102,7,FALSE)=main!$G$105,VLOOKUP(BK$1,main!$A$3:$H$102,5,FALSE)-VLOOKUP($A213,main!$A$3:$H$102,6,FALSE)&gt;=main!$D$103+VLOOKUP(VLOOKUP(BK$1,main!$A$3:$I$102,7,FALSE),main!$K$26:$Q$29,5,FALSE)),1,0)</f>
        <v>0</v>
      </c>
      <c r="BL213">
        <f>IF(AND(VLOOKUP(BL$1,main!$A$3:$H$102,7,FALSE)=main!$G$105,VLOOKUP(BL$1,main!$A$3:$H$102,5,FALSE)-VLOOKUP($A213,main!$A$3:$H$102,6,FALSE)&gt;=main!$D$103+VLOOKUP(VLOOKUP(BL$1,main!$A$3:$I$102,7,FALSE),main!$K$26:$Q$29,5,FALSE)),1,0)</f>
        <v>0</v>
      </c>
      <c r="BM213">
        <f>IF(AND(VLOOKUP(BM$1,main!$A$3:$H$102,7,FALSE)=main!$G$105,VLOOKUP(BM$1,main!$A$3:$H$102,5,FALSE)-VLOOKUP($A213,main!$A$3:$H$102,6,FALSE)&gt;=main!$D$103+VLOOKUP(VLOOKUP(BM$1,main!$A$3:$I$102,7,FALSE),main!$K$26:$Q$29,5,FALSE)),1,0)</f>
        <v>0</v>
      </c>
      <c r="BN213">
        <f>IF(AND(VLOOKUP(BN$1,main!$A$3:$H$102,7,FALSE)=main!$G$105,VLOOKUP(BN$1,main!$A$3:$H$102,5,FALSE)-VLOOKUP($A213,main!$A$3:$H$102,6,FALSE)&gt;=main!$D$103+VLOOKUP(VLOOKUP(BN$1,main!$A$3:$I$102,7,FALSE),main!$K$26:$Q$29,5,FALSE)),1,0)</f>
        <v>0</v>
      </c>
      <c r="BO213">
        <f>IF(AND(VLOOKUP(BO$1,main!$A$3:$H$102,7,FALSE)=main!$G$105,VLOOKUP(BO$1,main!$A$3:$H$102,5,FALSE)-VLOOKUP($A213,main!$A$3:$H$102,6,FALSE)&gt;=main!$D$103+VLOOKUP(VLOOKUP(BO$1,main!$A$3:$I$102,7,FALSE),main!$K$26:$Q$29,5,FALSE)),1,0)</f>
        <v>0</v>
      </c>
      <c r="BP213">
        <f>IF(AND(VLOOKUP(BP$1,main!$A$3:$H$102,7,FALSE)=main!$G$105,VLOOKUP(BP$1,main!$A$3:$H$102,5,FALSE)-VLOOKUP($A213,main!$A$3:$H$102,6,FALSE)&gt;=main!$D$103+VLOOKUP(VLOOKUP(BP$1,main!$A$3:$I$102,7,FALSE),main!$K$26:$Q$29,5,FALSE)),1,0)</f>
        <v>0</v>
      </c>
      <c r="BQ213">
        <f>IF(AND(VLOOKUP(BQ$1,main!$A$3:$H$102,7,FALSE)=main!$G$105,VLOOKUP(BQ$1,main!$A$3:$H$102,5,FALSE)-VLOOKUP($A213,main!$A$3:$H$102,6,FALSE)&gt;=main!$D$103+VLOOKUP(VLOOKUP(BQ$1,main!$A$3:$I$102,7,FALSE),main!$K$26:$Q$29,5,FALSE)),1,0)</f>
        <v>0</v>
      </c>
      <c r="BR213">
        <f>IF(AND(VLOOKUP(BR$1,main!$A$3:$H$102,7,FALSE)=main!$G$105,VLOOKUP(BR$1,main!$A$3:$H$102,5,FALSE)-VLOOKUP($A213,main!$A$3:$H$102,6,FALSE)&gt;=main!$D$103+VLOOKUP(VLOOKUP(BR$1,main!$A$3:$I$102,7,FALSE),main!$K$26:$Q$29,5,FALSE)),1,0)</f>
        <v>0</v>
      </c>
      <c r="BS213">
        <f>IF(AND(VLOOKUP(BS$1,main!$A$3:$H$102,7,FALSE)=main!$G$105,VLOOKUP(BS$1,main!$A$3:$H$102,5,FALSE)-VLOOKUP($A213,main!$A$3:$H$102,6,FALSE)&gt;=main!$D$103+VLOOKUP(VLOOKUP(BS$1,main!$A$3:$I$102,7,FALSE),main!$K$26:$Q$29,5,FALSE)),1,0)</f>
        <v>0</v>
      </c>
      <c r="BT213">
        <f>IF(AND(VLOOKUP(BT$1,main!$A$3:$H$102,7,FALSE)=main!$G$105,VLOOKUP(BT$1,main!$A$3:$H$102,5,FALSE)-VLOOKUP($A213,main!$A$3:$H$102,6,FALSE)&gt;=main!$D$103+VLOOKUP(VLOOKUP(BT$1,main!$A$3:$I$102,7,FALSE),main!$K$26:$Q$29,5,FALSE)),1,0)</f>
        <v>0</v>
      </c>
      <c r="BU213">
        <f>IF(AND(VLOOKUP(BU$1,main!$A$3:$H$102,7,FALSE)=main!$G$105,VLOOKUP(BU$1,main!$A$3:$H$102,5,FALSE)-VLOOKUP($A213,main!$A$3:$H$102,6,FALSE)&gt;=main!$D$103+VLOOKUP(VLOOKUP(BU$1,main!$A$3:$I$102,7,FALSE),main!$K$26:$Q$29,5,FALSE)),1,0)</f>
        <v>0</v>
      </c>
      <c r="BV213">
        <f>IF(AND(VLOOKUP(BV$1,main!$A$3:$H$102,7,FALSE)=main!$G$105,VLOOKUP(BV$1,main!$A$3:$H$102,5,FALSE)-VLOOKUP($A213,main!$A$3:$H$102,6,FALSE)&gt;=main!$D$103+VLOOKUP(VLOOKUP(BV$1,main!$A$3:$I$102,7,FALSE),main!$K$26:$Q$29,5,FALSE)),1,0)</f>
        <v>0</v>
      </c>
      <c r="BW213">
        <f>IF(AND(VLOOKUP(BW$1,main!$A$3:$H$102,7,FALSE)=main!$G$105,VLOOKUP(BW$1,main!$A$3:$H$102,5,FALSE)-VLOOKUP($A213,main!$A$3:$H$102,6,FALSE)&gt;=main!$D$103+VLOOKUP(VLOOKUP(BW$1,main!$A$3:$I$102,7,FALSE),main!$K$26:$Q$29,5,FALSE)),1,0)</f>
        <v>0</v>
      </c>
      <c r="BX213">
        <f>IF(AND(VLOOKUP(BX$1,main!$A$3:$H$102,7,FALSE)=main!$G$105,VLOOKUP(BX$1,main!$A$3:$H$102,5,FALSE)-VLOOKUP($A213,main!$A$3:$H$102,6,FALSE)&gt;=main!$D$103+VLOOKUP(VLOOKUP(BX$1,main!$A$3:$I$102,7,FALSE),main!$K$26:$Q$29,5,FALSE)),1,0)</f>
        <v>0</v>
      </c>
      <c r="BY213">
        <f>IF(AND(VLOOKUP(BY$1,main!$A$3:$H$102,7,FALSE)=main!$G$105,VLOOKUP(BY$1,main!$A$3:$H$102,5,FALSE)-VLOOKUP($A213,main!$A$3:$H$102,6,FALSE)&gt;=main!$D$103+VLOOKUP(VLOOKUP(BY$1,main!$A$3:$I$102,7,FALSE),main!$K$26:$Q$29,5,FALSE)),1,0)</f>
        <v>0</v>
      </c>
      <c r="BZ213">
        <f>IF(AND(VLOOKUP(BZ$1,main!$A$3:$H$102,7,FALSE)=main!$G$105,VLOOKUP(BZ$1,main!$A$3:$H$102,5,FALSE)-VLOOKUP($A213,main!$A$3:$H$102,6,FALSE)&gt;=main!$D$103+VLOOKUP(VLOOKUP(BZ$1,main!$A$3:$I$102,7,FALSE),main!$K$26:$Q$29,5,FALSE)),1,0)</f>
        <v>0</v>
      </c>
      <c r="CA213">
        <f>IF(AND(VLOOKUP(CA$1,main!$A$3:$H$102,7,FALSE)=main!$G$105,VLOOKUP(CA$1,main!$A$3:$H$102,5,FALSE)-VLOOKUP($A213,main!$A$3:$H$102,6,FALSE)&gt;=main!$D$103+VLOOKUP(VLOOKUP(CA$1,main!$A$3:$I$102,7,FALSE),main!$K$26:$Q$29,5,FALSE)),1,0)</f>
        <v>0</v>
      </c>
      <c r="CB213">
        <f>IF(AND(VLOOKUP(CB$1,main!$A$3:$H$102,7,FALSE)=main!$G$105,VLOOKUP(CB$1,main!$A$3:$H$102,5,FALSE)-VLOOKUP($A213,main!$A$3:$H$102,6,FALSE)&gt;=main!$D$103+VLOOKUP(VLOOKUP(CB$1,main!$A$3:$I$102,7,FALSE),main!$K$26:$Q$29,5,FALSE)),1,0)</f>
        <v>0</v>
      </c>
      <c r="CC213">
        <f>IF(AND(VLOOKUP(CC$1,main!$A$3:$H$102,7,FALSE)=main!$G$105,VLOOKUP(CC$1,main!$A$3:$H$102,5,FALSE)-VLOOKUP($A213,main!$A$3:$H$102,6,FALSE)&gt;=main!$D$103+VLOOKUP(VLOOKUP(CC$1,main!$A$3:$I$102,7,FALSE),main!$K$26:$Q$29,5,FALSE)),1,0)</f>
        <v>0</v>
      </c>
      <c r="CD213">
        <f>IF(AND(VLOOKUP(CD$1,main!$A$3:$H$102,7,FALSE)=main!$G$105,VLOOKUP(CD$1,main!$A$3:$H$102,5,FALSE)-VLOOKUP($A213,main!$A$3:$H$102,6,FALSE)&gt;=main!$D$103+VLOOKUP(VLOOKUP(CD$1,main!$A$3:$I$102,7,FALSE),main!$K$26:$Q$29,5,FALSE)),1,0)</f>
        <v>0</v>
      </c>
      <c r="CE213">
        <f>IF(AND(VLOOKUP(CE$1,main!$A$3:$H$102,7,FALSE)=main!$G$105,VLOOKUP(CE$1,main!$A$3:$H$102,5,FALSE)-VLOOKUP($A213,main!$A$3:$H$102,6,FALSE)&gt;=main!$D$103+VLOOKUP(VLOOKUP(CE$1,main!$A$3:$I$102,7,FALSE),main!$K$26:$Q$29,5,FALSE)),1,0)</f>
        <v>0</v>
      </c>
      <c r="CF213">
        <f>IF(AND(VLOOKUP(CF$1,main!$A$3:$H$102,7,FALSE)=main!$G$105,VLOOKUP(CF$1,main!$A$3:$H$102,5,FALSE)-VLOOKUP($A213,main!$A$3:$H$102,6,FALSE)&gt;=main!$D$103+VLOOKUP(VLOOKUP(CF$1,main!$A$3:$I$102,7,FALSE),main!$K$26:$Q$29,5,FALSE)),1,0)</f>
        <v>0</v>
      </c>
      <c r="CG213">
        <f>IF(AND(VLOOKUP(CG$1,main!$A$3:$H$102,7,FALSE)=main!$G$105,VLOOKUP(CG$1,main!$A$3:$H$102,5,FALSE)-VLOOKUP($A213,main!$A$3:$H$102,6,FALSE)&gt;=main!$D$103+VLOOKUP(VLOOKUP(CG$1,main!$A$3:$I$102,7,FALSE),main!$K$26:$Q$29,5,FALSE)),1,0)</f>
        <v>0</v>
      </c>
      <c r="CH213">
        <f>IF(AND(VLOOKUP(CH$1,main!$A$3:$H$102,7,FALSE)=main!$G$105,VLOOKUP(CH$1,main!$A$3:$H$102,5,FALSE)-VLOOKUP($A213,main!$A$3:$H$102,6,FALSE)&gt;=main!$D$103+VLOOKUP(VLOOKUP(CH$1,main!$A$3:$I$102,7,FALSE),main!$K$26:$Q$29,5,FALSE)),1,0)</f>
        <v>0</v>
      </c>
      <c r="CI213">
        <f>IF(AND(VLOOKUP(CI$1,main!$A$3:$H$102,7,FALSE)=main!$G$105,VLOOKUP(CI$1,main!$A$3:$H$102,5,FALSE)-VLOOKUP($A213,main!$A$3:$H$102,6,FALSE)&gt;=main!$D$103+VLOOKUP(VLOOKUP(CI$1,main!$A$3:$I$102,7,FALSE),main!$K$26:$Q$29,5,FALSE)),1,0)</f>
        <v>0</v>
      </c>
      <c r="CJ213">
        <f>IF(AND(VLOOKUP(CJ$1,main!$A$3:$H$102,7,FALSE)=main!$G$105,VLOOKUP(CJ$1,main!$A$3:$H$102,5,FALSE)-VLOOKUP($A213,main!$A$3:$H$102,6,FALSE)&gt;=main!$D$103+VLOOKUP(VLOOKUP(CJ$1,main!$A$3:$I$102,7,FALSE),main!$K$26:$Q$29,5,FALSE)),1,0)</f>
        <v>0</v>
      </c>
      <c r="CK213">
        <f>IF(AND(VLOOKUP(CK$1,main!$A$3:$H$102,7,FALSE)=main!$G$105,VLOOKUP(CK$1,main!$A$3:$H$102,5,FALSE)-VLOOKUP($A213,main!$A$3:$H$102,6,FALSE)&gt;=main!$D$103+VLOOKUP(VLOOKUP(CK$1,main!$A$3:$I$102,7,FALSE),main!$K$26:$Q$29,5,FALSE)),1,0)</f>
        <v>0</v>
      </c>
      <c r="CL213">
        <f>IF(AND(VLOOKUP(CL$1,main!$A$3:$H$102,7,FALSE)=main!$G$105,VLOOKUP(CL$1,main!$A$3:$H$102,5,FALSE)-VLOOKUP($A213,main!$A$3:$H$102,6,FALSE)&gt;=main!$D$103+VLOOKUP(VLOOKUP(CL$1,main!$A$3:$I$102,7,FALSE),main!$K$26:$Q$29,5,FALSE)),1,0)</f>
        <v>0</v>
      </c>
      <c r="CM213">
        <f>IF(AND(VLOOKUP(CM$1,main!$A$3:$H$102,7,FALSE)=main!$G$105,VLOOKUP(CM$1,main!$A$3:$H$102,5,FALSE)-VLOOKUP($A213,main!$A$3:$H$102,6,FALSE)&gt;=main!$D$103+VLOOKUP(VLOOKUP(CM$1,main!$A$3:$I$102,7,FALSE),main!$K$26:$Q$29,5,FALSE)),1,0)</f>
        <v>0</v>
      </c>
      <c r="CN213">
        <f>IF(AND(VLOOKUP(CN$1,main!$A$3:$H$102,7,FALSE)=main!$G$105,VLOOKUP(CN$1,main!$A$3:$H$102,5,FALSE)-VLOOKUP($A213,main!$A$3:$H$102,6,FALSE)&gt;=main!$D$103+VLOOKUP(VLOOKUP(CN$1,main!$A$3:$I$102,7,FALSE),main!$K$26:$Q$29,5,FALSE)),1,0)</f>
        <v>0</v>
      </c>
      <c r="CO213">
        <f>IF(AND(VLOOKUP(CO$1,main!$A$3:$H$102,7,FALSE)=main!$G$105,VLOOKUP(CO$1,main!$A$3:$H$102,5,FALSE)-VLOOKUP($A213,main!$A$3:$H$102,6,FALSE)&gt;=main!$D$103+VLOOKUP(VLOOKUP(CO$1,main!$A$3:$I$102,7,FALSE),main!$K$26:$Q$29,5,FALSE)),1,0)</f>
        <v>0</v>
      </c>
      <c r="CP213">
        <f>IF(AND(VLOOKUP(CP$1,main!$A$3:$H$102,7,FALSE)=main!$G$105,VLOOKUP(CP$1,main!$A$3:$H$102,5,FALSE)-VLOOKUP($A213,main!$A$3:$H$102,6,FALSE)&gt;=main!$D$103+VLOOKUP(VLOOKUP(CP$1,main!$A$3:$I$102,7,FALSE),main!$K$26:$Q$29,5,FALSE)),1,0)</f>
        <v>0</v>
      </c>
      <c r="CQ213">
        <f>IF(AND(VLOOKUP(CQ$1,main!$A$3:$H$102,7,FALSE)=main!$G$105,VLOOKUP(CQ$1,main!$A$3:$H$102,5,FALSE)-VLOOKUP($A213,main!$A$3:$H$102,6,FALSE)&gt;=main!$D$103+VLOOKUP(VLOOKUP(CQ$1,main!$A$3:$I$102,7,FALSE),main!$K$26:$Q$29,5,FALSE)),1,0)</f>
        <v>0</v>
      </c>
      <c r="CR213">
        <f>IF(AND(VLOOKUP(CR$1,main!$A$3:$H$102,7,FALSE)=main!$G$105,VLOOKUP(CR$1,main!$A$3:$H$102,5,FALSE)-VLOOKUP($A213,main!$A$3:$H$102,6,FALSE)&gt;=main!$D$103+VLOOKUP(VLOOKUP(CR$1,main!$A$3:$I$102,7,FALSE),main!$K$26:$Q$29,5,FALSE)),1,0)</f>
        <v>0</v>
      </c>
      <c r="CS213">
        <f>IF(AND(VLOOKUP(CS$1,main!$A$3:$H$102,7,FALSE)=main!$G$105,VLOOKUP(CS$1,main!$A$3:$H$102,5,FALSE)-VLOOKUP($A213,main!$A$3:$H$102,6,FALSE)&gt;=main!$D$103+VLOOKUP(VLOOKUP(CS$1,main!$A$3:$I$102,7,FALSE),main!$K$26:$Q$29,5,FALSE)),1,0)</f>
        <v>0</v>
      </c>
      <c r="CT213">
        <f>IF(AND(VLOOKUP(CT$1,main!$A$3:$H$102,7,FALSE)=main!$G$105,VLOOKUP(CT$1,main!$A$3:$H$102,5,FALSE)-VLOOKUP($A213,main!$A$3:$H$102,6,FALSE)&gt;=main!$D$103+VLOOKUP(VLOOKUP(CT$1,main!$A$3:$I$102,7,FALSE),main!$K$26:$Q$29,5,FALSE)),1,0)</f>
        <v>0</v>
      </c>
      <c r="CU213">
        <f>IF(AND(VLOOKUP(CU$1,main!$A$3:$H$102,7,FALSE)=main!$G$105,VLOOKUP(CU$1,main!$A$3:$H$102,5,FALSE)-VLOOKUP($A213,main!$A$3:$H$102,6,FALSE)&gt;=main!$D$103+VLOOKUP(VLOOKUP(CU$1,main!$A$3:$I$102,7,FALSE),main!$K$26:$Q$29,5,FALSE)),1,0)</f>
        <v>0</v>
      </c>
      <c r="CV213">
        <f>IF(AND(VLOOKUP(CV$1,main!$A$3:$H$102,7,FALSE)=main!$G$105,VLOOKUP(CV$1,main!$A$3:$H$102,5,FALSE)-VLOOKUP($A213,main!$A$3:$H$102,6,FALSE)&gt;=main!$D$103+VLOOKUP(VLOOKUP(CV$1,main!$A$3:$I$102,7,FALSE),main!$K$26:$Q$29,5,FALSE)),1,0)</f>
        <v>0</v>
      </c>
      <c r="CW213">
        <f>IF(AND(VLOOKUP(CW$1,main!$A$3:$H$102,7,FALSE)=main!$G$105,VLOOKUP(CW$1,main!$A$3:$H$102,5,FALSE)-VLOOKUP($A213,main!$A$3:$H$102,6,FALSE)&gt;=main!$D$103+VLOOKUP(VLOOKUP(CW$1,main!$A$3:$I$102,7,FALSE),main!$K$26:$Q$29,5,FALSE)),1,0)</f>
        <v>0</v>
      </c>
      <c r="CX213">
        <f>IF(AND(VLOOKUP(CX$1,main!$A$3:$H$102,7,FALSE)=main!$G$105,VLOOKUP(CX$1,main!$A$3:$H$102,5,FALSE)-VLOOKUP($A213,main!$A$3:$H$102,6,FALSE)&gt;=main!$D$103+VLOOKUP(VLOOKUP(CX$1,main!$A$3:$I$102,7,FALSE),main!$K$26:$Q$29,5,FALSE)),1,0)</f>
        <v>0</v>
      </c>
    </row>
    <row r="214" spans="1:102" x14ac:dyDescent="0.25">
      <c r="A214" s="1">
        <v>10</v>
      </c>
      <c r="B214">
        <v>0</v>
      </c>
      <c r="C214">
        <f>IF(AND(VLOOKUP(C$1,main!$A$3:$H$102,7,FALSE)=main!$G$105,VLOOKUP(C$1,main!$A$3:$H$102,5,FALSE)-VLOOKUP($A214,main!$A$3:$H$102,6,FALSE)&gt;=main!$D$103+VLOOKUP(VLOOKUP(C$1,main!$A$3:$I$102,7,FALSE),main!$K$26:$Q$29,5,FALSE)),1,0)</f>
        <v>0</v>
      </c>
      <c r="D214">
        <f>IF(AND(VLOOKUP(D$1,main!$A$3:$H$102,7,FALSE)=main!$G$105,VLOOKUP(D$1,main!$A$3:$H$102,5,FALSE)-VLOOKUP($A214,main!$A$3:$H$102,6,FALSE)&gt;=main!$D$103+VLOOKUP(VLOOKUP(D$1,main!$A$3:$I$102,7,FALSE),main!$K$26:$Q$29,5,FALSE)),1,0)</f>
        <v>0</v>
      </c>
      <c r="E214">
        <f>IF(AND(VLOOKUP(E$1,main!$A$3:$H$102,7,FALSE)=main!$G$105,VLOOKUP(E$1,main!$A$3:$H$102,5,FALSE)-VLOOKUP($A214,main!$A$3:$H$102,6,FALSE)&gt;=main!$D$103+VLOOKUP(VLOOKUP(E$1,main!$A$3:$I$102,7,FALSE),main!$K$26:$Q$29,5,FALSE)),1,0)</f>
        <v>0</v>
      </c>
      <c r="F214">
        <f>IF(AND(VLOOKUP(F$1,main!$A$3:$H$102,7,FALSE)=main!$G$105,VLOOKUP(F$1,main!$A$3:$H$102,5,FALSE)-VLOOKUP($A214,main!$A$3:$H$102,6,FALSE)&gt;=main!$D$103+VLOOKUP(VLOOKUP(F$1,main!$A$3:$I$102,7,FALSE),main!$K$26:$Q$29,5,FALSE)),1,0)</f>
        <v>0</v>
      </c>
      <c r="G214">
        <f>IF(AND(VLOOKUP(G$1,main!$A$3:$H$102,7,FALSE)=main!$G$105,VLOOKUP(G$1,main!$A$3:$H$102,5,FALSE)-VLOOKUP($A214,main!$A$3:$H$102,6,FALSE)&gt;=main!$D$103+VLOOKUP(VLOOKUP(G$1,main!$A$3:$I$102,7,FALSE),main!$K$26:$Q$29,5,FALSE)),1,0)</f>
        <v>0</v>
      </c>
      <c r="H214">
        <f>IF(AND(VLOOKUP(H$1,main!$A$3:$H$102,7,FALSE)=main!$G$105,VLOOKUP(H$1,main!$A$3:$H$102,5,FALSE)-VLOOKUP($A214,main!$A$3:$H$102,6,FALSE)&gt;=main!$D$103+VLOOKUP(VLOOKUP(H$1,main!$A$3:$I$102,7,FALSE),main!$K$26:$Q$29,5,FALSE)),1,0)</f>
        <v>0</v>
      </c>
      <c r="I214">
        <f>IF(AND(VLOOKUP(I$1,main!$A$3:$H$102,7,FALSE)=main!$G$105,VLOOKUP(I$1,main!$A$3:$H$102,5,FALSE)-VLOOKUP($A214,main!$A$3:$H$102,6,FALSE)&gt;=main!$D$103+VLOOKUP(VLOOKUP(I$1,main!$A$3:$I$102,7,FALSE),main!$K$26:$Q$29,5,FALSE)),1,0)</f>
        <v>0</v>
      </c>
      <c r="J214">
        <f>IF(AND(VLOOKUP(J$1,main!$A$3:$H$102,7,FALSE)=main!$G$105,VLOOKUP(J$1,main!$A$3:$H$102,5,FALSE)-VLOOKUP($A214,main!$A$3:$H$102,6,FALSE)&gt;=main!$D$103+VLOOKUP(VLOOKUP(J$1,main!$A$3:$I$102,7,FALSE),main!$K$26:$Q$29,5,FALSE)),1,0)</f>
        <v>0</v>
      </c>
      <c r="K214">
        <f>IF(AND(VLOOKUP(K$1,main!$A$3:$H$102,7,FALSE)=main!$G$105,VLOOKUP(K$1,main!$A$3:$H$102,5,FALSE)-VLOOKUP($A214,main!$A$3:$H$102,6,FALSE)&gt;=main!$D$103+VLOOKUP(VLOOKUP(K$1,main!$A$3:$I$102,7,FALSE),main!$K$26:$Q$29,5,FALSE)),1,0)</f>
        <v>0</v>
      </c>
      <c r="L214">
        <f>IF(AND(VLOOKUP(L$1,main!$A$3:$H$102,7,FALSE)=main!$G$105,VLOOKUP(L$1,main!$A$3:$H$102,5,FALSE)-VLOOKUP($A214,main!$A$3:$H$102,6,FALSE)&gt;=main!$D$103+VLOOKUP(VLOOKUP(L$1,main!$A$3:$I$102,7,FALSE),main!$K$26:$Q$29,5,FALSE)),1,0)</f>
        <v>0</v>
      </c>
      <c r="M214">
        <f>IF(AND(VLOOKUP(M$1,main!$A$3:$H$102,7,FALSE)=main!$G$105,VLOOKUP(M$1,main!$A$3:$H$102,5,FALSE)-VLOOKUP($A214,main!$A$3:$H$102,6,FALSE)&gt;=main!$D$103+VLOOKUP(VLOOKUP(M$1,main!$A$3:$I$102,7,FALSE),main!$K$26:$Q$29,5,FALSE)),1,0)</f>
        <v>0</v>
      </c>
      <c r="N214">
        <f>IF(AND(VLOOKUP(N$1,main!$A$3:$H$102,7,FALSE)=main!$G$105,VLOOKUP(N$1,main!$A$3:$H$102,5,FALSE)-VLOOKUP($A214,main!$A$3:$H$102,6,FALSE)&gt;=main!$D$103+VLOOKUP(VLOOKUP(N$1,main!$A$3:$I$102,7,FALSE),main!$K$26:$Q$29,5,FALSE)),1,0)</f>
        <v>0</v>
      </c>
      <c r="O214">
        <f>IF(AND(VLOOKUP(O$1,main!$A$3:$H$102,7,FALSE)=main!$G$105,VLOOKUP(O$1,main!$A$3:$H$102,5,FALSE)-VLOOKUP($A214,main!$A$3:$H$102,6,FALSE)&gt;=main!$D$103+VLOOKUP(VLOOKUP(O$1,main!$A$3:$I$102,7,FALSE),main!$K$26:$Q$29,5,FALSE)),1,0)</f>
        <v>0</v>
      </c>
      <c r="P214">
        <f>IF(AND(VLOOKUP(P$1,main!$A$3:$H$102,7,FALSE)=main!$G$105,VLOOKUP(P$1,main!$A$3:$H$102,5,FALSE)-VLOOKUP($A214,main!$A$3:$H$102,6,FALSE)&gt;=main!$D$103+VLOOKUP(VLOOKUP(P$1,main!$A$3:$I$102,7,FALSE),main!$K$26:$Q$29,5,FALSE)),1,0)</f>
        <v>0</v>
      </c>
      <c r="Q214">
        <f>IF(AND(VLOOKUP(Q$1,main!$A$3:$H$102,7,FALSE)=main!$G$105,VLOOKUP(Q$1,main!$A$3:$H$102,5,FALSE)-VLOOKUP($A214,main!$A$3:$H$102,6,FALSE)&gt;=main!$D$103+VLOOKUP(VLOOKUP(Q$1,main!$A$3:$I$102,7,FALSE),main!$K$26:$Q$29,5,FALSE)),1,0)</f>
        <v>0</v>
      </c>
      <c r="R214">
        <f>IF(AND(VLOOKUP(R$1,main!$A$3:$H$102,7,FALSE)=main!$G$105,VLOOKUP(R$1,main!$A$3:$H$102,5,FALSE)-VLOOKUP($A214,main!$A$3:$H$102,6,FALSE)&gt;=main!$D$103+VLOOKUP(VLOOKUP(R$1,main!$A$3:$I$102,7,FALSE),main!$K$26:$Q$29,5,FALSE)),1,0)</f>
        <v>0</v>
      </c>
      <c r="S214">
        <f>IF(AND(VLOOKUP(S$1,main!$A$3:$H$102,7,FALSE)=main!$G$105,VLOOKUP(S$1,main!$A$3:$H$102,5,FALSE)-VLOOKUP($A214,main!$A$3:$H$102,6,FALSE)&gt;=main!$D$103+VLOOKUP(VLOOKUP(S$1,main!$A$3:$I$102,7,FALSE),main!$K$26:$Q$29,5,FALSE)),1,0)</f>
        <v>0</v>
      </c>
      <c r="T214">
        <f>IF(AND(VLOOKUP(T$1,main!$A$3:$H$102,7,FALSE)=main!$G$105,VLOOKUP(T$1,main!$A$3:$H$102,5,FALSE)-VLOOKUP($A214,main!$A$3:$H$102,6,FALSE)&gt;=main!$D$103+VLOOKUP(VLOOKUP(T$1,main!$A$3:$I$102,7,FALSE),main!$K$26:$Q$29,5,FALSE)),1,0)</f>
        <v>0</v>
      </c>
      <c r="U214">
        <f>IF(AND(VLOOKUP(U$1,main!$A$3:$H$102,7,FALSE)=main!$G$105,VLOOKUP(U$1,main!$A$3:$H$102,5,FALSE)-VLOOKUP($A214,main!$A$3:$H$102,6,FALSE)&gt;=main!$D$103+VLOOKUP(VLOOKUP(U$1,main!$A$3:$I$102,7,FALSE),main!$K$26:$Q$29,5,FALSE)),1,0)</f>
        <v>0</v>
      </c>
      <c r="V214">
        <f>IF(AND(VLOOKUP(V$1,main!$A$3:$H$102,7,FALSE)=main!$G$105,VLOOKUP(V$1,main!$A$3:$H$102,5,FALSE)-VLOOKUP($A214,main!$A$3:$H$102,6,FALSE)&gt;=main!$D$103+VLOOKUP(VLOOKUP(V$1,main!$A$3:$I$102,7,FALSE),main!$K$26:$Q$29,5,FALSE)),1,0)</f>
        <v>0</v>
      </c>
      <c r="W214">
        <f>IF(AND(VLOOKUP(W$1,main!$A$3:$H$102,7,FALSE)=main!$G$105,VLOOKUP(W$1,main!$A$3:$H$102,5,FALSE)-VLOOKUP($A214,main!$A$3:$H$102,6,FALSE)&gt;=main!$D$103+VLOOKUP(VLOOKUP(W$1,main!$A$3:$I$102,7,FALSE),main!$K$26:$Q$29,5,FALSE)),1,0)</f>
        <v>0</v>
      </c>
      <c r="X214">
        <f>IF(AND(VLOOKUP(X$1,main!$A$3:$H$102,7,FALSE)=main!$G$105,VLOOKUP(X$1,main!$A$3:$H$102,5,FALSE)-VLOOKUP($A214,main!$A$3:$H$102,6,FALSE)&gt;=main!$D$103+VLOOKUP(VLOOKUP(X$1,main!$A$3:$I$102,7,FALSE),main!$K$26:$Q$29,5,FALSE)),1,0)</f>
        <v>0</v>
      </c>
      <c r="Y214">
        <f>IF(AND(VLOOKUP(Y$1,main!$A$3:$H$102,7,FALSE)=main!$G$105,VLOOKUP(Y$1,main!$A$3:$H$102,5,FALSE)-VLOOKUP($A214,main!$A$3:$H$102,6,FALSE)&gt;=main!$D$103+VLOOKUP(VLOOKUP(Y$1,main!$A$3:$I$102,7,FALSE),main!$K$26:$Q$29,5,FALSE)),1,0)</f>
        <v>0</v>
      </c>
      <c r="Z214">
        <f>IF(AND(VLOOKUP(Z$1,main!$A$3:$H$102,7,FALSE)=main!$G$105,VLOOKUP(Z$1,main!$A$3:$H$102,5,FALSE)-VLOOKUP($A214,main!$A$3:$H$102,6,FALSE)&gt;=main!$D$103+VLOOKUP(VLOOKUP(Z$1,main!$A$3:$I$102,7,FALSE),main!$K$26:$Q$29,5,FALSE)),1,0)</f>
        <v>0</v>
      </c>
      <c r="AA214">
        <f>IF(AND(VLOOKUP(AA$1,main!$A$3:$H$102,7,FALSE)=main!$G$105,VLOOKUP(AA$1,main!$A$3:$H$102,5,FALSE)-VLOOKUP($A214,main!$A$3:$H$102,6,FALSE)&gt;=main!$D$103+VLOOKUP(VLOOKUP(AA$1,main!$A$3:$I$102,7,FALSE),main!$K$26:$Q$29,5,FALSE)),1,0)</f>
        <v>0</v>
      </c>
      <c r="AB214">
        <f>IF(AND(VLOOKUP(AB$1,main!$A$3:$H$102,7,FALSE)=main!$G$105,VLOOKUP(AB$1,main!$A$3:$H$102,5,FALSE)-VLOOKUP($A214,main!$A$3:$H$102,6,FALSE)&gt;=main!$D$103+VLOOKUP(VLOOKUP(AB$1,main!$A$3:$I$102,7,FALSE),main!$K$26:$Q$29,5,FALSE)),1,0)</f>
        <v>0</v>
      </c>
      <c r="AC214">
        <f>IF(AND(VLOOKUP(AC$1,main!$A$3:$H$102,7,FALSE)=main!$G$105,VLOOKUP(AC$1,main!$A$3:$H$102,5,FALSE)-VLOOKUP($A214,main!$A$3:$H$102,6,FALSE)&gt;=main!$D$103+VLOOKUP(VLOOKUP(AC$1,main!$A$3:$I$102,7,FALSE),main!$K$26:$Q$29,5,FALSE)),1,0)</f>
        <v>0</v>
      </c>
      <c r="AD214">
        <f>IF(AND(VLOOKUP(AD$1,main!$A$3:$H$102,7,FALSE)=main!$G$105,VLOOKUP(AD$1,main!$A$3:$H$102,5,FALSE)-VLOOKUP($A214,main!$A$3:$H$102,6,FALSE)&gt;=main!$D$103+VLOOKUP(VLOOKUP(AD$1,main!$A$3:$I$102,7,FALSE),main!$K$26:$Q$29,5,FALSE)),1,0)</f>
        <v>0</v>
      </c>
      <c r="AE214">
        <f>IF(AND(VLOOKUP(AE$1,main!$A$3:$H$102,7,FALSE)=main!$G$105,VLOOKUP(AE$1,main!$A$3:$H$102,5,FALSE)-VLOOKUP($A214,main!$A$3:$H$102,6,FALSE)&gt;=main!$D$103+VLOOKUP(VLOOKUP(AE$1,main!$A$3:$I$102,7,FALSE),main!$K$26:$Q$29,5,FALSE)),1,0)</f>
        <v>0</v>
      </c>
      <c r="AF214">
        <f>IF(AND(VLOOKUP(AF$1,main!$A$3:$H$102,7,FALSE)=main!$G$105,VLOOKUP(AF$1,main!$A$3:$H$102,5,FALSE)-VLOOKUP($A214,main!$A$3:$H$102,6,FALSE)&gt;=main!$D$103+VLOOKUP(VLOOKUP(AF$1,main!$A$3:$I$102,7,FALSE),main!$K$26:$Q$29,5,FALSE)),1,0)</f>
        <v>0</v>
      </c>
      <c r="AG214">
        <f>IF(AND(VLOOKUP(AG$1,main!$A$3:$H$102,7,FALSE)=main!$G$105,VLOOKUP(AG$1,main!$A$3:$H$102,5,FALSE)-VLOOKUP($A214,main!$A$3:$H$102,6,FALSE)&gt;=main!$D$103+VLOOKUP(VLOOKUP(AG$1,main!$A$3:$I$102,7,FALSE),main!$K$26:$Q$29,5,FALSE)),1,0)</f>
        <v>0</v>
      </c>
      <c r="AH214">
        <f>IF(AND(VLOOKUP(AH$1,main!$A$3:$H$102,7,FALSE)=main!$G$105,VLOOKUP(AH$1,main!$A$3:$H$102,5,FALSE)-VLOOKUP($A214,main!$A$3:$H$102,6,FALSE)&gt;=main!$D$103+VLOOKUP(VLOOKUP(AH$1,main!$A$3:$I$102,7,FALSE),main!$K$26:$Q$29,5,FALSE)),1,0)</f>
        <v>0</v>
      </c>
      <c r="AI214">
        <f>IF(AND(VLOOKUP(AI$1,main!$A$3:$H$102,7,FALSE)=main!$G$105,VLOOKUP(AI$1,main!$A$3:$H$102,5,FALSE)-VLOOKUP($A214,main!$A$3:$H$102,6,FALSE)&gt;=main!$D$103+VLOOKUP(VLOOKUP(AI$1,main!$A$3:$I$102,7,FALSE),main!$K$26:$Q$29,5,FALSE)),1,0)</f>
        <v>0</v>
      </c>
      <c r="AJ214">
        <f>IF(AND(VLOOKUP(AJ$1,main!$A$3:$H$102,7,FALSE)=main!$G$105,VLOOKUP(AJ$1,main!$A$3:$H$102,5,FALSE)-VLOOKUP($A214,main!$A$3:$H$102,6,FALSE)&gt;=main!$D$103+VLOOKUP(VLOOKUP(AJ$1,main!$A$3:$I$102,7,FALSE),main!$K$26:$Q$29,5,FALSE)),1,0)</f>
        <v>0</v>
      </c>
      <c r="AK214">
        <f>IF(AND(VLOOKUP(AK$1,main!$A$3:$H$102,7,FALSE)=main!$G$105,VLOOKUP(AK$1,main!$A$3:$H$102,5,FALSE)-VLOOKUP($A214,main!$A$3:$H$102,6,FALSE)&gt;=main!$D$103+VLOOKUP(VLOOKUP(AK$1,main!$A$3:$I$102,7,FALSE),main!$K$26:$Q$29,5,FALSE)),1,0)</f>
        <v>0</v>
      </c>
      <c r="AL214">
        <f>IF(AND(VLOOKUP(AL$1,main!$A$3:$H$102,7,FALSE)=main!$G$105,VLOOKUP(AL$1,main!$A$3:$H$102,5,FALSE)-VLOOKUP($A214,main!$A$3:$H$102,6,FALSE)&gt;=main!$D$103+VLOOKUP(VLOOKUP(AL$1,main!$A$3:$I$102,7,FALSE),main!$K$26:$Q$29,5,FALSE)),1,0)</f>
        <v>0</v>
      </c>
      <c r="AM214">
        <f>IF(AND(VLOOKUP(AM$1,main!$A$3:$H$102,7,FALSE)=main!$G$105,VLOOKUP(AM$1,main!$A$3:$H$102,5,FALSE)-VLOOKUP($A214,main!$A$3:$H$102,6,FALSE)&gt;=main!$D$103+VLOOKUP(VLOOKUP(AM$1,main!$A$3:$I$102,7,FALSE),main!$K$26:$Q$29,5,FALSE)),1,0)</f>
        <v>0</v>
      </c>
      <c r="AN214">
        <f>IF(AND(VLOOKUP(AN$1,main!$A$3:$H$102,7,FALSE)=main!$G$105,VLOOKUP(AN$1,main!$A$3:$H$102,5,FALSE)-VLOOKUP($A214,main!$A$3:$H$102,6,FALSE)&gt;=main!$D$103+VLOOKUP(VLOOKUP(AN$1,main!$A$3:$I$102,7,FALSE),main!$K$26:$Q$29,5,FALSE)),1,0)</f>
        <v>0</v>
      </c>
      <c r="AO214">
        <f>IF(AND(VLOOKUP(AO$1,main!$A$3:$H$102,7,FALSE)=main!$G$105,VLOOKUP(AO$1,main!$A$3:$H$102,5,FALSE)-VLOOKUP($A214,main!$A$3:$H$102,6,FALSE)&gt;=main!$D$103+VLOOKUP(VLOOKUP(AO$1,main!$A$3:$I$102,7,FALSE),main!$K$26:$Q$29,5,FALSE)),1,0)</f>
        <v>0</v>
      </c>
      <c r="AP214">
        <f>IF(AND(VLOOKUP(AP$1,main!$A$3:$H$102,7,FALSE)=main!$G$105,VLOOKUP(AP$1,main!$A$3:$H$102,5,FALSE)-VLOOKUP($A214,main!$A$3:$H$102,6,FALSE)&gt;=main!$D$103+VLOOKUP(VLOOKUP(AP$1,main!$A$3:$I$102,7,FALSE),main!$K$26:$Q$29,5,FALSE)),1,0)</f>
        <v>0</v>
      </c>
      <c r="AQ214">
        <f>IF(AND(VLOOKUP(AQ$1,main!$A$3:$H$102,7,FALSE)=main!$G$105,VLOOKUP(AQ$1,main!$A$3:$H$102,5,FALSE)-VLOOKUP($A214,main!$A$3:$H$102,6,FALSE)&gt;=main!$D$103+VLOOKUP(VLOOKUP(AQ$1,main!$A$3:$I$102,7,FALSE),main!$K$26:$Q$29,5,FALSE)),1,0)</f>
        <v>0</v>
      </c>
      <c r="AR214">
        <f>IF(AND(VLOOKUP(AR$1,main!$A$3:$H$102,7,FALSE)=main!$G$105,VLOOKUP(AR$1,main!$A$3:$H$102,5,FALSE)-VLOOKUP($A214,main!$A$3:$H$102,6,FALSE)&gt;=main!$D$103+VLOOKUP(VLOOKUP(AR$1,main!$A$3:$I$102,7,FALSE),main!$K$26:$Q$29,5,FALSE)),1,0)</f>
        <v>0</v>
      </c>
      <c r="AS214">
        <f>IF(AND(VLOOKUP(AS$1,main!$A$3:$H$102,7,FALSE)=main!$G$105,VLOOKUP(AS$1,main!$A$3:$H$102,5,FALSE)-VLOOKUP($A214,main!$A$3:$H$102,6,FALSE)&gt;=main!$D$103+VLOOKUP(VLOOKUP(AS$1,main!$A$3:$I$102,7,FALSE),main!$K$26:$Q$29,5,FALSE)),1,0)</f>
        <v>0</v>
      </c>
      <c r="AT214">
        <f>IF(AND(VLOOKUP(AT$1,main!$A$3:$H$102,7,FALSE)=main!$G$105,VLOOKUP(AT$1,main!$A$3:$H$102,5,FALSE)-VLOOKUP($A214,main!$A$3:$H$102,6,FALSE)&gt;=main!$D$103+VLOOKUP(VLOOKUP(AT$1,main!$A$3:$I$102,7,FALSE),main!$K$26:$Q$29,5,FALSE)),1,0)</f>
        <v>0</v>
      </c>
      <c r="AU214">
        <f>IF(AND(VLOOKUP(AU$1,main!$A$3:$H$102,7,FALSE)=main!$G$105,VLOOKUP(AU$1,main!$A$3:$H$102,5,FALSE)-VLOOKUP($A214,main!$A$3:$H$102,6,FALSE)&gt;=main!$D$103+VLOOKUP(VLOOKUP(AU$1,main!$A$3:$I$102,7,FALSE),main!$K$26:$Q$29,5,FALSE)),1,0)</f>
        <v>0</v>
      </c>
      <c r="AV214">
        <f>IF(AND(VLOOKUP(AV$1,main!$A$3:$H$102,7,FALSE)=main!$G$105,VLOOKUP(AV$1,main!$A$3:$H$102,5,FALSE)-VLOOKUP($A214,main!$A$3:$H$102,6,FALSE)&gt;=main!$D$103+VLOOKUP(VLOOKUP(AV$1,main!$A$3:$I$102,7,FALSE),main!$K$26:$Q$29,5,FALSE)),1,0)</f>
        <v>0</v>
      </c>
      <c r="AW214">
        <f>IF(AND(VLOOKUP(AW$1,main!$A$3:$H$102,7,FALSE)=main!$G$105,VLOOKUP(AW$1,main!$A$3:$H$102,5,FALSE)-VLOOKUP($A214,main!$A$3:$H$102,6,FALSE)&gt;=main!$D$103+VLOOKUP(VLOOKUP(AW$1,main!$A$3:$I$102,7,FALSE),main!$K$26:$Q$29,5,FALSE)),1,0)</f>
        <v>0</v>
      </c>
      <c r="AX214">
        <f>IF(AND(VLOOKUP(AX$1,main!$A$3:$H$102,7,FALSE)=main!$G$105,VLOOKUP(AX$1,main!$A$3:$H$102,5,FALSE)-VLOOKUP($A214,main!$A$3:$H$102,6,FALSE)&gt;=main!$D$103+VLOOKUP(VLOOKUP(AX$1,main!$A$3:$I$102,7,FALSE),main!$K$26:$Q$29,5,FALSE)),1,0)</f>
        <v>0</v>
      </c>
      <c r="AY214">
        <f>IF(AND(VLOOKUP(AY$1,main!$A$3:$H$102,7,FALSE)=main!$G$105,VLOOKUP(AY$1,main!$A$3:$H$102,5,FALSE)-VLOOKUP($A214,main!$A$3:$H$102,6,FALSE)&gt;=main!$D$103+VLOOKUP(VLOOKUP(AY$1,main!$A$3:$I$102,7,FALSE),main!$K$26:$Q$29,5,FALSE)),1,0)</f>
        <v>0</v>
      </c>
      <c r="AZ214">
        <f>IF(AND(VLOOKUP(AZ$1,main!$A$3:$H$102,7,FALSE)=main!$G$105,VLOOKUP(AZ$1,main!$A$3:$H$102,5,FALSE)-VLOOKUP($A214,main!$A$3:$H$102,6,FALSE)&gt;=main!$D$103+VLOOKUP(VLOOKUP(AZ$1,main!$A$3:$I$102,7,FALSE),main!$K$26:$Q$29,5,FALSE)),1,0)</f>
        <v>0</v>
      </c>
      <c r="BA214">
        <f>IF(AND(VLOOKUP(BA$1,main!$A$3:$H$102,7,FALSE)=main!$G$105,VLOOKUP(BA$1,main!$A$3:$H$102,5,FALSE)-VLOOKUP($A214,main!$A$3:$H$102,6,FALSE)&gt;=main!$D$103+VLOOKUP(VLOOKUP(BA$1,main!$A$3:$I$102,7,FALSE),main!$K$26:$Q$29,5,FALSE)),1,0)</f>
        <v>0</v>
      </c>
      <c r="BB214">
        <f>IF(AND(VLOOKUP(BB$1,main!$A$3:$H$102,7,FALSE)=main!$G$105,VLOOKUP(BB$1,main!$A$3:$H$102,5,FALSE)-VLOOKUP($A214,main!$A$3:$H$102,6,FALSE)&gt;=main!$D$103+VLOOKUP(VLOOKUP(BB$1,main!$A$3:$I$102,7,FALSE),main!$K$26:$Q$29,5,FALSE)),1,0)</f>
        <v>0</v>
      </c>
      <c r="BC214">
        <f>IF(AND(VLOOKUP(BC$1,main!$A$3:$H$102,7,FALSE)=main!$G$105,VLOOKUP(BC$1,main!$A$3:$H$102,5,FALSE)-VLOOKUP($A214,main!$A$3:$H$102,6,FALSE)&gt;=main!$D$103+VLOOKUP(VLOOKUP(BC$1,main!$A$3:$I$102,7,FALSE),main!$K$26:$Q$29,5,FALSE)),1,0)</f>
        <v>0</v>
      </c>
      <c r="BD214">
        <f>IF(AND(VLOOKUP(BD$1,main!$A$3:$H$102,7,FALSE)=main!$G$105,VLOOKUP(BD$1,main!$A$3:$H$102,5,FALSE)-VLOOKUP($A214,main!$A$3:$H$102,6,FALSE)&gt;=main!$D$103+VLOOKUP(VLOOKUP(BD$1,main!$A$3:$I$102,7,FALSE),main!$K$26:$Q$29,5,FALSE)),1,0)</f>
        <v>0</v>
      </c>
      <c r="BE214">
        <f>IF(AND(VLOOKUP(BE$1,main!$A$3:$H$102,7,FALSE)=main!$G$105,VLOOKUP(BE$1,main!$A$3:$H$102,5,FALSE)-VLOOKUP($A214,main!$A$3:$H$102,6,FALSE)&gt;=main!$D$103+VLOOKUP(VLOOKUP(BE$1,main!$A$3:$I$102,7,FALSE),main!$K$26:$Q$29,5,FALSE)),1,0)</f>
        <v>0</v>
      </c>
      <c r="BF214">
        <f>IF(AND(VLOOKUP(BF$1,main!$A$3:$H$102,7,FALSE)=main!$G$105,VLOOKUP(BF$1,main!$A$3:$H$102,5,FALSE)-VLOOKUP($A214,main!$A$3:$H$102,6,FALSE)&gt;=main!$D$103+VLOOKUP(VLOOKUP(BF$1,main!$A$3:$I$102,7,FALSE),main!$K$26:$Q$29,5,FALSE)),1,0)</f>
        <v>0</v>
      </c>
      <c r="BG214">
        <f>IF(AND(VLOOKUP(BG$1,main!$A$3:$H$102,7,FALSE)=main!$G$105,VLOOKUP(BG$1,main!$A$3:$H$102,5,FALSE)-VLOOKUP($A214,main!$A$3:$H$102,6,FALSE)&gt;=main!$D$103+VLOOKUP(VLOOKUP(BG$1,main!$A$3:$I$102,7,FALSE),main!$K$26:$Q$29,5,FALSE)),1,0)</f>
        <v>0</v>
      </c>
      <c r="BH214">
        <f>IF(AND(VLOOKUP(BH$1,main!$A$3:$H$102,7,FALSE)=main!$G$105,VLOOKUP(BH$1,main!$A$3:$H$102,5,FALSE)-VLOOKUP($A214,main!$A$3:$H$102,6,FALSE)&gt;=main!$D$103+VLOOKUP(VLOOKUP(BH$1,main!$A$3:$I$102,7,FALSE),main!$K$26:$Q$29,5,FALSE)),1,0)</f>
        <v>0</v>
      </c>
      <c r="BI214">
        <f>IF(AND(VLOOKUP(BI$1,main!$A$3:$H$102,7,FALSE)=main!$G$105,VLOOKUP(BI$1,main!$A$3:$H$102,5,FALSE)-VLOOKUP($A214,main!$A$3:$H$102,6,FALSE)&gt;=main!$D$103+VLOOKUP(VLOOKUP(BI$1,main!$A$3:$I$102,7,FALSE),main!$K$26:$Q$29,5,FALSE)),1,0)</f>
        <v>0</v>
      </c>
      <c r="BJ214">
        <f>IF(AND(VLOOKUP(BJ$1,main!$A$3:$H$102,7,FALSE)=main!$G$105,VLOOKUP(BJ$1,main!$A$3:$H$102,5,FALSE)-VLOOKUP($A214,main!$A$3:$H$102,6,FALSE)&gt;=main!$D$103+VLOOKUP(VLOOKUP(BJ$1,main!$A$3:$I$102,7,FALSE),main!$K$26:$Q$29,5,FALSE)),1,0)</f>
        <v>0</v>
      </c>
      <c r="BK214">
        <f>IF(AND(VLOOKUP(BK$1,main!$A$3:$H$102,7,FALSE)=main!$G$105,VLOOKUP(BK$1,main!$A$3:$H$102,5,FALSE)-VLOOKUP($A214,main!$A$3:$H$102,6,FALSE)&gt;=main!$D$103+VLOOKUP(VLOOKUP(BK$1,main!$A$3:$I$102,7,FALSE),main!$K$26:$Q$29,5,FALSE)),1,0)</f>
        <v>0</v>
      </c>
      <c r="BL214">
        <f>IF(AND(VLOOKUP(BL$1,main!$A$3:$H$102,7,FALSE)=main!$G$105,VLOOKUP(BL$1,main!$A$3:$H$102,5,FALSE)-VLOOKUP($A214,main!$A$3:$H$102,6,FALSE)&gt;=main!$D$103+VLOOKUP(VLOOKUP(BL$1,main!$A$3:$I$102,7,FALSE),main!$K$26:$Q$29,5,FALSE)),1,0)</f>
        <v>0</v>
      </c>
      <c r="BM214">
        <f>IF(AND(VLOOKUP(BM$1,main!$A$3:$H$102,7,FALSE)=main!$G$105,VLOOKUP(BM$1,main!$A$3:$H$102,5,FALSE)-VLOOKUP($A214,main!$A$3:$H$102,6,FALSE)&gt;=main!$D$103+VLOOKUP(VLOOKUP(BM$1,main!$A$3:$I$102,7,FALSE),main!$K$26:$Q$29,5,FALSE)),1,0)</f>
        <v>0</v>
      </c>
      <c r="BN214">
        <f>IF(AND(VLOOKUP(BN$1,main!$A$3:$H$102,7,FALSE)=main!$G$105,VLOOKUP(BN$1,main!$A$3:$H$102,5,FALSE)-VLOOKUP($A214,main!$A$3:$H$102,6,FALSE)&gt;=main!$D$103+VLOOKUP(VLOOKUP(BN$1,main!$A$3:$I$102,7,FALSE),main!$K$26:$Q$29,5,FALSE)),1,0)</f>
        <v>0</v>
      </c>
      <c r="BO214">
        <f>IF(AND(VLOOKUP(BO$1,main!$A$3:$H$102,7,FALSE)=main!$G$105,VLOOKUP(BO$1,main!$A$3:$H$102,5,FALSE)-VLOOKUP($A214,main!$A$3:$H$102,6,FALSE)&gt;=main!$D$103+VLOOKUP(VLOOKUP(BO$1,main!$A$3:$I$102,7,FALSE),main!$K$26:$Q$29,5,FALSE)),1,0)</f>
        <v>0</v>
      </c>
      <c r="BP214">
        <f>IF(AND(VLOOKUP(BP$1,main!$A$3:$H$102,7,FALSE)=main!$G$105,VLOOKUP(BP$1,main!$A$3:$H$102,5,FALSE)-VLOOKUP($A214,main!$A$3:$H$102,6,FALSE)&gt;=main!$D$103+VLOOKUP(VLOOKUP(BP$1,main!$A$3:$I$102,7,FALSE),main!$K$26:$Q$29,5,FALSE)),1,0)</f>
        <v>0</v>
      </c>
      <c r="BQ214">
        <f>IF(AND(VLOOKUP(BQ$1,main!$A$3:$H$102,7,FALSE)=main!$G$105,VLOOKUP(BQ$1,main!$A$3:$H$102,5,FALSE)-VLOOKUP($A214,main!$A$3:$H$102,6,FALSE)&gt;=main!$D$103+VLOOKUP(VLOOKUP(BQ$1,main!$A$3:$I$102,7,FALSE),main!$K$26:$Q$29,5,FALSE)),1,0)</f>
        <v>0</v>
      </c>
      <c r="BR214">
        <f>IF(AND(VLOOKUP(BR$1,main!$A$3:$H$102,7,FALSE)=main!$G$105,VLOOKUP(BR$1,main!$A$3:$H$102,5,FALSE)-VLOOKUP($A214,main!$A$3:$H$102,6,FALSE)&gt;=main!$D$103+VLOOKUP(VLOOKUP(BR$1,main!$A$3:$I$102,7,FALSE),main!$K$26:$Q$29,5,FALSE)),1,0)</f>
        <v>0</v>
      </c>
      <c r="BS214">
        <f>IF(AND(VLOOKUP(BS$1,main!$A$3:$H$102,7,FALSE)=main!$G$105,VLOOKUP(BS$1,main!$A$3:$H$102,5,FALSE)-VLOOKUP($A214,main!$A$3:$H$102,6,FALSE)&gt;=main!$D$103+VLOOKUP(VLOOKUP(BS$1,main!$A$3:$I$102,7,FALSE),main!$K$26:$Q$29,5,FALSE)),1,0)</f>
        <v>0</v>
      </c>
      <c r="BT214">
        <f>IF(AND(VLOOKUP(BT$1,main!$A$3:$H$102,7,FALSE)=main!$G$105,VLOOKUP(BT$1,main!$A$3:$H$102,5,FALSE)-VLOOKUP($A214,main!$A$3:$H$102,6,FALSE)&gt;=main!$D$103+VLOOKUP(VLOOKUP(BT$1,main!$A$3:$I$102,7,FALSE),main!$K$26:$Q$29,5,FALSE)),1,0)</f>
        <v>0</v>
      </c>
      <c r="BU214">
        <f>IF(AND(VLOOKUP(BU$1,main!$A$3:$H$102,7,FALSE)=main!$G$105,VLOOKUP(BU$1,main!$A$3:$H$102,5,FALSE)-VLOOKUP($A214,main!$A$3:$H$102,6,FALSE)&gt;=main!$D$103+VLOOKUP(VLOOKUP(BU$1,main!$A$3:$I$102,7,FALSE),main!$K$26:$Q$29,5,FALSE)),1,0)</f>
        <v>0</v>
      </c>
      <c r="BV214">
        <f>IF(AND(VLOOKUP(BV$1,main!$A$3:$H$102,7,FALSE)=main!$G$105,VLOOKUP(BV$1,main!$A$3:$H$102,5,FALSE)-VLOOKUP($A214,main!$A$3:$H$102,6,FALSE)&gt;=main!$D$103+VLOOKUP(VLOOKUP(BV$1,main!$A$3:$I$102,7,FALSE),main!$K$26:$Q$29,5,FALSE)),1,0)</f>
        <v>0</v>
      </c>
      <c r="BW214">
        <f>IF(AND(VLOOKUP(BW$1,main!$A$3:$H$102,7,FALSE)=main!$G$105,VLOOKUP(BW$1,main!$A$3:$H$102,5,FALSE)-VLOOKUP($A214,main!$A$3:$H$102,6,FALSE)&gt;=main!$D$103+VLOOKUP(VLOOKUP(BW$1,main!$A$3:$I$102,7,FALSE),main!$K$26:$Q$29,5,FALSE)),1,0)</f>
        <v>0</v>
      </c>
      <c r="BX214">
        <f>IF(AND(VLOOKUP(BX$1,main!$A$3:$H$102,7,FALSE)=main!$G$105,VLOOKUP(BX$1,main!$A$3:$H$102,5,FALSE)-VLOOKUP($A214,main!$A$3:$H$102,6,FALSE)&gt;=main!$D$103+VLOOKUP(VLOOKUP(BX$1,main!$A$3:$I$102,7,FALSE),main!$K$26:$Q$29,5,FALSE)),1,0)</f>
        <v>0</v>
      </c>
      <c r="BY214">
        <f>IF(AND(VLOOKUP(BY$1,main!$A$3:$H$102,7,FALSE)=main!$G$105,VLOOKUP(BY$1,main!$A$3:$H$102,5,FALSE)-VLOOKUP($A214,main!$A$3:$H$102,6,FALSE)&gt;=main!$D$103+VLOOKUP(VLOOKUP(BY$1,main!$A$3:$I$102,7,FALSE),main!$K$26:$Q$29,5,FALSE)),1,0)</f>
        <v>0</v>
      </c>
      <c r="BZ214">
        <f>IF(AND(VLOOKUP(BZ$1,main!$A$3:$H$102,7,FALSE)=main!$G$105,VLOOKUP(BZ$1,main!$A$3:$H$102,5,FALSE)-VLOOKUP($A214,main!$A$3:$H$102,6,FALSE)&gt;=main!$D$103+VLOOKUP(VLOOKUP(BZ$1,main!$A$3:$I$102,7,FALSE),main!$K$26:$Q$29,5,FALSE)),1,0)</f>
        <v>0</v>
      </c>
      <c r="CA214">
        <f>IF(AND(VLOOKUP(CA$1,main!$A$3:$H$102,7,FALSE)=main!$G$105,VLOOKUP(CA$1,main!$A$3:$H$102,5,FALSE)-VLOOKUP($A214,main!$A$3:$H$102,6,FALSE)&gt;=main!$D$103+VLOOKUP(VLOOKUP(CA$1,main!$A$3:$I$102,7,FALSE),main!$K$26:$Q$29,5,FALSE)),1,0)</f>
        <v>0</v>
      </c>
      <c r="CB214">
        <f>IF(AND(VLOOKUP(CB$1,main!$A$3:$H$102,7,FALSE)=main!$G$105,VLOOKUP(CB$1,main!$A$3:$H$102,5,FALSE)-VLOOKUP($A214,main!$A$3:$H$102,6,FALSE)&gt;=main!$D$103+VLOOKUP(VLOOKUP(CB$1,main!$A$3:$I$102,7,FALSE),main!$K$26:$Q$29,5,FALSE)),1,0)</f>
        <v>0</v>
      </c>
      <c r="CC214">
        <f>IF(AND(VLOOKUP(CC$1,main!$A$3:$H$102,7,FALSE)=main!$G$105,VLOOKUP(CC$1,main!$A$3:$H$102,5,FALSE)-VLOOKUP($A214,main!$A$3:$H$102,6,FALSE)&gt;=main!$D$103+VLOOKUP(VLOOKUP(CC$1,main!$A$3:$I$102,7,FALSE),main!$K$26:$Q$29,5,FALSE)),1,0)</f>
        <v>0</v>
      </c>
      <c r="CD214">
        <f>IF(AND(VLOOKUP(CD$1,main!$A$3:$H$102,7,FALSE)=main!$G$105,VLOOKUP(CD$1,main!$A$3:$H$102,5,FALSE)-VLOOKUP($A214,main!$A$3:$H$102,6,FALSE)&gt;=main!$D$103+VLOOKUP(VLOOKUP(CD$1,main!$A$3:$I$102,7,FALSE),main!$K$26:$Q$29,5,FALSE)),1,0)</f>
        <v>0</v>
      </c>
      <c r="CE214">
        <f>IF(AND(VLOOKUP(CE$1,main!$A$3:$H$102,7,FALSE)=main!$G$105,VLOOKUP(CE$1,main!$A$3:$H$102,5,FALSE)-VLOOKUP($A214,main!$A$3:$H$102,6,FALSE)&gt;=main!$D$103+VLOOKUP(VLOOKUP(CE$1,main!$A$3:$I$102,7,FALSE),main!$K$26:$Q$29,5,FALSE)),1,0)</f>
        <v>0</v>
      </c>
      <c r="CF214">
        <f>IF(AND(VLOOKUP(CF$1,main!$A$3:$H$102,7,FALSE)=main!$G$105,VLOOKUP(CF$1,main!$A$3:$H$102,5,FALSE)-VLOOKUP($A214,main!$A$3:$H$102,6,FALSE)&gt;=main!$D$103+VLOOKUP(VLOOKUP(CF$1,main!$A$3:$I$102,7,FALSE),main!$K$26:$Q$29,5,FALSE)),1,0)</f>
        <v>0</v>
      </c>
      <c r="CG214">
        <f>IF(AND(VLOOKUP(CG$1,main!$A$3:$H$102,7,FALSE)=main!$G$105,VLOOKUP(CG$1,main!$A$3:$H$102,5,FALSE)-VLOOKUP($A214,main!$A$3:$H$102,6,FALSE)&gt;=main!$D$103+VLOOKUP(VLOOKUP(CG$1,main!$A$3:$I$102,7,FALSE),main!$K$26:$Q$29,5,FALSE)),1,0)</f>
        <v>0</v>
      </c>
      <c r="CH214">
        <f>IF(AND(VLOOKUP(CH$1,main!$A$3:$H$102,7,FALSE)=main!$G$105,VLOOKUP(CH$1,main!$A$3:$H$102,5,FALSE)-VLOOKUP($A214,main!$A$3:$H$102,6,FALSE)&gt;=main!$D$103+VLOOKUP(VLOOKUP(CH$1,main!$A$3:$I$102,7,FALSE),main!$K$26:$Q$29,5,FALSE)),1,0)</f>
        <v>0</v>
      </c>
      <c r="CI214">
        <f>IF(AND(VLOOKUP(CI$1,main!$A$3:$H$102,7,FALSE)=main!$G$105,VLOOKUP(CI$1,main!$A$3:$H$102,5,FALSE)-VLOOKUP($A214,main!$A$3:$H$102,6,FALSE)&gt;=main!$D$103+VLOOKUP(VLOOKUP(CI$1,main!$A$3:$I$102,7,FALSE),main!$K$26:$Q$29,5,FALSE)),1,0)</f>
        <v>0</v>
      </c>
      <c r="CJ214">
        <f>IF(AND(VLOOKUP(CJ$1,main!$A$3:$H$102,7,FALSE)=main!$G$105,VLOOKUP(CJ$1,main!$A$3:$H$102,5,FALSE)-VLOOKUP($A214,main!$A$3:$H$102,6,FALSE)&gt;=main!$D$103+VLOOKUP(VLOOKUP(CJ$1,main!$A$3:$I$102,7,FALSE),main!$K$26:$Q$29,5,FALSE)),1,0)</f>
        <v>0</v>
      </c>
      <c r="CK214">
        <f>IF(AND(VLOOKUP(CK$1,main!$A$3:$H$102,7,FALSE)=main!$G$105,VLOOKUP(CK$1,main!$A$3:$H$102,5,FALSE)-VLOOKUP($A214,main!$A$3:$H$102,6,FALSE)&gt;=main!$D$103+VLOOKUP(VLOOKUP(CK$1,main!$A$3:$I$102,7,FALSE),main!$K$26:$Q$29,5,FALSE)),1,0)</f>
        <v>0</v>
      </c>
      <c r="CL214">
        <f>IF(AND(VLOOKUP(CL$1,main!$A$3:$H$102,7,FALSE)=main!$G$105,VLOOKUP(CL$1,main!$A$3:$H$102,5,FALSE)-VLOOKUP($A214,main!$A$3:$H$102,6,FALSE)&gt;=main!$D$103+VLOOKUP(VLOOKUP(CL$1,main!$A$3:$I$102,7,FALSE),main!$K$26:$Q$29,5,FALSE)),1,0)</f>
        <v>0</v>
      </c>
      <c r="CM214">
        <f>IF(AND(VLOOKUP(CM$1,main!$A$3:$H$102,7,FALSE)=main!$G$105,VLOOKUP(CM$1,main!$A$3:$H$102,5,FALSE)-VLOOKUP($A214,main!$A$3:$H$102,6,FALSE)&gt;=main!$D$103+VLOOKUP(VLOOKUP(CM$1,main!$A$3:$I$102,7,FALSE),main!$K$26:$Q$29,5,FALSE)),1,0)</f>
        <v>0</v>
      </c>
      <c r="CN214">
        <f>IF(AND(VLOOKUP(CN$1,main!$A$3:$H$102,7,FALSE)=main!$G$105,VLOOKUP(CN$1,main!$A$3:$H$102,5,FALSE)-VLOOKUP($A214,main!$A$3:$H$102,6,FALSE)&gt;=main!$D$103+VLOOKUP(VLOOKUP(CN$1,main!$A$3:$I$102,7,FALSE),main!$K$26:$Q$29,5,FALSE)),1,0)</f>
        <v>0</v>
      </c>
      <c r="CO214">
        <f>IF(AND(VLOOKUP(CO$1,main!$A$3:$H$102,7,FALSE)=main!$G$105,VLOOKUP(CO$1,main!$A$3:$H$102,5,FALSE)-VLOOKUP($A214,main!$A$3:$H$102,6,FALSE)&gt;=main!$D$103+VLOOKUP(VLOOKUP(CO$1,main!$A$3:$I$102,7,FALSE),main!$K$26:$Q$29,5,FALSE)),1,0)</f>
        <v>0</v>
      </c>
      <c r="CP214">
        <f>IF(AND(VLOOKUP(CP$1,main!$A$3:$H$102,7,FALSE)=main!$G$105,VLOOKUP(CP$1,main!$A$3:$H$102,5,FALSE)-VLOOKUP($A214,main!$A$3:$H$102,6,FALSE)&gt;=main!$D$103+VLOOKUP(VLOOKUP(CP$1,main!$A$3:$I$102,7,FALSE),main!$K$26:$Q$29,5,FALSE)),1,0)</f>
        <v>0</v>
      </c>
      <c r="CQ214">
        <f>IF(AND(VLOOKUP(CQ$1,main!$A$3:$H$102,7,FALSE)=main!$G$105,VLOOKUP(CQ$1,main!$A$3:$H$102,5,FALSE)-VLOOKUP($A214,main!$A$3:$H$102,6,FALSE)&gt;=main!$D$103+VLOOKUP(VLOOKUP(CQ$1,main!$A$3:$I$102,7,FALSE),main!$K$26:$Q$29,5,FALSE)),1,0)</f>
        <v>0</v>
      </c>
      <c r="CR214">
        <f>IF(AND(VLOOKUP(CR$1,main!$A$3:$H$102,7,FALSE)=main!$G$105,VLOOKUP(CR$1,main!$A$3:$H$102,5,FALSE)-VLOOKUP($A214,main!$A$3:$H$102,6,FALSE)&gt;=main!$D$103+VLOOKUP(VLOOKUP(CR$1,main!$A$3:$I$102,7,FALSE),main!$K$26:$Q$29,5,FALSE)),1,0)</f>
        <v>0</v>
      </c>
      <c r="CS214">
        <f>IF(AND(VLOOKUP(CS$1,main!$A$3:$H$102,7,FALSE)=main!$G$105,VLOOKUP(CS$1,main!$A$3:$H$102,5,FALSE)-VLOOKUP($A214,main!$A$3:$H$102,6,FALSE)&gt;=main!$D$103+VLOOKUP(VLOOKUP(CS$1,main!$A$3:$I$102,7,FALSE),main!$K$26:$Q$29,5,FALSE)),1,0)</f>
        <v>0</v>
      </c>
      <c r="CT214">
        <f>IF(AND(VLOOKUP(CT$1,main!$A$3:$H$102,7,FALSE)=main!$G$105,VLOOKUP(CT$1,main!$A$3:$H$102,5,FALSE)-VLOOKUP($A214,main!$A$3:$H$102,6,FALSE)&gt;=main!$D$103+VLOOKUP(VLOOKUP(CT$1,main!$A$3:$I$102,7,FALSE),main!$K$26:$Q$29,5,FALSE)),1,0)</f>
        <v>0</v>
      </c>
      <c r="CU214">
        <f>IF(AND(VLOOKUP(CU$1,main!$A$3:$H$102,7,FALSE)=main!$G$105,VLOOKUP(CU$1,main!$A$3:$H$102,5,FALSE)-VLOOKUP($A214,main!$A$3:$H$102,6,FALSE)&gt;=main!$D$103+VLOOKUP(VLOOKUP(CU$1,main!$A$3:$I$102,7,FALSE),main!$K$26:$Q$29,5,FALSE)),1,0)</f>
        <v>0</v>
      </c>
      <c r="CV214">
        <f>IF(AND(VLOOKUP(CV$1,main!$A$3:$H$102,7,FALSE)=main!$G$105,VLOOKUP(CV$1,main!$A$3:$H$102,5,FALSE)-VLOOKUP($A214,main!$A$3:$H$102,6,FALSE)&gt;=main!$D$103+VLOOKUP(VLOOKUP(CV$1,main!$A$3:$I$102,7,FALSE),main!$K$26:$Q$29,5,FALSE)),1,0)</f>
        <v>0</v>
      </c>
      <c r="CW214">
        <f>IF(AND(VLOOKUP(CW$1,main!$A$3:$H$102,7,FALSE)=main!$G$105,VLOOKUP(CW$1,main!$A$3:$H$102,5,FALSE)-VLOOKUP($A214,main!$A$3:$H$102,6,FALSE)&gt;=main!$D$103+VLOOKUP(VLOOKUP(CW$1,main!$A$3:$I$102,7,FALSE),main!$K$26:$Q$29,5,FALSE)),1,0)</f>
        <v>0</v>
      </c>
      <c r="CX214">
        <f>IF(AND(VLOOKUP(CX$1,main!$A$3:$H$102,7,FALSE)=main!$G$105,VLOOKUP(CX$1,main!$A$3:$H$102,5,FALSE)-VLOOKUP($A214,main!$A$3:$H$102,6,FALSE)&gt;=main!$D$103+VLOOKUP(VLOOKUP(CX$1,main!$A$3:$I$102,7,FALSE),main!$K$26:$Q$29,5,FALSE)),1,0)</f>
        <v>0</v>
      </c>
    </row>
    <row r="215" spans="1:102" x14ac:dyDescent="0.25">
      <c r="A215" s="1">
        <v>11</v>
      </c>
      <c r="B215">
        <v>0</v>
      </c>
      <c r="C215">
        <f>IF(AND(VLOOKUP(C$1,main!$A$3:$H$102,7,FALSE)=main!$G$105,VLOOKUP(C$1,main!$A$3:$H$102,5,FALSE)-VLOOKUP($A215,main!$A$3:$H$102,6,FALSE)&gt;=main!$D$103+VLOOKUP(VLOOKUP(C$1,main!$A$3:$I$102,7,FALSE),main!$K$26:$Q$29,5,FALSE)),1,0)</f>
        <v>0</v>
      </c>
      <c r="D215">
        <f>IF(AND(VLOOKUP(D$1,main!$A$3:$H$102,7,FALSE)=main!$G$105,VLOOKUP(D$1,main!$A$3:$H$102,5,FALSE)-VLOOKUP($A215,main!$A$3:$H$102,6,FALSE)&gt;=main!$D$103+VLOOKUP(VLOOKUP(D$1,main!$A$3:$I$102,7,FALSE),main!$K$26:$Q$29,5,FALSE)),1,0)</f>
        <v>0</v>
      </c>
      <c r="E215">
        <f>IF(AND(VLOOKUP(E$1,main!$A$3:$H$102,7,FALSE)=main!$G$105,VLOOKUP(E$1,main!$A$3:$H$102,5,FALSE)-VLOOKUP($A215,main!$A$3:$H$102,6,FALSE)&gt;=main!$D$103+VLOOKUP(VLOOKUP(E$1,main!$A$3:$I$102,7,FALSE),main!$K$26:$Q$29,5,FALSE)),1,0)</f>
        <v>0</v>
      </c>
      <c r="F215">
        <f>IF(AND(VLOOKUP(F$1,main!$A$3:$H$102,7,FALSE)=main!$G$105,VLOOKUP(F$1,main!$A$3:$H$102,5,FALSE)-VLOOKUP($A215,main!$A$3:$H$102,6,FALSE)&gt;=main!$D$103+VLOOKUP(VLOOKUP(F$1,main!$A$3:$I$102,7,FALSE),main!$K$26:$Q$29,5,FALSE)),1,0)</f>
        <v>0</v>
      </c>
      <c r="G215">
        <f>IF(AND(VLOOKUP(G$1,main!$A$3:$H$102,7,FALSE)=main!$G$105,VLOOKUP(G$1,main!$A$3:$H$102,5,FALSE)-VLOOKUP($A215,main!$A$3:$H$102,6,FALSE)&gt;=main!$D$103+VLOOKUP(VLOOKUP(G$1,main!$A$3:$I$102,7,FALSE),main!$K$26:$Q$29,5,FALSE)),1,0)</f>
        <v>0</v>
      </c>
      <c r="H215">
        <f>IF(AND(VLOOKUP(H$1,main!$A$3:$H$102,7,FALSE)=main!$G$105,VLOOKUP(H$1,main!$A$3:$H$102,5,FALSE)-VLOOKUP($A215,main!$A$3:$H$102,6,FALSE)&gt;=main!$D$103+VLOOKUP(VLOOKUP(H$1,main!$A$3:$I$102,7,FALSE),main!$K$26:$Q$29,5,FALSE)),1,0)</f>
        <v>0</v>
      </c>
      <c r="I215">
        <f>IF(AND(VLOOKUP(I$1,main!$A$3:$H$102,7,FALSE)=main!$G$105,VLOOKUP(I$1,main!$A$3:$H$102,5,FALSE)-VLOOKUP($A215,main!$A$3:$H$102,6,FALSE)&gt;=main!$D$103+VLOOKUP(VLOOKUP(I$1,main!$A$3:$I$102,7,FALSE),main!$K$26:$Q$29,5,FALSE)),1,0)</f>
        <v>0</v>
      </c>
      <c r="J215">
        <f>IF(AND(VLOOKUP(J$1,main!$A$3:$H$102,7,FALSE)=main!$G$105,VLOOKUP(J$1,main!$A$3:$H$102,5,FALSE)-VLOOKUP($A215,main!$A$3:$H$102,6,FALSE)&gt;=main!$D$103+VLOOKUP(VLOOKUP(J$1,main!$A$3:$I$102,7,FALSE),main!$K$26:$Q$29,5,FALSE)),1,0)</f>
        <v>0</v>
      </c>
      <c r="K215">
        <f>IF(AND(VLOOKUP(K$1,main!$A$3:$H$102,7,FALSE)=main!$G$105,VLOOKUP(K$1,main!$A$3:$H$102,5,FALSE)-VLOOKUP($A215,main!$A$3:$H$102,6,FALSE)&gt;=main!$D$103+VLOOKUP(VLOOKUP(K$1,main!$A$3:$I$102,7,FALSE),main!$K$26:$Q$29,5,FALSE)),1,0)</f>
        <v>0</v>
      </c>
      <c r="L215">
        <f>IF(AND(VLOOKUP(L$1,main!$A$3:$H$102,7,FALSE)=main!$G$105,VLOOKUP(L$1,main!$A$3:$H$102,5,FALSE)-VLOOKUP($A215,main!$A$3:$H$102,6,FALSE)&gt;=main!$D$103+VLOOKUP(VLOOKUP(L$1,main!$A$3:$I$102,7,FALSE),main!$K$26:$Q$29,5,FALSE)),1,0)</f>
        <v>0</v>
      </c>
      <c r="M215">
        <f>IF(AND(VLOOKUP(M$1,main!$A$3:$H$102,7,FALSE)=main!$G$105,VLOOKUP(M$1,main!$A$3:$H$102,5,FALSE)-VLOOKUP($A215,main!$A$3:$H$102,6,FALSE)&gt;=main!$D$103+VLOOKUP(VLOOKUP(M$1,main!$A$3:$I$102,7,FALSE),main!$K$26:$Q$29,5,FALSE)),1,0)</f>
        <v>0</v>
      </c>
      <c r="N215">
        <f>IF(AND(VLOOKUP(N$1,main!$A$3:$H$102,7,FALSE)=main!$G$105,VLOOKUP(N$1,main!$A$3:$H$102,5,FALSE)-VLOOKUP($A215,main!$A$3:$H$102,6,FALSE)&gt;=main!$D$103+VLOOKUP(VLOOKUP(N$1,main!$A$3:$I$102,7,FALSE),main!$K$26:$Q$29,5,FALSE)),1,0)</f>
        <v>0</v>
      </c>
      <c r="O215">
        <f>IF(AND(VLOOKUP(O$1,main!$A$3:$H$102,7,FALSE)=main!$G$105,VLOOKUP(O$1,main!$A$3:$H$102,5,FALSE)-VLOOKUP($A215,main!$A$3:$H$102,6,FALSE)&gt;=main!$D$103+VLOOKUP(VLOOKUP(O$1,main!$A$3:$I$102,7,FALSE),main!$K$26:$Q$29,5,FALSE)),1,0)</f>
        <v>0</v>
      </c>
      <c r="P215">
        <f>IF(AND(VLOOKUP(P$1,main!$A$3:$H$102,7,FALSE)=main!$G$105,VLOOKUP(P$1,main!$A$3:$H$102,5,FALSE)-VLOOKUP($A215,main!$A$3:$H$102,6,FALSE)&gt;=main!$D$103+VLOOKUP(VLOOKUP(P$1,main!$A$3:$I$102,7,FALSE),main!$K$26:$Q$29,5,FALSE)),1,0)</f>
        <v>0</v>
      </c>
      <c r="Q215">
        <f>IF(AND(VLOOKUP(Q$1,main!$A$3:$H$102,7,FALSE)=main!$G$105,VLOOKUP(Q$1,main!$A$3:$H$102,5,FALSE)-VLOOKUP($A215,main!$A$3:$H$102,6,FALSE)&gt;=main!$D$103+VLOOKUP(VLOOKUP(Q$1,main!$A$3:$I$102,7,FALSE),main!$K$26:$Q$29,5,FALSE)),1,0)</f>
        <v>0</v>
      </c>
      <c r="R215">
        <f>IF(AND(VLOOKUP(R$1,main!$A$3:$H$102,7,FALSE)=main!$G$105,VLOOKUP(R$1,main!$A$3:$H$102,5,FALSE)-VLOOKUP($A215,main!$A$3:$H$102,6,FALSE)&gt;=main!$D$103+VLOOKUP(VLOOKUP(R$1,main!$A$3:$I$102,7,FALSE),main!$K$26:$Q$29,5,FALSE)),1,0)</f>
        <v>0</v>
      </c>
      <c r="S215">
        <f>IF(AND(VLOOKUP(S$1,main!$A$3:$H$102,7,FALSE)=main!$G$105,VLOOKUP(S$1,main!$A$3:$H$102,5,FALSE)-VLOOKUP($A215,main!$A$3:$H$102,6,FALSE)&gt;=main!$D$103+VLOOKUP(VLOOKUP(S$1,main!$A$3:$I$102,7,FALSE),main!$K$26:$Q$29,5,FALSE)),1,0)</f>
        <v>0</v>
      </c>
      <c r="T215">
        <f>IF(AND(VLOOKUP(T$1,main!$A$3:$H$102,7,FALSE)=main!$G$105,VLOOKUP(T$1,main!$A$3:$H$102,5,FALSE)-VLOOKUP($A215,main!$A$3:$H$102,6,FALSE)&gt;=main!$D$103+VLOOKUP(VLOOKUP(T$1,main!$A$3:$I$102,7,FALSE),main!$K$26:$Q$29,5,FALSE)),1,0)</f>
        <v>0</v>
      </c>
      <c r="U215">
        <f>IF(AND(VLOOKUP(U$1,main!$A$3:$H$102,7,FALSE)=main!$G$105,VLOOKUP(U$1,main!$A$3:$H$102,5,FALSE)-VLOOKUP($A215,main!$A$3:$H$102,6,FALSE)&gt;=main!$D$103+VLOOKUP(VLOOKUP(U$1,main!$A$3:$I$102,7,FALSE),main!$K$26:$Q$29,5,FALSE)),1,0)</f>
        <v>0</v>
      </c>
      <c r="V215">
        <f>IF(AND(VLOOKUP(V$1,main!$A$3:$H$102,7,FALSE)=main!$G$105,VLOOKUP(V$1,main!$A$3:$H$102,5,FALSE)-VLOOKUP($A215,main!$A$3:$H$102,6,FALSE)&gt;=main!$D$103+VLOOKUP(VLOOKUP(V$1,main!$A$3:$I$102,7,FALSE),main!$K$26:$Q$29,5,FALSE)),1,0)</f>
        <v>0</v>
      </c>
      <c r="W215">
        <f>IF(AND(VLOOKUP(W$1,main!$A$3:$H$102,7,FALSE)=main!$G$105,VLOOKUP(W$1,main!$A$3:$H$102,5,FALSE)-VLOOKUP($A215,main!$A$3:$H$102,6,FALSE)&gt;=main!$D$103+VLOOKUP(VLOOKUP(W$1,main!$A$3:$I$102,7,FALSE),main!$K$26:$Q$29,5,FALSE)),1,0)</f>
        <v>0</v>
      </c>
      <c r="X215">
        <f>IF(AND(VLOOKUP(X$1,main!$A$3:$H$102,7,FALSE)=main!$G$105,VLOOKUP(X$1,main!$A$3:$H$102,5,FALSE)-VLOOKUP($A215,main!$A$3:$H$102,6,FALSE)&gt;=main!$D$103+VLOOKUP(VLOOKUP(X$1,main!$A$3:$I$102,7,FALSE),main!$K$26:$Q$29,5,FALSE)),1,0)</f>
        <v>0</v>
      </c>
      <c r="Y215">
        <f>IF(AND(VLOOKUP(Y$1,main!$A$3:$H$102,7,FALSE)=main!$G$105,VLOOKUP(Y$1,main!$A$3:$H$102,5,FALSE)-VLOOKUP($A215,main!$A$3:$H$102,6,FALSE)&gt;=main!$D$103+VLOOKUP(VLOOKUP(Y$1,main!$A$3:$I$102,7,FALSE),main!$K$26:$Q$29,5,FALSE)),1,0)</f>
        <v>0</v>
      </c>
      <c r="Z215">
        <f>IF(AND(VLOOKUP(Z$1,main!$A$3:$H$102,7,FALSE)=main!$G$105,VLOOKUP(Z$1,main!$A$3:$H$102,5,FALSE)-VLOOKUP($A215,main!$A$3:$H$102,6,FALSE)&gt;=main!$D$103+VLOOKUP(VLOOKUP(Z$1,main!$A$3:$I$102,7,FALSE),main!$K$26:$Q$29,5,FALSE)),1,0)</f>
        <v>0</v>
      </c>
      <c r="AA215">
        <f>IF(AND(VLOOKUP(AA$1,main!$A$3:$H$102,7,FALSE)=main!$G$105,VLOOKUP(AA$1,main!$A$3:$H$102,5,FALSE)-VLOOKUP($A215,main!$A$3:$H$102,6,FALSE)&gt;=main!$D$103+VLOOKUP(VLOOKUP(AA$1,main!$A$3:$I$102,7,FALSE),main!$K$26:$Q$29,5,FALSE)),1,0)</f>
        <v>0</v>
      </c>
      <c r="AB215">
        <f>IF(AND(VLOOKUP(AB$1,main!$A$3:$H$102,7,FALSE)=main!$G$105,VLOOKUP(AB$1,main!$A$3:$H$102,5,FALSE)-VLOOKUP($A215,main!$A$3:$H$102,6,FALSE)&gt;=main!$D$103+VLOOKUP(VLOOKUP(AB$1,main!$A$3:$I$102,7,FALSE),main!$K$26:$Q$29,5,FALSE)),1,0)</f>
        <v>0</v>
      </c>
      <c r="AC215">
        <f>IF(AND(VLOOKUP(AC$1,main!$A$3:$H$102,7,FALSE)=main!$G$105,VLOOKUP(AC$1,main!$A$3:$H$102,5,FALSE)-VLOOKUP($A215,main!$A$3:$H$102,6,FALSE)&gt;=main!$D$103+VLOOKUP(VLOOKUP(AC$1,main!$A$3:$I$102,7,FALSE),main!$K$26:$Q$29,5,FALSE)),1,0)</f>
        <v>0</v>
      </c>
      <c r="AD215">
        <f>IF(AND(VLOOKUP(AD$1,main!$A$3:$H$102,7,FALSE)=main!$G$105,VLOOKUP(AD$1,main!$A$3:$H$102,5,FALSE)-VLOOKUP($A215,main!$A$3:$H$102,6,FALSE)&gt;=main!$D$103+VLOOKUP(VLOOKUP(AD$1,main!$A$3:$I$102,7,FALSE),main!$K$26:$Q$29,5,FALSE)),1,0)</f>
        <v>0</v>
      </c>
      <c r="AE215">
        <f>IF(AND(VLOOKUP(AE$1,main!$A$3:$H$102,7,FALSE)=main!$G$105,VLOOKUP(AE$1,main!$A$3:$H$102,5,FALSE)-VLOOKUP($A215,main!$A$3:$H$102,6,FALSE)&gt;=main!$D$103+VLOOKUP(VLOOKUP(AE$1,main!$A$3:$I$102,7,FALSE),main!$K$26:$Q$29,5,FALSE)),1,0)</f>
        <v>0</v>
      </c>
      <c r="AF215">
        <f>IF(AND(VLOOKUP(AF$1,main!$A$3:$H$102,7,FALSE)=main!$G$105,VLOOKUP(AF$1,main!$A$3:$H$102,5,FALSE)-VLOOKUP($A215,main!$A$3:$H$102,6,FALSE)&gt;=main!$D$103+VLOOKUP(VLOOKUP(AF$1,main!$A$3:$I$102,7,FALSE),main!$K$26:$Q$29,5,FALSE)),1,0)</f>
        <v>0</v>
      </c>
      <c r="AG215">
        <f>IF(AND(VLOOKUP(AG$1,main!$A$3:$H$102,7,FALSE)=main!$G$105,VLOOKUP(AG$1,main!$A$3:$H$102,5,FALSE)-VLOOKUP($A215,main!$A$3:$H$102,6,FALSE)&gt;=main!$D$103+VLOOKUP(VLOOKUP(AG$1,main!$A$3:$I$102,7,FALSE),main!$K$26:$Q$29,5,FALSE)),1,0)</f>
        <v>0</v>
      </c>
      <c r="AH215">
        <f>IF(AND(VLOOKUP(AH$1,main!$A$3:$H$102,7,FALSE)=main!$G$105,VLOOKUP(AH$1,main!$A$3:$H$102,5,FALSE)-VLOOKUP($A215,main!$A$3:$H$102,6,FALSE)&gt;=main!$D$103+VLOOKUP(VLOOKUP(AH$1,main!$A$3:$I$102,7,FALSE),main!$K$26:$Q$29,5,FALSE)),1,0)</f>
        <v>0</v>
      </c>
      <c r="AI215">
        <f>IF(AND(VLOOKUP(AI$1,main!$A$3:$H$102,7,FALSE)=main!$G$105,VLOOKUP(AI$1,main!$A$3:$H$102,5,FALSE)-VLOOKUP($A215,main!$A$3:$H$102,6,FALSE)&gt;=main!$D$103+VLOOKUP(VLOOKUP(AI$1,main!$A$3:$I$102,7,FALSE),main!$K$26:$Q$29,5,FALSE)),1,0)</f>
        <v>0</v>
      </c>
      <c r="AJ215">
        <f>IF(AND(VLOOKUP(AJ$1,main!$A$3:$H$102,7,FALSE)=main!$G$105,VLOOKUP(AJ$1,main!$A$3:$H$102,5,FALSE)-VLOOKUP($A215,main!$A$3:$H$102,6,FALSE)&gt;=main!$D$103+VLOOKUP(VLOOKUP(AJ$1,main!$A$3:$I$102,7,FALSE),main!$K$26:$Q$29,5,FALSE)),1,0)</f>
        <v>1</v>
      </c>
      <c r="AK215">
        <f>IF(AND(VLOOKUP(AK$1,main!$A$3:$H$102,7,FALSE)=main!$G$105,VLOOKUP(AK$1,main!$A$3:$H$102,5,FALSE)-VLOOKUP($A215,main!$A$3:$H$102,6,FALSE)&gt;=main!$D$103+VLOOKUP(VLOOKUP(AK$1,main!$A$3:$I$102,7,FALSE),main!$K$26:$Q$29,5,FALSE)),1,0)</f>
        <v>1</v>
      </c>
      <c r="AL215">
        <f>IF(AND(VLOOKUP(AL$1,main!$A$3:$H$102,7,FALSE)=main!$G$105,VLOOKUP(AL$1,main!$A$3:$H$102,5,FALSE)-VLOOKUP($A215,main!$A$3:$H$102,6,FALSE)&gt;=main!$D$103+VLOOKUP(VLOOKUP(AL$1,main!$A$3:$I$102,7,FALSE),main!$K$26:$Q$29,5,FALSE)),1,0)</f>
        <v>1</v>
      </c>
      <c r="AM215">
        <f>IF(AND(VLOOKUP(AM$1,main!$A$3:$H$102,7,FALSE)=main!$G$105,VLOOKUP(AM$1,main!$A$3:$H$102,5,FALSE)-VLOOKUP($A215,main!$A$3:$H$102,6,FALSE)&gt;=main!$D$103+VLOOKUP(VLOOKUP(AM$1,main!$A$3:$I$102,7,FALSE),main!$K$26:$Q$29,5,FALSE)),1,0)</f>
        <v>1</v>
      </c>
      <c r="AN215">
        <f>IF(AND(VLOOKUP(AN$1,main!$A$3:$H$102,7,FALSE)=main!$G$105,VLOOKUP(AN$1,main!$A$3:$H$102,5,FALSE)-VLOOKUP($A215,main!$A$3:$H$102,6,FALSE)&gt;=main!$D$103+VLOOKUP(VLOOKUP(AN$1,main!$A$3:$I$102,7,FALSE),main!$K$26:$Q$29,5,FALSE)),1,0)</f>
        <v>1</v>
      </c>
      <c r="AO215">
        <f>IF(AND(VLOOKUP(AO$1,main!$A$3:$H$102,7,FALSE)=main!$G$105,VLOOKUP(AO$1,main!$A$3:$H$102,5,FALSE)-VLOOKUP($A215,main!$A$3:$H$102,6,FALSE)&gt;=main!$D$103+VLOOKUP(VLOOKUP(AO$1,main!$A$3:$I$102,7,FALSE),main!$K$26:$Q$29,5,FALSE)),1,0)</f>
        <v>0</v>
      </c>
      <c r="AP215">
        <f>IF(AND(VLOOKUP(AP$1,main!$A$3:$H$102,7,FALSE)=main!$G$105,VLOOKUP(AP$1,main!$A$3:$H$102,5,FALSE)-VLOOKUP($A215,main!$A$3:$H$102,6,FALSE)&gt;=main!$D$103+VLOOKUP(VLOOKUP(AP$1,main!$A$3:$I$102,7,FALSE),main!$K$26:$Q$29,5,FALSE)),1,0)</f>
        <v>1</v>
      </c>
      <c r="AQ215">
        <f>IF(AND(VLOOKUP(AQ$1,main!$A$3:$H$102,7,FALSE)=main!$G$105,VLOOKUP(AQ$1,main!$A$3:$H$102,5,FALSE)-VLOOKUP($A215,main!$A$3:$H$102,6,FALSE)&gt;=main!$D$103+VLOOKUP(VLOOKUP(AQ$1,main!$A$3:$I$102,7,FALSE),main!$K$26:$Q$29,5,FALSE)),1,0)</f>
        <v>0</v>
      </c>
      <c r="AR215">
        <f>IF(AND(VLOOKUP(AR$1,main!$A$3:$H$102,7,FALSE)=main!$G$105,VLOOKUP(AR$1,main!$A$3:$H$102,5,FALSE)-VLOOKUP($A215,main!$A$3:$H$102,6,FALSE)&gt;=main!$D$103+VLOOKUP(VLOOKUP(AR$1,main!$A$3:$I$102,7,FALSE),main!$K$26:$Q$29,5,FALSE)),1,0)</f>
        <v>0</v>
      </c>
      <c r="AS215">
        <f>IF(AND(VLOOKUP(AS$1,main!$A$3:$H$102,7,FALSE)=main!$G$105,VLOOKUP(AS$1,main!$A$3:$H$102,5,FALSE)-VLOOKUP($A215,main!$A$3:$H$102,6,FALSE)&gt;=main!$D$103+VLOOKUP(VLOOKUP(AS$1,main!$A$3:$I$102,7,FALSE),main!$K$26:$Q$29,5,FALSE)),1,0)</f>
        <v>1</v>
      </c>
      <c r="AT215">
        <f>IF(AND(VLOOKUP(AT$1,main!$A$3:$H$102,7,FALSE)=main!$G$105,VLOOKUP(AT$1,main!$A$3:$H$102,5,FALSE)-VLOOKUP($A215,main!$A$3:$H$102,6,FALSE)&gt;=main!$D$103+VLOOKUP(VLOOKUP(AT$1,main!$A$3:$I$102,7,FALSE),main!$K$26:$Q$29,5,FALSE)),1,0)</f>
        <v>1</v>
      </c>
      <c r="AU215">
        <f>IF(AND(VLOOKUP(AU$1,main!$A$3:$H$102,7,FALSE)=main!$G$105,VLOOKUP(AU$1,main!$A$3:$H$102,5,FALSE)-VLOOKUP($A215,main!$A$3:$H$102,6,FALSE)&gt;=main!$D$103+VLOOKUP(VLOOKUP(AU$1,main!$A$3:$I$102,7,FALSE),main!$K$26:$Q$29,5,FALSE)),1,0)</f>
        <v>0</v>
      </c>
      <c r="AV215">
        <f>IF(AND(VLOOKUP(AV$1,main!$A$3:$H$102,7,FALSE)=main!$G$105,VLOOKUP(AV$1,main!$A$3:$H$102,5,FALSE)-VLOOKUP($A215,main!$A$3:$H$102,6,FALSE)&gt;=main!$D$103+VLOOKUP(VLOOKUP(AV$1,main!$A$3:$I$102,7,FALSE),main!$K$26:$Q$29,5,FALSE)),1,0)</f>
        <v>0</v>
      </c>
      <c r="AW215">
        <f>IF(AND(VLOOKUP(AW$1,main!$A$3:$H$102,7,FALSE)=main!$G$105,VLOOKUP(AW$1,main!$A$3:$H$102,5,FALSE)-VLOOKUP($A215,main!$A$3:$H$102,6,FALSE)&gt;=main!$D$103+VLOOKUP(VLOOKUP(AW$1,main!$A$3:$I$102,7,FALSE),main!$K$26:$Q$29,5,FALSE)),1,0)</f>
        <v>1</v>
      </c>
      <c r="AX215">
        <f>IF(AND(VLOOKUP(AX$1,main!$A$3:$H$102,7,FALSE)=main!$G$105,VLOOKUP(AX$1,main!$A$3:$H$102,5,FALSE)-VLOOKUP($A215,main!$A$3:$H$102,6,FALSE)&gt;=main!$D$103+VLOOKUP(VLOOKUP(AX$1,main!$A$3:$I$102,7,FALSE),main!$K$26:$Q$29,5,FALSE)),1,0)</f>
        <v>0</v>
      </c>
      <c r="AY215">
        <f>IF(AND(VLOOKUP(AY$1,main!$A$3:$H$102,7,FALSE)=main!$G$105,VLOOKUP(AY$1,main!$A$3:$H$102,5,FALSE)-VLOOKUP($A215,main!$A$3:$H$102,6,FALSE)&gt;=main!$D$103+VLOOKUP(VLOOKUP(AY$1,main!$A$3:$I$102,7,FALSE),main!$K$26:$Q$29,5,FALSE)),1,0)</f>
        <v>0</v>
      </c>
      <c r="AZ215">
        <f>IF(AND(VLOOKUP(AZ$1,main!$A$3:$H$102,7,FALSE)=main!$G$105,VLOOKUP(AZ$1,main!$A$3:$H$102,5,FALSE)-VLOOKUP($A215,main!$A$3:$H$102,6,FALSE)&gt;=main!$D$103+VLOOKUP(VLOOKUP(AZ$1,main!$A$3:$I$102,7,FALSE),main!$K$26:$Q$29,5,FALSE)),1,0)</f>
        <v>0</v>
      </c>
      <c r="BA215">
        <f>IF(AND(VLOOKUP(BA$1,main!$A$3:$H$102,7,FALSE)=main!$G$105,VLOOKUP(BA$1,main!$A$3:$H$102,5,FALSE)-VLOOKUP($A215,main!$A$3:$H$102,6,FALSE)&gt;=main!$D$103+VLOOKUP(VLOOKUP(BA$1,main!$A$3:$I$102,7,FALSE),main!$K$26:$Q$29,5,FALSE)),1,0)</f>
        <v>0</v>
      </c>
      <c r="BB215">
        <f>IF(AND(VLOOKUP(BB$1,main!$A$3:$H$102,7,FALSE)=main!$G$105,VLOOKUP(BB$1,main!$A$3:$H$102,5,FALSE)-VLOOKUP($A215,main!$A$3:$H$102,6,FALSE)&gt;=main!$D$103+VLOOKUP(VLOOKUP(BB$1,main!$A$3:$I$102,7,FALSE),main!$K$26:$Q$29,5,FALSE)),1,0)</f>
        <v>0</v>
      </c>
      <c r="BC215">
        <f>IF(AND(VLOOKUP(BC$1,main!$A$3:$H$102,7,FALSE)=main!$G$105,VLOOKUP(BC$1,main!$A$3:$H$102,5,FALSE)-VLOOKUP($A215,main!$A$3:$H$102,6,FALSE)&gt;=main!$D$103+VLOOKUP(VLOOKUP(BC$1,main!$A$3:$I$102,7,FALSE),main!$K$26:$Q$29,5,FALSE)),1,0)</f>
        <v>0</v>
      </c>
      <c r="BD215">
        <f>IF(AND(VLOOKUP(BD$1,main!$A$3:$H$102,7,FALSE)=main!$G$105,VLOOKUP(BD$1,main!$A$3:$H$102,5,FALSE)-VLOOKUP($A215,main!$A$3:$H$102,6,FALSE)&gt;=main!$D$103+VLOOKUP(VLOOKUP(BD$1,main!$A$3:$I$102,7,FALSE),main!$K$26:$Q$29,5,FALSE)),1,0)</f>
        <v>0</v>
      </c>
      <c r="BE215">
        <f>IF(AND(VLOOKUP(BE$1,main!$A$3:$H$102,7,FALSE)=main!$G$105,VLOOKUP(BE$1,main!$A$3:$H$102,5,FALSE)-VLOOKUP($A215,main!$A$3:$H$102,6,FALSE)&gt;=main!$D$103+VLOOKUP(VLOOKUP(BE$1,main!$A$3:$I$102,7,FALSE),main!$K$26:$Q$29,5,FALSE)),1,0)</f>
        <v>0</v>
      </c>
      <c r="BF215">
        <f>IF(AND(VLOOKUP(BF$1,main!$A$3:$H$102,7,FALSE)=main!$G$105,VLOOKUP(BF$1,main!$A$3:$H$102,5,FALSE)-VLOOKUP($A215,main!$A$3:$H$102,6,FALSE)&gt;=main!$D$103+VLOOKUP(VLOOKUP(BF$1,main!$A$3:$I$102,7,FALSE),main!$K$26:$Q$29,5,FALSE)),1,0)</f>
        <v>0</v>
      </c>
      <c r="BG215">
        <f>IF(AND(VLOOKUP(BG$1,main!$A$3:$H$102,7,FALSE)=main!$G$105,VLOOKUP(BG$1,main!$A$3:$H$102,5,FALSE)-VLOOKUP($A215,main!$A$3:$H$102,6,FALSE)&gt;=main!$D$103+VLOOKUP(VLOOKUP(BG$1,main!$A$3:$I$102,7,FALSE),main!$K$26:$Q$29,5,FALSE)),1,0)</f>
        <v>0</v>
      </c>
      <c r="BH215">
        <f>IF(AND(VLOOKUP(BH$1,main!$A$3:$H$102,7,FALSE)=main!$G$105,VLOOKUP(BH$1,main!$A$3:$H$102,5,FALSE)-VLOOKUP($A215,main!$A$3:$H$102,6,FALSE)&gt;=main!$D$103+VLOOKUP(VLOOKUP(BH$1,main!$A$3:$I$102,7,FALSE),main!$K$26:$Q$29,5,FALSE)),1,0)</f>
        <v>0</v>
      </c>
      <c r="BI215">
        <f>IF(AND(VLOOKUP(BI$1,main!$A$3:$H$102,7,FALSE)=main!$G$105,VLOOKUP(BI$1,main!$A$3:$H$102,5,FALSE)-VLOOKUP($A215,main!$A$3:$H$102,6,FALSE)&gt;=main!$D$103+VLOOKUP(VLOOKUP(BI$1,main!$A$3:$I$102,7,FALSE),main!$K$26:$Q$29,5,FALSE)),1,0)</f>
        <v>0</v>
      </c>
      <c r="BJ215">
        <f>IF(AND(VLOOKUP(BJ$1,main!$A$3:$H$102,7,FALSE)=main!$G$105,VLOOKUP(BJ$1,main!$A$3:$H$102,5,FALSE)-VLOOKUP($A215,main!$A$3:$H$102,6,FALSE)&gt;=main!$D$103+VLOOKUP(VLOOKUP(BJ$1,main!$A$3:$I$102,7,FALSE),main!$K$26:$Q$29,5,FALSE)),1,0)</f>
        <v>0</v>
      </c>
      <c r="BK215">
        <f>IF(AND(VLOOKUP(BK$1,main!$A$3:$H$102,7,FALSE)=main!$G$105,VLOOKUP(BK$1,main!$A$3:$H$102,5,FALSE)-VLOOKUP($A215,main!$A$3:$H$102,6,FALSE)&gt;=main!$D$103+VLOOKUP(VLOOKUP(BK$1,main!$A$3:$I$102,7,FALSE),main!$K$26:$Q$29,5,FALSE)),1,0)</f>
        <v>0</v>
      </c>
      <c r="BL215">
        <f>IF(AND(VLOOKUP(BL$1,main!$A$3:$H$102,7,FALSE)=main!$G$105,VLOOKUP(BL$1,main!$A$3:$H$102,5,FALSE)-VLOOKUP($A215,main!$A$3:$H$102,6,FALSE)&gt;=main!$D$103+VLOOKUP(VLOOKUP(BL$1,main!$A$3:$I$102,7,FALSE),main!$K$26:$Q$29,5,FALSE)),1,0)</f>
        <v>0</v>
      </c>
      <c r="BM215">
        <f>IF(AND(VLOOKUP(BM$1,main!$A$3:$H$102,7,FALSE)=main!$G$105,VLOOKUP(BM$1,main!$A$3:$H$102,5,FALSE)-VLOOKUP($A215,main!$A$3:$H$102,6,FALSE)&gt;=main!$D$103+VLOOKUP(VLOOKUP(BM$1,main!$A$3:$I$102,7,FALSE),main!$K$26:$Q$29,5,FALSE)),1,0)</f>
        <v>0</v>
      </c>
      <c r="BN215">
        <f>IF(AND(VLOOKUP(BN$1,main!$A$3:$H$102,7,FALSE)=main!$G$105,VLOOKUP(BN$1,main!$A$3:$H$102,5,FALSE)-VLOOKUP($A215,main!$A$3:$H$102,6,FALSE)&gt;=main!$D$103+VLOOKUP(VLOOKUP(BN$1,main!$A$3:$I$102,7,FALSE),main!$K$26:$Q$29,5,FALSE)),1,0)</f>
        <v>0</v>
      </c>
      <c r="BO215">
        <f>IF(AND(VLOOKUP(BO$1,main!$A$3:$H$102,7,FALSE)=main!$G$105,VLOOKUP(BO$1,main!$A$3:$H$102,5,FALSE)-VLOOKUP($A215,main!$A$3:$H$102,6,FALSE)&gt;=main!$D$103+VLOOKUP(VLOOKUP(BO$1,main!$A$3:$I$102,7,FALSE),main!$K$26:$Q$29,5,FALSE)),1,0)</f>
        <v>0</v>
      </c>
      <c r="BP215">
        <f>IF(AND(VLOOKUP(BP$1,main!$A$3:$H$102,7,FALSE)=main!$G$105,VLOOKUP(BP$1,main!$A$3:$H$102,5,FALSE)-VLOOKUP($A215,main!$A$3:$H$102,6,FALSE)&gt;=main!$D$103+VLOOKUP(VLOOKUP(BP$1,main!$A$3:$I$102,7,FALSE),main!$K$26:$Q$29,5,FALSE)),1,0)</f>
        <v>0</v>
      </c>
      <c r="BQ215">
        <f>IF(AND(VLOOKUP(BQ$1,main!$A$3:$H$102,7,FALSE)=main!$G$105,VLOOKUP(BQ$1,main!$A$3:$H$102,5,FALSE)-VLOOKUP($A215,main!$A$3:$H$102,6,FALSE)&gt;=main!$D$103+VLOOKUP(VLOOKUP(BQ$1,main!$A$3:$I$102,7,FALSE),main!$K$26:$Q$29,5,FALSE)),1,0)</f>
        <v>0</v>
      </c>
      <c r="BR215">
        <f>IF(AND(VLOOKUP(BR$1,main!$A$3:$H$102,7,FALSE)=main!$G$105,VLOOKUP(BR$1,main!$A$3:$H$102,5,FALSE)-VLOOKUP($A215,main!$A$3:$H$102,6,FALSE)&gt;=main!$D$103+VLOOKUP(VLOOKUP(BR$1,main!$A$3:$I$102,7,FALSE),main!$K$26:$Q$29,5,FALSE)),1,0)</f>
        <v>0</v>
      </c>
      <c r="BS215">
        <f>IF(AND(VLOOKUP(BS$1,main!$A$3:$H$102,7,FALSE)=main!$G$105,VLOOKUP(BS$1,main!$A$3:$H$102,5,FALSE)-VLOOKUP($A215,main!$A$3:$H$102,6,FALSE)&gt;=main!$D$103+VLOOKUP(VLOOKUP(BS$1,main!$A$3:$I$102,7,FALSE),main!$K$26:$Q$29,5,FALSE)),1,0)</f>
        <v>0</v>
      </c>
      <c r="BT215">
        <f>IF(AND(VLOOKUP(BT$1,main!$A$3:$H$102,7,FALSE)=main!$G$105,VLOOKUP(BT$1,main!$A$3:$H$102,5,FALSE)-VLOOKUP($A215,main!$A$3:$H$102,6,FALSE)&gt;=main!$D$103+VLOOKUP(VLOOKUP(BT$1,main!$A$3:$I$102,7,FALSE),main!$K$26:$Q$29,5,FALSE)),1,0)</f>
        <v>0</v>
      </c>
      <c r="BU215">
        <f>IF(AND(VLOOKUP(BU$1,main!$A$3:$H$102,7,FALSE)=main!$G$105,VLOOKUP(BU$1,main!$A$3:$H$102,5,FALSE)-VLOOKUP($A215,main!$A$3:$H$102,6,FALSE)&gt;=main!$D$103+VLOOKUP(VLOOKUP(BU$1,main!$A$3:$I$102,7,FALSE),main!$K$26:$Q$29,5,FALSE)),1,0)</f>
        <v>0</v>
      </c>
      <c r="BV215">
        <f>IF(AND(VLOOKUP(BV$1,main!$A$3:$H$102,7,FALSE)=main!$G$105,VLOOKUP(BV$1,main!$A$3:$H$102,5,FALSE)-VLOOKUP($A215,main!$A$3:$H$102,6,FALSE)&gt;=main!$D$103+VLOOKUP(VLOOKUP(BV$1,main!$A$3:$I$102,7,FALSE),main!$K$26:$Q$29,5,FALSE)),1,0)</f>
        <v>0</v>
      </c>
      <c r="BW215">
        <f>IF(AND(VLOOKUP(BW$1,main!$A$3:$H$102,7,FALSE)=main!$G$105,VLOOKUP(BW$1,main!$A$3:$H$102,5,FALSE)-VLOOKUP($A215,main!$A$3:$H$102,6,FALSE)&gt;=main!$D$103+VLOOKUP(VLOOKUP(BW$1,main!$A$3:$I$102,7,FALSE),main!$K$26:$Q$29,5,FALSE)),1,0)</f>
        <v>0</v>
      </c>
      <c r="BX215">
        <f>IF(AND(VLOOKUP(BX$1,main!$A$3:$H$102,7,FALSE)=main!$G$105,VLOOKUP(BX$1,main!$A$3:$H$102,5,FALSE)-VLOOKUP($A215,main!$A$3:$H$102,6,FALSE)&gt;=main!$D$103+VLOOKUP(VLOOKUP(BX$1,main!$A$3:$I$102,7,FALSE),main!$K$26:$Q$29,5,FALSE)),1,0)</f>
        <v>0</v>
      </c>
      <c r="BY215">
        <f>IF(AND(VLOOKUP(BY$1,main!$A$3:$H$102,7,FALSE)=main!$G$105,VLOOKUP(BY$1,main!$A$3:$H$102,5,FALSE)-VLOOKUP($A215,main!$A$3:$H$102,6,FALSE)&gt;=main!$D$103+VLOOKUP(VLOOKUP(BY$1,main!$A$3:$I$102,7,FALSE),main!$K$26:$Q$29,5,FALSE)),1,0)</f>
        <v>0</v>
      </c>
      <c r="BZ215">
        <f>IF(AND(VLOOKUP(BZ$1,main!$A$3:$H$102,7,FALSE)=main!$G$105,VLOOKUP(BZ$1,main!$A$3:$H$102,5,FALSE)-VLOOKUP($A215,main!$A$3:$H$102,6,FALSE)&gt;=main!$D$103+VLOOKUP(VLOOKUP(BZ$1,main!$A$3:$I$102,7,FALSE),main!$K$26:$Q$29,5,FALSE)),1,0)</f>
        <v>0</v>
      </c>
      <c r="CA215">
        <f>IF(AND(VLOOKUP(CA$1,main!$A$3:$H$102,7,FALSE)=main!$G$105,VLOOKUP(CA$1,main!$A$3:$H$102,5,FALSE)-VLOOKUP($A215,main!$A$3:$H$102,6,FALSE)&gt;=main!$D$103+VLOOKUP(VLOOKUP(CA$1,main!$A$3:$I$102,7,FALSE),main!$K$26:$Q$29,5,FALSE)),1,0)</f>
        <v>0</v>
      </c>
      <c r="CB215">
        <f>IF(AND(VLOOKUP(CB$1,main!$A$3:$H$102,7,FALSE)=main!$G$105,VLOOKUP(CB$1,main!$A$3:$H$102,5,FALSE)-VLOOKUP($A215,main!$A$3:$H$102,6,FALSE)&gt;=main!$D$103+VLOOKUP(VLOOKUP(CB$1,main!$A$3:$I$102,7,FALSE),main!$K$26:$Q$29,5,FALSE)),1,0)</f>
        <v>0</v>
      </c>
      <c r="CC215">
        <f>IF(AND(VLOOKUP(CC$1,main!$A$3:$H$102,7,FALSE)=main!$G$105,VLOOKUP(CC$1,main!$A$3:$H$102,5,FALSE)-VLOOKUP($A215,main!$A$3:$H$102,6,FALSE)&gt;=main!$D$103+VLOOKUP(VLOOKUP(CC$1,main!$A$3:$I$102,7,FALSE),main!$K$26:$Q$29,5,FALSE)),1,0)</f>
        <v>0</v>
      </c>
      <c r="CD215">
        <f>IF(AND(VLOOKUP(CD$1,main!$A$3:$H$102,7,FALSE)=main!$G$105,VLOOKUP(CD$1,main!$A$3:$H$102,5,FALSE)-VLOOKUP($A215,main!$A$3:$H$102,6,FALSE)&gt;=main!$D$103+VLOOKUP(VLOOKUP(CD$1,main!$A$3:$I$102,7,FALSE),main!$K$26:$Q$29,5,FALSE)),1,0)</f>
        <v>0</v>
      </c>
      <c r="CE215">
        <f>IF(AND(VLOOKUP(CE$1,main!$A$3:$H$102,7,FALSE)=main!$G$105,VLOOKUP(CE$1,main!$A$3:$H$102,5,FALSE)-VLOOKUP($A215,main!$A$3:$H$102,6,FALSE)&gt;=main!$D$103+VLOOKUP(VLOOKUP(CE$1,main!$A$3:$I$102,7,FALSE),main!$K$26:$Q$29,5,FALSE)),1,0)</f>
        <v>0</v>
      </c>
      <c r="CF215">
        <f>IF(AND(VLOOKUP(CF$1,main!$A$3:$H$102,7,FALSE)=main!$G$105,VLOOKUP(CF$1,main!$A$3:$H$102,5,FALSE)-VLOOKUP($A215,main!$A$3:$H$102,6,FALSE)&gt;=main!$D$103+VLOOKUP(VLOOKUP(CF$1,main!$A$3:$I$102,7,FALSE),main!$K$26:$Q$29,5,FALSE)),1,0)</f>
        <v>0</v>
      </c>
      <c r="CG215">
        <f>IF(AND(VLOOKUP(CG$1,main!$A$3:$H$102,7,FALSE)=main!$G$105,VLOOKUP(CG$1,main!$A$3:$H$102,5,FALSE)-VLOOKUP($A215,main!$A$3:$H$102,6,FALSE)&gt;=main!$D$103+VLOOKUP(VLOOKUP(CG$1,main!$A$3:$I$102,7,FALSE),main!$K$26:$Q$29,5,FALSE)),1,0)</f>
        <v>0</v>
      </c>
      <c r="CH215">
        <f>IF(AND(VLOOKUP(CH$1,main!$A$3:$H$102,7,FALSE)=main!$G$105,VLOOKUP(CH$1,main!$A$3:$H$102,5,FALSE)-VLOOKUP($A215,main!$A$3:$H$102,6,FALSE)&gt;=main!$D$103+VLOOKUP(VLOOKUP(CH$1,main!$A$3:$I$102,7,FALSE),main!$K$26:$Q$29,5,FALSE)),1,0)</f>
        <v>0</v>
      </c>
      <c r="CI215">
        <f>IF(AND(VLOOKUP(CI$1,main!$A$3:$H$102,7,FALSE)=main!$G$105,VLOOKUP(CI$1,main!$A$3:$H$102,5,FALSE)-VLOOKUP($A215,main!$A$3:$H$102,6,FALSE)&gt;=main!$D$103+VLOOKUP(VLOOKUP(CI$1,main!$A$3:$I$102,7,FALSE),main!$K$26:$Q$29,5,FALSE)),1,0)</f>
        <v>0</v>
      </c>
      <c r="CJ215">
        <f>IF(AND(VLOOKUP(CJ$1,main!$A$3:$H$102,7,FALSE)=main!$G$105,VLOOKUP(CJ$1,main!$A$3:$H$102,5,FALSE)-VLOOKUP($A215,main!$A$3:$H$102,6,FALSE)&gt;=main!$D$103+VLOOKUP(VLOOKUP(CJ$1,main!$A$3:$I$102,7,FALSE),main!$K$26:$Q$29,5,FALSE)),1,0)</f>
        <v>0</v>
      </c>
      <c r="CK215">
        <f>IF(AND(VLOOKUP(CK$1,main!$A$3:$H$102,7,FALSE)=main!$G$105,VLOOKUP(CK$1,main!$A$3:$H$102,5,FALSE)-VLOOKUP($A215,main!$A$3:$H$102,6,FALSE)&gt;=main!$D$103+VLOOKUP(VLOOKUP(CK$1,main!$A$3:$I$102,7,FALSE),main!$K$26:$Q$29,5,FALSE)),1,0)</f>
        <v>0</v>
      </c>
      <c r="CL215">
        <f>IF(AND(VLOOKUP(CL$1,main!$A$3:$H$102,7,FALSE)=main!$G$105,VLOOKUP(CL$1,main!$A$3:$H$102,5,FALSE)-VLOOKUP($A215,main!$A$3:$H$102,6,FALSE)&gt;=main!$D$103+VLOOKUP(VLOOKUP(CL$1,main!$A$3:$I$102,7,FALSE),main!$K$26:$Q$29,5,FALSE)),1,0)</f>
        <v>0</v>
      </c>
      <c r="CM215">
        <f>IF(AND(VLOOKUP(CM$1,main!$A$3:$H$102,7,FALSE)=main!$G$105,VLOOKUP(CM$1,main!$A$3:$H$102,5,FALSE)-VLOOKUP($A215,main!$A$3:$H$102,6,FALSE)&gt;=main!$D$103+VLOOKUP(VLOOKUP(CM$1,main!$A$3:$I$102,7,FALSE),main!$K$26:$Q$29,5,FALSE)),1,0)</f>
        <v>0</v>
      </c>
      <c r="CN215">
        <f>IF(AND(VLOOKUP(CN$1,main!$A$3:$H$102,7,FALSE)=main!$G$105,VLOOKUP(CN$1,main!$A$3:$H$102,5,FALSE)-VLOOKUP($A215,main!$A$3:$H$102,6,FALSE)&gt;=main!$D$103+VLOOKUP(VLOOKUP(CN$1,main!$A$3:$I$102,7,FALSE),main!$K$26:$Q$29,5,FALSE)),1,0)</f>
        <v>0</v>
      </c>
      <c r="CO215">
        <f>IF(AND(VLOOKUP(CO$1,main!$A$3:$H$102,7,FALSE)=main!$G$105,VLOOKUP(CO$1,main!$A$3:$H$102,5,FALSE)-VLOOKUP($A215,main!$A$3:$H$102,6,FALSE)&gt;=main!$D$103+VLOOKUP(VLOOKUP(CO$1,main!$A$3:$I$102,7,FALSE),main!$K$26:$Q$29,5,FALSE)),1,0)</f>
        <v>0</v>
      </c>
      <c r="CP215">
        <f>IF(AND(VLOOKUP(CP$1,main!$A$3:$H$102,7,FALSE)=main!$G$105,VLOOKUP(CP$1,main!$A$3:$H$102,5,FALSE)-VLOOKUP($A215,main!$A$3:$H$102,6,FALSE)&gt;=main!$D$103+VLOOKUP(VLOOKUP(CP$1,main!$A$3:$I$102,7,FALSE),main!$K$26:$Q$29,5,FALSE)),1,0)</f>
        <v>0</v>
      </c>
      <c r="CQ215">
        <f>IF(AND(VLOOKUP(CQ$1,main!$A$3:$H$102,7,FALSE)=main!$G$105,VLOOKUP(CQ$1,main!$A$3:$H$102,5,FALSE)-VLOOKUP($A215,main!$A$3:$H$102,6,FALSE)&gt;=main!$D$103+VLOOKUP(VLOOKUP(CQ$1,main!$A$3:$I$102,7,FALSE),main!$K$26:$Q$29,5,FALSE)),1,0)</f>
        <v>0</v>
      </c>
      <c r="CR215">
        <f>IF(AND(VLOOKUP(CR$1,main!$A$3:$H$102,7,FALSE)=main!$G$105,VLOOKUP(CR$1,main!$A$3:$H$102,5,FALSE)-VLOOKUP($A215,main!$A$3:$H$102,6,FALSE)&gt;=main!$D$103+VLOOKUP(VLOOKUP(CR$1,main!$A$3:$I$102,7,FALSE),main!$K$26:$Q$29,5,FALSE)),1,0)</f>
        <v>0</v>
      </c>
      <c r="CS215">
        <f>IF(AND(VLOOKUP(CS$1,main!$A$3:$H$102,7,FALSE)=main!$G$105,VLOOKUP(CS$1,main!$A$3:$H$102,5,FALSE)-VLOOKUP($A215,main!$A$3:$H$102,6,FALSE)&gt;=main!$D$103+VLOOKUP(VLOOKUP(CS$1,main!$A$3:$I$102,7,FALSE),main!$K$26:$Q$29,5,FALSE)),1,0)</f>
        <v>0</v>
      </c>
      <c r="CT215">
        <f>IF(AND(VLOOKUP(CT$1,main!$A$3:$H$102,7,FALSE)=main!$G$105,VLOOKUP(CT$1,main!$A$3:$H$102,5,FALSE)-VLOOKUP($A215,main!$A$3:$H$102,6,FALSE)&gt;=main!$D$103+VLOOKUP(VLOOKUP(CT$1,main!$A$3:$I$102,7,FALSE),main!$K$26:$Q$29,5,FALSE)),1,0)</f>
        <v>0</v>
      </c>
      <c r="CU215">
        <f>IF(AND(VLOOKUP(CU$1,main!$A$3:$H$102,7,FALSE)=main!$G$105,VLOOKUP(CU$1,main!$A$3:$H$102,5,FALSE)-VLOOKUP($A215,main!$A$3:$H$102,6,FALSE)&gt;=main!$D$103+VLOOKUP(VLOOKUP(CU$1,main!$A$3:$I$102,7,FALSE),main!$K$26:$Q$29,5,FALSE)),1,0)</f>
        <v>0</v>
      </c>
      <c r="CV215">
        <f>IF(AND(VLOOKUP(CV$1,main!$A$3:$H$102,7,FALSE)=main!$G$105,VLOOKUP(CV$1,main!$A$3:$H$102,5,FALSE)-VLOOKUP($A215,main!$A$3:$H$102,6,FALSE)&gt;=main!$D$103+VLOOKUP(VLOOKUP(CV$1,main!$A$3:$I$102,7,FALSE),main!$K$26:$Q$29,5,FALSE)),1,0)</f>
        <v>0</v>
      </c>
      <c r="CW215">
        <f>IF(AND(VLOOKUP(CW$1,main!$A$3:$H$102,7,FALSE)=main!$G$105,VLOOKUP(CW$1,main!$A$3:$H$102,5,FALSE)-VLOOKUP($A215,main!$A$3:$H$102,6,FALSE)&gt;=main!$D$103+VLOOKUP(VLOOKUP(CW$1,main!$A$3:$I$102,7,FALSE),main!$K$26:$Q$29,5,FALSE)),1,0)</f>
        <v>0</v>
      </c>
      <c r="CX215">
        <f>IF(AND(VLOOKUP(CX$1,main!$A$3:$H$102,7,FALSE)=main!$G$105,VLOOKUP(CX$1,main!$A$3:$H$102,5,FALSE)-VLOOKUP($A215,main!$A$3:$H$102,6,FALSE)&gt;=main!$D$103+VLOOKUP(VLOOKUP(CX$1,main!$A$3:$I$102,7,FALSE),main!$K$26:$Q$29,5,FALSE)),1,0)</f>
        <v>0</v>
      </c>
    </row>
    <row r="216" spans="1:102" x14ac:dyDescent="0.25">
      <c r="A216" s="1">
        <v>12</v>
      </c>
      <c r="B216">
        <v>0</v>
      </c>
      <c r="C216">
        <f>IF(AND(VLOOKUP(C$1,main!$A$3:$H$102,7,FALSE)=main!$G$105,VLOOKUP(C$1,main!$A$3:$H$102,5,FALSE)-VLOOKUP($A216,main!$A$3:$H$102,6,FALSE)&gt;=main!$D$103+VLOOKUP(VLOOKUP(C$1,main!$A$3:$I$102,7,FALSE),main!$K$26:$Q$29,5,FALSE)),1,0)</f>
        <v>0</v>
      </c>
      <c r="D216">
        <f>IF(AND(VLOOKUP(D$1,main!$A$3:$H$102,7,FALSE)=main!$G$105,VLOOKUP(D$1,main!$A$3:$H$102,5,FALSE)-VLOOKUP($A216,main!$A$3:$H$102,6,FALSE)&gt;=main!$D$103+VLOOKUP(VLOOKUP(D$1,main!$A$3:$I$102,7,FALSE),main!$K$26:$Q$29,5,FALSE)),1,0)</f>
        <v>0</v>
      </c>
      <c r="E216">
        <f>IF(AND(VLOOKUP(E$1,main!$A$3:$H$102,7,FALSE)=main!$G$105,VLOOKUP(E$1,main!$A$3:$H$102,5,FALSE)-VLOOKUP($A216,main!$A$3:$H$102,6,FALSE)&gt;=main!$D$103+VLOOKUP(VLOOKUP(E$1,main!$A$3:$I$102,7,FALSE),main!$K$26:$Q$29,5,FALSE)),1,0)</f>
        <v>0</v>
      </c>
      <c r="F216">
        <f>IF(AND(VLOOKUP(F$1,main!$A$3:$H$102,7,FALSE)=main!$G$105,VLOOKUP(F$1,main!$A$3:$H$102,5,FALSE)-VLOOKUP($A216,main!$A$3:$H$102,6,FALSE)&gt;=main!$D$103+VLOOKUP(VLOOKUP(F$1,main!$A$3:$I$102,7,FALSE),main!$K$26:$Q$29,5,FALSE)),1,0)</f>
        <v>0</v>
      </c>
      <c r="G216">
        <f>IF(AND(VLOOKUP(G$1,main!$A$3:$H$102,7,FALSE)=main!$G$105,VLOOKUP(G$1,main!$A$3:$H$102,5,FALSE)-VLOOKUP($A216,main!$A$3:$H$102,6,FALSE)&gt;=main!$D$103+VLOOKUP(VLOOKUP(G$1,main!$A$3:$I$102,7,FALSE),main!$K$26:$Q$29,5,FALSE)),1,0)</f>
        <v>0</v>
      </c>
      <c r="H216">
        <f>IF(AND(VLOOKUP(H$1,main!$A$3:$H$102,7,FALSE)=main!$G$105,VLOOKUP(H$1,main!$A$3:$H$102,5,FALSE)-VLOOKUP($A216,main!$A$3:$H$102,6,FALSE)&gt;=main!$D$103+VLOOKUP(VLOOKUP(H$1,main!$A$3:$I$102,7,FALSE),main!$K$26:$Q$29,5,FALSE)),1,0)</f>
        <v>0</v>
      </c>
      <c r="I216">
        <f>IF(AND(VLOOKUP(I$1,main!$A$3:$H$102,7,FALSE)=main!$G$105,VLOOKUP(I$1,main!$A$3:$H$102,5,FALSE)-VLOOKUP($A216,main!$A$3:$H$102,6,FALSE)&gt;=main!$D$103+VLOOKUP(VLOOKUP(I$1,main!$A$3:$I$102,7,FALSE),main!$K$26:$Q$29,5,FALSE)),1,0)</f>
        <v>0</v>
      </c>
      <c r="J216">
        <f>IF(AND(VLOOKUP(J$1,main!$A$3:$H$102,7,FALSE)=main!$G$105,VLOOKUP(J$1,main!$A$3:$H$102,5,FALSE)-VLOOKUP($A216,main!$A$3:$H$102,6,FALSE)&gt;=main!$D$103+VLOOKUP(VLOOKUP(J$1,main!$A$3:$I$102,7,FALSE),main!$K$26:$Q$29,5,FALSE)),1,0)</f>
        <v>0</v>
      </c>
      <c r="K216">
        <f>IF(AND(VLOOKUP(K$1,main!$A$3:$H$102,7,FALSE)=main!$G$105,VLOOKUP(K$1,main!$A$3:$H$102,5,FALSE)-VLOOKUP($A216,main!$A$3:$H$102,6,FALSE)&gt;=main!$D$103+VLOOKUP(VLOOKUP(K$1,main!$A$3:$I$102,7,FALSE),main!$K$26:$Q$29,5,FALSE)),1,0)</f>
        <v>0</v>
      </c>
      <c r="L216">
        <f>IF(AND(VLOOKUP(L$1,main!$A$3:$H$102,7,FALSE)=main!$G$105,VLOOKUP(L$1,main!$A$3:$H$102,5,FALSE)-VLOOKUP($A216,main!$A$3:$H$102,6,FALSE)&gt;=main!$D$103+VLOOKUP(VLOOKUP(L$1,main!$A$3:$I$102,7,FALSE),main!$K$26:$Q$29,5,FALSE)),1,0)</f>
        <v>0</v>
      </c>
      <c r="M216">
        <f>IF(AND(VLOOKUP(M$1,main!$A$3:$H$102,7,FALSE)=main!$G$105,VLOOKUP(M$1,main!$A$3:$H$102,5,FALSE)-VLOOKUP($A216,main!$A$3:$H$102,6,FALSE)&gt;=main!$D$103+VLOOKUP(VLOOKUP(M$1,main!$A$3:$I$102,7,FALSE),main!$K$26:$Q$29,5,FALSE)),1,0)</f>
        <v>0</v>
      </c>
      <c r="N216">
        <f>IF(AND(VLOOKUP(N$1,main!$A$3:$H$102,7,FALSE)=main!$G$105,VLOOKUP(N$1,main!$A$3:$H$102,5,FALSE)-VLOOKUP($A216,main!$A$3:$H$102,6,FALSE)&gt;=main!$D$103+VLOOKUP(VLOOKUP(N$1,main!$A$3:$I$102,7,FALSE),main!$K$26:$Q$29,5,FALSE)),1,0)</f>
        <v>0</v>
      </c>
      <c r="O216">
        <f>IF(AND(VLOOKUP(O$1,main!$A$3:$H$102,7,FALSE)=main!$G$105,VLOOKUP(O$1,main!$A$3:$H$102,5,FALSE)-VLOOKUP($A216,main!$A$3:$H$102,6,FALSE)&gt;=main!$D$103+VLOOKUP(VLOOKUP(O$1,main!$A$3:$I$102,7,FALSE),main!$K$26:$Q$29,5,FALSE)),1,0)</f>
        <v>0</v>
      </c>
      <c r="P216">
        <f>IF(AND(VLOOKUP(P$1,main!$A$3:$H$102,7,FALSE)=main!$G$105,VLOOKUP(P$1,main!$A$3:$H$102,5,FALSE)-VLOOKUP($A216,main!$A$3:$H$102,6,FALSE)&gt;=main!$D$103+VLOOKUP(VLOOKUP(P$1,main!$A$3:$I$102,7,FALSE),main!$K$26:$Q$29,5,FALSE)),1,0)</f>
        <v>0</v>
      </c>
      <c r="Q216">
        <f>IF(AND(VLOOKUP(Q$1,main!$A$3:$H$102,7,FALSE)=main!$G$105,VLOOKUP(Q$1,main!$A$3:$H$102,5,FALSE)-VLOOKUP($A216,main!$A$3:$H$102,6,FALSE)&gt;=main!$D$103+VLOOKUP(VLOOKUP(Q$1,main!$A$3:$I$102,7,FALSE),main!$K$26:$Q$29,5,FALSE)),1,0)</f>
        <v>0</v>
      </c>
      <c r="R216">
        <f>IF(AND(VLOOKUP(R$1,main!$A$3:$H$102,7,FALSE)=main!$G$105,VLOOKUP(R$1,main!$A$3:$H$102,5,FALSE)-VLOOKUP($A216,main!$A$3:$H$102,6,FALSE)&gt;=main!$D$103+VLOOKUP(VLOOKUP(R$1,main!$A$3:$I$102,7,FALSE),main!$K$26:$Q$29,5,FALSE)),1,0)</f>
        <v>0</v>
      </c>
      <c r="S216">
        <f>IF(AND(VLOOKUP(S$1,main!$A$3:$H$102,7,FALSE)=main!$G$105,VLOOKUP(S$1,main!$A$3:$H$102,5,FALSE)-VLOOKUP($A216,main!$A$3:$H$102,6,FALSE)&gt;=main!$D$103+VLOOKUP(VLOOKUP(S$1,main!$A$3:$I$102,7,FALSE),main!$K$26:$Q$29,5,FALSE)),1,0)</f>
        <v>0</v>
      </c>
      <c r="T216">
        <f>IF(AND(VLOOKUP(T$1,main!$A$3:$H$102,7,FALSE)=main!$G$105,VLOOKUP(T$1,main!$A$3:$H$102,5,FALSE)-VLOOKUP($A216,main!$A$3:$H$102,6,FALSE)&gt;=main!$D$103+VLOOKUP(VLOOKUP(T$1,main!$A$3:$I$102,7,FALSE),main!$K$26:$Q$29,5,FALSE)),1,0)</f>
        <v>0</v>
      </c>
      <c r="U216">
        <f>IF(AND(VLOOKUP(U$1,main!$A$3:$H$102,7,FALSE)=main!$G$105,VLOOKUP(U$1,main!$A$3:$H$102,5,FALSE)-VLOOKUP($A216,main!$A$3:$H$102,6,FALSE)&gt;=main!$D$103+VLOOKUP(VLOOKUP(U$1,main!$A$3:$I$102,7,FALSE),main!$K$26:$Q$29,5,FALSE)),1,0)</f>
        <v>0</v>
      </c>
      <c r="V216">
        <f>IF(AND(VLOOKUP(V$1,main!$A$3:$H$102,7,FALSE)=main!$G$105,VLOOKUP(V$1,main!$A$3:$H$102,5,FALSE)-VLOOKUP($A216,main!$A$3:$H$102,6,FALSE)&gt;=main!$D$103+VLOOKUP(VLOOKUP(V$1,main!$A$3:$I$102,7,FALSE),main!$K$26:$Q$29,5,FALSE)),1,0)</f>
        <v>0</v>
      </c>
      <c r="W216">
        <f>IF(AND(VLOOKUP(W$1,main!$A$3:$H$102,7,FALSE)=main!$G$105,VLOOKUP(W$1,main!$A$3:$H$102,5,FALSE)-VLOOKUP($A216,main!$A$3:$H$102,6,FALSE)&gt;=main!$D$103+VLOOKUP(VLOOKUP(W$1,main!$A$3:$I$102,7,FALSE),main!$K$26:$Q$29,5,FALSE)),1,0)</f>
        <v>0</v>
      </c>
      <c r="X216">
        <f>IF(AND(VLOOKUP(X$1,main!$A$3:$H$102,7,FALSE)=main!$G$105,VLOOKUP(X$1,main!$A$3:$H$102,5,FALSE)-VLOOKUP($A216,main!$A$3:$H$102,6,FALSE)&gt;=main!$D$103+VLOOKUP(VLOOKUP(X$1,main!$A$3:$I$102,7,FALSE),main!$K$26:$Q$29,5,FALSE)),1,0)</f>
        <v>0</v>
      </c>
      <c r="Y216">
        <f>IF(AND(VLOOKUP(Y$1,main!$A$3:$H$102,7,FALSE)=main!$G$105,VLOOKUP(Y$1,main!$A$3:$H$102,5,FALSE)-VLOOKUP($A216,main!$A$3:$H$102,6,FALSE)&gt;=main!$D$103+VLOOKUP(VLOOKUP(Y$1,main!$A$3:$I$102,7,FALSE),main!$K$26:$Q$29,5,FALSE)),1,0)</f>
        <v>0</v>
      </c>
      <c r="Z216">
        <f>IF(AND(VLOOKUP(Z$1,main!$A$3:$H$102,7,FALSE)=main!$G$105,VLOOKUP(Z$1,main!$A$3:$H$102,5,FALSE)-VLOOKUP($A216,main!$A$3:$H$102,6,FALSE)&gt;=main!$D$103+VLOOKUP(VLOOKUP(Z$1,main!$A$3:$I$102,7,FALSE),main!$K$26:$Q$29,5,FALSE)),1,0)</f>
        <v>0</v>
      </c>
      <c r="AA216">
        <f>IF(AND(VLOOKUP(AA$1,main!$A$3:$H$102,7,FALSE)=main!$G$105,VLOOKUP(AA$1,main!$A$3:$H$102,5,FALSE)-VLOOKUP($A216,main!$A$3:$H$102,6,FALSE)&gt;=main!$D$103+VLOOKUP(VLOOKUP(AA$1,main!$A$3:$I$102,7,FALSE),main!$K$26:$Q$29,5,FALSE)),1,0)</f>
        <v>0</v>
      </c>
      <c r="AB216">
        <f>IF(AND(VLOOKUP(AB$1,main!$A$3:$H$102,7,FALSE)=main!$G$105,VLOOKUP(AB$1,main!$A$3:$H$102,5,FALSE)-VLOOKUP($A216,main!$A$3:$H$102,6,FALSE)&gt;=main!$D$103+VLOOKUP(VLOOKUP(AB$1,main!$A$3:$I$102,7,FALSE),main!$K$26:$Q$29,5,FALSE)),1,0)</f>
        <v>0</v>
      </c>
      <c r="AC216">
        <f>IF(AND(VLOOKUP(AC$1,main!$A$3:$H$102,7,FALSE)=main!$G$105,VLOOKUP(AC$1,main!$A$3:$H$102,5,FALSE)-VLOOKUP($A216,main!$A$3:$H$102,6,FALSE)&gt;=main!$D$103+VLOOKUP(VLOOKUP(AC$1,main!$A$3:$I$102,7,FALSE),main!$K$26:$Q$29,5,FALSE)),1,0)</f>
        <v>0</v>
      </c>
      <c r="AD216">
        <f>IF(AND(VLOOKUP(AD$1,main!$A$3:$H$102,7,FALSE)=main!$G$105,VLOOKUP(AD$1,main!$A$3:$H$102,5,FALSE)-VLOOKUP($A216,main!$A$3:$H$102,6,FALSE)&gt;=main!$D$103+VLOOKUP(VLOOKUP(AD$1,main!$A$3:$I$102,7,FALSE),main!$K$26:$Q$29,5,FALSE)),1,0)</f>
        <v>0</v>
      </c>
      <c r="AE216">
        <f>IF(AND(VLOOKUP(AE$1,main!$A$3:$H$102,7,FALSE)=main!$G$105,VLOOKUP(AE$1,main!$A$3:$H$102,5,FALSE)-VLOOKUP($A216,main!$A$3:$H$102,6,FALSE)&gt;=main!$D$103+VLOOKUP(VLOOKUP(AE$1,main!$A$3:$I$102,7,FALSE),main!$K$26:$Q$29,5,FALSE)),1,0)</f>
        <v>0</v>
      </c>
      <c r="AF216">
        <f>IF(AND(VLOOKUP(AF$1,main!$A$3:$H$102,7,FALSE)=main!$G$105,VLOOKUP(AF$1,main!$A$3:$H$102,5,FALSE)-VLOOKUP($A216,main!$A$3:$H$102,6,FALSE)&gt;=main!$D$103+VLOOKUP(VLOOKUP(AF$1,main!$A$3:$I$102,7,FALSE),main!$K$26:$Q$29,5,FALSE)),1,0)</f>
        <v>0</v>
      </c>
      <c r="AG216">
        <f>IF(AND(VLOOKUP(AG$1,main!$A$3:$H$102,7,FALSE)=main!$G$105,VLOOKUP(AG$1,main!$A$3:$H$102,5,FALSE)-VLOOKUP($A216,main!$A$3:$H$102,6,FALSE)&gt;=main!$D$103+VLOOKUP(VLOOKUP(AG$1,main!$A$3:$I$102,7,FALSE),main!$K$26:$Q$29,5,FALSE)),1,0)</f>
        <v>0</v>
      </c>
      <c r="AH216">
        <f>IF(AND(VLOOKUP(AH$1,main!$A$3:$H$102,7,FALSE)=main!$G$105,VLOOKUP(AH$1,main!$A$3:$H$102,5,FALSE)-VLOOKUP($A216,main!$A$3:$H$102,6,FALSE)&gt;=main!$D$103+VLOOKUP(VLOOKUP(AH$1,main!$A$3:$I$102,7,FALSE),main!$K$26:$Q$29,5,FALSE)),1,0)</f>
        <v>0</v>
      </c>
      <c r="AI216">
        <f>IF(AND(VLOOKUP(AI$1,main!$A$3:$H$102,7,FALSE)=main!$G$105,VLOOKUP(AI$1,main!$A$3:$H$102,5,FALSE)-VLOOKUP($A216,main!$A$3:$H$102,6,FALSE)&gt;=main!$D$103+VLOOKUP(VLOOKUP(AI$1,main!$A$3:$I$102,7,FALSE),main!$K$26:$Q$29,5,FALSE)),1,0)</f>
        <v>0</v>
      </c>
      <c r="AJ216">
        <f>IF(AND(VLOOKUP(AJ$1,main!$A$3:$H$102,7,FALSE)=main!$G$105,VLOOKUP(AJ$1,main!$A$3:$H$102,5,FALSE)-VLOOKUP($A216,main!$A$3:$H$102,6,FALSE)&gt;=main!$D$103+VLOOKUP(VLOOKUP(AJ$1,main!$A$3:$I$102,7,FALSE),main!$K$26:$Q$29,5,FALSE)),1,0)</f>
        <v>1</v>
      </c>
      <c r="AK216">
        <f>IF(AND(VLOOKUP(AK$1,main!$A$3:$H$102,7,FALSE)=main!$G$105,VLOOKUP(AK$1,main!$A$3:$H$102,5,FALSE)-VLOOKUP($A216,main!$A$3:$H$102,6,FALSE)&gt;=main!$D$103+VLOOKUP(VLOOKUP(AK$1,main!$A$3:$I$102,7,FALSE),main!$K$26:$Q$29,5,FALSE)),1,0)</f>
        <v>1</v>
      </c>
      <c r="AL216">
        <f>IF(AND(VLOOKUP(AL$1,main!$A$3:$H$102,7,FALSE)=main!$G$105,VLOOKUP(AL$1,main!$A$3:$H$102,5,FALSE)-VLOOKUP($A216,main!$A$3:$H$102,6,FALSE)&gt;=main!$D$103+VLOOKUP(VLOOKUP(AL$1,main!$A$3:$I$102,7,FALSE),main!$K$26:$Q$29,5,FALSE)),1,0)</f>
        <v>1</v>
      </c>
      <c r="AM216">
        <f>IF(AND(VLOOKUP(AM$1,main!$A$3:$H$102,7,FALSE)=main!$G$105,VLOOKUP(AM$1,main!$A$3:$H$102,5,FALSE)-VLOOKUP($A216,main!$A$3:$H$102,6,FALSE)&gt;=main!$D$103+VLOOKUP(VLOOKUP(AM$1,main!$A$3:$I$102,7,FALSE),main!$K$26:$Q$29,5,FALSE)),1,0)</f>
        <v>1</v>
      </c>
      <c r="AN216">
        <f>IF(AND(VLOOKUP(AN$1,main!$A$3:$H$102,7,FALSE)=main!$G$105,VLOOKUP(AN$1,main!$A$3:$H$102,5,FALSE)-VLOOKUP($A216,main!$A$3:$H$102,6,FALSE)&gt;=main!$D$103+VLOOKUP(VLOOKUP(AN$1,main!$A$3:$I$102,7,FALSE),main!$K$26:$Q$29,5,FALSE)),1,0)</f>
        <v>1</v>
      </c>
      <c r="AO216">
        <f>IF(AND(VLOOKUP(AO$1,main!$A$3:$H$102,7,FALSE)=main!$G$105,VLOOKUP(AO$1,main!$A$3:$H$102,5,FALSE)-VLOOKUP($A216,main!$A$3:$H$102,6,FALSE)&gt;=main!$D$103+VLOOKUP(VLOOKUP(AO$1,main!$A$3:$I$102,7,FALSE),main!$K$26:$Q$29,5,FALSE)),1,0)</f>
        <v>0</v>
      </c>
      <c r="AP216">
        <f>IF(AND(VLOOKUP(AP$1,main!$A$3:$H$102,7,FALSE)=main!$G$105,VLOOKUP(AP$1,main!$A$3:$H$102,5,FALSE)-VLOOKUP($A216,main!$A$3:$H$102,6,FALSE)&gt;=main!$D$103+VLOOKUP(VLOOKUP(AP$1,main!$A$3:$I$102,7,FALSE),main!$K$26:$Q$29,5,FALSE)),1,0)</f>
        <v>1</v>
      </c>
      <c r="AQ216">
        <f>IF(AND(VLOOKUP(AQ$1,main!$A$3:$H$102,7,FALSE)=main!$G$105,VLOOKUP(AQ$1,main!$A$3:$H$102,5,FALSE)-VLOOKUP($A216,main!$A$3:$H$102,6,FALSE)&gt;=main!$D$103+VLOOKUP(VLOOKUP(AQ$1,main!$A$3:$I$102,7,FALSE),main!$K$26:$Q$29,5,FALSE)),1,0)</f>
        <v>0</v>
      </c>
      <c r="AR216">
        <f>IF(AND(VLOOKUP(AR$1,main!$A$3:$H$102,7,FALSE)=main!$G$105,VLOOKUP(AR$1,main!$A$3:$H$102,5,FALSE)-VLOOKUP($A216,main!$A$3:$H$102,6,FALSE)&gt;=main!$D$103+VLOOKUP(VLOOKUP(AR$1,main!$A$3:$I$102,7,FALSE),main!$K$26:$Q$29,5,FALSE)),1,0)</f>
        <v>0</v>
      </c>
      <c r="AS216">
        <f>IF(AND(VLOOKUP(AS$1,main!$A$3:$H$102,7,FALSE)=main!$G$105,VLOOKUP(AS$1,main!$A$3:$H$102,5,FALSE)-VLOOKUP($A216,main!$A$3:$H$102,6,FALSE)&gt;=main!$D$103+VLOOKUP(VLOOKUP(AS$1,main!$A$3:$I$102,7,FALSE),main!$K$26:$Q$29,5,FALSE)),1,0)</f>
        <v>1</v>
      </c>
      <c r="AT216">
        <f>IF(AND(VLOOKUP(AT$1,main!$A$3:$H$102,7,FALSE)=main!$G$105,VLOOKUP(AT$1,main!$A$3:$H$102,5,FALSE)-VLOOKUP($A216,main!$A$3:$H$102,6,FALSE)&gt;=main!$D$103+VLOOKUP(VLOOKUP(AT$1,main!$A$3:$I$102,7,FALSE),main!$K$26:$Q$29,5,FALSE)),1,0)</f>
        <v>1</v>
      </c>
      <c r="AU216">
        <f>IF(AND(VLOOKUP(AU$1,main!$A$3:$H$102,7,FALSE)=main!$G$105,VLOOKUP(AU$1,main!$A$3:$H$102,5,FALSE)-VLOOKUP($A216,main!$A$3:$H$102,6,FALSE)&gt;=main!$D$103+VLOOKUP(VLOOKUP(AU$1,main!$A$3:$I$102,7,FALSE),main!$K$26:$Q$29,5,FALSE)),1,0)</f>
        <v>0</v>
      </c>
      <c r="AV216">
        <f>IF(AND(VLOOKUP(AV$1,main!$A$3:$H$102,7,FALSE)=main!$G$105,VLOOKUP(AV$1,main!$A$3:$H$102,5,FALSE)-VLOOKUP($A216,main!$A$3:$H$102,6,FALSE)&gt;=main!$D$103+VLOOKUP(VLOOKUP(AV$1,main!$A$3:$I$102,7,FALSE),main!$K$26:$Q$29,5,FALSE)),1,0)</f>
        <v>0</v>
      </c>
      <c r="AW216">
        <f>IF(AND(VLOOKUP(AW$1,main!$A$3:$H$102,7,FALSE)=main!$G$105,VLOOKUP(AW$1,main!$A$3:$H$102,5,FALSE)-VLOOKUP($A216,main!$A$3:$H$102,6,FALSE)&gt;=main!$D$103+VLOOKUP(VLOOKUP(AW$1,main!$A$3:$I$102,7,FALSE),main!$K$26:$Q$29,5,FALSE)),1,0)</f>
        <v>1</v>
      </c>
      <c r="AX216">
        <f>IF(AND(VLOOKUP(AX$1,main!$A$3:$H$102,7,FALSE)=main!$G$105,VLOOKUP(AX$1,main!$A$3:$H$102,5,FALSE)-VLOOKUP($A216,main!$A$3:$H$102,6,FALSE)&gt;=main!$D$103+VLOOKUP(VLOOKUP(AX$1,main!$A$3:$I$102,7,FALSE),main!$K$26:$Q$29,5,FALSE)),1,0)</f>
        <v>0</v>
      </c>
      <c r="AY216">
        <f>IF(AND(VLOOKUP(AY$1,main!$A$3:$H$102,7,FALSE)=main!$G$105,VLOOKUP(AY$1,main!$A$3:$H$102,5,FALSE)-VLOOKUP($A216,main!$A$3:$H$102,6,FALSE)&gt;=main!$D$103+VLOOKUP(VLOOKUP(AY$1,main!$A$3:$I$102,7,FALSE),main!$K$26:$Q$29,5,FALSE)),1,0)</f>
        <v>0</v>
      </c>
      <c r="AZ216">
        <f>IF(AND(VLOOKUP(AZ$1,main!$A$3:$H$102,7,FALSE)=main!$G$105,VLOOKUP(AZ$1,main!$A$3:$H$102,5,FALSE)-VLOOKUP($A216,main!$A$3:$H$102,6,FALSE)&gt;=main!$D$103+VLOOKUP(VLOOKUP(AZ$1,main!$A$3:$I$102,7,FALSE),main!$K$26:$Q$29,5,FALSE)),1,0)</f>
        <v>0</v>
      </c>
      <c r="BA216">
        <f>IF(AND(VLOOKUP(BA$1,main!$A$3:$H$102,7,FALSE)=main!$G$105,VLOOKUP(BA$1,main!$A$3:$H$102,5,FALSE)-VLOOKUP($A216,main!$A$3:$H$102,6,FALSE)&gt;=main!$D$103+VLOOKUP(VLOOKUP(BA$1,main!$A$3:$I$102,7,FALSE),main!$K$26:$Q$29,5,FALSE)),1,0)</f>
        <v>0</v>
      </c>
      <c r="BB216">
        <f>IF(AND(VLOOKUP(BB$1,main!$A$3:$H$102,7,FALSE)=main!$G$105,VLOOKUP(BB$1,main!$A$3:$H$102,5,FALSE)-VLOOKUP($A216,main!$A$3:$H$102,6,FALSE)&gt;=main!$D$103+VLOOKUP(VLOOKUP(BB$1,main!$A$3:$I$102,7,FALSE),main!$K$26:$Q$29,5,FALSE)),1,0)</f>
        <v>0</v>
      </c>
      <c r="BC216">
        <f>IF(AND(VLOOKUP(BC$1,main!$A$3:$H$102,7,FALSE)=main!$G$105,VLOOKUP(BC$1,main!$A$3:$H$102,5,FALSE)-VLOOKUP($A216,main!$A$3:$H$102,6,FALSE)&gt;=main!$D$103+VLOOKUP(VLOOKUP(BC$1,main!$A$3:$I$102,7,FALSE),main!$K$26:$Q$29,5,FALSE)),1,0)</f>
        <v>0</v>
      </c>
      <c r="BD216">
        <f>IF(AND(VLOOKUP(BD$1,main!$A$3:$H$102,7,FALSE)=main!$G$105,VLOOKUP(BD$1,main!$A$3:$H$102,5,FALSE)-VLOOKUP($A216,main!$A$3:$H$102,6,FALSE)&gt;=main!$D$103+VLOOKUP(VLOOKUP(BD$1,main!$A$3:$I$102,7,FALSE),main!$K$26:$Q$29,5,FALSE)),1,0)</f>
        <v>0</v>
      </c>
      <c r="BE216">
        <f>IF(AND(VLOOKUP(BE$1,main!$A$3:$H$102,7,FALSE)=main!$G$105,VLOOKUP(BE$1,main!$A$3:$H$102,5,FALSE)-VLOOKUP($A216,main!$A$3:$H$102,6,FALSE)&gt;=main!$D$103+VLOOKUP(VLOOKUP(BE$1,main!$A$3:$I$102,7,FALSE),main!$K$26:$Q$29,5,FALSE)),1,0)</f>
        <v>0</v>
      </c>
      <c r="BF216">
        <f>IF(AND(VLOOKUP(BF$1,main!$A$3:$H$102,7,FALSE)=main!$G$105,VLOOKUP(BF$1,main!$A$3:$H$102,5,FALSE)-VLOOKUP($A216,main!$A$3:$H$102,6,FALSE)&gt;=main!$D$103+VLOOKUP(VLOOKUP(BF$1,main!$A$3:$I$102,7,FALSE),main!$K$26:$Q$29,5,FALSE)),1,0)</f>
        <v>0</v>
      </c>
      <c r="BG216">
        <f>IF(AND(VLOOKUP(BG$1,main!$A$3:$H$102,7,FALSE)=main!$G$105,VLOOKUP(BG$1,main!$A$3:$H$102,5,FALSE)-VLOOKUP($A216,main!$A$3:$H$102,6,FALSE)&gt;=main!$D$103+VLOOKUP(VLOOKUP(BG$1,main!$A$3:$I$102,7,FALSE),main!$K$26:$Q$29,5,FALSE)),1,0)</f>
        <v>0</v>
      </c>
      <c r="BH216">
        <f>IF(AND(VLOOKUP(BH$1,main!$A$3:$H$102,7,FALSE)=main!$G$105,VLOOKUP(BH$1,main!$A$3:$H$102,5,FALSE)-VLOOKUP($A216,main!$A$3:$H$102,6,FALSE)&gt;=main!$D$103+VLOOKUP(VLOOKUP(BH$1,main!$A$3:$I$102,7,FALSE),main!$K$26:$Q$29,5,FALSE)),1,0)</f>
        <v>0</v>
      </c>
      <c r="BI216">
        <f>IF(AND(VLOOKUP(BI$1,main!$A$3:$H$102,7,FALSE)=main!$G$105,VLOOKUP(BI$1,main!$A$3:$H$102,5,FALSE)-VLOOKUP($A216,main!$A$3:$H$102,6,FALSE)&gt;=main!$D$103+VLOOKUP(VLOOKUP(BI$1,main!$A$3:$I$102,7,FALSE),main!$K$26:$Q$29,5,FALSE)),1,0)</f>
        <v>0</v>
      </c>
      <c r="BJ216">
        <f>IF(AND(VLOOKUP(BJ$1,main!$A$3:$H$102,7,FALSE)=main!$G$105,VLOOKUP(BJ$1,main!$A$3:$H$102,5,FALSE)-VLOOKUP($A216,main!$A$3:$H$102,6,FALSE)&gt;=main!$D$103+VLOOKUP(VLOOKUP(BJ$1,main!$A$3:$I$102,7,FALSE),main!$K$26:$Q$29,5,FALSE)),1,0)</f>
        <v>0</v>
      </c>
      <c r="BK216">
        <f>IF(AND(VLOOKUP(BK$1,main!$A$3:$H$102,7,FALSE)=main!$G$105,VLOOKUP(BK$1,main!$A$3:$H$102,5,FALSE)-VLOOKUP($A216,main!$A$3:$H$102,6,FALSE)&gt;=main!$D$103+VLOOKUP(VLOOKUP(BK$1,main!$A$3:$I$102,7,FALSE),main!$K$26:$Q$29,5,FALSE)),1,0)</f>
        <v>0</v>
      </c>
      <c r="BL216">
        <f>IF(AND(VLOOKUP(BL$1,main!$A$3:$H$102,7,FALSE)=main!$G$105,VLOOKUP(BL$1,main!$A$3:$H$102,5,FALSE)-VLOOKUP($A216,main!$A$3:$H$102,6,FALSE)&gt;=main!$D$103+VLOOKUP(VLOOKUP(BL$1,main!$A$3:$I$102,7,FALSE),main!$K$26:$Q$29,5,FALSE)),1,0)</f>
        <v>0</v>
      </c>
      <c r="BM216">
        <f>IF(AND(VLOOKUP(BM$1,main!$A$3:$H$102,7,FALSE)=main!$G$105,VLOOKUP(BM$1,main!$A$3:$H$102,5,FALSE)-VLOOKUP($A216,main!$A$3:$H$102,6,FALSE)&gt;=main!$D$103+VLOOKUP(VLOOKUP(BM$1,main!$A$3:$I$102,7,FALSE),main!$K$26:$Q$29,5,FALSE)),1,0)</f>
        <v>0</v>
      </c>
      <c r="BN216">
        <f>IF(AND(VLOOKUP(BN$1,main!$A$3:$H$102,7,FALSE)=main!$G$105,VLOOKUP(BN$1,main!$A$3:$H$102,5,FALSE)-VLOOKUP($A216,main!$A$3:$H$102,6,FALSE)&gt;=main!$D$103+VLOOKUP(VLOOKUP(BN$1,main!$A$3:$I$102,7,FALSE),main!$K$26:$Q$29,5,FALSE)),1,0)</f>
        <v>0</v>
      </c>
      <c r="BO216">
        <f>IF(AND(VLOOKUP(BO$1,main!$A$3:$H$102,7,FALSE)=main!$G$105,VLOOKUP(BO$1,main!$A$3:$H$102,5,FALSE)-VLOOKUP($A216,main!$A$3:$H$102,6,FALSE)&gt;=main!$D$103+VLOOKUP(VLOOKUP(BO$1,main!$A$3:$I$102,7,FALSE),main!$K$26:$Q$29,5,FALSE)),1,0)</f>
        <v>0</v>
      </c>
      <c r="BP216">
        <f>IF(AND(VLOOKUP(BP$1,main!$A$3:$H$102,7,FALSE)=main!$G$105,VLOOKUP(BP$1,main!$A$3:$H$102,5,FALSE)-VLOOKUP($A216,main!$A$3:$H$102,6,FALSE)&gt;=main!$D$103+VLOOKUP(VLOOKUP(BP$1,main!$A$3:$I$102,7,FALSE),main!$K$26:$Q$29,5,FALSE)),1,0)</f>
        <v>0</v>
      </c>
      <c r="BQ216">
        <f>IF(AND(VLOOKUP(BQ$1,main!$A$3:$H$102,7,FALSE)=main!$G$105,VLOOKUP(BQ$1,main!$A$3:$H$102,5,FALSE)-VLOOKUP($A216,main!$A$3:$H$102,6,FALSE)&gt;=main!$D$103+VLOOKUP(VLOOKUP(BQ$1,main!$A$3:$I$102,7,FALSE),main!$K$26:$Q$29,5,FALSE)),1,0)</f>
        <v>0</v>
      </c>
      <c r="BR216">
        <f>IF(AND(VLOOKUP(BR$1,main!$A$3:$H$102,7,FALSE)=main!$G$105,VLOOKUP(BR$1,main!$A$3:$H$102,5,FALSE)-VLOOKUP($A216,main!$A$3:$H$102,6,FALSE)&gt;=main!$D$103+VLOOKUP(VLOOKUP(BR$1,main!$A$3:$I$102,7,FALSE),main!$K$26:$Q$29,5,FALSE)),1,0)</f>
        <v>0</v>
      </c>
      <c r="BS216">
        <f>IF(AND(VLOOKUP(BS$1,main!$A$3:$H$102,7,FALSE)=main!$G$105,VLOOKUP(BS$1,main!$A$3:$H$102,5,FALSE)-VLOOKUP($A216,main!$A$3:$H$102,6,FALSE)&gt;=main!$D$103+VLOOKUP(VLOOKUP(BS$1,main!$A$3:$I$102,7,FALSE),main!$K$26:$Q$29,5,FALSE)),1,0)</f>
        <v>0</v>
      </c>
      <c r="BT216">
        <f>IF(AND(VLOOKUP(BT$1,main!$A$3:$H$102,7,FALSE)=main!$G$105,VLOOKUP(BT$1,main!$A$3:$H$102,5,FALSE)-VLOOKUP($A216,main!$A$3:$H$102,6,FALSE)&gt;=main!$D$103+VLOOKUP(VLOOKUP(BT$1,main!$A$3:$I$102,7,FALSE),main!$K$26:$Q$29,5,FALSE)),1,0)</f>
        <v>0</v>
      </c>
      <c r="BU216">
        <f>IF(AND(VLOOKUP(BU$1,main!$A$3:$H$102,7,FALSE)=main!$G$105,VLOOKUP(BU$1,main!$A$3:$H$102,5,FALSE)-VLOOKUP($A216,main!$A$3:$H$102,6,FALSE)&gt;=main!$D$103+VLOOKUP(VLOOKUP(BU$1,main!$A$3:$I$102,7,FALSE),main!$K$26:$Q$29,5,FALSE)),1,0)</f>
        <v>0</v>
      </c>
      <c r="BV216">
        <f>IF(AND(VLOOKUP(BV$1,main!$A$3:$H$102,7,FALSE)=main!$G$105,VLOOKUP(BV$1,main!$A$3:$H$102,5,FALSE)-VLOOKUP($A216,main!$A$3:$H$102,6,FALSE)&gt;=main!$D$103+VLOOKUP(VLOOKUP(BV$1,main!$A$3:$I$102,7,FALSE),main!$K$26:$Q$29,5,FALSE)),1,0)</f>
        <v>0</v>
      </c>
      <c r="BW216">
        <f>IF(AND(VLOOKUP(BW$1,main!$A$3:$H$102,7,FALSE)=main!$G$105,VLOOKUP(BW$1,main!$A$3:$H$102,5,FALSE)-VLOOKUP($A216,main!$A$3:$H$102,6,FALSE)&gt;=main!$D$103+VLOOKUP(VLOOKUP(BW$1,main!$A$3:$I$102,7,FALSE),main!$K$26:$Q$29,5,FALSE)),1,0)</f>
        <v>0</v>
      </c>
      <c r="BX216">
        <f>IF(AND(VLOOKUP(BX$1,main!$A$3:$H$102,7,FALSE)=main!$G$105,VLOOKUP(BX$1,main!$A$3:$H$102,5,FALSE)-VLOOKUP($A216,main!$A$3:$H$102,6,FALSE)&gt;=main!$D$103+VLOOKUP(VLOOKUP(BX$1,main!$A$3:$I$102,7,FALSE),main!$K$26:$Q$29,5,FALSE)),1,0)</f>
        <v>0</v>
      </c>
      <c r="BY216">
        <f>IF(AND(VLOOKUP(BY$1,main!$A$3:$H$102,7,FALSE)=main!$G$105,VLOOKUP(BY$1,main!$A$3:$H$102,5,FALSE)-VLOOKUP($A216,main!$A$3:$H$102,6,FALSE)&gt;=main!$D$103+VLOOKUP(VLOOKUP(BY$1,main!$A$3:$I$102,7,FALSE),main!$K$26:$Q$29,5,FALSE)),1,0)</f>
        <v>0</v>
      </c>
      <c r="BZ216">
        <f>IF(AND(VLOOKUP(BZ$1,main!$A$3:$H$102,7,FALSE)=main!$G$105,VLOOKUP(BZ$1,main!$A$3:$H$102,5,FALSE)-VLOOKUP($A216,main!$A$3:$H$102,6,FALSE)&gt;=main!$D$103+VLOOKUP(VLOOKUP(BZ$1,main!$A$3:$I$102,7,FALSE),main!$K$26:$Q$29,5,FALSE)),1,0)</f>
        <v>0</v>
      </c>
      <c r="CA216">
        <f>IF(AND(VLOOKUP(CA$1,main!$A$3:$H$102,7,FALSE)=main!$G$105,VLOOKUP(CA$1,main!$A$3:$H$102,5,FALSE)-VLOOKUP($A216,main!$A$3:$H$102,6,FALSE)&gt;=main!$D$103+VLOOKUP(VLOOKUP(CA$1,main!$A$3:$I$102,7,FALSE),main!$K$26:$Q$29,5,FALSE)),1,0)</f>
        <v>0</v>
      </c>
      <c r="CB216">
        <f>IF(AND(VLOOKUP(CB$1,main!$A$3:$H$102,7,FALSE)=main!$G$105,VLOOKUP(CB$1,main!$A$3:$H$102,5,FALSE)-VLOOKUP($A216,main!$A$3:$H$102,6,FALSE)&gt;=main!$D$103+VLOOKUP(VLOOKUP(CB$1,main!$A$3:$I$102,7,FALSE),main!$K$26:$Q$29,5,FALSE)),1,0)</f>
        <v>0</v>
      </c>
      <c r="CC216">
        <f>IF(AND(VLOOKUP(CC$1,main!$A$3:$H$102,7,FALSE)=main!$G$105,VLOOKUP(CC$1,main!$A$3:$H$102,5,FALSE)-VLOOKUP($A216,main!$A$3:$H$102,6,FALSE)&gt;=main!$D$103+VLOOKUP(VLOOKUP(CC$1,main!$A$3:$I$102,7,FALSE),main!$K$26:$Q$29,5,FALSE)),1,0)</f>
        <v>0</v>
      </c>
      <c r="CD216">
        <f>IF(AND(VLOOKUP(CD$1,main!$A$3:$H$102,7,FALSE)=main!$G$105,VLOOKUP(CD$1,main!$A$3:$H$102,5,FALSE)-VLOOKUP($A216,main!$A$3:$H$102,6,FALSE)&gt;=main!$D$103+VLOOKUP(VLOOKUP(CD$1,main!$A$3:$I$102,7,FALSE),main!$K$26:$Q$29,5,FALSE)),1,0)</f>
        <v>0</v>
      </c>
      <c r="CE216">
        <f>IF(AND(VLOOKUP(CE$1,main!$A$3:$H$102,7,FALSE)=main!$G$105,VLOOKUP(CE$1,main!$A$3:$H$102,5,FALSE)-VLOOKUP($A216,main!$A$3:$H$102,6,FALSE)&gt;=main!$D$103+VLOOKUP(VLOOKUP(CE$1,main!$A$3:$I$102,7,FALSE),main!$K$26:$Q$29,5,FALSE)),1,0)</f>
        <v>0</v>
      </c>
      <c r="CF216">
        <f>IF(AND(VLOOKUP(CF$1,main!$A$3:$H$102,7,FALSE)=main!$G$105,VLOOKUP(CF$1,main!$A$3:$H$102,5,FALSE)-VLOOKUP($A216,main!$A$3:$H$102,6,FALSE)&gt;=main!$D$103+VLOOKUP(VLOOKUP(CF$1,main!$A$3:$I$102,7,FALSE),main!$K$26:$Q$29,5,FALSE)),1,0)</f>
        <v>0</v>
      </c>
      <c r="CG216">
        <f>IF(AND(VLOOKUP(CG$1,main!$A$3:$H$102,7,FALSE)=main!$G$105,VLOOKUP(CG$1,main!$A$3:$H$102,5,FALSE)-VLOOKUP($A216,main!$A$3:$H$102,6,FALSE)&gt;=main!$D$103+VLOOKUP(VLOOKUP(CG$1,main!$A$3:$I$102,7,FALSE),main!$K$26:$Q$29,5,FALSE)),1,0)</f>
        <v>0</v>
      </c>
      <c r="CH216">
        <f>IF(AND(VLOOKUP(CH$1,main!$A$3:$H$102,7,FALSE)=main!$G$105,VLOOKUP(CH$1,main!$A$3:$H$102,5,FALSE)-VLOOKUP($A216,main!$A$3:$H$102,6,FALSE)&gt;=main!$D$103+VLOOKUP(VLOOKUP(CH$1,main!$A$3:$I$102,7,FALSE),main!$K$26:$Q$29,5,FALSE)),1,0)</f>
        <v>0</v>
      </c>
      <c r="CI216">
        <f>IF(AND(VLOOKUP(CI$1,main!$A$3:$H$102,7,FALSE)=main!$G$105,VLOOKUP(CI$1,main!$A$3:$H$102,5,FALSE)-VLOOKUP($A216,main!$A$3:$H$102,6,FALSE)&gt;=main!$D$103+VLOOKUP(VLOOKUP(CI$1,main!$A$3:$I$102,7,FALSE),main!$K$26:$Q$29,5,FALSE)),1,0)</f>
        <v>0</v>
      </c>
      <c r="CJ216">
        <f>IF(AND(VLOOKUP(CJ$1,main!$A$3:$H$102,7,FALSE)=main!$G$105,VLOOKUP(CJ$1,main!$A$3:$H$102,5,FALSE)-VLOOKUP($A216,main!$A$3:$H$102,6,FALSE)&gt;=main!$D$103+VLOOKUP(VLOOKUP(CJ$1,main!$A$3:$I$102,7,FALSE),main!$K$26:$Q$29,5,FALSE)),1,0)</f>
        <v>0</v>
      </c>
      <c r="CK216">
        <f>IF(AND(VLOOKUP(CK$1,main!$A$3:$H$102,7,FALSE)=main!$G$105,VLOOKUP(CK$1,main!$A$3:$H$102,5,FALSE)-VLOOKUP($A216,main!$A$3:$H$102,6,FALSE)&gt;=main!$D$103+VLOOKUP(VLOOKUP(CK$1,main!$A$3:$I$102,7,FALSE),main!$K$26:$Q$29,5,FALSE)),1,0)</f>
        <v>0</v>
      </c>
      <c r="CL216">
        <f>IF(AND(VLOOKUP(CL$1,main!$A$3:$H$102,7,FALSE)=main!$G$105,VLOOKUP(CL$1,main!$A$3:$H$102,5,FALSE)-VLOOKUP($A216,main!$A$3:$H$102,6,FALSE)&gt;=main!$D$103+VLOOKUP(VLOOKUP(CL$1,main!$A$3:$I$102,7,FALSE),main!$K$26:$Q$29,5,FALSE)),1,0)</f>
        <v>0</v>
      </c>
      <c r="CM216">
        <f>IF(AND(VLOOKUP(CM$1,main!$A$3:$H$102,7,FALSE)=main!$G$105,VLOOKUP(CM$1,main!$A$3:$H$102,5,FALSE)-VLOOKUP($A216,main!$A$3:$H$102,6,FALSE)&gt;=main!$D$103+VLOOKUP(VLOOKUP(CM$1,main!$A$3:$I$102,7,FALSE),main!$K$26:$Q$29,5,FALSE)),1,0)</f>
        <v>0</v>
      </c>
      <c r="CN216">
        <f>IF(AND(VLOOKUP(CN$1,main!$A$3:$H$102,7,FALSE)=main!$G$105,VLOOKUP(CN$1,main!$A$3:$H$102,5,FALSE)-VLOOKUP($A216,main!$A$3:$H$102,6,FALSE)&gt;=main!$D$103+VLOOKUP(VLOOKUP(CN$1,main!$A$3:$I$102,7,FALSE),main!$K$26:$Q$29,5,FALSE)),1,0)</f>
        <v>0</v>
      </c>
      <c r="CO216">
        <f>IF(AND(VLOOKUP(CO$1,main!$A$3:$H$102,7,FALSE)=main!$G$105,VLOOKUP(CO$1,main!$A$3:$H$102,5,FALSE)-VLOOKUP($A216,main!$A$3:$H$102,6,FALSE)&gt;=main!$D$103+VLOOKUP(VLOOKUP(CO$1,main!$A$3:$I$102,7,FALSE),main!$K$26:$Q$29,5,FALSE)),1,0)</f>
        <v>0</v>
      </c>
      <c r="CP216">
        <f>IF(AND(VLOOKUP(CP$1,main!$A$3:$H$102,7,FALSE)=main!$G$105,VLOOKUP(CP$1,main!$A$3:$H$102,5,FALSE)-VLOOKUP($A216,main!$A$3:$H$102,6,FALSE)&gt;=main!$D$103+VLOOKUP(VLOOKUP(CP$1,main!$A$3:$I$102,7,FALSE),main!$K$26:$Q$29,5,FALSE)),1,0)</f>
        <v>0</v>
      </c>
      <c r="CQ216">
        <f>IF(AND(VLOOKUP(CQ$1,main!$A$3:$H$102,7,FALSE)=main!$G$105,VLOOKUP(CQ$1,main!$A$3:$H$102,5,FALSE)-VLOOKUP($A216,main!$A$3:$H$102,6,FALSE)&gt;=main!$D$103+VLOOKUP(VLOOKUP(CQ$1,main!$A$3:$I$102,7,FALSE),main!$K$26:$Q$29,5,FALSE)),1,0)</f>
        <v>0</v>
      </c>
      <c r="CR216">
        <f>IF(AND(VLOOKUP(CR$1,main!$A$3:$H$102,7,FALSE)=main!$G$105,VLOOKUP(CR$1,main!$A$3:$H$102,5,FALSE)-VLOOKUP($A216,main!$A$3:$H$102,6,FALSE)&gt;=main!$D$103+VLOOKUP(VLOOKUP(CR$1,main!$A$3:$I$102,7,FALSE),main!$K$26:$Q$29,5,FALSE)),1,0)</f>
        <v>0</v>
      </c>
      <c r="CS216">
        <f>IF(AND(VLOOKUP(CS$1,main!$A$3:$H$102,7,FALSE)=main!$G$105,VLOOKUP(CS$1,main!$A$3:$H$102,5,FALSE)-VLOOKUP($A216,main!$A$3:$H$102,6,FALSE)&gt;=main!$D$103+VLOOKUP(VLOOKUP(CS$1,main!$A$3:$I$102,7,FALSE),main!$K$26:$Q$29,5,FALSE)),1,0)</f>
        <v>0</v>
      </c>
      <c r="CT216">
        <f>IF(AND(VLOOKUP(CT$1,main!$A$3:$H$102,7,FALSE)=main!$G$105,VLOOKUP(CT$1,main!$A$3:$H$102,5,FALSE)-VLOOKUP($A216,main!$A$3:$H$102,6,FALSE)&gt;=main!$D$103+VLOOKUP(VLOOKUP(CT$1,main!$A$3:$I$102,7,FALSE),main!$K$26:$Q$29,5,FALSE)),1,0)</f>
        <v>0</v>
      </c>
      <c r="CU216">
        <f>IF(AND(VLOOKUP(CU$1,main!$A$3:$H$102,7,FALSE)=main!$G$105,VLOOKUP(CU$1,main!$A$3:$H$102,5,FALSE)-VLOOKUP($A216,main!$A$3:$H$102,6,FALSE)&gt;=main!$D$103+VLOOKUP(VLOOKUP(CU$1,main!$A$3:$I$102,7,FALSE),main!$K$26:$Q$29,5,FALSE)),1,0)</f>
        <v>0</v>
      </c>
      <c r="CV216">
        <f>IF(AND(VLOOKUP(CV$1,main!$A$3:$H$102,7,FALSE)=main!$G$105,VLOOKUP(CV$1,main!$A$3:$H$102,5,FALSE)-VLOOKUP($A216,main!$A$3:$H$102,6,FALSE)&gt;=main!$D$103+VLOOKUP(VLOOKUP(CV$1,main!$A$3:$I$102,7,FALSE),main!$K$26:$Q$29,5,FALSE)),1,0)</f>
        <v>0</v>
      </c>
      <c r="CW216">
        <f>IF(AND(VLOOKUP(CW$1,main!$A$3:$H$102,7,FALSE)=main!$G$105,VLOOKUP(CW$1,main!$A$3:$H$102,5,FALSE)-VLOOKUP($A216,main!$A$3:$H$102,6,FALSE)&gt;=main!$D$103+VLOOKUP(VLOOKUP(CW$1,main!$A$3:$I$102,7,FALSE),main!$K$26:$Q$29,5,FALSE)),1,0)</f>
        <v>0</v>
      </c>
      <c r="CX216">
        <f>IF(AND(VLOOKUP(CX$1,main!$A$3:$H$102,7,FALSE)=main!$G$105,VLOOKUP(CX$1,main!$A$3:$H$102,5,FALSE)-VLOOKUP($A216,main!$A$3:$H$102,6,FALSE)&gt;=main!$D$103+VLOOKUP(VLOOKUP(CX$1,main!$A$3:$I$102,7,FALSE),main!$K$26:$Q$29,5,FALSE)),1,0)</f>
        <v>0</v>
      </c>
    </row>
    <row r="217" spans="1:102" x14ac:dyDescent="0.25">
      <c r="A217" s="1">
        <v>13</v>
      </c>
      <c r="B217">
        <v>0</v>
      </c>
      <c r="C217">
        <f>IF(AND(VLOOKUP(C$1,main!$A$3:$H$102,7,FALSE)=main!$G$105,VLOOKUP(C$1,main!$A$3:$H$102,5,FALSE)-VLOOKUP($A217,main!$A$3:$H$102,6,FALSE)&gt;=main!$D$103+VLOOKUP(VLOOKUP(C$1,main!$A$3:$I$102,7,FALSE),main!$K$26:$Q$29,5,FALSE)),1,0)</f>
        <v>0</v>
      </c>
      <c r="D217">
        <f>IF(AND(VLOOKUP(D$1,main!$A$3:$H$102,7,FALSE)=main!$G$105,VLOOKUP(D$1,main!$A$3:$H$102,5,FALSE)-VLOOKUP($A217,main!$A$3:$H$102,6,FALSE)&gt;=main!$D$103+VLOOKUP(VLOOKUP(D$1,main!$A$3:$I$102,7,FALSE),main!$K$26:$Q$29,5,FALSE)),1,0)</f>
        <v>0</v>
      </c>
      <c r="E217">
        <f>IF(AND(VLOOKUP(E$1,main!$A$3:$H$102,7,FALSE)=main!$G$105,VLOOKUP(E$1,main!$A$3:$H$102,5,FALSE)-VLOOKUP($A217,main!$A$3:$H$102,6,FALSE)&gt;=main!$D$103+VLOOKUP(VLOOKUP(E$1,main!$A$3:$I$102,7,FALSE),main!$K$26:$Q$29,5,FALSE)),1,0)</f>
        <v>0</v>
      </c>
      <c r="F217">
        <f>IF(AND(VLOOKUP(F$1,main!$A$3:$H$102,7,FALSE)=main!$G$105,VLOOKUP(F$1,main!$A$3:$H$102,5,FALSE)-VLOOKUP($A217,main!$A$3:$H$102,6,FALSE)&gt;=main!$D$103+VLOOKUP(VLOOKUP(F$1,main!$A$3:$I$102,7,FALSE),main!$K$26:$Q$29,5,FALSE)),1,0)</f>
        <v>0</v>
      </c>
      <c r="G217">
        <f>IF(AND(VLOOKUP(G$1,main!$A$3:$H$102,7,FALSE)=main!$G$105,VLOOKUP(G$1,main!$A$3:$H$102,5,FALSE)-VLOOKUP($A217,main!$A$3:$H$102,6,FALSE)&gt;=main!$D$103+VLOOKUP(VLOOKUP(G$1,main!$A$3:$I$102,7,FALSE),main!$K$26:$Q$29,5,FALSE)),1,0)</f>
        <v>0</v>
      </c>
      <c r="H217">
        <f>IF(AND(VLOOKUP(H$1,main!$A$3:$H$102,7,FALSE)=main!$G$105,VLOOKUP(H$1,main!$A$3:$H$102,5,FALSE)-VLOOKUP($A217,main!$A$3:$H$102,6,FALSE)&gt;=main!$D$103+VLOOKUP(VLOOKUP(H$1,main!$A$3:$I$102,7,FALSE),main!$K$26:$Q$29,5,FALSE)),1,0)</f>
        <v>0</v>
      </c>
      <c r="I217">
        <f>IF(AND(VLOOKUP(I$1,main!$A$3:$H$102,7,FALSE)=main!$G$105,VLOOKUP(I$1,main!$A$3:$H$102,5,FALSE)-VLOOKUP($A217,main!$A$3:$H$102,6,FALSE)&gt;=main!$D$103+VLOOKUP(VLOOKUP(I$1,main!$A$3:$I$102,7,FALSE),main!$K$26:$Q$29,5,FALSE)),1,0)</f>
        <v>0</v>
      </c>
      <c r="J217">
        <f>IF(AND(VLOOKUP(J$1,main!$A$3:$H$102,7,FALSE)=main!$G$105,VLOOKUP(J$1,main!$A$3:$H$102,5,FALSE)-VLOOKUP($A217,main!$A$3:$H$102,6,FALSE)&gt;=main!$D$103+VLOOKUP(VLOOKUP(J$1,main!$A$3:$I$102,7,FALSE),main!$K$26:$Q$29,5,FALSE)),1,0)</f>
        <v>0</v>
      </c>
      <c r="K217">
        <f>IF(AND(VLOOKUP(K$1,main!$A$3:$H$102,7,FALSE)=main!$G$105,VLOOKUP(K$1,main!$A$3:$H$102,5,FALSE)-VLOOKUP($A217,main!$A$3:$H$102,6,FALSE)&gt;=main!$D$103+VLOOKUP(VLOOKUP(K$1,main!$A$3:$I$102,7,FALSE),main!$K$26:$Q$29,5,FALSE)),1,0)</f>
        <v>0</v>
      </c>
      <c r="L217">
        <f>IF(AND(VLOOKUP(L$1,main!$A$3:$H$102,7,FALSE)=main!$G$105,VLOOKUP(L$1,main!$A$3:$H$102,5,FALSE)-VLOOKUP($A217,main!$A$3:$H$102,6,FALSE)&gt;=main!$D$103+VLOOKUP(VLOOKUP(L$1,main!$A$3:$I$102,7,FALSE),main!$K$26:$Q$29,5,FALSE)),1,0)</f>
        <v>0</v>
      </c>
      <c r="M217">
        <f>IF(AND(VLOOKUP(M$1,main!$A$3:$H$102,7,FALSE)=main!$G$105,VLOOKUP(M$1,main!$A$3:$H$102,5,FALSE)-VLOOKUP($A217,main!$A$3:$H$102,6,FALSE)&gt;=main!$D$103+VLOOKUP(VLOOKUP(M$1,main!$A$3:$I$102,7,FALSE),main!$K$26:$Q$29,5,FALSE)),1,0)</f>
        <v>0</v>
      </c>
      <c r="N217">
        <f>IF(AND(VLOOKUP(N$1,main!$A$3:$H$102,7,FALSE)=main!$G$105,VLOOKUP(N$1,main!$A$3:$H$102,5,FALSE)-VLOOKUP($A217,main!$A$3:$H$102,6,FALSE)&gt;=main!$D$103+VLOOKUP(VLOOKUP(N$1,main!$A$3:$I$102,7,FALSE),main!$K$26:$Q$29,5,FALSE)),1,0)</f>
        <v>0</v>
      </c>
      <c r="O217">
        <f>IF(AND(VLOOKUP(O$1,main!$A$3:$H$102,7,FALSE)=main!$G$105,VLOOKUP(O$1,main!$A$3:$H$102,5,FALSE)-VLOOKUP($A217,main!$A$3:$H$102,6,FALSE)&gt;=main!$D$103+VLOOKUP(VLOOKUP(O$1,main!$A$3:$I$102,7,FALSE),main!$K$26:$Q$29,5,FALSE)),1,0)</f>
        <v>0</v>
      </c>
      <c r="P217">
        <f>IF(AND(VLOOKUP(P$1,main!$A$3:$H$102,7,FALSE)=main!$G$105,VLOOKUP(P$1,main!$A$3:$H$102,5,FALSE)-VLOOKUP($A217,main!$A$3:$H$102,6,FALSE)&gt;=main!$D$103+VLOOKUP(VLOOKUP(P$1,main!$A$3:$I$102,7,FALSE),main!$K$26:$Q$29,5,FALSE)),1,0)</f>
        <v>0</v>
      </c>
      <c r="Q217">
        <f>IF(AND(VLOOKUP(Q$1,main!$A$3:$H$102,7,FALSE)=main!$G$105,VLOOKUP(Q$1,main!$A$3:$H$102,5,FALSE)-VLOOKUP($A217,main!$A$3:$H$102,6,FALSE)&gt;=main!$D$103+VLOOKUP(VLOOKUP(Q$1,main!$A$3:$I$102,7,FALSE),main!$K$26:$Q$29,5,FALSE)),1,0)</f>
        <v>0</v>
      </c>
      <c r="R217">
        <f>IF(AND(VLOOKUP(R$1,main!$A$3:$H$102,7,FALSE)=main!$G$105,VLOOKUP(R$1,main!$A$3:$H$102,5,FALSE)-VLOOKUP($A217,main!$A$3:$H$102,6,FALSE)&gt;=main!$D$103+VLOOKUP(VLOOKUP(R$1,main!$A$3:$I$102,7,FALSE),main!$K$26:$Q$29,5,FALSE)),1,0)</f>
        <v>0</v>
      </c>
      <c r="S217">
        <f>IF(AND(VLOOKUP(S$1,main!$A$3:$H$102,7,FALSE)=main!$G$105,VLOOKUP(S$1,main!$A$3:$H$102,5,FALSE)-VLOOKUP($A217,main!$A$3:$H$102,6,FALSE)&gt;=main!$D$103+VLOOKUP(VLOOKUP(S$1,main!$A$3:$I$102,7,FALSE),main!$K$26:$Q$29,5,FALSE)),1,0)</f>
        <v>0</v>
      </c>
      <c r="T217">
        <f>IF(AND(VLOOKUP(T$1,main!$A$3:$H$102,7,FALSE)=main!$G$105,VLOOKUP(T$1,main!$A$3:$H$102,5,FALSE)-VLOOKUP($A217,main!$A$3:$H$102,6,FALSE)&gt;=main!$D$103+VLOOKUP(VLOOKUP(T$1,main!$A$3:$I$102,7,FALSE),main!$K$26:$Q$29,5,FALSE)),1,0)</f>
        <v>0</v>
      </c>
      <c r="U217">
        <f>IF(AND(VLOOKUP(U$1,main!$A$3:$H$102,7,FALSE)=main!$G$105,VLOOKUP(U$1,main!$A$3:$H$102,5,FALSE)-VLOOKUP($A217,main!$A$3:$H$102,6,FALSE)&gt;=main!$D$103+VLOOKUP(VLOOKUP(U$1,main!$A$3:$I$102,7,FALSE),main!$K$26:$Q$29,5,FALSE)),1,0)</f>
        <v>0</v>
      </c>
      <c r="V217">
        <f>IF(AND(VLOOKUP(V$1,main!$A$3:$H$102,7,FALSE)=main!$G$105,VLOOKUP(V$1,main!$A$3:$H$102,5,FALSE)-VLOOKUP($A217,main!$A$3:$H$102,6,FALSE)&gt;=main!$D$103+VLOOKUP(VLOOKUP(V$1,main!$A$3:$I$102,7,FALSE),main!$K$26:$Q$29,5,FALSE)),1,0)</f>
        <v>0</v>
      </c>
      <c r="W217">
        <f>IF(AND(VLOOKUP(W$1,main!$A$3:$H$102,7,FALSE)=main!$G$105,VLOOKUP(W$1,main!$A$3:$H$102,5,FALSE)-VLOOKUP($A217,main!$A$3:$H$102,6,FALSE)&gt;=main!$D$103+VLOOKUP(VLOOKUP(W$1,main!$A$3:$I$102,7,FALSE),main!$K$26:$Q$29,5,FALSE)),1,0)</f>
        <v>0</v>
      </c>
      <c r="X217">
        <f>IF(AND(VLOOKUP(X$1,main!$A$3:$H$102,7,FALSE)=main!$G$105,VLOOKUP(X$1,main!$A$3:$H$102,5,FALSE)-VLOOKUP($A217,main!$A$3:$H$102,6,FALSE)&gt;=main!$D$103+VLOOKUP(VLOOKUP(X$1,main!$A$3:$I$102,7,FALSE),main!$K$26:$Q$29,5,FALSE)),1,0)</f>
        <v>0</v>
      </c>
      <c r="Y217">
        <f>IF(AND(VLOOKUP(Y$1,main!$A$3:$H$102,7,FALSE)=main!$G$105,VLOOKUP(Y$1,main!$A$3:$H$102,5,FALSE)-VLOOKUP($A217,main!$A$3:$H$102,6,FALSE)&gt;=main!$D$103+VLOOKUP(VLOOKUP(Y$1,main!$A$3:$I$102,7,FALSE),main!$K$26:$Q$29,5,FALSE)),1,0)</f>
        <v>0</v>
      </c>
      <c r="Z217">
        <f>IF(AND(VLOOKUP(Z$1,main!$A$3:$H$102,7,FALSE)=main!$G$105,VLOOKUP(Z$1,main!$A$3:$H$102,5,FALSE)-VLOOKUP($A217,main!$A$3:$H$102,6,FALSE)&gt;=main!$D$103+VLOOKUP(VLOOKUP(Z$1,main!$A$3:$I$102,7,FALSE),main!$K$26:$Q$29,5,FALSE)),1,0)</f>
        <v>0</v>
      </c>
      <c r="AA217">
        <f>IF(AND(VLOOKUP(AA$1,main!$A$3:$H$102,7,FALSE)=main!$G$105,VLOOKUP(AA$1,main!$A$3:$H$102,5,FALSE)-VLOOKUP($A217,main!$A$3:$H$102,6,FALSE)&gt;=main!$D$103+VLOOKUP(VLOOKUP(AA$1,main!$A$3:$I$102,7,FALSE),main!$K$26:$Q$29,5,FALSE)),1,0)</f>
        <v>0</v>
      </c>
      <c r="AB217">
        <f>IF(AND(VLOOKUP(AB$1,main!$A$3:$H$102,7,FALSE)=main!$G$105,VLOOKUP(AB$1,main!$A$3:$H$102,5,FALSE)-VLOOKUP($A217,main!$A$3:$H$102,6,FALSE)&gt;=main!$D$103+VLOOKUP(VLOOKUP(AB$1,main!$A$3:$I$102,7,FALSE),main!$K$26:$Q$29,5,FALSE)),1,0)</f>
        <v>0</v>
      </c>
      <c r="AC217">
        <f>IF(AND(VLOOKUP(AC$1,main!$A$3:$H$102,7,FALSE)=main!$G$105,VLOOKUP(AC$1,main!$A$3:$H$102,5,FALSE)-VLOOKUP($A217,main!$A$3:$H$102,6,FALSE)&gt;=main!$D$103+VLOOKUP(VLOOKUP(AC$1,main!$A$3:$I$102,7,FALSE),main!$K$26:$Q$29,5,FALSE)),1,0)</f>
        <v>0</v>
      </c>
      <c r="AD217">
        <f>IF(AND(VLOOKUP(AD$1,main!$A$3:$H$102,7,FALSE)=main!$G$105,VLOOKUP(AD$1,main!$A$3:$H$102,5,FALSE)-VLOOKUP($A217,main!$A$3:$H$102,6,FALSE)&gt;=main!$D$103+VLOOKUP(VLOOKUP(AD$1,main!$A$3:$I$102,7,FALSE),main!$K$26:$Q$29,5,FALSE)),1,0)</f>
        <v>0</v>
      </c>
      <c r="AE217">
        <f>IF(AND(VLOOKUP(AE$1,main!$A$3:$H$102,7,FALSE)=main!$G$105,VLOOKUP(AE$1,main!$A$3:$H$102,5,FALSE)-VLOOKUP($A217,main!$A$3:$H$102,6,FALSE)&gt;=main!$D$103+VLOOKUP(VLOOKUP(AE$1,main!$A$3:$I$102,7,FALSE),main!$K$26:$Q$29,5,FALSE)),1,0)</f>
        <v>0</v>
      </c>
      <c r="AF217">
        <f>IF(AND(VLOOKUP(AF$1,main!$A$3:$H$102,7,FALSE)=main!$G$105,VLOOKUP(AF$1,main!$A$3:$H$102,5,FALSE)-VLOOKUP($A217,main!$A$3:$H$102,6,FALSE)&gt;=main!$D$103+VLOOKUP(VLOOKUP(AF$1,main!$A$3:$I$102,7,FALSE),main!$K$26:$Q$29,5,FALSE)),1,0)</f>
        <v>0</v>
      </c>
      <c r="AG217">
        <f>IF(AND(VLOOKUP(AG$1,main!$A$3:$H$102,7,FALSE)=main!$G$105,VLOOKUP(AG$1,main!$A$3:$H$102,5,FALSE)-VLOOKUP($A217,main!$A$3:$H$102,6,FALSE)&gt;=main!$D$103+VLOOKUP(VLOOKUP(AG$1,main!$A$3:$I$102,7,FALSE),main!$K$26:$Q$29,5,FALSE)),1,0)</f>
        <v>0</v>
      </c>
      <c r="AH217">
        <f>IF(AND(VLOOKUP(AH$1,main!$A$3:$H$102,7,FALSE)=main!$G$105,VLOOKUP(AH$1,main!$A$3:$H$102,5,FALSE)-VLOOKUP($A217,main!$A$3:$H$102,6,FALSE)&gt;=main!$D$103+VLOOKUP(VLOOKUP(AH$1,main!$A$3:$I$102,7,FALSE),main!$K$26:$Q$29,5,FALSE)),1,0)</f>
        <v>0</v>
      </c>
      <c r="AI217">
        <f>IF(AND(VLOOKUP(AI$1,main!$A$3:$H$102,7,FALSE)=main!$G$105,VLOOKUP(AI$1,main!$A$3:$H$102,5,FALSE)-VLOOKUP($A217,main!$A$3:$H$102,6,FALSE)&gt;=main!$D$103+VLOOKUP(VLOOKUP(AI$1,main!$A$3:$I$102,7,FALSE),main!$K$26:$Q$29,5,FALSE)),1,0)</f>
        <v>0</v>
      </c>
      <c r="AJ217">
        <f>IF(AND(VLOOKUP(AJ$1,main!$A$3:$H$102,7,FALSE)=main!$G$105,VLOOKUP(AJ$1,main!$A$3:$H$102,5,FALSE)-VLOOKUP($A217,main!$A$3:$H$102,6,FALSE)&gt;=main!$D$103+VLOOKUP(VLOOKUP(AJ$1,main!$A$3:$I$102,7,FALSE),main!$K$26:$Q$29,5,FALSE)),1,0)</f>
        <v>1</v>
      </c>
      <c r="AK217">
        <f>IF(AND(VLOOKUP(AK$1,main!$A$3:$H$102,7,FALSE)=main!$G$105,VLOOKUP(AK$1,main!$A$3:$H$102,5,FALSE)-VLOOKUP($A217,main!$A$3:$H$102,6,FALSE)&gt;=main!$D$103+VLOOKUP(VLOOKUP(AK$1,main!$A$3:$I$102,7,FALSE),main!$K$26:$Q$29,5,FALSE)),1,0)</f>
        <v>1</v>
      </c>
      <c r="AL217">
        <f>IF(AND(VLOOKUP(AL$1,main!$A$3:$H$102,7,FALSE)=main!$G$105,VLOOKUP(AL$1,main!$A$3:$H$102,5,FALSE)-VLOOKUP($A217,main!$A$3:$H$102,6,FALSE)&gt;=main!$D$103+VLOOKUP(VLOOKUP(AL$1,main!$A$3:$I$102,7,FALSE),main!$K$26:$Q$29,5,FALSE)),1,0)</f>
        <v>1</v>
      </c>
      <c r="AM217">
        <f>IF(AND(VLOOKUP(AM$1,main!$A$3:$H$102,7,FALSE)=main!$G$105,VLOOKUP(AM$1,main!$A$3:$H$102,5,FALSE)-VLOOKUP($A217,main!$A$3:$H$102,6,FALSE)&gt;=main!$D$103+VLOOKUP(VLOOKUP(AM$1,main!$A$3:$I$102,7,FALSE),main!$K$26:$Q$29,5,FALSE)),1,0)</f>
        <v>1</v>
      </c>
      <c r="AN217">
        <f>IF(AND(VLOOKUP(AN$1,main!$A$3:$H$102,7,FALSE)=main!$G$105,VLOOKUP(AN$1,main!$A$3:$H$102,5,FALSE)-VLOOKUP($A217,main!$A$3:$H$102,6,FALSE)&gt;=main!$D$103+VLOOKUP(VLOOKUP(AN$1,main!$A$3:$I$102,7,FALSE),main!$K$26:$Q$29,5,FALSE)),1,0)</f>
        <v>1</v>
      </c>
      <c r="AO217">
        <f>IF(AND(VLOOKUP(AO$1,main!$A$3:$H$102,7,FALSE)=main!$G$105,VLOOKUP(AO$1,main!$A$3:$H$102,5,FALSE)-VLOOKUP($A217,main!$A$3:$H$102,6,FALSE)&gt;=main!$D$103+VLOOKUP(VLOOKUP(AO$1,main!$A$3:$I$102,7,FALSE),main!$K$26:$Q$29,5,FALSE)),1,0)</f>
        <v>0</v>
      </c>
      <c r="AP217">
        <f>IF(AND(VLOOKUP(AP$1,main!$A$3:$H$102,7,FALSE)=main!$G$105,VLOOKUP(AP$1,main!$A$3:$H$102,5,FALSE)-VLOOKUP($A217,main!$A$3:$H$102,6,FALSE)&gt;=main!$D$103+VLOOKUP(VLOOKUP(AP$1,main!$A$3:$I$102,7,FALSE),main!$K$26:$Q$29,5,FALSE)),1,0)</f>
        <v>1</v>
      </c>
      <c r="AQ217">
        <f>IF(AND(VLOOKUP(AQ$1,main!$A$3:$H$102,7,FALSE)=main!$G$105,VLOOKUP(AQ$1,main!$A$3:$H$102,5,FALSE)-VLOOKUP($A217,main!$A$3:$H$102,6,FALSE)&gt;=main!$D$103+VLOOKUP(VLOOKUP(AQ$1,main!$A$3:$I$102,7,FALSE),main!$K$26:$Q$29,5,FALSE)),1,0)</f>
        <v>0</v>
      </c>
      <c r="AR217">
        <f>IF(AND(VLOOKUP(AR$1,main!$A$3:$H$102,7,FALSE)=main!$G$105,VLOOKUP(AR$1,main!$A$3:$H$102,5,FALSE)-VLOOKUP($A217,main!$A$3:$H$102,6,FALSE)&gt;=main!$D$103+VLOOKUP(VLOOKUP(AR$1,main!$A$3:$I$102,7,FALSE),main!$K$26:$Q$29,5,FALSE)),1,0)</f>
        <v>0</v>
      </c>
      <c r="AS217">
        <f>IF(AND(VLOOKUP(AS$1,main!$A$3:$H$102,7,FALSE)=main!$G$105,VLOOKUP(AS$1,main!$A$3:$H$102,5,FALSE)-VLOOKUP($A217,main!$A$3:$H$102,6,FALSE)&gt;=main!$D$103+VLOOKUP(VLOOKUP(AS$1,main!$A$3:$I$102,7,FALSE),main!$K$26:$Q$29,5,FALSE)),1,0)</f>
        <v>1</v>
      </c>
      <c r="AT217">
        <f>IF(AND(VLOOKUP(AT$1,main!$A$3:$H$102,7,FALSE)=main!$G$105,VLOOKUP(AT$1,main!$A$3:$H$102,5,FALSE)-VLOOKUP($A217,main!$A$3:$H$102,6,FALSE)&gt;=main!$D$103+VLOOKUP(VLOOKUP(AT$1,main!$A$3:$I$102,7,FALSE),main!$K$26:$Q$29,5,FALSE)),1,0)</f>
        <v>1</v>
      </c>
      <c r="AU217">
        <f>IF(AND(VLOOKUP(AU$1,main!$A$3:$H$102,7,FALSE)=main!$G$105,VLOOKUP(AU$1,main!$A$3:$H$102,5,FALSE)-VLOOKUP($A217,main!$A$3:$H$102,6,FALSE)&gt;=main!$D$103+VLOOKUP(VLOOKUP(AU$1,main!$A$3:$I$102,7,FALSE),main!$K$26:$Q$29,5,FALSE)),1,0)</f>
        <v>0</v>
      </c>
      <c r="AV217">
        <f>IF(AND(VLOOKUP(AV$1,main!$A$3:$H$102,7,FALSE)=main!$G$105,VLOOKUP(AV$1,main!$A$3:$H$102,5,FALSE)-VLOOKUP($A217,main!$A$3:$H$102,6,FALSE)&gt;=main!$D$103+VLOOKUP(VLOOKUP(AV$1,main!$A$3:$I$102,7,FALSE),main!$K$26:$Q$29,5,FALSE)),1,0)</f>
        <v>0</v>
      </c>
      <c r="AW217">
        <f>IF(AND(VLOOKUP(AW$1,main!$A$3:$H$102,7,FALSE)=main!$G$105,VLOOKUP(AW$1,main!$A$3:$H$102,5,FALSE)-VLOOKUP($A217,main!$A$3:$H$102,6,FALSE)&gt;=main!$D$103+VLOOKUP(VLOOKUP(AW$1,main!$A$3:$I$102,7,FALSE),main!$K$26:$Q$29,5,FALSE)),1,0)</f>
        <v>1</v>
      </c>
      <c r="AX217">
        <f>IF(AND(VLOOKUP(AX$1,main!$A$3:$H$102,7,FALSE)=main!$G$105,VLOOKUP(AX$1,main!$A$3:$H$102,5,FALSE)-VLOOKUP($A217,main!$A$3:$H$102,6,FALSE)&gt;=main!$D$103+VLOOKUP(VLOOKUP(AX$1,main!$A$3:$I$102,7,FALSE),main!$K$26:$Q$29,5,FALSE)),1,0)</f>
        <v>0</v>
      </c>
      <c r="AY217">
        <f>IF(AND(VLOOKUP(AY$1,main!$A$3:$H$102,7,FALSE)=main!$G$105,VLOOKUP(AY$1,main!$A$3:$H$102,5,FALSE)-VLOOKUP($A217,main!$A$3:$H$102,6,FALSE)&gt;=main!$D$103+VLOOKUP(VLOOKUP(AY$1,main!$A$3:$I$102,7,FALSE),main!$K$26:$Q$29,5,FALSE)),1,0)</f>
        <v>0</v>
      </c>
      <c r="AZ217">
        <f>IF(AND(VLOOKUP(AZ$1,main!$A$3:$H$102,7,FALSE)=main!$G$105,VLOOKUP(AZ$1,main!$A$3:$H$102,5,FALSE)-VLOOKUP($A217,main!$A$3:$H$102,6,FALSE)&gt;=main!$D$103+VLOOKUP(VLOOKUP(AZ$1,main!$A$3:$I$102,7,FALSE),main!$K$26:$Q$29,5,FALSE)),1,0)</f>
        <v>0</v>
      </c>
      <c r="BA217">
        <f>IF(AND(VLOOKUP(BA$1,main!$A$3:$H$102,7,FALSE)=main!$G$105,VLOOKUP(BA$1,main!$A$3:$H$102,5,FALSE)-VLOOKUP($A217,main!$A$3:$H$102,6,FALSE)&gt;=main!$D$103+VLOOKUP(VLOOKUP(BA$1,main!$A$3:$I$102,7,FALSE),main!$K$26:$Q$29,5,FALSE)),1,0)</f>
        <v>0</v>
      </c>
      <c r="BB217">
        <f>IF(AND(VLOOKUP(BB$1,main!$A$3:$H$102,7,FALSE)=main!$G$105,VLOOKUP(BB$1,main!$A$3:$H$102,5,FALSE)-VLOOKUP($A217,main!$A$3:$H$102,6,FALSE)&gt;=main!$D$103+VLOOKUP(VLOOKUP(BB$1,main!$A$3:$I$102,7,FALSE),main!$K$26:$Q$29,5,FALSE)),1,0)</f>
        <v>0</v>
      </c>
      <c r="BC217">
        <f>IF(AND(VLOOKUP(BC$1,main!$A$3:$H$102,7,FALSE)=main!$G$105,VLOOKUP(BC$1,main!$A$3:$H$102,5,FALSE)-VLOOKUP($A217,main!$A$3:$H$102,6,FALSE)&gt;=main!$D$103+VLOOKUP(VLOOKUP(BC$1,main!$A$3:$I$102,7,FALSE),main!$K$26:$Q$29,5,FALSE)),1,0)</f>
        <v>0</v>
      </c>
      <c r="BD217">
        <f>IF(AND(VLOOKUP(BD$1,main!$A$3:$H$102,7,FALSE)=main!$G$105,VLOOKUP(BD$1,main!$A$3:$H$102,5,FALSE)-VLOOKUP($A217,main!$A$3:$H$102,6,FALSE)&gt;=main!$D$103+VLOOKUP(VLOOKUP(BD$1,main!$A$3:$I$102,7,FALSE),main!$K$26:$Q$29,5,FALSE)),1,0)</f>
        <v>0</v>
      </c>
      <c r="BE217">
        <f>IF(AND(VLOOKUP(BE$1,main!$A$3:$H$102,7,FALSE)=main!$G$105,VLOOKUP(BE$1,main!$A$3:$H$102,5,FALSE)-VLOOKUP($A217,main!$A$3:$H$102,6,FALSE)&gt;=main!$D$103+VLOOKUP(VLOOKUP(BE$1,main!$A$3:$I$102,7,FALSE),main!$K$26:$Q$29,5,FALSE)),1,0)</f>
        <v>0</v>
      </c>
      <c r="BF217">
        <f>IF(AND(VLOOKUP(BF$1,main!$A$3:$H$102,7,FALSE)=main!$G$105,VLOOKUP(BF$1,main!$A$3:$H$102,5,FALSE)-VLOOKUP($A217,main!$A$3:$H$102,6,FALSE)&gt;=main!$D$103+VLOOKUP(VLOOKUP(BF$1,main!$A$3:$I$102,7,FALSE),main!$K$26:$Q$29,5,FALSE)),1,0)</f>
        <v>0</v>
      </c>
      <c r="BG217">
        <f>IF(AND(VLOOKUP(BG$1,main!$A$3:$H$102,7,FALSE)=main!$G$105,VLOOKUP(BG$1,main!$A$3:$H$102,5,FALSE)-VLOOKUP($A217,main!$A$3:$H$102,6,FALSE)&gt;=main!$D$103+VLOOKUP(VLOOKUP(BG$1,main!$A$3:$I$102,7,FALSE),main!$K$26:$Q$29,5,FALSE)),1,0)</f>
        <v>0</v>
      </c>
      <c r="BH217">
        <f>IF(AND(VLOOKUP(BH$1,main!$A$3:$H$102,7,FALSE)=main!$G$105,VLOOKUP(BH$1,main!$A$3:$H$102,5,FALSE)-VLOOKUP($A217,main!$A$3:$H$102,6,FALSE)&gt;=main!$D$103+VLOOKUP(VLOOKUP(BH$1,main!$A$3:$I$102,7,FALSE),main!$K$26:$Q$29,5,FALSE)),1,0)</f>
        <v>0</v>
      </c>
      <c r="BI217">
        <f>IF(AND(VLOOKUP(BI$1,main!$A$3:$H$102,7,FALSE)=main!$G$105,VLOOKUP(BI$1,main!$A$3:$H$102,5,FALSE)-VLOOKUP($A217,main!$A$3:$H$102,6,FALSE)&gt;=main!$D$103+VLOOKUP(VLOOKUP(BI$1,main!$A$3:$I$102,7,FALSE),main!$K$26:$Q$29,5,FALSE)),1,0)</f>
        <v>0</v>
      </c>
      <c r="BJ217">
        <f>IF(AND(VLOOKUP(BJ$1,main!$A$3:$H$102,7,FALSE)=main!$G$105,VLOOKUP(BJ$1,main!$A$3:$H$102,5,FALSE)-VLOOKUP($A217,main!$A$3:$H$102,6,FALSE)&gt;=main!$D$103+VLOOKUP(VLOOKUP(BJ$1,main!$A$3:$I$102,7,FALSE),main!$K$26:$Q$29,5,FALSE)),1,0)</f>
        <v>0</v>
      </c>
      <c r="BK217">
        <f>IF(AND(VLOOKUP(BK$1,main!$A$3:$H$102,7,FALSE)=main!$G$105,VLOOKUP(BK$1,main!$A$3:$H$102,5,FALSE)-VLOOKUP($A217,main!$A$3:$H$102,6,FALSE)&gt;=main!$D$103+VLOOKUP(VLOOKUP(BK$1,main!$A$3:$I$102,7,FALSE),main!$K$26:$Q$29,5,FALSE)),1,0)</f>
        <v>0</v>
      </c>
      <c r="BL217">
        <f>IF(AND(VLOOKUP(BL$1,main!$A$3:$H$102,7,FALSE)=main!$G$105,VLOOKUP(BL$1,main!$A$3:$H$102,5,FALSE)-VLOOKUP($A217,main!$A$3:$H$102,6,FALSE)&gt;=main!$D$103+VLOOKUP(VLOOKUP(BL$1,main!$A$3:$I$102,7,FALSE),main!$K$26:$Q$29,5,FALSE)),1,0)</f>
        <v>0</v>
      </c>
      <c r="BM217">
        <f>IF(AND(VLOOKUP(BM$1,main!$A$3:$H$102,7,FALSE)=main!$G$105,VLOOKUP(BM$1,main!$A$3:$H$102,5,FALSE)-VLOOKUP($A217,main!$A$3:$H$102,6,FALSE)&gt;=main!$D$103+VLOOKUP(VLOOKUP(BM$1,main!$A$3:$I$102,7,FALSE),main!$K$26:$Q$29,5,FALSE)),1,0)</f>
        <v>0</v>
      </c>
      <c r="BN217">
        <f>IF(AND(VLOOKUP(BN$1,main!$A$3:$H$102,7,FALSE)=main!$G$105,VLOOKUP(BN$1,main!$A$3:$H$102,5,FALSE)-VLOOKUP($A217,main!$A$3:$H$102,6,FALSE)&gt;=main!$D$103+VLOOKUP(VLOOKUP(BN$1,main!$A$3:$I$102,7,FALSE),main!$K$26:$Q$29,5,FALSE)),1,0)</f>
        <v>0</v>
      </c>
      <c r="BO217">
        <f>IF(AND(VLOOKUP(BO$1,main!$A$3:$H$102,7,FALSE)=main!$G$105,VLOOKUP(BO$1,main!$A$3:$H$102,5,FALSE)-VLOOKUP($A217,main!$A$3:$H$102,6,FALSE)&gt;=main!$D$103+VLOOKUP(VLOOKUP(BO$1,main!$A$3:$I$102,7,FALSE),main!$K$26:$Q$29,5,FALSE)),1,0)</f>
        <v>0</v>
      </c>
      <c r="BP217">
        <f>IF(AND(VLOOKUP(BP$1,main!$A$3:$H$102,7,FALSE)=main!$G$105,VLOOKUP(BP$1,main!$A$3:$H$102,5,FALSE)-VLOOKUP($A217,main!$A$3:$H$102,6,FALSE)&gt;=main!$D$103+VLOOKUP(VLOOKUP(BP$1,main!$A$3:$I$102,7,FALSE),main!$K$26:$Q$29,5,FALSE)),1,0)</f>
        <v>0</v>
      </c>
      <c r="BQ217">
        <f>IF(AND(VLOOKUP(BQ$1,main!$A$3:$H$102,7,FALSE)=main!$G$105,VLOOKUP(BQ$1,main!$A$3:$H$102,5,FALSE)-VLOOKUP($A217,main!$A$3:$H$102,6,FALSE)&gt;=main!$D$103+VLOOKUP(VLOOKUP(BQ$1,main!$A$3:$I$102,7,FALSE),main!$K$26:$Q$29,5,FALSE)),1,0)</f>
        <v>0</v>
      </c>
      <c r="BR217">
        <f>IF(AND(VLOOKUP(BR$1,main!$A$3:$H$102,7,FALSE)=main!$G$105,VLOOKUP(BR$1,main!$A$3:$H$102,5,FALSE)-VLOOKUP($A217,main!$A$3:$H$102,6,FALSE)&gt;=main!$D$103+VLOOKUP(VLOOKUP(BR$1,main!$A$3:$I$102,7,FALSE),main!$K$26:$Q$29,5,FALSE)),1,0)</f>
        <v>0</v>
      </c>
      <c r="BS217">
        <f>IF(AND(VLOOKUP(BS$1,main!$A$3:$H$102,7,FALSE)=main!$G$105,VLOOKUP(BS$1,main!$A$3:$H$102,5,FALSE)-VLOOKUP($A217,main!$A$3:$H$102,6,FALSE)&gt;=main!$D$103+VLOOKUP(VLOOKUP(BS$1,main!$A$3:$I$102,7,FALSE),main!$K$26:$Q$29,5,FALSE)),1,0)</f>
        <v>0</v>
      </c>
      <c r="BT217">
        <f>IF(AND(VLOOKUP(BT$1,main!$A$3:$H$102,7,FALSE)=main!$G$105,VLOOKUP(BT$1,main!$A$3:$H$102,5,FALSE)-VLOOKUP($A217,main!$A$3:$H$102,6,FALSE)&gt;=main!$D$103+VLOOKUP(VLOOKUP(BT$1,main!$A$3:$I$102,7,FALSE),main!$K$26:$Q$29,5,FALSE)),1,0)</f>
        <v>0</v>
      </c>
      <c r="BU217">
        <f>IF(AND(VLOOKUP(BU$1,main!$A$3:$H$102,7,FALSE)=main!$G$105,VLOOKUP(BU$1,main!$A$3:$H$102,5,FALSE)-VLOOKUP($A217,main!$A$3:$H$102,6,FALSE)&gt;=main!$D$103+VLOOKUP(VLOOKUP(BU$1,main!$A$3:$I$102,7,FALSE),main!$K$26:$Q$29,5,FALSE)),1,0)</f>
        <v>0</v>
      </c>
      <c r="BV217">
        <f>IF(AND(VLOOKUP(BV$1,main!$A$3:$H$102,7,FALSE)=main!$G$105,VLOOKUP(BV$1,main!$A$3:$H$102,5,FALSE)-VLOOKUP($A217,main!$A$3:$H$102,6,FALSE)&gt;=main!$D$103+VLOOKUP(VLOOKUP(BV$1,main!$A$3:$I$102,7,FALSE),main!$K$26:$Q$29,5,FALSE)),1,0)</f>
        <v>0</v>
      </c>
      <c r="BW217">
        <f>IF(AND(VLOOKUP(BW$1,main!$A$3:$H$102,7,FALSE)=main!$G$105,VLOOKUP(BW$1,main!$A$3:$H$102,5,FALSE)-VLOOKUP($A217,main!$A$3:$H$102,6,FALSE)&gt;=main!$D$103+VLOOKUP(VLOOKUP(BW$1,main!$A$3:$I$102,7,FALSE),main!$K$26:$Q$29,5,FALSE)),1,0)</f>
        <v>0</v>
      </c>
      <c r="BX217">
        <f>IF(AND(VLOOKUP(BX$1,main!$A$3:$H$102,7,FALSE)=main!$G$105,VLOOKUP(BX$1,main!$A$3:$H$102,5,FALSE)-VLOOKUP($A217,main!$A$3:$H$102,6,FALSE)&gt;=main!$D$103+VLOOKUP(VLOOKUP(BX$1,main!$A$3:$I$102,7,FALSE),main!$K$26:$Q$29,5,FALSE)),1,0)</f>
        <v>0</v>
      </c>
      <c r="BY217">
        <f>IF(AND(VLOOKUP(BY$1,main!$A$3:$H$102,7,FALSE)=main!$G$105,VLOOKUP(BY$1,main!$A$3:$H$102,5,FALSE)-VLOOKUP($A217,main!$A$3:$H$102,6,FALSE)&gt;=main!$D$103+VLOOKUP(VLOOKUP(BY$1,main!$A$3:$I$102,7,FALSE),main!$K$26:$Q$29,5,FALSE)),1,0)</f>
        <v>0</v>
      </c>
      <c r="BZ217">
        <f>IF(AND(VLOOKUP(BZ$1,main!$A$3:$H$102,7,FALSE)=main!$G$105,VLOOKUP(BZ$1,main!$A$3:$H$102,5,FALSE)-VLOOKUP($A217,main!$A$3:$H$102,6,FALSE)&gt;=main!$D$103+VLOOKUP(VLOOKUP(BZ$1,main!$A$3:$I$102,7,FALSE),main!$K$26:$Q$29,5,FALSE)),1,0)</f>
        <v>0</v>
      </c>
      <c r="CA217">
        <f>IF(AND(VLOOKUP(CA$1,main!$A$3:$H$102,7,FALSE)=main!$G$105,VLOOKUP(CA$1,main!$A$3:$H$102,5,FALSE)-VLOOKUP($A217,main!$A$3:$H$102,6,FALSE)&gt;=main!$D$103+VLOOKUP(VLOOKUP(CA$1,main!$A$3:$I$102,7,FALSE),main!$K$26:$Q$29,5,FALSE)),1,0)</f>
        <v>0</v>
      </c>
      <c r="CB217">
        <f>IF(AND(VLOOKUP(CB$1,main!$A$3:$H$102,7,FALSE)=main!$G$105,VLOOKUP(CB$1,main!$A$3:$H$102,5,FALSE)-VLOOKUP($A217,main!$A$3:$H$102,6,FALSE)&gt;=main!$D$103+VLOOKUP(VLOOKUP(CB$1,main!$A$3:$I$102,7,FALSE),main!$K$26:$Q$29,5,FALSE)),1,0)</f>
        <v>0</v>
      </c>
      <c r="CC217">
        <f>IF(AND(VLOOKUP(CC$1,main!$A$3:$H$102,7,FALSE)=main!$G$105,VLOOKUP(CC$1,main!$A$3:$H$102,5,FALSE)-VLOOKUP($A217,main!$A$3:$H$102,6,FALSE)&gt;=main!$D$103+VLOOKUP(VLOOKUP(CC$1,main!$A$3:$I$102,7,FALSE),main!$K$26:$Q$29,5,FALSE)),1,0)</f>
        <v>0</v>
      </c>
      <c r="CD217">
        <f>IF(AND(VLOOKUP(CD$1,main!$A$3:$H$102,7,FALSE)=main!$G$105,VLOOKUP(CD$1,main!$A$3:$H$102,5,FALSE)-VLOOKUP($A217,main!$A$3:$H$102,6,FALSE)&gt;=main!$D$103+VLOOKUP(VLOOKUP(CD$1,main!$A$3:$I$102,7,FALSE),main!$K$26:$Q$29,5,FALSE)),1,0)</f>
        <v>0</v>
      </c>
      <c r="CE217">
        <f>IF(AND(VLOOKUP(CE$1,main!$A$3:$H$102,7,FALSE)=main!$G$105,VLOOKUP(CE$1,main!$A$3:$H$102,5,FALSE)-VLOOKUP($A217,main!$A$3:$H$102,6,FALSE)&gt;=main!$D$103+VLOOKUP(VLOOKUP(CE$1,main!$A$3:$I$102,7,FALSE),main!$K$26:$Q$29,5,FALSE)),1,0)</f>
        <v>0</v>
      </c>
      <c r="CF217">
        <f>IF(AND(VLOOKUP(CF$1,main!$A$3:$H$102,7,FALSE)=main!$G$105,VLOOKUP(CF$1,main!$A$3:$H$102,5,FALSE)-VLOOKUP($A217,main!$A$3:$H$102,6,FALSE)&gt;=main!$D$103+VLOOKUP(VLOOKUP(CF$1,main!$A$3:$I$102,7,FALSE),main!$K$26:$Q$29,5,FALSE)),1,0)</f>
        <v>0</v>
      </c>
      <c r="CG217">
        <f>IF(AND(VLOOKUP(CG$1,main!$A$3:$H$102,7,FALSE)=main!$G$105,VLOOKUP(CG$1,main!$A$3:$H$102,5,FALSE)-VLOOKUP($A217,main!$A$3:$H$102,6,FALSE)&gt;=main!$D$103+VLOOKUP(VLOOKUP(CG$1,main!$A$3:$I$102,7,FALSE),main!$K$26:$Q$29,5,FALSE)),1,0)</f>
        <v>0</v>
      </c>
      <c r="CH217">
        <f>IF(AND(VLOOKUP(CH$1,main!$A$3:$H$102,7,FALSE)=main!$G$105,VLOOKUP(CH$1,main!$A$3:$H$102,5,FALSE)-VLOOKUP($A217,main!$A$3:$H$102,6,FALSE)&gt;=main!$D$103+VLOOKUP(VLOOKUP(CH$1,main!$A$3:$I$102,7,FALSE),main!$K$26:$Q$29,5,FALSE)),1,0)</f>
        <v>0</v>
      </c>
      <c r="CI217">
        <f>IF(AND(VLOOKUP(CI$1,main!$A$3:$H$102,7,FALSE)=main!$G$105,VLOOKUP(CI$1,main!$A$3:$H$102,5,FALSE)-VLOOKUP($A217,main!$A$3:$H$102,6,FALSE)&gt;=main!$D$103+VLOOKUP(VLOOKUP(CI$1,main!$A$3:$I$102,7,FALSE),main!$K$26:$Q$29,5,FALSE)),1,0)</f>
        <v>0</v>
      </c>
      <c r="CJ217">
        <f>IF(AND(VLOOKUP(CJ$1,main!$A$3:$H$102,7,FALSE)=main!$G$105,VLOOKUP(CJ$1,main!$A$3:$H$102,5,FALSE)-VLOOKUP($A217,main!$A$3:$H$102,6,FALSE)&gt;=main!$D$103+VLOOKUP(VLOOKUP(CJ$1,main!$A$3:$I$102,7,FALSE),main!$K$26:$Q$29,5,FALSE)),1,0)</f>
        <v>0</v>
      </c>
      <c r="CK217">
        <f>IF(AND(VLOOKUP(CK$1,main!$A$3:$H$102,7,FALSE)=main!$G$105,VLOOKUP(CK$1,main!$A$3:$H$102,5,FALSE)-VLOOKUP($A217,main!$A$3:$H$102,6,FALSE)&gt;=main!$D$103+VLOOKUP(VLOOKUP(CK$1,main!$A$3:$I$102,7,FALSE),main!$K$26:$Q$29,5,FALSE)),1,0)</f>
        <v>0</v>
      </c>
      <c r="CL217">
        <f>IF(AND(VLOOKUP(CL$1,main!$A$3:$H$102,7,FALSE)=main!$G$105,VLOOKUP(CL$1,main!$A$3:$H$102,5,FALSE)-VLOOKUP($A217,main!$A$3:$H$102,6,FALSE)&gt;=main!$D$103+VLOOKUP(VLOOKUP(CL$1,main!$A$3:$I$102,7,FALSE),main!$K$26:$Q$29,5,FALSE)),1,0)</f>
        <v>0</v>
      </c>
      <c r="CM217">
        <f>IF(AND(VLOOKUP(CM$1,main!$A$3:$H$102,7,FALSE)=main!$G$105,VLOOKUP(CM$1,main!$A$3:$H$102,5,FALSE)-VLOOKUP($A217,main!$A$3:$H$102,6,FALSE)&gt;=main!$D$103+VLOOKUP(VLOOKUP(CM$1,main!$A$3:$I$102,7,FALSE),main!$K$26:$Q$29,5,FALSE)),1,0)</f>
        <v>0</v>
      </c>
      <c r="CN217">
        <f>IF(AND(VLOOKUP(CN$1,main!$A$3:$H$102,7,FALSE)=main!$G$105,VLOOKUP(CN$1,main!$A$3:$H$102,5,FALSE)-VLOOKUP($A217,main!$A$3:$H$102,6,FALSE)&gt;=main!$D$103+VLOOKUP(VLOOKUP(CN$1,main!$A$3:$I$102,7,FALSE),main!$K$26:$Q$29,5,FALSE)),1,0)</f>
        <v>0</v>
      </c>
      <c r="CO217">
        <f>IF(AND(VLOOKUP(CO$1,main!$A$3:$H$102,7,FALSE)=main!$G$105,VLOOKUP(CO$1,main!$A$3:$H$102,5,FALSE)-VLOOKUP($A217,main!$A$3:$H$102,6,FALSE)&gt;=main!$D$103+VLOOKUP(VLOOKUP(CO$1,main!$A$3:$I$102,7,FALSE),main!$K$26:$Q$29,5,FALSE)),1,0)</f>
        <v>0</v>
      </c>
      <c r="CP217">
        <f>IF(AND(VLOOKUP(CP$1,main!$A$3:$H$102,7,FALSE)=main!$G$105,VLOOKUP(CP$1,main!$A$3:$H$102,5,FALSE)-VLOOKUP($A217,main!$A$3:$H$102,6,FALSE)&gt;=main!$D$103+VLOOKUP(VLOOKUP(CP$1,main!$A$3:$I$102,7,FALSE),main!$K$26:$Q$29,5,FALSE)),1,0)</f>
        <v>0</v>
      </c>
      <c r="CQ217">
        <f>IF(AND(VLOOKUP(CQ$1,main!$A$3:$H$102,7,FALSE)=main!$G$105,VLOOKUP(CQ$1,main!$A$3:$H$102,5,FALSE)-VLOOKUP($A217,main!$A$3:$H$102,6,FALSE)&gt;=main!$D$103+VLOOKUP(VLOOKUP(CQ$1,main!$A$3:$I$102,7,FALSE),main!$K$26:$Q$29,5,FALSE)),1,0)</f>
        <v>0</v>
      </c>
      <c r="CR217">
        <f>IF(AND(VLOOKUP(CR$1,main!$A$3:$H$102,7,FALSE)=main!$G$105,VLOOKUP(CR$1,main!$A$3:$H$102,5,FALSE)-VLOOKUP($A217,main!$A$3:$H$102,6,FALSE)&gt;=main!$D$103+VLOOKUP(VLOOKUP(CR$1,main!$A$3:$I$102,7,FALSE),main!$K$26:$Q$29,5,FALSE)),1,0)</f>
        <v>0</v>
      </c>
      <c r="CS217">
        <f>IF(AND(VLOOKUP(CS$1,main!$A$3:$H$102,7,FALSE)=main!$G$105,VLOOKUP(CS$1,main!$A$3:$H$102,5,FALSE)-VLOOKUP($A217,main!$A$3:$H$102,6,FALSE)&gt;=main!$D$103+VLOOKUP(VLOOKUP(CS$1,main!$A$3:$I$102,7,FALSE),main!$K$26:$Q$29,5,FALSE)),1,0)</f>
        <v>0</v>
      </c>
      <c r="CT217">
        <f>IF(AND(VLOOKUP(CT$1,main!$A$3:$H$102,7,FALSE)=main!$G$105,VLOOKUP(CT$1,main!$A$3:$H$102,5,FALSE)-VLOOKUP($A217,main!$A$3:$H$102,6,FALSE)&gt;=main!$D$103+VLOOKUP(VLOOKUP(CT$1,main!$A$3:$I$102,7,FALSE),main!$K$26:$Q$29,5,FALSE)),1,0)</f>
        <v>0</v>
      </c>
      <c r="CU217">
        <f>IF(AND(VLOOKUP(CU$1,main!$A$3:$H$102,7,FALSE)=main!$G$105,VLOOKUP(CU$1,main!$A$3:$H$102,5,FALSE)-VLOOKUP($A217,main!$A$3:$H$102,6,FALSE)&gt;=main!$D$103+VLOOKUP(VLOOKUP(CU$1,main!$A$3:$I$102,7,FALSE),main!$K$26:$Q$29,5,FALSE)),1,0)</f>
        <v>0</v>
      </c>
      <c r="CV217">
        <f>IF(AND(VLOOKUP(CV$1,main!$A$3:$H$102,7,FALSE)=main!$G$105,VLOOKUP(CV$1,main!$A$3:$H$102,5,FALSE)-VLOOKUP($A217,main!$A$3:$H$102,6,FALSE)&gt;=main!$D$103+VLOOKUP(VLOOKUP(CV$1,main!$A$3:$I$102,7,FALSE),main!$K$26:$Q$29,5,FALSE)),1,0)</f>
        <v>0</v>
      </c>
      <c r="CW217">
        <f>IF(AND(VLOOKUP(CW$1,main!$A$3:$H$102,7,FALSE)=main!$G$105,VLOOKUP(CW$1,main!$A$3:$H$102,5,FALSE)-VLOOKUP($A217,main!$A$3:$H$102,6,FALSE)&gt;=main!$D$103+VLOOKUP(VLOOKUP(CW$1,main!$A$3:$I$102,7,FALSE),main!$K$26:$Q$29,5,FALSE)),1,0)</f>
        <v>0</v>
      </c>
      <c r="CX217">
        <f>IF(AND(VLOOKUP(CX$1,main!$A$3:$H$102,7,FALSE)=main!$G$105,VLOOKUP(CX$1,main!$A$3:$H$102,5,FALSE)-VLOOKUP($A217,main!$A$3:$H$102,6,FALSE)&gt;=main!$D$103+VLOOKUP(VLOOKUP(CX$1,main!$A$3:$I$102,7,FALSE),main!$K$26:$Q$29,5,FALSE)),1,0)</f>
        <v>0</v>
      </c>
    </row>
    <row r="218" spans="1:102" x14ac:dyDescent="0.25">
      <c r="A218" s="1">
        <v>14</v>
      </c>
      <c r="B218">
        <v>0</v>
      </c>
      <c r="C218">
        <f>IF(AND(VLOOKUP(C$1,main!$A$3:$H$102,7,FALSE)=main!$G$105,VLOOKUP(C$1,main!$A$3:$H$102,5,FALSE)-VLOOKUP($A218,main!$A$3:$H$102,6,FALSE)&gt;=main!$D$103+VLOOKUP(VLOOKUP(C$1,main!$A$3:$I$102,7,FALSE),main!$K$26:$Q$29,5,FALSE)),1,0)</f>
        <v>0</v>
      </c>
      <c r="D218">
        <f>IF(AND(VLOOKUP(D$1,main!$A$3:$H$102,7,FALSE)=main!$G$105,VLOOKUP(D$1,main!$A$3:$H$102,5,FALSE)-VLOOKUP($A218,main!$A$3:$H$102,6,FALSE)&gt;=main!$D$103+VLOOKUP(VLOOKUP(D$1,main!$A$3:$I$102,7,FALSE),main!$K$26:$Q$29,5,FALSE)),1,0)</f>
        <v>0</v>
      </c>
      <c r="E218">
        <f>IF(AND(VLOOKUP(E$1,main!$A$3:$H$102,7,FALSE)=main!$G$105,VLOOKUP(E$1,main!$A$3:$H$102,5,FALSE)-VLOOKUP($A218,main!$A$3:$H$102,6,FALSE)&gt;=main!$D$103+VLOOKUP(VLOOKUP(E$1,main!$A$3:$I$102,7,FALSE),main!$K$26:$Q$29,5,FALSE)),1,0)</f>
        <v>0</v>
      </c>
      <c r="F218">
        <f>IF(AND(VLOOKUP(F$1,main!$A$3:$H$102,7,FALSE)=main!$G$105,VLOOKUP(F$1,main!$A$3:$H$102,5,FALSE)-VLOOKUP($A218,main!$A$3:$H$102,6,FALSE)&gt;=main!$D$103+VLOOKUP(VLOOKUP(F$1,main!$A$3:$I$102,7,FALSE),main!$K$26:$Q$29,5,FALSE)),1,0)</f>
        <v>0</v>
      </c>
      <c r="G218">
        <f>IF(AND(VLOOKUP(G$1,main!$A$3:$H$102,7,FALSE)=main!$G$105,VLOOKUP(G$1,main!$A$3:$H$102,5,FALSE)-VLOOKUP($A218,main!$A$3:$H$102,6,FALSE)&gt;=main!$D$103+VLOOKUP(VLOOKUP(G$1,main!$A$3:$I$102,7,FALSE),main!$K$26:$Q$29,5,FALSE)),1,0)</f>
        <v>0</v>
      </c>
      <c r="H218">
        <f>IF(AND(VLOOKUP(H$1,main!$A$3:$H$102,7,FALSE)=main!$G$105,VLOOKUP(H$1,main!$A$3:$H$102,5,FALSE)-VLOOKUP($A218,main!$A$3:$H$102,6,FALSE)&gt;=main!$D$103+VLOOKUP(VLOOKUP(H$1,main!$A$3:$I$102,7,FALSE),main!$K$26:$Q$29,5,FALSE)),1,0)</f>
        <v>0</v>
      </c>
      <c r="I218">
        <f>IF(AND(VLOOKUP(I$1,main!$A$3:$H$102,7,FALSE)=main!$G$105,VLOOKUP(I$1,main!$A$3:$H$102,5,FALSE)-VLOOKUP($A218,main!$A$3:$H$102,6,FALSE)&gt;=main!$D$103+VLOOKUP(VLOOKUP(I$1,main!$A$3:$I$102,7,FALSE),main!$K$26:$Q$29,5,FALSE)),1,0)</f>
        <v>0</v>
      </c>
      <c r="J218">
        <f>IF(AND(VLOOKUP(J$1,main!$A$3:$H$102,7,FALSE)=main!$G$105,VLOOKUP(J$1,main!$A$3:$H$102,5,FALSE)-VLOOKUP($A218,main!$A$3:$H$102,6,FALSE)&gt;=main!$D$103+VLOOKUP(VLOOKUP(J$1,main!$A$3:$I$102,7,FALSE),main!$K$26:$Q$29,5,FALSE)),1,0)</f>
        <v>0</v>
      </c>
      <c r="K218">
        <f>IF(AND(VLOOKUP(K$1,main!$A$3:$H$102,7,FALSE)=main!$G$105,VLOOKUP(K$1,main!$A$3:$H$102,5,FALSE)-VLOOKUP($A218,main!$A$3:$H$102,6,FALSE)&gt;=main!$D$103+VLOOKUP(VLOOKUP(K$1,main!$A$3:$I$102,7,FALSE),main!$K$26:$Q$29,5,FALSE)),1,0)</f>
        <v>0</v>
      </c>
      <c r="L218">
        <f>IF(AND(VLOOKUP(L$1,main!$A$3:$H$102,7,FALSE)=main!$G$105,VLOOKUP(L$1,main!$A$3:$H$102,5,FALSE)-VLOOKUP($A218,main!$A$3:$H$102,6,FALSE)&gt;=main!$D$103+VLOOKUP(VLOOKUP(L$1,main!$A$3:$I$102,7,FALSE),main!$K$26:$Q$29,5,FALSE)),1,0)</f>
        <v>0</v>
      </c>
      <c r="M218">
        <f>IF(AND(VLOOKUP(M$1,main!$A$3:$H$102,7,FALSE)=main!$G$105,VLOOKUP(M$1,main!$A$3:$H$102,5,FALSE)-VLOOKUP($A218,main!$A$3:$H$102,6,FALSE)&gt;=main!$D$103+VLOOKUP(VLOOKUP(M$1,main!$A$3:$I$102,7,FALSE),main!$K$26:$Q$29,5,FALSE)),1,0)</f>
        <v>0</v>
      </c>
      <c r="N218">
        <f>IF(AND(VLOOKUP(N$1,main!$A$3:$H$102,7,FALSE)=main!$G$105,VLOOKUP(N$1,main!$A$3:$H$102,5,FALSE)-VLOOKUP($A218,main!$A$3:$H$102,6,FALSE)&gt;=main!$D$103+VLOOKUP(VLOOKUP(N$1,main!$A$3:$I$102,7,FALSE),main!$K$26:$Q$29,5,FALSE)),1,0)</f>
        <v>0</v>
      </c>
      <c r="O218">
        <f>IF(AND(VLOOKUP(O$1,main!$A$3:$H$102,7,FALSE)=main!$G$105,VLOOKUP(O$1,main!$A$3:$H$102,5,FALSE)-VLOOKUP($A218,main!$A$3:$H$102,6,FALSE)&gt;=main!$D$103+VLOOKUP(VLOOKUP(O$1,main!$A$3:$I$102,7,FALSE),main!$K$26:$Q$29,5,FALSE)),1,0)</f>
        <v>0</v>
      </c>
      <c r="P218">
        <f>IF(AND(VLOOKUP(P$1,main!$A$3:$H$102,7,FALSE)=main!$G$105,VLOOKUP(P$1,main!$A$3:$H$102,5,FALSE)-VLOOKUP($A218,main!$A$3:$H$102,6,FALSE)&gt;=main!$D$103+VLOOKUP(VLOOKUP(P$1,main!$A$3:$I$102,7,FALSE),main!$K$26:$Q$29,5,FALSE)),1,0)</f>
        <v>0</v>
      </c>
      <c r="Q218">
        <f>IF(AND(VLOOKUP(Q$1,main!$A$3:$H$102,7,FALSE)=main!$G$105,VLOOKUP(Q$1,main!$A$3:$H$102,5,FALSE)-VLOOKUP($A218,main!$A$3:$H$102,6,FALSE)&gt;=main!$D$103+VLOOKUP(VLOOKUP(Q$1,main!$A$3:$I$102,7,FALSE),main!$K$26:$Q$29,5,FALSE)),1,0)</f>
        <v>0</v>
      </c>
      <c r="R218">
        <f>IF(AND(VLOOKUP(R$1,main!$A$3:$H$102,7,FALSE)=main!$G$105,VLOOKUP(R$1,main!$A$3:$H$102,5,FALSE)-VLOOKUP($A218,main!$A$3:$H$102,6,FALSE)&gt;=main!$D$103+VLOOKUP(VLOOKUP(R$1,main!$A$3:$I$102,7,FALSE),main!$K$26:$Q$29,5,FALSE)),1,0)</f>
        <v>0</v>
      </c>
      <c r="S218">
        <f>IF(AND(VLOOKUP(S$1,main!$A$3:$H$102,7,FALSE)=main!$G$105,VLOOKUP(S$1,main!$A$3:$H$102,5,FALSE)-VLOOKUP($A218,main!$A$3:$H$102,6,FALSE)&gt;=main!$D$103+VLOOKUP(VLOOKUP(S$1,main!$A$3:$I$102,7,FALSE),main!$K$26:$Q$29,5,FALSE)),1,0)</f>
        <v>0</v>
      </c>
      <c r="T218">
        <f>IF(AND(VLOOKUP(T$1,main!$A$3:$H$102,7,FALSE)=main!$G$105,VLOOKUP(T$1,main!$A$3:$H$102,5,FALSE)-VLOOKUP($A218,main!$A$3:$H$102,6,FALSE)&gt;=main!$D$103+VLOOKUP(VLOOKUP(T$1,main!$A$3:$I$102,7,FALSE),main!$K$26:$Q$29,5,FALSE)),1,0)</f>
        <v>0</v>
      </c>
      <c r="U218">
        <f>IF(AND(VLOOKUP(U$1,main!$A$3:$H$102,7,FALSE)=main!$G$105,VLOOKUP(U$1,main!$A$3:$H$102,5,FALSE)-VLOOKUP($A218,main!$A$3:$H$102,6,FALSE)&gt;=main!$D$103+VLOOKUP(VLOOKUP(U$1,main!$A$3:$I$102,7,FALSE),main!$K$26:$Q$29,5,FALSE)),1,0)</f>
        <v>0</v>
      </c>
      <c r="V218">
        <f>IF(AND(VLOOKUP(V$1,main!$A$3:$H$102,7,FALSE)=main!$G$105,VLOOKUP(V$1,main!$A$3:$H$102,5,FALSE)-VLOOKUP($A218,main!$A$3:$H$102,6,FALSE)&gt;=main!$D$103+VLOOKUP(VLOOKUP(V$1,main!$A$3:$I$102,7,FALSE),main!$K$26:$Q$29,5,FALSE)),1,0)</f>
        <v>0</v>
      </c>
      <c r="W218">
        <f>IF(AND(VLOOKUP(W$1,main!$A$3:$H$102,7,FALSE)=main!$G$105,VLOOKUP(W$1,main!$A$3:$H$102,5,FALSE)-VLOOKUP($A218,main!$A$3:$H$102,6,FALSE)&gt;=main!$D$103+VLOOKUP(VLOOKUP(W$1,main!$A$3:$I$102,7,FALSE),main!$K$26:$Q$29,5,FALSE)),1,0)</f>
        <v>0</v>
      </c>
      <c r="X218">
        <f>IF(AND(VLOOKUP(X$1,main!$A$3:$H$102,7,FALSE)=main!$G$105,VLOOKUP(X$1,main!$A$3:$H$102,5,FALSE)-VLOOKUP($A218,main!$A$3:$H$102,6,FALSE)&gt;=main!$D$103+VLOOKUP(VLOOKUP(X$1,main!$A$3:$I$102,7,FALSE),main!$K$26:$Q$29,5,FALSE)),1,0)</f>
        <v>0</v>
      </c>
      <c r="Y218">
        <f>IF(AND(VLOOKUP(Y$1,main!$A$3:$H$102,7,FALSE)=main!$G$105,VLOOKUP(Y$1,main!$A$3:$H$102,5,FALSE)-VLOOKUP($A218,main!$A$3:$H$102,6,FALSE)&gt;=main!$D$103+VLOOKUP(VLOOKUP(Y$1,main!$A$3:$I$102,7,FALSE),main!$K$26:$Q$29,5,FALSE)),1,0)</f>
        <v>0</v>
      </c>
      <c r="Z218">
        <f>IF(AND(VLOOKUP(Z$1,main!$A$3:$H$102,7,FALSE)=main!$G$105,VLOOKUP(Z$1,main!$A$3:$H$102,5,FALSE)-VLOOKUP($A218,main!$A$3:$H$102,6,FALSE)&gt;=main!$D$103+VLOOKUP(VLOOKUP(Z$1,main!$A$3:$I$102,7,FALSE),main!$K$26:$Q$29,5,FALSE)),1,0)</f>
        <v>0</v>
      </c>
      <c r="AA218">
        <f>IF(AND(VLOOKUP(AA$1,main!$A$3:$H$102,7,FALSE)=main!$G$105,VLOOKUP(AA$1,main!$A$3:$H$102,5,FALSE)-VLOOKUP($A218,main!$A$3:$H$102,6,FALSE)&gt;=main!$D$103+VLOOKUP(VLOOKUP(AA$1,main!$A$3:$I$102,7,FALSE),main!$K$26:$Q$29,5,FALSE)),1,0)</f>
        <v>0</v>
      </c>
      <c r="AB218">
        <f>IF(AND(VLOOKUP(AB$1,main!$A$3:$H$102,7,FALSE)=main!$G$105,VLOOKUP(AB$1,main!$A$3:$H$102,5,FALSE)-VLOOKUP($A218,main!$A$3:$H$102,6,FALSE)&gt;=main!$D$103+VLOOKUP(VLOOKUP(AB$1,main!$A$3:$I$102,7,FALSE),main!$K$26:$Q$29,5,FALSE)),1,0)</f>
        <v>0</v>
      </c>
      <c r="AC218">
        <f>IF(AND(VLOOKUP(AC$1,main!$A$3:$H$102,7,FALSE)=main!$G$105,VLOOKUP(AC$1,main!$A$3:$H$102,5,FALSE)-VLOOKUP($A218,main!$A$3:$H$102,6,FALSE)&gt;=main!$D$103+VLOOKUP(VLOOKUP(AC$1,main!$A$3:$I$102,7,FALSE),main!$K$26:$Q$29,5,FALSE)),1,0)</f>
        <v>0</v>
      </c>
      <c r="AD218">
        <f>IF(AND(VLOOKUP(AD$1,main!$A$3:$H$102,7,FALSE)=main!$G$105,VLOOKUP(AD$1,main!$A$3:$H$102,5,FALSE)-VLOOKUP($A218,main!$A$3:$H$102,6,FALSE)&gt;=main!$D$103+VLOOKUP(VLOOKUP(AD$1,main!$A$3:$I$102,7,FALSE),main!$K$26:$Q$29,5,FALSE)),1,0)</f>
        <v>0</v>
      </c>
      <c r="AE218">
        <f>IF(AND(VLOOKUP(AE$1,main!$A$3:$H$102,7,FALSE)=main!$G$105,VLOOKUP(AE$1,main!$A$3:$H$102,5,FALSE)-VLOOKUP($A218,main!$A$3:$H$102,6,FALSE)&gt;=main!$D$103+VLOOKUP(VLOOKUP(AE$1,main!$A$3:$I$102,7,FALSE),main!$K$26:$Q$29,5,FALSE)),1,0)</f>
        <v>0</v>
      </c>
      <c r="AF218">
        <f>IF(AND(VLOOKUP(AF$1,main!$A$3:$H$102,7,FALSE)=main!$G$105,VLOOKUP(AF$1,main!$A$3:$H$102,5,FALSE)-VLOOKUP($A218,main!$A$3:$H$102,6,FALSE)&gt;=main!$D$103+VLOOKUP(VLOOKUP(AF$1,main!$A$3:$I$102,7,FALSE),main!$K$26:$Q$29,5,FALSE)),1,0)</f>
        <v>0</v>
      </c>
      <c r="AG218">
        <f>IF(AND(VLOOKUP(AG$1,main!$A$3:$H$102,7,FALSE)=main!$G$105,VLOOKUP(AG$1,main!$A$3:$H$102,5,FALSE)-VLOOKUP($A218,main!$A$3:$H$102,6,FALSE)&gt;=main!$D$103+VLOOKUP(VLOOKUP(AG$1,main!$A$3:$I$102,7,FALSE),main!$K$26:$Q$29,5,FALSE)),1,0)</f>
        <v>0</v>
      </c>
      <c r="AH218">
        <f>IF(AND(VLOOKUP(AH$1,main!$A$3:$H$102,7,FALSE)=main!$G$105,VLOOKUP(AH$1,main!$A$3:$H$102,5,FALSE)-VLOOKUP($A218,main!$A$3:$H$102,6,FALSE)&gt;=main!$D$103+VLOOKUP(VLOOKUP(AH$1,main!$A$3:$I$102,7,FALSE),main!$K$26:$Q$29,5,FALSE)),1,0)</f>
        <v>0</v>
      </c>
      <c r="AI218">
        <f>IF(AND(VLOOKUP(AI$1,main!$A$3:$H$102,7,FALSE)=main!$G$105,VLOOKUP(AI$1,main!$A$3:$H$102,5,FALSE)-VLOOKUP($A218,main!$A$3:$H$102,6,FALSE)&gt;=main!$D$103+VLOOKUP(VLOOKUP(AI$1,main!$A$3:$I$102,7,FALSE),main!$K$26:$Q$29,5,FALSE)),1,0)</f>
        <v>0</v>
      </c>
      <c r="AJ218">
        <f>IF(AND(VLOOKUP(AJ$1,main!$A$3:$H$102,7,FALSE)=main!$G$105,VLOOKUP(AJ$1,main!$A$3:$H$102,5,FALSE)-VLOOKUP($A218,main!$A$3:$H$102,6,FALSE)&gt;=main!$D$103+VLOOKUP(VLOOKUP(AJ$1,main!$A$3:$I$102,7,FALSE),main!$K$26:$Q$29,5,FALSE)),1,0)</f>
        <v>0</v>
      </c>
      <c r="AK218">
        <f>IF(AND(VLOOKUP(AK$1,main!$A$3:$H$102,7,FALSE)=main!$G$105,VLOOKUP(AK$1,main!$A$3:$H$102,5,FALSE)-VLOOKUP($A218,main!$A$3:$H$102,6,FALSE)&gt;=main!$D$103+VLOOKUP(VLOOKUP(AK$1,main!$A$3:$I$102,7,FALSE),main!$K$26:$Q$29,5,FALSE)),1,0)</f>
        <v>1</v>
      </c>
      <c r="AL218">
        <f>IF(AND(VLOOKUP(AL$1,main!$A$3:$H$102,7,FALSE)=main!$G$105,VLOOKUP(AL$1,main!$A$3:$H$102,5,FALSE)-VLOOKUP($A218,main!$A$3:$H$102,6,FALSE)&gt;=main!$D$103+VLOOKUP(VLOOKUP(AL$1,main!$A$3:$I$102,7,FALSE),main!$K$26:$Q$29,5,FALSE)),1,0)</f>
        <v>1</v>
      </c>
      <c r="AM218">
        <f>IF(AND(VLOOKUP(AM$1,main!$A$3:$H$102,7,FALSE)=main!$G$105,VLOOKUP(AM$1,main!$A$3:$H$102,5,FALSE)-VLOOKUP($A218,main!$A$3:$H$102,6,FALSE)&gt;=main!$D$103+VLOOKUP(VLOOKUP(AM$1,main!$A$3:$I$102,7,FALSE),main!$K$26:$Q$29,5,FALSE)),1,0)</f>
        <v>1</v>
      </c>
      <c r="AN218">
        <f>IF(AND(VLOOKUP(AN$1,main!$A$3:$H$102,7,FALSE)=main!$G$105,VLOOKUP(AN$1,main!$A$3:$H$102,5,FALSE)-VLOOKUP($A218,main!$A$3:$H$102,6,FALSE)&gt;=main!$D$103+VLOOKUP(VLOOKUP(AN$1,main!$A$3:$I$102,7,FALSE),main!$K$26:$Q$29,5,FALSE)),1,0)</f>
        <v>1</v>
      </c>
      <c r="AO218">
        <f>IF(AND(VLOOKUP(AO$1,main!$A$3:$H$102,7,FALSE)=main!$G$105,VLOOKUP(AO$1,main!$A$3:$H$102,5,FALSE)-VLOOKUP($A218,main!$A$3:$H$102,6,FALSE)&gt;=main!$D$103+VLOOKUP(VLOOKUP(AO$1,main!$A$3:$I$102,7,FALSE),main!$K$26:$Q$29,5,FALSE)),1,0)</f>
        <v>0</v>
      </c>
      <c r="AP218">
        <f>IF(AND(VLOOKUP(AP$1,main!$A$3:$H$102,7,FALSE)=main!$G$105,VLOOKUP(AP$1,main!$A$3:$H$102,5,FALSE)-VLOOKUP($A218,main!$A$3:$H$102,6,FALSE)&gt;=main!$D$103+VLOOKUP(VLOOKUP(AP$1,main!$A$3:$I$102,7,FALSE),main!$K$26:$Q$29,5,FALSE)),1,0)</f>
        <v>1</v>
      </c>
      <c r="AQ218">
        <f>IF(AND(VLOOKUP(AQ$1,main!$A$3:$H$102,7,FALSE)=main!$G$105,VLOOKUP(AQ$1,main!$A$3:$H$102,5,FALSE)-VLOOKUP($A218,main!$A$3:$H$102,6,FALSE)&gt;=main!$D$103+VLOOKUP(VLOOKUP(AQ$1,main!$A$3:$I$102,7,FALSE),main!$K$26:$Q$29,5,FALSE)),1,0)</f>
        <v>0</v>
      </c>
      <c r="AR218">
        <f>IF(AND(VLOOKUP(AR$1,main!$A$3:$H$102,7,FALSE)=main!$G$105,VLOOKUP(AR$1,main!$A$3:$H$102,5,FALSE)-VLOOKUP($A218,main!$A$3:$H$102,6,FALSE)&gt;=main!$D$103+VLOOKUP(VLOOKUP(AR$1,main!$A$3:$I$102,7,FALSE),main!$K$26:$Q$29,5,FALSE)),1,0)</f>
        <v>0</v>
      </c>
      <c r="AS218">
        <f>IF(AND(VLOOKUP(AS$1,main!$A$3:$H$102,7,FALSE)=main!$G$105,VLOOKUP(AS$1,main!$A$3:$H$102,5,FALSE)-VLOOKUP($A218,main!$A$3:$H$102,6,FALSE)&gt;=main!$D$103+VLOOKUP(VLOOKUP(AS$1,main!$A$3:$I$102,7,FALSE),main!$K$26:$Q$29,5,FALSE)),1,0)</f>
        <v>0</v>
      </c>
      <c r="AT218">
        <f>IF(AND(VLOOKUP(AT$1,main!$A$3:$H$102,7,FALSE)=main!$G$105,VLOOKUP(AT$1,main!$A$3:$H$102,5,FALSE)-VLOOKUP($A218,main!$A$3:$H$102,6,FALSE)&gt;=main!$D$103+VLOOKUP(VLOOKUP(AT$1,main!$A$3:$I$102,7,FALSE),main!$K$26:$Q$29,5,FALSE)),1,0)</f>
        <v>1</v>
      </c>
      <c r="AU218">
        <f>IF(AND(VLOOKUP(AU$1,main!$A$3:$H$102,7,FALSE)=main!$G$105,VLOOKUP(AU$1,main!$A$3:$H$102,5,FALSE)-VLOOKUP($A218,main!$A$3:$H$102,6,FALSE)&gt;=main!$D$103+VLOOKUP(VLOOKUP(AU$1,main!$A$3:$I$102,7,FALSE),main!$K$26:$Q$29,5,FALSE)),1,0)</f>
        <v>0</v>
      </c>
      <c r="AV218">
        <f>IF(AND(VLOOKUP(AV$1,main!$A$3:$H$102,7,FALSE)=main!$G$105,VLOOKUP(AV$1,main!$A$3:$H$102,5,FALSE)-VLOOKUP($A218,main!$A$3:$H$102,6,FALSE)&gt;=main!$D$103+VLOOKUP(VLOOKUP(AV$1,main!$A$3:$I$102,7,FALSE),main!$K$26:$Q$29,5,FALSE)),1,0)</f>
        <v>0</v>
      </c>
      <c r="AW218">
        <f>IF(AND(VLOOKUP(AW$1,main!$A$3:$H$102,7,FALSE)=main!$G$105,VLOOKUP(AW$1,main!$A$3:$H$102,5,FALSE)-VLOOKUP($A218,main!$A$3:$H$102,6,FALSE)&gt;=main!$D$103+VLOOKUP(VLOOKUP(AW$1,main!$A$3:$I$102,7,FALSE),main!$K$26:$Q$29,5,FALSE)),1,0)</f>
        <v>1</v>
      </c>
      <c r="AX218">
        <f>IF(AND(VLOOKUP(AX$1,main!$A$3:$H$102,7,FALSE)=main!$G$105,VLOOKUP(AX$1,main!$A$3:$H$102,5,FALSE)-VLOOKUP($A218,main!$A$3:$H$102,6,FALSE)&gt;=main!$D$103+VLOOKUP(VLOOKUP(AX$1,main!$A$3:$I$102,7,FALSE),main!$K$26:$Q$29,5,FALSE)),1,0)</f>
        <v>0</v>
      </c>
      <c r="AY218">
        <f>IF(AND(VLOOKUP(AY$1,main!$A$3:$H$102,7,FALSE)=main!$G$105,VLOOKUP(AY$1,main!$A$3:$H$102,5,FALSE)-VLOOKUP($A218,main!$A$3:$H$102,6,FALSE)&gt;=main!$D$103+VLOOKUP(VLOOKUP(AY$1,main!$A$3:$I$102,7,FALSE),main!$K$26:$Q$29,5,FALSE)),1,0)</f>
        <v>0</v>
      </c>
      <c r="AZ218">
        <f>IF(AND(VLOOKUP(AZ$1,main!$A$3:$H$102,7,FALSE)=main!$G$105,VLOOKUP(AZ$1,main!$A$3:$H$102,5,FALSE)-VLOOKUP($A218,main!$A$3:$H$102,6,FALSE)&gt;=main!$D$103+VLOOKUP(VLOOKUP(AZ$1,main!$A$3:$I$102,7,FALSE),main!$K$26:$Q$29,5,FALSE)),1,0)</f>
        <v>0</v>
      </c>
      <c r="BA218">
        <f>IF(AND(VLOOKUP(BA$1,main!$A$3:$H$102,7,FALSE)=main!$G$105,VLOOKUP(BA$1,main!$A$3:$H$102,5,FALSE)-VLOOKUP($A218,main!$A$3:$H$102,6,FALSE)&gt;=main!$D$103+VLOOKUP(VLOOKUP(BA$1,main!$A$3:$I$102,7,FALSE),main!$K$26:$Q$29,5,FALSE)),1,0)</f>
        <v>0</v>
      </c>
      <c r="BB218">
        <f>IF(AND(VLOOKUP(BB$1,main!$A$3:$H$102,7,FALSE)=main!$G$105,VLOOKUP(BB$1,main!$A$3:$H$102,5,FALSE)-VLOOKUP($A218,main!$A$3:$H$102,6,FALSE)&gt;=main!$D$103+VLOOKUP(VLOOKUP(BB$1,main!$A$3:$I$102,7,FALSE),main!$K$26:$Q$29,5,FALSE)),1,0)</f>
        <v>0</v>
      </c>
      <c r="BC218">
        <f>IF(AND(VLOOKUP(BC$1,main!$A$3:$H$102,7,FALSE)=main!$G$105,VLOOKUP(BC$1,main!$A$3:$H$102,5,FALSE)-VLOOKUP($A218,main!$A$3:$H$102,6,FALSE)&gt;=main!$D$103+VLOOKUP(VLOOKUP(BC$1,main!$A$3:$I$102,7,FALSE),main!$K$26:$Q$29,5,FALSE)),1,0)</f>
        <v>0</v>
      </c>
      <c r="BD218">
        <f>IF(AND(VLOOKUP(BD$1,main!$A$3:$H$102,7,FALSE)=main!$G$105,VLOOKUP(BD$1,main!$A$3:$H$102,5,FALSE)-VLOOKUP($A218,main!$A$3:$H$102,6,FALSE)&gt;=main!$D$103+VLOOKUP(VLOOKUP(BD$1,main!$A$3:$I$102,7,FALSE),main!$K$26:$Q$29,5,FALSE)),1,0)</f>
        <v>0</v>
      </c>
      <c r="BE218">
        <f>IF(AND(VLOOKUP(BE$1,main!$A$3:$H$102,7,FALSE)=main!$G$105,VLOOKUP(BE$1,main!$A$3:$H$102,5,FALSE)-VLOOKUP($A218,main!$A$3:$H$102,6,FALSE)&gt;=main!$D$103+VLOOKUP(VLOOKUP(BE$1,main!$A$3:$I$102,7,FALSE),main!$K$26:$Q$29,5,FALSE)),1,0)</f>
        <v>0</v>
      </c>
      <c r="BF218">
        <f>IF(AND(VLOOKUP(BF$1,main!$A$3:$H$102,7,FALSE)=main!$G$105,VLOOKUP(BF$1,main!$A$3:$H$102,5,FALSE)-VLOOKUP($A218,main!$A$3:$H$102,6,FALSE)&gt;=main!$D$103+VLOOKUP(VLOOKUP(BF$1,main!$A$3:$I$102,7,FALSE),main!$K$26:$Q$29,5,FALSE)),1,0)</f>
        <v>0</v>
      </c>
      <c r="BG218">
        <f>IF(AND(VLOOKUP(BG$1,main!$A$3:$H$102,7,FALSE)=main!$G$105,VLOOKUP(BG$1,main!$A$3:$H$102,5,FALSE)-VLOOKUP($A218,main!$A$3:$H$102,6,FALSE)&gt;=main!$D$103+VLOOKUP(VLOOKUP(BG$1,main!$A$3:$I$102,7,FALSE),main!$K$26:$Q$29,5,FALSE)),1,0)</f>
        <v>0</v>
      </c>
      <c r="BH218">
        <f>IF(AND(VLOOKUP(BH$1,main!$A$3:$H$102,7,FALSE)=main!$G$105,VLOOKUP(BH$1,main!$A$3:$H$102,5,FALSE)-VLOOKUP($A218,main!$A$3:$H$102,6,FALSE)&gt;=main!$D$103+VLOOKUP(VLOOKUP(BH$1,main!$A$3:$I$102,7,FALSE),main!$K$26:$Q$29,5,FALSE)),1,0)</f>
        <v>0</v>
      </c>
      <c r="BI218">
        <f>IF(AND(VLOOKUP(BI$1,main!$A$3:$H$102,7,FALSE)=main!$G$105,VLOOKUP(BI$1,main!$A$3:$H$102,5,FALSE)-VLOOKUP($A218,main!$A$3:$H$102,6,FALSE)&gt;=main!$D$103+VLOOKUP(VLOOKUP(BI$1,main!$A$3:$I$102,7,FALSE),main!$K$26:$Q$29,5,FALSE)),1,0)</f>
        <v>0</v>
      </c>
      <c r="BJ218">
        <f>IF(AND(VLOOKUP(BJ$1,main!$A$3:$H$102,7,FALSE)=main!$G$105,VLOOKUP(BJ$1,main!$A$3:$H$102,5,FALSE)-VLOOKUP($A218,main!$A$3:$H$102,6,FALSE)&gt;=main!$D$103+VLOOKUP(VLOOKUP(BJ$1,main!$A$3:$I$102,7,FALSE),main!$K$26:$Q$29,5,FALSE)),1,0)</f>
        <v>0</v>
      </c>
      <c r="BK218">
        <f>IF(AND(VLOOKUP(BK$1,main!$A$3:$H$102,7,FALSE)=main!$G$105,VLOOKUP(BK$1,main!$A$3:$H$102,5,FALSE)-VLOOKUP($A218,main!$A$3:$H$102,6,FALSE)&gt;=main!$D$103+VLOOKUP(VLOOKUP(BK$1,main!$A$3:$I$102,7,FALSE),main!$K$26:$Q$29,5,FALSE)),1,0)</f>
        <v>0</v>
      </c>
      <c r="BL218">
        <f>IF(AND(VLOOKUP(BL$1,main!$A$3:$H$102,7,FALSE)=main!$G$105,VLOOKUP(BL$1,main!$A$3:$H$102,5,FALSE)-VLOOKUP($A218,main!$A$3:$H$102,6,FALSE)&gt;=main!$D$103+VLOOKUP(VLOOKUP(BL$1,main!$A$3:$I$102,7,FALSE),main!$K$26:$Q$29,5,FALSE)),1,0)</f>
        <v>0</v>
      </c>
      <c r="BM218">
        <f>IF(AND(VLOOKUP(BM$1,main!$A$3:$H$102,7,FALSE)=main!$G$105,VLOOKUP(BM$1,main!$A$3:$H$102,5,FALSE)-VLOOKUP($A218,main!$A$3:$H$102,6,FALSE)&gt;=main!$D$103+VLOOKUP(VLOOKUP(BM$1,main!$A$3:$I$102,7,FALSE),main!$K$26:$Q$29,5,FALSE)),1,0)</f>
        <v>0</v>
      </c>
      <c r="BN218">
        <f>IF(AND(VLOOKUP(BN$1,main!$A$3:$H$102,7,FALSE)=main!$G$105,VLOOKUP(BN$1,main!$A$3:$H$102,5,FALSE)-VLOOKUP($A218,main!$A$3:$H$102,6,FALSE)&gt;=main!$D$103+VLOOKUP(VLOOKUP(BN$1,main!$A$3:$I$102,7,FALSE),main!$K$26:$Q$29,5,FALSE)),1,0)</f>
        <v>0</v>
      </c>
      <c r="BO218">
        <f>IF(AND(VLOOKUP(BO$1,main!$A$3:$H$102,7,FALSE)=main!$G$105,VLOOKUP(BO$1,main!$A$3:$H$102,5,FALSE)-VLOOKUP($A218,main!$A$3:$H$102,6,FALSE)&gt;=main!$D$103+VLOOKUP(VLOOKUP(BO$1,main!$A$3:$I$102,7,FALSE),main!$K$26:$Q$29,5,FALSE)),1,0)</f>
        <v>0</v>
      </c>
      <c r="BP218">
        <f>IF(AND(VLOOKUP(BP$1,main!$A$3:$H$102,7,FALSE)=main!$G$105,VLOOKUP(BP$1,main!$A$3:$H$102,5,FALSE)-VLOOKUP($A218,main!$A$3:$H$102,6,FALSE)&gt;=main!$D$103+VLOOKUP(VLOOKUP(BP$1,main!$A$3:$I$102,7,FALSE),main!$K$26:$Q$29,5,FALSE)),1,0)</f>
        <v>0</v>
      </c>
      <c r="BQ218">
        <f>IF(AND(VLOOKUP(BQ$1,main!$A$3:$H$102,7,FALSE)=main!$G$105,VLOOKUP(BQ$1,main!$A$3:$H$102,5,FALSE)-VLOOKUP($A218,main!$A$3:$H$102,6,FALSE)&gt;=main!$D$103+VLOOKUP(VLOOKUP(BQ$1,main!$A$3:$I$102,7,FALSE),main!$K$26:$Q$29,5,FALSE)),1,0)</f>
        <v>0</v>
      </c>
      <c r="BR218">
        <f>IF(AND(VLOOKUP(BR$1,main!$A$3:$H$102,7,FALSE)=main!$G$105,VLOOKUP(BR$1,main!$A$3:$H$102,5,FALSE)-VLOOKUP($A218,main!$A$3:$H$102,6,FALSE)&gt;=main!$D$103+VLOOKUP(VLOOKUP(BR$1,main!$A$3:$I$102,7,FALSE),main!$K$26:$Q$29,5,FALSE)),1,0)</f>
        <v>0</v>
      </c>
      <c r="BS218">
        <f>IF(AND(VLOOKUP(BS$1,main!$A$3:$H$102,7,FALSE)=main!$G$105,VLOOKUP(BS$1,main!$A$3:$H$102,5,FALSE)-VLOOKUP($A218,main!$A$3:$H$102,6,FALSE)&gt;=main!$D$103+VLOOKUP(VLOOKUP(BS$1,main!$A$3:$I$102,7,FALSE),main!$K$26:$Q$29,5,FALSE)),1,0)</f>
        <v>0</v>
      </c>
      <c r="BT218">
        <f>IF(AND(VLOOKUP(BT$1,main!$A$3:$H$102,7,FALSE)=main!$G$105,VLOOKUP(BT$1,main!$A$3:$H$102,5,FALSE)-VLOOKUP($A218,main!$A$3:$H$102,6,FALSE)&gt;=main!$D$103+VLOOKUP(VLOOKUP(BT$1,main!$A$3:$I$102,7,FALSE),main!$K$26:$Q$29,5,FALSE)),1,0)</f>
        <v>0</v>
      </c>
      <c r="BU218">
        <f>IF(AND(VLOOKUP(BU$1,main!$A$3:$H$102,7,FALSE)=main!$G$105,VLOOKUP(BU$1,main!$A$3:$H$102,5,FALSE)-VLOOKUP($A218,main!$A$3:$H$102,6,FALSE)&gt;=main!$D$103+VLOOKUP(VLOOKUP(BU$1,main!$A$3:$I$102,7,FALSE),main!$K$26:$Q$29,5,FALSE)),1,0)</f>
        <v>0</v>
      </c>
      <c r="BV218">
        <f>IF(AND(VLOOKUP(BV$1,main!$A$3:$H$102,7,FALSE)=main!$G$105,VLOOKUP(BV$1,main!$A$3:$H$102,5,FALSE)-VLOOKUP($A218,main!$A$3:$H$102,6,FALSE)&gt;=main!$D$103+VLOOKUP(VLOOKUP(BV$1,main!$A$3:$I$102,7,FALSE),main!$K$26:$Q$29,5,FALSE)),1,0)</f>
        <v>0</v>
      </c>
      <c r="BW218">
        <f>IF(AND(VLOOKUP(BW$1,main!$A$3:$H$102,7,FALSE)=main!$G$105,VLOOKUP(BW$1,main!$A$3:$H$102,5,FALSE)-VLOOKUP($A218,main!$A$3:$H$102,6,FALSE)&gt;=main!$D$103+VLOOKUP(VLOOKUP(BW$1,main!$A$3:$I$102,7,FALSE),main!$K$26:$Q$29,5,FALSE)),1,0)</f>
        <v>0</v>
      </c>
      <c r="BX218">
        <f>IF(AND(VLOOKUP(BX$1,main!$A$3:$H$102,7,FALSE)=main!$G$105,VLOOKUP(BX$1,main!$A$3:$H$102,5,FALSE)-VLOOKUP($A218,main!$A$3:$H$102,6,FALSE)&gt;=main!$D$103+VLOOKUP(VLOOKUP(BX$1,main!$A$3:$I$102,7,FALSE),main!$K$26:$Q$29,5,FALSE)),1,0)</f>
        <v>0</v>
      </c>
      <c r="BY218">
        <f>IF(AND(VLOOKUP(BY$1,main!$A$3:$H$102,7,FALSE)=main!$G$105,VLOOKUP(BY$1,main!$A$3:$H$102,5,FALSE)-VLOOKUP($A218,main!$A$3:$H$102,6,FALSE)&gt;=main!$D$103+VLOOKUP(VLOOKUP(BY$1,main!$A$3:$I$102,7,FALSE),main!$K$26:$Q$29,5,FALSE)),1,0)</f>
        <v>0</v>
      </c>
      <c r="BZ218">
        <f>IF(AND(VLOOKUP(BZ$1,main!$A$3:$H$102,7,FALSE)=main!$G$105,VLOOKUP(BZ$1,main!$A$3:$H$102,5,FALSE)-VLOOKUP($A218,main!$A$3:$H$102,6,FALSE)&gt;=main!$D$103+VLOOKUP(VLOOKUP(BZ$1,main!$A$3:$I$102,7,FALSE),main!$K$26:$Q$29,5,FALSE)),1,0)</f>
        <v>0</v>
      </c>
      <c r="CA218">
        <f>IF(AND(VLOOKUP(CA$1,main!$A$3:$H$102,7,FALSE)=main!$G$105,VLOOKUP(CA$1,main!$A$3:$H$102,5,FALSE)-VLOOKUP($A218,main!$A$3:$H$102,6,FALSE)&gt;=main!$D$103+VLOOKUP(VLOOKUP(CA$1,main!$A$3:$I$102,7,FALSE),main!$K$26:$Q$29,5,FALSE)),1,0)</f>
        <v>0</v>
      </c>
      <c r="CB218">
        <f>IF(AND(VLOOKUP(CB$1,main!$A$3:$H$102,7,FALSE)=main!$G$105,VLOOKUP(CB$1,main!$A$3:$H$102,5,FALSE)-VLOOKUP($A218,main!$A$3:$H$102,6,FALSE)&gt;=main!$D$103+VLOOKUP(VLOOKUP(CB$1,main!$A$3:$I$102,7,FALSE),main!$K$26:$Q$29,5,FALSE)),1,0)</f>
        <v>0</v>
      </c>
      <c r="CC218">
        <f>IF(AND(VLOOKUP(CC$1,main!$A$3:$H$102,7,FALSE)=main!$G$105,VLOOKUP(CC$1,main!$A$3:$H$102,5,FALSE)-VLOOKUP($A218,main!$A$3:$H$102,6,FALSE)&gt;=main!$D$103+VLOOKUP(VLOOKUP(CC$1,main!$A$3:$I$102,7,FALSE),main!$K$26:$Q$29,5,FALSE)),1,0)</f>
        <v>0</v>
      </c>
      <c r="CD218">
        <f>IF(AND(VLOOKUP(CD$1,main!$A$3:$H$102,7,FALSE)=main!$G$105,VLOOKUP(CD$1,main!$A$3:$H$102,5,FALSE)-VLOOKUP($A218,main!$A$3:$H$102,6,FALSE)&gt;=main!$D$103+VLOOKUP(VLOOKUP(CD$1,main!$A$3:$I$102,7,FALSE),main!$K$26:$Q$29,5,FALSE)),1,0)</f>
        <v>0</v>
      </c>
      <c r="CE218">
        <f>IF(AND(VLOOKUP(CE$1,main!$A$3:$H$102,7,FALSE)=main!$G$105,VLOOKUP(CE$1,main!$A$3:$H$102,5,FALSE)-VLOOKUP($A218,main!$A$3:$H$102,6,FALSE)&gt;=main!$D$103+VLOOKUP(VLOOKUP(CE$1,main!$A$3:$I$102,7,FALSE),main!$K$26:$Q$29,5,FALSE)),1,0)</f>
        <v>0</v>
      </c>
      <c r="CF218">
        <f>IF(AND(VLOOKUP(CF$1,main!$A$3:$H$102,7,FALSE)=main!$G$105,VLOOKUP(CF$1,main!$A$3:$H$102,5,FALSE)-VLOOKUP($A218,main!$A$3:$H$102,6,FALSE)&gt;=main!$D$103+VLOOKUP(VLOOKUP(CF$1,main!$A$3:$I$102,7,FALSE),main!$K$26:$Q$29,5,FALSE)),1,0)</f>
        <v>0</v>
      </c>
      <c r="CG218">
        <f>IF(AND(VLOOKUP(CG$1,main!$A$3:$H$102,7,FALSE)=main!$G$105,VLOOKUP(CG$1,main!$A$3:$H$102,5,FALSE)-VLOOKUP($A218,main!$A$3:$H$102,6,FALSE)&gt;=main!$D$103+VLOOKUP(VLOOKUP(CG$1,main!$A$3:$I$102,7,FALSE),main!$K$26:$Q$29,5,FALSE)),1,0)</f>
        <v>0</v>
      </c>
      <c r="CH218">
        <f>IF(AND(VLOOKUP(CH$1,main!$A$3:$H$102,7,FALSE)=main!$G$105,VLOOKUP(CH$1,main!$A$3:$H$102,5,FALSE)-VLOOKUP($A218,main!$A$3:$H$102,6,FALSE)&gt;=main!$D$103+VLOOKUP(VLOOKUP(CH$1,main!$A$3:$I$102,7,FALSE),main!$K$26:$Q$29,5,FALSE)),1,0)</f>
        <v>0</v>
      </c>
      <c r="CI218">
        <f>IF(AND(VLOOKUP(CI$1,main!$A$3:$H$102,7,FALSE)=main!$G$105,VLOOKUP(CI$1,main!$A$3:$H$102,5,FALSE)-VLOOKUP($A218,main!$A$3:$H$102,6,FALSE)&gt;=main!$D$103+VLOOKUP(VLOOKUP(CI$1,main!$A$3:$I$102,7,FALSE),main!$K$26:$Q$29,5,FALSE)),1,0)</f>
        <v>0</v>
      </c>
      <c r="CJ218">
        <f>IF(AND(VLOOKUP(CJ$1,main!$A$3:$H$102,7,FALSE)=main!$G$105,VLOOKUP(CJ$1,main!$A$3:$H$102,5,FALSE)-VLOOKUP($A218,main!$A$3:$H$102,6,FALSE)&gt;=main!$D$103+VLOOKUP(VLOOKUP(CJ$1,main!$A$3:$I$102,7,FALSE),main!$K$26:$Q$29,5,FALSE)),1,0)</f>
        <v>0</v>
      </c>
      <c r="CK218">
        <f>IF(AND(VLOOKUP(CK$1,main!$A$3:$H$102,7,FALSE)=main!$G$105,VLOOKUP(CK$1,main!$A$3:$H$102,5,FALSE)-VLOOKUP($A218,main!$A$3:$H$102,6,FALSE)&gt;=main!$D$103+VLOOKUP(VLOOKUP(CK$1,main!$A$3:$I$102,7,FALSE),main!$K$26:$Q$29,5,FALSE)),1,0)</f>
        <v>0</v>
      </c>
      <c r="CL218">
        <f>IF(AND(VLOOKUP(CL$1,main!$A$3:$H$102,7,FALSE)=main!$G$105,VLOOKUP(CL$1,main!$A$3:$H$102,5,FALSE)-VLOOKUP($A218,main!$A$3:$H$102,6,FALSE)&gt;=main!$D$103+VLOOKUP(VLOOKUP(CL$1,main!$A$3:$I$102,7,FALSE),main!$K$26:$Q$29,5,FALSE)),1,0)</f>
        <v>0</v>
      </c>
      <c r="CM218">
        <f>IF(AND(VLOOKUP(CM$1,main!$A$3:$H$102,7,FALSE)=main!$G$105,VLOOKUP(CM$1,main!$A$3:$H$102,5,FALSE)-VLOOKUP($A218,main!$A$3:$H$102,6,FALSE)&gt;=main!$D$103+VLOOKUP(VLOOKUP(CM$1,main!$A$3:$I$102,7,FALSE),main!$K$26:$Q$29,5,FALSE)),1,0)</f>
        <v>0</v>
      </c>
      <c r="CN218">
        <f>IF(AND(VLOOKUP(CN$1,main!$A$3:$H$102,7,FALSE)=main!$G$105,VLOOKUP(CN$1,main!$A$3:$H$102,5,FALSE)-VLOOKUP($A218,main!$A$3:$H$102,6,FALSE)&gt;=main!$D$103+VLOOKUP(VLOOKUP(CN$1,main!$A$3:$I$102,7,FALSE),main!$K$26:$Q$29,5,FALSE)),1,0)</f>
        <v>0</v>
      </c>
      <c r="CO218">
        <f>IF(AND(VLOOKUP(CO$1,main!$A$3:$H$102,7,FALSE)=main!$G$105,VLOOKUP(CO$1,main!$A$3:$H$102,5,FALSE)-VLOOKUP($A218,main!$A$3:$H$102,6,FALSE)&gt;=main!$D$103+VLOOKUP(VLOOKUP(CO$1,main!$A$3:$I$102,7,FALSE),main!$K$26:$Q$29,5,FALSE)),1,0)</f>
        <v>0</v>
      </c>
      <c r="CP218">
        <f>IF(AND(VLOOKUP(CP$1,main!$A$3:$H$102,7,FALSE)=main!$G$105,VLOOKUP(CP$1,main!$A$3:$H$102,5,FALSE)-VLOOKUP($A218,main!$A$3:$H$102,6,FALSE)&gt;=main!$D$103+VLOOKUP(VLOOKUP(CP$1,main!$A$3:$I$102,7,FALSE),main!$K$26:$Q$29,5,FALSE)),1,0)</f>
        <v>0</v>
      </c>
      <c r="CQ218">
        <f>IF(AND(VLOOKUP(CQ$1,main!$A$3:$H$102,7,FALSE)=main!$G$105,VLOOKUP(CQ$1,main!$A$3:$H$102,5,FALSE)-VLOOKUP($A218,main!$A$3:$H$102,6,FALSE)&gt;=main!$D$103+VLOOKUP(VLOOKUP(CQ$1,main!$A$3:$I$102,7,FALSE),main!$K$26:$Q$29,5,FALSE)),1,0)</f>
        <v>0</v>
      </c>
      <c r="CR218">
        <f>IF(AND(VLOOKUP(CR$1,main!$A$3:$H$102,7,FALSE)=main!$G$105,VLOOKUP(CR$1,main!$A$3:$H$102,5,FALSE)-VLOOKUP($A218,main!$A$3:$H$102,6,FALSE)&gt;=main!$D$103+VLOOKUP(VLOOKUP(CR$1,main!$A$3:$I$102,7,FALSE),main!$K$26:$Q$29,5,FALSE)),1,0)</f>
        <v>0</v>
      </c>
      <c r="CS218">
        <f>IF(AND(VLOOKUP(CS$1,main!$A$3:$H$102,7,FALSE)=main!$G$105,VLOOKUP(CS$1,main!$A$3:$H$102,5,FALSE)-VLOOKUP($A218,main!$A$3:$H$102,6,FALSE)&gt;=main!$D$103+VLOOKUP(VLOOKUP(CS$1,main!$A$3:$I$102,7,FALSE),main!$K$26:$Q$29,5,FALSE)),1,0)</f>
        <v>0</v>
      </c>
      <c r="CT218">
        <f>IF(AND(VLOOKUP(CT$1,main!$A$3:$H$102,7,FALSE)=main!$G$105,VLOOKUP(CT$1,main!$A$3:$H$102,5,FALSE)-VLOOKUP($A218,main!$A$3:$H$102,6,FALSE)&gt;=main!$D$103+VLOOKUP(VLOOKUP(CT$1,main!$A$3:$I$102,7,FALSE),main!$K$26:$Q$29,5,FALSE)),1,0)</f>
        <v>0</v>
      </c>
      <c r="CU218">
        <f>IF(AND(VLOOKUP(CU$1,main!$A$3:$H$102,7,FALSE)=main!$G$105,VLOOKUP(CU$1,main!$A$3:$H$102,5,FALSE)-VLOOKUP($A218,main!$A$3:$H$102,6,FALSE)&gt;=main!$D$103+VLOOKUP(VLOOKUP(CU$1,main!$A$3:$I$102,7,FALSE),main!$K$26:$Q$29,5,FALSE)),1,0)</f>
        <v>0</v>
      </c>
      <c r="CV218">
        <f>IF(AND(VLOOKUP(CV$1,main!$A$3:$H$102,7,FALSE)=main!$G$105,VLOOKUP(CV$1,main!$A$3:$H$102,5,FALSE)-VLOOKUP($A218,main!$A$3:$H$102,6,FALSE)&gt;=main!$D$103+VLOOKUP(VLOOKUP(CV$1,main!$A$3:$I$102,7,FALSE),main!$K$26:$Q$29,5,FALSE)),1,0)</f>
        <v>0</v>
      </c>
      <c r="CW218">
        <f>IF(AND(VLOOKUP(CW$1,main!$A$3:$H$102,7,FALSE)=main!$G$105,VLOOKUP(CW$1,main!$A$3:$H$102,5,FALSE)-VLOOKUP($A218,main!$A$3:$H$102,6,FALSE)&gt;=main!$D$103+VLOOKUP(VLOOKUP(CW$1,main!$A$3:$I$102,7,FALSE),main!$K$26:$Q$29,5,FALSE)),1,0)</f>
        <v>0</v>
      </c>
      <c r="CX218">
        <f>IF(AND(VLOOKUP(CX$1,main!$A$3:$H$102,7,FALSE)=main!$G$105,VLOOKUP(CX$1,main!$A$3:$H$102,5,FALSE)-VLOOKUP($A218,main!$A$3:$H$102,6,FALSE)&gt;=main!$D$103+VLOOKUP(VLOOKUP(CX$1,main!$A$3:$I$102,7,FALSE),main!$K$26:$Q$29,5,FALSE)),1,0)</f>
        <v>0</v>
      </c>
    </row>
    <row r="219" spans="1:102" x14ac:dyDescent="0.25">
      <c r="A219" s="1">
        <v>15</v>
      </c>
      <c r="B219">
        <v>0</v>
      </c>
      <c r="C219">
        <f>IF(AND(VLOOKUP(C$1,main!$A$3:$H$102,7,FALSE)=main!$G$105,VLOOKUP(C$1,main!$A$3:$H$102,5,FALSE)-VLOOKUP($A219,main!$A$3:$H$102,6,FALSE)&gt;=main!$D$103+VLOOKUP(VLOOKUP(C$1,main!$A$3:$I$102,7,FALSE),main!$K$26:$Q$29,5,FALSE)),1,0)</f>
        <v>0</v>
      </c>
      <c r="D219">
        <f>IF(AND(VLOOKUP(D$1,main!$A$3:$H$102,7,FALSE)=main!$G$105,VLOOKUP(D$1,main!$A$3:$H$102,5,FALSE)-VLOOKUP($A219,main!$A$3:$H$102,6,FALSE)&gt;=main!$D$103+VLOOKUP(VLOOKUP(D$1,main!$A$3:$I$102,7,FALSE),main!$K$26:$Q$29,5,FALSE)),1,0)</f>
        <v>0</v>
      </c>
      <c r="E219">
        <f>IF(AND(VLOOKUP(E$1,main!$A$3:$H$102,7,FALSE)=main!$G$105,VLOOKUP(E$1,main!$A$3:$H$102,5,FALSE)-VLOOKUP($A219,main!$A$3:$H$102,6,FALSE)&gt;=main!$D$103+VLOOKUP(VLOOKUP(E$1,main!$A$3:$I$102,7,FALSE),main!$K$26:$Q$29,5,FALSE)),1,0)</f>
        <v>0</v>
      </c>
      <c r="F219">
        <f>IF(AND(VLOOKUP(F$1,main!$A$3:$H$102,7,FALSE)=main!$G$105,VLOOKUP(F$1,main!$A$3:$H$102,5,FALSE)-VLOOKUP($A219,main!$A$3:$H$102,6,FALSE)&gt;=main!$D$103+VLOOKUP(VLOOKUP(F$1,main!$A$3:$I$102,7,FALSE),main!$K$26:$Q$29,5,FALSE)),1,0)</f>
        <v>0</v>
      </c>
      <c r="G219">
        <f>IF(AND(VLOOKUP(G$1,main!$A$3:$H$102,7,FALSE)=main!$G$105,VLOOKUP(G$1,main!$A$3:$H$102,5,FALSE)-VLOOKUP($A219,main!$A$3:$H$102,6,FALSE)&gt;=main!$D$103+VLOOKUP(VLOOKUP(G$1,main!$A$3:$I$102,7,FALSE),main!$K$26:$Q$29,5,FALSE)),1,0)</f>
        <v>0</v>
      </c>
      <c r="H219">
        <f>IF(AND(VLOOKUP(H$1,main!$A$3:$H$102,7,FALSE)=main!$G$105,VLOOKUP(H$1,main!$A$3:$H$102,5,FALSE)-VLOOKUP($A219,main!$A$3:$H$102,6,FALSE)&gt;=main!$D$103+VLOOKUP(VLOOKUP(H$1,main!$A$3:$I$102,7,FALSE),main!$K$26:$Q$29,5,FALSE)),1,0)</f>
        <v>0</v>
      </c>
      <c r="I219">
        <f>IF(AND(VLOOKUP(I$1,main!$A$3:$H$102,7,FALSE)=main!$G$105,VLOOKUP(I$1,main!$A$3:$H$102,5,FALSE)-VLOOKUP($A219,main!$A$3:$H$102,6,FALSE)&gt;=main!$D$103+VLOOKUP(VLOOKUP(I$1,main!$A$3:$I$102,7,FALSE),main!$K$26:$Q$29,5,FALSE)),1,0)</f>
        <v>0</v>
      </c>
      <c r="J219">
        <f>IF(AND(VLOOKUP(J$1,main!$A$3:$H$102,7,FALSE)=main!$G$105,VLOOKUP(J$1,main!$A$3:$H$102,5,FALSE)-VLOOKUP($A219,main!$A$3:$H$102,6,FALSE)&gt;=main!$D$103+VLOOKUP(VLOOKUP(J$1,main!$A$3:$I$102,7,FALSE),main!$K$26:$Q$29,5,FALSE)),1,0)</f>
        <v>0</v>
      </c>
      <c r="K219">
        <f>IF(AND(VLOOKUP(K$1,main!$A$3:$H$102,7,FALSE)=main!$G$105,VLOOKUP(K$1,main!$A$3:$H$102,5,FALSE)-VLOOKUP($A219,main!$A$3:$H$102,6,FALSE)&gt;=main!$D$103+VLOOKUP(VLOOKUP(K$1,main!$A$3:$I$102,7,FALSE),main!$K$26:$Q$29,5,FALSE)),1,0)</f>
        <v>0</v>
      </c>
      <c r="L219">
        <f>IF(AND(VLOOKUP(L$1,main!$A$3:$H$102,7,FALSE)=main!$G$105,VLOOKUP(L$1,main!$A$3:$H$102,5,FALSE)-VLOOKUP($A219,main!$A$3:$H$102,6,FALSE)&gt;=main!$D$103+VLOOKUP(VLOOKUP(L$1,main!$A$3:$I$102,7,FALSE),main!$K$26:$Q$29,5,FALSE)),1,0)</f>
        <v>0</v>
      </c>
      <c r="M219">
        <f>IF(AND(VLOOKUP(M$1,main!$A$3:$H$102,7,FALSE)=main!$G$105,VLOOKUP(M$1,main!$A$3:$H$102,5,FALSE)-VLOOKUP($A219,main!$A$3:$H$102,6,FALSE)&gt;=main!$D$103+VLOOKUP(VLOOKUP(M$1,main!$A$3:$I$102,7,FALSE),main!$K$26:$Q$29,5,FALSE)),1,0)</f>
        <v>0</v>
      </c>
      <c r="N219">
        <f>IF(AND(VLOOKUP(N$1,main!$A$3:$H$102,7,FALSE)=main!$G$105,VLOOKUP(N$1,main!$A$3:$H$102,5,FALSE)-VLOOKUP($A219,main!$A$3:$H$102,6,FALSE)&gt;=main!$D$103+VLOOKUP(VLOOKUP(N$1,main!$A$3:$I$102,7,FALSE),main!$K$26:$Q$29,5,FALSE)),1,0)</f>
        <v>0</v>
      </c>
      <c r="O219">
        <f>IF(AND(VLOOKUP(O$1,main!$A$3:$H$102,7,FALSE)=main!$G$105,VLOOKUP(O$1,main!$A$3:$H$102,5,FALSE)-VLOOKUP($A219,main!$A$3:$H$102,6,FALSE)&gt;=main!$D$103+VLOOKUP(VLOOKUP(O$1,main!$A$3:$I$102,7,FALSE),main!$K$26:$Q$29,5,FALSE)),1,0)</f>
        <v>0</v>
      </c>
      <c r="P219">
        <f>IF(AND(VLOOKUP(P$1,main!$A$3:$H$102,7,FALSE)=main!$G$105,VLOOKUP(P$1,main!$A$3:$H$102,5,FALSE)-VLOOKUP($A219,main!$A$3:$H$102,6,FALSE)&gt;=main!$D$103+VLOOKUP(VLOOKUP(P$1,main!$A$3:$I$102,7,FALSE),main!$K$26:$Q$29,5,FALSE)),1,0)</f>
        <v>0</v>
      </c>
      <c r="Q219">
        <f>IF(AND(VLOOKUP(Q$1,main!$A$3:$H$102,7,FALSE)=main!$G$105,VLOOKUP(Q$1,main!$A$3:$H$102,5,FALSE)-VLOOKUP($A219,main!$A$3:$H$102,6,FALSE)&gt;=main!$D$103+VLOOKUP(VLOOKUP(Q$1,main!$A$3:$I$102,7,FALSE),main!$K$26:$Q$29,5,FALSE)),1,0)</f>
        <v>0</v>
      </c>
      <c r="R219">
        <f>IF(AND(VLOOKUP(R$1,main!$A$3:$H$102,7,FALSE)=main!$G$105,VLOOKUP(R$1,main!$A$3:$H$102,5,FALSE)-VLOOKUP($A219,main!$A$3:$H$102,6,FALSE)&gt;=main!$D$103+VLOOKUP(VLOOKUP(R$1,main!$A$3:$I$102,7,FALSE),main!$K$26:$Q$29,5,FALSE)),1,0)</f>
        <v>0</v>
      </c>
      <c r="S219">
        <f>IF(AND(VLOOKUP(S$1,main!$A$3:$H$102,7,FALSE)=main!$G$105,VLOOKUP(S$1,main!$A$3:$H$102,5,FALSE)-VLOOKUP($A219,main!$A$3:$H$102,6,FALSE)&gt;=main!$D$103+VLOOKUP(VLOOKUP(S$1,main!$A$3:$I$102,7,FALSE),main!$K$26:$Q$29,5,FALSE)),1,0)</f>
        <v>0</v>
      </c>
      <c r="T219">
        <f>IF(AND(VLOOKUP(T$1,main!$A$3:$H$102,7,FALSE)=main!$G$105,VLOOKUP(T$1,main!$A$3:$H$102,5,FALSE)-VLOOKUP($A219,main!$A$3:$H$102,6,FALSE)&gt;=main!$D$103+VLOOKUP(VLOOKUP(T$1,main!$A$3:$I$102,7,FALSE),main!$K$26:$Q$29,5,FALSE)),1,0)</f>
        <v>0</v>
      </c>
      <c r="U219">
        <f>IF(AND(VLOOKUP(U$1,main!$A$3:$H$102,7,FALSE)=main!$G$105,VLOOKUP(U$1,main!$A$3:$H$102,5,FALSE)-VLOOKUP($A219,main!$A$3:$H$102,6,FALSE)&gt;=main!$D$103+VLOOKUP(VLOOKUP(U$1,main!$A$3:$I$102,7,FALSE),main!$K$26:$Q$29,5,FALSE)),1,0)</f>
        <v>0</v>
      </c>
      <c r="V219">
        <f>IF(AND(VLOOKUP(V$1,main!$A$3:$H$102,7,FALSE)=main!$G$105,VLOOKUP(V$1,main!$A$3:$H$102,5,FALSE)-VLOOKUP($A219,main!$A$3:$H$102,6,FALSE)&gt;=main!$D$103+VLOOKUP(VLOOKUP(V$1,main!$A$3:$I$102,7,FALSE),main!$K$26:$Q$29,5,FALSE)),1,0)</f>
        <v>0</v>
      </c>
      <c r="W219">
        <f>IF(AND(VLOOKUP(W$1,main!$A$3:$H$102,7,FALSE)=main!$G$105,VLOOKUP(W$1,main!$A$3:$H$102,5,FALSE)-VLOOKUP($A219,main!$A$3:$H$102,6,FALSE)&gt;=main!$D$103+VLOOKUP(VLOOKUP(W$1,main!$A$3:$I$102,7,FALSE),main!$K$26:$Q$29,5,FALSE)),1,0)</f>
        <v>0</v>
      </c>
      <c r="X219">
        <f>IF(AND(VLOOKUP(X$1,main!$A$3:$H$102,7,FALSE)=main!$G$105,VLOOKUP(X$1,main!$A$3:$H$102,5,FALSE)-VLOOKUP($A219,main!$A$3:$H$102,6,FALSE)&gt;=main!$D$103+VLOOKUP(VLOOKUP(X$1,main!$A$3:$I$102,7,FALSE),main!$K$26:$Q$29,5,FALSE)),1,0)</f>
        <v>0</v>
      </c>
      <c r="Y219">
        <f>IF(AND(VLOOKUP(Y$1,main!$A$3:$H$102,7,FALSE)=main!$G$105,VLOOKUP(Y$1,main!$A$3:$H$102,5,FALSE)-VLOOKUP($A219,main!$A$3:$H$102,6,FALSE)&gt;=main!$D$103+VLOOKUP(VLOOKUP(Y$1,main!$A$3:$I$102,7,FALSE),main!$K$26:$Q$29,5,FALSE)),1,0)</f>
        <v>0</v>
      </c>
      <c r="Z219">
        <f>IF(AND(VLOOKUP(Z$1,main!$A$3:$H$102,7,FALSE)=main!$G$105,VLOOKUP(Z$1,main!$A$3:$H$102,5,FALSE)-VLOOKUP($A219,main!$A$3:$H$102,6,FALSE)&gt;=main!$D$103+VLOOKUP(VLOOKUP(Z$1,main!$A$3:$I$102,7,FALSE),main!$K$26:$Q$29,5,FALSE)),1,0)</f>
        <v>0</v>
      </c>
      <c r="AA219">
        <f>IF(AND(VLOOKUP(AA$1,main!$A$3:$H$102,7,FALSE)=main!$G$105,VLOOKUP(AA$1,main!$A$3:$H$102,5,FALSE)-VLOOKUP($A219,main!$A$3:$H$102,6,FALSE)&gt;=main!$D$103+VLOOKUP(VLOOKUP(AA$1,main!$A$3:$I$102,7,FALSE),main!$K$26:$Q$29,5,FALSE)),1,0)</f>
        <v>0</v>
      </c>
      <c r="AB219">
        <f>IF(AND(VLOOKUP(AB$1,main!$A$3:$H$102,7,FALSE)=main!$G$105,VLOOKUP(AB$1,main!$A$3:$H$102,5,FALSE)-VLOOKUP($A219,main!$A$3:$H$102,6,FALSE)&gt;=main!$D$103+VLOOKUP(VLOOKUP(AB$1,main!$A$3:$I$102,7,FALSE),main!$K$26:$Q$29,5,FALSE)),1,0)</f>
        <v>0</v>
      </c>
      <c r="AC219">
        <f>IF(AND(VLOOKUP(AC$1,main!$A$3:$H$102,7,FALSE)=main!$G$105,VLOOKUP(AC$1,main!$A$3:$H$102,5,FALSE)-VLOOKUP($A219,main!$A$3:$H$102,6,FALSE)&gt;=main!$D$103+VLOOKUP(VLOOKUP(AC$1,main!$A$3:$I$102,7,FALSE),main!$K$26:$Q$29,5,FALSE)),1,0)</f>
        <v>0</v>
      </c>
      <c r="AD219">
        <f>IF(AND(VLOOKUP(AD$1,main!$A$3:$H$102,7,FALSE)=main!$G$105,VLOOKUP(AD$1,main!$A$3:$H$102,5,FALSE)-VLOOKUP($A219,main!$A$3:$H$102,6,FALSE)&gt;=main!$D$103+VLOOKUP(VLOOKUP(AD$1,main!$A$3:$I$102,7,FALSE),main!$K$26:$Q$29,5,FALSE)),1,0)</f>
        <v>0</v>
      </c>
      <c r="AE219">
        <f>IF(AND(VLOOKUP(AE$1,main!$A$3:$H$102,7,FALSE)=main!$G$105,VLOOKUP(AE$1,main!$A$3:$H$102,5,FALSE)-VLOOKUP($A219,main!$A$3:$H$102,6,FALSE)&gt;=main!$D$103+VLOOKUP(VLOOKUP(AE$1,main!$A$3:$I$102,7,FALSE),main!$K$26:$Q$29,5,FALSE)),1,0)</f>
        <v>0</v>
      </c>
      <c r="AF219">
        <f>IF(AND(VLOOKUP(AF$1,main!$A$3:$H$102,7,FALSE)=main!$G$105,VLOOKUP(AF$1,main!$A$3:$H$102,5,FALSE)-VLOOKUP($A219,main!$A$3:$H$102,6,FALSE)&gt;=main!$D$103+VLOOKUP(VLOOKUP(AF$1,main!$A$3:$I$102,7,FALSE),main!$K$26:$Q$29,5,FALSE)),1,0)</f>
        <v>0</v>
      </c>
      <c r="AG219">
        <f>IF(AND(VLOOKUP(AG$1,main!$A$3:$H$102,7,FALSE)=main!$G$105,VLOOKUP(AG$1,main!$A$3:$H$102,5,FALSE)-VLOOKUP($A219,main!$A$3:$H$102,6,FALSE)&gt;=main!$D$103+VLOOKUP(VLOOKUP(AG$1,main!$A$3:$I$102,7,FALSE),main!$K$26:$Q$29,5,FALSE)),1,0)</f>
        <v>0</v>
      </c>
      <c r="AH219">
        <f>IF(AND(VLOOKUP(AH$1,main!$A$3:$H$102,7,FALSE)=main!$G$105,VLOOKUP(AH$1,main!$A$3:$H$102,5,FALSE)-VLOOKUP($A219,main!$A$3:$H$102,6,FALSE)&gt;=main!$D$103+VLOOKUP(VLOOKUP(AH$1,main!$A$3:$I$102,7,FALSE),main!$K$26:$Q$29,5,FALSE)),1,0)</f>
        <v>0</v>
      </c>
      <c r="AI219">
        <f>IF(AND(VLOOKUP(AI$1,main!$A$3:$H$102,7,FALSE)=main!$G$105,VLOOKUP(AI$1,main!$A$3:$H$102,5,FALSE)-VLOOKUP($A219,main!$A$3:$H$102,6,FALSE)&gt;=main!$D$103+VLOOKUP(VLOOKUP(AI$1,main!$A$3:$I$102,7,FALSE),main!$K$26:$Q$29,5,FALSE)),1,0)</f>
        <v>0</v>
      </c>
      <c r="AJ219">
        <f>IF(AND(VLOOKUP(AJ$1,main!$A$3:$H$102,7,FALSE)=main!$G$105,VLOOKUP(AJ$1,main!$A$3:$H$102,5,FALSE)-VLOOKUP($A219,main!$A$3:$H$102,6,FALSE)&gt;=main!$D$103+VLOOKUP(VLOOKUP(AJ$1,main!$A$3:$I$102,7,FALSE),main!$K$26:$Q$29,5,FALSE)),1,0)</f>
        <v>0</v>
      </c>
      <c r="AK219">
        <f>IF(AND(VLOOKUP(AK$1,main!$A$3:$H$102,7,FALSE)=main!$G$105,VLOOKUP(AK$1,main!$A$3:$H$102,5,FALSE)-VLOOKUP($A219,main!$A$3:$H$102,6,FALSE)&gt;=main!$D$103+VLOOKUP(VLOOKUP(AK$1,main!$A$3:$I$102,7,FALSE),main!$K$26:$Q$29,5,FALSE)),1,0)</f>
        <v>0</v>
      </c>
      <c r="AL219">
        <f>IF(AND(VLOOKUP(AL$1,main!$A$3:$H$102,7,FALSE)=main!$G$105,VLOOKUP(AL$1,main!$A$3:$H$102,5,FALSE)-VLOOKUP($A219,main!$A$3:$H$102,6,FALSE)&gt;=main!$D$103+VLOOKUP(VLOOKUP(AL$1,main!$A$3:$I$102,7,FALSE),main!$K$26:$Q$29,5,FALSE)),1,0)</f>
        <v>1</v>
      </c>
      <c r="AM219">
        <f>IF(AND(VLOOKUP(AM$1,main!$A$3:$H$102,7,FALSE)=main!$G$105,VLOOKUP(AM$1,main!$A$3:$H$102,5,FALSE)-VLOOKUP($A219,main!$A$3:$H$102,6,FALSE)&gt;=main!$D$103+VLOOKUP(VLOOKUP(AM$1,main!$A$3:$I$102,7,FALSE),main!$K$26:$Q$29,5,FALSE)),1,0)</f>
        <v>1</v>
      </c>
      <c r="AN219">
        <f>IF(AND(VLOOKUP(AN$1,main!$A$3:$H$102,7,FALSE)=main!$G$105,VLOOKUP(AN$1,main!$A$3:$H$102,5,FALSE)-VLOOKUP($A219,main!$A$3:$H$102,6,FALSE)&gt;=main!$D$103+VLOOKUP(VLOOKUP(AN$1,main!$A$3:$I$102,7,FALSE),main!$K$26:$Q$29,5,FALSE)),1,0)</f>
        <v>1</v>
      </c>
      <c r="AO219">
        <f>IF(AND(VLOOKUP(AO$1,main!$A$3:$H$102,7,FALSE)=main!$G$105,VLOOKUP(AO$1,main!$A$3:$H$102,5,FALSE)-VLOOKUP($A219,main!$A$3:$H$102,6,FALSE)&gt;=main!$D$103+VLOOKUP(VLOOKUP(AO$1,main!$A$3:$I$102,7,FALSE),main!$K$26:$Q$29,5,FALSE)),1,0)</f>
        <v>0</v>
      </c>
      <c r="AP219">
        <f>IF(AND(VLOOKUP(AP$1,main!$A$3:$H$102,7,FALSE)=main!$G$105,VLOOKUP(AP$1,main!$A$3:$H$102,5,FALSE)-VLOOKUP($A219,main!$A$3:$H$102,6,FALSE)&gt;=main!$D$103+VLOOKUP(VLOOKUP(AP$1,main!$A$3:$I$102,7,FALSE),main!$K$26:$Q$29,5,FALSE)),1,0)</f>
        <v>1</v>
      </c>
      <c r="AQ219">
        <f>IF(AND(VLOOKUP(AQ$1,main!$A$3:$H$102,7,FALSE)=main!$G$105,VLOOKUP(AQ$1,main!$A$3:$H$102,5,FALSE)-VLOOKUP($A219,main!$A$3:$H$102,6,FALSE)&gt;=main!$D$103+VLOOKUP(VLOOKUP(AQ$1,main!$A$3:$I$102,7,FALSE),main!$K$26:$Q$29,5,FALSE)),1,0)</f>
        <v>0</v>
      </c>
      <c r="AR219">
        <f>IF(AND(VLOOKUP(AR$1,main!$A$3:$H$102,7,FALSE)=main!$G$105,VLOOKUP(AR$1,main!$A$3:$H$102,5,FALSE)-VLOOKUP($A219,main!$A$3:$H$102,6,FALSE)&gt;=main!$D$103+VLOOKUP(VLOOKUP(AR$1,main!$A$3:$I$102,7,FALSE),main!$K$26:$Q$29,5,FALSE)),1,0)</f>
        <v>0</v>
      </c>
      <c r="AS219">
        <f>IF(AND(VLOOKUP(AS$1,main!$A$3:$H$102,7,FALSE)=main!$G$105,VLOOKUP(AS$1,main!$A$3:$H$102,5,FALSE)-VLOOKUP($A219,main!$A$3:$H$102,6,FALSE)&gt;=main!$D$103+VLOOKUP(VLOOKUP(AS$1,main!$A$3:$I$102,7,FALSE),main!$K$26:$Q$29,5,FALSE)),1,0)</f>
        <v>0</v>
      </c>
      <c r="AT219">
        <f>IF(AND(VLOOKUP(AT$1,main!$A$3:$H$102,7,FALSE)=main!$G$105,VLOOKUP(AT$1,main!$A$3:$H$102,5,FALSE)-VLOOKUP($A219,main!$A$3:$H$102,6,FALSE)&gt;=main!$D$103+VLOOKUP(VLOOKUP(AT$1,main!$A$3:$I$102,7,FALSE),main!$K$26:$Q$29,5,FALSE)),1,0)</f>
        <v>0</v>
      </c>
      <c r="AU219">
        <f>IF(AND(VLOOKUP(AU$1,main!$A$3:$H$102,7,FALSE)=main!$G$105,VLOOKUP(AU$1,main!$A$3:$H$102,5,FALSE)-VLOOKUP($A219,main!$A$3:$H$102,6,FALSE)&gt;=main!$D$103+VLOOKUP(VLOOKUP(AU$1,main!$A$3:$I$102,7,FALSE),main!$K$26:$Q$29,5,FALSE)),1,0)</f>
        <v>0</v>
      </c>
      <c r="AV219">
        <f>IF(AND(VLOOKUP(AV$1,main!$A$3:$H$102,7,FALSE)=main!$G$105,VLOOKUP(AV$1,main!$A$3:$H$102,5,FALSE)-VLOOKUP($A219,main!$A$3:$H$102,6,FALSE)&gt;=main!$D$103+VLOOKUP(VLOOKUP(AV$1,main!$A$3:$I$102,7,FALSE),main!$K$26:$Q$29,5,FALSE)),1,0)</f>
        <v>0</v>
      </c>
      <c r="AW219">
        <f>IF(AND(VLOOKUP(AW$1,main!$A$3:$H$102,7,FALSE)=main!$G$105,VLOOKUP(AW$1,main!$A$3:$H$102,5,FALSE)-VLOOKUP($A219,main!$A$3:$H$102,6,FALSE)&gt;=main!$D$103+VLOOKUP(VLOOKUP(AW$1,main!$A$3:$I$102,7,FALSE),main!$K$26:$Q$29,5,FALSE)),1,0)</f>
        <v>0</v>
      </c>
      <c r="AX219">
        <f>IF(AND(VLOOKUP(AX$1,main!$A$3:$H$102,7,FALSE)=main!$G$105,VLOOKUP(AX$1,main!$A$3:$H$102,5,FALSE)-VLOOKUP($A219,main!$A$3:$H$102,6,FALSE)&gt;=main!$D$103+VLOOKUP(VLOOKUP(AX$1,main!$A$3:$I$102,7,FALSE),main!$K$26:$Q$29,5,FALSE)),1,0)</f>
        <v>0</v>
      </c>
      <c r="AY219">
        <f>IF(AND(VLOOKUP(AY$1,main!$A$3:$H$102,7,FALSE)=main!$G$105,VLOOKUP(AY$1,main!$A$3:$H$102,5,FALSE)-VLOOKUP($A219,main!$A$3:$H$102,6,FALSE)&gt;=main!$D$103+VLOOKUP(VLOOKUP(AY$1,main!$A$3:$I$102,7,FALSE),main!$K$26:$Q$29,5,FALSE)),1,0)</f>
        <v>0</v>
      </c>
      <c r="AZ219">
        <f>IF(AND(VLOOKUP(AZ$1,main!$A$3:$H$102,7,FALSE)=main!$G$105,VLOOKUP(AZ$1,main!$A$3:$H$102,5,FALSE)-VLOOKUP($A219,main!$A$3:$H$102,6,FALSE)&gt;=main!$D$103+VLOOKUP(VLOOKUP(AZ$1,main!$A$3:$I$102,7,FALSE),main!$K$26:$Q$29,5,FALSE)),1,0)</f>
        <v>0</v>
      </c>
      <c r="BA219">
        <f>IF(AND(VLOOKUP(BA$1,main!$A$3:$H$102,7,FALSE)=main!$G$105,VLOOKUP(BA$1,main!$A$3:$H$102,5,FALSE)-VLOOKUP($A219,main!$A$3:$H$102,6,FALSE)&gt;=main!$D$103+VLOOKUP(VLOOKUP(BA$1,main!$A$3:$I$102,7,FALSE),main!$K$26:$Q$29,5,FALSE)),1,0)</f>
        <v>0</v>
      </c>
      <c r="BB219">
        <f>IF(AND(VLOOKUP(BB$1,main!$A$3:$H$102,7,FALSE)=main!$G$105,VLOOKUP(BB$1,main!$A$3:$H$102,5,FALSE)-VLOOKUP($A219,main!$A$3:$H$102,6,FALSE)&gt;=main!$D$103+VLOOKUP(VLOOKUP(BB$1,main!$A$3:$I$102,7,FALSE),main!$K$26:$Q$29,5,FALSE)),1,0)</f>
        <v>0</v>
      </c>
      <c r="BC219">
        <f>IF(AND(VLOOKUP(BC$1,main!$A$3:$H$102,7,FALSE)=main!$G$105,VLOOKUP(BC$1,main!$A$3:$H$102,5,FALSE)-VLOOKUP($A219,main!$A$3:$H$102,6,FALSE)&gt;=main!$D$103+VLOOKUP(VLOOKUP(BC$1,main!$A$3:$I$102,7,FALSE),main!$K$26:$Q$29,5,FALSE)),1,0)</f>
        <v>0</v>
      </c>
      <c r="BD219">
        <f>IF(AND(VLOOKUP(BD$1,main!$A$3:$H$102,7,FALSE)=main!$G$105,VLOOKUP(BD$1,main!$A$3:$H$102,5,FALSE)-VLOOKUP($A219,main!$A$3:$H$102,6,FALSE)&gt;=main!$D$103+VLOOKUP(VLOOKUP(BD$1,main!$A$3:$I$102,7,FALSE),main!$K$26:$Q$29,5,FALSE)),1,0)</f>
        <v>0</v>
      </c>
      <c r="BE219">
        <f>IF(AND(VLOOKUP(BE$1,main!$A$3:$H$102,7,FALSE)=main!$G$105,VLOOKUP(BE$1,main!$A$3:$H$102,5,FALSE)-VLOOKUP($A219,main!$A$3:$H$102,6,FALSE)&gt;=main!$D$103+VLOOKUP(VLOOKUP(BE$1,main!$A$3:$I$102,7,FALSE),main!$K$26:$Q$29,5,FALSE)),1,0)</f>
        <v>0</v>
      </c>
      <c r="BF219">
        <f>IF(AND(VLOOKUP(BF$1,main!$A$3:$H$102,7,FALSE)=main!$G$105,VLOOKUP(BF$1,main!$A$3:$H$102,5,FALSE)-VLOOKUP($A219,main!$A$3:$H$102,6,FALSE)&gt;=main!$D$103+VLOOKUP(VLOOKUP(BF$1,main!$A$3:$I$102,7,FALSE),main!$K$26:$Q$29,5,FALSE)),1,0)</f>
        <v>0</v>
      </c>
      <c r="BG219">
        <f>IF(AND(VLOOKUP(BG$1,main!$A$3:$H$102,7,FALSE)=main!$G$105,VLOOKUP(BG$1,main!$A$3:$H$102,5,FALSE)-VLOOKUP($A219,main!$A$3:$H$102,6,FALSE)&gt;=main!$D$103+VLOOKUP(VLOOKUP(BG$1,main!$A$3:$I$102,7,FALSE),main!$K$26:$Q$29,5,FALSE)),1,0)</f>
        <v>0</v>
      </c>
      <c r="BH219">
        <f>IF(AND(VLOOKUP(BH$1,main!$A$3:$H$102,7,FALSE)=main!$G$105,VLOOKUP(BH$1,main!$A$3:$H$102,5,FALSE)-VLOOKUP($A219,main!$A$3:$H$102,6,FALSE)&gt;=main!$D$103+VLOOKUP(VLOOKUP(BH$1,main!$A$3:$I$102,7,FALSE),main!$K$26:$Q$29,5,FALSE)),1,0)</f>
        <v>0</v>
      </c>
      <c r="BI219">
        <f>IF(AND(VLOOKUP(BI$1,main!$A$3:$H$102,7,FALSE)=main!$G$105,VLOOKUP(BI$1,main!$A$3:$H$102,5,FALSE)-VLOOKUP($A219,main!$A$3:$H$102,6,FALSE)&gt;=main!$D$103+VLOOKUP(VLOOKUP(BI$1,main!$A$3:$I$102,7,FALSE),main!$K$26:$Q$29,5,FALSE)),1,0)</f>
        <v>0</v>
      </c>
      <c r="BJ219">
        <f>IF(AND(VLOOKUP(BJ$1,main!$A$3:$H$102,7,FALSE)=main!$G$105,VLOOKUP(BJ$1,main!$A$3:$H$102,5,FALSE)-VLOOKUP($A219,main!$A$3:$H$102,6,FALSE)&gt;=main!$D$103+VLOOKUP(VLOOKUP(BJ$1,main!$A$3:$I$102,7,FALSE),main!$K$26:$Q$29,5,FALSE)),1,0)</f>
        <v>0</v>
      </c>
      <c r="BK219">
        <f>IF(AND(VLOOKUP(BK$1,main!$A$3:$H$102,7,FALSE)=main!$G$105,VLOOKUP(BK$1,main!$A$3:$H$102,5,FALSE)-VLOOKUP($A219,main!$A$3:$H$102,6,FALSE)&gt;=main!$D$103+VLOOKUP(VLOOKUP(BK$1,main!$A$3:$I$102,7,FALSE),main!$K$26:$Q$29,5,FALSE)),1,0)</f>
        <v>0</v>
      </c>
      <c r="BL219">
        <f>IF(AND(VLOOKUP(BL$1,main!$A$3:$H$102,7,FALSE)=main!$G$105,VLOOKUP(BL$1,main!$A$3:$H$102,5,FALSE)-VLOOKUP($A219,main!$A$3:$H$102,6,FALSE)&gt;=main!$D$103+VLOOKUP(VLOOKUP(BL$1,main!$A$3:$I$102,7,FALSE),main!$K$26:$Q$29,5,FALSE)),1,0)</f>
        <v>0</v>
      </c>
      <c r="BM219">
        <f>IF(AND(VLOOKUP(BM$1,main!$A$3:$H$102,7,FALSE)=main!$G$105,VLOOKUP(BM$1,main!$A$3:$H$102,5,FALSE)-VLOOKUP($A219,main!$A$3:$H$102,6,FALSE)&gt;=main!$D$103+VLOOKUP(VLOOKUP(BM$1,main!$A$3:$I$102,7,FALSE),main!$K$26:$Q$29,5,FALSE)),1,0)</f>
        <v>0</v>
      </c>
      <c r="BN219">
        <f>IF(AND(VLOOKUP(BN$1,main!$A$3:$H$102,7,FALSE)=main!$G$105,VLOOKUP(BN$1,main!$A$3:$H$102,5,FALSE)-VLOOKUP($A219,main!$A$3:$H$102,6,FALSE)&gt;=main!$D$103+VLOOKUP(VLOOKUP(BN$1,main!$A$3:$I$102,7,FALSE),main!$K$26:$Q$29,5,FALSE)),1,0)</f>
        <v>0</v>
      </c>
      <c r="BO219">
        <f>IF(AND(VLOOKUP(BO$1,main!$A$3:$H$102,7,FALSE)=main!$G$105,VLOOKUP(BO$1,main!$A$3:$H$102,5,FALSE)-VLOOKUP($A219,main!$A$3:$H$102,6,FALSE)&gt;=main!$D$103+VLOOKUP(VLOOKUP(BO$1,main!$A$3:$I$102,7,FALSE),main!$K$26:$Q$29,5,FALSE)),1,0)</f>
        <v>0</v>
      </c>
      <c r="BP219">
        <f>IF(AND(VLOOKUP(BP$1,main!$A$3:$H$102,7,FALSE)=main!$G$105,VLOOKUP(BP$1,main!$A$3:$H$102,5,FALSE)-VLOOKUP($A219,main!$A$3:$H$102,6,FALSE)&gt;=main!$D$103+VLOOKUP(VLOOKUP(BP$1,main!$A$3:$I$102,7,FALSE),main!$K$26:$Q$29,5,FALSE)),1,0)</f>
        <v>0</v>
      </c>
      <c r="BQ219">
        <f>IF(AND(VLOOKUP(BQ$1,main!$A$3:$H$102,7,FALSE)=main!$G$105,VLOOKUP(BQ$1,main!$A$3:$H$102,5,FALSE)-VLOOKUP($A219,main!$A$3:$H$102,6,FALSE)&gt;=main!$D$103+VLOOKUP(VLOOKUP(BQ$1,main!$A$3:$I$102,7,FALSE),main!$K$26:$Q$29,5,FALSE)),1,0)</f>
        <v>0</v>
      </c>
      <c r="BR219">
        <f>IF(AND(VLOOKUP(BR$1,main!$A$3:$H$102,7,FALSE)=main!$G$105,VLOOKUP(BR$1,main!$A$3:$H$102,5,FALSE)-VLOOKUP($A219,main!$A$3:$H$102,6,FALSE)&gt;=main!$D$103+VLOOKUP(VLOOKUP(BR$1,main!$A$3:$I$102,7,FALSE),main!$K$26:$Q$29,5,FALSE)),1,0)</f>
        <v>0</v>
      </c>
      <c r="BS219">
        <f>IF(AND(VLOOKUP(BS$1,main!$A$3:$H$102,7,FALSE)=main!$G$105,VLOOKUP(BS$1,main!$A$3:$H$102,5,FALSE)-VLOOKUP($A219,main!$A$3:$H$102,6,FALSE)&gt;=main!$D$103+VLOOKUP(VLOOKUP(BS$1,main!$A$3:$I$102,7,FALSE),main!$K$26:$Q$29,5,FALSE)),1,0)</f>
        <v>0</v>
      </c>
      <c r="BT219">
        <f>IF(AND(VLOOKUP(BT$1,main!$A$3:$H$102,7,FALSE)=main!$G$105,VLOOKUP(BT$1,main!$A$3:$H$102,5,FALSE)-VLOOKUP($A219,main!$A$3:$H$102,6,FALSE)&gt;=main!$D$103+VLOOKUP(VLOOKUP(BT$1,main!$A$3:$I$102,7,FALSE),main!$K$26:$Q$29,5,FALSE)),1,0)</f>
        <v>0</v>
      </c>
      <c r="BU219">
        <f>IF(AND(VLOOKUP(BU$1,main!$A$3:$H$102,7,FALSE)=main!$G$105,VLOOKUP(BU$1,main!$A$3:$H$102,5,FALSE)-VLOOKUP($A219,main!$A$3:$H$102,6,FALSE)&gt;=main!$D$103+VLOOKUP(VLOOKUP(BU$1,main!$A$3:$I$102,7,FALSE),main!$K$26:$Q$29,5,FALSE)),1,0)</f>
        <v>0</v>
      </c>
      <c r="BV219">
        <f>IF(AND(VLOOKUP(BV$1,main!$A$3:$H$102,7,FALSE)=main!$G$105,VLOOKUP(BV$1,main!$A$3:$H$102,5,FALSE)-VLOOKUP($A219,main!$A$3:$H$102,6,FALSE)&gt;=main!$D$103+VLOOKUP(VLOOKUP(BV$1,main!$A$3:$I$102,7,FALSE),main!$K$26:$Q$29,5,FALSE)),1,0)</f>
        <v>0</v>
      </c>
      <c r="BW219">
        <f>IF(AND(VLOOKUP(BW$1,main!$A$3:$H$102,7,FALSE)=main!$G$105,VLOOKUP(BW$1,main!$A$3:$H$102,5,FALSE)-VLOOKUP($A219,main!$A$3:$H$102,6,FALSE)&gt;=main!$D$103+VLOOKUP(VLOOKUP(BW$1,main!$A$3:$I$102,7,FALSE),main!$K$26:$Q$29,5,FALSE)),1,0)</f>
        <v>0</v>
      </c>
      <c r="BX219">
        <f>IF(AND(VLOOKUP(BX$1,main!$A$3:$H$102,7,FALSE)=main!$G$105,VLOOKUP(BX$1,main!$A$3:$H$102,5,FALSE)-VLOOKUP($A219,main!$A$3:$H$102,6,FALSE)&gt;=main!$D$103+VLOOKUP(VLOOKUP(BX$1,main!$A$3:$I$102,7,FALSE),main!$K$26:$Q$29,5,FALSE)),1,0)</f>
        <v>0</v>
      </c>
      <c r="BY219">
        <f>IF(AND(VLOOKUP(BY$1,main!$A$3:$H$102,7,FALSE)=main!$G$105,VLOOKUP(BY$1,main!$A$3:$H$102,5,FALSE)-VLOOKUP($A219,main!$A$3:$H$102,6,FALSE)&gt;=main!$D$103+VLOOKUP(VLOOKUP(BY$1,main!$A$3:$I$102,7,FALSE),main!$K$26:$Q$29,5,FALSE)),1,0)</f>
        <v>0</v>
      </c>
      <c r="BZ219">
        <f>IF(AND(VLOOKUP(BZ$1,main!$A$3:$H$102,7,FALSE)=main!$G$105,VLOOKUP(BZ$1,main!$A$3:$H$102,5,FALSE)-VLOOKUP($A219,main!$A$3:$H$102,6,FALSE)&gt;=main!$D$103+VLOOKUP(VLOOKUP(BZ$1,main!$A$3:$I$102,7,FALSE),main!$K$26:$Q$29,5,FALSE)),1,0)</f>
        <v>0</v>
      </c>
      <c r="CA219">
        <f>IF(AND(VLOOKUP(CA$1,main!$A$3:$H$102,7,FALSE)=main!$G$105,VLOOKUP(CA$1,main!$A$3:$H$102,5,FALSE)-VLOOKUP($A219,main!$A$3:$H$102,6,FALSE)&gt;=main!$D$103+VLOOKUP(VLOOKUP(CA$1,main!$A$3:$I$102,7,FALSE),main!$K$26:$Q$29,5,FALSE)),1,0)</f>
        <v>0</v>
      </c>
      <c r="CB219">
        <f>IF(AND(VLOOKUP(CB$1,main!$A$3:$H$102,7,FALSE)=main!$G$105,VLOOKUP(CB$1,main!$A$3:$H$102,5,FALSE)-VLOOKUP($A219,main!$A$3:$H$102,6,FALSE)&gt;=main!$D$103+VLOOKUP(VLOOKUP(CB$1,main!$A$3:$I$102,7,FALSE),main!$K$26:$Q$29,5,FALSE)),1,0)</f>
        <v>0</v>
      </c>
      <c r="CC219">
        <f>IF(AND(VLOOKUP(CC$1,main!$A$3:$H$102,7,FALSE)=main!$G$105,VLOOKUP(CC$1,main!$A$3:$H$102,5,FALSE)-VLOOKUP($A219,main!$A$3:$H$102,6,FALSE)&gt;=main!$D$103+VLOOKUP(VLOOKUP(CC$1,main!$A$3:$I$102,7,FALSE),main!$K$26:$Q$29,5,FALSE)),1,0)</f>
        <v>0</v>
      </c>
      <c r="CD219">
        <f>IF(AND(VLOOKUP(CD$1,main!$A$3:$H$102,7,FALSE)=main!$G$105,VLOOKUP(CD$1,main!$A$3:$H$102,5,FALSE)-VLOOKUP($A219,main!$A$3:$H$102,6,FALSE)&gt;=main!$D$103+VLOOKUP(VLOOKUP(CD$1,main!$A$3:$I$102,7,FALSE),main!$K$26:$Q$29,5,FALSE)),1,0)</f>
        <v>0</v>
      </c>
      <c r="CE219">
        <f>IF(AND(VLOOKUP(CE$1,main!$A$3:$H$102,7,FALSE)=main!$G$105,VLOOKUP(CE$1,main!$A$3:$H$102,5,FALSE)-VLOOKUP($A219,main!$A$3:$H$102,6,FALSE)&gt;=main!$D$103+VLOOKUP(VLOOKUP(CE$1,main!$A$3:$I$102,7,FALSE),main!$K$26:$Q$29,5,FALSE)),1,0)</f>
        <v>0</v>
      </c>
      <c r="CF219">
        <f>IF(AND(VLOOKUP(CF$1,main!$A$3:$H$102,7,FALSE)=main!$G$105,VLOOKUP(CF$1,main!$A$3:$H$102,5,FALSE)-VLOOKUP($A219,main!$A$3:$H$102,6,FALSE)&gt;=main!$D$103+VLOOKUP(VLOOKUP(CF$1,main!$A$3:$I$102,7,FALSE),main!$K$26:$Q$29,5,FALSE)),1,0)</f>
        <v>0</v>
      </c>
      <c r="CG219">
        <f>IF(AND(VLOOKUP(CG$1,main!$A$3:$H$102,7,FALSE)=main!$G$105,VLOOKUP(CG$1,main!$A$3:$H$102,5,FALSE)-VLOOKUP($A219,main!$A$3:$H$102,6,FALSE)&gt;=main!$D$103+VLOOKUP(VLOOKUP(CG$1,main!$A$3:$I$102,7,FALSE),main!$K$26:$Q$29,5,FALSE)),1,0)</f>
        <v>0</v>
      </c>
      <c r="CH219">
        <f>IF(AND(VLOOKUP(CH$1,main!$A$3:$H$102,7,FALSE)=main!$G$105,VLOOKUP(CH$1,main!$A$3:$H$102,5,FALSE)-VLOOKUP($A219,main!$A$3:$H$102,6,FALSE)&gt;=main!$D$103+VLOOKUP(VLOOKUP(CH$1,main!$A$3:$I$102,7,FALSE),main!$K$26:$Q$29,5,FALSE)),1,0)</f>
        <v>0</v>
      </c>
      <c r="CI219">
        <f>IF(AND(VLOOKUP(CI$1,main!$A$3:$H$102,7,FALSE)=main!$G$105,VLOOKUP(CI$1,main!$A$3:$H$102,5,FALSE)-VLOOKUP($A219,main!$A$3:$H$102,6,FALSE)&gt;=main!$D$103+VLOOKUP(VLOOKUP(CI$1,main!$A$3:$I$102,7,FALSE),main!$K$26:$Q$29,5,FALSE)),1,0)</f>
        <v>0</v>
      </c>
      <c r="CJ219">
        <f>IF(AND(VLOOKUP(CJ$1,main!$A$3:$H$102,7,FALSE)=main!$G$105,VLOOKUP(CJ$1,main!$A$3:$H$102,5,FALSE)-VLOOKUP($A219,main!$A$3:$H$102,6,FALSE)&gt;=main!$D$103+VLOOKUP(VLOOKUP(CJ$1,main!$A$3:$I$102,7,FALSE),main!$K$26:$Q$29,5,FALSE)),1,0)</f>
        <v>0</v>
      </c>
      <c r="CK219">
        <f>IF(AND(VLOOKUP(CK$1,main!$A$3:$H$102,7,FALSE)=main!$G$105,VLOOKUP(CK$1,main!$A$3:$H$102,5,FALSE)-VLOOKUP($A219,main!$A$3:$H$102,6,FALSE)&gt;=main!$D$103+VLOOKUP(VLOOKUP(CK$1,main!$A$3:$I$102,7,FALSE),main!$K$26:$Q$29,5,FALSE)),1,0)</f>
        <v>0</v>
      </c>
      <c r="CL219">
        <f>IF(AND(VLOOKUP(CL$1,main!$A$3:$H$102,7,FALSE)=main!$G$105,VLOOKUP(CL$1,main!$A$3:$H$102,5,FALSE)-VLOOKUP($A219,main!$A$3:$H$102,6,FALSE)&gt;=main!$D$103+VLOOKUP(VLOOKUP(CL$1,main!$A$3:$I$102,7,FALSE),main!$K$26:$Q$29,5,FALSE)),1,0)</f>
        <v>0</v>
      </c>
      <c r="CM219">
        <f>IF(AND(VLOOKUP(CM$1,main!$A$3:$H$102,7,FALSE)=main!$G$105,VLOOKUP(CM$1,main!$A$3:$H$102,5,FALSE)-VLOOKUP($A219,main!$A$3:$H$102,6,FALSE)&gt;=main!$D$103+VLOOKUP(VLOOKUP(CM$1,main!$A$3:$I$102,7,FALSE),main!$K$26:$Q$29,5,FALSE)),1,0)</f>
        <v>0</v>
      </c>
      <c r="CN219">
        <f>IF(AND(VLOOKUP(CN$1,main!$A$3:$H$102,7,FALSE)=main!$G$105,VLOOKUP(CN$1,main!$A$3:$H$102,5,FALSE)-VLOOKUP($A219,main!$A$3:$H$102,6,FALSE)&gt;=main!$D$103+VLOOKUP(VLOOKUP(CN$1,main!$A$3:$I$102,7,FALSE),main!$K$26:$Q$29,5,FALSE)),1,0)</f>
        <v>0</v>
      </c>
      <c r="CO219">
        <f>IF(AND(VLOOKUP(CO$1,main!$A$3:$H$102,7,FALSE)=main!$G$105,VLOOKUP(CO$1,main!$A$3:$H$102,5,FALSE)-VLOOKUP($A219,main!$A$3:$H$102,6,FALSE)&gt;=main!$D$103+VLOOKUP(VLOOKUP(CO$1,main!$A$3:$I$102,7,FALSE),main!$K$26:$Q$29,5,FALSE)),1,0)</f>
        <v>0</v>
      </c>
      <c r="CP219">
        <f>IF(AND(VLOOKUP(CP$1,main!$A$3:$H$102,7,FALSE)=main!$G$105,VLOOKUP(CP$1,main!$A$3:$H$102,5,FALSE)-VLOOKUP($A219,main!$A$3:$H$102,6,FALSE)&gt;=main!$D$103+VLOOKUP(VLOOKUP(CP$1,main!$A$3:$I$102,7,FALSE),main!$K$26:$Q$29,5,FALSE)),1,0)</f>
        <v>0</v>
      </c>
      <c r="CQ219">
        <f>IF(AND(VLOOKUP(CQ$1,main!$A$3:$H$102,7,FALSE)=main!$G$105,VLOOKUP(CQ$1,main!$A$3:$H$102,5,FALSE)-VLOOKUP($A219,main!$A$3:$H$102,6,FALSE)&gt;=main!$D$103+VLOOKUP(VLOOKUP(CQ$1,main!$A$3:$I$102,7,FALSE),main!$K$26:$Q$29,5,FALSE)),1,0)</f>
        <v>0</v>
      </c>
      <c r="CR219">
        <f>IF(AND(VLOOKUP(CR$1,main!$A$3:$H$102,7,FALSE)=main!$G$105,VLOOKUP(CR$1,main!$A$3:$H$102,5,FALSE)-VLOOKUP($A219,main!$A$3:$H$102,6,FALSE)&gt;=main!$D$103+VLOOKUP(VLOOKUP(CR$1,main!$A$3:$I$102,7,FALSE),main!$K$26:$Q$29,5,FALSE)),1,0)</f>
        <v>0</v>
      </c>
      <c r="CS219">
        <f>IF(AND(VLOOKUP(CS$1,main!$A$3:$H$102,7,FALSE)=main!$G$105,VLOOKUP(CS$1,main!$A$3:$H$102,5,FALSE)-VLOOKUP($A219,main!$A$3:$H$102,6,FALSE)&gt;=main!$D$103+VLOOKUP(VLOOKUP(CS$1,main!$A$3:$I$102,7,FALSE),main!$K$26:$Q$29,5,FALSE)),1,0)</f>
        <v>0</v>
      </c>
      <c r="CT219">
        <f>IF(AND(VLOOKUP(CT$1,main!$A$3:$H$102,7,FALSE)=main!$G$105,VLOOKUP(CT$1,main!$A$3:$H$102,5,FALSE)-VLOOKUP($A219,main!$A$3:$H$102,6,FALSE)&gt;=main!$D$103+VLOOKUP(VLOOKUP(CT$1,main!$A$3:$I$102,7,FALSE),main!$K$26:$Q$29,5,FALSE)),1,0)</f>
        <v>0</v>
      </c>
      <c r="CU219">
        <f>IF(AND(VLOOKUP(CU$1,main!$A$3:$H$102,7,FALSE)=main!$G$105,VLOOKUP(CU$1,main!$A$3:$H$102,5,FALSE)-VLOOKUP($A219,main!$A$3:$H$102,6,FALSE)&gt;=main!$D$103+VLOOKUP(VLOOKUP(CU$1,main!$A$3:$I$102,7,FALSE),main!$K$26:$Q$29,5,FALSE)),1,0)</f>
        <v>0</v>
      </c>
      <c r="CV219">
        <f>IF(AND(VLOOKUP(CV$1,main!$A$3:$H$102,7,FALSE)=main!$G$105,VLOOKUP(CV$1,main!$A$3:$H$102,5,FALSE)-VLOOKUP($A219,main!$A$3:$H$102,6,FALSE)&gt;=main!$D$103+VLOOKUP(VLOOKUP(CV$1,main!$A$3:$I$102,7,FALSE),main!$K$26:$Q$29,5,FALSE)),1,0)</f>
        <v>0</v>
      </c>
      <c r="CW219">
        <f>IF(AND(VLOOKUP(CW$1,main!$A$3:$H$102,7,FALSE)=main!$G$105,VLOOKUP(CW$1,main!$A$3:$H$102,5,FALSE)-VLOOKUP($A219,main!$A$3:$H$102,6,FALSE)&gt;=main!$D$103+VLOOKUP(VLOOKUP(CW$1,main!$A$3:$I$102,7,FALSE),main!$K$26:$Q$29,5,FALSE)),1,0)</f>
        <v>0</v>
      </c>
      <c r="CX219">
        <f>IF(AND(VLOOKUP(CX$1,main!$A$3:$H$102,7,FALSE)=main!$G$105,VLOOKUP(CX$1,main!$A$3:$H$102,5,FALSE)-VLOOKUP($A219,main!$A$3:$H$102,6,FALSE)&gt;=main!$D$103+VLOOKUP(VLOOKUP(CX$1,main!$A$3:$I$102,7,FALSE),main!$K$26:$Q$29,5,FALSE)),1,0)</f>
        <v>0</v>
      </c>
    </row>
    <row r="220" spans="1:102" x14ac:dyDescent="0.25">
      <c r="A220" s="1">
        <v>16</v>
      </c>
      <c r="B220">
        <v>0</v>
      </c>
      <c r="C220">
        <f>IF(AND(VLOOKUP(C$1,main!$A$3:$H$102,7,FALSE)=main!$G$105,VLOOKUP(C$1,main!$A$3:$H$102,5,FALSE)-VLOOKUP($A220,main!$A$3:$H$102,6,FALSE)&gt;=main!$D$103+VLOOKUP(VLOOKUP(C$1,main!$A$3:$I$102,7,FALSE),main!$K$26:$Q$29,5,FALSE)),1,0)</f>
        <v>0</v>
      </c>
      <c r="D220">
        <f>IF(AND(VLOOKUP(D$1,main!$A$3:$H$102,7,FALSE)=main!$G$105,VLOOKUP(D$1,main!$A$3:$H$102,5,FALSE)-VLOOKUP($A220,main!$A$3:$H$102,6,FALSE)&gt;=main!$D$103+VLOOKUP(VLOOKUP(D$1,main!$A$3:$I$102,7,FALSE),main!$K$26:$Q$29,5,FALSE)),1,0)</f>
        <v>0</v>
      </c>
      <c r="E220">
        <f>IF(AND(VLOOKUP(E$1,main!$A$3:$H$102,7,FALSE)=main!$G$105,VLOOKUP(E$1,main!$A$3:$H$102,5,FALSE)-VLOOKUP($A220,main!$A$3:$H$102,6,FALSE)&gt;=main!$D$103+VLOOKUP(VLOOKUP(E$1,main!$A$3:$I$102,7,FALSE),main!$K$26:$Q$29,5,FALSE)),1,0)</f>
        <v>0</v>
      </c>
      <c r="F220">
        <f>IF(AND(VLOOKUP(F$1,main!$A$3:$H$102,7,FALSE)=main!$G$105,VLOOKUP(F$1,main!$A$3:$H$102,5,FALSE)-VLOOKUP($A220,main!$A$3:$H$102,6,FALSE)&gt;=main!$D$103+VLOOKUP(VLOOKUP(F$1,main!$A$3:$I$102,7,FALSE),main!$K$26:$Q$29,5,FALSE)),1,0)</f>
        <v>0</v>
      </c>
      <c r="G220">
        <f>IF(AND(VLOOKUP(G$1,main!$A$3:$H$102,7,FALSE)=main!$G$105,VLOOKUP(G$1,main!$A$3:$H$102,5,FALSE)-VLOOKUP($A220,main!$A$3:$H$102,6,FALSE)&gt;=main!$D$103+VLOOKUP(VLOOKUP(G$1,main!$A$3:$I$102,7,FALSE),main!$K$26:$Q$29,5,FALSE)),1,0)</f>
        <v>0</v>
      </c>
      <c r="H220">
        <f>IF(AND(VLOOKUP(H$1,main!$A$3:$H$102,7,FALSE)=main!$G$105,VLOOKUP(H$1,main!$A$3:$H$102,5,FALSE)-VLOOKUP($A220,main!$A$3:$H$102,6,FALSE)&gt;=main!$D$103+VLOOKUP(VLOOKUP(H$1,main!$A$3:$I$102,7,FALSE),main!$K$26:$Q$29,5,FALSE)),1,0)</f>
        <v>0</v>
      </c>
      <c r="I220">
        <f>IF(AND(VLOOKUP(I$1,main!$A$3:$H$102,7,FALSE)=main!$G$105,VLOOKUP(I$1,main!$A$3:$H$102,5,FALSE)-VLOOKUP($A220,main!$A$3:$H$102,6,FALSE)&gt;=main!$D$103+VLOOKUP(VLOOKUP(I$1,main!$A$3:$I$102,7,FALSE),main!$K$26:$Q$29,5,FALSE)),1,0)</f>
        <v>0</v>
      </c>
      <c r="J220">
        <f>IF(AND(VLOOKUP(J$1,main!$A$3:$H$102,7,FALSE)=main!$G$105,VLOOKUP(J$1,main!$A$3:$H$102,5,FALSE)-VLOOKUP($A220,main!$A$3:$H$102,6,FALSE)&gt;=main!$D$103+VLOOKUP(VLOOKUP(J$1,main!$A$3:$I$102,7,FALSE),main!$K$26:$Q$29,5,FALSE)),1,0)</f>
        <v>0</v>
      </c>
      <c r="K220">
        <f>IF(AND(VLOOKUP(K$1,main!$A$3:$H$102,7,FALSE)=main!$G$105,VLOOKUP(K$1,main!$A$3:$H$102,5,FALSE)-VLOOKUP($A220,main!$A$3:$H$102,6,FALSE)&gt;=main!$D$103+VLOOKUP(VLOOKUP(K$1,main!$A$3:$I$102,7,FALSE),main!$K$26:$Q$29,5,FALSE)),1,0)</f>
        <v>0</v>
      </c>
      <c r="L220">
        <f>IF(AND(VLOOKUP(L$1,main!$A$3:$H$102,7,FALSE)=main!$G$105,VLOOKUP(L$1,main!$A$3:$H$102,5,FALSE)-VLOOKUP($A220,main!$A$3:$H$102,6,FALSE)&gt;=main!$D$103+VLOOKUP(VLOOKUP(L$1,main!$A$3:$I$102,7,FALSE),main!$K$26:$Q$29,5,FALSE)),1,0)</f>
        <v>0</v>
      </c>
      <c r="M220">
        <f>IF(AND(VLOOKUP(M$1,main!$A$3:$H$102,7,FALSE)=main!$G$105,VLOOKUP(M$1,main!$A$3:$H$102,5,FALSE)-VLOOKUP($A220,main!$A$3:$H$102,6,FALSE)&gt;=main!$D$103+VLOOKUP(VLOOKUP(M$1,main!$A$3:$I$102,7,FALSE),main!$K$26:$Q$29,5,FALSE)),1,0)</f>
        <v>0</v>
      </c>
      <c r="N220">
        <f>IF(AND(VLOOKUP(N$1,main!$A$3:$H$102,7,FALSE)=main!$G$105,VLOOKUP(N$1,main!$A$3:$H$102,5,FALSE)-VLOOKUP($A220,main!$A$3:$H$102,6,FALSE)&gt;=main!$D$103+VLOOKUP(VLOOKUP(N$1,main!$A$3:$I$102,7,FALSE),main!$K$26:$Q$29,5,FALSE)),1,0)</f>
        <v>0</v>
      </c>
      <c r="O220">
        <f>IF(AND(VLOOKUP(O$1,main!$A$3:$H$102,7,FALSE)=main!$G$105,VLOOKUP(O$1,main!$A$3:$H$102,5,FALSE)-VLOOKUP($A220,main!$A$3:$H$102,6,FALSE)&gt;=main!$D$103+VLOOKUP(VLOOKUP(O$1,main!$A$3:$I$102,7,FALSE),main!$K$26:$Q$29,5,FALSE)),1,0)</f>
        <v>0</v>
      </c>
      <c r="P220">
        <f>IF(AND(VLOOKUP(P$1,main!$A$3:$H$102,7,FALSE)=main!$G$105,VLOOKUP(P$1,main!$A$3:$H$102,5,FALSE)-VLOOKUP($A220,main!$A$3:$H$102,6,FALSE)&gt;=main!$D$103+VLOOKUP(VLOOKUP(P$1,main!$A$3:$I$102,7,FALSE),main!$K$26:$Q$29,5,FALSE)),1,0)</f>
        <v>0</v>
      </c>
      <c r="Q220">
        <f>IF(AND(VLOOKUP(Q$1,main!$A$3:$H$102,7,FALSE)=main!$G$105,VLOOKUP(Q$1,main!$A$3:$H$102,5,FALSE)-VLOOKUP($A220,main!$A$3:$H$102,6,FALSE)&gt;=main!$D$103+VLOOKUP(VLOOKUP(Q$1,main!$A$3:$I$102,7,FALSE),main!$K$26:$Q$29,5,FALSE)),1,0)</f>
        <v>0</v>
      </c>
      <c r="R220">
        <f>IF(AND(VLOOKUP(R$1,main!$A$3:$H$102,7,FALSE)=main!$G$105,VLOOKUP(R$1,main!$A$3:$H$102,5,FALSE)-VLOOKUP($A220,main!$A$3:$H$102,6,FALSE)&gt;=main!$D$103+VLOOKUP(VLOOKUP(R$1,main!$A$3:$I$102,7,FALSE),main!$K$26:$Q$29,5,FALSE)),1,0)</f>
        <v>0</v>
      </c>
      <c r="S220">
        <f>IF(AND(VLOOKUP(S$1,main!$A$3:$H$102,7,FALSE)=main!$G$105,VLOOKUP(S$1,main!$A$3:$H$102,5,FALSE)-VLOOKUP($A220,main!$A$3:$H$102,6,FALSE)&gt;=main!$D$103+VLOOKUP(VLOOKUP(S$1,main!$A$3:$I$102,7,FALSE),main!$K$26:$Q$29,5,FALSE)),1,0)</f>
        <v>0</v>
      </c>
      <c r="T220">
        <f>IF(AND(VLOOKUP(T$1,main!$A$3:$H$102,7,FALSE)=main!$G$105,VLOOKUP(T$1,main!$A$3:$H$102,5,FALSE)-VLOOKUP($A220,main!$A$3:$H$102,6,FALSE)&gt;=main!$D$103+VLOOKUP(VLOOKUP(T$1,main!$A$3:$I$102,7,FALSE),main!$K$26:$Q$29,5,FALSE)),1,0)</f>
        <v>0</v>
      </c>
      <c r="U220">
        <f>IF(AND(VLOOKUP(U$1,main!$A$3:$H$102,7,FALSE)=main!$G$105,VLOOKUP(U$1,main!$A$3:$H$102,5,FALSE)-VLOOKUP($A220,main!$A$3:$H$102,6,FALSE)&gt;=main!$D$103+VLOOKUP(VLOOKUP(U$1,main!$A$3:$I$102,7,FALSE),main!$K$26:$Q$29,5,FALSE)),1,0)</f>
        <v>0</v>
      </c>
      <c r="V220">
        <f>IF(AND(VLOOKUP(V$1,main!$A$3:$H$102,7,FALSE)=main!$G$105,VLOOKUP(V$1,main!$A$3:$H$102,5,FALSE)-VLOOKUP($A220,main!$A$3:$H$102,6,FALSE)&gt;=main!$D$103+VLOOKUP(VLOOKUP(V$1,main!$A$3:$I$102,7,FALSE),main!$K$26:$Q$29,5,FALSE)),1,0)</f>
        <v>0</v>
      </c>
      <c r="W220">
        <f>IF(AND(VLOOKUP(W$1,main!$A$3:$H$102,7,FALSE)=main!$G$105,VLOOKUP(W$1,main!$A$3:$H$102,5,FALSE)-VLOOKUP($A220,main!$A$3:$H$102,6,FALSE)&gt;=main!$D$103+VLOOKUP(VLOOKUP(W$1,main!$A$3:$I$102,7,FALSE),main!$K$26:$Q$29,5,FALSE)),1,0)</f>
        <v>0</v>
      </c>
      <c r="X220">
        <f>IF(AND(VLOOKUP(X$1,main!$A$3:$H$102,7,FALSE)=main!$G$105,VLOOKUP(X$1,main!$A$3:$H$102,5,FALSE)-VLOOKUP($A220,main!$A$3:$H$102,6,FALSE)&gt;=main!$D$103+VLOOKUP(VLOOKUP(X$1,main!$A$3:$I$102,7,FALSE),main!$K$26:$Q$29,5,FALSE)),1,0)</f>
        <v>0</v>
      </c>
      <c r="Y220">
        <f>IF(AND(VLOOKUP(Y$1,main!$A$3:$H$102,7,FALSE)=main!$G$105,VLOOKUP(Y$1,main!$A$3:$H$102,5,FALSE)-VLOOKUP($A220,main!$A$3:$H$102,6,FALSE)&gt;=main!$D$103+VLOOKUP(VLOOKUP(Y$1,main!$A$3:$I$102,7,FALSE),main!$K$26:$Q$29,5,FALSE)),1,0)</f>
        <v>0</v>
      </c>
      <c r="Z220">
        <f>IF(AND(VLOOKUP(Z$1,main!$A$3:$H$102,7,FALSE)=main!$G$105,VLOOKUP(Z$1,main!$A$3:$H$102,5,FALSE)-VLOOKUP($A220,main!$A$3:$H$102,6,FALSE)&gt;=main!$D$103+VLOOKUP(VLOOKUP(Z$1,main!$A$3:$I$102,7,FALSE),main!$K$26:$Q$29,5,FALSE)),1,0)</f>
        <v>0</v>
      </c>
      <c r="AA220">
        <f>IF(AND(VLOOKUP(AA$1,main!$A$3:$H$102,7,FALSE)=main!$G$105,VLOOKUP(AA$1,main!$A$3:$H$102,5,FALSE)-VLOOKUP($A220,main!$A$3:$H$102,6,FALSE)&gt;=main!$D$103+VLOOKUP(VLOOKUP(AA$1,main!$A$3:$I$102,7,FALSE),main!$K$26:$Q$29,5,FALSE)),1,0)</f>
        <v>0</v>
      </c>
      <c r="AB220">
        <f>IF(AND(VLOOKUP(AB$1,main!$A$3:$H$102,7,FALSE)=main!$G$105,VLOOKUP(AB$1,main!$A$3:$H$102,5,FALSE)-VLOOKUP($A220,main!$A$3:$H$102,6,FALSE)&gt;=main!$D$103+VLOOKUP(VLOOKUP(AB$1,main!$A$3:$I$102,7,FALSE),main!$K$26:$Q$29,5,FALSE)),1,0)</f>
        <v>0</v>
      </c>
      <c r="AC220">
        <f>IF(AND(VLOOKUP(AC$1,main!$A$3:$H$102,7,FALSE)=main!$G$105,VLOOKUP(AC$1,main!$A$3:$H$102,5,FALSE)-VLOOKUP($A220,main!$A$3:$H$102,6,FALSE)&gt;=main!$D$103+VLOOKUP(VLOOKUP(AC$1,main!$A$3:$I$102,7,FALSE),main!$K$26:$Q$29,5,FALSE)),1,0)</f>
        <v>0</v>
      </c>
      <c r="AD220">
        <f>IF(AND(VLOOKUP(AD$1,main!$A$3:$H$102,7,FALSE)=main!$G$105,VLOOKUP(AD$1,main!$A$3:$H$102,5,FALSE)-VLOOKUP($A220,main!$A$3:$H$102,6,FALSE)&gt;=main!$D$103+VLOOKUP(VLOOKUP(AD$1,main!$A$3:$I$102,7,FALSE),main!$K$26:$Q$29,5,FALSE)),1,0)</f>
        <v>0</v>
      </c>
      <c r="AE220">
        <f>IF(AND(VLOOKUP(AE$1,main!$A$3:$H$102,7,FALSE)=main!$G$105,VLOOKUP(AE$1,main!$A$3:$H$102,5,FALSE)-VLOOKUP($A220,main!$A$3:$H$102,6,FALSE)&gt;=main!$D$103+VLOOKUP(VLOOKUP(AE$1,main!$A$3:$I$102,7,FALSE),main!$K$26:$Q$29,5,FALSE)),1,0)</f>
        <v>0</v>
      </c>
      <c r="AF220">
        <f>IF(AND(VLOOKUP(AF$1,main!$A$3:$H$102,7,FALSE)=main!$G$105,VLOOKUP(AF$1,main!$A$3:$H$102,5,FALSE)-VLOOKUP($A220,main!$A$3:$H$102,6,FALSE)&gt;=main!$D$103+VLOOKUP(VLOOKUP(AF$1,main!$A$3:$I$102,7,FALSE),main!$K$26:$Q$29,5,FALSE)),1,0)</f>
        <v>0</v>
      </c>
      <c r="AG220">
        <f>IF(AND(VLOOKUP(AG$1,main!$A$3:$H$102,7,FALSE)=main!$G$105,VLOOKUP(AG$1,main!$A$3:$H$102,5,FALSE)-VLOOKUP($A220,main!$A$3:$H$102,6,FALSE)&gt;=main!$D$103+VLOOKUP(VLOOKUP(AG$1,main!$A$3:$I$102,7,FALSE),main!$K$26:$Q$29,5,FALSE)),1,0)</f>
        <v>0</v>
      </c>
      <c r="AH220">
        <f>IF(AND(VLOOKUP(AH$1,main!$A$3:$H$102,7,FALSE)=main!$G$105,VLOOKUP(AH$1,main!$A$3:$H$102,5,FALSE)-VLOOKUP($A220,main!$A$3:$H$102,6,FALSE)&gt;=main!$D$103+VLOOKUP(VLOOKUP(AH$1,main!$A$3:$I$102,7,FALSE),main!$K$26:$Q$29,5,FALSE)),1,0)</f>
        <v>0</v>
      </c>
      <c r="AI220">
        <f>IF(AND(VLOOKUP(AI$1,main!$A$3:$H$102,7,FALSE)=main!$G$105,VLOOKUP(AI$1,main!$A$3:$H$102,5,FALSE)-VLOOKUP($A220,main!$A$3:$H$102,6,FALSE)&gt;=main!$D$103+VLOOKUP(VLOOKUP(AI$1,main!$A$3:$I$102,7,FALSE),main!$K$26:$Q$29,5,FALSE)),1,0)</f>
        <v>0</v>
      </c>
      <c r="AJ220">
        <f>IF(AND(VLOOKUP(AJ$1,main!$A$3:$H$102,7,FALSE)=main!$G$105,VLOOKUP(AJ$1,main!$A$3:$H$102,5,FALSE)-VLOOKUP($A220,main!$A$3:$H$102,6,FALSE)&gt;=main!$D$103+VLOOKUP(VLOOKUP(AJ$1,main!$A$3:$I$102,7,FALSE),main!$K$26:$Q$29,5,FALSE)),1,0)</f>
        <v>0</v>
      </c>
      <c r="AK220">
        <f>IF(AND(VLOOKUP(AK$1,main!$A$3:$H$102,7,FALSE)=main!$G$105,VLOOKUP(AK$1,main!$A$3:$H$102,5,FALSE)-VLOOKUP($A220,main!$A$3:$H$102,6,FALSE)&gt;=main!$D$103+VLOOKUP(VLOOKUP(AK$1,main!$A$3:$I$102,7,FALSE),main!$K$26:$Q$29,5,FALSE)),1,0)</f>
        <v>0</v>
      </c>
      <c r="AL220">
        <f>IF(AND(VLOOKUP(AL$1,main!$A$3:$H$102,7,FALSE)=main!$G$105,VLOOKUP(AL$1,main!$A$3:$H$102,5,FALSE)-VLOOKUP($A220,main!$A$3:$H$102,6,FALSE)&gt;=main!$D$103+VLOOKUP(VLOOKUP(AL$1,main!$A$3:$I$102,7,FALSE),main!$K$26:$Q$29,5,FALSE)),1,0)</f>
        <v>0</v>
      </c>
      <c r="AM220">
        <f>IF(AND(VLOOKUP(AM$1,main!$A$3:$H$102,7,FALSE)=main!$G$105,VLOOKUP(AM$1,main!$A$3:$H$102,5,FALSE)-VLOOKUP($A220,main!$A$3:$H$102,6,FALSE)&gt;=main!$D$103+VLOOKUP(VLOOKUP(AM$1,main!$A$3:$I$102,7,FALSE),main!$K$26:$Q$29,5,FALSE)),1,0)</f>
        <v>1</v>
      </c>
      <c r="AN220">
        <f>IF(AND(VLOOKUP(AN$1,main!$A$3:$H$102,7,FALSE)=main!$G$105,VLOOKUP(AN$1,main!$A$3:$H$102,5,FALSE)-VLOOKUP($A220,main!$A$3:$H$102,6,FALSE)&gt;=main!$D$103+VLOOKUP(VLOOKUP(AN$1,main!$A$3:$I$102,7,FALSE),main!$K$26:$Q$29,5,FALSE)),1,0)</f>
        <v>1</v>
      </c>
      <c r="AO220">
        <f>IF(AND(VLOOKUP(AO$1,main!$A$3:$H$102,7,FALSE)=main!$G$105,VLOOKUP(AO$1,main!$A$3:$H$102,5,FALSE)-VLOOKUP($A220,main!$A$3:$H$102,6,FALSE)&gt;=main!$D$103+VLOOKUP(VLOOKUP(AO$1,main!$A$3:$I$102,7,FALSE),main!$K$26:$Q$29,5,FALSE)),1,0)</f>
        <v>0</v>
      </c>
      <c r="AP220">
        <f>IF(AND(VLOOKUP(AP$1,main!$A$3:$H$102,7,FALSE)=main!$G$105,VLOOKUP(AP$1,main!$A$3:$H$102,5,FALSE)-VLOOKUP($A220,main!$A$3:$H$102,6,FALSE)&gt;=main!$D$103+VLOOKUP(VLOOKUP(AP$1,main!$A$3:$I$102,7,FALSE),main!$K$26:$Q$29,5,FALSE)),1,0)</f>
        <v>1</v>
      </c>
      <c r="AQ220">
        <f>IF(AND(VLOOKUP(AQ$1,main!$A$3:$H$102,7,FALSE)=main!$G$105,VLOOKUP(AQ$1,main!$A$3:$H$102,5,FALSE)-VLOOKUP($A220,main!$A$3:$H$102,6,FALSE)&gt;=main!$D$103+VLOOKUP(VLOOKUP(AQ$1,main!$A$3:$I$102,7,FALSE),main!$K$26:$Q$29,5,FALSE)),1,0)</f>
        <v>0</v>
      </c>
      <c r="AR220">
        <f>IF(AND(VLOOKUP(AR$1,main!$A$3:$H$102,7,FALSE)=main!$G$105,VLOOKUP(AR$1,main!$A$3:$H$102,5,FALSE)-VLOOKUP($A220,main!$A$3:$H$102,6,FALSE)&gt;=main!$D$103+VLOOKUP(VLOOKUP(AR$1,main!$A$3:$I$102,7,FALSE),main!$K$26:$Q$29,5,FALSE)),1,0)</f>
        <v>0</v>
      </c>
      <c r="AS220">
        <f>IF(AND(VLOOKUP(AS$1,main!$A$3:$H$102,7,FALSE)=main!$G$105,VLOOKUP(AS$1,main!$A$3:$H$102,5,FALSE)-VLOOKUP($A220,main!$A$3:$H$102,6,FALSE)&gt;=main!$D$103+VLOOKUP(VLOOKUP(AS$1,main!$A$3:$I$102,7,FALSE),main!$K$26:$Q$29,5,FALSE)),1,0)</f>
        <v>0</v>
      </c>
      <c r="AT220">
        <f>IF(AND(VLOOKUP(AT$1,main!$A$3:$H$102,7,FALSE)=main!$G$105,VLOOKUP(AT$1,main!$A$3:$H$102,5,FALSE)-VLOOKUP($A220,main!$A$3:$H$102,6,FALSE)&gt;=main!$D$103+VLOOKUP(VLOOKUP(AT$1,main!$A$3:$I$102,7,FALSE),main!$K$26:$Q$29,5,FALSE)),1,0)</f>
        <v>0</v>
      </c>
      <c r="AU220">
        <f>IF(AND(VLOOKUP(AU$1,main!$A$3:$H$102,7,FALSE)=main!$G$105,VLOOKUP(AU$1,main!$A$3:$H$102,5,FALSE)-VLOOKUP($A220,main!$A$3:$H$102,6,FALSE)&gt;=main!$D$103+VLOOKUP(VLOOKUP(AU$1,main!$A$3:$I$102,7,FALSE),main!$K$26:$Q$29,5,FALSE)),1,0)</f>
        <v>0</v>
      </c>
      <c r="AV220">
        <f>IF(AND(VLOOKUP(AV$1,main!$A$3:$H$102,7,FALSE)=main!$G$105,VLOOKUP(AV$1,main!$A$3:$H$102,5,FALSE)-VLOOKUP($A220,main!$A$3:$H$102,6,FALSE)&gt;=main!$D$103+VLOOKUP(VLOOKUP(AV$1,main!$A$3:$I$102,7,FALSE),main!$K$26:$Q$29,5,FALSE)),1,0)</f>
        <v>0</v>
      </c>
      <c r="AW220">
        <f>IF(AND(VLOOKUP(AW$1,main!$A$3:$H$102,7,FALSE)=main!$G$105,VLOOKUP(AW$1,main!$A$3:$H$102,5,FALSE)-VLOOKUP($A220,main!$A$3:$H$102,6,FALSE)&gt;=main!$D$103+VLOOKUP(VLOOKUP(AW$1,main!$A$3:$I$102,7,FALSE),main!$K$26:$Q$29,5,FALSE)),1,0)</f>
        <v>0</v>
      </c>
      <c r="AX220">
        <f>IF(AND(VLOOKUP(AX$1,main!$A$3:$H$102,7,FALSE)=main!$G$105,VLOOKUP(AX$1,main!$A$3:$H$102,5,FALSE)-VLOOKUP($A220,main!$A$3:$H$102,6,FALSE)&gt;=main!$D$103+VLOOKUP(VLOOKUP(AX$1,main!$A$3:$I$102,7,FALSE),main!$K$26:$Q$29,5,FALSE)),1,0)</f>
        <v>0</v>
      </c>
      <c r="AY220">
        <f>IF(AND(VLOOKUP(AY$1,main!$A$3:$H$102,7,FALSE)=main!$G$105,VLOOKUP(AY$1,main!$A$3:$H$102,5,FALSE)-VLOOKUP($A220,main!$A$3:$H$102,6,FALSE)&gt;=main!$D$103+VLOOKUP(VLOOKUP(AY$1,main!$A$3:$I$102,7,FALSE),main!$K$26:$Q$29,5,FALSE)),1,0)</f>
        <v>0</v>
      </c>
      <c r="AZ220">
        <f>IF(AND(VLOOKUP(AZ$1,main!$A$3:$H$102,7,FALSE)=main!$G$105,VLOOKUP(AZ$1,main!$A$3:$H$102,5,FALSE)-VLOOKUP($A220,main!$A$3:$H$102,6,FALSE)&gt;=main!$D$103+VLOOKUP(VLOOKUP(AZ$1,main!$A$3:$I$102,7,FALSE),main!$K$26:$Q$29,5,FALSE)),1,0)</f>
        <v>0</v>
      </c>
      <c r="BA220">
        <f>IF(AND(VLOOKUP(BA$1,main!$A$3:$H$102,7,FALSE)=main!$G$105,VLOOKUP(BA$1,main!$A$3:$H$102,5,FALSE)-VLOOKUP($A220,main!$A$3:$H$102,6,FALSE)&gt;=main!$D$103+VLOOKUP(VLOOKUP(BA$1,main!$A$3:$I$102,7,FALSE),main!$K$26:$Q$29,5,FALSE)),1,0)</f>
        <v>0</v>
      </c>
      <c r="BB220">
        <f>IF(AND(VLOOKUP(BB$1,main!$A$3:$H$102,7,FALSE)=main!$G$105,VLOOKUP(BB$1,main!$A$3:$H$102,5,FALSE)-VLOOKUP($A220,main!$A$3:$H$102,6,FALSE)&gt;=main!$D$103+VLOOKUP(VLOOKUP(BB$1,main!$A$3:$I$102,7,FALSE),main!$K$26:$Q$29,5,FALSE)),1,0)</f>
        <v>0</v>
      </c>
      <c r="BC220">
        <f>IF(AND(VLOOKUP(BC$1,main!$A$3:$H$102,7,FALSE)=main!$G$105,VLOOKUP(BC$1,main!$A$3:$H$102,5,FALSE)-VLOOKUP($A220,main!$A$3:$H$102,6,FALSE)&gt;=main!$D$103+VLOOKUP(VLOOKUP(BC$1,main!$A$3:$I$102,7,FALSE),main!$K$26:$Q$29,5,FALSE)),1,0)</f>
        <v>0</v>
      </c>
      <c r="BD220">
        <f>IF(AND(VLOOKUP(BD$1,main!$A$3:$H$102,7,FALSE)=main!$G$105,VLOOKUP(BD$1,main!$A$3:$H$102,5,FALSE)-VLOOKUP($A220,main!$A$3:$H$102,6,FALSE)&gt;=main!$D$103+VLOOKUP(VLOOKUP(BD$1,main!$A$3:$I$102,7,FALSE),main!$K$26:$Q$29,5,FALSE)),1,0)</f>
        <v>0</v>
      </c>
      <c r="BE220">
        <f>IF(AND(VLOOKUP(BE$1,main!$A$3:$H$102,7,FALSE)=main!$G$105,VLOOKUP(BE$1,main!$A$3:$H$102,5,FALSE)-VLOOKUP($A220,main!$A$3:$H$102,6,FALSE)&gt;=main!$D$103+VLOOKUP(VLOOKUP(BE$1,main!$A$3:$I$102,7,FALSE),main!$K$26:$Q$29,5,FALSE)),1,0)</f>
        <v>0</v>
      </c>
      <c r="BF220">
        <f>IF(AND(VLOOKUP(BF$1,main!$A$3:$H$102,7,FALSE)=main!$G$105,VLOOKUP(BF$1,main!$A$3:$H$102,5,FALSE)-VLOOKUP($A220,main!$A$3:$H$102,6,FALSE)&gt;=main!$D$103+VLOOKUP(VLOOKUP(BF$1,main!$A$3:$I$102,7,FALSE),main!$K$26:$Q$29,5,FALSE)),1,0)</f>
        <v>0</v>
      </c>
      <c r="BG220">
        <f>IF(AND(VLOOKUP(BG$1,main!$A$3:$H$102,7,FALSE)=main!$G$105,VLOOKUP(BG$1,main!$A$3:$H$102,5,FALSE)-VLOOKUP($A220,main!$A$3:$H$102,6,FALSE)&gt;=main!$D$103+VLOOKUP(VLOOKUP(BG$1,main!$A$3:$I$102,7,FALSE),main!$K$26:$Q$29,5,FALSE)),1,0)</f>
        <v>0</v>
      </c>
      <c r="BH220">
        <f>IF(AND(VLOOKUP(BH$1,main!$A$3:$H$102,7,FALSE)=main!$G$105,VLOOKUP(BH$1,main!$A$3:$H$102,5,FALSE)-VLOOKUP($A220,main!$A$3:$H$102,6,FALSE)&gt;=main!$D$103+VLOOKUP(VLOOKUP(BH$1,main!$A$3:$I$102,7,FALSE),main!$K$26:$Q$29,5,FALSE)),1,0)</f>
        <v>0</v>
      </c>
      <c r="BI220">
        <f>IF(AND(VLOOKUP(BI$1,main!$A$3:$H$102,7,FALSE)=main!$G$105,VLOOKUP(BI$1,main!$A$3:$H$102,5,FALSE)-VLOOKUP($A220,main!$A$3:$H$102,6,FALSE)&gt;=main!$D$103+VLOOKUP(VLOOKUP(BI$1,main!$A$3:$I$102,7,FALSE),main!$K$26:$Q$29,5,FALSE)),1,0)</f>
        <v>0</v>
      </c>
      <c r="BJ220">
        <f>IF(AND(VLOOKUP(BJ$1,main!$A$3:$H$102,7,FALSE)=main!$G$105,VLOOKUP(BJ$1,main!$A$3:$H$102,5,FALSE)-VLOOKUP($A220,main!$A$3:$H$102,6,FALSE)&gt;=main!$D$103+VLOOKUP(VLOOKUP(BJ$1,main!$A$3:$I$102,7,FALSE),main!$K$26:$Q$29,5,FALSE)),1,0)</f>
        <v>0</v>
      </c>
      <c r="BK220">
        <f>IF(AND(VLOOKUP(BK$1,main!$A$3:$H$102,7,FALSE)=main!$G$105,VLOOKUP(BK$1,main!$A$3:$H$102,5,FALSE)-VLOOKUP($A220,main!$A$3:$H$102,6,FALSE)&gt;=main!$D$103+VLOOKUP(VLOOKUP(BK$1,main!$A$3:$I$102,7,FALSE),main!$K$26:$Q$29,5,FALSE)),1,0)</f>
        <v>0</v>
      </c>
      <c r="BL220">
        <f>IF(AND(VLOOKUP(BL$1,main!$A$3:$H$102,7,FALSE)=main!$G$105,VLOOKUP(BL$1,main!$A$3:$H$102,5,FALSE)-VLOOKUP($A220,main!$A$3:$H$102,6,FALSE)&gt;=main!$D$103+VLOOKUP(VLOOKUP(BL$1,main!$A$3:$I$102,7,FALSE),main!$K$26:$Q$29,5,FALSE)),1,0)</f>
        <v>0</v>
      </c>
      <c r="BM220">
        <f>IF(AND(VLOOKUP(BM$1,main!$A$3:$H$102,7,FALSE)=main!$G$105,VLOOKUP(BM$1,main!$A$3:$H$102,5,FALSE)-VLOOKUP($A220,main!$A$3:$H$102,6,FALSE)&gt;=main!$D$103+VLOOKUP(VLOOKUP(BM$1,main!$A$3:$I$102,7,FALSE),main!$K$26:$Q$29,5,FALSE)),1,0)</f>
        <v>0</v>
      </c>
      <c r="BN220">
        <f>IF(AND(VLOOKUP(BN$1,main!$A$3:$H$102,7,FALSE)=main!$G$105,VLOOKUP(BN$1,main!$A$3:$H$102,5,FALSE)-VLOOKUP($A220,main!$A$3:$H$102,6,FALSE)&gt;=main!$D$103+VLOOKUP(VLOOKUP(BN$1,main!$A$3:$I$102,7,FALSE),main!$K$26:$Q$29,5,FALSE)),1,0)</f>
        <v>0</v>
      </c>
      <c r="BO220">
        <f>IF(AND(VLOOKUP(BO$1,main!$A$3:$H$102,7,FALSE)=main!$G$105,VLOOKUP(BO$1,main!$A$3:$H$102,5,FALSE)-VLOOKUP($A220,main!$A$3:$H$102,6,FALSE)&gt;=main!$D$103+VLOOKUP(VLOOKUP(BO$1,main!$A$3:$I$102,7,FALSE),main!$K$26:$Q$29,5,FALSE)),1,0)</f>
        <v>0</v>
      </c>
      <c r="BP220">
        <f>IF(AND(VLOOKUP(BP$1,main!$A$3:$H$102,7,FALSE)=main!$G$105,VLOOKUP(BP$1,main!$A$3:$H$102,5,FALSE)-VLOOKUP($A220,main!$A$3:$H$102,6,FALSE)&gt;=main!$D$103+VLOOKUP(VLOOKUP(BP$1,main!$A$3:$I$102,7,FALSE),main!$K$26:$Q$29,5,FALSE)),1,0)</f>
        <v>0</v>
      </c>
      <c r="BQ220">
        <f>IF(AND(VLOOKUP(BQ$1,main!$A$3:$H$102,7,FALSE)=main!$G$105,VLOOKUP(BQ$1,main!$A$3:$H$102,5,FALSE)-VLOOKUP($A220,main!$A$3:$H$102,6,FALSE)&gt;=main!$D$103+VLOOKUP(VLOOKUP(BQ$1,main!$A$3:$I$102,7,FALSE),main!$K$26:$Q$29,5,FALSE)),1,0)</f>
        <v>0</v>
      </c>
      <c r="BR220">
        <f>IF(AND(VLOOKUP(BR$1,main!$A$3:$H$102,7,FALSE)=main!$G$105,VLOOKUP(BR$1,main!$A$3:$H$102,5,FALSE)-VLOOKUP($A220,main!$A$3:$H$102,6,FALSE)&gt;=main!$D$103+VLOOKUP(VLOOKUP(BR$1,main!$A$3:$I$102,7,FALSE),main!$K$26:$Q$29,5,FALSE)),1,0)</f>
        <v>0</v>
      </c>
      <c r="BS220">
        <f>IF(AND(VLOOKUP(BS$1,main!$A$3:$H$102,7,FALSE)=main!$G$105,VLOOKUP(BS$1,main!$A$3:$H$102,5,FALSE)-VLOOKUP($A220,main!$A$3:$H$102,6,FALSE)&gt;=main!$D$103+VLOOKUP(VLOOKUP(BS$1,main!$A$3:$I$102,7,FALSE),main!$K$26:$Q$29,5,FALSE)),1,0)</f>
        <v>0</v>
      </c>
      <c r="BT220">
        <f>IF(AND(VLOOKUP(BT$1,main!$A$3:$H$102,7,FALSE)=main!$G$105,VLOOKUP(BT$1,main!$A$3:$H$102,5,FALSE)-VLOOKUP($A220,main!$A$3:$H$102,6,FALSE)&gt;=main!$D$103+VLOOKUP(VLOOKUP(BT$1,main!$A$3:$I$102,7,FALSE),main!$K$26:$Q$29,5,FALSE)),1,0)</f>
        <v>0</v>
      </c>
      <c r="BU220">
        <f>IF(AND(VLOOKUP(BU$1,main!$A$3:$H$102,7,FALSE)=main!$G$105,VLOOKUP(BU$1,main!$A$3:$H$102,5,FALSE)-VLOOKUP($A220,main!$A$3:$H$102,6,FALSE)&gt;=main!$D$103+VLOOKUP(VLOOKUP(BU$1,main!$A$3:$I$102,7,FALSE),main!$K$26:$Q$29,5,FALSE)),1,0)</f>
        <v>0</v>
      </c>
      <c r="BV220">
        <f>IF(AND(VLOOKUP(BV$1,main!$A$3:$H$102,7,FALSE)=main!$G$105,VLOOKUP(BV$1,main!$A$3:$H$102,5,FALSE)-VLOOKUP($A220,main!$A$3:$H$102,6,FALSE)&gt;=main!$D$103+VLOOKUP(VLOOKUP(BV$1,main!$A$3:$I$102,7,FALSE),main!$K$26:$Q$29,5,FALSE)),1,0)</f>
        <v>0</v>
      </c>
      <c r="BW220">
        <f>IF(AND(VLOOKUP(BW$1,main!$A$3:$H$102,7,FALSE)=main!$G$105,VLOOKUP(BW$1,main!$A$3:$H$102,5,FALSE)-VLOOKUP($A220,main!$A$3:$H$102,6,FALSE)&gt;=main!$D$103+VLOOKUP(VLOOKUP(BW$1,main!$A$3:$I$102,7,FALSE),main!$K$26:$Q$29,5,FALSE)),1,0)</f>
        <v>0</v>
      </c>
      <c r="BX220">
        <f>IF(AND(VLOOKUP(BX$1,main!$A$3:$H$102,7,FALSE)=main!$G$105,VLOOKUP(BX$1,main!$A$3:$H$102,5,FALSE)-VLOOKUP($A220,main!$A$3:$H$102,6,FALSE)&gt;=main!$D$103+VLOOKUP(VLOOKUP(BX$1,main!$A$3:$I$102,7,FALSE),main!$K$26:$Q$29,5,FALSE)),1,0)</f>
        <v>0</v>
      </c>
      <c r="BY220">
        <f>IF(AND(VLOOKUP(BY$1,main!$A$3:$H$102,7,FALSE)=main!$G$105,VLOOKUP(BY$1,main!$A$3:$H$102,5,FALSE)-VLOOKUP($A220,main!$A$3:$H$102,6,FALSE)&gt;=main!$D$103+VLOOKUP(VLOOKUP(BY$1,main!$A$3:$I$102,7,FALSE),main!$K$26:$Q$29,5,FALSE)),1,0)</f>
        <v>0</v>
      </c>
      <c r="BZ220">
        <f>IF(AND(VLOOKUP(BZ$1,main!$A$3:$H$102,7,FALSE)=main!$G$105,VLOOKUP(BZ$1,main!$A$3:$H$102,5,FALSE)-VLOOKUP($A220,main!$A$3:$H$102,6,FALSE)&gt;=main!$D$103+VLOOKUP(VLOOKUP(BZ$1,main!$A$3:$I$102,7,FALSE),main!$K$26:$Q$29,5,FALSE)),1,0)</f>
        <v>0</v>
      </c>
      <c r="CA220">
        <f>IF(AND(VLOOKUP(CA$1,main!$A$3:$H$102,7,FALSE)=main!$G$105,VLOOKUP(CA$1,main!$A$3:$H$102,5,FALSE)-VLOOKUP($A220,main!$A$3:$H$102,6,FALSE)&gt;=main!$D$103+VLOOKUP(VLOOKUP(CA$1,main!$A$3:$I$102,7,FALSE),main!$K$26:$Q$29,5,FALSE)),1,0)</f>
        <v>0</v>
      </c>
      <c r="CB220">
        <f>IF(AND(VLOOKUP(CB$1,main!$A$3:$H$102,7,FALSE)=main!$G$105,VLOOKUP(CB$1,main!$A$3:$H$102,5,FALSE)-VLOOKUP($A220,main!$A$3:$H$102,6,FALSE)&gt;=main!$D$103+VLOOKUP(VLOOKUP(CB$1,main!$A$3:$I$102,7,FALSE),main!$K$26:$Q$29,5,FALSE)),1,0)</f>
        <v>0</v>
      </c>
      <c r="CC220">
        <f>IF(AND(VLOOKUP(CC$1,main!$A$3:$H$102,7,FALSE)=main!$G$105,VLOOKUP(CC$1,main!$A$3:$H$102,5,FALSE)-VLOOKUP($A220,main!$A$3:$H$102,6,FALSE)&gt;=main!$D$103+VLOOKUP(VLOOKUP(CC$1,main!$A$3:$I$102,7,FALSE),main!$K$26:$Q$29,5,FALSE)),1,0)</f>
        <v>0</v>
      </c>
      <c r="CD220">
        <f>IF(AND(VLOOKUP(CD$1,main!$A$3:$H$102,7,FALSE)=main!$G$105,VLOOKUP(CD$1,main!$A$3:$H$102,5,FALSE)-VLOOKUP($A220,main!$A$3:$H$102,6,FALSE)&gt;=main!$D$103+VLOOKUP(VLOOKUP(CD$1,main!$A$3:$I$102,7,FALSE),main!$K$26:$Q$29,5,FALSE)),1,0)</f>
        <v>0</v>
      </c>
      <c r="CE220">
        <f>IF(AND(VLOOKUP(CE$1,main!$A$3:$H$102,7,FALSE)=main!$G$105,VLOOKUP(CE$1,main!$A$3:$H$102,5,FALSE)-VLOOKUP($A220,main!$A$3:$H$102,6,FALSE)&gt;=main!$D$103+VLOOKUP(VLOOKUP(CE$1,main!$A$3:$I$102,7,FALSE),main!$K$26:$Q$29,5,FALSE)),1,0)</f>
        <v>0</v>
      </c>
      <c r="CF220">
        <f>IF(AND(VLOOKUP(CF$1,main!$A$3:$H$102,7,FALSE)=main!$G$105,VLOOKUP(CF$1,main!$A$3:$H$102,5,FALSE)-VLOOKUP($A220,main!$A$3:$H$102,6,FALSE)&gt;=main!$D$103+VLOOKUP(VLOOKUP(CF$1,main!$A$3:$I$102,7,FALSE),main!$K$26:$Q$29,5,FALSE)),1,0)</f>
        <v>0</v>
      </c>
      <c r="CG220">
        <f>IF(AND(VLOOKUP(CG$1,main!$A$3:$H$102,7,FALSE)=main!$G$105,VLOOKUP(CG$1,main!$A$3:$H$102,5,FALSE)-VLOOKUP($A220,main!$A$3:$H$102,6,FALSE)&gt;=main!$D$103+VLOOKUP(VLOOKUP(CG$1,main!$A$3:$I$102,7,FALSE),main!$K$26:$Q$29,5,FALSE)),1,0)</f>
        <v>0</v>
      </c>
      <c r="CH220">
        <f>IF(AND(VLOOKUP(CH$1,main!$A$3:$H$102,7,FALSE)=main!$G$105,VLOOKUP(CH$1,main!$A$3:$H$102,5,FALSE)-VLOOKUP($A220,main!$A$3:$H$102,6,FALSE)&gt;=main!$D$103+VLOOKUP(VLOOKUP(CH$1,main!$A$3:$I$102,7,FALSE),main!$K$26:$Q$29,5,FALSE)),1,0)</f>
        <v>0</v>
      </c>
      <c r="CI220">
        <f>IF(AND(VLOOKUP(CI$1,main!$A$3:$H$102,7,FALSE)=main!$G$105,VLOOKUP(CI$1,main!$A$3:$H$102,5,FALSE)-VLOOKUP($A220,main!$A$3:$H$102,6,FALSE)&gt;=main!$D$103+VLOOKUP(VLOOKUP(CI$1,main!$A$3:$I$102,7,FALSE),main!$K$26:$Q$29,5,FALSE)),1,0)</f>
        <v>0</v>
      </c>
      <c r="CJ220">
        <f>IF(AND(VLOOKUP(CJ$1,main!$A$3:$H$102,7,FALSE)=main!$G$105,VLOOKUP(CJ$1,main!$A$3:$H$102,5,FALSE)-VLOOKUP($A220,main!$A$3:$H$102,6,FALSE)&gt;=main!$D$103+VLOOKUP(VLOOKUP(CJ$1,main!$A$3:$I$102,7,FALSE),main!$K$26:$Q$29,5,FALSE)),1,0)</f>
        <v>0</v>
      </c>
      <c r="CK220">
        <f>IF(AND(VLOOKUP(CK$1,main!$A$3:$H$102,7,FALSE)=main!$G$105,VLOOKUP(CK$1,main!$A$3:$H$102,5,FALSE)-VLOOKUP($A220,main!$A$3:$H$102,6,FALSE)&gt;=main!$D$103+VLOOKUP(VLOOKUP(CK$1,main!$A$3:$I$102,7,FALSE),main!$K$26:$Q$29,5,FALSE)),1,0)</f>
        <v>0</v>
      </c>
      <c r="CL220">
        <f>IF(AND(VLOOKUP(CL$1,main!$A$3:$H$102,7,FALSE)=main!$G$105,VLOOKUP(CL$1,main!$A$3:$H$102,5,FALSE)-VLOOKUP($A220,main!$A$3:$H$102,6,FALSE)&gt;=main!$D$103+VLOOKUP(VLOOKUP(CL$1,main!$A$3:$I$102,7,FALSE),main!$K$26:$Q$29,5,FALSE)),1,0)</f>
        <v>0</v>
      </c>
      <c r="CM220">
        <f>IF(AND(VLOOKUP(CM$1,main!$A$3:$H$102,7,FALSE)=main!$G$105,VLOOKUP(CM$1,main!$A$3:$H$102,5,FALSE)-VLOOKUP($A220,main!$A$3:$H$102,6,FALSE)&gt;=main!$D$103+VLOOKUP(VLOOKUP(CM$1,main!$A$3:$I$102,7,FALSE),main!$K$26:$Q$29,5,FALSE)),1,0)</f>
        <v>0</v>
      </c>
      <c r="CN220">
        <f>IF(AND(VLOOKUP(CN$1,main!$A$3:$H$102,7,FALSE)=main!$G$105,VLOOKUP(CN$1,main!$A$3:$H$102,5,FALSE)-VLOOKUP($A220,main!$A$3:$H$102,6,FALSE)&gt;=main!$D$103+VLOOKUP(VLOOKUP(CN$1,main!$A$3:$I$102,7,FALSE),main!$K$26:$Q$29,5,FALSE)),1,0)</f>
        <v>0</v>
      </c>
      <c r="CO220">
        <f>IF(AND(VLOOKUP(CO$1,main!$A$3:$H$102,7,FALSE)=main!$G$105,VLOOKUP(CO$1,main!$A$3:$H$102,5,FALSE)-VLOOKUP($A220,main!$A$3:$H$102,6,FALSE)&gt;=main!$D$103+VLOOKUP(VLOOKUP(CO$1,main!$A$3:$I$102,7,FALSE),main!$K$26:$Q$29,5,FALSE)),1,0)</f>
        <v>0</v>
      </c>
      <c r="CP220">
        <f>IF(AND(VLOOKUP(CP$1,main!$A$3:$H$102,7,FALSE)=main!$G$105,VLOOKUP(CP$1,main!$A$3:$H$102,5,FALSE)-VLOOKUP($A220,main!$A$3:$H$102,6,FALSE)&gt;=main!$D$103+VLOOKUP(VLOOKUP(CP$1,main!$A$3:$I$102,7,FALSE),main!$K$26:$Q$29,5,FALSE)),1,0)</f>
        <v>0</v>
      </c>
      <c r="CQ220">
        <f>IF(AND(VLOOKUP(CQ$1,main!$A$3:$H$102,7,FALSE)=main!$G$105,VLOOKUP(CQ$1,main!$A$3:$H$102,5,FALSE)-VLOOKUP($A220,main!$A$3:$H$102,6,FALSE)&gt;=main!$D$103+VLOOKUP(VLOOKUP(CQ$1,main!$A$3:$I$102,7,FALSE),main!$K$26:$Q$29,5,FALSE)),1,0)</f>
        <v>0</v>
      </c>
      <c r="CR220">
        <f>IF(AND(VLOOKUP(CR$1,main!$A$3:$H$102,7,FALSE)=main!$G$105,VLOOKUP(CR$1,main!$A$3:$H$102,5,FALSE)-VLOOKUP($A220,main!$A$3:$H$102,6,FALSE)&gt;=main!$D$103+VLOOKUP(VLOOKUP(CR$1,main!$A$3:$I$102,7,FALSE),main!$K$26:$Q$29,5,FALSE)),1,0)</f>
        <v>0</v>
      </c>
      <c r="CS220">
        <f>IF(AND(VLOOKUP(CS$1,main!$A$3:$H$102,7,FALSE)=main!$G$105,VLOOKUP(CS$1,main!$A$3:$H$102,5,FALSE)-VLOOKUP($A220,main!$A$3:$H$102,6,FALSE)&gt;=main!$D$103+VLOOKUP(VLOOKUP(CS$1,main!$A$3:$I$102,7,FALSE),main!$K$26:$Q$29,5,FALSE)),1,0)</f>
        <v>0</v>
      </c>
      <c r="CT220">
        <f>IF(AND(VLOOKUP(CT$1,main!$A$3:$H$102,7,FALSE)=main!$G$105,VLOOKUP(CT$1,main!$A$3:$H$102,5,FALSE)-VLOOKUP($A220,main!$A$3:$H$102,6,FALSE)&gt;=main!$D$103+VLOOKUP(VLOOKUP(CT$1,main!$A$3:$I$102,7,FALSE),main!$K$26:$Q$29,5,FALSE)),1,0)</f>
        <v>0</v>
      </c>
      <c r="CU220">
        <f>IF(AND(VLOOKUP(CU$1,main!$A$3:$H$102,7,FALSE)=main!$G$105,VLOOKUP(CU$1,main!$A$3:$H$102,5,FALSE)-VLOOKUP($A220,main!$A$3:$H$102,6,FALSE)&gt;=main!$D$103+VLOOKUP(VLOOKUP(CU$1,main!$A$3:$I$102,7,FALSE),main!$K$26:$Q$29,5,FALSE)),1,0)</f>
        <v>0</v>
      </c>
      <c r="CV220">
        <f>IF(AND(VLOOKUP(CV$1,main!$A$3:$H$102,7,FALSE)=main!$G$105,VLOOKUP(CV$1,main!$A$3:$H$102,5,FALSE)-VLOOKUP($A220,main!$A$3:$H$102,6,FALSE)&gt;=main!$D$103+VLOOKUP(VLOOKUP(CV$1,main!$A$3:$I$102,7,FALSE),main!$K$26:$Q$29,5,FALSE)),1,0)</f>
        <v>0</v>
      </c>
      <c r="CW220">
        <f>IF(AND(VLOOKUP(CW$1,main!$A$3:$H$102,7,FALSE)=main!$G$105,VLOOKUP(CW$1,main!$A$3:$H$102,5,FALSE)-VLOOKUP($A220,main!$A$3:$H$102,6,FALSE)&gt;=main!$D$103+VLOOKUP(VLOOKUP(CW$1,main!$A$3:$I$102,7,FALSE),main!$K$26:$Q$29,5,FALSE)),1,0)</f>
        <v>0</v>
      </c>
      <c r="CX220">
        <f>IF(AND(VLOOKUP(CX$1,main!$A$3:$H$102,7,FALSE)=main!$G$105,VLOOKUP(CX$1,main!$A$3:$H$102,5,FALSE)-VLOOKUP($A220,main!$A$3:$H$102,6,FALSE)&gt;=main!$D$103+VLOOKUP(VLOOKUP(CX$1,main!$A$3:$I$102,7,FALSE),main!$K$26:$Q$29,5,FALSE)),1,0)</f>
        <v>0</v>
      </c>
    </row>
    <row r="221" spans="1:102" x14ac:dyDescent="0.25">
      <c r="A221" s="1">
        <v>17</v>
      </c>
      <c r="B221">
        <v>0</v>
      </c>
      <c r="C221">
        <f>IF(AND(VLOOKUP(C$1,main!$A$3:$H$102,7,FALSE)=main!$G$105,VLOOKUP(C$1,main!$A$3:$H$102,5,FALSE)-VLOOKUP($A221,main!$A$3:$H$102,6,FALSE)&gt;=main!$D$103+VLOOKUP(VLOOKUP(C$1,main!$A$3:$I$102,7,FALSE),main!$K$26:$Q$29,5,FALSE)),1,0)</f>
        <v>0</v>
      </c>
      <c r="D221">
        <f>IF(AND(VLOOKUP(D$1,main!$A$3:$H$102,7,FALSE)=main!$G$105,VLOOKUP(D$1,main!$A$3:$H$102,5,FALSE)-VLOOKUP($A221,main!$A$3:$H$102,6,FALSE)&gt;=main!$D$103+VLOOKUP(VLOOKUP(D$1,main!$A$3:$I$102,7,FALSE),main!$K$26:$Q$29,5,FALSE)),1,0)</f>
        <v>0</v>
      </c>
      <c r="E221">
        <f>IF(AND(VLOOKUP(E$1,main!$A$3:$H$102,7,FALSE)=main!$G$105,VLOOKUP(E$1,main!$A$3:$H$102,5,FALSE)-VLOOKUP($A221,main!$A$3:$H$102,6,FALSE)&gt;=main!$D$103+VLOOKUP(VLOOKUP(E$1,main!$A$3:$I$102,7,FALSE),main!$K$26:$Q$29,5,FALSE)),1,0)</f>
        <v>0</v>
      </c>
      <c r="F221">
        <f>IF(AND(VLOOKUP(F$1,main!$A$3:$H$102,7,FALSE)=main!$G$105,VLOOKUP(F$1,main!$A$3:$H$102,5,FALSE)-VLOOKUP($A221,main!$A$3:$H$102,6,FALSE)&gt;=main!$D$103+VLOOKUP(VLOOKUP(F$1,main!$A$3:$I$102,7,FALSE),main!$K$26:$Q$29,5,FALSE)),1,0)</f>
        <v>0</v>
      </c>
      <c r="G221">
        <f>IF(AND(VLOOKUP(G$1,main!$A$3:$H$102,7,FALSE)=main!$G$105,VLOOKUP(G$1,main!$A$3:$H$102,5,FALSE)-VLOOKUP($A221,main!$A$3:$H$102,6,FALSE)&gt;=main!$D$103+VLOOKUP(VLOOKUP(G$1,main!$A$3:$I$102,7,FALSE),main!$K$26:$Q$29,5,FALSE)),1,0)</f>
        <v>0</v>
      </c>
      <c r="H221">
        <f>IF(AND(VLOOKUP(H$1,main!$A$3:$H$102,7,FALSE)=main!$G$105,VLOOKUP(H$1,main!$A$3:$H$102,5,FALSE)-VLOOKUP($A221,main!$A$3:$H$102,6,FALSE)&gt;=main!$D$103+VLOOKUP(VLOOKUP(H$1,main!$A$3:$I$102,7,FALSE),main!$K$26:$Q$29,5,FALSE)),1,0)</f>
        <v>0</v>
      </c>
      <c r="I221">
        <f>IF(AND(VLOOKUP(I$1,main!$A$3:$H$102,7,FALSE)=main!$G$105,VLOOKUP(I$1,main!$A$3:$H$102,5,FALSE)-VLOOKUP($A221,main!$A$3:$H$102,6,FALSE)&gt;=main!$D$103+VLOOKUP(VLOOKUP(I$1,main!$A$3:$I$102,7,FALSE),main!$K$26:$Q$29,5,FALSE)),1,0)</f>
        <v>0</v>
      </c>
      <c r="J221">
        <f>IF(AND(VLOOKUP(J$1,main!$A$3:$H$102,7,FALSE)=main!$G$105,VLOOKUP(J$1,main!$A$3:$H$102,5,FALSE)-VLOOKUP($A221,main!$A$3:$H$102,6,FALSE)&gt;=main!$D$103+VLOOKUP(VLOOKUP(J$1,main!$A$3:$I$102,7,FALSE),main!$K$26:$Q$29,5,FALSE)),1,0)</f>
        <v>0</v>
      </c>
      <c r="K221">
        <f>IF(AND(VLOOKUP(K$1,main!$A$3:$H$102,7,FALSE)=main!$G$105,VLOOKUP(K$1,main!$A$3:$H$102,5,FALSE)-VLOOKUP($A221,main!$A$3:$H$102,6,FALSE)&gt;=main!$D$103+VLOOKUP(VLOOKUP(K$1,main!$A$3:$I$102,7,FALSE),main!$K$26:$Q$29,5,FALSE)),1,0)</f>
        <v>0</v>
      </c>
      <c r="L221">
        <f>IF(AND(VLOOKUP(L$1,main!$A$3:$H$102,7,FALSE)=main!$G$105,VLOOKUP(L$1,main!$A$3:$H$102,5,FALSE)-VLOOKUP($A221,main!$A$3:$H$102,6,FALSE)&gt;=main!$D$103+VLOOKUP(VLOOKUP(L$1,main!$A$3:$I$102,7,FALSE),main!$K$26:$Q$29,5,FALSE)),1,0)</f>
        <v>0</v>
      </c>
      <c r="M221">
        <f>IF(AND(VLOOKUP(M$1,main!$A$3:$H$102,7,FALSE)=main!$G$105,VLOOKUP(M$1,main!$A$3:$H$102,5,FALSE)-VLOOKUP($A221,main!$A$3:$H$102,6,FALSE)&gt;=main!$D$103+VLOOKUP(VLOOKUP(M$1,main!$A$3:$I$102,7,FALSE),main!$K$26:$Q$29,5,FALSE)),1,0)</f>
        <v>0</v>
      </c>
      <c r="N221">
        <f>IF(AND(VLOOKUP(N$1,main!$A$3:$H$102,7,FALSE)=main!$G$105,VLOOKUP(N$1,main!$A$3:$H$102,5,FALSE)-VLOOKUP($A221,main!$A$3:$H$102,6,FALSE)&gt;=main!$D$103+VLOOKUP(VLOOKUP(N$1,main!$A$3:$I$102,7,FALSE),main!$K$26:$Q$29,5,FALSE)),1,0)</f>
        <v>0</v>
      </c>
      <c r="O221">
        <f>IF(AND(VLOOKUP(O$1,main!$A$3:$H$102,7,FALSE)=main!$G$105,VLOOKUP(O$1,main!$A$3:$H$102,5,FALSE)-VLOOKUP($A221,main!$A$3:$H$102,6,FALSE)&gt;=main!$D$103+VLOOKUP(VLOOKUP(O$1,main!$A$3:$I$102,7,FALSE),main!$K$26:$Q$29,5,FALSE)),1,0)</f>
        <v>0</v>
      </c>
      <c r="P221">
        <f>IF(AND(VLOOKUP(P$1,main!$A$3:$H$102,7,FALSE)=main!$G$105,VLOOKUP(P$1,main!$A$3:$H$102,5,FALSE)-VLOOKUP($A221,main!$A$3:$H$102,6,FALSE)&gt;=main!$D$103+VLOOKUP(VLOOKUP(P$1,main!$A$3:$I$102,7,FALSE),main!$K$26:$Q$29,5,FALSE)),1,0)</f>
        <v>0</v>
      </c>
      <c r="Q221">
        <f>IF(AND(VLOOKUP(Q$1,main!$A$3:$H$102,7,FALSE)=main!$G$105,VLOOKUP(Q$1,main!$A$3:$H$102,5,FALSE)-VLOOKUP($A221,main!$A$3:$H$102,6,FALSE)&gt;=main!$D$103+VLOOKUP(VLOOKUP(Q$1,main!$A$3:$I$102,7,FALSE),main!$K$26:$Q$29,5,FALSE)),1,0)</f>
        <v>0</v>
      </c>
      <c r="R221">
        <f>IF(AND(VLOOKUP(R$1,main!$A$3:$H$102,7,FALSE)=main!$G$105,VLOOKUP(R$1,main!$A$3:$H$102,5,FALSE)-VLOOKUP($A221,main!$A$3:$H$102,6,FALSE)&gt;=main!$D$103+VLOOKUP(VLOOKUP(R$1,main!$A$3:$I$102,7,FALSE),main!$K$26:$Q$29,5,FALSE)),1,0)</f>
        <v>0</v>
      </c>
      <c r="S221">
        <f>IF(AND(VLOOKUP(S$1,main!$A$3:$H$102,7,FALSE)=main!$G$105,VLOOKUP(S$1,main!$A$3:$H$102,5,FALSE)-VLOOKUP($A221,main!$A$3:$H$102,6,FALSE)&gt;=main!$D$103+VLOOKUP(VLOOKUP(S$1,main!$A$3:$I$102,7,FALSE),main!$K$26:$Q$29,5,FALSE)),1,0)</f>
        <v>0</v>
      </c>
      <c r="T221">
        <f>IF(AND(VLOOKUP(T$1,main!$A$3:$H$102,7,FALSE)=main!$G$105,VLOOKUP(T$1,main!$A$3:$H$102,5,FALSE)-VLOOKUP($A221,main!$A$3:$H$102,6,FALSE)&gt;=main!$D$103+VLOOKUP(VLOOKUP(T$1,main!$A$3:$I$102,7,FALSE),main!$K$26:$Q$29,5,FALSE)),1,0)</f>
        <v>0</v>
      </c>
      <c r="U221">
        <f>IF(AND(VLOOKUP(U$1,main!$A$3:$H$102,7,FALSE)=main!$G$105,VLOOKUP(U$1,main!$A$3:$H$102,5,FALSE)-VLOOKUP($A221,main!$A$3:$H$102,6,FALSE)&gt;=main!$D$103+VLOOKUP(VLOOKUP(U$1,main!$A$3:$I$102,7,FALSE),main!$K$26:$Q$29,5,FALSE)),1,0)</f>
        <v>0</v>
      </c>
      <c r="V221">
        <f>IF(AND(VLOOKUP(V$1,main!$A$3:$H$102,7,FALSE)=main!$G$105,VLOOKUP(V$1,main!$A$3:$H$102,5,FALSE)-VLOOKUP($A221,main!$A$3:$H$102,6,FALSE)&gt;=main!$D$103+VLOOKUP(VLOOKUP(V$1,main!$A$3:$I$102,7,FALSE),main!$K$26:$Q$29,5,FALSE)),1,0)</f>
        <v>0</v>
      </c>
      <c r="W221">
        <f>IF(AND(VLOOKUP(W$1,main!$A$3:$H$102,7,FALSE)=main!$G$105,VLOOKUP(W$1,main!$A$3:$H$102,5,FALSE)-VLOOKUP($A221,main!$A$3:$H$102,6,FALSE)&gt;=main!$D$103+VLOOKUP(VLOOKUP(W$1,main!$A$3:$I$102,7,FALSE),main!$K$26:$Q$29,5,FALSE)),1,0)</f>
        <v>0</v>
      </c>
      <c r="X221">
        <f>IF(AND(VLOOKUP(X$1,main!$A$3:$H$102,7,FALSE)=main!$G$105,VLOOKUP(X$1,main!$A$3:$H$102,5,FALSE)-VLOOKUP($A221,main!$A$3:$H$102,6,FALSE)&gt;=main!$D$103+VLOOKUP(VLOOKUP(X$1,main!$A$3:$I$102,7,FALSE),main!$K$26:$Q$29,5,FALSE)),1,0)</f>
        <v>0</v>
      </c>
      <c r="Y221">
        <f>IF(AND(VLOOKUP(Y$1,main!$A$3:$H$102,7,FALSE)=main!$G$105,VLOOKUP(Y$1,main!$A$3:$H$102,5,FALSE)-VLOOKUP($A221,main!$A$3:$H$102,6,FALSE)&gt;=main!$D$103+VLOOKUP(VLOOKUP(Y$1,main!$A$3:$I$102,7,FALSE),main!$K$26:$Q$29,5,FALSE)),1,0)</f>
        <v>0</v>
      </c>
      <c r="Z221">
        <f>IF(AND(VLOOKUP(Z$1,main!$A$3:$H$102,7,FALSE)=main!$G$105,VLOOKUP(Z$1,main!$A$3:$H$102,5,FALSE)-VLOOKUP($A221,main!$A$3:$H$102,6,FALSE)&gt;=main!$D$103+VLOOKUP(VLOOKUP(Z$1,main!$A$3:$I$102,7,FALSE),main!$K$26:$Q$29,5,FALSE)),1,0)</f>
        <v>0</v>
      </c>
      <c r="AA221">
        <f>IF(AND(VLOOKUP(AA$1,main!$A$3:$H$102,7,FALSE)=main!$G$105,VLOOKUP(AA$1,main!$A$3:$H$102,5,FALSE)-VLOOKUP($A221,main!$A$3:$H$102,6,FALSE)&gt;=main!$D$103+VLOOKUP(VLOOKUP(AA$1,main!$A$3:$I$102,7,FALSE),main!$K$26:$Q$29,5,FALSE)),1,0)</f>
        <v>0</v>
      </c>
      <c r="AB221">
        <f>IF(AND(VLOOKUP(AB$1,main!$A$3:$H$102,7,FALSE)=main!$G$105,VLOOKUP(AB$1,main!$A$3:$H$102,5,FALSE)-VLOOKUP($A221,main!$A$3:$H$102,6,FALSE)&gt;=main!$D$103+VLOOKUP(VLOOKUP(AB$1,main!$A$3:$I$102,7,FALSE),main!$K$26:$Q$29,5,FALSE)),1,0)</f>
        <v>0</v>
      </c>
      <c r="AC221">
        <f>IF(AND(VLOOKUP(AC$1,main!$A$3:$H$102,7,FALSE)=main!$G$105,VLOOKUP(AC$1,main!$A$3:$H$102,5,FALSE)-VLOOKUP($A221,main!$A$3:$H$102,6,FALSE)&gt;=main!$D$103+VLOOKUP(VLOOKUP(AC$1,main!$A$3:$I$102,7,FALSE),main!$K$26:$Q$29,5,FALSE)),1,0)</f>
        <v>0</v>
      </c>
      <c r="AD221">
        <f>IF(AND(VLOOKUP(AD$1,main!$A$3:$H$102,7,FALSE)=main!$G$105,VLOOKUP(AD$1,main!$A$3:$H$102,5,FALSE)-VLOOKUP($A221,main!$A$3:$H$102,6,FALSE)&gt;=main!$D$103+VLOOKUP(VLOOKUP(AD$1,main!$A$3:$I$102,7,FALSE),main!$K$26:$Q$29,5,FALSE)),1,0)</f>
        <v>0</v>
      </c>
      <c r="AE221">
        <f>IF(AND(VLOOKUP(AE$1,main!$A$3:$H$102,7,FALSE)=main!$G$105,VLOOKUP(AE$1,main!$A$3:$H$102,5,FALSE)-VLOOKUP($A221,main!$A$3:$H$102,6,FALSE)&gt;=main!$D$103+VLOOKUP(VLOOKUP(AE$1,main!$A$3:$I$102,7,FALSE),main!$K$26:$Q$29,5,FALSE)),1,0)</f>
        <v>0</v>
      </c>
      <c r="AF221">
        <f>IF(AND(VLOOKUP(AF$1,main!$A$3:$H$102,7,FALSE)=main!$G$105,VLOOKUP(AF$1,main!$A$3:$H$102,5,FALSE)-VLOOKUP($A221,main!$A$3:$H$102,6,FALSE)&gt;=main!$D$103+VLOOKUP(VLOOKUP(AF$1,main!$A$3:$I$102,7,FALSE),main!$K$26:$Q$29,5,FALSE)),1,0)</f>
        <v>0</v>
      </c>
      <c r="AG221">
        <f>IF(AND(VLOOKUP(AG$1,main!$A$3:$H$102,7,FALSE)=main!$G$105,VLOOKUP(AG$1,main!$A$3:$H$102,5,FALSE)-VLOOKUP($A221,main!$A$3:$H$102,6,FALSE)&gt;=main!$D$103+VLOOKUP(VLOOKUP(AG$1,main!$A$3:$I$102,7,FALSE),main!$K$26:$Q$29,5,FALSE)),1,0)</f>
        <v>0</v>
      </c>
      <c r="AH221">
        <f>IF(AND(VLOOKUP(AH$1,main!$A$3:$H$102,7,FALSE)=main!$G$105,VLOOKUP(AH$1,main!$A$3:$H$102,5,FALSE)-VLOOKUP($A221,main!$A$3:$H$102,6,FALSE)&gt;=main!$D$103+VLOOKUP(VLOOKUP(AH$1,main!$A$3:$I$102,7,FALSE),main!$K$26:$Q$29,5,FALSE)),1,0)</f>
        <v>0</v>
      </c>
      <c r="AI221">
        <f>IF(AND(VLOOKUP(AI$1,main!$A$3:$H$102,7,FALSE)=main!$G$105,VLOOKUP(AI$1,main!$A$3:$H$102,5,FALSE)-VLOOKUP($A221,main!$A$3:$H$102,6,FALSE)&gt;=main!$D$103+VLOOKUP(VLOOKUP(AI$1,main!$A$3:$I$102,7,FALSE),main!$K$26:$Q$29,5,FALSE)),1,0)</f>
        <v>0</v>
      </c>
      <c r="AJ221">
        <f>IF(AND(VLOOKUP(AJ$1,main!$A$3:$H$102,7,FALSE)=main!$G$105,VLOOKUP(AJ$1,main!$A$3:$H$102,5,FALSE)-VLOOKUP($A221,main!$A$3:$H$102,6,FALSE)&gt;=main!$D$103+VLOOKUP(VLOOKUP(AJ$1,main!$A$3:$I$102,7,FALSE),main!$K$26:$Q$29,5,FALSE)),1,0)</f>
        <v>0</v>
      </c>
      <c r="AK221">
        <f>IF(AND(VLOOKUP(AK$1,main!$A$3:$H$102,7,FALSE)=main!$G$105,VLOOKUP(AK$1,main!$A$3:$H$102,5,FALSE)-VLOOKUP($A221,main!$A$3:$H$102,6,FALSE)&gt;=main!$D$103+VLOOKUP(VLOOKUP(AK$1,main!$A$3:$I$102,7,FALSE),main!$K$26:$Q$29,5,FALSE)),1,0)</f>
        <v>0</v>
      </c>
      <c r="AL221">
        <f>IF(AND(VLOOKUP(AL$1,main!$A$3:$H$102,7,FALSE)=main!$G$105,VLOOKUP(AL$1,main!$A$3:$H$102,5,FALSE)-VLOOKUP($A221,main!$A$3:$H$102,6,FALSE)&gt;=main!$D$103+VLOOKUP(VLOOKUP(AL$1,main!$A$3:$I$102,7,FALSE),main!$K$26:$Q$29,5,FALSE)),1,0)</f>
        <v>0</v>
      </c>
      <c r="AM221">
        <f>IF(AND(VLOOKUP(AM$1,main!$A$3:$H$102,7,FALSE)=main!$G$105,VLOOKUP(AM$1,main!$A$3:$H$102,5,FALSE)-VLOOKUP($A221,main!$A$3:$H$102,6,FALSE)&gt;=main!$D$103+VLOOKUP(VLOOKUP(AM$1,main!$A$3:$I$102,7,FALSE),main!$K$26:$Q$29,5,FALSE)),1,0)</f>
        <v>0</v>
      </c>
      <c r="AN221">
        <f>IF(AND(VLOOKUP(AN$1,main!$A$3:$H$102,7,FALSE)=main!$G$105,VLOOKUP(AN$1,main!$A$3:$H$102,5,FALSE)-VLOOKUP($A221,main!$A$3:$H$102,6,FALSE)&gt;=main!$D$103+VLOOKUP(VLOOKUP(AN$1,main!$A$3:$I$102,7,FALSE),main!$K$26:$Q$29,5,FALSE)),1,0)</f>
        <v>1</v>
      </c>
      <c r="AO221">
        <f>IF(AND(VLOOKUP(AO$1,main!$A$3:$H$102,7,FALSE)=main!$G$105,VLOOKUP(AO$1,main!$A$3:$H$102,5,FALSE)-VLOOKUP($A221,main!$A$3:$H$102,6,FALSE)&gt;=main!$D$103+VLOOKUP(VLOOKUP(AO$1,main!$A$3:$I$102,7,FALSE),main!$K$26:$Q$29,5,FALSE)),1,0)</f>
        <v>0</v>
      </c>
      <c r="AP221">
        <f>IF(AND(VLOOKUP(AP$1,main!$A$3:$H$102,7,FALSE)=main!$G$105,VLOOKUP(AP$1,main!$A$3:$H$102,5,FALSE)-VLOOKUP($A221,main!$A$3:$H$102,6,FALSE)&gt;=main!$D$103+VLOOKUP(VLOOKUP(AP$1,main!$A$3:$I$102,7,FALSE),main!$K$26:$Q$29,5,FALSE)),1,0)</f>
        <v>1</v>
      </c>
      <c r="AQ221">
        <f>IF(AND(VLOOKUP(AQ$1,main!$A$3:$H$102,7,FALSE)=main!$G$105,VLOOKUP(AQ$1,main!$A$3:$H$102,5,FALSE)-VLOOKUP($A221,main!$A$3:$H$102,6,FALSE)&gt;=main!$D$103+VLOOKUP(VLOOKUP(AQ$1,main!$A$3:$I$102,7,FALSE),main!$K$26:$Q$29,5,FALSE)),1,0)</f>
        <v>0</v>
      </c>
      <c r="AR221">
        <f>IF(AND(VLOOKUP(AR$1,main!$A$3:$H$102,7,FALSE)=main!$G$105,VLOOKUP(AR$1,main!$A$3:$H$102,5,FALSE)-VLOOKUP($A221,main!$A$3:$H$102,6,FALSE)&gt;=main!$D$103+VLOOKUP(VLOOKUP(AR$1,main!$A$3:$I$102,7,FALSE),main!$K$26:$Q$29,5,FALSE)),1,0)</f>
        <v>0</v>
      </c>
      <c r="AS221">
        <f>IF(AND(VLOOKUP(AS$1,main!$A$3:$H$102,7,FALSE)=main!$G$105,VLOOKUP(AS$1,main!$A$3:$H$102,5,FALSE)-VLOOKUP($A221,main!$A$3:$H$102,6,FALSE)&gt;=main!$D$103+VLOOKUP(VLOOKUP(AS$1,main!$A$3:$I$102,7,FALSE),main!$K$26:$Q$29,5,FALSE)),1,0)</f>
        <v>0</v>
      </c>
      <c r="AT221">
        <f>IF(AND(VLOOKUP(AT$1,main!$A$3:$H$102,7,FALSE)=main!$G$105,VLOOKUP(AT$1,main!$A$3:$H$102,5,FALSE)-VLOOKUP($A221,main!$A$3:$H$102,6,FALSE)&gt;=main!$D$103+VLOOKUP(VLOOKUP(AT$1,main!$A$3:$I$102,7,FALSE),main!$K$26:$Q$29,5,FALSE)),1,0)</f>
        <v>0</v>
      </c>
      <c r="AU221">
        <f>IF(AND(VLOOKUP(AU$1,main!$A$3:$H$102,7,FALSE)=main!$G$105,VLOOKUP(AU$1,main!$A$3:$H$102,5,FALSE)-VLOOKUP($A221,main!$A$3:$H$102,6,FALSE)&gt;=main!$D$103+VLOOKUP(VLOOKUP(AU$1,main!$A$3:$I$102,7,FALSE),main!$K$26:$Q$29,5,FALSE)),1,0)</f>
        <v>0</v>
      </c>
      <c r="AV221">
        <f>IF(AND(VLOOKUP(AV$1,main!$A$3:$H$102,7,FALSE)=main!$G$105,VLOOKUP(AV$1,main!$A$3:$H$102,5,FALSE)-VLOOKUP($A221,main!$A$3:$H$102,6,FALSE)&gt;=main!$D$103+VLOOKUP(VLOOKUP(AV$1,main!$A$3:$I$102,7,FALSE),main!$K$26:$Q$29,5,FALSE)),1,0)</f>
        <v>0</v>
      </c>
      <c r="AW221">
        <f>IF(AND(VLOOKUP(AW$1,main!$A$3:$H$102,7,FALSE)=main!$G$105,VLOOKUP(AW$1,main!$A$3:$H$102,5,FALSE)-VLOOKUP($A221,main!$A$3:$H$102,6,FALSE)&gt;=main!$D$103+VLOOKUP(VLOOKUP(AW$1,main!$A$3:$I$102,7,FALSE),main!$K$26:$Q$29,5,FALSE)),1,0)</f>
        <v>0</v>
      </c>
      <c r="AX221">
        <f>IF(AND(VLOOKUP(AX$1,main!$A$3:$H$102,7,FALSE)=main!$G$105,VLOOKUP(AX$1,main!$A$3:$H$102,5,FALSE)-VLOOKUP($A221,main!$A$3:$H$102,6,FALSE)&gt;=main!$D$103+VLOOKUP(VLOOKUP(AX$1,main!$A$3:$I$102,7,FALSE),main!$K$26:$Q$29,5,FALSE)),1,0)</f>
        <v>0</v>
      </c>
      <c r="AY221">
        <f>IF(AND(VLOOKUP(AY$1,main!$A$3:$H$102,7,FALSE)=main!$G$105,VLOOKUP(AY$1,main!$A$3:$H$102,5,FALSE)-VLOOKUP($A221,main!$A$3:$H$102,6,FALSE)&gt;=main!$D$103+VLOOKUP(VLOOKUP(AY$1,main!$A$3:$I$102,7,FALSE),main!$K$26:$Q$29,5,FALSE)),1,0)</f>
        <v>0</v>
      </c>
      <c r="AZ221">
        <f>IF(AND(VLOOKUP(AZ$1,main!$A$3:$H$102,7,FALSE)=main!$G$105,VLOOKUP(AZ$1,main!$A$3:$H$102,5,FALSE)-VLOOKUP($A221,main!$A$3:$H$102,6,FALSE)&gt;=main!$D$103+VLOOKUP(VLOOKUP(AZ$1,main!$A$3:$I$102,7,FALSE),main!$K$26:$Q$29,5,FALSE)),1,0)</f>
        <v>0</v>
      </c>
      <c r="BA221">
        <f>IF(AND(VLOOKUP(BA$1,main!$A$3:$H$102,7,FALSE)=main!$G$105,VLOOKUP(BA$1,main!$A$3:$H$102,5,FALSE)-VLOOKUP($A221,main!$A$3:$H$102,6,FALSE)&gt;=main!$D$103+VLOOKUP(VLOOKUP(BA$1,main!$A$3:$I$102,7,FALSE),main!$K$26:$Q$29,5,FALSE)),1,0)</f>
        <v>0</v>
      </c>
      <c r="BB221">
        <f>IF(AND(VLOOKUP(BB$1,main!$A$3:$H$102,7,FALSE)=main!$G$105,VLOOKUP(BB$1,main!$A$3:$H$102,5,FALSE)-VLOOKUP($A221,main!$A$3:$H$102,6,FALSE)&gt;=main!$D$103+VLOOKUP(VLOOKUP(BB$1,main!$A$3:$I$102,7,FALSE),main!$K$26:$Q$29,5,FALSE)),1,0)</f>
        <v>0</v>
      </c>
      <c r="BC221">
        <f>IF(AND(VLOOKUP(BC$1,main!$A$3:$H$102,7,FALSE)=main!$G$105,VLOOKUP(BC$1,main!$A$3:$H$102,5,FALSE)-VLOOKUP($A221,main!$A$3:$H$102,6,FALSE)&gt;=main!$D$103+VLOOKUP(VLOOKUP(BC$1,main!$A$3:$I$102,7,FALSE),main!$K$26:$Q$29,5,FALSE)),1,0)</f>
        <v>0</v>
      </c>
      <c r="BD221">
        <f>IF(AND(VLOOKUP(BD$1,main!$A$3:$H$102,7,FALSE)=main!$G$105,VLOOKUP(BD$1,main!$A$3:$H$102,5,FALSE)-VLOOKUP($A221,main!$A$3:$H$102,6,FALSE)&gt;=main!$D$103+VLOOKUP(VLOOKUP(BD$1,main!$A$3:$I$102,7,FALSE),main!$K$26:$Q$29,5,FALSE)),1,0)</f>
        <v>0</v>
      </c>
      <c r="BE221">
        <f>IF(AND(VLOOKUP(BE$1,main!$A$3:$H$102,7,FALSE)=main!$G$105,VLOOKUP(BE$1,main!$A$3:$H$102,5,FALSE)-VLOOKUP($A221,main!$A$3:$H$102,6,FALSE)&gt;=main!$D$103+VLOOKUP(VLOOKUP(BE$1,main!$A$3:$I$102,7,FALSE),main!$K$26:$Q$29,5,FALSE)),1,0)</f>
        <v>0</v>
      </c>
      <c r="BF221">
        <f>IF(AND(VLOOKUP(BF$1,main!$A$3:$H$102,7,FALSE)=main!$G$105,VLOOKUP(BF$1,main!$A$3:$H$102,5,FALSE)-VLOOKUP($A221,main!$A$3:$H$102,6,FALSE)&gt;=main!$D$103+VLOOKUP(VLOOKUP(BF$1,main!$A$3:$I$102,7,FALSE),main!$K$26:$Q$29,5,FALSE)),1,0)</f>
        <v>0</v>
      </c>
      <c r="BG221">
        <f>IF(AND(VLOOKUP(BG$1,main!$A$3:$H$102,7,FALSE)=main!$G$105,VLOOKUP(BG$1,main!$A$3:$H$102,5,FALSE)-VLOOKUP($A221,main!$A$3:$H$102,6,FALSE)&gt;=main!$D$103+VLOOKUP(VLOOKUP(BG$1,main!$A$3:$I$102,7,FALSE),main!$K$26:$Q$29,5,FALSE)),1,0)</f>
        <v>0</v>
      </c>
      <c r="BH221">
        <f>IF(AND(VLOOKUP(BH$1,main!$A$3:$H$102,7,FALSE)=main!$G$105,VLOOKUP(BH$1,main!$A$3:$H$102,5,FALSE)-VLOOKUP($A221,main!$A$3:$H$102,6,FALSE)&gt;=main!$D$103+VLOOKUP(VLOOKUP(BH$1,main!$A$3:$I$102,7,FALSE),main!$K$26:$Q$29,5,FALSE)),1,0)</f>
        <v>0</v>
      </c>
      <c r="BI221">
        <f>IF(AND(VLOOKUP(BI$1,main!$A$3:$H$102,7,FALSE)=main!$G$105,VLOOKUP(BI$1,main!$A$3:$H$102,5,FALSE)-VLOOKUP($A221,main!$A$3:$H$102,6,FALSE)&gt;=main!$D$103+VLOOKUP(VLOOKUP(BI$1,main!$A$3:$I$102,7,FALSE),main!$K$26:$Q$29,5,FALSE)),1,0)</f>
        <v>0</v>
      </c>
      <c r="BJ221">
        <f>IF(AND(VLOOKUP(BJ$1,main!$A$3:$H$102,7,FALSE)=main!$G$105,VLOOKUP(BJ$1,main!$A$3:$H$102,5,FALSE)-VLOOKUP($A221,main!$A$3:$H$102,6,FALSE)&gt;=main!$D$103+VLOOKUP(VLOOKUP(BJ$1,main!$A$3:$I$102,7,FALSE),main!$K$26:$Q$29,5,FALSE)),1,0)</f>
        <v>0</v>
      </c>
      <c r="BK221">
        <f>IF(AND(VLOOKUP(BK$1,main!$A$3:$H$102,7,FALSE)=main!$G$105,VLOOKUP(BK$1,main!$A$3:$H$102,5,FALSE)-VLOOKUP($A221,main!$A$3:$H$102,6,FALSE)&gt;=main!$D$103+VLOOKUP(VLOOKUP(BK$1,main!$A$3:$I$102,7,FALSE),main!$K$26:$Q$29,5,FALSE)),1,0)</f>
        <v>0</v>
      </c>
      <c r="BL221">
        <f>IF(AND(VLOOKUP(BL$1,main!$A$3:$H$102,7,FALSE)=main!$G$105,VLOOKUP(BL$1,main!$A$3:$H$102,5,FALSE)-VLOOKUP($A221,main!$A$3:$H$102,6,FALSE)&gt;=main!$D$103+VLOOKUP(VLOOKUP(BL$1,main!$A$3:$I$102,7,FALSE),main!$K$26:$Q$29,5,FALSE)),1,0)</f>
        <v>0</v>
      </c>
      <c r="BM221">
        <f>IF(AND(VLOOKUP(BM$1,main!$A$3:$H$102,7,FALSE)=main!$G$105,VLOOKUP(BM$1,main!$A$3:$H$102,5,FALSE)-VLOOKUP($A221,main!$A$3:$H$102,6,FALSE)&gt;=main!$D$103+VLOOKUP(VLOOKUP(BM$1,main!$A$3:$I$102,7,FALSE),main!$K$26:$Q$29,5,FALSE)),1,0)</f>
        <v>0</v>
      </c>
      <c r="BN221">
        <f>IF(AND(VLOOKUP(BN$1,main!$A$3:$H$102,7,FALSE)=main!$G$105,VLOOKUP(BN$1,main!$A$3:$H$102,5,FALSE)-VLOOKUP($A221,main!$A$3:$H$102,6,FALSE)&gt;=main!$D$103+VLOOKUP(VLOOKUP(BN$1,main!$A$3:$I$102,7,FALSE),main!$K$26:$Q$29,5,FALSE)),1,0)</f>
        <v>0</v>
      </c>
      <c r="BO221">
        <f>IF(AND(VLOOKUP(BO$1,main!$A$3:$H$102,7,FALSE)=main!$G$105,VLOOKUP(BO$1,main!$A$3:$H$102,5,FALSE)-VLOOKUP($A221,main!$A$3:$H$102,6,FALSE)&gt;=main!$D$103+VLOOKUP(VLOOKUP(BO$1,main!$A$3:$I$102,7,FALSE),main!$K$26:$Q$29,5,FALSE)),1,0)</f>
        <v>0</v>
      </c>
      <c r="BP221">
        <f>IF(AND(VLOOKUP(BP$1,main!$A$3:$H$102,7,FALSE)=main!$G$105,VLOOKUP(BP$1,main!$A$3:$H$102,5,FALSE)-VLOOKUP($A221,main!$A$3:$H$102,6,FALSE)&gt;=main!$D$103+VLOOKUP(VLOOKUP(BP$1,main!$A$3:$I$102,7,FALSE),main!$K$26:$Q$29,5,FALSE)),1,0)</f>
        <v>0</v>
      </c>
      <c r="BQ221">
        <f>IF(AND(VLOOKUP(BQ$1,main!$A$3:$H$102,7,FALSE)=main!$G$105,VLOOKUP(BQ$1,main!$A$3:$H$102,5,FALSE)-VLOOKUP($A221,main!$A$3:$H$102,6,FALSE)&gt;=main!$D$103+VLOOKUP(VLOOKUP(BQ$1,main!$A$3:$I$102,7,FALSE),main!$K$26:$Q$29,5,FALSE)),1,0)</f>
        <v>0</v>
      </c>
      <c r="BR221">
        <f>IF(AND(VLOOKUP(BR$1,main!$A$3:$H$102,7,FALSE)=main!$G$105,VLOOKUP(BR$1,main!$A$3:$H$102,5,FALSE)-VLOOKUP($A221,main!$A$3:$H$102,6,FALSE)&gt;=main!$D$103+VLOOKUP(VLOOKUP(BR$1,main!$A$3:$I$102,7,FALSE),main!$K$26:$Q$29,5,FALSE)),1,0)</f>
        <v>0</v>
      </c>
      <c r="BS221">
        <f>IF(AND(VLOOKUP(BS$1,main!$A$3:$H$102,7,FALSE)=main!$G$105,VLOOKUP(BS$1,main!$A$3:$H$102,5,FALSE)-VLOOKUP($A221,main!$A$3:$H$102,6,FALSE)&gt;=main!$D$103+VLOOKUP(VLOOKUP(BS$1,main!$A$3:$I$102,7,FALSE),main!$K$26:$Q$29,5,FALSE)),1,0)</f>
        <v>0</v>
      </c>
      <c r="BT221">
        <f>IF(AND(VLOOKUP(BT$1,main!$A$3:$H$102,7,FALSE)=main!$G$105,VLOOKUP(BT$1,main!$A$3:$H$102,5,FALSE)-VLOOKUP($A221,main!$A$3:$H$102,6,FALSE)&gt;=main!$D$103+VLOOKUP(VLOOKUP(BT$1,main!$A$3:$I$102,7,FALSE),main!$K$26:$Q$29,5,FALSE)),1,0)</f>
        <v>0</v>
      </c>
      <c r="BU221">
        <f>IF(AND(VLOOKUP(BU$1,main!$A$3:$H$102,7,FALSE)=main!$G$105,VLOOKUP(BU$1,main!$A$3:$H$102,5,FALSE)-VLOOKUP($A221,main!$A$3:$H$102,6,FALSE)&gt;=main!$D$103+VLOOKUP(VLOOKUP(BU$1,main!$A$3:$I$102,7,FALSE),main!$K$26:$Q$29,5,FALSE)),1,0)</f>
        <v>0</v>
      </c>
      <c r="BV221">
        <f>IF(AND(VLOOKUP(BV$1,main!$A$3:$H$102,7,FALSE)=main!$G$105,VLOOKUP(BV$1,main!$A$3:$H$102,5,FALSE)-VLOOKUP($A221,main!$A$3:$H$102,6,FALSE)&gt;=main!$D$103+VLOOKUP(VLOOKUP(BV$1,main!$A$3:$I$102,7,FALSE),main!$K$26:$Q$29,5,FALSE)),1,0)</f>
        <v>0</v>
      </c>
      <c r="BW221">
        <f>IF(AND(VLOOKUP(BW$1,main!$A$3:$H$102,7,FALSE)=main!$G$105,VLOOKUP(BW$1,main!$A$3:$H$102,5,FALSE)-VLOOKUP($A221,main!$A$3:$H$102,6,FALSE)&gt;=main!$D$103+VLOOKUP(VLOOKUP(BW$1,main!$A$3:$I$102,7,FALSE),main!$K$26:$Q$29,5,FALSE)),1,0)</f>
        <v>0</v>
      </c>
      <c r="BX221">
        <f>IF(AND(VLOOKUP(BX$1,main!$A$3:$H$102,7,FALSE)=main!$G$105,VLOOKUP(BX$1,main!$A$3:$H$102,5,FALSE)-VLOOKUP($A221,main!$A$3:$H$102,6,FALSE)&gt;=main!$D$103+VLOOKUP(VLOOKUP(BX$1,main!$A$3:$I$102,7,FALSE),main!$K$26:$Q$29,5,FALSE)),1,0)</f>
        <v>0</v>
      </c>
      <c r="BY221">
        <f>IF(AND(VLOOKUP(BY$1,main!$A$3:$H$102,7,FALSE)=main!$G$105,VLOOKUP(BY$1,main!$A$3:$H$102,5,FALSE)-VLOOKUP($A221,main!$A$3:$H$102,6,FALSE)&gt;=main!$D$103+VLOOKUP(VLOOKUP(BY$1,main!$A$3:$I$102,7,FALSE),main!$K$26:$Q$29,5,FALSE)),1,0)</f>
        <v>0</v>
      </c>
      <c r="BZ221">
        <f>IF(AND(VLOOKUP(BZ$1,main!$A$3:$H$102,7,FALSE)=main!$G$105,VLOOKUP(BZ$1,main!$A$3:$H$102,5,FALSE)-VLOOKUP($A221,main!$A$3:$H$102,6,FALSE)&gt;=main!$D$103+VLOOKUP(VLOOKUP(BZ$1,main!$A$3:$I$102,7,FALSE),main!$K$26:$Q$29,5,FALSE)),1,0)</f>
        <v>0</v>
      </c>
      <c r="CA221">
        <f>IF(AND(VLOOKUP(CA$1,main!$A$3:$H$102,7,FALSE)=main!$G$105,VLOOKUP(CA$1,main!$A$3:$H$102,5,FALSE)-VLOOKUP($A221,main!$A$3:$H$102,6,FALSE)&gt;=main!$D$103+VLOOKUP(VLOOKUP(CA$1,main!$A$3:$I$102,7,FALSE),main!$K$26:$Q$29,5,FALSE)),1,0)</f>
        <v>0</v>
      </c>
      <c r="CB221">
        <f>IF(AND(VLOOKUP(CB$1,main!$A$3:$H$102,7,FALSE)=main!$G$105,VLOOKUP(CB$1,main!$A$3:$H$102,5,FALSE)-VLOOKUP($A221,main!$A$3:$H$102,6,FALSE)&gt;=main!$D$103+VLOOKUP(VLOOKUP(CB$1,main!$A$3:$I$102,7,FALSE),main!$K$26:$Q$29,5,FALSE)),1,0)</f>
        <v>0</v>
      </c>
      <c r="CC221">
        <f>IF(AND(VLOOKUP(CC$1,main!$A$3:$H$102,7,FALSE)=main!$G$105,VLOOKUP(CC$1,main!$A$3:$H$102,5,FALSE)-VLOOKUP($A221,main!$A$3:$H$102,6,FALSE)&gt;=main!$D$103+VLOOKUP(VLOOKUP(CC$1,main!$A$3:$I$102,7,FALSE),main!$K$26:$Q$29,5,FALSE)),1,0)</f>
        <v>0</v>
      </c>
      <c r="CD221">
        <f>IF(AND(VLOOKUP(CD$1,main!$A$3:$H$102,7,FALSE)=main!$G$105,VLOOKUP(CD$1,main!$A$3:$H$102,5,FALSE)-VLOOKUP($A221,main!$A$3:$H$102,6,FALSE)&gt;=main!$D$103+VLOOKUP(VLOOKUP(CD$1,main!$A$3:$I$102,7,FALSE),main!$K$26:$Q$29,5,FALSE)),1,0)</f>
        <v>0</v>
      </c>
      <c r="CE221">
        <f>IF(AND(VLOOKUP(CE$1,main!$A$3:$H$102,7,FALSE)=main!$G$105,VLOOKUP(CE$1,main!$A$3:$H$102,5,FALSE)-VLOOKUP($A221,main!$A$3:$H$102,6,FALSE)&gt;=main!$D$103+VLOOKUP(VLOOKUP(CE$1,main!$A$3:$I$102,7,FALSE),main!$K$26:$Q$29,5,FALSE)),1,0)</f>
        <v>0</v>
      </c>
      <c r="CF221">
        <f>IF(AND(VLOOKUP(CF$1,main!$A$3:$H$102,7,FALSE)=main!$G$105,VLOOKUP(CF$1,main!$A$3:$H$102,5,FALSE)-VLOOKUP($A221,main!$A$3:$H$102,6,FALSE)&gt;=main!$D$103+VLOOKUP(VLOOKUP(CF$1,main!$A$3:$I$102,7,FALSE),main!$K$26:$Q$29,5,FALSE)),1,0)</f>
        <v>0</v>
      </c>
      <c r="CG221">
        <f>IF(AND(VLOOKUP(CG$1,main!$A$3:$H$102,7,FALSE)=main!$G$105,VLOOKUP(CG$1,main!$A$3:$H$102,5,FALSE)-VLOOKUP($A221,main!$A$3:$H$102,6,FALSE)&gt;=main!$D$103+VLOOKUP(VLOOKUP(CG$1,main!$A$3:$I$102,7,FALSE),main!$K$26:$Q$29,5,FALSE)),1,0)</f>
        <v>0</v>
      </c>
      <c r="CH221">
        <f>IF(AND(VLOOKUP(CH$1,main!$A$3:$H$102,7,FALSE)=main!$G$105,VLOOKUP(CH$1,main!$A$3:$H$102,5,FALSE)-VLOOKUP($A221,main!$A$3:$H$102,6,FALSE)&gt;=main!$D$103+VLOOKUP(VLOOKUP(CH$1,main!$A$3:$I$102,7,FALSE),main!$K$26:$Q$29,5,FALSE)),1,0)</f>
        <v>0</v>
      </c>
      <c r="CI221">
        <f>IF(AND(VLOOKUP(CI$1,main!$A$3:$H$102,7,FALSE)=main!$G$105,VLOOKUP(CI$1,main!$A$3:$H$102,5,FALSE)-VLOOKUP($A221,main!$A$3:$H$102,6,FALSE)&gt;=main!$D$103+VLOOKUP(VLOOKUP(CI$1,main!$A$3:$I$102,7,FALSE),main!$K$26:$Q$29,5,FALSE)),1,0)</f>
        <v>0</v>
      </c>
      <c r="CJ221">
        <f>IF(AND(VLOOKUP(CJ$1,main!$A$3:$H$102,7,FALSE)=main!$G$105,VLOOKUP(CJ$1,main!$A$3:$H$102,5,FALSE)-VLOOKUP($A221,main!$A$3:$H$102,6,FALSE)&gt;=main!$D$103+VLOOKUP(VLOOKUP(CJ$1,main!$A$3:$I$102,7,FALSE),main!$K$26:$Q$29,5,FALSE)),1,0)</f>
        <v>0</v>
      </c>
      <c r="CK221">
        <f>IF(AND(VLOOKUP(CK$1,main!$A$3:$H$102,7,FALSE)=main!$G$105,VLOOKUP(CK$1,main!$A$3:$H$102,5,FALSE)-VLOOKUP($A221,main!$A$3:$H$102,6,FALSE)&gt;=main!$D$103+VLOOKUP(VLOOKUP(CK$1,main!$A$3:$I$102,7,FALSE),main!$K$26:$Q$29,5,FALSE)),1,0)</f>
        <v>0</v>
      </c>
      <c r="CL221">
        <f>IF(AND(VLOOKUP(CL$1,main!$A$3:$H$102,7,FALSE)=main!$G$105,VLOOKUP(CL$1,main!$A$3:$H$102,5,FALSE)-VLOOKUP($A221,main!$A$3:$H$102,6,FALSE)&gt;=main!$D$103+VLOOKUP(VLOOKUP(CL$1,main!$A$3:$I$102,7,FALSE),main!$K$26:$Q$29,5,FALSE)),1,0)</f>
        <v>0</v>
      </c>
      <c r="CM221">
        <f>IF(AND(VLOOKUP(CM$1,main!$A$3:$H$102,7,FALSE)=main!$G$105,VLOOKUP(CM$1,main!$A$3:$H$102,5,FALSE)-VLOOKUP($A221,main!$A$3:$H$102,6,FALSE)&gt;=main!$D$103+VLOOKUP(VLOOKUP(CM$1,main!$A$3:$I$102,7,FALSE),main!$K$26:$Q$29,5,FALSE)),1,0)</f>
        <v>0</v>
      </c>
      <c r="CN221">
        <f>IF(AND(VLOOKUP(CN$1,main!$A$3:$H$102,7,FALSE)=main!$G$105,VLOOKUP(CN$1,main!$A$3:$H$102,5,FALSE)-VLOOKUP($A221,main!$A$3:$H$102,6,FALSE)&gt;=main!$D$103+VLOOKUP(VLOOKUP(CN$1,main!$A$3:$I$102,7,FALSE),main!$K$26:$Q$29,5,FALSE)),1,0)</f>
        <v>0</v>
      </c>
      <c r="CO221">
        <f>IF(AND(VLOOKUP(CO$1,main!$A$3:$H$102,7,FALSE)=main!$G$105,VLOOKUP(CO$1,main!$A$3:$H$102,5,FALSE)-VLOOKUP($A221,main!$A$3:$H$102,6,FALSE)&gt;=main!$D$103+VLOOKUP(VLOOKUP(CO$1,main!$A$3:$I$102,7,FALSE),main!$K$26:$Q$29,5,FALSE)),1,0)</f>
        <v>0</v>
      </c>
      <c r="CP221">
        <f>IF(AND(VLOOKUP(CP$1,main!$A$3:$H$102,7,FALSE)=main!$G$105,VLOOKUP(CP$1,main!$A$3:$H$102,5,FALSE)-VLOOKUP($A221,main!$A$3:$H$102,6,FALSE)&gt;=main!$D$103+VLOOKUP(VLOOKUP(CP$1,main!$A$3:$I$102,7,FALSE),main!$K$26:$Q$29,5,FALSE)),1,0)</f>
        <v>0</v>
      </c>
      <c r="CQ221">
        <f>IF(AND(VLOOKUP(CQ$1,main!$A$3:$H$102,7,FALSE)=main!$G$105,VLOOKUP(CQ$1,main!$A$3:$H$102,5,FALSE)-VLOOKUP($A221,main!$A$3:$H$102,6,FALSE)&gt;=main!$D$103+VLOOKUP(VLOOKUP(CQ$1,main!$A$3:$I$102,7,FALSE),main!$K$26:$Q$29,5,FALSE)),1,0)</f>
        <v>0</v>
      </c>
      <c r="CR221">
        <f>IF(AND(VLOOKUP(CR$1,main!$A$3:$H$102,7,FALSE)=main!$G$105,VLOOKUP(CR$1,main!$A$3:$H$102,5,FALSE)-VLOOKUP($A221,main!$A$3:$H$102,6,FALSE)&gt;=main!$D$103+VLOOKUP(VLOOKUP(CR$1,main!$A$3:$I$102,7,FALSE),main!$K$26:$Q$29,5,FALSE)),1,0)</f>
        <v>0</v>
      </c>
      <c r="CS221">
        <f>IF(AND(VLOOKUP(CS$1,main!$A$3:$H$102,7,FALSE)=main!$G$105,VLOOKUP(CS$1,main!$A$3:$H$102,5,FALSE)-VLOOKUP($A221,main!$A$3:$H$102,6,FALSE)&gt;=main!$D$103+VLOOKUP(VLOOKUP(CS$1,main!$A$3:$I$102,7,FALSE),main!$K$26:$Q$29,5,FALSE)),1,0)</f>
        <v>0</v>
      </c>
      <c r="CT221">
        <f>IF(AND(VLOOKUP(CT$1,main!$A$3:$H$102,7,FALSE)=main!$G$105,VLOOKUP(CT$1,main!$A$3:$H$102,5,FALSE)-VLOOKUP($A221,main!$A$3:$H$102,6,FALSE)&gt;=main!$D$103+VLOOKUP(VLOOKUP(CT$1,main!$A$3:$I$102,7,FALSE),main!$K$26:$Q$29,5,FALSE)),1,0)</f>
        <v>0</v>
      </c>
      <c r="CU221">
        <f>IF(AND(VLOOKUP(CU$1,main!$A$3:$H$102,7,FALSE)=main!$G$105,VLOOKUP(CU$1,main!$A$3:$H$102,5,FALSE)-VLOOKUP($A221,main!$A$3:$H$102,6,FALSE)&gt;=main!$D$103+VLOOKUP(VLOOKUP(CU$1,main!$A$3:$I$102,7,FALSE),main!$K$26:$Q$29,5,FALSE)),1,0)</f>
        <v>0</v>
      </c>
      <c r="CV221">
        <f>IF(AND(VLOOKUP(CV$1,main!$A$3:$H$102,7,FALSE)=main!$G$105,VLOOKUP(CV$1,main!$A$3:$H$102,5,FALSE)-VLOOKUP($A221,main!$A$3:$H$102,6,FALSE)&gt;=main!$D$103+VLOOKUP(VLOOKUP(CV$1,main!$A$3:$I$102,7,FALSE),main!$K$26:$Q$29,5,FALSE)),1,0)</f>
        <v>0</v>
      </c>
      <c r="CW221">
        <f>IF(AND(VLOOKUP(CW$1,main!$A$3:$H$102,7,FALSE)=main!$G$105,VLOOKUP(CW$1,main!$A$3:$H$102,5,FALSE)-VLOOKUP($A221,main!$A$3:$H$102,6,FALSE)&gt;=main!$D$103+VLOOKUP(VLOOKUP(CW$1,main!$A$3:$I$102,7,FALSE),main!$K$26:$Q$29,5,FALSE)),1,0)</f>
        <v>0</v>
      </c>
      <c r="CX221">
        <f>IF(AND(VLOOKUP(CX$1,main!$A$3:$H$102,7,FALSE)=main!$G$105,VLOOKUP(CX$1,main!$A$3:$H$102,5,FALSE)-VLOOKUP($A221,main!$A$3:$H$102,6,FALSE)&gt;=main!$D$103+VLOOKUP(VLOOKUP(CX$1,main!$A$3:$I$102,7,FALSE),main!$K$26:$Q$29,5,FALSE)),1,0)</f>
        <v>0</v>
      </c>
    </row>
    <row r="222" spans="1:102" x14ac:dyDescent="0.25">
      <c r="A222" s="1">
        <v>18</v>
      </c>
      <c r="B222">
        <v>0</v>
      </c>
      <c r="C222">
        <f>IF(AND(VLOOKUP(C$1,main!$A$3:$H$102,7,FALSE)=main!$G$105,VLOOKUP(C$1,main!$A$3:$H$102,5,FALSE)-VLOOKUP($A222,main!$A$3:$H$102,6,FALSE)&gt;=main!$D$103+VLOOKUP(VLOOKUP(C$1,main!$A$3:$I$102,7,FALSE),main!$K$26:$Q$29,5,FALSE)),1,0)</f>
        <v>0</v>
      </c>
      <c r="D222">
        <f>IF(AND(VLOOKUP(D$1,main!$A$3:$H$102,7,FALSE)=main!$G$105,VLOOKUP(D$1,main!$A$3:$H$102,5,FALSE)-VLOOKUP($A222,main!$A$3:$H$102,6,FALSE)&gt;=main!$D$103+VLOOKUP(VLOOKUP(D$1,main!$A$3:$I$102,7,FALSE),main!$K$26:$Q$29,5,FALSE)),1,0)</f>
        <v>0</v>
      </c>
      <c r="E222">
        <f>IF(AND(VLOOKUP(E$1,main!$A$3:$H$102,7,FALSE)=main!$G$105,VLOOKUP(E$1,main!$A$3:$H$102,5,FALSE)-VLOOKUP($A222,main!$A$3:$H$102,6,FALSE)&gt;=main!$D$103+VLOOKUP(VLOOKUP(E$1,main!$A$3:$I$102,7,FALSE),main!$K$26:$Q$29,5,FALSE)),1,0)</f>
        <v>0</v>
      </c>
      <c r="F222">
        <f>IF(AND(VLOOKUP(F$1,main!$A$3:$H$102,7,FALSE)=main!$G$105,VLOOKUP(F$1,main!$A$3:$H$102,5,FALSE)-VLOOKUP($A222,main!$A$3:$H$102,6,FALSE)&gt;=main!$D$103+VLOOKUP(VLOOKUP(F$1,main!$A$3:$I$102,7,FALSE),main!$K$26:$Q$29,5,FALSE)),1,0)</f>
        <v>0</v>
      </c>
      <c r="G222">
        <f>IF(AND(VLOOKUP(G$1,main!$A$3:$H$102,7,FALSE)=main!$G$105,VLOOKUP(G$1,main!$A$3:$H$102,5,FALSE)-VLOOKUP($A222,main!$A$3:$H$102,6,FALSE)&gt;=main!$D$103+VLOOKUP(VLOOKUP(G$1,main!$A$3:$I$102,7,FALSE),main!$K$26:$Q$29,5,FALSE)),1,0)</f>
        <v>0</v>
      </c>
      <c r="H222">
        <f>IF(AND(VLOOKUP(H$1,main!$A$3:$H$102,7,FALSE)=main!$G$105,VLOOKUP(H$1,main!$A$3:$H$102,5,FALSE)-VLOOKUP($A222,main!$A$3:$H$102,6,FALSE)&gt;=main!$D$103+VLOOKUP(VLOOKUP(H$1,main!$A$3:$I$102,7,FALSE),main!$K$26:$Q$29,5,FALSE)),1,0)</f>
        <v>0</v>
      </c>
      <c r="I222">
        <f>IF(AND(VLOOKUP(I$1,main!$A$3:$H$102,7,FALSE)=main!$G$105,VLOOKUP(I$1,main!$A$3:$H$102,5,FALSE)-VLOOKUP($A222,main!$A$3:$H$102,6,FALSE)&gt;=main!$D$103+VLOOKUP(VLOOKUP(I$1,main!$A$3:$I$102,7,FALSE),main!$K$26:$Q$29,5,FALSE)),1,0)</f>
        <v>0</v>
      </c>
      <c r="J222">
        <f>IF(AND(VLOOKUP(J$1,main!$A$3:$H$102,7,FALSE)=main!$G$105,VLOOKUP(J$1,main!$A$3:$H$102,5,FALSE)-VLOOKUP($A222,main!$A$3:$H$102,6,FALSE)&gt;=main!$D$103+VLOOKUP(VLOOKUP(J$1,main!$A$3:$I$102,7,FALSE),main!$K$26:$Q$29,5,FALSE)),1,0)</f>
        <v>0</v>
      </c>
      <c r="K222">
        <f>IF(AND(VLOOKUP(K$1,main!$A$3:$H$102,7,FALSE)=main!$G$105,VLOOKUP(K$1,main!$A$3:$H$102,5,FALSE)-VLOOKUP($A222,main!$A$3:$H$102,6,FALSE)&gt;=main!$D$103+VLOOKUP(VLOOKUP(K$1,main!$A$3:$I$102,7,FALSE),main!$K$26:$Q$29,5,FALSE)),1,0)</f>
        <v>0</v>
      </c>
      <c r="L222">
        <f>IF(AND(VLOOKUP(L$1,main!$A$3:$H$102,7,FALSE)=main!$G$105,VLOOKUP(L$1,main!$A$3:$H$102,5,FALSE)-VLOOKUP($A222,main!$A$3:$H$102,6,FALSE)&gt;=main!$D$103+VLOOKUP(VLOOKUP(L$1,main!$A$3:$I$102,7,FALSE),main!$K$26:$Q$29,5,FALSE)),1,0)</f>
        <v>0</v>
      </c>
      <c r="M222">
        <f>IF(AND(VLOOKUP(M$1,main!$A$3:$H$102,7,FALSE)=main!$G$105,VLOOKUP(M$1,main!$A$3:$H$102,5,FALSE)-VLOOKUP($A222,main!$A$3:$H$102,6,FALSE)&gt;=main!$D$103+VLOOKUP(VLOOKUP(M$1,main!$A$3:$I$102,7,FALSE),main!$K$26:$Q$29,5,FALSE)),1,0)</f>
        <v>0</v>
      </c>
      <c r="N222">
        <f>IF(AND(VLOOKUP(N$1,main!$A$3:$H$102,7,FALSE)=main!$G$105,VLOOKUP(N$1,main!$A$3:$H$102,5,FALSE)-VLOOKUP($A222,main!$A$3:$H$102,6,FALSE)&gt;=main!$D$103+VLOOKUP(VLOOKUP(N$1,main!$A$3:$I$102,7,FALSE),main!$K$26:$Q$29,5,FALSE)),1,0)</f>
        <v>0</v>
      </c>
      <c r="O222">
        <f>IF(AND(VLOOKUP(O$1,main!$A$3:$H$102,7,FALSE)=main!$G$105,VLOOKUP(O$1,main!$A$3:$H$102,5,FALSE)-VLOOKUP($A222,main!$A$3:$H$102,6,FALSE)&gt;=main!$D$103+VLOOKUP(VLOOKUP(O$1,main!$A$3:$I$102,7,FALSE),main!$K$26:$Q$29,5,FALSE)),1,0)</f>
        <v>0</v>
      </c>
      <c r="P222">
        <f>IF(AND(VLOOKUP(P$1,main!$A$3:$H$102,7,FALSE)=main!$G$105,VLOOKUP(P$1,main!$A$3:$H$102,5,FALSE)-VLOOKUP($A222,main!$A$3:$H$102,6,FALSE)&gt;=main!$D$103+VLOOKUP(VLOOKUP(P$1,main!$A$3:$I$102,7,FALSE),main!$K$26:$Q$29,5,FALSE)),1,0)</f>
        <v>0</v>
      </c>
      <c r="Q222">
        <f>IF(AND(VLOOKUP(Q$1,main!$A$3:$H$102,7,FALSE)=main!$G$105,VLOOKUP(Q$1,main!$A$3:$H$102,5,FALSE)-VLOOKUP($A222,main!$A$3:$H$102,6,FALSE)&gt;=main!$D$103+VLOOKUP(VLOOKUP(Q$1,main!$A$3:$I$102,7,FALSE),main!$K$26:$Q$29,5,FALSE)),1,0)</f>
        <v>0</v>
      </c>
      <c r="R222">
        <f>IF(AND(VLOOKUP(R$1,main!$A$3:$H$102,7,FALSE)=main!$G$105,VLOOKUP(R$1,main!$A$3:$H$102,5,FALSE)-VLOOKUP($A222,main!$A$3:$H$102,6,FALSE)&gt;=main!$D$103+VLOOKUP(VLOOKUP(R$1,main!$A$3:$I$102,7,FALSE),main!$K$26:$Q$29,5,FALSE)),1,0)</f>
        <v>0</v>
      </c>
      <c r="S222">
        <f>IF(AND(VLOOKUP(S$1,main!$A$3:$H$102,7,FALSE)=main!$G$105,VLOOKUP(S$1,main!$A$3:$H$102,5,FALSE)-VLOOKUP($A222,main!$A$3:$H$102,6,FALSE)&gt;=main!$D$103+VLOOKUP(VLOOKUP(S$1,main!$A$3:$I$102,7,FALSE),main!$K$26:$Q$29,5,FALSE)),1,0)</f>
        <v>0</v>
      </c>
      <c r="T222">
        <f>IF(AND(VLOOKUP(T$1,main!$A$3:$H$102,7,FALSE)=main!$G$105,VLOOKUP(T$1,main!$A$3:$H$102,5,FALSE)-VLOOKUP($A222,main!$A$3:$H$102,6,FALSE)&gt;=main!$D$103+VLOOKUP(VLOOKUP(T$1,main!$A$3:$I$102,7,FALSE),main!$K$26:$Q$29,5,FALSE)),1,0)</f>
        <v>0</v>
      </c>
      <c r="U222">
        <f>IF(AND(VLOOKUP(U$1,main!$A$3:$H$102,7,FALSE)=main!$G$105,VLOOKUP(U$1,main!$A$3:$H$102,5,FALSE)-VLOOKUP($A222,main!$A$3:$H$102,6,FALSE)&gt;=main!$D$103+VLOOKUP(VLOOKUP(U$1,main!$A$3:$I$102,7,FALSE),main!$K$26:$Q$29,5,FALSE)),1,0)</f>
        <v>0</v>
      </c>
      <c r="V222">
        <f>IF(AND(VLOOKUP(V$1,main!$A$3:$H$102,7,FALSE)=main!$G$105,VLOOKUP(V$1,main!$A$3:$H$102,5,FALSE)-VLOOKUP($A222,main!$A$3:$H$102,6,FALSE)&gt;=main!$D$103+VLOOKUP(VLOOKUP(V$1,main!$A$3:$I$102,7,FALSE),main!$K$26:$Q$29,5,FALSE)),1,0)</f>
        <v>0</v>
      </c>
      <c r="W222">
        <f>IF(AND(VLOOKUP(W$1,main!$A$3:$H$102,7,FALSE)=main!$G$105,VLOOKUP(W$1,main!$A$3:$H$102,5,FALSE)-VLOOKUP($A222,main!$A$3:$H$102,6,FALSE)&gt;=main!$D$103+VLOOKUP(VLOOKUP(W$1,main!$A$3:$I$102,7,FALSE),main!$K$26:$Q$29,5,FALSE)),1,0)</f>
        <v>0</v>
      </c>
      <c r="X222">
        <f>IF(AND(VLOOKUP(X$1,main!$A$3:$H$102,7,FALSE)=main!$G$105,VLOOKUP(X$1,main!$A$3:$H$102,5,FALSE)-VLOOKUP($A222,main!$A$3:$H$102,6,FALSE)&gt;=main!$D$103+VLOOKUP(VLOOKUP(X$1,main!$A$3:$I$102,7,FALSE),main!$K$26:$Q$29,5,FALSE)),1,0)</f>
        <v>0</v>
      </c>
      <c r="Y222">
        <f>IF(AND(VLOOKUP(Y$1,main!$A$3:$H$102,7,FALSE)=main!$G$105,VLOOKUP(Y$1,main!$A$3:$H$102,5,FALSE)-VLOOKUP($A222,main!$A$3:$H$102,6,FALSE)&gt;=main!$D$103+VLOOKUP(VLOOKUP(Y$1,main!$A$3:$I$102,7,FALSE),main!$K$26:$Q$29,5,FALSE)),1,0)</f>
        <v>0</v>
      </c>
      <c r="Z222">
        <f>IF(AND(VLOOKUP(Z$1,main!$A$3:$H$102,7,FALSE)=main!$G$105,VLOOKUP(Z$1,main!$A$3:$H$102,5,FALSE)-VLOOKUP($A222,main!$A$3:$H$102,6,FALSE)&gt;=main!$D$103+VLOOKUP(VLOOKUP(Z$1,main!$A$3:$I$102,7,FALSE),main!$K$26:$Q$29,5,FALSE)),1,0)</f>
        <v>0</v>
      </c>
      <c r="AA222">
        <f>IF(AND(VLOOKUP(AA$1,main!$A$3:$H$102,7,FALSE)=main!$G$105,VLOOKUP(AA$1,main!$A$3:$H$102,5,FALSE)-VLOOKUP($A222,main!$A$3:$H$102,6,FALSE)&gt;=main!$D$103+VLOOKUP(VLOOKUP(AA$1,main!$A$3:$I$102,7,FALSE),main!$K$26:$Q$29,5,FALSE)),1,0)</f>
        <v>0</v>
      </c>
      <c r="AB222">
        <f>IF(AND(VLOOKUP(AB$1,main!$A$3:$H$102,7,FALSE)=main!$G$105,VLOOKUP(AB$1,main!$A$3:$H$102,5,FALSE)-VLOOKUP($A222,main!$A$3:$H$102,6,FALSE)&gt;=main!$D$103+VLOOKUP(VLOOKUP(AB$1,main!$A$3:$I$102,7,FALSE),main!$K$26:$Q$29,5,FALSE)),1,0)</f>
        <v>0</v>
      </c>
      <c r="AC222">
        <f>IF(AND(VLOOKUP(AC$1,main!$A$3:$H$102,7,FALSE)=main!$G$105,VLOOKUP(AC$1,main!$A$3:$H$102,5,FALSE)-VLOOKUP($A222,main!$A$3:$H$102,6,FALSE)&gt;=main!$D$103+VLOOKUP(VLOOKUP(AC$1,main!$A$3:$I$102,7,FALSE),main!$K$26:$Q$29,5,FALSE)),1,0)</f>
        <v>0</v>
      </c>
      <c r="AD222">
        <f>IF(AND(VLOOKUP(AD$1,main!$A$3:$H$102,7,FALSE)=main!$G$105,VLOOKUP(AD$1,main!$A$3:$H$102,5,FALSE)-VLOOKUP($A222,main!$A$3:$H$102,6,FALSE)&gt;=main!$D$103+VLOOKUP(VLOOKUP(AD$1,main!$A$3:$I$102,7,FALSE),main!$K$26:$Q$29,5,FALSE)),1,0)</f>
        <v>0</v>
      </c>
      <c r="AE222">
        <f>IF(AND(VLOOKUP(AE$1,main!$A$3:$H$102,7,FALSE)=main!$G$105,VLOOKUP(AE$1,main!$A$3:$H$102,5,FALSE)-VLOOKUP($A222,main!$A$3:$H$102,6,FALSE)&gt;=main!$D$103+VLOOKUP(VLOOKUP(AE$1,main!$A$3:$I$102,7,FALSE),main!$K$26:$Q$29,5,FALSE)),1,0)</f>
        <v>0</v>
      </c>
      <c r="AF222">
        <f>IF(AND(VLOOKUP(AF$1,main!$A$3:$H$102,7,FALSE)=main!$G$105,VLOOKUP(AF$1,main!$A$3:$H$102,5,FALSE)-VLOOKUP($A222,main!$A$3:$H$102,6,FALSE)&gt;=main!$D$103+VLOOKUP(VLOOKUP(AF$1,main!$A$3:$I$102,7,FALSE),main!$K$26:$Q$29,5,FALSE)),1,0)</f>
        <v>0</v>
      </c>
      <c r="AG222">
        <f>IF(AND(VLOOKUP(AG$1,main!$A$3:$H$102,7,FALSE)=main!$G$105,VLOOKUP(AG$1,main!$A$3:$H$102,5,FALSE)-VLOOKUP($A222,main!$A$3:$H$102,6,FALSE)&gt;=main!$D$103+VLOOKUP(VLOOKUP(AG$1,main!$A$3:$I$102,7,FALSE),main!$K$26:$Q$29,5,FALSE)),1,0)</f>
        <v>0</v>
      </c>
      <c r="AH222">
        <f>IF(AND(VLOOKUP(AH$1,main!$A$3:$H$102,7,FALSE)=main!$G$105,VLOOKUP(AH$1,main!$A$3:$H$102,5,FALSE)-VLOOKUP($A222,main!$A$3:$H$102,6,FALSE)&gt;=main!$D$103+VLOOKUP(VLOOKUP(AH$1,main!$A$3:$I$102,7,FALSE),main!$K$26:$Q$29,5,FALSE)),1,0)</f>
        <v>0</v>
      </c>
      <c r="AI222">
        <f>IF(AND(VLOOKUP(AI$1,main!$A$3:$H$102,7,FALSE)=main!$G$105,VLOOKUP(AI$1,main!$A$3:$H$102,5,FALSE)-VLOOKUP($A222,main!$A$3:$H$102,6,FALSE)&gt;=main!$D$103+VLOOKUP(VLOOKUP(AI$1,main!$A$3:$I$102,7,FALSE),main!$K$26:$Q$29,5,FALSE)),1,0)</f>
        <v>0</v>
      </c>
      <c r="AJ222">
        <f>IF(AND(VLOOKUP(AJ$1,main!$A$3:$H$102,7,FALSE)=main!$G$105,VLOOKUP(AJ$1,main!$A$3:$H$102,5,FALSE)-VLOOKUP($A222,main!$A$3:$H$102,6,FALSE)&gt;=main!$D$103+VLOOKUP(VLOOKUP(AJ$1,main!$A$3:$I$102,7,FALSE),main!$K$26:$Q$29,5,FALSE)),1,0)</f>
        <v>0</v>
      </c>
      <c r="AK222">
        <f>IF(AND(VLOOKUP(AK$1,main!$A$3:$H$102,7,FALSE)=main!$G$105,VLOOKUP(AK$1,main!$A$3:$H$102,5,FALSE)-VLOOKUP($A222,main!$A$3:$H$102,6,FALSE)&gt;=main!$D$103+VLOOKUP(VLOOKUP(AK$1,main!$A$3:$I$102,7,FALSE),main!$K$26:$Q$29,5,FALSE)),1,0)</f>
        <v>0</v>
      </c>
      <c r="AL222">
        <f>IF(AND(VLOOKUP(AL$1,main!$A$3:$H$102,7,FALSE)=main!$G$105,VLOOKUP(AL$1,main!$A$3:$H$102,5,FALSE)-VLOOKUP($A222,main!$A$3:$H$102,6,FALSE)&gt;=main!$D$103+VLOOKUP(VLOOKUP(AL$1,main!$A$3:$I$102,7,FALSE),main!$K$26:$Q$29,5,FALSE)),1,0)</f>
        <v>0</v>
      </c>
      <c r="AM222">
        <f>IF(AND(VLOOKUP(AM$1,main!$A$3:$H$102,7,FALSE)=main!$G$105,VLOOKUP(AM$1,main!$A$3:$H$102,5,FALSE)-VLOOKUP($A222,main!$A$3:$H$102,6,FALSE)&gt;=main!$D$103+VLOOKUP(VLOOKUP(AM$1,main!$A$3:$I$102,7,FALSE),main!$K$26:$Q$29,5,FALSE)),1,0)</f>
        <v>0</v>
      </c>
      <c r="AN222">
        <f>IF(AND(VLOOKUP(AN$1,main!$A$3:$H$102,7,FALSE)=main!$G$105,VLOOKUP(AN$1,main!$A$3:$H$102,5,FALSE)-VLOOKUP($A222,main!$A$3:$H$102,6,FALSE)&gt;=main!$D$103+VLOOKUP(VLOOKUP(AN$1,main!$A$3:$I$102,7,FALSE),main!$K$26:$Q$29,5,FALSE)),1,0)</f>
        <v>0</v>
      </c>
      <c r="AO222">
        <f>IF(AND(VLOOKUP(AO$1,main!$A$3:$H$102,7,FALSE)=main!$G$105,VLOOKUP(AO$1,main!$A$3:$H$102,5,FALSE)-VLOOKUP($A222,main!$A$3:$H$102,6,FALSE)&gt;=main!$D$103+VLOOKUP(VLOOKUP(AO$1,main!$A$3:$I$102,7,FALSE),main!$K$26:$Q$29,5,FALSE)),1,0)</f>
        <v>0</v>
      </c>
      <c r="AP222">
        <f>IF(AND(VLOOKUP(AP$1,main!$A$3:$H$102,7,FALSE)=main!$G$105,VLOOKUP(AP$1,main!$A$3:$H$102,5,FALSE)-VLOOKUP($A222,main!$A$3:$H$102,6,FALSE)&gt;=main!$D$103+VLOOKUP(VLOOKUP(AP$1,main!$A$3:$I$102,7,FALSE),main!$K$26:$Q$29,5,FALSE)),1,0)</f>
        <v>1</v>
      </c>
      <c r="AQ222">
        <f>IF(AND(VLOOKUP(AQ$1,main!$A$3:$H$102,7,FALSE)=main!$G$105,VLOOKUP(AQ$1,main!$A$3:$H$102,5,FALSE)-VLOOKUP($A222,main!$A$3:$H$102,6,FALSE)&gt;=main!$D$103+VLOOKUP(VLOOKUP(AQ$1,main!$A$3:$I$102,7,FALSE),main!$K$26:$Q$29,5,FALSE)),1,0)</f>
        <v>0</v>
      </c>
      <c r="AR222">
        <f>IF(AND(VLOOKUP(AR$1,main!$A$3:$H$102,7,FALSE)=main!$G$105,VLOOKUP(AR$1,main!$A$3:$H$102,5,FALSE)-VLOOKUP($A222,main!$A$3:$H$102,6,FALSE)&gt;=main!$D$103+VLOOKUP(VLOOKUP(AR$1,main!$A$3:$I$102,7,FALSE),main!$K$26:$Q$29,5,FALSE)),1,0)</f>
        <v>0</v>
      </c>
      <c r="AS222">
        <f>IF(AND(VLOOKUP(AS$1,main!$A$3:$H$102,7,FALSE)=main!$G$105,VLOOKUP(AS$1,main!$A$3:$H$102,5,FALSE)-VLOOKUP($A222,main!$A$3:$H$102,6,FALSE)&gt;=main!$D$103+VLOOKUP(VLOOKUP(AS$1,main!$A$3:$I$102,7,FALSE),main!$K$26:$Q$29,5,FALSE)),1,0)</f>
        <v>0</v>
      </c>
      <c r="AT222">
        <f>IF(AND(VLOOKUP(AT$1,main!$A$3:$H$102,7,FALSE)=main!$G$105,VLOOKUP(AT$1,main!$A$3:$H$102,5,FALSE)-VLOOKUP($A222,main!$A$3:$H$102,6,FALSE)&gt;=main!$D$103+VLOOKUP(VLOOKUP(AT$1,main!$A$3:$I$102,7,FALSE),main!$K$26:$Q$29,5,FALSE)),1,0)</f>
        <v>0</v>
      </c>
      <c r="AU222">
        <f>IF(AND(VLOOKUP(AU$1,main!$A$3:$H$102,7,FALSE)=main!$G$105,VLOOKUP(AU$1,main!$A$3:$H$102,5,FALSE)-VLOOKUP($A222,main!$A$3:$H$102,6,FALSE)&gt;=main!$D$103+VLOOKUP(VLOOKUP(AU$1,main!$A$3:$I$102,7,FALSE),main!$K$26:$Q$29,5,FALSE)),1,0)</f>
        <v>0</v>
      </c>
      <c r="AV222">
        <f>IF(AND(VLOOKUP(AV$1,main!$A$3:$H$102,7,FALSE)=main!$G$105,VLOOKUP(AV$1,main!$A$3:$H$102,5,FALSE)-VLOOKUP($A222,main!$A$3:$H$102,6,FALSE)&gt;=main!$D$103+VLOOKUP(VLOOKUP(AV$1,main!$A$3:$I$102,7,FALSE),main!$K$26:$Q$29,5,FALSE)),1,0)</f>
        <v>0</v>
      </c>
      <c r="AW222">
        <f>IF(AND(VLOOKUP(AW$1,main!$A$3:$H$102,7,FALSE)=main!$G$105,VLOOKUP(AW$1,main!$A$3:$H$102,5,FALSE)-VLOOKUP($A222,main!$A$3:$H$102,6,FALSE)&gt;=main!$D$103+VLOOKUP(VLOOKUP(AW$1,main!$A$3:$I$102,7,FALSE),main!$K$26:$Q$29,5,FALSE)),1,0)</f>
        <v>0</v>
      </c>
      <c r="AX222">
        <f>IF(AND(VLOOKUP(AX$1,main!$A$3:$H$102,7,FALSE)=main!$G$105,VLOOKUP(AX$1,main!$A$3:$H$102,5,FALSE)-VLOOKUP($A222,main!$A$3:$H$102,6,FALSE)&gt;=main!$D$103+VLOOKUP(VLOOKUP(AX$1,main!$A$3:$I$102,7,FALSE),main!$K$26:$Q$29,5,FALSE)),1,0)</f>
        <v>0</v>
      </c>
      <c r="AY222">
        <f>IF(AND(VLOOKUP(AY$1,main!$A$3:$H$102,7,FALSE)=main!$G$105,VLOOKUP(AY$1,main!$A$3:$H$102,5,FALSE)-VLOOKUP($A222,main!$A$3:$H$102,6,FALSE)&gt;=main!$D$103+VLOOKUP(VLOOKUP(AY$1,main!$A$3:$I$102,7,FALSE),main!$K$26:$Q$29,5,FALSE)),1,0)</f>
        <v>0</v>
      </c>
      <c r="AZ222">
        <f>IF(AND(VLOOKUP(AZ$1,main!$A$3:$H$102,7,FALSE)=main!$G$105,VLOOKUP(AZ$1,main!$A$3:$H$102,5,FALSE)-VLOOKUP($A222,main!$A$3:$H$102,6,FALSE)&gt;=main!$D$103+VLOOKUP(VLOOKUP(AZ$1,main!$A$3:$I$102,7,FALSE),main!$K$26:$Q$29,5,FALSE)),1,0)</f>
        <v>0</v>
      </c>
      <c r="BA222">
        <f>IF(AND(VLOOKUP(BA$1,main!$A$3:$H$102,7,FALSE)=main!$G$105,VLOOKUP(BA$1,main!$A$3:$H$102,5,FALSE)-VLOOKUP($A222,main!$A$3:$H$102,6,FALSE)&gt;=main!$D$103+VLOOKUP(VLOOKUP(BA$1,main!$A$3:$I$102,7,FALSE),main!$K$26:$Q$29,5,FALSE)),1,0)</f>
        <v>0</v>
      </c>
      <c r="BB222">
        <f>IF(AND(VLOOKUP(BB$1,main!$A$3:$H$102,7,FALSE)=main!$G$105,VLOOKUP(BB$1,main!$A$3:$H$102,5,FALSE)-VLOOKUP($A222,main!$A$3:$H$102,6,FALSE)&gt;=main!$D$103+VLOOKUP(VLOOKUP(BB$1,main!$A$3:$I$102,7,FALSE),main!$K$26:$Q$29,5,FALSE)),1,0)</f>
        <v>0</v>
      </c>
      <c r="BC222">
        <f>IF(AND(VLOOKUP(BC$1,main!$A$3:$H$102,7,FALSE)=main!$G$105,VLOOKUP(BC$1,main!$A$3:$H$102,5,FALSE)-VLOOKUP($A222,main!$A$3:$H$102,6,FALSE)&gt;=main!$D$103+VLOOKUP(VLOOKUP(BC$1,main!$A$3:$I$102,7,FALSE),main!$K$26:$Q$29,5,FALSE)),1,0)</f>
        <v>0</v>
      </c>
      <c r="BD222">
        <f>IF(AND(VLOOKUP(BD$1,main!$A$3:$H$102,7,FALSE)=main!$G$105,VLOOKUP(BD$1,main!$A$3:$H$102,5,FALSE)-VLOOKUP($A222,main!$A$3:$H$102,6,FALSE)&gt;=main!$D$103+VLOOKUP(VLOOKUP(BD$1,main!$A$3:$I$102,7,FALSE),main!$K$26:$Q$29,5,FALSE)),1,0)</f>
        <v>0</v>
      </c>
      <c r="BE222">
        <f>IF(AND(VLOOKUP(BE$1,main!$A$3:$H$102,7,FALSE)=main!$G$105,VLOOKUP(BE$1,main!$A$3:$H$102,5,FALSE)-VLOOKUP($A222,main!$A$3:$H$102,6,FALSE)&gt;=main!$D$103+VLOOKUP(VLOOKUP(BE$1,main!$A$3:$I$102,7,FALSE),main!$K$26:$Q$29,5,FALSE)),1,0)</f>
        <v>0</v>
      </c>
      <c r="BF222">
        <f>IF(AND(VLOOKUP(BF$1,main!$A$3:$H$102,7,FALSE)=main!$G$105,VLOOKUP(BF$1,main!$A$3:$H$102,5,FALSE)-VLOOKUP($A222,main!$A$3:$H$102,6,FALSE)&gt;=main!$D$103+VLOOKUP(VLOOKUP(BF$1,main!$A$3:$I$102,7,FALSE),main!$K$26:$Q$29,5,FALSE)),1,0)</f>
        <v>0</v>
      </c>
      <c r="BG222">
        <f>IF(AND(VLOOKUP(BG$1,main!$A$3:$H$102,7,FALSE)=main!$G$105,VLOOKUP(BG$1,main!$A$3:$H$102,5,FALSE)-VLOOKUP($A222,main!$A$3:$H$102,6,FALSE)&gt;=main!$D$103+VLOOKUP(VLOOKUP(BG$1,main!$A$3:$I$102,7,FALSE),main!$K$26:$Q$29,5,FALSE)),1,0)</f>
        <v>0</v>
      </c>
      <c r="BH222">
        <f>IF(AND(VLOOKUP(BH$1,main!$A$3:$H$102,7,FALSE)=main!$G$105,VLOOKUP(BH$1,main!$A$3:$H$102,5,FALSE)-VLOOKUP($A222,main!$A$3:$H$102,6,FALSE)&gt;=main!$D$103+VLOOKUP(VLOOKUP(BH$1,main!$A$3:$I$102,7,FALSE),main!$K$26:$Q$29,5,FALSE)),1,0)</f>
        <v>0</v>
      </c>
      <c r="BI222">
        <f>IF(AND(VLOOKUP(BI$1,main!$A$3:$H$102,7,FALSE)=main!$G$105,VLOOKUP(BI$1,main!$A$3:$H$102,5,FALSE)-VLOOKUP($A222,main!$A$3:$H$102,6,FALSE)&gt;=main!$D$103+VLOOKUP(VLOOKUP(BI$1,main!$A$3:$I$102,7,FALSE),main!$K$26:$Q$29,5,FALSE)),1,0)</f>
        <v>0</v>
      </c>
      <c r="BJ222">
        <f>IF(AND(VLOOKUP(BJ$1,main!$A$3:$H$102,7,FALSE)=main!$G$105,VLOOKUP(BJ$1,main!$A$3:$H$102,5,FALSE)-VLOOKUP($A222,main!$A$3:$H$102,6,FALSE)&gt;=main!$D$103+VLOOKUP(VLOOKUP(BJ$1,main!$A$3:$I$102,7,FALSE),main!$K$26:$Q$29,5,FALSE)),1,0)</f>
        <v>0</v>
      </c>
      <c r="BK222">
        <f>IF(AND(VLOOKUP(BK$1,main!$A$3:$H$102,7,FALSE)=main!$G$105,VLOOKUP(BK$1,main!$A$3:$H$102,5,FALSE)-VLOOKUP($A222,main!$A$3:$H$102,6,FALSE)&gt;=main!$D$103+VLOOKUP(VLOOKUP(BK$1,main!$A$3:$I$102,7,FALSE),main!$K$26:$Q$29,5,FALSE)),1,0)</f>
        <v>0</v>
      </c>
      <c r="BL222">
        <f>IF(AND(VLOOKUP(BL$1,main!$A$3:$H$102,7,FALSE)=main!$G$105,VLOOKUP(BL$1,main!$A$3:$H$102,5,FALSE)-VLOOKUP($A222,main!$A$3:$H$102,6,FALSE)&gt;=main!$D$103+VLOOKUP(VLOOKUP(BL$1,main!$A$3:$I$102,7,FALSE),main!$K$26:$Q$29,5,FALSE)),1,0)</f>
        <v>0</v>
      </c>
      <c r="BM222">
        <f>IF(AND(VLOOKUP(BM$1,main!$A$3:$H$102,7,FALSE)=main!$G$105,VLOOKUP(BM$1,main!$A$3:$H$102,5,FALSE)-VLOOKUP($A222,main!$A$3:$H$102,6,FALSE)&gt;=main!$D$103+VLOOKUP(VLOOKUP(BM$1,main!$A$3:$I$102,7,FALSE),main!$K$26:$Q$29,5,FALSE)),1,0)</f>
        <v>0</v>
      </c>
      <c r="BN222">
        <f>IF(AND(VLOOKUP(BN$1,main!$A$3:$H$102,7,FALSE)=main!$G$105,VLOOKUP(BN$1,main!$A$3:$H$102,5,FALSE)-VLOOKUP($A222,main!$A$3:$H$102,6,FALSE)&gt;=main!$D$103+VLOOKUP(VLOOKUP(BN$1,main!$A$3:$I$102,7,FALSE),main!$K$26:$Q$29,5,FALSE)),1,0)</f>
        <v>0</v>
      </c>
      <c r="BO222">
        <f>IF(AND(VLOOKUP(BO$1,main!$A$3:$H$102,7,FALSE)=main!$G$105,VLOOKUP(BO$1,main!$A$3:$H$102,5,FALSE)-VLOOKUP($A222,main!$A$3:$H$102,6,FALSE)&gt;=main!$D$103+VLOOKUP(VLOOKUP(BO$1,main!$A$3:$I$102,7,FALSE),main!$K$26:$Q$29,5,FALSE)),1,0)</f>
        <v>0</v>
      </c>
      <c r="BP222">
        <f>IF(AND(VLOOKUP(BP$1,main!$A$3:$H$102,7,FALSE)=main!$G$105,VLOOKUP(BP$1,main!$A$3:$H$102,5,FALSE)-VLOOKUP($A222,main!$A$3:$H$102,6,FALSE)&gt;=main!$D$103+VLOOKUP(VLOOKUP(BP$1,main!$A$3:$I$102,7,FALSE),main!$K$26:$Q$29,5,FALSE)),1,0)</f>
        <v>0</v>
      </c>
      <c r="BQ222">
        <f>IF(AND(VLOOKUP(BQ$1,main!$A$3:$H$102,7,FALSE)=main!$G$105,VLOOKUP(BQ$1,main!$A$3:$H$102,5,FALSE)-VLOOKUP($A222,main!$A$3:$H$102,6,FALSE)&gt;=main!$D$103+VLOOKUP(VLOOKUP(BQ$1,main!$A$3:$I$102,7,FALSE),main!$K$26:$Q$29,5,FALSE)),1,0)</f>
        <v>0</v>
      </c>
      <c r="BR222">
        <f>IF(AND(VLOOKUP(BR$1,main!$A$3:$H$102,7,FALSE)=main!$G$105,VLOOKUP(BR$1,main!$A$3:$H$102,5,FALSE)-VLOOKUP($A222,main!$A$3:$H$102,6,FALSE)&gt;=main!$D$103+VLOOKUP(VLOOKUP(BR$1,main!$A$3:$I$102,7,FALSE),main!$K$26:$Q$29,5,FALSE)),1,0)</f>
        <v>0</v>
      </c>
      <c r="BS222">
        <f>IF(AND(VLOOKUP(BS$1,main!$A$3:$H$102,7,FALSE)=main!$G$105,VLOOKUP(BS$1,main!$A$3:$H$102,5,FALSE)-VLOOKUP($A222,main!$A$3:$H$102,6,FALSE)&gt;=main!$D$103+VLOOKUP(VLOOKUP(BS$1,main!$A$3:$I$102,7,FALSE),main!$K$26:$Q$29,5,FALSE)),1,0)</f>
        <v>0</v>
      </c>
      <c r="BT222">
        <f>IF(AND(VLOOKUP(BT$1,main!$A$3:$H$102,7,FALSE)=main!$G$105,VLOOKUP(BT$1,main!$A$3:$H$102,5,FALSE)-VLOOKUP($A222,main!$A$3:$H$102,6,FALSE)&gt;=main!$D$103+VLOOKUP(VLOOKUP(BT$1,main!$A$3:$I$102,7,FALSE),main!$K$26:$Q$29,5,FALSE)),1,0)</f>
        <v>0</v>
      </c>
      <c r="BU222">
        <f>IF(AND(VLOOKUP(BU$1,main!$A$3:$H$102,7,FALSE)=main!$G$105,VLOOKUP(BU$1,main!$A$3:$H$102,5,FALSE)-VLOOKUP($A222,main!$A$3:$H$102,6,FALSE)&gt;=main!$D$103+VLOOKUP(VLOOKUP(BU$1,main!$A$3:$I$102,7,FALSE),main!$K$26:$Q$29,5,FALSE)),1,0)</f>
        <v>0</v>
      </c>
      <c r="BV222">
        <f>IF(AND(VLOOKUP(BV$1,main!$A$3:$H$102,7,FALSE)=main!$G$105,VLOOKUP(BV$1,main!$A$3:$H$102,5,FALSE)-VLOOKUP($A222,main!$A$3:$H$102,6,FALSE)&gt;=main!$D$103+VLOOKUP(VLOOKUP(BV$1,main!$A$3:$I$102,7,FALSE),main!$K$26:$Q$29,5,FALSE)),1,0)</f>
        <v>0</v>
      </c>
      <c r="BW222">
        <f>IF(AND(VLOOKUP(BW$1,main!$A$3:$H$102,7,FALSE)=main!$G$105,VLOOKUP(BW$1,main!$A$3:$H$102,5,FALSE)-VLOOKUP($A222,main!$A$3:$H$102,6,FALSE)&gt;=main!$D$103+VLOOKUP(VLOOKUP(BW$1,main!$A$3:$I$102,7,FALSE),main!$K$26:$Q$29,5,FALSE)),1,0)</f>
        <v>0</v>
      </c>
      <c r="BX222">
        <f>IF(AND(VLOOKUP(BX$1,main!$A$3:$H$102,7,FALSE)=main!$G$105,VLOOKUP(BX$1,main!$A$3:$H$102,5,FALSE)-VLOOKUP($A222,main!$A$3:$H$102,6,FALSE)&gt;=main!$D$103+VLOOKUP(VLOOKUP(BX$1,main!$A$3:$I$102,7,FALSE),main!$K$26:$Q$29,5,FALSE)),1,0)</f>
        <v>0</v>
      </c>
      <c r="BY222">
        <f>IF(AND(VLOOKUP(BY$1,main!$A$3:$H$102,7,FALSE)=main!$G$105,VLOOKUP(BY$1,main!$A$3:$H$102,5,FALSE)-VLOOKUP($A222,main!$A$3:$H$102,6,FALSE)&gt;=main!$D$103+VLOOKUP(VLOOKUP(BY$1,main!$A$3:$I$102,7,FALSE),main!$K$26:$Q$29,5,FALSE)),1,0)</f>
        <v>0</v>
      </c>
      <c r="BZ222">
        <f>IF(AND(VLOOKUP(BZ$1,main!$A$3:$H$102,7,FALSE)=main!$G$105,VLOOKUP(BZ$1,main!$A$3:$H$102,5,FALSE)-VLOOKUP($A222,main!$A$3:$H$102,6,FALSE)&gt;=main!$D$103+VLOOKUP(VLOOKUP(BZ$1,main!$A$3:$I$102,7,FALSE),main!$K$26:$Q$29,5,FALSE)),1,0)</f>
        <v>0</v>
      </c>
      <c r="CA222">
        <f>IF(AND(VLOOKUP(CA$1,main!$A$3:$H$102,7,FALSE)=main!$G$105,VLOOKUP(CA$1,main!$A$3:$H$102,5,FALSE)-VLOOKUP($A222,main!$A$3:$H$102,6,FALSE)&gt;=main!$D$103+VLOOKUP(VLOOKUP(CA$1,main!$A$3:$I$102,7,FALSE),main!$K$26:$Q$29,5,FALSE)),1,0)</f>
        <v>0</v>
      </c>
      <c r="CB222">
        <f>IF(AND(VLOOKUP(CB$1,main!$A$3:$H$102,7,FALSE)=main!$G$105,VLOOKUP(CB$1,main!$A$3:$H$102,5,FALSE)-VLOOKUP($A222,main!$A$3:$H$102,6,FALSE)&gt;=main!$D$103+VLOOKUP(VLOOKUP(CB$1,main!$A$3:$I$102,7,FALSE),main!$K$26:$Q$29,5,FALSE)),1,0)</f>
        <v>0</v>
      </c>
      <c r="CC222">
        <f>IF(AND(VLOOKUP(CC$1,main!$A$3:$H$102,7,FALSE)=main!$G$105,VLOOKUP(CC$1,main!$A$3:$H$102,5,FALSE)-VLOOKUP($A222,main!$A$3:$H$102,6,FALSE)&gt;=main!$D$103+VLOOKUP(VLOOKUP(CC$1,main!$A$3:$I$102,7,FALSE),main!$K$26:$Q$29,5,FALSE)),1,0)</f>
        <v>0</v>
      </c>
      <c r="CD222">
        <f>IF(AND(VLOOKUP(CD$1,main!$A$3:$H$102,7,FALSE)=main!$G$105,VLOOKUP(CD$1,main!$A$3:$H$102,5,FALSE)-VLOOKUP($A222,main!$A$3:$H$102,6,FALSE)&gt;=main!$D$103+VLOOKUP(VLOOKUP(CD$1,main!$A$3:$I$102,7,FALSE),main!$K$26:$Q$29,5,FALSE)),1,0)</f>
        <v>0</v>
      </c>
      <c r="CE222">
        <f>IF(AND(VLOOKUP(CE$1,main!$A$3:$H$102,7,FALSE)=main!$G$105,VLOOKUP(CE$1,main!$A$3:$H$102,5,FALSE)-VLOOKUP($A222,main!$A$3:$H$102,6,FALSE)&gt;=main!$D$103+VLOOKUP(VLOOKUP(CE$1,main!$A$3:$I$102,7,FALSE),main!$K$26:$Q$29,5,FALSE)),1,0)</f>
        <v>0</v>
      </c>
      <c r="CF222">
        <f>IF(AND(VLOOKUP(CF$1,main!$A$3:$H$102,7,FALSE)=main!$G$105,VLOOKUP(CF$1,main!$A$3:$H$102,5,FALSE)-VLOOKUP($A222,main!$A$3:$H$102,6,FALSE)&gt;=main!$D$103+VLOOKUP(VLOOKUP(CF$1,main!$A$3:$I$102,7,FALSE),main!$K$26:$Q$29,5,FALSE)),1,0)</f>
        <v>0</v>
      </c>
      <c r="CG222">
        <f>IF(AND(VLOOKUP(CG$1,main!$A$3:$H$102,7,FALSE)=main!$G$105,VLOOKUP(CG$1,main!$A$3:$H$102,5,FALSE)-VLOOKUP($A222,main!$A$3:$H$102,6,FALSE)&gt;=main!$D$103+VLOOKUP(VLOOKUP(CG$1,main!$A$3:$I$102,7,FALSE),main!$K$26:$Q$29,5,FALSE)),1,0)</f>
        <v>0</v>
      </c>
      <c r="CH222">
        <f>IF(AND(VLOOKUP(CH$1,main!$A$3:$H$102,7,FALSE)=main!$G$105,VLOOKUP(CH$1,main!$A$3:$H$102,5,FALSE)-VLOOKUP($A222,main!$A$3:$H$102,6,FALSE)&gt;=main!$D$103+VLOOKUP(VLOOKUP(CH$1,main!$A$3:$I$102,7,FALSE),main!$K$26:$Q$29,5,FALSE)),1,0)</f>
        <v>0</v>
      </c>
      <c r="CI222">
        <f>IF(AND(VLOOKUP(CI$1,main!$A$3:$H$102,7,FALSE)=main!$G$105,VLOOKUP(CI$1,main!$A$3:$H$102,5,FALSE)-VLOOKUP($A222,main!$A$3:$H$102,6,FALSE)&gt;=main!$D$103+VLOOKUP(VLOOKUP(CI$1,main!$A$3:$I$102,7,FALSE),main!$K$26:$Q$29,5,FALSE)),1,0)</f>
        <v>0</v>
      </c>
      <c r="CJ222">
        <f>IF(AND(VLOOKUP(CJ$1,main!$A$3:$H$102,7,FALSE)=main!$G$105,VLOOKUP(CJ$1,main!$A$3:$H$102,5,FALSE)-VLOOKUP($A222,main!$A$3:$H$102,6,FALSE)&gt;=main!$D$103+VLOOKUP(VLOOKUP(CJ$1,main!$A$3:$I$102,7,FALSE),main!$K$26:$Q$29,5,FALSE)),1,0)</f>
        <v>0</v>
      </c>
      <c r="CK222">
        <f>IF(AND(VLOOKUP(CK$1,main!$A$3:$H$102,7,FALSE)=main!$G$105,VLOOKUP(CK$1,main!$A$3:$H$102,5,FALSE)-VLOOKUP($A222,main!$A$3:$H$102,6,FALSE)&gt;=main!$D$103+VLOOKUP(VLOOKUP(CK$1,main!$A$3:$I$102,7,FALSE),main!$K$26:$Q$29,5,FALSE)),1,0)</f>
        <v>0</v>
      </c>
      <c r="CL222">
        <f>IF(AND(VLOOKUP(CL$1,main!$A$3:$H$102,7,FALSE)=main!$G$105,VLOOKUP(CL$1,main!$A$3:$H$102,5,FALSE)-VLOOKUP($A222,main!$A$3:$H$102,6,FALSE)&gt;=main!$D$103+VLOOKUP(VLOOKUP(CL$1,main!$A$3:$I$102,7,FALSE),main!$K$26:$Q$29,5,FALSE)),1,0)</f>
        <v>0</v>
      </c>
      <c r="CM222">
        <f>IF(AND(VLOOKUP(CM$1,main!$A$3:$H$102,7,FALSE)=main!$G$105,VLOOKUP(CM$1,main!$A$3:$H$102,5,FALSE)-VLOOKUP($A222,main!$A$3:$H$102,6,FALSE)&gt;=main!$D$103+VLOOKUP(VLOOKUP(CM$1,main!$A$3:$I$102,7,FALSE),main!$K$26:$Q$29,5,FALSE)),1,0)</f>
        <v>0</v>
      </c>
      <c r="CN222">
        <f>IF(AND(VLOOKUP(CN$1,main!$A$3:$H$102,7,FALSE)=main!$G$105,VLOOKUP(CN$1,main!$A$3:$H$102,5,FALSE)-VLOOKUP($A222,main!$A$3:$H$102,6,FALSE)&gt;=main!$D$103+VLOOKUP(VLOOKUP(CN$1,main!$A$3:$I$102,7,FALSE),main!$K$26:$Q$29,5,FALSE)),1,0)</f>
        <v>0</v>
      </c>
      <c r="CO222">
        <f>IF(AND(VLOOKUP(CO$1,main!$A$3:$H$102,7,FALSE)=main!$G$105,VLOOKUP(CO$1,main!$A$3:$H$102,5,FALSE)-VLOOKUP($A222,main!$A$3:$H$102,6,FALSE)&gt;=main!$D$103+VLOOKUP(VLOOKUP(CO$1,main!$A$3:$I$102,7,FALSE),main!$K$26:$Q$29,5,FALSE)),1,0)</f>
        <v>0</v>
      </c>
      <c r="CP222">
        <f>IF(AND(VLOOKUP(CP$1,main!$A$3:$H$102,7,FALSE)=main!$G$105,VLOOKUP(CP$1,main!$A$3:$H$102,5,FALSE)-VLOOKUP($A222,main!$A$3:$H$102,6,FALSE)&gt;=main!$D$103+VLOOKUP(VLOOKUP(CP$1,main!$A$3:$I$102,7,FALSE),main!$K$26:$Q$29,5,FALSE)),1,0)</f>
        <v>0</v>
      </c>
      <c r="CQ222">
        <f>IF(AND(VLOOKUP(CQ$1,main!$A$3:$H$102,7,FALSE)=main!$G$105,VLOOKUP(CQ$1,main!$A$3:$H$102,5,FALSE)-VLOOKUP($A222,main!$A$3:$H$102,6,FALSE)&gt;=main!$D$103+VLOOKUP(VLOOKUP(CQ$1,main!$A$3:$I$102,7,FALSE),main!$K$26:$Q$29,5,FALSE)),1,0)</f>
        <v>0</v>
      </c>
      <c r="CR222">
        <f>IF(AND(VLOOKUP(CR$1,main!$A$3:$H$102,7,FALSE)=main!$G$105,VLOOKUP(CR$1,main!$A$3:$H$102,5,FALSE)-VLOOKUP($A222,main!$A$3:$H$102,6,FALSE)&gt;=main!$D$103+VLOOKUP(VLOOKUP(CR$1,main!$A$3:$I$102,7,FALSE),main!$K$26:$Q$29,5,FALSE)),1,0)</f>
        <v>0</v>
      </c>
      <c r="CS222">
        <f>IF(AND(VLOOKUP(CS$1,main!$A$3:$H$102,7,FALSE)=main!$G$105,VLOOKUP(CS$1,main!$A$3:$H$102,5,FALSE)-VLOOKUP($A222,main!$A$3:$H$102,6,FALSE)&gt;=main!$D$103+VLOOKUP(VLOOKUP(CS$1,main!$A$3:$I$102,7,FALSE),main!$K$26:$Q$29,5,FALSE)),1,0)</f>
        <v>0</v>
      </c>
      <c r="CT222">
        <f>IF(AND(VLOOKUP(CT$1,main!$A$3:$H$102,7,FALSE)=main!$G$105,VLOOKUP(CT$1,main!$A$3:$H$102,5,FALSE)-VLOOKUP($A222,main!$A$3:$H$102,6,FALSE)&gt;=main!$D$103+VLOOKUP(VLOOKUP(CT$1,main!$A$3:$I$102,7,FALSE),main!$K$26:$Q$29,5,FALSE)),1,0)</f>
        <v>0</v>
      </c>
      <c r="CU222">
        <f>IF(AND(VLOOKUP(CU$1,main!$A$3:$H$102,7,FALSE)=main!$G$105,VLOOKUP(CU$1,main!$A$3:$H$102,5,FALSE)-VLOOKUP($A222,main!$A$3:$H$102,6,FALSE)&gt;=main!$D$103+VLOOKUP(VLOOKUP(CU$1,main!$A$3:$I$102,7,FALSE),main!$K$26:$Q$29,5,FALSE)),1,0)</f>
        <v>0</v>
      </c>
      <c r="CV222">
        <f>IF(AND(VLOOKUP(CV$1,main!$A$3:$H$102,7,FALSE)=main!$G$105,VLOOKUP(CV$1,main!$A$3:$H$102,5,FALSE)-VLOOKUP($A222,main!$A$3:$H$102,6,FALSE)&gt;=main!$D$103+VLOOKUP(VLOOKUP(CV$1,main!$A$3:$I$102,7,FALSE),main!$K$26:$Q$29,5,FALSE)),1,0)</f>
        <v>0</v>
      </c>
      <c r="CW222">
        <f>IF(AND(VLOOKUP(CW$1,main!$A$3:$H$102,7,FALSE)=main!$G$105,VLOOKUP(CW$1,main!$A$3:$H$102,5,FALSE)-VLOOKUP($A222,main!$A$3:$H$102,6,FALSE)&gt;=main!$D$103+VLOOKUP(VLOOKUP(CW$1,main!$A$3:$I$102,7,FALSE),main!$K$26:$Q$29,5,FALSE)),1,0)</f>
        <v>0</v>
      </c>
      <c r="CX222">
        <f>IF(AND(VLOOKUP(CX$1,main!$A$3:$H$102,7,FALSE)=main!$G$105,VLOOKUP(CX$1,main!$A$3:$H$102,5,FALSE)-VLOOKUP($A222,main!$A$3:$H$102,6,FALSE)&gt;=main!$D$103+VLOOKUP(VLOOKUP(CX$1,main!$A$3:$I$102,7,FALSE),main!$K$26:$Q$29,5,FALSE)),1,0)</f>
        <v>0</v>
      </c>
    </row>
    <row r="223" spans="1:102" x14ac:dyDescent="0.25">
      <c r="A223" s="1">
        <v>19</v>
      </c>
      <c r="B223">
        <v>0</v>
      </c>
      <c r="C223">
        <f>IF(AND(VLOOKUP(C$1,main!$A$3:$H$102,7,FALSE)=main!$G$105,VLOOKUP(C$1,main!$A$3:$H$102,5,FALSE)-VLOOKUP($A223,main!$A$3:$H$102,6,FALSE)&gt;=main!$D$103+VLOOKUP(VLOOKUP(C$1,main!$A$3:$I$102,7,FALSE),main!$K$26:$Q$29,5,FALSE)),1,0)</f>
        <v>0</v>
      </c>
      <c r="D223">
        <f>IF(AND(VLOOKUP(D$1,main!$A$3:$H$102,7,FALSE)=main!$G$105,VLOOKUP(D$1,main!$A$3:$H$102,5,FALSE)-VLOOKUP($A223,main!$A$3:$H$102,6,FALSE)&gt;=main!$D$103+VLOOKUP(VLOOKUP(D$1,main!$A$3:$I$102,7,FALSE),main!$K$26:$Q$29,5,FALSE)),1,0)</f>
        <v>0</v>
      </c>
      <c r="E223">
        <f>IF(AND(VLOOKUP(E$1,main!$A$3:$H$102,7,FALSE)=main!$G$105,VLOOKUP(E$1,main!$A$3:$H$102,5,FALSE)-VLOOKUP($A223,main!$A$3:$H$102,6,FALSE)&gt;=main!$D$103+VLOOKUP(VLOOKUP(E$1,main!$A$3:$I$102,7,FALSE),main!$K$26:$Q$29,5,FALSE)),1,0)</f>
        <v>0</v>
      </c>
      <c r="F223">
        <f>IF(AND(VLOOKUP(F$1,main!$A$3:$H$102,7,FALSE)=main!$G$105,VLOOKUP(F$1,main!$A$3:$H$102,5,FALSE)-VLOOKUP($A223,main!$A$3:$H$102,6,FALSE)&gt;=main!$D$103+VLOOKUP(VLOOKUP(F$1,main!$A$3:$I$102,7,FALSE),main!$K$26:$Q$29,5,FALSE)),1,0)</f>
        <v>0</v>
      </c>
      <c r="G223">
        <f>IF(AND(VLOOKUP(G$1,main!$A$3:$H$102,7,FALSE)=main!$G$105,VLOOKUP(G$1,main!$A$3:$H$102,5,FALSE)-VLOOKUP($A223,main!$A$3:$H$102,6,FALSE)&gt;=main!$D$103+VLOOKUP(VLOOKUP(G$1,main!$A$3:$I$102,7,FALSE),main!$K$26:$Q$29,5,FALSE)),1,0)</f>
        <v>0</v>
      </c>
      <c r="H223">
        <f>IF(AND(VLOOKUP(H$1,main!$A$3:$H$102,7,FALSE)=main!$G$105,VLOOKUP(H$1,main!$A$3:$H$102,5,FALSE)-VLOOKUP($A223,main!$A$3:$H$102,6,FALSE)&gt;=main!$D$103+VLOOKUP(VLOOKUP(H$1,main!$A$3:$I$102,7,FALSE),main!$K$26:$Q$29,5,FALSE)),1,0)</f>
        <v>0</v>
      </c>
      <c r="I223">
        <f>IF(AND(VLOOKUP(I$1,main!$A$3:$H$102,7,FALSE)=main!$G$105,VLOOKUP(I$1,main!$A$3:$H$102,5,FALSE)-VLOOKUP($A223,main!$A$3:$H$102,6,FALSE)&gt;=main!$D$103+VLOOKUP(VLOOKUP(I$1,main!$A$3:$I$102,7,FALSE),main!$K$26:$Q$29,5,FALSE)),1,0)</f>
        <v>0</v>
      </c>
      <c r="J223">
        <f>IF(AND(VLOOKUP(J$1,main!$A$3:$H$102,7,FALSE)=main!$G$105,VLOOKUP(J$1,main!$A$3:$H$102,5,FALSE)-VLOOKUP($A223,main!$A$3:$H$102,6,FALSE)&gt;=main!$D$103+VLOOKUP(VLOOKUP(J$1,main!$A$3:$I$102,7,FALSE),main!$K$26:$Q$29,5,FALSE)),1,0)</f>
        <v>0</v>
      </c>
      <c r="K223">
        <f>IF(AND(VLOOKUP(K$1,main!$A$3:$H$102,7,FALSE)=main!$G$105,VLOOKUP(K$1,main!$A$3:$H$102,5,FALSE)-VLOOKUP($A223,main!$A$3:$H$102,6,FALSE)&gt;=main!$D$103+VLOOKUP(VLOOKUP(K$1,main!$A$3:$I$102,7,FALSE),main!$K$26:$Q$29,5,FALSE)),1,0)</f>
        <v>0</v>
      </c>
      <c r="L223">
        <f>IF(AND(VLOOKUP(L$1,main!$A$3:$H$102,7,FALSE)=main!$G$105,VLOOKUP(L$1,main!$A$3:$H$102,5,FALSE)-VLOOKUP($A223,main!$A$3:$H$102,6,FALSE)&gt;=main!$D$103+VLOOKUP(VLOOKUP(L$1,main!$A$3:$I$102,7,FALSE),main!$K$26:$Q$29,5,FALSE)),1,0)</f>
        <v>0</v>
      </c>
      <c r="M223">
        <f>IF(AND(VLOOKUP(M$1,main!$A$3:$H$102,7,FALSE)=main!$G$105,VLOOKUP(M$1,main!$A$3:$H$102,5,FALSE)-VLOOKUP($A223,main!$A$3:$H$102,6,FALSE)&gt;=main!$D$103+VLOOKUP(VLOOKUP(M$1,main!$A$3:$I$102,7,FALSE),main!$K$26:$Q$29,5,FALSE)),1,0)</f>
        <v>0</v>
      </c>
      <c r="N223">
        <f>IF(AND(VLOOKUP(N$1,main!$A$3:$H$102,7,FALSE)=main!$G$105,VLOOKUP(N$1,main!$A$3:$H$102,5,FALSE)-VLOOKUP($A223,main!$A$3:$H$102,6,FALSE)&gt;=main!$D$103+VLOOKUP(VLOOKUP(N$1,main!$A$3:$I$102,7,FALSE),main!$K$26:$Q$29,5,FALSE)),1,0)</f>
        <v>0</v>
      </c>
      <c r="O223">
        <f>IF(AND(VLOOKUP(O$1,main!$A$3:$H$102,7,FALSE)=main!$G$105,VLOOKUP(O$1,main!$A$3:$H$102,5,FALSE)-VLOOKUP($A223,main!$A$3:$H$102,6,FALSE)&gt;=main!$D$103+VLOOKUP(VLOOKUP(O$1,main!$A$3:$I$102,7,FALSE),main!$K$26:$Q$29,5,FALSE)),1,0)</f>
        <v>0</v>
      </c>
      <c r="P223">
        <f>IF(AND(VLOOKUP(P$1,main!$A$3:$H$102,7,FALSE)=main!$G$105,VLOOKUP(P$1,main!$A$3:$H$102,5,FALSE)-VLOOKUP($A223,main!$A$3:$H$102,6,FALSE)&gt;=main!$D$103+VLOOKUP(VLOOKUP(P$1,main!$A$3:$I$102,7,FALSE),main!$K$26:$Q$29,5,FALSE)),1,0)</f>
        <v>0</v>
      </c>
      <c r="Q223">
        <f>IF(AND(VLOOKUP(Q$1,main!$A$3:$H$102,7,FALSE)=main!$G$105,VLOOKUP(Q$1,main!$A$3:$H$102,5,FALSE)-VLOOKUP($A223,main!$A$3:$H$102,6,FALSE)&gt;=main!$D$103+VLOOKUP(VLOOKUP(Q$1,main!$A$3:$I$102,7,FALSE),main!$K$26:$Q$29,5,FALSE)),1,0)</f>
        <v>0</v>
      </c>
      <c r="R223">
        <f>IF(AND(VLOOKUP(R$1,main!$A$3:$H$102,7,FALSE)=main!$G$105,VLOOKUP(R$1,main!$A$3:$H$102,5,FALSE)-VLOOKUP($A223,main!$A$3:$H$102,6,FALSE)&gt;=main!$D$103+VLOOKUP(VLOOKUP(R$1,main!$A$3:$I$102,7,FALSE),main!$K$26:$Q$29,5,FALSE)),1,0)</f>
        <v>0</v>
      </c>
      <c r="S223">
        <f>IF(AND(VLOOKUP(S$1,main!$A$3:$H$102,7,FALSE)=main!$G$105,VLOOKUP(S$1,main!$A$3:$H$102,5,FALSE)-VLOOKUP($A223,main!$A$3:$H$102,6,FALSE)&gt;=main!$D$103+VLOOKUP(VLOOKUP(S$1,main!$A$3:$I$102,7,FALSE),main!$K$26:$Q$29,5,FALSE)),1,0)</f>
        <v>0</v>
      </c>
      <c r="T223">
        <f>IF(AND(VLOOKUP(T$1,main!$A$3:$H$102,7,FALSE)=main!$G$105,VLOOKUP(T$1,main!$A$3:$H$102,5,FALSE)-VLOOKUP($A223,main!$A$3:$H$102,6,FALSE)&gt;=main!$D$103+VLOOKUP(VLOOKUP(T$1,main!$A$3:$I$102,7,FALSE),main!$K$26:$Q$29,5,FALSE)),1,0)</f>
        <v>0</v>
      </c>
      <c r="U223">
        <f>IF(AND(VLOOKUP(U$1,main!$A$3:$H$102,7,FALSE)=main!$G$105,VLOOKUP(U$1,main!$A$3:$H$102,5,FALSE)-VLOOKUP($A223,main!$A$3:$H$102,6,FALSE)&gt;=main!$D$103+VLOOKUP(VLOOKUP(U$1,main!$A$3:$I$102,7,FALSE),main!$K$26:$Q$29,5,FALSE)),1,0)</f>
        <v>0</v>
      </c>
      <c r="V223">
        <f>IF(AND(VLOOKUP(V$1,main!$A$3:$H$102,7,FALSE)=main!$G$105,VLOOKUP(V$1,main!$A$3:$H$102,5,FALSE)-VLOOKUP($A223,main!$A$3:$H$102,6,FALSE)&gt;=main!$D$103+VLOOKUP(VLOOKUP(V$1,main!$A$3:$I$102,7,FALSE),main!$K$26:$Q$29,5,FALSE)),1,0)</f>
        <v>0</v>
      </c>
      <c r="W223">
        <f>IF(AND(VLOOKUP(W$1,main!$A$3:$H$102,7,FALSE)=main!$G$105,VLOOKUP(W$1,main!$A$3:$H$102,5,FALSE)-VLOOKUP($A223,main!$A$3:$H$102,6,FALSE)&gt;=main!$D$103+VLOOKUP(VLOOKUP(W$1,main!$A$3:$I$102,7,FALSE),main!$K$26:$Q$29,5,FALSE)),1,0)</f>
        <v>0</v>
      </c>
      <c r="X223">
        <f>IF(AND(VLOOKUP(X$1,main!$A$3:$H$102,7,FALSE)=main!$G$105,VLOOKUP(X$1,main!$A$3:$H$102,5,FALSE)-VLOOKUP($A223,main!$A$3:$H$102,6,FALSE)&gt;=main!$D$103+VLOOKUP(VLOOKUP(X$1,main!$A$3:$I$102,7,FALSE),main!$K$26:$Q$29,5,FALSE)),1,0)</f>
        <v>0</v>
      </c>
      <c r="Y223">
        <f>IF(AND(VLOOKUP(Y$1,main!$A$3:$H$102,7,FALSE)=main!$G$105,VLOOKUP(Y$1,main!$A$3:$H$102,5,FALSE)-VLOOKUP($A223,main!$A$3:$H$102,6,FALSE)&gt;=main!$D$103+VLOOKUP(VLOOKUP(Y$1,main!$A$3:$I$102,7,FALSE),main!$K$26:$Q$29,5,FALSE)),1,0)</f>
        <v>0</v>
      </c>
      <c r="Z223">
        <f>IF(AND(VLOOKUP(Z$1,main!$A$3:$H$102,7,FALSE)=main!$G$105,VLOOKUP(Z$1,main!$A$3:$H$102,5,FALSE)-VLOOKUP($A223,main!$A$3:$H$102,6,FALSE)&gt;=main!$D$103+VLOOKUP(VLOOKUP(Z$1,main!$A$3:$I$102,7,FALSE),main!$K$26:$Q$29,5,FALSE)),1,0)</f>
        <v>0</v>
      </c>
      <c r="AA223">
        <f>IF(AND(VLOOKUP(AA$1,main!$A$3:$H$102,7,FALSE)=main!$G$105,VLOOKUP(AA$1,main!$A$3:$H$102,5,FALSE)-VLOOKUP($A223,main!$A$3:$H$102,6,FALSE)&gt;=main!$D$103+VLOOKUP(VLOOKUP(AA$1,main!$A$3:$I$102,7,FALSE),main!$K$26:$Q$29,5,FALSE)),1,0)</f>
        <v>0</v>
      </c>
      <c r="AB223">
        <f>IF(AND(VLOOKUP(AB$1,main!$A$3:$H$102,7,FALSE)=main!$G$105,VLOOKUP(AB$1,main!$A$3:$H$102,5,FALSE)-VLOOKUP($A223,main!$A$3:$H$102,6,FALSE)&gt;=main!$D$103+VLOOKUP(VLOOKUP(AB$1,main!$A$3:$I$102,7,FALSE),main!$K$26:$Q$29,5,FALSE)),1,0)</f>
        <v>0</v>
      </c>
      <c r="AC223">
        <f>IF(AND(VLOOKUP(AC$1,main!$A$3:$H$102,7,FALSE)=main!$G$105,VLOOKUP(AC$1,main!$A$3:$H$102,5,FALSE)-VLOOKUP($A223,main!$A$3:$H$102,6,FALSE)&gt;=main!$D$103+VLOOKUP(VLOOKUP(AC$1,main!$A$3:$I$102,7,FALSE),main!$K$26:$Q$29,5,FALSE)),1,0)</f>
        <v>0</v>
      </c>
      <c r="AD223">
        <f>IF(AND(VLOOKUP(AD$1,main!$A$3:$H$102,7,FALSE)=main!$G$105,VLOOKUP(AD$1,main!$A$3:$H$102,5,FALSE)-VLOOKUP($A223,main!$A$3:$H$102,6,FALSE)&gt;=main!$D$103+VLOOKUP(VLOOKUP(AD$1,main!$A$3:$I$102,7,FALSE),main!$K$26:$Q$29,5,FALSE)),1,0)</f>
        <v>0</v>
      </c>
      <c r="AE223">
        <f>IF(AND(VLOOKUP(AE$1,main!$A$3:$H$102,7,FALSE)=main!$G$105,VLOOKUP(AE$1,main!$A$3:$H$102,5,FALSE)-VLOOKUP($A223,main!$A$3:$H$102,6,FALSE)&gt;=main!$D$103+VLOOKUP(VLOOKUP(AE$1,main!$A$3:$I$102,7,FALSE),main!$K$26:$Q$29,5,FALSE)),1,0)</f>
        <v>0</v>
      </c>
      <c r="AF223">
        <f>IF(AND(VLOOKUP(AF$1,main!$A$3:$H$102,7,FALSE)=main!$G$105,VLOOKUP(AF$1,main!$A$3:$H$102,5,FALSE)-VLOOKUP($A223,main!$A$3:$H$102,6,FALSE)&gt;=main!$D$103+VLOOKUP(VLOOKUP(AF$1,main!$A$3:$I$102,7,FALSE),main!$K$26:$Q$29,5,FALSE)),1,0)</f>
        <v>0</v>
      </c>
      <c r="AG223">
        <f>IF(AND(VLOOKUP(AG$1,main!$A$3:$H$102,7,FALSE)=main!$G$105,VLOOKUP(AG$1,main!$A$3:$H$102,5,FALSE)-VLOOKUP($A223,main!$A$3:$H$102,6,FALSE)&gt;=main!$D$103+VLOOKUP(VLOOKUP(AG$1,main!$A$3:$I$102,7,FALSE),main!$K$26:$Q$29,5,FALSE)),1,0)</f>
        <v>0</v>
      </c>
      <c r="AH223">
        <f>IF(AND(VLOOKUP(AH$1,main!$A$3:$H$102,7,FALSE)=main!$G$105,VLOOKUP(AH$1,main!$A$3:$H$102,5,FALSE)-VLOOKUP($A223,main!$A$3:$H$102,6,FALSE)&gt;=main!$D$103+VLOOKUP(VLOOKUP(AH$1,main!$A$3:$I$102,7,FALSE),main!$K$26:$Q$29,5,FALSE)),1,0)</f>
        <v>0</v>
      </c>
      <c r="AI223">
        <f>IF(AND(VLOOKUP(AI$1,main!$A$3:$H$102,7,FALSE)=main!$G$105,VLOOKUP(AI$1,main!$A$3:$H$102,5,FALSE)-VLOOKUP($A223,main!$A$3:$H$102,6,FALSE)&gt;=main!$D$103+VLOOKUP(VLOOKUP(AI$1,main!$A$3:$I$102,7,FALSE),main!$K$26:$Q$29,5,FALSE)),1,0)</f>
        <v>0</v>
      </c>
      <c r="AJ223">
        <f>IF(AND(VLOOKUP(AJ$1,main!$A$3:$H$102,7,FALSE)=main!$G$105,VLOOKUP(AJ$1,main!$A$3:$H$102,5,FALSE)-VLOOKUP($A223,main!$A$3:$H$102,6,FALSE)&gt;=main!$D$103+VLOOKUP(VLOOKUP(AJ$1,main!$A$3:$I$102,7,FALSE),main!$K$26:$Q$29,5,FALSE)),1,0)</f>
        <v>0</v>
      </c>
      <c r="AK223">
        <f>IF(AND(VLOOKUP(AK$1,main!$A$3:$H$102,7,FALSE)=main!$G$105,VLOOKUP(AK$1,main!$A$3:$H$102,5,FALSE)-VLOOKUP($A223,main!$A$3:$H$102,6,FALSE)&gt;=main!$D$103+VLOOKUP(VLOOKUP(AK$1,main!$A$3:$I$102,7,FALSE),main!$K$26:$Q$29,5,FALSE)),1,0)</f>
        <v>0</v>
      </c>
      <c r="AL223">
        <f>IF(AND(VLOOKUP(AL$1,main!$A$3:$H$102,7,FALSE)=main!$G$105,VLOOKUP(AL$1,main!$A$3:$H$102,5,FALSE)-VLOOKUP($A223,main!$A$3:$H$102,6,FALSE)&gt;=main!$D$103+VLOOKUP(VLOOKUP(AL$1,main!$A$3:$I$102,7,FALSE),main!$K$26:$Q$29,5,FALSE)),1,0)</f>
        <v>0</v>
      </c>
      <c r="AM223">
        <f>IF(AND(VLOOKUP(AM$1,main!$A$3:$H$102,7,FALSE)=main!$G$105,VLOOKUP(AM$1,main!$A$3:$H$102,5,FALSE)-VLOOKUP($A223,main!$A$3:$H$102,6,FALSE)&gt;=main!$D$103+VLOOKUP(VLOOKUP(AM$1,main!$A$3:$I$102,7,FALSE),main!$K$26:$Q$29,5,FALSE)),1,0)</f>
        <v>0</v>
      </c>
      <c r="AN223">
        <f>IF(AND(VLOOKUP(AN$1,main!$A$3:$H$102,7,FALSE)=main!$G$105,VLOOKUP(AN$1,main!$A$3:$H$102,5,FALSE)-VLOOKUP($A223,main!$A$3:$H$102,6,FALSE)&gt;=main!$D$103+VLOOKUP(VLOOKUP(AN$1,main!$A$3:$I$102,7,FALSE),main!$K$26:$Q$29,5,FALSE)),1,0)</f>
        <v>0</v>
      </c>
      <c r="AO223">
        <f>IF(AND(VLOOKUP(AO$1,main!$A$3:$H$102,7,FALSE)=main!$G$105,VLOOKUP(AO$1,main!$A$3:$H$102,5,FALSE)-VLOOKUP($A223,main!$A$3:$H$102,6,FALSE)&gt;=main!$D$103+VLOOKUP(VLOOKUP(AO$1,main!$A$3:$I$102,7,FALSE),main!$K$26:$Q$29,5,FALSE)),1,0)</f>
        <v>0</v>
      </c>
      <c r="AP223">
        <f>IF(AND(VLOOKUP(AP$1,main!$A$3:$H$102,7,FALSE)=main!$G$105,VLOOKUP(AP$1,main!$A$3:$H$102,5,FALSE)-VLOOKUP($A223,main!$A$3:$H$102,6,FALSE)&gt;=main!$D$103+VLOOKUP(VLOOKUP(AP$1,main!$A$3:$I$102,7,FALSE),main!$K$26:$Q$29,5,FALSE)),1,0)</f>
        <v>0</v>
      </c>
      <c r="AQ223">
        <f>IF(AND(VLOOKUP(AQ$1,main!$A$3:$H$102,7,FALSE)=main!$G$105,VLOOKUP(AQ$1,main!$A$3:$H$102,5,FALSE)-VLOOKUP($A223,main!$A$3:$H$102,6,FALSE)&gt;=main!$D$103+VLOOKUP(VLOOKUP(AQ$1,main!$A$3:$I$102,7,FALSE),main!$K$26:$Q$29,5,FALSE)),1,0)</f>
        <v>0</v>
      </c>
      <c r="AR223">
        <f>IF(AND(VLOOKUP(AR$1,main!$A$3:$H$102,7,FALSE)=main!$G$105,VLOOKUP(AR$1,main!$A$3:$H$102,5,FALSE)-VLOOKUP($A223,main!$A$3:$H$102,6,FALSE)&gt;=main!$D$103+VLOOKUP(VLOOKUP(AR$1,main!$A$3:$I$102,7,FALSE),main!$K$26:$Q$29,5,FALSE)),1,0)</f>
        <v>0</v>
      </c>
      <c r="AS223">
        <f>IF(AND(VLOOKUP(AS$1,main!$A$3:$H$102,7,FALSE)=main!$G$105,VLOOKUP(AS$1,main!$A$3:$H$102,5,FALSE)-VLOOKUP($A223,main!$A$3:$H$102,6,FALSE)&gt;=main!$D$103+VLOOKUP(VLOOKUP(AS$1,main!$A$3:$I$102,7,FALSE),main!$K$26:$Q$29,5,FALSE)),1,0)</f>
        <v>0</v>
      </c>
      <c r="AT223">
        <f>IF(AND(VLOOKUP(AT$1,main!$A$3:$H$102,7,FALSE)=main!$G$105,VLOOKUP(AT$1,main!$A$3:$H$102,5,FALSE)-VLOOKUP($A223,main!$A$3:$H$102,6,FALSE)&gt;=main!$D$103+VLOOKUP(VLOOKUP(AT$1,main!$A$3:$I$102,7,FALSE),main!$K$26:$Q$29,5,FALSE)),1,0)</f>
        <v>0</v>
      </c>
      <c r="AU223">
        <f>IF(AND(VLOOKUP(AU$1,main!$A$3:$H$102,7,FALSE)=main!$G$105,VLOOKUP(AU$1,main!$A$3:$H$102,5,FALSE)-VLOOKUP($A223,main!$A$3:$H$102,6,FALSE)&gt;=main!$D$103+VLOOKUP(VLOOKUP(AU$1,main!$A$3:$I$102,7,FALSE),main!$K$26:$Q$29,5,FALSE)),1,0)</f>
        <v>0</v>
      </c>
      <c r="AV223">
        <f>IF(AND(VLOOKUP(AV$1,main!$A$3:$H$102,7,FALSE)=main!$G$105,VLOOKUP(AV$1,main!$A$3:$H$102,5,FALSE)-VLOOKUP($A223,main!$A$3:$H$102,6,FALSE)&gt;=main!$D$103+VLOOKUP(VLOOKUP(AV$1,main!$A$3:$I$102,7,FALSE),main!$K$26:$Q$29,5,FALSE)),1,0)</f>
        <v>0</v>
      </c>
      <c r="AW223">
        <f>IF(AND(VLOOKUP(AW$1,main!$A$3:$H$102,7,FALSE)=main!$G$105,VLOOKUP(AW$1,main!$A$3:$H$102,5,FALSE)-VLOOKUP($A223,main!$A$3:$H$102,6,FALSE)&gt;=main!$D$103+VLOOKUP(VLOOKUP(AW$1,main!$A$3:$I$102,7,FALSE),main!$K$26:$Q$29,5,FALSE)),1,0)</f>
        <v>0</v>
      </c>
      <c r="AX223">
        <f>IF(AND(VLOOKUP(AX$1,main!$A$3:$H$102,7,FALSE)=main!$G$105,VLOOKUP(AX$1,main!$A$3:$H$102,5,FALSE)-VLOOKUP($A223,main!$A$3:$H$102,6,FALSE)&gt;=main!$D$103+VLOOKUP(VLOOKUP(AX$1,main!$A$3:$I$102,7,FALSE),main!$K$26:$Q$29,5,FALSE)),1,0)</f>
        <v>0</v>
      </c>
      <c r="AY223">
        <f>IF(AND(VLOOKUP(AY$1,main!$A$3:$H$102,7,FALSE)=main!$G$105,VLOOKUP(AY$1,main!$A$3:$H$102,5,FALSE)-VLOOKUP($A223,main!$A$3:$H$102,6,FALSE)&gt;=main!$D$103+VLOOKUP(VLOOKUP(AY$1,main!$A$3:$I$102,7,FALSE),main!$K$26:$Q$29,5,FALSE)),1,0)</f>
        <v>0</v>
      </c>
      <c r="AZ223">
        <f>IF(AND(VLOOKUP(AZ$1,main!$A$3:$H$102,7,FALSE)=main!$G$105,VLOOKUP(AZ$1,main!$A$3:$H$102,5,FALSE)-VLOOKUP($A223,main!$A$3:$H$102,6,FALSE)&gt;=main!$D$103+VLOOKUP(VLOOKUP(AZ$1,main!$A$3:$I$102,7,FALSE),main!$K$26:$Q$29,5,FALSE)),1,0)</f>
        <v>0</v>
      </c>
      <c r="BA223">
        <f>IF(AND(VLOOKUP(BA$1,main!$A$3:$H$102,7,FALSE)=main!$G$105,VLOOKUP(BA$1,main!$A$3:$H$102,5,FALSE)-VLOOKUP($A223,main!$A$3:$H$102,6,FALSE)&gt;=main!$D$103+VLOOKUP(VLOOKUP(BA$1,main!$A$3:$I$102,7,FALSE),main!$K$26:$Q$29,5,FALSE)),1,0)</f>
        <v>0</v>
      </c>
      <c r="BB223">
        <f>IF(AND(VLOOKUP(BB$1,main!$A$3:$H$102,7,FALSE)=main!$G$105,VLOOKUP(BB$1,main!$A$3:$H$102,5,FALSE)-VLOOKUP($A223,main!$A$3:$H$102,6,FALSE)&gt;=main!$D$103+VLOOKUP(VLOOKUP(BB$1,main!$A$3:$I$102,7,FALSE),main!$K$26:$Q$29,5,FALSE)),1,0)</f>
        <v>0</v>
      </c>
      <c r="BC223">
        <f>IF(AND(VLOOKUP(BC$1,main!$A$3:$H$102,7,FALSE)=main!$G$105,VLOOKUP(BC$1,main!$A$3:$H$102,5,FALSE)-VLOOKUP($A223,main!$A$3:$H$102,6,FALSE)&gt;=main!$D$103+VLOOKUP(VLOOKUP(BC$1,main!$A$3:$I$102,7,FALSE),main!$K$26:$Q$29,5,FALSE)),1,0)</f>
        <v>0</v>
      </c>
      <c r="BD223">
        <f>IF(AND(VLOOKUP(BD$1,main!$A$3:$H$102,7,FALSE)=main!$G$105,VLOOKUP(BD$1,main!$A$3:$H$102,5,FALSE)-VLOOKUP($A223,main!$A$3:$H$102,6,FALSE)&gt;=main!$D$103+VLOOKUP(VLOOKUP(BD$1,main!$A$3:$I$102,7,FALSE),main!$K$26:$Q$29,5,FALSE)),1,0)</f>
        <v>0</v>
      </c>
      <c r="BE223">
        <f>IF(AND(VLOOKUP(BE$1,main!$A$3:$H$102,7,FALSE)=main!$G$105,VLOOKUP(BE$1,main!$A$3:$H$102,5,FALSE)-VLOOKUP($A223,main!$A$3:$H$102,6,FALSE)&gt;=main!$D$103+VLOOKUP(VLOOKUP(BE$1,main!$A$3:$I$102,7,FALSE),main!$K$26:$Q$29,5,FALSE)),1,0)</f>
        <v>0</v>
      </c>
      <c r="BF223">
        <f>IF(AND(VLOOKUP(BF$1,main!$A$3:$H$102,7,FALSE)=main!$G$105,VLOOKUP(BF$1,main!$A$3:$H$102,5,FALSE)-VLOOKUP($A223,main!$A$3:$H$102,6,FALSE)&gt;=main!$D$103+VLOOKUP(VLOOKUP(BF$1,main!$A$3:$I$102,7,FALSE),main!$K$26:$Q$29,5,FALSE)),1,0)</f>
        <v>0</v>
      </c>
      <c r="BG223">
        <f>IF(AND(VLOOKUP(BG$1,main!$A$3:$H$102,7,FALSE)=main!$G$105,VLOOKUP(BG$1,main!$A$3:$H$102,5,FALSE)-VLOOKUP($A223,main!$A$3:$H$102,6,FALSE)&gt;=main!$D$103+VLOOKUP(VLOOKUP(BG$1,main!$A$3:$I$102,7,FALSE),main!$K$26:$Q$29,5,FALSE)),1,0)</f>
        <v>0</v>
      </c>
      <c r="BH223">
        <f>IF(AND(VLOOKUP(BH$1,main!$A$3:$H$102,7,FALSE)=main!$G$105,VLOOKUP(BH$1,main!$A$3:$H$102,5,FALSE)-VLOOKUP($A223,main!$A$3:$H$102,6,FALSE)&gt;=main!$D$103+VLOOKUP(VLOOKUP(BH$1,main!$A$3:$I$102,7,FALSE),main!$K$26:$Q$29,5,FALSE)),1,0)</f>
        <v>0</v>
      </c>
      <c r="BI223">
        <f>IF(AND(VLOOKUP(BI$1,main!$A$3:$H$102,7,FALSE)=main!$G$105,VLOOKUP(BI$1,main!$A$3:$H$102,5,FALSE)-VLOOKUP($A223,main!$A$3:$H$102,6,FALSE)&gt;=main!$D$103+VLOOKUP(VLOOKUP(BI$1,main!$A$3:$I$102,7,FALSE),main!$K$26:$Q$29,5,FALSE)),1,0)</f>
        <v>0</v>
      </c>
      <c r="BJ223">
        <f>IF(AND(VLOOKUP(BJ$1,main!$A$3:$H$102,7,FALSE)=main!$G$105,VLOOKUP(BJ$1,main!$A$3:$H$102,5,FALSE)-VLOOKUP($A223,main!$A$3:$H$102,6,FALSE)&gt;=main!$D$103+VLOOKUP(VLOOKUP(BJ$1,main!$A$3:$I$102,7,FALSE),main!$K$26:$Q$29,5,FALSE)),1,0)</f>
        <v>0</v>
      </c>
      <c r="BK223">
        <f>IF(AND(VLOOKUP(BK$1,main!$A$3:$H$102,7,FALSE)=main!$G$105,VLOOKUP(BK$1,main!$A$3:$H$102,5,FALSE)-VLOOKUP($A223,main!$A$3:$H$102,6,FALSE)&gt;=main!$D$103+VLOOKUP(VLOOKUP(BK$1,main!$A$3:$I$102,7,FALSE),main!$K$26:$Q$29,5,FALSE)),1,0)</f>
        <v>0</v>
      </c>
      <c r="BL223">
        <f>IF(AND(VLOOKUP(BL$1,main!$A$3:$H$102,7,FALSE)=main!$G$105,VLOOKUP(BL$1,main!$A$3:$H$102,5,FALSE)-VLOOKUP($A223,main!$A$3:$H$102,6,FALSE)&gt;=main!$D$103+VLOOKUP(VLOOKUP(BL$1,main!$A$3:$I$102,7,FALSE),main!$K$26:$Q$29,5,FALSE)),1,0)</f>
        <v>0</v>
      </c>
      <c r="BM223">
        <f>IF(AND(VLOOKUP(BM$1,main!$A$3:$H$102,7,FALSE)=main!$G$105,VLOOKUP(BM$1,main!$A$3:$H$102,5,FALSE)-VLOOKUP($A223,main!$A$3:$H$102,6,FALSE)&gt;=main!$D$103+VLOOKUP(VLOOKUP(BM$1,main!$A$3:$I$102,7,FALSE),main!$K$26:$Q$29,5,FALSE)),1,0)</f>
        <v>0</v>
      </c>
      <c r="BN223">
        <f>IF(AND(VLOOKUP(BN$1,main!$A$3:$H$102,7,FALSE)=main!$G$105,VLOOKUP(BN$1,main!$A$3:$H$102,5,FALSE)-VLOOKUP($A223,main!$A$3:$H$102,6,FALSE)&gt;=main!$D$103+VLOOKUP(VLOOKUP(BN$1,main!$A$3:$I$102,7,FALSE),main!$K$26:$Q$29,5,FALSE)),1,0)</f>
        <v>0</v>
      </c>
      <c r="BO223">
        <f>IF(AND(VLOOKUP(BO$1,main!$A$3:$H$102,7,FALSE)=main!$G$105,VLOOKUP(BO$1,main!$A$3:$H$102,5,FALSE)-VLOOKUP($A223,main!$A$3:$H$102,6,FALSE)&gt;=main!$D$103+VLOOKUP(VLOOKUP(BO$1,main!$A$3:$I$102,7,FALSE),main!$K$26:$Q$29,5,FALSE)),1,0)</f>
        <v>0</v>
      </c>
      <c r="BP223">
        <f>IF(AND(VLOOKUP(BP$1,main!$A$3:$H$102,7,FALSE)=main!$G$105,VLOOKUP(BP$1,main!$A$3:$H$102,5,FALSE)-VLOOKUP($A223,main!$A$3:$H$102,6,FALSE)&gt;=main!$D$103+VLOOKUP(VLOOKUP(BP$1,main!$A$3:$I$102,7,FALSE),main!$K$26:$Q$29,5,FALSE)),1,0)</f>
        <v>0</v>
      </c>
      <c r="BQ223">
        <f>IF(AND(VLOOKUP(BQ$1,main!$A$3:$H$102,7,FALSE)=main!$G$105,VLOOKUP(BQ$1,main!$A$3:$H$102,5,FALSE)-VLOOKUP($A223,main!$A$3:$H$102,6,FALSE)&gt;=main!$D$103+VLOOKUP(VLOOKUP(BQ$1,main!$A$3:$I$102,7,FALSE),main!$K$26:$Q$29,5,FALSE)),1,0)</f>
        <v>0</v>
      </c>
      <c r="BR223">
        <f>IF(AND(VLOOKUP(BR$1,main!$A$3:$H$102,7,FALSE)=main!$G$105,VLOOKUP(BR$1,main!$A$3:$H$102,5,FALSE)-VLOOKUP($A223,main!$A$3:$H$102,6,FALSE)&gt;=main!$D$103+VLOOKUP(VLOOKUP(BR$1,main!$A$3:$I$102,7,FALSE),main!$K$26:$Q$29,5,FALSE)),1,0)</f>
        <v>0</v>
      </c>
      <c r="BS223">
        <f>IF(AND(VLOOKUP(BS$1,main!$A$3:$H$102,7,FALSE)=main!$G$105,VLOOKUP(BS$1,main!$A$3:$H$102,5,FALSE)-VLOOKUP($A223,main!$A$3:$H$102,6,FALSE)&gt;=main!$D$103+VLOOKUP(VLOOKUP(BS$1,main!$A$3:$I$102,7,FALSE),main!$K$26:$Q$29,5,FALSE)),1,0)</f>
        <v>0</v>
      </c>
      <c r="BT223">
        <f>IF(AND(VLOOKUP(BT$1,main!$A$3:$H$102,7,FALSE)=main!$G$105,VLOOKUP(BT$1,main!$A$3:$H$102,5,FALSE)-VLOOKUP($A223,main!$A$3:$H$102,6,FALSE)&gt;=main!$D$103+VLOOKUP(VLOOKUP(BT$1,main!$A$3:$I$102,7,FALSE),main!$K$26:$Q$29,5,FALSE)),1,0)</f>
        <v>0</v>
      </c>
      <c r="BU223">
        <f>IF(AND(VLOOKUP(BU$1,main!$A$3:$H$102,7,FALSE)=main!$G$105,VLOOKUP(BU$1,main!$A$3:$H$102,5,FALSE)-VLOOKUP($A223,main!$A$3:$H$102,6,FALSE)&gt;=main!$D$103+VLOOKUP(VLOOKUP(BU$1,main!$A$3:$I$102,7,FALSE),main!$K$26:$Q$29,5,FALSE)),1,0)</f>
        <v>0</v>
      </c>
      <c r="BV223">
        <f>IF(AND(VLOOKUP(BV$1,main!$A$3:$H$102,7,FALSE)=main!$G$105,VLOOKUP(BV$1,main!$A$3:$H$102,5,FALSE)-VLOOKUP($A223,main!$A$3:$H$102,6,FALSE)&gt;=main!$D$103+VLOOKUP(VLOOKUP(BV$1,main!$A$3:$I$102,7,FALSE),main!$K$26:$Q$29,5,FALSE)),1,0)</f>
        <v>0</v>
      </c>
      <c r="BW223">
        <f>IF(AND(VLOOKUP(BW$1,main!$A$3:$H$102,7,FALSE)=main!$G$105,VLOOKUP(BW$1,main!$A$3:$H$102,5,FALSE)-VLOOKUP($A223,main!$A$3:$H$102,6,FALSE)&gt;=main!$D$103+VLOOKUP(VLOOKUP(BW$1,main!$A$3:$I$102,7,FALSE),main!$K$26:$Q$29,5,FALSE)),1,0)</f>
        <v>0</v>
      </c>
      <c r="BX223">
        <f>IF(AND(VLOOKUP(BX$1,main!$A$3:$H$102,7,FALSE)=main!$G$105,VLOOKUP(BX$1,main!$A$3:$H$102,5,FALSE)-VLOOKUP($A223,main!$A$3:$H$102,6,FALSE)&gt;=main!$D$103+VLOOKUP(VLOOKUP(BX$1,main!$A$3:$I$102,7,FALSE),main!$K$26:$Q$29,5,FALSE)),1,0)</f>
        <v>0</v>
      </c>
      <c r="BY223">
        <f>IF(AND(VLOOKUP(BY$1,main!$A$3:$H$102,7,FALSE)=main!$G$105,VLOOKUP(BY$1,main!$A$3:$H$102,5,FALSE)-VLOOKUP($A223,main!$A$3:$H$102,6,FALSE)&gt;=main!$D$103+VLOOKUP(VLOOKUP(BY$1,main!$A$3:$I$102,7,FALSE),main!$K$26:$Q$29,5,FALSE)),1,0)</f>
        <v>0</v>
      </c>
      <c r="BZ223">
        <f>IF(AND(VLOOKUP(BZ$1,main!$A$3:$H$102,7,FALSE)=main!$G$105,VLOOKUP(BZ$1,main!$A$3:$H$102,5,FALSE)-VLOOKUP($A223,main!$A$3:$H$102,6,FALSE)&gt;=main!$D$103+VLOOKUP(VLOOKUP(BZ$1,main!$A$3:$I$102,7,FALSE),main!$K$26:$Q$29,5,FALSE)),1,0)</f>
        <v>0</v>
      </c>
      <c r="CA223">
        <f>IF(AND(VLOOKUP(CA$1,main!$A$3:$H$102,7,FALSE)=main!$G$105,VLOOKUP(CA$1,main!$A$3:$H$102,5,FALSE)-VLOOKUP($A223,main!$A$3:$H$102,6,FALSE)&gt;=main!$D$103+VLOOKUP(VLOOKUP(CA$1,main!$A$3:$I$102,7,FALSE),main!$K$26:$Q$29,5,FALSE)),1,0)</f>
        <v>0</v>
      </c>
      <c r="CB223">
        <f>IF(AND(VLOOKUP(CB$1,main!$A$3:$H$102,7,FALSE)=main!$G$105,VLOOKUP(CB$1,main!$A$3:$H$102,5,FALSE)-VLOOKUP($A223,main!$A$3:$H$102,6,FALSE)&gt;=main!$D$103+VLOOKUP(VLOOKUP(CB$1,main!$A$3:$I$102,7,FALSE),main!$K$26:$Q$29,5,FALSE)),1,0)</f>
        <v>0</v>
      </c>
      <c r="CC223">
        <f>IF(AND(VLOOKUP(CC$1,main!$A$3:$H$102,7,FALSE)=main!$G$105,VLOOKUP(CC$1,main!$A$3:$H$102,5,FALSE)-VLOOKUP($A223,main!$A$3:$H$102,6,FALSE)&gt;=main!$D$103+VLOOKUP(VLOOKUP(CC$1,main!$A$3:$I$102,7,FALSE),main!$K$26:$Q$29,5,FALSE)),1,0)</f>
        <v>0</v>
      </c>
      <c r="CD223">
        <f>IF(AND(VLOOKUP(CD$1,main!$A$3:$H$102,7,FALSE)=main!$G$105,VLOOKUP(CD$1,main!$A$3:$H$102,5,FALSE)-VLOOKUP($A223,main!$A$3:$H$102,6,FALSE)&gt;=main!$D$103+VLOOKUP(VLOOKUP(CD$1,main!$A$3:$I$102,7,FALSE),main!$K$26:$Q$29,5,FALSE)),1,0)</f>
        <v>0</v>
      </c>
      <c r="CE223">
        <f>IF(AND(VLOOKUP(CE$1,main!$A$3:$H$102,7,FALSE)=main!$G$105,VLOOKUP(CE$1,main!$A$3:$H$102,5,FALSE)-VLOOKUP($A223,main!$A$3:$H$102,6,FALSE)&gt;=main!$D$103+VLOOKUP(VLOOKUP(CE$1,main!$A$3:$I$102,7,FALSE),main!$K$26:$Q$29,5,FALSE)),1,0)</f>
        <v>0</v>
      </c>
      <c r="CF223">
        <f>IF(AND(VLOOKUP(CF$1,main!$A$3:$H$102,7,FALSE)=main!$G$105,VLOOKUP(CF$1,main!$A$3:$H$102,5,FALSE)-VLOOKUP($A223,main!$A$3:$H$102,6,FALSE)&gt;=main!$D$103+VLOOKUP(VLOOKUP(CF$1,main!$A$3:$I$102,7,FALSE),main!$K$26:$Q$29,5,FALSE)),1,0)</f>
        <v>0</v>
      </c>
      <c r="CG223">
        <f>IF(AND(VLOOKUP(CG$1,main!$A$3:$H$102,7,FALSE)=main!$G$105,VLOOKUP(CG$1,main!$A$3:$H$102,5,FALSE)-VLOOKUP($A223,main!$A$3:$H$102,6,FALSE)&gt;=main!$D$103+VLOOKUP(VLOOKUP(CG$1,main!$A$3:$I$102,7,FALSE),main!$K$26:$Q$29,5,FALSE)),1,0)</f>
        <v>0</v>
      </c>
      <c r="CH223">
        <f>IF(AND(VLOOKUP(CH$1,main!$A$3:$H$102,7,FALSE)=main!$G$105,VLOOKUP(CH$1,main!$A$3:$H$102,5,FALSE)-VLOOKUP($A223,main!$A$3:$H$102,6,FALSE)&gt;=main!$D$103+VLOOKUP(VLOOKUP(CH$1,main!$A$3:$I$102,7,FALSE),main!$K$26:$Q$29,5,FALSE)),1,0)</f>
        <v>0</v>
      </c>
      <c r="CI223">
        <f>IF(AND(VLOOKUP(CI$1,main!$A$3:$H$102,7,FALSE)=main!$G$105,VLOOKUP(CI$1,main!$A$3:$H$102,5,FALSE)-VLOOKUP($A223,main!$A$3:$H$102,6,FALSE)&gt;=main!$D$103+VLOOKUP(VLOOKUP(CI$1,main!$A$3:$I$102,7,FALSE),main!$K$26:$Q$29,5,FALSE)),1,0)</f>
        <v>0</v>
      </c>
      <c r="CJ223">
        <f>IF(AND(VLOOKUP(CJ$1,main!$A$3:$H$102,7,FALSE)=main!$G$105,VLOOKUP(CJ$1,main!$A$3:$H$102,5,FALSE)-VLOOKUP($A223,main!$A$3:$H$102,6,FALSE)&gt;=main!$D$103+VLOOKUP(VLOOKUP(CJ$1,main!$A$3:$I$102,7,FALSE),main!$K$26:$Q$29,5,FALSE)),1,0)</f>
        <v>0</v>
      </c>
      <c r="CK223">
        <f>IF(AND(VLOOKUP(CK$1,main!$A$3:$H$102,7,FALSE)=main!$G$105,VLOOKUP(CK$1,main!$A$3:$H$102,5,FALSE)-VLOOKUP($A223,main!$A$3:$H$102,6,FALSE)&gt;=main!$D$103+VLOOKUP(VLOOKUP(CK$1,main!$A$3:$I$102,7,FALSE),main!$K$26:$Q$29,5,FALSE)),1,0)</f>
        <v>0</v>
      </c>
      <c r="CL223">
        <f>IF(AND(VLOOKUP(CL$1,main!$A$3:$H$102,7,FALSE)=main!$G$105,VLOOKUP(CL$1,main!$A$3:$H$102,5,FALSE)-VLOOKUP($A223,main!$A$3:$H$102,6,FALSE)&gt;=main!$D$103+VLOOKUP(VLOOKUP(CL$1,main!$A$3:$I$102,7,FALSE),main!$K$26:$Q$29,5,FALSE)),1,0)</f>
        <v>0</v>
      </c>
      <c r="CM223">
        <f>IF(AND(VLOOKUP(CM$1,main!$A$3:$H$102,7,FALSE)=main!$G$105,VLOOKUP(CM$1,main!$A$3:$H$102,5,FALSE)-VLOOKUP($A223,main!$A$3:$H$102,6,FALSE)&gt;=main!$D$103+VLOOKUP(VLOOKUP(CM$1,main!$A$3:$I$102,7,FALSE),main!$K$26:$Q$29,5,FALSE)),1,0)</f>
        <v>0</v>
      </c>
      <c r="CN223">
        <f>IF(AND(VLOOKUP(CN$1,main!$A$3:$H$102,7,FALSE)=main!$G$105,VLOOKUP(CN$1,main!$A$3:$H$102,5,FALSE)-VLOOKUP($A223,main!$A$3:$H$102,6,FALSE)&gt;=main!$D$103+VLOOKUP(VLOOKUP(CN$1,main!$A$3:$I$102,7,FALSE),main!$K$26:$Q$29,5,FALSE)),1,0)</f>
        <v>0</v>
      </c>
      <c r="CO223">
        <f>IF(AND(VLOOKUP(CO$1,main!$A$3:$H$102,7,FALSE)=main!$G$105,VLOOKUP(CO$1,main!$A$3:$H$102,5,FALSE)-VLOOKUP($A223,main!$A$3:$H$102,6,FALSE)&gt;=main!$D$103+VLOOKUP(VLOOKUP(CO$1,main!$A$3:$I$102,7,FALSE),main!$K$26:$Q$29,5,FALSE)),1,0)</f>
        <v>0</v>
      </c>
      <c r="CP223">
        <f>IF(AND(VLOOKUP(CP$1,main!$A$3:$H$102,7,FALSE)=main!$G$105,VLOOKUP(CP$1,main!$A$3:$H$102,5,FALSE)-VLOOKUP($A223,main!$A$3:$H$102,6,FALSE)&gt;=main!$D$103+VLOOKUP(VLOOKUP(CP$1,main!$A$3:$I$102,7,FALSE),main!$K$26:$Q$29,5,FALSE)),1,0)</f>
        <v>0</v>
      </c>
      <c r="CQ223">
        <f>IF(AND(VLOOKUP(CQ$1,main!$A$3:$H$102,7,FALSE)=main!$G$105,VLOOKUP(CQ$1,main!$A$3:$H$102,5,FALSE)-VLOOKUP($A223,main!$A$3:$H$102,6,FALSE)&gt;=main!$D$103+VLOOKUP(VLOOKUP(CQ$1,main!$A$3:$I$102,7,FALSE),main!$K$26:$Q$29,5,FALSE)),1,0)</f>
        <v>0</v>
      </c>
      <c r="CR223">
        <f>IF(AND(VLOOKUP(CR$1,main!$A$3:$H$102,7,FALSE)=main!$G$105,VLOOKUP(CR$1,main!$A$3:$H$102,5,FALSE)-VLOOKUP($A223,main!$A$3:$H$102,6,FALSE)&gt;=main!$D$103+VLOOKUP(VLOOKUP(CR$1,main!$A$3:$I$102,7,FALSE),main!$K$26:$Q$29,5,FALSE)),1,0)</f>
        <v>0</v>
      </c>
      <c r="CS223">
        <f>IF(AND(VLOOKUP(CS$1,main!$A$3:$H$102,7,FALSE)=main!$G$105,VLOOKUP(CS$1,main!$A$3:$H$102,5,FALSE)-VLOOKUP($A223,main!$A$3:$H$102,6,FALSE)&gt;=main!$D$103+VLOOKUP(VLOOKUP(CS$1,main!$A$3:$I$102,7,FALSE),main!$K$26:$Q$29,5,FALSE)),1,0)</f>
        <v>0</v>
      </c>
      <c r="CT223">
        <f>IF(AND(VLOOKUP(CT$1,main!$A$3:$H$102,7,FALSE)=main!$G$105,VLOOKUP(CT$1,main!$A$3:$H$102,5,FALSE)-VLOOKUP($A223,main!$A$3:$H$102,6,FALSE)&gt;=main!$D$103+VLOOKUP(VLOOKUP(CT$1,main!$A$3:$I$102,7,FALSE),main!$K$26:$Q$29,5,FALSE)),1,0)</f>
        <v>0</v>
      </c>
      <c r="CU223">
        <f>IF(AND(VLOOKUP(CU$1,main!$A$3:$H$102,7,FALSE)=main!$G$105,VLOOKUP(CU$1,main!$A$3:$H$102,5,FALSE)-VLOOKUP($A223,main!$A$3:$H$102,6,FALSE)&gt;=main!$D$103+VLOOKUP(VLOOKUP(CU$1,main!$A$3:$I$102,7,FALSE),main!$K$26:$Q$29,5,FALSE)),1,0)</f>
        <v>0</v>
      </c>
      <c r="CV223">
        <f>IF(AND(VLOOKUP(CV$1,main!$A$3:$H$102,7,FALSE)=main!$G$105,VLOOKUP(CV$1,main!$A$3:$H$102,5,FALSE)-VLOOKUP($A223,main!$A$3:$H$102,6,FALSE)&gt;=main!$D$103+VLOOKUP(VLOOKUP(CV$1,main!$A$3:$I$102,7,FALSE),main!$K$26:$Q$29,5,FALSE)),1,0)</f>
        <v>0</v>
      </c>
      <c r="CW223">
        <f>IF(AND(VLOOKUP(CW$1,main!$A$3:$H$102,7,FALSE)=main!$G$105,VLOOKUP(CW$1,main!$A$3:$H$102,5,FALSE)-VLOOKUP($A223,main!$A$3:$H$102,6,FALSE)&gt;=main!$D$103+VLOOKUP(VLOOKUP(CW$1,main!$A$3:$I$102,7,FALSE),main!$K$26:$Q$29,5,FALSE)),1,0)</f>
        <v>0</v>
      </c>
      <c r="CX223">
        <f>IF(AND(VLOOKUP(CX$1,main!$A$3:$H$102,7,FALSE)=main!$G$105,VLOOKUP(CX$1,main!$A$3:$H$102,5,FALSE)-VLOOKUP($A223,main!$A$3:$H$102,6,FALSE)&gt;=main!$D$103+VLOOKUP(VLOOKUP(CX$1,main!$A$3:$I$102,7,FALSE),main!$K$26:$Q$29,5,FALSE)),1,0)</f>
        <v>0</v>
      </c>
    </row>
    <row r="224" spans="1:102" x14ac:dyDescent="0.25">
      <c r="A224" s="1">
        <v>20</v>
      </c>
      <c r="B224">
        <v>0</v>
      </c>
      <c r="C224">
        <f>IF(AND(VLOOKUP(C$1,main!$A$3:$H$102,7,FALSE)=main!$G$105,VLOOKUP(C$1,main!$A$3:$H$102,5,FALSE)-VLOOKUP($A224,main!$A$3:$H$102,6,FALSE)&gt;=main!$D$103+VLOOKUP(VLOOKUP(C$1,main!$A$3:$I$102,7,FALSE),main!$K$26:$Q$29,5,FALSE)),1,0)</f>
        <v>0</v>
      </c>
      <c r="D224">
        <f>IF(AND(VLOOKUP(D$1,main!$A$3:$H$102,7,FALSE)=main!$G$105,VLOOKUP(D$1,main!$A$3:$H$102,5,FALSE)-VLOOKUP($A224,main!$A$3:$H$102,6,FALSE)&gt;=main!$D$103+VLOOKUP(VLOOKUP(D$1,main!$A$3:$I$102,7,FALSE),main!$K$26:$Q$29,5,FALSE)),1,0)</f>
        <v>0</v>
      </c>
      <c r="E224">
        <f>IF(AND(VLOOKUP(E$1,main!$A$3:$H$102,7,FALSE)=main!$G$105,VLOOKUP(E$1,main!$A$3:$H$102,5,FALSE)-VLOOKUP($A224,main!$A$3:$H$102,6,FALSE)&gt;=main!$D$103+VLOOKUP(VLOOKUP(E$1,main!$A$3:$I$102,7,FALSE),main!$K$26:$Q$29,5,FALSE)),1,0)</f>
        <v>0</v>
      </c>
      <c r="F224">
        <f>IF(AND(VLOOKUP(F$1,main!$A$3:$H$102,7,FALSE)=main!$G$105,VLOOKUP(F$1,main!$A$3:$H$102,5,FALSE)-VLOOKUP($A224,main!$A$3:$H$102,6,FALSE)&gt;=main!$D$103+VLOOKUP(VLOOKUP(F$1,main!$A$3:$I$102,7,FALSE),main!$K$26:$Q$29,5,FALSE)),1,0)</f>
        <v>0</v>
      </c>
      <c r="G224">
        <f>IF(AND(VLOOKUP(G$1,main!$A$3:$H$102,7,FALSE)=main!$G$105,VLOOKUP(G$1,main!$A$3:$H$102,5,FALSE)-VLOOKUP($A224,main!$A$3:$H$102,6,FALSE)&gt;=main!$D$103+VLOOKUP(VLOOKUP(G$1,main!$A$3:$I$102,7,FALSE),main!$K$26:$Q$29,5,FALSE)),1,0)</f>
        <v>0</v>
      </c>
      <c r="H224">
        <f>IF(AND(VLOOKUP(H$1,main!$A$3:$H$102,7,FALSE)=main!$G$105,VLOOKUP(H$1,main!$A$3:$H$102,5,FALSE)-VLOOKUP($A224,main!$A$3:$H$102,6,FALSE)&gt;=main!$D$103+VLOOKUP(VLOOKUP(H$1,main!$A$3:$I$102,7,FALSE),main!$K$26:$Q$29,5,FALSE)),1,0)</f>
        <v>0</v>
      </c>
      <c r="I224">
        <f>IF(AND(VLOOKUP(I$1,main!$A$3:$H$102,7,FALSE)=main!$G$105,VLOOKUP(I$1,main!$A$3:$H$102,5,FALSE)-VLOOKUP($A224,main!$A$3:$H$102,6,FALSE)&gt;=main!$D$103+VLOOKUP(VLOOKUP(I$1,main!$A$3:$I$102,7,FALSE),main!$K$26:$Q$29,5,FALSE)),1,0)</f>
        <v>0</v>
      </c>
      <c r="J224">
        <f>IF(AND(VLOOKUP(J$1,main!$A$3:$H$102,7,FALSE)=main!$G$105,VLOOKUP(J$1,main!$A$3:$H$102,5,FALSE)-VLOOKUP($A224,main!$A$3:$H$102,6,FALSE)&gt;=main!$D$103+VLOOKUP(VLOOKUP(J$1,main!$A$3:$I$102,7,FALSE),main!$K$26:$Q$29,5,FALSE)),1,0)</f>
        <v>0</v>
      </c>
      <c r="K224">
        <f>IF(AND(VLOOKUP(K$1,main!$A$3:$H$102,7,FALSE)=main!$G$105,VLOOKUP(K$1,main!$A$3:$H$102,5,FALSE)-VLOOKUP($A224,main!$A$3:$H$102,6,FALSE)&gt;=main!$D$103+VLOOKUP(VLOOKUP(K$1,main!$A$3:$I$102,7,FALSE),main!$K$26:$Q$29,5,FALSE)),1,0)</f>
        <v>0</v>
      </c>
      <c r="L224">
        <f>IF(AND(VLOOKUP(L$1,main!$A$3:$H$102,7,FALSE)=main!$G$105,VLOOKUP(L$1,main!$A$3:$H$102,5,FALSE)-VLOOKUP($A224,main!$A$3:$H$102,6,FALSE)&gt;=main!$D$103+VLOOKUP(VLOOKUP(L$1,main!$A$3:$I$102,7,FALSE),main!$K$26:$Q$29,5,FALSE)),1,0)</f>
        <v>0</v>
      </c>
      <c r="M224">
        <f>IF(AND(VLOOKUP(M$1,main!$A$3:$H$102,7,FALSE)=main!$G$105,VLOOKUP(M$1,main!$A$3:$H$102,5,FALSE)-VLOOKUP($A224,main!$A$3:$H$102,6,FALSE)&gt;=main!$D$103+VLOOKUP(VLOOKUP(M$1,main!$A$3:$I$102,7,FALSE),main!$K$26:$Q$29,5,FALSE)),1,0)</f>
        <v>0</v>
      </c>
      <c r="N224">
        <f>IF(AND(VLOOKUP(N$1,main!$A$3:$H$102,7,FALSE)=main!$G$105,VLOOKUP(N$1,main!$A$3:$H$102,5,FALSE)-VLOOKUP($A224,main!$A$3:$H$102,6,FALSE)&gt;=main!$D$103+VLOOKUP(VLOOKUP(N$1,main!$A$3:$I$102,7,FALSE),main!$K$26:$Q$29,5,FALSE)),1,0)</f>
        <v>0</v>
      </c>
      <c r="O224">
        <f>IF(AND(VLOOKUP(O$1,main!$A$3:$H$102,7,FALSE)=main!$G$105,VLOOKUP(O$1,main!$A$3:$H$102,5,FALSE)-VLOOKUP($A224,main!$A$3:$H$102,6,FALSE)&gt;=main!$D$103+VLOOKUP(VLOOKUP(O$1,main!$A$3:$I$102,7,FALSE),main!$K$26:$Q$29,5,FALSE)),1,0)</f>
        <v>0</v>
      </c>
      <c r="P224">
        <f>IF(AND(VLOOKUP(P$1,main!$A$3:$H$102,7,FALSE)=main!$G$105,VLOOKUP(P$1,main!$A$3:$H$102,5,FALSE)-VLOOKUP($A224,main!$A$3:$H$102,6,FALSE)&gt;=main!$D$103+VLOOKUP(VLOOKUP(P$1,main!$A$3:$I$102,7,FALSE),main!$K$26:$Q$29,5,FALSE)),1,0)</f>
        <v>0</v>
      </c>
      <c r="Q224">
        <f>IF(AND(VLOOKUP(Q$1,main!$A$3:$H$102,7,FALSE)=main!$G$105,VLOOKUP(Q$1,main!$A$3:$H$102,5,FALSE)-VLOOKUP($A224,main!$A$3:$H$102,6,FALSE)&gt;=main!$D$103+VLOOKUP(VLOOKUP(Q$1,main!$A$3:$I$102,7,FALSE),main!$K$26:$Q$29,5,FALSE)),1,0)</f>
        <v>0</v>
      </c>
      <c r="R224">
        <f>IF(AND(VLOOKUP(R$1,main!$A$3:$H$102,7,FALSE)=main!$G$105,VLOOKUP(R$1,main!$A$3:$H$102,5,FALSE)-VLOOKUP($A224,main!$A$3:$H$102,6,FALSE)&gt;=main!$D$103+VLOOKUP(VLOOKUP(R$1,main!$A$3:$I$102,7,FALSE),main!$K$26:$Q$29,5,FALSE)),1,0)</f>
        <v>0</v>
      </c>
      <c r="S224">
        <f>IF(AND(VLOOKUP(S$1,main!$A$3:$H$102,7,FALSE)=main!$G$105,VLOOKUP(S$1,main!$A$3:$H$102,5,FALSE)-VLOOKUP($A224,main!$A$3:$H$102,6,FALSE)&gt;=main!$D$103+VLOOKUP(VLOOKUP(S$1,main!$A$3:$I$102,7,FALSE),main!$K$26:$Q$29,5,FALSE)),1,0)</f>
        <v>0</v>
      </c>
      <c r="T224">
        <f>IF(AND(VLOOKUP(T$1,main!$A$3:$H$102,7,FALSE)=main!$G$105,VLOOKUP(T$1,main!$A$3:$H$102,5,FALSE)-VLOOKUP($A224,main!$A$3:$H$102,6,FALSE)&gt;=main!$D$103+VLOOKUP(VLOOKUP(T$1,main!$A$3:$I$102,7,FALSE),main!$K$26:$Q$29,5,FALSE)),1,0)</f>
        <v>0</v>
      </c>
      <c r="U224">
        <f>IF(AND(VLOOKUP(U$1,main!$A$3:$H$102,7,FALSE)=main!$G$105,VLOOKUP(U$1,main!$A$3:$H$102,5,FALSE)-VLOOKUP($A224,main!$A$3:$H$102,6,FALSE)&gt;=main!$D$103+VLOOKUP(VLOOKUP(U$1,main!$A$3:$I$102,7,FALSE),main!$K$26:$Q$29,5,FALSE)),1,0)</f>
        <v>0</v>
      </c>
      <c r="V224">
        <f>IF(AND(VLOOKUP(V$1,main!$A$3:$H$102,7,FALSE)=main!$G$105,VLOOKUP(V$1,main!$A$3:$H$102,5,FALSE)-VLOOKUP($A224,main!$A$3:$H$102,6,FALSE)&gt;=main!$D$103+VLOOKUP(VLOOKUP(V$1,main!$A$3:$I$102,7,FALSE),main!$K$26:$Q$29,5,FALSE)),1,0)</f>
        <v>0</v>
      </c>
      <c r="W224">
        <f>IF(AND(VLOOKUP(W$1,main!$A$3:$H$102,7,FALSE)=main!$G$105,VLOOKUP(W$1,main!$A$3:$H$102,5,FALSE)-VLOOKUP($A224,main!$A$3:$H$102,6,FALSE)&gt;=main!$D$103+VLOOKUP(VLOOKUP(W$1,main!$A$3:$I$102,7,FALSE),main!$K$26:$Q$29,5,FALSE)),1,0)</f>
        <v>0</v>
      </c>
      <c r="X224">
        <f>IF(AND(VLOOKUP(X$1,main!$A$3:$H$102,7,FALSE)=main!$G$105,VLOOKUP(X$1,main!$A$3:$H$102,5,FALSE)-VLOOKUP($A224,main!$A$3:$H$102,6,FALSE)&gt;=main!$D$103+VLOOKUP(VLOOKUP(X$1,main!$A$3:$I$102,7,FALSE),main!$K$26:$Q$29,5,FALSE)),1,0)</f>
        <v>0</v>
      </c>
      <c r="Y224">
        <f>IF(AND(VLOOKUP(Y$1,main!$A$3:$H$102,7,FALSE)=main!$G$105,VLOOKUP(Y$1,main!$A$3:$H$102,5,FALSE)-VLOOKUP($A224,main!$A$3:$H$102,6,FALSE)&gt;=main!$D$103+VLOOKUP(VLOOKUP(Y$1,main!$A$3:$I$102,7,FALSE),main!$K$26:$Q$29,5,FALSE)),1,0)</f>
        <v>0</v>
      </c>
      <c r="Z224">
        <f>IF(AND(VLOOKUP(Z$1,main!$A$3:$H$102,7,FALSE)=main!$G$105,VLOOKUP(Z$1,main!$A$3:$H$102,5,FALSE)-VLOOKUP($A224,main!$A$3:$H$102,6,FALSE)&gt;=main!$D$103+VLOOKUP(VLOOKUP(Z$1,main!$A$3:$I$102,7,FALSE),main!$K$26:$Q$29,5,FALSE)),1,0)</f>
        <v>0</v>
      </c>
      <c r="AA224">
        <f>IF(AND(VLOOKUP(AA$1,main!$A$3:$H$102,7,FALSE)=main!$G$105,VLOOKUP(AA$1,main!$A$3:$H$102,5,FALSE)-VLOOKUP($A224,main!$A$3:$H$102,6,FALSE)&gt;=main!$D$103+VLOOKUP(VLOOKUP(AA$1,main!$A$3:$I$102,7,FALSE),main!$K$26:$Q$29,5,FALSE)),1,0)</f>
        <v>0</v>
      </c>
      <c r="AB224">
        <f>IF(AND(VLOOKUP(AB$1,main!$A$3:$H$102,7,FALSE)=main!$G$105,VLOOKUP(AB$1,main!$A$3:$H$102,5,FALSE)-VLOOKUP($A224,main!$A$3:$H$102,6,FALSE)&gt;=main!$D$103+VLOOKUP(VLOOKUP(AB$1,main!$A$3:$I$102,7,FALSE),main!$K$26:$Q$29,5,FALSE)),1,0)</f>
        <v>0</v>
      </c>
      <c r="AC224">
        <f>IF(AND(VLOOKUP(AC$1,main!$A$3:$H$102,7,FALSE)=main!$G$105,VLOOKUP(AC$1,main!$A$3:$H$102,5,FALSE)-VLOOKUP($A224,main!$A$3:$H$102,6,FALSE)&gt;=main!$D$103+VLOOKUP(VLOOKUP(AC$1,main!$A$3:$I$102,7,FALSE),main!$K$26:$Q$29,5,FALSE)),1,0)</f>
        <v>0</v>
      </c>
      <c r="AD224">
        <f>IF(AND(VLOOKUP(AD$1,main!$A$3:$H$102,7,FALSE)=main!$G$105,VLOOKUP(AD$1,main!$A$3:$H$102,5,FALSE)-VLOOKUP($A224,main!$A$3:$H$102,6,FALSE)&gt;=main!$D$103+VLOOKUP(VLOOKUP(AD$1,main!$A$3:$I$102,7,FALSE),main!$K$26:$Q$29,5,FALSE)),1,0)</f>
        <v>0</v>
      </c>
      <c r="AE224">
        <f>IF(AND(VLOOKUP(AE$1,main!$A$3:$H$102,7,FALSE)=main!$G$105,VLOOKUP(AE$1,main!$A$3:$H$102,5,FALSE)-VLOOKUP($A224,main!$A$3:$H$102,6,FALSE)&gt;=main!$D$103+VLOOKUP(VLOOKUP(AE$1,main!$A$3:$I$102,7,FALSE),main!$K$26:$Q$29,5,FALSE)),1,0)</f>
        <v>0</v>
      </c>
      <c r="AF224">
        <f>IF(AND(VLOOKUP(AF$1,main!$A$3:$H$102,7,FALSE)=main!$G$105,VLOOKUP(AF$1,main!$A$3:$H$102,5,FALSE)-VLOOKUP($A224,main!$A$3:$H$102,6,FALSE)&gt;=main!$D$103+VLOOKUP(VLOOKUP(AF$1,main!$A$3:$I$102,7,FALSE),main!$K$26:$Q$29,5,FALSE)),1,0)</f>
        <v>0</v>
      </c>
      <c r="AG224">
        <f>IF(AND(VLOOKUP(AG$1,main!$A$3:$H$102,7,FALSE)=main!$G$105,VLOOKUP(AG$1,main!$A$3:$H$102,5,FALSE)-VLOOKUP($A224,main!$A$3:$H$102,6,FALSE)&gt;=main!$D$103+VLOOKUP(VLOOKUP(AG$1,main!$A$3:$I$102,7,FALSE),main!$K$26:$Q$29,5,FALSE)),1,0)</f>
        <v>0</v>
      </c>
      <c r="AH224">
        <f>IF(AND(VLOOKUP(AH$1,main!$A$3:$H$102,7,FALSE)=main!$G$105,VLOOKUP(AH$1,main!$A$3:$H$102,5,FALSE)-VLOOKUP($A224,main!$A$3:$H$102,6,FALSE)&gt;=main!$D$103+VLOOKUP(VLOOKUP(AH$1,main!$A$3:$I$102,7,FALSE),main!$K$26:$Q$29,5,FALSE)),1,0)</f>
        <v>0</v>
      </c>
      <c r="AI224">
        <f>IF(AND(VLOOKUP(AI$1,main!$A$3:$H$102,7,FALSE)=main!$G$105,VLOOKUP(AI$1,main!$A$3:$H$102,5,FALSE)-VLOOKUP($A224,main!$A$3:$H$102,6,FALSE)&gt;=main!$D$103+VLOOKUP(VLOOKUP(AI$1,main!$A$3:$I$102,7,FALSE),main!$K$26:$Q$29,5,FALSE)),1,0)</f>
        <v>0</v>
      </c>
      <c r="AJ224">
        <f>IF(AND(VLOOKUP(AJ$1,main!$A$3:$H$102,7,FALSE)=main!$G$105,VLOOKUP(AJ$1,main!$A$3:$H$102,5,FALSE)-VLOOKUP($A224,main!$A$3:$H$102,6,FALSE)&gt;=main!$D$103+VLOOKUP(VLOOKUP(AJ$1,main!$A$3:$I$102,7,FALSE),main!$K$26:$Q$29,5,FALSE)),1,0)</f>
        <v>0</v>
      </c>
      <c r="AK224">
        <f>IF(AND(VLOOKUP(AK$1,main!$A$3:$H$102,7,FALSE)=main!$G$105,VLOOKUP(AK$1,main!$A$3:$H$102,5,FALSE)-VLOOKUP($A224,main!$A$3:$H$102,6,FALSE)&gt;=main!$D$103+VLOOKUP(VLOOKUP(AK$1,main!$A$3:$I$102,7,FALSE),main!$K$26:$Q$29,5,FALSE)),1,0)</f>
        <v>0</v>
      </c>
      <c r="AL224">
        <f>IF(AND(VLOOKUP(AL$1,main!$A$3:$H$102,7,FALSE)=main!$G$105,VLOOKUP(AL$1,main!$A$3:$H$102,5,FALSE)-VLOOKUP($A224,main!$A$3:$H$102,6,FALSE)&gt;=main!$D$103+VLOOKUP(VLOOKUP(AL$1,main!$A$3:$I$102,7,FALSE),main!$K$26:$Q$29,5,FALSE)),1,0)</f>
        <v>0</v>
      </c>
      <c r="AM224">
        <f>IF(AND(VLOOKUP(AM$1,main!$A$3:$H$102,7,FALSE)=main!$G$105,VLOOKUP(AM$1,main!$A$3:$H$102,5,FALSE)-VLOOKUP($A224,main!$A$3:$H$102,6,FALSE)&gt;=main!$D$103+VLOOKUP(VLOOKUP(AM$1,main!$A$3:$I$102,7,FALSE),main!$K$26:$Q$29,5,FALSE)),1,0)</f>
        <v>0</v>
      </c>
      <c r="AN224">
        <f>IF(AND(VLOOKUP(AN$1,main!$A$3:$H$102,7,FALSE)=main!$G$105,VLOOKUP(AN$1,main!$A$3:$H$102,5,FALSE)-VLOOKUP($A224,main!$A$3:$H$102,6,FALSE)&gt;=main!$D$103+VLOOKUP(VLOOKUP(AN$1,main!$A$3:$I$102,7,FALSE),main!$K$26:$Q$29,5,FALSE)),1,0)</f>
        <v>0</v>
      </c>
      <c r="AO224">
        <f>IF(AND(VLOOKUP(AO$1,main!$A$3:$H$102,7,FALSE)=main!$G$105,VLOOKUP(AO$1,main!$A$3:$H$102,5,FALSE)-VLOOKUP($A224,main!$A$3:$H$102,6,FALSE)&gt;=main!$D$103+VLOOKUP(VLOOKUP(AO$1,main!$A$3:$I$102,7,FALSE),main!$K$26:$Q$29,5,FALSE)),1,0)</f>
        <v>0</v>
      </c>
      <c r="AP224">
        <f>IF(AND(VLOOKUP(AP$1,main!$A$3:$H$102,7,FALSE)=main!$G$105,VLOOKUP(AP$1,main!$A$3:$H$102,5,FALSE)-VLOOKUP($A224,main!$A$3:$H$102,6,FALSE)&gt;=main!$D$103+VLOOKUP(VLOOKUP(AP$1,main!$A$3:$I$102,7,FALSE),main!$K$26:$Q$29,5,FALSE)),1,0)</f>
        <v>0</v>
      </c>
      <c r="AQ224">
        <f>IF(AND(VLOOKUP(AQ$1,main!$A$3:$H$102,7,FALSE)=main!$G$105,VLOOKUP(AQ$1,main!$A$3:$H$102,5,FALSE)-VLOOKUP($A224,main!$A$3:$H$102,6,FALSE)&gt;=main!$D$103+VLOOKUP(VLOOKUP(AQ$1,main!$A$3:$I$102,7,FALSE),main!$K$26:$Q$29,5,FALSE)),1,0)</f>
        <v>0</v>
      </c>
      <c r="AR224">
        <f>IF(AND(VLOOKUP(AR$1,main!$A$3:$H$102,7,FALSE)=main!$G$105,VLOOKUP(AR$1,main!$A$3:$H$102,5,FALSE)-VLOOKUP($A224,main!$A$3:$H$102,6,FALSE)&gt;=main!$D$103+VLOOKUP(VLOOKUP(AR$1,main!$A$3:$I$102,7,FALSE),main!$K$26:$Q$29,5,FALSE)),1,0)</f>
        <v>0</v>
      </c>
      <c r="AS224">
        <f>IF(AND(VLOOKUP(AS$1,main!$A$3:$H$102,7,FALSE)=main!$G$105,VLOOKUP(AS$1,main!$A$3:$H$102,5,FALSE)-VLOOKUP($A224,main!$A$3:$H$102,6,FALSE)&gt;=main!$D$103+VLOOKUP(VLOOKUP(AS$1,main!$A$3:$I$102,7,FALSE),main!$K$26:$Q$29,5,FALSE)),1,0)</f>
        <v>0</v>
      </c>
      <c r="AT224">
        <f>IF(AND(VLOOKUP(AT$1,main!$A$3:$H$102,7,FALSE)=main!$G$105,VLOOKUP(AT$1,main!$A$3:$H$102,5,FALSE)-VLOOKUP($A224,main!$A$3:$H$102,6,FALSE)&gt;=main!$D$103+VLOOKUP(VLOOKUP(AT$1,main!$A$3:$I$102,7,FALSE),main!$K$26:$Q$29,5,FALSE)),1,0)</f>
        <v>0</v>
      </c>
      <c r="AU224">
        <f>IF(AND(VLOOKUP(AU$1,main!$A$3:$H$102,7,FALSE)=main!$G$105,VLOOKUP(AU$1,main!$A$3:$H$102,5,FALSE)-VLOOKUP($A224,main!$A$3:$H$102,6,FALSE)&gt;=main!$D$103+VLOOKUP(VLOOKUP(AU$1,main!$A$3:$I$102,7,FALSE),main!$K$26:$Q$29,5,FALSE)),1,0)</f>
        <v>0</v>
      </c>
      <c r="AV224">
        <f>IF(AND(VLOOKUP(AV$1,main!$A$3:$H$102,7,FALSE)=main!$G$105,VLOOKUP(AV$1,main!$A$3:$H$102,5,FALSE)-VLOOKUP($A224,main!$A$3:$H$102,6,FALSE)&gt;=main!$D$103+VLOOKUP(VLOOKUP(AV$1,main!$A$3:$I$102,7,FALSE),main!$K$26:$Q$29,5,FALSE)),1,0)</f>
        <v>0</v>
      </c>
      <c r="AW224">
        <f>IF(AND(VLOOKUP(AW$1,main!$A$3:$H$102,7,FALSE)=main!$G$105,VLOOKUP(AW$1,main!$A$3:$H$102,5,FALSE)-VLOOKUP($A224,main!$A$3:$H$102,6,FALSE)&gt;=main!$D$103+VLOOKUP(VLOOKUP(AW$1,main!$A$3:$I$102,7,FALSE),main!$K$26:$Q$29,5,FALSE)),1,0)</f>
        <v>0</v>
      </c>
      <c r="AX224">
        <f>IF(AND(VLOOKUP(AX$1,main!$A$3:$H$102,7,FALSE)=main!$G$105,VLOOKUP(AX$1,main!$A$3:$H$102,5,FALSE)-VLOOKUP($A224,main!$A$3:$H$102,6,FALSE)&gt;=main!$D$103+VLOOKUP(VLOOKUP(AX$1,main!$A$3:$I$102,7,FALSE),main!$K$26:$Q$29,5,FALSE)),1,0)</f>
        <v>0</v>
      </c>
      <c r="AY224">
        <f>IF(AND(VLOOKUP(AY$1,main!$A$3:$H$102,7,FALSE)=main!$G$105,VLOOKUP(AY$1,main!$A$3:$H$102,5,FALSE)-VLOOKUP($A224,main!$A$3:$H$102,6,FALSE)&gt;=main!$D$103+VLOOKUP(VLOOKUP(AY$1,main!$A$3:$I$102,7,FALSE),main!$K$26:$Q$29,5,FALSE)),1,0)</f>
        <v>0</v>
      </c>
      <c r="AZ224">
        <f>IF(AND(VLOOKUP(AZ$1,main!$A$3:$H$102,7,FALSE)=main!$G$105,VLOOKUP(AZ$1,main!$A$3:$H$102,5,FALSE)-VLOOKUP($A224,main!$A$3:$H$102,6,FALSE)&gt;=main!$D$103+VLOOKUP(VLOOKUP(AZ$1,main!$A$3:$I$102,7,FALSE),main!$K$26:$Q$29,5,FALSE)),1,0)</f>
        <v>0</v>
      </c>
      <c r="BA224">
        <f>IF(AND(VLOOKUP(BA$1,main!$A$3:$H$102,7,FALSE)=main!$G$105,VLOOKUP(BA$1,main!$A$3:$H$102,5,FALSE)-VLOOKUP($A224,main!$A$3:$H$102,6,FALSE)&gt;=main!$D$103+VLOOKUP(VLOOKUP(BA$1,main!$A$3:$I$102,7,FALSE),main!$K$26:$Q$29,5,FALSE)),1,0)</f>
        <v>0</v>
      </c>
      <c r="BB224">
        <f>IF(AND(VLOOKUP(BB$1,main!$A$3:$H$102,7,FALSE)=main!$G$105,VLOOKUP(BB$1,main!$A$3:$H$102,5,FALSE)-VLOOKUP($A224,main!$A$3:$H$102,6,FALSE)&gt;=main!$D$103+VLOOKUP(VLOOKUP(BB$1,main!$A$3:$I$102,7,FALSE),main!$K$26:$Q$29,5,FALSE)),1,0)</f>
        <v>0</v>
      </c>
      <c r="BC224">
        <f>IF(AND(VLOOKUP(BC$1,main!$A$3:$H$102,7,FALSE)=main!$G$105,VLOOKUP(BC$1,main!$A$3:$H$102,5,FALSE)-VLOOKUP($A224,main!$A$3:$H$102,6,FALSE)&gt;=main!$D$103+VLOOKUP(VLOOKUP(BC$1,main!$A$3:$I$102,7,FALSE),main!$K$26:$Q$29,5,FALSE)),1,0)</f>
        <v>0</v>
      </c>
      <c r="BD224">
        <f>IF(AND(VLOOKUP(BD$1,main!$A$3:$H$102,7,FALSE)=main!$G$105,VLOOKUP(BD$1,main!$A$3:$H$102,5,FALSE)-VLOOKUP($A224,main!$A$3:$H$102,6,FALSE)&gt;=main!$D$103+VLOOKUP(VLOOKUP(BD$1,main!$A$3:$I$102,7,FALSE),main!$K$26:$Q$29,5,FALSE)),1,0)</f>
        <v>0</v>
      </c>
      <c r="BE224">
        <f>IF(AND(VLOOKUP(BE$1,main!$A$3:$H$102,7,FALSE)=main!$G$105,VLOOKUP(BE$1,main!$A$3:$H$102,5,FALSE)-VLOOKUP($A224,main!$A$3:$H$102,6,FALSE)&gt;=main!$D$103+VLOOKUP(VLOOKUP(BE$1,main!$A$3:$I$102,7,FALSE),main!$K$26:$Q$29,5,FALSE)),1,0)</f>
        <v>0</v>
      </c>
      <c r="BF224">
        <f>IF(AND(VLOOKUP(BF$1,main!$A$3:$H$102,7,FALSE)=main!$G$105,VLOOKUP(BF$1,main!$A$3:$H$102,5,FALSE)-VLOOKUP($A224,main!$A$3:$H$102,6,FALSE)&gt;=main!$D$103+VLOOKUP(VLOOKUP(BF$1,main!$A$3:$I$102,7,FALSE),main!$K$26:$Q$29,5,FALSE)),1,0)</f>
        <v>0</v>
      </c>
      <c r="BG224">
        <f>IF(AND(VLOOKUP(BG$1,main!$A$3:$H$102,7,FALSE)=main!$G$105,VLOOKUP(BG$1,main!$A$3:$H$102,5,FALSE)-VLOOKUP($A224,main!$A$3:$H$102,6,FALSE)&gt;=main!$D$103+VLOOKUP(VLOOKUP(BG$1,main!$A$3:$I$102,7,FALSE),main!$K$26:$Q$29,5,FALSE)),1,0)</f>
        <v>0</v>
      </c>
      <c r="BH224">
        <f>IF(AND(VLOOKUP(BH$1,main!$A$3:$H$102,7,FALSE)=main!$G$105,VLOOKUP(BH$1,main!$A$3:$H$102,5,FALSE)-VLOOKUP($A224,main!$A$3:$H$102,6,FALSE)&gt;=main!$D$103+VLOOKUP(VLOOKUP(BH$1,main!$A$3:$I$102,7,FALSE),main!$K$26:$Q$29,5,FALSE)),1,0)</f>
        <v>0</v>
      </c>
      <c r="BI224">
        <f>IF(AND(VLOOKUP(BI$1,main!$A$3:$H$102,7,FALSE)=main!$G$105,VLOOKUP(BI$1,main!$A$3:$H$102,5,FALSE)-VLOOKUP($A224,main!$A$3:$H$102,6,FALSE)&gt;=main!$D$103+VLOOKUP(VLOOKUP(BI$1,main!$A$3:$I$102,7,FALSE),main!$K$26:$Q$29,5,FALSE)),1,0)</f>
        <v>0</v>
      </c>
      <c r="BJ224">
        <f>IF(AND(VLOOKUP(BJ$1,main!$A$3:$H$102,7,FALSE)=main!$G$105,VLOOKUP(BJ$1,main!$A$3:$H$102,5,FALSE)-VLOOKUP($A224,main!$A$3:$H$102,6,FALSE)&gt;=main!$D$103+VLOOKUP(VLOOKUP(BJ$1,main!$A$3:$I$102,7,FALSE),main!$K$26:$Q$29,5,FALSE)),1,0)</f>
        <v>0</v>
      </c>
      <c r="BK224">
        <f>IF(AND(VLOOKUP(BK$1,main!$A$3:$H$102,7,FALSE)=main!$G$105,VLOOKUP(BK$1,main!$A$3:$H$102,5,FALSE)-VLOOKUP($A224,main!$A$3:$H$102,6,FALSE)&gt;=main!$D$103+VLOOKUP(VLOOKUP(BK$1,main!$A$3:$I$102,7,FALSE),main!$K$26:$Q$29,5,FALSE)),1,0)</f>
        <v>0</v>
      </c>
      <c r="BL224">
        <f>IF(AND(VLOOKUP(BL$1,main!$A$3:$H$102,7,FALSE)=main!$G$105,VLOOKUP(BL$1,main!$A$3:$H$102,5,FALSE)-VLOOKUP($A224,main!$A$3:$H$102,6,FALSE)&gt;=main!$D$103+VLOOKUP(VLOOKUP(BL$1,main!$A$3:$I$102,7,FALSE),main!$K$26:$Q$29,5,FALSE)),1,0)</f>
        <v>0</v>
      </c>
      <c r="BM224">
        <f>IF(AND(VLOOKUP(BM$1,main!$A$3:$H$102,7,FALSE)=main!$G$105,VLOOKUP(BM$1,main!$A$3:$H$102,5,FALSE)-VLOOKUP($A224,main!$A$3:$H$102,6,FALSE)&gt;=main!$D$103+VLOOKUP(VLOOKUP(BM$1,main!$A$3:$I$102,7,FALSE),main!$K$26:$Q$29,5,FALSE)),1,0)</f>
        <v>0</v>
      </c>
      <c r="BN224">
        <f>IF(AND(VLOOKUP(BN$1,main!$A$3:$H$102,7,FALSE)=main!$G$105,VLOOKUP(BN$1,main!$A$3:$H$102,5,FALSE)-VLOOKUP($A224,main!$A$3:$H$102,6,FALSE)&gt;=main!$D$103+VLOOKUP(VLOOKUP(BN$1,main!$A$3:$I$102,7,FALSE),main!$K$26:$Q$29,5,FALSE)),1,0)</f>
        <v>0</v>
      </c>
      <c r="BO224">
        <f>IF(AND(VLOOKUP(BO$1,main!$A$3:$H$102,7,FALSE)=main!$G$105,VLOOKUP(BO$1,main!$A$3:$H$102,5,FALSE)-VLOOKUP($A224,main!$A$3:$H$102,6,FALSE)&gt;=main!$D$103+VLOOKUP(VLOOKUP(BO$1,main!$A$3:$I$102,7,FALSE),main!$K$26:$Q$29,5,FALSE)),1,0)</f>
        <v>0</v>
      </c>
      <c r="BP224">
        <f>IF(AND(VLOOKUP(BP$1,main!$A$3:$H$102,7,FALSE)=main!$G$105,VLOOKUP(BP$1,main!$A$3:$H$102,5,FALSE)-VLOOKUP($A224,main!$A$3:$H$102,6,FALSE)&gt;=main!$D$103+VLOOKUP(VLOOKUP(BP$1,main!$A$3:$I$102,7,FALSE),main!$K$26:$Q$29,5,FALSE)),1,0)</f>
        <v>0</v>
      </c>
      <c r="BQ224">
        <f>IF(AND(VLOOKUP(BQ$1,main!$A$3:$H$102,7,FALSE)=main!$G$105,VLOOKUP(BQ$1,main!$A$3:$H$102,5,FALSE)-VLOOKUP($A224,main!$A$3:$H$102,6,FALSE)&gt;=main!$D$103+VLOOKUP(VLOOKUP(BQ$1,main!$A$3:$I$102,7,FALSE),main!$K$26:$Q$29,5,FALSE)),1,0)</f>
        <v>0</v>
      </c>
      <c r="BR224">
        <f>IF(AND(VLOOKUP(BR$1,main!$A$3:$H$102,7,FALSE)=main!$G$105,VLOOKUP(BR$1,main!$A$3:$H$102,5,FALSE)-VLOOKUP($A224,main!$A$3:$H$102,6,FALSE)&gt;=main!$D$103+VLOOKUP(VLOOKUP(BR$1,main!$A$3:$I$102,7,FALSE),main!$K$26:$Q$29,5,FALSE)),1,0)</f>
        <v>0</v>
      </c>
      <c r="BS224">
        <f>IF(AND(VLOOKUP(BS$1,main!$A$3:$H$102,7,FALSE)=main!$G$105,VLOOKUP(BS$1,main!$A$3:$H$102,5,FALSE)-VLOOKUP($A224,main!$A$3:$H$102,6,FALSE)&gt;=main!$D$103+VLOOKUP(VLOOKUP(BS$1,main!$A$3:$I$102,7,FALSE),main!$K$26:$Q$29,5,FALSE)),1,0)</f>
        <v>0</v>
      </c>
      <c r="BT224">
        <f>IF(AND(VLOOKUP(BT$1,main!$A$3:$H$102,7,FALSE)=main!$G$105,VLOOKUP(BT$1,main!$A$3:$H$102,5,FALSE)-VLOOKUP($A224,main!$A$3:$H$102,6,FALSE)&gt;=main!$D$103+VLOOKUP(VLOOKUP(BT$1,main!$A$3:$I$102,7,FALSE),main!$K$26:$Q$29,5,FALSE)),1,0)</f>
        <v>0</v>
      </c>
      <c r="BU224">
        <f>IF(AND(VLOOKUP(BU$1,main!$A$3:$H$102,7,FALSE)=main!$G$105,VLOOKUP(BU$1,main!$A$3:$H$102,5,FALSE)-VLOOKUP($A224,main!$A$3:$H$102,6,FALSE)&gt;=main!$D$103+VLOOKUP(VLOOKUP(BU$1,main!$A$3:$I$102,7,FALSE),main!$K$26:$Q$29,5,FALSE)),1,0)</f>
        <v>0</v>
      </c>
      <c r="BV224">
        <f>IF(AND(VLOOKUP(BV$1,main!$A$3:$H$102,7,FALSE)=main!$G$105,VLOOKUP(BV$1,main!$A$3:$H$102,5,FALSE)-VLOOKUP($A224,main!$A$3:$H$102,6,FALSE)&gt;=main!$D$103+VLOOKUP(VLOOKUP(BV$1,main!$A$3:$I$102,7,FALSE),main!$K$26:$Q$29,5,FALSE)),1,0)</f>
        <v>0</v>
      </c>
      <c r="BW224">
        <f>IF(AND(VLOOKUP(BW$1,main!$A$3:$H$102,7,FALSE)=main!$G$105,VLOOKUP(BW$1,main!$A$3:$H$102,5,FALSE)-VLOOKUP($A224,main!$A$3:$H$102,6,FALSE)&gt;=main!$D$103+VLOOKUP(VLOOKUP(BW$1,main!$A$3:$I$102,7,FALSE),main!$K$26:$Q$29,5,FALSE)),1,0)</f>
        <v>0</v>
      </c>
      <c r="BX224">
        <f>IF(AND(VLOOKUP(BX$1,main!$A$3:$H$102,7,FALSE)=main!$G$105,VLOOKUP(BX$1,main!$A$3:$H$102,5,FALSE)-VLOOKUP($A224,main!$A$3:$H$102,6,FALSE)&gt;=main!$D$103+VLOOKUP(VLOOKUP(BX$1,main!$A$3:$I$102,7,FALSE),main!$K$26:$Q$29,5,FALSE)),1,0)</f>
        <v>0</v>
      </c>
      <c r="BY224">
        <f>IF(AND(VLOOKUP(BY$1,main!$A$3:$H$102,7,FALSE)=main!$G$105,VLOOKUP(BY$1,main!$A$3:$H$102,5,FALSE)-VLOOKUP($A224,main!$A$3:$H$102,6,FALSE)&gt;=main!$D$103+VLOOKUP(VLOOKUP(BY$1,main!$A$3:$I$102,7,FALSE),main!$K$26:$Q$29,5,FALSE)),1,0)</f>
        <v>0</v>
      </c>
      <c r="BZ224">
        <f>IF(AND(VLOOKUP(BZ$1,main!$A$3:$H$102,7,FALSE)=main!$G$105,VLOOKUP(BZ$1,main!$A$3:$H$102,5,FALSE)-VLOOKUP($A224,main!$A$3:$H$102,6,FALSE)&gt;=main!$D$103+VLOOKUP(VLOOKUP(BZ$1,main!$A$3:$I$102,7,FALSE),main!$K$26:$Q$29,5,FALSE)),1,0)</f>
        <v>0</v>
      </c>
      <c r="CA224">
        <f>IF(AND(VLOOKUP(CA$1,main!$A$3:$H$102,7,FALSE)=main!$G$105,VLOOKUP(CA$1,main!$A$3:$H$102,5,FALSE)-VLOOKUP($A224,main!$A$3:$H$102,6,FALSE)&gt;=main!$D$103+VLOOKUP(VLOOKUP(CA$1,main!$A$3:$I$102,7,FALSE),main!$K$26:$Q$29,5,FALSE)),1,0)</f>
        <v>0</v>
      </c>
      <c r="CB224">
        <f>IF(AND(VLOOKUP(CB$1,main!$A$3:$H$102,7,FALSE)=main!$G$105,VLOOKUP(CB$1,main!$A$3:$H$102,5,FALSE)-VLOOKUP($A224,main!$A$3:$H$102,6,FALSE)&gt;=main!$D$103+VLOOKUP(VLOOKUP(CB$1,main!$A$3:$I$102,7,FALSE),main!$K$26:$Q$29,5,FALSE)),1,0)</f>
        <v>0</v>
      </c>
      <c r="CC224">
        <f>IF(AND(VLOOKUP(CC$1,main!$A$3:$H$102,7,FALSE)=main!$G$105,VLOOKUP(CC$1,main!$A$3:$H$102,5,FALSE)-VLOOKUP($A224,main!$A$3:$H$102,6,FALSE)&gt;=main!$D$103+VLOOKUP(VLOOKUP(CC$1,main!$A$3:$I$102,7,FALSE),main!$K$26:$Q$29,5,FALSE)),1,0)</f>
        <v>0</v>
      </c>
      <c r="CD224">
        <f>IF(AND(VLOOKUP(CD$1,main!$A$3:$H$102,7,FALSE)=main!$G$105,VLOOKUP(CD$1,main!$A$3:$H$102,5,FALSE)-VLOOKUP($A224,main!$A$3:$H$102,6,FALSE)&gt;=main!$D$103+VLOOKUP(VLOOKUP(CD$1,main!$A$3:$I$102,7,FALSE),main!$K$26:$Q$29,5,FALSE)),1,0)</f>
        <v>0</v>
      </c>
      <c r="CE224">
        <f>IF(AND(VLOOKUP(CE$1,main!$A$3:$H$102,7,FALSE)=main!$G$105,VLOOKUP(CE$1,main!$A$3:$H$102,5,FALSE)-VLOOKUP($A224,main!$A$3:$H$102,6,FALSE)&gt;=main!$D$103+VLOOKUP(VLOOKUP(CE$1,main!$A$3:$I$102,7,FALSE),main!$K$26:$Q$29,5,FALSE)),1,0)</f>
        <v>0</v>
      </c>
      <c r="CF224">
        <f>IF(AND(VLOOKUP(CF$1,main!$A$3:$H$102,7,FALSE)=main!$G$105,VLOOKUP(CF$1,main!$A$3:$H$102,5,FALSE)-VLOOKUP($A224,main!$A$3:$H$102,6,FALSE)&gt;=main!$D$103+VLOOKUP(VLOOKUP(CF$1,main!$A$3:$I$102,7,FALSE),main!$K$26:$Q$29,5,FALSE)),1,0)</f>
        <v>0</v>
      </c>
      <c r="CG224">
        <f>IF(AND(VLOOKUP(CG$1,main!$A$3:$H$102,7,FALSE)=main!$G$105,VLOOKUP(CG$1,main!$A$3:$H$102,5,FALSE)-VLOOKUP($A224,main!$A$3:$H$102,6,FALSE)&gt;=main!$D$103+VLOOKUP(VLOOKUP(CG$1,main!$A$3:$I$102,7,FALSE),main!$K$26:$Q$29,5,FALSE)),1,0)</f>
        <v>0</v>
      </c>
      <c r="CH224">
        <f>IF(AND(VLOOKUP(CH$1,main!$A$3:$H$102,7,FALSE)=main!$G$105,VLOOKUP(CH$1,main!$A$3:$H$102,5,FALSE)-VLOOKUP($A224,main!$A$3:$H$102,6,FALSE)&gt;=main!$D$103+VLOOKUP(VLOOKUP(CH$1,main!$A$3:$I$102,7,FALSE),main!$K$26:$Q$29,5,FALSE)),1,0)</f>
        <v>0</v>
      </c>
      <c r="CI224">
        <f>IF(AND(VLOOKUP(CI$1,main!$A$3:$H$102,7,FALSE)=main!$G$105,VLOOKUP(CI$1,main!$A$3:$H$102,5,FALSE)-VLOOKUP($A224,main!$A$3:$H$102,6,FALSE)&gt;=main!$D$103+VLOOKUP(VLOOKUP(CI$1,main!$A$3:$I$102,7,FALSE),main!$K$26:$Q$29,5,FALSE)),1,0)</f>
        <v>0</v>
      </c>
      <c r="CJ224">
        <f>IF(AND(VLOOKUP(CJ$1,main!$A$3:$H$102,7,FALSE)=main!$G$105,VLOOKUP(CJ$1,main!$A$3:$H$102,5,FALSE)-VLOOKUP($A224,main!$A$3:$H$102,6,FALSE)&gt;=main!$D$103+VLOOKUP(VLOOKUP(CJ$1,main!$A$3:$I$102,7,FALSE),main!$K$26:$Q$29,5,FALSE)),1,0)</f>
        <v>0</v>
      </c>
      <c r="CK224">
        <f>IF(AND(VLOOKUP(CK$1,main!$A$3:$H$102,7,FALSE)=main!$G$105,VLOOKUP(CK$1,main!$A$3:$H$102,5,FALSE)-VLOOKUP($A224,main!$A$3:$H$102,6,FALSE)&gt;=main!$D$103+VLOOKUP(VLOOKUP(CK$1,main!$A$3:$I$102,7,FALSE),main!$K$26:$Q$29,5,FALSE)),1,0)</f>
        <v>0</v>
      </c>
      <c r="CL224">
        <f>IF(AND(VLOOKUP(CL$1,main!$A$3:$H$102,7,FALSE)=main!$G$105,VLOOKUP(CL$1,main!$A$3:$H$102,5,FALSE)-VLOOKUP($A224,main!$A$3:$H$102,6,FALSE)&gt;=main!$D$103+VLOOKUP(VLOOKUP(CL$1,main!$A$3:$I$102,7,FALSE),main!$K$26:$Q$29,5,FALSE)),1,0)</f>
        <v>0</v>
      </c>
      <c r="CM224">
        <f>IF(AND(VLOOKUP(CM$1,main!$A$3:$H$102,7,FALSE)=main!$G$105,VLOOKUP(CM$1,main!$A$3:$H$102,5,FALSE)-VLOOKUP($A224,main!$A$3:$H$102,6,FALSE)&gt;=main!$D$103+VLOOKUP(VLOOKUP(CM$1,main!$A$3:$I$102,7,FALSE),main!$K$26:$Q$29,5,FALSE)),1,0)</f>
        <v>0</v>
      </c>
      <c r="CN224">
        <f>IF(AND(VLOOKUP(CN$1,main!$A$3:$H$102,7,FALSE)=main!$G$105,VLOOKUP(CN$1,main!$A$3:$H$102,5,FALSE)-VLOOKUP($A224,main!$A$3:$H$102,6,FALSE)&gt;=main!$D$103+VLOOKUP(VLOOKUP(CN$1,main!$A$3:$I$102,7,FALSE),main!$K$26:$Q$29,5,FALSE)),1,0)</f>
        <v>0</v>
      </c>
      <c r="CO224">
        <f>IF(AND(VLOOKUP(CO$1,main!$A$3:$H$102,7,FALSE)=main!$G$105,VLOOKUP(CO$1,main!$A$3:$H$102,5,FALSE)-VLOOKUP($A224,main!$A$3:$H$102,6,FALSE)&gt;=main!$D$103+VLOOKUP(VLOOKUP(CO$1,main!$A$3:$I$102,7,FALSE),main!$K$26:$Q$29,5,FALSE)),1,0)</f>
        <v>0</v>
      </c>
      <c r="CP224">
        <f>IF(AND(VLOOKUP(CP$1,main!$A$3:$H$102,7,FALSE)=main!$G$105,VLOOKUP(CP$1,main!$A$3:$H$102,5,FALSE)-VLOOKUP($A224,main!$A$3:$H$102,6,FALSE)&gt;=main!$D$103+VLOOKUP(VLOOKUP(CP$1,main!$A$3:$I$102,7,FALSE),main!$K$26:$Q$29,5,FALSE)),1,0)</f>
        <v>0</v>
      </c>
      <c r="CQ224">
        <f>IF(AND(VLOOKUP(CQ$1,main!$A$3:$H$102,7,FALSE)=main!$G$105,VLOOKUP(CQ$1,main!$A$3:$H$102,5,FALSE)-VLOOKUP($A224,main!$A$3:$H$102,6,FALSE)&gt;=main!$D$103+VLOOKUP(VLOOKUP(CQ$1,main!$A$3:$I$102,7,FALSE),main!$K$26:$Q$29,5,FALSE)),1,0)</f>
        <v>0</v>
      </c>
      <c r="CR224">
        <f>IF(AND(VLOOKUP(CR$1,main!$A$3:$H$102,7,FALSE)=main!$G$105,VLOOKUP(CR$1,main!$A$3:$H$102,5,FALSE)-VLOOKUP($A224,main!$A$3:$H$102,6,FALSE)&gt;=main!$D$103+VLOOKUP(VLOOKUP(CR$1,main!$A$3:$I$102,7,FALSE),main!$K$26:$Q$29,5,FALSE)),1,0)</f>
        <v>0</v>
      </c>
      <c r="CS224">
        <f>IF(AND(VLOOKUP(CS$1,main!$A$3:$H$102,7,FALSE)=main!$G$105,VLOOKUP(CS$1,main!$A$3:$H$102,5,FALSE)-VLOOKUP($A224,main!$A$3:$H$102,6,FALSE)&gt;=main!$D$103+VLOOKUP(VLOOKUP(CS$1,main!$A$3:$I$102,7,FALSE),main!$K$26:$Q$29,5,FALSE)),1,0)</f>
        <v>0</v>
      </c>
      <c r="CT224">
        <f>IF(AND(VLOOKUP(CT$1,main!$A$3:$H$102,7,FALSE)=main!$G$105,VLOOKUP(CT$1,main!$A$3:$H$102,5,FALSE)-VLOOKUP($A224,main!$A$3:$H$102,6,FALSE)&gt;=main!$D$103+VLOOKUP(VLOOKUP(CT$1,main!$A$3:$I$102,7,FALSE),main!$K$26:$Q$29,5,FALSE)),1,0)</f>
        <v>0</v>
      </c>
      <c r="CU224">
        <f>IF(AND(VLOOKUP(CU$1,main!$A$3:$H$102,7,FALSE)=main!$G$105,VLOOKUP(CU$1,main!$A$3:$H$102,5,FALSE)-VLOOKUP($A224,main!$A$3:$H$102,6,FALSE)&gt;=main!$D$103+VLOOKUP(VLOOKUP(CU$1,main!$A$3:$I$102,7,FALSE),main!$K$26:$Q$29,5,FALSE)),1,0)</f>
        <v>0</v>
      </c>
      <c r="CV224">
        <f>IF(AND(VLOOKUP(CV$1,main!$A$3:$H$102,7,FALSE)=main!$G$105,VLOOKUP(CV$1,main!$A$3:$H$102,5,FALSE)-VLOOKUP($A224,main!$A$3:$H$102,6,FALSE)&gt;=main!$D$103+VLOOKUP(VLOOKUP(CV$1,main!$A$3:$I$102,7,FALSE),main!$K$26:$Q$29,5,FALSE)),1,0)</f>
        <v>0</v>
      </c>
      <c r="CW224">
        <f>IF(AND(VLOOKUP(CW$1,main!$A$3:$H$102,7,FALSE)=main!$G$105,VLOOKUP(CW$1,main!$A$3:$H$102,5,FALSE)-VLOOKUP($A224,main!$A$3:$H$102,6,FALSE)&gt;=main!$D$103+VLOOKUP(VLOOKUP(CW$1,main!$A$3:$I$102,7,FALSE),main!$K$26:$Q$29,5,FALSE)),1,0)</f>
        <v>0</v>
      </c>
      <c r="CX224">
        <f>IF(AND(VLOOKUP(CX$1,main!$A$3:$H$102,7,FALSE)=main!$G$105,VLOOKUP(CX$1,main!$A$3:$H$102,5,FALSE)-VLOOKUP($A224,main!$A$3:$H$102,6,FALSE)&gt;=main!$D$103+VLOOKUP(VLOOKUP(CX$1,main!$A$3:$I$102,7,FALSE),main!$K$26:$Q$29,5,FALSE)),1,0)</f>
        <v>0</v>
      </c>
    </row>
    <row r="225" spans="1:102" x14ac:dyDescent="0.25">
      <c r="A225" s="1">
        <v>21</v>
      </c>
      <c r="B225">
        <v>0</v>
      </c>
      <c r="C225">
        <f>IF(AND(VLOOKUP(C$1,main!$A$3:$H$102,7,FALSE)=main!$G$105,VLOOKUP(C$1,main!$A$3:$H$102,5,FALSE)-VLOOKUP($A225,main!$A$3:$H$102,6,FALSE)&gt;=main!$D$103+VLOOKUP(VLOOKUP(C$1,main!$A$3:$I$102,7,FALSE),main!$K$26:$Q$29,5,FALSE)),1,0)</f>
        <v>0</v>
      </c>
      <c r="D225">
        <f>IF(AND(VLOOKUP(D$1,main!$A$3:$H$102,7,FALSE)=main!$G$105,VLOOKUP(D$1,main!$A$3:$H$102,5,FALSE)-VLOOKUP($A225,main!$A$3:$H$102,6,FALSE)&gt;=main!$D$103+VLOOKUP(VLOOKUP(D$1,main!$A$3:$I$102,7,FALSE),main!$K$26:$Q$29,5,FALSE)),1,0)</f>
        <v>0</v>
      </c>
      <c r="E225">
        <f>IF(AND(VLOOKUP(E$1,main!$A$3:$H$102,7,FALSE)=main!$G$105,VLOOKUP(E$1,main!$A$3:$H$102,5,FALSE)-VLOOKUP($A225,main!$A$3:$H$102,6,FALSE)&gt;=main!$D$103+VLOOKUP(VLOOKUP(E$1,main!$A$3:$I$102,7,FALSE),main!$K$26:$Q$29,5,FALSE)),1,0)</f>
        <v>0</v>
      </c>
      <c r="F225">
        <f>IF(AND(VLOOKUP(F$1,main!$A$3:$H$102,7,FALSE)=main!$G$105,VLOOKUP(F$1,main!$A$3:$H$102,5,FALSE)-VLOOKUP($A225,main!$A$3:$H$102,6,FALSE)&gt;=main!$D$103+VLOOKUP(VLOOKUP(F$1,main!$A$3:$I$102,7,FALSE),main!$K$26:$Q$29,5,FALSE)),1,0)</f>
        <v>0</v>
      </c>
      <c r="G225">
        <f>IF(AND(VLOOKUP(G$1,main!$A$3:$H$102,7,FALSE)=main!$G$105,VLOOKUP(G$1,main!$A$3:$H$102,5,FALSE)-VLOOKUP($A225,main!$A$3:$H$102,6,FALSE)&gt;=main!$D$103+VLOOKUP(VLOOKUP(G$1,main!$A$3:$I$102,7,FALSE),main!$K$26:$Q$29,5,FALSE)),1,0)</f>
        <v>0</v>
      </c>
      <c r="H225">
        <f>IF(AND(VLOOKUP(H$1,main!$A$3:$H$102,7,FALSE)=main!$G$105,VLOOKUP(H$1,main!$A$3:$H$102,5,FALSE)-VLOOKUP($A225,main!$A$3:$H$102,6,FALSE)&gt;=main!$D$103+VLOOKUP(VLOOKUP(H$1,main!$A$3:$I$102,7,FALSE),main!$K$26:$Q$29,5,FALSE)),1,0)</f>
        <v>0</v>
      </c>
      <c r="I225">
        <f>IF(AND(VLOOKUP(I$1,main!$A$3:$H$102,7,FALSE)=main!$G$105,VLOOKUP(I$1,main!$A$3:$H$102,5,FALSE)-VLOOKUP($A225,main!$A$3:$H$102,6,FALSE)&gt;=main!$D$103+VLOOKUP(VLOOKUP(I$1,main!$A$3:$I$102,7,FALSE),main!$K$26:$Q$29,5,FALSE)),1,0)</f>
        <v>0</v>
      </c>
      <c r="J225">
        <f>IF(AND(VLOOKUP(J$1,main!$A$3:$H$102,7,FALSE)=main!$G$105,VLOOKUP(J$1,main!$A$3:$H$102,5,FALSE)-VLOOKUP($A225,main!$A$3:$H$102,6,FALSE)&gt;=main!$D$103+VLOOKUP(VLOOKUP(J$1,main!$A$3:$I$102,7,FALSE),main!$K$26:$Q$29,5,FALSE)),1,0)</f>
        <v>0</v>
      </c>
      <c r="K225">
        <f>IF(AND(VLOOKUP(K$1,main!$A$3:$H$102,7,FALSE)=main!$G$105,VLOOKUP(K$1,main!$A$3:$H$102,5,FALSE)-VLOOKUP($A225,main!$A$3:$H$102,6,FALSE)&gt;=main!$D$103+VLOOKUP(VLOOKUP(K$1,main!$A$3:$I$102,7,FALSE),main!$K$26:$Q$29,5,FALSE)),1,0)</f>
        <v>0</v>
      </c>
      <c r="L225">
        <f>IF(AND(VLOOKUP(L$1,main!$A$3:$H$102,7,FALSE)=main!$G$105,VLOOKUP(L$1,main!$A$3:$H$102,5,FALSE)-VLOOKUP($A225,main!$A$3:$H$102,6,FALSE)&gt;=main!$D$103+VLOOKUP(VLOOKUP(L$1,main!$A$3:$I$102,7,FALSE),main!$K$26:$Q$29,5,FALSE)),1,0)</f>
        <v>0</v>
      </c>
      <c r="M225">
        <f>IF(AND(VLOOKUP(M$1,main!$A$3:$H$102,7,FALSE)=main!$G$105,VLOOKUP(M$1,main!$A$3:$H$102,5,FALSE)-VLOOKUP($A225,main!$A$3:$H$102,6,FALSE)&gt;=main!$D$103+VLOOKUP(VLOOKUP(M$1,main!$A$3:$I$102,7,FALSE),main!$K$26:$Q$29,5,FALSE)),1,0)</f>
        <v>0</v>
      </c>
      <c r="N225">
        <f>IF(AND(VLOOKUP(N$1,main!$A$3:$H$102,7,FALSE)=main!$G$105,VLOOKUP(N$1,main!$A$3:$H$102,5,FALSE)-VLOOKUP($A225,main!$A$3:$H$102,6,FALSE)&gt;=main!$D$103+VLOOKUP(VLOOKUP(N$1,main!$A$3:$I$102,7,FALSE),main!$K$26:$Q$29,5,FALSE)),1,0)</f>
        <v>0</v>
      </c>
      <c r="O225">
        <f>IF(AND(VLOOKUP(O$1,main!$A$3:$H$102,7,FALSE)=main!$G$105,VLOOKUP(O$1,main!$A$3:$H$102,5,FALSE)-VLOOKUP($A225,main!$A$3:$H$102,6,FALSE)&gt;=main!$D$103+VLOOKUP(VLOOKUP(O$1,main!$A$3:$I$102,7,FALSE),main!$K$26:$Q$29,5,FALSE)),1,0)</f>
        <v>0</v>
      </c>
      <c r="P225">
        <f>IF(AND(VLOOKUP(P$1,main!$A$3:$H$102,7,FALSE)=main!$G$105,VLOOKUP(P$1,main!$A$3:$H$102,5,FALSE)-VLOOKUP($A225,main!$A$3:$H$102,6,FALSE)&gt;=main!$D$103+VLOOKUP(VLOOKUP(P$1,main!$A$3:$I$102,7,FALSE),main!$K$26:$Q$29,5,FALSE)),1,0)</f>
        <v>0</v>
      </c>
      <c r="Q225">
        <f>IF(AND(VLOOKUP(Q$1,main!$A$3:$H$102,7,FALSE)=main!$G$105,VLOOKUP(Q$1,main!$A$3:$H$102,5,FALSE)-VLOOKUP($A225,main!$A$3:$H$102,6,FALSE)&gt;=main!$D$103+VLOOKUP(VLOOKUP(Q$1,main!$A$3:$I$102,7,FALSE),main!$K$26:$Q$29,5,FALSE)),1,0)</f>
        <v>0</v>
      </c>
      <c r="R225">
        <f>IF(AND(VLOOKUP(R$1,main!$A$3:$H$102,7,FALSE)=main!$G$105,VLOOKUP(R$1,main!$A$3:$H$102,5,FALSE)-VLOOKUP($A225,main!$A$3:$H$102,6,FALSE)&gt;=main!$D$103+VLOOKUP(VLOOKUP(R$1,main!$A$3:$I$102,7,FALSE),main!$K$26:$Q$29,5,FALSE)),1,0)</f>
        <v>0</v>
      </c>
      <c r="S225">
        <f>IF(AND(VLOOKUP(S$1,main!$A$3:$H$102,7,FALSE)=main!$G$105,VLOOKUP(S$1,main!$A$3:$H$102,5,FALSE)-VLOOKUP($A225,main!$A$3:$H$102,6,FALSE)&gt;=main!$D$103+VLOOKUP(VLOOKUP(S$1,main!$A$3:$I$102,7,FALSE),main!$K$26:$Q$29,5,FALSE)),1,0)</f>
        <v>0</v>
      </c>
      <c r="T225">
        <f>IF(AND(VLOOKUP(T$1,main!$A$3:$H$102,7,FALSE)=main!$G$105,VLOOKUP(T$1,main!$A$3:$H$102,5,FALSE)-VLOOKUP($A225,main!$A$3:$H$102,6,FALSE)&gt;=main!$D$103+VLOOKUP(VLOOKUP(T$1,main!$A$3:$I$102,7,FALSE),main!$K$26:$Q$29,5,FALSE)),1,0)</f>
        <v>0</v>
      </c>
      <c r="U225">
        <f>IF(AND(VLOOKUP(U$1,main!$A$3:$H$102,7,FALSE)=main!$G$105,VLOOKUP(U$1,main!$A$3:$H$102,5,FALSE)-VLOOKUP($A225,main!$A$3:$H$102,6,FALSE)&gt;=main!$D$103+VLOOKUP(VLOOKUP(U$1,main!$A$3:$I$102,7,FALSE),main!$K$26:$Q$29,5,FALSE)),1,0)</f>
        <v>0</v>
      </c>
      <c r="V225">
        <f>IF(AND(VLOOKUP(V$1,main!$A$3:$H$102,7,FALSE)=main!$G$105,VLOOKUP(V$1,main!$A$3:$H$102,5,FALSE)-VLOOKUP($A225,main!$A$3:$H$102,6,FALSE)&gt;=main!$D$103+VLOOKUP(VLOOKUP(V$1,main!$A$3:$I$102,7,FALSE),main!$K$26:$Q$29,5,FALSE)),1,0)</f>
        <v>0</v>
      </c>
      <c r="W225">
        <f>IF(AND(VLOOKUP(W$1,main!$A$3:$H$102,7,FALSE)=main!$G$105,VLOOKUP(W$1,main!$A$3:$H$102,5,FALSE)-VLOOKUP($A225,main!$A$3:$H$102,6,FALSE)&gt;=main!$D$103+VLOOKUP(VLOOKUP(W$1,main!$A$3:$I$102,7,FALSE),main!$K$26:$Q$29,5,FALSE)),1,0)</f>
        <v>0</v>
      </c>
      <c r="X225">
        <f>IF(AND(VLOOKUP(X$1,main!$A$3:$H$102,7,FALSE)=main!$G$105,VLOOKUP(X$1,main!$A$3:$H$102,5,FALSE)-VLOOKUP($A225,main!$A$3:$H$102,6,FALSE)&gt;=main!$D$103+VLOOKUP(VLOOKUP(X$1,main!$A$3:$I$102,7,FALSE),main!$K$26:$Q$29,5,FALSE)),1,0)</f>
        <v>0</v>
      </c>
      <c r="Y225">
        <f>IF(AND(VLOOKUP(Y$1,main!$A$3:$H$102,7,FALSE)=main!$G$105,VLOOKUP(Y$1,main!$A$3:$H$102,5,FALSE)-VLOOKUP($A225,main!$A$3:$H$102,6,FALSE)&gt;=main!$D$103+VLOOKUP(VLOOKUP(Y$1,main!$A$3:$I$102,7,FALSE),main!$K$26:$Q$29,5,FALSE)),1,0)</f>
        <v>0</v>
      </c>
      <c r="Z225">
        <f>IF(AND(VLOOKUP(Z$1,main!$A$3:$H$102,7,FALSE)=main!$G$105,VLOOKUP(Z$1,main!$A$3:$H$102,5,FALSE)-VLOOKUP($A225,main!$A$3:$H$102,6,FALSE)&gt;=main!$D$103+VLOOKUP(VLOOKUP(Z$1,main!$A$3:$I$102,7,FALSE),main!$K$26:$Q$29,5,FALSE)),1,0)</f>
        <v>0</v>
      </c>
      <c r="AA225">
        <f>IF(AND(VLOOKUP(AA$1,main!$A$3:$H$102,7,FALSE)=main!$G$105,VLOOKUP(AA$1,main!$A$3:$H$102,5,FALSE)-VLOOKUP($A225,main!$A$3:$H$102,6,FALSE)&gt;=main!$D$103+VLOOKUP(VLOOKUP(AA$1,main!$A$3:$I$102,7,FALSE),main!$K$26:$Q$29,5,FALSE)),1,0)</f>
        <v>0</v>
      </c>
      <c r="AB225">
        <f>IF(AND(VLOOKUP(AB$1,main!$A$3:$H$102,7,FALSE)=main!$G$105,VLOOKUP(AB$1,main!$A$3:$H$102,5,FALSE)-VLOOKUP($A225,main!$A$3:$H$102,6,FALSE)&gt;=main!$D$103+VLOOKUP(VLOOKUP(AB$1,main!$A$3:$I$102,7,FALSE),main!$K$26:$Q$29,5,FALSE)),1,0)</f>
        <v>0</v>
      </c>
      <c r="AC225">
        <f>IF(AND(VLOOKUP(AC$1,main!$A$3:$H$102,7,FALSE)=main!$G$105,VLOOKUP(AC$1,main!$A$3:$H$102,5,FALSE)-VLOOKUP($A225,main!$A$3:$H$102,6,FALSE)&gt;=main!$D$103+VLOOKUP(VLOOKUP(AC$1,main!$A$3:$I$102,7,FALSE),main!$K$26:$Q$29,5,FALSE)),1,0)</f>
        <v>0</v>
      </c>
      <c r="AD225">
        <f>IF(AND(VLOOKUP(AD$1,main!$A$3:$H$102,7,FALSE)=main!$G$105,VLOOKUP(AD$1,main!$A$3:$H$102,5,FALSE)-VLOOKUP($A225,main!$A$3:$H$102,6,FALSE)&gt;=main!$D$103+VLOOKUP(VLOOKUP(AD$1,main!$A$3:$I$102,7,FALSE),main!$K$26:$Q$29,5,FALSE)),1,0)</f>
        <v>0</v>
      </c>
      <c r="AE225">
        <f>IF(AND(VLOOKUP(AE$1,main!$A$3:$H$102,7,FALSE)=main!$G$105,VLOOKUP(AE$1,main!$A$3:$H$102,5,FALSE)-VLOOKUP($A225,main!$A$3:$H$102,6,FALSE)&gt;=main!$D$103+VLOOKUP(VLOOKUP(AE$1,main!$A$3:$I$102,7,FALSE),main!$K$26:$Q$29,5,FALSE)),1,0)</f>
        <v>0</v>
      </c>
      <c r="AF225">
        <f>IF(AND(VLOOKUP(AF$1,main!$A$3:$H$102,7,FALSE)=main!$G$105,VLOOKUP(AF$1,main!$A$3:$H$102,5,FALSE)-VLOOKUP($A225,main!$A$3:$H$102,6,FALSE)&gt;=main!$D$103+VLOOKUP(VLOOKUP(AF$1,main!$A$3:$I$102,7,FALSE),main!$K$26:$Q$29,5,FALSE)),1,0)</f>
        <v>0</v>
      </c>
      <c r="AG225">
        <f>IF(AND(VLOOKUP(AG$1,main!$A$3:$H$102,7,FALSE)=main!$G$105,VLOOKUP(AG$1,main!$A$3:$H$102,5,FALSE)-VLOOKUP($A225,main!$A$3:$H$102,6,FALSE)&gt;=main!$D$103+VLOOKUP(VLOOKUP(AG$1,main!$A$3:$I$102,7,FALSE),main!$K$26:$Q$29,5,FALSE)),1,0)</f>
        <v>0</v>
      </c>
      <c r="AH225">
        <f>IF(AND(VLOOKUP(AH$1,main!$A$3:$H$102,7,FALSE)=main!$G$105,VLOOKUP(AH$1,main!$A$3:$H$102,5,FALSE)-VLOOKUP($A225,main!$A$3:$H$102,6,FALSE)&gt;=main!$D$103+VLOOKUP(VLOOKUP(AH$1,main!$A$3:$I$102,7,FALSE),main!$K$26:$Q$29,5,FALSE)),1,0)</f>
        <v>0</v>
      </c>
      <c r="AI225">
        <f>IF(AND(VLOOKUP(AI$1,main!$A$3:$H$102,7,FALSE)=main!$G$105,VLOOKUP(AI$1,main!$A$3:$H$102,5,FALSE)-VLOOKUP($A225,main!$A$3:$H$102,6,FALSE)&gt;=main!$D$103+VLOOKUP(VLOOKUP(AI$1,main!$A$3:$I$102,7,FALSE),main!$K$26:$Q$29,5,FALSE)),1,0)</f>
        <v>0</v>
      </c>
      <c r="AJ225">
        <f>IF(AND(VLOOKUP(AJ$1,main!$A$3:$H$102,7,FALSE)=main!$G$105,VLOOKUP(AJ$1,main!$A$3:$H$102,5,FALSE)-VLOOKUP($A225,main!$A$3:$H$102,6,FALSE)&gt;=main!$D$103+VLOOKUP(VLOOKUP(AJ$1,main!$A$3:$I$102,7,FALSE),main!$K$26:$Q$29,5,FALSE)),1,0)</f>
        <v>1</v>
      </c>
      <c r="AK225">
        <f>IF(AND(VLOOKUP(AK$1,main!$A$3:$H$102,7,FALSE)=main!$G$105,VLOOKUP(AK$1,main!$A$3:$H$102,5,FALSE)-VLOOKUP($A225,main!$A$3:$H$102,6,FALSE)&gt;=main!$D$103+VLOOKUP(VLOOKUP(AK$1,main!$A$3:$I$102,7,FALSE),main!$K$26:$Q$29,5,FALSE)),1,0)</f>
        <v>1</v>
      </c>
      <c r="AL225">
        <f>IF(AND(VLOOKUP(AL$1,main!$A$3:$H$102,7,FALSE)=main!$G$105,VLOOKUP(AL$1,main!$A$3:$H$102,5,FALSE)-VLOOKUP($A225,main!$A$3:$H$102,6,FALSE)&gt;=main!$D$103+VLOOKUP(VLOOKUP(AL$1,main!$A$3:$I$102,7,FALSE),main!$K$26:$Q$29,5,FALSE)),1,0)</f>
        <v>1</v>
      </c>
      <c r="AM225">
        <f>IF(AND(VLOOKUP(AM$1,main!$A$3:$H$102,7,FALSE)=main!$G$105,VLOOKUP(AM$1,main!$A$3:$H$102,5,FALSE)-VLOOKUP($A225,main!$A$3:$H$102,6,FALSE)&gt;=main!$D$103+VLOOKUP(VLOOKUP(AM$1,main!$A$3:$I$102,7,FALSE),main!$K$26:$Q$29,5,FALSE)),1,0)</f>
        <v>1</v>
      </c>
      <c r="AN225">
        <f>IF(AND(VLOOKUP(AN$1,main!$A$3:$H$102,7,FALSE)=main!$G$105,VLOOKUP(AN$1,main!$A$3:$H$102,5,FALSE)-VLOOKUP($A225,main!$A$3:$H$102,6,FALSE)&gt;=main!$D$103+VLOOKUP(VLOOKUP(AN$1,main!$A$3:$I$102,7,FALSE),main!$K$26:$Q$29,5,FALSE)),1,0)</f>
        <v>1</v>
      </c>
      <c r="AO225">
        <f>IF(AND(VLOOKUP(AO$1,main!$A$3:$H$102,7,FALSE)=main!$G$105,VLOOKUP(AO$1,main!$A$3:$H$102,5,FALSE)-VLOOKUP($A225,main!$A$3:$H$102,6,FALSE)&gt;=main!$D$103+VLOOKUP(VLOOKUP(AO$1,main!$A$3:$I$102,7,FALSE),main!$K$26:$Q$29,5,FALSE)),1,0)</f>
        <v>0</v>
      </c>
      <c r="AP225">
        <f>IF(AND(VLOOKUP(AP$1,main!$A$3:$H$102,7,FALSE)=main!$G$105,VLOOKUP(AP$1,main!$A$3:$H$102,5,FALSE)-VLOOKUP($A225,main!$A$3:$H$102,6,FALSE)&gt;=main!$D$103+VLOOKUP(VLOOKUP(AP$1,main!$A$3:$I$102,7,FALSE),main!$K$26:$Q$29,5,FALSE)),1,0)</f>
        <v>1</v>
      </c>
      <c r="AQ225">
        <f>IF(AND(VLOOKUP(AQ$1,main!$A$3:$H$102,7,FALSE)=main!$G$105,VLOOKUP(AQ$1,main!$A$3:$H$102,5,FALSE)-VLOOKUP($A225,main!$A$3:$H$102,6,FALSE)&gt;=main!$D$103+VLOOKUP(VLOOKUP(AQ$1,main!$A$3:$I$102,7,FALSE),main!$K$26:$Q$29,5,FALSE)),1,0)</f>
        <v>0</v>
      </c>
      <c r="AR225">
        <f>IF(AND(VLOOKUP(AR$1,main!$A$3:$H$102,7,FALSE)=main!$G$105,VLOOKUP(AR$1,main!$A$3:$H$102,5,FALSE)-VLOOKUP($A225,main!$A$3:$H$102,6,FALSE)&gt;=main!$D$103+VLOOKUP(VLOOKUP(AR$1,main!$A$3:$I$102,7,FALSE),main!$K$26:$Q$29,5,FALSE)),1,0)</f>
        <v>0</v>
      </c>
      <c r="AS225">
        <f>IF(AND(VLOOKUP(AS$1,main!$A$3:$H$102,7,FALSE)=main!$G$105,VLOOKUP(AS$1,main!$A$3:$H$102,5,FALSE)-VLOOKUP($A225,main!$A$3:$H$102,6,FALSE)&gt;=main!$D$103+VLOOKUP(VLOOKUP(AS$1,main!$A$3:$I$102,7,FALSE),main!$K$26:$Q$29,5,FALSE)),1,0)</f>
        <v>1</v>
      </c>
      <c r="AT225">
        <f>IF(AND(VLOOKUP(AT$1,main!$A$3:$H$102,7,FALSE)=main!$G$105,VLOOKUP(AT$1,main!$A$3:$H$102,5,FALSE)-VLOOKUP($A225,main!$A$3:$H$102,6,FALSE)&gt;=main!$D$103+VLOOKUP(VLOOKUP(AT$1,main!$A$3:$I$102,7,FALSE),main!$K$26:$Q$29,5,FALSE)),1,0)</f>
        <v>1</v>
      </c>
      <c r="AU225">
        <f>IF(AND(VLOOKUP(AU$1,main!$A$3:$H$102,7,FALSE)=main!$G$105,VLOOKUP(AU$1,main!$A$3:$H$102,5,FALSE)-VLOOKUP($A225,main!$A$3:$H$102,6,FALSE)&gt;=main!$D$103+VLOOKUP(VLOOKUP(AU$1,main!$A$3:$I$102,7,FALSE),main!$K$26:$Q$29,5,FALSE)),1,0)</f>
        <v>0</v>
      </c>
      <c r="AV225">
        <f>IF(AND(VLOOKUP(AV$1,main!$A$3:$H$102,7,FALSE)=main!$G$105,VLOOKUP(AV$1,main!$A$3:$H$102,5,FALSE)-VLOOKUP($A225,main!$A$3:$H$102,6,FALSE)&gt;=main!$D$103+VLOOKUP(VLOOKUP(AV$1,main!$A$3:$I$102,7,FALSE),main!$K$26:$Q$29,5,FALSE)),1,0)</f>
        <v>0</v>
      </c>
      <c r="AW225">
        <f>IF(AND(VLOOKUP(AW$1,main!$A$3:$H$102,7,FALSE)=main!$G$105,VLOOKUP(AW$1,main!$A$3:$H$102,5,FALSE)-VLOOKUP($A225,main!$A$3:$H$102,6,FALSE)&gt;=main!$D$103+VLOOKUP(VLOOKUP(AW$1,main!$A$3:$I$102,7,FALSE),main!$K$26:$Q$29,5,FALSE)),1,0)</f>
        <v>1</v>
      </c>
      <c r="AX225">
        <f>IF(AND(VLOOKUP(AX$1,main!$A$3:$H$102,7,FALSE)=main!$G$105,VLOOKUP(AX$1,main!$A$3:$H$102,5,FALSE)-VLOOKUP($A225,main!$A$3:$H$102,6,FALSE)&gt;=main!$D$103+VLOOKUP(VLOOKUP(AX$1,main!$A$3:$I$102,7,FALSE),main!$K$26:$Q$29,5,FALSE)),1,0)</f>
        <v>0</v>
      </c>
      <c r="AY225">
        <f>IF(AND(VLOOKUP(AY$1,main!$A$3:$H$102,7,FALSE)=main!$G$105,VLOOKUP(AY$1,main!$A$3:$H$102,5,FALSE)-VLOOKUP($A225,main!$A$3:$H$102,6,FALSE)&gt;=main!$D$103+VLOOKUP(VLOOKUP(AY$1,main!$A$3:$I$102,7,FALSE),main!$K$26:$Q$29,5,FALSE)),1,0)</f>
        <v>0</v>
      </c>
      <c r="AZ225">
        <f>IF(AND(VLOOKUP(AZ$1,main!$A$3:$H$102,7,FALSE)=main!$G$105,VLOOKUP(AZ$1,main!$A$3:$H$102,5,FALSE)-VLOOKUP($A225,main!$A$3:$H$102,6,FALSE)&gt;=main!$D$103+VLOOKUP(VLOOKUP(AZ$1,main!$A$3:$I$102,7,FALSE),main!$K$26:$Q$29,5,FALSE)),1,0)</f>
        <v>0</v>
      </c>
      <c r="BA225">
        <f>IF(AND(VLOOKUP(BA$1,main!$A$3:$H$102,7,FALSE)=main!$G$105,VLOOKUP(BA$1,main!$A$3:$H$102,5,FALSE)-VLOOKUP($A225,main!$A$3:$H$102,6,FALSE)&gt;=main!$D$103+VLOOKUP(VLOOKUP(BA$1,main!$A$3:$I$102,7,FALSE),main!$K$26:$Q$29,5,FALSE)),1,0)</f>
        <v>0</v>
      </c>
      <c r="BB225">
        <f>IF(AND(VLOOKUP(BB$1,main!$A$3:$H$102,7,FALSE)=main!$G$105,VLOOKUP(BB$1,main!$A$3:$H$102,5,FALSE)-VLOOKUP($A225,main!$A$3:$H$102,6,FALSE)&gt;=main!$D$103+VLOOKUP(VLOOKUP(BB$1,main!$A$3:$I$102,7,FALSE),main!$K$26:$Q$29,5,FALSE)),1,0)</f>
        <v>0</v>
      </c>
      <c r="BC225">
        <f>IF(AND(VLOOKUP(BC$1,main!$A$3:$H$102,7,FALSE)=main!$G$105,VLOOKUP(BC$1,main!$A$3:$H$102,5,FALSE)-VLOOKUP($A225,main!$A$3:$H$102,6,FALSE)&gt;=main!$D$103+VLOOKUP(VLOOKUP(BC$1,main!$A$3:$I$102,7,FALSE),main!$K$26:$Q$29,5,FALSE)),1,0)</f>
        <v>0</v>
      </c>
      <c r="BD225">
        <f>IF(AND(VLOOKUP(BD$1,main!$A$3:$H$102,7,FALSE)=main!$G$105,VLOOKUP(BD$1,main!$A$3:$H$102,5,FALSE)-VLOOKUP($A225,main!$A$3:$H$102,6,FALSE)&gt;=main!$D$103+VLOOKUP(VLOOKUP(BD$1,main!$A$3:$I$102,7,FALSE),main!$K$26:$Q$29,5,FALSE)),1,0)</f>
        <v>0</v>
      </c>
      <c r="BE225">
        <f>IF(AND(VLOOKUP(BE$1,main!$A$3:$H$102,7,FALSE)=main!$G$105,VLOOKUP(BE$1,main!$A$3:$H$102,5,FALSE)-VLOOKUP($A225,main!$A$3:$H$102,6,FALSE)&gt;=main!$D$103+VLOOKUP(VLOOKUP(BE$1,main!$A$3:$I$102,7,FALSE),main!$K$26:$Q$29,5,FALSE)),1,0)</f>
        <v>0</v>
      </c>
      <c r="BF225">
        <f>IF(AND(VLOOKUP(BF$1,main!$A$3:$H$102,7,FALSE)=main!$G$105,VLOOKUP(BF$1,main!$A$3:$H$102,5,FALSE)-VLOOKUP($A225,main!$A$3:$H$102,6,FALSE)&gt;=main!$D$103+VLOOKUP(VLOOKUP(BF$1,main!$A$3:$I$102,7,FALSE),main!$K$26:$Q$29,5,FALSE)),1,0)</f>
        <v>0</v>
      </c>
      <c r="BG225">
        <f>IF(AND(VLOOKUP(BG$1,main!$A$3:$H$102,7,FALSE)=main!$G$105,VLOOKUP(BG$1,main!$A$3:$H$102,5,FALSE)-VLOOKUP($A225,main!$A$3:$H$102,6,FALSE)&gt;=main!$D$103+VLOOKUP(VLOOKUP(BG$1,main!$A$3:$I$102,7,FALSE),main!$K$26:$Q$29,5,FALSE)),1,0)</f>
        <v>0</v>
      </c>
      <c r="BH225">
        <f>IF(AND(VLOOKUP(BH$1,main!$A$3:$H$102,7,FALSE)=main!$G$105,VLOOKUP(BH$1,main!$A$3:$H$102,5,FALSE)-VLOOKUP($A225,main!$A$3:$H$102,6,FALSE)&gt;=main!$D$103+VLOOKUP(VLOOKUP(BH$1,main!$A$3:$I$102,7,FALSE),main!$K$26:$Q$29,5,FALSE)),1,0)</f>
        <v>0</v>
      </c>
      <c r="BI225">
        <f>IF(AND(VLOOKUP(BI$1,main!$A$3:$H$102,7,FALSE)=main!$G$105,VLOOKUP(BI$1,main!$A$3:$H$102,5,FALSE)-VLOOKUP($A225,main!$A$3:$H$102,6,FALSE)&gt;=main!$D$103+VLOOKUP(VLOOKUP(BI$1,main!$A$3:$I$102,7,FALSE),main!$K$26:$Q$29,5,FALSE)),1,0)</f>
        <v>0</v>
      </c>
      <c r="BJ225">
        <f>IF(AND(VLOOKUP(BJ$1,main!$A$3:$H$102,7,FALSE)=main!$G$105,VLOOKUP(BJ$1,main!$A$3:$H$102,5,FALSE)-VLOOKUP($A225,main!$A$3:$H$102,6,FALSE)&gt;=main!$D$103+VLOOKUP(VLOOKUP(BJ$1,main!$A$3:$I$102,7,FALSE),main!$K$26:$Q$29,5,FALSE)),1,0)</f>
        <v>0</v>
      </c>
      <c r="BK225">
        <f>IF(AND(VLOOKUP(BK$1,main!$A$3:$H$102,7,FALSE)=main!$G$105,VLOOKUP(BK$1,main!$A$3:$H$102,5,FALSE)-VLOOKUP($A225,main!$A$3:$H$102,6,FALSE)&gt;=main!$D$103+VLOOKUP(VLOOKUP(BK$1,main!$A$3:$I$102,7,FALSE),main!$K$26:$Q$29,5,FALSE)),1,0)</f>
        <v>0</v>
      </c>
      <c r="BL225">
        <f>IF(AND(VLOOKUP(BL$1,main!$A$3:$H$102,7,FALSE)=main!$G$105,VLOOKUP(BL$1,main!$A$3:$H$102,5,FALSE)-VLOOKUP($A225,main!$A$3:$H$102,6,FALSE)&gt;=main!$D$103+VLOOKUP(VLOOKUP(BL$1,main!$A$3:$I$102,7,FALSE),main!$K$26:$Q$29,5,FALSE)),1,0)</f>
        <v>0</v>
      </c>
      <c r="BM225">
        <f>IF(AND(VLOOKUP(BM$1,main!$A$3:$H$102,7,FALSE)=main!$G$105,VLOOKUP(BM$1,main!$A$3:$H$102,5,FALSE)-VLOOKUP($A225,main!$A$3:$H$102,6,FALSE)&gt;=main!$D$103+VLOOKUP(VLOOKUP(BM$1,main!$A$3:$I$102,7,FALSE),main!$K$26:$Q$29,5,FALSE)),1,0)</f>
        <v>0</v>
      </c>
      <c r="BN225">
        <f>IF(AND(VLOOKUP(BN$1,main!$A$3:$H$102,7,FALSE)=main!$G$105,VLOOKUP(BN$1,main!$A$3:$H$102,5,FALSE)-VLOOKUP($A225,main!$A$3:$H$102,6,FALSE)&gt;=main!$D$103+VLOOKUP(VLOOKUP(BN$1,main!$A$3:$I$102,7,FALSE),main!$K$26:$Q$29,5,FALSE)),1,0)</f>
        <v>0</v>
      </c>
      <c r="BO225">
        <f>IF(AND(VLOOKUP(BO$1,main!$A$3:$H$102,7,FALSE)=main!$G$105,VLOOKUP(BO$1,main!$A$3:$H$102,5,FALSE)-VLOOKUP($A225,main!$A$3:$H$102,6,FALSE)&gt;=main!$D$103+VLOOKUP(VLOOKUP(BO$1,main!$A$3:$I$102,7,FALSE),main!$K$26:$Q$29,5,FALSE)),1,0)</f>
        <v>0</v>
      </c>
      <c r="BP225">
        <f>IF(AND(VLOOKUP(BP$1,main!$A$3:$H$102,7,FALSE)=main!$G$105,VLOOKUP(BP$1,main!$A$3:$H$102,5,FALSE)-VLOOKUP($A225,main!$A$3:$H$102,6,FALSE)&gt;=main!$D$103+VLOOKUP(VLOOKUP(BP$1,main!$A$3:$I$102,7,FALSE),main!$K$26:$Q$29,5,FALSE)),1,0)</f>
        <v>0</v>
      </c>
      <c r="BQ225">
        <f>IF(AND(VLOOKUP(BQ$1,main!$A$3:$H$102,7,FALSE)=main!$G$105,VLOOKUP(BQ$1,main!$A$3:$H$102,5,FALSE)-VLOOKUP($A225,main!$A$3:$H$102,6,FALSE)&gt;=main!$D$103+VLOOKUP(VLOOKUP(BQ$1,main!$A$3:$I$102,7,FALSE),main!$K$26:$Q$29,5,FALSE)),1,0)</f>
        <v>0</v>
      </c>
      <c r="BR225">
        <f>IF(AND(VLOOKUP(BR$1,main!$A$3:$H$102,7,FALSE)=main!$G$105,VLOOKUP(BR$1,main!$A$3:$H$102,5,FALSE)-VLOOKUP($A225,main!$A$3:$H$102,6,FALSE)&gt;=main!$D$103+VLOOKUP(VLOOKUP(BR$1,main!$A$3:$I$102,7,FALSE),main!$K$26:$Q$29,5,FALSE)),1,0)</f>
        <v>0</v>
      </c>
      <c r="BS225">
        <f>IF(AND(VLOOKUP(BS$1,main!$A$3:$H$102,7,FALSE)=main!$G$105,VLOOKUP(BS$1,main!$A$3:$H$102,5,FALSE)-VLOOKUP($A225,main!$A$3:$H$102,6,FALSE)&gt;=main!$D$103+VLOOKUP(VLOOKUP(BS$1,main!$A$3:$I$102,7,FALSE),main!$K$26:$Q$29,5,FALSE)),1,0)</f>
        <v>0</v>
      </c>
      <c r="BT225">
        <f>IF(AND(VLOOKUP(BT$1,main!$A$3:$H$102,7,FALSE)=main!$G$105,VLOOKUP(BT$1,main!$A$3:$H$102,5,FALSE)-VLOOKUP($A225,main!$A$3:$H$102,6,FALSE)&gt;=main!$D$103+VLOOKUP(VLOOKUP(BT$1,main!$A$3:$I$102,7,FALSE),main!$K$26:$Q$29,5,FALSE)),1,0)</f>
        <v>0</v>
      </c>
      <c r="BU225">
        <f>IF(AND(VLOOKUP(BU$1,main!$A$3:$H$102,7,FALSE)=main!$G$105,VLOOKUP(BU$1,main!$A$3:$H$102,5,FALSE)-VLOOKUP($A225,main!$A$3:$H$102,6,FALSE)&gt;=main!$D$103+VLOOKUP(VLOOKUP(BU$1,main!$A$3:$I$102,7,FALSE),main!$K$26:$Q$29,5,FALSE)),1,0)</f>
        <v>0</v>
      </c>
      <c r="BV225">
        <f>IF(AND(VLOOKUP(BV$1,main!$A$3:$H$102,7,FALSE)=main!$G$105,VLOOKUP(BV$1,main!$A$3:$H$102,5,FALSE)-VLOOKUP($A225,main!$A$3:$H$102,6,FALSE)&gt;=main!$D$103+VLOOKUP(VLOOKUP(BV$1,main!$A$3:$I$102,7,FALSE),main!$K$26:$Q$29,5,FALSE)),1,0)</f>
        <v>0</v>
      </c>
      <c r="BW225">
        <f>IF(AND(VLOOKUP(BW$1,main!$A$3:$H$102,7,FALSE)=main!$G$105,VLOOKUP(BW$1,main!$A$3:$H$102,5,FALSE)-VLOOKUP($A225,main!$A$3:$H$102,6,FALSE)&gt;=main!$D$103+VLOOKUP(VLOOKUP(BW$1,main!$A$3:$I$102,7,FALSE),main!$K$26:$Q$29,5,FALSE)),1,0)</f>
        <v>0</v>
      </c>
      <c r="BX225">
        <f>IF(AND(VLOOKUP(BX$1,main!$A$3:$H$102,7,FALSE)=main!$G$105,VLOOKUP(BX$1,main!$A$3:$H$102,5,FALSE)-VLOOKUP($A225,main!$A$3:$H$102,6,FALSE)&gt;=main!$D$103+VLOOKUP(VLOOKUP(BX$1,main!$A$3:$I$102,7,FALSE),main!$K$26:$Q$29,5,FALSE)),1,0)</f>
        <v>0</v>
      </c>
      <c r="BY225">
        <f>IF(AND(VLOOKUP(BY$1,main!$A$3:$H$102,7,FALSE)=main!$G$105,VLOOKUP(BY$1,main!$A$3:$H$102,5,FALSE)-VLOOKUP($A225,main!$A$3:$H$102,6,FALSE)&gt;=main!$D$103+VLOOKUP(VLOOKUP(BY$1,main!$A$3:$I$102,7,FALSE),main!$K$26:$Q$29,5,FALSE)),1,0)</f>
        <v>0</v>
      </c>
      <c r="BZ225">
        <f>IF(AND(VLOOKUP(BZ$1,main!$A$3:$H$102,7,FALSE)=main!$G$105,VLOOKUP(BZ$1,main!$A$3:$H$102,5,FALSE)-VLOOKUP($A225,main!$A$3:$H$102,6,FALSE)&gt;=main!$D$103+VLOOKUP(VLOOKUP(BZ$1,main!$A$3:$I$102,7,FALSE),main!$K$26:$Q$29,5,FALSE)),1,0)</f>
        <v>0</v>
      </c>
      <c r="CA225">
        <f>IF(AND(VLOOKUP(CA$1,main!$A$3:$H$102,7,FALSE)=main!$G$105,VLOOKUP(CA$1,main!$A$3:$H$102,5,FALSE)-VLOOKUP($A225,main!$A$3:$H$102,6,FALSE)&gt;=main!$D$103+VLOOKUP(VLOOKUP(CA$1,main!$A$3:$I$102,7,FALSE),main!$K$26:$Q$29,5,FALSE)),1,0)</f>
        <v>0</v>
      </c>
      <c r="CB225">
        <f>IF(AND(VLOOKUP(CB$1,main!$A$3:$H$102,7,FALSE)=main!$G$105,VLOOKUP(CB$1,main!$A$3:$H$102,5,FALSE)-VLOOKUP($A225,main!$A$3:$H$102,6,FALSE)&gt;=main!$D$103+VLOOKUP(VLOOKUP(CB$1,main!$A$3:$I$102,7,FALSE),main!$K$26:$Q$29,5,FALSE)),1,0)</f>
        <v>0</v>
      </c>
      <c r="CC225">
        <f>IF(AND(VLOOKUP(CC$1,main!$A$3:$H$102,7,FALSE)=main!$G$105,VLOOKUP(CC$1,main!$A$3:$H$102,5,FALSE)-VLOOKUP($A225,main!$A$3:$H$102,6,FALSE)&gt;=main!$D$103+VLOOKUP(VLOOKUP(CC$1,main!$A$3:$I$102,7,FALSE),main!$K$26:$Q$29,5,FALSE)),1,0)</f>
        <v>0</v>
      </c>
      <c r="CD225">
        <f>IF(AND(VLOOKUP(CD$1,main!$A$3:$H$102,7,FALSE)=main!$G$105,VLOOKUP(CD$1,main!$A$3:$H$102,5,FALSE)-VLOOKUP($A225,main!$A$3:$H$102,6,FALSE)&gt;=main!$D$103+VLOOKUP(VLOOKUP(CD$1,main!$A$3:$I$102,7,FALSE),main!$K$26:$Q$29,5,FALSE)),1,0)</f>
        <v>0</v>
      </c>
      <c r="CE225">
        <f>IF(AND(VLOOKUP(CE$1,main!$A$3:$H$102,7,FALSE)=main!$G$105,VLOOKUP(CE$1,main!$A$3:$H$102,5,FALSE)-VLOOKUP($A225,main!$A$3:$H$102,6,FALSE)&gt;=main!$D$103+VLOOKUP(VLOOKUP(CE$1,main!$A$3:$I$102,7,FALSE),main!$K$26:$Q$29,5,FALSE)),1,0)</f>
        <v>0</v>
      </c>
      <c r="CF225">
        <f>IF(AND(VLOOKUP(CF$1,main!$A$3:$H$102,7,FALSE)=main!$G$105,VLOOKUP(CF$1,main!$A$3:$H$102,5,FALSE)-VLOOKUP($A225,main!$A$3:$H$102,6,FALSE)&gt;=main!$D$103+VLOOKUP(VLOOKUP(CF$1,main!$A$3:$I$102,7,FALSE),main!$K$26:$Q$29,5,FALSE)),1,0)</f>
        <v>0</v>
      </c>
      <c r="CG225">
        <f>IF(AND(VLOOKUP(CG$1,main!$A$3:$H$102,7,FALSE)=main!$G$105,VLOOKUP(CG$1,main!$A$3:$H$102,5,FALSE)-VLOOKUP($A225,main!$A$3:$H$102,6,FALSE)&gt;=main!$D$103+VLOOKUP(VLOOKUP(CG$1,main!$A$3:$I$102,7,FALSE),main!$K$26:$Q$29,5,FALSE)),1,0)</f>
        <v>0</v>
      </c>
      <c r="CH225">
        <f>IF(AND(VLOOKUP(CH$1,main!$A$3:$H$102,7,FALSE)=main!$G$105,VLOOKUP(CH$1,main!$A$3:$H$102,5,FALSE)-VLOOKUP($A225,main!$A$3:$H$102,6,FALSE)&gt;=main!$D$103+VLOOKUP(VLOOKUP(CH$1,main!$A$3:$I$102,7,FALSE),main!$K$26:$Q$29,5,FALSE)),1,0)</f>
        <v>0</v>
      </c>
      <c r="CI225">
        <f>IF(AND(VLOOKUP(CI$1,main!$A$3:$H$102,7,FALSE)=main!$G$105,VLOOKUP(CI$1,main!$A$3:$H$102,5,FALSE)-VLOOKUP($A225,main!$A$3:$H$102,6,FALSE)&gt;=main!$D$103+VLOOKUP(VLOOKUP(CI$1,main!$A$3:$I$102,7,FALSE),main!$K$26:$Q$29,5,FALSE)),1,0)</f>
        <v>0</v>
      </c>
      <c r="CJ225">
        <f>IF(AND(VLOOKUP(CJ$1,main!$A$3:$H$102,7,FALSE)=main!$G$105,VLOOKUP(CJ$1,main!$A$3:$H$102,5,FALSE)-VLOOKUP($A225,main!$A$3:$H$102,6,FALSE)&gt;=main!$D$103+VLOOKUP(VLOOKUP(CJ$1,main!$A$3:$I$102,7,FALSE),main!$K$26:$Q$29,5,FALSE)),1,0)</f>
        <v>0</v>
      </c>
      <c r="CK225">
        <f>IF(AND(VLOOKUP(CK$1,main!$A$3:$H$102,7,FALSE)=main!$G$105,VLOOKUP(CK$1,main!$A$3:$H$102,5,FALSE)-VLOOKUP($A225,main!$A$3:$H$102,6,FALSE)&gt;=main!$D$103+VLOOKUP(VLOOKUP(CK$1,main!$A$3:$I$102,7,FALSE),main!$K$26:$Q$29,5,FALSE)),1,0)</f>
        <v>0</v>
      </c>
      <c r="CL225">
        <f>IF(AND(VLOOKUP(CL$1,main!$A$3:$H$102,7,FALSE)=main!$G$105,VLOOKUP(CL$1,main!$A$3:$H$102,5,FALSE)-VLOOKUP($A225,main!$A$3:$H$102,6,FALSE)&gt;=main!$D$103+VLOOKUP(VLOOKUP(CL$1,main!$A$3:$I$102,7,FALSE),main!$K$26:$Q$29,5,FALSE)),1,0)</f>
        <v>0</v>
      </c>
      <c r="CM225">
        <f>IF(AND(VLOOKUP(CM$1,main!$A$3:$H$102,7,FALSE)=main!$G$105,VLOOKUP(CM$1,main!$A$3:$H$102,5,FALSE)-VLOOKUP($A225,main!$A$3:$H$102,6,FALSE)&gt;=main!$D$103+VLOOKUP(VLOOKUP(CM$1,main!$A$3:$I$102,7,FALSE),main!$K$26:$Q$29,5,FALSE)),1,0)</f>
        <v>0</v>
      </c>
      <c r="CN225">
        <f>IF(AND(VLOOKUP(CN$1,main!$A$3:$H$102,7,FALSE)=main!$G$105,VLOOKUP(CN$1,main!$A$3:$H$102,5,FALSE)-VLOOKUP($A225,main!$A$3:$H$102,6,FALSE)&gt;=main!$D$103+VLOOKUP(VLOOKUP(CN$1,main!$A$3:$I$102,7,FALSE),main!$K$26:$Q$29,5,FALSE)),1,0)</f>
        <v>0</v>
      </c>
      <c r="CO225">
        <f>IF(AND(VLOOKUP(CO$1,main!$A$3:$H$102,7,FALSE)=main!$G$105,VLOOKUP(CO$1,main!$A$3:$H$102,5,FALSE)-VLOOKUP($A225,main!$A$3:$H$102,6,FALSE)&gt;=main!$D$103+VLOOKUP(VLOOKUP(CO$1,main!$A$3:$I$102,7,FALSE),main!$K$26:$Q$29,5,FALSE)),1,0)</f>
        <v>0</v>
      </c>
      <c r="CP225">
        <f>IF(AND(VLOOKUP(CP$1,main!$A$3:$H$102,7,FALSE)=main!$G$105,VLOOKUP(CP$1,main!$A$3:$H$102,5,FALSE)-VLOOKUP($A225,main!$A$3:$H$102,6,FALSE)&gt;=main!$D$103+VLOOKUP(VLOOKUP(CP$1,main!$A$3:$I$102,7,FALSE),main!$K$26:$Q$29,5,FALSE)),1,0)</f>
        <v>0</v>
      </c>
      <c r="CQ225">
        <f>IF(AND(VLOOKUP(CQ$1,main!$A$3:$H$102,7,FALSE)=main!$G$105,VLOOKUP(CQ$1,main!$A$3:$H$102,5,FALSE)-VLOOKUP($A225,main!$A$3:$H$102,6,FALSE)&gt;=main!$D$103+VLOOKUP(VLOOKUP(CQ$1,main!$A$3:$I$102,7,FALSE),main!$K$26:$Q$29,5,FALSE)),1,0)</f>
        <v>0</v>
      </c>
      <c r="CR225">
        <f>IF(AND(VLOOKUP(CR$1,main!$A$3:$H$102,7,FALSE)=main!$G$105,VLOOKUP(CR$1,main!$A$3:$H$102,5,FALSE)-VLOOKUP($A225,main!$A$3:$H$102,6,FALSE)&gt;=main!$D$103+VLOOKUP(VLOOKUP(CR$1,main!$A$3:$I$102,7,FALSE),main!$K$26:$Q$29,5,FALSE)),1,0)</f>
        <v>0</v>
      </c>
      <c r="CS225">
        <f>IF(AND(VLOOKUP(CS$1,main!$A$3:$H$102,7,FALSE)=main!$G$105,VLOOKUP(CS$1,main!$A$3:$H$102,5,FALSE)-VLOOKUP($A225,main!$A$3:$H$102,6,FALSE)&gt;=main!$D$103+VLOOKUP(VLOOKUP(CS$1,main!$A$3:$I$102,7,FALSE),main!$K$26:$Q$29,5,FALSE)),1,0)</f>
        <v>0</v>
      </c>
      <c r="CT225">
        <f>IF(AND(VLOOKUP(CT$1,main!$A$3:$H$102,7,FALSE)=main!$G$105,VLOOKUP(CT$1,main!$A$3:$H$102,5,FALSE)-VLOOKUP($A225,main!$A$3:$H$102,6,FALSE)&gt;=main!$D$103+VLOOKUP(VLOOKUP(CT$1,main!$A$3:$I$102,7,FALSE),main!$K$26:$Q$29,5,FALSE)),1,0)</f>
        <v>0</v>
      </c>
      <c r="CU225">
        <f>IF(AND(VLOOKUP(CU$1,main!$A$3:$H$102,7,FALSE)=main!$G$105,VLOOKUP(CU$1,main!$A$3:$H$102,5,FALSE)-VLOOKUP($A225,main!$A$3:$H$102,6,FALSE)&gt;=main!$D$103+VLOOKUP(VLOOKUP(CU$1,main!$A$3:$I$102,7,FALSE),main!$K$26:$Q$29,5,FALSE)),1,0)</f>
        <v>0</v>
      </c>
      <c r="CV225">
        <f>IF(AND(VLOOKUP(CV$1,main!$A$3:$H$102,7,FALSE)=main!$G$105,VLOOKUP(CV$1,main!$A$3:$H$102,5,FALSE)-VLOOKUP($A225,main!$A$3:$H$102,6,FALSE)&gt;=main!$D$103+VLOOKUP(VLOOKUP(CV$1,main!$A$3:$I$102,7,FALSE),main!$K$26:$Q$29,5,FALSE)),1,0)</f>
        <v>0</v>
      </c>
      <c r="CW225">
        <f>IF(AND(VLOOKUP(CW$1,main!$A$3:$H$102,7,FALSE)=main!$G$105,VLOOKUP(CW$1,main!$A$3:$H$102,5,FALSE)-VLOOKUP($A225,main!$A$3:$H$102,6,FALSE)&gt;=main!$D$103+VLOOKUP(VLOOKUP(CW$1,main!$A$3:$I$102,7,FALSE),main!$K$26:$Q$29,5,FALSE)),1,0)</f>
        <v>0</v>
      </c>
      <c r="CX225">
        <f>IF(AND(VLOOKUP(CX$1,main!$A$3:$H$102,7,FALSE)=main!$G$105,VLOOKUP(CX$1,main!$A$3:$H$102,5,FALSE)-VLOOKUP($A225,main!$A$3:$H$102,6,FALSE)&gt;=main!$D$103+VLOOKUP(VLOOKUP(CX$1,main!$A$3:$I$102,7,FALSE),main!$K$26:$Q$29,5,FALSE)),1,0)</f>
        <v>0</v>
      </c>
    </row>
    <row r="226" spans="1:102" x14ac:dyDescent="0.25">
      <c r="A226" s="1">
        <v>22</v>
      </c>
      <c r="B226">
        <v>0</v>
      </c>
      <c r="C226">
        <f>IF(AND(VLOOKUP(C$1,main!$A$3:$H$102,7,FALSE)=main!$G$105,VLOOKUP(C$1,main!$A$3:$H$102,5,FALSE)-VLOOKUP($A226,main!$A$3:$H$102,6,FALSE)&gt;=main!$D$103+VLOOKUP(VLOOKUP(C$1,main!$A$3:$I$102,7,FALSE),main!$K$26:$Q$29,5,FALSE)),1,0)</f>
        <v>0</v>
      </c>
      <c r="D226">
        <f>IF(AND(VLOOKUP(D$1,main!$A$3:$H$102,7,FALSE)=main!$G$105,VLOOKUP(D$1,main!$A$3:$H$102,5,FALSE)-VLOOKUP($A226,main!$A$3:$H$102,6,FALSE)&gt;=main!$D$103+VLOOKUP(VLOOKUP(D$1,main!$A$3:$I$102,7,FALSE),main!$K$26:$Q$29,5,FALSE)),1,0)</f>
        <v>0</v>
      </c>
      <c r="E226">
        <f>IF(AND(VLOOKUP(E$1,main!$A$3:$H$102,7,FALSE)=main!$G$105,VLOOKUP(E$1,main!$A$3:$H$102,5,FALSE)-VLOOKUP($A226,main!$A$3:$H$102,6,FALSE)&gt;=main!$D$103+VLOOKUP(VLOOKUP(E$1,main!$A$3:$I$102,7,FALSE),main!$K$26:$Q$29,5,FALSE)),1,0)</f>
        <v>0</v>
      </c>
      <c r="F226">
        <f>IF(AND(VLOOKUP(F$1,main!$A$3:$H$102,7,FALSE)=main!$G$105,VLOOKUP(F$1,main!$A$3:$H$102,5,FALSE)-VLOOKUP($A226,main!$A$3:$H$102,6,FALSE)&gt;=main!$D$103+VLOOKUP(VLOOKUP(F$1,main!$A$3:$I$102,7,FALSE),main!$K$26:$Q$29,5,FALSE)),1,0)</f>
        <v>0</v>
      </c>
      <c r="G226">
        <f>IF(AND(VLOOKUP(G$1,main!$A$3:$H$102,7,FALSE)=main!$G$105,VLOOKUP(G$1,main!$A$3:$H$102,5,FALSE)-VLOOKUP($A226,main!$A$3:$H$102,6,FALSE)&gt;=main!$D$103+VLOOKUP(VLOOKUP(G$1,main!$A$3:$I$102,7,FALSE),main!$K$26:$Q$29,5,FALSE)),1,0)</f>
        <v>0</v>
      </c>
      <c r="H226">
        <f>IF(AND(VLOOKUP(H$1,main!$A$3:$H$102,7,FALSE)=main!$G$105,VLOOKUP(H$1,main!$A$3:$H$102,5,FALSE)-VLOOKUP($A226,main!$A$3:$H$102,6,FALSE)&gt;=main!$D$103+VLOOKUP(VLOOKUP(H$1,main!$A$3:$I$102,7,FALSE),main!$K$26:$Q$29,5,FALSE)),1,0)</f>
        <v>0</v>
      </c>
      <c r="I226">
        <f>IF(AND(VLOOKUP(I$1,main!$A$3:$H$102,7,FALSE)=main!$G$105,VLOOKUP(I$1,main!$A$3:$H$102,5,FALSE)-VLOOKUP($A226,main!$A$3:$H$102,6,FALSE)&gt;=main!$D$103+VLOOKUP(VLOOKUP(I$1,main!$A$3:$I$102,7,FALSE),main!$K$26:$Q$29,5,FALSE)),1,0)</f>
        <v>0</v>
      </c>
      <c r="J226">
        <f>IF(AND(VLOOKUP(J$1,main!$A$3:$H$102,7,FALSE)=main!$G$105,VLOOKUP(J$1,main!$A$3:$H$102,5,FALSE)-VLOOKUP($A226,main!$A$3:$H$102,6,FALSE)&gt;=main!$D$103+VLOOKUP(VLOOKUP(J$1,main!$A$3:$I$102,7,FALSE),main!$K$26:$Q$29,5,FALSE)),1,0)</f>
        <v>0</v>
      </c>
      <c r="K226">
        <f>IF(AND(VLOOKUP(K$1,main!$A$3:$H$102,7,FALSE)=main!$G$105,VLOOKUP(K$1,main!$A$3:$H$102,5,FALSE)-VLOOKUP($A226,main!$A$3:$H$102,6,FALSE)&gt;=main!$D$103+VLOOKUP(VLOOKUP(K$1,main!$A$3:$I$102,7,FALSE),main!$K$26:$Q$29,5,FALSE)),1,0)</f>
        <v>0</v>
      </c>
      <c r="L226">
        <f>IF(AND(VLOOKUP(L$1,main!$A$3:$H$102,7,FALSE)=main!$G$105,VLOOKUP(L$1,main!$A$3:$H$102,5,FALSE)-VLOOKUP($A226,main!$A$3:$H$102,6,FALSE)&gt;=main!$D$103+VLOOKUP(VLOOKUP(L$1,main!$A$3:$I$102,7,FALSE),main!$K$26:$Q$29,5,FALSE)),1,0)</f>
        <v>0</v>
      </c>
      <c r="M226">
        <f>IF(AND(VLOOKUP(M$1,main!$A$3:$H$102,7,FALSE)=main!$G$105,VLOOKUP(M$1,main!$A$3:$H$102,5,FALSE)-VLOOKUP($A226,main!$A$3:$H$102,6,FALSE)&gt;=main!$D$103+VLOOKUP(VLOOKUP(M$1,main!$A$3:$I$102,7,FALSE),main!$K$26:$Q$29,5,FALSE)),1,0)</f>
        <v>0</v>
      </c>
      <c r="N226">
        <f>IF(AND(VLOOKUP(N$1,main!$A$3:$H$102,7,FALSE)=main!$G$105,VLOOKUP(N$1,main!$A$3:$H$102,5,FALSE)-VLOOKUP($A226,main!$A$3:$H$102,6,FALSE)&gt;=main!$D$103+VLOOKUP(VLOOKUP(N$1,main!$A$3:$I$102,7,FALSE),main!$K$26:$Q$29,5,FALSE)),1,0)</f>
        <v>0</v>
      </c>
      <c r="O226">
        <f>IF(AND(VLOOKUP(O$1,main!$A$3:$H$102,7,FALSE)=main!$G$105,VLOOKUP(O$1,main!$A$3:$H$102,5,FALSE)-VLOOKUP($A226,main!$A$3:$H$102,6,FALSE)&gt;=main!$D$103+VLOOKUP(VLOOKUP(O$1,main!$A$3:$I$102,7,FALSE),main!$K$26:$Q$29,5,FALSE)),1,0)</f>
        <v>0</v>
      </c>
      <c r="P226">
        <f>IF(AND(VLOOKUP(P$1,main!$A$3:$H$102,7,FALSE)=main!$G$105,VLOOKUP(P$1,main!$A$3:$H$102,5,FALSE)-VLOOKUP($A226,main!$A$3:$H$102,6,FALSE)&gt;=main!$D$103+VLOOKUP(VLOOKUP(P$1,main!$A$3:$I$102,7,FALSE),main!$K$26:$Q$29,5,FALSE)),1,0)</f>
        <v>0</v>
      </c>
      <c r="Q226">
        <f>IF(AND(VLOOKUP(Q$1,main!$A$3:$H$102,7,FALSE)=main!$G$105,VLOOKUP(Q$1,main!$A$3:$H$102,5,FALSE)-VLOOKUP($A226,main!$A$3:$H$102,6,FALSE)&gt;=main!$D$103+VLOOKUP(VLOOKUP(Q$1,main!$A$3:$I$102,7,FALSE),main!$K$26:$Q$29,5,FALSE)),1,0)</f>
        <v>0</v>
      </c>
      <c r="R226">
        <f>IF(AND(VLOOKUP(R$1,main!$A$3:$H$102,7,FALSE)=main!$G$105,VLOOKUP(R$1,main!$A$3:$H$102,5,FALSE)-VLOOKUP($A226,main!$A$3:$H$102,6,FALSE)&gt;=main!$D$103+VLOOKUP(VLOOKUP(R$1,main!$A$3:$I$102,7,FALSE),main!$K$26:$Q$29,5,FALSE)),1,0)</f>
        <v>0</v>
      </c>
      <c r="S226">
        <f>IF(AND(VLOOKUP(S$1,main!$A$3:$H$102,7,FALSE)=main!$G$105,VLOOKUP(S$1,main!$A$3:$H$102,5,FALSE)-VLOOKUP($A226,main!$A$3:$H$102,6,FALSE)&gt;=main!$D$103+VLOOKUP(VLOOKUP(S$1,main!$A$3:$I$102,7,FALSE),main!$K$26:$Q$29,5,FALSE)),1,0)</f>
        <v>0</v>
      </c>
      <c r="T226">
        <f>IF(AND(VLOOKUP(T$1,main!$A$3:$H$102,7,FALSE)=main!$G$105,VLOOKUP(T$1,main!$A$3:$H$102,5,FALSE)-VLOOKUP($A226,main!$A$3:$H$102,6,FALSE)&gt;=main!$D$103+VLOOKUP(VLOOKUP(T$1,main!$A$3:$I$102,7,FALSE),main!$K$26:$Q$29,5,FALSE)),1,0)</f>
        <v>0</v>
      </c>
      <c r="U226">
        <f>IF(AND(VLOOKUP(U$1,main!$A$3:$H$102,7,FALSE)=main!$G$105,VLOOKUP(U$1,main!$A$3:$H$102,5,FALSE)-VLOOKUP($A226,main!$A$3:$H$102,6,FALSE)&gt;=main!$D$103+VLOOKUP(VLOOKUP(U$1,main!$A$3:$I$102,7,FALSE),main!$K$26:$Q$29,5,FALSE)),1,0)</f>
        <v>0</v>
      </c>
      <c r="V226">
        <f>IF(AND(VLOOKUP(V$1,main!$A$3:$H$102,7,FALSE)=main!$G$105,VLOOKUP(V$1,main!$A$3:$H$102,5,FALSE)-VLOOKUP($A226,main!$A$3:$H$102,6,FALSE)&gt;=main!$D$103+VLOOKUP(VLOOKUP(V$1,main!$A$3:$I$102,7,FALSE),main!$K$26:$Q$29,5,FALSE)),1,0)</f>
        <v>0</v>
      </c>
      <c r="W226">
        <f>IF(AND(VLOOKUP(W$1,main!$A$3:$H$102,7,FALSE)=main!$G$105,VLOOKUP(W$1,main!$A$3:$H$102,5,FALSE)-VLOOKUP($A226,main!$A$3:$H$102,6,FALSE)&gt;=main!$D$103+VLOOKUP(VLOOKUP(W$1,main!$A$3:$I$102,7,FALSE),main!$K$26:$Q$29,5,FALSE)),1,0)</f>
        <v>0</v>
      </c>
      <c r="X226">
        <f>IF(AND(VLOOKUP(X$1,main!$A$3:$H$102,7,FALSE)=main!$G$105,VLOOKUP(X$1,main!$A$3:$H$102,5,FALSE)-VLOOKUP($A226,main!$A$3:$H$102,6,FALSE)&gt;=main!$D$103+VLOOKUP(VLOOKUP(X$1,main!$A$3:$I$102,7,FALSE),main!$K$26:$Q$29,5,FALSE)),1,0)</f>
        <v>0</v>
      </c>
      <c r="Y226">
        <f>IF(AND(VLOOKUP(Y$1,main!$A$3:$H$102,7,FALSE)=main!$G$105,VLOOKUP(Y$1,main!$A$3:$H$102,5,FALSE)-VLOOKUP($A226,main!$A$3:$H$102,6,FALSE)&gt;=main!$D$103+VLOOKUP(VLOOKUP(Y$1,main!$A$3:$I$102,7,FALSE),main!$K$26:$Q$29,5,FALSE)),1,0)</f>
        <v>0</v>
      </c>
      <c r="Z226">
        <f>IF(AND(VLOOKUP(Z$1,main!$A$3:$H$102,7,FALSE)=main!$G$105,VLOOKUP(Z$1,main!$A$3:$H$102,5,FALSE)-VLOOKUP($A226,main!$A$3:$H$102,6,FALSE)&gt;=main!$D$103+VLOOKUP(VLOOKUP(Z$1,main!$A$3:$I$102,7,FALSE),main!$K$26:$Q$29,5,FALSE)),1,0)</f>
        <v>0</v>
      </c>
      <c r="AA226">
        <f>IF(AND(VLOOKUP(AA$1,main!$A$3:$H$102,7,FALSE)=main!$G$105,VLOOKUP(AA$1,main!$A$3:$H$102,5,FALSE)-VLOOKUP($A226,main!$A$3:$H$102,6,FALSE)&gt;=main!$D$103+VLOOKUP(VLOOKUP(AA$1,main!$A$3:$I$102,7,FALSE),main!$K$26:$Q$29,5,FALSE)),1,0)</f>
        <v>0</v>
      </c>
      <c r="AB226">
        <f>IF(AND(VLOOKUP(AB$1,main!$A$3:$H$102,7,FALSE)=main!$G$105,VLOOKUP(AB$1,main!$A$3:$H$102,5,FALSE)-VLOOKUP($A226,main!$A$3:$H$102,6,FALSE)&gt;=main!$D$103+VLOOKUP(VLOOKUP(AB$1,main!$A$3:$I$102,7,FALSE),main!$K$26:$Q$29,5,FALSE)),1,0)</f>
        <v>0</v>
      </c>
      <c r="AC226">
        <f>IF(AND(VLOOKUP(AC$1,main!$A$3:$H$102,7,FALSE)=main!$G$105,VLOOKUP(AC$1,main!$A$3:$H$102,5,FALSE)-VLOOKUP($A226,main!$A$3:$H$102,6,FALSE)&gt;=main!$D$103+VLOOKUP(VLOOKUP(AC$1,main!$A$3:$I$102,7,FALSE),main!$K$26:$Q$29,5,FALSE)),1,0)</f>
        <v>0</v>
      </c>
      <c r="AD226">
        <f>IF(AND(VLOOKUP(AD$1,main!$A$3:$H$102,7,FALSE)=main!$G$105,VLOOKUP(AD$1,main!$A$3:$H$102,5,FALSE)-VLOOKUP($A226,main!$A$3:$H$102,6,FALSE)&gt;=main!$D$103+VLOOKUP(VLOOKUP(AD$1,main!$A$3:$I$102,7,FALSE),main!$K$26:$Q$29,5,FALSE)),1,0)</f>
        <v>0</v>
      </c>
      <c r="AE226">
        <f>IF(AND(VLOOKUP(AE$1,main!$A$3:$H$102,7,FALSE)=main!$G$105,VLOOKUP(AE$1,main!$A$3:$H$102,5,FALSE)-VLOOKUP($A226,main!$A$3:$H$102,6,FALSE)&gt;=main!$D$103+VLOOKUP(VLOOKUP(AE$1,main!$A$3:$I$102,7,FALSE),main!$K$26:$Q$29,5,FALSE)),1,0)</f>
        <v>0</v>
      </c>
      <c r="AF226">
        <f>IF(AND(VLOOKUP(AF$1,main!$A$3:$H$102,7,FALSE)=main!$G$105,VLOOKUP(AF$1,main!$A$3:$H$102,5,FALSE)-VLOOKUP($A226,main!$A$3:$H$102,6,FALSE)&gt;=main!$D$103+VLOOKUP(VLOOKUP(AF$1,main!$A$3:$I$102,7,FALSE),main!$K$26:$Q$29,5,FALSE)),1,0)</f>
        <v>0</v>
      </c>
      <c r="AG226">
        <f>IF(AND(VLOOKUP(AG$1,main!$A$3:$H$102,7,FALSE)=main!$G$105,VLOOKUP(AG$1,main!$A$3:$H$102,5,FALSE)-VLOOKUP($A226,main!$A$3:$H$102,6,FALSE)&gt;=main!$D$103+VLOOKUP(VLOOKUP(AG$1,main!$A$3:$I$102,7,FALSE),main!$K$26:$Q$29,5,FALSE)),1,0)</f>
        <v>0</v>
      </c>
      <c r="AH226">
        <f>IF(AND(VLOOKUP(AH$1,main!$A$3:$H$102,7,FALSE)=main!$G$105,VLOOKUP(AH$1,main!$A$3:$H$102,5,FALSE)-VLOOKUP($A226,main!$A$3:$H$102,6,FALSE)&gt;=main!$D$103+VLOOKUP(VLOOKUP(AH$1,main!$A$3:$I$102,7,FALSE),main!$K$26:$Q$29,5,FALSE)),1,0)</f>
        <v>0</v>
      </c>
      <c r="AI226">
        <f>IF(AND(VLOOKUP(AI$1,main!$A$3:$H$102,7,FALSE)=main!$G$105,VLOOKUP(AI$1,main!$A$3:$H$102,5,FALSE)-VLOOKUP($A226,main!$A$3:$H$102,6,FALSE)&gt;=main!$D$103+VLOOKUP(VLOOKUP(AI$1,main!$A$3:$I$102,7,FALSE),main!$K$26:$Q$29,5,FALSE)),1,0)</f>
        <v>0</v>
      </c>
      <c r="AJ226">
        <f>IF(AND(VLOOKUP(AJ$1,main!$A$3:$H$102,7,FALSE)=main!$G$105,VLOOKUP(AJ$1,main!$A$3:$H$102,5,FALSE)-VLOOKUP($A226,main!$A$3:$H$102,6,FALSE)&gt;=main!$D$103+VLOOKUP(VLOOKUP(AJ$1,main!$A$3:$I$102,7,FALSE),main!$K$26:$Q$29,5,FALSE)),1,0)</f>
        <v>0</v>
      </c>
      <c r="AK226">
        <f>IF(AND(VLOOKUP(AK$1,main!$A$3:$H$102,7,FALSE)=main!$G$105,VLOOKUP(AK$1,main!$A$3:$H$102,5,FALSE)-VLOOKUP($A226,main!$A$3:$H$102,6,FALSE)&gt;=main!$D$103+VLOOKUP(VLOOKUP(AK$1,main!$A$3:$I$102,7,FALSE),main!$K$26:$Q$29,5,FALSE)),1,0)</f>
        <v>1</v>
      </c>
      <c r="AL226">
        <f>IF(AND(VLOOKUP(AL$1,main!$A$3:$H$102,7,FALSE)=main!$G$105,VLOOKUP(AL$1,main!$A$3:$H$102,5,FALSE)-VLOOKUP($A226,main!$A$3:$H$102,6,FALSE)&gt;=main!$D$103+VLOOKUP(VLOOKUP(AL$1,main!$A$3:$I$102,7,FALSE),main!$K$26:$Q$29,5,FALSE)),1,0)</f>
        <v>1</v>
      </c>
      <c r="AM226">
        <f>IF(AND(VLOOKUP(AM$1,main!$A$3:$H$102,7,FALSE)=main!$G$105,VLOOKUP(AM$1,main!$A$3:$H$102,5,FALSE)-VLOOKUP($A226,main!$A$3:$H$102,6,FALSE)&gt;=main!$D$103+VLOOKUP(VLOOKUP(AM$1,main!$A$3:$I$102,7,FALSE),main!$K$26:$Q$29,5,FALSE)),1,0)</f>
        <v>1</v>
      </c>
      <c r="AN226">
        <f>IF(AND(VLOOKUP(AN$1,main!$A$3:$H$102,7,FALSE)=main!$G$105,VLOOKUP(AN$1,main!$A$3:$H$102,5,FALSE)-VLOOKUP($A226,main!$A$3:$H$102,6,FALSE)&gt;=main!$D$103+VLOOKUP(VLOOKUP(AN$1,main!$A$3:$I$102,7,FALSE),main!$K$26:$Q$29,5,FALSE)),1,0)</f>
        <v>1</v>
      </c>
      <c r="AO226">
        <f>IF(AND(VLOOKUP(AO$1,main!$A$3:$H$102,7,FALSE)=main!$G$105,VLOOKUP(AO$1,main!$A$3:$H$102,5,FALSE)-VLOOKUP($A226,main!$A$3:$H$102,6,FALSE)&gt;=main!$D$103+VLOOKUP(VLOOKUP(AO$1,main!$A$3:$I$102,7,FALSE),main!$K$26:$Q$29,5,FALSE)),1,0)</f>
        <v>0</v>
      </c>
      <c r="AP226">
        <f>IF(AND(VLOOKUP(AP$1,main!$A$3:$H$102,7,FALSE)=main!$G$105,VLOOKUP(AP$1,main!$A$3:$H$102,5,FALSE)-VLOOKUP($A226,main!$A$3:$H$102,6,FALSE)&gt;=main!$D$103+VLOOKUP(VLOOKUP(AP$1,main!$A$3:$I$102,7,FALSE),main!$K$26:$Q$29,5,FALSE)),1,0)</f>
        <v>1</v>
      </c>
      <c r="AQ226">
        <f>IF(AND(VLOOKUP(AQ$1,main!$A$3:$H$102,7,FALSE)=main!$G$105,VLOOKUP(AQ$1,main!$A$3:$H$102,5,FALSE)-VLOOKUP($A226,main!$A$3:$H$102,6,FALSE)&gt;=main!$D$103+VLOOKUP(VLOOKUP(AQ$1,main!$A$3:$I$102,7,FALSE),main!$K$26:$Q$29,5,FALSE)),1,0)</f>
        <v>0</v>
      </c>
      <c r="AR226">
        <f>IF(AND(VLOOKUP(AR$1,main!$A$3:$H$102,7,FALSE)=main!$G$105,VLOOKUP(AR$1,main!$A$3:$H$102,5,FALSE)-VLOOKUP($A226,main!$A$3:$H$102,6,FALSE)&gt;=main!$D$103+VLOOKUP(VLOOKUP(AR$1,main!$A$3:$I$102,7,FALSE),main!$K$26:$Q$29,5,FALSE)),1,0)</f>
        <v>0</v>
      </c>
      <c r="AS226">
        <f>IF(AND(VLOOKUP(AS$1,main!$A$3:$H$102,7,FALSE)=main!$G$105,VLOOKUP(AS$1,main!$A$3:$H$102,5,FALSE)-VLOOKUP($A226,main!$A$3:$H$102,6,FALSE)&gt;=main!$D$103+VLOOKUP(VLOOKUP(AS$1,main!$A$3:$I$102,7,FALSE),main!$K$26:$Q$29,5,FALSE)),1,0)</f>
        <v>0</v>
      </c>
      <c r="AT226">
        <f>IF(AND(VLOOKUP(AT$1,main!$A$3:$H$102,7,FALSE)=main!$G$105,VLOOKUP(AT$1,main!$A$3:$H$102,5,FALSE)-VLOOKUP($A226,main!$A$3:$H$102,6,FALSE)&gt;=main!$D$103+VLOOKUP(VLOOKUP(AT$1,main!$A$3:$I$102,7,FALSE),main!$K$26:$Q$29,5,FALSE)),1,0)</f>
        <v>1</v>
      </c>
      <c r="AU226">
        <f>IF(AND(VLOOKUP(AU$1,main!$A$3:$H$102,7,FALSE)=main!$G$105,VLOOKUP(AU$1,main!$A$3:$H$102,5,FALSE)-VLOOKUP($A226,main!$A$3:$H$102,6,FALSE)&gt;=main!$D$103+VLOOKUP(VLOOKUP(AU$1,main!$A$3:$I$102,7,FALSE),main!$K$26:$Q$29,5,FALSE)),1,0)</f>
        <v>0</v>
      </c>
      <c r="AV226">
        <f>IF(AND(VLOOKUP(AV$1,main!$A$3:$H$102,7,FALSE)=main!$G$105,VLOOKUP(AV$1,main!$A$3:$H$102,5,FALSE)-VLOOKUP($A226,main!$A$3:$H$102,6,FALSE)&gt;=main!$D$103+VLOOKUP(VLOOKUP(AV$1,main!$A$3:$I$102,7,FALSE),main!$K$26:$Q$29,5,FALSE)),1,0)</f>
        <v>0</v>
      </c>
      <c r="AW226">
        <f>IF(AND(VLOOKUP(AW$1,main!$A$3:$H$102,7,FALSE)=main!$G$105,VLOOKUP(AW$1,main!$A$3:$H$102,5,FALSE)-VLOOKUP($A226,main!$A$3:$H$102,6,FALSE)&gt;=main!$D$103+VLOOKUP(VLOOKUP(AW$1,main!$A$3:$I$102,7,FALSE),main!$K$26:$Q$29,5,FALSE)),1,0)</f>
        <v>1</v>
      </c>
      <c r="AX226">
        <f>IF(AND(VLOOKUP(AX$1,main!$A$3:$H$102,7,FALSE)=main!$G$105,VLOOKUP(AX$1,main!$A$3:$H$102,5,FALSE)-VLOOKUP($A226,main!$A$3:$H$102,6,FALSE)&gt;=main!$D$103+VLOOKUP(VLOOKUP(AX$1,main!$A$3:$I$102,7,FALSE),main!$K$26:$Q$29,5,FALSE)),1,0)</f>
        <v>0</v>
      </c>
      <c r="AY226">
        <f>IF(AND(VLOOKUP(AY$1,main!$A$3:$H$102,7,FALSE)=main!$G$105,VLOOKUP(AY$1,main!$A$3:$H$102,5,FALSE)-VLOOKUP($A226,main!$A$3:$H$102,6,FALSE)&gt;=main!$D$103+VLOOKUP(VLOOKUP(AY$1,main!$A$3:$I$102,7,FALSE),main!$K$26:$Q$29,5,FALSE)),1,0)</f>
        <v>0</v>
      </c>
      <c r="AZ226">
        <f>IF(AND(VLOOKUP(AZ$1,main!$A$3:$H$102,7,FALSE)=main!$G$105,VLOOKUP(AZ$1,main!$A$3:$H$102,5,FALSE)-VLOOKUP($A226,main!$A$3:$H$102,6,FALSE)&gt;=main!$D$103+VLOOKUP(VLOOKUP(AZ$1,main!$A$3:$I$102,7,FALSE),main!$K$26:$Q$29,5,FALSE)),1,0)</f>
        <v>0</v>
      </c>
      <c r="BA226">
        <f>IF(AND(VLOOKUP(BA$1,main!$A$3:$H$102,7,FALSE)=main!$G$105,VLOOKUP(BA$1,main!$A$3:$H$102,5,FALSE)-VLOOKUP($A226,main!$A$3:$H$102,6,FALSE)&gt;=main!$D$103+VLOOKUP(VLOOKUP(BA$1,main!$A$3:$I$102,7,FALSE),main!$K$26:$Q$29,5,FALSE)),1,0)</f>
        <v>0</v>
      </c>
      <c r="BB226">
        <f>IF(AND(VLOOKUP(BB$1,main!$A$3:$H$102,7,FALSE)=main!$G$105,VLOOKUP(BB$1,main!$A$3:$H$102,5,FALSE)-VLOOKUP($A226,main!$A$3:$H$102,6,FALSE)&gt;=main!$D$103+VLOOKUP(VLOOKUP(BB$1,main!$A$3:$I$102,7,FALSE),main!$K$26:$Q$29,5,FALSE)),1,0)</f>
        <v>0</v>
      </c>
      <c r="BC226">
        <f>IF(AND(VLOOKUP(BC$1,main!$A$3:$H$102,7,FALSE)=main!$G$105,VLOOKUP(BC$1,main!$A$3:$H$102,5,FALSE)-VLOOKUP($A226,main!$A$3:$H$102,6,FALSE)&gt;=main!$D$103+VLOOKUP(VLOOKUP(BC$1,main!$A$3:$I$102,7,FALSE),main!$K$26:$Q$29,5,FALSE)),1,0)</f>
        <v>0</v>
      </c>
      <c r="BD226">
        <f>IF(AND(VLOOKUP(BD$1,main!$A$3:$H$102,7,FALSE)=main!$G$105,VLOOKUP(BD$1,main!$A$3:$H$102,5,FALSE)-VLOOKUP($A226,main!$A$3:$H$102,6,FALSE)&gt;=main!$D$103+VLOOKUP(VLOOKUP(BD$1,main!$A$3:$I$102,7,FALSE),main!$K$26:$Q$29,5,FALSE)),1,0)</f>
        <v>0</v>
      </c>
      <c r="BE226">
        <f>IF(AND(VLOOKUP(BE$1,main!$A$3:$H$102,7,FALSE)=main!$G$105,VLOOKUP(BE$1,main!$A$3:$H$102,5,FALSE)-VLOOKUP($A226,main!$A$3:$H$102,6,FALSE)&gt;=main!$D$103+VLOOKUP(VLOOKUP(BE$1,main!$A$3:$I$102,7,FALSE),main!$K$26:$Q$29,5,FALSE)),1,0)</f>
        <v>0</v>
      </c>
      <c r="BF226">
        <f>IF(AND(VLOOKUP(BF$1,main!$A$3:$H$102,7,FALSE)=main!$G$105,VLOOKUP(BF$1,main!$A$3:$H$102,5,FALSE)-VLOOKUP($A226,main!$A$3:$H$102,6,FALSE)&gt;=main!$D$103+VLOOKUP(VLOOKUP(BF$1,main!$A$3:$I$102,7,FALSE),main!$K$26:$Q$29,5,FALSE)),1,0)</f>
        <v>0</v>
      </c>
      <c r="BG226">
        <f>IF(AND(VLOOKUP(BG$1,main!$A$3:$H$102,7,FALSE)=main!$G$105,VLOOKUP(BG$1,main!$A$3:$H$102,5,FALSE)-VLOOKUP($A226,main!$A$3:$H$102,6,FALSE)&gt;=main!$D$103+VLOOKUP(VLOOKUP(BG$1,main!$A$3:$I$102,7,FALSE),main!$K$26:$Q$29,5,FALSE)),1,0)</f>
        <v>0</v>
      </c>
      <c r="BH226">
        <f>IF(AND(VLOOKUP(BH$1,main!$A$3:$H$102,7,FALSE)=main!$G$105,VLOOKUP(BH$1,main!$A$3:$H$102,5,FALSE)-VLOOKUP($A226,main!$A$3:$H$102,6,FALSE)&gt;=main!$D$103+VLOOKUP(VLOOKUP(BH$1,main!$A$3:$I$102,7,FALSE),main!$K$26:$Q$29,5,FALSE)),1,0)</f>
        <v>0</v>
      </c>
      <c r="BI226">
        <f>IF(AND(VLOOKUP(BI$1,main!$A$3:$H$102,7,FALSE)=main!$G$105,VLOOKUP(BI$1,main!$A$3:$H$102,5,FALSE)-VLOOKUP($A226,main!$A$3:$H$102,6,FALSE)&gt;=main!$D$103+VLOOKUP(VLOOKUP(BI$1,main!$A$3:$I$102,7,FALSE),main!$K$26:$Q$29,5,FALSE)),1,0)</f>
        <v>0</v>
      </c>
      <c r="BJ226">
        <f>IF(AND(VLOOKUP(BJ$1,main!$A$3:$H$102,7,FALSE)=main!$G$105,VLOOKUP(BJ$1,main!$A$3:$H$102,5,FALSE)-VLOOKUP($A226,main!$A$3:$H$102,6,FALSE)&gt;=main!$D$103+VLOOKUP(VLOOKUP(BJ$1,main!$A$3:$I$102,7,FALSE),main!$K$26:$Q$29,5,FALSE)),1,0)</f>
        <v>0</v>
      </c>
      <c r="BK226">
        <f>IF(AND(VLOOKUP(BK$1,main!$A$3:$H$102,7,FALSE)=main!$G$105,VLOOKUP(BK$1,main!$A$3:$H$102,5,FALSE)-VLOOKUP($A226,main!$A$3:$H$102,6,FALSE)&gt;=main!$D$103+VLOOKUP(VLOOKUP(BK$1,main!$A$3:$I$102,7,FALSE),main!$K$26:$Q$29,5,FALSE)),1,0)</f>
        <v>0</v>
      </c>
      <c r="BL226">
        <f>IF(AND(VLOOKUP(BL$1,main!$A$3:$H$102,7,FALSE)=main!$G$105,VLOOKUP(BL$1,main!$A$3:$H$102,5,FALSE)-VLOOKUP($A226,main!$A$3:$H$102,6,FALSE)&gt;=main!$D$103+VLOOKUP(VLOOKUP(BL$1,main!$A$3:$I$102,7,FALSE),main!$K$26:$Q$29,5,FALSE)),1,0)</f>
        <v>0</v>
      </c>
      <c r="BM226">
        <f>IF(AND(VLOOKUP(BM$1,main!$A$3:$H$102,7,FALSE)=main!$G$105,VLOOKUP(BM$1,main!$A$3:$H$102,5,FALSE)-VLOOKUP($A226,main!$A$3:$H$102,6,FALSE)&gt;=main!$D$103+VLOOKUP(VLOOKUP(BM$1,main!$A$3:$I$102,7,FALSE),main!$K$26:$Q$29,5,FALSE)),1,0)</f>
        <v>0</v>
      </c>
      <c r="BN226">
        <f>IF(AND(VLOOKUP(BN$1,main!$A$3:$H$102,7,FALSE)=main!$G$105,VLOOKUP(BN$1,main!$A$3:$H$102,5,FALSE)-VLOOKUP($A226,main!$A$3:$H$102,6,FALSE)&gt;=main!$D$103+VLOOKUP(VLOOKUP(BN$1,main!$A$3:$I$102,7,FALSE),main!$K$26:$Q$29,5,FALSE)),1,0)</f>
        <v>0</v>
      </c>
      <c r="BO226">
        <f>IF(AND(VLOOKUP(BO$1,main!$A$3:$H$102,7,FALSE)=main!$G$105,VLOOKUP(BO$1,main!$A$3:$H$102,5,FALSE)-VLOOKUP($A226,main!$A$3:$H$102,6,FALSE)&gt;=main!$D$103+VLOOKUP(VLOOKUP(BO$1,main!$A$3:$I$102,7,FALSE),main!$K$26:$Q$29,5,FALSE)),1,0)</f>
        <v>0</v>
      </c>
      <c r="BP226">
        <f>IF(AND(VLOOKUP(BP$1,main!$A$3:$H$102,7,FALSE)=main!$G$105,VLOOKUP(BP$1,main!$A$3:$H$102,5,FALSE)-VLOOKUP($A226,main!$A$3:$H$102,6,FALSE)&gt;=main!$D$103+VLOOKUP(VLOOKUP(BP$1,main!$A$3:$I$102,7,FALSE),main!$K$26:$Q$29,5,FALSE)),1,0)</f>
        <v>0</v>
      </c>
      <c r="BQ226">
        <f>IF(AND(VLOOKUP(BQ$1,main!$A$3:$H$102,7,FALSE)=main!$G$105,VLOOKUP(BQ$1,main!$A$3:$H$102,5,FALSE)-VLOOKUP($A226,main!$A$3:$H$102,6,FALSE)&gt;=main!$D$103+VLOOKUP(VLOOKUP(BQ$1,main!$A$3:$I$102,7,FALSE),main!$K$26:$Q$29,5,FALSE)),1,0)</f>
        <v>0</v>
      </c>
      <c r="BR226">
        <f>IF(AND(VLOOKUP(BR$1,main!$A$3:$H$102,7,FALSE)=main!$G$105,VLOOKUP(BR$1,main!$A$3:$H$102,5,FALSE)-VLOOKUP($A226,main!$A$3:$H$102,6,FALSE)&gt;=main!$D$103+VLOOKUP(VLOOKUP(BR$1,main!$A$3:$I$102,7,FALSE),main!$K$26:$Q$29,5,FALSE)),1,0)</f>
        <v>0</v>
      </c>
      <c r="BS226">
        <f>IF(AND(VLOOKUP(BS$1,main!$A$3:$H$102,7,FALSE)=main!$G$105,VLOOKUP(BS$1,main!$A$3:$H$102,5,FALSE)-VLOOKUP($A226,main!$A$3:$H$102,6,FALSE)&gt;=main!$D$103+VLOOKUP(VLOOKUP(BS$1,main!$A$3:$I$102,7,FALSE),main!$K$26:$Q$29,5,FALSE)),1,0)</f>
        <v>0</v>
      </c>
      <c r="BT226">
        <f>IF(AND(VLOOKUP(BT$1,main!$A$3:$H$102,7,FALSE)=main!$G$105,VLOOKUP(BT$1,main!$A$3:$H$102,5,FALSE)-VLOOKUP($A226,main!$A$3:$H$102,6,FALSE)&gt;=main!$D$103+VLOOKUP(VLOOKUP(BT$1,main!$A$3:$I$102,7,FALSE),main!$K$26:$Q$29,5,FALSE)),1,0)</f>
        <v>0</v>
      </c>
      <c r="BU226">
        <f>IF(AND(VLOOKUP(BU$1,main!$A$3:$H$102,7,FALSE)=main!$G$105,VLOOKUP(BU$1,main!$A$3:$H$102,5,FALSE)-VLOOKUP($A226,main!$A$3:$H$102,6,FALSE)&gt;=main!$D$103+VLOOKUP(VLOOKUP(BU$1,main!$A$3:$I$102,7,FALSE),main!$K$26:$Q$29,5,FALSE)),1,0)</f>
        <v>0</v>
      </c>
      <c r="BV226">
        <f>IF(AND(VLOOKUP(BV$1,main!$A$3:$H$102,7,FALSE)=main!$G$105,VLOOKUP(BV$1,main!$A$3:$H$102,5,FALSE)-VLOOKUP($A226,main!$A$3:$H$102,6,FALSE)&gt;=main!$D$103+VLOOKUP(VLOOKUP(BV$1,main!$A$3:$I$102,7,FALSE),main!$K$26:$Q$29,5,FALSE)),1,0)</f>
        <v>0</v>
      </c>
      <c r="BW226">
        <f>IF(AND(VLOOKUP(BW$1,main!$A$3:$H$102,7,FALSE)=main!$G$105,VLOOKUP(BW$1,main!$A$3:$H$102,5,FALSE)-VLOOKUP($A226,main!$A$3:$H$102,6,FALSE)&gt;=main!$D$103+VLOOKUP(VLOOKUP(BW$1,main!$A$3:$I$102,7,FALSE),main!$K$26:$Q$29,5,FALSE)),1,0)</f>
        <v>0</v>
      </c>
      <c r="BX226">
        <f>IF(AND(VLOOKUP(BX$1,main!$A$3:$H$102,7,FALSE)=main!$G$105,VLOOKUP(BX$1,main!$A$3:$H$102,5,FALSE)-VLOOKUP($A226,main!$A$3:$H$102,6,FALSE)&gt;=main!$D$103+VLOOKUP(VLOOKUP(BX$1,main!$A$3:$I$102,7,FALSE),main!$K$26:$Q$29,5,FALSE)),1,0)</f>
        <v>0</v>
      </c>
      <c r="BY226">
        <f>IF(AND(VLOOKUP(BY$1,main!$A$3:$H$102,7,FALSE)=main!$G$105,VLOOKUP(BY$1,main!$A$3:$H$102,5,FALSE)-VLOOKUP($A226,main!$A$3:$H$102,6,FALSE)&gt;=main!$D$103+VLOOKUP(VLOOKUP(BY$1,main!$A$3:$I$102,7,FALSE),main!$K$26:$Q$29,5,FALSE)),1,0)</f>
        <v>0</v>
      </c>
      <c r="BZ226">
        <f>IF(AND(VLOOKUP(BZ$1,main!$A$3:$H$102,7,FALSE)=main!$G$105,VLOOKUP(BZ$1,main!$A$3:$H$102,5,FALSE)-VLOOKUP($A226,main!$A$3:$H$102,6,FALSE)&gt;=main!$D$103+VLOOKUP(VLOOKUP(BZ$1,main!$A$3:$I$102,7,FALSE),main!$K$26:$Q$29,5,FALSE)),1,0)</f>
        <v>0</v>
      </c>
      <c r="CA226">
        <f>IF(AND(VLOOKUP(CA$1,main!$A$3:$H$102,7,FALSE)=main!$G$105,VLOOKUP(CA$1,main!$A$3:$H$102,5,FALSE)-VLOOKUP($A226,main!$A$3:$H$102,6,FALSE)&gt;=main!$D$103+VLOOKUP(VLOOKUP(CA$1,main!$A$3:$I$102,7,FALSE),main!$K$26:$Q$29,5,FALSE)),1,0)</f>
        <v>0</v>
      </c>
      <c r="CB226">
        <f>IF(AND(VLOOKUP(CB$1,main!$A$3:$H$102,7,FALSE)=main!$G$105,VLOOKUP(CB$1,main!$A$3:$H$102,5,FALSE)-VLOOKUP($A226,main!$A$3:$H$102,6,FALSE)&gt;=main!$D$103+VLOOKUP(VLOOKUP(CB$1,main!$A$3:$I$102,7,FALSE),main!$K$26:$Q$29,5,FALSE)),1,0)</f>
        <v>0</v>
      </c>
      <c r="CC226">
        <f>IF(AND(VLOOKUP(CC$1,main!$A$3:$H$102,7,FALSE)=main!$G$105,VLOOKUP(CC$1,main!$A$3:$H$102,5,FALSE)-VLOOKUP($A226,main!$A$3:$H$102,6,FALSE)&gt;=main!$D$103+VLOOKUP(VLOOKUP(CC$1,main!$A$3:$I$102,7,FALSE),main!$K$26:$Q$29,5,FALSE)),1,0)</f>
        <v>0</v>
      </c>
      <c r="CD226">
        <f>IF(AND(VLOOKUP(CD$1,main!$A$3:$H$102,7,FALSE)=main!$G$105,VLOOKUP(CD$1,main!$A$3:$H$102,5,FALSE)-VLOOKUP($A226,main!$A$3:$H$102,6,FALSE)&gt;=main!$D$103+VLOOKUP(VLOOKUP(CD$1,main!$A$3:$I$102,7,FALSE),main!$K$26:$Q$29,5,FALSE)),1,0)</f>
        <v>0</v>
      </c>
      <c r="CE226">
        <f>IF(AND(VLOOKUP(CE$1,main!$A$3:$H$102,7,FALSE)=main!$G$105,VLOOKUP(CE$1,main!$A$3:$H$102,5,FALSE)-VLOOKUP($A226,main!$A$3:$H$102,6,FALSE)&gt;=main!$D$103+VLOOKUP(VLOOKUP(CE$1,main!$A$3:$I$102,7,FALSE),main!$K$26:$Q$29,5,FALSE)),1,0)</f>
        <v>0</v>
      </c>
      <c r="CF226">
        <f>IF(AND(VLOOKUP(CF$1,main!$A$3:$H$102,7,FALSE)=main!$G$105,VLOOKUP(CF$1,main!$A$3:$H$102,5,FALSE)-VLOOKUP($A226,main!$A$3:$H$102,6,FALSE)&gt;=main!$D$103+VLOOKUP(VLOOKUP(CF$1,main!$A$3:$I$102,7,FALSE),main!$K$26:$Q$29,5,FALSE)),1,0)</f>
        <v>0</v>
      </c>
      <c r="CG226">
        <f>IF(AND(VLOOKUP(CG$1,main!$A$3:$H$102,7,FALSE)=main!$G$105,VLOOKUP(CG$1,main!$A$3:$H$102,5,FALSE)-VLOOKUP($A226,main!$A$3:$H$102,6,FALSE)&gt;=main!$D$103+VLOOKUP(VLOOKUP(CG$1,main!$A$3:$I$102,7,FALSE),main!$K$26:$Q$29,5,FALSE)),1,0)</f>
        <v>0</v>
      </c>
      <c r="CH226">
        <f>IF(AND(VLOOKUP(CH$1,main!$A$3:$H$102,7,FALSE)=main!$G$105,VLOOKUP(CH$1,main!$A$3:$H$102,5,FALSE)-VLOOKUP($A226,main!$A$3:$H$102,6,FALSE)&gt;=main!$D$103+VLOOKUP(VLOOKUP(CH$1,main!$A$3:$I$102,7,FALSE),main!$K$26:$Q$29,5,FALSE)),1,0)</f>
        <v>0</v>
      </c>
      <c r="CI226">
        <f>IF(AND(VLOOKUP(CI$1,main!$A$3:$H$102,7,FALSE)=main!$G$105,VLOOKUP(CI$1,main!$A$3:$H$102,5,FALSE)-VLOOKUP($A226,main!$A$3:$H$102,6,FALSE)&gt;=main!$D$103+VLOOKUP(VLOOKUP(CI$1,main!$A$3:$I$102,7,FALSE),main!$K$26:$Q$29,5,FALSE)),1,0)</f>
        <v>0</v>
      </c>
      <c r="CJ226">
        <f>IF(AND(VLOOKUP(CJ$1,main!$A$3:$H$102,7,FALSE)=main!$G$105,VLOOKUP(CJ$1,main!$A$3:$H$102,5,FALSE)-VLOOKUP($A226,main!$A$3:$H$102,6,FALSE)&gt;=main!$D$103+VLOOKUP(VLOOKUP(CJ$1,main!$A$3:$I$102,7,FALSE),main!$K$26:$Q$29,5,FALSE)),1,0)</f>
        <v>0</v>
      </c>
      <c r="CK226">
        <f>IF(AND(VLOOKUP(CK$1,main!$A$3:$H$102,7,FALSE)=main!$G$105,VLOOKUP(CK$1,main!$A$3:$H$102,5,FALSE)-VLOOKUP($A226,main!$A$3:$H$102,6,FALSE)&gt;=main!$D$103+VLOOKUP(VLOOKUP(CK$1,main!$A$3:$I$102,7,FALSE),main!$K$26:$Q$29,5,FALSE)),1,0)</f>
        <v>0</v>
      </c>
      <c r="CL226">
        <f>IF(AND(VLOOKUP(CL$1,main!$A$3:$H$102,7,FALSE)=main!$G$105,VLOOKUP(CL$1,main!$A$3:$H$102,5,FALSE)-VLOOKUP($A226,main!$A$3:$H$102,6,FALSE)&gt;=main!$D$103+VLOOKUP(VLOOKUP(CL$1,main!$A$3:$I$102,7,FALSE),main!$K$26:$Q$29,5,FALSE)),1,0)</f>
        <v>0</v>
      </c>
      <c r="CM226">
        <f>IF(AND(VLOOKUP(CM$1,main!$A$3:$H$102,7,FALSE)=main!$G$105,VLOOKUP(CM$1,main!$A$3:$H$102,5,FALSE)-VLOOKUP($A226,main!$A$3:$H$102,6,FALSE)&gt;=main!$D$103+VLOOKUP(VLOOKUP(CM$1,main!$A$3:$I$102,7,FALSE),main!$K$26:$Q$29,5,FALSE)),1,0)</f>
        <v>0</v>
      </c>
      <c r="CN226">
        <f>IF(AND(VLOOKUP(CN$1,main!$A$3:$H$102,7,FALSE)=main!$G$105,VLOOKUP(CN$1,main!$A$3:$H$102,5,FALSE)-VLOOKUP($A226,main!$A$3:$H$102,6,FALSE)&gt;=main!$D$103+VLOOKUP(VLOOKUP(CN$1,main!$A$3:$I$102,7,FALSE),main!$K$26:$Q$29,5,FALSE)),1,0)</f>
        <v>0</v>
      </c>
      <c r="CO226">
        <f>IF(AND(VLOOKUP(CO$1,main!$A$3:$H$102,7,FALSE)=main!$G$105,VLOOKUP(CO$1,main!$A$3:$H$102,5,FALSE)-VLOOKUP($A226,main!$A$3:$H$102,6,FALSE)&gt;=main!$D$103+VLOOKUP(VLOOKUP(CO$1,main!$A$3:$I$102,7,FALSE),main!$K$26:$Q$29,5,FALSE)),1,0)</f>
        <v>0</v>
      </c>
      <c r="CP226">
        <f>IF(AND(VLOOKUP(CP$1,main!$A$3:$H$102,7,FALSE)=main!$G$105,VLOOKUP(CP$1,main!$A$3:$H$102,5,FALSE)-VLOOKUP($A226,main!$A$3:$H$102,6,FALSE)&gt;=main!$D$103+VLOOKUP(VLOOKUP(CP$1,main!$A$3:$I$102,7,FALSE),main!$K$26:$Q$29,5,FALSE)),1,0)</f>
        <v>0</v>
      </c>
      <c r="CQ226">
        <f>IF(AND(VLOOKUP(CQ$1,main!$A$3:$H$102,7,FALSE)=main!$G$105,VLOOKUP(CQ$1,main!$A$3:$H$102,5,FALSE)-VLOOKUP($A226,main!$A$3:$H$102,6,FALSE)&gt;=main!$D$103+VLOOKUP(VLOOKUP(CQ$1,main!$A$3:$I$102,7,FALSE),main!$K$26:$Q$29,5,FALSE)),1,0)</f>
        <v>0</v>
      </c>
      <c r="CR226">
        <f>IF(AND(VLOOKUP(CR$1,main!$A$3:$H$102,7,FALSE)=main!$G$105,VLOOKUP(CR$1,main!$A$3:$H$102,5,FALSE)-VLOOKUP($A226,main!$A$3:$H$102,6,FALSE)&gt;=main!$D$103+VLOOKUP(VLOOKUP(CR$1,main!$A$3:$I$102,7,FALSE),main!$K$26:$Q$29,5,FALSE)),1,0)</f>
        <v>0</v>
      </c>
      <c r="CS226">
        <f>IF(AND(VLOOKUP(CS$1,main!$A$3:$H$102,7,FALSE)=main!$G$105,VLOOKUP(CS$1,main!$A$3:$H$102,5,FALSE)-VLOOKUP($A226,main!$A$3:$H$102,6,FALSE)&gt;=main!$D$103+VLOOKUP(VLOOKUP(CS$1,main!$A$3:$I$102,7,FALSE),main!$K$26:$Q$29,5,FALSE)),1,0)</f>
        <v>0</v>
      </c>
      <c r="CT226">
        <f>IF(AND(VLOOKUP(CT$1,main!$A$3:$H$102,7,FALSE)=main!$G$105,VLOOKUP(CT$1,main!$A$3:$H$102,5,FALSE)-VLOOKUP($A226,main!$A$3:$H$102,6,FALSE)&gt;=main!$D$103+VLOOKUP(VLOOKUP(CT$1,main!$A$3:$I$102,7,FALSE),main!$K$26:$Q$29,5,FALSE)),1,0)</f>
        <v>0</v>
      </c>
      <c r="CU226">
        <f>IF(AND(VLOOKUP(CU$1,main!$A$3:$H$102,7,FALSE)=main!$G$105,VLOOKUP(CU$1,main!$A$3:$H$102,5,FALSE)-VLOOKUP($A226,main!$A$3:$H$102,6,FALSE)&gt;=main!$D$103+VLOOKUP(VLOOKUP(CU$1,main!$A$3:$I$102,7,FALSE),main!$K$26:$Q$29,5,FALSE)),1,0)</f>
        <v>0</v>
      </c>
      <c r="CV226">
        <f>IF(AND(VLOOKUP(CV$1,main!$A$3:$H$102,7,FALSE)=main!$G$105,VLOOKUP(CV$1,main!$A$3:$H$102,5,FALSE)-VLOOKUP($A226,main!$A$3:$H$102,6,FALSE)&gt;=main!$D$103+VLOOKUP(VLOOKUP(CV$1,main!$A$3:$I$102,7,FALSE),main!$K$26:$Q$29,5,FALSE)),1,0)</f>
        <v>0</v>
      </c>
      <c r="CW226">
        <f>IF(AND(VLOOKUP(CW$1,main!$A$3:$H$102,7,FALSE)=main!$G$105,VLOOKUP(CW$1,main!$A$3:$H$102,5,FALSE)-VLOOKUP($A226,main!$A$3:$H$102,6,FALSE)&gt;=main!$D$103+VLOOKUP(VLOOKUP(CW$1,main!$A$3:$I$102,7,FALSE),main!$K$26:$Q$29,5,FALSE)),1,0)</f>
        <v>0</v>
      </c>
      <c r="CX226">
        <f>IF(AND(VLOOKUP(CX$1,main!$A$3:$H$102,7,FALSE)=main!$G$105,VLOOKUP(CX$1,main!$A$3:$H$102,5,FALSE)-VLOOKUP($A226,main!$A$3:$H$102,6,FALSE)&gt;=main!$D$103+VLOOKUP(VLOOKUP(CX$1,main!$A$3:$I$102,7,FALSE),main!$K$26:$Q$29,5,FALSE)),1,0)</f>
        <v>0</v>
      </c>
    </row>
    <row r="227" spans="1:102" x14ac:dyDescent="0.25">
      <c r="A227" s="1">
        <v>23</v>
      </c>
      <c r="B227">
        <v>0</v>
      </c>
      <c r="C227">
        <f>IF(AND(VLOOKUP(C$1,main!$A$3:$H$102,7,FALSE)=main!$G$105,VLOOKUP(C$1,main!$A$3:$H$102,5,FALSE)-VLOOKUP($A227,main!$A$3:$H$102,6,FALSE)&gt;=main!$D$103+VLOOKUP(VLOOKUP(C$1,main!$A$3:$I$102,7,FALSE),main!$K$26:$Q$29,5,FALSE)),1,0)</f>
        <v>0</v>
      </c>
      <c r="D227">
        <f>IF(AND(VLOOKUP(D$1,main!$A$3:$H$102,7,FALSE)=main!$G$105,VLOOKUP(D$1,main!$A$3:$H$102,5,FALSE)-VLOOKUP($A227,main!$A$3:$H$102,6,FALSE)&gt;=main!$D$103+VLOOKUP(VLOOKUP(D$1,main!$A$3:$I$102,7,FALSE),main!$K$26:$Q$29,5,FALSE)),1,0)</f>
        <v>0</v>
      </c>
      <c r="E227">
        <f>IF(AND(VLOOKUP(E$1,main!$A$3:$H$102,7,FALSE)=main!$G$105,VLOOKUP(E$1,main!$A$3:$H$102,5,FALSE)-VLOOKUP($A227,main!$A$3:$H$102,6,FALSE)&gt;=main!$D$103+VLOOKUP(VLOOKUP(E$1,main!$A$3:$I$102,7,FALSE),main!$K$26:$Q$29,5,FALSE)),1,0)</f>
        <v>0</v>
      </c>
      <c r="F227">
        <f>IF(AND(VLOOKUP(F$1,main!$A$3:$H$102,7,FALSE)=main!$G$105,VLOOKUP(F$1,main!$A$3:$H$102,5,FALSE)-VLOOKUP($A227,main!$A$3:$H$102,6,FALSE)&gt;=main!$D$103+VLOOKUP(VLOOKUP(F$1,main!$A$3:$I$102,7,FALSE),main!$K$26:$Q$29,5,FALSE)),1,0)</f>
        <v>0</v>
      </c>
      <c r="G227">
        <f>IF(AND(VLOOKUP(G$1,main!$A$3:$H$102,7,FALSE)=main!$G$105,VLOOKUP(G$1,main!$A$3:$H$102,5,FALSE)-VLOOKUP($A227,main!$A$3:$H$102,6,FALSE)&gt;=main!$D$103+VLOOKUP(VLOOKUP(G$1,main!$A$3:$I$102,7,FALSE),main!$K$26:$Q$29,5,FALSE)),1,0)</f>
        <v>0</v>
      </c>
      <c r="H227">
        <f>IF(AND(VLOOKUP(H$1,main!$A$3:$H$102,7,FALSE)=main!$G$105,VLOOKUP(H$1,main!$A$3:$H$102,5,FALSE)-VLOOKUP($A227,main!$A$3:$H$102,6,FALSE)&gt;=main!$D$103+VLOOKUP(VLOOKUP(H$1,main!$A$3:$I$102,7,FALSE),main!$K$26:$Q$29,5,FALSE)),1,0)</f>
        <v>0</v>
      </c>
      <c r="I227">
        <f>IF(AND(VLOOKUP(I$1,main!$A$3:$H$102,7,FALSE)=main!$G$105,VLOOKUP(I$1,main!$A$3:$H$102,5,FALSE)-VLOOKUP($A227,main!$A$3:$H$102,6,FALSE)&gt;=main!$D$103+VLOOKUP(VLOOKUP(I$1,main!$A$3:$I$102,7,FALSE),main!$K$26:$Q$29,5,FALSE)),1,0)</f>
        <v>0</v>
      </c>
      <c r="J227">
        <f>IF(AND(VLOOKUP(J$1,main!$A$3:$H$102,7,FALSE)=main!$G$105,VLOOKUP(J$1,main!$A$3:$H$102,5,FALSE)-VLOOKUP($A227,main!$A$3:$H$102,6,FALSE)&gt;=main!$D$103+VLOOKUP(VLOOKUP(J$1,main!$A$3:$I$102,7,FALSE),main!$K$26:$Q$29,5,FALSE)),1,0)</f>
        <v>0</v>
      </c>
      <c r="K227">
        <f>IF(AND(VLOOKUP(K$1,main!$A$3:$H$102,7,FALSE)=main!$G$105,VLOOKUP(K$1,main!$A$3:$H$102,5,FALSE)-VLOOKUP($A227,main!$A$3:$H$102,6,FALSE)&gt;=main!$D$103+VLOOKUP(VLOOKUP(K$1,main!$A$3:$I$102,7,FALSE),main!$K$26:$Q$29,5,FALSE)),1,0)</f>
        <v>0</v>
      </c>
      <c r="L227">
        <f>IF(AND(VLOOKUP(L$1,main!$A$3:$H$102,7,FALSE)=main!$G$105,VLOOKUP(L$1,main!$A$3:$H$102,5,FALSE)-VLOOKUP($A227,main!$A$3:$H$102,6,FALSE)&gt;=main!$D$103+VLOOKUP(VLOOKUP(L$1,main!$A$3:$I$102,7,FALSE),main!$K$26:$Q$29,5,FALSE)),1,0)</f>
        <v>0</v>
      </c>
      <c r="M227">
        <f>IF(AND(VLOOKUP(M$1,main!$A$3:$H$102,7,FALSE)=main!$G$105,VLOOKUP(M$1,main!$A$3:$H$102,5,FALSE)-VLOOKUP($A227,main!$A$3:$H$102,6,FALSE)&gt;=main!$D$103+VLOOKUP(VLOOKUP(M$1,main!$A$3:$I$102,7,FALSE),main!$K$26:$Q$29,5,FALSE)),1,0)</f>
        <v>0</v>
      </c>
      <c r="N227">
        <f>IF(AND(VLOOKUP(N$1,main!$A$3:$H$102,7,FALSE)=main!$G$105,VLOOKUP(N$1,main!$A$3:$H$102,5,FALSE)-VLOOKUP($A227,main!$A$3:$H$102,6,FALSE)&gt;=main!$D$103+VLOOKUP(VLOOKUP(N$1,main!$A$3:$I$102,7,FALSE),main!$K$26:$Q$29,5,FALSE)),1,0)</f>
        <v>0</v>
      </c>
      <c r="O227">
        <f>IF(AND(VLOOKUP(O$1,main!$A$3:$H$102,7,FALSE)=main!$G$105,VLOOKUP(O$1,main!$A$3:$H$102,5,FALSE)-VLOOKUP($A227,main!$A$3:$H$102,6,FALSE)&gt;=main!$D$103+VLOOKUP(VLOOKUP(O$1,main!$A$3:$I$102,7,FALSE),main!$K$26:$Q$29,5,FALSE)),1,0)</f>
        <v>0</v>
      </c>
      <c r="P227">
        <f>IF(AND(VLOOKUP(P$1,main!$A$3:$H$102,7,FALSE)=main!$G$105,VLOOKUP(P$1,main!$A$3:$H$102,5,FALSE)-VLOOKUP($A227,main!$A$3:$H$102,6,FALSE)&gt;=main!$D$103+VLOOKUP(VLOOKUP(P$1,main!$A$3:$I$102,7,FALSE),main!$K$26:$Q$29,5,FALSE)),1,0)</f>
        <v>0</v>
      </c>
      <c r="Q227">
        <f>IF(AND(VLOOKUP(Q$1,main!$A$3:$H$102,7,FALSE)=main!$G$105,VLOOKUP(Q$1,main!$A$3:$H$102,5,FALSE)-VLOOKUP($A227,main!$A$3:$H$102,6,FALSE)&gt;=main!$D$103+VLOOKUP(VLOOKUP(Q$1,main!$A$3:$I$102,7,FALSE),main!$K$26:$Q$29,5,FALSE)),1,0)</f>
        <v>0</v>
      </c>
      <c r="R227">
        <f>IF(AND(VLOOKUP(R$1,main!$A$3:$H$102,7,FALSE)=main!$G$105,VLOOKUP(R$1,main!$A$3:$H$102,5,FALSE)-VLOOKUP($A227,main!$A$3:$H$102,6,FALSE)&gt;=main!$D$103+VLOOKUP(VLOOKUP(R$1,main!$A$3:$I$102,7,FALSE),main!$K$26:$Q$29,5,FALSE)),1,0)</f>
        <v>0</v>
      </c>
      <c r="S227">
        <f>IF(AND(VLOOKUP(S$1,main!$A$3:$H$102,7,FALSE)=main!$G$105,VLOOKUP(S$1,main!$A$3:$H$102,5,FALSE)-VLOOKUP($A227,main!$A$3:$H$102,6,FALSE)&gt;=main!$D$103+VLOOKUP(VLOOKUP(S$1,main!$A$3:$I$102,7,FALSE),main!$K$26:$Q$29,5,FALSE)),1,0)</f>
        <v>0</v>
      </c>
      <c r="T227">
        <f>IF(AND(VLOOKUP(T$1,main!$A$3:$H$102,7,FALSE)=main!$G$105,VLOOKUP(T$1,main!$A$3:$H$102,5,FALSE)-VLOOKUP($A227,main!$A$3:$H$102,6,FALSE)&gt;=main!$D$103+VLOOKUP(VLOOKUP(T$1,main!$A$3:$I$102,7,FALSE),main!$K$26:$Q$29,5,FALSE)),1,0)</f>
        <v>0</v>
      </c>
      <c r="U227">
        <f>IF(AND(VLOOKUP(U$1,main!$A$3:$H$102,7,FALSE)=main!$G$105,VLOOKUP(U$1,main!$A$3:$H$102,5,FALSE)-VLOOKUP($A227,main!$A$3:$H$102,6,FALSE)&gt;=main!$D$103+VLOOKUP(VLOOKUP(U$1,main!$A$3:$I$102,7,FALSE),main!$K$26:$Q$29,5,FALSE)),1,0)</f>
        <v>0</v>
      </c>
      <c r="V227">
        <f>IF(AND(VLOOKUP(V$1,main!$A$3:$H$102,7,FALSE)=main!$G$105,VLOOKUP(V$1,main!$A$3:$H$102,5,FALSE)-VLOOKUP($A227,main!$A$3:$H$102,6,FALSE)&gt;=main!$D$103+VLOOKUP(VLOOKUP(V$1,main!$A$3:$I$102,7,FALSE),main!$K$26:$Q$29,5,FALSE)),1,0)</f>
        <v>0</v>
      </c>
      <c r="W227">
        <f>IF(AND(VLOOKUP(W$1,main!$A$3:$H$102,7,FALSE)=main!$G$105,VLOOKUP(W$1,main!$A$3:$H$102,5,FALSE)-VLOOKUP($A227,main!$A$3:$H$102,6,FALSE)&gt;=main!$D$103+VLOOKUP(VLOOKUP(W$1,main!$A$3:$I$102,7,FALSE),main!$K$26:$Q$29,5,FALSE)),1,0)</f>
        <v>0</v>
      </c>
      <c r="X227">
        <f>IF(AND(VLOOKUP(X$1,main!$A$3:$H$102,7,FALSE)=main!$G$105,VLOOKUP(X$1,main!$A$3:$H$102,5,FALSE)-VLOOKUP($A227,main!$A$3:$H$102,6,FALSE)&gt;=main!$D$103+VLOOKUP(VLOOKUP(X$1,main!$A$3:$I$102,7,FALSE),main!$K$26:$Q$29,5,FALSE)),1,0)</f>
        <v>0</v>
      </c>
      <c r="Y227">
        <f>IF(AND(VLOOKUP(Y$1,main!$A$3:$H$102,7,FALSE)=main!$G$105,VLOOKUP(Y$1,main!$A$3:$H$102,5,FALSE)-VLOOKUP($A227,main!$A$3:$H$102,6,FALSE)&gt;=main!$D$103+VLOOKUP(VLOOKUP(Y$1,main!$A$3:$I$102,7,FALSE),main!$K$26:$Q$29,5,FALSE)),1,0)</f>
        <v>0</v>
      </c>
      <c r="Z227">
        <f>IF(AND(VLOOKUP(Z$1,main!$A$3:$H$102,7,FALSE)=main!$G$105,VLOOKUP(Z$1,main!$A$3:$H$102,5,FALSE)-VLOOKUP($A227,main!$A$3:$H$102,6,FALSE)&gt;=main!$D$103+VLOOKUP(VLOOKUP(Z$1,main!$A$3:$I$102,7,FALSE),main!$K$26:$Q$29,5,FALSE)),1,0)</f>
        <v>0</v>
      </c>
      <c r="AA227">
        <f>IF(AND(VLOOKUP(AA$1,main!$A$3:$H$102,7,FALSE)=main!$G$105,VLOOKUP(AA$1,main!$A$3:$H$102,5,FALSE)-VLOOKUP($A227,main!$A$3:$H$102,6,FALSE)&gt;=main!$D$103+VLOOKUP(VLOOKUP(AA$1,main!$A$3:$I$102,7,FALSE),main!$K$26:$Q$29,5,FALSE)),1,0)</f>
        <v>0</v>
      </c>
      <c r="AB227">
        <f>IF(AND(VLOOKUP(AB$1,main!$A$3:$H$102,7,FALSE)=main!$G$105,VLOOKUP(AB$1,main!$A$3:$H$102,5,FALSE)-VLOOKUP($A227,main!$A$3:$H$102,6,FALSE)&gt;=main!$D$103+VLOOKUP(VLOOKUP(AB$1,main!$A$3:$I$102,7,FALSE),main!$K$26:$Q$29,5,FALSE)),1,0)</f>
        <v>0</v>
      </c>
      <c r="AC227">
        <f>IF(AND(VLOOKUP(AC$1,main!$A$3:$H$102,7,FALSE)=main!$G$105,VLOOKUP(AC$1,main!$A$3:$H$102,5,FALSE)-VLOOKUP($A227,main!$A$3:$H$102,6,FALSE)&gt;=main!$D$103+VLOOKUP(VLOOKUP(AC$1,main!$A$3:$I$102,7,FALSE),main!$K$26:$Q$29,5,FALSE)),1,0)</f>
        <v>0</v>
      </c>
      <c r="AD227">
        <f>IF(AND(VLOOKUP(AD$1,main!$A$3:$H$102,7,FALSE)=main!$G$105,VLOOKUP(AD$1,main!$A$3:$H$102,5,FALSE)-VLOOKUP($A227,main!$A$3:$H$102,6,FALSE)&gt;=main!$D$103+VLOOKUP(VLOOKUP(AD$1,main!$A$3:$I$102,7,FALSE),main!$K$26:$Q$29,5,FALSE)),1,0)</f>
        <v>0</v>
      </c>
      <c r="AE227">
        <f>IF(AND(VLOOKUP(AE$1,main!$A$3:$H$102,7,FALSE)=main!$G$105,VLOOKUP(AE$1,main!$A$3:$H$102,5,FALSE)-VLOOKUP($A227,main!$A$3:$H$102,6,FALSE)&gt;=main!$D$103+VLOOKUP(VLOOKUP(AE$1,main!$A$3:$I$102,7,FALSE),main!$K$26:$Q$29,5,FALSE)),1,0)</f>
        <v>0</v>
      </c>
      <c r="AF227">
        <f>IF(AND(VLOOKUP(AF$1,main!$A$3:$H$102,7,FALSE)=main!$G$105,VLOOKUP(AF$1,main!$A$3:$H$102,5,FALSE)-VLOOKUP($A227,main!$A$3:$H$102,6,FALSE)&gt;=main!$D$103+VLOOKUP(VLOOKUP(AF$1,main!$A$3:$I$102,7,FALSE),main!$K$26:$Q$29,5,FALSE)),1,0)</f>
        <v>0</v>
      </c>
      <c r="AG227">
        <f>IF(AND(VLOOKUP(AG$1,main!$A$3:$H$102,7,FALSE)=main!$G$105,VLOOKUP(AG$1,main!$A$3:$H$102,5,FALSE)-VLOOKUP($A227,main!$A$3:$H$102,6,FALSE)&gt;=main!$D$103+VLOOKUP(VLOOKUP(AG$1,main!$A$3:$I$102,7,FALSE),main!$K$26:$Q$29,5,FALSE)),1,0)</f>
        <v>0</v>
      </c>
      <c r="AH227">
        <f>IF(AND(VLOOKUP(AH$1,main!$A$3:$H$102,7,FALSE)=main!$G$105,VLOOKUP(AH$1,main!$A$3:$H$102,5,FALSE)-VLOOKUP($A227,main!$A$3:$H$102,6,FALSE)&gt;=main!$D$103+VLOOKUP(VLOOKUP(AH$1,main!$A$3:$I$102,7,FALSE),main!$K$26:$Q$29,5,FALSE)),1,0)</f>
        <v>0</v>
      </c>
      <c r="AI227">
        <f>IF(AND(VLOOKUP(AI$1,main!$A$3:$H$102,7,FALSE)=main!$G$105,VLOOKUP(AI$1,main!$A$3:$H$102,5,FALSE)-VLOOKUP($A227,main!$A$3:$H$102,6,FALSE)&gt;=main!$D$103+VLOOKUP(VLOOKUP(AI$1,main!$A$3:$I$102,7,FALSE),main!$K$26:$Q$29,5,FALSE)),1,0)</f>
        <v>0</v>
      </c>
      <c r="AJ227">
        <f>IF(AND(VLOOKUP(AJ$1,main!$A$3:$H$102,7,FALSE)=main!$G$105,VLOOKUP(AJ$1,main!$A$3:$H$102,5,FALSE)-VLOOKUP($A227,main!$A$3:$H$102,6,FALSE)&gt;=main!$D$103+VLOOKUP(VLOOKUP(AJ$1,main!$A$3:$I$102,7,FALSE),main!$K$26:$Q$29,5,FALSE)),1,0)</f>
        <v>0</v>
      </c>
      <c r="AK227">
        <f>IF(AND(VLOOKUP(AK$1,main!$A$3:$H$102,7,FALSE)=main!$G$105,VLOOKUP(AK$1,main!$A$3:$H$102,5,FALSE)-VLOOKUP($A227,main!$A$3:$H$102,6,FALSE)&gt;=main!$D$103+VLOOKUP(VLOOKUP(AK$1,main!$A$3:$I$102,7,FALSE),main!$K$26:$Q$29,5,FALSE)),1,0)</f>
        <v>0</v>
      </c>
      <c r="AL227">
        <f>IF(AND(VLOOKUP(AL$1,main!$A$3:$H$102,7,FALSE)=main!$G$105,VLOOKUP(AL$1,main!$A$3:$H$102,5,FALSE)-VLOOKUP($A227,main!$A$3:$H$102,6,FALSE)&gt;=main!$D$103+VLOOKUP(VLOOKUP(AL$1,main!$A$3:$I$102,7,FALSE),main!$K$26:$Q$29,5,FALSE)),1,0)</f>
        <v>1</v>
      </c>
      <c r="AM227">
        <f>IF(AND(VLOOKUP(AM$1,main!$A$3:$H$102,7,FALSE)=main!$G$105,VLOOKUP(AM$1,main!$A$3:$H$102,5,FALSE)-VLOOKUP($A227,main!$A$3:$H$102,6,FALSE)&gt;=main!$D$103+VLOOKUP(VLOOKUP(AM$1,main!$A$3:$I$102,7,FALSE),main!$K$26:$Q$29,5,FALSE)),1,0)</f>
        <v>1</v>
      </c>
      <c r="AN227">
        <f>IF(AND(VLOOKUP(AN$1,main!$A$3:$H$102,7,FALSE)=main!$G$105,VLOOKUP(AN$1,main!$A$3:$H$102,5,FALSE)-VLOOKUP($A227,main!$A$3:$H$102,6,FALSE)&gt;=main!$D$103+VLOOKUP(VLOOKUP(AN$1,main!$A$3:$I$102,7,FALSE),main!$K$26:$Q$29,5,FALSE)),1,0)</f>
        <v>1</v>
      </c>
      <c r="AO227">
        <f>IF(AND(VLOOKUP(AO$1,main!$A$3:$H$102,7,FALSE)=main!$G$105,VLOOKUP(AO$1,main!$A$3:$H$102,5,FALSE)-VLOOKUP($A227,main!$A$3:$H$102,6,FALSE)&gt;=main!$D$103+VLOOKUP(VLOOKUP(AO$1,main!$A$3:$I$102,7,FALSE),main!$K$26:$Q$29,5,FALSE)),1,0)</f>
        <v>0</v>
      </c>
      <c r="AP227">
        <f>IF(AND(VLOOKUP(AP$1,main!$A$3:$H$102,7,FALSE)=main!$G$105,VLOOKUP(AP$1,main!$A$3:$H$102,5,FALSE)-VLOOKUP($A227,main!$A$3:$H$102,6,FALSE)&gt;=main!$D$103+VLOOKUP(VLOOKUP(AP$1,main!$A$3:$I$102,7,FALSE),main!$K$26:$Q$29,5,FALSE)),1,0)</f>
        <v>1</v>
      </c>
      <c r="AQ227">
        <f>IF(AND(VLOOKUP(AQ$1,main!$A$3:$H$102,7,FALSE)=main!$G$105,VLOOKUP(AQ$1,main!$A$3:$H$102,5,FALSE)-VLOOKUP($A227,main!$A$3:$H$102,6,FALSE)&gt;=main!$D$103+VLOOKUP(VLOOKUP(AQ$1,main!$A$3:$I$102,7,FALSE),main!$K$26:$Q$29,5,FALSE)),1,0)</f>
        <v>0</v>
      </c>
      <c r="AR227">
        <f>IF(AND(VLOOKUP(AR$1,main!$A$3:$H$102,7,FALSE)=main!$G$105,VLOOKUP(AR$1,main!$A$3:$H$102,5,FALSE)-VLOOKUP($A227,main!$A$3:$H$102,6,FALSE)&gt;=main!$D$103+VLOOKUP(VLOOKUP(AR$1,main!$A$3:$I$102,7,FALSE),main!$K$26:$Q$29,5,FALSE)),1,0)</f>
        <v>0</v>
      </c>
      <c r="AS227">
        <f>IF(AND(VLOOKUP(AS$1,main!$A$3:$H$102,7,FALSE)=main!$G$105,VLOOKUP(AS$1,main!$A$3:$H$102,5,FALSE)-VLOOKUP($A227,main!$A$3:$H$102,6,FALSE)&gt;=main!$D$103+VLOOKUP(VLOOKUP(AS$1,main!$A$3:$I$102,7,FALSE),main!$K$26:$Q$29,5,FALSE)),1,0)</f>
        <v>0</v>
      </c>
      <c r="AT227">
        <f>IF(AND(VLOOKUP(AT$1,main!$A$3:$H$102,7,FALSE)=main!$G$105,VLOOKUP(AT$1,main!$A$3:$H$102,5,FALSE)-VLOOKUP($A227,main!$A$3:$H$102,6,FALSE)&gt;=main!$D$103+VLOOKUP(VLOOKUP(AT$1,main!$A$3:$I$102,7,FALSE),main!$K$26:$Q$29,5,FALSE)),1,0)</f>
        <v>0</v>
      </c>
      <c r="AU227">
        <f>IF(AND(VLOOKUP(AU$1,main!$A$3:$H$102,7,FALSE)=main!$G$105,VLOOKUP(AU$1,main!$A$3:$H$102,5,FALSE)-VLOOKUP($A227,main!$A$3:$H$102,6,FALSE)&gt;=main!$D$103+VLOOKUP(VLOOKUP(AU$1,main!$A$3:$I$102,7,FALSE),main!$K$26:$Q$29,5,FALSE)),1,0)</f>
        <v>0</v>
      </c>
      <c r="AV227">
        <f>IF(AND(VLOOKUP(AV$1,main!$A$3:$H$102,7,FALSE)=main!$G$105,VLOOKUP(AV$1,main!$A$3:$H$102,5,FALSE)-VLOOKUP($A227,main!$A$3:$H$102,6,FALSE)&gt;=main!$D$103+VLOOKUP(VLOOKUP(AV$1,main!$A$3:$I$102,7,FALSE),main!$K$26:$Q$29,5,FALSE)),1,0)</f>
        <v>0</v>
      </c>
      <c r="AW227">
        <f>IF(AND(VLOOKUP(AW$1,main!$A$3:$H$102,7,FALSE)=main!$G$105,VLOOKUP(AW$1,main!$A$3:$H$102,5,FALSE)-VLOOKUP($A227,main!$A$3:$H$102,6,FALSE)&gt;=main!$D$103+VLOOKUP(VLOOKUP(AW$1,main!$A$3:$I$102,7,FALSE),main!$K$26:$Q$29,5,FALSE)),1,0)</f>
        <v>0</v>
      </c>
      <c r="AX227">
        <f>IF(AND(VLOOKUP(AX$1,main!$A$3:$H$102,7,FALSE)=main!$G$105,VLOOKUP(AX$1,main!$A$3:$H$102,5,FALSE)-VLOOKUP($A227,main!$A$3:$H$102,6,FALSE)&gt;=main!$D$103+VLOOKUP(VLOOKUP(AX$1,main!$A$3:$I$102,7,FALSE),main!$K$26:$Q$29,5,FALSE)),1,0)</f>
        <v>0</v>
      </c>
      <c r="AY227">
        <f>IF(AND(VLOOKUP(AY$1,main!$A$3:$H$102,7,FALSE)=main!$G$105,VLOOKUP(AY$1,main!$A$3:$H$102,5,FALSE)-VLOOKUP($A227,main!$A$3:$H$102,6,FALSE)&gt;=main!$D$103+VLOOKUP(VLOOKUP(AY$1,main!$A$3:$I$102,7,FALSE),main!$K$26:$Q$29,5,FALSE)),1,0)</f>
        <v>0</v>
      </c>
      <c r="AZ227">
        <f>IF(AND(VLOOKUP(AZ$1,main!$A$3:$H$102,7,FALSE)=main!$G$105,VLOOKUP(AZ$1,main!$A$3:$H$102,5,FALSE)-VLOOKUP($A227,main!$A$3:$H$102,6,FALSE)&gt;=main!$D$103+VLOOKUP(VLOOKUP(AZ$1,main!$A$3:$I$102,7,FALSE),main!$K$26:$Q$29,5,FALSE)),1,0)</f>
        <v>0</v>
      </c>
      <c r="BA227">
        <f>IF(AND(VLOOKUP(BA$1,main!$A$3:$H$102,7,FALSE)=main!$G$105,VLOOKUP(BA$1,main!$A$3:$H$102,5,FALSE)-VLOOKUP($A227,main!$A$3:$H$102,6,FALSE)&gt;=main!$D$103+VLOOKUP(VLOOKUP(BA$1,main!$A$3:$I$102,7,FALSE),main!$K$26:$Q$29,5,FALSE)),1,0)</f>
        <v>0</v>
      </c>
      <c r="BB227">
        <f>IF(AND(VLOOKUP(BB$1,main!$A$3:$H$102,7,FALSE)=main!$G$105,VLOOKUP(BB$1,main!$A$3:$H$102,5,FALSE)-VLOOKUP($A227,main!$A$3:$H$102,6,FALSE)&gt;=main!$D$103+VLOOKUP(VLOOKUP(BB$1,main!$A$3:$I$102,7,FALSE),main!$K$26:$Q$29,5,FALSE)),1,0)</f>
        <v>0</v>
      </c>
      <c r="BC227">
        <f>IF(AND(VLOOKUP(BC$1,main!$A$3:$H$102,7,FALSE)=main!$G$105,VLOOKUP(BC$1,main!$A$3:$H$102,5,FALSE)-VLOOKUP($A227,main!$A$3:$H$102,6,FALSE)&gt;=main!$D$103+VLOOKUP(VLOOKUP(BC$1,main!$A$3:$I$102,7,FALSE),main!$K$26:$Q$29,5,FALSE)),1,0)</f>
        <v>0</v>
      </c>
      <c r="BD227">
        <f>IF(AND(VLOOKUP(BD$1,main!$A$3:$H$102,7,FALSE)=main!$G$105,VLOOKUP(BD$1,main!$A$3:$H$102,5,FALSE)-VLOOKUP($A227,main!$A$3:$H$102,6,FALSE)&gt;=main!$D$103+VLOOKUP(VLOOKUP(BD$1,main!$A$3:$I$102,7,FALSE),main!$K$26:$Q$29,5,FALSE)),1,0)</f>
        <v>0</v>
      </c>
      <c r="BE227">
        <f>IF(AND(VLOOKUP(BE$1,main!$A$3:$H$102,7,FALSE)=main!$G$105,VLOOKUP(BE$1,main!$A$3:$H$102,5,FALSE)-VLOOKUP($A227,main!$A$3:$H$102,6,FALSE)&gt;=main!$D$103+VLOOKUP(VLOOKUP(BE$1,main!$A$3:$I$102,7,FALSE),main!$K$26:$Q$29,5,FALSE)),1,0)</f>
        <v>0</v>
      </c>
      <c r="BF227">
        <f>IF(AND(VLOOKUP(BF$1,main!$A$3:$H$102,7,FALSE)=main!$G$105,VLOOKUP(BF$1,main!$A$3:$H$102,5,FALSE)-VLOOKUP($A227,main!$A$3:$H$102,6,FALSE)&gt;=main!$D$103+VLOOKUP(VLOOKUP(BF$1,main!$A$3:$I$102,7,FALSE),main!$K$26:$Q$29,5,FALSE)),1,0)</f>
        <v>0</v>
      </c>
      <c r="BG227">
        <f>IF(AND(VLOOKUP(BG$1,main!$A$3:$H$102,7,FALSE)=main!$G$105,VLOOKUP(BG$1,main!$A$3:$H$102,5,FALSE)-VLOOKUP($A227,main!$A$3:$H$102,6,FALSE)&gt;=main!$D$103+VLOOKUP(VLOOKUP(BG$1,main!$A$3:$I$102,7,FALSE),main!$K$26:$Q$29,5,FALSE)),1,0)</f>
        <v>0</v>
      </c>
      <c r="BH227">
        <f>IF(AND(VLOOKUP(BH$1,main!$A$3:$H$102,7,FALSE)=main!$G$105,VLOOKUP(BH$1,main!$A$3:$H$102,5,FALSE)-VLOOKUP($A227,main!$A$3:$H$102,6,FALSE)&gt;=main!$D$103+VLOOKUP(VLOOKUP(BH$1,main!$A$3:$I$102,7,FALSE),main!$K$26:$Q$29,5,FALSE)),1,0)</f>
        <v>0</v>
      </c>
      <c r="BI227">
        <f>IF(AND(VLOOKUP(BI$1,main!$A$3:$H$102,7,FALSE)=main!$G$105,VLOOKUP(BI$1,main!$A$3:$H$102,5,FALSE)-VLOOKUP($A227,main!$A$3:$H$102,6,FALSE)&gt;=main!$D$103+VLOOKUP(VLOOKUP(BI$1,main!$A$3:$I$102,7,FALSE),main!$K$26:$Q$29,5,FALSE)),1,0)</f>
        <v>0</v>
      </c>
      <c r="BJ227">
        <f>IF(AND(VLOOKUP(BJ$1,main!$A$3:$H$102,7,FALSE)=main!$G$105,VLOOKUP(BJ$1,main!$A$3:$H$102,5,FALSE)-VLOOKUP($A227,main!$A$3:$H$102,6,FALSE)&gt;=main!$D$103+VLOOKUP(VLOOKUP(BJ$1,main!$A$3:$I$102,7,FALSE),main!$K$26:$Q$29,5,FALSE)),1,0)</f>
        <v>0</v>
      </c>
      <c r="BK227">
        <f>IF(AND(VLOOKUP(BK$1,main!$A$3:$H$102,7,FALSE)=main!$G$105,VLOOKUP(BK$1,main!$A$3:$H$102,5,FALSE)-VLOOKUP($A227,main!$A$3:$H$102,6,FALSE)&gt;=main!$D$103+VLOOKUP(VLOOKUP(BK$1,main!$A$3:$I$102,7,FALSE),main!$K$26:$Q$29,5,FALSE)),1,0)</f>
        <v>0</v>
      </c>
      <c r="BL227">
        <f>IF(AND(VLOOKUP(BL$1,main!$A$3:$H$102,7,FALSE)=main!$G$105,VLOOKUP(BL$1,main!$A$3:$H$102,5,FALSE)-VLOOKUP($A227,main!$A$3:$H$102,6,FALSE)&gt;=main!$D$103+VLOOKUP(VLOOKUP(BL$1,main!$A$3:$I$102,7,FALSE),main!$K$26:$Q$29,5,FALSE)),1,0)</f>
        <v>0</v>
      </c>
      <c r="BM227">
        <f>IF(AND(VLOOKUP(BM$1,main!$A$3:$H$102,7,FALSE)=main!$G$105,VLOOKUP(BM$1,main!$A$3:$H$102,5,FALSE)-VLOOKUP($A227,main!$A$3:$H$102,6,FALSE)&gt;=main!$D$103+VLOOKUP(VLOOKUP(BM$1,main!$A$3:$I$102,7,FALSE),main!$K$26:$Q$29,5,FALSE)),1,0)</f>
        <v>0</v>
      </c>
      <c r="BN227">
        <f>IF(AND(VLOOKUP(BN$1,main!$A$3:$H$102,7,FALSE)=main!$G$105,VLOOKUP(BN$1,main!$A$3:$H$102,5,FALSE)-VLOOKUP($A227,main!$A$3:$H$102,6,FALSE)&gt;=main!$D$103+VLOOKUP(VLOOKUP(BN$1,main!$A$3:$I$102,7,FALSE),main!$K$26:$Q$29,5,FALSE)),1,0)</f>
        <v>0</v>
      </c>
      <c r="BO227">
        <f>IF(AND(VLOOKUP(BO$1,main!$A$3:$H$102,7,FALSE)=main!$G$105,VLOOKUP(BO$1,main!$A$3:$H$102,5,FALSE)-VLOOKUP($A227,main!$A$3:$H$102,6,FALSE)&gt;=main!$D$103+VLOOKUP(VLOOKUP(BO$1,main!$A$3:$I$102,7,FALSE),main!$K$26:$Q$29,5,FALSE)),1,0)</f>
        <v>0</v>
      </c>
      <c r="BP227">
        <f>IF(AND(VLOOKUP(BP$1,main!$A$3:$H$102,7,FALSE)=main!$G$105,VLOOKUP(BP$1,main!$A$3:$H$102,5,FALSE)-VLOOKUP($A227,main!$A$3:$H$102,6,FALSE)&gt;=main!$D$103+VLOOKUP(VLOOKUP(BP$1,main!$A$3:$I$102,7,FALSE),main!$K$26:$Q$29,5,FALSE)),1,0)</f>
        <v>0</v>
      </c>
      <c r="BQ227">
        <f>IF(AND(VLOOKUP(BQ$1,main!$A$3:$H$102,7,FALSE)=main!$G$105,VLOOKUP(BQ$1,main!$A$3:$H$102,5,FALSE)-VLOOKUP($A227,main!$A$3:$H$102,6,FALSE)&gt;=main!$D$103+VLOOKUP(VLOOKUP(BQ$1,main!$A$3:$I$102,7,FALSE),main!$K$26:$Q$29,5,FALSE)),1,0)</f>
        <v>0</v>
      </c>
      <c r="BR227">
        <f>IF(AND(VLOOKUP(BR$1,main!$A$3:$H$102,7,FALSE)=main!$G$105,VLOOKUP(BR$1,main!$A$3:$H$102,5,FALSE)-VLOOKUP($A227,main!$A$3:$H$102,6,FALSE)&gt;=main!$D$103+VLOOKUP(VLOOKUP(BR$1,main!$A$3:$I$102,7,FALSE),main!$K$26:$Q$29,5,FALSE)),1,0)</f>
        <v>0</v>
      </c>
      <c r="BS227">
        <f>IF(AND(VLOOKUP(BS$1,main!$A$3:$H$102,7,FALSE)=main!$G$105,VLOOKUP(BS$1,main!$A$3:$H$102,5,FALSE)-VLOOKUP($A227,main!$A$3:$H$102,6,FALSE)&gt;=main!$D$103+VLOOKUP(VLOOKUP(BS$1,main!$A$3:$I$102,7,FALSE),main!$K$26:$Q$29,5,FALSE)),1,0)</f>
        <v>0</v>
      </c>
      <c r="BT227">
        <f>IF(AND(VLOOKUP(BT$1,main!$A$3:$H$102,7,FALSE)=main!$G$105,VLOOKUP(BT$1,main!$A$3:$H$102,5,FALSE)-VLOOKUP($A227,main!$A$3:$H$102,6,FALSE)&gt;=main!$D$103+VLOOKUP(VLOOKUP(BT$1,main!$A$3:$I$102,7,FALSE),main!$K$26:$Q$29,5,FALSE)),1,0)</f>
        <v>0</v>
      </c>
      <c r="BU227">
        <f>IF(AND(VLOOKUP(BU$1,main!$A$3:$H$102,7,FALSE)=main!$G$105,VLOOKUP(BU$1,main!$A$3:$H$102,5,FALSE)-VLOOKUP($A227,main!$A$3:$H$102,6,FALSE)&gt;=main!$D$103+VLOOKUP(VLOOKUP(BU$1,main!$A$3:$I$102,7,FALSE),main!$K$26:$Q$29,5,FALSE)),1,0)</f>
        <v>0</v>
      </c>
      <c r="BV227">
        <f>IF(AND(VLOOKUP(BV$1,main!$A$3:$H$102,7,FALSE)=main!$G$105,VLOOKUP(BV$1,main!$A$3:$H$102,5,FALSE)-VLOOKUP($A227,main!$A$3:$H$102,6,FALSE)&gt;=main!$D$103+VLOOKUP(VLOOKUP(BV$1,main!$A$3:$I$102,7,FALSE),main!$K$26:$Q$29,5,FALSE)),1,0)</f>
        <v>0</v>
      </c>
      <c r="BW227">
        <f>IF(AND(VLOOKUP(BW$1,main!$A$3:$H$102,7,FALSE)=main!$G$105,VLOOKUP(BW$1,main!$A$3:$H$102,5,FALSE)-VLOOKUP($A227,main!$A$3:$H$102,6,FALSE)&gt;=main!$D$103+VLOOKUP(VLOOKUP(BW$1,main!$A$3:$I$102,7,FALSE),main!$K$26:$Q$29,5,FALSE)),1,0)</f>
        <v>0</v>
      </c>
      <c r="BX227">
        <f>IF(AND(VLOOKUP(BX$1,main!$A$3:$H$102,7,FALSE)=main!$G$105,VLOOKUP(BX$1,main!$A$3:$H$102,5,FALSE)-VLOOKUP($A227,main!$A$3:$H$102,6,FALSE)&gt;=main!$D$103+VLOOKUP(VLOOKUP(BX$1,main!$A$3:$I$102,7,FALSE),main!$K$26:$Q$29,5,FALSE)),1,0)</f>
        <v>0</v>
      </c>
      <c r="BY227">
        <f>IF(AND(VLOOKUP(BY$1,main!$A$3:$H$102,7,FALSE)=main!$G$105,VLOOKUP(BY$1,main!$A$3:$H$102,5,FALSE)-VLOOKUP($A227,main!$A$3:$H$102,6,FALSE)&gt;=main!$D$103+VLOOKUP(VLOOKUP(BY$1,main!$A$3:$I$102,7,FALSE),main!$K$26:$Q$29,5,FALSE)),1,0)</f>
        <v>0</v>
      </c>
      <c r="BZ227">
        <f>IF(AND(VLOOKUP(BZ$1,main!$A$3:$H$102,7,FALSE)=main!$G$105,VLOOKUP(BZ$1,main!$A$3:$H$102,5,FALSE)-VLOOKUP($A227,main!$A$3:$H$102,6,FALSE)&gt;=main!$D$103+VLOOKUP(VLOOKUP(BZ$1,main!$A$3:$I$102,7,FALSE),main!$K$26:$Q$29,5,FALSE)),1,0)</f>
        <v>0</v>
      </c>
      <c r="CA227">
        <f>IF(AND(VLOOKUP(CA$1,main!$A$3:$H$102,7,FALSE)=main!$G$105,VLOOKUP(CA$1,main!$A$3:$H$102,5,FALSE)-VLOOKUP($A227,main!$A$3:$H$102,6,FALSE)&gt;=main!$D$103+VLOOKUP(VLOOKUP(CA$1,main!$A$3:$I$102,7,FALSE),main!$K$26:$Q$29,5,FALSE)),1,0)</f>
        <v>0</v>
      </c>
      <c r="CB227">
        <f>IF(AND(VLOOKUP(CB$1,main!$A$3:$H$102,7,FALSE)=main!$G$105,VLOOKUP(CB$1,main!$A$3:$H$102,5,FALSE)-VLOOKUP($A227,main!$A$3:$H$102,6,FALSE)&gt;=main!$D$103+VLOOKUP(VLOOKUP(CB$1,main!$A$3:$I$102,7,FALSE),main!$K$26:$Q$29,5,FALSE)),1,0)</f>
        <v>0</v>
      </c>
      <c r="CC227">
        <f>IF(AND(VLOOKUP(CC$1,main!$A$3:$H$102,7,FALSE)=main!$G$105,VLOOKUP(CC$1,main!$A$3:$H$102,5,FALSE)-VLOOKUP($A227,main!$A$3:$H$102,6,FALSE)&gt;=main!$D$103+VLOOKUP(VLOOKUP(CC$1,main!$A$3:$I$102,7,FALSE),main!$K$26:$Q$29,5,FALSE)),1,0)</f>
        <v>0</v>
      </c>
      <c r="CD227">
        <f>IF(AND(VLOOKUP(CD$1,main!$A$3:$H$102,7,FALSE)=main!$G$105,VLOOKUP(CD$1,main!$A$3:$H$102,5,FALSE)-VLOOKUP($A227,main!$A$3:$H$102,6,FALSE)&gt;=main!$D$103+VLOOKUP(VLOOKUP(CD$1,main!$A$3:$I$102,7,FALSE),main!$K$26:$Q$29,5,FALSE)),1,0)</f>
        <v>0</v>
      </c>
      <c r="CE227">
        <f>IF(AND(VLOOKUP(CE$1,main!$A$3:$H$102,7,FALSE)=main!$G$105,VLOOKUP(CE$1,main!$A$3:$H$102,5,FALSE)-VLOOKUP($A227,main!$A$3:$H$102,6,FALSE)&gt;=main!$D$103+VLOOKUP(VLOOKUP(CE$1,main!$A$3:$I$102,7,FALSE),main!$K$26:$Q$29,5,FALSE)),1,0)</f>
        <v>0</v>
      </c>
      <c r="CF227">
        <f>IF(AND(VLOOKUP(CF$1,main!$A$3:$H$102,7,FALSE)=main!$G$105,VLOOKUP(CF$1,main!$A$3:$H$102,5,FALSE)-VLOOKUP($A227,main!$A$3:$H$102,6,FALSE)&gt;=main!$D$103+VLOOKUP(VLOOKUP(CF$1,main!$A$3:$I$102,7,FALSE),main!$K$26:$Q$29,5,FALSE)),1,0)</f>
        <v>0</v>
      </c>
      <c r="CG227">
        <f>IF(AND(VLOOKUP(CG$1,main!$A$3:$H$102,7,FALSE)=main!$G$105,VLOOKUP(CG$1,main!$A$3:$H$102,5,FALSE)-VLOOKUP($A227,main!$A$3:$H$102,6,FALSE)&gt;=main!$D$103+VLOOKUP(VLOOKUP(CG$1,main!$A$3:$I$102,7,FALSE),main!$K$26:$Q$29,5,FALSE)),1,0)</f>
        <v>0</v>
      </c>
      <c r="CH227">
        <f>IF(AND(VLOOKUP(CH$1,main!$A$3:$H$102,7,FALSE)=main!$G$105,VLOOKUP(CH$1,main!$A$3:$H$102,5,FALSE)-VLOOKUP($A227,main!$A$3:$H$102,6,FALSE)&gt;=main!$D$103+VLOOKUP(VLOOKUP(CH$1,main!$A$3:$I$102,7,FALSE),main!$K$26:$Q$29,5,FALSE)),1,0)</f>
        <v>0</v>
      </c>
      <c r="CI227">
        <f>IF(AND(VLOOKUP(CI$1,main!$A$3:$H$102,7,FALSE)=main!$G$105,VLOOKUP(CI$1,main!$A$3:$H$102,5,FALSE)-VLOOKUP($A227,main!$A$3:$H$102,6,FALSE)&gt;=main!$D$103+VLOOKUP(VLOOKUP(CI$1,main!$A$3:$I$102,7,FALSE),main!$K$26:$Q$29,5,FALSE)),1,0)</f>
        <v>0</v>
      </c>
      <c r="CJ227">
        <f>IF(AND(VLOOKUP(CJ$1,main!$A$3:$H$102,7,FALSE)=main!$G$105,VLOOKUP(CJ$1,main!$A$3:$H$102,5,FALSE)-VLOOKUP($A227,main!$A$3:$H$102,6,FALSE)&gt;=main!$D$103+VLOOKUP(VLOOKUP(CJ$1,main!$A$3:$I$102,7,FALSE),main!$K$26:$Q$29,5,FALSE)),1,0)</f>
        <v>0</v>
      </c>
      <c r="CK227">
        <f>IF(AND(VLOOKUP(CK$1,main!$A$3:$H$102,7,FALSE)=main!$G$105,VLOOKUP(CK$1,main!$A$3:$H$102,5,FALSE)-VLOOKUP($A227,main!$A$3:$H$102,6,FALSE)&gt;=main!$D$103+VLOOKUP(VLOOKUP(CK$1,main!$A$3:$I$102,7,FALSE),main!$K$26:$Q$29,5,FALSE)),1,0)</f>
        <v>0</v>
      </c>
      <c r="CL227">
        <f>IF(AND(VLOOKUP(CL$1,main!$A$3:$H$102,7,FALSE)=main!$G$105,VLOOKUP(CL$1,main!$A$3:$H$102,5,FALSE)-VLOOKUP($A227,main!$A$3:$H$102,6,FALSE)&gt;=main!$D$103+VLOOKUP(VLOOKUP(CL$1,main!$A$3:$I$102,7,FALSE),main!$K$26:$Q$29,5,FALSE)),1,0)</f>
        <v>0</v>
      </c>
      <c r="CM227">
        <f>IF(AND(VLOOKUP(CM$1,main!$A$3:$H$102,7,FALSE)=main!$G$105,VLOOKUP(CM$1,main!$A$3:$H$102,5,FALSE)-VLOOKUP($A227,main!$A$3:$H$102,6,FALSE)&gt;=main!$D$103+VLOOKUP(VLOOKUP(CM$1,main!$A$3:$I$102,7,FALSE),main!$K$26:$Q$29,5,FALSE)),1,0)</f>
        <v>0</v>
      </c>
      <c r="CN227">
        <f>IF(AND(VLOOKUP(CN$1,main!$A$3:$H$102,7,FALSE)=main!$G$105,VLOOKUP(CN$1,main!$A$3:$H$102,5,FALSE)-VLOOKUP($A227,main!$A$3:$H$102,6,FALSE)&gt;=main!$D$103+VLOOKUP(VLOOKUP(CN$1,main!$A$3:$I$102,7,FALSE),main!$K$26:$Q$29,5,FALSE)),1,0)</f>
        <v>0</v>
      </c>
      <c r="CO227">
        <f>IF(AND(VLOOKUP(CO$1,main!$A$3:$H$102,7,FALSE)=main!$G$105,VLOOKUP(CO$1,main!$A$3:$H$102,5,FALSE)-VLOOKUP($A227,main!$A$3:$H$102,6,FALSE)&gt;=main!$D$103+VLOOKUP(VLOOKUP(CO$1,main!$A$3:$I$102,7,FALSE),main!$K$26:$Q$29,5,FALSE)),1,0)</f>
        <v>0</v>
      </c>
      <c r="CP227">
        <f>IF(AND(VLOOKUP(CP$1,main!$A$3:$H$102,7,FALSE)=main!$G$105,VLOOKUP(CP$1,main!$A$3:$H$102,5,FALSE)-VLOOKUP($A227,main!$A$3:$H$102,6,FALSE)&gt;=main!$D$103+VLOOKUP(VLOOKUP(CP$1,main!$A$3:$I$102,7,FALSE),main!$K$26:$Q$29,5,FALSE)),1,0)</f>
        <v>0</v>
      </c>
      <c r="CQ227">
        <f>IF(AND(VLOOKUP(CQ$1,main!$A$3:$H$102,7,FALSE)=main!$G$105,VLOOKUP(CQ$1,main!$A$3:$H$102,5,FALSE)-VLOOKUP($A227,main!$A$3:$H$102,6,FALSE)&gt;=main!$D$103+VLOOKUP(VLOOKUP(CQ$1,main!$A$3:$I$102,7,FALSE),main!$K$26:$Q$29,5,FALSE)),1,0)</f>
        <v>0</v>
      </c>
      <c r="CR227">
        <f>IF(AND(VLOOKUP(CR$1,main!$A$3:$H$102,7,FALSE)=main!$G$105,VLOOKUP(CR$1,main!$A$3:$H$102,5,FALSE)-VLOOKUP($A227,main!$A$3:$H$102,6,FALSE)&gt;=main!$D$103+VLOOKUP(VLOOKUP(CR$1,main!$A$3:$I$102,7,FALSE),main!$K$26:$Q$29,5,FALSE)),1,0)</f>
        <v>0</v>
      </c>
      <c r="CS227">
        <f>IF(AND(VLOOKUP(CS$1,main!$A$3:$H$102,7,FALSE)=main!$G$105,VLOOKUP(CS$1,main!$A$3:$H$102,5,FALSE)-VLOOKUP($A227,main!$A$3:$H$102,6,FALSE)&gt;=main!$D$103+VLOOKUP(VLOOKUP(CS$1,main!$A$3:$I$102,7,FALSE),main!$K$26:$Q$29,5,FALSE)),1,0)</f>
        <v>0</v>
      </c>
      <c r="CT227">
        <f>IF(AND(VLOOKUP(CT$1,main!$A$3:$H$102,7,FALSE)=main!$G$105,VLOOKUP(CT$1,main!$A$3:$H$102,5,FALSE)-VLOOKUP($A227,main!$A$3:$H$102,6,FALSE)&gt;=main!$D$103+VLOOKUP(VLOOKUP(CT$1,main!$A$3:$I$102,7,FALSE),main!$K$26:$Q$29,5,FALSE)),1,0)</f>
        <v>0</v>
      </c>
      <c r="CU227">
        <f>IF(AND(VLOOKUP(CU$1,main!$A$3:$H$102,7,FALSE)=main!$G$105,VLOOKUP(CU$1,main!$A$3:$H$102,5,FALSE)-VLOOKUP($A227,main!$A$3:$H$102,6,FALSE)&gt;=main!$D$103+VLOOKUP(VLOOKUP(CU$1,main!$A$3:$I$102,7,FALSE),main!$K$26:$Q$29,5,FALSE)),1,0)</f>
        <v>0</v>
      </c>
      <c r="CV227">
        <f>IF(AND(VLOOKUP(CV$1,main!$A$3:$H$102,7,FALSE)=main!$G$105,VLOOKUP(CV$1,main!$A$3:$H$102,5,FALSE)-VLOOKUP($A227,main!$A$3:$H$102,6,FALSE)&gt;=main!$D$103+VLOOKUP(VLOOKUP(CV$1,main!$A$3:$I$102,7,FALSE),main!$K$26:$Q$29,5,FALSE)),1,0)</f>
        <v>0</v>
      </c>
      <c r="CW227">
        <f>IF(AND(VLOOKUP(CW$1,main!$A$3:$H$102,7,FALSE)=main!$G$105,VLOOKUP(CW$1,main!$A$3:$H$102,5,FALSE)-VLOOKUP($A227,main!$A$3:$H$102,6,FALSE)&gt;=main!$D$103+VLOOKUP(VLOOKUP(CW$1,main!$A$3:$I$102,7,FALSE),main!$K$26:$Q$29,5,FALSE)),1,0)</f>
        <v>0</v>
      </c>
      <c r="CX227">
        <f>IF(AND(VLOOKUP(CX$1,main!$A$3:$H$102,7,FALSE)=main!$G$105,VLOOKUP(CX$1,main!$A$3:$H$102,5,FALSE)-VLOOKUP($A227,main!$A$3:$H$102,6,FALSE)&gt;=main!$D$103+VLOOKUP(VLOOKUP(CX$1,main!$A$3:$I$102,7,FALSE),main!$K$26:$Q$29,5,FALSE)),1,0)</f>
        <v>0</v>
      </c>
    </row>
    <row r="228" spans="1:102" x14ac:dyDescent="0.25">
      <c r="A228" s="1">
        <v>24</v>
      </c>
      <c r="B228">
        <v>0</v>
      </c>
      <c r="C228">
        <f>IF(AND(VLOOKUP(C$1,main!$A$3:$H$102,7,FALSE)=main!$G$105,VLOOKUP(C$1,main!$A$3:$H$102,5,FALSE)-VLOOKUP($A228,main!$A$3:$H$102,6,FALSE)&gt;=main!$D$103+VLOOKUP(VLOOKUP(C$1,main!$A$3:$I$102,7,FALSE),main!$K$26:$Q$29,5,FALSE)),1,0)</f>
        <v>0</v>
      </c>
      <c r="D228">
        <f>IF(AND(VLOOKUP(D$1,main!$A$3:$H$102,7,FALSE)=main!$G$105,VLOOKUP(D$1,main!$A$3:$H$102,5,FALSE)-VLOOKUP($A228,main!$A$3:$H$102,6,FALSE)&gt;=main!$D$103+VLOOKUP(VLOOKUP(D$1,main!$A$3:$I$102,7,FALSE),main!$K$26:$Q$29,5,FALSE)),1,0)</f>
        <v>0</v>
      </c>
      <c r="E228">
        <f>IF(AND(VLOOKUP(E$1,main!$A$3:$H$102,7,FALSE)=main!$G$105,VLOOKUP(E$1,main!$A$3:$H$102,5,FALSE)-VLOOKUP($A228,main!$A$3:$H$102,6,FALSE)&gt;=main!$D$103+VLOOKUP(VLOOKUP(E$1,main!$A$3:$I$102,7,FALSE),main!$K$26:$Q$29,5,FALSE)),1,0)</f>
        <v>0</v>
      </c>
      <c r="F228">
        <f>IF(AND(VLOOKUP(F$1,main!$A$3:$H$102,7,FALSE)=main!$G$105,VLOOKUP(F$1,main!$A$3:$H$102,5,FALSE)-VLOOKUP($A228,main!$A$3:$H$102,6,FALSE)&gt;=main!$D$103+VLOOKUP(VLOOKUP(F$1,main!$A$3:$I$102,7,FALSE),main!$K$26:$Q$29,5,FALSE)),1,0)</f>
        <v>0</v>
      </c>
      <c r="G228">
        <f>IF(AND(VLOOKUP(G$1,main!$A$3:$H$102,7,FALSE)=main!$G$105,VLOOKUP(G$1,main!$A$3:$H$102,5,FALSE)-VLOOKUP($A228,main!$A$3:$H$102,6,FALSE)&gt;=main!$D$103+VLOOKUP(VLOOKUP(G$1,main!$A$3:$I$102,7,FALSE),main!$K$26:$Q$29,5,FALSE)),1,0)</f>
        <v>0</v>
      </c>
      <c r="H228">
        <f>IF(AND(VLOOKUP(H$1,main!$A$3:$H$102,7,FALSE)=main!$G$105,VLOOKUP(H$1,main!$A$3:$H$102,5,FALSE)-VLOOKUP($A228,main!$A$3:$H$102,6,FALSE)&gt;=main!$D$103+VLOOKUP(VLOOKUP(H$1,main!$A$3:$I$102,7,FALSE),main!$K$26:$Q$29,5,FALSE)),1,0)</f>
        <v>0</v>
      </c>
      <c r="I228">
        <f>IF(AND(VLOOKUP(I$1,main!$A$3:$H$102,7,FALSE)=main!$G$105,VLOOKUP(I$1,main!$A$3:$H$102,5,FALSE)-VLOOKUP($A228,main!$A$3:$H$102,6,FALSE)&gt;=main!$D$103+VLOOKUP(VLOOKUP(I$1,main!$A$3:$I$102,7,FALSE),main!$K$26:$Q$29,5,FALSE)),1,0)</f>
        <v>0</v>
      </c>
      <c r="J228">
        <f>IF(AND(VLOOKUP(J$1,main!$A$3:$H$102,7,FALSE)=main!$G$105,VLOOKUP(J$1,main!$A$3:$H$102,5,FALSE)-VLOOKUP($A228,main!$A$3:$H$102,6,FALSE)&gt;=main!$D$103+VLOOKUP(VLOOKUP(J$1,main!$A$3:$I$102,7,FALSE),main!$K$26:$Q$29,5,FALSE)),1,0)</f>
        <v>0</v>
      </c>
      <c r="K228">
        <f>IF(AND(VLOOKUP(K$1,main!$A$3:$H$102,7,FALSE)=main!$G$105,VLOOKUP(K$1,main!$A$3:$H$102,5,FALSE)-VLOOKUP($A228,main!$A$3:$H$102,6,FALSE)&gt;=main!$D$103+VLOOKUP(VLOOKUP(K$1,main!$A$3:$I$102,7,FALSE),main!$K$26:$Q$29,5,FALSE)),1,0)</f>
        <v>0</v>
      </c>
      <c r="L228">
        <f>IF(AND(VLOOKUP(L$1,main!$A$3:$H$102,7,FALSE)=main!$G$105,VLOOKUP(L$1,main!$A$3:$H$102,5,FALSE)-VLOOKUP($A228,main!$A$3:$H$102,6,FALSE)&gt;=main!$D$103+VLOOKUP(VLOOKUP(L$1,main!$A$3:$I$102,7,FALSE),main!$K$26:$Q$29,5,FALSE)),1,0)</f>
        <v>0</v>
      </c>
      <c r="M228">
        <f>IF(AND(VLOOKUP(M$1,main!$A$3:$H$102,7,FALSE)=main!$G$105,VLOOKUP(M$1,main!$A$3:$H$102,5,FALSE)-VLOOKUP($A228,main!$A$3:$H$102,6,FALSE)&gt;=main!$D$103+VLOOKUP(VLOOKUP(M$1,main!$A$3:$I$102,7,FALSE),main!$K$26:$Q$29,5,FALSE)),1,0)</f>
        <v>0</v>
      </c>
      <c r="N228">
        <f>IF(AND(VLOOKUP(N$1,main!$A$3:$H$102,7,FALSE)=main!$G$105,VLOOKUP(N$1,main!$A$3:$H$102,5,FALSE)-VLOOKUP($A228,main!$A$3:$H$102,6,FALSE)&gt;=main!$D$103+VLOOKUP(VLOOKUP(N$1,main!$A$3:$I$102,7,FALSE),main!$K$26:$Q$29,5,FALSE)),1,0)</f>
        <v>0</v>
      </c>
      <c r="O228">
        <f>IF(AND(VLOOKUP(O$1,main!$A$3:$H$102,7,FALSE)=main!$G$105,VLOOKUP(O$1,main!$A$3:$H$102,5,FALSE)-VLOOKUP($A228,main!$A$3:$H$102,6,FALSE)&gt;=main!$D$103+VLOOKUP(VLOOKUP(O$1,main!$A$3:$I$102,7,FALSE),main!$K$26:$Q$29,5,FALSE)),1,0)</f>
        <v>0</v>
      </c>
      <c r="P228">
        <f>IF(AND(VLOOKUP(P$1,main!$A$3:$H$102,7,FALSE)=main!$G$105,VLOOKUP(P$1,main!$A$3:$H$102,5,FALSE)-VLOOKUP($A228,main!$A$3:$H$102,6,FALSE)&gt;=main!$D$103+VLOOKUP(VLOOKUP(P$1,main!$A$3:$I$102,7,FALSE),main!$K$26:$Q$29,5,FALSE)),1,0)</f>
        <v>0</v>
      </c>
      <c r="Q228">
        <f>IF(AND(VLOOKUP(Q$1,main!$A$3:$H$102,7,FALSE)=main!$G$105,VLOOKUP(Q$1,main!$A$3:$H$102,5,FALSE)-VLOOKUP($A228,main!$A$3:$H$102,6,FALSE)&gt;=main!$D$103+VLOOKUP(VLOOKUP(Q$1,main!$A$3:$I$102,7,FALSE),main!$K$26:$Q$29,5,FALSE)),1,0)</f>
        <v>0</v>
      </c>
      <c r="R228">
        <f>IF(AND(VLOOKUP(R$1,main!$A$3:$H$102,7,FALSE)=main!$G$105,VLOOKUP(R$1,main!$A$3:$H$102,5,FALSE)-VLOOKUP($A228,main!$A$3:$H$102,6,FALSE)&gt;=main!$D$103+VLOOKUP(VLOOKUP(R$1,main!$A$3:$I$102,7,FALSE),main!$K$26:$Q$29,5,FALSE)),1,0)</f>
        <v>0</v>
      </c>
      <c r="S228">
        <f>IF(AND(VLOOKUP(S$1,main!$A$3:$H$102,7,FALSE)=main!$G$105,VLOOKUP(S$1,main!$A$3:$H$102,5,FALSE)-VLOOKUP($A228,main!$A$3:$H$102,6,FALSE)&gt;=main!$D$103+VLOOKUP(VLOOKUP(S$1,main!$A$3:$I$102,7,FALSE),main!$K$26:$Q$29,5,FALSE)),1,0)</f>
        <v>0</v>
      </c>
      <c r="T228">
        <f>IF(AND(VLOOKUP(T$1,main!$A$3:$H$102,7,FALSE)=main!$G$105,VLOOKUP(T$1,main!$A$3:$H$102,5,FALSE)-VLOOKUP($A228,main!$A$3:$H$102,6,FALSE)&gt;=main!$D$103+VLOOKUP(VLOOKUP(T$1,main!$A$3:$I$102,7,FALSE),main!$K$26:$Q$29,5,FALSE)),1,0)</f>
        <v>0</v>
      </c>
      <c r="U228">
        <f>IF(AND(VLOOKUP(U$1,main!$A$3:$H$102,7,FALSE)=main!$G$105,VLOOKUP(U$1,main!$A$3:$H$102,5,FALSE)-VLOOKUP($A228,main!$A$3:$H$102,6,FALSE)&gt;=main!$D$103+VLOOKUP(VLOOKUP(U$1,main!$A$3:$I$102,7,FALSE),main!$K$26:$Q$29,5,FALSE)),1,0)</f>
        <v>0</v>
      </c>
      <c r="V228">
        <f>IF(AND(VLOOKUP(V$1,main!$A$3:$H$102,7,FALSE)=main!$G$105,VLOOKUP(V$1,main!$A$3:$H$102,5,FALSE)-VLOOKUP($A228,main!$A$3:$H$102,6,FALSE)&gt;=main!$D$103+VLOOKUP(VLOOKUP(V$1,main!$A$3:$I$102,7,FALSE),main!$K$26:$Q$29,5,FALSE)),1,0)</f>
        <v>0</v>
      </c>
      <c r="W228">
        <f>IF(AND(VLOOKUP(W$1,main!$A$3:$H$102,7,FALSE)=main!$G$105,VLOOKUP(W$1,main!$A$3:$H$102,5,FALSE)-VLOOKUP($A228,main!$A$3:$H$102,6,FALSE)&gt;=main!$D$103+VLOOKUP(VLOOKUP(W$1,main!$A$3:$I$102,7,FALSE),main!$K$26:$Q$29,5,FALSE)),1,0)</f>
        <v>0</v>
      </c>
      <c r="X228">
        <f>IF(AND(VLOOKUP(X$1,main!$A$3:$H$102,7,FALSE)=main!$G$105,VLOOKUP(X$1,main!$A$3:$H$102,5,FALSE)-VLOOKUP($A228,main!$A$3:$H$102,6,FALSE)&gt;=main!$D$103+VLOOKUP(VLOOKUP(X$1,main!$A$3:$I$102,7,FALSE),main!$K$26:$Q$29,5,FALSE)),1,0)</f>
        <v>0</v>
      </c>
      <c r="Y228">
        <f>IF(AND(VLOOKUP(Y$1,main!$A$3:$H$102,7,FALSE)=main!$G$105,VLOOKUP(Y$1,main!$A$3:$H$102,5,FALSE)-VLOOKUP($A228,main!$A$3:$H$102,6,FALSE)&gt;=main!$D$103+VLOOKUP(VLOOKUP(Y$1,main!$A$3:$I$102,7,FALSE),main!$K$26:$Q$29,5,FALSE)),1,0)</f>
        <v>0</v>
      </c>
      <c r="Z228">
        <f>IF(AND(VLOOKUP(Z$1,main!$A$3:$H$102,7,FALSE)=main!$G$105,VLOOKUP(Z$1,main!$A$3:$H$102,5,FALSE)-VLOOKUP($A228,main!$A$3:$H$102,6,FALSE)&gt;=main!$D$103+VLOOKUP(VLOOKUP(Z$1,main!$A$3:$I$102,7,FALSE),main!$K$26:$Q$29,5,FALSE)),1,0)</f>
        <v>0</v>
      </c>
      <c r="AA228">
        <f>IF(AND(VLOOKUP(AA$1,main!$A$3:$H$102,7,FALSE)=main!$G$105,VLOOKUP(AA$1,main!$A$3:$H$102,5,FALSE)-VLOOKUP($A228,main!$A$3:$H$102,6,FALSE)&gt;=main!$D$103+VLOOKUP(VLOOKUP(AA$1,main!$A$3:$I$102,7,FALSE),main!$K$26:$Q$29,5,FALSE)),1,0)</f>
        <v>0</v>
      </c>
      <c r="AB228">
        <f>IF(AND(VLOOKUP(AB$1,main!$A$3:$H$102,7,FALSE)=main!$G$105,VLOOKUP(AB$1,main!$A$3:$H$102,5,FALSE)-VLOOKUP($A228,main!$A$3:$H$102,6,FALSE)&gt;=main!$D$103+VLOOKUP(VLOOKUP(AB$1,main!$A$3:$I$102,7,FALSE),main!$K$26:$Q$29,5,FALSE)),1,0)</f>
        <v>0</v>
      </c>
      <c r="AC228">
        <f>IF(AND(VLOOKUP(AC$1,main!$A$3:$H$102,7,FALSE)=main!$G$105,VLOOKUP(AC$1,main!$A$3:$H$102,5,FALSE)-VLOOKUP($A228,main!$A$3:$H$102,6,FALSE)&gt;=main!$D$103+VLOOKUP(VLOOKUP(AC$1,main!$A$3:$I$102,7,FALSE),main!$K$26:$Q$29,5,FALSE)),1,0)</f>
        <v>0</v>
      </c>
      <c r="AD228">
        <f>IF(AND(VLOOKUP(AD$1,main!$A$3:$H$102,7,FALSE)=main!$G$105,VLOOKUP(AD$1,main!$A$3:$H$102,5,FALSE)-VLOOKUP($A228,main!$A$3:$H$102,6,FALSE)&gt;=main!$D$103+VLOOKUP(VLOOKUP(AD$1,main!$A$3:$I$102,7,FALSE),main!$K$26:$Q$29,5,FALSE)),1,0)</f>
        <v>0</v>
      </c>
      <c r="AE228">
        <f>IF(AND(VLOOKUP(AE$1,main!$A$3:$H$102,7,FALSE)=main!$G$105,VLOOKUP(AE$1,main!$A$3:$H$102,5,FALSE)-VLOOKUP($A228,main!$A$3:$H$102,6,FALSE)&gt;=main!$D$103+VLOOKUP(VLOOKUP(AE$1,main!$A$3:$I$102,7,FALSE),main!$K$26:$Q$29,5,FALSE)),1,0)</f>
        <v>0</v>
      </c>
      <c r="AF228">
        <f>IF(AND(VLOOKUP(AF$1,main!$A$3:$H$102,7,FALSE)=main!$G$105,VLOOKUP(AF$1,main!$A$3:$H$102,5,FALSE)-VLOOKUP($A228,main!$A$3:$H$102,6,FALSE)&gt;=main!$D$103+VLOOKUP(VLOOKUP(AF$1,main!$A$3:$I$102,7,FALSE),main!$K$26:$Q$29,5,FALSE)),1,0)</f>
        <v>0</v>
      </c>
      <c r="AG228">
        <f>IF(AND(VLOOKUP(AG$1,main!$A$3:$H$102,7,FALSE)=main!$G$105,VLOOKUP(AG$1,main!$A$3:$H$102,5,FALSE)-VLOOKUP($A228,main!$A$3:$H$102,6,FALSE)&gt;=main!$D$103+VLOOKUP(VLOOKUP(AG$1,main!$A$3:$I$102,7,FALSE),main!$K$26:$Q$29,5,FALSE)),1,0)</f>
        <v>0</v>
      </c>
      <c r="AH228">
        <f>IF(AND(VLOOKUP(AH$1,main!$A$3:$H$102,7,FALSE)=main!$G$105,VLOOKUP(AH$1,main!$A$3:$H$102,5,FALSE)-VLOOKUP($A228,main!$A$3:$H$102,6,FALSE)&gt;=main!$D$103+VLOOKUP(VLOOKUP(AH$1,main!$A$3:$I$102,7,FALSE),main!$K$26:$Q$29,5,FALSE)),1,0)</f>
        <v>0</v>
      </c>
      <c r="AI228">
        <f>IF(AND(VLOOKUP(AI$1,main!$A$3:$H$102,7,FALSE)=main!$G$105,VLOOKUP(AI$1,main!$A$3:$H$102,5,FALSE)-VLOOKUP($A228,main!$A$3:$H$102,6,FALSE)&gt;=main!$D$103+VLOOKUP(VLOOKUP(AI$1,main!$A$3:$I$102,7,FALSE),main!$K$26:$Q$29,5,FALSE)),1,0)</f>
        <v>0</v>
      </c>
      <c r="AJ228">
        <f>IF(AND(VLOOKUP(AJ$1,main!$A$3:$H$102,7,FALSE)=main!$G$105,VLOOKUP(AJ$1,main!$A$3:$H$102,5,FALSE)-VLOOKUP($A228,main!$A$3:$H$102,6,FALSE)&gt;=main!$D$103+VLOOKUP(VLOOKUP(AJ$1,main!$A$3:$I$102,7,FALSE),main!$K$26:$Q$29,5,FALSE)),1,0)</f>
        <v>0</v>
      </c>
      <c r="AK228">
        <f>IF(AND(VLOOKUP(AK$1,main!$A$3:$H$102,7,FALSE)=main!$G$105,VLOOKUP(AK$1,main!$A$3:$H$102,5,FALSE)-VLOOKUP($A228,main!$A$3:$H$102,6,FALSE)&gt;=main!$D$103+VLOOKUP(VLOOKUP(AK$1,main!$A$3:$I$102,7,FALSE),main!$K$26:$Q$29,5,FALSE)),1,0)</f>
        <v>0</v>
      </c>
      <c r="AL228">
        <f>IF(AND(VLOOKUP(AL$1,main!$A$3:$H$102,7,FALSE)=main!$G$105,VLOOKUP(AL$1,main!$A$3:$H$102,5,FALSE)-VLOOKUP($A228,main!$A$3:$H$102,6,FALSE)&gt;=main!$D$103+VLOOKUP(VLOOKUP(AL$1,main!$A$3:$I$102,7,FALSE),main!$K$26:$Q$29,5,FALSE)),1,0)</f>
        <v>0</v>
      </c>
      <c r="AM228">
        <f>IF(AND(VLOOKUP(AM$1,main!$A$3:$H$102,7,FALSE)=main!$G$105,VLOOKUP(AM$1,main!$A$3:$H$102,5,FALSE)-VLOOKUP($A228,main!$A$3:$H$102,6,FALSE)&gt;=main!$D$103+VLOOKUP(VLOOKUP(AM$1,main!$A$3:$I$102,7,FALSE),main!$K$26:$Q$29,5,FALSE)),1,0)</f>
        <v>0</v>
      </c>
      <c r="AN228">
        <f>IF(AND(VLOOKUP(AN$1,main!$A$3:$H$102,7,FALSE)=main!$G$105,VLOOKUP(AN$1,main!$A$3:$H$102,5,FALSE)-VLOOKUP($A228,main!$A$3:$H$102,6,FALSE)&gt;=main!$D$103+VLOOKUP(VLOOKUP(AN$1,main!$A$3:$I$102,7,FALSE),main!$K$26:$Q$29,5,FALSE)),1,0)</f>
        <v>0</v>
      </c>
      <c r="AO228">
        <f>IF(AND(VLOOKUP(AO$1,main!$A$3:$H$102,7,FALSE)=main!$G$105,VLOOKUP(AO$1,main!$A$3:$H$102,5,FALSE)-VLOOKUP($A228,main!$A$3:$H$102,6,FALSE)&gt;=main!$D$103+VLOOKUP(VLOOKUP(AO$1,main!$A$3:$I$102,7,FALSE),main!$K$26:$Q$29,5,FALSE)),1,0)</f>
        <v>0</v>
      </c>
      <c r="AP228">
        <f>IF(AND(VLOOKUP(AP$1,main!$A$3:$H$102,7,FALSE)=main!$G$105,VLOOKUP(AP$1,main!$A$3:$H$102,5,FALSE)-VLOOKUP($A228,main!$A$3:$H$102,6,FALSE)&gt;=main!$D$103+VLOOKUP(VLOOKUP(AP$1,main!$A$3:$I$102,7,FALSE),main!$K$26:$Q$29,5,FALSE)),1,0)</f>
        <v>1</v>
      </c>
      <c r="AQ228">
        <f>IF(AND(VLOOKUP(AQ$1,main!$A$3:$H$102,7,FALSE)=main!$G$105,VLOOKUP(AQ$1,main!$A$3:$H$102,5,FALSE)-VLOOKUP($A228,main!$A$3:$H$102,6,FALSE)&gt;=main!$D$103+VLOOKUP(VLOOKUP(AQ$1,main!$A$3:$I$102,7,FALSE),main!$K$26:$Q$29,5,FALSE)),1,0)</f>
        <v>0</v>
      </c>
      <c r="AR228">
        <f>IF(AND(VLOOKUP(AR$1,main!$A$3:$H$102,7,FALSE)=main!$G$105,VLOOKUP(AR$1,main!$A$3:$H$102,5,FALSE)-VLOOKUP($A228,main!$A$3:$H$102,6,FALSE)&gt;=main!$D$103+VLOOKUP(VLOOKUP(AR$1,main!$A$3:$I$102,7,FALSE),main!$K$26:$Q$29,5,FALSE)),1,0)</f>
        <v>0</v>
      </c>
      <c r="AS228">
        <f>IF(AND(VLOOKUP(AS$1,main!$A$3:$H$102,7,FALSE)=main!$G$105,VLOOKUP(AS$1,main!$A$3:$H$102,5,FALSE)-VLOOKUP($A228,main!$A$3:$H$102,6,FALSE)&gt;=main!$D$103+VLOOKUP(VLOOKUP(AS$1,main!$A$3:$I$102,7,FALSE),main!$K$26:$Q$29,5,FALSE)),1,0)</f>
        <v>0</v>
      </c>
      <c r="AT228">
        <f>IF(AND(VLOOKUP(AT$1,main!$A$3:$H$102,7,FALSE)=main!$G$105,VLOOKUP(AT$1,main!$A$3:$H$102,5,FALSE)-VLOOKUP($A228,main!$A$3:$H$102,6,FALSE)&gt;=main!$D$103+VLOOKUP(VLOOKUP(AT$1,main!$A$3:$I$102,7,FALSE),main!$K$26:$Q$29,5,FALSE)),1,0)</f>
        <v>0</v>
      </c>
      <c r="AU228">
        <f>IF(AND(VLOOKUP(AU$1,main!$A$3:$H$102,7,FALSE)=main!$G$105,VLOOKUP(AU$1,main!$A$3:$H$102,5,FALSE)-VLOOKUP($A228,main!$A$3:$H$102,6,FALSE)&gt;=main!$D$103+VLOOKUP(VLOOKUP(AU$1,main!$A$3:$I$102,7,FALSE),main!$K$26:$Q$29,5,FALSE)),1,0)</f>
        <v>0</v>
      </c>
      <c r="AV228">
        <f>IF(AND(VLOOKUP(AV$1,main!$A$3:$H$102,7,FALSE)=main!$G$105,VLOOKUP(AV$1,main!$A$3:$H$102,5,FALSE)-VLOOKUP($A228,main!$A$3:$H$102,6,FALSE)&gt;=main!$D$103+VLOOKUP(VLOOKUP(AV$1,main!$A$3:$I$102,7,FALSE),main!$K$26:$Q$29,5,FALSE)),1,0)</f>
        <v>0</v>
      </c>
      <c r="AW228">
        <f>IF(AND(VLOOKUP(AW$1,main!$A$3:$H$102,7,FALSE)=main!$G$105,VLOOKUP(AW$1,main!$A$3:$H$102,5,FALSE)-VLOOKUP($A228,main!$A$3:$H$102,6,FALSE)&gt;=main!$D$103+VLOOKUP(VLOOKUP(AW$1,main!$A$3:$I$102,7,FALSE),main!$K$26:$Q$29,5,FALSE)),1,0)</f>
        <v>0</v>
      </c>
      <c r="AX228">
        <f>IF(AND(VLOOKUP(AX$1,main!$A$3:$H$102,7,FALSE)=main!$G$105,VLOOKUP(AX$1,main!$A$3:$H$102,5,FALSE)-VLOOKUP($A228,main!$A$3:$H$102,6,FALSE)&gt;=main!$D$103+VLOOKUP(VLOOKUP(AX$1,main!$A$3:$I$102,7,FALSE),main!$K$26:$Q$29,5,FALSE)),1,0)</f>
        <v>0</v>
      </c>
      <c r="AY228">
        <f>IF(AND(VLOOKUP(AY$1,main!$A$3:$H$102,7,FALSE)=main!$G$105,VLOOKUP(AY$1,main!$A$3:$H$102,5,FALSE)-VLOOKUP($A228,main!$A$3:$H$102,6,FALSE)&gt;=main!$D$103+VLOOKUP(VLOOKUP(AY$1,main!$A$3:$I$102,7,FALSE),main!$K$26:$Q$29,5,FALSE)),1,0)</f>
        <v>0</v>
      </c>
      <c r="AZ228">
        <f>IF(AND(VLOOKUP(AZ$1,main!$A$3:$H$102,7,FALSE)=main!$G$105,VLOOKUP(AZ$1,main!$A$3:$H$102,5,FALSE)-VLOOKUP($A228,main!$A$3:$H$102,6,FALSE)&gt;=main!$D$103+VLOOKUP(VLOOKUP(AZ$1,main!$A$3:$I$102,7,FALSE),main!$K$26:$Q$29,5,FALSE)),1,0)</f>
        <v>0</v>
      </c>
      <c r="BA228">
        <f>IF(AND(VLOOKUP(BA$1,main!$A$3:$H$102,7,FALSE)=main!$G$105,VLOOKUP(BA$1,main!$A$3:$H$102,5,FALSE)-VLOOKUP($A228,main!$A$3:$H$102,6,FALSE)&gt;=main!$D$103+VLOOKUP(VLOOKUP(BA$1,main!$A$3:$I$102,7,FALSE),main!$K$26:$Q$29,5,FALSE)),1,0)</f>
        <v>0</v>
      </c>
      <c r="BB228">
        <f>IF(AND(VLOOKUP(BB$1,main!$A$3:$H$102,7,FALSE)=main!$G$105,VLOOKUP(BB$1,main!$A$3:$H$102,5,FALSE)-VLOOKUP($A228,main!$A$3:$H$102,6,FALSE)&gt;=main!$D$103+VLOOKUP(VLOOKUP(BB$1,main!$A$3:$I$102,7,FALSE),main!$K$26:$Q$29,5,FALSE)),1,0)</f>
        <v>0</v>
      </c>
      <c r="BC228">
        <f>IF(AND(VLOOKUP(BC$1,main!$A$3:$H$102,7,FALSE)=main!$G$105,VLOOKUP(BC$1,main!$A$3:$H$102,5,FALSE)-VLOOKUP($A228,main!$A$3:$H$102,6,FALSE)&gt;=main!$D$103+VLOOKUP(VLOOKUP(BC$1,main!$A$3:$I$102,7,FALSE),main!$K$26:$Q$29,5,FALSE)),1,0)</f>
        <v>0</v>
      </c>
      <c r="BD228">
        <f>IF(AND(VLOOKUP(BD$1,main!$A$3:$H$102,7,FALSE)=main!$G$105,VLOOKUP(BD$1,main!$A$3:$H$102,5,FALSE)-VLOOKUP($A228,main!$A$3:$H$102,6,FALSE)&gt;=main!$D$103+VLOOKUP(VLOOKUP(BD$1,main!$A$3:$I$102,7,FALSE),main!$K$26:$Q$29,5,FALSE)),1,0)</f>
        <v>0</v>
      </c>
      <c r="BE228">
        <f>IF(AND(VLOOKUP(BE$1,main!$A$3:$H$102,7,FALSE)=main!$G$105,VLOOKUP(BE$1,main!$A$3:$H$102,5,FALSE)-VLOOKUP($A228,main!$A$3:$H$102,6,FALSE)&gt;=main!$D$103+VLOOKUP(VLOOKUP(BE$1,main!$A$3:$I$102,7,FALSE),main!$K$26:$Q$29,5,FALSE)),1,0)</f>
        <v>0</v>
      </c>
      <c r="BF228">
        <f>IF(AND(VLOOKUP(BF$1,main!$A$3:$H$102,7,FALSE)=main!$G$105,VLOOKUP(BF$1,main!$A$3:$H$102,5,FALSE)-VLOOKUP($A228,main!$A$3:$H$102,6,FALSE)&gt;=main!$D$103+VLOOKUP(VLOOKUP(BF$1,main!$A$3:$I$102,7,FALSE),main!$K$26:$Q$29,5,FALSE)),1,0)</f>
        <v>0</v>
      </c>
      <c r="BG228">
        <f>IF(AND(VLOOKUP(BG$1,main!$A$3:$H$102,7,FALSE)=main!$G$105,VLOOKUP(BG$1,main!$A$3:$H$102,5,FALSE)-VLOOKUP($A228,main!$A$3:$H$102,6,FALSE)&gt;=main!$D$103+VLOOKUP(VLOOKUP(BG$1,main!$A$3:$I$102,7,FALSE),main!$K$26:$Q$29,5,FALSE)),1,0)</f>
        <v>0</v>
      </c>
      <c r="BH228">
        <f>IF(AND(VLOOKUP(BH$1,main!$A$3:$H$102,7,FALSE)=main!$G$105,VLOOKUP(BH$1,main!$A$3:$H$102,5,FALSE)-VLOOKUP($A228,main!$A$3:$H$102,6,FALSE)&gt;=main!$D$103+VLOOKUP(VLOOKUP(BH$1,main!$A$3:$I$102,7,FALSE),main!$K$26:$Q$29,5,FALSE)),1,0)</f>
        <v>0</v>
      </c>
      <c r="BI228">
        <f>IF(AND(VLOOKUP(BI$1,main!$A$3:$H$102,7,FALSE)=main!$G$105,VLOOKUP(BI$1,main!$A$3:$H$102,5,FALSE)-VLOOKUP($A228,main!$A$3:$H$102,6,FALSE)&gt;=main!$D$103+VLOOKUP(VLOOKUP(BI$1,main!$A$3:$I$102,7,FALSE),main!$K$26:$Q$29,5,FALSE)),1,0)</f>
        <v>0</v>
      </c>
      <c r="BJ228">
        <f>IF(AND(VLOOKUP(BJ$1,main!$A$3:$H$102,7,FALSE)=main!$G$105,VLOOKUP(BJ$1,main!$A$3:$H$102,5,FALSE)-VLOOKUP($A228,main!$A$3:$H$102,6,FALSE)&gt;=main!$D$103+VLOOKUP(VLOOKUP(BJ$1,main!$A$3:$I$102,7,FALSE),main!$K$26:$Q$29,5,FALSE)),1,0)</f>
        <v>0</v>
      </c>
      <c r="BK228">
        <f>IF(AND(VLOOKUP(BK$1,main!$A$3:$H$102,7,FALSE)=main!$G$105,VLOOKUP(BK$1,main!$A$3:$H$102,5,FALSE)-VLOOKUP($A228,main!$A$3:$H$102,6,FALSE)&gt;=main!$D$103+VLOOKUP(VLOOKUP(BK$1,main!$A$3:$I$102,7,FALSE),main!$K$26:$Q$29,5,FALSE)),1,0)</f>
        <v>0</v>
      </c>
      <c r="BL228">
        <f>IF(AND(VLOOKUP(BL$1,main!$A$3:$H$102,7,FALSE)=main!$G$105,VLOOKUP(BL$1,main!$A$3:$H$102,5,FALSE)-VLOOKUP($A228,main!$A$3:$H$102,6,FALSE)&gt;=main!$D$103+VLOOKUP(VLOOKUP(BL$1,main!$A$3:$I$102,7,FALSE),main!$K$26:$Q$29,5,FALSE)),1,0)</f>
        <v>0</v>
      </c>
      <c r="BM228">
        <f>IF(AND(VLOOKUP(BM$1,main!$A$3:$H$102,7,FALSE)=main!$G$105,VLOOKUP(BM$1,main!$A$3:$H$102,5,FALSE)-VLOOKUP($A228,main!$A$3:$H$102,6,FALSE)&gt;=main!$D$103+VLOOKUP(VLOOKUP(BM$1,main!$A$3:$I$102,7,FALSE),main!$K$26:$Q$29,5,FALSE)),1,0)</f>
        <v>0</v>
      </c>
      <c r="BN228">
        <f>IF(AND(VLOOKUP(BN$1,main!$A$3:$H$102,7,FALSE)=main!$G$105,VLOOKUP(BN$1,main!$A$3:$H$102,5,FALSE)-VLOOKUP($A228,main!$A$3:$H$102,6,FALSE)&gt;=main!$D$103+VLOOKUP(VLOOKUP(BN$1,main!$A$3:$I$102,7,FALSE),main!$K$26:$Q$29,5,FALSE)),1,0)</f>
        <v>0</v>
      </c>
      <c r="BO228">
        <f>IF(AND(VLOOKUP(BO$1,main!$A$3:$H$102,7,FALSE)=main!$G$105,VLOOKUP(BO$1,main!$A$3:$H$102,5,FALSE)-VLOOKUP($A228,main!$A$3:$H$102,6,FALSE)&gt;=main!$D$103+VLOOKUP(VLOOKUP(BO$1,main!$A$3:$I$102,7,FALSE),main!$K$26:$Q$29,5,FALSE)),1,0)</f>
        <v>0</v>
      </c>
      <c r="BP228">
        <f>IF(AND(VLOOKUP(BP$1,main!$A$3:$H$102,7,FALSE)=main!$G$105,VLOOKUP(BP$1,main!$A$3:$H$102,5,FALSE)-VLOOKUP($A228,main!$A$3:$H$102,6,FALSE)&gt;=main!$D$103+VLOOKUP(VLOOKUP(BP$1,main!$A$3:$I$102,7,FALSE),main!$K$26:$Q$29,5,FALSE)),1,0)</f>
        <v>0</v>
      </c>
      <c r="BQ228">
        <f>IF(AND(VLOOKUP(BQ$1,main!$A$3:$H$102,7,FALSE)=main!$G$105,VLOOKUP(BQ$1,main!$A$3:$H$102,5,FALSE)-VLOOKUP($A228,main!$A$3:$H$102,6,FALSE)&gt;=main!$D$103+VLOOKUP(VLOOKUP(BQ$1,main!$A$3:$I$102,7,FALSE),main!$K$26:$Q$29,5,FALSE)),1,0)</f>
        <v>0</v>
      </c>
      <c r="BR228">
        <f>IF(AND(VLOOKUP(BR$1,main!$A$3:$H$102,7,FALSE)=main!$G$105,VLOOKUP(BR$1,main!$A$3:$H$102,5,FALSE)-VLOOKUP($A228,main!$A$3:$H$102,6,FALSE)&gt;=main!$D$103+VLOOKUP(VLOOKUP(BR$1,main!$A$3:$I$102,7,FALSE),main!$K$26:$Q$29,5,FALSE)),1,0)</f>
        <v>0</v>
      </c>
      <c r="BS228">
        <f>IF(AND(VLOOKUP(BS$1,main!$A$3:$H$102,7,FALSE)=main!$G$105,VLOOKUP(BS$1,main!$A$3:$H$102,5,FALSE)-VLOOKUP($A228,main!$A$3:$H$102,6,FALSE)&gt;=main!$D$103+VLOOKUP(VLOOKUP(BS$1,main!$A$3:$I$102,7,FALSE),main!$K$26:$Q$29,5,FALSE)),1,0)</f>
        <v>0</v>
      </c>
      <c r="BT228">
        <f>IF(AND(VLOOKUP(BT$1,main!$A$3:$H$102,7,FALSE)=main!$G$105,VLOOKUP(BT$1,main!$A$3:$H$102,5,FALSE)-VLOOKUP($A228,main!$A$3:$H$102,6,FALSE)&gt;=main!$D$103+VLOOKUP(VLOOKUP(BT$1,main!$A$3:$I$102,7,FALSE),main!$K$26:$Q$29,5,FALSE)),1,0)</f>
        <v>0</v>
      </c>
      <c r="BU228">
        <f>IF(AND(VLOOKUP(BU$1,main!$A$3:$H$102,7,FALSE)=main!$G$105,VLOOKUP(BU$1,main!$A$3:$H$102,5,FALSE)-VLOOKUP($A228,main!$A$3:$H$102,6,FALSE)&gt;=main!$D$103+VLOOKUP(VLOOKUP(BU$1,main!$A$3:$I$102,7,FALSE),main!$K$26:$Q$29,5,FALSE)),1,0)</f>
        <v>0</v>
      </c>
      <c r="BV228">
        <f>IF(AND(VLOOKUP(BV$1,main!$A$3:$H$102,7,FALSE)=main!$G$105,VLOOKUP(BV$1,main!$A$3:$H$102,5,FALSE)-VLOOKUP($A228,main!$A$3:$H$102,6,FALSE)&gt;=main!$D$103+VLOOKUP(VLOOKUP(BV$1,main!$A$3:$I$102,7,FALSE),main!$K$26:$Q$29,5,FALSE)),1,0)</f>
        <v>0</v>
      </c>
      <c r="BW228">
        <f>IF(AND(VLOOKUP(BW$1,main!$A$3:$H$102,7,FALSE)=main!$G$105,VLOOKUP(BW$1,main!$A$3:$H$102,5,FALSE)-VLOOKUP($A228,main!$A$3:$H$102,6,FALSE)&gt;=main!$D$103+VLOOKUP(VLOOKUP(BW$1,main!$A$3:$I$102,7,FALSE),main!$K$26:$Q$29,5,FALSE)),1,0)</f>
        <v>0</v>
      </c>
      <c r="BX228">
        <f>IF(AND(VLOOKUP(BX$1,main!$A$3:$H$102,7,FALSE)=main!$G$105,VLOOKUP(BX$1,main!$A$3:$H$102,5,FALSE)-VLOOKUP($A228,main!$A$3:$H$102,6,FALSE)&gt;=main!$D$103+VLOOKUP(VLOOKUP(BX$1,main!$A$3:$I$102,7,FALSE),main!$K$26:$Q$29,5,FALSE)),1,0)</f>
        <v>0</v>
      </c>
      <c r="BY228">
        <f>IF(AND(VLOOKUP(BY$1,main!$A$3:$H$102,7,FALSE)=main!$G$105,VLOOKUP(BY$1,main!$A$3:$H$102,5,FALSE)-VLOOKUP($A228,main!$A$3:$H$102,6,FALSE)&gt;=main!$D$103+VLOOKUP(VLOOKUP(BY$1,main!$A$3:$I$102,7,FALSE),main!$K$26:$Q$29,5,FALSE)),1,0)</f>
        <v>0</v>
      </c>
      <c r="BZ228">
        <f>IF(AND(VLOOKUP(BZ$1,main!$A$3:$H$102,7,FALSE)=main!$G$105,VLOOKUP(BZ$1,main!$A$3:$H$102,5,FALSE)-VLOOKUP($A228,main!$A$3:$H$102,6,FALSE)&gt;=main!$D$103+VLOOKUP(VLOOKUP(BZ$1,main!$A$3:$I$102,7,FALSE),main!$K$26:$Q$29,5,FALSE)),1,0)</f>
        <v>0</v>
      </c>
      <c r="CA228">
        <f>IF(AND(VLOOKUP(CA$1,main!$A$3:$H$102,7,FALSE)=main!$G$105,VLOOKUP(CA$1,main!$A$3:$H$102,5,FALSE)-VLOOKUP($A228,main!$A$3:$H$102,6,FALSE)&gt;=main!$D$103+VLOOKUP(VLOOKUP(CA$1,main!$A$3:$I$102,7,FALSE),main!$K$26:$Q$29,5,FALSE)),1,0)</f>
        <v>0</v>
      </c>
      <c r="CB228">
        <f>IF(AND(VLOOKUP(CB$1,main!$A$3:$H$102,7,FALSE)=main!$G$105,VLOOKUP(CB$1,main!$A$3:$H$102,5,FALSE)-VLOOKUP($A228,main!$A$3:$H$102,6,FALSE)&gt;=main!$D$103+VLOOKUP(VLOOKUP(CB$1,main!$A$3:$I$102,7,FALSE),main!$K$26:$Q$29,5,FALSE)),1,0)</f>
        <v>0</v>
      </c>
      <c r="CC228">
        <f>IF(AND(VLOOKUP(CC$1,main!$A$3:$H$102,7,FALSE)=main!$G$105,VLOOKUP(CC$1,main!$A$3:$H$102,5,FALSE)-VLOOKUP($A228,main!$A$3:$H$102,6,FALSE)&gt;=main!$D$103+VLOOKUP(VLOOKUP(CC$1,main!$A$3:$I$102,7,FALSE),main!$K$26:$Q$29,5,FALSE)),1,0)</f>
        <v>0</v>
      </c>
      <c r="CD228">
        <f>IF(AND(VLOOKUP(CD$1,main!$A$3:$H$102,7,FALSE)=main!$G$105,VLOOKUP(CD$1,main!$A$3:$H$102,5,FALSE)-VLOOKUP($A228,main!$A$3:$H$102,6,FALSE)&gt;=main!$D$103+VLOOKUP(VLOOKUP(CD$1,main!$A$3:$I$102,7,FALSE),main!$K$26:$Q$29,5,FALSE)),1,0)</f>
        <v>0</v>
      </c>
      <c r="CE228">
        <f>IF(AND(VLOOKUP(CE$1,main!$A$3:$H$102,7,FALSE)=main!$G$105,VLOOKUP(CE$1,main!$A$3:$H$102,5,FALSE)-VLOOKUP($A228,main!$A$3:$H$102,6,FALSE)&gt;=main!$D$103+VLOOKUP(VLOOKUP(CE$1,main!$A$3:$I$102,7,FALSE),main!$K$26:$Q$29,5,FALSE)),1,0)</f>
        <v>0</v>
      </c>
      <c r="CF228">
        <f>IF(AND(VLOOKUP(CF$1,main!$A$3:$H$102,7,FALSE)=main!$G$105,VLOOKUP(CF$1,main!$A$3:$H$102,5,FALSE)-VLOOKUP($A228,main!$A$3:$H$102,6,FALSE)&gt;=main!$D$103+VLOOKUP(VLOOKUP(CF$1,main!$A$3:$I$102,7,FALSE),main!$K$26:$Q$29,5,FALSE)),1,0)</f>
        <v>0</v>
      </c>
      <c r="CG228">
        <f>IF(AND(VLOOKUP(CG$1,main!$A$3:$H$102,7,FALSE)=main!$G$105,VLOOKUP(CG$1,main!$A$3:$H$102,5,FALSE)-VLOOKUP($A228,main!$A$3:$H$102,6,FALSE)&gt;=main!$D$103+VLOOKUP(VLOOKUP(CG$1,main!$A$3:$I$102,7,FALSE),main!$K$26:$Q$29,5,FALSE)),1,0)</f>
        <v>0</v>
      </c>
      <c r="CH228">
        <f>IF(AND(VLOOKUP(CH$1,main!$A$3:$H$102,7,FALSE)=main!$G$105,VLOOKUP(CH$1,main!$A$3:$H$102,5,FALSE)-VLOOKUP($A228,main!$A$3:$H$102,6,FALSE)&gt;=main!$D$103+VLOOKUP(VLOOKUP(CH$1,main!$A$3:$I$102,7,FALSE),main!$K$26:$Q$29,5,FALSE)),1,0)</f>
        <v>0</v>
      </c>
      <c r="CI228">
        <f>IF(AND(VLOOKUP(CI$1,main!$A$3:$H$102,7,FALSE)=main!$G$105,VLOOKUP(CI$1,main!$A$3:$H$102,5,FALSE)-VLOOKUP($A228,main!$A$3:$H$102,6,FALSE)&gt;=main!$D$103+VLOOKUP(VLOOKUP(CI$1,main!$A$3:$I$102,7,FALSE),main!$K$26:$Q$29,5,FALSE)),1,0)</f>
        <v>0</v>
      </c>
      <c r="CJ228">
        <f>IF(AND(VLOOKUP(CJ$1,main!$A$3:$H$102,7,FALSE)=main!$G$105,VLOOKUP(CJ$1,main!$A$3:$H$102,5,FALSE)-VLOOKUP($A228,main!$A$3:$H$102,6,FALSE)&gt;=main!$D$103+VLOOKUP(VLOOKUP(CJ$1,main!$A$3:$I$102,7,FALSE),main!$K$26:$Q$29,5,FALSE)),1,0)</f>
        <v>0</v>
      </c>
      <c r="CK228">
        <f>IF(AND(VLOOKUP(CK$1,main!$A$3:$H$102,7,FALSE)=main!$G$105,VLOOKUP(CK$1,main!$A$3:$H$102,5,FALSE)-VLOOKUP($A228,main!$A$3:$H$102,6,FALSE)&gt;=main!$D$103+VLOOKUP(VLOOKUP(CK$1,main!$A$3:$I$102,7,FALSE),main!$K$26:$Q$29,5,FALSE)),1,0)</f>
        <v>0</v>
      </c>
      <c r="CL228">
        <f>IF(AND(VLOOKUP(CL$1,main!$A$3:$H$102,7,FALSE)=main!$G$105,VLOOKUP(CL$1,main!$A$3:$H$102,5,FALSE)-VLOOKUP($A228,main!$A$3:$H$102,6,FALSE)&gt;=main!$D$103+VLOOKUP(VLOOKUP(CL$1,main!$A$3:$I$102,7,FALSE),main!$K$26:$Q$29,5,FALSE)),1,0)</f>
        <v>0</v>
      </c>
      <c r="CM228">
        <f>IF(AND(VLOOKUP(CM$1,main!$A$3:$H$102,7,FALSE)=main!$G$105,VLOOKUP(CM$1,main!$A$3:$H$102,5,FALSE)-VLOOKUP($A228,main!$A$3:$H$102,6,FALSE)&gt;=main!$D$103+VLOOKUP(VLOOKUP(CM$1,main!$A$3:$I$102,7,FALSE),main!$K$26:$Q$29,5,FALSE)),1,0)</f>
        <v>0</v>
      </c>
      <c r="CN228">
        <f>IF(AND(VLOOKUP(CN$1,main!$A$3:$H$102,7,FALSE)=main!$G$105,VLOOKUP(CN$1,main!$A$3:$H$102,5,FALSE)-VLOOKUP($A228,main!$A$3:$H$102,6,FALSE)&gt;=main!$D$103+VLOOKUP(VLOOKUP(CN$1,main!$A$3:$I$102,7,FALSE),main!$K$26:$Q$29,5,FALSE)),1,0)</f>
        <v>0</v>
      </c>
      <c r="CO228">
        <f>IF(AND(VLOOKUP(CO$1,main!$A$3:$H$102,7,FALSE)=main!$G$105,VLOOKUP(CO$1,main!$A$3:$H$102,5,FALSE)-VLOOKUP($A228,main!$A$3:$H$102,6,FALSE)&gt;=main!$D$103+VLOOKUP(VLOOKUP(CO$1,main!$A$3:$I$102,7,FALSE),main!$K$26:$Q$29,5,FALSE)),1,0)</f>
        <v>0</v>
      </c>
      <c r="CP228">
        <f>IF(AND(VLOOKUP(CP$1,main!$A$3:$H$102,7,FALSE)=main!$G$105,VLOOKUP(CP$1,main!$A$3:$H$102,5,FALSE)-VLOOKUP($A228,main!$A$3:$H$102,6,FALSE)&gt;=main!$D$103+VLOOKUP(VLOOKUP(CP$1,main!$A$3:$I$102,7,FALSE),main!$K$26:$Q$29,5,FALSE)),1,0)</f>
        <v>0</v>
      </c>
      <c r="CQ228">
        <f>IF(AND(VLOOKUP(CQ$1,main!$A$3:$H$102,7,FALSE)=main!$G$105,VLOOKUP(CQ$1,main!$A$3:$H$102,5,FALSE)-VLOOKUP($A228,main!$A$3:$H$102,6,FALSE)&gt;=main!$D$103+VLOOKUP(VLOOKUP(CQ$1,main!$A$3:$I$102,7,FALSE),main!$K$26:$Q$29,5,FALSE)),1,0)</f>
        <v>0</v>
      </c>
      <c r="CR228">
        <f>IF(AND(VLOOKUP(CR$1,main!$A$3:$H$102,7,FALSE)=main!$G$105,VLOOKUP(CR$1,main!$A$3:$H$102,5,FALSE)-VLOOKUP($A228,main!$A$3:$H$102,6,FALSE)&gt;=main!$D$103+VLOOKUP(VLOOKUP(CR$1,main!$A$3:$I$102,7,FALSE),main!$K$26:$Q$29,5,FALSE)),1,0)</f>
        <v>0</v>
      </c>
      <c r="CS228">
        <f>IF(AND(VLOOKUP(CS$1,main!$A$3:$H$102,7,FALSE)=main!$G$105,VLOOKUP(CS$1,main!$A$3:$H$102,5,FALSE)-VLOOKUP($A228,main!$A$3:$H$102,6,FALSE)&gt;=main!$D$103+VLOOKUP(VLOOKUP(CS$1,main!$A$3:$I$102,7,FALSE),main!$K$26:$Q$29,5,FALSE)),1,0)</f>
        <v>0</v>
      </c>
      <c r="CT228">
        <f>IF(AND(VLOOKUP(CT$1,main!$A$3:$H$102,7,FALSE)=main!$G$105,VLOOKUP(CT$1,main!$A$3:$H$102,5,FALSE)-VLOOKUP($A228,main!$A$3:$H$102,6,FALSE)&gt;=main!$D$103+VLOOKUP(VLOOKUP(CT$1,main!$A$3:$I$102,7,FALSE),main!$K$26:$Q$29,5,FALSE)),1,0)</f>
        <v>0</v>
      </c>
      <c r="CU228">
        <f>IF(AND(VLOOKUP(CU$1,main!$A$3:$H$102,7,FALSE)=main!$G$105,VLOOKUP(CU$1,main!$A$3:$H$102,5,FALSE)-VLOOKUP($A228,main!$A$3:$H$102,6,FALSE)&gt;=main!$D$103+VLOOKUP(VLOOKUP(CU$1,main!$A$3:$I$102,7,FALSE),main!$K$26:$Q$29,5,FALSE)),1,0)</f>
        <v>0</v>
      </c>
      <c r="CV228">
        <f>IF(AND(VLOOKUP(CV$1,main!$A$3:$H$102,7,FALSE)=main!$G$105,VLOOKUP(CV$1,main!$A$3:$H$102,5,FALSE)-VLOOKUP($A228,main!$A$3:$H$102,6,FALSE)&gt;=main!$D$103+VLOOKUP(VLOOKUP(CV$1,main!$A$3:$I$102,7,FALSE),main!$K$26:$Q$29,5,FALSE)),1,0)</f>
        <v>0</v>
      </c>
      <c r="CW228">
        <f>IF(AND(VLOOKUP(CW$1,main!$A$3:$H$102,7,FALSE)=main!$G$105,VLOOKUP(CW$1,main!$A$3:$H$102,5,FALSE)-VLOOKUP($A228,main!$A$3:$H$102,6,FALSE)&gt;=main!$D$103+VLOOKUP(VLOOKUP(CW$1,main!$A$3:$I$102,7,FALSE),main!$K$26:$Q$29,5,FALSE)),1,0)</f>
        <v>0</v>
      </c>
      <c r="CX228">
        <f>IF(AND(VLOOKUP(CX$1,main!$A$3:$H$102,7,FALSE)=main!$G$105,VLOOKUP(CX$1,main!$A$3:$H$102,5,FALSE)-VLOOKUP($A228,main!$A$3:$H$102,6,FALSE)&gt;=main!$D$103+VLOOKUP(VLOOKUP(CX$1,main!$A$3:$I$102,7,FALSE),main!$K$26:$Q$29,5,FALSE)),1,0)</f>
        <v>0</v>
      </c>
    </row>
    <row r="229" spans="1:102" x14ac:dyDescent="0.25">
      <c r="A229" s="1">
        <v>25</v>
      </c>
      <c r="B229">
        <v>0</v>
      </c>
      <c r="C229">
        <f>IF(AND(VLOOKUP(C$1,main!$A$3:$H$102,7,FALSE)=main!$G$105,VLOOKUP(C$1,main!$A$3:$H$102,5,FALSE)-VLOOKUP($A229,main!$A$3:$H$102,6,FALSE)&gt;=main!$D$103+VLOOKUP(VLOOKUP(C$1,main!$A$3:$I$102,7,FALSE),main!$K$26:$Q$29,5,FALSE)),1,0)</f>
        <v>0</v>
      </c>
      <c r="D229">
        <f>IF(AND(VLOOKUP(D$1,main!$A$3:$H$102,7,FALSE)=main!$G$105,VLOOKUP(D$1,main!$A$3:$H$102,5,FALSE)-VLOOKUP($A229,main!$A$3:$H$102,6,FALSE)&gt;=main!$D$103+VLOOKUP(VLOOKUP(D$1,main!$A$3:$I$102,7,FALSE),main!$K$26:$Q$29,5,FALSE)),1,0)</f>
        <v>0</v>
      </c>
      <c r="E229">
        <f>IF(AND(VLOOKUP(E$1,main!$A$3:$H$102,7,FALSE)=main!$G$105,VLOOKUP(E$1,main!$A$3:$H$102,5,FALSE)-VLOOKUP($A229,main!$A$3:$H$102,6,FALSE)&gt;=main!$D$103+VLOOKUP(VLOOKUP(E$1,main!$A$3:$I$102,7,FALSE),main!$K$26:$Q$29,5,FALSE)),1,0)</f>
        <v>0</v>
      </c>
      <c r="F229">
        <f>IF(AND(VLOOKUP(F$1,main!$A$3:$H$102,7,FALSE)=main!$G$105,VLOOKUP(F$1,main!$A$3:$H$102,5,FALSE)-VLOOKUP($A229,main!$A$3:$H$102,6,FALSE)&gt;=main!$D$103+VLOOKUP(VLOOKUP(F$1,main!$A$3:$I$102,7,FALSE),main!$K$26:$Q$29,5,FALSE)),1,0)</f>
        <v>0</v>
      </c>
      <c r="G229">
        <f>IF(AND(VLOOKUP(G$1,main!$A$3:$H$102,7,FALSE)=main!$G$105,VLOOKUP(G$1,main!$A$3:$H$102,5,FALSE)-VLOOKUP($A229,main!$A$3:$H$102,6,FALSE)&gt;=main!$D$103+VLOOKUP(VLOOKUP(G$1,main!$A$3:$I$102,7,FALSE),main!$K$26:$Q$29,5,FALSE)),1,0)</f>
        <v>0</v>
      </c>
      <c r="H229">
        <f>IF(AND(VLOOKUP(H$1,main!$A$3:$H$102,7,FALSE)=main!$G$105,VLOOKUP(H$1,main!$A$3:$H$102,5,FALSE)-VLOOKUP($A229,main!$A$3:$H$102,6,FALSE)&gt;=main!$D$103+VLOOKUP(VLOOKUP(H$1,main!$A$3:$I$102,7,FALSE),main!$K$26:$Q$29,5,FALSE)),1,0)</f>
        <v>0</v>
      </c>
      <c r="I229">
        <f>IF(AND(VLOOKUP(I$1,main!$A$3:$H$102,7,FALSE)=main!$G$105,VLOOKUP(I$1,main!$A$3:$H$102,5,FALSE)-VLOOKUP($A229,main!$A$3:$H$102,6,FALSE)&gt;=main!$D$103+VLOOKUP(VLOOKUP(I$1,main!$A$3:$I$102,7,FALSE),main!$K$26:$Q$29,5,FALSE)),1,0)</f>
        <v>0</v>
      </c>
      <c r="J229">
        <f>IF(AND(VLOOKUP(J$1,main!$A$3:$H$102,7,FALSE)=main!$G$105,VLOOKUP(J$1,main!$A$3:$H$102,5,FALSE)-VLOOKUP($A229,main!$A$3:$H$102,6,FALSE)&gt;=main!$D$103+VLOOKUP(VLOOKUP(J$1,main!$A$3:$I$102,7,FALSE),main!$K$26:$Q$29,5,FALSE)),1,0)</f>
        <v>0</v>
      </c>
      <c r="K229">
        <f>IF(AND(VLOOKUP(K$1,main!$A$3:$H$102,7,FALSE)=main!$G$105,VLOOKUP(K$1,main!$A$3:$H$102,5,FALSE)-VLOOKUP($A229,main!$A$3:$H$102,6,FALSE)&gt;=main!$D$103+VLOOKUP(VLOOKUP(K$1,main!$A$3:$I$102,7,FALSE),main!$K$26:$Q$29,5,FALSE)),1,0)</f>
        <v>0</v>
      </c>
      <c r="L229">
        <f>IF(AND(VLOOKUP(L$1,main!$A$3:$H$102,7,FALSE)=main!$G$105,VLOOKUP(L$1,main!$A$3:$H$102,5,FALSE)-VLOOKUP($A229,main!$A$3:$H$102,6,FALSE)&gt;=main!$D$103+VLOOKUP(VLOOKUP(L$1,main!$A$3:$I$102,7,FALSE),main!$K$26:$Q$29,5,FALSE)),1,0)</f>
        <v>0</v>
      </c>
      <c r="M229">
        <f>IF(AND(VLOOKUP(M$1,main!$A$3:$H$102,7,FALSE)=main!$G$105,VLOOKUP(M$1,main!$A$3:$H$102,5,FALSE)-VLOOKUP($A229,main!$A$3:$H$102,6,FALSE)&gt;=main!$D$103+VLOOKUP(VLOOKUP(M$1,main!$A$3:$I$102,7,FALSE),main!$K$26:$Q$29,5,FALSE)),1,0)</f>
        <v>0</v>
      </c>
      <c r="N229">
        <f>IF(AND(VLOOKUP(N$1,main!$A$3:$H$102,7,FALSE)=main!$G$105,VLOOKUP(N$1,main!$A$3:$H$102,5,FALSE)-VLOOKUP($A229,main!$A$3:$H$102,6,FALSE)&gt;=main!$D$103+VLOOKUP(VLOOKUP(N$1,main!$A$3:$I$102,7,FALSE),main!$K$26:$Q$29,5,FALSE)),1,0)</f>
        <v>0</v>
      </c>
      <c r="O229">
        <f>IF(AND(VLOOKUP(O$1,main!$A$3:$H$102,7,FALSE)=main!$G$105,VLOOKUP(O$1,main!$A$3:$H$102,5,FALSE)-VLOOKUP($A229,main!$A$3:$H$102,6,FALSE)&gt;=main!$D$103+VLOOKUP(VLOOKUP(O$1,main!$A$3:$I$102,7,FALSE),main!$K$26:$Q$29,5,FALSE)),1,0)</f>
        <v>0</v>
      </c>
      <c r="P229">
        <f>IF(AND(VLOOKUP(P$1,main!$A$3:$H$102,7,FALSE)=main!$G$105,VLOOKUP(P$1,main!$A$3:$H$102,5,FALSE)-VLOOKUP($A229,main!$A$3:$H$102,6,FALSE)&gt;=main!$D$103+VLOOKUP(VLOOKUP(P$1,main!$A$3:$I$102,7,FALSE),main!$K$26:$Q$29,5,FALSE)),1,0)</f>
        <v>0</v>
      </c>
      <c r="Q229">
        <f>IF(AND(VLOOKUP(Q$1,main!$A$3:$H$102,7,FALSE)=main!$G$105,VLOOKUP(Q$1,main!$A$3:$H$102,5,FALSE)-VLOOKUP($A229,main!$A$3:$H$102,6,FALSE)&gt;=main!$D$103+VLOOKUP(VLOOKUP(Q$1,main!$A$3:$I$102,7,FALSE),main!$K$26:$Q$29,5,FALSE)),1,0)</f>
        <v>0</v>
      </c>
      <c r="R229">
        <f>IF(AND(VLOOKUP(R$1,main!$A$3:$H$102,7,FALSE)=main!$G$105,VLOOKUP(R$1,main!$A$3:$H$102,5,FALSE)-VLOOKUP($A229,main!$A$3:$H$102,6,FALSE)&gt;=main!$D$103+VLOOKUP(VLOOKUP(R$1,main!$A$3:$I$102,7,FALSE),main!$K$26:$Q$29,5,FALSE)),1,0)</f>
        <v>0</v>
      </c>
      <c r="S229">
        <f>IF(AND(VLOOKUP(S$1,main!$A$3:$H$102,7,FALSE)=main!$G$105,VLOOKUP(S$1,main!$A$3:$H$102,5,FALSE)-VLOOKUP($A229,main!$A$3:$H$102,6,FALSE)&gt;=main!$D$103+VLOOKUP(VLOOKUP(S$1,main!$A$3:$I$102,7,FALSE),main!$K$26:$Q$29,5,FALSE)),1,0)</f>
        <v>0</v>
      </c>
      <c r="T229">
        <f>IF(AND(VLOOKUP(T$1,main!$A$3:$H$102,7,FALSE)=main!$G$105,VLOOKUP(T$1,main!$A$3:$H$102,5,FALSE)-VLOOKUP($A229,main!$A$3:$H$102,6,FALSE)&gt;=main!$D$103+VLOOKUP(VLOOKUP(T$1,main!$A$3:$I$102,7,FALSE),main!$K$26:$Q$29,5,FALSE)),1,0)</f>
        <v>0</v>
      </c>
      <c r="U229">
        <f>IF(AND(VLOOKUP(U$1,main!$A$3:$H$102,7,FALSE)=main!$G$105,VLOOKUP(U$1,main!$A$3:$H$102,5,FALSE)-VLOOKUP($A229,main!$A$3:$H$102,6,FALSE)&gt;=main!$D$103+VLOOKUP(VLOOKUP(U$1,main!$A$3:$I$102,7,FALSE),main!$K$26:$Q$29,5,FALSE)),1,0)</f>
        <v>0</v>
      </c>
      <c r="V229">
        <f>IF(AND(VLOOKUP(V$1,main!$A$3:$H$102,7,FALSE)=main!$G$105,VLOOKUP(V$1,main!$A$3:$H$102,5,FALSE)-VLOOKUP($A229,main!$A$3:$H$102,6,FALSE)&gt;=main!$D$103+VLOOKUP(VLOOKUP(V$1,main!$A$3:$I$102,7,FALSE),main!$K$26:$Q$29,5,FALSE)),1,0)</f>
        <v>0</v>
      </c>
      <c r="W229">
        <f>IF(AND(VLOOKUP(W$1,main!$A$3:$H$102,7,FALSE)=main!$G$105,VLOOKUP(W$1,main!$A$3:$H$102,5,FALSE)-VLOOKUP($A229,main!$A$3:$H$102,6,FALSE)&gt;=main!$D$103+VLOOKUP(VLOOKUP(W$1,main!$A$3:$I$102,7,FALSE),main!$K$26:$Q$29,5,FALSE)),1,0)</f>
        <v>0</v>
      </c>
      <c r="X229">
        <f>IF(AND(VLOOKUP(X$1,main!$A$3:$H$102,7,FALSE)=main!$G$105,VLOOKUP(X$1,main!$A$3:$H$102,5,FALSE)-VLOOKUP($A229,main!$A$3:$H$102,6,FALSE)&gt;=main!$D$103+VLOOKUP(VLOOKUP(X$1,main!$A$3:$I$102,7,FALSE),main!$K$26:$Q$29,5,FALSE)),1,0)</f>
        <v>0</v>
      </c>
      <c r="Y229">
        <f>IF(AND(VLOOKUP(Y$1,main!$A$3:$H$102,7,FALSE)=main!$G$105,VLOOKUP(Y$1,main!$A$3:$H$102,5,FALSE)-VLOOKUP($A229,main!$A$3:$H$102,6,FALSE)&gt;=main!$D$103+VLOOKUP(VLOOKUP(Y$1,main!$A$3:$I$102,7,FALSE),main!$K$26:$Q$29,5,FALSE)),1,0)</f>
        <v>0</v>
      </c>
      <c r="Z229">
        <f>IF(AND(VLOOKUP(Z$1,main!$A$3:$H$102,7,FALSE)=main!$G$105,VLOOKUP(Z$1,main!$A$3:$H$102,5,FALSE)-VLOOKUP($A229,main!$A$3:$H$102,6,FALSE)&gt;=main!$D$103+VLOOKUP(VLOOKUP(Z$1,main!$A$3:$I$102,7,FALSE),main!$K$26:$Q$29,5,FALSE)),1,0)</f>
        <v>0</v>
      </c>
      <c r="AA229">
        <f>IF(AND(VLOOKUP(AA$1,main!$A$3:$H$102,7,FALSE)=main!$G$105,VLOOKUP(AA$1,main!$A$3:$H$102,5,FALSE)-VLOOKUP($A229,main!$A$3:$H$102,6,FALSE)&gt;=main!$D$103+VLOOKUP(VLOOKUP(AA$1,main!$A$3:$I$102,7,FALSE),main!$K$26:$Q$29,5,FALSE)),1,0)</f>
        <v>0</v>
      </c>
      <c r="AB229">
        <f>IF(AND(VLOOKUP(AB$1,main!$A$3:$H$102,7,FALSE)=main!$G$105,VLOOKUP(AB$1,main!$A$3:$H$102,5,FALSE)-VLOOKUP($A229,main!$A$3:$H$102,6,FALSE)&gt;=main!$D$103+VLOOKUP(VLOOKUP(AB$1,main!$A$3:$I$102,7,FALSE),main!$K$26:$Q$29,5,FALSE)),1,0)</f>
        <v>0</v>
      </c>
      <c r="AC229">
        <f>IF(AND(VLOOKUP(AC$1,main!$A$3:$H$102,7,FALSE)=main!$G$105,VLOOKUP(AC$1,main!$A$3:$H$102,5,FALSE)-VLOOKUP($A229,main!$A$3:$H$102,6,FALSE)&gt;=main!$D$103+VLOOKUP(VLOOKUP(AC$1,main!$A$3:$I$102,7,FALSE),main!$K$26:$Q$29,5,FALSE)),1,0)</f>
        <v>0</v>
      </c>
      <c r="AD229">
        <f>IF(AND(VLOOKUP(AD$1,main!$A$3:$H$102,7,FALSE)=main!$G$105,VLOOKUP(AD$1,main!$A$3:$H$102,5,FALSE)-VLOOKUP($A229,main!$A$3:$H$102,6,FALSE)&gt;=main!$D$103+VLOOKUP(VLOOKUP(AD$1,main!$A$3:$I$102,7,FALSE),main!$K$26:$Q$29,5,FALSE)),1,0)</f>
        <v>0</v>
      </c>
      <c r="AE229">
        <f>IF(AND(VLOOKUP(AE$1,main!$A$3:$H$102,7,FALSE)=main!$G$105,VLOOKUP(AE$1,main!$A$3:$H$102,5,FALSE)-VLOOKUP($A229,main!$A$3:$H$102,6,FALSE)&gt;=main!$D$103+VLOOKUP(VLOOKUP(AE$1,main!$A$3:$I$102,7,FALSE),main!$K$26:$Q$29,5,FALSE)),1,0)</f>
        <v>0</v>
      </c>
      <c r="AF229">
        <f>IF(AND(VLOOKUP(AF$1,main!$A$3:$H$102,7,FALSE)=main!$G$105,VLOOKUP(AF$1,main!$A$3:$H$102,5,FALSE)-VLOOKUP($A229,main!$A$3:$H$102,6,FALSE)&gt;=main!$D$103+VLOOKUP(VLOOKUP(AF$1,main!$A$3:$I$102,7,FALSE),main!$K$26:$Q$29,5,FALSE)),1,0)</f>
        <v>0</v>
      </c>
      <c r="AG229">
        <f>IF(AND(VLOOKUP(AG$1,main!$A$3:$H$102,7,FALSE)=main!$G$105,VLOOKUP(AG$1,main!$A$3:$H$102,5,FALSE)-VLOOKUP($A229,main!$A$3:$H$102,6,FALSE)&gt;=main!$D$103+VLOOKUP(VLOOKUP(AG$1,main!$A$3:$I$102,7,FALSE),main!$K$26:$Q$29,5,FALSE)),1,0)</f>
        <v>0</v>
      </c>
      <c r="AH229">
        <f>IF(AND(VLOOKUP(AH$1,main!$A$3:$H$102,7,FALSE)=main!$G$105,VLOOKUP(AH$1,main!$A$3:$H$102,5,FALSE)-VLOOKUP($A229,main!$A$3:$H$102,6,FALSE)&gt;=main!$D$103+VLOOKUP(VLOOKUP(AH$1,main!$A$3:$I$102,7,FALSE),main!$K$26:$Q$29,5,FALSE)),1,0)</f>
        <v>0</v>
      </c>
      <c r="AI229">
        <f>IF(AND(VLOOKUP(AI$1,main!$A$3:$H$102,7,FALSE)=main!$G$105,VLOOKUP(AI$1,main!$A$3:$H$102,5,FALSE)-VLOOKUP($A229,main!$A$3:$H$102,6,FALSE)&gt;=main!$D$103+VLOOKUP(VLOOKUP(AI$1,main!$A$3:$I$102,7,FALSE),main!$K$26:$Q$29,5,FALSE)),1,0)</f>
        <v>0</v>
      </c>
      <c r="AJ229">
        <f>IF(AND(VLOOKUP(AJ$1,main!$A$3:$H$102,7,FALSE)=main!$G$105,VLOOKUP(AJ$1,main!$A$3:$H$102,5,FALSE)-VLOOKUP($A229,main!$A$3:$H$102,6,FALSE)&gt;=main!$D$103+VLOOKUP(VLOOKUP(AJ$1,main!$A$3:$I$102,7,FALSE),main!$K$26:$Q$29,5,FALSE)),1,0)</f>
        <v>0</v>
      </c>
      <c r="AK229">
        <f>IF(AND(VLOOKUP(AK$1,main!$A$3:$H$102,7,FALSE)=main!$G$105,VLOOKUP(AK$1,main!$A$3:$H$102,5,FALSE)-VLOOKUP($A229,main!$A$3:$H$102,6,FALSE)&gt;=main!$D$103+VLOOKUP(VLOOKUP(AK$1,main!$A$3:$I$102,7,FALSE),main!$K$26:$Q$29,5,FALSE)),1,0)</f>
        <v>0</v>
      </c>
      <c r="AL229">
        <f>IF(AND(VLOOKUP(AL$1,main!$A$3:$H$102,7,FALSE)=main!$G$105,VLOOKUP(AL$1,main!$A$3:$H$102,5,FALSE)-VLOOKUP($A229,main!$A$3:$H$102,6,FALSE)&gt;=main!$D$103+VLOOKUP(VLOOKUP(AL$1,main!$A$3:$I$102,7,FALSE),main!$K$26:$Q$29,5,FALSE)),1,0)</f>
        <v>0</v>
      </c>
      <c r="AM229">
        <f>IF(AND(VLOOKUP(AM$1,main!$A$3:$H$102,7,FALSE)=main!$G$105,VLOOKUP(AM$1,main!$A$3:$H$102,5,FALSE)-VLOOKUP($A229,main!$A$3:$H$102,6,FALSE)&gt;=main!$D$103+VLOOKUP(VLOOKUP(AM$1,main!$A$3:$I$102,7,FALSE),main!$K$26:$Q$29,5,FALSE)),1,0)</f>
        <v>0</v>
      </c>
      <c r="AN229">
        <f>IF(AND(VLOOKUP(AN$1,main!$A$3:$H$102,7,FALSE)=main!$G$105,VLOOKUP(AN$1,main!$A$3:$H$102,5,FALSE)-VLOOKUP($A229,main!$A$3:$H$102,6,FALSE)&gt;=main!$D$103+VLOOKUP(VLOOKUP(AN$1,main!$A$3:$I$102,7,FALSE),main!$K$26:$Q$29,5,FALSE)),1,0)</f>
        <v>0</v>
      </c>
      <c r="AO229">
        <f>IF(AND(VLOOKUP(AO$1,main!$A$3:$H$102,7,FALSE)=main!$G$105,VLOOKUP(AO$1,main!$A$3:$H$102,5,FALSE)-VLOOKUP($A229,main!$A$3:$H$102,6,FALSE)&gt;=main!$D$103+VLOOKUP(VLOOKUP(AO$1,main!$A$3:$I$102,7,FALSE),main!$K$26:$Q$29,5,FALSE)),1,0)</f>
        <v>0</v>
      </c>
      <c r="AP229">
        <f>IF(AND(VLOOKUP(AP$1,main!$A$3:$H$102,7,FALSE)=main!$G$105,VLOOKUP(AP$1,main!$A$3:$H$102,5,FALSE)-VLOOKUP($A229,main!$A$3:$H$102,6,FALSE)&gt;=main!$D$103+VLOOKUP(VLOOKUP(AP$1,main!$A$3:$I$102,7,FALSE),main!$K$26:$Q$29,5,FALSE)),1,0)</f>
        <v>0</v>
      </c>
      <c r="AQ229">
        <f>IF(AND(VLOOKUP(AQ$1,main!$A$3:$H$102,7,FALSE)=main!$G$105,VLOOKUP(AQ$1,main!$A$3:$H$102,5,FALSE)-VLOOKUP($A229,main!$A$3:$H$102,6,FALSE)&gt;=main!$D$103+VLOOKUP(VLOOKUP(AQ$1,main!$A$3:$I$102,7,FALSE),main!$K$26:$Q$29,5,FALSE)),1,0)</f>
        <v>0</v>
      </c>
      <c r="AR229">
        <f>IF(AND(VLOOKUP(AR$1,main!$A$3:$H$102,7,FALSE)=main!$G$105,VLOOKUP(AR$1,main!$A$3:$H$102,5,FALSE)-VLOOKUP($A229,main!$A$3:$H$102,6,FALSE)&gt;=main!$D$103+VLOOKUP(VLOOKUP(AR$1,main!$A$3:$I$102,7,FALSE),main!$K$26:$Q$29,5,FALSE)),1,0)</f>
        <v>0</v>
      </c>
      <c r="AS229">
        <f>IF(AND(VLOOKUP(AS$1,main!$A$3:$H$102,7,FALSE)=main!$G$105,VLOOKUP(AS$1,main!$A$3:$H$102,5,FALSE)-VLOOKUP($A229,main!$A$3:$H$102,6,FALSE)&gt;=main!$D$103+VLOOKUP(VLOOKUP(AS$1,main!$A$3:$I$102,7,FALSE),main!$K$26:$Q$29,5,FALSE)),1,0)</f>
        <v>0</v>
      </c>
      <c r="AT229">
        <f>IF(AND(VLOOKUP(AT$1,main!$A$3:$H$102,7,FALSE)=main!$G$105,VLOOKUP(AT$1,main!$A$3:$H$102,5,FALSE)-VLOOKUP($A229,main!$A$3:$H$102,6,FALSE)&gt;=main!$D$103+VLOOKUP(VLOOKUP(AT$1,main!$A$3:$I$102,7,FALSE),main!$K$26:$Q$29,5,FALSE)),1,0)</f>
        <v>0</v>
      </c>
      <c r="AU229">
        <f>IF(AND(VLOOKUP(AU$1,main!$A$3:$H$102,7,FALSE)=main!$G$105,VLOOKUP(AU$1,main!$A$3:$H$102,5,FALSE)-VLOOKUP($A229,main!$A$3:$H$102,6,FALSE)&gt;=main!$D$103+VLOOKUP(VLOOKUP(AU$1,main!$A$3:$I$102,7,FALSE),main!$K$26:$Q$29,5,FALSE)),1,0)</f>
        <v>0</v>
      </c>
      <c r="AV229">
        <f>IF(AND(VLOOKUP(AV$1,main!$A$3:$H$102,7,FALSE)=main!$G$105,VLOOKUP(AV$1,main!$A$3:$H$102,5,FALSE)-VLOOKUP($A229,main!$A$3:$H$102,6,FALSE)&gt;=main!$D$103+VLOOKUP(VLOOKUP(AV$1,main!$A$3:$I$102,7,FALSE),main!$K$26:$Q$29,5,FALSE)),1,0)</f>
        <v>0</v>
      </c>
      <c r="AW229">
        <f>IF(AND(VLOOKUP(AW$1,main!$A$3:$H$102,7,FALSE)=main!$G$105,VLOOKUP(AW$1,main!$A$3:$H$102,5,FALSE)-VLOOKUP($A229,main!$A$3:$H$102,6,FALSE)&gt;=main!$D$103+VLOOKUP(VLOOKUP(AW$1,main!$A$3:$I$102,7,FALSE),main!$K$26:$Q$29,5,FALSE)),1,0)</f>
        <v>0</v>
      </c>
      <c r="AX229">
        <f>IF(AND(VLOOKUP(AX$1,main!$A$3:$H$102,7,FALSE)=main!$G$105,VLOOKUP(AX$1,main!$A$3:$H$102,5,FALSE)-VLOOKUP($A229,main!$A$3:$H$102,6,FALSE)&gt;=main!$D$103+VLOOKUP(VLOOKUP(AX$1,main!$A$3:$I$102,7,FALSE),main!$K$26:$Q$29,5,FALSE)),1,0)</f>
        <v>0</v>
      </c>
      <c r="AY229">
        <f>IF(AND(VLOOKUP(AY$1,main!$A$3:$H$102,7,FALSE)=main!$G$105,VLOOKUP(AY$1,main!$A$3:$H$102,5,FALSE)-VLOOKUP($A229,main!$A$3:$H$102,6,FALSE)&gt;=main!$D$103+VLOOKUP(VLOOKUP(AY$1,main!$A$3:$I$102,7,FALSE),main!$K$26:$Q$29,5,FALSE)),1,0)</f>
        <v>0</v>
      </c>
      <c r="AZ229">
        <f>IF(AND(VLOOKUP(AZ$1,main!$A$3:$H$102,7,FALSE)=main!$G$105,VLOOKUP(AZ$1,main!$A$3:$H$102,5,FALSE)-VLOOKUP($A229,main!$A$3:$H$102,6,FALSE)&gt;=main!$D$103+VLOOKUP(VLOOKUP(AZ$1,main!$A$3:$I$102,7,FALSE),main!$K$26:$Q$29,5,FALSE)),1,0)</f>
        <v>0</v>
      </c>
      <c r="BA229">
        <f>IF(AND(VLOOKUP(BA$1,main!$A$3:$H$102,7,FALSE)=main!$G$105,VLOOKUP(BA$1,main!$A$3:$H$102,5,FALSE)-VLOOKUP($A229,main!$A$3:$H$102,6,FALSE)&gt;=main!$D$103+VLOOKUP(VLOOKUP(BA$1,main!$A$3:$I$102,7,FALSE),main!$K$26:$Q$29,5,FALSE)),1,0)</f>
        <v>0</v>
      </c>
      <c r="BB229">
        <f>IF(AND(VLOOKUP(BB$1,main!$A$3:$H$102,7,FALSE)=main!$G$105,VLOOKUP(BB$1,main!$A$3:$H$102,5,FALSE)-VLOOKUP($A229,main!$A$3:$H$102,6,FALSE)&gt;=main!$D$103+VLOOKUP(VLOOKUP(BB$1,main!$A$3:$I$102,7,FALSE),main!$K$26:$Q$29,5,FALSE)),1,0)</f>
        <v>0</v>
      </c>
      <c r="BC229">
        <f>IF(AND(VLOOKUP(BC$1,main!$A$3:$H$102,7,FALSE)=main!$G$105,VLOOKUP(BC$1,main!$A$3:$H$102,5,FALSE)-VLOOKUP($A229,main!$A$3:$H$102,6,FALSE)&gt;=main!$D$103+VLOOKUP(VLOOKUP(BC$1,main!$A$3:$I$102,7,FALSE),main!$K$26:$Q$29,5,FALSE)),1,0)</f>
        <v>0</v>
      </c>
      <c r="BD229">
        <f>IF(AND(VLOOKUP(BD$1,main!$A$3:$H$102,7,FALSE)=main!$G$105,VLOOKUP(BD$1,main!$A$3:$H$102,5,FALSE)-VLOOKUP($A229,main!$A$3:$H$102,6,FALSE)&gt;=main!$D$103+VLOOKUP(VLOOKUP(BD$1,main!$A$3:$I$102,7,FALSE),main!$K$26:$Q$29,5,FALSE)),1,0)</f>
        <v>0</v>
      </c>
      <c r="BE229">
        <f>IF(AND(VLOOKUP(BE$1,main!$A$3:$H$102,7,FALSE)=main!$G$105,VLOOKUP(BE$1,main!$A$3:$H$102,5,FALSE)-VLOOKUP($A229,main!$A$3:$H$102,6,FALSE)&gt;=main!$D$103+VLOOKUP(VLOOKUP(BE$1,main!$A$3:$I$102,7,FALSE),main!$K$26:$Q$29,5,FALSE)),1,0)</f>
        <v>0</v>
      </c>
      <c r="BF229">
        <f>IF(AND(VLOOKUP(BF$1,main!$A$3:$H$102,7,FALSE)=main!$G$105,VLOOKUP(BF$1,main!$A$3:$H$102,5,FALSE)-VLOOKUP($A229,main!$A$3:$H$102,6,FALSE)&gt;=main!$D$103+VLOOKUP(VLOOKUP(BF$1,main!$A$3:$I$102,7,FALSE),main!$K$26:$Q$29,5,FALSE)),1,0)</f>
        <v>0</v>
      </c>
      <c r="BG229">
        <f>IF(AND(VLOOKUP(BG$1,main!$A$3:$H$102,7,FALSE)=main!$G$105,VLOOKUP(BG$1,main!$A$3:$H$102,5,FALSE)-VLOOKUP($A229,main!$A$3:$H$102,6,FALSE)&gt;=main!$D$103+VLOOKUP(VLOOKUP(BG$1,main!$A$3:$I$102,7,FALSE),main!$K$26:$Q$29,5,FALSE)),1,0)</f>
        <v>0</v>
      </c>
      <c r="BH229">
        <f>IF(AND(VLOOKUP(BH$1,main!$A$3:$H$102,7,FALSE)=main!$G$105,VLOOKUP(BH$1,main!$A$3:$H$102,5,FALSE)-VLOOKUP($A229,main!$A$3:$H$102,6,FALSE)&gt;=main!$D$103+VLOOKUP(VLOOKUP(BH$1,main!$A$3:$I$102,7,FALSE),main!$K$26:$Q$29,5,FALSE)),1,0)</f>
        <v>0</v>
      </c>
      <c r="BI229">
        <f>IF(AND(VLOOKUP(BI$1,main!$A$3:$H$102,7,FALSE)=main!$G$105,VLOOKUP(BI$1,main!$A$3:$H$102,5,FALSE)-VLOOKUP($A229,main!$A$3:$H$102,6,FALSE)&gt;=main!$D$103+VLOOKUP(VLOOKUP(BI$1,main!$A$3:$I$102,7,FALSE),main!$K$26:$Q$29,5,FALSE)),1,0)</f>
        <v>0</v>
      </c>
      <c r="BJ229">
        <f>IF(AND(VLOOKUP(BJ$1,main!$A$3:$H$102,7,FALSE)=main!$G$105,VLOOKUP(BJ$1,main!$A$3:$H$102,5,FALSE)-VLOOKUP($A229,main!$A$3:$H$102,6,FALSE)&gt;=main!$D$103+VLOOKUP(VLOOKUP(BJ$1,main!$A$3:$I$102,7,FALSE),main!$K$26:$Q$29,5,FALSE)),1,0)</f>
        <v>0</v>
      </c>
      <c r="BK229">
        <f>IF(AND(VLOOKUP(BK$1,main!$A$3:$H$102,7,FALSE)=main!$G$105,VLOOKUP(BK$1,main!$A$3:$H$102,5,FALSE)-VLOOKUP($A229,main!$A$3:$H$102,6,FALSE)&gt;=main!$D$103+VLOOKUP(VLOOKUP(BK$1,main!$A$3:$I$102,7,FALSE),main!$K$26:$Q$29,5,FALSE)),1,0)</f>
        <v>0</v>
      </c>
      <c r="BL229">
        <f>IF(AND(VLOOKUP(BL$1,main!$A$3:$H$102,7,FALSE)=main!$G$105,VLOOKUP(BL$1,main!$A$3:$H$102,5,FALSE)-VLOOKUP($A229,main!$A$3:$H$102,6,FALSE)&gt;=main!$D$103+VLOOKUP(VLOOKUP(BL$1,main!$A$3:$I$102,7,FALSE),main!$K$26:$Q$29,5,FALSE)),1,0)</f>
        <v>0</v>
      </c>
      <c r="BM229">
        <f>IF(AND(VLOOKUP(BM$1,main!$A$3:$H$102,7,FALSE)=main!$G$105,VLOOKUP(BM$1,main!$A$3:$H$102,5,FALSE)-VLOOKUP($A229,main!$A$3:$H$102,6,FALSE)&gt;=main!$D$103+VLOOKUP(VLOOKUP(BM$1,main!$A$3:$I$102,7,FALSE),main!$K$26:$Q$29,5,FALSE)),1,0)</f>
        <v>0</v>
      </c>
      <c r="BN229">
        <f>IF(AND(VLOOKUP(BN$1,main!$A$3:$H$102,7,FALSE)=main!$G$105,VLOOKUP(BN$1,main!$A$3:$H$102,5,FALSE)-VLOOKUP($A229,main!$A$3:$H$102,6,FALSE)&gt;=main!$D$103+VLOOKUP(VLOOKUP(BN$1,main!$A$3:$I$102,7,FALSE),main!$K$26:$Q$29,5,FALSE)),1,0)</f>
        <v>0</v>
      </c>
      <c r="BO229">
        <f>IF(AND(VLOOKUP(BO$1,main!$A$3:$H$102,7,FALSE)=main!$G$105,VLOOKUP(BO$1,main!$A$3:$H$102,5,FALSE)-VLOOKUP($A229,main!$A$3:$H$102,6,FALSE)&gt;=main!$D$103+VLOOKUP(VLOOKUP(BO$1,main!$A$3:$I$102,7,FALSE),main!$K$26:$Q$29,5,FALSE)),1,0)</f>
        <v>0</v>
      </c>
      <c r="BP229">
        <f>IF(AND(VLOOKUP(BP$1,main!$A$3:$H$102,7,FALSE)=main!$G$105,VLOOKUP(BP$1,main!$A$3:$H$102,5,FALSE)-VLOOKUP($A229,main!$A$3:$H$102,6,FALSE)&gt;=main!$D$103+VLOOKUP(VLOOKUP(BP$1,main!$A$3:$I$102,7,FALSE),main!$K$26:$Q$29,5,FALSE)),1,0)</f>
        <v>0</v>
      </c>
      <c r="BQ229">
        <f>IF(AND(VLOOKUP(BQ$1,main!$A$3:$H$102,7,FALSE)=main!$G$105,VLOOKUP(BQ$1,main!$A$3:$H$102,5,FALSE)-VLOOKUP($A229,main!$A$3:$H$102,6,FALSE)&gt;=main!$D$103+VLOOKUP(VLOOKUP(BQ$1,main!$A$3:$I$102,7,FALSE),main!$K$26:$Q$29,5,FALSE)),1,0)</f>
        <v>0</v>
      </c>
      <c r="BR229">
        <f>IF(AND(VLOOKUP(BR$1,main!$A$3:$H$102,7,FALSE)=main!$G$105,VLOOKUP(BR$1,main!$A$3:$H$102,5,FALSE)-VLOOKUP($A229,main!$A$3:$H$102,6,FALSE)&gt;=main!$D$103+VLOOKUP(VLOOKUP(BR$1,main!$A$3:$I$102,7,FALSE),main!$K$26:$Q$29,5,FALSE)),1,0)</f>
        <v>0</v>
      </c>
      <c r="BS229">
        <f>IF(AND(VLOOKUP(BS$1,main!$A$3:$H$102,7,FALSE)=main!$G$105,VLOOKUP(BS$1,main!$A$3:$H$102,5,FALSE)-VLOOKUP($A229,main!$A$3:$H$102,6,FALSE)&gt;=main!$D$103+VLOOKUP(VLOOKUP(BS$1,main!$A$3:$I$102,7,FALSE),main!$K$26:$Q$29,5,FALSE)),1,0)</f>
        <v>0</v>
      </c>
      <c r="BT229">
        <f>IF(AND(VLOOKUP(BT$1,main!$A$3:$H$102,7,FALSE)=main!$G$105,VLOOKUP(BT$1,main!$A$3:$H$102,5,FALSE)-VLOOKUP($A229,main!$A$3:$H$102,6,FALSE)&gt;=main!$D$103+VLOOKUP(VLOOKUP(BT$1,main!$A$3:$I$102,7,FALSE),main!$K$26:$Q$29,5,FALSE)),1,0)</f>
        <v>0</v>
      </c>
      <c r="BU229">
        <f>IF(AND(VLOOKUP(BU$1,main!$A$3:$H$102,7,FALSE)=main!$G$105,VLOOKUP(BU$1,main!$A$3:$H$102,5,FALSE)-VLOOKUP($A229,main!$A$3:$H$102,6,FALSE)&gt;=main!$D$103+VLOOKUP(VLOOKUP(BU$1,main!$A$3:$I$102,7,FALSE),main!$K$26:$Q$29,5,FALSE)),1,0)</f>
        <v>0</v>
      </c>
      <c r="BV229">
        <f>IF(AND(VLOOKUP(BV$1,main!$A$3:$H$102,7,FALSE)=main!$G$105,VLOOKUP(BV$1,main!$A$3:$H$102,5,FALSE)-VLOOKUP($A229,main!$A$3:$H$102,6,FALSE)&gt;=main!$D$103+VLOOKUP(VLOOKUP(BV$1,main!$A$3:$I$102,7,FALSE),main!$K$26:$Q$29,5,FALSE)),1,0)</f>
        <v>0</v>
      </c>
      <c r="BW229">
        <f>IF(AND(VLOOKUP(BW$1,main!$A$3:$H$102,7,FALSE)=main!$G$105,VLOOKUP(BW$1,main!$A$3:$H$102,5,FALSE)-VLOOKUP($A229,main!$A$3:$H$102,6,FALSE)&gt;=main!$D$103+VLOOKUP(VLOOKUP(BW$1,main!$A$3:$I$102,7,FALSE),main!$K$26:$Q$29,5,FALSE)),1,0)</f>
        <v>0</v>
      </c>
      <c r="BX229">
        <f>IF(AND(VLOOKUP(BX$1,main!$A$3:$H$102,7,FALSE)=main!$G$105,VLOOKUP(BX$1,main!$A$3:$H$102,5,FALSE)-VLOOKUP($A229,main!$A$3:$H$102,6,FALSE)&gt;=main!$D$103+VLOOKUP(VLOOKUP(BX$1,main!$A$3:$I$102,7,FALSE),main!$K$26:$Q$29,5,FALSE)),1,0)</f>
        <v>0</v>
      </c>
      <c r="BY229">
        <f>IF(AND(VLOOKUP(BY$1,main!$A$3:$H$102,7,FALSE)=main!$G$105,VLOOKUP(BY$1,main!$A$3:$H$102,5,FALSE)-VLOOKUP($A229,main!$A$3:$H$102,6,FALSE)&gt;=main!$D$103+VLOOKUP(VLOOKUP(BY$1,main!$A$3:$I$102,7,FALSE),main!$K$26:$Q$29,5,FALSE)),1,0)</f>
        <v>0</v>
      </c>
      <c r="BZ229">
        <f>IF(AND(VLOOKUP(BZ$1,main!$A$3:$H$102,7,FALSE)=main!$G$105,VLOOKUP(BZ$1,main!$A$3:$H$102,5,FALSE)-VLOOKUP($A229,main!$A$3:$H$102,6,FALSE)&gt;=main!$D$103+VLOOKUP(VLOOKUP(BZ$1,main!$A$3:$I$102,7,FALSE),main!$K$26:$Q$29,5,FALSE)),1,0)</f>
        <v>0</v>
      </c>
      <c r="CA229">
        <f>IF(AND(VLOOKUP(CA$1,main!$A$3:$H$102,7,FALSE)=main!$G$105,VLOOKUP(CA$1,main!$A$3:$H$102,5,FALSE)-VLOOKUP($A229,main!$A$3:$H$102,6,FALSE)&gt;=main!$D$103+VLOOKUP(VLOOKUP(CA$1,main!$A$3:$I$102,7,FALSE),main!$K$26:$Q$29,5,FALSE)),1,0)</f>
        <v>0</v>
      </c>
      <c r="CB229">
        <f>IF(AND(VLOOKUP(CB$1,main!$A$3:$H$102,7,FALSE)=main!$G$105,VLOOKUP(CB$1,main!$A$3:$H$102,5,FALSE)-VLOOKUP($A229,main!$A$3:$H$102,6,FALSE)&gt;=main!$D$103+VLOOKUP(VLOOKUP(CB$1,main!$A$3:$I$102,7,FALSE),main!$K$26:$Q$29,5,FALSE)),1,0)</f>
        <v>0</v>
      </c>
      <c r="CC229">
        <f>IF(AND(VLOOKUP(CC$1,main!$A$3:$H$102,7,FALSE)=main!$G$105,VLOOKUP(CC$1,main!$A$3:$H$102,5,FALSE)-VLOOKUP($A229,main!$A$3:$H$102,6,FALSE)&gt;=main!$D$103+VLOOKUP(VLOOKUP(CC$1,main!$A$3:$I$102,7,FALSE),main!$K$26:$Q$29,5,FALSE)),1,0)</f>
        <v>0</v>
      </c>
      <c r="CD229">
        <f>IF(AND(VLOOKUP(CD$1,main!$A$3:$H$102,7,FALSE)=main!$G$105,VLOOKUP(CD$1,main!$A$3:$H$102,5,FALSE)-VLOOKUP($A229,main!$A$3:$H$102,6,FALSE)&gt;=main!$D$103+VLOOKUP(VLOOKUP(CD$1,main!$A$3:$I$102,7,FALSE),main!$K$26:$Q$29,5,FALSE)),1,0)</f>
        <v>0</v>
      </c>
      <c r="CE229">
        <f>IF(AND(VLOOKUP(CE$1,main!$A$3:$H$102,7,FALSE)=main!$G$105,VLOOKUP(CE$1,main!$A$3:$H$102,5,FALSE)-VLOOKUP($A229,main!$A$3:$H$102,6,FALSE)&gt;=main!$D$103+VLOOKUP(VLOOKUP(CE$1,main!$A$3:$I$102,7,FALSE),main!$K$26:$Q$29,5,FALSE)),1,0)</f>
        <v>0</v>
      </c>
      <c r="CF229">
        <f>IF(AND(VLOOKUP(CF$1,main!$A$3:$H$102,7,FALSE)=main!$G$105,VLOOKUP(CF$1,main!$A$3:$H$102,5,FALSE)-VLOOKUP($A229,main!$A$3:$H$102,6,FALSE)&gt;=main!$D$103+VLOOKUP(VLOOKUP(CF$1,main!$A$3:$I$102,7,FALSE),main!$K$26:$Q$29,5,FALSE)),1,0)</f>
        <v>0</v>
      </c>
      <c r="CG229">
        <f>IF(AND(VLOOKUP(CG$1,main!$A$3:$H$102,7,FALSE)=main!$G$105,VLOOKUP(CG$1,main!$A$3:$H$102,5,FALSE)-VLOOKUP($A229,main!$A$3:$H$102,6,FALSE)&gt;=main!$D$103+VLOOKUP(VLOOKUP(CG$1,main!$A$3:$I$102,7,FALSE),main!$K$26:$Q$29,5,FALSE)),1,0)</f>
        <v>0</v>
      </c>
      <c r="CH229">
        <f>IF(AND(VLOOKUP(CH$1,main!$A$3:$H$102,7,FALSE)=main!$G$105,VLOOKUP(CH$1,main!$A$3:$H$102,5,FALSE)-VLOOKUP($A229,main!$A$3:$H$102,6,FALSE)&gt;=main!$D$103+VLOOKUP(VLOOKUP(CH$1,main!$A$3:$I$102,7,FALSE),main!$K$26:$Q$29,5,FALSE)),1,0)</f>
        <v>0</v>
      </c>
      <c r="CI229">
        <f>IF(AND(VLOOKUP(CI$1,main!$A$3:$H$102,7,FALSE)=main!$G$105,VLOOKUP(CI$1,main!$A$3:$H$102,5,FALSE)-VLOOKUP($A229,main!$A$3:$H$102,6,FALSE)&gt;=main!$D$103+VLOOKUP(VLOOKUP(CI$1,main!$A$3:$I$102,7,FALSE),main!$K$26:$Q$29,5,FALSE)),1,0)</f>
        <v>0</v>
      </c>
      <c r="CJ229">
        <f>IF(AND(VLOOKUP(CJ$1,main!$A$3:$H$102,7,FALSE)=main!$G$105,VLOOKUP(CJ$1,main!$A$3:$H$102,5,FALSE)-VLOOKUP($A229,main!$A$3:$H$102,6,FALSE)&gt;=main!$D$103+VLOOKUP(VLOOKUP(CJ$1,main!$A$3:$I$102,7,FALSE),main!$K$26:$Q$29,5,FALSE)),1,0)</f>
        <v>0</v>
      </c>
      <c r="CK229">
        <f>IF(AND(VLOOKUP(CK$1,main!$A$3:$H$102,7,FALSE)=main!$G$105,VLOOKUP(CK$1,main!$A$3:$H$102,5,FALSE)-VLOOKUP($A229,main!$A$3:$H$102,6,FALSE)&gt;=main!$D$103+VLOOKUP(VLOOKUP(CK$1,main!$A$3:$I$102,7,FALSE),main!$K$26:$Q$29,5,FALSE)),1,0)</f>
        <v>0</v>
      </c>
      <c r="CL229">
        <f>IF(AND(VLOOKUP(CL$1,main!$A$3:$H$102,7,FALSE)=main!$G$105,VLOOKUP(CL$1,main!$A$3:$H$102,5,FALSE)-VLOOKUP($A229,main!$A$3:$H$102,6,FALSE)&gt;=main!$D$103+VLOOKUP(VLOOKUP(CL$1,main!$A$3:$I$102,7,FALSE),main!$K$26:$Q$29,5,FALSE)),1,0)</f>
        <v>0</v>
      </c>
      <c r="CM229">
        <f>IF(AND(VLOOKUP(CM$1,main!$A$3:$H$102,7,FALSE)=main!$G$105,VLOOKUP(CM$1,main!$A$3:$H$102,5,FALSE)-VLOOKUP($A229,main!$A$3:$H$102,6,FALSE)&gt;=main!$D$103+VLOOKUP(VLOOKUP(CM$1,main!$A$3:$I$102,7,FALSE),main!$K$26:$Q$29,5,FALSE)),1,0)</f>
        <v>0</v>
      </c>
      <c r="CN229">
        <f>IF(AND(VLOOKUP(CN$1,main!$A$3:$H$102,7,FALSE)=main!$G$105,VLOOKUP(CN$1,main!$A$3:$H$102,5,FALSE)-VLOOKUP($A229,main!$A$3:$H$102,6,FALSE)&gt;=main!$D$103+VLOOKUP(VLOOKUP(CN$1,main!$A$3:$I$102,7,FALSE),main!$K$26:$Q$29,5,FALSE)),1,0)</f>
        <v>0</v>
      </c>
      <c r="CO229">
        <f>IF(AND(VLOOKUP(CO$1,main!$A$3:$H$102,7,FALSE)=main!$G$105,VLOOKUP(CO$1,main!$A$3:$H$102,5,FALSE)-VLOOKUP($A229,main!$A$3:$H$102,6,FALSE)&gt;=main!$D$103+VLOOKUP(VLOOKUP(CO$1,main!$A$3:$I$102,7,FALSE),main!$K$26:$Q$29,5,FALSE)),1,0)</f>
        <v>0</v>
      </c>
      <c r="CP229">
        <f>IF(AND(VLOOKUP(CP$1,main!$A$3:$H$102,7,FALSE)=main!$G$105,VLOOKUP(CP$1,main!$A$3:$H$102,5,FALSE)-VLOOKUP($A229,main!$A$3:$H$102,6,FALSE)&gt;=main!$D$103+VLOOKUP(VLOOKUP(CP$1,main!$A$3:$I$102,7,FALSE),main!$K$26:$Q$29,5,FALSE)),1,0)</f>
        <v>0</v>
      </c>
      <c r="CQ229">
        <f>IF(AND(VLOOKUP(CQ$1,main!$A$3:$H$102,7,FALSE)=main!$G$105,VLOOKUP(CQ$1,main!$A$3:$H$102,5,FALSE)-VLOOKUP($A229,main!$A$3:$H$102,6,FALSE)&gt;=main!$D$103+VLOOKUP(VLOOKUP(CQ$1,main!$A$3:$I$102,7,FALSE),main!$K$26:$Q$29,5,FALSE)),1,0)</f>
        <v>0</v>
      </c>
      <c r="CR229">
        <f>IF(AND(VLOOKUP(CR$1,main!$A$3:$H$102,7,FALSE)=main!$G$105,VLOOKUP(CR$1,main!$A$3:$H$102,5,FALSE)-VLOOKUP($A229,main!$A$3:$H$102,6,FALSE)&gt;=main!$D$103+VLOOKUP(VLOOKUP(CR$1,main!$A$3:$I$102,7,FALSE),main!$K$26:$Q$29,5,FALSE)),1,0)</f>
        <v>0</v>
      </c>
      <c r="CS229">
        <f>IF(AND(VLOOKUP(CS$1,main!$A$3:$H$102,7,FALSE)=main!$G$105,VLOOKUP(CS$1,main!$A$3:$H$102,5,FALSE)-VLOOKUP($A229,main!$A$3:$H$102,6,FALSE)&gt;=main!$D$103+VLOOKUP(VLOOKUP(CS$1,main!$A$3:$I$102,7,FALSE),main!$K$26:$Q$29,5,FALSE)),1,0)</f>
        <v>0</v>
      </c>
      <c r="CT229">
        <f>IF(AND(VLOOKUP(CT$1,main!$A$3:$H$102,7,FALSE)=main!$G$105,VLOOKUP(CT$1,main!$A$3:$H$102,5,FALSE)-VLOOKUP($A229,main!$A$3:$H$102,6,FALSE)&gt;=main!$D$103+VLOOKUP(VLOOKUP(CT$1,main!$A$3:$I$102,7,FALSE),main!$K$26:$Q$29,5,FALSE)),1,0)</f>
        <v>0</v>
      </c>
      <c r="CU229">
        <f>IF(AND(VLOOKUP(CU$1,main!$A$3:$H$102,7,FALSE)=main!$G$105,VLOOKUP(CU$1,main!$A$3:$H$102,5,FALSE)-VLOOKUP($A229,main!$A$3:$H$102,6,FALSE)&gt;=main!$D$103+VLOOKUP(VLOOKUP(CU$1,main!$A$3:$I$102,7,FALSE),main!$K$26:$Q$29,5,FALSE)),1,0)</f>
        <v>0</v>
      </c>
      <c r="CV229">
        <f>IF(AND(VLOOKUP(CV$1,main!$A$3:$H$102,7,FALSE)=main!$G$105,VLOOKUP(CV$1,main!$A$3:$H$102,5,FALSE)-VLOOKUP($A229,main!$A$3:$H$102,6,FALSE)&gt;=main!$D$103+VLOOKUP(VLOOKUP(CV$1,main!$A$3:$I$102,7,FALSE),main!$K$26:$Q$29,5,FALSE)),1,0)</f>
        <v>0</v>
      </c>
      <c r="CW229">
        <f>IF(AND(VLOOKUP(CW$1,main!$A$3:$H$102,7,FALSE)=main!$G$105,VLOOKUP(CW$1,main!$A$3:$H$102,5,FALSE)-VLOOKUP($A229,main!$A$3:$H$102,6,FALSE)&gt;=main!$D$103+VLOOKUP(VLOOKUP(CW$1,main!$A$3:$I$102,7,FALSE),main!$K$26:$Q$29,5,FALSE)),1,0)</f>
        <v>0</v>
      </c>
      <c r="CX229">
        <f>IF(AND(VLOOKUP(CX$1,main!$A$3:$H$102,7,FALSE)=main!$G$105,VLOOKUP(CX$1,main!$A$3:$H$102,5,FALSE)-VLOOKUP($A229,main!$A$3:$H$102,6,FALSE)&gt;=main!$D$103+VLOOKUP(VLOOKUP(CX$1,main!$A$3:$I$102,7,FALSE),main!$K$26:$Q$29,5,FALSE)),1,0)</f>
        <v>0</v>
      </c>
    </row>
    <row r="230" spans="1:102" x14ac:dyDescent="0.25">
      <c r="A230" s="1">
        <v>26</v>
      </c>
      <c r="B230">
        <v>0</v>
      </c>
      <c r="C230">
        <f>IF(AND(VLOOKUP(C$1,main!$A$3:$H$102,7,FALSE)=main!$G$105,VLOOKUP(C$1,main!$A$3:$H$102,5,FALSE)-VLOOKUP($A230,main!$A$3:$H$102,6,FALSE)&gt;=main!$D$103+VLOOKUP(VLOOKUP(C$1,main!$A$3:$I$102,7,FALSE),main!$K$26:$Q$29,5,FALSE)),1,0)</f>
        <v>0</v>
      </c>
      <c r="D230">
        <f>IF(AND(VLOOKUP(D$1,main!$A$3:$H$102,7,FALSE)=main!$G$105,VLOOKUP(D$1,main!$A$3:$H$102,5,FALSE)-VLOOKUP($A230,main!$A$3:$H$102,6,FALSE)&gt;=main!$D$103+VLOOKUP(VLOOKUP(D$1,main!$A$3:$I$102,7,FALSE),main!$K$26:$Q$29,5,FALSE)),1,0)</f>
        <v>0</v>
      </c>
      <c r="E230">
        <f>IF(AND(VLOOKUP(E$1,main!$A$3:$H$102,7,FALSE)=main!$G$105,VLOOKUP(E$1,main!$A$3:$H$102,5,FALSE)-VLOOKUP($A230,main!$A$3:$H$102,6,FALSE)&gt;=main!$D$103+VLOOKUP(VLOOKUP(E$1,main!$A$3:$I$102,7,FALSE),main!$K$26:$Q$29,5,FALSE)),1,0)</f>
        <v>0</v>
      </c>
      <c r="F230">
        <f>IF(AND(VLOOKUP(F$1,main!$A$3:$H$102,7,FALSE)=main!$G$105,VLOOKUP(F$1,main!$A$3:$H$102,5,FALSE)-VLOOKUP($A230,main!$A$3:$H$102,6,FALSE)&gt;=main!$D$103+VLOOKUP(VLOOKUP(F$1,main!$A$3:$I$102,7,FALSE),main!$K$26:$Q$29,5,FALSE)),1,0)</f>
        <v>0</v>
      </c>
      <c r="G230">
        <f>IF(AND(VLOOKUP(G$1,main!$A$3:$H$102,7,FALSE)=main!$G$105,VLOOKUP(G$1,main!$A$3:$H$102,5,FALSE)-VLOOKUP($A230,main!$A$3:$H$102,6,FALSE)&gt;=main!$D$103+VLOOKUP(VLOOKUP(G$1,main!$A$3:$I$102,7,FALSE),main!$K$26:$Q$29,5,FALSE)),1,0)</f>
        <v>0</v>
      </c>
      <c r="H230">
        <f>IF(AND(VLOOKUP(H$1,main!$A$3:$H$102,7,FALSE)=main!$G$105,VLOOKUP(H$1,main!$A$3:$H$102,5,FALSE)-VLOOKUP($A230,main!$A$3:$H$102,6,FALSE)&gt;=main!$D$103+VLOOKUP(VLOOKUP(H$1,main!$A$3:$I$102,7,FALSE),main!$K$26:$Q$29,5,FALSE)),1,0)</f>
        <v>0</v>
      </c>
      <c r="I230">
        <f>IF(AND(VLOOKUP(I$1,main!$A$3:$H$102,7,FALSE)=main!$G$105,VLOOKUP(I$1,main!$A$3:$H$102,5,FALSE)-VLOOKUP($A230,main!$A$3:$H$102,6,FALSE)&gt;=main!$D$103+VLOOKUP(VLOOKUP(I$1,main!$A$3:$I$102,7,FALSE),main!$K$26:$Q$29,5,FALSE)),1,0)</f>
        <v>0</v>
      </c>
      <c r="J230">
        <f>IF(AND(VLOOKUP(J$1,main!$A$3:$H$102,7,FALSE)=main!$G$105,VLOOKUP(J$1,main!$A$3:$H$102,5,FALSE)-VLOOKUP($A230,main!$A$3:$H$102,6,FALSE)&gt;=main!$D$103+VLOOKUP(VLOOKUP(J$1,main!$A$3:$I$102,7,FALSE),main!$K$26:$Q$29,5,FALSE)),1,0)</f>
        <v>0</v>
      </c>
      <c r="K230">
        <f>IF(AND(VLOOKUP(K$1,main!$A$3:$H$102,7,FALSE)=main!$G$105,VLOOKUP(K$1,main!$A$3:$H$102,5,FALSE)-VLOOKUP($A230,main!$A$3:$H$102,6,FALSE)&gt;=main!$D$103+VLOOKUP(VLOOKUP(K$1,main!$A$3:$I$102,7,FALSE),main!$K$26:$Q$29,5,FALSE)),1,0)</f>
        <v>0</v>
      </c>
      <c r="L230">
        <f>IF(AND(VLOOKUP(L$1,main!$A$3:$H$102,7,FALSE)=main!$G$105,VLOOKUP(L$1,main!$A$3:$H$102,5,FALSE)-VLOOKUP($A230,main!$A$3:$H$102,6,FALSE)&gt;=main!$D$103+VLOOKUP(VLOOKUP(L$1,main!$A$3:$I$102,7,FALSE),main!$K$26:$Q$29,5,FALSE)),1,0)</f>
        <v>0</v>
      </c>
      <c r="M230">
        <f>IF(AND(VLOOKUP(M$1,main!$A$3:$H$102,7,FALSE)=main!$G$105,VLOOKUP(M$1,main!$A$3:$H$102,5,FALSE)-VLOOKUP($A230,main!$A$3:$H$102,6,FALSE)&gt;=main!$D$103+VLOOKUP(VLOOKUP(M$1,main!$A$3:$I$102,7,FALSE),main!$K$26:$Q$29,5,FALSE)),1,0)</f>
        <v>0</v>
      </c>
      <c r="N230">
        <f>IF(AND(VLOOKUP(N$1,main!$A$3:$H$102,7,FALSE)=main!$G$105,VLOOKUP(N$1,main!$A$3:$H$102,5,FALSE)-VLOOKUP($A230,main!$A$3:$H$102,6,FALSE)&gt;=main!$D$103+VLOOKUP(VLOOKUP(N$1,main!$A$3:$I$102,7,FALSE),main!$K$26:$Q$29,5,FALSE)),1,0)</f>
        <v>0</v>
      </c>
      <c r="O230">
        <f>IF(AND(VLOOKUP(O$1,main!$A$3:$H$102,7,FALSE)=main!$G$105,VLOOKUP(O$1,main!$A$3:$H$102,5,FALSE)-VLOOKUP($A230,main!$A$3:$H$102,6,FALSE)&gt;=main!$D$103+VLOOKUP(VLOOKUP(O$1,main!$A$3:$I$102,7,FALSE),main!$K$26:$Q$29,5,FALSE)),1,0)</f>
        <v>0</v>
      </c>
      <c r="P230">
        <f>IF(AND(VLOOKUP(P$1,main!$A$3:$H$102,7,FALSE)=main!$G$105,VLOOKUP(P$1,main!$A$3:$H$102,5,FALSE)-VLOOKUP($A230,main!$A$3:$H$102,6,FALSE)&gt;=main!$D$103+VLOOKUP(VLOOKUP(P$1,main!$A$3:$I$102,7,FALSE),main!$K$26:$Q$29,5,FALSE)),1,0)</f>
        <v>0</v>
      </c>
      <c r="Q230">
        <f>IF(AND(VLOOKUP(Q$1,main!$A$3:$H$102,7,FALSE)=main!$G$105,VLOOKUP(Q$1,main!$A$3:$H$102,5,FALSE)-VLOOKUP($A230,main!$A$3:$H$102,6,FALSE)&gt;=main!$D$103+VLOOKUP(VLOOKUP(Q$1,main!$A$3:$I$102,7,FALSE),main!$K$26:$Q$29,5,FALSE)),1,0)</f>
        <v>0</v>
      </c>
      <c r="R230">
        <f>IF(AND(VLOOKUP(R$1,main!$A$3:$H$102,7,FALSE)=main!$G$105,VLOOKUP(R$1,main!$A$3:$H$102,5,FALSE)-VLOOKUP($A230,main!$A$3:$H$102,6,FALSE)&gt;=main!$D$103+VLOOKUP(VLOOKUP(R$1,main!$A$3:$I$102,7,FALSE),main!$K$26:$Q$29,5,FALSE)),1,0)</f>
        <v>0</v>
      </c>
      <c r="S230">
        <f>IF(AND(VLOOKUP(S$1,main!$A$3:$H$102,7,FALSE)=main!$G$105,VLOOKUP(S$1,main!$A$3:$H$102,5,FALSE)-VLOOKUP($A230,main!$A$3:$H$102,6,FALSE)&gt;=main!$D$103+VLOOKUP(VLOOKUP(S$1,main!$A$3:$I$102,7,FALSE),main!$K$26:$Q$29,5,FALSE)),1,0)</f>
        <v>0</v>
      </c>
      <c r="T230">
        <f>IF(AND(VLOOKUP(T$1,main!$A$3:$H$102,7,FALSE)=main!$G$105,VLOOKUP(T$1,main!$A$3:$H$102,5,FALSE)-VLOOKUP($A230,main!$A$3:$H$102,6,FALSE)&gt;=main!$D$103+VLOOKUP(VLOOKUP(T$1,main!$A$3:$I$102,7,FALSE),main!$K$26:$Q$29,5,FALSE)),1,0)</f>
        <v>0</v>
      </c>
      <c r="U230">
        <f>IF(AND(VLOOKUP(U$1,main!$A$3:$H$102,7,FALSE)=main!$G$105,VLOOKUP(U$1,main!$A$3:$H$102,5,FALSE)-VLOOKUP($A230,main!$A$3:$H$102,6,FALSE)&gt;=main!$D$103+VLOOKUP(VLOOKUP(U$1,main!$A$3:$I$102,7,FALSE),main!$K$26:$Q$29,5,FALSE)),1,0)</f>
        <v>0</v>
      </c>
      <c r="V230">
        <f>IF(AND(VLOOKUP(V$1,main!$A$3:$H$102,7,FALSE)=main!$G$105,VLOOKUP(V$1,main!$A$3:$H$102,5,FALSE)-VLOOKUP($A230,main!$A$3:$H$102,6,FALSE)&gt;=main!$D$103+VLOOKUP(VLOOKUP(V$1,main!$A$3:$I$102,7,FALSE),main!$K$26:$Q$29,5,FALSE)),1,0)</f>
        <v>0</v>
      </c>
      <c r="W230">
        <f>IF(AND(VLOOKUP(W$1,main!$A$3:$H$102,7,FALSE)=main!$G$105,VLOOKUP(W$1,main!$A$3:$H$102,5,FALSE)-VLOOKUP($A230,main!$A$3:$H$102,6,FALSE)&gt;=main!$D$103+VLOOKUP(VLOOKUP(W$1,main!$A$3:$I$102,7,FALSE),main!$K$26:$Q$29,5,FALSE)),1,0)</f>
        <v>0</v>
      </c>
      <c r="X230">
        <f>IF(AND(VLOOKUP(X$1,main!$A$3:$H$102,7,FALSE)=main!$G$105,VLOOKUP(X$1,main!$A$3:$H$102,5,FALSE)-VLOOKUP($A230,main!$A$3:$H$102,6,FALSE)&gt;=main!$D$103+VLOOKUP(VLOOKUP(X$1,main!$A$3:$I$102,7,FALSE),main!$K$26:$Q$29,5,FALSE)),1,0)</f>
        <v>0</v>
      </c>
      <c r="Y230">
        <f>IF(AND(VLOOKUP(Y$1,main!$A$3:$H$102,7,FALSE)=main!$G$105,VLOOKUP(Y$1,main!$A$3:$H$102,5,FALSE)-VLOOKUP($A230,main!$A$3:$H$102,6,FALSE)&gt;=main!$D$103+VLOOKUP(VLOOKUP(Y$1,main!$A$3:$I$102,7,FALSE),main!$K$26:$Q$29,5,FALSE)),1,0)</f>
        <v>0</v>
      </c>
      <c r="Z230">
        <f>IF(AND(VLOOKUP(Z$1,main!$A$3:$H$102,7,FALSE)=main!$G$105,VLOOKUP(Z$1,main!$A$3:$H$102,5,FALSE)-VLOOKUP($A230,main!$A$3:$H$102,6,FALSE)&gt;=main!$D$103+VLOOKUP(VLOOKUP(Z$1,main!$A$3:$I$102,7,FALSE),main!$K$26:$Q$29,5,FALSE)),1,0)</f>
        <v>0</v>
      </c>
      <c r="AA230">
        <f>IF(AND(VLOOKUP(AA$1,main!$A$3:$H$102,7,FALSE)=main!$G$105,VLOOKUP(AA$1,main!$A$3:$H$102,5,FALSE)-VLOOKUP($A230,main!$A$3:$H$102,6,FALSE)&gt;=main!$D$103+VLOOKUP(VLOOKUP(AA$1,main!$A$3:$I$102,7,FALSE),main!$K$26:$Q$29,5,FALSE)),1,0)</f>
        <v>0</v>
      </c>
      <c r="AB230">
        <f>IF(AND(VLOOKUP(AB$1,main!$A$3:$H$102,7,FALSE)=main!$G$105,VLOOKUP(AB$1,main!$A$3:$H$102,5,FALSE)-VLOOKUP($A230,main!$A$3:$H$102,6,FALSE)&gt;=main!$D$103+VLOOKUP(VLOOKUP(AB$1,main!$A$3:$I$102,7,FALSE),main!$K$26:$Q$29,5,FALSE)),1,0)</f>
        <v>0</v>
      </c>
      <c r="AC230">
        <f>IF(AND(VLOOKUP(AC$1,main!$A$3:$H$102,7,FALSE)=main!$G$105,VLOOKUP(AC$1,main!$A$3:$H$102,5,FALSE)-VLOOKUP($A230,main!$A$3:$H$102,6,FALSE)&gt;=main!$D$103+VLOOKUP(VLOOKUP(AC$1,main!$A$3:$I$102,7,FALSE),main!$K$26:$Q$29,5,FALSE)),1,0)</f>
        <v>0</v>
      </c>
      <c r="AD230">
        <f>IF(AND(VLOOKUP(AD$1,main!$A$3:$H$102,7,FALSE)=main!$G$105,VLOOKUP(AD$1,main!$A$3:$H$102,5,FALSE)-VLOOKUP($A230,main!$A$3:$H$102,6,FALSE)&gt;=main!$D$103+VLOOKUP(VLOOKUP(AD$1,main!$A$3:$I$102,7,FALSE),main!$K$26:$Q$29,5,FALSE)),1,0)</f>
        <v>0</v>
      </c>
      <c r="AE230">
        <f>IF(AND(VLOOKUP(AE$1,main!$A$3:$H$102,7,FALSE)=main!$G$105,VLOOKUP(AE$1,main!$A$3:$H$102,5,FALSE)-VLOOKUP($A230,main!$A$3:$H$102,6,FALSE)&gt;=main!$D$103+VLOOKUP(VLOOKUP(AE$1,main!$A$3:$I$102,7,FALSE),main!$K$26:$Q$29,5,FALSE)),1,0)</f>
        <v>0</v>
      </c>
      <c r="AF230">
        <f>IF(AND(VLOOKUP(AF$1,main!$A$3:$H$102,7,FALSE)=main!$G$105,VLOOKUP(AF$1,main!$A$3:$H$102,5,FALSE)-VLOOKUP($A230,main!$A$3:$H$102,6,FALSE)&gt;=main!$D$103+VLOOKUP(VLOOKUP(AF$1,main!$A$3:$I$102,7,FALSE),main!$K$26:$Q$29,5,FALSE)),1,0)</f>
        <v>0</v>
      </c>
      <c r="AG230">
        <f>IF(AND(VLOOKUP(AG$1,main!$A$3:$H$102,7,FALSE)=main!$G$105,VLOOKUP(AG$1,main!$A$3:$H$102,5,FALSE)-VLOOKUP($A230,main!$A$3:$H$102,6,FALSE)&gt;=main!$D$103+VLOOKUP(VLOOKUP(AG$1,main!$A$3:$I$102,7,FALSE),main!$K$26:$Q$29,5,FALSE)),1,0)</f>
        <v>0</v>
      </c>
      <c r="AH230">
        <f>IF(AND(VLOOKUP(AH$1,main!$A$3:$H$102,7,FALSE)=main!$G$105,VLOOKUP(AH$1,main!$A$3:$H$102,5,FALSE)-VLOOKUP($A230,main!$A$3:$H$102,6,FALSE)&gt;=main!$D$103+VLOOKUP(VLOOKUP(AH$1,main!$A$3:$I$102,7,FALSE),main!$K$26:$Q$29,5,FALSE)),1,0)</f>
        <v>0</v>
      </c>
      <c r="AI230">
        <f>IF(AND(VLOOKUP(AI$1,main!$A$3:$H$102,7,FALSE)=main!$G$105,VLOOKUP(AI$1,main!$A$3:$H$102,5,FALSE)-VLOOKUP($A230,main!$A$3:$H$102,6,FALSE)&gt;=main!$D$103+VLOOKUP(VLOOKUP(AI$1,main!$A$3:$I$102,7,FALSE),main!$K$26:$Q$29,5,FALSE)),1,0)</f>
        <v>1</v>
      </c>
      <c r="AJ230">
        <f>IF(AND(VLOOKUP(AJ$1,main!$A$3:$H$102,7,FALSE)=main!$G$105,VLOOKUP(AJ$1,main!$A$3:$H$102,5,FALSE)-VLOOKUP($A230,main!$A$3:$H$102,6,FALSE)&gt;=main!$D$103+VLOOKUP(VLOOKUP(AJ$1,main!$A$3:$I$102,7,FALSE),main!$K$26:$Q$29,5,FALSE)),1,0)</f>
        <v>1</v>
      </c>
      <c r="AK230">
        <f>IF(AND(VLOOKUP(AK$1,main!$A$3:$H$102,7,FALSE)=main!$G$105,VLOOKUP(AK$1,main!$A$3:$H$102,5,FALSE)-VLOOKUP($A230,main!$A$3:$H$102,6,FALSE)&gt;=main!$D$103+VLOOKUP(VLOOKUP(AK$1,main!$A$3:$I$102,7,FALSE),main!$K$26:$Q$29,5,FALSE)),1,0)</f>
        <v>1</v>
      </c>
      <c r="AL230">
        <f>IF(AND(VLOOKUP(AL$1,main!$A$3:$H$102,7,FALSE)=main!$G$105,VLOOKUP(AL$1,main!$A$3:$H$102,5,FALSE)-VLOOKUP($A230,main!$A$3:$H$102,6,FALSE)&gt;=main!$D$103+VLOOKUP(VLOOKUP(AL$1,main!$A$3:$I$102,7,FALSE),main!$K$26:$Q$29,5,FALSE)),1,0)</f>
        <v>1</v>
      </c>
      <c r="AM230">
        <f>IF(AND(VLOOKUP(AM$1,main!$A$3:$H$102,7,FALSE)=main!$G$105,VLOOKUP(AM$1,main!$A$3:$H$102,5,FALSE)-VLOOKUP($A230,main!$A$3:$H$102,6,FALSE)&gt;=main!$D$103+VLOOKUP(VLOOKUP(AM$1,main!$A$3:$I$102,7,FALSE),main!$K$26:$Q$29,5,FALSE)),1,0)</f>
        <v>1</v>
      </c>
      <c r="AN230">
        <f>IF(AND(VLOOKUP(AN$1,main!$A$3:$H$102,7,FALSE)=main!$G$105,VLOOKUP(AN$1,main!$A$3:$H$102,5,FALSE)-VLOOKUP($A230,main!$A$3:$H$102,6,FALSE)&gt;=main!$D$103+VLOOKUP(VLOOKUP(AN$1,main!$A$3:$I$102,7,FALSE),main!$K$26:$Q$29,5,FALSE)),1,0)</f>
        <v>1</v>
      </c>
      <c r="AO230">
        <f>IF(AND(VLOOKUP(AO$1,main!$A$3:$H$102,7,FALSE)=main!$G$105,VLOOKUP(AO$1,main!$A$3:$H$102,5,FALSE)-VLOOKUP($A230,main!$A$3:$H$102,6,FALSE)&gt;=main!$D$103+VLOOKUP(VLOOKUP(AO$1,main!$A$3:$I$102,7,FALSE),main!$K$26:$Q$29,5,FALSE)),1,0)</f>
        <v>0</v>
      </c>
      <c r="AP230">
        <f>IF(AND(VLOOKUP(AP$1,main!$A$3:$H$102,7,FALSE)=main!$G$105,VLOOKUP(AP$1,main!$A$3:$H$102,5,FALSE)-VLOOKUP($A230,main!$A$3:$H$102,6,FALSE)&gt;=main!$D$103+VLOOKUP(VLOOKUP(AP$1,main!$A$3:$I$102,7,FALSE),main!$K$26:$Q$29,5,FALSE)),1,0)</f>
        <v>1</v>
      </c>
      <c r="AQ230">
        <f>IF(AND(VLOOKUP(AQ$1,main!$A$3:$H$102,7,FALSE)=main!$G$105,VLOOKUP(AQ$1,main!$A$3:$H$102,5,FALSE)-VLOOKUP($A230,main!$A$3:$H$102,6,FALSE)&gt;=main!$D$103+VLOOKUP(VLOOKUP(AQ$1,main!$A$3:$I$102,7,FALSE),main!$K$26:$Q$29,5,FALSE)),1,0)</f>
        <v>0</v>
      </c>
      <c r="AR230">
        <f>IF(AND(VLOOKUP(AR$1,main!$A$3:$H$102,7,FALSE)=main!$G$105,VLOOKUP(AR$1,main!$A$3:$H$102,5,FALSE)-VLOOKUP($A230,main!$A$3:$H$102,6,FALSE)&gt;=main!$D$103+VLOOKUP(VLOOKUP(AR$1,main!$A$3:$I$102,7,FALSE),main!$K$26:$Q$29,5,FALSE)),1,0)</f>
        <v>0</v>
      </c>
      <c r="AS230">
        <f>IF(AND(VLOOKUP(AS$1,main!$A$3:$H$102,7,FALSE)=main!$G$105,VLOOKUP(AS$1,main!$A$3:$H$102,5,FALSE)-VLOOKUP($A230,main!$A$3:$H$102,6,FALSE)&gt;=main!$D$103+VLOOKUP(VLOOKUP(AS$1,main!$A$3:$I$102,7,FALSE),main!$K$26:$Q$29,5,FALSE)),1,0)</f>
        <v>1</v>
      </c>
      <c r="AT230">
        <f>IF(AND(VLOOKUP(AT$1,main!$A$3:$H$102,7,FALSE)=main!$G$105,VLOOKUP(AT$1,main!$A$3:$H$102,5,FALSE)-VLOOKUP($A230,main!$A$3:$H$102,6,FALSE)&gt;=main!$D$103+VLOOKUP(VLOOKUP(AT$1,main!$A$3:$I$102,7,FALSE),main!$K$26:$Q$29,5,FALSE)),1,0)</f>
        <v>1</v>
      </c>
      <c r="AU230">
        <f>IF(AND(VLOOKUP(AU$1,main!$A$3:$H$102,7,FALSE)=main!$G$105,VLOOKUP(AU$1,main!$A$3:$H$102,5,FALSE)-VLOOKUP($A230,main!$A$3:$H$102,6,FALSE)&gt;=main!$D$103+VLOOKUP(VLOOKUP(AU$1,main!$A$3:$I$102,7,FALSE),main!$K$26:$Q$29,5,FALSE)),1,0)</f>
        <v>0</v>
      </c>
      <c r="AV230">
        <f>IF(AND(VLOOKUP(AV$1,main!$A$3:$H$102,7,FALSE)=main!$G$105,VLOOKUP(AV$1,main!$A$3:$H$102,5,FALSE)-VLOOKUP($A230,main!$A$3:$H$102,6,FALSE)&gt;=main!$D$103+VLOOKUP(VLOOKUP(AV$1,main!$A$3:$I$102,7,FALSE),main!$K$26:$Q$29,5,FALSE)),1,0)</f>
        <v>0</v>
      </c>
      <c r="AW230">
        <f>IF(AND(VLOOKUP(AW$1,main!$A$3:$H$102,7,FALSE)=main!$G$105,VLOOKUP(AW$1,main!$A$3:$H$102,5,FALSE)-VLOOKUP($A230,main!$A$3:$H$102,6,FALSE)&gt;=main!$D$103+VLOOKUP(VLOOKUP(AW$1,main!$A$3:$I$102,7,FALSE),main!$K$26:$Q$29,5,FALSE)),1,0)</f>
        <v>1</v>
      </c>
      <c r="AX230">
        <f>IF(AND(VLOOKUP(AX$1,main!$A$3:$H$102,7,FALSE)=main!$G$105,VLOOKUP(AX$1,main!$A$3:$H$102,5,FALSE)-VLOOKUP($A230,main!$A$3:$H$102,6,FALSE)&gt;=main!$D$103+VLOOKUP(VLOOKUP(AX$1,main!$A$3:$I$102,7,FALSE),main!$K$26:$Q$29,5,FALSE)),1,0)</f>
        <v>1</v>
      </c>
      <c r="AY230">
        <f>IF(AND(VLOOKUP(AY$1,main!$A$3:$H$102,7,FALSE)=main!$G$105,VLOOKUP(AY$1,main!$A$3:$H$102,5,FALSE)-VLOOKUP($A230,main!$A$3:$H$102,6,FALSE)&gt;=main!$D$103+VLOOKUP(VLOOKUP(AY$1,main!$A$3:$I$102,7,FALSE),main!$K$26:$Q$29,5,FALSE)),1,0)</f>
        <v>0</v>
      </c>
      <c r="AZ230">
        <f>IF(AND(VLOOKUP(AZ$1,main!$A$3:$H$102,7,FALSE)=main!$G$105,VLOOKUP(AZ$1,main!$A$3:$H$102,5,FALSE)-VLOOKUP($A230,main!$A$3:$H$102,6,FALSE)&gt;=main!$D$103+VLOOKUP(VLOOKUP(AZ$1,main!$A$3:$I$102,7,FALSE),main!$K$26:$Q$29,5,FALSE)),1,0)</f>
        <v>1</v>
      </c>
      <c r="BA230">
        <f>IF(AND(VLOOKUP(BA$1,main!$A$3:$H$102,7,FALSE)=main!$G$105,VLOOKUP(BA$1,main!$A$3:$H$102,5,FALSE)-VLOOKUP($A230,main!$A$3:$H$102,6,FALSE)&gt;=main!$D$103+VLOOKUP(VLOOKUP(BA$1,main!$A$3:$I$102,7,FALSE),main!$K$26:$Q$29,5,FALSE)),1,0)</f>
        <v>0</v>
      </c>
      <c r="BB230">
        <f>IF(AND(VLOOKUP(BB$1,main!$A$3:$H$102,7,FALSE)=main!$G$105,VLOOKUP(BB$1,main!$A$3:$H$102,5,FALSE)-VLOOKUP($A230,main!$A$3:$H$102,6,FALSE)&gt;=main!$D$103+VLOOKUP(VLOOKUP(BB$1,main!$A$3:$I$102,7,FALSE),main!$K$26:$Q$29,5,FALSE)),1,0)</f>
        <v>0</v>
      </c>
      <c r="BC230">
        <f>IF(AND(VLOOKUP(BC$1,main!$A$3:$H$102,7,FALSE)=main!$G$105,VLOOKUP(BC$1,main!$A$3:$H$102,5,FALSE)-VLOOKUP($A230,main!$A$3:$H$102,6,FALSE)&gt;=main!$D$103+VLOOKUP(VLOOKUP(BC$1,main!$A$3:$I$102,7,FALSE),main!$K$26:$Q$29,5,FALSE)),1,0)</f>
        <v>0</v>
      </c>
      <c r="BD230">
        <f>IF(AND(VLOOKUP(BD$1,main!$A$3:$H$102,7,FALSE)=main!$G$105,VLOOKUP(BD$1,main!$A$3:$H$102,5,FALSE)-VLOOKUP($A230,main!$A$3:$H$102,6,FALSE)&gt;=main!$D$103+VLOOKUP(VLOOKUP(BD$1,main!$A$3:$I$102,7,FALSE),main!$K$26:$Q$29,5,FALSE)),1,0)</f>
        <v>0</v>
      </c>
      <c r="BE230">
        <f>IF(AND(VLOOKUP(BE$1,main!$A$3:$H$102,7,FALSE)=main!$G$105,VLOOKUP(BE$1,main!$A$3:$H$102,5,FALSE)-VLOOKUP($A230,main!$A$3:$H$102,6,FALSE)&gt;=main!$D$103+VLOOKUP(VLOOKUP(BE$1,main!$A$3:$I$102,7,FALSE),main!$K$26:$Q$29,5,FALSE)),1,0)</f>
        <v>0</v>
      </c>
      <c r="BF230">
        <f>IF(AND(VLOOKUP(BF$1,main!$A$3:$H$102,7,FALSE)=main!$G$105,VLOOKUP(BF$1,main!$A$3:$H$102,5,FALSE)-VLOOKUP($A230,main!$A$3:$H$102,6,FALSE)&gt;=main!$D$103+VLOOKUP(VLOOKUP(BF$1,main!$A$3:$I$102,7,FALSE),main!$K$26:$Q$29,5,FALSE)),1,0)</f>
        <v>0</v>
      </c>
      <c r="BG230">
        <f>IF(AND(VLOOKUP(BG$1,main!$A$3:$H$102,7,FALSE)=main!$G$105,VLOOKUP(BG$1,main!$A$3:$H$102,5,FALSE)-VLOOKUP($A230,main!$A$3:$H$102,6,FALSE)&gt;=main!$D$103+VLOOKUP(VLOOKUP(BG$1,main!$A$3:$I$102,7,FALSE),main!$K$26:$Q$29,5,FALSE)),1,0)</f>
        <v>0</v>
      </c>
      <c r="BH230">
        <f>IF(AND(VLOOKUP(BH$1,main!$A$3:$H$102,7,FALSE)=main!$G$105,VLOOKUP(BH$1,main!$A$3:$H$102,5,FALSE)-VLOOKUP($A230,main!$A$3:$H$102,6,FALSE)&gt;=main!$D$103+VLOOKUP(VLOOKUP(BH$1,main!$A$3:$I$102,7,FALSE),main!$K$26:$Q$29,5,FALSE)),1,0)</f>
        <v>0</v>
      </c>
      <c r="BI230">
        <f>IF(AND(VLOOKUP(BI$1,main!$A$3:$H$102,7,FALSE)=main!$G$105,VLOOKUP(BI$1,main!$A$3:$H$102,5,FALSE)-VLOOKUP($A230,main!$A$3:$H$102,6,FALSE)&gt;=main!$D$103+VLOOKUP(VLOOKUP(BI$1,main!$A$3:$I$102,7,FALSE),main!$K$26:$Q$29,5,FALSE)),1,0)</f>
        <v>0</v>
      </c>
      <c r="BJ230">
        <f>IF(AND(VLOOKUP(BJ$1,main!$A$3:$H$102,7,FALSE)=main!$G$105,VLOOKUP(BJ$1,main!$A$3:$H$102,5,FALSE)-VLOOKUP($A230,main!$A$3:$H$102,6,FALSE)&gt;=main!$D$103+VLOOKUP(VLOOKUP(BJ$1,main!$A$3:$I$102,7,FALSE),main!$K$26:$Q$29,5,FALSE)),1,0)</f>
        <v>0</v>
      </c>
      <c r="BK230">
        <f>IF(AND(VLOOKUP(BK$1,main!$A$3:$H$102,7,FALSE)=main!$G$105,VLOOKUP(BK$1,main!$A$3:$H$102,5,FALSE)-VLOOKUP($A230,main!$A$3:$H$102,6,FALSE)&gt;=main!$D$103+VLOOKUP(VLOOKUP(BK$1,main!$A$3:$I$102,7,FALSE),main!$K$26:$Q$29,5,FALSE)),1,0)</f>
        <v>0</v>
      </c>
      <c r="BL230">
        <f>IF(AND(VLOOKUP(BL$1,main!$A$3:$H$102,7,FALSE)=main!$G$105,VLOOKUP(BL$1,main!$A$3:$H$102,5,FALSE)-VLOOKUP($A230,main!$A$3:$H$102,6,FALSE)&gt;=main!$D$103+VLOOKUP(VLOOKUP(BL$1,main!$A$3:$I$102,7,FALSE),main!$K$26:$Q$29,5,FALSE)),1,0)</f>
        <v>0</v>
      </c>
      <c r="BM230">
        <f>IF(AND(VLOOKUP(BM$1,main!$A$3:$H$102,7,FALSE)=main!$G$105,VLOOKUP(BM$1,main!$A$3:$H$102,5,FALSE)-VLOOKUP($A230,main!$A$3:$H$102,6,FALSE)&gt;=main!$D$103+VLOOKUP(VLOOKUP(BM$1,main!$A$3:$I$102,7,FALSE),main!$K$26:$Q$29,5,FALSE)),1,0)</f>
        <v>0</v>
      </c>
      <c r="BN230">
        <f>IF(AND(VLOOKUP(BN$1,main!$A$3:$H$102,7,FALSE)=main!$G$105,VLOOKUP(BN$1,main!$A$3:$H$102,5,FALSE)-VLOOKUP($A230,main!$A$3:$H$102,6,FALSE)&gt;=main!$D$103+VLOOKUP(VLOOKUP(BN$1,main!$A$3:$I$102,7,FALSE),main!$K$26:$Q$29,5,FALSE)),1,0)</f>
        <v>0</v>
      </c>
      <c r="BO230">
        <f>IF(AND(VLOOKUP(BO$1,main!$A$3:$H$102,7,FALSE)=main!$G$105,VLOOKUP(BO$1,main!$A$3:$H$102,5,FALSE)-VLOOKUP($A230,main!$A$3:$H$102,6,FALSE)&gt;=main!$D$103+VLOOKUP(VLOOKUP(BO$1,main!$A$3:$I$102,7,FALSE),main!$K$26:$Q$29,5,FALSE)),1,0)</f>
        <v>0</v>
      </c>
      <c r="BP230">
        <f>IF(AND(VLOOKUP(BP$1,main!$A$3:$H$102,7,FALSE)=main!$G$105,VLOOKUP(BP$1,main!$A$3:$H$102,5,FALSE)-VLOOKUP($A230,main!$A$3:$H$102,6,FALSE)&gt;=main!$D$103+VLOOKUP(VLOOKUP(BP$1,main!$A$3:$I$102,7,FALSE),main!$K$26:$Q$29,5,FALSE)),1,0)</f>
        <v>0</v>
      </c>
      <c r="BQ230">
        <f>IF(AND(VLOOKUP(BQ$1,main!$A$3:$H$102,7,FALSE)=main!$G$105,VLOOKUP(BQ$1,main!$A$3:$H$102,5,FALSE)-VLOOKUP($A230,main!$A$3:$H$102,6,FALSE)&gt;=main!$D$103+VLOOKUP(VLOOKUP(BQ$1,main!$A$3:$I$102,7,FALSE),main!$K$26:$Q$29,5,FALSE)),1,0)</f>
        <v>0</v>
      </c>
      <c r="BR230">
        <f>IF(AND(VLOOKUP(BR$1,main!$A$3:$H$102,7,FALSE)=main!$G$105,VLOOKUP(BR$1,main!$A$3:$H$102,5,FALSE)-VLOOKUP($A230,main!$A$3:$H$102,6,FALSE)&gt;=main!$D$103+VLOOKUP(VLOOKUP(BR$1,main!$A$3:$I$102,7,FALSE),main!$K$26:$Q$29,5,FALSE)),1,0)</f>
        <v>0</v>
      </c>
      <c r="BS230">
        <f>IF(AND(VLOOKUP(BS$1,main!$A$3:$H$102,7,FALSE)=main!$G$105,VLOOKUP(BS$1,main!$A$3:$H$102,5,FALSE)-VLOOKUP($A230,main!$A$3:$H$102,6,FALSE)&gt;=main!$D$103+VLOOKUP(VLOOKUP(BS$1,main!$A$3:$I$102,7,FALSE),main!$K$26:$Q$29,5,FALSE)),1,0)</f>
        <v>0</v>
      </c>
      <c r="BT230">
        <f>IF(AND(VLOOKUP(BT$1,main!$A$3:$H$102,7,FALSE)=main!$G$105,VLOOKUP(BT$1,main!$A$3:$H$102,5,FALSE)-VLOOKUP($A230,main!$A$3:$H$102,6,FALSE)&gt;=main!$D$103+VLOOKUP(VLOOKUP(BT$1,main!$A$3:$I$102,7,FALSE),main!$K$26:$Q$29,5,FALSE)),1,0)</f>
        <v>0</v>
      </c>
      <c r="BU230">
        <f>IF(AND(VLOOKUP(BU$1,main!$A$3:$H$102,7,FALSE)=main!$G$105,VLOOKUP(BU$1,main!$A$3:$H$102,5,FALSE)-VLOOKUP($A230,main!$A$3:$H$102,6,FALSE)&gt;=main!$D$103+VLOOKUP(VLOOKUP(BU$1,main!$A$3:$I$102,7,FALSE),main!$K$26:$Q$29,5,FALSE)),1,0)</f>
        <v>0</v>
      </c>
      <c r="BV230">
        <f>IF(AND(VLOOKUP(BV$1,main!$A$3:$H$102,7,FALSE)=main!$G$105,VLOOKUP(BV$1,main!$A$3:$H$102,5,FALSE)-VLOOKUP($A230,main!$A$3:$H$102,6,FALSE)&gt;=main!$D$103+VLOOKUP(VLOOKUP(BV$1,main!$A$3:$I$102,7,FALSE),main!$K$26:$Q$29,5,FALSE)),1,0)</f>
        <v>0</v>
      </c>
      <c r="BW230">
        <f>IF(AND(VLOOKUP(BW$1,main!$A$3:$H$102,7,FALSE)=main!$G$105,VLOOKUP(BW$1,main!$A$3:$H$102,5,FALSE)-VLOOKUP($A230,main!$A$3:$H$102,6,FALSE)&gt;=main!$D$103+VLOOKUP(VLOOKUP(BW$1,main!$A$3:$I$102,7,FALSE),main!$K$26:$Q$29,5,FALSE)),1,0)</f>
        <v>0</v>
      </c>
      <c r="BX230">
        <f>IF(AND(VLOOKUP(BX$1,main!$A$3:$H$102,7,FALSE)=main!$G$105,VLOOKUP(BX$1,main!$A$3:$H$102,5,FALSE)-VLOOKUP($A230,main!$A$3:$H$102,6,FALSE)&gt;=main!$D$103+VLOOKUP(VLOOKUP(BX$1,main!$A$3:$I$102,7,FALSE),main!$K$26:$Q$29,5,FALSE)),1,0)</f>
        <v>0</v>
      </c>
      <c r="BY230">
        <f>IF(AND(VLOOKUP(BY$1,main!$A$3:$H$102,7,FALSE)=main!$G$105,VLOOKUP(BY$1,main!$A$3:$H$102,5,FALSE)-VLOOKUP($A230,main!$A$3:$H$102,6,FALSE)&gt;=main!$D$103+VLOOKUP(VLOOKUP(BY$1,main!$A$3:$I$102,7,FALSE),main!$K$26:$Q$29,5,FALSE)),1,0)</f>
        <v>0</v>
      </c>
      <c r="BZ230">
        <f>IF(AND(VLOOKUP(BZ$1,main!$A$3:$H$102,7,FALSE)=main!$G$105,VLOOKUP(BZ$1,main!$A$3:$H$102,5,FALSE)-VLOOKUP($A230,main!$A$3:$H$102,6,FALSE)&gt;=main!$D$103+VLOOKUP(VLOOKUP(BZ$1,main!$A$3:$I$102,7,FALSE),main!$K$26:$Q$29,5,FALSE)),1,0)</f>
        <v>0</v>
      </c>
      <c r="CA230">
        <f>IF(AND(VLOOKUP(CA$1,main!$A$3:$H$102,7,FALSE)=main!$G$105,VLOOKUP(CA$1,main!$A$3:$H$102,5,FALSE)-VLOOKUP($A230,main!$A$3:$H$102,6,FALSE)&gt;=main!$D$103+VLOOKUP(VLOOKUP(CA$1,main!$A$3:$I$102,7,FALSE),main!$K$26:$Q$29,5,FALSE)),1,0)</f>
        <v>0</v>
      </c>
      <c r="CB230">
        <f>IF(AND(VLOOKUP(CB$1,main!$A$3:$H$102,7,FALSE)=main!$G$105,VLOOKUP(CB$1,main!$A$3:$H$102,5,FALSE)-VLOOKUP($A230,main!$A$3:$H$102,6,FALSE)&gt;=main!$D$103+VLOOKUP(VLOOKUP(CB$1,main!$A$3:$I$102,7,FALSE),main!$K$26:$Q$29,5,FALSE)),1,0)</f>
        <v>0</v>
      </c>
      <c r="CC230">
        <f>IF(AND(VLOOKUP(CC$1,main!$A$3:$H$102,7,FALSE)=main!$G$105,VLOOKUP(CC$1,main!$A$3:$H$102,5,FALSE)-VLOOKUP($A230,main!$A$3:$H$102,6,FALSE)&gt;=main!$D$103+VLOOKUP(VLOOKUP(CC$1,main!$A$3:$I$102,7,FALSE),main!$K$26:$Q$29,5,FALSE)),1,0)</f>
        <v>0</v>
      </c>
      <c r="CD230">
        <f>IF(AND(VLOOKUP(CD$1,main!$A$3:$H$102,7,FALSE)=main!$G$105,VLOOKUP(CD$1,main!$A$3:$H$102,5,FALSE)-VLOOKUP($A230,main!$A$3:$H$102,6,FALSE)&gt;=main!$D$103+VLOOKUP(VLOOKUP(CD$1,main!$A$3:$I$102,7,FALSE),main!$K$26:$Q$29,5,FALSE)),1,0)</f>
        <v>0</v>
      </c>
      <c r="CE230">
        <f>IF(AND(VLOOKUP(CE$1,main!$A$3:$H$102,7,FALSE)=main!$G$105,VLOOKUP(CE$1,main!$A$3:$H$102,5,FALSE)-VLOOKUP($A230,main!$A$3:$H$102,6,FALSE)&gt;=main!$D$103+VLOOKUP(VLOOKUP(CE$1,main!$A$3:$I$102,7,FALSE),main!$K$26:$Q$29,5,FALSE)),1,0)</f>
        <v>0</v>
      </c>
      <c r="CF230">
        <f>IF(AND(VLOOKUP(CF$1,main!$A$3:$H$102,7,FALSE)=main!$G$105,VLOOKUP(CF$1,main!$A$3:$H$102,5,FALSE)-VLOOKUP($A230,main!$A$3:$H$102,6,FALSE)&gt;=main!$D$103+VLOOKUP(VLOOKUP(CF$1,main!$A$3:$I$102,7,FALSE),main!$K$26:$Q$29,5,FALSE)),1,0)</f>
        <v>0</v>
      </c>
      <c r="CG230">
        <f>IF(AND(VLOOKUP(CG$1,main!$A$3:$H$102,7,FALSE)=main!$G$105,VLOOKUP(CG$1,main!$A$3:$H$102,5,FALSE)-VLOOKUP($A230,main!$A$3:$H$102,6,FALSE)&gt;=main!$D$103+VLOOKUP(VLOOKUP(CG$1,main!$A$3:$I$102,7,FALSE),main!$K$26:$Q$29,5,FALSE)),1,0)</f>
        <v>0</v>
      </c>
      <c r="CH230">
        <f>IF(AND(VLOOKUP(CH$1,main!$A$3:$H$102,7,FALSE)=main!$G$105,VLOOKUP(CH$1,main!$A$3:$H$102,5,FALSE)-VLOOKUP($A230,main!$A$3:$H$102,6,FALSE)&gt;=main!$D$103+VLOOKUP(VLOOKUP(CH$1,main!$A$3:$I$102,7,FALSE),main!$K$26:$Q$29,5,FALSE)),1,0)</f>
        <v>0</v>
      </c>
      <c r="CI230">
        <f>IF(AND(VLOOKUP(CI$1,main!$A$3:$H$102,7,FALSE)=main!$G$105,VLOOKUP(CI$1,main!$A$3:$H$102,5,FALSE)-VLOOKUP($A230,main!$A$3:$H$102,6,FALSE)&gt;=main!$D$103+VLOOKUP(VLOOKUP(CI$1,main!$A$3:$I$102,7,FALSE),main!$K$26:$Q$29,5,FALSE)),1,0)</f>
        <v>0</v>
      </c>
      <c r="CJ230">
        <f>IF(AND(VLOOKUP(CJ$1,main!$A$3:$H$102,7,FALSE)=main!$G$105,VLOOKUP(CJ$1,main!$A$3:$H$102,5,FALSE)-VLOOKUP($A230,main!$A$3:$H$102,6,FALSE)&gt;=main!$D$103+VLOOKUP(VLOOKUP(CJ$1,main!$A$3:$I$102,7,FALSE),main!$K$26:$Q$29,5,FALSE)),1,0)</f>
        <v>0</v>
      </c>
      <c r="CK230">
        <f>IF(AND(VLOOKUP(CK$1,main!$A$3:$H$102,7,FALSE)=main!$G$105,VLOOKUP(CK$1,main!$A$3:$H$102,5,FALSE)-VLOOKUP($A230,main!$A$3:$H$102,6,FALSE)&gt;=main!$D$103+VLOOKUP(VLOOKUP(CK$1,main!$A$3:$I$102,7,FALSE),main!$K$26:$Q$29,5,FALSE)),1,0)</f>
        <v>0</v>
      </c>
      <c r="CL230">
        <f>IF(AND(VLOOKUP(CL$1,main!$A$3:$H$102,7,FALSE)=main!$G$105,VLOOKUP(CL$1,main!$A$3:$H$102,5,FALSE)-VLOOKUP($A230,main!$A$3:$H$102,6,FALSE)&gt;=main!$D$103+VLOOKUP(VLOOKUP(CL$1,main!$A$3:$I$102,7,FALSE),main!$K$26:$Q$29,5,FALSE)),1,0)</f>
        <v>0</v>
      </c>
      <c r="CM230">
        <f>IF(AND(VLOOKUP(CM$1,main!$A$3:$H$102,7,FALSE)=main!$G$105,VLOOKUP(CM$1,main!$A$3:$H$102,5,FALSE)-VLOOKUP($A230,main!$A$3:$H$102,6,FALSE)&gt;=main!$D$103+VLOOKUP(VLOOKUP(CM$1,main!$A$3:$I$102,7,FALSE),main!$K$26:$Q$29,5,FALSE)),1,0)</f>
        <v>0</v>
      </c>
      <c r="CN230">
        <f>IF(AND(VLOOKUP(CN$1,main!$A$3:$H$102,7,FALSE)=main!$G$105,VLOOKUP(CN$1,main!$A$3:$H$102,5,FALSE)-VLOOKUP($A230,main!$A$3:$H$102,6,FALSE)&gt;=main!$D$103+VLOOKUP(VLOOKUP(CN$1,main!$A$3:$I$102,7,FALSE),main!$K$26:$Q$29,5,FALSE)),1,0)</f>
        <v>0</v>
      </c>
      <c r="CO230">
        <f>IF(AND(VLOOKUP(CO$1,main!$A$3:$H$102,7,FALSE)=main!$G$105,VLOOKUP(CO$1,main!$A$3:$H$102,5,FALSE)-VLOOKUP($A230,main!$A$3:$H$102,6,FALSE)&gt;=main!$D$103+VLOOKUP(VLOOKUP(CO$1,main!$A$3:$I$102,7,FALSE),main!$K$26:$Q$29,5,FALSE)),1,0)</f>
        <v>0</v>
      </c>
      <c r="CP230">
        <f>IF(AND(VLOOKUP(CP$1,main!$A$3:$H$102,7,FALSE)=main!$G$105,VLOOKUP(CP$1,main!$A$3:$H$102,5,FALSE)-VLOOKUP($A230,main!$A$3:$H$102,6,FALSE)&gt;=main!$D$103+VLOOKUP(VLOOKUP(CP$1,main!$A$3:$I$102,7,FALSE),main!$K$26:$Q$29,5,FALSE)),1,0)</f>
        <v>0</v>
      </c>
      <c r="CQ230">
        <f>IF(AND(VLOOKUP(CQ$1,main!$A$3:$H$102,7,FALSE)=main!$G$105,VLOOKUP(CQ$1,main!$A$3:$H$102,5,FALSE)-VLOOKUP($A230,main!$A$3:$H$102,6,FALSE)&gt;=main!$D$103+VLOOKUP(VLOOKUP(CQ$1,main!$A$3:$I$102,7,FALSE),main!$K$26:$Q$29,5,FALSE)),1,0)</f>
        <v>0</v>
      </c>
      <c r="CR230">
        <f>IF(AND(VLOOKUP(CR$1,main!$A$3:$H$102,7,FALSE)=main!$G$105,VLOOKUP(CR$1,main!$A$3:$H$102,5,FALSE)-VLOOKUP($A230,main!$A$3:$H$102,6,FALSE)&gt;=main!$D$103+VLOOKUP(VLOOKUP(CR$1,main!$A$3:$I$102,7,FALSE),main!$K$26:$Q$29,5,FALSE)),1,0)</f>
        <v>0</v>
      </c>
      <c r="CS230">
        <f>IF(AND(VLOOKUP(CS$1,main!$A$3:$H$102,7,FALSE)=main!$G$105,VLOOKUP(CS$1,main!$A$3:$H$102,5,FALSE)-VLOOKUP($A230,main!$A$3:$H$102,6,FALSE)&gt;=main!$D$103+VLOOKUP(VLOOKUP(CS$1,main!$A$3:$I$102,7,FALSE),main!$K$26:$Q$29,5,FALSE)),1,0)</f>
        <v>0</v>
      </c>
      <c r="CT230">
        <f>IF(AND(VLOOKUP(CT$1,main!$A$3:$H$102,7,FALSE)=main!$G$105,VLOOKUP(CT$1,main!$A$3:$H$102,5,FALSE)-VLOOKUP($A230,main!$A$3:$H$102,6,FALSE)&gt;=main!$D$103+VLOOKUP(VLOOKUP(CT$1,main!$A$3:$I$102,7,FALSE),main!$K$26:$Q$29,5,FALSE)),1,0)</f>
        <v>0</v>
      </c>
      <c r="CU230">
        <f>IF(AND(VLOOKUP(CU$1,main!$A$3:$H$102,7,FALSE)=main!$G$105,VLOOKUP(CU$1,main!$A$3:$H$102,5,FALSE)-VLOOKUP($A230,main!$A$3:$H$102,6,FALSE)&gt;=main!$D$103+VLOOKUP(VLOOKUP(CU$1,main!$A$3:$I$102,7,FALSE),main!$K$26:$Q$29,5,FALSE)),1,0)</f>
        <v>0</v>
      </c>
      <c r="CV230">
        <f>IF(AND(VLOOKUP(CV$1,main!$A$3:$H$102,7,FALSE)=main!$G$105,VLOOKUP(CV$1,main!$A$3:$H$102,5,FALSE)-VLOOKUP($A230,main!$A$3:$H$102,6,FALSE)&gt;=main!$D$103+VLOOKUP(VLOOKUP(CV$1,main!$A$3:$I$102,7,FALSE),main!$K$26:$Q$29,5,FALSE)),1,0)</f>
        <v>0</v>
      </c>
      <c r="CW230">
        <f>IF(AND(VLOOKUP(CW$1,main!$A$3:$H$102,7,FALSE)=main!$G$105,VLOOKUP(CW$1,main!$A$3:$H$102,5,FALSE)-VLOOKUP($A230,main!$A$3:$H$102,6,FALSE)&gt;=main!$D$103+VLOOKUP(VLOOKUP(CW$1,main!$A$3:$I$102,7,FALSE),main!$K$26:$Q$29,5,FALSE)),1,0)</f>
        <v>0</v>
      </c>
      <c r="CX230">
        <f>IF(AND(VLOOKUP(CX$1,main!$A$3:$H$102,7,FALSE)=main!$G$105,VLOOKUP(CX$1,main!$A$3:$H$102,5,FALSE)-VLOOKUP($A230,main!$A$3:$H$102,6,FALSE)&gt;=main!$D$103+VLOOKUP(VLOOKUP(CX$1,main!$A$3:$I$102,7,FALSE),main!$K$26:$Q$29,5,FALSE)),1,0)</f>
        <v>0</v>
      </c>
    </row>
    <row r="231" spans="1:102" x14ac:dyDescent="0.25">
      <c r="A231" s="1">
        <v>27</v>
      </c>
      <c r="B231">
        <v>0</v>
      </c>
      <c r="C231">
        <f>IF(AND(VLOOKUP(C$1,main!$A$3:$H$102,7,FALSE)=main!$G$105,VLOOKUP(C$1,main!$A$3:$H$102,5,FALSE)-VLOOKUP($A231,main!$A$3:$H$102,6,FALSE)&gt;=main!$D$103+VLOOKUP(VLOOKUP(C$1,main!$A$3:$I$102,7,FALSE),main!$K$26:$Q$29,5,FALSE)),1,0)</f>
        <v>0</v>
      </c>
      <c r="D231">
        <f>IF(AND(VLOOKUP(D$1,main!$A$3:$H$102,7,FALSE)=main!$G$105,VLOOKUP(D$1,main!$A$3:$H$102,5,FALSE)-VLOOKUP($A231,main!$A$3:$H$102,6,FALSE)&gt;=main!$D$103+VLOOKUP(VLOOKUP(D$1,main!$A$3:$I$102,7,FALSE),main!$K$26:$Q$29,5,FALSE)),1,0)</f>
        <v>0</v>
      </c>
      <c r="E231">
        <f>IF(AND(VLOOKUP(E$1,main!$A$3:$H$102,7,FALSE)=main!$G$105,VLOOKUP(E$1,main!$A$3:$H$102,5,FALSE)-VLOOKUP($A231,main!$A$3:$H$102,6,FALSE)&gt;=main!$D$103+VLOOKUP(VLOOKUP(E$1,main!$A$3:$I$102,7,FALSE),main!$K$26:$Q$29,5,FALSE)),1,0)</f>
        <v>0</v>
      </c>
      <c r="F231">
        <f>IF(AND(VLOOKUP(F$1,main!$A$3:$H$102,7,FALSE)=main!$G$105,VLOOKUP(F$1,main!$A$3:$H$102,5,FALSE)-VLOOKUP($A231,main!$A$3:$H$102,6,FALSE)&gt;=main!$D$103+VLOOKUP(VLOOKUP(F$1,main!$A$3:$I$102,7,FALSE),main!$K$26:$Q$29,5,FALSE)),1,0)</f>
        <v>0</v>
      </c>
      <c r="G231">
        <f>IF(AND(VLOOKUP(G$1,main!$A$3:$H$102,7,FALSE)=main!$G$105,VLOOKUP(G$1,main!$A$3:$H$102,5,FALSE)-VLOOKUP($A231,main!$A$3:$H$102,6,FALSE)&gt;=main!$D$103+VLOOKUP(VLOOKUP(G$1,main!$A$3:$I$102,7,FALSE),main!$K$26:$Q$29,5,FALSE)),1,0)</f>
        <v>0</v>
      </c>
      <c r="H231">
        <f>IF(AND(VLOOKUP(H$1,main!$A$3:$H$102,7,FALSE)=main!$G$105,VLOOKUP(H$1,main!$A$3:$H$102,5,FALSE)-VLOOKUP($A231,main!$A$3:$H$102,6,FALSE)&gt;=main!$D$103+VLOOKUP(VLOOKUP(H$1,main!$A$3:$I$102,7,FALSE),main!$K$26:$Q$29,5,FALSE)),1,0)</f>
        <v>0</v>
      </c>
      <c r="I231">
        <f>IF(AND(VLOOKUP(I$1,main!$A$3:$H$102,7,FALSE)=main!$G$105,VLOOKUP(I$1,main!$A$3:$H$102,5,FALSE)-VLOOKUP($A231,main!$A$3:$H$102,6,FALSE)&gt;=main!$D$103+VLOOKUP(VLOOKUP(I$1,main!$A$3:$I$102,7,FALSE),main!$K$26:$Q$29,5,FALSE)),1,0)</f>
        <v>0</v>
      </c>
      <c r="J231">
        <f>IF(AND(VLOOKUP(J$1,main!$A$3:$H$102,7,FALSE)=main!$G$105,VLOOKUP(J$1,main!$A$3:$H$102,5,FALSE)-VLOOKUP($A231,main!$A$3:$H$102,6,FALSE)&gt;=main!$D$103+VLOOKUP(VLOOKUP(J$1,main!$A$3:$I$102,7,FALSE),main!$K$26:$Q$29,5,FALSE)),1,0)</f>
        <v>0</v>
      </c>
      <c r="K231">
        <f>IF(AND(VLOOKUP(K$1,main!$A$3:$H$102,7,FALSE)=main!$G$105,VLOOKUP(K$1,main!$A$3:$H$102,5,FALSE)-VLOOKUP($A231,main!$A$3:$H$102,6,FALSE)&gt;=main!$D$103+VLOOKUP(VLOOKUP(K$1,main!$A$3:$I$102,7,FALSE),main!$K$26:$Q$29,5,FALSE)),1,0)</f>
        <v>0</v>
      </c>
      <c r="L231">
        <f>IF(AND(VLOOKUP(L$1,main!$A$3:$H$102,7,FALSE)=main!$G$105,VLOOKUP(L$1,main!$A$3:$H$102,5,FALSE)-VLOOKUP($A231,main!$A$3:$H$102,6,FALSE)&gt;=main!$D$103+VLOOKUP(VLOOKUP(L$1,main!$A$3:$I$102,7,FALSE),main!$K$26:$Q$29,5,FALSE)),1,0)</f>
        <v>0</v>
      </c>
      <c r="M231">
        <f>IF(AND(VLOOKUP(M$1,main!$A$3:$H$102,7,FALSE)=main!$G$105,VLOOKUP(M$1,main!$A$3:$H$102,5,FALSE)-VLOOKUP($A231,main!$A$3:$H$102,6,FALSE)&gt;=main!$D$103+VLOOKUP(VLOOKUP(M$1,main!$A$3:$I$102,7,FALSE),main!$K$26:$Q$29,5,FALSE)),1,0)</f>
        <v>0</v>
      </c>
      <c r="N231">
        <f>IF(AND(VLOOKUP(N$1,main!$A$3:$H$102,7,FALSE)=main!$G$105,VLOOKUP(N$1,main!$A$3:$H$102,5,FALSE)-VLOOKUP($A231,main!$A$3:$H$102,6,FALSE)&gt;=main!$D$103+VLOOKUP(VLOOKUP(N$1,main!$A$3:$I$102,7,FALSE),main!$K$26:$Q$29,5,FALSE)),1,0)</f>
        <v>0</v>
      </c>
      <c r="O231">
        <f>IF(AND(VLOOKUP(O$1,main!$A$3:$H$102,7,FALSE)=main!$G$105,VLOOKUP(O$1,main!$A$3:$H$102,5,FALSE)-VLOOKUP($A231,main!$A$3:$H$102,6,FALSE)&gt;=main!$D$103+VLOOKUP(VLOOKUP(O$1,main!$A$3:$I$102,7,FALSE),main!$K$26:$Q$29,5,FALSE)),1,0)</f>
        <v>0</v>
      </c>
      <c r="P231">
        <f>IF(AND(VLOOKUP(P$1,main!$A$3:$H$102,7,FALSE)=main!$G$105,VLOOKUP(P$1,main!$A$3:$H$102,5,FALSE)-VLOOKUP($A231,main!$A$3:$H$102,6,FALSE)&gt;=main!$D$103+VLOOKUP(VLOOKUP(P$1,main!$A$3:$I$102,7,FALSE),main!$K$26:$Q$29,5,FALSE)),1,0)</f>
        <v>0</v>
      </c>
      <c r="Q231">
        <f>IF(AND(VLOOKUP(Q$1,main!$A$3:$H$102,7,FALSE)=main!$G$105,VLOOKUP(Q$1,main!$A$3:$H$102,5,FALSE)-VLOOKUP($A231,main!$A$3:$H$102,6,FALSE)&gt;=main!$D$103+VLOOKUP(VLOOKUP(Q$1,main!$A$3:$I$102,7,FALSE),main!$K$26:$Q$29,5,FALSE)),1,0)</f>
        <v>0</v>
      </c>
      <c r="R231">
        <f>IF(AND(VLOOKUP(R$1,main!$A$3:$H$102,7,FALSE)=main!$G$105,VLOOKUP(R$1,main!$A$3:$H$102,5,FALSE)-VLOOKUP($A231,main!$A$3:$H$102,6,FALSE)&gt;=main!$D$103+VLOOKUP(VLOOKUP(R$1,main!$A$3:$I$102,7,FALSE),main!$K$26:$Q$29,5,FALSE)),1,0)</f>
        <v>0</v>
      </c>
      <c r="S231">
        <f>IF(AND(VLOOKUP(S$1,main!$A$3:$H$102,7,FALSE)=main!$G$105,VLOOKUP(S$1,main!$A$3:$H$102,5,FALSE)-VLOOKUP($A231,main!$A$3:$H$102,6,FALSE)&gt;=main!$D$103+VLOOKUP(VLOOKUP(S$1,main!$A$3:$I$102,7,FALSE),main!$K$26:$Q$29,5,FALSE)),1,0)</f>
        <v>0</v>
      </c>
      <c r="T231">
        <f>IF(AND(VLOOKUP(T$1,main!$A$3:$H$102,7,FALSE)=main!$G$105,VLOOKUP(T$1,main!$A$3:$H$102,5,FALSE)-VLOOKUP($A231,main!$A$3:$H$102,6,FALSE)&gt;=main!$D$103+VLOOKUP(VLOOKUP(T$1,main!$A$3:$I$102,7,FALSE),main!$K$26:$Q$29,5,FALSE)),1,0)</f>
        <v>0</v>
      </c>
      <c r="U231">
        <f>IF(AND(VLOOKUP(U$1,main!$A$3:$H$102,7,FALSE)=main!$G$105,VLOOKUP(U$1,main!$A$3:$H$102,5,FALSE)-VLOOKUP($A231,main!$A$3:$H$102,6,FALSE)&gt;=main!$D$103+VLOOKUP(VLOOKUP(U$1,main!$A$3:$I$102,7,FALSE),main!$K$26:$Q$29,5,FALSE)),1,0)</f>
        <v>0</v>
      </c>
      <c r="V231">
        <f>IF(AND(VLOOKUP(V$1,main!$A$3:$H$102,7,FALSE)=main!$G$105,VLOOKUP(V$1,main!$A$3:$H$102,5,FALSE)-VLOOKUP($A231,main!$A$3:$H$102,6,FALSE)&gt;=main!$D$103+VLOOKUP(VLOOKUP(V$1,main!$A$3:$I$102,7,FALSE),main!$K$26:$Q$29,5,FALSE)),1,0)</f>
        <v>0</v>
      </c>
      <c r="W231">
        <f>IF(AND(VLOOKUP(W$1,main!$A$3:$H$102,7,FALSE)=main!$G$105,VLOOKUP(W$1,main!$A$3:$H$102,5,FALSE)-VLOOKUP($A231,main!$A$3:$H$102,6,FALSE)&gt;=main!$D$103+VLOOKUP(VLOOKUP(W$1,main!$A$3:$I$102,7,FALSE),main!$K$26:$Q$29,5,FALSE)),1,0)</f>
        <v>0</v>
      </c>
      <c r="X231">
        <f>IF(AND(VLOOKUP(X$1,main!$A$3:$H$102,7,FALSE)=main!$G$105,VLOOKUP(X$1,main!$A$3:$H$102,5,FALSE)-VLOOKUP($A231,main!$A$3:$H$102,6,FALSE)&gt;=main!$D$103+VLOOKUP(VLOOKUP(X$1,main!$A$3:$I$102,7,FALSE),main!$K$26:$Q$29,5,FALSE)),1,0)</f>
        <v>0</v>
      </c>
      <c r="Y231">
        <f>IF(AND(VLOOKUP(Y$1,main!$A$3:$H$102,7,FALSE)=main!$G$105,VLOOKUP(Y$1,main!$A$3:$H$102,5,FALSE)-VLOOKUP($A231,main!$A$3:$H$102,6,FALSE)&gt;=main!$D$103+VLOOKUP(VLOOKUP(Y$1,main!$A$3:$I$102,7,FALSE),main!$K$26:$Q$29,5,FALSE)),1,0)</f>
        <v>0</v>
      </c>
      <c r="Z231">
        <f>IF(AND(VLOOKUP(Z$1,main!$A$3:$H$102,7,FALSE)=main!$G$105,VLOOKUP(Z$1,main!$A$3:$H$102,5,FALSE)-VLOOKUP($A231,main!$A$3:$H$102,6,FALSE)&gt;=main!$D$103+VLOOKUP(VLOOKUP(Z$1,main!$A$3:$I$102,7,FALSE),main!$K$26:$Q$29,5,FALSE)),1,0)</f>
        <v>0</v>
      </c>
      <c r="AA231">
        <f>IF(AND(VLOOKUP(AA$1,main!$A$3:$H$102,7,FALSE)=main!$G$105,VLOOKUP(AA$1,main!$A$3:$H$102,5,FALSE)-VLOOKUP($A231,main!$A$3:$H$102,6,FALSE)&gt;=main!$D$103+VLOOKUP(VLOOKUP(AA$1,main!$A$3:$I$102,7,FALSE),main!$K$26:$Q$29,5,FALSE)),1,0)</f>
        <v>0</v>
      </c>
      <c r="AB231">
        <f>IF(AND(VLOOKUP(AB$1,main!$A$3:$H$102,7,FALSE)=main!$G$105,VLOOKUP(AB$1,main!$A$3:$H$102,5,FALSE)-VLOOKUP($A231,main!$A$3:$H$102,6,FALSE)&gt;=main!$D$103+VLOOKUP(VLOOKUP(AB$1,main!$A$3:$I$102,7,FALSE),main!$K$26:$Q$29,5,FALSE)),1,0)</f>
        <v>0</v>
      </c>
      <c r="AC231">
        <f>IF(AND(VLOOKUP(AC$1,main!$A$3:$H$102,7,FALSE)=main!$G$105,VLOOKUP(AC$1,main!$A$3:$H$102,5,FALSE)-VLOOKUP($A231,main!$A$3:$H$102,6,FALSE)&gt;=main!$D$103+VLOOKUP(VLOOKUP(AC$1,main!$A$3:$I$102,7,FALSE),main!$K$26:$Q$29,5,FALSE)),1,0)</f>
        <v>0</v>
      </c>
      <c r="AD231">
        <f>IF(AND(VLOOKUP(AD$1,main!$A$3:$H$102,7,FALSE)=main!$G$105,VLOOKUP(AD$1,main!$A$3:$H$102,5,FALSE)-VLOOKUP($A231,main!$A$3:$H$102,6,FALSE)&gt;=main!$D$103+VLOOKUP(VLOOKUP(AD$1,main!$A$3:$I$102,7,FALSE),main!$K$26:$Q$29,5,FALSE)),1,0)</f>
        <v>0</v>
      </c>
      <c r="AE231">
        <f>IF(AND(VLOOKUP(AE$1,main!$A$3:$H$102,7,FALSE)=main!$G$105,VLOOKUP(AE$1,main!$A$3:$H$102,5,FALSE)-VLOOKUP($A231,main!$A$3:$H$102,6,FALSE)&gt;=main!$D$103+VLOOKUP(VLOOKUP(AE$1,main!$A$3:$I$102,7,FALSE),main!$K$26:$Q$29,5,FALSE)),1,0)</f>
        <v>0</v>
      </c>
      <c r="AF231">
        <f>IF(AND(VLOOKUP(AF$1,main!$A$3:$H$102,7,FALSE)=main!$G$105,VLOOKUP(AF$1,main!$A$3:$H$102,5,FALSE)-VLOOKUP($A231,main!$A$3:$H$102,6,FALSE)&gt;=main!$D$103+VLOOKUP(VLOOKUP(AF$1,main!$A$3:$I$102,7,FALSE),main!$K$26:$Q$29,5,FALSE)),1,0)</f>
        <v>0</v>
      </c>
      <c r="AG231">
        <f>IF(AND(VLOOKUP(AG$1,main!$A$3:$H$102,7,FALSE)=main!$G$105,VLOOKUP(AG$1,main!$A$3:$H$102,5,FALSE)-VLOOKUP($A231,main!$A$3:$H$102,6,FALSE)&gt;=main!$D$103+VLOOKUP(VLOOKUP(AG$1,main!$A$3:$I$102,7,FALSE),main!$K$26:$Q$29,5,FALSE)),1,0)</f>
        <v>0</v>
      </c>
      <c r="AH231">
        <f>IF(AND(VLOOKUP(AH$1,main!$A$3:$H$102,7,FALSE)=main!$G$105,VLOOKUP(AH$1,main!$A$3:$H$102,5,FALSE)-VLOOKUP($A231,main!$A$3:$H$102,6,FALSE)&gt;=main!$D$103+VLOOKUP(VLOOKUP(AH$1,main!$A$3:$I$102,7,FALSE),main!$K$26:$Q$29,5,FALSE)),1,0)</f>
        <v>0</v>
      </c>
      <c r="AI231">
        <f>IF(AND(VLOOKUP(AI$1,main!$A$3:$H$102,7,FALSE)=main!$G$105,VLOOKUP(AI$1,main!$A$3:$H$102,5,FALSE)-VLOOKUP($A231,main!$A$3:$H$102,6,FALSE)&gt;=main!$D$103+VLOOKUP(VLOOKUP(AI$1,main!$A$3:$I$102,7,FALSE),main!$K$26:$Q$29,5,FALSE)),1,0)</f>
        <v>1</v>
      </c>
      <c r="AJ231">
        <f>IF(AND(VLOOKUP(AJ$1,main!$A$3:$H$102,7,FALSE)=main!$G$105,VLOOKUP(AJ$1,main!$A$3:$H$102,5,FALSE)-VLOOKUP($A231,main!$A$3:$H$102,6,FALSE)&gt;=main!$D$103+VLOOKUP(VLOOKUP(AJ$1,main!$A$3:$I$102,7,FALSE),main!$K$26:$Q$29,5,FALSE)),1,0)</f>
        <v>1</v>
      </c>
      <c r="AK231">
        <f>IF(AND(VLOOKUP(AK$1,main!$A$3:$H$102,7,FALSE)=main!$G$105,VLOOKUP(AK$1,main!$A$3:$H$102,5,FALSE)-VLOOKUP($A231,main!$A$3:$H$102,6,FALSE)&gt;=main!$D$103+VLOOKUP(VLOOKUP(AK$1,main!$A$3:$I$102,7,FALSE),main!$K$26:$Q$29,5,FALSE)),1,0)</f>
        <v>1</v>
      </c>
      <c r="AL231">
        <f>IF(AND(VLOOKUP(AL$1,main!$A$3:$H$102,7,FALSE)=main!$G$105,VLOOKUP(AL$1,main!$A$3:$H$102,5,FALSE)-VLOOKUP($A231,main!$A$3:$H$102,6,FALSE)&gt;=main!$D$103+VLOOKUP(VLOOKUP(AL$1,main!$A$3:$I$102,7,FALSE),main!$K$26:$Q$29,5,FALSE)),1,0)</f>
        <v>1</v>
      </c>
      <c r="AM231">
        <f>IF(AND(VLOOKUP(AM$1,main!$A$3:$H$102,7,FALSE)=main!$G$105,VLOOKUP(AM$1,main!$A$3:$H$102,5,FALSE)-VLOOKUP($A231,main!$A$3:$H$102,6,FALSE)&gt;=main!$D$103+VLOOKUP(VLOOKUP(AM$1,main!$A$3:$I$102,7,FALSE),main!$K$26:$Q$29,5,FALSE)),1,0)</f>
        <v>1</v>
      </c>
      <c r="AN231">
        <f>IF(AND(VLOOKUP(AN$1,main!$A$3:$H$102,7,FALSE)=main!$G$105,VLOOKUP(AN$1,main!$A$3:$H$102,5,FALSE)-VLOOKUP($A231,main!$A$3:$H$102,6,FALSE)&gt;=main!$D$103+VLOOKUP(VLOOKUP(AN$1,main!$A$3:$I$102,7,FALSE),main!$K$26:$Q$29,5,FALSE)),1,0)</f>
        <v>1</v>
      </c>
      <c r="AO231">
        <f>IF(AND(VLOOKUP(AO$1,main!$A$3:$H$102,7,FALSE)=main!$G$105,VLOOKUP(AO$1,main!$A$3:$H$102,5,FALSE)-VLOOKUP($A231,main!$A$3:$H$102,6,FALSE)&gt;=main!$D$103+VLOOKUP(VLOOKUP(AO$1,main!$A$3:$I$102,7,FALSE),main!$K$26:$Q$29,5,FALSE)),1,0)</f>
        <v>0</v>
      </c>
      <c r="AP231">
        <f>IF(AND(VLOOKUP(AP$1,main!$A$3:$H$102,7,FALSE)=main!$G$105,VLOOKUP(AP$1,main!$A$3:$H$102,5,FALSE)-VLOOKUP($A231,main!$A$3:$H$102,6,FALSE)&gt;=main!$D$103+VLOOKUP(VLOOKUP(AP$1,main!$A$3:$I$102,7,FALSE),main!$K$26:$Q$29,5,FALSE)),1,0)</f>
        <v>1</v>
      </c>
      <c r="AQ231">
        <f>IF(AND(VLOOKUP(AQ$1,main!$A$3:$H$102,7,FALSE)=main!$G$105,VLOOKUP(AQ$1,main!$A$3:$H$102,5,FALSE)-VLOOKUP($A231,main!$A$3:$H$102,6,FALSE)&gt;=main!$D$103+VLOOKUP(VLOOKUP(AQ$1,main!$A$3:$I$102,7,FALSE),main!$K$26:$Q$29,5,FALSE)),1,0)</f>
        <v>0</v>
      </c>
      <c r="AR231">
        <f>IF(AND(VLOOKUP(AR$1,main!$A$3:$H$102,7,FALSE)=main!$G$105,VLOOKUP(AR$1,main!$A$3:$H$102,5,FALSE)-VLOOKUP($A231,main!$A$3:$H$102,6,FALSE)&gt;=main!$D$103+VLOOKUP(VLOOKUP(AR$1,main!$A$3:$I$102,7,FALSE),main!$K$26:$Q$29,5,FALSE)),1,0)</f>
        <v>0</v>
      </c>
      <c r="AS231">
        <f>IF(AND(VLOOKUP(AS$1,main!$A$3:$H$102,7,FALSE)=main!$G$105,VLOOKUP(AS$1,main!$A$3:$H$102,5,FALSE)-VLOOKUP($A231,main!$A$3:$H$102,6,FALSE)&gt;=main!$D$103+VLOOKUP(VLOOKUP(AS$1,main!$A$3:$I$102,7,FALSE),main!$K$26:$Q$29,5,FALSE)),1,0)</f>
        <v>1</v>
      </c>
      <c r="AT231">
        <f>IF(AND(VLOOKUP(AT$1,main!$A$3:$H$102,7,FALSE)=main!$G$105,VLOOKUP(AT$1,main!$A$3:$H$102,5,FALSE)-VLOOKUP($A231,main!$A$3:$H$102,6,FALSE)&gt;=main!$D$103+VLOOKUP(VLOOKUP(AT$1,main!$A$3:$I$102,7,FALSE),main!$K$26:$Q$29,5,FALSE)),1,0)</f>
        <v>1</v>
      </c>
      <c r="AU231">
        <f>IF(AND(VLOOKUP(AU$1,main!$A$3:$H$102,7,FALSE)=main!$G$105,VLOOKUP(AU$1,main!$A$3:$H$102,5,FALSE)-VLOOKUP($A231,main!$A$3:$H$102,6,FALSE)&gt;=main!$D$103+VLOOKUP(VLOOKUP(AU$1,main!$A$3:$I$102,7,FALSE),main!$K$26:$Q$29,5,FALSE)),1,0)</f>
        <v>0</v>
      </c>
      <c r="AV231">
        <f>IF(AND(VLOOKUP(AV$1,main!$A$3:$H$102,7,FALSE)=main!$G$105,VLOOKUP(AV$1,main!$A$3:$H$102,5,FALSE)-VLOOKUP($A231,main!$A$3:$H$102,6,FALSE)&gt;=main!$D$103+VLOOKUP(VLOOKUP(AV$1,main!$A$3:$I$102,7,FALSE),main!$K$26:$Q$29,5,FALSE)),1,0)</f>
        <v>0</v>
      </c>
      <c r="AW231">
        <f>IF(AND(VLOOKUP(AW$1,main!$A$3:$H$102,7,FALSE)=main!$G$105,VLOOKUP(AW$1,main!$A$3:$H$102,5,FALSE)-VLOOKUP($A231,main!$A$3:$H$102,6,FALSE)&gt;=main!$D$103+VLOOKUP(VLOOKUP(AW$1,main!$A$3:$I$102,7,FALSE),main!$K$26:$Q$29,5,FALSE)),1,0)</f>
        <v>1</v>
      </c>
      <c r="AX231">
        <f>IF(AND(VLOOKUP(AX$1,main!$A$3:$H$102,7,FALSE)=main!$G$105,VLOOKUP(AX$1,main!$A$3:$H$102,5,FALSE)-VLOOKUP($A231,main!$A$3:$H$102,6,FALSE)&gt;=main!$D$103+VLOOKUP(VLOOKUP(AX$1,main!$A$3:$I$102,7,FALSE),main!$K$26:$Q$29,5,FALSE)),1,0)</f>
        <v>1</v>
      </c>
      <c r="AY231">
        <f>IF(AND(VLOOKUP(AY$1,main!$A$3:$H$102,7,FALSE)=main!$G$105,VLOOKUP(AY$1,main!$A$3:$H$102,5,FALSE)-VLOOKUP($A231,main!$A$3:$H$102,6,FALSE)&gt;=main!$D$103+VLOOKUP(VLOOKUP(AY$1,main!$A$3:$I$102,7,FALSE),main!$K$26:$Q$29,5,FALSE)),1,0)</f>
        <v>0</v>
      </c>
      <c r="AZ231">
        <f>IF(AND(VLOOKUP(AZ$1,main!$A$3:$H$102,7,FALSE)=main!$G$105,VLOOKUP(AZ$1,main!$A$3:$H$102,5,FALSE)-VLOOKUP($A231,main!$A$3:$H$102,6,FALSE)&gt;=main!$D$103+VLOOKUP(VLOOKUP(AZ$1,main!$A$3:$I$102,7,FALSE),main!$K$26:$Q$29,5,FALSE)),1,0)</f>
        <v>1</v>
      </c>
      <c r="BA231">
        <f>IF(AND(VLOOKUP(BA$1,main!$A$3:$H$102,7,FALSE)=main!$G$105,VLOOKUP(BA$1,main!$A$3:$H$102,5,FALSE)-VLOOKUP($A231,main!$A$3:$H$102,6,FALSE)&gt;=main!$D$103+VLOOKUP(VLOOKUP(BA$1,main!$A$3:$I$102,7,FALSE),main!$K$26:$Q$29,5,FALSE)),1,0)</f>
        <v>0</v>
      </c>
      <c r="BB231">
        <f>IF(AND(VLOOKUP(BB$1,main!$A$3:$H$102,7,FALSE)=main!$G$105,VLOOKUP(BB$1,main!$A$3:$H$102,5,FALSE)-VLOOKUP($A231,main!$A$3:$H$102,6,FALSE)&gt;=main!$D$103+VLOOKUP(VLOOKUP(BB$1,main!$A$3:$I$102,7,FALSE),main!$K$26:$Q$29,5,FALSE)),1,0)</f>
        <v>0</v>
      </c>
      <c r="BC231">
        <f>IF(AND(VLOOKUP(BC$1,main!$A$3:$H$102,7,FALSE)=main!$G$105,VLOOKUP(BC$1,main!$A$3:$H$102,5,FALSE)-VLOOKUP($A231,main!$A$3:$H$102,6,FALSE)&gt;=main!$D$103+VLOOKUP(VLOOKUP(BC$1,main!$A$3:$I$102,7,FALSE),main!$K$26:$Q$29,5,FALSE)),1,0)</f>
        <v>0</v>
      </c>
      <c r="BD231">
        <f>IF(AND(VLOOKUP(BD$1,main!$A$3:$H$102,7,FALSE)=main!$G$105,VLOOKUP(BD$1,main!$A$3:$H$102,5,FALSE)-VLOOKUP($A231,main!$A$3:$H$102,6,FALSE)&gt;=main!$D$103+VLOOKUP(VLOOKUP(BD$1,main!$A$3:$I$102,7,FALSE),main!$K$26:$Q$29,5,FALSE)),1,0)</f>
        <v>0</v>
      </c>
      <c r="BE231">
        <f>IF(AND(VLOOKUP(BE$1,main!$A$3:$H$102,7,FALSE)=main!$G$105,VLOOKUP(BE$1,main!$A$3:$H$102,5,FALSE)-VLOOKUP($A231,main!$A$3:$H$102,6,FALSE)&gt;=main!$D$103+VLOOKUP(VLOOKUP(BE$1,main!$A$3:$I$102,7,FALSE),main!$K$26:$Q$29,5,FALSE)),1,0)</f>
        <v>0</v>
      </c>
      <c r="BF231">
        <f>IF(AND(VLOOKUP(BF$1,main!$A$3:$H$102,7,FALSE)=main!$G$105,VLOOKUP(BF$1,main!$A$3:$H$102,5,FALSE)-VLOOKUP($A231,main!$A$3:$H$102,6,FALSE)&gt;=main!$D$103+VLOOKUP(VLOOKUP(BF$1,main!$A$3:$I$102,7,FALSE),main!$K$26:$Q$29,5,FALSE)),1,0)</f>
        <v>0</v>
      </c>
      <c r="BG231">
        <f>IF(AND(VLOOKUP(BG$1,main!$A$3:$H$102,7,FALSE)=main!$G$105,VLOOKUP(BG$1,main!$A$3:$H$102,5,FALSE)-VLOOKUP($A231,main!$A$3:$H$102,6,FALSE)&gt;=main!$D$103+VLOOKUP(VLOOKUP(BG$1,main!$A$3:$I$102,7,FALSE),main!$K$26:$Q$29,5,FALSE)),1,0)</f>
        <v>0</v>
      </c>
      <c r="BH231">
        <f>IF(AND(VLOOKUP(BH$1,main!$A$3:$H$102,7,FALSE)=main!$G$105,VLOOKUP(BH$1,main!$A$3:$H$102,5,FALSE)-VLOOKUP($A231,main!$A$3:$H$102,6,FALSE)&gt;=main!$D$103+VLOOKUP(VLOOKUP(BH$1,main!$A$3:$I$102,7,FALSE),main!$K$26:$Q$29,5,FALSE)),1,0)</f>
        <v>0</v>
      </c>
      <c r="BI231">
        <f>IF(AND(VLOOKUP(BI$1,main!$A$3:$H$102,7,FALSE)=main!$G$105,VLOOKUP(BI$1,main!$A$3:$H$102,5,FALSE)-VLOOKUP($A231,main!$A$3:$H$102,6,FALSE)&gt;=main!$D$103+VLOOKUP(VLOOKUP(BI$1,main!$A$3:$I$102,7,FALSE),main!$K$26:$Q$29,5,FALSE)),1,0)</f>
        <v>0</v>
      </c>
      <c r="BJ231">
        <f>IF(AND(VLOOKUP(BJ$1,main!$A$3:$H$102,7,FALSE)=main!$G$105,VLOOKUP(BJ$1,main!$A$3:$H$102,5,FALSE)-VLOOKUP($A231,main!$A$3:$H$102,6,FALSE)&gt;=main!$D$103+VLOOKUP(VLOOKUP(BJ$1,main!$A$3:$I$102,7,FALSE),main!$K$26:$Q$29,5,FALSE)),1,0)</f>
        <v>0</v>
      </c>
      <c r="BK231">
        <f>IF(AND(VLOOKUP(BK$1,main!$A$3:$H$102,7,FALSE)=main!$G$105,VLOOKUP(BK$1,main!$A$3:$H$102,5,FALSE)-VLOOKUP($A231,main!$A$3:$H$102,6,FALSE)&gt;=main!$D$103+VLOOKUP(VLOOKUP(BK$1,main!$A$3:$I$102,7,FALSE),main!$K$26:$Q$29,5,FALSE)),1,0)</f>
        <v>0</v>
      </c>
      <c r="BL231">
        <f>IF(AND(VLOOKUP(BL$1,main!$A$3:$H$102,7,FALSE)=main!$G$105,VLOOKUP(BL$1,main!$A$3:$H$102,5,FALSE)-VLOOKUP($A231,main!$A$3:$H$102,6,FALSE)&gt;=main!$D$103+VLOOKUP(VLOOKUP(BL$1,main!$A$3:$I$102,7,FALSE),main!$K$26:$Q$29,5,FALSE)),1,0)</f>
        <v>0</v>
      </c>
      <c r="BM231">
        <f>IF(AND(VLOOKUP(BM$1,main!$A$3:$H$102,7,FALSE)=main!$G$105,VLOOKUP(BM$1,main!$A$3:$H$102,5,FALSE)-VLOOKUP($A231,main!$A$3:$H$102,6,FALSE)&gt;=main!$D$103+VLOOKUP(VLOOKUP(BM$1,main!$A$3:$I$102,7,FALSE),main!$K$26:$Q$29,5,FALSE)),1,0)</f>
        <v>0</v>
      </c>
      <c r="BN231">
        <f>IF(AND(VLOOKUP(BN$1,main!$A$3:$H$102,7,FALSE)=main!$G$105,VLOOKUP(BN$1,main!$A$3:$H$102,5,FALSE)-VLOOKUP($A231,main!$A$3:$H$102,6,FALSE)&gt;=main!$D$103+VLOOKUP(VLOOKUP(BN$1,main!$A$3:$I$102,7,FALSE),main!$K$26:$Q$29,5,FALSE)),1,0)</f>
        <v>0</v>
      </c>
      <c r="BO231">
        <f>IF(AND(VLOOKUP(BO$1,main!$A$3:$H$102,7,FALSE)=main!$G$105,VLOOKUP(BO$1,main!$A$3:$H$102,5,FALSE)-VLOOKUP($A231,main!$A$3:$H$102,6,FALSE)&gt;=main!$D$103+VLOOKUP(VLOOKUP(BO$1,main!$A$3:$I$102,7,FALSE),main!$K$26:$Q$29,5,FALSE)),1,0)</f>
        <v>0</v>
      </c>
      <c r="BP231">
        <f>IF(AND(VLOOKUP(BP$1,main!$A$3:$H$102,7,FALSE)=main!$G$105,VLOOKUP(BP$1,main!$A$3:$H$102,5,FALSE)-VLOOKUP($A231,main!$A$3:$H$102,6,FALSE)&gt;=main!$D$103+VLOOKUP(VLOOKUP(BP$1,main!$A$3:$I$102,7,FALSE),main!$K$26:$Q$29,5,FALSE)),1,0)</f>
        <v>0</v>
      </c>
      <c r="BQ231">
        <f>IF(AND(VLOOKUP(BQ$1,main!$A$3:$H$102,7,FALSE)=main!$G$105,VLOOKUP(BQ$1,main!$A$3:$H$102,5,FALSE)-VLOOKUP($A231,main!$A$3:$H$102,6,FALSE)&gt;=main!$D$103+VLOOKUP(VLOOKUP(BQ$1,main!$A$3:$I$102,7,FALSE),main!$K$26:$Q$29,5,FALSE)),1,0)</f>
        <v>0</v>
      </c>
      <c r="BR231">
        <f>IF(AND(VLOOKUP(BR$1,main!$A$3:$H$102,7,FALSE)=main!$G$105,VLOOKUP(BR$1,main!$A$3:$H$102,5,FALSE)-VLOOKUP($A231,main!$A$3:$H$102,6,FALSE)&gt;=main!$D$103+VLOOKUP(VLOOKUP(BR$1,main!$A$3:$I$102,7,FALSE),main!$K$26:$Q$29,5,FALSE)),1,0)</f>
        <v>0</v>
      </c>
      <c r="BS231">
        <f>IF(AND(VLOOKUP(BS$1,main!$A$3:$H$102,7,FALSE)=main!$G$105,VLOOKUP(BS$1,main!$A$3:$H$102,5,FALSE)-VLOOKUP($A231,main!$A$3:$H$102,6,FALSE)&gt;=main!$D$103+VLOOKUP(VLOOKUP(BS$1,main!$A$3:$I$102,7,FALSE),main!$K$26:$Q$29,5,FALSE)),1,0)</f>
        <v>0</v>
      </c>
      <c r="BT231">
        <f>IF(AND(VLOOKUP(BT$1,main!$A$3:$H$102,7,FALSE)=main!$G$105,VLOOKUP(BT$1,main!$A$3:$H$102,5,FALSE)-VLOOKUP($A231,main!$A$3:$H$102,6,FALSE)&gt;=main!$D$103+VLOOKUP(VLOOKUP(BT$1,main!$A$3:$I$102,7,FALSE),main!$K$26:$Q$29,5,FALSE)),1,0)</f>
        <v>0</v>
      </c>
      <c r="BU231">
        <f>IF(AND(VLOOKUP(BU$1,main!$A$3:$H$102,7,FALSE)=main!$G$105,VLOOKUP(BU$1,main!$A$3:$H$102,5,FALSE)-VLOOKUP($A231,main!$A$3:$H$102,6,FALSE)&gt;=main!$D$103+VLOOKUP(VLOOKUP(BU$1,main!$A$3:$I$102,7,FALSE),main!$K$26:$Q$29,5,FALSE)),1,0)</f>
        <v>0</v>
      </c>
      <c r="BV231">
        <f>IF(AND(VLOOKUP(BV$1,main!$A$3:$H$102,7,FALSE)=main!$G$105,VLOOKUP(BV$1,main!$A$3:$H$102,5,FALSE)-VLOOKUP($A231,main!$A$3:$H$102,6,FALSE)&gt;=main!$D$103+VLOOKUP(VLOOKUP(BV$1,main!$A$3:$I$102,7,FALSE),main!$K$26:$Q$29,5,FALSE)),1,0)</f>
        <v>0</v>
      </c>
      <c r="BW231">
        <f>IF(AND(VLOOKUP(BW$1,main!$A$3:$H$102,7,FALSE)=main!$G$105,VLOOKUP(BW$1,main!$A$3:$H$102,5,FALSE)-VLOOKUP($A231,main!$A$3:$H$102,6,FALSE)&gt;=main!$D$103+VLOOKUP(VLOOKUP(BW$1,main!$A$3:$I$102,7,FALSE),main!$K$26:$Q$29,5,FALSE)),1,0)</f>
        <v>0</v>
      </c>
      <c r="BX231">
        <f>IF(AND(VLOOKUP(BX$1,main!$A$3:$H$102,7,FALSE)=main!$G$105,VLOOKUP(BX$1,main!$A$3:$H$102,5,FALSE)-VLOOKUP($A231,main!$A$3:$H$102,6,FALSE)&gt;=main!$D$103+VLOOKUP(VLOOKUP(BX$1,main!$A$3:$I$102,7,FALSE),main!$K$26:$Q$29,5,FALSE)),1,0)</f>
        <v>0</v>
      </c>
      <c r="BY231">
        <f>IF(AND(VLOOKUP(BY$1,main!$A$3:$H$102,7,FALSE)=main!$G$105,VLOOKUP(BY$1,main!$A$3:$H$102,5,FALSE)-VLOOKUP($A231,main!$A$3:$H$102,6,FALSE)&gt;=main!$D$103+VLOOKUP(VLOOKUP(BY$1,main!$A$3:$I$102,7,FALSE),main!$K$26:$Q$29,5,FALSE)),1,0)</f>
        <v>0</v>
      </c>
      <c r="BZ231">
        <f>IF(AND(VLOOKUP(BZ$1,main!$A$3:$H$102,7,FALSE)=main!$G$105,VLOOKUP(BZ$1,main!$A$3:$H$102,5,FALSE)-VLOOKUP($A231,main!$A$3:$H$102,6,FALSE)&gt;=main!$D$103+VLOOKUP(VLOOKUP(BZ$1,main!$A$3:$I$102,7,FALSE),main!$K$26:$Q$29,5,FALSE)),1,0)</f>
        <v>0</v>
      </c>
      <c r="CA231">
        <f>IF(AND(VLOOKUP(CA$1,main!$A$3:$H$102,7,FALSE)=main!$G$105,VLOOKUP(CA$1,main!$A$3:$H$102,5,FALSE)-VLOOKUP($A231,main!$A$3:$H$102,6,FALSE)&gt;=main!$D$103+VLOOKUP(VLOOKUP(CA$1,main!$A$3:$I$102,7,FALSE),main!$K$26:$Q$29,5,FALSE)),1,0)</f>
        <v>0</v>
      </c>
      <c r="CB231">
        <f>IF(AND(VLOOKUP(CB$1,main!$A$3:$H$102,7,FALSE)=main!$G$105,VLOOKUP(CB$1,main!$A$3:$H$102,5,FALSE)-VLOOKUP($A231,main!$A$3:$H$102,6,FALSE)&gt;=main!$D$103+VLOOKUP(VLOOKUP(CB$1,main!$A$3:$I$102,7,FALSE),main!$K$26:$Q$29,5,FALSE)),1,0)</f>
        <v>0</v>
      </c>
      <c r="CC231">
        <f>IF(AND(VLOOKUP(CC$1,main!$A$3:$H$102,7,FALSE)=main!$G$105,VLOOKUP(CC$1,main!$A$3:$H$102,5,FALSE)-VLOOKUP($A231,main!$A$3:$H$102,6,FALSE)&gt;=main!$D$103+VLOOKUP(VLOOKUP(CC$1,main!$A$3:$I$102,7,FALSE),main!$K$26:$Q$29,5,FALSE)),1,0)</f>
        <v>0</v>
      </c>
      <c r="CD231">
        <f>IF(AND(VLOOKUP(CD$1,main!$A$3:$H$102,7,FALSE)=main!$G$105,VLOOKUP(CD$1,main!$A$3:$H$102,5,FALSE)-VLOOKUP($A231,main!$A$3:$H$102,6,FALSE)&gt;=main!$D$103+VLOOKUP(VLOOKUP(CD$1,main!$A$3:$I$102,7,FALSE),main!$K$26:$Q$29,5,FALSE)),1,0)</f>
        <v>0</v>
      </c>
      <c r="CE231">
        <f>IF(AND(VLOOKUP(CE$1,main!$A$3:$H$102,7,FALSE)=main!$G$105,VLOOKUP(CE$1,main!$A$3:$H$102,5,FALSE)-VLOOKUP($A231,main!$A$3:$H$102,6,FALSE)&gt;=main!$D$103+VLOOKUP(VLOOKUP(CE$1,main!$A$3:$I$102,7,FALSE),main!$K$26:$Q$29,5,FALSE)),1,0)</f>
        <v>0</v>
      </c>
      <c r="CF231">
        <f>IF(AND(VLOOKUP(CF$1,main!$A$3:$H$102,7,FALSE)=main!$G$105,VLOOKUP(CF$1,main!$A$3:$H$102,5,FALSE)-VLOOKUP($A231,main!$A$3:$H$102,6,FALSE)&gt;=main!$D$103+VLOOKUP(VLOOKUP(CF$1,main!$A$3:$I$102,7,FALSE),main!$K$26:$Q$29,5,FALSE)),1,0)</f>
        <v>0</v>
      </c>
      <c r="CG231">
        <f>IF(AND(VLOOKUP(CG$1,main!$A$3:$H$102,7,FALSE)=main!$G$105,VLOOKUP(CG$1,main!$A$3:$H$102,5,FALSE)-VLOOKUP($A231,main!$A$3:$H$102,6,FALSE)&gt;=main!$D$103+VLOOKUP(VLOOKUP(CG$1,main!$A$3:$I$102,7,FALSE),main!$K$26:$Q$29,5,FALSE)),1,0)</f>
        <v>0</v>
      </c>
      <c r="CH231">
        <f>IF(AND(VLOOKUP(CH$1,main!$A$3:$H$102,7,FALSE)=main!$G$105,VLOOKUP(CH$1,main!$A$3:$H$102,5,FALSE)-VLOOKUP($A231,main!$A$3:$H$102,6,FALSE)&gt;=main!$D$103+VLOOKUP(VLOOKUP(CH$1,main!$A$3:$I$102,7,FALSE),main!$K$26:$Q$29,5,FALSE)),1,0)</f>
        <v>0</v>
      </c>
      <c r="CI231">
        <f>IF(AND(VLOOKUP(CI$1,main!$A$3:$H$102,7,FALSE)=main!$G$105,VLOOKUP(CI$1,main!$A$3:$H$102,5,FALSE)-VLOOKUP($A231,main!$A$3:$H$102,6,FALSE)&gt;=main!$D$103+VLOOKUP(VLOOKUP(CI$1,main!$A$3:$I$102,7,FALSE),main!$K$26:$Q$29,5,FALSE)),1,0)</f>
        <v>0</v>
      </c>
      <c r="CJ231">
        <f>IF(AND(VLOOKUP(CJ$1,main!$A$3:$H$102,7,FALSE)=main!$G$105,VLOOKUP(CJ$1,main!$A$3:$H$102,5,FALSE)-VLOOKUP($A231,main!$A$3:$H$102,6,FALSE)&gt;=main!$D$103+VLOOKUP(VLOOKUP(CJ$1,main!$A$3:$I$102,7,FALSE),main!$K$26:$Q$29,5,FALSE)),1,0)</f>
        <v>0</v>
      </c>
      <c r="CK231">
        <f>IF(AND(VLOOKUP(CK$1,main!$A$3:$H$102,7,FALSE)=main!$G$105,VLOOKUP(CK$1,main!$A$3:$H$102,5,FALSE)-VLOOKUP($A231,main!$A$3:$H$102,6,FALSE)&gt;=main!$D$103+VLOOKUP(VLOOKUP(CK$1,main!$A$3:$I$102,7,FALSE),main!$K$26:$Q$29,5,FALSE)),1,0)</f>
        <v>0</v>
      </c>
      <c r="CL231">
        <f>IF(AND(VLOOKUP(CL$1,main!$A$3:$H$102,7,FALSE)=main!$G$105,VLOOKUP(CL$1,main!$A$3:$H$102,5,FALSE)-VLOOKUP($A231,main!$A$3:$H$102,6,FALSE)&gt;=main!$D$103+VLOOKUP(VLOOKUP(CL$1,main!$A$3:$I$102,7,FALSE),main!$K$26:$Q$29,5,FALSE)),1,0)</f>
        <v>0</v>
      </c>
      <c r="CM231">
        <f>IF(AND(VLOOKUP(CM$1,main!$A$3:$H$102,7,FALSE)=main!$G$105,VLOOKUP(CM$1,main!$A$3:$H$102,5,FALSE)-VLOOKUP($A231,main!$A$3:$H$102,6,FALSE)&gt;=main!$D$103+VLOOKUP(VLOOKUP(CM$1,main!$A$3:$I$102,7,FALSE),main!$K$26:$Q$29,5,FALSE)),1,0)</f>
        <v>0</v>
      </c>
      <c r="CN231">
        <f>IF(AND(VLOOKUP(CN$1,main!$A$3:$H$102,7,FALSE)=main!$G$105,VLOOKUP(CN$1,main!$A$3:$H$102,5,FALSE)-VLOOKUP($A231,main!$A$3:$H$102,6,FALSE)&gt;=main!$D$103+VLOOKUP(VLOOKUP(CN$1,main!$A$3:$I$102,7,FALSE),main!$K$26:$Q$29,5,FALSE)),1,0)</f>
        <v>0</v>
      </c>
      <c r="CO231">
        <f>IF(AND(VLOOKUP(CO$1,main!$A$3:$H$102,7,FALSE)=main!$G$105,VLOOKUP(CO$1,main!$A$3:$H$102,5,FALSE)-VLOOKUP($A231,main!$A$3:$H$102,6,FALSE)&gt;=main!$D$103+VLOOKUP(VLOOKUP(CO$1,main!$A$3:$I$102,7,FALSE),main!$K$26:$Q$29,5,FALSE)),1,0)</f>
        <v>0</v>
      </c>
      <c r="CP231">
        <f>IF(AND(VLOOKUP(CP$1,main!$A$3:$H$102,7,FALSE)=main!$G$105,VLOOKUP(CP$1,main!$A$3:$H$102,5,FALSE)-VLOOKUP($A231,main!$A$3:$H$102,6,FALSE)&gt;=main!$D$103+VLOOKUP(VLOOKUP(CP$1,main!$A$3:$I$102,7,FALSE),main!$K$26:$Q$29,5,FALSE)),1,0)</f>
        <v>0</v>
      </c>
      <c r="CQ231">
        <f>IF(AND(VLOOKUP(CQ$1,main!$A$3:$H$102,7,FALSE)=main!$G$105,VLOOKUP(CQ$1,main!$A$3:$H$102,5,FALSE)-VLOOKUP($A231,main!$A$3:$H$102,6,FALSE)&gt;=main!$D$103+VLOOKUP(VLOOKUP(CQ$1,main!$A$3:$I$102,7,FALSE),main!$K$26:$Q$29,5,FALSE)),1,0)</f>
        <v>0</v>
      </c>
      <c r="CR231">
        <f>IF(AND(VLOOKUP(CR$1,main!$A$3:$H$102,7,FALSE)=main!$G$105,VLOOKUP(CR$1,main!$A$3:$H$102,5,FALSE)-VLOOKUP($A231,main!$A$3:$H$102,6,FALSE)&gt;=main!$D$103+VLOOKUP(VLOOKUP(CR$1,main!$A$3:$I$102,7,FALSE),main!$K$26:$Q$29,5,FALSE)),1,0)</f>
        <v>0</v>
      </c>
      <c r="CS231">
        <f>IF(AND(VLOOKUP(CS$1,main!$A$3:$H$102,7,FALSE)=main!$G$105,VLOOKUP(CS$1,main!$A$3:$H$102,5,FALSE)-VLOOKUP($A231,main!$A$3:$H$102,6,FALSE)&gt;=main!$D$103+VLOOKUP(VLOOKUP(CS$1,main!$A$3:$I$102,7,FALSE),main!$K$26:$Q$29,5,FALSE)),1,0)</f>
        <v>0</v>
      </c>
      <c r="CT231">
        <f>IF(AND(VLOOKUP(CT$1,main!$A$3:$H$102,7,FALSE)=main!$G$105,VLOOKUP(CT$1,main!$A$3:$H$102,5,FALSE)-VLOOKUP($A231,main!$A$3:$H$102,6,FALSE)&gt;=main!$D$103+VLOOKUP(VLOOKUP(CT$1,main!$A$3:$I$102,7,FALSE),main!$K$26:$Q$29,5,FALSE)),1,0)</f>
        <v>0</v>
      </c>
      <c r="CU231">
        <f>IF(AND(VLOOKUP(CU$1,main!$A$3:$H$102,7,FALSE)=main!$G$105,VLOOKUP(CU$1,main!$A$3:$H$102,5,FALSE)-VLOOKUP($A231,main!$A$3:$H$102,6,FALSE)&gt;=main!$D$103+VLOOKUP(VLOOKUP(CU$1,main!$A$3:$I$102,7,FALSE),main!$K$26:$Q$29,5,FALSE)),1,0)</f>
        <v>0</v>
      </c>
      <c r="CV231">
        <f>IF(AND(VLOOKUP(CV$1,main!$A$3:$H$102,7,FALSE)=main!$G$105,VLOOKUP(CV$1,main!$A$3:$H$102,5,FALSE)-VLOOKUP($A231,main!$A$3:$H$102,6,FALSE)&gt;=main!$D$103+VLOOKUP(VLOOKUP(CV$1,main!$A$3:$I$102,7,FALSE),main!$K$26:$Q$29,5,FALSE)),1,0)</f>
        <v>0</v>
      </c>
      <c r="CW231">
        <f>IF(AND(VLOOKUP(CW$1,main!$A$3:$H$102,7,FALSE)=main!$G$105,VLOOKUP(CW$1,main!$A$3:$H$102,5,FALSE)-VLOOKUP($A231,main!$A$3:$H$102,6,FALSE)&gt;=main!$D$103+VLOOKUP(VLOOKUP(CW$1,main!$A$3:$I$102,7,FALSE),main!$K$26:$Q$29,5,FALSE)),1,0)</f>
        <v>0</v>
      </c>
      <c r="CX231">
        <f>IF(AND(VLOOKUP(CX$1,main!$A$3:$H$102,7,FALSE)=main!$G$105,VLOOKUP(CX$1,main!$A$3:$H$102,5,FALSE)-VLOOKUP($A231,main!$A$3:$H$102,6,FALSE)&gt;=main!$D$103+VLOOKUP(VLOOKUP(CX$1,main!$A$3:$I$102,7,FALSE),main!$K$26:$Q$29,5,FALSE)),1,0)</f>
        <v>0</v>
      </c>
    </row>
    <row r="232" spans="1:102" x14ac:dyDescent="0.25">
      <c r="A232" s="1">
        <v>28</v>
      </c>
      <c r="B232">
        <v>0</v>
      </c>
      <c r="C232">
        <f>IF(AND(VLOOKUP(C$1,main!$A$3:$H$102,7,FALSE)=main!$G$105,VLOOKUP(C$1,main!$A$3:$H$102,5,FALSE)-VLOOKUP($A232,main!$A$3:$H$102,6,FALSE)&gt;=main!$D$103+VLOOKUP(VLOOKUP(C$1,main!$A$3:$I$102,7,FALSE),main!$K$26:$Q$29,5,FALSE)),1,0)</f>
        <v>0</v>
      </c>
      <c r="D232">
        <f>IF(AND(VLOOKUP(D$1,main!$A$3:$H$102,7,FALSE)=main!$G$105,VLOOKUP(D$1,main!$A$3:$H$102,5,FALSE)-VLOOKUP($A232,main!$A$3:$H$102,6,FALSE)&gt;=main!$D$103+VLOOKUP(VLOOKUP(D$1,main!$A$3:$I$102,7,FALSE),main!$K$26:$Q$29,5,FALSE)),1,0)</f>
        <v>0</v>
      </c>
      <c r="E232">
        <f>IF(AND(VLOOKUP(E$1,main!$A$3:$H$102,7,FALSE)=main!$G$105,VLOOKUP(E$1,main!$A$3:$H$102,5,FALSE)-VLOOKUP($A232,main!$A$3:$H$102,6,FALSE)&gt;=main!$D$103+VLOOKUP(VLOOKUP(E$1,main!$A$3:$I$102,7,FALSE),main!$K$26:$Q$29,5,FALSE)),1,0)</f>
        <v>0</v>
      </c>
      <c r="F232">
        <f>IF(AND(VLOOKUP(F$1,main!$A$3:$H$102,7,FALSE)=main!$G$105,VLOOKUP(F$1,main!$A$3:$H$102,5,FALSE)-VLOOKUP($A232,main!$A$3:$H$102,6,FALSE)&gt;=main!$D$103+VLOOKUP(VLOOKUP(F$1,main!$A$3:$I$102,7,FALSE),main!$K$26:$Q$29,5,FALSE)),1,0)</f>
        <v>0</v>
      </c>
      <c r="G232">
        <f>IF(AND(VLOOKUP(G$1,main!$A$3:$H$102,7,FALSE)=main!$G$105,VLOOKUP(G$1,main!$A$3:$H$102,5,FALSE)-VLOOKUP($A232,main!$A$3:$H$102,6,FALSE)&gt;=main!$D$103+VLOOKUP(VLOOKUP(G$1,main!$A$3:$I$102,7,FALSE),main!$K$26:$Q$29,5,FALSE)),1,0)</f>
        <v>0</v>
      </c>
      <c r="H232">
        <f>IF(AND(VLOOKUP(H$1,main!$A$3:$H$102,7,FALSE)=main!$G$105,VLOOKUP(H$1,main!$A$3:$H$102,5,FALSE)-VLOOKUP($A232,main!$A$3:$H$102,6,FALSE)&gt;=main!$D$103+VLOOKUP(VLOOKUP(H$1,main!$A$3:$I$102,7,FALSE),main!$K$26:$Q$29,5,FALSE)),1,0)</f>
        <v>0</v>
      </c>
      <c r="I232">
        <f>IF(AND(VLOOKUP(I$1,main!$A$3:$H$102,7,FALSE)=main!$G$105,VLOOKUP(I$1,main!$A$3:$H$102,5,FALSE)-VLOOKUP($A232,main!$A$3:$H$102,6,FALSE)&gt;=main!$D$103+VLOOKUP(VLOOKUP(I$1,main!$A$3:$I$102,7,FALSE),main!$K$26:$Q$29,5,FALSE)),1,0)</f>
        <v>0</v>
      </c>
      <c r="J232">
        <f>IF(AND(VLOOKUP(J$1,main!$A$3:$H$102,7,FALSE)=main!$G$105,VLOOKUP(J$1,main!$A$3:$H$102,5,FALSE)-VLOOKUP($A232,main!$A$3:$H$102,6,FALSE)&gt;=main!$D$103+VLOOKUP(VLOOKUP(J$1,main!$A$3:$I$102,7,FALSE),main!$K$26:$Q$29,5,FALSE)),1,0)</f>
        <v>0</v>
      </c>
      <c r="K232">
        <f>IF(AND(VLOOKUP(K$1,main!$A$3:$H$102,7,FALSE)=main!$G$105,VLOOKUP(K$1,main!$A$3:$H$102,5,FALSE)-VLOOKUP($A232,main!$A$3:$H$102,6,FALSE)&gt;=main!$D$103+VLOOKUP(VLOOKUP(K$1,main!$A$3:$I$102,7,FALSE),main!$K$26:$Q$29,5,FALSE)),1,0)</f>
        <v>0</v>
      </c>
      <c r="L232">
        <f>IF(AND(VLOOKUP(L$1,main!$A$3:$H$102,7,FALSE)=main!$G$105,VLOOKUP(L$1,main!$A$3:$H$102,5,FALSE)-VLOOKUP($A232,main!$A$3:$H$102,6,FALSE)&gt;=main!$D$103+VLOOKUP(VLOOKUP(L$1,main!$A$3:$I$102,7,FALSE),main!$K$26:$Q$29,5,FALSE)),1,0)</f>
        <v>0</v>
      </c>
      <c r="M232">
        <f>IF(AND(VLOOKUP(M$1,main!$A$3:$H$102,7,FALSE)=main!$G$105,VLOOKUP(M$1,main!$A$3:$H$102,5,FALSE)-VLOOKUP($A232,main!$A$3:$H$102,6,FALSE)&gt;=main!$D$103+VLOOKUP(VLOOKUP(M$1,main!$A$3:$I$102,7,FALSE),main!$K$26:$Q$29,5,FALSE)),1,0)</f>
        <v>0</v>
      </c>
      <c r="N232">
        <f>IF(AND(VLOOKUP(N$1,main!$A$3:$H$102,7,FALSE)=main!$G$105,VLOOKUP(N$1,main!$A$3:$H$102,5,FALSE)-VLOOKUP($A232,main!$A$3:$H$102,6,FALSE)&gt;=main!$D$103+VLOOKUP(VLOOKUP(N$1,main!$A$3:$I$102,7,FALSE),main!$K$26:$Q$29,5,FALSE)),1,0)</f>
        <v>0</v>
      </c>
      <c r="O232">
        <f>IF(AND(VLOOKUP(O$1,main!$A$3:$H$102,7,FALSE)=main!$G$105,VLOOKUP(O$1,main!$A$3:$H$102,5,FALSE)-VLOOKUP($A232,main!$A$3:$H$102,6,FALSE)&gt;=main!$D$103+VLOOKUP(VLOOKUP(O$1,main!$A$3:$I$102,7,FALSE),main!$K$26:$Q$29,5,FALSE)),1,0)</f>
        <v>0</v>
      </c>
      <c r="P232">
        <f>IF(AND(VLOOKUP(P$1,main!$A$3:$H$102,7,FALSE)=main!$G$105,VLOOKUP(P$1,main!$A$3:$H$102,5,FALSE)-VLOOKUP($A232,main!$A$3:$H$102,6,FALSE)&gt;=main!$D$103+VLOOKUP(VLOOKUP(P$1,main!$A$3:$I$102,7,FALSE),main!$K$26:$Q$29,5,FALSE)),1,0)</f>
        <v>0</v>
      </c>
      <c r="Q232">
        <f>IF(AND(VLOOKUP(Q$1,main!$A$3:$H$102,7,FALSE)=main!$G$105,VLOOKUP(Q$1,main!$A$3:$H$102,5,FALSE)-VLOOKUP($A232,main!$A$3:$H$102,6,FALSE)&gt;=main!$D$103+VLOOKUP(VLOOKUP(Q$1,main!$A$3:$I$102,7,FALSE),main!$K$26:$Q$29,5,FALSE)),1,0)</f>
        <v>0</v>
      </c>
      <c r="R232">
        <f>IF(AND(VLOOKUP(R$1,main!$A$3:$H$102,7,FALSE)=main!$G$105,VLOOKUP(R$1,main!$A$3:$H$102,5,FALSE)-VLOOKUP($A232,main!$A$3:$H$102,6,FALSE)&gt;=main!$D$103+VLOOKUP(VLOOKUP(R$1,main!$A$3:$I$102,7,FALSE),main!$K$26:$Q$29,5,FALSE)),1,0)</f>
        <v>0</v>
      </c>
      <c r="S232">
        <f>IF(AND(VLOOKUP(S$1,main!$A$3:$H$102,7,FALSE)=main!$G$105,VLOOKUP(S$1,main!$A$3:$H$102,5,FALSE)-VLOOKUP($A232,main!$A$3:$H$102,6,FALSE)&gt;=main!$D$103+VLOOKUP(VLOOKUP(S$1,main!$A$3:$I$102,7,FALSE),main!$K$26:$Q$29,5,FALSE)),1,0)</f>
        <v>0</v>
      </c>
      <c r="T232">
        <f>IF(AND(VLOOKUP(T$1,main!$A$3:$H$102,7,FALSE)=main!$G$105,VLOOKUP(T$1,main!$A$3:$H$102,5,FALSE)-VLOOKUP($A232,main!$A$3:$H$102,6,FALSE)&gt;=main!$D$103+VLOOKUP(VLOOKUP(T$1,main!$A$3:$I$102,7,FALSE),main!$K$26:$Q$29,5,FALSE)),1,0)</f>
        <v>0</v>
      </c>
      <c r="U232">
        <f>IF(AND(VLOOKUP(U$1,main!$A$3:$H$102,7,FALSE)=main!$G$105,VLOOKUP(U$1,main!$A$3:$H$102,5,FALSE)-VLOOKUP($A232,main!$A$3:$H$102,6,FALSE)&gt;=main!$D$103+VLOOKUP(VLOOKUP(U$1,main!$A$3:$I$102,7,FALSE),main!$K$26:$Q$29,5,FALSE)),1,0)</f>
        <v>0</v>
      </c>
      <c r="V232">
        <f>IF(AND(VLOOKUP(V$1,main!$A$3:$H$102,7,FALSE)=main!$G$105,VLOOKUP(V$1,main!$A$3:$H$102,5,FALSE)-VLOOKUP($A232,main!$A$3:$H$102,6,FALSE)&gt;=main!$D$103+VLOOKUP(VLOOKUP(V$1,main!$A$3:$I$102,7,FALSE),main!$K$26:$Q$29,5,FALSE)),1,0)</f>
        <v>0</v>
      </c>
      <c r="W232">
        <f>IF(AND(VLOOKUP(W$1,main!$A$3:$H$102,7,FALSE)=main!$G$105,VLOOKUP(W$1,main!$A$3:$H$102,5,FALSE)-VLOOKUP($A232,main!$A$3:$H$102,6,FALSE)&gt;=main!$D$103+VLOOKUP(VLOOKUP(W$1,main!$A$3:$I$102,7,FALSE),main!$K$26:$Q$29,5,FALSE)),1,0)</f>
        <v>0</v>
      </c>
      <c r="X232">
        <f>IF(AND(VLOOKUP(X$1,main!$A$3:$H$102,7,FALSE)=main!$G$105,VLOOKUP(X$1,main!$A$3:$H$102,5,FALSE)-VLOOKUP($A232,main!$A$3:$H$102,6,FALSE)&gt;=main!$D$103+VLOOKUP(VLOOKUP(X$1,main!$A$3:$I$102,7,FALSE),main!$K$26:$Q$29,5,FALSE)),1,0)</f>
        <v>0</v>
      </c>
      <c r="Y232">
        <f>IF(AND(VLOOKUP(Y$1,main!$A$3:$H$102,7,FALSE)=main!$G$105,VLOOKUP(Y$1,main!$A$3:$H$102,5,FALSE)-VLOOKUP($A232,main!$A$3:$H$102,6,FALSE)&gt;=main!$D$103+VLOOKUP(VLOOKUP(Y$1,main!$A$3:$I$102,7,FALSE),main!$K$26:$Q$29,5,FALSE)),1,0)</f>
        <v>0</v>
      </c>
      <c r="Z232">
        <f>IF(AND(VLOOKUP(Z$1,main!$A$3:$H$102,7,FALSE)=main!$G$105,VLOOKUP(Z$1,main!$A$3:$H$102,5,FALSE)-VLOOKUP($A232,main!$A$3:$H$102,6,FALSE)&gt;=main!$D$103+VLOOKUP(VLOOKUP(Z$1,main!$A$3:$I$102,7,FALSE),main!$K$26:$Q$29,5,FALSE)),1,0)</f>
        <v>0</v>
      </c>
      <c r="AA232">
        <f>IF(AND(VLOOKUP(AA$1,main!$A$3:$H$102,7,FALSE)=main!$G$105,VLOOKUP(AA$1,main!$A$3:$H$102,5,FALSE)-VLOOKUP($A232,main!$A$3:$H$102,6,FALSE)&gt;=main!$D$103+VLOOKUP(VLOOKUP(AA$1,main!$A$3:$I$102,7,FALSE),main!$K$26:$Q$29,5,FALSE)),1,0)</f>
        <v>0</v>
      </c>
      <c r="AB232">
        <f>IF(AND(VLOOKUP(AB$1,main!$A$3:$H$102,7,FALSE)=main!$G$105,VLOOKUP(AB$1,main!$A$3:$H$102,5,FALSE)-VLOOKUP($A232,main!$A$3:$H$102,6,FALSE)&gt;=main!$D$103+VLOOKUP(VLOOKUP(AB$1,main!$A$3:$I$102,7,FALSE),main!$K$26:$Q$29,5,FALSE)),1,0)</f>
        <v>0</v>
      </c>
      <c r="AC232">
        <f>IF(AND(VLOOKUP(AC$1,main!$A$3:$H$102,7,FALSE)=main!$G$105,VLOOKUP(AC$1,main!$A$3:$H$102,5,FALSE)-VLOOKUP($A232,main!$A$3:$H$102,6,FALSE)&gt;=main!$D$103+VLOOKUP(VLOOKUP(AC$1,main!$A$3:$I$102,7,FALSE),main!$K$26:$Q$29,5,FALSE)),1,0)</f>
        <v>0</v>
      </c>
      <c r="AD232">
        <f>IF(AND(VLOOKUP(AD$1,main!$A$3:$H$102,7,FALSE)=main!$G$105,VLOOKUP(AD$1,main!$A$3:$H$102,5,FALSE)-VLOOKUP($A232,main!$A$3:$H$102,6,FALSE)&gt;=main!$D$103+VLOOKUP(VLOOKUP(AD$1,main!$A$3:$I$102,7,FALSE),main!$K$26:$Q$29,5,FALSE)),1,0)</f>
        <v>0</v>
      </c>
      <c r="AE232">
        <f>IF(AND(VLOOKUP(AE$1,main!$A$3:$H$102,7,FALSE)=main!$G$105,VLOOKUP(AE$1,main!$A$3:$H$102,5,FALSE)-VLOOKUP($A232,main!$A$3:$H$102,6,FALSE)&gt;=main!$D$103+VLOOKUP(VLOOKUP(AE$1,main!$A$3:$I$102,7,FALSE),main!$K$26:$Q$29,5,FALSE)),1,0)</f>
        <v>0</v>
      </c>
      <c r="AF232">
        <f>IF(AND(VLOOKUP(AF$1,main!$A$3:$H$102,7,FALSE)=main!$G$105,VLOOKUP(AF$1,main!$A$3:$H$102,5,FALSE)-VLOOKUP($A232,main!$A$3:$H$102,6,FALSE)&gt;=main!$D$103+VLOOKUP(VLOOKUP(AF$1,main!$A$3:$I$102,7,FALSE),main!$K$26:$Q$29,5,FALSE)),1,0)</f>
        <v>0</v>
      </c>
      <c r="AG232">
        <f>IF(AND(VLOOKUP(AG$1,main!$A$3:$H$102,7,FALSE)=main!$G$105,VLOOKUP(AG$1,main!$A$3:$H$102,5,FALSE)-VLOOKUP($A232,main!$A$3:$H$102,6,FALSE)&gt;=main!$D$103+VLOOKUP(VLOOKUP(AG$1,main!$A$3:$I$102,7,FALSE),main!$K$26:$Q$29,5,FALSE)),1,0)</f>
        <v>0</v>
      </c>
      <c r="AH232">
        <f>IF(AND(VLOOKUP(AH$1,main!$A$3:$H$102,7,FALSE)=main!$G$105,VLOOKUP(AH$1,main!$A$3:$H$102,5,FALSE)-VLOOKUP($A232,main!$A$3:$H$102,6,FALSE)&gt;=main!$D$103+VLOOKUP(VLOOKUP(AH$1,main!$A$3:$I$102,7,FALSE),main!$K$26:$Q$29,5,FALSE)),1,0)</f>
        <v>0</v>
      </c>
      <c r="AI232">
        <f>IF(AND(VLOOKUP(AI$1,main!$A$3:$H$102,7,FALSE)=main!$G$105,VLOOKUP(AI$1,main!$A$3:$H$102,5,FALSE)-VLOOKUP($A232,main!$A$3:$H$102,6,FALSE)&gt;=main!$D$103+VLOOKUP(VLOOKUP(AI$1,main!$A$3:$I$102,7,FALSE),main!$K$26:$Q$29,5,FALSE)),1,0)</f>
        <v>0</v>
      </c>
      <c r="AJ232">
        <f>IF(AND(VLOOKUP(AJ$1,main!$A$3:$H$102,7,FALSE)=main!$G$105,VLOOKUP(AJ$1,main!$A$3:$H$102,5,FALSE)-VLOOKUP($A232,main!$A$3:$H$102,6,FALSE)&gt;=main!$D$103+VLOOKUP(VLOOKUP(AJ$1,main!$A$3:$I$102,7,FALSE),main!$K$26:$Q$29,5,FALSE)),1,0)</f>
        <v>0</v>
      </c>
      <c r="AK232">
        <f>IF(AND(VLOOKUP(AK$1,main!$A$3:$H$102,7,FALSE)=main!$G$105,VLOOKUP(AK$1,main!$A$3:$H$102,5,FALSE)-VLOOKUP($A232,main!$A$3:$H$102,6,FALSE)&gt;=main!$D$103+VLOOKUP(VLOOKUP(AK$1,main!$A$3:$I$102,7,FALSE),main!$K$26:$Q$29,5,FALSE)),1,0)</f>
        <v>0</v>
      </c>
      <c r="AL232">
        <f>IF(AND(VLOOKUP(AL$1,main!$A$3:$H$102,7,FALSE)=main!$G$105,VLOOKUP(AL$1,main!$A$3:$H$102,5,FALSE)-VLOOKUP($A232,main!$A$3:$H$102,6,FALSE)&gt;=main!$D$103+VLOOKUP(VLOOKUP(AL$1,main!$A$3:$I$102,7,FALSE),main!$K$26:$Q$29,5,FALSE)),1,0)</f>
        <v>1</v>
      </c>
      <c r="AM232">
        <f>IF(AND(VLOOKUP(AM$1,main!$A$3:$H$102,7,FALSE)=main!$G$105,VLOOKUP(AM$1,main!$A$3:$H$102,5,FALSE)-VLOOKUP($A232,main!$A$3:$H$102,6,FALSE)&gt;=main!$D$103+VLOOKUP(VLOOKUP(AM$1,main!$A$3:$I$102,7,FALSE),main!$K$26:$Q$29,5,FALSE)),1,0)</f>
        <v>1</v>
      </c>
      <c r="AN232">
        <f>IF(AND(VLOOKUP(AN$1,main!$A$3:$H$102,7,FALSE)=main!$G$105,VLOOKUP(AN$1,main!$A$3:$H$102,5,FALSE)-VLOOKUP($A232,main!$A$3:$H$102,6,FALSE)&gt;=main!$D$103+VLOOKUP(VLOOKUP(AN$1,main!$A$3:$I$102,7,FALSE),main!$K$26:$Q$29,5,FALSE)),1,0)</f>
        <v>1</v>
      </c>
      <c r="AO232">
        <f>IF(AND(VLOOKUP(AO$1,main!$A$3:$H$102,7,FALSE)=main!$G$105,VLOOKUP(AO$1,main!$A$3:$H$102,5,FALSE)-VLOOKUP($A232,main!$A$3:$H$102,6,FALSE)&gt;=main!$D$103+VLOOKUP(VLOOKUP(AO$1,main!$A$3:$I$102,7,FALSE),main!$K$26:$Q$29,5,FALSE)),1,0)</f>
        <v>0</v>
      </c>
      <c r="AP232">
        <f>IF(AND(VLOOKUP(AP$1,main!$A$3:$H$102,7,FALSE)=main!$G$105,VLOOKUP(AP$1,main!$A$3:$H$102,5,FALSE)-VLOOKUP($A232,main!$A$3:$H$102,6,FALSE)&gt;=main!$D$103+VLOOKUP(VLOOKUP(AP$1,main!$A$3:$I$102,7,FALSE),main!$K$26:$Q$29,5,FALSE)),1,0)</f>
        <v>1</v>
      </c>
      <c r="AQ232">
        <f>IF(AND(VLOOKUP(AQ$1,main!$A$3:$H$102,7,FALSE)=main!$G$105,VLOOKUP(AQ$1,main!$A$3:$H$102,5,FALSE)-VLOOKUP($A232,main!$A$3:$H$102,6,FALSE)&gt;=main!$D$103+VLOOKUP(VLOOKUP(AQ$1,main!$A$3:$I$102,7,FALSE),main!$K$26:$Q$29,5,FALSE)),1,0)</f>
        <v>0</v>
      </c>
      <c r="AR232">
        <f>IF(AND(VLOOKUP(AR$1,main!$A$3:$H$102,7,FALSE)=main!$G$105,VLOOKUP(AR$1,main!$A$3:$H$102,5,FALSE)-VLOOKUP($A232,main!$A$3:$H$102,6,FALSE)&gt;=main!$D$103+VLOOKUP(VLOOKUP(AR$1,main!$A$3:$I$102,7,FALSE),main!$K$26:$Q$29,5,FALSE)),1,0)</f>
        <v>0</v>
      </c>
      <c r="AS232">
        <f>IF(AND(VLOOKUP(AS$1,main!$A$3:$H$102,7,FALSE)=main!$G$105,VLOOKUP(AS$1,main!$A$3:$H$102,5,FALSE)-VLOOKUP($A232,main!$A$3:$H$102,6,FALSE)&gt;=main!$D$103+VLOOKUP(VLOOKUP(AS$1,main!$A$3:$I$102,7,FALSE),main!$K$26:$Q$29,5,FALSE)),1,0)</f>
        <v>0</v>
      </c>
      <c r="AT232">
        <f>IF(AND(VLOOKUP(AT$1,main!$A$3:$H$102,7,FALSE)=main!$G$105,VLOOKUP(AT$1,main!$A$3:$H$102,5,FALSE)-VLOOKUP($A232,main!$A$3:$H$102,6,FALSE)&gt;=main!$D$103+VLOOKUP(VLOOKUP(AT$1,main!$A$3:$I$102,7,FALSE),main!$K$26:$Q$29,5,FALSE)),1,0)</f>
        <v>1</v>
      </c>
      <c r="AU232">
        <f>IF(AND(VLOOKUP(AU$1,main!$A$3:$H$102,7,FALSE)=main!$G$105,VLOOKUP(AU$1,main!$A$3:$H$102,5,FALSE)-VLOOKUP($A232,main!$A$3:$H$102,6,FALSE)&gt;=main!$D$103+VLOOKUP(VLOOKUP(AU$1,main!$A$3:$I$102,7,FALSE),main!$K$26:$Q$29,5,FALSE)),1,0)</f>
        <v>0</v>
      </c>
      <c r="AV232">
        <f>IF(AND(VLOOKUP(AV$1,main!$A$3:$H$102,7,FALSE)=main!$G$105,VLOOKUP(AV$1,main!$A$3:$H$102,5,FALSE)-VLOOKUP($A232,main!$A$3:$H$102,6,FALSE)&gt;=main!$D$103+VLOOKUP(VLOOKUP(AV$1,main!$A$3:$I$102,7,FALSE),main!$K$26:$Q$29,5,FALSE)),1,0)</f>
        <v>0</v>
      </c>
      <c r="AW232">
        <f>IF(AND(VLOOKUP(AW$1,main!$A$3:$H$102,7,FALSE)=main!$G$105,VLOOKUP(AW$1,main!$A$3:$H$102,5,FALSE)-VLOOKUP($A232,main!$A$3:$H$102,6,FALSE)&gt;=main!$D$103+VLOOKUP(VLOOKUP(AW$1,main!$A$3:$I$102,7,FALSE),main!$K$26:$Q$29,5,FALSE)),1,0)</f>
        <v>0</v>
      </c>
      <c r="AX232">
        <f>IF(AND(VLOOKUP(AX$1,main!$A$3:$H$102,7,FALSE)=main!$G$105,VLOOKUP(AX$1,main!$A$3:$H$102,5,FALSE)-VLOOKUP($A232,main!$A$3:$H$102,6,FALSE)&gt;=main!$D$103+VLOOKUP(VLOOKUP(AX$1,main!$A$3:$I$102,7,FALSE),main!$K$26:$Q$29,5,FALSE)),1,0)</f>
        <v>0</v>
      </c>
      <c r="AY232">
        <f>IF(AND(VLOOKUP(AY$1,main!$A$3:$H$102,7,FALSE)=main!$G$105,VLOOKUP(AY$1,main!$A$3:$H$102,5,FALSE)-VLOOKUP($A232,main!$A$3:$H$102,6,FALSE)&gt;=main!$D$103+VLOOKUP(VLOOKUP(AY$1,main!$A$3:$I$102,7,FALSE),main!$K$26:$Q$29,5,FALSE)),1,0)</f>
        <v>0</v>
      </c>
      <c r="AZ232">
        <f>IF(AND(VLOOKUP(AZ$1,main!$A$3:$H$102,7,FALSE)=main!$G$105,VLOOKUP(AZ$1,main!$A$3:$H$102,5,FALSE)-VLOOKUP($A232,main!$A$3:$H$102,6,FALSE)&gt;=main!$D$103+VLOOKUP(VLOOKUP(AZ$1,main!$A$3:$I$102,7,FALSE),main!$K$26:$Q$29,5,FALSE)),1,0)</f>
        <v>0</v>
      </c>
      <c r="BA232">
        <f>IF(AND(VLOOKUP(BA$1,main!$A$3:$H$102,7,FALSE)=main!$G$105,VLOOKUP(BA$1,main!$A$3:$H$102,5,FALSE)-VLOOKUP($A232,main!$A$3:$H$102,6,FALSE)&gt;=main!$D$103+VLOOKUP(VLOOKUP(BA$1,main!$A$3:$I$102,7,FALSE),main!$K$26:$Q$29,5,FALSE)),1,0)</f>
        <v>0</v>
      </c>
      <c r="BB232">
        <f>IF(AND(VLOOKUP(BB$1,main!$A$3:$H$102,7,FALSE)=main!$G$105,VLOOKUP(BB$1,main!$A$3:$H$102,5,FALSE)-VLOOKUP($A232,main!$A$3:$H$102,6,FALSE)&gt;=main!$D$103+VLOOKUP(VLOOKUP(BB$1,main!$A$3:$I$102,7,FALSE),main!$K$26:$Q$29,5,FALSE)),1,0)</f>
        <v>0</v>
      </c>
      <c r="BC232">
        <f>IF(AND(VLOOKUP(BC$1,main!$A$3:$H$102,7,FALSE)=main!$G$105,VLOOKUP(BC$1,main!$A$3:$H$102,5,FALSE)-VLOOKUP($A232,main!$A$3:$H$102,6,FALSE)&gt;=main!$D$103+VLOOKUP(VLOOKUP(BC$1,main!$A$3:$I$102,7,FALSE),main!$K$26:$Q$29,5,FALSE)),1,0)</f>
        <v>0</v>
      </c>
      <c r="BD232">
        <f>IF(AND(VLOOKUP(BD$1,main!$A$3:$H$102,7,FALSE)=main!$G$105,VLOOKUP(BD$1,main!$A$3:$H$102,5,FALSE)-VLOOKUP($A232,main!$A$3:$H$102,6,FALSE)&gt;=main!$D$103+VLOOKUP(VLOOKUP(BD$1,main!$A$3:$I$102,7,FALSE),main!$K$26:$Q$29,5,FALSE)),1,0)</f>
        <v>0</v>
      </c>
      <c r="BE232">
        <f>IF(AND(VLOOKUP(BE$1,main!$A$3:$H$102,7,FALSE)=main!$G$105,VLOOKUP(BE$1,main!$A$3:$H$102,5,FALSE)-VLOOKUP($A232,main!$A$3:$H$102,6,FALSE)&gt;=main!$D$103+VLOOKUP(VLOOKUP(BE$1,main!$A$3:$I$102,7,FALSE),main!$K$26:$Q$29,5,FALSE)),1,0)</f>
        <v>0</v>
      </c>
      <c r="BF232">
        <f>IF(AND(VLOOKUP(BF$1,main!$A$3:$H$102,7,FALSE)=main!$G$105,VLOOKUP(BF$1,main!$A$3:$H$102,5,FALSE)-VLOOKUP($A232,main!$A$3:$H$102,6,FALSE)&gt;=main!$D$103+VLOOKUP(VLOOKUP(BF$1,main!$A$3:$I$102,7,FALSE),main!$K$26:$Q$29,5,FALSE)),1,0)</f>
        <v>0</v>
      </c>
      <c r="BG232">
        <f>IF(AND(VLOOKUP(BG$1,main!$A$3:$H$102,7,FALSE)=main!$G$105,VLOOKUP(BG$1,main!$A$3:$H$102,5,FALSE)-VLOOKUP($A232,main!$A$3:$H$102,6,FALSE)&gt;=main!$D$103+VLOOKUP(VLOOKUP(BG$1,main!$A$3:$I$102,7,FALSE),main!$K$26:$Q$29,5,FALSE)),1,0)</f>
        <v>0</v>
      </c>
      <c r="BH232">
        <f>IF(AND(VLOOKUP(BH$1,main!$A$3:$H$102,7,FALSE)=main!$G$105,VLOOKUP(BH$1,main!$A$3:$H$102,5,FALSE)-VLOOKUP($A232,main!$A$3:$H$102,6,FALSE)&gt;=main!$D$103+VLOOKUP(VLOOKUP(BH$1,main!$A$3:$I$102,7,FALSE),main!$K$26:$Q$29,5,FALSE)),1,0)</f>
        <v>0</v>
      </c>
      <c r="BI232">
        <f>IF(AND(VLOOKUP(BI$1,main!$A$3:$H$102,7,FALSE)=main!$G$105,VLOOKUP(BI$1,main!$A$3:$H$102,5,FALSE)-VLOOKUP($A232,main!$A$3:$H$102,6,FALSE)&gt;=main!$D$103+VLOOKUP(VLOOKUP(BI$1,main!$A$3:$I$102,7,FALSE),main!$K$26:$Q$29,5,FALSE)),1,0)</f>
        <v>0</v>
      </c>
      <c r="BJ232">
        <f>IF(AND(VLOOKUP(BJ$1,main!$A$3:$H$102,7,FALSE)=main!$G$105,VLOOKUP(BJ$1,main!$A$3:$H$102,5,FALSE)-VLOOKUP($A232,main!$A$3:$H$102,6,FALSE)&gt;=main!$D$103+VLOOKUP(VLOOKUP(BJ$1,main!$A$3:$I$102,7,FALSE),main!$K$26:$Q$29,5,FALSE)),1,0)</f>
        <v>0</v>
      </c>
      <c r="BK232">
        <f>IF(AND(VLOOKUP(BK$1,main!$A$3:$H$102,7,FALSE)=main!$G$105,VLOOKUP(BK$1,main!$A$3:$H$102,5,FALSE)-VLOOKUP($A232,main!$A$3:$H$102,6,FALSE)&gt;=main!$D$103+VLOOKUP(VLOOKUP(BK$1,main!$A$3:$I$102,7,FALSE),main!$K$26:$Q$29,5,FALSE)),1,0)</f>
        <v>0</v>
      </c>
      <c r="BL232">
        <f>IF(AND(VLOOKUP(BL$1,main!$A$3:$H$102,7,FALSE)=main!$G$105,VLOOKUP(BL$1,main!$A$3:$H$102,5,FALSE)-VLOOKUP($A232,main!$A$3:$H$102,6,FALSE)&gt;=main!$D$103+VLOOKUP(VLOOKUP(BL$1,main!$A$3:$I$102,7,FALSE),main!$K$26:$Q$29,5,FALSE)),1,0)</f>
        <v>0</v>
      </c>
      <c r="BM232">
        <f>IF(AND(VLOOKUP(BM$1,main!$A$3:$H$102,7,FALSE)=main!$G$105,VLOOKUP(BM$1,main!$A$3:$H$102,5,FALSE)-VLOOKUP($A232,main!$A$3:$H$102,6,FALSE)&gt;=main!$D$103+VLOOKUP(VLOOKUP(BM$1,main!$A$3:$I$102,7,FALSE),main!$K$26:$Q$29,5,FALSE)),1,0)</f>
        <v>0</v>
      </c>
      <c r="BN232">
        <f>IF(AND(VLOOKUP(BN$1,main!$A$3:$H$102,7,FALSE)=main!$G$105,VLOOKUP(BN$1,main!$A$3:$H$102,5,FALSE)-VLOOKUP($A232,main!$A$3:$H$102,6,FALSE)&gt;=main!$D$103+VLOOKUP(VLOOKUP(BN$1,main!$A$3:$I$102,7,FALSE),main!$K$26:$Q$29,5,FALSE)),1,0)</f>
        <v>0</v>
      </c>
      <c r="BO232">
        <f>IF(AND(VLOOKUP(BO$1,main!$A$3:$H$102,7,FALSE)=main!$G$105,VLOOKUP(BO$1,main!$A$3:$H$102,5,FALSE)-VLOOKUP($A232,main!$A$3:$H$102,6,FALSE)&gt;=main!$D$103+VLOOKUP(VLOOKUP(BO$1,main!$A$3:$I$102,7,FALSE),main!$K$26:$Q$29,5,FALSE)),1,0)</f>
        <v>0</v>
      </c>
      <c r="BP232">
        <f>IF(AND(VLOOKUP(BP$1,main!$A$3:$H$102,7,FALSE)=main!$G$105,VLOOKUP(BP$1,main!$A$3:$H$102,5,FALSE)-VLOOKUP($A232,main!$A$3:$H$102,6,FALSE)&gt;=main!$D$103+VLOOKUP(VLOOKUP(BP$1,main!$A$3:$I$102,7,FALSE),main!$K$26:$Q$29,5,FALSE)),1,0)</f>
        <v>0</v>
      </c>
      <c r="BQ232">
        <f>IF(AND(VLOOKUP(BQ$1,main!$A$3:$H$102,7,FALSE)=main!$G$105,VLOOKUP(BQ$1,main!$A$3:$H$102,5,FALSE)-VLOOKUP($A232,main!$A$3:$H$102,6,FALSE)&gt;=main!$D$103+VLOOKUP(VLOOKUP(BQ$1,main!$A$3:$I$102,7,FALSE),main!$K$26:$Q$29,5,FALSE)),1,0)</f>
        <v>0</v>
      </c>
      <c r="BR232">
        <f>IF(AND(VLOOKUP(BR$1,main!$A$3:$H$102,7,FALSE)=main!$G$105,VLOOKUP(BR$1,main!$A$3:$H$102,5,FALSE)-VLOOKUP($A232,main!$A$3:$H$102,6,FALSE)&gt;=main!$D$103+VLOOKUP(VLOOKUP(BR$1,main!$A$3:$I$102,7,FALSE),main!$K$26:$Q$29,5,FALSE)),1,0)</f>
        <v>0</v>
      </c>
      <c r="BS232">
        <f>IF(AND(VLOOKUP(BS$1,main!$A$3:$H$102,7,FALSE)=main!$G$105,VLOOKUP(BS$1,main!$A$3:$H$102,5,FALSE)-VLOOKUP($A232,main!$A$3:$H$102,6,FALSE)&gt;=main!$D$103+VLOOKUP(VLOOKUP(BS$1,main!$A$3:$I$102,7,FALSE),main!$K$26:$Q$29,5,FALSE)),1,0)</f>
        <v>0</v>
      </c>
      <c r="BT232">
        <f>IF(AND(VLOOKUP(BT$1,main!$A$3:$H$102,7,FALSE)=main!$G$105,VLOOKUP(BT$1,main!$A$3:$H$102,5,FALSE)-VLOOKUP($A232,main!$A$3:$H$102,6,FALSE)&gt;=main!$D$103+VLOOKUP(VLOOKUP(BT$1,main!$A$3:$I$102,7,FALSE),main!$K$26:$Q$29,5,FALSE)),1,0)</f>
        <v>0</v>
      </c>
      <c r="BU232">
        <f>IF(AND(VLOOKUP(BU$1,main!$A$3:$H$102,7,FALSE)=main!$G$105,VLOOKUP(BU$1,main!$A$3:$H$102,5,FALSE)-VLOOKUP($A232,main!$A$3:$H$102,6,FALSE)&gt;=main!$D$103+VLOOKUP(VLOOKUP(BU$1,main!$A$3:$I$102,7,FALSE),main!$K$26:$Q$29,5,FALSE)),1,0)</f>
        <v>0</v>
      </c>
      <c r="BV232">
        <f>IF(AND(VLOOKUP(BV$1,main!$A$3:$H$102,7,FALSE)=main!$G$105,VLOOKUP(BV$1,main!$A$3:$H$102,5,FALSE)-VLOOKUP($A232,main!$A$3:$H$102,6,FALSE)&gt;=main!$D$103+VLOOKUP(VLOOKUP(BV$1,main!$A$3:$I$102,7,FALSE),main!$K$26:$Q$29,5,FALSE)),1,0)</f>
        <v>0</v>
      </c>
      <c r="BW232">
        <f>IF(AND(VLOOKUP(BW$1,main!$A$3:$H$102,7,FALSE)=main!$G$105,VLOOKUP(BW$1,main!$A$3:$H$102,5,FALSE)-VLOOKUP($A232,main!$A$3:$H$102,6,FALSE)&gt;=main!$D$103+VLOOKUP(VLOOKUP(BW$1,main!$A$3:$I$102,7,FALSE),main!$K$26:$Q$29,5,FALSE)),1,0)</f>
        <v>0</v>
      </c>
      <c r="BX232">
        <f>IF(AND(VLOOKUP(BX$1,main!$A$3:$H$102,7,FALSE)=main!$G$105,VLOOKUP(BX$1,main!$A$3:$H$102,5,FALSE)-VLOOKUP($A232,main!$A$3:$H$102,6,FALSE)&gt;=main!$D$103+VLOOKUP(VLOOKUP(BX$1,main!$A$3:$I$102,7,FALSE),main!$K$26:$Q$29,5,FALSE)),1,0)</f>
        <v>0</v>
      </c>
      <c r="BY232">
        <f>IF(AND(VLOOKUP(BY$1,main!$A$3:$H$102,7,FALSE)=main!$G$105,VLOOKUP(BY$1,main!$A$3:$H$102,5,FALSE)-VLOOKUP($A232,main!$A$3:$H$102,6,FALSE)&gt;=main!$D$103+VLOOKUP(VLOOKUP(BY$1,main!$A$3:$I$102,7,FALSE),main!$K$26:$Q$29,5,FALSE)),1,0)</f>
        <v>0</v>
      </c>
      <c r="BZ232">
        <f>IF(AND(VLOOKUP(BZ$1,main!$A$3:$H$102,7,FALSE)=main!$G$105,VLOOKUP(BZ$1,main!$A$3:$H$102,5,FALSE)-VLOOKUP($A232,main!$A$3:$H$102,6,FALSE)&gt;=main!$D$103+VLOOKUP(VLOOKUP(BZ$1,main!$A$3:$I$102,7,FALSE),main!$K$26:$Q$29,5,FALSE)),1,0)</f>
        <v>0</v>
      </c>
      <c r="CA232">
        <f>IF(AND(VLOOKUP(CA$1,main!$A$3:$H$102,7,FALSE)=main!$G$105,VLOOKUP(CA$1,main!$A$3:$H$102,5,FALSE)-VLOOKUP($A232,main!$A$3:$H$102,6,FALSE)&gt;=main!$D$103+VLOOKUP(VLOOKUP(CA$1,main!$A$3:$I$102,7,FALSE),main!$K$26:$Q$29,5,FALSE)),1,0)</f>
        <v>0</v>
      </c>
      <c r="CB232">
        <f>IF(AND(VLOOKUP(CB$1,main!$A$3:$H$102,7,FALSE)=main!$G$105,VLOOKUP(CB$1,main!$A$3:$H$102,5,FALSE)-VLOOKUP($A232,main!$A$3:$H$102,6,FALSE)&gt;=main!$D$103+VLOOKUP(VLOOKUP(CB$1,main!$A$3:$I$102,7,FALSE),main!$K$26:$Q$29,5,FALSE)),1,0)</f>
        <v>0</v>
      </c>
      <c r="CC232">
        <f>IF(AND(VLOOKUP(CC$1,main!$A$3:$H$102,7,FALSE)=main!$G$105,VLOOKUP(CC$1,main!$A$3:$H$102,5,FALSE)-VLOOKUP($A232,main!$A$3:$H$102,6,FALSE)&gt;=main!$D$103+VLOOKUP(VLOOKUP(CC$1,main!$A$3:$I$102,7,FALSE),main!$K$26:$Q$29,5,FALSE)),1,0)</f>
        <v>0</v>
      </c>
      <c r="CD232">
        <f>IF(AND(VLOOKUP(CD$1,main!$A$3:$H$102,7,FALSE)=main!$G$105,VLOOKUP(CD$1,main!$A$3:$H$102,5,FALSE)-VLOOKUP($A232,main!$A$3:$H$102,6,FALSE)&gt;=main!$D$103+VLOOKUP(VLOOKUP(CD$1,main!$A$3:$I$102,7,FALSE),main!$K$26:$Q$29,5,FALSE)),1,0)</f>
        <v>0</v>
      </c>
      <c r="CE232">
        <f>IF(AND(VLOOKUP(CE$1,main!$A$3:$H$102,7,FALSE)=main!$G$105,VLOOKUP(CE$1,main!$A$3:$H$102,5,FALSE)-VLOOKUP($A232,main!$A$3:$H$102,6,FALSE)&gt;=main!$D$103+VLOOKUP(VLOOKUP(CE$1,main!$A$3:$I$102,7,FALSE),main!$K$26:$Q$29,5,FALSE)),1,0)</f>
        <v>0</v>
      </c>
      <c r="CF232">
        <f>IF(AND(VLOOKUP(CF$1,main!$A$3:$H$102,7,FALSE)=main!$G$105,VLOOKUP(CF$1,main!$A$3:$H$102,5,FALSE)-VLOOKUP($A232,main!$A$3:$H$102,6,FALSE)&gt;=main!$D$103+VLOOKUP(VLOOKUP(CF$1,main!$A$3:$I$102,7,FALSE),main!$K$26:$Q$29,5,FALSE)),1,0)</f>
        <v>0</v>
      </c>
      <c r="CG232">
        <f>IF(AND(VLOOKUP(CG$1,main!$A$3:$H$102,7,FALSE)=main!$G$105,VLOOKUP(CG$1,main!$A$3:$H$102,5,FALSE)-VLOOKUP($A232,main!$A$3:$H$102,6,FALSE)&gt;=main!$D$103+VLOOKUP(VLOOKUP(CG$1,main!$A$3:$I$102,7,FALSE),main!$K$26:$Q$29,5,FALSE)),1,0)</f>
        <v>0</v>
      </c>
      <c r="CH232">
        <f>IF(AND(VLOOKUP(CH$1,main!$A$3:$H$102,7,FALSE)=main!$G$105,VLOOKUP(CH$1,main!$A$3:$H$102,5,FALSE)-VLOOKUP($A232,main!$A$3:$H$102,6,FALSE)&gt;=main!$D$103+VLOOKUP(VLOOKUP(CH$1,main!$A$3:$I$102,7,FALSE),main!$K$26:$Q$29,5,FALSE)),1,0)</f>
        <v>0</v>
      </c>
      <c r="CI232">
        <f>IF(AND(VLOOKUP(CI$1,main!$A$3:$H$102,7,FALSE)=main!$G$105,VLOOKUP(CI$1,main!$A$3:$H$102,5,FALSE)-VLOOKUP($A232,main!$A$3:$H$102,6,FALSE)&gt;=main!$D$103+VLOOKUP(VLOOKUP(CI$1,main!$A$3:$I$102,7,FALSE),main!$K$26:$Q$29,5,FALSE)),1,0)</f>
        <v>0</v>
      </c>
      <c r="CJ232">
        <f>IF(AND(VLOOKUP(CJ$1,main!$A$3:$H$102,7,FALSE)=main!$G$105,VLOOKUP(CJ$1,main!$A$3:$H$102,5,FALSE)-VLOOKUP($A232,main!$A$3:$H$102,6,FALSE)&gt;=main!$D$103+VLOOKUP(VLOOKUP(CJ$1,main!$A$3:$I$102,7,FALSE),main!$K$26:$Q$29,5,FALSE)),1,0)</f>
        <v>0</v>
      </c>
      <c r="CK232">
        <f>IF(AND(VLOOKUP(CK$1,main!$A$3:$H$102,7,FALSE)=main!$G$105,VLOOKUP(CK$1,main!$A$3:$H$102,5,FALSE)-VLOOKUP($A232,main!$A$3:$H$102,6,FALSE)&gt;=main!$D$103+VLOOKUP(VLOOKUP(CK$1,main!$A$3:$I$102,7,FALSE),main!$K$26:$Q$29,5,FALSE)),1,0)</f>
        <v>0</v>
      </c>
      <c r="CL232">
        <f>IF(AND(VLOOKUP(CL$1,main!$A$3:$H$102,7,FALSE)=main!$G$105,VLOOKUP(CL$1,main!$A$3:$H$102,5,FALSE)-VLOOKUP($A232,main!$A$3:$H$102,6,FALSE)&gt;=main!$D$103+VLOOKUP(VLOOKUP(CL$1,main!$A$3:$I$102,7,FALSE),main!$K$26:$Q$29,5,FALSE)),1,0)</f>
        <v>0</v>
      </c>
      <c r="CM232">
        <f>IF(AND(VLOOKUP(CM$1,main!$A$3:$H$102,7,FALSE)=main!$G$105,VLOOKUP(CM$1,main!$A$3:$H$102,5,FALSE)-VLOOKUP($A232,main!$A$3:$H$102,6,FALSE)&gt;=main!$D$103+VLOOKUP(VLOOKUP(CM$1,main!$A$3:$I$102,7,FALSE),main!$K$26:$Q$29,5,FALSE)),1,0)</f>
        <v>0</v>
      </c>
      <c r="CN232">
        <f>IF(AND(VLOOKUP(CN$1,main!$A$3:$H$102,7,FALSE)=main!$G$105,VLOOKUP(CN$1,main!$A$3:$H$102,5,FALSE)-VLOOKUP($A232,main!$A$3:$H$102,6,FALSE)&gt;=main!$D$103+VLOOKUP(VLOOKUP(CN$1,main!$A$3:$I$102,7,FALSE),main!$K$26:$Q$29,5,FALSE)),1,0)</f>
        <v>0</v>
      </c>
      <c r="CO232">
        <f>IF(AND(VLOOKUP(CO$1,main!$A$3:$H$102,7,FALSE)=main!$G$105,VLOOKUP(CO$1,main!$A$3:$H$102,5,FALSE)-VLOOKUP($A232,main!$A$3:$H$102,6,FALSE)&gt;=main!$D$103+VLOOKUP(VLOOKUP(CO$1,main!$A$3:$I$102,7,FALSE),main!$K$26:$Q$29,5,FALSE)),1,0)</f>
        <v>0</v>
      </c>
      <c r="CP232">
        <f>IF(AND(VLOOKUP(CP$1,main!$A$3:$H$102,7,FALSE)=main!$G$105,VLOOKUP(CP$1,main!$A$3:$H$102,5,FALSE)-VLOOKUP($A232,main!$A$3:$H$102,6,FALSE)&gt;=main!$D$103+VLOOKUP(VLOOKUP(CP$1,main!$A$3:$I$102,7,FALSE),main!$K$26:$Q$29,5,FALSE)),1,0)</f>
        <v>0</v>
      </c>
      <c r="CQ232">
        <f>IF(AND(VLOOKUP(CQ$1,main!$A$3:$H$102,7,FALSE)=main!$G$105,VLOOKUP(CQ$1,main!$A$3:$H$102,5,FALSE)-VLOOKUP($A232,main!$A$3:$H$102,6,FALSE)&gt;=main!$D$103+VLOOKUP(VLOOKUP(CQ$1,main!$A$3:$I$102,7,FALSE),main!$K$26:$Q$29,5,FALSE)),1,0)</f>
        <v>0</v>
      </c>
      <c r="CR232">
        <f>IF(AND(VLOOKUP(CR$1,main!$A$3:$H$102,7,FALSE)=main!$G$105,VLOOKUP(CR$1,main!$A$3:$H$102,5,FALSE)-VLOOKUP($A232,main!$A$3:$H$102,6,FALSE)&gt;=main!$D$103+VLOOKUP(VLOOKUP(CR$1,main!$A$3:$I$102,7,FALSE),main!$K$26:$Q$29,5,FALSE)),1,0)</f>
        <v>0</v>
      </c>
      <c r="CS232">
        <f>IF(AND(VLOOKUP(CS$1,main!$A$3:$H$102,7,FALSE)=main!$G$105,VLOOKUP(CS$1,main!$A$3:$H$102,5,FALSE)-VLOOKUP($A232,main!$A$3:$H$102,6,FALSE)&gt;=main!$D$103+VLOOKUP(VLOOKUP(CS$1,main!$A$3:$I$102,7,FALSE),main!$K$26:$Q$29,5,FALSE)),1,0)</f>
        <v>0</v>
      </c>
      <c r="CT232">
        <f>IF(AND(VLOOKUP(CT$1,main!$A$3:$H$102,7,FALSE)=main!$G$105,VLOOKUP(CT$1,main!$A$3:$H$102,5,FALSE)-VLOOKUP($A232,main!$A$3:$H$102,6,FALSE)&gt;=main!$D$103+VLOOKUP(VLOOKUP(CT$1,main!$A$3:$I$102,7,FALSE),main!$K$26:$Q$29,5,FALSE)),1,0)</f>
        <v>0</v>
      </c>
      <c r="CU232">
        <f>IF(AND(VLOOKUP(CU$1,main!$A$3:$H$102,7,FALSE)=main!$G$105,VLOOKUP(CU$1,main!$A$3:$H$102,5,FALSE)-VLOOKUP($A232,main!$A$3:$H$102,6,FALSE)&gt;=main!$D$103+VLOOKUP(VLOOKUP(CU$1,main!$A$3:$I$102,7,FALSE),main!$K$26:$Q$29,5,FALSE)),1,0)</f>
        <v>0</v>
      </c>
      <c r="CV232">
        <f>IF(AND(VLOOKUP(CV$1,main!$A$3:$H$102,7,FALSE)=main!$G$105,VLOOKUP(CV$1,main!$A$3:$H$102,5,FALSE)-VLOOKUP($A232,main!$A$3:$H$102,6,FALSE)&gt;=main!$D$103+VLOOKUP(VLOOKUP(CV$1,main!$A$3:$I$102,7,FALSE),main!$K$26:$Q$29,5,FALSE)),1,0)</f>
        <v>0</v>
      </c>
      <c r="CW232">
        <f>IF(AND(VLOOKUP(CW$1,main!$A$3:$H$102,7,FALSE)=main!$G$105,VLOOKUP(CW$1,main!$A$3:$H$102,5,FALSE)-VLOOKUP($A232,main!$A$3:$H$102,6,FALSE)&gt;=main!$D$103+VLOOKUP(VLOOKUP(CW$1,main!$A$3:$I$102,7,FALSE),main!$K$26:$Q$29,5,FALSE)),1,0)</f>
        <v>0</v>
      </c>
      <c r="CX232">
        <f>IF(AND(VLOOKUP(CX$1,main!$A$3:$H$102,7,FALSE)=main!$G$105,VLOOKUP(CX$1,main!$A$3:$H$102,5,FALSE)-VLOOKUP($A232,main!$A$3:$H$102,6,FALSE)&gt;=main!$D$103+VLOOKUP(VLOOKUP(CX$1,main!$A$3:$I$102,7,FALSE),main!$K$26:$Q$29,5,FALSE)),1,0)</f>
        <v>0</v>
      </c>
    </row>
    <row r="233" spans="1:102" x14ac:dyDescent="0.25">
      <c r="A233" s="1">
        <v>29</v>
      </c>
      <c r="B233">
        <v>0</v>
      </c>
      <c r="C233">
        <f>IF(AND(VLOOKUP(C$1,main!$A$3:$H$102,7,FALSE)=main!$G$105,VLOOKUP(C$1,main!$A$3:$H$102,5,FALSE)-VLOOKUP($A233,main!$A$3:$H$102,6,FALSE)&gt;=main!$D$103+VLOOKUP(VLOOKUP(C$1,main!$A$3:$I$102,7,FALSE),main!$K$26:$Q$29,5,FALSE)),1,0)</f>
        <v>0</v>
      </c>
      <c r="D233">
        <f>IF(AND(VLOOKUP(D$1,main!$A$3:$H$102,7,FALSE)=main!$G$105,VLOOKUP(D$1,main!$A$3:$H$102,5,FALSE)-VLOOKUP($A233,main!$A$3:$H$102,6,FALSE)&gt;=main!$D$103+VLOOKUP(VLOOKUP(D$1,main!$A$3:$I$102,7,FALSE),main!$K$26:$Q$29,5,FALSE)),1,0)</f>
        <v>0</v>
      </c>
      <c r="E233">
        <f>IF(AND(VLOOKUP(E$1,main!$A$3:$H$102,7,FALSE)=main!$G$105,VLOOKUP(E$1,main!$A$3:$H$102,5,FALSE)-VLOOKUP($A233,main!$A$3:$H$102,6,FALSE)&gt;=main!$D$103+VLOOKUP(VLOOKUP(E$1,main!$A$3:$I$102,7,FALSE),main!$K$26:$Q$29,5,FALSE)),1,0)</f>
        <v>0</v>
      </c>
      <c r="F233">
        <f>IF(AND(VLOOKUP(F$1,main!$A$3:$H$102,7,FALSE)=main!$G$105,VLOOKUP(F$1,main!$A$3:$H$102,5,FALSE)-VLOOKUP($A233,main!$A$3:$H$102,6,FALSE)&gt;=main!$D$103+VLOOKUP(VLOOKUP(F$1,main!$A$3:$I$102,7,FALSE),main!$K$26:$Q$29,5,FALSE)),1,0)</f>
        <v>0</v>
      </c>
      <c r="G233">
        <f>IF(AND(VLOOKUP(G$1,main!$A$3:$H$102,7,FALSE)=main!$G$105,VLOOKUP(G$1,main!$A$3:$H$102,5,FALSE)-VLOOKUP($A233,main!$A$3:$H$102,6,FALSE)&gt;=main!$D$103+VLOOKUP(VLOOKUP(G$1,main!$A$3:$I$102,7,FALSE),main!$K$26:$Q$29,5,FALSE)),1,0)</f>
        <v>0</v>
      </c>
      <c r="H233">
        <f>IF(AND(VLOOKUP(H$1,main!$A$3:$H$102,7,FALSE)=main!$G$105,VLOOKUP(H$1,main!$A$3:$H$102,5,FALSE)-VLOOKUP($A233,main!$A$3:$H$102,6,FALSE)&gt;=main!$D$103+VLOOKUP(VLOOKUP(H$1,main!$A$3:$I$102,7,FALSE),main!$K$26:$Q$29,5,FALSE)),1,0)</f>
        <v>0</v>
      </c>
      <c r="I233">
        <f>IF(AND(VLOOKUP(I$1,main!$A$3:$H$102,7,FALSE)=main!$G$105,VLOOKUP(I$1,main!$A$3:$H$102,5,FALSE)-VLOOKUP($A233,main!$A$3:$H$102,6,FALSE)&gt;=main!$D$103+VLOOKUP(VLOOKUP(I$1,main!$A$3:$I$102,7,FALSE),main!$K$26:$Q$29,5,FALSE)),1,0)</f>
        <v>0</v>
      </c>
      <c r="J233">
        <f>IF(AND(VLOOKUP(J$1,main!$A$3:$H$102,7,FALSE)=main!$G$105,VLOOKUP(J$1,main!$A$3:$H$102,5,FALSE)-VLOOKUP($A233,main!$A$3:$H$102,6,FALSE)&gt;=main!$D$103+VLOOKUP(VLOOKUP(J$1,main!$A$3:$I$102,7,FALSE),main!$K$26:$Q$29,5,FALSE)),1,0)</f>
        <v>0</v>
      </c>
      <c r="K233">
        <f>IF(AND(VLOOKUP(K$1,main!$A$3:$H$102,7,FALSE)=main!$G$105,VLOOKUP(K$1,main!$A$3:$H$102,5,FALSE)-VLOOKUP($A233,main!$A$3:$H$102,6,FALSE)&gt;=main!$D$103+VLOOKUP(VLOOKUP(K$1,main!$A$3:$I$102,7,FALSE),main!$K$26:$Q$29,5,FALSE)),1,0)</f>
        <v>0</v>
      </c>
      <c r="L233">
        <f>IF(AND(VLOOKUP(L$1,main!$A$3:$H$102,7,FALSE)=main!$G$105,VLOOKUP(L$1,main!$A$3:$H$102,5,FALSE)-VLOOKUP($A233,main!$A$3:$H$102,6,FALSE)&gt;=main!$D$103+VLOOKUP(VLOOKUP(L$1,main!$A$3:$I$102,7,FALSE),main!$K$26:$Q$29,5,FALSE)),1,0)</f>
        <v>0</v>
      </c>
      <c r="M233">
        <f>IF(AND(VLOOKUP(M$1,main!$A$3:$H$102,7,FALSE)=main!$G$105,VLOOKUP(M$1,main!$A$3:$H$102,5,FALSE)-VLOOKUP($A233,main!$A$3:$H$102,6,FALSE)&gt;=main!$D$103+VLOOKUP(VLOOKUP(M$1,main!$A$3:$I$102,7,FALSE),main!$K$26:$Q$29,5,FALSE)),1,0)</f>
        <v>0</v>
      </c>
      <c r="N233">
        <f>IF(AND(VLOOKUP(N$1,main!$A$3:$H$102,7,FALSE)=main!$G$105,VLOOKUP(N$1,main!$A$3:$H$102,5,FALSE)-VLOOKUP($A233,main!$A$3:$H$102,6,FALSE)&gt;=main!$D$103+VLOOKUP(VLOOKUP(N$1,main!$A$3:$I$102,7,FALSE),main!$K$26:$Q$29,5,FALSE)),1,0)</f>
        <v>0</v>
      </c>
      <c r="O233">
        <f>IF(AND(VLOOKUP(O$1,main!$A$3:$H$102,7,FALSE)=main!$G$105,VLOOKUP(O$1,main!$A$3:$H$102,5,FALSE)-VLOOKUP($A233,main!$A$3:$H$102,6,FALSE)&gt;=main!$D$103+VLOOKUP(VLOOKUP(O$1,main!$A$3:$I$102,7,FALSE),main!$K$26:$Q$29,5,FALSE)),1,0)</f>
        <v>0</v>
      </c>
      <c r="P233">
        <f>IF(AND(VLOOKUP(P$1,main!$A$3:$H$102,7,FALSE)=main!$G$105,VLOOKUP(P$1,main!$A$3:$H$102,5,FALSE)-VLOOKUP($A233,main!$A$3:$H$102,6,FALSE)&gt;=main!$D$103+VLOOKUP(VLOOKUP(P$1,main!$A$3:$I$102,7,FALSE),main!$K$26:$Q$29,5,FALSE)),1,0)</f>
        <v>0</v>
      </c>
      <c r="Q233">
        <f>IF(AND(VLOOKUP(Q$1,main!$A$3:$H$102,7,FALSE)=main!$G$105,VLOOKUP(Q$1,main!$A$3:$H$102,5,FALSE)-VLOOKUP($A233,main!$A$3:$H$102,6,FALSE)&gt;=main!$D$103+VLOOKUP(VLOOKUP(Q$1,main!$A$3:$I$102,7,FALSE),main!$K$26:$Q$29,5,FALSE)),1,0)</f>
        <v>0</v>
      </c>
      <c r="R233">
        <f>IF(AND(VLOOKUP(R$1,main!$A$3:$H$102,7,FALSE)=main!$G$105,VLOOKUP(R$1,main!$A$3:$H$102,5,FALSE)-VLOOKUP($A233,main!$A$3:$H$102,6,FALSE)&gt;=main!$D$103+VLOOKUP(VLOOKUP(R$1,main!$A$3:$I$102,7,FALSE),main!$K$26:$Q$29,5,FALSE)),1,0)</f>
        <v>0</v>
      </c>
      <c r="S233">
        <f>IF(AND(VLOOKUP(S$1,main!$A$3:$H$102,7,FALSE)=main!$G$105,VLOOKUP(S$1,main!$A$3:$H$102,5,FALSE)-VLOOKUP($A233,main!$A$3:$H$102,6,FALSE)&gt;=main!$D$103+VLOOKUP(VLOOKUP(S$1,main!$A$3:$I$102,7,FALSE),main!$K$26:$Q$29,5,FALSE)),1,0)</f>
        <v>0</v>
      </c>
      <c r="T233">
        <f>IF(AND(VLOOKUP(T$1,main!$A$3:$H$102,7,FALSE)=main!$G$105,VLOOKUP(T$1,main!$A$3:$H$102,5,FALSE)-VLOOKUP($A233,main!$A$3:$H$102,6,FALSE)&gt;=main!$D$103+VLOOKUP(VLOOKUP(T$1,main!$A$3:$I$102,7,FALSE),main!$K$26:$Q$29,5,FALSE)),1,0)</f>
        <v>0</v>
      </c>
      <c r="U233">
        <f>IF(AND(VLOOKUP(U$1,main!$A$3:$H$102,7,FALSE)=main!$G$105,VLOOKUP(U$1,main!$A$3:$H$102,5,FALSE)-VLOOKUP($A233,main!$A$3:$H$102,6,FALSE)&gt;=main!$D$103+VLOOKUP(VLOOKUP(U$1,main!$A$3:$I$102,7,FALSE),main!$K$26:$Q$29,5,FALSE)),1,0)</f>
        <v>0</v>
      </c>
      <c r="V233">
        <f>IF(AND(VLOOKUP(V$1,main!$A$3:$H$102,7,FALSE)=main!$G$105,VLOOKUP(V$1,main!$A$3:$H$102,5,FALSE)-VLOOKUP($A233,main!$A$3:$H$102,6,FALSE)&gt;=main!$D$103+VLOOKUP(VLOOKUP(V$1,main!$A$3:$I$102,7,FALSE),main!$K$26:$Q$29,5,FALSE)),1,0)</f>
        <v>0</v>
      </c>
      <c r="W233">
        <f>IF(AND(VLOOKUP(W$1,main!$A$3:$H$102,7,FALSE)=main!$G$105,VLOOKUP(W$1,main!$A$3:$H$102,5,FALSE)-VLOOKUP($A233,main!$A$3:$H$102,6,FALSE)&gt;=main!$D$103+VLOOKUP(VLOOKUP(W$1,main!$A$3:$I$102,7,FALSE),main!$K$26:$Q$29,5,FALSE)),1,0)</f>
        <v>0</v>
      </c>
      <c r="X233">
        <f>IF(AND(VLOOKUP(X$1,main!$A$3:$H$102,7,FALSE)=main!$G$105,VLOOKUP(X$1,main!$A$3:$H$102,5,FALSE)-VLOOKUP($A233,main!$A$3:$H$102,6,FALSE)&gt;=main!$D$103+VLOOKUP(VLOOKUP(X$1,main!$A$3:$I$102,7,FALSE),main!$K$26:$Q$29,5,FALSE)),1,0)</f>
        <v>0</v>
      </c>
      <c r="Y233">
        <f>IF(AND(VLOOKUP(Y$1,main!$A$3:$H$102,7,FALSE)=main!$G$105,VLOOKUP(Y$1,main!$A$3:$H$102,5,FALSE)-VLOOKUP($A233,main!$A$3:$H$102,6,FALSE)&gt;=main!$D$103+VLOOKUP(VLOOKUP(Y$1,main!$A$3:$I$102,7,FALSE),main!$K$26:$Q$29,5,FALSE)),1,0)</f>
        <v>0</v>
      </c>
      <c r="Z233">
        <f>IF(AND(VLOOKUP(Z$1,main!$A$3:$H$102,7,FALSE)=main!$G$105,VLOOKUP(Z$1,main!$A$3:$H$102,5,FALSE)-VLOOKUP($A233,main!$A$3:$H$102,6,FALSE)&gt;=main!$D$103+VLOOKUP(VLOOKUP(Z$1,main!$A$3:$I$102,7,FALSE),main!$K$26:$Q$29,5,FALSE)),1,0)</f>
        <v>0</v>
      </c>
      <c r="AA233">
        <f>IF(AND(VLOOKUP(AA$1,main!$A$3:$H$102,7,FALSE)=main!$G$105,VLOOKUP(AA$1,main!$A$3:$H$102,5,FALSE)-VLOOKUP($A233,main!$A$3:$H$102,6,FALSE)&gt;=main!$D$103+VLOOKUP(VLOOKUP(AA$1,main!$A$3:$I$102,7,FALSE),main!$K$26:$Q$29,5,FALSE)),1,0)</f>
        <v>0</v>
      </c>
      <c r="AB233">
        <f>IF(AND(VLOOKUP(AB$1,main!$A$3:$H$102,7,FALSE)=main!$G$105,VLOOKUP(AB$1,main!$A$3:$H$102,5,FALSE)-VLOOKUP($A233,main!$A$3:$H$102,6,FALSE)&gt;=main!$D$103+VLOOKUP(VLOOKUP(AB$1,main!$A$3:$I$102,7,FALSE),main!$K$26:$Q$29,5,FALSE)),1,0)</f>
        <v>0</v>
      </c>
      <c r="AC233">
        <f>IF(AND(VLOOKUP(AC$1,main!$A$3:$H$102,7,FALSE)=main!$G$105,VLOOKUP(AC$1,main!$A$3:$H$102,5,FALSE)-VLOOKUP($A233,main!$A$3:$H$102,6,FALSE)&gt;=main!$D$103+VLOOKUP(VLOOKUP(AC$1,main!$A$3:$I$102,7,FALSE),main!$K$26:$Q$29,5,FALSE)),1,0)</f>
        <v>0</v>
      </c>
      <c r="AD233">
        <f>IF(AND(VLOOKUP(AD$1,main!$A$3:$H$102,7,FALSE)=main!$G$105,VLOOKUP(AD$1,main!$A$3:$H$102,5,FALSE)-VLOOKUP($A233,main!$A$3:$H$102,6,FALSE)&gt;=main!$D$103+VLOOKUP(VLOOKUP(AD$1,main!$A$3:$I$102,7,FALSE),main!$K$26:$Q$29,5,FALSE)),1,0)</f>
        <v>0</v>
      </c>
      <c r="AE233">
        <f>IF(AND(VLOOKUP(AE$1,main!$A$3:$H$102,7,FALSE)=main!$G$105,VLOOKUP(AE$1,main!$A$3:$H$102,5,FALSE)-VLOOKUP($A233,main!$A$3:$H$102,6,FALSE)&gt;=main!$D$103+VLOOKUP(VLOOKUP(AE$1,main!$A$3:$I$102,7,FALSE),main!$K$26:$Q$29,5,FALSE)),1,0)</f>
        <v>0</v>
      </c>
      <c r="AF233">
        <f>IF(AND(VLOOKUP(AF$1,main!$A$3:$H$102,7,FALSE)=main!$G$105,VLOOKUP(AF$1,main!$A$3:$H$102,5,FALSE)-VLOOKUP($A233,main!$A$3:$H$102,6,FALSE)&gt;=main!$D$103+VLOOKUP(VLOOKUP(AF$1,main!$A$3:$I$102,7,FALSE),main!$K$26:$Q$29,5,FALSE)),1,0)</f>
        <v>0</v>
      </c>
      <c r="AG233">
        <f>IF(AND(VLOOKUP(AG$1,main!$A$3:$H$102,7,FALSE)=main!$G$105,VLOOKUP(AG$1,main!$A$3:$H$102,5,FALSE)-VLOOKUP($A233,main!$A$3:$H$102,6,FALSE)&gt;=main!$D$103+VLOOKUP(VLOOKUP(AG$1,main!$A$3:$I$102,7,FALSE),main!$K$26:$Q$29,5,FALSE)),1,0)</f>
        <v>0</v>
      </c>
      <c r="AH233">
        <f>IF(AND(VLOOKUP(AH$1,main!$A$3:$H$102,7,FALSE)=main!$G$105,VLOOKUP(AH$1,main!$A$3:$H$102,5,FALSE)-VLOOKUP($A233,main!$A$3:$H$102,6,FALSE)&gt;=main!$D$103+VLOOKUP(VLOOKUP(AH$1,main!$A$3:$I$102,7,FALSE),main!$K$26:$Q$29,5,FALSE)),1,0)</f>
        <v>0</v>
      </c>
      <c r="AI233">
        <f>IF(AND(VLOOKUP(AI$1,main!$A$3:$H$102,7,FALSE)=main!$G$105,VLOOKUP(AI$1,main!$A$3:$H$102,5,FALSE)-VLOOKUP($A233,main!$A$3:$H$102,6,FALSE)&gt;=main!$D$103+VLOOKUP(VLOOKUP(AI$1,main!$A$3:$I$102,7,FALSE),main!$K$26:$Q$29,5,FALSE)),1,0)</f>
        <v>0</v>
      </c>
      <c r="AJ233">
        <f>IF(AND(VLOOKUP(AJ$1,main!$A$3:$H$102,7,FALSE)=main!$G$105,VLOOKUP(AJ$1,main!$A$3:$H$102,5,FALSE)-VLOOKUP($A233,main!$A$3:$H$102,6,FALSE)&gt;=main!$D$103+VLOOKUP(VLOOKUP(AJ$1,main!$A$3:$I$102,7,FALSE),main!$K$26:$Q$29,5,FALSE)),1,0)</f>
        <v>0</v>
      </c>
      <c r="AK233">
        <f>IF(AND(VLOOKUP(AK$1,main!$A$3:$H$102,7,FALSE)=main!$G$105,VLOOKUP(AK$1,main!$A$3:$H$102,5,FALSE)-VLOOKUP($A233,main!$A$3:$H$102,6,FALSE)&gt;=main!$D$103+VLOOKUP(VLOOKUP(AK$1,main!$A$3:$I$102,7,FALSE),main!$K$26:$Q$29,5,FALSE)),1,0)</f>
        <v>0</v>
      </c>
      <c r="AL233">
        <f>IF(AND(VLOOKUP(AL$1,main!$A$3:$H$102,7,FALSE)=main!$G$105,VLOOKUP(AL$1,main!$A$3:$H$102,5,FALSE)-VLOOKUP($A233,main!$A$3:$H$102,6,FALSE)&gt;=main!$D$103+VLOOKUP(VLOOKUP(AL$1,main!$A$3:$I$102,7,FALSE),main!$K$26:$Q$29,5,FALSE)),1,0)</f>
        <v>0</v>
      </c>
      <c r="AM233">
        <f>IF(AND(VLOOKUP(AM$1,main!$A$3:$H$102,7,FALSE)=main!$G$105,VLOOKUP(AM$1,main!$A$3:$H$102,5,FALSE)-VLOOKUP($A233,main!$A$3:$H$102,6,FALSE)&gt;=main!$D$103+VLOOKUP(VLOOKUP(AM$1,main!$A$3:$I$102,7,FALSE),main!$K$26:$Q$29,5,FALSE)),1,0)</f>
        <v>0</v>
      </c>
      <c r="AN233">
        <f>IF(AND(VLOOKUP(AN$1,main!$A$3:$H$102,7,FALSE)=main!$G$105,VLOOKUP(AN$1,main!$A$3:$H$102,5,FALSE)-VLOOKUP($A233,main!$A$3:$H$102,6,FALSE)&gt;=main!$D$103+VLOOKUP(VLOOKUP(AN$1,main!$A$3:$I$102,7,FALSE),main!$K$26:$Q$29,5,FALSE)),1,0)</f>
        <v>1</v>
      </c>
      <c r="AO233">
        <f>IF(AND(VLOOKUP(AO$1,main!$A$3:$H$102,7,FALSE)=main!$G$105,VLOOKUP(AO$1,main!$A$3:$H$102,5,FALSE)-VLOOKUP($A233,main!$A$3:$H$102,6,FALSE)&gt;=main!$D$103+VLOOKUP(VLOOKUP(AO$1,main!$A$3:$I$102,7,FALSE),main!$K$26:$Q$29,5,FALSE)),1,0)</f>
        <v>0</v>
      </c>
      <c r="AP233">
        <f>IF(AND(VLOOKUP(AP$1,main!$A$3:$H$102,7,FALSE)=main!$G$105,VLOOKUP(AP$1,main!$A$3:$H$102,5,FALSE)-VLOOKUP($A233,main!$A$3:$H$102,6,FALSE)&gt;=main!$D$103+VLOOKUP(VLOOKUP(AP$1,main!$A$3:$I$102,7,FALSE),main!$K$26:$Q$29,5,FALSE)),1,0)</f>
        <v>1</v>
      </c>
      <c r="AQ233">
        <f>IF(AND(VLOOKUP(AQ$1,main!$A$3:$H$102,7,FALSE)=main!$G$105,VLOOKUP(AQ$1,main!$A$3:$H$102,5,FALSE)-VLOOKUP($A233,main!$A$3:$H$102,6,FALSE)&gt;=main!$D$103+VLOOKUP(VLOOKUP(AQ$1,main!$A$3:$I$102,7,FALSE),main!$K$26:$Q$29,5,FALSE)),1,0)</f>
        <v>0</v>
      </c>
      <c r="AR233">
        <f>IF(AND(VLOOKUP(AR$1,main!$A$3:$H$102,7,FALSE)=main!$G$105,VLOOKUP(AR$1,main!$A$3:$H$102,5,FALSE)-VLOOKUP($A233,main!$A$3:$H$102,6,FALSE)&gt;=main!$D$103+VLOOKUP(VLOOKUP(AR$1,main!$A$3:$I$102,7,FALSE),main!$K$26:$Q$29,5,FALSE)),1,0)</f>
        <v>0</v>
      </c>
      <c r="AS233">
        <f>IF(AND(VLOOKUP(AS$1,main!$A$3:$H$102,7,FALSE)=main!$G$105,VLOOKUP(AS$1,main!$A$3:$H$102,5,FALSE)-VLOOKUP($A233,main!$A$3:$H$102,6,FALSE)&gt;=main!$D$103+VLOOKUP(VLOOKUP(AS$1,main!$A$3:$I$102,7,FALSE),main!$K$26:$Q$29,5,FALSE)),1,0)</f>
        <v>0</v>
      </c>
      <c r="AT233">
        <f>IF(AND(VLOOKUP(AT$1,main!$A$3:$H$102,7,FALSE)=main!$G$105,VLOOKUP(AT$1,main!$A$3:$H$102,5,FALSE)-VLOOKUP($A233,main!$A$3:$H$102,6,FALSE)&gt;=main!$D$103+VLOOKUP(VLOOKUP(AT$1,main!$A$3:$I$102,7,FALSE),main!$K$26:$Q$29,5,FALSE)),1,0)</f>
        <v>0</v>
      </c>
      <c r="AU233">
        <f>IF(AND(VLOOKUP(AU$1,main!$A$3:$H$102,7,FALSE)=main!$G$105,VLOOKUP(AU$1,main!$A$3:$H$102,5,FALSE)-VLOOKUP($A233,main!$A$3:$H$102,6,FALSE)&gt;=main!$D$103+VLOOKUP(VLOOKUP(AU$1,main!$A$3:$I$102,7,FALSE),main!$K$26:$Q$29,5,FALSE)),1,0)</f>
        <v>0</v>
      </c>
      <c r="AV233">
        <f>IF(AND(VLOOKUP(AV$1,main!$A$3:$H$102,7,FALSE)=main!$G$105,VLOOKUP(AV$1,main!$A$3:$H$102,5,FALSE)-VLOOKUP($A233,main!$A$3:$H$102,6,FALSE)&gt;=main!$D$103+VLOOKUP(VLOOKUP(AV$1,main!$A$3:$I$102,7,FALSE),main!$K$26:$Q$29,5,FALSE)),1,0)</f>
        <v>0</v>
      </c>
      <c r="AW233">
        <f>IF(AND(VLOOKUP(AW$1,main!$A$3:$H$102,7,FALSE)=main!$G$105,VLOOKUP(AW$1,main!$A$3:$H$102,5,FALSE)-VLOOKUP($A233,main!$A$3:$H$102,6,FALSE)&gt;=main!$D$103+VLOOKUP(VLOOKUP(AW$1,main!$A$3:$I$102,7,FALSE),main!$K$26:$Q$29,5,FALSE)),1,0)</f>
        <v>0</v>
      </c>
      <c r="AX233">
        <f>IF(AND(VLOOKUP(AX$1,main!$A$3:$H$102,7,FALSE)=main!$G$105,VLOOKUP(AX$1,main!$A$3:$H$102,5,FALSE)-VLOOKUP($A233,main!$A$3:$H$102,6,FALSE)&gt;=main!$D$103+VLOOKUP(VLOOKUP(AX$1,main!$A$3:$I$102,7,FALSE),main!$K$26:$Q$29,5,FALSE)),1,0)</f>
        <v>0</v>
      </c>
      <c r="AY233">
        <f>IF(AND(VLOOKUP(AY$1,main!$A$3:$H$102,7,FALSE)=main!$G$105,VLOOKUP(AY$1,main!$A$3:$H$102,5,FALSE)-VLOOKUP($A233,main!$A$3:$H$102,6,FALSE)&gt;=main!$D$103+VLOOKUP(VLOOKUP(AY$1,main!$A$3:$I$102,7,FALSE),main!$K$26:$Q$29,5,FALSE)),1,0)</f>
        <v>0</v>
      </c>
      <c r="AZ233">
        <f>IF(AND(VLOOKUP(AZ$1,main!$A$3:$H$102,7,FALSE)=main!$G$105,VLOOKUP(AZ$1,main!$A$3:$H$102,5,FALSE)-VLOOKUP($A233,main!$A$3:$H$102,6,FALSE)&gt;=main!$D$103+VLOOKUP(VLOOKUP(AZ$1,main!$A$3:$I$102,7,FALSE),main!$K$26:$Q$29,5,FALSE)),1,0)</f>
        <v>0</v>
      </c>
      <c r="BA233">
        <f>IF(AND(VLOOKUP(BA$1,main!$A$3:$H$102,7,FALSE)=main!$G$105,VLOOKUP(BA$1,main!$A$3:$H$102,5,FALSE)-VLOOKUP($A233,main!$A$3:$H$102,6,FALSE)&gt;=main!$D$103+VLOOKUP(VLOOKUP(BA$1,main!$A$3:$I$102,7,FALSE),main!$K$26:$Q$29,5,FALSE)),1,0)</f>
        <v>0</v>
      </c>
      <c r="BB233">
        <f>IF(AND(VLOOKUP(BB$1,main!$A$3:$H$102,7,FALSE)=main!$G$105,VLOOKUP(BB$1,main!$A$3:$H$102,5,FALSE)-VLOOKUP($A233,main!$A$3:$H$102,6,FALSE)&gt;=main!$D$103+VLOOKUP(VLOOKUP(BB$1,main!$A$3:$I$102,7,FALSE),main!$K$26:$Q$29,5,FALSE)),1,0)</f>
        <v>0</v>
      </c>
      <c r="BC233">
        <f>IF(AND(VLOOKUP(BC$1,main!$A$3:$H$102,7,FALSE)=main!$G$105,VLOOKUP(BC$1,main!$A$3:$H$102,5,FALSE)-VLOOKUP($A233,main!$A$3:$H$102,6,FALSE)&gt;=main!$D$103+VLOOKUP(VLOOKUP(BC$1,main!$A$3:$I$102,7,FALSE),main!$K$26:$Q$29,5,FALSE)),1,0)</f>
        <v>0</v>
      </c>
      <c r="BD233">
        <f>IF(AND(VLOOKUP(BD$1,main!$A$3:$H$102,7,FALSE)=main!$G$105,VLOOKUP(BD$1,main!$A$3:$H$102,5,FALSE)-VLOOKUP($A233,main!$A$3:$H$102,6,FALSE)&gt;=main!$D$103+VLOOKUP(VLOOKUP(BD$1,main!$A$3:$I$102,7,FALSE),main!$K$26:$Q$29,5,FALSE)),1,0)</f>
        <v>0</v>
      </c>
      <c r="BE233">
        <f>IF(AND(VLOOKUP(BE$1,main!$A$3:$H$102,7,FALSE)=main!$G$105,VLOOKUP(BE$1,main!$A$3:$H$102,5,FALSE)-VLOOKUP($A233,main!$A$3:$H$102,6,FALSE)&gt;=main!$D$103+VLOOKUP(VLOOKUP(BE$1,main!$A$3:$I$102,7,FALSE),main!$K$26:$Q$29,5,FALSE)),1,0)</f>
        <v>0</v>
      </c>
      <c r="BF233">
        <f>IF(AND(VLOOKUP(BF$1,main!$A$3:$H$102,7,FALSE)=main!$G$105,VLOOKUP(BF$1,main!$A$3:$H$102,5,FALSE)-VLOOKUP($A233,main!$A$3:$H$102,6,FALSE)&gt;=main!$D$103+VLOOKUP(VLOOKUP(BF$1,main!$A$3:$I$102,7,FALSE),main!$K$26:$Q$29,5,FALSE)),1,0)</f>
        <v>0</v>
      </c>
      <c r="BG233">
        <f>IF(AND(VLOOKUP(BG$1,main!$A$3:$H$102,7,FALSE)=main!$G$105,VLOOKUP(BG$1,main!$A$3:$H$102,5,FALSE)-VLOOKUP($A233,main!$A$3:$H$102,6,FALSE)&gt;=main!$D$103+VLOOKUP(VLOOKUP(BG$1,main!$A$3:$I$102,7,FALSE),main!$K$26:$Q$29,5,FALSE)),1,0)</f>
        <v>0</v>
      </c>
      <c r="BH233">
        <f>IF(AND(VLOOKUP(BH$1,main!$A$3:$H$102,7,FALSE)=main!$G$105,VLOOKUP(BH$1,main!$A$3:$H$102,5,FALSE)-VLOOKUP($A233,main!$A$3:$H$102,6,FALSE)&gt;=main!$D$103+VLOOKUP(VLOOKUP(BH$1,main!$A$3:$I$102,7,FALSE),main!$K$26:$Q$29,5,FALSE)),1,0)</f>
        <v>0</v>
      </c>
      <c r="BI233">
        <f>IF(AND(VLOOKUP(BI$1,main!$A$3:$H$102,7,FALSE)=main!$G$105,VLOOKUP(BI$1,main!$A$3:$H$102,5,FALSE)-VLOOKUP($A233,main!$A$3:$H$102,6,FALSE)&gt;=main!$D$103+VLOOKUP(VLOOKUP(BI$1,main!$A$3:$I$102,7,FALSE),main!$K$26:$Q$29,5,FALSE)),1,0)</f>
        <v>0</v>
      </c>
      <c r="BJ233">
        <f>IF(AND(VLOOKUP(BJ$1,main!$A$3:$H$102,7,FALSE)=main!$G$105,VLOOKUP(BJ$1,main!$A$3:$H$102,5,FALSE)-VLOOKUP($A233,main!$A$3:$H$102,6,FALSE)&gt;=main!$D$103+VLOOKUP(VLOOKUP(BJ$1,main!$A$3:$I$102,7,FALSE),main!$K$26:$Q$29,5,FALSE)),1,0)</f>
        <v>0</v>
      </c>
      <c r="BK233">
        <f>IF(AND(VLOOKUP(BK$1,main!$A$3:$H$102,7,FALSE)=main!$G$105,VLOOKUP(BK$1,main!$A$3:$H$102,5,FALSE)-VLOOKUP($A233,main!$A$3:$H$102,6,FALSE)&gt;=main!$D$103+VLOOKUP(VLOOKUP(BK$1,main!$A$3:$I$102,7,FALSE),main!$K$26:$Q$29,5,FALSE)),1,0)</f>
        <v>0</v>
      </c>
      <c r="BL233">
        <f>IF(AND(VLOOKUP(BL$1,main!$A$3:$H$102,7,FALSE)=main!$G$105,VLOOKUP(BL$1,main!$A$3:$H$102,5,FALSE)-VLOOKUP($A233,main!$A$3:$H$102,6,FALSE)&gt;=main!$D$103+VLOOKUP(VLOOKUP(BL$1,main!$A$3:$I$102,7,FALSE),main!$K$26:$Q$29,5,FALSE)),1,0)</f>
        <v>0</v>
      </c>
      <c r="BM233">
        <f>IF(AND(VLOOKUP(BM$1,main!$A$3:$H$102,7,FALSE)=main!$G$105,VLOOKUP(BM$1,main!$A$3:$H$102,5,FALSE)-VLOOKUP($A233,main!$A$3:$H$102,6,FALSE)&gt;=main!$D$103+VLOOKUP(VLOOKUP(BM$1,main!$A$3:$I$102,7,FALSE),main!$K$26:$Q$29,5,FALSE)),1,0)</f>
        <v>0</v>
      </c>
      <c r="BN233">
        <f>IF(AND(VLOOKUP(BN$1,main!$A$3:$H$102,7,FALSE)=main!$G$105,VLOOKUP(BN$1,main!$A$3:$H$102,5,FALSE)-VLOOKUP($A233,main!$A$3:$H$102,6,FALSE)&gt;=main!$D$103+VLOOKUP(VLOOKUP(BN$1,main!$A$3:$I$102,7,FALSE),main!$K$26:$Q$29,5,FALSE)),1,0)</f>
        <v>0</v>
      </c>
      <c r="BO233">
        <f>IF(AND(VLOOKUP(BO$1,main!$A$3:$H$102,7,FALSE)=main!$G$105,VLOOKUP(BO$1,main!$A$3:$H$102,5,FALSE)-VLOOKUP($A233,main!$A$3:$H$102,6,FALSE)&gt;=main!$D$103+VLOOKUP(VLOOKUP(BO$1,main!$A$3:$I$102,7,FALSE),main!$K$26:$Q$29,5,FALSE)),1,0)</f>
        <v>0</v>
      </c>
      <c r="BP233">
        <f>IF(AND(VLOOKUP(BP$1,main!$A$3:$H$102,7,FALSE)=main!$G$105,VLOOKUP(BP$1,main!$A$3:$H$102,5,FALSE)-VLOOKUP($A233,main!$A$3:$H$102,6,FALSE)&gt;=main!$D$103+VLOOKUP(VLOOKUP(BP$1,main!$A$3:$I$102,7,FALSE),main!$K$26:$Q$29,5,FALSE)),1,0)</f>
        <v>0</v>
      </c>
      <c r="BQ233">
        <f>IF(AND(VLOOKUP(BQ$1,main!$A$3:$H$102,7,FALSE)=main!$G$105,VLOOKUP(BQ$1,main!$A$3:$H$102,5,FALSE)-VLOOKUP($A233,main!$A$3:$H$102,6,FALSE)&gt;=main!$D$103+VLOOKUP(VLOOKUP(BQ$1,main!$A$3:$I$102,7,FALSE),main!$K$26:$Q$29,5,FALSE)),1,0)</f>
        <v>0</v>
      </c>
      <c r="BR233">
        <f>IF(AND(VLOOKUP(BR$1,main!$A$3:$H$102,7,FALSE)=main!$G$105,VLOOKUP(BR$1,main!$A$3:$H$102,5,FALSE)-VLOOKUP($A233,main!$A$3:$H$102,6,FALSE)&gt;=main!$D$103+VLOOKUP(VLOOKUP(BR$1,main!$A$3:$I$102,7,FALSE),main!$K$26:$Q$29,5,FALSE)),1,0)</f>
        <v>0</v>
      </c>
      <c r="BS233">
        <f>IF(AND(VLOOKUP(BS$1,main!$A$3:$H$102,7,FALSE)=main!$G$105,VLOOKUP(BS$1,main!$A$3:$H$102,5,FALSE)-VLOOKUP($A233,main!$A$3:$H$102,6,FALSE)&gt;=main!$D$103+VLOOKUP(VLOOKUP(BS$1,main!$A$3:$I$102,7,FALSE),main!$K$26:$Q$29,5,FALSE)),1,0)</f>
        <v>0</v>
      </c>
      <c r="BT233">
        <f>IF(AND(VLOOKUP(BT$1,main!$A$3:$H$102,7,FALSE)=main!$G$105,VLOOKUP(BT$1,main!$A$3:$H$102,5,FALSE)-VLOOKUP($A233,main!$A$3:$H$102,6,FALSE)&gt;=main!$D$103+VLOOKUP(VLOOKUP(BT$1,main!$A$3:$I$102,7,FALSE),main!$K$26:$Q$29,5,FALSE)),1,0)</f>
        <v>0</v>
      </c>
      <c r="BU233">
        <f>IF(AND(VLOOKUP(BU$1,main!$A$3:$H$102,7,FALSE)=main!$G$105,VLOOKUP(BU$1,main!$A$3:$H$102,5,FALSE)-VLOOKUP($A233,main!$A$3:$H$102,6,FALSE)&gt;=main!$D$103+VLOOKUP(VLOOKUP(BU$1,main!$A$3:$I$102,7,FALSE),main!$K$26:$Q$29,5,FALSE)),1,0)</f>
        <v>0</v>
      </c>
      <c r="BV233">
        <f>IF(AND(VLOOKUP(BV$1,main!$A$3:$H$102,7,FALSE)=main!$G$105,VLOOKUP(BV$1,main!$A$3:$H$102,5,FALSE)-VLOOKUP($A233,main!$A$3:$H$102,6,FALSE)&gt;=main!$D$103+VLOOKUP(VLOOKUP(BV$1,main!$A$3:$I$102,7,FALSE),main!$K$26:$Q$29,5,FALSE)),1,0)</f>
        <v>0</v>
      </c>
      <c r="BW233">
        <f>IF(AND(VLOOKUP(BW$1,main!$A$3:$H$102,7,FALSE)=main!$G$105,VLOOKUP(BW$1,main!$A$3:$H$102,5,FALSE)-VLOOKUP($A233,main!$A$3:$H$102,6,FALSE)&gt;=main!$D$103+VLOOKUP(VLOOKUP(BW$1,main!$A$3:$I$102,7,FALSE),main!$K$26:$Q$29,5,FALSE)),1,0)</f>
        <v>0</v>
      </c>
      <c r="BX233">
        <f>IF(AND(VLOOKUP(BX$1,main!$A$3:$H$102,7,FALSE)=main!$G$105,VLOOKUP(BX$1,main!$A$3:$H$102,5,FALSE)-VLOOKUP($A233,main!$A$3:$H$102,6,FALSE)&gt;=main!$D$103+VLOOKUP(VLOOKUP(BX$1,main!$A$3:$I$102,7,FALSE),main!$K$26:$Q$29,5,FALSE)),1,0)</f>
        <v>0</v>
      </c>
      <c r="BY233">
        <f>IF(AND(VLOOKUP(BY$1,main!$A$3:$H$102,7,FALSE)=main!$G$105,VLOOKUP(BY$1,main!$A$3:$H$102,5,FALSE)-VLOOKUP($A233,main!$A$3:$H$102,6,FALSE)&gt;=main!$D$103+VLOOKUP(VLOOKUP(BY$1,main!$A$3:$I$102,7,FALSE),main!$K$26:$Q$29,5,FALSE)),1,0)</f>
        <v>0</v>
      </c>
      <c r="BZ233">
        <f>IF(AND(VLOOKUP(BZ$1,main!$A$3:$H$102,7,FALSE)=main!$G$105,VLOOKUP(BZ$1,main!$A$3:$H$102,5,FALSE)-VLOOKUP($A233,main!$A$3:$H$102,6,FALSE)&gt;=main!$D$103+VLOOKUP(VLOOKUP(BZ$1,main!$A$3:$I$102,7,FALSE),main!$K$26:$Q$29,5,FALSE)),1,0)</f>
        <v>0</v>
      </c>
      <c r="CA233">
        <f>IF(AND(VLOOKUP(CA$1,main!$A$3:$H$102,7,FALSE)=main!$G$105,VLOOKUP(CA$1,main!$A$3:$H$102,5,FALSE)-VLOOKUP($A233,main!$A$3:$H$102,6,FALSE)&gt;=main!$D$103+VLOOKUP(VLOOKUP(CA$1,main!$A$3:$I$102,7,FALSE),main!$K$26:$Q$29,5,FALSE)),1,0)</f>
        <v>0</v>
      </c>
      <c r="CB233">
        <f>IF(AND(VLOOKUP(CB$1,main!$A$3:$H$102,7,FALSE)=main!$G$105,VLOOKUP(CB$1,main!$A$3:$H$102,5,FALSE)-VLOOKUP($A233,main!$A$3:$H$102,6,FALSE)&gt;=main!$D$103+VLOOKUP(VLOOKUP(CB$1,main!$A$3:$I$102,7,FALSE),main!$K$26:$Q$29,5,FALSE)),1,0)</f>
        <v>0</v>
      </c>
      <c r="CC233">
        <f>IF(AND(VLOOKUP(CC$1,main!$A$3:$H$102,7,FALSE)=main!$G$105,VLOOKUP(CC$1,main!$A$3:$H$102,5,FALSE)-VLOOKUP($A233,main!$A$3:$H$102,6,FALSE)&gt;=main!$D$103+VLOOKUP(VLOOKUP(CC$1,main!$A$3:$I$102,7,FALSE),main!$K$26:$Q$29,5,FALSE)),1,0)</f>
        <v>0</v>
      </c>
      <c r="CD233">
        <f>IF(AND(VLOOKUP(CD$1,main!$A$3:$H$102,7,FALSE)=main!$G$105,VLOOKUP(CD$1,main!$A$3:$H$102,5,FALSE)-VLOOKUP($A233,main!$A$3:$H$102,6,FALSE)&gt;=main!$D$103+VLOOKUP(VLOOKUP(CD$1,main!$A$3:$I$102,7,FALSE),main!$K$26:$Q$29,5,FALSE)),1,0)</f>
        <v>0</v>
      </c>
      <c r="CE233">
        <f>IF(AND(VLOOKUP(CE$1,main!$A$3:$H$102,7,FALSE)=main!$G$105,VLOOKUP(CE$1,main!$A$3:$H$102,5,FALSE)-VLOOKUP($A233,main!$A$3:$H$102,6,FALSE)&gt;=main!$D$103+VLOOKUP(VLOOKUP(CE$1,main!$A$3:$I$102,7,FALSE),main!$K$26:$Q$29,5,FALSE)),1,0)</f>
        <v>0</v>
      </c>
      <c r="CF233">
        <f>IF(AND(VLOOKUP(CF$1,main!$A$3:$H$102,7,FALSE)=main!$G$105,VLOOKUP(CF$1,main!$A$3:$H$102,5,FALSE)-VLOOKUP($A233,main!$A$3:$H$102,6,FALSE)&gt;=main!$D$103+VLOOKUP(VLOOKUP(CF$1,main!$A$3:$I$102,7,FALSE),main!$K$26:$Q$29,5,FALSE)),1,0)</f>
        <v>0</v>
      </c>
      <c r="CG233">
        <f>IF(AND(VLOOKUP(CG$1,main!$A$3:$H$102,7,FALSE)=main!$G$105,VLOOKUP(CG$1,main!$A$3:$H$102,5,FALSE)-VLOOKUP($A233,main!$A$3:$H$102,6,FALSE)&gt;=main!$D$103+VLOOKUP(VLOOKUP(CG$1,main!$A$3:$I$102,7,FALSE),main!$K$26:$Q$29,5,FALSE)),1,0)</f>
        <v>0</v>
      </c>
      <c r="CH233">
        <f>IF(AND(VLOOKUP(CH$1,main!$A$3:$H$102,7,FALSE)=main!$G$105,VLOOKUP(CH$1,main!$A$3:$H$102,5,FALSE)-VLOOKUP($A233,main!$A$3:$H$102,6,FALSE)&gt;=main!$D$103+VLOOKUP(VLOOKUP(CH$1,main!$A$3:$I$102,7,FALSE),main!$K$26:$Q$29,5,FALSE)),1,0)</f>
        <v>0</v>
      </c>
      <c r="CI233">
        <f>IF(AND(VLOOKUP(CI$1,main!$A$3:$H$102,7,FALSE)=main!$G$105,VLOOKUP(CI$1,main!$A$3:$H$102,5,FALSE)-VLOOKUP($A233,main!$A$3:$H$102,6,FALSE)&gt;=main!$D$103+VLOOKUP(VLOOKUP(CI$1,main!$A$3:$I$102,7,FALSE),main!$K$26:$Q$29,5,FALSE)),1,0)</f>
        <v>0</v>
      </c>
      <c r="CJ233">
        <f>IF(AND(VLOOKUP(CJ$1,main!$A$3:$H$102,7,FALSE)=main!$G$105,VLOOKUP(CJ$1,main!$A$3:$H$102,5,FALSE)-VLOOKUP($A233,main!$A$3:$H$102,6,FALSE)&gt;=main!$D$103+VLOOKUP(VLOOKUP(CJ$1,main!$A$3:$I$102,7,FALSE),main!$K$26:$Q$29,5,FALSE)),1,0)</f>
        <v>0</v>
      </c>
      <c r="CK233">
        <f>IF(AND(VLOOKUP(CK$1,main!$A$3:$H$102,7,FALSE)=main!$G$105,VLOOKUP(CK$1,main!$A$3:$H$102,5,FALSE)-VLOOKUP($A233,main!$A$3:$H$102,6,FALSE)&gt;=main!$D$103+VLOOKUP(VLOOKUP(CK$1,main!$A$3:$I$102,7,FALSE),main!$K$26:$Q$29,5,FALSE)),1,0)</f>
        <v>0</v>
      </c>
      <c r="CL233">
        <f>IF(AND(VLOOKUP(CL$1,main!$A$3:$H$102,7,FALSE)=main!$G$105,VLOOKUP(CL$1,main!$A$3:$H$102,5,FALSE)-VLOOKUP($A233,main!$A$3:$H$102,6,FALSE)&gt;=main!$D$103+VLOOKUP(VLOOKUP(CL$1,main!$A$3:$I$102,7,FALSE),main!$K$26:$Q$29,5,FALSE)),1,0)</f>
        <v>0</v>
      </c>
      <c r="CM233">
        <f>IF(AND(VLOOKUP(CM$1,main!$A$3:$H$102,7,FALSE)=main!$G$105,VLOOKUP(CM$1,main!$A$3:$H$102,5,FALSE)-VLOOKUP($A233,main!$A$3:$H$102,6,FALSE)&gt;=main!$D$103+VLOOKUP(VLOOKUP(CM$1,main!$A$3:$I$102,7,FALSE),main!$K$26:$Q$29,5,FALSE)),1,0)</f>
        <v>0</v>
      </c>
      <c r="CN233">
        <f>IF(AND(VLOOKUP(CN$1,main!$A$3:$H$102,7,FALSE)=main!$G$105,VLOOKUP(CN$1,main!$A$3:$H$102,5,FALSE)-VLOOKUP($A233,main!$A$3:$H$102,6,FALSE)&gt;=main!$D$103+VLOOKUP(VLOOKUP(CN$1,main!$A$3:$I$102,7,FALSE),main!$K$26:$Q$29,5,FALSE)),1,0)</f>
        <v>0</v>
      </c>
      <c r="CO233">
        <f>IF(AND(VLOOKUP(CO$1,main!$A$3:$H$102,7,FALSE)=main!$G$105,VLOOKUP(CO$1,main!$A$3:$H$102,5,FALSE)-VLOOKUP($A233,main!$A$3:$H$102,6,FALSE)&gt;=main!$D$103+VLOOKUP(VLOOKUP(CO$1,main!$A$3:$I$102,7,FALSE),main!$K$26:$Q$29,5,FALSE)),1,0)</f>
        <v>0</v>
      </c>
      <c r="CP233">
        <f>IF(AND(VLOOKUP(CP$1,main!$A$3:$H$102,7,FALSE)=main!$G$105,VLOOKUP(CP$1,main!$A$3:$H$102,5,FALSE)-VLOOKUP($A233,main!$A$3:$H$102,6,FALSE)&gt;=main!$D$103+VLOOKUP(VLOOKUP(CP$1,main!$A$3:$I$102,7,FALSE),main!$K$26:$Q$29,5,FALSE)),1,0)</f>
        <v>0</v>
      </c>
      <c r="CQ233">
        <f>IF(AND(VLOOKUP(CQ$1,main!$A$3:$H$102,7,FALSE)=main!$G$105,VLOOKUP(CQ$1,main!$A$3:$H$102,5,FALSE)-VLOOKUP($A233,main!$A$3:$H$102,6,FALSE)&gt;=main!$D$103+VLOOKUP(VLOOKUP(CQ$1,main!$A$3:$I$102,7,FALSE),main!$K$26:$Q$29,5,FALSE)),1,0)</f>
        <v>0</v>
      </c>
      <c r="CR233">
        <f>IF(AND(VLOOKUP(CR$1,main!$A$3:$H$102,7,FALSE)=main!$G$105,VLOOKUP(CR$1,main!$A$3:$H$102,5,FALSE)-VLOOKUP($A233,main!$A$3:$H$102,6,FALSE)&gt;=main!$D$103+VLOOKUP(VLOOKUP(CR$1,main!$A$3:$I$102,7,FALSE),main!$K$26:$Q$29,5,FALSE)),1,0)</f>
        <v>0</v>
      </c>
      <c r="CS233">
        <f>IF(AND(VLOOKUP(CS$1,main!$A$3:$H$102,7,FALSE)=main!$G$105,VLOOKUP(CS$1,main!$A$3:$H$102,5,FALSE)-VLOOKUP($A233,main!$A$3:$H$102,6,FALSE)&gt;=main!$D$103+VLOOKUP(VLOOKUP(CS$1,main!$A$3:$I$102,7,FALSE),main!$K$26:$Q$29,5,FALSE)),1,0)</f>
        <v>0</v>
      </c>
      <c r="CT233">
        <f>IF(AND(VLOOKUP(CT$1,main!$A$3:$H$102,7,FALSE)=main!$G$105,VLOOKUP(CT$1,main!$A$3:$H$102,5,FALSE)-VLOOKUP($A233,main!$A$3:$H$102,6,FALSE)&gt;=main!$D$103+VLOOKUP(VLOOKUP(CT$1,main!$A$3:$I$102,7,FALSE),main!$K$26:$Q$29,5,FALSE)),1,0)</f>
        <v>0</v>
      </c>
      <c r="CU233">
        <f>IF(AND(VLOOKUP(CU$1,main!$A$3:$H$102,7,FALSE)=main!$G$105,VLOOKUP(CU$1,main!$A$3:$H$102,5,FALSE)-VLOOKUP($A233,main!$A$3:$H$102,6,FALSE)&gt;=main!$D$103+VLOOKUP(VLOOKUP(CU$1,main!$A$3:$I$102,7,FALSE),main!$K$26:$Q$29,5,FALSE)),1,0)</f>
        <v>0</v>
      </c>
      <c r="CV233">
        <f>IF(AND(VLOOKUP(CV$1,main!$A$3:$H$102,7,FALSE)=main!$G$105,VLOOKUP(CV$1,main!$A$3:$H$102,5,FALSE)-VLOOKUP($A233,main!$A$3:$H$102,6,FALSE)&gt;=main!$D$103+VLOOKUP(VLOOKUP(CV$1,main!$A$3:$I$102,7,FALSE),main!$K$26:$Q$29,5,FALSE)),1,0)</f>
        <v>0</v>
      </c>
      <c r="CW233">
        <f>IF(AND(VLOOKUP(CW$1,main!$A$3:$H$102,7,FALSE)=main!$G$105,VLOOKUP(CW$1,main!$A$3:$H$102,5,FALSE)-VLOOKUP($A233,main!$A$3:$H$102,6,FALSE)&gt;=main!$D$103+VLOOKUP(VLOOKUP(CW$1,main!$A$3:$I$102,7,FALSE),main!$K$26:$Q$29,5,FALSE)),1,0)</f>
        <v>0</v>
      </c>
      <c r="CX233">
        <f>IF(AND(VLOOKUP(CX$1,main!$A$3:$H$102,7,FALSE)=main!$G$105,VLOOKUP(CX$1,main!$A$3:$H$102,5,FALSE)-VLOOKUP($A233,main!$A$3:$H$102,6,FALSE)&gt;=main!$D$103+VLOOKUP(VLOOKUP(CX$1,main!$A$3:$I$102,7,FALSE),main!$K$26:$Q$29,5,FALSE)),1,0)</f>
        <v>0</v>
      </c>
    </row>
    <row r="234" spans="1:102" x14ac:dyDescent="0.25">
      <c r="A234" s="1">
        <v>30</v>
      </c>
      <c r="B234">
        <v>0</v>
      </c>
      <c r="C234">
        <f>IF(AND(VLOOKUP(C$1,main!$A$3:$H$102,7,FALSE)=main!$G$105,VLOOKUP(C$1,main!$A$3:$H$102,5,FALSE)-VLOOKUP($A234,main!$A$3:$H$102,6,FALSE)&gt;=main!$D$103+VLOOKUP(VLOOKUP(C$1,main!$A$3:$I$102,7,FALSE),main!$K$26:$Q$29,5,FALSE)),1,0)</f>
        <v>0</v>
      </c>
      <c r="D234">
        <f>IF(AND(VLOOKUP(D$1,main!$A$3:$H$102,7,FALSE)=main!$G$105,VLOOKUP(D$1,main!$A$3:$H$102,5,FALSE)-VLOOKUP($A234,main!$A$3:$H$102,6,FALSE)&gt;=main!$D$103+VLOOKUP(VLOOKUP(D$1,main!$A$3:$I$102,7,FALSE),main!$K$26:$Q$29,5,FALSE)),1,0)</f>
        <v>0</v>
      </c>
      <c r="E234">
        <f>IF(AND(VLOOKUP(E$1,main!$A$3:$H$102,7,FALSE)=main!$G$105,VLOOKUP(E$1,main!$A$3:$H$102,5,FALSE)-VLOOKUP($A234,main!$A$3:$H$102,6,FALSE)&gt;=main!$D$103+VLOOKUP(VLOOKUP(E$1,main!$A$3:$I$102,7,FALSE),main!$K$26:$Q$29,5,FALSE)),1,0)</f>
        <v>0</v>
      </c>
      <c r="F234">
        <f>IF(AND(VLOOKUP(F$1,main!$A$3:$H$102,7,FALSE)=main!$G$105,VLOOKUP(F$1,main!$A$3:$H$102,5,FALSE)-VLOOKUP($A234,main!$A$3:$H$102,6,FALSE)&gt;=main!$D$103+VLOOKUP(VLOOKUP(F$1,main!$A$3:$I$102,7,FALSE),main!$K$26:$Q$29,5,FALSE)),1,0)</f>
        <v>0</v>
      </c>
      <c r="G234">
        <f>IF(AND(VLOOKUP(G$1,main!$A$3:$H$102,7,FALSE)=main!$G$105,VLOOKUP(G$1,main!$A$3:$H$102,5,FALSE)-VLOOKUP($A234,main!$A$3:$H$102,6,FALSE)&gt;=main!$D$103+VLOOKUP(VLOOKUP(G$1,main!$A$3:$I$102,7,FALSE),main!$K$26:$Q$29,5,FALSE)),1,0)</f>
        <v>0</v>
      </c>
      <c r="H234">
        <f>IF(AND(VLOOKUP(H$1,main!$A$3:$H$102,7,FALSE)=main!$G$105,VLOOKUP(H$1,main!$A$3:$H$102,5,FALSE)-VLOOKUP($A234,main!$A$3:$H$102,6,FALSE)&gt;=main!$D$103+VLOOKUP(VLOOKUP(H$1,main!$A$3:$I$102,7,FALSE),main!$K$26:$Q$29,5,FALSE)),1,0)</f>
        <v>0</v>
      </c>
      <c r="I234">
        <f>IF(AND(VLOOKUP(I$1,main!$A$3:$H$102,7,FALSE)=main!$G$105,VLOOKUP(I$1,main!$A$3:$H$102,5,FALSE)-VLOOKUP($A234,main!$A$3:$H$102,6,FALSE)&gt;=main!$D$103+VLOOKUP(VLOOKUP(I$1,main!$A$3:$I$102,7,FALSE),main!$K$26:$Q$29,5,FALSE)),1,0)</f>
        <v>0</v>
      </c>
      <c r="J234">
        <f>IF(AND(VLOOKUP(J$1,main!$A$3:$H$102,7,FALSE)=main!$G$105,VLOOKUP(J$1,main!$A$3:$H$102,5,FALSE)-VLOOKUP($A234,main!$A$3:$H$102,6,FALSE)&gt;=main!$D$103+VLOOKUP(VLOOKUP(J$1,main!$A$3:$I$102,7,FALSE),main!$K$26:$Q$29,5,FALSE)),1,0)</f>
        <v>0</v>
      </c>
      <c r="K234">
        <f>IF(AND(VLOOKUP(K$1,main!$A$3:$H$102,7,FALSE)=main!$G$105,VLOOKUP(K$1,main!$A$3:$H$102,5,FALSE)-VLOOKUP($A234,main!$A$3:$H$102,6,FALSE)&gt;=main!$D$103+VLOOKUP(VLOOKUP(K$1,main!$A$3:$I$102,7,FALSE),main!$K$26:$Q$29,5,FALSE)),1,0)</f>
        <v>0</v>
      </c>
      <c r="L234">
        <f>IF(AND(VLOOKUP(L$1,main!$A$3:$H$102,7,FALSE)=main!$G$105,VLOOKUP(L$1,main!$A$3:$H$102,5,FALSE)-VLOOKUP($A234,main!$A$3:$H$102,6,FALSE)&gt;=main!$D$103+VLOOKUP(VLOOKUP(L$1,main!$A$3:$I$102,7,FALSE),main!$K$26:$Q$29,5,FALSE)),1,0)</f>
        <v>0</v>
      </c>
      <c r="M234">
        <f>IF(AND(VLOOKUP(M$1,main!$A$3:$H$102,7,FALSE)=main!$G$105,VLOOKUP(M$1,main!$A$3:$H$102,5,FALSE)-VLOOKUP($A234,main!$A$3:$H$102,6,FALSE)&gt;=main!$D$103+VLOOKUP(VLOOKUP(M$1,main!$A$3:$I$102,7,FALSE),main!$K$26:$Q$29,5,FALSE)),1,0)</f>
        <v>0</v>
      </c>
      <c r="N234">
        <f>IF(AND(VLOOKUP(N$1,main!$A$3:$H$102,7,FALSE)=main!$G$105,VLOOKUP(N$1,main!$A$3:$H$102,5,FALSE)-VLOOKUP($A234,main!$A$3:$H$102,6,FALSE)&gt;=main!$D$103+VLOOKUP(VLOOKUP(N$1,main!$A$3:$I$102,7,FALSE),main!$K$26:$Q$29,5,FALSE)),1,0)</f>
        <v>0</v>
      </c>
      <c r="O234">
        <f>IF(AND(VLOOKUP(O$1,main!$A$3:$H$102,7,FALSE)=main!$G$105,VLOOKUP(O$1,main!$A$3:$H$102,5,FALSE)-VLOOKUP($A234,main!$A$3:$H$102,6,FALSE)&gt;=main!$D$103+VLOOKUP(VLOOKUP(O$1,main!$A$3:$I$102,7,FALSE),main!$K$26:$Q$29,5,FALSE)),1,0)</f>
        <v>0</v>
      </c>
      <c r="P234">
        <f>IF(AND(VLOOKUP(P$1,main!$A$3:$H$102,7,FALSE)=main!$G$105,VLOOKUP(P$1,main!$A$3:$H$102,5,FALSE)-VLOOKUP($A234,main!$A$3:$H$102,6,FALSE)&gt;=main!$D$103+VLOOKUP(VLOOKUP(P$1,main!$A$3:$I$102,7,FALSE),main!$K$26:$Q$29,5,FALSE)),1,0)</f>
        <v>0</v>
      </c>
      <c r="Q234">
        <f>IF(AND(VLOOKUP(Q$1,main!$A$3:$H$102,7,FALSE)=main!$G$105,VLOOKUP(Q$1,main!$A$3:$H$102,5,FALSE)-VLOOKUP($A234,main!$A$3:$H$102,6,FALSE)&gt;=main!$D$103+VLOOKUP(VLOOKUP(Q$1,main!$A$3:$I$102,7,FALSE),main!$K$26:$Q$29,5,FALSE)),1,0)</f>
        <v>0</v>
      </c>
      <c r="R234">
        <f>IF(AND(VLOOKUP(R$1,main!$A$3:$H$102,7,FALSE)=main!$G$105,VLOOKUP(R$1,main!$A$3:$H$102,5,FALSE)-VLOOKUP($A234,main!$A$3:$H$102,6,FALSE)&gt;=main!$D$103+VLOOKUP(VLOOKUP(R$1,main!$A$3:$I$102,7,FALSE),main!$K$26:$Q$29,5,FALSE)),1,0)</f>
        <v>0</v>
      </c>
      <c r="S234">
        <f>IF(AND(VLOOKUP(S$1,main!$A$3:$H$102,7,FALSE)=main!$G$105,VLOOKUP(S$1,main!$A$3:$H$102,5,FALSE)-VLOOKUP($A234,main!$A$3:$H$102,6,FALSE)&gt;=main!$D$103+VLOOKUP(VLOOKUP(S$1,main!$A$3:$I$102,7,FALSE),main!$K$26:$Q$29,5,FALSE)),1,0)</f>
        <v>0</v>
      </c>
      <c r="T234">
        <f>IF(AND(VLOOKUP(T$1,main!$A$3:$H$102,7,FALSE)=main!$G$105,VLOOKUP(T$1,main!$A$3:$H$102,5,FALSE)-VLOOKUP($A234,main!$A$3:$H$102,6,FALSE)&gt;=main!$D$103+VLOOKUP(VLOOKUP(T$1,main!$A$3:$I$102,7,FALSE),main!$K$26:$Q$29,5,FALSE)),1,0)</f>
        <v>0</v>
      </c>
      <c r="U234">
        <f>IF(AND(VLOOKUP(U$1,main!$A$3:$H$102,7,FALSE)=main!$G$105,VLOOKUP(U$1,main!$A$3:$H$102,5,FALSE)-VLOOKUP($A234,main!$A$3:$H$102,6,FALSE)&gt;=main!$D$103+VLOOKUP(VLOOKUP(U$1,main!$A$3:$I$102,7,FALSE),main!$K$26:$Q$29,5,FALSE)),1,0)</f>
        <v>0</v>
      </c>
      <c r="V234">
        <f>IF(AND(VLOOKUP(V$1,main!$A$3:$H$102,7,FALSE)=main!$G$105,VLOOKUP(V$1,main!$A$3:$H$102,5,FALSE)-VLOOKUP($A234,main!$A$3:$H$102,6,FALSE)&gt;=main!$D$103+VLOOKUP(VLOOKUP(V$1,main!$A$3:$I$102,7,FALSE),main!$K$26:$Q$29,5,FALSE)),1,0)</f>
        <v>0</v>
      </c>
      <c r="W234">
        <f>IF(AND(VLOOKUP(W$1,main!$A$3:$H$102,7,FALSE)=main!$G$105,VLOOKUP(W$1,main!$A$3:$H$102,5,FALSE)-VLOOKUP($A234,main!$A$3:$H$102,6,FALSE)&gt;=main!$D$103+VLOOKUP(VLOOKUP(W$1,main!$A$3:$I$102,7,FALSE),main!$K$26:$Q$29,5,FALSE)),1,0)</f>
        <v>0</v>
      </c>
      <c r="X234">
        <f>IF(AND(VLOOKUP(X$1,main!$A$3:$H$102,7,FALSE)=main!$G$105,VLOOKUP(X$1,main!$A$3:$H$102,5,FALSE)-VLOOKUP($A234,main!$A$3:$H$102,6,FALSE)&gt;=main!$D$103+VLOOKUP(VLOOKUP(X$1,main!$A$3:$I$102,7,FALSE),main!$K$26:$Q$29,5,FALSE)),1,0)</f>
        <v>0</v>
      </c>
      <c r="Y234">
        <f>IF(AND(VLOOKUP(Y$1,main!$A$3:$H$102,7,FALSE)=main!$G$105,VLOOKUP(Y$1,main!$A$3:$H$102,5,FALSE)-VLOOKUP($A234,main!$A$3:$H$102,6,FALSE)&gt;=main!$D$103+VLOOKUP(VLOOKUP(Y$1,main!$A$3:$I$102,7,FALSE),main!$K$26:$Q$29,5,FALSE)),1,0)</f>
        <v>0</v>
      </c>
      <c r="Z234">
        <f>IF(AND(VLOOKUP(Z$1,main!$A$3:$H$102,7,FALSE)=main!$G$105,VLOOKUP(Z$1,main!$A$3:$H$102,5,FALSE)-VLOOKUP($A234,main!$A$3:$H$102,6,FALSE)&gt;=main!$D$103+VLOOKUP(VLOOKUP(Z$1,main!$A$3:$I$102,7,FALSE),main!$K$26:$Q$29,5,FALSE)),1,0)</f>
        <v>0</v>
      </c>
      <c r="AA234">
        <f>IF(AND(VLOOKUP(AA$1,main!$A$3:$H$102,7,FALSE)=main!$G$105,VLOOKUP(AA$1,main!$A$3:$H$102,5,FALSE)-VLOOKUP($A234,main!$A$3:$H$102,6,FALSE)&gt;=main!$D$103+VLOOKUP(VLOOKUP(AA$1,main!$A$3:$I$102,7,FALSE),main!$K$26:$Q$29,5,FALSE)),1,0)</f>
        <v>0</v>
      </c>
      <c r="AB234">
        <f>IF(AND(VLOOKUP(AB$1,main!$A$3:$H$102,7,FALSE)=main!$G$105,VLOOKUP(AB$1,main!$A$3:$H$102,5,FALSE)-VLOOKUP($A234,main!$A$3:$H$102,6,FALSE)&gt;=main!$D$103+VLOOKUP(VLOOKUP(AB$1,main!$A$3:$I$102,7,FALSE),main!$K$26:$Q$29,5,FALSE)),1,0)</f>
        <v>0</v>
      </c>
      <c r="AC234">
        <f>IF(AND(VLOOKUP(AC$1,main!$A$3:$H$102,7,FALSE)=main!$G$105,VLOOKUP(AC$1,main!$A$3:$H$102,5,FALSE)-VLOOKUP($A234,main!$A$3:$H$102,6,FALSE)&gt;=main!$D$103+VLOOKUP(VLOOKUP(AC$1,main!$A$3:$I$102,7,FALSE),main!$K$26:$Q$29,5,FALSE)),1,0)</f>
        <v>0</v>
      </c>
      <c r="AD234">
        <f>IF(AND(VLOOKUP(AD$1,main!$A$3:$H$102,7,FALSE)=main!$G$105,VLOOKUP(AD$1,main!$A$3:$H$102,5,FALSE)-VLOOKUP($A234,main!$A$3:$H$102,6,FALSE)&gt;=main!$D$103+VLOOKUP(VLOOKUP(AD$1,main!$A$3:$I$102,7,FALSE),main!$K$26:$Q$29,5,FALSE)),1,0)</f>
        <v>0</v>
      </c>
      <c r="AE234">
        <f>IF(AND(VLOOKUP(AE$1,main!$A$3:$H$102,7,FALSE)=main!$G$105,VLOOKUP(AE$1,main!$A$3:$H$102,5,FALSE)-VLOOKUP($A234,main!$A$3:$H$102,6,FALSE)&gt;=main!$D$103+VLOOKUP(VLOOKUP(AE$1,main!$A$3:$I$102,7,FALSE),main!$K$26:$Q$29,5,FALSE)),1,0)</f>
        <v>0</v>
      </c>
      <c r="AF234">
        <f>IF(AND(VLOOKUP(AF$1,main!$A$3:$H$102,7,FALSE)=main!$G$105,VLOOKUP(AF$1,main!$A$3:$H$102,5,FALSE)-VLOOKUP($A234,main!$A$3:$H$102,6,FALSE)&gt;=main!$D$103+VLOOKUP(VLOOKUP(AF$1,main!$A$3:$I$102,7,FALSE),main!$K$26:$Q$29,5,FALSE)),1,0)</f>
        <v>0</v>
      </c>
      <c r="AG234">
        <f>IF(AND(VLOOKUP(AG$1,main!$A$3:$H$102,7,FALSE)=main!$G$105,VLOOKUP(AG$1,main!$A$3:$H$102,5,FALSE)-VLOOKUP($A234,main!$A$3:$H$102,6,FALSE)&gt;=main!$D$103+VLOOKUP(VLOOKUP(AG$1,main!$A$3:$I$102,7,FALSE),main!$K$26:$Q$29,5,FALSE)),1,0)</f>
        <v>0</v>
      </c>
      <c r="AH234">
        <f>IF(AND(VLOOKUP(AH$1,main!$A$3:$H$102,7,FALSE)=main!$G$105,VLOOKUP(AH$1,main!$A$3:$H$102,5,FALSE)-VLOOKUP($A234,main!$A$3:$H$102,6,FALSE)&gt;=main!$D$103+VLOOKUP(VLOOKUP(AH$1,main!$A$3:$I$102,7,FALSE),main!$K$26:$Q$29,5,FALSE)),1,0)</f>
        <v>0</v>
      </c>
      <c r="AI234">
        <f>IF(AND(VLOOKUP(AI$1,main!$A$3:$H$102,7,FALSE)=main!$G$105,VLOOKUP(AI$1,main!$A$3:$H$102,5,FALSE)-VLOOKUP($A234,main!$A$3:$H$102,6,FALSE)&gt;=main!$D$103+VLOOKUP(VLOOKUP(AI$1,main!$A$3:$I$102,7,FALSE),main!$K$26:$Q$29,5,FALSE)),1,0)</f>
        <v>0</v>
      </c>
      <c r="AJ234">
        <f>IF(AND(VLOOKUP(AJ$1,main!$A$3:$H$102,7,FALSE)=main!$G$105,VLOOKUP(AJ$1,main!$A$3:$H$102,5,FALSE)-VLOOKUP($A234,main!$A$3:$H$102,6,FALSE)&gt;=main!$D$103+VLOOKUP(VLOOKUP(AJ$1,main!$A$3:$I$102,7,FALSE),main!$K$26:$Q$29,5,FALSE)),1,0)</f>
        <v>0</v>
      </c>
      <c r="AK234">
        <f>IF(AND(VLOOKUP(AK$1,main!$A$3:$H$102,7,FALSE)=main!$G$105,VLOOKUP(AK$1,main!$A$3:$H$102,5,FALSE)-VLOOKUP($A234,main!$A$3:$H$102,6,FALSE)&gt;=main!$D$103+VLOOKUP(VLOOKUP(AK$1,main!$A$3:$I$102,7,FALSE),main!$K$26:$Q$29,5,FALSE)),1,0)</f>
        <v>0</v>
      </c>
      <c r="AL234">
        <f>IF(AND(VLOOKUP(AL$1,main!$A$3:$H$102,7,FALSE)=main!$G$105,VLOOKUP(AL$1,main!$A$3:$H$102,5,FALSE)-VLOOKUP($A234,main!$A$3:$H$102,6,FALSE)&gt;=main!$D$103+VLOOKUP(VLOOKUP(AL$1,main!$A$3:$I$102,7,FALSE),main!$K$26:$Q$29,5,FALSE)),1,0)</f>
        <v>0</v>
      </c>
      <c r="AM234">
        <f>IF(AND(VLOOKUP(AM$1,main!$A$3:$H$102,7,FALSE)=main!$G$105,VLOOKUP(AM$1,main!$A$3:$H$102,5,FALSE)-VLOOKUP($A234,main!$A$3:$H$102,6,FALSE)&gt;=main!$D$103+VLOOKUP(VLOOKUP(AM$1,main!$A$3:$I$102,7,FALSE),main!$K$26:$Q$29,5,FALSE)),1,0)</f>
        <v>0</v>
      </c>
      <c r="AN234">
        <f>IF(AND(VLOOKUP(AN$1,main!$A$3:$H$102,7,FALSE)=main!$G$105,VLOOKUP(AN$1,main!$A$3:$H$102,5,FALSE)-VLOOKUP($A234,main!$A$3:$H$102,6,FALSE)&gt;=main!$D$103+VLOOKUP(VLOOKUP(AN$1,main!$A$3:$I$102,7,FALSE),main!$K$26:$Q$29,5,FALSE)),1,0)</f>
        <v>0</v>
      </c>
      <c r="AO234">
        <f>IF(AND(VLOOKUP(AO$1,main!$A$3:$H$102,7,FALSE)=main!$G$105,VLOOKUP(AO$1,main!$A$3:$H$102,5,FALSE)-VLOOKUP($A234,main!$A$3:$H$102,6,FALSE)&gt;=main!$D$103+VLOOKUP(VLOOKUP(AO$1,main!$A$3:$I$102,7,FALSE),main!$K$26:$Q$29,5,FALSE)),1,0)</f>
        <v>0</v>
      </c>
      <c r="AP234">
        <f>IF(AND(VLOOKUP(AP$1,main!$A$3:$H$102,7,FALSE)=main!$G$105,VLOOKUP(AP$1,main!$A$3:$H$102,5,FALSE)-VLOOKUP($A234,main!$A$3:$H$102,6,FALSE)&gt;=main!$D$103+VLOOKUP(VLOOKUP(AP$1,main!$A$3:$I$102,7,FALSE),main!$K$26:$Q$29,5,FALSE)),1,0)</f>
        <v>0</v>
      </c>
      <c r="AQ234">
        <f>IF(AND(VLOOKUP(AQ$1,main!$A$3:$H$102,7,FALSE)=main!$G$105,VLOOKUP(AQ$1,main!$A$3:$H$102,5,FALSE)-VLOOKUP($A234,main!$A$3:$H$102,6,FALSE)&gt;=main!$D$103+VLOOKUP(VLOOKUP(AQ$1,main!$A$3:$I$102,7,FALSE),main!$K$26:$Q$29,5,FALSE)),1,0)</f>
        <v>0</v>
      </c>
      <c r="AR234">
        <f>IF(AND(VLOOKUP(AR$1,main!$A$3:$H$102,7,FALSE)=main!$G$105,VLOOKUP(AR$1,main!$A$3:$H$102,5,FALSE)-VLOOKUP($A234,main!$A$3:$H$102,6,FALSE)&gt;=main!$D$103+VLOOKUP(VLOOKUP(AR$1,main!$A$3:$I$102,7,FALSE),main!$K$26:$Q$29,5,FALSE)),1,0)</f>
        <v>0</v>
      </c>
      <c r="AS234">
        <f>IF(AND(VLOOKUP(AS$1,main!$A$3:$H$102,7,FALSE)=main!$G$105,VLOOKUP(AS$1,main!$A$3:$H$102,5,FALSE)-VLOOKUP($A234,main!$A$3:$H$102,6,FALSE)&gt;=main!$D$103+VLOOKUP(VLOOKUP(AS$1,main!$A$3:$I$102,7,FALSE),main!$K$26:$Q$29,5,FALSE)),1,0)</f>
        <v>0</v>
      </c>
      <c r="AT234">
        <f>IF(AND(VLOOKUP(AT$1,main!$A$3:$H$102,7,FALSE)=main!$G$105,VLOOKUP(AT$1,main!$A$3:$H$102,5,FALSE)-VLOOKUP($A234,main!$A$3:$H$102,6,FALSE)&gt;=main!$D$103+VLOOKUP(VLOOKUP(AT$1,main!$A$3:$I$102,7,FALSE),main!$K$26:$Q$29,5,FALSE)),1,0)</f>
        <v>0</v>
      </c>
      <c r="AU234">
        <f>IF(AND(VLOOKUP(AU$1,main!$A$3:$H$102,7,FALSE)=main!$G$105,VLOOKUP(AU$1,main!$A$3:$H$102,5,FALSE)-VLOOKUP($A234,main!$A$3:$H$102,6,FALSE)&gt;=main!$D$103+VLOOKUP(VLOOKUP(AU$1,main!$A$3:$I$102,7,FALSE),main!$K$26:$Q$29,5,FALSE)),1,0)</f>
        <v>0</v>
      </c>
      <c r="AV234">
        <f>IF(AND(VLOOKUP(AV$1,main!$A$3:$H$102,7,FALSE)=main!$G$105,VLOOKUP(AV$1,main!$A$3:$H$102,5,FALSE)-VLOOKUP($A234,main!$A$3:$H$102,6,FALSE)&gt;=main!$D$103+VLOOKUP(VLOOKUP(AV$1,main!$A$3:$I$102,7,FALSE),main!$K$26:$Q$29,5,FALSE)),1,0)</f>
        <v>0</v>
      </c>
      <c r="AW234">
        <f>IF(AND(VLOOKUP(AW$1,main!$A$3:$H$102,7,FALSE)=main!$G$105,VLOOKUP(AW$1,main!$A$3:$H$102,5,FALSE)-VLOOKUP($A234,main!$A$3:$H$102,6,FALSE)&gt;=main!$D$103+VLOOKUP(VLOOKUP(AW$1,main!$A$3:$I$102,7,FALSE),main!$K$26:$Q$29,5,FALSE)),1,0)</f>
        <v>0</v>
      </c>
      <c r="AX234">
        <f>IF(AND(VLOOKUP(AX$1,main!$A$3:$H$102,7,FALSE)=main!$G$105,VLOOKUP(AX$1,main!$A$3:$H$102,5,FALSE)-VLOOKUP($A234,main!$A$3:$H$102,6,FALSE)&gt;=main!$D$103+VLOOKUP(VLOOKUP(AX$1,main!$A$3:$I$102,7,FALSE),main!$K$26:$Q$29,5,FALSE)),1,0)</f>
        <v>0</v>
      </c>
      <c r="AY234">
        <f>IF(AND(VLOOKUP(AY$1,main!$A$3:$H$102,7,FALSE)=main!$G$105,VLOOKUP(AY$1,main!$A$3:$H$102,5,FALSE)-VLOOKUP($A234,main!$A$3:$H$102,6,FALSE)&gt;=main!$D$103+VLOOKUP(VLOOKUP(AY$1,main!$A$3:$I$102,7,FALSE),main!$K$26:$Q$29,5,FALSE)),1,0)</f>
        <v>0</v>
      </c>
      <c r="AZ234">
        <f>IF(AND(VLOOKUP(AZ$1,main!$A$3:$H$102,7,FALSE)=main!$G$105,VLOOKUP(AZ$1,main!$A$3:$H$102,5,FALSE)-VLOOKUP($A234,main!$A$3:$H$102,6,FALSE)&gt;=main!$D$103+VLOOKUP(VLOOKUP(AZ$1,main!$A$3:$I$102,7,FALSE),main!$K$26:$Q$29,5,FALSE)),1,0)</f>
        <v>0</v>
      </c>
      <c r="BA234">
        <f>IF(AND(VLOOKUP(BA$1,main!$A$3:$H$102,7,FALSE)=main!$G$105,VLOOKUP(BA$1,main!$A$3:$H$102,5,FALSE)-VLOOKUP($A234,main!$A$3:$H$102,6,FALSE)&gt;=main!$D$103+VLOOKUP(VLOOKUP(BA$1,main!$A$3:$I$102,7,FALSE),main!$K$26:$Q$29,5,FALSE)),1,0)</f>
        <v>0</v>
      </c>
      <c r="BB234">
        <f>IF(AND(VLOOKUP(BB$1,main!$A$3:$H$102,7,FALSE)=main!$G$105,VLOOKUP(BB$1,main!$A$3:$H$102,5,FALSE)-VLOOKUP($A234,main!$A$3:$H$102,6,FALSE)&gt;=main!$D$103+VLOOKUP(VLOOKUP(BB$1,main!$A$3:$I$102,7,FALSE),main!$K$26:$Q$29,5,FALSE)),1,0)</f>
        <v>0</v>
      </c>
      <c r="BC234">
        <f>IF(AND(VLOOKUP(BC$1,main!$A$3:$H$102,7,FALSE)=main!$G$105,VLOOKUP(BC$1,main!$A$3:$H$102,5,FALSE)-VLOOKUP($A234,main!$A$3:$H$102,6,FALSE)&gt;=main!$D$103+VLOOKUP(VLOOKUP(BC$1,main!$A$3:$I$102,7,FALSE),main!$K$26:$Q$29,5,FALSE)),1,0)</f>
        <v>0</v>
      </c>
      <c r="BD234">
        <f>IF(AND(VLOOKUP(BD$1,main!$A$3:$H$102,7,FALSE)=main!$G$105,VLOOKUP(BD$1,main!$A$3:$H$102,5,FALSE)-VLOOKUP($A234,main!$A$3:$H$102,6,FALSE)&gt;=main!$D$103+VLOOKUP(VLOOKUP(BD$1,main!$A$3:$I$102,7,FALSE),main!$K$26:$Q$29,5,FALSE)),1,0)</f>
        <v>0</v>
      </c>
      <c r="BE234">
        <f>IF(AND(VLOOKUP(BE$1,main!$A$3:$H$102,7,FALSE)=main!$G$105,VLOOKUP(BE$1,main!$A$3:$H$102,5,FALSE)-VLOOKUP($A234,main!$A$3:$H$102,6,FALSE)&gt;=main!$D$103+VLOOKUP(VLOOKUP(BE$1,main!$A$3:$I$102,7,FALSE),main!$K$26:$Q$29,5,FALSE)),1,0)</f>
        <v>0</v>
      </c>
      <c r="BF234">
        <f>IF(AND(VLOOKUP(BF$1,main!$A$3:$H$102,7,FALSE)=main!$G$105,VLOOKUP(BF$1,main!$A$3:$H$102,5,FALSE)-VLOOKUP($A234,main!$A$3:$H$102,6,FALSE)&gt;=main!$D$103+VLOOKUP(VLOOKUP(BF$1,main!$A$3:$I$102,7,FALSE),main!$K$26:$Q$29,5,FALSE)),1,0)</f>
        <v>0</v>
      </c>
      <c r="BG234">
        <f>IF(AND(VLOOKUP(BG$1,main!$A$3:$H$102,7,FALSE)=main!$G$105,VLOOKUP(BG$1,main!$A$3:$H$102,5,FALSE)-VLOOKUP($A234,main!$A$3:$H$102,6,FALSE)&gt;=main!$D$103+VLOOKUP(VLOOKUP(BG$1,main!$A$3:$I$102,7,FALSE),main!$K$26:$Q$29,5,FALSE)),1,0)</f>
        <v>0</v>
      </c>
      <c r="BH234">
        <f>IF(AND(VLOOKUP(BH$1,main!$A$3:$H$102,7,FALSE)=main!$G$105,VLOOKUP(BH$1,main!$A$3:$H$102,5,FALSE)-VLOOKUP($A234,main!$A$3:$H$102,6,FALSE)&gt;=main!$D$103+VLOOKUP(VLOOKUP(BH$1,main!$A$3:$I$102,7,FALSE),main!$K$26:$Q$29,5,FALSE)),1,0)</f>
        <v>0</v>
      </c>
      <c r="BI234">
        <f>IF(AND(VLOOKUP(BI$1,main!$A$3:$H$102,7,FALSE)=main!$G$105,VLOOKUP(BI$1,main!$A$3:$H$102,5,FALSE)-VLOOKUP($A234,main!$A$3:$H$102,6,FALSE)&gt;=main!$D$103+VLOOKUP(VLOOKUP(BI$1,main!$A$3:$I$102,7,FALSE),main!$K$26:$Q$29,5,FALSE)),1,0)</f>
        <v>0</v>
      </c>
      <c r="BJ234">
        <f>IF(AND(VLOOKUP(BJ$1,main!$A$3:$H$102,7,FALSE)=main!$G$105,VLOOKUP(BJ$1,main!$A$3:$H$102,5,FALSE)-VLOOKUP($A234,main!$A$3:$H$102,6,FALSE)&gt;=main!$D$103+VLOOKUP(VLOOKUP(BJ$1,main!$A$3:$I$102,7,FALSE),main!$K$26:$Q$29,5,FALSE)),1,0)</f>
        <v>0</v>
      </c>
      <c r="BK234">
        <f>IF(AND(VLOOKUP(BK$1,main!$A$3:$H$102,7,FALSE)=main!$G$105,VLOOKUP(BK$1,main!$A$3:$H$102,5,FALSE)-VLOOKUP($A234,main!$A$3:$H$102,6,FALSE)&gt;=main!$D$103+VLOOKUP(VLOOKUP(BK$1,main!$A$3:$I$102,7,FALSE),main!$K$26:$Q$29,5,FALSE)),1,0)</f>
        <v>0</v>
      </c>
      <c r="BL234">
        <f>IF(AND(VLOOKUP(BL$1,main!$A$3:$H$102,7,FALSE)=main!$G$105,VLOOKUP(BL$1,main!$A$3:$H$102,5,FALSE)-VLOOKUP($A234,main!$A$3:$H$102,6,FALSE)&gt;=main!$D$103+VLOOKUP(VLOOKUP(BL$1,main!$A$3:$I$102,7,FALSE),main!$K$26:$Q$29,5,FALSE)),1,0)</f>
        <v>0</v>
      </c>
      <c r="BM234">
        <f>IF(AND(VLOOKUP(BM$1,main!$A$3:$H$102,7,FALSE)=main!$G$105,VLOOKUP(BM$1,main!$A$3:$H$102,5,FALSE)-VLOOKUP($A234,main!$A$3:$H$102,6,FALSE)&gt;=main!$D$103+VLOOKUP(VLOOKUP(BM$1,main!$A$3:$I$102,7,FALSE),main!$K$26:$Q$29,5,FALSE)),1,0)</f>
        <v>0</v>
      </c>
      <c r="BN234">
        <f>IF(AND(VLOOKUP(BN$1,main!$A$3:$H$102,7,FALSE)=main!$G$105,VLOOKUP(BN$1,main!$A$3:$H$102,5,FALSE)-VLOOKUP($A234,main!$A$3:$H$102,6,FALSE)&gt;=main!$D$103+VLOOKUP(VLOOKUP(BN$1,main!$A$3:$I$102,7,FALSE),main!$K$26:$Q$29,5,FALSE)),1,0)</f>
        <v>0</v>
      </c>
      <c r="BO234">
        <f>IF(AND(VLOOKUP(BO$1,main!$A$3:$H$102,7,FALSE)=main!$G$105,VLOOKUP(BO$1,main!$A$3:$H$102,5,FALSE)-VLOOKUP($A234,main!$A$3:$H$102,6,FALSE)&gt;=main!$D$103+VLOOKUP(VLOOKUP(BO$1,main!$A$3:$I$102,7,FALSE),main!$K$26:$Q$29,5,FALSE)),1,0)</f>
        <v>0</v>
      </c>
      <c r="BP234">
        <f>IF(AND(VLOOKUP(BP$1,main!$A$3:$H$102,7,FALSE)=main!$G$105,VLOOKUP(BP$1,main!$A$3:$H$102,5,FALSE)-VLOOKUP($A234,main!$A$3:$H$102,6,FALSE)&gt;=main!$D$103+VLOOKUP(VLOOKUP(BP$1,main!$A$3:$I$102,7,FALSE),main!$K$26:$Q$29,5,FALSE)),1,0)</f>
        <v>0</v>
      </c>
      <c r="BQ234">
        <f>IF(AND(VLOOKUP(BQ$1,main!$A$3:$H$102,7,FALSE)=main!$G$105,VLOOKUP(BQ$1,main!$A$3:$H$102,5,FALSE)-VLOOKUP($A234,main!$A$3:$H$102,6,FALSE)&gt;=main!$D$103+VLOOKUP(VLOOKUP(BQ$1,main!$A$3:$I$102,7,FALSE),main!$K$26:$Q$29,5,FALSE)),1,0)</f>
        <v>0</v>
      </c>
      <c r="BR234">
        <f>IF(AND(VLOOKUP(BR$1,main!$A$3:$H$102,7,FALSE)=main!$G$105,VLOOKUP(BR$1,main!$A$3:$H$102,5,FALSE)-VLOOKUP($A234,main!$A$3:$H$102,6,FALSE)&gt;=main!$D$103+VLOOKUP(VLOOKUP(BR$1,main!$A$3:$I$102,7,FALSE),main!$K$26:$Q$29,5,FALSE)),1,0)</f>
        <v>0</v>
      </c>
      <c r="BS234">
        <f>IF(AND(VLOOKUP(BS$1,main!$A$3:$H$102,7,FALSE)=main!$G$105,VLOOKUP(BS$1,main!$A$3:$H$102,5,FALSE)-VLOOKUP($A234,main!$A$3:$H$102,6,FALSE)&gt;=main!$D$103+VLOOKUP(VLOOKUP(BS$1,main!$A$3:$I$102,7,FALSE),main!$K$26:$Q$29,5,FALSE)),1,0)</f>
        <v>0</v>
      </c>
      <c r="BT234">
        <f>IF(AND(VLOOKUP(BT$1,main!$A$3:$H$102,7,FALSE)=main!$G$105,VLOOKUP(BT$1,main!$A$3:$H$102,5,FALSE)-VLOOKUP($A234,main!$A$3:$H$102,6,FALSE)&gt;=main!$D$103+VLOOKUP(VLOOKUP(BT$1,main!$A$3:$I$102,7,FALSE),main!$K$26:$Q$29,5,FALSE)),1,0)</f>
        <v>0</v>
      </c>
      <c r="BU234">
        <f>IF(AND(VLOOKUP(BU$1,main!$A$3:$H$102,7,FALSE)=main!$G$105,VLOOKUP(BU$1,main!$A$3:$H$102,5,FALSE)-VLOOKUP($A234,main!$A$3:$H$102,6,FALSE)&gt;=main!$D$103+VLOOKUP(VLOOKUP(BU$1,main!$A$3:$I$102,7,FALSE),main!$K$26:$Q$29,5,FALSE)),1,0)</f>
        <v>0</v>
      </c>
      <c r="BV234">
        <f>IF(AND(VLOOKUP(BV$1,main!$A$3:$H$102,7,FALSE)=main!$G$105,VLOOKUP(BV$1,main!$A$3:$H$102,5,FALSE)-VLOOKUP($A234,main!$A$3:$H$102,6,FALSE)&gt;=main!$D$103+VLOOKUP(VLOOKUP(BV$1,main!$A$3:$I$102,7,FALSE),main!$K$26:$Q$29,5,FALSE)),1,0)</f>
        <v>0</v>
      </c>
      <c r="BW234">
        <f>IF(AND(VLOOKUP(BW$1,main!$A$3:$H$102,7,FALSE)=main!$G$105,VLOOKUP(BW$1,main!$A$3:$H$102,5,FALSE)-VLOOKUP($A234,main!$A$3:$H$102,6,FALSE)&gt;=main!$D$103+VLOOKUP(VLOOKUP(BW$1,main!$A$3:$I$102,7,FALSE),main!$K$26:$Q$29,5,FALSE)),1,0)</f>
        <v>0</v>
      </c>
      <c r="BX234">
        <f>IF(AND(VLOOKUP(BX$1,main!$A$3:$H$102,7,FALSE)=main!$G$105,VLOOKUP(BX$1,main!$A$3:$H$102,5,FALSE)-VLOOKUP($A234,main!$A$3:$H$102,6,FALSE)&gt;=main!$D$103+VLOOKUP(VLOOKUP(BX$1,main!$A$3:$I$102,7,FALSE),main!$K$26:$Q$29,5,FALSE)),1,0)</f>
        <v>0</v>
      </c>
      <c r="BY234">
        <f>IF(AND(VLOOKUP(BY$1,main!$A$3:$H$102,7,FALSE)=main!$G$105,VLOOKUP(BY$1,main!$A$3:$H$102,5,FALSE)-VLOOKUP($A234,main!$A$3:$H$102,6,FALSE)&gt;=main!$D$103+VLOOKUP(VLOOKUP(BY$1,main!$A$3:$I$102,7,FALSE),main!$K$26:$Q$29,5,FALSE)),1,0)</f>
        <v>0</v>
      </c>
      <c r="BZ234">
        <f>IF(AND(VLOOKUP(BZ$1,main!$A$3:$H$102,7,FALSE)=main!$G$105,VLOOKUP(BZ$1,main!$A$3:$H$102,5,FALSE)-VLOOKUP($A234,main!$A$3:$H$102,6,FALSE)&gt;=main!$D$103+VLOOKUP(VLOOKUP(BZ$1,main!$A$3:$I$102,7,FALSE),main!$K$26:$Q$29,5,FALSE)),1,0)</f>
        <v>0</v>
      </c>
      <c r="CA234">
        <f>IF(AND(VLOOKUP(CA$1,main!$A$3:$H$102,7,FALSE)=main!$G$105,VLOOKUP(CA$1,main!$A$3:$H$102,5,FALSE)-VLOOKUP($A234,main!$A$3:$H$102,6,FALSE)&gt;=main!$D$103+VLOOKUP(VLOOKUP(CA$1,main!$A$3:$I$102,7,FALSE),main!$K$26:$Q$29,5,FALSE)),1,0)</f>
        <v>0</v>
      </c>
      <c r="CB234">
        <f>IF(AND(VLOOKUP(CB$1,main!$A$3:$H$102,7,FALSE)=main!$G$105,VLOOKUP(CB$1,main!$A$3:$H$102,5,FALSE)-VLOOKUP($A234,main!$A$3:$H$102,6,FALSE)&gt;=main!$D$103+VLOOKUP(VLOOKUP(CB$1,main!$A$3:$I$102,7,FALSE),main!$K$26:$Q$29,5,FALSE)),1,0)</f>
        <v>0</v>
      </c>
      <c r="CC234">
        <f>IF(AND(VLOOKUP(CC$1,main!$A$3:$H$102,7,FALSE)=main!$G$105,VLOOKUP(CC$1,main!$A$3:$H$102,5,FALSE)-VLOOKUP($A234,main!$A$3:$H$102,6,FALSE)&gt;=main!$D$103+VLOOKUP(VLOOKUP(CC$1,main!$A$3:$I$102,7,FALSE),main!$K$26:$Q$29,5,FALSE)),1,0)</f>
        <v>0</v>
      </c>
      <c r="CD234">
        <f>IF(AND(VLOOKUP(CD$1,main!$A$3:$H$102,7,FALSE)=main!$G$105,VLOOKUP(CD$1,main!$A$3:$H$102,5,FALSE)-VLOOKUP($A234,main!$A$3:$H$102,6,FALSE)&gt;=main!$D$103+VLOOKUP(VLOOKUP(CD$1,main!$A$3:$I$102,7,FALSE),main!$K$26:$Q$29,5,FALSE)),1,0)</f>
        <v>0</v>
      </c>
      <c r="CE234">
        <f>IF(AND(VLOOKUP(CE$1,main!$A$3:$H$102,7,FALSE)=main!$G$105,VLOOKUP(CE$1,main!$A$3:$H$102,5,FALSE)-VLOOKUP($A234,main!$A$3:$H$102,6,FALSE)&gt;=main!$D$103+VLOOKUP(VLOOKUP(CE$1,main!$A$3:$I$102,7,FALSE),main!$K$26:$Q$29,5,FALSE)),1,0)</f>
        <v>0</v>
      </c>
      <c r="CF234">
        <f>IF(AND(VLOOKUP(CF$1,main!$A$3:$H$102,7,FALSE)=main!$G$105,VLOOKUP(CF$1,main!$A$3:$H$102,5,FALSE)-VLOOKUP($A234,main!$A$3:$H$102,6,FALSE)&gt;=main!$D$103+VLOOKUP(VLOOKUP(CF$1,main!$A$3:$I$102,7,FALSE),main!$K$26:$Q$29,5,FALSE)),1,0)</f>
        <v>0</v>
      </c>
      <c r="CG234">
        <f>IF(AND(VLOOKUP(CG$1,main!$A$3:$H$102,7,FALSE)=main!$G$105,VLOOKUP(CG$1,main!$A$3:$H$102,5,FALSE)-VLOOKUP($A234,main!$A$3:$H$102,6,FALSE)&gt;=main!$D$103+VLOOKUP(VLOOKUP(CG$1,main!$A$3:$I$102,7,FALSE),main!$K$26:$Q$29,5,FALSE)),1,0)</f>
        <v>0</v>
      </c>
      <c r="CH234">
        <f>IF(AND(VLOOKUP(CH$1,main!$A$3:$H$102,7,FALSE)=main!$G$105,VLOOKUP(CH$1,main!$A$3:$H$102,5,FALSE)-VLOOKUP($A234,main!$A$3:$H$102,6,FALSE)&gt;=main!$D$103+VLOOKUP(VLOOKUP(CH$1,main!$A$3:$I$102,7,FALSE),main!$K$26:$Q$29,5,FALSE)),1,0)</f>
        <v>0</v>
      </c>
      <c r="CI234">
        <f>IF(AND(VLOOKUP(CI$1,main!$A$3:$H$102,7,FALSE)=main!$G$105,VLOOKUP(CI$1,main!$A$3:$H$102,5,FALSE)-VLOOKUP($A234,main!$A$3:$H$102,6,FALSE)&gt;=main!$D$103+VLOOKUP(VLOOKUP(CI$1,main!$A$3:$I$102,7,FALSE),main!$K$26:$Q$29,5,FALSE)),1,0)</f>
        <v>0</v>
      </c>
      <c r="CJ234">
        <f>IF(AND(VLOOKUP(CJ$1,main!$A$3:$H$102,7,FALSE)=main!$G$105,VLOOKUP(CJ$1,main!$A$3:$H$102,5,FALSE)-VLOOKUP($A234,main!$A$3:$H$102,6,FALSE)&gt;=main!$D$103+VLOOKUP(VLOOKUP(CJ$1,main!$A$3:$I$102,7,FALSE),main!$K$26:$Q$29,5,FALSE)),1,0)</f>
        <v>0</v>
      </c>
      <c r="CK234">
        <f>IF(AND(VLOOKUP(CK$1,main!$A$3:$H$102,7,FALSE)=main!$G$105,VLOOKUP(CK$1,main!$A$3:$H$102,5,FALSE)-VLOOKUP($A234,main!$A$3:$H$102,6,FALSE)&gt;=main!$D$103+VLOOKUP(VLOOKUP(CK$1,main!$A$3:$I$102,7,FALSE),main!$K$26:$Q$29,5,FALSE)),1,0)</f>
        <v>0</v>
      </c>
      <c r="CL234">
        <f>IF(AND(VLOOKUP(CL$1,main!$A$3:$H$102,7,FALSE)=main!$G$105,VLOOKUP(CL$1,main!$A$3:$H$102,5,FALSE)-VLOOKUP($A234,main!$A$3:$H$102,6,FALSE)&gt;=main!$D$103+VLOOKUP(VLOOKUP(CL$1,main!$A$3:$I$102,7,FALSE),main!$K$26:$Q$29,5,FALSE)),1,0)</f>
        <v>0</v>
      </c>
      <c r="CM234">
        <f>IF(AND(VLOOKUP(CM$1,main!$A$3:$H$102,7,FALSE)=main!$G$105,VLOOKUP(CM$1,main!$A$3:$H$102,5,FALSE)-VLOOKUP($A234,main!$A$3:$H$102,6,FALSE)&gt;=main!$D$103+VLOOKUP(VLOOKUP(CM$1,main!$A$3:$I$102,7,FALSE),main!$K$26:$Q$29,5,FALSE)),1,0)</f>
        <v>0</v>
      </c>
      <c r="CN234">
        <f>IF(AND(VLOOKUP(CN$1,main!$A$3:$H$102,7,FALSE)=main!$G$105,VLOOKUP(CN$1,main!$A$3:$H$102,5,FALSE)-VLOOKUP($A234,main!$A$3:$H$102,6,FALSE)&gt;=main!$D$103+VLOOKUP(VLOOKUP(CN$1,main!$A$3:$I$102,7,FALSE),main!$K$26:$Q$29,5,FALSE)),1,0)</f>
        <v>0</v>
      </c>
      <c r="CO234">
        <f>IF(AND(VLOOKUP(CO$1,main!$A$3:$H$102,7,FALSE)=main!$G$105,VLOOKUP(CO$1,main!$A$3:$H$102,5,FALSE)-VLOOKUP($A234,main!$A$3:$H$102,6,FALSE)&gt;=main!$D$103+VLOOKUP(VLOOKUP(CO$1,main!$A$3:$I$102,7,FALSE),main!$K$26:$Q$29,5,FALSE)),1,0)</f>
        <v>0</v>
      </c>
      <c r="CP234">
        <f>IF(AND(VLOOKUP(CP$1,main!$A$3:$H$102,7,FALSE)=main!$G$105,VLOOKUP(CP$1,main!$A$3:$H$102,5,FALSE)-VLOOKUP($A234,main!$A$3:$H$102,6,FALSE)&gt;=main!$D$103+VLOOKUP(VLOOKUP(CP$1,main!$A$3:$I$102,7,FALSE),main!$K$26:$Q$29,5,FALSE)),1,0)</f>
        <v>0</v>
      </c>
      <c r="CQ234">
        <f>IF(AND(VLOOKUP(CQ$1,main!$A$3:$H$102,7,FALSE)=main!$G$105,VLOOKUP(CQ$1,main!$A$3:$H$102,5,FALSE)-VLOOKUP($A234,main!$A$3:$H$102,6,FALSE)&gt;=main!$D$103+VLOOKUP(VLOOKUP(CQ$1,main!$A$3:$I$102,7,FALSE),main!$K$26:$Q$29,5,FALSE)),1,0)</f>
        <v>0</v>
      </c>
      <c r="CR234">
        <f>IF(AND(VLOOKUP(CR$1,main!$A$3:$H$102,7,FALSE)=main!$G$105,VLOOKUP(CR$1,main!$A$3:$H$102,5,FALSE)-VLOOKUP($A234,main!$A$3:$H$102,6,FALSE)&gt;=main!$D$103+VLOOKUP(VLOOKUP(CR$1,main!$A$3:$I$102,7,FALSE),main!$K$26:$Q$29,5,FALSE)),1,0)</f>
        <v>0</v>
      </c>
      <c r="CS234">
        <f>IF(AND(VLOOKUP(CS$1,main!$A$3:$H$102,7,FALSE)=main!$G$105,VLOOKUP(CS$1,main!$A$3:$H$102,5,FALSE)-VLOOKUP($A234,main!$A$3:$H$102,6,FALSE)&gt;=main!$D$103+VLOOKUP(VLOOKUP(CS$1,main!$A$3:$I$102,7,FALSE),main!$K$26:$Q$29,5,FALSE)),1,0)</f>
        <v>0</v>
      </c>
      <c r="CT234">
        <f>IF(AND(VLOOKUP(CT$1,main!$A$3:$H$102,7,FALSE)=main!$G$105,VLOOKUP(CT$1,main!$A$3:$H$102,5,FALSE)-VLOOKUP($A234,main!$A$3:$H$102,6,FALSE)&gt;=main!$D$103+VLOOKUP(VLOOKUP(CT$1,main!$A$3:$I$102,7,FALSE),main!$K$26:$Q$29,5,FALSE)),1,0)</f>
        <v>0</v>
      </c>
      <c r="CU234">
        <f>IF(AND(VLOOKUP(CU$1,main!$A$3:$H$102,7,FALSE)=main!$G$105,VLOOKUP(CU$1,main!$A$3:$H$102,5,FALSE)-VLOOKUP($A234,main!$A$3:$H$102,6,FALSE)&gt;=main!$D$103+VLOOKUP(VLOOKUP(CU$1,main!$A$3:$I$102,7,FALSE),main!$K$26:$Q$29,5,FALSE)),1,0)</f>
        <v>0</v>
      </c>
      <c r="CV234">
        <f>IF(AND(VLOOKUP(CV$1,main!$A$3:$H$102,7,FALSE)=main!$G$105,VLOOKUP(CV$1,main!$A$3:$H$102,5,FALSE)-VLOOKUP($A234,main!$A$3:$H$102,6,FALSE)&gt;=main!$D$103+VLOOKUP(VLOOKUP(CV$1,main!$A$3:$I$102,7,FALSE),main!$K$26:$Q$29,5,FALSE)),1,0)</f>
        <v>0</v>
      </c>
      <c r="CW234">
        <f>IF(AND(VLOOKUP(CW$1,main!$A$3:$H$102,7,FALSE)=main!$G$105,VLOOKUP(CW$1,main!$A$3:$H$102,5,FALSE)-VLOOKUP($A234,main!$A$3:$H$102,6,FALSE)&gt;=main!$D$103+VLOOKUP(VLOOKUP(CW$1,main!$A$3:$I$102,7,FALSE),main!$K$26:$Q$29,5,FALSE)),1,0)</f>
        <v>0</v>
      </c>
      <c r="CX234">
        <f>IF(AND(VLOOKUP(CX$1,main!$A$3:$H$102,7,FALSE)=main!$G$105,VLOOKUP(CX$1,main!$A$3:$H$102,5,FALSE)-VLOOKUP($A234,main!$A$3:$H$102,6,FALSE)&gt;=main!$D$103+VLOOKUP(VLOOKUP(CX$1,main!$A$3:$I$102,7,FALSE),main!$K$26:$Q$29,5,FALSE)),1,0)</f>
        <v>0</v>
      </c>
    </row>
    <row r="235" spans="1:102" x14ac:dyDescent="0.25">
      <c r="A235" s="1">
        <v>31</v>
      </c>
      <c r="B235">
        <v>0</v>
      </c>
      <c r="C235">
        <f>IF(AND(VLOOKUP(C$1,main!$A$3:$H$102,7,FALSE)=main!$G$105,VLOOKUP(C$1,main!$A$3:$H$102,5,FALSE)-VLOOKUP($A235,main!$A$3:$H$102,6,FALSE)&gt;=main!$D$103+VLOOKUP(VLOOKUP(C$1,main!$A$3:$I$102,7,FALSE),main!$K$26:$Q$29,5,FALSE)),1,0)</f>
        <v>0</v>
      </c>
      <c r="D235">
        <f>IF(AND(VLOOKUP(D$1,main!$A$3:$H$102,7,FALSE)=main!$G$105,VLOOKUP(D$1,main!$A$3:$H$102,5,FALSE)-VLOOKUP($A235,main!$A$3:$H$102,6,FALSE)&gt;=main!$D$103+VLOOKUP(VLOOKUP(D$1,main!$A$3:$I$102,7,FALSE),main!$K$26:$Q$29,5,FALSE)),1,0)</f>
        <v>0</v>
      </c>
      <c r="E235">
        <f>IF(AND(VLOOKUP(E$1,main!$A$3:$H$102,7,FALSE)=main!$G$105,VLOOKUP(E$1,main!$A$3:$H$102,5,FALSE)-VLOOKUP($A235,main!$A$3:$H$102,6,FALSE)&gt;=main!$D$103+VLOOKUP(VLOOKUP(E$1,main!$A$3:$I$102,7,FALSE),main!$K$26:$Q$29,5,FALSE)),1,0)</f>
        <v>0</v>
      </c>
      <c r="F235">
        <f>IF(AND(VLOOKUP(F$1,main!$A$3:$H$102,7,FALSE)=main!$G$105,VLOOKUP(F$1,main!$A$3:$H$102,5,FALSE)-VLOOKUP($A235,main!$A$3:$H$102,6,FALSE)&gt;=main!$D$103+VLOOKUP(VLOOKUP(F$1,main!$A$3:$I$102,7,FALSE),main!$K$26:$Q$29,5,FALSE)),1,0)</f>
        <v>0</v>
      </c>
      <c r="G235">
        <f>IF(AND(VLOOKUP(G$1,main!$A$3:$H$102,7,FALSE)=main!$G$105,VLOOKUP(G$1,main!$A$3:$H$102,5,FALSE)-VLOOKUP($A235,main!$A$3:$H$102,6,FALSE)&gt;=main!$D$103+VLOOKUP(VLOOKUP(G$1,main!$A$3:$I$102,7,FALSE),main!$K$26:$Q$29,5,FALSE)),1,0)</f>
        <v>0</v>
      </c>
      <c r="H235">
        <f>IF(AND(VLOOKUP(H$1,main!$A$3:$H$102,7,FALSE)=main!$G$105,VLOOKUP(H$1,main!$A$3:$H$102,5,FALSE)-VLOOKUP($A235,main!$A$3:$H$102,6,FALSE)&gt;=main!$D$103+VLOOKUP(VLOOKUP(H$1,main!$A$3:$I$102,7,FALSE),main!$K$26:$Q$29,5,FALSE)),1,0)</f>
        <v>0</v>
      </c>
      <c r="I235">
        <f>IF(AND(VLOOKUP(I$1,main!$A$3:$H$102,7,FALSE)=main!$G$105,VLOOKUP(I$1,main!$A$3:$H$102,5,FALSE)-VLOOKUP($A235,main!$A$3:$H$102,6,FALSE)&gt;=main!$D$103+VLOOKUP(VLOOKUP(I$1,main!$A$3:$I$102,7,FALSE),main!$K$26:$Q$29,5,FALSE)),1,0)</f>
        <v>0</v>
      </c>
      <c r="J235">
        <f>IF(AND(VLOOKUP(J$1,main!$A$3:$H$102,7,FALSE)=main!$G$105,VLOOKUP(J$1,main!$A$3:$H$102,5,FALSE)-VLOOKUP($A235,main!$A$3:$H$102,6,FALSE)&gt;=main!$D$103+VLOOKUP(VLOOKUP(J$1,main!$A$3:$I$102,7,FALSE),main!$K$26:$Q$29,5,FALSE)),1,0)</f>
        <v>0</v>
      </c>
      <c r="K235">
        <f>IF(AND(VLOOKUP(K$1,main!$A$3:$H$102,7,FALSE)=main!$G$105,VLOOKUP(K$1,main!$A$3:$H$102,5,FALSE)-VLOOKUP($A235,main!$A$3:$H$102,6,FALSE)&gt;=main!$D$103+VLOOKUP(VLOOKUP(K$1,main!$A$3:$I$102,7,FALSE),main!$K$26:$Q$29,5,FALSE)),1,0)</f>
        <v>0</v>
      </c>
      <c r="L235">
        <f>IF(AND(VLOOKUP(L$1,main!$A$3:$H$102,7,FALSE)=main!$G$105,VLOOKUP(L$1,main!$A$3:$H$102,5,FALSE)-VLOOKUP($A235,main!$A$3:$H$102,6,FALSE)&gt;=main!$D$103+VLOOKUP(VLOOKUP(L$1,main!$A$3:$I$102,7,FALSE),main!$K$26:$Q$29,5,FALSE)),1,0)</f>
        <v>0</v>
      </c>
      <c r="M235">
        <f>IF(AND(VLOOKUP(M$1,main!$A$3:$H$102,7,FALSE)=main!$G$105,VLOOKUP(M$1,main!$A$3:$H$102,5,FALSE)-VLOOKUP($A235,main!$A$3:$H$102,6,FALSE)&gt;=main!$D$103+VLOOKUP(VLOOKUP(M$1,main!$A$3:$I$102,7,FALSE),main!$K$26:$Q$29,5,FALSE)),1,0)</f>
        <v>0</v>
      </c>
      <c r="N235">
        <f>IF(AND(VLOOKUP(N$1,main!$A$3:$H$102,7,FALSE)=main!$G$105,VLOOKUP(N$1,main!$A$3:$H$102,5,FALSE)-VLOOKUP($A235,main!$A$3:$H$102,6,FALSE)&gt;=main!$D$103+VLOOKUP(VLOOKUP(N$1,main!$A$3:$I$102,7,FALSE),main!$K$26:$Q$29,5,FALSE)),1,0)</f>
        <v>0</v>
      </c>
      <c r="O235">
        <f>IF(AND(VLOOKUP(O$1,main!$A$3:$H$102,7,FALSE)=main!$G$105,VLOOKUP(O$1,main!$A$3:$H$102,5,FALSE)-VLOOKUP($A235,main!$A$3:$H$102,6,FALSE)&gt;=main!$D$103+VLOOKUP(VLOOKUP(O$1,main!$A$3:$I$102,7,FALSE),main!$K$26:$Q$29,5,FALSE)),1,0)</f>
        <v>0</v>
      </c>
      <c r="P235">
        <f>IF(AND(VLOOKUP(P$1,main!$A$3:$H$102,7,FALSE)=main!$G$105,VLOOKUP(P$1,main!$A$3:$H$102,5,FALSE)-VLOOKUP($A235,main!$A$3:$H$102,6,FALSE)&gt;=main!$D$103+VLOOKUP(VLOOKUP(P$1,main!$A$3:$I$102,7,FALSE),main!$K$26:$Q$29,5,FALSE)),1,0)</f>
        <v>0</v>
      </c>
      <c r="Q235">
        <f>IF(AND(VLOOKUP(Q$1,main!$A$3:$H$102,7,FALSE)=main!$G$105,VLOOKUP(Q$1,main!$A$3:$H$102,5,FALSE)-VLOOKUP($A235,main!$A$3:$H$102,6,FALSE)&gt;=main!$D$103+VLOOKUP(VLOOKUP(Q$1,main!$A$3:$I$102,7,FALSE),main!$K$26:$Q$29,5,FALSE)),1,0)</f>
        <v>0</v>
      </c>
      <c r="R235">
        <f>IF(AND(VLOOKUP(R$1,main!$A$3:$H$102,7,FALSE)=main!$G$105,VLOOKUP(R$1,main!$A$3:$H$102,5,FALSE)-VLOOKUP($A235,main!$A$3:$H$102,6,FALSE)&gt;=main!$D$103+VLOOKUP(VLOOKUP(R$1,main!$A$3:$I$102,7,FALSE),main!$K$26:$Q$29,5,FALSE)),1,0)</f>
        <v>0</v>
      </c>
      <c r="S235">
        <f>IF(AND(VLOOKUP(S$1,main!$A$3:$H$102,7,FALSE)=main!$G$105,VLOOKUP(S$1,main!$A$3:$H$102,5,FALSE)-VLOOKUP($A235,main!$A$3:$H$102,6,FALSE)&gt;=main!$D$103+VLOOKUP(VLOOKUP(S$1,main!$A$3:$I$102,7,FALSE),main!$K$26:$Q$29,5,FALSE)),1,0)</f>
        <v>0</v>
      </c>
      <c r="T235">
        <f>IF(AND(VLOOKUP(T$1,main!$A$3:$H$102,7,FALSE)=main!$G$105,VLOOKUP(T$1,main!$A$3:$H$102,5,FALSE)-VLOOKUP($A235,main!$A$3:$H$102,6,FALSE)&gt;=main!$D$103+VLOOKUP(VLOOKUP(T$1,main!$A$3:$I$102,7,FALSE),main!$K$26:$Q$29,5,FALSE)),1,0)</f>
        <v>0</v>
      </c>
      <c r="U235">
        <f>IF(AND(VLOOKUP(U$1,main!$A$3:$H$102,7,FALSE)=main!$G$105,VLOOKUP(U$1,main!$A$3:$H$102,5,FALSE)-VLOOKUP($A235,main!$A$3:$H$102,6,FALSE)&gt;=main!$D$103+VLOOKUP(VLOOKUP(U$1,main!$A$3:$I$102,7,FALSE),main!$K$26:$Q$29,5,FALSE)),1,0)</f>
        <v>0</v>
      </c>
      <c r="V235">
        <f>IF(AND(VLOOKUP(V$1,main!$A$3:$H$102,7,FALSE)=main!$G$105,VLOOKUP(V$1,main!$A$3:$H$102,5,FALSE)-VLOOKUP($A235,main!$A$3:$H$102,6,FALSE)&gt;=main!$D$103+VLOOKUP(VLOOKUP(V$1,main!$A$3:$I$102,7,FALSE),main!$K$26:$Q$29,5,FALSE)),1,0)</f>
        <v>0</v>
      </c>
      <c r="W235">
        <f>IF(AND(VLOOKUP(W$1,main!$A$3:$H$102,7,FALSE)=main!$G$105,VLOOKUP(W$1,main!$A$3:$H$102,5,FALSE)-VLOOKUP($A235,main!$A$3:$H$102,6,FALSE)&gt;=main!$D$103+VLOOKUP(VLOOKUP(W$1,main!$A$3:$I$102,7,FALSE),main!$K$26:$Q$29,5,FALSE)),1,0)</f>
        <v>0</v>
      </c>
      <c r="X235">
        <f>IF(AND(VLOOKUP(X$1,main!$A$3:$H$102,7,FALSE)=main!$G$105,VLOOKUP(X$1,main!$A$3:$H$102,5,FALSE)-VLOOKUP($A235,main!$A$3:$H$102,6,FALSE)&gt;=main!$D$103+VLOOKUP(VLOOKUP(X$1,main!$A$3:$I$102,7,FALSE),main!$K$26:$Q$29,5,FALSE)),1,0)</f>
        <v>0</v>
      </c>
      <c r="Y235">
        <f>IF(AND(VLOOKUP(Y$1,main!$A$3:$H$102,7,FALSE)=main!$G$105,VLOOKUP(Y$1,main!$A$3:$H$102,5,FALSE)-VLOOKUP($A235,main!$A$3:$H$102,6,FALSE)&gt;=main!$D$103+VLOOKUP(VLOOKUP(Y$1,main!$A$3:$I$102,7,FALSE),main!$K$26:$Q$29,5,FALSE)),1,0)</f>
        <v>0</v>
      </c>
      <c r="Z235">
        <f>IF(AND(VLOOKUP(Z$1,main!$A$3:$H$102,7,FALSE)=main!$G$105,VLOOKUP(Z$1,main!$A$3:$H$102,5,FALSE)-VLOOKUP($A235,main!$A$3:$H$102,6,FALSE)&gt;=main!$D$103+VLOOKUP(VLOOKUP(Z$1,main!$A$3:$I$102,7,FALSE),main!$K$26:$Q$29,5,FALSE)),1,0)</f>
        <v>0</v>
      </c>
      <c r="AA235">
        <f>IF(AND(VLOOKUP(AA$1,main!$A$3:$H$102,7,FALSE)=main!$G$105,VLOOKUP(AA$1,main!$A$3:$H$102,5,FALSE)-VLOOKUP($A235,main!$A$3:$H$102,6,FALSE)&gt;=main!$D$103+VLOOKUP(VLOOKUP(AA$1,main!$A$3:$I$102,7,FALSE),main!$K$26:$Q$29,5,FALSE)),1,0)</f>
        <v>0</v>
      </c>
      <c r="AB235">
        <f>IF(AND(VLOOKUP(AB$1,main!$A$3:$H$102,7,FALSE)=main!$G$105,VLOOKUP(AB$1,main!$A$3:$H$102,5,FALSE)-VLOOKUP($A235,main!$A$3:$H$102,6,FALSE)&gt;=main!$D$103+VLOOKUP(VLOOKUP(AB$1,main!$A$3:$I$102,7,FALSE),main!$K$26:$Q$29,5,FALSE)),1,0)</f>
        <v>0</v>
      </c>
      <c r="AC235">
        <f>IF(AND(VLOOKUP(AC$1,main!$A$3:$H$102,7,FALSE)=main!$G$105,VLOOKUP(AC$1,main!$A$3:$H$102,5,FALSE)-VLOOKUP($A235,main!$A$3:$H$102,6,FALSE)&gt;=main!$D$103+VLOOKUP(VLOOKUP(AC$1,main!$A$3:$I$102,7,FALSE),main!$K$26:$Q$29,5,FALSE)),1,0)</f>
        <v>0</v>
      </c>
      <c r="AD235">
        <f>IF(AND(VLOOKUP(AD$1,main!$A$3:$H$102,7,FALSE)=main!$G$105,VLOOKUP(AD$1,main!$A$3:$H$102,5,FALSE)-VLOOKUP($A235,main!$A$3:$H$102,6,FALSE)&gt;=main!$D$103+VLOOKUP(VLOOKUP(AD$1,main!$A$3:$I$102,7,FALSE),main!$K$26:$Q$29,5,FALSE)),1,0)</f>
        <v>0</v>
      </c>
      <c r="AE235">
        <f>IF(AND(VLOOKUP(AE$1,main!$A$3:$H$102,7,FALSE)=main!$G$105,VLOOKUP(AE$1,main!$A$3:$H$102,5,FALSE)-VLOOKUP($A235,main!$A$3:$H$102,6,FALSE)&gt;=main!$D$103+VLOOKUP(VLOOKUP(AE$1,main!$A$3:$I$102,7,FALSE),main!$K$26:$Q$29,5,FALSE)),1,0)</f>
        <v>0</v>
      </c>
      <c r="AF235">
        <f>IF(AND(VLOOKUP(AF$1,main!$A$3:$H$102,7,FALSE)=main!$G$105,VLOOKUP(AF$1,main!$A$3:$H$102,5,FALSE)-VLOOKUP($A235,main!$A$3:$H$102,6,FALSE)&gt;=main!$D$103+VLOOKUP(VLOOKUP(AF$1,main!$A$3:$I$102,7,FALSE),main!$K$26:$Q$29,5,FALSE)),1,0)</f>
        <v>0</v>
      </c>
      <c r="AG235">
        <f>IF(AND(VLOOKUP(AG$1,main!$A$3:$H$102,7,FALSE)=main!$G$105,VLOOKUP(AG$1,main!$A$3:$H$102,5,FALSE)-VLOOKUP($A235,main!$A$3:$H$102,6,FALSE)&gt;=main!$D$103+VLOOKUP(VLOOKUP(AG$1,main!$A$3:$I$102,7,FALSE),main!$K$26:$Q$29,5,FALSE)),1,0)</f>
        <v>0</v>
      </c>
      <c r="AH235">
        <f>IF(AND(VLOOKUP(AH$1,main!$A$3:$H$102,7,FALSE)=main!$G$105,VLOOKUP(AH$1,main!$A$3:$H$102,5,FALSE)-VLOOKUP($A235,main!$A$3:$H$102,6,FALSE)&gt;=main!$D$103+VLOOKUP(VLOOKUP(AH$1,main!$A$3:$I$102,7,FALSE),main!$K$26:$Q$29,5,FALSE)),1,0)</f>
        <v>0</v>
      </c>
      <c r="AI235">
        <f>IF(AND(VLOOKUP(AI$1,main!$A$3:$H$102,7,FALSE)=main!$G$105,VLOOKUP(AI$1,main!$A$3:$H$102,5,FALSE)-VLOOKUP($A235,main!$A$3:$H$102,6,FALSE)&gt;=main!$D$103+VLOOKUP(VLOOKUP(AI$1,main!$A$3:$I$102,7,FALSE),main!$K$26:$Q$29,5,FALSE)),1,0)</f>
        <v>0</v>
      </c>
      <c r="AJ235">
        <f>IF(AND(VLOOKUP(AJ$1,main!$A$3:$H$102,7,FALSE)=main!$G$105,VLOOKUP(AJ$1,main!$A$3:$H$102,5,FALSE)-VLOOKUP($A235,main!$A$3:$H$102,6,FALSE)&gt;=main!$D$103+VLOOKUP(VLOOKUP(AJ$1,main!$A$3:$I$102,7,FALSE),main!$K$26:$Q$29,5,FALSE)),1,0)</f>
        <v>1</v>
      </c>
      <c r="AK235">
        <f>IF(AND(VLOOKUP(AK$1,main!$A$3:$H$102,7,FALSE)=main!$G$105,VLOOKUP(AK$1,main!$A$3:$H$102,5,FALSE)-VLOOKUP($A235,main!$A$3:$H$102,6,FALSE)&gt;=main!$D$103+VLOOKUP(VLOOKUP(AK$1,main!$A$3:$I$102,7,FALSE),main!$K$26:$Q$29,5,FALSE)),1,0)</f>
        <v>1</v>
      </c>
      <c r="AL235">
        <f>IF(AND(VLOOKUP(AL$1,main!$A$3:$H$102,7,FALSE)=main!$G$105,VLOOKUP(AL$1,main!$A$3:$H$102,5,FALSE)-VLOOKUP($A235,main!$A$3:$H$102,6,FALSE)&gt;=main!$D$103+VLOOKUP(VLOOKUP(AL$1,main!$A$3:$I$102,7,FALSE),main!$K$26:$Q$29,5,FALSE)),1,0)</f>
        <v>1</v>
      </c>
      <c r="AM235">
        <f>IF(AND(VLOOKUP(AM$1,main!$A$3:$H$102,7,FALSE)=main!$G$105,VLOOKUP(AM$1,main!$A$3:$H$102,5,FALSE)-VLOOKUP($A235,main!$A$3:$H$102,6,FALSE)&gt;=main!$D$103+VLOOKUP(VLOOKUP(AM$1,main!$A$3:$I$102,7,FALSE),main!$K$26:$Q$29,5,FALSE)),1,0)</f>
        <v>1</v>
      </c>
      <c r="AN235">
        <f>IF(AND(VLOOKUP(AN$1,main!$A$3:$H$102,7,FALSE)=main!$G$105,VLOOKUP(AN$1,main!$A$3:$H$102,5,FALSE)-VLOOKUP($A235,main!$A$3:$H$102,6,FALSE)&gt;=main!$D$103+VLOOKUP(VLOOKUP(AN$1,main!$A$3:$I$102,7,FALSE),main!$K$26:$Q$29,5,FALSE)),1,0)</f>
        <v>1</v>
      </c>
      <c r="AO235">
        <f>IF(AND(VLOOKUP(AO$1,main!$A$3:$H$102,7,FALSE)=main!$G$105,VLOOKUP(AO$1,main!$A$3:$H$102,5,FALSE)-VLOOKUP($A235,main!$A$3:$H$102,6,FALSE)&gt;=main!$D$103+VLOOKUP(VLOOKUP(AO$1,main!$A$3:$I$102,7,FALSE),main!$K$26:$Q$29,5,FALSE)),1,0)</f>
        <v>0</v>
      </c>
      <c r="AP235">
        <f>IF(AND(VLOOKUP(AP$1,main!$A$3:$H$102,7,FALSE)=main!$G$105,VLOOKUP(AP$1,main!$A$3:$H$102,5,FALSE)-VLOOKUP($A235,main!$A$3:$H$102,6,FALSE)&gt;=main!$D$103+VLOOKUP(VLOOKUP(AP$1,main!$A$3:$I$102,7,FALSE),main!$K$26:$Q$29,5,FALSE)),1,0)</f>
        <v>1</v>
      </c>
      <c r="AQ235">
        <f>IF(AND(VLOOKUP(AQ$1,main!$A$3:$H$102,7,FALSE)=main!$G$105,VLOOKUP(AQ$1,main!$A$3:$H$102,5,FALSE)-VLOOKUP($A235,main!$A$3:$H$102,6,FALSE)&gt;=main!$D$103+VLOOKUP(VLOOKUP(AQ$1,main!$A$3:$I$102,7,FALSE),main!$K$26:$Q$29,5,FALSE)),1,0)</f>
        <v>0</v>
      </c>
      <c r="AR235">
        <f>IF(AND(VLOOKUP(AR$1,main!$A$3:$H$102,7,FALSE)=main!$G$105,VLOOKUP(AR$1,main!$A$3:$H$102,5,FALSE)-VLOOKUP($A235,main!$A$3:$H$102,6,FALSE)&gt;=main!$D$103+VLOOKUP(VLOOKUP(AR$1,main!$A$3:$I$102,7,FALSE),main!$K$26:$Q$29,5,FALSE)),1,0)</f>
        <v>0</v>
      </c>
      <c r="AS235">
        <f>IF(AND(VLOOKUP(AS$1,main!$A$3:$H$102,7,FALSE)=main!$G$105,VLOOKUP(AS$1,main!$A$3:$H$102,5,FALSE)-VLOOKUP($A235,main!$A$3:$H$102,6,FALSE)&gt;=main!$D$103+VLOOKUP(VLOOKUP(AS$1,main!$A$3:$I$102,7,FALSE),main!$K$26:$Q$29,5,FALSE)),1,0)</f>
        <v>1</v>
      </c>
      <c r="AT235">
        <f>IF(AND(VLOOKUP(AT$1,main!$A$3:$H$102,7,FALSE)=main!$G$105,VLOOKUP(AT$1,main!$A$3:$H$102,5,FALSE)-VLOOKUP($A235,main!$A$3:$H$102,6,FALSE)&gt;=main!$D$103+VLOOKUP(VLOOKUP(AT$1,main!$A$3:$I$102,7,FALSE),main!$K$26:$Q$29,5,FALSE)),1,0)</f>
        <v>1</v>
      </c>
      <c r="AU235">
        <f>IF(AND(VLOOKUP(AU$1,main!$A$3:$H$102,7,FALSE)=main!$G$105,VLOOKUP(AU$1,main!$A$3:$H$102,5,FALSE)-VLOOKUP($A235,main!$A$3:$H$102,6,FALSE)&gt;=main!$D$103+VLOOKUP(VLOOKUP(AU$1,main!$A$3:$I$102,7,FALSE),main!$K$26:$Q$29,5,FALSE)),1,0)</f>
        <v>0</v>
      </c>
      <c r="AV235">
        <f>IF(AND(VLOOKUP(AV$1,main!$A$3:$H$102,7,FALSE)=main!$G$105,VLOOKUP(AV$1,main!$A$3:$H$102,5,FALSE)-VLOOKUP($A235,main!$A$3:$H$102,6,FALSE)&gt;=main!$D$103+VLOOKUP(VLOOKUP(AV$1,main!$A$3:$I$102,7,FALSE),main!$K$26:$Q$29,5,FALSE)),1,0)</f>
        <v>0</v>
      </c>
      <c r="AW235">
        <f>IF(AND(VLOOKUP(AW$1,main!$A$3:$H$102,7,FALSE)=main!$G$105,VLOOKUP(AW$1,main!$A$3:$H$102,5,FALSE)-VLOOKUP($A235,main!$A$3:$H$102,6,FALSE)&gt;=main!$D$103+VLOOKUP(VLOOKUP(AW$1,main!$A$3:$I$102,7,FALSE),main!$K$26:$Q$29,5,FALSE)),1,0)</f>
        <v>1</v>
      </c>
      <c r="AX235">
        <f>IF(AND(VLOOKUP(AX$1,main!$A$3:$H$102,7,FALSE)=main!$G$105,VLOOKUP(AX$1,main!$A$3:$H$102,5,FALSE)-VLOOKUP($A235,main!$A$3:$H$102,6,FALSE)&gt;=main!$D$103+VLOOKUP(VLOOKUP(AX$1,main!$A$3:$I$102,7,FALSE),main!$K$26:$Q$29,5,FALSE)),1,0)</f>
        <v>1</v>
      </c>
      <c r="AY235">
        <f>IF(AND(VLOOKUP(AY$1,main!$A$3:$H$102,7,FALSE)=main!$G$105,VLOOKUP(AY$1,main!$A$3:$H$102,5,FALSE)-VLOOKUP($A235,main!$A$3:$H$102,6,FALSE)&gt;=main!$D$103+VLOOKUP(VLOOKUP(AY$1,main!$A$3:$I$102,7,FALSE),main!$K$26:$Q$29,5,FALSE)),1,0)</f>
        <v>0</v>
      </c>
      <c r="AZ235">
        <f>IF(AND(VLOOKUP(AZ$1,main!$A$3:$H$102,7,FALSE)=main!$G$105,VLOOKUP(AZ$1,main!$A$3:$H$102,5,FALSE)-VLOOKUP($A235,main!$A$3:$H$102,6,FALSE)&gt;=main!$D$103+VLOOKUP(VLOOKUP(AZ$1,main!$A$3:$I$102,7,FALSE),main!$K$26:$Q$29,5,FALSE)),1,0)</f>
        <v>0</v>
      </c>
      <c r="BA235">
        <f>IF(AND(VLOOKUP(BA$1,main!$A$3:$H$102,7,FALSE)=main!$G$105,VLOOKUP(BA$1,main!$A$3:$H$102,5,FALSE)-VLOOKUP($A235,main!$A$3:$H$102,6,FALSE)&gt;=main!$D$103+VLOOKUP(VLOOKUP(BA$1,main!$A$3:$I$102,7,FALSE),main!$K$26:$Q$29,5,FALSE)),1,0)</f>
        <v>0</v>
      </c>
      <c r="BB235">
        <f>IF(AND(VLOOKUP(BB$1,main!$A$3:$H$102,7,FALSE)=main!$G$105,VLOOKUP(BB$1,main!$A$3:$H$102,5,FALSE)-VLOOKUP($A235,main!$A$3:$H$102,6,FALSE)&gt;=main!$D$103+VLOOKUP(VLOOKUP(BB$1,main!$A$3:$I$102,7,FALSE),main!$K$26:$Q$29,5,FALSE)),1,0)</f>
        <v>0</v>
      </c>
      <c r="BC235">
        <f>IF(AND(VLOOKUP(BC$1,main!$A$3:$H$102,7,FALSE)=main!$G$105,VLOOKUP(BC$1,main!$A$3:$H$102,5,FALSE)-VLOOKUP($A235,main!$A$3:$H$102,6,FALSE)&gt;=main!$D$103+VLOOKUP(VLOOKUP(BC$1,main!$A$3:$I$102,7,FALSE),main!$K$26:$Q$29,5,FALSE)),1,0)</f>
        <v>0</v>
      </c>
      <c r="BD235">
        <f>IF(AND(VLOOKUP(BD$1,main!$A$3:$H$102,7,FALSE)=main!$G$105,VLOOKUP(BD$1,main!$A$3:$H$102,5,FALSE)-VLOOKUP($A235,main!$A$3:$H$102,6,FALSE)&gt;=main!$D$103+VLOOKUP(VLOOKUP(BD$1,main!$A$3:$I$102,7,FALSE),main!$K$26:$Q$29,5,FALSE)),1,0)</f>
        <v>0</v>
      </c>
      <c r="BE235">
        <f>IF(AND(VLOOKUP(BE$1,main!$A$3:$H$102,7,FALSE)=main!$G$105,VLOOKUP(BE$1,main!$A$3:$H$102,5,FALSE)-VLOOKUP($A235,main!$A$3:$H$102,6,FALSE)&gt;=main!$D$103+VLOOKUP(VLOOKUP(BE$1,main!$A$3:$I$102,7,FALSE),main!$K$26:$Q$29,5,FALSE)),1,0)</f>
        <v>0</v>
      </c>
      <c r="BF235">
        <f>IF(AND(VLOOKUP(BF$1,main!$A$3:$H$102,7,FALSE)=main!$G$105,VLOOKUP(BF$1,main!$A$3:$H$102,5,FALSE)-VLOOKUP($A235,main!$A$3:$H$102,6,FALSE)&gt;=main!$D$103+VLOOKUP(VLOOKUP(BF$1,main!$A$3:$I$102,7,FALSE),main!$K$26:$Q$29,5,FALSE)),1,0)</f>
        <v>0</v>
      </c>
      <c r="BG235">
        <f>IF(AND(VLOOKUP(BG$1,main!$A$3:$H$102,7,FALSE)=main!$G$105,VLOOKUP(BG$1,main!$A$3:$H$102,5,FALSE)-VLOOKUP($A235,main!$A$3:$H$102,6,FALSE)&gt;=main!$D$103+VLOOKUP(VLOOKUP(BG$1,main!$A$3:$I$102,7,FALSE),main!$K$26:$Q$29,5,FALSE)),1,0)</f>
        <v>0</v>
      </c>
      <c r="BH235">
        <f>IF(AND(VLOOKUP(BH$1,main!$A$3:$H$102,7,FALSE)=main!$G$105,VLOOKUP(BH$1,main!$A$3:$H$102,5,FALSE)-VLOOKUP($A235,main!$A$3:$H$102,6,FALSE)&gt;=main!$D$103+VLOOKUP(VLOOKUP(BH$1,main!$A$3:$I$102,7,FALSE),main!$K$26:$Q$29,5,FALSE)),1,0)</f>
        <v>0</v>
      </c>
      <c r="BI235">
        <f>IF(AND(VLOOKUP(BI$1,main!$A$3:$H$102,7,FALSE)=main!$G$105,VLOOKUP(BI$1,main!$A$3:$H$102,5,FALSE)-VLOOKUP($A235,main!$A$3:$H$102,6,FALSE)&gt;=main!$D$103+VLOOKUP(VLOOKUP(BI$1,main!$A$3:$I$102,7,FALSE),main!$K$26:$Q$29,5,FALSE)),1,0)</f>
        <v>0</v>
      </c>
      <c r="BJ235">
        <f>IF(AND(VLOOKUP(BJ$1,main!$A$3:$H$102,7,FALSE)=main!$G$105,VLOOKUP(BJ$1,main!$A$3:$H$102,5,FALSE)-VLOOKUP($A235,main!$A$3:$H$102,6,FALSE)&gt;=main!$D$103+VLOOKUP(VLOOKUP(BJ$1,main!$A$3:$I$102,7,FALSE),main!$K$26:$Q$29,5,FALSE)),1,0)</f>
        <v>0</v>
      </c>
      <c r="BK235">
        <f>IF(AND(VLOOKUP(BK$1,main!$A$3:$H$102,7,FALSE)=main!$G$105,VLOOKUP(BK$1,main!$A$3:$H$102,5,FALSE)-VLOOKUP($A235,main!$A$3:$H$102,6,FALSE)&gt;=main!$D$103+VLOOKUP(VLOOKUP(BK$1,main!$A$3:$I$102,7,FALSE),main!$K$26:$Q$29,5,FALSE)),1,0)</f>
        <v>0</v>
      </c>
      <c r="BL235">
        <f>IF(AND(VLOOKUP(BL$1,main!$A$3:$H$102,7,FALSE)=main!$G$105,VLOOKUP(BL$1,main!$A$3:$H$102,5,FALSE)-VLOOKUP($A235,main!$A$3:$H$102,6,FALSE)&gt;=main!$D$103+VLOOKUP(VLOOKUP(BL$1,main!$A$3:$I$102,7,FALSE),main!$K$26:$Q$29,5,FALSE)),1,0)</f>
        <v>0</v>
      </c>
      <c r="BM235">
        <f>IF(AND(VLOOKUP(BM$1,main!$A$3:$H$102,7,FALSE)=main!$G$105,VLOOKUP(BM$1,main!$A$3:$H$102,5,FALSE)-VLOOKUP($A235,main!$A$3:$H$102,6,FALSE)&gt;=main!$D$103+VLOOKUP(VLOOKUP(BM$1,main!$A$3:$I$102,7,FALSE),main!$K$26:$Q$29,5,FALSE)),1,0)</f>
        <v>0</v>
      </c>
      <c r="BN235">
        <f>IF(AND(VLOOKUP(BN$1,main!$A$3:$H$102,7,FALSE)=main!$G$105,VLOOKUP(BN$1,main!$A$3:$H$102,5,FALSE)-VLOOKUP($A235,main!$A$3:$H$102,6,FALSE)&gt;=main!$D$103+VLOOKUP(VLOOKUP(BN$1,main!$A$3:$I$102,7,FALSE),main!$K$26:$Q$29,5,FALSE)),1,0)</f>
        <v>0</v>
      </c>
      <c r="BO235">
        <f>IF(AND(VLOOKUP(BO$1,main!$A$3:$H$102,7,FALSE)=main!$G$105,VLOOKUP(BO$1,main!$A$3:$H$102,5,FALSE)-VLOOKUP($A235,main!$A$3:$H$102,6,FALSE)&gt;=main!$D$103+VLOOKUP(VLOOKUP(BO$1,main!$A$3:$I$102,7,FALSE),main!$K$26:$Q$29,5,FALSE)),1,0)</f>
        <v>0</v>
      </c>
      <c r="BP235">
        <f>IF(AND(VLOOKUP(BP$1,main!$A$3:$H$102,7,FALSE)=main!$G$105,VLOOKUP(BP$1,main!$A$3:$H$102,5,FALSE)-VLOOKUP($A235,main!$A$3:$H$102,6,FALSE)&gt;=main!$D$103+VLOOKUP(VLOOKUP(BP$1,main!$A$3:$I$102,7,FALSE),main!$K$26:$Q$29,5,FALSE)),1,0)</f>
        <v>0</v>
      </c>
      <c r="BQ235">
        <f>IF(AND(VLOOKUP(BQ$1,main!$A$3:$H$102,7,FALSE)=main!$G$105,VLOOKUP(BQ$1,main!$A$3:$H$102,5,FALSE)-VLOOKUP($A235,main!$A$3:$H$102,6,FALSE)&gt;=main!$D$103+VLOOKUP(VLOOKUP(BQ$1,main!$A$3:$I$102,7,FALSE),main!$K$26:$Q$29,5,FALSE)),1,0)</f>
        <v>0</v>
      </c>
      <c r="BR235">
        <f>IF(AND(VLOOKUP(BR$1,main!$A$3:$H$102,7,FALSE)=main!$G$105,VLOOKUP(BR$1,main!$A$3:$H$102,5,FALSE)-VLOOKUP($A235,main!$A$3:$H$102,6,FALSE)&gt;=main!$D$103+VLOOKUP(VLOOKUP(BR$1,main!$A$3:$I$102,7,FALSE),main!$K$26:$Q$29,5,FALSE)),1,0)</f>
        <v>0</v>
      </c>
      <c r="BS235">
        <f>IF(AND(VLOOKUP(BS$1,main!$A$3:$H$102,7,FALSE)=main!$G$105,VLOOKUP(BS$1,main!$A$3:$H$102,5,FALSE)-VLOOKUP($A235,main!$A$3:$H$102,6,FALSE)&gt;=main!$D$103+VLOOKUP(VLOOKUP(BS$1,main!$A$3:$I$102,7,FALSE),main!$K$26:$Q$29,5,FALSE)),1,0)</f>
        <v>0</v>
      </c>
      <c r="BT235">
        <f>IF(AND(VLOOKUP(BT$1,main!$A$3:$H$102,7,FALSE)=main!$G$105,VLOOKUP(BT$1,main!$A$3:$H$102,5,FALSE)-VLOOKUP($A235,main!$A$3:$H$102,6,FALSE)&gt;=main!$D$103+VLOOKUP(VLOOKUP(BT$1,main!$A$3:$I$102,7,FALSE),main!$K$26:$Q$29,5,FALSE)),1,0)</f>
        <v>0</v>
      </c>
      <c r="BU235">
        <f>IF(AND(VLOOKUP(BU$1,main!$A$3:$H$102,7,FALSE)=main!$G$105,VLOOKUP(BU$1,main!$A$3:$H$102,5,FALSE)-VLOOKUP($A235,main!$A$3:$H$102,6,FALSE)&gt;=main!$D$103+VLOOKUP(VLOOKUP(BU$1,main!$A$3:$I$102,7,FALSE),main!$K$26:$Q$29,5,FALSE)),1,0)</f>
        <v>0</v>
      </c>
      <c r="BV235">
        <f>IF(AND(VLOOKUP(BV$1,main!$A$3:$H$102,7,FALSE)=main!$G$105,VLOOKUP(BV$1,main!$A$3:$H$102,5,FALSE)-VLOOKUP($A235,main!$A$3:$H$102,6,FALSE)&gt;=main!$D$103+VLOOKUP(VLOOKUP(BV$1,main!$A$3:$I$102,7,FALSE),main!$K$26:$Q$29,5,FALSE)),1,0)</f>
        <v>0</v>
      </c>
      <c r="BW235">
        <f>IF(AND(VLOOKUP(BW$1,main!$A$3:$H$102,7,FALSE)=main!$G$105,VLOOKUP(BW$1,main!$A$3:$H$102,5,FALSE)-VLOOKUP($A235,main!$A$3:$H$102,6,FALSE)&gt;=main!$D$103+VLOOKUP(VLOOKUP(BW$1,main!$A$3:$I$102,7,FALSE),main!$K$26:$Q$29,5,FALSE)),1,0)</f>
        <v>0</v>
      </c>
      <c r="BX235">
        <f>IF(AND(VLOOKUP(BX$1,main!$A$3:$H$102,7,FALSE)=main!$G$105,VLOOKUP(BX$1,main!$A$3:$H$102,5,FALSE)-VLOOKUP($A235,main!$A$3:$H$102,6,FALSE)&gt;=main!$D$103+VLOOKUP(VLOOKUP(BX$1,main!$A$3:$I$102,7,FALSE),main!$K$26:$Q$29,5,FALSE)),1,0)</f>
        <v>0</v>
      </c>
      <c r="BY235">
        <f>IF(AND(VLOOKUP(BY$1,main!$A$3:$H$102,7,FALSE)=main!$G$105,VLOOKUP(BY$1,main!$A$3:$H$102,5,FALSE)-VLOOKUP($A235,main!$A$3:$H$102,6,FALSE)&gt;=main!$D$103+VLOOKUP(VLOOKUP(BY$1,main!$A$3:$I$102,7,FALSE),main!$K$26:$Q$29,5,FALSE)),1,0)</f>
        <v>0</v>
      </c>
      <c r="BZ235">
        <f>IF(AND(VLOOKUP(BZ$1,main!$A$3:$H$102,7,FALSE)=main!$G$105,VLOOKUP(BZ$1,main!$A$3:$H$102,5,FALSE)-VLOOKUP($A235,main!$A$3:$H$102,6,FALSE)&gt;=main!$D$103+VLOOKUP(VLOOKUP(BZ$1,main!$A$3:$I$102,7,FALSE),main!$K$26:$Q$29,5,FALSE)),1,0)</f>
        <v>0</v>
      </c>
      <c r="CA235">
        <f>IF(AND(VLOOKUP(CA$1,main!$A$3:$H$102,7,FALSE)=main!$G$105,VLOOKUP(CA$1,main!$A$3:$H$102,5,FALSE)-VLOOKUP($A235,main!$A$3:$H$102,6,FALSE)&gt;=main!$D$103+VLOOKUP(VLOOKUP(CA$1,main!$A$3:$I$102,7,FALSE),main!$K$26:$Q$29,5,FALSE)),1,0)</f>
        <v>0</v>
      </c>
      <c r="CB235">
        <f>IF(AND(VLOOKUP(CB$1,main!$A$3:$H$102,7,FALSE)=main!$G$105,VLOOKUP(CB$1,main!$A$3:$H$102,5,FALSE)-VLOOKUP($A235,main!$A$3:$H$102,6,FALSE)&gt;=main!$D$103+VLOOKUP(VLOOKUP(CB$1,main!$A$3:$I$102,7,FALSE),main!$K$26:$Q$29,5,FALSE)),1,0)</f>
        <v>0</v>
      </c>
      <c r="CC235">
        <f>IF(AND(VLOOKUP(CC$1,main!$A$3:$H$102,7,FALSE)=main!$G$105,VLOOKUP(CC$1,main!$A$3:$H$102,5,FALSE)-VLOOKUP($A235,main!$A$3:$H$102,6,FALSE)&gt;=main!$D$103+VLOOKUP(VLOOKUP(CC$1,main!$A$3:$I$102,7,FALSE),main!$K$26:$Q$29,5,FALSE)),1,0)</f>
        <v>0</v>
      </c>
      <c r="CD235">
        <f>IF(AND(VLOOKUP(CD$1,main!$A$3:$H$102,7,FALSE)=main!$G$105,VLOOKUP(CD$1,main!$A$3:$H$102,5,FALSE)-VLOOKUP($A235,main!$A$3:$H$102,6,FALSE)&gt;=main!$D$103+VLOOKUP(VLOOKUP(CD$1,main!$A$3:$I$102,7,FALSE),main!$K$26:$Q$29,5,FALSE)),1,0)</f>
        <v>0</v>
      </c>
      <c r="CE235">
        <f>IF(AND(VLOOKUP(CE$1,main!$A$3:$H$102,7,FALSE)=main!$G$105,VLOOKUP(CE$1,main!$A$3:$H$102,5,FALSE)-VLOOKUP($A235,main!$A$3:$H$102,6,FALSE)&gt;=main!$D$103+VLOOKUP(VLOOKUP(CE$1,main!$A$3:$I$102,7,FALSE),main!$K$26:$Q$29,5,FALSE)),1,0)</f>
        <v>0</v>
      </c>
      <c r="CF235">
        <f>IF(AND(VLOOKUP(CF$1,main!$A$3:$H$102,7,FALSE)=main!$G$105,VLOOKUP(CF$1,main!$A$3:$H$102,5,FALSE)-VLOOKUP($A235,main!$A$3:$H$102,6,FALSE)&gt;=main!$D$103+VLOOKUP(VLOOKUP(CF$1,main!$A$3:$I$102,7,FALSE),main!$K$26:$Q$29,5,FALSE)),1,0)</f>
        <v>0</v>
      </c>
      <c r="CG235">
        <f>IF(AND(VLOOKUP(CG$1,main!$A$3:$H$102,7,FALSE)=main!$G$105,VLOOKUP(CG$1,main!$A$3:$H$102,5,FALSE)-VLOOKUP($A235,main!$A$3:$H$102,6,FALSE)&gt;=main!$D$103+VLOOKUP(VLOOKUP(CG$1,main!$A$3:$I$102,7,FALSE),main!$K$26:$Q$29,5,FALSE)),1,0)</f>
        <v>0</v>
      </c>
      <c r="CH235">
        <f>IF(AND(VLOOKUP(CH$1,main!$A$3:$H$102,7,FALSE)=main!$G$105,VLOOKUP(CH$1,main!$A$3:$H$102,5,FALSE)-VLOOKUP($A235,main!$A$3:$H$102,6,FALSE)&gt;=main!$D$103+VLOOKUP(VLOOKUP(CH$1,main!$A$3:$I$102,7,FALSE),main!$K$26:$Q$29,5,FALSE)),1,0)</f>
        <v>0</v>
      </c>
      <c r="CI235">
        <f>IF(AND(VLOOKUP(CI$1,main!$A$3:$H$102,7,FALSE)=main!$G$105,VLOOKUP(CI$1,main!$A$3:$H$102,5,FALSE)-VLOOKUP($A235,main!$A$3:$H$102,6,FALSE)&gt;=main!$D$103+VLOOKUP(VLOOKUP(CI$1,main!$A$3:$I$102,7,FALSE),main!$K$26:$Q$29,5,FALSE)),1,0)</f>
        <v>0</v>
      </c>
      <c r="CJ235">
        <f>IF(AND(VLOOKUP(CJ$1,main!$A$3:$H$102,7,FALSE)=main!$G$105,VLOOKUP(CJ$1,main!$A$3:$H$102,5,FALSE)-VLOOKUP($A235,main!$A$3:$H$102,6,FALSE)&gt;=main!$D$103+VLOOKUP(VLOOKUP(CJ$1,main!$A$3:$I$102,7,FALSE),main!$K$26:$Q$29,5,FALSE)),1,0)</f>
        <v>0</v>
      </c>
      <c r="CK235">
        <f>IF(AND(VLOOKUP(CK$1,main!$A$3:$H$102,7,FALSE)=main!$G$105,VLOOKUP(CK$1,main!$A$3:$H$102,5,FALSE)-VLOOKUP($A235,main!$A$3:$H$102,6,FALSE)&gt;=main!$D$103+VLOOKUP(VLOOKUP(CK$1,main!$A$3:$I$102,7,FALSE),main!$K$26:$Q$29,5,FALSE)),1,0)</f>
        <v>0</v>
      </c>
      <c r="CL235">
        <f>IF(AND(VLOOKUP(CL$1,main!$A$3:$H$102,7,FALSE)=main!$G$105,VLOOKUP(CL$1,main!$A$3:$H$102,5,FALSE)-VLOOKUP($A235,main!$A$3:$H$102,6,FALSE)&gt;=main!$D$103+VLOOKUP(VLOOKUP(CL$1,main!$A$3:$I$102,7,FALSE),main!$K$26:$Q$29,5,FALSE)),1,0)</f>
        <v>0</v>
      </c>
      <c r="CM235">
        <f>IF(AND(VLOOKUP(CM$1,main!$A$3:$H$102,7,FALSE)=main!$G$105,VLOOKUP(CM$1,main!$A$3:$H$102,5,FALSE)-VLOOKUP($A235,main!$A$3:$H$102,6,FALSE)&gt;=main!$D$103+VLOOKUP(VLOOKUP(CM$1,main!$A$3:$I$102,7,FALSE),main!$K$26:$Q$29,5,FALSE)),1,0)</f>
        <v>0</v>
      </c>
      <c r="CN235">
        <f>IF(AND(VLOOKUP(CN$1,main!$A$3:$H$102,7,FALSE)=main!$G$105,VLOOKUP(CN$1,main!$A$3:$H$102,5,FALSE)-VLOOKUP($A235,main!$A$3:$H$102,6,FALSE)&gt;=main!$D$103+VLOOKUP(VLOOKUP(CN$1,main!$A$3:$I$102,7,FALSE),main!$K$26:$Q$29,5,FALSE)),1,0)</f>
        <v>0</v>
      </c>
      <c r="CO235">
        <f>IF(AND(VLOOKUP(CO$1,main!$A$3:$H$102,7,FALSE)=main!$G$105,VLOOKUP(CO$1,main!$A$3:$H$102,5,FALSE)-VLOOKUP($A235,main!$A$3:$H$102,6,FALSE)&gt;=main!$D$103+VLOOKUP(VLOOKUP(CO$1,main!$A$3:$I$102,7,FALSE),main!$K$26:$Q$29,5,FALSE)),1,0)</f>
        <v>0</v>
      </c>
      <c r="CP235">
        <f>IF(AND(VLOOKUP(CP$1,main!$A$3:$H$102,7,FALSE)=main!$G$105,VLOOKUP(CP$1,main!$A$3:$H$102,5,FALSE)-VLOOKUP($A235,main!$A$3:$H$102,6,FALSE)&gt;=main!$D$103+VLOOKUP(VLOOKUP(CP$1,main!$A$3:$I$102,7,FALSE),main!$K$26:$Q$29,5,FALSE)),1,0)</f>
        <v>0</v>
      </c>
      <c r="CQ235">
        <f>IF(AND(VLOOKUP(CQ$1,main!$A$3:$H$102,7,FALSE)=main!$G$105,VLOOKUP(CQ$1,main!$A$3:$H$102,5,FALSE)-VLOOKUP($A235,main!$A$3:$H$102,6,FALSE)&gt;=main!$D$103+VLOOKUP(VLOOKUP(CQ$1,main!$A$3:$I$102,7,FALSE),main!$K$26:$Q$29,5,FALSE)),1,0)</f>
        <v>0</v>
      </c>
      <c r="CR235">
        <f>IF(AND(VLOOKUP(CR$1,main!$A$3:$H$102,7,FALSE)=main!$G$105,VLOOKUP(CR$1,main!$A$3:$H$102,5,FALSE)-VLOOKUP($A235,main!$A$3:$H$102,6,FALSE)&gt;=main!$D$103+VLOOKUP(VLOOKUP(CR$1,main!$A$3:$I$102,7,FALSE),main!$K$26:$Q$29,5,FALSE)),1,0)</f>
        <v>0</v>
      </c>
      <c r="CS235">
        <f>IF(AND(VLOOKUP(CS$1,main!$A$3:$H$102,7,FALSE)=main!$G$105,VLOOKUP(CS$1,main!$A$3:$H$102,5,FALSE)-VLOOKUP($A235,main!$A$3:$H$102,6,FALSE)&gt;=main!$D$103+VLOOKUP(VLOOKUP(CS$1,main!$A$3:$I$102,7,FALSE),main!$K$26:$Q$29,5,FALSE)),1,0)</f>
        <v>0</v>
      </c>
      <c r="CT235">
        <f>IF(AND(VLOOKUP(CT$1,main!$A$3:$H$102,7,FALSE)=main!$G$105,VLOOKUP(CT$1,main!$A$3:$H$102,5,FALSE)-VLOOKUP($A235,main!$A$3:$H$102,6,FALSE)&gt;=main!$D$103+VLOOKUP(VLOOKUP(CT$1,main!$A$3:$I$102,7,FALSE),main!$K$26:$Q$29,5,FALSE)),1,0)</f>
        <v>0</v>
      </c>
      <c r="CU235">
        <f>IF(AND(VLOOKUP(CU$1,main!$A$3:$H$102,7,FALSE)=main!$G$105,VLOOKUP(CU$1,main!$A$3:$H$102,5,FALSE)-VLOOKUP($A235,main!$A$3:$H$102,6,FALSE)&gt;=main!$D$103+VLOOKUP(VLOOKUP(CU$1,main!$A$3:$I$102,7,FALSE),main!$K$26:$Q$29,5,FALSE)),1,0)</f>
        <v>0</v>
      </c>
      <c r="CV235">
        <f>IF(AND(VLOOKUP(CV$1,main!$A$3:$H$102,7,FALSE)=main!$G$105,VLOOKUP(CV$1,main!$A$3:$H$102,5,FALSE)-VLOOKUP($A235,main!$A$3:$H$102,6,FALSE)&gt;=main!$D$103+VLOOKUP(VLOOKUP(CV$1,main!$A$3:$I$102,7,FALSE),main!$K$26:$Q$29,5,FALSE)),1,0)</f>
        <v>0</v>
      </c>
      <c r="CW235">
        <f>IF(AND(VLOOKUP(CW$1,main!$A$3:$H$102,7,FALSE)=main!$G$105,VLOOKUP(CW$1,main!$A$3:$H$102,5,FALSE)-VLOOKUP($A235,main!$A$3:$H$102,6,FALSE)&gt;=main!$D$103+VLOOKUP(VLOOKUP(CW$1,main!$A$3:$I$102,7,FALSE),main!$K$26:$Q$29,5,FALSE)),1,0)</f>
        <v>0</v>
      </c>
      <c r="CX235">
        <f>IF(AND(VLOOKUP(CX$1,main!$A$3:$H$102,7,FALSE)=main!$G$105,VLOOKUP(CX$1,main!$A$3:$H$102,5,FALSE)-VLOOKUP($A235,main!$A$3:$H$102,6,FALSE)&gt;=main!$D$103+VLOOKUP(VLOOKUP(CX$1,main!$A$3:$I$102,7,FALSE),main!$K$26:$Q$29,5,FALSE)),1,0)</f>
        <v>0</v>
      </c>
    </row>
    <row r="236" spans="1:102" x14ac:dyDescent="0.25">
      <c r="A236" s="1">
        <v>32</v>
      </c>
      <c r="B236">
        <v>0</v>
      </c>
      <c r="C236">
        <f>IF(AND(VLOOKUP(C$1,main!$A$3:$H$102,7,FALSE)=main!$G$105,VLOOKUP(C$1,main!$A$3:$H$102,5,FALSE)-VLOOKUP($A236,main!$A$3:$H$102,6,FALSE)&gt;=main!$D$103+VLOOKUP(VLOOKUP(C$1,main!$A$3:$I$102,7,FALSE),main!$K$26:$Q$29,5,FALSE)),1,0)</f>
        <v>0</v>
      </c>
      <c r="D236">
        <f>IF(AND(VLOOKUP(D$1,main!$A$3:$H$102,7,FALSE)=main!$G$105,VLOOKUP(D$1,main!$A$3:$H$102,5,FALSE)-VLOOKUP($A236,main!$A$3:$H$102,6,FALSE)&gt;=main!$D$103+VLOOKUP(VLOOKUP(D$1,main!$A$3:$I$102,7,FALSE),main!$K$26:$Q$29,5,FALSE)),1,0)</f>
        <v>0</v>
      </c>
      <c r="E236">
        <f>IF(AND(VLOOKUP(E$1,main!$A$3:$H$102,7,FALSE)=main!$G$105,VLOOKUP(E$1,main!$A$3:$H$102,5,FALSE)-VLOOKUP($A236,main!$A$3:$H$102,6,FALSE)&gt;=main!$D$103+VLOOKUP(VLOOKUP(E$1,main!$A$3:$I$102,7,FALSE),main!$K$26:$Q$29,5,FALSE)),1,0)</f>
        <v>0</v>
      </c>
      <c r="F236">
        <f>IF(AND(VLOOKUP(F$1,main!$A$3:$H$102,7,FALSE)=main!$G$105,VLOOKUP(F$1,main!$A$3:$H$102,5,FALSE)-VLOOKUP($A236,main!$A$3:$H$102,6,FALSE)&gt;=main!$D$103+VLOOKUP(VLOOKUP(F$1,main!$A$3:$I$102,7,FALSE),main!$K$26:$Q$29,5,FALSE)),1,0)</f>
        <v>0</v>
      </c>
      <c r="G236">
        <f>IF(AND(VLOOKUP(G$1,main!$A$3:$H$102,7,FALSE)=main!$G$105,VLOOKUP(G$1,main!$A$3:$H$102,5,FALSE)-VLOOKUP($A236,main!$A$3:$H$102,6,FALSE)&gt;=main!$D$103+VLOOKUP(VLOOKUP(G$1,main!$A$3:$I$102,7,FALSE),main!$K$26:$Q$29,5,FALSE)),1,0)</f>
        <v>0</v>
      </c>
      <c r="H236">
        <f>IF(AND(VLOOKUP(H$1,main!$A$3:$H$102,7,FALSE)=main!$G$105,VLOOKUP(H$1,main!$A$3:$H$102,5,FALSE)-VLOOKUP($A236,main!$A$3:$H$102,6,FALSE)&gt;=main!$D$103+VLOOKUP(VLOOKUP(H$1,main!$A$3:$I$102,7,FALSE),main!$K$26:$Q$29,5,FALSE)),1,0)</f>
        <v>0</v>
      </c>
      <c r="I236">
        <f>IF(AND(VLOOKUP(I$1,main!$A$3:$H$102,7,FALSE)=main!$G$105,VLOOKUP(I$1,main!$A$3:$H$102,5,FALSE)-VLOOKUP($A236,main!$A$3:$H$102,6,FALSE)&gt;=main!$D$103+VLOOKUP(VLOOKUP(I$1,main!$A$3:$I$102,7,FALSE),main!$K$26:$Q$29,5,FALSE)),1,0)</f>
        <v>0</v>
      </c>
      <c r="J236">
        <f>IF(AND(VLOOKUP(J$1,main!$A$3:$H$102,7,FALSE)=main!$G$105,VLOOKUP(J$1,main!$A$3:$H$102,5,FALSE)-VLOOKUP($A236,main!$A$3:$H$102,6,FALSE)&gt;=main!$D$103+VLOOKUP(VLOOKUP(J$1,main!$A$3:$I$102,7,FALSE),main!$K$26:$Q$29,5,FALSE)),1,0)</f>
        <v>0</v>
      </c>
      <c r="K236">
        <f>IF(AND(VLOOKUP(K$1,main!$A$3:$H$102,7,FALSE)=main!$G$105,VLOOKUP(K$1,main!$A$3:$H$102,5,FALSE)-VLOOKUP($A236,main!$A$3:$H$102,6,FALSE)&gt;=main!$D$103+VLOOKUP(VLOOKUP(K$1,main!$A$3:$I$102,7,FALSE),main!$K$26:$Q$29,5,FALSE)),1,0)</f>
        <v>0</v>
      </c>
      <c r="L236">
        <f>IF(AND(VLOOKUP(L$1,main!$A$3:$H$102,7,FALSE)=main!$G$105,VLOOKUP(L$1,main!$A$3:$H$102,5,FALSE)-VLOOKUP($A236,main!$A$3:$H$102,6,FALSE)&gt;=main!$D$103+VLOOKUP(VLOOKUP(L$1,main!$A$3:$I$102,7,FALSE),main!$K$26:$Q$29,5,FALSE)),1,0)</f>
        <v>0</v>
      </c>
      <c r="M236">
        <f>IF(AND(VLOOKUP(M$1,main!$A$3:$H$102,7,FALSE)=main!$G$105,VLOOKUP(M$1,main!$A$3:$H$102,5,FALSE)-VLOOKUP($A236,main!$A$3:$H$102,6,FALSE)&gt;=main!$D$103+VLOOKUP(VLOOKUP(M$1,main!$A$3:$I$102,7,FALSE),main!$K$26:$Q$29,5,FALSE)),1,0)</f>
        <v>0</v>
      </c>
      <c r="N236">
        <f>IF(AND(VLOOKUP(N$1,main!$A$3:$H$102,7,FALSE)=main!$G$105,VLOOKUP(N$1,main!$A$3:$H$102,5,FALSE)-VLOOKUP($A236,main!$A$3:$H$102,6,FALSE)&gt;=main!$D$103+VLOOKUP(VLOOKUP(N$1,main!$A$3:$I$102,7,FALSE),main!$K$26:$Q$29,5,FALSE)),1,0)</f>
        <v>0</v>
      </c>
      <c r="O236">
        <f>IF(AND(VLOOKUP(O$1,main!$A$3:$H$102,7,FALSE)=main!$G$105,VLOOKUP(O$1,main!$A$3:$H$102,5,FALSE)-VLOOKUP($A236,main!$A$3:$H$102,6,FALSE)&gt;=main!$D$103+VLOOKUP(VLOOKUP(O$1,main!$A$3:$I$102,7,FALSE),main!$K$26:$Q$29,5,FALSE)),1,0)</f>
        <v>0</v>
      </c>
      <c r="P236">
        <f>IF(AND(VLOOKUP(P$1,main!$A$3:$H$102,7,FALSE)=main!$G$105,VLOOKUP(P$1,main!$A$3:$H$102,5,FALSE)-VLOOKUP($A236,main!$A$3:$H$102,6,FALSE)&gt;=main!$D$103+VLOOKUP(VLOOKUP(P$1,main!$A$3:$I$102,7,FALSE),main!$K$26:$Q$29,5,FALSE)),1,0)</f>
        <v>0</v>
      </c>
      <c r="Q236">
        <f>IF(AND(VLOOKUP(Q$1,main!$A$3:$H$102,7,FALSE)=main!$G$105,VLOOKUP(Q$1,main!$A$3:$H$102,5,FALSE)-VLOOKUP($A236,main!$A$3:$H$102,6,FALSE)&gt;=main!$D$103+VLOOKUP(VLOOKUP(Q$1,main!$A$3:$I$102,7,FALSE),main!$K$26:$Q$29,5,FALSE)),1,0)</f>
        <v>0</v>
      </c>
      <c r="R236">
        <f>IF(AND(VLOOKUP(R$1,main!$A$3:$H$102,7,FALSE)=main!$G$105,VLOOKUP(R$1,main!$A$3:$H$102,5,FALSE)-VLOOKUP($A236,main!$A$3:$H$102,6,FALSE)&gt;=main!$D$103+VLOOKUP(VLOOKUP(R$1,main!$A$3:$I$102,7,FALSE),main!$K$26:$Q$29,5,FALSE)),1,0)</f>
        <v>0</v>
      </c>
      <c r="S236">
        <f>IF(AND(VLOOKUP(S$1,main!$A$3:$H$102,7,FALSE)=main!$G$105,VLOOKUP(S$1,main!$A$3:$H$102,5,FALSE)-VLOOKUP($A236,main!$A$3:$H$102,6,FALSE)&gt;=main!$D$103+VLOOKUP(VLOOKUP(S$1,main!$A$3:$I$102,7,FALSE),main!$K$26:$Q$29,5,FALSE)),1,0)</f>
        <v>0</v>
      </c>
      <c r="T236">
        <f>IF(AND(VLOOKUP(T$1,main!$A$3:$H$102,7,FALSE)=main!$G$105,VLOOKUP(T$1,main!$A$3:$H$102,5,FALSE)-VLOOKUP($A236,main!$A$3:$H$102,6,FALSE)&gt;=main!$D$103+VLOOKUP(VLOOKUP(T$1,main!$A$3:$I$102,7,FALSE),main!$K$26:$Q$29,5,FALSE)),1,0)</f>
        <v>0</v>
      </c>
      <c r="U236">
        <f>IF(AND(VLOOKUP(U$1,main!$A$3:$H$102,7,FALSE)=main!$G$105,VLOOKUP(U$1,main!$A$3:$H$102,5,FALSE)-VLOOKUP($A236,main!$A$3:$H$102,6,FALSE)&gt;=main!$D$103+VLOOKUP(VLOOKUP(U$1,main!$A$3:$I$102,7,FALSE),main!$K$26:$Q$29,5,FALSE)),1,0)</f>
        <v>0</v>
      </c>
      <c r="V236">
        <f>IF(AND(VLOOKUP(V$1,main!$A$3:$H$102,7,FALSE)=main!$G$105,VLOOKUP(V$1,main!$A$3:$H$102,5,FALSE)-VLOOKUP($A236,main!$A$3:$H$102,6,FALSE)&gt;=main!$D$103+VLOOKUP(VLOOKUP(V$1,main!$A$3:$I$102,7,FALSE),main!$K$26:$Q$29,5,FALSE)),1,0)</f>
        <v>0</v>
      </c>
      <c r="W236">
        <f>IF(AND(VLOOKUP(W$1,main!$A$3:$H$102,7,FALSE)=main!$G$105,VLOOKUP(W$1,main!$A$3:$H$102,5,FALSE)-VLOOKUP($A236,main!$A$3:$H$102,6,FALSE)&gt;=main!$D$103+VLOOKUP(VLOOKUP(W$1,main!$A$3:$I$102,7,FALSE),main!$K$26:$Q$29,5,FALSE)),1,0)</f>
        <v>0</v>
      </c>
      <c r="X236">
        <f>IF(AND(VLOOKUP(X$1,main!$A$3:$H$102,7,FALSE)=main!$G$105,VLOOKUP(X$1,main!$A$3:$H$102,5,FALSE)-VLOOKUP($A236,main!$A$3:$H$102,6,FALSE)&gt;=main!$D$103+VLOOKUP(VLOOKUP(X$1,main!$A$3:$I$102,7,FALSE),main!$K$26:$Q$29,5,FALSE)),1,0)</f>
        <v>0</v>
      </c>
      <c r="Y236">
        <f>IF(AND(VLOOKUP(Y$1,main!$A$3:$H$102,7,FALSE)=main!$G$105,VLOOKUP(Y$1,main!$A$3:$H$102,5,FALSE)-VLOOKUP($A236,main!$A$3:$H$102,6,FALSE)&gt;=main!$D$103+VLOOKUP(VLOOKUP(Y$1,main!$A$3:$I$102,7,FALSE),main!$K$26:$Q$29,5,FALSE)),1,0)</f>
        <v>0</v>
      </c>
      <c r="Z236">
        <f>IF(AND(VLOOKUP(Z$1,main!$A$3:$H$102,7,FALSE)=main!$G$105,VLOOKUP(Z$1,main!$A$3:$H$102,5,FALSE)-VLOOKUP($A236,main!$A$3:$H$102,6,FALSE)&gt;=main!$D$103+VLOOKUP(VLOOKUP(Z$1,main!$A$3:$I$102,7,FALSE),main!$K$26:$Q$29,5,FALSE)),1,0)</f>
        <v>0</v>
      </c>
      <c r="AA236">
        <f>IF(AND(VLOOKUP(AA$1,main!$A$3:$H$102,7,FALSE)=main!$G$105,VLOOKUP(AA$1,main!$A$3:$H$102,5,FALSE)-VLOOKUP($A236,main!$A$3:$H$102,6,FALSE)&gt;=main!$D$103+VLOOKUP(VLOOKUP(AA$1,main!$A$3:$I$102,7,FALSE),main!$K$26:$Q$29,5,FALSE)),1,0)</f>
        <v>0</v>
      </c>
      <c r="AB236">
        <f>IF(AND(VLOOKUP(AB$1,main!$A$3:$H$102,7,FALSE)=main!$G$105,VLOOKUP(AB$1,main!$A$3:$H$102,5,FALSE)-VLOOKUP($A236,main!$A$3:$H$102,6,FALSE)&gt;=main!$D$103+VLOOKUP(VLOOKUP(AB$1,main!$A$3:$I$102,7,FALSE),main!$K$26:$Q$29,5,FALSE)),1,0)</f>
        <v>0</v>
      </c>
      <c r="AC236">
        <f>IF(AND(VLOOKUP(AC$1,main!$A$3:$H$102,7,FALSE)=main!$G$105,VLOOKUP(AC$1,main!$A$3:$H$102,5,FALSE)-VLOOKUP($A236,main!$A$3:$H$102,6,FALSE)&gt;=main!$D$103+VLOOKUP(VLOOKUP(AC$1,main!$A$3:$I$102,7,FALSE),main!$K$26:$Q$29,5,FALSE)),1,0)</f>
        <v>0</v>
      </c>
      <c r="AD236">
        <f>IF(AND(VLOOKUP(AD$1,main!$A$3:$H$102,7,FALSE)=main!$G$105,VLOOKUP(AD$1,main!$A$3:$H$102,5,FALSE)-VLOOKUP($A236,main!$A$3:$H$102,6,FALSE)&gt;=main!$D$103+VLOOKUP(VLOOKUP(AD$1,main!$A$3:$I$102,7,FALSE),main!$K$26:$Q$29,5,FALSE)),1,0)</f>
        <v>0</v>
      </c>
      <c r="AE236">
        <f>IF(AND(VLOOKUP(AE$1,main!$A$3:$H$102,7,FALSE)=main!$G$105,VLOOKUP(AE$1,main!$A$3:$H$102,5,FALSE)-VLOOKUP($A236,main!$A$3:$H$102,6,FALSE)&gt;=main!$D$103+VLOOKUP(VLOOKUP(AE$1,main!$A$3:$I$102,7,FALSE),main!$K$26:$Q$29,5,FALSE)),1,0)</f>
        <v>0</v>
      </c>
      <c r="AF236">
        <f>IF(AND(VLOOKUP(AF$1,main!$A$3:$H$102,7,FALSE)=main!$G$105,VLOOKUP(AF$1,main!$A$3:$H$102,5,FALSE)-VLOOKUP($A236,main!$A$3:$H$102,6,FALSE)&gt;=main!$D$103+VLOOKUP(VLOOKUP(AF$1,main!$A$3:$I$102,7,FALSE),main!$K$26:$Q$29,5,FALSE)),1,0)</f>
        <v>0</v>
      </c>
      <c r="AG236">
        <f>IF(AND(VLOOKUP(AG$1,main!$A$3:$H$102,7,FALSE)=main!$G$105,VLOOKUP(AG$1,main!$A$3:$H$102,5,FALSE)-VLOOKUP($A236,main!$A$3:$H$102,6,FALSE)&gt;=main!$D$103+VLOOKUP(VLOOKUP(AG$1,main!$A$3:$I$102,7,FALSE),main!$K$26:$Q$29,5,FALSE)),1,0)</f>
        <v>0</v>
      </c>
      <c r="AH236">
        <f>IF(AND(VLOOKUP(AH$1,main!$A$3:$H$102,7,FALSE)=main!$G$105,VLOOKUP(AH$1,main!$A$3:$H$102,5,FALSE)-VLOOKUP($A236,main!$A$3:$H$102,6,FALSE)&gt;=main!$D$103+VLOOKUP(VLOOKUP(AH$1,main!$A$3:$I$102,7,FALSE),main!$K$26:$Q$29,5,FALSE)),1,0)</f>
        <v>0</v>
      </c>
      <c r="AI236">
        <f>IF(AND(VLOOKUP(AI$1,main!$A$3:$H$102,7,FALSE)=main!$G$105,VLOOKUP(AI$1,main!$A$3:$H$102,5,FALSE)-VLOOKUP($A236,main!$A$3:$H$102,6,FALSE)&gt;=main!$D$103+VLOOKUP(VLOOKUP(AI$1,main!$A$3:$I$102,7,FALSE),main!$K$26:$Q$29,5,FALSE)),1,0)</f>
        <v>0</v>
      </c>
      <c r="AJ236">
        <f>IF(AND(VLOOKUP(AJ$1,main!$A$3:$H$102,7,FALSE)=main!$G$105,VLOOKUP(AJ$1,main!$A$3:$H$102,5,FALSE)-VLOOKUP($A236,main!$A$3:$H$102,6,FALSE)&gt;=main!$D$103+VLOOKUP(VLOOKUP(AJ$1,main!$A$3:$I$102,7,FALSE),main!$K$26:$Q$29,5,FALSE)),1,0)</f>
        <v>0</v>
      </c>
      <c r="AK236">
        <f>IF(AND(VLOOKUP(AK$1,main!$A$3:$H$102,7,FALSE)=main!$G$105,VLOOKUP(AK$1,main!$A$3:$H$102,5,FALSE)-VLOOKUP($A236,main!$A$3:$H$102,6,FALSE)&gt;=main!$D$103+VLOOKUP(VLOOKUP(AK$1,main!$A$3:$I$102,7,FALSE),main!$K$26:$Q$29,5,FALSE)),1,0)</f>
        <v>1</v>
      </c>
      <c r="AL236">
        <f>IF(AND(VLOOKUP(AL$1,main!$A$3:$H$102,7,FALSE)=main!$G$105,VLOOKUP(AL$1,main!$A$3:$H$102,5,FALSE)-VLOOKUP($A236,main!$A$3:$H$102,6,FALSE)&gt;=main!$D$103+VLOOKUP(VLOOKUP(AL$1,main!$A$3:$I$102,7,FALSE),main!$K$26:$Q$29,5,FALSE)),1,0)</f>
        <v>1</v>
      </c>
      <c r="AM236">
        <f>IF(AND(VLOOKUP(AM$1,main!$A$3:$H$102,7,FALSE)=main!$G$105,VLOOKUP(AM$1,main!$A$3:$H$102,5,FALSE)-VLOOKUP($A236,main!$A$3:$H$102,6,FALSE)&gt;=main!$D$103+VLOOKUP(VLOOKUP(AM$1,main!$A$3:$I$102,7,FALSE),main!$K$26:$Q$29,5,FALSE)),1,0)</f>
        <v>1</v>
      </c>
      <c r="AN236">
        <f>IF(AND(VLOOKUP(AN$1,main!$A$3:$H$102,7,FALSE)=main!$G$105,VLOOKUP(AN$1,main!$A$3:$H$102,5,FALSE)-VLOOKUP($A236,main!$A$3:$H$102,6,FALSE)&gt;=main!$D$103+VLOOKUP(VLOOKUP(AN$1,main!$A$3:$I$102,7,FALSE),main!$K$26:$Q$29,5,FALSE)),1,0)</f>
        <v>1</v>
      </c>
      <c r="AO236">
        <f>IF(AND(VLOOKUP(AO$1,main!$A$3:$H$102,7,FALSE)=main!$G$105,VLOOKUP(AO$1,main!$A$3:$H$102,5,FALSE)-VLOOKUP($A236,main!$A$3:$H$102,6,FALSE)&gt;=main!$D$103+VLOOKUP(VLOOKUP(AO$1,main!$A$3:$I$102,7,FALSE),main!$K$26:$Q$29,5,FALSE)),1,0)</f>
        <v>0</v>
      </c>
      <c r="AP236">
        <f>IF(AND(VLOOKUP(AP$1,main!$A$3:$H$102,7,FALSE)=main!$G$105,VLOOKUP(AP$1,main!$A$3:$H$102,5,FALSE)-VLOOKUP($A236,main!$A$3:$H$102,6,FALSE)&gt;=main!$D$103+VLOOKUP(VLOOKUP(AP$1,main!$A$3:$I$102,7,FALSE),main!$K$26:$Q$29,5,FALSE)),1,0)</f>
        <v>1</v>
      </c>
      <c r="AQ236">
        <f>IF(AND(VLOOKUP(AQ$1,main!$A$3:$H$102,7,FALSE)=main!$G$105,VLOOKUP(AQ$1,main!$A$3:$H$102,5,FALSE)-VLOOKUP($A236,main!$A$3:$H$102,6,FALSE)&gt;=main!$D$103+VLOOKUP(VLOOKUP(AQ$1,main!$A$3:$I$102,7,FALSE),main!$K$26:$Q$29,5,FALSE)),1,0)</f>
        <v>0</v>
      </c>
      <c r="AR236">
        <f>IF(AND(VLOOKUP(AR$1,main!$A$3:$H$102,7,FALSE)=main!$G$105,VLOOKUP(AR$1,main!$A$3:$H$102,5,FALSE)-VLOOKUP($A236,main!$A$3:$H$102,6,FALSE)&gt;=main!$D$103+VLOOKUP(VLOOKUP(AR$1,main!$A$3:$I$102,7,FALSE),main!$K$26:$Q$29,5,FALSE)),1,0)</f>
        <v>0</v>
      </c>
      <c r="AS236">
        <f>IF(AND(VLOOKUP(AS$1,main!$A$3:$H$102,7,FALSE)=main!$G$105,VLOOKUP(AS$1,main!$A$3:$H$102,5,FALSE)-VLOOKUP($A236,main!$A$3:$H$102,6,FALSE)&gt;=main!$D$103+VLOOKUP(VLOOKUP(AS$1,main!$A$3:$I$102,7,FALSE),main!$K$26:$Q$29,5,FALSE)),1,0)</f>
        <v>0</v>
      </c>
      <c r="AT236">
        <f>IF(AND(VLOOKUP(AT$1,main!$A$3:$H$102,7,FALSE)=main!$G$105,VLOOKUP(AT$1,main!$A$3:$H$102,5,FALSE)-VLOOKUP($A236,main!$A$3:$H$102,6,FALSE)&gt;=main!$D$103+VLOOKUP(VLOOKUP(AT$1,main!$A$3:$I$102,7,FALSE),main!$K$26:$Q$29,5,FALSE)),1,0)</f>
        <v>1</v>
      </c>
      <c r="AU236">
        <f>IF(AND(VLOOKUP(AU$1,main!$A$3:$H$102,7,FALSE)=main!$G$105,VLOOKUP(AU$1,main!$A$3:$H$102,5,FALSE)-VLOOKUP($A236,main!$A$3:$H$102,6,FALSE)&gt;=main!$D$103+VLOOKUP(VLOOKUP(AU$1,main!$A$3:$I$102,7,FALSE),main!$K$26:$Q$29,5,FALSE)),1,0)</f>
        <v>0</v>
      </c>
      <c r="AV236">
        <f>IF(AND(VLOOKUP(AV$1,main!$A$3:$H$102,7,FALSE)=main!$G$105,VLOOKUP(AV$1,main!$A$3:$H$102,5,FALSE)-VLOOKUP($A236,main!$A$3:$H$102,6,FALSE)&gt;=main!$D$103+VLOOKUP(VLOOKUP(AV$1,main!$A$3:$I$102,7,FALSE),main!$K$26:$Q$29,5,FALSE)),1,0)</f>
        <v>0</v>
      </c>
      <c r="AW236">
        <f>IF(AND(VLOOKUP(AW$1,main!$A$3:$H$102,7,FALSE)=main!$G$105,VLOOKUP(AW$1,main!$A$3:$H$102,5,FALSE)-VLOOKUP($A236,main!$A$3:$H$102,6,FALSE)&gt;=main!$D$103+VLOOKUP(VLOOKUP(AW$1,main!$A$3:$I$102,7,FALSE),main!$K$26:$Q$29,5,FALSE)),1,0)</f>
        <v>1</v>
      </c>
      <c r="AX236">
        <f>IF(AND(VLOOKUP(AX$1,main!$A$3:$H$102,7,FALSE)=main!$G$105,VLOOKUP(AX$1,main!$A$3:$H$102,5,FALSE)-VLOOKUP($A236,main!$A$3:$H$102,6,FALSE)&gt;=main!$D$103+VLOOKUP(VLOOKUP(AX$1,main!$A$3:$I$102,7,FALSE),main!$K$26:$Q$29,5,FALSE)),1,0)</f>
        <v>0</v>
      </c>
      <c r="AY236">
        <f>IF(AND(VLOOKUP(AY$1,main!$A$3:$H$102,7,FALSE)=main!$G$105,VLOOKUP(AY$1,main!$A$3:$H$102,5,FALSE)-VLOOKUP($A236,main!$A$3:$H$102,6,FALSE)&gt;=main!$D$103+VLOOKUP(VLOOKUP(AY$1,main!$A$3:$I$102,7,FALSE),main!$K$26:$Q$29,5,FALSE)),1,0)</f>
        <v>0</v>
      </c>
      <c r="AZ236">
        <f>IF(AND(VLOOKUP(AZ$1,main!$A$3:$H$102,7,FALSE)=main!$G$105,VLOOKUP(AZ$1,main!$A$3:$H$102,5,FALSE)-VLOOKUP($A236,main!$A$3:$H$102,6,FALSE)&gt;=main!$D$103+VLOOKUP(VLOOKUP(AZ$1,main!$A$3:$I$102,7,FALSE),main!$K$26:$Q$29,5,FALSE)),1,0)</f>
        <v>0</v>
      </c>
      <c r="BA236">
        <f>IF(AND(VLOOKUP(BA$1,main!$A$3:$H$102,7,FALSE)=main!$G$105,VLOOKUP(BA$1,main!$A$3:$H$102,5,FALSE)-VLOOKUP($A236,main!$A$3:$H$102,6,FALSE)&gt;=main!$D$103+VLOOKUP(VLOOKUP(BA$1,main!$A$3:$I$102,7,FALSE),main!$K$26:$Q$29,5,FALSE)),1,0)</f>
        <v>0</v>
      </c>
      <c r="BB236">
        <f>IF(AND(VLOOKUP(BB$1,main!$A$3:$H$102,7,FALSE)=main!$G$105,VLOOKUP(BB$1,main!$A$3:$H$102,5,FALSE)-VLOOKUP($A236,main!$A$3:$H$102,6,FALSE)&gt;=main!$D$103+VLOOKUP(VLOOKUP(BB$1,main!$A$3:$I$102,7,FALSE),main!$K$26:$Q$29,5,FALSE)),1,0)</f>
        <v>0</v>
      </c>
      <c r="BC236">
        <f>IF(AND(VLOOKUP(BC$1,main!$A$3:$H$102,7,FALSE)=main!$G$105,VLOOKUP(BC$1,main!$A$3:$H$102,5,FALSE)-VLOOKUP($A236,main!$A$3:$H$102,6,FALSE)&gt;=main!$D$103+VLOOKUP(VLOOKUP(BC$1,main!$A$3:$I$102,7,FALSE),main!$K$26:$Q$29,5,FALSE)),1,0)</f>
        <v>0</v>
      </c>
      <c r="BD236">
        <f>IF(AND(VLOOKUP(BD$1,main!$A$3:$H$102,7,FALSE)=main!$G$105,VLOOKUP(BD$1,main!$A$3:$H$102,5,FALSE)-VLOOKUP($A236,main!$A$3:$H$102,6,FALSE)&gt;=main!$D$103+VLOOKUP(VLOOKUP(BD$1,main!$A$3:$I$102,7,FALSE),main!$K$26:$Q$29,5,FALSE)),1,0)</f>
        <v>0</v>
      </c>
      <c r="BE236">
        <f>IF(AND(VLOOKUP(BE$1,main!$A$3:$H$102,7,FALSE)=main!$G$105,VLOOKUP(BE$1,main!$A$3:$H$102,5,FALSE)-VLOOKUP($A236,main!$A$3:$H$102,6,FALSE)&gt;=main!$D$103+VLOOKUP(VLOOKUP(BE$1,main!$A$3:$I$102,7,FALSE),main!$K$26:$Q$29,5,FALSE)),1,0)</f>
        <v>0</v>
      </c>
      <c r="BF236">
        <f>IF(AND(VLOOKUP(BF$1,main!$A$3:$H$102,7,FALSE)=main!$G$105,VLOOKUP(BF$1,main!$A$3:$H$102,5,FALSE)-VLOOKUP($A236,main!$A$3:$H$102,6,FALSE)&gt;=main!$D$103+VLOOKUP(VLOOKUP(BF$1,main!$A$3:$I$102,7,FALSE),main!$K$26:$Q$29,5,FALSE)),1,0)</f>
        <v>0</v>
      </c>
      <c r="BG236">
        <f>IF(AND(VLOOKUP(BG$1,main!$A$3:$H$102,7,FALSE)=main!$G$105,VLOOKUP(BG$1,main!$A$3:$H$102,5,FALSE)-VLOOKUP($A236,main!$A$3:$H$102,6,FALSE)&gt;=main!$D$103+VLOOKUP(VLOOKUP(BG$1,main!$A$3:$I$102,7,FALSE),main!$K$26:$Q$29,5,FALSE)),1,0)</f>
        <v>0</v>
      </c>
      <c r="BH236">
        <f>IF(AND(VLOOKUP(BH$1,main!$A$3:$H$102,7,FALSE)=main!$G$105,VLOOKUP(BH$1,main!$A$3:$H$102,5,FALSE)-VLOOKUP($A236,main!$A$3:$H$102,6,FALSE)&gt;=main!$D$103+VLOOKUP(VLOOKUP(BH$1,main!$A$3:$I$102,7,FALSE),main!$K$26:$Q$29,5,FALSE)),1,0)</f>
        <v>0</v>
      </c>
      <c r="BI236">
        <f>IF(AND(VLOOKUP(BI$1,main!$A$3:$H$102,7,FALSE)=main!$G$105,VLOOKUP(BI$1,main!$A$3:$H$102,5,FALSE)-VLOOKUP($A236,main!$A$3:$H$102,6,FALSE)&gt;=main!$D$103+VLOOKUP(VLOOKUP(BI$1,main!$A$3:$I$102,7,FALSE),main!$K$26:$Q$29,5,FALSE)),1,0)</f>
        <v>0</v>
      </c>
      <c r="BJ236">
        <f>IF(AND(VLOOKUP(BJ$1,main!$A$3:$H$102,7,FALSE)=main!$G$105,VLOOKUP(BJ$1,main!$A$3:$H$102,5,FALSE)-VLOOKUP($A236,main!$A$3:$H$102,6,FALSE)&gt;=main!$D$103+VLOOKUP(VLOOKUP(BJ$1,main!$A$3:$I$102,7,FALSE),main!$K$26:$Q$29,5,FALSE)),1,0)</f>
        <v>0</v>
      </c>
      <c r="BK236">
        <f>IF(AND(VLOOKUP(BK$1,main!$A$3:$H$102,7,FALSE)=main!$G$105,VLOOKUP(BK$1,main!$A$3:$H$102,5,FALSE)-VLOOKUP($A236,main!$A$3:$H$102,6,FALSE)&gt;=main!$D$103+VLOOKUP(VLOOKUP(BK$1,main!$A$3:$I$102,7,FALSE),main!$K$26:$Q$29,5,FALSE)),1,0)</f>
        <v>0</v>
      </c>
      <c r="BL236">
        <f>IF(AND(VLOOKUP(BL$1,main!$A$3:$H$102,7,FALSE)=main!$G$105,VLOOKUP(BL$1,main!$A$3:$H$102,5,FALSE)-VLOOKUP($A236,main!$A$3:$H$102,6,FALSE)&gt;=main!$D$103+VLOOKUP(VLOOKUP(BL$1,main!$A$3:$I$102,7,FALSE),main!$K$26:$Q$29,5,FALSE)),1,0)</f>
        <v>0</v>
      </c>
      <c r="BM236">
        <f>IF(AND(VLOOKUP(BM$1,main!$A$3:$H$102,7,FALSE)=main!$G$105,VLOOKUP(BM$1,main!$A$3:$H$102,5,FALSE)-VLOOKUP($A236,main!$A$3:$H$102,6,FALSE)&gt;=main!$D$103+VLOOKUP(VLOOKUP(BM$1,main!$A$3:$I$102,7,FALSE),main!$K$26:$Q$29,5,FALSE)),1,0)</f>
        <v>0</v>
      </c>
      <c r="BN236">
        <f>IF(AND(VLOOKUP(BN$1,main!$A$3:$H$102,7,FALSE)=main!$G$105,VLOOKUP(BN$1,main!$A$3:$H$102,5,FALSE)-VLOOKUP($A236,main!$A$3:$H$102,6,FALSE)&gt;=main!$D$103+VLOOKUP(VLOOKUP(BN$1,main!$A$3:$I$102,7,FALSE),main!$K$26:$Q$29,5,FALSE)),1,0)</f>
        <v>0</v>
      </c>
      <c r="BO236">
        <f>IF(AND(VLOOKUP(BO$1,main!$A$3:$H$102,7,FALSE)=main!$G$105,VLOOKUP(BO$1,main!$A$3:$H$102,5,FALSE)-VLOOKUP($A236,main!$A$3:$H$102,6,FALSE)&gt;=main!$D$103+VLOOKUP(VLOOKUP(BO$1,main!$A$3:$I$102,7,FALSE),main!$K$26:$Q$29,5,FALSE)),1,0)</f>
        <v>0</v>
      </c>
      <c r="BP236">
        <f>IF(AND(VLOOKUP(BP$1,main!$A$3:$H$102,7,FALSE)=main!$G$105,VLOOKUP(BP$1,main!$A$3:$H$102,5,FALSE)-VLOOKUP($A236,main!$A$3:$H$102,6,FALSE)&gt;=main!$D$103+VLOOKUP(VLOOKUP(BP$1,main!$A$3:$I$102,7,FALSE),main!$K$26:$Q$29,5,FALSE)),1,0)</f>
        <v>0</v>
      </c>
      <c r="BQ236">
        <f>IF(AND(VLOOKUP(BQ$1,main!$A$3:$H$102,7,FALSE)=main!$G$105,VLOOKUP(BQ$1,main!$A$3:$H$102,5,FALSE)-VLOOKUP($A236,main!$A$3:$H$102,6,FALSE)&gt;=main!$D$103+VLOOKUP(VLOOKUP(BQ$1,main!$A$3:$I$102,7,FALSE),main!$K$26:$Q$29,5,FALSE)),1,0)</f>
        <v>0</v>
      </c>
      <c r="BR236">
        <f>IF(AND(VLOOKUP(BR$1,main!$A$3:$H$102,7,FALSE)=main!$G$105,VLOOKUP(BR$1,main!$A$3:$H$102,5,FALSE)-VLOOKUP($A236,main!$A$3:$H$102,6,FALSE)&gt;=main!$D$103+VLOOKUP(VLOOKUP(BR$1,main!$A$3:$I$102,7,FALSE),main!$K$26:$Q$29,5,FALSE)),1,0)</f>
        <v>0</v>
      </c>
      <c r="BS236">
        <f>IF(AND(VLOOKUP(BS$1,main!$A$3:$H$102,7,FALSE)=main!$G$105,VLOOKUP(BS$1,main!$A$3:$H$102,5,FALSE)-VLOOKUP($A236,main!$A$3:$H$102,6,FALSE)&gt;=main!$D$103+VLOOKUP(VLOOKUP(BS$1,main!$A$3:$I$102,7,FALSE),main!$K$26:$Q$29,5,FALSE)),1,0)</f>
        <v>0</v>
      </c>
      <c r="BT236">
        <f>IF(AND(VLOOKUP(BT$1,main!$A$3:$H$102,7,FALSE)=main!$G$105,VLOOKUP(BT$1,main!$A$3:$H$102,5,FALSE)-VLOOKUP($A236,main!$A$3:$H$102,6,FALSE)&gt;=main!$D$103+VLOOKUP(VLOOKUP(BT$1,main!$A$3:$I$102,7,FALSE),main!$K$26:$Q$29,5,FALSE)),1,0)</f>
        <v>0</v>
      </c>
      <c r="BU236">
        <f>IF(AND(VLOOKUP(BU$1,main!$A$3:$H$102,7,FALSE)=main!$G$105,VLOOKUP(BU$1,main!$A$3:$H$102,5,FALSE)-VLOOKUP($A236,main!$A$3:$H$102,6,FALSE)&gt;=main!$D$103+VLOOKUP(VLOOKUP(BU$1,main!$A$3:$I$102,7,FALSE),main!$K$26:$Q$29,5,FALSE)),1,0)</f>
        <v>0</v>
      </c>
      <c r="BV236">
        <f>IF(AND(VLOOKUP(BV$1,main!$A$3:$H$102,7,FALSE)=main!$G$105,VLOOKUP(BV$1,main!$A$3:$H$102,5,FALSE)-VLOOKUP($A236,main!$A$3:$H$102,6,FALSE)&gt;=main!$D$103+VLOOKUP(VLOOKUP(BV$1,main!$A$3:$I$102,7,FALSE),main!$K$26:$Q$29,5,FALSE)),1,0)</f>
        <v>0</v>
      </c>
      <c r="BW236">
        <f>IF(AND(VLOOKUP(BW$1,main!$A$3:$H$102,7,FALSE)=main!$G$105,VLOOKUP(BW$1,main!$A$3:$H$102,5,FALSE)-VLOOKUP($A236,main!$A$3:$H$102,6,FALSE)&gt;=main!$D$103+VLOOKUP(VLOOKUP(BW$1,main!$A$3:$I$102,7,FALSE),main!$K$26:$Q$29,5,FALSE)),1,0)</f>
        <v>0</v>
      </c>
      <c r="BX236">
        <f>IF(AND(VLOOKUP(BX$1,main!$A$3:$H$102,7,FALSE)=main!$G$105,VLOOKUP(BX$1,main!$A$3:$H$102,5,FALSE)-VLOOKUP($A236,main!$A$3:$H$102,6,FALSE)&gt;=main!$D$103+VLOOKUP(VLOOKUP(BX$1,main!$A$3:$I$102,7,FALSE),main!$K$26:$Q$29,5,FALSE)),1,0)</f>
        <v>0</v>
      </c>
      <c r="BY236">
        <f>IF(AND(VLOOKUP(BY$1,main!$A$3:$H$102,7,FALSE)=main!$G$105,VLOOKUP(BY$1,main!$A$3:$H$102,5,FALSE)-VLOOKUP($A236,main!$A$3:$H$102,6,FALSE)&gt;=main!$D$103+VLOOKUP(VLOOKUP(BY$1,main!$A$3:$I$102,7,FALSE),main!$K$26:$Q$29,5,FALSE)),1,0)</f>
        <v>0</v>
      </c>
      <c r="BZ236">
        <f>IF(AND(VLOOKUP(BZ$1,main!$A$3:$H$102,7,FALSE)=main!$G$105,VLOOKUP(BZ$1,main!$A$3:$H$102,5,FALSE)-VLOOKUP($A236,main!$A$3:$H$102,6,FALSE)&gt;=main!$D$103+VLOOKUP(VLOOKUP(BZ$1,main!$A$3:$I$102,7,FALSE),main!$K$26:$Q$29,5,FALSE)),1,0)</f>
        <v>0</v>
      </c>
      <c r="CA236">
        <f>IF(AND(VLOOKUP(CA$1,main!$A$3:$H$102,7,FALSE)=main!$G$105,VLOOKUP(CA$1,main!$A$3:$H$102,5,FALSE)-VLOOKUP($A236,main!$A$3:$H$102,6,FALSE)&gt;=main!$D$103+VLOOKUP(VLOOKUP(CA$1,main!$A$3:$I$102,7,FALSE),main!$K$26:$Q$29,5,FALSE)),1,0)</f>
        <v>0</v>
      </c>
      <c r="CB236">
        <f>IF(AND(VLOOKUP(CB$1,main!$A$3:$H$102,7,FALSE)=main!$G$105,VLOOKUP(CB$1,main!$A$3:$H$102,5,FALSE)-VLOOKUP($A236,main!$A$3:$H$102,6,FALSE)&gt;=main!$D$103+VLOOKUP(VLOOKUP(CB$1,main!$A$3:$I$102,7,FALSE),main!$K$26:$Q$29,5,FALSE)),1,0)</f>
        <v>0</v>
      </c>
      <c r="CC236">
        <f>IF(AND(VLOOKUP(CC$1,main!$A$3:$H$102,7,FALSE)=main!$G$105,VLOOKUP(CC$1,main!$A$3:$H$102,5,FALSE)-VLOOKUP($A236,main!$A$3:$H$102,6,FALSE)&gt;=main!$D$103+VLOOKUP(VLOOKUP(CC$1,main!$A$3:$I$102,7,FALSE),main!$K$26:$Q$29,5,FALSE)),1,0)</f>
        <v>0</v>
      </c>
      <c r="CD236">
        <f>IF(AND(VLOOKUP(CD$1,main!$A$3:$H$102,7,FALSE)=main!$G$105,VLOOKUP(CD$1,main!$A$3:$H$102,5,FALSE)-VLOOKUP($A236,main!$A$3:$H$102,6,FALSE)&gt;=main!$D$103+VLOOKUP(VLOOKUP(CD$1,main!$A$3:$I$102,7,FALSE),main!$K$26:$Q$29,5,FALSE)),1,0)</f>
        <v>0</v>
      </c>
      <c r="CE236">
        <f>IF(AND(VLOOKUP(CE$1,main!$A$3:$H$102,7,FALSE)=main!$G$105,VLOOKUP(CE$1,main!$A$3:$H$102,5,FALSE)-VLOOKUP($A236,main!$A$3:$H$102,6,FALSE)&gt;=main!$D$103+VLOOKUP(VLOOKUP(CE$1,main!$A$3:$I$102,7,FALSE),main!$K$26:$Q$29,5,FALSE)),1,0)</f>
        <v>0</v>
      </c>
      <c r="CF236">
        <f>IF(AND(VLOOKUP(CF$1,main!$A$3:$H$102,7,FALSE)=main!$G$105,VLOOKUP(CF$1,main!$A$3:$H$102,5,FALSE)-VLOOKUP($A236,main!$A$3:$H$102,6,FALSE)&gt;=main!$D$103+VLOOKUP(VLOOKUP(CF$1,main!$A$3:$I$102,7,FALSE),main!$K$26:$Q$29,5,FALSE)),1,0)</f>
        <v>0</v>
      </c>
      <c r="CG236">
        <f>IF(AND(VLOOKUP(CG$1,main!$A$3:$H$102,7,FALSE)=main!$G$105,VLOOKUP(CG$1,main!$A$3:$H$102,5,FALSE)-VLOOKUP($A236,main!$A$3:$H$102,6,FALSE)&gt;=main!$D$103+VLOOKUP(VLOOKUP(CG$1,main!$A$3:$I$102,7,FALSE),main!$K$26:$Q$29,5,FALSE)),1,0)</f>
        <v>0</v>
      </c>
      <c r="CH236">
        <f>IF(AND(VLOOKUP(CH$1,main!$A$3:$H$102,7,FALSE)=main!$G$105,VLOOKUP(CH$1,main!$A$3:$H$102,5,FALSE)-VLOOKUP($A236,main!$A$3:$H$102,6,FALSE)&gt;=main!$D$103+VLOOKUP(VLOOKUP(CH$1,main!$A$3:$I$102,7,FALSE),main!$K$26:$Q$29,5,FALSE)),1,0)</f>
        <v>0</v>
      </c>
      <c r="CI236">
        <f>IF(AND(VLOOKUP(CI$1,main!$A$3:$H$102,7,FALSE)=main!$G$105,VLOOKUP(CI$1,main!$A$3:$H$102,5,FALSE)-VLOOKUP($A236,main!$A$3:$H$102,6,FALSE)&gt;=main!$D$103+VLOOKUP(VLOOKUP(CI$1,main!$A$3:$I$102,7,FALSE),main!$K$26:$Q$29,5,FALSE)),1,0)</f>
        <v>0</v>
      </c>
      <c r="CJ236">
        <f>IF(AND(VLOOKUP(CJ$1,main!$A$3:$H$102,7,FALSE)=main!$G$105,VLOOKUP(CJ$1,main!$A$3:$H$102,5,FALSE)-VLOOKUP($A236,main!$A$3:$H$102,6,FALSE)&gt;=main!$D$103+VLOOKUP(VLOOKUP(CJ$1,main!$A$3:$I$102,7,FALSE),main!$K$26:$Q$29,5,FALSE)),1,0)</f>
        <v>0</v>
      </c>
      <c r="CK236">
        <f>IF(AND(VLOOKUP(CK$1,main!$A$3:$H$102,7,FALSE)=main!$G$105,VLOOKUP(CK$1,main!$A$3:$H$102,5,FALSE)-VLOOKUP($A236,main!$A$3:$H$102,6,FALSE)&gt;=main!$D$103+VLOOKUP(VLOOKUP(CK$1,main!$A$3:$I$102,7,FALSE),main!$K$26:$Q$29,5,FALSE)),1,0)</f>
        <v>0</v>
      </c>
      <c r="CL236">
        <f>IF(AND(VLOOKUP(CL$1,main!$A$3:$H$102,7,FALSE)=main!$G$105,VLOOKUP(CL$1,main!$A$3:$H$102,5,FALSE)-VLOOKUP($A236,main!$A$3:$H$102,6,FALSE)&gt;=main!$D$103+VLOOKUP(VLOOKUP(CL$1,main!$A$3:$I$102,7,FALSE),main!$K$26:$Q$29,5,FALSE)),1,0)</f>
        <v>0</v>
      </c>
      <c r="CM236">
        <f>IF(AND(VLOOKUP(CM$1,main!$A$3:$H$102,7,FALSE)=main!$G$105,VLOOKUP(CM$1,main!$A$3:$H$102,5,FALSE)-VLOOKUP($A236,main!$A$3:$H$102,6,FALSE)&gt;=main!$D$103+VLOOKUP(VLOOKUP(CM$1,main!$A$3:$I$102,7,FALSE),main!$K$26:$Q$29,5,FALSE)),1,0)</f>
        <v>0</v>
      </c>
      <c r="CN236">
        <f>IF(AND(VLOOKUP(CN$1,main!$A$3:$H$102,7,FALSE)=main!$G$105,VLOOKUP(CN$1,main!$A$3:$H$102,5,FALSE)-VLOOKUP($A236,main!$A$3:$H$102,6,FALSE)&gt;=main!$D$103+VLOOKUP(VLOOKUP(CN$1,main!$A$3:$I$102,7,FALSE),main!$K$26:$Q$29,5,FALSE)),1,0)</f>
        <v>0</v>
      </c>
      <c r="CO236">
        <f>IF(AND(VLOOKUP(CO$1,main!$A$3:$H$102,7,FALSE)=main!$G$105,VLOOKUP(CO$1,main!$A$3:$H$102,5,FALSE)-VLOOKUP($A236,main!$A$3:$H$102,6,FALSE)&gt;=main!$D$103+VLOOKUP(VLOOKUP(CO$1,main!$A$3:$I$102,7,FALSE),main!$K$26:$Q$29,5,FALSE)),1,0)</f>
        <v>0</v>
      </c>
      <c r="CP236">
        <f>IF(AND(VLOOKUP(CP$1,main!$A$3:$H$102,7,FALSE)=main!$G$105,VLOOKUP(CP$1,main!$A$3:$H$102,5,FALSE)-VLOOKUP($A236,main!$A$3:$H$102,6,FALSE)&gt;=main!$D$103+VLOOKUP(VLOOKUP(CP$1,main!$A$3:$I$102,7,FALSE),main!$K$26:$Q$29,5,FALSE)),1,0)</f>
        <v>0</v>
      </c>
      <c r="CQ236">
        <f>IF(AND(VLOOKUP(CQ$1,main!$A$3:$H$102,7,FALSE)=main!$G$105,VLOOKUP(CQ$1,main!$A$3:$H$102,5,FALSE)-VLOOKUP($A236,main!$A$3:$H$102,6,FALSE)&gt;=main!$D$103+VLOOKUP(VLOOKUP(CQ$1,main!$A$3:$I$102,7,FALSE),main!$K$26:$Q$29,5,FALSE)),1,0)</f>
        <v>0</v>
      </c>
      <c r="CR236">
        <f>IF(AND(VLOOKUP(CR$1,main!$A$3:$H$102,7,FALSE)=main!$G$105,VLOOKUP(CR$1,main!$A$3:$H$102,5,FALSE)-VLOOKUP($A236,main!$A$3:$H$102,6,FALSE)&gt;=main!$D$103+VLOOKUP(VLOOKUP(CR$1,main!$A$3:$I$102,7,FALSE),main!$K$26:$Q$29,5,FALSE)),1,0)</f>
        <v>0</v>
      </c>
      <c r="CS236">
        <f>IF(AND(VLOOKUP(CS$1,main!$A$3:$H$102,7,FALSE)=main!$G$105,VLOOKUP(CS$1,main!$A$3:$H$102,5,FALSE)-VLOOKUP($A236,main!$A$3:$H$102,6,FALSE)&gt;=main!$D$103+VLOOKUP(VLOOKUP(CS$1,main!$A$3:$I$102,7,FALSE),main!$K$26:$Q$29,5,FALSE)),1,0)</f>
        <v>0</v>
      </c>
      <c r="CT236">
        <f>IF(AND(VLOOKUP(CT$1,main!$A$3:$H$102,7,FALSE)=main!$G$105,VLOOKUP(CT$1,main!$A$3:$H$102,5,FALSE)-VLOOKUP($A236,main!$A$3:$H$102,6,FALSE)&gt;=main!$D$103+VLOOKUP(VLOOKUP(CT$1,main!$A$3:$I$102,7,FALSE),main!$K$26:$Q$29,5,FALSE)),1,0)</f>
        <v>0</v>
      </c>
      <c r="CU236">
        <f>IF(AND(VLOOKUP(CU$1,main!$A$3:$H$102,7,FALSE)=main!$G$105,VLOOKUP(CU$1,main!$A$3:$H$102,5,FALSE)-VLOOKUP($A236,main!$A$3:$H$102,6,FALSE)&gt;=main!$D$103+VLOOKUP(VLOOKUP(CU$1,main!$A$3:$I$102,7,FALSE),main!$K$26:$Q$29,5,FALSE)),1,0)</f>
        <v>0</v>
      </c>
      <c r="CV236">
        <f>IF(AND(VLOOKUP(CV$1,main!$A$3:$H$102,7,FALSE)=main!$G$105,VLOOKUP(CV$1,main!$A$3:$H$102,5,FALSE)-VLOOKUP($A236,main!$A$3:$H$102,6,FALSE)&gt;=main!$D$103+VLOOKUP(VLOOKUP(CV$1,main!$A$3:$I$102,7,FALSE),main!$K$26:$Q$29,5,FALSE)),1,0)</f>
        <v>0</v>
      </c>
      <c r="CW236">
        <f>IF(AND(VLOOKUP(CW$1,main!$A$3:$H$102,7,FALSE)=main!$G$105,VLOOKUP(CW$1,main!$A$3:$H$102,5,FALSE)-VLOOKUP($A236,main!$A$3:$H$102,6,FALSE)&gt;=main!$D$103+VLOOKUP(VLOOKUP(CW$1,main!$A$3:$I$102,7,FALSE),main!$K$26:$Q$29,5,FALSE)),1,0)</f>
        <v>0</v>
      </c>
      <c r="CX236">
        <f>IF(AND(VLOOKUP(CX$1,main!$A$3:$H$102,7,FALSE)=main!$G$105,VLOOKUP(CX$1,main!$A$3:$H$102,5,FALSE)-VLOOKUP($A236,main!$A$3:$H$102,6,FALSE)&gt;=main!$D$103+VLOOKUP(VLOOKUP(CX$1,main!$A$3:$I$102,7,FALSE),main!$K$26:$Q$29,5,FALSE)),1,0)</f>
        <v>0</v>
      </c>
    </row>
    <row r="237" spans="1:102" x14ac:dyDescent="0.25">
      <c r="A237" s="1">
        <v>33</v>
      </c>
      <c r="B237">
        <v>0</v>
      </c>
      <c r="C237">
        <f>IF(AND(VLOOKUP(C$1,main!$A$3:$H$102,7,FALSE)=main!$G$105,VLOOKUP(C$1,main!$A$3:$H$102,5,FALSE)-VLOOKUP($A237,main!$A$3:$H$102,6,FALSE)&gt;=main!$D$103+VLOOKUP(VLOOKUP(C$1,main!$A$3:$I$102,7,FALSE),main!$K$26:$Q$29,5,FALSE)),1,0)</f>
        <v>0</v>
      </c>
      <c r="D237">
        <f>IF(AND(VLOOKUP(D$1,main!$A$3:$H$102,7,FALSE)=main!$G$105,VLOOKUP(D$1,main!$A$3:$H$102,5,FALSE)-VLOOKUP($A237,main!$A$3:$H$102,6,FALSE)&gt;=main!$D$103+VLOOKUP(VLOOKUP(D$1,main!$A$3:$I$102,7,FALSE),main!$K$26:$Q$29,5,FALSE)),1,0)</f>
        <v>0</v>
      </c>
      <c r="E237">
        <f>IF(AND(VLOOKUP(E$1,main!$A$3:$H$102,7,FALSE)=main!$G$105,VLOOKUP(E$1,main!$A$3:$H$102,5,FALSE)-VLOOKUP($A237,main!$A$3:$H$102,6,FALSE)&gt;=main!$D$103+VLOOKUP(VLOOKUP(E$1,main!$A$3:$I$102,7,FALSE),main!$K$26:$Q$29,5,FALSE)),1,0)</f>
        <v>0</v>
      </c>
      <c r="F237">
        <f>IF(AND(VLOOKUP(F$1,main!$A$3:$H$102,7,FALSE)=main!$G$105,VLOOKUP(F$1,main!$A$3:$H$102,5,FALSE)-VLOOKUP($A237,main!$A$3:$H$102,6,FALSE)&gt;=main!$D$103+VLOOKUP(VLOOKUP(F$1,main!$A$3:$I$102,7,FALSE),main!$K$26:$Q$29,5,FALSE)),1,0)</f>
        <v>0</v>
      </c>
      <c r="G237">
        <f>IF(AND(VLOOKUP(G$1,main!$A$3:$H$102,7,FALSE)=main!$G$105,VLOOKUP(G$1,main!$A$3:$H$102,5,FALSE)-VLOOKUP($A237,main!$A$3:$H$102,6,FALSE)&gt;=main!$D$103+VLOOKUP(VLOOKUP(G$1,main!$A$3:$I$102,7,FALSE),main!$K$26:$Q$29,5,FALSE)),1,0)</f>
        <v>0</v>
      </c>
      <c r="H237">
        <f>IF(AND(VLOOKUP(H$1,main!$A$3:$H$102,7,FALSE)=main!$G$105,VLOOKUP(H$1,main!$A$3:$H$102,5,FALSE)-VLOOKUP($A237,main!$A$3:$H$102,6,FALSE)&gt;=main!$D$103+VLOOKUP(VLOOKUP(H$1,main!$A$3:$I$102,7,FALSE),main!$K$26:$Q$29,5,FALSE)),1,0)</f>
        <v>0</v>
      </c>
      <c r="I237">
        <f>IF(AND(VLOOKUP(I$1,main!$A$3:$H$102,7,FALSE)=main!$G$105,VLOOKUP(I$1,main!$A$3:$H$102,5,FALSE)-VLOOKUP($A237,main!$A$3:$H$102,6,FALSE)&gt;=main!$D$103+VLOOKUP(VLOOKUP(I$1,main!$A$3:$I$102,7,FALSE),main!$K$26:$Q$29,5,FALSE)),1,0)</f>
        <v>0</v>
      </c>
      <c r="J237">
        <f>IF(AND(VLOOKUP(J$1,main!$A$3:$H$102,7,FALSE)=main!$G$105,VLOOKUP(J$1,main!$A$3:$H$102,5,FALSE)-VLOOKUP($A237,main!$A$3:$H$102,6,FALSE)&gt;=main!$D$103+VLOOKUP(VLOOKUP(J$1,main!$A$3:$I$102,7,FALSE),main!$K$26:$Q$29,5,FALSE)),1,0)</f>
        <v>0</v>
      </c>
      <c r="K237">
        <f>IF(AND(VLOOKUP(K$1,main!$A$3:$H$102,7,FALSE)=main!$G$105,VLOOKUP(K$1,main!$A$3:$H$102,5,FALSE)-VLOOKUP($A237,main!$A$3:$H$102,6,FALSE)&gt;=main!$D$103+VLOOKUP(VLOOKUP(K$1,main!$A$3:$I$102,7,FALSE),main!$K$26:$Q$29,5,FALSE)),1,0)</f>
        <v>0</v>
      </c>
      <c r="L237">
        <f>IF(AND(VLOOKUP(L$1,main!$A$3:$H$102,7,FALSE)=main!$G$105,VLOOKUP(L$1,main!$A$3:$H$102,5,FALSE)-VLOOKUP($A237,main!$A$3:$H$102,6,FALSE)&gt;=main!$D$103+VLOOKUP(VLOOKUP(L$1,main!$A$3:$I$102,7,FALSE),main!$K$26:$Q$29,5,FALSE)),1,0)</f>
        <v>0</v>
      </c>
      <c r="M237">
        <f>IF(AND(VLOOKUP(M$1,main!$A$3:$H$102,7,FALSE)=main!$G$105,VLOOKUP(M$1,main!$A$3:$H$102,5,FALSE)-VLOOKUP($A237,main!$A$3:$H$102,6,FALSE)&gt;=main!$D$103+VLOOKUP(VLOOKUP(M$1,main!$A$3:$I$102,7,FALSE),main!$K$26:$Q$29,5,FALSE)),1,0)</f>
        <v>0</v>
      </c>
      <c r="N237">
        <f>IF(AND(VLOOKUP(N$1,main!$A$3:$H$102,7,FALSE)=main!$G$105,VLOOKUP(N$1,main!$A$3:$H$102,5,FALSE)-VLOOKUP($A237,main!$A$3:$H$102,6,FALSE)&gt;=main!$D$103+VLOOKUP(VLOOKUP(N$1,main!$A$3:$I$102,7,FALSE),main!$K$26:$Q$29,5,FALSE)),1,0)</f>
        <v>0</v>
      </c>
      <c r="O237">
        <f>IF(AND(VLOOKUP(O$1,main!$A$3:$H$102,7,FALSE)=main!$G$105,VLOOKUP(O$1,main!$A$3:$H$102,5,FALSE)-VLOOKUP($A237,main!$A$3:$H$102,6,FALSE)&gt;=main!$D$103+VLOOKUP(VLOOKUP(O$1,main!$A$3:$I$102,7,FALSE),main!$K$26:$Q$29,5,FALSE)),1,0)</f>
        <v>0</v>
      </c>
      <c r="P237">
        <f>IF(AND(VLOOKUP(P$1,main!$A$3:$H$102,7,FALSE)=main!$G$105,VLOOKUP(P$1,main!$A$3:$H$102,5,FALSE)-VLOOKUP($A237,main!$A$3:$H$102,6,FALSE)&gt;=main!$D$103+VLOOKUP(VLOOKUP(P$1,main!$A$3:$I$102,7,FALSE),main!$K$26:$Q$29,5,FALSE)),1,0)</f>
        <v>0</v>
      </c>
      <c r="Q237">
        <f>IF(AND(VLOOKUP(Q$1,main!$A$3:$H$102,7,FALSE)=main!$G$105,VLOOKUP(Q$1,main!$A$3:$H$102,5,FALSE)-VLOOKUP($A237,main!$A$3:$H$102,6,FALSE)&gt;=main!$D$103+VLOOKUP(VLOOKUP(Q$1,main!$A$3:$I$102,7,FALSE),main!$K$26:$Q$29,5,FALSE)),1,0)</f>
        <v>0</v>
      </c>
      <c r="R237">
        <f>IF(AND(VLOOKUP(R$1,main!$A$3:$H$102,7,FALSE)=main!$G$105,VLOOKUP(R$1,main!$A$3:$H$102,5,FALSE)-VLOOKUP($A237,main!$A$3:$H$102,6,FALSE)&gt;=main!$D$103+VLOOKUP(VLOOKUP(R$1,main!$A$3:$I$102,7,FALSE),main!$K$26:$Q$29,5,FALSE)),1,0)</f>
        <v>0</v>
      </c>
      <c r="S237">
        <f>IF(AND(VLOOKUP(S$1,main!$A$3:$H$102,7,FALSE)=main!$G$105,VLOOKUP(S$1,main!$A$3:$H$102,5,FALSE)-VLOOKUP($A237,main!$A$3:$H$102,6,FALSE)&gt;=main!$D$103+VLOOKUP(VLOOKUP(S$1,main!$A$3:$I$102,7,FALSE),main!$K$26:$Q$29,5,FALSE)),1,0)</f>
        <v>0</v>
      </c>
      <c r="T237">
        <f>IF(AND(VLOOKUP(T$1,main!$A$3:$H$102,7,FALSE)=main!$G$105,VLOOKUP(T$1,main!$A$3:$H$102,5,FALSE)-VLOOKUP($A237,main!$A$3:$H$102,6,FALSE)&gt;=main!$D$103+VLOOKUP(VLOOKUP(T$1,main!$A$3:$I$102,7,FALSE),main!$K$26:$Q$29,5,FALSE)),1,0)</f>
        <v>0</v>
      </c>
      <c r="U237">
        <f>IF(AND(VLOOKUP(U$1,main!$A$3:$H$102,7,FALSE)=main!$G$105,VLOOKUP(U$1,main!$A$3:$H$102,5,FALSE)-VLOOKUP($A237,main!$A$3:$H$102,6,FALSE)&gt;=main!$D$103+VLOOKUP(VLOOKUP(U$1,main!$A$3:$I$102,7,FALSE),main!$K$26:$Q$29,5,FALSE)),1,0)</f>
        <v>0</v>
      </c>
      <c r="V237">
        <f>IF(AND(VLOOKUP(V$1,main!$A$3:$H$102,7,FALSE)=main!$G$105,VLOOKUP(V$1,main!$A$3:$H$102,5,FALSE)-VLOOKUP($A237,main!$A$3:$H$102,6,FALSE)&gt;=main!$D$103+VLOOKUP(VLOOKUP(V$1,main!$A$3:$I$102,7,FALSE),main!$K$26:$Q$29,5,FALSE)),1,0)</f>
        <v>0</v>
      </c>
      <c r="W237">
        <f>IF(AND(VLOOKUP(W$1,main!$A$3:$H$102,7,FALSE)=main!$G$105,VLOOKUP(W$1,main!$A$3:$H$102,5,FALSE)-VLOOKUP($A237,main!$A$3:$H$102,6,FALSE)&gt;=main!$D$103+VLOOKUP(VLOOKUP(W$1,main!$A$3:$I$102,7,FALSE),main!$K$26:$Q$29,5,FALSE)),1,0)</f>
        <v>0</v>
      </c>
      <c r="X237">
        <f>IF(AND(VLOOKUP(X$1,main!$A$3:$H$102,7,FALSE)=main!$G$105,VLOOKUP(X$1,main!$A$3:$H$102,5,FALSE)-VLOOKUP($A237,main!$A$3:$H$102,6,FALSE)&gt;=main!$D$103+VLOOKUP(VLOOKUP(X$1,main!$A$3:$I$102,7,FALSE),main!$K$26:$Q$29,5,FALSE)),1,0)</f>
        <v>0</v>
      </c>
      <c r="Y237">
        <f>IF(AND(VLOOKUP(Y$1,main!$A$3:$H$102,7,FALSE)=main!$G$105,VLOOKUP(Y$1,main!$A$3:$H$102,5,FALSE)-VLOOKUP($A237,main!$A$3:$H$102,6,FALSE)&gt;=main!$D$103+VLOOKUP(VLOOKUP(Y$1,main!$A$3:$I$102,7,FALSE),main!$K$26:$Q$29,5,FALSE)),1,0)</f>
        <v>0</v>
      </c>
      <c r="Z237">
        <f>IF(AND(VLOOKUP(Z$1,main!$A$3:$H$102,7,FALSE)=main!$G$105,VLOOKUP(Z$1,main!$A$3:$H$102,5,FALSE)-VLOOKUP($A237,main!$A$3:$H$102,6,FALSE)&gt;=main!$D$103+VLOOKUP(VLOOKUP(Z$1,main!$A$3:$I$102,7,FALSE),main!$K$26:$Q$29,5,FALSE)),1,0)</f>
        <v>0</v>
      </c>
      <c r="AA237">
        <f>IF(AND(VLOOKUP(AA$1,main!$A$3:$H$102,7,FALSE)=main!$G$105,VLOOKUP(AA$1,main!$A$3:$H$102,5,FALSE)-VLOOKUP($A237,main!$A$3:$H$102,6,FALSE)&gt;=main!$D$103+VLOOKUP(VLOOKUP(AA$1,main!$A$3:$I$102,7,FALSE),main!$K$26:$Q$29,5,FALSE)),1,0)</f>
        <v>0</v>
      </c>
      <c r="AB237">
        <f>IF(AND(VLOOKUP(AB$1,main!$A$3:$H$102,7,FALSE)=main!$G$105,VLOOKUP(AB$1,main!$A$3:$H$102,5,FALSE)-VLOOKUP($A237,main!$A$3:$H$102,6,FALSE)&gt;=main!$D$103+VLOOKUP(VLOOKUP(AB$1,main!$A$3:$I$102,7,FALSE),main!$K$26:$Q$29,5,FALSE)),1,0)</f>
        <v>0</v>
      </c>
      <c r="AC237">
        <f>IF(AND(VLOOKUP(AC$1,main!$A$3:$H$102,7,FALSE)=main!$G$105,VLOOKUP(AC$1,main!$A$3:$H$102,5,FALSE)-VLOOKUP($A237,main!$A$3:$H$102,6,FALSE)&gt;=main!$D$103+VLOOKUP(VLOOKUP(AC$1,main!$A$3:$I$102,7,FALSE),main!$K$26:$Q$29,5,FALSE)),1,0)</f>
        <v>0</v>
      </c>
      <c r="AD237">
        <f>IF(AND(VLOOKUP(AD$1,main!$A$3:$H$102,7,FALSE)=main!$G$105,VLOOKUP(AD$1,main!$A$3:$H$102,5,FALSE)-VLOOKUP($A237,main!$A$3:$H$102,6,FALSE)&gt;=main!$D$103+VLOOKUP(VLOOKUP(AD$1,main!$A$3:$I$102,7,FALSE),main!$K$26:$Q$29,5,FALSE)),1,0)</f>
        <v>0</v>
      </c>
      <c r="AE237">
        <f>IF(AND(VLOOKUP(AE$1,main!$A$3:$H$102,7,FALSE)=main!$G$105,VLOOKUP(AE$1,main!$A$3:$H$102,5,FALSE)-VLOOKUP($A237,main!$A$3:$H$102,6,FALSE)&gt;=main!$D$103+VLOOKUP(VLOOKUP(AE$1,main!$A$3:$I$102,7,FALSE),main!$K$26:$Q$29,5,FALSE)),1,0)</f>
        <v>0</v>
      </c>
      <c r="AF237">
        <f>IF(AND(VLOOKUP(AF$1,main!$A$3:$H$102,7,FALSE)=main!$G$105,VLOOKUP(AF$1,main!$A$3:$H$102,5,FALSE)-VLOOKUP($A237,main!$A$3:$H$102,6,FALSE)&gt;=main!$D$103+VLOOKUP(VLOOKUP(AF$1,main!$A$3:$I$102,7,FALSE),main!$K$26:$Q$29,5,FALSE)),1,0)</f>
        <v>0</v>
      </c>
      <c r="AG237">
        <f>IF(AND(VLOOKUP(AG$1,main!$A$3:$H$102,7,FALSE)=main!$G$105,VLOOKUP(AG$1,main!$A$3:$H$102,5,FALSE)-VLOOKUP($A237,main!$A$3:$H$102,6,FALSE)&gt;=main!$D$103+VLOOKUP(VLOOKUP(AG$1,main!$A$3:$I$102,7,FALSE),main!$K$26:$Q$29,5,FALSE)),1,0)</f>
        <v>0</v>
      </c>
      <c r="AH237">
        <f>IF(AND(VLOOKUP(AH$1,main!$A$3:$H$102,7,FALSE)=main!$G$105,VLOOKUP(AH$1,main!$A$3:$H$102,5,FALSE)-VLOOKUP($A237,main!$A$3:$H$102,6,FALSE)&gt;=main!$D$103+VLOOKUP(VLOOKUP(AH$1,main!$A$3:$I$102,7,FALSE),main!$K$26:$Q$29,5,FALSE)),1,0)</f>
        <v>0</v>
      </c>
      <c r="AI237">
        <f>IF(AND(VLOOKUP(AI$1,main!$A$3:$H$102,7,FALSE)=main!$G$105,VLOOKUP(AI$1,main!$A$3:$H$102,5,FALSE)-VLOOKUP($A237,main!$A$3:$H$102,6,FALSE)&gt;=main!$D$103+VLOOKUP(VLOOKUP(AI$1,main!$A$3:$I$102,7,FALSE),main!$K$26:$Q$29,5,FALSE)),1,0)</f>
        <v>0</v>
      </c>
      <c r="AJ237">
        <f>IF(AND(VLOOKUP(AJ$1,main!$A$3:$H$102,7,FALSE)=main!$G$105,VLOOKUP(AJ$1,main!$A$3:$H$102,5,FALSE)-VLOOKUP($A237,main!$A$3:$H$102,6,FALSE)&gt;=main!$D$103+VLOOKUP(VLOOKUP(AJ$1,main!$A$3:$I$102,7,FALSE),main!$K$26:$Q$29,5,FALSE)),1,0)</f>
        <v>0</v>
      </c>
      <c r="AK237">
        <f>IF(AND(VLOOKUP(AK$1,main!$A$3:$H$102,7,FALSE)=main!$G$105,VLOOKUP(AK$1,main!$A$3:$H$102,5,FALSE)-VLOOKUP($A237,main!$A$3:$H$102,6,FALSE)&gt;=main!$D$103+VLOOKUP(VLOOKUP(AK$1,main!$A$3:$I$102,7,FALSE),main!$K$26:$Q$29,5,FALSE)),1,0)</f>
        <v>0</v>
      </c>
      <c r="AL237">
        <f>IF(AND(VLOOKUP(AL$1,main!$A$3:$H$102,7,FALSE)=main!$G$105,VLOOKUP(AL$1,main!$A$3:$H$102,5,FALSE)-VLOOKUP($A237,main!$A$3:$H$102,6,FALSE)&gt;=main!$D$103+VLOOKUP(VLOOKUP(AL$1,main!$A$3:$I$102,7,FALSE),main!$K$26:$Q$29,5,FALSE)),1,0)</f>
        <v>1</v>
      </c>
      <c r="AM237">
        <f>IF(AND(VLOOKUP(AM$1,main!$A$3:$H$102,7,FALSE)=main!$G$105,VLOOKUP(AM$1,main!$A$3:$H$102,5,FALSE)-VLOOKUP($A237,main!$A$3:$H$102,6,FALSE)&gt;=main!$D$103+VLOOKUP(VLOOKUP(AM$1,main!$A$3:$I$102,7,FALSE),main!$K$26:$Q$29,5,FALSE)),1,0)</f>
        <v>1</v>
      </c>
      <c r="AN237">
        <f>IF(AND(VLOOKUP(AN$1,main!$A$3:$H$102,7,FALSE)=main!$G$105,VLOOKUP(AN$1,main!$A$3:$H$102,5,FALSE)-VLOOKUP($A237,main!$A$3:$H$102,6,FALSE)&gt;=main!$D$103+VLOOKUP(VLOOKUP(AN$1,main!$A$3:$I$102,7,FALSE),main!$K$26:$Q$29,5,FALSE)),1,0)</f>
        <v>1</v>
      </c>
      <c r="AO237">
        <f>IF(AND(VLOOKUP(AO$1,main!$A$3:$H$102,7,FALSE)=main!$G$105,VLOOKUP(AO$1,main!$A$3:$H$102,5,FALSE)-VLOOKUP($A237,main!$A$3:$H$102,6,FALSE)&gt;=main!$D$103+VLOOKUP(VLOOKUP(AO$1,main!$A$3:$I$102,7,FALSE),main!$K$26:$Q$29,5,FALSE)),1,0)</f>
        <v>0</v>
      </c>
      <c r="AP237">
        <f>IF(AND(VLOOKUP(AP$1,main!$A$3:$H$102,7,FALSE)=main!$G$105,VLOOKUP(AP$1,main!$A$3:$H$102,5,FALSE)-VLOOKUP($A237,main!$A$3:$H$102,6,FALSE)&gt;=main!$D$103+VLOOKUP(VLOOKUP(AP$1,main!$A$3:$I$102,7,FALSE),main!$K$26:$Q$29,5,FALSE)),1,0)</f>
        <v>1</v>
      </c>
      <c r="AQ237">
        <f>IF(AND(VLOOKUP(AQ$1,main!$A$3:$H$102,7,FALSE)=main!$G$105,VLOOKUP(AQ$1,main!$A$3:$H$102,5,FALSE)-VLOOKUP($A237,main!$A$3:$H$102,6,FALSE)&gt;=main!$D$103+VLOOKUP(VLOOKUP(AQ$1,main!$A$3:$I$102,7,FALSE),main!$K$26:$Q$29,5,FALSE)),1,0)</f>
        <v>0</v>
      </c>
      <c r="AR237">
        <f>IF(AND(VLOOKUP(AR$1,main!$A$3:$H$102,7,FALSE)=main!$G$105,VLOOKUP(AR$1,main!$A$3:$H$102,5,FALSE)-VLOOKUP($A237,main!$A$3:$H$102,6,FALSE)&gt;=main!$D$103+VLOOKUP(VLOOKUP(AR$1,main!$A$3:$I$102,7,FALSE),main!$K$26:$Q$29,5,FALSE)),1,0)</f>
        <v>0</v>
      </c>
      <c r="AS237">
        <f>IF(AND(VLOOKUP(AS$1,main!$A$3:$H$102,7,FALSE)=main!$G$105,VLOOKUP(AS$1,main!$A$3:$H$102,5,FALSE)-VLOOKUP($A237,main!$A$3:$H$102,6,FALSE)&gt;=main!$D$103+VLOOKUP(VLOOKUP(AS$1,main!$A$3:$I$102,7,FALSE),main!$K$26:$Q$29,5,FALSE)),1,0)</f>
        <v>0</v>
      </c>
      <c r="AT237">
        <f>IF(AND(VLOOKUP(AT$1,main!$A$3:$H$102,7,FALSE)=main!$G$105,VLOOKUP(AT$1,main!$A$3:$H$102,5,FALSE)-VLOOKUP($A237,main!$A$3:$H$102,6,FALSE)&gt;=main!$D$103+VLOOKUP(VLOOKUP(AT$1,main!$A$3:$I$102,7,FALSE),main!$K$26:$Q$29,5,FALSE)),1,0)</f>
        <v>1</v>
      </c>
      <c r="AU237">
        <f>IF(AND(VLOOKUP(AU$1,main!$A$3:$H$102,7,FALSE)=main!$G$105,VLOOKUP(AU$1,main!$A$3:$H$102,5,FALSE)-VLOOKUP($A237,main!$A$3:$H$102,6,FALSE)&gt;=main!$D$103+VLOOKUP(VLOOKUP(AU$1,main!$A$3:$I$102,7,FALSE),main!$K$26:$Q$29,5,FALSE)),1,0)</f>
        <v>0</v>
      </c>
      <c r="AV237">
        <f>IF(AND(VLOOKUP(AV$1,main!$A$3:$H$102,7,FALSE)=main!$G$105,VLOOKUP(AV$1,main!$A$3:$H$102,5,FALSE)-VLOOKUP($A237,main!$A$3:$H$102,6,FALSE)&gt;=main!$D$103+VLOOKUP(VLOOKUP(AV$1,main!$A$3:$I$102,7,FALSE),main!$K$26:$Q$29,5,FALSE)),1,0)</f>
        <v>0</v>
      </c>
      <c r="AW237">
        <f>IF(AND(VLOOKUP(AW$1,main!$A$3:$H$102,7,FALSE)=main!$G$105,VLOOKUP(AW$1,main!$A$3:$H$102,5,FALSE)-VLOOKUP($A237,main!$A$3:$H$102,6,FALSE)&gt;=main!$D$103+VLOOKUP(VLOOKUP(AW$1,main!$A$3:$I$102,7,FALSE),main!$K$26:$Q$29,5,FALSE)),1,0)</f>
        <v>0</v>
      </c>
      <c r="AX237">
        <f>IF(AND(VLOOKUP(AX$1,main!$A$3:$H$102,7,FALSE)=main!$G$105,VLOOKUP(AX$1,main!$A$3:$H$102,5,FALSE)-VLOOKUP($A237,main!$A$3:$H$102,6,FALSE)&gt;=main!$D$103+VLOOKUP(VLOOKUP(AX$1,main!$A$3:$I$102,7,FALSE),main!$K$26:$Q$29,5,FALSE)),1,0)</f>
        <v>0</v>
      </c>
      <c r="AY237">
        <f>IF(AND(VLOOKUP(AY$1,main!$A$3:$H$102,7,FALSE)=main!$G$105,VLOOKUP(AY$1,main!$A$3:$H$102,5,FALSE)-VLOOKUP($A237,main!$A$3:$H$102,6,FALSE)&gt;=main!$D$103+VLOOKUP(VLOOKUP(AY$1,main!$A$3:$I$102,7,FALSE),main!$K$26:$Q$29,5,FALSE)),1,0)</f>
        <v>0</v>
      </c>
      <c r="AZ237">
        <f>IF(AND(VLOOKUP(AZ$1,main!$A$3:$H$102,7,FALSE)=main!$G$105,VLOOKUP(AZ$1,main!$A$3:$H$102,5,FALSE)-VLOOKUP($A237,main!$A$3:$H$102,6,FALSE)&gt;=main!$D$103+VLOOKUP(VLOOKUP(AZ$1,main!$A$3:$I$102,7,FALSE),main!$K$26:$Q$29,5,FALSE)),1,0)</f>
        <v>0</v>
      </c>
      <c r="BA237">
        <f>IF(AND(VLOOKUP(BA$1,main!$A$3:$H$102,7,FALSE)=main!$G$105,VLOOKUP(BA$1,main!$A$3:$H$102,5,FALSE)-VLOOKUP($A237,main!$A$3:$H$102,6,FALSE)&gt;=main!$D$103+VLOOKUP(VLOOKUP(BA$1,main!$A$3:$I$102,7,FALSE),main!$K$26:$Q$29,5,FALSE)),1,0)</f>
        <v>0</v>
      </c>
      <c r="BB237">
        <f>IF(AND(VLOOKUP(BB$1,main!$A$3:$H$102,7,FALSE)=main!$G$105,VLOOKUP(BB$1,main!$A$3:$H$102,5,FALSE)-VLOOKUP($A237,main!$A$3:$H$102,6,FALSE)&gt;=main!$D$103+VLOOKUP(VLOOKUP(BB$1,main!$A$3:$I$102,7,FALSE),main!$K$26:$Q$29,5,FALSE)),1,0)</f>
        <v>0</v>
      </c>
      <c r="BC237">
        <f>IF(AND(VLOOKUP(BC$1,main!$A$3:$H$102,7,FALSE)=main!$G$105,VLOOKUP(BC$1,main!$A$3:$H$102,5,FALSE)-VLOOKUP($A237,main!$A$3:$H$102,6,FALSE)&gt;=main!$D$103+VLOOKUP(VLOOKUP(BC$1,main!$A$3:$I$102,7,FALSE),main!$K$26:$Q$29,5,FALSE)),1,0)</f>
        <v>0</v>
      </c>
      <c r="BD237">
        <f>IF(AND(VLOOKUP(BD$1,main!$A$3:$H$102,7,FALSE)=main!$G$105,VLOOKUP(BD$1,main!$A$3:$H$102,5,FALSE)-VLOOKUP($A237,main!$A$3:$H$102,6,FALSE)&gt;=main!$D$103+VLOOKUP(VLOOKUP(BD$1,main!$A$3:$I$102,7,FALSE),main!$K$26:$Q$29,5,FALSE)),1,0)</f>
        <v>0</v>
      </c>
      <c r="BE237">
        <f>IF(AND(VLOOKUP(BE$1,main!$A$3:$H$102,7,FALSE)=main!$G$105,VLOOKUP(BE$1,main!$A$3:$H$102,5,FALSE)-VLOOKUP($A237,main!$A$3:$H$102,6,FALSE)&gt;=main!$D$103+VLOOKUP(VLOOKUP(BE$1,main!$A$3:$I$102,7,FALSE),main!$K$26:$Q$29,5,FALSE)),1,0)</f>
        <v>0</v>
      </c>
      <c r="BF237">
        <f>IF(AND(VLOOKUP(BF$1,main!$A$3:$H$102,7,FALSE)=main!$G$105,VLOOKUP(BF$1,main!$A$3:$H$102,5,FALSE)-VLOOKUP($A237,main!$A$3:$H$102,6,FALSE)&gt;=main!$D$103+VLOOKUP(VLOOKUP(BF$1,main!$A$3:$I$102,7,FALSE),main!$K$26:$Q$29,5,FALSE)),1,0)</f>
        <v>0</v>
      </c>
      <c r="BG237">
        <f>IF(AND(VLOOKUP(BG$1,main!$A$3:$H$102,7,FALSE)=main!$G$105,VLOOKUP(BG$1,main!$A$3:$H$102,5,FALSE)-VLOOKUP($A237,main!$A$3:$H$102,6,FALSE)&gt;=main!$D$103+VLOOKUP(VLOOKUP(BG$1,main!$A$3:$I$102,7,FALSE),main!$K$26:$Q$29,5,FALSE)),1,0)</f>
        <v>0</v>
      </c>
      <c r="BH237">
        <f>IF(AND(VLOOKUP(BH$1,main!$A$3:$H$102,7,FALSE)=main!$G$105,VLOOKUP(BH$1,main!$A$3:$H$102,5,FALSE)-VLOOKUP($A237,main!$A$3:$H$102,6,FALSE)&gt;=main!$D$103+VLOOKUP(VLOOKUP(BH$1,main!$A$3:$I$102,7,FALSE),main!$K$26:$Q$29,5,FALSE)),1,0)</f>
        <v>0</v>
      </c>
      <c r="BI237">
        <f>IF(AND(VLOOKUP(BI$1,main!$A$3:$H$102,7,FALSE)=main!$G$105,VLOOKUP(BI$1,main!$A$3:$H$102,5,FALSE)-VLOOKUP($A237,main!$A$3:$H$102,6,FALSE)&gt;=main!$D$103+VLOOKUP(VLOOKUP(BI$1,main!$A$3:$I$102,7,FALSE),main!$K$26:$Q$29,5,FALSE)),1,0)</f>
        <v>0</v>
      </c>
      <c r="BJ237">
        <f>IF(AND(VLOOKUP(BJ$1,main!$A$3:$H$102,7,FALSE)=main!$G$105,VLOOKUP(BJ$1,main!$A$3:$H$102,5,FALSE)-VLOOKUP($A237,main!$A$3:$H$102,6,FALSE)&gt;=main!$D$103+VLOOKUP(VLOOKUP(BJ$1,main!$A$3:$I$102,7,FALSE),main!$K$26:$Q$29,5,FALSE)),1,0)</f>
        <v>0</v>
      </c>
      <c r="BK237">
        <f>IF(AND(VLOOKUP(BK$1,main!$A$3:$H$102,7,FALSE)=main!$G$105,VLOOKUP(BK$1,main!$A$3:$H$102,5,FALSE)-VLOOKUP($A237,main!$A$3:$H$102,6,FALSE)&gt;=main!$D$103+VLOOKUP(VLOOKUP(BK$1,main!$A$3:$I$102,7,FALSE),main!$K$26:$Q$29,5,FALSE)),1,0)</f>
        <v>0</v>
      </c>
      <c r="BL237">
        <f>IF(AND(VLOOKUP(BL$1,main!$A$3:$H$102,7,FALSE)=main!$G$105,VLOOKUP(BL$1,main!$A$3:$H$102,5,FALSE)-VLOOKUP($A237,main!$A$3:$H$102,6,FALSE)&gt;=main!$D$103+VLOOKUP(VLOOKUP(BL$1,main!$A$3:$I$102,7,FALSE),main!$K$26:$Q$29,5,FALSE)),1,0)</f>
        <v>0</v>
      </c>
      <c r="BM237">
        <f>IF(AND(VLOOKUP(BM$1,main!$A$3:$H$102,7,FALSE)=main!$G$105,VLOOKUP(BM$1,main!$A$3:$H$102,5,FALSE)-VLOOKUP($A237,main!$A$3:$H$102,6,FALSE)&gt;=main!$D$103+VLOOKUP(VLOOKUP(BM$1,main!$A$3:$I$102,7,FALSE),main!$K$26:$Q$29,5,FALSE)),1,0)</f>
        <v>0</v>
      </c>
      <c r="BN237">
        <f>IF(AND(VLOOKUP(BN$1,main!$A$3:$H$102,7,FALSE)=main!$G$105,VLOOKUP(BN$1,main!$A$3:$H$102,5,FALSE)-VLOOKUP($A237,main!$A$3:$H$102,6,FALSE)&gt;=main!$D$103+VLOOKUP(VLOOKUP(BN$1,main!$A$3:$I$102,7,FALSE),main!$K$26:$Q$29,5,FALSE)),1,0)</f>
        <v>0</v>
      </c>
      <c r="BO237">
        <f>IF(AND(VLOOKUP(BO$1,main!$A$3:$H$102,7,FALSE)=main!$G$105,VLOOKUP(BO$1,main!$A$3:$H$102,5,FALSE)-VLOOKUP($A237,main!$A$3:$H$102,6,FALSE)&gt;=main!$D$103+VLOOKUP(VLOOKUP(BO$1,main!$A$3:$I$102,7,FALSE),main!$K$26:$Q$29,5,FALSE)),1,0)</f>
        <v>0</v>
      </c>
      <c r="BP237">
        <f>IF(AND(VLOOKUP(BP$1,main!$A$3:$H$102,7,FALSE)=main!$G$105,VLOOKUP(BP$1,main!$A$3:$H$102,5,FALSE)-VLOOKUP($A237,main!$A$3:$H$102,6,FALSE)&gt;=main!$D$103+VLOOKUP(VLOOKUP(BP$1,main!$A$3:$I$102,7,FALSE),main!$K$26:$Q$29,5,FALSE)),1,0)</f>
        <v>0</v>
      </c>
      <c r="BQ237">
        <f>IF(AND(VLOOKUP(BQ$1,main!$A$3:$H$102,7,FALSE)=main!$G$105,VLOOKUP(BQ$1,main!$A$3:$H$102,5,FALSE)-VLOOKUP($A237,main!$A$3:$H$102,6,FALSE)&gt;=main!$D$103+VLOOKUP(VLOOKUP(BQ$1,main!$A$3:$I$102,7,FALSE),main!$K$26:$Q$29,5,FALSE)),1,0)</f>
        <v>0</v>
      </c>
      <c r="BR237">
        <f>IF(AND(VLOOKUP(BR$1,main!$A$3:$H$102,7,FALSE)=main!$G$105,VLOOKUP(BR$1,main!$A$3:$H$102,5,FALSE)-VLOOKUP($A237,main!$A$3:$H$102,6,FALSE)&gt;=main!$D$103+VLOOKUP(VLOOKUP(BR$1,main!$A$3:$I$102,7,FALSE),main!$K$26:$Q$29,5,FALSE)),1,0)</f>
        <v>0</v>
      </c>
      <c r="BS237">
        <f>IF(AND(VLOOKUP(BS$1,main!$A$3:$H$102,7,FALSE)=main!$G$105,VLOOKUP(BS$1,main!$A$3:$H$102,5,FALSE)-VLOOKUP($A237,main!$A$3:$H$102,6,FALSE)&gt;=main!$D$103+VLOOKUP(VLOOKUP(BS$1,main!$A$3:$I$102,7,FALSE),main!$K$26:$Q$29,5,FALSE)),1,0)</f>
        <v>0</v>
      </c>
      <c r="BT237">
        <f>IF(AND(VLOOKUP(BT$1,main!$A$3:$H$102,7,FALSE)=main!$G$105,VLOOKUP(BT$1,main!$A$3:$H$102,5,FALSE)-VLOOKUP($A237,main!$A$3:$H$102,6,FALSE)&gt;=main!$D$103+VLOOKUP(VLOOKUP(BT$1,main!$A$3:$I$102,7,FALSE),main!$K$26:$Q$29,5,FALSE)),1,0)</f>
        <v>0</v>
      </c>
      <c r="BU237">
        <f>IF(AND(VLOOKUP(BU$1,main!$A$3:$H$102,7,FALSE)=main!$G$105,VLOOKUP(BU$1,main!$A$3:$H$102,5,FALSE)-VLOOKUP($A237,main!$A$3:$H$102,6,FALSE)&gt;=main!$D$103+VLOOKUP(VLOOKUP(BU$1,main!$A$3:$I$102,7,FALSE),main!$K$26:$Q$29,5,FALSE)),1,0)</f>
        <v>0</v>
      </c>
      <c r="BV237">
        <f>IF(AND(VLOOKUP(BV$1,main!$A$3:$H$102,7,FALSE)=main!$G$105,VLOOKUP(BV$1,main!$A$3:$H$102,5,FALSE)-VLOOKUP($A237,main!$A$3:$H$102,6,FALSE)&gt;=main!$D$103+VLOOKUP(VLOOKUP(BV$1,main!$A$3:$I$102,7,FALSE),main!$K$26:$Q$29,5,FALSE)),1,0)</f>
        <v>0</v>
      </c>
      <c r="BW237">
        <f>IF(AND(VLOOKUP(BW$1,main!$A$3:$H$102,7,FALSE)=main!$G$105,VLOOKUP(BW$1,main!$A$3:$H$102,5,FALSE)-VLOOKUP($A237,main!$A$3:$H$102,6,FALSE)&gt;=main!$D$103+VLOOKUP(VLOOKUP(BW$1,main!$A$3:$I$102,7,FALSE),main!$K$26:$Q$29,5,FALSE)),1,0)</f>
        <v>0</v>
      </c>
      <c r="BX237">
        <f>IF(AND(VLOOKUP(BX$1,main!$A$3:$H$102,7,FALSE)=main!$G$105,VLOOKUP(BX$1,main!$A$3:$H$102,5,FALSE)-VLOOKUP($A237,main!$A$3:$H$102,6,FALSE)&gt;=main!$D$103+VLOOKUP(VLOOKUP(BX$1,main!$A$3:$I$102,7,FALSE),main!$K$26:$Q$29,5,FALSE)),1,0)</f>
        <v>0</v>
      </c>
      <c r="BY237">
        <f>IF(AND(VLOOKUP(BY$1,main!$A$3:$H$102,7,FALSE)=main!$G$105,VLOOKUP(BY$1,main!$A$3:$H$102,5,FALSE)-VLOOKUP($A237,main!$A$3:$H$102,6,FALSE)&gt;=main!$D$103+VLOOKUP(VLOOKUP(BY$1,main!$A$3:$I$102,7,FALSE),main!$K$26:$Q$29,5,FALSE)),1,0)</f>
        <v>0</v>
      </c>
      <c r="BZ237">
        <f>IF(AND(VLOOKUP(BZ$1,main!$A$3:$H$102,7,FALSE)=main!$G$105,VLOOKUP(BZ$1,main!$A$3:$H$102,5,FALSE)-VLOOKUP($A237,main!$A$3:$H$102,6,FALSE)&gt;=main!$D$103+VLOOKUP(VLOOKUP(BZ$1,main!$A$3:$I$102,7,FALSE),main!$K$26:$Q$29,5,FALSE)),1,0)</f>
        <v>0</v>
      </c>
      <c r="CA237">
        <f>IF(AND(VLOOKUP(CA$1,main!$A$3:$H$102,7,FALSE)=main!$G$105,VLOOKUP(CA$1,main!$A$3:$H$102,5,FALSE)-VLOOKUP($A237,main!$A$3:$H$102,6,FALSE)&gt;=main!$D$103+VLOOKUP(VLOOKUP(CA$1,main!$A$3:$I$102,7,FALSE),main!$K$26:$Q$29,5,FALSE)),1,0)</f>
        <v>0</v>
      </c>
      <c r="CB237">
        <f>IF(AND(VLOOKUP(CB$1,main!$A$3:$H$102,7,FALSE)=main!$G$105,VLOOKUP(CB$1,main!$A$3:$H$102,5,FALSE)-VLOOKUP($A237,main!$A$3:$H$102,6,FALSE)&gt;=main!$D$103+VLOOKUP(VLOOKUP(CB$1,main!$A$3:$I$102,7,FALSE),main!$K$26:$Q$29,5,FALSE)),1,0)</f>
        <v>0</v>
      </c>
      <c r="CC237">
        <f>IF(AND(VLOOKUP(CC$1,main!$A$3:$H$102,7,FALSE)=main!$G$105,VLOOKUP(CC$1,main!$A$3:$H$102,5,FALSE)-VLOOKUP($A237,main!$A$3:$H$102,6,FALSE)&gt;=main!$D$103+VLOOKUP(VLOOKUP(CC$1,main!$A$3:$I$102,7,FALSE),main!$K$26:$Q$29,5,FALSE)),1,0)</f>
        <v>0</v>
      </c>
      <c r="CD237">
        <f>IF(AND(VLOOKUP(CD$1,main!$A$3:$H$102,7,FALSE)=main!$G$105,VLOOKUP(CD$1,main!$A$3:$H$102,5,FALSE)-VLOOKUP($A237,main!$A$3:$H$102,6,FALSE)&gt;=main!$D$103+VLOOKUP(VLOOKUP(CD$1,main!$A$3:$I$102,7,FALSE),main!$K$26:$Q$29,5,FALSE)),1,0)</f>
        <v>0</v>
      </c>
      <c r="CE237">
        <f>IF(AND(VLOOKUP(CE$1,main!$A$3:$H$102,7,FALSE)=main!$G$105,VLOOKUP(CE$1,main!$A$3:$H$102,5,FALSE)-VLOOKUP($A237,main!$A$3:$H$102,6,FALSE)&gt;=main!$D$103+VLOOKUP(VLOOKUP(CE$1,main!$A$3:$I$102,7,FALSE),main!$K$26:$Q$29,5,FALSE)),1,0)</f>
        <v>0</v>
      </c>
      <c r="CF237">
        <f>IF(AND(VLOOKUP(CF$1,main!$A$3:$H$102,7,FALSE)=main!$G$105,VLOOKUP(CF$1,main!$A$3:$H$102,5,FALSE)-VLOOKUP($A237,main!$A$3:$H$102,6,FALSE)&gt;=main!$D$103+VLOOKUP(VLOOKUP(CF$1,main!$A$3:$I$102,7,FALSE),main!$K$26:$Q$29,5,FALSE)),1,0)</f>
        <v>0</v>
      </c>
      <c r="CG237">
        <f>IF(AND(VLOOKUP(CG$1,main!$A$3:$H$102,7,FALSE)=main!$G$105,VLOOKUP(CG$1,main!$A$3:$H$102,5,FALSE)-VLOOKUP($A237,main!$A$3:$H$102,6,FALSE)&gt;=main!$D$103+VLOOKUP(VLOOKUP(CG$1,main!$A$3:$I$102,7,FALSE),main!$K$26:$Q$29,5,FALSE)),1,0)</f>
        <v>0</v>
      </c>
      <c r="CH237">
        <f>IF(AND(VLOOKUP(CH$1,main!$A$3:$H$102,7,FALSE)=main!$G$105,VLOOKUP(CH$1,main!$A$3:$H$102,5,FALSE)-VLOOKUP($A237,main!$A$3:$H$102,6,FALSE)&gt;=main!$D$103+VLOOKUP(VLOOKUP(CH$1,main!$A$3:$I$102,7,FALSE),main!$K$26:$Q$29,5,FALSE)),1,0)</f>
        <v>0</v>
      </c>
      <c r="CI237">
        <f>IF(AND(VLOOKUP(CI$1,main!$A$3:$H$102,7,FALSE)=main!$G$105,VLOOKUP(CI$1,main!$A$3:$H$102,5,FALSE)-VLOOKUP($A237,main!$A$3:$H$102,6,FALSE)&gt;=main!$D$103+VLOOKUP(VLOOKUP(CI$1,main!$A$3:$I$102,7,FALSE),main!$K$26:$Q$29,5,FALSE)),1,0)</f>
        <v>0</v>
      </c>
      <c r="CJ237">
        <f>IF(AND(VLOOKUP(CJ$1,main!$A$3:$H$102,7,FALSE)=main!$G$105,VLOOKUP(CJ$1,main!$A$3:$H$102,5,FALSE)-VLOOKUP($A237,main!$A$3:$H$102,6,FALSE)&gt;=main!$D$103+VLOOKUP(VLOOKUP(CJ$1,main!$A$3:$I$102,7,FALSE),main!$K$26:$Q$29,5,FALSE)),1,0)</f>
        <v>0</v>
      </c>
      <c r="CK237">
        <f>IF(AND(VLOOKUP(CK$1,main!$A$3:$H$102,7,FALSE)=main!$G$105,VLOOKUP(CK$1,main!$A$3:$H$102,5,FALSE)-VLOOKUP($A237,main!$A$3:$H$102,6,FALSE)&gt;=main!$D$103+VLOOKUP(VLOOKUP(CK$1,main!$A$3:$I$102,7,FALSE),main!$K$26:$Q$29,5,FALSE)),1,0)</f>
        <v>0</v>
      </c>
      <c r="CL237">
        <f>IF(AND(VLOOKUP(CL$1,main!$A$3:$H$102,7,FALSE)=main!$G$105,VLOOKUP(CL$1,main!$A$3:$H$102,5,FALSE)-VLOOKUP($A237,main!$A$3:$H$102,6,FALSE)&gt;=main!$D$103+VLOOKUP(VLOOKUP(CL$1,main!$A$3:$I$102,7,FALSE),main!$K$26:$Q$29,5,FALSE)),1,0)</f>
        <v>0</v>
      </c>
      <c r="CM237">
        <f>IF(AND(VLOOKUP(CM$1,main!$A$3:$H$102,7,FALSE)=main!$G$105,VLOOKUP(CM$1,main!$A$3:$H$102,5,FALSE)-VLOOKUP($A237,main!$A$3:$H$102,6,FALSE)&gt;=main!$D$103+VLOOKUP(VLOOKUP(CM$1,main!$A$3:$I$102,7,FALSE),main!$K$26:$Q$29,5,FALSE)),1,0)</f>
        <v>0</v>
      </c>
      <c r="CN237">
        <f>IF(AND(VLOOKUP(CN$1,main!$A$3:$H$102,7,FALSE)=main!$G$105,VLOOKUP(CN$1,main!$A$3:$H$102,5,FALSE)-VLOOKUP($A237,main!$A$3:$H$102,6,FALSE)&gt;=main!$D$103+VLOOKUP(VLOOKUP(CN$1,main!$A$3:$I$102,7,FALSE),main!$K$26:$Q$29,5,FALSE)),1,0)</f>
        <v>0</v>
      </c>
      <c r="CO237">
        <f>IF(AND(VLOOKUP(CO$1,main!$A$3:$H$102,7,FALSE)=main!$G$105,VLOOKUP(CO$1,main!$A$3:$H$102,5,FALSE)-VLOOKUP($A237,main!$A$3:$H$102,6,FALSE)&gt;=main!$D$103+VLOOKUP(VLOOKUP(CO$1,main!$A$3:$I$102,7,FALSE),main!$K$26:$Q$29,5,FALSE)),1,0)</f>
        <v>0</v>
      </c>
      <c r="CP237">
        <f>IF(AND(VLOOKUP(CP$1,main!$A$3:$H$102,7,FALSE)=main!$G$105,VLOOKUP(CP$1,main!$A$3:$H$102,5,FALSE)-VLOOKUP($A237,main!$A$3:$H$102,6,FALSE)&gt;=main!$D$103+VLOOKUP(VLOOKUP(CP$1,main!$A$3:$I$102,7,FALSE),main!$K$26:$Q$29,5,FALSE)),1,0)</f>
        <v>0</v>
      </c>
      <c r="CQ237">
        <f>IF(AND(VLOOKUP(CQ$1,main!$A$3:$H$102,7,FALSE)=main!$G$105,VLOOKUP(CQ$1,main!$A$3:$H$102,5,FALSE)-VLOOKUP($A237,main!$A$3:$H$102,6,FALSE)&gt;=main!$D$103+VLOOKUP(VLOOKUP(CQ$1,main!$A$3:$I$102,7,FALSE),main!$K$26:$Q$29,5,FALSE)),1,0)</f>
        <v>0</v>
      </c>
      <c r="CR237">
        <f>IF(AND(VLOOKUP(CR$1,main!$A$3:$H$102,7,FALSE)=main!$G$105,VLOOKUP(CR$1,main!$A$3:$H$102,5,FALSE)-VLOOKUP($A237,main!$A$3:$H$102,6,FALSE)&gt;=main!$D$103+VLOOKUP(VLOOKUP(CR$1,main!$A$3:$I$102,7,FALSE),main!$K$26:$Q$29,5,FALSE)),1,0)</f>
        <v>0</v>
      </c>
      <c r="CS237">
        <f>IF(AND(VLOOKUP(CS$1,main!$A$3:$H$102,7,FALSE)=main!$G$105,VLOOKUP(CS$1,main!$A$3:$H$102,5,FALSE)-VLOOKUP($A237,main!$A$3:$H$102,6,FALSE)&gt;=main!$D$103+VLOOKUP(VLOOKUP(CS$1,main!$A$3:$I$102,7,FALSE),main!$K$26:$Q$29,5,FALSE)),1,0)</f>
        <v>0</v>
      </c>
      <c r="CT237">
        <f>IF(AND(VLOOKUP(CT$1,main!$A$3:$H$102,7,FALSE)=main!$G$105,VLOOKUP(CT$1,main!$A$3:$H$102,5,FALSE)-VLOOKUP($A237,main!$A$3:$H$102,6,FALSE)&gt;=main!$D$103+VLOOKUP(VLOOKUP(CT$1,main!$A$3:$I$102,7,FALSE),main!$K$26:$Q$29,5,FALSE)),1,0)</f>
        <v>0</v>
      </c>
      <c r="CU237">
        <f>IF(AND(VLOOKUP(CU$1,main!$A$3:$H$102,7,FALSE)=main!$G$105,VLOOKUP(CU$1,main!$A$3:$H$102,5,FALSE)-VLOOKUP($A237,main!$A$3:$H$102,6,FALSE)&gt;=main!$D$103+VLOOKUP(VLOOKUP(CU$1,main!$A$3:$I$102,7,FALSE),main!$K$26:$Q$29,5,FALSE)),1,0)</f>
        <v>0</v>
      </c>
      <c r="CV237">
        <f>IF(AND(VLOOKUP(CV$1,main!$A$3:$H$102,7,FALSE)=main!$G$105,VLOOKUP(CV$1,main!$A$3:$H$102,5,FALSE)-VLOOKUP($A237,main!$A$3:$H$102,6,FALSE)&gt;=main!$D$103+VLOOKUP(VLOOKUP(CV$1,main!$A$3:$I$102,7,FALSE),main!$K$26:$Q$29,5,FALSE)),1,0)</f>
        <v>0</v>
      </c>
      <c r="CW237">
        <f>IF(AND(VLOOKUP(CW$1,main!$A$3:$H$102,7,FALSE)=main!$G$105,VLOOKUP(CW$1,main!$A$3:$H$102,5,FALSE)-VLOOKUP($A237,main!$A$3:$H$102,6,FALSE)&gt;=main!$D$103+VLOOKUP(VLOOKUP(CW$1,main!$A$3:$I$102,7,FALSE),main!$K$26:$Q$29,5,FALSE)),1,0)</f>
        <v>0</v>
      </c>
      <c r="CX237">
        <f>IF(AND(VLOOKUP(CX$1,main!$A$3:$H$102,7,FALSE)=main!$G$105,VLOOKUP(CX$1,main!$A$3:$H$102,5,FALSE)-VLOOKUP($A237,main!$A$3:$H$102,6,FALSE)&gt;=main!$D$103+VLOOKUP(VLOOKUP(CX$1,main!$A$3:$I$102,7,FALSE),main!$K$26:$Q$29,5,FALSE)),1,0)</f>
        <v>0</v>
      </c>
    </row>
    <row r="238" spans="1:102" x14ac:dyDescent="0.25">
      <c r="A238" s="1">
        <v>34</v>
      </c>
      <c r="B238">
        <v>0</v>
      </c>
      <c r="C238">
        <f>IF(AND(VLOOKUP(C$1,main!$A$3:$H$102,7,FALSE)=main!$G$105,VLOOKUP(C$1,main!$A$3:$H$102,5,FALSE)-VLOOKUP($A238,main!$A$3:$H$102,6,FALSE)&gt;=main!$D$103+VLOOKUP(VLOOKUP(C$1,main!$A$3:$I$102,7,FALSE),main!$K$26:$Q$29,5,FALSE)),1,0)</f>
        <v>0</v>
      </c>
      <c r="D238">
        <f>IF(AND(VLOOKUP(D$1,main!$A$3:$H$102,7,FALSE)=main!$G$105,VLOOKUP(D$1,main!$A$3:$H$102,5,FALSE)-VLOOKUP($A238,main!$A$3:$H$102,6,FALSE)&gt;=main!$D$103+VLOOKUP(VLOOKUP(D$1,main!$A$3:$I$102,7,FALSE),main!$K$26:$Q$29,5,FALSE)),1,0)</f>
        <v>0</v>
      </c>
      <c r="E238">
        <f>IF(AND(VLOOKUP(E$1,main!$A$3:$H$102,7,FALSE)=main!$G$105,VLOOKUP(E$1,main!$A$3:$H$102,5,FALSE)-VLOOKUP($A238,main!$A$3:$H$102,6,FALSE)&gt;=main!$D$103+VLOOKUP(VLOOKUP(E$1,main!$A$3:$I$102,7,FALSE),main!$K$26:$Q$29,5,FALSE)),1,0)</f>
        <v>0</v>
      </c>
      <c r="F238">
        <f>IF(AND(VLOOKUP(F$1,main!$A$3:$H$102,7,FALSE)=main!$G$105,VLOOKUP(F$1,main!$A$3:$H$102,5,FALSE)-VLOOKUP($A238,main!$A$3:$H$102,6,FALSE)&gt;=main!$D$103+VLOOKUP(VLOOKUP(F$1,main!$A$3:$I$102,7,FALSE),main!$K$26:$Q$29,5,FALSE)),1,0)</f>
        <v>0</v>
      </c>
      <c r="G238">
        <f>IF(AND(VLOOKUP(G$1,main!$A$3:$H$102,7,FALSE)=main!$G$105,VLOOKUP(G$1,main!$A$3:$H$102,5,FALSE)-VLOOKUP($A238,main!$A$3:$H$102,6,FALSE)&gt;=main!$D$103+VLOOKUP(VLOOKUP(G$1,main!$A$3:$I$102,7,FALSE),main!$K$26:$Q$29,5,FALSE)),1,0)</f>
        <v>0</v>
      </c>
      <c r="H238">
        <f>IF(AND(VLOOKUP(H$1,main!$A$3:$H$102,7,FALSE)=main!$G$105,VLOOKUP(H$1,main!$A$3:$H$102,5,FALSE)-VLOOKUP($A238,main!$A$3:$H$102,6,FALSE)&gt;=main!$D$103+VLOOKUP(VLOOKUP(H$1,main!$A$3:$I$102,7,FALSE),main!$K$26:$Q$29,5,FALSE)),1,0)</f>
        <v>0</v>
      </c>
      <c r="I238">
        <f>IF(AND(VLOOKUP(I$1,main!$A$3:$H$102,7,FALSE)=main!$G$105,VLOOKUP(I$1,main!$A$3:$H$102,5,FALSE)-VLOOKUP($A238,main!$A$3:$H$102,6,FALSE)&gt;=main!$D$103+VLOOKUP(VLOOKUP(I$1,main!$A$3:$I$102,7,FALSE),main!$K$26:$Q$29,5,FALSE)),1,0)</f>
        <v>0</v>
      </c>
      <c r="J238">
        <f>IF(AND(VLOOKUP(J$1,main!$A$3:$H$102,7,FALSE)=main!$G$105,VLOOKUP(J$1,main!$A$3:$H$102,5,FALSE)-VLOOKUP($A238,main!$A$3:$H$102,6,FALSE)&gt;=main!$D$103+VLOOKUP(VLOOKUP(J$1,main!$A$3:$I$102,7,FALSE),main!$K$26:$Q$29,5,FALSE)),1,0)</f>
        <v>0</v>
      </c>
      <c r="K238">
        <f>IF(AND(VLOOKUP(K$1,main!$A$3:$H$102,7,FALSE)=main!$G$105,VLOOKUP(K$1,main!$A$3:$H$102,5,FALSE)-VLOOKUP($A238,main!$A$3:$H$102,6,FALSE)&gt;=main!$D$103+VLOOKUP(VLOOKUP(K$1,main!$A$3:$I$102,7,FALSE),main!$K$26:$Q$29,5,FALSE)),1,0)</f>
        <v>0</v>
      </c>
      <c r="L238">
        <f>IF(AND(VLOOKUP(L$1,main!$A$3:$H$102,7,FALSE)=main!$G$105,VLOOKUP(L$1,main!$A$3:$H$102,5,FALSE)-VLOOKUP($A238,main!$A$3:$H$102,6,FALSE)&gt;=main!$D$103+VLOOKUP(VLOOKUP(L$1,main!$A$3:$I$102,7,FALSE),main!$K$26:$Q$29,5,FALSE)),1,0)</f>
        <v>0</v>
      </c>
      <c r="M238">
        <f>IF(AND(VLOOKUP(M$1,main!$A$3:$H$102,7,FALSE)=main!$G$105,VLOOKUP(M$1,main!$A$3:$H$102,5,FALSE)-VLOOKUP($A238,main!$A$3:$H$102,6,FALSE)&gt;=main!$D$103+VLOOKUP(VLOOKUP(M$1,main!$A$3:$I$102,7,FALSE),main!$K$26:$Q$29,5,FALSE)),1,0)</f>
        <v>0</v>
      </c>
      <c r="N238">
        <f>IF(AND(VLOOKUP(N$1,main!$A$3:$H$102,7,FALSE)=main!$G$105,VLOOKUP(N$1,main!$A$3:$H$102,5,FALSE)-VLOOKUP($A238,main!$A$3:$H$102,6,FALSE)&gt;=main!$D$103+VLOOKUP(VLOOKUP(N$1,main!$A$3:$I$102,7,FALSE),main!$K$26:$Q$29,5,FALSE)),1,0)</f>
        <v>0</v>
      </c>
      <c r="O238">
        <f>IF(AND(VLOOKUP(O$1,main!$A$3:$H$102,7,FALSE)=main!$G$105,VLOOKUP(O$1,main!$A$3:$H$102,5,FALSE)-VLOOKUP($A238,main!$A$3:$H$102,6,FALSE)&gt;=main!$D$103+VLOOKUP(VLOOKUP(O$1,main!$A$3:$I$102,7,FALSE),main!$K$26:$Q$29,5,FALSE)),1,0)</f>
        <v>0</v>
      </c>
      <c r="P238">
        <f>IF(AND(VLOOKUP(P$1,main!$A$3:$H$102,7,FALSE)=main!$G$105,VLOOKUP(P$1,main!$A$3:$H$102,5,FALSE)-VLOOKUP($A238,main!$A$3:$H$102,6,FALSE)&gt;=main!$D$103+VLOOKUP(VLOOKUP(P$1,main!$A$3:$I$102,7,FALSE),main!$K$26:$Q$29,5,FALSE)),1,0)</f>
        <v>0</v>
      </c>
      <c r="Q238">
        <f>IF(AND(VLOOKUP(Q$1,main!$A$3:$H$102,7,FALSE)=main!$G$105,VLOOKUP(Q$1,main!$A$3:$H$102,5,FALSE)-VLOOKUP($A238,main!$A$3:$H$102,6,FALSE)&gt;=main!$D$103+VLOOKUP(VLOOKUP(Q$1,main!$A$3:$I$102,7,FALSE),main!$K$26:$Q$29,5,FALSE)),1,0)</f>
        <v>0</v>
      </c>
      <c r="R238">
        <f>IF(AND(VLOOKUP(R$1,main!$A$3:$H$102,7,FALSE)=main!$G$105,VLOOKUP(R$1,main!$A$3:$H$102,5,FALSE)-VLOOKUP($A238,main!$A$3:$H$102,6,FALSE)&gt;=main!$D$103+VLOOKUP(VLOOKUP(R$1,main!$A$3:$I$102,7,FALSE),main!$K$26:$Q$29,5,FALSE)),1,0)</f>
        <v>0</v>
      </c>
      <c r="S238">
        <f>IF(AND(VLOOKUP(S$1,main!$A$3:$H$102,7,FALSE)=main!$G$105,VLOOKUP(S$1,main!$A$3:$H$102,5,FALSE)-VLOOKUP($A238,main!$A$3:$H$102,6,FALSE)&gt;=main!$D$103+VLOOKUP(VLOOKUP(S$1,main!$A$3:$I$102,7,FALSE),main!$K$26:$Q$29,5,FALSE)),1,0)</f>
        <v>0</v>
      </c>
      <c r="T238">
        <f>IF(AND(VLOOKUP(T$1,main!$A$3:$H$102,7,FALSE)=main!$G$105,VLOOKUP(T$1,main!$A$3:$H$102,5,FALSE)-VLOOKUP($A238,main!$A$3:$H$102,6,FALSE)&gt;=main!$D$103+VLOOKUP(VLOOKUP(T$1,main!$A$3:$I$102,7,FALSE),main!$K$26:$Q$29,5,FALSE)),1,0)</f>
        <v>0</v>
      </c>
      <c r="U238">
        <f>IF(AND(VLOOKUP(U$1,main!$A$3:$H$102,7,FALSE)=main!$G$105,VLOOKUP(U$1,main!$A$3:$H$102,5,FALSE)-VLOOKUP($A238,main!$A$3:$H$102,6,FALSE)&gt;=main!$D$103+VLOOKUP(VLOOKUP(U$1,main!$A$3:$I$102,7,FALSE),main!$K$26:$Q$29,5,FALSE)),1,0)</f>
        <v>0</v>
      </c>
      <c r="V238">
        <f>IF(AND(VLOOKUP(V$1,main!$A$3:$H$102,7,FALSE)=main!$G$105,VLOOKUP(V$1,main!$A$3:$H$102,5,FALSE)-VLOOKUP($A238,main!$A$3:$H$102,6,FALSE)&gt;=main!$D$103+VLOOKUP(VLOOKUP(V$1,main!$A$3:$I$102,7,FALSE),main!$K$26:$Q$29,5,FALSE)),1,0)</f>
        <v>0</v>
      </c>
      <c r="W238">
        <f>IF(AND(VLOOKUP(W$1,main!$A$3:$H$102,7,FALSE)=main!$G$105,VLOOKUP(W$1,main!$A$3:$H$102,5,FALSE)-VLOOKUP($A238,main!$A$3:$H$102,6,FALSE)&gt;=main!$D$103+VLOOKUP(VLOOKUP(W$1,main!$A$3:$I$102,7,FALSE),main!$K$26:$Q$29,5,FALSE)),1,0)</f>
        <v>0</v>
      </c>
      <c r="X238">
        <f>IF(AND(VLOOKUP(X$1,main!$A$3:$H$102,7,FALSE)=main!$G$105,VLOOKUP(X$1,main!$A$3:$H$102,5,FALSE)-VLOOKUP($A238,main!$A$3:$H$102,6,FALSE)&gt;=main!$D$103+VLOOKUP(VLOOKUP(X$1,main!$A$3:$I$102,7,FALSE),main!$K$26:$Q$29,5,FALSE)),1,0)</f>
        <v>0</v>
      </c>
      <c r="Y238">
        <f>IF(AND(VLOOKUP(Y$1,main!$A$3:$H$102,7,FALSE)=main!$G$105,VLOOKUP(Y$1,main!$A$3:$H$102,5,FALSE)-VLOOKUP($A238,main!$A$3:$H$102,6,FALSE)&gt;=main!$D$103+VLOOKUP(VLOOKUP(Y$1,main!$A$3:$I$102,7,FALSE),main!$K$26:$Q$29,5,FALSE)),1,0)</f>
        <v>0</v>
      </c>
      <c r="Z238">
        <f>IF(AND(VLOOKUP(Z$1,main!$A$3:$H$102,7,FALSE)=main!$G$105,VLOOKUP(Z$1,main!$A$3:$H$102,5,FALSE)-VLOOKUP($A238,main!$A$3:$H$102,6,FALSE)&gt;=main!$D$103+VLOOKUP(VLOOKUP(Z$1,main!$A$3:$I$102,7,FALSE),main!$K$26:$Q$29,5,FALSE)),1,0)</f>
        <v>0</v>
      </c>
      <c r="AA238">
        <f>IF(AND(VLOOKUP(AA$1,main!$A$3:$H$102,7,FALSE)=main!$G$105,VLOOKUP(AA$1,main!$A$3:$H$102,5,FALSE)-VLOOKUP($A238,main!$A$3:$H$102,6,FALSE)&gt;=main!$D$103+VLOOKUP(VLOOKUP(AA$1,main!$A$3:$I$102,7,FALSE),main!$K$26:$Q$29,5,FALSE)),1,0)</f>
        <v>0</v>
      </c>
      <c r="AB238">
        <f>IF(AND(VLOOKUP(AB$1,main!$A$3:$H$102,7,FALSE)=main!$G$105,VLOOKUP(AB$1,main!$A$3:$H$102,5,FALSE)-VLOOKUP($A238,main!$A$3:$H$102,6,FALSE)&gt;=main!$D$103+VLOOKUP(VLOOKUP(AB$1,main!$A$3:$I$102,7,FALSE),main!$K$26:$Q$29,5,FALSE)),1,0)</f>
        <v>0</v>
      </c>
      <c r="AC238">
        <f>IF(AND(VLOOKUP(AC$1,main!$A$3:$H$102,7,FALSE)=main!$G$105,VLOOKUP(AC$1,main!$A$3:$H$102,5,FALSE)-VLOOKUP($A238,main!$A$3:$H$102,6,FALSE)&gt;=main!$D$103+VLOOKUP(VLOOKUP(AC$1,main!$A$3:$I$102,7,FALSE),main!$K$26:$Q$29,5,FALSE)),1,0)</f>
        <v>0</v>
      </c>
      <c r="AD238">
        <f>IF(AND(VLOOKUP(AD$1,main!$A$3:$H$102,7,FALSE)=main!$G$105,VLOOKUP(AD$1,main!$A$3:$H$102,5,FALSE)-VLOOKUP($A238,main!$A$3:$H$102,6,FALSE)&gt;=main!$D$103+VLOOKUP(VLOOKUP(AD$1,main!$A$3:$I$102,7,FALSE),main!$K$26:$Q$29,5,FALSE)),1,0)</f>
        <v>0</v>
      </c>
      <c r="AE238">
        <f>IF(AND(VLOOKUP(AE$1,main!$A$3:$H$102,7,FALSE)=main!$G$105,VLOOKUP(AE$1,main!$A$3:$H$102,5,FALSE)-VLOOKUP($A238,main!$A$3:$H$102,6,FALSE)&gt;=main!$D$103+VLOOKUP(VLOOKUP(AE$1,main!$A$3:$I$102,7,FALSE),main!$K$26:$Q$29,5,FALSE)),1,0)</f>
        <v>0</v>
      </c>
      <c r="AF238">
        <f>IF(AND(VLOOKUP(AF$1,main!$A$3:$H$102,7,FALSE)=main!$G$105,VLOOKUP(AF$1,main!$A$3:$H$102,5,FALSE)-VLOOKUP($A238,main!$A$3:$H$102,6,FALSE)&gt;=main!$D$103+VLOOKUP(VLOOKUP(AF$1,main!$A$3:$I$102,7,FALSE),main!$K$26:$Q$29,5,FALSE)),1,0)</f>
        <v>0</v>
      </c>
      <c r="AG238">
        <f>IF(AND(VLOOKUP(AG$1,main!$A$3:$H$102,7,FALSE)=main!$G$105,VLOOKUP(AG$1,main!$A$3:$H$102,5,FALSE)-VLOOKUP($A238,main!$A$3:$H$102,6,FALSE)&gt;=main!$D$103+VLOOKUP(VLOOKUP(AG$1,main!$A$3:$I$102,7,FALSE),main!$K$26:$Q$29,5,FALSE)),1,0)</f>
        <v>0</v>
      </c>
      <c r="AH238">
        <f>IF(AND(VLOOKUP(AH$1,main!$A$3:$H$102,7,FALSE)=main!$G$105,VLOOKUP(AH$1,main!$A$3:$H$102,5,FALSE)-VLOOKUP($A238,main!$A$3:$H$102,6,FALSE)&gt;=main!$D$103+VLOOKUP(VLOOKUP(AH$1,main!$A$3:$I$102,7,FALSE),main!$K$26:$Q$29,5,FALSE)),1,0)</f>
        <v>0</v>
      </c>
      <c r="AI238">
        <f>IF(AND(VLOOKUP(AI$1,main!$A$3:$H$102,7,FALSE)=main!$G$105,VLOOKUP(AI$1,main!$A$3:$H$102,5,FALSE)-VLOOKUP($A238,main!$A$3:$H$102,6,FALSE)&gt;=main!$D$103+VLOOKUP(VLOOKUP(AI$1,main!$A$3:$I$102,7,FALSE),main!$K$26:$Q$29,5,FALSE)),1,0)</f>
        <v>0</v>
      </c>
      <c r="AJ238">
        <f>IF(AND(VLOOKUP(AJ$1,main!$A$3:$H$102,7,FALSE)=main!$G$105,VLOOKUP(AJ$1,main!$A$3:$H$102,5,FALSE)-VLOOKUP($A238,main!$A$3:$H$102,6,FALSE)&gt;=main!$D$103+VLOOKUP(VLOOKUP(AJ$1,main!$A$3:$I$102,7,FALSE),main!$K$26:$Q$29,5,FALSE)),1,0)</f>
        <v>0</v>
      </c>
      <c r="AK238">
        <f>IF(AND(VLOOKUP(AK$1,main!$A$3:$H$102,7,FALSE)=main!$G$105,VLOOKUP(AK$1,main!$A$3:$H$102,5,FALSE)-VLOOKUP($A238,main!$A$3:$H$102,6,FALSE)&gt;=main!$D$103+VLOOKUP(VLOOKUP(AK$1,main!$A$3:$I$102,7,FALSE),main!$K$26:$Q$29,5,FALSE)),1,0)</f>
        <v>0</v>
      </c>
      <c r="AL238">
        <f>IF(AND(VLOOKUP(AL$1,main!$A$3:$H$102,7,FALSE)=main!$G$105,VLOOKUP(AL$1,main!$A$3:$H$102,5,FALSE)-VLOOKUP($A238,main!$A$3:$H$102,6,FALSE)&gt;=main!$D$103+VLOOKUP(VLOOKUP(AL$1,main!$A$3:$I$102,7,FALSE),main!$K$26:$Q$29,5,FALSE)),1,0)</f>
        <v>0</v>
      </c>
      <c r="AM238">
        <f>IF(AND(VLOOKUP(AM$1,main!$A$3:$H$102,7,FALSE)=main!$G$105,VLOOKUP(AM$1,main!$A$3:$H$102,5,FALSE)-VLOOKUP($A238,main!$A$3:$H$102,6,FALSE)&gt;=main!$D$103+VLOOKUP(VLOOKUP(AM$1,main!$A$3:$I$102,7,FALSE),main!$K$26:$Q$29,5,FALSE)),1,0)</f>
        <v>1</v>
      </c>
      <c r="AN238">
        <f>IF(AND(VLOOKUP(AN$1,main!$A$3:$H$102,7,FALSE)=main!$G$105,VLOOKUP(AN$1,main!$A$3:$H$102,5,FALSE)-VLOOKUP($A238,main!$A$3:$H$102,6,FALSE)&gt;=main!$D$103+VLOOKUP(VLOOKUP(AN$1,main!$A$3:$I$102,7,FALSE),main!$K$26:$Q$29,5,FALSE)),1,0)</f>
        <v>1</v>
      </c>
      <c r="AO238">
        <f>IF(AND(VLOOKUP(AO$1,main!$A$3:$H$102,7,FALSE)=main!$G$105,VLOOKUP(AO$1,main!$A$3:$H$102,5,FALSE)-VLOOKUP($A238,main!$A$3:$H$102,6,FALSE)&gt;=main!$D$103+VLOOKUP(VLOOKUP(AO$1,main!$A$3:$I$102,7,FALSE),main!$K$26:$Q$29,5,FALSE)),1,0)</f>
        <v>0</v>
      </c>
      <c r="AP238">
        <f>IF(AND(VLOOKUP(AP$1,main!$A$3:$H$102,7,FALSE)=main!$G$105,VLOOKUP(AP$1,main!$A$3:$H$102,5,FALSE)-VLOOKUP($A238,main!$A$3:$H$102,6,FALSE)&gt;=main!$D$103+VLOOKUP(VLOOKUP(AP$1,main!$A$3:$I$102,7,FALSE),main!$K$26:$Q$29,5,FALSE)),1,0)</f>
        <v>1</v>
      </c>
      <c r="AQ238">
        <f>IF(AND(VLOOKUP(AQ$1,main!$A$3:$H$102,7,FALSE)=main!$G$105,VLOOKUP(AQ$1,main!$A$3:$H$102,5,FALSE)-VLOOKUP($A238,main!$A$3:$H$102,6,FALSE)&gt;=main!$D$103+VLOOKUP(VLOOKUP(AQ$1,main!$A$3:$I$102,7,FALSE),main!$K$26:$Q$29,5,FALSE)),1,0)</f>
        <v>0</v>
      </c>
      <c r="AR238">
        <f>IF(AND(VLOOKUP(AR$1,main!$A$3:$H$102,7,FALSE)=main!$G$105,VLOOKUP(AR$1,main!$A$3:$H$102,5,FALSE)-VLOOKUP($A238,main!$A$3:$H$102,6,FALSE)&gt;=main!$D$103+VLOOKUP(VLOOKUP(AR$1,main!$A$3:$I$102,7,FALSE),main!$K$26:$Q$29,5,FALSE)),1,0)</f>
        <v>0</v>
      </c>
      <c r="AS238">
        <f>IF(AND(VLOOKUP(AS$1,main!$A$3:$H$102,7,FALSE)=main!$G$105,VLOOKUP(AS$1,main!$A$3:$H$102,5,FALSE)-VLOOKUP($A238,main!$A$3:$H$102,6,FALSE)&gt;=main!$D$103+VLOOKUP(VLOOKUP(AS$1,main!$A$3:$I$102,7,FALSE),main!$K$26:$Q$29,5,FALSE)),1,0)</f>
        <v>0</v>
      </c>
      <c r="AT238">
        <f>IF(AND(VLOOKUP(AT$1,main!$A$3:$H$102,7,FALSE)=main!$G$105,VLOOKUP(AT$1,main!$A$3:$H$102,5,FALSE)-VLOOKUP($A238,main!$A$3:$H$102,6,FALSE)&gt;=main!$D$103+VLOOKUP(VLOOKUP(AT$1,main!$A$3:$I$102,7,FALSE),main!$K$26:$Q$29,5,FALSE)),1,0)</f>
        <v>0</v>
      </c>
      <c r="AU238">
        <f>IF(AND(VLOOKUP(AU$1,main!$A$3:$H$102,7,FALSE)=main!$G$105,VLOOKUP(AU$1,main!$A$3:$H$102,5,FALSE)-VLOOKUP($A238,main!$A$3:$H$102,6,FALSE)&gt;=main!$D$103+VLOOKUP(VLOOKUP(AU$1,main!$A$3:$I$102,7,FALSE),main!$K$26:$Q$29,5,FALSE)),1,0)</f>
        <v>0</v>
      </c>
      <c r="AV238">
        <f>IF(AND(VLOOKUP(AV$1,main!$A$3:$H$102,7,FALSE)=main!$G$105,VLOOKUP(AV$1,main!$A$3:$H$102,5,FALSE)-VLOOKUP($A238,main!$A$3:$H$102,6,FALSE)&gt;=main!$D$103+VLOOKUP(VLOOKUP(AV$1,main!$A$3:$I$102,7,FALSE),main!$K$26:$Q$29,5,FALSE)),1,0)</f>
        <v>0</v>
      </c>
      <c r="AW238">
        <f>IF(AND(VLOOKUP(AW$1,main!$A$3:$H$102,7,FALSE)=main!$G$105,VLOOKUP(AW$1,main!$A$3:$H$102,5,FALSE)-VLOOKUP($A238,main!$A$3:$H$102,6,FALSE)&gt;=main!$D$103+VLOOKUP(VLOOKUP(AW$1,main!$A$3:$I$102,7,FALSE),main!$K$26:$Q$29,5,FALSE)),1,0)</f>
        <v>0</v>
      </c>
      <c r="AX238">
        <f>IF(AND(VLOOKUP(AX$1,main!$A$3:$H$102,7,FALSE)=main!$G$105,VLOOKUP(AX$1,main!$A$3:$H$102,5,FALSE)-VLOOKUP($A238,main!$A$3:$H$102,6,FALSE)&gt;=main!$D$103+VLOOKUP(VLOOKUP(AX$1,main!$A$3:$I$102,7,FALSE),main!$K$26:$Q$29,5,FALSE)),1,0)</f>
        <v>0</v>
      </c>
      <c r="AY238">
        <f>IF(AND(VLOOKUP(AY$1,main!$A$3:$H$102,7,FALSE)=main!$G$105,VLOOKUP(AY$1,main!$A$3:$H$102,5,FALSE)-VLOOKUP($A238,main!$A$3:$H$102,6,FALSE)&gt;=main!$D$103+VLOOKUP(VLOOKUP(AY$1,main!$A$3:$I$102,7,FALSE),main!$K$26:$Q$29,5,FALSE)),1,0)</f>
        <v>0</v>
      </c>
      <c r="AZ238">
        <f>IF(AND(VLOOKUP(AZ$1,main!$A$3:$H$102,7,FALSE)=main!$G$105,VLOOKUP(AZ$1,main!$A$3:$H$102,5,FALSE)-VLOOKUP($A238,main!$A$3:$H$102,6,FALSE)&gt;=main!$D$103+VLOOKUP(VLOOKUP(AZ$1,main!$A$3:$I$102,7,FALSE),main!$K$26:$Q$29,5,FALSE)),1,0)</f>
        <v>0</v>
      </c>
      <c r="BA238">
        <f>IF(AND(VLOOKUP(BA$1,main!$A$3:$H$102,7,FALSE)=main!$G$105,VLOOKUP(BA$1,main!$A$3:$H$102,5,FALSE)-VLOOKUP($A238,main!$A$3:$H$102,6,FALSE)&gt;=main!$D$103+VLOOKUP(VLOOKUP(BA$1,main!$A$3:$I$102,7,FALSE),main!$K$26:$Q$29,5,FALSE)),1,0)</f>
        <v>0</v>
      </c>
      <c r="BB238">
        <f>IF(AND(VLOOKUP(BB$1,main!$A$3:$H$102,7,FALSE)=main!$G$105,VLOOKUP(BB$1,main!$A$3:$H$102,5,FALSE)-VLOOKUP($A238,main!$A$3:$H$102,6,FALSE)&gt;=main!$D$103+VLOOKUP(VLOOKUP(BB$1,main!$A$3:$I$102,7,FALSE),main!$K$26:$Q$29,5,FALSE)),1,0)</f>
        <v>0</v>
      </c>
      <c r="BC238">
        <f>IF(AND(VLOOKUP(BC$1,main!$A$3:$H$102,7,FALSE)=main!$G$105,VLOOKUP(BC$1,main!$A$3:$H$102,5,FALSE)-VLOOKUP($A238,main!$A$3:$H$102,6,FALSE)&gt;=main!$D$103+VLOOKUP(VLOOKUP(BC$1,main!$A$3:$I$102,7,FALSE),main!$K$26:$Q$29,5,FALSE)),1,0)</f>
        <v>0</v>
      </c>
      <c r="BD238">
        <f>IF(AND(VLOOKUP(BD$1,main!$A$3:$H$102,7,FALSE)=main!$G$105,VLOOKUP(BD$1,main!$A$3:$H$102,5,FALSE)-VLOOKUP($A238,main!$A$3:$H$102,6,FALSE)&gt;=main!$D$103+VLOOKUP(VLOOKUP(BD$1,main!$A$3:$I$102,7,FALSE),main!$K$26:$Q$29,5,FALSE)),1,0)</f>
        <v>0</v>
      </c>
      <c r="BE238">
        <f>IF(AND(VLOOKUP(BE$1,main!$A$3:$H$102,7,FALSE)=main!$G$105,VLOOKUP(BE$1,main!$A$3:$H$102,5,FALSE)-VLOOKUP($A238,main!$A$3:$H$102,6,FALSE)&gt;=main!$D$103+VLOOKUP(VLOOKUP(BE$1,main!$A$3:$I$102,7,FALSE),main!$K$26:$Q$29,5,FALSE)),1,0)</f>
        <v>0</v>
      </c>
      <c r="BF238">
        <f>IF(AND(VLOOKUP(BF$1,main!$A$3:$H$102,7,FALSE)=main!$G$105,VLOOKUP(BF$1,main!$A$3:$H$102,5,FALSE)-VLOOKUP($A238,main!$A$3:$H$102,6,FALSE)&gt;=main!$D$103+VLOOKUP(VLOOKUP(BF$1,main!$A$3:$I$102,7,FALSE),main!$K$26:$Q$29,5,FALSE)),1,0)</f>
        <v>0</v>
      </c>
      <c r="BG238">
        <f>IF(AND(VLOOKUP(BG$1,main!$A$3:$H$102,7,FALSE)=main!$G$105,VLOOKUP(BG$1,main!$A$3:$H$102,5,FALSE)-VLOOKUP($A238,main!$A$3:$H$102,6,FALSE)&gt;=main!$D$103+VLOOKUP(VLOOKUP(BG$1,main!$A$3:$I$102,7,FALSE),main!$K$26:$Q$29,5,FALSE)),1,0)</f>
        <v>0</v>
      </c>
      <c r="BH238">
        <f>IF(AND(VLOOKUP(BH$1,main!$A$3:$H$102,7,FALSE)=main!$G$105,VLOOKUP(BH$1,main!$A$3:$H$102,5,FALSE)-VLOOKUP($A238,main!$A$3:$H$102,6,FALSE)&gt;=main!$D$103+VLOOKUP(VLOOKUP(BH$1,main!$A$3:$I$102,7,FALSE),main!$K$26:$Q$29,5,FALSE)),1,0)</f>
        <v>0</v>
      </c>
      <c r="BI238">
        <f>IF(AND(VLOOKUP(BI$1,main!$A$3:$H$102,7,FALSE)=main!$G$105,VLOOKUP(BI$1,main!$A$3:$H$102,5,FALSE)-VLOOKUP($A238,main!$A$3:$H$102,6,FALSE)&gt;=main!$D$103+VLOOKUP(VLOOKUP(BI$1,main!$A$3:$I$102,7,FALSE),main!$K$26:$Q$29,5,FALSE)),1,0)</f>
        <v>0</v>
      </c>
      <c r="BJ238">
        <f>IF(AND(VLOOKUP(BJ$1,main!$A$3:$H$102,7,FALSE)=main!$G$105,VLOOKUP(BJ$1,main!$A$3:$H$102,5,FALSE)-VLOOKUP($A238,main!$A$3:$H$102,6,FALSE)&gt;=main!$D$103+VLOOKUP(VLOOKUP(BJ$1,main!$A$3:$I$102,7,FALSE),main!$K$26:$Q$29,5,FALSE)),1,0)</f>
        <v>0</v>
      </c>
      <c r="BK238">
        <f>IF(AND(VLOOKUP(BK$1,main!$A$3:$H$102,7,FALSE)=main!$G$105,VLOOKUP(BK$1,main!$A$3:$H$102,5,FALSE)-VLOOKUP($A238,main!$A$3:$H$102,6,FALSE)&gt;=main!$D$103+VLOOKUP(VLOOKUP(BK$1,main!$A$3:$I$102,7,FALSE),main!$K$26:$Q$29,5,FALSE)),1,0)</f>
        <v>0</v>
      </c>
      <c r="BL238">
        <f>IF(AND(VLOOKUP(BL$1,main!$A$3:$H$102,7,FALSE)=main!$G$105,VLOOKUP(BL$1,main!$A$3:$H$102,5,FALSE)-VLOOKUP($A238,main!$A$3:$H$102,6,FALSE)&gt;=main!$D$103+VLOOKUP(VLOOKUP(BL$1,main!$A$3:$I$102,7,FALSE),main!$K$26:$Q$29,5,FALSE)),1,0)</f>
        <v>0</v>
      </c>
      <c r="BM238">
        <f>IF(AND(VLOOKUP(BM$1,main!$A$3:$H$102,7,FALSE)=main!$G$105,VLOOKUP(BM$1,main!$A$3:$H$102,5,FALSE)-VLOOKUP($A238,main!$A$3:$H$102,6,FALSE)&gt;=main!$D$103+VLOOKUP(VLOOKUP(BM$1,main!$A$3:$I$102,7,FALSE),main!$K$26:$Q$29,5,FALSE)),1,0)</f>
        <v>0</v>
      </c>
      <c r="BN238">
        <f>IF(AND(VLOOKUP(BN$1,main!$A$3:$H$102,7,FALSE)=main!$G$105,VLOOKUP(BN$1,main!$A$3:$H$102,5,FALSE)-VLOOKUP($A238,main!$A$3:$H$102,6,FALSE)&gt;=main!$D$103+VLOOKUP(VLOOKUP(BN$1,main!$A$3:$I$102,7,FALSE),main!$K$26:$Q$29,5,FALSE)),1,0)</f>
        <v>0</v>
      </c>
      <c r="BO238">
        <f>IF(AND(VLOOKUP(BO$1,main!$A$3:$H$102,7,FALSE)=main!$G$105,VLOOKUP(BO$1,main!$A$3:$H$102,5,FALSE)-VLOOKUP($A238,main!$A$3:$H$102,6,FALSE)&gt;=main!$D$103+VLOOKUP(VLOOKUP(BO$1,main!$A$3:$I$102,7,FALSE),main!$K$26:$Q$29,5,FALSE)),1,0)</f>
        <v>0</v>
      </c>
      <c r="BP238">
        <f>IF(AND(VLOOKUP(BP$1,main!$A$3:$H$102,7,FALSE)=main!$G$105,VLOOKUP(BP$1,main!$A$3:$H$102,5,FALSE)-VLOOKUP($A238,main!$A$3:$H$102,6,FALSE)&gt;=main!$D$103+VLOOKUP(VLOOKUP(BP$1,main!$A$3:$I$102,7,FALSE),main!$K$26:$Q$29,5,FALSE)),1,0)</f>
        <v>0</v>
      </c>
      <c r="BQ238">
        <f>IF(AND(VLOOKUP(BQ$1,main!$A$3:$H$102,7,FALSE)=main!$G$105,VLOOKUP(BQ$1,main!$A$3:$H$102,5,FALSE)-VLOOKUP($A238,main!$A$3:$H$102,6,FALSE)&gt;=main!$D$103+VLOOKUP(VLOOKUP(BQ$1,main!$A$3:$I$102,7,FALSE),main!$K$26:$Q$29,5,FALSE)),1,0)</f>
        <v>0</v>
      </c>
      <c r="BR238">
        <f>IF(AND(VLOOKUP(BR$1,main!$A$3:$H$102,7,FALSE)=main!$G$105,VLOOKUP(BR$1,main!$A$3:$H$102,5,FALSE)-VLOOKUP($A238,main!$A$3:$H$102,6,FALSE)&gt;=main!$D$103+VLOOKUP(VLOOKUP(BR$1,main!$A$3:$I$102,7,FALSE),main!$K$26:$Q$29,5,FALSE)),1,0)</f>
        <v>0</v>
      </c>
      <c r="BS238">
        <f>IF(AND(VLOOKUP(BS$1,main!$A$3:$H$102,7,FALSE)=main!$G$105,VLOOKUP(BS$1,main!$A$3:$H$102,5,FALSE)-VLOOKUP($A238,main!$A$3:$H$102,6,FALSE)&gt;=main!$D$103+VLOOKUP(VLOOKUP(BS$1,main!$A$3:$I$102,7,FALSE),main!$K$26:$Q$29,5,FALSE)),1,0)</f>
        <v>0</v>
      </c>
      <c r="BT238">
        <f>IF(AND(VLOOKUP(BT$1,main!$A$3:$H$102,7,FALSE)=main!$G$105,VLOOKUP(BT$1,main!$A$3:$H$102,5,FALSE)-VLOOKUP($A238,main!$A$3:$H$102,6,FALSE)&gt;=main!$D$103+VLOOKUP(VLOOKUP(BT$1,main!$A$3:$I$102,7,FALSE),main!$K$26:$Q$29,5,FALSE)),1,0)</f>
        <v>0</v>
      </c>
      <c r="BU238">
        <f>IF(AND(VLOOKUP(BU$1,main!$A$3:$H$102,7,FALSE)=main!$G$105,VLOOKUP(BU$1,main!$A$3:$H$102,5,FALSE)-VLOOKUP($A238,main!$A$3:$H$102,6,FALSE)&gt;=main!$D$103+VLOOKUP(VLOOKUP(BU$1,main!$A$3:$I$102,7,FALSE),main!$K$26:$Q$29,5,FALSE)),1,0)</f>
        <v>0</v>
      </c>
      <c r="BV238">
        <f>IF(AND(VLOOKUP(BV$1,main!$A$3:$H$102,7,FALSE)=main!$G$105,VLOOKUP(BV$1,main!$A$3:$H$102,5,FALSE)-VLOOKUP($A238,main!$A$3:$H$102,6,FALSE)&gt;=main!$D$103+VLOOKUP(VLOOKUP(BV$1,main!$A$3:$I$102,7,FALSE),main!$K$26:$Q$29,5,FALSE)),1,0)</f>
        <v>0</v>
      </c>
      <c r="BW238">
        <f>IF(AND(VLOOKUP(BW$1,main!$A$3:$H$102,7,FALSE)=main!$G$105,VLOOKUP(BW$1,main!$A$3:$H$102,5,FALSE)-VLOOKUP($A238,main!$A$3:$H$102,6,FALSE)&gt;=main!$D$103+VLOOKUP(VLOOKUP(BW$1,main!$A$3:$I$102,7,FALSE),main!$K$26:$Q$29,5,FALSE)),1,0)</f>
        <v>0</v>
      </c>
      <c r="BX238">
        <f>IF(AND(VLOOKUP(BX$1,main!$A$3:$H$102,7,FALSE)=main!$G$105,VLOOKUP(BX$1,main!$A$3:$H$102,5,FALSE)-VLOOKUP($A238,main!$A$3:$H$102,6,FALSE)&gt;=main!$D$103+VLOOKUP(VLOOKUP(BX$1,main!$A$3:$I$102,7,FALSE),main!$K$26:$Q$29,5,FALSE)),1,0)</f>
        <v>0</v>
      </c>
      <c r="BY238">
        <f>IF(AND(VLOOKUP(BY$1,main!$A$3:$H$102,7,FALSE)=main!$G$105,VLOOKUP(BY$1,main!$A$3:$H$102,5,FALSE)-VLOOKUP($A238,main!$A$3:$H$102,6,FALSE)&gt;=main!$D$103+VLOOKUP(VLOOKUP(BY$1,main!$A$3:$I$102,7,FALSE),main!$K$26:$Q$29,5,FALSE)),1,0)</f>
        <v>0</v>
      </c>
      <c r="BZ238">
        <f>IF(AND(VLOOKUP(BZ$1,main!$A$3:$H$102,7,FALSE)=main!$G$105,VLOOKUP(BZ$1,main!$A$3:$H$102,5,FALSE)-VLOOKUP($A238,main!$A$3:$H$102,6,FALSE)&gt;=main!$D$103+VLOOKUP(VLOOKUP(BZ$1,main!$A$3:$I$102,7,FALSE),main!$K$26:$Q$29,5,FALSE)),1,0)</f>
        <v>0</v>
      </c>
      <c r="CA238">
        <f>IF(AND(VLOOKUP(CA$1,main!$A$3:$H$102,7,FALSE)=main!$G$105,VLOOKUP(CA$1,main!$A$3:$H$102,5,FALSE)-VLOOKUP($A238,main!$A$3:$H$102,6,FALSE)&gt;=main!$D$103+VLOOKUP(VLOOKUP(CA$1,main!$A$3:$I$102,7,FALSE),main!$K$26:$Q$29,5,FALSE)),1,0)</f>
        <v>0</v>
      </c>
      <c r="CB238">
        <f>IF(AND(VLOOKUP(CB$1,main!$A$3:$H$102,7,FALSE)=main!$G$105,VLOOKUP(CB$1,main!$A$3:$H$102,5,FALSE)-VLOOKUP($A238,main!$A$3:$H$102,6,FALSE)&gt;=main!$D$103+VLOOKUP(VLOOKUP(CB$1,main!$A$3:$I$102,7,FALSE),main!$K$26:$Q$29,5,FALSE)),1,0)</f>
        <v>0</v>
      </c>
      <c r="CC238">
        <f>IF(AND(VLOOKUP(CC$1,main!$A$3:$H$102,7,FALSE)=main!$G$105,VLOOKUP(CC$1,main!$A$3:$H$102,5,FALSE)-VLOOKUP($A238,main!$A$3:$H$102,6,FALSE)&gt;=main!$D$103+VLOOKUP(VLOOKUP(CC$1,main!$A$3:$I$102,7,FALSE),main!$K$26:$Q$29,5,FALSE)),1,0)</f>
        <v>0</v>
      </c>
      <c r="CD238">
        <f>IF(AND(VLOOKUP(CD$1,main!$A$3:$H$102,7,FALSE)=main!$G$105,VLOOKUP(CD$1,main!$A$3:$H$102,5,FALSE)-VLOOKUP($A238,main!$A$3:$H$102,6,FALSE)&gt;=main!$D$103+VLOOKUP(VLOOKUP(CD$1,main!$A$3:$I$102,7,FALSE),main!$K$26:$Q$29,5,FALSE)),1,0)</f>
        <v>0</v>
      </c>
      <c r="CE238">
        <f>IF(AND(VLOOKUP(CE$1,main!$A$3:$H$102,7,FALSE)=main!$G$105,VLOOKUP(CE$1,main!$A$3:$H$102,5,FALSE)-VLOOKUP($A238,main!$A$3:$H$102,6,FALSE)&gt;=main!$D$103+VLOOKUP(VLOOKUP(CE$1,main!$A$3:$I$102,7,FALSE),main!$K$26:$Q$29,5,FALSE)),1,0)</f>
        <v>0</v>
      </c>
      <c r="CF238">
        <f>IF(AND(VLOOKUP(CF$1,main!$A$3:$H$102,7,FALSE)=main!$G$105,VLOOKUP(CF$1,main!$A$3:$H$102,5,FALSE)-VLOOKUP($A238,main!$A$3:$H$102,6,FALSE)&gt;=main!$D$103+VLOOKUP(VLOOKUP(CF$1,main!$A$3:$I$102,7,FALSE),main!$K$26:$Q$29,5,FALSE)),1,0)</f>
        <v>0</v>
      </c>
      <c r="CG238">
        <f>IF(AND(VLOOKUP(CG$1,main!$A$3:$H$102,7,FALSE)=main!$G$105,VLOOKUP(CG$1,main!$A$3:$H$102,5,FALSE)-VLOOKUP($A238,main!$A$3:$H$102,6,FALSE)&gt;=main!$D$103+VLOOKUP(VLOOKUP(CG$1,main!$A$3:$I$102,7,FALSE),main!$K$26:$Q$29,5,FALSE)),1,0)</f>
        <v>0</v>
      </c>
      <c r="CH238">
        <f>IF(AND(VLOOKUP(CH$1,main!$A$3:$H$102,7,FALSE)=main!$G$105,VLOOKUP(CH$1,main!$A$3:$H$102,5,FALSE)-VLOOKUP($A238,main!$A$3:$H$102,6,FALSE)&gt;=main!$D$103+VLOOKUP(VLOOKUP(CH$1,main!$A$3:$I$102,7,FALSE),main!$K$26:$Q$29,5,FALSE)),1,0)</f>
        <v>0</v>
      </c>
      <c r="CI238">
        <f>IF(AND(VLOOKUP(CI$1,main!$A$3:$H$102,7,FALSE)=main!$G$105,VLOOKUP(CI$1,main!$A$3:$H$102,5,FALSE)-VLOOKUP($A238,main!$A$3:$H$102,6,FALSE)&gt;=main!$D$103+VLOOKUP(VLOOKUP(CI$1,main!$A$3:$I$102,7,FALSE),main!$K$26:$Q$29,5,FALSE)),1,0)</f>
        <v>0</v>
      </c>
      <c r="CJ238">
        <f>IF(AND(VLOOKUP(CJ$1,main!$A$3:$H$102,7,FALSE)=main!$G$105,VLOOKUP(CJ$1,main!$A$3:$H$102,5,FALSE)-VLOOKUP($A238,main!$A$3:$H$102,6,FALSE)&gt;=main!$D$103+VLOOKUP(VLOOKUP(CJ$1,main!$A$3:$I$102,7,FALSE),main!$K$26:$Q$29,5,FALSE)),1,0)</f>
        <v>0</v>
      </c>
      <c r="CK238">
        <f>IF(AND(VLOOKUP(CK$1,main!$A$3:$H$102,7,FALSE)=main!$G$105,VLOOKUP(CK$1,main!$A$3:$H$102,5,FALSE)-VLOOKUP($A238,main!$A$3:$H$102,6,FALSE)&gt;=main!$D$103+VLOOKUP(VLOOKUP(CK$1,main!$A$3:$I$102,7,FALSE),main!$K$26:$Q$29,5,FALSE)),1,0)</f>
        <v>0</v>
      </c>
      <c r="CL238">
        <f>IF(AND(VLOOKUP(CL$1,main!$A$3:$H$102,7,FALSE)=main!$G$105,VLOOKUP(CL$1,main!$A$3:$H$102,5,FALSE)-VLOOKUP($A238,main!$A$3:$H$102,6,FALSE)&gt;=main!$D$103+VLOOKUP(VLOOKUP(CL$1,main!$A$3:$I$102,7,FALSE),main!$K$26:$Q$29,5,FALSE)),1,0)</f>
        <v>0</v>
      </c>
      <c r="CM238">
        <f>IF(AND(VLOOKUP(CM$1,main!$A$3:$H$102,7,FALSE)=main!$G$105,VLOOKUP(CM$1,main!$A$3:$H$102,5,FALSE)-VLOOKUP($A238,main!$A$3:$H$102,6,FALSE)&gt;=main!$D$103+VLOOKUP(VLOOKUP(CM$1,main!$A$3:$I$102,7,FALSE),main!$K$26:$Q$29,5,FALSE)),1,0)</f>
        <v>0</v>
      </c>
      <c r="CN238">
        <f>IF(AND(VLOOKUP(CN$1,main!$A$3:$H$102,7,FALSE)=main!$G$105,VLOOKUP(CN$1,main!$A$3:$H$102,5,FALSE)-VLOOKUP($A238,main!$A$3:$H$102,6,FALSE)&gt;=main!$D$103+VLOOKUP(VLOOKUP(CN$1,main!$A$3:$I$102,7,FALSE),main!$K$26:$Q$29,5,FALSE)),1,0)</f>
        <v>0</v>
      </c>
      <c r="CO238">
        <f>IF(AND(VLOOKUP(CO$1,main!$A$3:$H$102,7,FALSE)=main!$G$105,VLOOKUP(CO$1,main!$A$3:$H$102,5,FALSE)-VLOOKUP($A238,main!$A$3:$H$102,6,FALSE)&gt;=main!$D$103+VLOOKUP(VLOOKUP(CO$1,main!$A$3:$I$102,7,FALSE),main!$K$26:$Q$29,5,FALSE)),1,0)</f>
        <v>0</v>
      </c>
      <c r="CP238">
        <f>IF(AND(VLOOKUP(CP$1,main!$A$3:$H$102,7,FALSE)=main!$G$105,VLOOKUP(CP$1,main!$A$3:$H$102,5,FALSE)-VLOOKUP($A238,main!$A$3:$H$102,6,FALSE)&gt;=main!$D$103+VLOOKUP(VLOOKUP(CP$1,main!$A$3:$I$102,7,FALSE),main!$K$26:$Q$29,5,FALSE)),1,0)</f>
        <v>0</v>
      </c>
      <c r="CQ238">
        <f>IF(AND(VLOOKUP(CQ$1,main!$A$3:$H$102,7,FALSE)=main!$G$105,VLOOKUP(CQ$1,main!$A$3:$H$102,5,FALSE)-VLOOKUP($A238,main!$A$3:$H$102,6,FALSE)&gt;=main!$D$103+VLOOKUP(VLOOKUP(CQ$1,main!$A$3:$I$102,7,FALSE),main!$K$26:$Q$29,5,FALSE)),1,0)</f>
        <v>0</v>
      </c>
      <c r="CR238">
        <f>IF(AND(VLOOKUP(CR$1,main!$A$3:$H$102,7,FALSE)=main!$G$105,VLOOKUP(CR$1,main!$A$3:$H$102,5,FALSE)-VLOOKUP($A238,main!$A$3:$H$102,6,FALSE)&gt;=main!$D$103+VLOOKUP(VLOOKUP(CR$1,main!$A$3:$I$102,7,FALSE),main!$K$26:$Q$29,5,FALSE)),1,0)</f>
        <v>0</v>
      </c>
      <c r="CS238">
        <f>IF(AND(VLOOKUP(CS$1,main!$A$3:$H$102,7,FALSE)=main!$G$105,VLOOKUP(CS$1,main!$A$3:$H$102,5,FALSE)-VLOOKUP($A238,main!$A$3:$H$102,6,FALSE)&gt;=main!$D$103+VLOOKUP(VLOOKUP(CS$1,main!$A$3:$I$102,7,FALSE),main!$K$26:$Q$29,5,FALSE)),1,0)</f>
        <v>0</v>
      </c>
      <c r="CT238">
        <f>IF(AND(VLOOKUP(CT$1,main!$A$3:$H$102,7,FALSE)=main!$G$105,VLOOKUP(CT$1,main!$A$3:$H$102,5,FALSE)-VLOOKUP($A238,main!$A$3:$H$102,6,FALSE)&gt;=main!$D$103+VLOOKUP(VLOOKUP(CT$1,main!$A$3:$I$102,7,FALSE),main!$K$26:$Q$29,5,FALSE)),1,0)</f>
        <v>0</v>
      </c>
      <c r="CU238">
        <f>IF(AND(VLOOKUP(CU$1,main!$A$3:$H$102,7,FALSE)=main!$G$105,VLOOKUP(CU$1,main!$A$3:$H$102,5,FALSE)-VLOOKUP($A238,main!$A$3:$H$102,6,FALSE)&gt;=main!$D$103+VLOOKUP(VLOOKUP(CU$1,main!$A$3:$I$102,7,FALSE),main!$K$26:$Q$29,5,FALSE)),1,0)</f>
        <v>0</v>
      </c>
      <c r="CV238">
        <f>IF(AND(VLOOKUP(CV$1,main!$A$3:$H$102,7,FALSE)=main!$G$105,VLOOKUP(CV$1,main!$A$3:$H$102,5,FALSE)-VLOOKUP($A238,main!$A$3:$H$102,6,FALSE)&gt;=main!$D$103+VLOOKUP(VLOOKUP(CV$1,main!$A$3:$I$102,7,FALSE),main!$K$26:$Q$29,5,FALSE)),1,0)</f>
        <v>0</v>
      </c>
      <c r="CW238">
        <f>IF(AND(VLOOKUP(CW$1,main!$A$3:$H$102,7,FALSE)=main!$G$105,VLOOKUP(CW$1,main!$A$3:$H$102,5,FALSE)-VLOOKUP($A238,main!$A$3:$H$102,6,FALSE)&gt;=main!$D$103+VLOOKUP(VLOOKUP(CW$1,main!$A$3:$I$102,7,FALSE),main!$K$26:$Q$29,5,FALSE)),1,0)</f>
        <v>0</v>
      </c>
      <c r="CX238">
        <f>IF(AND(VLOOKUP(CX$1,main!$A$3:$H$102,7,FALSE)=main!$G$105,VLOOKUP(CX$1,main!$A$3:$H$102,5,FALSE)-VLOOKUP($A238,main!$A$3:$H$102,6,FALSE)&gt;=main!$D$103+VLOOKUP(VLOOKUP(CX$1,main!$A$3:$I$102,7,FALSE),main!$K$26:$Q$29,5,FALSE)),1,0)</f>
        <v>0</v>
      </c>
    </row>
    <row r="239" spans="1:102" x14ac:dyDescent="0.25">
      <c r="A239" s="1">
        <v>35</v>
      </c>
      <c r="B239">
        <v>0</v>
      </c>
      <c r="C239">
        <f>IF(AND(VLOOKUP(C$1,main!$A$3:$H$102,7,FALSE)=main!$G$105,VLOOKUP(C$1,main!$A$3:$H$102,5,FALSE)-VLOOKUP($A239,main!$A$3:$H$102,6,FALSE)&gt;=main!$D$103+VLOOKUP(VLOOKUP(C$1,main!$A$3:$I$102,7,FALSE),main!$K$26:$Q$29,5,FALSE)),1,0)</f>
        <v>0</v>
      </c>
      <c r="D239">
        <f>IF(AND(VLOOKUP(D$1,main!$A$3:$H$102,7,FALSE)=main!$G$105,VLOOKUP(D$1,main!$A$3:$H$102,5,FALSE)-VLOOKUP($A239,main!$A$3:$H$102,6,FALSE)&gt;=main!$D$103+VLOOKUP(VLOOKUP(D$1,main!$A$3:$I$102,7,FALSE),main!$K$26:$Q$29,5,FALSE)),1,0)</f>
        <v>0</v>
      </c>
      <c r="E239">
        <f>IF(AND(VLOOKUP(E$1,main!$A$3:$H$102,7,FALSE)=main!$G$105,VLOOKUP(E$1,main!$A$3:$H$102,5,FALSE)-VLOOKUP($A239,main!$A$3:$H$102,6,FALSE)&gt;=main!$D$103+VLOOKUP(VLOOKUP(E$1,main!$A$3:$I$102,7,FALSE),main!$K$26:$Q$29,5,FALSE)),1,0)</f>
        <v>0</v>
      </c>
      <c r="F239">
        <f>IF(AND(VLOOKUP(F$1,main!$A$3:$H$102,7,FALSE)=main!$G$105,VLOOKUP(F$1,main!$A$3:$H$102,5,FALSE)-VLOOKUP($A239,main!$A$3:$H$102,6,FALSE)&gt;=main!$D$103+VLOOKUP(VLOOKUP(F$1,main!$A$3:$I$102,7,FALSE),main!$K$26:$Q$29,5,FALSE)),1,0)</f>
        <v>0</v>
      </c>
      <c r="G239">
        <f>IF(AND(VLOOKUP(G$1,main!$A$3:$H$102,7,FALSE)=main!$G$105,VLOOKUP(G$1,main!$A$3:$H$102,5,FALSE)-VLOOKUP($A239,main!$A$3:$H$102,6,FALSE)&gt;=main!$D$103+VLOOKUP(VLOOKUP(G$1,main!$A$3:$I$102,7,FALSE),main!$K$26:$Q$29,5,FALSE)),1,0)</f>
        <v>0</v>
      </c>
      <c r="H239">
        <f>IF(AND(VLOOKUP(H$1,main!$A$3:$H$102,7,FALSE)=main!$G$105,VLOOKUP(H$1,main!$A$3:$H$102,5,FALSE)-VLOOKUP($A239,main!$A$3:$H$102,6,FALSE)&gt;=main!$D$103+VLOOKUP(VLOOKUP(H$1,main!$A$3:$I$102,7,FALSE),main!$K$26:$Q$29,5,FALSE)),1,0)</f>
        <v>0</v>
      </c>
      <c r="I239">
        <f>IF(AND(VLOOKUP(I$1,main!$A$3:$H$102,7,FALSE)=main!$G$105,VLOOKUP(I$1,main!$A$3:$H$102,5,FALSE)-VLOOKUP($A239,main!$A$3:$H$102,6,FALSE)&gt;=main!$D$103+VLOOKUP(VLOOKUP(I$1,main!$A$3:$I$102,7,FALSE),main!$K$26:$Q$29,5,FALSE)),1,0)</f>
        <v>0</v>
      </c>
      <c r="J239">
        <f>IF(AND(VLOOKUP(J$1,main!$A$3:$H$102,7,FALSE)=main!$G$105,VLOOKUP(J$1,main!$A$3:$H$102,5,FALSE)-VLOOKUP($A239,main!$A$3:$H$102,6,FALSE)&gt;=main!$D$103+VLOOKUP(VLOOKUP(J$1,main!$A$3:$I$102,7,FALSE),main!$K$26:$Q$29,5,FALSE)),1,0)</f>
        <v>0</v>
      </c>
      <c r="K239">
        <f>IF(AND(VLOOKUP(K$1,main!$A$3:$H$102,7,FALSE)=main!$G$105,VLOOKUP(K$1,main!$A$3:$H$102,5,FALSE)-VLOOKUP($A239,main!$A$3:$H$102,6,FALSE)&gt;=main!$D$103+VLOOKUP(VLOOKUP(K$1,main!$A$3:$I$102,7,FALSE),main!$K$26:$Q$29,5,FALSE)),1,0)</f>
        <v>0</v>
      </c>
      <c r="L239">
        <f>IF(AND(VLOOKUP(L$1,main!$A$3:$H$102,7,FALSE)=main!$G$105,VLOOKUP(L$1,main!$A$3:$H$102,5,FALSE)-VLOOKUP($A239,main!$A$3:$H$102,6,FALSE)&gt;=main!$D$103+VLOOKUP(VLOOKUP(L$1,main!$A$3:$I$102,7,FALSE),main!$K$26:$Q$29,5,FALSE)),1,0)</f>
        <v>0</v>
      </c>
      <c r="M239">
        <f>IF(AND(VLOOKUP(M$1,main!$A$3:$H$102,7,FALSE)=main!$G$105,VLOOKUP(M$1,main!$A$3:$H$102,5,FALSE)-VLOOKUP($A239,main!$A$3:$H$102,6,FALSE)&gt;=main!$D$103+VLOOKUP(VLOOKUP(M$1,main!$A$3:$I$102,7,FALSE),main!$K$26:$Q$29,5,FALSE)),1,0)</f>
        <v>0</v>
      </c>
      <c r="N239">
        <f>IF(AND(VLOOKUP(N$1,main!$A$3:$H$102,7,FALSE)=main!$G$105,VLOOKUP(N$1,main!$A$3:$H$102,5,FALSE)-VLOOKUP($A239,main!$A$3:$H$102,6,FALSE)&gt;=main!$D$103+VLOOKUP(VLOOKUP(N$1,main!$A$3:$I$102,7,FALSE),main!$K$26:$Q$29,5,FALSE)),1,0)</f>
        <v>0</v>
      </c>
      <c r="O239">
        <f>IF(AND(VLOOKUP(O$1,main!$A$3:$H$102,7,FALSE)=main!$G$105,VLOOKUP(O$1,main!$A$3:$H$102,5,FALSE)-VLOOKUP($A239,main!$A$3:$H$102,6,FALSE)&gt;=main!$D$103+VLOOKUP(VLOOKUP(O$1,main!$A$3:$I$102,7,FALSE),main!$K$26:$Q$29,5,FALSE)),1,0)</f>
        <v>0</v>
      </c>
      <c r="P239">
        <f>IF(AND(VLOOKUP(P$1,main!$A$3:$H$102,7,FALSE)=main!$G$105,VLOOKUP(P$1,main!$A$3:$H$102,5,FALSE)-VLOOKUP($A239,main!$A$3:$H$102,6,FALSE)&gt;=main!$D$103+VLOOKUP(VLOOKUP(P$1,main!$A$3:$I$102,7,FALSE),main!$K$26:$Q$29,5,FALSE)),1,0)</f>
        <v>0</v>
      </c>
      <c r="Q239">
        <f>IF(AND(VLOOKUP(Q$1,main!$A$3:$H$102,7,FALSE)=main!$G$105,VLOOKUP(Q$1,main!$A$3:$H$102,5,FALSE)-VLOOKUP($A239,main!$A$3:$H$102,6,FALSE)&gt;=main!$D$103+VLOOKUP(VLOOKUP(Q$1,main!$A$3:$I$102,7,FALSE),main!$K$26:$Q$29,5,FALSE)),1,0)</f>
        <v>0</v>
      </c>
      <c r="R239">
        <f>IF(AND(VLOOKUP(R$1,main!$A$3:$H$102,7,FALSE)=main!$G$105,VLOOKUP(R$1,main!$A$3:$H$102,5,FALSE)-VLOOKUP($A239,main!$A$3:$H$102,6,FALSE)&gt;=main!$D$103+VLOOKUP(VLOOKUP(R$1,main!$A$3:$I$102,7,FALSE),main!$K$26:$Q$29,5,FALSE)),1,0)</f>
        <v>0</v>
      </c>
      <c r="S239">
        <f>IF(AND(VLOOKUP(S$1,main!$A$3:$H$102,7,FALSE)=main!$G$105,VLOOKUP(S$1,main!$A$3:$H$102,5,FALSE)-VLOOKUP($A239,main!$A$3:$H$102,6,FALSE)&gt;=main!$D$103+VLOOKUP(VLOOKUP(S$1,main!$A$3:$I$102,7,FALSE),main!$K$26:$Q$29,5,FALSE)),1,0)</f>
        <v>0</v>
      </c>
      <c r="T239">
        <f>IF(AND(VLOOKUP(T$1,main!$A$3:$H$102,7,FALSE)=main!$G$105,VLOOKUP(T$1,main!$A$3:$H$102,5,FALSE)-VLOOKUP($A239,main!$A$3:$H$102,6,FALSE)&gt;=main!$D$103+VLOOKUP(VLOOKUP(T$1,main!$A$3:$I$102,7,FALSE),main!$K$26:$Q$29,5,FALSE)),1,0)</f>
        <v>0</v>
      </c>
      <c r="U239">
        <f>IF(AND(VLOOKUP(U$1,main!$A$3:$H$102,7,FALSE)=main!$G$105,VLOOKUP(U$1,main!$A$3:$H$102,5,FALSE)-VLOOKUP($A239,main!$A$3:$H$102,6,FALSE)&gt;=main!$D$103+VLOOKUP(VLOOKUP(U$1,main!$A$3:$I$102,7,FALSE),main!$K$26:$Q$29,5,FALSE)),1,0)</f>
        <v>0</v>
      </c>
      <c r="V239">
        <f>IF(AND(VLOOKUP(V$1,main!$A$3:$H$102,7,FALSE)=main!$G$105,VLOOKUP(V$1,main!$A$3:$H$102,5,FALSE)-VLOOKUP($A239,main!$A$3:$H$102,6,FALSE)&gt;=main!$D$103+VLOOKUP(VLOOKUP(V$1,main!$A$3:$I$102,7,FALSE),main!$K$26:$Q$29,5,FALSE)),1,0)</f>
        <v>0</v>
      </c>
      <c r="W239">
        <f>IF(AND(VLOOKUP(W$1,main!$A$3:$H$102,7,FALSE)=main!$G$105,VLOOKUP(W$1,main!$A$3:$H$102,5,FALSE)-VLOOKUP($A239,main!$A$3:$H$102,6,FALSE)&gt;=main!$D$103+VLOOKUP(VLOOKUP(W$1,main!$A$3:$I$102,7,FALSE),main!$K$26:$Q$29,5,FALSE)),1,0)</f>
        <v>0</v>
      </c>
      <c r="X239">
        <f>IF(AND(VLOOKUP(X$1,main!$A$3:$H$102,7,FALSE)=main!$G$105,VLOOKUP(X$1,main!$A$3:$H$102,5,FALSE)-VLOOKUP($A239,main!$A$3:$H$102,6,FALSE)&gt;=main!$D$103+VLOOKUP(VLOOKUP(X$1,main!$A$3:$I$102,7,FALSE),main!$K$26:$Q$29,5,FALSE)),1,0)</f>
        <v>0</v>
      </c>
      <c r="Y239">
        <f>IF(AND(VLOOKUP(Y$1,main!$A$3:$H$102,7,FALSE)=main!$G$105,VLOOKUP(Y$1,main!$A$3:$H$102,5,FALSE)-VLOOKUP($A239,main!$A$3:$H$102,6,FALSE)&gt;=main!$D$103+VLOOKUP(VLOOKUP(Y$1,main!$A$3:$I$102,7,FALSE),main!$K$26:$Q$29,5,FALSE)),1,0)</f>
        <v>0</v>
      </c>
      <c r="Z239">
        <f>IF(AND(VLOOKUP(Z$1,main!$A$3:$H$102,7,FALSE)=main!$G$105,VLOOKUP(Z$1,main!$A$3:$H$102,5,FALSE)-VLOOKUP($A239,main!$A$3:$H$102,6,FALSE)&gt;=main!$D$103+VLOOKUP(VLOOKUP(Z$1,main!$A$3:$I$102,7,FALSE),main!$K$26:$Q$29,5,FALSE)),1,0)</f>
        <v>0</v>
      </c>
      <c r="AA239">
        <f>IF(AND(VLOOKUP(AA$1,main!$A$3:$H$102,7,FALSE)=main!$G$105,VLOOKUP(AA$1,main!$A$3:$H$102,5,FALSE)-VLOOKUP($A239,main!$A$3:$H$102,6,FALSE)&gt;=main!$D$103+VLOOKUP(VLOOKUP(AA$1,main!$A$3:$I$102,7,FALSE),main!$K$26:$Q$29,5,FALSE)),1,0)</f>
        <v>0</v>
      </c>
      <c r="AB239">
        <f>IF(AND(VLOOKUP(AB$1,main!$A$3:$H$102,7,FALSE)=main!$G$105,VLOOKUP(AB$1,main!$A$3:$H$102,5,FALSE)-VLOOKUP($A239,main!$A$3:$H$102,6,FALSE)&gt;=main!$D$103+VLOOKUP(VLOOKUP(AB$1,main!$A$3:$I$102,7,FALSE),main!$K$26:$Q$29,5,FALSE)),1,0)</f>
        <v>0</v>
      </c>
      <c r="AC239">
        <f>IF(AND(VLOOKUP(AC$1,main!$A$3:$H$102,7,FALSE)=main!$G$105,VLOOKUP(AC$1,main!$A$3:$H$102,5,FALSE)-VLOOKUP($A239,main!$A$3:$H$102,6,FALSE)&gt;=main!$D$103+VLOOKUP(VLOOKUP(AC$1,main!$A$3:$I$102,7,FALSE),main!$K$26:$Q$29,5,FALSE)),1,0)</f>
        <v>0</v>
      </c>
      <c r="AD239">
        <f>IF(AND(VLOOKUP(AD$1,main!$A$3:$H$102,7,FALSE)=main!$G$105,VLOOKUP(AD$1,main!$A$3:$H$102,5,FALSE)-VLOOKUP($A239,main!$A$3:$H$102,6,FALSE)&gt;=main!$D$103+VLOOKUP(VLOOKUP(AD$1,main!$A$3:$I$102,7,FALSE),main!$K$26:$Q$29,5,FALSE)),1,0)</f>
        <v>0</v>
      </c>
      <c r="AE239">
        <f>IF(AND(VLOOKUP(AE$1,main!$A$3:$H$102,7,FALSE)=main!$G$105,VLOOKUP(AE$1,main!$A$3:$H$102,5,FALSE)-VLOOKUP($A239,main!$A$3:$H$102,6,FALSE)&gt;=main!$D$103+VLOOKUP(VLOOKUP(AE$1,main!$A$3:$I$102,7,FALSE),main!$K$26:$Q$29,5,FALSE)),1,0)</f>
        <v>0</v>
      </c>
      <c r="AF239">
        <f>IF(AND(VLOOKUP(AF$1,main!$A$3:$H$102,7,FALSE)=main!$G$105,VLOOKUP(AF$1,main!$A$3:$H$102,5,FALSE)-VLOOKUP($A239,main!$A$3:$H$102,6,FALSE)&gt;=main!$D$103+VLOOKUP(VLOOKUP(AF$1,main!$A$3:$I$102,7,FALSE),main!$K$26:$Q$29,5,FALSE)),1,0)</f>
        <v>0</v>
      </c>
      <c r="AG239">
        <f>IF(AND(VLOOKUP(AG$1,main!$A$3:$H$102,7,FALSE)=main!$G$105,VLOOKUP(AG$1,main!$A$3:$H$102,5,FALSE)-VLOOKUP($A239,main!$A$3:$H$102,6,FALSE)&gt;=main!$D$103+VLOOKUP(VLOOKUP(AG$1,main!$A$3:$I$102,7,FALSE),main!$K$26:$Q$29,5,FALSE)),1,0)</f>
        <v>0</v>
      </c>
      <c r="AH239">
        <f>IF(AND(VLOOKUP(AH$1,main!$A$3:$H$102,7,FALSE)=main!$G$105,VLOOKUP(AH$1,main!$A$3:$H$102,5,FALSE)-VLOOKUP($A239,main!$A$3:$H$102,6,FALSE)&gt;=main!$D$103+VLOOKUP(VLOOKUP(AH$1,main!$A$3:$I$102,7,FALSE),main!$K$26:$Q$29,5,FALSE)),1,0)</f>
        <v>0</v>
      </c>
      <c r="AI239">
        <f>IF(AND(VLOOKUP(AI$1,main!$A$3:$H$102,7,FALSE)=main!$G$105,VLOOKUP(AI$1,main!$A$3:$H$102,5,FALSE)-VLOOKUP($A239,main!$A$3:$H$102,6,FALSE)&gt;=main!$D$103+VLOOKUP(VLOOKUP(AI$1,main!$A$3:$I$102,7,FALSE),main!$K$26:$Q$29,5,FALSE)),1,0)</f>
        <v>0</v>
      </c>
      <c r="AJ239">
        <f>IF(AND(VLOOKUP(AJ$1,main!$A$3:$H$102,7,FALSE)=main!$G$105,VLOOKUP(AJ$1,main!$A$3:$H$102,5,FALSE)-VLOOKUP($A239,main!$A$3:$H$102,6,FALSE)&gt;=main!$D$103+VLOOKUP(VLOOKUP(AJ$1,main!$A$3:$I$102,7,FALSE),main!$K$26:$Q$29,5,FALSE)),1,0)</f>
        <v>0</v>
      </c>
      <c r="AK239">
        <f>IF(AND(VLOOKUP(AK$1,main!$A$3:$H$102,7,FALSE)=main!$G$105,VLOOKUP(AK$1,main!$A$3:$H$102,5,FALSE)-VLOOKUP($A239,main!$A$3:$H$102,6,FALSE)&gt;=main!$D$103+VLOOKUP(VLOOKUP(AK$1,main!$A$3:$I$102,7,FALSE),main!$K$26:$Q$29,5,FALSE)),1,0)</f>
        <v>0</v>
      </c>
      <c r="AL239">
        <f>IF(AND(VLOOKUP(AL$1,main!$A$3:$H$102,7,FALSE)=main!$G$105,VLOOKUP(AL$1,main!$A$3:$H$102,5,FALSE)-VLOOKUP($A239,main!$A$3:$H$102,6,FALSE)&gt;=main!$D$103+VLOOKUP(VLOOKUP(AL$1,main!$A$3:$I$102,7,FALSE),main!$K$26:$Q$29,5,FALSE)),1,0)</f>
        <v>0</v>
      </c>
      <c r="AM239">
        <f>IF(AND(VLOOKUP(AM$1,main!$A$3:$H$102,7,FALSE)=main!$G$105,VLOOKUP(AM$1,main!$A$3:$H$102,5,FALSE)-VLOOKUP($A239,main!$A$3:$H$102,6,FALSE)&gt;=main!$D$103+VLOOKUP(VLOOKUP(AM$1,main!$A$3:$I$102,7,FALSE),main!$K$26:$Q$29,5,FALSE)),1,0)</f>
        <v>0</v>
      </c>
      <c r="AN239">
        <f>IF(AND(VLOOKUP(AN$1,main!$A$3:$H$102,7,FALSE)=main!$G$105,VLOOKUP(AN$1,main!$A$3:$H$102,5,FALSE)-VLOOKUP($A239,main!$A$3:$H$102,6,FALSE)&gt;=main!$D$103+VLOOKUP(VLOOKUP(AN$1,main!$A$3:$I$102,7,FALSE),main!$K$26:$Q$29,5,FALSE)),1,0)</f>
        <v>1</v>
      </c>
      <c r="AO239">
        <f>IF(AND(VLOOKUP(AO$1,main!$A$3:$H$102,7,FALSE)=main!$G$105,VLOOKUP(AO$1,main!$A$3:$H$102,5,FALSE)-VLOOKUP($A239,main!$A$3:$H$102,6,FALSE)&gt;=main!$D$103+VLOOKUP(VLOOKUP(AO$1,main!$A$3:$I$102,7,FALSE),main!$K$26:$Q$29,5,FALSE)),1,0)</f>
        <v>0</v>
      </c>
      <c r="AP239">
        <f>IF(AND(VLOOKUP(AP$1,main!$A$3:$H$102,7,FALSE)=main!$G$105,VLOOKUP(AP$1,main!$A$3:$H$102,5,FALSE)-VLOOKUP($A239,main!$A$3:$H$102,6,FALSE)&gt;=main!$D$103+VLOOKUP(VLOOKUP(AP$1,main!$A$3:$I$102,7,FALSE),main!$K$26:$Q$29,5,FALSE)),1,0)</f>
        <v>1</v>
      </c>
      <c r="AQ239">
        <f>IF(AND(VLOOKUP(AQ$1,main!$A$3:$H$102,7,FALSE)=main!$G$105,VLOOKUP(AQ$1,main!$A$3:$H$102,5,FALSE)-VLOOKUP($A239,main!$A$3:$H$102,6,FALSE)&gt;=main!$D$103+VLOOKUP(VLOOKUP(AQ$1,main!$A$3:$I$102,7,FALSE),main!$K$26:$Q$29,5,FALSE)),1,0)</f>
        <v>0</v>
      </c>
      <c r="AR239">
        <f>IF(AND(VLOOKUP(AR$1,main!$A$3:$H$102,7,FALSE)=main!$G$105,VLOOKUP(AR$1,main!$A$3:$H$102,5,FALSE)-VLOOKUP($A239,main!$A$3:$H$102,6,FALSE)&gt;=main!$D$103+VLOOKUP(VLOOKUP(AR$1,main!$A$3:$I$102,7,FALSE),main!$K$26:$Q$29,5,FALSE)),1,0)</f>
        <v>0</v>
      </c>
      <c r="AS239">
        <f>IF(AND(VLOOKUP(AS$1,main!$A$3:$H$102,7,FALSE)=main!$G$105,VLOOKUP(AS$1,main!$A$3:$H$102,5,FALSE)-VLOOKUP($A239,main!$A$3:$H$102,6,FALSE)&gt;=main!$D$103+VLOOKUP(VLOOKUP(AS$1,main!$A$3:$I$102,7,FALSE),main!$K$26:$Q$29,5,FALSE)),1,0)</f>
        <v>0</v>
      </c>
      <c r="AT239">
        <f>IF(AND(VLOOKUP(AT$1,main!$A$3:$H$102,7,FALSE)=main!$G$105,VLOOKUP(AT$1,main!$A$3:$H$102,5,FALSE)-VLOOKUP($A239,main!$A$3:$H$102,6,FALSE)&gt;=main!$D$103+VLOOKUP(VLOOKUP(AT$1,main!$A$3:$I$102,7,FALSE),main!$K$26:$Q$29,5,FALSE)),1,0)</f>
        <v>0</v>
      </c>
      <c r="AU239">
        <f>IF(AND(VLOOKUP(AU$1,main!$A$3:$H$102,7,FALSE)=main!$G$105,VLOOKUP(AU$1,main!$A$3:$H$102,5,FALSE)-VLOOKUP($A239,main!$A$3:$H$102,6,FALSE)&gt;=main!$D$103+VLOOKUP(VLOOKUP(AU$1,main!$A$3:$I$102,7,FALSE),main!$K$26:$Q$29,5,FALSE)),1,0)</f>
        <v>0</v>
      </c>
      <c r="AV239">
        <f>IF(AND(VLOOKUP(AV$1,main!$A$3:$H$102,7,FALSE)=main!$G$105,VLOOKUP(AV$1,main!$A$3:$H$102,5,FALSE)-VLOOKUP($A239,main!$A$3:$H$102,6,FALSE)&gt;=main!$D$103+VLOOKUP(VLOOKUP(AV$1,main!$A$3:$I$102,7,FALSE),main!$K$26:$Q$29,5,FALSE)),1,0)</f>
        <v>0</v>
      </c>
      <c r="AW239">
        <f>IF(AND(VLOOKUP(AW$1,main!$A$3:$H$102,7,FALSE)=main!$G$105,VLOOKUP(AW$1,main!$A$3:$H$102,5,FALSE)-VLOOKUP($A239,main!$A$3:$H$102,6,FALSE)&gt;=main!$D$103+VLOOKUP(VLOOKUP(AW$1,main!$A$3:$I$102,7,FALSE),main!$K$26:$Q$29,5,FALSE)),1,0)</f>
        <v>0</v>
      </c>
      <c r="AX239">
        <f>IF(AND(VLOOKUP(AX$1,main!$A$3:$H$102,7,FALSE)=main!$G$105,VLOOKUP(AX$1,main!$A$3:$H$102,5,FALSE)-VLOOKUP($A239,main!$A$3:$H$102,6,FALSE)&gt;=main!$D$103+VLOOKUP(VLOOKUP(AX$1,main!$A$3:$I$102,7,FALSE),main!$K$26:$Q$29,5,FALSE)),1,0)</f>
        <v>0</v>
      </c>
      <c r="AY239">
        <f>IF(AND(VLOOKUP(AY$1,main!$A$3:$H$102,7,FALSE)=main!$G$105,VLOOKUP(AY$1,main!$A$3:$H$102,5,FALSE)-VLOOKUP($A239,main!$A$3:$H$102,6,FALSE)&gt;=main!$D$103+VLOOKUP(VLOOKUP(AY$1,main!$A$3:$I$102,7,FALSE),main!$K$26:$Q$29,5,FALSE)),1,0)</f>
        <v>0</v>
      </c>
      <c r="AZ239">
        <f>IF(AND(VLOOKUP(AZ$1,main!$A$3:$H$102,7,FALSE)=main!$G$105,VLOOKUP(AZ$1,main!$A$3:$H$102,5,FALSE)-VLOOKUP($A239,main!$A$3:$H$102,6,FALSE)&gt;=main!$D$103+VLOOKUP(VLOOKUP(AZ$1,main!$A$3:$I$102,7,FALSE),main!$K$26:$Q$29,5,FALSE)),1,0)</f>
        <v>0</v>
      </c>
      <c r="BA239">
        <f>IF(AND(VLOOKUP(BA$1,main!$A$3:$H$102,7,FALSE)=main!$G$105,VLOOKUP(BA$1,main!$A$3:$H$102,5,FALSE)-VLOOKUP($A239,main!$A$3:$H$102,6,FALSE)&gt;=main!$D$103+VLOOKUP(VLOOKUP(BA$1,main!$A$3:$I$102,7,FALSE),main!$K$26:$Q$29,5,FALSE)),1,0)</f>
        <v>0</v>
      </c>
      <c r="BB239">
        <f>IF(AND(VLOOKUP(BB$1,main!$A$3:$H$102,7,FALSE)=main!$G$105,VLOOKUP(BB$1,main!$A$3:$H$102,5,FALSE)-VLOOKUP($A239,main!$A$3:$H$102,6,FALSE)&gt;=main!$D$103+VLOOKUP(VLOOKUP(BB$1,main!$A$3:$I$102,7,FALSE),main!$K$26:$Q$29,5,FALSE)),1,0)</f>
        <v>0</v>
      </c>
      <c r="BC239">
        <f>IF(AND(VLOOKUP(BC$1,main!$A$3:$H$102,7,FALSE)=main!$G$105,VLOOKUP(BC$1,main!$A$3:$H$102,5,FALSE)-VLOOKUP($A239,main!$A$3:$H$102,6,FALSE)&gt;=main!$D$103+VLOOKUP(VLOOKUP(BC$1,main!$A$3:$I$102,7,FALSE),main!$K$26:$Q$29,5,FALSE)),1,0)</f>
        <v>0</v>
      </c>
      <c r="BD239">
        <f>IF(AND(VLOOKUP(BD$1,main!$A$3:$H$102,7,FALSE)=main!$G$105,VLOOKUP(BD$1,main!$A$3:$H$102,5,FALSE)-VLOOKUP($A239,main!$A$3:$H$102,6,FALSE)&gt;=main!$D$103+VLOOKUP(VLOOKUP(BD$1,main!$A$3:$I$102,7,FALSE),main!$K$26:$Q$29,5,FALSE)),1,0)</f>
        <v>0</v>
      </c>
      <c r="BE239">
        <f>IF(AND(VLOOKUP(BE$1,main!$A$3:$H$102,7,FALSE)=main!$G$105,VLOOKUP(BE$1,main!$A$3:$H$102,5,FALSE)-VLOOKUP($A239,main!$A$3:$H$102,6,FALSE)&gt;=main!$D$103+VLOOKUP(VLOOKUP(BE$1,main!$A$3:$I$102,7,FALSE),main!$K$26:$Q$29,5,FALSE)),1,0)</f>
        <v>0</v>
      </c>
      <c r="BF239">
        <f>IF(AND(VLOOKUP(BF$1,main!$A$3:$H$102,7,FALSE)=main!$G$105,VLOOKUP(BF$1,main!$A$3:$H$102,5,FALSE)-VLOOKUP($A239,main!$A$3:$H$102,6,FALSE)&gt;=main!$D$103+VLOOKUP(VLOOKUP(BF$1,main!$A$3:$I$102,7,FALSE),main!$K$26:$Q$29,5,FALSE)),1,0)</f>
        <v>0</v>
      </c>
      <c r="BG239">
        <f>IF(AND(VLOOKUP(BG$1,main!$A$3:$H$102,7,FALSE)=main!$G$105,VLOOKUP(BG$1,main!$A$3:$H$102,5,FALSE)-VLOOKUP($A239,main!$A$3:$H$102,6,FALSE)&gt;=main!$D$103+VLOOKUP(VLOOKUP(BG$1,main!$A$3:$I$102,7,FALSE),main!$K$26:$Q$29,5,FALSE)),1,0)</f>
        <v>0</v>
      </c>
      <c r="BH239">
        <f>IF(AND(VLOOKUP(BH$1,main!$A$3:$H$102,7,FALSE)=main!$G$105,VLOOKUP(BH$1,main!$A$3:$H$102,5,FALSE)-VLOOKUP($A239,main!$A$3:$H$102,6,FALSE)&gt;=main!$D$103+VLOOKUP(VLOOKUP(BH$1,main!$A$3:$I$102,7,FALSE),main!$K$26:$Q$29,5,FALSE)),1,0)</f>
        <v>0</v>
      </c>
      <c r="BI239">
        <f>IF(AND(VLOOKUP(BI$1,main!$A$3:$H$102,7,FALSE)=main!$G$105,VLOOKUP(BI$1,main!$A$3:$H$102,5,FALSE)-VLOOKUP($A239,main!$A$3:$H$102,6,FALSE)&gt;=main!$D$103+VLOOKUP(VLOOKUP(BI$1,main!$A$3:$I$102,7,FALSE),main!$K$26:$Q$29,5,FALSE)),1,0)</f>
        <v>0</v>
      </c>
      <c r="BJ239">
        <f>IF(AND(VLOOKUP(BJ$1,main!$A$3:$H$102,7,FALSE)=main!$G$105,VLOOKUP(BJ$1,main!$A$3:$H$102,5,FALSE)-VLOOKUP($A239,main!$A$3:$H$102,6,FALSE)&gt;=main!$D$103+VLOOKUP(VLOOKUP(BJ$1,main!$A$3:$I$102,7,FALSE),main!$K$26:$Q$29,5,FALSE)),1,0)</f>
        <v>0</v>
      </c>
      <c r="BK239">
        <f>IF(AND(VLOOKUP(BK$1,main!$A$3:$H$102,7,FALSE)=main!$G$105,VLOOKUP(BK$1,main!$A$3:$H$102,5,FALSE)-VLOOKUP($A239,main!$A$3:$H$102,6,FALSE)&gt;=main!$D$103+VLOOKUP(VLOOKUP(BK$1,main!$A$3:$I$102,7,FALSE),main!$K$26:$Q$29,5,FALSE)),1,0)</f>
        <v>0</v>
      </c>
      <c r="BL239">
        <f>IF(AND(VLOOKUP(BL$1,main!$A$3:$H$102,7,FALSE)=main!$G$105,VLOOKUP(BL$1,main!$A$3:$H$102,5,FALSE)-VLOOKUP($A239,main!$A$3:$H$102,6,FALSE)&gt;=main!$D$103+VLOOKUP(VLOOKUP(BL$1,main!$A$3:$I$102,7,FALSE),main!$K$26:$Q$29,5,FALSE)),1,0)</f>
        <v>0</v>
      </c>
      <c r="BM239">
        <f>IF(AND(VLOOKUP(BM$1,main!$A$3:$H$102,7,FALSE)=main!$G$105,VLOOKUP(BM$1,main!$A$3:$H$102,5,FALSE)-VLOOKUP($A239,main!$A$3:$H$102,6,FALSE)&gt;=main!$D$103+VLOOKUP(VLOOKUP(BM$1,main!$A$3:$I$102,7,FALSE),main!$K$26:$Q$29,5,FALSE)),1,0)</f>
        <v>0</v>
      </c>
      <c r="BN239">
        <f>IF(AND(VLOOKUP(BN$1,main!$A$3:$H$102,7,FALSE)=main!$G$105,VLOOKUP(BN$1,main!$A$3:$H$102,5,FALSE)-VLOOKUP($A239,main!$A$3:$H$102,6,FALSE)&gt;=main!$D$103+VLOOKUP(VLOOKUP(BN$1,main!$A$3:$I$102,7,FALSE),main!$K$26:$Q$29,5,FALSE)),1,0)</f>
        <v>0</v>
      </c>
      <c r="BO239">
        <f>IF(AND(VLOOKUP(BO$1,main!$A$3:$H$102,7,FALSE)=main!$G$105,VLOOKUP(BO$1,main!$A$3:$H$102,5,FALSE)-VLOOKUP($A239,main!$A$3:$H$102,6,FALSE)&gt;=main!$D$103+VLOOKUP(VLOOKUP(BO$1,main!$A$3:$I$102,7,FALSE),main!$K$26:$Q$29,5,FALSE)),1,0)</f>
        <v>0</v>
      </c>
      <c r="BP239">
        <f>IF(AND(VLOOKUP(BP$1,main!$A$3:$H$102,7,FALSE)=main!$G$105,VLOOKUP(BP$1,main!$A$3:$H$102,5,FALSE)-VLOOKUP($A239,main!$A$3:$H$102,6,FALSE)&gt;=main!$D$103+VLOOKUP(VLOOKUP(BP$1,main!$A$3:$I$102,7,FALSE),main!$K$26:$Q$29,5,FALSE)),1,0)</f>
        <v>0</v>
      </c>
      <c r="BQ239">
        <f>IF(AND(VLOOKUP(BQ$1,main!$A$3:$H$102,7,FALSE)=main!$G$105,VLOOKUP(BQ$1,main!$A$3:$H$102,5,FALSE)-VLOOKUP($A239,main!$A$3:$H$102,6,FALSE)&gt;=main!$D$103+VLOOKUP(VLOOKUP(BQ$1,main!$A$3:$I$102,7,FALSE),main!$K$26:$Q$29,5,FALSE)),1,0)</f>
        <v>0</v>
      </c>
      <c r="BR239">
        <f>IF(AND(VLOOKUP(BR$1,main!$A$3:$H$102,7,FALSE)=main!$G$105,VLOOKUP(BR$1,main!$A$3:$H$102,5,FALSE)-VLOOKUP($A239,main!$A$3:$H$102,6,FALSE)&gt;=main!$D$103+VLOOKUP(VLOOKUP(BR$1,main!$A$3:$I$102,7,FALSE),main!$K$26:$Q$29,5,FALSE)),1,0)</f>
        <v>0</v>
      </c>
      <c r="BS239">
        <f>IF(AND(VLOOKUP(BS$1,main!$A$3:$H$102,7,FALSE)=main!$G$105,VLOOKUP(BS$1,main!$A$3:$H$102,5,FALSE)-VLOOKUP($A239,main!$A$3:$H$102,6,FALSE)&gt;=main!$D$103+VLOOKUP(VLOOKUP(BS$1,main!$A$3:$I$102,7,FALSE),main!$K$26:$Q$29,5,FALSE)),1,0)</f>
        <v>0</v>
      </c>
      <c r="BT239">
        <f>IF(AND(VLOOKUP(BT$1,main!$A$3:$H$102,7,FALSE)=main!$G$105,VLOOKUP(BT$1,main!$A$3:$H$102,5,FALSE)-VLOOKUP($A239,main!$A$3:$H$102,6,FALSE)&gt;=main!$D$103+VLOOKUP(VLOOKUP(BT$1,main!$A$3:$I$102,7,FALSE),main!$K$26:$Q$29,5,FALSE)),1,0)</f>
        <v>0</v>
      </c>
      <c r="BU239">
        <f>IF(AND(VLOOKUP(BU$1,main!$A$3:$H$102,7,FALSE)=main!$G$105,VLOOKUP(BU$1,main!$A$3:$H$102,5,FALSE)-VLOOKUP($A239,main!$A$3:$H$102,6,FALSE)&gt;=main!$D$103+VLOOKUP(VLOOKUP(BU$1,main!$A$3:$I$102,7,FALSE),main!$K$26:$Q$29,5,FALSE)),1,0)</f>
        <v>0</v>
      </c>
      <c r="BV239">
        <f>IF(AND(VLOOKUP(BV$1,main!$A$3:$H$102,7,FALSE)=main!$G$105,VLOOKUP(BV$1,main!$A$3:$H$102,5,FALSE)-VLOOKUP($A239,main!$A$3:$H$102,6,FALSE)&gt;=main!$D$103+VLOOKUP(VLOOKUP(BV$1,main!$A$3:$I$102,7,FALSE),main!$K$26:$Q$29,5,FALSE)),1,0)</f>
        <v>0</v>
      </c>
      <c r="BW239">
        <f>IF(AND(VLOOKUP(BW$1,main!$A$3:$H$102,7,FALSE)=main!$G$105,VLOOKUP(BW$1,main!$A$3:$H$102,5,FALSE)-VLOOKUP($A239,main!$A$3:$H$102,6,FALSE)&gt;=main!$D$103+VLOOKUP(VLOOKUP(BW$1,main!$A$3:$I$102,7,FALSE),main!$K$26:$Q$29,5,FALSE)),1,0)</f>
        <v>0</v>
      </c>
      <c r="BX239">
        <f>IF(AND(VLOOKUP(BX$1,main!$A$3:$H$102,7,FALSE)=main!$G$105,VLOOKUP(BX$1,main!$A$3:$H$102,5,FALSE)-VLOOKUP($A239,main!$A$3:$H$102,6,FALSE)&gt;=main!$D$103+VLOOKUP(VLOOKUP(BX$1,main!$A$3:$I$102,7,FALSE),main!$K$26:$Q$29,5,FALSE)),1,0)</f>
        <v>0</v>
      </c>
      <c r="BY239">
        <f>IF(AND(VLOOKUP(BY$1,main!$A$3:$H$102,7,FALSE)=main!$G$105,VLOOKUP(BY$1,main!$A$3:$H$102,5,FALSE)-VLOOKUP($A239,main!$A$3:$H$102,6,FALSE)&gt;=main!$D$103+VLOOKUP(VLOOKUP(BY$1,main!$A$3:$I$102,7,FALSE),main!$K$26:$Q$29,5,FALSE)),1,0)</f>
        <v>0</v>
      </c>
      <c r="BZ239">
        <f>IF(AND(VLOOKUP(BZ$1,main!$A$3:$H$102,7,FALSE)=main!$G$105,VLOOKUP(BZ$1,main!$A$3:$H$102,5,FALSE)-VLOOKUP($A239,main!$A$3:$H$102,6,FALSE)&gt;=main!$D$103+VLOOKUP(VLOOKUP(BZ$1,main!$A$3:$I$102,7,FALSE),main!$K$26:$Q$29,5,FALSE)),1,0)</f>
        <v>0</v>
      </c>
      <c r="CA239">
        <f>IF(AND(VLOOKUP(CA$1,main!$A$3:$H$102,7,FALSE)=main!$G$105,VLOOKUP(CA$1,main!$A$3:$H$102,5,FALSE)-VLOOKUP($A239,main!$A$3:$H$102,6,FALSE)&gt;=main!$D$103+VLOOKUP(VLOOKUP(CA$1,main!$A$3:$I$102,7,FALSE),main!$K$26:$Q$29,5,FALSE)),1,0)</f>
        <v>0</v>
      </c>
      <c r="CB239">
        <f>IF(AND(VLOOKUP(CB$1,main!$A$3:$H$102,7,FALSE)=main!$G$105,VLOOKUP(CB$1,main!$A$3:$H$102,5,FALSE)-VLOOKUP($A239,main!$A$3:$H$102,6,FALSE)&gt;=main!$D$103+VLOOKUP(VLOOKUP(CB$1,main!$A$3:$I$102,7,FALSE),main!$K$26:$Q$29,5,FALSE)),1,0)</f>
        <v>0</v>
      </c>
      <c r="CC239">
        <f>IF(AND(VLOOKUP(CC$1,main!$A$3:$H$102,7,FALSE)=main!$G$105,VLOOKUP(CC$1,main!$A$3:$H$102,5,FALSE)-VLOOKUP($A239,main!$A$3:$H$102,6,FALSE)&gt;=main!$D$103+VLOOKUP(VLOOKUP(CC$1,main!$A$3:$I$102,7,FALSE),main!$K$26:$Q$29,5,FALSE)),1,0)</f>
        <v>0</v>
      </c>
      <c r="CD239">
        <f>IF(AND(VLOOKUP(CD$1,main!$A$3:$H$102,7,FALSE)=main!$G$105,VLOOKUP(CD$1,main!$A$3:$H$102,5,FALSE)-VLOOKUP($A239,main!$A$3:$H$102,6,FALSE)&gt;=main!$D$103+VLOOKUP(VLOOKUP(CD$1,main!$A$3:$I$102,7,FALSE),main!$K$26:$Q$29,5,FALSE)),1,0)</f>
        <v>0</v>
      </c>
      <c r="CE239">
        <f>IF(AND(VLOOKUP(CE$1,main!$A$3:$H$102,7,FALSE)=main!$G$105,VLOOKUP(CE$1,main!$A$3:$H$102,5,FALSE)-VLOOKUP($A239,main!$A$3:$H$102,6,FALSE)&gt;=main!$D$103+VLOOKUP(VLOOKUP(CE$1,main!$A$3:$I$102,7,FALSE),main!$K$26:$Q$29,5,FALSE)),1,0)</f>
        <v>0</v>
      </c>
      <c r="CF239">
        <f>IF(AND(VLOOKUP(CF$1,main!$A$3:$H$102,7,FALSE)=main!$G$105,VLOOKUP(CF$1,main!$A$3:$H$102,5,FALSE)-VLOOKUP($A239,main!$A$3:$H$102,6,FALSE)&gt;=main!$D$103+VLOOKUP(VLOOKUP(CF$1,main!$A$3:$I$102,7,FALSE),main!$K$26:$Q$29,5,FALSE)),1,0)</f>
        <v>0</v>
      </c>
      <c r="CG239">
        <f>IF(AND(VLOOKUP(CG$1,main!$A$3:$H$102,7,FALSE)=main!$G$105,VLOOKUP(CG$1,main!$A$3:$H$102,5,FALSE)-VLOOKUP($A239,main!$A$3:$H$102,6,FALSE)&gt;=main!$D$103+VLOOKUP(VLOOKUP(CG$1,main!$A$3:$I$102,7,FALSE),main!$K$26:$Q$29,5,FALSE)),1,0)</f>
        <v>0</v>
      </c>
      <c r="CH239">
        <f>IF(AND(VLOOKUP(CH$1,main!$A$3:$H$102,7,FALSE)=main!$G$105,VLOOKUP(CH$1,main!$A$3:$H$102,5,FALSE)-VLOOKUP($A239,main!$A$3:$H$102,6,FALSE)&gt;=main!$D$103+VLOOKUP(VLOOKUP(CH$1,main!$A$3:$I$102,7,FALSE),main!$K$26:$Q$29,5,FALSE)),1,0)</f>
        <v>0</v>
      </c>
      <c r="CI239">
        <f>IF(AND(VLOOKUP(CI$1,main!$A$3:$H$102,7,FALSE)=main!$G$105,VLOOKUP(CI$1,main!$A$3:$H$102,5,FALSE)-VLOOKUP($A239,main!$A$3:$H$102,6,FALSE)&gt;=main!$D$103+VLOOKUP(VLOOKUP(CI$1,main!$A$3:$I$102,7,FALSE),main!$K$26:$Q$29,5,FALSE)),1,0)</f>
        <v>0</v>
      </c>
      <c r="CJ239">
        <f>IF(AND(VLOOKUP(CJ$1,main!$A$3:$H$102,7,FALSE)=main!$G$105,VLOOKUP(CJ$1,main!$A$3:$H$102,5,FALSE)-VLOOKUP($A239,main!$A$3:$H$102,6,FALSE)&gt;=main!$D$103+VLOOKUP(VLOOKUP(CJ$1,main!$A$3:$I$102,7,FALSE),main!$K$26:$Q$29,5,FALSE)),1,0)</f>
        <v>0</v>
      </c>
      <c r="CK239">
        <f>IF(AND(VLOOKUP(CK$1,main!$A$3:$H$102,7,FALSE)=main!$G$105,VLOOKUP(CK$1,main!$A$3:$H$102,5,FALSE)-VLOOKUP($A239,main!$A$3:$H$102,6,FALSE)&gt;=main!$D$103+VLOOKUP(VLOOKUP(CK$1,main!$A$3:$I$102,7,FALSE),main!$K$26:$Q$29,5,FALSE)),1,0)</f>
        <v>0</v>
      </c>
      <c r="CL239">
        <f>IF(AND(VLOOKUP(CL$1,main!$A$3:$H$102,7,FALSE)=main!$G$105,VLOOKUP(CL$1,main!$A$3:$H$102,5,FALSE)-VLOOKUP($A239,main!$A$3:$H$102,6,FALSE)&gt;=main!$D$103+VLOOKUP(VLOOKUP(CL$1,main!$A$3:$I$102,7,FALSE),main!$K$26:$Q$29,5,FALSE)),1,0)</f>
        <v>0</v>
      </c>
      <c r="CM239">
        <f>IF(AND(VLOOKUP(CM$1,main!$A$3:$H$102,7,FALSE)=main!$G$105,VLOOKUP(CM$1,main!$A$3:$H$102,5,FALSE)-VLOOKUP($A239,main!$A$3:$H$102,6,FALSE)&gt;=main!$D$103+VLOOKUP(VLOOKUP(CM$1,main!$A$3:$I$102,7,FALSE),main!$K$26:$Q$29,5,FALSE)),1,0)</f>
        <v>0</v>
      </c>
      <c r="CN239">
        <f>IF(AND(VLOOKUP(CN$1,main!$A$3:$H$102,7,FALSE)=main!$G$105,VLOOKUP(CN$1,main!$A$3:$H$102,5,FALSE)-VLOOKUP($A239,main!$A$3:$H$102,6,FALSE)&gt;=main!$D$103+VLOOKUP(VLOOKUP(CN$1,main!$A$3:$I$102,7,FALSE),main!$K$26:$Q$29,5,FALSE)),1,0)</f>
        <v>0</v>
      </c>
      <c r="CO239">
        <f>IF(AND(VLOOKUP(CO$1,main!$A$3:$H$102,7,FALSE)=main!$G$105,VLOOKUP(CO$1,main!$A$3:$H$102,5,FALSE)-VLOOKUP($A239,main!$A$3:$H$102,6,FALSE)&gt;=main!$D$103+VLOOKUP(VLOOKUP(CO$1,main!$A$3:$I$102,7,FALSE),main!$K$26:$Q$29,5,FALSE)),1,0)</f>
        <v>0</v>
      </c>
      <c r="CP239">
        <f>IF(AND(VLOOKUP(CP$1,main!$A$3:$H$102,7,FALSE)=main!$G$105,VLOOKUP(CP$1,main!$A$3:$H$102,5,FALSE)-VLOOKUP($A239,main!$A$3:$H$102,6,FALSE)&gt;=main!$D$103+VLOOKUP(VLOOKUP(CP$1,main!$A$3:$I$102,7,FALSE),main!$K$26:$Q$29,5,FALSE)),1,0)</f>
        <v>0</v>
      </c>
      <c r="CQ239">
        <f>IF(AND(VLOOKUP(CQ$1,main!$A$3:$H$102,7,FALSE)=main!$G$105,VLOOKUP(CQ$1,main!$A$3:$H$102,5,FALSE)-VLOOKUP($A239,main!$A$3:$H$102,6,FALSE)&gt;=main!$D$103+VLOOKUP(VLOOKUP(CQ$1,main!$A$3:$I$102,7,FALSE),main!$K$26:$Q$29,5,FALSE)),1,0)</f>
        <v>0</v>
      </c>
      <c r="CR239">
        <f>IF(AND(VLOOKUP(CR$1,main!$A$3:$H$102,7,FALSE)=main!$G$105,VLOOKUP(CR$1,main!$A$3:$H$102,5,FALSE)-VLOOKUP($A239,main!$A$3:$H$102,6,FALSE)&gt;=main!$D$103+VLOOKUP(VLOOKUP(CR$1,main!$A$3:$I$102,7,FALSE),main!$K$26:$Q$29,5,FALSE)),1,0)</f>
        <v>0</v>
      </c>
      <c r="CS239">
        <f>IF(AND(VLOOKUP(CS$1,main!$A$3:$H$102,7,FALSE)=main!$G$105,VLOOKUP(CS$1,main!$A$3:$H$102,5,FALSE)-VLOOKUP($A239,main!$A$3:$H$102,6,FALSE)&gt;=main!$D$103+VLOOKUP(VLOOKUP(CS$1,main!$A$3:$I$102,7,FALSE),main!$K$26:$Q$29,5,FALSE)),1,0)</f>
        <v>0</v>
      </c>
      <c r="CT239">
        <f>IF(AND(VLOOKUP(CT$1,main!$A$3:$H$102,7,FALSE)=main!$G$105,VLOOKUP(CT$1,main!$A$3:$H$102,5,FALSE)-VLOOKUP($A239,main!$A$3:$H$102,6,FALSE)&gt;=main!$D$103+VLOOKUP(VLOOKUP(CT$1,main!$A$3:$I$102,7,FALSE),main!$K$26:$Q$29,5,FALSE)),1,0)</f>
        <v>0</v>
      </c>
      <c r="CU239">
        <f>IF(AND(VLOOKUP(CU$1,main!$A$3:$H$102,7,FALSE)=main!$G$105,VLOOKUP(CU$1,main!$A$3:$H$102,5,FALSE)-VLOOKUP($A239,main!$A$3:$H$102,6,FALSE)&gt;=main!$D$103+VLOOKUP(VLOOKUP(CU$1,main!$A$3:$I$102,7,FALSE),main!$K$26:$Q$29,5,FALSE)),1,0)</f>
        <v>0</v>
      </c>
      <c r="CV239">
        <f>IF(AND(VLOOKUP(CV$1,main!$A$3:$H$102,7,FALSE)=main!$G$105,VLOOKUP(CV$1,main!$A$3:$H$102,5,FALSE)-VLOOKUP($A239,main!$A$3:$H$102,6,FALSE)&gt;=main!$D$103+VLOOKUP(VLOOKUP(CV$1,main!$A$3:$I$102,7,FALSE),main!$K$26:$Q$29,5,FALSE)),1,0)</f>
        <v>0</v>
      </c>
      <c r="CW239">
        <f>IF(AND(VLOOKUP(CW$1,main!$A$3:$H$102,7,FALSE)=main!$G$105,VLOOKUP(CW$1,main!$A$3:$H$102,5,FALSE)-VLOOKUP($A239,main!$A$3:$H$102,6,FALSE)&gt;=main!$D$103+VLOOKUP(VLOOKUP(CW$1,main!$A$3:$I$102,7,FALSE),main!$K$26:$Q$29,5,FALSE)),1,0)</f>
        <v>0</v>
      </c>
      <c r="CX239">
        <f>IF(AND(VLOOKUP(CX$1,main!$A$3:$H$102,7,FALSE)=main!$G$105,VLOOKUP(CX$1,main!$A$3:$H$102,5,FALSE)-VLOOKUP($A239,main!$A$3:$H$102,6,FALSE)&gt;=main!$D$103+VLOOKUP(VLOOKUP(CX$1,main!$A$3:$I$102,7,FALSE),main!$K$26:$Q$29,5,FALSE)),1,0)</f>
        <v>0</v>
      </c>
    </row>
    <row r="240" spans="1:102" x14ac:dyDescent="0.25">
      <c r="A240" s="1">
        <v>36</v>
      </c>
      <c r="B240">
        <v>0</v>
      </c>
      <c r="C240">
        <f>IF(AND(VLOOKUP(C$1,main!$A$3:$H$102,7,FALSE)=main!$G$105,VLOOKUP(C$1,main!$A$3:$H$102,5,FALSE)-VLOOKUP($A240,main!$A$3:$H$102,6,FALSE)&gt;=main!$D$103+VLOOKUP(VLOOKUP(C$1,main!$A$3:$I$102,7,FALSE),main!$K$26:$Q$29,5,FALSE)),1,0)</f>
        <v>0</v>
      </c>
      <c r="D240">
        <f>IF(AND(VLOOKUP(D$1,main!$A$3:$H$102,7,FALSE)=main!$G$105,VLOOKUP(D$1,main!$A$3:$H$102,5,FALSE)-VLOOKUP($A240,main!$A$3:$H$102,6,FALSE)&gt;=main!$D$103+VLOOKUP(VLOOKUP(D$1,main!$A$3:$I$102,7,FALSE),main!$K$26:$Q$29,5,FALSE)),1,0)</f>
        <v>0</v>
      </c>
      <c r="E240">
        <f>IF(AND(VLOOKUP(E$1,main!$A$3:$H$102,7,FALSE)=main!$G$105,VLOOKUP(E$1,main!$A$3:$H$102,5,FALSE)-VLOOKUP($A240,main!$A$3:$H$102,6,FALSE)&gt;=main!$D$103+VLOOKUP(VLOOKUP(E$1,main!$A$3:$I$102,7,FALSE),main!$K$26:$Q$29,5,FALSE)),1,0)</f>
        <v>0</v>
      </c>
      <c r="F240">
        <f>IF(AND(VLOOKUP(F$1,main!$A$3:$H$102,7,FALSE)=main!$G$105,VLOOKUP(F$1,main!$A$3:$H$102,5,FALSE)-VLOOKUP($A240,main!$A$3:$H$102,6,FALSE)&gt;=main!$D$103+VLOOKUP(VLOOKUP(F$1,main!$A$3:$I$102,7,FALSE),main!$K$26:$Q$29,5,FALSE)),1,0)</f>
        <v>0</v>
      </c>
      <c r="G240">
        <f>IF(AND(VLOOKUP(G$1,main!$A$3:$H$102,7,FALSE)=main!$G$105,VLOOKUP(G$1,main!$A$3:$H$102,5,FALSE)-VLOOKUP($A240,main!$A$3:$H$102,6,FALSE)&gt;=main!$D$103+VLOOKUP(VLOOKUP(G$1,main!$A$3:$I$102,7,FALSE),main!$K$26:$Q$29,5,FALSE)),1,0)</f>
        <v>0</v>
      </c>
      <c r="H240">
        <f>IF(AND(VLOOKUP(H$1,main!$A$3:$H$102,7,FALSE)=main!$G$105,VLOOKUP(H$1,main!$A$3:$H$102,5,FALSE)-VLOOKUP($A240,main!$A$3:$H$102,6,FALSE)&gt;=main!$D$103+VLOOKUP(VLOOKUP(H$1,main!$A$3:$I$102,7,FALSE),main!$K$26:$Q$29,5,FALSE)),1,0)</f>
        <v>0</v>
      </c>
      <c r="I240">
        <f>IF(AND(VLOOKUP(I$1,main!$A$3:$H$102,7,FALSE)=main!$G$105,VLOOKUP(I$1,main!$A$3:$H$102,5,FALSE)-VLOOKUP($A240,main!$A$3:$H$102,6,FALSE)&gt;=main!$D$103+VLOOKUP(VLOOKUP(I$1,main!$A$3:$I$102,7,FALSE),main!$K$26:$Q$29,5,FALSE)),1,0)</f>
        <v>0</v>
      </c>
      <c r="J240">
        <f>IF(AND(VLOOKUP(J$1,main!$A$3:$H$102,7,FALSE)=main!$G$105,VLOOKUP(J$1,main!$A$3:$H$102,5,FALSE)-VLOOKUP($A240,main!$A$3:$H$102,6,FALSE)&gt;=main!$D$103+VLOOKUP(VLOOKUP(J$1,main!$A$3:$I$102,7,FALSE),main!$K$26:$Q$29,5,FALSE)),1,0)</f>
        <v>0</v>
      </c>
      <c r="K240">
        <f>IF(AND(VLOOKUP(K$1,main!$A$3:$H$102,7,FALSE)=main!$G$105,VLOOKUP(K$1,main!$A$3:$H$102,5,FALSE)-VLOOKUP($A240,main!$A$3:$H$102,6,FALSE)&gt;=main!$D$103+VLOOKUP(VLOOKUP(K$1,main!$A$3:$I$102,7,FALSE),main!$K$26:$Q$29,5,FALSE)),1,0)</f>
        <v>0</v>
      </c>
      <c r="L240">
        <f>IF(AND(VLOOKUP(L$1,main!$A$3:$H$102,7,FALSE)=main!$G$105,VLOOKUP(L$1,main!$A$3:$H$102,5,FALSE)-VLOOKUP($A240,main!$A$3:$H$102,6,FALSE)&gt;=main!$D$103+VLOOKUP(VLOOKUP(L$1,main!$A$3:$I$102,7,FALSE),main!$K$26:$Q$29,5,FALSE)),1,0)</f>
        <v>0</v>
      </c>
      <c r="M240">
        <f>IF(AND(VLOOKUP(M$1,main!$A$3:$H$102,7,FALSE)=main!$G$105,VLOOKUP(M$1,main!$A$3:$H$102,5,FALSE)-VLOOKUP($A240,main!$A$3:$H$102,6,FALSE)&gt;=main!$D$103+VLOOKUP(VLOOKUP(M$1,main!$A$3:$I$102,7,FALSE),main!$K$26:$Q$29,5,FALSE)),1,0)</f>
        <v>0</v>
      </c>
      <c r="N240">
        <f>IF(AND(VLOOKUP(N$1,main!$A$3:$H$102,7,FALSE)=main!$G$105,VLOOKUP(N$1,main!$A$3:$H$102,5,FALSE)-VLOOKUP($A240,main!$A$3:$H$102,6,FALSE)&gt;=main!$D$103+VLOOKUP(VLOOKUP(N$1,main!$A$3:$I$102,7,FALSE),main!$K$26:$Q$29,5,FALSE)),1,0)</f>
        <v>0</v>
      </c>
      <c r="O240">
        <f>IF(AND(VLOOKUP(O$1,main!$A$3:$H$102,7,FALSE)=main!$G$105,VLOOKUP(O$1,main!$A$3:$H$102,5,FALSE)-VLOOKUP($A240,main!$A$3:$H$102,6,FALSE)&gt;=main!$D$103+VLOOKUP(VLOOKUP(O$1,main!$A$3:$I$102,7,FALSE),main!$K$26:$Q$29,5,FALSE)),1,0)</f>
        <v>0</v>
      </c>
      <c r="P240">
        <f>IF(AND(VLOOKUP(P$1,main!$A$3:$H$102,7,FALSE)=main!$G$105,VLOOKUP(P$1,main!$A$3:$H$102,5,FALSE)-VLOOKUP($A240,main!$A$3:$H$102,6,FALSE)&gt;=main!$D$103+VLOOKUP(VLOOKUP(P$1,main!$A$3:$I$102,7,FALSE),main!$K$26:$Q$29,5,FALSE)),1,0)</f>
        <v>0</v>
      </c>
      <c r="Q240">
        <f>IF(AND(VLOOKUP(Q$1,main!$A$3:$H$102,7,FALSE)=main!$G$105,VLOOKUP(Q$1,main!$A$3:$H$102,5,FALSE)-VLOOKUP($A240,main!$A$3:$H$102,6,FALSE)&gt;=main!$D$103+VLOOKUP(VLOOKUP(Q$1,main!$A$3:$I$102,7,FALSE),main!$K$26:$Q$29,5,FALSE)),1,0)</f>
        <v>0</v>
      </c>
      <c r="R240">
        <f>IF(AND(VLOOKUP(R$1,main!$A$3:$H$102,7,FALSE)=main!$G$105,VLOOKUP(R$1,main!$A$3:$H$102,5,FALSE)-VLOOKUP($A240,main!$A$3:$H$102,6,FALSE)&gt;=main!$D$103+VLOOKUP(VLOOKUP(R$1,main!$A$3:$I$102,7,FALSE),main!$K$26:$Q$29,5,FALSE)),1,0)</f>
        <v>0</v>
      </c>
      <c r="S240">
        <f>IF(AND(VLOOKUP(S$1,main!$A$3:$H$102,7,FALSE)=main!$G$105,VLOOKUP(S$1,main!$A$3:$H$102,5,FALSE)-VLOOKUP($A240,main!$A$3:$H$102,6,FALSE)&gt;=main!$D$103+VLOOKUP(VLOOKUP(S$1,main!$A$3:$I$102,7,FALSE),main!$K$26:$Q$29,5,FALSE)),1,0)</f>
        <v>0</v>
      </c>
      <c r="T240">
        <f>IF(AND(VLOOKUP(T$1,main!$A$3:$H$102,7,FALSE)=main!$G$105,VLOOKUP(T$1,main!$A$3:$H$102,5,FALSE)-VLOOKUP($A240,main!$A$3:$H$102,6,FALSE)&gt;=main!$D$103+VLOOKUP(VLOOKUP(T$1,main!$A$3:$I$102,7,FALSE),main!$K$26:$Q$29,5,FALSE)),1,0)</f>
        <v>0</v>
      </c>
      <c r="U240">
        <f>IF(AND(VLOOKUP(U$1,main!$A$3:$H$102,7,FALSE)=main!$G$105,VLOOKUP(U$1,main!$A$3:$H$102,5,FALSE)-VLOOKUP($A240,main!$A$3:$H$102,6,FALSE)&gt;=main!$D$103+VLOOKUP(VLOOKUP(U$1,main!$A$3:$I$102,7,FALSE),main!$K$26:$Q$29,5,FALSE)),1,0)</f>
        <v>0</v>
      </c>
      <c r="V240">
        <f>IF(AND(VLOOKUP(V$1,main!$A$3:$H$102,7,FALSE)=main!$G$105,VLOOKUP(V$1,main!$A$3:$H$102,5,FALSE)-VLOOKUP($A240,main!$A$3:$H$102,6,FALSE)&gt;=main!$D$103+VLOOKUP(VLOOKUP(V$1,main!$A$3:$I$102,7,FALSE),main!$K$26:$Q$29,5,FALSE)),1,0)</f>
        <v>0</v>
      </c>
      <c r="W240">
        <f>IF(AND(VLOOKUP(W$1,main!$A$3:$H$102,7,FALSE)=main!$G$105,VLOOKUP(W$1,main!$A$3:$H$102,5,FALSE)-VLOOKUP($A240,main!$A$3:$H$102,6,FALSE)&gt;=main!$D$103+VLOOKUP(VLOOKUP(W$1,main!$A$3:$I$102,7,FALSE),main!$K$26:$Q$29,5,FALSE)),1,0)</f>
        <v>0</v>
      </c>
      <c r="X240">
        <f>IF(AND(VLOOKUP(X$1,main!$A$3:$H$102,7,FALSE)=main!$G$105,VLOOKUP(X$1,main!$A$3:$H$102,5,FALSE)-VLOOKUP($A240,main!$A$3:$H$102,6,FALSE)&gt;=main!$D$103+VLOOKUP(VLOOKUP(X$1,main!$A$3:$I$102,7,FALSE),main!$K$26:$Q$29,5,FALSE)),1,0)</f>
        <v>0</v>
      </c>
      <c r="Y240">
        <f>IF(AND(VLOOKUP(Y$1,main!$A$3:$H$102,7,FALSE)=main!$G$105,VLOOKUP(Y$1,main!$A$3:$H$102,5,FALSE)-VLOOKUP($A240,main!$A$3:$H$102,6,FALSE)&gt;=main!$D$103+VLOOKUP(VLOOKUP(Y$1,main!$A$3:$I$102,7,FALSE),main!$K$26:$Q$29,5,FALSE)),1,0)</f>
        <v>0</v>
      </c>
      <c r="Z240">
        <f>IF(AND(VLOOKUP(Z$1,main!$A$3:$H$102,7,FALSE)=main!$G$105,VLOOKUP(Z$1,main!$A$3:$H$102,5,FALSE)-VLOOKUP($A240,main!$A$3:$H$102,6,FALSE)&gt;=main!$D$103+VLOOKUP(VLOOKUP(Z$1,main!$A$3:$I$102,7,FALSE),main!$K$26:$Q$29,5,FALSE)),1,0)</f>
        <v>0</v>
      </c>
      <c r="AA240">
        <f>IF(AND(VLOOKUP(AA$1,main!$A$3:$H$102,7,FALSE)=main!$G$105,VLOOKUP(AA$1,main!$A$3:$H$102,5,FALSE)-VLOOKUP($A240,main!$A$3:$H$102,6,FALSE)&gt;=main!$D$103+VLOOKUP(VLOOKUP(AA$1,main!$A$3:$I$102,7,FALSE),main!$K$26:$Q$29,5,FALSE)),1,0)</f>
        <v>0</v>
      </c>
      <c r="AB240">
        <f>IF(AND(VLOOKUP(AB$1,main!$A$3:$H$102,7,FALSE)=main!$G$105,VLOOKUP(AB$1,main!$A$3:$H$102,5,FALSE)-VLOOKUP($A240,main!$A$3:$H$102,6,FALSE)&gt;=main!$D$103+VLOOKUP(VLOOKUP(AB$1,main!$A$3:$I$102,7,FALSE),main!$K$26:$Q$29,5,FALSE)),1,0)</f>
        <v>0</v>
      </c>
      <c r="AC240">
        <f>IF(AND(VLOOKUP(AC$1,main!$A$3:$H$102,7,FALSE)=main!$G$105,VLOOKUP(AC$1,main!$A$3:$H$102,5,FALSE)-VLOOKUP($A240,main!$A$3:$H$102,6,FALSE)&gt;=main!$D$103+VLOOKUP(VLOOKUP(AC$1,main!$A$3:$I$102,7,FALSE),main!$K$26:$Q$29,5,FALSE)),1,0)</f>
        <v>0</v>
      </c>
      <c r="AD240">
        <f>IF(AND(VLOOKUP(AD$1,main!$A$3:$H$102,7,FALSE)=main!$G$105,VLOOKUP(AD$1,main!$A$3:$H$102,5,FALSE)-VLOOKUP($A240,main!$A$3:$H$102,6,FALSE)&gt;=main!$D$103+VLOOKUP(VLOOKUP(AD$1,main!$A$3:$I$102,7,FALSE),main!$K$26:$Q$29,5,FALSE)),1,0)</f>
        <v>0</v>
      </c>
      <c r="AE240">
        <f>IF(AND(VLOOKUP(AE$1,main!$A$3:$H$102,7,FALSE)=main!$G$105,VLOOKUP(AE$1,main!$A$3:$H$102,5,FALSE)-VLOOKUP($A240,main!$A$3:$H$102,6,FALSE)&gt;=main!$D$103+VLOOKUP(VLOOKUP(AE$1,main!$A$3:$I$102,7,FALSE),main!$K$26:$Q$29,5,FALSE)),1,0)</f>
        <v>0</v>
      </c>
      <c r="AF240">
        <f>IF(AND(VLOOKUP(AF$1,main!$A$3:$H$102,7,FALSE)=main!$G$105,VLOOKUP(AF$1,main!$A$3:$H$102,5,FALSE)-VLOOKUP($A240,main!$A$3:$H$102,6,FALSE)&gt;=main!$D$103+VLOOKUP(VLOOKUP(AF$1,main!$A$3:$I$102,7,FALSE),main!$K$26:$Q$29,5,FALSE)),1,0)</f>
        <v>0</v>
      </c>
      <c r="AG240">
        <f>IF(AND(VLOOKUP(AG$1,main!$A$3:$H$102,7,FALSE)=main!$G$105,VLOOKUP(AG$1,main!$A$3:$H$102,5,FALSE)-VLOOKUP($A240,main!$A$3:$H$102,6,FALSE)&gt;=main!$D$103+VLOOKUP(VLOOKUP(AG$1,main!$A$3:$I$102,7,FALSE),main!$K$26:$Q$29,5,FALSE)),1,0)</f>
        <v>0</v>
      </c>
      <c r="AH240">
        <f>IF(AND(VLOOKUP(AH$1,main!$A$3:$H$102,7,FALSE)=main!$G$105,VLOOKUP(AH$1,main!$A$3:$H$102,5,FALSE)-VLOOKUP($A240,main!$A$3:$H$102,6,FALSE)&gt;=main!$D$103+VLOOKUP(VLOOKUP(AH$1,main!$A$3:$I$102,7,FALSE),main!$K$26:$Q$29,5,FALSE)),1,0)</f>
        <v>0</v>
      </c>
      <c r="AI240">
        <f>IF(AND(VLOOKUP(AI$1,main!$A$3:$H$102,7,FALSE)=main!$G$105,VLOOKUP(AI$1,main!$A$3:$H$102,5,FALSE)-VLOOKUP($A240,main!$A$3:$H$102,6,FALSE)&gt;=main!$D$103+VLOOKUP(VLOOKUP(AI$1,main!$A$3:$I$102,7,FALSE),main!$K$26:$Q$29,5,FALSE)),1,0)</f>
        <v>0</v>
      </c>
      <c r="AJ240">
        <f>IF(AND(VLOOKUP(AJ$1,main!$A$3:$H$102,7,FALSE)=main!$G$105,VLOOKUP(AJ$1,main!$A$3:$H$102,5,FALSE)-VLOOKUP($A240,main!$A$3:$H$102,6,FALSE)&gt;=main!$D$103+VLOOKUP(VLOOKUP(AJ$1,main!$A$3:$I$102,7,FALSE),main!$K$26:$Q$29,5,FALSE)),1,0)</f>
        <v>0</v>
      </c>
      <c r="AK240">
        <f>IF(AND(VLOOKUP(AK$1,main!$A$3:$H$102,7,FALSE)=main!$G$105,VLOOKUP(AK$1,main!$A$3:$H$102,5,FALSE)-VLOOKUP($A240,main!$A$3:$H$102,6,FALSE)&gt;=main!$D$103+VLOOKUP(VLOOKUP(AK$1,main!$A$3:$I$102,7,FALSE),main!$K$26:$Q$29,5,FALSE)),1,0)</f>
        <v>0</v>
      </c>
      <c r="AL240">
        <f>IF(AND(VLOOKUP(AL$1,main!$A$3:$H$102,7,FALSE)=main!$G$105,VLOOKUP(AL$1,main!$A$3:$H$102,5,FALSE)-VLOOKUP($A240,main!$A$3:$H$102,6,FALSE)&gt;=main!$D$103+VLOOKUP(VLOOKUP(AL$1,main!$A$3:$I$102,7,FALSE),main!$K$26:$Q$29,5,FALSE)),1,0)</f>
        <v>0</v>
      </c>
      <c r="AM240">
        <f>IF(AND(VLOOKUP(AM$1,main!$A$3:$H$102,7,FALSE)=main!$G$105,VLOOKUP(AM$1,main!$A$3:$H$102,5,FALSE)-VLOOKUP($A240,main!$A$3:$H$102,6,FALSE)&gt;=main!$D$103+VLOOKUP(VLOOKUP(AM$1,main!$A$3:$I$102,7,FALSE),main!$K$26:$Q$29,5,FALSE)),1,0)</f>
        <v>0</v>
      </c>
      <c r="AN240">
        <f>IF(AND(VLOOKUP(AN$1,main!$A$3:$H$102,7,FALSE)=main!$G$105,VLOOKUP(AN$1,main!$A$3:$H$102,5,FALSE)-VLOOKUP($A240,main!$A$3:$H$102,6,FALSE)&gt;=main!$D$103+VLOOKUP(VLOOKUP(AN$1,main!$A$3:$I$102,7,FALSE),main!$K$26:$Q$29,5,FALSE)),1,0)</f>
        <v>0</v>
      </c>
      <c r="AO240">
        <f>IF(AND(VLOOKUP(AO$1,main!$A$3:$H$102,7,FALSE)=main!$G$105,VLOOKUP(AO$1,main!$A$3:$H$102,5,FALSE)-VLOOKUP($A240,main!$A$3:$H$102,6,FALSE)&gt;=main!$D$103+VLOOKUP(VLOOKUP(AO$1,main!$A$3:$I$102,7,FALSE),main!$K$26:$Q$29,5,FALSE)),1,0)</f>
        <v>0</v>
      </c>
      <c r="AP240">
        <f>IF(AND(VLOOKUP(AP$1,main!$A$3:$H$102,7,FALSE)=main!$G$105,VLOOKUP(AP$1,main!$A$3:$H$102,5,FALSE)-VLOOKUP($A240,main!$A$3:$H$102,6,FALSE)&gt;=main!$D$103+VLOOKUP(VLOOKUP(AP$1,main!$A$3:$I$102,7,FALSE),main!$K$26:$Q$29,5,FALSE)),1,0)</f>
        <v>1</v>
      </c>
      <c r="AQ240">
        <f>IF(AND(VLOOKUP(AQ$1,main!$A$3:$H$102,7,FALSE)=main!$G$105,VLOOKUP(AQ$1,main!$A$3:$H$102,5,FALSE)-VLOOKUP($A240,main!$A$3:$H$102,6,FALSE)&gt;=main!$D$103+VLOOKUP(VLOOKUP(AQ$1,main!$A$3:$I$102,7,FALSE),main!$K$26:$Q$29,5,FALSE)),1,0)</f>
        <v>0</v>
      </c>
      <c r="AR240">
        <f>IF(AND(VLOOKUP(AR$1,main!$A$3:$H$102,7,FALSE)=main!$G$105,VLOOKUP(AR$1,main!$A$3:$H$102,5,FALSE)-VLOOKUP($A240,main!$A$3:$H$102,6,FALSE)&gt;=main!$D$103+VLOOKUP(VLOOKUP(AR$1,main!$A$3:$I$102,7,FALSE),main!$K$26:$Q$29,5,FALSE)),1,0)</f>
        <v>0</v>
      </c>
      <c r="AS240">
        <f>IF(AND(VLOOKUP(AS$1,main!$A$3:$H$102,7,FALSE)=main!$G$105,VLOOKUP(AS$1,main!$A$3:$H$102,5,FALSE)-VLOOKUP($A240,main!$A$3:$H$102,6,FALSE)&gt;=main!$D$103+VLOOKUP(VLOOKUP(AS$1,main!$A$3:$I$102,7,FALSE),main!$K$26:$Q$29,5,FALSE)),1,0)</f>
        <v>0</v>
      </c>
      <c r="AT240">
        <f>IF(AND(VLOOKUP(AT$1,main!$A$3:$H$102,7,FALSE)=main!$G$105,VLOOKUP(AT$1,main!$A$3:$H$102,5,FALSE)-VLOOKUP($A240,main!$A$3:$H$102,6,FALSE)&gt;=main!$D$103+VLOOKUP(VLOOKUP(AT$1,main!$A$3:$I$102,7,FALSE),main!$K$26:$Q$29,5,FALSE)),1,0)</f>
        <v>0</v>
      </c>
      <c r="AU240">
        <f>IF(AND(VLOOKUP(AU$1,main!$A$3:$H$102,7,FALSE)=main!$G$105,VLOOKUP(AU$1,main!$A$3:$H$102,5,FALSE)-VLOOKUP($A240,main!$A$3:$H$102,6,FALSE)&gt;=main!$D$103+VLOOKUP(VLOOKUP(AU$1,main!$A$3:$I$102,7,FALSE),main!$K$26:$Q$29,5,FALSE)),1,0)</f>
        <v>0</v>
      </c>
      <c r="AV240">
        <f>IF(AND(VLOOKUP(AV$1,main!$A$3:$H$102,7,FALSE)=main!$G$105,VLOOKUP(AV$1,main!$A$3:$H$102,5,FALSE)-VLOOKUP($A240,main!$A$3:$H$102,6,FALSE)&gt;=main!$D$103+VLOOKUP(VLOOKUP(AV$1,main!$A$3:$I$102,7,FALSE),main!$K$26:$Q$29,5,FALSE)),1,0)</f>
        <v>0</v>
      </c>
      <c r="AW240">
        <f>IF(AND(VLOOKUP(AW$1,main!$A$3:$H$102,7,FALSE)=main!$G$105,VLOOKUP(AW$1,main!$A$3:$H$102,5,FALSE)-VLOOKUP($A240,main!$A$3:$H$102,6,FALSE)&gt;=main!$D$103+VLOOKUP(VLOOKUP(AW$1,main!$A$3:$I$102,7,FALSE),main!$K$26:$Q$29,5,FALSE)),1,0)</f>
        <v>0</v>
      </c>
      <c r="AX240">
        <f>IF(AND(VLOOKUP(AX$1,main!$A$3:$H$102,7,FALSE)=main!$G$105,VLOOKUP(AX$1,main!$A$3:$H$102,5,FALSE)-VLOOKUP($A240,main!$A$3:$H$102,6,FALSE)&gt;=main!$D$103+VLOOKUP(VLOOKUP(AX$1,main!$A$3:$I$102,7,FALSE),main!$K$26:$Q$29,5,FALSE)),1,0)</f>
        <v>0</v>
      </c>
      <c r="AY240">
        <f>IF(AND(VLOOKUP(AY$1,main!$A$3:$H$102,7,FALSE)=main!$G$105,VLOOKUP(AY$1,main!$A$3:$H$102,5,FALSE)-VLOOKUP($A240,main!$A$3:$H$102,6,FALSE)&gt;=main!$D$103+VLOOKUP(VLOOKUP(AY$1,main!$A$3:$I$102,7,FALSE),main!$K$26:$Q$29,5,FALSE)),1,0)</f>
        <v>0</v>
      </c>
      <c r="AZ240">
        <f>IF(AND(VLOOKUP(AZ$1,main!$A$3:$H$102,7,FALSE)=main!$G$105,VLOOKUP(AZ$1,main!$A$3:$H$102,5,FALSE)-VLOOKUP($A240,main!$A$3:$H$102,6,FALSE)&gt;=main!$D$103+VLOOKUP(VLOOKUP(AZ$1,main!$A$3:$I$102,7,FALSE),main!$K$26:$Q$29,5,FALSE)),1,0)</f>
        <v>0</v>
      </c>
      <c r="BA240">
        <f>IF(AND(VLOOKUP(BA$1,main!$A$3:$H$102,7,FALSE)=main!$G$105,VLOOKUP(BA$1,main!$A$3:$H$102,5,FALSE)-VLOOKUP($A240,main!$A$3:$H$102,6,FALSE)&gt;=main!$D$103+VLOOKUP(VLOOKUP(BA$1,main!$A$3:$I$102,7,FALSE),main!$K$26:$Q$29,5,FALSE)),1,0)</f>
        <v>0</v>
      </c>
      <c r="BB240">
        <f>IF(AND(VLOOKUP(BB$1,main!$A$3:$H$102,7,FALSE)=main!$G$105,VLOOKUP(BB$1,main!$A$3:$H$102,5,FALSE)-VLOOKUP($A240,main!$A$3:$H$102,6,FALSE)&gt;=main!$D$103+VLOOKUP(VLOOKUP(BB$1,main!$A$3:$I$102,7,FALSE),main!$K$26:$Q$29,5,FALSE)),1,0)</f>
        <v>0</v>
      </c>
      <c r="BC240">
        <f>IF(AND(VLOOKUP(BC$1,main!$A$3:$H$102,7,FALSE)=main!$G$105,VLOOKUP(BC$1,main!$A$3:$H$102,5,FALSE)-VLOOKUP($A240,main!$A$3:$H$102,6,FALSE)&gt;=main!$D$103+VLOOKUP(VLOOKUP(BC$1,main!$A$3:$I$102,7,FALSE),main!$K$26:$Q$29,5,FALSE)),1,0)</f>
        <v>0</v>
      </c>
      <c r="BD240">
        <f>IF(AND(VLOOKUP(BD$1,main!$A$3:$H$102,7,FALSE)=main!$G$105,VLOOKUP(BD$1,main!$A$3:$H$102,5,FALSE)-VLOOKUP($A240,main!$A$3:$H$102,6,FALSE)&gt;=main!$D$103+VLOOKUP(VLOOKUP(BD$1,main!$A$3:$I$102,7,FALSE),main!$K$26:$Q$29,5,FALSE)),1,0)</f>
        <v>0</v>
      </c>
      <c r="BE240">
        <f>IF(AND(VLOOKUP(BE$1,main!$A$3:$H$102,7,FALSE)=main!$G$105,VLOOKUP(BE$1,main!$A$3:$H$102,5,FALSE)-VLOOKUP($A240,main!$A$3:$H$102,6,FALSE)&gt;=main!$D$103+VLOOKUP(VLOOKUP(BE$1,main!$A$3:$I$102,7,FALSE),main!$K$26:$Q$29,5,FALSE)),1,0)</f>
        <v>0</v>
      </c>
      <c r="BF240">
        <f>IF(AND(VLOOKUP(BF$1,main!$A$3:$H$102,7,FALSE)=main!$G$105,VLOOKUP(BF$1,main!$A$3:$H$102,5,FALSE)-VLOOKUP($A240,main!$A$3:$H$102,6,FALSE)&gt;=main!$D$103+VLOOKUP(VLOOKUP(BF$1,main!$A$3:$I$102,7,FALSE),main!$K$26:$Q$29,5,FALSE)),1,0)</f>
        <v>0</v>
      </c>
      <c r="BG240">
        <f>IF(AND(VLOOKUP(BG$1,main!$A$3:$H$102,7,FALSE)=main!$G$105,VLOOKUP(BG$1,main!$A$3:$H$102,5,FALSE)-VLOOKUP($A240,main!$A$3:$H$102,6,FALSE)&gt;=main!$D$103+VLOOKUP(VLOOKUP(BG$1,main!$A$3:$I$102,7,FALSE),main!$K$26:$Q$29,5,FALSE)),1,0)</f>
        <v>0</v>
      </c>
      <c r="BH240">
        <f>IF(AND(VLOOKUP(BH$1,main!$A$3:$H$102,7,FALSE)=main!$G$105,VLOOKUP(BH$1,main!$A$3:$H$102,5,FALSE)-VLOOKUP($A240,main!$A$3:$H$102,6,FALSE)&gt;=main!$D$103+VLOOKUP(VLOOKUP(BH$1,main!$A$3:$I$102,7,FALSE),main!$K$26:$Q$29,5,FALSE)),1,0)</f>
        <v>0</v>
      </c>
      <c r="BI240">
        <f>IF(AND(VLOOKUP(BI$1,main!$A$3:$H$102,7,FALSE)=main!$G$105,VLOOKUP(BI$1,main!$A$3:$H$102,5,FALSE)-VLOOKUP($A240,main!$A$3:$H$102,6,FALSE)&gt;=main!$D$103+VLOOKUP(VLOOKUP(BI$1,main!$A$3:$I$102,7,FALSE),main!$K$26:$Q$29,5,FALSE)),1,0)</f>
        <v>0</v>
      </c>
      <c r="BJ240">
        <f>IF(AND(VLOOKUP(BJ$1,main!$A$3:$H$102,7,FALSE)=main!$G$105,VLOOKUP(BJ$1,main!$A$3:$H$102,5,FALSE)-VLOOKUP($A240,main!$A$3:$H$102,6,FALSE)&gt;=main!$D$103+VLOOKUP(VLOOKUP(BJ$1,main!$A$3:$I$102,7,FALSE),main!$K$26:$Q$29,5,FALSE)),1,0)</f>
        <v>0</v>
      </c>
      <c r="BK240">
        <f>IF(AND(VLOOKUP(BK$1,main!$A$3:$H$102,7,FALSE)=main!$G$105,VLOOKUP(BK$1,main!$A$3:$H$102,5,FALSE)-VLOOKUP($A240,main!$A$3:$H$102,6,FALSE)&gt;=main!$D$103+VLOOKUP(VLOOKUP(BK$1,main!$A$3:$I$102,7,FALSE),main!$K$26:$Q$29,5,FALSE)),1,0)</f>
        <v>0</v>
      </c>
      <c r="BL240">
        <f>IF(AND(VLOOKUP(BL$1,main!$A$3:$H$102,7,FALSE)=main!$G$105,VLOOKUP(BL$1,main!$A$3:$H$102,5,FALSE)-VLOOKUP($A240,main!$A$3:$H$102,6,FALSE)&gt;=main!$D$103+VLOOKUP(VLOOKUP(BL$1,main!$A$3:$I$102,7,FALSE),main!$K$26:$Q$29,5,FALSE)),1,0)</f>
        <v>0</v>
      </c>
      <c r="BM240">
        <f>IF(AND(VLOOKUP(BM$1,main!$A$3:$H$102,7,FALSE)=main!$G$105,VLOOKUP(BM$1,main!$A$3:$H$102,5,FALSE)-VLOOKUP($A240,main!$A$3:$H$102,6,FALSE)&gt;=main!$D$103+VLOOKUP(VLOOKUP(BM$1,main!$A$3:$I$102,7,FALSE),main!$K$26:$Q$29,5,FALSE)),1,0)</f>
        <v>0</v>
      </c>
      <c r="BN240">
        <f>IF(AND(VLOOKUP(BN$1,main!$A$3:$H$102,7,FALSE)=main!$G$105,VLOOKUP(BN$1,main!$A$3:$H$102,5,FALSE)-VLOOKUP($A240,main!$A$3:$H$102,6,FALSE)&gt;=main!$D$103+VLOOKUP(VLOOKUP(BN$1,main!$A$3:$I$102,7,FALSE),main!$K$26:$Q$29,5,FALSE)),1,0)</f>
        <v>0</v>
      </c>
      <c r="BO240">
        <f>IF(AND(VLOOKUP(BO$1,main!$A$3:$H$102,7,FALSE)=main!$G$105,VLOOKUP(BO$1,main!$A$3:$H$102,5,FALSE)-VLOOKUP($A240,main!$A$3:$H$102,6,FALSE)&gt;=main!$D$103+VLOOKUP(VLOOKUP(BO$1,main!$A$3:$I$102,7,FALSE),main!$K$26:$Q$29,5,FALSE)),1,0)</f>
        <v>0</v>
      </c>
      <c r="BP240">
        <f>IF(AND(VLOOKUP(BP$1,main!$A$3:$H$102,7,FALSE)=main!$G$105,VLOOKUP(BP$1,main!$A$3:$H$102,5,FALSE)-VLOOKUP($A240,main!$A$3:$H$102,6,FALSE)&gt;=main!$D$103+VLOOKUP(VLOOKUP(BP$1,main!$A$3:$I$102,7,FALSE),main!$K$26:$Q$29,5,FALSE)),1,0)</f>
        <v>0</v>
      </c>
      <c r="BQ240">
        <f>IF(AND(VLOOKUP(BQ$1,main!$A$3:$H$102,7,FALSE)=main!$G$105,VLOOKUP(BQ$1,main!$A$3:$H$102,5,FALSE)-VLOOKUP($A240,main!$A$3:$H$102,6,FALSE)&gt;=main!$D$103+VLOOKUP(VLOOKUP(BQ$1,main!$A$3:$I$102,7,FALSE),main!$K$26:$Q$29,5,FALSE)),1,0)</f>
        <v>0</v>
      </c>
      <c r="BR240">
        <f>IF(AND(VLOOKUP(BR$1,main!$A$3:$H$102,7,FALSE)=main!$G$105,VLOOKUP(BR$1,main!$A$3:$H$102,5,FALSE)-VLOOKUP($A240,main!$A$3:$H$102,6,FALSE)&gt;=main!$D$103+VLOOKUP(VLOOKUP(BR$1,main!$A$3:$I$102,7,FALSE),main!$K$26:$Q$29,5,FALSE)),1,0)</f>
        <v>0</v>
      </c>
      <c r="BS240">
        <f>IF(AND(VLOOKUP(BS$1,main!$A$3:$H$102,7,FALSE)=main!$G$105,VLOOKUP(BS$1,main!$A$3:$H$102,5,FALSE)-VLOOKUP($A240,main!$A$3:$H$102,6,FALSE)&gt;=main!$D$103+VLOOKUP(VLOOKUP(BS$1,main!$A$3:$I$102,7,FALSE),main!$K$26:$Q$29,5,FALSE)),1,0)</f>
        <v>0</v>
      </c>
      <c r="BT240">
        <f>IF(AND(VLOOKUP(BT$1,main!$A$3:$H$102,7,FALSE)=main!$G$105,VLOOKUP(BT$1,main!$A$3:$H$102,5,FALSE)-VLOOKUP($A240,main!$A$3:$H$102,6,FALSE)&gt;=main!$D$103+VLOOKUP(VLOOKUP(BT$1,main!$A$3:$I$102,7,FALSE),main!$K$26:$Q$29,5,FALSE)),1,0)</f>
        <v>0</v>
      </c>
      <c r="BU240">
        <f>IF(AND(VLOOKUP(BU$1,main!$A$3:$H$102,7,FALSE)=main!$G$105,VLOOKUP(BU$1,main!$A$3:$H$102,5,FALSE)-VLOOKUP($A240,main!$A$3:$H$102,6,FALSE)&gt;=main!$D$103+VLOOKUP(VLOOKUP(BU$1,main!$A$3:$I$102,7,FALSE),main!$K$26:$Q$29,5,FALSE)),1,0)</f>
        <v>0</v>
      </c>
      <c r="BV240">
        <f>IF(AND(VLOOKUP(BV$1,main!$A$3:$H$102,7,FALSE)=main!$G$105,VLOOKUP(BV$1,main!$A$3:$H$102,5,FALSE)-VLOOKUP($A240,main!$A$3:$H$102,6,FALSE)&gt;=main!$D$103+VLOOKUP(VLOOKUP(BV$1,main!$A$3:$I$102,7,FALSE),main!$K$26:$Q$29,5,FALSE)),1,0)</f>
        <v>0</v>
      </c>
      <c r="BW240">
        <f>IF(AND(VLOOKUP(BW$1,main!$A$3:$H$102,7,FALSE)=main!$G$105,VLOOKUP(BW$1,main!$A$3:$H$102,5,FALSE)-VLOOKUP($A240,main!$A$3:$H$102,6,FALSE)&gt;=main!$D$103+VLOOKUP(VLOOKUP(BW$1,main!$A$3:$I$102,7,FALSE),main!$K$26:$Q$29,5,FALSE)),1,0)</f>
        <v>0</v>
      </c>
      <c r="BX240">
        <f>IF(AND(VLOOKUP(BX$1,main!$A$3:$H$102,7,FALSE)=main!$G$105,VLOOKUP(BX$1,main!$A$3:$H$102,5,FALSE)-VLOOKUP($A240,main!$A$3:$H$102,6,FALSE)&gt;=main!$D$103+VLOOKUP(VLOOKUP(BX$1,main!$A$3:$I$102,7,FALSE),main!$K$26:$Q$29,5,FALSE)),1,0)</f>
        <v>0</v>
      </c>
      <c r="BY240">
        <f>IF(AND(VLOOKUP(BY$1,main!$A$3:$H$102,7,FALSE)=main!$G$105,VLOOKUP(BY$1,main!$A$3:$H$102,5,FALSE)-VLOOKUP($A240,main!$A$3:$H$102,6,FALSE)&gt;=main!$D$103+VLOOKUP(VLOOKUP(BY$1,main!$A$3:$I$102,7,FALSE),main!$K$26:$Q$29,5,FALSE)),1,0)</f>
        <v>0</v>
      </c>
      <c r="BZ240">
        <f>IF(AND(VLOOKUP(BZ$1,main!$A$3:$H$102,7,FALSE)=main!$G$105,VLOOKUP(BZ$1,main!$A$3:$H$102,5,FALSE)-VLOOKUP($A240,main!$A$3:$H$102,6,FALSE)&gt;=main!$D$103+VLOOKUP(VLOOKUP(BZ$1,main!$A$3:$I$102,7,FALSE),main!$K$26:$Q$29,5,FALSE)),1,0)</f>
        <v>0</v>
      </c>
      <c r="CA240">
        <f>IF(AND(VLOOKUP(CA$1,main!$A$3:$H$102,7,FALSE)=main!$G$105,VLOOKUP(CA$1,main!$A$3:$H$102,5,FALSE)-VLOOKUP($A240,main!$A$3:$H$102,6,FALSE)&gt;=main!$D$103+VLOOKUP(VLOOKUP(CA$1,main!$A$3:$I$102,7,FALSE),main!$K$26:$Q$29,5,FALSE)),1,0)</f>
        <v>0</v>
      </c>
      <c r="CB240">
        <f>IF(AND(VLOOKUP(CB$1,main!$A$3:$H$102,7,FALSE)=main!$G$105,VLOOKUP(CB$1,main!$A$3:$H$102,5,FALSE)-VLOOKUP($A240,main!$A$3:$H$102,6,FALSE)&gt;=main!$D$103+VLOOKUP(VLOOKUP(CB$1,main!$A$3:$I$102,7,FALSE),main!$K$26:$Q$29,5,FALSE)),1,0)</f>
        <v>0</v>
      </c>
      <c r="CC240">
        <f>IF(AND(VLOOKUP(CC$1,main!$A$3:$H$102,7,FALSE)=main!$G$105,VLOOKUP(CC$1,main!$A$3:$H$102,5,FALSE)-VLOOKUP($A240,main!$A$3:$H$102,6,FALSE)&gt;=main!$D$103+VLOOKUP(VLOOKUP(CC$1,main!$A$3:$I$102,7,FALSE),main!$K$26:$Q$29,5,FALSE)),1,0)</f>
        <v>0</v>
      </c>
      <c r="CD240">
        <f>IF(AND(VLOOKUP(CD$1,main!$A$3:$H$102,7,FALSE)=main!$G$105,VLOOKUP(CD$1,main!$A$3:$H$102,5,FALSE)-VLOOKUP($A240,main!$A$3:$H$102,6,FALSE)&gt;=main!$D$103+VLOOKUP(VLOOKUP(CD$1,main!$A$3:$I$102,7,FALSE),main!$K$26:$Q$29,5,FALSE)),1,0)</f>
        <v>0</v>
      </c>
      <c r="CE240">
        <f>IF(AND(VLOOKUP(CE$1,main!$A$3:$H$102,7,FALSE)=main!$G$105,VLOOKUP(CE$1,main!$A$3:$H$102,5,FALSE)-VLOOKUP($A240,main!$A$3:$H$102,6,FALSE)&gt;=main!$D$103+VLOOKUP(VLOOKUP(CE$1,main!$A$3:$I$102,7,FALSE),main!$K$26:$Q$29,5,FALSE)),1,0)</f>
        <v>0</v>
      </c>
      <c r="CF240">
        <f>IF(AND(VLOOKUP(CF$1,main!$A$3:$H$102,7,FALSE)=main!$G$105,VLOOKUP(CF$1,main!$A$3:$H$102,5,FALSE)-VLOOKUP($A240,main!$A$3:$H$102,6,FALSE)&gt;=main!$D$103+VLOOKUP(VLOOKUP(CF$1,main!$A$3:$I$102,7,FALSE),main!$K$26:$Q$29,5,FALSE)),1,0)</f>
        <v>0</v>
      </c>
      <c r="CG240">
        <f>IF(AND(VLOOKUP(CG$1,main!$A$3:$H$102,7,FALSE)=main!$G$105,VLOOKUP(CG$1,main!$A$3:$H$102,5,FALSE)-VLOOKUP($A240,main!$A$3:$H$102,6,FALSE)&gt;=main!$D$103+VLOOKUP(VLOOKUP(CG$1,main!$A$3:$I$102,7,FALSE),main!$K$26:$Q$29,5,FALSE)),1,0)</f>
        <v>0</v>
      </c>
      <c r="CH240">
        <f>IF(AND(VLOOKUP(CH$1,main!$A$3:$H$102,7,FALSE)=main!$G$105,VLOOKUP(CH$1,main!$A$3:$H$102,5,FALSE)-VLOOKUP($A240,main!$A$3:$H$102,6,FALSE)&gt;=main!$D$103+VLOOKUP(VLOOKUP(CH$1,main!$A$3:$I$102,7,FALSE),main!$K$26:$Q$29,5,FALSE)),1,0)</f>
        <v>0</v>
      </c>
      <c r="CI240">
        <f>IF(AND(VLOOKUP(CI$1,main!$A$3:$H$102,7,FALSE)=main!$G$105,VLOOKUP(CI$1,main!$A$3:$H$102,5,FALSE)-VLOOKUP($A240,main!$A$3:$H$102,6,FALSE)&gt;=main!$D$103+VLOOKUP(VLOOKUP(CI$1,main!$A$3:$I$102,7,FALSE),main!$K$26:$Q$29,5,FALSE)),1,0)</f>
        <v>0</v>
      </c>
      <c r="CJ240">
        <f>IF(AND(VLOOKUP(CJ$1,main!$A$3:$H$102,7,FALSE)=main!$G$105,VLOOKUP(CJ$1,main!$A$3:$H$102,5,FALSE)-VLOOKUP($A240,main!$A$3:$H$102,6,FALSE)&gt;=main!$D$103+VLOOKUP(VLOOKUP(CJ$1,main!$A$3:$I$102,7,FALSE),main!$K$26:$Q$29,5,FALSE)),1,0)</f>
        <v>0</v>
      </c>
      <c r="CK240">
        <f>IF(AND(VLOOKUP(CK$1,main!$A$3:$H$102,7,FALSE)=main!$G$105,VLOOKUP(CK$1,main!$A$3:$H$102,5,FALSE)-VLOOKUP($A240,main!$A$3:$H$102,6,FALSE)&gt;=main!$D$103+VLOOKUP(VLOOKUP(CK$1,main!$A$3:$I$102,7,FALSE),main!$K$26:$Q$29,5,FALSE)),1,0)</f>
        <v>0</v>
      </c>
      <c r="CL240">
        <f>IF(AND(VLOOKUP(CL$1,main!$A$3:$H$102,7,FALSE)=main!$G$105,VLOOKUP(CL$1,main!$A$3:$H$102,5,FALSE)-VLOOKUP($A240,main!$A$3:$H$102,6,FALSE)&gt;=main!$D$103+VLOOKUP(VLOOKUP(CL$1,main!$A$3:$I$102,7,FALSE),main!$K$26:$Q$29,5,FALSE)),1,0)</f>
        <v>0</v>
      </c>
      <c r="CM240">
        <f>IF(AND(VLOOKUP(CM$1,main!$A$3:$H$102,7,FALSE)=main!$G$105,VLOOKUP(CM$1,main!$A$3:$H$102,5,FALSE)-VLOOKUP($A240,main!$A$3:$H$102,6,FALSE)&gt;=main!$D$103+VLOOKUP(VLOOKUP(CM$1,main!$A$3:$I$102,7,FALSE),main!$K$26:$Q$29,5,FALSE)),1,0)</f>
        <v>0</v>
      </c>
      <c r="CN240">
        <f>IF(AND(VLOOKUP(CN$1,main!$A$3:$H$102,7,FALSE)=main!$G$105,VLOOKUP(CN$1,main!$A$3:$H$102,5,FALSE)-VLOOKUP($A240,main!$A$3:$H$102,6,FALSE)&gt;=main!$D$103+VLOOKUP(VLOOKUP(CN$1,main!$A$3:$I$102,7,FALSE),main!$K$26:$Q$29,5,FALSE)),1,0)</f>
        <v>0</v>
      </c>
      <c r="CO240">
        <f>IF(AND(VLOOKUP(CO$1,main!$A$3:$H$102,7,FALSE)=main!$G$105,VLOOKUP(CO$1,main!$A$3:$H$102,5,FALSE)-VLOOKUP($A240,main!$A$3:$H$102,6,FALSE)&gt;=main!$D$103+VLOOKUP(VLOOKUP(CO$1,main!$A$3:$I$102,7,FALSE),main!$K$26:$Q$29,5,FALSE)),1,0)</f>
        <v>0</v>
      </c>
      <c r="CP240">
        <f>IF(AND(VLOOKUP(CP$1,main!$A$3:$H$102,7,FALSE)=main!$G$105,VLOOKUP(CP$1,main!$A$3:$H$102,5,FALSE)-VLOOKUP($A240,main!$A$3:$H$102,6,FALSE)&gt;=main!$D$103+VLOOKUP(VLOOKUP(CP$1,main!$A$3:$I$102,7,FALSE),main!$K$26:$Q$29,5,FALSE)),1,0)</f>
        <v>0</v>
      </c>
      <c r="CQ240">
        <f>IF(AND(VLOOKUP(CQ$1,main!$A$3:$H$102,7,FALSE)=main!$G$105,VLOOKUP(CQ$1,main!$A$3:$H$102,5,FALSE)-VLOOKUP($A240,main!$A$3:$H$102,6,FALSE)&gt;=main!$D$103+VLOOKUP(VLOOKUP(CQ$1,main!$A$3:$I$102,7,FALSE),main!$K$26:$Q$29,5,FALSE)),1,0)</f>
        <v>0</v>
      </c>
      <c r="CR240">
        <f>IF(AND(VLOOKUP(CR$1,main!$A$3:$H$102,7,FALSE)=main!$G$105,VLOOKUP(CR$1,main!$A$3:$H$102,5,FALSE)-VLOOKUP($A240,main!$A$3:$H$102,6,FALSE)&gt;=main!$D$103+VLOOKUP(VLOOKUP(CR$1,main!$A$3:$I$102,7,FALSE),main!$K$26:$Q$29,5,FALSE)),1,0)</f>
        <v>0</v>
      </c>
      <c r="CS240">
        <f>IF(AND(VLOOKUP(CS$1,main!$A$3:$H$102,7,FALSE)=main!$G$105,VLOOKUP(CS$1,main!$A$3:$H$102,5,FALSE)-VLOOKUP($A240,main!$A$3:$H$102,6,FALSE)&gt;=main!$D$103+VLOOKUP(VLOOKUP(CS$1,main!$A$3:$I$102,7,FALSE),main!$K$26:$Q$29,5,FALSE)),1,0)</f>
        <v>0</v>
      </c>
      <c r="CT240">
        <f>IF(AND(VLOOKUP(CT$1,main!$A$3:$H$102,7,FALSE)=main!$G$105,VLOOKUP(CT$1,main!$A$3:$H$102,5,FALSE)-VLOOKUP($A240,main!$A$3:$H$102,6,FALSE)&gt;=main!$D$103+VLOOKUP(VLOOKUP(CT$1,main!$A$3:$I$102,7,FALSE),main!$K$26:$Q$29,5,FALSE)),1,0)</f>
        <v>0</v>
      </c>
      <c r="CU240">
        <f>IF(AND(VLOOKUP(CU$1,main!$A$3:$H$102,7,FALSE)=main!$G$105,VLOOKUP(CU$1,main!$A$3:$H$102,5,FALSE)-VLOOKUP($A240,main!$A$3:$H$102,6,FALSE)&gt;=main!$D$103+VLOOKUP(VLOOKUP(CU$1,main!$A$3:$I$102,7,FALSE),main!$K$26:$Q$29,5,FALSE)),1,0)</f>
        <v>0</v>
      </c>
      <c r="CV240">
        <f>IF(AND(VLOOKUP(CV$1,main!$A$3:$H$102,7,FALSE)=main!$G$105,VLOOKUP(CV$1,main!$A$3:$H$102,5,FALSE)-VLOOKUP($A240,main!$A$3:$H$102,6,FALSE)&gt;=main!$D$103+VLOOKUP(VLOOKUP(CV$1,main!$A$3:$I$102,7,FALSE),main!$K$26:$Q$29,5,FALSE)),1,0)</f>
        <v>0</v>
      </c>
      <c r="CW240">
        <f>IF(AND(VLOOKUP(CW$1,main!$A$3:$H$102,7,FALSE)=main!$G$105,VLOOKUP(CW$1,main!$A$3:$H$102,5,FALSE)-VLOOKUP($A240,main!$A$3:$H$102,6,FALSE)&gt;=main!$D$103+VLOOKUP(VLOOKUP(CW$1,main!$A$3:$I$102,7,FALSE),main!$K$26:$Q$29,5,FALSE)),1,0)</f>
        <v>0</v>
      </c>
      <c r="CX240">
        <f>IF(AND(VLOOKUP(CX$1,main!$A$3:$H$102,7,FALSE)=main!$G$105,VLOOKUP(CX$1,main!$A$3:$H$102,5,FALSE)-VLOOKUP($A240,main!$A$3:$H$102,6,FALSE)&gt;=main!$D$103+VLOOKUP(VLOOKUP(CX$1,main!$A$3:$I$102,7,FALSE),main!$K$26:$Q$29,5,FALSE)),1,0)</f>
        <v>0</v>
      </c>
    </row>
    <row r="241" spans="1:102" x14ac:dyDescent="0.25">
      <c r="A241" s="1">
        <v>37</v>
      </c>
      <c r="B241">
        <v>0</v>
      </c>
      <c r="C241">
        <f>IF(AND(VLOOKUP(C$1,main!$A$3:$H$102,7,FALSE)=main!$G$105,VLOOKUP(C$1,main!$A$3:$H$102,5,FALSE)-VLOOKUP($A241,main!$A$3:$H$102,6,FALSE)&gt;=main!$D$103+VLOOKUP(VLOOKUP(C$1,main!$A$3:$I$102,7,FALSE),main!$K$26:$Q$29,5,FALSE)),1,0)</f>
        <v>0</v>
      </c>
      <c r="D241">
        <f>IF(AND(VLOOKUP(D$1,main!$A$3:$H$102,7,FALSE)=main!$G$105,VLOOKUP(D$1,main!$A$3:$H$102,5,FALSE)-VLOOKUP($A241,main!$A$3:$H$102,6,FALSE)&gt;=main!$D$103+VLOOKUP(VLOOKUP(D$1,main!$A$3:$I$102,7,FALSE),main!$K$26:$Q$29,5,FALSE)),1,0)</f>
        <v>0</v>
      </c>
      <c r="E241">
        <f>IF(AND(VLOOKUP(E$1,main!$A$3:$H$102,7,FALSE)=main!$G$105,VLOOKUP(E$1,main!$A$3:$H$102,5,FALSE)-VLOOKUP($A241,main!$A$3:$H$102,6,FALSE)&gt;=main!$D$103+VLOOKUP(VLOOKUP(E$1,main!$A$3:$I$102,7,FALSE),main!$K$26:$Q$29,5,FALSE)),1,0)</f>
        <v>0</v>
      </c>
      <c r="F241">
        <f>IF(AND(VLOOKUP(F$1,main!$A$3:$H$102,7,FALSE)=main!$G$105,VLOOKUP(F$1,main!$A$3:$H$102,5,FALSE)-VLOOKUP($A241,main!$A$3:$H$102,6,FALSE)&gt;=main!$D$103+VLOOKUP(VLOOKUP(F$1,main!$A$3:$I$102,7,FALSE),main!$K$26:$Q$29,5,FALSE)),1,0)</f>
        <v>0</v>
      </c>
      <c r="G241">
        <f>IF(AND(VLOOKUP(G$1,main!$A$3:$H$102,7,FALSE)=main!$G$105,VLOOKUP(G$1,main!$A$3:$H$102,5,FALSE)-VLOOKUP($A241,main!$A$3:$H$102,6,FALSE)&gt;=main!$D$103+VLOOKUP(VLOOKUP(G$1,main!$A$3:$I$102,7,FALSE),main!$K$26:$Q$29,5,FALSE)),1,0)</f>
        <v>0</v>
      </c>
      <c r="H241">
        <f>IF(AND(VLOOKUP(H$1,main!$A$3:$H$102,7,FALSE)=main!$G$105,VLOOKUP(H$1,main!$A$3:$H$102,5,FALSE)-VLOOKUP($A241,main!$A$3:$H$102,6,FALSE)&gt;=main!$D$103+VLOOKUP(VLOOKUP(H$1,main!$A$3:$I$102,7,FALSE),main!$K$26:$Q$29,5,FALSE)),1,0)</f>
        <v>0</v>
      </c>
      <c r="I241">
        <f>IF(AND(VLOOKUP(I$1,main!$A$3:$H$102,7,FALSE)=main!$G$105,VLOOKUP(I$1,main!$A$3:$H$102,5,FALSE)-VLOOKUP($A241,main!$A$3:$H$102,6,FALSE)&gt;=main!$D$103+VLOOKUP(VLOOKUP(I$1,main!$A$3:$I$102,7,FALSE),main!$K$26:$Q$29,5,FALSE)),1,0)</f>
        <v>0</v>
      </c>
      <c r="J241">
        <f>IF(AND(VLOOKUP(J$1,main!$A$3:$H$102,7,FALSE)=main!$G$105,VLOOKUP(J$1,main!$A$3:$H$102,5,FALSE)-VLOOKUP($A241,main!$A$3:$H$102,6,FALSE)&gt;=main!$D$103+VLOOKUP(VLOOKUP(J$1,main!$A$3:$I$102,7,FALSE),main!$K$26:$Q$29,5,FALSE)),1,0)</f>
        <v>0</v>
      </c>
      <c r="K241">
        <f>IF(AND(VLOOKUP(K$1,main!$A$3:$H$102,7,FALSE)=main!$G$105,VLOOKUP(K$1,main!$A$3:$H$102,5,FALSE)-VLOOKUP($A241,main!$A$3:$H$102,6,FALSE)&gt;=main!$D$103+VLOOKUP(VLOOKUP(K$1,main!$A$3:$I$102,7,FALSE),main!$K$26:$Q$29,5,FALSE)),1,0)</f>
        <v>0</v>
      </c>
      <c r="L241">
        <f>IF(AND(VLOOKUP(L$1,main!$A$3:$H$102,7,FALSE)=main!$G$105,VLOOKUP(L$1,main!$A$3:$H$102,5,FALSE)-VLOOKUP($A241,main!$A$3:$H$102,6,FALSE)&gt;=main!$D$103+VLOOKUP(VLOOKUP(L$1,main!$A$3:$I$102,7,FALSE),main!$K$26:$Q$29,5,FALSE)),1,0)</f>
        <v>0</v>
      </c>
      <c r="M241">
        <f>IF(AND(VLOOKUP(M$1,main!$A$3:$H$102,7,FALSE)=main!$G$105,VLOOKUP(M$1,main!$A$3:$H$102,5,FALSE)-VLOOKUP($A241,main!$A$3:$H$102,6,FALSE)&gt;=main!$D$103+VLOOKUP(VLOOKUP(M$1,main!$A$3:$I$102,7,FALSE),main!$K$26:$Q$29,5,FALSE)),1,0)</f>
        <v>0</v>
      </c>
      <c r="N241">
        <f>IF(AND(VLOOKUP(N$1,main!$A$3:$H$102,7,FALSE)=main!$G$105,VLOOKUP(N$1,main!$A$3:$H$102,5,FALSE)-VLOOKUP($A241,main!$A$3:$H$102,6,FALSE)&gt;=main!$D$103+VLOOKUP(VLOOKUP(N$1,main!$A$3:$I$102,7,FALSE),main!$K$26:$Q$29,5,FALSE)),1,0)</f>
        <v>0</v>
      </c>
      <c r="O241">
        <f>IF(AND(VLOOKUP(O$1,main!$A$3:$H$102,7,FALSE)=main!$G$105,VLOOKUP(O$1,main!$A$3:$H$102,5,FALSE)-VLOOKUP($A241,main!$A$3:$H$102,6,FALSE)&gt;=main!$D$103+VLOOKUP(VLOOKUP(O$1,main!$A$3:$I$102,7,FALSE),main!$K$26:$Q$29,5,FALSE)),1,0)</f>
        <v>0</v>
      </c>
      <c r="P241">
        <f>IF(AND(VLOOKUP(P$1,main!$A$3:$H$102,7,FALSE)=main!$G$105,VLOOKUP(P$1,main!$A$3:$H$102,5,FALSE)-VLOOKUP($A241,main!$A$3:$H$102,6,FALSE)&gt;=main!$D$103+VLOOKUP(VLOOKUP(P$1,main!$A$3:$I$102,7,FALSE),main!$K$26:$Q$29,5,FALSE)),1,0)</f>
        <v>0</v>
      </c>
      <c r="Q241">
        <f>IF(AND(VLOOKUP(Q$1,main!$A$3:$H$102,7,FALSE)=main!$G$105,VLOOKUP(Q$1,main!$A$3:$H$102,5,FALSE)-VLOOKUP($A241,main!$A$3:$H$102,6,FALSE)&gt;=main!$D$103+VLOOKUP(VLOOKUP(Q$1,main!$A$3:$I$102,7,FALSE),main!$K$26:$Q$29,5,FALSE)),1,0)</f>
        <v>0</v>
      </c>
      <c r="R241">
        <f>IF(AND(VLOOKUP(R$1,main!$A$3:$H$102,7,FALSE)=main!$G$105,VLOOKUP(R$1,main!$A$3:$H$102,5,FALSE)-VLOOKUP($A241,main!$A$3:$H$102,6,FALSE)&gt;=main!$D$103+VLOOKUP(VLOOKUP(R$1,main!$A$3:$I$102,7,FALSE),main!$K$26:$Q$29,5,FALSE)),1,0)</f>
        <v>0</v>
      </c>
      <c r="S241">
        <f>IF(AND(VLOOKUP(S$1,main!$A$3:$H$102,7,FALSE)=main!$G$105,VLOOKUP(S$1,main!$A$3:$H$102,5,FALSE)-VLOOKUP($A241,main!$A$3:$H$102,6,FALSE)&gt;=main!$D$103+VLOOKUP(VLOOKUP(S$1,main!$A$3:$I$102,7,FALSE),main!$K$26:$Q$29,5,FALSE)),1,0)</f>
        <v>0</v>
      </c>
      <c r="T241">
        <f>IF(AND(VLOOKUP(T$1,main!$A$3:$H$102,7,FALSE)=main!$G$105,VLOOKUP(T$1,main!$A$3:$H$102,5,FALSE)-VLOOKUP($A241,main!$A$3:$H$102,6,FALSE)&gt;=main!$D$103+VLOOKUP(VLOOKUP(T$1,main!$A$3:$I$102,7,FALSE),main!$K$26:$Q$29,5,FALSE)),1,0)</f>
        <v>0</v>
      </c>
      <c r="U241">
        <f>IF(AND(VLOOKUP(U$1,main!$A$3:$H$102,7,FALSE)=main!$G$105,VLOOKUP(U$1,main!$A$3:$H$102,5,FALSE)-VLOOKUP($A241,main!$A$3:$H$102,6,FALSE)&gt;=main!$D$103+VLOOKUP(VLOOKUP(U$1,main!$A$3:$I$102,7,FALSE),main!$K$26:$Q$29,5,FALSE)),1,0)</f>
        <v>0</v>
      </c>
      <c r="V241">
        <f>IF(AND(VLOOKUP(V$1,main!$A$3:$H$102,7,FALSE)=main!$G$105,VLOOKUP(V$1,main!$A$3:$H$102,5,FALSE)-VLOOKUP($A241,main!$A$3:$H$102,6,FALSE)&gt;=main!$D$103+VLOOKUP(VLOOKUP(V$1,main!$A$3:$I$102,7,FALSE),main!$K$26:$Q$29,5,FALSE)),1,0)</f>
        <v>0</v>
      </c>
      <c r="W241">
        <f>IF(AND(VLOOKUP(W$1,main!$A$3:$H$102,7,FALSE)=main!$G$105,VLOOKUP(W$1,main!$A$3:$H$102,5,FALSE)-VLOOKUP($A241,main!$A$3:$H$102,6,FALSE)&gt;=main!$D$103+VLOOKUP(VLOOKUP(W$1,main!$A$3:$I$102,7,FALSE),main!$K$26:$Q$29,5,FALSE)),1,0)</f>
        <v>0</v>
      </c>
      <c r="X241">
        <f>IF(AND(VLOOKUP(X$1,main!$A$3:$H$102,7,FALSE)=main!$G$105,VLOOKUP(X$1,main!$A$3:$H$102,5,FALSE)-VLOOKUP($A241,main!$A$3:$H$102,6,FALSE)&gt;=main!$D$103+VLOOKUP(VLOOKUP(X$1,main!$A$3:$I$102,7,FALSE),main!$K$26:$Q$29,5,FALSE)),1,0)</f>
        <v>0</v>
      </c>
      <c r="Y241">
        <f>IF(AND(VLOOKUP(Y$1,main!$A$3:$H$102,7,FALSE)=main!$G$105,VLOOKUP(Y$1,main!$A$3:$H$102,5,FALSE)-VLOOKUP($A241,main!$A$3:$H$102,6,FALSE)&gt;=main!$D$103+VLOOKUP(VLOOKUP(Y$1,main!$A$3:$I$102,7,FALSE),main!$K$26:$Q$29,5,FALSE)),1,0)</f>
        <v>0</v>
      </c>
      <c r="Z241">
        <f>IF(AND(VLOOKUP(Z$1,main!$A$3:$H$102,7,FALSE)=main!$G$105,VLOOKUP(Z$1,main!$A$3:$H$102,5,FALSE)-VLOOKUP($A241,main!$A$3:$H$102,6,FALSE)&gt;=main!$D$103+VLOOKUP(VLOOKUP(Z$1,main!$A$3:$I$102,7,FALSE),main!$K$26:$Q$29,5,FALSE)),1,0)</f>
        <v>0</v>
      </c>
      <c r="AA241">
        <f>IF(AND(VLOOKUP(AA$1,main!$A$3:$H$102,7,FALSE)=main!$G$105,VLOOKUP(AA$1,main!$A$3:$H$102,5,FALSE)-VLOOKUP($A241,main!$A$3:$H$102,6,FALSE)&gt;=main!$D$103+VLOOKUP(VLOOKUP(AA$1,main!$A$3:$I$102,7,FALSE),main!$K$26:$Q$29,5,FALSE)),1,0)</f>
        <v>0</v>
      </c>
      <c r="AB241">
        <f>IF(AND(VLOOKUP(AB$1,main!$A$3:$H$102,7,FALSE)=main!$G$105,VLOOKUP(AB$1,main!$A$3:$H$102,5,FALSE)-VLOOKUP($A241,main!$A$3:$H$102,6,FALSE)&gt;=main!$D$103+VLOOKUP(VLOOKUP(AB$1,main!$A$3:$I$102,7,FALSE),main!$K$26:$Q$29,5,FALSE)),1,0)</f>
        <v>0</v>
      </c>
      <c r="AC241">
        <f>IF(AND(VLOOKUP(AC$1,main!$A$3:$H$102,7,FALSE)=main!$G$105,VLOOKUP(AC$1,main!$A$3:$H$102,5,FALSE)-VLOOKUP($A241,main!$A$3:$H$102,6,FALSE)&gt;=main!$D$103+VLOOKUP(VLOOKUP(AC$1,main!$A$3:$I$102,7,FALSE),main!$K$26:$Q$29,5,FALSE)),1,0)</f>
        <v>0</v>
      </c>
      <c r="AD241">
        <f>IF(AND(VLOOKUP(AD$1,main!$A$3:$H$102,7,FALSE)=main!$G$105,VLOOKUP(AD$1,main!$A$3:$H$102,5,FALSE)-VLOOKUP($A241,main!$A$3:$H$102,6,FALSE)&gt;=main!$D$103+VLOOKUP(VLOOKUP(AD$1,main!$A$3:$I$102,7,FALSE),main!$K$26:$Q$29,5,FALSE)),1,0)</f>
        <v>0</v>
      </c>
      <c r="AE241">
        <f>IF(AND(VLOOKUP(AE$1,main!$A$3:$H$102,7,FALSE)=main!$G$105,VLOOKUP(AE$1,main!$A$3:$H$102,5,FALSE)-VLOOKUP($A241,main!$A$3:$H$102,6,FALSE)&gt;=main!$D$103+VLOOKUP(VLOOKUP(AE$1,main!$A$3:$I$102,7,FALSE),main!$K$26:$Q$29,5,FALSE)),1,0)</f>
        <v>0</v>
      </c>
      <c r="AF241">
        <f>IF(AND(VLOOKUP(AF$1,main!$A$3:$H$102,7,FALSE)=main!$G$105,VLOOKUP(AF$1,main!$A$3:$H$102,5,FALSE)-VLOOKUP($A241,main!$A$3:$H$102,6,FALSE)&gt;=main!$D$103+VLOOKUP(VLOOKUP(AF$1,main!$A$3:$I$102,7,FALSE),main!$K$26:$Q$29,5,FALSE)),1,0)</f>
        <v>0</v>
      </c>
      <c r="AG241">
        <f>IF(AND(VLOOKUP(AG$1,main!$A$3:$H$102,7,FALSE)=main!$G$105,VLOOKUP(AG$1,main!$A$3:$H$102,5,FALSE)-VLOOKUP($A241,main!$A$3:$H$102,6,FALSE)&gt;=main!$D$103+VLOOKUP(VLOOKUP(AG$1,main!$A$3:$I$102,7,FALSE),main!$K$26:$Q$29,5,FALSE)),1,0)</f>
        <v>0</v>
      </c>
      <c r="AH241">
        <f>IF(AND(VLOOKUP(AH$1,main!$A$3:$H$102,7,FALSE)=main!$G$105,VLOOKUP(AH$1,main!$A$3:$H$102,5,FALSE)-VLOOKUP($A241,main!$A$3:$H$102,6,FALSE)&gt;=main!$D$103+VLOOKUP(VLOOKUP(AH$1,main!$A$3:$I$102,7,FALSE),main!$K$26:$Q$29,5,FALSE)),1,0)</f>
        <v>0</v>
      </c>
      <c r="AI241">
        <f>IF(AND(VLOOKUP(AI$1,main!$A$3:$H$102,7,FALSE)=main!$G$105,VLOOKUP(AI$1,main!$A$3:$H$102,5,FALSE)-VLOOKUP($A241,main!$A$3:$H$102,6,FALSE)&gt;=main!$D$103+VLOOKUP(VLOOKUP(AI$1,main!$A$3:$I$102,7,FALSE),main!$K$26:$Q$29,5,FALSE)),1,0)</f>
        <v>0</v>
      </c>
      <c r="AJ241">
        <f>IF(AND(VLOOKUP(AJ$1,main!$A$3:$H$102,7,FALSE)=main!$G$105,VLOOKUP(AJ$1,main!$A$3:$H$102,5,FALSE)-VLOOKUP($A241,main!$A$3:$H$102,6,FALSE)&gt;=main!$D$103+VLOOKUP(VLOOKUP(AJ$1,main!$A$3:$I$102,7,FALSE),main!$K$26:$Q$29,5,FALSE)),1,0)</f>
        <v>0</v>
      </c>
      <c r="AK241">
        <f>IF(AND(VLOOKUP(AK$1,main!$A$3:$H$102,7,FALSE)=main!$G$105,VLOOKUP(AK$1,main!$A$3:$H$102,5,FALSE)-VLOOKUP($A241,main!$A$3:$H$102,6,FALSE)&gt;=main!$D$103+VLOOKUP(VLOOKUP(AK$1,main!$A$3:$I$102,7,FALSE),main!$K$26:$Q$29,5,FALSE)),1,0)</f>
        <v>0</v>
      </c>
      <c r="AL241">
        <f>IF(AND(VLOOKUP(AL$1,main!$A$3:$H$102,7,FALSE)=main!$G$105,VLOOKUP(AL$1,main!$A$3:$H$102,5,FALSE)-VLOOKUP($A241,main!$A$3:$H$102,6,FALSE)&gt;=main!$D$103+VLOOKUP(VLOOKUP(AL$1,main!$A$3:$I$102,7,FALSE),main!$K$26:$Q$29,5,FALSE)),1,0)</f>
        <v>0</v>
      </c>
      <c r="AM241">
        <f>IF(AND(VLOOKUP(AM$1,main!$A$3:$H$102,7,FALSE)=main!$G$105,VLOOKUP(AM$1,main!$A$3:$H$102,5,FALSE)-VLOOKUP($A241,main!$A$3:$H$102,6,FALSE)&gt;=main!$D$103+VLOOKUP(VLOOKUP(AM$1,main!$A$3:$I$102,7,FALSE),main!$K$26:$Q$29,5,FALSE)),1,0)</f>
        <v>0</v>
      </c>
      <c r="AN241">
        <f>IF(AND(VLOOKUP(AN$1,main!$A$3:$H$102,7,FALSE)=main!$G$105,VLOOKUP(AN$1,main!$A$3:$H$102,5,FALSE)-VLOOKUP($A241,main!$A$3:$H$102,6,FALSE)&gt;=main!$D$103+VLOOKUP(VLOOKUP(AN$1,main!$A$3:$I$102,7,FALSE),main!$K$26:$Q$29,5,FALSE)),1,0)</f>
        <v>0</v>
      </c>
      <c r="AO241">
        <f>IF(AND(VLOOKUP(AO$1,main!$A$3:$H$102,7,FALSE)=main!$G$105,VLOOKUP(AO$1,main!$A$3:$H$102,5,FALSE)-VLOOKUP($A241,main!$A$3:$H$102,6,FALSE)&gt;=main!$D$103+VLOOKUP(VLOOKUP(AO$1,main!$A$3:$I$102,7,FALSE),main!$K$26:$Q$29,5,FALSE)),1,0)</f>
        <v>0</v>
      </c>
      <c r="AP241">
        <f>IF(AND(VLOOKUP(AP$1,main!$A$3:$H$102,7,FALSE)=main!$G$105,VLOOKUP(AP$1,main!$A$3:$H$102,5,FALSE)-VLOOKUP($A241,main!$A$3:$H$102,6,FALSE)&gt;=main!$D$103+VLOOKUP(VLOOKUP(AP$1,main!$A$3:$I$102,7,FALSE),main!$K$26:$Q$29,5,FALSE)),1,0)</f>
        <v>0</v>
      </c>
      <c r="AQ241">
        <f>IF(AND(VLOOKUP(AQ$1,main!$A$3:$H$102,7,FALSE)=main!$G$105,VLOOKUP(AQ$1,main!$A$3:$H$102,5,FALSE)-VLOOKUP($A241,main!$A$3:$H$102,6,FALSE)&gt;=main!$D$103+VLOOKUP(VLOOKUP(AQ$1,main!$A$3:$I$102,7,FALSE),main!$K$26:$Q$29,5,FALSE)),1,0)</f>
        <v>0</v>
      </c>
      <c r="AR241">
        <f>IF(AND(VLOOKUP(AR$1,main!$A$3:$H$102,7,FALSE)=main!$G$105,VLOOKUP(AR$1,main!$A$3:$H$102,5,FALSE)-VLOOKUP($A241,main!$A$3:$H$102,6,FALSE)&gt;=main!$D$103+VLOOKUP(VLOOKUP(AR$1,main!$A$3:$I$102,7,FALSE),main!$K$26:$Q$29,5,FALSE)),1,0)</f>
        <v>0</v>
      </c>
      <c r="AS241">
        <f>IF(AND(VLOOKUP(AS$1,main!$A$3:$H$102,7,FALSE)=main!$G$105,VLOOKUP(AS$1,main!$A$3:$H$102,5,FALSE)-VLOOKUP($A241,main!$A$3:$H$102,6,FALSE)&gt;=main!$D$103+VLOOKUP(VLOOKUP(AS$1,main!$A$3:$I$102,7,FALSE),main!$K$26:$Q$29,5,FALSE)),1,0)</f>
        <v>0</v>
      </c>
      <c r="AT241">
        <f>IF(AND(VLOOKUP(AT$1,main!$A$3:$H$102,7,FALSE)=main!$G$105,VLOOKUP(AT$1,main!$A$3:$H$102,5,FALSE)-VLOOKUP($A241,main!$A$3:$H$102,6,FALSE)&gt;=main!$D$103+VLOOKUP(VLOOKUP(AT$1,main!$A$3:$I$102,7,FALSE),main!$K$26:$Q$29,5,FALSE)),1,0)</f>
        <v>0</v>
      </c>
      <c r="AU241">
        <f>IF(AND(VLOOKUP(AU$1,main!$A$3:$H$102,7,FALSE)=main!$G$105,VLOOKUP(AU$1,main!$A$3:$H$102,5,FALSE)-VLOOKUP($A241,main!$A$3:$H$102,6,FALSE)&gt;=main!$D$103+VLOOKUP(VLOOKUP(AU$1,main!$A$3:$I$102,7,FALSE),main!$K$26:$Q$29,5,FALSE)),1,0)</f>
        <v>0</v>
      </c>
      <c r="AV241">
        <f>IF(AND(VLOOKUP(AV$1,main!$A$3:$H$102,7,FALSE)=main!$G$105,VLOOKUP(AV$1,main!$A$3:$H$102,5,FALSE)-VLOOKUP($A241,main!$A$3:$H$102,6,FALSE)&gt;=main!$D$103+VLOOKUP(VLOOKUP(AV$1,main!$A$3:$I$102,7,FALSE),main!$K$26:$Q$29,5,FALSE)),1,0)</f>
        <v>0</v>
      </c>
      <c r="AW241">
        <f>IF(AND(VLOOKUP(AW$1,main!$A$3:$H$102,7,FALSE)=main!$G$105,VLOOKUP(AW$1,main!$A$3:$H$102,5,FALSE)-VLOOKUP($A241,main!$A$3:$H$102,6,FALSE)&gt;=main!$D$103+VLOOKUP(VLOOKUP(AW$1,main!$A$3:$I$102,7,FALSE),main!$K$26:$Q$29,5,FALSE)),1,0)</f>
        <v>0</v>
      </c>
      <c r="AX241">
        <f>IF(AND(VLOOKUP(AX$1,main!$A$3:$H$102,7,FALSE)=main!$G$105,VLOOKUP(AX$1,main!$A$3:$H$102,5,FALSE)-VLOOKUP($A241,main!$A$3:$H$102,6,FALSE)&gt;=main!$D$103+VLOOKUP(VLOOKUP(AX$1,main!$A$3:$I$102,7,FALSE),main!$K$26:$Q$29,5,FALSE)),1,0)</f>
        <v>0</v>
      </c>
      <c r="AY241">
        <f>IF(AND(VLOOKUP(AY$1,main!$A$3:$H$102,7,FALSE)=main!$G$105,VLOOKUP(AY$1,main!$A$3:$H$102,5,FALSE)-VLOOKUP($A241,main!$A$3:$H$102,6,FALSE)&gt;=main!$D$103+VLOOKUP(VLOOKUP(AY$1,main!$A$3:$I$102,7,FALSE),main!$K$26:$Q$29,5,FALSE)),1,0)</f>
        <v>0</v>
      </c>
      <c r="AZ241">
        <f>IF(AND(VLOOKUP(AZ$1,main!$A$3:$H$102,7,FALSE)=main!$G$105,VLOOKUP(AZ$1,main!$A$3:$H$102,5,FALSE)-VLOOKUP($A241,main!$A$3:$H$102,6,FALSE)&gt;=main!$D$103+VLOOKUP(VLOOKUP(AZ$1,main!$A$3:$I$102,7,FALSE),main!$K$26:$Q$29,5,FALSE)),1,0)</f>
        <v>0</v>
      </c>
      <c r="BA241">
        <f>IF(AND(VLOOKUP(BA$1,main!$A$3:$H$102,7,FALSE)=main!$G$105,VLOOKUP(BA$1,main!$A$3:$H$102,5,FALSE)-VLOOKUP($A241,main!$A$3:$H$102,6,FALSE)&gt;=main!$D$103+VLOOKUP(VLOOKUP(BA$1,main!$A$3:$I$102,7,FALSE),main!$K$26:$Q$29,5,FALSE)),1,0)</f>
        <v>0</v>
      </c>
      <c r="BB241">
        <f>IF(AND(VLOOKUP(BB$1,main!$A$3:$H$102,7,FALSE)=main!$G$105,VLOOKUP(BB$1,main!$A$3:$H$102,5,FALSE)-VLOOKUP($A241,main!$A$3:$H$102,6,FALSE)&gt;=main!$D$103+VLOOKUP(VLOOKUP(BB$1,main!$A$3:$I$102,7,FALSE),main!$K$26:$Q$29,5,FALSE)),1,0)</f>
        <v>0</v>
      </c>
      <c r="BC241">
        <f>IF(AND(VLOOKUP(BC$1,main!$A$3:$H$102,7,FALSE)=main!$G$105,VLOOKUP(BC$1,main!$A$3:$H$102,5,FALSE)-VLOOKUP($A241,main!$A$3:$H$102,6,FALSE)&gt;=main!$D$103+VLOOKUP(VLOOKUP(BC$1,main!$A$3:$I$102,7,FALSE),main!$K$26:$Q$29,5,FALSE)),1,0)</f>
        <v>0</v>
      </c>
      <c r="BD241">
        <f>IF(AND(VLOOKUP(BD$1,main!$A$3:$H$102,7,FALSE)=main!$G$105,VLOOKUP(BD$1,main!$A$3:$H$102,5,FALSE)-VLOOKUP($A241,main!$A$3:$H$102,6,FALSE)&gt;=main!$D$103+VLOOKUP(VLOOKUP(BD$1,main!$A$3:$I$102,7,FALSE),main!$K$26:$Q$29,5,FALSE)),1,0)</f>
        <v>0</v>
      </c>
      <c r="BE241">
        <f>IF(AND(VLOOKUP(BE$1,main!$A$3:$H$102,7,FALSE)=main!$G$105,VLOOKUP(BE$1,main!$A$3:$H$102,5,FALSE)-VLOOKUP($A241,main!$A$3:$H$102,6,FALSE)&gt;=main!$D$103+VLOOKUP(VLOOKUP(BE$1,main!$A$3:$I$102,7,FALSE),main!$K$26:$Q$29,5,FALSE)),1,0)</f>
        <v>0</v>
      </c>
      <c r="BF241">
        <f>IF(AND(VLOOKUP(BF$1,main!$A$3:$H$102,7,FALSE)=main!$G$105,VLOOKUP(BF$1,main!$A$3:$H$102,5,FALSE)-VLOOKUP($A241,main!$A$3:$H$102,6,FALSE)&gt;=main!$D$103+VLOOKUP(VLOOKUP(BF$1,main!$A$3:$I$102,7,FALSE),main!$K$26:$Q$29,5,FALSE)),1,0)</f>
        <v>0</v>
      </c>
      <c r="BG241">
        <f>IF(AND(VLOOKUP(BG$1,main!$A$3:$H$102,7,FALSE)=main!$G$105,VLOOKUP(BG$1,main!$A$3:$H$102,5,FALSE)-VLOOKUP($A241,main!$A$3:$H$102,6,FALSE)&gt;=main!$D$103+VLOOKUP(VLOOKUP(BG$1,main!$A$3:$I$102,7,FALSE),main!$K$26:$Q$29,5,FALSE)),1,0)</f>
        <v>0</v>
      </c>
      <c r="BH241">
        <f>IF(AND(VLOOKUP(BH$1,main!$A$3:$H$102,7,FALSE)=main!$G$105,VLOOKUP(BH$1,main!$A$3:$H$102,5,FALSE)-VLOOKUP($A241,main!$A$3:$H$102,6,FALSE)&gt;=main!$D$103+VLOOKUP(VLOOKUP(BH$1,main!$A$3:$I$102,7,FALSE),main!$K$26:$Q$29,5,FALSE)),1,0)</f>
        <v>0</v>
      </c>
      <c r="BI241">
        <f>IF(AND(VLOOKUP(BI$1,main!$A$3:$H$102,7,FALSE)=main!$G$105,VLOOKUP(BI$1,main!$A$3:$H$102,5,FALSE)-VLOOKUP($A241,main!$A$3:$H$102,6,FALSE)&gt;=main!$D$103+VLOOKUP(VLOOKUP(BI$1,main!$A$3:$I$102,7,FALSE),main!$K$26:$Q$29,5,FALSE)),1,0)</f>
        <v>0</v>
      </c>
      <c r="BJ241">
        <f>IF(AND(VLOOKUP(BJ$1,main!$A$3:$H$102,7,FALSE)=main!$G$105,VLOOKUP(BJ$1,main!$A$3:$H$102,5,FALSE)-VLOOKUP($A241,main!$A$3:$H$102,6,FALSE)&gt;=main!$D$103+VLOOKUP(VLOOKUP(BJ$1,main!$A$3:$I$102,7,FALSE),main!$K$26:$Q$29,5,FALSE)),1,0)</f>
        <v>0</v>
      </c>
      <c r="BK241">
        <f>IF(AND(VLOOKUP(BK$1,main!$A$3:$H$102,7,FALSE)=main!$G$105,VLOOKUP(BK$1,main!$A$3:$H$102,5,FALSE)-VLOOKUP($A241,main!$A$3:$H$102,6,FALSE)&gt;=main!$D$103+VLOOKUP(VLOOKUP(BK$1,main!$A$3:$I$102,7,FALSE),main!$K$26:$Q$29,5,FALSE)),1,0)</f>
        <v>0</v>
      </c>
      <c r="BL241">
        <f>IF(AND(VLOOKUP(BL$1,main!$A$3:$H$102,7,FALSE)=main!$G$105,VLOOKUP(BL$1,main!$A$3:$H$102,5,FALSE)-VLOOKUP($A241,main!$A$3:$H$102,6,FALSE)&gt;=main!$D$103+VLOOKUP(VLOOKUP(BL$1,main!$A$3:$I$102,7,FALSE),main!$K$26:$Q$29,5,FALSE)),1,0)</f>
        <v>0</v>
      </c>
      <c r="BM241">
        <f>IF(AND(VLOOKUP(BM$1,main!$A$3:$H$102,7,FALSE)=main!$G$105,VLOOKUP(BM$1,main!$A$3:$H$102,5,FALSE)-VLOOKUP($A241,main!$A$3:$H$102,6,FALSE)&gt;=main!$D$103+VLOOKUP(VLOOKUP(BM$1,main!$A$3:$I$102,7,FALSE),main!$K$26:$Q$29,5,FALSE)),1,0)</f>
        <v>0</v>
      </c>
      <c r="BN241">
        <f>IF(AND(VLOOKUP(BN$1,main!$A$3:$H$102,7,FALSE)=main!$G$105,VLOOKUP(BN$1,main!$A$3:$H$102,5,FALSE)-VLOOKUP($A241,main!$A$3:$H$102,6,FALSE)&gt;=main!$D$103+VLOOKUP(VLOOKUP(BN$1,main!$A$3:$I$102,7,FALSE),main!$K$26:$Q$29,5,FALSE)),1,0)</f>
        <v>0</v>
      </c>
      <c r="BO241">
        <f>IF(AND(VLOOKUP(BO$1,main!$A$3:$H$102,7,FALSE)=main!$G$105,VLOOKUP(BO$1,main!$A$3:$H$102,5,FALSE)-VLOOKUP($A241,main!$A$3:$H$102,6,FALSE)&gt;=main!$D$103+VLOOKUP(VLOOKUP(BO$1,main!$A$3:$I$102,7,FALSE),main!$K$26:$Q$29,5,FALSE)),1,0)</f>
        <v>0</v>
      </c>
      <c r="BP241">
        <f>IF(AND(VLOOKUP(BP$1,main!$A$3:$H$102,7,FALSE)=main!$G$105,VLOOKUP(BP$1,main!$A$3:$H$102,5,FALSE)-VLOOKUP($A241,main!$A$3:$H$102,6,FALSE)&gt;=main!$D$103+VLOOKUP(VLOOKUP(BP$1,main!$A$3:$I$102,7,FALSE),main!$K$26:$Q$29,5,FALSE)),1,0)</f>
        <v>0</v>
      </c>
      <c r="BQ241">
        <f>IF(AND(VLOOKUP(BQ$1,main!$A$3:$H$102,7,FALSE)=main!$G$105,VLOOKUP(BQ$1,main!$A$3:$H$102,5,FALSE)-VLOOKUP($A241,main!$A$3:$H$102,6,FALSE)&gt;=main!$D$103+VLOOKUP(VLOOKUP(BQ$1,main!$A$3:$I$102,7,FALSE),main!$K$26:$Q$29,5,FALSE)),1,0)</f>
        <v>0</v>
      </c>
      <c r="BR241">
        <f>IF(AND(VLOOKUP(BR$1,main!$A$3:$H$102,7,FALSE)=main!$G$105,VLOOKUP(BR$1,main!$A$3:$H$102,5,FALSE)-VLOOKUP($A241,main!$A$3:$H$102,6,FALSE)&gt;=main!$D$103+VLOOKUP(VLOOKUP(BR$1,main!$A$3:$I$102,7,FALSE),main!$K$26:$Q$29,5,FALSE)),1,0)</f>
        <v>0</v>
      </c>
      <c r="BS241">
        <f>IF(AND(VLOOKUP(BS$1,main!$A$3:$H$102,7,FALSE)=main!$G$105,VLOOKUP(BS$1,main!$A$3:$H$102,5,FALSE)-VLOOKUP($A241,main!$A$3:$H$102,6,FALSE)&gt;=main!$D$103+VLOOKUP(VLOOKUP(BS$1,main!$A$3:$I$102,7,FALSE),main!$K$26:$Q$29,5,FALSE)),1,0)</f>
        <v>0</v>
      </c>
      <c r="BT241">
        <f>IF(AND(VLOOKUP(BT$1,main!$A$3:$H$102,7,FALSE)=main!$G$105,VLOOKUP(BT$1,main!$A$3:$H$102,5,FALSE)-VLOOKUP($A241,main!$A$3:$H$102,6,FALSE)&gt;=main!$D$103+VLOOKUP(VLOOKUP(BT$1,main!$A$3:$I$102,7,FALSE),main!$K$26:$Q$29,5,FALSE)),1,0)</f>
        <v>0</v>
      </c>
      <c r="BU241">
        <f>IF(AND(VLOOKUP(BU$1,main!$A$3:$H$102,7,FALSE)=main!$G$105,VLOOKUP(BU$1,main!$A$3:$H$102,5,FALSE)-VLOOKUP($A241,main!$A$3:$H$102,6,FALSE)&gt;=main!$D$103+VLOOKUP(VLOOKUP(BU$1,main!$A$3:$I$102,7,FALSE),main!$K$26:$Q$29,5,FALSE)),1,0)</f>
        <v>0</v>
      </c>
      <c r="BV241">
        <f>IF(AND(VLOOKUP(BV$1,main!$A$3:$H$102,7,FALSE)=main!$G$105,VLOOKUP(BV$1,main!$A$3:$H$102,5,FALSE)-VLOOKUP($A241,main!$A$3:$H$102,6,FALSE)&gt;=main!$D$103+VLOOKUP(VLOOKUP(BV$1,main!$A$3:$I$102,7,FALSE),main!$K$26:$Q$29,5,FALSE)),1,0)</f>
        <v>0</v>
      </c>
      <c r="BW241">
        <f>IF(AND(VLOOKUP(BW$1,main!$A$3:$H$102,7,FALSE)=main!$G$105,VLOOKUP(BW$1,main!$A$3:$H$102,5,FALSE)-VLOOKUP($A241,main!$A$3:$H$102,6,FALSE)&gt;=main!$D$103+VLOOKUP(VLOOKUP(BW$1,main!$A$3:$I$102,7,FALSE),main!$K$26:$Q$29,5,FALSE)),1,0)</f>
        <v>0</v>
      </c>
      <c r="BX241">
        <f>IF(AND(VLOOKUP(BX$1,main!$A$3:$H$102,7,FALSE)=main!$G$105,VLOOKUP(BX$1,main!$A$3:$H$102,5,FALSE)-VLOOKUP($A241,main!$A$3:$H$102,6,FALSE)&gt;=main!$D$103+VLOOKUP(VLOOKUP(BX$1,main!$A$3:$I$102,7,FALSE),main!$K$26:$Q$29,5,FALSE)),1,0)</f>
        <v>0</v>
      </c>
      <c r="BY241">
        <f>IF(AND(VLOOKUP(BY$1,main!$A$3:$H$102,7,FALSE)=main!$G$105,VLOOKUP(BY$1,main!$A$3:$H$102,5,FALSE)-VLOOKUP($A241,main!$A$3:$H$102,6,FALSE)&gt;=main!$D$103+VLOOKUP(VLOOKUP(BY$1,main!$A$3:$I$102,7,FALSE),main!$K$26:$Q$29,5,FALSE)),1,0)</f>
        <v>0</v>
      </c>
      <c r="BZ241">
        <f>IF(AND(VLOOKUP(BZ$1,main!$A$3:$H$102,7,FALSE)=main!$G$105,VLOOKUP(BZ$1,main!$A$3:$H$102,5,FALSE)-VLOOKUP($A241,main!$A$3:$H$102,6,FALSE)&gt;=main!$D$103+VLOOKUP(VLOOKUP(BZ$1,main!$A$3:$I$102,7,FALSE),main!$K$26:$Q$29,5,FALSE)),1,0)</f>
        <v>0</v>
      </c>
      <c r="CA241">
        <f>IF(AND(VLOOKUP(CA$1,main!$A$3:$H$102,7,FALSE)=main!$G$105,VLOOKUP(CA$1,main!$A$3:$H$102,5,FALSE)-VLOOKUP($A241,main!$A$3:$H$102,6,FALSE)&gt;=main!$D$103+VLOOKUP(VLOOKUP(CA$1,main!$A$3:$I$102,7,FALSE),main!$K$26:$Q$29,5,FALSE)),1,0)</f>
        <v>0</v>
      </c>
      <c r="CB241">
        <f>IF(AND(VLOOKUP(CB$1,main!$A$3:$H$102,7,FALSE)=main!$G$105,VLOOKUP(CB$1,main!$A$3:$H$102,5,FALSE)-VLOOKUP($A241,main!$A$3:$H$102,6,FALSE)&gt;=main!$D$103+VLOOKUP(VLOOKUP(CB$1,main!$A$3:$I$102,7,FALSE),main!$K$26:$Q$29,5,FALSE)),1,0)</f>
        <v>0</v>
      </c>
      <c r="CC241">
        <f>IF(AND(VLOOKUP(CC$1,main!$A$3:$H$102,7,FALSE)=main!$G$105,VLOOKUP(CC$1,main!$A$3:$H$102,5,FALSE)-VLOOKUP($A241,main!$A$3:$H$102,6,FALSE)&gt;=main!$D$103+VLOOKUP(VLOOKUP(CC$1,main!$A$3:$I$102,7,FALSE),main!$K$26:$Q$29,5,FALSE)),1,0)</f>
        <v>0</v>
      </c>
      <c r="CD241">
        <f>IF(AND(VLOOKUP(CD$1,main!$A$3:$H$102,7,FALSE)=main!$G$105,VLOOKUP(CD$1,main!$A$3:$H$102,5,FALSE)-VLOOKUP($A241,main!$A$3:$H$102,6,FALSE)&gt;=main!$D$103+VLOOKUP(VLOOKUP(CD$1,main!$A$3:$I$102,7,FALSE),main!$K$26:$Q$29,5,FALSE)),1,0)</f>
        <v>0</v>
      </c>
      <c r="CE241">
        <f>IF(AND(VLOOKUP(CE$1,main!$A$3:$H$102,7,FALSE)=main!$G$105,VLOOKUP(CE$1,main!$A$3:$H$102,5,FALSE)-VLOOKUP($A241,main!$A$3:$H$102,6,FALSE)&gt;=main!$D$103+VLOOKUP(VLOOKUP(CE$1,main!$A$3:$I$102,7,FALSE),main!$K$26:$Q$29,5,FALSE)),1,0)</f>
        <v>0</v>
      </c>
      <c r="CF241">
        <f>IF(AND(VLOOKUP(CF$1,main!$A$3:$H$102,7,FALSE)=main!$G$105,VLOOKUP(CF$1,main!$A$3:$H$102,5,FALSE)-VLOOKUP($A241,main!$A$3:$H$102,6,FALSE)&gt;=main!$D$103+VLOOKUP(VLOOKUP(CF$1,main!$A$3:$I$102,7,FALSE),main!$K$26:$Q$29,5,FALSE)),1,0)</f>
        <v>0</v>
      </c>
      <c r="CG241">
        <f>IF(AND(VLOOKUP(CG$1,main!$A$3:$H$102,7,FALSE)=main!$G$105,VLOOKUP(CG$1,main!$A$3:$H$102,5,FALSE)-VLOOKUP($A241,main!$A$3:$H$102,6,FALSE)&gt;=main!$D$103+VLOOKUP(VLOOKUP(CG$1,main!$A$3:$I$102,7,FALSE),main!$K$26:$Q$29,5,FALSE)),1,0)</f>
        <v>0</v>
      </c>
      <c r="CH241">
        <f>IF(AND(VLOOKUP(CH$1,main!$A$3:$H$102,7,FALSE)=main!$G$105,VLOOKUP(CH$1,main!$A$3:$H$102,5,FALSE)-VLOOKUP($A241,main!$A$3:$H$102,6,FALSE)&gt;=main!$D$103+VLOOKUP(VLOOKUP(CH$1,main!$A$3:$I$102,7,FALSE),main!$K$26:$Q$29,5,FALSE)),1,0)</f>
        <v>0</v>
      </c>
      <c r="CI241">
        <f>IF(AND(VLOOKUP(CI$1,main!$A$3:$H$102,7,FALSE)=main!$G$105,VLOOKUP(CI$1,main!$A$3:$H$102,5,FALSE)-VLOOKUP($A241,main!$A$3:$H$102,6,FALSE)&gt;=main!$D$103+VLOOKUP(VLOOKUP(CI$1,main!$A$3:$I$102,7,FALSE),main!$K$26:$Q$29,5,FALSE)),1,0)</f>
        <v>0</v>
      </c>
      <c r="CJ241">
        <f>IF(AND(VLOOKUP(CJ$1,main!$A$3:$H$102,7,FALSE)=main!$G$105,VLOOKUP(CJ$1,main!$A$3:$H$102,5,FALSE)-VLOOKUP($A241,main!$A$3:$H$102,6,FALSE)&gt;=main!$D$103+VLOOKUP(VLOOKUP(CJ$1,main!$A$3:$I$102,7,FALSE),main!$K$26:$Q$29,5,FALSE)),1,0)</f>
        <v>0</v>
      </c>
      <c r="CK241">
        <f>IF(AND(VLOOKUP(CK$1,main!$A$3:$H$102,7,FALSE)=main!$G$105,VLOOKUP(CK$1,main!$A$3:$H$102,5,FALSE)-VLOOKUP($A241,main!$A$3:$H$102,6,FALSE)&gt;=main!$D$103+VLOOKUP(VLOOKUP(CK$1,main!$A$3:$I$102,7,FALSE),main!$K$26:$Q$29,5,FALSE)),1,0)</f>
        <v>0</v>
      </c>
      <c r="CL241">
        <f>IF(AND(VLOOKUP(CL$1,main!$A$3:$H$102,7,FALSE)=main!$G$105,VLOOKUP(CL$1,main!$A$3:$H$102,5,FALSE)-VLOOKUP($A241,main!$A$3:$H$102,6,FALSE)&gt;=main!$D$103+VLOOKUP(VLOOKUP(CL$1,main!$A$3:$I$102,7,FALSE),main!$K$26:$Q$29,5,FALSE)),1,0)</f>
        <v>0</v>
      </c>
      <c r="CM241">
        <f>IF(AND(VLOOKUP(CM$1,main!$A$3:$H$102,7,FALSE)=main!$G$105,VLOOKUP(CM$1,main!$A$3:$H$102,5,FALSE)-VLOOKUP($A241,main!$A$3:$H$102,6,FALSE)&gt;=main!$D$103+VLOOKUP(VLOOKUP(CM$1,main!$A$3:$I$102,7,FALSE),main!$K$26:$Q$29,5,FALSE)),1,0)</f>
        <v>0</v>
      </c>
      <c r="CN241">
        <f>IF(AND(VLOOKUP(CN$1,main!$A$3:$H$102,7,FALSE)=main!$G$105,VLOOKUP(CN$1,main!$A$3:$H$102,5,FALSE)-VLOOKUP($A241,main!$A$3:$H$102,6,FALSE)&gt;=main!$D$103+VLOOKUP(VLOOKUP(CN$1,main!$A$3:$I$102,7,FALSE),main!$K$26:$Q$29,5,FALSE)),1,0)</f>
        <v>0</v>
      </c>
      <c r="CO241">
        <f>IF(AND(VLOOKUP(CO$1,main!$A$3:$H$102,7,FALSE)=main!$G$105,VLOOKUP(CO$1,main!$A$3:$H$102,5,FALSE)-VLOOKUP($A241,main!$A$3:$H$102,6,FALSE)&gt;=main!$D$103+VLOOKUP(VLOOKUP(CO$1,main!$A$3:$I$102,7,FALSE),main!$K$26:$Q$29,5,FALSE)),1,0)</f>
        <v>0</v>
      </c>
      <c r="CP241">
        <f>IF(AND(VLOOKUP(CP$1,main!$A$3:$H$102,7,FALSE)=main!$G$105,VLOOKUP(CP$1,main!$A$3:$H$102,5,FALSE)-VLOOKUP($A241,main!$A$3:$H$102,6,FALSE)&gt;=main!$D$103+VLOOKUP(VLOOKUP(CP$1,main!$A$3:$I$102,7,FALSE),main!$K$26:$Q$29,5,FALSE)),1,0)</f>
        <v>0</v>
      </c>
      <c r="CQ241">
        <f>IF(AND(VLOOKUP(CQ$1,main!$A$3:$H$102,7,FALSE)=main!$G$105,VLOOKUP(CQ$1,main!$A$3:$H$102,5,FALSE)-VLOOKUP($A241,main!$A$3:$H$102,6,FALSE)&gt;=main!$D$103+VLOOKUP(VLOOKUP(CQ$1,main!$A$3:$I$102,7,FALSE),main!$K$26:$Q$29,5,FALSE)),1,0)</f>
        <v>0</v>
      </c>
      <c r="CR241">
        <f>IF(AND(VLOOKUP(CR$1,main!$A$3:$H$102,7,FALSE)=main!$G$105,VLOOKUP(CR$1,main!$A$3:$H$102,5,FALSE)-VLOOKUP($A241,main!$A$3:$H$102,6,FALSE)&gt;=main!$D$103+VLOOKUP(VLOOKUP(CR$1,main!$A$3:$I$102,7,FALSE),main!$K$26:$Q$29,5,FALSE)),1,0)</f>
        <v>0</v>
      </c>
      <c r="CS241">
        <f>IF(AND(VLOOKUP(CS$1,main!$A$3:$H$102,7,FALSE)=main!$G$105,VLOOKUP(CS$1,main!$A$3:$H$102,5,FALSE)-VLOOKUP($A241,main!$A$3:$H$102,6,FALSE)&gt;=main!$D$103+VLOOKUP(VLOOKUP(CS$1,main!$A$3:$I$102,7,FALSE),main!$K$26:$Q$29,5,FALSE)),1,0)</f>
        <v>0</v>
      </c>
      <c r="CT241">
        <f>IF(AND(VLOOKUP(CT$1,main!$A$3:$H$102,7,FALSE)=main!$G$105,VLOOKUP(CT$1,main!$A$3:$H$102,5,FALSE)-VLOOKUP($A241,main!$A$3:$H$102,6,FALSE)&gt;=main!$D$103+VLOOKUP(VLOOKUP(CT$1,main!$A$3:$I$102,7,FALSE),main!$K$26:$Q$29,5,FALSE)),1,0)</f>
        <v>0</v>
      </c>
      <c r="CU241">
        <f>IF(AND(VLOOKUP(CU$1,main!$A$3:$H$102,7,FALSE)=main!$G$105,VLOOKUP(CU$1,main!$A$3:$H$102,5,FALSE)-VLOOKUP($A241,main!$A$3:$H$102,6,FALSE)&gt;=main!$D$103+VLOOKUP(VLOOKUP(CU$1,main!$A$3:$I$102,7,FALSE),main!$K$26:$Q$29,5,FALSE)),1,0)</f>
        <v>0</v>
      </c>
      <c r="CV241">
        <f>IF(AND(VLOOKUP(CV$1,main!$A$3:$H$102,7,FALSE)=main!$G$105,VLOOKUP(CV$1,main!$A$3:$H$102,5,FALSE)-VLOOKUP($A241,main!$A$3:$H$102,6,FALSE)&gt;=main!$D$103+VLOOKUP(VLOOKUP(CV$1,main!$A$3:$I$102,7,FALSE),main!$K$26:$Q$29,5,FALSE)),1,0)</f>
        <v>0</v>
      </c>
      <c r="CW241">
        <f>IF(AND(VLOOKUP(CW$1,main!$A$3:$H$102,7,FALSE)=main!$G$105,VLOOKUP(CW$1,main!$A$3:$H$102,5,FALSE)-VLOOKUP($A241,main!$A$3:$H$102,6,FALSE)&gt;=main!$D$103+VLOOKUP(VLOOKUP(CW$1,main!$A$3:$I$102,7,FALSE),main!$K$26:$Q$29,5,FALSE)),1,0)</f>
        <v>0</v>
      </c>
      <c r="CX241">
        <f>IF(AND(VLOOKUP(CX$1,main!$A$3:$H$102,7,FALSE)=main!$G$105,VLOOKUP(CX$1,main!$A$3:$H$102,5,FALSE)-VLOOKUP($A241,main!$A$3:$H$102,6,FALSE)&gt;=main!$D$103+VLOOKUP(VLOOKUP(CX$1,main!$A$3:$I$102,7,FALSE),main!$K$26:$Q$29,5,FALSE)),1,0)</f>
        <v>0</v>
      </c>
    </row>
    <row r="242" spans="1:102" x14ac:dyDescent="0.25">
      <c r="A242" s="1">
        <v>38</v>
      </c>
      <c r="B242">
        <v>0</v>
      </c>
      <c r="C242">
        <f>IF(AND(VLOOKUP(C$1,main!$A$3:$H$102,7,FALSE)=main!$G$105,VLOOKUP(C$1,main!$A$3:$H$102,5,FALSE)-VLOOKUP($A242,main!$A$3:$H$102,6,FALSE)&gt;=main!$D$103+VLOOKUP(VLOOKUP(C$1,main!$A$3:$I$102,7,FALSE),main!$K$26:$Q$29,5,FALSE)),1,0)</f>
        <v>0</v>
      </c>
      <c r="D242">
        <f>IF(AND(VLOOKUP(D$1,main!$A$3:$H$102,7,FALSE)=main!$G$105,VLOOKUP(D$1,main!$A$3:$H$102,5,FALSE)-VLOOKUP($A242,main!$A$3:$H$102,6,FALSE)&gt;=main!$D$103+VLOOKUP(VLOOKUP(D$1,main!$A$3:$I$102,7,FALSE),main!$K$26:$Q$29,5,FALSE)),1,0)</f>
        <v>0</v>
      </c>
      <c r="E242">
        <f>IF(AND(VLOOKUP(E$1,main!$A$3:$H$102,7,FALSE)=main!$G$105,VLOOKUP(E$1,main!$A$3:$H$102,5,FALSE)-VLOOKUP($A242,main!$A$3:$H$102,6,FALSE)&gt;=main!$D$103+VLOOKUP(VLOOKUP(E$1,main!$A$3:$I$102,7,FALSE),main!$K$26:$Q$29,5,FALSE)),1,0)</f>
        <v>0</v>
      </c>
      <c r="F242">
        <f>IF(AND(VLOOKUP(F$1,main!$A$3:$H$102,7,FALSE)=main!$G$105,VLOOKUP(F$1,main!$A$3:$H$102,5,FALSE)-VLOOKUP($A242,main!$A$3:$H$102,6,FALSE)&gt;=main!$D$103+VLOOKUP(VLOOKUP(F$1,main!$A$3:$I$102,7,FALSE),main!$K$26:$Q$29,5,FALSE)),1,0)</f>
        <v>0</v>
      </c>
      <c r="G242">
        <f>IF(AND(VLOOKUP(G$1,main!$A$3:$H$102,7,FALSE)=main!$G$105,VLOOKUP(G$1,main!$A$3:$H$102,5,FALSE)-VLOOKUP($A242,main!$A$3:$H$102,6,FALSE)&gt;=main!$D$103+VLOOKUP(VLOOKUP(G$1,main!$A$3:$I$102,7,FALSE),main!$K$26:$Q$29,5,FALSE)),1,0)</f>
        <v>0</v>
      </c>
      <c r="H242">
        <f>IF(AND(VLOOKUP(H$1,main!$A$3:$H$102,7,FALSE)=main!$G$105,VLOOKUP(H$1,main!$A$3:$H$102,5,FALSE)-VLOOKUP($A242,main!$A$3:$H$102,6,FALSE)&gt;=main!$D$103+VLOOKUP(VLOOKUP(H$1,main!$A$3:$I$102,7,FALSE),main!$K$26:$Q$29,5,FALSE)),1,0)</f>
        <v>0</v>
      </c>
      <c r="I242">
        <f>IF(AND(VLOOKUP(I$1,main!$A$3:$H$102,7,FALSE)=main!$G$105,VLOOKUP(I$1,main!$A$3:$H$102,5,FALSE)-VLOOKUP($A242,main!$A$3:$H$102,6,FALSE)&gt;=main!$D$103+VLOOKUP(VLOOKUP(I$1,main!$A$3:$I$102,7,FALSE),main!$K$26:$Q$29,5,FALSE)),1,0)</f>
        <v>0</v>
      </c>
      <c r="J242">
        <f>IF(AND(VLOOKUP(J$1,main!$A$3:$H$102,7,FALSE)=main!$G$105,VLOOKUP(J$1,main!$A$3:$H$102,5,FALSE)-VLOOKUP($A242,main!$A$3:$H$102,6,FALSE)&gt;=main!$D$103+VLOOKUP(VLOOKUP(J$1,main!$A$3:$I$102,7,FALSE),main!$K$26:$Q$29,5,FALSE)),1,0)</f>
        <v>0</v>
      </c>
      <c r="K242">
        <f>IF(AND(VLOOKUP(K$1,main!$A$3:$H$102,7,FALSE)=main!$G$105,VLOOKUP(K$1,main!$A$3:$H$102,5,FALSE)-VLOOKUP($A242,main!$A$3:$H$102,6,FALSE)&gt;=main!$D$103+VLOOKUP(VLOOKUP(K$1,main!$A$3:$I$102,7,FALSE),main!$K$26:$Q$29,5,FALSE)),1,0)</f>
        <v>0</v>
      </c>
      <c r="L242">
        <f>IF(AND(VLOOKUP(L$1,main!$A$3:$H$102,7,FALSE)=main!$G$105,VLOOKUP(L$1,main!$A$3:$H$102,5,FALSE)-VLOOKUP($A242,main!$A$3:$H$102,6,FALSE)&gt;=main!$D$103+VLOOKUP(VLOOKUP(L$1,main!$A$3:$I$102,7,FALSE),main!$K$26:$Q$29,5,FALSE)),1,0)</f>
        <v>0</v>
      </c>
      <c r="M242">
        <f>IF(AND(VLOOKUP(M$1,main!$A$3:$H$102,7,FALSE)=main!$G$105,VLOOKUP(M$1,main!$A$3:$H$102,5,FALSE)-VLOOKUP($A242,main!$A$3:$H$102,6,FALSE)&gt;=main!$D$103+VLOOKUP(VLOOKUP(M$1,main!$A$3:$I$102,7,FALSE),main!$K$26:$Q$29,5,FALSE)),1,0)</f>
        <v>0</v>
      </c>
      <c r="N242">
        <f>IF(AND(VLOOKUP(N$1,main!$A$3:$H$102,7,FALSE)=main!$G$105,VLOOKUP(N$1,main!$A$3:$H$102,5,FALSE)-VLOOKUP($A242,main!$A$3:$H$102,6,FALSE)&gt;=main!$D$103+VLOOKUP(VLOOKUP(N$1,main!$A$3:$I$102,7,FALSE),main!$K$26:$Q$29,5,FALSE)),1,0)</f>
        <v>0</v>
      </c>
      <c r="O242">
        <f>IF(AND(VLOOKUP(O$1,main!$A$3:$H$102,7,FALSE)=main!$G$105,VLOOKUP(O$1,main!$A$3:$H$102,5,FALSE)-VLOOKUP($A242,main!$A$3:$H$102,6,FALSE)&gt;=main!$D$103+VLOOKUP(VLOOKUP(O$1,main!$A$3:$I$102,7,FALSE),main!$K$26:$Q$29,5,FALSE)),1,0)</f>
        <v>0</v>
      </c>
      <c r="P242">
        <f>IF(AND(VLOOKUP(P$1,main!$A$3:$H$102,7,FALSE)=main!$G$105,VLOOKUP(P$1,main!$A$3:$H$102,5,FALSE)-VLOOKUP($A242,main!$A$3:$H$102,6,FALSE)&gt;=main!$D$103+VLOOKUP(VLOOKUP(P$1,main!$A$3:$I$102,7,FALSE),main!$K$26:$Q$29,5,FALSE)),1,0)</f>
        <v>0</v>
      </c>
      <c r="Q242">
        <f>IF(AND(VLOOKUP(Q$1,main!$A$3:$H$102,7,FALSE)=main!$G$105,VLOOKUP(Q$1,main!$A$3:$H$102,5,FALSE)-VLOOKUP($A242,main!$A$3:$H$102,6,FALSE)&gt;=main!$D$103+VLOOKUP(VLOOKUP(Q$1,main!$A$3:$I$102,7,FALSE),main!$K$26:$Q$29,5,FALSE)),1,0)</f>
        <v>0</v>
      </c>
      <c r="R242">
        <f>IF(AND(VLOOKUP(R$1,main!$A$3:$H$102,7,FALSE)=main!$G$105,VLOOKUP(R$1,main!$A$3:$H$102,5,FALSE)-VLOOKUP($A242,main!$A$3:$H$102,6,FALSE)&gt;=main!$D$103+VLOOKUP(VLOOKUP(R$1,main!$A$3:$I$102,7,FALSE),main!$K$26:$Q$29,5,FALSE)),1,0)</f>
        <v>0</v>
      </c>
      <c r="S242">
        <f>IF(AND(VLOOKUP(S$1,main!$A$3:$H$102,7,FALSE)=main!$G$105,VLOOKUP(S$1,main!$A$3:$H$102,5,FALSE)-VLOOKUP($A242,main!$A$3:$H$102,6,FALSE)&gt;=main!$D$103+VLOOKUP(VLOOKUP(S$1,main!$A$3:$I$102,7,FALSE),main!$K$26:$Q$29,5,FALSE)),1,0)</f>
        <v>0</v>
      </c>
      <c r="T242">
        <f>IF(AND(VLOOKUP(T$1,main!$A$3:$H$102,7,FALSE)=main!$G$105,VLOOKUP(T$1,main!$A$3:$H$102,5,FALSE)-VLOOKUP($A242,main!$A$3:$H$102,6,FALSE)&gt;=main!$D$103+VLOOKUP(VLOOKUP(T$1,main!$A$3:$I$102,7,FALSE),main!$K$26:$Q$29,5,FALSE)),1,0)</f>
        <v>0</v>
      </c>
      <c r="U242">
        <f>IF(AND(VLOOKUP(U$1,main!$A$3:$H$102,7,FALSE)=main!$G$105,VLOOKUP(U$1,main!$A$3:$H$102,5,FALSE)-VLOOKUP($A242,main!$A$3:$H$102,6,FALSE)&gt;=main!$D$103+VLOOKUP(VLOOKUP(U$1,main!$A$3:$I$102,7,FALSE),main!$K$26:$Q$29,5,FALSE)),1,0)</f>
        <v>0</v>
      </c>
      <c r="V242">
        <f>IF(AND(VLOOKUP(V$1,main!$A$3:$H$102,7,FALSE)=main!$G$105,VLOOKUP(V$1,main!$A$3:$H$102,5,FALSE)-VLOOKUP($A242,main!$A$3:$H$102,6,FALSE)&gt;=main!$D$103+VLOOKUP(VLOOKUP(V$1,main!$A$3:$I$102,7,FALSE),main!$K$26:$Q$29,5,FALSE)),1,0)</f>
        <v>0</v>
      </c>
      <c r="W242">
        <f>IF(AND(VLOOKUP(W$1,main!$A$3:$H$102,7,FALSE)=main!$G$105,VLOOKUP(W$1,main!$A$3:$H$102,5,FALSE)-VLOOKUP($A242,main!$A$3:$H$102,6,FALSE)&gt;=main!$D$103+VLOOKUP(VLOOKUP(W$1,main!$A$3:$I$102,7,FALSE),main!$K$26:$Q$29,5,FALSE)),1,0)</f>
        <v>0</v>
      </c>
      <c r="X242">
        <f>IF(AND(VLOOKUP(X$1,main!$A$3:$H$102,7,FALSE)=main!$G$105,VLOOKUP(X$1,main!$A$3:$H$102,5,FALSE)-VLOOKUP($A242,main!$A$3:$H$102,6,FALSE)&gt;=main!$D$103+VLOOKUP(VLOOKUP(X$1,main!$A$3:$I$102,7,FALSE),main!$K$26:$Q$29,5,FALSE)),1,0)</f>
        <v>0</v>
      </c>
      <c r="Y242">
        <f>IF(AND(VLOOKUP(Y$1,main!$A$3:$H$102,7,FALSE)=main!$G$105,VLOOKUP(Y$1,main!$A$3:$H$102,5,FALSE)-VLOOKUP($A242,main!$A$3:$H$102,6,FALSE)&gt;=main!$D$103+VLOOKUP(VLOOKUP(Y$1,main!$A$3:$I$102,7,FALSE),main!$K$26:$Q$29,5,FALSE)),1,0)</f>
        <v>0</v>
      </c>
      <c r="Z242">
        <f>IF(AND(VLOOKUP(Z$1,main!$A$3:$H$102,7,FALSE)=main!$G$105,VLOOKUP(Z$1,main!$A$3:$H$102,5,FALSE)-VLOOKUP($A242,main!$A$3:$H$102,6,FALSE)&gt;=main!$D$103+VLOOKUP(VLOOKUP(Z$1,main!$A$3:$I$102,7,FALSE),main!$K$26:$Q$29,5,FALSE)),1,0)</f>
        <v>0</v>
      </c>
      <c r="AA242">
        <f>IF(AND(VLOOKUP(AA$1,main!$A$3:$H$102,7,FALSE)=main!$G$105,VLOOKUP(AA$1,main!$A$3:$H$102,5,FALSE)-VLOOKUP($A242,main!$A$3:$H$102,6,FALSE)&gt;=main!$D$103+VLOOKUP(VLOOKUP(AA$1,main!$A$3:$I$102,7,FALSE),main!$K$26:$Q$29,5,FALSE)),1,0)</f>
        <v>0</v>
      </c>
      <c r="AB242">
        <f>IF(AND(VLOOKUP(AB$1,main!$A$3:$H$102,7,FALSE)=main!$G$105,VLOOKUP(AB$1,main!$A$3:$H$102,5,FALSE)-VLOOKUP($A242,main!$A$3:$H$102,6,FALSE)&gt;=main!$D$103+VLOOKUP(VLOOKUP(AB$1,main!$A$3:$I$102,7,FALSE),main!$K$26:$Q$29,5,FALSE)),1,0)</f>
        <v>0</v>
      </c>
      <c r="AC242">
        <f>IF(AND(VLOOKUP(AC$1,main!$A$3:$H$102,7,FALSE)=main!$G$105,VLOOKUP(AC$1,main!$A$3:$H$102,5,FALSE)-VLOOKUP($A242,main!$A$3:$H$102,6,FALSE)&gt;=main!$D$103+VLOOKUP(VLOOKUP(AC$1,main!$A$3:$I$102,7,FALSE),main!$K$26:$Q$29,5,FALSE)),1,0)</f>
        <v>0</v>
      </c>
      <c r="AD242">
        <f>IF(AND(VLOOKUP(AD$1,main!$A$3:$H$102,7,FALSE)=main!$G$105,VLOOKUP(AD$1,main!$A$3:$H$102,5,FALSE)-VLOOKUP($A242,main!$A$3:$H$102,6,FALSE)&gt;=main!$D$103+VLOOKUP(VLOOKUP(AD$1,main!$A$3:$I$102,7,FALSE),main!$K$26:$Q$29,5,FALSE)),1,0)</f>
        <v>0</v>
      </c>
      <c r="AE242">
        <f>IF(AND(VLOOKUP(AE$1,main!$A$3:$H$102,7,FALSE)=main!$G$105,VLOOKUP(AE$1,main!$A$3:$H$102,5,FALSE)-VLOOKUP($A242,main!$A$3:$H$102,6,FALSE)&gt;=main!$D$103+VLOOKUP(VLOOKUP(AE$1,main!$A$3:$I$102,7,FALSE),main!$K$26:$Q$29,5,FALSE)),1,0)</f>
        <v>0</v>
      </c>
      <c r="AF242">
        <f>IF(AND(VLOOKUP(AF$1,main!$A$3:$H$102,7,FALSE)=main!$G$105,VLOOKUP(AF$1,main!$A$3:$H$102,5,FALSE)-VLOOKUP($A242,main!$A$3:$H$102,6,FALSE)&gt;=main!$D$103+VLOOKUP(VLOOKUP(AF$1,main!$A$3:$I$102,7,FALSE),main!$K$26:$Q$29,5,FALSE)),1,0)</f>
        <v>0</v>
      </c>
      <c r="AG242">
        <f>IF(AND(VLOOKUP(AG$1,main!$A$3:$H$102,7,FALSE)=main!$G$105,VLOOKUP(AG$1,main!$A$3:$H$102,5,FALSE)-VLOOKUP($A242,main!$A$3:$H$102,6,FALSE)&gt;=main!$D$103+VLOOKUP(VLOOKUP(AG$1,main!$A$3:$I$102,7,FALSE),main!$K$26:$Q$29,5,FALSE)),1,0)</f>
        <v>0</v>
      </c>
      <c r="AH242">
        <f>IF(AND(VLOOKUP(AH$1,main!$A$3:$H$102,7,FALSE)=main!$G$105,VLOOKUP(AH$1,main!$A$3:$H$102,5,FALSE)-VLOOKUP($A242,main!$A$3:$H$102,6,FALSE)&gt;=main!$D$103+VLOOKUP(VLOOKUP(AH$1,main!$A$3:$I$102,7,FALSE),main!$K$26:$Q$29,5,FALSE)),1,0)</f>
        <v>0</v>
      </c>
      <c r="AI242">
        <f>IF(AND(VLOOKUP(AI$1,main!$A$3:$H$102,7,FALSE)=main!$G$105,VLOOKUP(AI$1,main!$A$3:$H$102,5,FALSE)-VLOOKUP($A242,main!$A$3:$H$102,6,FALSE)&gt;=main!$D$103+VLOOKUP(VLOOKUP(AI$1,main!$A$3:$I$102,7,FALSE),main!$K$26:$Q$29,5,FALSE)),1,0)</f>
        <v>0</v>
      </c>
      <c r="AJ242">
        <f>IF(AND(VLOOKUP(AJ$1,main!$A$3:$H$102,7,FALSE)=main!$G$105,VLOOKUP(AJ$1,main!$A$3:$H$102,5,FALSE)-VLOOKUP($A242,main!$A$3:$H$102,6,FALSE)&gt;=main!$D$103+VLOOKUP(VLOOKUP(AJ$1,main!$A$3:$I$102,7,FALSE),main!$K$26:$Q$29,5,FALSE)),1,0)</f>
        <v>0</v>
      </c>
      <c r="AK242">
        <f>IF(AND(VLOOKUP(AK$1,main!$A$3:$H$102,7,FALSE)=main!$G$105,VLOOKUP(AK$1,main!$A$3:$H$102,5,FALSE)-VLOOKUP($A242,main!$A$3:$H$102,6,FALSE)&gt;=main!$D$103+VLOOKUP(VLOOKUP(AK$1,main!$A$3:$I$102,7,FALSE),main!$K$26:$Q$29,5,FALSE)),1,0)</f>
        <v>0</v>
      </c>
      <c r="AL242">
        <f>IF(AND(VLOOKUP(AL$1,main!$A$3:$H$102,7,FALSE)=main!$G$105,VLOOKUP(AL$1,main!$A$3:$H$102,5,FALSE)-VLOOKUP($A242,main!$A$3:$H$102,6,FALSE)&gt;=main!$D$103+VLOOKUP(VLOOKUP(AL$1,main!$A$3:$I$102,7,FALSE),main!$K$26:$Q$29,5,FALSE)),1,0)</f>
        <v>0</v>
      </c>
      <c r="AM242">
        <f>IF(AND(VLOOKUP(AM$1,main!$A$3:$H$102,7,FALSE)=main!$G$105,VLOOKUP(AM$1,main!$A$3:$H$102,5,FALSE)-VLOOKUP($A242,main!$A$3:$H$102,6,FALSE)&gt;=main!$D$103+VLOOKUP(VLOOKUP(AM$1,main!$A$3:$I$102,7,FALSE),main!$K$26:$Q$29,5,FALSE)),1,0)</f>
        <v>0</v>
      </c>
      <c r="AN242">
        <f>IF(AND(VLOOKUP(AN$1,main!$A$3:$H$102,7,FALSE)=main!$G$105,VLOOKUP(AN$1,main!$A$3:$H$102,5,FALSE)-VLOOKUP($A242,main!$A$3:$H$102,6,FALSE)&gt;=main!$D$103+VLOOKUP(VLOOKUP(AN$1,main!$A$3:$I$102,7,FALSE),main!$K$26:$Q$29,5,FALSE)),1,0)</f>
        <v>0</v>
      </c>
      <c r="AO242">
        <f>IF(AND(VLOOKUP(AO$1,main!$A$3:$H$102,7,FALSE)=main!$G$105,VLOOKUP(AO$1,main!$A$3:$H$102,5,FALSE)-VLOOKUP($A242,main!$A$3:$H$102,6,FALSE)&gt;=main!$D$103+VLOOKUP(VLOOKUP(AO$1,main!$A$3:$I$102,7,FALSE),main!$K$26:$Q$29,5,FALSE)),1,0)</f>
        <v>0</v>
      </c>
      <c r="AP242">
        <f>IF(AND(VLOOKUP(AP$1,main!$A$3:$H$102,7,FALSE)=main!$G$105,VLOOKUP(AP$1,main!$A$3:$H$102,5,FALSE)-VLOOKUP($A242,main!$A$3:$H$102,6,FALSE)&gt;=main!$D$103+VLOOKUP(VLOOKUP(AP$1,main!$A$3:$I$102,7,FALSE),main!$K$26:$Q$29,5,FALSE)),1,0)</f>
        <v>0</v>
      </c>
      <c r="AQ242">
        <f>IF(AND(VLOOKUP(AQ$1,main!$A$3:$H$102,7,FALSE)=main!$G$105,VLOOKUP(AQ$1,main!$A$3:$H$102,5,FALSE)-VLOOKUP($A242,main!$A$3:$H$102,6,FALSE)&gt;=main!$D$103+VLOOKUP(VLOOKUP(AQ$1,main!$A$3:$I$102,7,FALSE),main!$K$26:$Q$29,5,FALSE)),1,0)</f>
        <v>0</v>
      </c>
      <c r="AR242">
        <f>IF(AND(VLOOKUP(AR$1,main!$A$3:$H$102,7,FALSE)=main!$G$105,VLOOKUP(AR$1,main!$A$3:$H$102,5,FALSE)-VLOOKUP($A242,main!$A$3:$H$102,6,FALSE)&gt;=main!$D$103+VLOOKUP(VLOOKUP(AR$1,main!$A$3:$I$102,7,FALSE),main!$K$26:$Q$29,5,FALSE)),1,0)</f>
        <v>0</v>
      </c>
      <c r="AS242">
        <f>IF(AND(VLOOKUP(AS$1,main!$A$3:$H$102,7,FALSE)=main!$G$105,VLOOKUP(AS$1,main!$A$3:$H$102,5,FALSE)-VLOOKUP($A242,main!$A$3:$H$102,6,FALSE)&gt;=main!$D$103+VLOOKUP(VLOOKUP(AS$1,main!$A$3:$I$102,7,FALSE),main!$K$26:$Q$29,5,FALSE)),1,0)</f>
        <v>0</v>
      </c>
      <c r="AT242">
        <f>IF(AND(VLOOKUP(AT$1,main!$A$3:$H$102,7,FALSE)=main!$G$105,VLOOKUP(AT$1,main!$A$3:$H$102,5,FALSE)-VLOOKUP($A242,main!$A$3:$H$102,6,FALSE)&gt;=main!$D$103+VLOOKUP(VLOOKUP(AT$1,main!$A$3:$I$102,7,FALSE),main!$K$26:$Q$29,5,FALSE)),1,0)</f>
        <v>0</v>
      </c>
      <c r="AU242">
        <f>IF(AND(VLOOKUP(AU$1,main!$A$3:$H$102,7,FALSE)=main!$G$105,VLOOKUP(AU$1,main!$A$3:$H$102,5,FALSE)-VLOOKUP($A242,main!$A$3:$H$102,6,FALSE)&gt;=main!$D$103+VLOOKUP(VLOOKUP(AU$1,main!$A$3:$I$102,7,FALSE),main!$K$26:$Q$29,5,FALSE)),1,0)</f>
        <v>0</v>
      </c>
      <c r="AV242">
        <f>IF(AND(VLOOKUP(AV$1,main!$A$3:$H$102,7,FALSE)=main!$G$105,VLOOKUP(AV$1,main!$A$3:$H$102,5,FALSE)-VLOOKUP($A242,main!$A$3:$H$102,6,FALSE)&gt;=main!$D$103+VLOOKUP(VLOOKUP(AV$1,main!$A$3:$I$102,7,FALSE),main!$K$26:$Q$29,5,FALSE)),1,0)</f>
        <v>0</v>
      </c>
      <c r="AW242">
        <f>IF(AND(VLOOKUP(AW$1,main!$A$3:$H$102,7,FALSE)=main!$G$105,VLOOKUP(AW$1,main!$A$3:$H$102,5,FALSE)-VLOOKUP($A242,main!$A$3:$H$102,6,FALSE)&gt;=main!$D$103+VLOOKUP(VLOOKUP(AW$1,main!$A$3:$I$102,7,FALSE),main!$K$26:$Q$29,5,FALSE)),1,0)</f>
        <v>0</v>
      </c>
      <c r="AX242">
        <f>IF(AND(VLOOKUP(AX$1,main!$A$3:$H$102,7,FALSE)=main!$G$105,VLOOKUP(AX$1,main!$A$3:$H$102,5,FALSE)-VLOOKUP($A242,main!$A$3:$H$102,6,FALSE)&gt;=main!$D$103+VLOOKUP(VLOOKUP(AX$1,main!$A$3:$I$102,7,FALSE),main!$K$26:$Q$29,5,FALSE)),1,0)</f>
        <v>0</v>
      </c>
      <c r="AY242">
        <f>IF(AND(VLOOKUP(AY$1,main!$A$3:$H$102,7,FALSE)=main!$G$105,VLOOKUP(AY$1,main!$A$3:$H$102,5,FALSE)-VLOOKUP($A242,main!$A$3:$H$102,6,FALSE)&gt;=main!$D$103+VLOOKUP(VLOOKUP(AY$1,main!$A$3:$I$102,7,FALSE),main!$K$26:$Q$29,5,FALSE)),1,0)</f>
        <v>0</v>
      </c>
      <c r="AZ242">
        <f>IF(AND(VLOOKUP(AZ$1,main!$A$3:$H$102,7,FALSE)=main!$G$105,VLOOKUP(AZ$1,main!$A$3:$H$102,5,FALSE)-VLOOKUP($A242,main!$A$3:$H$102,6,FALSE)&gt;=main!$D$103+VLOOKUP(VLOOKUP(AZ$1,main!$A$3:$I$102,7,FALSE),main!$K$26:$Q$29,5,FALSE)),1,0)</f>
        <v>0</v>
      </c>
      <c r="BA242">
        <f>IF(AND(VLOOKUP(BA$1,main!$A$3:$H$102,7,FALSE)=main!$G$105,VLOOKUP(BA$1,main!$A$3:$H$102,5,FALSE)-VLOOKUP($A242,main!$A$3:$H$102,6,FALSE)&gt;=main!$D$103+VLOOKUP(VLOOKUP(BA$1,main!$A$3:$I$102,7,FALSE),main!$K$26:$Q$29,5,FALSE)),1,0)</f>
        <v>0</v>
      </c>
      <c r="BB242">
        <f>IF(AND(VLOOKUP(BB$1,main!$A$3:$H$102,7,FALSE)=main!$G$105,VLOOKUP(BB$1,main!$A$3:$H$102,5,FALSE)-VLOOKUP($A242,main!$A$3:$H$102,6,FALSE)&gt;=main!$D$103+VLOOKUP(VLOOKUP(BB$1,main!$A$3:$I$102,7,FALSE),main!$K$26:$Q$29,5,FALSE)),1,0)</f>
        <v>0</v>
      </c>
      <c r="BC242">
        <f>IF(AND(VLOOKUP(BC$1,main!$A$3:$H$102,7,FALSE)=main!$G$105,VLOOKUP(BC$1,main!$A$3:$H$102,5,FALSE)-VLOOKUP($A242,main!$A$3:$H$102,6,FALSE)&gt;=main!$D$103+VLOOKUP(VLOOKUP(BC$1,main!$A$3:$I$102,7,FALSE),main!$K$26:$Q$29,5,FALSE)),1,0)</f>
        <v>0</v>
      </c>
      <c r="BD242">
        <f>IF(AND(VLOOKUP(BD$1,main!$A$3:$H$102,7,FALSE)=main!$G$105,VLOOKUP(BD$1,main!$A$3:$H$102,5,FALSE)-VLOOKUP($A242,main!$A$3:$H$102,6,FALSE)&gt;=main!$D$103+VLOOKUP(VLOOKUP(BD$1,main!$A$3:$I$102,7,FALSE),main!$K$26:$Q$29,5,FALSE)),1,0)</f>
        <v>0</v>
      </c>
      <c r="BE242">
        <f>IF(AND(VLOOKUP(BE$1,main!$A$3:$H$102,7,FALSE)=main!$G$105,VLOOKUP(BE$1,main!$A$3:$H$102,5,FALSE)-VLOOKUP($A242,main!$A$3:$H$102,6,FALSE)&gt;=main!$D$103+VLOOKUP(VLOOKUP(BE$1,main!$A$3:$I$102,7,FALSE),main!$K$26:$Q$29,5,FALSE)),1,0)</f>
        <v>0</v>
      </c>
      <c r="BF242">
        <f>IF(AND(VLOOKUP(BF$1,main!$A$3:$H$102,7,FALSE)=main!$G$105,VLOOKUP(BF$1,main!$A$3:$H$102,5,FALSE)-VLOOKUP($A242,main!$A$3:$H$102,6,FALSE)&gt;=main!$D$103+VLOOKUP(VLOOKUP(BF$1,main!$A$3:$I$102,7,FALSE),main!$K$26:$Q$29,5,FALSE)),1,0)</f>
        <v>0</v>
      </c>
      <c r="BG242">
        <f>IF(AND(VLOOKUP(BG$1,main!$A$3:$H$102,7,FALSE)=main!$G$105,VLOOKUP(BG$1,main!$A$3:$H$102,5,FALSE)-VLOOKUP($A242,main!$A$3:$H$102,6,FALSE)&gt;=main!$D$103+VLOOKUP(VLOOKUP(BG$1,main!$A$3:$I$102,7,FALSE),main!$K$26:$Q$29,5,FALSE)),1,0)</f>
        <v>0</v>
      </c>
      <c r="BH242">
        <f>IF(AND(VLOOKUP(BH$1,main!$A$3:$H$102,7,FALSE)=main!$G$105,VLOOKUP(BH$1,main!$A$3:$H$102,5,FALSE)-VLOOKUP($A242,main!$A$3:$H$102,6,FALSE)&gt;=main!$D$103+VLOOKUP(VLOOKUP(BH$1,main!$A$3:$I$102,7,FALSE),main!$K$26:$Q$29,5,FALSE)),1,0)</f>
        <v>0</v>
      </c>
      <c r="BI242">
        <f>IF(AND(VLOOKUP(BI$1,main!$A$3:$H$102,7,FALSE)=main!$G$105,VLOOKUP(BI$1,main!$A$3:$H$102,5,FALSE)-VLOOKUP($A242,main!$A$3:$H$102,6,FALSE)&gt;=main!$D$103+VLOOKUP(VLOOKUP(BI$1,main!$A$3:$I$102,7,FALSE),main!$K$26:$Q$29,5,FALSE)),1,0)</f>
        <v>0</v>
      </c>
      <c r="BJ242">
        <f>IF(AND(VLOOKUP(BJ$1,main!$A$3:$H$102,7,FALSE)=main!$G$105,VLOOKUP(BJ$1,main!$A$3:$H$102,5,FALSE)-VLOOKUP($A242,main!$A$3:$H$102,6,FALSE)&gt;=main!$D$103+VLOOKUP(VLOOKUP(BJ$1,main!$A$3:$I$102,7,FALSE),main!$K$26:$Q$29,5,FALSE)),1,0)</f>
        <v>0</v>
      </c>
      <c r="BK242">
        <f>IF(AND(VLOOKUP(BK$1,main!$A$3:$H$102,7,FALSE)=main!$G$105,VLOOKUP(BK$1,main!$A$3:$H$102,5,FALSE)-VLOOKUP($A242,main!$A$3:$H$102,6,FALSE)&gt;=main!$D$103+VLOOKUP(VLOOKUP(BK$1,main!$A$3:$I$102,7,FALSE),main!$K$26:$Q$29,5,FALSE)),1,0)</f>
        <v>0</v>
      </c>
      <c r="BL242">
        <f>IF(AND(VLOOKUP(BL$1,main!$A$3:$H$102,7,FALSE)=main!$G$105,VLOOKUP(BL$1,main!$A$3:$H$102,5,FALSE)-VLOOKUP($A242,main!$A$3:$H$102,6,FALSE)&gt;=main!$D$103+VLOOKUP(VLOOKUP(BL$1,main!$A$3:$I$102,7,FALSE),main!$K$26:$Q$29,5,FALSE)),1,0)</f>
        <v>0</v>
      </c>
      <c r="BM242">
        <f>IF(AND(VLOOKUP(BM$1,main!$A$3:$H$102,7,FALSE)=main!$G$105,VLOOKUP(BM$1,main!$A$3:$H$102,5,FALSE)-VLOOKUP($A242,main!$A$3:$H$102,6,FALSE)&gt;=main!$D$103+VLOOKUP(VLOOKUP(BM$1,main!$A$3:$I$102,7,FALSE),main!$K$26:$Q$29,5,FALSE)),1,0)</f>
        <v>0</v>
      </c>
      <c r="BN242">
        <f>IF(AND(VLOOKUP(BN$1,main!$A$3:$H$102,7,FALSE)=main!$G$105,VLOOKUP(BN$1,main!$A$3:$H$102,5,FALSE)-VLOOKUP($A242,main!$A$3:$H$102,6,FALSE)&gt;=main!$D$103+VLOOKUP(VLOOKUP(BN$1,main!$A$3:$I$102,7,FALSE),main!$K$26:$Q$29,5,FALSE)),1,0)</f>
        <v>0</v>
      </c>
      <c r="BO242">
        <f>IF(AND(VLOOKUP(BO$1,main!$A$3:$H$102,7,FALSE)=main!$G$105,VLOOKUP(BO$1,main!$A$3:$H$102,5,FALSE)-VLOOKUP($A242,main!$A$3:$H$102,6,FALSE)&gt;=main!$D$103+VLOOKUP(VLOOKUP(BO$1,main!$A$3:$I$102,7,FALSE),main!$K$26:$Q$29,5,FALSE)),1,0)</f>
        <v>0</v>
      </c>
      <c r="BP242">
        <f>IF(AND(VLOOKUP(BP$1,main!$A$3:$H$102,7,FALSE)=main!$G$105,VLOOKUP(BP$1,main!$A$3:$H$102,5,FALSE)-VLOOKUP($A242,main!$A$3:$H$102,6,FALSE)&gt;=main!$D$103+VLOOKUP(VLOOKUP(BP$1,main!$A$3:$I$102,7,FALSE),main!$K$26:$Q$29,5,FALSE)),1,0)</f>
        <v>0</v>
      </c>
      <c r="BQ242">
        <f>IF(AND(VLOOKUP(BQ$1,main!$A$3:$H$102,7,FALSE)=main!$G$105,VLOOKUP(BQ$1,main!$A$3:$H$102,5,FALSE)-VLOOKUP($A242,main!$A$3:$H$102,6,FALSE)&gt;=main!$D$103+VLOOKUP(VLOOKUP(BQ$1,main!$A$3:$I$102,7,FALSE),main!$K$26:$Q$29,5,FALSE)),1,0)</f>
        <v>0</v>
      </c>
      <c r="BR242">
        <f>IF(AND(VLOOKUP(BR$1,main!$A$3:$H$102,7,FALSE)=main!$G$105,VLOOKUP(BR$1,main!$A$3:$H$102,5,FALSE)-VLOOKUP($A242,main!$A$3:$H$102,6,FALSE)&gt;=main!$D$103+VLOOKUP(VLOOKUP(BR$1,main!$A$3:$I$102,7,FALSE),main!$K$26:$Q$29,5,FALSE)),1,0)</f>
        <v>0</v>
      </c>
      <c r="BS242">
        <f>IF(AND(VLOOKUP(BS$1,main!$A$3:$H$102,7,FALSE)=main!$G$105,VLOOKUP(BS$1,main!$A$3:$H$102,5,FALSE)-VLOOKUP($A242,main!$A$3:$H$102,6,FALSE)&gt;=main!$D$103+VLOOKUP(VLOOKUP(BS$1,main!$A$3:$I$102,7,FALSE),main!$K$26:$Q$29,5,FALSE)),1,0)</f>
        <v>0</v>
      </c>
      <c r="BT242">
        <f>IF(AND(VLOOKUP(BT$1,main!$A$3:$H$102,7,FALSE)=main!$G$105,VLOOKUP(BT$1,main!$A$3:$H$102,5,FALSE)-VLOOKUP($A242,main!$A$3:$H$102,6,FALSE)&gt;=main!$D$103+VLOOKUP(VLOOKUP(BT$1,main!$A$3:$I$102,7,FALSE),main!$K$26:$Q$29,5,FALSE)),1,0)</f>
        <v>0</v>
      </c>
      <c r="BU242">
        <f>IF(AND(VLOOKUP(BU$1,main!$A$3:$H$102,7,FALSE)=main!$G$105,VLOOKUP(BU$1,main!$A$3:$H$102,5,FALSE)-VLOOKUP($A242,main!$A$3:$H$102,6,FALSE)&gt;=main!$D$103+VLOOKUP(VLOOKUP(BU$1,main!$A$3:$I$102,7,FALSE),main!$K$26:$Q$29,5,FALSE)),1,0)</f>
        <v>0</v>
      </c>
      <c r="BV242">
        <f>IF(AND(VLOOKUP(BV$1,main!$A$3:$H$102,7,FALSE)=main!$G$105,VLOOKUP(BV$1,main!$A$3:$H$102,5,FALSE)-VLOOKUP($A242,main!$A$3:$H$102,6,FALSE)&gt;=main!$D$103+VLOOKUP(VLOOKUP(BV$1,main!$A$3:$I$102,7,FALSE),main!$K$26:$Q$29,5,FALSE)),1,0)</f>
        <v>0</v>
      </c>
      <c r="BW242">
        <f>IF(AND(VLOOKUP(BW$1,main!$A$3:$H$102,7,FALSE)=main!$G$105,VLOOKUP(BW$1,main!$A$3:$H$102,5,FALSE)-VLOOKUP($A242,main!$A$3:$H$102,6,FALSE)&gt;=main!$D$103+VLOOKUP(VLOOKUP(BW$1,main!$A$3:$I$102,7,FALSE),main!$K$26:$Q$29,5,FALSE)),1,0)</f>
        <v>0</v>
      </c>
      <c r="BX242">
        <f>IF(AND(VLOOKUP(BX$1,main!$A$3:$H$102,7,FALSE)=main!$G$105,VLOOKUP(BX$1,main!$A$3:$H$102,5,FALSE)-VLOOKUP($A242,main!$A$3:$H$102,6,FALSE)&gt;=main!$D$103+VLOOKUP(VLOOKUP(BX$1,main!$A$3:$I$102,7,FALSE),main!$K$26:$Q$29,5,FALSE)),1,0)</f>
        <v>0</v>
      </c>
      <c r="BY242">
        <f>IF(AND(VLOOKUP(BY$1,main!$A$3:$H$102,7,FALSE)=main!$G$105,VLOOKUP(BY$1,main!$A$3:$H$102,5,FALSE)-VLOOKUP($A242,main!$A$3:$H$102,6,FALSE)&gt;=main!$D$103+VLOOKUP(VLOOKUP(BY$1,main!$A$3:$I$102,7,FALSE),main!$K$26:$Q$29,5,FALSE)),1,0)</f>
        <v>0</v>
      </c>
      <c r="BZ242">
        <f>IF(AND(VLOOKUP(BZ$1,main!$A$3:$H$102,7,FALSE)=main!$G$105,VLOOKUP(BZ$1,main!$A$3:$H$102,5,FALSE)-VLOOKUP($A242,main!$A$3:$H$102,6,FALSE)&gt;=main!$D$103+VLOOKUP(VLOOKUP(BZ$1,main!$A$3:$I$102,7,FALSE),main!$K$26:$Q$29,5,FALSE)),1,0)</f>
        <v>0</v>
      </c>
      <c r="CA242">
        <f>IF(AND(VLOOKUP(CA$1,main!$A$3:$H$102,7,FALSE)=main!$G$105,VLOOKUP(CA$1,main!$A$3:$H$102,5,FALSE)-VLOOKUP($A242,main!$A$3:$H$102,6,FALSE)&gt;=main!$D$103+VLOOKUP(VLOOKUP(CA$1,main!$A$3:$I$102,7,FALSE),main!$K$26:$Q$29,5,FALSE)),1,0)</f>
        <v>0</v>
      </c>
      <c r="CB242">
        <f>IF(AND(VLOOKUP(CB$1,main!$A$3:$H$102,7,FALSE)=main!$G$105,VLOOKUP(CB$1,main!$A$3:$H$102,5,FALSE)-VLOOKUP($A242,main!$A$3:$H$102,6,FALSE)&gt;=main!$D$103+VLOOKUP(VLOOKUP(CB$1,main!$A$3:$I$102,7,FALSE),main!$K$26:$Q$29,5,FALSE)),1,0)</f>
        <v>0</v>
      </c>
      <c r="CC242">
        <f>IF(AND(VLOOKUP(CC$1,main!$A$3:$H$102,7,FALSE)=main!$G$105,VLOOKUP(CC$1,main!$A$3:$H$102,5,FALSE)-VLOOKUP($A242,main!$A$3:$H$102,6,FALSE)&gt;=main!$D$103+VLOOKUP(VLOOKUP(CC$1,main!$A$3:$I$102,7,FALSE),main!$K$26:$Q$29,5,FALSE)),1,0)</f>
        <v>0</v>
      </c>
      <c r="CD242">
        <f>IF(AND(VLOOKUP(CD$1,main!$A$3:$H$102,7,FALSE)=main!$G$105,VLOOKUP(CD$1,main!$A$3:$H$102,5,FALSE)-VLOOKUP($A242,main!$A$3:$H$102,6,FALSE)&gt;=main!$D$103+VLOOKUP(VLOOKUP(CD$1,main!$A$3:$I$102,7,FALSE),main!$K$26:$Q$29,5,FALSE)),1,0)</f>
        <v>0</v>
      </c>
      <c r="CE242">
        <f>IF(AND(VLOOKUP(CE$1,main!$A$3:$H$102,7,FALSE)=main!$G$105,VLOOKUP(CE$1,main!$A$3:$H$102,5,FALSE)-VLOOKUP($A242,main!$A$3:$H$102,6,FALSE)&gt;=main!$D$103+VLOOKUP(VLOOKUP(CE$1,main!$A$3:$I$102,7,FALSE),main!$K$26:$Q$29,5,FALSE)),1,0)</f>
        <v>0</v>
      </c>
      <c r="CF242">
        <f>IF(AND(VLOOKUP(CF$1,main!$A$3:$H$102,7,FALSE)=main!$G$105,VLOOKUP(CF$1,main!$A$3:$H$102,5,FALSE)-VLOOKUP($A242,main!$A$3:$H$102,6,FALSE)&gt;=main!$D$103+VLOOKUP(VLOOKUP(CF$1,main!$A$3:$I$102,7,FALSE),main!$K$26:$Q$29,5,FALSE)),1,0)</f>
        <v>0</v>
      </c>
      <c r="CG242">
        <f>IF(AND(VLOOKUP(CG$1,main!$A$3:$H$102,7,FALSE)=main!$G$105,VLOOKUP(CG$1,main!$A$3:$H$102,5,FALSE)-VLOOKUP($A242,main!$A$3:$H$102,6,FALSE)&gt;=main!$D$103+VLOOKUP(VLOOKUP(CG$1,main!$A$3:$I$102,7,FALSE),main!$K$26:$Q$29,5,FALSE)),1,0)</f>
        <v>0</v>
      </c>
      <c r="CH242">
        <f>IF(AND(VLOOKUP(CH$1,main!$A$3:$H$102,7,FALSE)=main!$G$105,VLOOKUP(CH$1,main!$A$3:$H$102,5,FALSE)-VLOOKUP($A242,main!$A$3:$H$102,6,FALSE)&gt;=main!$D$103+VLOOKUP(VLOOKUP(CH$1,main!$A$3:$I$102,7,FALSE),main!$K$26:$Q$29,5,FALSE)),1,0)</f>
        <v>0</v>
      </c>
      <c r="CI242">
        <f>IF(AND(VLOOKUP(CI$1,main!$A$3:$H$102,7,FALSE)=main!$G$105,VLOOKUP(CI$1,main!$A$3:$H$102,5,FALSE)-VLOOKUP($A242,main!$A$3:$H$102,6,FALSE)&gt;=main!$D$103+VLOOKUP(VLOOKUP(CI$1,main!$A$3:$I$102,7,FALSE),main!$K$26:$Q$29,5,FALSE)),1,0)</f>
        <v>0</v>
      </c>
      <c r="CJ242">
        <f>IF(AND(VLOOKUP(CJ$1,main!$A$3:$H$102,7,FALSE)=main!$G$105,VLOOKUP(CJ$1,main!$A$3:$H$102,5,FALSE)-VLOOKUP($A242,main!$A$3:$H$102,6,FALSE)&gt;=main!$D$103+VLOOKUP(VLOOKUP(CJ$1,main!$A$3:$I$102,7,FALSE),main!$K$26:$Q$29,5,FALSE)),1,0)</f>
        <v>0</v>
      </c>
      <c r="CK242">
        <f>IF(AND(VLOOKUP(CK$1,main!$A$3:$H$102,7,FALSE)=main!$G$105,VLOOKUP(CK$1,main!$A$3:$H$102,5,FALSE)-VLOOKUP($A242,main!$A$3:$H$102,6,FALSE)&gt;=main!$D$103+VLOOKUP(VLOOKUP(CK$1,main!$A$3:$I$102,7,FALSE),main!$K$26:$Q$29,5,FALSE)),1,0)</f>
        <v>0</v>
      </c>
      <c r="CL242">
        <f>IF(AND(VLOOKUP(CL$1,main!$A$3:$H$102,7,FALSE)=main!$G$105,VLOOKUP(CL$1,main!$A$3:$H$102,5,FALSE)-VLOOKUP($A242,main!$A$3:$H$102,6,FALSE)&gt;=main!$D$103+VLOOKUP(VLOOKUP(CL$1,main!$A$3:$I$102,7,FALSE),main!$K$26:$Q$29,5,FALSE)),1,0)</f>
        <v>0</v>
      </c>
      <c r="CM242">
        <f>IF(AND(VLOOKUP(CM$1,main!$A$3:$H$102,7,FALSE)=main!$G$105,VLOOKUP(CM$1,main!$A$3:$H$102,5,FALSE)-VLOOKUP($A242,main!$A$3:$H$102,6,FALSE)&gt;=main!$D$103+VLOOKUP(VLOOKUP(CM$1,main!$A$3:$I$102,7,FALSE),main!$K$26:$Q$29,5,FALSE)),1,0)</f>
        <v>0</v>
      </c>
      <c r="CN242">
        <f>IF(AND(VLOOKUP(CN$1,main!$A$3:$H$102,7,FALSE)=main!$G$105,VLOOKUP(CN$1,main!$A$3:$H$102,5,FALSE)-VLOOKUP($A242,main!$A$3:$H$102,6,FALSE)&gt;=main!$D$103+VLOOKUP(VLOOKUP(CN$1,main!$A$3:$I$102,7,FALSE),main!$K$26:$Q$29,5,FALSE)),1,0)</f>
        <v>0</v>
      </c>
      <c r="CO242">
        <f>IF(AND(VLOOKUP(CO$1,main!$A$3:$H$102,7,FALSE)=main!$G$105,VLOOKUP(CO$1,main!$A$3:$H$102,5,FALSE)-VLOOKUP($A242,main!$A$3:$H$102,6,FALSE)&gt;=main!$D$103+VLOOKUP(VLOOKUP(CO$1,main!$A$3:$I$102,7,FALSE),main!$K$26:$Q$29,5,FALSE)),1,0)</f>
        <v>0</v>
      </c>
      <c r="CP242">
        <f>IF(AND(VLOOKUP(CP$1,main!$A$3:$H$102,7,FALSE)=main!$G$105,VLOOKUP(CP$1,main!$A$3:$H$102,5,FALSE)-VLOOKUP($A242,main!$A$3:$H$102,6,FALSE)&gt;=main!$D$103+VLOOKUP(VLOOKUP(CP$1,main!$A$3:$I$102,7,FALSE),main!$K$26:$Q$29,5,FALSE)),1,0)</f>
        <v>0</v>
      </c>
      <c r="CQ242">
        <f>IF(AND(VLOOKUP(CQ$1,main!$A$3:$H$102,7,FALSE)=main!$G$105,VLOOKUP(CQ$1,main!$A$3:$H$102,5,FALSE)-VLOOKUP($A242,main!$A$3:$H$102,6,FALSE)&gt;=main!$D$103+VLOOKUP(VLOOKUP(CQ$1,main!$A$3:$I$102,7,FALSE),main!$K$26:$Q$29,5,FALSE)),1,0)</f>
        <v>0</v>
      </c>
      <c r="CR242">
        <f>IF(AND(VLOOKUP(CR$1,main!$A$3:$H$102,7,FALSE)=main!$G$105,VLOOKUP(CR$1,main!$A$3:$H$102,5,FALSE)-VLOOKUP($A242,main!$A$3:$H$102,6,FALSE)&gt;=main!$D$103+VLOOKUP(VLOOKUP(CR$1,main!$A$3:$I$102,7,FALSE),main!$K$26:$Q$29,5,FALSE)),1,0)</f>
        <v>0</v>
      </c>
      <c r="CS242">
        <f>IF(AND(VLOOKUP(CS$1,main!$A$3:$H$102,7,FALSE)=main!$G$105,VLOOKUP(CS$1,main!$A$3:$H$102,5,FALSE)-VLOOKUP($A242,main!$A$3:$H$102,6,FALSE)&gt;=main!$D$103+VLOOKUP(VLOOKUP(CS$1,main!$A$3:$I$102,7,FALSE),main!$K$26:$Q$29,5,FALSE)),1,0)</f>
        <v>0</v>
      </c>
      <c r="CT242">
        <f>IF(AND(VLOOKUP(CT$1,main!$A$3:$H$102,7,FALSE)=main!$G$105,VLOOKUP(CT$1,main!$A$3:$H$102,5,FALSE)-VLOOKUP($A242,main!$A$3:$H$102,6,FALSE)&gt;=main!$D$103+VLOOKUP(VLOOKUP(CT$1,main!$A$3:$I$102,7,FALSE),main!$K$26:$Q$29,5,FALSE)),1,0)</f>
        <v>0</v>
      </c>
      <c r="CU242">
        <f>IF(AND(VLOOKUP(CU$1,main!$A$3:$H$102,7,FALSE)=main!$G$105,VLOOKUP(CU$1,main!$A$3:$H$102,5,FALSE)-VLOOKUP($A242,main!$A$3:$H$102,6,FALSE)&gt;=main!$D$103+VLOOKUP(VLOOKUP(CU$1,main!$A$3:$I$102,7,FALSE),main!$K$26:$Q$29,5,FALSE)),1,0)</f>
        <v>0</v>
      </c>
      <c r="CV242">
        <f>IF(AND(VLOOKUP(CV$1,main!$A$3:$H$102,7,FALSE)=main!$G$105,VLOOKUP(CV$1,main!$A$3:$H$102,5,FALSE)-VLOOKUP($A242,main!$A$3:$H$102,6,FALSE)&gt;=main!$D$103+VLOOKUP(VLOOKUP(CV$1,main!$A$3:$I$102,7,FALSE),main!$K$26:$Q$29,5,FALSE)),1,0)</f>
        <v>0</v>
      </c>
      <c r="CW242">
        <f>IF(AND(VLOOKUP(CW$1,main!$A$3:$H$102,7,FALSE)=main!$G$105,VLOOKUP(CW$1,main!$A$3:$H$102,5,FALSE)-VLOOKUP($A242,main!$A$3:$H$102,6,FALSE)&gt;=main!$D$103+VLOOKUP(VLOOKUP(CW$1,main!$A$3:$I$102,7,FALSE),main!$K$26:$Q$29,5,FALSE)),1,0)</f>
        <v>0</v>
      </c>
      <c r="CX242">
        <f>IF(AND(VLOOKUP(CX$1,main!$A$3:$H$102,7,FALSE)=main!$G$105,VLOOKUP(CX$1,main!$A$3:$H$102,5,FALSE)-VLOOKUP($A242,main!$A$3:$H$102,6,FALSE)&gt;=main!$D$103+VLOOKUP(VLOOKUP(CX$1,main!$A$3:$I$102,7,FALSE),main!$K$26:$Q$29,5,FALSE)),1,0)</f>
        <v>0</v>
      </c>
    </row>
    <row r="243" spans="1:102" x14ac:dyDescent="0.25">
      <c r="A243" s="1">
        <v>39</v>
      </c>
      <c r="B243">
        <v>0</v>
      </c>
      <c r="C243">
        <f>IF(AND(VLOOKUP(C$1,main!$A$3:$H$102,7,FALSE)=main!$G$105,VLOOKUP(C$1,main!$A$3:$H$102,5,FALSE)-VLOOKUP($A243,main!$A$3:$H$102,6,FALSE)&gt;=main!$D$103+VLOOKUP(VLOOKUP(C$1,main!$A$3:$I$102,7,FALSE),main!$K$26:$Q$29,5,FALSE)),1,0)</f>
        <v>0</v>
      </c>
      <c r="D243">
        <f>IF(AND(VLOOKUP(D$1,main!$A$3:$H$102,7,FALSE)=main!$G$105,VLOOKUP(D$1,main!$A$3:$H$102,5,FALSE)-VLOOKUP($A243,main!$A$3:$H$102,6,FALSE)&gt;=main!$D$103+VLOOKUP(VLOOKUP(D$1,main!$A$3:$I$102,7,FALSE),main!$K$26:$Q$29,5,FALSE)),1,0)</f>
        <v>0</v>
      </c>
      <c r="E243">
        <f>IF(AND(VLOOKUP(E$1,main!$A$3:$H$102,7,FALSE)=main!$G$105,VLOOKUP(E$1,main!$A$3:$H$102,5,FALSE)-VLOOKUP($A243,main!$A$3:$H$102,6,FALSE)&gt;=main!$D$103+VLOOKUP(VLOOKUP(E$1,main!$A$3:$I$102,7,FALSE),main!$K$26:$Q$29,5,FALSE)),1,0)</f>
        <v>0</v>
      </c>
      <c r="F243">
        <f>IF(AND(VLOOKUP(F$1,main!$A$3:$H$102,7,FALSE)=main!$G$105,VLOOKUP(F$1,main!$A$3:$H$102,5,FALSE)-VLOOKUP($A243,main!$A$3:$H$102,6,FALSE)&gt;=main!$D$103+VLOOKUP(VLOOKUP(F$1,main!$A$3:$I$102,7,FALSE),main!$K$26:$Q$29,5,FALSE)),1,0)</f>
        <v>0</v>
      </c>
      <c r="G243">
        <f>IF(AND(VLOOKUP(G$1,main!$A$3:$H$102,7,FALSE)=main!$G$105,VLOOKUP(G$1,main!$A$3:$H$102,5,FALSE)-VLOOKUP($A243,main!$A$3:$H$102,6,FALSE)&gt;=main!$D$103+VLOOKUP(VLOOKUP(G$1,main!$A$3:$I$102,7,FALSE),main!$K$26:$Q$29,5,FALSE)),1,0)</f>
        <v>0</v>
      </c>
      <c r="H243">
        <f>IF(AND(VLOOKUP(H$1,main!$A$3:$H$102,7,FALSE)=main!$G$105,VLOOKUP(H$1,main!$A$3:$H$102,5,FALSE)-VLOOKUP($A243,main!$A$3:$H$102,6,FALSE)&gt;=main!$D$103+VLOOKUP(VLOOKUP(H$1,main!$A$3:$I$102,7,FALSE),main!$K$26:$Q$29,5,FALSE)),1,0)</f>
        <v>0</v>
      </c>
      <c r="I243">
        <f>IF(AND(VLOOKUP(I$1,main!$A$3:$H$102,7,FALSE)=main!$G$105,VLOOKUP(I$1,main!$A$3:$H$102,5,FALSE)-VLOOKUP($A243,main!$A$3:$H$102,6,FALSE)&gt;=main!$D$103+VLOOKUP(VLOOKUP(I$1,main!$A$3:$I$102,7,FALSE),main!$K$26:$Q$29,5,FALSE)),1,0)</f>
        <v>0</v>
      </c>
      <c r="J243">
        <f>IF(AND(VLOOKUP(J$1,main!$A$3:$H$102,7,FALSE)=main!$G$105,VLOOKUP(J$1,main!$A$3:$H$102,5,FALSE)-VLOOKUP($A243,main!$A$3:$H$102,6,FALSE)&gt;=main!$D$103+VLOOKUP(VLOOKUP(J$1,main!$A$3:$I$102,7,FALSE),main!$K$26:$Q$29,5,FALSE)),1,0)</f>
        <v>0</v>
      </c>
      <c r="K243">
        <f>IF(AND(VLOOKUP(K$1,main!$A$3:$H$102,7,FALSE)=main!$G$105,VLOOKUP(K$1,main!$A$3:$H$102,5,FALSE)-VLOOKUP($A243,main!$A$3:$H$102,6,FALSE)&gt;=main!$D$103+VLOOKUP(VLOOKUP(K$1,main!$A$3:$I$102,7,FALSE),main!$K$26:$Q$29,5,FALSE)),1,0)</f>
        <v>0</v>
      </c>
      <c r="L243">
        <f>IF(AND(VLOOKUP(L$1,main!$A$3:$H$102,7,FALSE)=main!$G$105,VLOOKUP(L$1,main!$A$3:$H$102,5,FALSE)-VLOOKUP($A243,main!$A$3:$H$102,6,FALSE)&gt;=main!$D$103+VLOOKUP(VLOOKUP(L$1,main!$A$3:$I$102,7,FALSE),main!$K$26:$Q$29,5,FALSE)),1,0)</f>
        <v>0</v>
      </c>
      <c r="M243">
        <f>IF(AND(VLOOKUP(M$1,main!$A$3:$H$102,7,FALSE)=main!$G$105,VLOOKUP(M$1,main!$A$3:$H$102,5,FALSE)-VLOOKUP($A243,main!$A$3:$H$102,6,FALSE)&gt;=main!$D$103+VLOOKUP(VLOOKUP(M$1,main!$A$3:$I$102,7,FALSE),main!$K$26:$Q$29,5,FALSE)),1,0)</f>
        <v>0</v>
      </c>
      <c r="N243">
        <f>IF(AND(VLOOKUP(N$1,main!$A$3:$H$102,7,FALSE)=main!$G$105,VLOOKUP(N$1,main!$A$3:$H$102,5,FALSE)-VLOOKUP($A243,main!$A$3:$H$102,6,FALSE)&gt;=main!$D$103+VLOOKUP(VLOOKUP(N$1,main!$A$3:$I$102,7,FALSE),main!$K$26:$Q$29,5,FALSE)),1,0)</f>
        <v>0</v>
      </c>
      <c r="O243">
        <f>IF(AND(VLOOKUP(O$1,main!$A$3:$H$102,7,FALSE)=main!$G$105,VLOOKUP(O$1,main!$A$3:$H$102,5,FALSE)-VLOOKUP($A243,main!$A$3:$H$102,6,FALSE)&gt;=main!$D$103+VLOOKUP(VLOOKUP(O$1,main!$A$3:$I$102,7,FALSE),main!$K$26:$Q$29,5,FALSE)),1,0)</f>
        <v>0</v>
      </c>
      <c r="P243">
        <f>IF(AND(VLOOKUP(P$1,main!$A$3:$H$102,7,FALSE)=main!$G$105,VLOOKUP(P$1,main!$A$3:$H$102,5,FALSE)-VLOOKUP($A243,main!$A$3:$H$102,6,FALSE)&gt;=main!$D$103+VLOOKUP(VLOOKUP(P$1,main!$A$3:$I$102,7,FALSE),main!$K$26:$Q$29,5,FALSE)),1,0)</f>
        <v>0</v>
      </c>
      <c r="Q243">
        <f>IF(AND(VLOOKUP(Q$1,main!$A$3:$H$102,7,FALSE)=main!$G$105,VLOOKUP(Q$1,main!$A$3:$H$102,5,FALSE)-VLOOKUP($A243,main!$A$3:$H$102,6,FALSE)&gt;=main!$D$103+VLOOKUP(VLOOKUP(Q$1,main!$A$3:$I$102,7,FALSE),main!$K$26:$Q$29,5,FALSE)),1,0)</f>
        <v>0</v>
      </c>
      <c r="R243">
        <f>IF(AND(VLOOKUP(R$1,main!$A$3:$H$102,7,FALSE)=main!$G$105,VLOOKUP(R$1,main!$A$3:$H$102,5,FALSE)-VLOOKUP($A243,main!$A$3:$H$102,6,FALSE)&gt;=main!$D$103+VLOOKUP(VLOOKUP(R$1,main!$A$3:$I$102,7,FALSE),main!$K$26:$Q$29,5,FALSE)),1,0)</f>
        <v>0</v>
      </c>
      <c r="S243">
        <f>IF(AND(VLOOKUP(S$1,main!$A$3:$H$102,7,FALSE)=main!$G$105,VLOOKUP(S$1,main!$A$3:$H$102,5,FALSE)-VLOOKUP($A243,main!$A$3:$H$102,6,FALSE)&gt;=main!$D$103+VLOOKUP(VLOOKUP(S$1,main!$A$3:$I$102,7,FALSE),main!$K$26:$Q$29,5,FALSE)),1,0)</f>
        <v>0</v>
      </c>
      <c r="T243">
        <f>IF(AND(VLOOKUP(T$1,main!$A$3:$H$102,7,FALSE)=main!$G$105,VLOOKUP(T$1,main!$A$3:$H$102,5,FALSE)-VLOOKUP($A243,main!$A$3:$H$102,6,FALSE)&gt;=main!$D$103+VLOOKUP(VLOOKUP(T$1,main!$A$3:$I$102,7,FALSE),main!$K$26:$Q$29,5,FALSE)),1,0)</f>
        <v>0</v>
      </c>
      <c r="U243">
        <f>IF(AND(VLOOKUP(U$1,main!$A$3:$H$102,7,FALSE)=main!$G$105,VLOOKUP(U$1,main!$A$3:$H$102,5,FALSE)-VLOOKUP($A243,main!$A$3:$H$102,6,FALSE)&gt;=main!$D$103+VLOOKUP(VLOOKUP(U$1,main!$A$3:$I$102,7,FALSE),main!$K$26:$Q$29,5,FALSE)),1,0)</f>
        <v>0</v>
      </c>
      <c r="V243">
        <f>IF(AND(VLOOKUP(V$1,main!$A$3:$H$102,7,FALSE)=main!$G$105,VLOOKUP(V$1,main!$A$3:$H$102,5,FALSE)-VLOOKUP($A243,main!$A$3:$H$102,6,FALSE)&gt;=main!$D$103+VLOOKUP(VLOOKUP(V$1,main!$A$3:$I$102,7,FALSE),main!$K$26:$Q$29,5,FALSE)),1,0)</f>
        <v>0</v>
      </c>
      <c r="W243">
        <f>IF(AND(VLOOKUP(W$1,main!$A$3:$H$102,7,FALSE)=main!$G$105,VLOOKUP(W$1,main!$A$3:$H$102,5,FALSE)-VLOOKUP($A243,main!$A$3:$H$102,6,FALSE)&gt;=main!$D$103+VLOOKUP(VLOOKUP(W$1,main!$A$3:$I$102,7,FALSE),main!$K$26:$Q$29,5,FALSE)),1,0)</f>
        <v>0</v>
      </c>
      <c r="X243">
        <f>IF(AND(VLOOKUP(X$1,main!$A$3:$H$102,7,FALSE)=main!$G$105,VLOOKUP(X$1,main!$A$3:$H$102,5,FALSE)-VLOOKUP($A243,main!$A$3:$H$102,6,FALSE)&gt;=main!$D$103+VLOOKUP(VLOOKUP(X$1,main!$A$3:$I$102,7,FALSE),main!$K$26:$Q$29,5,FALSE)),1,0)</f>
        <v>0</v>
      </c>
      <c r="Y243">
        <f>IF(AND(VLOOKUP(Y$1,main!$A$3:$H$102,7,FALSE)=main!$G$105,VLOOKUP(Y$1,main!$A$3:$H$102,5,FALSE)-VLOOKUP($A243,main!$A$3:$H$102,6,FALSE)&gt;=main!$D$103+VLOOKUP(VLOOKUP(Y$1,main!$A$3:$I$102,7,FALSE),main!$K$26:$Q$29,5,FALSE)),1,0)</f>
        <v>0</v>
      </c>
      <c r="Z243">
        <f>IF(AND(VLOOKUP(Z$1,main!$A$3:$H$102,7,FALSE)=main!$G$105,VLOOKUP(Z$1,main!$A$3:$H$102,5,FALSE)-VLOOKUP($A243,main!$A$3:$H$102,6,FALSE)&gt;=main!$D$103+VLOOKUP(VLOOKUP(Z$1,main!$A$3:$I$102,7,FALSE),main!$K$26:$Q$29,5,FALSE)),1,0)</f>
        <v>0</v>
      </c>
      <c r="AA243">
        <f>IF(AND(VLOOKUP(AA$1,main!$A$3:$H$102,7,FALSE)=main!$G$105,VLOOKUP(AA$1,main!$A$3:$H$102,5,FALSE)-VLOOKUP($A243,main!$A$3:$H$102,6,FALSE)&gt;=main!$D$103+VLOOKUP(VLOOKUP(AA$1,main!$A$3:$I$102,7,FALSE),main!$K$26:$Q$29,5,FALSE)),1,0)</f>
        <v>0</v>
      </c>
      <c r="AB243">
        <f>IF(AND(VLOOKUP(AB$1,main!$A$3:$H$102,7,FALSE)=main!$G$105,VLOOKUP(AB$1,main!$A$3:$H$102,5,FALSE)-VLOOKUP($A243,main!$A$3:$H$102,6,FALSE)&gt;=main!$D$103+VLOOKUP(VLOOKUP(AB$1,main!$A$3:$I$102,7,FALSE),main!$K$26:$Q$29,5,FALSE)),1,0)</f>
        <v>0</v>
      </c>
      <c r="AC243">
        <f>IF(AND(VLOOKUP(AC$1,main!$A$3:$H$102,7,FALSE)=main!$G$105,VLOOKUP(AC$1,main!$A$3:$H$102,5,FALSE)-VLOOKUP($A243,main!$A$3:$H$102,6,FALSE)&gt;=main!$D$103+VLOOKUP(VLOOKUP(AC$1,main!$A$3:$I$102,7,FALSE),main!$K$26:$Q$29,5,FALSE)),1,0)</f>
        <v>0</v>
      </c>
      <c r="AD243">
        <f>IF(AND(VLOOKUP(AD$1,main!$A$3:$H$102,7,FALSE)=main!$G$105,VLOOKUP(AD$1,main!$A$3:$H$102,5,FALSE)-VLOOKUP($A243,main!$A$3:$H$102,6,FALSE)&gt;=main!$D$103+VLOOKUP(VLOOKUP(AD$1,main!$A$3:$I$102,7,FALSE),main!$K$26:$Q$29,5,FALSE)),1,0)</f>
        <v>0</v>
      </c>
      <c r="AE243">
        <f>IF(AND(VLOOKUP(AE$1,main!$A$3:$H$102,7,FALSE)=main!$G$105,VLOOKUP(AE$1,main!$A$3:$H$102,5,FALSE)-VLOOKUP($A243,main!$A$3:$H$102,6,FALSE)&gt;=main!$D$103+VLOOKUP(VLOOKUP(AE$1,main!$A$3:$I$102,7,FALSE),main!$K$26:$Q$29,5,FALSE)),1,0)</f>
        <v>0</v>
      </c>
      <c r="AF243">
        <f>IF(AND(VLOOKUP(AF$1,main!$A$3:$H$102,7,FALSE)=main!$G$105,VLOOKUP(AF$1,main!$A$3:$H$102,5,FALSE)-VLOOKUP($A243,main!$A$3:$H$102,6,FALSE)&gt;=main!$D$103+VLOOKUP(VLOOKUP(AF$1,main!$A$3:$I$102,7,FALSE),main!$K$26:$Q$29,5,FALSE)),1,0)</f>
        <v>0</v>
      </c>
      <c r="AG243">
        <f>IF(AND(VLOOKUP(AG$1,main!$A$3:$H$102,7,FALSE)=main!$G$105,VLOOKUP(AG$1,main!$A$3:$H$102,5,FALSE)-VLOOKUP($A243,main!$A$3:$H$102,6,FALSE)&gt;=main!$D$103+VLOOKUP(VLOOKUP(AG$1,main!$A$3:$I$102,7,FALSE),main!$K$26:$Q$29,5,FALSE)),1,0)</f>
        <v>0</v>
      </c>
      <c r="AH243">
        <f>IF(AND(VLOOKUP(AH$1,main!$A$3:$H$102,7,FALSE)=main!$G$105,VLOOKUP(AH$1,main!$A$3:$H$102,5,FALSE)-VLOOKUP($A243,main!$A$3:$H$102,6,FALSE)&gt;=main!$D$103+VLOOKUP(VLOOKUP(AH$1,main!$A$3:$I$102,7,FALSE),main!$K$26:$Q$29,5,FALSE)),1,0)</f>
        <v>0</v>
      </c>
      <c r="AI243">
        <f>IF(AND(VLOOKUP(AI$1,main!$A$3:$H$102,7,FALSE)=main!$G$105,VLOOKUP(AI$1,main!$A$3:$H$102,5,FALSE)-VLOOKUP($A243,main!$A$3:$H$102,6,FALSE)&gt;=main!$D$103+VLOOKUP(VLOOKUP(AI$1,main!$A$3:$I$102,7,FALSE),main!$K$26:$Q$29,5,FALSE)),1,0)</f>
        <v>1</v>
      </c>
      <c r="AJ243">
        <f>IF(AND(VLOOKUP(AJ$1,main!$A$3:$H$102,7,FALSE)=main!$G$105,VLOOKUP(AJ$1,main!$A$3:$H$102,5,FALSE)-VLOOKUP($A243,main!$A$3:$H$102,6,FALSE)&gt;=main!$D$103+VLOOKUP(VLOOKUP(AJ$1,main!$A$3:$I$102,7,FALSE),main!$K$26:$Q$29,5,FALSE)),1,0)</f>
        <v>1</v>
      </c>
      <c r="AK243">
        <f>IF(AND(VLOOKUP(AK$1,main!$A$3:$H$102,7,FALSE)=main!$G$105,VLOOKUP(AK$1,main!$A$3:$H$102,5,FALSE)-VLOOKUP($A243,main!$A$3:$H$102,6,FALSE)&gt;=main!$D$103+VLOOKUP(VLOOKUP(AK$1,main!$A$3:$I$102,7,FALSE),main!$K$26:$Q$29,5,FALSE)),1,0)</f>
        <v>1</v>
      </c>
      <c r="AL243">
        <f>IF(AND(VLOOKUP(AL$1,main!$A$3:$H$102,7,FALSE)=main!$G$105,VLOOKUP(AL$1,main!$A$3:$H$102,5,FALSE)-VLOOKUP($A243,main!$A$3:$H$102,6,FALSE)&gt;=main!$D$103+VLOOKUP(VLOOKUP(AL$1,main!$A$3:$I$102,7,FALSE),main!$K$26:$Q$29,5,FALSE)),1,0)</f>
        <v>1</v>
      </c>
      <c r="AM243">
        <f>IF(AND(VLOOKUP(AM$1,main!$A$3:$H$102,7,FALSE)=main!$G$105,VLOOKUP(AM$1,main!$A$3:$H$102,5,FALSE)-VLOOKUP($A243,main!$A$3:$H$102,6,FALSE)&gt;=main!$D$103+VLOOKUP(VLOOKUP(AM$1,main!$A$3:$I$102,7,FALSE),main!$K$26:$Q$29,5,FALSE)),1,0)</f>
        <v>1</v>
      </c>
      <c r="AN243">
        <f>IF(AND(VLOOKUP(AN$1,main!$A$3:$H$102,7,FALSE)=main!$G$105,VLOOKUP(AN$1,main!$A$3:$H$102,5,FALSE)-VLOOKUP($A243,main!$A$3:$H$102,6,FALSE)&gt;=main!$D$103+VLOOKUP(VLOOKUP(AN$1,main!$A$3:$I$102,7,FALSE),main!$K$26:$Q$29,5,FALSE)),1,0)</f>
        <v>1</v>
      </c>
      <c r="AO243">
        <f>IF(AND(VLOOKUP(AO$1,main!$A$3:$H$102,7,FALSE)=main!$G$105,VLOOKUP(AO$1,main!$A$3:$H$102,5,FALSE)-VLOOKUP($A243,main!$A$3:$H$102,6,FALSE)&gt;=main!$D$103+VLOOKUP(VLOOKUP(AO$1,main!$A$3:$I$102,7,FALSE),main!$K$26:$Q$29,5,FALSE)),1,0)</f>
        <v>0</v>
      </c>
      <c r="AP243">
        <f>IF(AND(VLOOKUP(AP$1,main!$A$3:$H$102,7,FALSE)=main!$G$105,VLOOKUP(AP$1,main!$A$3:$H$102,5,FALSE)-VLOOKUP($A243,main!$A$3:$H$102,6,FALSE)&gt;=main!$D$103+VLOOKUP(VLOOKUP(AP$1,main!$A$3:$I$102,7,FALSE),main!$K$26:$Q$29,5,FALSE)),1,0)</f>
        <v>1</v>
      </c>
      <c r="AQ243">
        <f>IF(AND(VLOOKUP(AQ$1,main!$A$3:$H$102,7,FALSE)=main!$G$105,VLOOKUP(AQ$1,main!$A$3:$H$102,5,FALSE)-VLOOKUP($A243,main!$A$3:$H$102,6,FALSE)&gt;=main!$D$103+VLOOKUP(VLOOKUP(AQ$1,main!$A$3:$I$102,7,FALSE),main!$K$26:$Q$29,5,FALSE)),1,0)</f>
        <v>0</v>
      </c>
      <c r="AR243">
        <f>IF(AND(VLOOKUP(AR$1,main!$A$3:$H$102,7,FALSE)=main!$G$105,VLOOKUP(AR$1,main!$A$3:$H$102,5,FALSE)-VLOOKUP($A243,main!$A$3:$H$102,6,FALSE)&gt;=main!$D$103+VLOOKUP(VLOOKUP(AR$1,main!$A$3:$I$102,7,FALSE),main!$K$26:$Q$29,5,FALSE)),1,0)</f>
        <v>0</v>
      </c>
      <c r="AS243">
        <f>IF(AND(VLOOKUP(AS$1,main!$A$3:$H$102,7,FALSE)=main!$G$105,VLOOKUP(AS$1,main!$A$3:$H$102,5,FALSE)-VLOOKUP($A243,main!$A$3:$H$102,6,FALSE)&gt;=main!$D$103+VLOOKUP(VLOOKUP(AS$1,main!$A$3:$I$102,7,FALSE),main!$K$26:$Q$29,5,FALSE)),1,0)</f>
        <v>1</v>
      </c>
      <c r="AT243">
        <f>IF(AND(VLOOKUP(AT$1,main!$A$3:$H$102,7,FALSE)=main!$G$105,VLOOKUP(AT$1,main!$A$3:$H$102,5,FALSE)-VLOOKUP($A243,main!$A$3:$H$102,6,FALSE)&gt;=main!$D$103+VLOOKUP(VLOOKUP(AT$1,main!$A$3:$I$102,7,FALSE),main!$K$26:$Q$29,5,FALSE)),1,0)</f>
        <v>1</v>
      </c>
      <c r="AU243">
        <f>IF(AND(VLOOKUP(AU$1,main!$A$3:$H$102,7,FALSE)=main!$G$105,VLOOKUP(AU$1,main!$A$3:$H$102,5,FALSE)-VLOOKUP($A243,main!$A$3:$H$102,6,FALSE)&gt;=main!$D$103+VLOOKUP(VLOOKUP(AU$1,main!$A$3:$I$102,7,FALSE),main!$K$26:$Q$29,5,FALSE)),1,0)</f>
        <v>0</v>
      </c>
      <c r="AV243">
        <f>IF(AND(VLOOKUP(AV$1,main!$A$3:$H$102,7,FALSE)=main!$G$105,VLOOKUP(AV$1,main!$A$3:$H$102,5,FALSE)-VLOOKUP($A243,main!$A$3:$H$102,6,FALSE)&gt;=main!$D$103+VLOOKUP(VLOOKUP(AV$1,main!$A$3:$I$102,7,FALSE),main!$K$26:$Q$29,5,FALSE)),1,0)</f>
        <v>0</v>
      </c>
      <c r="AW243">
        <f>IF(AND(VLOOKUP(AW$1,main!$A$3:$H$102,7,FALSE)=main!$G$105,VLOOKUP(AW$1,main!$A$3:$H$102,5,FALSE)-VLOOKUP($A243,main!$A$3:$H$102,6,FALSE)&gt;=main!$D$103+VLOOKUP(VLOOKUP(AW$1,main!$A$3:$I$102,7,FALSE),main!$K$26:$Q$29,5,FALSE)),1,0)</f>
        <v>1</v>
      </c>
      <c r="AX243">
        <f>IF(AND(VLOOKUP(AX$1,main!$A$3:$H$102,7,FALSE)=main!$G$105,VLOOKUP(AX$1,main!$A$3:$H$102,5,FALSE)-VLOOKUP($A243,main!$A$3:$H$102,6,FALSE)&gt;=main!$D$103+VLOOKUP(VLOOKUP(AX$1,main!$A$3:$I$102,7,FALSE),main!$K$26:$Q$29,5,FALSE)),1,0)</f>
        <v>1</v>
      </c>
      <c r="AY243">
        <f>IF(AND(VLOOKUP(AY$1,main!$A$3:$H$102,7,FALSE)=main!$G$105,VLOOKUP(AY$1,main!$A$3:$H$102,5,FALSE)-VLOOKUP($A243,main!$A$3:$H$102,6,FALSE)&gt;=main!$D$103+VLOOKUP(VLOOKUP(AY$1,main!$A$3:$I$102,7,FALSE),main!$K$26:$Q$29,5,FALSE)),1,0)</f>
        <v>0</v>
      </c>
      <c r="AZ243">
        <f>IF(AND(VLOOKUP(AZ$1,main!$A$3:$H$102,7,FALSE)=main!$G$105,VLOOKUP(AZ$1,main!$A$3:$H$102,5,FALSE)-VLOOKUP($A243,main!$A$3:$H$102,6,FALSE)&gt;=main!$D$103+VLOOKUP(VLOOKUP(AZ$1,main!$A$3:$I$102,7,FALSE),main!$K$26:$Q$29,5,FALSE)),1,0)</f>
        <v>1</v>
      </c>
      <c r="BA243">
        <f>IF(AND(VLOOKUP(BA$1,main!$A$3:$H$102,7,FALSE)=main!$G$105,VLOOKUP(BA$1,main!$A$3:$H$102,5,FALSE)-VLOOKUP($A243,main!$A$3:$H$102,6,FALSE)&gt;=main!$D$103+VLOOKUP(VLOOKUP(BA$1,main!$A$3:$I$102,7,FALSE),main!$K$26:$Q$29,5,FALSE)),1,0)</f>
        <v>0</v>
      </c>
      <c r="BB243">
        <f>IF(AND(VLOOKUP(BB$1,main!$A$3:$H$102,7,FALSE)=main!$G$105,VLOOKUP(BB$1,main!$A$3:$H$102,5,FALSE)-VLOOKUP($A243,main!$A$3:$H$102,6,FALSE)&gt;=main!$D$103+VLOOKUP(VLOOKUP(BB$1,main!$A$3:$I$102,7,FALSE),main!$K$26:$Q$29,5,FALSE)),1,0)</f>
        <v>0</v>
      </c>
      <c r="BC243">
        <f>IF(AND(VLOOKUP(BC$1,main!$A$3:$H$102,7,FALSE)=main!$G$105,VLOOKUP(BC$1,main!$A$3:$H$102,5,FALSE)-VLOOKUP($A243,main!$A$3:$H$102,6,FALSE)&gt;=main!$D$103+VLOOKUP(VLOOKUP(BC$1,main!$A$3:$I$102,7,FALSE),main!$K$26:$Q$29,5,FALSE)),1,0)</f>
        <v>0</v>
      </c>
      <c r="BD243">
        <f>IF(AND(VLOOKUP(BD$1,main!$A$3:$H$102,7,FALSE)=main!$G$105,VLOOKUP(BD$1,main!$A$3:$H$102,5,FALSE)-VLOOKUP($A243,main!$A$3:$H$102,6,FALSE)&gt;=main!$D$103+VLOOKUP(VLOOKUP(BD$1,main!$A$3:$I$102,7,FALSE),main!$K$26:$Q$29,5,FALSE)),1,0)</f>
        <v>0</v>
      </c>
      <c r="BE243">
        <f>IF(AND(VLOOKUP(BE$1,main!$A$3:$H$102,7,FALSE)=main!$G$105,VLOOKUP(BE$1,main!$A$3:$H$102,5,FALSE)-VLOOKUP($A243,main!$A$3:$H$102,6,FALSE)&gt;=main!$D$103+VLOOKUP(VLOOKUP(BE$1,main!$A$3:$I$102,7,FALSE),main!$K$26:$Q$29,5,FALSE)),1,0)</f>
        <v>0</v>
      </c>
      <c r="BF243">
        <f>IF(AND(VLOOKUP(BF$1,main!$A$3:$H$102,7,FALSE)=main!$G$105,VLOOKUP(BF$1,main!$A$3:$H$102,5,FALSE)-VLOOKUP($A243,main!$A$3:$H$102,6,FALSE)&gt;=main!$D$103+VLOOKUP(VLOOKUP(BF$1,main!$A$3:$I$102,7,FALSE),main!$K$26:$Q$29,5,FALSE)),1,0)</f>
        <v>0</v>
      </c>
      <c r="BG243">
        <f>IF(AND(VLOOKUP(BG$1,main!$A$3:$H$102,7,FALSE)=main!$G$105,VLOOKUP(BG$1,main!$A$3:$H$102,5,FALSE)-VLOOKUP($A243,main!$A$3:$H$102,6,FALSE)&gt;=main!$D$103+VLOOKUP(VLOOKUP(BG$1,main!$A$3:$I$102,7,FALSE),main!$K$26:$Q$29,5,FALSE)),1,0)</f>
        <v>0</v>
      </c>
      <c r="BH243">
        <f>IF(AND(VLOOKUP(BH$1,main!$A$3:$H$102,7,FALSE)=main!$G$105,VLOOKUP(BH$1,main!$A$3:$H$102,5,FALSE)-VLOOKUP($A243,main!$A$3:$H$102,6,FALSE)&gt;=main!$D$103+VLOOKUP(VLOOKUP(BH$1,main!$A$3:$I$102,7,FALSE),main!$K$26:$Q$29,5,FALSE)),1,0)</f>
        <v>0</v>
      </c>
      <c r="BI243">
        <f>IF(AND(VLOOKUP(BI$1,main!$A$3:$H$102,7,FALSE)=main!$G$105,VLOOKUP(BI$1,main!$A$3:$H$102,5,FALSE)-VLOOKUP($A243,main!$A$3:$H$102,6,FALSE)&gt;=main!$D$103+VLOOKUP(VLOOKUP(BI$1,main!$A$3:$I$102,7,FALSE),main!$K$26:$Q$29,5,FALSE)),1,0)</f>
        <v>0</v>
      </c>
      <c r="BJ243">
        <f>IF(AND(VLOOKUP(BJ$1,main!$A$3:$H$102,7,FALSE)=main!$G$105,VLOOKUP(BJ$1,main!$A$3:$H$102,5,FALSE)-VLOOKUP($A243,main!$A$3:$H$102,6,FALSE)&gt;=main!$D$103+VLOOKUP(VLOOKUP(BJ$1,main!$A$3:$I$102,7,FALSE),main!$K$26:$Q$29,5,FALSE)),1,0)</f>
        <v>0</v>
      </c>
      <c r="BK243">
        <f>IF(AND(VLOOKUP(BK$1,main!$A$3:$H$102,7,FALSE)=main!$G$105,VLOOKUP(BK$1,main!$A$3:$H$102,5,FALSE)-VLOOKUP($A243,main!$A$3:$H$102,6,FALSE)&gt;=main!$D$103+VLOOKUP(VLOOKUP(BK$1,main!$A$3:$I$102,7,FALSE),main!$K$26:$Q$29,5,FALSE)),1,0)</f>
        <v>0</v>
      </c>
      <c r="BL243">
        <f>IF(AND(VLOOKUP(BL$1,main!$A$3:$H$102,7,FALSE)=main!$G$105,VLOOKUP(BL$1,main!$A$3:$H$102,5,FALSE)-VLOOKUP($A243,main!$A$3:$H$102,6,FALSE)&gt;=main!$D$103+VLOOKUP(VLOOKUP(BL$1,main!$A$3:$I$102,7,FALSE),main!$K$26:$Q$29,5,FALSE)),1,0)</f>
        <v>0</v>
      </c>
      <c r="BM243">
        <f>IF(AND(VLOOKUP(BM$1,main!$A$3:$H$102,7,FALSE)=main!$G$105,VLOOKUP(BM$1,main!$A$3:$H$102,5,FALSE)-VLOOKUP($A243,main!$A$3:$H$102,6,FALSE)&gt;=main!$D$103+VLOOKUP(VLOOKUP(BM$1,main!$A$3:$I$102,7,FALSE),main!$K$26:$Q$29,5,FALSE)),1,0)</f>
        <v>0</v>
      </c>
      <c r="BN243">
        <f>IF(AND(VLOOKUP(BN$1,main!$A$3:$H$102,7,FALSE)=main!$G$105,VLOOKUP(BN$1,main!$A$3:$H$102,5,FALSE)-VLOOKUP($A243,main!$A$3:$H$102,6,FALSE)&gt;=main!$D$103+VLOOKUP(VLOOKUP(BN$1,main!$A$3:$I$102,7,FALSE),main!$K$26:$Q$29,5,FALSE)),1,0)</f>
        <v>0</v>
      </c>
      <c r="BO243">
        <f>IF(AND(VLOOKUP(BO$1,main!$A$3:$H$102,7,FALSE)=main!$G$105,VLOOKUP(BO$1,main!$A$3:$H$102,5,FALSE)-VLOOKUP($A243,main!$A$3:$H$102,6,FALSE)&gt;=main!$D$103+VLOOKUP(VLOOKUP(BO$1,main!$A$3:$I$102,7,FALSE),main!$K$26:$Q$29,5,FALSE)),1,0)</f>
        <v>0</v>
      </c>
      <c r="BP243">
        <f>IF(AND(VLOOKUP(BP$1,main!$A$3:$H$102,7,FALSE)=main!$G$105,VLOOKUP(BP$1,main!$A$3:$H$102,5,FALSE)-VLOOKUP($A243,main!$A$3:$H$102,6,FALSE)&gt;=main!$D$103+VLOOKUP(VLOOKUP(BP$1,main!$A$3:$I$102,7,FALSE),main!$K$26:$Q$29,5,FALSE)),1,0)</f>
        <v>0</v>
      </c>
      <c r="BQ243">
        <f>IF(AND(VLOOKUP(BQ$1,main!$A$3:$H$102,7,FALSE)=main!$G$105,VLOOKUP(BQ$1,main!$A$3:$H$102,5,FALSE)-VLOOKUP($A243,main!$A$3:$H$102,6,FALSE)&gt;=main!$D$103+VLOOKUP(VLOOKUP(BQ$1,main!$A$3:$I$102,7,FALSE),main!$K$26:$Q$29,5,FALSE)),1,0)</f>
        <v>0</v>
      </c>
      <c r="BR243">
        <f>IF(AND(VLOOKUP(BR$1,main!$A$3:$H$102,7,FALSE)=main!$G$105,VLOOKUP(BR$1,main!$A$3:$H$102,5,FALSE)-VLOOKUP($A243,main!$A$3:$H$102,6,FALSE)&gt;=main!$D$103+VLOOKUP(VLOOKUP(BR$1,main!$A$3:$I$102,7,FALSE),main!$K$26:$Q$29,5,FALSE)),1,0)</f>
        <v>0</v>
      </c>
      <c r="BS243">
        <f>IF(AND(VLOOKUP(BS$1,main!$A$3:$H$102,7,FALSE)=main!$G$105,VLOOKUP(BS$1,main!$A$3:$H$102,5,FALSE)-VLOOKUP($A243,main!$A$3:$H$102,6,FALSE)&gt;=main!$D$103+VLOOKUP(VLOOKUP(BS$1,main!$A$3:$I$102,7,FALSE),main!$K$26:$Q$29,5,FALSE)),1,0)</f>
        <v>0</v>
      </c>
      <c r="BT243">
        <f>IF(AND(VLOOKUP(BT$1,main!$A$3:$H$102,7,FALSE)=main!$G$105,VLOOKUP(BT$1,main!$A$3:$H$102,5,FALSE)-VLOOKUP($A243,main!$A$3:$H$102,6,FALSE)&gt;=main!$D$103+VLOOKUP(VLOOKUP(BT$1,main!$A$3:$I$102,7,FALSE),main!$K$26:$Q$29,5,FALSE)),1,0)</f>
        <v>0</v>
      </c>
      <c r="BU243">
        <f>IF(AND(VLOOKUP(BU$1,main!$A$3:$H$102,7,FALSE)=main!$G$105,VLOOKUP(BU$1,main!$A$3:$H$102,5,FALSE)-VLOOKUP($A243,main!$A$3:$H$102,6,FALSE)&gt;=main!$D$103+VLOOKUP(VLOOKUP(BU$1,main!$A$3:$I$102,7,FALSE),main!$K$26:$Q$29,5,FALSE)),1,0)</f>
        <v>0</v>
      </c>
      <c r="BV243">
        <f>IF(AND(VLOOKUP(BV$1,main!$A$3:$H$102,7,FALSE)=main!$G$105,VLOOKUP(BV$1,main!$A$3:$H$102,5,FALSE)-VLOOKUP($A243,main!$A$3:$H$102,6,FALSE)&gt;=main!$D$103+VLOOKUP(VLOOKUP(BV$1,main!$A$3:$I$102,7,FALSE),main!$K$26:$Q$29,5,FALSE)),1,0)</f>
        <v>0</v>
      </c>
      <c r="BW243">
        <f>IF(AND(VLOOKUP(BW$1,main!$A$3:$H$102,7,FALSE)=main!$G$105,VLOOKUP(BW$1,main!$A$3:$H$102,5,FALSE)-VLOOKUP($A243,main!$A$3:$H$102,6,FALSE)&gt;=main!$D$103+VLOOKUP(VLOOKUP(BW$1,main!$A$3:$I$102,7,FALSE),main!$K$26:$Q$29,5,FALSE)),1,0)</f>
        <v>0</v>
      </c>
      <c r="BX243">
        <f>IF(AND(VLOOKUP(BX$1,main!$A$3:$H$102,7,FALSE)=main!$G$105,VLOOKUP(BX$1,main!$A$3:$H$102,5,FALSE)-VLOOKUP($A243,main!$A$3:$H$102,6,FALSE)&gt;=main!$D$103+VLOOKUP(VLOOKUP(BX$1,main!$A$3:$I$102,7,FALSE),main!$K$26:$Q$29,5,FALSE)),1,0)</f>
        <v>0</v>
      </c>
      <c r="BY243">
        <f>IF(AND(VLOOKUP(BY$1,main!$A$3:$H$102,7,FALSE)=main!$G$105,VLOOKUP(BY$1,main!$A$3:$H$102,5,FALSE)-VLOOKUP($A243,main!$A$3:$H$102,6,FALSE)&gt;=main!$D$103+VLOOKUP(VLOOKUP(BY$1,main!$A$3:$I$102,7,FALSE),main!$K$26:$Q$29,5,FALSE)),1,0)</f>
        <v>0</v>
      </c>
      <c r="BZ243">
        <f>IF(AND(VLOOKUP(BZ$1,main!$A$3:$H$102,7,FALSE)=main!$G$105,VLOOKUP(BZ$1,main!$A$3:$H$102,5,FALSE)-VLOOKUP($A243,main!$A$3:$H$102,6,FALSE)&gt;=main!$D$103+VLOOKUP(VLOOKUP(BZ$1,main!$A$3:$I$102,7,FALSE),main!$K$26:$Q$29,5,FALSE)),1,0)</f>
        <v>0</v>
      </c>
      <c r="CA243">
        <f>IF(AND(VLOOKUP(CA$1,main!$A$3:$H$102,7,FALSE)=main!$G$105,VLOOKUP(CA$1,main!$A$3:$H$102,5,FALSE)-VLOOKUP($A243,main!$A$3:$H$102,6,FALSE)&gt;=main!$D$103+VLOOKUP(VLOOKUP(CA$1,main!$A$3:$I$102,7,FALSE),main!$K$26:$Q$29,5,FALSE)),1,0)</f>
        <v>0</v>
      </c>
      <c r="CB243">
        <f>IF(AND(VLOOKUP(CB$1,main!$A$3:$H$102,7,FALSE)=main!$G$105,VLOOKUP(CB$1,main!$A$3:$H$102,5,FALSE)-VLOOKUP($A243,main!$A$3:$H$102,6,FALSE)&gt;=main!$D$103+VLOOKUP(VLOOKUP(CB$1,main!$A$3:$I$102,7,FALSE),main!$K$26:$Q$29,5,FALSE)),1,0)</f>
        <v>0</v>
      </c>
      <c r="CC243">
        <f>IF(AND(VLOOKUP(CC$1,main!$A$3:$H$102,7,FALSE)=main!$G$105,VLOOKUP(CC$1,main!$A$3:$H$102,5,FALSE)-VLOOKUP($A243,main!$A$3:$H$102,6,FALSE)&gt;=main!$D$103+VLOOKUP(VLOOKUP(CC$1,main!$A$3:$I$102,7,FALSE),main!$K$26:$Q$29,5,FALSE)),1,0)</f>
        <v>0</v>
      </c>
      <c r="CD243">
        <f>IF(AND(VLOOKUP(CD$1,main!$A$3:$H$102,7,FALSE)=main!$G$105,VLOOKUP(CD$1,main!$A$3:$H$102,5,FALSE)-VLOOKUP($A243,main!$A$3:$H$102,6,FALSE)&gt;=main!$D$103+VLOOKUP(VLOOKUP(CD$1,main!$A$3:$I$102,7,FALSE),main!$K$26:$Q$29,5,FALSE)),1,0)</f>
        <v>0</v>
      </c>
      <c r="CE243">
        <f>IF(AND(VLOOKUP(CE$1,main!$A$3:$H$102,7,FALSE)=main!$G$105,VLOOKUP(CE$1,main!$A$3:$H$102,5,FALSE)-VLOOKUP($A243,main!$A$3:$H$102,6,FALSE)&gt;=main!$D$103+VLOOKUP(VLOOKUP(CE$1,main!$A$3:$I$102,7,FALSE),main!$K$26:$Q$29,5,FALSE)),1,0)</f>
        <v>0</v>
      </c>
      <c r="CF243">
        <f>IF(AND(VLOOKUP(CF$1,main!$A$3:$H$102,7,FALSE)=main!$G$105,VLOOKUP(CF$1,main!$A$3:$H$102,5,FALSE)-VLOOKUP($A243,main!$A$3:$H$102,6,FALSE)&gt;=main!$D$103+VLOOKUP(VLOOKUP(CF$1,main!$A$3:$I$102,7,FALSE),main!$K$26:$Q$29,5,FALSE)),1,0)</f>
        <v>0</v>
      </c>
      <c r="CG243">
        <f>IF(AND(VLOOKUP(CG$1,main!$A$3:$H$102,7,FALSE)=main!$G$105,VLOOKUP(CG$1,main!$A$3:$H$102,5,FALSE)-VLOOKUP($A243,main!$A$3:$H$102,6,FALSE)&gt;=main!$D$103+VLOOKUP(VLOOKUP(CG$1,main!$A$3:$I$102,7,FALSE),main!$K$26:$Q$29,5,FALSE)),1,0)</f>
        <v>0</v>
      </c>
      <c r="CH243">
        <f>IF(AND(VLOOKUP(CH$1,main!$A$3:$H$102,7,FALSE)=main!$G$105,VLOOKUP(CH$1,main!$A$3:$H$102,5,FALSE)-VLOOKUP($A243,main!$A$3:$H$102,6,FALSE)&gt;=main!$D$103+VLOOKUP(VLOOKUP(CH$1,main!$A$3:$I$102,7,FALSE),main!$K$26:$Q$29,5,FALSE)),1,0)</f>
        <v>0</v>
      </c>
      <c r="CI243">
        <f>IF(AND(VLOOKUP(CI$1,main!$A$3:$H$102,7,FALSE)=main!$G$105,VLOOKUP(CI$1,main!$A$3:$H$102,5,FALSE)-VLOOKUP($A243,main!$A$3:$H$102,6,FALSE)&gt;=main!$D$103+VLOOKUP(VLOOKUP(CI$1,main!$A$3:$I$102,7,FALSE),main!$K$26:$Q$29,5,FALSE)),1,0)</f>
        <v>0</v>
      </c>
      <c r="CJ243">
        <f>IF(AND(VLOOKUP(CJ$1,main!$A$3:$H$102,7,FALSE)=main!$G$105,VLOOKUP(CJ$1,main!$A$3:$H$102,5,FALSE)-VLOOKUP($A243,main!$A$3:$H$102,6,FALSE)&gt;=main!$D$103+VLOOKUP(VLOOKUP(CJ$1,main!$A$3:$I$102,7,FALSE),main!$K$26:$Q$29,5,FALSE)),1,0)</f>
        <v>0</v>
      </c>
      <c r="CK243">
        <f>IF(AND(VLOOKUP(CK$1,main!$A$3:$H$102,7,FALSE)=main!$G$105,VLOOKUP(CK$1,main!$A$3:$H$102,5,FALSE)-VLOOKUP($A243,main!$A$3:$H$102,6,FALSE)&gt;=main!$D$103+VLOOKUP(VLOOKUP(CK$1,main!$A$3:$I$102,7,FALSE),main!$K$26:$Q$29,5,FALSE)),1,0)</f>
        <v>0</v>
      </c>
      <c r="CL243">
        <f>IF(AND(VLOOKUP(CL$1,main!$A$3:$H$102,7,FALSE)=main!$G$105,VLOOKUP(CL$1,main!$A$3:$H$102,5,FALSE)-VLOOKUP($A243,main!$A$3:$H$102,6,FALSE)&gt;=main!$D$103+VLOOKUP(VLOOKUP(CL$1,main!$A$3:$I$102,7,FALSE),main!$K$26:$Q$29,5,FALSE)),1,0)</f>
        <v>0</v>
      </c>
      <c r="CM243">
        <f>IF(AND(VLOOKUP(CM$1,main!$A$3:$H$102,7,FALSE)=main!$G$105,VLOOKUP(CM$1,main!$A$3:$H$102,5,FALSE)-VLOOKUP($A243,main!$A$3:$H$102,6,FALSE)&gt;=main!$D$103+VLOOKUP(VLOOKUP(CM$1,main!$A$3:$I$102,7,FALSE),main!$K$26:$Q$29,5,FALSE)),1,0)</f>
        <v>0</v>
      </c>
      <c r="CN243">
        <f>IF(AND(VLOOKUP(CN$1,main!$A$3:$H$102,7,FALSE)=main!$G$105,VLOOKUP(CN$1,main!$A$3:$H$102,5,FALSE)-VLOOKUP($A243,main!$A$3:$H$102,6,FALSE)&gt;=main!$D$103+VLOOKUP(VLOOKUP(CN$1,main!$A$3:$I$102,7,FALSE),main!$K$26:$Q$29,5,FALSE)),1,0)</f>
        <v>0</v>
      </c>
      <c r="CO243">
        <f>IF(AND(VLOOKUP(CO$1,main!$A$3:$H$102,7,FALSE)=main!$G$105,VLOOKUP(CO$1,main!$A$3:$H$102,5,FALSE)-VLOOKUP($A243,main!$A$3:$H$102,6,FALSE)&gt;=main!$D$103+VLOOKUP(VLOOKUP(CO$1,main!$A$3:$I$102,7,FALSE),main!$K$26:$Q$29,5,FALSE)),1,0)</f>
        <v>0</v>
      </c>
      <c r="CP243">
        <f>IF(AND(VLOOKUP(CP$1,main!$A$3:$H$102,7,FALSE)=main!$G$105,VLOOKUP(CP$1,main!$A$3:$H$102,5,FALSE)-VLOOKUP($A243,main!$A$3:$H$102,6,FALSE)&gt;=main!$D$103+VLOOKUP(VLOOKUP(CP$1,main!$A$3:$I$102,7,FALSE),main!$K$26:$Q$29,5,FALSE)),1,0)</f>
        <v>0</v>
      </c>
      <c r="CQ243">
        <f>IF(AND(VLOOKUP(CQ$1,main!$A$3:$H$102,7,FALSE)=main!$G$105,VLOOKUP(CQ$1,main!$A$3:$H$102,5,FALSE)-VLOOKUP($A243,main!$A$3:$H$102,6,FALSE)&gt;=main!$D$103+VLOOKUP(VLOOKUP(CQ$1,main!$A$3:$I$102,7,FALSE),main!$K$26:$Q$29,5,FALSE)),1,0)</f>
        <v>0</v>
      </c>
      <c r="CR243">
        <f>IF(AND(VLOOKUP(CR$1,main!$A$3:$H$102,7,FALSE)=main!$G$105,VLOOKUP(CR$1,main!$A$3:$H$102,5,FALSE)-VLOOKUP($A243,main!$A$3:$H$102,6,FALSE)&gt;=main!$D$103+VLOOKUP(VLOOKUP(CR$1,main!$A$3:$I$102,7,FALSE),main!$K$26:$Q$29,5,FALSE)),1,0)</f>
        <v>0</v>
      </c>
      <c r="CS243">
        <f>IF(AND(VLOOKUP(CS$1,main!$A$3:$H$102,7,FALSE)=main!$G$105,VLOOKUP(CS$1,main!$A$3:$H$102,5,FALSE)-VLOOKUP($A243,main!$A$3:$H$102,6,FALSE)&gt;=main!$D$103+VLOOKUP(VLOOKUP(CS$1,main!$A$3:$I$102,7,FALSE),main!$K$26:$Q$29,5,FALSE)),1,0)</f>
        <v>0</v>
      </c>
      <c r="CT243">
        <f>IF(AND(VLOOKUP(CT$1,main!$A$3:$H$102,7,FALSE)=main!$G$105,VLOOKUP(CT$1,main!$A$3:$H$102,5,FALSE)-VLOOKUP($A243,main!$A$3:$H$102,6,FALSE)&gt;=main!$D$103+VLOOKUP(VLOOKUP(CT$1,main!$A$3:$I$102,7,FALSE),main!$K$26:$Q$29,5,FALSE)),1,0)</f>
        <v>0</v>
      </c>
      <c r="CU243">
        <f>IF(AND(VLOOKUP(CU$1,main!$A$3:$H$102,7,FALSE)=main!$G$105,VLOOKUP(CU$1,main!$A$3:$H$102,5,FALSE)-VLOOKUP($A243,main!$A$3:$H$102,6,FALSE)&gt;=main!$D$103+VLOOKUP(VLOOKUP(CU$1,main!$A$3:$I$102,7,FALSE),main!$K$26:$Q$29,5,FALSE)),1,0)</f>
        <v>0</v>
      </c>
      <c r="CV243">
        <f>IF(AND(VLOOKUP(CV$1,main!$A$3:$H$102,7,FALSE)=main!$G$105,VLOOKUP(CV$1,main!$A$3:$H$102,5,FALSE)-VLOOKUP($A243,main!$A$3:$H$102,6,FALSE)&gt;=main!$D$103+VLOOKUP(VLOOKUP(CV$1,main!$A$3:$I$102,7,FALSE),main!$K$26:$Q$29,5,FALSE)),1,0)</f>
        <v>0</v>
      </c>
      <c r="CW243">
        <f>IF(AND(VLOOKUP(CW$1,main!$A$3:$H$102,7,FALSE)=main!$G$105,VLOOKUP(CW$1,main!$A$3:$H$102,5,FALSE)-VLOOKUP($A243,main!$A$3:$H$102,6,FALSE)&gt;=main!$D$103+VLOOKUP(VLOOKUP(CW$1,main!$A$3:$I$102,7,FALSE),main!$K$26:$Q$29,5,FALSE)),1,0)</f>
        <v>0</v>
      </c>
      <c r="CX243">
        <f>IF(AND(VLOOKUP(CX$1,main!$A$3:$H$102,7,FALSE)=main!$G$105,VLOOKUP(CX$1,main!$A$3:$H$102,5,FALSE)-VLOOKUP($A243,main!$A$3:$H$102,6,FALSE)&gt;=main!$D$103+VLOOKUP(VLOOKUP(CX$1,main!$A$3:$I$102,7,FALSE),main!$K$26:$Q$29,5,FALSE)),1,0)</f>
        <v>0</v>
      </c>
    </row>
    <row r="244" spans="1:102" x14ac:dyDescent="0.25">
      <c r="A244" s="1">
        <v>40</v>
      </c>
      <c r="B244">
        <v>0</v>
      </c>
      <c r="C244">
        <f>IF(AND(VLOOKUP(C$1,main!$A$3:$H$102,7,FALSE)=main!$G$105,VLOOKUP(C$1,main!$A$3:$H$102,5,FALSE)-VLOOKUP($A244,main!$A$3:$H$102,6,FALSE)&gt;=main!$D$103+VLOOKUP(VLOOKUP(C$1,main!$A$3:$I$102,7,FALSE),main!$K$26:$Q$29,5,FALSE)),1,0)</f>
        <v>0</v>
      </c>
      <c r="D244">
        <f>IF(AND(VLOOKUP(D$1,main!$A$3:$H$102,7,FALSE)=main!$G$105,VLOOKUP(D$1,main!$A$3:$H$102,5,FALSE)-VLOOKUP($A244,main!$A$3:$H$102,6,FALSE)&gt;=main!$D$103+VLOOKUP(VLOOKUP(D$1,main!$A$3:$I$102,7,FALSE),main!$K$26:$Q$29,5,FALSE)),1,0)</f>
        <v>0</v>
      </c>
      <c r="E244">
        <f>IF(AND(VLOOKUP(E$1,main!$A$3:$H$102,7,FALSE)=main!$G$105,VLOOKUP(E$1,main!$A$3:$H$102,5,FALSE)-VLOOKUP($A244,main!$A$3:$H$102,6,FALSE)&gt;=main!$D$103+VLOOKUP(VLOOKUP(E$1,main!$A$3:$I$102,7,FALSE),main!$K$26:$Q$29,5,FALSE)),1,0)</f>
        <v>0</v>
      </c>
      <c r="F244">
        <f>IF(AND(VLOOKUP(F$1,main!$A$3:$H$102,7,FALSE)=main!$G$105,VLOOKUP(F$1,main!$A$3:$H$102,5,FALSE)-VLOOKUP($A244,main!$A$3:$H$102,6,FALSE)&gt;=main!$D$103+VLOOKUP(VLOOKUP(F$1,main!$A$3:$I$102,7,FALSE),main!$K$26:$Q$29,5,FALSE)),1,0)</f>
        <v>0</v>
      </c>
      <c r="G244">
        <f>IF(AND(VLOOKUP(G$1,main!$A$3:$H$102,7,FALSE)=main!$G$105,VLOOKUP(G$1,main!$A$3:$H$102,5,FALSE)-VLOOKUP($A244,main!$A$3:$H$102,6,FALSE)&gt;=main!$D$103+VLOOKUP(VLOOKUP(G$1,main!$A$3:$I$102,7,FALSE),main!$K$26:$Q$29,5,FALSE)),1,0)</f>
        <v>0</v>
      </c>
      <c r="H244">
        <f>IF(AND(VLOOKUP(H$1,main!$A$3:$H$102,7,FALSE)=main!$G$105,VLOOKUP(H$1,main!$A$3:$H$102,5,FALSE)-VLOOKUP($A244,main!$A$3:$H$102,6,FALSE)&gt;=main!$D$103+VLOOKUP(VLOOKUP(H$1,main!$A$3:$I$102,7,FALSE),main!$K$26:$Q$29,5,FALSE)),1,0)</f>
        <v>0</v>
      </c>
      <c r="I244">
        <f>IF(AND(VLOOKUP(I$1,main!$A$3:$H$102,7,FALSE)=main!$G$105,VLOOKUP(I$1,main!$A$3:$H$102,5,FALSE)-VLOOKUP($A244,main!$A$3:$H$102,6,FALSE)&gt;=main!$D$103+VLOOKUP(VLOOKUP(I$1,main!$A$3:$I$102,7,FALSE),main!$K$26:$Q$29,5,FALSE)),1,0)</f>
        <v>0</v>
      </c>
      <c r="J244">
        <f>IF(AND(VLOOKUP(J$1,main!$A$3:$H$102,7,FALSE)=main!$G$105,VLOOKUP(J$1,main!$A$3:$H$102,5,FALSE)-VLOOKUP($A244,main!$A$3:$H$102,6,FALSE)&gt;=main!$D$103+VLOOKUP(VLOOKUP(J$1,main!$A$3:$I$102,7,FALSE),main!$K$26:$Q$29,5,FALSE)),1,0)</f>
        <v>0</v>
      </c>
      <c r="K244">
        <f>IF(AND(VLOOKUP(K$1,main!$A$3:$H$102,7,FALSE)=main!$G$105,VLOOKUP(K$1,main!$A$3:$H$102,5,FALSE)-VLOOKUP($A244,main!$A$3:$H$102,6,FALSE)&gt;=main!$D$103+VLOOKUP(VLOOKUP(K$1,main!$A$3:$I$102,7,FALSE),main!$K$26:$Q$29,5,FALSE)),1,0)</f>
        <v>0</v>
      </c>
      <c r="L244">
        <f>IF(AND(VLOOKUP(L$1,main!$A$3:$H$102,7,FALSE)=main!$G$105,VLOOKUP(L$1,main!$A$3:$H$102,5,FALSE)-VLOOKUP($A244,main!$A$3:$H$102,6,FALSE)&gt;=main!$D$103+VLOOKUP(VLOOKUP(L$1,main!$A$3:$I$102,7,FALSE),main!$K$26:$Q$29,5,FALSE)),1,0)</f>
        <v>0</v>
      </c>
      <c r="M244">
        <f>IF(AND(VLOOKUP(M$1,main!$A$3:$H$102,7,FALSE)=main!$G$105,VLOOKUP(M$1,main!$A$3:$H$102,5,FALSE)-VLOOKUP($A244,main!$A$3:$H$102,6,FALSE)&gt;=main!$D$103+VLOOKUP(VLOOKUP(M$1,main!$A$3:$I$102,7,FALSE),main!$K$26:$Q$29,5,FALSE)),1,0)</f>
        <v>0</v>
      </c>
      <c r="N244">
        <f>IF(AND(VLOOKUP(N$1,main!$A$3:$H$102,7,FALSE)=main!$G$105,VLOOKUP(N$1,main!$A$3:$H$102,5,FALSE)-VLOOKUP($A244,main!$A$3:$H$102,6,FALSE)&gt;=main!$D$103+VLOOKUP(VLOOKUP(N$1,main!$A$3:$I$102,7,FALSE),main!$K$26:$Q$29,5,FALSE)),1,0)</f>
        <v>0</v>
      </c>
      <c r="O244">
        <f>IF(AND(VLOOKUP(O$1,main!$A$3:$H$102,7,FALSE)=main!$G$105,VLOOKUP(O$1,main!$A$3:$H$102,5,FALSE)-VLOOKUP($A244,main!$A$3:$H$102,6,FALSE)&gt;=main!$D$103+VLOOKUP(VLOOKUP(O$1,main!$A$3:$I$102,7,FALSE),main!$K$26:$Q$29,5,FALSE)),1,0)</f>
        <v>0</v>
      </c>
      <c r="P244">
        <f>IF(AND(VLOOKUP(P$1,main!$A$3:$H$102,7,FALSE)=main!$G$105,VLOOKUP(P$1,main!$A$3:$H$102,5,FALSE)-VLOOKUP($A244,main!$A$3:$H$102,6,FALSE)&gt;=main!$D$103+VLOOKUP(VLOOKUP(P$1,main!$A$3:$I$102,7,FALSE),main!$K$26:$Q$29,5,FALSE)),1,0)</f>
        <v>0</v>
      </c>
      <c r="Q244">
        <f>IF(AND(VLOOKUP(Q$1,main!$A$3:$H$102,7,FALSE)=main!$G$105,VLOOKUP(Q$1,main!$A$3:$H$102,5,FALSE)-VLOOKUP($A244,main!$A$3:$H$102,6,FALSE)&gt;=main!$D$103+VLOOKUP(VLOOKUP(Q$1,main!$A$3:$I$102,7,FALSE),main!$K$26:$Q$29,5,FALSE)),1,0)</f>
        <v>0</v>
      </c>
      <c r="R244">
        <f>IF(AND(VLOOKUP(R$1,main!$A$3:$H$102,7,FALSE)=main!$G$105,VLOOKUP(R$1,main!$A$3:$H$102,5,FALSE)-VLOOKUP($A244,main!$A$3:$H$102,6,FALSE)&gt;=main!$D$103+VLOOKUP(VLOOKUP(R$1,main!$A$3:$I$102,7,FALSE),main!$K$26:$Q$29,5,FALSE)),1,0)</f>
        <v>0</v>
      </c>
      <c r="S244">
        <f>IF(AND(VLOOKUP(S$1,main!$A$3:$H$102,7,FALSE)=main!$G$105,VLOOKUP(S$1,main!$A$3:$H$102,5,FALSE)-VLOOKUP($A244,main!$A$3:$H$102,6,FALSE)&gt;=main!$D$103+VLOOKUP(VLOOKUP(S$1,main!$A$3:$I$102,7,FALSE),main!$K$26:$Q$29,5,FALSE)),1,0)</f>
        <v>0</v>
      </c>
      <c r="T244">
        <f>IF(AND(VLOOKUP(T$1,main!$A$3:$H$102,7,FALSE)=main!$G$105,VLOOKUP(T$1,main!$A$3:$H$102,5,FALSE)-VLOOKUP($A244,main!$A$3:$H$102,6,FALSE)&gt;=main!$D$103+VLOOKUP(VLOOKUP(T$1,main!$A$3:$I$102,7,FALSE),main!$K$26:$Q$29,5,FALSE)),1,0)</f>
        <v>0</v>
      </c>
      <c r="U244">
        <f>IF(AND(VLOOKUP(U$1,main!$A$3:$H$102,7,FALSE)=main!$G$105,VLOOKUP(U$1,main!$A$3:$H$102,5,FALSE)-VLOOKUP($A244,main!$A$3:$H$102,6,FALSE)&gt;=main!$D$103+VLOOKUP(VLOOKUP(U$1,main!$A$3:$I$102,7,FALSE),main!$K$26:$Q$29,5,FALSE)),1,0)</f>
        <v>0</v>
      </c>
      <c r="V244">
        <f>IF(AND(VLOOKUP(V$1,main!$A$3:$H$102,7,FALSE)=main!$G$105,VLOOKUP(V$1,main!$A$3:$H$102,5,FALSE)-VLOOKUP($A244,main!$A$3:$H$102,6,FALSE)&gt;=main!$D$103+VLOOKUP(VLOOKUP(V$1,main!$A$3:$I$102,7,FALSE),main!$K$26:$Q$29,5,FALSE)),1,0)</f>
        <v>0</v>
      </c>
      <c r="W244">
        <f>IF(AND(VLOOKUP(W$1,main!$A$3:$H$102,7,FALSE)=main!$G$105,VLOOKUP(W$1,main!$A$3:$H$102,5,FALSE)-VLOOKUP($A244,main!$A$3:$H$102,6,FALSE)&gt;=main!$D$103+VLOOKUP(VLOOKUP(W$1,main!$A$3:$I$102,7,FALSE),main!$K$26:$Q$29,5,FALSE)),1,0)</f>
        <v>0</v>
      </c>
      <c r="X244">
        <f>IF(AND(VLOOKUP(X$1,main!$A$3:$H$102,7,FALSE)=main!$G$105,VLOOKUP(X$1,main!$A$3:$H$102,5,FALSE)-VLOOKUP($A244,main!$A$3:$H$102,6,FALSE)&gt;=main!$D$103+VLOOKUP(VLOOKUP(X$1,main!$A$3:$I$102,7,FALSE),main!$K$26:$Q$29,5,FALSE)),1,0)</f>
        <v>0</v>
      </c>
      <c r="Y244">
        <f>IF(AND(VLOOKUP(Y$1,main!$A$3:$H$102,7,FALSE)=main!$G$105,VLOOKUP(Y$1,main!$A$3:$H$102,5,FALSE)-VLOOKUP($A244,main!$A$3:$H$102,6,FALSE)&gt;=main!$D$103+VLOOKUP(VLOOKUP(Y$1,main!$A$3:$I$102,7,FALSE),main!$K$26:$Q$29,5,FALSE)),1,0)</f>
        <v>0</v>
      </c>
      <c r="Z244">
        <f>IF(AND(VLOOKUP(Z$1,main!$A$3:$H$102,7,FALSE)=main!$G$105,VLOOKUP(Z$1,main!$A$3:$H$102,5,FALSE)-VLOOKUP($A244,main!$A$3:$H$102,6,FALSE)&gt;=main!$D$103+VLOOKUP(VLOOKUP(Z$1,main!$A$3:$I$102,7,FALSE),main!$K$26:$Q$29,5,FALSE)),1,0)</f>
        <v>0</v>
      </c>
      <c r="AA244">
        <f>IF(AND(VLOOKUP(AA$1,main!$A$3:$H$102,7,FALSE)=main!$G$105,VLOOKUP(AA$1,main!$A$3:$H$102,5,FALSE)-VLOOKUP($A244,main!$A$3:$H$102,6,FALSE)&gt;=main!$D$103+VLOOKUP(VLOOKUP(AA$1,main!$A$3:$I$102,7,FALSE),main!$K$26:$Q$29,5,FALSE)),1,0)</f>
        <v>0</v>
      </c>
      <c r="AB244">
        <f>IF(AND(VLOOKUP(AB$1,main!$A$3:$H$102,7,FALSE)=main!$G$105,VLOOKUP(AB$1,main!$A$3:$H$102,5,FALSE)-VLOOKUP($A244,main!$A$3:$H$102,6,FALSE)&gt;=main!$D$103+VLOOKUP(VLOOKUP(AB$1,main!$A$3:$I$102,7,FALSE),main!$K$26:$Q$29,5,FALSE)),1,0)</f>
        <v>0</v>
      </c>
      <c r="AC244">
        <f>IF(AND(VLOOKUP(AC$1,main!$A$3:$H$102,7,FALSE)=main!$G$105,VLOOKUP(AC$1,main!$A$3:$H$102,5,FALSE)-VLOOKUP($A244,main!$A$3:$H$102,6,FALSE)&gt;=main!$D$103+VLOOKUP(VLOOKUP(AC$1,main!$A$3:$I$102,7,FALSE),main!$K$26:$Q$29,5,FALSE)),1,0)</f>
        <v>0</v>
      </c>
      <c r="AD244">
        <f>IF(AND(VLOOKUP(AD$1,main!$A$3:$H$102,7,FALSE)=main!$G$105,VLOOKUP(AD$1,main!$A$3:$H$102,5,FALSE)-VLOOKUP($A244,main!$A$3:$H$102,6,FALSE)&gt;=main!$D$103+VLOOKUP(VLOOKUP(AD$1,main!$A$3:$I$102,7,FALSE),main!$K$26:$Q$29,5,FALSE)),1,0)</f>
        <v>0</v>
      </c>
      <c r="AE244">
        <f>IF(AND(VLOOKUP(AE$1,main!$A$3:$H$102,7,FALSE)=main!$G$105,VLOOKUP(AE$1,main!$A$3:$H$102,5,FALSE)-VLOOKUP($A244,main!$A$3:$H$102,6,FALSE)&gt;=main!$D$103+VLOOKUP(VLOOKUP(AE$1,main!$A$3:$I$102,7,FALSE),main!$K$26:$Q$29,5,FALSE)),1,0)</f>
        <v>0</v>
      </c>
      <c r="AF244">
        <f>IF(AND(VLOOKUP(AF$1,main!$A$3:$H$102,7,FALSE)=main!$G$105,VLOOKUP(AF$1,main!$A$3:$H$102,5,FALSE)-VLOOKUP($A244,main!$A$3:$H$102,6,FALSE)&gt;=main!$D$103+VLOOKUP(VLOOKUP(AF$1,main!$A$3:$I$102,7,FALSE),main!$K$26:$Q$29,5,FALSE)),1,0)</f>
        <v>0</v>
      </c>
      <c r="AG244">
        <f>IF(AND(VLOOKUP(AG$1,main!$A$3:$H$102,7,FALSE)=main!$G$105,VLOOKUP(AG$1,main!$A$3:$H$102,5,FALSE)-VLOOKUP($A244,main!$A$3:$H$102,6,FALSE)&gt;=main!$D$103+VLOOKUP(VLOOKUP(AG$1,main!$A$3:$I$102,7,FALSE),main!$K$26:$Q$29,5,FALSE)),1,0)</f>
        <v>0</v>
      </c>
      <c r="AH244">
        <f>IF(AND(VLOOKUP(AH$1,main!$A$3:$H$102,7,FALSE)=main!$G$105,VLOOKUP(AH$1,main!$A$3:$H$102,5,FALSE)-VLOOKUP($A244,main!$A$3:$H$102,6,FALSE)&gt;=main!$D$103+VLOOKUP(VLOOKUP(AH$1,main!$A$3:$I$102,7,FALSE),main!$K$26:$Q$29,5,FALSE)),1,0)</f>
        <v>0</v>
      </c>
      <c r="AI244">
        <f>IF(AND(VLOOKUP(AI$1,main!$A$3:$H$102,7,FALSE)=main!$G$105,VLOOKUP(AI$1,main!$A$3:$H$102,5,FALSE)-VLOOKUP($A244,main!$A$3:$H$102,6,FALSE)&gt;=main!$D$103+VLOOKUP(VLOOKUP(AI$1,main!$A$3:$I$102,7,FALSE),main!$K$26:$Q$29,5,FALSE)),1,0)</f>
        <v>0</v>
      </c>
      <c r="AJ244">
        <f>IF(AND(VLOOKUP(AJ$1,main!$A$3:$H$102,7,FALSE)=main!$G$105,VLOOKUP(AJ$1,main!$A$3:$H$102,5,FALSE)-VLOOKUP($A244,main!$A$3:$H$102,6,FALSE)&gt;=main!$D$103+VLOOKUP(VLOOKUP(AJ$1,main!$A$3:$I$102,7,FALSE),main!$K$26:$Q$29,5,FALSE)),1,0)</f>
        <v>0</v>
      </c>
      <c r="AK244">
        <f>IF(AND(VLOOKUP(AK$1,main!$A$3:$H$102,7,FALSE)=main!$G$105,VLOOKUP(AK$1,main!$A$3:$H$102,5,FALSE)-VLOOKUP($A244,main!$A$3:$H$102,6,FALSE)&gt;=main!$D$103+VLOOKUP(VLOOKUP(AK$1,main!$A$3:$I$102,7,FALSE),main!$K$26:$Q$29,5,FALSE)),1,0)</f>
        <v>0</v>
      </c>
      <c r="AL244">
        <f>IF(AND(VLOOKUP(AL$1,main!$A$3:$H$102,7,FALSE)=main!$G$105,VLOOKUP(AL$1,main!$A$3:$H$102,5,FALSE)-VLOOKUP($A244,main!$A$3:$H$102,6,FALSE)&gt;=main!$D$103+VLOOKUP(VLOOKUP(AL$1,main!$A$3:$I$102,7,FALSE),main!$K$26:$Q$29,5,FALSE)),1,0)</f>
        <v>0</v>
      </c>
      <c r="AM244">
        <f>IF(AND(VLOOKUP(AM$1,main!$A$3:$H$102,7,FALSE)=main!$G$105,VLOOKUP(AM$1,main!$A$3:$H$102,5,FALSE)-VLOOKUP($A244,main!$A$3:$H$102,6,FALSE)&gt;=main!$D$103+VLOOKUP(VLOOKUP(AM$1,main!$A$3:$I$102,7,FALSE),main!$K$26:$Q$29,5,FALSE)),1,0)</f>
        <v>0</v>
      </c>
      <c r="AN244">
        <f>IF(AND(VLOOKUP(AN$1,main!$A$3:$H$102,7,FALSE)=main!$G$105,VLOOKUP(AN$1,main!$A$3:$H$102,5,FALSE)-VLOOKUP($A244,main!$A$3:$H$102,6,FALSE)&gt;=main!$D$103+VLOOKUP(VLOOKUP(AN$1,main!$A$3:$I$102,7,FALSE),main!$K$26:$Q$29,5,FALSE)),1,0)</f>
        <v>0</v>
      </c>
      <c r="AO244">
        <f>IF(AND(VLOOKUP(AO$1,main!$A$3:$H$102,7,FALSE)=main!$G$105,VLOOKUP(AO$1,main!$A$3:$H$102,5,FALSE)-VLOOKUP($A244,main!$A$3:$H$102,6,FALSE)&gt;=main!$D$103+VLOOKUP(VLOOKUP(AO$1,main!$A$3:$I$102,7,FALSE),main!$K$26:$Q$29,5,FALSE)),1,0)</f>
        <v>0</v>
      </c>
      <c r="AP244">
        <f>IF(AND(VLOOKUP(AP$1,main!$A$3:$H$102,7,FALSE)=main!$G$105,VLOOKUP(AP$1,main!$A$3:$H$102,5,FALSE)-VLOOKUP($A244,main!$A$3:$H$102,6,FALSE)&gt;=main!$D$103+VLOOKUP(VLOOKUP(AP$1,main!$A$3:$I$102,7,FALSE),main!$K$26:$Q$29,5,FALSE)),1,0)</f>
        <v>0</v>
      </c>
      <c r="AQ244">
        <f>IF(AND(VLOOKUP(AQ$1,main!$A$3:$H$102,7,FALSE)=main!$G$105,VLOOKUP(AQ$1,main!$A$3:$H$102,5,FALSE)-VLOOKUP($A244,main!$A$3:$H$102,6,FALSE)&gt;=main!$D$103+VLOOKUP(VLOOKUP(AQ$1,main!$A$3:$I$102,7,FALSE),main!$K$26:$Q$29,5,FALSE)),1,0)</f>
        <v>0</v>
      </c>
      <c r="AR244">
        <f>IF(AND(VLOOKUP(AR$1,main!$A$3:$H$102,7,FALSE)=main!$G$105,VLOOKUP(AR$1,main!$A$3:$H$102,5,FALSE)-VLOOKUP($A244,main!$A$3:$H$102,6,FALSE)&gt;=main!$D$103+VLOOKUP(VLOOKUP(AR$1,main!$A$3:$I$102,7,FALSE),main!$K$26:$Q$29,5,FALSE)),1,0)</f>
        <v>0</v>
      </c>
      <c r="AS244">
        <f>IF(AND(VLOOKUP(AS$1,main!$A$3:$H$102,7,FALSE)=main!$G$105,VLOOKUP(AS$1,main!$A$3:$H$102,5,FALSE)-VLOOKUP($A244,main!$A$3:$H$102,6,FALSE)&gt;=main!$D$103+VLOOKUP(VLOOKUP(AS$1,main!$A$3:$I$102,7,FALSE),main!$K$26:$Q$29,5,FALSE)),1,0)</f>
        <v>0</v>
      </c>
      <c r="AT244">
        <f>IF(AND(VLOOKUP(AT$1,main!$A$3:$H$102,7,FALSE)=main!$G$105,VLOOKUP(AT$1,main!$A$3:$H$102,5,FALSE)-VLOOKUP($A244,main!$A$3:$H$102,6,FALSE)&gt;=main!$D$103+VLOOKUP(VLOOKUP(AT$1,main!$A$3:$I$102,7,FALSE),main!$K$26:$Q$29,5,FALSE)),1,0)</f>
        <v>0</v>
      </c>
      <c r="AU244">
        <f>IF(AND(VLOOKUP(AU$1,main!$A$3:$H$102,7,FALSE)=main!$G$105,VLOOKUP(AU$1,main!$A$3:$H$102,5,FALSE)-VLOOKUP($A244,main!$A$3:$H$102,6,FALSE)&gt;=main!$D$103+VLOOKUP(VLOOKUP(AU$1,main!$A$3:$I$102,7,FALSE),main!$K$26:$Q$29,5,FALSE)),1,0)</f>
        <v>0</v>
      </c>
      <c r="AV244">
        <f>IF(AND(VLOOKUP(AV$1,main!$A$3:$H$102,7,FALSE)=main!$G$105,VLOOKUP(AV$1,main!$A$3:$H$102,5,FALSE)-VLOOKUP($A244,main!$A$3:$H$102,6,FALSE)&gt;=main!$D$103+VLOOKUP(VLOOKUP(AV$1,main!$A$3:$I$102,7,FALSE),main!$K$26:$Q$29,5,FALSE)),1,0)</f>
        <v>0</v>
      </c>
      <c r="AW244">
        <f>IF(AND(VLOOKUP(AW$1,main!$A$3:$H$102,7,FALSE)=main!$G$105,VLOOKUP(AW$1,main!$A$3:$H$102,5,FALSE)-VLOOKUP($A244,main!$A$3:$H$102,6,FALSE)&gt;=main!$D$103+VLOOKUP(VLOOKUP(AW$1,main!$A$3:$I$102,7,FALSE),main!$K$26:$Q$29,5,FALSE)),1,0)</f>
        <v>0</v>
      </c>
      <c r="AX244">
        <f>IF(AND(VLOOKUP(AX$1,main!$A$3:$H$102,7,FALSE)=main!$G$105,VLOOKUP(AX$1,main!$A$3:$H$102,5,FALSE)-VLOOKUP($A244,main!$A$3:$H$102,6,FALSE)&gt;=main!$D$103+VLOOKUP(VLOOKUP(AX$1,main!$A$3:$I$102,7,FALSE),main!$K$26:$Q$29,5,FALSE)),1,0)</f>
        <v>0</v>
      </c>
      <c r="AY244">
        <f>IF(AND(VLOOKUP(AY$1,main!$A$3:$H$102,7,FALSE)=main!$G$105,VLOOKUP(AY$1,main!$A$3:$H$102,5,FALSE)-VLOOKUP($A244,main!$A$3:$H$102,6,FALSE)&gt;=main!$D$103+VLOOKUP(VLOOKUP(AY$1,main!$A$3:$I$102,7,FALSE),main!$K$26:$Q$29,5,FALSE)),1,0)</f>
        <v>0</v>
      </c>
      <c r="AZ244">
        <f>IF(AND(VLOOKUP(AZ$1,main!$A$3:$H$102,7,FALSE)=main!$G$105,VLOOKUP(AZ$1,main!$A$3:$H$102,5,FALSE)-VLOOKUP($A244,main!$A$3:$H$102,6,FALSE)&gt;=main!$D$103+VLOOKUP(VLOOKUP(AZ$1,main!$A$3:$I$102,7,FALSE),main!$K$26:$Q$29,5,FALSE)),1,0)</f>
        <v>0</v>
      </c>
      <c r="BA244">
        <f>IF(AND(VLOOKUP(BA$1,main!$A$3:$H$102,7,FALSE)=main!$G$105,VLOOKUP(BA$1,main!$A$3:$H$102,5,FALSE)-VLOOKUP($A244,main!$A$3:$H$102,6,FALSE)&gt;=main!$D$103+VLOOKUP(VLOOKUP(BA$1,main!$A$3:$I$102,7,FALSE),main!$K$26:$Q$29,5,FALSE)),1,0)</f>
        <v>0</v>
      </c>
      <c r="BB244">
        <f>IF(AND(VLOOKUP(BB$1,main!$A$3:$H$102,7,FALSE)=main!$G$105,VLOOKUP(BB$1,main!$A$3:$H$102,5,FALSE)-VLOOKUP($A244,main!$A$3:$H$102,6,FALSE)&gt;=main!$D$103+VLOOKUP(VLOOKUP(BB$1,main!$A$3:$I$102,7,FALSE),main!$K$26:$Q$29,5,FALSE)),1,0)</f>
        <v>0</v>
      </c>
      <c r="BC244">
        <f>IF(AND(VLOOKUP(BC$1,main!$A$3:$H$102,7,FALSE)=main!$G$105,VLOOKUP(BC$1,main!$A$3:$H$102,5,FALSE)-VLOOKUP($A244,main!$A$3:$H$102,6,FALSE)&gt;=main!$D$103+VLOOKUP(VLOOKUP(BC$1,main!$A$3:$I$102,7,FALSE),main!$K$26:$Q$29,5,FALSE)),1,0)</f>
        <v>0</v>
      </c>
      <c r="BD244">
        <f>IF(AND(VLOOKUP(BD$1,main!$A$3:$H$102,7,FALSE)=main!$G$105,VLOOKUP(BD$1,main!$A$3:$H$102,5,FALSE)-VLOOKUP($A244,main!$A$3:$H$102,6,FALSE)&gt;=main!$D$103+VLOOKUP(VLOOKUP(BD$1,main!$A$3:$I$102,7,FALSE),main!$K$26:$Q$29,5,FALSE)),1,0)</f>
        <v>0</v>
      </c>
      <c r="BE244">
        <f>IF(AND(VLOOKUP(BE$1,main!$A$3:$H$102,7,FALSE)=main!$G$105,VLOOKUP(BE$1,main!$A$3:$H$102,5,FALSE)-VLOOKUP($A244,main!$A$3:$H$102,6,FALSE)&gt;=main!$D$103+VLOOKUP(VLOOKUP(BE$1,main!$A$3:$I$102,7,FALSE),main!$K$26:$Q$29,5,FALSE)),1,0)</f>
        <v>0</v>
      </c>
      <c r="BF244">
        <f>IF(AND(VLOOKUP(BF$1,main!$A$3:$H$102,7,FALSE)=main!$G$105,VLOOKUP(BF$1,main!$A$3:$H$102,5,FALSE)-VLOOKUP($A244,main!$A$3:$H$102,6,FALSE)&gt;=main!$D$103+VLOOKUP(VLOOKUP(BF$1,main!$A$3:$I$102,7,FALSE),main!$K$26:$Q$29,5,FALSE)),1,0)</f>
        <v>0</v>
      </c>
      <c r="BG244">
        <f>IF(AND(VLOOKUP(BG$1,main!$A$3:$H$102,7,FALSE)=main!$G$105,VLOOKUP(BG$1,main!$A$3:$H$102,5,FALSE)-VLOOKUP($A244,main!$A$3:$H$102,6,FALSE)&gt;=main!$D$103+VLOOKUP(VLOOKUP(BG$1,main!$A$3:$I$102,7,FALSE),main!$K$26:$Q$29,5,FALSE)),1,0)</f>
        <v>0</v>
      </c>
      <c r="BH244">
        <f>IF(AND(VLOOKUP(BH$1,main!$A$3:$H$102,7,FALSE)=main!$G$105,VLOOKUP(BH$1,main!$A$3:$H$102,5,FALSE)-VLOOKUP($A244,main!$A$3:$H$102,6,FALSE)&gt;=main!$D$103+VLOOKUP(VLOOKUP(BH$1,main!$A$3:$I$102,7,FALSE),main!$K$26:$Q$29,5,FALSE)),1,0)</f>
        <v>0</v>
      </c>
      <c r="BI244">
        <f>IF(AND(VLOOKUP(BI$1,main!$A$3:$H$102,7,FALSE)=main!$G$105,VLOOKUP(BI$1,main!$A$3:$H$102,5,FALSE)-VLOOKUP($A244,main!$A$3:$H$102,6,FALSE)&gt;=main!$D$103+VLOOKUP(VLOOKUP(BI$1,main!$A$3:$I$102,7,FALSE),main!$K$26:$Q$29,5,FALSE)),1,0)</f>
        <v>0</v>
      </c>
      <c r="BJ244">
        <f>IF(AND(VLOOKUP(BJ$1,main!$A$3:$H$102,7,FALSE)=main!$G$105,VLOOKUP(BJ$1,main!$A$3:$H$102,5,FALSE)-VLOOKUP($A244,main!$A$3:$H$102,6,FALSE)&gt;=main!$D$103+VLOOKUP(VLOOKUP(BJ$1,main!$A$3:$I$102,7,FALSE),main!$K$26:$Q$29,5,FALSE)),1,0)</f>
        <v>0</v>
      </c>
      <c r="BK244">
        <f>IF(AND(VLOOKUP(BK$1,main!$A$3:$H$102,7,FALSE)=main!$G$105,VLOOKUP(BK$1,main!$A$3:$H$102,5,FALSE)-VLOOKUP($A244,main!$A$3:$H$102,6,FALSE)&gt;=main!$D$103+VLOOKUP(VLOOKUP(BK$1,main!$A$3:$I$102,7,FALSE),main!$K$26:$Q$29,5,FALSE)),1,0)</f>
        <v>0</v>
      </c>
      <c r="BL244">
        <f>IF(AND(VLOOKUP(BL$1,main!$A$3:$H$102,7,FALSE)=main!$G$105,VLOOKUP(BL$1,main!$A$3:$H$102,5,FALSE)-VLOOKUP($A244,main!$A$3:$H$102,6,FALSE)&gt;=main!$D$103+VLOOKUP(VLOOKUP(BL$1,main!$A$3:$I$102,7,FALSE),main!$K$26:$Q$29,5,FALSE)),1,0)</f>
        <v>0</v>
      </c>
      <c r="BM244">
        <f>IF(AND(VLOOKUP(BM$1,main!$A$3:$H$102,7,FALSE)=main!$G$105,VLOOKUP(BM$1,main!$A$3:$H$102,5,FALSE)-VLOOKUP($A244,main!$A$3:$H$102,6,FALSE)&gt;=main!$D$103+VLOOKUP(VLOOKUP(BM$1,main!$A$3:$I$102,7,FALSE),main!$K$26:$Q$29,5,FALSE)),1,0)</f>
        <v>0</v>
      </c>
      <c r="BN244">
        <f>IF(AND(VLOOKUP(BN$1,main!$A$3:$H$102,7,FALSE)=main!$G$105,VLOOKUP(BN$1,main!$A$3:$H$102,5,FALSE)-VLOOKUP($A244,main!$A$3:$H$102,6,FALSE)&gt;=main!$D$103+VLOOKUP(VLOOKUP(BN$1,main!$A$3:$I$102,7,FALSE),main!$K$26:$Q$29,5,FALSE)),1,0)</f>
        <v>0</v>
      </c>
      <c r="BO244">
        <f>IF(AND(VLOOKUP(BO$1,main!$A$3:$H$102,7,FALSE)=main!$G$105,VLOOKUP(BO$1,main!$A$3:$H$102,5,FALSE)-VLOOKUP($A244,main!$A$3:$H$102,6,FALSE)&gt;=main!$D$103+VLOOKUP(VLOOKUP(BO$1,main!$A$3:$I$102,7,FALSE),main!$K$26:$Q$29,5,FALSE)),1,0)</f>
        <v>0</v>
      </c>
      <c r="BP244">
        <f>IF(AND(VLOOKUP(BP$1,main!$A$3:$H$102,7,FALSE)=main!$G$105,VLOOKUP(BP$1,main!$A$3:$H$102,5,FALSE)-VLOOKUP($A244,main!$A$3:$H$102,6,FALSE)&gt;=main!$D$103+VLOOKUP(VLOOKUP(BP$1,main!$A$3:$I$102,7,FALSE),main!$K$26:$Q$29,5,FALSE)),1,0)</f>
        <v>0</v>
      </c>
      <c r="BQ244">
        <f>IF(AND(VLOOKUP(BQ$1,main!$A$3:$H$102,7,FALSE)=main!$G$105,VLOOKUP(BQ$1,main!$A$3:$H$102,5,FALSE)-VLOOKUP($A244,main!$A$3:$H$102,6,FALSE)&gt;=main!$D$103+VLOOKUP(VLOOKUP(BQ$1,main!$A$3:$I$102,7,FALSE),main!$K$26:$Q$29,5,FALSE)),1,0)</f>
        <v>0</v>
      </c>
      <c r="BR244">
        <f>IF(AND(VLOOKUP(BR$1,main!$A$3:$H$102,7,FALSE)=main!$G$105,VLOOKUP(BR$1,main!$A$3:$H$102,5,FALSE)-VLOOKUP($A244,main!$A$3:$H$102,6,FALSE)&gt;=main!$D$103+VLOOKUP(VLOOKUP(BR$1,main!$A$3:$I$102,7,FALSE),main!$K$26:$Q$29,5,FALSE)),1,0)</f>
        <v>0</v>
      </c>
      <c r="BS244">
        <f>IF(AND(VLOOKUP(BS$1,main!$A$3:$H$102,7,FALSE)=main!$G$105,VLOOKUP(BS$1,main!$A$3:$H$102,5,FALSE)-VLOOKUP($A244,main!$A$3:$H$102,6,FALSE)&gt;=main!$D$103+VLOOKUP(VLOOKUP(BS$1,main!$A$3:$I$102,7,FALSE),main!$K$26:$Q$29,5,FALSE)),1,0)</f>
        <v>0</v>
      </c>
      <c r="BT244">
        <f>IF(AND(VLOOKUP(BT$1,main!$A$3:$H$102,7,FALSE)=main!$G$105,VLOOKUP(BT$1,main!$A$3:$H$102,5,FALSE)-VLOOKUP($A244,main!$A$3:$H$102,6,FALSE)&gt;=main!$D$103+VLOOKUP(VLOOKUP(BT$1,main!$A$3:$I$102,7,FALSE),main!$K$26:$Q$29,5,FALSE)),1,0)</f>
        <v>0</v>
      </c>
      <c r="BU244">
        <f>IF(AND(VLOOKUP(BU$1,main!$A$3:$H$102,7,FALSE)=main!$G$105,VLOOKUP(BU$1,main!$A$3:$H$102,5,FALSE)-VLOOKUP($A244,main!$A$3:$H$102,6,FALSE)&gt;=main!$D$103+VLOOKUP(VLOOKUP(BU$1,main!$A$3:$I$102,7,FALSE),main!$K$26:$Q$29,5,FALSE)),1,0)</f>
        <v>0</v>
      </c>
      <c r="BV244">
        <f>IF(AND(VLOOKUP(BV$1,main!$A$3:$H$102,7,FALSE)=main!$G$105,VLOOKUP(BV$1,main!$A$3:$H$102,5,FALSE)-VLOOKUP($A244,main!$A$3:$H$102,6,FALSE)&gt;=main!$D$103+VLOOKUP(VLOOKUP(BV$1,main!$A$3:$I$102,7,FALSE),main!$K$26:$Q$29,5,FALSE)),1,0)</f>
        <v>0</v>
      </c>
      <c r="BW244">
        <f>IF(AND(VLOOKUP(BW$1,main!$A$3:$H$102,7,FALSE)=main!$G$105,VLOOKUP(BW$1,main!$A$3:$H$102,5,FALSE)-VLOOKUP($A244,main!$A$3:$H$102,6,FALSE)&gt;=main!$D$103+VLOOKUP(VLOOKUP(BW$1,main!$A$3:$I$102,7,FALSE),main!$K$26:$Q$29,5,FALSE)),1,0)</f>
        <v>0</v>
      </c>
      <c r="BX244">
        <f>IF(AND(VLOOKUP(BX$1,main!$A$3:$H$102,7,FALSE)=main!$G$105,VLOOKUP(BX$1,main!$A$3:$H$102,5,FALSE)-VLOOKUP($A244,main!$A$3:$H$102,6,FALSE)&gt;=main!$D$103+VLOOKUP(VLOOKUP(BX$1,main!$A$3:$I$102,7,FALSE),main!$K$26:$Q$29,5,FALSE)),1,0)</f>
        <v>0</v>
      </c>
      <c r="BY244">
        <f>IF(AND(VLOOKUP(BY$1,main!$A$3:$H$102,7,FALSE)=main!$G$105,VLOOKUP(BY$1,main!$A$3:$H$102,5,FALSE)-VLOOKUP($A244,main!$A$3:$H$102,6,FALSE)&gt;=main!$D$103+VLOOKUP(VLOOKUP(BY$1,main!$A$3:$I$102,7,FALSE),main!$K$26:$Q$29,5,FALSE)),1,0)</f>
        <v>0</v>
      </c>
      <c r="BZ244">
        <f>IF(AND(VLOOKUP(BZ$1,main!$A$3:$H$102,7,FALSE)=main!$G$105,VLOOKUP(BZ$1,main!$A$3:$H$102,5,FALSE)-VLOOKUP($A244,main!$A$3:$H$102,6,FALSE)&gt;=main!$D$103+VLOOKUP(VLOOKUP(BZ$1,main!$A$3:$I$102,7,FALSE),main!$K$26:$Q$29,5,FALSE)),1,0)</f>
        <v>0</v>
      </c>
      <c r="CA244">
        <f>IF(AND(VLOOKUP(CA$1,main!$A$3:$H$102,7,FALSE)=main!$G$105,VLOOKUP(CA$1,main!$A$3:$H$102,5,FALSE)-VLOOKUP($A244,main!$A$3:$H$102,6,FALSE)&gt;=main!$D$103+VLOOKUP(VLOOKUP(CA$1,main!$A$3:$I$102,7,FALSE),main!$K$26:$Q$29,5,FALSE)),1,0)</f>
        <v>0</v>
      </c>
      <c r="CB244">
        <f>IF(AND(VLOOKUP(CB$1,main!$A$3:$H$102,7,FALSE)=main!$G$105,VLOOKUP(CB$1,main!$A$3:$H$102,5,FALSE)-VLOOKUP($A244,main!$A$3:$H$102,6,FALSE)&gt;=main!$D$103+VLOOKUP(VLOOKUP(CB$1,main!$A$3:$I$102,7,FALSE),main!$K$26:$Q$29,5,FALSE)),1,0)</f>
        <v>0</v>
      </c>
      <c r="CC244">
        <f>IF(AND(VLOOKUP(CC$1,main!$A$3:$H$102,7,FALSE)=main!$G$105,VLOOKUP(CC$1,main!$A$3:$H$102,5,FALSE)-VLOOKUP($A244,main!$A$3:$H$102,6,FALSE)&gt;=main!$D$103+VLOOKUP(VLOOKUP(CC$1,main!$A$3:$I$102,7,FALSE),main!$K$26:$Q$29,5,FALSE)),1,0)</f>
        <v>0</v>
      </c>
      <c r="CD244">
        <f>IF(AND(VLOOKUP(CD$1,main!$A$3:$H$102,7,FALSE)=main!$G$105,VLOOKUP(CD$1,main!$A$3:$H$102,5,FALSE)-VLOOKUP($A244,main!$A$3:$H$102,6,FALSE)&gt;=main!$D$103+VLOOKUP(VLOOKUP(CD$1,main!$A$3:$I$102,7,FALSE),main!$K$26:$Q$29,5,FALSE)),1,0)</f>
        <v>0</v>
      </c>
      <c r="CE244">
        <f>IF(AND(VLOOKUP(CE$1,main!$A$3:$H$102,7,FALSE)=main!$G$105,VLOOKUP(CE$1,main!$A$3:$H$102,5,FALSE)-VLOOKUP($A244,main!$A$3:$H$102,6,FALSE)&gt;=main!$D$103+VLOOKUP(VLOOKUP(CE$1,main!$A$3:$I$102,7,FALSE),main!$K$26:$Q$29,5,FALSE)),1,0)</f>
        <v>0</v>
      </c>
      <c r="CF244">
        <f>IF(AND(VLOOKUP(CF$1,main!$A$3:$H$102,7,FALSE)=main!$G$105,VLOOKUP(CF$1,main!$A$3:$H$102,5,FALSE)-VLOOKUP($A244,main!$A$3:$H$102,6,FALSE)&gt;=main!$D$103+VLOOKUP(VLOOKUP(CF$1,main!$A$3:$I$102,7,FALSE),main!$K$26:$Q$29,5,FALSE)),1,0)</f>
        <v>0</v>
      </c>
      <c r="CG244">
        <f>IF(AND(VLOOKUP(CG$1,main!$A$3:$H$102,7,FALSE)=main!$G$105,VLOOKUP(CG$1,main!$A$3:$H$102,5,FALSE)-VLOOKUP($A244,main!$A$3:$H$102,6,FALSE)&gt;=main!$D$103+VLOOKUP(VLOOKUP(CG$1,main!$A$3:$I$102,7,FALSE),main!$K$26:$Q$29,5,FALSE)),1,0)</f>
        <v>0</v>
      </c>
      <c r="CH244">
        <f>IF(AND(VLOOKUP(CH$1,main!$A$3:$H$102,7,FALSE)=main!$G$105,VLOOKUP(CH$1,main!$A$3:$H$102,5,FALSE)-VLOOKUP($A244,main!$A$3:$H$102,6,FALSE)&gt;=main!$D$103+VLOOKUP(VLOOKUP(CH$1,main!$A$3:$I$102,7,FALSE),main!$K$26:$Q$29,5,FALSE)),1,0)</f>
        <v>0</v>
      </c>
      <c r="CI244">
        <f>IF(AND(VLOOKUP(CI$1,main!$A$3:$H$102,7,FALSE)=main!$G$105,VLOOKUP(CI$1,main!$A$3:$H$102,5,FALSE)-VLOOKUP($A244,main!$A$3:$H$102,6,FALSE)&gt;=main!$D$103+VLOOKUP(VLOOKUP(CI$1,main!$A$3:$I$102,7,FALSE),main!$K$26:$Q$29,5,FALSE)),1,0)</f>
        <v>0</v>
      </c>
      <c r="CJ244">
        <f>IF(AND(VLOOKUP(CJ$1,main!$A$3:$H$102,7,FALSE)=main!$G$105,VLOOKUP(CJ$1,main!$A$3:$H$102,5,FALSE)-VLOOKUP($A244,main!$A$3:$H$102,6,FALSE)&gt;=main!$D$103+VLOOKUP(VLOOKUP(CJ$1,main!$A$3:$I$102,7,FALSE),main!$K$26:$Q$29,5,FALSE)),1,0)</f>
        <v>0</v>
      </c>
      <c r="CK244">
        <f>IF(AND(VLOOKUP(CK$1,main!$A$3:$H$102,7,FALSE)=main!$G$105,VLOOKUP(CK$1,main!$A$3:$H$102,5,FALSE)-VLOOKUP($A244,main!$A$3:$H$102,6,FALSE)&gt;=main!$D$103+VLOOKUP(VLOOKUP(CK$1,main!$A$3:$I$102,7,FALSE),main!$K$26:$Q$29,5,FALSE)),1,0)</f>
        <v>0</v>
      </c>
      <c r="CL244">
        <f>IF(AND(VLOOKUP(CL$1,main!$A$3:$H$102,7,FALSE)=main!$G$105,VLOOKUP(CL$1,main!$A$3:$H$102,5,FALSE)-VLOOKUP($A244,main!$A$3:$H$102,6,FALSE)&gt;=main!$D$103+VLOOKUP(VLOOKUP(CL$1,main!$A$3:$I$102,7,FALSE),main!$K$26:$Q$29,5,FALSE)),1,0)</f>
        <v>0</v>
      </c>
      <c r="CM244">
        <f>IF(AND(VLOOKUP(CM$1,main!$A$3:$H$102,7,FALSE)=main!$G$105,VLOOKUP(CM$1,main!$A$3:$H$102,5,FALSE)-VLOOKUP($A244,main!$A$3:$H$102,6,FALSE)&gt;=main!$D$103+VLOOKUP(VLOOKUP(CM$1,main!$A$3:$I$102,7,FALSE),main!$K$26:$Q$29,5,FALSE)),1,0)</f>
        <v>0</v>
      </c>
      <c r="CN244">
        <f>IF(AND(VLOOKUP(CN$1,main!$A$3:$H$102,7,FALSE)=main!$G$105,VLOOKUP(CN$1,main!$A$3:$H$102,5,FALSE)-VLOOKUP($A244,main!$A$3:$H$102,6,FALSE)&gt;=main!$D$103+VLOOKUP(VLOOKUP(CN$1,main!$A$3:$I$102,7,FALSE),main!$K$26:$Q$29,5,FALSE)),1,0)</f>
        <v>0</v>
      </c>
      <c r="CO244">
        <f>IF(AND(VLOOKUP(CO$1,main!$A$3:$H$102,7,FALSE)=main!$G$105,VLOOKUP(CO$1,main!$A$3:$H$102,5,FALSE)-VLOOKUP($A244,main!$A$3:$H$102,6,FALSE)&gt;=main!$D$103+VLOOKUP(VLOOKUP(CO$1,main!$A$3:$I$102,7,FALSE),main!$K$26:$Q$29,5,FALSE)),1,0)</f>
        <v>0</v>
      </c>
      <c r="CP244">
        <f>IF(AND(VLOOKUP(CP$1,main!$A$3:$H$102,7,FALSE)=main!$G$105,VLOOKUP(CP$1,main!$A$3:$H$102,5,FALSE)-VLOOKUP($A244,main!$A$3:$H$102,6,FALSE)&gt;=main!$D$103+VLOOKUP(VLOOKUP(CP$1,main!$A$3:$I$102,7,FALSE),main!$K$26:$Q$29,5,FALSE)),1,0)</f>
        <v>0</v>
      </c>
      <c r="CQ244">
        <f>IF(AND(VLOOKUP(CQ$1,main!$A$3:$H$102,7,FALSE)=main!$G$105,VLOOKUP(CQ$1,main!$A$3:$H$102,5,FALSE)-VLOOKUP($A244,main!$A$3:$H$102,6,FALSE)&gt;=main!$D$103+VLOOKUP(VLOOKUP(CQ$1,main!$A$3:$I$102,7,FALSE),main!$K$26:$Q$29,5,FALSE)),1,0)</f>
        <v>0</v>
      </c>
      <c r="CR244">
        <f>IF(AND(VLOOKUP(CR$1,main!$A$3:$H$102,7,FALSE)=main!$G$105,VLOOKUP(CR$1,main!$A$3:$H$102,5,FALSE)-VLOOKUP($A244,main!$A$3:$H$102,6,FALSE)&gt;=main!$D$103+VLOOKUP(VLOOKUP(CR$1,main!$A$3:$I$102,7,FALSE),main!$K$26:$Q$29,5,FALSE)),1,0)</f>
        <v>0</v>
      </c>
      <c r="CS244">
        <f>IF(AND(VLOOKUP(CS$1,main!$A$3:$H$102,7,FALSE)=main!$G$105,VLOOKUP(CS$1,main!$A$3:$H$102,5,FALSE)-VLOOKUP($A244,main!$A$3:$H$102,6,FALSE)&gt;=main!$D$103+VLOOKUP(VLOOKUP(CS$1,main!$A$3:$I$102,7,FALSE),main!$K$26:$Q$29,5,FALSE)),1,0)</f>
        <v>0</v>
      </c>
      <c r="CT244">
        <f>IF(AND(VLOOKUP(CT$1,main!$A$3:$H$102,7,FALSE)=main!$G$105,VLOOKUP(CT$1,main!$A$3:$H$102,5,FALSE)-VLOOKUP($A244,main!$A$3:$H$102,6,FALSE)&gt;=main!$D$103+VLOOKUP(VLOOKUP(CT$1,main!$A$3:$I$102,7,FALSE),main!$K$26:$Q$29,5,FALSE)),1,0)</f>
        <v>0</v>
      </c>
      <c r="CU244">
        <f>IF(AND(VLOOKUP(CU$1,main!$A$3:$H$102,7,FALSE)=main!$G$105,VLOOKUP(CU$1,main!$A$3:$H$102,5,FALSE)-VLOOKUP($A244,main!$A$3:$H$102,6,FALSE)&gt;=main!$D$103+VLOOKUP(VLOOKUP(CU$1,main!$A$3:$I$102,7,FALSE),main!$K$26:$Q$29,5,FALSE)),1,0)</f>
        <v>0</v>
      </c>
      <c r="CV244">
        <f>IF(AND(VLOOKUP(CV$1,main!$A$3:$H$102,7,FALSE)=main!$G$105,VLOOKUP(CV$1,main!$A$3:$H$102,5,FALSE)-VLOOKUP($A244,main!$A$3:$H$102,6,FALSE)&gt;=main!$D$103+VLOOKUP(VLOOKUP(CV$1,main!$A$3:$I$102,7,FALSE),main!$K$26:$Q$29,5,FALSE)),1,0)</f>
        <v>0</v>
      </c>
      <c r="CW244">
        <f>IF(AND(VLOOKUP(CW$1,main!$A$3:$H$102,7,FALSE)=main!$G$105,VLOOKUP(CW$1,main!$A$3:$H$102,5,FALSE)-VLOOKUP($A244,main!$A$3:$H$102,6,FALSE)&gt;=main!$D$103+VLOOKUP(VLOOKUP(CW$1,main!$A$3:$I$102,7,FALSE),main!$K$26:$Q$29,5,FALSE)),1,0)</f>
        <v>0</v>
      </c>
      <c r="CX244">
        <f>IF(AND(VLOOKUP(CX$1,main!$A$3:$H$102,7,FALSE)=main!$G$105,VLOOKUP(CX$1,main!$A$3:$H$102,5,FALSE)-VLOOKUP($A244,main!$A$3:$H$102,6,FALSE)&gt;=main!$D$103+VLOOKUP(VLOOKUP(CX$1,main!$A$3:$I$102,7,FALSE),main!$K$26:$Q$29,5,FALSE)),1,0)</f>
        <v>0</v>
      </c>
    </row>
    <row r="245" spans="1:102" x14ac:dyDescent="0.25">
      <c r="A245" s="1">
        <v>41</v>
      </c>
      <c r="B245">
        <v>0</v>
      </c>
      <c r="C245">
        <f>IF(AND(VLOOKUP(C$1,main!$A$3:$H$102,7,FALSE)=main!$G$105,VLOOKUP(C$1,main!$A$3:$H$102,5,FALSE)-VLOOKUP($A245,main!$A$3:$H$102,6,FALSE)&gt;=main!$D$103+VLOOKUP(VLOOKUP(C$1,main!$A$3:$I$102,7,FALSE),main!$K$26:$Q$29,5,FALSE)),1,0)</f>
        <v>0</v>
      </c>
      <c r="D245">
        <f>IF(AND(VLOOKUP(D$1,main!$A$3:$H$102,7,FALSE)=main!$G$105,VLOOKUP(D$1,main!$A$3:$H$102,5,FALSE)-VLOOKUP($A245,main!$A$3:$H$102,6,FALSE)&gt;=main!$D$103+VLOOKUP(VLOOKUP(D$1,main!$A$3:$I$102,7,FALSE),main!$K$26:$Q$29,5,FALSE)),1,0)</f>
        <v>0</v>
      </c>
      <c r="E245">
        <f>IF(AND(VLOOKUP(E$1,main!$A$3:$H$102,7,FALSE)=main!$G$105,VLOOKUP(E$1,main!$A$3:$H$102,5,FALSE)-VLOOKUP($A245,main!$A$3:$H$102,6,FALSE)&gt;=main!$D$103+VLOOKUP(VLOOKUP(E$1,main!$A$3:$I$102,7,FALSE),main!$K$26:$Q$29,5,FALSE)),1,0)</f>
        <v>0</v>
      </c>
      <c r="F245">
        <f>IF(AND(VLOOKUP(F$1,main!$A$3:$H$102,7,FALSE)=main!$G$105,VLOOKUP(F$1,main!$A$3:$H$102,5,FALSE)-VLOOKUP($A245,main!$A$3:$H$102,6,FALSE)&gt;=main!$D$103+VLOOKUP(VLOOKUP(F$1,main!$A$3:$I$102,7,FALSE),main!$K$26:$Q$29,5,FALSE)),1,0)</f>
        <v>0</v>
      </c>
      <c r="G245">
        <f>IF(AND(VLOOKUP(G$1,main!$A$3:$H$102,7,FALSE)=main!$G$105,VLOOKUP(G$1,main!$A$3:$H$102,5,FALSE)-VLOOKUP($A245,main!$A$3:$H$102,6,FALSE)&gt;=main!$D$103+VLOOKUP(VLOOKUP(G$1,main!$A$3:$I$102,7,FALSE),main!$K$26:$Q$29,5,FALSE)),1,0)</f>
        <v>0</v>
      </c>
      <c r="H245">
        <f>IF(AND(VLOOKUP(H$1,main!$A$3:$H$102,7,FALSE)=main!$G$105,VLOOKUP(H$1,main!$A$3:$H$102,5,FALSE)-VLOOKUP($A245,main!$A$3:$H$102,6,FALSE)&gt;=main!$D$103+VLOOKUP(VLOOKUP(H$1,main!$A$3:$I$102,7,FALSE),main!$K$26:$Q$29,5,FALSE)),1,0)</f>
        <v>0</v>
      </c>
      <c r="I245">
        <f>IF(AND(VLOOKUP(I$1,main!$A$3:$H$102,7,FALSE)=main!$G$105,VLOOKUP(I$1,main!$A$3:$H$102,5,FALSE)-VLOOKUP($A245,main!$A$3:$H$102,6,FALSE)&gt;=main!$D$103+VLOOKUP(VLOOKUP(I$1,main!$A$3:$I$102,7,FALSE),main!$K$26:$Q$29,5,FALSE)),1,0)</f>
        <v>0</v>
      </c>
      <c r="J245">
        <f>IF(AND(VLOOKUP(J$1,main!$A$3:$H$102,7,FALSE)=main!$G$105,VLOOKUP(J$1,main!$A$3:$H$102,5,FALSE)-VLOOKUP($A245,main!$A$3:$H$102,6,FALSE)&gt;=main!$D$103+VLOOKUP(VLOOKUP(J$1,main!$A$3:$I$102,7,FALSE),main!$K$26:$Q$29,5,FALSE)),1,0)</f>
        <v>0</v>
      </c>
      <c r="K245">
        <f>IF(AND(VLOOKUP(K$1,main!$A$3:$H$102,7,FALSE)=main!$G$105,VLOOKUP(K$1,main!$A$3:$H$102,5,FALSE)-VLOOKUP($A245,main!$A$3:$H$102,6,FALSE)&gt;=main!$D$103+VLOOKUP(VLOOKUP(K$1,main!$A$3:$I$102,7,FALSE),main!$K$26:$Q$29,5,FALSE)),1,0)</f>
        <v>0</v>
      </c>
      <c r="L245">
        <f>IF(AND(VLOOKUP(L$1,main!$A$3:$H$102,7,FALSE)=main!$G$105,VLOOKUP(L$1,main!$A$3:$H$102,5,FALSE)-VLOOKUP($A245,main!$A$3:$H$102,6,FALSE)&gt;=main!$D$103+VLOOKUP(VLOOKUP(L$1,main!$A$3:$I$102,7,FALSE),main!$K$26:$Q$29,5,FALSE)),1,0)</f>
        <v>0</v>
      </c>
      <c r="M245">
        <f>IF(AND(VLOOKUP(M$1,main!$A$3:$H$102,7,FALSE)=main!$G$105,VLOOKUP(M$1,main!$A$3:$H$102,5,FALSE)-VLOOKUP($A245,main!$A$3:$H$102,6,FALSE)&gt;=main!$D$103+VLOOKUP(VLOOKUP(M$1,main!$A$3:$I$102,7,FALSE),main!$K$26:$Q$29,5,FALSE)),1,0)</f>
        <v>0</v>
      </c>
      <c r="N245">
        <f>IF(AND(VLOOKUP(N$1,main!$A$3:$H$102,7,FALSE)=main!$G$105,VLOOKUP(N$1,main!$A$3:$H$102,5,FALSE)-VLOOKUP($A245,main!$A$3:$H$102,6,FALSE)&gt;=main!$D$103+VLOOKUP(VLOOKUP(N$1,main!$A$3:$I$102,7,FALSE),main!$K$26:$Q$29,5,FALSE)),1,0)</f>
        <v>0</v>
      </c>
      <c r="O245">
        <f>IF(AND(VLOOKUP(O$1,main!$A$3:$H$102,7,FALSE)=main!$G$105,VLOOKUP(O$1,main!$A$3:$H$102,5,FALSE)-VLOOKUP($A245,main!$A$3:$H$102,6,FALSE)&gt;=main!$D$103+VLOOKUP(VLOOKUP(O$1,main!$A$3:$I$102,7,FALSE),main!$K$26:$Q$29,5,FALSE)),1,0)</f>
        <v>0</v>
      </c>
      <c r="P245">
        <f>IF(AND(VLOOKUP(P$1,main!$A$3:$H$102,7,FALSE)=main!$G$105,VLOOKUP(P$1,main!$A$3:$H$102,5,FALSE)-VLOOKUP($A245,main!$A$3:$H$102,6,FALSE)&gt;=main!$D$103+VLOOKUP(VLOOKUP(P$1,main!$A$3:$I$102,7,FALSE),main!$K$26:$Q$29,5,FALSE)),1,0)</f>
        <v>0</v>
      </c>
      <c r="Q245">
        <f>IF(AND(VLOOKUP(Q$1,main!$A$3:$H$102,7,FALSE)=main!$G$105,VLOOKUP(Q$1,main!$A$3:$H$102,5,FALSE)-VLOOKUP($A245,main!$A$3:$H$102,6,FALSE)&gt;=main!$D$103+VLOOKUP(VLOOKUP(Q$1,main!$A$3:$I$102,7,FALSE),main!$K$26:$Q$29,5,FALSE)),1,0)</f>
        <v>0</v>
      </c>
      <c r="R245">
        <f>IF(AND(VLOOKUP(R$1,main!$A$3:$H$102,7,FALSE)=main!$G$105,VLOOKUP(R$1,main!$A$3:$H$102,5,FALSE)-VLOOKUP($A245,main!$A$3:$H$102,6,FALSE)&gt;=main!$D$103+VLOOKUP(VLOOKUP(R$1,main!$A$3:$I$102,7,FALSE),main!$K$26:$Q$29,5,FALSE)),1,0)</f>
        <v>0</v>
      </c>
      <c r="S245">
        <f>IF(AND(VLOOKUP(S$1,main!$A$3:$H$102,7,FALSE)=main!$G$105,VLOOKUP(S$1,main!$A$3:$H$102,5,FALSE)-VLOOKUP($A245,main!$A$3:$H$102,6,FALSE)&gt;=main!$D$103+VLOOKUP(VLOOKUP(S$1,main!$A$3:$I$102,7,FALSE),main!$K$26:$Q$29,5,FALSE)),1,0)</f>
        <v>0</v>
      </c>
      <c r="T245">
        <f>IF(AND(VLOOKUP(T$1,main!$A$3:$H$102,7,FALSE)=main!$G$105,VLOOKUP(T$1,main!$A$3:$H$102,5,FALSE)-VLOOKUP($A245,main!$A$3:$H$102,6,FALSE)&gt;=main!$D$103+VLOOKUP(VLOOKUP(T$1,main!$A$3:$I$102,7,FALSE),main!$K$26:$Q$29,5,FALSE)),1,0)</f>
        <v>0</v>
      </c>
      <c r="U245">
        <f>IF(AND(VLOOKUP(U$1,main!$A$3:$H$102,7,FALSE)=main!$G$105,VLOOKUP(U$1,main!$A$3:$H$102,5,FALSE)-VLOOKUP($A245,main!$A$3:$H$102,6,FALSE)&gt;=main!$D$103+VLOOKUP(VLOOKUP(U$1,main!$A$3:$I$102,7,FALSE),main!$K$26:$Q$29,5,FALSE)),1,0)</f>
        <v>0</v>
      </c>
      <c r="V245">
        <f>IF(AND(VLOOKUP(V$1,main!$A$3:$H$102,7,FALSE)=main!$G$105,VLOOKUP(V$1,main!$A$3:$H$102,5,FALSE)-VLOOKUP($A245,main!$A$3:$H$102,6,FALSE)&gt;=main!$D$103+VLOOKUP(VLOOKUP(V$1,main!$A$3:$I$102,7,FALSE),main!$K$26:$Q$29,5,FALSE)),1,0)</f>
        <v>0</v>
      </c>
      <c r="W245">
        <f>IF(AND(VLOOKUP(W$1,main!$A$3:$H$102,7,FALSE)=main!$G$105,VLOOKUP(W$1,main!$A$3:$H$102,5,FALSE)-VLOOKUP($A245,main!$A$3:$H$102,6,FALSE)&gt;=main!$D$103+VLOOKUP(VLOOKUP(W$1,main!$A$3:$I$102,7,FALSE),main!$K$26:$Q$29,5,FALSE)),1,0)</f>
        <v>0</v>
      </c>
      <c r="X245">
        <f>IF(AND(VLOOKUP(X$1,main!$A$3:$H$102,7,FALSE)=main!$G$105,VLOOKUP(X$1,main!$A$3:$H$102,5,FALSE)-VLOOKUP($A245,main!$A$3:$H$102,6,FALSE)&gt;=main!$D$103+VLOOKUP(VLOOKUP(X$1,main!$A$3:$I$102,7,FALSE),main!$K$26:$Q$29,5,FALSE)),1,0)</f>
        <v>0</v>
      </c>
      <c r="Y245">
        <f>IF(AND(VLOOKUP(Y$1,main!$A$3:$H$102,7,FALSE)=main!$G$105,VLOOKUP(Y$1,main!$A$3:$H$102,5,FALSE)-VLOOKUP($A245,main!$A$3:$H$102,6,FALSE)&gt;=main!$D$103+VLOOKUP(VLOOKUP(Y$1,main!$A$3:$I$102,7,FALSE),main!$K$26:$Q$29,5,FALSE)),1,0)</f>
        <v>0</v>
      </c>
      <c r="Z245">
        <f>IF(AND(VLOOKUP(Z$1,main!$A$3:$H$102,7,FALSE)=main!$G$105,VLOOKUP(Z$1,main!$A$3:$H$102,5,FALSE)-VLOOKUP($A245,main!$A$3:$H$102,6,FALSE)&gt;=main!$D$103+VLOOKUP(VLOOKUP(Z$1,main!$A$3:$I$102,7,FALSE),main!$K$26:$Q$29,5,FALSE)),1,0)</f>
        <v>0</v>
      </c>
      <c r="AA245">
        <f>IF(AND(VLOOKUP(AA$1,main!$A$3:$H$102,7,FALSE)=main!$G$105,VLOOKUP(AA$1,main!$A$3:$H$102,5,FALSE)-VLOOKUP($A245,main!$A$3:$H$102,6,FALSE)&gt;=main!$D$103+VLOOKUP(VLOOKUP(AA$1,main!$A$3:$I$102,7,FALSE),main!$K$26:$Q$29,5,FALSE)),1,0)</f>
        <v>0</v>
      </c>
      <c r="AB245">
        <f>IF(AND(VLOOKUP(AB$1,main!$A$3:$H$102,7,FALSE)=main!$G$105,VLOOKUP(AB$1,main!$A$3:$H$102,5,FALSE)-VLOOKUP($A245,main!$A$3:$H$102,6,FALSE)&gt;=main!$D$103+VLOOKUP(VLOOKUP(AB$1,main!$A$3:$I$102,7,FALSE),main!$K$26:$Q$29,5,FALSE)),1,0)</f>
        <v>0</v>
      </c>
      <c r="AC245">
        <f>IF(AND(VLOOKUP(AC$1,main!$A$3:$H$102,7,FALSE)=main!$G$105,VLOOKUP(AC$1,main!$A$3:$H$102,5,FALSE)-VLOOKUP($A245,main!$A$3:$H$102,6,FALSE)&gt;=main!$D$103+VLOOKUP(VLOOKUP(AC$1,main!$A$3:$I$102,7,FALSE),main!$K$26:$Q$29,5,FALSE)),1,0)</f>
        <v>0</v>
      </c>
      <c r="AD245">
        <f>IF(AND(VLOOKUP(AD$1,main!$A$3:$H$102,7,FALSE)=main!$G$105,VLOOKUP(AD$1,main!$A$3:$H$102,5,FALSE)-VLOOKUP($A245,main!$A$3:$H$102,6,FALSE)&gt;=main!$D$103+VLOOKUP(VLOOKUP(AD$1,main!$A$3:$I$102,7,FALSE),main!$K$26:$Q$29,5,FALSE)),1,0)</f>
        <v>0</v>
      </c>
      <c r="AE245">
        <f>IF(AND(VLOOKUP(AE$1,main!$A$3:$H$102,7,FALSE)=main!$G$105,VLOOKUP(AE$1,main!$A$3:$H$102,5,FALSE)-VLOOKUP($A245,main!$A$3:$H$102,6,FALSE)&gt;=main!$D$103+VLOOKUP(VLOOKUP(AE$1,main!$A$3:$I$102,7,FALSE),main!$K$26:$Q$29,5,FALSE)),1,0)</f>
        <v>0</v>
      </c>
      <c r="AF245">
        <f>IF(AND(VLOOKUP(AF$1,main!$A$3:$H$102,7,FALSE)=main!$G$105,VLOOKUP(AF$1,main!$A$3:$H$102,5,FALSE)-VLOOKUP($A245,main!$A$3:$H$102,6,FALSE)&gt;=main!$D$103+VLOOKUP(VLOOKUP(AF$1,main!$A$3:$I$102,7,FALSE),main!$K$26:$Q$29,5,FALSE)),1,0)</f>
        <v>0</v>
      </c>
      <c r="AG245">
        <f>IF(AND(VLOOKUP(AG$1,main!$A$3:$H$102,7,FALSE)=main!$G$105,VLOOKUP(AG$1,main!$A$3:$H$102,5,FALSE)-VLOOKUP($A245,main!$A$3:$H$102,6,FALSE)&gt;=main!$D$103+VLOOKUP(VLOOKUP(AG$1,main!$A$3:$I$102,7,FALSE),main!$K$26:$Q$29,5,FALSE)),1,0)</f>
        <v>0</v>
      </c>
      <c r="AH245">
        <f>IF(AND(VLOOKUP(AH$1,main!$A$3:$H$102,7,FALSE)=main!$G$105,VLOOKUP(AH$1,main!$A$3:$H$102,5,FALSE)-VLOOKUP($A245,main!$A$3:$H$102,6,FALSE)&gt;=main!$D$103+VLOOKUP(VLOOKUP(AH$1,main!$A$3:$I$102,7,FALSE),main!$K$26:$Q$29,5,FALSE)),1,0)</f>
        <v>1</v>
      </c>
      <c r="AI245">
        <f>IF(AND(VLOOKUP(AI$1,main!$A$3:$H$102,7,FALSE)=main!$G$105,VLOOKUP(AI$1,main!$A$3:$H$102,5,FALSE)-VLOOKUP($A245,main!$A$3:$H$102,6,FALSE)&gt;=main!$D$103+VLOOKUP(VLOOKUP(AI$1,main!$A$3:$I$102,7,FALSE),main!$K$26:$Q$29,5,FALSE)),1,0)</f>
        <v>1</v>
      </c>
      <c r="AJ245">
        <f>IF(AND(VLOOKUP(AJ$1,main!$A$3:$H$102,7,FALSE)=main!$G$105,VLOOKUP(AJ$1,main!$A$3:$H$102,5,FALSE)-VLOOKUP($A245,main!$A$3:$H$102,6,FALSE)&gt;=main!$D$103+VLOOKUP(VLOOKUP(AJ$1,main!$A$3:$I$102,7,FALSE),main!$K$26:$Q$29,5,FALSE)),1,0)</f>
        <v>1</v>
      </c>
      <c r="AK245">
        <f>IF(AND(VLOOKUP(AK$1,main!$A$3:$H$102,7,FALSE)=main!$G$105,VLOOKUP(AK$1,main!$A$3:$H$102,5,FALSE)-VLOOKUP($A245,main!$A$3:$H$102,6,FALSE)&gt;=main!$D$103+VLOOKUP(VLOOKUP(AK$1,main!$A$3:$I$102,7,FALSE),main!$K$26:$Q$29,5,FALSE)),1,0)</f>
        <v>1</v>
      </c>
      <c r="AL245">
        <f>IF(AND(VLOOKUP(AL$1,main!$A$3:$H$102,7,FALSE)=main!$G$105,VLOOKUP(AL$1,main!$A$3:$H$102,5,FALSE)-VLOOKUP($A245,main!$A$3:$H$102,6,FALSE)&gt;=main!$D$103+VLOOKUP(VLOOKUP(AL$1,main!$A$3:$I$102,7,FALSE),main!$K$26:$Q$29,5,FALSE)),1,0)</f>
        <v>1</v>
      </c>
      <c r="AM245">
        <f>IF(AND(VLOOKUP(AM$1,main!$A$3:$H$102,7,FALSE)=main!$G$105,VLOOKUP(AM$1,main!$A$3:$H$102,5,FALSE)-VLOOKUP($A245,main!$A$3:$H$102,6,FALSE)&gt;=main!$D$103+VLOOKUP(VLOOKUP(AM$1,main!$A$3:$I$102,7,FALSE),main!$K$26:$Q$29,5,FALSE)),1,0)</f>
        <v>1</v>
      </c>
      <c r="AN245">
        <f>IF(AND(VLOOKUP(AN$1,main!$A$3:$H$102,7,FALSE)=main!$G$105,VLOOKUP(AN$1,main!$A$3:$H$102,5,FALSE)-VLOOKUP($A245,main!$A$3:$H$102,6,FALSE)&gt;=main!$D$103+VLOOKUP(VLOOKUP(AN$1,main!$A$3:$I$102,7,FALSE),main!$K$26:$Q$29,5,FALSE)),1,0)</f>
        <v>1</v>
      </c>
      <c r="AO245">
        <f>IF(AND(VLOOKUP(AO$1,main!$A$3:$H$102,7,FALSE)=main!$G$105,VLOOKUP(AO$1,main!$A$3:$H$102,5,FALSE)-VLOOKUP($A245,main!$A$3:$H$102,6,FALSE)&gt;=main!$D$103+VLOOKUP(VLOOKUP(AO$1,main!$A$3:$I$102,7,FALSE),main!$K$26:$Q$29,5,FALSE)),1,0)</f>
        <v>0</v>
      </c>
      <c r="AP245">
        <f>IF(AND(VLOOKUP(AP$1,main!$A$3:$H$102,7,FALSE)=main!$G$105,VLOOKUP(AP$1,main!$A$3:$H$102,5,FALSE)-VLOOKUP($A245,main!$A$3:$H$102,6,FALSE)&gt;=main!$D$103+VLOOKUP(VLOOKUP(AP$1,main!$A$3:$I$102,7,FALSE),main!$K$26:$Q$29,5,FALSE)),1,0)</f>
        <v>1</v>
      </c>
      <c r="AQ245">
        <f>IF(AND(VLOOKUP(AQ$1,main!$A$3:$H$102,7,FALSE)=main!$G$105,VLOOKUP(AQ$1,main!$A$3:$H$102,5,FALSE)-VLOOKUP($A245,main!$A$3:$H$102,6,FALSE)&gt;=main!$D$103+VLOOKUP(VLOOKUP(AQ$1,main!$A$3:$I$102,7,FALSE),main!$K$26:$Q$29,5,FALSE)),1,0)</f>
        <v>0</v>
      </c>
      <c r="AR245">
        <f>IF(AND(VLOOKUP(AR$1,main!$A$3:$H$102,7,FALSE)=main!$G$105,VLOOKUP(AR$1,main!$A$3:$H$102,5,FALSE)-VLOOKUP($A245,main!$A$3:$H$102,6,FALSE)&gt;=main!$D$103+VLOOKUP(VLOOKUP(AR$1,main!$A$3:$I$102,7,FALSE),main!$K$26:$Q$29,5,FALSE)),1,0)</f>
        <v>0</v>
      </c>
      <c r="AS245">
        <f>IF(AND(VLOOKUP(AS$1,main!$A$3:$H$102,7,FALSE)=main!$G$105,VLOOKUP(AS$1,main!$A$3:$H$102,5,FALSE)-VLOOKUP($A245,main!$A$3:$H$102,6,FALSE)&gt;=main!$D$103+VLOOKUP(VLOOKUP(AS$1,main!$A$3:$I$102,7,FALSE),main!$K$26:$Q$29,5,FALSE)),1,0)</f>
        <v>1</v>
      </c>
      <c r="AT245">
        <f>IF(AND(VLOOKUP(AT$1,main!$A$3:$H$102,7,FALSE)=main!$G$105,VLOOKUP(AT$1,main!$A$3:$H$102,5,FALSE)-VLOOKUP($A245,main!$A$3:$H$102,6,FALSE)&gt;=main!$D$103+VLOOKUP(VLOOKUP(AT$1,main!$A$3:$I$102,7,FALSE),main!$K$26:$Q$29,5,FALSE)),1,0)</f>
        <v>1</v>
      </c>
      <c r="AU245">
        <f>IF(AND(VLOOKUP(AU$1,main!$A$3:$H$102,7,FALSE)=main!$G$105,VLOOKUP(AU$1,main!$A$3:$H$102,5,FALSE)-VLOOKUP($A245,main!$A$3:$H$102,6,FALSE)&gt;=main!$D$103+VLOOKUP(VLOOKUP(AU$1,main!$A$3:$I$102,7,FALSE),main!$K$26:$Q$29,5,FALSE)),1,0)</f>
        <v>0</v>
      </c>
      <c r="AV245">
        <f>IF(AND(VLOOKUP(AV$1,main!$A$3:$H$102,7,FALSE)=main!$G$105,VLOOKUP(AV$1,main!$A$3:$H$102,5,FALSE)-VLOOKUP($A245,main!$A$3:$H$102,6,FALSE)&gt;=main!$D$103+VLOOKUP(VLOOKUP(AV$1,main!$A$3:$I$102,7,FALSE),main!$K$26:$Q$29,5,FALSE)),1,0)</f>
        <v>0</v>
      </c>
      <c r="AW245">
        <f>IF(AND(VLOOKUP(AW$1,main!$A$3:$H$102,7,FALSE)=main!$G$105,VLOOKUP(AW$1,main!$A$3:$H$102,5,FALSE)-VLOOKUP($A245,main!$A$3:$H$102,6,FALSE)&gt;=main!$D$103+VLOOKUP(VLOOKUP(AW$1,main!$A$3:$I$102,7,FALSE),main!$K$26:$Q$29,5,FALSE)),1,0)</f>
        <v>1</v>
      </c>
      <c r="AX245">
        <f>IF(AND(VLOOKUP(AX$1,main!$A$3:$H$102,7,FALSE)=main!$G$105,VLOOKUP(AX$1,main!$A$3:$H$102,5,FALSE)-VLOOKUP($A245,main!$A$3:$H$102,6,FALSE)&gt;=main!$D$103+VLOOKUP(VLOOKUP(AX$1,main!$A$3:$I$102,7,FALSE),main!$K$26:$Q$29,5,FALSE)),1,0)</f>
        <v>1</v>
      </c>
      <c r="AY245">
        <f>IF(AND(VLOOKUP(AY$1,main!$A$3:$H$102,7,FALSE)=main!$G$105,VLOOKUP(AY$1,main!$A$3:$H$102,5,FALSE)-VLOOKUP($A245,main!$A$3:$H$102,6,FALSE)&gt;=main!$D$103+VLOOKUP(VLOOKUP(AY$1,main!$A$3:$I$102,7,FALSE),main!$K$26:$Q$29,5,FALSE)),1,0)</f>
        <v>0</v>
      </c>
      <c r="AZ245">
        <f>IF(AND(VLOOKUP(AZ$1,main!$A$3:$H$102,7,FALSE)=main!$G$105,VLOOKUP(AZ$1,main!$A$3:$H$102,5,FALSE)-VLOOKUP($A245,main!$A$3:$H$102,6,FALSE)&gt;=main!$D$103+VLOOKUP(VLOOKUP(AZ$1,main!$A$3:$I$102,7,FALSE),main!$K$26:$Q$29,5,FALSE)),1,0)</f>
        <v>1</v>
      </c>
      <c r="BA245">
        <f>IF(AND(VLOOKUP(BA$1,main!$A$3:$H$102,7,FALSE)=main!$G$105,VLOOKUP(BA$1,main!$A$3:$H$102,5,FALSE)-VLOOKUP($A245,main!$A$3:$H$102,6,FALSE)&gt;=main!$D$103+VLOOKUP(VLOOKUP(BA$1,main!$A$3:$I$102,7,FALSE),main!$K$26:$Q$29,5,FALSE)),1,0)</f>
        <v>0</v>
      </c>
      <c r="BB245">
        <f>IF(AND(VLOOKUP(BB$1,main!$A$3:$H$102,7,FALSE)=main!$G$105,VLOOKUP(BB$1,main!$A$3:$H$102,5,FALSE)-VLOOKUP($A245,main!$A$3:$H$102,6,FALSE)&gt;=main!$D$103+VLOOKUP(VLOOKUP(BB$1,main!$A$3:$I$102,7,FALSE),main!$K$26:$Q$29,5,FALSE)),1,0)</f>
        <v>0</v>
      </c>
      <c r="BC245">
        <f>IF(AND(VLOOKUP(BC$1,main!$A$3:$H$102,7,FALSE)=main!$G$105,VLOOKUP(BC$1,main!$A$3:$H$102,5,FALSE)-VLOOKUP($A245,main!$A$3:$H$102,6,FALSE)&gt;=main!$D$103+VLOOKUP(VLOOKUP(BC$1,main!$A$3:$I$102,7,FALSE),main!$K$26:$Q$29,5,FALSE)),1,0)</f>
        <v>0</v>
      </c>
      <c r="BD245">
        <f>IF(AND(VLOOKUP(BD$1,main!$A$3:$H$102,7,FALSE)=main!$G$105,VLOOKUP(BD$1,main!$A$3:$H$102,5,FALSE)-VLOOKUP($A245,main!$A$3:$H$102,6,FALSE)&gt;=main!$D$103+VLOOKUP(VLOOKUP(BD$1,main!$A$3:$I$102,7,FALSE),main!$K$26:$Q$29,5,FALSE)),1,0)</f>
        <v>0</v>
      </c>
      <c r="BE245">
        <f>IF(AND(VLOOKUP(BE$1,main!$A$3:$H$102,7,FALSE)=main!$G$105,VLOOKUP(BE$1,main!$A$3:$H$102,5,FALSE)-VLOOKUP($A245,main!$A$3:$H$102,6,FALSE)&gt;=main!$D$103+VLOOKUP(VLOOKUP(BE$1,main!$A$3:$I$102,7,FALSE),main!$K$26:$Q$29,5,FALSE)),1,0)</f>
        <v>0</v>
      </c>
      <c r="BF245">
        <f>IF(AND(VLOOKUP(BF$1,main!$A$3:$H$102,7,FALSE)=main!$G$105,VLOOKUP(BF$1,main!$A$3:$H$102,5,FALSE)-VLOOKUP($A245,main!$A$3:$H$102,6,FALSE)&gt;=main!$D$103+VLOOKUP(VLOOKUP(BF$1,main!$A$3:$I$102,7,FALSE),main!$K$26:$Q$29,5,FALSE)),1,0)</f>
        <v>0</v>
      </c>
      <c r="BG245">
        <f>IF(AND(VLOOKUP(BG$1,main!$A$3:$H$102,7,FALSE)=main!$G$105,VLOOKUP(BG$1,main!$A$3:$H$102,5,FALSE)-VLOOKUP($A245,main!$A$3:$H$102,6,FALSE)&gt;=main!$D$103+VLOOKUP(VLOOKUP(BG$1,main!$A$3:$I$102,7,FALSE),main!$K$26:$Q$29,5,FALSE)),1,0)</f>
        <v>0</v>
      </c>
      <c r="BH245">
        <f>IF(AND(VLOOKUP(BH$1,main!$A$3:$H$102,7,FALSE)=main!$G$105,VLOOKUP(BH$1,main!$A$3:$H$102,5,FALSE)-VLOOKUP($A245,main!$A$3:$H$102,6,FALSE)&gt;=main!$D$103+VLOOKUP(VLOOKUP(BH$1,main!$A$3:$I$102,7,FALSE),main!$K$26:$Q$29,5,FALSE)),1,0)</f>
        <v>0</v>
      </c>
      <c r="BI245">
        <f>IF(AND(VLOOKUP(BI$1,main!$A$3:$H$102,7,FALSE)=main!$G$105,VLOOKUP(BI$1,main!$A$3:$H$102,5,FALSE)-VLOOKUP($A245,main!$A$3:$H$102,6,FALSE)&gt;=main!$D$103+VLOOKUP(VLOOKUP(BI$1,main!$A$3:$I$102,7,FALSE),main!$K$26:$Q$29,5,FALSE)),1,0)</f>
        <v>0</v>
      </c>
      <c r="BJ245">
        <f>IF(AND(VLOOKUP(BJ$1,main!$A$3:$H$102,7,FALSE)=main!$G$105,VLOOKUP(BJ$1,main!$A$3:$H$102,5,FALSE)-VLOOKUP($A245,main!$A$3:$H$102,6,FALSE)&gt;=main!$D$103+VLOOKUP(VLOOKUP(BJ$1,main!$A$3:$I$102,7,FALSE),main!$K$26:$Q$29,5,FALSE)),1,0)</f>
        <v>0</v>
      </c>
      <c r="BK245">
        <f>IF(AND(VLOOKUP(BK$1,main!$A$3:$H$102,7,FALSE)=main!$G$105,VLOOKUP(BK$1,main!$A$3:$H$102,5,FALSE)-VLOOKUP($A245,main!$A$3:$H$102,6,FALSE)&gt;=main!$D$103+VLOOKUP(VLOOKUP(BK$1,main!$A$3:$I$102,7,FALSE),main!$K$26:$Q$29,5,FALSE)),1,0)</f>
        <v>0</v>
      </c>
      <c r="BL245">
        <f>IF(AND(VLOOKUP(BL$1,main!$A$3:$H$102,7,FALSE)=main!$G$105,VLOOKUP(BL$1,main!$A$3:$H$102,5,FALSE)-VLOOKUP($A245,main!$A$3:$H$102,6,FALSE)&gt;=main!$D$103+VLOOKUP(VLOOKUP(BL$1,main!$A$3:$I$102,7,FALSE),main!$K$26:$Q$29,5,FALSE)),1,0)</f>
        <v>0</v>
      </c>
      <c r="BM245">
        <f>IF(AND(VLOOKUP(BM$1,main!$A$3:$H$102,7,FALSE)=main!$G$105,VLOOKUP(BM$1,main!$A$3:$H$102,5,FALSE)-VLOOKUP($A245,main!$A$3:$H$102,6,FALSE)&gt;=main!$D$103+VLOOKUP(VLOOKUP(BM$1,main!$A$3:$I$102,7,FALSE),main!$K$26:$Q$29,5,FALSE)),1,0)</f>
        <v>0</v>
      </c>
      <c r="BN245">
        <f>IF(AND(VLOOKUP(BN$1,main!$A$3:$H$102,7,FALSE)=main!$G$105,VLOOKUP(BN$1,main!$A$3:$H$102,5,FALSE)-VLOOKUP($A245,main!$A$3:$H$102,6,FALSE)&gt;=main!$D$103+VLOOKUP(VLOOKUP(BN$1,main!$A$3:$I$102,7,FALSE),main!$K$26:$Q$29,5,FALSE)),1,0)</f>
        <v>0</v>
      </c>
      <c r="BO245">
        <f>IF(AND(VLOOKUP(BO$1,main!$A$3:$H$102,7,FALSE)=main!$G$105,VLOOKUP(BO$1,main!$A$3:$H$102,5,FALSE)-VLOOKUP($A245,main!$A$3:$H$102,6,FALSE)&gt;=main!$D$103+VLOOKUP(VLOOKUP(BO$1,main!$A$3:$I$102,7,FALSE),main!$K$26:$Q$29,5,FALSE)),1,0)</f>
        <v>0</v>
      </c>
      <c r="BP245">
        <f>IF(AND(VLOOKUP(BP$1,main!$A$3:$H$102,7,FALSE)=main!$G$105,VLOOKUP(BP$1,main!$A$3:$H$102,5,FALSE)-VLOOKUP($A245,main!$A$3:$H$102,6,FALSE)&gt;=main!$D$103+VLOOKUP(VLOOKUP(BP$1,main!$A$3:$I$102,7,FALSE),main!$K$26:$Q$29,5,FALSE)),1,0)</f>
        <v>0</v>
      </c>
      <c r="BQ245">
        <f>IF(AND(VLOOKUP(BQ$1,main!$A$3:$H$102,7,FALSE)=main!$G$105,VLOOKUP(BQ$1,main!$A$3:$H$102,5,FALSE)-VLOOKUP($A245,main!$A$3:$H$102,6,FALSE)&gt;=main!$D$103+VLOOKUP(VLOOKUP(BQ$1,main!$A$3:$I$102,7,FALSE),main!$K$26:$Q$29,5,FALSE)),1,0)</f>
        <v>0</v>
      </c>
      <c r="BR245">
        <f>IF(AND(VLOOKUP(BR$1,main!$A$3:$H$102,7,FALSE)=main!$G$105,VLOOKUP(BR$1,main!$A$3:$H$102,5,FALSE)-VLOOKUP($A245,main!$A$3:$H$102,6,FALSE)&gt;=main!$D$103+VLOOKUP(VLOOKUP(BR$1,main!$A$3:$I$102,7,FALSE),main!$K$26:$Q$29,5,FALSE)),1,0)</f>
        <v>0</v>
      </c>
      <c r="BS245">
        <f>IF(AND(VLOOKUP(BS$1,main!$A$3:$H$102,7,FALSE)=main!$G$105,VLOOKUP(BS$1,main!$A$3:$H$102,5,FALSE)-VLOOKUP($A245,main!$A$3:$H$102,6,FALSE)&gt;=main!$D$103+VLOOKUP(VLOOKUP(BS$1,main!$A$3:$I$102,7,FALSE),main!$K$26:$Q$29,5,FALSE)),1,0)</f>
        <v>0</v>
      </c>
      <c r="BT245">
        <f>IF(AND(VLOOKUP(BT$1,main!$A$3:$H$102,7,FALSE)=main!$G$105,VLOOKUP(BT$1,main!$A$3:$H$102,5,FALSE)-VLOOKUP($A245,main!$A$3:$H$102,6,FALSE)&gt;=main!$D$103+VLOOKUP(VLOOKUP(BT$1,main!$A$3:$I$102,7,FALSE),main!$K$26:$Q$29,5,FALSE)),1,0)</f>
        <v>0</v>
      </c>
      <c r="BU245">
        <f>IF(AND(VLOOKUP(BU$1,main!$A$3:$H$102,7,FALSE)=main!$G$105,VLOOKUP(BU$1,main!$A$3:$H$102,5,FALSE)-VLOOKUP($A245,main!$A$3:$H$102,6,FALSE)&gt;=main!$D$103+VLOOKUP(VLOOKUP(BU$1,main!$A$3:$I$102,7,FALSE),main!$K$26:$Q$29,5,FALSE)),1,0)</f>
        <v>0</v>
      </c>
      <c r="BV245">
        <f>IF(AND(VLOOKUP(BV$1,main!$A$3:$H$102,7,FALSE)=main!$G$105,VLOOKUP(BV$1,main!$A$3:$H$102,5,FALSE)-VLOOKUP($A245,main!$A$3:$H$102,6,FALSE)&gt;=main!$D$103+VLOOKUP(VLOOKUP(BV$1,main!$A$3:$I$102,7,FALSE),main!$K$26:$Q$29,5,FALSE)),1,0)</f>
        <v>0</v>
      </c>
      <c r="BW245">
        <f>IF(AND(VLOOKUP(BW$1,main!$A$3:$H$102,7,FALSE)=main!$G$105,VLOOKUP(BW$1,main!$A$3:$H$102,5,FALSE)-VLOOKUP($A245,main!$A$3:$H$102,6,FALSE)&gt;=main!$D$103+VLOOKUP(VLOOKUP(BW$1,main!$A$3:$I$102,7,FALSE),main!$K$26:$Q$29,5,FALSE)),1,0)</f>
        <v>0</v>
      </c>
      <c r="BX245">
        <f>IF(AND(VLOOKUP(BX$1,main!$A$3:$H$102,7,FALSE)=main!$G$105,VLOOKUP(BX$1,main!$A$3:$H$102,5,FALSE)-VLOOKUP($A245,main!$A$3:$H$102,6,FALSE)&gt;=main!$D$103+VLOOKUP(VLOOKUP(BX$1,main!$A$3:$I$102,7,FALSE),main!$K$26:$Q$29,5,FALSE)),1,0)</f>
        <v>0</v>
      </c>
      <c r="BY245">
        <f>IF(AND(VLOOKUP(BY$1,main!$A$3:$H$102,7,FALSE)=main!$G$105,VLOOKUP(BY$1,main!$A$3:$H$102,5,FALSE)-VLOOKUP($A245,main!$A$3:$H$102,6,FALSE)&gt;=main!$D$103+VLOOKUP(VLOOKUP(BY$1,main!$A$3:$I$102,7,FALSE),main!$K$26:$Q$29,5,FALSE)),1,0)</f>
        <v>0</v>
      </c>
      <c r="BZ245">
        <f>IF(AND(VLOOKUP(BZ$1,main!$A$3:$H$102,7,FALSE)=main!$G$105,VLOOKUP(BZ$1,main!$A$3:$H$102,5,FALSE)-VLOOKUP($A245,main!$A$3:$H$102,6,FALSE)&gt;=main!$D$103+VLOOKUP(VLOOKUP(BZ$1,main!$A$3:$I$102,7,FALSE),main!$K$26:$Q$29,5,FALSE)),1,0)</f>
        <v>0</v>
      </c>
      <c r="CA245">
        <f>IF(AND(VLOOKUP(CA$1,main!$A$3:$H$102,7,FALSE)=main!$G$105,VLOOKUP(CA$1,main!$A$3:$H$102,5,FALSE)-VLOOKUP($A245,main!$A$3:$H$102,6,FALSE)&gt;=main!$D$103+VLOOKUP(VLOOKUP(CA$1,main!$A$3:$I$102,7,FALSE),main!$K$26:$Q$29,5,FALSE)),1,0)</f>
        <v>0</v>
      </c>
      <c r="CB245">
        <f>IF(AND(VLOOKUP(CB$1,main!$A$3:$H$102,7,FALSE)=main!$G$105,VLOOKUP(CB$1,main!$A$3:$H$102,5,FALSE)-VLOOKUP($A245,main!$A$3:$H$102,6,FALSE)&gt;=main!$D$103+VLOOKUP(VLOOKUP(CB$1,main!$A$3:$I$102,7,FALSE),main!$K$26:$Q$29,5,FALSE)),1,0)</f>
        <v>0</v>
      </c>
      <c r="CC245">
        <f>IF(AND(VLOOKUP(CC$1,main!$A$3:$H$102,7,FALSE)=main!$G$105,VLOOKUP(CC$1,main!$A$3:$H$102,5,FALSE)-VLOOKUP($A245,main!$A$3:$H$102,6,FALSE)&gt;=main!$D$103+VLOOKUP(VLOOKUP(CC$1,main!$A$3:$I$102,7,FALSE),main!$K$26:$Q$29,5,FALSE)),1,0)</f>
        <v>0</v>
      </c>
      <c r="CD245">
        <f>IF(AND(VLOOKUP(CD$1,main!$A$3:$H$102,7,FALSE)=main!$G$105,VLOOKUP(CD$1,main!$A$3:$H$102,5,FALSE)-VLOOKUP($A245,main!$A$3:$H$102,6,FALSE)&gt;=main!$D$103+VLOOKUP(VLOOKUP(CD$1,main!$A$3:$I$102,7,FALSE),main!$K$26:$Q$29,5,FALSE)),1,0)</f>
        <v>0</v>
      </c>
      <c r="CE245">
        <f>IF(AND(VLOOKUP(CE$1,main!$A$3:$H$102,7,FALSE)=main!$G$105,VLOOKUP(CE$1,main!$A$3:$H$102,5,FALSE)-VLOOKUP($A245,main!$A$3:$H$102,6,FALSE)&gt;=main!$D$103+VLOOKUP(VLOOKUP(CE$1,main!$A$3:$I$102,7,FALSE),main!$K$26:$Q$29,5,FALSE)),1,0)</f>
        <v>0</v>
      </c>
      <c r="CF245">
        <f>IF(AND(VLOOKUP(CF$1,main!$A$3:$H$102,7,FALSE)=main!$G$105,VLOOKUP(CF$1,main!$A$3:$H$102,5,FALSE)-VLOOKUP($A245,main!$A$3:$H$102,6,FALSE)&gt;=main!$D$103+VLOOKUP(VLOOKUP(CF$1,main!$A$3:$I$102,7,FALSE),main!$K$26:$Q$29,5,FALSE)),1,0)</f>
        <v>0</v>
      </c>
      <c r="CG245">
        <f>IF(AND(VLOOKUP(CG$1,main!$A$3:$H$102,7,FALSE)=main!$G$105,VLOOKUP(CG$1,main!$A$3:$H$102,5,FALSE)-VLOOKUP($A245,main!$A$3:$H$102,6,FALSE)&gt;=main!$D$103+VLOOKUP(VLOOKUP(CG$1,main!$A$3:$I$102,7,FALSE),main!$K$26:$Q$29,5,FALSE)),1,0)</f>
        <v>0</v>
      </c>
      <c r="CH245">
        <f>IF(AND(VLOOKUP(CH$1,main!$A$3:$H$102,7,FALSE)=main!$G$105,VLOOKUP(CH$1,main!$A$3:$H$102,5,FALSE)-VLOOKUP($A245,main!$A$3:$H$102,6,FALSE)&gt;=main!$D$103+VLOOKUP(VLOOKUP(CH$1,main!$A$3:$I$102,7,FALSE),main!$K$26:$Q$29,5,FALSE)),1,0)</f>
        <v>0</v>
      </c>
      <c r="CI245">
        <f>IF(AND(VLOOKUP(CI$1,main!$A$3:$H$102,7,FALSE)=main!$G$105,VLOOKUP(CI$1,main!$A$3:$H$102,5,FALSE)-VLOOKUP($A245,main!$A$3:$H$102,6,FALSE)&gt;=main!$D$103+VLOOKUP(VLOOKUP(CI$1,main!$A$3:$I$102,7,FALSE),main!$K$26:$Q$29,5,FALSE)),1,0)</f>
        <v>0</v>
      </c>
      <c r="CJ245">
        <f>IF(AND(VLOOKUP(CJ$1,main!$A$3:$H$102,7,FALSE)=main!$G$105,VLOOKUP(CJ$1,main!$A$3:$H$102,5,FALSE)-VLOOKUP($A245,main!$A$3:$H$102,6,FALSE)&gt;=main!$D$103+VLOOKUP(VLOOKUP(CJ$1,main!$A$3:$I$102,7,FALSE),main!$K$26:$Q$29,5,FALSE)),1,0)</f>
        <v>0</v>
      </c>
      <c r="CK245">
        <f>IF(AND(VLOOKUP(CK$1,main!$A$3:$H$102,7,FALSE)=main!$G$105,VLOOKUP(CK$1,main!$A$3:$H$102,5,FALSE)-VLOOKUP($A245,main!$A$3:$H$102,6,FALSE)&gt;=main!$D$103+VLOOKUP(VLOOKUP(CK$1,main!$A$3:$I$102,7,FALSE),main!$K$26:$Q$29,5,FALSE)),1,0)</f>
        <v>0</v>
      </c>
      <c r="CL245">
        <f>IF(AND(VLOOKUP(CL$1,main!$A$3:$H$102,7,FALSE)=main!$G$105,VLOOKUP(CL$1,main!$A$3:$H$102,5,FALSE)-VLOOKUP($A245,main!$A$3:$H$102,6,FALSE)&gt;=main!$D$103+VLOOKUP(VLOOKUP(CL$1,main!$A$3:$I$102,7,FALSE),main!$K$26:$Q$29,5,FALSE)),1,0)</f>
        <v>0</v>
      </c>
      <c r="CM245">
        <f>IF(AND(VLOOKUP(CM$1,main!$A$3:$H$102,7,FALSE)=main!$G$105,VLOOKUP(CM$1,main!$A$3:$H$102,5,FALSE)-VLOOKUP($A245,main!$A$3:$H$102,6,FALSE)&gt;=main!$D$103+VLOOKUP(VLOOKUP(CM$1,main!$A$3:$I$102,7,FALSE),main!$K$26:$Q$29,5,FALSE)),1,0)</f>
        <v>0</v>
      </c>
      <c r="CN245">
        <f>IF(AND(VLOOKUP(CN$1,main!$A$3:$H$102,7,FALSE)=main!$G$105,VLOOKUP(CN$1,main!$A$3:$H$102,5,FALSE)-VLOOKUP($A245,main!$A$3:$H$102,6,FALSE)&gt;=main!$D$103+VLOOKUP(VLOOKUP(CN$1,main!$A$3:$I$102,7,FALSE),main!$K$26:$Q$29,5,FALSE)),1,0)</f>
        <v>0</v>
      </c>
      <c r="CO245">
        <f>IF(AND(VLOOKUP(CO$1,main!$A$3:$H$102,7,FALSE)=main!$G$105,VLOOKUP(CO$1,main!$A$3:$H$102,5,FALSE)-VLOOKUP($A245,main!$A$3:$H$102,6,FALSE)&gt;=main!$D$103+VLOOKUP(VLOOKUP(CO$1,main!$A$3:$I$102,7,FALSE),main!$K$26:$Q$29,5,FALSE)),1,0)</f>
        <v>0</v>
      </c>
      <c r="CP245">
        <f>IF(AND(VLOOKUP(CP$1,main!$A$3:$H$102,7,FALSE)=main!$G$105,VLOOKUP(CP$1,main!$A$3:$H$102,5,FALSE)-VLOOKUP($A245,main!$A$3:$H$102,6,FALSE)&gt;=main!$D$103+VLOOKUP(VLOOKUP(CP$1,main!$A$3:$I$102,7,FALSE),main!$K$26:$Q$29,5,FALSE)),1,0)</f>
        <v>0</v>
      </c>
      <c r="CQ245">
        <f>IF(AND(VLOOKUP(CQ$1,main!$A$3:$H$102,7,FALSE)=main!$G$105,VLOOKUP(CQ$1,main!$A$3:$H$102,5,FALSE)-VLOOKUP($A245,main!$A$3:$H$102,6,FALSE)&gt;=main!$D$103+VLOOKUP(VLOOKUP(CQ$1,main!$A$3:$I$102,7,FALSE),main!$K$26:$Q$29,5,FALSE)),1,0)</f>
        <v>0</v>
      </c>
      <c r="CR245">
        <f>IF(AND(VLOOKUP(CR$1,main!$A$3:$H$102,7,FALSE)=main!$G$105,VLOOKUP(CR$1,main!$A$3:$H$102,5,FALSE)-VLOOKUP($A245,main!$A$3:$H$102,6,FALSE)&gt;=main!$D$103+VLOOKUP(VLOOKUP(CR$1,main!$A$3:$I$102,7,FALSE),main!$K$26:$Q$29,5,FALSE)),1,0)</f>
        <v>0</v>
      </c>
      <c r="CS245">
        <f>IF(AND(VLOOKUP(CS$1,main!$A$3:$H$102,7,FALSE)=main!$G$105,VLOOKUP(CS$1,main!$A$3:$H$102,5,FALSE)-VLOOKUP($A245,main!$A$3:$H$102,6,FALSE)&gt;=main!$D$103+VLOOKUP(VLOOKUP(CS$1,main!$A$3:$I$102,7,FALSE),main!$K$26:$Q$29,5,FALSE)),1,0)</f>
        <v>0</v>
      </c>
      <c r="CT245">
        <f>IF(AND(VLOOKUP(CT$1,main!$A$3:$H$102,7,FALSE)=main!$G$105,VLOOKUP(CT$1,main!$A$3:$H$102,5,FALSE)-VLOOKUP($A245,main!$A$3:$H$102,6,FALSE)&gt;=main!$D$103+VLOOKUP(VLOOKUP(CT$1,main!$A$3:$I$102,7,FALSE),main!$K$26:$Q$29,5,FALSE)),1,0)</f>
        <v>0</v>
      </c>
      <c r="CU245">
        <f>IF(AND(VLOOKUP(CU$1,main!$A$3:$H$102,7,FALSE)=main!$G$105,VLOOKUP(CU$1,main!$A$3:$H$102,5,FALSE)-VLOOKUP($A245,main!$A$3:$H$102,6,FALSE)&gt;=main!$D$103+VLOOKUP(VLOOKUP(CU$1,main!$A$3:$I$102,7,FALSE),main!$K$26:$Q$29,5,FALSE)),1,0)</f>
        <v>0</v>
      </c>
      <c r="CV245">
        <f>IF(AND(VLOOKUP(CV$1,main!$A$3:$H$102,7,FALSE)=main!$G$105,VLOOKUP(CV$1,main!$A$3:$H$102,5,FALSE)-VLOOKUP($A245,main!$A$3:$H$102,6,FALSE)&gt;=main!$D$103+VLOOKUP(VLOOKUP(CV$1,main!$A$3:$I$102,7,FALSE),main!$K$26:$Q$29,5,FALSE)),1,0)</f>
        <v>0</v>
      </c>
      <c r="CW245">
        <f>IF(AND(VLOOKUP(CW$1,main!$A$3:$H$102,7,FALSE)=main!$G$105,VLOOKUP(CW$1,main!$A$3:$H$102,5,FALSE)-VLOOKUP($A245,main!$A$3:$H$102,6,FALSE)&gt;=main!$D$103+VLOOKUP(VLOOKUP(CW$1,main!$A$3:$I$102,7,FALSE),main!$K$26:$Q$29,5,FALSE)),1,0)</f>
        <v>0</v>
      </c>
      <c r="CX245">
        <f>IF(AND(VLOOKUP(CX$1,main!$A$3:$H$102,7,FALSE)=main!$G$105,VLOOKUP(CX$1,main!$A$3:$H$102,5,FALSE)-VLOOKUP($A245,main!$A$3:$H$102,6,FALSE)&gt;=main!$D$103+VLOOKUP(VLOOKUP(CX$1,main!$A$3:$I$102,7,FALSE),main!$K$26:$Q$29,5,FALSE)),1,0)</f>
        <v>0</v>
      </c>
    </row>
    <row r="246" spans="1:102" x14ac:dyDescent="0.25">
      <c r="A246" s="1">
        <v>42</v>
      </c>
      <c r="B246">
        <v>0</v>
      </c>
      <c r="C246">
        <f>IF(AND(VLOOKUP(C$1,main!$A$3:$H$102,7,FALSE)=main!$G$105,VLOOKUP(C$1,main!$A$3:$H$102,5,FALSE)-VLOOKUP($A246,main!$A$3:$H$102,6,FALSE)&gt;=main!$D$103+VLOOKUP(VLOOKUP(C$1,main!$A$3:$I$102,7,FALSE),main!$K$26:$Q$29,5,FALSE)),1,0)</f>
        <v>0</v>
      </c>
      <c r="D246">
        <f>IF(AND(VLOOKUP(D$1,main!$A$3:$H$102,7,FALSE)=main!$G$105,VLOOKUP(D$1,main!$A$3:$H$102,5,FALSE)-VLOOKUP($A246,main!$A$3:$H$102,6,FALSE)&gt;=main!$D$103+VLOOKUP(VLOOKUP(D$1,main!$A$3:$I$102,7,FALSE),main!$K$26:$Q$29,5,FALSE)),1,0)</f>
        <v>0</v>
      </c>
      <c r="E246">
        <f>IF(AND(VLOOKUP(E$1,main!$A$3:$H$102,7,FALSE)=main!$G$105,VLOOKUP(E$1,main!$A$3:$H$102,5,FALSE)-VLOOKUP($A246,main!$A$3:$H$102,6,FALSE)&gt;=main!$D$103+VLOOKUP(VLOOKUP(E$1,main!$A$3:$I$102,7,FALSE),main!$K$26:$Q$29,5,FALSE)),1,0)</f>
        <v>0</v>
      </c>
      <c r="F246">
        <f>IF(AND(VLOOKUP(F$1,main!$A$3:$H$102,7,FALSE)=main!$G$105,VLOOKUP(F$1,main!$A$3:$H$102,5,FALSE)-VLOOKUP($A246,main!$A$3:$H$102,6,FALSE)&gt;=main!$D$103+VLOOKUP(VLOOKUP(F$1,main!$A$3:$I$102,7,FALSE),main!$K$26:$Q$29,5,FALSE)),1,0)</f>
        <v>0</v>
      </c>
      <c r="G246">
        <f>IF(AND(VLOOKUP(G$1,main!$A$3:$H$102,7,FALSE)=main!$G$105,VLOOKUP(G$1,main!$A$3:$H$102,5,FALSE)-VLOOKUP($A246,main!$A$3:$H$102,6,FALSE)&gt;=main!$D$103+VLOOKUP(VLOOKUP(G$1,main!$A$3:$I$102,7,FALSE),main!$K$26:$Q$29,5,FALSE)),1,0)</f>
        <v>0</v>
      </c>
      <c r="H246">
        <f>IF(AND(VLOOKUP(H$1,main!$A$3:$H$102,7,FALSE)=main!$G$105,VLOOKUP(H$1,main!$A$3:$H$102,5,FALSE)-VLOOKUP($A246,main!$A$3:$H$102,6,FALSE)&gt;=main!$D$103+VLOOKUP(VLOOKUP(H$1,main!$A$3:$I$102,7,FALSE),main!$K$26:$Q$29,5,FALSE)),1,0)</f>
        <v>0</v>
      </c>
      <c r="I246">
        <f>IF(AND(VLOOKUP(I$1,main!$A$3:$H$102,7,FALSE)=main!$G$105,VLOOKUP(I$1,main!$A$3:$H$102,5,FALSE)-VLOOKUP($A246,main!$A$3:$H$102,6,FALSE)&gt;=main!$D$103+VLOOKUP(VLOOKUP(I$1,main!$A$3:$I$102,7,FALSE),main!$K$26:$Q$29,5,FALSE)),1,0)</f>
        <v>0</v>
      </c>
      <c r="J246">
        <f>IF(AND(VLOOKUP(J$1,main!$A$3:$H$102,7,FALSE)=main!$G$105,VLOOKUP(J$1,main!$A$3:$H$102,5,FALSE)-VLOOKUP($A246,main!$A$3:$H$102,6,FALSE)&gt;=main!$D$103+VLOOKUP(VLOOKUP(J$1,main!$A$3:$I$102,7,FALSE),main!$K$26:$Q$29,5,FALSE)),1,0)</f>
        <v>0</v>
      </c>
      <c r="K246">
        <f>IF(AND(VLOOKUP(K$1,main!$A$3:$H$102,7,FALSE)=main!$G$105,VLOOKUP(K$1,main!$A$3:$H$102,5,FALSE)-VLOOKUP($A246,main!$A$3:$H$102,6,FALSE)&gt;=main!$D$103+VLOOKUP(VLOOKUP(K$1,main!$A$3:$I$102,7,FALSE),main!$K$26:$Q$29,5,FALSE)),1,0)</f>
        <v>0</v>
      </c>
      <c r="L246">
        <f>IF(AND(VLOOKUP(L$1,main!$A$3:$H$102,7,FALSE)=main!$G$105,VLOOKUP(L$1,main!$A$3:$H$102,5,FALSE)-VLOOKUP($A246,main!$A$3:$H$102,6,FALSE)&gt;=main!$D$103+VLOOKUP(VLOOKUP(L$1,main!$A$3:$I$102,7,FALSE),main!$K$26:$Q$29,5,FALSE)),1,0)</f>
        <v>0</v>
      </c>
      <c r="M246">
        <f>IF(AND(VLOOKUP(M$1,main!$A$3:$H$102,7,FALSE)=main!$G$105,VLOOKUP(M$1,main!$A$3:$H$102,5,FALSE)-VLOOKUP($A246,main!$A$3:$H$102,6,FALSE)&gt;=main!$D$103+VLOOKUP(VLOOKUP(M$1,main!$A$3:$I$102,7,FALSE),main!$K$26:$Q$29,5,FALSE)),1,0)</f>
        <v>0</v>
      </c>
      <c r="N246">
        <f>IF(AND(VLOOKUP(N$1,main!$A$3:$H$102,7,FALSE)=main!$G$105,VLOOKUP(N$1,main!$A$3:$H$102,5,FALSE)-VLOOKUP($A246,main!$A$3:$H$102,6,FALSE)&gt;=main!$D$103+VLOOKUP(VLOOKUP(N$1,main!$A$3:$I$102,7,FALSE),main!$K$26:$Q$29,5,FALSE)),1,0)</f>
        <v>0</v>
      </c>
      <c r="O246">
        <f>IF(AND(VLOOKUP(O$1,main!$A$3:$H$102,7,FALSE)=main!$G$105,VLOOKUP(O$1,main!$A$3:$H$102,5,FALSE)-VLOOKUP($A246,main!$A$3:$H$102,6,FALSE)&gt;=main!$D$103+VLOOKUP(VLOOKUP(O$1,main!$A$3:$I$102,7,FALSE),main!$K$26:$Q$29,5,FALSE)),1,0)</f>
        <v>0</v>
      </c>
      <c r="P246">
        <f>IF(AND(VLOOKUP(P$1,main!$A$3:$H$102,7,FALSE)=main!$G$105,VLOOKUP(P$1,main!$A$3:$H$102,5,FALSE)-VLOOKUP($A246,main!$A$3:$H$102,6,FALSE)&gt;=main!$D$103+VLOOKUP(VLOOKUP(P$1,main!$A$3:$I$102,7,FALSE),main!$K$26:$Q$29,5,FALSE)),1,0)</f>
        <v>0</v>
      </c>
      <c r="Q246">
        <f>IF(AND(VLOOKUP(Q$1,main!$A$3:$H$102,7,FALSE)=main!$G$105,VLOOKUP(Q$1,main!$A$3:$H$102,5,FALSE)-VLOOKUP($A246,main!$A$3:$H$102,6,FALSE)&gt;=main!$D$103+VLOOKUP(VLOOKUP(Q$1,main!$A$3:$I$102,7,FALSE),main!$K$26:$Q$29,5,FALSE)),1,0)</f>
        <v>0</v>
      </c>
      <c r="R246">
        <f>IF(AND(VLOOKUP(R$1,main!$A$3:$H$102,7,FALSE)=main!$G$105,VLOOKUP(R$1,main!$A$3:$H$102,5,FALSE)-VLOOKUP($A246,main!$A$3:$H$102,6,FALSE)&gt;=main!$D$103+VLOOKUP(VLOOKUP(R$1,main!$A$3:$I$102,7,FALSE),main!$K$26:$Q$29,5,FALSE)),1,0)</f>
        <v>0</v>
      </c>
      <c r="S246">
        <f>IF(AND(VLOOKUP(S$1,main!$A$3:$H$102,7,FALSE)=main!$G$105,VLOOKUP(S$1,main!$A$3:$H$102,5,FALSE)-VLOOKUP($A246,main!$A$3:$H$102,6,FALSE)&gt;=main!$D$103+VLOOKUP(VLOOKUP(S$1,main!$A$3:$I$102,7,FALSE),main!$K$26:$Q$29,5,FALSE)),1,0)</f>
        <v>0</v>
      </c>
      <c r="T246">
        <f>IF(AND(VLOOKUP(T$1,main!$A$3:$H$102,7,FALSE)=main!$G$105,VLOOKUP(T$1,main!$A$3:$H$102,5,FALSE)-VLOOKUP($A246,main!$A$3:$H$102,6,FALSE)&gt;=main!$D$103+VLOOKUP(VLOOKUP(T$1,main!$A$3:$I$102,7,FALSE),main!$K$26:$Q$29,5,FALSE)),1,0)</f>
        <v>0</v>
      </c>
      <c r="U246">
        <f>IF(AND(VLOOKUP(U$1,main!$A$3:$H$102,7,FALSE)=main!$G$105,VLOOKUP(U$1,main!$A$3:$H$102,5,FALSE)-VLOOKUP($A246,main!$A$3:$H$102,6,FALSE)&gt;=main!$D$103+VLOOKUP(VLOOKUP(U$1,main!$A$3:$I$102,7,FALSE),main!$K$26:$Q$29,5,FALSE)),1,0)</f>
        <v>0</v>
      </c>
      <c r="V246">
        <f>IF(AND(VLOOKUP(V$1,main!$A$3:$H$102,7,FALSE)=main!$G$105,VLOOKUP(V$1,main!$A$3:$H$102,5,FALSE)-VLOOKUP($A246,main!$A$3:$H$102,6,FALSE)&gt;=main!$D$103+VLOOKUP(VLOOKUP(V$1,main!$A$3:$I$102,7,FALSE),main!$K$26:$Q$29,5,FALSE)),1,0)</f>
        <v>0</v>
      </c>
      <c r="W246">
        <f>IF(AND(VLOOKUP(W$1,main!$A$3:$H$102,7,FALSE)=main!$G$105,VLOOKUP(W$1,main!$A$3:$H$102,5,FALSE)-VLOOKUP($A246,main!$A$3:$H$102,6,FALSE)&gt;=main!$D$103+VLOOKUP(VLOOKUP(W$1,main!$A$3:$I$102,7,FALSE),main!$K$26:$Q$29,5,FALSE)),1,0)</f>
        <v>0</v>
      </c>
      <c r="X246">
        <f>IF(AND(VLOOKUP(X$1,main!$A$3:$H$102,7,FALSE)=main!$G$105,VLOOKUP(X$1,main!$A$3:$H$102,5,FALSE)-VLOOKUP($A246,main!$A$3:$H$102,6,FALSE)&gt;=main!$D$103+VLOOKUP(VLOOKUP(X$1,main!$A$3:$I$102,7,FALSE),main!$K$26:$Q$29,5,FALSE)),1,0)</f>
        <v>0</v>
      </c>
      <c r="Y246">
        <f>IF(AND(VLOOKUP(Y$1,main!$A$3:$H$102,7,FALSE)=main!$G$105,VLOOKUP(Y$1,main!$A$3:$H$102,5,FALSE)-VLOOKUP($A246,main!$A$3:$H$102,6,FALSE)&gt;=main!$D$103+VLOOKUP(VLOOKUP(Y$1,main!$A$3:$I$102,7,FALSE),main!$K$26:$Q$29,5,FALSE)),1,0)</f>
        <v>0</v>
      </c>
      <c r="Z246">
        <f>IF(AND(VLOOKUP(Z$1,main!$A$3:$H$102,7,FALSE)=main!$G$105,VLOOKUP(Z$1,main!$A$3:$H$102,5,FALSE)-VLOOKUP($A246,main!$A$3:$H$102,6,FALSE)&gt;=main!$D$103+VLOOKUP(VLOOKUP(Z$1,main!$A$3:$I$102,7,FALSE),main!$K$26:$Q$29,5,FALSE)),1,0)</f>
        <v>0</v>
      </c>
      <c r="AA246">
        <f>IF(AND(VLOOKUP(AA$1,main!$A$3:$H$102,7,FALSE)=main!$G$105,VLOOKUP(AA$1,main!$A$3:$H$102,5,FALSE)-VLOOKUP($A246,main!$A$3:$H$102,6,FALSE)&gt;=main!$D$103+VLOOKUP(VLOOKUP(AA$1,main!$A$3:$I$102,7,FALSE),main!$K$26:$Q$29,5,FALSE)),1,0)</f>
        <v>0</v>
      </c>
      <c r="AB246">
        <f>IF(AND(VLOOKUP(AB$1,main!$A$3:$H$102,7,FALSE)=main!$G$105,VLOOKUP(AB$1,main!$A$3:$H$102,5,FALSE)-VLOOKUP($A246,main!$A$3:$H$102,6,FALSE)&gt;=main!$D$103+VLOOKUP(VLOOKUP(AB$1,main!$A$3:$I$102,7,FALSE),main!$K$26:$Q$29,5,FALSE)),1,0)</f>
        <v>0</v>
      </c>
      <c r="AC246">
        <f>IF(AND(VLOOKUP(AC$1,main!$A$3:$H$102,7,FALSE)=main!$G$105,VLOOKUP(AC$1,main!$A$3:$H$102,5,FALSE)-VLOOKUP($A246,main!$A$3:$H$102,6,FALSE)&gt;=main!$D$103+VLOOKUP(VLOOKUP(AC$1,main!$A$3:$I$102,7,FALSE),main!$K$26:$Q$29,5,FALSE)),1,0)</f>
        <v>0</v>
      </c>
      <c r="AD246">
        <f>IF(AND(VLOOKUP(AD$1,main!$A$3:$H$102,7,FALSE)=main!$G$105,VLOOKUP(AD$1,main!$A$3:$H$102,5,FALSE)-VLOOKUP($A246,main!$A$3:$H$102,6,FALSE)&gt;=main!$D$103+VLOOKUP(VLOOKUP(AD$1,main!$A$3:$I$102,7,FALSE),main!$K$26:$Q$29,5,FALSE)),1,0)</f>
        <v>0</v>
      </c>
      <c r="AE246">
        <f>IF(AND(VLOOKUP(AE$1,main!$A$3:$H$102,7,FALSE)=main!$G$105,VLOOKUP(AE$1,main!$A$3:$H$102,5,FALSE)-VLOOKUP($A246,main!$A$3:$H$102,6,FALSE)&gt;=main!$D$103+VLOOKUP(VLOOKUP(AE$1,main!$A$3:$I$102,7,FALSE),main!$K$26:$Q$29,5,FALSE)),1,0)</f>
        <v>0</v>
      </c>
      <c r="AF246">
        <f>IF(AND(VLOOKUP(AF$1,main!$A$3:$H$102,7,FALSE)=main!$G$105,VLOOKUP(AF$1,main!$A$3:$H$102,5,FALSE)-VLOOKUP($A246,main!$A$3:$H$102,6,FALSE)&gt;=main!$D$103+VLOOKUP(VLOOKUP(AF$1,main!$A$3:$I$102,7,FALSE),main!$K$26:$Q$29,5,FALSE)),1,0)</f>
        <v>0</v>
      </c>
      <c r="AG246">
        <f>IF(AND(VLOOKUP(AG$1,main!$A$3:$H$102,7,FALSE)=main!$G$105,VLOOKUP(AG$1,main!$A$3:$H$102,5,FALSE)-VLOOKUP($A246,main!$A$3:$H$102,6,FALSE)&gt;=main!$D$103+VLOOKUP(VLOOKUP(AG$1,main!$A$3:$I$102,7,FALSE),main!$K$26:$Q$29,5,FALSE)),1,0)</f>
        <v>0</v>
      </c>
      <c r="AH246">
        <f>IF(AND(VLOOKUP(AH$1,main!$A$3:$H$102,7,FALSE)=main!$G$105,VLOOKUP(AH$1,main!$A$3:$H$102,5,FALSE)-VLOOKUP($A246,main!$A$3:$H$102,6,FALSE)&gt;=main!$D$103+VLOOKUP(VLOOKUP(AH$1,main!$A$3:$I$102,7,FALSE),main!$K$26:$Q$29,5,FALSE)),1,0)</f>
        <v>0</v>
      </c>
      <c r="AI246">
        <f>IF(AND(VLOOKUP(AI$1,main!$A$3:$H$102,7,FALSE)=main!$G$105,VLOOKUP(AI$1,main!$A$3:$H$102,5,FALSE)-VLOOKUP($A246,main!$A$3:$H$102,6,FALSE)&gt;=main!$D$103+VLOOKUP(VLOOKUP(AI$1,main!$A$3:$I$102,7,FALSE),main!$K$26:$Q$29,5,FALSE)),1,0)</f>
        <v>0</v>
      </c>
      <c r="AJ246">
        <f>IF(AND(VLOOKUP(AJ$1,main!$A$3:$H$102,7,FALSE)=main!$G$105,VLOOKUP(AJ$1,main!$A$3:$H$102,5,FALSE)-VLOOKUP($A246,main!$A$3:$H$102,6,FALSE)&gt;=main!$D$103+VLOOKUP(VLOOKUP(AJ$1,main!$A$3:$I$102,7,FALSE),main!$K$26:$Q$29,5,FALSE)),1,0)</f>
        <v>1</v>
      </c>
      <c r="AK246">
        <f>IF(AND(VLOOKUP(AK$1,main!$A$3:$H$102,7,FALSE)=main!$G$105,VLOOKUP(AK$1,main!$A$3:$H$102,5,FALSE)-VLOOKUP($A246,main!$A$3:$H$102,6,FALSE)&gt;=main!$D$103+VLOOKUP(VLOOKUP(AK$1,main!$A$3:$I$102,7,FALSE),main!$K$26:$Q$29,5,FALSE)),1,0)</f>
        <v>1</v>
      </c>
      <c r="AL246">
        <f>IF(AND(VLOOKUP(AL$1,main!$A$3:$H$102,7,FALSE)=main!$G$105,VLOOKUP(AL$1,main!$A$3:$H$102,5,FALSE)-VLOOKUP($A246,main!$A$3:$H$102,6,FALSE)&gt;=main!$D$103+VLOOKUP(VLOOKUP(AL$1,main!$A$3:$I$102,7,FALSE),main!$K$26:$Q$29,5,FALSE)),1,0)</f>
        <v>1</v>
      </c>
      <c r="AM246">
        <f>IF(AND(VLOOKUP(AM$1,main!$A$3:$H$102,7,FALSE)=main!$G$105,VLOOKUP(AM$1,main!$A$3:$H$102,5,FALSE)-VLOOKUP($A246,main!$A$3:$H$102,6,FALSE)&gt;=main!$D$103+VLOOKUP(VLOOKUP(AM$1,main!$A$3:$I$102,7,FALSE),main!$K$26:$Q$29,5,FALSE)),1,0)</f>
        <v>1</v>
      </c>
      <c r="AN246">
        <f>IF(AND(VLOOKUP(AN$1,main!$A$3:$H$102,7,FALSE)=main!$G$105,VLOOKUP(AN$1,main!$A$3:$H$102,5,FALSE)-VLOOKUP($A246,main!$A$3:$H$102,6,FALSE)&gt;=main!$D$103+VLOOKUP(VLOOKUP(AN$1,main!$A$3:$I$102,7,FALSE),main!$K$26:$Q$29,5,FALSE)),1,0)</f>
        <v>1</v>
      </c>
      <c r="AO246">
        <f>IF(AND(VLOOKUP(AO$1,main!$A$3:$H$102,7,FALSE)=main!$G$105,VLOOKUP(AO$1,main!$A$3:$H$102,5,FALSE)-VLOOKUP($A246,main!$A$3:$H$102,6,FALSE)&gt;=main!$D$103+VLOOKUP(VLOOKUP(AO$1,main!$A$3:$I$102,7,FALSE),main!$K$26:$Q$29,5,FALSE)),1,0)</f>
        <v>0</v>
      </c>
      <c r="AP246">
        <f>IF(AND(VLOOKUP(AP$1,main!$A$3:$H$102,7,FALSE)=main!$G$105,VLOOKUP(AP$1,main!$A$3:$H$102,5,FALSE)-VLOOKUP($A246,main!$A$3:$H$102,6,FALSE)&gt;=main!$D$103+VLOOKUP(VLOOKUP(AP$1,main!$A$3:$I$102,7,FALSE),main!$K$26:$Q$29,5,FALSE)),1,0)</f>
        <v>1</v>
      </c>
      <c r="AQ246">
        <f>IF(AND(VLOOKUP(AQ$1,main!$A$3:$H$102,7,FALSE)=main!$G$105,VLOOKUP(AQ$1,main!$A$3:$H$102,5,FALSE)-VLOOKUP($A246,main!$A$3:$H$102,6,FALSE)&gt;=main!$D$103+VLOOKUP(VLOOKUP(AQ$1,main!$A$3:$I$102,7,FALSE),main!$K$26:$Q$29,5,FALSE)),1,0)</f>
        <v>0</v>
      </c>
      <c r="AR246">
        <f>IF(AND(VLOOKUP(AR$1,main!$A$3:$H$102,7,FALSE)=main!$G$105,VLOOKUP(AR$1,main!$A$3:$H$102,5,FALSE)-VLOOKUP($A246,main!$A$3:$H$102,6,FALSE)&gt;=main!$D$103+VLOOKUP(VLOOKUP(AR$1,main!$A$3:$I$102,7,FALSE),main!$K$26:$Q$29,5,FALSE)),1,0)</f>
        <v>0</v>
      </c>
      <c r="AS246">
        <f>IF(AND(VLOOKUP(AS$1,main!$A$3:$H$102,7,FALSE)=main!$G$105,VLOOKUP(AS$1,main!$A$3:$H$102,5,FALSE)-VLOOKUP($A246,main!$A$3:$H$102,6,FALSE)&gt;=main!$D$103+VLOOKUP(VLOOKUP(AS$1,main!$A$3:$I$102,7,FALSE),main!$K$26:$Q$29,5,FALSE)),1,0)</f>
        <v>1</v>
      </c>
      <c r="AT246">
        <f>IF(AND(VLOOKUP(AT$1,main!$A$3:$H$102,7,FALSE)=main!$G$105,VLOOKUP(AT$1,main!$A$3:$H$102,5,FALSE)-VLOOKUP($A246,main!$A$3:$H$102,6,FALSE)&gt;=main!$D$103+VLOOKUP(VLOOKUP(AT$1,main!$A$3:$I$102,7,FALSE),main!$K$26:$Q$29,5,FALSE)),1,0)</f>
        <v>1</v>
      </c>
      <c r="AU246">
        <f>IF(AND(VLOOKUP(AU$1,main!$A$3:$H$102,7,FALSE)=main!$G$105,VLOOKUP(AU$1,main!$A$3:$H$102,5,FALSE)-VLOOKUP($A246,main!$A$3:$H$102,6,FALSE)&gt;=main!$D$103+VLOOKUP(VLOOKUP(AU$1,main!$A$3:$I$102,7,FALSE),main!$K$26:$Q$29,5,FALSE)),1,0)</f>
        <v>0</v>
      </c>
      <c r="AV246">
        <f>IF(AND(VLOOKUP(AV$1,main!$A$3:$H$102,7,FALSE)=main!$G$105,VLOOKUP(AV$1,main!$A$3:$H$102,5,FALSE)-VLOOKUP($A246,main!$A$3:$H$102,6,FALSE)&gt;=main!$D$103+VLOOKUP(VLOOKUP(AV$1,main!$A$3:$I$102,7,FALSE),main!$K$26:$Q$29,5,FALSE)),1,0)</f>
        <v>0</v>
      </c>
      <c r="AW246">
        <f>IF(AND(VLOOKUP(AW$1,main!$A$3:$H$102,7,FALSE)=main!$G$105,VLOOKUP(AW$1,main!$A$3:$H$102,5,FALSE)-VLOOKUP($A246,main!$A$3:$H$102,6,FALSE)&gt;=main!$D$103+VLOOKUP(VLOOKUP(AW$1,main!$A$3:$I$102,7,FALSE),main!$K$26:$Q$29,5,FALSE)),1,0)</f>
        <v>1</v>
      </c>
      <c r="AX246">
        <f>IF(AND(VLOOKUP(AX$1,main!$A$3:$H$102,7,FALSE)=main!$G$105,VLOOKUP(AX$1,main!$A$3:$H$102,5,FALSE)-VLOOKUP($A246,main!$A$3:$H$102,6,FALSE)&gt;=main!$D$103+VLOOKUP(VLOOKUP(AX$1,main!$A$3:$I$102,7,FALSE),main!$K$26:$Q$29,5,FALSE)),1,0)</f>
        <v>0</v>
      </c>
      <c r="AY246">
        <f>IF(AND(VLOOKUP(AY$1,main!$A$3:$H$102,7,FALSE)=main!$G$105,VLOOKUP(AY$1,main!$A$3:$H$102,5,FALSE)-VLOOKUP($A246,main!$A$3:$H$102,6,FALSE)&gt;=main!$D$103+VLOOKUP(VLOOKUP(AY$1,main!$A$3:$I$102,7,FALSE),main!$K$26:$Q$29,5,FALSE)),1,0)</f>
        <v>0</v>
      </c>
      <c r="AZ246">
        <f>IF(AND(VLOOKUP(AZ$1,main!$A$3:$H$102,7,FALSE)=main!$G$105,VLOOKUP(AZ$1,main!$A$3:$H$102,5,FALSE)-VLOOKUP($A246,main!$A$3:$H$102,6,FALSE)&gt;=main!$D$103+VLOOKUP(VLOOKUP(AZ$1,main!$A$3:$I$102,7,FALSE),main!$K$26:$Q$29,5,FALSE)),1,0)</f>
        <v>0</v>
      </c>
      <c r="BA246">
        <f>IF(AND(VLOOKUP(BA$1,main!$A$3:$H$102,7,FALSE)=main!$G$105,VLOOKUP(BA$1,main!$A$3:$H$102,5,FALSE)-VLOOKUP($A246,main!$A$3:$H$102,6,FALSE)&gt;=main!$D$103+VLOOKUP(VLOOKUP(BA$1,main!$A$3:$I$102,7,FALSE),main!$K$26:$Q$29,5,FALSE)),1,0)</f>
        <v>0</v>
      </c>
      <c r="BB246">
        <f>IF(AND(VLOOKUP(BB$1,main!$A$3:$H$102,7,FALSE)=main!$G$105,VLOOKUP(BB$1,main!$A$3:$H$102,5,FALSE)-VLOOKUP($A246,main!$A$3:$H$102,6,FALSE)&gt;=main!$D$103+VLOOKUP(VLOOKUP(BB$1,main!$A$3:$I$102,7,FALSE),main!$K$26:$Q$29,5,FALSE)),1,0)</f>
        <v>0</v>
      </c>
      <c r="BC246">
        <f>IF(AND(VLOOKUP(BC$1,main!$A$3:$H$102,7,FALSE)=main!$G$105,VLOOKUP(BC$1,main!$A$3:$H$102,5,FALSE)-VLOOKUP($A246,main!$A$3:$H$102,6,FALSE)&gt;=main!$D$103+VLOOKUP(VLOOKUP(BC$1,main!$A$3:$I$102,7,FALSE),main!$K$26:$Q$29,5,FALSE)),1,0)</f>
        <v>0</v>
      </c>
      <c r="BD246">
        <f>IF(AND(VLOOKUP(BD$1,main!$A$3:$H$102,7,FALSE)=main!$G$105,VLOOKUP(BD$1,main!$A$3:$H$102,5,FALSE)-VLOOKUP($A246,main!$A$3:$H$102,6,FALSE)&gt;=main!$D$103+VLOOKUP(VLOOKUP(BD$1,main!$A$3:$I$102,7,FALSE),main!$K$26:$Q$29,5,FALSE)),1,0)</f>
        <v>0</v>
      </c>
      <c r="BE246">
        <f>IF(AND(VLOOKUP(BE$1,main!$A$3:$H$102,7,FALSE)=main!$G$105,VLOOKUP(BE$1,main!$A$3:$H$102,5,FALSE)-VLOOKUP($A246,main!$A$3:$H$102,6,FALSE)&gt;=main!$D$103+VLOOKUP(VLOOKUP(BE$1,main!$A$3:$I$102,7,FALSE),main!$K$26:$Q$29,5,FALSE)),1,0)</f>
        <v>0</v>
      </c>
      <c r="BF246">
        <f>IF(AND(VLOOKUP(BF$1,main!$A$3:$H$102,7,FALSE)=main!$G$105,VLOOKUP(BF$1,main!$A$3:$H$102,5,FALSE)-VLOOKUP($A246,main!$A$3:$H$102,6,FALSE)&gt;=main!$D$103+VLOOKUP(VLOOKUP(BF$1,main!$A$3:$I$102,7,FALSE),main!$K$26:$Q$29,5,FALSE)),1,0)</f>
        <v>0</v>
      </c>
      <c r="BG246">
        <f>IF(AND(VLOOKUP(BG$1,main!$A$3:$H$102,7,FALSE)=main!$G$105,VLOOKUP(BG$1,main!$A$3:$H$102,5,FALSE)-VLOOKUP($A246,main!$A$3:$H$102,6,FALSE)&gt;=main!$D$103+VLOOKUP(VLOOKUP(BG$1,main!$A$3:$I$102,7,FALSE),main!$K$26:$Q$29,5,FALSE)),1,0)</f>
        <v>0</v>
      </c>
      <c r="BH246">
        <f>IF(AND(VLOOKUP(BH$1,main!$A$3:$H$102,7,FALSE)=main!$G$105,VLOOKUP(BH$1,main!$A$3:$H$102,5,FALSE)-VLOOKUP($A246,main!$A$3:$H$102,6,FALSE)&gt;=main!$D$103+VLOOKUP(VLOOKUP(BH$1,main!$A$3:$I$102,7,FALSE),main!$K$26:$Q$29,5,FALSE)),1,0)</f>
        <v>0</v>
      </c>
      <c r="BI246">
        <f>IF(AND(VLOOKUP(BI$1,main!$A$3:$H$102,7,FALSE)=main!$G$105,VLOOKUP(BI$1,main!$A$3:$H$102,5,FALSE)-VLOOKUP($A246,main!$A$3:$H$102,6,FALSE)&gt;=main!$D$103+VLOOKUP(VLOOKUP(BI$1,main!$A$3:$I$102,7,FALSE),main!$K$26:$Q$29,5,FALSE)),1,0)</f>
        <v>0</v>
      </c>
      <c r="BJ246">
        <f>IF(AND(VLOOKUP(BJ$1,main!$A$3:$H$102,7,FALSE)=main!$G$105,VLOOKUP(BJ$1,main!$A$3:$H$102,5,FALSE)-VLOOKUP($A246,main!$A$3:$H$102,6,FALSE)&gt;=main!$D$103+VLOOKUP(VLOOKUP(BJ$1,main!$A$3:$I$102,7,FALSE),main!$K$26:$Q$29,5,FALSE)),1,0)</f>
        <v>0</v>
      </c>
      <c r="BK246">
        <f>IF(AND(VLOOKUP(BK$1,main!$A$3:$H$102,7,FALSE)=main!$G$105,VLOOKUP(BK$1,main!$A$3:$H$102,5,FALSE)-VLOOKUP($A246,main!$A$3:$H$102,6,FALSE)&gt;=main!$D$103+VLOOKUP(VLOOKUP(BK$1,main!$A$3:$I$102,7,FALSE),main!$K$26:$Q$29,5,FALSE)),1,0)</f>
        <v>0</v>
      </c>
      <c r="BL246">
        <f>IF(AND(VLOOKUP(BL$1,main!$A$3:$H$102,7,FALSE)=main!$G$105,VLOOKUP(BL$1,main!$A$3:$H$102,5,FALSE)-VLOOKUP($A246,main!$A$3:$H$102,6,FALSE)&gt;=main!$D$103+VLOOKUP(VLOOKUP(BL$1,main!$A$3:$I$102,7,FALSE),main!$K$26:$Q$29,5,FALSE)),1,0)</f>
        <v>0</v>
      </c>
      <c r="BM246">
        <f>IF(AND(VLOOKUP(BM$1,main!$A$3:$H$102,7,FALSE)=main!$G$105,VLOOKUP(BM$1,main!$A$3:$H$102,5,FALSE)-VLOOKUP($A246,main!$A$3:$H$102,6,FALSE)&gt;=main!$D$103+VLOOKUP(VLOOKUP(BM$1,main!$A$3:$I$102,7,FALSE),main!$K$26:$Q$29,5,FALSE)),1,0)</f>
        <v>0</v>
      </c>
      <c r="BN246">
        <f>IF(AND(VLOOKUP(BN$1,main!$A$3:$H$102,7,FALSE)=main!$G$105,VLOOKUP(BN$1,main!$A$3:$H$102,5,FALSE)-VLOOKUP($A246,main!$A$3:$H$102,6,FALSE)&gt;=main!$D$103+VLOOKUP(VLOOKUP(BN$1,main!$A$3:$I$102,7,FALSE),main!$K$26:$Q$29,5,FALSE)),1,0)</f>
        <v>0</v>
      </c>
      <c r="BO246">
        <f>IF(AND(VLOOKUP(BO$1,main!$A$3:$H$102,7,FALSE)=main!$G$105,VLOOKUP(BO$1,main!$A$3:$H$102,5,FALSE)-VLOOKUP($A246,main!$A$3:$H$102,6,FALSE)&gt;=main!$D$103+VLOOKUP(VLOOKUP(BO$1,main!$A$3:$I$102,7,FALSE),main!$K$26:$Q$29,5,FALSE)),1,0)</f>
        <v>0</v>
      </c>
      <c r="BP246">
        <f>IF(AND(VLOOKUP(BP$1,main!$A$3:$H$102,7,FALSE)=main!$G$105,VLOOKUP(BP$1,main!$A$3:$H$102,5,FALSE)-VLOOKUP($A246,main!$A$3:$H$102,6,FALSE)&gt;=main!$D$103+VLOOKUP(VLOOKUP(BP$1,main!$A$3:$I$102,7,FALSE),main!$K$26:$Q$29,5,FALSE)),1,0)</f>
        <v>0</v>
      </c>
      <c r="BQ246">
        <f>IF(AND(VLOOKUP(BQ$1,main!$A$3:$H$102,7,FALSE)=main!$G$105,VLOOKUP(BQ$1,main!$A$3:$H$102,5,FALSE)-VLOOKUP($A246,main!$A$3:$H$102,6,FALSE)&gt;=main!$D$103+VLOOKUP(VLOOKUP(BQ$1,main!$A$3:$I$102,7,FALSE),main!$K$26:$Q$29,5,FALSE)),1,0)</f>
        <v>0</v>
      </c>
      <c r="BR246">
        <f>IF(AND(VLOOKUP(BR$1,main!$A$3:$H$102,7,FALSE)=main!$G$105,VLOOKUP(BR$1,main!$A$3:$H$102,5,FALSE)-VLOOKUP($A246,main!$A$3:$H$102,6,FALSE)&gt;=main!$D$103+VLOOKUP(VLOOKUP(BR$1,main!$A$3:$I$102,7,FALSE),main!$K$26:$Q$29,5,FALSE)),1,0)</f>
        <v>0</v>
      </c>
      <c r="BS246">
        <f>IF(AND(VLOOKUP(BS$1,main!$A$3:$H$102,7,FALSE)=main!$G$105,VLOOKUP(BS$1,main!$A$3:$H$102,5,FALSE)-VLOOKUP($A246,main!$A$3:$H$102,6,FALSE)&gt;=main!$D$103+VLOOKUP(VLOOKUP(BS$1,main!$A$3:$I$102,7,FALSE),main!$K$26:$Q$29,5,FALSE)),1,0)</f>
        <v>0</v>
      </c>
      <c r="BT246">
        <f>IF(AND(VLOOKUP(BT$1,main!$A$3:$H$102,7,FALSE)=main!$G$105,VLOOKUP(BT$1,main!$A$3:$H$102,5,FALSE)-VLOOKUP($A246,main!$A$3:$H$102,6,FALSE)&gt;=main!$D$103+VLOOKUP(VLOOKUP(BT$1,main!$A$3:$I$102,7,FALSE),main!$K$26:$Q$29,5,FALSE)),1,0)</f>
        <v>0</v>
      </c>
      <c r="BU246">
        <f>IF(AND(VLOOKUP(BU$1,main!$A$3:$H$102,7,FALSE)=main!$G$105,VLOOKUP(BU$1,main!$A$3:$H$102,5,FALSE)-VLOOKUP($A246,main!$A$3:$H$102,6,FALSE)&gt;=main!$D$103+VLOOKUP(VLOOKUP(BU$1,main!$A$3:$I$102,7,FALSE),main!$K$26:$Q$29,5,FALSE)),1,0)</f>
        <v>0</v>
      </c>
      <c r="BV246">
        <f>IF(AND(VLOOKUP(BV$1,main!$A$3:$H$102,7,FALSE)=main!$G$105,VLOOKUP(BV$1,main!$A$3:$H$102,5,FALSE)-VLOOKUP($A246,main!$A$3:$H$102,6,FALSE)&gt;=main!$D$103+VLOOKUP(VLOOKUP(BV$1,main!$A$3:$I$102,7,FALSE),main!$K$26:$Q$29,5,FALSE)),1,0)</f>
        <v>0</v>
      </c>
      <c r="BW246">
        <f>IF(AND(VLOOKUP(BW$1,main!$A$3:$H$102,7,FALSE)=main!$G$105,VLOOKUP(BW$1,main!$A$3:$H$102,5,FALSE)-VLOOKUP($A246,main!$A$3:$H$102,6,FALSE)&gt;=main!$D$103+VLOOKUP(VLOOKUP(BW$1,main!$A$3:$I$102,7,FALSE),main!$K$26:$Q$29,5,FALSE)),1,0)</f>
        <v>0</v>
      </c>
      <c r="BX246">
        <f>IF(AND(VLOOKUP(BX$1,main!$A$3:$H$102,7,FALSE)=main!$G$105,VLOOKUP(BX$1,main!$A$3:$H$102,5,FALSE)-VLOOKUP($A246,main!$A$3:$H$102,6,FALSE)&gt;=main!$D$103+VLOOKUP(VLOOKUP(BX$1,main!$A$3:$I$102,7,FALSE),main!$K$26:$Q$29,5,FALSE)),1,0)</f>
        <v>0</v>
      </c>
      <c r="BY246">
        <f>IF(AND(VLOOKUP(BY$1,main!$A$3:$H$102,7,FALSE)=main!$G$105,VLOOKUP(BY$1,main!$A$3:$H$102,5,FALSE)-VLOOKUP($A246,main!$A$3:$H$102,6,FALSE)&gt;=main!$D$103+VLOOKUP(VLOOKUP(BY$1,main!$A$3:$I$102,7,FALSE),main!$K$26:$Q$29,5,FALSE)),1,0)</f>
        <v>0</v>
      </c>
      <c r="BZ246">
        <f>IF(AND(VLOOKUP(BZ$1,main!$A$3:$H$102,7,FALSE)=main!$G$105,VLOOKUP(BZ$1,main!$A$3:$H$102,5,FALSE)-VLOOKUP($A246,main!$A$3:$H$102,6,FALSE)&gt;=main!$D$103+VLOOKUP(VLOOKUP(BZ$1,main!$A$3:$I$102,7,FALSE),main!$K$26:$Q$29,5,FALSE)),1,0)</f>
        <v>0</v>
      </c>
      <c r="CA246">
        <f>IF(AND(VLOOKUP(CA$1,main!$A$3:$H$102,7,FALSE)=main!$G$105,VLOOKUP(CA$1,main!$A$3:$H$102,5,FALSE)-VLOOKUP($A246,main!$A$3:$H$102,6,FALSE)&gt;=main!$D$103+VLOOKUP(VLOOKUP(CA$1,main!$A$3:$I$102,7,FALSE),main!$K$26:$Q$29,5,FALSE)),1,0)</f>
        <v>0</v>
      </c>
      <c r="CB246">
        <f>IF(AND(VLOOKUP(CB$1,main!$A$3:$H$102,7,FALSE)=main!$G$105,VLOOKUP(CB$1,main!$A$3:$H$102,5,FALSE)-VLOOKUP($A246,main!$A$3:$H$102,6,FALSE)&gt;=main!$D$103+VLOOKUP(VLOOKUP(CB$1,main!$A$3:$I$102,7,FALSE),main!$K$26:$Q$29,5,FALSE)),1,0)</f>
        <v>0</v>
      </c>
      <c r="CC246">
        <f>IF(AND(VLOOKUP(CC$1,main!$A$3:$H$102,7,FALSE)=main!$G$105,VLOOKUP(CC$1,main!$A$3:$H$102,5,FALSE)-VLOOKUP($A246,main!$A$3:$H$102,6,FALSE)&gt;=main!$D$103+VLOOKUP(VLOOKUP(CC$1,main!$A$3:$I$102,7,FALSE),main!$K$26:$Q$29,5,FALSE)),1,0)</f>
        <v>0</v>
      </c>
      <c r="CD246">
        <f>IF(AND(VLOOKUP(CD$1,main!$A$3:$H$102,7,FALSE)=main!$G$105,VLOOKUP(CD$1,main!$A$3:$H$102,5,FALSE)-VLOOKUP($A246,main!$A$3:$H$102,6,FALSE)&gt;=main!$D$103+VLOOKUP(VLOOKUP(CD$1,main!$A$3:$I$102,7,FALSE),main!$K$26:$Q$29,5,FALSE)),1,0)</f>
        <v>0</v>
      </c>
      <c r="CE246">
        <f>IF(AND(VLOOKUP(CE$1,main!$A$3:$H$102,7,FALSE)=main!$G$105,VLOOKUP(CE$1,main!$A$3:$H$102,5,FALSE)-VLOOKUP($A246,main!$A$3:$H$102,6,FALSE)&gt;=main!$D$103+VLOOKUP(VLOOKUP(CE$1,main!$A$3:$I$102,7,FALSE),main!$K$26:$Q$29,5,FALSE)),1,0)</f>
        <v>0</v>
      </c>
      <c r="CF246">
        <f>IF(AND(VLOOKUP(CF$1,main!$A$3:$H$102,7,FALSE)=main!$G$105,VLOOKUP(CF$1,main!$A$3:$H$102,5,FALSE)-VLOOKUP($A246,main!$A$3:$H$102,6,FALSE)&gt;=main!$D$103+VLOOKUP(VLOOKUP(CF$1,main!$A$3:$I$102,7,FALSE),main!$K$26:$Q$29,5,FALSE)),1,0)</f>
        <v>0</v>
      </c>
      <c r="CG246">
        <f>IF(AND(VLOOKUP(CG$1,main!$A$3:$H$102,7,FALSE)=main!$G$105,VLOOKUP(CG$1,main!$A$3:$H$102,5,FALSE)-VLOOKUP($A246,main!$A$3:$H$102,6,FALSE)&gt;=main!$D$103+VLOOKUP(VLOOKUP(CG$1,main!$A$3:$I$102,7,FALSE),main!$K$26:$Q$29,5,FALSE)),1,0)</f>
        <v>0</v>
      </c>
      <c r="CH246">
        <f>IF(AND(VLOOKUP(CH$1,main!$A$3:$H$102,7,FALSE)=main!$G$105,VLOOKUP(CH$1,main!$A$3:$H$102,5,FALSE)-VLOOKUP($A246,main!$A$3:$H$102,6,FALSE)&gt;=main!$D$103+VLOOKUP(VLOOKUP(CH$1,main!$A$3:$I$102,7,FALSE),main!$K$26:$Q$29,5,FALSE)),1,0)</f>
        <v>0</v>
      </c>
      <c r="CI246">
        <f>IF(AND(VLOOKUP(CI$1,main!$A$3:$H$102,7,FALSE)=main!$G$105,VLOOKUP(CI$1,main!$A$3:$H$102,5,FALSE)-VLOOKUP($A246,main!$A$3:$H$102,6,FALSE)&gt;=main!$D$103+VLOOKUP(VLOOKUP(CI$1,main!$A$3:$I$102,7,FALSE),main!$K$26:$Q$29,5,FALSE)),1,0)</f>
        <v>0</v>
      </c>
      <c r="CJ246">
        <f>IF(AND(VLOOKUP(CJ$1,main!$A$3:$H$102,7,FALSE)=main!$G$105,VLOOKUP(CJ$1,main!$A$3:$H$102,5,FALSE)-VLOOKUP($A246,main!$A$3:$H$102,6,FALSE)&gt;=main!$D$103+VLOOKUP(VLOOKUP(CJ$1,main!$A$3:$I$102,7,FALSE),main!$K$26:$Q$29,5,FALSE)),1,0)</f>
        <v>0</v>
      </c>
      <c r="CK246">
        <f>IF(AND(VLOOKUP(CK$1,main!$A$3:$H$102,7,FALSE)=main!$G$105,VLOOKUP(CK$1,main!$A$3:$H$102,5,FALSE)-VLOOKUP($A246,main!$A$3:$H$102,6,FALSE)&gt;=main!$D$103+VLOOKUP(VLOOKUP(CK$1,main!$A$3:$I$102,7,FALSE),main!$K$26:$Q$29,5,FALSE)),1,0)</f>
        <v>0</v>
      </c>
      <c r="CL246">
        <f>IF(AND(VLOOKUP(CL$1,main!$A$3:$H$102,7,FALSE)=main!$G$105,VLOOKUP(CL$1,main!$A$3:$H$102,5,FALSE)-VLOOKUP($A246,main!$A$3:$H$102,6,FALSE)&gt;=main!$D$103+VLOOKUP(VLOOKUP(CL$1,main!$A$3:$I$102,7,FALSE),main!$K$26:$Q$29,5,FALSE)),1,0)</f>
        <v>0</v>
      </c>
      <c r="CM246">
        <f>IF(AND(VLOOKUP(CM$1,main!$A$3:$H$102,7,FALSE)=main!$G$105,VLOOKUP(CM$1,main!$A$3:$H$102,5,FALSE)-VLOOKUP($A246,main!$A$3:$H$102,6,FALSE)&gt;=main!$D$103+VLOOKUP(VLOOKUP(CM$1,main!$A$3:$I$102,7,FALSE),main!$K$26:$Q$29,5,FALSE)),1,0)</f>
        <v>0</v>
      </c>
      <c r="CN246">
        <f>IF(AND(VLOOKUP(CN$1,main!$A$3:$H$102,7,FALSE)=main!$G$105,VLOOKUP(CN$1,main!$A$3:$H$102,5,FALSE)-VLOOKUP($A246,main!$A$3:$H$102,6,FALSE)&gt;=main!$D$103+VLOOKUP(VLOOKUP(CN$1,main!$A$3:$I$102,7,FALSE),main!$K$26:$Q$29,5,FALSE)),1,0)</f>
        <v>0</v>
      </c>
      <c r="CO246">
        <f>IF(AND(VLOOKUP(CO$1,main!$A$3:$H$102,7,FALSE)=main!$G$105,VLOOKUP(CO$1,main!$A$3:$H$102,5,FALSE)-VLOOKUP($A246,main!$A$3:$H$102,6,FALSE)&gt;=main!$D$103+VLOOKUP(VLOOKUP(CO$1,main!$A$3:$I$102,7,FALSE),main!$K$26:$Q$29,5,FALSE)),1,0)</f>
        <v>0</v>
      </c>
      <c r="CP246">
        <f>IF(AND(VLOOKUP(CP$1,main!$A$3:$H$102,7,FALSE)=main!$G$105,VLOOKUP(CP$1,main!$A$3:$H$102,5,FALSE)-VLOOKUP($A246,main!$A$3:$H$102,6,FALSE)&gt;=main!$D$103+VLOOKUP(VLOOKUP(CP$1,main!$A$3:$I$102,7,FALSE),main!$K$26:$Q$29,5,FALSE)),1,0)</f>
        <v>0</v>
      </c>
      <c r="CQ246">
        <f>IF(AND(VLOOKUP(CQ$1,main!$A$3:$H$102,7,FALSE)=main!$G$105,VLOOKUP(CQ$1,main!$A$3:$H$102,5,FALSE)-VLOOKUP($A246,main!$A$3:$H$102,6,FALSE)&gt;=main!$D$103+VLOOKUP(VLOOKUP(CQ$1,main!$A$3:$I$102,7,FALSE),main!$K$26:$Q$29,5,FALSE)),1,0)</f>
        <v>0</v>
      </c>
      <c r="CR246">
        <f>IF(AND(VLOOKUP(CR$1,main!$A$3:$H$102,7,FALSE)=main!$G$105,VLOOKUP(CR$1,main!$A$3:$H$102,5,FALSE)-VLOOKUP($A246,main!$A$3:$H$102,6,FALSE)&gt;=main!$D$103+VLOOKUP(VLOOKUP(CR$1,main!$A$3:$I$102,7,FALSE),main!$K$26:$Q$29,5,FALSE)),1,0)</f>
        <v>0</v>
      </c>
      <c r="CS246">
        <f>IF(AND(VLOOKUP(CS$1,main!$A$3:$H$102,7,FALSE)=main!$G$105,VLOOKUP(CS$1,main!$A$3:$H$102,5,FALSE)-VLOOKUP($A246,main!$A$3:$H$102,6,FALSE)&gt;=main!$D$103+VLOOKUP(VLOOKUP(CS$1,main!$A$3:$I$102,7,FALSE),main!$K$26:$Q$29,5,FALSE)),1,0)</f>
        <v>0</v>
      </c>
      <c r="CT246">
        <f>IF(AND(VLOOKUP(CT$1,main!$A$3:$H$102,7,FALSE)=main!$G$105,VLOOKUP(CT$1,main!$A$3:$H$102,5,FALSE)-VLOOKUP($A246,main!$A$3:$H$102,6,FALSE)&gt;=main!$D$103+VLOOKUP(VLOOKUP(CT$1,main!$A$3:$I$102,7,FALSE),main!$K$26:$Q$29,5,FALSE)),1,0)</f>
        <v>0</v>
      </c>
      <c r="CU246">
        <f>IF(AND(VLOOKUP(CU$1,main!$A$3:$H$102,7,FALSE)=main!$G$105,VLOOKUP(CU$1,main!$A$3:$H$102,5,FALSE)-VLOOKUP($A246,main!$A$3:$H$102,6,FALSE)&gt;=main!$D$103+VLOOKUP(VLOOKUP(CU$1,main!$A$3:$I$102,7,FALSE),main!$K$26:$Q$29,5,FALSE)),1,0)</f>
        <v>0</v>
      </c>
      <c r="CV246">
        <f>IF(AND(VLOOKUP(CV$1,main!$A$3:$H$102,7,FALSE)=main!$G$105,VLOOKUP(CV$1,main!$A$3:$H$102,5,FALSE)-VLOOKUP($A246,main!$A$3:$H$102,6,FALSE)&gt;=main!$D$103+VLOOKUP(VLOOKUP(CV$1,main!$A$3:$I$102,7,FALSE),main!$K$26:$Q$29,5,FALSE)),1,0)</f>
        <v>0</v>
      </c>
      <c r="CW246">
        <f>IF(AND(VLOOKUP(CW$1,main!$A$3:$H$102,7,FALSE)=main!$G$105,VLOOKUP(CW$1,main!$A$3:$H$102,5,FALSE)-VLOOKUP($A246,main!$A$3:$H$102,6,FALSE)&gt;=main!$D$103+VLOOKUP(VLOOKUP(CW$1,main!$A$3:$I$102,7,FALSE),main!$K$26:$Q$29,5,FALSE)),1,0)</f>
        <v>0</v>
      </c>
      <c r="CX246">
        <f>IF(AND(VLOOKUP(CX$1,main!$A$3:$H$102,7,FALSE)=main!$G$105,VLOOKUP(CX$1,main!$A$3:$H$102,5,FALSE)-VLOOKUP($A246,main!$A$3:$H$102,6,FALSE)&gt;=main!$D$103+VLOOKUP(VLOOKUP(CX$1,main!$A$3:$I$102,7,FALSE),main!$K$26:$Q$29,5,FALSE)),1,0)</f>
        <v>0</v>
      </c>
    </row>
    <row r="247" spans="1:102" x14ac:dyDescent="0.25">
      <c r="A247" s="1">
        <v>43</v>
      </c>
      <c r="B247">
        <v>0</v>
      </c>
      <c r="C247">
        <f>IF(AND(VLOOKUP(C$1,main!$A$3:$H$102,7,FALSE)=main!$G$105,VLOOKUP(C$1,main!$A$3:$H$102,5,FALSE)-VLOOKUP($A247,main!$A$3:$H$102,6,FALSE)&gt;=main!$D$103+VLOOKUP(VLOOKUP(C$1,main!$A$3:$I$102,7,FALSE),main!$K$26:$Q$29,5,FALSE)),1,0)</f>
        <v>0</v>
      </c>
      <c r="D247">
        <f>IF(AND(VLOOKUP(D$1,main!$A$3:$H$102,7,FALSE)=main!$G$105,VLOOKUP(D$1,main!$A$3:$H$102,5,FALSE)-VLOOKUP($A247,main!$A$3:$H$102,6,FALSE)&gt;=main!$D$103+VLOOKUP(VLOOKUP(D$1,main!$A$3:$I$102,7,FALSE),main!$K$26:$Q$29,5,FALSE)),1,0)</f>
        <v>0</v>
      </c>
      <c r="E247">
        <f>IF(AND(VLOOKUP(E$1,main!$A$3:$H$102,7,FALSE)=main!$G$105,VLOOKUP(E$1,main!$A$3:$H$102,5,FALSE)-VLOOKUP($A247,main!$A$3:$H$102,6,FALSE)&gt;=main!$D$103+VLOOKUP(VLOOKUP(E$1,main!$A$3:$I$102,7,FALSE),main!$K$26:$Q$29,5,FALSE)),1,0)</f>
        <v>0</v>
      </c>
      <c r="F247">
        <f>IF(AND(VLOOKUP(F$1,main!$A$3:$H$102,7,FALSE)=main!$G$105,VLOOKUP(F$1,main!$A$3:$H$102,5,FALSE)-VLOOKUP($A247,main!$A$3:$H$102,6,FALSE)&gt;=main!$D$103+VLOOKUP(VLOOKUP(F$1,main!$A$3:$I$102,7,FALSE),main!$K$26:$Q$29,5,FALSE)),1,0)</f>
        <v>0</v>
      </c>
      <c r="G247">
        <f>IF(AND(VLOOKUP(G$1,main!$A$3:$H$102,7,FALSE)=main!$G$105,VLOOKUP(G$1,main!$A$3:$H$102,5,FALSE)-VLOOKUP($A247,main!$A$3:$H$102,6,FALSE)&gt;=main!$D$103+VLOOKUP(VLOOKUP(G$1,main!$A$3:$I$102,7,FALSE),main!$K$26:$Q$29,5,FALSE)),1,0)</f>
        <v>0</v>
      </c>
      <c r="H247">
        <f>IF(AND(VLOOKUP(H$1,main!$A$3:$H$102,7,FALSE)=main!$G$105,VLOOKUP(H$1,main!$A$3:$H$102,5,FALSE)-VLOOKUP($A247,main!$A$3:$H$102,6,FALSE)&gt;=main!$D$103+VLOOKUP(VLOOKUP(H$1,main!$A$3:$I$102,7,FALSE),main!$K$26:$Q$29,5,FALSE)),1,0)</f>
        <v>0</v>
      </c>
      <c r="I247">
        <f>IF(AND(VLOOKUP(I$1,main!$A$3:$H$102,7,FALSE)=main!$G$105,VLOOKUP(I$1,main!$A$3:$H$102,5,FALSE)-VLOOKUP($A247,main!$A$3:$H$102,6,FALSE)&gt;=main!$D$103+VLOOKUP(VLOOKUP(I$1,main!$A$3:$I$102,7,FALSE),main!$K$26:$Q$29,5,FALSE)),1,0)</f>
        <v>0</v>
      </c>
      <c r="J247">
        <f>IF(AND(VLOOKUP(J$1,main!$A$3:$H$102,7,FALSE)=main!$G$105,VLOOKUP(J$1,main!$A$3:$H$102,5,FALSE)-VLOOKUP($A247,main!$A$3:$H$102,6,FALSE)&gt;=main!$D$103+VLOOKUP(VLOOKUP(J$1,main!$A$3:$I$102,7,FALSE),main!$K$26:$Q$29,5,FALSE)),1,0)</f>
        <v>0</v>
      </c>
      <c r="K247">
        <f>IF(AND(VLOOKUP(K$1,main!$A$3:$H$102,7,FALSE)=main!$G$105,VLOOKUP(K$1,main!$A$3:$H$102,5,FALSE)-VLOOKUP($A247,main!$A$3:$H$102,6,FALSE)&gt;=main!$D$103+VLOOKUP(VLOOKUP(K$1,main!$A$3:$I$102,7,FALSE),main!$K$26:$Q$29,5,FALSE)),1,0)</f>
        <v>0</v>
      </c>
      <c r="L247">
        <f>IF(AND(VLOOKUP(L$1,main!$A$3:$H$102,7,FALSE)=main!$G$105,VLOOKUP(L$1,main!$A$3:$H$102,5,FALSE)-VLOOKUP($A247,main!$A$3:$H$102,6,FALSE)&gt;=main!$D$103+VLOOKUP(VLOOKUP(L$1,main!$A$3:$I$102,7,FALSE),main!$K$26:$Q$29,5,FALSE)),1,0)</f>
        <v>0</v>
      </c>
      <c r="M247">
        <f>IF(AND(VLOOKUP(M$1,main!$A$3:$H$102,7,FALSE)=main!$G$105,VLOOKUP(M$1,main!$A$3:$H$102,5,FALSE)-VLOOKUP($A247,main!$A$3:$H$102,6,FALSE)&gt;=main!$D$103+VLOOKUP(VLOOKUP(M$1,main!$A$3:$I$102,7,FALSE),main!$K$26:$Q$29,5,FALSE)),1,0)</f>
        <v>0</v>
      </c>
      <c r="N247">
        <f>IF(AND(VLOOKUP(N$1,main!$A$3:$H$102,7,FALSE)=main!$G$105,VLOOKUP(N$1,main!$A$3:$H$102,5,FALSE)-VLOOKUP($A247,main!$A$3:$H$102,6,FALSE)&gt;=main!$D$103+VLOOKUP(VLOOKUP(N$1,main!$A$3:$I$102,7,FALSE),main!$K$26:$Q$29,5,FALSE)),1,0)</f>
        <v>0</v>
      </c>
      <c r="O247">
        <f>IF(AND(VLOOKUP(O$1,main!$A$3:$H$102,7,FALSE)=main!$G$105,VLOOKUP(O$1,main!$A$3:$H$102,5,FALSE)-VLOOKUP($A247,main!$A$3:$H$102,6,FALSE)&gt;=main!$D$103+VLOOKUP(VLOOKUP(O$1,main!$A$3:$I$102,7,FALSE),main!$K$26:$Q$29,5,FALSE)),1,0)</f>
        <v>0</v>
      </c>
      <c r="P247">
        <f>IF(AND(VLOOKUP(P$1,main!$A$3:$H$102,7,FALSE)=main!$G$105,VLOOKUP(P$1,main!$A$3:$H$102,5,FALSE)-VLOOKUP($A247,main!$A$3:$H$102,6,FALSE)&gt;=main!$D$103+VLOOKUP(VLOOKUP(P$1,main!$A$3:$I$102,7,FALSE),main!$K$26:$Q$29,5,FALSE)),1,0)</f>
        <v>0</v>
      </c>
      <c r="Q247">
        <f>IF(AND(VLOOKUP(Q$1,main!$A$3:$H$102,7,FALSE)=main!$G$105,VLOOKUP(Q$1,main!$A$3:$H$102,5,FALSE)-VLOOKUP($A247,main!$A$3:$H$102,6,FALSE)&gt;=main!$D$103+VLOOKUP(VLOOKUP(Q$1,main!$A$3:$I$102,7,FALSE),main!$K$26:$Q$29,5,FALSE)),1,0)</f>
        <v>0</v>
      </c>
      <c r="R247">
        <f>IF(AND(VLOOKUP(R$1,main!$A$3:$H$102,7,FALSE)=main!$G$105,VLOOKUP(R$1,main!$A$3:$H$102,5,FALSE)-VLOOKUP($A247,main!$A$3:$H$102,6,FALSE)&gt;=main!$D$103+VLOOKUP(VLOOKUP(R$1,main!$A$3:$I$102,7,FALSE),main!$K$26:$Q$29,5,FALSE)),1,0)</f>
        <v>0</v>
      </c>
      <c r="S247">
        <f>IF(AND(VLOOKUP(S$1,main!$A$3:$H$102,7,FALSE)=main!$G$105,VLOOKUP(S$1,main!$A$3:$H$102,5,FALSE)-VLOOKUP($A247,main!$A$3:$H$102,6,FALSE)&gt;=main!$D$103+VLOOKUP(VLOOKUP(S$1,main!$A$3:$I$102,7,FALSE),main!$K$26:$Q$29,5,FALSE)),1,0)</f>
        <v>0</v>
      </c>
      <c r="T247">
        <f>IF(AND(VLOOKUP(T$1,main!$A$3:$H$102,7,FALSE)=main!$G$105,VLOOKUP(T$1,main!$A$3:$H$102,5,FALSE)-VLOOKUP($A247,main!$A$3:$H$102,6,FALSE)&gt;=main!$D$103+VLOOKUP(VLOOKUP(T$1,main!$A$3:$I$102,7,FALSE),main!$K$26:$Q$29,5,FALSE)),1,0)</f>
        <v>0</v>
      </c>
      <c r="U247">
        <f>IF(AND(VLOOKUP(U$1,main!$A$3:$H$102,7,FALSE)=main!$G$105,VLOOKUP(U$1,main!$A$3:$H$102,5,FALSE)-VLOOKUP($A247,main!$A$3:$H$102,6,FALSE)&gt;=main!$D$103+VLOOKUP(VLOOKUP(U$1,main!$A$3:$I$102,7,FALSE),main!$K$26:$Q$29,5,FALSE)),1,0)</f>
        <v>0</v>
      </c>
      <c r="V247">
        <f>IF(AND(VLOOKUP(V$1,main!$A$3:$H$102,7,FALSE)=main!$G$105,VLOOKUP(V$1,main!$A$3:$H$102,5,FALSE)-VLOOKUP($A247,main!$A$3:$H$102,6,FALSE)&gt;=main!$D$103+VLOOKUP(VLOOKUP(V$1,main!$A$3:$I$102,7,FALSE),main!$K$26:$Q$29,5,FALSE)),1,0)</f>
        <v>0</v>
      </c>
      <c r="W247">
        <f>IF(AND(VLOOKUP(W$1,main!$A$3:$H$102,7,FALSE)=main!$G$105,VLOOKUP(W$1,main!$A$3:$H$102,5,FALSE)-VLOOKUP($A247,main!$A$3:$H$102,6,FALSE)&gt;=main!$D$103+VLOOKUP(VLOOKUP(W$1,main!$A$3:$I$102,7,FALSE),main!$K$26:$Q$29,5,FALSE)),1,0)</f>
        <v>0</v>
      </c>
      <c r="X247">
        <f>IF(AND(VLOOKUP(X$1,main!$A$3:$H$102,7,FALSE)=main!$G$105,VLOOKUP(X$1,main!$A$3:$H$102,5,FALSE)-VLOOKUP($A247,main!$A$3:$H$102,6,FALSE)&gt;=main!$D$103+VLOOKUP(VLOOKUP(X$1,main!$A$3:$I$102,7,FALSE),main!$K$26:$Q$29,5,FALSE)),1,0)</f>
        <v>0</v>
      </c>
      <c r="Y247">
        <f>IF(AND(VLOOKUP(Y$1,main!$A$3:$H$102,7,FALSE)=main!$G$105,VLOOKUP(Y$1,main!$A$3:$H$102,5,FALSE)-VLOOKUP($A247,main!$A$3:$H$102,6,FALSE)&gt;=main!$D$103+VLOOKUP(VLOOKUP(Y$1,main!$A$3:$I$102,7,FALSE),main!$K$26:$Q$29,5,FALSE)),1,0)</f>
        <v>0</v>
      </c>
      <c r="Z247">
        <f>IF(AND(VLOOKUP(Z$1,main!$A$3:$H$102,7,FALSE)=main!$G$105,VLOOKUP(Z$1,main!$A$3:$H$102,5,FALSE)-VLOOKUP($A247,main!$A$3:$H$102,6,FALSE)&gt;=main!$D$103+VLOOKUP(VLOOKUP(Z$1,main!$A$3:$I$102,7,FALSE),main!$K$26:$Q$29,5,FALSE)),1,0)</f>
        <v>0</v>
      </c>
      <c r="AA247">
        <f>IF(AND(VLOOKUP(AA$1,main!$A$3:$H$102,7,FALSE)=main!$G$105,VLOOKUP(AA$1,main!$A$3:$H$102,5,FALSE)-VLOOKUP($A247,main!$A$3:$H$102,6,FALSE)&gt;=main!$D$103+VLOOKUP(VLOOKUP(AA$1,main!$A$3:$I$102,7,FALSE),main!$K$26:$Q$29,5,FALSE)),1,0)</f>
        <v>0</v>
      </c>
      <c r="AB247">
        <f>IF(AND(VLOOKUP(AB$1,main!$A$3:$H$102,7,FALSE)=main!$G$105,VLOOKUP(AB$1,main!$A$3:$H$102,5,FALSE)-VLOOKUP($A247,main!$A$3:$H$102,6,FALSE)&gt;=main!$D$103+VLOOKUP(VLOOKUP(AB$1,main!$A$3:$I$102,7,FALSE),main!$K$26:$Q$29,5,FALSE)),1,0)</f>
        <v>0</v>
      </c>
      <c r="AC247">
        <f>IF(AND(VLOOKUP(AC$1,main!$A$3:$H$102,7,FALSE)=main!$G$105,VLOOKUP(AC$1,main!$A$3:$H$102,5,FALSE)-VLOOKUP($A247,main!$A$3:$H$102,6,FALSE)&gt;=main!$D$103+VLOOKUP(VLOOKUP(AC$1,main!$A$3:$I$102,7,FALSE),main!$K$26:$Q$29,5,FALSE)),1,0)</f>
        <v>0</v>
      </c>
      <c r="AD247">
        <f>IF(AND(VLOOKUP(AD$1,main!$A$3:$H$102,7,FALSE)=main!$G$105,VLOOKUP(AD$1,main!$A$3:$H$102,5,FALSE)-VLOOKUP($A247,main!$A$3:$H$102,6,FALSE)&gt;=main!$D$103+VLOOKUP(VLOOKUP(AD$1,main!$A$3:$I$102,7,FALSE),main!$K$26:$Q$29,5,FALSE)),1,0)</f>
        <v>0</v>
      </c>
      <c r="AE247">
        <f>IF(AND(VLOOKUP(AE$1,main!$A$3:$H$102,7,FALSE)=main!$G$105,VLOOKUP(AE$1,main!$A$3:$H$102,5,FALSE)-VLOOKUP($A247,main!$A$3:$H$102,6,FALSE)&gt;=main!$D$103+VLOOKUP(VLOOKUP(AE$1,main!$A$3:$I$102,7,FALSE),main!$K$26:$Q$29,5,FALSE)),1,0)</f>
        <v>0</v>
      </c>
      <c r="AF247">
        <f>IF(AND(VLOOKUP(AF$1,main!$A$3:$H$102,7,FALSE)=main!$G$105,VLOOKUP(AF$1,main!$A$3:$H$102,5,FALSE)-VLOOKUP($A247,main!$A$3:$H$102,6,FALSE)&gt;=main!$D$103+VLOOKUP(VLOOKUP(AF$1,main!$A$3:$I$102,7,FALSE),main!$K$26:$Q$29,5,FALSE)),1,0)</f>
        <v>0</v>
      </c>
      <c r="AG247">
        <f>IF(AND(VLOOKUP(AG$1,main!$A$3:$H$102,7,FALSE)=main!$G$105,VLOOKUP(AG$1,main!$A$3:$H$102,5,FALSE)-VLOOKUP($A247,main!$A$3:$H$102,6,FALSE)&gt;=main!$D$103+VLOOKUP(VLOOKUP(AG$1,main!$A$3:$I$102,7,FALSE),main!$K$26:$Q$29,5,FALSE)),1,0)</f>
        <v>0</v>
      </c>
      <c r="AH247">
        <f>IF(AND(VLOOKUP(AH$1,main!$A$3:$H$102,7,FALSE)=main!$G$105,VLOOKUP(AH$1,main!$A$3:$H$102,5,FALSE)-VLOOKUP($A247,main!$A$3:$H$102,6,FALSE)&gt;=main!$D$103+VLOOKUP(VLOOKUP(AH$1,main!$A$3:$I$102,7,FALSE),main!$K$26:$Q$29,5,FALSE)),1,0)</f>
        <v>0</v>
      </c>
      <c r="AI247">
        <f>IF(AND(VLOOKUP(AI$1,main!$A$3:$H$102,7,FALSE)=main!$G$105,VLOOKUP(AI$1,main!$A$3:$H$102,5,FALSE)-VLOOKUP($A247,main!$A$3:$H$102,6,FALSE)&gt;=main!$D$103+VLOOKUP(VLOOKUP(AI$1,main!$A$3:$I$102,7,FALSE),main!$K$26:$Q$29,5,FALSE)),1,0)</f>
        <v>0</v>
      </c>
      <c r="AJ247">
        <f>IF(AND(VLOOKUP(AJ$1,main!$A$3:$H$102,7,FALSE)=main!$G$105,VLOOKUP(AJ$1,main!$A$3:$H$102,5,FALSE)-VLOOKUP($A247,main!$A$3:$H$102,6,FALSE)&gt;=main!$D$103+VLOOKUP(VLOOKUP(AJ$1,main!$A$3:$I$102,7,FALSE),main!$K$26:$Q$29,5,FALSE)),1,0)</f>
        <v>0</v>
      </c>
      <c r="AK247">
        <f>IF(AND(VLOOKUP(AK$1,main!$A$3:$H$102,7,FALSE)=main!$G$105,VLOOKUP(AK$1,main!$A$3:$H$102,5,FALSE)-VLOOKUP($A247,main!$A$3:$H$102,6,FALSE)&gt;=main!$D$103+VLOOKUP(VLOOKUP(AK$1,main!$A$3:$I$102,7,FALSE),main!$K$26:$Q$29,5,FALSE)),1,0)</f>
        <v>0</v>
      </c>
      <c r="AL247">
        <f>IF(AND(VLOOKUP(AL$1,main!$A$3:$H$102,7,FALSE)=main!$G$105,VLOOKUP(AL$1,main!$A$3:$H$102,5,FALSE)-VLOOKUP($A247,main!$A$3:$H$102,6,FALSE)&gt;=main!$D$103+VLOOKUP(VLOOKUP(AL$1,main!$A$3:$I$102,7,FALSE),main!$K$26:$Q$29,5,FALSE)),1,0)</f>
        <v>1</v>
      </c>
      <c r="AM247">
        <f>IF(AND(VLOOKUP(AM$1,main!$A$3:$H$102,7,FALSE)=main!$G$105,VLOOKUP(AM$1,main!$A$3:$H$102,5,FALSE)-VLOOKUP($A247,main!$A$3:$H$102,6,FALSE)&gt;=main!$D$103+VLOOKUP(VLOOKUP(AM$1,main!$A$3:$I$102,7,FALSE),main!$K$26:$Q$29,5,FALSE)),1,0)</f>
        <v>1</v>
      </c>
      <c r="AN247">
        <f>IF(AND(VLOOKUP(AN$1,main!$A$3:$H$102,7,FALSE)=main!$G$105,VLOOKUP(AN$1,main!$A$3:$H$102,5,FALSE)-VLOOKUP($A247,main!$A$3:$H$102,6,FALSE)&gt;=main!$D$103+VLOOKUP(VLOOKUP(AN$1,main!$A$3:$I$102,7,FALSE),main!$K$26:$Q$29,5,FALSE)),1,0)</f>
        <v>1</v>
      </c>
      <c r="AO247">
        <f>IF(AND(VLOOKUP(AO$1,main!$A$3:$H$102,7,FALSE)=main!$G$105,VLOOKUP(AO$1,main!$A$3:$H$102,5,FALSE)-VLOOKUP($A247,main!$A$3:$H$102,6,FALSE)&gt;=main!$D$103+VLOOKUP(VLOOKUP(AO$1,main!$A$3:$I$102,7,FALSE),main!$K$26:$Q$29,5,FALSE)),1,0)</f>
        <v>0</v>
      </c>
      <c r="AP247">
        <f>IF(AND(VLOOKUP(AP$1,main!$A$3:$H$102,7,FALSE)=main!$G$105,VLOOKUP(AP$1,main!$A$3:$H$102,5,FALSE)-VLOOKUP($A247,main!$A$3:$H$102,6,FALSE)&gt;=main!$D$103+VLOOKUP(VLOOKUP(AP$1,main!$A$3:$I$102,7,FALSE),main!$K$26:$Q$29,5,FALSE)),1,0)</f>
        <v>1</v>
      </c>
      <c r="AQ247">
        <f>IF(AND(VLOOKUP(AQ$1,main!$A$3:$H$102,7,FALSE)=main!$G$105,VLOOKUP(AQ$1,main!$A$3:$H$102,5,FALSE)-VLOOKUP($A247,main!$A$3:$H$102,6,FALSE)&gt;=main!$D$103+VLOOKUP(VLOOKUP(AQ$1,main!$A$3:$I$102,7,FALSE),main!$K$26:$Q$29,5,FALSE)),1,0)</f>
        <v>0</v>
      </c>
      <c r="AR247">
        <f>IF(AND(VLOOKUP(AR$1,main!$A$3:$H$102,7,FALSE)=main!$G$105,VLOOKUP(AR$1,main!$A$3:$H$102,5,FALSE)-VLOOKUP($A247,main!$A$3:$H$102,6,FALSE)&gt;=main!$D$103+VLOOKUP(VLOOKUP(AR$1,main!$A$3:$I$102,7,FALSE),main!$K$26:$Q$29,5,FALSE)),1,0)</f>
        <v>0</v>
      </c>
      <c r="AS247">
        <f>IF(AND(VLOOKUP(AS$1,main!$A$3:$H$102,7,FALSE)=main!$G$105,VLOOKUP(AS$1,main!$A$3:$H$102,5,FALSE)-VLOOKUP($A247,main!$A$3:$H$102,6,FALSE)&gt;=main!$D$103+VLOOKUP(VLOOKUP(AS$1,main!$A$3:$I$102,7,FALSE),main!$K$26:$Q$29,5,FALSE)),1,0)</f>
        <v>0</v>
      </c>
      <c r="AT247">
        <f>IF(AND(VLOOKUP(AT$1,main!$A$3:$H$102,7,FALSE)=main!$G$105,VLOOKUP(AT$1,main!$A$3:$H$102,5,FALSE)-VLOOKUP($A247,main!$A$3:$H$102,6,FALSE)&gt;=main!$D$103+VLOOKUP(VLOOKUP(AT$1,main!$A$3:$I$102,7,FALSE),main!$K$26:$Q$29,5,FALSE)),1,0)</f>
        <v>0</v>
      </c>
      <c r="AU247">
        <f>IF(AND(VLOOKUP(AU$1,main!$A$3:$H$102,7,FALSE)=main!$G$105,VLOOKUP(AU$1,main!$A$3:$H$102,5,FALSE)-VLOOKUP($A247,main!$A$3:$H$102,6,FALSE)&gt;=main!$D$103+VLOOKUP(VLOOKUP(AU$1,main!$A$3:$I$102,7,FALSE),main!$K$26:$Q$29,5,FALSE)),1,0)</f>
        <v>0</v>
      </c>
      <c r="AV247">
        <f>IF(AND(VLOOKUP(AV$1,main!$A$3:$H$102,7,FALSE)=main!$G$105,VLOOKUP(AV$1,main!$A$3:$H$102,5,FALSE)-VLOOKUP($A247,main!$A$3:$H$102,6,FALSE)&gt;=main!$D$103+VLOOKUP(VLOOKUP(AV$1,main!$A$3:$I$102,7,FALSE),main!$K$26:$Q$29,5,FALSE)),1,0)</f>
        <v>0</v>
      </c>
      <c r="AW247">
        <f>IF(AND(VLOOKUP(AW$1,main!$A$3:$H$102,7,FALSE)=main!$G$105,VLOOKUP(AW$1,main!$A$3:$H$102,5,FALSE)-VLOOKUP($A247,main!$A$3:$H$102,6,FALSE)&gt;=main!$D$103+VLOOKUP(VLOOKUP(AW$1,main!$A$3:$I$102,7,FALSE),main!$K$26:$Q$29,5,FALSE)),1,0)</f>
        <v>0</v>
      </c>
      <c r="AX247">
        <f>IF(AND(VLOOKUP(AX$1,main!$A$3:$H$102,7,FALSE)=main!$G$105,VLOOKUP(AX$1,main!$A$3:$H$102,5,FALSE)-VLOOKUP($A247,main!$A$3:$H$102,6,FALSE)&gt;=main!$D$103+VLOOKUP(VLOOKUP(AX$1,main!$A$3:$I$102,7,FALSE),main!$K$26:$Q$29,5,FALSE)),1,0)</f>
        <v>0</v>
      </c>
      <c r="AY247">
        <f>IF(AND(VLOOKUP(AY$1,main!$A$3:$H$102,7,FALSE)=main!$G$105,VLOOKUP(AY$1,main!$A$3:$H$102,5,FALSE)-VLOOKUP($A247,main!$A$3:$H$102,6,FALSE)&gt;=main!$D$103+VLOOKUP(VLOOKUP(AY$1,main!$A$3:$I$102,7,FALSE),main!$K$26:$Q$29,5,FALSE)),1,0)</f>
        <v>0</v>
      </c>
      <c r="AZ247">
        <f>IF(AND(VLOOKUP(AZ$1,main!$A$3:$H$102,7,FALSE)=main!$G$105,VLOOKUP(AZ$1,main!$A$3:$H$102,5,FALSE)-VLOOKUP($A247,main!$A$3:$H$102,6,FALSE)&gt;=main!$D$103+VLOOKUP(VLOOKUP(AZ$1,main!$A$3:$I$102,7,FALSE),main!$K$26:$Q$29,5,FALSE)),1,0)</f>
        <v>0</v>
      </c>
      <c r="BA247">
        <f>IF(AND(VLOOKUP(BA$1,main!$A$3:$H$102,7,FALSE)=main!$G$105,VLOOKUP(BA$1,main!$A$3:$H$102,5,FALSE)-VLOOKUP($A247,main!$A$3:$H$102,6,FALSE)&gt;=main!$D$103+VLOOKUP(VLOOKUP(BA$1,main!$A$3:$I$102,7,FALSE),main!$K$26:$Q$29,5,FALSE)),1,0)</f>
        <v>0</v>
      </c>
      <c r="BB247">
        <f>IF(AND(VLOOKUP(BB$1,main!$A$3:$H$102,7,FALSE)=main!$G$105,VLOOKUP(BB$1,main!$A$3:$H$102,5,FALSE)-VLOOKUP($A247,main!$A$3:$H$102,6,FALSE)&gt;=main!$D$103+VLOOKUP(VLOOKUP(BB$1,main!$A$3:$I$102,7,FALSE),main!$K$26:$Q$29,5,FALSE)),1,0)</f>
        <v>0</v>
      </c>
      <c r="BC247">
        <f>IF(AND(VLOOKUP(BC$1,main!$A$3:$H$102,7,FALSE)=main!$G$105,VLOOKUP(BC$1,main!$A$3:$H$102,5,FALSE)-VLOOKUP($A247,main!$A$3:$H$102,6,FALSE)&gt;=main!$D$103+VLOOKUP(VLOOKUP(BC$1,main!$A$3:$I$102,7,FALSE),main!$K$26:$Q$29,5,FALSE)),1,0)</f>
        <v>0</v>
      </c>
      <c r="BD247">
        <f>IF(AND(VLOOKUP(BD$1,main!$A$3:$H$102,7,FALSE)=main!$G$105,VLOOKUP(BD$1,main!$A$3:$H$102,5,FALSE)-VLOOKUP($A247,main!$A$3:$H$102,6,FALSE)&gt;=main!$D$103+VLOOKUP(VLOOKUP(BD$1,main!$A$3:$I$102,7,FALSE),main!$K$26:$Q$29,5,FALSE)),1,0)</f>
        <v>0</v>
      </c>
      <c r="BE247">
        <f>IF(AND(VLOOKUP(BE$1,main!$A$3:$H$102,7,FALSE)=main!$G$105,VLOOKUP(BE$1,main!$A$3:$H$102,5,FALSE)-VLOOKUP($A247,main!$A$3:$H$102,6,FALSE)&gt;=main!$D$103+VLOOKUP(VLOOKUP(BE$1,main!$A$3:$I$102,7,FALSE),main!$K$26:$Q$29,5,FALSE)),1,0)</f>
        <v>0</v>
      </c>
      <c r="BF247">
        <f>IF(AND(VLOOKUP(BF$1,main!$A$3:$H$102,7,FALSE)=main!$G$105,VLOOKUP(BF$1,main!$A$3:$H$102,5,FALSE)-VLOOKUP($A247,main!$A$3:$H$102,6,FALSE)&gt;=main!$D$103+VLOOKUP(VLOOKUP(BF$1,main!$A$3:$I$102,7,FALSE),main!$K$26:$Q$29,5,FALSE)),1,0)</f>
        <v>0</v>
      </c>
      <c r="BG247">
        <f>IF(AND(VLOOKUP(BG$1,main!$A$3:$H$102,7,FALSE)=main!$G$105,VLOOKUP(BG$1,main!$A$3:$H$102,5,FALSE)-VLOOKUP($A247,main!$A$3:$H$102,6,FALSE)&gt;=main!$D$103+VLOOKUP(VLOOKUP(BG$1,main!$A$3:$I$102,7,FALSE),main!$K$26:$Q$29,5,FALSE)),1,0)</f>
        <v>0</v>
      </c>
      <c r="BH247">
        <f>IF(AND(VLOOKUP(BH$1,main!$A$3:$H$102,7,FALSE)=main!$G$105,VLOOKUP(BH$1,main!$A$3:$H$102,5,FALSE)-VLOOKUP($A247,main!$A$3:$H$102,6,FALSE)&gt;=main!$D$103+VLOOKUP(VLOOKUP(BH$1,main!$A$3:$I$102,7,FALSE),main!$K$26:$Q$29,5,FALSE)),1,0)</f>
        <v>0</v>
      </c>
      <c r="BI247">
        <f>IF(AND(VLOOKUP(BI$1,main!$A$3:$H$102,7,FALSE)=main!$G$105,VLOOKUP(BI$1,main!$A$3:$H$102,5,FALSE)-VLOOKUP($A247,main!$A$3:$H$102,6,FALSE)&gt;=main!$D$103+VLOOKUP(VLOOKUP(BI$1,main!$A$3:$I$102,7,FALSE),main!$K$26:$Q$29,5,FALSE)),1,0)</f>
        <v>0</v>
      </c>
      <c r="BJ247">
        <f>IF(AND(VLOOKUP(BJ$1,main!$A$3:$H$102,7,FALSE)=main!$G$105,VLOOKUP(BJ$1,main!$A$3:$H$102,5,FALSE)-VLOOKUP($A247,main!$A$3:$H$102,6,FALSE)&gt;=main!$D$103+VLOOKUP(VLOOKUP(BJ$1,main!$A$3:$I$102,7,FALSE),main!$K$26:$Q$29,5,FALSE)),1,0)</f>
        <v>0</v>
      </c>
      <c r="BK247">
        <f>IF(AND(VLOOKUP(BK$1,main!$A$3:$H$102,7,FALSE)=main!$G$105,VLOOKUP(BK$1,main!$A$3:$H$102,5,FALSE)-VLOOKUP($A247,main!$A$3:$H$102,6,FALSE)&gt;=main!$D$103+VLOOKUP(VLOOKUP(BK$1,main!$A$3:$I$102,7,FALSE),main!$K$26:$Q$29,5,FALSE)),1,0)</f>
        <v>0</v>
      </c>
      <c r="BL247">
        <f>IF(AND(VLOOKUP(BL$1,main!$A$3:$H$102,7,FALSE)=main!$G$105,VLOOKUP(BL$1,main!$A$3:$H$102,5,FALSE)-VLOOKUP($A247,main!$A$3:$H$102,6,FALSE)&gt;=main!$D$103+VLOOKUP(VLOOKUP(BL$1,main!$A$3:$I$102,7,FALSE),main!$K$26:$Q$29,5,FALSE)),1,0)</f>
        <v>0</v>
      </c>
      <c r="BM247">
        <f>IF(AND(VLOOKUP(BM$1,main!$A$3:$H$102,7,FALSE)=main!$G$105,VLOOKUP(BM$1,main!$A$3:$H$102,5,FALSE)-VLOOKUP($A247,main!$A$3:$H$102,6,FALSE)&gt;=main!$D$103+VLOOKUP(VLOOKUP(BM$1,main!$A$3:$I$102,7,FALSE),main!$K$26:$Q$29,5,FALSE)),1,0)</f>
        <v>0</v>
      </c>
      <c r="BN247">
        <f>IF(AND(VLOOKUP(BN$1,main!$A$3:$H$102,7,FALSE)=main!$G$105,VLOOKUP(BN$1,main!$A$3:$H$102,5,FALSE)-VLOOKUP($A247,main!$A$3:$H$102,6,FALSE)&gt;=main!$D$103+VLOOKUP(VLOOKUP(BN$1,main!$A$3:$I$102,7,FALSE),main!$K$26:$Q$29,5,FALSE)),1,0)</f>
        <v>0</v>
      </c>
      <c r="BO247">
        <f>IF(AND(VLOOKUP(BO$1,main!$A$3:$H$102,7,FALSE)=main!$G$105,VLOOKUP(BO$1,main!$A$3:$H$102,5,FALSE)-VLOOKUP($A247,main!$A$3:$H$102,6,FALSE)&gt;=main!$D$103+VLOOKUP(VLOOKUP(BO$1,main!$A$3:$I$102,7,FALSE),main!$K$26:$Q$29,5,FALSE)),1,0)</f>
        <v>0</v>
      </c>
      <c r="BP247">
        <f>IF(AND(VLOOKUP(BP$1,main!$A$3:$H$102,7,FALSE)=main!$G$105,VLOOKUP(BP$1,main!$A$3:$H$102,5,FALSE)-VLOOKUP($A247,main!$A$3:$H$102,6,FALSE)&gt;=main!$D$103+VLOOKUP(VLOOKUP(BP$1,main!$A$3:$I$102,7,FALSE),main!$K$26:$Q$29,5,FALSE)),1,0)</f>
        <v>0</v>
      </c>
      <c r="BQ247">
        <f>IF(AND(VLOOKUP(BQ$1,main!$A$3:$H$102,7,FALSE)=main!$G$105,VLOOKUP(BQ$1,main!$A$3:$H$102,5,FALSE)-VLOOKUP($A247,main!$A$3:$H$102,6,FALSE)&gt;=main!$D$103+VLOOKUP(VLOOKUP(BQ$1,main!$A$3:$I$102,7,FALSE),main!$K$26:$Q$29,5,FALSE)),1,0)</f>
        <v>0</v>
      </c>
      <c r="BR247">
        <f>IF(AND(VLOOKUP(BR$1,main!$A$3:$H$102,7,FALSE)=main!$G$105,VLOOKUP(BR$1,main!$A$3:$H$102,5,FALSE)-VLOOKUP($A247,main!$A$3:$H$102,6,FALSE)&gt;=main!$D$103+VLOOKUP(VLOOKUP(BR$1,main!$A$3:$I$102,7,FALSE),main!$K$26:$Q$29,5,FALSE)),1,0)</f>
        <v>0</v>
      </c>
      <c r="BS247">
        <f>IF(AND(VLOOKUP(BS$1,main!$A$3:$H$102,7,FALSE)=main!$G$105,VLOOKUP(BS$1,main!$A$3:$H$102,5,FALSE)-VLOOKUP($A247,main!$A$3:$H$102,6,FALSE)&gt;=main!$D$103+VLOOKUP(VLOOKUP(BS$1,main!$A$3:$I$102,7,FALSE),main!$K$26:$Q$29,5,FALSE)),1,0)</f>
        <v>0</v>
      </c>
      <c r="BT247">
        <f>IF(AND(VLOOKUP(BT$1,main!$A$3:$H$102,7,FALSE)=main!$G$105,VLOOKUP(BT$1,main!$A$3:$H$102,5,FALSE)-VLOOKUP($A247,main!$A$3:$H$102,6,FALSE)&gt;=main!$D$103+VLOOKUP(VLOOKUP(BT$1,main!$A$3:$I$102,7,FALSE),main!$K$26:$Q$29,5,FALSE)),1,0)</f>
        <v>0</v>
      </c>
      <c r="BU247">
        <f>IF(AND(VLOOKUP(BU$1,main!$A$3:$H$102,7,FALSE)=main!$G$105,VLOOKUP(BU$1,main!$A$3:$H$102,5,FALSE)-VLOOKUP($A247,main!$A$3:$H$102,6,FALSE)&gt;=main!$D$103+VLOOKUP(VLOOKUP(BU$1,main!$A$3:$I$102,7,FALSE),main!$K$26:$Q$29,5,FALSE)),1,0)</f>
        <v>0</v>
      </c>
      <c r="BV247">
        <f>IF(AND(VLOOKUP(BV$1,main!$A$3:$H$102,7,FALSE)=main!$G$105,VLOOKUP(BV$1,main!$A$3:$H$102,5,FALSE)-VLOOKUP($A247,main!$A$3:$H$102,6,FALSE)&gt;=main!$D$103+VLOOKUP(VLOOKUP(BV$1,main!$A$3:$I$102,7,FALSE),main!$K$26:$Q$29,5,FALSE)),1,0)</f>
        <v>0</v>
      </c>
      <c r="BW247">
        <f>IF(AND(VLOOKUP(BW$1,main!$A$3:$H$102,7,FALSE)=main!$G$105,VLOOKUP(BW$1,main!$A$3:$H$102,5,FALSE)-VLOOKUP($A247,main!$A$3:$H$102,6,FALSE)&gt;=main!$D$103+VLOOKUP(VLOOKUP(BW$1,main!$A$3:$I$102,7,FALSE),main!$K$26:$Q$29,5,FALSE)),1,0)</f>
        <v>0</v>
      </c>
      <c r="BX247">
        <f>IF(AND(VLOOKUP(BX$1,main!$A$3:$H$102,7,FALSE)=main!$G$105,VLOOKUP(BX$1,main!$A$3:$H$102,5,FALSE)-VLOOKUP($A247,main!$A$3:$H$102,6,FALSE)&gt;=main!$D$103+VLOOKUP(VLOOKUP(BX$1,main!$A$3:$I$102,7,FALSE),main!$K$26:$Q$29,5,FALSE)),1,0)</f>
        <v>0</v>
      </c>
      <c r="BY247">
        <f>IF(AND(VLOOKUP(BY$1,main!$A$3:$H$102,7,FALSE)=main!$G$105,VLOOKUP(BY$1,main!$A$3:$H$102,5,FALSE)-VLOOKUP($A247,main!$A$3:$H$102,6,FALSE)&gt;=main!$D$103+VLOOKUP(VLOOKUP(BY$1,main!$A$3:$I$102,7,FALSE),main!$K$26:$Q$29,5,FALSE)),1,0)</f>
        <v>0</v>
      </c>
      <c r="BZ247">
        <f>IF(AND(VLOOKUP(BZ$1,main!$A$3:$H$102,7,FALSE)=main!$G$105,VLOOKUP(BZ$1,main!$A$3:$H$102,5,FALSE)-VLOOKUP($A247,main!$A$3:$H$102,6,FALSE)&gt;=main!$D$103+VLOOKUP(VLOOKUP(BZ$1,main!$A$3:$I$102,7,FALSE),main!$K$26:$Q$29,5,FALSE)),1,0)</f>
        <v>0</v>
      </c>
      <c r="CA247">
        <f>IF(AND(VLOOKUP(CA$1,main!$A$3:$H$102,7,FALSE)=main!$G$105,VLOOKUP(CA$1,main!$A$3:$H$102,5,FALSE)-VLOOKUP($A247,main!$A$3:$H$102,6,FALSE)&gt;=main!$D$103+VLOOKUP(VLOOKUP(CA$1,main!$A$3:$I$102,7,FALSE),main!$K$26:$Q$29,5,FALSE)),1,0)</f>
        <v>0</v>
      </c>
      <c r="CB247">
        <f>IF(AND(VLOOKUP(CB$1,main!$A$3:$H$102,7,FALSE)=main!$G$105,VLOOKUP(CB$1,main!$A$3:$H$102,5,FALSE)-VLOOKUP($A247,main!$A$3:$H$102,6,FALSE)&gt;=main!$D$103+VLOOKUP(VLOOKUP(CB$1,main!$A$3:$I$102,7,FALSE),main!$K$26:$Q$29,5,FALSE)),1,0)</f>
        <v>0</v>
      </c>
      <c r="CC247">
        <f>IF(AND(VLOOKUP(CC$1,main!$A$3:$H$102,7,FALSE)=main!$G$105,VLOOKUP(CC$1,main!$A$3:$H$102,5,FALSE)-VLOOKUP($A247,main!$A$3:$H$102,6,FALSE)&gt;=main!$D$103+VLOOKUP(VLOOKUP(CC$1,main!$A$3:$I$102,7,FALSE),main!$K$26:$Q$29,5,FALSE)),1,0)</f>
        <v>0</v>
      </c>
      <c r="CD247">
        <f>IF(AND(VLOOKUP(CD$1,main!$A$3:$H$102,7,FALSE)=main!$G$105,VLOOKUP(CD$1,main!$A$3:$H$102,5,FALSE)-VLOOKUP($A247,main!$A$3:$H$102,6,FALSE)&gt;=main!$D$103+VLOOKUP(VLOOKUP(CD$1,main!$A$3:$I$102,7,FALSE),main!$K$26:$Q$29,5,FALSE)),1,0)</f>
        <v>0</v>
      </c>
      <c r="CE247">
        <f>IF(AND(VLOOKUP(CE$1,main!$A$3:$H$102,7,FALSE)=main!$G$105,VLOOKUP(CE$1,main!$A$3:$H$102,5,FALSE)-VLOOKUP($A247,main!$A$3:$H$102,6,FALSE)&gt;=main!$D$103+VLOOKUP(VLOOKUP(CE$1,main!$A$3:$I$102,7,FALSE),main!$K$26:$Q$29,5,FALSE)),1,0)</f>
        <v>0</v>
      </c>
      <c r="CF247">
        <f>IF(AND(VLOOKUP(CF$1,main!$A$3:$H$102,7,FALSE)=main!$G$105,VLOOKUP(CF$1,main!$A$3:$H$102,5,FALSE)-VLOOKUP($A247,main!$A$3:$H$102,6,FALSE)&gt;=main!$D$103+VLOOKUP(VLOOKUP(CF$1,main!$A$3:$I$102,7,FALSE),main!$K$26:$Q$29,5,FALSE)),1,0)</f>
        <v>0</v>
      </c>
      <c r="CG247">
        <f>IF(AND(VLOOKUP(CG$1,main!$A$3:$H$102,7,FALSE)=main!$G$105,VLOOKUP(CG$1,main!$A$3:$H$102,5,FALSE)-VLOOKUP($A247,main!$A$3:$H$102,6,FALSE)&gt;=main!$D$103+VLOOKUP(VLOOKUP(CG$1,main!$A$3:$I$102,7,FALSE),main!$K$26:$Q$29,5,FALSE)),1,0)</f>
        <v>0</v>
      </c>
      <c r="CH247">
        <f>IF(AND(VLOOKUP(CH$1,main!$A$3:$H$102,7,FALSE)=main!$G$105,VLOOKUP(CH$1,main!$A$3:$H$102,5,FALSE)-VLOOKUP($A247,main!$A$3:$H$102,6,FALSE)&gt;=main!$D$103+VLOOKUP(VLOOKUP(CH$1,main!$A$3:$I$102,7,FALSE),main!$K$26:$Q$29,5,FALSE)),1,0)</f>
        <v>0</v>
      </c>
      <c r="CI247">
        <f>IF(AND(VLOOKUP(CI$1,main!$A$3:$H$102,7,FALSE)=main!$G$105,VLOOKUP(CI$1,main!$A$3:$H$102,5,FALSE)-VLOOKUP($A247,main!$A$3:$H$102,6,FALSE)&gt;=main!$D$103+VLOOKUP(VLOOKUP(CI$1,main!$A$3:$I$102,7,FALSE),main!$K$26:$Q$29,5,FALSE)),1,0)</f>
        <v>0</v>
      </c>
      <c r="CJ247">
        <f>IF(AND(VLOOKUP(CJ$1,main!$A$3:$H$102,7,FALSE)=main!$G$105,VLOOKUP(CJ$1,main!$A$3:$H$102,5,FALSE)-VLOOKUP($A247,main!$A$3:$H$102,6,FALSE)&gt;=main!$D$103+VLOOKUP(VLOOKUP(CJ$1,main!$A$3:$I$102,7,FALSE),main!$K$26:$Q$29,5,FALSE)),1,0)</f>
        <v>0</v>
      </c>
      <c r="CK247">
        <f>IF(AND(VLOOKUP(CK$1,main!$A$3:$H$102,7,FALSE)=main!$G$105,VLOOKUP(CK$1,main!$A$3:$H$102,5,FALSE)-VLOOKUP($A247,main!$A$3:$H$102,6,FALSE)&gt;=main!$D$103+VLOOKUP(VLOOKUP(CK$1,main!$A$3:$I$102,7,FALSE),main!$K$26:$Q$29,5,FALSE)),1,0)</f>
        <v>0</v>
      </c>
      <c r="CL247">
        <f>IF(AND(VLOOKUP(CL$1,main!$A$3:$H$102,7,FALSE)=main!$G$105,VLOOKUP(CL$1,main!$A$3:$H$102,5,FALSE)-VLOOKUP($A247,main!$A$3:$H$102,6,FALSE)&gt;=main!$D$103+VLOOKUP(VLOOKUP(CL$1,main!$A$3:$I$102,7,FALSE),main!$K$26:$Q$29,5,FALSE)),1,0)</f>
        <v>0</v>
      </c>
      <c r="CM247">
        <f>IF(AND(VLOOKUP(CM$1,main!$A$3:$H$102,7,FALSE)=main!$G$105,VLOOKUP(CM$1,main!$A$3:$H$102,5,FALSE)-VLOOKUP($A247,main!$A$3:$H$102,6,FALSE)&gt;=main!$D$103+VLOOKUP(VLOOKUP(CM$1,main!$A$3:$I$102,7,FALSE),main!$K$26:$Q$29,5,FALSE)),1,0)</f>
        <v>0</v>
      </c>
      <c r="CN247">
        <f>IF(AND(VLOOKUP(CN$1,main!$A$3:$H$102,7,FALSE)=main!$G$105,VLOOKUP(CN$1,main!$A$3:$H$102,5,FALSE)-VLOOKUP($A247,main!$A$3:$H$102,6,FALSE)&gt;=main!$D$103+VLOOKUP(VLOOKUP(CN$1,main!$A$3:$I$102,7,FALSE),main!$K$26:$Q$29,5,FALSE)),1,0)</f>
        <v>0</v>
      </c>
      <c r="CO247">
        <f>IF(AND(VLOOKUP(CO$1,main!$A$3:$H$102,7,FALSE)=main!$G$105,VLOOKUP(CO$1,main!$A$3:$H$102,5,FALSE)-VLOOKUP($A247,main!$A$3:$H$102,6,FALSE)&gt;=main!$D$103+VLOOKUP(VLOOKUP(CO$1,main!$A$3:$I$102,7,FALSE),main!$K$26:$Q$29,5,FALSE)),1,0)</f>
        <v>0</v>
      </c>
      <c r="CP247">
        <f>IF(AND(VLOOKUP(CP$1,main!$A$3:$H$102,7,FALSE)=main!$G$105,VLOOKUP(CP$1,main!$A$3:$H$102,5,FALSE)-VLOOKUP($A247,main!$A$3:$H$102,6,FALSE)&gt;=main!$D$103+VLOOKUP(VLOOKUP(CP$1,main!$A$3:$I$102,7,FALSE),main!$K$26:$Q$29,5,FALSE)),1,0)</f>
        <v>0</v>
      </c>
      <c r="CQ247">
        <f>IF(AND(VLOOKUP(CQ$1,main!$A$3:$H$102,7,FALSE)=main!$G$105,VLOOKUP(CQ$1,main!$A$3:$H$102,5,FALSE)-VLOOKUP($A247,main!$A$3:$H$102,6,FALSE)&gt;=main!$D$103+VLOOKUP(VLOOKUP(CQ$1,main!$A$3:$I$102,7,FALSE),main!$K$26:$Q$29,5,FALSE)),1,0)</f>
        <v>0</v>
      </c>
      <c r="CR247">
        <f>IF(AND(VLOOKUP(CR$1,main!$A$3:$H$102,7,FALSE)=main!$G$105,VLOOKUP(CR$1,main!$A$3:$H$102,5,FALSE)-VLOOKUP($A247,main!$A$3:$H$102,6,FALSE)&gt;=main!$D$103+VLOOKUP(VLOOKUP(CR$1,main!$A$3:$I$102,7,FALSE),main!$K$26:$Q$29,5,FALSE)),1,0)</f>
        <v>0</v>
      </c>
      <c r="CS247">
        <f>IF(AND(VLOOKUP(CS$1,main!$A$3:$H$102,7,FALSE)=main!$G$105,VLOOKUP(CS$1,main!$A$3:$H$102,5,FALSE)-VLOOKUP($A247,main!$A$3:$H$102,6,FALSE)&gt;=main!$D$103+VLOOKUP(VLOOKUP(CS$1,main!$A$3:$I$102,7,FALSE),main!$K$26:$Q$29,5,FALSE)),1,0)</f>
        <v>0</v>
      </c>
      <c r="CT247">
        <f>IF(AND(VLOOKUP(CT$1,main!$A$3:$H$102,7,FALSE)=main!$G$105,VLOOKUP(CT$1,main!$A$3:$H$102,5,FALSE)-VLOOKUP($A247,main!$A$3:$H$102,6,FALSE)&gt;=main!$D$103+VLOOKUP(VLOOKUP(CT$1,main!$A$3:$I$102,7,FALSE),main!$K$26:$Q$29,5,FALSE)),1,0)</f>
        <v>0</v>
      </c>
      <c r="CU247">
        <f>IF(AND(VLOOKUP(CU$1,main!$A$3:$H$102,7,FALSE)=main!$G$105,VLOOKUP(CU$1,main!$A$3:$H$102,5,FALSE)-VLOOKUP($A247,main!$A$3:$H$102,6,FALSE)&gt;=main!$D$103+VLOOKUP(VLOOKUP(CU$1,main!$A$3:$I$102,7,FALSE),main!$K$26:$Q$29,5,FALSE)),1,0)</f>
        <v>0</v>
      </c>
      <c r="CV247">
        <f>IF(AND(VLOOKUP(CV$1,main!$A$3:$H$102,7,FALSE)=main!$G$105,VLOOKUP(CV$1,main!$A$3:$H$102,5,FALSE)-VLOOKUP($A247,main!$A$3:$H$102,6,FALSE)&gt;=main!$D$103+VLOOKUP(VLOOKUP(CV$1,main!$A$3:$I$102,7,FALSE),main!$K$26:$Q$29,5,FALSE)),1,0)</f>
        <v>0</v>
      </c>
      <c r="CW247">
        <f>IF(AND(VLOOKUP(CW$1,main!$A$3:$H$102,7,FALSE)=main!$G$105,VLOOKUP(CW$1,main!$A$3:$H$102,5,FALSE)-VLOOKUP($A247,main!$A$3:$H$102,6,FALSE)&gt;=main!$D$103+VLOOKUP(VLOOKUP(CW$1,main!$A$3:$I$102,7,FALSE),main!$K$26:$Q$29,5,FALSE)),1,0)</f>
        <v>0</v>
      </c>
      <c r="CX247">
        <f>IF(AND(VLOOKUP(CX$1,main!$A$3:$H$102,7,FALSE)=main!$G$105,VLOOKUP(CX$1,main!$A$3:$H$102,5,FALSE)-VLOOKUP($A247,main!$A$3:$H$102,6,FALSE)&gt;=main!$D$103+VLOOKUP(VLOOKUP(CX$1,main!$A$3:$I$102,7,FALSE),main!$K$26:$Q$29,5,FALSE)),1,0)</f>
        <v>0</v>
      </c>
    </row>
    <row r="248" spans="1:102" x14ac:dyDescent="0.25">
      <c r="A248" s="1">
        <v>44</v>
      </c>
      <c r="B248">
        <v>0</v>
      </c>
      <c r="C248">
        <f>IF(AND(VLOOKUP(C$1,main!$A$3:$H$102,7,FALSE)=main!$G$105,VLOOKUP(C$1,main!$A$3:$H$102,5,FALSE)-VLOOKUP($A248,main!$A$3:$H$102,6,FALSE)&gt;=main!$D$103+VLOOKUP(VLOOKUP(C$1,main!$A$3:$I$102,7,FALSE),main!$K$26:$Q$29,5,FALSE)),1,0)</f>
        <v>0</v>
      </c>
      <c r="D248">
        <f>IF(AND(VLOOKUP(D$1,main!$A$3:$H$102,7,FALSE)=main!$G$105,VLOOKUP(D$1,main!$A$3:$H$102,5,FALSE)-VLOOKUP($A248,main!$A$3:$H$102,6,FALSE)&gt;=main!$D$103+VLOOKUP(VLOOKUP(D$1,main!$A$3:$I$102,7,FALSE),main!$K$26:$Q$29,5,FALSE)),1,0)</f>
        <v>0</v>
      </c>
      <c r="E248">
        <f>IF(AND(VLOOKUP(E$1,main!$A$3:$H$102,7,FALSE)=main!$G$105,VLOOKUP(E$1,main!$A$3:$H$102,5,FALSE)-VLOOKUP($A248,main!$A$3:$H$102,6,FALSE)&gt;=main!$D$103+VLOOKUP(VLOOKUP(E$1,main!$A$3:$I$102,7,FALSE),main!$K$26:$Q$29,5,FALSE)),1,0)</f>
        <v>0</v>
      </c>
      <c r="F248">
        <f>IF(AND(VLOOKUP(F$1,main!$A$3:$H$102,7,FALSE)=main!$G$105,VLOOKUP(F$1,main!$A$3:$H$102,5,FALSE)-VLOOKUP($A248,main!$A$3:$H$102,6,FALSE)&gt;=main!$D$103+VLOOKUP(VLOOKUP(F$1,main!$A$3:$I$102,7,FALSE),main!$K$26:$Q$29,5,FALSE)),1,0)</f>
        <v>0</v>
      </c>
      <c r="G248">
        <f>IF(AND(VLOOKUP(G$1,main!$A$3:$H$102,7,FALSE)=main!$G$105,VLOOKUP(G$1,main!$A$3:$H$102,5,FALSE)-VLOOKUP($A248,main!$A$3:$H$102,6,FALSE)&gt;=main!$D$103+VLOOKUP(VLOOKUP(G$1,main!$A$3:$I$102,7,FALSE),main!$K$26:$Q$29,5,FALSE)),1,0)</f>
        <v>0</v>
      </c>
      <c r="H248">
        <f>IF(AND(VLOOKUP(H$1,main!$A$3:$H$102,7,FALSE)=main!$G$105,VLOOKUP(H$1,main!$A$3:$H$102,5,FALSE)-VLOOKUP($A248,main!$A$3:$H$102,6,FALSE)&gt;=main!$D$103+VLOOKUP(VLOOKUP(H$1,main!$A$3:$I$102,7,FALSE),main!$K$26:$Q$29,5,FALSE)),1,0)</f>
        <v>0</v>
      </c>
      <c r="I248">
        <f>IF(AND(VLOOKUP(I$1,main!$A$3:$H$102,7,FALSE)=main!$G$105,VLOOKUP(I$1,main!$A$3:$H$102,5,FALSE)-VLOOKUP($A248,main!$A$3:$H$102,6,FALSE)&gt;=main!$D$103+VLOOKUP(VLOOKUP(I$1,main!$A$3:$I$102,7,FALSE),main!$K$26:$Q$29,5,FALSE)),1,0)</f>
        <v>0</v>
      </c>
      <c r="J248">
        <f>IF(AND(VLOOKUP(J$1,main!$A$3:$H$102,7,FALSE)=main!$G$105,VLOOKUP(J$1,main!$A$3:$H$102,5,FALSE)-VLOOKUP($A248,main!$A$3:$H$102,6,FALSE)&gt;=main!$D$103+VLOOKUP(VLOOKUP(J$1,main!$A$3:$I$102,7,FALSE),main!$K$26:$Q$29,5,FALSE)),1,0)</f>
        <v>0</v>
      </c>
      <c r="K248">
        <f>IF(AND(VLOOKUP(K$1,main!$A$3:$H$102,7,FALSE)=main!$G$105,VLOOKUP(K$1,main!$A$3:$H$102,5,FALSE)-VLOOKUP($A248,main!$A$3:$H$102,6,FALSE)&gt;=main!$D$103+VLOOKUP(VLOOKUP(K$1,main!$A$3:$I$102,7,FALSE),main!$K$26:$Q$29,5,FALSE)),1,0)</f>
        <v>0</v>
      </c>
      <c r="L248">
        <f>IF(AND(VLOOKUP(L$1,main!$A$3:$H$102,7,FALSE)=main!$G$105,VLOOKUP(L$1,main!$A$3:$H$102,5,FALSE)-VLOOKUP($A248,main!$A$3:$H$102,6,FALSE)&gt;=main!$D$103+VLOOKUP(VLOOKUP(L$1,main!$A$3:$I$102,7,FALSE),main!$K$26:$Q$29,5,FALSE)),1,0)</f>
        <v>0</v>
      </c>
      <c r="M248">
        <f>IF(AND(VLOOKUP(M$1,main!$A$3:$H$102,7,FALSE)=main!$G$105,VLOOKUP(M$1,main!$A$3:$H$102,5,FALSE)-VLOOKUP($A248,main!$A$3:$H$102,6,FALSE)&gt;=main!$D$103+VLOOKUP(VLOOKUP(M$1,main!$A$3:$I$102,7,FALSE),main!$K$26:$Q$29,5,FALSE)),1,0)</f>
        <v>0</v>
      </c>
      <c r="N248">
        <f>IF(AND(VLOOKUP(N$1,main!$A$3:$H$102,7,FALSE)=main!$G$105,VLOOKUP(N$1,main!$A$3:$H$102,5,FALSE)-VLOOKUP($A248,main!$A$3:$H$102,6,FALSE)&gt;=main!$D$103+VLOOKUP(VLOOKUP(N$1,main!$A$3:$I$102,7,FALSE),main!$K$26:$Q$29,5,FALSE)),1,0)</f>
        <v>0</v>
      </c>
      <c r="O248">
        <f>IF(AND(VLOOKUP(O$1,main!$A$3:$H$102,7,FALSE)=main!$G$105,VLOOKUP(O$1,main!$A$3:$H$102,5,FALSE)-VLOOKUP($A248,main!$A$3:$H$102,6,FALSE)&gt;=main!$D$103+VLOOKUP(VLOOKUP(O$1,main!$A$3:$I$102,7,FALSE),main!$K$26:$Q$29,5,FALSE)),1,0)</f>
        <v>0</v>
      </c>
      <c r="P248">
        <f>IF(AND(VLOOKUP(P$1,main!$A$3:$H$102,7,FALSE)=main!$G$105,VLOOKUP(P$1,main!$A$3:$H$102,5,FALSE)-VLOOKUP($A248,main!$A$3:$H$102,6,FALSE)&gt;=main!$D$103+VLOOKUP(VLOOKUP(P$1,main!$A$3:$I$102,7,FALSE),main!$K$26:$Q$29,5,FALSE)),1,0)</f>
        <v>0</v>
      </c>
      <c r="Q248">
        <f>IF(AND(VLOOKUP(Q$1,main!$A$3:$H$102,7,FALSE)=main!$G$105,VLOOKUP(Q$1,main!$A$3:$H$102,5,FALSE)-VLOOKUP($A248,main!$A$3:$H$102,6,FALSE)&gt;=main!$D$103+VLOOKUP(VLOOKUP(Q$1,main!$A$3:$I$102,7,FALSE),main!$K$26:$Q$29,5,FALSE)),1,0)</f>
        <v>0</v>
      </c>
      <c r="R248">
        <f>IF(AND(VLOOKUP(R$1,main!$A$3:$H$102,7,FALSE)=main!$G$105,VLOOKUP(R$1,main!$A$3:$H$102,5,FALSE)-VLOOKUP($A248,main!$A$3:$H$102,6,FALSE)&gt;=main!$D$103+VLOOKUP(VLOOKUP(R$1,main!$A$3:$I$102,7,FALSE),main!$K$26:$Q$29,5,FALSE)),1,0)</f>
        <v>0</v>
      </c>
      <c r="S248">
        <f>IF(AND(VLOOKUP(S$1,main!$A$3:$H$102,7,FALSE)=main!$G$105,VLOOKUP(S$1,main!$A$3:$H$102,5,FALSE)-VLOOKUP($A248,main!$A$3:$H$102,6,FALSE)&gt;=main!$D$103+VLOOKUP(VLOOKUP(S$1,main!$A$3:$I$102,7,FALSE),main!$K$26:$Q$29,5,FALSE)),1,0)</f>
        <v>0</v>
      </c>
      <c r="T248">
        <f>IF(AND(VLOOKUP(T$1,main!$A$3:$H$102,7,FALSE)=main!$G$105,VLOOKUP(T$1,main!$A$3:$H$102,5,FALSE)-VLOOKUP($A248,main!$A$3:$H$102,6,FALSE)&gt;=main!$D$103+VLOOKUP(VLOOKUP(T$1,main!$A$3:$I$102,7,FALSE),main!$K$26:$Q$29,5,FALSE)),1,0)</f>
        <v>0</v>
      </c>
      <c r="U248">
        <f>IF(AND(VLOOKUP(U$1,main!$A$3:$H$102,7,FALSE)=main!$G$105,VLOOKUP(U$1,main!$A$3:$H$102,5,FALSE)-VLOOKUP($A248,main!$A$3:$H$102,6,FALSE)&gt;=main!$D$103+VLOOKUP(VLOOKUP(U$1,main!$A$3:$I$102,7,FALSE),main!$K$26:$Q$29,5,FALSE)),1,0)</f>
        <v>0</v>
      </c>
      <c r="V248">
        <f>IF(AND(VLOOKUP(V$1,main!$A$3:$H$102,7,FALSE)=main!$G$105,VLOOKUP(V$1,main!$A$3:$H$102,5,FALSE)-VLOOKUP($A248,main!$A$3:$H$102,6,FALSE)&gt;=main!$D$103+VLOOKUP(VLOOKUP(V$1,main!$A$3:$I$102,7,FALSE),main!$K$26:$Q$29,5,FALSE)),1,0)</f>
        <v>0</v>
      </c>
      <c r="W248">
        <f>IF(AND(VLOOKUP(W$1,main!$A$3:$H$102,7,FALSE)=main!$G$105,VLOOKUP(W$1,main!$A$3:$H$102,5,FALSE)-VLOOKUP($A248,main!$A$3:$H$102,6,FALSE)&gt;=main!$D$103+VLOOKUP(VLOOKUP(W$1,main!$A$3:$I$102,7,FALSE),main!$K$26:$Q$29,5,FALSE)),1,0)</f>
        <v>0</v>
      </c>
      <c r="X248">
        <f>IF(AND(VLOOKUP(X$1,main!$A$3:$H$102,7,FALSE)=main!$G$105,VLOOKUP(X$1,main!$A$3:$H$102,5,FALSE)-VLOOKUP($A248,main!$A$3:$H$102,6,FALSE)&gt;=main!$D$103+VLOOKUP(VLOOKUP(X$1,main!$A$3:$I$102,7,FALSE),main!$K$26:$Q$29,5,FALSE)),1,0)</f>
        <v>0</v>
      </c>
      <c r="Y248">
        <f>IF(AND(VLOOKUP(Y$1,main!$A$3:$H$102,7,FALSE)=main!$G$105,VLOOKUP(Y$1,main!$A$3:$H$102,5,FALSE)-VLOOKUP($A248,main!$A$3:$H$102,6,FALSE)&gt;=main!$D$103+VLOOKUP(VLOOKUP(Y$1,main!$A$3:$I$102,7,FALSE),main!$K$26:$Q$29,5,FALSE)),1,0)</f>
        <v>0</v>
      </c>
      <c r="Z248">
        <f>IF(AND(VLOOKUP(Z$1,main!$A$3:$H$102,7,FALSE)=main!$G$105,VLOOKUP(Z$1,main!$A$3:$H$102,5,FALSE)-VLOOKUP($A248,main!$A$3:$H$102,6,FALSE)&gt;=main!$D$103+VLOOKUP(VLOOKUP(Z$1,main!$A$3:$I$102,7,FALSE),main!$K$26:$Q$29,5,FALSE)),1,0)</f>
        <v>0</v>
      </c>
      <c r="AA248">
        <f>IF(AND(VLOOKUP(AA$1,main!$A$3:$H$102,7,FALSE)=main!$G$105,VLOOKUP(AA$1,main!$A$3:$H$102,5,FALSE)-VLOOKUP($A248,main!$A$3:$H$102,6,FALSE)&gt;=main!$D$103+VLOOKUP(VLOOKUP(AA$1,main!$A$3:$I$102,7,FALSE),main!$K$26:$Q$29,5,FALSE)),1,0)</f>
        <v>0</v>
      </c>
      <c r="AB248">
        <f>IF(AND(VLOOKUP(AB$1,main!$A$3:$H$102,7,FALSE)=main!$G$105,VLOOKUP(AB$1,main!$A$3:$H$102,5,FALSE)-VLOOKUP($A248,main!$A$3:$H$102,6,FALSE)&gt;=main!$D$103+VLOOKUP(VLOOKUP(AB$1,main!$A$3:$I$102,7,FALSE),main!$K$26:$Q$29,5,FALSE)),1,0)</f>
        <v>0</v>
      </c>
      <c r="AC248">
        <f>IF(AND(VLOOKUP(AC$1,main!$A$3:$H$102,7,FALSE)=main!$G$105,VLOOKUP(AC$1,main!$A$3:$H$102,5,FALSE)-VLOOKUP($A248,main!$A$3:$H$102,6,FALSE)&gt;=main!$D$103+VLOOKUP(VLOOKUP(AC$1,main!$A$3:$I$102,7,FALSE),main!$K$26:$Q$29,5,FALSE)),1,0)</f>
        <v>0</v>
      </c>
      <c r="AD248">
        <f>IF(AND(VLOOKUP(AD$1,main!$A$3:$H$102,7,FALSE)=main!$G$105,VLOOKUP(AD$1,main!$A$3:$H$102,5,FALSE)-VLOOKUP($A248,main!$A$3:$H$102,6,FALSE)&gt;=main!$D$103+VLOOKUP(VLOOKUP(AD$1,main!$A$3:$I$102,7,FALSE),main!$K$26:$Q$29,5,FALSE)),1,0)</f>
        <v>0</v>
      </c>
      <c r="AE248">
        <f>IF(AND(VLOOKUP(AE$1,main!$A$3:$H$102,7,FALSE)=main!$G$105,VLOOKUP(AE$1,main!$A$3:$H$102,5,FALSE)-VLOOKUP($A248,main!$A$3:$H$102,6,FALSE)&gt;=main!$D$103+VLOOKUP(VLOOKUP(AE$1,main!$A$3:$I$102,7,FALSE),main!$K$26:$Q$29,5,FALSE)),1,0)</f>
        <v>0</v>
      </c>
      <c r="AF248">
        <f>IF(AND(VLOOKUP(AF$1,main!$A$3:$H$102,7,FALSE)=main!$G$105,VLOOKUP(AF$1,main!$A$3:$H$102,5,FALSE)-VLOOKUP($A248,main!$A$3:$H$102,6,FALSE)&gt;=main!$D$103+VLOOKUP(VLOOKUP(AF$1,main!$A$3:$I$102,7,FALSE),main!$K$26:$Q$29,5,FALSE)),1,0)</f>
        <v>0</v>
      </c>
      <c r="AG248">
        <f>IF(AND(VLOOKUP(AG$1,main!$A$3:$H$102,7,FALSE)=main!$G$105,VLOOKUP(AG$1,main!$A$3:$H$102,5,FALSE)-VLOOKUP($A248,main!$A$3:$H$102,6,FALSE)&gt;=main!$D$103+VLOOKUP(VLOOKUP(AG$1,main!$A$3:$I$102,7,FALSE),main!$K$26:$Q$29,5,FALSE)),1,0)</f>
        <v>0</v>
      </c>
      <c r="AH248">
        <f>IF(AND(VLOOKUP(AH$1,main!$A$3:$H$102,7,FALSE)=main!$G$105,VLOOKUP(AH$1,main!$A$3:$H$102,5,FALSE)-VLOOKUP($A248,main!$A$3:$H$102,6,FALSE)&gt;=main!$D$103+VLOOKUP(VLOOKUP(AH$1,main!$A$3:$I$102,7,FALSE),main!$K$26:$Q$29,5,FALSE)),1,0)</f>
        <v>0</v>
      </c>
      <c r="AI248">
        <f>IF(AND(VLOOKUP(AI$1,main!$A$3:$H$102,7,FALSE)=main!$G$105,VLOOKUP(AI$1,main!$A$3:$H$102,5,FALSE)-VLOOKUP($A248,main!$A$3:$H$102,6,FALSE)&gt;=main!$D$103+VLOOKUP(VLOOKUP(AI$1,main!$A$3:$I$102,7,FALSE),main!$K$26:$Q$29,5,FALSE)),1,0)</f>
        <v>0</v>
      </c>
      <c r="AJ248">
        <f>IF(AND(VLOOKUP(AJ$1,main!$A$3:$H$102,7,FALSE)=main!$G$105,VLOOKUP(AJ$1,main!$A$3:$H$102,5,FALSE)-VLOOKUP($A248,main!$A$3:$H$102,6,FALSE)&gt;=main!$D$103+VLOOKUP(VLOOKUP(AJ$1,main!$A$3:$I$102,7,FALSE),main!$K$26:$Q$29,5,FALSE)),1,0)</f>
        <v>0</v>
      </c>
      <c r="AK248">
        <f>IF(AND(VLOOKUP(AK$1,main!$A$3:$H$102,7,FALSE)=main!$G$105,VLOOKUP(AK$1,main!$A$3:$H$102,5,FALSE)-VLOOKUP($A248,main!$A$3:$H$102,6,FALSE)&gt;=main!$D$103+VLOOKUP(VLOOKUP(AK$1,main!$A$3:$I$102,7,FALSE),main!$K$26:$Q$29,5,FALSE)),1,0)</f>
        <v>0</v>
      </c>
      <c r="AL248">
        <f>IF(AND(VLOOKUP(AL$1,main!$A$3:$H$102,7,FALSE)=main!$G$105,VLOOKUP(AL$1,main!$A$3:$H$102,5,FALSE)-VLOOKUP($A248,main!$A$3:$H$102,6,FALSE)&gt;=main!$D$103+VLOOKUP(VLOOKUP(AL$1,main!$A$3:$I$102,7,FALSE),main!$K$26:$Q$29,5,FALSE)),1,0)</f>
        <v>0</v>
      </c>
      <c r="AM248">
        <f>IF(AND(VLOOKUP(AM$1,main!$A$3:$H$102,7,FALSE)=main!$G$105,VLOOKUP(AM$1,main!$A$3:$H$102,5,FALSE)-VLOOKUP($A248,main!$A$3:$H$102,6,FALSE)&gt;=main!$D$103+VLOOKUP(VLOOKUP(AM$1,main!$A$3:$I$102,7,FALSE),main!$K$26:$Q$29,5,FALSE)),1,0)</f>
        <v>0</v>
      </c>
      <c r="AN248">
        <f>IF(AND(VLOOKUP(AN$1,main!$A$3:$H$102,7,FALSE)=main!$G$105,VLOOKUP(AN$1,main!$A$3:$H$102,5,FALSE)-VLOOKUP($A248,main!$A$3:$H$102,6,FALSE)&gt;=main!$D$103+VLOOKUP(VLOOKUP(AN$1,main!$A$3:$I$102,7,FALSE),main!$K$26:$Q$29,5,FALSE)),1,0)</f>
        <v>0</v>
      </c>
      <c r="AO248">
        <f>IF(AND(VLOOKUP(AO$1,main!$A$3:$H$102,7,FALSE)=main!$G$105,VLOOKUP(AO$1,main!$A$3:$H$102,5,FALSE)-VLOOKUP($A248,main!$A$3:$H$102,6,FALSE)&gt;=main!$D$103+VLOOKUP(VLOOKUP(AO$1,main!$A$3:$I$102,7,FALSE),main!$K$26:$Q$29,5,FALSE)),1,0)</f>
        <v>0</v>
      </c>
      <c r="AP248">
        <f>IF(AND(VLOOKUP(AP$1,main!$A$3:$H$102,7,FALSE)=main!$G$105,VLOOKUP(AP$1,main!$A$3:$H$102,5,FALSE)-VLOOKUP($A248,main!$A$3:$H$102,6,FALSE)&gt;=main!$D$103+VLOOKUP(VLOOKUP(AP$1,main!$A$3:$I$102,7,FALSE),main!$K$26:$Q$29,5,FALSE)),1,0)</f>
        <v>1</v>
      </c>
      <c r="AQ248">
        <f>IF(AND(VLOOKUP(AQ$1,main!$A$3:$H$102,7,FALSE)=main!$G$105,VLOOKUP(AQ$1,main!$A$3:$H$102,5,FALSE)-VLOOKUP($A248,main!$A$3:$H$102,6,FALSE)&gt;=main!$D$103+VLOOKUP(VLOOKUP(AQ$1,main!$A$3:$I$102,7,FALSE),main!$K$26:$Q$29,5,FALSE)),1,0)</f>
        <v>0</v>
      </c>
      <c r="AR248">
        <f>IF(AND(VLOOKUP(AR$1,main!$A$3:$H$102,7,FALSE)=main!$G$105,VLOOKUP(AR$1,main!$A$3:$H$102,5,FALSE)-VLOOKUP($A248,main!$A$3:$H$102,6,FALSE)&gt;=main!$D$103+VLOOKUP(VLOOKUP(AR$1,main!$A$3:$I$102,7,FALSE),main!$K$26:$Q$29,5,FALSE)),1,0)</f>
        <v>0</v>
      </c>
      <c r="AS248">
        <f>IF(AND(VLOOKUP(AS$1,main!$A$3:$H$102,7,FALSE)=main!$G$105,VLOOKUP(AS$1,main!$A$3:$H$102,5,FALSE)-VLOOKUP($A248,main!$A$3:$H$102,6,FALSE)&gt;=main!$D$103+VLOOKUP(VLOOKUP(AS$1,main!$A$3:$I$102,7,FALSE),main!$K$26:$Q$29,5,FALSE)),1,0)</f>
        <v>0</v>
      </c>
      <c r="AT248">
        <f>IF(AND(VLOOKUP(AT$1,main!$A$3:$H$102,7,FALSE)=main!$G$105,VLOOKUP(AT$1,main!$A$3:$H$102,5,FALSE)-VLOOKUP($A248,main!$A$3:$H$102,6,FALSE)&gt;=main!$D$103+VLOOKUP(VLOOKUP(AT$1,main!$A$3:$I$102,7,FALSE),main!$K$26:$Q$29,5,FALSE)),1,0)</f>
        <v>0</v>
      </c>
      <c r="AU248">
        <f>IF(AND(VLOOKUP(AU$1,main!$A$3:$H$102,7,FALSE)=main!$G$105,VLOOKUP(AU$1,main!$A$3:$H$102,5,FALSE)-VLOOKUP($A248,main!$A$3:$H$102,6,FALSE)&gt;=main!$D$103+VLOOKUP(VLOOKUP(AU$1,main!$A$3:$I$102,7,FALSE),main!$K$26:$Q$29,5,FALSE)),1,0)</f>
        <v>0</v>
      </c>
      <c r="AV248">
        <f>IF(AND(VLOOKUP(AV$1,main!$A$3:$H$102,7,FALSE)=main!$G$105,VLOOKUP(AV$1,main!$A$3:$H$102,5,FALSE)-VLOOKUP($A248,main!$A$3:$H$102,6,FALSE)&gt;=main!$D$103+VLOOKUP(VLOOKUP(AV$1,main!$A$3:$I$102,7,FALSE),main!$K$26:$Q$29,5,FALSE)),1,0)</f>
        <v>0</v>
      </c>
      <c r="AW248">
        <f>IF(AND(VLOOKUP(AW$1,main!$A$3:$H$102,7,FALSE)=main!$G$105,VLOOKUP(AW$1,main!$A$3:$H$102,5,FALSE)-VLOOKUP($A248,main!$A$3:$H$102,6,FALSE)&gt;=main!$D$103+VLOOKUP(VLOOKUP(AW$1,main!$A$3:$I$102,7,FALSE),main!$K$26:$Q$29,5,FALSE)),1,0)</f>
        <v>0</v>
      </c>
      <c r="AX248">
        <f>IF(AND(VLOOKUP(AX$1,main!$A$3:$H$102,7,FALSE)=main!$G$105,VLOOKUP(AX$1,main!$A$3:$H$102,5,FALSE)-VLOOKUP($A248,main!$A$3:$H$102,6,FALSE)&gt;=main!$D$103+VLOOKUP(VLOOKUP(AX$1,main!$A$3:$I$102,7,FALSE),main!$K$26:$Q$29,5,FALSE)),1,0)</f>
        <v>0</v>
      </c>
      <c r="AY248">
        <f>IF(AND(VLOOKUP(AY$1,main!$A$3:$H$102,7,FALSE)=main!$G$105,VLOOKUP(AY$1,main!$A$3:$H$102,5,FALSE)-VLOOKUP($A248,main!$A$3:$H$102,6,FALSE)&gt;=main!$D$103+VLOOKUP(VLOOKUP(AY$1,main!$A$3:$I$102,7,FALSE),main!$K$26:$Q$29,5,FALSE)),1,0)</f>
        <v>0</v>
      </c>
      <c r="AZ248">
        <f>IF(AND(VLOOKUP(AZ$1,main!$A$3:$H$102,7,FALSE)=main!$G$105,VLOOKUP(AZ$1,main!$A$3:$H$102,5,FALSE)-VLOOKUP($A248,main!$A$3:$H$102,6,FALSE)&gt;=main!$D$103+VLOOKUP(VLOOKUP(AZ$1,main!$A$3:$I$102,7,FALSE),main!$K$26:$Q$29,5,FALSE)),1,0)</f>
        <v>0</v>
      </c>
      <c r="BA248">
        <f>IF(AND(VLOOKUP(BA$1,main!$A$3:$H$102,7,FALSE)=main!$G$105,VLOOKUP(BA$1,main!$A$3:$H$102,5,FALSE)-VLOOKUP($A248,main!$A$3:$H$102,6,FALSE)&gt;=main!$D$103+VLOOKUP(VLOOKUP(BA$1,main!$A$3:$I$102,7,FALSE),main!$K$26:$Q$29,5,FALSE)),1,0)</f>
        <v>0</v>
      </c>
      <c r="BB248">
        <f>IF(AND(VLOOKUP(BB$1,main!$A$3:$H$102,7,FALSE)=main!$G$105,VLOOKUP(BB$1,main!$A$3:$H$102,5,FALSE)-VLOOKUP($A248,main!$A$3:$H$102,6,FALSE)&gt;=main!$D$103+VLOOKUP(VLOOKUP(BB$1,main!$A$3:$I$102,7,FALSE),main!$K$26:$Q$29,5,FALSE)),1,0)</f>
        <v>0</v>
      </c>
      <c r="BC248">
        <f>IF(AND(VLOOKUP(BC$1,main!$A$3:$H$102,7,FALSE)=main!$G$105,VLOOKUP(BC$1,main!$A$3:$H$102,5,FALSE)-VLOOKUP($A248,main!$A$3:$H$102,6,FALSE)&gt;=main!$D$103+VLOOKUP(VLOOKUP(BC$1,main!$A$3:$I$102,7,FALSE),main!$K$26:$Q$29,5,FALSE)),1,0)</f>
        <v>0</v>
      </c>
      <c r="BD248">
        <f>IF(AND(VLOOKUP(BD$1,main!$A$3:$H$102,7,FALSE)=main!$G$105,VLOOKUP(BD$1,main!$A$3:$H$102,5,FALSE)-VLOOKUP($A248,main!$A$3:$H$102,6,FALSE)&gt;=main!$D$103+VLOOKUP(VLOOKUP(BD$1,main!$A$3:$I$102,7,FALSE),main!$K$26:$Q$29,5,FALSE)),1,0)</f>
        <v>0</v>
      </c>
      <c r="BE248">
        <f>IF(AND(VLOOKUP(BE$1,main!$A$3:$H$102,7,FALSE)=main!$G$105,VLOOKUP(BE$1,main!$A$3:$H$102,5,FALSE)-VLOOKUP($A248,main!$A$3:$H$102,6,FALSE)&gt;=main!$D$103+VLOOKUP(VLOOKUP(BE$1,main!$A$3:$I$102,7,FALSE),main!$K$26:$Q$29,5,FALSE)),1,0)</f>
        <v>0</v>
      </c>
      <c r="BF248">
        <f>IF(AND(VLOOKUP(BF$1,main!$A$3:$H$102,7,FALSE)=main!$G$105,VLOOKUP(BF$1,main!$A$3:$H$102,5,FALSE)-VLOOKUP($A248,main!$A$3:$H$102,6,FALSE)&gt;=main!$D$103+VLOOKUP(VLOOKUP(BF$1,main!$A$3:$I$102,7,FALSE),main!$K$26:$Q$29,5,FALSE)),1,0)</f>
        <v>0</v>
      </c>
      <c r="BG248">
        <f>IF(AND(VLOOKUP(BG$1,main!$A$3:$H$102,7,FALSE)=main!$G$105,VLOOKUP(BG$1,main!$A$3:$H$102,5,FALSE)-VLOOKUP($A248,main!$A$3:$H$102,6,FALSE)&gt;=main!$D$103+VLOOKUP(VLOOKUP(BG$1,main!$A$3:$I$102,7,FALSE),main!$K$26:$Q$29,5,FALSE)),1,0)</f>
        <v>0</v>
      </c>
      <c r="BH248">
        <f>IF(AND(VLOOKUP(BH$1,main!$A$3:$H$102,7,FALSE)=main!$G$105,VLOOKUP(BH$1,main!$A$3:$H$102,5,FALSE)-VLOOKUP($A248,main!$A$3:$H$102,6,FALSE)&gt;=main!$D$103+VLOOKUP(VLOOKUP(BH$1,main!$A$3:$I$102,7,FALSE),main!$K$26:$Q$29,5,FALSE)),1,0)</f>
        <v>0</v>
      </c>
      <c r="BI248">
        <f>IF(AND(VLOOKUP(BI$1,main!$A$3:$H$102,7,FALSE)=main!$G$105,VLOOKUP(BI$1,main!$A$3:$H$102,5,FALSE)-VLOOKUP($A248,main!$A$3:$H$102,6,FALSE)&gt;=main!$D$103+VLOOKUP(VLOOKUP(BI$1,main!$A$3:$I$102,7,FALSE),main!$K$26:$Q$29,5,FALSE)),1,0)</f>
        <v>0</v>
      </c>
      <c r="BJ248">
        <f>IF(AND(VLOOKUP(BJ$1,main!$A$3:$H$102,7,FALSE)=main!$G$105,VLOOKUP(BJ$1,main!$A$3:$H$102,5,FALSE)-VLOOKUP($A248,main!$A$3:$H$102,6,FALSE)&gt;=main!$D$103+VLOOKUP(VLOOKUP(BJ$1,main!$A$3:$I$102,7,FALSE),main!$K$26:$Q$29,5,FALSE)),1,0)</f>
        <v>0</v>
      </c>
      <c r="BK248">
        <f>IF(AND(VLOOKUP(BK$1,main!$A$3:$H$102,7,FALSE)=main!$G$105,VLOOKUP(BK$1,main!$A$3:$H$102,5,FALSE)-VLOOKUP($A248,main!$A$3:$H$102,6,FALSE)&gt;=main!$D$103+VLOOKUP(VLOOKUP(BK$1,main!$A$3:$I$102,7,FALSE),main!$K$26:$Q$29,5,FALSE)),1,0)</f>
        <v>0</v>
      </c>
      <c r="BL248">
        <f>IF(AND(VLOOKUP(BL$1,main!$A$3:$H$102,7,FALSE)=main!$G$105,VLOOKUP(BL$1,main!$A$3:$H$102,5,FALSE)-VLOOKUP($A248,main!$A$3:$H$102,6,FALSE)&gt;=main!$D$103+VLOOKUP(VLOOKUP(BL$1,main!$A$3:$I$102,7,FALSE),main!$K$26:$Q$29,5,FALSE)),1,0)</f>
        <v>0</v>
      </c>
      <c r="BM248">
        <f>IF(AND(VLOOKUP(BM$1,main!$A$3:$H$102,7,FALSE)=main!$G$105,VLOOKUP(BM$1,main!$A$3:$H$102,5,FALSE)-VLOOKUP($A248,main!$A$3:$H$102,6,FALSE)&gt;=main!$D$103+VLOOKUP(VLOOKUP(BM$1,main!$A$3:$I$102,7,FALSE),main!$K$26:$Q$29,5,FALSE)),1,0)</f>
        <v>0</v>
      </c>
      <c r="BN248">
        <f>IF(AND(VLOOKUP(BN$1,main!$A$3:$H$102,7,FALSE)=main!$G$105,VLOOKUP(BN$1,main!$A$3:$H$102,5,FALSE)-VLOOKUP($A248,main!$A$3:$H$102,6,FALSE)&gt;=main!$D$103+VLOOKUP(VLOOKUP(BN$1,main!$A$3:$I$102,7,FALSE),main!$K$26:$Q$29,5,FALSE)),1,0)</f>
        <v>0</v>
      </c>
      <c r="BO248">
        <f>IF(AND(VLOOKUP(BO$1,main!$A$3:$H$102,7,FALSE)=main!$G$105,VLOOKUP(BO$1,main!$A$3:$H$102,5,FALSE)-VLOOKUP($A248,main!$A$3:$H$102,6,FALSE)&gt;=main!$D$103+VLOOKUP(VLOOKUP(BO$1,main!$A$3:$I$102,7,FALSE),main!$K$26:$Q$29,5,FALSE)),1,0)</f>
        <v>0</v>
      </c>
      <c r="BP248">
        <f>IF(AND(VLOOKUP(BP$1,main!$A$3:$H$102,7,FALSE)=main!$G$105,VLOOKUP(BP$1,main!$A$3:$H$102,5,FALSE)-VLOOKUP($A248,main!$A$3:$H$102,6,FALSE)&gt;=main!$D$103+VLOOKUP(VLOOKUP(BP$1,main!$A$3:$I$102,7,FALSE),main!$K$26:$Q$29,5,FALSE)),1,0)</f>
        <v>0</v>
      </c>
      <c r="BQ248">
        <f>IF(AND(VLOOKUP(BQ$1,main!$A$3:$H$102,7,FALSE)=main!$G$105,VLOOKUP(BQ$1,main!$A$3:$H$102,5,FALSE)-VLOOKUP($A248,main!$A$3:$H$102,6,FALSE)&gt;=main!$D$103+VLOOKUP(VLOOKUP(BQ$1,main!$A$3:$I$102,7,FALSE),main!$K$26:$Q$29,5,FALSE)),1,0)</f>
        <v>0</v>
      </c>
      <c r="BR248">
        <f>IF(AND(VLOOKUP(BR$1,main!$A$3:$H$102,7,FALSE)=main!$G$105,VLOOKUP(BR$1,main!$A$3:$H$102,5,FALSE)-VLOOKUP($A248,main!$A$3:$H$102,6,FALSE)&gt;=main!$D$103+VLOOKUP(VLOOKUP(BR$1,main!$A$3:$I$102,7,FALSE),main!$K$26:$Q$29,5,FALSE)),1,0)</f>
        <v>0</v>
      </c>
      <c r="BS248">
        <f>IF(AND(VLOOKUP(BS$1,main!$A$3:$H$102,7,FALSE)=main!$G$105,VLOOKUP(BS$1,main!$A$3:$H$102,5,FALSE)-VLOOKUP($A248,main!$A$3:$H$102,6,FALSE)&gt;=main!$D$103+VLOOKUP(VLOOKUP(BS$1,main!$A$3:$I$102,7,FALSE),main!$K$26:$Q$29,5,FALSE)),1,0)</f>
        <v>0</v>
      </c>
      <c r="BT248">
        <f>IF(AND(VLOOKUP(BT$1,main!$A$3:$H$102,7,FALSE)=main!$G$105,VLOOKUP(BT$1,main!$A$3:$H$102,5,FALSE)-VLOOKUP($A248,main!$A$3:$H$102,6,FALSE)&gt;=main!$D$103+VLOOKUP(VLOOKUP(BT$1,main!$A$3:$I$102,7,FALSE),main!$K$26:$Q$29,5,FALSE)),1,0)</f>
        <v>0</v>
      </c>
      <c r="BU248">
        <f>IF(AND(VLOOKUP(BU$1,main!$A$3:$H$102,7,FALSE)=main!$G$105,VLOOKUP(BU$1,main!$A$3:$H$102,5,FALSE)-VLOOKUP($A248,main!$A$3:$H$102,6,FALSE)&gt;=main!$D$103+VLOOKUP(VLOOKUP(BU$1,main!$A$3:$I$102,7,FALSE),main!$K$26:$Q$29,5,FALSE)),1,0)</f>
        <v>0</v>
      </c>
      <c r="BV248">
        <f>IF(AND(VLOOKUP(BV$1,main!$A$3:$H$102,7,FALSE)=main!$G$105,VLOOKUP(BV$1,main!$A$3:$H$102,5,FALSE)-VLOOKUP($A248,main!$A$3:$H$102,6,FALSE)&gt;=main!$D$103+VLOOKUP(VLOOKUP(BV$1,main!$A$3:$I$102,7,FALSE),main!$K$26:$Q$29,5,FALSE)),1,0)</f>
        <v>0</v>
      </c>
      <c r="BW248">
        <f>IF(AND(VLOOKUP(BW$1,main!$A$3:$H$102,7,FALSE)=main!$G$105,VLOOKUP(BW$1,main!$A$3:$H$102,5,FALSE)-VLOOKUP($A248,main!$A$3:$H$102,6,FALSE)&gt;=main!$D$103+VLOOKUP(VLOOKUP(BW$1,main!$A$3:$I$102,7,FALSE),main!$K$26:$Q$29,5,FALSE)),1,0)</f>
        <v>0</v>
      </c>
      <c r="BX248">
        <f>IF(AND(VLOOKUP(BX$1,main!$A$3:$H$102,7,FALSE)=main!$G$105,VLOOKUP(BX$1,main!$A$3:$H$102,5,FALSE)-VLOOKUP($A248,main!$A$3:$H$102,6,FALSE)&gt;=main!$D$103+VLOOKUP(VLOOKUP(BX$1,main!$A$3:$I$102,7,FALSE),main!$K$26:$Q$29,5,FALSE)),1,0)</f>
        <v>0</v>
      </c>
      <c r="BY248">
        <f>IF(AND(VLOOKUP(BY$1,main!$A$3:$H$102,7,FALSE)=main!$G$105,VLOOKUP(BY$1,main!$A$3:$H$102,5,FALSE)-VLOOKUP($A248,main!$A$3:$H$102,6,FALSE)&gt;=main!$D$103+VLOOKUP(VLOOKUP(BY$1,main!$A$3:$I$102,7,FALSE),main!$K$26:$Q$29,5,FALSE)),1,0)</f>
        <v>0</v>
      </c>
      <c r="BZ248">
        <f>IF(AND(VLOOKUP(BZ$1,main!$A$3:$H$102,7,FALSE)=main!$G$105,VLOOKUP(BZ$1,main!$A$3:$H$102,5,FALSE)-VLOOKUP($A248,main!$A$3:$H$102,6,FALSE)&gt;=main!$D$103+VLOOKUP(VLOOKUP(BZ$1,main!$A$3:$I$102,7,FALSE),main!$K$26:$Q$29,5,FALSE)),1,0)</f>
        <v>0</v>
      </c>
      <c r="CA248">
        <f>IF(AND(VLOOKUP(CA$1,main!$A$3:$H$102,7,FALSE)=main!$G$105,VLOOKUP(CA$1,main!$A$3:$H$102,5,FALSE)-VLOOKUP($A248,main!$A$3:$H$102,6,FALSE)&gt;=main!$D$103+VLOOKUP(VLOOKUP(CA$1,main!$A$3:$I$102,7,FALSE),main!$K$26:$Q$29,5,FALSE)),1,0)</f>
        <v>0</v>
      </c>
      <c r="CB248">
        <f>IF(AND(VLOOKUP(CB$1,main!$A$3:$H$102,7,FALSE)=main!$G$105,VLOOKUP(CB$1,main!$A$3:$H$102,5,FALSE)-VLOOKUP($A248,main!$A$3:$H$102,6,FALSE)&gt;=main!$D$103+VLOOKUP(VLOOKUP(CB$1,main!$A$3:$I$102,7,FALSE),main!$K$26:$Q$29,5,FALSE)),1,0)</f>
        <v>0</v>
      </c>
      <c r="CC248">
        <f>IF(AND(VLOOKUP(CC$1,main!$A$3:$H$102,7,FALSE)=main!$G$105,VLOOKUP(CC$1,main!$A$3:$H$102,5,FALSE)-VLOOKUP($A248,main!$A$3:$H$102,6,FALSE)&gt;=main!$D$103+VLOOKUP(VLOOKUP(CC$1,main!$A$3:$I$102,7,FALSE),main!$K$26:$Q$29,5,FALSE)),1,0)</f>
        <v>0</v>
      </c>
      <c r="CD248">
        <f>IF(AND(VLOOKUP(CD$1,main!$A$3:$H$102,7,FALSE)=main!$G$105,VLOOKUP(CD$1,main!$A$3:$H$102,5,FALSE)-VLOOKUP($A248,main!$A$3:$H$102,6,FALSE)&gt;=main!$D$103+VLOOKUP(VLOOKUP(CD$1,main!$A$3:$I$102,7,FALSE),main!$K$26:$Q$29,5,FALSE)),1,0)</f>
        <v>0</v>
      </c>
      <c r="CE248">
        <f>IF(AND(VLOOKUP(CE$1,main!$A$3:$H$102,7,FALSE)=main!$G$105,VLOOKUP(CE$1,main!$A$3:$H$102,5,FALSE)-VLOOKUP($A248,main!$A$3:$H$102,6,FALSE)&gt;=main!$D$103+VLOOKUP(VLOOKUP(CE$1,main!$A$3:$I$102,7,FALSE),main!$K$26:$Q$29,5,FALSE)),1,0)</f>
        <v>0</v>
      </c>
      <c r="CF248">
        <f>IF(AND(VLOOKUP(CF$1,main!$A$3:$H$102,7,FALSE)=main!$G$105,VLOOKUP(CF$1,main!$A$3:$H$102,5,FALSE)-VLOOKUP($A248,main!$A$3:$H$102,6,FALSE)&gt;=main!$D$103+VLOOKUP(VLOOKUP(CF$1,main!$A$3:$I$102,7,FALSE),main!$K$26:$Q$29,5,FALSE)),1,0)</f>
        <v>0</v>
      </c>
      <c r="CG248">
        <f>IF(AND(VLOOKUP(CG$1,main!$A$3:$H$102,7,FALSE)=main!$G$105,VLOOKUP(CG$1,main!$A$3:$H$102,5,FALSE)-VLOOKUP($A248,main!$A$3:$H$102,6,FALSE)&gt;=main!$D$103+VLOOKUP(VLOOKUP(CG$1,main!$A$3:$I$102,7,FALSE),main!$K$26:$Q$29,5,FALSE)),1,0)</f>
        <v>0</v>
      </c>
      <c r="CH248">
        <f>IF(AND(VLOOKUP(CH$1,main!$A$3:$H$102,7,FALSE)=main!$G$105,VLOOKUP(CH$1,main!$A$3:$H$102,5,FALSE)-VLOOKUP($A248,main!$A$3:$H$102,6,FALSE)&gt;=main!$D$103+VLOOKUP(VLOOKUP(CH$1,main!$A$3:$I$102,7,FALSE),main!$K$26:$Q$29,5,FALSE)),1,0)</f>
        <v>0</v>
      </c>
      <c r="CI248">
        <f>IF(AND(VLOOKUP(CI$1,main!$A$3:$H$102,7,FALSE)=main!$G$105,VLOOKUP(CI$1,main!$A$3:$H$102,5,FALSE)-VLOOKUP($A248,main!$A$3:$H$102,6,FALSE)&gt;=main!$D$103+VLOOKUP(VLOOKUP(CI$1,main!$A$3:$I$102,7,FALSE),main!$K$26:$Q$29,5,FALSE)),1,0)</f>
        <v>0</v>
      </c>
      <c r="CJ248">
        <f>IF(AND(VLOOKUP(CJ$1,main!$A$3:$H$102,7,FALSE)=main!$G$105,VLOOKUP(CJ$1,main!$A$3:$H$102,5,FALSE)-VLOOKUP($A248,main!$A$3:$H$102,6,FALSE)&gt;=main!$D$103+VLOOKUP(VLOOKUP(CJ$1,main!$A$3:$I$102,7,FALSE),main!$K$26:$Q$29,5,FALSE)),1,0)</f>
        <v>0</v>
      </c>
      <c r="CK248">
        <f>IF(AND(VLOOKUP(CK$1,main!$A$3:$H$102,7,FALSE)=main!$G$105,VLOOKUP(CK$1,main!$A$3:$H$102,5,FALSE)-VLOOKUP($A248,main!$A$3:$H$102,6,FALSE)&gt;=main!$D$103+VLOOKUP(VLOOKUP(CK$1,main!$A$3:$I$102,7,FALSE),main!$K$26:$Q$29,5,FALSE)),1,0)</f>
        <v>0</v>
      </c>
      <c r="CL248">
        <f>IF(AND(VLOOKUP(CL$1,main!$A$3:$H$102,7,FALSE)=main!$G$105,VLOOKUP(CL$1,main!$A$3:$H$102,5,FALSE)-VLOOKUP($A248,main!$A$3:$H$102,6,FALSE)&gt;=main!$D$103+VLOOKUP(VLOOKUP(CL$1,main!$A$3:$I$102,7,FALSE),main!$K$26:$Q$29,5,FALSE)),1,0)</f>
        <v>0</v>
      </c>
      <c r="CM248">
        <f>IF(AND(VLOOKUP(CM$1,main!$A$3:$H$102,7,FALSE)=main!$G$105,VLOOKUP(CM$1,main!$A$3:$H$102,5,FALSE)-VLOOKUP($A248,main!$A$3:$H$102,6,FALSE)&gt;=main!$D$103+VLOOKUP(VLOOKUP(CM$1,main!$A$3:$I$102,7,FALSE),main!$K$26:$Q$29,5,FALSE)),1,0)</f>
        <v>0</v>
      </c>
      <c r="CN248">
        <f>IF(AND(VLOOKUP(CN$1,main!$A$3:$H$102,7,FALSE)=main!$G$105,VLOOKUP(CN$1,main!$A$3:$H$102,5,FALSE)-VLOOKUP($A248,main!$A$3:$H$102,6,FALSE)&gt;=main!$D$103+VLOOKUP(VLOOKUP(CN$1,main!$A$3:$I$102,7,FALSE),main!$K$26:$Q$29,5,FALSE)),1,0)</f>
        <v>0</v>
      </c>
      <c r="CO248">
        <f>IF(AND(VLOOKUP(CO$1,main!$A$3:$H$102,7,FALSE)=main!$G$105,VLOOKUP(CO$1,main!$A$3:$H$102,5,FALSE)-VLOOKUP($A248,main!$A$3:$H$102,6,FALSE)&gt;=main!$D$103+VLOOKUP(VLOOKUP(CO$1,main!$A$3:$I$102,7,FALSE),main!$K$26:$Q$29,5,FALSE)),1,0)</f>
        <v>0</v>
      </c>
      <c r="CP248">
        <f>IF(AND(VLOOKUP(CP$1,main!$A$3:$H$102,7,FALSE)=main!$G$105,VLOOKUP(CP$1,main!$A$3:$H$102,5,FALSE)-VLOOKUP($A248,main!$A$3:$H$102,6,FALSE)&gt;=main!$D$103+VLOOKUP(VLOOKUP(CP$1,main!$A$3:$I$102,7,FALSE),main!$K$26:$Q$29,5,FALSE)),1,0)</f>
        <v>0</v>
      </c>
      <c r="CQ248">
        <f>IF(AND(VLOOKUP(CQ$1,main!$A$3:$H$102,7,FALSE)=main!$G$105,VLOOKUP(CQ$1,main!$A$3:$H$102,5,FALSE)-VLOOKUP($A248,main!$A$3:$H$102,6,FALSE)&gt;=main!$D$103+VLOOKUP(VLOOKUP(CQ$1,main!$A$3:$I$102,7,FALSE),main!$K$26:$Q$29,5,FALSE)),1,0)</f>
        <v>0</v>
      </c>
      <c r="CR248">
        <f>IF(AND(VLOOKUP(CR$1,main!$A$3:$H$102,7,FALSE)=main!$G$105,VLOOKUP(CR$1,main!$A$3:$H$102,5,FALSE)-VLOOKUP($A248,main!$A$3:$H$102,6,FALSE)&gt;=main!$D$103+VLOOKUP(VLOOKUP(CR$1,main!$A$3:$I$102,7,FALSE),main!$K$26:$Q$29,5,FALSE)),1,0)</f>
        <v>0</v>
      </c>
      <c r="CS248">
        <f>IF(AND(VLOOKUP(CS$1,main!$A$3:$H$102,7,FALSE)=main!$G$105,VLOOKUP(CS$1,main!$A$3:$H$102,5,FALSE)-VLOOKUP($A248,main!$A$3:$H$102,6,FALSE)&gt;=main!$D$103+VLOOKUP(VLOOKUP(CS$1,main!$A$3:$I$102,7,FALSE),main!$K$26:$Q$29,5,FALSE)),1,0)</f>
        <v>0</v>
      </c>
      <c r="CT248">
        <f>IF(AND(VLOOKUP(CT$1,main!$A$3:$H$102,7,FALSE)=main!$G$105,VLOOKUP(CT$1,main!$A$3:$H$102,5,FALSE)-VLOOKUP($A248,main!$A$3:$H$102,6,FALSE)&gt;=main!$D$103+VLOOKUP(VLOOKUP(CT$1,main!$A$3:$I$102,7,FALSE),main!$K$26:$Q$29,5,FALSE)),1,0)</f>
        <v>0</v>
      </c>
      <c r="CU248">
        <f>IF(AND(VLOOKUP(CU$1,main!$A$3:$H$102,7,FALSE)=main!$G$105,VLOOKUP(CU$1,main!$A$3:$H$102,5,FALSE)-VLOOKUP($A248,main!$A$3:$H$102,6,FALSE)&gt;=main!$D$103+VLOOKUP(VLOOKUP(CU$1,main!$A$3:$I$102,7,FALSE),main!$K$26:$Q$29,5,FALSE)),1,0)</f>
        <v>0</v>
      </c>
      <c r="CV248">
        <f>IF(AND(VLOOKUP(CV$1,main!$A$3:$H$102,7,FALSE)=main!$G$105,VLOOKUP(CV$1,main!$A$3:$H$102,5,FALSE)-VLOOKUP($A248,main!$A$3:$H$102,6,FALSE)&gt;=main!$D$103+VLOOKUP(VLOOKUP(CV$1,main!$A$3:$I$102,7,FALSE),main!$K$26:$Q$29,5,FALSE)),1,0)</f>
        <v>0</v>
      </c>
      <c r="CW248">
        <f>IF(AND(VLOOKUP(CW$1,main!$A$3:$H$102,7,FALSE)=main!$G$105,VLOOKUP(CW$1,main!$A$3:$H$102,5,FALSE)-VLOOKUP($A248,main!$A$3:$H$102,6,FALSE)&gt;=main!$D$103+VLOOKUP(VLOOKUP(CW$1,main!$A$3:$I$102,7,FALSE),main!$K$26:$Q$29,5,FALSE)),1,0)</f>
        <v>0</v>
      </c>
      <c r="CX248">
        <f>IF(AND(VLOOKUP(CX$1,main!$A$3:$H$102,7,FALSE)=main!$G$105,VLOOKUP(CX$1,main!$A$3:$H$102,5,FALSE)-VLOOKUP($A248,main!$A$3:$H$102,6,FALSE)&gt;=main!$D$103+VLOOKUP(VLOOKUP(CX$1,main!$A$3:$I$102,7,FALSE),main!$K$26:$Q$29,5,FALSE)),1,0)</f>
        <v>0</v>
      </c>
    </row>
    <row r="249" spans="1:102" x14ac:dyDescent="0.25">
      <c r="A249" s="1">
        <v>45</v>
      </c>
      <c r="B249">
        <v>0</v>
      </c>
      <c r="C249">
        <f>IF(AND(VLOOKUP(C$1,main!$A$3:$H$102,7,FALSE)=main!$G$105,VLOOKUP(C$1,main!$A$3:$H$102,5,FALSE)-VLOOKUP($A249,main!$A$3:$H$102,6,FALSE)&gt;=main!$D$103+VLOOKUP(VLOOKUP(C$1,main!$A$3:$I$102,7,FALSE),main!$K$26:$Q$29,5,FALSE)),1,0)</f>
        <v>0</v>
      </c>
      <c r="D249">
        <f>IF(AND(VLOOKUP(D$1,main!$A$3:$H$102,7,FALSE)=main!$G$105,VLOOKUP(D$1,main!$A$3:$H$102,5,FALSE)-VLOOKUP($A249,main!$A$3:$H$102,6,FALSE)&gt;=main!$D$103+VLOOKUP(VLOOKUP(D$1,main!$A$3:$I$102,7,FALSE),main!$K$26:$Q$29,5,FALSE)),1,0)</f>
        <v>0</v>
      </c>
      <c r="E249">
        <f>IF(AND(VLOOKUP(E$1,main!$A$3:$H$102,7,FALSE)=main!$G$105,VLOOKUP(E$1,main!$A$3:$H$102,5,FALSE)-VLOOKUP($A249,main!$A$3:$H$102,6,FALSE)&gt;=main!$D$103+VLOOKUP(VLOOKUP(E$1,main!$A$3:$I$102,7,FALSE),main!$K$26:$Q$29,5,FALSE)),1,0)</f>
        <v>0</v>
      </c>
      <c r="F249">
        <f>IF(AND(VLOOKUP(F$1,main!$A$3:$H$102,7,FALSE)=main!$G$105,VLOOKUP(F$1,main!$A$3:$H$102,5,FALSE)-VLOOKUP($A249,main!$A$3:$H$102,6,FALSE)&gt;=main!$D$103+VLOOKUP(VLOOKUP(F$1,main!$A$3:$I$102,7,FALSE),main!$K$26:$Q$29,5,FALSE)),1,0)</f>
        <v>0</v>
      </c>
      <c r="G249">
        <f>IF(AND(VLOOKUP(G$1,main!$A$3:$H$102,7,FALSE)=main!$G$105,VLOOKUP(G$1,main!$A$3:$H$102,5,FALSE)-VLOOKUP($A249,main!$A$3:$H$102,6,FALSE)&gt;=main!$D$103+VLOOKUP(VLOOKUP(G$1,main!$A$3:$I$102,7,FALSE),main!$K$26:$Q$29,5,FALSE)),1,0)</f>
        <v>0</v>
      </c>
      <c r="H249">
        <f>IF(AND(VLOOKUP(H$1,main!$A$3:$H$102,7,FALSE)=main!$G$105,VLOOKUP(H$1,main!$A$3:$H$102,5,FALSE)-VLOOKUP($A249,main!$A$3:$H$102,6,FALSE)&gt;=main!$D$103+VLOOKUP(VLOOKUP(H$1,main!$A$3:$I$102,7,FALSE),main!$K$26:$Q$29,5,FALSE)),1,0)</f>
        <v>0</v>
      </c>
      <c r="I249">
        <f>IF(AND(VLOOKUP(I$1,main!$A$3:$H$102,7,FALSE)=main!$G$105,VLOOKUP(I$1,main!$A$3:$H$102,5,FALSE)-VLOOKUP($A249,main!$A$3:$H$102,6,FALSE)&gt;=main!$D$103+VLOOKUP(VLOOKUP(I$1,main!$A$3:$I$102,7,FALSE),main!$K$26:$Q$29,5,FALSE)),1,0)</f>
        <v>0</v>
      </c>
      <c r="J249">
        <f>IF(AND(VLOOKUP(J$1,main!$A$3:$H$102,7,FALSE)=main!$G$105,VLOOKUP(J$1,main!$A$3:$H$102,5,FALSE)-VLOOKUP($A249,main!$A$3:$H$102,6,FALSE)&gt;=main!$D$103+VLOOKUP(VLOOKUP(J$1,main!$A$3:$I$102,7,FALSE),main!$K$26:$Q$29,5,FALSE)),1,0)</f>
        <v>0</v>
      </c>
      <c r="K249">
        <f>IF(AND(VLOOKUP(K$1,main!$A$3:$H$102,7,FALSE)=main!$G$105,VLOOKUP(K$1,main!$A$3:$H$102,5,FALSE)-VLOOKUP($A249,main!$A$3:$H$102,6,FALSE)&gt;=main!$D$103+VLOOKUP(VLOOKUP(K$1,main!$A$3:$I$102,7,FALSE),main!$K$26:$Q$29,5,FALSE)),1,0)</f>
        <v>0</v>
      </c>
      <c r="L249">
        <f>IF(AND(VLOOKUP(L$1,main!$A$3:$H$102,7,FALSE)=main!$G$105,VLOOKUP(L$1,main!$A$3:$H$102,5,FALSE)-VLOOKUP($A249,main!$A$3:$H$102,6,FALSE)&gt;=main!$D$103+VLOOKUP(VLOOKUP(L$1,main!$A$3:$I$102,7,FALSE),main!$K$26:$Q$29,5,FALSE)),1,0)</f>
        <v>0</v>
      </c>
      <c r="M249">
        <f>IF(AND(VLOOKUP(M$1,main!$A$3:$H$102,7,FALSE)=main!$G$105,VLOOKUP(M$1,main!$A$3:$H$102,5,FALSE)-VLOOKUP($A249,main!$A$3:$H$102,6,FALSE)&gt;=main!$D$103+VLOOKUP(VLOOKUP(M$1,main!$A$3:$I$102,7,FALSE),main!$K$26:$Q$29,5,FALSE)),1,0)</f>
        <v>0</v>
      </c>
      <c r="N249">
        <f>IF(AND(VLOOKUP(N$1,main!$A$3:$H$102,7,FALSE)=main!$G$105,VLOOKUP(N$1,main!$A$3:$H$102,5,FALSE)-VLOOKUP($A249,main!$A$3:$H$102,6,FALSE)&gt;=main!$D$103+VLOOKUP(VLOOKUP(N$1,main!$A$3:$I$102,7,FALSE),main!$K$26:$Q$29,5,FALSE)),1,0)</f>
        <v>0</v>
      </c>
      <c r="O249">
        <f>IF(AND(VLOOKUP(O$1,main!$A$3:$H$102,7,FALSE)=main!$G$105,VLOOKUP(O$1,main!$A$3:$H$102,5,FALSE)-VLOOKUP($A249,main!$A$3:$H$102,6,FALSE)&gt;=main!$D$103+VLOOKUP(VLOOKUP(O$1,main!$A$3:$I$102,7,FALSE),main!$K$26:$Q$29,5,FALSE)),1,0)</f>
        <v>0</v>
      </c>
      <c r="P249">
        <f>IF(AND(VLOOKUP(P$1,main!$A$3:$H$102,7,FALSE)=main!$G$105,VLOOKUP(P$1,main!$A$3:$H$102,5,FALSE)-VLOOKUP($A249,main!$A$3:$H$102,6,FALSE)&gt;=main!$D$103+VLOOKUP(VLOOKUP(P$1,main!$A$3:$I$102,7,FALSE),main!$K$26:$Q$29,5,FALSE)),1,0)</f>
        <v>0</v>
      </c>
      <c r="Q249">
        <f>IF(AND(VLOOKUP(Q$1,main!$A$3:$H$102,7,FALSE)=main!$G$105,VLOOKUP(Q$1,main!$A$3:$H$102,5,FALSE)-VLOOKUP($A249,main!$A$3:$H$102,6,FALSE)&gt;=main!$D$103+VLOOKUP(VLOOKUP(Q$1,main!$A$3:$I$102,7,FALSE),main!$K$26:$Q$29,5,FALSE)),1,0)</f>
        <v>0</v>
      </c>
      <c r="R249">
        <f>IF(AND(VLOOKUP(R$1,main!$A$3:$H$102,7,FALSE)=main!$G$105,VLOOKUP(R$1,main!$A$3:$H$102,5,FALSE)-VLOOKUP($A249,main!$A$3:$H$102,6,FALSE)&gt;=main!$D$103+VLOOKUP(VLOOKUP(R$1,main!$A$3:$I$102,7,FALSE),main!$K$26:$Q$29,5,FALSE)),1,0)</f>
        <v>0</v>
      </c>
      <c r="S249">
        <f>IF(AND(VLOOKUP(S$1,main!$A$3:$H$102,7,FALSE)=main!$G$105,VLOOKUP(S$1,main!$A$3:$H$102,5,FALSE)-VLOOKUP($A249,main!$A$3:$H$102,6,FALSE)&gt;=main!$D$103+VLOOKUP(VLOOKUP(S$1,main!$A$3:$I$102,7,FALSE),main!$K$26:$Q$29,5,FALSE)),1,0)</f>
        <v>0</v>
      </c>
      <c r="T249">
        <f>IF(AND(VLOOKUP(T$1,main!$A$3:$H$102,7,FALSE)=main!$G$105,VLOOKUP(T$1,main!$A$3:$H$102,5,FALSE)-VLOOKUP($A249,main!$A$3:$H$102,6,FALSE)&gt;=main!$D$103+VLOOKUP(VLOOKUP(T$1,main!$A$3:$I$102,7,FALSE),main!$K$26:$Q$29,5,FALSE)),1,0)</f>
        <v>0</v>
      </c>
      <c r="U249">
        <f>IF(AND(VLOOKUP(U$1,main!$A$3:$H$102,7,FALSE)=main!$G$105,VLOOKUP(U$1,main!$A$3:$H$102,5,FALSE)-VLOOKUP($A249,main!$A$3:$H$102,6,FALSE)&gt;=main!$D$103+VLOOKUP(VLOOKUP(U$1,main!$A$3:$I$102,7,FALSE),main!$K$26:$Q$29,5,FALSE)),1,0)</f>
        <v>0</v>
      </c>
      <c r="V249">
        <f>IF(AND(VLOOKUP(V$1,main!$A$3:$H$102,7,FALSE)=main!$G$105,VLOOKUP(V$1,main!$A$3:$H$102,5,FALSE)-VLOOKUP($A249,main!$A$3:$H$102,6,FALSE)&gt;=main!$D$103+VLOOKUP(VLOOKUP(V$1,main!$A$3:$I$102,7,FALSE),main!$K$26:$Q$29,5,FALSE)),1,0)</f>
        <v>0</v>
      </c>
      <c r="W249">
        <f>IF(AND(VLOOKUP(W$1,main!$A$3:$H$102,7,FALSE)=main!$G$105,VLOOKUP(W$1,main!$A$3:$H$102,5,FALSE)-VLOOKUP($A249,main!$A$3:$H$102,6,FALSE)&gt;=main!$D$103+VLOOKUP(VLOOKUP(W$1,main!$A$3:$I$102,7,FALSE),main!$K$26:$Q$29,5,FALSE)),1,0)</f>
        <v>0</v>
      </c>
      <c r="X249">
        <f>IF(AND(VLOOKUP(X$1,main!$A$3:$H$102,7,FALSE)=main!$G$105,VLOOKUP(X$1,main!$A$3:$H$102,5,FALSE)-VLOOKUP($A249,main!$A$3:$H$102,6,FALSE)&gt;=main!$D$103+VLOOKUP(VLOOKUP(X$1,main!$A$3:$I$102,7,FALSE),main!$K$26:$Q$29,5,FALSE)),1,0)</f>
        <v>0</v>
      </c>
      <c r="Y249">
        <f>IF(AND(VLOOKUP(Y$1,main!$A$3:$H$102,7,FALSE)=main!$G$105,VLOOKUP(Y$1,main!$A$3:$H$102,5,FALSE)-VLOOKUP($A249,main!$A$3:$H$102,6,FALSE)&gt;=main!$D$103+VLOOKUP(VLOOKUP(Y$1,main!$A$3:$I$102,7,FALSE),main!$K$26:$Q$29,5,FALSE)),1,0)</f>
        <v>0</v>
      </c>
      <c r="Z249">
        <f>IF(AND(VLOOKUP(Z$1,main!$A$3:$H$102,7,FALSE)=main!$G$105,VLOOKUP(Z$1,main!$A$3:$H$102,5,FALSE)-VLOOKUP($A249,main!$A$3:$H$102,6,FALSE)&gt;=main!$D$103+VLOOKUP(VLOOKUP(Z$1,main!$A$3:$I$102,7,FALSE),main!$K$26:$Q$29,5,FALSE)),1,0)</f>
        <v>0</v>
      </c>
      <c r="AA249">
        <f>IF(AND(VLOOKUP(AA$1,main!$A$3:$H$102,7,FALSE)=main!$G$105,VLOOKUP(AA$1,main!$A$3:$H$102,5,FALSE)-VLOOKUP($A249,main!$A$3:$H$102,6,FALSE)&gt;=main!$D$103+VLOOKUP(VLOOKUP(AA$1,main!$A$3:$I$102,7,FALSE),main!$K$26:$Q$29,5,FALSE)),1,0)</f>
        <v>0</v>
      </c>
      <c r="AB249">
        <f>IF(AND(VLOOKUP(AB$1,main!$A$3:$H$102,7,FALSE)=main!$G$105,VLOOKUP(AB$1,main!$A$3:$H$102,5,FALSE)-VLOOKUP($A249,main!$A$3:$H$102,6,FALSE)&gt;=main!$D$103+VLOOKUP(VLOOKUP(AB$1,main!$A$3:$I$102,7,FALSE),main!$K$26:$Q$29,5,FALSE)),1,0)</f>
        <v>0</v>
      </c>
      <c r="AC249">
        <f>IF(AND(VLOOKUP(AC$1,main!$A$3:$H$102,7,FALSE)=main!$G$105,VLOOKUP(AC$1,main!$A$3:$H$102,5,FALSE)-VLOOKUP($A249,main!$A$3:$H$102,6,FALSE)&gt;=main!$D$103+VLOOKUP(VLOOKUP(AC$1,main!$A$3:$I$102,7,FALSE),main!$K$26:$Q$29,5,FALSE)),1,0)</f>
        <v>0</v>
      </c>
      <c r="AD249">
        <f>IF(AND(VLOOKUP(AD$1,main!$A$3:$H$102,7,FALSE)=main!$G$105,VLOOKUP(AD$1,main!$A$3:$H$102,5,FALSE)-VLOOKUP($A249,main!$A$3:$H$102,6,FALSE)&gt;=main!$D$103+VLOOKUP(VLOOKUP(AD$1,main!$A$3:$I$102,7,FALSE),main!$K$26:$Q$29,5,FALSE)),1,0)</f>
        <v>0</v>
      </c>
      <c r="AE249">
        <f>IF(AND(VLOOKUP(AE$1,main!$A$3:$H$102,7,FALSE)=main!$G$105,VLOOKUP(AE$1,main!$A$3:$H$102,5,FALSE)-VLOOKUP($A249,main!$A$3:$H$102,6,FALSE)&gt;=main!$D$103+VLOOKUP(VLOOKUP(AE$1,main!$A$3:$I$102,7,FALSE),main!$K$26:$Q$29,5,FALSE)),1,0)</f>
        <v>0</v>
      </c>
      <c r="AF249">
        <f>IF(AND(VLOOKUP(AF$1,main!$A$3:$H$102,7,FALSE)=main!$G$105,VLOOKUP(AF$1,main!$A$3:$H$102,5,FALSE)-VLOOKUP($A249,main!$A$3:$H$102,6,FALSE)&gt;=main!$D$103+VLOOKUP(VLOOKUP(AF$1,main!$A$3:$I$102,7,FALSE),main!$K$26:$Q$29,5,FALSE)),1,0)</f>
        <v>0</v>
      </c>
      <c r="AG249">
        <f>IF(AND(VLOOKUP(AG$1,main!$A$3:$H$102,7,FALSE)=main!$G$105,VLOOKUP(AG$1,main!$A$3:$H$102,5,FALSE)-VLOOKUP($A249,main!$A$3:$H$102,6,FALSE)&gt;=main!$D$103+VLOOKUP(VLOOKUP(AG$1,main!$A$3:$I$102,7,FALSE),main!$K$26:$Q$29,5,FALSE)),1,0)</f>
        <v>0</v>
      </c>
      <c r="AH249">
        <f>IF(AND(VLOOKUP(AH$1,main!$A$3:$H$102,7,FALSE)=main!$G$105,VLOOKUP(AH$1,main!$A$3:$H$102,5,FALSE)-VLOOKUP($A249,main!$A$3:$H$102,6,FALSE)&gt;=main!$D$103+VLOOKUP(VLOOKUP(AH$1,main!$A$3:$I$102,7,FALSE),main!$K$26:$Q$29,5,FALSE)),1,0)</f>
        <v>1</v>
      </c>
      <c r="AI249">
        <f>IF(AND(VLOOKUP(AI$1,main!$A$3:$H$102,7,FALSE)=main!$G$105,VLOOKUP(AI$1,main!$A$3:$H$102,5,FALSE)-VLOOKUP($A249,main!$A$3:$H$102,6,FALSE)&gt;=main!$D$103+VLOOKUP(VLOOKUP(AI$1,main!$A$3:$I$102,7,FALSE),main!$K$26:$Q$29,5,FALSE)),1,0)</f>
        <v>1</v>
      </c>
      <c r="AJ249">
        <f>IF(AND(VLOOKUP(AJ$1,main!$A$3:$H$102,7,FALSE)=main!$G$105,VLOOKUP(AJ$1,main!$A$3:$H$102,5,FALSE)-VLOOKUP($A249,main!$A$3:$H$102,6,FALSE)&gt;=main!$D$103+VLOOKUP(VLOOKUP(AJ$1,main!$A$3:$I$102,7,FALSE),main!$K$26:$Q$29,5,FALSE)),1,0)</f>
        <v>1</v>
      </c>
      <c r="AK249">
        <f>IF(AND(VLOOKUP(AK$1,main!$A$3:$H$102,7,FALSE)=main!$G$105,VLOOKUP(AK$1,main!$A$3:$H$102,5,FALSE)-VLOOKUP($A249,main!$A$3:$H$102,6,FALSE)&gt;=main!$D$103+VLOOKUP(VLOOKUP(AK$1,main!$A$3:$I$102,7,FALSE),main!$K$26:$Q$29,5,FALSE)),1,0)</f>
        <v>1</v>
      </c>
      <c r="AL249">
        <f>IF(AND(VLOOKUP(AL$1,main!$A$3:$H$102,7,FALSE)=main!$G$105,VLOOKUP(AL$1,main!$A$3:$H$102,5,FALSE)-VLOOKUP($A249,main!$A$3:$H$102,6,FALSE)&gt;=main!$D$103+VLOOKUP(VLOOKUP(AL$1,main!$A$3:$I$102,7,FALSE),main!$K$26:$Q$29,5,FALSE)),1,0)</f>
        <v>1</v>
      </c>
      <c r="AM249">
        <f>IF(AND(VLOOKUP(AM$1,main!$A$3:$H$102,7,FALSE)=main!$G$105,VLOOKUP(AM$1,main!$A$3:$H$102,5,FALSE)-VLOOKUP($A249,main!$A$3:$H$102,6,FALSE)&gt;=main!$D$103+VLOOKUP(VLOOKUP(AM$1,main!$A$3:$I$102,7,FALSE),main!$K$26:$Q$29,5,FALSE)),1,0)</f>
        <v>1</v>
      </c>
      <c r="AN249">
        <f>IF(AND(VLOOKUP(AN$1,main!$A$3:$H$102,7,FALSE)=main!$G$105,VLOOKUP(AN$1,main!$A$3:$H$102,5,FALSE)-VLOOKUP($A249,main!$A$3:$H$102,6,FALSE)&gt;=main!$D$103+VLOOKUP(VLOOKUP(AN$1,main!$A$3:$I$102,7,FALSE),main!$K$26:$Q$29,5,FALSE)),1,0)</f>
        <v>1</v>
      </c>
      <c r="AO249">
        <f>IF(AND(VLOOKUP(AO$1,main!$A$3:$H$102,7,FALSE)=main!$G$105,VLOOKUP(AO$1,main!$A$3:$H$102,5,FALSE)-VLOOKUP($A249,main!$A$3:$H$102,6,FALSE)&gt;=main!$D$103+VLOOKUP(VLOOKUP(AO$1,main!$A$3:$I$102,7,FALSE),main!$K$26:$Q$29,5,FALSE)),1,0)</f>
        <v>0</v>
      </c>
      <c r="AP249">
        <f>IF(AND(VLOOKUP(AP$1,main!$A$3:$H$102,7,FALSE)=main!$G$105,VLOOKUP(AP$1,main!$A$3:$H$102,5,FALSE)-VLOOKUP($A249,main!$A$3:$H$102,6,FALSE)&gt;=main!$D$103+VLOOKUP(VLOOKUP(AP$1,main!$A$3:$I$102,7,FALSE),main!$K$26:$Q$29,5,FALSE)),1,0)</f>
        <v>1</v>
      </c>
      <c r="AQ249">
        <f>IF(AND(VLOOKUP(AQ$1,main!$A$3:$H$102,7,FALSE)=main!$G$105,VLOOKUP(AQ$1,main!$A$3:$H$102,5,FALSE)-VLOOKUP($A249,main!$A$3:$H$102,6,FALSE)&gt;=main!$D$103+VLOOKUP(VLOOKUP(AQ$1,main!$A$3:$I$102,7,FALSE),main!$K$26:$Q$29,5,FALSE)),1,0)</f>
        <v>0</v>
      </c>
      <c r="AR249">
        <f>IF(AND(VLOOKUP(AR$1,main!$A$3:$H$102,7,FALSE)=main!$G$105,VLOOKUP(AR$1,main!$A$3:$H$102,5,FALSE)-VLOOKUP($A249,main!$A$3:$H$102,6,FALSE)&gt;=main!$D$103+VLOOKUP(VLOOKUP(AR$1,main!$A$3:$I$102,7,FALSE),main!$K$26:$Q$29,5,FALSE)),1,0)</f>
        <v>1</v>
      </c>
      <c r="AS249">
        <f>IF(AND(VLOOKUP(AS$1,main!$A$3:$H$102,7,FALSE)=main!$G$105,VLOOKUP(AS$1,main!$A$3:$H$102,5,FALSE)-VLOOKUP($A249,main!$A$3:$H$102,6,FALSE)&gt;=main!$D$103+VLOOKUP(VLOOKUP(AS$1,main!$A$3:$I$102,7,FALSE),main!$K$26:$Q$29,5,FALSE)),1,0)</f>
        <v>1</v>
      </c>
      <c r="AT249">
        <f>IF(AND(VLOOKUP(AT$1,main!$A$3:$H$102,7,FALSE)=main!$G$105,VLOOKUP(AT$1,main!$A$3:$H$102,5,FALSE)-VLOOKUP($A249,main!$A$3:$H$102,6,FALSE)&gt;=main!$D$103+VLOOKUP(VLOOKUP(AT$1,main!$A$3:$I$102,7,FALSE),main!$K$26:$Q$29,5,FALSE)),1,0)</f>
        <v>1</v>
      </c>
      <c r="AU249">
        <f>IF(AND(VLOOKUP(AU$1,main!$A$3:$H$102,7,FALSE)=main!$G$105,VLOOKUP(AU$1,main!$A$3:$H$102,5,FALSE)-VLOOKUP($A249,main!$A$3:$H$102,6,FALSE)&gt;=main!$D$103+VLOOKUP(VLOOKUP(AU$1,main!$A$3:$I$102,7,FALSE),main!$K$26:$Q$29,5,FALSE)),1,0)</f>
        <v>0</v>
      </c>
      <c r="AV249">
        <f>IF(AND(VLOOKUP(AV$1,main!$A$3:$H$102,7,FALSE)=main!$G$105,VLOOKUP(AV$1,main!$A$3:$H$102,5,FALSE)-VLOOKUP($A249,main!$A$3:$H$102,6,FALSE)&gt;=main!$D$103+VLOOKUP(VLOOKUP(AV$1,main!$A$3:$I$102,7,FALSE),main!$K$26:$Q$29,5,FALSE)),1,0)</f>
        <v>0</v>
      </c>
      <c r="AW249">
        <f>IF(AND(VLOOKUP(AW$1,main!$A$3:$H$102,7,FALSE)=main!$G$105,VLOOKUP(AW$1,main!$A$3:$H$102,5,FALSE)-VLOOKUP($A249,main!$A$3:$H$102,6,FALSE)&gt;=main!$D$103+VLOOKUP(VLOOKUP(AW$1,main!$A$3:$I$102,7,FALSE),main!$K$26:$Q$29,5,FALSE)),1,0)</f>
        <v>1</v>
      </c>
      <c r="AX249">
        <f>IF(AND(VLOOKUP(AX$1,main!$A$3:$H$102,7,FALSE)=main!$G$105,VLOOKUP(AX$1,main!$A$3:$H$102,5,FALSE)-VLOOKUP($A249,main!$A$3:$H$102,6,FALSE)&gt;=main!$D$103+VLOOKUP(VLOOKUP(AX$1,main!$A$3:$I$102,7,FALSE),main!$K$26:$Q$29,5,FALSE)),1,0)</f>
        <v>1</v>
      </c>
      <c r="AY249">
        <f>IF(AND(VLOOKUP(AY$1,main!$A$3:$H$102,7,FALSE)=main!$G$105,VLOOKUP(AY$1,main!$A$3:$H$102,5,FALSE)-VLOOKUP($A249,main!$A$3:$H$102,6,FALSE)&gt;=main!$D$103+VLOOKUP(VLOOKUP(AY$1,main!$A$3:$I$102,7,FALSE),main!$K$26:$Q$29,5,FALSE)),1,0)</f>
        <v>1</v>
      </c>
      <c r="AZ249">
        <f>IF(AND(VLOOKUP(AZ$1,main!$A$3:$H$102,7,FALSE)=main!$G$105,VLOOKUP(AZ$1,main!$A$3:$H$102,5,FALSE)-VLOOKUP($A249,main!$A$3:$H$102,6,FALSE)&gt;=main!$D$103+VLOOKUP(VLOOKUP(AZ$1,main!$A$3:$I$102,7,FALSE),main!$K$26:$Q$29,5,FALSE)),1,0)</f>
        <v>1</v>
      </c>
      <c r="BA249">
        <f>IF(AND(VLOOKUP(BA$1,main!$A$3:$H$102,7,FALSE)=main!$G$105,VLOOKUP(BA$1,main!$A$3:$H$102,5,FALSE)-VLOOKUP($A249,main!$A$3:$H$102,6,FALSE)&gt;=main!$D$103+VLOOKUP(VLOOKUP(BA$1,main!$A$3:$I$102,7,FALSE),main!$K$26:$Q$29,5,FALSE)),1,0)</f>
        <v>0</v>
      </c>
      <c r="BB249">
        <f>IF(AND(VLOOKUP(BB$1,main!$A$3:$H$102,7,FALSE)=main!$G$105,VLOOKUP(BB$1,main!$A$3:$H$102,5,FALSE)-VLOOKUP($A249,main!$A$3:$H$102,6,FALSE)&gt;=main!$D$103+VLOOKUP(VLOOKUP(BB$1,main!$A$3:$I$102,7,FALSE),main!$K$26:$Q$29,5,FALSE)),1,0)</f>
        <v>0</v>
      </c>
      <c r="BC249">
        <f>IF(AND(VLOOKUP(BC$1,main!$A$3:$H$102,7,FALSE)=main!$G$105,VLOOKUP(BC$1,main!$A$3:$H$102,5,FALSE)-VLOOKUP($A249,main!$A$3:$H$102,6,FALSE)&gt;=main!$D$103+VLOOKUP(VLOOKUP(BC$1,main!$A$3:$I$102,7,FALSE),main!$K$26:$Q$29,5,FALSE)),1,0)</f>
        <v>0</v>
      </c>
      <c r="BD249">
        <f>IF(AND(VLOOKUP(BD$1,main!$A$3:$H$102,7,FALSE)=main!$G$105,VLOOKUP(BD$1,main!$A$3:$H$102,5,FALSE)-VLOOKUP($A249,main!$A$3:$H$102,6,FALSE)&gt;=main!$D$103+VLOOKUP(VLOOKUP(BD$1,main!$A$3:$I$102,7,FALSE),main!$K$26:$Q$29,5,FALSE)),1,0)</f>
        <v>0</v>
      </c>
      <c r="BE249">
        <f>IF(AND(VLOOKUP(BE$1,main!$A$3:$H$102,7,FALSE)=main!$G$105,VLOOKUP(BE$1,main!$A$3:$H$102,5,FALSE)-VLOOKUP($A249,main!$A$3:$H$102,6,FALSE)&gt;=main!$D$103+VLOOKUP(VLOOKUP(BE$1,main!$A$3:$I$102,7,FALSE),main!$K$26:$Q$29,5,FALSE)),1,0)</f>
        <v>0</v>
      </c>
      <c r="BF249">
        <f>IF(AND(VLOOKUP(BF$1,main!$A$3:$H$102,7,FALSE)=main!$G$105,VLOOKUP(BF$1,main!$A$3:$H$102,5,FALSE)-VLOOKUP($A249,main!$A$3:$H$102,6,FALSE)&gt;=main!$D$103+VLOOKUP(VLOOKUP(BF$1,main!$A$3:$I$102,7,FALSE),main!$K$26:$Q$29,5,FALSE)),1,0)</f>
        <v>0</v>
      </c>
      <c r="BG249">
        <f>IF(AND(VLOOKUP(BG$1,main!$A$3:$H$102,7,FALSE)=main!$G$105,VLOOKUP(BG$1,main!$A$3:$H$102,5,FALSE)-VLOOKUP($A249,main!$A$3:$H$102,6,FALSE)&gt;=main!$D$103+VLOOKUP(VLOOKUP(BG$1,main!$A$3:$I$102,7,FALSE),main!$K$26:$Q$29,5,FALSE)),1,0)</f>
        <v>0</v>
      </c>
      <c r="BH249">
        <f>IF(AND(VLOOKUP(BH$1,main!$A$3:$H$102,7,FALSE)=main!$G$105,VLOOKUP(BH$1,main!$A$3:$H$102,5,FALSE)-VLOOKUP($A249,main!$A$3:$H$102,6,FALSE)&gt;=main!$D$103+VLOOKUP(VLOOKUP(BH$1,main!$A$3:$I$102,7,FALSE),main!$K$26:$Q$29,5,FALSE)),1,0)</f>
        <v>0</v>
      </c>
      <c r="BI249">
        <f>IF(AND(VLOOKUP(BI$1,main!$A$3:$H$102,7,FALSE)=main!$G$105,VLOOKUP(BI$1,main!$A$3:$H$102,5,FALSE)-VLOOKUP($A249,main!$A$3:$H$102,6,FALSE)&gt;=main!$D$103+VLOOKUP(VLOOKUP(BI$1,main!$A$3:$I$102,7,FALSE),main!$K$26:$Q$29,5,FALSE)),1,0)</f>
        <v>0</v>
      </c>
      <c r="BJ249">
        <f>IF(AND(VLOOKUP(BJ$1,main!$A$3:$H$102,7,FALSE)=main!$G$105,VLOOKUP(BJ$1,main!$A$3:$H$102,5,FALSE)-VLOOKUP($A249,main!$A$3:$H$102,6,FALSE)&gt;=main!$D$103+VLOOKUP(VLOOKUP(BJ$1,main!$A$3:$I$102,7,FALSE),main!$K$26:$Q$29,5,FALSE)),1,0)</f>
        <v>0</v>
      </c>
      <c r="BK249">
        <f>IF(AND(VLOOKUP(BK$1,main!$A$3:$H$102,7,FALSE)=main!$G$105,VLOOKUP(BK$1,main!$A$3:$H$102,5,FALSE)-VLOOKUP($A249,main!$A$3:$H$102,6,FALSE)&gt;=main!$D$103+VLOOKUP(VLOOKUP(BK$1,main!$A$3:$I$102,7,FALSE),main!$K$26:$Q$29,5,FALSE)),1,0)</f>
        <v>0</v>
      </c>
      <c r="BL249">
        <f>IF(AND(VLOOKUP(BL$1,main!$A$3:$H$102,7,FALSE)=main!$G$105,VLOOKUP(BL$1,main!$A$3:$H$102,5,FALSE)-VLOOKUP($A249,main!$A$3:$H$102,6,FALSE)&gt;=main!$D$103+VLOOKUP(VLOOKUP(BL$1,main!$A$3:$I$102,7,FALSE),main!$K$26:$Q$29,5,FALSE)),1,0)</f>
        <v>0</v>
      </c>
      <c r="BM249">
        <f>IF(AND(VLOOKUP(BM$1,main!$A$3:$H$102,7,FALSE)=main!$G$105,VLOOKUP(BM$1,main!$A$3:$H$102,5,FALSE)-VLOOKUP($A249,main!$A$3:$H$102,6,FALSE)&gt;=main!$D$103+VLOOKUP(VLOOKUP(BM$1,main!$A$3:$I$102,7,FALSE),main!$K$26:$Q$29,5,FALSE)),1,0)</f>
        <v>0</v>
      </c>
      <c r="BN249">
        <f>IF(AND(VLOOKUP(BN$1,main!$A$3:$H$102,7,FALSE)=main!$G$105,VLOOKUP(BN$1,main!$A$3:$H$102,5,FALSE)-VLOOKUP($A249,main!$A$3:$H$102,6,FALSE)&gt;=main!$D$103+VLOOKUP(VLOOKUP(BN$1,main!$A$3:$I$102,7,FALSE),main!$K$26:$Q$29,5,FALSE)),1,0)</f>
        <v>0</v>
      </c>
      <c r="BO249">
        <f>IF(AND(VLOOKUP(BO$1,main!$A$3:$H$102,7,FALSE)=main!$G$105,VLOOKUP(BO$1,main!$A$3:$H$102,5,FALSE)-VLOOKUP($A249,main!$A$3:$H$102,6,FALSE)&gt;=main!$D$103+VLOOKUP(VLOOKUP(BO$1,main!$A$3:$I$102,7,FALSE),main!$K$26:$Q$29,5,FALSE)),1,0)</f>
        <v>0</v>
      </c>
      <c r="BP249">
        <f>IF(AND(VLOOKUP(BP$1,main!$A$3:$H$102,7,FALSE)=main!$G$105,VLOOKUP(BP$1,main!$A$3:$H$102,5,FALSE)-VLOOKUP($A249,main!$A$3:$H$102,6,FALSE)&gt;=main!$D$103+VLOOKUP(VLOOKUP(BP$1,main!$A$3:$I$102,7,FALSE),main!$K$26:$Q$29,5,FALSE)),1,0)</f>
        <v>0</v>
      </c>
      <c r="BQ249">
        <f>IF(AND(VLOOKUP(BQ$1,main!$A$3:$H$102,7,FALSE)=main!$G$105,VLOOKUP(BQ$1,main!$A$3:$H$102,5,FALSE)-VLOOKUP($A249,main!$A$3:$H$102,6,FALSE)&gt;=main!$D$103+VLOOKUP(VLOOKUP(BQ$1,main!$A$3:$I$102,7,FALSE),main!$K$26:$Q$29,5,FALSE)),1,0)</f>
        <v>0</v>
      </c>
      <c r="BR249">
        <f>IF(AND(VLOOKUP(BR$1,main!$A$3:$H$102,7,FALSE)=main!$G$105,VLOOKUP(BR$1,main!$A$3:$H$102,5,FALSE)-VLOOKUP($A249,main!$A$3:$H$102,6,FALSE)&gt;=main!$D$103+VLOOKUP(VLOOKUP(BR$1,main!$A$3:$I$102,7,FALSE),main!$K$26:$Q$29,5,FALSE)),1,0)</f>
        <v>0</v>
      </c>
      <c r="BS249">
        <f>IF(AND(VLOOKUP(BS$1,main!$A$3:$H$102,7,FALSE)=main!$G$105,VLOOKUP(BS$1,main!$A$3:$H$102,5,FALSE)-VLOOKUP($A249,main!$A$3:$H$102,6,FALSE)&gt;=main!$D$103+VLOOKUP(VLOOKUP(BS$1,main!$A$3:$I$102,7,FALSE),main!$K$26:$Q$29,5,FALSE)),1,0)</f>
        <v>0</v>
      </c>
      <c r="BT249">
        <f>IF(AND(VLOOKUP(BT$1,main!$A$3:$H$102,7,FALSE)=main!$G$105,VLOOKUP(BT$1,main!$A$3:$H$102,5,FALSE)-VLOOKUP($A249,main!$A$3:$H$102,6,FALSE)&gt;=main!$D$103+VLOOKUP(VLOOKUP(BT$1,main!$A$3:$I$102,7,FALSE),main!$K$26:$Q$29,5,FALSE)),1,0)</f>
        <v>0</v>
      </c>
      <c r="BU249">
        <f>IF(AND(VLOOKUP(BU$1,main!$A$3:$H$102,7,FALSE)=main!$G$105,VLOOKUP(BU$1,main!$A$3:$H$102,5,FALSE)-VLOOKUP($A249,main!$A$3:$H$102,6,FALSE)&gt;=main!$D$103+VLOOKUP(VLOOKUP(BU$1,main!$A$3:$I$102,7,FALSE),main!$K$26:$Q$29,5,FALSE)),1,0)</f>
        <v>0</v>
      </c>
      <c r="BV249">
        <f>IF(AND(VLOOKUP(BV$1,main!$A$3:$H$102,7,FALSE)=main!$G$105,VLOOKUP(BV$1,main!$A$3:$H$102,5,FALSE)-VLOOKUP($A249,main!$A$3:$H$102,6,FALSE)&gt;=main!$D$103+VLOOKUP(VLOOKUP(BV$1,main!$A$3:$I$102,7,FALSE),main!$K$26:$Q$29,5,FALSE)),1,0)</f>
        <v>0</v>
      </c>
      <c r="BW249">
        <f>IF(AND(VLOOKUP(BW$1,main!$A$3:$H$102,7,FALSE)=main!$G$105,VLOOKUP(BW$1,main!$A$3:$H$102,5,FALSE)-VLOOKUP($A249,main!$A$3:$H$102,6,FALSE)&gt;=main!$D$103+VLOOKUP(VLOOKUP(BW$1,main!$A$3:$I$102,7,FALSE),main!$K$26:$Q$29,5,FALSE)),1,0)</f>
        <v>0</v>
      </c>
      <c r="BX249">
        <f>IF(AND(VLOOKUP(BX$1,main!$A$3:$H$102,7,FALSE)=main!$G$105,VLOOKUP(BX$1,main!$A$3:$H$102,5,FALSE)-VLOOKUP($A249,main!$A$3:$H$102,6,FALSE)&gt;=main!$D$103+VLOOKUP(VLOOKUP(BX$1,main!$A$3:$I$102,7,FALSE),main!$K$26:$Q$29,5,FALSE)),1,0)</f>
        <v>0</v>
      </c>
      <c r="BY249">
        <f>IF(AND(VLOOKUP(BY$1,main!$A$3:$H$102,7,FALSE)=main!$G$105,VLOOKUP(BY$1,main!$A$3:$H$102,5,FALSE)-VLOOKUP($A249,main!$A$3:$H$102,6,FALSE)&gt;=main!$D$103+VLOOKUP(VLOOKUP(BY$1,main!$A$3:$I$102,7,FALSE),main!$K$26:$Q$29,5,FALSE)),1,0)</f>
        <v>0</v>
      </c>
      <c r="BZ249">
        <f>IF(AND(VLOOKUP(BZ$1,main!$A$3:$H$102,7,FALSE)=main!$G$105,VLOOKUP(BZ$1,main!$A$3:$H$102,5,FALSE)-VLOOKUP($A249,main!$A$3:$H$102,6,FALSE)&gt;=main!$D$103+VLOOKUP(VLOOKUP(BZ$1,main!$A$3:$I$102,7,FALSE),main!$K$26:$Q$29,5,FALSE)),1,0)</f>
        <v>0</v>
      </c>
      <c r="CA249">
        <f>IF(AND(VLOOKUP(CA$1,main!$A$3:$H$102,7,FALSE)=main!$G$105,VLOOKUP(CA$1,main!$A$3:$H$102,5,FALSE)-VLOOKUP($A249,main!$A$3:$H$102,6,FALSE)&gt;=main!$D$103+VLOOKUP(VLOOKUP(CA$1,main!$A$3:$I$102,7,FALSE),main!$K$26:$Q$29,5,FALSE)),1,0)</f>
        <v>0</v>
      </c>
      <c r="CB249">
        <f>IF(AND(VLOOKUP(CB$1,main!$A$3:$H$102,7,FALSE)=main!$G$105,VLOOKUP(CB$1,main!$A$3:$H$102,5,FALSE)-VLOOKUP($A249,main!$A$3:$H$102,6,FALSE)&gt;=main!$D$103+VLOOKUP(VLOOKUP(CB$1,main!$A$3:$I$102,7,FALSE),main!$K$26:$Q$29,5,FALSE)),1,0)</f>
        <v>0</v>
      </c>
      <c r="CC249">
        <f>IF(AND(VLOOKUP(CC$1,main!$A$3:$H$102,7,FALSE)=main!$G$105,VLOOKUP(CC$1,main!$A$3:$H$102,5,FALSE)-VLOOKUP($A249,main!$A$3:$H$102,6,FALSE)&gt;=main!$D$103+VLOOKUP(VLOOKUP(CC$1,main!$A$3:$I$102,7,FALSE),main!$K$26:$Q$29,5,FALSE)),1,0)</f>
        <v>0</v>
      </c>
      <c r="CD249">
        <f>IF(AND(VLOOKUP(CD$1,main!$A$3:$H$102,7,FALSE)=main!$G$105,VLOOKUP(CD$1,main!$A$3:$H$102,5,FALSE)-VLOOKUP($A249,main!$A$3:$H$102,6,FALSE)&gt;=main!$D$103+VLOOKUP(VLOOKUP(CD$1,main!$A$3:$I$102,7,FALSE),main!$K$26:$Q$29,5,FALSE)),1,0)</f>
        <v>0</v>
      </c>
      <c r="CE249">
        <f>IF(AND(VLOOKUP(CE$1,main!$A$3:$H$102,7,FALSE)=main!$G$105,VLOOKUP(CE$1,main!$A$3:$H$102,5,FALSE)-VLOOKUP($A249,main!$A$3:$H$102,6,FALSE)&gt;=main!$D$103+VLOOKUP(VLOOKUP(CE$1,main!$A$3:$I$102,7,FALSE),main!$K$26:$Q$29,5,FALSE)),1,0)</f>
        <v>0</v>
      </c>
      <c r="CF249">
        <f>IF(AND(VLOOKUP(CF$1,main!$A$3:$H$102,7,FALSE)=main!$G$105,VLOOKUP(CF$1,main!$A$3:$H$102,5,FALSE)-VLOOKUP($A249,main!$A$3:$H$102,6,FALSE)&gt;=main!$D$103+VLOOKUP(VLOOKUP(CF$1,main!$A$3:$I$102,7,FALSE),main!$K$26:$Q$29,5,FALSE)),1,0)</f>
        <v>0</v>
      </c>
      <c r="CG249">
        <f>IF(AND(VLOOKUP(CG$1,main!$A$3:$H$102,7,FALSE)=main!$G$105,VLOOKUP(CG$1,main!$A$3:$H$102,5,FALSE)-VLOOKUP($A249,main!$A$3:$H$102,6,FALSE)&gt;=main!$D$103+VLOOKUP(VLOOKUP(CG$1,main!$A$3:$I$102,7,FALSE),main!$K$26:$Q$29,5,FALSE)),1,0)</f>
        <v>0</v>
      </c>
      <c r="CH249">
        <f>IF(AND(VLOOKUP(CH$1,main!$A$3:$H$102,7,FALSE)=main!$G$105,VLOOKUP(CH$1,main!$A$3:$H$102,5,FALSE)-VLOOKUP($A249,main!$A$3:$H$102,6,FALSE)&gt;=main!$D$103+VLOOKUP(VLOOKUP(CH$1,main!$A$3:$I$102,7,FALSE),main!$K$26:$Q$29,5,FALSE)),1,0)</f>
        <v>0</v>
      </c>
      <c r="CI249">
        <f>IF(AND(VLOOKUP(CI$1,main!$A$3:$H$102,7,FALSE)=main!$G$105,VLOOKUP(CI$1,main!$A$3:$H$102,5,FALSE)-VLOOKUP($A249,main!$A$3:$H$102,6,FALSE)&gt;=main!$D$103+VLOOKUP(VLOOKUP(CI$1,main!$A$3:$I$102,7,FALSE),main!$K$26:$Q$29,5,FALSE)),1,0)</f>
        <v>0</v>
      </c>
      <c r="CJ249">
        <f>IF(AND(VLOOKUP(CJ$1,main!$A$3:$H$102,7,FALSE)=main!$G$105,VLOOKUP(CJ$1,main!$A$3:$H$102,5,FALSE)-VLOOKUP($A249,main!$A$3:$H$102,6,FALSE)&gt;=main!$D$103+VLOOKUP(VLOOKUP(CJ$1,main!$A$3:$I$102,7,FALSE),main!$K$26:$Q$29,5,FALSE)),1,0)</f>
        <v>0</v>
      </c>
      <c r="CK249">
        <f>IF(AND(VLOOKUP(CK$1,main!$A$3:$H$102,7,FALSE)=main!$G$105,VLOOKUP(CK$1,main!$A$3:$H$102,5,FALSE)-VLOOKUP($A249,main!$A$3:$H$102,6,FALSE)&gt;=main!$D$103+VLOOKUP(VLOOKUP(CK$1,main!$A$3:$I$102,7,FALSE),main!$K$26:$Q$29,5,FALSE)),1,0)</f>
        <v>0</v>
      </c>
      <c r="CL249">
        <f>IF(AND(VLOOKUP(CL$1,main!$A$3:$H$102,7,FALSE)=main!$G$105,VLOOKUP(CL$1,main!$A$3:$H$102,5,FALSE)-VLOOKUP($A249,main!$A$3:$H$102,6,FALSE)&gt;=main!$D$103+VLOOKUP(VLOOKUP(CL$1,main!$A$3:$I$102,7,FALSE),main!$K$26:$Q$29,5,FALSE)),1,0)</f>
        <v>0</v>
      </c>
      <c r="CM249">
        <f>IF(AND(VLOOKUP(CM$1,main!$A$3:$H$102,7,FALSE)=main!$G$105,VLOOKUP(CM$1,main!$A$3:$H$102,5,FALSE)-VLOOKUP($A249,main!$A$3:$H$102,6,FALSE)&gt;=main!$D$103+VLOOKUP(VLOOKUP(CM$1,main!$A$3:$I$102,7,FALSE),main!$K$26:$Q$29,5,FALSE)),1,0)</f>
        <v>0</v>
      </c>
      <c r="CN249">
        <f>IF(AND(VLOOKUP(CN$1,main!$A$3:$H$102,7,FALSE)=main!$G$105,VLOOKUP(CN$1,main!$A$3:$H$102,5,FALSE)-VLOOKUP($A249,main!$A$3:$H$102,6,FALSE)&gt;=main!$D$103+VLOOKUP(VLOOKUP(CN$1,main!$A$3:$I$102,7,FALSE),main!$K$26:$Q$29,5,FALSE)),1,0)</f>
        <v>0</v>
      </c>
      <c r="CO249">
        <f>IF(AND(VLOOKUP(CO$1,main!$A$3:$H$102,7,FALSE)=main!$G$105,VLOOKUP(CO$1,main!$A$3:$H$102,5,FALSE)-VLOOKUP($A249,main!$A$3:$H$102,6,FALSE)&gt;=main!$D$103+VLOOKUP(VLOOKUP(CO$1,main!$A$3:$I$102,7,FALSE),main!$K$26:$Q$29,5,FALSE)),1,0)</f>
        <v>0</v>
      </c>
      <c r="CP249">
        <f>IF(AND(VLOOKUP(CP$1,main!$A$3:$H$102,7,FALSE)=main!$G$105,VLOOKUP(CP$1,main!$A$3:$H$102,5,FALSE)-VLOOKUP($A249,main!$A$3:$H$102,6,FALSE)&gt;=main!$D$103+VLOOKUP(VLOOKUP(CP$1,main!$A$3:$I$102,7,FALSE),main!$K$26:$Q$29,5,FALSE)),1,0)</f>
        <v>0</v>
      </c>
      <c r="CQ249">
        <f>IF(AND(VLOOKUP(CQ$1,main!$A$3:$H$102,7,FALSE)=main!$G$105,VLOOKUP(CQ$1,main!$A$3:$H$102,5,FALSE)-VLOOKUP($A249,main!$A$3:$H$102,6,FALSE)&gt;=main!$D$103+VLOOKUP(VLOOKUP(CQ$1,main!$A$3:$I$102,7,FALSE),main!$K$26:$Q$29,5,FALSE)),1,0)</f>
        <v>0</v>
      </c>
      <c r="CR249">
        <f>IF(AND(VLOOKUP(CR$1,main!$A$3:$H$102,7,FALSE)=main!$G$105,VLOOKUP(CR$1,main!$A$3:$H$102,5,FALSE)-VLOOKUP($A249,main!$A$3:$H$102,6,FALSE)&gt;=main!$D$103+VLOOKUP(VLOOKUP(CR$1,main!$A$3:$I$102,7,FALSE),main!$K$26:$Q$29,5,FALSE)),1,0)</f>
        <v>0</v>
      </c>
      <c r="CS249">
        <f>IF(AND(VLOOKUP(CS$1,main!$A$3:$H$102,7,FALSE)=main!$G$105,VLOOKUP(CS$1,main!$A$3:$H$102,5,FALSE)-VLOOKUP($A249,main!$A$3:$H$102,6,FALSE)&gt;=main!$D$103+VLOOKUP(VLOOKUP(CS$1,main!$A$3:$I$102,7,FALSE),main!$K$26:$Q$29,5,FALSE)),1,0)</f>
        <v>0</v>
      </c>
      <c r="CT249">
        <f>IF(AND(VLOOKUP(CT$1,main!$A$3:$H$102,7,FALSE)=main!$G$105,VLOOKUP(CT$1,main!$A$3:$H$102,5,FALSE)-VLOOKUP($A249,main!$A$3:$H$102,6,FALSE)&gt;=main!$D$103+VLOOKUP(VLOOKUP(CT$1,main!$A$3:$I$102,7,FALSE),main!$K$26:$Q$29,5,FALSE)),1,0)</f>
        <v>0</v>
      </c>
      <c r="CU249">
        <f>IF(AND(VLOOKUP(CU$1,main!$A$3:$H$102,7,FALSE)=main!$G$105,VLOOKUP(CU$1,main!$A$3:$H$102,5,FALSE)-VLOOKUP($A249,main!$A$3:$H$102,6,FALSE)&gt;=main!$D$103+VLOOKUP(VLOOKUP(CU$1,main!$A$3:$I$102,7,FALSE),main!$K$26:$Q$29,5,FALSE)),1,0)</f>
        <v>0</v>
      </c>
      <c r="CV249">
        <f>IF(AND(VLOOKUP(CV$1,main!$A$3:$H$102,7,FALSE)=main!$G$105,VLOOKUP(CV$1,main!$A$3:$H$102,5,FALSE)-VLOOKUP($A249,main!$A$3:$H$102,6,FALSE)&gt;=main!$D$103+VLOOKUP(VLOOKUP(CV$1,main!$A$3:$I$102,7,FALSE),main!$K$26:$Q$29,5,FALSE)),1,0)</f>
        <v>0</v>
      </c>
      <c r="CW249">
        <f>IF(AND(VLOOKUP(CW$1,main!$A$3:$H$102,7,FALSE)=main!$G$105,VLOOKUP(CW$1,main!$A$3:$H$102,5,FALSE)-VLOOKUP($A249,main!$A$3:$H$102,6,FALSE)&gt;=main!$D$103+VLOOKUP(VLOOKUP(CW$1,main!$A$3:$I$102,7,FALSE),main!$K$26:$Q$29,5,FALSE)),1,0)</f>
        <v>0</v>
      </c>
      <c r="CX249">
        <f>IF(AND(VLOOKUP(CX$1,main!$A$3:$H$102,7,FALSE)=main!$G$105,VLOOKUP(CX$1,main!$A$3:$H$102,5,FALSE)-VLOOKUP($A249,main!$A$3:$H$102,6,FALSE)&gt;=main!$D$103+VLOOKUP(VLOOKUP(CX$1,main!$A$3:$I$102,7,FALSE),main!$K$26:$Q$29,5,FALSE)),1,0)</f>
        <v>0</v>
      </c>
    </row>
    <row r="250" spans="1:102" x14ac:dyDescent="0.25">
      <c r="A250" s="1">
        <v>46</v>
      </c>
      <c r="B250">
        <v>0</v>
      </c>
      <c r="C250">
        <f>IF(AND(VLOOKUP(C$1,main!$A$3:$H$102,7,FALSE)=main!$G$105,VLOOKUP(C$1,main!$A$3:$H$102,5,FALSE)-VLOOKUP($A250,main!$A$3:$H$102,6,FALSE)&gt;=main!$D$103+VLOOKUP(VLOOKUP(C$1,main!$A$3:$I$102,7,FALSE),main!$K$26:$Q$29,5,FALSE)),1,0)</f>
        <v>0</v>
      </c>
      <c r="D250">
        <f>IF(AND(VLOOKUP(D$1,main!$A$3:$H$102,7,FALSE)=main!$G$105,VLOOKUP(D$1,main!$A$3:$H$102,5,FALSE)-VLOOKUP($A250,main!$A$3:$H$102,6,FALSE)&gt;=main!$D$103+VLOOKUP(VLOOKUP(D$1,main!$A$3:$I$102,7,FALSE),main!$K$26:$Q$29,5,FALSE)),1,0)</f>
        <v>0</v>
      </c>
      <c r="E250">
        <f>IF(AND(VLOOKUP(E$1,main!$A$3:$H$102,7,FALSE)=main!$G$105,VLOOKUP(E$1,main!$A$3:$H$102,5,FALSE)-VLOOKUP($A250,main!$A$3:$H$102,6,FALSE)&gt;=main!$D$103+VLOOKUP(VLOOKUP(E$1,main!$A$3:$I$102,7,FALSE),main!$K$26:$Q$29,5,FALSE)),1,0)</f>
        <v>0</v>
      </c>
      <c r="F250">
        <f>IF(AND(VLOOKUP(F$1,main!$A$3:$H$102,7,FALSE)=main!$G$105,VLOOKUP(F$1,main!$A$3:$H$102,5,FALSE)-VLOOKUP($A250,main!$A$3:$H$102,6,FALSE)&gt;=main!$D$103+VLOOKUP(VLOOKUP(F$1,main!$A$3:$I$102,7,FALSE),main!$K$26:$Q$29,5,FALSE)),1,0)</f>
        <v>0</v>
      </c>
      <c r="G250">
        <f>IF(AND(VLOOKUP(G$1,main!$A$3:$H$102,7,FALSE)=main!$G$105,VLOOKUP(G$1,main!$A$3:$H$102,5,FALSE)-VLOOKUP($A250,main!$A$3:$H$102,6,FALSE)&gt;=main!$D$103+VLOOKUP(VLOOKUP(G$1,main!$A$3:$I$102,7,FALSE),main!$K$26:$Q$29,5,FALSE)),1,0)</f>
        <v>0</v>
      </c>
      <c r="H250">
        <f>IF(AND(VLOOKUP(H$1,main!$A$3:$H$102,7,FALSE)=main!$G$105,VLOOKUP(H$1,main!$A$3:$H$102,5,FALSE)-VLOOKUP($A250,main!$A$3:$H$102,6,FALSE)&gt;=main!$D$103+VLOOKUP(VLOOKUP(H$1,main!$A$3:$I$102,7,FALSE),main!$K$26:$Q$29,5,FALSE)),1,0)</f>
        <v>0</v>
      </c>
      <c r="I250">
        <f>IF(AND(VLOOKUP(I$1,main!$A$3:$H$102,7,FALSE)=main!$G$105,VLOOKUP(I$1,main!$A$3:$H$102,5,FALSE)-VLOOKUP($A250,main!$A$3:$H$102,6,FALSE)&gt;=main!$D$103+VLOOKUP(VLOOKUP(I$1,main!$A$3:$I$102,7,FALSE),main!$K$26:$Q$29,5,FALSE)),1,0)</f>
        <v>0</v>
      </c>
      <c r="J250">
        <f>IF(AND(VLOOKUP(J$1,main!$A$3:$H$102,7,FALSE)=main!$G$105,VLOOKUP(J$1,main!$A$3:$H$102,5,FALSE)-VLOOKUP($A250,main!$A$3:$H$102,6,FALSE)&gt;=main!$D$103+VLOOKUP(VLOOKUP(J$1,main!$A$3:$I$102,7,FALSE),main!$K$26:$Q$29,5,FALSE)),1,0)</f>
        <v>0</v>
      </c>
      <c r="K250">
        <f>IF(AND(VLOOKUP(K$1,main!$A$3:$H$102,7,FALSE)=main!$G$105,VLOOKUP(K$1,main!$A$3:$H$102,5,FALSE)-VLOOKUP($A250,main!$A$3:$H$102,6,FALSE)&gt;=main!$D$103+VLOOKUP(VLOOKUP(K$1,main!$A$3:$I$102,7,FALSE),main!$K$26:$Q$29,5,FALSE)),1,0)</f>
        <v>0</v>
      </c>
      <c r="L250">
        <f>IF(AND(VLOOKUP(L$1,main!$A$3:$H$102,7,FALSE)=main!$G$105,VLOOKUP(L$1,main!$A$3:$H$102,5,FALSE)-VLOOKUP($A250,main!$A$3:$H$102,6,FALSE)&gt;=main!$D$103+VLOOKUP(VLOOKUP(L$1,main!$A$3:$I$102,7,FALSE),main!$K$26:$Q$29,5,FALSE)),1,0)</f>
        <v>0</v>
      </c>
      <c r="M250">
        <f>IF(AND(VLOOKUP(M$1,main!$A$3:$H$102,7,FALSE)=main!$G$105,VLOOKUP(M$1,main!$A$3:$H$102,5,FALSE)-VLOOKUP($A250,main!$A$3:$H$102,6,FALSE)&gt;=main!$D$103+VLOOKUP(VLOOKUP(M$1,main!$A$3:$I$102,7,FALSE),main!$K$26:$Q$29,5,FALSE)),1,0)</f>
        <v>0</v>
      </c>
      <c r="N250">
        <f>IF(AND(VLOOKUP(N$1,main!$A$3:$H$102,7,FALSE)=main!$G$105,VLOOKUP(N$1,main!$A$3:$H$102,5,FALSE)-VLOOKUP($A250,main!$A$3:$H$102,6,FALSE)&gt;=main!$D$103+VLOOKUP(VLOOKUP(N$1,main!$A$3:$I$102,7,FALSE),main!$K$26:$Q$29,5,FALSE)),1,0)</f>
        <v>0</v>
      </c>
      <c r="O250">
        <f>IF(AND(VLOOKUP(O$1,main!$A$3:$H$102,7,FALSE)=main!$G$105,VLOOKUP(O$1,main!$A$3:$H$102,5,FALSE)-VLOOKUP($A250,main!$A$3:$H$102,6,FALSE)&gt;=main!$D$103+VLOOKUP(VLOOKUP(O$1,main!$A$3:$I$102,7,FALSE),main!$K$26:$Q$29,5,FALSE)),1,0)</f>
        <v>0</v>
      </c>
      <c r="P250">
        <f>IF(AND(VLOOKUP(P$1,main!$A$3:$H$102,7,FALSE)=main!$G$105,VLOOKUP(P$1,main!$A$3:$H$102,5,FALSE)-VLOOKUP($A250,main!$A$3:$H$102,6,FALSE)&gt;=main!$D$103+VLOOKUP(VLOOKUP(P$1,main!$A$3:$I$102,7,FALSE),main!$K$26:$Q$29,5,FALSE)),1,0)</f>
        <v>0</v>
      </c>
      <c r="Q250">
        <f>IF(AND(VLOOKUP(Q$1,main!$A$3:$H$102,7,FALSE)=main!$G$105,VLOOKUP(Q$1,main!$A$3:$H$102,5,FALSE)-VLOOKUP($A250,main!$A$3:$H$102,6,FALSE)&gt;=main!$D$103+VLOOKUP(VLOOKUP(Q$1,main!$A$3:$I$102,7,FALSE),main!$K$26:$Q$29,5,FALSE)),1,0)</f>
        <v>0</v>
      </c>
      <c r="R250">
        <f>IF(AND(VLOOKUP(R$1,main!$A$3:$H$102,7,FALSE)=main!$G$105,VLOOKUP(R$1,main!$A$3:$H$102,5,FALSE)-VLOOKUP($A250,main!$A$3:$H$102,6,FALSE)&gt;=main!$D$103+VLOOKUP(VLOOKUP(R$1,main!$A$3:$I$102,7,FALSE),main!$K$26:$Q$29,5,FALSE)),1,0)</f>
        <v>0</v>
      </c>
      <c r="S250">
        <f>IF(AND(VLOOKUP(S$1,main!$A$3:$H$102,7,FALSE)=main!$G$105,VLOOKUP(S$1,main!$A$3:$H$102,5,FALSE)-VLOOKUP($A250,main!$A$3:$H$102,6,FALSE)&gt;=main!$D$103+VLOOKUP(VLOOKUP(S$1,main!$A$3:$I$102,7,FALSE),main!$K$26:$Q$29,5,FALSE)),1,0)</f>
        <v>0</v>
      </c>
      <c r="T250">
        <f>IF(AND(VLOOKUP(T$1,main!$A$3:$H$102,7,FALSE)=main!$G$105,VLOOKUP(T$1,main!$A$3:$H$102,5,FALSE)-VLOOKUP($A250,main!$A$3:$H$102,6,FALSE)&gt;=main!$D$103+VLOOKUP(VLOOKUP(T$1,main!$A$3:$I$102,7,FALSE),main!$K$26:$Q$29,5,FALSE)),1,0)</f>
        <v>0</v>
      </c>
      <c r="U250">
        <f>IF(AND(VLOOKUP(U$1,main!$A$3:$H$102,7,FALSE)=main!$G$105,VLOOKUP(U$1,main!$A$3:$H$102,5,FALSE)-VLOOKUP($A250,main!$A$3:$H$102,6,FALSE)&gt;=main!$D$103+VLOOKUP(VLOOKUP(U$1,main!$A$3:$I$102,7,FALSE),main!$K$26:$Q$29,5,FALSE)),1,0)</f>
        <v>0</v>
      </c>
      <c r="V250">
        <f>IF(AND(VLOOKUP(V$1,main!$A$3:$H$102,7,FALSE)=main!$G$105,VLOOKUP(V$1,main!$A$3:$H$102,5,FALSE)-VLOOKUP($A250,main!$A$3:$H$102,6,FALSE)&gt;=main!$D$103+VLOOKUP(VLOOKUP(V$1,main!$A$3:$I$102,7,FALSE),main!$K$26:$Q$29,5,FALSE)),1,0)</f>
        <v>0</v>
      </c>
      <c r="W250">
        <f>IF(AND(VLOOKUP(W$1,main!$A$3:$H$102,7,FALSE)=main!$G$105,VLOOKUP(W$1,main!$A$3:$H$102,5,FALSE)-VLOOKUP($A250,main!$A$3:$H$102,6,FALSE)&gt;=main!$D$103+VLOOKUP(VLOOKUP(W$1,main!$A$3:$I$102,7,FALSE),main!$K$26:$Q$29,5,FALSE)),1,0)</f>
        <v>0</v>
      </c>
      <c r="X250">
        <f>IF(AND(VLOOKUP(X$1,main!$A$3:$H$102,7,FALSE)=main!$G$105,VLOOKUP(X$1,main!$A$3:$H$102,5,FALSE)-VLOOKUP($A250,main!$A$3:$H$102,6,FALSE)&gt;=main!$D$103+VLOOKUP(VLOOKUP(X$1,main!$A$3:$I$102,7,FALSE),main!$K$26:$Q$29,5,FALSE)),1,0)</f>
        <v>0</v>
      </c>
      <c r="Y250">
        <f>IF(AND(VLOOKUP(Y$1,main!$A$3:$H$102,7,FALSE)=main!$G$105,VLOOKUP(Y$1,main!$A$3:$H$102,5,FALSE)-VLOOKUP($A250,main!$A$3:$H$102,6,FALSE)&gt;=main!$D$103+VLOOKUP(VLOOKUP(Y$1,main!$A$3:$I$102,7,FALSE),main!$K$26:$Q$29,5,FALSE)),1,0)</f>
        <v>0</v>
      </c>
      <c r="Z250">
        <f>IF(AND(VLOOKUP(Z$1,main!$A$3:$H$102,7,FALSE)=main!$G$105,VLOOKUP(Z$1,main!$A$3:$H$102,5,FALSE)-VLOOKUP($A250,main!$A$3:$H$102,6,FALSE)&gt;=main!$D$103+VLOOKUP(VLOOKUP(Z$1,main!$A$3:$I$102,7,FALSE),main!$K$26:$Q$29,5,FALSE)),1,0)</f>
        <v>0</v>
      </c>
      <c r="AA250">
        <f>IF(AND(VLOOKUP(AA$1,main!$A$3:$H$102,7,FALSE)=main!$G$105,VLOOKUP(AA$1,main!$A$3:$H$102,5,FALSE)-VLOOKUP($A250,main!$A$3:$H$102,6,FALSE)&gt;=main!$D$103+VLOOKUP(VLOOKUP(AA$1,main!$A$3:$I$102,7,FALSE),main!$K$26:$Q$29,5,FALSE)),1,0)</f>
        <v>0</v>
      </c>
      <c r="AB250">
        <f>IF(AND(VLOOKUP(AB$1,main!$A$3:$H$102,7,FALSE)=main!$G$105,VLOOKUP(AB$1,main!$A$3:$H$102,5,FALSE)-VLOOKUP($A250,main!$A$3:$H$102,6,FALSE)&gt;=main!$D$103+VLOOKUP(VLOOKUP(AB$1,main!$A$3:$I$102,7,FALSE),main!$K$26:$Q$29,5,FALSE)),1,0)</f>
        <v>0</v>
      </c>
      <c r="AC250">
        <f>IF(AND(VLOOKUP(AC$1,main!$A$3:$H$102,7,FALSE)=main!$G$105,VLOOKUP(AC$1,main!$A$3:$H$102,5,FALSE)-VLOOKUP($A250,main!$A$3:$H$102,6,FALSE)&gt;=main!$D$103+VLOOKUP(VLOOKUP(AC$1,main!$A$3:$I$102,7,FALSE),main!$K$26:$Q$29,5,FALSE)),1,0)</f>
        <v>0</v>
      </c>
      <c r="AD250">
        <f>IF(AND(VLOOKUP(AD$1,main!$A$3:$H$102,7,FALSE)=main!$G$105,VLOOKUP(AD$1,main!$A$3:$H$102,5,FALSE)-VLOOKUP($A250,main!$A$3:$H$102,6,FALSE)&gt;=main!$D$103+VLOOKUP(VLOOKUP(AD$1,main!$A$3:$I$102,7,FALSE),main!$K$26:$Q$29,5,FALSE)),1,0)</f>
        <v>0</v>
      </c>
      <c r="AE250">
        <f>IF(AND(VLOOKUP(AE$1,main!$A$3:$H$102,7,FALSE)=main!$G$105,VLOOKUP(AE$1,main!$A$3:$H$102,5,FALSE)-VLOOKUP($A250,main!$A$3:$H$102,6,FALSE)&gt;=main!$D$103+VLOOKUP(VLOOKUP(AE$1,main!$A$3:$I$102,7,FALSE),main!$K$26:$Q$29,5,FALSE)),1,0)</f>
        <v>0</v>
      </c>
      <c r="AF250">
        <f>IF(AND(VLOOKUP(AF$1,main!$A$3:$H$102,7,FALSE)=main!$G$105,VLOOKUP(AF$1,main!$A$3:$H$102,5,FALSE)-VLOOKUP($A250,main!$A$3:$H$102,6,FALSE)&gt;=main!$D$103+VLOOKUP(VLOOKUP(AF$1,main!$A$3:$I$102,7,FALSE),main!$K$26:$Q$29,5,FALSE)),1,0)</f>
        <v>0</v>
      </c>
      <c r="AG250">
        <f>IF(AND(VLOOKUP(AG$1,main!$A$3:$H$102,7,FALSE)=main!$G$105,VLOOKUP(AG$1,main!$A$3:$H$102,5,FALSE)-VLOOKUP($A250,main!$A$3:$H$102,6,FALSE)&gt;=main!$D$103+VLOOKUP(VLOOKUP(AG$1,main!$A$3:$I$102,7,FALSE),main!$K$26:$Q$29,5,FALSE)),1,0)</f>
        <v>0</v>
      </c>
      <c r="AH250">
        <f>IF(AND(VLOOKUP(AH$1,main!$A$3:$H$102,7,FALSE)=main!$G$105,VLOOKUP(AH$1,main!$A$3:$H$102,5,FALSE)-VLOOKUP($A250,main!$A$3:$H$102,6,FALSE)&gt;=main!$D$103+VLOOKUP(VLOOKUP(AH$1,main!$A$3:$I$102,7,FALSE),main!$K$26:$Q$29,5,FALSE)),1,0)</f>
        <v>1</v>
      </c>
      <c r="AI250">
        <f>IF(AND(VLOOKUP(AI$1,main!$A$3:$H$102,7,FALSE)=main!$G$105,VLOOKUP(AI$1,main!$A$3:$H$102,5,FALSE)-VLOOKUP($A250,main!$A$3:$H$102,6,FALSE)&gt;=main!$D$103+VLOOKUP(VLOOKUP(AI$1,main!$A$3:$I$102,7,FALSE),main!$K$26:$Q$29,5,FALSE)),1,0)</f>
        <v>1</v>
      </c>
      <c r="AJ250">
        <f>IF(AND(VLOOKUP(AJ$1,main!$A$3:$H$102,7,FALSE)=main!$G$105,VLOOKUP(AJ$1,main!$A$3:$H$102,5,FALSE)-VLOOKUP($A250,main!$A$3:$H$102,6,FALSE)&gt;=main!$D$103+VLOOKUP(VLOOKUP(AJ$1,main!$A$3:$I$102,7,FALSE),main!$K$26:$Q$29,5,FALSE)),1,0)</f>
        <v>1</v>
      </c>
      <c r="AK250">
        <f>IF(AND(VLOOKUP(AK$1,main!$A$3:$H$102,7,FALSE)=main!$G$105,VLOOKUP(AK$1,main!$A$3:$H$102,5,FALSE)-VLOOKUP($A250,main!$A$3:$H$102,6,FALSE)&gt;=main!$D$103+VLOOKUP(VLOOKUP(AK$1,main!$A$3:$I$102,7,FALSE),main!$K$26:$Q$29,5,FALSE)),1,0)</f>
        <v>1</v>
      </c>
      <c r="AL250">
        <f>IF(AND(VLOOKUP(AL$1,main!$A$3:$H$102,7,FALSE)=main!$G$105,VLOOKUP(AL$1,main!$A$3:$H$102,5,FALSE)-VLOOKUP($A250,main!$A$3:$H$102,6,FALSE)&gt;=main!$D$103+VLOOKUP(VLOOKUP(AL$1,main!$A$3:$I$102,7,FALSE),main!$K$26:$Q$29,5,FALSE)),1,0)</f>
        <v>1</v>
      </c>
      <c r="AM250">
        <f>IF(AND(VLOOKUP(AM$1,main!$A$3:$H$102,7,FALSE)=main!$G$105,VLOOKUP(AM$1,main!$A$3:$H$102,5,FALSE)-VLOOKUP($A250,main!$A$3:$H$102,6,FALSE)&gt;=main!$D$103+VLOOKUP(VLOOKUP(AM$1,main!$A$3:$I$102,7,FALSE),main!$K$26:$Q$29,5,FALSE)),1,0)</f>
        <v>1</v>
      </c>
      <c r="AN250">
        <f>IF(AND(VLOOKUP(AN$1,main!$A$3:$H$102,7,FALSE)=main!$G$105,VLOOKUP(AN$1,main!$A$3:$H$102,5,FALSE)-VLOOKUP($A250,main!$A$3:$H$102,6,FALSE)&gt;=main!$D$103+VLOOKUP(VLOOKUP(AN$1,main!$A$3:$I$102,7,FALSE),main!$K$26:$Q$29,5,FALSE)),1,0)</f>
        <v>1</v>
      </c>
      <c r="AO250">
        <f>IF(AND(VLOOKUP(AO$1,main!$A$3:$H$102,7,FALSE)=main!$G$105,VLOOKUP(AO$1,main!$A$3:$H$102,5,FALSE)-VLOOKUP($A250,main!$A$3:$H$102,6,FALSE)&gt;=main!$D$103+VLOOKUP(VLOOKUP(AO$1,main!$A$3:$I$102,7,FALSE),main!$K$26:$Q$29,5,FALSE)),1,0)</f>
        <v>0</v>
      </c>
      <c r="AP250">
        <f>IF(AND(VLOOKUP(AP$1,main!$A$3:$H$102,7,FALSE)=main!$G$105,VLOOKUP(AP$1,main!$A$3:$H$102,5,FALSE)-VLOOKUP($A250,main!$A$3:$H$102,6,FALSE)&gt;=main!$D$103+VLOOKUP(VLOOKUP(AP$1,main!$A$3:$I$102,7,FALSE),main!$K$26:$Q$29,5,FALSE)),1,0)</f>
        <v>1</v>
      </c>
      <c r="AQ250">
        <f>IF(AND(VLOOKUP(AQ$1,main!$A$3:$H$102,7,FALSE)=main!$G$105,VLOOKUP(AQ$1,main!$A$3:$H$102,5,FALSE)-VLOOKUP($A250,main!$A$3:$H$102,6,FALSE)&gt;=main!$D$103+VLOOKUP(VLOOKUP(AQ$1,main!$A$3:$I$102,7,FALSE),main!$K$26:$Q$29,5,FALSE)),1,0)</f>
        <v>0</v>
      </c>
      <c r="AR250">
        <f>IF(AND(VLOOKUP(AR$1,main!$A$3:$H$102,7,FALSE)=main!$G$105,VLOOKUP(AR$1,main!$A$3:$H$102,5,FALSE)-VLOOKUP($A250,main!$A$3:$H$102,6,FALSE)&gt;=main!$D$103+VLOOKUP(VLOOKUP(AR$1,main!$A$3:$I$102,7,FALSE),main!$K$26:$Q$29,5,FALSE)),1,0)</f>
        <v>0</v>
      </c>
      <c r="AS250">
        <f>IF(AND(VLOOKUP(AS$1,main!$A$3:$H$102,7,FALSE)=main!$G$105,VLOOKUP(AS$1,main!$A$3:$H$102,5,FALSE)-VLOOKUP($A250,main!$A$3:$H$102,6,FALSE)&gt;=main!$D$103+VLOOKUP(VLOOKUP(AS$1,main!$A$3:$I$102,7,FALSE),main!$K$26:$Q$29,5,FALSE)),1,0)</f>
        <v>1</v>
      </c>
      <c r="AT250">
        <f>IF(AND(VLOOKUP(AT$1,main!$A$3:$H$102,7,FALSE)=main!$G$105,VLOOKUP(AT$1,main!$A$3:$H$102,5,FALSE)-VLOOKUP($A250,main!$A$3:$H$102,6,FALSE)&gt;=main!$D$103+VLOOKUP(VLOOKUP(AT$1,main!$A$3:$I$102,7,FALSE),main!$K$26:$Q$29,5,FALSE)),1,0)</f>
        <v>1</v>
      </c>
      <c r="AU250">
        <f>IF(AND(VLOOKUP(AU$1,main!$A$3:$H$102,7,FALSE)=main!$G$105,VLOOKUP(AU$1,main!$A$3:$H$102,5,FALSE)-VLOOKUP($A250,main!$A$3:$H$102,6,FALSE)&gt;=main!$D$103+VLOOKUP(VLOOKUP(AU$1,main!$A$3:$I$102,7,FALSE),main!$K$26:$Q$29,5,FALSE)),1,0)</f>
        <v>0</v>
      </c>
      <c r="AV250">
        <f>IF(AND(VLOOKUP(AV$1,main!$A$3:$H$102,7,FALSE)=main!$G$105,VLOOKUP(AV$1,main!$A$3:$H$102,5,FALSE)-VLOOKUP($A250,main!$A$3:$H$102,6,FALSE)&gt;=main!$D$103+VLOOKUP(VLOOKUP(AV$1,main!$A$3:$I$102,7,FALSE),main!$K$26:$Q$29,5,FALSE)),1,0)</f>
        <v>0</v>
      </c>
      <c r="AW250">
        <f>IF(AND(VLOOKUP(AW$1,main!$A$3:$H$102,7,FALSE)=main!$G$105,VLOOKUP(AW$1,main!$A$3:$H$102,5,FALSE)-VLOOKUP($A250,main!$A$3:$H$102,6,FALSE)&gt;=main!$D$103+VLOOKUP(VLOOKUP(AW$1,main!$A$3:$I$102,7,FALSE),main!$K$26:$Q$29,5,FALSE)),1,0)</f>
        <v>1</v>
      </c>
      <c r="AX250">
        <f>IF(AND(VLOOKUP(AX$1,main!$A$3:$H$102,7,FALSE)=main!$G$105,VLOOKUP(AX$1,main!$A$3:$H$102,5,FALSE)-VLOOKUP($A250,main!$A$3:$H$102,6,FALSE)&gt;=main!$D$103+VLOOKUP(VLOOKUP(AX$1,main!$A$3:$I$102,7,FALSE),main!$K$26:$Q$29,5,FALSE)),1,0)</f>
        <v>1</v>
      </c>
      <c r="AY250">
        <f>IF(AND(VLOOKUP(AY$1,main!$A$3:$H$102,7,FALSE)=main!$G$105,VLOOKUP(AY$1,main!$A$3:$H$102,5,FALSE)-VLOOKUP($A250,main!$A$3:$H$102,6,FALSE)&gt;=main!$D$103+VLOOKUP(VLOOKUP(AY$1,main!$A$3:$I$102,7,FALSE),main!$K$26:$Q$29,5,FALSE)),1,0)</f>
        <v>0</v>
      </c>
      <c r="AZ250">
        <f>IF(AND(VLOOKUP(AZ$1,main!$A$3:$H$102,7,FALSE)=main!$G$105,VLOOKUP(AZ$1,main!$A$3:$H$102,5,FALSE)-VLOOKUP($A250,main!$A$3:$H$102,6,FALSE)&gt;=main!$D$103+VLOOKUP(VLOOKUP(AZ$1,main!$A$3:$I$102,7,FALSE),main!$K$26:$Q$29,5,FALSE)),1,0)</f>
        <v>1</v>
      </c>
      <c r="BA250">
        <f>IF(AND(VLOOKUP(BA$1,main!$A$3:$H$102,7,FALSE)=main!$G$105,VLOOKUP(BA$1,main!$A$3:$H$102,5,FALSE)-VLOOKUP($A250,main!$A$3:$H$102,6,FALSE)&gt;=main!$D$103+VLOOKUP(VLOOKUP(BA$1,main!$A$3:$I$102,7,FALSE),main!$K$26:$Q$29,5,FALSE)),1,0)</f>
        <v>0</v>
      </c>
      <c r="BB250">
        <f>IF(AND(VLOOKUP(BB$1,main!$A$3:$H$102,7,FALSE)=main!$G$105,VLOOKUP(BB$1,main!$A$3:$H$102,5,FALSE)-VLOOKUP($A250,main!$A$3:$H$102,6,FALSE)&gt;=main!$D$103+VLOOKUP(VLOOKUP(BB$1,main!$A$3:$I$102,7,FALSE),main!$K$26:$Q$29,5,FALSE)),1,0)</f>
        <v>0</v>
      </c>
      <c r="BC250">
        <f>IF(AND(VLOOKUP(BC$1,main!$A$3:$H$102,7,FALSE)=main!$G$105,VLOOKUP(BC$1,main!$A$3:$H$102,5,FALSE)-VLOOKUP($A250,main!$A$3:$H$102,6,FALSE)&gt;=main!$D$103+VLOOKUP(VLOOKUP(BC$1,main!$A$3:$I$102,7,FALSE),main!$K$26:$Q$29,5,FALSE)),1,0)</f>
        <v>0</v>
      </c>
      <c r="BD250">
        <f>IF(AND(VLOOKUP(BD$1,main!$A$3:$H$102,7,FALSE)=main!$G$105,VLOOKUP(BD$1,main!$A$3:$H$102,5,FALSE)-VLOOKUP($A250,main!$A$3:$H$102,6,FALSE)&gt;=main!$D$103+VLOOKUP(VLOOKUP(BD$1,main!$A$3:$I$102,7,FALSE),main!$K$26:$Q$29,5,FALSE)),1,0)</f>
        <v>0</v>
      </c>
      <c r="BE250">
        <f>IF(AND(VLOOKUP(BE$1,main!$A$3:$H$102,7,FALSE)=main!$G$105,VLOOKUP(BE$1,main!$A$3:$H$102,5,FALSE)-VLOOKUP($A250,main!$A$3:$H$102,6,FALSE)&gt;=main!$D$103+VLOOKUP(VLOOKUP(BE$1,main!$A$3:$I$102,7,FALSE),main!$K$26:$Q$29,5,FALSE)),1,0)</f>
        <v>0</v>
      </c>
      <c r="BF250">
        <f>IF(AND(VLOOKUP(BF$1,main!$A$3:$H$102,7,FALSE)=main!$G$105,VLOOKUP(BF$1,main!$A$3:$H$102,5,FALSE)-VLOOKUP($A250,main!$A$3:$H$102,6,FALSE)&gt;=main!$D$103+VLOOKUP(VLOOKUP(BF$1,main!$A$3:$I$102,7,FALSE),main!$K$26:$Q$29,5,FALSE)),1,0)</f>
        <v>0</v>
      </c>
      <c r="BG250">
        <f>IF(AND(VLOOKUP(BG$1,main!$A$3:$H$102,7,FALSE)=main!$G$105,VLOOKUP(BG$1,main!$A$3:$H$102,5,FALSE)-VLOOKUP($A250,main!$A$3:$H$102,6,FALSE)&gt;=main!$D$103+VLOOKUP(VLOOKUP(BG$1,main!$A$3:$I$102,7,FALSE),main!$K$26:$Q$29,5,FALSE)),1,0)</f>
        <v>0</v>
      </c>
      <c r="BH250">
        <f>IF(AND(VLOOKUP(BH$1,main!$A$3:$H$102,7,FALSE)=main!$G$105,VLOOKUP(BH$1,main!$A$3:$H$102,5,FALSE)-VLOOKUP($A250,main!$A$3:$H$102,6,FALSE)&gt;=main!$D$103+VLOOKUP(VLOOKUP(BH$1,main!$A$3:$I$102,7,FALSE),main!$K$26:$Q$29,5,FALSE)),1,0)</f>
        <v>0</v>
      </c>
      <c r="BI250">
        <f>IF(AND(VLOOKUP(BI$1,main!$A$3:$H$102,7,FALSE)=main!$G$105,VLOOKUP(BI$1,main!$A$3:$H$102,5,FALSE)-VLOOKUP($A250,main!$A$3:$H$102,6,FALSE)&gt;=main!$D$103+VLOOKUP(VLOOKUP(BI$1,main!$A$3:$I$102,7,FALSE),main!$K$26:$Q$29,5,FALSE)),1,0)</f>
        <v>0</v>
      </c>
      <c r="BJ250">
        <f>IF(AND(VLOOKUP(BJ$1,main!$A$3:$H$102,7,FALSE)=main!$G$105,VLOOKUP(BJ$1,main!$A$3:$H$102,5,FALSE)-VLOOKUP($A250,main!$A$3:$H$102,6,FALSE)&gt;=main!$D$103+VLOOKUP(VLOOKUP(BJ$1,main!$A$3:$I$102,7,FALSE),main!$K$26:$Q$29,5,FALSE)),1,0)</f>
        <v>0</v>
      </c>
      <c r="BK250">
        <f>IF(AND(VLOOKUP(BK$1,main!$A$3:$H$102,7,FALSE)=main!$G$105,VLOOKUP(BK$1,main!$A$3:$H$102,5,FALSE)-VLOOKUP($A250,main!$A$3:$H$102,6,FALSE)&gt;=main!$D$103+VLOOKUP(VLOOKUP(BK$1,main!$A$3:$I$102,7,FALSE),main!$K$26:$Q$29,5,FALSE)),1,0)</f>
        <v>0</v>
      </c>
      <c r="BL250">
        <f>IF(AND(VLOOKUP(BL$1,main!$A$3:$H$102,7,FALSE)=main!$G$105,VLOOKUP(BL$1,main!$A$3:$H$102,5,FALSE)-VLOOKUP($A250,main!$A$3:$H$102,6,FALSE)&gt;=main!$D$103+VLOOKUP(VLOOKUP(BL$1,main!$A$3:$I$102,7,FALSE),main!$K$26:$Q$29,5,FALSE)),1,0)</f>
        <v>0</v>
      </c>
      <c r="BM250">
        <f>IF(AND(VLOOKUP(BM$1,main!$A$3:$H$102,7,FALSE)=main!$G$105,VLOOKUP(BM$1,main!$A$3:$H$102,5,FALSE)-VLOOKUP($A250,main!$A$3:$H$102,6,FALSE)&gt;=main!$D$103+VLOOKUP(VLOOKUP(BM$1,main!$A$3:$I$102,7,FALSE),main!$K$26:$Q$29,5,FALSE)),1,0)</f>
        <v>0</v>
      </c>
      <c r="BN250">
        <f>IF(AND(VLOOKUP(BN$1,main!$A$3:$H$102,7,FALSE)=main!$G$105,VLOOKUP(BN$1,main!$A$3:$H$102,5,FALSE)-VLOOKUP($A250,main!$A$3:$H$102,6,FALSE)&gt;=main!$D$103+VLOOKUP(VLOOKUP(BN$1,main!$A$3:$I$102,7,FALSE),main!$K$26:$Q$29,5,FALSE)),1,0)</f>
        <v>0</v>
      </c>
      <c r="BO250">
        <f>IF(AND(VLOOKUP(BO$1,main!$A$3:$H$102,7,FALSE)=main!$G$105,VLOOKUP(BO$1,main!$A$3:$H$102,5,FALSE)-VLOOKUP($A250,main!$A$3:$H$102,6,FALSE)&gt;=main!$D$103+VLOOKUP(VLOOKUP(BO$1,main!$A$3:$I$102,7,FALSE),main!$K$26:$Q$29,5,FALSE)),1,0)</f>
        <v>0</v>
      </c>
      <c r="BP250">
        <f>IF(AND(VLOOKUP(BP$1,main!$A$3:$H$102,7,FALSE)=main!$G$105,VLOOKUP(BP$1,main!$A$3:$H$102,5,FALSE)-VLOOKUP($A250,main!$A$3:$H$102,6,FALSE)&gt;=main!$D$103+VLOOKUP(VLOOKUP(BP$1,main!$A$3:$I$102,7,FALSE),main!$K$26:$Q$29,5,FALSE)),1,0)</f>
        <v>0</v>
      </c>
      <c r="BQ250">
        <f>IF(AND(VLOOKUP(BQ$1,main!$A$3:$H$102,7,FALSE)=main!$G$105,VLOOKUP(BQ$1,main!$A$3:$H$102,5,FALSE)-VLOOKUP($A250,main!$A$3:$H$102,6,FALSE)&gt;=main!$D$103+VLOOKUP(VLOOKUP(BQ$1,main!$A$3:$I$102,7,FALSE),main!$K$26:$Q$29,5,FALSE)),1,0)</f>
        <v>0</v>
      </c>
      <c r="BR250">
        <f>IF(AND(VLOOKUP(BR$1,main!$A$3:$H$102,7,FALSE)=main!$G$105,VLOOKUP(BR$1,main!$A$3:$H$102,5,FALSE)-VLOOKUP($A250,main!$A$3:$H$102,6,FALSE)&gt;=main!$D$103+VLOOKUP(VLOOKUP(BR$1,main!$A$3:$I$102,7,FALSE),main!$K$26:$Q$29,5,FALSE)),1,0)</f>
        <v>0</v>
      </c>
      <c r="BS250">
        <f>IF(AND(VLOOKUP(BS$1,main!$A$3:$H$102,7,FALSE)=main!$G$105,VLOOKUP(BS$1,main!$A$3:$H$102,5,FALSE)-VLOOKUP($A250,main!$A$3:$H$102,6,FALSE)&gt;=main!$D$103+VLOOKUP(VLOOKUP(BS$1,main!$A$3:$I$102,7,FALSE),main!$K$26:$Q$29,5,FALSE)),1,0)</f>
        <v>0</v>
      </c>
      <c r="BT250">
        <f>IF(AND(VLOOKUP(BT$1,main!$A$3:$H$102,7,FALSE)=main!$G$105,VLOOKUP(BT$1,main!$A$3:$H$102,5,FALSE)-VLOOKUP($A250,main!$A$3:$H$102,6,FALSE)&gt;=main!$D$103+VLOOKUP(VLOOKUP(BT$1,main!$A$3:$I$102,7,FALSE),main!$K$26:$Q$29,5,FALSE)),1,0)</f>
        <v>0</v>
      </c>
      <c r="BU250">
        <f>IF(AND(VLOOKUP(BU$1,main!$A$3:$H$102,7,FALSE)=main!$G$105,VLOOKUP(BU$1,main!$A$3:$H$102,5,FALSE)-VLOOKUP($A250,main!$A$3:$H$102,6,FALSE)&gt;=main!$D$103+VLOOKUP(VLOOKUP(BU$1,main!$A$3:$I$102,7,FALSE),main!$K$26:$Q$29,5,FALSE)),1,0)</f>
        <v>0</v>
      </c>
      <c r="BV250">
        <f>IF(AND(VLOOKUP(BV$1,main!$A$3:$H$102,7,FALSE)=main!$G$105,VLOOKUP(BV$1,main!$A$3:$H$102,5,FALSE)-VLOOKUP($A250,main!$A$3:$H$102,6,FALSE)&gt;=main!$D$103+VLOOKUP(VLOOKUP(BV$1,main!$A$3:$I$102,7,FALSE),main!$K$26:$Q$29,5,FALSE)),1,0)</f>
        <v>0</v>
      </c>
      <c r="BW250">
        <f>IF(AND(VLOOKUP(BW$1,main!$A$3:$H$102,7,FALSE)=main!$G$105,VLOOKUP(BW$1,main!$A$3:$H$102,5,FALSE)-VLOOKUP($A250,main!$A$3:$H$102,6,FALSE)&gt;=main!$D$103+VLOOKUP(VLOOKUP(BW$1,main!$A$3:$I$102,7,FALSE),main!$K$26:$Q$29,5,FALSE)),1,0)</f>
        <v>0</v>
      </c>
      <c r="BX250">
        <f>IF(AND(VLOOKUP(BX$1,main!$A$3:$H$102,7,FALSE)=main!$G$105,VLOOKUP(BX$1,main!$A$3:$H$102,5,FALSE)-VLOOKUP($A250,main!$A$3:$H$102,6,FALSE)&gt;=main!$D$103+VLOOKUP(VLOOKUP(BX$1,main!$A$3:$I$102,7,FALSE),main!$K$26:$Q$29,5,FALSE)),1,0)</f>
        <v>0</v>
      </c>
      <c r="BY250">
        <f>IF(AND(VLOOKUP(BY$1,main!$A$3:$H$102,7,FALSE)=main!$G$105,VLOOKUP(BY$1,main!$A$3:$H$102,5,FALSE)-VLOOKUP($A250,main!$A$3:$H$102,6,FALSE)&gt;=main!$D$103+VLOOKUP(VLOOKUP(BY$1,main!$A$3:$I$102,7,FALSE),main!$K$26:$Q$29,5,FALSE)),1,0)</f>
        <v>0</v>
      </c>
      <c r="BZ250">
        <f>IF(AND(VLOOKUP(BZ$1,main!$A$3:$H$102,7,FALSE)=main!$G$105,VLOOKUP(BZ$1,main!$A$3:$H$102,5,FALSE)-VLOOKUP($A250,main!$A$3:$H$102,6,FALSE)&gt;=main!$D$103+VLOOKUP(VLOOKUP(BZ$1,main!$A$3:$I$102,7,FALSE),main!$K$26:$Q$29,5,FALSE)),1,0)</f>
        <v>0</v>
      </c>
      <c r="CA250">
        <f>IF(AND(VLOOKUP(CA$1,main!$A$3:$H$102,7,FALSE)=main!$G$105,VLOOKUP(CA$1,main!$A$3:$H$102,5,FALSE)-VLOOKUP($A250,main!$A$3:$H$102,6,FALSE)&gt;=main!$D$103+VLOOKUP(VLOOKUP(CA$1,main!$A$3:$I$102,7,FALSE),main!$K$26:$Q$29,5,FALSE)),1,0)</f>
        <v>0</v>
      </c>
      <c r="CB250">
        <f>IF(AND(VLOOKUP(CB$1,main!$A$3:$H$102,7,FALSE)=main!$G$105,VLOOKUP(CB$1,main!$A$3:$H$102,5,FALSE)-VLOOKUP($A250,main!$A$3:$H$102,6,FALSE)&gt;=main!$D$103+VLOOKUP(VLOOKUP(CB$1,main!$A$3:$I$102,7,FALSE),main!$K$26:$Q$29,5,FALSE)),1,0)</f>
        <v>0</v>
      </c>
      <c r="CC250">
        <f>IF(AND(VLOOKUP(CC$1,main!$A$3:$H$102,7,FALSE)=main!$G$105,VLOOKUP(CC$1,main!$A$3:$H$102,5,FALSE)-VLOOKUP($A250,main!$A$3:$H$102,6,FALSE)&gt;=main!$D$103+VLOOKUP(VLOOKUP(CC$1,main!$A$3:$I$102,7,FALSE),main!$K$26:$Q$29,5,FALSE)),1,0)</f>
        <v>0</v>
      </c>
      <c r="CD250">
        <f>IF(AND(VLOOKUP(CD$1,main!$A$3:$H$102,7,FALSE)=main!$G$105,VLOOKUP(CD$1,main!$A$3:$H$102,5,FALSE)-VLOOKUP($A250,main!$A$3:$H$102,6,FALSE)&gt;=main!$D$103+VLOOKUP(VLOOKUP(CD$1,main!$A$3:$I$102,7,FALSE),main!$K$26:$Q$29,5,FALSE)),1,0)</f>
        <v>0</v>
      </c>
      <c r="CE250">
        <f>IF(AND(VLOOKUP(CE$1,main!$A$3:$H$102,7,FALSE)=main!$G$105,VLOOKUP(CE$1,main!$A$3:$H$102,5,FALSE)-VLOOKUP($A250,main!$A$3:$H$102,6,FALSE)&gt;=main!$D$103+VLOOKUP(VLOOKUP(CE$1,main!$A$3:$I$102,7,FALSE),main!$K$26:$Q$29,5,FALSE)),1,0)</f>
        <v>0</v>
      </c>
      <c r="CF250">
        <f>IF(AND(VLOOKUP(CF$1,main!$A$3:$H$102,7,FALSE)=main!$G$105,VLOOKUP(CF$1,main!$A$3:$H$102,5,FALSE)-VLOOKUP($A250,main!$A$3:$H$102,6,FALSE)&gt;=main!$D$103+VLOOKUP(VLOOKUP(CF$1,main!$A$3:$I$102,7,FALSE),main!$K$26:$Q$29,5,FALSE)),1,0)</f>
        <v>0</v>
      </c>
      <c r="CG250">
        <f>IF(AND(VLOOKUP(CG$1,main!$A$3:$H$102,7,FALSE)=main!$G$105,VLOOKUP(CG$1,main!$A$3:$H$102,5,FALSE)-VLOOKUP($A250,main!$A$3:$H$102,6,FALSE)&gt;=main!$D$103+VLOOKUP(VLOOKUP(CG$1,main!$A$3:$I$102,7,FALSE),main!$K$26:$Q$29,5,FALSE)),1,0)</f>
        <v>0</v>
      </c>
      <c r="CH250">
        <f>IF(AND(VLOOKUP(CH$1,main!$A$3:$H$102,7,FALSE)=main!$G$105,VLOOKUP(CH$1,main!$A$3:$H$102,5,FALSE)-VLOOKUP($A250,main!$A$3:$H$102,6,FALSE)&gt;=main!$D$103+VLOOKUP(VLOOKUP(CH$1,main!$A$3:$I$102,7,FALSE),main!$K$26:$Q$29,5,FALSE)),1,0)</f>
        <v>0</v>
      </c>
      <c r="CI250">
        <f>IF(AND(VLOOKUP(CI$1,main!$A$3:$H$102,7,FALSE)=main!$G$105,VLOOKUP(CI$1,main!$A$3:$H$102,5,FALSE)-VLOOKUP($A250,main!$A$3:$H$102,6,FALSE)&gt;=main!$D$103+VLOOKUP(VLOOKUP(CI$1,main!$A$3:$I$102,7,FALSE),main!$K$26:$Q$29,5,FALSE)),1,0)</f>
        <v>0</v>
      </c>
      <c r="CJ250">
        <f>IF(AND(VLOOKUP(CJ$1,main!$A$3:$H$102,7,FALSE)=main!$G$105,VLOOKUP(CJ$1,main!$A$3:$H$102,5,FALSE)-VLOOKUP($A250,main!$A$3:$H$102,6,FALSE)&gt;=main!$D$103+VLOOKUP(VLOOKUP(CJ$1,main!$A$3:$I$102,7,FALSE),main!$K$26:$Q$29,5,FALSE)),1,0)</f>
        <v>0</v>
      </c>
      <c r="CK250">
        <f>IF(AND(VLOOKUP(CK$1,main!$A$3:$H$102,7,FALSE)=main!$G$105,VLOOKUP(CK$1,main!$A$3:$H$102,5,FALSE)-VLOOKUP($A250,main!$A$3:$H$102,6,FALSE)&gt;=main!$D$103+VLOOKUP(VLOOKUP(CK$1,main!$A$3:$I$102,7,FALSE),main!$K$26:$Q$29,5,FALSE)),1,0)</f>
        <v>0</v>
      </c>
      <c r="CL250">
        <f>IF(AND(VLOOKUP(CL$1,main!$A$3:$H$102,7,FALSE)=main!$G$105,VLOOKUP(CL$1,main!$A$3:$H$102,5,FALSE)-VLOOKUP($A250,main!$A$3:$H$102,6,FALSE)&gt;=main!$D$103+VLOOKUP(VLOOKUP(CL$1,main!$A$3:$I$102,7,FALSE),main!$K$26:$Q$29,5,FALSE)),1,0)</f>
        <v>0</v>
      </c>
      <c r="CM250">
        <f>IF(AND(VLOOKUP(CM$1,main!$A$3:$H$102,7,FALSE)=main!$G$105,VLOOKUP(CM$1,main!$A$3:$H$102,5,FALSE)-VLOOKUP($A250,main!$A$3:$H$102,6,FALSE)&gt;=main!$D$103+VLOOKUP(VLOOKUP(CM$1,main!$A$3:$I$102,7,FALSE),main!$K$26:$Q$29,5,FALSE)),1,0)</f>
        <v>0</v>
      </c>
      <c r="CN250">
        <f>IF(AND(VLOOKUP(CN$1,main!$A$3:$H$102,7,FALSE)=main!$G$105,VLOOKUP(CN$1,main!$A$3:$H$102,5,FALSE)-VLOOKUP($A250,main!$A$3:$H$102,6,FALSE)&gt;=main!$D$103+VLOOKUP(VLOOKUP(CN$1,main!$A$3:$I$102,7,FALSE),main!$K$26:$Q$29,5,FALSE)),1,0)</f>
        <v>0</v>
      </c>
      <c r="CO250">
        <f>IF(AND(VLOOKUP(CO$1,main!$A$3:$H$102,7,FALSE)=main!$G$105,VLOOKUP(CO$1,main!$A$3:$H$102,5,FALSE)-VLOOKUP($A250,main!$A$3:$H$102,6,FALSE)&gt;=main!$D$103+VLOOKUP(VLOOKUP(CO$1,main!$A$3:$I$102,7,FALSE),main!$K$26:$Q$29,5,FALSE)),1,0)</f>
        <v>0</v>
      </c>
      <c r="CP250">
        <f>IF(AND(VLOOKUP(CP$1,main!$A$3:$H$102,7,FALSE)=main!$G$105,VLOOKUP(CP$1,main!$A$3:$H$102,5,FALSE)-VLOOKUP($A250,main!$A$3:$H$102,6,FALSE)&gt;=main!$D$103+VLOOKUP(VLOOKUP(CP$1,main!$A$3:$I$102,7,FALSE),main!$K$26:$Q$29,5,FALSE)),1,0)</f>
        <v>0</v>
      </c>
      <c r="CQ250">
        <f>IF(AND(VLOOKUP(CQ$1,main!$A$3:$H$102,7,FALSE)=main!$G$105,VLOOKUP(CQ$1,main!$A$3:$H$102,5,FALSE)-VLOOKUP($A250,main!$A$3:$H$102,6,FALSE)&gt;=main!$D$103+VLOOKUP(VLOOKUP(CQ$1,main!$A$3:$I$102,7,FALSE),main!$K$26:$Q$29,5,FALSE)),1,0)</f>
        <v>0</v>
      </c>
      <c r="CR250">
        <f>IF(AND(VLOOKUP(CR$1,main!$A$3:$H$102,7,FALSE)=main!$G$105,VLOOKUP(CR$1,main!$A$3:$H$102,5,FALSE)-VLOOKUP($A250,main!$A$3:$H$102,6,FALSE)&gt;=main!$D$103+VLOOKUP(VLOOKUP(CR$1,main!$A$3:$I$102,7,FALSE),main!$K$26:$Q$29,5,FALSE)),1,0)</f>
        <v>0</v>
      </c>
      <c r="CS250">
        <f>IF(AND(VLOOKUP(CS$1,main!$A$3:$H$102,7,FALSE)=main!$G$105,VLOOKUP(CS$1,main!$A$3:$H$102,5,FALSE)-VLOOKUP($A250,main!$A$3:$H$102,6,FALSE)&gt;=main!$D$103+VLOOKUP(VLOOKUP(CS$1,main!$A$3:$I$102,7,FALSE),main!$K$26:$Q$29,5,FALSE)),1,0)</f>
        <v>0</v>
      </c>
      <c r="CT250">
        <f>IF(AND(VLOOKUP(CT$1,main!$A$3:$H$102,7,FALSE)=main!$G$105,VLOOKUP(CT$1,main!$A$3:$H$102,5,FALSE)-VLOOKUP($A250,main!$A$3:$H$102,6,FALSE)&gt;=main!$D$103+VLOOKUP(VLOOKUP(CT$1,main!$A$3:$I$102,7,FALSE),main!$K$26:$Q$29,5,FALSE)),1,0)</f>
        <v>0</v>
      </c>
      <c r="CU250">
        <f>IF(AND(VLOOKUP(CU$1,main!$A$3:$H$102,7,FALSE)=main!$G$105,VLOOKUP(CU$1,main!$A$3:$H$102,5,FALSE)-VLOOKUP($A250,main!$A$3:$H$102,6,FALSE)&gt;=main!$D$103+VLOOKUP(VLOOKUP(CU$1,main!$A$3:$I$102,7,FALSE),main!$K$26:$Q$29,5,FALSE)),1,0)</f>
        <v>0</v>
      </c>
      <c r="CV250">
        <f>IF(AND(VLOOKUP(CV$1,main!$A$3:$H$102,7,FALSE)=main!$G$105,VLOOKUP(CV$1,main!$A$3:$H$102,5,FALSE)-VLOOKUP($A250,main!$A$3:$H$102,6,FALSE)&gt;=main!$D$103+VLOOKUP(VLOOKUP(CV$1,main!$A$3:$I$102,7,FALSE),main!$K$26:$Q$29,5,FALSE)),1,0)</f>
        <v>0</v>
      </c>
      <c r="CW250">
        <f>IF(AND(VLOOKUP(CW$1,main!$A$3:$H$102,7,FALSE)=main!$G$105,VLOOKUP(CW$1,main!$A$3:$H$102,5,FALSE)-VLOOKUP($A250,main!$A$3:$H$102,6,FALSE)&gt;=main!$D$103+VLOOKUP(VLOOKUP(CW$1,main!$A$3:$I$102,7,FALSE),main!$K$26:$Q$29,5,FALSE)),1,0)</f>
        <v>0</v>
      </c>
      <c r="CX250">
        <f>IF(AND(VLOOKUP(CX$1,main!$A$3:$H$102,7,FALSE)=main!$G$105,VLOOKUP(CX$1,main!$A$3:$H$102,5,FALSE)-VLOOKUP($A250,main!$A$3:$H$102,6,FALSE)&gt;=main!$D$103+VLOOKUP(VLOOKUP(CX$1,main!$A$3:$I$102,7,FALSE),main!$K$26:$Q$29,5,FALSE)),1,0)</f>
        <v>0</v>
      </c>
    </row>
    <row r="251" spans="1:102" x14ac:dyDescent="0.25">
      <c r="A251" s="1">
        <v>47</v>
      </c>
      <c r="B251">
        <v>0</v>
      </c>
      <c r="C251">
        <f>IF(AND(VLOOKUP(C$1,main!$A$3:$H$102,7,FALSE)=main!$G$105,VLOOKUP(C$1,main!$A$3:$H$102,5,FALSE)-VLOOKUP($A251,main!$A$3:$H$102,6,FALSE)&gt;=main!$D$103+VLOOKUP(VLOOKUP(C$1,main!$A$3:$I$102,7,FALSE),main!$K$26:$Q$29,5,FALSE)),1,0)</f>
        <v>0</v>
      </c>
      <c r="D251">
        <f>IF(AND(VLOOKUP(D$1,main!$A$3:$H$102,7,FALSE)=main!$G$105,VLOOKUP(D$1,main!$A$3:$H$102,5,FALSE)-VLOOKUP($A251,main!$A$3:$H$102,6,FALSE)&gt;=main!$D$103+VLOOKUP(VLOOKUP(D$1,main!$A$3:$I$102,7,FALSE),main!$K$26:$Q$29,5,FALSE)),1,0)</f>
        <v>0</v>
      </c>
      <c r="E251">
        <f>IF(AND(VLOOKUP(E$1,main!$A$3:$H$102,7,FALSE)=main!$G$105,VLOOKUP(E$1,main!$A$3:$H$102,5,FALSE)-VLOOKUP($A251,main!$A$3:$H$102,6,FALSE)&gt;=main!$D$103+VLOOKUP(VLOOKUP(E$1,main!$A$3:$I$102,7,FALSE),main!$K$26:$Q$29,5,FALSE)),1,0)</f>
        <v>0</v>
      </c>
      <c r="F251">
        <f>IF(AND(VLOOKUP(F$1,main!$A$3:$H$102,7,FALSE)=main!$G$105,VLOOKUP(F$1,main!$A$3:$H$102,5,FALSE)-VLOOKUP($A251,main!$A$3:$H$102,6,FALSE)&gt;=main!$D$103+VLOOKUP(VLOOKUP(F$1,main!$A$3:$I$102,7,FALSE),main!$K$26:$Q$29,5,FALSE)),1,0)</f>
        <v>0</v>
      </c>
      <c r="G251">
        <f>IF(AND(VLOOKUP(G$1,main!$A$3:$H$102,7,FALSE)=main!$G$105,VLOOKUP(G$1,main!$A$3:$H$102,5,FALSE)-VLOOKUP($A251,main!$A$3:$H$102,6,FALSE)&gt;=main!$D$103+VLOOKUP(VLOOKUP(G$1,main!$A$3:$I$102,7,FALSE),main!$K$26:$Q$29,5,FALSE)),1,0)</f>
        <v>0</v>
      </c>
      <c r="H251">
        <f>IF(AND(VLOOKUP(H$1,main!$A$3:$H$102,7,FALSE)=main!$G$105,VLOOKUP(H$1,main!$A$3:$H$102,5,FALSE)-VLOOKUP($A251,main!$A$3:$H$102,6,FALSE)&gt;=main!$D$103+VLOOKUP(VLOOKUP(H$1,main!$A$3:$I$102,7,FALSE),main!$K$26:$Q$29,5,FALSE)),1,0)</f>
        <v>0</v>
      </c>
      <c r="I251">
        <f>IF(AND(VLOOKUP(I$1,main!$A$3:$H$102,7,FALSE)=main!$G$105,VLOOKUP(I$1,main!$A$3:$H$102,5,FALSE)-VLOOKUP($A251,main!$A$3:$H$102,6,FALSE)&gt;=main!$D$103+VLOOKUP(VLOOKUP(I$1,main!$A$3:$I$102,7,FALSE),main!$K$26:$Q$29,5,FALSE)),1,0)</f>
        <v>0</v>
      </c>
      <c r="J251">
        <f>IF(AND(VLOOKUP(J$1,main!$A$3:$H$102,7,FALSE)=main!$G$105,VLOOKUP(J$1,main!$A$3:$H$102,5,FALSE)-VLOOKUP($A251,main!$A$3:$H$102,6,FALSE)&gt;=main!$D$103+VLOOKUP(VLOOKUP(J$1,main!$A$3:$I$102,7,FALSE),main!$K$26:$Q$29,5,FALSE)),1,0)</f>
        <v>0</v>
      </c>
      <c r="K251">
        <f>IF(AND(VLOOKUP(K$1,main!$A$3:$H$102,7,FALSE)=main!$G$105,VLOOKUP(K$1,main!$A$3:$H$102,5,FALSE)-VLOOKUP($A251,main!$A$3:$H$102,6,FALSE)&gt;=main!$D$103+VLOOKUP(VLOOKUP(K$1,main!$A$3:$I$102,7,FALSE),main!$K$26:$Q$29,5,FALSE)),1,0)</f>
        <v>0</v>
      </c>
      <c r="L251">
        <f>IF(AND(VLOOKUP(L$1,main!$A$3:$H$102,7,FALSE)=main!$G$105,VLOOKUP(L$1,main!$A$3:$H$102,5,FALSE)-VLOOKUP($A251,main!$A$3:$H$102,6,FALSE)&gt;=main!$D$103+VLOOKUP(VLOOKUP(L$1,main!$A$3:$I$102,7,FALSE),main!$K$26:$Q$29,5,FALSE)),1,0)</f>
        <v>0</v>
      </c>
      <c r="M251">
        <f>IF(AND(VLOOKUP(M$1,main!$A$3:$H$102,7,FALSE)=main!$G$105,VLOOKUP(M$1,main!$A$3:$H$102,5,FALSE)-VLOOKUP($A251,main!$A$3:$H$102,6,FALSE)&gt;=main!$D$103+VLOOKUP(VLOOKUP(M$1,main!$A$3:$I$102,7,FALSE),main!$K$26:$Q$29,5,FALSE)),1,0)</f>
        <v>0</v>
      </c>
      <c r="N251">
        <f>IF(AND(VLOOKUP(N$1,main!$A$3:$H$102,7,FALSE)=main!$G$105,VLOOKUP(N$1,main!$A$3:$H$102,5,FALSE)-VLOOKUP($A251,main!$A$3:$H$102,6,FALSE)&gt;=main!$D$103+VLOOKUP(VLOOKUP(N$1,main!$A$3:$I$102,7,FALSE),main!$K$26:$Q$29,5,FALSE)),1,0)</f>
        <v>0</v>
      </c>
      <c r="O251">
        <f>IF(AND(VLOOKUP(O$1,main!$A$3:$H$102,7,FALSE)=main!$G$105,VLOOKUP(O$1,main!$A$3:$H$102,5,FALSE)-VLOOKUP($A251,main!$A$3:$H$102,6,FALSE)&gt;=main!$D$103+VLOOKUP(VLOOKUP(O$1,main!$A$3:$I$102,7,FALSE),main!$K$26:$Q$29,5,FALSE)),1,0)</f>
        <v>0</v>
      </c>
      <c r="P251">
        <f>IF(AND(VLOOKUP(P$1,main!$A$3:$H$102,7,FALSE)=main!$G$105,VLOOKUP(P$1,main!$A$3:$H$102,5,FALSE)-VLOOKUP($A251,main!$A$3:$H$102,6,FALSE)&gt;=main!$D$103+VLOOKUP(VLOOKUP(P$1,main!$A$3:$I$102,7,FALSE),main!$K$26:$Q$29,5,FALSE)),1,0)</f>
        <v>0</v>
      </c>
      <c r="Q251">
        <f>IF(AND(VLOOKUP(Q$1,main!$A$3:$H$102,7,FALSE)=main!$G$105,VLOOKUP(Q$1,main!$A$3:$H$102,5,FALSE)-VLOOKUP($A251,main!$A$3:$H$102,6,FALSE)&gt;=main!$D$103+VLOOKUP(VLOOKUP(Q$1,main!$A$3:$I$102,7,FALSE),main!$K$26:$Q$29,5,FALSE)),1,0)</f>
        <v>0</v>
      </c>
      <c r="R251">
        <f>IF(AND(VLOOKUP(R$1,main!$A$3:$H$102,7,FALSE)=main!$G$105,VLOOKUP(R$1,main!$A$3:$H$102,5,FALSE)-VLOOKUP($A251,main!$A$3:$H$102,6,FALSE)&gt;=main!$D$103+VLOOKUP(VLOOKUP(R$1,main!$A$3:$I$102,7,FALSE),main!$K$26:$Q$29,5,FALSE)),1,0)</f>
        <v>0</v>
      </c>
      <c r="S251">
        <f>IF(AND(VLOOKUP(S$1,main!$A$3:$H$102,7,FALSE)=main!$G$105,VLOOKUP(S$1,main!$A$3:$H$102,5,FALSE)-VLOOKUP($A251,main!$A$3:$H$102,6,FALSE)&gt;=main!$D$103+VLOOKUP(VLOOKUP(S$1,main!$A$3:$I$102,7,FALSE),main!$K$26:$Q$29,5,FALSE)),1,0)</f>
        <v>0</v>
      </c>
      <c r="T251">
        <f>IF(AND(VLOOKUP(T$1,main!$A$3:$H$102,7,FALSE)=main!$G$105,VLOOKUP(T$1,main!$A$3:$H$102,5,FALSE)-VLOOKUP($A251,main!$A$3:$H$102,6,FALSE)&gt;=main!$D$103+VLOOKUP(VLOOKUP(T$1,main!$A$3:$I$102,7,FALSE),main!$K$26:$Q$29,5,FALSE)),1,0)</f>
        <v>0</v>
      </c>
      <c r="U251">
        <f>IF(AND(VLOOKUP(U$1,main!$A$3:$H$102,7,FALSE)=main!$G$105,VLOOKUP(U$1,main!$A$3:$H$102,5,FALSE)-VLOOKUP($A251,main!$A$3:$H$102,6,FALSE)&gt;=main!$D$103+VLOOKUP(VLOOKUP(U$1,main!$A$3:$I$102,7,FALSE),main!$K$26:$Q$29,5,FALSE)),1,0)</f>
        <v>0</v>
      </c>
      <c r="V251">
        <f>IF(AND(VLOOKUP(V$1,main!$A$3:$H$102,7,FALSE)=main!$G$105,VLOOKUP(V$1,main!$A$3:$H$102,5,FALSE)-VLOOKUP($A251,main!$A$3:$H$102,6,FALSE)&gt;=main!$D$103+VLOOKUP(VLOOKUP(V$1,main!$A$3:$I$102,7,FALSE),main!$K$26:$Q$29,5,FALSE)),1,0)</f>
        <v>0</v>
      </c>
      <c r="W251">
        <f>IF(AND(VLOOKUP(W$1,main!$A$3:$H$102,7,FALSE)=main!$G$105,VLOOKUP(W$1,main!$A$3:$H$102,5,FALSE)-VLOOKUP($A251,main!$A$3:$H$102,6,FALSE)&gt;=main!$D$103+VLOOKUP(VLOOKUP(W$1,main!$A$3:$I$102,7,FALSE),main!$K$26:$Q$29,5,FALSE)),1,0)</f>
        <v>0</v>
      </c>
      <c r="X251">
        <f>IF(AND(VLOOKUP(X$1,main!$A$3:$H$102,7,FALSE)=main!$G$105,VLOOKUP(X$1,main!$A$3:$H$102,5,FALSE)-VLOOKUP($A251,main!$A$3:$H$102,6,FALSE)&gt;=main!$D$103+VLOOKUP(VLOOKUP(X$1,main!$A$3:$I$102,7,FALSE),main!$K$26:$Q$29,5,FALSE)),1,0)</f>
        <v>0</v>
      </c>
      <c r="Y251">
        <f>IF(AND(VLOOKUP(Y$1,main!$A$3:$H$102,7,FALSE)=main!$G$105,VLOOKUP(Y$1,main!$A$3:$H$102,5,FALSE)-VLOOKUP($A251,main!$A$3:$H$102,6,FALSE)&gt;=main!$D$103+VLOOKUP(VLOOKUP(Y$1,main!$A$3:$I$102,7,FALSE),main!$K$26:$Q$29,5,FALSE)),1,0)</f>
        <v>0</v>
      </c>
      <c r="Z251">
        <f>IF(AND(VLOOKUP(Z$1,main!$A$3:$H$102,7,FALSE)=main!$G$105,VLOOKUP(Z$1,main!$A$3:$H$102,5,FALSE)-VLOOKUP($A251,main!$A$3:$H$102,6,FALSE)&gt;=main!$D$103+VLOOKUP(VLOOKUP(Z$1,main!$A$3:$I$102,7,FALSE),main!$K$26:$Q$29,5,FALSE)),1,0)</f>
        <v>0</v>
      </c>
      <c r="AA251">
        <f>IF(AND(VLOOKUP(AA$1,main!$A$3:$H$102,7,FALSE)=main!$G$105,VLOOKUP(AA$1,main!$A$3:$H$102,5,FALSE)-VLOOKUP($A251,main!$A$3:$H$102,6,FALSE)&gt;=main!$D$103+VLOOKUP(VLOOKUP(AA$1,main!$A$3:$I$102,7,FALSE),main!$K$26:$Q$29,5,FALSE)),1,0)</f>
        <v>0</v>
      </c>
      <c r="AB251">
        <f>IF(AND(VLOOKUP(AB$1,main!$A$3:$H$102,7,FALSE)=main!$G$105,VLOOKUP(AB$1,main!$A$3:$H$102,5,FALSE)-VLOOKUP($A251,main!$A$3:$H$102,6,FALSE)&gt;=main!$D$103+VLOOKUP(VLOOKUP(AB$1,main!$A$3:$I$102,7,FALSE),main!$K$26:$Q$29,5,FALSE)),1,0)</f>
        <v>0</v>
      </c>
      <c r="AC251">
        <f>IF(AND(VLOOKUP(AC$1,main!$A$3:$H$102,7,FALSE)=main!$G$105,VLOOKUP(AC$1,main!$A$3:$H$102,5,FALSE)-VLOOKUP($A251,main!$A$3:$H$102,6,FALSE)&gt;=main!$D$103+VLOOKUP(VLOOKUP(AC$1,main!$A$3:$I$102,7,FALSE),main!$K$26:$Q$29,5,FALSE)),1,0)</f>
        <v>0</v>
      </c>
      <c r="AD251">
        <f>IF(AND(VLOOKUP(AD$1,main!$A$3:$H$102,7,FALSE)=main!$G$105,VLOOKUP(AD$1,main!$A$3:$H$102,5,FALSE)-VLOOKUP($A251,main!$A$3:$H$102,6,FALSE)&gt;=main!$D$103+VLOOKUP(VLOOKUP(AD$1,main!$A$3:$I$102,7,FALSE),main!$K$26:$Q$29,5,FALSE)),1,0)</f>
        <v>0</v>
      </c>
      <c r="AE251">
        <f>IF(AND(VLOOKUP(AE$1,main!$A$3:$H$102,7,FALSE)=main!$G$105,VLOOKUP(AE$1,main!$A$3:$H$102,5,FALSE)-VLOOKUP($A251,main!$A$3:$H$102,6,FALSE)&gt;=main!$D$103+VLOOKUP(VLOOKUP(AE$1,main!$A$3:$I$102,7,FALSE),main!$K$26:$Q$29,5,FALSE)),1,0)</f>
        <v>0</v>
      </c>
      <c r="AF251">
        <f>IF(AND(VLOOKUP(AF$1,main!$A$3:$H$102,7,FALSE)=main!$G$105,VLOOKUP(AF$1,main!$A$3:$H$102,5,FALSE)-VLOOKUP($A251,main!$A$3:$H$102,6,FALSE)&gt;=main!$D$103+VLOOKUP(VLOOKUP(AF$1,main!$A$3:$I$102,7,FALSE),main!$K$26:$Q$29,5,FALSE)),1,0)</f>
        <v>0</v>
      </c>
      <c r="AG251">
        <f>IF(AND(VLOOKUP(AG$1,main!$A$3:$H$102,7,FALSE)=main!$G$105,VLOOKUP(AG$1,main!$A$3:$H$102,5,FALSE)-VLOOKUP($A251,main!$A$3:$H$102,6,FALSE)&gt;=main!$D$103+VLOOKUP(VLOOKUP(AG$1,main!$A$3:$I$102,7,FALSE),main!$K$26:$Q$29,5,FALSE)),1,0)</f>
        <v>0</v>
      </c>
      <c r="AH251">
        <f>IF(AND(VLOOKUP(AH$1,main!$A$3:$H$102,7,FALSE)=main!$G$105,VLOOKUP(AH$1,main!$A$3:$H$102,5,FALSE)-VLOOKUP($A251,main!$A$3:$H$102,6,FALSE)&gt;=main!$D$103+VLOOKUP(VLOOKUP(AH$1,main!$A$3:$I$102,7,FALSE),main!$K$26:$Q$29,5,FALSE)),1,0)</f>
        <v>0</v>
      </c>
      <c r="AI251">
        <f>IF(AND(VLOOKUP(AI$1,main!$A$3:$H$102,7,FALSE)=main!$G$105,VLOOKUP(AI$1,main!$A$3:$H$102,5,FALSE)-VLOOKUP($A251,main!$A$3:$H$102,6,FALSE)&gt;=main!$D$103+VLOOKUP(VLOOKUP(AI$1,main!$A$3:$I$102,7,FALSE),main!$K$26:$Q$29,5,FALSE)),1,0)</f>
        <v>0</v>
      </c>
      <c r="AJ251">
        <f>IF(AND(VLOOKUP(AJ$1,main!$A$3:$H$102,7,FALSE)=main!$G$105,VLOOKUP(AJ$1,main!$A$3:$H$102,5,FALSE)-VLOOKUP($A251,main!$A$3:$H$102,6,FALSE)&gt;=main!$D$103+VLOOKUP(VLOOKUP(AJ$1,main!$A$3:$I$102,7,FALSE),main!$K$26:$Q$29,5,FALSE)),1,0)</f>
        <v>0</v>
      </c>
      <c r="AK251">
        <f>IF(AND(VLOOKUP(AK$1,main!$A$3:$H$102,7,FALSE)=main!$G$105,VLOOKUP(AK$1,main!$A$3:$H$102,5,FALSE)-VLOOKUP($A251,main!$A$3:$H$102,6,FALSE)&gt;=main!$D$103+VLOOKUP(VLOOKUP(AK$1,main!$A$3:$I$102,7,FALSE),main!$K$26:$Q$29,5,FALSE)),1,0)</f>
        <v>0</v>
      </c>
      <c r="AL251">
        <f>IF(AND(VLOOKUP(AL$1,main!$A$3:$H$102,7,FALSE)=main!$G$105,VLOOKUP(AL$1,main!$A$3:$H$102,5,FALSE)-VLOOKUP($A251,main!$A$3:$H$102,6,FALSE)&gt;=main!$D$103+VLOOKUP(VLOOKUP(AL$1,main!$A$3:$I$102,7,FALSE),main!$K$26:$Q$29,5,FALSE)),1,0)</f>
        <v>0</v>
      </c>
      <c r="AM251">
        <f>IF(AND(VLOOKUP(AM$1,main!$A$3:$H$102,7,FALSE)=main!$G$105,VLOOKUP(AM$1,main!$A$3:$H$102,5,FALSE)-VLOOKUP($A251,main!$A$3:$H$102,6,FALSE)&gt;=main!$D$103+VLOOKUP(VLOOKUP(AM$1,main!$A$3:$I$102,7,FALSE),main!$K$26:$Q$29,5,FALSE)),1,0)</f>
        <v>1</v>
      </c>
      <c r="AN251">
        <f>IF(AND(VLOOKUP(AN$1,main!$A$3:$H$102,7,FALSE)=main!$G$105,VLOOKUP(AN$1,main!$A$3:$H$102,5,FALSE)-VLOOKUP($A251,main!$A$3:$H$102,6,FALSE)&gt;=main!$D$103+VLOOKUP(VLOOKUP(AN$1,main!$A$3:$I$102,7,FALSE),main!$K$26:$Q$29,5,FALSE)),1,0)</f>
        <v>1</v>
      </c>
      <c r="AO251">
        <f>IF(AND(VLOOKUP(AO$1,main!$A$3:$H$102,7,FALSE)=main!$G$105,VLOOKUP(AO$1,main!$A$3:$H$102,5,FALSE)-VLOOKUP($A251,main!$A$3:$H$102,6,FALSE)&gt;=main!$D$103+VLOOKUP(VLOOKUP(AO$1,main!$A$3:$I$102,7,FALSE),main!$K$26:$Q$29,5,FALSE)),1,0)</f>
        <v>0</v>
      </c>
      <c r="AP251">
        <f>IF(AND(VLOOKUP(AP$1,main!$A$3:$H$102,7,FALSE)=main!$G$105,VLOOKUP(AP$1,main!$A$3:$H$102,5,FALSE)-VLOOKUP($A251,main!$A$3:$H$102,6,FALSE)&gt;=main!$D$103+VLOOKUP(VLOOKUP(AP$1,main!$A$3:$I$102,7,FALSE),main!$K$26:$Q$29,5,FALSE)),1,0)</f>
        <v>1</v>
      </c>
      <c r="AQ251">
        <f>IF(AND(VLOOKUP(AQ$1,main!$A$3:$H$102,7,FALSE)=main!$G$105,VLOOKUP(AQ$1,main!$A$3:$H$102,5,FALSE)-VLOOKUP($A251,main!$A$3:$H$102,6,FALSE)&gt;=main!$D$103+VLOOKUP(VLOOKUP(AQ$1,main!$A$3:$I$102,7,FALSE),main!$K$26:$Q$29,5,FALSE)),1,0)</f>
        <v>0</v>
      </c>
      <c r="AR251">
        <f>IF(AND(VLOOKUP(AR$1,main!$A$3:$H$102,7,FALSE)=main!$G$105,VLOOKUP(AR$1,main!$A$3:$H$102,5,FALSE)-VLOOKUP($A251,main!$A$3:$H$102,6,FALSE)&gt;=main!$D$103+VLOOKUP(VLOOKUP(AR$1,main!$A$3:$I$102,7,FALSE),main!$K$26:$Q$29,5,FALSE)),1,0)</f>
        <v>0</v>
      </c>
      <c r="AS251">
        <f>IF(AND(VLOOKUP(AS$1,main!$A$3:$H$102,7,FALSE)=main!$G$105,VLOOKUP(AS$1,main!$A$3:$H$102,5,FALSE)-VLOOKUP($A251,main!$A$3:$H$102,6,FALSE)&gt;=main!$D$103+VLOOKUP(VLOOKUP(AS$1,main!$A$3:$I$102,7,FALSE),main!$K$26:$Q$29,5,FALSE)),1,0)</f>
        <v>0</v>
      </c>
      <c r="AT251">
        <f>IF(AND(VLOOKUP(AT$1,main!$A$3:$H$102,7,FALSE)=main!$G$105,VLOOKUP(AT$1,main!$A$3:$H$102,5,FALSE)-VLOOKUP($A251,main!$A$3:$H$102,6,FALSE)&gt;=main!$D$103+VLOOKUP(VLOOKUP(AT$1,main!$A$3:$I$102,7,FALSE),main!$K$26:$Q$29,5,FALSE)),1,0)</f>
        <v>0</v>
      </c>
      <c r="AU251">
        <f>IF(AND(VLOOKUP(AU$1,main!$A$3:$H$102,7,FALSE)=main!$G$105,VLOOKUP(AU$1,main!$A$3:$H$102,5,FALSE)-VLOOKUP($A251,main!$A$3:$H$102,6,FALSE)&gt;=main!$D$103+VLOOKUP(VLOOKUP(AU$1,main!$A$3:$I$102,7,FALSE),main!$K$26:$Q$29,5,FALSE)),1,0)</f>
        <v>0</v>
      </c>
      <c r="AV251">
        <f>IF(AND(VLOOKUP(AV$1,main!$A$3:$H$102,7,FALSE)=main!$G$105,VLOOKUP(AV$1,main!$A$3:$H$102,5,FALSE)-VLOOKUP($A251,main!$A$3:$H$102,6,FALSE)&gt;=main!$D$103+VLOOKUP(VLOOKUP(AV$1,main!$A$3:$I$102,7,FALSE),main!$K$26:$Q$29,5,FALSE)),1,0)</f>
        <v>0</v>
      </c>
      <c r="AW251">
        <f>IF(AND(VLOOKUP(AW$1,main!$A$3:$H$102,7,FALSE)=main!$G$105,VLOOKUP(AW$1,main!$A$3:$H$102,5,FALSE)-VLOOKUP($A251,main!$A$3:$H$102,6,FALSE)&gt;=main!$D$103+VLOOKUP(VLOOKUP(AW$1,main!$A$3:$I$102,7,FALSE),main!$K$26:$Q$29,5,FALSE)),1,0)</f>
        <v>0</v>
      </c>
      <c r="AX251">
        <f>IF(AND(VLOOKUP(AX$1,main!$A$3:$H$102,7,FALSE)=main!$G$105,VLOOKUP(AX$1,main!$A$3:$H$102,5,FALSE)-VLOOKUP($A251,main!$A$3:$H$102,6,FALSE)&gt;=main!$D$103+VLOOKUP(VLOOKUP(AX$1,main!$A$3:$I$102,7,FALSE),main!$K$26:$Q$29,5,FALSE)),1,0)</f>
        <v>0</v>
      </c>
      <c r="AY251">
        <f>IF(AND(VLOOKUP(AY$1,main!$A$3:$H$102,7,FALSE)=main!$G$105,VLOOKUP(AY$1,main!$A$3:$H$102,5,FALSE)-VLOOKUP($A251,main!$A$3:$H$102,6,FALSE)&gt;=main!$D$103+VLOOKUP(VLOOKUP(AY$1,main!$A$3:$I$102,7,FALSE),main!$K$26:$Q$29,5,FALSE)),1,0)</f>
        <v>0</v>
      </c>
      <c r="AZ251">
        <f>IF(AND(VLOOKUP(AZ$1,main!$A$3:$H$102,7,FALSE)=main!$G$105,VLOOKUP(AZ$1,main!$A$3:$H$102,5,FALSE)-VLOOKUP($A251,main!$A$3:$H$102,6,FALSE)&gt;=main!$D$103+VLOOKUP(VLOOKUP(AZ$1,main!$A$3:$I$102,7,FALSE),main!$K$26:$Q$29,5,FALSE)),1,0)</f>
        <v>0</v>
      </c>
      <c r="BA251">
        <f>IF(AND(VLOOKUP(BA$1,main!$A$3:$H$102,7,FALSE)=main!$G$105,VLOOKUP(BA$1,main!$A$3:$H$102,5,FALSE)-VLOOKUP($A251,main!$A$3:$H$102,6,FALSE)&gt;=main!$D$103+VLOOKUP(VLOOKUP(BA$1,main!$A$3:$I$102,7,FALSE),main!$K$26:$Q$29,5,FALSE)),1,0)</f>
        <v>0</v>
      </c>
      <c r="BB251">
        <f>IF(AND(VLOOKUP(BB$1,main!$A$3:$H$102,7,FALSE)=main!$G$105,VLOOKUP(BB$1,main!$A$3:$H$102,5,FALSE)-VLOOKUP($A251,main!$A$3:$H$102,6,FALSE)&gt;=main!$D$103+VLOOKUP(VLOOKUP(BB$1,main!$A$3:$I$102,7,FALSE),main!$K$26:$Q$29,5,FALSE)),1,0)</f>
        <v>0</v>
      </c>
      <c r="BC251">
        <f>IF(AND(VLOOKUP(BC$1,main!$A$3:$H$102,7,FALSE)=main!$G$105,VLOOKUP(BC$1,main!$A$3:$H$102,5,FALSE)-VLOOKUP($A251,main!$A$3:$H$102,6,FALSE)&gt;=main!$D$103+VLOOKUP(VLOOKUP(BC$1,main!$A$3:$I$102,7,FALSE),main!$K$26:$Q$29,5,FALSE)),1,0)</f>
        <v>0</v>
      </c>
      <c r="BD251">
        <f>IF(AND(VLOOKUP(BD$1,main!$A$3:$H$102,7,FALSE)=main!$G$105,VLOOKUP(BD$1,main!$A$3:$H$102,5,FALSE)-VLOOKUP($A251,main!$A$3:$H$102,6,FALSE)&gt;=main!$D$103+VLOOKUP(VLOOKUP(BD$1,main!$A$3:$I$102,7,FALSE),main!$K$26:$Q$29,5,FALSE)),1,0)</f>
        <v>0</v>
      </c>
      <c r="BE251">
        <f>IF(AND(VLOOKUP(BE$1,main!$A$3:$H$102,7,FALSE)=main!$G$105,VLOOKUP(BE$1,main!$A$3:$H$102,5,FALSE)-VLOOKUP($A251,main!$A$3:$H$102,6,FALSE)&gt;=main!$D$103+VLOOKUP(VLOOKUP(BE$1,main!$A$3:$I$102,7,FALSE),main!$K$26:$Q$29,5,FALSE)),1,0)</f>
        <v>0</v>
      </c>
      <c r="BF251">
        <f>IF(AND(VLOOKUP(BF$1,main!$A$3:$H$102,7,FALSE)=main!$G$105,VLOOKUP(BF$1,main!$A$3:$H$102,5,FALSE)-VLOOKUP($A251,main!$A$3:$H$102,6,FALSE)&gt;=main!$D$103+VLOOKUP(VLOOKUP(BF$1,main!$A$3:$I$102,7,FALSE),main!$K$26:$Q$29,5,FALSE)),1,0)</f>
        <v>0</v>
      </c>
      <c r="BG251">
        <f>IF(AND(VLOOKUP(BG$1,main!$A$3:$H$102,7,FALSE)=main!$G$105,VLOOKUP(BG$1,main!$A$3:$H$102,5,FALSE)-VLOOKUP($A251,main!$A$3:$H$102,6,FALSE)&gt;=main!$D$103+VLOOKUP(VLOOKUP(BG$1,main!$A$3:$I$102,7,FALSE),main!$K$26:$Q$29,5,FALSE)),1,0)</f>
        <v>0</v>
      </c>
      <c r="BH251">
        <f>IF(AND(VLOOKUP(BH$1,main!$A$3:$H$102,7,FALSE)=main!$G$105,VLOOKUP(BH$1,main!$A$3:$H$102,5,FALSE)-VLOOKUP($A251,main!$A$3:$H$102,6,FALSE)&gt;=main!$D$103+VLOOKUP(VLOOKUP(BH$1,main!$A$3:$I$102,7,FALSE),main!$K$26:$Q$29,5,FALSE)),1,0)</f>
        <v>0</v>
      </c>
      <c r="BI251">
        <f>IF(AND(VLOOKUP(BI$1,main!$A$3:$H$102,7,FALSE)=main!$G$105,VLOOKUP(BI$1,main!$A$3:$H$102,5,FALSE)-VLOOKUP($A251,main!$A$3:$H$102,6,FALSE)&gt;=main!$D$103+VLOOKUP(VLOOKUP(BI$1,main!$A$3:$I$102,7,FALSE),main!$K$26:$Q$29,5,FALSE)),1,0)</f>
        <v>0</v>
      </c>
      <c r="BJ251">
        <f>IF(AND(VLOOKUP(BJ$1,main!$A$3:$H$102,7,FALSE)=main!$G$105,VLOOKUP(BJ$1,main!$A$3:$H$102,5,FALSE)-VLOOKUP($A251,main!$A$3:$H$102,6,FALSE)&gt;=main!$D$103+VLOOKUP(VLOOKUP(BJ$1,main!$A$3:$I$102,7,FALSE),main!$K$26:$Q$29,5,FALSE)),1,0)</f>
        <v>0</v>
      </c>
      <c r="BK251">
        <f>IF(AND(VLOOKUP(BK$1,main!$A$3:$H$102,7,FALSE)=main!$G$105,VLOOKUP(BK$1,main!$A$3:$H$102,5,FALSE)-VLOOKUP($A251,main!$A$3:$H$102,6,FALSE)&gt;=main!$D$103+VLOOKUP(VLOOKUP(BK$1,main!$A$3:$I$102,7,FALSE),main!$K$26:$Q$29,5,FALSE)),1,0)</f>
        <v>0</v>
      </c>
      <c r="BL251">
        <f>IF(AND(VLOOKUP(BL$1,main!$A$3:$H$102,7,FALSE)=main!$G$105,VLOOKUP(BL$1,main!$A$3:$H$102,5,FALSE)-VLOOKUP($A251,main!$A$3:$H$102,6,FALSE)&gt;=main!$D$103+VLOOKUP(VLOOKUP(BL$1,main!$A$3:$I$102,7,FALSE),main!$K$26:$Q$29,5,FALSE)),1,0)</f>
        <v>0</v>
      </c>
      <c r="BM251">
        <f>IF(AND(VLOOKUP(BM$1,main!$A$3:$H$102,7,FALSE)=main!$G$105,VLOOKUP(BM$1,main!$A$3:$H$102,5,FALSE)-VLOOKUP($A251,main!$A$3:$H$102,6,FALSE)&gt;=main!$D$103+VLOOKUP(VLOOKUP(BM$1,main!$A$3:$I$102,7,FALSE),main!$K$26:$Q$29,5,FALSE)),1,0)</f>
        <v>0</v>
      </c>
      <c r="BN251">
        <f>IF(AND(VLOOKUP(BN$1,main!$A$3:$H$102,7,FALSE)=main!$G$105,VLOOKUP(BN$1,main!$A$3:$H$102,5,FALSE)-VLOOKUP($A251,main!$A$3:$H$102,6,FALSE)&gt;=main!$D$103+VLOOKUP(VLOOKUP(BN$1,main!$A$3:$I$102,7,FALSE),main!$K$26:$Q$29,5,FALSE)),1,0)</f>
        <v>0</v>
      </c>
      <c r="BO251">
        <f>IF(AND(VLOOKUP(BO$1,main!$A$3:$H$102,7,FALSE)=main!$G$105,VLOOKUP(BO$1,main!$A$3:$H$102,5,FALSE)-VLOOKUP($A251,main!$A$3:$H$102,6,FALSE)&gt;=main!$D$103+VLOOKUP(VLOOKUP(BO$1,main!$A$3:$I$102,7,FALSE),main!$K$26:$Q$29,5,FALSE)),1,0)</f>
        <v>0</v>
      </c>
      <c r="BP251">
        <f>IF(AND(VLOOKUP(BP$1,main!$A$3:$H$102,7,FALSE)=main!$G$105,VLOOKUP(BP$1,main!$A$3:$H$102,5,FALSE)-VLOOKUP($A251,main!$A$3:$H$102,6,FALSE)&gt;=main!$D$103+VLOOKUP(VLOOKUP(BP$1,main!$A$3:$I$102,7,FALSE),main!$K$26:$Q$29,5,FALSE)),1,0)</f>
        <v>0</v>
      </c>
      <c r="BQ251">
        <f>IF(AND(VLOOKUP(BQ$1,main!$A$3:$H$102,7,FALSE)=main!$G$105,VLOOKUP(BQ$1,main!$A$3:$H$102,5,FALSE)-VLOOKUP($A251,main!$A$3:$H$102,6,FALSE)&gt;=main!$D$103+VLOOKUP(VLOOKUP(BQ$1,main!$A$3:$I$102,7,FALSE),main!$K$26:$Q$29,5,FALSE)),1,0)</f>
        <v>0</v>
      </c>
      <c r="BR251">
        <f>IF(AND(VLOOKUP(BR$1,main!$A$3:$H$102,7,FALSE)=main!$G$105,VLOOKUP(BR$1,main!$A$3:$H$102,5,FALSE)-VLOOKUP($A251,main!$A$3:$H$102,6,FALSE)&gt;=main!$D$103+VLOOKUP(VLOOKUP(BR$1,main!$A$3:$I$102,7,FALSE),main!$K$26:$Q$29,5,FALSE)),1,0)</f>
        <v>0</v>
      </c>
      <c r="BS251">
        <f>IF(AND(VLOOKUP(BS$1,main!$A$3:$H$102,7,FALSE)=main!$G$105,VLOOKUP(BS$1,main!$A$3:$H$102,5,FALSE)-VLOOKUP($A251,main!$A$3:$H$102,6,FALSE)&gt;=main!$D$103+VLOOKUP(VLOOKUP(BS$1,main!$A$3:$I$102,7,FALSE),main!$K$26:$Q$29,5,FALSE)),1,0)</f>
        <v>0</v>
      </c>
      <c r="BT251">
        <f>IF(AND(VLOOKUP(BT$1,main!$A$3:$H$102,7,FALSE)=main!$G$105,VLOOKUP(BT$1,main!$A$3:$H$102,5,FALSE)-VLOOKUP($A251,main!$A$3:$H$102,6,FALSE)&gt;=main!$D$103+VLOOKUP(VLOOKUP(BT$1,main!$A$3:$I$102,7,FALSE),main!$K$26:$Q$29,5,FALSE)),1,0)</f>
        <v>0</v>
      </c>
      <c r="BU251">
        <f>IF(AND(VLOOKUP(BU$1,main!$A$3:$H$102,7,FALSE)=main!$G$105,VLOOKUP(BU$1,main!$A$3:$H$102,5,FALSE)-VLOOKUP($A251,main!$A$3:$H$102,6,FALSE)&gt;=main!$D$103+VLOOKUP(VLOOKUP(BU$1,main!$A$3:$I$102,7,FALSE),main!$K$26:$Q$29,5,FALSE)),1,0)</f>
        <v>0</v>
      </c>
      <c r="BV251">
        <f>IF(AND(VLOOKUP(BV$1,main!$A$3:$H$102,7,FALSE)=main!$G$105,VLOOKUP(BV$1,main!$A$3:$H$102,5,FALSE)-VLOOKUP($A251,main!$A$3:$H$102,6,FALSE)&gt;=main!$D$103+VLOOKUP(VLOOKUP(BV$1,main!$A$3:$I$102,7,FALSE),main!$K$26:$Q$29,5,FALSE)),1,0)</f>
        <v>0</v>
      </c>
      <c r="BW251">
        <f>IF(AND(VLOOKUP(BW$1,main!$A$3:$H$102,7,FALSE)=main!$G$105,VLOOKUP(BW$1,main!$A$3:$H$102,5,FALSE)-VLOOKUP($A251,main!$A$3:$H$102,6,FALSE)&gt;=main!$D$103+VLOOKUP(VLOOKUP(BW$1,main!$A$3:$I$102,7,FALSE),main!$K$26:$Q$29,5,FALSE)),1,0)</f>
        <v>0</v>
      </c>
      <c r="BX251">
        <f>IF(AND(VLOOKUP(BX$1,main!$A$3:$H$102,7,FALSE)=main!$G$105,VLOOKUP(BX$1,main!$A$3:$H$102,5,FALSE)-VLOOKUP($A251,main!$A$3:$H$102,6,FALSE)&gt;=main!$D$103+VLOOKUP(VLOOKUP(BX$1,main!$A$3:$I$102,7,FALSE),main!$K$26:$Q$29,5,FALSE)),1,0)</f>
        <v>0</v>
      </c>
      <c r="BY251">
        <f>IF(AND(VLOOKUP(BY$1,main!$A$3:$H$102,7,FALSE)=main!$G$105,VLOOKUP(BY$1,main!$A$3:$H$102,5,FALSE)-VLOOKUP($A251,main!$A$3:$H$102,6,FALSE)&gt;=main!$D$103+VLOOKUP(VLOOKUP(BY$1,main!$A$3:$I$102,7,FALSE),main!$K$26:$Q$29,5,FALSE)),1,0)</f>
        <v>0</v>
      </c>
      <c r="BZ251">
        <f>IF(AND(VLOOKUP(BZ$1,main!$A$3:$H$102,7,FALSE)=main!$G$105,VLOOKUP(BZ$1,main!$A$3:$H$102,5,FALSE)-VLOOKUP($A251,main!$A$3:$H$102,6,FALSE)&gt;=main!$D$103+VLOOKUP(VLOOKUP(BZ$1,main!$A$3:$I$102,7,FALSE),main!$K$26:$Q$29,5,FALSE)),1,0)</f>
        <v>0</v>
      </c>
      <c r="CA251">
        <f>IF(AND(VLOOKUP(CA$1,main!$A$3:$H$102,7,FALSE)=main!$G$105,VLOOKUP(CA$1,main!$A$3:$H$102,5,FALSE)-VLOOKUP($A251,main!$A$3:$H$102,6,FALSE)&gt;=main!$D$103+VLOOKUP(VLOOKUP(CA$1,main!$A$3:$I$102,7,FALSE),main!$K$26:$Q$29,5,FALSE)),1,0)</f>
        <v>0</v>
      </c>
      <c r="CB251">
        <f>IF(AND(VLOOKUP(CB$1,main!$A$3:$H$102,7,FALSE)=main!$G$105,VLOOKUP(CB$1,main!$A$3:$H$102,5,FALSE)-VLOOKUP($A251,main!$A$3:$H$102,6,FALSE)&gt;=main!$D$103+VLOOKUP(VLOOKUP(CB$1,main!$A$3:$I$102,7,FALSE),main!$K$26:$Q$29,5,FALSE)),1,0)</f>
        <v>0</v>
      </c>
      <c r="CC251">
        <f>IF(AND(VLOOKUP(CC$1,main!$A$3:$H$102,7,FALSE)=main!$G$105,VLOOKUP(CC$1,main!$A$3:$H$102,5,FALSE)-VLOOKUP($A251,main!$A$3:$H$102,6,FALSE)&gt;=main!$D$103+VLOOKUP(VLOOKUP(CC$1,main!$A$3:$I$102,7,FALSE),main!$K$26:$Q$29,5,FALSE)),1,0)</f>
        <v>0</v>
      </c>
      <c r="CD251">
        <f>IF(AND(VLOOKUP(CD$1,main!$A$3:$H$102,7,FALSE)=main!$G$105,VLOOKUP(CD$1,main!$A$3:$H$102,5,FALSE)-VLOOKUP($A251,main!$A$3:$H$102,6,FALSE)&gt;=main!$D$103+VLOOKUP(VLOOKUP(CD$1,main!$A$3:$I$102,7,FALSE),main!$K$26:$Q$29,5,FALSE)),1,0)</f>
        <v>0</v>
      </c>
      <c r="CE251">
        <f>IF(AND(VLOOKUP(CE$1,main!$A$3:$H$102,7,FALSE)=main!$G$105,VLOOKUP(CE$1,main!$A$3:$H$102,5,FALSE)-VLOOKUP($A251,main!$A$3:$H$102,6,FALSE)&gt;=main!$D$103+VLOOKUP(VLOOKUP(CE$1,main!$A$3:$I$102,7,FALSE),main!$K$26:$Q$29,5,FALSE)),1,0)</f>
        <v>0</v>
      </c>
      <c r="CF251">
        <f>IF(AND(VLOOKUP(CF$1,main!$A$3:$H$102,7,FALSE)=main!$G$105,VLOOKUP(CF$1,main!$A$3:$H$102,5,FALSE)-VLOOKUP($A251,main!$A$3:$H$102,6,FALSE)&gt;=main!$D$103+VLOOKUP(VLOOKUP(CF$1,main!$A$3:$I$102,7,FALSE),main!$K$26:$Q$29,5,FALSE)),1,0)</f>
        <v>0</v>
      </c>
      <c r="CG251">
        <f>IF(AND(VLOOKUP(CG$1,main!$A$3:$H$102,7,FALSE)=main!$G$105,VLOOKUP(CG$1,main!$A$3:$H$102,5,FALSE)-VLOOKUP($A251,main!$A$3:$H$102,6,FALSE)&gt;=main!$D$103+VLOOKUP(VLOOKUP(CG$1,main!$A$3:$I$102,7,FALSE),main!$K$26:$Q$29,5,FALSE)),1,0)</f>
        <v>0</v>
      </c>
      <c r="CH251">
        <f>IF(AND(VLOOKUP(CH$1,main!$A$3:$H$102,7,FALSE)=main!$G$105,VLOOKUP(CH$1,main!$A$3:$H$102,5,FALSE)-VLOOKUP($A251,main!$A$3:$H$102,6,FALSE)&gt;=main!$D$103+VLOOKUP(VLOOKUP(CH$1,main!$A$3:$I$102,7,FALSE),main!$K$26:$Q$29,5,FALSE)),1,0)</f>
        <v>0</v>
      </c>
      <c r="CI251">
        <f>IF(AND(VLOOKUP(CI$1,main!$A$3:$H$102,7,FALSE)=main!$G$105,VLOOKUP(CI$1,main!$A$3:$H$102,5,FALSE)-VLOOKUP($A251,main!$A$3:$H$102,6,FALSE)&gt;=main!$D$103+VLOOKUP(VLOOKUP(CI$1,main!$A$3:$I$102,7,FALSE),main!$K$26:$Q$29,5,FALSE)),1,0)</f>
        <v>0</v>
      </c>
      <c r="CJ251">
        <f>IF(AND(VLOOKUP(CJ$1,main!$A$3:$H$102,7,FALSE)=main!$G$105,VLOOKUP(CJ$1,main!$A$3:$H$102,5,FALSE)-VLOOKUP($A251,main!$A$3:$H$102,6,FALSE)&gt;=main!$D$103+VLOOKUP(VLOOKUP(CJ$1,main!$A$3:$I$102,7,FALSE),main!$K$26:$Q$29,5,FALSE)),1,0)</f>
        <v>0</v>
      </c>
      <c r="CK251">
        <f>IF(AND(VLOOKUP(CK$1,main!$A$3:$H$102,7,FALSE)=main!$G$105,VLOOKUP(CK$1,main!$A$3:$H$102,5,FALSE)-VLOOKUP($A251,main!$A$3:$H$102,6,FALSE)&gt;=main!$D$103+VLOOKUP(VLOOKUP(CK$1,main!$A$3:$I$102,7,FALSE),main!$K$26:$Q$29,5,FALSE)),1,0)</f>
        <v>0</v>
      </c>
      <c r="CL251">
        <f>IF(AND(VLOOKUP(CL$1,main!$A$3:$H$102,7,FALSE)=main!$G$105,VLOOKUP(CL$1,main!$A$3:$H$102,5,FALSE)-VLOOKUP($A251,main!$A$3:$H$102,6,FALSE)&gt;=main!$D$103+VLOOKUP(VLOOKUP(CL$1,main!$A$3:$I$102,7,FALSE),main!$K$26:$Q$29,5,FALSE)),1,0)</f>
        <v>0</v>
      </c>
      <c r="CM251">
        <f>IF(AND(VLOOKUP(CM$1,main!$A$3:$H$102,7,FALSE)=main!$G$105,VLOOKUP(CM$1,main!$A$3:$H$102,5,FALSE)-VLOOKUP($A251,main!$A$3:$H$102,6,FALSE)&gt;=main!$D$103+VLOOKUP(VLOOKUP(CM$1,main!$A$3:$I$102,7,FALSE),main!$K$26:$Q$29,5,FALSE)),1,0)</f>
        <v>0</v>
      </c>
      <c r="CN251">
        <f>IF(AND(VLOOKUP(CN$1,main!$A$3:$H$102,7,FALSE)=main!$G$105,VLOOKUP(CN$1,main!$A$3:$H$102,5,FALSE)-VLOOKUP($A251,main!$A$3:$H$102,6,FALSE)&gt;=main!$D$103+VLOOKUP(VLOOKUP(CN$1,main!$A$3:$I$102,7,FALSE),main!$K$26:$Q$29,5,FALSE)),1,0)</f>
        <v>0</v>
      </c>
      <c r="CO251">
        <f>IF(AND(VLOOKUP(CO$1,main!$A$3:$H$102,7,FALSE)=main!$G$105,VLOOKUP(CO$1,main!$A$3:$H$102,5,FALSE)-VLOOKUP($A251,main!$A$3:$H$102,6,FALSE)&gt;=main!$D$103+VLOOKUP(VLOOKUP(CO$1,main!$A$3:$I$102,7,FALSE),main!$K$26:$Q$29,5,FALSE)),1,0)</f>
        <v>0</v>
      </c>
      <c r="CP251">
        <f>IF(AND(VLOOKUP(CP$1,main!$A$3:$H$102,7,FALSE)=main!$G$105,VLOOKUP(CP$1,main!$A$3:$H$102,5,FALSE)-VLOOKUP($A251,main!$A$3:$H$102,6,FALSE)&gt;=main!$D$103+VLOOKUP(VLOOKUP(CP$1,main!$A$3:$I$102,7,FALSE),main!$K$26:$Q$29,5,FALSE)),1,0)</f>
        <v>0</v>
      </c>
      <c r="CQ251">
        <f>IF(AND(VLOOKUP(CQ$1,main!$A$3:$H$102,7,FALSE)=main!$G$105,VLOOKUP(CQ$1,main!$A$3:$H$102,5,FALSE)-VLOOKUP($A251,main!$A$3:$H$102,6,FALSE)&gt;=main!$D$103+VLOOKUP(VLOOKUP(CQ$1,main!$A$3:$I$102,7,FALSE),main!$K$26:$Q$29,5,FALSE)),1,0)</f>
        <v>0</v>
      </c>
      <c r="CR251">
        <f>IF(AND(VLOOKUP(CR$1,main!$A$3:$H$102,7,FALSE)=main!$G$105,VLOOKUP(CR$1,main!$A$3:$H$102,5,FALSE)-VLOOKUP($A251,main!$A$3:$H$102,6,FALSE)&gt;=main!$D$103+VLOOKUP(VLOOKUP(CR$1,main!$A$3:$I$102,7,FALSE),main!$K$26:$Q$29,5,FALSE)),1,0)</f>
        <v>0</v>
      </c>
      <c r="CS251">
        <f>IF(AND(VLOOKUP(CS$1,main!$A$3:$H$102,7,FALSE)=main!$G$105,VLOOKUP(CS$1,main!$A$3:$H$102,5,FALSE)-VLOOKUP($A251,main!$A$3:$H$102,6,FALSE)&gt;=main!$D$103+VLOOKUP(VLOOKUP(CS$1,main!$A$3:$I$102,7,FALSE),main!$K$26:$Q$29,5,FALSE)),1,0)</f>
        <v>0</v>
      </c>
      <c r="CT251">
        <f>IF(AND(VLOOKUP(CT$1,main!$A$3:$H$102,7,FALSE)=main!$G$105,VLOOKUP(CT$1,main!$A$3:$H$102,5,FALSE)-VLOOKUP($A251,main!$A$3:$H$102,6,FALSE)&gt;=main!$D$103+VLOOKUP(VLOOKUP(CT$1,main!$A$3:$I$102,7,FALSE),main!$K$26:$Q$29,5,FALSE)),1,0)</f>
        <v>0</v>
      </c>
      <c r="CU251">
        <f>IF(AND(VLOOKUP(CU$1,main!$A$3:$H$102,7,FALSE)=main!$G$105,VLOOKUP(CU$1,main!$A$3:$H$102,5,FALSE)-VLOOKUP($A251,main!$A$3:$H$102,6,FALSE)&gt;=main!$D$103+VLOOKUP(VLOOKUP(CU$1,main!$A$3:$I$102,7,FALSE),main!$K$26:$Q$29,5,FALSE)),1,0)</f>
        <v>0</v>
      </c>
      <c r="CV251">
        <f>IF(AND(VLOOKUP(CV$1,main!$A$3:$H$102,7,FALSE)=main!$G$105,VLOOKUP(CV$1,main!$A$3:$H$102,5,FALSE)-VLOOKUP($A251,main!$A$3:$H$102,6,FALSE)&gt;=main!$D$103+VLOOKUP(VLOOKUP(CV$1,main!$A$3:$I$102,7,FALSE),main!$K$26:$Q$29,5,FALSE)),1,0)</f>
        <v>0</v>
      </c>
      <c r="CW251">
        <f>IF(AND(VLOOKUP(CW$1,main!$A$3:$H$102,7,FALSE)=main!$G$105,VLOOKUP(CW$1,main!$A$3:$H$102,5,FALSE)-VLOOKUP($A251,main!$A$3:$H$102,6,FALSE)&gt;=main!$D$103+VLOOKUP(VLOOKUP(CW$1,main!$A$3:$I$102,7,FALSE),main!$K$26:$Q$29,5,FALSE)),1,0)</f>
        <v>0</v>
      </c>
      <c r="CX251">
        <f>IF(AND(VLOOKUP(CX$1,main!$A$3:$H$102,7,FALSE)=main!$G$105,VLOOKUP(CX$1,main!$A$3:$H$102,5,FALSE)-VLOOKUP($A251,main!$A$3:$H$102,6,FALSE)&gt;=main!$D$103+VLOOKUP(VLOOKUP(CX$1,main!$A$3:$I$102,7,FALSE),main!$K$26:$Q$29,5,FALSE)),1,0)</f>
        <v>0</v>
      </c>
    </row>
    <row r="252" spans="1:102" x14ac:dyDescent="0.25">
      <c r="A252" s="1">
        <v>48</v>
      </c>
      <c r="B252">
        <v>0</v>
      </c>
      <c r="C252">
        <f>IF(AND(VLOOKUP(C$1,main!$A$3:$H$102,7,FALSE)=main!$G$105,VLOOKUP(C$1,main!$A$3:$H$102,5,FALSE)-VLOOKUP($A252,main!$A$3:$H$102,6,FALSE)&gt;=main!$D$103+VLOOKUP(VLOOKUP(C$1,main!$A$3:$I$102,7,FALSE),main!$K$26:$Q$29,5,FALSE)),1,0)</f>
        <v>0</v>
      </c>
      <c r="D252">
        <f>IF(AND(VLOOKUP(D$1,main!$A$3:$H$102,7,FALSE)=main!$G$105,VLOOKUP(D$1,main!$A$3:$H$102,5,FALSE)-VLOOKUP($A252,main!$A$3:$H$102,6,FALSE)&gt;=main!$D$103+VLOOKUP(VLOOKUP(D$1,main!$A$3:$I$102,7,FALSE),main!$K$26:$Q$29,5,FALSE)),1,0)</f>
        <v>0</v>
      </c>
      <c r="E252">
        <f>IF(AND(VLOOKUP(E$1,main!$A$3:$H$102,7,FALSE)=main!$G$105,VLOOKUP(E$1,main!$A$3:$H$102,5,FALSE)-VLOOKUP($A252,main!$A$3:$H$102,6,FALSE)&gt;=main!$D$103+VLOOKUP(VLOOKUP(E$1,main!$A$3:$I$102,7,FALSE),main!$K$26:$Q$29,5,FALSE)),1,0)</f>
        <v>0</v>
      </c>
      <c r="F252">
        <f>IF(AND(VLOOKUP(F$1,main!$A$3:$H$102,7,FALSE)=main!$G$105,VLOOKUP(F$1,main!$A$3:$H$102,5,FALSE)-VLOOKUP($A252,main!$A$3:$H$102,6,FALSE)&gt;=main!$D$103+VLOOKUP(VLOOKUP(F$1,main!$A$3:$I$102,7,FALSE),main!$K$26:$Q$29,5,FALSE)),1,0)</f>
        <v>0</v>
      </c>
      <c r="G252">
        <f>IF(AND(VLOOKUP(G$1,main!$A$3:$H$102,7,FALSE)=main!$G$105,VLOOKUP(G$1,main!$A$3:$H$102,5,FALSE)-VLOOKUP($A252,main!$A$3:$H$102,6,FALSE)&gt;=main!$D$103+VLOOKUP(VLOOKUP(G$1,main!$A$3:$I$102,7,FALSE),main!$K$26:$Q$29,5,FALSE)),1,0)</f>
        <v>0</v>
      </c>
      <c r="H252">
        <f>IF(AND(VLOOKUP(H$1,main!$A$3:$H$102,7,FALSE)=main!$G$105,VLOOKUP(H$1,main!$A$3:$H$102,5,FALSE)-VLOOKUP($A252,main!$A$3:$H$102,6,FALSE)&gt;=main!$D$103+VLOOKUP(VLOOKUP(H$1,main!$A$3:$I$102,7,FALSE),main!$K$26:$Q$29,5,FALSE)),1,0)</f>
        <v>0</v>
      </c>
      <c r="I252">
        <f>IF(AND(VLOOKUP(I$1,main!$A$3:$H$102,7,FALSE)=main!$G$105,VLOOKUP(I$1,main!$A$3:$H$102,5,FALSE)-VLOOKUP($A252,main!$A$3:$H$102,6,FALSE)&gt;=main!$D$103+VLOOKUP(VLOOKUP(I$1,main!$A$3:$I$102,7,FALSE),main!$K$26:$Q$29,5,FALSE)),1,0)</f>
        <v>0</v>
      </c>
      <c r="J252">
        <f>IF(AND(VLOOKUP(J$1,main!$A$3:$H$102,7,FALSE)=main!$G$105,VLOOKUP(J$1,main!$A$3:$H$102,5,FALSE)-VLOOKUP($A252,main!$A$3:$H$102,6,FALSE)&gt;=main!$D$103+VLOOKUP(VLOOKUP(J$1,main!$A$3:$I$102,7,FALSE),main!$K$26:$Q$29,5,FALSE)),1,0)</f>
        <v>0</v>
      </c>
      <c r="K252">
        <f>IF(AND(VLOOKUP(K$1,main!$A$3:$H$102,7,FALSE)=main!$G$105,VLOOKUP(K$1,main!$A$3:$H$102,5,FALSE)-VLOOKUP($A252,main!$A$3:$H$102,6,FALSE)&gt;=main!$D$103+VLOOKUP(VLOOKUP(K$1,main!$A$3:$I$102,7,FALSE),main!$K$26:$Q$29,5,FALSE)),1,0)</f>
        <v>0</v>
      </c>
      <c r="L252">
        <f>IF(AND(VLOOKUP(L$1,main!$A$3:$H$102,7,FALSE)=main!$G$105,VLOOKUP(L$1,main!$A$3:$H$102,5,FALSE)-VLOOKUP($A252,main!$A$3:$H$102,6,FALSE)&gt;=main!$D$103+VLOOKUP(VLOOKUP(L$1,main!$A$3:$I$102,7,FALSE),main!$K$26:$Q$29,5,FALSE)),1,0)</f>
        <v>0</v>
      </c>
      <c r="M252">
        <f>IF(AND(VLOOKUP(M$1,main!$A$3:$H$102,7,FALSE)=main!$G$105,VLOOKUP(M$1,main!$A$3:$H$102,5,FALSE)-VLOOKUP($A252,main!$A$3:$H$102,6,FALSE)&gt;=main!$D$103+VLOOKUP(VLOOKUP(M$1,main!$A$3:$I$102,7,FALSE),main!$K$26:$Q$29,5,FALSE)),1,0)</f>
        <v>0</v>
      </c>
      <c r="N252">
        <f>IF(AND(VLOOKUP(N$1,main!$A$3:$H$102,7,FALSE)=main!$G$105,VLOOKUP(N$1,main!$A$3:$H$102,5,FALSE)-VLOOKUP($A252,main!$A$3:$H$102,6,FALSE)&gt;=main!$D$103+VLOOKUP(VLOOKUP(N$1,main!$A$3:$I$102,7,FALSE),main!$K$26:$Q$29,5,FALSE)),1,0)</f>
        <v>0</v>
      </c>
      <c r="O252">
        <f>IF(AND(VLOOKUP(O$1,main!$A$3:$H$102,7,FALSE)=main!$G$105,VLOOKUP(O$1,main!$A$3:$H$102,5,FALSE)-VLOOKUP($A252,main!$A$3:$H$102,6,FALSE)&gt;=main!$D$103+VLOOKUP(VLOOKUP(O$1,main!$A$3:$I$102,7,FALSE),main!$K$26:$Q$29,5,FALSE)),1,0)</f>
        <v>0</v>
      </c>
      <c r="P252">
        <f>IF(AND(VLOOKUP(P$1,main!$A$3:$H$102,7,FALSE)=main!$G$105,VLOOKUP(P$1,main!$A$3:$H$102,5,FALSE)-VLOOKUP($A252,main!$A$3:$H$102,6,FALSE)&gt;=main!$D$103+VLOOKUP(VLOOKUP(P$1,main!$A$3:$I$102,7,FALSE),main!$K$26:$Q$29,5,FALSE)),1,0)</f>
        <v>0</v>
      </c>
      <c r="Q252">
        <f>IF(AND(VLOOKUP(Q$1,main!$A$3:$H$102,7,FALSE)=main!$G$105,VLOOKUP(Q$1,main!$A$3:$H$102,5,FALSE)-VLOOKUP($A252,main!$A$3:$H$102,6,FALSE)&gt;=main!$D$103+VLOOKUP(VLOOKUP(Q$1,main!$A$3:$I$102,7,FALSE),main!$K$26:$Q$29,5,FALSE)),1,0)</f>
        <v>0</v>
      </c>
      <c r="R252">
        <f>IF(AND(VLOOKUP(R$1,main!$A$3:$H$102,7,FALSE)=main!$G$105,VLOOKUP(R$1,main!$A$3:$H$102,5,FALSE)-VLOOKUP($A252,main!$A$3:$H$102,6,FALSE)&gt;=main!$D$103+VLOOKUP(VLOOKUP(R$1,main!$A$3:$I$102,7,FALSE),main!$K$26:$Q$29,5,FALSE)),1,0)</f>
        <v>0</v>
      </c>
      <c r="S252">
        <f>IF(AND(VLOOKUP(S$1,main!$A$3:$H$102,7,FALSE)=main!$G$105,VLOOKUP(S$1,main!$A$3:$H$102,5,FALSE)-VLOOKUP($A252,main!$A$3:$H$102,6,FALSE)&gt;=main!$D$103+VLOOKUP(VLOOKUP(S$1,main!$A$3:$I$102,7,FALSE),main!$K$26:$Q$29,5,FALSE)),1,0)</f>
        <v>0</v>
      </c>
      <c r="T252">
        <f>IF(AND(VLOOKUP(T$1,main!$A$3:$H$102,7,FALSE)=main!$G$105,VLOOKUP(T$1,main!$A$3:$H$102,5,FALSE)-VLOOKUP($A252,main!$A$3:$H$102,6,FALSE)&gt;=main!$D$103+VLOOKUP(VLOOKUP(T$1,main!$A$3:$I$102,7,FALSE),main!$K$26:$Q$29,5,FALSE)),1,0)</f>
        <v>0</v>
      </c>
      <c r="U252">
        <f>IF(AND(VLOOKUP(U$1,main!$A$3:$H$102,7,FALSE)=main!$G$105,VLOOKUP(U$1,main!$A$3:$H$102,5,FALSE)-VLOOKUP($A252,main!$A$3:$H$102,6,FALSE)&gt;=main!$D$103+VLOOKUP(VLOOKUP(U$1,main!$A$3:$I$102,7,FALSE),main!$K$26:$Q$29,5,FALSE)),1,0)</f>
        <v>0</v>
      </c>
      <c r="V252">
        <f>IF(AND(VLOOKUP(V$1,main!$A$3:$H$102,7,FALSE)=main!$G$105,VLOOKUP(V$1,main!$A$3:$H$102,5,FALSE)-VLOOKUP($A252,main!$A$3:$H$102,6,FALSE)&gt;=main!$D$103+VLOOKUP(VLOOKUP(V$1,main!$A$3:$I$102,7,FALSE),main!$K$26:$Q$29,5,FALSE)),1,0)</f>
        <v>0</v>
      </c>
      <c r="W252">
        <f>IF(AND(VLOOKUP(W$1,main!$A$3:$H$102,7,FALSE)=main!$G$105,VLOOKUP(W$1,main!$A$3:$H$102,5,FALSE)-VLOOKUP($A252,main!$A$3:$H$102,6,FALSE)&gt;=main!$D$103+VLOOKUP(VLOOKUP(W$1,main!$A$3:$I$102,7,FALSE),main!$K$26:$Q$29,5,FALSE)),1,0)</f>
        <v>0</v>
      </c>
      <c r="X252">
        <f>IF(AND(VLOOKUP(X$1,main!$A$3:$H$102,7,FALSE)=main!$G$105,VLOOKUP(X$1,main!$A$3:$H$102,5,FALSE)-VLOOKUP($A252,main!$A$3:$H$102,6,FALSE)&gt;=main!$D$103+VLOOKUP(VLOOKUP(X$1,main!$A$3:$I$102,7,FALSE),main!$K$26:$Q$29,5,FALSE)),1,0)</f>
        <v>0</v>
      </c>
      <c r="Y252">
        <f>IF(AND(VLOOKUP(Y$1,main!$A$3:$H$102,7,FALSE)=main!$G$105,VLOOKUP(Y$1,main!$A$3:$H$102,5,FALSE)-VLOOKUP($A252,main!$A$3:$H$102,6,FALSE)&gt;=main!$D$103+VLOOKUP(VLOOKUP(Y$1,main!$A$3:$I$102,7,FALSE),main!$K$26:$Q$29,5,FALSE)),1,0)</f>
        <v>0</v>
      </c>
      <c r="Z252">
        <f>IF(AND(VLOOKUP(Z$1,main!$A$3:$H$102,7,FALSE)=main!$G$105,VLOOKUP(Z$1,main!$A$3:$H$102,5,FALSE)-VLOOKUP($A252,main!$A$3:$H$102,6,FALSE)&gt;=main!$D$103+VLOOKUP(VLOOKUP(Z$1,main!$A$3:$I$102,7,FALSE),main!$K$26:$Q$29,5,FALSE)),1,0)</f>
        <v>0</v>
      </c>
      <c r="AA252">
        <f>IF(AND(VLOOKUP(AA$1,main!$A$3:$H$102,7,FALSE)=main!$G$105,VLOOKUP(AA$1,main!$A$3:$H$102,5,FALSE)-VLOOKUP($A252,main!$A$3:$H$102,6,FALSE)&gt;=main!$D$103+VLOOKUP(VLOOKUP(AA$1,main!$A$3:$I$102,7,FALSE),main!$K$26:$Q$29,5,FALSE)),1,0)</f>
        <v>0</v>
      </c>
      <c r="AB252">
        <f>IF(AND(VLOOKUP(AB$1,main!$A$3:$H$102,7,FALSE)=main!$G$105,VLOOKUP(AB$1,main!$A$3:$H$102,5,FALSE)-VLOOKUP($A252,main!$A$3:$H$102,6,FALSE)&gt;=main!$D$103+VLOOKUP(VLOOKUP(AB$1,main!$A$3:$I$102,7,FALSE),main!$K$26:$Q$29,5,FALSE)),1,0)</f>
        <v>0</v>
      </c>
      <c r="AC252">
        <f>IF(AND(VLOOKUP(AC$1,main!$A$3:$H$102,7,FALSE)=main!$G$105,VLOOKUP(AC$1,main!$A$3:$H$102,5,FALSE)-VLOOKUP($A252,main!$A$3:$H$102,6,FALSE)&gt;=main!$D$103+VLOOKUP(VLOOKUP(AC$1,main!$A$3:$I$102,7,FALSE),main!$K$26:$Q$29,5,FALSE)),1,0)</f>
        <v>0</v>
      </c>
      <c r="AD252">
        <f>IF(AND(VLOOKUP(AD$1,main!$A$3:$H$102,7,FALSE)=main!$G$105,VLOOKUP(AD$1,main!$A$3:$H$102,5,FALSE)-VLOOKUP($A252,main!$A$3:$H$102,6,FALSE)&gt;=main!$D$103+VLOOKUP(VLOOKUP(AD$1,main!$A$3:$I$102,7,FALSE),main!$K$26:$Q$29,5,FALSE)),1,0)</f>
        <v>0</v>
      </c>
      <c r="AE252">
        <f>IF(AND(VLOOKUP(AE$1,main!$A$3:$H$102,7,FALSE)=main!$G$105,VLOOKUP(AE$1,main!$A$3:$H$102,5,FALSE)-VLOOKUP($A252,main!$A$3:$H$102,6,FALSE)&gt;=main!$D$103+VLOOKUP(VLOOKUP(AE$1,main!$A$3:$I$102,7,FALSE),main!$K$26:$Q$29,5,FALSE)),1,0)</f>
        <v>0</v>
      </c>
      <c r="AF252">
        <f>IF(AND(VLOOKUP(AF$1,main!$A$3:$H$102,7,FALSE)=main!$G$105,VLOOKUP(AF$1,main!$A$3:$H$102,5,FALSE)-VLOOKUP($A252,main!$A$3:$H$102,6,FALSE)&gt;=main!$D$103+VLOOKUP(VLOOKUP(AF$1,main!$A$3:$I$102,7,FALSE),main!$K$26:$Q$29,5,FALSE)),1,0)</f>
        <v>0</v>
      </c>
      <c r="AG252">
        <f>IF(AND(VLOOKUP(AG$1,main!$A$3:$H$102,7,FALSE)=main!$G$105,VLOOKUP(AG$1,main!$A$3:$H$102,5,FALSE)-VLOOKUP($A252,main!$A$3:$H$102,6,FALSE)&gt;=main!$D$103+VLOOKUP(VLOOKUP(AG$1,main!$A$3:$I$102,7,FALSE),main!$K$26:$Q$29,5,FALSE)),1,0)</f>
        <v>0</v>
      </c>
      <c r="AH252">
        <f>IF(AND(VLOOKUP(AH$1,main!$A$3:$H$102,7,FALSE)=main!$G$105,VLOOKUP(AH$1,main!$A$3:$H$102,5,FALSE)-VLOOKUP($A252,main!$A$3:$H$102,6,FALSE)&gt;=main!$D$103+VLOOKUP(VLOOKUP(AH$1,main!$A$3:$I$102,7,FALSE),main!$K$26:$Q$29,5,FALSE)),1,0)</f>
        <v>0</v>
      </c>
      <c r="AI252">
        <f>IF(AND(VLOOKUP(AI$1,main!$A$3:$H$102,7,FALSE)=main!$G$105,VLOOKUP(AI$1,main!$A$3:$H$102,5,FALSE)-VLOOKUP($A252,main!$A$3:$H$102,6,FALSE)&gt;=main!$D$103+VLOOKUP(VLOOKUP(AI$1,main!$A$3:$I$102,7,FALSE),main!$K$26:$Q$29,5,FALSE)),1,0)</f>
        <v>0</v>
      </c>
      <c r="AJ252">
        <f>IF(AND(VLOOKUP(AJ$1,main!$A$3:$H$102,7,FALSE)=main!$G$105,VLOOKUP(AJ$1,main!$A$3:$H$102,5,FALSE)-VLOOKUP($A252,main!$A$3:$H$102,6,FALSE)&gt;=main!$D$103+VLOOKUP(VLOOKUP(AJ$1,main!$A$3:$I$102,7,FALSE),main!$K$26:$Q$29,5,FALSE)),1,0)</f>
        <v>0</v>
      </c>
      <c r="AK252">
        <f>IF(AND(VLOOKUP(AK$1,main!$A$3:$H$102,7,FALSE)=main!$G$105,VLOOKUP(AK$1,main!$A$3:$H$102,5,FALSE)-VLOOKUP($A252,main!$A$3:$H$102,6,FALSE)&gt;=main!$D$103+VLOOKUP(VLOOKUP(AK$1,main!$A$3:$I$102,7,FALSE),main!$K$26:$Q$29,5,FALSE)),1,0)</f>
        <v>0</v>
      </c>
      <c r="AL252">
        <f>IF(AND(VLOOKUP(AL$1,main!$A$3:$H$102,7,FALSE)=main!$G$105,VLOOKUP(AL$1,main!$A$3:$H$102,5,FALSE)-VLOOKUP($A252,main!$A$3:$H$102,6,FALSE)&gt;=main!$D$103+VLOOKUP(VLOOKUP(AL$1,main!$A$3:$I$102,7,FALSE),main!$K$26:$Q$29,5,FALSE)),1,0)</f>
        <v>1</v>
      </c>
      <c r="AM252">
        <f>IF(AND(VLOOKUP(AM$1,main!$A$3:$H$102,7,FALSE)=main!$G$105,VLOOKUP(AM$1,main!$A$3:$H$102,5,FALSE)-VLOOKUP($A252,main!$A$3:$H$102,6,FALSE)&gt;=main!$D$103+VLOOKUP(VLOOKUP(AM$1,main!$A$3:$I$102,7,FALSE),main!$K$26:$Q$29,5,FALSE)),1,0)</f>
        <v>1</v>
      </c>
      <c r="AN252">
        <f>IF(AND(VLOOKUP(AN$1,main!$A$3:$H$102,7,FALSE)=main!$G$105,VLOOKUP(AN$1,main!$A$3:$H$102,5,FALSE)-VLOOKUP($A252,main!$A$3:$H$102,6,FALSE)&gt;=main!$D$103+VLOOKUP(VLOOKUP(AN$1,main!$A$3:$I$102,7,FALSE),main!$K$26:$Q$29,5,FALSE)),1,0)</f>
        <v>1</v>
      </c>
      <c r="AO252">
        <f>IF(AND(VLOOKUP(AO$1,main!$A$3:$H$102,7,FALSE)=main!$G$105,VLOOKUP(AO$1,main!$A$3:$H$102,5,FALSE)-VLOOKUP($A252,main!$A$3:$H$102,6,FALSE)&gt;=main!$D$103+VLOOKUP(VLOOKUP(AO$1,main!$A$3:$I$102,7,FALSE),main!$K$26:$Q$29,5,FALSE)),1,0)</f>
        <v>0</v>
      </c>
      <c r="AP252">
        <f>IF(AND(VLOOKUP(AP$1,main!$A$3:$H$102,7,FALSE)=main!$G$105,VLOOKUP(AP$1,main!$A$3:$H$102,5,FALSE)-VLOOKUP($A252,main!$A$3:$H$102,6,FALSE)&gt;=main!$D$103+VLOOKUP(VLOOKUP(AP$1,main!$A$3:$I$102,7,FALSE),main!$K$26:$Q$29,5,FALSE)),1,0)</f>
        <v>1</v>
      </c>
      <c r="AQ252">
        <f>IF(AND(VLOOKUP(AQ$1,main!$A$3:$H$102,7,FALSE)=main!$G$105,VLOOKUP(AQ$1,main!$A$3:$H$102,5,FALSE)-VLOOKUP($A252,main!$A$3:$H$102,6,FALSE)&gt;=main!$D$103+VLOOKUP(VLOOKUP(AQ$1,main!$A$3:$I$102,7,FALSE),main!$K$26:$Q$29,5,FALSE)),1,0)</f>
        <v>0</v>
      </c>
      <c r="AR252">
        <f>IF(AND(VLOOKUP(AR$1,main!$A$3:$H$102,7,FALSE)=main!$G$105,VLOOKUP(AR$1,main!$A$3:$H$102,5,FALSE)-VLOOKUP($A252,main!$A$3:$H$102,6,FALSE)&gt;=main!$D$103+VLOOKUP(VLOOKUP(AR$1,main!$A$3:$I$102,7,FALSE),main!$K$26:$Q$29,5,FALSE)),1,0)</f>
        <v>0</v>
      </c>
      <c r="AS252">
        <f>IF(AND(VLOOKUP(AS$1,main!$A$3:$H$102,7,FALSE)=main!$G$105,VLOOKUP(AS$1,main!$A$3:$H$102,5,FALSE)-VLOOKUP($A252,main!$A$3:$H$102,6,FALSE)&gt;=main!$D$103+VLOOKUP(VLOOKUP(AS$1,main!$A$3:$I$102,7,FALSE),main!$K$26:$Q$29,5,FALSE)),1,0)</f>
        <v>0</v>
      </c>
      <c r="AT252">
        <f>IF(AND(VLOOKUP(AT$1,main!$A$3:$H$102,7,FALSE)=main!$G$105,VLOOKUP(AT$1,main!$A$3:$H$102,5,FALSE)-VLOOKUP($A252,main!$A$3:$H$102,6,FALSE)&gt;=main!$D$103+VLOOKUP(VLOOKUP(AT$1,main!$A$3:$I$102,7,FALSE),main!$K$26:$Q$29,5,FALSE)),1,0)</f>
        <v>1</v>
      </c>
      <c r="AU252">
        <f>IF(AND(VLOOKUP(AU$1,main!$A$3:$H$102,7,FALSE)=main!$G$105,VLOOKUP(AU$1,main!$A$3:$H$102,5,FALSE)-VLOOKUP($A252,main!$A$3:$H$102,6,FALSE)&gt;=main!$D$103+VLOOKUP(VLOOKUP(AU$1,main!$A$3:$I$102,7,FALSE),main!$K$26:$Q$29,5,FALSE)),1,0)</f>
        <v>0</v>
      </c>
      <c r="AV252">
        <f>IF(AND(VLOOKUP(AV$1,main!$A$3:$H$102,7,FALSE)=main!$G$105,VLOOKUP(AV$1,main!$A$3:$H$102,5,FALSE)-VLOOKUP($A252,main!$A$3:$H$102,6,FALSE)&gt;=main!$D$103+VLOOKUP(VLOOKUP(AV$1,main!$A$3:$I$102,7,FALSE),main!$K$26:$Q$29,5,FALSE)),1,0)</f>
        <v>0</v>
      </c>
      <c r="AW252">
        <f>IF(AND(VLOOKUP(AW$1,main!$A$3:$H$102,7,FALSE)=main!$G$105,VLOOKUP(AW$1,main!$A$3:$H$102,5,FALSE)-VLOOKUP($A252,main!$A$3:$H$102,6,FALSE)&gt;=main!$D$103+VLOOKUP(VLOOKUP(AW$1,main!$A$3:$I$102,7,FALSE),main!$K$26:$Q$29,5,FALSE)),1,0)</f>
        <v>0</v>
      </c>
      <c r="AX252">
        <f>IF(AND(VLOOKUP(AX$1,main!$A$3:$H$102,7,FALSE)=main!$G$105,VLOOKUP(AX$1,main!$A$3:$H$102,5,FALSE)-VLOOKUP($A252,main!$A$3:$H$102,6,FALSE)&gt;=main!$D$103+VLOOKUP(VLOOKUP(AX$1,main!$A$3:$I$102,7,FALSE),main!$K$26:$Q$29,5,FALSE)),1,0)</f>
        <v>0</v>
      </c>
      <c r="AY252">
        <f>IF(AND(VLOOKUP(AY$1,main!$A$3:$H$102,7,FALSE)=main!$G$105,VLOOKUP(AY$1,main!$A$3:$H$102,5,FALSE)-VLOOKUP($A252,main!$A$3:$H$102,6,FALSE)&gt;=main!$D$103+VLOOKUP(VLOOKUP(AY$1,main!$A$3:$I$102,7,FALSE),main!$K$26:$Q$29,5,FALSE)),1,0)</f>
        <v>0</v>
      </c>
      <c r="AZ252">
        <f>IF(AND(VLOOKUP(AZ$1,main!$A$3:$H$102,7,FALSE)=main!$G$105,VLOOKUP(AZ$1,main!$A$3:$H$102,5,FALSE)-VLOOKUP($A252,main!$A$3:$H$102,6,FALSE)&gt;=main!$D$103+VLOOKUP(VLOOKUP(AZ$1,main!$A$3:$I$102,7,FALSE),main!$K$26:$Q$29,5,FALSE)),1,0)</f>
        <v>0</v>
      </c>
      <c r="BA252">
        <f>IF(AND(VLOOKUP(BA$1,main!$A$3:$H$102,7,FALSE)=main!$G$105,VLOOKUP(BA$1,main!$A$3:$H$102,5,FALSE)-VLOOKUP($A252,main!$A$3:$H$102,6,FALSE)&gt;=main!$D$103+VLOOKUP(VLOOKUP(BA$1,main!$A$3:$I$102,7,FALSE),main!$K$26:$Q$29,5,FALSE)),1,0)</f>
        <v>0</v>
      </c>
      <c r="BB252">
        <f>IF(AND(VLOOKUP(BB$1,main!$A$3:$H$102,7,FALSE)=main!$G$105,VLOOKUP(BB$1,main!$A$3:$H$102,5,FALSE)-VLOOKUP($A252,main!$A$3:$H$102,6,FALSE)&gt;=main!$D$103+VLOOKUP(VLOOKUP(BB$1,main!$A$3:$I$102,7,FALSE),main!$K$26:$Q$29,5,FALSE)),1,0)</f>
        <v>0</v>
      </c>
      <c r="BC252">
        <f>IF(AND(VLOOKUP(BC$1,main!$A$3:$H$102,7,FALSE)=main!$G$105,VLOOKUP(BC$1,main!$A$3:$H$102,5,FALSE)-VLOOKUP($A252,main!$A$3:$H$102,6,FALSE)&gt;=main!$D$103+VLOOKUP(VLOOKUP(BC$1,main!$A$3:$I$102,7,FALSE),main!$K$26:$Q$29,5,FALSE)),1,0)</f>
        <v>0</v>
      </c>
      <c r="BD252">
        <f>IF(AND(VLOOKUP(BD$1,main!$A$3:$H$102,7,FALSE)=main!$G$105,VLOOKUP(BD$1,main!$A$3:$H$102,5,FALSE)-VLOOKUP($A252,main!$A$3:$H$102,6,FALSE)&gt;=main!$D$103+VLOOKUP(VLOOKUP(BD$1,main!$A$3:$I$102,7,FALSE),main!$K$26:$Q$29,5,FALSE)),1,0)</f>
        <v>0</v>
      </c>
      <c r="BE252">
        <f>IF(AND(VLOOKUP(BE$1,main!$A$3:$H$102,7,FALSE)=main!$G$105,VLOOKUP(BE$1,main!$A$3:$H$102,5,FALSE)-VLOOKUP($A252,main!$A$3:$H$102,6,FALSE)&gt;=main!$D$103+VLOOKUP(VLOOKUP(BE$1,main!$A$3:$I$102,7,FALSE),main!$K$26:$Q$29,5,FALSE)),1,0)</f>
        <v>0</v>
      </c>
      <c r="BF252">
        <f>IF(AND(VLOOKUP(BF$1,main!$A$3:$H$102,7,FALSE)=main!$G$105,VLOOKUP(BF$1,main!$A$3:$H$102,5,FALSE)-VLOOKUP($A252,main!$A$3:$H$102,6,FALSE)&gt;=main!$D$103+VLOOKUP(VLOOKUP(BF$1,main!$A$3:$I$102,7,FALSE),main!$K$26:$Q$29,5,FALSE)),1,0)</f>
        <v>0</v>
      </c>
      <c r="BG252">
        <f>IF(AND(VLOOKUP(BG$1,main!$A$3:$H$102,7,FALSE)=main!$G$105,VLOOKUP(BG$1,main!$A$3:$H$102,5,FALSE)-VLOOKUP($A252,main!$A$3:$H$102,6,FALSE)&gt;=main!$D$103+VLOOKUP(VLOOKUP(BG$1,main!$A$3:$I$102,7,FALSE),main!$K$26:$Q$29,5,FALSE)),1,0)</f>
        <v>0</v>
      </c>
      <c r="BH252">
        <f>IF(AND(VLOOKUP(BH$1,main!$A$3:$H$102,7,FALSE)=main!$G$105,VLOOKUP(BH$1,main!$A$3:$H$102,5,FALSE)-VLOOKUP($A252,main!$A$3:$H$102,6,FALSE)&gt;=main!$D$103+VLOOKUP(VLOOKUP(BH$1,main!$A$3:$I$102,7,FALSE),main!$K$26:$Q$29,5,FALSE)),1,0)</f>
        <v>0</v>
      </c>
      <c r="BI252">
        <f>IF(AND(VLOOKUP(BI$1,main!$A$3:$H$102,7,FALSE)=main!$G$105,VLOOKUP(BI$1,main!$A$3:$H$102,5,FALSE)-VLOOKUP($A252,main!$A$3:$H$102,6,FALSE)&gt;=main!$D$103+VLOOKUP(VLOOKUP(BI$1,main!$A$3:$I$102,7,FALSE),main!$K$26:$Q$29,5,FALSE)),1,0)</f>
        <v>0</v>
      </c>
      <c r="BJ252">
        <f>IF(AND(VLOOKUP(BJ$1,main!$A$3:$H$102,7,FALSE)=main!$G$105,VLOOKUP(BJ$1,main!$A$3:$H$102,5,FALSE)-VLOOKUP($A252,main!$A$3:$H$102,6,FALSE)&gt;=main!$D$103+VLOOKUP(VLOOKUP(BJ$1,main!$A$3:$I$102,7,FALSE),main!$K$26:$Q$29,5,FALSE)),1,0)</f>
        <v>0</v>
      </c>
      <c r="BK252">
        <f>IF(AND(VLOOKUP(BK$1,main!$A$3:$H$102,7,FALSE)=main!$G$105,VLOOKUP(BK$1,main!$A$3:$H$102,5,FALSE)-VLOOKUP($A252,main!$A$3:$H$102,6,FALSE)&gt;=main!$D$103+VLOOKUP(VLOOKUP(BK$1,main!$A$3:$I$102,7,FALSE),main!$K$26:$Q$29,5,FALSE)),1,0)</f>
        <v>0</v>
      </c>
      <c r="BL252">
        <f>IF(AND(VLOOKUP(BL$1,main!$A$3:$H$102,7,FALSE)=main!$G$105,VLOOKUP(BL$1,main!$A$3:$H$102,5,FALSE)-VLOOKUP($A252,main!$A$3:$H$102,6,FALSE)&gt;=main!$D$103+VLOOKUP(VLOOKUP(BL$1,main!$A$3:$I$102,7,FALSE),main!$K$26:$Q$29,5,FALSE)),1,0)</f>
        <v>0</v>
      </c>
      <c r="BM252">
        <f>IF(AND(VLOOKUP(BM$1,main!$A$3:$H$102,7,FALSE)=main!$G$105,VLOOKUP(BM$1,main!$A$3:$H$102,5,FALSE)-VLOOKUP($A252,main!$A$3:$H$102,6,FALSE)&gt;=main!$D$103+VLOOKUP(VLOOKUP(BM$1,main!$A$3:$I$102,7,FALSE),main!$K$26:$Q$29,5,FALSE)),1,0)</f>
        <v>0</v>
      </c>
      <c r="BN252">
        <f>IF(AND(VLOOKUP(BN$1,main!$A$3:$H$102,7,FALSE)=main!$G$105,VLOOKUP(BN$1,main!$A$3:$H$102,5,FALSE)-VLOOKUP($A252,main!$A$3:$H$102,6,FALSE)&gt;=main!$D$103+VLOOKUP(VLOOKUP(BN$1,main!$A$3:$I$102,7,FALSE),main!$K$26:$Q$29,5,FALSE)),1,0)</f>
        <v>0</v>
      </c>
      <c r="BO252">
        <f>IF(AND(VLOOKUP(BO$1,main!$A$3:$H$102,7,FALSE)=main!$G$105,VLOOKUP(BO$1,main!$A$3:$H$102,5,FALSE)-VLOOKUP($A252,main!$A$3:$H$102,6,FALSE)&gt;=main!$D$103+VLOOKUP(VLOOKUP(BO$1,main!$A$3:$I$102,7,FALSE),main!$K$26:$Q$29,5,FALSE)),1,0)</f>
        <v>0</v>
      </c>
      <c r="BP252">
        <f>IF(AND(VLOOKUP(BP$1,main!$A$3:$H$102,7,FALSE)=main!$G$105,VLOOKUP(BP$1,main!$A$3:$H$102,5,FALSE)-VLOOKUP($A252,main!$A$3:$H$102,6,FALSE)&gt;=main!$D$103+VLOOKUP(VLOOKUP(BP$1,main!$A$3:$I$102,7,FALSE),main!$K$26:$Q$29,5,FALSE)),1,0)</f>
        <v>0</v>
      </c>
      <c r="BQ252">
        <f>IF(AND(VLOOKUP(BQ$1,main!$A$3:$H$102,7,FALSE)=main!$G$105,VLOOKUP(BQ$1,main!$A$3:$H$102,5,FALSE)-VLOOKUP($A252,main!$A$3:$H$102,6,FALSE)&gt;=main!$D$103+VLOOKUP(VLOOKUP(BQ$1,main!$A$3:$I$102,7,FALSE),main!$K$26:$Q$29,5,FALSE)),1,0)</f>
        <v>0</v>
      </c>
      <c r="BR252">
        <f>IF(AND(VLOOKUP(BR$1,main!$A$3:$H$102,7,FALSE)=main!$G$105,VLOOKUP(BR$1,main!$A$3:$H$102,5,FALSE)-VLOOKUP($A252,main!$A$3:$H$102,6,FALSE)&gt;=main!$D$103+VLOOKUP(VLOOKUP(BR$1,main!$A$3:$I$102,7,FALSE),main!$K$26:$Q$29,5,FALSE)),1,0)</f>
        <v>0</v>
      </c>
      <c r="BS252">
        <f>IF(AND(VLOOKUP(BS$1,main!$A$3:$H$102,7,FALSE)=main!$G$105,VLOOKUP(BS$1,main!$A$3:$H$102,5,FALSE)-VLOOKUP($A252,main!$A$3:$H$102,6,FALSE)&gt;=main!$D$103+VLOOKUP(VLOOKUP(BS$1,main!$A$3:$I$102,7,FALSE),main!$K$26:$Q$29,5,FALSE)),1,0)</f>
        <v>0</v>
      </c>
      <c r="BT252">
        <f>IF(AND(VLOOKUP(BT$1,main!$A$3:$H$102,7,FALSE)=main!$G$105,VLOOKUP(BT$1,main!$A$3:$H$102,5,FALSE)-VLOOKUP($A252,main!$A$3:$H$102,6,FALSE)&gt;=main!$D$103+VLOOKUP(VLOOKUP(BT$1,main!$A$3:$I$102,7,FALSE),main!$K$26:$Q$29,5,FALSE)),1,0)</f>
        <v>0</v>
      </c>
      <c r="BU252">
        <f>IF(AND(VLOOKUP(BU$1,main!$A$3:$H$102,7,FALSE)=main!$G$105,VLOOKUP(BU$1,main!$A$3:$H$102,5,FALSE)-VLOOKUP($A252,main!$A$3:$H$102,6,FALSE)&gt;=main!$D$103+VLOOKUP(VLOOKUP(BU$1,main!$A$3:$I$102,7,FALSE),main!$K$26:$Q$29,5,FALSE)),1,0)</f>
        <v>0</v>
      </c>
      <c r="BV252">
        <f>IF(AND(VLOOKUP(BV$1,main!$A$3:$H$102,7,FALSE)=main!$G$105,VLOOKUP(BV$1,main!$A$3:$H$102,5,FALSE)-VLOOKUP($A252,main!$A$3:$H$102,6,FALSE)&gt;=main!$D$103+VLOOKUP(VLOOKUP(BV$1,main!$A$3:$I$102,7,FALSE),main!$K$26:$Q$29,5,FALSE)),1,0)</f>
        <v>0</v>
      </c>
      <c r="BW252">
        <f>IF(AND(VLOOKUP(BW$1,main!$A$3:$H$102,7,FALSE)=main!$G$105,VLOOKUP(BW$1,main!$A$3:$H$102,5,FALSE)-VLOOKUP($A252,main!$A$3:$H$102,6,FALSE)&gt;=main!$D$103+VLOOKUP(VLOOKUP(BW$1,main!$A$3:$I$102,7,FALSE),main!$K$26:$Q$29,5,FALSE)),1,0)</f>
        <v>0</v>
      </c>
      <c r="BX252">
        <f>IF(AND(VLOOKUP(BX$1,main!$A$3:$H$102,7,FALSE)=main!$G$105,VLOOKUP(BX$1,main!$A$3:$H$102,5,FALSE)-VLOOKUP($A252,main!$A$3:$H$102,6,FALSE)&gt;=main!$D$103+VLOOKUP(VLOOKUP(BX$1,main!$A$3:$I$102,7,FALSE),main!$K$26:$Q$29,5,FALSE)),1,0)</f>
        <v>0</v>
      </c>
      <c r="BY252">
        <f>IF(AND(VLOOKUP(BY$1,main!$A$3:$H$102,7,FALSE)=main!$G$105,VLOOKUP(BY$1,main!$A$3:$H$102,5,FALSE)-VLOOKUP($A252,main!$A$3:$H$102,6,FALSE)&gt;=main!$D$103+VLOOKUP(VLOOKUP(BY$1,main!$A$3:$I$102,7,FALSE),main!$K$26:$Q$29,5,FALSE)),1,0)</f>
        <v>0</v>
      </c>
      <c r="BZ252">
        <f>IF(AND(VLOOKUP(BZ$1,main!$A$3:$H$102,7,FALSE)=main!$G$105,VLOOKUP(BZ$1,main!$A$3:$H$102,5,FALSE)-VLOOKUP($A252,main!$A$3:$H$102,6,FALSE)&gt;=main!$D$103+VLOOKUP(VLOOKUP(BZ$1,main!$A$3:$I$102,7,FALSE),main!$K$26:$Q$29,5,FALSE)),1,0)</f>
        <v>0</v>
      </c>
      <c r="CA252">
        <f>IF(AND(VLOOKUP(CA$1,main!$A$3:$H$102,7,FALSE)=main!$G$105,VLOOKUP(CA$1,main!$A$3:$H$102,5,FALSE)-VLOOKUP($A252,main!$A$3:$H$102,6,FALSE)&gt;=main!$D$103+VLOOKUP(VLOOKUP(CA$1,main!$A$3:$I$102,7,FALSE),main!$K$26:$Q$29,5,FALSE)),1,0)</f>
        <v>0</v>
      </c>
      <c r="CB252">
        <f>IF(AND(VLOOKUP(CB$1,main!$A$3:$H$102,7,FALSE)=main!$G$105,VLOOKUP(CB$1,main!$A$3:$H$102,5,FALSE)-VLOOKUP($A252,main!$A$3:$H$102,6,FALSE)&gt;=main!$D$103+VLOOKUP(VLOOKUP(CB$1,main!$A$3:$I$102,7,FALSE),main!$K$26:$Q$29,5,FALSE)),1,0)</f>
        <v>0</v>
      </c>
      <c r="CC252">
        <f>IF(AND(VLOOKUP(CC$1,main!$A$3:$H$102,7,FALSE)=main!$G$105,VLOOKUP(CC$1,main!$A$3:$H$102,5,FALSE)-VLOOKUP($A252,main!$A$3:$H$102,6,FALSE)&gt;=main!$D$103+VLOOKUP(VLOOKUP(CC$1,main!$A$3:$I$102,7,FALSE),main!$K$26:$Q$29,5,FALSE)),1,0)</f>
        <v>0</v>
      </c>
      <c r="CD252">
        <f>IF(AND(VLOOKUP(CD$1,main!$A$3:$H$102,7,FALSE)=main!$G$105,VLOOKUP(CD$1,main!$A$3:$H$102,5,FALSE)-VLOOKUP($A252,main!$A$3:$H$102,6,FALSE)&gt;=main!$D$103+VLOOKUP(VLOOKUP(CD$1,main!$A$3:$I$102,7,FALSE),main!$K$26:$Q$29,5,FALSE)),1,0)</f>
        <v>0</v>
      </c>
      <c r="CE252">
        <f>IF(AND(VLOOKUP(CE$1,main!$A$3:$H$102,7,FALSE)=main!$G$105,VLOOKUP(CE$1,main!$A$3:$H$102,5,FALSE)-VLOOKUP($A252,main!$A$3:$H$102,6,FALSE)&gt;=main!$D$103+VLOOKUP(VLOOKUP(CE$1,main!$A$3:$I$102,7,FALSE),main!$K$26:$Q$29,5,FALSE)),1,0)</f>
        <v>0</v>
      </c>
      <c r="CF252">
        <f>IF(AND(VLOOKUP(CF$1,main!$A$3:$H$102,7,FALSE)=main!$G$105,VLOOKUP(CF$1,main!$A$3:$H$102,5,FALSE)-VLOOKUP($A252,main!$A$3:$H$102,6,FALSE)&gt;=main!$D$103+VLOOKUP(VLOOKUP(CF$1,main!$A$3:$I$102,7,FALSE),main!$K$26:$Q$29,5,FALSE)),1,0)</f>
        <v>0</v>
      </c>
      <c r="CG252">
        <f>IF(AND(VLOOKUP(CG$1,main!$A$3:$H$102,7,FALSE)=main!$G$105,VLOOKUP(CG$1,main!$A$3:$H$102,5,FALSE)-VLOOKUP($A252,main!$A$3:$H$102,6,FALSE)&gt;=main!$D$103+VLOOKUP(VLOOKUP(CG$1,main!$A$3:$I$102,7,FALSE),main!$K$26:$Q$29,5,FALSE)),1,0)</f>
        <v>0</v>
      </c>
      <c r="CH252">
        <f>IF(AND(VLOOKUP(CH$1,main!$A$3:$H$102,7,FALSE)=main!$G$105,VLOOKUP(CH$1,main!$A$3:$H$102,5,FALSE)-VLOOKUP($A252,main!$A$3:$H$102,6,FALSE)&gt;=main!$D$103+VLOOKUP(VLOOKUP(CH$1,main!$A$3:$I$102,7,FALSE),main!$K$26:$Q$29,5,FALSE)),1,0)</f>
        <v>0</v>
      </c>
      <c r="CI252">
        <f>IF(AND(VLOOKUP(CI$1,main!$A$3:$H$102,7,FALSE)=main!$G$105,VLOOKUP(CI$1,main!$A$3:$H$102,5,FALSE)-VLOOKUP($A252,main!$A$3:$H$102,6,FALSE)&gt;=main!$D$103+VLOOKUP(VLOOKUP(CI$1,main!$A$3:$I$102,7,FALSE),main!$K$26:$Q$29,5,FALSE)),1,0)</f>
        <v>0</v>
      </c>
      <c r="CJ252">
        <f>IF(AND(VLOOKUP(CJ$1,main!$A$3:$H$102,7,FALSE)=main!$G$105,VLOOKUP(CJ$1,main!$A$3:$H$102,5,FALSE)-VLOOKUP($A252,main!$A$3:$H$102,6,FALSE)&gt;=main!$D$103+VLOOKUP(VLOOKUP(CJ$1,main!$A$3:$I$102,7,FALSE),main!$K$26:$Q$29,5,FALSE)),1,0)</f>
        <v>0</v>
      </c>
      <c r="CK252">
        <f>IF(AND(VLOOKUP(CK$1,main!$A$3:$H$102,7,FALSE)=main!$G$105,VLOOKUP(CK$1,main!$A$3:$H$102,5,FALSE)-VLOOKUP($A252,main!$A$3:$H$102,6,FALSE)&gt;=main!$D$103+VLOOKUP(VLOOKUP(CK$1,main!$A$3:$I$102,7,FALSE),main!$K$26:$Q$29,5,FALSE)),1,0)</f>
        <v>0</v>
      </c>
      <c r="CL252">
        <f>IF(AND(VLOOKUP(CL$1,main!$A$3:$H$102,7,FALSE)=main!$G$105,VLOOKUP(CL$1,main!$A$3:$H$102,5,FALSE)-VLOOKUP($A252,main!$A$3:$H$102,6,FALSE)&gt;=main!$D$103+VLOOKUP(VLOOKUP(CL$1,main!$A$3:$I$102,7,FALSE),main!$K$26:$Q$29,5,FALSE)),1,0)</f>
        <v>0</v>
      </c>
      <c r="CM252">
        <f>IF(AND(VLOOKUP(CM$1,main!$A$3:$H$102,7,FALSE)=main!$G$105,VLOOKUP(CM$1,main!$A$3:$H$102,5,FALSE)-VLOOKUP($A252,main!$A$3:$H$102,6,FALSE)&gt;=main!$D$103+VLOOKUP(VLOOKUP(CM$1,main!$A$3:$I$102,7,FALSE),main!$K$26:$Q$29,5,FALSE)),1,0)</f>
        <v>0</v>
      </c>
      <c r="CN252">
        <f>IF(AND(VLOOKUP(CN$1,main!$A$3:$H$102,7,FALSE)=main!$G$105,VLOOKUP(CN$1,main!$A$3:$H$102,5,FALSE)-VLOOKUP($A252,main!$A$3:$H$102,6,FALSE)&gt;=main!$D$103+VLOOKUP(VLOOKUP(CN$1,main!$A$3:$I$102,7,FALSE),main!$K$26:$Q$29,5,FALSE)),1,0)</f>
        <v>0</v>
      </c>
      <c r="CO252">
        <f>IF(AND(VLOOKUP(CO$1,main!$A$3:$H$102,7,FALSE)=main!$G$105,VLOOKUP(CO$1,main!$A$3:$H$102,5,FALSE)-VLOOKUP($A252,main!$A$3:$H$102,6,FALSE)&gt;=main!$D$103+VLOOKUP(VLOOKUP(CO$1,main!$A$3:$I$102,7,FALSE),main!$K$26:$Q$29,5,FALSE)),1,0)</f>
        <v>0</v>
      </c>
      <c r="CP252">
        <f>IF(AND(VLOOKUP(CP$1,main!$A$3:$H$102,7,FALSE)=main!$G$105,VLOOKUP(CP$1,main!$A$3:$H$102,5,FALSE)-VLOOKUP($A252,main!$A$3:$H$102,6,FALSE)&gt;=main!$D$103+VLOOKUP(VLOOKUP(CP$1,main!$A$3:$I$102,7,FALSE),main!$K$26:$Q$29,5,FALSE)),1,0)</f>
        <v>0</v>
      </c>
      <c r="CQ252">
        <f>IF(AND(VLOOKUP(CQ$1,main!$A$3:$H$102,7,FALSE)=main!$G$105,VLOOKUP(CQ$1,main!$A$3:$H$102,5,FALSE)-VLOOKUP($A252,main!$A$3:$H$102,6,FALSE)&gt;=main!$D$103+VLOOKUP(VLOOKUP(CQ$1,main!$A$3:$I$102,7,FALSE),main!$K$26:$Q$29,5,FALSE)),1,0)</f>
        <v>0</v>
      </c>
      <c r="CR252">
        <f>IF(AND(VLOOKUP(CR$1,main!$A$3:$H$102,7,FALSE)=main!$G$105,VLOOKUP(CR$1,main!$A$3:$H$102,5,FALSE)-VLOOKUP($A252,main!$A$3:$H$102,6,FALSE)&gt;=main!$D$103+VLOOKUP(VLOOKUP(CR$1,main!$A$3:$I$102,7,FALSE),main!$K$26:$Q$29,5,FALSE)),1,0)</f>
        <v>0</v>
      </c>
      <c r="CS252">
        <f>IF(AND(VLOOKUP(CS$1,main!$A$3:$H$102,7,FALSE)=main!$G$105,VLOOKUP(CS$1,main!$A$3:$H$102,5,FALSE)-VLOOKUP($A252,main!$A$3:$H$102,6,FALSE)&gt;=main!$D$103+VLOOKUP(VLOOKUP(CS$1,main!$A$3:$I$102,7,FALSE),main!$K$26:$Q$29,5,FALSE)),1,0)</f>
        <v>0</v>
      </c>
      <c r="CT252">
        <f>IF(AND(VLOOKUP(CT$1,main!$A$3:$H$102,7,FALSE)=main!$G$105,VLOOKUP(CT$1,main!$A$3:$H$102,5,FALSE)-VLOOKUP($A252,main!$A$3:$H$102,6,FALSE)&gt;=main!$D$103+VLOOKUP(VLOOKUP(CT$1,main!$A$3:$I$102,7,FALSE),main!$K$26:$Q$29,5,FALSE)),1,0)</f>
        <v>0</v>
      </c>
      <c r="CU252">
        <f>IF(AND(VLOOKUP(CU$1,main!$A$3:$H$102,7,FALSE)=main!$G$105,VLOOKUP(CU$1,main!$A$3:$H$102,5,FALSE)-VLOOKUP($A252,main!$A$3:$H$102,6,FALSE)&gt;=main!$D$103+VLOOKUP(VLOOKUP(CU$1,main!$A$3:$I$102,7,FALSE),main!$K$26:$Q$29,5,FALSE)),1,0)</f>
        <v>0</v>
      </c>
      <c r="CV252">
        <f>IF(AND(VLOOKUP(CV$1,main!$A$3:$H$102,7,FALSE)=main!$G$105,VLOOKUP(CV$1,main!$A$3:$H$102,5,FALSE)-VLOOKUP($A252,main!$A$3:$H$102,6,FALSE)&gt;=main!$D$103+VLOOKUP(VLOOKUP(CV$1,main!$A$3:$I$102,7,FALSE),main!$K$26:$Q$29,5,FALSE)),1,0)</f>
        <v>0</v>
      </c>
      <c r="CW252">
        <f>IF(AND(VLOOKUP(CW$1,main!$A$3:$H$102,7,FALSE)=main!$G$105,VLOOKUP(CW$1,main!$A$3:$H$102,5,FALSE)-VLOOKUP($A252,main!$A$3:$H$102,6,FALSE)&gt;=main!$D$103+VLOOKUP(VLOOKUP(CW$1,main!$A$3:$I$102,7,FALSE),main!$K$26:$Q$29,5,FALSE)),1,0)</f>
        <v>0</v>
      </c>
      <c r="CX252">
        <f>IF(AND(VLOOKUP(CX$1,main!$A$3:$H$102,7,FALSE)=main!$G$105,VLOOKUP(CX$1,main!$A$3:$H$102,5,FALSE)-VLOOKUP($A252,main!$A$3:$H$102,6,FALSE)&gt;=main!$D$103+VLOOKUP(VLOOKUP(CX$1,main!$A$3:$I$102,7,FALSE),main!$K$26:$Q$29,5,FALSE)),1,0)</f>
        <v>0</v>
      </c>
    </row>
    <row r="253" spans="1:102" x14ac:dyDescent="0.25">
      <c r="A253" s="1">
        <v>49</v>
      </c>
      <c r="B253">
        <v>0</v>
      </c>
      <c r="C253">
        <f>IF(AND(VLOOKUP(C$1,main!$A$3:$H$102,7,FALSE)=main!$G$105,VLOOKUP(C$1,main!$A$3:$H$102,5,FALSE)-VLOOKUP($A253,main!$A$3:$H$102,6,FALSE)&gt;=main!$D$103+VLOOKUP(VLOOKUP(C$1,main!$A$3:$I$102,7,FALSE),main!$K$26:$Q$29,5,FALSE)),1,0)</f>
        <v>0</v>
      </c>
      <c r="D253">
        <f>IF(AND(VLOOKUP(D$1,main!$A$3:$H$102,7,FALSE)=main!$G$105,VLOOKUP(D$1,main!$A$3:$H$102,5,FALSE)-VLOOKUP($A253,main!$A$3:$H$102,6,FALSE)&gt;=main!$D$103+VLOOKUP(VLOOKUP(D$1,main!$A$3:$I$102,7,FALSE),main!$K$26:$Q$29,5,FALSE)),1,0)</f>
        <v>0</v>
      </c>
      <c r="E253">
        <f>IF(AND(VLOOKUP(E$1,main!$A$3:$H$102,7,FALSE)=main!$G$105,VLOOKUP(E$1,main!$A$3:$H$102,5,FALSE)-VLOOKUP($A253,main!$A$3:$H$102,6,FALSE)&gt;=main!$D$103+VLOOKUP(VLOOKUP(E$1,main!$A$3:$I$102,7,FALSE),main!$K$26:$Q$29,5,FALSE)),1,0)</f>
        <v>0</v>
      </c>
      <c r="F253">
        <f>IF(AND(VLOOKUP(F$1,main!$A$3:$H$102,7,FALSE)=main!$G$105,VLOOKUP(F$1,main!$A$3:$H$102,5,FALSE)-VLOOKUP($A253,main!$A$3:$H$102,6,FALSE)&gt;=main!$D$103+VLOOKUP(VLOOKUP(F$1,main!$A$3:$I$102,7,FALSE),main!$K$26:$Q$29,5,FALSE)),1,0)</f>
        <v>0</v>
      </c>
      <c r="G253">
        <f>IF(AND(VLOOKUP(G$1,main!$A$3:$H$102,7,FALSE)=main!$G$105,VLOOKUP(G$1,main!$A$3:$H$102,5,FALSE)-VLOOKUP($A253,main!$A$3:$H$102,6,FALSE)&gt;=main!$D$103+VLOOKUP(VLOOKUP(G$1,main!$A$3:$I$102,7,FALSE),main!$K$26:$Q$29,5,FALSE)),1,0)</f>
        <v>0</v>
      </c>
      <c r="H253">
        <f>IF(AND(VLOOKUP(H$1,main!$A$3:$H$102,7,FALSE)=main!$G$105,VLOOKUP(H$1,main!$A$3:$H$102,5,FALSE)-VLOOKUP($A253,main!$A$3:$H$102,6,FALSE)&gt;=main!$D$103+VLOOKUP(VLOOKUP(H$1,main!$A$3:$I$102,7,FALSE),main!$K$26:$Q$29,5,FALSE)),1,0)</f>
        <v>0</v>
      </c>
      <c r="I253">
        <f>IF(AND(VLOOKUP(I$1,main!$A$3:$H$102,7,FALSE)=main!$G$105,VLOOKUP(I$1,main!$A$3:$H$102,5,FALSE)-VLOOKUP($A253,main!$A$3:$H$102,6,FALSE)&gt;=main!$D$103+VLOOKUP(VLOOKUP(I$1,main!$A$3:$I$102,7,FALSE),main!$K$26:$Q$29,5,FALSE)),1,0)</f>
        <v>0</v>
      </c>
      <c r="J253">
        <f>IF(AND(VLOOKUP(J$1,main!$A$3:$H$102,7,FALSE)=main!$G$105,VLOOKUP(J$1,main!$A$3:$H$102,5,FALSE)-VLOOKUP($A253,main!$A$3:$H$102,6,FALSE)&gt;=main!$D$103+VLOOKUP(VLOOKUP(J$1,main!$A$3:$I$102,7,FALSE),main!$K$26:$Q$29,5,FALSE)),1,0)</f>
        <v>0</v>
      </c>
      <c r="K253">
        <f>IF(AND(VLOOKUP(K$1,main!$A$3:$H$102,7,FALSE)=main!$G$105,VLOOKUP(K$1,main!$A$3:$H$102,5,FALSE)-VLOOKUP($A253,main!$A$3:$H$102,6,FALSE)&gt;=main!$D$103+VLOOKUP(VLOOKUP(K$1,main!$A$3:$I$102,7,FALSE),main!$K$26:$Q$29,5,FALSE)),1,0)</f>
        <v>0</v>
      </c>
      <c r="L253">
        <f>IF(AND(VLOOKUP(L$1,main!$A$3:$H$102,7,FALSE)=main!$G$105,VLOOKUP(L$1,main!$A$3:$H$102,5,FALSE)-VLOOKUP($A253,main!$A$3:$H$102,6,FALSE)&gt;=main!$D$103+VLOOKUP(VLOOKUP(L$1,main!$A$3:$I$102,7,FALSE),main!$K$26:$Q$29,5,FALSE)),1,0)</f>
        <v>0</v>
      </c>
      <c r="M253">
        <f>IF(AND(VLOOKUP(M$1,main!$A$3:$H$102,7,FALSE)=main!$G$105,VLOOKUP(M$1,main!$A$3:$H$102,5,FALSE)-VLOOKUP($A253,main!$A$3:$H$102,6,FALSE)&gt;=main!$D$103+VLOOKUP(VLOOKUP(M$1,main!$A$3:$I$102,7,FALSE),main!$K$26:$Q$29,5,FALSE)),1,0)</f>
        <v>0</v>
      </c>
      <c r="N253">
        <f>IF(AND(VLOOKUP(N$1,main!$A$3:$H$102,7,FALSE)=main!$G$105,VLOOKUP(N$1,main!$A$3:$H$102,5,FALSE)-VLOOKUP($A253,main!$A$3:$H$102,6,FALSE)&gt;=main!$D$103+VLOOKUP(VLOOKUP(N$1,main!$A$3:$I$102,7,FALSE),main!$K$26:$Q$29,5,FALSE)),1,0)</f>
        <v>0</v>
      </c>
      <c r="O253">
        <f>IF(AND(VLOOKUP(O$1,main!$A$3:$H$102,7,FALSE)=main!$G$105,VLOOKUP(O$1,main!$A$3:$H$102,5,FALSE)-VLOOKUP($A253,main!$A$3:$H$102,6,FALSE)&gt;=main!$D$103+VLOOKUP(VLOOKUP(O$1,main!$A$3:$I$102,7,FALSE),main!$K$26:$Q$29,5,FALSE)),1,0)</f>
        <v>0</v>
      </c>
      <c r="P253">
        <f>IF(AND(VLOOKUP(P$1,main!$A$3:$H$102,7,FALSE)=main!$G$105,VLOOKUP(P$1,main!$A$3:$H$102,5,FALSE)-VLOOKUP($A253,main!$A$3:$H$102,6,FALSE)&gt;=main!$D$103+VLOOKUP(VLOOKUP(P$1,main!$A$3:$I$102,7,FALSE),main!$K$26:$Q$29,5,FALSE)),1,0)</f>
        <v>0</v>
      </c>
      <c r="Q253">
        <f>IF(AND(VLOOKUP(Q$1,main!$A$3:$H$102,7,FALSE)=main!$G$105,VLOOKUP(Q$1,main!$A$3:$H$102,5,FALSE)-VLOOKUP($A253,main!$A$3:$H$102,6,FALSE)&gt;=main!$D$103+VLOOKUP(VLOOKUP(Q$1,main!$A$3:$I$102,7,FALSE),main!$K$26:$Q$29,5,FALSE)),1,0)</f>
        <v>0</v>
      </c>
      <c r="R253">
        <f>IF(AND(VLOOKUP(R$1,main!$A$3:$H$102,7,FALSE)=main!$G$105,VLOOKUP(R$1,main!$A$3:$H$102,5,FALSE)-VLOOKUP($A253,main!$A$3:$H$102,6,FALSE)&gt;=main!$D$103+VLOOKUP(VLOOKUP(R$1,main!$A$3:$I$102,7,FALSE),main!$K$26:$Q$29,5,FALSE)),1,0)</f>
        <v>0</v>
      </c>
      <c r="S253">
        <f>IF(AND(VLOOKUP(S$1,main!$A$3:$H$102,7,FALSE)=main!$G$105,VLOOKUP(S$1,main!$A$3:$H$102,5,FALSE)-VLOOKUP($A253,main!$A$3:$H$102,6,FALSE)&gt;=main!$D$103+VLOOKUP(VLOOKUP(S$1,main!$A$3:$I$102,7,FALSE),main!$K$26:$Q$29,5,FALSE)),1,0)</f>
        <v>0</v>
      </c>
      <c r="T253">
        <f>IF(AND(VLOOKUP(T$1,main!$A$3:$H$102,7,FALSE)=main!$G$105,VLOOKUP(T$1,main!$A$3:$H$102,5,FALSE)-VLOOKUP($A253,main!$A$3:$H$102,6,FALSE)&gt;=main!$D$103+VLOOKUP(VLOOKUP(T$1,main!$A$3:$I$102,7,FALSE),main!$K$26:$Q$29,5,FALSE)),1,0)</f>
        <v>0</v>
      </c>
      <c r="U253">
        <f>IF(AND(VLOOKUP(U$1,main!$A$3:$H$102,7,FALSE)=main!$G$105,VLOOKUP(U$1,main!$A$3:$H$102,5,FALSE)-VLOOKUP($A253,main!$A$3:$H$102,6,FALSE)&gt;=main!$D$103+VLOOKUP(VLOOKUP(U$1,main!$A$3:$I$102,7,FALSE),main!$K$26:$Q$29,5,FALSE)),1,0)</f>
        <v>0</v>
      </c>
      <c r="V253">
        <f>IF(AND(VLOOKUP(V$1,main!$A$3:$H$102,7,FALSE)=main!$G$105,VLOOKUP(V$1,main!$A$3:$H$102,5,FALSE)-VLOOKUP($A253,main!$A$3:$H$102,6,FALSE)&gt;=main!$D$103+VLOOKUP(VLOOKUP(V$1,main!$A$3:$I$102,7,FALSE),main!$K$26:$Q$29,5,FALSE)),1,0)</f>
        <v>0</v>
      </c>
      <c r="W253">
        <f>IF(AND(VLOOKUP(W$1,main!$A$3:$H$102,7,FALSE)=main!$G$105,VLOOKUP(W$1,main!$A$3:$H$102,5,FALSE)-VLOOKUP($A253,main!$A$3:$H$102,6,FALSE)&gt;=main!$D$103+VLOOKUP(VLOOKUP(W$1,main!$A$3:$I$102,7,FALSE),main!$K$26:$Q$29,5,FALSE)),1,0)</f>
        <v>0</v>
      </c>
      <c r="X253">
        <f>IF(AND(VLOOKUP(X$1,main!$A$3:$H$102,7,FALSE)=main!$G$105,VLOOKUP(X$1,main!$A$3:$H$102,5,FALSE)-VLOOKUP($A253,main!$A$3:$H$102,6,FALSE)&gt;=main!$D$103+VLOOKUP(VLOOKUP(X$1,main!$A$3:$I$102,7,FALSE),main!$K$26:$Q$29,5,FALSE)),1,0)</f>
        <v>0</v>
      </c>
      <c r="Y253">
        <f>IF(AND(VLOOKUP(Y$1,main!$A$3:$H$102,7,FALSE)=main!$G$105,VLOOKUP(Y$1,main!$A$3:$H$102,5,FALSE)-VLOOKUP($A253,main!$A$3:$H$102,6,FALSE)&gt;=main!$D$103+VLOOKUP(VLOOKUP(Y$1,main!$A$3:$I$102,7,FALSE),main!$K$26:$Q$29,5,FALSE)),1,0)</f>
        <v>0</v>
      </c>
      <c r="Z253">
        <f>IF(AND(VLOOKUP(Z$1,main!$A$3:$H$102,7,FALSE)=main!$G$105,VLOOKUP(Z$1,main!$A$3:$H$102,5,FALSE)-VLOOKUP($A253,main!$A$3:$H$102,6,FALSE)&gt;=main!$D$103+VLOOKUP(VLOOKUP(Z$1,main!$A$3:$I$102,7,FALSE),main!$K$26:$Q$29,5,FALSE)),1,0)</f>
        <v>0</v>
      </c>
      <c r="AA253">
        <f>IF(AND(VLOOKUP(AA$1,main!$A$3:$H$102,7,FALSE)=main!$G$105,VLOOKUP(AA$1,main!$A$3:$H$102,5,FALSE)-VLOOKUP($A253,main!$A$3:$H$102,6,FALSE)&gt;=main!$D$103+VLOOKUP(VLOOKUP(AA$1,main!$A$3:$I$102,7,FALSE),main!$K$26:$Q$29,5,FALSE)),1,0)</f>
        <v>0</v>
      </c>
      <c r="AB253">
        <f>IF(AND(VLOOKUP(AB$1,main!$A$3:$H$102,7,FALSE)=main!$G$105,VLOOKUP(AB$1,main!$A$3:$H$102,5,FALSE)-VLOOKUP($A253,main!$A$3:$H$102,6,FALSE)&gt;=main!$D$103+VLOOKUP(VLOOKUP(AB$1,main!$A$3:$I$102,7,FALSE),main!$K$26:$Q$29,5,FALSE)),1,0)</f>
        <v>0</v>
      </c>
      <c r="AC253">
        <f>IF(AND(VLOOKUP(AC$1,main!$A$3:$H$102,7,FALSE)=main!$G$105,VLOOKUP(AC$1,main!$A$3:$H$102,5,FALSE)-VLOOKUP($A253,main!$A$3:$H$102,6,FALSE)&gt;=main!$D$103+VLOOKUP(VLOOKUP(AC$1,main!$A$3:$I$102,7,FALSE),main!$K$26:$Q$29,5,FALSE)),1,0)</f>
        <v>0</v>
      </c>
      <c r="AD253">
        <f>IF(AND(VLOOKUP(AD$1,main!$A$3:$H$102,7,FALSE)=main!$G$105,VLOOKUP(AD$1,main!$A$3:$H$102,5,FALSE)-VLOOKUP($A253,main!$A$3:$H$102,6,FALSE)&gt;=main!$D$103+VLOOKUP(VLOOKUP(AD$1,main!$A$3:$I$102,7,FALSE),main!$K$26:$Q$29,5,FALSE)),1,0)</f>
        <v>0</v>
      </c>
      <c r="AE253">
        <f>IF(AND(VLOOKUP(AE$1,main!$A$3:$H$102,7,FALSE)=main!$G$105,VLOOKUP(AE$1,main!$A$3:$H$102,5,FALSE)-VLOOKUP($A253,main!$A$3:$H$102,6,FALSE)&gt;=main!$D$103+VLOOKUP(VLOOKUP(AE$1,main!$A$3:$I$102,7,FALSE),main!$K$26:$Q$29,5,FALSE)),1,0)</f>
        <v>0</v>
      </c>
      <c r="AF253">
        <f>IF(AND(VLOOKUP(AF$1,main!$A$3:$H$102,7,FALSE)=main!$G$105,VLOOKUP(AF$1,main!$A$3:$H$102,5,FALSE)-VLOOKUP($A253,main!$A$3:$H$102,6,FALSE)&gt;=main!$D$103+VLOOKUP(VLOOKUP(AF$1,main!$A$3:$I$102,7,FALSE),main!$K$26:$Q$29,5,FALSE)),1,0)</f>
        <v>0</v>
      </c>
      <c r="AG253">
        <f>IF(AND(VLOOKUP(AG$1,main!$A$3:$H$102,7,FALSE)=main!$G$105,VLOOKUP(AG$1,main!$A$3:$H$102,5,FALSE)-VLOOKUP($A253,main!$A$3:$H$102,6,FALSE)&gt;=main!$D$103+VLOOKUP(VLOOKUP(AG$1,main!$A$3:$I$102,7,FALSE),main!$K$26:$Q$29,5,FALSE)),1,0)</f>
        <v>0</v>
      </c>
      <c r="AH253">
        <f>IF(AND(VLOOKUP(AH$1,main!$A$3:$H$102,7,FALSE)=main!$G$105,VLOOKUP(AH$1,main!$A$3:$H$102,5,FALSE)-VLOOKUP($A253,main!$A$3:$H$102,6,FALSE)&gt;=main!$D$103+VLOOKUP(VLOOKUP(AH$1,main!$A$3:$I$102,7,FALSE),main!$K$26:$Q$29,5,FALSE)),1,0)</f>
        <v>0</v>
      </c>
      <c r="AI253">
        <f>IF(AND(VLOOKUP(AI$1,main!$A$3:$H$102,7,FALSE)=main!$G$105,VLOOKUP(AI$1,main!$A$3:$H$102,5,FALSE)-VLOOKUP($A253,main!$A$3:$H$102,6,FALSE)&gt;=main!$D$103+VLOOKUP(VLOOKUP(AI$1,main!$A$3:$I$102,7,FALSE),main!$K$26:$Q$29,5,FALSE)),1,0)</f>
        <v>0</v>
      </c>
      <c r="AJ253">
        <f>IF(AND(VLOOKUP(AJ$1,main!$A$3:$H$102,7,FALSE)=main!$G$105,VLOOKUP(AJ$1,main!$A$3:$H$102,5,FALSE)-VLOOKUP($A253,main!$A$3:$H$102,6,FALSE)&gt;=main!$D$103+VLOOKUP(VLOOKUP(AJ$1,main!$A$3:$I$102,7,FALSE),main!$K$26:$Q$29,5,FALSE)),1,0)</f>
        <v>1</v>
      </c>
      <c r="AK253">
        <f>IF(AND(VLOOKUP(AK$1,main!$A$3:$H$102,7,FALSE)=main!$G$105,VLOOKUP(AK$1,main!$A$3:$H$102,5,FALSE)-VLOOKUP($A253,main!$A$3:$H$102,6,FALSE)&gt;=main!$D$103+VLOOKUP(VLOOKUP(AK$1,main!$A$3:$I$102,7,FALSE),main!$K$26:$Q$29,5,FALSE)),1,0)</f>
        <v>1</v>
      </c>
      <c r="AL253">
        <f>IF(AND(VLOOKUP(AL$1,main!$A$3:$H$102,7,FALSE)=main!$G$105,VLOOKUP(AL$1,main!$A$3:$H$102,5,FALSE)-VLOOKUP($A253,main!$A$3:$H$102,6,FALSE)&gt;=main!$D$103+VLOOKUP(VLOOKUP(AL$1,main!$A$3:$I$102,7,FALSE),main!$K$26:$Q$29,5,FALSE)),1,0)</f>
        <v>1</v>
      </c>
      <c r="AM253">
        <f>IF(AND(VLOOKUP(AM$1,main!$A$3:$H$102,7,FALSE)=main!$G$105,VLOOKUP(AM$1,main!$A$3:$H$102,5,FALSE)-VLOOKUP($A253,main!$A$3:$H$102,6,FALSE)&gt;=main!$D$103+VLOOKUP(VLOOKUP(AM$1,main!$A$3:$I$102,7,FALSE),main!$K$26:$Q$29,5,FALSE)),1,0)</f>
        <v>1</v>
      </c>
      <c r="AN253">
        <f>IF(AND(VLOOKUP(AN$1,main!$A$3:$H$102,7,FALSE)=main!$G$105,VLOOKUP(AN$1,main!$A$3:$H$102,5,FALSE)-VLOOKUP($A253,main!$A$3:$H$102,6,FALSE)&gt;=main!$D$103+VLOOKUP(VLOOKUP(AN$1,main!$A$3:$I$102,7,FALSE),main!$K$26:$Q$29,5,FALSE)),1,0)</f>
        <v>1</v>
      </c>
      <c r="AO253">
        <f>IF(AND(VLOOKUP(AO$1,main!$A$3:$H$102,7,FALSE)=main!$G$105,VLOOKUP(AO$1,main!$A$3:$H$102,5,FALSE)-VLOOKUP($A253,main!$A$3:$H$102,6,FALSE)&gt;=main!$D$103+VLOOKUP(VLOOKUP(AO$1,main!$A$3:$I$102,7,FALSE),main!$K$26:$Q$29,5,FALSE)),1,0)</f>
        <v>0</v>
      </c>
      <c r="AP253">
        <f>IF(AND(VLOOKUP(AP$1,main!$A$3:$H$102,7,FALSE)=main!$G$105,VLOOKUP(AP$1,main!$A$3:$H$102,5,FALSE)-VLOOKUP($A253,main!$A$3:$H$102,6,FALSE)&gt;=main!$D$103+VLOOKUP(VLOOKUP(AP$1,main!$A$3:$I$102,7,FALSE),main!$K$26:$Q$29,5,FALSE)),1,0)</f>
        <v>1</v>
      </c>
      <c r="AQ253">
        <f>IF(AND(VLOOKUP(AQ$1,main!$A$3:$H$102,7,FALSE)=main!$G$105,VLOOKUP(AQ$1,main!$A$3:$H$102,5,FALSE)-VLOOKUP($A253,main!$A$3:$H$102,6,FALSE)&gt;=main!$D$103+VLOOKUP(VLOOKUP(AQ$1,main!$A$3:$I$102,7,FALSE),main!$K$26:$Q$29,5,FALSE)),1,0)</f>
        <v>0</v>
      </c>
      <c r="AR253">
        <f>IF(AND(VLOOKUP(AR$1,main!$A$3:$H$102,7,FALSE)=main!$G$105,VLOOKUP(AR$1,main!$A$3:$H$102,5,FALSE)-VLOOKUP($A253,main!$A$3:$H$102,6,FALSE)&gt;=main!$D$103+VLOOKUP(VLOOKUP(AR$1,main!$A$3:$I$102,7,FALSE),main!$K$26:$Q$29,5,FALSE)),1,0)</f>
        <v>0</v>
      </c>
      <c r="AS253">
        <f>IF(AND(VLOOKUP(AS$1,main!$A$3:$H$102,7,FALSE)=main!$G$105,VLOOKUP(AS$1,main!$A$3:$H$102,5,FALSE)-VLOOKUP($A253,main!$A$3:$H$102,6,FALSE)&gt;=main!$D$103+VLOOKUP(VLOOKUP(AS$1,main!$A$3:$I$102,7,FALSE),main!$K$26:$Q$29,5,FALSE)),1,0)</f>
        <v>1</v>
      </c>
      <c r="AT253">
        <f>IF(AND(VLOOKUP(AT$1,main!$A$3:$H$102,7,FALSE)=main!$G$105,VLOOKUP(AT$1,main!$A$3:$H$102,5,FALSE)-VLOOKUP($A253,main!$A$3:$H$102,6,FALSE)&gt;=main!$D$103+VLOOKUP(VLOOKUP(AT$1,main!$A$3:$I$102,7,FALSE),main!$K$26:$Q$29,5,FALSE)),1,0)</f>
        <v>1</v>
      </c>
      <c r="AU253">
        <f>IF(AND(VLOOKUP(AU$1,main!$A$3:$H$102,7,FALSE)=main!$G$105,VLOOKUP(AU$1,main!$A$3:$H$102,5,FALSE)-VLOOKUP($A253,main!$A$3:$H$102,6,FALSE)&gt;=main!$D$103+VLOOKUP(VLOOKUP(AU$1,main!$A$3:$I$102,7,FALSE),main!$K$26:$Q$29,5,FALSE)),1,0)</f>
        <v>0</v>
      </c>
      <c r="AV253">
        <f>IF(AND(VLOOKUP(AV$1,main!$A$3:$H$102,7,FALSE)=main!$G$105,VLOOKUP(AV$1,main!$A$3:$H$102,5,FALSE)-VLOOKUP($A253,main!$A$3:$H$102,6,FALSE)&gt;=main!$D$103+VLOOKUP(VLOOKUP(AV$1,main!$A$3:$I$102,7,FALSE),main!$K$26:$Q$29,5,FALSE)),1,0)</f>
        <v>0</v>
      </c>
      <c r="AW253">
        <f>IF(AND(VLOOKUP(AW$1,main!$A$3:$H$102,7,FALSE)=main!$G$105,VLOOKUP(AW$1,main!$A$3:$H$102,5,FALSE)-VLOOKUP($A253,main!$A$3:$H$102,6,FALSE)&gt;=main!$D$103+VLOOKUP(VLOOKUP(AW$1,main!$A$3:$I$102,7,FALSE),main!$K$26:$Q$29,5,FALSE)),1,0)</f>
        <v>1</v>
      </c>
      <c r="AX253">
        <f>IF(AND(VLOOKUP(AX$1,main!$A$3:$H$102,7,FALSE)=main!$G$105,VLOOKUP(AX$1,main!$A$3:$H$102,5,FALSE)-VLOOKUP($A253,main!$A$3:$H$102,6,FALSE)&gt;=main!$D$103+VLOOKUP(VLOOKUP(AX$1,main!$A$3:$I$102,7,FALSE),main!$K$26:$Q$29,5,FALSE)),1,0)</f>
        <v>0</v>
      </c>
      <c r="AY253">
        <f>IF(AND(VLOOKUP(AY$1,main!$A$3:$H$102,7,FALSE)=main!$G$105,VLOOKUP(AY$1,main!$A$3:$H$102,5,FALSE)-VLOOKUP($A253,main!$A$3:$H$102,6,FALSE)&gt;=main!$D$103+VLOOKUP(VLOOKUP(AY$1,main!$A$3:$I$102,7,FALSE),main!$K$26:$Q$29,5,FALSE)),1,0)</f>
        <v>0</v>
      </c>
      <c r="AZ253">
        <f>IF(AND(VLOOKUP(AZ$1,main!$A$3:$H$102,7,FALSE)=main!$G$105,VLOOKUP(AZ$1,main!$A$3:$H$102,5,FALSE)-VLOOKUP($A253,main!$A$3:$H$102,6,FALSE)&gt;=main!$D$103+VLOOKUP(VLOOKUP(AZ$1,main!$A$3:$I$102,7,FALSE),main!$K$26:$Q$29,5,FALSE)),1,0)</f>
        <v>0</v>
      </c>
      <c r="BA253">
        <f>IF(AND(VLOOKUP(BA$1,main!$A$3:$H$102,7,FALSE)=main!$G$105,VLOOKUP(BA$1,main!$A$3:$H$102,5,FALSE)-VLOOKUP($A253,main!$A$3:$H$102,6,FALSE)&gt;=main!$D$103+VLOOKUP(VLOOKUP(BA$1,main!$A$3:$I$102,7,FALSE),main!$K$26:$Q$29,5,FALSE)),1,0)</f>
        <v>0</v>
      </c>
      <c r="BB253">
        <f>IF(AND(VLOOKUP(BB$1,main!$A$3:$H$102,7,FALSE)=main!$G$105,VLOOKUP(BB$1,main!$A$3:$H$102,5,FALSE)-VLOOKUP($A253,main!$A$3:$H$102,6,FALSE)&gt;=main!$D$103+VLOOKUP(VLOOKUP(BB$1,main!$A$3:$I$102,7,FALSE),main!$K$26:$Q$29,5,FALSE)),1,0)</f>
        <v>0</v>
      </c>
      <c r="BC253">
        <f>IF(AND(VLOOKUP(BC$1,main!$A$3:$H$102,7,FALSE)=main!$G$105,VLOOKUP(BC$1,main!$A$3:$H$102,5,FALSE)-VLOOKUP($A253,main!$A$3:$H$102,6,FALSE)&gt;=main!$D$103+VLOOKUP(VLOOKUP(BC$1,main!$A$3:$I$102,7,FALSE),main!$K$26:$Q$29,5,FALSE)),1,0)</f>
        <v>0</v>
      </c>
      <c r="BD253">
        <f>IF(AND(VLOOKUP(BD$1,main!$A$3:$H$102,7,FALSE)=main!$G$105,VLOOKUP(BD$1,main!$A$3:$H$102,5,FALSE)-VLOOKUP($A253,main!$A$3:$H$102,6,FALSE)&gt;=main!$D$103+VLOOKUP(VLOOKUP(BD$1,main!$A$3:$I$102,7,FALSE),main!$K$26:$Q$29,5,FALSE)),1,0)</f>
        <v>0</v>
      </c>
      <c r="BE253">
        <f>IF(AND(VLOOKUP(BE$1,main!$A$3:$H$102,7,FALSE)=main!$G$105,VLOOKUP(BE$1,main!$A$3:$H$102,5,FALSE)-VLOOKUP($A253,main!$A$3:$H$102,6,FALSE)&gt;=main!$D$103+VLOOKUP(VLOOKUP(BE$1,main!$A$3:$I$102,7,FALSE),main!$K$26:$Q$29,5,FALSE)),1,0)</f>
        <v>0</v>
      </c>
      <c r="BF253">
        <f>IF(AND(VLOOKUP(BF$1,main!$A$3:$H$102,7,FALSE)=main!$G$105,VLOOKUP(BF$1,main!$A$3:$H$102,5,FALSE)-VLOOKUP($A253,main!$A$3:$H$102,6,FALSE)&gt;=main!$D$103+VLOOKUP(VLOOKUP(BF$1,main!$A$3:$I$102,7,FALSE),main!$K$26:$Q$29,5,FALSE)),1,0)</f>
        <v>0</v>
      </c>
      <c r="BG253">
        <f>IF(AND(VLOOKUP(BG$1,main!$A$3:$H$102,7,FALSE)=main!$G$105,VLOOKUP(BG$1,main!$A$3:$H$102,5,FALSE)-VLOOKUP($A253,main!$A$3:$H$102,6,FALSE)&gt;=main!$D$103+VLOOKUP(VLOOKUP(BG$1,main!$A$3:$I$102,7,FALSE),main!$K$26:$Q$29,5,FALSE)),1,0)</f>
        <v>0</v>
      </c>
      <c r="BH253">
        <f>IF(AND(VLOOKUP(BH$1,main!$A$3:$H$102,7,FALSE)=main!$G$105,VLOOKUP(BH$1,main!$A$3:$H$102,5,FALSE)-VLOOKUP($A253,main!$A$3:$H$102,6,FALSE)&gt;=main!$D$103+VLOOKUP(VLOOKUP(BH$1,main!$A$3:$I$102,7,FALSE),main!$K$26:$Q$29,5,FALSE)),1,0)</f>
        <v>0</v>
      </c>
      <c r="BI253">
        <f>IF(AND(VLOOKUP(BI$1,main!$A$3:$H$102,7,FALSE)=main!$G$105,VLOOKUP(BI$1,main!$A$3:$H$102,5,FALSE)-VLOOKUP($A253,main!$A$3:$H$102,6,FALSE)&gt;=main!$D$103+VLOOKUP(VLOOKUP(BI$1,main!$A$3:$I$102,7,FALSE),main!$K$26:$Q$29,5,FALSE)),1,0)</f>
        <v>0</v>
      </c>
      <c r="BJ253">
        <f>IF(AND(VLOOKUP(BJ$1,main!$A$3:$H$102,7,FALSE)=main!$G$105,VLOOKUP(BJ$1,main!$A$3:$H$102,5,FALSE)-VLOOKUP($A253,main!$A$3:$H$102,6,FALSE)&gt;=main!$D$103+VLOOKUP(VLOOKUP(BJ$1,main!$A$3:$I$102,7,FALSE),main!$K$26:$Q$29,5,FALSE)),1,0)</f>
        <v>0</v>
      </c>
      <c r="BK253">
        <f>IF(AND(VLOOKUP(BK$1,main!$A$3:$H$102,7,FALSE)=main!$G$105,VLOOKUP(BK$1,main!$A$3:$H$102,5,FALSE)-VLOOKUP($A253,main!$A$3:$H$102,6,FALSE)&gt;=main!$D$103+VLOOKUP(VLOOKUP(BK$1,main!$A$3:$I$102,7,FALSE),main!$K$26:$Q$29,5,FALSE)),1,0)</f>
        <v>0</v>
      </c>
      <c r="BL253">
        <f>IF(AND(VLOOKUP(BL$1,main!$A$3:$H$102,7,FALSE)=main!$G$105,VLOOKUP(BL$1,main!$A$3:$H$102,5,FALSE)-VLOOKUP($A253,main!$A$3:$H$102,6,FALSE)&gt;=main!$D$103+VLOOKUP(VLOOKUP(BL$1,main!$A$3:$I$102,7,FALSE),main!$K$26:$Q$29,5,FALSE)),1,0)</f>
        <v>0</v>
      </c>
      <c r="BM253">
        <f>IF(AND(VLOOKUP(BM$1,main!$A$3:$H$102,7,FALSE)=main!$G$105,VLOOKUP(BM$1,main!$A$3:$H$102,5,FALSE)-VLOOKUP($A253,main!$A$3:$H$102,6,FALSE)&gt;=main!$D$103+VLOOKUP(VLOOKUP(BM$1,main!$A$3:$I$102,7,FALSE),main!$K$26:$Q$29,5,FALSE)),1,0)</f>
        <v>0</v>
      </c>
      <c r="BN253">
        <f>IF(AND(VLOOKUP(BN$1,main!$A$3:$H$102,7,FALSE)=main!$G$105,VLOOKUP(BN$1,main!$A$3:$H$102,5,FALSE)-VLOOKUP($A253,main!$A$3:$H$102,6,FALSE)&gt;=main!$D$103+VLOOKUP(VLOOKUP(BN$1,main!$A$3:$I$102,7,FALSE),main!$K$26:$Q$29,5,FALSE)),1,0)</f>
        <v>0</v>
      </c>
      <c r="BO253">
        <f>IF(AND(VLOOKUP(BO$1,main!$A$3:$H$102,7,FALSE)=main!$G$105,VLOOKUP(BO$1,main!$A$3:$H$102,5,FALSE)-VLOOKUP($A253,main!$A$3:$H$102,6,FALSE)&gt;=main!$D$103+VLOOKUP(VLOOKUP(BO$1,main!$A$3:$I$102,7,FALSE),main!$K$26:$Q$29,5,FALSE)),1,0)</f>
        <v>0</v>
      </c>
      <c r="BP253">
        <f>IF(AND(VLOOKUP(BP$1,main!$A$3:$H$102,7,FALSE)=main!$G$105,VLOOKUP(BP$1,main!$A$3:$H$102,5,FALSE)-VLOOKUP($A253,main!$A$3:$H$102,6,FALSE)&gt;=main!$D$103+VLOOKUP(VLOOKUP(BP$1,main!$A$3:$I$102,7,FALSE),main!$K$26:$Q$29,5,FALSE)),1,0)</f>
        <v>0</v>
      </c>
      <c r="BQ253">
        <f>IF(AND(VLOOKUP(BQ$1,main!$A$3:$H$102,7,FALSE)=main!$G$105,VLOOKUP(BQ$1,main!$A$3:$H$102,5,FALSE)-VLOOKUP($A253,main!$A$3:$H$102,6,FALSE)&gt;=main!$D$103+VLOOKUP(VLOOKUP(BQ$1,main!$A$3:$I$102,7,FALSE),main!$K$26:$Q$29,5,FALSE)),1,0)</f>
        <v>0</v>
      </c>
      <c r="BR253">
        <f>IF(AND(VLOOKUP(BR$1,main!$A$3:$H$102,7,FALSE)=main!$G$105,VLOOKUP(BR$1,main!$A$3:$H$102,5,FALSE)-VLOOKUP($A253,main!$A$3:$H$102,6,FALSE)&gt;=main!$D$103+VLOOKUP(VLOOKUP(BR$1,main!$A$3:$I$102,7,FALSE),main!$K$26:$Q$29,5,FALSE)),1,0)</f>
        <v>0</v>
      </c>
      <c r="BS253">
        <f>IF(AND(VLOOKUP(BS$1,main!$A$3:$H$102,7,FALSE)=main!$G$105,VLOOKUP(BS$1,main!$A$3:$H$102,5,FALSE)-VLOOKUP($A253,main!$A$3:$H$102,6,FALSE)&gt;=main!$D$103+VLOOKUP(VLOOKUP(BS$1,main!$A$3:$I$102,7,FALSE),main!$K$26:$Q$29,5,FALSE)),1,0)</f>
        <v>0</v>
      </c>
      <c r="BT253">
        <f>IF(AND(VLOOKUP(BT$1,main!$A$3:$H$102,7,FALSE)=main!$G$105,VLOOKUP(BT$1,main!$A$3:$H$102,5,FALSE)-VLOOKUP($A253,main!$A$3:$H$102,6,FALSE)&gt;=main!$D$103+VLOOKUP(VLOOKUP(BT$1,main!$A$3:$I$102,7,FALSE),main!$K$26:$Q$29,5,FALSE)),1,0)</f>
        <v>0</v>
      </c>
      <c r="BU253">
        <f>IF(AND(VLOOKUP(BU$1,main!$A$3:$H$102,7,FALSE)=main!$G$105,VLOOKUP(BU$1,main!$A$3:$H$102,5,FALSE)-VLOOKUP($A253,main!$A$3:$H$102,6,FALSE)&gt;=main!$D$103+VLOOKUP(VLOOKUP(BU$1,main!$A$3:$I$102,7,FALSE),main!$K$26:$Q$29,5,FALSE)),1,0)</f>
        <v>0</v>
      </c>
      <c r="BV253">
        <f>IF(AND(VLOOKUP(BV$1,main!$A$3:$H$102,7,FALSE)=main!$G$105,VLOOKUP(BV$1,main!$A$3:$H$102,5,FALSE)-VLOOKUP($A253,main!$A$3:$H$102,6,FALSE)&gt;=main!$D$103+VLOOKUP(VLOOKUP(BV$1,main!$A$3:$I$102,7,FALSE),main!$K$26:$Q$29,5,FALSE)),1,0)</f>
        <v>0</v>
      </c>
      <c r="BW253">
        <f>IF(AND(VLOOKUP(BW$1,main!$A$3:$H$102,7,FALSE)=main!$G$105,VLOOKUP(BW$1,main!$A$3:$H$102,5,FALSE)-VLOOKUP($A253,main!$A$3:$H$102,6,FALSE)&gt;=main!$D$103+VLOOKUP(VLOOKUP(BW$1,main!$A$3:$I$102,7,FALSE),main!$K$26:$Q$29,5,FALSE)),1,0)</f>
        <v>0</v>
      </c>
      <c r="BX253">
        <f>IF(AND(VLOOKUP(BX$1,main!$A$3:$H$102,7,FALSE)=main!$G$105,VLOOKUP(BX$1,main!$A$3:$H$102,5,FALSE)-VLOOKUP($A253,main!$A$3:$H$102,6,FALSE)&gt;=main!$D$103+VLOOKUP(VLOOKUP(BX$1,main!$A$3:$I$102,7,FALSE),main!$K$26:$Q$29,5,FALSE)),1,0)</f>
        <v>0</v>
      </c>
      <c r="BY253">
        <f>IF(AND(VLOOKUP(BY$1,main!$A$3:$H$102,7,FALSE)=main!$G$105,VLOOKUP(BY$1,main!$A$3:$H$102,5,FALSE)-VLOOKUP($A253,main!$A$3:$H$102,6,FALSE)&gt;=main!$D$103+VLOOKUP(VLOOKUP(BY$1,main!$A$3:$I$102,7,FALSE),main!$K$26:$Q$29,5,FALSE)),1,0)</f>
        <v>0</v>
      </c>
      <c r="BZ253">
        <f>IF(AND(VLOOKUP(BZ$1,main!$A$3:$H$102,7,FALSE)=main!$G$105,VLOOKUP(BZ$1,main!$A$3:$H$102,5,FALSE)-VLOOKUP($A253,main!$A$3:$H$102,6,FALSE)&gt;=main!$D$103+VLOOKUP(VLOOKUP(BZ$1,main!$A$3:$I$102,7,FALSE),main!$K$26:$Q$29,5,FALSE)),1,0)</f>
        <v>0</v>
      </c>
      <c r="CA253">
        <f>IF(AND(VLOOKUP(CA$1,main!$A$3:$H$102,7,FALSE)=main!$G$105,VLOOKUP(CA$1,main!$A$3:$H$102,5,FALSE)-VLOOKUP($A253,main!$A$3:$H$102,6,FALSE)&gt;=main!$D$103+VLOOKUP(VLOOKUP(CA$1,main!$A$3:$I$102,7,FALSE),main!$K$26:$Q$29,5,FALSE)),1,0)</f>
        <v>0</v>
      </c>
      <c r="CB253">
        <f>IF(AND(VLOOKUP(CB$1,main!$A$3:$H$102,7,FALSE)=main!$G$105,VLOOKUP(CB$1,main!$A$3:$H$102,5,FALSE)-VLOOKUP($A253,main!$A$3:$H$102,6,FALSE)&gt;=main!$D$103+VLOOKUP(VLOOKUP(CB$1,main!$A$3:$I$102,7,FALSE),main!$K$26:$Q$29,5,FALSE)),1,0)</f>
        <v>0</v>
      </c>
      <c r="CC253">
        <f>IF(AND(VLOOKUP(CC$1,main!$A$3:$H$102,7,FALSE)=main!$G$105,VLOOKUP(CC$1,main!$A$3:$H$102,5,FALSE)-VLOOKUP($A253,main!$A$3:$H$102,6,FALSE)&gt;=main!$D$103+VLOOKUP(VLOOKUP(CC$1,main!$A$3:$I$102,7,FALSE),main!$K$26:$Q$29,5,FALSE)),1,0)</f>
        <v>0</v>
      </c>
      <c r="CD253">
        <f>IF(AND(VLOOKUP(CD$1,main!$A$3:$H$102,7,FALSE)=main!$G$105,VLOOKUP(CD$1,main!$A$3:$H$102,5,FALSE)-VLOOKUP($A253,main!$A$3:$H$102,6,FALSE)&gt;=main!$D$103+VLOOKUP(VLOOKUP(CD$1,main!$A$3:$I$102,7,FALSE),main!$K$26:$Q$29,5,FALSE)),1,0)</f>
        <v>0</v>
      </c>
      <c r="CE253">
        <f>IF(AND(VLOOKUP(CE$1,main!$A$3:$H$102,7,FALSE)=main!$G$105,VLOOKUP(CE$1,main!$A$3:$H$102,5,FALSE)-VLOOKUP($A253,main!$A$3:$H$102,6,FALSE)&gt;=main!$D$103+VLOOKUP(VLOOKUP(CE$1,main!$A$3:$I$102,7,FALSE),main!$K$26:$Q$29,5,FALSE)),1,0)</f>
        <v>0</v>
      </c>
      <c r="CF253">
        <f>IF(AND(VLOOKUP(CF$1,main!$A$3:$H$102,7,FALSE)=main!$G$105,VLOOKUP(CF$1,main!$A$3:$H$102,5,FALSE)-VLOOKUP($A253,main!$A$3:$H$102,6,FALSE)&gt;=main!$D$103+VLOOKUP(VLOOKUP(CF$1,main!$A$3:$I$102,7,FALSE),main!$K$26:$Q$29,5,FALSE)),1,0)</f>
        <v>0</v>
      </c>
      <c r="CG253">
        <f>IF(AND(VLOOKUP(CG$1,main!$A$3:$H$102,7,FALSE)=main!$G$105,VLOOKUP(CG$1,main!$A$3:$H$102,5,FALSE)-VLOOKUP($A253,main!$A$3:$H$102,6,FALSE)&gt;=main!$D$103+VLOOKUP(VLOOKUP(CG$1,main!$A$3:$I$102,7,FALSE),main!$K$26:$Q$29,5,FALSE)),1,0)</f>
        <v>0</v>
      </c>
      <c r="CH253">
        <f>IF(AND(VLOOKUP(CH$1,main!$A$3:$H$102,7,FALSE)=main!$G$105,VLOOKUP(CH$1,main!$A$3:$H$102,5,FALSE)-VLOOKUP($A253,main!$A$3:$H$102,6,FALSE)&gt;=main!$D$103+VLOOKUP(VLOOKUP(CH$1,main!$A$3:$I$102,7,FALSE),main!$K$26:$Q$29,5,FALSE)),1,0)</f>
        <v>0</v>
      </c>
      <c r="CI253">
        <f>IF(AND(VLOOKUP(CI$1,main!$A$3:$H$102,7,FALSE)=main!$G$105,VLOOKUP(CI$1,main!$A$3:$H$102,5,FALSE)-VLOOKUP($A253,main!$A$3:$H$102,6,FALSE)&gt;=main!$D$103+VLOOKUP(VLOOKUP(CI$1,main!$A$3:$I$102,7,FALSE),main!$K$26:$Q$29,5,FALSE)),1,0)</f>
        <v>0</v>
      </c>
      <c r="CJ253">
        <f>IF(AND(VLOOKUP(CJ$1,main!$A$3:$H$102,7,FALSE)=main!$G$105,VLOOKUP(CJ$1,main!$A$3:$H$102,5,FALSE)-VLOOKUP($A253,main!$A$3:$H$102,6,FALSE)&gt;=main!$D$103+VLOOKUP(VLOOKUP(CJ$1,main!$A$3:$I$102,7,FALSE),main!$K$26:$Q$29,5,FALSE)),1,0)</f>
        <v>0</v>
      </c>
      <c r="CK253">
        <f>IF(AND(VLOOKUP(CK$1,main!$A$3:$H$102,7,FALSE)=main!$G$105,VLOOKUP(CK$1,main!$A$3:$H$102,5,FALSE)-VLOOKUP($A253,main!$A$3:$H$102,6,FALSE)&gt;=main!$D$103+VLOOKUP(VLOOKUP(CK$1,main!$A$3:$I$102,7,FALSE),main!$K$26:$Q$29,5,FALSE)),1,0)</f>
        <v>0</v>
      </c>
      <c r="CL253">
        <f>IF(AND(VLOOKUP(CL$1,main!$A$3:$H$102,7,FALSE)=main!$G$105,VLOOKUP(CL$1,main!$A$3:$H$102,5,FALSE)-VLOOKUP($A253,main!$A$3:$H$102,6,FALSE)&gt;=main!$D$103+VLOOKUP(VLOOKUP(CL$1,main!$A$3:$I$102,7,FALSE),main!$K$26:$Q$29,5,FALSE)),1,0)</f>
        <v>0</v>
      </c>
      <c r="CM253">
        <f>IF(AND(VLOOKUP(CM$1,main!$A$3:$H$102,7,FALSE)=main!$G$105,VLOOKUP(CM$1,main!$A$3:$H$102,5,FALSE)-VLOOKUP($A253,main!$A$3:$H$102,6,FALSE)&gt;=main!$D$103+VLOOKUP(VLOOKUP(CM$1,main!$A$3:$I$102,7,FALSE),main!$K$26:$Q$29,5,FALSE)),1,0)</f>
        <v>0</v>
      </c>
      <c r="CN253">
        <f>IF(AND(VLOOKUP(CN$1,main!$A$3:$H$102,7,FALSE)=main!$G$105,VLOOKUP(CN$1,main!$A$3:$H$102,5,FALSE)-VLOOKUP($A253,main!$A$3:$H$102,6,FALSE)&gt;=main!$D$103+VLOOKUP(VLOOKUP(CN$1,main!$A$3:$I$102,7,FALSE),main!$K$26:$Q$29,5,FALSE)),1,0)</f>
        <v>0</v>
      </c>
      <c r="CO253">
        <f>IF(AND(VLOOKUP(CO$1,main!$A$3:$H$102,7,FALSE)=main!$G$105,VLOOKUP(CO$1,main!$A$3:$H$102,5,FALSE)-VLOOKUP($A253,main!$A$3:$H$102,6,FALSE)&gt;=main!$D$103+VLOOKUP(VLOOKUP(CO$1,main!$A$3:$I$102,7,FALSE),main!$K$26:$Q$29,5,FALSE)),1,0)</f>
        <v>0</v>
      </c>
      <c r="CP253">
        <f>IF(AND(VLOOKUP(CP$1,main!$A$3:$H$102,7,FALSE)=main!$G$105,VLOOKUP(CP$1,main!$A$3:$H$102,5,FALSE)-VLOOKUP($A253,main!$A$3:$H$102,6,FALSE)&gt;=main!$D$103+VLOOKUP(VLOOKUP(CP$1,main!$A$3:$I$102,7,FALSE),main!$K$26:$Q$29,5,FALSE)),1,0)</f>
        <v>0</v>
      </c>
      <c r="CQ253">
        <f>IF(AND(VLOOKUP(CQ$1,main!$A$3:$H$102,7,FALSE)=main!$G$105,VLOOKUP(CQ$1,main!$A$3:$H$102,5,FALSE)-VLOOKUP($A253,main!$A$3:$H$102,6,FALSE)&gt;=main!$D$103+VLOOKUP(VLOOKUP(CQ$1,main!$A$3:$I$102,7,FALSE),main!$K$26:$Q$29,5,FALSE)),1,0)</f>
        <v>0</v>
      </c>
      <c r="CR253">
        <f>IF(AND(VLOOKUP(CR$1,main!$A$3:$H$102,7,FALSE)=main!$G$105,VLOOKUP(CR$1,main!$A$3:$H$102,5,FALSE)-VLOOKUP($A253,main!$A$3:$H$102,6,FALSE)&gt;=main!$D$103+VLOOKUP(VLOOKUP(CR$1,main!$A$3:$I$102,7,FALSE),main!$K$26:$Q$29,5,FALSE)),1,0)</f>
        <v>0</v>
      </c>
      <c r="CS253">
        <f>IF(AND(VLOOKUP(CS$1,main!$A$3:$H$102,7,FALSE)=main!$G$105,VLOOKUP(CS$1,main!$A$3:$H$102,5,FALSE)-VLOOKUP($A253,main!$A$3:$H$102,6,FALSE)&gt;=main!$D$103+VLOOKUP(VLOOKUP(CS$1,main!$A$3:$I$102,7,FALSE),main!$K$26:$Q$29,5,FALSE)),1,0)</f>
        <v>0</v>
      </c>
      <c r="CT253">
        <f>IF(AND(VLOOKUP(CT$1,main!$A$3:$H$102,7,FALSE)=main!$G$105,VLOOKUP(CT$1,main!$A$3:$H$102,5,FALSE)-VLOOKUP($A253,main!$A$3:$H$102,6,FALSE)&gt;=main!$D$103+VLOOKUP(VLOOKUP(CT$1,main!$A$3:$I$102,7,FALSE),main!$K$26:$Q$29,5,FALSE)),1,0)</f>
        <v>0</v>
      </c>
      <c r="CU253">
        <f>IF(AND(VLOOKUP(CU$1,main!$A$3:$H$102,7,FALSE)=main!$G$105,VLOOKUP(CU$1,main!$A$3:$H$102,5,FALSE)-VLOOKUP($A253,main!$A$3:$H$102,6,FALSE)&gt;=main!$D$103+VLOOKUP(VLOOKUP(CU$1,main!$A$3:$I$102,7,FALSE),main!$K$26:$Q$29,5,FALSE)),1,0)</f>
        <v>0</v>
      </c>
      <c r="CV253">
        <f>IF(AND(VLOOKUP(CV$1,main!$A$3:$H$102,7,FALSE)=main!$G$105,VLOOKUP(CV$1,main!$A$3:$H$102,5,FALSE)-VLOOKUP($A253,main!$A$3:$H$102,6,FALSE)&gt;=main!$D$103+VLOOKUP(VLOOKUP(CV$1,main!$A$3:$I$102,7,FALSE),main!$K$26:$Q$29,5,FALSE)),1,0)</f>
        <v>0</v>
      </c>
      <c r="CW253">
        <f>IF(AND(VLOOKUP(CW$1,main!$A$3:$H$102,7,FALSE)=main!$G$105,VLOOKUP(CW$1,main!$A$3:$H$102,5,FALSE)-VLOOKUP($A253,main!$A$3:$H$102,6,FALSE)&gt;=main!$D$103+VLOOKUP(VLOOKUP(CW$1,main!$A$3:$I$102,7,FALSE),main!$K$26:$Q$29,5,FALSE)),1,0)</f>
        <v>0</v>
      </c>
      <c r="CX253">
        <f>IF(AND(VLOOKUP(CX$1,main!$A$3:$H$102,7,FALSE)=main!$G$105,VLOOKUP(CX$1,main!$A$3:$H$102,5,FALSE)-VLOOKUP($A253,main!$A$3:$H$102,6,FALSE)&gt;=main!$D$103+VLOOKUP(VLOOKUP(CX$1,main!$A$3:$I$102,7,FALSE),main!$K$26:$Q$29,5,FALSE)),1,0)</f>
        <v>0</v>
      </c>
    </row>
    <row r="254" spans="1:102" x14ac:dyDescent="0.25">
      <c r="A254" s="1">
        <v>50</v>
      </c>
      <c r="B254">
        <v>0</v>
      </c>
      <c r="C254">
        <f>IF(AND(VLOOKUP(C$1,main!$A$3:$H$102,7,FALSE)=main!$G$105,VLOOKUP(C$1,main!$A$3:$H$102,5,FALSE)-VLOOKUP($A254,main!$A$3:$H$102,6,FALSE)&gt;=main!$D$103+VLOOKUP(VLOOKUP(C$1,main!$A$3:$I$102,7,FALSE),main!$K$26:$Q$29,5,FALSE)),1,0)</f>
        <v>0</v>
      </c>
      <c r="D254">
        <f>IF(AND(VLOOKUP(D$1,main!$A$3:$H$102,7,FALSE)=main!$G$105,VLOOKUP(D$1,main!$A$3:$H$102,5,FALSE)-VLOOKUP($A254,main!$A$3:$H$102,6,FALSE)&gt;=main!$D$103+VLOOKUP(VLOOKUP(D$1,main!$A$3:$I$102,7,FALSE),main!$K$26:$Q$29,5,FALSE)),1,0)</f>
        <v>0</v>
      </c>
      <c r="E254">
        <f>IF(AND(VLOOKUP(E$1,main!$A$3:$H$102,7,FALSE)=main!$G$105,VLOOKUP(E$1,main!$A$3:$H$102,5,FALSE)-VLOOKUP($A254,main!$A$3:$H$102,6,FALSE)&gt;=main!$D$103+VLOOKUP(VLOOKUP(E$1,main!$A$3:$I$102,7,FALSE),main!$K$26:$Q$29,5,FALSE)),1,0)</f>
        <v>0</v>
      </c>
      <c r="F254">
        <f>IF(AND(VLOOKUP(F$1,main!$A$3:$H$102,7,FALSE)=main!$G$105,VLOOKUP(F$1,main!$A$3:$H$102,5,FALSE)-VLOOKUP($A254,main!$A$3:$H$102,6,FALSE)&gt;=main!$D$103+VLOOKUP(VLOOKUP(F$1,main!$A$3:$I$102,7,FALSE),main!$K$26:$Q$29,5,FALSE)),1,0)</f>
        <v>0</v>
      </c>
      <c r="G254">
        <f>IF(AND(VLOOKUP(G$1,main!$A$3:$H$102,7,FALSE)=main!$G$105,VLOOKUP(G$1,main!$A$3:$H$102,5,FALSE)-VLOOKUP($A254,main!$A$3:$H$102,6,FALSE)&gt;=main!$D$103+VLOOKUP(VLOOKUP(G$1,main!$A$3:$I$102,7,FALSE),main!$K$26:$Q$29,5,FALSE)),1,0)</f>
        <v>0</v>
      </c>
      <c r="H254">
        <f>IF(AND(VLOOKUP(H$1,main!$A$3:$H$102,7,FALSE)=main!$G$105,VLOOKUP(H$1,main!$A$3:$H$102,5,FALSE)-VLOOKUP($A254,main!$A$3:$H$102,6,FALSE)&gt;=main!$D$103+VLOOKUP(VLOOKUP(H$1,main!$A$3:$I$102,7,FALSE),main!$K$26:$Q$29,5,FALSE)),1,0)</f>
        <v>0</v>
      </c>
      <c r="I254">
        <f>IF(AND(VLOOKUP(I$1,main!$A$3:$H$102,7,FALSE)=main!$G$105,VLOOKUP(I$1,main!$A$3:$H$102,5,FALSE)-VLOOKUP($A254,main!$A$3:$H$102,6,FALSE)&gt;=main!$D$103+VLOOKUP(VLOOKUP(I$1,main!$A$3:$I$102,7,FALSE),main!$K$26:$Q$29,5,FALSE)),1,0)</f>
        <v>0</v>
      </c>
      <c r="J254">
        <f>IF(AND(VLOOKUP(J$1,main!$A$3:$H$102,7,FALSE)=main!$G$105,VLOOKUP(J$1,main!$A$3:$H$102,5,FALSE)-VLOOKUP($A254,main!$A$3:$H$102,6,FALSE)&gt;=main!$D$103+VLOOKUP(VLOOKUP(J$1,main!$A$3:$I$102,7,FALSE),main!$K$26:$Q$29,5,FALSE)),1,0)</f>
        <v>0</v>
      </c>
      <c r="K254">
        <f>IF(AND(VLOOKUP(K$1,main!$A$3:$H$102,7,FALSE)=main!$G$105,VLOOKUP(K$1,main!$A$3:$H$102,5,FALSE)-VLOOKUP($A254,main!$A$3:$H$102,6,FALSE)&gt;=main!$D$103+VLOOKUP(VLOOKUP(K$1,main!$A$3:$I$102,7,FALSE),main!$K$26:$Q$29,5,FALSE)),1,0)</f>
        <v>0</v>
      </c>
      <c r="L254">
        <f>IF(AND(VLOOKUP(L$1,main!$A$3:$H$102,7,FALSE)=main!$G$105,VLOOKUP(L$1,main!$A$3:$H$102,5,FALSE)-VLOOKUP($A254,main!$A$3:$H$102,6,FALSE)&gt;=main!$D$103+VLOOKUP(VLOOKUP(L$1,main!$A$3:$I$102,7,FALSE),main!$K$26:$Q$29,5,FALSE)),1,0)</f>
        <v>0</v>
      </c>
      <c r="M254">
        <f>IF(AND(VLOOKUP(M$1,main!$A$3:$H$102,7,FALSE)=main!$G$105,VLOOKUP(M$1,main!$A$3:$H$102,5,FALSE)-VLOOKUP($A254,main!$A$3:$H$102,6,FALSE)&gt;=main!$D$103+VLOOKUP(VLOOKUP(M$1,main!$A$3:$I$102,7,FALSE),main!$K$26:$Q$29,5,FALSE)),1,0)</f>
        <v>0</v>
      </c>
      <c r="N254">
        <f>IF(AND(VLOOKUP(N$1,main!$A$3:$H$102,7,FALSE)=main!$G$105,VLOOKUP(N$1,main!$A$3:$H$102,5,FALSE)-VLOOKUP($A254,main!$A$3:$H$102,6,FALSE)&gt;=main!$D$103+VLOOKUP(VLOOKUP(N$1,main!$A$3:$I$102,7,FALSE),main!$K$26:$Q$29,5,FALSE)),1,0)</f>
        <v>0</v>
      </c>
      <c r="O254">
        <f>IF(AND(VLOOKUP(O$1,main!$A$3:$H$102,7,FALSE)=main!$G$105,VLOOKUP(O$1,main!$A$3:$H$102,5,FALSE)-VLOOKUP($A254,main!$A$3:$H$102,6,FALSE)&gt;=main!$D$103+VLOOKUP(VLOOKUP(O$1,main!$A$3:$I$102,7,FALSE),main!$K$26:$Q$29,5,FALSE)),1,0)</f>
        <v>0</v>
      </c>
      <c r="P254">
        <f>IF(AND(VLOOKUP(P$1,main!$A$3:$H$102,7,FALSE)=main!$G$105,VLOOKUP(P$1,main!$A$3:$H$102,5,FALSE)-VLOOKUP($A254,main!$A$3:$H$102,6,FALSE)&gt;=main!$D$103+VLOOKUP(VLOOKUP(P$1,main!$A$3:$I$102,7,FALSE),main!$K$26:$Q$29,5,FALSE)),1,0)</f>
        <v>0</v>
      </c>
      <c r="Q254">
        <f>IF(AND(VLOOKUP(Q$1,main!$A$3:$H$102,7,FALSE)=main!$G$105,VLOOKUP(Q$1,main!$A$3:$H$102,5,FALSE)-VLOOKUP($A254,main!$A$3:$H$102,6,FALSE)&gt;=main!$D$103+VLOOKUP(VLOOKUP(Q$1,main!$A$3:$I$102,7,FALSE),main!$K$26:$Q$29,5,FALSE)),1,0)</f>
        <v>0</v>
      </c>
      <c r="R254">
        <f>IF(AND(VLOOKUP(R$1,main!$A$3:$H$102,7,FALSE)=main!$G$105,VLOOKUP(R$1,main!$A$3:$H$102,5,FALSE)-VLOOKUP($A254,main!$A$3:$H$102,6,FALSE)&gt;=main!$D$103+VLOOKUP(VLOOKUP(R$1,main!$A$3:$I$102,7,FALSE),main!$K$26:$Q$29,5,FALSE)),1,0)</f>
        <v>0</v>
      </c>
      <c r="S254">
        <f>IF(AND(VLOOKUP(S$1,main!$A$3:$H$102,7,FALSE)=main!$G$105,VLOOKUP(S$1,main!$A$3:$H$102,5,FALSE)-VLOOKUP($A254,main!$A$3:$H$102,6,FALSE)&gt;=main!$D$103+VLOOKUP(VLOOKUP(S$1,main!$A$3:$I$102,7,FALSE),main!$K$26:$Q$29,5,FALSE)),1,0)</f>
        <v>0</v>
      </c>
      <c r="T254">
        <f>IF(AND(VLOOKUP(T$1,main!$A$3:$H$102,7,FALSE)=main!$G$105,VLOOKUP(T$1,main!$A$3:$H$102,5,FALSE)-VLOOKUP($A254,main!$A$3:$H$102,6,FALSE)&gt;=main!$D$103+VLOOKUP(VLOOKUP(T$1,main!$A$3:$I$102,7,FALSE),main!$K$26:$Q$29,5,FALSE)),1,0)</f>
        <v>0</v>
      </c>
      <c r="U254">
        <f>IF(AND(VLOOKUP(U$1,main!$A$3:$H$102,7,FALSE)=main!$G$105,VLOOKUP(U$1,main!$A$3:$H$102,5,FALSE)-VLOOKUP($A254,main!$A$3:$H$102,6,FALSE)&gt;=main!$D$103+VLOOKUP(VLOOKUP(U$1,main!$A$3:$I$102,7,FALSE),main!$K$26:$Q$29,5,FALSE)),1,0)</f>
        <v>0</v>
      </c>
      <c r="V254">
        <f>IF(AND(VLOOKUP(V$1,main!$A$3:$H$102,7,FALSE)=main!$G$105,VLOOKUP(V$1,main!$A$3:$H$102,5,FALSE)-VLOOKUP($A254,main!$A$3:$H$102,6,FALSE)&gt;=main!$D$103+VLOOKUP(VLOOKUP(V$1,main!$A$3:$I$102,7,FALSE),main!$K$26:$Q$29,5,FALSE)),1,0)</f>
        <v>0</v>
      </c>
      <c r="W254">
        <f>IF(AND(VLOOKUP(W$1,main!$A$3:$H$102,7,FALSE)=main!$G$105,VLOOKUP(W$1,main!$A$3:$H$102,5,FALSE)-VLOOKUP($A254,main!$A$3:$H$102,6,FALSE)&gt;=main!$D$103+VLOOKUP(VLOOKUP(W$1,main!$A$3:$I$102,7,FALSE),main!$K$26:$Q$29,5,FALSE)),1,0)</f>
        <v>0</v>
      </c>
      <c r="X254">
        <f>IF(AND(VLOOKUP(X$1,main!$A$3:$H$102,7,FALSE)=main!$G$105,VLOOKUP(X$1,main!$A$3:$H$102,5,FALSE)-VLOOKUP($A254,main!$A$3:$H$102,6,FALSE)&gt;=main!$D$103+VLOOKUP(VLOOKUP(X$1,main!$A$3:$I$102,7,FALSE),main!$K$26:$Q$29,5,FALSE)),1,0)</f>
        <v>0</v>
      </c>
      <c r="Y254">
        <f>IF(AND(VLOOKUP(Y$1,main!$A$3:$H$102,7,FALSE)=main!$G$105,VLOOKUP(Y$1,main!$A$3:$H$102,5,FALSE)-VLOOKUP($A254,main!$A$3:$H$102,6,FALSE)&gt;=main!$D$103+VLOOKUP(VLOOKUP(Y$1,main!$A$3:$I$102,7,FALSE),main!$K$26:$Q$29,5,FALSE)),1,0)</f>
        <v>0</v>
      </c>
      <c r="Z254">
        <f>IF(AND(VLOOKUP(Z$1,main!$A$3:$H$102,7,FALSE)=main!$G$105,VLOOKUP(Z$1,main!$A$3:$H$102,5,FALSE)-VLOOKUP($A254,main!$A$3:$H$102,6,FALSE)&gt;=main!$D$103+VLOOKUP(VLOOKUP(Z$1,main!$A$3:$I$102,7,FALSE),main!$K$26:$Q$29,5,FALSE)),1,0)</f>
        <v>0</v>
      </c>
      <c r="AA254">
        <f>IF(AND(VLOOKUP(AA$1,main!$A$3:$H$102,7,FALSE)=main!$G$105,VLOOKUP(AA$1,main!$A$3:$H$102,5,FALSE)-VLOOKUP($A254,main!$A$3:$H$102,6,FALSE)&gt;=main!$D$103+VLOOKUP(VLOOKUP(AA$1,main!$A$3:$I$102,7,FALSE),main!$K$26:$Q$29,5,FALSE)),1,0)</f>
        <v>0</v>
      </c>
      <c r="AB254">
        <f>IF(AND(VLOOKUP(AB$1,main!$A$3:$H$102,7,FALSE)=main!$G$105,VLOOKUP(AB$1,main!$A$3:$H$102,5,FALSE)-VLOOKUP($A254,main!$A$3:$H$102,6,FALSE)&gt;=main!$D$103+VLOOKUP(VLOOKUP(AB$1,main!$A$3:$I$102,7,FALSE),main!$K$26:$Q$29,5,FALSE)),1,0)</f>
        <v>0</v>
      </c>
      <c r="AC254">
        <f>IF(AND(VLOOKUP(AC$1,main!$A$3:$H$102,7,FALSE)=main!$G$105,VLOOKUP(AC$1,main!$A$3:$H$102,5,FALSE)-VLOOKUP($A254,main!$A$3:$H$102,6,FALSE)&gt;=main!$D$103+VLOOKUP(VLOOKUP(AC$1,main!$A$3:$I$102,7,FALSE),main!$K$26:$Q$29,5,FALSE)),1,0)</f>
        <v>0</v>
      </c>
      <c r="AD254">
        <f>IF(AND(VLOOKUP(AD$1,main!$A$3:$H$102,7,FALSE)=main!$G$105,VLOOKUP(AD$1,main!$A$3:$H$102,5,FALSE)-VLOOKUP($A254,main!$A$3:$H$102,6,FALSE)&gt;=main!$D$103+VLOOKUP(VLOOKUP(AD$1,main!$A$3:$I$102,7,FALSE),main!$K$26:$Q$29,5,FALSE)),1,0)</f>
        <v>0</v>
      </c>
      <c r="AE254">
        <f>IF(AND(VLOOKUP(AE$1,main!$A$3:$H$102,7,FALSE)=main!$G$105,VLOOKUP(AE$1,main!$A$3:$H$102,5,FALSE)-VLOOKUP($A254,main!$A$3:$H$102,6,FALSE)&gt;=main!$D$103+VLOOKUP(VLOOKUP(AE$1,main!$A$3:$I$102,7,FALSE),main!$K$26:$Q$29,5,FALSE)),1,0)</f>
        <v>0</v>
      </c>
      <c r="AF254">
        <f>IF(AND(VLOOKUP(AF$1,main!$A$3:$H$102,7,FALSE)=main!$G$105,VLOOKUP(AF$1,main!$A$3:$H$102,5,FALSE)-VLOOKUP($A254,main!$A$3:$H$102,6,FALSE)&gt;=main!$D$103+VLOOKUP(VLOOKUP(AF$1,main!$A$3:$I$102,7,FALSE),main!$K$26:$Q$29,5,FALSE)),1,0)</f>
        <v>0</v>
      </c>
      <c r="AG254">
        <f>IF(AND(VLOOKUP(AG$1,main!$A$3:$H$102,7,FALSE)=main!$G$105,VLOOKUP(AG$1,main!$A$3:$H$102,5,FALSE)-VLOOKUP($A254,main!$A$3:$H$102,6,FALSE)&gt;=main!$D$103+VLOOKUP(VLOOKUP(AG$1,main!$A$3:$I$102,7,FALSE),main!$K$26:$Q$29,5,FALSE)),1,0)</f>
        <v>0</v>
      </c>
      <c r="AH254">
        <f>IF(AND(VLOOKUP(AH$1,main!$A$3:$H$102,7,FALSE)=main!$G$105,VLOOKUP(AH$1,main!$A$3:$H$102,5,FALSE)-VLOOKUP($A254,main!$A$3:$H$102,6,FALSE)&gt;=main!$D$103+VLOOKUP(VLOOKUP(AH$1,main!$A$3:$I$102,7,FALSE),main!$K$26:$Q$29,5,FALSE)),1,0)</f>
        <v>0</v>
      </c>
      <c r="AI254">
        <f>IF(AND(VLOOKUP(AI$1,main!$A$3:$H$102,7,FALSE)=main!$G$105,VLOOKUP(AI$1,main!$A$3:$H$102,5,FALSE)-VLOOKUP($A254,main!$A$3:$H$102,6,FALSE)&gt;=main!$D$103+VLOOKUP(VLOOKUP(AI$1,main!$A$3:$I$102,7,FALSE),main!$K$26:$Q$29,5,FALSE)),1,0)</f>
        <v>0</v>
      </c>
      <c r="AJ254">
        <f>IF(AND(VLOOKUP(AJ$1,main!$A$3:$H$102,7,FALSE)=main!$G$105,VLOOKUP(AJ$1,main!$A$3:$H$102,5,FALSE)-VLOOKUP($A254,main!$A$3:$H$102,6,FALSE)&gt;=main!$D$103+VLOOKUP(VLOOKUP(AJ$1,main!$A$3:$I$102,7,FALSE),main!$K$26:$Q$29,5,FALSE)),1,0)</f>
        <v>0</v>
      </c>
      <c r="AK254">
        <f>IF(AND(VLOOKUP(AK$1,main!$A$3:$H$102,7,FALSE)=main!$G$105,VLOOKUP(AK$1,main!$A$3:$H$102,5,FALSE)-VLOOKUP($A254,main!$A$3:$H$102,6,FALSE)&gt;=main!$D$103+VLOOKUP(VLOOKUP(AK$1,main!$A$3:$I$102,7,FALSE),main!$K$26:$Q$29,5,FALSE)),1,0)</f>
        <v>0</v>
      </c>
      <c r="AL254">
        <f>IF(AND(VLOOKUP(AL$1,main!$A$3:$H$102,7,FALSE)=main!$G$105,VLOOKUP(AL$1,main!$A$3:$H$102,5,FALSE)-VLOOKUP($A254,main!$A$3:$H$102,6,FALSE)&gt;=main!$D$103+VLOOKUP(VLOOKUP(AL$1,main!$A$3:$I$102,7,FALSE),main!$K$26:$Q$29,5,FALSE)),1,0)</f>
        <v>1</v>
      </c>
      <c r="AM254">
        <f>IF(AND(VLOOKUP(AM$1,main!$A$3:$H$102,7,FALSE)=main!$G$105,VLOOKUP(AM$1,main!$A$3:$H$102,5,FALSE)-VLOOKUP($A254,main!$A$3:$H$102,6,FALSE)&gt;=main!$D$103+VLOOKUP(VLOOKUP(AM$1,main!$A$3:$I$102,7,FALSE),main!$K$26:$Q$29,5,FALSE)),1,0)</f>
        <v>1</v>
      </c>
      <c r="AN254">
        <f>IF(AND(VLOOKUP(AN$1,main!$A$3:$H$102,7,FALSE)=main!$G$105,VLOOKUP(AN$1,main!$A$3:$H$102,5,FALSE)-VLOOKUP($A254,main!$A$3:$H$102,6,FALSE)&gt;=main!$D$103+VLOOKUP(VLOOKUP(AN$1,main!$A$3:$I$102,7,FALSE),main!$K$26:$Q$29,5,FALSE)),1,0)</f>
        <v>1</v>
      </c>
      <c r="AO254">
        <f>IF(AND(VLOOKUP(AO$1,main!$A$3:$H$102,7,FALSE)=main!$G$105,VLOOKUP(AO$1,main!$A$3:$H$102,5,FALSE)-VLOOKUP($A254,main!$A$3:$H$102,6,FALSE)&gt;=main!$D$103+VLOOKUP(VLOOKUP(AO$1,main!$A$3:$I$102,7,FALSE),main!$K$26:$Q$29,5,FALSE)),1,0)</f>
        <v>0</v>
      </c>
      <c r="AP254">
        <f>IF(AND(VLOOKUP(AP$1,main!$A$3:$H$102,7,FALSE)=main!$G$105,VLOOKUP(AP$1,main!$A$3:$H$102,5,FALSE)-VLOOKUP($A254,main!$A$3:$H$102,6,FALSE)&gt;=main!$D$103+VLOOKUP(VLOOKUP(AP$1,main!$A$3:$I$102,7,FALSE),main!$K$26:$Q$29,5,FALSE)),1,0)</f>
        <v>1</v>
      </c>
      <c r="AQ254">
        <f>IF(AND(VLOOKUP(AQ$1,main!$A$3:$H$102,7,FALSE)=main!$G$105,VLOOKUP(AQ$1,main!$A$3:$H$102,5,FALSE)-VLOOKUP($A254,main!$A$3:$H$102,6,FALSE)&gt;=main!$D$103+VLOOKUP(VLOOKUP(AQ$1,main!$A$3:$I$102,7,FALSE),main!$K$26:$Q$29,5,FALSE)),1,0)</f>
        <v>0</v>
      </c>
      <c r="AR254">
        <f>IF(AND(VLOOKUP(AR$1,main!$A$3:$H$102,7,FALSE)=main!$G$105,VLOOKUP(AR$1,main!$A$3:$H$102,5,FALSE)-VLOOKUP($A254,main!$A$3:$H$102,6,FALSE)&gt;=main!$D$103+VLOOKUP(VLOOKUP(AR$1,main!$A$3:$I$102,7,FALSE),main!$K$26:$Q$29,5,FALSE)),1,0)</f>
        <v>0</v>
      </c>
      <c r="AS254">
        <f>IF(AND(VLOOKUP(AS$1,main!$A$3:$H$102,7,FALSE)=main!$G$105,VLOOKUP(AS$1,main!$A$3:$H$102,5,FALSE)-VLOOKUP($A254,main!$A$3:$H$102,6,FALSE)&gt;=main!$D$103+VLOOKUP(VLOOKUP(AS$1,main!$A$3:$I$102,7,FALSE),main!$K$26:$Q$29,5,FALSE)),1,0)</f>
        <v>0</v>
      </c>
      <c r="AT254">
        <f>IF(AND(VLOOKUP(AT$1,main!$A$3:$H$102,7,FALSE)=main!$G$105,VLOOKUP(AT$1,main!$A$3:$H$102,5,FALSE)-VLOOKUP($A254,main!$A$3:$H$102,6,FALSE)&gt;=main!$D$103+VLOOKUP(VLOOKUP(AT$1,main!$A$3:$I$102,7,FALSE),main!$K$26:$Q$29,5,FALSE)),1,0)</f>
        <v>1</v>
      </c>
      <c r="AU254">
        <f>IF(AND(VLOOKUP(AU$1,main!$A$3:$H$102,7,FALSE)=main!$G$105,VLOOKUP(AU$1,main!$A$3:$H$102,5,FALSE)-VLOOKUP($A254,main!$A$3:$H$102,6,FALSE)&gt;=main!$D$103+VLOOKUP(VLOOKUP(AU$1,main!$A$3:$I$102,7,FALSE),main!$K$26:$Q$29,5,FALSE)),1,0)</f>
        <v>0</v>
      </c>
      <c r="AV254">
        <f>IF(AND(VLOOKUP(AV$1,main!$A$3:$H$102,7,FALSE)=main!$G$105,VLOOKUP(AV$1,main!$A$3:$H$102,5,FALSE)-VLOOKUP($A254,main!$A$3:$H$102,6,FALSE)&gt;=main!$D$103+VLOOKUP(VLOOKUP(AV$1,main!$A$3:$I$102,7,FALSE),main!$K$26:$Q$29,5,FALSE)),1,0)</f>
        <v>0</v>
      </c>
      <c r="AW254">
        <f>IF(AND(VLOOKUP(AW$1,main!$A$3:$H$102,7,FALSE)=main!$G$105,VLOOKUP(AW$1,main!$A$3:$H$102,5,FALSE)-VLOOKUP($A254,main!$A$3:$H$102,6,FALSE)&gt;=main!$D$103+VLOOKUP(VLOOKUP(AW$1,main!$A$3:$I$102,7,FALSE),main!$K$26:$Q$29,5,FALSE)),1,0)</f>
        <v>0</v>
      </c>
      <c r="AX254">
        <f>IF(AND(VLOOKUP(AX$1,main!$A$3:$H$102,7,FALSE)=main!$G$105,VLOOKUP(AX$1,main!$A$3:$H$102,5,FALSE)-VLOOKUP($A254,main!$A$3:$H$102,6,FALSE)&gt;=main!$D$103+VLOOKUP(VLOOKUP(AX$1,main!$A$3:$I$102,7,FALSE),main!$K$26:$Q$29,5,FALSE)),1,0)</f>
        <v>0</v>
      </c>
      <c r="AY254">
        <f>IF(AND(VLOOKUP(AY$1,main!$A$3:$H$102,7,FALSE)=main!$G$105,VLOOKUP(AY$1,main!$A$3:$H$102,5,FALSE)-VLOOKUP($A254,main!$A$3:$H$102,6,FALSE)&gt;=main!$D$103+VLOOKUP(VLOOKUP(AY$1,main!$A$3:$I$102,7,FALSE),main!$K$26:$Q$29,5,FALSE)),1,0)</f>
        <v>0</v>
      </c>
      <c r="AZ254">
        <f>IF(AND(VLOOKUP(AZ$1,main!$A$3:$H$102,7,FALSE)=main!$G$105,VLOOKUP(AZ$1,main!$A$3:$H$102,5,FALSE)-VLOOKUP($A254,main!$A$3:$H$102,6,FALSE)&gt;=main!$D$103+VLOOKUP(VLOOKUP(AZ$1,main!$A$3:$I$102,7,FALSE),main!$K$26:$Q$29,5,FALSE)),1,0)</f>
        <v>0</v>
      </c>
      <c r="BA254">
        <f>IF(AND(VLOOKUP(BA$1,main!$A$3:$H$102,7,FALSE)=main!$G$105,VLOOKUP(BA$1,main!$A$3:$H$102,5,FALSE)-VLOOKUP($A254,main!$A$3:$H$102,6,FALSE)&gt;=main!$D$103+VLOOKUP(VLOOKUP(BA$1,main!$A$3:$I$102,7,FALSE),main!$K$26:$Q$29,5,FALSE)),1,0)</f>
        <v>0</v>
      </c>
      <c r="BB254">
        <f>IF(AND(VLOOKUP(BB$1,main!$A$3:$H$102,7,FALSE)=main!$G$105,VLOOKUP(BB$1,main!$A$3:$H$102,5,FALSE)-VLOOKUP($A254,main!$A$3:$H$102,6,FALSE)&gt;=main!$D$103+VLOOKUP(VLOOKUP(BB$1,main!$A$3:$I$102,7,FALSE),main!$K$26:$Q$29,5,FALSE)),1,0)</f>
        <v>0</v>
      </c>
      <c r="BC254">
        <f>IF(AND(VLOOKUP(BC$1,main!$A$3:$H$102,7,FALSE)=main!$G$105,VLOOKUP(BC$1,main!$A$3:$H$102,5,FALSE)-VLOOKUP($A254,main!$A$3:$H$102,6,FALSE)&gt;=main!$D$103+VLOOKUP(VLOOKUP(BC$1,main!$A$3:$I$102,7,FALSE),main!$K$26:$Q$29,5,FALSE)),1,0)</f>
        <v>0</v>
      </c>
      <c r="BD254">
        <f>IF(AND(VLOOKUP(BD$1,main!$A$3:$H$102,7,FALSE)=main!$G$105,VLOOKUP(BD$1,main!$A$3:$H$102,5,FALSE)-VLOOKUP($A254,main!$A$3:$H$102,6,FALSE)&gt;=main!$D$103+VLOOKUP(VLOOKUP(BD$1,main!$A$3:$I$102,7,FALSE),main!$K$26:$Q$29,5,FALSE)),1,0)</f>
        <v>0</v>
      </c>
      <c r="BE254">
        <f>IF(AND(VLOOKUP(BE$1,main!$A$3:$H$102,7,FALSE)=main!$G$105,VLOOKUP(BE$1,main!$A$3:$H$102,5,FALSE)-VLOOKUP($A254,main!$A$3:$H$102,6,FALSE)&gt;=main!$D$103+VLOOKUP(VLOOKUP(BE$1,main!$A$3:$I$102,7,FALSE),main!$K$26:$Q$29,5,FALSE)),1,0)</f>
        <v>0</v>
      </c>
      <c r="BF254">
        <f>IF(AND(VLOOKUP(BF$1,main!$A$3:$H$102,7,FALSE)=main!$G$105,VLOOKUP(BF$1,main!$A$3:$H$102,5,FALSE)-VLOOKUP($A254,main!$A$3:$H$102,6,FALSE)&gt;=main!$D$103+VLOOKUP(VLOOKUP(BF$1,main!$A$3:$I$102,7,FALSE),main!$K$26:$Q$29,5,FALSE)),1,0)</f>
        <v>0</v>
      </c>
      <c r="BG254">
        <f>IF(AND(VLOOKUP(BG$1,main!$A$3:$H$102,7,FALSE)=main!$G$105,VLOOKUP(BG$1,main!$A$3:$H$102,5,FALSE)-VLOOKUP($A254,main!$A$3:$H$102,6,FALSE)&gt;=main!$D$103+VLOOKUP(VLOOKUP(BG$1,main!$A$3:$I$102,7,FALSE),main!$K$26:$Q$29,5,FALSE)),1,0)</f>
        <v>0</v>
      </c>
      <c r="BH254">
        <f>IF(AND(VLOOKUP(BH$1,main!$A$3:$H$102,7,FALSE)=main!$G$105,VLOOKUP(BH$1,main!$A$3:$H$102,5,FALSE)-VLOOKUP($A254,main!$A$3:$H$102,6,FALSE)&gt;=main!$D$103+VLOOKUP(VLOOKUP(BH$1,main!$A$3:$I$102,7,FALSE),main!$K$26:$Q$29,5,FALSE)),1,0)</f>
        <v>0</v>
      </c>
      <c r="BI254">
        <f>IF(AND(VLOOKUP(BI$1,main!$A$3:$H$102,7,FALSE)=main!$G$105,VLOOKUP(BI$1,main!$A$3:$H$102,5,FALSE)-VLOOKUP($A254,main!$A$3:$H$102,6,FALSE)&gt;=main!$D$103+VLOOKUP(VLOOKUP(BI$1,main!$A$3:$I$102,7,FALSE),main!$K$26:$Q$29,5,FALSE)),1,0)</f>
        <v>0</v>
      </c>
      <c r="BJ254">
        <f>IF(AND(VLOOKUP(BJ$1,main!$A$3:$H$102,7,FALSE)=main!$G$105,VLOOKUP(BJ$1,main!$A$3:$H$102,5,FALSE)-VLOOKUP($A254,main!$A$3:$H$102,6,FALSE)&gt;=main!$D$103+VLOOKUP(VLOOKUP(BJ$1,main!$A$3:$I$102,7,FALSE),main!$K$26:$Q$29,5,FALSE)),1,0)</f>
        <v>0</v>
      </c>
      <c r="BK254">
        <f>IF(AND(VLOOKUP(BK$1,main!$A$3:$H$102,7,FALSE)=main!$G$105,VLOOKUP(BK$1,main!$A$3:$H$102,5,FALSE)-VLOOKUP($A254,main!$A$3:$H$102,6,FALSE)&gt;=main!$D$103+VLOOKUP(VLOOKUP(BK$1,main!$A$3:$I$102,7,FALSE),main!$K$26:$Q$29,5,FALSE)),1,0)</f>
        <v>0</v>
      </c>
      <c r="BL254">
        <f>IF(AND(VLOOKUP(BL$1,main!$A$3:$H$102,7,FALSE)=main!$G$105,VLOOKUP(BL$1,main!$A$3:$H$102,5,FALSE)-VLOOKUP($A254,main!$A$3:$H$102,6,FALSE)&gt;=main!$D$103+VLOOKUP(VLOOKUP(BL$1,main!$A$3:$I$102,7,FALSE),main!$K$26:$Q$29,5,FALSE)),1,0)</f>
        <v>0</v>
      </c>
      <c r="BM254">
        <f>IF(AND(VLOOKUP(BM$1,main!$A$3:$H$102,7,FALSE)=main!$G$105,VLOOKUP(BM$1,main!$A$3:$H$102,5,FALSE)-VLOOKUP($A254,main!$A$3:$H$102,6,FALSE)&gt;=main!$D$103+VLOOKUP(VLOOKUP(BM$1,main!$A$3:$I$102,7,FALSE),main!$K$26:$Q$29,5,FALSE)),1,0)</f>
        <v>0</v>
      </c>
      <c r="BN254">
        <f>IF(AND(VLOOKUP(BN$1,main!$A$3:$H$102,7,FALSE)=main!$G$105,VLOOKUP(BN$1,main!$A$3:$H$102,5,FALSE)-VLOOKUP($A254,main!$A$3:$H$102,6,FALSE)&gt;=main!$D$103+VLOOKUP(VLOOKUP(BN$1,main!$A$3:$I$102,7,FALSE),main!$K$26:$Q$29,5,FALSE)),1,0)</f>
        <v>0</v>
      </c>
      <c r="BO254">
        <f>IF(AND(VLOOKUP(BO$1,main!$A$3:$H$102,7,FALSE)=main!$G$105,VLOOKUP(BO$1,main!$A$3:$H$102,5,FALSE)-VLOOKUP($A254,main!$A$3:$H$102,6,FALSE)&gt;=main!$D$103+VLOOKUP(VLOOKUP(BO$1,main!$A$3:$I$102,7,FALSE),main!$K$26:$Q$29,5,FALSE)),1,0)</f>
        <v>0</v>
      </c>
      <c r="BP254">
        <f>IF(AND(VLOOKUP(BP$1,main!$A$3:$H$102,7,FALSE)=main!$G$105,VLOOKUP(BP$1,main!$A$3:$H$102,5,FALSE)-VLOOKUP($A254,main!$A$3:$H$102,6,FALSE)&gt;=main!$D$103+VLOOKUP(VLOOKUP(BP$1,main!$A$3:$I$102,7,FALSE),main!$K$26:$Q$29,5,FALSE)),1,0)</f>
        <v>0</v>
      </c>
      <c r="BQ254">
        <f>IF(AND(VLOOKUP(BQ$1,main!$A$3:$H$102,7,FALSE)=main!$G$105,VLOOKUP(BQ$1,main!$A$3:$H$102,5,FALSE)-VLOOKUP($A254,main!$A$3:$H$102,6,FALSE)&gt;=main!$D$103+VLOOKUP(VLOOKUP(BQ$1,main!$A$3:$I$102,7,FALSE),main!$K$26:$Q$29,5,FALSE)),1,0)</f>
        <v>0</v>
      </c>
      <c r="BR254">
        <f>IF(AND(VLOOKUP(BR$1,main!$A$3:$H$102,7,FALSE)=main!$G$105,VLOOKUP(BR$1,main!$A$3:$H$102,5,FALSE)-VLOOKUP($A254,main!$A$3:$H$102,6,FALSE)&gt;=main!$D$103+VLOOKUP(VLOOKUP(BR$1,main!$A$3:$I$102,7,FALSE),main!$K$26:$Q$29,5,FALSE)),1,0)</f>
        <v>0</v>
      </c>
      <c r="BS254">
        <f>IF(AND(VLOOKUP(BS$1,main!$A$3:$H$102,7,FALSE)=main!$G$105,VLOOKUP(BS$1,main!$A$3:$H$102,5,FALSE)-VLOOKUP($A254,main!$A$3:$H$102,6,FALSE)&gt;=main!$D$103+VLOOKUP(VLOOKUP(BS$1,main!$A$3:$I$102,7,FALSE),main!$K$26:$Q$29,5,FALSE)),1,0)</f>
        <v>0</v>
      </c>
      <c r="BT254">
        <f>IF(AND(VLOOKUP(BT$1,main!$A$3:$H$102,7,FALSE)=main!$G$105,VLOOKUP(BT$1,main!$A$3:$H$102,5,FALSE)-VLOOKUP($A254,main!$A$3:$H$102,6,FALSE)&gt;=main!$D$103+VLOOKUP(VLOOKUP(BT$1,main!$A$3:$I$102,7,FALSE),main!$K$26:$Q$29,5,FALSE)),1,0)</f>
        <v>0</v>
      </c>
      <c r="BU254">
        <f>IF(AND(VLOOKUP(BU$1,main!$A$3:$H$102,7,FALSE)=main!$G$105,VLOOKUP(BU$1,main!$A$3:$H$102,5,FALSE)-VLOOKUP($A254,main!$A$3:$H$102,6,FALSE)&gt;=main!$D$103+VLOOKUP(VLOOKUP(BU$1,main!$A$3:$I$102,7,FALSE),main!$K$26:$Q$29,5,FALSE)),1,0)</f>
        <v>0</v>
      </c>
      <c r="BV254">
        <f>IF(AND(VLOOKUP(BV$1,main!$A$3:$H$102,7,FALSE)=main!$G$105,VLOOKUP(BV$1,main!$A$3:$H$102,5,FALSE)-VLOOKUP($A254,main!$A$3:$H$102,6,FALSE)&gt;=main!$D$103+VLOOKUP(VLOOKUP(BV$1,main!$A$3:$I$102,7,FALSE),main!$K$26:$Q$29,5,FALSE)),1,0)</f>
        <v>0</v>
      </c>
      <c r="BW254">
        <f>IF(AND(VLOOKUP(BW$1,main!$A$3:$H$102,7,FALSE)=main!$G$105,VLOOKUP(BW$1,main!$A$3:$H$102,5,FALSE)-VLOOKUP($A254,main!$A$3:$H$102,6,FALSE)&gt;=main!$D$103+VLOOKUP(VLOOKUP(BW$1,main!$A$3:$I$102,7,FALSE),main!$K$26:$Q$29,5,FALSE)),1,0)</f>
        <v>0</v>
      </c>
      <c r="BX254">
        <f>IF(AND(VLOOKUP(BX$1,main!$A$3:$H$102,7,FALSE)=main!$G$105,VLOOKUP(BX$1,main!$A$3:$H$102,5,FALSE)-VLOOKUP($A254,main!$A$3:$H$102,6,FALSE)&gt;=main!$D$103+VLOOKUP(VLOOKUP(BX$1,main!$A$3:$I$102,7,FALSE),main!$K$26:$Q$29,5,FALSE)),1,0)</f>
        <v>0</v>
      </c>
      <c r="BY254">
        <f>IF(AND(VLOOKUP(BY$1,main!$A$3:$H$102,7,FALSE)=main!$G$105,VLOOKUP(BY$1,main!$A$3:$H$102,5,FALSE)-VLOOKUP($A254,main!$A$3:$H$102,6,FALSE)&gt;=main!$D$103+VLOOKUP(VLOOKUP(BY$1,main!$A$3:$I$102,7,FALSE),main!$K$26:$Q$29,5,FALSE)),1,0)</f>
        <v>0</v>
      </c>
      <c r="BZ254">
        <f>IF(AND(VLOOKUP(BZ$1,main!$A$3:$H$102,7,FALSE)=main!$G$105,VLOOKUP(BZ$1,main!$A$3:$H$102,5,FALSE)-VLOOKUP($A254,main!$A$3:$H$102,6,FALSE)&gt;=main!$D$103+VLOOKUP(VLOOKUP(BZ$1,main!$A$3:$I$102,7,FALSE),main!$K$26:$Q$29,5,FALSE)),1,0)</f>
        <v>0</v>
      </c>
      <c r="CA254">
        <f>IF(AND(VLOOKUP(CA$1,main!$A$3:$H$102,7,FALSE)=main!$G$105,VLOOKUP(CA$1,main!$A$3:$H$102,5,FALSE)-VLOOKUP($A254,main!$A$3:$H$102,6,FALSE)&gt;=main!$D$103+VLOOKUP(VLOOKUP(CA$1,main!$A$3:$I$102,7,FALSE),main!$K$26:$Q$29,5,FALSE)),1,0)</f>
        <v>0</v>
      </c>
      <c r="CB254">
        <f>IF(AND(VLOOKUP(CB$1,main!$A$3:$H$102,7,FALSE)=main!$G$105,VLOOKUP(CB$1,main!$A$3:$H$102,5,FALSE)-VLOOKUP($A254,main!$A$3:$H$102,6,FALSE)&gt;=main!$D$103+VLOOKUP(VLOOKUP(CB$1,main!$A$3:$I$102,7,FALSE),main!$K$26:$Q$29,5,FALSE)),1,0)</f>
        <v>0</v>
      </c>
      <c r="CC254">
        <f>IF(AND(VLOOKUP(CC$1,main!$A$3:$H$102,7,FALSE)=main!$G$105,VLOOKUP(CC$1,main!$A$3:$H$102,5,FALSE)-VLOOKUP($A254,main!$A$3:$H$102,6,FALSE)&gt;=main!$D$103+VLOOKUP(VLOOKUP(CC$1,main!$A$3:$I$102,7,FALSE),main!$K$26:$Q$29,5,FALSE)),1,0)</f>
        <v>0</v>
      </c>
      <c r="CD254">
        <f>IF(AND(VLOOKUP(CD$1,main!$A$3:$H$102,7,FALSE)=main!$G$105,VLOOKUP(CD$1,main!$A$3:$H$102,5,FALSE)-VLOOKUP($A254,main!$A$3:$H$102,6,FALSE)&gt;=main!$D$103+VLOOKUP(VLOOKUP(CD$1,main!$A$3:$I$102,7,FALSE),main!$K$26:$Q$29,5,FALSE)),1,0)</f>
        <v>0</v>
      </c>
      <c r="CE254">
        <f>IF(AND(VLOOKUP(CE$1,main!$A$3:$H$102,7,FALSE)=main!$G$105,VLOOKUP(CE$1,main!$A$3:$H$102,5,FALSE)-VLOOKUP($A254,main!$A$3:$H$102,6,FALSE)&gt;=main!$D$103+VLOOKUP(VLOOKUP(CE$1,main!$A$3:$I$102,7,FALSE),main!$K$26:$Q$29,5,FALSE)),1,0)</f>
        <v>0</v>
      </c>
      <c r="CF254">
        <f>IF(AND(VLOOKUP(CF$1,main!$A$3:$H$102,7,FALSE)=main!$G$105,VLOOKUP(CF$1,main!$A$3:$H$102,5,FALSE)-VLOOKUP($A254,main!$A$3:$H$102,6,FALSE)&gt;=main!$D$103+VLOOKUP(VLOOKUP(CF$1,main!$A$3:$I$102,7,FALSE),main!$K$26:$Q$29,5,FALSE)),1,0)</f>
        <v>0</v>
      </c>
      <c r="CG254">
        <f>IF(AND(VLOOKUP(CG$1,main!$A$3:$H$102,7,FALSE)=main!$G$105,VLOOKUP(CG$1,main!$A$3:$H$102,5,FALSE)-VLOOKUP($A254,main!$A$3:$H$102,6,FALSE)&gt;=main!$D$103+VLOOKUP(VLOOKUP(CG$1,main!$A$3:$I$102,7,FALSE),main!$K$26:$Q$29,5,FALSE)),1,0)</f>
        <v>0</v>
      </c>
      <c r="CH254">
        <f>IF(AND(VLOOKUP(CH$1,main!$A$3:$H$102,7,FALSE)=main!$G$105,VLOOKUP(CH$1,main!$A$3:$H$102,5,FALSE)-VLOOKUP($A254,main!$A$3:$H$102,6,FALSE)&gt;=main!$D$103+VLOOKUP(VLOOKUP(CH$1,main!$A$3:$I$102,7,FALSE),main!$K$26:$Q$29,5,FALSE)),1,0)</f>
        <v>0</v>
      </c>
      <c r="CI254">
        <f>IF(AND(VLOOKUP(CI$1,main!$A$3:$H$102,7,FALSE)=main!$G$105,VLOOKUP(CI$1,main!$A$3:$H$102,5,FALSE)-VLOOKUP($A254,main!$A$3:$H$102,6,FALSE)&gt;=main!$D$103+VLOOKUP(VLOOKUP(CI$1,main!$A$3:$I$102,7,FALSE),main!$K$26:$Q$29,5,FALSE)),1,0)</f>
        <v>0</v>
      </c>
      <c r="CJ254">
        <f>IF(AND(VLOOKUP(CJ$1,main!$A$3:$H$102,7,FALSE)=main!$G$105,VLOOKUP(CJ$1,main!$A$3:$H$102,5,FALSE)-VLOOKUP($A254,main!$A$3:$H$102,6,FALSE)&gt;=main!$D$103+VLOOKUP(VLOOKUP(CJ$1,main!$A$3:$I$102,7,FALSE),main!$K$26:$Q$29,5,FALSE)),1,0)</f>
        <v>0</v>
      </c>
      <c r="CK254">
        <f>IF(AND(VLOOKUP(CK$1,main!$A$3:$H$102,7,FALSE)=main!$G$105,VLOOKUP(CK$1,main!$A$3:$H$102,5,FALSE)-VLOOKUP($A254,main!$A$3:$H$102,6,FALSE)&gt;=main!$D$103+VLOOKUP(VLOOKUP(CK$1,main!$A$3:$I$102,7,FALSE),main!$K$26:$Q$29,5,FALSE)),1,0)</f>
        <v>0</v>
      </c>
      <c r="CL254">
        <f>IF(AND(VLOOKUP(CL$1,main!$A$3:$H$102,7,FALSE)=main!$G$105,VLOOKUP(CL$1,main!$A$3:$H$102,5,FALSE)-VLOOKUP($A254,main!$A$3:$H$102,6,FALSE)&gt;=main!$D$103+VLOOKUP(VLOOKUP(CL$1,main!$A$3:$I$102,7,FALSE),main!$K$26:$Q$29,5,FALSE)),1,0)</f>
        <v>0</v>
      </c>
      <c r="CM254">
        <f>IF(AND(VLOOKUP(CM$1,main!$A$3:$H$102,7,FALSE)=main!$G$105,VLOOKUP(CM$1,main!$A$3:$H$102,5,FALSE)-VLOOKUP($A254,main!$A$3:$H$102,6,FALSE)&gt;=main!$D$103+VLOOKUP(VLOOKUP(CM$1,main!$A$3:$I$102,7,FALSE),main!$K$26:$Q$29,5,FALSE)),1,0)</f>
        <v>0</v>
      </c>
      <c r="CN254">
        <f>IF(AND(VLOOKUP(CN$1,main!$A$3:$H$102,7,FALSE)=main!$G$105,VLOOKUP(CN$1,main!$A$3:$H$102,5,FALSE)-VLOOKUP($A254,main!$A$3:$H$102,6,FALSE)&gt;=main!$D$103+VLOOKUP(VLOOKUP(CN$1,main!$A$3:$I$102,7,FALSE),main!$K$26:$Q$29,5,FALSE)),1,0)</f>
        <v>0</v>
      </c>
      <c r="CO254">
        <f>IF(AND(VLOOKUP(CO$1,main!$A$3:$H$102,7,FALSE)=main!$G$105,VLOOKUP(CO$1,main!$A$3:$H$102,5,FALSE)-VLOOKUP($A254,main!$A$3:$H$102,6,FALSE)&gt;=main!$D$103+VLOOKUP(VLOOKUP(CO$1,main!$A$3:$I$102,7,FALSE),main!$K$26:$Q$29,5,FALSE)),1,0)</f>
        <v>0</v>
      </c>
      <c r="CP254">
        <f>IF(AND(VLOOKUP(CP$1,main!$A$3:$H$102,7,FALSE)=main!$G$105,VLOOKUP(CP$1,main!$A$3:$H$102,5,FALSE)-VLOOKUP($A254,main!$A$3:$H$102,6,FALSE)&gt;=main!$D$103+VLOOKUP(VLOOKUP(CP$1,main!$A$3:$I$102,7,FALSE),main!$K$26:$Q$29,5,FALSE)),1,0)</f>
        <v>0</v>
      </c>
      <c r="CQ254">
        <f>IF(AND(VLOOKUP(CQ$1,main!$A$3:$H$102,7,FALSE)=main!$G$105,VLOOKUP(CQ$1,main!$A$3:$H$102,5,FALSE)-VLOOKUP($A254,main!$A$3:$H$102,6,FALSE)&gt;=main!$D$103+VLOOKUP(VLOOKUP(CQ$1,main!$A$3:$I$102,7,FALSE),main!$K$26:$Q$29,5,FALSE)),1,0)</f>
        <v>0</v>
      </c>
      <c r="CR254">
        <f>IF(AND(VLOOKUP(CR$1,main!$A$3:$H$102,7,FALSE)=main!$G$105,VLOOKUP(CR$1,main!$A$3:$H$102,5,FALSE)-VLOOKUP($A254,main!$A$3:$H$102,6,FALSE)&gt;=main!$D$103+VLOOKUP(VLOOKUP(CR$1,main!$A$3:$I$102,7,FALSE),main!$K$26:$Q$29,5,FALSE)),1,0)</f>
        <v>0</v>
      </c>
      <c r="CS254">
        <f>IF(AND(VLOOKUP(CS$1,main!$A$3:$H$102,7,FALSE)=main!$G$105,VLOOKUP(CS$1,main!$A$3:$H$102,5,FALSE)-VLOOKUP($A254,main!$A$3:$H$102,6,FALSE)&gt;=main!$D$103+VLOOKUP(VLOOKUP(CS$1,main!$A$3:$I$102,7,FALSE),main!$K$26:$Q$29,5,FALSE)),1,0)</f>
        <v>0</v>
      </c>
      <c r="CT254">
        <f>IF(AND(VLOOKUP(CT$1,main!$A$3:$H$102,7,FALSE)=main!$G$105,VLOOKUP(CT$1,main!$A$3:$H$102,5,FALSE)-VLOOKUP($A254,main!$A$3:$H$102,6,FALSE)&gt;=main!$D$103+VLOOKUP(VLOOKUP(CT$1,main!$A$3:$I$102,7,FALSE),main!$K$26:$Q$29,5,FALSE)),1,0)</f>
        <v>0</v>
      </c>
      <c r="CU254">
        <f>IF(AND(VLOOKUP(CU$1,main!$A$3:$H$102,7,FALSE)=main!$G$105,VLOOKUP(CU$1,main!$A$3:$H$102,5,FALSE)-VLOOKUP($A254,main!$A$3:$H$102,6,FALSE)&gt;=main!$D$103+VLOOKUP(VLOOKUP(CU$1,main!$A$3:$I$102,7,FALSE),main!$K$26:$Q$29,5,FALSE)),1,0)</f>
        <v>0</v>
      </c>
      <c r="CV254">
        <f>IF(AND(VLOOKUP(CV$1,main!$A$3:$H$102,7,FALSE)=main!$G$105,VLOOKUP(CV$1,main!$A$3:$H$102,5,FALSE)-VLOOKUP($A254,main!$A$3:$H$102,6,FALSE)&gt;=main!$D$103+VLOOKUP(VLOOKUP(CV$1,main!$A$3:$I$102,7,FALSE),main!$K$26:$Q$29,5,FALSE)),1,0)</f>
        <v>0</v>
      </c>
      <c r="CW254">
        <f>IF(AND(VLOOKUP(CW$1,main!$A$3:$H$102,7,FALSE)=main!$G$105,VLOOKUP(CW$1,main!$A$3:$H$102,5,FALSE)-VLOOKUP($A254,main!$A$3:$H$102,6,FALSE)&gt;=main!$D$103+VLOOKUP(VLOOKUP(CW$1,main!$A$3:$I$102,7,FALSE),main!$K$26:$Q$29,5,FALSE)),1,0)</f>
        <v>0</v>
      </c>
      <c r="CX254">
        <f>IF(AND(VLOOKUP(CX$1,main!$A$3:$H$102,7,FALSE)=main!$G$105,VLOOKUP(CX$1,main!$A$3:$H$102,5,FALSE)-VLOOKUP($A254,main!$A$3:$H$102,6,FALSE)&gt;=main!$D$103+VLOOKUP(VLOOKUP(CX$1,main!$A$3:$I$102,7,FALSE),main!$K$26:$Q$29,5,FALSE)),1,0)</f>
        <v>0</v>
      </c>
    </row>
    <row r="255" spans="1:102" x14ac:dyDescent="0.25">
      <c r="A255" s="1">
        <v>51</v>
      </c>
      <c r="B255">
        <v>0</v>
      </c>
      <c r="C255">
        <f>IF(AND(VLOOKUP(C$1,main!$A$3:$H$102,7,FALSE)=main!$G$105,VLOOKUP(C$1,main!$A$3:$H$102,5,FALSE)-VLOOKUP($A255,main!$A$3:$H$102,6,FALSE)&gt;=main!$D$103+VLOOKUP(VLOOKUP(C$1,main!$A$3:$I$102,7,FALSE),main!$K$26:$Q$29,5,FALSE)),1,0)</f>
        <v>0</v>
      </c>
      <c r="D255">
        <f>IF(AND(VLOOKUP(D$1,main!$A$3:$H$102,7,FALSE)=main!$G$105,VLOOKUP(D$1,main!$A$3:$H$102,5,FALSE)-VLOOKUP($A255,main!$A$3:$H$102,6,FALSE)&gt;=main!$D$103+VLOOKUP(VLOOKUP(D$1,main!$A$3:$I$102,7,FALSE),main!$K$26:$Q$29,5,FALSE)),1,0)</f>
        <v>0</v>
      </c>
      <c r="E255">
        <f>IF(AND(VLOOKUP(E$1,main!$A$3:$H$102,7,FALSE)=main!$G$105,VLOOKUP(E$1,main!$A$3:$H$102,5,FALSE)-VLOOKUP($A255,main!$A$3:$H$102,6,FALSE)&gt;=main!$D$103+VLOOKUP(VLOOKUP(E$1,main!$A$3:$I$102,7,FALSE),main!$K$26:$Q$29,5,FALSE)),1,0)</f>
        <v>0</v>
      </c>
      <c r="F255">
        <f>IF(AND(VLOOKUP(F$1,main!$A$3:$H$102,7,FALSE)=main!$G$105,VLOOKUP(F$1,main!$A$3:$H$102,5,FALSE)-VLOOKUP($A255,main!$A$3:$H$102,6,FALSE)&gt;=main!$D$103+VLOOKUP(VLOOKUP(F$1,main!$A$3:$I$102,7,FALSE),main!$K$26:$Q$29,5,FALSE)),1,0)</f>
        <v>0</v>
      </c>
      <c r="G255">
        <f>IF(AND(VLOOKUP(G$1,main!$A$3:$H$102,7,FALSE)=main!$G$105,VLOOKUP(G$1,main!$A$3:$H$102,5,FALSE)-VLOOKUP($A255,main!$A$3:$H$102,6,FALSE)&gt;=main!$D$103+VLOOKUP(VLOOKUP(G$1,main!$A$3:$I$102,7,FALSE),main!$K$26:$Q$29,5,FALSE)),1,0)</f>
        <v>0</v>
      </c>
      <c r="H255">
        <f>IF(AND(VLOOKUP(H$1,main!$A$3:$H$102,7,FALSE)=main!$G$105,VLOOKUP(H$1,main!$A$3:$H$102,5,FALSE)-VLOOKUP($A255,main!$A$3:$H$102,6,FALSE)&gt;=main!$D$103+VLOOKUP(VLOOKUP(H$1,main!$A$3:$I$102,7,FALSE),main!$K$26:$Q$29,5,FALSE)),1,0)</f>
        <v>0</v>
      </c>
      <c r="I255">
        <f>IF(AND(VLOOKUP(I$1,main!$A$3:$H$102,7,FALSE)=main!$G$105,VLOOKUP(I$1,main!$A$3:$H$102,5,FALSE)-VLOOKUP($A255,main!$A$3:$H$102,6,FALSE)&gt;=main!$D$103+VLOOKUP(VLOOKUP(I$1,main!$A$3:$I$102,7,FALSE),main!$K$26:$Q$29,5,FALSE)),1,0)</f>
        <v>0</v>
      </c>
      <c r="J255">
        <f>IF(AND(VLOOKUP(J$1,main!$A$3:$H$102,7,FALSE)=main!$G$105,VLOOKUP(J$1,main!$A$3:$H$102,5,FALSE)-VLOOKUP($A255,main!$A$3:$H$102,6,FALSE)&gt;=main!$D$103+VLOOKUP(VLOOKUP(J$1,main!$A$3:$I$102,7,FALSE),main!$K$26:$Q$29,5,FALSE)),1,0)</f>
        <v>0</v>
      </c>
      <c r="K255">
        <f>IF(AND(VLOOKUP(K$1,main!$A$3:$H$102,7,FALSE)=main!$G$105,VLOOKUP(K$1,main!$A$3:$H$102,5,FALSE)-VLOOKUP($A255,main!$A$3:$H$102,6,FALSE)&gt;=main!$D$103+VLOOKUP(VLOOKUP(K$1,main!$A$3:$I$102,7,FALSE),main!$K$26:$Q$29,5,FALSE)),1,0)</f>
        <v>0</v>
      </c>
      <c r="L255">
        <f>IF(AND(VLOOKUP(L$1,main!$A$3:$H$102,7,FALSE)=main!$G$105,VLOOKUP(L$1,main!$A$3:$H$102,5,FALSE)-VLOOKUP($A255,main!$A$3:$H$102,6,FALSE)&gt;=main!$D$103+VLOOKUP(VLOOKUP(L$1,main!$A$3:$I$102,7,FALSE),main!$K$26:$Q$29,5,FALSE)),1,0)</f>
        <v>0</v>
      </c>
      <c r="M255">
        <f>IF(AND(VLOOKUP(M$1,main!$A$3:$H$102,7,FALSE)=main!$G$105,VLOOKUP(M$1,main!$A$3:$H$102,5,FALSE)-VLOOKUP($A255,main!$A$3:$H$102,6,FALSE)&gt;=main!$D$103+VLOOKUP(VLOOKUP(M$1,main!$A$3:$I$102,7,FALSE),main!$K$26:$Q$29,5,FALSE)),1,0)</f>
        <v>0</v>
      </c>
      <c r="N255">
        <f>IF(AND(VLOOKUP(N$1,main!$A$3:$H$102,7,FALSE)=main!$G$105,VLOOKUP(N$1,main!$A$3:$H$102,5,FALSE)-VLOOKUP($A255,main!$A$3:$H$102,6,FALSE)&gt;=main!$D$103+VLOOKUP(VLOOKUP(N$1,main!$A$3:$I$102,7,FALSE),main!$K$26:$Q$29,5,FALSE)),1,0)</f>
        <v>0</v>
      </c>
      <c r="O255">
        <f>IF(AND(VLOOKUP(O$1,main!$A$3:$H$102,7,FALSE)=main!$G$105,VLOOKUP(O$1,main!$A$3:$H$102,5,FALSE)-VLOOKUP($A255,main!$A$3:$H$102,6,FALSE)&gt;=main!$D$103+VLOOKUP(VLOOKUP(O$1,main!$A$3:$I$102,7,FALSE),main!$K$26:$Q$29,5,FALSE)),1,0)</f>
        <v>0</v>
      </c>
      <c r="P255">
        <f>IF(AND(VLOOKUP(P$1,main!$A$3:$H$102,7,FALSE)=main!$G$105,VLOOKUP(P$1,main!$A$3:$H$102,5,FALSE)-VLOOKUP($A255,main!$A$3:$H$102,6,FALSE)&gt;=main!$D$103+VLOOKUP(VLOOKUP(P$1,main!$A$3:$I$102,7,FALSE),main!$K$26:$Q$29,5,FALSE)),1,0)</f>
        <v>0</v>
      </c>
      <c r="Q255">
        <f>IF(AND(VLOOKUP(Q$1,main!$A$3:$H$102,7,FALSE)=main!$G$105,VLOOKUP(Q$1,main!$A$3:$H$102,5,FALSE)-VLOOKUP($A255,main!$A$3:$H$102,6,FALSE)&gt;=main!$D$103+VLOOKUP(VLOOKUP(Q$1,main!$A$3:$I$102,7,FALSE),main!$K$26:$Q$29,5,FALSE)),1,0)</f>
        <v>0</v>
      </c>
      <c r="R255">
        <f>IF(AND(VLOOKUP(R$1,main!$A$3:$H$102,7,FALSE)=main!$G$105,VLOOKUP(R$1,main!$A$3:$H$102,5,FALSE)-VLOOKUP($A255,main!$A$3:$H$102,6,FALSE)&gt;=main!$D$103+VLOOKUP(VLOOKUP(R$1,main!$A$3:$I$102,7,FALSE),main!$K$26:$Q$29,5,FALSE)),1,0)</f>
        <v>0</v>
      </c>
      <c r="S255">
        <f>IF(AND(VLOOKUP(S$1,main!$A$3:$H$102,7,FALSE)=main!$G$105,VLOOKUP(S$1,main!$A$3:$H$102,5,FALSE)-VLOOKUP($A255,main!$A$3:$H$102,6,FALSE)&gt;=main!$D$103+VLOOKUP(VLOOKUP(S$1,main!$A$3:$I$102,7,FALSE),main!$K$26:$Q$29,5,FALSE)),1,0)</f>
        <v>0</v>
      </c>
      <c r="T255">
        <f>IF(AND(VLOOKUP(T$1,main!$A$3:$H$102,7,FALSE)=main!$G$105,VLOOKUP(T$1,main!$A$3:$H$102,5,FALSE)-VLOOKUP($A255,main!$A$3:$H$102,6,FALSE)&gt;=main!$D$103+VLOOKUP(VLOOKUP(T$1,main!$A$3:$I$102,7,FALSE),main!$K$26:$Q$29,5,FALSE)),1,0)</f>
        <v>0</v>
      </c>
      <c r="U255">
        <f>IF(AND(VLOOKUP(U$1,main!$A$3:$H$102,7,FALSE)=main!$G$105,VLOOKUP(U$1,main!$A$3:$H$102,5,FALSE)-VLOOKUP($A255,main!$A$3:$H$102,6,FALSE)&gt;=main!$D$103+VLOOKUP(VLOOKUP(U$1,main!$A$3:$I$102,7,FALSE),main!$K$26:$Q$29,5,FALSE)),1,0)</f>
        <v>0</v>
      </c>
      <c r="V255">
        <f>IF(AND(VLOOKUP(V$1,main!$A$3:$H$102,7,FALSE)=main!$G$105,VLOOKUP(V$1,main!$A$3:$H$102,5,FALSE)-VLOOKUP($A255,main!$A$3:$H$102,6,FALSE)&gt;=main!$D$103+VLOOKUP(VLOOKUP(V$1,main!$A$3:$I$102,7,FALSE),main!$K$26:$Q$29,5,FALSE)),1,0)</f>
        <v>0</v>
      </c>
      <c r="W255">
        <f>IF(AND(VLOOKUP(W$1,main!$A$3:$H$102,7,FALSE)=main!$G$105,VLOOKUP(W$1,main!$A$3:$H$102,5,FALSE)-VLOOKUP($A255,main!$A$3:$H$102,6,FALSE)&gt;=main!$D$103+VLOOKUP(VLOOKUP(W$1,main!$A$3:$I$102,7,FALSE),main!$K$26:$Q$29,5,FALSE)),1,0)</f>
        <v>0</v>
      </c>
      <c r="X255">
        <f>IF(AND(VLOOKUP(X$1,main!$A$3:$H$102,7,FALSE)=main!$G$105,VLOOKUP(X$1,main!$A$3:$H$102,5,FALSE)-VLOOKUP($A255,main!$A$3:$H$102,6,FALSE)&gt;=main!$D$103+VLOOKUP(VLOOKUP(X$1,main!$A$3:$I$102,7,FALSE),main!$K$26:$Q$29,5,FALSE)),1,0)</f>
        <v>0</v>
      </c>
      <c r="Y255">
        <f>IF(AND(VLOOKUP(Y$1,main!$A$3:$H$102,7,FALSE)=main!$G$105,VLOOKUP(Y$1,main!$A$3:$H$102,5,FALSE)-VLOOKUP($A255,main!$A$3:$H$102,6,FALSE)&gt;=main!$D$103+VLOOKUP(VLOOKUP(Y$1,main!$A$3:$I$102,7,FALSE),main!$K$26:$Q$29,5,FALSE)),1,0)</f>
        <v>0</v>
      </c>
      <c r="Z255">
        <f>IF(AND(VLOOKUP(Z$1,main!$A$3:$H$102,7,FALSE)=main!$G$105,VLOOKUP(Z$1,main!$A$3:$H$102,5,FALSE)-VLOOKUP($A255,main!$A$3:$H$102,6,FALSE)&gt;=main!$D$103+VLOOKUP(VLOOKUP(Z$1,main!$A$3:$I$102,7,FALSE),main!$K$26:$Q$29,5,FALSE)),1,0)</f>
        <v>0</v>
      </c>
      <c r="AA255">
        <f>IF(AND(VLOOKUP(AA$1,main!$A$3:$H$102,7,FALSE)=main!$G$105,VLOOKUP(AA$1,main!$A$3:$H$102,5,FALSE)-VLOOKUP($A255,main!$A$3:$H$102,6,FALSE)&gt;=main!$D$103+VLOOKUP(VLOOKUP(AA$1,main!$A$3:$I$102,7,FALSE),main!$K$26:$Q$29,5,FALSE)),1,0)</f>
        <v>0</v>
      </c>
      <c r="AB255">
        <f>IF(AND(VLOOKUP(AB$1,main!$A$3:$H$102,7,FALSE)=main!$G$105,VLOOKUP(AB$1,main!$A$3:$H$102,5,FALSE)-VLOOKUP($A255,main!$A$3:$H$102,6,FALSE)&gt;=main!$D$103+VLOOKUP(VLOOKUP(AB$1,main!$A$3:$I$102,7,FALSE),main!$K$26:$Q$29,5,FALSE)),1,0)</f>
        <v>0</v>
      </c>
      <c r="AC255">
        <f>IF(AND(VLOOKUP(AC$1,main!$A$3:$H$102,7,FALSE)=main!$G$105,VLOOKUP(AC$1,main!$A$3:$H$102,5,FALSE)-VLOOKUP($A255,main!$A$3:$H$102,6,FALSE)&gt;=main!$D$103+VLOOKUP(VLOOKUP(AC$1,main!$A$3:$I$102,7,FALSE),main!$K$26:$Q$29,5,FALSE)),1,0)</f>
        <v>0</v>
      </c>
      <c r="AD255">
        <f>IF(AND(VLOOKUP(AD$1,main!$A$3:$H$102,7,FALSE)=main!$G$105,VLOOKUP(AD$1,main!$A$3:$H$102,5,FALSE)-VLOOKUP($A255,main!$A$3:$H$102,6,FALSE)&gt;=main!$D$103+VLOOKUP(VLOOKUP(AD$1,main!$A$3:$I$102,7,FALSE),main!$K$26:$Q$29,5,FALSE)),1,0)</f>
        <v>0</v>
      </c>
      <c r="AE255">
        <f>IF(AND(VLOOKUP(AE$1,main!$A$3:$H$102,7,FALSE)=main!$G$105,VLOOKUP(AE$1,main!$A$3:$H$102,5,FALSE)-VLOOKUP($A255,main!$A$3:$H$102,6,FALSE)&gt;=main!$D$103+VLOOKUP(VLOOKUP(AE$1,main!$A$3:$I$102,7,FALSE),main!$K$26:$Q$29,5,FALSE)),1,0)</f>
        <v>0</v>
      </c>
      <c r="AF255">
        <f>IF(AND(VLOOKUP(AF$1,main!$A$3:$H$102,7,FALSE)=main!$G$105,VLOOKUP(AF$1,main!$A$3:$H$102,5,FALSE)-VLOOKUP($A255,main!$A$3:$H$102,6,FALSE)&gt;=main!$D$103+VLOOKUP(VLOOKUP(AF$1,main!$A$3:$I$102,7,FALSE),main!$K$26:$Q$29,5,FALSE)),1,0)</f>
        <v>0</v>
      </c>
      <c r="AG255">
        <f>IF(AND(VLOOKUP(AG$1,main!$A$3:$H$102,7,FALSE)=main!$G$105,VLOOKUP(AG$1,main!$A$3:$H$102,5,FALSE)-VLOOKUP($A255,main!$A$3:$H$102,6,FALSE)&gt;=main!$D$103+VLOOKUP(VLOOKUP(AG$1,main!$A$3:$I$102,7,FALSE),main!$K$26:$Q$29,5,FALSE)),1,0)</f>
        <v>0</v>
      </c>
      <c r="AH255">
        <f>IF(AND(VLOOKUP(AH$1,main!$A$3:$H$102,7,FALSE)=main!$G$105,VLOOKUP(AH$1,main!$A$3:$H$102,5,FALSE)-VLOOKUP($A255,main!$A$3:$H$102,6,FALSE)&gt;=main!$D$103+VLOOKUP(VLOOKUP(AH$1,main!$A$3:$I$102,7,FALSE),main!$K$26:$Q$29,5,FALSE)),1,0)</f>
        <v>0</v>
      </c>
      <c r="AI255">
        <f>IF(AND(VLOOKUP(AI$1,main!$A$3:$H$102,7,FALSE)=main!$G$105,VLOOKUP(AI$1,main!$A$3:$H$102,5,FALSE)-VLOOKUP($A255,main!$A$3:$H$102,6,FALSE)&gt;=main!$D$103+VLOOKUP(VLOOKUP(AI$1,main!$A$3:$I$102,7,FALSE),main!$K$26:$Q$29,5,FALSE)),1,0)</f>
        <v>0</v>
      </c>
      <c r="AJ255">
        <f>IF(AND(VLOOKUP(AJ$1,main!$A$3:$H$102,7,FALSE)=main!$G$105,VLOOKUP(AJ$1,main!$A$3:$H$102,5,FALSE)-VLOOKUP($A255,main!$A$3:$H$102,6,FALSE)&gt;=main!$D$103+VLOOKUP(VLOOKUP(AJ$1,main!$A$3:$I$102,7,FALSE),main!$K$26:$Q$29,5,FALSE)),1,0)</f>
        <v>1</v>
      </c>
      <c r="AK255">
        <f>IF(AND(VLOOKUP(AK$1,main!$A$3:$H$102,7,FALSE)=main!$G$105,VLOOKUP(AK$1,main!$A$3:$H$102,5,FALSE)-VLOOKUP($A255,main!$A$3:$H$102,6,FALSE)&gt;=main!$D$103+VLOOKUP(VLOOKUP(AK$1,main!$A$3:$I$102,7,FALSE),main!$K$26:$Q$29,5,FALSE)),1,0)</f>
        <v>1</v>
      </c>
      <c r="AL255">
        <f>IF(AND(VLOOKUP(AL$1,main!$A$3:$H$102,7,FALSE)=main!$G$105,VLOOKUP(AL$1,main!$A$3:$H$102,5,FALSE)-VLOOKUP($A255,main!$A$3:$H$102,6,FALSE)&gt;=main!$D$103+VLOOKUP(VLOOKUP(AL$1,main!$A$3:$I$102,7,FALSE),main!$K$26:$Q$29,5,FALSE)),1,0)</f>
        <v>1</v>
      </c>
      <c r="AM255">
        <f>IF(AND(VLOOKUP(AM$1,main!$A$3:$H$102,7,FALSE)=main!$G$105,VLOOKUP(AM$1,main!$A$3:$H$102,5,FALSE)-VLOOKUP($A255,main!$A$3:$H$102,6,FALSE)&gt;=main!$D$103+VLOOKUP(VLOOKUP(AM$1,main!$A$3:$I$102,7,FALSE),main!$K$26:$Q$29,5,FALSE)),1,0)</f>
        <v>1</v>
      </c>
      <c r="AN255">
        <f>IF(AND(VLOOKUP(AN$1,main!$A$3:$H$102,7,FALSE)=main!$G$105,VLOOKUP(AN$1,main!$A$3:$H$102,5,FALSE)-VLOOKUP($A255,main!$A$3:$H$102,6,FALSE)&gt;=main!$D$103+VLOOKUP(VLOOKUP(AN$1,main!$A$3:$I$102,7,FALSE),main!$K$26:$Q$29,5,FALSE)),1,0)</f>
        <v>1</v>
      </c>
      <c r="AO255">
        <f>IF(AND(VLOOKUP(AO$1,main!$A$3:$H$102,7,FALSE)=main!$G$105,VLOOKUP(AO$1,main!$A$3:$H$102,5,FALSE)-VLOOKUP($A255,main!$A$3:$H$102,6,FALSE)&gt;=main!$D$103+VLOOKUP(VLOOKUP(AO$1,main!$A$3:$I$102,7,FALSE),main!$K$26:$Q$29,5,FALSE)),1,0)</f>
        <v>0</v>
      </c>
      <c r="AP255">
        <f>IF(AND(VLOOKUP(AP$1,main!$A$3:$H$102,7,FALSE)=main!$G$105,VLOOKUP(AP$1,main!$A$3:$H$102,5,FALSE)-VLOOKUP($A255,main!$A$3:$H$102,6,FALSE)&gt;=main!$D$103+VLOOKUP(VLOOKUP(AP$1,main!$A$3:$I$102,7,FALSE),main!$K$26:$Q$29,5,FALSE)),1,0)</f>
        <v>1</v>
      </c>
      <c r="AQ255">
        <f>IF(AND(VLOOKUP(AQ$1,main!$A$3:$H$102,7,FALSE)=main!$G$105,VLOOKUP(AQ$1,main!$A$3:$H$102,5,FALSE)-VLOOKUP($A255,main!$A$3:$H$102,6,FALSE)&gt;=main!$D$103+VLOOKUP(VLOOKUP(AQ$1,main!$A$3:$I$102,7,FALSE),main!$K$26:$Q$29,5,FALSE)),1,0)</f>
        <v>0</v>
      </c>
      <c r="AR255">
        <f>IF(AND(VLOOKUP(AR$1,main!$A$3:$H$102,7,FALSE)=main!$G$105,VLOOKUP(AR$1,main!$A$3:$H$102,5,FALSE)-VLOOKUP($A255,main!$A$3:$H$102,6,FALSE)&gt;=main!$D$103+VLOOKUP(VLOOKUP(AR$1,main!$A$3:$I$102,7,FALSE),main!$K$26:$Q$29,5,FALSE)),1,0)</f>
        <v>0</v>
      </c>
      <c r="AS255">
        <f>IF(AND(VLOOKUP(AS$1,main!$A$3:$H$102,7,FALSE)=main!$G$105,VLOOKUP(AS$1,main!$A$3:$H$102,5,FALSE)-VLOOKUP($A255,main!$A$3:$H$102,6,FALSE)&gt;=main!$D$103+VLOOKUP(VLOOKUP(AS$1,main!$A$3:$I$102,7,FALSE),main!$K$26:$Q$29,5,FALSE)),1,0)</f>
        <v>1</v>
      </c>
      <c r="AT255">
        <f>IF(AND(VLOOKUP(AT$1,main!$A$3:$H$102,7,FALSE)=main!$G$105,VLOOKUP(AT$1,main!$A$3:$H$102,5,FALSE)-VLOOKUP($A255,main!$A$3:$H$102,6,FALSE)&gt;=main!$D$103+VLOOKUP(VLOOKUP(AT$1,main!$A$3:$I$102,7,FALSE),main!$K$26:$Q$29,5,FALSE)),1,0)</f>
        <v>1</v>
      </c>
      <c r="AU255">
        <f>IF(AND(VLOOKUP(AU$1,main!$A$3:$H$102,7,FALSE)=main!$G$105,VLOOKUP(AU$1,main!$A$3:$H$102,5,FALSE)-VLOOKUP($A255,main!$A$3:$H$102,6,FALSE)&gt;=main!$D$103+VLOOKUP(VLOOKUP(AU$1,main!$A$3:$I$102,7,FALSE),main!$K$26:$Q$29,5,FALSE)),1,0)</f>
        <v>0</v>
      </c>
      <c r="AV255">
        <f>IF(AND(VLOOKUP(AV$1,main!$A$3:$H$102,7,FALSE)=main!$G$105,VLOOKUP(AV$1,main!$A$3:$H$102,5,FALSE)-VLOOKUP($A255,main!$A$3:$H$102,6,FALSE)&gt;=main!$D$103+VLOOKUP(VLOOKUP(AV$1,main!$A$3:$I$102,7,FALSE),main!$K$26:$Q$29,5,FALSE)),1,0)</f>
        <v>0</v>
      </c>
      <c r="AW255">
        <f>IF(AND(VLOOKUP(AW$1,main!$A$3:$H$102,7,FALSE)=main!$G$105,VLOOKUP(AW$1,main!$A$3:$H$102,5,FALSE)-VLOOKUP($A255,main!$A$3:$H$102,6,FALSE)&gt;=main!$D$103+VLOOKUP(VLOOKUP(AW$1,main!$A$3:$I$102,7,FALSE),main!$K$26:$Q$29,5,FALSE)),1,0)</f>
        <v>1</v>
      </c>
      <c r="AX255">
        <f>IF(AND(VLOOKUP(AX$1,main!$A$3:$H$102,7,FALSE)=main!$G$105,VLOOKUP(AX$1,main!$A$3:$H$102,5,FALSE)-VLOOKUP($A255,main!$A$3:$H$102,6,FALSE)&gt;=main!$D$103+VLOOKUP(VLOOKUP(AX$1,main!$A$3:$I$102,7,FALSE),main!$K$26:$Q$29,5,FALSE)),1,0)</f>
        <v>0</v>
      </c>
      <c r="AY255">
        <f>IF(AND(VLOOKUP(AY$1,main!$A$3:$H$102,7,FALSE)=main!$G$105,VLOOKUP(AY$1,main!$A$3:$H$102,5,FALSE)-VLOOKUP($A255,main!$A$3:$H$102,6,FALSE)&gt;=main!$D$103+VLOOKUP(VLOOKUP(AY$1,main!$A$3:$I$102,7,FALSE),main!$K$26:$Q$29,5,FALSE)),1,0)</f>
        <v>0</v>
      </c>
      <c r="AZ255">
        <f>IF(AND(VLOOKUP(AZ$1,main!$A$3:$H$102,7,FALSE)=main!$G$105,VLOOKUP(AZ$1,main!$A$3:$H$102,5,FALSE)-VLOOKUP($A255,main!$A$3:$H$102,6,FALSE)&gt;=main!$D$103+VLOOKUP(VLOOKUP(AZ$1,main!$A$3:$I$102,7,FALSE),main!$K$26:$Q$29,5,FALSE)),1,0)</f>
        <v>0</v>
      </c>
      <c r="BA255">
        <f>IF(AND(VLOOKUP(BA$1,main!$A$3:$H$102,7,FALSE)=main!$G$105,VLOOKUP(BA$1,main!$A$3:$H$102,5,FALSE)-VLOOKUP($A255,main!$A$3:$H$102,6,FALSE)&gt;=main!$D$103+VLOOKUP(VLOOKUP(BA$1,main!$A$3:$I$102,7,FALSE),main!$K$26:$Q$29,5,FALSE)),1,0)</f>
        <v>0</v>
      </c>
      <c r="BB255">
        <f>IF(AND(VLOOKUP(BB$1,main!$A$3:$H$102,7,FALSE)=main!$G$105,VLOOKUP(BB$1,main!$A$3:$H$102,5,FALSE)-VLOOKUP($A255,main!$A$3:$H$102,6,FALSE)&gt;=main!$D$103+VLOOKUP(VLOOKUP(BB$1,main!$A$3:$I$102,7,FALSE),main!$K$26:$Q$29,5,FALSE)),1,0)</f>
        <v>0</v>
      </c>
      <c r="BC255">
        <f>IF(AND(VLOOKUP(BC$1,main!$A$3:$H$102,7,FALSE)=main!$G$105,VLOOKUP(BC$1,main!$A$3:$H$102,5,FALSE)-VLOOKUP($A255,main!$A$3:$H$102,6,FALSE)&gt;=main!$D$103+VLOOKUP(VLOOKUP(BC$1,main!$A$3:$I$102,7,FALSE),main!$K$26:$Q$29,5,FALSE)),1,0)</f>
        <v>0</v>
      </c>
      <c r="BD255">
        <f>IF(AND(VLOOKUP(BD$1,main!$A$3:$H$102,7,FALSE)=main!$G$105,VLOOKUP(BD$1,main!$A$3:$H$102,5,FALSE)-VLOOKUP($A255,main!$A$3:$H$102,6,FALSE)&gt;=main!$D$103+VLOOKUP(VLOOKUP(BD$1,main!$A$3:$I$102,7,FALSE),main!$K$26:$Q$29,5,FALSE)),1,0)</f>
        <v>0</v>
      </c>
      <c r="BE255">
        <f>IF(AND(VLOOKUP(BE$1,main!$A$3:$H$102,7,FALSE)=main!$G$105,VLOOKUP(BE$1,main!$A$3:$H$102,5,FALSE)-VLOOKUP($A255,main!$A$3:$H$102,6,FALSE)&gt;=main!$D$103+VLOOKUP(VLOOKUP(BE$1,main!$A$3:$I$102,7,FALSE),main!$K$26:$Q$29,5,FALSE)),1,0)</f>
        <v>0</v>
      </c>
      <c r="BF255">
        <f>IF(AND(VLOOKUP(BF$1,main!$A$3:$H$102,7,FALSE)=main!$G$105,VLOOKUP(BF$1,main!$A$3:$H$102,5,FALSE)-VLOOKUP($A255,main!$A$3:$H$102,6,FALSE)&gt;=main!$D$103+VLOOKUP(VLOOKUP(BF$1,main!$A$3:$I$102,7,FALSE),main!$K$26:$Q$29,5,FALSE)),1,0)</f>
        <v>0</v>
      </c>
      <c r="BG255">
        <f>IF(AND(VLOOKUP(BG$1,main!$A$3:$H$102,7,FALSE)=main!$G$105,VLOOKUP(BG$1,main!$A$3:$H$102,5,FALSE)-VLOOKUP($A255,main!$A$3:$H$102,6,FALSE)&gt;=main!$D$103+VLOOKUP(VLOOKUP(BG$1,main!$A$3:$I$102,7,FALSE),main!$K$26:$Q$29,5,FALSE)),1,0)</f>
        <v>0</v>
      </c>
      <c r="BH255">
        <f>IF(AND(VLOOKUP(BH$1,main!$A$3:$H$102,7,FALSE)=main!$G$105,VLOOKUP(BH$1,main!$A$3:$H$102,5,FALSE)-VLOOKUP($A255,main!$A$3:$H$102,6,FALSE)&gt;=main!$D$103+VLOOKUP(VLOOKUP(BH$1,main!$A$3:$I$102,7,FALSE),main!$K$26:$Q$29,5,FALSE)),1,0)</f>
        <v>0</v>
      </c>
      <c r="BI255">
        <f>IF(AND(VLOOKUP(BI$1,main!$A$3:$H$102,7,FALSE)=main!$G$105,VLOOKUP(BI$1,main!$A$3:$H$102,5,FALSE)-VLOOKUP($A255,main!$A$3:$H$102,6,FALSE)&gt;=main!$D$103+VLOOKUP(VLOOKUP(BI$1,main!$A$3:$I$102,7,FALSE),main!$K$26:$Q$29,5,FALSE)),1,0)</f>
        <v>0</v>
      </c>
      <c r="BJ255">
        <f>IF(AND(VLOOKUP(BJ$1,main!$A$3:$H$102,7,FALSE)=main!$G$105,VLOOKUP(BJ$1,main!$A$3:$H$102,5,FALSE)-VLOOKUP($A255,main!$A$3:$H$102,6,FALSE)&gt;=main!$D$103+VLOOKUP(VLOOKUP(BJ$1,main!$A$3:$I$102,7,FALSE),main!$K$26:$Q$29,5,FALSE)),1,0)</f>
        <v>0</v>
      </c>
      <c r="BK255">
        <f>IF(AND(VLOOKUP(BK$1,main!$A$3:$H$102,7,FALSE)=main!$G$105,VLOOKUP(BK$1,main!$A$3:$H$102,5,FALSE)-VLOOKUP($A255,main!$A$3:$H$102,6,FALSE)&gt;=main!$D$103+VLOOKUP(VLOOKUP(BK$1,main!$A$3:$I$102,7,FALSE),main!$K$26:$Q$29,5,FALSE)),1,0)</f>
        <v>0</v>
      </c>
      <c r="BL255">
        <f>IF(AND(VLOOKUP(BL$1,main!$A$3:$H$102,7,FALSE)=main!$G$105,VLOOKUP(BL$1,main!$A$3:$H$102,5,FALSE)-VLOOKUP($A255,main!$A$3:$H$102,6,FALSE)&gt;=main!$D$103+VLOOKUP(VLOOKUP(BL$1,main!$A$3:$I$102,7,FALSE),main!$K$26:$Q$29,5,FALSE)),1,0)</f>
        <v>0</v>
      </c>
      <c r="BM255">
        <f>IF(AND(VLOOKUP(BM$1,main!$A$3:$H$102,7,FALSE)=main!$G$105,VLOOKUP(BM$1,main!$A$3:$H$102,5,FALSE)-VLOOKUP($A255,main!$A$3:$H$102,6,FALSE)&gt;=main!$D$103+VLOOKUP(VLOOKUP(BM$1,main!$A$3:$I$102,7,FALSE),main!$K$26:$Q$29,5,FALSE)),1,0)</f>
        <v>0</v>
      </c>
      <c r="BN255">
        <f>IF(AND(VLOOKUP(BN$1,main!$A$3:$H$102,7,FALSE)=main!$G$105,VLOOKUP(BN$1,main!$A$3:$H$102,5,FALSE)-VLOOKUP($A255,main!$A$3:$H$102,6,FALSE)&gt;=main!$D$103+VLOOKUP(VLOOKUP(BN$1,main!$A$3:$I$102,7,FALSE),main!$K$26:$Q$29,5,FALSE)),1,0)</f>
        <v>0</v>
      </c>
      <c r="BO255">
        <f>IF(AND(VLOOKUP(BO$1,main!$A$3:$H$102,7,FALSE)=main!$G$105,VLOOKUP(BO$1,main!$A$3:$H$102,5,FALSE)-VLOOKUP($A255,main!$A$3:$H$102,6,FALSE)&gt;=main!$D$103+VLOOKUP(VLOOKUP(BO$1,main!$A$3:$I$102,7,FALSE),main!$K$26:$Q$29,5,FALSE)),1,0)</f>
        <v>0</v>
      </c>
      <c r="BP255">
        <f>IF(AND(VLOOKUP(BP$1,main!$A$3:$H$102,7,FALSE)=main!$G$105,VLOOKUP(BP$1,main!$A$3:$H$102,5,FALSE)-VLOOKUP($A255,main!$A$3:$H$102,6,FALSE)&gt;=main!$D$103+VLOOKUP(VLOOKUP(BP$1,main!$A$3:$I$102,7,FALSE),main!$K$26:$Q$29,5,FALSE)),1,0)</f>
        <v>0</v>
      </c>
      <c r="BQ255">
        <f>IF(AND(VLOOKUP(BQ$1,main!$A$3:$H$102,7,FALSE)=main!$G$105,VLOOKUP(BQ$1,main!$A$3:$H$102,5,FALSE)-VLOOKUP($A255,main!$A$3:$H$102,6,FALSE)&gt;=main!$D$103+VLOOKUP(VLOOKUP(BQ$1,main!$A$3:$I$102,7,FALSE),main!$K$26:$Q$29,5,FALSE)),1,0)</f>
        <v>0</v>
      </c>
      <c r="BR255">
        <f>IF(AND(VLOOKUP(BR$1,main!$A$3:$H$102,7,FALSE)=main!$G$105,VLOOKUP(BR$1,main!$A$3:$H$102,5,FALSE)-VLOOKUP($A255,main!$A$3:$H$102,6,FALSE)&gt;=main!$D$103+VLOOKUP(VLOOKUP(BR$1,main!$A$3:$I$102,7,FALSE),main!$K$26:$Q$29,5,FALSE)),1,0)</f>
        <v>0</v>
      </c>
      <c r="BS255">
        <f>IF(AND(VLOOKUP(BS$1,main!$A$3:$H$102,7,FALSE)=main!$G$105,VLOOKUP(BS$1,main!$A$3:$H$102,5,FALSE)-VLOOKUP($A255,main!$A$3:$H$102,6,FALSE)&gt;=main!$D$103+VLOOKUP(VLOOKUP(BS$1,main!$A$3:$I$102,7,FALSE),main!$K$26:$Q$29,5,FALSE)),1,0)</f>
        <v>0</v>
      </c>
      <c r="BT255">
        <f>IF(AND(VLOOKUP(BT$1,main!$A$3:$H$102,7,FALSE)=main!$G$105,VLOOKUP(BT$1,main!$A$3:$H$102,5,FALSE)-VLOOKUP($A255,main!$A$3:$H$102,6,FALSE)&gt;=main!$D$103+VLOOKUP(VLOOKUP(BT$1,main!$A$3:$I$102,7,FALSE),main!$K$26:$Q$29,5,FALSE)),1,0)</f>
        <v>0</v>
      </c>
      <c r="BU255">
        <f>IF(AND(VLOOKUP(BU$1,main!$A$3:$H$102,7,FALSE)=main!$G$105,VLOOKUP(BU$1,main!$A$3:$H$102,5,FALSE)-VLOOKUP($A255,main!$A$3:$H$102,6,FALSE)&gt;=main!$D$103+VLOOKUP(VLOOKUP(BU$1,main!$A$3:$I$102,7,FALSE),main!$K$26:$Q$29,5,FALSE)),1,0)</f>
        <v>0</v>
      </c>
      <c r="BV255">
        <f>IF(AND(VLOOKUP(BV$1,main!$A$3:$H$102,7,FALSE)=main!$G$105,VLOOKUP(BV$1,main!$A$3:$H$102,5,FALSE)-VLOOKUP($A255,main!$A$3:$H$102,6,FALSE)&gt;=main!$D$103+VLOOKUP(VLOOKUP(BV$1,main!$A$3:$I$102,7,FALSE),main!$K$26:$Q$29,5,FALSE)),1,0)</f>
        <v>0</v>
      </c>
      <c r="BW255">
        <f>IF(AND(VLOOKUP(BW$1,main!$A$3:$H$102,7,FALSE)=main!$G$105,VLOOKUP(BW$1,main!$A$3:$H$102,5,FALSE)-VLOOKUP($A255,main!$A$3:$H$102,6,FALSE)&gt;=main!$D$103+VLOOKUP(VLOOKUP(BW$1,main!$A$3:$I$102,7,FALSE),main!$K$26:$Q$29,5,FALSE)),1,0)</f>
        <v>0</v>
      </c>
      <c r="BX255">
        <f>IF(AND(VLOOKUP(BX$1,main!$A$3:$H$102,7,FALSE)=main!$G$105,VLOOKUP(BX$1,main!$A$3:$H$102,5,FALSE)-VLOOKUP($A255,main!$A$3:$H$102,6,FALSE)&gt;=main!$D$103+VLOOKUP(VLOOKUP(BX$1,main!$A$3:$I$102,7,FALSE),main!$K$26:$Q$29,5,FALSE)),1,0)</f>
        <v>0</v>
      </c>
      <c r="BY255">
        <f>IF(AND(VLOOKUP(BY$1,main!$A$3:$H$102,7,FALSE)=main!$G$105,VLOOKUP(BY$1,main!$A$3:$H$102,5,FALSE)-VLOOKUP($A255,main!$A$3:$H$102,6,FALSE)&gt;=main!$D$103+VLOOKUP(VLOOKUP(BY$1,main!$A$3:$I$102,7,FALSE),main!$K$26:$Q$29,5,FALSE)),1,0)</f>
        <v>0</v>
      </c>
      <c r="BZ255">
        <f>IF(AND(VLOOKUP(BZ$1,main!$A$3:$H$102,7,FALSE)=main!$G$105,VLOOKUP(BZ$1,main!$A$3:$H$102,5,FALSE)-VLOOKUP($A255,main!$A$3:$H$102,6,FALSE)&gt;=main!$D$103+VLOOKUP(VLOOKUP(BZ$1,main!$A$3:$I$102,7,FALSE),main!$K$26:$Q$29,5,FALSE)),1,0)</f>
        <v>0</v>
      </c>
      <c r="CA255">
        <f>IF(AND(VLOOKUP(CA$1,main!$A$3:$H$102,7,FALSE)=main!$G$105,VLOOKUP(CA$1,main!$A$3:$H$102,5,FALSE)-VLOOKUP($A255,main!$A$3:$H$102,6,FALSE)&gt;=main!$D$103+VLOOKUP(VLOOKUP(CA$1,main!$A$3:$I$102,7,FALSE),main!$K$26:$Q$29,5,FALSE)),1,0)</f>
        <v>0</v>
      </c>
      <c r="CB255">
        <f>IF(AND(VLOOKUP(CB$1,main!$A$3:$H$102,7,FALSE)=main!$G$105,VLOOKUP(CB$1,main!$A$3:$H$102,5,FALSE)-VLOOKUP($A255,main!$A$3:$H$102,6,FALSE)&gt;=main!$D$103+VLOOKUP(VLOOKUP(CB$1,main!$A$3:$I$102,7,FALSE),main!$K$26:$Q$29,5,FALSE)),1,0)</f>
        <v>0</v>
      </c>
      <c r="CC255">
        <f>IF(AND(VLOOKUP(CC$1,main!$A$3:$H$102,7,FALSE)=main!$G$105,VLOOKUP(CC$1,main!$A$3:$H$102,5,FALSE)-VLOOKUP($A255,main!$A$3:$H$102,6,FALSE)&gt;=main!$D$103+VLOOKUP(VLOOKUP(CC$1,main!$A$3:$I$102,7,FALSE),main!$K$26:$Q$29,5,FALSE)),1,0)</f>
        <v>0</v>
      </c>
      <c r="CD255">
        <f>IF(AND(VLOOKUP(CD$1,main!$A$3:$H$102,7,FALSE)=main!$G$105,VLOOKUP(CD$1,main!$A$3:$H$102,5,FALSE)-VLOOKUP($A255,main!$A$3:$H$102,6,FALSE)&gt;=main!$D$103+VLOOKUP(VLOOKUP(CD$1,main!$A$3:$I$102,7,FALSE),main!$K$26:$Q$29,5,FALSE)),1,0)</f>
        <v>0</v>
      </c>
      <c r="CE255">
        <f>IF(AND(VLOOKUP(CE$1,main!$A$3:$H$102,7,FALSE)=main!$G$105,VLOOKUP(CE$1,main!$A$3:$H$102,5,FALSE)-VLOOKUP($A255,main!$A$3:$H$102,6,FALSE)&gt;=main!$D$103+VLOOKUP(VLOOKUP(CE$1,main!$A$3:$I$102,7,FALSE),main!$K$26:$Q$29,5,FALSE)),1,0)</f>
        <v>0</v>
      </c>
      <c r="CF255">
        <f>IF(AND(VLOOKUP(CF$1,main!$A$3:$H$102,7,FALSE)=main!$G$105,VLOOKUP(CF$1,main!$A$3:$H$102,5,FALSE)-VLOOKUP($A255,main!$A$3:$H$102,6,FALSE)&gt;=main!$D$103+VLOOKUP(VLOOKUP(CF$1,main!$A$3:$I$102,7,FALSE),main!$K$26:$Q$29,5,FALSE)),1,0)</f>
        <v>0</v>
      </c>
      <c r="CG255">
        <f>IF(AND(VLOOKUP(CG$1,main!$A$3:$H$102,7,FALSE)=main!$G$105,VLOOKUP(CG$1,main!$A$3:$H$102,5,FALSE)-VLOOKUP($A255,main!$A$3:$H$102,6,FALSE)&gt;=main!$D$103+VLOOKUP(VLOOKUP(CG$1,main!$A$3:$I$102,7,FALSE),main!$K$26:$Q$29,5,FALSE)),1,0)</f>
        <v>0</v>
      </c>
      <c r="CH255">
        <f>IF(AND(VLOOKUP(CH$1,main!$A$3:$H$102,7,FALSE)=main!$G$105,VLOOKUP(CH$1,main!$A$3:$H$102,5,FALSE)-VLOOKUP($A255,main!$A$3:$H$102,6,FALSE)&gt;=main!$D$103+VLOOKUP(VLOOKUP(CH$1,main!$A$3:$I$102,7,FALSE),main!$K$26:$Q$29,5,FALSE)),1,0)</f>
        <v>0</v>
      </c>
      <c r="CI255">
        <f>IF(AND(VLOOKUP(CI$1,main!$A$3:$H$102,7,FALSE)=main!$G$105,VLOOKUP(CI$1,main!$A$3:$H$102,5,FALSE)-VLOOKUP($A255,main!$A$3:$H$102,6,FALSE)&gt;=main!$D$103+VLOOKUP(VLOOKUP(CI$1,main!$A$3:$I$102,7,FALSE),main!$K$26:$Q$29,5,FALSE)),1,0)</f>
        <v>0</v>
      </c>
      <c r="CJ255">
        <f>IF(AND(VLOOKUP(CJ$1,main!$A$3:$H$102,7,FALSE)=main!$G$105,VLOOKUP(CJ$1,main!$A$3:$H$102,5,FALSE)-VLOOKUP($A255,main!$A$3:$H$102,6,FALSE)&gt;=main!$D$103+VLOOKUP(VLOOKUP(CJ$1,main!$A$3:$I$102,7,FALSE),main!$K$26:$Q$29,5,FALSE)),1,0)</f>
        <v>0</v>
      </c>
      <c r="CK255">
        <f>IF(AND(VLOOKUP(CK$1,main!$A$3:$H$102,7,FALSE)=main!$G$105,VLOOKUP(CK$1,main!$A$3:$H$102,5,FALSE)-VLOOKUP($A255,main!$A$3:$H$102,6,FALSE)&gt;=main!$D$103+VLOOKUP(VLOOKUP(CK$1,main!$A$3:$I$102,7,FALSE),main!$K$26:$Q$29,5,FALSE)),1,0)</f>
        <v>0</v>
      </c>
      <c r="CL255">
        <f>IF(AND(VLOOKUP(CL$1,main!$A$3:$H$102,7,FALSE)=main!$G$105,VLOOKUP(CL$1,main!$A$3:$H$102,5,FALSE)-VLOOKUP($A255,main!$A$3:$H$102,6,FALSE)&gt;=main!$D$103+VLOOKUP(VLOOKUP(CL$1,main!$A$3:$I$102,7,FALSE),main!$K$26:$Q$29,5,FALSE)),1,0)</f>
        <v>0</v>
      </c>
      <c r="CM255">
        <f>IF(AND(VLOOKUP(CM$1,main!$A$3:$H$102,7,FALSE)=main!$G$105,VLOOKUP(CM$1,main!$A$3:$H$102,5,FALSE)-VLOOKUP($A255,main!$A$3:$H$102,6,FALSE)&gt;=main!$D$103+VLOOKUP(VLOOKUP(CM$1,main!$A$3:$I$102,7,FALSE),main!$K$26:$Q$29,5,FALSE)),1,0)</f>
        <v>0</v>
      </c>
      <c r="CN255">
        <f>IF(AND(VLOOKUP(CN$1,main!$A$3:$H$102,7,FALSE)=main!$G$105,VLOOKUP(CN$1,main!$A$3:$H$102,5,FALSE)-VLOOKUP($A255,main!$A$3:$H$102,6,FALSE)&gt;=main!$D$103+VLOOKUP(VLOOKUP(CN$1,main!$A$3:$I$102,7,FALSE),main!$K$26:$Q$29,5,FALSE)),1,0)</f>
        <v>0</v>
      </c>
      <c r="CO255">
        <f>IF(AND(VLOOKUP(CO$1,main!$A$3:$H$102,7,FALSE)=main!$G$105,VLOOKUP(CO$1,main!$A$3:$H$102,5,FALSE)-VLOOKUP($A255,main!$A$3:$H$102,6,FALSE)&gt;=main!$D$103+VLOOKUP(VLOOKUP(CO$1,main!$A$3:$I$102,7,FALSE),main!$K$26:$Q$29,5,FALSE)),1,0)</f>
        <v>0</v>
      </c>
      <c r="CP255">
        <f>IF(AND(VLOOKUP(CP$1,main!$A$3:$H$102,7,FALSE)=main!$G$105,VLOOKUP(CP$1,main!$A$3:$H$102,5,FALSE)-VLOOKUP($A255,main!$A$3:$H$102,6,FALSE)&gt;=main!$D$103+VLOOKUP(VLOOKUP(CP$1,main!$A$3:$I$102,7,FALSE),main!$K$26:$Q$29,5,FALSE)),1,0)</f>
        <v>0</v>
      </c>
      <c r="CQ255">
        <f>IF(AND(VLOOKUP(CQ$1,main!$A$3:$H$102,7,FALSE)=main!$G$105,VLOOKUP(CQ$1,main!$A$3:$H$102,5,FALSE)-VLOOKUP($A255,main!$A$3:$H$102,6,FALSE)&gt;=main!$D$103+VLOOKUP(VLOOKUP(CQ$1,main!$A$3:$I$102,7,FALSE),main!$K$26:$Q$29,5,FALSE)),1,0)</f>
        <v>0</v>
      </c>
      <c r="CR255">
        <f>IF(AND(VLOOKUP(CR$1,main!$A$3:$H$102,7,FALSE)=main!$G$105,VLOOKUP(CR$1,main!$A$3:$H$102,5,FALSE)-VLOOKUP($A255,main!$A$3:$H$102,6,FALSE)&gt;=main!$D$103+VLOOKUP(VLOOKUP(CR$1,main!$A$3:$I$102,7,FALSE),main!$K$26:$Q$29,5,FALSE)),1,0)</f>
        <v>0</v>
      </c>
      <c r="CS255">
        <f>IF(AND(VLOOKUP(CS$1,main!$A$3:$H$102,7,FALSE)=main!$G$105,VLOOKUP(CS$1,main!$A$3:$H$102,5,FALSE)-VLOOKUP($A255,main!$A$3:$H$102,6,FALSE)&gt;=main!$D$103+VLOOKUP(VLOOKUP(CS$1,main!$A$3:$I$102,7,FALSE),main!$K$26:$Q$29,5,FALSE)),1,0)</f>
        <v>0</v>
      </c>
      <c r="CT255">
        <f>IF(AND(VLOOKUP(CT$1,main!$A$3:$H$102,7,FALSE)=main!$G$105,VLOOKUP(CT$1,main!$A$3:$H$102,5,FALSE)-VLOOKUP($A255,main!$A$3:$H$102,6,FALSE)&gt;=main!$D$103+VLOOKUP(VLOOKUP(CT$1,main!$A$3:$I$102,7,FALSE),main!$K$26:$Q$29,5,FALSE)),1,0)</f>
        <v>0</v>
      </c>
      <c r="CU255">
        <f>IF(AND(VLOOKUP(CU$1,main!$A$3:$H$102,7,FALSE)=main!$G$105,VLOOKUP(CU$1,main!$A$3:$H$102,5,FALSE)-VLOOKUP($A255,main!$A$3:$H$102,6,FALSE)&gt;=main!$D$103+VLOOKUP(VLOOKUP(CU$1,main!$A$3:$I$102,7,FALSE),main!$K$26:$Q$29,5,FALSE)),1,0)</f>
        <v>0</v>
      </c>
      <c r="CV255">
        <f>IF(AND(VLOOKUP(CV$1,main!$A$3:$H$102,7,FALSE)=main!$G$105,VLOOKUP(CV$1,main!$A$3:$H$102,5,FALSE)-VLOOKUP($A255,main!$A$3:$H$102,6,FALSE)&gt;=main!$D$103+VLOOKUP(VLOOKUP(CV$1,main!$A$3:$I$102,7,FALSE),main!$K$26:$Q$29,5,FALSE)),1,0)</f>
        <v>0</v>
      </c>
      <c r="CW255">
        <f>IF(AND(VLOOKUP(CW$1,main!$A$3:$H$102,7,FALSE)=main!$G$105,VLOOKUP(CW$1,main!$A$3:$H$102,5,FALSE)-VLOOKUP($A255,main!$A$3:$H$102,6,FALSE)&gt;=main!$D$103+VLOOKUP(VLOOKUP(CW$1,main!$A$3:$I$102,7,FALSE),main!$K$26:$Q$29,5,FALSE)),1,0)</f>
        <v>0</v>
      </c>
      <c r="CX255">
        <f>IF(AND(VLOOKUP(CX$1,main!$A$3:$H$102,7,FALSE)=main!$G$105,VLOOKUP(CX$1,main!$A$3:$H$102,5,FALSE)-VLOOKUP($A255,main!$A$3:$H$102,6,FALSE)&gt;=main!$D$103+VLOOKUP(VLOOKUP(CX$1,main!$A$3:$I$102,7,FALSE),main!$K$26:$Q$29,5,FALSE)),1,0)</f>
        <v>0</v>
      </c>
    </row>
    <row r="256" spans="1:102" x14ac:dyDescent="0.25">
      <c r="A256" s="1">
        <v>52</v>
      </c>
      <c r="B256">
        <v>0</v>
      </c>
      <c r="C256">
        <f>IF(AND(VLOOKUP(C$1,main!$A$3:$H$102,7,FALSE)=main!$G$105,VLOOKUP(C$1,main!$A$3:$H$102,5,FALSE)-VLOOKUP($A256,main!$A$3:$H$102,6,FALSE)&gt;=main!$D$103+VLOOKUP(VLOOKUP(C$1,main!$A$3:$I$102,7,FALSE),main!$K$26:$Q$29,5,FALSE)),1,0)</f>
        <v>0</v>
      </c>
      <c r="D256">
        <f>IF(AND(VLOOKUP(D$1,main!$A$3:$H$102,7,FALSE)=main!$G$105,VLOOKUP(D$1,main!$A$3:$H$102,5,FALSE)-VLOOKUP($A256,main!$A$3:$H$102,6,FALSE)&gt;=main!$D$103+VLOOKUP(VLOOKUP(D$1,main!$A$3:$I$102,7,FALSE),main!$K$26:$Q$29,5,FALSE)),1,0)</f>
        <v>0</v>
      </c>
      <c r="E256">
        <f>IF(AND(VLOOKUP(E$1,main!$A$3:$H$102,7,FALSE)=main!$G$105,VLOOKUP(E$1,main!$A$3:$H$102,5,FALSE)-VLOOKUP($A256,main!$A$3:$H$102,6,FALSE)&gt;=main!$D$103+VLOOKUP(VLOOKUP(E$1,main!$A$3:$I$102,7,FALSE),main!$K$26:$Q$29,5,FALSE)),1,0)</f>
        <v>0</v>
      </c>
      <c r="F256">
        <f>IF(AND(VLOOKUP(F$1,main!$A$3:$H$102,7,FALSE)=main!$G$105,VLOOKUP(F$1,main!$A$3:$H$102,5,FALSE)-VLOOKUP($A256,main!$A$3:$H$102,6,FALSE)&gt;=main!$D$103+VLOOKUP(VLOOKUP(F$1,main!$A$3:$I$102,7,FALSE),main!$K$26:$Q$29,5,FALSE)),1,0)</f>
        <v>0</v>
      </c>
      <c r="G256">
        <f>IF(AND(VLOOKUP(G$1,main!$A$3:$H$102,7,FALSE)=main!$G$105,VLOOKUP(G$1,main!$A$3:$H$102,5,FALSE)-VLOOKUP($A256,main!$A$3:$H$102,6,FALSE)&gt;=main!$D$103+VLOOKUP(VLOOKUP(G$1,main!$A$3:$I$102,7,FALSE),main!$K$26:$Q$29,5,FALSE)),1,0)</f>
        <v>0</v>
      </c>
      <c r="H256">
        <f>IF(AND(VLOOKUP(H$1,main!$A$3:$H$102,7,FALSE)=main!$G$105,VLOOKUP(H$1,main!$A$3:$H$102,5,FALSE)-VLOOKUP($A256,main!$A$3:$H$102,6,FALSE)&gt;=main!$D$103+VLOOKUP(VLOOKUP(H$1,main!$A$3:$I$102,7,FALSE),main!$K$26:$Q$29,5,FALSE)),1,0)</f>
        <v>0</v>
      </c>
      <c r="I256">
        <f>IF(AND(VLOOKUP(I$1,main!$A$3:$H$102,7,FALSE)=main!$G$105,VLOOKUP(I$1,main!$A$3:$H$102,5,FALSE)-VLOOKUP($A256,main!$A$3:$H$102,6,FALSE)&gt;=main!$D$103+VLOOKUP(VLOOKUP(I$1,main!$A$3:$I$102,7,FALSE),main!$K$26:$Q$29,5,FALSE)),1,0)</f>
        <v>0</v>
      </c>
      <c r="J256">
        <f>IF(AND(VLOOKUP(J$1,main!$A$3:$H$102,7,FALSE)=main!$G$105,VLOOKUP(J$1,main!$A$3:$H$102,5,FALSE)-VLOOKUP($A256,main!$A$3:$H$102,6,FALSE)&gt;=main!$D$103+VLOOKUP(VLOOKUP(J$1,main!$A$3:$I$102,7,FALSE),main!$K$26:$Q$29,5,FALSE)),1,0)</f>
        <v>0</v>
      </c>
      <c r="K256">
        <f>IF(AND(VLOOKUP(K$1,main!$A$3:$H$102,7,FALSE)=main!$G$105,VLOOKUP(K$1,main!$A$3:$H$102,5,FALSE)-VLOOKUP($A256,main!$A$3:$H$102,6,FALSE)&gt;=main!$D$103+VLOOKUP(VLOOKUP(K$1,main!$A$3:$I$102,7,FALSE),main!$K$26:$Q$29,5,FALSE)),1,0)</f>
        <v>0</v>
      </c>
      <c r="L256">
        <f>IF(AND(VLOOKUP(L$1,main!$A$3:$H$102,7,FALSE)=main!$G$105,VLOOKUP(L$1,main!$A$3:$H$102,5,FALSE)-VLOOKUP($A256,main!$A$3:$H$102,6,FALSE)&gt;=main!$D$103+VLOOKUP(VLOOKUP(L$1,main!$A$3:$I$102,7,FALSE),main!$K$26:$Q$29,5,FALSE)),1,0)</f>
        <v>0</v>
      </c>
      <c r="M256">
        <f>IF(AND(VLOOKUP(M$1,main!$A$3:$H$102,7,FALSE)=main!$G$105,VLOOKUP(M$1,main!$A$3:$H$102,5,FALSE)-VLOOKUP($A256,main!$A$3:$H$102,6,FALSE)&gt;=main!$D$103+VLOOKUP(VLOOKUP(M$1,main!$A$3:$I$102,7,FALSE),main!$K$26:$Q$29,5,FALSE)),1,0)</f>
        <v>0</v>
      </c>
      <c r="N256">
        <f>IF(AND(VLOOKUP(N$1,main!$A$3:$H$102,7,FALSE)=main!$G$105,VLOOKUP(N$1,main!$A$3:$H$102,5,FALSE)-VLOOKUP($A256,main!$A$3:$H$102,6,FALSE)&gt;=main!$D$103+VLOOKUP(VLOOKUP(N$1,main!$A$3:$I$102,7,FALSE),main!$K$26:$Q$29,5,FALSE)),1,0)</f>
        <v>0</v>
      </c>
      <c r="O256">
        <f>IF(AND(VLOOKUP(O$1,main!$A$3:$H$102,7,FALSE)=main!$G$105,VLOOKUP(O$1,main!$A$3:$H$102,5,FALSE)-VLOOKUP($A256,main!$A$3:$H$102,6,FALSE)&gt;=main!$D$103+VLOOKUP(VLOOKUP(O$1,main!$A$3:$I$102,7,FALSE),main!$K$26:$Q$29,5,FALSE)),1,0)</f>
        <v>0</v>
      </c>
      <c r="P256">
        <f>IF(AND(VLOOKUP(P$1,main!$A$3:$H$102,7,FALSE)=main!$G$105,VLOOKUP(P$1,main!$A$3:$H$102,5,FALSE)-VLOOKUP($A256,main!$A$3:$H$102,6,FALSE)&gt;=main!$D$103+VLOOKUP(VLOOKUP(P$1,main!$A$3:$I$102,7,FALSE),main!$K$26:$Q$29,5,FALSE)),1,0)</f>
        <v>0</v>
      </c>
      <c r="Q256">
        <f>IF(AND(VLOOKUP(Q$1,main!$A$3:$H$102,7,FALSE)=main!$G$105,VLOOKUP(Q$1,main!$A$3:$H$102,5,FALSE)-VLOOKUP($A256,main!$A$3:$H$102,6,FALSE)&gt;=main!$D$103+VLOOKUP(VLOOKUP(Q$1,main!$A$3:$I$102,7,FALSE),main!$K$26:$Q$29,5,FALSE)),1,0)</f>
        <v>0</v>
      </c>
      <c r="R256">
        <f>IF(AND(VLOOKUP(R$1,main!$A$3:$H$102,7,FALSE)=main!$G$105,VLOOKUP(R$1,main!$A$3:$H$102,5,FALSE)-VLOOKUP($A256,main!$A$3:$H$102,6,FALSE)&gt;=main!$D$103+VLOOKUP(VLOOKUP(R$1,main!$A$3:$I$102,7,FALSE),main!$K$26:$Q$29,5,FALSE)),1,0)</f>
        <v>0</v>
      </c>
      <c r="S256">
        <f>IF(AND(VLOOKUP(S$1,main!$A$3:$H$102,7,FALSE)=main!$G$105,VLOOKUP(S$1,main!$A$3:$H$102,5,FALSE)-VLOOKUP($A256,main!$A$3:$H$102,6,FALSE)&gt;=main!$D$103+VLOOKUP(VLOOKUP(S$1,main!$A$3:$I$102,7,FALSE),main!$K$26:$Q$29,5,FALSE)),1,0)</f>
        <v>0</v>
      </c>
      <c r="T256">
        <f>IF(AND(VLOOKUP(T$1,main!$A$3:$H$102,7,FALSE)=main!$G$105,VLOOKUP(T$1,main!$A$3:$H$102,5,FALSE)-VLOOKUP($A256,main!$A$3:$H$102,6,FALSE)&gt;=main!$D$103+VLOOKUP(VLOOKUP(T$1,main!$A$3:$I$102,7,FALSE),main!$K$26:$Q$29,5,FALSE)),1,0)</f>
        <v>0</v>
      </c>
      <c r="U256">
        <f>IF(AND(VLOOKUP(U$1,main!$A$3:$H$102,7,FALSE)=main!$G$105,VLOOKUP(U$1,main!$A$3:$H$102,5,FALSE)-VLOOKUP($A256,main!$A$3:$H$102,6,FALSE)&gt;=main!$D$103+VLOOKUP(VLOOKUP(U$1,main!$A$3:$I$102,7,FALSE),main!$K$26:$Q$29,5,FALSE)),1,0)</f>
        <v>0</v>
      </c>
      <c r="V256">
        <f>IF(AND(VLOOKUP(V$1,main!$A$3:$H$102,7,FALSE)=main!$G$105,VLOOKUP(V$1,main!$A$3:$H$102,5,FALSE)-VLOOKUP($A256,main!$A$3:$H$102,6,FALSE)&gt;=main!$D$103+VLOOKUP(VLOOKUP(V$1,main!$A$3:$I$102,7,FALSE),main!$K$26:$Q$29,5,FALSE)),1,0)</f>
        <v>0</v>
      </c>
      <c r="W256">
        <f>IF(AND(VLOOKUP(W$1,main!$A$3:$H$102,7,FALSE)=main!$G$105,VLOOKUP(W$1,main!$A$3:$H$102,5,FALSE)-VLOOKUP($A256,main!$A$3:$H$102,6,FALSE)&gt;=main!$D$103+VLOOKUP(VLOOKUP(W$1,main!$A$3:$I$102,7,FALSE),main!$K$26:$Q$29,5,FALSE)),1,0)</f>
        <v>0</v>
      </c>
      <c r="X256">
        <f>IF(AND(VLOOKUP(X$1,main!$A$3:$H$102,7,FALSE)=main!$G$105,VLOOKUP(X$1,main!$A$3:$H$102,5,FALSE)-VLOOKUP($A256,main!$A$3:$H$102,6,FALSE)&gt;=main!$D$103+VLOOKUP(VLOOKUP(X$1,main!$A$3:$I$102,7,FALSE),main!$K$26:$Q$29,5,FALSE)),1,0)</f>
        <v>0</v>
      </c>
      <c r="Y256">
        <f>IF(AND(VLOOKUP(Y$1,main!$A$3:$H$102,7,FALSE)=main!$G$105,VLOOKUP(Y$1,main!$A$3:$H$102,5,FALSE)-VLOOKUP($A256,main!$A$3:$H$102,6,FALSE)&gt;=main!$D$103+VLOOKUP(VLOOKUP(Y$1,main!$A$3:$I$102,7,FALSE),main!$K$26:$Q$29,5,FALSE)),1,0)</f>
        <v>0</v>
      </c>
      <c r="Z256">
        <f>IF(AND(VLOOKUP(Z$1,main!$A$3:$H$102,7,FALSE)=main!$G$105,VLOOKUP(Z$1,main!$A$3:$H$102,5,FALSE)-VLOOKUP($A256,main!$A$3:$H$102,6,FALSE)&gt;=main!$D$103+VLOOKUP(VLOOKUP(Z$1,main!$A$3:$I$102,7,FALSE),main!$K$26:$Q$29,5,FALSE)),1,0)</f>
        <v>0</v>
      </c>
      <c r="AA256">
        <f>IF(AND(VLOOKUP(AA$1,main!$A$3:$H$102,7,FALSE)=main!$G$105,VLOOKUP(AA$1,main!$A$3:$H$102,5,FALSE)-VLOOKUP($A256,main!$A$3:$H$102,6,FALSE)&gt;=main!$D$103+VLOOKUP(VLOOKUP(AA$1,main!$A$3:$I$102,7,FALSE),main!$K$26:$Q$29,5,FALSE)),1,0)</f>
        <v>0</v>
      </c>
      <c r="AB256">
        <f>IF(AND(VLOOKUP(AB$1,main!$A$3:$H$102,7,FALSE)=main!$G$105,VLOOKUP(AB$1,main!$A$3:$H$102,5,FALSE)-VLOOKUP($A256,main!$A$3:$H$102,6,FALSE)&gt;=main!$D$103+VLOOKUP(VLOOKUP(AB$1,main!$A$3:$I$102,7,FALSE),main!$K$26:$Q$29,5,FALSE)),1,0)</f>
        <v>0</v>
      </c>
      <c r="AC256">
        <f>IF(AND(VLOOKUP(AC$1,main!$A$3:$H$102,7,FALSE)=main!$G$105,VLOOKUP(AC$1,main!$A$3:$H$102,5,FALSE)-VLOOKUP($A256,main!$A$3:$H$102,6,FALSE)&gt;=main!$D$103+VLOOKUP(VLOOKUP(AC$1,main!$A$3:$I$102,7,FALSE),main!$K$26:$Q$29,5,FALSE)),1,0)</f>
        <v>0</v>
      </c>
      <c r="AD256">
        <f>IF(AND(VLOOKUP(AD$1,main!$A$3:$H$102,7,FALSE)=main!$G$105,VLOOKUP(AD$1,main!$A$3:$H$102,5,FALSE)-VLOOKUP($A256,main!$A$3:$H$102,6,FALSE)&gt;=main!$D$103+VLOOKUP(VLOOKUP(AD$1,main!$A$3:$I$102,7,FALSE),main!$K$26:$Q$29,5,FALSE)),1,0)</f>
        <v>0</v>
      </c>
      <c r="AE256">
        <f>IF(AND(VLOOKUP(AE$1,main!$A$3:$H$102,7,FALSE)=main!$G$105,VLOOKUP(AE$1,main!$A$3:$H$102,5,FALSE)-VLOOKUP($A256,main!$A$3:$H$102,6,FALSE)&gt;=main!$D$103+VLOOKUP(VLOOKUP(AE$1,main!$A$3:$I$102,7,FALSE),main!$K$26:$Q$29,5,FALSE)),1,0)</f>
        <v>0</v>
      </c>
      <c r="AF256">
        <f>IF(AND(VLOOKUP(AF$1,main!$A$3:$H$102,7,FALSE)=main!$G$105,VLOOKUP(AF$1,main!$A$3:$H$102,5,FALSE)-VLOOKUP($A256,main!$A$3:$H$102,6,FALSE)&gt;=main!$D$103+VLOOKUP(VLOOKUP(AF$1,main!$A$3:$I$102,7,FALSE),main!$K$26:$Q$29,5,FALSE)),1,0)</f>
        <v>0</v>
      </c>
      <c r="AG256">
        <f>IF(AND(VLOOKUP(AG$1,main!$A$3:$H$102,7,FALSE)=main!$G$105,VLOOKUP(AG$1,main!$A$3:$H$102,5,FALSE)-VLOOKUP($A256,main!$A$3:$H$102,6,FALSE)&gt;=main!$D$103+VLOOKUP(VLOOKUP(AG$1,main!$A$3:$I$102,7,FALSE),main!$K$26:$Q$29,5,FALSE)),1,0)</f>
        <v>0</v>
      </c>
      <c r="AH256">
        <f>IF(AND(VLOOKUP(AH$1,main!$A$3:$H$102,7,FALSE)=main!$G$105,VLOOKUP(AH$1,main!$A$3:$H$102,5,FALSE)-VLOOKUP($A256,main!$A$3:$H$102,6,FALSE)&gt;=main!$D$103+VLOOKUP(VLOOKUP(AH$1,main!$A$3:$I$102,7,FALSE),main!$K$26:$Q$29,5,FALSE)),1,0)</f>
        <v>0</v>
      </c>
      <c r="AI256">
        <f>IF(AND(VLOOKUP(AI$1,main!$A$3:$H$102,7,FALSE)=main!$G$105,VLOOKUP(AI$1,main!$A$3:$H$102,5,FALSE)-VLOOKUP($A256,main!$A$3:$H$102,6,FALSE)&gt;=main!$D$103+VLOOKUP(VLOOKUP(AI$1,main!$A$3:$I$102,7,FALSE),main!$K$26:$Q$29,5,FALSE)),1,0)</f>
        <v>0</v>
      </c>
      <c r="AJ256">
        <f>IF(AND(VLOOKUP(AJ$1,main!$A$3:$H$102,7,FALSE)=main!$G$105,VLOOKUP(AJ$1,main!$A$3:$H$102,5,FALSE)-VLOOKUP($A256,main!$A$3:$H$102,6,FALSE)&gt;=main!$D$103+VLOOKUP(VLOOKUP(AJ$1,main!$A$3:$I$102,7,FALSE),main!$K$26:$Q$29,5,FALSE)),1,0)</f>
        <v>0</v>
      </c>
      <c r="AK256">
        <f>IF(AND(VLOOKUP(AK$1,main!$A$3:$H$102,7,FALSE)=main!$G$105,VLOOKUP(AK$1,main!$A$3:$H$102,5,FALSE)-VLOOKUP($A256,main!$A$3:$H$102,6,FALSE)&gt;=main!$D$103+VLOOKUP(VLOOKUP(AK$1,main!$A$3:$I$102,7,FALSE),main!$K$26:$Q$29,5,FALSE)),1,0)</f>
        <v>0</v>
      </c>
      <c r="AL256">
        <f>IF(AND(VLOOKUP(AL$1,main!$A$3:$H$102,7,FALSE)=main!$G$105,VLOOKUP(AL$1,main!$A$3:$H$102,5,FALSE)-VLOOKUP($A256,main!$A$3:$H$102,6,FALSE)&gt;=main!$D$103+VLOOKUP(VLOOKUP(AL$1,main!$A$3:$I$102,7,FALSE),main!$K$26:$Q$29,5,FALSE)),1,0)</f>
        <v>1</v>
      </c>
      <c r="AM256">
        <f>IF(AND(VLOOKUP(AM$1,main!$A$3:$H$102,7,FALSE)=main!$G$105,VLOOKUP(AM$1,main!$A$3:$H$102,5,FALSE)-VLOOKUP($A256,main!$A$3:$H$102,6,FALSE)&gt;=main!$D$103+VLOOKUP(VLOOKUP(AM$1,main!$A$3:$I$102,7,FALSE),main!$K$26:$Q$29,5,FALSE)),1,0)</f>
        <v>1</v>
      </c>
      <c r="AN256">
        <f>IF(AND(VLOOKUP(AN$1,main!$A$3:$H$102,7,FALSE)=main!$G$105,VLOOKUP(AN$1,main!$A$3:$H$102,5,FALSE)-VLOOKUP($A256,main!$A$3:$H$102,6,FALSE)&gt;=main!$D$103+VLOOKUP(VLOOKUP(AN$1,main!$A$3:$I$102,7,FALSE),main!$K$26:$Q$29,5,FALSE)),1,0)</f>
        <v>1</v>
      </c>
      <c r="AO256">
        <f>IF(AND(VLOOKUP(AO$1,main!$A$3:$H$102,7,FALSE)=main!$G$105,VLOOKUP(AO$1,main!$A$3:$H$102,5,FALSE)-VLOOKUP($A256,main!$A$3:$H$102,6,FALSE)&gt;=main!$D$103+VLOOKUP(VLOOKUP(AO$1,main!$A$3:$I$102,7,FALSE),main!$K$26:$Q$29,5,FALSE)),1,0)</f>
        <v>0</v>
      </c>
      <c r="AP256">
        <f>IF(AND(VLOOKUP(AP$1,main!$A$3:$H$102,7,FALSE)=main!$G$105,VLOOKUP(AP$1,main!$A$3:$H$102,5,FALSE)-VLOOKUP($A256,main!$A$3:$H$102,6,FALSE)&gt;=main!$D$103+VLOOKUP(VLOOKUP(AP$1,main!$A$3:$I$102,7,FALSE),main!$K$26:$Q$29,5,FALSE)),1,0)</f>
        <v>1</v>
      </c>
      <c r="AQ256">
        <f>IF(AND(VLOOKUP(AQ$1,main!$A$3:$H$102,7,FALSE)=main!$G$105,VLOOKUP(AQ$1,main!$A$3:$H$102,5,FALSE)-VLOOKUP($A256,main!$A$3:$H$102,6,FALSE)&gt;=main!$D$103+VLOOKUP(VLOOKUP(AQ$1,main!$A$3:$I$102,7,FALSE),main!$K$26:$Q$29,5,FALSE)),1,0)</f>
        <v>0</v>
      </c>
      <c r="AR256">
        <f>IF(AND(VLOOKUP(AR$1,main!$A$3:$H$102,7,FALSE)=main!$G$105,VLOOKUP(AR$1,main!$A$3:$H$102,5,FALSE)-VLOOKUP($A256,main!$A$3:$H$102,6,FALSE)&gt;=main!$D$103+VLOOKUP(VLOOKUP(AR$1,main!$A$3:$I$102,7,FALSE),main!$K$26:$Q$29,5,FALSE)),1,0)</f>
        <v>0</v>
      </c>
      <c r="AS256">
        <f>IF(AND(VLOOKUP(AS$1,main!$A$3:$H$102,7,FALSE)=main!$G$105,VLOOKUP(AS$1,main!$A$3:$H$102,5,FALSE)-VLOOKUP($A256,main!$A$3:$H$102,6,FALSE)&gt;=main!$D$103+VLOOKUP(VLOOKUP(AS$1,main!$A$3:$I$102,7,FALSE),main!$K$26:$Q$29,5,FALSE)),1,0)</f>
        <v>0</v>
      </c>
      <c r="AT256">
        <f>IF(AND(VLOOKUP(AT$1,main!$A$3:$H$102,7,FALSE)=main!$G$105,VLOOKUP(AT$1,main!$A$3:$H$102,5,FALSE)-VLOOKUP($A256,main!$A$3:$H$102,6,FALSE)&gt;=main!$D$103+VLOOKUP(VLOOKUP(AT$1,main!$A$3:$I$102,7,FALSE),main!$K$26:$Q$29,5,FALSE)),1,0)</f>
        <v>1</v>
      </c>
      <c r="AU256">
        <f>IF(AND(VLOOKUP(AU$1,main!$A$3:$H$102,7,FALSE)=main!$G$105,VLOOKUP(AU$1,main!$A$3:$H$102,5,FALSE)-VLOOKUP($A256,main!$A$3:$H$102,6,FALSE)&gt;=main!$D$103+VLOOKUP(VLOOKUP(AU$1,main!$A$3:$I$102,7,FALSE),main!$K$26:$Q$29,5,FALSE)),1,0)</f>
        <v>0</v>
      </c>
      <c r="AV256">
        <f>IF(AND(VLOOKUP(AV$1,main!$A$3:$H$102,7,FALSE)=main!$G$105,VLOOKUP(AV$1,main!$A$3:$H$102,5,FALSE)-VLOOKUP($A256,main!$A$3:$H$102,6,FALSE)&gt;=main!$D$103+VLOOKUP(VLOOKUP(AV$1,main!$A$3:$I$102,7,FALSE),main!$K$26:$Q$29,5,FALSE)),1,0)</f>
        <v>0</v>
      </c>
      <c r="AW256">
        <f>IF(AND(VLOOKUP(AW$1,main!$A$3:$H$102,7,FALSE)=main!$G$105,VLOOKUP(AW$1,main!$A$3:$H$102,5,FALSE)-VLOOKUP($A256,main!$A$3:$H$102,6,FALSE)&gt;=main!$D$103+VLOOKUP(VLOOKUP(AW$1,main!$A$3:$I$102,7,FALSE),main!$K$26:$Q$29,5,FALSE)),1,0)</f>
        <v>0</v>
      </c>
      <c r="AX256">
        <f>IF(AND(VLOOKUP(AX$1,main!$A$3:$H$102,7,FALSE)=main!$G$105,VLOOKUP(AX$1,main!$A$3:$H$102,5,FALSE)-VLOOKUP($A256,main!$A$3:$H$102,6,FALSE)&gt;=main!$D$103+VLOOKUP(VLOOKUP(AX$1,main!$A$3:$I$102,7,FALSE),main!$K$26:$Q$29,5,FALSE)),1,0)</f>
        <v>0</v>
      </c>
      <c r="AY256">
        <f>IF(AND(VLOOKUP(AY$1,main!$A$3:$H$102,7,FALSE)=main!$G$105,VLOOKUP(AY$1,main!$A$3:$H$102,5,FALSE)-VLOOKUP($A256,main!$A$3:$H$102,6,FALSE)&gt;=main!$D$103+VLOOKUP(VLOOKUP(AY$1,main!$A$3:$I$102,7,FALSE),main!$K$26:$Q$29,5,FALSE)),1,0)</f>
        <v>0</v>
      </c>
      <c r="AZ256">
        <f>IF(AND(VLOOKUP(AZ$1,main!$A$3:$H$102,7,FALSE)=main!$G$105,VLOOKUP(AZ$1,main!$A$3:$H$102,5,FALSE)-VLOOKUP($A256,main!$A$3:$H$102,6,FALSE)&gt;=main!$D$103+VLOOKUP(VLOOKUP(AZ$1,main!$A$3:$I$102,7,FALSE),main!$K$26:$Q$29,5,FALSE)),1,0)</f>
        <v>0</v>
      </c>
      <c r="BA256">
        <f>IF(AND(VLOOKUP(BA$1,main!$A$3:$H$102,7,FALSE)=main!$G$105,VLOOKUP(BA$1,main!$A$3:$H$102,5,FALSE)-VLOOKUP($A256,main!$A$3:$H$102,6,FALSE)&gt;=main!$D$103+VLOOKUP(VLOOKUP(BA$1,main!$A$3:$I$102,7,FALSE),main!$K$26:$Q$29,5,FALSE)),1,0)</f>
        <v>0</v>
      </c>
      <c r="BB256">
        <f>IF(AND(VLOOKUP(BB$1,main!$A$3:$H$102,7,FALSE)=main!$G$105,VLOOKUP(BB$1,main!$A$3:$H$102,5,FALSE)-VLOOKUP($A256,main!$A$3:$H$102,6,FALSE)&gt;=main!$D$103+VLOOKUP(VLOOKUP(BB$1,main!$A$3:$I$102,7,FALSE),main!$K$26:$Q$29,5,FALSE)),1,0)</f>
        <v>0</v>
      </c>
      <c r="BC256">
        <f>IF(AND(VLOOKUP(BC$1,main!$A$3:$H$102,7,FALSE)=main!$G$105,VLOOKUP(BC$1,main!$A$3:$H$102,5,FALSE)-VLOOKUP($A256,main!$A$3:$H$102,6,FALSE)&gt;=main!$D$103+VLOOKUP(VLOOKUP(BC$1,main!$A$3:$I$102,7,FALSE),main!$K$26:$Q$29,5,FALSE)),1,0)</f>
        <v>0</v>
      </c>
      <c r="BD256">
        <f>IF(AND(VLOOKUP(BD$1,main!$A$3:$H$102,7,FALSE)=main!$G$105,VLOOKUP(BD$1,main!$A$3:$H$102,5,FALSE)-VLOOKUP($A256,main!$A$3:$H$102,6,FALSE)&gt;=main!$D$103+VLOOKUP(VLOOKUP(BD$1,main!$A$3:$I$102,7,FALSE),main!$K$26:$Q$29,5,FALSE)),1,0)</f>
        <v>0</v>
      </c>
      <c r="BE256">
        <f>IF(AND(VLOOKUP(BE$1,main!$A$3:$H$102,7,FALSE)=main!$G$105,VLOOKUP(BE$1,main!$A$3:$H$102,5,FALSE)-VLOOKUP($A256,main!$A$3:$H$102,6,FALSE)&gt;=main!$D$103+VLOOKUP(VLOOKUP(BE$1,main!$A$3:$I$102,7,FALSE),main!$K$26:$Q$29,5,FALSE)),1,0)</f>
        <v>0</v>
      </c>
      <c r="BF256">
        <f>IF(AND(VLOOKUP(BF$1,main!$A$3:$H$102,7,FALSE)=main!$G$105,VLOOKUP(BF$1,main!$A$3:$H$102,5,FALSE)-VLOOKUP($A256,main!$A$3:$H$102,6,FALSE)&gt;=main!$D$103+VLOOKUP(VLOOKUP(BF$1,main!$A$3:$I$102,7,FALSE),main!$K$26:$Q$29,5,FALSE)),1,0)</f>
        <v>0</v>
      </c>
      <c r="BG256">
        <f>IF(AND(VLOOKUP(BG$1,main!$A$3:$H$102,7,FALSE)=main!$G$105,VLOOKUP(BG$1,main!$A$3:$H$102,5,FALSE)-VLOOKUP($A256,main!$A$3:$H$102,6,FALSE)&gt;=main!$D$103+VLOOKUP(VLOOKUP(BG$1,main!$A$3:$I$102,7,FALSE),main!$K$26:$Q$29,5,FALSE)),1,0)</f>
        <v>0</v>
      </c>
      <c r="BH256">
        <f>IF(AND(VLOOKUP(BH$1,main!$A$3:$H$102,7,FALSE)=main!$G$105,VLOOKUP(BH$1,main!$A$3:$H$102,5,FALSE)-VLOOKUP($A256,main!$A$3:$H$102,6,FALSE)&gt;=main!$D$103+VLOOKUP(VLOOKUP(BH$1,main!$A$3:$I$102,7,FALSE),main!$K$26:$Q$29,5,FALSE)),1,0)</f>
        <v>0</v>
      </c>
      <c r="BI256">
        <f>IF(AND(VLOOKUP(BI$1,main!$A$3:$H$102,7,FALSE)=main!$G$105,VLOOKUP(BI$1,main!$A$3:$H$102,5,FALSE)-VLOOKUP($A256,main!$A$3:$H$102,6,FALSE)&gt;=main!$D$103+VLOOKUP(VLOOKUP(BI$1,main!$A$3:$I$102,7,FALSE),main!$K$26:$Q$29,5,FALSE)),1,0)</f>
        <v>0</v>
      </c>
      <c r="BJ256">
        <f>IF(AND(VLOOKUP(BJ$1,main!$A$3:$H$102,7,FALSE)=main!$G$105,VLOOKUP(BJ$1,main!$A$3:$H$102,5,FALSE)-VLOOKUP($A256,main!$A$3:$H$102,6,FALSE)&gt;=main!$D$103+VLOOKUP(VLOOKUP(BJ$1,main!$A$3:$I$102,7,FALSE),main!$K$26:$Q$29,5,FALSE)),1,0)</f>
        <v>0</v>
      </c>
      <c r="BK256">
        <f>IF(AND(VLOOKUP(BK$1,main!$A$3:$H$102,7,FALSE)=main!$G$105,VLOOKUP(BK$1,main!$A$3:$H$102,5,FALSE)-VLOOKUP($A256,main!$A$3:$H$102,6,FALSE)&gt;=main!$D$103+VLOOKUP(VLOOKUP(BK$1,main!$A$3:$I$102,7,FALSE),main!$K$26:$Q$29,5,FALSE)),1,0)</f>
        <v>0</v>
      </c>
      <c r="BL256">
        <f>IF(AND(VLOOKUP(BL$1,main!$A$3:$H$102,7,FALSE)=main!$G$105,VLOOKUP(BL$1,main!$A$3:$H$102,5,FALSE)-VLOOKUP($A256,main!$A$3:$H$102,6,FALSE)&gt;=main!$D$103+VLOOKUP(VLOOKUP(BL$1,main!$A$3:$I$102,7,FALSE),main!$K$26:$Q$29,5,FALSE)),1,0)</f>
        <v>0</v>
      </c>
      <c r="BM256">
        <f>IF(AND(VLOOKUP(BM$1,main!$A$3:$H$102,7,FALSE)=main!$G$105,VLOOKUP(BM$1,main!$A$3:$H$102,5,FALSE)-VLOOKUP($A256,main!$A$3:$H$102,6,FALSE)&gt;=main!$D$103+VLOOKUP(VLOOKUP(BM$1,main!$A$3:$I$102,7,FALSE),main!$K$26:$Q$29,5,FALSE)),1,0)</f>
        <v>0</v>
      </c>
      <c r="BN256">
        <f>IF(AND(VLOOKUP(BN$1,main!$A$3:$H$102,7,FALSE)=main!$G$105,VLOOKUP(BN$1,main!$A$3:$H$102,5,FALSE)-VLOOKUP($A256,main!$A$3:$H$102,6,FALSE)&gt;=main!$D$103+VLOOKUP(VLOOKUP(BN$1,main!$A$3:$I$102,7,FALSE),main!$K$26:$Q$29,5,FALSE)),1,0)</f>
        <v>0</v>
      </c>
      <c r="BO256">
        <f>IF(AND(VLOOKUP(BO$1,main!$A$3:$H$102,7,FALSE)=main!$G$105,VLOOKUP(BO$1,main!$A$3:$H$102,5,FALSE)-VLOOKUP($A256,main!$A$3:$H$102,6,FALSE)&gt;=main!$D$103+VLOOKUP(VLOOKUP(BO$1,main!$A$3:$I$102,7,FALSE),main!$K$26:$Q$29,5,FALSE)),1,0)</f>
        <v>0</v>
      </c>
      <c r="BP256">
        <f>IF(AND(VLOOKUP(BP$1,main!$A$3:$H$102,7,FALSE)=main!$G$105,VLOOKUP(BP$1,main!$A$3:$H$102,5,FALSE)-VLOOKUP($A256,main!$A$3:$H$102,6,FALSE)&gt;=main!$D$103+VLOOKUP(VLOOKUP(BP$1,main!$A$3:$I$102,7,FALSE),main!$K$26:$Q$29,5,FALSE)),1,0)</f>
        <v>0</v>
      </c>
      <c r="BQ256">
        <f>IF(AND(VLOOKUP(BQ$1,main!$A$3:$H$102,7,FALSE)=main!$G$105,VLOOKUP(BQ$1,main!$A$3:$H$102,5,FALSE)-VLOOKUP($A256,main!$A$3:$H$102,6,FALSE)&gt;=main!$D$103+VLOOKUP(VLOOKUP(BQ$1,main!$A$3:$I$102,7,FALSE),main!$K$26:$Q$29,5,FALSE)),1,0)</f>
        <v>0</v>
      </c>
      <c r="BR256">
        <f>IF(AND(VLOOKUP(BR$1,main!$A$3:$H$102,7,FALSE)=main!$G$105,VLOOKUP(BR$1,main!$A$3:$H$102,5,FALSE)-VLOOKUP($A256,main!$A$3:$H$102,6,FALSE)&gt;=main!$D$103+VLOOKUP(VLOOKUP(BR$1,main!$A$3:$I$102,7,FALSE),main!$K$26:$Q$29,5,FALSE)),1,0)</f>
        <v>0</v>
      </c>
      <c r="BS256">
        <f>IF(AND(VLOOKUP(BS$1,main!$A$3:$H$102,7,FALSE)=main!$G$105,VLOOKUP(BS$1,main!$A$3:$H$102,5,FALSE)-VLOOKUP($A256,main!$A$3:$H$102,6,FALSE)&gt;=main!$D$103+VLOOKUP(VLOOKUP(BS$1,main!$A$3:$I$102,7,FALSE),main!$K$26:$Q$29,5,FALSE)),1,0)</f>
        <v>0</v>
      </c>
      <c r="BT256">
        <f>IF(AND(VLOOKUP(BT$1,main!$A$3:$H$102,7,FALSE)=main!$G$105,VLOOKUP(BT$1,main!$A$3:$H$102,5,FALSE)-VLOOKUP($A256,main!$A$3:$H$102,6,FALSE)&gt;=main!$D$103+VLOOKUP(VLOOKUP(BT$1,main!$A$3:$I$102,7,FALSE),main!$K$26:$Q$29,5,FALSE)),1,0)</f>
        <v>0</v>
      </c>
      <c r="BU256">
        <f>IF(AND(VLOOKUP(BU$1,main!$A$3:$H$102,7,FALSE)=main!$G$105,VLOOKUP(BU$1,main!$A$3:$H$102,5,FALSE)-VLOOKUP($A256,main!$A$3:$H$102,6,FALSE)&gt;=main!$D$103+VLOOKUP(VLOOKUP(BU$1,main!$A$3:$I$102,7,FALSE),main!$K$26:$Q$29,5,FALSE)),1,0)</f>
        <v>0</v>
      </c>
      <c r="BV256">
        <f>IF(AND(VLOOKUP(BV$1,main!$A$3:$H$102,7,FALSE)=main!$G$105,VLOOKUP(BV$1,main!$A$3:$H$102,5,FALSE)-VLOOKUP($A256,main!$A$3:$H$102,6,FALSE)&gt;=main!$D$103+VLOOKUP(VLOOKUP(BV$1,main!$A$3:$I$102,7,FALSE),main!$K$26:$Q$29,5,FALSE)),1,0)</f>
        <v>0</v>
      </c>
      <c r="BW256">
        <f>IF(AND(VLOOKUP(BW$1,main!$A$3:$H$102,7,FALSE)=main!$G$105,VLOOKUP(BW$1,main!$A$3:$H$102,5,FALSE)-VLOOKUP($A256,main!$A$3:$H$102,6,FALSE)&gt;=main!$D$103+VLOOKUP(VLOOKUP(BW$1,main!$A$3:$I$102,7,FALSE),main!$K$26:$Q$29,5,FALSE)),1,0)</f>
        <v>0</v>
      </c>
      <c r="BX256">
        <f>IF(AND(VLOOKUP(BX$1,main!$A$3:$H$102,7,FALSE)=main!$G$105,VLOOKUP(BX$1,main!$A$3:$H$102,5,FALSE)-VLOOKUP($A256,main!$A$3:$H$102,6,FALSE)&gt;=main!$D$103+VLOOKUP(VLOOKUP(BX$1,main!$A$3:$I$102,7,FALSE),main!$K$26:$Q$29,5,FALSE)),1,0)</f>
        <v>0</v>
      </c>
      <c r="BY256">
        <f>IF(AND(VLOOKUP(BY$1,main!$A$3:$H$102,7,FALSE)=main!$G$105,VLOOKUP(BY$1,main!$A$3:$H$102,5,FALSE)-VLOOKUP($A256,main!$A$3:$H$102,6,FALSE)&gt;=main!$D$103+VLOOKUP(VLOOKUP(BY$1,main!$A$3:$I$102,7,FALSE),main!$K$26:$Q$29,5,FALSE)),1,0)</f>
        <v>0</v>
      </c>
      <c r="BZ256">
        <f>IF(AND(VLOOKUP(BZ$1,main!$A$3:$H$102,7,FALSE)=main!$G$105,VLOOKUP(BZ$1,main!$A$3:$H$102,5,FALSE)-VLOOKUP($A256,main!$A$3:$H$102,6,FALSE)&gt;=main!$D$103+VLOOKUP(VLOOKUP(BZ$1,main!$A$3:$I$102,7,FALSE),main!$K$26:$Q$29,5,FALSE)),1,0)</f>
        <v>0</v>
      </c>
      <c r="CA256">
        <f>IF(AND(VLOOKUP(CA$1,main!$A$3:$H$102,7,FALSE)=main!$G$105,VLOOKUP(CA$1,main!$A$3:$H$102,5,FALSE)-VLOOKUP($A256,main!$A$3:$H$102,6,FALSE)&gt;=main!$D$103+VLOOKUP(VLOOKUP(CA$1,main!$A$3:$I$102,7,FALSE),main!$K$26:$Q$29,5,FALSE)),1,0)</f>
        <v>0</v>
      </c>
      <c r="CB256">
        <f>IF(AND(VLOOKUP(CB$1,main!$A$3:$H$102,7,FALSE)=main!$G$105,VLOOKUP(CB$1,main!$A$3:$H$102,5,FALSE)-VLOOKUP($A256,main!$A$3:$H$102,6,FALSE)&gt;=main!$D$103+VLOOKUP(VLOOKUP(CB$1,main!$A$3:$I$102,7,FALSE),main!$K$26:$Q$29,5,FALSE)),1,0)</f>
        <v>0</v>
      </c>
      <c r="CC256">
        <f>IF(AND(VLOOKUP(CC$1,main!$A$3:$H$102,7,FALSE)=main!$G$105,VLOOKUP(CC$1,main!$A$3:$H$102,5,FALSE)-VLOOKUP($A256,main!$A$3:$H$102,6,FALSE)&gt;=main!$D$103+VLOOKUP(VLOOKUP(CC$1,main!$A$3:$I$102,7,FALSE),main!$K$26:$Q$29,5,FALSE)),1,0)</f>
        <v>0</v>
      </c>
      <c r="CD256">
        <f>IF(AND(VLOOKUP(CD$1,main!$A$3:$H$102,7,FALSE)=main!$G$105,VLOOKUP(CD$1,main!$A$3:$H$102,5,FALSE)-VLOOKUP($A256,main!$A$3:$H$102,6,FALSE)&gt;=main!$D$103+VLOOKUP(VLOOKUP(CD$1,main!$A$3:$I$102,7,FALSE),main!$K$26:$Q$29,5,FALSE)),1,0)</f>
        <v>0</v>
      </c>
      <c r="CE256">
        <f>IF(AND(VLOOKUP(CE$1,main!$A$3:$H$102,7,FALSE)=main!$G$105,VLOOKUP(CE$1,main!$A$3:$H$102,5,FALSE)-VLOOKUP($A256,main!$A$3:$H$102,6,FALSE)&gt;=main!$D$103+VLOOKUP(VLOOKUP(CE$1,main!$A$3:$I$102,7,FALSE),main!$K$26:$Q$29,5,FALSE)),1,0)</f>
        <v>0</v>
      </c>
      <c r="CF256">
        <f>IF(AND(VLOOKUP(CF$1,main!$A$3:$H$102,7,FALSE)=main!$G$105,VLOOKUP(CF$1,main!$A$3:$H$102,5,FALSE)-VLOOKUP($A256,main!$A$3:$H$102,6,FALSE)&gt;=main!$D$103+VLOOKUP(VLOOKUP(CF$1,main!$A$3:$I$102,7,FALSE),main!$K$26:$Q$29,5,FALSE)),1,0)</f>
        <v>0</v>
      </c>
      <c r="CG256">
        <f>IF(AND(VLOOKUP(CG$1,main!$A$3:$H$102,7,FALSE)=main!$G$105,VLOOKUP(CG$1,main!$A$3:$H$102,5,FALSE)-VLOOKUP($A256,main!$A$3:$H$102,6,FALSE)&gt;=main!$D$103+VLOOKUP(VLOOKUP(CG$1,main!$A$3:$I$102,7,FALSE),main!$K$26:$Q$29,5,FALSE)),1,0)</f>
        <v>0</v>
      </c>
      <c r="CH256">
        <f>IF(AND(VLOOKUP(CH$1,main!$A$3:$H$102,7,FALSE)=main!$G$105,VLOOKUP(CH$1,main!$A$3:$H$102,5,FALSE)-VLOOKUP($A256,main!$A$3:$H$102,6,FALSE)&gt;=main!$D$103+VLOOKUP(VLOOKUP(CH$1,main!$A$3:$I$102,7,FALSE),main!$K$26:$Q$29,5,FALSE)),1,0)</f>
        <v>0</v>
      </c>
      <c r="CI256">
        <f>IF(AND(VLOOKUP(CI$1,main!$A$3:$H$102,7,FALSE)=main!$G$105,VLOOKUP(CI$1,main!$A$3:$H$102,5,FALSE)-VLOOKUP($A256,main!$A$3:$H$102,6,FALSE)&gt;=main!$D$103+VLOOKUP(VLOOKUP(CI$1,main!$A$3:$I$102,7,FALSE),main!$K$26:$Q$29,5,FALSE)),1,0)</f>
        <v>0</v>
      </c>
      <c r="CJ256">
        <f>IF(AND(VLOOKUP(CJ$1,main!$A$3:$H$102,7,FALSE)=main!$G$105,VLOOKUP(CJ$1,main!$A$3:$H$102,5,FALSE)-VLOOKUP($A256,main!$A$3:$H$102,6,FALSE)&gt;=main!$D$103+VLOOKUP(VLOOKUP(CJ$1,main!$A$3:$I$102,7,FALSE),main!$K$26:$Q$29,5,FALSE)),1,0)</f>
        <v>0</v>
      </c>
      <c r="CK256">
        <f>IF(AND(VLOOKUP(CK$1,main!$A$3:$H$102,7,FALSE)=main!$G$105,VLOOKUP(CK$1,main!$A$3:$H$102,5,FALSE)-VLOOKUP($A256,main!$A$3:$H$102,6,FALSE)&gt;=main!$D$103+VLOOKUP(VLOOKUP(CK$1,main!$A$3:$I$102,7,FALSE),main!$K$26:$Q$29,5,FALSE)),1,0)</f>
        <v>0</v>
      </c>
      <c r="CL256">
        <f>IF(AND(VLOOKUP(CL$1,main!$A$3:$H$102,7,FALSE)=main!$G$105,VLOOKUP(CL$1,main!$A$3:$H$102,5,FALSE)-VLOOKUP($A256,main!$A$3:$H$102,6,FALSE)&gt;=main!$D$103+VLOOKUP(VLOOKUP(CL$1,main!$A$3:$I$102,7,FALSE),main!$K$26:$Q$29,5,FALSE)),1,0)</f>
        <v>0</v>
      </c>
      <c r="CM256">
        <f>IF(AND(VLOOKUP(CM$1,main!$A$3:$H$102,7,FALSE)=main!$G$105,VLOOKUP(CM$1,main!$A$3:$H$102,5,FALSE)-VLOOKUP($A256,main!$A$3:$H$102,6,FALSE)&gt;=main!$D$103+VLOOKUP(VLOOKUP(CM$1,main!$A$3:$I$102,7,FALSE),main!$K$26:$Q$29,5,FALSE)),1,0)</f>
        <v>0</v>
      </c>
      <c r="CN256">
        <f>IF(AND(VLOOKUP(CN$1,main!$A$3:$H$102,7,FALSE)=main!$G$105,VLOOKUP(CN$1,main!$A$3:$H$102,5,FALSE)-VLOOKUP($A256,main!$A$3:$H$102,6,FALSE)&gt;=main!$D$103+VLOOKUP(VLOOKUP(CN$1,main!$A$3:$I$102,7,FALSE),main!$K$26:$Q$29,5,FALSE)),1,0)</f>
        <v>0</v>
      </c>
      <c r="CO256">
        <f>IF(AND(VLOOKUP(CO$1,main!$A$3:$H$102,7,FALSE)=main!$G$105,VLOOKUP(CO$1,main!$A$3:$H$102,5,FALSE)-VLOOKUP($A256,main!$A$3:$H$102,6,FALSE)&gt;=main!$D$103+VLOOKUP(VLOOKUP(CO$1,main!$A$3:$I$102,7,FALSE),main!$K$26:$Q$29,5,FALSE)),1,0)</f>
        <v>0</v>
      </c>
      <c r="CP256">
        <f>IF(AND(VLOOKUP(CP$1,main!$A$3:$H$102,7,FALSE)=main!$G$105,VLOOKUP(CP$1,main!$A$3:$H$102,5,FALSE)-VLOOKUP($A256,main!$A$3:$H$102,6,FALSE)&gt;=main!$D$103+VLOOKUP(VLOOKUP(CP$1,main!$A$3:$I$102,7,FALSE),main!$K$26:$Q$29,5,FALSE)),1,0)</f>
        <v>0</v>
      </c>
      <c r="CQ256">
        <f>IF(AND(VLOOKUP(CQ$1,main!$A$3:$H$102,7,FALSE)=main!$G$105,VLOOKUP(CQ$1,main!$A$3:$H$102,5,FALSE)-VLOOKUP($A256,main!$A$3:$H$102,6,FALSE)&gt;=main!$D$103+VLOOKUP(VLOOKUP(CQ$1,main!$A$3:$I$102,7,FALSE),main!$K$26:$Q$29,5,FALSE)),1,0)</f>
        <v>0</v>
      </c>
      <c r="CR256">
        <f>IF(AND(VLOOKUP(CR$1,main!$A$3:$H$102,7,FALSE)=main!$G$105,VLOOKUP(CR$1,main!$A$3:$H$102,5,FALSE)-VLOOKUP($A256,main!$A$3:$H$102,6,FALSE)&gt;=main!$D$103+VLOOKUP(VLOOKUP(CR$1,main!$A$3:$I$102,7,FALSE),main!$K$26:$Q$29,5,FALSE)),1,0)</f>
        <v>0</v>
      </c>
      <c r="CS256">
        <f>IF(AND(VLOOKUP(CS$1,main!$A$3:$H$102,7,FALSE)=main!$G$105,VLOOKUP(CS$1,main!$A$3:$H$102,5,FALSE)-VLOOKUP($A256,main!$A$3:$H$102,6,FALSE)&gt;=main!$D$103+VLOOKUP(VLOOKUP(CS$1,main!$A$3:$I$102,7,FALSE),main!$K$26:$Q$29,5,FALSE)),1,0)</f>
        <v>0</v>
      </c>
      <c r="CT256">
        <f>IF(AND(VLOOKUP(CT$1,main!$A$3:$H$102,7,FALSE)=main!$G$105,VLOOKUP(CT$1,main!$A$3:$H$102,5,FALSE)-VLOOKUP($A256,main!$A$3:$H$102,6,FALSE)&gt;=main!$D$103+VLOOKUP(VLOOKUP(CT$1,main!$A$3:$I$102,7,FALSE),main!$K$26:$Q$29,5,FALSE)),1,0)</f>
        <v>0</v>
      </c>
      <c r="CU256">
        <f>IF(AND(VLOOKUP(CU$1,main!$A$3:$H$102,7,FALSE)=main!$G$105,VLOOKUP(CU$1,main!$A$3:$H$102,5,FALSE)-VLOOKUP($A256,main!$A$3:$H$102,6,FALSE)&gt;=main!$D$103+VLOOKUP(VLOOKUP(CU$1,main!$A$3:$I$102,7,FALSE),main!$K$26:$Q$29,5,FALSE)),1,0)</f>
        <v>0</v>
      </c>
      <c r="CV256">
        <f>IF(AND(VLOOKUP(CV$1,main!$A$3:$H$102,7,FALSE)=main!$G$105,VLOOKUP(CV$1,main!$A$3:$H$102,5,FALSE)-VLOOKUP($A256,main!$A$3:$H$102,6,FALSE)&gt;=main!$D$103+VLOOKUP(VLOOKUP(CV$1,main!$A$3:$I$102,7,FALSE),main!$K$26:$Q$29,5,FALSE)),1,0)</f>
        <v>0</v>
      </c>
      <c r="CW256">
        <f>IF(AND(VLOOKUP(CW$1,main!$A$3:$H$102,7,FALSE)=main!$G$105,VLOOKUP(CW$1,main!$A$3:$H$102,5,FALSE)-VLOOKUP($A256,main!$A$3:$H$102,6,FALSE)&gt;=main!$D$103+VLOOKUP(VLOOKUP(CW$1,main!$A$3:$I$102,7,FALSE),main!$K$26:$Q$29,5,FALSE)),1,0)</f>
        <v>0</v>
      </c>
      <c r="CX256">
        <f>IF(AND(VLOOKUP(CX$1,main!$A$3:$H$102,7,FALSE)=main!$G$105,VLOOKUP(CX$1,main!$A$3:$H$102,5,FALSE)-VLOOKUP($A256,main!$A$3:$H$102,6,FALSE)&gt;=main!$D$103+VLOOKUP(VLOOKUP(CX$1,main!$A$3:$I$102,7,FALSE),main!$K$26:$Q$29,5,FALSE)),1,0)</f>
        <v>0</v>
      </c>
    </row>
    <row r="257" spans="1:102" x14ac:dyDescent="0.25">
      <c r="A257" s="1">
        <v>53</v>
      </c>
      <c r="B257">
        <v>0</v>
      </c>
      <c r="C257">
        <f>IF(AND(VLOOKUP(C$1,main!$A$3:$H$102,7,FALSE)=main!$G$105,VLOOKUP(C$1,main!$A$3:$H$102,5,FALSE)-VLOOKUP($A257,main!$A$3:$H$102,6,FALSE)&gt;=main!$D$103+VLOOKUP(VLOOKUP(C$1,main!$A$3:$I$102,7,FALSE),main!$K$26:$Q$29,5,FALSE)),1,0)</f>
        <v>0</v>
      </c>
      <c r="D257">
        <f>IF(AND(VLOOKUP(D$1,main!$A$3:$H$102,7,FALSE)=main!$G$105,VLOOKUP(D$1,main!$A$3:$H$102,5,FALSE)-VLOOKUP($A257,main!$A$3:$H$102,6,FALSE)&gt;=main!$D$103+VLOOKUP(VLOOKUP(D$1,main!$A$3:$I$102,7,FALSE),main!$K$26:$Q$29,5,FALSE)),1,0)</f>
        <v>0</v>
      </c>
      <c r="E257">
        <f>IF(AND(VLOOKUP(E$1,main!$A$3:$H$102,7,FALSE)=main!$G$105,VLOOKUP(E$1,main!$A$3:$H$102,5,FALSE)-VLOOKUP($A257,main!$A$3:$H$102,6,FALSE)&gt;=main!$D$103+VLOOKUP(VLOOKUP(E$1,main!$A$3:$I$102,7,FALSE),main!$K$26:$Q$29,5,FALSE)),1,0)</f>
        <v>0</v>
      </c>
      <c r="F257">
        <f>IF(AND(VLOOKUP(F$1,main!$A$3:$H$102,7,FALSE)=main!$G$105,VLOOKUP(F$1,main!$A$3:$H$102,5,FALSE)-VLOOKUP($A257,main!$A$3:$H$102,6,FALSE)&gt;=main!$D$103+VLOOKUP(VLOOKUP(F$1,main!$A$3:$I$102,7,FALSE),main!$K$26:$Q$29,5,FALSE)),1,0)</f>
        <v>0</v>
      </c>
      <c r="G257">
        <f>IF(AND(VLOOKUP(G$1,main!$A$3:$H$102,7,FALSE)=main!$G$105,VLOOKUP(G$1,main!$A$3:$H$102,5,FALSE)-VLOOKUP($A257,main!$A$3:$H$102,6,FALSE)&gt;=main!$D$103+VLOOKUP(VLOOKUP(G$1,main!$A$3:$I$102,7,FALSE),main!$K$26:$Q$29,5,FALSE)),1,0)</f>
        <v>0</v>
      </c>
      <c r="H257">
        <f>IF(AND(VLOOKUP(H$1,main!$A$3:$H$102,7,FALSE)=main!$G$105,VLOOKUP(H$1,main!$A$3:$H$102,5,FALSE)-VLOOKUP($A257,main!$A$3:$H$102,6,FALSE)&gt;=main!$D$103+VLOOKUP(VLOOKUP(H$1,main!$A$3:$I$102,7,FALSE),main!$K$26:$Q$29,5,FALSE)),1,0)</f>
        <v>0</v>
      </c>
      <c r="I257">
        <f>IF(AND(VLOOKUP(I$1,main!$A$3:$H$102,7,FALSE)=main!$G$105,VLOOKUP(I$1,main!$A$3:$H$102,5,FALSE)-VLOOKUP($A257,main!$A$3:$H$102,6,FALSE)&gt;=main!$D$103+VLOOKUP(VLOOKUP(I$1,main!$A$3:$I$102,7,FALSE),main!$K$26:$Q$29,5,FALSE)),1,0)</f>
        <v>0</v>
      </c>
      <c r="J257">
        <f>IF(AND(VLOOKUP(J$1,main!$A$3:$H$102,7,FALSE)=main!$G$105,VLOOKUP(J$1,main!$A$3:$H$102,5,FALSE)-VLOOKUP($A257,main!$A$3:$H$102,6,FALSE)&gt;=main!$D$103+VLOOKUP(VLOOKUP(J$1,main!$A$3:$I$102,7,FALSE),main!$K$26:$Q$29,5,FALSE)),1,0)</f>
        <v>0</v>
      </c>
      <c r="K257">
        <f>IF(AND(VLOOKUP(K$1,main!$A$3:$H$102,7,FALSE)=main!$G$105,VLOOKUP(K$1,main!$A$3:$H$102,5,FALSE)-VLOOKUP($A257,main!$A$3:$H$102,6,FALSE)&gt;=main!$D$103+VLOOKUP(VLOOKUP(K$1,main!$A$3:$I$102,7,FALSE),main!$K$26:$Q$29,5,FALSE)),1,0)</f>
        <v>0</v>
      </c>
      <c r="L257">
        <f>IF(AND(VLOOKUP(L$1,main!$A$3:$H$102,7,FALSE)=main!$G$105,VLOOKUP(L$1,main!$A$3:$H$102,5,FALSE)-VLOOKUP($A257,main!$A$3:$H$102,6,FALSE)&gt;=main!$D$103+VLOOKUP(VLOOKUP(L$1,main!$A$3:$I$102,7,FALSE),main!$K$26:$Q$29,5,FALSE)),1,0)</f>
        <v>0</v>
      </c>
      <c r="M257">
        <f>IF(AND(VLOOKUP(M$1,main!$A$3:$H$102,7,FALSE)=main!$G$105,VLOOKUP(M$1,main!$A$3:$H$102,5,FALSE)-VLOOKUP($A257,main!$A$3:$H$102,6,FALSE)&gt;=main!$D$103+VLOOKUP(VLOOKUP(M$1,main!$A$3:$I$102,7,FALSE),main!$K$26:$Q$29,5,FALSE)),1,0)</f>
        <v>0</v>
      </c>
      <c r="N257">
        <f>IF(AND(VLOOKUP(N$1,main!$A$3:$H$102,7,FALSE)=main!$G$105,VLOOKUP(N$1,main!$A$3:$H$102,5,FALSE)-VLOOKUP($A257,main!$A$3:$H$102,6,FALSE)&gt;=main!$D$103+VLOOKUP(VLOOKUP(N$1,main!$A$3:$I$102,7,FALSE),main!$K$26:$Q$29,5,FALSE)),1,0)</f>
        <v>0</v>
      </c>
      <c r="O257">
        <f>IF(AND(VLOOKUP(O$1,main!$A$3:$H$102,7,FALSE)=main!$G$105,VLOOKUP(O$1,main!$A$3:$H$102,5,FALSE)-VLOOKUP($A257,main!$A$3:$H$102,6,FALSE)&gt;=main!$D$103+VLOOKUP(VLOOKUP(O$1,main!$A$3:$I$102,7,FALSE),main!$K$26:$Q$29,5,FALSE)),1,0)</f>
        <v>0</v>
      </c>
      <c r="P257">
        <f>IF(AND(VLOOKUP(P$1,main!$A$3:$H$102,7,FALSE)=main!$G$105,VLOOKUP(P$1,main!$A$3:$H$102,5,FALSE)-VLOOKUP($A257,main!$A$3:$H$102,6,FALSE)&gt;=main!$D$103+VLOOKUP(VLOOKUP(P$1,main!$A$3:$I$102,7,FALSE),main!$K$26:$Q$29,5,FALSE)),1,0)</f>
        <v>0</v>
      </c>
      <c r="Q257">
        <f>IF(AND(VLOOKUP(Q$1,main!$A$3:$H$102,7,FALSE)=main!$G$105,VLOOKUP(Q$1,main!$A$3:$H$102,5,FALSE)-VLOOKUP($A257,main!$A$3:$H$102,6,FALSE)&gt;=main!$D$103+VLOOKUP(VLOOKUP(Q$1,main!$A$3:$I$102,7,FALSE),main!$K$26:$Q$29,5,FALSE)),1,0)</f>
        <v>0</v>
      </c>
      <c r="R257">
        <f>IF(AND(VLOOKUP(R$1,main!$A$3:$H$102,7,FALSE)=main!$G$105,VLOOKUP(R$1,main!$A$3:$H$102,5,FALSE)-VLOOKUP($A257,main!$A$3:$H$102,6,FALSE)&gt;=main!$D$103+VLOOKUP(VLOOKUP(R$1,main!$A$3:$I$102,7,FALSE),main!$K$26:$Q$29,5,FALSE)),1,0)</f>
        <v>0</v>
      </c>
      <c r="S257">
        <f>IF(AND(VLOOKUP(S$1,main!$A$3:$H$102,7,FALSE)=main!$G$105,VLOOKUP(S$1,main!$A$3:$H$102,5,FALSE)-VLOOKUP($A257,main!$A$3:$H$102,6,FALSE)&gt;=main!$D$103+VLOOKUP(VLOOKUP(S$1,main!$A$3:$I$102,7,FALSE),main!$K$26:$Q$29,5,FALSE)),1,0)</f>
        <v>0</v>
      </c>
      <c r="T257">
        <f>IF(AND(VLOOKUP(T$1,main!$A$3:$H$102,7,FALSE)=main!$G$105,VLOOKUP(T$1,main!$A$3:$H$102,5,FALSE)-VLOOKUP($A257,main!$A$3:$H$102,6,FALSE)&gt;=main!$D$103+VLOOKUP(VLOOKUP(T$1,main!$A$3:$I$102,7,FALSE),main!$K$26:$Q$29,5,FALSE)),1,0)</f>
        <v>0</v>
      </c>
      <c r="U257">
        <f>IF(AND(VLOOKUP(U$1,main!$A$3:$H$102,7,FALSE)=main!$G$105,VLOOKUP(U$1,main!$A$3:$H$102,5,FALSE)-VLOOKUP($A257,main!$A$3:$H$102,6,FALSE)&gt;=main!$D$103+VLOOKUP(VLOOKUP(U$1,main!$A$3:$I$102,7,FALSE),main!$K$26:$Q$29,5,FALSE)),1,0)</f>
        <v>0</v>
      </c>
      <c r="V257">
        <f>IF(AND(VLOOKUP(V$1,main!$A$3:$H$102,7,FALSE)=main!$G$105,VLOOKUP(V$1,main!$A$3:$H$102,5,FALSE)-VLOOKUP($A257,main!$A$3:$H$102,6,FALSE)&gt;=main!$D$103+VLOOKUP(VLOOKUP(V$1,main!$A$3:$I$102,7,FALSE),main!$K$26:$Q$29,5,FALSE)),1,0)</f>
        <v>0</v>
      </c>
      <c r="W257">
        <f>IF(AND(VLOOKUP(W$1,main!$A$3:$H$102,7,FALSE)=main!$G$105,VLOOKUP(W$1,main!$A$3:$H$102,5,FALSE)-VLOOKUP($A257,main!$A$3:$H$102,6,FALSE)&gt;=main!$D$103+VLOOKUP(VLOOKUP(W$1,main!$A$3:$I$102,7,FALSE),main!$K$26:$Q$29,5,FALSE)),1,0)</f>
        <v>0</v>
      </c>
      <c r="X257">
        <f>IF(AND(VLOOKUP(X$1,main!$A$3:$H$102,7,FALSE)=main!$G$105,VLOOKUP(X$1,main!$A$3:$H$102,5,FALSE)-VLOOKUP($A257,main!$A$3:$H$102,6,FALSE)&gt;=main!$D$103+VLOOKUP(VLOOKUP(X$1,main!$A$3:$I$102,7,FALSE),main!$K$26:$Q$29,5,FALSE)),1,0)</f>
        <v>0</v>
      </c>
      <c r="Y257">
        <f>IF(AND(VLOOKUP(Y$1,main!$A$3:$H$102,7,FALSE)=main!$G$105,VLOOKUP(Y$1,main!$A$3:$H$102,5,FALSE)-VLOOKUP($A257,main!$A$3:$H$102,6,FALSE)&gt;=main!$D$103+VLOOKUP(VLOOKUP(Y$1,main!$A$3:$I$102,7,FALSE),main!$K$26:$Q$29,5,FALSE)),1,0)</f>
        <v>0</v>
      </c>
      <c r="Z257">
        <f>IF(AND(VLOOKUP(Z$1,main!$A$3:$H$102,7,FALSE)=main!$G$105,VLOOKUP(Z$1,main!$A$3:$H$102,5,FALSE)-VLOOKUP($A257,main!$A$3:$H$102,6,FALSE)&gt;=main!$D$103+VLOOKUP(VLOOKUP(Z$1,main!$A$3:$I$102,7,FALSE),main!$K$26:$Q$29,5,FALSE)),1,0)</f>
        <v>0</v>
      </c>
      <c r="AA257">
        <f>IF(AND(VLOOKUP(AA$1,main!$A$3:$H$102,7,FALSE)=main!$G$105,VLOOKUP(AA$1,main!$A$3:$H$102,5,FALSE)-VLOOKUP($A257,main!$A$3:$H$102,6,FALSE)&gt;=main!$D$103+VLOOKUP(VLOOKUP(AA$1,main!$A$3:$I$102,7,FALSE),main!$K$26:$Q$29,5,FALSE)),1,0)</f>
        <v>0</v>
      </c>
      <c r="AB257">
        <f>IF(AND(VLOOKUP(AB$1,main!$A$3:$H$102,7,FALSE)=main!$G$105,VLOOKUP(AB$1,main!$A$3:$H$102,5,FALSE)-VLOOKUP($A257,main!$A$3:$H$102,6,FALSE)&gt;=main!$D$103+VLOOKUP(VLOOKUP(AB$1,main!$A$3:$I$102,7,FALSE),main!$K$26:$Q$29,5,FALSE)),1,0)</f>
        <v>0</v>
      </c>
      <c r="AC257">
        <f>IF(AND(VLOOKUP(AC$1,main!$A$3:$H$102,7,FALSE)=main!$G$105,VLOOKUP(AC$1,main!$A$3:$H$102,5,FALSE)-VLOOKUP($A257,main!$A$3:$H$102,6,FALSE)&gt;=main!$D$103+VLOOKUP(VLOOKUP(AC$1,main!$A$3:$I$102,7,FALSE),main!$K$26:$Q$29,5,FALSE)),1,0)</f>
        <v>0</v>
      </c>
      <c r="AD257">
        <f>IF(AND(VLOOKUP(AD$1,main!$A$3:$H$102,7,FALSE)=main!$G$105,VLOOKUP(AD$1,main!$A$3:$H$102,5,FALSE)-VLOOKUP($A257,main!$A$3:$H$102,6,FALSE)&gt;=main!$D$103+VLOOKUP(VLOOKUP(AD$1,main!$A$3:$I$102,7,FALSE),main!$K$26:$Q$29,5,FALSE)),1,0)</f>
        <v>0</v>
      </c>
      <c r="AE257">
        <f>IF(AND(VLOOKUP(AE$1,main!$A$3:$H$102,7,FALSE)=main!$G$105,VLOOKUP(AE$1,main!$A$3:$H$102,5,FALSE)-VLOOKUP($A257,main!$A$3:$H$102,6,FALSE)&gt;=main!$D$103+VLOOKUP(VLOOKUP(AE$1,main!$A$3:$I$102,7,FALSE),main!$K$26:$Q$29,5,FALSE)),1,0)</f>
        <v>0</v>
      </c>
      <c r="AF257">
        <f>IF(AND(VLOOKUP(AF$1,main!$A$3:$H$102,7,FALSE)=main!$G$105,VLOOKUP(AF$1,main!$A$3:$H$102,5,FALSE)-VLOOKUP($A257,main!$A$3:$H$102,6,FALSE)&gt;=main!$D$103+VLOOKUP(VLOOKUP(AF$1,main!$A$3:$I$102,7,FALSE),main!$K$26:$Q$29,5,FALSE)),1,0)</f>
        <v>0</v>
      </c>
      <c r="AG257">
        <f>IF(AND(VLOOKUP(AG$1,main!$A$3:$H$102,7,FALSE)=main!$G$105,VLOOKUP(AG$1,main!$A$3:$H$102,5,FALSE)-VLOOKUP($A257,main!$A$3:$H$102,6,FALSE)&gt;=main!$D$103+VLOOKUP(VLOOKUP(AG$1,main!$A$3:$I$102,7,FALSE),main!$K$26:$Q$29,5,FALSE)),1,0)</f>
        <v>0</v>
      </c>
      <c r="AH257">
        <f>IF(AND(VLOOKUP(AH$1,main!$A$3:$H$102,7,FALSE)=main!$G$105,VLOOKUP(AH$1,main!$A$3:$H$102,5,FALSE)-VLOOKUP($A257,main!$A$3:$H$102,6,FALSE)&gt;=main!$D$103+VLOOKUP(VLOOKUP(AH$1,main!$A$3:$I$102,7,FALSE),main!$K$26:$Q$29,5,FALSE)),1,0)</f>
        <v>0</v>
      </c>
      <c r="AI257">
        <f>IF(AND(VLOOKUP(AI$1,main!$A$3:$H$102,7,FALSE)=main!$G$105,VLOOKUP(AI$1,main!$A$3:$H$102,5,FALSE)-VLOOKUP($A257,main!$A$3:$H$102,6,FALSE)&gt;=main!$D$103+VLOOKUP(VLOOKUP(AI$1,main!$A$3:$I$102,7,FALSE),main!$K$26:$Q$29,5,FALSE)),1,0)</f>
        <v>0</v>
      </c>
      <c r="AJ257">
        <f>IF(AND(VLOOKUP(AJ$1,main!$A$3:$H$102,7,FALSE)=main!$G$105,VLOOKUP(AJ$1,main!$A$3:$H$102,5,FALSE)-VLOOKUP($A257,main!$A$3:$H$102,6,FALSE)&gt;=main!$D$103+VLOOKUP(VLOOKUP(AJ$1,main!$A$3:$I$102,7,FALSE),main!$K$26:$Q$29,5,FALSE)),1,0)</f>
        <v>0</v>
      </c>
      <c r="AK257">
        <f>IF(AND(VLOOKUP(AK$1,main!$A$3:$H$102,7,FALSE)=main!$G$105,VLOOKUP(AK$1,main!$A$3:$H$102,5,FALSE)-VLOOKUP($A257,main!$A$3:$H$102,6,FALSE)&gt;=main!$D$103+VLOOKUP(VLOOKUP(AK$1,main!$A$3:$I$102,7,FALSE),main!$K$26:$Q$29,5,FALSE)),1,0)</f>
        <v>0</v>
      </c>
      <c r="AL257">
        <f>IF(AND(VLOOKUP(AL$1,main!$A$3:$H$102,7,FALSE)=main!$G$105,VLOOKUP(AL$1,main!$A$3:$H$102,5,FALSE)-VLOOKUP($A257,main!$A$3:$H$102,6,FALSE)&gt;=main!$D$103+VLOOKUP(VLOOKUP(AL$1,main!$A$3:$I$102,7,FALSE),main!$K$26:$Q$29,5,FALSE)),1,0)</f>
        <v>0</v>
      </c>
      <c r="AM257">
        <f>IF(AND(VLOOKUP(AM$1,main!$A$3:$H$102,7,FALSE)=main!$G$105,VLOOKUP(AM$1,main!$A$3:$H$102,5,FALSE)-VLOOKUP($A257,main!$A$3:$H$102,6,FALSE)&gt;=main!$D$103+VLOOKUP(VLOOKUP(AM$1,main!$A$3:$I$102,7,FALSE),main!$K$26:$Q$29,5,FALSE)),1,0)</f>
        <v>1</v>
      </c>
      <c r="AN257">
        <f>IF(AND(VLOOKUP(AN$1,main!$A$3:$H$102,7,FALSE)=main!$G$105,VLOOKUP(AN$1,main!$A$3:$H$102,5,FALSE)-VLOOKUP($A257,main!$A$3:$H$102,6,FALSE)&gt;=main!$D$103+VLOOKUP(VLOOKUP(AN$1,main!$A$3:$I$102,7,FALSE),main!$K$26:$Q$29,5,FALSE)),1,0)</f>
        <v>1</v>
      </c>
      <c r="AO257">
        <f>IF(AND(VLOOKUP(AO$1,main!$A$3:$H$102,7,FALSE)=main!$G$105,VLOOKUP(AO$1,main!$A$3:$H$102,5,FALSE)-VLOOKUP($A257,main!$A$3:$H$102,6,FALSE)&gt;=main!$D$103+VLOOKUP(VLOOKUP(AO$1,main!$A$3:$I$102,7,FALSE),main!$K$26:$Q$29,5,FALSE)),1,0)</f>
        <v>0</v>
      </c>
      <c r="AP257">
        <f>IF(AND(VLOOKUP(AP$1,main!$A$3:$H$102,7,FALSE)=main!$G$105,VLOOKUP(AP$1,main!$A$3:$H$102,5,FALSE)-VLOOKUP($A257,main!$A$3:$H$102,6,FALSE)&gt;=main!$D$103+VLOOKUP(VLOOKUP(AP$1,main!$A$3:$I$102,7,FALSE),main!$K$26:$Q$29,5,FALSE)),1,0)</f>
        <v>1</v>
      </c>
      <c r="AQ257">
        <f>IF(AND(VLOOKUP(AQ$1,main!$A$3:$H$102,7,FALSE)=main!$G$105,VLOOKUP(AQ$1,main!$A$3:$H$102,5,FALSE)-VLOOKUP($A257,main!$A$3:$H$102,6,FALSE)&gt;=main!$D$103+VLOOKUP(VLOOKUP(AQ$1,main!$A$3:$I$102,7,FALSE),main!$K$26:$Q$29,5,FALSE)),1,0)</f>
        <v>0</v>
      </c>
      <c r="AR257">
        <f>IF(AND(VLOOKUP(AR$1,main!$A$3:$H$102,7,FALSE)=main!$G$105,VLOOKUP(AR$1,main!$A$3:$H$102,5,FALSE)-VLOOKUP($A257,main!$A$3:$H$102,6,FALSE)&gt;=main!$D$103+VLOOKUP(VLOOKUP(AR$1,main!$A$3:$I$102,7,FALSE),main!$K$26:$Q$29,5,FALSE)),1,0)</f>
        <v>0</v>
      </c>
      <c r="AS257">
        <f>IF(AND(VLOOKUP(AS$1,main!$A$3:$H$102,7,FALSE)=main!$G$105,VLOOKUP(AS$1,main!$A$3:$H$102,5,FALSE)-VLOOKUP($A257,main!$A$3:$H$102,6,FALSE)&gt;=main!$D$103+VLOOKUP(VLOOKUP(AS$1,main!$A$3:$I$102,7,FALSE),main!$K$26:$Q$29,5,FALSE)),1,0)</f>
        <v>0</v>
      </c>
      <c r="AT257">
        <f>IF(AND(VLOOKUP(AT$1,main!$A$3:$H$102,7,FALSE)=main!$G$105,VLOOKUP(AT$1,main!$A$3:$H$102,5,FALSE)-VLOOKUP($A257,main!$A$3:$H$102,6,FALSE)&gt;=main!$D$103+VLOOKUP(VLOOKUP(AT$1,main!$A$3:$I$102,7,FALSE),main!$K$26:$Q$29,5,FALSE)),1,0)</f>
        <v>0</v>
      </c>
      <c r="AU257">
        <f>IF(AND(VLOOKUP(AU$1,main!$A$3:$H$102,7,FALSE)=main!$G$105,VLOOKUP(AU$1,main!$A$3:$H$102,5,FALSE)-VLOOKUP($A257,main!$A$3:$H$102,6,FALSE)&gt;=main!$D$103+VLOOKUP(VLOOKUP(AU$1,main!$A$3:$I$102,7,FALSE),main!$K$26:$Q$29,5,FALSE)),1,0)</f>
        <v>0</v>
      </c>
      <c r="AV257">
        <f>IF(AND(VLOOKUP(AV$1,main!$A$3:$H$102,7,FALSE)=main!$G$105,VLOOKUP(AV$1,main!$A$3:$H$102,5,FALSE)-VLOOKUP($A257,main!$A$3:$H$102,6,FALSE)&gt;=main!$D$103+VLOOKUP(VLOOKUP(AV$1,main!$A$3:$I$102,7,FALSE),main!$K$26:$Q$29,5,FALSE)),1,0)</f>
        <v>0</v>
      </c>
      <c r="AW257">
        <f>IF(AND(VLOOKUP(AW$1,main!$A$3:$H$102,7,FALSE)=main!$G$105,VLOOKUP(AW$1,main!$A$3:$H$102,5,FALSE)-VLOOKUP($A257,main!$A$3:$H$102,6,FALSE)&gt;=main!$D$103+VLOOKUP(VLOOKUP(AW$1,main!$A$3:$I$102,7,FALSE),main!$K$26:$Q$29,5,FALSE)),1,0)</f>
        <v>0</v>
      </c>
      <c r="AX257">
        <f>IF(AND(VLOOKUP(AX$1,main!$A$3:$H$102,7,FALSE)=main!$G$105,VLOOKUP(AX$1,main!$A$3:$H$102,5,FALSE)-VLOOKUP($A257,main!$A$3:$H$102,6,FALSE)&gt;=main!$D$103+VLOOKUP(VLOOKUP(AX$1,main!$A$3:$I$102,7,FALSE),main!$K$26:$Q$29,5,FALSE)),1,0)</f>
        <v>0</v>
      </c>
      <c r="AY257">
        <f>IF(AND(VLOOKUP(AY$1,main!$A$3:$H$102,7,FALSE)=main!$G$105,VLOOKUP(AY$1,main!$A$3:$H$102,5,FALSE)-VLOOKUP($A257,main!$A$3:$H$102,6,FALSE)&gt;=main!$D$103+VLOOKUP(VLOOKUP(AY$1,main!$A$3:$I$102,7,FALSE),main!$K$26:$Q$29,5,FALSE)),1,0)</f>
        <v>0</v>
      </c>
      <c r="AZ257">
        <f>IF(AND(VLOOKUP(AZ$1,main!$A$3:$H$102,7,FALSE)=main!$G$105,VLOOKUP(AZ$1,main!$A$3:$H$102,5,FALSE)-VLOOKUP($A257,main!$A$3:$H$102,6,FALSE)&gt;=main!$D$103+VLOOKUP(VLOOKUP(AZ$1,main!$A$3:$I$102,7,FALSE),main!$K$26:$Q$29,5,FALSE)),1,0)</f>
        <v>0</v>
      </c>
      <c r="BA257">
        <f>IF(AND(VLOOKUP(BA$1,main!$A$3:$H$102,7,FALSE)=main!$G$105,VLOOKUP(BA$1,main!$A$3:$H$102,5,FALSE)-VLOOKUP($A257,main!$A$3:$H$102,6,FALSE)&gt;=main!$D$103+VLOOKUP(VLOOKUP(BA$1,main!$A$3:$I$102,7,FALSE),main!$K$26:$Q$29,5,FALSE)),1,0)</f>
        <v>0</v>
      </c>
      <c r="BB257">
        <f>IF(AND(VLOOKUP(BB$1,main!$A$3:$H$102,7,FALSE)=main!$G$105,VLOOKUP(BB$1,main!$A$3:$H$102,5,FALSE)-VLOOKUP($A257,main!$A$3:$H$102,6,FALSE)&gt;=main!$D$103+VLOOKUP(VLOOKUP(BB$1,main!$A$3:$I$102,7,FALSE),main!$K$26:$Q$29,5,FALSE)),1,0)</f>
        <v>0</v>
      </c>
      <c r="BC257">
        <f>IF(AND(VLOOKUP(BC$1,main!$A$3:$H$102,7,FALSE)=main!$G$105,VLOOKUP(BC$1,main!$A$3:$H$102,5,FALSE)-VLOOKUP($A257,main!$A$3:$H$102,6,FALSE)&gt;=main!$D$103+VLOOKUP(VLOOKUP(BC$1,main!$A$3:$I$102,7,FALSE),main!$K$26:$Q$29,5,FALSE)),1,0)</f>
        <v>0</v>
      </c>
      <c r="BD257">
        <f>IF(AND(VLOOKUP(BD$1,main!$A$3:$H$102,7,FALSE)=main!$G$105,VLOOKUP(BD$1,main!$A$3:$H$102,5,FALSE)-VLOOKUP($A257,main!$A$3:$H$102,6,FALSE)&gt;=main!$D$103+VLOOKUP(VLOOKUP(BD$1,main!$A$3:$I$102,7,FALSE),main!$K$26:$Q$29,5,FALSE)),1,0)</f>
        <v>0</v>
      </c>
      <c r="BE257">
        <f>IF(AND(VLOOKUP(BE$1,main!$A$3:$H$102,7,FALSE)=main!$G$105,VLOOKUP(BE$1,main!$A$3:$H$102,5,FALSE)-VLOOKUP($A257,main!$A$3:$H$102,6,FALSE)&gt;=main!$D$103+VLOOKUP(VLOOKUP(BE$1,main!$A$3:$I$102,7,FALSE),main!$K$26:$Q$29,5,FALSE)),1,0)</f>
        <v>0</v>
      </c>
      <c r="BF257">
        <f>IF(AND(VLOOKUP(BF$1,main!$A$3:$H$102,7,FALSE)=main!$G$105,VLOOKUP(BF$1,main!$A$3:$H$102,5,FALSE)-VLOOKUP($A257,main!$A$3:$H$102,6,FALSE)&gt;=main!$D$103+VLOOKUP(VLOOKUP(BF$1,main!$A$3:$I$102,7,FALSE),main!$K$26:$Q$29,5,FALSE)),1,0)</f>
        <v>0</v>
      </c>
      <c r="BG257">
        <f>IF(AND(VLOOKUP(BG$1,main!$A$3:$H$102,7,FALSE)=main!$G$105,VLOOKUP(BG$1,main!$A$3:$H$102,5,FALSE)-VLOOKUP($A257,main!$A$3:$H$102,6,FALSE)&gt;=main!$D$103+VLOOKUP(VLOOKUP(BG$1,main!$A$3:$I$102,7,FALSE),main!$K$26:$Q$29,5,FALSE)),1,0)</f>
        <v>0</v>
      </c>
      <c r="BH257">
        <f>IF(AND(VLOOKUP(BH$1,main!$A$3:$H$102,7,FALSE)=main!$G$105,VLOOKUP(BH$1,main!$A$3:$H$102,5,FALSE)-VLOOKUP($A257,main!$A$3:$H$102,6,FALSE)&gt;=main!$D$103+VLOOKUP(VLOOKUP(BH$1,main!$A$3:$I$102,7,FALSE),main!$K$26:$Q$29,5,FALSE)),1,0)</f>
        <v>0</v>
      </c>
      <c r="BI257">
        <f>IF(AND(VLOOKUP(BI$1,main!$A$3:$H$102,7,FALSE)=main!$G$105,VLOOKUP(BI$1,main!$A$3:$H$102,5,FALSE)-VLOOKUP($A257,main!$A$3:$H$102,6,FALSE)&gt;=main!$D$103+VLOOKUP(VLOOKUP(BI$1,main!$A$3:$I$102,7,FALSE),main!$K$26:$Q$29,5,FALSE)),1,0)</f>
        <v>0</v>
      </c>
      <c r="BJ257">
        <f>IF(AND(VLOOKUP(BJ$1,main!$A$3:$H$102,7,FALSE)=main!$G$105,VLOOKUP(BJ$1,main!$A$3:$H$102,5,FALSE)-VLOOKUP($A257,main!$A$3:$H$102,6,FALSE)&gt;=main!$D$103+VLOOKUP(VLOOKUP(BJ$1,main!$A$3:$I$102,7,FALSE),main!$K$26:$Q$29,5,FALSE)),1,0)</f>
        <v>0</v>
      </c>
      <c r="BK257">
        <f>IF(AND(VLOOKUP(BK$1,main!$A$3:$H$102,7,FALSE)=main!$G$105,VLOOKUP(BK$1,main!$A$3:$H$102,5,FALSE)-VLOOKUP($A257,main!$A$3:$H$102,6,FALSE)&gt;=main!$D$103+VLOOKUP(VLOOKUP(BK$1,main!$A$3:$I$102,7,FALSE),main!$K$26:$Q$29,5,FALSE)),1,0)</f>
        <v>0</v>
      </c>
      <c r="BL257">
        <f>IF(AND(VLOOKUP(BL$1,main!$A$3:$H$102,7,FALSE)=main!$G$105,VLOOKUP(BL$1,main!$A$3:$H$102,5,FALSE)-VLOOKUP($A257,main!$A$3:$H$102,6,FALSE)&gt;=main!$D$103+VLOOKUP(VLOOKUP(BL$1,main!$A$3:$I$102,7,FALSE),main!$K$26:$Q$29,5,FALSE)),1,0)</f>
        <v>0</v>
      </c>
      <c r="BM257">
        <f>IF(AND(VLOOKUP(BM$1,main!$A$3:$H$102,7,FALSE)=main!$G$105,VLOOKUP(BM$1,main!$A$3:$H$102,5,FALSE)-VLOOKUP($A257,main!$A$3:$H$102,6,FALSE)&gt;=main!$D$103+VLOOKUP(VLOOKUP(BM$1,main!$A$3:$I$102,7,FALSE),main!$K$26:$Q$29,5,FALSE)),1,0)</f>
        <v>0</v>
      </c>
      <c r="BN257">
        <f>IF(AND(VLOOKUP(BN$1,main!$A$3:$H$102,7,FALSE)=main!$G$105,VLOOKUP(BN$1,main!$A$3:$H$102,5,FALSE)-VLOOKUP($A257,main!$A$3:$H$102,6,FALSE)&gt;=main!$D$103+VLOOKUP(VLOOKUP(BN$1,main!$A$3:$I$102,7,FALSE),main!$K$26:$Q$29,5,FALSE)),1,0)</f>
        <v>0</v>
      </c>
      <c r="BO257">
        <f>IF(AND(VLOOKUP(BO$1,main!$A$3:$H$102,7,FALSE)=main!$G$105,VLOOKUP(BO$1,main!$A$3:$H$102,5,FALSE)-VLOOKUP($A257,main!$A$3:$H$102,6,FALSE)&gt;=main!$D$103+VLOOKUP(VLOOKUP(BO$1,main!$A$3:$I$102,7,FALSE),main!$K$26:$Q$29,5,FALSE)),1,0)</f>
        <v>0</v>
      </c>
      <c r="BP257">
        <f>IF(AND(VLOOKUP(BP$1,main!$A$3:$H$102,7,FALSE)=main!$G$105,VLOOKUP(BP$1,main!$A$3:$H$102,5,FALSE)-VLOOKUP($A257,main!$A$3:$H$102,6,FALSE)&gt;=main!$D$103+VLOOKUP(VLOOKUP(BP$1,main!$A$3:$I$102,7,FALSE),main!$K$26:$Q$29,5,FALSE)),1,0)</f>
        <v>0</v>
      </c>
      <c r="BQ257">
        <f>IF(AND(VLOOKUP(BQ$1,main!$A$3:$H$102,7,FALSE)=main!$G$105,VLOOKUP(BQ$1,main!$A$3:$H$102,5,FALSE)-VLOOKUP($A257,main!$A$3:$H$102,6,FALSE)&gt;=main!$D$103+VLOOKUP(VLOOKUP(BQ$1,main!$A$3:$I$102,7,FALSE),main!$K$26:$Q$29,5,FALSE)),1,0)</f>
        <v>0</v>
      </c>
      <c r="BR257">
        <f>IF(AND(VLOOKUP(BR$1,main!$A$3:$H$102,7,FALSE)=main!$G$105,VLOOKUP(BR$1,main!$A$3:$H$102,5,FALSE)-VLOOKUP($A257,main!$A$3:$H$102,6,FALSE)&gt;=main!$D$103+VLOOKUP(VLOOKUP(BR$1,main!$A$3:$I$102,7,FALSE),main!$K$26:$Q$29,5,FALSE)),1,0)</f>
        <v>0</v>
      </c>
      <c r="BS257">
        <f>IF(AND(VLOOKUP(BS$1,main!$A$3:$H$102,7,FALSE)=main!$G$105,VLOOKUP(BS$1,main!$A$3:$H$102,5,FALSE)-VLOOKUP($A257,main!$A$3:$H$102,6,FALSE)&gt;=main!$D$103+VLOOKUP(VLOOKUP(BS$1,main!$A$3:$I$102,7,FALSE),main!$K$26:$Q$29,5,FALSE)),1,0)</f>
        <v>0</v>
      </c>
      <c r="BT257">
        <f>IF(AND(VLOOKUP(BT$1,main!$A$3:$H$102,7,FALSE)=main!$G$105,VLOOKUP(BT$1,main!$A$3:$H$102,5,FALSE)-VLOOKUP($A257,main!$A$3:$H$102,6,FALSE)&gt;=main!$D$103+VLOOKUP(VLOOKUP(BT$1,main!$A$3:$I$102,7,FALSE),main!$K$26:$Q$29,5,FALSE)),1,0)</f>
        <v>0</v>
      </c>
      <c r="BU257">
        <f>IF(AND(VLOOKUP(BU$1,main!$A$3:$H$102,7,FALSE)=main!$G$105,VLOOKUP(BU$1,main!$A$3:$H$102,5,FALSE)-VLOOKUP($A257,main!$A$3:$H$102,6,FALSE)&gt;=main!$D$103+VLOOKUP(VLOOKUP(BU$1,main!$A$3:$I$102,7,FALSE),main!$K$26:$Q$29,5,FALSE)),1,0)</f>
        <v>0</v>
      </c>
      <c r="BV257">
        <f>IF(AND(VLOOKUP(BV$1,main!$A$3:$H$102,7,FALSE)=main!$G$105,VLOOKUP(BV$1,main!$A$3:$H$102,5,FALSE)-VLOOKUP($A257,main!$A$3:$H$102,6,FALSE)&gt;=main!$D$103+VLOOKUP(VLOOKUP(BV$1,main!$A$3:$I$102,7,FALSE),main!$K$26:$Q$29,5,FALSE)),1,0)</f>
        <v>0</v>
      </c>
      <c r="BW257">
        <f>IF(AND(VLOOKUP(BW$1,main!$A$3:$H$102,7,FALSE)=main!$G$105,VLOOKUP(BW$1,main!$A$3:$H$102,5,FALSE)-VLOOKUP($A257,main!$A$3:$H$102,6,FALSE)&gt;=main!$D$103+VLOOKUP(VLOOKUP(BW$1,main!$A$3:$I$102,7,FALSE),main!$K$26:$Q$29,5,FALSE)),1,0)</f>
        <v>0</v>
      </c>
      <c r="BX257">
        <f>IF(AND(VLOOKUP(BX$1,main!$A$3:$H$102,7,FALSE)=main!$G$105,VLOOKUP(BX$1,main!$A$3:$H$102,5,FALSE)-VLOOKUP($A257,main!$A$3:$H$102,6,FALSE)&gt;=main!$D$103+VLOOKUP(VLOOKUP(BX$1,main!$A$3:$I$102,7,FALSE),main!$K$26:$Q$29,5,FALSE)),1,0)</f>
        <v>0</v>
      </c>
      <c r="BY257">
        <f>IF(AND(VLOOKUP(BY$1,main!$A$3:$H$102,7,FALSE)=main!$G$105,VLOOKUP(BY$1,main!$A$3:$H$102,5,FALSE)-VLOOKUP($A257,main!$A$3:$H$102,6,FALSE)&gt;=main!$D$103+VLOOKUP(VLOOKUP(BY$1,main!$A$3:$I$102,7,FALSE),main!$K$26:$Q$29,5,FALSE)),1,0)</f>
        <v>0</v>
      </c>
      <c r="BZ257">
        <f>IF(AND(VLOOKUP(BZ$1,main!$A$3:$H$102,7,FALSE)=main!$G$105,VLOOKUP(BZ$1,main!$A$3:$H$102,5,FALSE)-VLOOKUP($A257,main!$A$3:$H$102,6,FALSE)&gt;=main!$D$103+VLOOKUP(VLOOKUP(BZ$1,main!$A$3:$I$102,7,FALSE),main!$K$26:$Q$29,5,FALSE)),1,0)</f>
        <v>0</v>
      </c>
      <c r="CA257">
        <f>IF(AND(VLOOKUP(CA$1,main!$A$3:$H$102,7,FALSE)=main!$G$105,VLOOKUP(CA$1,main!$A$3:$H$102,5,FALSE)-VLOOKUP($A257,main!$A$3:$H$102,6,FALSE)&gt;=main!$D$103+VLOOKUP(VLOOKUP(CA$1,main!$A$3:$I$102,7,FALSE),main!$K$26:$Q$29,5,FALSE)),1,0)</f>
        <v>0</v>
      </c>
      <c r="CB257">
        <f>IF(AND(VLOOKUP(CB$1,main!$A$3:$H$102,7,FALSE)=main!$G$105,VLOOKUP(CB$1,main!$A$3:$H$102,5,FALSE)-VLOOKUP($A257,main!$A$3:$H$102,6,FALSE)&gt;=main!$D$103+VLOOKUP(VLOOKUP(CB$1,main!$A$3:$I$102,7,FALSE),main!$K$26:$Q$29,5,FALSE)),1,0)</f>
        <v>0</v>
      </c>
      <c r="CC257">
        <f>IF(AND(VLOOKUP(CC$1,main!$A$3:$H$102,7,FALSE)=main!$G$105,VLOOKUP(CC$1,main!$A$3:$H$102,5,FALSE)-VLOOKUP($A257,main!$A$3:$H$102,6,FALSE)&gt;=main!$D$103+VLOOKUP(VLOOKUP(CC$1,main!$A$3:$I$102,7,FALSE),main!$K$26:$Q$29,5,FALSE)),1,0)</f>
        <v>0</v>
      </c>
      <c r="CD257">
        <f>IF(AND(VLOOKUP(CD$1,main!$A$3:$H$102,7,FALSE)=main!$G$105,VLOOKUP(CD$1,main!$A$3:$H$102,5,FALSE)-VLOOKUP($A257,main!$A$3:$H$102,6,FALSE)&gt;=main!$D$103+VLOOKUP(VLOOKUP(CD$1,main!$A$3:$I$102,7,FALSE),main!$K$26:$Q$29,5,FALSE)),1,0)</f>
        <v>0</v>
      </c>
      <c r="CE257">
        <f>IF(AND(VLOOKUP(CE$1,main!$A$3:$H$102,7,FALSE)=main!$G$105,VLOOKUP(CE$1,main!$A$3:$H$102,5,FALSE)-VLOOKUP($A257,main!$A$3:$H$102,6,FALSE)&gt;=main!$D$103+VLOOKUP(VLOOKUP(CE$1,main!$A$3:$I$102,7,FALSE),main!$K$26:$Q$29,5,FALSE)),1,0)</f>
        <v>0</v>
      </c>
      <c r="CF257">
        <f>IF(AND(VLOOKUP(CF$1,main!$A$3:$H$102,7,FALSE)=main!$G$105,VLOOKUP(CF$1,main!$A$3:$H$102,5,FALSE)-VLOOKUP($A257,main!$A$3:$H$102,6,FALSE)&gt;=main!$D$103+VLOOKUP(VLOOKUP(CF$1,main!$A$3:$I$102,7,FALSE),main!$K$26:$Q$29,5,FALSE)),1,0)</f>
        <v>0</v>
      </c>
      <c r="CG257">
        <f>IF(AND(VLOOKUP(CG$1,main!$A$3:$H$102,7,FALSE)=main!$G$105,VLOOKUP(CG$1,main!$A$3:$H$102,5,FALSE)-VLOOKUP($A257,main!$A$3:$H$102,6,FALSE)&gt;=main!$D$103+VLOOKUP(VLOOKUP(CG$1,main!$A$3:$I$102,7,FALSE),main!$K$26:$Q$29,5,FALSE)),1,0)</f>
        <v>0</v>
      </c>
      <c r="CH257">
        <f>IF(AND(VLOOKUP(CH$1,main!$A$3:$H$102,7,FALSE)=main!$G$105,VLOOKUP(CH$1,main!$A$3:$H$102,5,FALSE)-VLOOKUP($A257,main!$A$3:$H$102,6,FALSE)&gt;=main!$D$103+VLOOKUP(VLOOKUP(CH$1,main!$A$3:$I$102,7,FALSE),main!$K$26:$Q$29,5,FALSE)),1,0)</f>
        <v>0</v>
      </c>
      <c r="CI257">
        <f>IF(AND(VLOOKUP(CI$1,main!$A$3:$H$102,7,FALSE)=main!$G$105,VLOOKUP(CI$1,main!$A$3:$H$102,5,FALSE)-VLOOKUP($A257,main!$A$3:$H$102,6,FALSE)&gt;=main!$D$103+VLOOKUP(VLOOKUP(CI$1,main!$A$3:$I$102,7,FALSE),main!$K$26:$Q$29,5,FALSE)),1,0)</f>
        <v>0</v>
      </c>
      <c r="CJ257">
        <f>IF(AND(VLOOKUP(CJ$1,main!$A$3:$H$102,7,FALSE)=main!$G$105,VLOOKUP(CJ$1,main!$A$3:$H$102,5,FALSE)-VLOOKUP($A257,main!$A$3:$H$102,6,FALSE)&gt;=main!$D$103+VLOOKUP(VLOOKUP(CJ$1,main!$A$3:$I$102,7,FALSE),main!$K$26:$Q$29,5,FALSE)),1,0)</f>
        <v>0</v>
      </c>
      <c r="CK257">
        <f>IF(AND(VLOOKUP(CK$1,main!$A$3:$H$102,7,FALSE)=main!$G$105,VLOOKUP(CK$1,main!$A$3:$H$102,5,FALSE)-VLOOKUP($A257,main!$A$3:$H$102,6,FALSE)&gt;=main!$D$103+VLOOKUP(VLOOKUP(CK$1,main!$A$3:$I$102,7,FALSE),main!$K$26:$Q$29,5,FALSE)),1,0)</f>
        <v>0</v>
      </c>
      <c r="CL257">
        <f>IF(AND(VLOOKUP(CL$1,main!$A$3:$H$102,7,FALSE)=main!$G$105,VLOOKUP(CL$1,main!$A$3:$H$102,5,FALSE)-VLOOKUP($A257,main!$A$3:$H$102,6,FALSE)&gt;=main!$D$103+VLOOKUP(VLOOKUP(CL$1,main!$A$3:$I$102,7,FALSE),main!$K$26:$Q$29,5,FALSE)),1,0)</f>
        <v>0</v>
      </c>
      <c r="CM257">
        <f>IF(AND(VLOOKUP(CM$1,main!$A$3:$H$102,7,FALSE)=main!$G$105,VLOOKUP(CM$1,main!$A$3:$H$102,5,FALSE)-VLOOKUP($A257,main!$A$3:$H$102,6,FALSE)&gt;=main!$D$103+VLOOKUP(VLOOKUP(CM$1,main!$A$3:$I$102,7,FALSE),main!$K$26:$Q$29,5,FALSE)),1,0)</f>
        <v>0</v>
      </c>
      <c r="CN257">
        <f>IF(AND(VLOOKUP(CN$1,main!$A$3:$H$102,7,FALSE)=main!$G$105,VLOOKUP(CN$1,main!$A$3:$H$102,5,FALSE)-VLOOKUP($A257,main!$A$3:$H$102,6,FALSE)&gt;=main!$D$103+VLOOKUP(VLOOKUP(CN$1,main!$A$3:$I$102,7,FALSE),main!$K$26:$Q$29,5,FALSE)),1,0)</f>
        <v>0</v>
      </c>
      <c r="CO257">
        <f>IF(AND(VLOOKUP(CO$1,main!$A$3:$H$102,7,FALSE)=main!$G$105,VLOOKUP(CO$1,main!$A$3:$H$102,5,FALSE)-VLOOKUP($A257,main!$A$3:$H$102,6,FALSE)&gt;=main!$D$103+VLOOKUP(VLOOKUP(CO$1,main!$A$3:$I$102,7,FALSE),main!$K$26:$Q$29,5,FALSE)),1,0)</f>
        <v>0</v>
      </c>
      <c r="CP257">
        <f>IF(AND(VLOOKUP(CP$1,main!$A$3:$H$102,7,FALSE)=main!$G$105,VLOOKUP(CP$1,main!$A$3:$H$102,5,FALSE)-VLOOKUP($A257,main!$A$3:$H$102,6,FALSE)&gt;=main!$D$103+VLOOKUP(VLOOKUP(CP$1,main!$A$3:$I$102,7,FALSE),main!$K$26:$Q$29,5,FALSE)),1,0)</f>
        <v>0</v>
      </c>
      <c r="CQ257">
        <f>IF(AND(VLOOKUP(CQ$1,main!$A$3:$H$102,7,FALSE)=main!$G$105,VLOOKUP(CQ$1,main!$A$3:$H$102,5,FALSE)-VLOOKUP($A257,main!$A$3:$H$102,6,FALSE)&gt;=main!$D$103+VLOOKUP(VLOOKUP(CQ$1,main!$A$3:$I$102,7,FALSE),main!$K$26:$Q$29,5,FALSE)),1,0)</f>
        <v>0</v>
      </c>
      <c r="CR257">
        <f>IF(AND(VLOOKUP(CR$1,main!$A$3:$H$102,7,FALSE)=main!$G$105,VLOOKUP(CR$1,main!$A$3:$H$102,5,FALSE)-VLOOKUP($A257,main!$A$3:$H$102,6,FALSE)&gt;=main!$D$103+VLOOKUP(VLOOKUP(CR$1,main!$A$3:$I$102,7,FALSE),main!$K$26:$Q$29,5,FALSE)),1,0)</f>
        <v>0</v>
      </c>
      <c r="CS257">
        <f>IF(AND(VLOOKUP(CS$1,main!$A$3:$H$102,7,FALSE)=main!$G$105,VLOOKUP(CS$1,main!$A$3:$H$102,5,FALSE)-VLOOKUP($A257,main!$A$3:$H$102,6,FALSE)&gt;=main!$D$103+VLOOKUP(VLOOKUP(CS$1,main!$A$3:$I$102,7,FALSE),main!$K$26:$Q$29,5,FALSE)),1,0)</f>
        <v>0</v>
      </c>
      <c r="CT257">
        <f>IF(AND(VLOOKUP(CT$1,main!$A$3:$H$102,7,FALSE)=main!$G$105,VLOOKUP(CT$1,main!$A$3:$H$102,5,FALSE)-VLOOKUP($A257,main!$A$3:$H$102,6,FALSE)&gt;=main!$D$103+VLOOKUP(VLOOKUP(CT$1,main!$A$3:$I$102,7,FALSE),main!$K$26:$Q$29,5,FALSE)),1,0)</f>
        <v>0</v>
      </c>
      <c r="CU257">
        <f>IF(AND(VLOOKUP(CU$1,main!$A$3:$H$102,7,FALSE)=main!$G$105,VLOOKUP(CU$1,main!$A$3:$H$102,5,FALSE)-VLOOKUP($A257,main!$A$3:$H$102,6,FALSE)&gt;=main!$D$103+VLOOKUP(VLOOKUP(CU$1,main!$A$3:$I$102,7,FALSE),main!$K$26:$Q$29,5,FALSE)),1,0)</f>
        <v>0</v>
      </c>
      <c r="CV257">
        <f>IF(AND(VLOOKUP(CV$1,main!$A$3:$H$102,7,FALSE)=main!$G$105,VLOOKUP(CV$1,main!$A$3:$H$102,5,FALSE)-VLOOKUP($A257,main!$A$3:$H$102,6,FALSE)&gt;=main!$D$103+VLOOKUP(VLOOKUP(CV$1,main!$A$3:$I$102,7,FALSE),main!$K$26:$Q$29,5,FALSE)),1,0)</f>
        <v>0</v>
      </c>
      <c r="CW257">
        <f>IF(AND(VLOOKUP(CW$1,main!$A$3:$H$102,7,FALSE)=main!$G$105,VLOOKUP(CW$1,main!$A$3:$H$102,5,FALSE)-VLOOKUP($A257,main!$A$3:$H$102,6,FALSE)&gt;=main!$D$103+VLOOKUP(VLOOKUP(CW$1,main!$A$3:$I$102,7,FALSE),main!$K$26:$Q$29,5,FALSE)),1,0)</f>
        <v>0</v>
      </c>
      <c r="CX257">
        <f>IF(AND(VLOOKUP(CX$1,main!$A$3:$H$102,7,FALSE)=main!$G$105,VLOOKUP(CX$1,main!$A$3:$H$102,5,FALSE)-VLOOKUP($A257,main!$A$3:$H$102,6,FALSE)&gt;=main!$D$103+VLOOKUP(VLOOKUP(CX$1,main!$A$3:$I$102,7,FALSE),main!$K$26:$Q$29,5,FALSE)),1,0)</f>
        <v>0</v>
      </c>
    </row>
    <row r="258" spans="1:102" x14ac:dyDescent="0.25">
      <c r="A258" s="1">
        <v>54</v>
      </c>
      <c r="B258">
        <v>0</v>
      </c>
      <c r="C258">
        <f>IF(AND(VLOOKUP(C$1,main!$A$3:$H$102,7,FALSE)=main!$G$105,VLOOKUP(C$1,main!$A$3:$H$102,5,FALSE)-VLOOKUP($A258,main!$A$3:$H$102,6,FALSE)&gt;=main!$D$103+VLOOKUP(VLOOKUP(C$1,main!$A$3:$I$102,7,FALSE),main!$K$26:$Q$29,5,FALSE)),1,0)</f>
        <v>0</v>
      </c>
      <c r="D258">
        <f>IF(AND(VLOOKUP(D$1,main!$A$3:$H$102,7,FALSE)=main!$G$105,VLOOKUP(D$1,main!$A$3:$H$102,5,FALSE)-VLOOKUP($A258,main!$A$3:$H$102,6,FALSE)&gt;=main!$D$103+VLOOKUP(VLOOKUP(D$1,main!$A$3:$I$102,7,FALSE),main!$K$26:$Q$29,5,FALSE)),1,0)</f>
        <v>0</v>
      </c>
      <c r="E258">
        <f>IF(AND(VLOOKUP(E$1,main!$A$3:$H$102,7,FALSE)=main!$G$105,VLOOKUP(E$1,main!$A$3:$H$102,5,FALSE)-VLOOKUP($A258,main!$A$3:$H$102,6,FALSE)&gt;=main!$D$103+VLOOKUP(VLOOKUP(E$1,main!$A$3:$I$102,7,FALSE),main!$K$26:$Q$29,5,FALSE)),1,0)</f>
        <v>0</v>
      </c>
      <c r="F258">
        <f>IF(AND(VLOOKUP(F$1,main!$A$3:$H$102,7,FALSE)=main!$G$105,VLOOKUP(F$1,main!$A$3:$H$102,5,FALSE)-VLOOKUP($A258,main!$A$3:$H$102,6,FALSE)&gt;=main!$D$103+VLOOKUP(VLOOKUP(F$1,main!$A$3:$I$102,7,FALSE),main!$K$26:$Q$29,5,FALSE)),1,0)</f>
        <v>0</v>
      </c>
      <c r="G258">
        <f>IF(AND(VLOOKUP(G$1,main!$A$3:$H$102,7,FALSE)=main!$G$105,VLOOKUP(G$1,main!$A$3:$H$102,5,FALSE)-VLOOKUP($A258,main!$A$3:$H$102,6,FALSE)&gt;=main!$D$103+VLOOKUP(VLOOKUP(G$1,main!$A$3:$I$102,7,FALSE),main!$K$26:$Q$29,5,FALSE)),1,0)</f>
        <v>0</v>
      </c>
      <c r="H258">
        <f>IF(AND(VLOOKUP(H$1,main!$A$3:$H$102,7,FALSE)=main!$G$105,VLOOKUP(H$1,main!$A$3:$H$102,5,FALSE)-VLOOKUP($A258,main!$A$3:$H$102,6,FALSE)&gt;=main!$D$103+VLOOKUP(VLOOKUP(H$1,main!$A$3:$I$102,7,FALSE),main!$K$26:$Q$29,5,FALSE)),1,0)</f>
        <v>0</v>
      </c>
      <c r="I258">
        <f>IF(AND(VLOOKUP(I$1,main!$A$3:$H$102,7,FALSE)=main!$G$105,VLOOKUP(I$1,main!$A$3:$H$102,5,FALSE)-VLOOKUP($A258,main!$A$3:$H$102,6,FALSE)&gt;=main!$D$103+VLOOKUP(VLOOKUP(I$1,main!$A$3:$I$102,7,FALSE),main!$K$26:$Q$29,5,FALSE)),1,0)</f>
        <v>0</v>
      </c>
      <c r="J258">
        <f>IF(AND(VLOOKUP(J$1,main!$A$3:$H$102,7,FALSE)=main!$G$105,VLOOKUP(J$1,main!$A$3:$H$102,5,FALSE)-VLOOKUP($A258,main!$A$3:$H$102,6,FALSE)&gt;=main!$D$103+VLOOKUP(VLOOKUP(J$1,main!$A$3:$I$102,7,FALSE),main!$K$26:$Q$29,5,FALSE)),1,0)</f>
        <v>0</v>
      </c>
      <c r="K258">
        <f>IF(AND(VLOOKUP(K$1,main!$A$3:$H$102,7,FALSE)=main!$G$105,VLOOKUP(K$1,main!$A$3:$H$102,5,FALSE)-VLOOKUP($A258,main!$A$3:$H$102,6,FALSE)&gt;=main!$D$103+VLOOKUP(VLOOKUP(K$1,main!$A$3:$I$102,7,FALSE),main!$K$26:$Q$29,5,FALSE)),1,0)</f>
        <v>0</v>
      </c>
      <c r="L258">
        <f>IF(AND(VLOOKUP(L$1,main!$A$3:$H$102,7,FALSE)=main!$G$105,VLOOKUP(L$1,main!$A$3:$H$102,5,FALSE)-VLOOKUP($A258,main!$A$3:$H$102,6,FALSE)&gt;=main!$D$103+VLOOKUP(VLOOKUP(L$1,main!$A$3:$I$102,7,FALSE),main!$K$26:$Q$29,5,FALSE)),1,0)</f>
        <v>0</v>
      </c>
      <c r="M258">
        <f>IF(AND(VLOOKUP(M$1,main!$A$3:$H$102,7,FALSE)=main!$G$105,VLOOKUP(M$1,main!$A$3:$H$102,5,FALSE)-VLOOKUP($A258,main!$A$3:$H$102,6,FALSE)&gt;=main!$D$103+VLOOKUP(VLOOKUP(M$1,main!$A$3:$I$102,7,FALSE),main!$K$26:$Q$29,5,FALSE)),1,0)</f>
        <v>0</v>
      </c>
      <c r="N258">
        <f>IF(AND(VLOOKUP(N$1,main!$A$3:$H$102,7,FALSE)=main!$G$105,VLOOKUP(N$1,main!$A$3:$H$102,5,FALSE)-VLOOKUP($A258,main!$A$3:$H$102,6,FALSE)&gt;=main!$D$103+VLOOKUP(VLOOKUP(N$1,main!$A$3:$I$102,7,FALSE),main!$K$26:$Q$29,5,FALSE)),1,0)</f>
        <v>0</v>
      </c>
      <c r="O258">
        <f>IF(AND(VLOOKUP(O$1,main!$A$3:$H$102,7,FALSE)=main!$G$105,VLOOKUP(O$1,main!$A$3:$H$102,5,FALSE)-VLOOKUP($A258,main!$A$3:$H$102,6,FALSE)&gt;=main!$D$103+VLOOKUP(VLOOKUP(O$1,main!$A$3:$I$102,7,FALSE),main!$K$26:$Q$29,5,FALSE)),1,0)</f>
        <v>0</v>
      </c>
      <c r="P258">
        <f>IF(AND(VLOOKUP(P$1,main!$A$3:$H$102,7,FALSE)=main!$G$105,VLOOKUP(P$1,main!$A$3:$H$102,5,FALSE)-VLOOKUP($A258,main!$A$3:$H$102,6,FALSE)&gt;=main!$D$103+VLOOKUP(VLOOKUP(P$1,main!$A$3:$I$102,7,FALSE),main!$K$26:$Q$29,5,FALSE)),1,0)</f>
        <v>0</v>
      </c>
      <c r="Q258">
        <f>IF(AND(VLOOKUP(Q$1,main!$A$3:$H$102,7,FALSE)=main!$G$105,VLOOKUP(Q$1,main!$A$3:$H$102,5,FALSE)-VLOOKUP($A258,main!$A$3:$H$102,6,FALSE)&gt;=main!$D$103+VLOOKUP(VLOOKUP(Q$1,main!$A$3:$I$102,7,FALSE),main!$K$26:$Q$29,5,FALSE)),1,0)</f>
        <v>0</v>
      </c>
      <c r="R258">
        <f>IF(AND(VLOOKUP(R$1,main!$A$3:$H$102,7,FALSE)=main!$G$105,VLOOKUP(R$1,main!$A$3:$H$102,5,FALSE)-VLOOKUP($A258,main!$A$3:$H$102,6,FALSE)&gt;=main!$D$103+VLOOKUP(VLOOKUP(R$1,main!$A$3:$I$102,7,FALSE),main!$K$26:$Q$29,5,FALSE)),1,0)</f>
        <v>0</v>
      </c>
      <c r="S258">
        <f>IF(AND(VLOOKUP(S$1,main!$A$3:$H$102,7,FALSE)=main!$G$105,VLOOKUP(S$1,main!$A$3:$H$102,5,FALSE)-VLOOKUP($A258,main!$A$3:$H$102,6,FALSE)&gt;=main!$D$103+VLOOKUP(VLOOKUP(S$1,main!$A$3:$I$102,7,FALSE),main!$K$26:$Q$29,5,FALSE)),1,0)</f>
        <v>0</v>
      </c>
      <c r="T258">
        <f>IF(AND(VLOOKUP(T$1,main!$A$3:$H$102,7,FALSE)=main!$G$105,VLOOKUP(T$1,main!$A$3:$H$102,5,FALSE)-VLOOKUP($A258,main!$A$3:$H$102,6,FALSE)&gt;=main!$D$103+VLOOKUP(VLOOKUP(T$1,main!$A$3:$I$102,7,FALSE),main!$K$26:$Q$29,5,FALSE)),1,0)</f>
        <v>0</v>
      </c>
      <c r="U258">
        <f>IF(AND(VLOOKUP(U$1,main!$A$3:$H$102,7,FALSE)=main!$G$105,VLOOKUP(U$1,main!$A$3:$H$102,5,FALSE)-VLOOKUP($A258,main!$A$3:$H$102,6,FALSE)&gt;=main!$D$103+VLOOKUP(VLOOKUP(U$1,main!$A$3:$I$102,7,FALSE),main!$K$26:$Q$29,5,FALSE)),1,0)</f>
        <v>0</v>
      </c>
      <c r="V258">
        <f>IF(AND(VLOOKUP(V$1,main!$A$3:$H$102,7,FALSE)=main!$G$105,VLOOKUP(V$1,main!$A$3:$H$102,5,FALSE)-VLOOKUP($A258,main!$A$3:$H$102,6,FALSE)&gt;=main!$D$103+VLOOKUP(VLOOKUP(V$1,main!$A$3:$I$102,7,FALSE),main!$K$26:$Q$29,5,FALSE)),1,0)</f>
        <v>0</v>
      </c>
      <c r="W258">
        <f>IF(AND(VLOOKUP(W$1,main!$A$3:$H$102,7,FALSE)=main!$G$105,VLOOKUP(W$1,main!$A$3:$H$102,5,FALSE)-VLOOKUP($A258,main!$A$3:$H$102,6,FALSE)&gt;=main!$D$103+VLOOKUP(VLOOKUP(W$1,main!$A$3:$I$102,7,FALSE),main!$K$26:$Q$29,5,FALSE)),1,0)</f>
        <v>0</v>
      </c>
      <c r="X258">
        <f>IF(AND(VLOOKUP(X$1,main!$A$3:$H$102,7,FALSE)=main!$G$105,VLOOKUP(X$1,main!$A$3:$H$102,5,FALSE)-VLOOKUP($A258,main!$A$3:$H$102,6,FALSE)&gt;=main!$D$103+VLOOKUP(VLOOKUP(X$1,main!$A$3:$I$102,7,FALSE),main!$K$26:$Q$29,5,FALSE)),1,0)</f>
        <v>0</v>
      </c>
      <c r="Y258">
        <f>IF(AND(VLOOKUP(Y$1,main!$A$3:$H$102,7,FALSE)=main!$G$105,VLOOKUP(Y$1,main!$A$3:$H$102,5,FALSE)-VLOOKUP($A258,main!$A$3:$H$102,6,FALSE)&gt;=main!$D$103+VLOOKUP(VLOOKUP(Y$1,main!$A$3:$I$102,7,FALSE),main!$K$26:$Q$29,5,FALSE)),1,0)</f>
        <v>0</v>
      </c>
      <c r="Z258">
        <f>IF(AND(VLOOKUP(Z$1,main!$A$3:$H$102,7,FALSE)=main!$G$105,VLOOKUP(Z$1,main!$A$3:$H$102,5,FALSE)-VLOOKUP($A258,main!$A$3:$H$102,6,FALSE)&gt;=main!$D$103+VLOOKUP(VLOOKUP(Z$1,main!$A$3:$I$102,7,FALSE),main!$K$26:$Q$29,5,FALSE)),1,0)</f>
        <v>0</v>
      </c>
      <c r="AA258">
        <f>IF(AND(VLOOKUP(AA$1,main!$A$3:$H$102,7,FALSE)=main!$G$105,VLOOKUP(AA$1,main!$A$3:$H$102,5,FALSE)-VLOOKUP($A258,main!$A$3:$H$102,6,FALSE)&gt;=main!$D$103+VLOOKUP(VLOOKUP(AA$1,main!$A$3:$I$102,7,FALSE),main!$K$26:$Q$29,5,FALSE)),1,0)</f>
        <v>0</v>
      </c>
      <c r="AB258">
        <f>IF(AND(VLOOKUP(AB$1,main!$A$3:$H$102,7,FALSE)=main!$G$105,VLOOKUP(AB$1,main!$A$3:$H$102,5,FALSE)-VLOOKUP($A258,main!$A$3:$H$102,6,FALSE)&gt;=main!$D$103+VLOOKUP(VLOOKUP(AB$1,main!$A$3:$I$102,7,FALSE),main!$K$26:$Q$29,5,FALSE)),1,0)</f>
        <v>0</v>
      </c>
      <c r="AC258">
        <f>IF(AND(VLOOKUP(AC$1,main!$A$3:$H$102,7,FALSE)=main!$G$105,VLOOKUP(AC$1,main!$A$3:$H$102,5,FALSE)-VLOOKUP($A258,main!$A$3:$H$102,6,FALSE)&gt;=main!$D$103+VLOOKUP(VLOOKUP(AC$1,main!$A$3:$I$102,7,FALSE),main!$K$26:$Q$29,5,FALSE)),1,0)</f>
        <v>0</v>
      </c>
      <c r="AD258">
        <f>IF(AND(VLOOKUP(AD$1,main!$A$3:$H$102,7,FALSE)=main!$G$105,VLOOKUP(AD$1,main!$A$3:$H$102,5,FALSE)-VLOOKUP($A258,main!$A$3:$H$102,6,FALSE)&gt;=main!$D$103+VLOOKUP(VLOOKUP(AD$1,main!$A$3:$I$102,7,FALSE),main!$K$26:$Q$29,5,FALSE)),1,0)</f>
        <v>0</v>
      </c>
      <c r="AE258">
        <f>IF(AND(VLOOKUP(AE$1,main!$A$3:$H$102,7,FALSE)=main!$G$105,VLOOKUP(AE$1,main!$A$3:$H$102,5,FALSE)-VLOOKUP($A258,main!$A$3:$H$102,6,FALSE)&gt;=main!$D$103+VLOOKUP(VLOOKUP(AE$1,main!$A$3:$I$102,7,FALSE),main!$K$26:$Q$29,5,FALSE)),1,0)</f>
        <v>0</v>
      </c>
      <c r="AF258">
        <f>IF(AND(VLOOKUP(AF$1,main!$A$3:$H$102,7,FALSE)=main!$G$105,VLOOKUP(AF$1,main!$A$3:$H$102,5,FALSE)-VLOOKUP($A258,main!$A$3:$H$102,6,FALSE)&gt;=main!$D$103+VLOOKUP(VLOOKUP(AF$1,main!$A$3:$I$102,7,FALSE),main!$K$26:$Q$29,5,FALSE)),1,0)</f>
        <v>0</v>
      </c>
      <c r="AG258">
        <f>IF(AND(VLOOKUP(AG$1,main!$A$3:$H$102,7,FALSE)=main!$G$105,VLOOKUP(AG$1,main!$A$3:$H$102,5,FALSE)-VLOOKUP($A258,main!$A$3:$H$102,6,FALSE)&gt;=main!$D$103+VLOOKUP(VLOOKUP(AG$1,main!$A$3:$I$102,7,FALSE),main!$K$26:$Q$29,5,FALSE)),1,0)</f>
        <v>0</v>
      </c>
      <c r="AH258">
        <f>IF(AND(VLOOKUP(AH$1,main!$A$3:$H$102,7,FALSE)=main!$G$105,VLOOKUP(AH$1,main!$A$3:$H$102,5,FALSE)-VLOOKUP($A258,main!$A$3:$H$102,6,FALSE)&gt;=main!$D$103+VLOOKUP(VLOOKUP(AH$1,main!$A$3:$I$102,7,FALSE),main!$K$26:$Q$29,5,FALSE)),1,0)</f>
        <v>0</v>
      </c>
      <c r="AI258">
        <f>IF(AND(VLOOKUP(AI$1,main!$A$3:$H$102,7,FALSE)=main!$G$105,VLOOKUP(AI$1,main!$A$3:$H$102,5,FALSE)-VLOOKUP($A258,main!$A$3:$H$102,6,FALSE)&gt;=main!$D$103+VLOOKUP(VLOOKUP(AI$1,main!$A$3:$I$102,7,FALSE),main!$K$26:$Q$29,5,FALSE)),1,0)</f>
        <v>0</v>
      </c>
      <c r="AJ258">
        <f>IF(AND(VLOOKUP(AJ$1,main!$A$3:$H$102,7,FALSE)=main!$G$105,VLOOKUP(AJ$1,main!$A$3:$H$102,5,FALSE)-VLOOKUP($A258,main!$A$3:$H$102,6,FALSE)&gt;=main!$D$103+VLOOKUP(VLOOKUP(AJ$1,main!$A$3:$I$102,7,FALSE),main!$K$26:$Q$29,5,FALSE)),1,0)</f>
        <v>0</v>
      </c>
      <c r="AK258">
        <f>IF(AND(VLOOKUP(AK$1,main!$A$3:$H$102,7,FALSE)=main!$G$105,VLOOKUP(AK$1,main!$A$3:$H$102,5,FALSE)-VLOOKUP($A258,main!$A$3:$H$102,6,FALSE)&gt;=main!$D$103+VLOOKUP(VLOOKUP(AK$1,main!$A$3:$I$102,7,FALSE),main!$K$26:$Q$29,5,FALSE)),1,0)</f>
        <v>0</v>
      </c>
      <c r="AL258">
        <f>IF(AND(VLOOKUP(AL$1,main!$A$3:$H$102,7,FALSE)=main!$G$105,VLOOKUP(AL$1,main!$A$3:$H$102,5,FALSE)-VLOOKUP($A258,main!$A$3:$H$102,6,FALSE)&gt;=main!$D$103+VLOOKUP(VLOOKUP(AL$1,main!$A$3:$I$102,7,FALSE),main!$K$26:$Q$29,5,FALSE)),1,0)</f>
        <v>0</v>
      </c>
      <c r="AM258">
        <f>IF(AND(VLOOKUP(AM$1,main!$A$3:$H$102,7,FALSE)=main!$G$105,VLOOKUP(AM$1,main!$A$3:$H$102,5,FALSE)-VLOOKUP($A258,main!$A$3:$H$102,6,FALSE)&gt;=main!$D$103+VLOOKUP(VLOOKUP(AM$1,main!$A$3:$I$102,7,FALSE),main!$K$26:$Q$29,5,FALSE)),1,0)</f>
        <v>0</v>
      </c>
      <c r="AN258">
        <f>IF(AND(VLOOKUP(AN$1,main!$A$3:$H$102,7,FALSE)=main!$G$105,VLOOKUP(AN$1,main!$A$3:$H$102,5,FALSE)-VLOOKUP($A258,main!$A$3:$H$102,6,FALSE)&gt;=main!$D$103+VLOOKUP(VLOOKUP(AN$1,main!$A$3:$I$102,7,FALSE),main!$K$26:$Q$29,5,FALSE)),1,0)</f>
        <v>1</v>
      </c>
      <c r="AO258">
        <f>IF(AND(VLOOKUP(AO$1,main!$A$3:$H$102,7,FALSE)=main!$G$105,VLOOKUP(AO$1,main!$A$3:$H$102,5,FALSE)-VLOOKUP($A258,main!$A$3:$H$102,6,FALSE)&gt;=main!$D$103+VLOOKUP(VLOOKUP(AO$1,main!$A$3:$I$102,7,FALSE),main!$K$26:$Q$29,5,FALSE)),1,0)</f>
        <v>0</v>
      </c>
      <c r="AP258">
        <f>IF(AND(VLOOKUP(AP$1,main!$A$3:$H$102,7,FALSE)=main!$G$105,VLOOKUP(AP$1,main!$A$3:$H$102,5,FALSE)-VLOOKUP($A258,main!$A$3:$H$102,6,FALSE)&gt;=main!$D$103+VLOOKUP(VLOOKUP(AP$1,main!$A$3:$I$102,7,FALSE),main!$K$26:$Q$29,5,FALSE)),1,0)</f>
        <v>1</v>
      </c>
      <c r="AQ258">
        <f>IF(AND(VLOOKUP(AQ$1,main!$A$3:$H$102,7,FALSE)=main!$G$105,VLOOKUP(AQ$1,main!$A$3:$H$102,5,FALSE)-VLOOKUP($A258,main!$A$3:$H$102,6,FALSE)&gt;=main!$D$103+VLOOKUP(VLOOKUP(AQ$1,main!$A$3:$I$102,7,FALSE),main!$K$26:$Q$29,5,FALSE)),1,0)</f>
        <v>0</v>
      </c>
      <c r="AR258">
        <f>IF(AND(VLOOKUP(AR$1,main!$A$3:$H$102,7,FALSE)=main!$G$105,VLOOKUP(AR$1,main!$A$3:$H$102,5,FALSE)-VLOOKUP($A258,main!$A$3:$H$102,6,FALSE)&gt;=main!$D$103+VLOOKUP(VLOOKUP(AR$1,main!$A$3:$I$102,7,FALSE),main!$K$26:$Q$29,5,FALSE)),1,0)</f>
        <v>0</v>
      </c>
      <c r="AS258">
        <f>IF(AND(VLOOKUP(AS$1,main!$A$3:$H$102,7,FALSE)=main!$G$105,VLOOKUP(AS$1,main!$A$3:$H$102,5,FALSE)-VLOOKUP($A258,main!$A$3:$H$102,6,FALSE)&gt;=main!$D$103+VLOOKUP(VLOOKUP(AS$1,main!$A$3:$I$102,7,FALSE),main!$K$26:$Q$29,5,FALSE)),1,0)</f>
        <v>0</v>
      </c>
      <c r="AT258">
        <f>IF(AND(VLOOKUP(AT$1,main!$A$3:$H$102,7,FALSE)=main!$G$105,VLOOKUP(AT$1,main!$A$3:$H$102,5,FALSE)-VLOOKUP($A258,main!$A$3:$H$102,6,FALSE)&gt;=main!$D$103+VLOOKUP(VLOOKUP(AT$1,main!$A$3:$I$102,7,FALSE),main!$K$26:$Q$29,5,FALSE)),1,0)</f>
        <v>0</v>
      </c>
      <c r="AU258">
        <f>IF(AND(VLOOKUP(AU$1,main!$A$3:$H$102,7,FALSE)=main!$G$105,VLOOKUP(AU$1,main!$A$3:$H$102,5,FALSE)-VLOOKUP($A258,main!$A$3:$H$102,6,FALSE)&gt;=main!$D$103+VLOOKUP(VLOOKUP(AU$1,main!$A$3:$I$102,7,FALSE),main!$K$26:$Q$29,5,FALSE)),1,0)</f>
        <v>0</v>
      </c>
      <c r="AV258">
        <f>IF(AND(VLOOKUP(AV$1,main!$A$3:$H$102,7,FALSE)=main!$G$105,VLOOKUP(AV$1,main!$A$3:$H$102,5,FALSE)-VLOOKUP($A258,main!$A$3:$H$102,6,FALSE)&gt;=main!$D$103+VLOOKUP(VLOOKUP(AV$1,main!$A$3:$I$102,7,FALSE),main!$K$26:$Q$29,5,FALSE)),1,0)</f>
        <v>0</v>
      </c>
      <c r="AW258">
        <f>IF(AND(VLOOKUP(AW$1,main!$A$3:$H$102,7,FALSE)=main!$G$105,VLOOKUP(AW$1,main!$A$3:$H$102,5,FALSE)-VLOOKUP($A258,main!$A$3:$H$102,6,FALSE)&gt;=main!$D$103+VLOOKUP(VLOOKUP(AW$1,main!$A$3:$I$102,7,FALSE),main!$K$26:$Q$29,5,FALSE)),1,0)</f>
        <v>0</v>
      </c>
      <c r="AX258">
        <f>IF(AND(VLOOKUP(AX$1,main!$A$3:$H$102,7,FALSE)=main!$G$105,VLOOKUP(AX$1,main!$A$3:$H$102,5,FALSE)-VLOOKUP($A258,main!$A$3:$H$102,6,FALSE)&gt;=main!$D$103+VLOOKUP(VLOOKUP(AX$1,main!$A$3:$I$102,7,FALSE),main!$K$26:$Q$29,5,FALSE)),1,0)</f>
        <v>0</v>
      </c>
      <c r="AY258">
        <f>IF(AND(VLOOKUP(AY$1,main!$A$3:$H$102,7,FALSE)=main!$G$105,VLOOKUP(AY$1,main!$A$3:$H$102,5,FALSE)-VLOOKUP($A258,main!$A$3:$H$102,6,FALSE)&gt;=main!$D$103+VLOOKUP(VLOOKUP(AY$1,main!$A$3:$I$102,7,FALSE),main!$K$26:$Q$29,5,FALSE)),1,0)</f>
        <v>0</v>
      </c>
      <c r="AZ258">
        <f>IF(AND(VLOOKUP(AZ$1,main!$A$3:$H$102,7,FALSE)=main!$G$105,VLOOKUP(AZ$1,main!$A$3:$H$102,5,FALSE)-VLOOKUP($A258,main!$A$3:$H$102,6,FALSE)&gt;=main!$D$103+VLOOKUP(VLOOKUP(AZ$1,main!$A$3:$I$102,7,FALSE),main!$K$26:$Q$29,5,FALSE)),1,0)</f>
        <v>0</v>
      </c>
      <c r="BA258">
        <f>IF(AND(VLOOKUP(BA$1,main!$A$3:$H$102,7,FALSE)=main!$G$105,VLOOKUP(BA$1,main!$A$3:$H$102,5,FALSE)-VLOOKUP($A258,main!$A$3:$H$102,6,FALSE)&gt;=main!$D$103+VLOOKUP(VLOOKUP(BA$1,main!$A$3:$I$102,7,FALSE),main!$K$26:$Q$29,5,FALSE)),1,0)</f>
        <v>0</v>
      </c>
      <c r="BB258">
        <f>IF(AND(VLOOKUP(BB$1,main!$A$3:$H$102,7,FALSE)=main!$G$105,VLOOKUP(BB$1,main!$A$3:$H$102,5,FALSE)-VLOOKUP($A258,main!$A$3:$H$102,6,FALSE)&gt;=main!$D$103+VLOOKUP(VLOOKUP(BB$1,main!$A$3:$I$102,7,FALSE),main!$K$26:$Q$29,5,FALSE)),1,0)</f>
        <v>0</v>
      </c>
      <c r="BC258">
        <f>IF(AND(VLOOKUP(BC$1,main!$A$3:$H$102,7,FALSE)=main!$G$105,VLOOKUP(BC$1,main!$A$3:$H$102,5,FALSE)-VLOOKUP($A258,main!$A$3:$H$102,6,FALSE)&gt;=main!$D$103+VLOOKUP(VLOOKUP(BC$1,main!$A$3:$I$102,7,FALSE),main!$K$26:$Q$29,5,FALSE)),1,0)</f>
        <v>0</v>
      </c>
      <c r="BD258">
        <f>IF(AND(VLOOKUP(BD$1,main!$A$3:$H$102,7,FALSE)=main!$G$105,VLOOKUP(BD$1,main!$A$3:$H$102,5,FALSE)-VLOOKUP($A258,main!$A$3:$H$102,6,FALSE)&gt;=main!$D$103+VLOOKUP(VLOOKUP(BD$1,main!$A$3:$I$102,7,FALSE),main!$K$26:$Q$29,5,FALSE)),1,0)</f>
        <v>0</v>
      </c>
      <c r="BE258">
        <f>IF(AND(VLOOKUP(BE$1,main!$A$3:$H$102,7,FALSE)=main!$G$105,VLOOKUP(BE$1,main!$A$3:$H$102,5,FALSE)-VLOOKUP($A258,main!$A$3:$H$102,6,FALSE)&gt;=main!$D$103+VLOOKUP(VLOOKUP(BE$1,main!$A$3:$I$102,7,FALSE),main!$K$26:$Q$29,5,FALSE)),1,0)</f>
        <v>0</v>
      </c>
      <c r="BF258">
        <f>IF(AND(VLOOKUP(BF$1,main!$A$3:$H$102,7,FALSE)=main!$G$105,VLOOKUP(BF$1,main!$A$3:$H$102,5,FALSE)-VLOOKUP($A258,main!$A$3:$H$102,6,FALSE)&gt;=main!$D$103+VLOOKUP(VLOOKUP(BF$1,main!$A$3:$I$102,7,FALSE),main!$K$26:$Q$29,5,FALSE)),1,0)</f>
        <v>0</v>
      </c>
      <c r="BG258">
        <f>IF(AND(VLOOKUP(BG$1,main!$A$3:$H$102,7,FALSE)=main!$G$105,VLOOKUP(BG$1,main!$A$3:$H$102,5,FALSE)-VLOOKUP($A258,main!$A$3:$H$102,6,FALSE)&gt;=main!$D$103+VLOOKUP(VLOOKUP(BG$1,main!$A$3:$I$102,7,FALSE),main!$K$26:$Q$29,5,FALSE)),1,0)</f>
        <v>0</v>
      </c>
      <c r="BH258">
        <f>IF(AND(VLOOKUP(BH$1,main!$A$3:$H$102,7,FALSE)=main!$G$105,VLOOKUP(BH$1,main!$A$3:$H$102,5,FALSE)-VLOOKUP($A258,main!$A$3:$H$102,6,FALSE)&gt;=main!$D$103+VLOOKUP(VLOOKUP(BH$1,main!$A$3:$I$102,7,FALSE),main!$K$26:$Q$29,5,FALSE)),1,0)</f>
        <v>0</v>
      </c>
      <c r="BI258">
        <f>IF(AND(VLOOKUP(BI$1,main!$A$3:$H$102,7,FALSE)=main!$G$105,VLOOKUP(BI$1,main!$A$3:$H$102,5,FALSE)-VLOOKUP($A258,main!$A$3:$H$102,6,FALSE)&gt;=main!$D$103+VLOOKUP(VLOOKUP(BI$1,main!$A$3:$I$102,7,FALSE),main!$K$26:$Q$29,5,FALSE)),1,0)</f>
        <v>0</v>
      </c>
      <c r="BJ258">
        <f>IF(AND(VLOOKUP(BJ$1,main!$A$3:$H$102,7,FALSE)=main!$G$105,VLOOKUP(BJ$1,main!$A$3:$H$102,5,FALSE)-VLOOKUP($A258,main!$A$3:$H$102,6,FALSE)&gt;=main!$D$103+VLOOKUP(VLOOKUP(BJ$1,main!$A$3:$I$102,7,FALSE),main!$K$26:$Q$29,5,FALSE)),1,0)</f>
        <v>0</v>
      </c>
      <c r="BK258">
        <f>IF(AND(VLOOKUP(BK$1,main!$A$3:$H$102,7,FALSE)=main!$G$105,VLOOKUP(BK$1,main!$A$3:$H$102,5,FALSE)-VLOOKUP($A258,main!$A$3:$H$102,6,FALSE)&gt;=main!$D$103+VLOOKUP(VLOOKUP(BK$1,main!$A$3:$I$102,7,FALSE),main!$K$26:$Q$29,5,FALSE)),1,0)</f>
        <v>0</v>
      </c>
      <c r="BL258">
        <f>IF(AND(VLOOKUP(BL$1,main!$A$3:$H$102,7,FALSE)=main!$G$105,VLOOKUP(BL$1,main!$A$3:$H$102,5,FALSE)-VLOOKUP($A258,main!$A$3:$H$102,6,FALSE)&gt;=main!$D$103+VLOOKUP(VLOOKUP(BL$1,main!$A$3:$I$102,7,FALSE),main!$K$26:$Q$29,5,FALSE)),1,0)</f>
        <v>0</v>
      </c>
      <c r="BM258">
        <f>IF(AND(VLOOKUP(BM$1,main!$A$3:$H$102,7,FALSE)=main!$G$105,VLOOKUP(BM$1,main!$A$3:$H$102,5,FALSE)-VLOOKUP($A258,main!$A$3:$H$102,6,FALSE)&gt;=main!$D$103+VLOOKUP(VLOOKUP(BM$1,main!$A$3:$I$102,7,FALSE),main!$K$26:$Q$29,5,FALSE)),1,0)</f>
        <v>0</v>
      </c>
      <c r="BN258">
        <f>IF(AND(VLOOKUP(BN$1,main!$A$3:$H$102,7,FALSE)=main!$G$105,VLOOKUP(BN$1,main!$A$3:$H$102,5,FALSE)-VLOOKUP($A258,main!$A$3:$H$102,6,FALSE)&gt;=main!$D$103+VLOOKUP(VLOOKUP(BN$1,main!$A$3:$I$102,7,FALSE),main!$K$26:$Q$29,5,FALSE)),1,0)</f>
        <v>0</v>
      </c>
      <c r="BO258">
        <f>IF(AND(VLOOKUP(BO$1,main!$A$3:$H$102,7,FALSE)=main!$G$105,VLOOKUP(BO$1,main!$A$3:$H$102,5,FALSE)-VLOOKUP($A258,main!$A$3:$H$102,6,FALSE)&gt;=main!$D$103+VLOOKUP(VLOOKUP(BO$1,main!$A$3:$I$102,7,FALSE),main!$K$26:$Q$29,5,FALSE)),1,0)</f>
        <v>0</v>
      </c>
      <c r="BP258">
        <f>IF(AND(VLOOKUP(BP$1,main!$A$3:$H$102,7,FALSE)=main!$G$105,VLOOKUP(BP$1,main!$A$3:$H$102,5,FALSE)-VLOOKUP($A258,main!$A$3:$H$102,6,FALSE)&gt;=main!$D$103+VLOOKUP(VLOOKUP(BP$1,main!$A$3:$I$102,7,FALSE),main!$K$26:$Q$29,5,FALSE)),1,0)</f>
        <v>0</v>
      </c>
      <c r="BQ258">
        <f>IF(AND(VLOOKUP(BQ$1,main!$A$3:$H$102,7,FALSE)=main!$G$105,VLOOKUP(BQ$1,main!$A$3:$H$102,5,FALSE)-VLOOKUP($A258,main!$A$3:$H$102,6,FALSE)&gt;=main!$D$103+VLOOKUP(VLOOKUP(BQ$1,main!$A$3:$I$102,7,FALSE),main!$K$26:$Q$29,5,FALSE)),1,0)</f>
        <v>0</v>
      </c>
      <c r="BR258">
        <f>IF(AND(VLOOKUP(BR$1,main!$A$3:$H$102,7,FALSE)=main!$G$105,VLOOKUP(BR$1,main!$A$3:$H$102,5,FALSE)-VLOOKUP($A258,main!$A$3:$H$102,6,FALSE)&gt;=main!$D$103+VLOOKUP(VLOOKUP(BR$1,main!$A$3:$I$102,7,FALSE),main!$K$26:$Q$29,5,FALSE)),1,0)</f>
        <v>0</v>
      </c>
      <c r="BS258">
        <f>IF(AND(VLOOKUP(BS$1,main!$A$3:$H$102,7,FALSE)=main!$G$105,VLOOKUP(BS$1,main!$A$3:$H$102,5,FALSE)-VLOOKUP($A258,main!$A$3:$H$102,6,FALSE)&gt;=main!$D$103+VLOOKUP(VLOOKUP(BS$1,main!$A$3:$I$102,7,FALSE),main!$K$26:$Q$29,5,FALSE)),1,0)</f>
        <v>0</v>
      </c>
      <c r="BT258">
        <f>IF(AND(VLOOKUP(BT$1,main!$A$3:$H$102,7,FALSE)=main!$G$105,VLOOKUP(BT$1,main!$A$3:$H$102,5,FALSE)-VLOOKUP($A258,main!$A$3:$H$102,6,FALSE)&gt;=main!$D$103+VLOOKUP(VLOOKUP(BT$1,main!$A$3:$I$102,7,FALSE),main!$K$26:$Q$29,5,FALSE)),1,0)</f>
        <v>0</v>
      </c>
      <c r="BU258">
        <f>IF(AND(VLOOKUP(BU$1,main!$A$3:$H$102,7,FALSE)=main!$G$105,VLOOKUP(BU$1,main!$A$3:$H$102,5,FALSE)-VLOOKUP($A258,main!$A$3:$H$102,6,FALSE)&gt;=main!$D$103+VLOOKUP(VLOOKUP(BU$1,main!$A$3:$I$102,7,FALSE),main!$K$26:$Q$29,5,FALSE)),1,0)</f>
        <v>0</v>
      </c>
      <c r="BV258">
        <f>IF(AND(VLOOKUP(BV$1,main!$A$3:$H$102,7,FALSE)=main!$G$105,VLOOKUP(BV$1,main!$A$3:$H$102,5,FALSE)-VLOOKUP($A258,main!$A$3:$H$102,6,FALSE)&gt;=main!$D$103+VLOOKUP(VLOOKUP(BV$1,main!$A$3:$I$102,7,FALSE),main!$K$26:$Q$29,5,FALSE)),1,0)</f>
        <v>0</v>
      </c>
      <c r="BW258">
        <f>IF(AND(VLOOKUP(BW$1,main!$A$3:$H$102,7,FALSE)=main!$G$105,VLOOKUP(BW$1,main!$A$3:$H$102,5,FALSE)-VLOOKUP($A258,main!$A$3:$H$102,6,FALSE)&gt;=main!$D$103+VLOOKUP(VLOOKUP(BW$1,main!$A$3:$I$102,7,FALSE),main!$K$26:$Q$29,5,FALSE)),1,0)</f>
        <v>0</v>
      </c>
      <c r="BX258">
        <f>IF(AND(VLOOKUP(BX$1,main!$A$3:$H$102,7,FALSE)=main!$G$105,VLOOKUP(BX$1,main!$A$3:$H$102,5,FALSE)-VLOOKUP($A258,main!$A$3:$H$102,6,FALSE)&gt;=main!$D$103+VLOOKUP(VLOOKUP(BX$1,main!$A$3:$I$102,7,FALSE),main!$K$26:$Q$29,5,FALSE)),1,0)</f>
        <v>0</v>
      </c>
      <c r="BY258">
        <f>IF(AND(VLOOKUP(BY$1,main!$A$3:$H$102,7,FALSE)=main!$G$105,VLOOKUP(BY$1,main!$A$3:$H$102,5,FALSE)-VLOOKUP($A258,main!$A$3:$H$102,6,FALSE)&gt;=main!$D$103+VLOOKUP(VLOOKUP(BY$1,main!$A$3:$I$102,7,FALSE),main!$K$26:$Q$29,5,FALSE)),1,0)</f>
        <v>0</v>
      </c>
      <c r="BZ258">
        <f>IF(AND(VLOOKUP(BZ$1,main!$A$3:$H$102,7,FALSE)=main!$G$105,VLOOKUP(BZ$1,main!$A$3:$H$102,5,FALSE)-VLOOKUP($A258,main!$A$3:$H$102,6,FALSE)&gt;=main!$D$103+VLOOKUP(VLOOKUP(BZ$1,main!$A$3:$I$102,7,FALSE),main!$K$26:$Q$29,5,FALSE)),1,0)</f>
        <v>0</v>
      </c>
      <c r="CA258">
        <f>IF(AND(VLOOKUP(CA$1,main!$A$3:$H$102,7,FALSE)=main!$G$105,VLOOKUP(CA$1,main!$A$3:$H$102,5,FALSE)-VLOOKUP($A258,main!$A$3:$H$102,6,FALSE)&gt;=main!$D$103+VLOOKUP(VLOOKUP(CA$1,main!$A$3:$I$102,7,FALSE),main!$K$26:$Q$29,5,FALSE)),1,0)</f>
        <v>0</v>
      </c>
      <c r="CB258">
        <f>IF(AND(VLOOKUP(CB$1,main!$A$3:$H$102,7,FALSE)=main!$G$105,VLOOKUP(CB$1,main!$A$3:$H$102,5,FALSE)-VLOOKUP($A258,main!$A$3:$H$102,6,FALSE)&gt;=main!$D$103+VLOOKUP(VLOOKUP(CB$1,main!$A$3:$I$102,7,FALSE),main!$K$26:$Q$29,5,FALSE)),1,0)</f>
        <v>0</v>
      </c>
      <c r="CC258">
        <f>IF(AND(VLOOKUP(CC$1,main!$A$3:$H$102,7,FALSE)=main!$G$105,VLOOKUP(CC$1,main!$A$3:$H$102,5,FALSE)-VLOOKUP($A258,main!$A$3:$H$102,6,FALSE)&gt;=main!$D$103+VLOOKUP(VLOOKUP(CC$1,main!$A$3:$I$102,7,FALSE),main!$K$26:$Q$29,5,FALSE)),1,0)</f>
        <v>0</v>
      </c>
      <c r="CD258">
        <f>IF(AND(VLOOKUP(CD$1,main!$A$3:$H$102,7,FALSE)=main!$G$105,VLOOKUP(CD$1,main!$A$3:$H$102,5,FALSE)-VLOOKUP($A258,main!$A$3:$H$102,6,FALSE)&gt;=main!$D$103+VLOOKUP(VLOOKUP(CD$1,main!$A$3:$I$102,7,FALSE),main!$K$26:$Q$29,5,FALSE)),1,0)</f>
        <v>0</v>
      </c>
      <c r="CE258">
        <f>IF(AND(VLOOKUP(CE$1,main!$A$3:$H$102,7,FALSE)=main!$G$105,VLOOKUP(CE$1,main!$A$3:$H$102,5,FALSE)-VLOOKUP($A258,main!$A$3:$H$102,6,FALSE)&gt;=main!$D$103+VLOOKUP(VLOOKUP(CE$1,main!$A$3:$I$102,7,FALSE),main!$K$26:$Q$29,5,FALSE)),1,0)</f>
        <v>0</v>
      </c>
      <c r="CF258">
        <f>IF(AND(VLOOKUP(CF$1,main!$A$3:$H$102,7,FALSE)=main!$G$105,VLOOKUP(CF$1,main!$A$3:$H$102,5,FALSE)-VLOOKUP($A258,main!$A$3:$H$102,6,FALSE)&gt;=main!$D$103+VLOOKUP(VLOOKUP(CF$1,main!$A$3:$I$102,7,FALSE),main!$K$26:$Q$29,5,FALSE)),1,0)</f>
        <v>0</v>
      </c>
      <c r="CG258">
        <f>IF(AND(VLOOKUP(CG$1,main!$A$3:$H$102,7,FALSE)=main!$G$105,VLOOKUP(CG$1,main!$A$3:$H$102,5,FALSE)-VLOOKUP($A258,main!$A$3:$H$102,6,FALSE)&gt;=main!$D$103+VLOOKUP(VLOOKUP(CG$1,main!$A$3:$I$102,7,FALSE),main!$K$26:$Q$29,5,FALSE)),1,0)</f>
        <v>0</v>
      </c>
      <c r="CH258">
        <f>IF(AND(VLOOKUP(CH$1,main!$A$3:$H$102,7,FALSE)=main!$G$105,VLOOKUP(CH$1,main!$A$3:$H$102,5,FALSE)-VLOOKUP($A258,main!$A$3:$H$102,6,FALSE)&gt;=main!$D$103+VLOOKUP(VLOOKUP(CH$1,main!$A$3:$I$102,7,FALSE),main!$K$26:$Q$29,5,FALSE)),1,0)</f>
        <v>0</v>
      </c>
      <c r="CI258">
        <f>IF(AND(VLOOKUP(CI$1,main!$A$3:$H$102,7,FALSE)=main!$G$105,VLOOKUP(CI$1,main!$A$3:$H$102,5,FALSE)-VLOOKUP($A258,main!$A$3:$H$102,6,FALSE)&gt;=main!$D$103+VLOOKUP(VLOOKUP(CI$1,main!$A$3:$I$102,7,FALSE),main!$K$26:$Q$29,5,FALSE)),1,0)</f>
        <v>0</v>
      </c>
      <c r="CJ258">
        <f>IF(AND(VLOOKUP(CJ$1,main!$A$3:$H$102,7,FALSE)=main!$G$105,VLOOKUP(CJ$1,main!$A$3:$H$102,5,FALSE)-VLOOKUP($A258,main!$A$3:$H$102,6,FALSE)&gt;=main!$D$103+VLOOKUP(VLOOKUP(CJ$1,main!$A$3:$I$102,7,FALSE),main!$K$26:$Q$29,5,FALSE)),1,0)</f>
        <v>0</v>
      </c>
      <c r="CK258">
        <f>IF(AND(VLOOKUP(CK$1,main!$A$3:$H$102,7,FALSE)=main!$G$105,VLOOKUP(CK$1,main!$A$3:$H$102,5,FALSE)-VLOOKUP($A258,main!$A$3:$H$102,6,FALSE)&gt;=main!$D$103+VLOOKUP(VLOOKUP(CK$1,main!$A$3:$I$102,7,FALSE),main!$K$26:$Q$29,5,FALSE)),1,0)</f>
        <v>0</v>
      </c>
      <c r="CL258">
        <f>IF(AND(VLOOKUP(CL$1,main!$A$3:$H$102,7,FALSE)=main!$G$105,VLOOKUP(CL$1,main!$A$3:$H$102,5,FALSE)-VLOOKUP($A258,main!$A$3:$H$102,6,FALSE)&gt;=main!$D$103+VLOOKUP(VLOOKUP(CL$1,main!$A$3:$I$102,7,FALSE),main!$K$26:$Q$29,5,FALSE)),1,0)</f>
        <v>0</v>
      </c>
      <c r="CM258">
        <f>IF(AND(VLOOKUP(CM$1,main!$A$3:$H$102,7,FALSE)=main!$G$105,VLOOKUP(CM$1,main!$A$3:$H$102,5,FALSE)-VLOOKUP($A258,main!$A$3:$H$102,6,FALSE)&gt;=main!$D$103+VLOOKUP(VLOOKUP(CM$1,main!$A$3:$I$102,7,FALSE),main!$K$26:$Q$29,5,FALSE)),1,0)</f>
        <v>0</v>
      </c>
      <c r="CN258">
        <f>IF(AND(VLOOKUP(CN$1,main!$A$3:$H$102,7,FALSE)=main!$G$105,VLOOKUP(CN$1,main!$A$3:$H$102,5,FALSE)-VLOOKUP($A258,main!$A$3:$H$102,6,FALSE)&gt;=main!$D$103+VLOOKUP(VLOOKUP(CN$1,main!$A$3:$I$102,7,FALSE),main!$K$26:$Q$29,5,FALSE)),1,0)</f>
        <v>0</v>
      </c>
      <c r="CO258">
        <f>IF(AND(VLOOKUP(CO$1,main!$A$3:$H$102,7,FALSE)=main!$G$105,VLOOKUP(CO$1,main!$A$3:$H$102,5,FALSE)-VLOOKUP($A258,main!$A$3:$H$102,6,FALSE)&gt;=main!$D$103+VLOOKUP(VLOOKUP(CO$1,main!$A$3:$I$102,7,FALSE),main!$K$26:$Q$29,5,FALSE)),1,0)</f>
        <v>0</v>
      </c>
      <c r="CP258">
        <f>IF(AND(VLOOKUP(CP$1,main!$A$3:$H$102,7,FALSE)=main!$G$105,VLOOKUP(CP$1,main!$A$3:$H$102,5,FALSE)-VLOOKUP($A258,main!$A$3:$H$102,6,FALSE)&gt;=main!$D$103+VLOOKUP(VLOOKUP(CP$1,main!$A$3:$I$102,7,FALSE),main!$K$26:$Q$29,5,FALSE)),1,0)</f>
        <v>0</v>
      </c>
      <c r="CQ258">
        <f>IF(AND(VLOOKUP(CQ$1,main!$A$3:$H$102,7,FALSE)=main!$G$105,VLOOKUP(CQ$1,main!$A$3:$H$102,5,FALSE)-VLOOKUP($A258,main!$A$3:$H$102,6,FALSE)&gt;=main!$D$103+VLOOKUP(VLOOKUP(CQ$1,main!$A$3:$I$102,7,FALSE),main!$K$26:$Q$29,5,FALSE)),1,0)</f>
        <v>0</v>
      </c>
      <c r="CR258">
        <f>IF(AND(VLOOKUP(CR$1,main!$A$3:$H$102,7,FALSE)=main!$G$105,VLOOKUP(CR$1,main!$A$3:$H$102,5,FALSE)-VLOOKUP($A258,main!$A$3:$H$102,6,FALSE)&gt;=main!$D$103+VLOOKUP(VLOOKUP(CR$1,main!$A$3:$I$102,7,FALSE),main!$K$26:$Q$29,5,FALSE)),1,0)</f>
        <v>0</v>
      </c>
      <c r="CS258">
        <f>IF(AND(VLOOKUP(CS$1,main!$A$3:$H$102,7,FALSE)=main!$G$105,VLOOKUP(CS$1,main!$A$3:$H$102,5,FALSE)-VLOOKUP($A258,main!$A$3:$H$102,6,FALSE)&gt;=main!$D$103+VLOOKUP(VLOOKUP(CS$1,main!$A$3:$I$102,7,FALSE),main!$K$26:$Q$29,5,FALSE)),1,0)</f>
        <v>0</v>
      </c>
      <c r="CT258">
        <f>IF(AND(VLOOKUP(CT$1,main!$A$3:$H$102,7,FALSE)=main!$G$105,VLOOKUP(CT$1,main!$A$3:$H$102,5,FALSE)-VLOOKUP($A258,main!$A$3:$H$102,6,FALSE)&gt;=main!$D$103+VLOOKUP(VLOOKUP(CT$1,main!$A$3:$I$102,7,FALSE),main!$K$26:$Q$29,5,FALSE)),1,0)</f>
        <v>0</v>
      </c>
      <c r="CU258">
        <f>IF(AND(VLOOKUP(CU$1,main!$A$3:$H$102,7,FALSE)=main!$G$105,VLOOKUP(CU$1,main!$A$3:$H$102,5,FALSE)-VLOOKUP($A258,main!$A$3:$H$102,6,FALSE)&gt;=main!$D$103+VLOOKUP(VLOOKUP(CU$1,main!$A$3:$I$102,7,FALSE),main!$K$26:$Q$29,5,FALSE)),1,0)</f>
        <v>0</v>
      </c>
      <c r="CV258">
        <f>IF(AND(VLOOKUP(CV$1,main!$A$3:$H$102,7,FALSE)=main!$G$105,VLOOKUP(CV$1,main!$A$3:$H$102,5,FALSE)-VLOOKUP($A258,main!$A$3:$H$102,6,FALSE)&gt;=main!$D$103+VLOOKUP(VLOOKUP(CV$1,main!$A$3:$I$102,7,FALSE),main!$K$26:$Q$29,5,FALSE)),1,0)</f>
        <v>0</v>
      </c>
      <c r="CW258">
        <f>IF(AND(VLOOKUP(CW$1,main!$A$3:$H$102,7,FALSE)=main!$G$105,VLOOKUP(CW$1,main!$A$3:$H$102,5,FALSE)-VLOOKUP($A258,main!$A$3:$H$102,6,FALSE)&gt;=main!$D$103+VLOOKUP(VLOOKUP(CW$1,main!$A$3:$I$102,7,FALSE),main!$K$26:$Q$29,5,FALSE)),1,0)</f>
        <v>0</v>
      </c>
      <c r="CX258">
        <f>IF(AND(VLOOKUP(CX$1,main!$A$3:$H$102,7,FALSE)=main!$G$105,VLOOKUP(CX$1,main!$A$3:$H$102,5,FALSE)-VLOOKUP($A258,main!$A$3:$H$102,6,FALSE)&gt;=main!$D$103+VLOOKUP(VLOOKUP(CX$1,main!$A$3:$I$102,7,FALSE),main!$K$26:$Q$29,5,FALSE)),1,0)</f>
        <v>0</v>
      </c>
    </row>
    <row r="259" spans="1:102" x14ac:dyDescent="0.25">
      <c r="A259" s="1">
        <v>55</v>
      </c>
      <c r="B259">
        <v>0</v>
      </c>
      <c r="C259">
        <f>IF(AND(VLOOKUP(C$1,main!$A$3:$H$102,7,FALSE)=main!$G$105,VLOOKUP(C$1,main!$A$3:$H$102,5,FALSE)-VLOOKUP($A259,main!$A$3:$H$102,6,FALSE)&gt;=main!$D$103+VLOOKUP(VLOOKUP(C$1,main!$A$3:$I$102,7,FALSE),main!$K$26:$Q$29,5,FALSE)),1,0)</f>
        <v>0</v>
      </c>
      <c r="D259">
        <f>IF(AND(VLOOKUP(D$1,main!$A$3:$H$102,7,FALSE)=main!$G$105,VLOOKUP(D$1,main!$A$3:$H$102,5,FALSE)-VLOOKUP($A259,main!$A$3:$H$102,6,FALSE)&gt;=main!$D$103+VLOOKUP(VLOOKUP(D$1,main!$A$3:$I$102,7,FALSE),main!$K$26:$Q$29,5,FALSE)),1,0)</f>
        <v>0</v>
      </c>
      <c r="E259">
        <f>IF(AND(VLOOKUP(E$1,main!$A$3:$H$102,7,FALSE)=main!$G$105,VLOOKUP(E$1,main!$A$3:$H$102,5,FALSE)-VLOOKUP($A259,main!$A$3:$H$102,6,FALSE)&gt;=main!$D$103+VLOOKUP(VLOOKUP(E$1,main!$A$3:$I$102,7,FALSE),main!$K$26:$Q$29,5,FALSE)),1,0)</f>
        <v>0</v>
      </c>
      <c r="F259">
        <f>IF(AND(VLOOKUP(F$1,main!$A$3:$H$102,7,FALSE)=main!$G$105,VLOOKUP(F$1,main!$A$3:$H$102,5,FALSE)-VLOOKUP($A259,main!$A$3:$H$102,6,FALSE)&gt;=main!$D$103+VLOOKUP(VLOOKUP(F$1,main!$A$3:$I$102,7,FALSE),main!$K$26:$Q$29,5,FALSE)),1,0)</f>
        <v>0</v>
      </c>
      <c r="G259">
        <f>IF(AND(VLOOKUP(G$1,main!$A$3:$H$102,7,FALSE)=main!$G$105,VLOOKUP(G$1,main!$A$3:$H$102,5,FALSE)-VLOOKUP($A259,main!$A$3:$H$102,6,FALSE)&gt;=main!$D$103+VLOOKUP(VLOOKUP(G$1,main!$A$3:$I$102,7,FALSE),main!$K$26:$Q$29,5,FALSE)),1,0)</f>
        <v>0</v>
      </c>
      <c r="H259">
        <f>IF(AND(VLOOKUP(H$1,main!$A$3:$H$102,7,FALSE)=main!$G$105,VLOOKUP(H$1,main!$A$3:$H$102,5,FALSE)-VLOOKUP($A259,main!$A$3:$H$102,6,FALSE)&gt;=main!$D$103+VLOOKUP(VLOOKUP(H$1,main!$A$3:$I$102,7,FALSE),main!$K$26:$Q$29,5,FALSE)),1,0)</f>
        <v>0</v>
      </c>
      <c r="I259">
        <f>IF(AND(VLOOKUP(I$1,main!$A$3:$H$102,7,FALSE)=main!$G$105,VLOOKUP(I$1,main!$A$3:$H$102,5,FALSE)-VLOOKUP($A259,main!$A$3:$H$102,6,FALSE)&gt;=main!$D$103+VLOOKUP(VLOOKUP(I$1,main!$A$3:$I$102,7,FALSE),main!$K$26:$Q$29,5,FALSE)),1,0)</f>
        <v>0</v>
      </c>
      <c r="J259">
        <f>IF(AND(VLOOKUP(J$1,main!$A$3:$H$102,7,FALSE)=main!$G$105,VLOOKUP(J$1,main!$A$3:$H$102,5,FALSE)-VLOOKUP($A259,main!$A$3:$H$102,6,FALSE)&gt;=main!$D$103+VLOOKUP(VLOOKUP(J$1,main!$A$3:$I$102,7,FALSE),main!$K$26:$Q$29,5,FALSE)),1,0)</f>
        <v>0</v>
      </c>
      <c r="K259">
        <f>IF(AND(VLOOKUP(K$1,main!$A$3:$H$102,7,FALSE)=main!$G$105,VLOOKUP(K$1,main!$A$3:$H$102,5,FALSE)-VLOOKUP($A259,main!$A$3:$H$102,6,FALSE)&gt;=main!$D$103+VLOOKUP(VLOOKUP(K$1,main!$A$3:$I$102,7,FALSE),main!$K$26:$Q$29,5,FALSE)),1,0)</f>
        <v>0</v>
      </c>
      <c r="L259">
        <f>IF(AND(VLOOKUP(L$1,main!$A$3:$H$102,7,FALSE)=main!$G$105,VLOOKUP(L$1,main!$A$3:$H$102,5,FALSE)-VLOOKUP($A259,main!$A$3:$H$102,6,FALSE)&gt;=main!$D$103+VLOOKUP(VLOOKUP(L$1,main!$A$3:$I$102,7,FALSE),main!$K$26:$Q$29,5,FALSE)),1,0)</f>
        <v>0</v>
      </c>
      <c r="M259">
        <f>IF(AND(VLOOKUP(M$1,main!$A$3:$H$102,7,FALSE)=main!$G$105,VLOOKUP(M$1,main!$A$3:$H$102,5,FALSE)-VLOOKUP($A259,main!$A$3:$H$102,6,FALSE)&gt;=main!$D$103+VLOOKUP(VLOOKUP(M$1,main!$A$3:$I$102,7,FALSE),main!$K$26:$Q$29,5,FALSE)),1,0)</f>
        <v>0</v>
      </c>
      <c r="N259">
        <f>IF(AND(VLOOKUP(N$1,main!$A$3:$H$102,7,FALSE)=main!$G$105,VLOOKUP(N$1,main!$A$3:$H$102,5,FALSE)-VLOOKUP($A259,main!$A$3:$H$102,6,FALSE)&gt;=main!$D$103+VLOOKUP(VLOOKUP(N$1,main!$A$3:$I$102,7,FALSE),main!$K$26:$Q$29,5,FALSE)),1,0)</f>
        <v>0</v>
      </c>
      <c r="O259">
        <f>IF(AND(VLOOKUP(O$1,main!$A$3:$H$102,7,FALSE)=main!$G$105,VLOOKUP(O$1,main!$A$3:$H$102,5,FALSE)-VLOOKUP($A259,main!$A$3:$H$102,6,FALSE)&gt;=main!$D$103+VLOOKUP(VLOOKUP(O$1,main!$A$3:$I$102,7,FALSE),main!$K$26:$Q$29,5,FALSE)),1,0)</f>
        <v>0</v>
      </c>
      <c r="P259">
        <f>IF(AND(VLOOKUP(P$1,main!$A$3:$H$102,7,FALSE)=main!$G$105,VLOOKUP(P$1,main!$A$3:$H$102,5,FALSE)-VLOOKUP($A259,main!$A$3:$H$102,6,FALSE)&gt;=main!$D$103+VLOOKUP(VLOOKUP(P$1,main!$A$3:$I$102,7,FALSE),main!$K$26:$Q$29,5,FALSE)),1,0)</f>
        <v>0</v>
      </c>
      <c r="Q259">
        <f>IF(AND(VLOOKUP(Q$1,main!$A$3:$H$102,7,FALSE)=main!$G$105,VLOOKUP(Q$1,main!$A$3:$H$102,5,FALSE)-VLOOKUP($A259,main!$A$3:$H$102,6,FALSE)&gt;=main!$D$103+VLOOKUP(VLOOKUP(Q$1,main!$A$3:$I$102,7,FALSE),main!$K$26:$Q$29,5,FALSE)),1,0)</f>
        <v>0</v>
      </c>
      <c r="R259">
        <f>IF(AND(VLOOKUP(R$1,main!$A$3:$H$102,7,FALSE)=main!$G$105,VLOOKUP(R$1,main!$A$3:$H$102,5,FALSE)-VLOOKUP($A259,main!$A$3:$H$102,6,FALSE)&gt;=main!$D$103+VLOOKUP(VLOOKUP(R$1,main!$A$3:$I$102,7,FALSE),main!$K$26:$Q$29,5,FALSE)),1,0)</f>
        <v>0</v>
      </c>
      <c r="S259">
        <f>IF(AND(VLOOKUP(S$1,main!$A$3:$H$102,7,FALSE)=main!$G$105,VLOOKUP(S$1,main!$A$3:$H$102,5,FALSE)-VLOOKUP($A259,main!$A$3:$H$102,6,FALSE)&gt;=main!$D$103+VLOOKUP(VLOOKUP(S$1,main!$A$3:$I$102,7,FALSE),main!$K$26:$Q$29,5,FALSE)),1,0)</f>
        <v>0</v>
      </c>
      <c r="T259">
        <f>IF(AND(VLOOKUP(T$1,main!$A$3:$H$102,7,FALSE)=main!$G$105,VLOOKUP(T$1,main!$A$3:$H$102,5,FALSE)-VLOOKUP($A259,main!$A$3:$H$102,6,FALSE)&gt;=main!$D$103+VLOOKUP(VLOOKUP(T$1,main!$A$3:$I$102,7,FALSE),main!$K$26:$Q$29,5,FALSE)),1,0)</f>
        <v>0</v>
      </c>
      <c r="U259">
        <f>IF(AND(VLOOKUP(U$1,main!$A$3:$H$102,7,FALSE)=main!$G$105,VLOOKUP(U$1,main!$A$3:$H$102,5,FALSE)-VLOOKUP($A259,main!$A$3:$H$102,6,FALSE)&gt;=main!$D$103+VLOOKUP(VLOOKUP(U$1,main!$A$3:$I$102,7,FALSE),main!$K$26:$Q$29,5,FALSE)),1,0)</f>
        <v>0</v>
      </c>
      <c r="V259">
        <f>IF(AND(VLOOKUP(V$1,main!$A$3:$H$102,7,FALSE)=main!$G$105,VLOOKUP(V$1,main!$A$3:$H$102,5,FALSE)-VLOOKUP($A259,main!$A$3:$H$102,6,FALSE)&gt;=main!$D$103+VLOOKUP(VLOOKUP(V$1,main!$A$3:$I$102,7,FALSE),main!$K$26:$Q$29,5,FALSE)),1,0)</f>
        <v>0</v>
      </c>
      <c r="W259">
        <f>IF(AND(VLOOKUP(W$1,main!$A$3:$H$102,7,FALSE)=main!$G$105,VLOOKUP(W$1,main!$A$3:$H$102,5,FALSE)-VLOOKUP($A259,main!$A$3:$H$102,6,FALSE)&gt;=main!$D$103+VLOOKUP(VLOOKUP(W$1,main!$A$3:$I$102,7,FALSE),main!$K$26:$Q$29,5,FALSE)),1,0)</f>
        <v>0</v>
      </c>
      <c r="X259">
        <f>IF(AND(VLOOKUP(X$1,main!$A$3:$H$102,7,FALSE)=main!$G$105,VLOOKUP(X$1,main!$A$3:$H$102,5,FALSE)-VLOOKUP($A259,main!$A$3:$H$102,6,FALSE)&gt;=main!$D$103+VLOOKUP(VLOOKUP(X$1,main!$A$3:$I$102,7,FALSE),main!$K$26:$Q$29,5,FALSE)),1,0)</f>
        <v>0</v>
      </c>
      <c r="Y259">
        <f>IF(AND(VLOOKUP(Y$1,main!$A$3:$H$102,7,FALSE)=main!$G$105,VLOOKUP(Y$1,main!$A$3:$H$102,5,FALSE)-VLOOKUP($A259,main!$A$3:$H$102,6,FALSE)&gt;=main!$D$103+VLOOKUP(VLOOKUP(Y$1,main!$A$3:$I$102,7,FALSE),main!$K$26:$Q$29,5,FALSE)),1,0)</f>
        <v>0</v>
      </c>
      <c r="Z259">
        <f>IF(AND(VLOOKUP(Z$1,main!$A$3:$H$102,7,FALSE)=main!$G$105,VLOOKUP(Z$1,main!$A$3:$H$102,5,FALSE)-VLOOKUP($A259,main!$A$3:$H$102,6,FALSE)&gt;=main!$D$103+VLOOKUP(VLOOKUP(Z$1,main!$A$3:$I$102,7,FALSE),main!$K$26:$Q$29,5,FALSE)),1,0)</f>
        <v>0</v>
      </c>
      <c r="AA259">
        <f>IF(AND(VLOOKUP(AA$1,main!$A$3:$H$102,7,FALSE)=main!$G$105,VLOOKUP(AA$1,main!$A$3:$H$102,5,FALSE)-VLOOKUP($A259,main!$A$3:$H$102,6,FALSE)&gt;=main!$D$103+VLOOKUP(VLOOKUP(AA$1,main!$A$3:$I$102,7,FALSE),main!$K$26:$Q$29,5,FALSE)),1,0)</f>
        <v>0</v>
      </c>
      <c r="AB259">
        <f>IF(AND(VLOOKUP(AB$1,main!$A$3:$H$102,7,FALSE)=main!$G$105,VLOOKUP(AB$1,main!$A$3:$H$102,5,FALSE)-VLOOKUP($A259,main!$A$3:$H$102,6,FALSE)&gt;=main!$D$103+VLOOKUP(VLOOKUP(AB$1,main!$A$3:$I$102,7,FALSE),main!$K$26:$Q$29,5,FALSE)),1,0)</f>
        <v>0</v>
      </c>
      <c r="AC259">
        <f>IF(AND(VLOOKUP(AC$1,main!$A$3:$H$102,7,FALSE)=main!$G$105,VLOOKUP(AC$1,main!$A$3:$H$102,5,FALSE)-VLOOKUP($A259,main!$A$3:$H$102,6,FALSE)&gt;=main!$D$103+VLOOKUP(VLOOKUP(AC$1,main!$A$3:$I$102,7,FALSE),main!$K$26:$Q$29,5,FALSE)),1,0)</f>
        <v>0</v>
      </c>
      <c r="AD259">
        <f>IF(AND(VLOOKUP(AD$1,main!$A$3:$H$102,7,FALSE)=main!$G$105,VLOOKUP(AD$1,main!$A$3:$H$102,5,FALSE)-VLOOKUP($A259,main!$A$3:$H$102,6,FALSE)&gt;=main!$D$103+VLOOKUP(VLOOKUP(AD$1,main!$A$3:$I$102,7,FALSE),main!$K$26:$Q$29,5,FALSE)),1,0)</f>
        <v>0</v>
      </c>
      <c r="AE259">
        <f>IF(AND(VLOOKUP(AE$1,main!$A$3:$H$102,7,FALSE)=main!$G$105,VLOOKUP(AE$1,main!$A$3:$H$102,5,FALSE)-VLOOKUP($A259,main!$A$3:$H$102,6,FALSE)&gt;=main!$D$103+VLOOKUP(VLOOKUP(AE$1,main!$A$3:$I$102,7,FALSE),main!$K$26:$Q$29,5,FALSE)),1,0)</f>
        <v>0</v>
      </c>
      <c r="AF259">
        <f>IF(AND(VLOOKUP(AF$1,main!$A$3:$H$102,7,FALSE)=main!$G$105,VLOOKUP(AF$1,main!$A$3:$H$102,5,FALSE)-VLOOKUP($A259,main!$A$3:$H$102,6,FALSE)&gt;=main!$D$103+VLOOKUP(VLOOKUP(AF$1,main!$A$3:$I$102,7,FALSE),main!$K$26:$Q$29,5,FALSE)),1,0)</f>
        <v>0</v>
      </c>
      <c r="AG259">
        <f>IF(AND(VLOOKUP(AG$1,main!$A$3:$H$102,7,FALSE)=main!$G$105,VLOOKUP(AG$1,main!$A$3:$H$102,5,FALSE)-VLOOKUP($A259,main!$A$3:$H$102,6,FALSE)&gt;=main!$D$103+VLOOKUP(VLOOKUP(AG$1,main!$A$3:$I$102,7,FALSE),main!$K$26:$Q$29,5,FALSE)),1,0)</f>
        <v>0</v>
      </c>
      <c r="AH259">
        <f>IF(AND(VLOOKUP(AH$1,main!$A$3:$H$102,7,FALSE)=main!$G$105,VLOOKUP(AH$1,main!$A$3:$H$102,5,FALSE)-VLOOKUP($A259,main!$A$3:$H$102,6,FALSE)&gt;=main!$D$103+VLOOKUP(VLOOKUP(AH$1,main!$A$3:$I$102,7,FALSE),main!$K$26:$Q$29,5,FALSE)),1,0)</f>
        <v>0</v>
      </c>
      <c r="AI259">
        <f>IF(AND(VLOOKUP(AI$1,main!$A$3:$H$102,7,FALSE)=main!$G$105,VLOOKUP(AI$1,main!$A$3:$H$102,5,FALSE)-VLOOKUP($A259,main!$A$3:$H$102,6,FALSE)&gt;=main!$D$103+VLOOKUP(VLOOKUP(AI$1,main!$A$3:$I$102,7,FALSE),main!$K$26:$Q$29,5,FALSE)),1,0)</f>
        <v>0</v>
      </c>
      <c r="AJ259">
        <f>IF(AND(VLOOKUP(AJ$1,main!$A$3:$H$102,7,FALSE)=main!$G$105,VLOOKUP(AJ$1,main!$A$3:$H$102,5,FALSE)-VLOOKUP($A259,main!$A$3:$H$102,6,FALSE)&gt;=main!$D$103+VLOOKUP(VLOOKUP(AJ$1,main!$A$3:$I$102,7,FALSE),main!$K$26:$Q$29,5,FALSE)),1,0)</f>
        <v>0</v>
      </c>
      <c r="AK259">
        <f>IF(AND(VLOOKUP(AK$1,main!$A$3:$H$102,7,FALSE)=main!$G$105,VLOOKUP(AK$1,main!$A$3:$H$102,5,FALSE)-VLOOKUP($A259,main!$A$3:$H$102,6,FALSE)&gt;=main!$D$103+VLOOKUP(VLOOKUP(AK$1,main!$A$3:$I$102,7,FALSE),main!$K$26:$Q$29,5,FALSE)),1,0)</f>
        <v>0</v>
      </c>
      <c r="AL259">
        <f>IF(AND(VLOOKUP(AL$1,main!$A$3:$H$102,7,FALSE)=main!$G$105,VLOOKUP(AL$1,main!$A$3:$H$102,5,FALSE)-VLOOKUP($A259,main!$A$3:$H$102,6,FALSE)&gt;=main!$D$103+VLOOKUP(VLOOKUP(AL$1,main!$A$3:$I$102,7,FALSE),main!$K$26:$Q$29,5,FALSE)),1,0)</f>
        <v>0</v>
      </c>
      <c r="AM259">
        <f>IF(AND(VLOOKUP(AM$1,main!$A$3:$H$102,7,FALSE)=main!$G$105,VLOOKUP(AM$1,main!$A$3:$H$102,5,FALSE)-VLOOKUP($A259,main!$A$3:$H$102,6,FALSE)&gt;=main!$D$103+VLOOKUP(VLOOKUP(AM$1,main!$A$3:$I$102,7,FALSE),main!$K$26:$Q$29,5,FALSE)),1,0)</f>
        <v>0</v>
      </c>
      <c r="AN259">
        <f>IF(AND(VLOOKUP(AN$1,main!$A$3:$H$102,7,FALSE)=main!$G$105,VLOOKUP(AN$1,main!$A$3:$H$102,5,FALSE)-VLOOKUP($A259,main!$A$3:$H$102,6,FALSE)&gt;=main!$D$103+VLOOKUP(VLOOKUP(AN$1,main!$A$3:$I$102,7,FALSE),main!$K$26:$Q$29,5,FALSE)),1,0)</f>
        <v>0</v>
      </c>
      <c r="AO259">
        <f>IF(AND(VLOOKUP(AO$1,main!$A$3:$H$102,7,FALSE)=main!$G$105,VLOOKUP(AO$1,main!$A$3:$H$102,5,FALSE)-VLOOKUP($A259,main!$A$3:$H$102,6,FALSE)&gt;=main!$D$103+VLOOKUP(VLOOKUP(AO$1,main!$A$3:$I$102,7,FALSE),main!$K$26:$Q$29,5,FALSE)),1,0)</f>
        <v>0</v>
      </c>
      <c r="AP259">
        <f>IF(AND(VLOOKUP(AP$1,main!$A$3:$H$102,7,FALSE)=main!$G$105,VLOOKUP(AP$1,main!$A$3:$H$102,5,FALSE)-VLOOKUP($A259,main!$A$3:$H$102,6,FALSE)&gt;=main!$D$103+VLOOKUP(VLOOKUP(AP$1,main!$A$3:$I$102,7,FALSE),main!$K$26:$Q$29,5,FALSE)),1,0)</f>
        <v>0</v>
      </c>
      <c r="AQ259">
        <f>IF(AND(VLOOKUP(AQ$1,main!$A$3:$H$102,7,FALSE)=main!$G$105,VLOOKUP(AQ$1,main!$A$3:$H$102,5,FALSE)-VLOOKUP($A259,main!$A$3:$H$102,6,FALSE)&gt;=main!$D$103+VLOOKUP(VLOOKUP(AQ$1,main!$A$3:$I$102,7,FALSE),main!$K$26:$Q$29,5,FALSE)),1,0)</f>
        <v>0</v>
      </c>
      <c r="AR259">
        <f>IF(AND(VLOOKUP(AR$1,main!$A$3:$H$102,7,FALSE)=main!$G$105,VLOOKUP(AR$1,main!$A$3:$H$102,5,FALSE)-VLOOKUP($A259,main!$A$3:$H$102,6,FALSE)&gt;=main!$D$103+VLOOKUP(VLOOKUP(AR$1,main!$A$3:$I$102,7,FALSE),main!$K$26:$Q$29,5,FALSE)),1,0)</f>
        <v>0</v>
      </c>
      <c r="AS259">
        <f>IF(AND(VLOOKUP(AS$1,main!$A$3:$H$102,7,FALSE)=main!$G$105,VLOOKUP(AS$1,main!$A$3:$H$102,5,FALSE)-VLOOKUP($A259,main!$A$3:$H$102,6,FALSE)&gt;=main!$D$103+VLOOKUP(VLOOKUP(AS$1,main!$A$3:$I$102,7,FALSE),main!$K$26:$Q$29,5,FALSE)),1,0)</f>
        <v>0</v>
      </c>
      <c r="AT259">
        <f>IF(AND(VLOOKUP(AT$1,main!$A$3:$H$102,7,FALSE)=main!$G$105,VLOOKUP(AT$1,main!$A$3:$H$102,5,FALSE)-VLOOKUP($A259,main!$A$3:$H$102,6,FALSE)&gt;=main!$D$103+VLOOKUP(VLOOKUP(AT$1,main!$A$3:$I$102,7,FALSE),main!$K$26:$Q$29,5,FALSE)),1,0)</f>
        <v>0</v>
      </c>
      <c r="AU259">
        <f>IF(AND(VLOOKUP(AU$1,main!$A$3:$H$102,7,FALSE)=main!$G$105,VLOOKUP(AU$1,main!$A$3:$H$102,5,FALSE)-VLOOKUP($A259,main!$A$3:$H$102,6,FALSE)&gt;=main!$D$103+VLOOKUP(VLOOKUP(AU$1,main!$A$3:$I$102,7,FALSE),main!$K$26:$Q$29,5,FALSE)),1,0)</f>
        <v>0</v>
      </c>
      <c r="AV259">
        <f>IF(AND(VLOOKUP(AV$1,main!$A$3:$H$102,7,FALSE)=main!$G$105,VLOOKUP(AV$1,main!$A$3:$H$102,5,FALSE)-VLOOKUP($A259,main!$A$3:$H$102,6,FALSE)&gt;=main!$D$103+VLOOKUP(VLOOKUP(AV$1,main!$A$3:$I$102,7,FALSE),main!$K$26:$Q$29,5,FALSE)),1,0)</f>
        <v>0</v>
      </c>
      <c r="AW259">
        <f>IF(AND(VLOOKUP(AW$1,main!$A$3:$H$102,7,FALSE)=main!$G$105,VLOOKUP(AW$1,main!$A$3:$H$102,5,FALSE)-VLOOKUP($A259,main!$A$3:$H$102,6,FALSE)&gt;=main!$D$103+VLOOKUP(VLOOKUP(AW$1,main!$A$3:$I$102,7,FALSE),main!$K$26:$Q$29,5,FALSE)),1,0)</f>
        <v>0</v>
      </c>
      <c r="AX259">
        <f>IF(AND(VLOOKUP(AX$1,main!$A$3:$H$102,7,FALSE)=main!$G$105,VLOOKUP(AX$1,main!$A$3:$H$102,5,FALSE)-VLOOKUP($A259,main!$A$3:$H$102,6,FALSE)&gt;=main!$D$103+VLOOKUP(VLOOKUP(AX$1,main!$A$3:$I$102,7,FALSE),main!$K$26:$Q$29,5,FALSE)),1,0)</f>
        <v>0</v>
      </c>
      <c r="AY259">
        <f>IF(AND(VLOOKUP(AY$1,main!$A$3:$H$102,7,FALSE)=main!$G$105,VLOOKUP(AY$1,main!$A$3:$H$102,5,FALSE)-VLOOKUP($A259,main!$A$3:$H$102,6,FALSE)&gt;=main!$D$103+VLOOKUP(VLOOKUP(AY$1,main!$A$3:$I$102,7,FALSE),main!$K$26:$Q$29,5,FALSE)),1,0)</f>
        <v>0</v>
      </c>
      <c r="AZ259">
        <f>IF(AND(VLOOKUP(AZ$1,main!$A$3:$H$102,7,FALSE)=main!$G$105,VLOOKUP(AZ$1,main!$A$3:$H$102,5,FALSE)-VLOOKUP($A259,main!$A$3:$H$102,6,FALSE)&gt;=main!$D$103+VLOOKUP(VLOOKUP(AZ$1,main!$A$3:$I$102,7,FALSE),main!$K$26:$Q$29,5,FALSE)),1,0)</f>
        <v>0</v>
      </c>
      <c r="BA259">
        <f>IF(AND(VLOOKUP(BA$1,main!$A$3:$H$102,7,FALSE)=main!$G$105,VLOOKUP(BA$1,main!$A$3:$H$102,5,FALSE)-VLOOKUP($A259,main!$A$3:$H$102,6,FALSE)&gt;=main!$D$103+VLOOKUP(VLOOKUP(BA$1,main!$A$3:$I$102,7,FALSE),main!$K$26:$Q$29,5,FALSE)),1,0)</f>
        <v>0</v>
      </c>
      <c r="BB259">
        <f>IF(AND(VLOOKUP(BB$1,main!$A$3:$H$102,7,FALSE)=main!$G$105,VLOOKUP(BB$1,main!$A$3:$H$102,5,FALSE)-VLOOKUP($A259,main!$A$3:$H$102,6,FALSE)&gt;=main!$D$103+VLOOKUP(VLOOKUP(BB$1,main!$A$3:$I$102,7,FALSE),main!$K$26:$Q$29,5,FALSE)),1,0)</f>
        <v>0</v>
      </c>
      <c r="BC259">
        <f>IF(AND(VLOOKUP(BC$1,main!$A$3:$H$102,7,FALSE)=main!$G$105,VLOOKUP(BC$1,main!$A$3:$H$102,5,FALSE)-VLOOKUP($A259,main!$A$3:$H$102,6,FALSE)&gt;=main!$D$103+VLOOKUP(VLOOKUP(BC$1,main!$A$3:$I$102,7,FALSE),main!$K$26:$Q$29,5,FALSE)),1,0)</f>
        <v>0</v>
      </c>
      <c r="BD259">
        <f>IF(AND(VLOOKUP(BD$1,main!$A$3:$H$102,7,FALSE)=main!$G$105,VLOOKUP(BD$1,main!$A$3:$H$102,5,FALSE)-VLOOKUP($A259,main!$A$3:$H$102,6,FALSE)&gt;=main!$D$103+VLOOKUP(VLOOKUP(BD$1,main!$A$3:$I$102,7,FALSE),main!$K$26:$Q$29,5,FALSE)),1,0)</f>
        <v>0</v>
      </c>
      <c r="BE259">
        <f>IF(AND(VLOOKUP(BE$1,main!$A$3:$H$102,7,FALSE)=main!$G$105,VLOOKUP(BE$1,main!$A$3:$H$102,5,FALSE)-VLOOKUP($A259,main!$A$3:$H$102,6,FALSE)&gt;=main!$D$103+VLOOKUP(VLOOKUP(BE$1,main!$A$3:$I$102,7,FALSE),main!$K$26:$Q$29,5,FALSE)),1,0)</f>
        <v>0</v>
      </c>
      <c r="BF259">
        <f>IF(AND(VLOOKUP(BF$1,main!$A$3:$H$102,7,FALSE)=main!$G$105,VLOOKUP(BF$1,main!$A$3:$H$102,5,FALSE)-VLOOKUP($A259,main!$A$3:$H$102,6,FALSE)&gt;=main!$D$103+VLOOKUP(VLOOKUP(BF$1,main!$A$3:$I$102,7,FALSE),main!$K$26:$Q$29,5,FALSE)),1,0)</f>
        <v>0</v>
      </c>
      <c r="BG259">
        <f>IF(AND(VLOOKUP(BG$1,main!$A$3:$H$102,7,FALSE)=main!$G$105,VLOOKUP(BG$1,main!$A$3:$H$102,5,FALSE)-VLOOKUP($A259,main!$A$3:$H$102,6,FALSE)&gt;=main!$D$103+VLOOKUP(VLOOKUP(BG$1,main!$A$3:$I$102,7,FALSE),main!$K$26:$Q$29,5,FALSE)),1,0)</f>
        <v>0</v>
      </c>
      <c r="BH259">
        <f>IF(AND(VLOOKUP(BH$1,main!$A$3:$H$102,7,FALSE)=main!$G$105,VLOOKUP(BH$1,main!$A$3:$H$102,5,FALSE)-VLOOKUP($A259,main!$A$3:$H$102,6,FALSE)&gt;=main!$D$103+VLOOKUP(VLOOKUP(BH$1,main!$A$3:$I$102,7,FALSE),main!$K$26:$Q$29,5,FALSE)),1,0)</f>
        <v>0</v>
      </c>
      <c r="BI259">
        <f>IF(AND(VLOOKUP(BI$1,main!$A$3:$H$102,7,FALSE)=main!$G$105,VLOOKUP(BI$1,main!$A$3:$H$102,5,FALSE)-VLOOKUP($A259,main!$A$3:$H$102,6,FALSE)&gt;=main!$D$103+VLOOKUP(VLOOKUP(BI$1,main!$A$3:$I$102,7,FALSE),main!$K$26:$Q$29,5,FALSE)),1,0)</f>
        <v>0</v>
      </c>
      <c r="BJ259">
        <f>IF(AND(VLOOKUP(BJ$1,main!$A$3:$H$102,7,FALSE)=main!$G$105,VLOOKUP(BJ$1,main!$A$3:$H$102,5,FALSE)-VLOOKUP($A259,main!$A$3:$H$102,6,FALSE)&gt;=main!$D$103+VLOOKUP(VLOOKUP(BJ$1,main!$A$3:$I$102,7,FALSE),main!$K$26:$Q$29,5,FALSE)),1,0)</f>
        <v>0</v>
      </c>
      <c r="BK259">
        <f>IF(AND(VLOOKUP(BK$1,main!$A$3:$H$102,7,FALSE)=main!$G$105,VLOOKUP(BK$1,main!$A$3:$H$102,5,FALSE)-VLOOKUP($A259,main!$A$3:$H$102,6,FALSE)&gt;=main!$D$103+VLOOKUP(VLOOKUP(BK$1,main!$A$3:$I$102,7,FALSE),main!$K$26:$Q$29,5,FALSE)),1,0)</f>
        <v>0</v>
      </c>
      <c r="BL259">
        <f>IF(AND(VLOOKUP(BL$1,main!$A$3:$H$102,7,FALSE)=main!$G$105,VLOOKUP(BL$1,main!$A$3:$H$102,5,FALSE)-VLOOKUP($A259,main!$A$3:$H$102,6,FALSE)&gt;=main!$D$103+VLOOKUP(VLOOKUP(BL$1,main!$A$3:$I$102,7,FALSE),main!$K$26:$Q$29,5,FALSE)),1,0)</f>
        <v>0</v>
      </c>
      <c r="BM259">
        <f>IF(AND(VLOOKUP(BM$1,main!$A$3:$H$102,7,FALSE)=main!$G$105,VLOOKUP(BM$1,main!$A$3:$H$102,5,FALSE)-VLOOKUP($A259,main!$A$3:$H$102,6,FALSE)&gt;=main!$D$103+VLOOKUP(VLOOKUP(BM$1,main!$A$3:$I$102,7,FALSE),main!$K$26:$Q$29,5,FALSE)),1,0)</f>
        <v>0</v>
      </c>
      <c r="BN259">
        <f>IF(AND(VLOOKUP(BN$1,main!$A$3:$H$102,7,FALSE)=main!$G$105,VLOOKUP(BN$1,main!$A$3:$H$102,5,FALSE)-VLOOKUP($A259,main!$A$3:$H$102,6,FALSE)&gt;=main!$D$103+VLOOKUP(VLOOKUP(BN$1,main!$A$3:$I$102,7,FALSE),main!$K$26:$Q$29,5,FALSE)),1,0)</f>
        <v>0</v>
      </c>
      <c r="BO259">
        <f>IF(AND(VLOOKUP(BO$1,main!$A$3:$H$102,7,FALSE)=main!$G$105,VLOOKUP(BO$1,main!$A$3:$H$102,5,FALSE)-VLOOKUP($A259,main!$A$3:$H$102,6,FALSE)&gt;=main!$D$103+VLOOKUP(VLOOKUP(BO$1,main!$A$3:$I$102,7,FALSE),main!$K$26:$Q$29,5,FALSE)),1,0)</f>
        <v>0</v>
      </c>
      <c r="BP259">
        <f>IF(AND(VLOOKUP(BP$1,main!$A$3:$H$102,7,FALSE)=main!$G$105,VLOOKUP(BP$1,main!$A$3:$H$102,5,FALSE)-VLOOKUP($A259,main!$A$3:$H$102,6,FALSE)&gt;=main!$D$103+VLOOKUP(VLOOKUP(BP$1,main!$A$3:$I$102,7,FALSE),main!$K$26:$Q$29,5,FALSE)),1,0)</f>
        <v>0</v>
      </c>
      <c r="BQ259">
        <f>IF(AND(VLOOKUP(BQ$1,main!$A$3:$H$102,7,FALSE)=main!$G$105,VLOOKUP(BQ$1,main!$A$3:$H$102,5,FALSE)-VLOOKUP($A259,main!$A$3:$H$102,6,FALSE)&gt;=main!$D$103+VLOOKUP(VLOOKUP(BQ$1,main!$A$3:$I$102,7,FALSE),main!$K$26:$Q$29,5,FALSE)),1,0)</f>
        <v>0</v>
      </c>
      <c r="BR259">
        <f>IF(AND(VLOOKUP(BR$1,main!$A$3:$H$102,7,FALSE)=main!$G$105,VLOOKUP(BR$1,main!$A$3:$H$102,5,FALSE)-VLOOKUP($A259,main!$A$3:$H$102,6,FALSE)&gt;=main!$D$103+VLOOKUP(VLOOKUP(BR$1,main!$A$3:$I$102,7,FALSE),main!$K$26:$Q$29,5,FALSE)),1,0)</f>
        <v>0</v>
      </c>
      <c r="BS259">
        <f>IF(AND(VLOOKUP(BS$1,main!$A$3:$H$102,7,FALSE)=main!$G$105,VLOOKUP(BS$1,main!$A$3:$H$102,5,FALSE)-VLOOKUP($A259,main!$A$3:$H$102,6,FALSE)&gt;=main!$D$103+VLOOKUP(VLOOKUP(BS$1,main!$A$3:$I$102,7,FALSE),main!$K$26:$Q$29,5,FALSE)),1,0)</f>
        <v>0</v>
      </c>
      <c r="BT259">
        <f>IF(AND(VLOOKUP(BT$1,main!$A$3:$H$102,7,FALSE)=main!$G$105,VLOOKUP(BT$1,main!$A$3:$H$102,5,FALSE)-VLOOKUP($A259,main!$A$3:$H$102,6,FALSE)&gt;=main!$D$103+VLOOKUP(VLOOKUP(BT$1,main!$A$3:$I$102,7,FALSE),main!$K$26:$Q$29,5,FALSE)),1,0)</f>
        <v>0</v>
      </c>
      <c r="BU259">
        <f>IF(AND(VLOOKUP(BU$1,main!$A$3:$H$102,7,FALSE)=main!$G$105,VLOOKUP(BU$1,main!$A$3:$H$102,5,FALSE)-VLOOKUP($A259,main!$A$3:$H$102,6,FALSE)&gt;=main!$D$103+VLOOKUP(VLOOKUP(BU$1,main!$A$3:$I$102,7,FALSE),main!$K$26:$Q$29,5,FALSE)),1,0)</f>
        <v>0</v>
      </c>
      <c r="BV259">
        <f>IF(AND(VLOOKUP(BV$1,main!$A$3:$H$102,7,FALSE)=main!$G$105,VLOOKUP(BV$1,main!$A$3:$H$102,5,FALSE)-VLOOKUP($A259,main!$A$3:$H$102,6,FALSE)&gt;=main!$D$103+VLOOKUP(VLOOKUP(BV$1,main!$A$3:$I$102,7,FALSE),main!$K$26:$Q$29,5,FALSE)),1,0)</f>
        <v>0</v>
      </c>
      <c r="BW259">
        <f>IF(AND(VLOOKUP(BW$1,main!$A$3:$H$102,7,FALSE)=main!$G$105,VLOOKUP(BW$1,main!$A$3:$H$102,5,FALSE)-VLOOKUP($A259,main!$A$3:$H$102,6,FALSE)&gt;=main!$D$103+VLOOKUP(VLOOKUP(BW$1,main!$A$3:$I$102,7,FALSE),main!$K$26:$Q$29,5,FALSE)),1,0)</f>
        <v>0</v>
      </c>
      <c r="BX259">
        <f>IF(AND(VLOOKUP(BX$1,main!$A$3:$H$102,7,FALSE)=main!$G$105,VLOOKUP(BX$1,main!$A$3:$H$102,5,FALSE)-VLOOKUP($A259,main!$A$3:$H$102,6,FALSE)&gt;=main!$D$103+VLOOKUP(VLOOKUP(BX$1,main!$A$3:$I$102,7,FALSE),main!$K$26:$Q$29,5,FALSE)),1,0)</f>
        <v>0</v>
      </c>
      <c r="BY259">
        <f>IF(AND(VLOOKUP(BY$1,main!$A$3:$H$102,7,FALSE)=main!$G$105,VLOOKUP(BY$1,main!$A$3:$H$102,5,FALSE)-VLOOKUP($A259,main!$A$3:$H$102,6,FALSE)&gt;=main!$D$103+VLOOKUP(VLOOKUP(BY$1,main!$A$3:$I$102,7,FALSE),main!$K$26:$Q$29,5,FALSE)),1,0)</f>
        <v>0</v>
      </c>
      <c r="BZ259">
        <f>IF(AND(VLOOKUP(BZ$1,main!$A$3:$H$102,7,FALSE)=main!$G$105,VLOOKUP(BZ$1,main!$A$3:$H$102,5,FALSE)-VLOOKUP($A259,main!$A$3:$H$102,6,FALSE)&gt;=main!$D$103+VLOOKUP(VLOOKUP(BZ$1,main!$A$3:$I$102,7,FALSE),main!$K$26:$Q$29,5,FALSE)),1,0)</f>
        <v>0</v>
      </c>
      <c r="CA259">
        <f>IF(AND(VLOOKUP(CA$1,main!$A$3:$H$102,7,FALSE)=main!$G$105,VLOOKUP(CA$1,main!$A$3:$H$102,5,FALSE)-VLOOKUP($A259,main!$A$3:$H$102,6,FALSE)&gt;=main!$D$103+VLOOKUP(VLOOKUP(CA$1,main!$A$3:$I$102,7,FALSE),main!$K$26:$Q$29,5,FALSE)),1,0)</f>
        <v>0</v>
      </c>
      <c r="CB259">
        <f>IF(AND(VLOOKUP(CB$1,main!$A$3:$H$102,7,FALSE)=main!$G$105,VLOOKUP(CB$1,main!$A$3:$H$102,5,FALSE)-VLOOKUP($A259,main!$A$3:$H$102,6,FALSE)&gt;=main!$D$103+VLOOKUP(VLOOKUP(CB$1,main!$A$3:$I$102,7,FALSE),main!$K$26:$Q$29,5,FALSE)),1,0)</f>
        <v>0</v>
      </c>
      <c r="CC259">
        <f>IF(AND(VLOOKUP(CC$1,main!$A$3:$H$102,7,FALSE)=main!$G$105,VLOOKUP(CC$1,main!$A$3:$H$102,5,FALSE)-VLOOKUP($A259,main!$A$3:$H$102,6,FALSE)&gt;=main!$D$103+VLOOKUP(VLOOKUP(CC$1,main!$A$3:$I$102,7,FALSE),main!$K$26:$Q$29,5,FALSE)),1,0)</f>
        <v>0</v>
      </c>
      <c r="CD259">
        <f>IF(AND(VLOOKUP(CD$1,main!$A$3:$H$102,7,FALSE)=main!$G$105,VLOOKUP(CD$1,main!$A$3:$H$102,5,FALSE)-VLOOKUP($A259,main!$A$3:$H$102,6,FALSE)&gt;=main!$D$103+VLOOKUP(VLOOKUP(CD$1,main!$A$3:$I$102,7,FALSE),main!$K$26:$Q$29,5,FALSE)),1,0)</f>
        <v>0</v>
      </c>
      <c r="CE259">
        <f>IF(AND(VLOOKUP(CE$1,main!$A$3:$H$102,7,FALSE)=main!$G$105,VLOOKUP(CE$1,main!$A$3:$H$102,5,FALSE)-VLOOKUP($A259,main!$A$3:$H$102,6,FALSE)&gt;=main!$D$103+VLOOKUP(VLOOKUP(CE$1,main!$A$3:$I$102,7,FALSE),main!$K$26:$Q$29,5,FALSE)),1,0)</f>
        <v>0</v>
      </c>
      <c r="CF259">
        <f>IF(AND(VLOOKUP(CF$1,main!$A$3:$H$102,7,FALSE)=main!$G$105,VLOOKUP(CF$1,main!$A$3:$H$102,5,FALSE)-VLOOKUP($A259,main!$A$3:$H$102,6,FALSE)&gt;=main!$D$103+VLOOKUP(VLOOKUP(CF$1,main!$A$3:$I$102,7,FALSE),main!$K$26:$Q$29,5,FALSE)),1,0)</f>
        <v>0</v>
      </c>
      <c r="CG259">
        <f>IF(AND(VLOOKUP(CG$1,main!$A$3:$H$102,7,FALSE)=main!$G$105,VLOOKUP(CG$1,main!$A$3:$H$102,5,FALSE)-VLOOKUP($A259,main!$A$3:$H$102,6,FALSE)&gt;=main!$D$103+VLOOKUP(VLOOKUP(CG$1,main!$A$3:$I$102,7,FALSE),main!$K$26:$Q$29,5,FALSE)),1,0)</f>
        <v>0</v>
      </c>
      <c r="CH259">
        <f>IF(AND(VLOOKUP(CH$1,main!$A$3:$H$102,7,FALSE)=main!$G$105,VLOOKUP(CH$1,main!$A$3:$H$102,5,FALSE)-VLOOKUP($A259,main!$A$3:$H$102,6,FALSE)&gt;=main!$D$103+VLOOKUP(VLOOKUP(CH$1,main!$A$3:$I$102,7,FALSE),main!$K$26:$Q$29,5,FALSE)),1,0)</f>
        <v>0</v>
      </c>
      <c r="CI259">
        <f>IF(AND(VLOOKUP(CI$1,main!$A$3:$H$102,7,FALSE)=main!$G$105,VLOOKUP(CI$1,main!$A$3:$H$102,5,FALSE)-VLOOKUP($A259,main!$A$3:$H$102,6,FALSE)&gt;=main!$D$103+VLOOKUP(VLOOKUP(CI$1,main!$A$3:$I$102,7,FALSE),main!$K$26:$Q$29,5,FALSE)),1,0)</f>
        <v>0</v>
      </c>
      <c r="CJ259">
        <f>IF(AND(VLOOKUP(CJ$1,main!$A$3:$H$102,7,FALSE)=main!$G$105,VLOOKUP(CJ$1,main!$A$3:$H$102,5,FALSE)-VLOOKUP($A259,main!$A$3:$H$102,6,FALSE)&gt;=main!$D$103+VLOOKUP(VLOOKUP(CJ$1,main!$A$3:$I$102,7,FALSE),main!$K$26:$Q$29,5,FALSE)),1,0)</f>
        <v>0</v>
      </c>
      <c r="CK259">
        <f>IF(AND(VLOOKUP(CK$1,main!$A$3:$H$102,7,FALSE)=main!$G$105,VLOOKUP(CK$1,main!$A$3:$H$102,5,FALSE)-VLOOKUP($A259,main!$A$3:$H$102,6,FALSE)&gt;=main!$D$103+VLOOKUP(VLOOKUP(CK$1,main!$A$3:$I$102,7,FALSE),main!$K$26:$Q$29,5,FALSE)),1,0)</f>
        <v>0</v>
      </c>
      <c r="CL259">
        <f>IF(AND(VLOOKUP(CL$1,main!$A$3:$H$102,7,FALSE)=main!$G$105,VLOOKUP(CL$1,main!$A$3:$H$102,5,FALSE)-VLOOKUP($A259,main!$A$3:$H$102,6,FALSE)&gt;=main!$D$103+VLOOKUP(VLOOKUP(CL$1,main!$A$3:$I$102,7,FALSE),main!$K$26:$Q$29,5,FALSE)),1,0)</f>
        <v>0</v>
      </c>
      <c r="CM259">
        <f>IF(AND(VLOOKUP(CM$1,main!$A$3:$H$102,7,FALSE)=main!$G$105,VLOOKUP(CM$1,main!$A$3:$H$102,5,FALSE)-VLOOKUP($A259,main!$A$3:$H$102,6,FALSE)&gt;=main!$D$103+VLOOKUP(VLOOKUP(CM$1,main!$A$3:$I$102,7,FALSE),main!$K$26:$Q$29,5,FALSE)),1,0)</f>
        <v>0</v>
      </c>
      <c r="CN259">
        <f>IF(AND(VLOOKUP(CN$1,main!$A$3:$H$102,7,FALSE)=main!$G$105,VLOOKUP(CN$1,main!$A$3:$H$102,5,FALSE)-VLOOKUP($A259,main!$A$3:$H$102,6,FALSE)&gt;=main!$D$103+VLOOKUP(VLOOKUP(CN$1,main!$A$3:$I$102,7,FALSE),main!$K$26:$Q$29,5,FALSE)),1,0)</f>
        <v>0</v>
      </c>
      <c r="CO259">
        <f>IF(AND(VLOOKUP(CO$1,main!$A$3:$H$102,7,FALSE)=main!$G$105,VLOOKUP(CO$1,main!$A$3:$H$102,5,FALSE)-VLOOKUP($A259,main!$A$3:$H$102,6,FALSE)&gt;=main!$D$103+VLOOKUP(VLOOKUP(CO$1,main!$A$3:$I$102,7,FALSE),main!$K$26:$Q$29,5,FALSE)),1,0)</f>
        <v>0</v>
      </c>
      <c r="CP259">
        <f>IF(AND(VLOOKUP(CP$1,main!$A$3:$H$102,7,FALSE)=main!$G$105,VLOOKUP(CP$1,main!$A$3:$H$102,5,FALSE)-VLOOKUP($A259,main!$A$3:$H$102,6,FALSE)&gt;=main!$D$103+VLOOKUP(VLOOKUP(CP$1,main!$A$3:$I$102,7,FALSE),main!$K$26:$Q$29,5,FALSE)),1,0)</f>
        <v>0</v>
      </c>
      <c r="CQ259">
        <f>IF(AND(VLOOKUP(CQ$1,main!$A$3:$H$102,7,FALSE)=main!$G$105,VLOOKUP(CQ$1,main!$A$3:$H$102,5,FALSE)-VLOOKUP($A259,main!$A$3:$H$102,6,FALSE)&gt;=main!$D$103+VLOOKUP(VLOOKUP(CQ$1,main!$A$3:$I$102,7,FALSE),main!$K$26:$Q$29,5,FALSE)),1,0)</f>
        <v>0</v>
      </c>
      <c r="CR259">
        <f>IF(AND(VLOOKUP(CR$1,main!$A$3:$H$102,7,FALSE)=main!$G$105,VLOOKUP(CR$1,main!$A$3:$H$102,5,FALSE)-VLOOKUP($A259,main!$A$3:$H$102,6,FALSE)&gt;=main!$D$103+VLOOKUP(VLOOKUP(CR$1,main!$A$3:$I$102,7,FALSE),main!$K$26:$Q$29,5,FALSE)),1,0)</f>
        <v>0</v>
      </c>
      <c r="CS259">
        <f>IF(AND(VLOOKUP(CS$1,main!$A$3:$H$102,7,FALSE)=main!$G$105,VLOOKUP(CS$1,main!$A$3:$H$102,5,FALSE)-VLOOKUP($A259,main!$A$3:$H$102,6,FALSE)&gt;=main!$D$103+VLOOKUP(VLOOKUP(CS$1,main!$A$3:$I$102,7,FALSE),main!$K$26:$Q$29,5,FALSE)),1,0)</f>
        <v>0</v>
      </c>
      <c r="CT259">
        <f>IF(AND(VLOOKUP(CT$1,main!$A$3:$H$102,7,FALSE)=main!$G$105,VLOOKUP(CT$1,main!$A$3:$H$102,5,FALSE)-VLOOKUP($A259,main!$A$3:$H$102,6,FALSE)&gt;=main!$D$103+VLOOKUP(VLOOKUP(CT$1,main!$A$3:$I$102,7,FALSE),main!$K$26:$Q$29,5,FALSE)),1,0)</f>
        <v>0</v>
      </c>
      <c r="CU259">
        <f>IF(AND(VLOOKUP(CU$1,main!$A$3:$H$102,7,FALSE)=main!$G$105,VLOOKUP(CU$1,main!$A$3:$H$102,5,FALSE)-VLOOKUP($A259,main!$A$3:$H$102,6,FALSE)&gt;=main!$D$103+VLOOKUP(VLOOKUP(CU$1,main!$A$3:$I$102,7,FALSE),main!$K$26:$Q$29,5,FALSE)),1,0)</f>
        <v>0</v>
      </c>
      <c r="CV259">
        <f>IF(AND(VLOOKUP(CV$1,main!$A$3:$H$102,7,FALSE)=main!$G$105,VLOOKUP(CV$1,main!$A$3:$H$102,5,FALSE)-VLOOKUP($A259,main!$A$3:$H$102,6,FALSE)&gt;=main!$D$103+VLOOKUP(VLOOKUP(CV$1,main!$A$3:$I$102,7,FALSE),main!$K$26:$Q$29,5,FALSE)),1,0)</f>
        <v>0</v>
      </c>
      <c r="CW259">
        <f>IF(AND(VLOOKUP(CW$1,main!$A$3:$H$102,7,FALSE)=main!$G$105,VLOOKUP(CW$1,main!$A$3:$H$102,5,FALSE)-VLOOKUP($A259,main!$A$3:$H$102,6,FALSE)&gt;=main!$D$103+VLOOKUP(VLOOKUP(CW$1,main!$A$3:$I$102,7,FALSE),main!$K$26:$Q$29,5,FALSE)),1,0)</f>
        <v>0</v>
      </c>
      <c r="CX259">
        <f>IF(AND(VLOOKUP(CX$1,main!$A$3:$H$102,7,FALSE)=main!$G$105,VLOOKUP(CX$1,main!$A$3:$H$102,5,FALSE)-VLOOKUP($A259,main!$A$3:$H$102,6,FALSE)&gt;=main!$D$103+VLOOKUP(VLOOKUP(CX$1,main!$A$3:$I$102,7,FALSE),main!$K$26:$Q$29,5,FALSE)),1,0)</f>
        <v>0</v>
      </c>
    </row>
    <row r="260" spans="1:102" x14ac:dyDescent="0.25">
      <c r="A260" s="1">
        <v>56</v>
      </c>
      <c r="B260">
        <v>0</v>
      </c>
      <c r="C260">
        <f>IF(AND(VLOOKUP(C$1,main!$A$3:$H$102,7,FALSE)=main!$G$105,VLOOKUP(C$1,main!$A$3:$H$102,5,FALSE)-VLOOKUP($A260,main!$A$3:$H$102,6,FALSE)&gt;=main!$D$103+VLOOKUP(VLOOKUP(C$1,main!$A$3:$I$102,7,FALSE),main!$K$26:$Q$29,5,FALSE)),1,0)</f>
        <v>0</v>
      </c>
      <c r="D260">
        <f>IF(AND(VLOOKUP(D$1,main!$A$3:$H$102,7,FALSE)=main!$G$105,VLOOKUP(D$1,main!$A$3:$H$102,5,FALSE)-VLOOKUP($A260,main!$A$3:$H$102,6,FALSE)&gt;=main!$D$103+VLOOKUP(VLOOKUP(D$1,main!$A$3:$I$102,7,FALSE),main!$K$26:$Q$29,5,FALSE)),1,0)</f>
        <v>0</v>
      </c>
      <c r="E260">
        <f>IF(AND(VLOOKUP(E$1,main!$A$3:$H$102,7,FALSE)=main!$G$105,VLOOKUP(E$1,main!$A$3:$H$102,5,FALSE)-VLOOKUP($A260,main!$A$3:$H$102,6,FALSE)&gt;=main!$D$103+VLOOKUP(VLOOKUP(E$1,main!$A$3:$I$102,7,FALSE),main!$K$26:$Q$29,5,FALSE)),1,0)</f>
        <v>0</v>
      </c>
      <c r="F260">
        <f>IF(AND(VLOOKUP(F$1,main!$A$3:$H$102,7,FALSE)=main!$G$105,VLOOKUP(F$1,main!$A$3:$H$102,5,FALSE)-VLOOKUP($A260,main!$A$3:$H$102,6,FALSE)&gt;=main!$D$103+VLOOKUP(VLOOKUP(F$1,main!$A$3:$I$102,7,FALSE),main!$K$26:$Q$29,5,FALSE)),1,0)</f>
        <v>0</v>
      </c>
      <c r="G260">
        <f>IF(AND(VLOOKUP(G$1,main!$A$3:$H$102,7,FALSE)=main!$G$105,VLOOKUP(G$1,main!$A$3:$H$102,5,FALSE)-VLOOKUP($A260,main!$A$3:$H$102,6,FALSE)&gt;=main!$D$103+VLOOKUP(VLOOKUP(G$1,main!$A$3:$I$102,7,FALSE),main!$K$26:$Q$29,5,FALSE)),1,0)</f>
        <v>0</v>
      </c>
      <c r="H260">
        <f>IF(AND(VLOOKUP(H$1,main!$A$3:$H$102,7,FALSE)=main!$G$105,VLOOKUP(H$1,main!$A$3:$H$102,5,FALSE)-VLOOKUP($A260,main!$A$3:$H$102,6,FALSE)&gt;=main!$D$103+VLOOKUP(VLOOKUP(H$1,main!$A$3:$I$102,7,FALSE),main!$K$26:$Q$29,5,FALSE)),1,0)</f>
        <v>0</v>
      </c>
      <c r="I260">
        <f>IF(AND(VLOOKUP(I$1,main!$A$3:$H$102,7,FALSE)=main!$G$105,VLOOKUP(I$1,main!$A$3:$H$102,5,FALSE)-VLOOKUP($A260,main!$A$3:$H$102,6,FALSE)&gt;=main!$D$103+VLOOKUP(VLOOKUP(I$1,main!$A$3:$I$102,7,FALSE),main!$K$26:$Q$29,5,FALSE)),1,0)</f>
        <v>0</v>
      </c>
      <c r="J260">
        <f>IF(AND(VLOOKUP(J$1,main!$A$3:$H$102,7,FALSE)=main!$G$105,VLOOKUP(J$1,main!$A$3:$H$102,5,FALSE)-VLOOKUP($A260,main!$A$3:$H$102,6,FALSE)&gt;=main!$D$103+VLOOKUP(VLOOKUP(J$1,main!$A$3:$I$102,7,FALSE),main!$K$26:$Q$29,5,FALSE)),1,0)</f>
        <v>0</v>
      </c>
      <c r="K260">
        <f>IF(AND(VLOOKUP(K$1,main!$A$3:$H$102,7,FALSE)=main!$G$105,VLOOKUP(K$1,main!$A$3:$H$102,5,FALSE)-VLOOKUP($A260,main!$A$3:$H$102,6,FALSE)&gt;=main!$D$103+VLOOKUP(VLOOKUP(K$1,main!$A$3:$I$102,7,FALSE),main!$K$26:$Q$29,5,FALSE)),1,0)</f>
        <v>0</v>
      </c>
      <c r="L260">
        <f>IF(AND(VLOOKUP(L$1,main!$A$3:$H$102,7,FALSE)=main!$G$105,VLOOKUP(L$1,main!$A$3:$H$102,5,FALSE)-VLOOKUP($A260,main!$A$3:$H$102,6,FALSE)&gt;=main!$D$103+VLOOKUP(VLOOKUP(L$1,main!$A$3:$I$102,7,FALSE),main!$K$26:$Q$29,5,FALSE)),1,0)</f>
        <v>0</v>
      </c>
      <c r="M260">
        <f>IF(AND(VLOOKUP(M$1,main!$A$3:$H$102,7,FALSE)=main!$G$105,VLOOKUP(M$1,main!$A$3:$H$102,5,FALSE)-VLOOKUP($A260,main!$A$3:$H$102,6,FALSE)&gt;=main!$D$103+VLOOKUP(VLOOKUP(M$1,main!$A$3:$I$102,7,FALSE),main!$K$26:$Q$29,5,FALSE)),1,0)</f>
        <v>0</v>
      </c>
      <c r="N260">
        <f>IF(AND(VLOOKUP(N$1,main!$A$3:$H$102,7,FALSE)=main!$G$105,VLOOKUP(N$1,main!$A$3:$H$102,5,FALSE)-VLOOKUP($A260,main!$A$3:$H$102,6,FALSE)&gt;=main!$D$103+VLOOKUP(VLOOKUP(N$1,main!$A$3:$I$102,7,FALSE),main!$K$26:$Q$29,5,FALSE)),1,0)</f>
        <v>0</v>
      </c>
      <c r="O260">
        <f>IF(AND(VLOOKUP(O$1,main!$A$3:$H$102,7,FALSE)=main!$G$105,VLOOKUP(O$1,main!$A$3:$H$102,5,FALSE)-VLOOKUP($A260,main!$A$3:$H$102,6,FALSE)&gt;=main!$D$103+VLOOKUP(VLOOKUP(O$1,main!$A$3:$I$102,7,FALSE),main!$K$26:$Q$29,5,FALSE)),1,0)</f>
        <v>0</v>
      </c>
      <c r="P260">
        <f>IF(AND(VLOOKUP(P$1,main!$A$3:$H$102,7,FALSE)=main!$G$105,VLOOKUP(P$1,main!$A$3:$H$102,5,FALSE)-VLOOKUP($A260,main!$A$3:$H$102,6,FALSE)&gt;=main!$D$103+VLOOKUP(VLOOKUP(P$1,main!$A$3:$I$102,7,FALSE),main!$K$26:$Q$29,5,FALSE)),1,0)</f>
        <v>0</v>
      </c>
      <c r="Q260">
        <f>IF(AND(VLOOKUP(Q$1,main!$A$3:$H$102,7,FALSE)=main!$G$105,VLOOKUP(Q$1,main!$A$3:$H$102,5,FALSE)-VLOOKUP($A260,main!$A$3:$H$102,6,FALSE)&gt;=main!$D$103+VLOOKUP(VLOOKUP(Q$1,main!$A$3:$I$102,7,FALSE),main!$K$26:$Q$29,5,FALSE)),1,0)</f>
        <v>0</v>
      </c>
      <c r="R260">
        <f>IF(AND(VLOOKUP(R$1,main!$A$3:$H$102,7,FALSE)=main!$G$105,VLOOKUP(R$1,main!$A$3:$H$102,5,FALSE)-VLOOKUP($A260,main!$A$3:$H$102,6,FALSE)&gt;=main!$D$103+VLOOKUP(VLOOKUP(R$1,main!$A$3:$I$102,7,FALSE),main!$K$26:$Q$29,5,FALSE)),1,0)</f>
        <v>0</v>
      </c>
      <c r="S260">
        <f>IF(AND(VLOOKUP(S$1,main!$A$3:$H$102,7,FALSE)=main!$G$105,VLOOKUP(S$1,main!$A$3:$H$102,5,FALSE)-VLOOKUP($A260,main!$A$3:$H$102,6,FALSE)&gt;=main!$D$103+VLOOKUP(VLOOKUP(S$1,main!$A$3:$I$102,7,FALSE),main!$K$26:$Q$29,5,FALSE)),1,0)</f>
        <v>0</v>
      </c>
      <c r="T260">
        <f>IF(AND(VLOOKUP(T$1,main!$A$3:$H$102,7,FALSE)=main!$G$105,VLOOKUP(T$1,main!$A$3:$H$102,5,FALSE)-VLOOKUP($A260,main!$A$3:$H$102,6,FALSE)&gt;=main!$D$103+VLOOKUP(VLOOKUP(T$1,main!$A$3:$I$102,7,FALSE),main!$K$26:$Q$29,5,FALSE)),1,0)</f>
        <v>0</v>
      </c>
      <c r="U260">
        <f>IF(AND(VLOOKUP(U$1,main!$A$3:$H$102,7,FALSE)=main!$G$105,VLOOKUP(U$1,main!$A$3:$H$102,5,FALSE)-VLOOKUP($A260,main!$A$3:$H$102,6,FALSE)&gt;=main!$D$103+VLOOKUP(VLOOKUP(U$1,main!$A$3:$I$102,7,FALSE),main!$K$26:$Q$29,5,FALSE)),1,0)</f>
        <v>0</v>
      </c>
      <c r="V260">
        <f>IF(AND(VLOOKUP(V$1,main!$A$3:$H$102,7,FALSE)=main!$G$105,VLOOKUP(V$1,main!$A$3:$H$102,5,FALSE)-VLOOKUP($A260,main!$A$3:$H$102,6,FALSE)&gt;=main!$D$103+VLOOKUP(VLOOKUP(V$1,main!$A$3:$I$102,7,FALSE),main!$K$26:$Q$29,5,FALSE)),1,0)</f>
        <v>0</v>
      </c>
      <c r="W260">
        <f>IF(AND(VLOOKUP(W$1,main!$A$3:$H$102,7,FALSE)=main!$G$105,VLOOKUP(W$1,main!$A$3:$H$102,5,FALSE)-VLOOKUP($A260,main!$A$3:$H$102,6,FALSE)&gt;=main!$D$103+VLOOKUP(VLOOKUP(W$1,main!$A$3:$I$102,7,FALSE),main!$K$26:$Q$29,5,FALSE)),1,0)</f>
        <v>0</v>
      </c>
      <c r="X260">
        <f>IF(AND(VLOOKUP(X$1,main!$A$3:$H$102,7,FALSE)=main!$G$105,VLOOKUP(X$1,main!$A$3:$H$102,5,FALSE)-VLOOKUP($A260,main!$A$3:$H$102,6,FALSE)&gt;=main!$D$103+VLOOKUP(VLOOKUP(X$1,main!$A$3:$I$102,7,FALSE),main!$K$26:$Q$29,5,FALSE)),1,0)</f>
        <v>0</v>
      </c>
      <c r="Y260">
        <f>IF(AND(VLOOKUP(Y$1,main!$A$3:$H$102,7,FALSE)=main!$G$105,VLOOKUP(Y$1,main!$A$3:$H$102,5,FALSE)-VLOOKUP($A260,main!$A$3:$H$102,6,FALSE)&gt;=main!$D$103+VLOOKUP(VLOOKUP(Y$1,main!$A$3:$I$102,7,FALSE),main!$K$26:$Q$29,5,FALSE)),1,0)</f>
        <v>0</v>
      </c>
      <c r="Z260">
        <f>IF(AND(VLOOKUP(Z$1,main!$A$3:$H$102,7,FALSE)=main!$G$105,VLOOKUP(Z$1,main!$A$3:$H$102,5,FALSE)-VLOOKUP($A260,main!$A$3:$H$102,6,FALSE)&gt;=main!$D$103+VLOOKUP(VLOOKUP(Z$1,main!$A$3:$I$102,7,FALSE),main!$K$26:$Q$29,5,FALSE)),1,0)</f>
        <v>0</v>
      </c>
      <c r="AA260">
        <f>IF(AND(VLOOKUP(AA$1,main!$A$3:$H$102,7,FALSE)=main!$G$105,VLOOKUP(AA$1,main!$A$3:$H$102,5,FALSE)-VLOOKUP($A260,main!$A$3:$H$102,6,FALSE)&gt;=main!$D$103+VLOOKUP(VLOOKUP(AA$1,main!$A$3:$I$102,7,FALSE),main!$K$26:$Q$29,5,FALSE)),1,0)</f>
        <v>0</v>
      </c>
      <c r="AB260">
        <f>IF(AND(VLOOKUP(AB$1,main!$A$3:$H$102,7,FALSE)=main!$G$105,VLOOKUP(AB$1,main!$A$3:$H$102,5,FALSE)-VLOOKUP($A260,main!$A$3:$H$102,6,FALSE)&gt;=main!$D$103+VLOOKUP(VLOOKUP(AB$1,main!$A$3:$I$102,7,FALSE),main!$K$26:$Q$29,5,FALSE)),1,0)</f>
        <v>0</v>
      </c>
      <c r="AC260">
        <f>IF(AND(VLOOKUP(AC$1,main!$A$3:$H$102,7,FALSE)=main!$G$105,VLOOKUP(AC$1,main!$A$3:$H$102,5,FALSE)-VLOOKUP($A260,main!$A$3:$H$102,6,FALSE)&gt;=main!$D$103+VLOOKUP(VLOOKUP(AC$1,main!$A$3:$I$102,7,FALSE),main!$K$26:$Q$29,5,FALSE)),1,0)</f>
        <v>0</v>
      </c>
      <c r="AD260">
        <f>IF(AND(VLOOKUP(AD$1,main!$A$3:$H$102,7,FALSE)=main!$G$105,VLOOKUP(AD$1,main!$A$3:$H$102,5,FALSE)-VLOOKUP($A260,main!$A$3:$H$102,6,FALSE)&gt;=main!$D$103+VLOOKUP(VLOOKUP(AD$1,main!$A$3:$I$102,7,FALSE),main!$K$26:$Q$29,5,FALSE)),1,0)</f>
        <v>0</v>
      </c>
      <c r="AE260">
        <f>IF(AND(VLOOKUP(AE$1,main!$A$3:$H$102,7,FALSE)=main!$G$105,VLOOKUP(AE$1,main!$A$3:$H$102,5,FALSE)-VLOOKUP($A260,main!$A$3:$H$102,6,FALSE)&gt;=main!$D$103+VLOOKUP(VLOOKUP(AE$1,main!$A$3:$I$102,7,FALSE),main!$K$26:$Q$29,5,FALSE)),1,0)</f>
        <v>0</v>
      </c>
      <c r="AF260">
        <f>IF(AND(VLOOKUP(AF$1,main!$A$3:$H$102,7,FALSE)=main!$G$105,VLOOKUP(AF$1,main!$A$3:$H$102,5,FALSE)-VLOOKUP($A260,main!$A$3:$H$102,6,FALSE)&gt;=main!$D$103+VLOOKUP(VLOOKUP(AF$1,main!$A$3:$I$102,7,FALSE),main!$K$26:$Q$29,5,FALSE)),1,0)</f>
        <v>0</v>
      </c>
      <c r="AG260">
        <f>IF(AND(VLOOKUP(AG$1,main!$A$3:$H$102,7,FALSE)=main!$G$105,VLOOKUP(AG$1,main!$A$3:$H$102,5,FALSE)-VLOOKUP($A260,main!$A$3:$H$102,6,FALSE)&gt;=main!$D$103+VLOOKUP(VLOOKUP(AG$1,main!$A$3:$I$102,7,FALSE),main!$K$26:$Q$29,5,FALSE)),1,0)</f>
        <v>0</v>
      </c>
      <c r="AH260">
        <f>IF(AND(VLOOKUP(AH$1,main!$A$3:$H$102,7,FALSE)=main!$G$105,VLOOKUP(AH$1,main!$A$3:$H$102,5,FALSE)-VLOOKUP($A260,main!$A$3:$H$102,6,FALSE)&gt;=main!$D$103+VLOOKUP(VLOOKUP(AH$1,main!$A$3:$I$102,7,FALSE),main!$K$26:$Q$29,5,FALSE)),1,0)</f>
        <v>0</v>
      </c>
      <c r="AI260">
        <f>IF(AND(VLOOKUP(AI$1,main!$A$3:$H$102,7,FALSE)=main!$G$105,VLOOKUP(AI$1,main!$A$3:$H$102,5,FALSE)-VLOOKUP($A260,main!$A$3:$H$102,6,FALSE)&gt;=main!$D$103+VLOOKUP(VLOOKUP(AI$1,main!$A$3:$I$102,7,FALSE),main!$K$26:$Q$29,5,FALSE)),1,0)</f>
        <v>0</v>
      </c>
      <c r="AJ260">
        <f>IF(AND(VLOOKUP(AJ$1,main!$A$3:$H$102,7,FALSE)=main!$G$105,VLOOKUP(AJ$1,main!$A$3:$H$102,5,FALSE)-VLOOKUP($A260,main!$A$3:$H$102,6,FALSE)&gt;=main!$D$103+VLOOKUP(VLOOKUP(AJ$1,main!$A$3:$I$102,7,FALSE),main!$K$26:$Q$29,5,FALSE)),1,0)</f>
        <v>1</v>
      </c>
      <c r="AK260">
        <f>IF(AND(VLOOKUP(AK$1,main!$A$3:$H$102,7,FALSE)=main!$G$105,VLOOKUP(AK$1,main!$A$3:$H$102,5,FALSE)-VLOOKUP($A260,main!$A$3:$H$102,6,FALSE)&gt;=main!$D$103+VLOOKUP(VLOOKUP(AK$1,main!$A$3:$I$102,7,FALSE),main!$K$26:$Q$29,5,FALSE)),1,0)</f>
        <v>1</v>
      </c>
      <c r="AL260">
        <f>IF(AND(VLOOKUP(AL$1,main!$A$3:$H$102,7,FALSE)=main!$G$105,VLOOKUP(AL$1,main!$A$3:$H$102,5,FALSE)-VLOOKUP($A260,main!$A$3:$H$102,6,FALSE)&gt;=main!$D$103+VLOOKUP(VLOOKUP(AL$1,main!$A$3:$I$102,7,FALSE),main!$K$26:$Q$29,5,FALSE)),1,0)</f>
        <v>1</v>
      </c>
      <c r="AM260">
        <f>IF(AND(VLOOKUP(AM$1,main!$A$3:$H$102,7,FALSE)=main!$G$105,VLOOKUP(AM$1,main!$A$3:$H$102,5,FALSE)-VLOOKUP($A260,main!$A$3:$H$102,6,FALSE)&gt;=main!$D$103+VLOOKUP(VLOOKUP(AM$1,main!$A$3:$I$102,7,FALSE),main!$K$26:$Q$29,5,FALSE)),1,0)</f>
        <v>1</v>
      </c>
      <c r="AN260">
        <f>IF(AND(VLOOKUP(AN$1,main!$A$3:$H$102,7,FALSE)=main!$G$105,VLOOKUP(AN$1,main!$A$3:$H$102,5,FALSE)-VLOOKUP($A260,main!$A$3:$H$102,6,FALSE)&gt;=main!$D$103+VLOOKUP(VLOOKUP(AN$1,main!$A$3:$I$102,7,FALSE),main!$K$26:$Q$29,5,FALSE)),1,0)</f>
        <v>1</v>
      </c>
      <c r="AO260">
        <f>IF(AND(VLOOKUP(AO$1,main!$A$3:$H$102,7,FALSE)=main!$G$105,VLOOKUP(AO$1,main!$A$3:$H$102,5,FALSE)-VLOOKUP($A260,main!$A$3:$H$102,6,FALSE)&gt;=main!$D$103+VLOOKUP(VLOOKUP(AO$1,main!$A$3:$I$102,7,FALSE),main!$K$26:$Q$29,5,FALSE)),1,0)</f>
        <v>0</v>
      </c>
      <c r="AP260">
        <f>IF(AND(VLOOKUP(AP$1,main!$A$3:$H$102,7,FALSE)=main!$G$105,VLOOKUP(AP$1,main!$A$3:$H$102,5,FALSE)-VLOOKUP($A260,main!$A$3:$H$102,6,FALSE)&gt;=main!$D$103+VLOOKUP(VLOOKUP(AP$1,main!$A$3:$I$102,7,FALSE),main!$K$26:$Q$29,5,FALSE)),1,0)</f>
        <v>1</v>
      </c>
      <c r="AQ260">
        <f>IF(AND(VLOOKUP(AQ$1,main!$A$3:$H$102,7,FALSE)=main!$G$105,VLOOKUP(AQ$1,main!$A$3:$H$102,5,FALSE)-VLOOKUP($A260,main!$A$3:$H$102,6,FALSE)&gt;=main!$D$103+VLOOKUP(VLOOKUP(AQ$1,main!$A$3:$I$102,7,FALSE),main!$K$26:$Q$29,5,FALSE)),1,0)</f>
        <v>0</v>
      </c>
      <c r="AR260">
        <f>IF(AND(VLOOKUP(AR$1,main!$A$3:$H$102,7,FALSE)=main!$G$105,VLOOKUP(AR$1,main!$A$3:$H$102,5,FALSE)-VLOOKUP($A260,main!$A$3:$H$102,6,FALSE)&gt;=main!$D$103+VLOOKUP(VLOOKUP(AR$1,main!$A$3:$I$102,7,FALSE),main!$K$26:$Q$29,5,FALSE)),1,0)</f>
        <v>0</v>
      </c>
      <c r="AS260">
        <f>IF(AND(VLOOKUP(AS$1,main!$A$3:$H$102,7,FALSE)=main!$G$105,VLOOKUP(AS$1,main!$A$3:$H$102,5,FALSE)-VLOOKUP($A260,main!$A$3:$H$102,6,FALSE)&gt;=main!$D$103+VLOOKUP(VLOOKUP(AS$1,main!$A$3:$I$102,7,FALSE),main!$K$26:$Q$29,5,FALSE)),1,0)</f>
        <v>1</v>
      </c>
      <c r="AT260">
        <f>IF(AND(VLOOKUP(AT$1,main!$A$3:$H$102,7,FALSE)=main!$G$105,VLOOKUP(AT$1,main!$A$3:$H$102,5,FALSE)-VLOOKUP($A260,main!$A$3:$H$102,6,FALSE)&gt;=main!$D$103+VLOOKUP(VLOOKUP(AT$1,main!$A$3:$I$102,7,FALSE),main!$K$26:$Q$29,5,FALSE)),1,0)</f>
        <v>1</v>
      </c>
      <c r="AU260">
        <f>IF(AND(VLOOKUP(AU$1,main!$A$3:$H$102,7,FALSE)=main!$G$105,VLOOKUP(AU$1,main!$A$3:$H$102,5,FALSE)-VLOOKUP($A260,main!$A$3:$H$102,6,FALSE)&gt;=main!$D$103+VLOOKUP(VLOOKUP(AU$1,main!$A$3:$I$102,7,FALSE),main!$K$26:$Q$29,5,FALSE)),1,0)</f>
        <v>0</v>
      </c>
      <c r="AV260">
        <f>IF(AND(VLOOKUP(AV$1,main!$A$3:$H$102,7,FALSE)=main!$G$105,VLOOKUP(AV$1,main!$A$3:$H$102,5,FALSE)-VLOOKUP($A260,main!$A$3:$H$102,6,FALSE)&gt;=main!$D$103+VLOOKUP(VLOOKUP(AV$1,main!$A$3:$I$102,7,FALSE),main!$K$26:$Q$29,5,FALSE)),1,0)</f>
        <v>0</v>
      </c>
      <c r="AW260">
        <f>IF(AND(VLOOKUP(AW$1,main!$A$3:$H$102,7,FALSE)=main!$G$105,VLOOKUP(AW$1,main!$A$3:$H$102,5,FALSE)-VLOOKUP($A260,main!$A$3:$H$102,6,FALSE)&gt;=main!$D$103+VLOOKUP(VLOOKUP(AW$1,main!$A$3:$I$102,7,FALSE),main!$K$26:$Q$29,5,FALSE)),1,0)</f>
        <v>1</v>
      </c>
      <c r="AX260">
        <f>IF(AND(VLOOKUP(AX$1,main!$A$3:$H$102,7,FALSE)=main!$G$105,VLOOKUP(AX$1,main!$A$3:$H$102,5,FALSE)-VLOOKUP($A260,main!$A$3:$H$102,6,FALSE)&gt;=main!$D$103+VLOOKUP(VLOOKUP(AX$1,main!$A$3:$I$102,7,FALSE),main!$K$26:$Q$29,5,FALSE)),1,0)</f>
        <v>0</v>
      </c>
      <c r="AY260">
        <f>IF(AND(VLOOKUP(AY$1,main!$A$3:$H$102,7,FALSE)=main!$G$105,VLOOKUP(AY$1,main!$A$3:$H$102,5,FALSE)-VLOOKUP($A260,main!$A$3:$H$102,6,FALSE)&gt;=main!$D$103+VLOOKUP(VLOOKUP(AY$1,main!$A$3:$I$102,7,FALSE),main!$K$26:$Q$29,5,FALSE)),1,0)</f>
        <v>0</v>
      </c>
      <c r="AZ260">
        <f>IF(AND(VLOOKUP(AZ$1,main!$A$3:$H$102,7,FALSE)=main!$G$105,VLOOKUP(AZ$1,main!$A$3:$H$102,5,FALSE)-VLOOKUP($A260,main!$A$3:$H$102,6,FALSE)&gt;=main!$D$103+VLOOKUP(VLOOKUP(AZ$1,main!$A$3:$I$102,7,FALSE),main!$K$26:$Q$29,5,FALSE)),1,0)</f>
        <v>0</v>
      </c>
      <c r="BA260">
        <f>IF(AND(VLOOKUP(BA$1,main!$A$3:$H$102,7,FALSE)=main!$G$105,VLOOKUP(BA$1,main!$A$3:$H$102,5,FALSE)-VLOOKUP($A260,main!$A$3:$H$102,6,FALSE)&gt;=main!$D$103+VLOOKUP(VLOOKUP(BA$1,main!$A$3:$I$102,7,FALSE),main!$K$26:$Q$29,5,FALSE)),1,0)</f>
        <v>0</v>
      </c>
      <c r="BB260">
        <f>IF(AND(VLOOKUP(BB$1,main!$A$3:$H$102,7,FALSE)=main!$G$105,VLOOKUP(BB$1,main!$A$3:$H$102,5,FALSE)-VLOOKUP($A260,main!$A$3:$H$102,6,FALSE)&gt;=main!$D$103+VLOOKUP(VLOOKUP(BB$1,main!$A$3:$I$102,7,FALSE),main!$K$26:$Q$29,5,FALSE)),1,0)</f>
        <v>0</v>
      </c>
      <c r="BC260">
        <f>IF(AND(VLOOKUP(BC$1,main!$A$3:$H$102,7,FALSE)=main!$G$105,VLOOKUP(BC$1,main!$A$3:$H$102,5,FALSE)-VLOOKUP($A260,main!$A$3:$H$102,6,FALSE)&gt;=main!$D$103+VLOOKUP(VLOOKUP(BC$1,main!$A$3:$I$102,7,FALSE),main!$K$26:$Q$29,5,FALSE)),1,0)</f>
        <v>0</v>
      </c>
      <c r="BD260">
        <f>IF(AND(VLOOKUP(BD$1,main!$A$3:$H$102,7,FALSE)=main!$G$105,VLOOKUP(BD$1,main!$A$3:$H$102,5,FALSE)-VLOOKUP($A260,main!$A$3:$H$102,6,FALSE)&gt;=main!$D$103+VLOOKUP(VLOOKUP(BD$1,main!$A$3:$I$102,7,FALSE),main!$K$26:$Q$29,5,FALSE)),1,0)</f>
        <v>0</v>
      </c>
      <c r="BE260">
        <f>IF(AND(VLOOKUP(BE$1,main!$A$3:$H$102,7,FALSE)=main!$G$105,VLOOKUP(BE$1,main!$A$3:$H$102,5,FALSE)-VLOOKUP($A260,main!$A$3:$H$102,6,FALSE)&gt;=main!$D$103+VLOOKUP(VLOOKUP(BE$1,main!$A$3:$I$102,7,FALSE),main!$K$26:$Q$29,5,FALSE)),1,0)</f>
        <v>0</v>
      </c>
      <c r="BF260">
        <f>IF(AND(VLOOKUP(BF$1,main!$A$3:$H$102,7,FALSE)=main!$G$105,VLOOKUP(BF$1,main!$A$3:$H$102,5,FALSE)-VLOOKUP($A260,main!$A$3:$H$102,6,FALSE)&gt;=main!$D$103+VLOOKUP(VLOOKUP(BF$1,main!$A$3:$I$102,7,FALSE),main!$K$26:$Q$29,5,FALSE)),1,0)</f>
        <v>0</v>
      </c>
      <c r="BG260">
        <f>IF(AND(VLOOKUP(BG$1,main!$A$3:$H$102,7,FALSE)=main!$G$105,VLOOKUP(BG$1,main!$A$3:$H$102,5,FALSE)-VLOOKUP($A260,main!$A$3:$H$102,6,FALSE)&gt;=main!$D$103+VLOOKUP(VLOOKUP(BG$1,main!$A$3:$I$102,7,FALSE),main!$K$26:$Q$29,5,FALSE)),1,0)</f>
        <v>0</v>
      </c>
      <c r="BH260">
        <f>IF(AND(VLOOKUP(BH$1,main!$A$3:$H$102,7,FALSE)=main!$G$105,VLOOKUP(BH$1,main!$A$3:$H$102,5,FALSE)-VLOOKUP($A260,main!$A$3:$H$102,6,FALSE)&gt;=main!$D$103+VLOOKUP(VLOOKUP(BH$1,main!$A$3:$I$102,7,FALSE),main!$K$26:$Q$29,5,FALSE)),1,0)</f>
        <v>0</v>
      </c>
      <c r="BI260">
        <f>IF(AND(VLOOKUP(BI$1,main!$A$3:$H$102,7,FALSE)=main!$G$105,VLOOKUP(BI$1,main!$A$3:$H$102,5,FALSE)-VLOOKUP($A260,main!$A$3:$H$102,6,FALSE)&gt;=main!$D$103+VLOOKUP(VLOOKUP(BI$1,main!$A$3:$I$102,7,FALSE),main!$K$26:$Q$29,5,FALSE)),1,0)</f>
        <v>0</v>
      </c>
      <c r="BJ260">
        <f>IF(AND(VLOOKUP(BJ$1,main!$A$3:$H$102,7,FALSE)=main!$G$105,VLOOKUP(BJ$1,main!$A$3:$H$102,5,FALSE)-VLOOKUP($A260,main!$A$3:$H$102,6,FALSE)&gt;=main!$D$103+VLOOKUP(VLOOKUP(BJ$1,main!$A$3:$I$102,7,FALSE),main!$K$26:$Q$29,5,FALSE)),1,0)</f>
        <v>0</v>
      </c>
      <c r="BK260">
        <f>IF(AND(VLOOKUP(BK$1,main!$A$3:$H$102,7,FALSE)=main!$G$105,VLOOKUP(BK$1,main!$A$3:$H$102,5,FALSE)-VLOOKUP($A260,main!$A$3:$H$102,6,FALSE)&gt;=main!$D$103+VLOOKUP(VLOOKUP(BK$1,main!$A$3:$I$102,7,FALSE),main!$K$26:$Q$29,5,FALSE)),1,0)</f>
        <v>0</v>
      </c>
      <c r="BL260">
        <f>IF(AND(VLOOKUP(BL$1,main!$A$3:$H$102,7,FALSE)=main!$G$105,VLOOKUP(BL$1,main!$A$3:$H$102,5,FALSE)-VLOOKUP($A260,main!$A$3:$H$102,6,FALSE)&gt;=main!$D$103+VLOOKUP(VLOOKUP(BL$1,main!$A$3:$I$102,7,FALSE),main!$K$26:$Q$29,5,FALSE)),1,0)</f>
        <v>0</v>
      </c>
      <c r="BM260">
        <f>IF(AND(VLOOKUP(BM$1,main!$A$3:$H$102,7,FALSE)=main!$G$105,VLOOKUP(BM$1,main!$A$3:$H$102,5,FALSE)-VLOOKUP($A260,main!$A$3:$H$102,6,FALSE)&gt;=main!$D$103+VLOOKUP(VLOOKUP(BM$1,main!$A$3:$I$102,7,FALSE),main!$K$26:$Q$29,5,FALSE)),1,0)</f>
        <v>0</v>
      </c>
      <c r="BN260">
        <f>IF(AND(VLOOKUP(BN$1,main!$A$3:$H$102,7,FALSE)=main!$G$105,VLOOKUP(BN$1,main!$A$3:$H$102,5,FALSE)-VLOOKUP($A260,main!$A$3:$H$102,6,FALSE)&gt;=main!$D$103+VLOOKUP(VLOOKUP(BN$1,main!$A$3:$I$102,7,FALSE),main!$K$26:$Q$29,5,FALSE)),1,0)</f>
        <v>0</v>
      </c>
      <c r="BO260">
        <f>IF(AND(VLOOKUP(BO$1,main!$A$3:$H$102,7,FALSE)=main!$G$105,VLOOKUP(BO$1,main!$A$3:$H$102,5,FALSE)-VLOOKUP($A260,main!$A$3:$H$102,6,FALSE)&gt;=main!$D$103+VLOOKUP(VLOOKUP(BO$1,main!$A$3:$I$102,7,FALSE),main!$K$26:$Q$29,5,FALSE)),1,0)</f>
        <v>0</v>
      </c>
      <c r="BP260">
        <f>IF(AND(VLOOKUP(BP$1,main!$A$3:$H$102,7,FALSE)=main!$G$105,VLOOKUP(BP$1,main!$A$3:$H$102,5,FALSE)-VLOOKUP($A260,main!$A$3:$H$102,6,FALSE)&gt;=main!$D$103+VLOOKUP(VLOOKUP(BP$1,main!$A$3:$I$102,7,FALSE),main!$K$26:$Q$29,5,FALSE)),1,0)</f>
        <v>0</v>
      </c>
      <c r="BQ260">
        <f>IF(AND(VLOOKUP(BQ$1,main!$A$3:$H$102,7,FALSE)=main!$G$105,VLOOKUP(BQ$1,main!$A$3:$H$102,5,FALSE)-VLOOKUP($A260,main!$A$3:$H$102,6,FALSE)&gt;=main!$D$103+VLOOKUP(VLOOKUP(BQ$1,main!$A$3:$I$102,7,FALSE),main!$K$26:$Q$29,5,FALSE)),1,0)</f>
        <v>0</v>
      </c>
      <c r="BR260">
        <f>IF(AND(VLOOKUP(BR$1,main!$A$3:$H$102,7,FALSE)=main!$G$105,VLOOKUP(BR$1,main!$A$3:$H$102,5,FALSE)-VLOOKUP($A260,main!$A$3:$H$102,6,FALSE)&gt;=main!$D$103+VLOOKUP(VLOOKUP(BR$1,main!$A$3:$I$102,7,FALSE),main!$K$26:$Q$29,5,FALSE)),1,0)</f>
        <v>0</v>
      </c>
      <c r="BS260">
        <f>IF(AND(VLOOKUP(BS$1,main!$A$3:$H$102,7,FALSE)=main!$G$105,VLOOKUP(BS$1,main!$A$3:$H$102,5,FALSE)-VLOOKUP($A260,main!$A$3:$H$102,6,FALSE)&gt;=main!$D$103+VLOOKUP(VLOOKUP(BS$1,main!$A$3:$I$102,7,FALSE),main!$K$26:$Q$29,5,FALSE)),1,0)</f>
        <v>0</v>
      </c>
      <c r="BT260">
        <f>IF(AND(VLOOKUP(BT$1,main!$A$3:$H$102,7,FALSE)=main!$G$105,VLOOKUP(BT$1,main!$A$3:$H$102,5,FALSE)-VLOOKUP($A260,main!$A$3:$H$102,6,FALSE)&gt;=main!$D$103+VLOOKUP(VLOOKUP(BT$1,main!$A$3:$I$102,7,FALSE),main!$K$26:$Q$29,5,FALSE)),1,0)</f>
        <v>0</v>
      </c>
      <c r="BU260">
        <f>IF(AND(VLOOKUP(BU$1,main!$A$3:$H$102,7,FALSE)=main!$G$105,VLOOKUP(BU$1,main!$A$3:$H$102,5,FALSE)-VLOOKUP($A260,main!$A$3:$H$102,6,FALSE)&gt;=main!$D$103+VLOOKUP(VLOOKUP(BU$1,main!$A$3:$I$102,7,FALSE),main!$K$26:$Q$29,5,FALSE)),1,0)</f>
        <v>0</v>
      </c>
      <c r="BV260">
        <f>IF(AND(VLOOKUP(BV$1,main!$A$3:$H$102,7,FALSE)=main!$G$105,VLOOKUP(BV$1,main!$A$3:$H$102,5,FALSE)-VLOOKUP($A260,main!$A$3:$H$102,6,FALSE)&gt;=main!$D$103+VLOOKUP(VLOOKUP(BV$1,main!$A$3:$I$102,7,FALSE),main!$K$26:$Q$29,5,FALSE)),1,0)</f>
        <v>0</v>
      </c>
      <c r="BW260">
        <f>IF(AND(VLOOKUP(BW$1,main!$A$3:$H$102,7,FALSE)=main!$G$105,VLOOKUP(BW$1,main!$A$3:$H$102,5,FALSE)-VLOOKUP($A260,main!$A$3:$H$102,6,FALSE)&gt;=main!$D$103+VLOOKUP(VLOOKUP(BW$1,main!$A$3:$I$102,7,FALSE),main!$K$26:$Q$29,5,FALSE)),1,0)</f>
        <v>0</v>
      </c>
      <c r="BX260">
        <f>IF(AND(VLOOKUP(BX$1,main!$A$3:$H$102,7,FALSE)=main!$G$105,VLOOKUP(BX$1,main!$A$3:$H$102,5,FALSE)-VLOOKUP($A260,main!$A$3:$H$102,6,FALSE)&gt;=main!$D$103+VLOOKUP(VLOOKUP(BX$1,main!$A$3:$I$102,7,FALSE),main!$K$26:$Q$29,5,FALSE)),1,0)</f>
        <v>0</v>
      </c>
      <c r="BY260">
        <f>IF(AND(VLOOKUP(BY$1,main!$A$3:$H$102,7,FALSE)=main!$G$105,VLOOKUP(BY$1,main!$A$3:$H$102,5,FALSE)-VLOOKUP($A260,main!$A$3:$H$102,6,FALSE)&gt;=main!$D$103+VLOOKUP(VLOOKUP(BY$1,main!$A$3:$I$102,7,FALSE),main!$K$26:$Q$29,5,FALSE)),1,0)</f>
        <v>0</v>
      </c>
      <c r="BZ260">
        <f>IF(AND(VLOOKUP(BZ$1,main!$A$3:$H$102,7,FALSE)=main!$G$105,VLOOKUP(BZ$1,main!$A$3:$H$102,5,FALSE)-VLOOKUP($A260,main!$A$3:$H$102,6,FALSE)&gt;=main!$D$103+VLOOKUP(VLOOKUP(BZ$1,main!$A$3:$I$102,7,FALSE),main!$K$26:$Q$29,5,FALSE)),1,0)</f>
        <v>0</v>
      </c>
      <c r="CA260">
        <f>IF(AND(VLOOKUP(CA$1,main!$A$3:$H$102,7,FALSE)=main!$G$105,VLOOKUP(CA$1,main!$A$3:$H$102,5,FALSE)-VLOOKUP($A260,main!$A$3:$H$102,6,FALSE)&gt;=main!$D$103+VLOOKUP(VLOOKUP(CA$1,main!$A$3:$I$102,7,FALSE),main!$K$26:$Q$29,5,FALSE)),1,0)</f>
        <v>0</v>
      </c>
      <c r="CB260">
        <f>IF(AND(VLOOKUP(CB$1,main!$A$3:$H$102,7,FALSE)=main!$G$105,VLOOKUP(CB$1,main!$A$3:$H$102,5,FALSE)-VLOOKUP($A260,main!$A$3:$H$102,6,FALSE)&gt;=main!$D$103+VLOOKUP(VLOOKUP(CB$1,main!$A$3:$I$102,7,FALSE),main!$K$26:$Q$29,5,FALSE)),1,0)</f>
        <v>0</v>
      </c>
      <c r="CC260">
        <f>IF(AND(VLOOKUP(CC$1,main!$A$3:$H$102,7,FALSE)=main!$G$105,VLOOKUP(CC$1,main!$A$3:$H$102,5,FALSE)-VLOOKUP($A260,main!$A$3:$H$102,6,FALSE)&gt;=main!$D$103+VLOOKUP(VLOOKUP(CC$1,main!$A$3:$I$102,7,FALSE),main!$K$26:$Q$29,5,FALSE)),1,0)</f>
        <v>0</v>
      </c>
      <c r="CD260">
        <f>IF(AND(VLOOKUP(CD$1,main!$A$3:$H$102,7,FALSE)=main!$G$105,VLOOKUP(CD$1,main!$A$3:$H$102,5,FALSE)-VLOOKUP($A260,main!$A$3:$H$102,6,FALSE)&gt;=main!$D$103+VLOOKUP(VLOOKUP(CD$1,main!$A$3:$I$102,7,FALSE),main!$K$26:$Q$29,5,FALSE)),1,0)</f>
        <v>0</v>
      </c>
      <c r="CE260">
        <f>IF(AND(VLOOKUP(CE$1,main!$A$3:$H$102,7,FALSE)=main!$G$105,VLOOKUP(CE$1,main!$A$3:$H$102,5,FALSE)-VLOOKUP($A260,main!$A$3:$H$102,6,FALSE)&gt;=main!$D$103+VLOOKUP(VLOOKUP(CE$1,main!$A$3:$I$102,7,FALSE),main!$K$26:$Q$29,5,FALSE)),1,0)</f>
        <v>0</v>
      </c>
      <c r="CF260">
        <f>IF(AND(VLOOKUP(CF$1,main!$A$3:$H$102,7,FALSE)=main!$G$105,VLOOKUP(CF$1,main!$A$3:$H$102,5,FALSE)-VLOOKUP($A260,main!$A$3:$H$102,6,FALSE)&gt;=main!$D$103+VLOOKUP(VLOOKUP(CF$1,main!$A$3:$I$102,7,FALSE),main!$K$26:$Q$29,5,FALSE)),1,0)</f>
        <v>0</v>
      </c>
      <c r="CG260">
        <f>IF(AND(VLOOKUP(CG$1,main!$A$3:$H$102,7,FALSE)=main!$G$105,VLOOKUP(CG$1,main!$A$3:$H$102,5,FALSE)-VLOOKUP($A260,main!$A$3:$H$102,6,FALSE)&gt;=main!$D$103+VLOOKUP(VLOOKUP(CG$1,main!$A$3:$I$102,7,FALSE),main!$K$26:$Q$29,5,FALSE)),1,0)</f>
        <v>0</v>
      </c>
      <c r="CH260">
        <f>IF(AND(VLOOKUP(CH$1,main!$A$3:$H$102,7,FALSE)=main!$G$105,VLOOKUP(CH$1,main!$A$3:$H$102,5,FALSE)-VLOOKUP($A260,main!$A$3:$H$102,6,FALSE)&gt;=main!$D$103+VLOOKUP(VLOOKUP(CH$1,main!$A$3:$I$102,7,FALSE),main!$K$26:$Q$29,5,FALSE)),1,0)</f>
        <v>0</v>
      </c>
      <c r="CI260">
        <f>IF(AND(VLOOKUP(CI$1,main!$A$3:$H$102,7,FALSE)=main!$G$105,VLOOKUP(CI$1,main!$A$3:$H$102,5,FALSE)-VLOOKUP($A260,main!$A$3:$H$102,6,FALSE)&gt;=main!$D$103+VLOOKUP(VLOOKUP(CI$1,main!$A$3:$I$102,7,FALSE),main!$K$26:$Q$29,5,FALSE)),1,0)</f>
        <v>0</v>
      </c>
      <c r="CJ260">
        <f>IF(AND(VLOOKUP(CJ$1,main!$A$3:$H$102,7,FALSE)=main!$G$105,VLOOKUP(CJ$1,main!$A$3:$H$102,5,FALSE)-VLOOKUP($A260,main!$A$3:$H$102,6,FALSE)&gt;=main!$D$103+VLOOKUP(VLOOKUP(CJ$1,main!$A$3:$I$102,7,FALSE),main!$K$26:$Q$29,5,FALSE)),1,0)</f>
        <v>0</v>
      </c>
      <c r="CK260">
        <f>IF(AND(VLOOKUP(CK$1,main!$A$3:$H$102,7,FALSE)=main!$G$105,VLOOKUP(CK$1,main!$A$3:$H$102,5,FALSE)-VLOOKUP($A260,main!$A$3:$H$102,6,FALSE)&gt;=main!$D$103+VLOOKUP(VLOOKUP(CK$1,main!$A$3:$I$102,7,FALSE),main!$K$26:$Q$29,5,FALSE)),1,0)</f>
        <v>0</v>
      </c>
      <c r="CL260">
        <f>IF(AND(VLOOKUP(CL$1,main!$A$3:$H$102,7,FALSE)=main!$G$105,VLOOKUP(CL$1,main!$A$3:$H$102,5,FALSE)-VLOOKUP($A260,main!$A$3:$H$102,6,FALSE)&gt;=main!$D$103+VLOOKUP(VLOOKUP(CL$1,main!$A$3:$I$102,7,FALSE),main!$K$26:$Q$29,5,FALSE)),1,0)</f>
        <v>0</v>
      </c>
      <c r="CM260">
        <f>IF(AND(VLOOKUP(CM$1,main!$A$3:$H$102,7,FALSE)=main!$G$105,VLOOKUP(CM$1,main!$A$3:$H$102,5,FALSE)-VLOOKUP($A260,main!$A$3:$H$102,6,FALSE)&gt;=main!$D$103+VLOOKUP(VLOOKUP(CM$1,main!$A$3:$I$102,7,FALSE),main!$K$26:$Q$29,5,FALSE)),1,0)</f>
        <v>0</v>
      </c>
      <c r="CN260">
        <f>IF(AND(VLOOKUP(CN$1,main!$A$3:$H$102,7,FALSE)=main!$G$105,VLOOKUP(CN$1,main!$A$3:$H$102,5,FALSE)-VLOOKUP($A260,main!$A$3:$H$102,6,FALSE)&gt;=main!$D$103+VLOOKUP(VLOOKUP(CN$1,main!$A$3:$I$102,7,FALSE),main!$K$26:$Q$29,5,FALSE)),1,0)</f>
        <v>0</v>
      </c>
      <c r="CO260">
        <f>IF(AND(VLOOKUP(CO$1,main!$A$3:$H$102,7,FALSE)=main!$G$105,VLOOKUP(CO$1,main!$A$3:$H$102,5,FALSE)-VLOOKUP($A260,main!$A$3:$H$102,6,FALSE)&gt;=main!$D$103+VLOOKUP(VLOOKUP(CO$1,main!$A$3:$I$102,7,FALSE),main!$K$26:$Q$29,5,FALSE)),1,0)</f>
        <v>0</v>
      </c>
      <c r="CP260">
        <f>IF(AND(VLOOKUP(CP$1,main!$A$3:$H$102,7,FALSE)=main!$G$105,VLOOKUP(CP$1,main!$A$3:$H$102,5,FALSE)-VLOOKUP($A260,main!$A$3:$H$102,6,FALSE)&gt;=main!$D$103+VLOOKUP(VLOOKUP(CP$1,main!$A$3:$I$102,7,FALSE),main!$K$26:$Q$29,5,FALSE)),1,0)</f>
        <v>0</v>
      </c>
      <c r="CQ260">
        <f>IF(AND(VLOOKUP(CQ$1,main!$A$3:$H$102,7,FALSE)=main!$G$105,VLOOKUP(CQ$1,main!$A$3:$H$102,5,FALSE)-VLOOKUP($A260,main!$A$3:$H$102,6,FALSE)&gt;=main!$D$103+VLOOKUP(VLOOKUP(CQ$1,main!$A$3:$I$102,7,FALSE),main!$K$26:$Q$29,5,FALSE)),1,0)</f>
        <v>0</v>
      </c>
      <c r="CR260">
        <f>IF(AND(VLOOKUP(CR$1,main!$A$3:$H$102,7,FALSE)=main!$G$105,VLOOKUP(CR$1,main!$A$3:$H$102,5,FALSE)-VLOOKUP($A260,main!$A$3:$H$102,6,FALSE)&gt;=main!$D$103+VLOOKUP(VLOOKUP(CR$1,main!$A$3:$I$102,7,FALSE),main!$K$26:$Q$29,5,FALSE)),1,0)</f>
        <v>0</v>
      </c>
      <c r="CS260">
        <f>IF(AND(VLOOKUP(CS$1,main!$A$3:$H$102,7,FALSE)=main!$G$105,VLOOKUP(CS$1,main!$A$3:$H$102,5,FALSE)-VLOOKUP($A260,main!$A$3:$H$102,6,FALSE)&gt;=main!$D$103+VLOOKUP(VLOOKUP(CS$1,main!$A$3:$I$102,7,FALSE),main!$K$26:$Q$29,5,FALSE)),1,0)</f>
        <v>0</v>
      </c>
      <c r="CT260">
        <f>IF(AND(VLOOKUP(CT$1,main!$A$3:$H$102,7,FALSE)=main!$G$105,VLOOKUP(CT$1,main!$A$3:$H$102,5,FALSE)-VLOOKUP($A260,main!$A$3:$H$102,6,FALSE)&gt;=main!$D$103+VLOOKUP(VLOOKUP(CT$1,main!$A$3:$I$102,7,FALSE),main!$K$26:$Q$29,5,FALSE)),1,0)</f>
        <v>0</v>
      </c>
      <c r="CU260">
        <f>IF(AND(VLOOKUP(CU$1,main!$A$3:$H$102,7,FALSE)=main!$G$105,VLOOKUP(CU$1,main!$A$3:$H$102,5,FALSE)-VLOOKUP($A260,main!$A$3:$H$102,6,FALSE)&gt;=main!$D$103+VLOOKUP(VLOOKUP(CU$1,main!$A$3:$I$102,7,FALSE),main!$K$26:$Q$29,5,FALSE)),1,0)</f>
        <v>0</v>
      </c>
      <c r="CV260">
        <f>IF(AND(VLOOKUP(CV$1,main!$A$3:$H$102,7,FALSE)=main!$G$105,VLOOKUP(CV$1,main!$A$3:$H$102,5,FALSE)-VLOOKUP($A260,main!$A$3:$H$102,6,FALSE)&gt;=main!$D$103+VLOOKUP(VLOOKUP(CV$1,main!$A$3:$I$102,7,FALSE),main!$K$26:$Q$29,5,FALSE)),1,0)</f>
        <v>0</v>
      </c>
      <c r="CW260">
        <f>IF(AND(VLOOKUP(CW$1,main!$A$3:$H$102,7,FALSE)=main!$G$105,VLOOKUP(CW$1,main!$A$3:$H$102,5,FALSE)-VLOOKUP($A260,main!$A$3:$H$102,6,FALSE)&gt;=main!$D$103+VLOOKUP(VLOOKUP(CW$1,main!$A$3:$I$102,7,FALSE),main!$K$26:$Q$29,5,FALSE)),1,0)</f>
        <v>0</v>
      </c>
      <c r="CX260">
        <f>IF(AND(VLOOKUP(CX$1,main!$A$3:$H$102,7,FALSE)=main!$G$105,VLOOKUP(CX$1,main!$A$3:$H$102,5,FALSE)-VLOOKUP($A260,main!$A$3:$H$102,6,FALSE)&gt;=main!$D$103+VLOOKUP(VLOOKUP(CX$1,main!$A$3:$I$102,7,FALSE),main!$K$26:$Q$29,5,FALSE)),1,0)</f>
        <v>0</v>
      </c>
    </row>
    <row r="261" spans="1:102" x14ac:dyDescent="0.25">
      <c r="A261" s="1">
        <v>57</v>
      </c>
      <c r="B261">
        <v>0</v>
      </c>
      <c r="C261">
        <f>IF(AND(VLOOKUP(C$1,main!$A$3:$H$102,7,FALSE)=main!$G$105,VLOOKUP(C$1,main!$A$3:$H$102,5,FALSE)-VLOOKUP($A261,main!$A$3:$H$102,6,FALSE)&gt;=main!$D$103+VLOOKUP(VLOOKUP(C$1,main!$A$3:$I$102,7,FALSE),main!$K$26:$Q$29,5,FALSE)),1,0)</f>
        <v>0</v>
      </c>
      <c r="D261">
        <f>IF(AND(VLOOKUP(D$1,main!$A$3:$H$102,7,FALSE)=main!$G$105,VLOOKUP(D$1,main!$A$3:$H$102,5,FALSE)-VLOOKUP($A261,main!$A$3:$H$102,6,FALSE)&gt;=main!$D$103+VLOOKUP(VLOOKUP(D$1,main!$A$3:$I$102,7,FALSE),main!$K$26:$Q$29,5,FALSE)),1,0)</f>
        <v>0</v>
      </c>
      <c r="E261">
        <f>IF(AND(VLOOKUP(E$1,main!$A$3:$H$102,7,FALSE)=main!$G$105,VLOOKUP(E$1,main!$A$3:$H$102,5,FALSE)-VLOOKUP($A261,main!$A$3:$H$102,6,FALSE)&gt;=main!$D$103+VLOOKUP(VLOOKUP(E$1,main!$A$3:$I$102,7,FALSE),main!$K$26:$Q$29,5,FALSE)),1,0)</f>
        <v>0</v>
      </c>
      <c r="F261">
        <f>IF(AND(VLOOKUP(F$1,main!$A$3:$H$102,7,FALSE)=main!$G$105,VLOOKUP(F$1,main!$A$3:$H$102,5,FALSE)-VLOOKUP($A261,main!$A$3:$H$102,6,FALSE)&gt;=main!$D$103+VLOOKUP(VLOOKUP(F$1,main!$A$3:$I$102,7,FALSE),main!$K$26:$Q$29,5,FALSE)),1,0)</f>
        <v>0</v>
      </c>
      <c r="G261">
        <f>IF(AND(VLOOKUP(G$1,main!$A$3:$H$102,7,FALSE)=main!$G$105,VLOOKUP(G$1,main!$A$3:$H$102,5,FALSE)-VLOOKUP($A261,main!$A$3:$H$102,6,FALSE)&gt;=main!$D$103+VLOOKUP(VLOOKUP(G$1,main!$A$3:$I$102,7,FALSE),main!$K$26:$Q$29,5,FALSE)),1,0)</f>
        <v>0</v>
      </c>
      <c r="H261">
        <f>IF(AND(VLOOKUP(H$1,main!$A$3:$H$102,7,FALSE)=main!$G$105,VLOOKUP(H$1,main!$A$3:$H$102,5,FALSE)-VLOOKUP($A261,main!$A$3:$H$102,6,FALSE)&gt;=main!$D$103+VLOOKUP(VLOOKUP(H$1,main!$A$3:$I$102,7,FALSE),main!$K$26:$Q$29,5,FALSE)),1,0)</f>
        <v>0</v>
      </c>
      <c r="I261">
        <f>IF(AND(VLOOKUP(I$1,main!$A$3:$H$102,7,FALSE)=main!$G$105,VLOOKUP(I$1,main!$A$3:$H$102,5,FALSE)-VLOOKUP($A261,main!$A$3:$H$102,6,FALSE)&gt;=main!$D$103+VLOOKUP(VLOOKUP(I$1,main!$A$3:$I$102,7,FALSE),main!$K$26:$Q$29,5,FALSE)),1,0)</f>
        <v>0</v>
      </c>
      <c r="J261">
        <f>IF(AND(VLOOKUP(J$1,main!$A$3:$H$102,7,FALSE)=main!$G$105,VLOOKUP(J$1,main!$A$3:$H$102,5,FALSE)-VLOOKUP($A261,main!$A$3:$H$102,6,FALSE)&gt;=main!$D$103+VLOOKUP(VLOOKUP(J$1,main!$A$3:$I$102,7,FALSE),main!$K$26:$Q$29,5,FALSE)),1,0)</f>
        <v>0</v>
      </c>
      <c r="K261">
        <f>IF(AND(VLOOKUP(K$1,main!$A$3:$H$102,7,FALSE)=main!$G$105,VLOOKUP(K$1,main!$A$3:$H$102,5,FALSE)-VLOOKUP($A261,main!$A$3:$H$102,6,FALSE)&gt;=main!$D$103+VLOOKUP(VLOOKUP(K$1,main!$A$3:$I$102,7,FALSE),main!$K$26:$Q$29,5,FALSE)),1,0)</f>
        <v>0</v>
      </c>
      <c r="L261">
        <f>IF(AND(VLOOKUP(L$1,main!$A$3:$H$102,7,FALSE)=main!$G$105,VLOOKUP(L$1,main!$A$3:$H$102,5,FALSE)-VLOOKUP($A261,main!$A$3:$H$102,6,FALSE)&gt;=main!$D$103+VLOOKUP(VLOOKUP(L$1,main!$A$3:$I$102,7,FALSE),main!$K$26:$Q$29,5,FALSE)),1,0)</f>
        <v>0</v>
      </c>
      <c r="M261">
        <f>IF(AND(VLOOKUP(M$1,main!$A$3:$H$102,7,FALSE)=main!$G$105,VLOOKUP(M$1,main!$A$3:$H$102,5,FALSE)-VLOOKUP($A261,main!$A$3:$H$102,6,FALSE)&gt;=main!$D$103+VLOOKUP(VLOOKUP(M$1,main!$A$3:$I$102,7,FALSE),main!$K$26:$Q$29,5,FALSE)),1,0)</f>
        <v>0</v>
      </c>
      <c r="N261">
        <f>IF(AND(VLOOKUP(N$1,main!$A$3:$H$102,7,FALSE)=main!$G$105,VLOOKUP(N$1,main!$A$3:$H$102,5,FALSE)-VLOOKUP($A261,main!$A$3:$H$102,6,FALSE)&gt;=main!$D$103+VLOOKUP(VLOOKUP(N$1,main!$A$3:$I$102,7,FALSE),main!$K$26:$Q$29,5,FALSE)),1,0)</f>
        <v>0</v>
      </c>
      <c r="O261">
        <f>IF(AND(VLOOKUP(O$1,main!$A$3:$H$102,7,FALSE)=main!$G$105,VLOOKUP(O$1,main!$A$3:$H$102,5,FALSE)-VLOOKUP($A261,main!$A$3:$H$102,6,FALSE)&gt;=main!$D$103+VLOOKUP(VLOOKUP(O$1,main!$A$3:$I$102,7,FALSE),main!$K$26:$Q$29,5,FALSE)),1,0)</f>
        <v>0</v>
      </c>
      <c r="P261">
        <f>IF(AND(VLOOKUP(P$1,main!$A$3:$H$102,7,FALSE)=main!$G$105,VLOOKUP(P$1,main!$A$3:$H$102,5,FALSE)-VLOOKUP($A261,main!$A$3:$H$102,6,FALSE)&gt;=main!$D$103+VLOOKUP(VLOOKUP(P$1,main!$A$3:$I$102,7,FALSE),main!$K$26:$Q$29,5,FALSE)),1,0)</f>
        <v>0</v>
      </c>
      <c r="Q261">
        <f>IF(AND(VLOOKUP(Q$1,main!$A$3:$H$102,7,FALSE)=main!$G$105,VLOOKUP(Q$1,main!$A$3:$H$102,5,FALSE)-VLOOKUP($A261,main!$A$3:$H$102,6,FALSE)&gt;=main!$D$103+VLOOKUP(VLOOKUP(Q$1,main!$A$3:$I$102,7,FALSE),main!$K$26:$Q$29,5,FALSE)),1,0)</f>
        <v>0</v>
      </c>
      <c r="R261">
        <f>IF(AND(VLOOKUP(R$1,main!$A$3:$H$102,7,FALSE)=main!$G$105,VLOOKUP(R$1,main!$A$3:$H$102,5,FALSE)-VLOOKUP($A261,main!$A$3:$H$102,6,FALSE)&gt;=main!$D$103+VLOOKUP(VLOOKUP(R$1,main!$A$3:$I$102,7,FALSE),main!$K$26:$Q$29,5,FALSE)),1,0)</f>
        <v>0</v>
      </c>
      <c r="S261">
        <f>IF(AND(VLOOKUP(S$1,main!$A$3:$H$102,7,FALSE)=main!$G$105,VLOOKUP(S$1,main!$A$3:$H$102,5,FALSE)-VLOOKUP($A261,main!$A$3:$H$102,6,FALSE)&gt;=main!$D$103+VLOOKUP(VLOOKUP(S$1,main!$A$3:$I$102,7,FALSE),main!$K$26:$Q$29,5,FALSE)),1,0)</f>
        <v>0</v>
      </c>
      <c r="T261">
        <f>IF(AND(VLOOKUP(T$1,main!$A$3:$H$102,7,FALSE)=main!$G$105,VLOOKUP(T$1,main!$A$3:$H$102,5,FALSE)-VLOOKUP($A261,main!$A$3:$H$102,6,FALSE)&gt;=main!$D$103+VLOOKUP(VLOOKUP(T$1,main!$A$3:$I$102,7,FALSE),main!$K$26:$Q$29,5,FALSE)),1,0)</f>
        <v>0</v>
      </c>
      <c r="U261">
        <f>IF(AND(VLOOKUP(U$1,main!$A$3:$H$102,7,FALSE)=main!$G$105,VLOOKUP(U$1,main!$A$3:$H$102,5,FALSE)-VLOOKUP($A261,main!$A$3:$H$102,6,FALSE)&gt;=main!$D$103+VLOOKUP(VLOOKUP(U$1,main!$A$3:$I$102,7,FALSE),main!$K$26:$Q$29,5,FALSE)),1,0)</f>
        <v>0</v>
      </c>
      <c r="V261">
        <f>IF(AND(VLOOKUP(V$1,main!$A$3:$H$102,7,FALSE)=main!$G$105,VLOOKUP(V$1,main!$A$3:$H$102,5,FALSE)-VLOOKUP($A261,main!$A$3:$H$102,6,FALSE)&gt;=main!$D$103+VLOOKUP(VLOOKUP(V$1,main!$A$3:$I$102,7,FALSE),main!$K$26:$Q$29,5,FALSE)),1,0)</f>
        <v>0</v>
      </c>
      <c r="W261">
        <f>IF(AND(VLOOKUP(W$1,main!$A$3:$H$102,7,FALSE)=main!$G$105,VLOOKUP(W$1,main!$A$3:$H$102,5,FALSE)-VLOOKUP($A261,main!$A$3:$H$102,6,FALSE)&gt;=main!$D$103+VLOOKUP(VLOOKUP(W$1,main!$A$3:$I$102,7,FALSE),main!$K$26:$Q$29,5,FALSE)),1,0)</f>
        <v>0</v>
      </c>
      <c r="X261">
        <f>IF(AND(VLOOKUP(X$1,main!$A$3:$H$102,7,FALSE)=main!$G$105,VLOOKUP(X$1,main!$A$3:$H$102,5,FALSE)-VLOOKUP($A261,main!$A$3:$H$102,6,FALSE)&gt;=main!$D$103+VLOOKUP(VLOOKUP(X$1,main!$A$3:$I$102,7,FALSE),main!$K$26:$Q$29,5,FALSE)),1,0)</f>
        <v>0</v>
      </c>
      <c r="Y261">
        <f>IF(AND(VLOOKUP(Y$1,main!$A$3:$H$102,7,FALSE)=main!$G$105,VLOOKUP(Y$1,main!$A$3:$H$102,5,FALSE)-VLOOKUP($A261,main!$A$3:$H$102,6,FALSE)&gt;=main!$D$103+VLOOKUP(VLOOKUP(Y$1,main!$A$3:$I$102,7,FALSE),main!$K$26:$Q$29,5,FALSE)),1,0)</f>
        <v>0</v>
      </c>
      <c r="Z261">
        <f>IF(AND(VLOOKUP(Z$1,main!$A$3:$H$102,7,FALSE)=main!$G$105,VLOOKUP(Z$1,main!$A$3:$H$102,5,FALSE)-VLOOKUP($A261,main!$A$3:$H$102,6,FALSE)&gt;=main!$D$103+VLOOKUP(VLOOKUP(Z$1,main!$A$3:$I$102,7,FALSE),main!$K$26:$Q$29,5,FALSE)),1,0)</f>
        <v>0</v>
      </c>
      <c r="AA261">
        <f>IF(AND(VLOOKUP(AA$1,main!$A$3:$H$102,7,FALSE)=main!$G$105,VLOOKUP(AA$1,main!$A$3:$H$102,5,FALSE)-VLOOKUP($A261,main!$A$3:$H$102,6,FALSE)&gt;=main!$D$103+VLOOKUP(VLOOKUP(AA$1,main!$A$3:$I$102,7,FALSE),main!$K$26:$Q$29,5,FALSE)),1,0)</f>
        <v>0</v>
      </c>
      <c r="AB261">
        <f>IF(AND(VLOOKUP(AB$1,main!$A$3:$H$102,7,FALSE)=main!$G$105,VLOOKUP(AB$1,main!$A$3:$H$102,5,FALSE)-VLOOKUP($A261,main!$A$3:$H$102,6,FALSE)&gt;=main!$D$103+VLOOKUP(VLOOKUP(AB$1,main!$A$3:$I$102,7,FALSE),main!$K$26:$Q$29,5,FALSE)),1,0)</f>
        <v>0</v>
      </c>
      <c r="AC261">
        <f>IF(AND(VLOOKUP(AC$1,main!$A$3:$H$102,7,FALSE)=main!$G$105,VLOOKUP(AC$1,main!$A$3:$H$102,5,FALSE)-VLOOKUP($A261,main!$A$3:$H$102,6,FALSE)&gt;=main!$D$103+VLOOKUP(VLOOKUP(AC$1,main!$A$3:$I$102,7,FALSE),main!$K$26:$Q$29,5,FALSE)),1,0)</f>
        <v>0</v>
      </c>
      <c r="AD261">
        <f>IF(AND(VLOOKUP(AD$1,main!$A$3:$H$102,7,FALSE)=main!$G$105,VLOOKUP(AD$1,main!$A$3:$H$102,5,FALSE)-VLOOKUP($A261,main!$A$3:$H$102,6,FALSE)&gt;=main!$D$103+VLOOKUP(VLOOKUP(AD$1,main!$A$3:$I$102,7,FALSE),main!$K$26:$Q$29,5,FALSE)),1,0)</f>
        <v>0</v>
      </c>
      <c r="AE261">
        <f>IF(AND(VLOOKUP(AE$1,main!$A$3:$H$102,7,FALSE)=main!$G$105,VLOOKUP(AE$1,main!$A$3:$H$102,5,FALSE)-VLOOKUP($A261,main!$A$3:$H$102,6,FALSE)&gt;=main!$D$103+VLOOKUP(VLOOKUP(AE$1,main!$A$3:$I$102,7,FALSE),main!$K$26:$Q$29,5,FALSE)),1,0)</f>
        <v>0</v>
      </c>
      <c r="AF261">
        <f>IF(AND(VLOOKUP(AF$1,main!$A$3:$H$102,7,FALSE)=main!$G$105,VLOOKUP(AF$1,main!$A$3:$H$102,5,FALSE)-VLOOKUP($A261,main!$A$3:$H$102,6,FALSE)&gt;=main!$D$103+VLOOKUP(VLOOKUP(AF$1,main!$A$3:$I$102,7,FALSE),main!$K$26:$Q$29,5,FALSE)),1,0)</f>
        <v>0</v>
      </c>
      <c r="AG261">
        <f>IF(AND(VLOOKUP(AG$1,main!$A$3:$H$102,7,FALSE)=main!$G$105,VLOOKUP(AG$1,main!$A$3:$H$102,5,FALSE)-VLOOKUP($A261,main!$A$3:$H$102,6,FALSE)&gt;=main!$D$103+VLOOKUP(VLOOKUP(AG$1,main!$A$3:$I$102,7,FALSE),main!$K$26:$Q$29,5,FALSE)),1,0)</f>
        <v>0</v>
      </c>
      <c r="AH261">
        <f>IF(AND(VLOOKUP(AH$1,main!$A$3:$H$102,7,FALSE)=main!$G$105,VLOOKUP(AH$1,main!$A$3:$H$102,5,FALSE)-VLOOKUP($A261,main!$A$3:$H$102,6,FALSE)&gt;=main!$D$103+VLOOKUP(VLOOKUP(AH$1,main!$A$3:$I$102,7,FALSE),main!$K$26:$Q$29,5,FALSE)),1,0)</f>
        <v>0</v>
      </c>
      <c r="AI261">
        <f>IF(AND(VLOOKUP(AI$1,main!$A$3:$H$102,7,FALSE)=main!$G$105,VLOOKUP(AI$1,main!$A$3:$H$102,5,FALSE)-VLOOKUP($A261,main!$A$3:$H$102,6,FALSE)&gt;=main!$D$103+VLOOKUP(VLOOKUP(AI$1,main!$A$3:$I$102,7,FALSE),main!$K$26:$Q$29,5,FALSE)),1,0)</f>
        <v>0</v>
      </c>
      <c r="AJ261">
        <f>IF(AND(VLOOKUP(AJ$1,main!$A$3:$H$102,7,FALSE)=main!$G$105,VLOOKUP(AJ$1,main!$A$3:$H$102,5,FALSE)-VLOOKUP($A261,main!$A$3:$H$102,6,FALSE)&gt;=main!$D$103+VLOOKUP(VLOOKUP(AJ$1,main!$A$3:$I$102,7,FALSE),main!$K$26:$Q$29,5,FALSE)),1,0)</f>
        <v>1</v>
      </c>
      <c r="AK261">
        <f>IF(AND(VLOOKUP(AK$1,main!$A$3:$H$102,7,FALSE)=main!$G$105,VLOOKUP(AK$1,main!$A$3:$H$102,5,FALSE)-VLOOKUP($A261,main!$A$3:$H$102,6,FALSE)&gt;=main!$D$103+VLOOKUP(VLOOKUP(AK$1,main!$A$3:$I$102,7,FALSE),main!$K$26:$Q$29,5,FALSE)),1,0)</f>
        <v>1</v>
      </c>
      <c r="AL261">
        <f>IF(AND(VLOOKUP(AL$1,main!$A$3:$H$102,7,FALSE)=main!$G$105,VLOOKUP(AL$1,main!$A$3:$H$102,5,FALSE)-VLOOKUP($A261,main!$A$3:$H$102,6,FALSE)&gt;=main!$D$103+VLOOKUP(VLOOKUP(AL$1,main!$A$3:$I$102,7,FALSE),main!$K$26:$Q$29,5,FALSE)),1,0)</f>
        <v>1</v>
      </c>
      <c r="AM261">
        <f>IF(AND(VLOOKUP(AM$1,main!$A$3:$H$102,7,FALSE)=main!$G$105,VLOOKUP(AM$1,main!$A$3:$H$102,5,FALSE)-VLOOKUP($A261,main!$A$3:$H$102,6,FALSE)&gt;=main!$D$103+VLOOKUP(VLOOKUP(AM$1,main!$A$3:$I$102,7,FALSE),main!$K$26:$Q$29,5,FALSE)),1,0)</f>
        <v>1</v>
      </c>
      <c r="AN261">
        <f>IF(AND(VLOOKUP(AN$1,main!$A$3:$H$102,7,FALSE)=main!$G$105,VLOOKUP(AN$1,main!$A$3:$H$102,5,FALSE)-VLOOKUP($A261,main!$A$3:$H$102,6,FALSE)&gt;=main!$D$103+VLOOKUP(VLOOKUP(AN$1,main!$A$3:$I$102,7,FALSE),main!$K$26:$Q$29,5,FALSE)),1,0)</f>
        <v>1</v>
      </c>
      <c r="AO261">
        <f>IF(AND(VLOOKUP(AO$1,main!$A$3:$H$102,7,FALSE)=main!$G$105,VLOOKUP(AO$1,main!$A$3:$H$102,5,FALSE)-VLOOKUP($A261,main!$A$3:$H$102,6,FALSE)&gt;=main!$D$103+VLOOKUP(VLOOKUP(AO$1,main!$A$3:$I$102,7,FALSE),main!$K$26:$Q$29,5,FALSE)),1,0)</f>
        <v>0</v>
      </c>
      <c r="AP261">
        <f>IF(AND(VLOOKUP(AP$1,main!$A$3:$H$102,7,FALSE)=main!$G$105,VLOOKUP(AP$1,main!$A$3:$H$102,5,FALSE)-VLOOKUP($A261,main!$A$3:$H$102,6,FALSE)&gt;=main!$D$103+VLOOKUP(VLOOKUP(AP$1,main!$A$3:$I$102,7,FALSE),main!$K$26:$Q$29,5,FALSE)),1,0)</f>
        <v>1</v>
      </c>
      <c r="AQ261">
        <f>IF(AND(VLOOKUP(AQ$1,main!$A$3:$H$102,7,FALSE)=main!$G$105,VLOOKUP(AQ$1,main!$A$3:$H$102,5,FALSE)-VLOOKUP($A261,main!$A$3:$H$102,6,FALSE)&gt;=main!$D$103+VLOOKUP(VLOOKUP(AQ$1,main!$A$3:$I$102,7,FALSE),main!$K$26:$Q$29,5,FALSE)),1,0)</f>
        <v>0</v>
      </c>
      <c r="AR261">
        <f>IF(AND(VLOOKUP(AR$1,main!$A$3:$H$102,7,FALSE)=main!$G$105,VLOOKUP(AR$1,main!$A$3:$H$102,5,FALSE)-VLOOKUP($A261,main!$A$3:$H$102,6,FALSE)&gt;=main!$D$103+VLOOKUP(VLOOKUP(AR$1,main!$A$3:$I$102,7,FALSE),main!$K$26:$Q$29,5,FALSE)),1,0)</f>
        <v>0</v>
      </c>
      <c r="AS261">
        <f>IF(AND(VLOOKUP(AS$1,main!$A$3:$H$102,7,FALSE)=main!$G$105,VLOOKUP(AS$1,main!$A$3:$H$102,5,FALSE)-VLOOKUP($A261,main!$A$3:$H$102,6,FALSE)&gt;=main!$D$103+VLOOKUP(VLOOKUP(AS$1,main!$A$3:$I$102,7,FALSE),main!$K$26:$Q$29,5,FALSE)),1,0)</f>
        <v>0</v>
      </c>
      <c r="AT261">
        <f>IF(AND(VLOOKUP(AT$1,main!$A$3:$H$102,7,FALSE)=main!$G$105,VLOOKUP(AT$1,main!$A$3:$H$102,5,FALSE)-VLOOKUP($A261,main!$A$3:$H$102,6,FALSE)&gt;=main!$D$103+VLOOKUP(VLOOKUP(AT$1,main!$A$3:$I$102,7,FALSE),main!$K$26:$Q$29,5,FALSE)),1,0)</f>
        <v>1</v>
      </c>
      <c r="AU261">
        <f>IF(AND(VLOOKUP(AU$1,main!$A$3:$H$102,7,FALSE)=main!$G$105,VLOOKUP(AU$1,main!$A$3:$H$102,5,FALSE)-VLOOKUP($A261,main!$A$3:$H$102,6,FALSE)&gt;=main!$D$103+VLOOKUP(VLOOKUP(AU$1,main!$A$3:$I$102,7,FALSE),main!$K$26:$Q$29,5,FALSE)),1,0)</f>
        <v>0</v>
      </c>
      <c r="AV261">
        <f>IF(AND(VLOOKUP(AV$1,main!$A$3:$H$102,7,FALSE)=main!$G$105,VLOOKUP(AV$1,main!$A$3:$H$102,5,FALSE)-VLOOKUP($A261,main!$A$3:$H$102,6,FALSE)&gt;=main!$D$103+VLOOKUP(VLOOKUP(AV$1,main!$A$3:$I$102,7,FALSE),main!$K$26:$Q$29,5,FALSE)),1,0)</f>
        <v>0</v>
      </c>
      <c r="AW261">
        <f>IF(AND(VLOOKUP(AW$1,main!$A$3:$H$102,7,FALSE)=main!$G$105,VLOOKUP(AW$1,main!$A$3:$H$102,5,FALSE)-VLOOKUP($A261,main!$A$3:$H$102,6,FALSE)&gt;=main!$D$103+VLOOKUP(VLOOKUP(AW$1,main!$A$3:$I$102,7,FALSE),main!$K$26:$Q$29,5,FALSE)),1,0)</f>
        <v>1</v>
      </c>
      <c r="AX261">
        <f>IF(AND(VLOOKUP(AX$1,main!$A$3:$H$102,7,FALSE)=main!$G$105,VLOOKUP(AX$1,main!$A$3:$H$102,5,FALSE)-VLOOKUP($A261,main!$A$3:$H$102,6,FALSE)&gt;=main!$D$103+VLOOKUP(VLOOKUP(AX$1,main!$A$3:$I$102,7,FALSE),main!$K$26:$Q$29,5,FALSE)),1,0)</f>
        <v>0</v>
      </c>
      <c r="AY261">
        <f>IF(AND(VLOOKUP(AY$1,main!$A$3:$H$102,7,FALSE)=main!$G$105,VLOOKUP(AY$1,main!$A$3:$H$102,5,FALSE)-VLOOKUP($A261,main!$A$3:$H$102,6,FALSE)&gt;=main!$D$103+VLOOKUP(VLOOKUP(AY$1,main!$A$3:$I$102,7,FALSE),main!$K$26:$Q$29,5,FALSE)),1,0)</f>
        <v>0</v>
      </c>
      <c r="AZ261">
        <f>IF(AND(VLOOKUP(AZ$1,main!$A$3:$H$102,7,FALSE)=main!$G$105,VLOOKUP(AZ$1,main!$A$3:$H$102,5,FALSE)-VLOOKUP($A261,main!$A$3:$H$102,6,FALSE)&gt;=main!$D$103+VLOOKUP(VLOOKUP(AZ$1,main!$A$3:$I$102,7,FALSE),main!$K$26:$Q$29,5,FALSE)),1,0)</f>
        <v>0</v>
      </c>
      <c r="BA261">
        <f>IF(AND(VLOOKUP(BA$1,main!$A$3:$H$102,7,FALSE)=main!$G$105,VLOOKUP(BA$1,main!$A$3:$H$102,5,FALSE)-VLOOKUP($A261,main!$A$3:$H$102,6,FALSE)&gt;=main!$D$103+VLOOKUP(VLOOKUP(BA$1,main!$A$3:$I$102,7,FALSE),main!$K$26:$Q$29,5,FALSE)),1,0)</f>
        <v>0</v>
      </c>
      <c r="BB261">
        <f>IF(AND(VLOOKUP(BB$1,main!$A$3:$H$102,7,FALSE)=main!$G$105,VLOOKUP(BB$1,main!$A$3:$H$102,5,FALSE)-VLOOKUP($A261,main!$A$3:$H$102,6,FALSE)&gt;=main!$D$103+VLOOKUP(VLOOKUP(BB$1,main!$A$3:$I$102,7,FALSE),main!$K$26:$Q$29,5,FALSE)),1,0)</f>
        <v>0</v>
      </c>
      <c r="BC261">
        <f>IF(AND(VLOOKUP(BC$1,main!$A$3:$H$102,7,FALSE)=main!$G$105,VLOOKUP(BC$1,main!$A$3:$H$102,5,FALSE)-VLOOKUP($A261,main!$A$3:$H$102,6,FALSE)&gt;=main!$D$103+VLOOKUP(VLOOKUP(BC$1,main!$A$3:$I$102,7,FALSE),main!$K$26:$Q$29,5,FALSE)),1,0)</f>
        <v>0</v>
      </c>
      <c r="BD261">
        <f>IF(AND(VLOOKUP(BD$1,main!$A$3:$H$102,7,FALSE)=main!$G$105,VLOOKUP(BD$1,main!$A$3:$H$102,5,FALSE)-VLOOKUP($A261,main!$A$3:$H$102,6,FALSE)&gt;=main!$D$103+VLOOKUP(VLOOKUP(BD$1,main!$A$3:$I$102,7,FALSE),main!$K$26:$Q$29,5,FALSE)),1,0)</f>
        <v>0</v>
      </c>
      <c r="BE261">
        <f>IF(AND(VLOOKUP(BE$1,main!$A$3:$H$102,7,FALSE)=main!$G$105,VLOOKUP(BE$1,main!$A$3:$H$102,5,FALSE)-VLOOKUP($A261,main!$A$3:$H$102,6,FALSE)&gt;=main!$D$103+VLOOKUP(VLOOKUP(BE$1,main!$A$3:$I$102,7,FALSE),main!$K$26:$Q$29,5,FALSE)),1,0)</f>
        <v>0</v>
      </c>
      <c r="BF261">
        <f>IF(AND(VLOOKUP(BF$1,main!$A$3:$H$102,7,FALSE)=main!$G$105,VLOOKUP(BF$1,main!$A$3:$H$102,5,FALSE)-VLOOKUP($A261,main!$A$3:$H$102,6,FALSE)&gt;=main!$D$103+VLOOKUP(VLOOKUP(BF$1,main!$A$3:$I$102,7,FALSE),main!$K$26:$Q$29,5,FALSE)),1,0)</f>
        <v>0</v>
      </c>
      <c r="BG261">
        <f>IF(AND(VLOOKUP(BG$1,main!$A$3:$H$102,7,FALSE)=main!$G$105,VLOOKUP(BG$1,main!$A$3:$H$102,5,FALSE)-VLOOKUP($A261,main!$A$3:$H$102,6,FALSE)&gt;=main!$D$103+VLOOKUP(VLOOKUP(BG$1,main!$A$3:$I$102,7,FALSE),main!$K$26:$Q$29,5,FALSE)),1,0)</f>
        <v>0</v>
      </c>
      <c r="BH261">
        <f>IF(AND(VLOOKUP(BH$1,main!$A$3:$H$102,7,FALSE)=main!$G$105,VLOOKUP(BH$1,main!$A$3:$H$102,5,FALSE)-VLOOKUP($A261,main!$A$3:$H$102,6,FALSE)&gt;=main!$D$103+VLOOKUP(VLOOKUP(BH$1,main!$A$3:$I$102,7,FALSE),main!$K$26:$Q$29,5,FALSE)),1,0)</f>
        <v>0</v>
      </c>
      <c r="BI261">
        <f>IF(AND(VLOOKUP(BI$1,main!$A$3:$H$102,7,FALSE)=main!$G$105,VLOOKUP(BI$1,main!$A$3:$H$102,5,FALSE)-VLOOKUP($A261,main!$A$3:$H$102,6,FALSE)&gt;=main!$D$103+VLOOKUP(VLOOKUP(BI$1,main!$A$3:$I$102,7,FALSE),main!$K$26:$Q$29,5,FALSE)),1,0)</f>
        <v>0</v>
      </c>
      <c r="BJ261">
        <f>IF(AND(VLOOKUP(BJ$1,main!$A$3:$H$102,7,FALSE)=main!$G$105,VLOOKUP(BJ$1,main!$A$3:$H$102,5,FALSE)-VLOOKUP($A261,main!$A$3:$H$102,6,FALSE)&gt;=main!$D$103+VLOOKUP(VLOOKUP(BJ$1,main!$A$3:$I$102,7,FALSE),main!$K$26:$Q$29,5,FALSE)),1,0)</f>
        <v>0</v>
      </c>
      <c r="BK261">
        <f>IF(AND(VLOOKUP(BK$1,main!$A$3:$H$102,7,FALSE)=main!$G$105,VLOOKUP(BK$1,main!$A$3:$H$102,5,FALSE)-VLOOKUP($A261,main!$A$3:$H$102,6,FALSE)&gt;=main!$D$103+VLOOKUP(VLOOKUP(BK$1,main!$A$3:$I$102,7,FALSE),main!$K$26:$Q$29,5,FALSE)),1,0)</f>
        <v>0</v>
      </c>
      <c r="BL261">
        <f>IF(AND(VLOOKUP(BL$1,main!$A$3:$H$102,7,FALSE)=main!$G$105,VLOOKUP(BL$1,main!$A$3:$H$102,5,FALSE)-VLOOKUP($A261,main!$A$3:$H$102,6,FALSE)&gt;=main!$D$103+VLOOKUP(VLOOKUP(BL$1,main!$A$3:$I$102,7,FALSE),main!$K$26:$Q$29,5,FALSE)),1,0)</f>
        <v>0</v>
      </c>
      <c r="BM261">
        <f>IF(AND(VLOOKUP(BM$1,main!$A$3:$H$102,7,FALSE)=main!$G$105,VLOOKUP(BM$1,main!$A$3:$H$102,5,FALSE)-VLOOKUP($A261,main!$A$3:$H$102,6,FALSE)&gt;=main!$D$103+VLOOKUP(VLOOKUP(BM$1,main!$A$3:$I$102,7,FALSE),main!$K$26:$Q$29,5,FALSE)),1,0)</f>
        <v>0</v>
      </c>
      <c r="BN261">
        <f>IF(AND(VLOOKUP(BN$1,main!$A$3:$H$102,7,FALSE)=main!$G$105,VLOOKUP(BN$1,main!$A$3:$H$102,5,FALSE)-VLOOKUP($A261,main!$A$3:$H$102,6,FALSE)&gt;=main!$D$103+VLOOKUP(VLOOKUP(BN$1,main!$A$3:$I$102,7,FALSE),main!$K$26:$Q$29,5,FALSE)),1,0)</f>
        <v>0</v>
      </c>
      <c r="BO261">
        <f>IF(AND(VLOOKUP(BO$1,main!$A$3:$H$102,7,FALSE)=main!$G$105,VLOOKUP(BO$1,main!$A$3:$H$102,5,FALSE)-VLOOKUP($A261,main!$A$3:$H$102,6,FALSE)&gt;=main!$D$103+VLOOKUP(VLOOKUP(BO$1,main!$A$3:$I$102,7,FALSE),main!$K$26:$Q$29,5,FALSE)),1,0)</f>
        <v>0</v>
      </c>
      <c r="BP261">
        <f>IF(AND(VLOOKUP(BP$1,main!$A$3:$H$102,7,FALSE)=main!$G$105,VLOOKUP(BP$1,main!$A$3:$H$102,5,FALSE)-VLOOKUP($A261,main!$A$3:$H$102,6,FALSE)&gt;=main!$D$103+VLOOKUP(VLOOKUP(BP$1,main!$A$3:$I$102,7,FALSE),main!$K$26:$Q$29,5,FALSE)),1,0)</f>
        <v>0</v>
      </c>
      <c r="BQ261">
        <f>IF(AND(VLOOKUP(BQ$1,main!$A$3:$H$102,7,FALSE)=main!$G$105,VLOOKUP(BQ$1,main!$A$3:$H$102,5,FALSE)-VLOOKUP($A261,main!$A$3:$H$102,6,FALSE)&gt;=main!$D$103+VLOOKUP(VLOOKUP(BQ$1,main!$A$3:$I$102,7,FALSE),main!$K$26:$Q$29,5,FALSE)),1,0)</f>
        <v>0</v>
      </c>
      <c r="BR261">
        <f>IF(AND(VLOOKUP(BR$1,main!$A$3:$H$102,7,FALSE)=main!$G$105,VLOOKUP(BR$1,main!$A$3:$H$102,5,FALSE)-VLOOKUP($A261,main!$A$3:$H$102,6,FALSE)&gt;=main!$D$103+VLOOKUP(VLOOKUP(BR$1,main!$A$3:$I$102,7,FALSE),main!$K$26:$Q$29,5,FALSE)),1,0)</f>
        <v>0</v>
      </c>
      <c r="BS261">
        <f>IF(AND(VLOOKUP(BS$1,main!$A$3:$H$102,7,FALSE)=main!$G$105,VLOOKUP(BS$1,main!$A$3:$H$102,5,FALSE)-VLOOKUP($A261,main!$A$3:$H$102,6,FALSE)&gt;=main!$D$103+VLOOKUP(VLOOKUP(BS$1,main!$A$3:$I$102,7,FALSE),main!$K$26:$Q$29,5,FALSE)),1,0)</f>
        <v>0</v>
      </c>
      <c r="BT261">
        <f>IF(AND(VLOOKUP(BT$1,main!$A$3:$H$102,7,FALSE)=main!$G$105,VLOOKUP(BT$1,main!$A$3:$H$102,5,FALSE)-VLOOKUP($A261,main!$A$3:$H$102,6,FALSE)&gt;=main!$D$103+VLOOKUP(VLOOKUP(BT$1,main!$A$3:$I$102,7,FALSE),main!$K$26:$Q$29,5,FALSE)),1,0)</f>
        <v>0</v>
      </c>
      <c r="BU261">
        <f>IF(AND(VLOOKUP(BU$1,main!$A$3:$H$102,7,FALSE)=main!$G$105,VLOOKUP(BU$1,main!$A$3:$H$102,5,FALSE)-VLOOKUP($A261,main!$A$3:$H$102,6,FALSE)&gt;=main!$D$103+VLOOKUP(VLOOKUP(BU$1,main!$A$3:$I$102,7,FALSE),main!$K$26:$Q$29,5,FALSE)),1,0)</f>
        <v>0</v>
      </c>
      <c r="BV261">
        <f>IF(AND(VLOOKUP(BV$1,main!$A$3:$H$102,7,FALSE)=main!$G$105,VLOOKUP(BV$1,main!$A$3:$H$102,5,FALSE)-VLOOKUP($A261,main!$A$3:$H$102,6,FALSE)&gt;=main!$D$103+VLOOKUP(VLOOKUP(BV$1,main!$A$3:$I$102,7,FALSE),main!$K$26:$Q$29,5,FALSE)),1,0)</f>
        <v>0</v>
      </c>
      <c r="BW261">
        <f>IF(AND(VLOOKUP(BW$1,main!$A$3:$H$102,7,FALSE)=main!$G$105,VLOOKUP(BW$1,main!$A$3:$H$102,5,FALSE)-VLOOKUP($A261,main!$A$3:$H$102,6,FALSE)&gt;=main!$D$103+VLOOKUP(VLOOKUP(BW$1,main!$A$3:$I$102,7,FALSE),main!$K$26:$Q$29,5,FALSE)),1,0)</f>
        <v>0</v>
      </c>
      <c r="BX261">
        <f>IF(AND(VLOOKUP(BX$1,main!$A$3:$H$102,7,FALSE)=main!$G$105,VLOOKUP(BX$1,main!$A$3:$H$102,5,FALSE)-VLOOKUP($A261,main!$A$3:$H$102,6,FALSE)&gt;=main!$D$103+VLOOKUP(VLOOKUP(BX$1,main!$A$3:$I$102,7,FALSE),main!$K$26:$Q$29,5,FALSE)),1,0)</f>
        <v>0</v>
      </c>
      <c r="BY261">
        <f>IF(AND(VLOOKUP(BY$1,main!$A$3:$H$102,7,FALSE)=main!$G$105,VLOOKUP(BY$1,main!$A$3:$H$102,5,FALSE)-VLOOKUP($A261,main!$A$3:$H$102,6,FALSE)&gt;=main!$D$103+VLOOKUP(VLOOKUP(BY$1,main!$A$3:$I$102,7,FALSE),main!$K$26:$Q$29,5,FALSE)),1,0)</f>
        <v>0</v>
      </c>
      <c r="BZ261">
        <f>IF(AND(VLOOKUP(BZ$1,main!$A$3:$H$102,7,FALSE)=main!$G$105,VLOOKUP(BZ$1,main!$A$3:$H$102,5,FALSE)-VLOOKUP($A261,main!$A$3:$H$102,6,FALSE)&gt;=main!$D$103+VLOOKUP(VLOOKUP(BZ$1,main!$A$3:$I$102,7,FALSE),main!$K$26:$Q$29,5,FALSE)),1,0)</f>
        <v>0</v>
      </c>
      <c r="CA261">
        <f>IF(AND(VLOOKUP(CA$1,main!$A$3:$H$102,7,FALSE)=main!$G$105,VLOOKUP(CA$1,main!$A$3:$H$102,5,FALSE)-VLOOKUP($A261,main!$A$3:$H$102,6,FALSE)&gt;=main!$D$103+VLOOKUP(VLOOKUP(CA$1,main!$A$3:$I$102,7,FALSE),main!$K$26:$Q$29,5,FALSE)),1,0)</f>
        <v>0</v>
      </c>
      <c r="CB261">
        <f>IF(AND(VLOOKUP(CB$1,main!$A$3:$H$102,7,FALSE)=main!$G$105,VLOOKUP(CB$1,main!$A$3:$H$102,5,FALSE)-VLOOKUP($A261,main!$A$3:$H$102,6,FALSE)&gt;=main!$D$103+VLOOKUP(VLOOKUP(CB$1,main!$A$3:$I$102,7,FALSE),main!$K$26:$Q$29,5,FALSE)),1,0)</f>
        <v>0</v>
      </c>
      <c r="CC261">
        <f>IF(AND(VLOOKUP(CC$1,main!$A$3:$H$102,7,FALSE)=main!$G$105,VLOOKUP(CC$1,main!$A$3:$H$102,5,FALSE)-VLOOKUP($A261,main!$A$3:$H$102,6,FALSE)&gt;=main!$D$103+VLOOKUP(VLOOKUP(CC$1,main!$A$3:$I$102,7,FALSE),main!$K$26:$Q$29,5,FALSE)),1,0)</f>
        <v>0</v>
      </c>
      <c r="CD261">
        <f>IF(AND(VLOOKUP(CD$1,main!$A$3:$H$102,7,FALSE)=main!$G$105,VLOOKUP(CD$1,main!$A$3:$H$102,5,FALSE)-VLOOKUP($A261,main!$A$3:$H$102,6,FALSE)&gt;=main!$D$103+VLOOKUP(VLOOKUP(CD$1,main!$A$3:$I$102,7,FALSE),main!$K$26:$Q$29,5,FALSE)),1,0)</f>
        <v>0</v>
      </c>
      <c r="CE261">
        <f>IF(AND(VLOOKUP(CE$1,main!$A$3:$H$102,7,FALSE)=main!$G$105,VLOOKUP(CE$1,main!$A$3:$H$102,5,FALSE)-VLOOKUP($A261,main!$A$3:$H$102,6,FALSE)&gt;=main!$D$103+VLOOKUP(VLOOKUP(CE$1,main!$A$3:$I$102,7,FALSE),main!$K$26:$Q$29,5,FALSE)),1,0)</f>
        <v>0</v>
      </c>
      <c r="CF261">
        <f>IF(AND(VLOOKUP(CF$1,main!$A$3:$H$102,7,FALSE)=main!$G$105,VLOOKUP(CF$1,main!$A$3:$H$102,5,FALSE)-VLOOKUP($A261,main!$A$3:$H$102,6,FALSE)&gt;=main!$D$103+VLOOKUP(VLOOKUP(CF$1,main!$A$3:$I$102,7,FALSE),main!$K$26:$Q$29,5,FALSE)),1,0)</f>
        <v>0</v>
      </c>
      <c r="CG261">
        <f>IF(AND(VLOOKUP(CG$1,main!$A$3:$H$102,7,FALSE)=main!$G$105,VLOOKUP(CG$1,main!$A$3:$H$102,5,FALSE)-VLOOKUP($A261,main!$A$3:$H$102,6,FALSE)&gt;=main!$D$103+VLOOKUP(VLOOKUP(CG$1,main!$A$3:$I$102,7,FALSE),main!$K$26:$Q$29,5,FALSE)),1,0)</f>
        <v>0</v>
      </c>
      <c r="CH261">
        <f>IF(AND(VLOOKUP(CH$1,main!$A$3:$H$102,7,FALSE)=main!$G$105,VLOOKUP(CH$1,main!$A$3:$H$102,5,FALSE)-VLOOKUP($A261,main!$A$3:$H$102,6,FALSE)&gt;=main!$D$103+VLOOKUP(VLOOKUP(CH$1,main!$A$3:$I$102,7,FALSE),main!$K$26:$Q$29,5,FALSE)),1,0)</f>
        <v>0</v>
      </c>
      <c r="CI261">
        <f>IF(AND(VLOOKUP(CI$1,main!$A$3:$H$102,7,FALSE)=main!$G$105,VLOOKUP(CI$1,main!$A$3:$H$102,5,FALSE)-VLOOKUP($A261,main!$A$3:$H$102,6,FALSE)&gt;=main!$D$103+VLOOKUP(VLOOKUP(CI$1,main!$A$3:$I$102,7,FALSE),main!$K$26:$Q$29,5,FALSE)),1,0)</f>
        <v>0</v>
      </c>
      <c r="CJ261">
        <f>IF(AND(VLOOKUP(CJ$1,main!$A$3:$H$102,7,FALSE)=main!$G$105,VLOOKUP(CJ$1,main!$A$3:$H$102,5,FALSE)-VLOOKUP($A261,main!$A$3:$H$102,6,FALSE)&gt;=main!$D$103+VLOOKUP(VLOOKUP(CJ$1,main!$A$3:$I$102,7,FALSE),main!$K$26:$Q$29,5,FALSE)),1,0)</f>
        <v>0</v>
      </c>
      <c r="CK261">
        <f>IF(AND(VLOOKUP(CK$1,main!$A$3:$H$102,7,FALSE)=main!$G$105,VLOOKUP(CK$1,main!$A$3:$H$102,5,FALSE)-VLOOKUP($A261,main!$A$3:$H$102,6,FALSE)&gt;=main!$D$103+VLOOKUP(VLOOKUP(CK$1,main!$A$3:$I$102,7,FALSE),main!$K$26:$Q$29,5,FALSE)),1,0)</f>
        <v>0</v>
      </c>
      <c r="CL261">
        <f>IF(AND(VLOOKUP(CL$1,main!$A$3:$H$102,7,FALSE)=main!$G$105,VLOOKUP(CL$1,main!$A$3:$H$102,5,FALSE)-VLOOKUP($A261,main!$A$3:$H$102,6,FALSE)&gt;=main!$D$103+VLOOKUP(VLOOKUP(CL$1,main!$A$3:$I$102,7,FALSE),main!$K$26:$Q$29,5,FALSE)),1,0)</f>
        <v>0</v>
      </c>
      <c r="CM261">
        <f>IF(AND(VLOOKUP(CM$1,main!$A$3:$H$102,7,FALSE)=main!$G$105,VLOOKUP(CM$1,main!$A$3:$H$102,5,FALSE)-VLOOKUP($A261,main!$A$3:$H$102,6,FALSE)&gt;=main!$D$103+VLOOKUP(VLOOKUP(CM$1,main!$A$3:$I$102,7,FALSE),main!$K$26:$Q$29,5,FALSE)),1,0)</f>
        <v>0</v>
      </c>
      <c r="CN261">
        <f>IF(AND(VLOOKUP(CN$1,main!$A$3:$H$102,7,FALSE)=main!$G$105,VLOOKUP(CN$1,main!$A$3:$H$102,5,FALSE)-VLOOKUP($A261,main!$A$3:$H$102,6,FALSE)&gt;=main!$D$103+VLOOKUP(VLOOKUP(CN$1,main!$A$3:$I$102,7,FALSE),main!$K$26:$Q$29,5,FALSE)),1,0)</f>
        <v>0</v>
      </c>
      <c r="CO261">
        <f>IF(AND(VLOOKUP(CO$1,main!$A$3:$H$102,7,FALSE)=main!$G$105,VLOOKUP(CO$1,main!$A$3:$H$102,5,FALSE)-VLOOKUP($A261,main!$A$3:$H$102,6,FALSE)&gt;=main!$D$103+VLOOKUP(VLOOKUP(CO$1,main!$A$3:$I$102,7,FALSE),main!$K$26:$Q$29,5,FALSE)),1,0)</f>
        <v>0</v>
      </c>
      <c r="CP261">
        <f>IF(AND(VLOOKUP(CP$1,main!$A$3:$H$102,7,FALSE)=main!$G$105,VLOOKUP(CP$1,main!$A$3:$H$102,5,FALSE)-VLOOKUP($A261,main!$A$3:$H$102,6,FALSE)&gt;=main!$D$103+VLOOKUP(VLOOKUP(CP$1,main!$A$3:$I$102,7,FALSE),main!$K$26:$Q$29,5,FALSE)),1,0)</f>
        <v>0</v>
      </c>
      <c r="CQ261">
        <f>IF(AND(VLOOKUP(CQ$1,main!$A$3:$H$102,7,FALSE)=main!$G$105,VLOOKUP(CQ$1,main!$A$3:$H$102,5,FALSE)-VLOOKUP($A261,main!$A$3:$H$102,6,FALSE)&gt;=main!$D$103+VLOOKUP(VLOOKUP(CQ$1,main!$A$3:$I$102,7,FALSE),main!$K$26:$Q$29,5,FALSE)),1,0)</f>
        <v>0</v>
      </c>
      <c r="CR261">
        <f>IF(AND(VLOOKUP(CR$1,main!$A$3:$H$102,7,FALSE)=main!$G$105,VLOOKUP(CR$1,main!$A$3:$H$102,5,FALSE)-VLOOKUP($A261,main!$A$3:$H$102,6,FALSE)&gt;=main!$D$103+VLOOKUP(VLOOKUP(CR$1,main!$A$3:$I$102,7,FALSE),main!$K$26:$Q$29,5,FALSE)),1,0)</f>
        <v>0</v>
      </c>
      <c r="CS261">
        <f>IF(AND(VLOOKUP(CS$1,main!$A$3:$H$102,7,FALSE)=main!$G$105,VLOOKUP(CS$1,main!$A$3:$H$102,5,FALSE)-VLOOKUP($A261,main!$A$3:$H$102,6,FALSE)&gt;=main!$D$103+VLOOKUP(VLOOKUP(CS$1,main!$A$3:$I$102,7,FALSE),main!$K$26:$Q$29,5,FALSE)),1,0)</f>
        <v>0</v>
      </c>
      <c r="CT261">
        <f>IF(AND(VLOOKUP(CT$1,main!$A$3:$H$102,7,FALSE)=main!$G$105,VLOOKUP(CT$1,main!$A$3:$H$102,5,FALSE)-VLOOKUP($A261,main!$A$3:$H$102,6,FALSE)&gt;=main!$D$103+VLOOKUP(VLOOKUP(CT$1,main!$A$3:$I$102,7,FALSE),main!$K$26:$Q$29,5,FALSE)),1,0)</f>
        <v>0</v>
      </c>
      <c r="CU261">
        <f>IF(AND(VLOOKUP(CU$1,main!$A$3:$H$102,7,FALSE)=main!$G$105,VLOOKUP(CU$1,main!$A$3:$H$102,5,FALSE)-VLOOKUP($A261,main!$A$3:$H$102,6,FALSE)&gt;=main!$D$103+VLOOKUP(VLOOKUP(CU$1,main!$A$3:$I$102,7,FALSE),main!$K$26:$Q$29,5,FALSE)),1,0)</f>
        <v>0</v>
      </c>
      <c r="CV261">
        <f>IF(AND(VLOOKUP(CV$1,main!$A$3:$H$102,7,FALSE)=main!$G$105,VLOOKUP(CV$1,main!$A$3:$H$102,5,FALSE)-VLOOKUP($A261,main!$A$3:$H$102,6,FALSE)&gt;=main!$D$103+VLOOKUP(VLOOKUP(CV$1,main!$A$3:$I$102,7,FALSE),main!$K$26:$Q$29,5,FALSE)),1,0)</f>
        <v>0</v>
      </c>
      <c r="CW261">
        <f>IF(AND(VLOOKUP(CW$1,main!$A$3:$H$102,7,FALSE)=main!$G$105,VLOOKUP(CW$1,main!$A$3:$H$102,5,FALSE)-VLOOKUP($A261,main!$A$3:$H$102,6,FALSE)&gt;=main!$D$103+VLOOKUP(VLOOKUP(CW$1,main!$A$3:$I$102,7,FALSE),main!$K$26:$Q$29,5,FALSE)),1,0)</f>
        <v>0</v>
      </c>
      <c r="CX261">
        <f>IF(AND(VLOOKUP(CX$1,main!$A$3:$H$102,7,FALSE)=main!$G$105,VLOOKUP(CX$1,main!$A$3:$H$102,5,FALSE)-VLOOKUP($A261,main!$A$3:$H$102,6,FALSE)&gt;=main!$D$103+VLOOKUP(VLOOKUP(CX$1,main!$A$3:$I$102,7,FALSE),main!$K$26:$Q$29,5,FALSE)),1,0)</f>
        <v>0</v>
      </c>
    </row>
    <row r="262" spans="1:102" x14ac:dyDescent="0.25">
      <c r="A262" s="1">
        <v>58</v>
      </c>
      <c r="B262">
        <v>0</v>
      </c>
      <c r="C262">
        <f>IF(AND(VLOOKUP(C$1,main!$A$3:$H$102,7,FALSE)=main!$G$105,VLOOKUP(C$1,main!$A$3:$H$102,5,FALSE)-VLOOKUP($A262,main!$A$3:$H$102,6,FALSE)&gt;=main!$D$103+VLOOKUP(VLOOKUP(C$1,main!$A$3:$I$102,7,FALSE),main!$K$26:$Q$29,5,FALSE)),1,0)</f>
        <v>0</v>
      </c>
      <c r="D262">
        <f>IF(AND(VLOOKUP(D$1,main!$A$3:$H$102,7,FALSE)=main!$G$105,VLOOKUP(D$1,main!$A$3:$H$102,5,FALSE)-VLOOKUP($A262,main!$A$3:$H$102,6,FALSE)&gt;=main!$D$103+VLOOKUP(VLOOKUP(D$1,main!$A$3:$I$102,7,FALSE),main!$K$26:$Q$29,5,FALSE)),1,0)</f>
        <v>0</v>
      </c>
      <c r="E262">
        <f>IF(AND(VLOOKUP(E$1,main!$A$3:$H$102,7,FALSE)=main!$G$105,VLOOKUP(E$1,main!$A$3:$H$102,5,FALSE)-VLOOKUP($A262,main!$A$3:$H$102,6,FALSE)&gt;=main!$D$103+VLOOKUP(VLOOKUP(E$1,main!$A$3:$I$102,7,FALSE),main!$K$26:$Q$29,5,FALSE)),1,0)</f>
        <v>0</v>
      </c>
      <c r="F262">
        <f>IF(AND(VLOOKUP(F$1,main!$A$3:$H$102,7,FALSE)=main!$G$105,VLOOKUP(F$1,main!$A$3:$H$102,5,FALSE)-VLOOKUP($A262,main!$A$3:$H$102,6,FALSE)&gt;=main!$D$103+VLOOKUP(VLOOKUP(F$1,main!$A$3:$I$102,7,FALSE),main!$K$26:$Q$29,5,FALSE)),1,0)</f>
        <v>0</v>
      </c>
      <c r="G262">
        <f>IF(AND(VLOOKUP(G$1,main!$A$3:$H$102,7,FALSE)=main!$G$105,VLOOKUP(G$1,main!$A$3:$H$102,5,FALSE)-VLOOKUP($A262,main!$A$3:$H$102,6,FALSE)&gt;=main!$D$103+VLOOKUP(VLOOKUP(G$1,main!$A$3:$I$102,7,FALSE),main!$K$26:$Q$29,5,FALSE)),1,0)</f>
        <v>0</v>
      </c>
      <c r="H262">
        <f>IF(AND(VLOOKUP(H$1,main!$A$3:$H$102,7,FALSE)=main!$G$105,VLOOKUP(H$1,main!$A$3:$H$102,5,FALSE)-VLOOKUP($A262,main!$A$3:$H$102,6,FALSE)&gt;=main!$D$103+VLOOKUP(VLOOKUP(H$1,main!$A$3:$I$102,7,FALSE),main!$K$26:$Q$29,5,FALSE)),1,0)</f>
        <v>0</v>
      </c>
      <c r="I262">
        <f>IF(AND(VLOOKUP(I$1,main!$A$3:$H$102,7,FALSE)=main!$G$105,VLOOKUP(I$1,main!$A$3:$H$102,5,FALSE)-VLOOKUP($A262,main!$A$3:$H$102,6,FALSE)&gt;=main!$D$103+VLOOKUP(VLOOKUP(I$1,main!$A$3:$I$102,7,FALSE),main!$K$26:$Q$29,5,FALSE)),1,0)</f>
        <v>0</v>
      </c>
      <c r="J262">
        <f>IF(AND(VLOOKUP(J$1,main!$A$3:$H$102,7,FALSE)=main!$G$105,VLOOKUP(J$1,main!$A$3:$H$102,5,FALSE)-VLOOKUP($A262,main!$A$3:$H$102,6,FALSE)&gt;=main!$D$103+VLOOKUP(VLOOKUP(J$1,main!$A$3:$I$102,7,FALSE),main!$K$26:$Q$29,5,FALSE)),1,0)</f>
        <v>0</v>
      </c>
      <c r="K262">
        <f>IF(AND(VLOOKUP(K$1,main!$A$3:$H$102,7,FALSE)=main!$G$105,VLOOKUP(K$1,main!$A$3:$H$102,5,FALSE)-VLOOKUP($A262,main!$A$3:$H$102,6,FALSE)&gt;=main!$D$103+VLOOKUP(VLOOKUP(K$1,main!$A$3:$I$102,7,FALSE),main!$K$26:$Q$29,5,FALSE)),1,0)</f>
        <v>0</v>
      </c>
      <c r="L262">
        <f>IF(AND(VLOOKUP(L$1,main!$A$3:$H$102,7,FALSE)=main!$G$105,VLOOKUP(L$1,main!$A$3:$H$102,5,FALSE)-VLOOKUP($A262,main!$A$3:$H$102,6,FALSE)&gt;=main!$D$103+VLOOKUP(VLOOKUP(L$1,main!$A$3:$I$102,7,FALSE),main!$K$26:$Q$29,5,FALSE)),1,0)</f>
        <v>0</v>
      </c>
      <c r="M262">
        <f>IF(AND(VLOOKUP(M$1,main!$A$3:$H$102,7,FALSE)=main!$G$105,VLOOKUP(M$1,main!$A$3:$H$102,5,FALSE)-VLOOKUP($A262,main!$A$3:$H$102,6,FALSE)&gt;=main!$D$103+VLOOKUP(VLOOKUP(M$1,main!$A$3:$I$102,7,FALSE),main!$K$26:$Q$29,5,FALSE)),1,0)</f>
        <v>0</v>
      </c>
      <c r="N262">
        <f>IF(AND(VLOOKUP(N$1,main!$A$3:$H$102,7,FALSE)=main!$G$105,VLOOKUP(N$1,main!$A$3:$H$102,5,FALSE)-VLOOKUP($A262,main!$A$3:$H$102,6,FALSE)&gt;=main!$D$103+VLOOKUP(VLOOKUP(N$1,main!$A$3:$I$102,7,FALSE),main!$K$26:$Q$29,5,FALSE)),1,0)</f>
        <v>0</v>
      </c>
      <c r="O262">
        <f>IF(AND(VLOOKUP(O$1,main!$A$3:$H$102,7,FALSE)=main!$G$105,VLOOKUP(O$1,main!$A$3:$H$102,5,FALSE)-VLOOKUP($A262,main!$A$3:$H$102,6,FALSE)&gt;=main!$D$103+VLOOKUP(VLOOKUP(O$1,main!$A$3:$I$102,7,FALSE),main!$K$26:$Q$29,5,FALSE)),1,0)</f>
        <v>0</v>
      </c>
      <c r="P262">
        <f>IF(AND(VLOOKUP(P$1,main!$A$3:$H$102,7,FALSE)=main!$G$105,VLOOKUP(P$1,main!$A$3:$H$102,5,FALSE)-VLOOKUP($A262,main!$A$3:$H$102,6,FALSE)&gt;=main!$D$103+VLOOKUP(VLOOKUP(P$1,main!$A$3:$I$102,7,FALSE),main!$K$26:$Q$29,5,FALSE)),1,0)</f>
        <v>0</v>
      </c>
      <c r="Q262">
        <f>IF(AND(VLOOKUP(Q$1,main!$A$3:$H$102,7,FALSE)=main!$G$105,VLOOKUP(Q$1,main!$A$3:$H$102,5,FALSE)-VLOOKUP($A262,main!$A$3:$H$102,6,FALSE)&gt;=main!$D$103+VLOOKUP(VLOOKUP(Q$1,main!$A$3:$I$102,7,FALSE),main!$K$26:$Q$29,5,FALSE)),1,0)</f>
        <v>0</v>
      </c>
      <c r="R262">
        <f>IF(AND(VLOOKUP(R$1,main!$A$3:$H$102,7,FALSE)=main!$G$105,VLOOKUP(R$1,main!$A$3:$H$102,5,FALSE)-VLOOKUP($A262,main!$A$3:$H$102,6,FALSE)&gt;=main!$D$103+VLOOKUP(VLOOKUP(R$1,main!$A$3:$I$102,7,FALSE),main!$K$26:$Q$29,5,FALSE)),1,0)</f>
        <v>0</v>
      </c>
      <c r="S262">
        <f>IF(AND(VLOOKUP(S$1,main!$A$3:$H$102,7,FALSE)=main!$G$105,VLOOKUP(S$1,main!$A$3:$H$102,5,FALSE)-VLOOKUP($A262,main!$A$3:$H$102,6,FALSE)&gt;=main!$D$103+VLOOKUP(VLOOKUP(S$1,main!$A$3:$I$102,7,FALSE),main!$K$26:$Q$29,5,FALSE)),1,0)</f>
        <v>0</v>
      </c>
      <c r="T262">
        <f>IF(AND(VLOOKUP(T$1,main!$A$3:$H$102,7,FALSE)=main!$G$105,VLOOKUP(T$1,main!$A$3:$H$102,5,FALSE)-VLOOKUP($A262,main!$A$3:$H$102,6,FALSE)&gt;=main!$D$103+VLOOKUP(VLOOKUP(T$1,main!$A$3:$I$102,7,FALSE),main!$K$26:$Q$29,5,FALSE)),1,0)</f>
        <v>0</v>
      </c>
      <c r="U262">
        <f>IF(AND(VLOOKUP(U$1,main!$A$3:$H$102,7,FALSE)=main!$G$105,VLOOKUP(U$1,main!$A$3:$H$102,5,FALSE)-VLOOKUP($A262,main!$A$3:$H$102,6,FALSE)&gt;=main!$D$103+VLOOKUP(VLOOKUP(U$1,main!$A$3:$I$102,7,FALSE),main!$K$26:$Q$29,5,FALSE)),1,0)</f>
        <v>0</v>
      </c>
      <c r="V262">
        <f>IF(AND(VLOOKUP(V$1,main!$A$3:$H$102,7,FALSE)=main!$G$105,VLOOKUP(V$1,main!$A$3:$H$102,5,FALSE)-VLOOKUP($A262,main!$A$3:$H$102,6,FALSE)&gt;=main!$D$103+VLOOKUP(VLOOKUP(V$1,main!$A$3:$I$102,7,FALSE),main!$K$26:$Q$29,5,FALSE)),1,0)</f>
        <v>0</v>
      </c>
      <c r="W262">
        <f>IF(AND(VLOOKUP(W$1,main!$A$3:$H$102,7,FALSE)=main!$G$105,VLOOKUP(W$1,main!$A$3:$H$102,5,FALSE)-VLOOKUP($A262,main!$A$3:$H$102,6,FALSE)&gt;=main!$D$103+VLOOKUP(VLOOKUP(W$1,main!$A$3:$I$102,7,FALSE),main!$K$26:$Q$29,5,FALSE)),1,0)</f>
        <v>0</v>
      </c>
      <c r="X262">
        <f>IF(AND(VLOOKUP(X$1,main!$A$3:$H$102,7,FALSE)=main!$G$105,VLOOKUP(X$1,main!$A$3:$H$102,5,FALSE)-VLOOKUP($A262,main!$A$3:$H$102,6,FALSE)&gt;=main!$D$103+VLOOKUP(VLOOKUP(X$1,main!$A$3:$I$102,7,FALSE),main!$K$26:$Q$29,5,FALSE)),1,0)</f>
        <v>0</v>
      </c>
      <c r="Y262">
        <f>IF(AND(VLOOKUP(Y$1,main!$A$3:$H$102,7,FALSE)=main!$G$105,VLOOKUP(Y$1,main!$A$3:$H$102,5,FALSE)-VLOOKUP($A262,main!$A$3:$H$102,6,FALSE)&gt;=main!$D$103+VLOOKUP(VLOOKUP(Y$1,main!$A$3:$I$102,7,FALSE),main!$K$26:$Q$29,5,FALSE)),1,0)</f>
        <v>0</v>
      </c>
      <c r="Z262">
        <f>IF(AND(VLOOKUP(Z$1,main!$A$3:$H$102,7,FALSE)=main!$G$105,VLOOKUP(Z$1,main!$A$3:$H$102,5,FALSE)-VLOOKUP($A262,main!$A$3:$H$102,6,FALSE)&gt;=main!$D$103+VLOOKUP(VLOOKUP(Z$1,main!$A$3:$I$102,7,FALSE),main!$K$26:$Q$29,5,FALSE)),1,0)</f>
        <v>0</v>
      </c>
      <c r="AA262">
        <f>IF(AND(VLOOKUP(AA$1,main!$A$3:$H$102,7,FALSE)=main!$G$105,VLOOKUP(AA$1,main!$A$3:$H$102,5,FALSE)-VLOOKUP($A262,main!$A$3:$H$102,6,FALSE)&gt;=main!$D$103+VLOOKUP(VLOOKUP(AA$1,main!$A$3:$I$102,7,FALSE),main!$K$26:$Q$29,5,FALSE)),1,0)</f>
        <v>0</v>
      </c>
      <c r="AB262">
        <f>IF(AND(VLOOKUP(AB$1,main!$A$3:$H$102,7,FALSE)=main!$G$105,VLOOKUP(AB$1,main!$A$3:$H$102,5,FALSE)-VLOOKUP($A262,main!$A$3:$H$102,6,FALSE)&gt;=main!$D$103+VLOOKUP(VLOOKUP(AB$1,main!$A$3:$I$102,7,FALSE),main!$K$26:$Q$29,5,FALSE)),1,0)</f>
        <v>0</v>
      </c>
      <c r="AC262">
        <f>IF(AND(VLOOKUP(AC$1,main!$A$3:$H$102,7,FALSE)=main!$G$105,VLOOKUP(AC$1,main!$A$3:$H$102,5,FALSE)-VLOOKUP($A262,main!$A$3:$H$102,6,FALSE)&gt;=main!$D$103+VLOOKUP(VLOOKUP(AC$1,main!$A$3:$I$102,7,FALSE),main!$K$26:$Q$29,5,FALSE)),1,0)</f>
        <v>0</v>
      </c>
      <c r="AD262">
        <f>IF(AND(VLOOKUP(AD$1,main!$A$3:$H$102,7,FALSE)=main!$G$105,VLOOKUP(AD$1,main!$A$3:$H$102,5,FALSE)-VLOOKUP($A262,main!$A$3:$H$102,6,FALSE)&gt;=main!$D$103+VLOOKUP(VLOOKUP(AD$1,main!$A$3:$I$102,7,FALSE),main!$K$26:$Q$29,5,FALSE)),1,0)</f>
        <v>0</v>
      </c>
      <c r="AE262">
        <f>IF(AND(VLOOKUP(AE$1,main!$A$3:$H$102,7,FALSE)=main!$G$105,VLOOKUP(AE$1,main!$A$3:$H$102,5,FALSE)-VLOOKUP($A262,main!$A$3:$H$102,6,FALSE)&gt;=main!$D$103+VLOOKUP(VLOOKUP(AE$1,main!$A$3:$I$102,7,FALSE),main!$K$26:$Q$29,5,FALSE)),1,0)</f>
        <v>0</v>
      </c>
      <c r="AF262">
        <f>IF(AND(VLOOKUP(AF$1,main!$A$3:$H$102,7,FALSE)=main!$G$105,VLOOKUP(AF$1,main!$A$3:$H$102,5,FALSE)-VLOOKUP($A262,main!$A$3:$H$102,6,FALSE)&gt;=main!$D$103+VLOOKUP(VLOOKUP(AF$1,main!$A$3:$I$102,7,FALSE),main!$K$26:$Q$29,5,FALSE)),1,0)</f>
        <v>0</v>
      </c>
      <c r="AG262">
        <f>IF(AND(VLOOKUP(AG$1,main!$A$3:$H$102,7,FALSE)=main!$G$105,VLOOKUP(AG$1,main!$A$3:$H$102,5,FALSE)-VLOOKUP($A262,main!$A$3:$H$102,6,FALSE)&gt;=main!$D$103+VLOOKUP(VLOOKUP(AG$1,main!$A$3:$I$102,7,FALSE),main!$K$26:$Q$29,5,FALSE)),1,0)</f>
        <v>0</v>
      </c>
      <c r="AH262">
        <f>IF(AND(VLOOKUP(AH$1,main!$A$3:$H$102,7,FALSE)=main!$G$105,VLOOKUP(AH$1,main!$A$3:$H$102,5,FALSE)-VLOOKUP($A262,main!$A$3:$H$102,6,FALSE)&gt;=main!$D$103+VLOOKUP(VLOOKUP(AH$1,main!$A$3:$I$102,7,FALSE),main!$K$26:$Q$29,5,FALSE)),1,0)</f>
        <v>0</v>
      </c>
      <c r="AI262">
        <f>IF(AND(VLOOKUP(AI$1,main!$A$3:$H$102,7,FALSE)=main!$G$105,VLOOKUP(AI$1,main!$A$3:$H$102,5,FALSE)-VLOOKUP($A262,main!$A$3:$H$102,6,FALSE)&gt;=main!$D$103+VLOOKUP(VLOOKUP(AI$1,main!$A$3:$I$102,7,FALSE),main!$K$26:$Q$29,5,FALSE)),1,0)</f>
        <v>0</v>
      </c>
      <c r="AJ262">
        <f>IF(AND(VLOOKUP(AJ$1,main!$A$3:$H$102,7,FALSE)=main!$G$105,VLOOKUP(AJ$1,main!$A$3:$H$102,5,FALSE)-VLOOKUP($A262,main!$A$3:$H$102,6,FALSE)&gt;=main!$D$103+VLOOKUP(VLOOKUP(AJ$1,main!$A$3:$I$102,7,FALSE),main!$K$26:$Q$29,5,FALSE)),1,0)</f>
        <v>0</v>
      </c>
      <c r="AK262">
        <f>IF(AND(VLOOKUP(AK$1,main!$A$3:$H$102,7,FALSE)=main!$G$105,VLOOKUP(AK$1,main!$A$3:$H$102,5,FALSE)-VLOOKUP($A262,main!$A$3:$H$102,6,FALSE)&gt;=main!$D$103+VLOOKUP(VLOOKUP(AK$1,main!$A$3:$I$102,7,FALSE),main!$K$26:$Q$29,5,FALSE)),1,0)</f>
        <v>0</v>
      </c>
      <c r="AL262">
        <f>IF(AND(VLOOKUP(AL$1,main!$A$3:$H$102,7,FALSE)=main!$G$105,VLOOKUP(AL$1,main!$A$3:$H$102,5,FALSE)-VLOOKUP($A262,main!$A$3:$H$102,6,FALSE)&gt;=main!$D$103+VLOOKUP(VLOOKUP(AL$1,main!$A$3:$I$102,7,FALSE),main!$K$26:$Q$29,5,FALSE)),1,0)</f>
        <v>0</v>
      </c>
      <c r="AM262">
        <f>IF(AND(VLOOKUP(AM$1,main!$A$3:$H$102,7,FALSE)=main!$G$105,VLOOKUP(AM$1,main!$A$3:$H$102,5,FALSE)-VLOOKUP($A262,main!$A$3:$H$102,6,FALSE)&gt;=main!$D$103+VLOOKUP(VLOOKUP(AM$1,main!$A$3:$I$102,7,FALSE),main!$K$26:$Q$29,5,FALSE)),1,0)</f>
        <v>1</v>
      </c>
      <c r="AN262">
        <f>IF(AND(VLOOKUP(AN$1,main!$A$3:$H$102,7,FALSE)=main!$G$105,VLOOKUP(AN$1,main!$A$3:$H$102,5,FALSE)-VLOOKUP($A262,main!$A$3:$H$102,6,FALSE)&gt;=main!$D$103+VLOOKUP(VLOOKUP(AN$1,main!$A$3:$I$102,7,FALSE),main!$K$26:$Q$29,5,FALSE)),1,0)</f>
        <v>1</v>
      </c>
      <c r="AO262">
        <f>IF(AND(VLOOKUP(AO$1,main!$A$3:$H$102,7,FALSE)=main!$G$105,VLOOKUP(AO$1,main!$A$3:$H$102,5,FALSE)-VLOOKUP($A262,main!$A$3:$H$102,6,FALSE)&gt;=main!$D$103+VLOOKUP(VLOOKUP(AO$1,main!$A$3:$I$102,7,FALSE),main!$K$26:$Q$29,5,FALSE)),1,0)</f>
        <v>0</v>
      </c>
      <c r="AP262">
        <f>IF(AND(VLOOKUP(AP$1,main!$A$3:$H$102,7,FALSE)=main!$G$105,VLOOKUP(AP$1,main!$A$3:$H$102,5,FALSE)-VLOOKUP($A262,main!$A$3:$H$102,6,FALSE)&gt;=main!$D$103+VLOOKUP(VLOOKUP(AP$1,main!$A$3:$I$102,7,FALSE),main!$K$26:$Q$29,5,FALSE)),1,0)</f>
        <v>1</v>
      </c>
      <c r="AQ262">
        <f>IF(AND(VLOOKUP(AQ$1,main!$A$3:$H$102,7,FALSE)=main!$G$105,VLOOKUP(AQ$1,main!$A$3:$H$102,5,FALSE)-VLOOKUP($A262,main!$A$3:$H$102,6,FALSE)&gt;=main!$D$103+VLOOKUP(VLOOKUP(AQ$1,main!$A$3:$I$102,7,FALSE),main!$K$26:$Q$29,5,FALSE)),1,0)</f>
        <v>0</v>
      </c>
      <c r="AR262">
        <f>IF(AND(VLOOKUP(AR$1,main!$A$3:$H$102,7,FALSE)=main!$G$105,VLOOKUP(AR$1,main!$A$3:$H$102,5,FALSE)-VLOOKUP($A262,main!$A$3:$H$102,6,FALSE)&gt;=main!$D$103+VLOOKUP(VLOOKUP(AR$1,main!$A$3:$I$102,7,FALSE),main!$K$26:$Q$29,5,FALSE)),1,0)</f>
        <v>0</v>
      </c>
      <c r="AS262">
        <f>IF(AND(VLOOKUP(AS$1,main!$A$3:$H$102,7,FALSE)=main!$G$105,VLOOKUP(AS$1,main!$A$3:$H$102,5,FALSE)-VLOOKUP($A262,main!$A$3:$H$102,6,FALSE)&gt;=main!$D$103+VLOOKUP(VLOOKUP(AS$1,main!$A$3:$I$102,7,FALSE),main!$K$26:$Q$29,5,FALSE)),1,0)</f>
        <v>0</v>
      </c>
      <c r="AT262">
        <f>IF(AND(VLOOKUP(AT$1,main!$A$3:$H$102,7,FALSE)=main!$G$105,VLOOKUP(AT$1,main!$A$3:$H$102,5,FALSE)-VLOOKUP($A262,main!$A$3:$H$102,6,FALSE)&gt;=main!$D$103+VLOOKUP(VLOOKUP(AT$1,main!$A$3:$I$102,7,FALSE),main!$K$26:$Q$29,5,FALSE)),1,0)</f>
        <v>0</v>
      </c>
      <c r="AU262">
        <f>IF(AND(VLOOKUP(AU$1,main!$A$3:$H$102,7,FALSE)=main!$G$105,VLOOKUP(AU$1,main!$A$3:$H$102,5,FALSE)-VLOOKUP($A262,main!$A$3:$H$102,6,FALSE)&gt;=main!$D$103+VLOOKUP(VLOOKUP(AU$1,main!$A$3:$I$102,7,FALSE),main!$K$26:$Q$29,5,FALSE)),1,0)</f>
        <v>0</v>
      </c>
      <c r="AV262">
        <f>IF(AND(VLOOKUP(AV$1,main!$A$3:$H$102,7,FALSE)=main!$G$105,VLOOKUP(AV$1,main!$A$3:$H$102,5,FALSE)-VLOOKUP($A262,main!$A$3:$H$102,6,FALSE)&gt;=main!$D$103+VLOOKUP(VLOOKUP(AV$1,main!$A$3:$I$102,7,FALSE),main!$K$26:$Q$29,5,FALSE)),1,0)</f>
        <v>0</v>
      </c>
      <c r="AW262">
        <f>IF(AND(VLOOKUP(AW$1,main!$A$3:$H$102,7,FALSE)=main!$G$105,VLOOKUP(AW$1,main!$A$3:$H$102,5,FALSE)-VLOOKUP($A262,main!$A$3:$H$102,6,FALSE)&gt;=main!$D$103+VLOOKUP(VLOOKUP(AW$1,main!$A$3:$I$102,7,FALSE),main!$K$26:$Q$29,5,FALSE)),1,0)</f>
        <v>0</v>
      </c>
      <c r="AX262">
        <f>IF(AND(VLOOKUP(AX$1,main!$A$3:$H$102,7,FALSE)=main!$G$105,VLOOKUP(AX$1,main!$A$3:$H$102,5,FALSE)-VLOOKUP($A262,main!$A$3:$H$102,6,FALSE)&gt;=main!$D$103+VLOOKUP(VLOOKUP(AX$1,main!$A$3:$I$102,7,FALSE),main!$K$26:$Q$29,5,FALSE)),1,0)</f>
        <v>0</v>
      </c>
      <c r="AY262">
        <f>IF(AND(VLOOKUP(AY$1,main!$A$3:$H$102,7,FALSE)=main!$G$105,VLOOKUP(AY$1,main!$A$3:$H$102,5,FALSE)-VLOOKUP($A262,main!$A$3:$H$102,6,FALSE)&gt;=main!$D$103+VLOOKUP(VLOOKUP(AY$1,main!$A$3:$I$102,7,FALSE),main!$K$26:$Q$29,5,FALSE)),1,0)</f>
        <v>0</v>
      </c>
      <c r="AZ262">
        <f>IF(AND(VLOOKUP(AZ$1,main!$A$3:$H$102,7,FALSE)=main!$G$105,VLOOKUP(AZ$1,main!$A$3:$H$102,5,FALSE)-VLOOKUP($A262,main!$A$3:$H$102,6,FALSE)&gt;=main!$D$103+VLOOKUP(VLOOKUP(AZ$1,main!$A$3:$I$102,7,FALSE),main!$K$26:$Q$29,5,FALSE)),1,0)</f>
        <v>0</v>
      </c>
      <c r="BA262">
        <f>IF(AND(VLOOKUP(BA$1,main!$A$3:$H$102,7,FALSE)=main!$G$105,VLOOKUP(BA$1,main!$A$3:$H$102,5,FALSE)-VLOOKUP($A262,main!$A$3:$H$102,6,FALSE)&gt;=main!$D$103+VLOOKUP(VLOOKUP(BA$1,main!$A$3:$I$102,7,FALSE),main!$K$26:$Q$29,5,FALSE)),1,0)</f>
        <v>0</v>
      </c>
      <c r="BB262">
        <f>IF(AND(VLOOKUP(BB$1,main!$A$3:$H$102,7,FALSE)=main!$G$105,VLOOKUP(BB$1,main!$A$3:$H$102,5,FALSE)-VLOOKUP($A262,main!$A$3:$H$102,6,FALSE)&gt;=main!$D$103+VLOOKUP(VLOOKUP(BB$1,main!$A$3:$I$102,7,FALSE),main!$K$26:$Q$29,5,FALSE)),1,0)</f>
        <v>0</v>
      </c>
      <c r="BC262">
        <f>IF(AND(VLOOKUP(BC$1,main!$A$3:$H$102,7,FALSE)=main!$G$105,VLOOKUP(BC$1,main!$A$3:$H$102,5,FALSE)-VLOOKUP($A262,main!$A$3:$H$102,6,FALSE)&gt;=main!$D$103+VLOOKUP(VLOOKUP(BC$1,main!$A$3:$I$102,7,FALSE),main!$K$26:$Q$29,5,FALSE)),1,0)</f>
        <v>0</v>
      </c>
      <c r="BD262">
        <f>IF(AND(VLOOKUP(BD$1,main!$A$3:$H$102,7,FALSE)=main!$G$105,VLOOKUP(BD$1,main!$A$3:$H$102,5,FALSE)-VLOOKUP($A262,main!$A$3:$H$102,6,FALSE)&gt;=main!$D$103+VLOOKUP(VLOOKUP(BD$1,main!$A$3:$I$102,7,FALSE),main!$K$26:$Q$29,5,FALSE)),1,0)</f>
        <v>0</v>
      </c>
      <c r="BE262">
        <f>IF(AND(VLOOKUP(BE$1,main!$A$3:$H$102,7,FALSE)=main!$G$105,VLOOKUP(BE$1,main!$A$3:$H$102,5,FALSE)-VLOOKUP($A262,main!$A$3:$H$102,6,FALSE)&gt;=main!$D$103+VLOOKUP(VLOOKUP(BE$1,main!$A$3:$I$102,7,FALSE),main!$K$26:$Q$29,5,FALSE)),1,0)</f>
        <v>0</v>
      </c>
      <c r="BF262">
        <f>IF(AND(VLOOKUP(BF$1,main!$A$3:$H$102,7,FALSE)=main!$G$105,VLOOKUP(BF$1,main!$A$3:$H$102,5,FALSE)-VLOOKUP($A262,main!$A$3:$H$102,6,FALSE)&gt;=main!$D$103+VLOOKUP(VLOOKUP(BF$1,main!$A$3:$I$102,7,FALSE),main!$K$26:$Q$29,5,FALSE)),1,0)</f>
        <v>0</v>
      </c>
      <c r="BG262">
        <f>IF(AND(VLOOKUP(BG$1,main!$A$3:$H$102,7,FALSE)=main!$G$105,VLOOKUP(BG$1,main!$A$3:$H$102,5,FALSE)-VLOOKUP($A262,main!$A$3:$H$102,6,FALSE)&gt;=main!$D$103+VLOOKUP(VLOOKUP(BG$1,main!$A$3:$I$102,7,FALSE),main!$K$26:$Q$29,5,FALSE)),1,0)</f>
        <v>0</v>
      </c>
      <c r="BH262">
        <f>IF(AND(VLOOKUP(BH$1,main!$A$3:$H$102,7,FALSE)=main!$G$105,VLOOKUP(BH$1,main!$A$3:$H$102,5,FALSE)-VLOOKUP($A262,main!$A$3:$H$102,6,FALSE)&gt;=main!$D$103+VLOOKUP(VLOOKUP(BH$1,main!$A$3:$I$102,7,FALSE),main!$K$26:$Q$29,5,FALSE)),1,0)</f>
        <v>0</v>
      </c>
      <c r="BI262">
        <f>IF(AND(VLOOKUP(BI$1,main!$A$3:$H$102,7,FALSE)=main!$G$105,VLOOKUP(BI$1,main!$A$3:$H$102,5,FALSE)-VLOOKUP($A262,main!$A$3:$H$102,6,FALSE)&gt;=main!$D$103+VLOOKUP(VLOOKUP(BI$1,main!$A$3:$I$102,7,FALSE),main!$K$26:$Q$29,5,FALSE)),1,0)</f>
        <v>0</v>
      </c>
      <c r="BJ262">
        <f>IF(AND(VLOOKUP(BJ$1,main!$A$3:$H$102,7,FALSE)=main!$G$105,VLOOKUP(BJ$1,main!$A$3:$H$102,5,FALSE)-VLOOKUP($A262,main!$A$3:$H$102,6,FALSE)&gt;=main!$D$103+VLOOKUP(VLOOKUP(BJ$1,main!$A$3:$I$102,7,FALSE),main!$K$26:$Q$29,5,FALSE)),1,0)</f>
        <v>0</v>
      </c>
      <c r="BK262">
        <f>IF(AND(VLOOKUP(BK$1,main!$A$3:$H$102,7,FALSE)=main!$G$105,VLOOKUP(BK$1,main!$A$3:$H$102,5,FALSE)-VLOOKUP($A262,main!$A$3:$H$102,6,FALSE)&gt;=main!$D$103+VLOOKUP(VLOOKUP(BK$1,main!$A$3:$I$102,7,FALSE),main!$K$26:$Q$29,5,FALSE)),1,0)</f>
        <v>0</v>
      </c>
      <c r="BL262">
        <f>IF(AND(VLOOKUP(BL$1,main!$A$3:$H$102,7,FALSE)=main!$G$105,VLOOKUP(BL$1,main!$A$3:$H$102,5,FALSE)-VLOOKUP($A262,main!$A$3:$H$102,6,FALSE)&gt;=main!$D$103+VLOOKUP(VLOOKUP(BL$1,main!$A$3:$I$102,7,FALSE),main!$K$26:$Q$29,5,FALSE)),1,0)</f>
        <v>0</v>
      </c>
      <c r="BM262">
        <f>IF(AND(VLOOKUP(BM$1,main!$A$3:$H$102,7,FALSE)=main!$G$105,VLOOKUP(BM$1,main!$A$3:$H$102,5,FALSE)-VLOOKUP($A262,main!$A$3:$H$102,6,FALSE)&gt;=main!$D$103+VLOOKUP(VLOOKUP(BM$1,main!$A$3:$I$102,7,FALSE),main!$K$26:$Q$29,5,FALSE)),1,0)</f>
        <v>0</v>
      </c>
      <c r="BN262">
        <f>IF(AND(VLOOKUP(BN$1,main!$A$3:$H$102,7,FALSE)=main!$G$105,VLOOKUP(BN$1,main!$A$3:$H$102,5,FALSE)-VLOOKUP($A262,main!$A$3:$H$102,6,FALSE)&gt;=main!$D$103+VLOOKUP(VLOOKUP(BN$1,main!$A$3:$I$102,7,FALSE),main!$K$26:$Q$29,5,FALSE)),1,0)</f>
        <v>0</v>
      </c>
      <c r="BO262">
        <f>IF(AND(VLOOKUP(BO$1,main!$A$3:$H$102,7,FALSE)=main!$G$105,VLOOKUP(BO$1,main!$A$3:$H$102,5,FALSE)-VLOOKUP($A262,main!$A$3:$H$102,6,FALSE)&gt;=main!$D$103+VLOOKUP(VLOOKUP(BO$1,main!$A$3:$I$102,7,FALSE),main!$K$26:$Q$29,5,FALSE)),1,0)</f>
        <v>0</v>
      </c>
      <c r="BP262">
        <f>IF(AND(VLOOKUP(BP$1,main!$A$3:$H$102,7,FALSE)=main!$G$105,VLOOKUP(BP$1,main!$A$3:$H$102,5,FALSE)-VLOOKUP($A262,main!$A$3:$H$102,6,FALSE)&gt;=main!$D$103+VLOOKUP(VLOOKUP(BP$1,main!$A$3:$I$102,7,FALSE),main!$K$26:$Q$29,5,FALSE)),1,0)</f>
        <v>0</v>
      </c>
      <c r="BQ262">
        <f>IF(AND(VLOOKUP(BQ$1,main!$A$3:$H$102,7,FALSE)=main!$G$105,VLOOKUP(BQ$1,main!$A$3:$H$102,5,FALSE)-VLOOKUP($A262,main!$A$3:$H$102,6,FALSE)&gt;=main!$D$103+VLOOKUP(VLOOKUP(BQ$1,main!$A$3:$I$102,7,FALSE),main!$K$26:$Q$29,5,FALSE)),1,0)</f>
        <v>0</v>
      </c>
      <c r="BR262">
        <f>IF(AND(VLOOKUP(BR$1,main!$A$3:$H$102,7,FALSE)=main!$G$105,VLOOKUP(BR$1,main!$A$3:$H$102,5,FALSE)-VLOOKUP($A262,main!$A$3:$H$102,6,FALSE)&gt;=main!$D$103+VLOOKUP(VLOOKUP(BR$1,main!$A$3:$I$102,7,FALSE),main!$K$26:$Q$29,5,FALSE)),1,0)</f>
        <v>0</v>
      </c>
      <c r="BS262">
        <f>IF(AND(VLOOKUP(BS$1,main!$A$3:$H$102,7,FALSE)=main!$G$105,VLOOKUP(BS$1,main!$A$3:$H$102,5,FALSE)-VLOOKUP($A262,main!$A$3:$H$102,6,FALSE)&gt;=main!$D$103+VLOOKUP(VLOOKUP(BS$1,main!$A$3:$I$102,7,FALSE),main!$K$26:$Q$29,5,FALSE)),1,0)</f>
        <v>0</v>
      </c>
      <c r="BT262">
        <f>IF(AND(VLOOKUP(BT$1,main!$A$3:$H$102,7,FALSE)=main!$G$105,VLOOKUP(BT$1,main!$A$3:$H$102,5,FALSE)-VLOOKUP($A262,main!$A$3:$H$102,6,FALSE)&gt;=main!$D$103+VLOOKUP(VLOOKUP(BT$1,main!$A$3:$I$102,7,FALSE),main!$K$26:$Q$29,5,FALSE)),1,0)</f>
        <v>0</v>
      </c>
      <c r="BU262">
        <f>IF(AND(VLOOKUP(BU$1,main!$A$3:$H$102,7,FALSE)=main!$G$105,VLOOKUP(BU$1,main!$A$3:$H$102,5,FALSE)-VLOOKUP($A262,main!$A$3:$H$102,6,FALSE)&gt;=main!$D$103+VLOOKUP(VLOOKUP(BU$1,main!$A$3:$I$102,7,FALSE),main!$K$26:$Q$29,5,FALSE)),1,0)</f>
        <v>0</v>
      </c>
      <c r="BV262">
        <f>IF(AND(VLOOKUP(BV$1,main!$A$3:$H$102,7,FALSE)=main!$G$105,VLOOKUP(BV$1,main!$A$3:$H$102,5,FALSE)-VLOOKUP($A262,main!$A$3:$H$102,6,FALSE)&gt;=main!$D$103+VLOOKUP(VLOOKUP(BV$1,main!$A$3:$I$102,7,FALSE),main!$K$26:$Q$29,5,FALSE)),1,0)</f>
        <v>0</v>
      </c>
      <c r="BW262">
        <f>IF(AND(VLOOKUP(BW$1,main!$A$3:$H$102,7,FALSE)=main!$G$105,VLOOKUP(BW$1,main!$A$3:$H$102,5,FALSE)-VLOOKUP($A262,main!$A$3:$H$102,6,FALSE)&gt;=main!$D$103+VLOOKUP(VLOOKUP(BW$1,main!$A$3:$I$102,7,FALSE),main!$K$26:$Q$29,5,FALSE)),1,0)</f>
        <v>0</v>
      </c>
      <c r="BX262">
        <f>IF(AND(VLOOKUP(BX$1,main!$A$3:$H$102,7,FALSE)=main!$G$105,VLOOKUP(BX$1,main!$A$3:$H$102,5,FALSE)-VLOOKUP($A262,main!$A$3:$H$102,6,FALSE)&gt;=main!$D$103+VLOOKUP(VLOOKUP(BX$1,main!$A$3:$I$102,7,FALSE),main!$K$26:$Q$29,5,FALSE)),1,0)</f>
        <v>0</v>
      </c>
      <c r="BY262">
        <f>IF(AND(VLOOKUP(BY$1,main!$A$3:$H$102,7,FALSE)=main!$G$105,VLOOKUP(BY$1,main!$A$3:$H$102,5,FALSE)-VLOOKUP($A262,main!$A$3:$H$102,6,FALSE)&gt;=main!$D$103+VLOOKUP(VLOOKUP(BY$1,main!$A$3:$I$102,7,FALSE),main!$K$26:$Q$29,5,FALSE)),1,0)</f>
        <v>0</v>
      </c>
      <c r="BZ262">
        <f>IF(AND(VLOOKUP(BZ$1,main!$A$3:$H$102,7,FALSE)=main!$G$105,VLOOKUP(BZ$1,main!$A$3:$H$102,5,FALSE)-VLOOKUP($A262,main!$A$3:$H$102,6,FALSE)&gt;=main!$D$103+VLOOKUP(VLOOKUP(BZ$1,main!$A$3:$I$102,7,FALSE),main!$K$26:$Q$29,5,FALSE)),1,0)</f>
        <v>0</v>
      </c>
      <c r="CA262">
        <f>IF(AND(VLOOKUP(CA$1,main!$A$3:$H$102,7,FALSE)=main!$G$105,VLOOKUP(CA$1,main!$A$3:$H$102,5,FALSE)-VLOOKUP($A262,main!$A$3:$H$102,6,FALSE)&gt;=main!$D$103+VLOOKUP(VLOOKUP(CA$1,main!$A$3:$I$102,7,FALSE),main!$K$26:$Q$29,5,FALSE)),1,0)</f>
        <v>0</v>
      </c>
      <c r="CB262">
        <f>IF(AND(VLOOKUP(CB$1,main!$A$3:$H$102,7,FALSE)=main!$G$105,VLOOKUP(CB$1,main!$A$3:$H$102,5,FALSE)-VLOOKUP($A262,main!$A$3:$H$102,6,FALSE)&gt;=main!$D$103+VLOOKUP(VLOOKUP(CB$1,main!$A$3:$I$102,7,FALSE),main!$K$26:$Q$29,5,FALSE)),1,0)</f>
        <v>0</v>
      </c>
      <c r="CC262">
        <f>IF(AND(VLOOKUP(CC$1,main!$A$3:$H$102,7,FALSE)=main!$G$105,VLOOKUP(CC$1,main!$A$3:$H$102,5,FALSE)-VLOOKUP($A262,main!$A$3:$H$102,6,FALSE)&gt;=main!$D$103+VLOOKUP(VLOOKUP(CC$1,main!$A$3:$I$102,7,FALSE),main!$K$26:$Q$29,5,FALSE)),1,0)</f>
        <v>0</v>
      </c>
      <c r="CD262">
        <f>IF(AND(VLOOKUP(CD$1,main!$A$3:$H$102,7,FALSE)=main!$G$105,VLOOKUP(CD$1,main!$A$3:$H$102,5,FALSE)-VLOOKUP($A262,main!$A$3:$H$102,6,FALSE)&gt;=main!$D$103+VLOOKUP(VLOOKUP(CD$1,main!$A$3:$I$102,7,FALSE),main!$K$26:$Q$29,5,FALSE)),1,0)</f>
        <v>0</v>
      </c>
      <c r="CE262">
        <f>IF(AND(VLOOKUP(CE$1,main!$A$3:$H$102,7,FALSE)=main!$G$105,VLOOKUP(CE$1,main!$A$3:$H$102,5,FALSE)-VLOOKUP($A262,main!$A$3:$H$102,6,FALSE)&gt;=main!$D$103+VLOOKUP(VLOOKUP(CE$1,main!$A$3:$I$102,7,FALSE),main!$K$26:$Q$29,5,FALSE)),1,0)</f>
        <v>0</v>
      </c>
      <c r="CF262">
        <f>IF(AND(VLOOKUP(CF$1,main!$A$3:$H$102,7,FALSE)=main!$G$105,VLOOKUP(CF$1,main!$A$3:$H$102,5,FALSE)-VLOOKUP($A262,main!$A$3:$H$102,6,FALSE)&gt;=main!$D$103+VLOOKUP(VLOOKUP(CF$1,main!$A$3:$I$102,7,FALSE),main!$K$26:$Q$29,5,FALSE)),1,0)</f>
        <v>0</v>
      </c>
      <c r="CG262">
        <f>IF(AND(VLOOKUP(CG$1,main!$A$3:$H$102,7,FALSE)=main!$G$105,VLOOKUP(CG$1,main!$A$3:$H$102,5,FALSE)-VLOOKUP($A262,main!$A$3:$H$102,6,FALSE)&gt;=main!$D$103+VLOOKUP(VLOOKUP(CG$1,main!$A$3:$I$102,7,FALSE),main!$K$26:$Q$29,5,FALSE)),1,0)</f>
        <v>0</v>
      </c>
      <c r="CH262">
        <f>IF(AND(VLOOKUP(CH$1,main!$A$3:$H$102,7,FALSE)=main!$G$105,VLOOKUP(CH$1,main!$A$3:$H$102,5,FALSE)-VLOOKUP($A262,main!$A$3:$H$102,6,FALSE)&gt;=main!$D$103+VLOOKUP(VLOOKUP(CH$1,main!$A$3:$I$102,7,FALSE),main!$K$26:$Q$29,5,FALSE)),1,0)</f>
        <v>0</v>
      </c>
      <c r="CI262">
        <f>IF(AND(VLOOKUP(CI$1,main!$A$3:$H$102,7,FALSE)=main!$G$105,VLOOKUP(CI$1,main!$A$3:$H$102,5,FALSE)-VLOOKUP($A262,main!$A$3:$H$102,6,FALSE)&gt;=main!$D$103+VLOOKUP(VLOOKUP(CI$1,main!$A$3:$I$102,7,FALSE),main!$K$26:$Q$29,5,FALSE)),1,0)</f>
        <v>0</v>
      </c>
      <c r="CJ262">
        <f>IF(AND(VLOOKUP(CJ$1,main!$A$3:$H$102,7,FALSE)=main!$G$105,VLOOKUP(CJ$1,main!$A$3:$H$102,5,FALSE)-VLOOKUP($A262,main!$A$3:$H$102,6,FALSE)&gt;=main!$D$103+VLOOKUP(VLOOKUP(CJ$1,main!$A$3:$I$102,7,FALSE),main!$K$26:$Q$29,5,FALSE)),1,0)</f>
        <v>0</v>
      </c>
      <c r="CK262">
        <f>IF(AND(VLOOKUP(CK$1,main!$A$3:$H$102,7,FALSE)=main!$G$105,VLOOKUP(CK$1,main!$A$3:$H$102,5,FALSE)-VLOOKUP($A262,main!$A$3:$H$102,6,FALSE)&gt;=main!$D$103+VLOOKUP(VLOOKUP(CK$1,main!$A$3:$I$102,7,FALSE),main!$K$26:$Q$29,5,FALSE)),1,0)</f>
        <v>0</v>
      </c>
      <c r="CL262">
        <f>IF(AND(VLOOKUP(CL$1,main!$A$3:$H$102,7,FALSE)=main!$G$105,VLOOKUP(CL$1,main!$A$3:$H$102,5,FALSE)-VLOOKUP($A262,main!$A$3:$H$102,6,FALSE)&gt;=main!$D$103+VLOOKUP(VLOOKUP(CL$1,main!$A$3:$I$102,7,FALSE),main!$K$26:$Q$29,5,FALSE)),1,0)</f>
        <v>0</v>
      </c>
      <c r="CM262">
        <f>IF(AND(VLOOKUP(CM$1,main!$A$3:$H$102,7,FALSE)=main!$G$105,VLOOKUP(CM$1,main!$A$3:$H$102,5,FALSE)-VLOOKUP($A262,main!$A$3:$H$102,6,FALSE)&gt;=main!$D$103+VLOOKUP(VLOOKUP(CM$1,main!$A$3:$I$102,7,FALSE),main!$K$26:$Q$29,5,FALSE)),1,0)</f>
        <v>0</v>
      </c>
      <c r="CN262">
        <f>IF(AND(VLOOKUP(CN$1,main!$A$3:$H$102,7,FALSE)=main!$G$105,VLOOKUP(CN$1,main!$A$3:$H$102,5,FALSE)-VLOOKUP($A262,main!$A$3:$H$102,6,FALSE)&gt;=main!$D$103+VLOOKUP(VLOOKUP(CN$1,main!$A$3:$I$102,7,FALSE),main!$K$26:$Q$29,5,FALSE)),1,0)</f>
        <v>0</v>
      </c>
      <c r="CO262">
        <f>IF(AND(VLOOKUP(CO$1,main!$A$3:$H$102,7,FALSE)=main!$G$105,VLOOKUP(CO$1,main!$A$3:$H$102,5,FALSE)-VLOOKUP($A262,main!$A$3:$H$102,6,FALSE)&gt;=main!$D$103+VLOOKUP(VLOOKUP(CO$1,main!$A$3:$I$102,7,FALSE),main!$K$26:$Q$29,5,FALSE)),1,0)</f>
        <v>0</v>
      </c>
      <c r="CP262">
        <f>IF(AND(VLOOKUP(CP$1,main!$A$3:$H$102,7,FALSE)=main!$G$105,VLOOKUP(CP$1,main!$A$3:$H$102,5,FALSE)-VLOOKUP($A262,main!$A$3:$H$102,6,FALSE)&gt;=main!$D$103+VLOOKUP(VLOOKUP(CP$1,main!$A$3:$I$102,7,FALSE),main!$K$26:$Q$29,5,FALSE)),1,0)</f>
        <v>0</v>
      </c>
      <c r="CQ262">
        <f>IF(AND(VLOOKUP(CQ$1,main!$A$3:$H$102,7,FALSE)=main!$G$105,VLOOKUP(CQ$1,main!$A$3:$H$102,5,FALSE)-VLOOKUP($A262,main!$A$3:$H$102,6,FALSE)&gt;=main!$D$103+VLOOKUP(VLOOKUP(CQ$1,main!$A$3:$I$102,7,FALSE),main!$K$26:$Q$29,5,FALSE)),1,0)</f>
        <v>0</v>
      </c>
      <c r="CR262">
        <f>IF(AND(VLOOKUP(CR$1,main!$A$3:$H$102,7,FALSE)=main!$G$105,VLOOKUP(CR$1,main!$A$3:$H$102,5,FALSE)-VLOOKUP($A262,main!$A$3:$H$102,6,FALSE)&gt;=main!$D$103+VLOOKUP(VLOOKUP(CR$1,main!$A$3:$I$102,7,FALSE),main!$K$26:$Q$29,5,FALSE)),1,0)</f>
        <v>0</v>
      </c>
      <c r="CS262">
        <f>IF(AND(VLOOKUP(CS$1,main!$A$3:$H$102,7,FALSE)=main!$G$105,VLOOKUP(CS$1,main!$A$3:$H$102,5,FALSE)-VLOOKUP($A262,main!$A$3:$H$102,6,FALSE)&gt;=main!$D$103+VLOOKUP(VLOOKUP(CS$1,main!$A$3:$I$102,7,FALSE),main!$K$26:$Q$29,5,FALSE)),1,0)</f>
        <v>0</v>
      </c>
      <c r="CT262">
        <f>IF(AND(VLOOKUP(CT$1,main!$A$3:$H$102,7,FALSE)=main!$G$105,VLOOKUP(CT$1,main!$A$3:$H$102,5,FALSE)-VLOOKUP($A262,main!$A$3:$H$102,6,FALSE)&gt;=main!$D$103+VLOOKUP(VLOOKUP(CT$1,main!$A$3:$I$102,7,FALSE),main!$K$26:$Q$29,5,FALSE)),1,0)</f>
        <v>0</v>
      </c>
      <c r="CU262">
        <f>IF(AND(VLOOKUP(CU$1,main!$A$3:$H$102,7,FALSE)=main!$G$105,VLOOKUP(CU$1,main!$A$3:$H$102,5,FALSE)-VLOOKUP($A262,main!$A$3:$H$102,6,FALSE)&gt;=main!$D$103+VLOOKUP(VLOOKUP(CU$1,main!$A$3:$I$102,7,FALSE),main!$K$26:$Q$29,5,FALSE)),1,0)</f>
        <v>0</v>
      </c>
      <c r="CV262">
        <f>IF(AND(VLOOKUP(CV$1,main!$A$3:$H$102,7,FALSE)=main!$G$105,VLOOKUP(CV$1,main!$A$3:$H$102,5,FALSE)-VLOOKUP($A262,main!$A$3:$H$102,6,FALSE)&gt;=main!$D$103+VLOOKUP(VLOOKUP(CV$1,main!$A$3:$I$102,7,FALSE),main!$K$26:$Q$29,5,FALSE)),1,0)</f>
        <v>0</v>
      </c>
      <c r="CW262">
        <f>IF(AND(VLOOKUP(CW$1,main!$A$3:$H$102,7,FALSE)=main!$G$105,VLOOKUP(CW$1,main!$A$3:$H$102,5,FALSE)-VLOOKUP($A262,main!$A$3:$H$102,6,FALSE)&gt;=main!$D$103+VLOOKUP(VLOOKUP(CW$1,main!$A$3:$I$102,7,FALSE),main!$K$26:$Q$29,5,FALSE)),1,0)</f>
        <v>0</v>
      </c>
      <c r="CX262">
        <f>IF(AND(VLOOKUP(CX$1,main!$A$3:$H$102,7,FALSE)=main!$G$105,VLOOKUP(CX$1,main!$A$3:$H$102,5,FALSE)-VLOOKUP($A262,main!$A$3:$H$102,6,FALSE)&gt;=main!$D$103+VLOOKUP(VLOOKUP(CX$1,main!$A$3:$I$102,7,FALSE),main!$K$26:$Q$29,5,FALSE)),1,0)</f>
        <v>0</v>
      </c>
    </row>
    <row r="263" spans="1:102" x14ac:dyDescent="0.25">
      <c r="A263" s="1">
        <v>59</v>
      </c>
      <c r="B263">
        <v>0</v>
      </c>
      <c r="C263">
        <f>IF(AND(VLOOKUP(C$1,main!$A$3:$H$102,7,FALSE)=main!$G$105,VLOOKUP(C$1,main!$A$3:$H$102,5,FALSE)-VLOOKUP($A263,main!$A$3:$H$102,6,FALSE)&gt;=main!$D$103+VLOOKUP(VLOOKUP(C$1,main!$A$3:$I$102,7,FALSE),main!$K$26:$Q$29,5,FALSE)),1,0)</f>
        <v>0</v>
      </c>
      <c r="D263">
        <f>IF(AND(VLOOKUP(D$1,main!$A$3:$H$102,7,FALSE)=main!$G$105,VLOOKUP(D$1,main!$A$3:$H$102,5,FALSE)-VLOOKUP($A263,main!$A$3:$H$102,6,FALSE)&gt;=main!$D$103+VLOOKUP(VLOOKUP(D$1,main!$A$3:$I$102,7,FALSE),main!$K$26:$Q$29,5,FALSE)),1,0)</f>
        <v>0</v>
      </c>
      <c r="E263">
        <f>IF(AND(VLOOKUP(E$1,main!$A$3:$H$102,7,FALSE)=main!$G$105,VLOOKUP(E$1,main!$A$3:$H$102,5,FALSE)-VLOOKUP($A263,main!$A$3:$H$102,6,FALSE)&gt;=main!$D$103+VLOOKUP(VLOOKUP(E$1,main!$A$3:$I$102,7,FALSE),main!$K$26:$Q$29,5,FALSE)),1,0)</f>
        <v>0</v>
      </c>
      <c r="F263">
        <f>IF(AND(VLOOKUP(F$1,main!$A$3:$H$102,7,FALSE)=main!$G$105,VLOOKUP(F$1,main!$A$3:$H$102,5,FALSE)-VLOOKUP($A263,main!$A$3:$H$102,6,FALSE)&gt;=main!$D$103+VLOOKUP(VLOOKUP(F$1,main!$A$3:$I$102,7,FALSE),main!$K$26:$Q$29,5,FALSE)),1,0)</f>
        <v>0</v>
      </c>
      <c r="G263">
        <f>IF(AND(VLOOKUP(G$1,main!$A$3:$H$102,7,FALSE)=main!$G$105,VLOOKUP(G$1,main!$A$3:$H$102,5,FALSE)-VLOOKUP($A263,main!$A$3:$H$102,6,FALSE)&gt;=main!$D$103+VLOOKUP(VLOOKUP(G$1,main!$A$3:$I$102,7,FALSE),main!$K$26:$Q$29,5,FALSE)),1,0)</f>
        <v>0</v>
      </c>
      <c r="H263">
        <f>IF(AND(VLOOKUP(H$1,main!$A$3:$H$102,7,FALSE)=main!$G$105,VLOOKUP(H$1,main!$A$3:$H$102,5,FALSE)-VLOOKUP($A263,main!$A$3:$H$102,6,FALSE)&gt;=main!$D$103+VLOOKUP(VLOOKUP(H$1,main!$A$3:$I$102,7,FALSE),main!$K$26:$Q$29,5,FALSE)),1,0)</f>
        <v>0</v>
      </c>
      <c r="I263">
        <f>IF(AND(VLOOKUP(I$1,main!$A$3:$H$102,7,FALSE)=main!$G$105,VLOOKUP(I$1,main!$A$3:$H$102,5,FALSE)-VLOOKUP($A263,main!$A$3:$H$102,6,FALSE)&gt;=main!$D$103+VLOOKUP(VLOOKUP(I$1,main!$A$3:$I$102,7,FALSE),main!$K$26:$Q$29,5,FALSE)),1,0)</f>
        <v>0</v>
      </c>
      <c r="J263">
        <f>IF(AND(VLOOKUP(J$1,main!$A$3:$H$102,7,FALSE)=main!$G$105,VLOOKUP(J$1,main!$A$3:$H$102,5,FALSE)-VLOOKUP($A263,main!$A$3:$H$102,6,FALSE)&gt;=main!$D$103+VLOOKUP(VLOOKUP(J$1,main!$A$3:$I$102,7,FALSE),main!$K$26:$Q$29,5,FALSE)),1,0)</f>
        <v>0</v>
      </c>
      <c r="K263">
        <f>IF(AND(VLOOKUP(K$1,main!$A$3:$H$102,7,FALSE)=main!$G$105,VLOOKUP(K$1,main!$A$3:$H$102,5,FALSE)-VLOOKUP($A263,main!$A$3:$H$102,6,FALSE)&gt;=main!$D$103+VLOOKUP(VLOOKUP(K$1,main!$A$3:$I$102,7,FALSE),main!$K$26:$Q$29,5,FALSE)),1,0)</f>
        <v>0</v>
      </c>
      <c r="L263">
        <f>IF(AND(VLOOKUP(L$1,main!$A$3:$H$102,7,FALSE)=main!$G$105,VLOOKUP(L$1,main!$A$3:$H$102,5,FALSE)-VLOOKUP($A263,main!$A$3:$H$102,6,FALSE)&gt;=main!$D$103+VLOOKUP(VLOOKUP(L$1,main!$A$3:$I$102,7,FALSE),main!$K$26:$Q$29,5,FALSE)),1,0)</f>
        <v>0</v>
      </c>
      <c r="M263">
        <f>IF(AND(VLOOKUP(M$1,main!$A$3:$H$102,7,FALSE)=main!$G$105,VLOOKUP(M$1,main!$A$3:$H$102,5,FALSE)-VLOOKUP($A263,main!$A$3:$H$102,6,FALSE)&gt;=main!$D$103+VLOOKUP(VLOOKUP(M$1,main!$A$3:$I$102,7,FALSE),main!$K$26:$Q$29,5,FALSE)),1,0)</f>
        <v>0</v>
      </c>
      <c r="N263">
        <f>IF(AND(VLOOKUP(N$1,main!$A$3:$H$102,7,FALSE)=main!$G$105,VLOOKUP(N$1,main!$A$3:$H$102,5,FALSE)-VLOOKUP($A263,main!$A$3:$H$102,6,FALSE)&gt;=main!$D$103+VLOOKUP(VLOOKUP(N$1,main!$A$3:$I$102,7,FALSE),main!$K$26:$Q$29,5,FALSE)),1,0)</f>
        <v>0</v>
      </c>
      <c r="O263">
        <f>IF(AND(VLOOKUP(O$1,main!$A$3:$H$102,7,FALSE)=main!$G$105,VLOOKUP(O$1,main!$A$3:$H$102,5,FALSE)-VLOOKUP($A263,main!$A$3:$H$102,6,FALSE)&gt;=main!$D$103+VLOOKUP(VLOOKUP(O$1,main!$A$3:$I$102,7,FALSE),main!$K$26:$Q$29,5,FALSE)),1,0)</f>
        <v>0</v>
      </c>
      <c r="P263">
        <f>IF(AND(VLOOKUP(P$1,main!$A$3:$H$102,7,FALSE)=main!$G$105,VLOOKUP(P$1,main!$A$3:$H$102,5,FALSE)-VLOOKUP($A263,main!$A$3:$H$102,6,FALSE)&gt;=main!$D$103+VLOOKUP(VLOOKUP(P$1,main!$A$3:$I$102,7,FALSE),main!$K$26:$Q$29,5,FALSE)),1,0)</f>
        <v>0</v>
      </c>
      <c r="Q263">
        <f>IF(AND(VLOOKUP(Q$1,main!$A$3:$H$102,7,FALSE)=main!$G$105,VLOOKUP(Q$1,main!$A$3:$H$102,5,FALSE)-VLOOKUP($A263,main!$A$3:$H$102,6,FALSE)&gt;=main!$D$103+VLOOKUP(VLOOKUP(Q$1,main!$A$3:$I$102,7,FALSE),main!$K$26:$Q$29,5,FALSE)),1,0)</f>
        <v>0</v>
      </c>
      <c r="R263">
        <f>IF(AND(VLOOKUP(R$1,main!$A$3:$H$102,7,FALSE)=main!$G$105,VLOOKUP(R$1,main!$A$3:$H$102,5,FALSE)-VLOOKUP($A263,main!$A$3:$H$102,6,FALSE)&gt;=main!$D$103+VLOOKUP(VLOOKUP(R$1,main!$A$3:$I$102,7,FALSE),main!$K$26:$Q$29,5,FALSE)),1,0)</f>
        <v>0</v>
      </c>
      <c r="S263">
        <f>IF(AND(VLOOKUP(S$1,main!$A$3:$H$102,7,FALSE)=main!$G$105,VLOOKUP(S$1,main!$A$3:$H$102,5,FALSE)-VLOOKUP($A263,main!$A$3:$H$102,6,FALSE)&gt;=main!$D$103+VLOOKUP(VLOOKUP(S$1,main!$A$3:$I$102,7,FALSE),main!$K$26:$Q$29,5,FALSE)),1,0)</f>
        <v>0</v>
      </c>
      <c r="T263">
        <f>IF(AND(VLOOKUP(T$1,main!$A$3:$H$102,7,FALSE)=main!$G$105,VLOOKUP(T$1,main!$A$3:$H$102,5,FALSE)-VLOOKUP($A263,main!$A$3:$H$102,6,FALSE)&gt;=main!$D$103+VLOOKUP(VLOOKUP(T$1,main!$A$3:$I$102,7,FALSE),main!$K$26:$Q$29,5,FALSE)),1,0)</f>
        <v>0</v>
      </c>
      <c r="U263">
        <f>IF(AND(VLOOKUP(U$1,main!$A$3:$H$102,7,FALSE)=main!$G$105,VLOOKUP(U$1,main!$A$3:$H$102,5,FALSE)-VLOOKUP($A263,main!$A$3:$H$102,6,FALSE)&gt;=main!$D$103+VLOOKUP(VLOOKUP(U$1,main!$A$3:$I$102,7,FALSE),main!$K$26:$Q$29,5,FALSE)),1,0)</f>
        <v>0</v>
      </c>
      <c r="V263">
        <f>IF(AND(VLOOKUP(V$1,main!$A$3:$H$102,7,FALSE)=main!$G$105,VLOOKUP(V$1,main!$A$3:$H$102,5,FALSE)-VLOOKUP($A263,main!$A$3:$H$102,6,FALSE)&gt;=main!$D$103+VLOOKUP(VLOOKUP(V$1,main!$A$3:$I$102,7,FALSE),main!$K$26:$Q$29,5,FALSE)),1,0)</f>
        <v>0</v>
      </c>
      <c r="W263">
        <f>IF(AND(VLOOKUP(W$1,main!$A$3:$H$102,7,FALSE)=main!$G$105,VLOOKUP(W$1,main!$A$3:$H$102,5,FALSE)-VLOOKUP($A263,main!$A$3:$H$102,6,FALSE)&gt;=main!$D$103+VLOOKUP(VLOOKUP(W$1,main!$A$3:$I$102,7,FALSE),main!$K$26:$Q$29,5,FALSE)),1,0)</f>
        <v>0</v>
      </c>
      <c r="X263">
        <f>IF(AND(VLOOKUP(X$1,main!$A$3:$H$102,7,FALSE)=main!$G$105,VLOOKUP(X$1,main!$A$3:$H$102,5,FALSE)-VLOOKUP($A263,main!$A$3:$H$102,6,FALSE)&gt;=main!$D$103+VLOOKUP(VLOOKUP(X$1,main!$A$3:$I$102,7,FALSE),main!$K$26:$Q$29,5,FALSE)),1,0)</f>
        <v>0</v>
      </c>
      <c r="Y263">
        <f>IF(AND(VLOOKUP(Y$1,main!$A$3:$H$102,7,FALSE)=main!$G$105,VLOOKUP(Y$1,main!$A$3:$H$102,5,FALSE)-VLOOKUP($A263,main!$A$3:$H$102,6,FALSE)&gt;=main!$D$103+VLOOKUP(VLOOKUP(Y$1,main!$A$3:$I$102,7,FALSE),main!$K$26:$Q$29,5,FALSE)),1,0)</f>
        <v>0</v>
      </c>
      <c r="Z263">
        <f>IF(AND(VLOOKUP(Z$1,main!$A$3:$H$102,7,FALSE)=main!$G$105,VLOOKUP(Z$1,main!$A$3:$H$102,5,FALSE)-VLOOKUP($A263,main!$A$3:$H$102,6,FALSE)&gt;=main!$D$103+VLOOKUP(VLOOKUP(Z$1,main!$A$3:$I$102,7,FALSE),main!$K$26:$Q$29,5,FALSE)),1,0)</f>
        <v>0</v>
      </c>
      <c r="AA263">
        <f>IF(AND(VLOOKUP(AA$1,main!$A$3:$H$102,7,FALSE)=main!$G$105,VLOOKUP(AA$1,main!$A$3:$H$102,5,FALSE)-VLOOKUP($A263,main!$A$3:$H$102,6,FALSE)&gt;=main!$D$103+VLOOKUP(VLOOKUP(AA$1,main!$A$3:$I$102,7,FALSE),main!$K$26:$Q$29,5,FALSE)),1,0)</f>
        <v>0</v>
      </c>
      <c r="AB263">
        <f>IF(AND(VLOOKUP(AB$1,main!$A$3:$H$102,7,FALSE)=main!$G$105,VLOOKUP(AB$1,main!$A$3:$H$102,5,FALSE)-VLOOKUP($A263,main!$A$3:$H$102,6,FALSE)&gt;=main!$D$103+VLOOKUP(VLOOKUP(AB$1,main!$A$3:$I$102,7,FALSE),main!$K$26:$Q$29,5,FALSE)),1,0)</f>
        <v>0</v>
      </c>
      <c r="AC263">
        <f>IF(AND(VLOOKUP(AC$1,main!$A$3:$H$102,7,FALSE)=main!$G$105,VLOOKUP(AC$1,main!$A$3:$H$102,5,FALSE)-VLOOKUP($A263,main!$A$3:$H$102,6,FALSE)&gt;=main!$D$103+VLOOKUP(VLOOKUP(AC$1,main!$A$3:$I$102,7,FALSE),main!$K$26:$Q$29,5,FALSE)),1,0)</f>
        <v>0</v>
      </c>
      <c r="AD263">
        <f>IF(AND(VLOOKUP(AD$1,main!$A$3:$H$102,7,FALSE)=main!$G$105,VLOOKUP(AD$1,main!$A$3:$H$102,5,FALSE)-VLOOKUP($A263,main!$A$3:$H$102,6,FALSE)&gt;=main!$D$103+VLOOKUP(VLOOKUP(AD$1,main!$A$3:$I$102,7,FALSE),main!$K$26:$Q$29,5,FALSE)),1,0)</f>
        <v>0</v>
      </c>
      <c r="AE263">
        <f>IF(AND(VLOOKUP(AE$1,main!$A$3:$H$102,7,FALSE)=main!$G$105,VLOOKUP(AE$1,main!$A$3:$H$102,5,FALSE)-VLOOKUP($A263,main!$A$3:$H$102,6,FALSE)&gt;=main!$D$103+VLOOKUP(VLOOKUP(AE$1,main!$A$3:$I$102,7,FALSE),main!$K$26:$Q$29,5,FALSE)),1,0)</f>
        <v>0</v>
      </c>
      <c r="AF263">
        <f>IF(AND(VLOOKUP(AF$1,main!$A$3:$H$102,7,FALSE)=main!$G$105,VLOOKUP(AF$1,main!$A$3:$H$102,5,FALSE)-VLOOKUP($A263,main!$A$3:$H$102,6,FALSE)&gt;=main!$D$103+VLOOKUP(VLOOKUP(AF$1,main!$A$3:$I$102,7,FALSE),main!$K$26:$Q$29,5,FALSE)),1,0)</f>
        <v>0</v>
      </c>
      <c r="AG263">
        <f>IF(AND(VLOOKUP(AG$1,main!$A$3:$H$102,7,FALSE)=main!$G$105,VLOOKUP(AG$1,main!$A$3:$H$102,5,FALSE)-VLOOKUP($A263,main!$A$3:$H$102,6,FALSE)&gt;=main!$D$103+VLOOKUP(VLOOKUP(AG$1,main!$A$3:$I$102,7,FALSE),main!$K$26:$Q$29,5,FALSE)),1,0)</f>
        <v>0</v>
      </c>
      <c r="AH263">
        <f>IF(AND(VLOOKUP(AH$1,main!$A$3:$H$102,7,FALSE)=main!$G$105,VLOOKUP(AH$1,main!$A$3:$H$102,5,FALSE)-VLOOKUP($A263,main!$A$3:$H$102,6,FALSE)&gt;=main!$D$103+VLOOKUP(VLOOKUP(AH$1,main!$A$3:$I$102,7,FALSE),main!$K$26:$Q$29,5,FALSE)),1,0)</f>
        <v>0</v>
      </c>
      <c r="AI263">
        <f>IF(AND(VLOOKUP(AI$1,main!$A$3:$H$102,7,FALSE)=main!$G$105,VLOOKUP(AI$1,main!$A$3:$H$102,5,FALSE)-VLOOKUP($A263,main!$A$3:$H$102,6,FALSE)&gt;=main!$D$103+VLOOKUP(VLOOKUP(AI$1,main!$A$3:$I$102,7,FALSE),main!$K$26:$Q$29,5,FALSE)),1,0)</f>
        <v>0</v>
      </c>
      <c r="AJ263">
        <f>IF(AND(VLOOKUP(AJ$1,main!$A$3:$H$102,7,FALSE)=main!$G$105,VLOOKUP(AJ$1,main!$A$3:$H$102,5,FALSE)-VLOOKUP($A263,main!$A$3:$H$102,6,FALSE)&gt;=main!$D$103+VLOOKUP(VLOOKUP(AJ$1,main!$A$3:$I$102,7,FALSE),main!$K$26:$Q$29,5,FALSE)),1,0)</f>
        <v>0</v>
      </c>
      <c r="AK263">
        <f>IF(AND(VLOOKUP(AK$1,main!$A$3:$H$102,7,FALSE)=main!$G$105,VLOOKUP(AK$1,main!$A$3:$H$102,5,FALSE)-VLOOKUP($A263,main!$A$3:$H$102,6,FALSE)&gt;=main!$D$103+VLOOKUP(VLOOKUP(AK$1,main!$A$3:$I$102,7,FALSE),main!$K$26:$Q$29,5,FALSE)),1,0)</f>
        <v>0</v>
      </c>
      <c r="AL263">
        <f>IF(AND(VLOOKUP(AL$1,main!$A$3:$H$102,7,FALSE)=main!$G$105,VLOOKUP(AL$1,main!$A$3:$H$102,5,FALSE)-VLOOKUP($A263,main!$A$3:$H$102,6,FALSE)&gt;=main!$D$103+VLOOKUP(VLOOKUP(AL$1,main!$A$3:$I$102,7,FALSE),main!$K$26:$Q$29,5,FALSE)),1,0)</f>
        <v>0</v>
      </c>
      <c r="AM263">
        <f>IF(AND(VLOOKUP(AM$1,main!$A$3:$H$102,7,FALSE)=main!$G$105,VLOOKUP(AM$1,main!$A$3:$H$102,5,FALSE)-VLOOKUP($A263,main!$A$3:$H$102,6,FALSE)&gt;=main!$D$103+VLOOKUP(VLOOKUP(AM$1,main!$A$3:$I$102,7,FALSE),main!$K$26:$Q$29,5,FALSE)),1,0)</f>
        <v>0</v>
      </c>
      <c r="AN263">
        <f>IF(AND(VLOOKUP(AN$1,main!$A$3:$H$102,7,FALSE)=main!$G$105,VLOOKUP(AN$1,main!$A$3:$H$102,5,FALSE)-VLOOKUP($A263,main!$A$3:$H$102,6,FALSE)&gt;=main!$D$103+VLOOKUP(VLOOKUP(AN$1,main!$A$3:$I$102,7,FALSE),main!$K$26:$Q$29,5,FALSE)),1,0)</f>
        <v>0</v>
      </c>
      <c r="AO263">
        <f>IF(AND(VLOOKUP(AO$1,main!$A$3:$H$102,7,FALSE)=main!$G$105,VLOOKUP(AO$1,main!$A$3:$H$102,5,FALSE)-VLOOKUP($A263,main!$A$3:$H$102,6,FALSE)&gt;=main!$D$103+VLOOKUP(VLOOKUP(AO$1,main!$A$3:$I$102,7,FALSE),main!$K$26:$Q$29,5,FALSE)),1,0)</f>
        <v>0</v>
      </c>
      <c r="AP263">
        <f>IF(AND(VLOOKUP(AP$1,main!$A$3:$H$102,7,FALSE)=main!$G$105,VLOOKUP(AP$1,main!$A$3:$H$102,5,FALSE)-VLOOKUP($A263,main!$A$3:$H$102,6,FALSE)&gt;=main!$D$103+VLOOKUP(VLOOKUP(AP$1,main!$A$3:$I$102,7,FALSE),main!$K$26:$Q$29,5,FALSE)),1,0)</f>
        <v>0</v>
      </c>
      <c r="AQ263">
        <f>IF(AND(VLOOKUP(AQ$1,main!$A$3:$H$102,7,FALSE)=main!$G$105,VLOOKUP(AQ$1,main!$A$3:$H$102,5,FALSE)-VLOOKUP($A263,main!$A$3:$H$102,6,FALSE)&gt;=main!$D$103+VLOOKUP(VLOOKUP(AQ$1,main!$A$3:$I$102,7,FALSE),main!$K$26:$Q$29,5,FALSE)),1,0)</f>
        <v>0</v>
      </c>
      <c r="AR263">
        <f>IF(AND(VLOOKUP(AR$1,main!$A$3:$H$102,7,FALSE)=main!$G$105,VLOOKUP(AR$1,main!$A$3:$H$102,5,FALSE)-VLOOKUP($A263,main!$A$3:$H$102,6,FALSE)&gt;=main!$D$103+VLOOKUP(VLOOKUP(AR$1,main!$A$3:$I$102,7,FALSE),main!$K$26:$Q$29,5,FALSE)),1,0)</f>
        <v>0</v>
      </c>
      <c r="AS263">
        <f>IF(AND(VLOOKUP(AS$1,main!$A$3:$H$102,7,FALSE)=main!$G$105,VLOOKUP(AS$1,main!$A$3:$H$102,5,FALSE)-VLOOKUP($A263,main!$A$3:$H$102,6,FALSE)&gt;=main!$D$103+VLOOKUP(VLOOKUP(AS$1,main!$A$3:$I$102,7,FALSE),main!$K$26:$Q$29,5,FALSE)),1,0)</f>
        <v>0</v>
      </c>
      <c r="AT263">
        <f>IF(AND(VLOOKUP(AT$1,main!$A$3:$H$102,7,FALSE)=main!$G$105,VLOOKUP(AT$1,main!$A$3:$H$102,5,FALSE)-VLOOKUP($A263,main!$A$3:$H$102,6,FALSE)&gt;=main!$D$103+VLOOKUP(VLOOKUP(AT$1,main!$A$3:$I$102,7,FALSE),main!$K$26:$Q$29,5,FALSE)),1,0)</f>
        <v>0</v>
      </c>
      <c r="AU263">
        <f>IF(AND(VLOOKUP(AU$1,main!$A$3:$H$102,7,FALSE)=main!$G$105,VLOOKUP(AU$1,main!$A$3:$H$102,5,FALSE)-VLOOKUP($A263,main!$A$3:$H$102,6,FALSE)&gt;=main!$D$103+VLOOKUP(VLOOKUP(AU$1,main!$A$3:$I$102,7,FALSE),main!$K$26:$Q$29,5,FALSE)),1,0)</f>
        <v>0</v>
      </c>
      <c r="AV263">
        <f>IF(AND(VLOOKUP(AV$1,main!$A$3:$H$102,7,FALSE)=main!$G$105,VLOOKUP(AV$1,main!$A$3:$H$102,5,FALSE)-VLOOKUP($A263,main!$A$3:$H$102,6,FALSE)&gt;=main!$D$103+VLOOKUP(VLOOKUP(AV$1,main!$A$3:$I$102,7,FALSE),main!$K$26:$Q$29,5,FALSE)),1,0)</f>
        <v>0</v>
      </c>
      <c r="AW263">
        <f>IF(AND(VLOOKUP(AW$1,main!$A$3:$H$102,7,FALSE)=main!$G$105,VLOOKUP(AW$1,main!$A$3:$H$102,5,FALSE)-VLOOKUP($A263,main!$A$3:$H$102,6,FALSE)&gt;=main!$D$103+VLOOKUP(VLOOKUP(AW$1,main!$A$3:$I$102,7,FALSE),main!$K$26:$Q$29,5,FALSE)),1,0)</f>
        <v>0</v>
      </c>
      <c r="AX263">
        <f>IF(AND(VLOOKUP(AX$1,main!$A$3:$H$102,7,FALSE)=main!$G$105,VLOOKUP(AX$1,main!$A$3:$H$102,5,FALSE)-VLOOKUP($A263,main!$A$3:$H$102,6,FALSE)&gt;=main!$D$103+VLOOKUP(VLOOKUP(AX$1,main!$A$3:$I$102,7,FALSE),main!$K$26:$Q$29,5,FALSE)),1,0)</f>
        <v>0</v>
      </c>
      <c r="AY263">
        <f>IF(AND(VLOOKUP(AY$1,main!$A$3:$H$102,7,FALSE)=main!$G$105,VLOOKUP(AY$1,main!$A$3:$H$102,5,FALSE)-VLOOKUP($A263,main!$A$3:$H$102,6,FALSE)&gt;=main!$D$103+VLOOKUP(VLOOKUP(AY$1,main!$A$3:$I$102,7,FALSE),main!$K$26:$Q$29,5,FALSE)),1,0)</f>
        <v>0</v>
      </c>
      <c r="AZ263">
        <f>IF(AND(VLOOKUP(AZ$1,main!$A$3:$H$102,7,FALSE)=main!$G$105,VLOOKUP(AZ$1,main!$A$3:$H$102,5,FALSE)-VLOOKUP($A263,main!$A$3:$H$102,6,FALSE)&gt;=main!$D$103+VLOOKUP(VLOOKUP(AZ$1,main!$A$3:$I$102,7,FALSE),main!$K$26:$Q$29,5,FALSE)),1,0)</f>
        <v>0</v>
      </c>
      <c r="BA263">
        <f>IF(AND(VLOOKUP(BA$1,main!$A$3:$H$102,7,FALSE)=main!$G$105,VLOOKUP(BA$1,main!$A$3:$H$102,5,FALSE)-VLOOKUP($A263,main!$A$3:$H$102,6,FALSE)&gt;=main!$D$103+VLOOKUP(VLOOKUP(BA$1,main!$A$3:$I$102,7,FALSE),main!$K$26:$Q$29,5,FALSE)),1,0)</f>
        <v>0</v>
      </c>
      <c r="BB263">
        <f>IF(AND(VLOOKUP(BB$1,main!$A$3:$H$102,7,FALSE)=main!$G$105,VLOOKUP(BB$1,main!$A$3:$H$102,5,FALSE)-VLOOKUP($A263,main!$A$3:$H$102,6,FALSE)&gt;=main!$D$103+VLOOKUP(VLOOKUP(BB$1,main!$A$3:$I$102,7,FALSE),main!$K$26:$Q$29,5,FALSE)),1,0)</f>
        <v>0</v>
      </c>
      <c r="BC263">
        <f>IF(AND(VLOOKUP(BC$1,main!$A$3:$H$102,7,FALSE)=main!$G$105,VLOOKUP(BC$1,main!$A$3:$H$102,5,FALSE)-VLOOKUP($A263,main!$A$3:$H$102,6,FALSE)&gt;=main!$D$103+VLOOKUP(VLOOKUP(BC$1,main!$A$3:$I$102,7,FALSE),main!$K$26:$Q$29,5,FALSE)),1,0)</f>
        <v>0</v>
      </c>
      <c r="BD263">
        <f>IF(AND(VLOOKUP(BD$1,main!$A$3:$H$102,7,FALSE)=main!$G$105,VLOOKUP(BD$1,main!$A$3:$H$102,5,FALSE)-VLOOKUP($A263,main!$A$3:$H$102,6,FALSE)&gt;=main!$D$103+VLOOKUP(VLOOKUP(BD$1,main!$A$3:$I$102,7,FALSE),main!$K$26:$Q$29,5,FALSE)),1,0)</f>
        <v>0</v>
      </c>
      <c r="BE263">
        <f>IF(AND(VLOOKUP(BE$1,main!$A$3:$H$102,7,FALSE)=main!$G$105,VLOOKUP(BE$1,main!$A$3:$H$102,5,FALSE)-VLOOKUP($A263,main!$A$3:$H$102,6,FALSE)&gt;=main!$D$103+VLOOKUP(VLOOKUP(BE$1,main!$A$3:$I$102,7,FALSE),main!$K$26:$Q$29,5,FALSE)),1,0)</f>
        <v>0</v>
      </c>
      <c r="BF263">
        <f>IF(AND(VLOOKUP(BF$1,main!$A$3:$H$102,7,FALSE)=main!$G$105,VLOOKUP(BF$1,main!$A$3:$H$102,5,FALSE)-VLOOKUP($A263,main!$A$3:$H$102,6,FALSE)&gt;=main!$D$103+VLOOKUP(VLOOKUP(BF$1,main!$A$3:$I$102,7,FALSE),main!$K$26:$Q$29,5,FALSE)),1,0)</f>
        <v>0</v>
      </c>
      <c r="BG263">
        <f>IF(AND(VLOOKUP(BG$1,main!$A$3:$H$102,7,FALSE)=main!$G$105,VLOOKUP(BG$1,main!$A$3:$H$102,5,FALSE)-VLOOKUP($A263,main!$A$3:$H$102,6,FALSE)&gt;=main!$D$103+VLOOKUP(VLOOKUP(BG$1,main!$A$3:$I$102,7,FALSE),main!$K$26:$Q$29,5,FALSE)),1,0)</f>
        <v>0</v>
      </c>
      <c r="BH263">
        <f>IF(AND(VLOOKUP(BH$1,main!$A$3:$H$102,7,FALSE)=main!$G$105,VLOOKUP(BH$1,main!$A$3:$H$102,5,FALSE)-VLOOKUP($A263,main!$A$3:$H$102,6,FALSE)&gt;=main!$D$103+VLOOKUP(VLOOKUP(BH$1,main!$A$3:$I$102,7,FALSE),main!$K$26:$Q$29,5,FALSE)),1,0)</f>
        <v>0</v>
      </c>
      <c r="BI263">
        <f>IF(AND(VLOOKUP(BI$1,main!$A$3:$H$102,7,FALSE)=main!$G$105,VLOOKUP(BI$1,main!$A$3:$H$102,5,FALSE)-VLOOKUP($A263,main!$A$3:$H$102,6,FALSE)&gt;=main!$D$103+VLOOKUP(VLOOKUP(BI$1,main!$A$3:$I$102,7,FALSE),main!$K$26:$Q$29,5,FALSE)),1,0)</f>
        <v>0</v>
      </c>
      <c r="BJ263">
        <f>IF(AND(VLOOKUP(BJ$1,main!$A$3:$H$102,7,FALSE)=main!$G$105,VLOOKUP(BJ$1,main!$A$3:$H$102,5,FALSE)-VLOOKUP($A263,main!$A$3:$H$102,6,FALSE)&gt;=main!$D$103+VLOOKUP(VLOOKUP(BJ$1,main!$A$3:$I$102,7,FALSE),main!$K$26:$Q$29,5,FALSE)),1,0)</f>
        <v>0</v>
      </c>
      <c r="BK263">
        <f>IF(AND(VLOOKUP(BK$1,main!$A$3:$H$102,7,FALSE)=main!$G$105,VLOOKUP(BK$1,main!$A$3:$H$102,5,FALSE)-VLOOKUP($A263,main!$A$3:$H$102,6,FALSE)&gt;=main!$D$103+VLOOKUP(VLOOKUP(BK$1,main!$A$3:$I$102,7,FALSE),main!$K$26:$Q$29,5,FALSE)),1,0)</f>
        <v>0</v>
      </c>
      <c r="BL263">
        <f>IF(AND(VLOOKUP(BL$1,main!$A$3:$H$102,7,FALSE)=main!$G$105,VLOOKUP(BL$1,main!$A$3:$H$102,5,FALSE)-VLOOKUP($A263,main!$A$3:$H$102,6,FALSE)&gt;=main!$D$103+VLOOKUP(VLOOKUP(BL$1,main!$A$3:$I$102,7,FALSE),main!$K$26:$Q$29,5,FALSE)),1,0)</f>
        <v>0</v>
      </c>
      <c r="BM263">
        <f>IF(AND(VLOOKUP(BM$1,main!$A$3:$H$102,7,FALSE)=main!$G$105,VLOOKUP(BM$1,main!$A$3:$H$102,5,FALSE)-VLOOKUP($A263,main!$A$3:$H$102,6,FALSE)&gt;=main!$D$103+VLOOKUP(VLOOKUP(BM$1,main!$A$3:$I$102,7,FALSE),main!$K$26:$Q$29,5,FALSE)),1,0)</f>
        <v>0</v>
      </c>
      <c r="BN263">
        <f>IF(AND(VLOOKUP(BN$1,main!$A$3:$H$102,7,FALSE)=main!$G$105,VLOOKUP(BN$1,main!$A$3:$H$102,5,FALSE)-VLOOKUP($A263,main!$A$3:$H$102,6,FALSE)&gt;=main!$D$103+VLOOKUP(VLOOKUP(BN$1,main!$A$3:$I$102,7,FALSE),main!$K$26:$Q$29,5,FALSE)),1,0)</f>
        <v>0</v>
      </c>
      <c r="BO263">
        <f>IF(AND(VLOOKUP(BO$1,main!$A$3:$H$102,7,FALSE)=main!$G$105,VLOOKUP(BO$1,main!$A$3:$H$102,5,FALSE)-VLOOKUP($A263,main!$A$3:$H$102,6,FALSE)&gt;=main!$D$103+VLOOKUP(VLOOKUP(BO$1,main!$A$3:$I$102,7,FALSE),main!$K$26:$Q$29,5,FALSE)),1,0)</f>
        <v>0</v>
      </c>
      <c r="BP263">
        <f>IF(AND(VLOOKUP(BP$1,main!$A$3:$H$102,7,FALSE)=main!$G$105,VLOOKUP(BP$1,main!$A$3:$H$102,5,FALSE)-VLOOKUP($A263,main!$A$3:$H$102,6,FALSE)&gt;=main!$D$103+VLOOKUP(VLOOKUP(BP$1,main!$A$3:$I$102,7,FALSE),main!$K$26:$Q$29,5,FALSE)),1,0)</f>
        <v>0</v>
      </c>
      <c r="BQ263">
        <f>IF(AND(VLOOKUP(BQ$1,main!$A$3:$H$102,7,FALSE)=main!$G$105,VLOOKUP(BQ$1,main!$A$3:$H$102,5,FALSE)-VLOOKUP($A263,main!$A$3:$H$102,6,FALSE)&gt;=main!$D$103+VLOOKUP(VLOOKUP(BQ$1,main!$A$3:$I$102,7,FALSE),main!$K$26:$Q$29,5,FALSE)),1,0)</f>
        <v>0</v>
      </c>
      <c r="BR263">
        <f>IF(AND(VLOOKUP(BR$1,main!$A$3:$H$102,7,FALSE)=main!$G$105,VLOOKUP(BR$1,main!$A$3:$H$102,5,FALSE)-VLOOKUP($A263,main!$A$3:$H$102,6,FALSE)&gt;=main!$D$103+VLOOKUP(VLOOKUP(BR$1,main!$A$3:$I$102,7,FALSE),main!$K$26:$Q$29,5,FALSE)),1,0)</f>
        <v>0</v>
      </c>
      <c r="BS263">
        <f>IF(AND(VLOOKUP(BS$1,main!$A$3:$H$102,7,FALSE)=main!$G$105,VLOOKUP(BS$1,main!$A$3:$H$102,5,FALSE)-VLOOKUP($A263,main!$A$3:$H$102,6,FALSE)&gt;=main!$D$103+VLOOKUP(VLOOKUP(BS$1,main!$A$3:$I$102,7,FALSE),main!$K$26:$Q$29,5,FALSE)),1,0)</f>
        <v>0</v>
      </c>
      <c r="BT263">
        <f>IF(AND(VLOOKUP(BT$1,main!$A$3:$H$102,7,FALSE)=main!$G$105,VLOOKUP(BT$1,main!$A$3:$H$102,5,FALSE)-VLOOKUP($A263,main!$A$3:$H$102,6,FALSE)&gt;=main!$D$103+VLOOKUP(VLOOKUP(BT$1,main!$A$3:$I$102,7,FALSE),main!$K$26:$Q$29,5,FALSE)),1,0)</f>
        <v>0</v>
      </c>
      <c r="BU263">
        <f>IF(AND(VLOOKUP(BU$1,main!$A$3:$H$102,7,FALSE)=main!$G$105,VLOOKUP(BU$1,main!$A$3:$H$102,5,FALSE)-VLOOKUP($A263,main!$A$3:$H$102,6,FALSE)&gt;=main!$D$103+VLOOKUP(VLOOKUP(BU$1,main!$A$3:$I$102,7,FALSE),main!$K$26:$Q$29,5,FALSE)),1,0)</f>
        <v>0</v>
      </c>
      <c r="BV263">
        <f>IF(AND(VLOOKUP(BV$1,main!$A$3:$H$102,7,FALSE)=main!$G$105,VLOOKUP(BV$1,main!$A$3:$H$102,5,FALSE)-VLOOKUP($A263,main!$A$3:$H$102,6,FALSE)&gt;=main!$D$103+VLOOKUP(VLOOKUP(BV$1,main!$A$3:$I$102,7,FALSE),main!$K$26:$Q$29,5,FALSE)),1,0)</f>
        <v>0</v>
      </c>
      <c r="BW263">
        <f>IF(AND(VLOOKUP(BW$1,main!$A$3:$H$102,7,FALSE)=main!$G$105,VLOOKUP(BW$1,main!$A$3:$H$102,5,FALSE)-VLOOKUP($A263,main!$A$3:$H$102,6,FALSE)&gt;=main!$D$103+VLOOKUP(VLOOKUP(BW$1,main!$A$3:$I$102,7,FALSE),main!$K$26:$Q$29,5,FALSE)),1,0)</f>
        <v>0</v>
      </c>
      <c r="BX263">
        <f>IF(AND(VLOOKUP(BX$1,main!$A$3:$H$102,7,FALSE)=main!$G$105,VLOOKUP(BX$1,main!$A$3:$H$102,5,FALSE)-VLOOKUP($A263,main!$A$3:$H$102,6,FALSE)&gt;=main!$D$103+VLOOKUP(VLOOKUP(BX$1,main!$A$3:$I$102,7,FALSE),main!$K$26:$Q$29,5,FALSE)),1,0)</f>
        <v>0</v>
      </c>
      <c r="BY263">
        <f>IF(AND(VLOOKUP(BY$1,main!$A$3:$H$102,7,FALSE)=main!$G$105,VLOOKUP(BY$1,main!$A$3:$H$102,5,FALSE)-VLOOKUP($A263,main!$A$3:$H$102,6,FALSE)&gt;=main!$D$103+VLOOKUP(VLOOKUP(BY$1,main!$A$3:$I$102,7,FALSE),main!$K$26:$Q$29,5,FALSE)),1,0)</f>
        <v>0</v>
      </c>
      <c r="BZ263">
        <f>IF(AND(VLOOKUP(BZ$1,main!$A$3:$H$102,7,FALSE)=main!$G$105,VLOOKUP(BZ$1,main!$A$3:$H$102,5,FALSE)-VLOOKUP($A263,main!$A$3:$H$102,6,FALSE)&gt;=main!$D$103+VLOOKUP(VLOOKUP(BZ$1,main!$A$3:$I$102,7,FALSE),main!$K$26:$Q$29,5,FALSE)),1,0)</f>
        <v>0</v>
      </c>
      <c r="CA263">
        <f>IF(AND(VLOOKUP(CA$1,main!$A$3:$H$102,7,FALSE)=main!$G$105,VLOOKUP(CA$1,main!$A$3:$H$102,5,FALSE)-VLOOKUP($A263,main!$A$3:$H$102,6,FALSE)&gt;=main!$D$103+VLOOKUP(VLOOKUP(CA$1,main!$A$3:$I$102,7,FALSE),main!$K$26:$Q$29,5,FALSE)),1,0)</f>
        <v>0</v>
      </c>
      <c r="CB263">
        <f>IF(AND(VLOOKUP(CB$1,main!$A$3:$H$102,7,FALSE)=main!$G$105,VLOOKUP(CB$1,main!$A$3:$H$102,5,FALSE)-VLOOKUP($A263,main!$A$3:$H$102,6,FALSE)&gt;=main!$D$103+VLOOKUP(VLOOKUP(CB$1,main!$A$3:$I$102,7,FALSE),main!$K$26:$Q$29,5,FALSE)),1,0)</f>
        <v>0</v>
      </c>
      <c r="CC263">
        <f>IF(AND(VLOOKUP(CC$1,main!$A$3:$H$102,7,FALSE)=main!$G$105,VLOOKUP(CC$1,main!$A$3:$H$102,5,FALSE)-VLOOKUP($A263,main!$A$3:$H$102,6,FALSE)&gt;=main!$D$103+VLOOKUP(VLOOKUP(CC$1,main!$A$3:$I$102,7,FALSE),main!$K$26:$Q$29,5,FALSE)),1,0)</f>
        <v>0</v>
      </c>
      <c r="CD263">
        <f>IF(AND(VLOOKUP(CD$1,main!$A$3:$H$102,7,FALSE)=main!$G$105,VLOOKUP(CD$1,main!$A$3:$H$102,5,FALSE)-VLOOKUP($A263,main!$A$3:$H$102,6,FALSE)&gt;=main!$D$103+VLOOKUP(VLOOKUP(CD$1,main!$A$3:$I$102,7,FALSE),main!$K$26:$Q$29,5,FALSE)),1,0)</f>
        <v>0</v>
      </c>
      <c r="CE263">
        <f>IF(AND(VLOOKUP(CE$1,main!$A$3:$H$102,7,FALSE)=main!$G$105,VLOOKUP(CE$1,main!$A$3:$H$102,5,FALSE)-VLOOKUP($A263,main!$A$3:$H$102,6,FALSE)&gt;=main!$D$103+VLOOKUP(VLOOKUP(CE$1,main!$A$3:$I$102,7,FALSE),main!$K$26:$Q$29,5,FALSE)),1,0)</f>
        <v>0</v>
      </c>
      <c r="CF263">
        <f>IF(AND(VLOOKUP(CF$1,main!$A$3:$H$102,7,FALSE)=main!$G$105,VLOOKUP(CF$1,main!$A$3:$H$102,5,FALSE)-VLOOKUP($A263,main!$A$3:$H$102,6,FALSE)&gt;=main!$D$103+VLOOKUP(VLOOKUP(CF$1,main!$A$3:$I$102,7,FALSE),main!$K$26:$Q$29,5,FALSE)),1,0)</f>
        <v>0</v>
      </c>
      <c r="CG263">
        <f>IF(AND(VLOOKUP(CG$1,main!$A$3:$H$102,7,FALSE)=main!$G$105,VLOOKUP(CG$1,main!$A$3:$H$102,5,FALSE)-VLOOKUP($A263,main!$A$3:$H$102,6,FALSE)&gt;=main!$D$103+VLOOKUP(VLOOKUP(CG$1,main!$A$3:$I$102,7,FALSE),main!$K$26:$Q$29,5,FALSE)),1,0)</f>
        <v>0</v>
      </c>
      <c r="CH263">
        <f>IF(AND(VLOOKUP(CH$1,main!$A$3:$H$102,7,FALSE)=main!$G$105,VLOOKUP(CH$1,main!$A$3:$H$102,5,FALSE)-VLOOKUP($A263,main!$A$3:$H$102,6,FALSE)&gt;=main!$D$103+VLOOKUP(VLOOKUP(CH$1,main!$A$3:$I$102,7,FALSE),main!$K$26:$Q$29,5,FALSE)),1,0)</f>
        <v>0</v>
      </c>
      <c r="CI263">
        <f>IF(AND(VLOOKUP(CI$1,main!$A$3:$H$102,7,FALSE)=main!$G$105,VLOOKUP(CI$1,main!$A$3:$H$102,5,FALSE)-VLOOKUP($A263,main!$A$3:$H$102,6,FALSE)&gt;=main!$D$103+VLOOKUP(VLOOKUP(CI$1,main!$A$3:$I$102,7,FALSE),main!$K$26:$Q$29,5,FALSE)),1,0)</f>
        <v>0</v>
      </c>
      <c r="CJ263">
        <f>IF(AND(VLOOKUP(CJ$1,main!$A$3:$H$102,7,FALSE)=main!$G$105,VLOOKUP(CJ$1,main!$A$3:$H$102,5,FALSE)-VLOOKUP($A263,main!$A$3:$H$102,6,FALSE)&gt;=main!$D$103+VLOOKUP(VLOOKUP(CJ$1,main!$A$3:$I$102,7,FALSE),main!$K$26:$Q$29,5,FALSE)),1,0)</f>
        <v>0</v>
      </c>
      <c r="CK263">
        <f>IF(AND(VLOOKUP(CK$1,main!$A$3:$H$102,7,FALSE)=main!$G$105,VLOOKUP(CK$1,main!$A$3:$H$102,5,FALSE)-VLOOKUP($A263,main!$A$3:$H$102,6,FALSE)&gt;=main!$D$103+VLOOKUP(VLOOKUP(CK$1,main!$A$3:$I$102,7,FALSE),main!$K$26:$Q$29,5,FALSE)),1,0)</f>
        <v>0</v>
      </c>
      <c r="CL263">
        <f>IF(AND(VLOOKUP(CL$1,main!$A$3:$H$102,7,FALSE)=main!$G$105,VLOOKUP(CL$1,main!$A$3:$H$102,5,FALSE)-VLOOKUP($A263,main!$A$3:$H$102,6,FALSE)&gt;=main!$D$103+VLOOKUP(VLOOKUP(CL$1,main!$A$3:$I$102,7,FALSE),main!$K$26:$Q$29,5,FALSE)),1,0)</f>
        <v>0</v>
      </c>
      <c r="CM263">
        <f>IF(AND(VLOOKUP(CM$1,main!$A$3:$H$102,7,FALSE)=main!$G$105,VLOOKUP(CM$1,main!$A$3:$H$102,5,FALSE)-VLOOKUP($A263,main!$A$3:$H$102,6,FALSE)&gt;=main!$D$103+VLOOKUP(VLOOKUP(CM$1,main!$A$3:$I$102,7,FALSE),main!$K$26:$Q$29,5,FALSE)),1,0)</f>
        <v>0</v>
      </c>
      <c r="CN263">
        <f>IF(AND(VLOOKUP(CN$1,main!$A$3:$H$102,7,FALSE)=main!$G$105,VLOOKUP(CN$1,main!$A$3:$H$102,5,FALSE)-VLOOKUP($A263,main!$A$3:$H$102,6,FALSE)&gt;=main!$D$103+VLOOKUP(VLOOKUP(CN$1,main!$A$3:$I$102,7,FALSE),main!$K$26:$Q$29,5,FALSE)),1,0)</f>
        <v>0</v>
      </c>
      <c r="CO263">
        <f>IF(AND(VLOOKUP(CO$1,main!$A$3:$H$102,7,FALSE)=main!$G$105,VLOOKUP(CO$1,main!$A$3:$H$102,5,FALSE)-VLOOKUP($A263,main!$A$3:$H$102,6,FALSE)&gt;=main!$D$103+VLOOKUP(VLOOKUP(CO$1,main!$A$3:$I$102,7,FALSE),main!$K$26:$Q$29,5,FALSE)),1,0)</f>
        <v>0</v>
      </c>
      <c r="CP263">
        <f>IF(AND(VLOOKUP(CP$1,main!$A$3:$H$102,7,FALSE)=main!$G$105,VLOOKUP(CP$1,main!$A$3:$H$102,5,FALSE)-VLOOKUP($A263,main!$A$3:$H$102,6,FALSE)&gt;=main!$D$103+VLOOKUP(VLOOKUP(CP$1,main!$A$3:$I$102,7,FALSE),main!$K$26:$Q$29,5,FALSE)),1,0)</f>
        <v>0</v>
      </c>
      <c r="CQ263">
        <f>IF(AND(VLOOKUP(CQ$1,main!$A$3:$H$102,7,FALSE)=main!$G$105,VLOOKUP(CQ$1,main!$A$3:$H$102,5,FALSE)-VLOOKUP($A263,main!$A$3:$H$102,6,FALSE)&gt;=main!$D$103+VLOOKUP(VLOOKUP(CQ$1,main!$A$3:$I$102,7,FALSE),main!$K$26:$Q$29,5,FALSE)),1,0)</f>
        <v>0</v>
      </c>
      <c r="CR263">
        <f>IF(AND(VLOOKUP(CR$1,main!$A$3:$H$102,7,FALSE)=main!$G$105,VLOOKUP(CR$1,main!$A$3:$H$102,5,FALSE)-VLOOKUP($A263,main!$A$3:$H$102,6,FALSE)&gt;=main!$D$103+VLOOKUP(VLOOKUP(CR$1,main!$A$3:$I$102,7,FALSE),main!$K$26:$Q$29,5,FALSE)),1,0)</f>
        <v>0</v>
      </c>
      <c r="CS263">
        <f>IF(AND(VLOOKUP(CS$1,main!$A$3:$H$102,7,FALSE)=main!$G$105,VLOOKUP(CS$1,main!$A$3:$H$102,5,FALSE)-VLOOKUP($A263,main!$A$3:$H$102,6,FALSE)&gt;=main!$D$103+VLOOKUP(VLOOKUP(CS$1,main!$A$3:$I$102,7,FALSE),main!$K$26:$Q$29,5,FALSE)),1,0)</f>
        <v>0</v>
      </c>
      <c r="CT263">
        <f>IF(AND(VLOOKUP(CT$1,main!$A$3:$H$102,7,FALSE)=main!$G$105,VLOOKUP(CT$1,main!$A$3:$H$102,5,FALSE)-VLOOKUP($A263,main!$A$3:$H$102,6,FALSE)&gt;=main!$D$103+VLOOKUP(VLOOKUP(CT$1,main!$A$3:$I$102,7,FALSE),main!$K$26:$Q$29,5,FALSE)),1,0)</f>
        <v>0</v>
      </c>
      <c r="CU263">
        <f>IF(AND(VLOOKUP(CU$1,main!$A$3:$H$102,7,FALSE)=main!$G$105,VLOOKUP(CU$1,main!$A$3:$H$102,5,FALSE)-VLOOKUP($A263,main!$A$3:$H$102,6,FALSE)&gt;=main!$D$103+VLOOKUP(VLOOKUP(CU$1,main!$A$3:$I$102,7,FALSE),main!$K$26:$Q$29,5,FALSE)),1,0)</f>
        <v>0</v>
      </c>
      <c r="CV263">
        <f>IF(AND(VLOOKUP(CV$1,main!$A$3:$H$102,7,FALSE)=main!$G$105,VLOOKUP(CV$1,main!$A$3:$H$102,5,FALSE)-VLOOKUP($A263,main!$A$3:$H$102,6,FALSE)&gt;=main!$D$103+VLOOKUP(VLOOKUP(CV$1,main!$A$3:$I$102,7,FALSE),main!$K$26:$Q$29,5,FALSE)),1,0)</f>
        <v>0</v>
      </c>
      <c r="CW263">
        <f>IF(AND(VLOOKUP(CW$1,main!$A$3:$H$102,7,FALSE)=main!$G$105,VLOOKUP(CW$1,main!$A$3:$H$102,5,FALSE)-VLOOKUP($A263,main!$A$3:$H$102,6,FALSE)&gt;=main!$D$103+VLOOKUP(VLOOKUP(CW$1,main!$A$3:$I$102,7,FALSE),main!$K$26:$Q$29,5,FALSE)),1,0)</f>
        <v>0</v>
      </c>
      <c r="CX263">
        <f>IF(AND(VLOOKUP(CX$1,main!$A$3:$H$102,7,FALSE)=main!$G$105,VLOOKUP(CX$1,main!$A$3:$H$102,5,FALSE)-VLOOKUP($A263,main!$A$3:$H$102,6,FALSE)&gt;=main!$D$103+VLOOKUP(VLOOKUP(CX$1,main!$A$3:$I$102,7,FALSE),main!$K$26:$Q$29,5,FALSE)),1,0)</f>
        <v>0</v>
      </c>
    </row>
    <row r="264" spans="1:102" x14ac:dyDescent="0.25">
      <c r="A264" s="1">
        <v>60</v>
      </c>
      <c r="B264">
        <v>0</v>
      </c>
      <c r="C264">
        <f>IF(AND(VLOOKUP(C$1,main!$A$3:$H$102,7,FALSE)=main!$G$105,VLOOKUP(C$1,main!$A$3:$H$102,5,FALSE)-VLOOKUP($A264,main!$A$3:$H$102,6,FALSE)&gt;=main!$D$103+VLOOKUP(VLOOKUP(C$1,main!$A$3:$I$102,7,FALSE),main!$K$26:$Q$29,5,FALSE)),1,0)</f>
        <v>0</v>
      </c>
      <c r="D264">
        <f>IF(AND(VLOOKUP(D$1,main!$A$3:$H$102,7,FALSE)=main!$G$105,VLOOKUP(D$1,main!$A$3:$H$102,5,FALSE)-VLOOKUP($A264,main!$A$3:$H$102,6,FALSE)&gt;=main!$D$103+VLOOKUP(VLOOKUP(D$1,main!$A$3:$I$102,7,FALSE),main!$K$26:$Q$29,5,FALSE)),1,0)</f>
        <v>0</v>
      </c>
      <c r="E264">
        <f>IF(AND(VLOOKUP(E$1,main!$A$3:$H$102,7,FALSE)=main!$G$105,VLOOKUP(E$1,main!$A$3:$H$102,5,FALSE)-VLOOKUP($A264,main!$A$3:$H$102,6,FALSE)&gt;=main!$D$103+VLOOKUP(VLOOKUP(E$1,main!$A$3:$I$102,7,FALSE),main!$K$26:$Q$29,5,FALSE)),1,0)</f>
        <v>0</v>
      </c>
      <c r="F264">
        <f>IF(AND(VLOOKUP(F$1,main!$A$3:$H$102,7,FALSE)=main!$G$105,VLOOKUP(F$1,main!$A$3:$H$102,5,FALSE)-VLOOKUP($A264,main!$A$3:$H$102,6,FALSE)&gt;=main!$D$103+VLOOKUP(VLOOKUP(F$1,main!$A$3:$I$102,7,FALSE),main!$K$26:$Q$29,5,FALSE)),1,0)</f>
        <v>0</v>
      </c>
      <c r="G264">
        <f>IF(AND(VLOOKUP(G$1,main!$A$3:$H$102,7,FALSE)=main!$G$105,VLOOKUP(G$1,main!$A$3:$H$102,5,FALSE)-VLOOKUP($A264,main!$A$3:$H$102,6,FALSE)&gt;=main!$D$103+VLOOKUP(VLOOKUP(G$1,main!$A$3:$I$102,7,FALSE),main!$K$26:$Q$29,5,FALSE)),1,0)</f>
        <v>0</v>
      </c>
      <c r="H264">
        <f>IF(AND(VLOOKUP(H$1,main!$A$3:$H$102,7,FALSE)=main!$G$105,VLOOKUP(H$1,main!$A$3:$H$102,5,FALSE)-VLOOKUP($A264,main!$A$3:$H$102,6,FALSE)&gt;=main!$D$103+VLOOKUP(VLOOKUP(H$1,main!$A$3:$I$102,7,FALSE),main!$K$26:$Q$29,5,FALSE)),1,0)</f>
        <v>0</v>
      </c>
      <c r="I264">
        <f>IF(AND(VLOOKUP(I$1,main!$A$3:$H$102,7,FALSE)=main!$G$105,VLOOKUP(I$1,main!$A$3:$H$102,5,FALSE)-VLOOKUP($A264,main!$A$3:$H$102,6,FALSE)&gt;=main!$D$103+VLOOKUP(VLOOKUP(I$1,main!$A$3:$I$102,7,FALSE),main!$K$26:$Q$29,5,FALSE)),1,0)</f>
        <v>0</v>
      </c>
      <c r="J264">
        <f>IF(AND(VLOOKUP(J$1,main!$A$3:$H$102,7,FALSE)=main!$G$105,VLOOKUP(J$1,main!$A$3:$H$102,5,FALSE)-VLOOKUP($A264,main!$A$3:$H$102,6,FALSE)&gt;=main!$D$103+VLOOKUP(VLOOKUP(J$1,main!$A$3:$I$102,7,FALSE),main!$K$26:$Q$29,5,FALSE)),1,0)</f>
        <v>0</v>
      </c>
      <c r="K264">
        <f>IF(AND(VLOOKUP(K$1,main!$A$3:$H$102,7,FALSE)=main!$G$105,VLOOKUP(K$1,main!$A$3:$H$102,5,FALSE)-VLOOKUP($A264,main!$A$3:$H$102,6,FALSE)&gt;=main!$D$103+VLOOKUP(VLOOKUP(K$1,main!$A$3:$I$102,7,FALSE),main!$K$26:$Q$29,5,FALSE)),1,0)</f>
        <v>0</v>
      </c>
      <c r="L264">
        <f>IF(AND(VLOOKUP(L$1,main!$A$3:$H$102,7,FALSE)=main!$G$105,VLOOKUP(L$1,main!$A$3:$H$102,5,FALSE)-VLOOKUP($A264,main!$A$3:$H$102,6,FALSE)&gt;=main!$D$103+VLOOKUP(VLOOKUP(L$1,main!$A$3:$I$102,7,FALSE),main!$K$26:$Q$29,5,FALSE)),1,0)</f>
        <v>0</v>
      </c>
      <c r="M264">
        <f>IF(AND(VLOOKUP(M$1,main!$A$3:$H$102,7,FALSE)=main!$G$105,VLOOKUP(M$1,main!$A$3:$H$102,5,FALSE)-VLOOKUP($A264,main!$A$3:$H$102,6,FALSE)&gt;=main!$D$103+VLOOKUP(VLOOKUP(M$1,main!$A$3:$I$102,7,FALSE),main!$K$26:$Q$29,5,FALSE)),1,0)</f>
        <v>0</v>
      </c>
      <c r="N264">
        <f>IF(AND(VLOOKUP(N$1,main!$A$3:$H$102,7,FALSE)=main!$G$105,VLOOKUP(N$1,main!$A$3:$H$102,5,FALSE)-VLOOKUP($A264,main!$A$3:$H$102,6,FALSE)&gt;=main!$D$103+VLOOKUP(VLOOKUP(N$1,main!$A$3:$I$102,7,FALSE),main!$K$26:$Q$29,5,FALSE)),1,0)</f>
        <v>0</v>
      </c>
      <c r="O264">
        <f>IF(AND(VLOOKUP(O$1,main!$A$3:$H$102,7,FALSE)=main!$G$105,VLOOKUP(O$1,main!$A$3:$H$102,5,FALSE)-VLOOKUP($A264,main!$A$3:$H$102,6,FALSE)&gt;=main!$D$103+VLOOKUP(VLOOKUP(O$1,main!$A$3:$I$102,7,FALSE),main!$K$26:$Q$29,5,FALSE)),1,0)</f>
        <v>0</v>
      </c>
      <c r="P264">
        <f>IF(AND(VLOOKUP(P$1,main!$A$3:$H$102,7,FALSE)=main!$G$105,VLOOKUP(P$1,main!$A$3:$H$102,5,FALSE)-VLOOKUP($A264,main!$A$3:$H$102,6,FALSE)&gt;=main!$D$103+VLOOKUP(VLOOKUP(P$1,main!$A$3:$I$102,7,FALSE),main!$K$26:$Q$29,5,FALSE)),1,0)</f>
        <v>0</v>
      </c>
      <c r="Q264">
        <f>IF(AND(VLOOKUP(Q$1,main!$A$3:$H$102,7,FALSE)=main!$G$105,VLOOKUP(Q$1,main!$A$3:$H$102,5,FALSE)-VLOOKUP($A264,main!$A$3:$H$102,6,FALSE)&gt;=main!$D$103+VLOOKUP(VLOOKUP(Q$1,main!$A$3:$I$102,7,FALSE),main!$K$26:$Q$29,5,FALSE)),1,0)</f>
        <v>0</v>
      </c>
      <c r="R264">
        <f>IF(AND(VLOOKUP(R$1,main!$A$3:$H$102,7,FALSE)=main!$G$105,VLOOKUP(R$1,main!$A$3:$H$102,5,FALSE)-VLOOKUP($A264,main!$A$3:$H$102,6,FALSE)&gt;=main!$D$103+VLOOKUP(VLOOKUP(R$1,main!$A$3:$I$102,7,FALSE),main!$K$26:$Q$29,5,FALSE)),1,0)</f>
        <v>0</v>
      </c>
      <c r="S264">
        <f>IF(AND(VLOOKUP(S$1,main!$A$3:$H$102,7,FALSE)=main!$G$105,VLOOKUP(S$1,main!$A$3:$H$102,5,FALSE)-VLOOKUP($A264,main!$A$3:$H$102,6,FALSE)&gt;=main!$D$103+VLOOKUP(VLOOKUP(S$1,main!$A$3:$I$102,7,FALSE),main!$K$26:$Q$29,5,FALSE)),1,0)</f>
        <v>0</v>
      </c>
      <c r="T264">
        <f>IF(AND(VLOOKUP(T$1,main!$A$3:$H$102,7,FALSE)=main!$G$105,VLOOKUP(T$1,main!$A$3:$H$102,5,FALSE)-VLOOKUP($A264,main!$A$3:$H$102,6,FALSE)&gt;=main!$D$103+VLOOKUP(VLOOKUP(T$1,main!$A$3:$I$102,7,FALSE),main!$K$26:$Q$29,5,FALSE)),1,0)</f>
        <v>0</v>
      </c>
      <c r="U264">
        <f>IF(AND(VLOOKUP(U$1,main!$A$3:$H$102,7,FALSE)=main!$G$105,VLOOKUP(U$1,main!$A$3:$H$102,5,FALSE)-VLOOKUP($A264,main!$A$3:$H$102,6,FALSE)&gt;=main!$D$103+VLOOKUP(VLOOKUP(U$1,main!$A$3:$I$102,7,FALSE),main!$K$26:$Q$29,5,FALSE)),1,0)</f>
        <v>0</v>
      </c>
      <c r="V264">
        <f>IF(AND(VLOOKUP(V$1,main!$A$3:$H$102,7,FALSE)=main!$G$105,VLOOKUP(V$1,main!$A$3:$H$102,5,FALSE)-VLOOKUP($A264,main!$A$3:$H$102,6,FALSE)&gt;=main!$D$103+VLOOKUP(VLOOKUP(V$1,main!$A$3:$I$102,7,FALSE),main!$K$26:$Q$29,5,FALSE)),1,0)</f>
        <v>0</v>
      </c>
      <c r="W264">
        <f>IF(AND(VLOOKUP(W$1,main!$A$3:$H$102,7,FALSE)=main!$G$105,VLOOKUP(W$1,main!$A$3:$H$102,5,FALSE)-VLOOKUP($A264,main!$A$3:$H$102,6,FALSE)&gt;=main!$D$103+VLOOKUP(VLOOKUP(W$1,main!$A$3:$I$102,7,FALSE),main!$K$26:$Q$29,5,FALSE)),1,0)</f>
        <v>0</v>
      </c>
      <c r="X264">
        <f>IF(AND(VLOOKUP(X$1,main!$A$3:$H$102,7,FALSE)=main!$G$105,VLOOKUP(X$1,main!$A$3:$H$102,5,FALSE)-VLOOKUP($A264,main!$A$3:$H$102,6,FALSE)&gt;=main!$D$103+VLOOKUP(VLOOKUP(X$1,main!$A$3:$I$102,7,FALSE),main!$K$26:$Q$29,5,FALSE)),1,0)</f>
        <v>0</v>
      </c>
      <c r="Y264">
        <f>IF(AND(VLOOKUP(Y$1,main!$A$3:$H$102,7,FALSE)=main!$G$105,VLOOKUP(Y$1,main!$A$3:$H$102,5,FALSE)-VLOOKUP($A264,main!$A$3:$H$102,6,FALSE)&gt;=main!$D$103+VLOOKUP(VLOOKUP(Y$1,main!$A$3:$I$102,7,FALSE),main!$K$26:$Q$29,5,FALSE)),1,0)</f>
        <v>0</v>
      </c>
      <c r="Z264">
        <f>IF(AND(VLOOKUP(Z$1,main!$A$3:$H$102,7,FALSE)=main!$G$105,VLOOKUP(Z$1,main!$A$3:$H$102,5,FALSE)-VLOOKUP($A264,main!$A$3:$H$102,6,FALSE)&gt;=main!$D$103+VLOOKUP(VLOOKUP(Z$1,main!$A$3:$I$102,7,FALSE),main!$K$26:$Q$29,5,FALSE)),1,0)</f>
        <v>0</v>
      </c>
      <c r="AA264">
        <f>IF(AND(VLOOKUP(AA$1,main!$A$3:$H$102,7,FALSE)=main!$G$105,VLOOKUP(AA$1,main!$A$3:$H$102,5,FALSE)-VLOOKUP($A264,main!$A$3:$H$102,6,FALSE)&gt;=main!$D$103+VLOOKUP(VLOOKUP(AA$1,main!$A$3:$I$102,7,FALSE),main!$K$26:$Q$29,5,FALSE)),1,0)</f>
        <v>0</v>
      </c>
      <c r="AB264">
        <f>IF(AND(VLOOKUP(AB$1,main!$A$3:$H$102,7,FALSE)=main!$G$105,VLOOKUP(AB$1,main!$A$3:$H$102,5,FALSE)-VLOOKUP($A264,main!$A$3:$H$102,6,FALSE)&gt;=main!$D$103+VLOOKUP(VLOOKUP(AB$1,main!$A$3:$I$102,7,FALSE),main!$K$26:$Q$29,5,FALSE)),1,0)</f>
        <v>0</v>
      </c>
      <c r="AC264">
        <f>IF(AND(VLOOKUP(AC$1,main!$A$3:$H$102,7,FALSE)=main!$G$105,VLOOKUP(AC$1,main!$A$3:$H$102,5,FALSE)-VLOOKUP($A264,main!$A$3:$H$102,6,FALSE)&gt;=main!$D$103+VLOOKUP(VLOOKUP(AC$1,main!$A$3:$I$102,7,FALSE),main!$K$26:$Q$29,5,FALSE)),1,0)</f>
        <v>0</v>
      </c>
      <c r="AD264">
        <f>IF(AND(VLOOKUP(AD$1,main!$A$3:$H$102,7,FALSE)=main!$G$105,VLOOKUP(AD$1,main!$A$3:$H$102,5,FALSE)-VLOOKUP($A264,main!$A$3:$H$102,6,FALSE)&gt;=main!$D$103+VLOOKUP(VLOOKUP(AD$1,main!$A$3:$I$102,7,FALSE),main!$K$26:$Q$29,5,FALSE)),1,0)</f>
        <v>0</v>
      </c>
      <c r="AE264">
        <f>IF(AND(VLOOKUP(AE$1,main!$A$3:$H$102,7,FALSE)=main!$G$105,VLOOKUP(AE$1,main!$A$3:$H$102,5,FALSE)-VLOOKUP($A264,main!$A$3:$H$102,6,FALSE)&gt;=main!$D$103+VLOOKUP(VLOOKUP(AE$1,main!$A$3:$I$102,7,FALSE),main!$K$26:$Q$29,5,FALSE)),1,0)</f>
        <v>0</v>
      </c>
      <c r="AF264">
        <f>IF(AND(VLOOKUP(AF$1,main!$A$3:$H$102,7,FALSE)=main!$G$105,VLOOKUP(AF$1,main!$A$3:$H$102,5,FALSE)-VLOOKUP($A264,main!$A$3:$H$102,6,FALSE)&gt;=main!$D$103+VLOOKUP(VLOOKUP(AF$1,main!$A$3:$I$102,7,FALSE),main!$K$26:$Q$29,5,FALSE)),1,0)</f>
        <v>0</v>
      </c>
      <c r="AG264">
        <f>IF(AND(VLOOKUP(AG$1,main!$A$3:$H$102,7,FALSE)=main!$G$105,VLOOKUP(AG$1,main!$A$3:$H$102,5,FALSE)-VLOOKUP($A264,main!$A$3:$H$102,6,FALSE)&gt;=main!$D$103+VLOOKUP(VLOOKUP(AG$1,main!$A$3:$I$102,7,FALSE),main!$K$26:$Q$29,5,FALSE)),1,0)</f>
        <v>0</v>
      </c>
      <c r="AH264">
        <f>IF(AND(VLOOKUP(AH$1,main!$A$3:$H$102,7,FALSE)=main!$G$105,VLOOKUP(AH$1,main!$A$3:$H$102,5,FALSE)-VLOOKUP($A264,main!$A$3:$H$102,6,FALSE)&gt;=main!$D$103+VLOOKUP(VLOOKUP(AH$1,main!$A$3:$I$102,7,FALSE),main!$K$26:$Q$29,5,FALSE)),1,0)</f>
        <v>0</v>
      </c>
      <c r="AI264">
        <f>IF(AND(VLOOKUP(AI$1,main!$A$3:$H$102,7,FALSE)=main!$G$105,VLOOKUP(AI$1,main!$A$3:$H$102,5,FALSE)-VLOOKUP($A264,main!$A$3:$H$102,6,FALSE)&gt;=main!$D$103+VLOOKUP(VLOOKUP(AI$1,main!$A$3:$I$102,7,FALSE),main!$K$26:$Q$29,5,FALSE)),1,0)</f>
        <v>0</v>
      </c>
      <c r="AJ264">
        <f>IF(AND(VLOOKUP(AJ$1,main!$A$3:$H$102,7,FALSE)=main!$G$105,VLOOKUP(AJ$1,main!$A$3:$H$102,5,FALSE)-VLOOKUP($A264,main!$A$3:$H$102,6,FALSE)&gt;=main!$D$103+VLOOKUP(VLOOKUP(AJ$1,main!$A$3:$I$102,7,FALSE),main!$K$26:$Q$29,5,FALSE)),1,0)</f>
        <v>0</v>
      </c>
      <c r="AK264">
        <f>IF(AND(VLOOKUP(AK$1,main!$A$3:$H$102,7,FALSE)=main!$G$105,VLOOKUP(AK$1,main!$A$3:$H$102,5,FALSE)-VLOOKUP($A264,main!$A$3:$H$102,6,FALSE)&gt;=main!$D$103+VLOOKUP(VLOOKUP(AK$1,main!$A$3:$I$102,7,FALSE),main!$K$26:$Q$29,5,FALSE)),1,0)</f>
        <v>0</v>
      </c>
      <c r="AL264">
        <f>IF(AND(VLOOKUP(AL$1,main!$A$3:$H$102,7,FALSE)=main!$G$105,VLOOKUP(AL$1,main!$A$3:$H$102,5,FALSE)-VLOOKUP($A264,main!$A$3:$H$102,6,FALSE)&gt;=main!$D$103+VLOOKUP(VLOOKUP(AL$1,main!$A$3:$I$102,7,FALSE),main!$K$26:$Q$29,5,FALSE)),1,0)</f>
        <v>0</v>
      </c>
      <c r="AM264">
        <f>IF(AND(VLOOKUP(AM$1,main!$A$3:$H$102,7,FALSE)=main!$G$105,VLOOKUP(AM$1,main!$A$3:$H$102,5,FALSE)-VLOOKUP($A264,main!$A$3:$H$102,6,FALSE)&gt;=main!$D$103+VLOOKUP(VLOOKUP(AM$1,main!$A$3:$I$102,7,FALSE),main!$K$26:$Q$29,5,FALSE)),1,0)</f>
        <v>0</v>
      </c>
      <c r="AN264">
        <f>IF(AND(VLOOKUP(AN$1,main!$A$3:$H$102,7,FALSE)=main!$G$105,VLOOKUP(AN$1,main!$A$3:$H$102,5,FALSE)-VLOOKUP($A264,main!$A$3:$H$102,6,FALSE)&gt;=main!$D$103+VLOOKUP(VLOOKUP(AN$1,main!$A$3:$I$102,7,FALSE),main!$K$26:$Q$29,5,FALSE)),1,0)</f>
        <v>0</v>
      </c>
      <c r="AO264">
        <f>IF(AND(VLOOKUP(AO$1,main!$A$3:$H$102,7,FALSE)=main!$G$105,VLOOKUP(AO$1,main!$A$3:$H$102,5,FALSE)-VLOOKUP($A264,main!$A$3:$H$102,6,FALSE)&gt;=main!$D$103+VLOOKUP(VLOOKUP(AO$1,main!$A$3:$I$102,7,FALSE),main!$K$26:$Q$29,5,FALSE)),1,0)</f>
        <v>0</v>
      </c>
      <c r="AP264">
        <f>IF(AND(VLOOKUP(AP$1,main!$A$3:$H$102,7,FALSE)=main!$G$105,VLOOKUP(AP$1,main!$A$3:$H$102,5,FALSE)-VLOOKUP($A264,main!$A$3:$H$102,6,FALSE)&gt;=main!$D$103+VLOOKUP(VLOOKUP(AP$1,main!$A$3:$I$102,7,FALSE),main!$K$26:$Q$29,5,FALSE)),1,0)</f>
        <v>1</v>
      </c>
      <c r="AQ264">
        <f>IF(AND(VLOOKUP(AQ$1,main!$A$3:$H$102,7,FALSE)=main!$G$105,VLOOKUP(AQ$1,main!$A$3:$H$102,5,FALSE)-VLOOKUP($A264,main!$A$3:$H$102,6,FALSE)&gt;=main!$D$103+VLOOKUP(VLOOKUP(AQ$1,main!$A$3:$I$102,7,FALSE),main!$K$26:$Q$29,5,FALSE)),1,0)</f>
        <v>0</v>
      </c>
      <c r="AR264">
        <f>IF(AND(VLOOKUP(AR$1,main!$A$3:$H$102,7,FALSE)=main!$G$105,VLOOKUP(AR$1,main!$A$3:$H$102,5,FALSE)-VLOOKUP($A264,main!$A$3:$H$102,6,FALSE)&gt;=main!$D$103+VLOOKUP(VLOOKUP(AR$1,main!$A$3:$I$102,7,FALSE),main!$K$26:$Q$29,5,FALSE)),1,0)</f>
        <v>0</v>
      </c>
      <c r="AS264">
        <f>IF(AND(VLOOKUP(AS$1,main!$A$3:$H$102,7,FALSE)=main!$G$105,VLOOKUP(AS$1,main!$A$3:$H$102,5,FALSE)-VLOOKUP($A264,main!$A$3:$H$102,6,FALSE)&gt;=main!$D$103+VLOOKUP(VLOOKUP(AS$1,main!$A$3:$I$102,7,FALSE),main!$K$26:$Q$29,5,FALSE)),1,0)</f>
        <v>0</v>
      </c>
      <c r="AT264">
        <f>IF(AND(VLOOKUP(AT$1,main!$A$3:$H$102,7,FALSE)=main!$G$105,VLOOKUP(AT$1,main!$A$3:$H$102,5,FALSE)-VLOOKUP($A264,main!$A$3:$H$102,6,FALSE)&gt;=main!$D$103+VLOOKUP(VLOOKUP(AT$1,main!$A$3:$I$102,7,FALSE),main!$K$26:$Q$29,5,FALSE)),1,0)</f>
        <v>0</v>
      </c>
      <c r="AU264">
        <f>IF(AND(VLOOKUP(AU$1,main!$A$3:$H$102,7,FALSE)=main!$G$105,VLOOKUP(AU$1,main!$A$3:$H$102,5,FALSE)-VLOOKUP($A264,main!$A$3:$H$102,6,FALSE)&gt;=main!$D$103+VLOOKUP(VLOOKUP(AU$1,main!$A$3:$I$102,7,FALSE),main!$K$26:$Q$29,5,FALSE)),1,0)</f>
        <v>0</v>
      </c>
      <c r="AV264">
        <f>IF(AND(VLOOKUP(AV$1,main!$A$3:$H$102,7,FALSE)=main!$G$105,VLOOKUP(AV$1,main!$A$3:$H$102,5,FALSE)-VLOOKUP($A264,main!$A$3:$H$102,6,FALSE)&gt;=main!$D$103+VLOOKUP(VLOOKUP(AV$1,main!$A$3:$I$102,7,FALSE),main!$K$26:$Q$29,5,FALSE)),1,0)</f>
        <v>0</v>
      </c>
      <c r="AW264">
        <f>IF(AND(VLOOKUP(AW$1,main!$A$3:$H$102,7,FALSE)=main!$G$105,VLOOKUP(AW$1,main!$A$3:$H$102,5,FALSE)-VLOOKUP($A264,main!$A$3:$H$102,6,FALSE)&gt;=main!$D$103+VLOOKUP(VLOOKUP(AW$1,main!$A$3:$I$102,7,FALSE),main!$K$26:$Q$29,5,FALSE)),1,0)</f>
        <v>0</v>
      </c>
      <c r="AX264">
        <f>IF(AND(VLOOKUP(AX$1,main!$A$3:$H$102,7,FALSE)=main!$G$105,VLOOKUP(AX$1,main!$A$3:$H$102,5,FALSE)-VLOOKUP($A264,main!$A$3:$H$102,6,FALSE)&gt;=main!$D$103+VLOOKUP(VLOOKUP(AX$1,main!$A$3:$I$102,7,FALSE),main!$K$26:$Q$29,5,FALSE)),1,0)</f>
        <v>0</v>
      </c>
      <c r="AY264">
        <f>IF(AND(VLOOKUP(AY$1,main!$A$3:$H$102,7,FALSE)=main!$G$105,VLOOKUP(AY$1,main!$A$3:$H$102,5,FALSE)-VLOOKUP($A264,main!$A$3:$H$102,6,FALSE)&gt;=main!$D$103+VLOOKUP(VLOOKUP(AY$1,main!$A$3:$I$102,7,FALSE),main!$K$26:$Q$29,5,FALSE)),1,0)</f>
        <v>0</v>
      </c>
      <c r="AZ264">
        <f>IF(AND(VLOOKUP(AZ$1,main!$A$3:$H$102,7,FALSE)=main!$G$105,VLOOKUP(AZ$1,main!$A$3:$H$102,5,FALSE)-VLOOKUP($A264,main!$A$3:$H$102,6,FALSE)&gt;=main!$D$103+VLOOKUP(VLOOKUP(AZ$1,main!$A$3:$I$102,7,FALSE),main!$K$26:$Q$29,5,FALSE)),1,0)</f>
        <v>0</v>
      </c>
      <c r="BA264">
        <f>IF(AND(VLOOKUP(BA$1,main!$A$3:$H$102,7,FALSE)=main!$G$105,VLOOKUP(BA$1,main!$A$3:$H$102,5,FALSE)-VLOOKUP($A264,main!$A$3:$H$102,6,FALSE)&gt;=main!$D$103+VLOOKUP(VLOOKUP(BA$1,main!$A$3:$I$102,7,FALSE),main!$K$26:$Q$29,5,FALSE)),1,0)</f>
        <v>0</v>
      </c>
      <c r="BB264">
        <f>IF(AND(VLOOKUP(BB$1,main!$A$3:$H$102,7,FALSE)=main!$G$105,VLOOKUP(BB$1,main!$A$3:$H$102,5,FALSE)-VLOOKUP($A264,main!$A$3:$H$102,6,FALSE)&gt;=main!$D$103+VLOOKUP(VLOOKUP(BB$1,main!$A$3:$I$102,7,FALSE),main!$K$26:$Q$29,5,FALSE)),1,0)</f>
        <v>0</v>
      </c>
      <c r="BC264">
        <f>IF(AND(VLOOKUP(BC$1,main!$A$3:$H$102,7,FALSE)=main!$G$105,VLOOKUP(BC$1,main!$A$3:$H$102,5,FALSE)-VLOOKUP($A264,main!$A$3:$H$102,6,FALSE)&gt;=main!$D$103+VLOOKUP(VLOOKUP(BC$1,main!$A$3:$I$102,7,FALSE),main!$K$26:$Q$29,5,FALSE)),1,0)</f>
        <v>0</v>
      </c>
      <c r="BD264">
        <f>IF(AND(VLOOKUP(BD$1,main!$A$3:$H$102,7,FALSE)=main!$G$105,VLOOKUP(BD$1,main!$A$3:$H$102,5,FALSE)-VLOOKUP($A264,main!$A$3:$H$102,6,FALSE)&gt;=main!$D$103+VLOOKUP(VLOOKUP(BD$1,main!$A$3:$I$102,7,FALSE),main!$K$26:$Q$29,5,FALSE)),1,0)</f>
        <v>0</v>
      </c>
      <c r="BE264">
        <f>IF(AND(VLOOKUP(BE$1,main!$A$3:$H$102,7,FALSE)=main!$G$105,VLOOKUP(BE$1,main!$A$3:$H$102,5,FALSE)-VLOOKUP($A264,main!$A$3:$H$102,6,FALSE)&gt;=main!$D$103+VLOOKUP(VLOOKUP(BE$1,main!$A$3:$I$102,7,FALSE),main!$K$26:$Q$29,5,FALSE)),1,0)</f>
        <v>0</v>
      </c>
      <c r="BF264">
        <f>IF(AND(VLOOKUP(BF$1,main!$A$3:$H$102,7,FALSE)=main!$G$105,VLOOKUP(BF$1,main!$A$3:$H$102,5,FALSE)-VLOOKUP($A264,main!$A$3:$H$102,6,FALSE)&gt;=main!$D$103+VLOOKUP(VLOOKUP(BF$1,main!$A$3:$I$102,7,FALSE),main!$K$26:$Q$29,5,FALSE)),1,0)</f>
        <v>0</v>
      </c>
      <c r="BG264">
        <f>IF(AND(VLOOKUP(BG$1,main!$A$3:$H$102,7,FALSE)=main!$G$105,VLOOKUP(BG$1,main!$A$3:$H$102,5,FALSE)-VLOOKUP($A264,main!$A$3:$H$102,6,FALSE)&gt;=main!$D$103+VLOOKUP(VLOOKUP(BG$1,main!$A$3:$I$102,7,FALSE),main!$K$26:$Q$29,5,FALSE)),1,0)</f>
        <v>0</v>
      </c>
      <c r="BH264">
        <f>IF(AND(VLOOKUP(BH$1,main!$A$3:$H$102,7,FALSE)=main!$G$105,VLOOKUP(BH$1,main!$A$3:$H$102,5,FALSE)-VLOOKUP($A264,main!$A$3:$H$102,6,FALSE)&gt;=main!$D$103+VLOOKUP(VLOOKUP(BH$1,main!$A$3:$I$102,7,FALSE),main!$K$26:$Q$29,5,FALSE)),1,0)</f>
        <v>0</v>
      </c>
      <c r="BI264">
        <f>IF(AND(VLOOKUP(BI$1,main!$A$3:$H$102,7,FALSE)=main!$G$105,VLOOKUP(BI$1,main!$A$3:$H$102,5,FALSE)-VLOOKUP($A264,main!$A$3:$H$102,6,FALSE)&gt;=main!$D$103+VLOOKUP(VLOOKUP(BI$1,main!$A$3:$I$102,7,FALSE),main!$K$26:$Q$29,5,FALSE)),1,0)</f>
        <v>0</v>
      </c>
      <c r="BJ264">
        <f>IF(AND(VLOOKUP(BJ$1,main!$A$3:$H$102,7,FALSE)=main!$G$105,VLOOKUP(BJ$1,main!$A$3:$H$102,5,FALSE)-VLOOKUP($A264,main!$A$3:$H$102,6,FALSE)&gt;=main!$D$103+VLOOKUP(VLOOKUP(BJ$1,main!$A$3:$I$102,7,FALSE),main!$K$26:$Q$29,5,FALSE)),1,0)</f>
        <v>0</v>
      </c>
      <c r="BK264">
        <f>IF(AND(VLOOKUP(BK$1,main!$A$3:$H$102,7,FALSE)=main!$G$105,VLOOKUP(BK$1,main!$A$3:$H$102,5,FALSE)-VLOOKUP($A264,main!$A$3:$H$102,6,FALSE)&gt;=main!$D$103+VLOOKUP(VLOOKUP(BK$1,main!$A$3:$I$102,7,FALSE),main!$K$26:$Q$29,5,FALSE)),1,0)</f>
        <v>0</v>
      </c>
      <c r="BL264">
        <f>IF(AND(VLOOKUP(BL$1,main!$A$3:$H$102,7,FALSE)=main!$G$105,VLOOKUP(BL$1,main!$A$3:$H$102,5,FALSE)-VLOOKUP($A264,main!$A$3:$H$102,6,FALSE)&gt;=main!$D$103+VLOOKUP(VLOOKUP(BL$1,main!$A$3:$I$102,7,FALSE),main!$K$26:$Q$29,5,FALSE)),1,0)</f>
        <v>0</v>
      </c>
      <c r="BM264">
        <f>IF(AND(VLOOKUP(BM$1,main!$A$3:$H$102,7,FALSE)=main!$G$105,VLOOKUP(BM$1,main!$A$3:$H$102,5,FALSE)-VLOOKUP($A264,main!$A$3:$H$102,6,FALSE)&gt;=main!$D$103+VLOOKUP(VLOOKUP(BM$1,main!$A$3:$I$102,7,FALSE),main!$K$26:$Q$29,5,FALSE)),1,0)</f>
        <v>0</v>
      </c>
      <c r="BN264">
        <f>IF(AND(VLOOKUP(BN$1,main!$A$3:$H$102,7,FALSE)=main!$G$105,VLOOKUP(BN$1,main!$A$3:$H$102,5,FALSE)-VLOOKUP($A264,main!$A$3:$H$102,6,FALSE)&gt;=main!$D$103+VLOOKUP(VLOOKUP(BN$1,main!$A$3:$I$102,7,FALSE),main!$K$26:$Q$29,5,FALSE)),1,0)</f>
        <v>0</v>
      </c>
      <c r="BO264">
        <f>IF(AND(VLOOKUP(BO$1,main!$A$3:$H$102,7,FALSE)=main!$G$105,VLOOKUP(BO$1,main!$A$3:$H$102,5,FALSE)-VLOOKUP($A264,main!$A$3:$H$102,6,FALSE)&gt;=main!$D$103+VLOOKUP(VLOOKUP(BO$1,main!$A$3:$I$102,7,FALSE),main!$K$26:$Q$29,5,FALSE)),1,0)</f>
        <v>0</v>
      </c>
      <c r="BP264">
        <f>IF(AND(VLOOKUP(BP$1,main!$A$3:$H$102,7,FALSE)=main!$G$105,VLOOKUP(BP$1,main!$A$3:$H$102,5,FALSE)-VLOOKUP($A264,main!$A$3:$H$102,6,FALSE)&gt;=main!$D$103+VLOOKUP(VLOOKUP(BP$1,main!$A$3:$I$102,7,FALSE),main!$K$26:$Q$29,5,FALSE)),1,0)</f>
        <v>0</v>
      </c>
      <c r="BQ264">
        <f>IF(AND(VLOOKUP(BQ$1,main!$A$3:$H$102,7,FALSE)=main!$G$105,VLOOKUP(BQ$1,main!$A$3:$H$102,5,FALSE)-VLOOKUP($A264,main!$A$3:$H$102,6,FALSE)&gt;=main!$D$103+VLOOKUP(VLOOKUP(BQ$1,main!$A$3:$I$102,7,FALSE),main!$K$26:$Q$29,5,FALSE)),1,0)</f>
        <v>0</v>
      </c>
      <c r="BR264">
        <f>IF(AND(VLOOKUP(BR$1,main!$A$3:$H$102,7,FALSE)=main!$G$105,VLOOKUP(BR$1,main!$A$3:$H$102,5,FALSE)-VLOOKUP($A264,main!$A$3:$H$102,6,FALSE)&gt;=main!$D$103+VLOOKUP(VLOOKUP(BR$1,main!$A$3:$I$102,7,FALSE),main!$K$26:$Q$29,5,FALSE)),1,0)</f>
        <v>0</v>
      </c>
      <c r="BS264">
        <f>IF(AND(VLOOKUP(BS$1,main!$A$3:$H$102,7,FALSE)=main!$G$105,VLOOKUP(BS$1,main!$A$3:$H$102,5,FALSE)-VLOOKUP($A264,main!$A$3:$H$102,6,FALSE)&gt;=main!$D$103+VLOOKUP(VLOOKUP(BS$1,main!$A$3:$I$102,7,FALSE),main!$K$26:$Q$29,5,FALSE)),1,0)</f>
        <v>0</v>
      </c>
      <c r="BT264">
        <f>IF(AND(VLOOKUP(BT$1,main!$A$3:$H$102,7,FALSE)=main!$G$105,VLOOKUP(BT$1,main!$A$3:$H$102,5,FALSE)-VLOOKUP($A264,main!$A$3:$H$102,6,FALSE)&gt;=main!$D$103+VLOOKUP(VLOOKUP(BT$1,main!$A$3:$I$102,7,FALSE),main!$K$26:$Q$29,5,FALSE)),1,0)</f>
        <v>0</v>
      </c>
      <c r="BU264">
        <f>IF(AND(VLOOKUP(BU$1,main!$A$3:$H$102,7,FALSE)=main!$G$105,VLOOKUP(BU$1,main!$A$3:$H$102,5,FALSE)-VLOOKUP($A264,main!$A$3:$H$102,6,FALSE)&gt;=main!$D$103+VLOOKUP(VLOOKUP(BU$1,main!$A$3:$I$102,7,FALSE),main!$K$26:$Q$29,5,FALSE)),1,0)</f>
        <v>0</v>
      </c>
      <c r="BV264">
        <f>IF(AND(VLOOKUP(BV$1,main!$A$3:$H$102,7,FALSE)=main!$G$105,VLOOKUP(BV$1,main!$A$3:$H$102,5,FALSE)-VLOOKUP($A264,main!$A$3:$H$102,6,FALSE)&gt;=main!$D$103+VLOOKUP(VLOOKUP(BV$1,main!$A$3:$I$102,7,FALSE),main!$K$26:$Q$29,5,FALSE)),1,0)</f>
        <v>0</v>
      </c>
      <c r="BW264">
        <f>IF(AND(VLOOKUP(BW$1,main!$A$3:$H$102,7,FALSE)=main!$G$105,VLOOKUP(BW$1,main!$A$3:$H$102,5,FALSE)-VLOOKUP($A264,main!$A$3:$H$102,6,FALSE)&gt;=main!$D$103+VLOOKUP(VLOOKUP(BW$1,main!$A$3:$I$102,7,FALSE),main!$K$26:$Q$29,5,FALSE)),1,0)</f>
        <v>0</v>
      </c>
      <c r="BX264">
        <f>IF(AND(VLOOKUP(BX$1,main!$A$3:$H$102,7,FALSE)=main!$G$105,VLOOKUP(BX$1,main!$A$3:$H$102,5,FALSE)-VLOOKUP($A264,main!$A$3:$H$102,6,FALSE)&gt;=main!$D$103+VLOOKUP(VLOOKUP(BX$1,main!$A$3:$I$102,7,FALSE),main!$K$26:$Q$29,5,FALSE)),1,0)</f>
        <v>0</v>
      </c>
      <c r="BY264">
        <f>IF(AND(VLOOKUP(BY$1,main!$A$3:$H$102,7,FALSE)=main!$G$105,VLOOKUP(BY$1,main!$A$3:$H$102,5,FALSE)-VLOOKUP($A264,main!$A$3:$H$102,6,FALSE)&gt;=main!$D$103+VLOOKUP(VLOOKUP(BY$1,main!$A$3:$I$102,7,FALSE),main!$K$26:$Q$29,5,FALSE)),1,0)</f>
        <v>0</v>
      </c>
      <c r="BZ264">
        <f>IF(AND(VLOOKUP(BZ$1,main!$A$3:$H$102,7,FALSE)=main!$G$105,VLOOKUP(BZ$1,main!$A$3:$H$102,5,FALSE)-VLOOKUP($A264,main!$A$3:$H$102,6,FALSE)&gt;=main!$D$103+VLOOKUP(VLOOKUP(BZ$1,main!$A$3:$I$102,7,FALSE),main!$K$26:$Q$29,5,FALSE)),1,0)</f>
        <v>0</v>
      </c>
      <c r="CA264">
        <f>IF(AND(VLOOKUP(CA$1,main!$A$3:$H$102,7,FALSE)=main!$G$105,VLOOKUP(CA$1,main!$A$3:$H$102,5,FALSE)-VLOOKUP($A264,main!$A$3:$H$102,6,FALSE)&gt;=main!$D$103+VLOOKUP(VLOOKUP(CA$1,main!$A$3:$I$102,7,FALSE),main!$K$26:$Q$29,5,FALSE)),1,0)</f>
        <v>0</v>
      </c>
      <c r="CB264">
        <f>IF(AND(VLOOKUP(CB$1,main!$A$3:$H$102,7,FALSE)=main!$G$105,VLOOKUP(CB$1,main!$A$3:$H$102,5,FALSE)-VLOOKUP($A264,main!$A$3:$H$102,6,FALSE)&gt;=main!$D$103+VLOOKUP(VLOOKUP(CB$1,main!$A$3:$I$102,7,FALSE),main!$K$26:$Q$29,5,FALSE)),1,0)</f>
        <v>0</v>
      </c>
      <c r="CC264">
        <f>IF(AND(VLOOKUP(CC$1,main!$A$3:$H$102,7,FALSE)=main!$G$105,VLOOKUP(CC$1,main!$A$3:$H$102,5,FALSE)-VLOOKUP($A264,main!$A$3:$H$102,6,FALSE)&gt;=main!$D$103+VLOOKUP(VLOOKUP(CC$1,main!$A$3:$I$102,7,FALSE),main!$K$26:$Q$29,5,FALSE)),1,0)</f>
        <v>0</v>
      </c>
      <c r="CD264">
        <f>IF(AND(VLOOKUP(CD$1,main!$A$3:$H$102,7,FALSE)=main!$G$105,VLOOKUP(CD$1,main!$A$3:$H$102,5,FALSE)-VLOOKUP($A264,main!$A$3:$H$102,6,FALSE)&gt;=main!$D$103+VLOOKUP(VLOOKUP(CD$1,main!$A$3:$I$102,7,FALSE),main!$K$26:$Q$29,5,FALSE)),1,0)</f>
        <v>0</v>
      </c>
      <c r="CE264">
        <f>IF(AND(VLOOKUP(CE$1,main!$A$3:$H$102,7,FALSE)=main!$G$105,VLOOKUP(CE$1,main!$A$3:$H$102,5,FALSE)-VLOOKUP($A264,main!$A$3:$H$102,6,FALSE)&gt;=main!$D$103+VLOOKUP(VLOOKUP(CE$1,main!$A$3:$I$102,7,FALSE),main!$K$26:$Q$29,5,FALSE)),1,0)</f>
        <v>0</v>
      </c>
      <c r="CF264">
        <f>IF(AND(VLOOKUP(CF$1,main!$A$3:$H$102,7,FALSE)=main!$G$105,VLOOKUP(CF$1,main!$A$3:$H$102,5,FALSE)-VLOOKUP($A264,main!$A$3:$H$102,6,FALSE)&gt;=main!$D$103+VLOOKUP(VLOOKUP(CF$1,main!$A$3:$I$102,7,FALSE),main!$K$26:$Q$29,5,FALSE)),1,0)</f>
        <v>0</v>
      </c>
      <c r="CG264">
        <f>IF(AND(VLOOKUP(CG$1,main!$A$3:$H$102,7,FALSE)=main!$G$105,VLOOKUP(CG$1,main!$A$3:$H$102,5,FALSE)-VLOOKUP($A264,main!$A$3:$H$102,6,FALSE)&gt;=main!$D$103+VLOOKUP(VLOOKUP(CG$1,main!$A$3:$I$102,7,FALSE),main!$K$26:$Q$29,5,FALSE)),1,0)</f>
        <v>0</v>
      </c>
      <c r="CH264">
        <f>IF(AND(VLOOKUP(CH$1,main!$A$3:$H$102,7,FALSE)=main!$G$105,VLOOKUP(CH$1,main!$A$3:$H$102,5,FALSE)-VLOOKUP($A264,main!$A$3:$H$102,6,FALSE)&gt;=main!$D$103+VLOOKUP(VLOOKUP(CH$1,main!$A$3:$I$102,7,FALSE),main!$K$26:$Q$29,5,FALSE)),1,0)</f>
        <v>0</v>
      </c>
      <c r="CI264">
        <f>IF(AND(VLOOKUP(CI$1,main!$A$3:$H$102,7,FALSE)=main!$G$105,VLOOKUP(CI$1,main!$A$3:$H$102,5,FALSE)-VLOOKUP($A264,main!$A$3:$H$102,6,FALSE)&gt;=main!$D$103+VLOOKUP(VLOOKUP(CI$1,main!$A$3:$I$102,7,FALSE),main!$K$26:$Q$29,5,FALSE)),1,0)</f>
        <v>0</v>
      </c>
      <c r="CJ264">
        <f>IF(AND(VLOOKUP(CJ$1,main!$A$3:$H$102,7,FALSE)=main!$G$105,VLOOKUP(CJ$1,main!$A$3:$H$102,5,FALSE)-VLOOKUP($A264,main!$A$3:$H$102,6,FALSE)&gt;=main!$D$103+VLOOKUP(VLOOKUP(CJ$1,main!$A$3:$I$102,7,FALSE),main!$K$26:$Q$29,5,FALSE)),1,0)</f>
        <v>0</v>
      </c>
      <c r="CK264">
        <f>IF(AND(VLOOKUP(CK$1,main!$A$3:$H$102,7,FALSE)=main!$G$105,VLOOKUP(CK$1,main!$A$3:$H$102,5,FALSE)-VLOOKUP($A264,main!$A$3:$H$102,6,FALSE)&gt;=main!$D$103+VLOOKUP(VLOOKUP(CK$1,main!$A$3:$I$102,7,FALSE),main!$K$26:$Q$29,5,FALSE)),1,0)</f>
        <v>0</v>
      </c>
      <c r="CL264">
        <f>IF(AND(VLOOKUP(CL$1,main!$A$3:$H$102,7,FALSE)=main!$G$105,VLOOKUP(CL$1,main!$A$3:$H$102,5,FALSE)-VLOOKUP($A264,main!$A$3:$H$102,6,FALSE)&gt;=main!$D$103+VLOOKUP(VLOOKUP(CL$1,main!$A$3:$I$102,7,FALSE),main!$K$26:$Q$29,5,FALSE)),1,0)</f>
        <v>0</v>
      </c>
      <c r="CM264">
        <f>IF(AND(VLOOKUP(CM$1,main!$A$3:$H$102,7,FALSE)=main!$G$105,VLOOKUP(CM$1,main!$A$3:$H$102,5,FALSE)-VLOOKUP($A264,main!$A$3:$H$102,6,FALSE)&gt;=main!$D$103+VLOOKUP(VLOOKUP(CM$1,main!$A$3:$I$102,7,FALSE),main!$K$26:$Q$29,5,FALSE)),1,0)</f>
        <v>0</v>
      </c>
      <c r="CN264">
        <f>IF(AND(VLOOKUP(CN$1,main!$A$3:$H$102,7,FALSE)=main!$G$105,VLOOKUP(CN$1,main!$A$3:$H$102,5,FALSE)-VLOOKUP($A264,main!$A$3:$H$102,6,FALSE)&gt;=main!$D$103+VLOOKUP(VLOOKUP(CN$1,main!$A$3:$I$102,7,FALSE),main!$K$26:$Q$29,5,FALSE)),1,0)</f>
        <v>0</v>
      </c>
      <c r="CO264">
        <f>IF(AND(VLOOKUP(CO$1,main!$A$3:$H$102,7,FALSE)=main!$G$105,VLOOKUP(CO$1,main!$A$3:$H$102,5,FALSE)-VLOOKUP($A264,main!$A$3:$H$102,6,FALSE)&gt;=main!$D$103+VLOOKUP(VLOOKUP(CO$1,main!$A$3:$I$102,7,FALSE),main!$K$26:$Q$29,5,FALSE)),1,0)</f>
        <v>0</v>
      </c>
      <c r="CP264">
        <f>IF(AND(VLOOKUP(CP$1,main!$A$3:$H$102,7,FALSE)=main!$G$105,VLOOKUP(CP$1,main!$A$3:$H$102,5,FALSE)-VLOOKUP($A264,main!$A$3:$H$102,6,FALSE)&gt;=main!$D$103+VLOOKUP(VLOOKUP(CP$1,main!$A$3:$I$102,7,FALSE),main!$K$26:$Q$29,5,FALSE)),1,0)</f>
        <v>0</v>
      </c>
      <c r="CQ264">
        <f>IF(AND(VLOOKUP(CQ$1,main!$A$3:$H$102,7,FALSE)=main!$G$105,VLOOKUP(CQ$1,main!$A$3:$H$102,5,FALSE)-VLOOKUP($A264,main!$A$3:$H$102,6,FALSE)&gt;=main!$D$103+VLOOKUP(VLOOKUP(CQ$1,main!$A$3:$I$102,7,FALSE),main!$K$26:$Q$29,5,FALSE)),1,0)</f>
        <v>0</v>
      </c>
      <c r="CR264">
        <f>IF(AND(VLOOKUP(CR$1,main!$A$3:$H$102,7,FALSE)=main!$G$105,VLOOKUP(CR$1,main!$A$3:$H$102,5,FALSE)-VLOOKUP($A264,main!$A$3:$H$102,6,FALSE)&gt;=main!$D$103+VLOOKUP(VLOOKUP(CR$1,main!$A$3:$I$102,7,FALSE),main!$K$26:$Q$29,5,FALSE)),1,0)</f>
        <v>0</v>
      </c>
      <c r="CS264">
        <f>IF(AND(VLOOKUP(CS$1,main!$A$3:$H$102,7,FALSE)=main!$G$105,VLOOKUP(CS$1,main!$A$3:$H$102,5,FALSE)-VLOOKUP($A264,main!$A$3:$H$102,6,FALSE)&gt;=main!$D$103+VLOOKUP(VLOOKUP(CS$1,main!$A$3:$I$102,7,FALSE),main!$K$26:$Q$29,5,FALSE)),1,0)</f>
        <v>0</v>
      </c>
      <c r="CT264">
        <f>IF(AND(VLOOKUP(CT$1,main!$A$3:$H$102,7,FALSE)=main!$G$105,VLOOKUP(CT$1,main!$A$3:$H$102,5,FALSE)-VLOOKUP($A264,main!$A$3:$H$102,6,FALSE)&gt;=main!$D$103+VLOOKUP(VLOOKUP(CT$1,main!$A$3:$I$102,7,FALSE),main!$K$26:$Q$29,5,FALSE)),1,0)</f>
        <v>0</v>
      </c>
      <c r="CU264">
        <f>IF(AND(VLOOKUP(CU$1,main!$A$3:$H$102,7,FALSE)=main!$G$105,VLOOKUP(CU$1,main!$A$3:$H$102,5,FALSE)-VLOOKUP($A264,main!$A$3:$H$102,6,FALSE)&gt;=main!$D$103+VLOOKUP(VLOOKUP(CU$1,main!$A$3:$I$102,7,FALSE),main!$K$26:$Q$29,5,FALSE)),1,0)</f>
        <v>0</v>
      </c>
      <c r="CV264">
        <f>IF(AND(VLOOKUP(CV$1,main!$A$3:$H$102,7,FALSE)=main!$G$105,VLOOKUP(CV$1,main!$A$3:$H$102,5,FALSE)-VLOOKUP($A264,main!$A$3:$H$102,6,FALSE)&gt;=main!$D$103+VLOOKUP(VLOOKUP(CV$1,main!$A$3:$I$102,7,FALSE),main!$K$26:$Q$29,5,FALSE)),1,0)</f>
        <v>0</v>
      </c>
      <c r="CW264">
        <f>IF(AND(VLOOKUP(CW$1,main!$A$3:$H$102,7,FALSE)=main!$G$105,VLOOKUP(CW$1,main!$A$3:$H$102,5,FALSE)-VLOOKUP($A264,main!$A$3:$H$102,6,FALSE)&gt;=main!$D$103+VLOOKUP(VLOOKUP(CW$1,main!$A$3:$I$102,7,FALSE),main!$K$26:$Q$29,5,FALSE)),1,0)</f>
        <v>0</v>
      </c>
      <c r="CX264">
        <f>IF(AND(VLOOKUP(CX$1,main!$A$3:$H$102,7,FALSE)=main!$G$105,VLOOKUP(CX$1,main!$A$3:$H$102,5,FALSE)-VLOOKUP($A264,main!$A$3:$H$102,6,FALSE)&gt;=main!$D$103+VLOOKUP(VLOOKUP(CX$1,main!$A$3:$I$102,7,FALSE),main!$K$26:$Q$29,5,FALSE)),1,0)</f>
        <v>0</v>
      </c>
    </row>
    <row r="265" spans="1:102" x14ac:dyDescent="0.25">
      <c r="A265" s="1">
        <v>61</v>
      </c>
      <c r="B265">
        <v>0</v>
      </c>
      <c r="C265">
        <f>IF(AND(VLOOKUP(C$1,main!$A$3:$H$102,7,FALSE)=main!$G$105,VLOOKUP(C$1,main!$A$3:$H$102,5,FALSE)-VLOOKUP($A265,main!$A$3:$H$102,6,FALSE)&gt;=main!$D$103+VLOOKUP(VLOOKUP(C$1,main!$A$3:$I$102,7,FALSE),main!$K$26:$Q$29,5,FALSE)),1,0)</f>
        <v>0</v>
      </c>
      <c r="D265">
        <f>IF(AND(VLOOKUP(D$1,main!$A$3:$H$102,7,FALSE)=main!$G$105,VLOOKUP(D$1,main!$A$3:$H$102,5,FALSE)-VLOOKUP($A265,main!$A$3:$H$102,6,FALSE)&gt;=main!$D$103+VLOOKUP(VLOOKUP(D$1,main!$A$3:$I$102,7,FALSE),main!$K$26:$Q$29,5,FALSE)),1,0)</f>
        <v>0</v>
      </c>
      <c r="E265">
        <f>IF(AND(VLOOKUP(E$1,main!$A$3:$H$102,7,FALSE)=main!$G$105,VLOOKUP(E$1,main!$A$3:$H$102,5,FALSE)-VLOOKUP($A265,main!$A$3:$H$102,6,FALSE)&gt;=main!$D$103+VLOOKUP(VLOOKUP(E$1,main!$A$3:$I$102,7,FALSE),main!$K$26:$Q$29,5,FALSE)),1,0)</f>
        <v>0</v>
      </c>
      <c r="F265">
        <f>IF(AND(VLOOKUP(F$1,main!$A$3:$H$102,7,FALSE)=main!$G$105,VLOOKUP(F$1,main!$A$3:$H$102,5,FALSE)-VLOOKUP($A265,main!$A$3:$H$102,6,FALSE)&gt;=main!$D$103+VLOOKUP(VLOOKUP(F$1,main!$A$3:$I$102,7,FALSE),main!$K$26:$Q$29,5,FALSE)),1,0)</f>
        <v>0</v>
      </c>
      <c r="G265">
        <f>IF(AND(VLOOKUP(G$1,main!$A$3:$H$102,7,FALSE)=main!$G$105,VLOOKUP(G$1,main!$A$3:$H$102,5,FALSE)-VLOOKUP($A265,main!$A$3:$H$102,6,FALSE)&gt;=main!$D$103+VLOOKUP(VLOOKUP(G$1,main!$A$3:$I$102,7,FALSE),main!$K$26:$Q$29,5,FALSE)),1,0)</f>
        <v>0</v>
      </c>
      <c r="H265">
        <f>IF(AND(VLOOKUP(H$1,main!$A$3:$H$102,7,FALSE)=main!$G$105,VLOOKUP(H$1,main!$A$3:$H$102,5,FALSE)-VLOOKUP($A265,main!$A$3:$H$102,6,FALSE)&gt;=main!$D$103+VLOOKUP(VLOOKUP(H$1,main!$A$3:$I$102,7,FALSE),main!$K$26:$Q$29,5,FALSE)),1,0)</f>
        <v>0</v>
      </c>
      <c r="I265">
        <f>IF(AND(VLOOKUP(I$1,main!$A$3:$H$102,7,FALSE)=main!$G$105,VLOOKUP(I$1,main!$A$3:$H$102,5,FALSE)-VLOOKUP($A265,main!$A$3:$H$102,6,FALSE)&gt;=main!$D$103+VLOOKUP(VLOOKUP(I$1,main!$A$3:$I$102,7,FALSE),main!$K$26:$Q$29,5,FALSE)),1,0)</f>
        <v>0</v>
      </c>
      <c r="J265">
        <f>IF(AND(VLOOKUP(J$1,main!$A$3:$H$102,7,FALSE)=main!$G$105,VLOOKUP(J$1,main!$A$3:$H$102,5,FALSE)-VLOOKUP($A265,main!$A$3:$H$102,6,FALSE)&gt;=main!$D$103+VLOOKUP(VLOOKUP(J$1,main!$A$3:$I$102,7,FALSE),main!$K$26:$Q$29,5,FALSE)),1,0)</f>
        <v>0</v>
      </c>
      <c r="K265">
        <f>IF(AND(VLOOKUP(K$1,main!$A$3:$H$102,7,FALSE)=main!$G$105,VLOOKUP(K$1,main!$A$3:$H$102,5,FALSE)-VLOOKUP($A265,main!$A$3:$H$102,6,FALSE)&gt;=main!$D$103+VLOOKUP(VLOOKUP(K$1,main!$A$3:$I$102,7,FALSE),main!$K$26:$Q$29,5,FALSE)),1,0)</f>
        <v>0</v>
      </c>
      <c r="L265">
        <f>IF(AND(VLOOKUP(L$1,main!$A$3:$H$102,7,FALSE)=main!$G$105,VLOOKUP(L$1,main!$A$3:$H$102,5,FALSE)-VLOOKUP($A265,main!$A$3:$H$102,6,FALSE)&gt;=main!$D$103+VLOOKUP(VLOOKUP(L$1,main!$A$3:$I$102,7,FALSE),main!$K$26:$Q$29,5,FALSE)),1,0)</f>
        <v>0</v>
      </c>
      <c r="M265">
        <f>IF(AND(VLOOKUP(M$1,main!$A$3:$H$102,7,FALSE)=main!$G$105,VLOOKUP(M$1,main!$A$3:$H$102,5,FALSE)-VLOOKUP($A265,main!$A$3:$H$102,6,FALSE)&gt;=main!$D$103+VLOOKUP(VLOOKUP(M$1,main!$A$3:$I$102,7,FALSE),main!$K$26:$Q$29,5,FALSE)),1,0)</f>
        <v>0</v>
      </c>
      <c r="N265">
        <f>IF(AND(VLOOKUP(N$1,main!$A$3:$H$102,7,FALSE)=main!$G$105,VLOOKUP(N$1,main!$A$3:$H$102,5,FALSE)-VLOOKUP($A265,main!$A$3:$H$102,6,FALSE)&gt;=main!$D$103+VLOOKUP(VLOOKUP(N$1,main!$A$3:$I$102,7,FALSE),main!$K$26:$Q$29,5,FALSE)),1,0)</f>
        <v>0</v>
      </c>
      <c r="O265">
        <f>IF(AND(VLOOKUP(O$1,main!$A$3:$H$102,7,FALSE)=main!$G$105,VLOOKUP(O$1,main!$A$3:$H$102,5,FALSE)-VLOOKUP($A265,main!$A$3:$H$102,6,FALSE)&gt;=main!$D$103+VLOOKUP(VLOOKUP(O$1,main!$A$3:$I$102,7,FALSE),main!$K$26:$Q$29,5,FALSE)),1,0)</f>
        <v>0</v>
      </c>
      <c r="P265">
        <f>IF(AND(VLOOKUP(P$1,main!$A$3:$H$102,7,FALSE)=main!$G$105,VLOOKUP(P$1,main!$A$3:$H$102,5,FALSE)-VLOOKUP($A265,main!$A$3:$H$102,6,FALSE)&gt;=main!$D$103+VLOOKUP(VLOOKUP(P$1,main!$A$3:$I$102,7,FALSE),main!$K$26:$Q$29,5,FALSE)),1,0)</f>
        <v>0</v>
      </c>
      <c r="Q265">
        <f>IF(AND(VLOOKUP(Q$1,main!$A$3:$H$102,7,FALSE)=main!$G$105,VLOOKUP(Q$1,main!$A$3:$H$102,5,FALSE)-VLOOKUP($A265,main!$A$3:$H$102,6,FALSE)&gt;=main!$D$103+VLOOKUP(VLOOKUP(Q$1,main!$A$3:$I$102,7,FALSE),main!$K$26:$Q$29,5,FALSE)),1,0)</f>
        <v>0</v>
      </c>
      <c r="R265">
        <f>IF(AND(VLOOKUP(R$1,main!$A$3:$H$102,7,FALSE)=main!$G$105,VLOOKUP(R$1,main!$A$3:$H$102,5,FALSE)-VLOOKUP($A265,main!$A$3:$H$102,6,FALSE)&gt;=main!$D$103+VLOOKUP(VLOOKUP(R$1,main!$A$3:$I$102,7,FALSE),main!$K$26:$Q$29,5,FALSE)),1,0)</f>
        <v>0</v>
      </c>
      <c r="S265">
        <f>IF(AND(VLOOKUP(S$1,main!$A$3:$H$102,7,FALSE)=main!$G$105,VLOOKUP(S$1,main!$A$3:$H$102,5,FALSE)-VLOOKUP($A265,main!$A$3:$H$102,6,FALSE)&gt;=main!$D$103+VLOOKUP(VLOOKUP(S$1,main!$A$3:$I$102,7,FALSE),main!$K$26:$Q$29,5,FALSE)),1,0)</f>
        <v>0</v>
      </c>
      <c r="T265">
        <f>IF(AND(VLOOKUP(T$1,main!$A$3:$H$102,7,FALSE)=main!$G$105,VLOOKUP(T$1,main!$A$3:$H$102,5,FALSE)-VLOOKUP($A265,main!$A$3:$H$102,6,FALSE)&gt;=main!$D$103+VLOOKUP(VLOOKUP(T$1,main!$A$3:$I$102,7,FALSE),main!$K$26:$Q$29,5,FALSE)),1,0)</f>
        <v>0</v>
      </c>
      <c r="U265">
        <f>IF(AND(VLOOKUP(U$1,main!$A$3:$H$102,7,FALSE)=main!$G$105,VLOOKUP(U$1,main!$A$3:$H$102,5,FALSE)-VLOOKUP($A265,main!$A$3:$H$102,6,FALSE)&gt;=main!$D$103+VLOOKUP(VLOOKUP(U$1,main!$A$3:$I$102,7,FALSE),main!$K$26:$Q$29,5,FALSE)),1,0)</f>
        <v>0</v>
      </c>
      <c r="V265">
        <f>IF(AND(VLOOKUP(V$1,main!$A$3:$H$102,7,FALSE)=main!$G$105,VLOOKUP(V$1,main!$A$3:$H$102,5,FALSE)-VLOOKUP($A265,main!$A$3:$H$102,6,FALSE)&gt;=main!$D$103+VLOOKUP(VLOOKUP(V$1,main!$A$3:$I$102,7,FALSE),main!$K$26:$Q$29,5,FALSE)),1,0)</f>
        <v>0</v>
      </c>
      <c r="W265">
        <f>IF(AND(VLOOKUP(W$1,main!$A$3:$H$102,7,FALSE)=main!$G$105,VLOOKUP(W$1,main!$A$3:$H$102,5,FALSE)-VLOOKUP($A265,main!$A$3:$H$102,6,FALSE)&gt;=main!$D$103+VLOOKUP(VLOOKUP(W$1,main!$A$3:$I$102,7,FALSE),main!$K$26:$Q$29,5,FALSE)),1,0)</f>
        <v>0</v>
      </c>
      <c r="X265">
        <f>IF(AND(VLOOKUP(X$1,main!$A$3:$H$102,7,FALSE)=main!$G$105,VLOOKUP(X$1,main!$A$3:$H$102,5,FALSE)-VLOOKUP($A265,main!$A$3:$H$102,6,FALSE)&gt;=main!$D$103+VLOOKUP(VLOOKUP(X$1,main!$A$3:$I$102,7,FALSE),main!$K$26:$Q$29,5,FALSE)),1,0)</f>
        <v>0</v>
      </c>
      <c r="Y265">
        <f>IF(AND(VLOOKUP(Y$1,main!$A$3:$H$102,7,FALSE)=main!$G$105,VLOOKUP(Y$1,main!$A$3:$H$102,5,FALSE)-VLOOKUP($A265,main!$A$3:$H$102,6,FALSE)&gt;=main!$D$103+VLOOKUP(VLOOKUP(Y$1,main!$A$3:$I$102,7,FALSE),main!$K$26:$Q$29,5,FALSE)),1,0)</f>
        <v>0</v>
      </c>
      <c r="Z265">
        <f>IF(AND(VLOOKUP(Z$1,main!$A$3:$H$102,7,FALSE)=main!$G$105,VLOOKUP(Z$1,main!$A$3:$H$102,5,FALSE)-VLOOKUP($A265,main!$A$3:$H$102,6,FALSE)&gt;=main!$D$103+VLOOKUP(VLOOKUP(Z$1,main!$A$3:$I$102,7,FALSE),main!$K$26:$Q$29,5,FALSE)),1,0)</f>
        <v>0</v>
      </c>
      <c r="AA265">
        <f>IF(AND(VLOOKUP(AA$1,main!$A$3:$H$102,7,FALSE)=main!$G$105,VLOOKUP(AA$1,main!$A$3:$H$102,5,FALSE)-VLOOKUP($A265,main!$A$3:$H$102,6,FALSE)&gt;=main!$D$103+VLOOKUP(VLOOKUP(AA$1,main!$A$3:$I$102,7,FALSE),main!$K$26:$Q$29,5,FALSE)),1,0)</f>
        <v>0</v>
      </c>
      <c r="AB265">
        <f>IF(AND(VLOOKUP(AB$1,main!$A$3:$H$102,7,FALSE)=main!$G$105,VLOOKUP(AB$1,main!$A$3:$H$102,5,FALSE)-VLOOKUP($A265,main!$A$3:$H$102,6,FALSE)&gt;=main!$D$103+VLOOKUP(VLOOKUP(AB$1,main!$A$3:$I$102,7,FALSE),main!$K$26:$Q$29,5,FALSE)),1,0)</f>
        <v>0</v>
      </c>
      <c r="AC265">
        <f>IF(AND(VLOOKUP(AC$1,main!$A$3:$H$102,7,FALSE)=main!$G$105,VLOOKUP(AC$1,main!$A$3:$H$102,5,FALSE)-VLOOKUP($A265,main!$A$3:$H$102,6,FALSE)&gt;=main!$D$103+VLOOKUP(VLOOKUP(AC$1,main!$A$3:$I$102,7,FALSE),main!$K$26:$Q$29,5,FALSE)),1,0)</f>
        <v>0</v>
      </c>
      <c r="AD265">
        <f>IF(AND(VLOOKUP(AD$1,main!$A$3:$H$102,7,FALSE)=main!$G$105,VLOOKUP(AD$1,main!$A$3:$H$102,5,FALSE)-VLOOKUP($A265,main!$A$3:$H$102,6,FALSE)&gt;=main!$D$103+VLOOKUP(VLOOKUP(AD$1,main!$A$3:$I$102,7,FALSE),main!$K$26:$Q$29,5,FALSE)),1,0)</f>
        <v>0</v>
      </c>
      <c r="AE265">
        <f>IF(AND(VLOOKUP(AE$1,main!$A$3:$H$102,7,FALSE)=main!$G$105,VLOOKUP(AE$1,main!$A$3:$H$102,5,FALSE)-VLOOKUP($A265,main!$A$3:$H$102,6,FALSE)&gt;=main!$D$103+VLOOKUP(VLOOKUP(AE$1,main!$A$3:$I$102,7,FALSE),main!$K$26:$Q$29,5,FALSE)),1,0)</f>
        <v>0</v>
      </c>
      <c r="AF265">
        <f>IF(AND(VLOOKUP(AF$1,main!$A$3:$H$102,7,FALSE)=main!$G$105,VLOOKUP(AF$1,main!$A$3:$H$102,5,FALSE)-VLOOKUP($A265,main!$A$3:$H$102,6,FALSE)&gt;=main!$D$103+VLOOKUP(VLOOKUP(AF$1,main!$A$3:$I$102,7,FALSE),main!$K$26:$Q$29,5,FALSE)),1,0)</f>
        <v>0</v>
      </c>
      <c r="AG265">
        <f>IF(AND(VLOOKUP(AG$1,main!$A$3:$H$102,7,FALSE)=main!$G$105,VLOOKUP(AG$1,main!$A$3:$H$102,5,FALSE)-VLOOKUP($A265,main!$A$3:$H$102,6,FALSE)&gt;=main!$D$103+VLOOKUP(VLOOKUP(AG$1,main!$A$3:$I$102,7,FALSE),main!$K$26:$Q$29,5,FALSE)),1,0)</f>
        <v>1</v>
      </c>
      <c r="AH265">
        <f>IF(AND(VLOOKUP(AH$1,main!$A$3:$H$102,7,FALSE)=main!$G$105,VLOOKUP(AH$1,main!$A$3:$H$102,5,FALSE)-VLOOKUP($A265,main!$A$3:$H$102,6,FALSE)&gt;=main!$D$103+VLOOKUP(VLOOKUP(AH$1,main!$A$3:$I$102,7,FALSE),main!$K$26:$Q$29,5,FALSE)),1,0)</f>
        <v>1</v>
      </c>
      <c r="AI265">
        <f>IF(AND(VLOOKUP(AI$1,main!$A$3:$H$102,7,FALSE)=main!$G$105,VLOOKUP(AI$1,main!$A$3:$H$102,5,FALSE)-VLOOKUP($A265,main!$A$3:$H$102,6,FALSE)&gt;=main!$D$103+VLOOKUP(VLOOKUP(AI$1,main!$A$3:$I$102,7,FALSE),main!$K$26:$Q$29,5,FALSE)),1,0)</f>
        <v>1</v>
      </c>
      <c r="AJ265">
        <f>IF(AND(VLOOKUP(AJ$1,main!$A$3:$H$102,7,FALSE)=main!$G$105,VLOOKUP(AJ$1,main!$A$3:$H$102,5,FALSE)-VLOOKUP($A265,main!$A$3:$H$102,6,FALSE)&gt;=main!$D$103+VLOOKUP(VLOOKUP(AJ$1,main!$A$3:$I$102,7,FALSE),main!$K$26:$Q$29,5,FALSE)),1,0)</f>
        <v>1</v>
      </c>
      <c r="AK265">
        <f>IF(AND(VLOOKUP(AK$1,main!$A$3:$H$102,7,FALSE)=main!$G$105,VLOOKUP(AK$1,main!$A$3:$H$102,5,FALSE)-VLOOKUP($A265,main!$A$3:$H$102,6,FALSE)&gt;=main!$D$103+VLOOKUP(VLOOKUP(AK$1,main!$A$3:$I$102,7,FALSE),main!$K$26:$Q$29,5,FALSE)),1,0)</f>
        <v>1</v>
      </c>
      <c r="AL265">
        <f>IF(AND(VLOOKUP(AL$1,main!$A$3:$H$102,7,FALSE)=main!$G$105,VLOOKUP(AL$1,main!$A$3:$H$102,5,FALSE)-VLOOKUP($A265,main!$A$3:$H$102,6,FALSE)&gt;=main!$D$103+VLOOKUP(VLOOKUP(AL$1,main!$A$3:$I$102,7,FALSE),main!$K$26:$Q$29,5,FALSE)),1,0)</f>
        <v>1</v>
      </c>
      <c r="AM265">
        <f>IF(AND(VLOOKUP(AM$1,main!$A$3:$H$102,7,FALSE)=main!$G$105,VLOOKUP(AM$1,main!$A$3:$H$102,5,FALSE)-VLOOKUP($A265,main!$A$3:$H$102,6,FALSE)&gt;=main!$D$103+VLOOKUP(VLOOKUP(AM$1,main!$A$3:$I$102,7,FALSE),main!$K$26:$Q$29,5,FALSE)),1,0)</f>
        <v>1</v>
      </c>
      <c r="AN265">
        <f>IF(AND(VLOOKUP(AN$1,main!$A$3:$H$102,7,FALSE)=main!$G$105,VLOOKUP(AN$1,main!$A$3:$H$102,5,FALSE)-VLOOKUP($A265,main!$A$3:$H$102,6,FALSE)&gt;=main!$D$103+VLOOKUP(VLOOKUP(AN$1,main!$A$3:$I$102,7,FALSE),main!$K$26:$Q$29,5,FALSE)),1,0)</f>
        <v>1</v>
      </c>
      <c r="AO265">
        <f>IF(AND(VLOOKUP(AO$1,main!$A$3:$H$102,7,FALSE)=main!$G$105,VLOOKUP(AO$1,main!$A$3:$H$102,5,FALSE)-VLOOKUP($A265,main!$A$3:$H$102,6,FALSE)&gt;=main!$D$103+VLOOKUP(VLOOKUP(AO$1,main!$A$3:$I$102,7,FALSE),main!$K$26:$Q$29,5,FALSE)),1,0)</f>
        <v>0</v>
      </c>
      <c r="AP265">
        <f>IF(AND(VLOOKUP(AP$1,main!$A$3:$H$102,7,FALSE)=main!$G$105,VLOOKUP(AP$1,main!$A$3:$H$102,5,FALSE)-VLOOKUP($A265,main!$A$3:$H$102,6,FALSE)&gt;=main!$D$103+VLOOKUP(VLOOKUP(AP$1,main!$A$3:$I$102,7,FALSE),main!$K$26:$Q$29,5,FALSE)),1,0)</f>
        <v>1</v>
      </c>
      <c r="AQ265">
        <f>IF(AND(VLOOKUP(AQ$1,main!$A$3:$H$102,7,FALSE)=main!$G$105,VLOOKUP(AQ$1,main!$A$3:$H$102,5,FALSE)-VLOOKUP($A265,main!$A$3:$H$102,6,FALSE)&gt;=main!$D$103+VLOOKUP(VLOOKUP(AQ$1,main!$A$3:$I$102,7,FALSE),main!$K$26:$Q$29,5,FALSE)),1,0)</f>
        <v>0</v>
      </c>
      <c r="AR265">
        <f>IF(AND(VLOOKUP(AR$1,main!$A$3:$H$102,7,FALSE)=main!$G$105,VLOOKUP(AR$1,main!$A$3:$H$102,5,FALSE)-VLOOKUP($A265,main!$A$3:$H$102,6,FALSE)&gt;=main!$D$103+VLOOKUP(VLOOKUP(AR$1,main!$A$3:$I$102,7,FALSE),main!$K$26:$Q$29,5,FALSE)),1,0)</f>
        <v>1</v>
      </c>
      <c r="AS265">
        <f>IF(AND(VLOOKUP(AS$1,main!$A$3:$H$102,7,FALSE)=main!$G$105,VLOOKUP(AS$1,main!$A$3:$H$102,5,FALSE)-VLOOKUP($A265,main!$A$3:$H$102,6,FALSE)&gt;=main!$D$103+VLOOKUP(VLOOKUP(AS$1,main!$A$3:$I$102,7,FALSE),main!$K$26:$Q$29,5,FALSE)),1,0)</f>
        <v>1</v>
      </c>
      <c r="AT265">
        <f>IF(AND(VLOOKUP(AT$1,main!$A$3:$H$102,7,FALSE)=main!$G$105,VLOOKUP(AT$1,main!$A$3:$H$102,5,FALSE)-VLOOKUP($A265,main!$A$3:$H$102,6,FALSE)&gt;=main!$D$103+VLOOKUP(VLOOKUP(AT$1,main!$A$3:$I$102,7,FALSE),main!$K$26:$Q$29,5,FALSE)),1,0)</f>
        <v>1</v>
      </c>
      <c r="AU265">
        <f>IF(AND(VLOOKUP(AU$1,main!$A$3:$H$102,7,FALSE)=main!$G$105,VLOOKUP(AU$1,main!$A$3:$H$102,5,FALSE)-VLOOKUP($A265,main!$A$3:$H$102,6,FALSE)&gt;=main!$D$103+VLOOKUP(VLOOKUP(AU$1,main!$A$3:$I$102,7,FALSE),main!$K$26:$Q$29,5,FALSE)),1,0)</f>
        <v>0</v>
      </c>
      <c r="AV265">
        <f>IF(AND(VLOOKUP(AV$1,main!$A$3:$H$102,7,FALSE)=main!$G$105,VLOOKUP(AV$1,main!$A$3:$H$102,5,FALSE)-VLOOKUP($A265,main!$A$3:$H$102,6,FALSE)&gt;=main!$D$103+VLOOKUP(VLOOKUP(AV$1,main!$A$3:$I$102,7,FALSE),main!$K$26:$Q$29,5,FALSE)),1,0)</f>
        <v>1</v>
      </c>
      <c r="AW265">
        <f>IF(AND(VLOOKUP(AW$1,main!$A$3:$H$102,7,FALSE)=main!$G$105,VLOOKUP(AW$1,main!$A$3:$H$102,5,FALSE)-VLOOKUP($A265,main!$A$3:$H$102,6,FALSE)&gt;=main!$D$103+VLOOKUP(VLOOKUP(AW$1,main!$A$3:$I$102,7,FALSE),main!$K$26:$Q$29,5,FALSE)),1,0)</f>
        <v>1</v>
      </c>
      <c r="AX265">
        <f>IF(AND(VLOOKUP(AX$1,main!$A$3:$H$102,7,FALSE)=main!$G$105,VLOOKUP(AX$1,main!$A$3:$H$102,5,FALSE)-VLOOKUP($A265,main!$A$3:$H$102,6,FALSE)&gt;=main!$D$103+VLOOKUP(VLOOKUP(AX$1,main!$A$3:$I$102,7,FALSE),main!$K$26:$Q$29,5,FALSE)),1,0)</f>
        <v>1</v>
      </c>
      <c r="AY265">
        <f>IF(AND(VLOOKUP(AY$1,main!$A$3:$H$102,7,FALSE)=main!$G$105,VLOOKUP(AY$1,main!$A$3:$H$102,5,FALSE)-VLOOKUP($A265,main!$A$3:$H$102,6,FALSE)&gt;=main!$D$103+VLOOKUP(VLOOKUP(AY$1,main!$A$3:$I$102,7,FALSE),main!$K$26:$Q$29,5,FALSE)),1,0)</f>
        <v>1</v>
      </c>
      <c r="AZ265">
        <f>IF(AND(VLOOKUP(AZ$1,main!$A$3:$H$102,7,FALSE)=main!$G$105,VLOOKUP(AZ$1,main!$A$3:$H$102,5,FALSE)-VLOOKUP($A265,main!$A$3:$H$102,6,FALSE)&gt;=main!$D$103+VLOOKUP(VLOOKUP(AZ$1,main!$A$3:$I$102,7,FALSE),main!$K$26:$Q$29,5,FALSE)),1,0)</f>
        <v>1</v>
      </c>
      <c r="BA265">
        <f>IF(AND(VLOOKUP(BA$1,main!$A$3:$H$102,7,FALSE)=main!$G$105,VLOOKUP(BA$1,main!$A$3:$H$102,5,FALSE)-VLOOKUP($A265,main!$A$3:$H$102,6,FALSE)&gt;=main!$D$103+VLOOKUP(VLOOKUP(BA$1,main!$A$3:$I$102,7,FALSE),main!$K$26:$Q$29,5,FALSE)),1,0)</f>
        <v>0</v>
      </c>
      <c r="BB265">
        <f>IF(AND(VLOOKUP(BB$1,main!$A$3:$H$102,7,FALSE)=main!$G$105,VLOOKUP(BB$1,main!$A$3:$H$102,5,FALSE)-VLOOKUP($A265,main!$A$3:$H$102,6,FALSE)&gt;=main!$D$103+VLOOKUP(VLOOKUP(BB$1,main!$A$3:$I$102,7,FALSE),main!$K$26:$Q$29,5,FALSE)),1,0)</f>
        <v>0</v>
      </c>
      <c r="BC265">
        <f>IF(AND(VLOOKUP(BC$1,main!$A$3:$H$102,7,FALSE)=main!$G$105,VLOOKUP(BC$1,main!$A$3:$H$102,5,FALSE)-VLOOKUP($A265,main!$A$3:$H$102,6,FALSE)&gt;=main!$D$103+VLOOKUP(VLOOKUP(BC$1,main!$A$3:$I$102,7,FALSE),main!$K$26:$Q$29,5,FALSE)),1,0)</f>
        <v>0</v>
      </c>
      <c r="BD265">
        <f>IF(AND(VLOOKUP(BD$1,main!$A$3:$H$102,7,FALSE)=main!$G$105,VLOOKUP(BD$1,main!$A$3:$H$102,5,FALSE)-VLOOKUP($A265,main!$A$3:$H$102,6,FALSE)&gt;=main!$D$103+VLOOKUP(VLOOKUP(BD$1,main!$A$3:$I$102,7,FALSE),main!$K$26:$Q$29,5,FALSE)),1,0)</f>
        <v>0</v>
      </c>
      <c r="BE265">
        <f>IF(AND(VLOOKUP(BE$1,main!$A$3:$H$102,7,FALSE)=main!$G$105,VLOOKUP(BE$1,main!$A$3:$H$102,5,FALSE)-VLOOKUP($A265,main!$A$3:$H$102,6,FALSE)&gt;=main!$D$103+VLOOKUP(VLOOKUP(BE$1,main!$A$3:$I$102,7,FALSE),main!$K$26:$Q$29,5,FALSE)),1,0)</f>
        <v>0</v>
      </c>
      <c r="BF265">
        <f>IF(AND(VLOOKUP(BF$1,main!$A$3:$H$102,7,FALSE)=main!$G$105,VLOOKUP(BF$1,main!$A$3:$H$102,5,FALSE)-VLOOKUP($A265,main!$A$3:$H$102,6,FALSE)&gt;=main!$D$103+VLOOKUP(VLOOKUP(BF$1,main!$A$3:$I$102,7,FALSE),main!$K$26:$Q$29,5,FALSE)),1,0)</f>
        <v>0</v>
      </c>
      <c r="BG265">
        <f>IF(AND(VLOOKUP(BG$1,main!$A$3:$H$102,7,FALSE)=main!$G$105,VLOOKUP(BG$1,main!$A$3:$H$102,5,FALSE)-VLOOKUP($A265,main!$A$3:$H$102,6,FALSE)&gt;=main!$D$103+VLOOKUP(VLOOKUP(BG$1,main!$A$3:$I$102,7,FALSE),main!$K$26:$Q$29,5,FALSE)),1,0)</f>
        <v>0</v>
      </c>
      <c r="BH265">
        <f>IF(AND(VLOOKUP(BH$1,main!$A$3:$H$102,7,FALSE)=main!$G$105,VLOOKUP(BH$1,main!$A$3:$H$102,5,FALSE)-VLOOKUP($A265,main!$A$3:$H$102,6,FALSE)&gt;=main!$D$103+VLOOKUP(VLOOKUP(BH$1,main!$A$3:$I$102,7,FALSE),main!$K$26:$Q$29,5,FALSE)),1,0)</f>
        <v>0</v>
      </c>
      <c r="BI265">
        <f>IF(AND(VLOOKUP(BI$1,main!$A$3:$H$102,7,FALSE)=main!$G$105,VLOOKUP(BI$1,main!$A$3:$H$102,5,FALSE)-VLOOKUP($A265,main!$A$3:$H$102,6,FALSE)&gt;=main!$D$103+VLOOKUP(VLOOKUP(BI$1,main!$A$3:$I$102,7,FALSE),main!$K$26:$Q$29,5,FALSE)),1,0)</f>
        <v>0</v>
      </c>
      <c r="BJ265">
        <f>IF(AND(VLOOKUP(BJ$1,main!$A$3:$H$102,7,FALSE)=main!$G$105,VLOOKUP(BJ$1,main!$A$3:$H$102,5,FALSE)-VLOOKUP($A265,main!$A$3:$H$102,6,FALSE)&gt;=main!$D$103+VLOOKUP(VLOOKUP(BJ$1,main!$A$3:$I$102,7,FALSE),main!$K$26:$Q$29,5,FALSE)),1,0)</f>
        <v>0</v>
      </c>
      <c r="BK265">
        <f>IF(AND(VLOOKUP(BK$1,main!$A$3:$H$102,7,FALSE)=main!$G$105,VLOOKUP(BK$1,main!$A$3:$H$102,5,FALSE)-VLOOKUP($A265,main!$A$3:$H$102,6,FALSE)&gt;=main!$D$103+VLOOKUP(VLOOKUP(BK$1,main!$A$3:$I$102,7,FALSE),main!$K$26:$Q$29,5,FALSE)),1,0)</f>
        <v>0</v>
      </c>
      <c r="BL265">
        <f>IF(AND(VLOOKUP(BL$1,main!$A$3:$H$102,7,FALSE)=main!$G$105,VLOOKUP(BL$1,main!$A$3:$H$102,5,FALSE)-VLOOKUP($A265,main!$A$3:$H$102,6,FALSE)&gt;=main!$D$103+VLOOKUP(VLOOKUP(BL$1,main!$A$3:$I$102,7,FALSE),main!$K$26:$Q$29,5,FALSE)),1,0)</f>
        <v>0</v>
      </c>
      <c r="BM265">
        <f>IF(AND(VLOOKUP(BM$1,main!$A$3:$H$102,7,FALSE)=main!$G$105,VLOOKUP(BM$1,main!$A$3:$H$102,5,FALSE)-VLOOKUP($A265,main!$A$3:$H$102,6,FALSE)&gt;=main!$D$103+VLOOKUP(VLOOKUP(BM$1,main!$A$3:$I$102,7,FALSE),main!$K$26:$Q$29,5,FALSE)),1,0)</f>
        <v>0</v>
      </c>
      <c r="BN265">
        <f>IF(AND(VLOOKUP(BN$1,main!$A$3:$H$102,7,FALSE)=main!$G$105,VLOOKUP(BN$1,main!$A$3:$H$102,5,FALSE)-VLOOKUP($A265,main!$A$3:$H$102,6,FALSE)&gt;=main!$D$103+VLOOKUP(VLOOKUP(BN$1,main!$A$3:$I$102,7,FALSE),main!$K$26:$Q$29,5,FALSE)),1,0)</f>
        <v>0</v>
      </c>
      <c r="BO265">
        <f>IF(AND(VLOOKUP(BO$1,main!$A$3:$H$102,7,FALSE)=main!$G$105,VLOOKUP(BO$1,main!$A$3:$H$102,5,FALSE)-VLOOKUP($A265,main!$A$3:$H$102,6,FALSE)&gt;=main!$D$103+VLOOKUP(VLOOKUP(BO$1,main!$A$3:$I$102,7,FALSE),main!$K$26:$Q$29,5,FALSE)),1,0)</f>
        <v>0</v>
      </c>
      <c r="BP265">
        <f>IF(AND(VLOOKUP(BP$1,main!$A$3:$H$102,7,FALSE)=main!$G$105,VLOOKUP(BP$1,main!$A$3:$H$102,5,FALSE)-VLOOKUP($A265,main!$A$3:$H$102,6,FALSE)&gt;=main!$D$103+VLOOKUP(VLOOKUP(BP$1,main!$A$3:$I$102,7,FALSE),main!$K$26:$Q$29,5,FALSE)),1,0)</f>
        <v>0</v>
      </c>
      <c r="BQ265">
        <f>IF(AND(VLOOKUP(BQ$1,main!$A$3:$H$102,7,FALSE)=main!$G$105,VLOOKUP(BQ$1,main!$A$3:$H$102,5,FALSE)-VLOOKUP($A265,main!$A$3:$H$102,6,FALSE)&gt;=main!$D$103+VLOOKUP(VLOOKUP(BQ$1,main!$A$3:$I$102,7,FALSE),main!$K$26:$Q$29,5,FALSE)),1,0)</f>
        <v>0</v>
      </c>
      <c r="BR265">
        <f>IF(AND(VLOOKUP(BR$1,main!$A$3:$H$102,7,FALSE)=main!$G$105,VLOOKUP(BR$1,main!$A$3:$H$102,5,FALSE)-VLOOKUP($A265,main!$A$3:$H$102,6,FALSE)&gt;=main!$D$103+VLOOKUP(VLOOKUP(BR$1,main!$A$3:$I$102,7,FALSE),main!$K$26:$Q$29,5,FALSE)),1,0)</f>
        <v>0</v>
      </c>
      <c r="BS265">
        <f>IF(AND(VLOOKUP(BS$1,main!$A$3:$H$102,7,FALSE)=main!$G$105,VLOOKUP(BS$1,main!$A$3:$H$102,5,FALSE)-VLOOKUP($A265,main!$A$3:$H$102,6,FALSE)&gt;=main!$D$103+VLOOKUP(VLOOKUP(BS$1,main!$A$3:$I$102,7,FALSE),main!$K$26:$Q$29,5,FALSE)),1,0)</f>
        <v>0</v>
      </c>
      <c r="BT265">
        <f>IF(AND(VLOOKUP(BT$1,main!$A$3:$H$102,7,FALSE)=main!$G$105,VLOOKUP(BT$1,main!$A$3:$H$102,5,FALSE)-VLOOKUP($A265,main!$A$3:$H$102,6,FALSE)&gt;=main!$D$103+VLOOKUP(VLOOKUP(BT$1,main!$A$3:$I$102,7,FALSE),main!$K$26:$Q$29,5,FALSE)),1,0)</f>
        <v>0</v>
      </c>
      <c r="BU265">
        <f>IF(AND(VLOOKUP(BU$1,main!$A$3:$H$102,7,FALSE)=main!$G$105,VLOOKUP(BU$1,main!$A$3:$H$102,5,FALSE)-VLOOKUP($A265,main!$A$3:$H$102,6,FALSE)&gt;=main!$D$103+VLOOKUP(VLOOKUP(BU$1,main!$A$3:$I$102,7,FALSE),main!$K$26:$Q$29,5,FALSE)),1,0)</f>
        <v>0</v>
      </c>
      <c r="BV265">
        <f>IF(AND(VLOOKUP(BV$1,main!$A$3:$H$102,7,FALSE)=main!$G$105,VLOOKUP(BV$1,main!$A$3:$H$102,5,FALSE)-VLOOKUP($A265,main!$A$3:$H$102,6,FALSE)&gt;=main!$D$103+VLOOKUP(VLOOKUP(BV$1,main!$A$3:$I$102,7,FALSE),main!$K$26:$Q$29,5,FALSE)),1,0)</f>
        <v>0</v>
      </c>
      <c r="BW265">
        <f>IF(AND(VLOOKUP(BW$1,main!$A$3:$H$102,7,FALSE)=main!$G$105,VLOOKUP(BW$1,main!$A$3:$H$102,5,FALSE)-VLOOKUP($A265,main!$A$3:$H$102,6,FALSE)&gt;=main!$D$103+VLOOKUP(VLOOKUP(BW$1,main!$A$3:$I$102,7,FALSE),main!$K$26:$Q$29,5,FALSE)),1,0)</f>
        <v>0</v>
      </c>
      <c r="BX265">
        <f>IF(AND(VLOOKUP(BX$1,main!$A$3:$H$102,7,FALSE)=main!$G$105,VLOOKUP(BX$1,main!$A$3:$H$102,5,FALSE)-VLOOKUP($A265,main!$A$3:$H$102,6,FALSE)&gt;=main!$D$103+VLOOKUP(VLOOKUP(BX$1,main!$A$3:$I$102,7,FALSE),main!$K$26:$Q$29,5,FALSE)),1,0)</f>
        <v>0</v>
      </c>
      <c r="BY265">
        <f>IF(AND(VLOOKUP(BY$1,main!$A$3:$H$102,7,FALSE)=main!$G$105,VLOOKUP(BY$1,main!$A$3:$H$102,5,FALSE)-VLOOKUP($A265,main!$A$3:$H$102,6,FALSE)&gt;=main!$D$103+VLOOKUP(VLOOKUP(BY$1,main!$A$3:$I$102,7,FALSE),main!$K$26:$Q$29,5,FALSE)),1,0)</f>
        <v>0</v>
      </c>
      <c r="BZ265">
        <f>IF(AND(VLOOKUP(BZ$1,main!$A$3:$H$102,7,FALSE)=main!$G$105,VLOOKUP(BZ$1,main!$A$3:$H$102,5,FALSE)-VLOOKUP($A265,main!$A$3:$H$102,6,FALSE)&gt;=main!$D$103+VLOOKUP(VLOOKUP(BZ$1,main!$A$3:$I$102,7,FALSE),main!$K$26:$Q$29,5,FALSE)),1,0)</f>
        <v>0</v>
      </c>
      <c r="CA265">
        <f>IF(AND(VLOOKUP(CA$1,main!$A$3:$H$102,7,FALSE)=main!$G$105,VLOOKUP(CA$1,main!$A$3:$H$102,5,FALSE)-VLOOKUP($A265,main!$A$3:$H$102,6,FALSE)&gt;=main!$D$103+VLOOKUP(VLOOKUP(CA$1,main!$A$3:$I$102,7,FALSE),main!$K$26:$Q$29,5,FALSE)),1,0)</f>
        <v>0</v>
      </c>
      <c r="CB265">
        <f>IF(AND(VLOOKUP(CB$1,main!$A$3:$H$102,7,FALSE)=main!$G$105,VLOOKUP(CB$1,main!$A$3:$H$102,5,FALSE)-VLOOKUP($A265,main!$A$3:$H$102,6,FALSE)&gt;=main!$D$103+VLOOKUP(VLOOKUP(CB$1,main!$A$3:$I$102,7,FALSE),main!$K$26:$Q$29,5,FALSE)),1,0)</f>
        <v>0</v>
      </c>
      <c r="CC265">
        <f>IF(AND(VLOOKUP(CC$1,main!$A$3:$H$102,7,FALSE)=main!$G$105,VLOOKUP(CC$1,main!$A$3:$H$102,5,FALSE)-VLOOKUP($A265,main!$A$3:$H$102,6,FALSE)&gt;=main!$D$103+VLOOKUP(VLOOKUP(CC$1,main!$A$3:$I$102,7,FALSE),main!$K$26:$Q$29,5,FALSE)),1,0)</f>
        <v>0</v>
      </c>
      <c r="CD265">
        <f>IF(AND(VLOOKUP(CD$1,main!$A$3:$H$102,7,FALSE)=main!$G$105,VLOOKUP(CD$1,main!$A$3:$H$102,5,FALSE)-VLOOKUP($A265,main!$A$3:$H$102,6,FALSE)&gt;=main!$D$103+VLOOKUP(VLOOKUP(CD$1,main!$A$3:$I$102,7,FALSE),main!$K$26:$Q$29,5,FALSE)),1,0)</f>
        <v>0</v>
      </c>
      <c r="CE265">
        <f>IF(AND(VLOOKUP(CE$1,main!$A$3:$H$102,7,FALSE)=main!$G$105,VLOOKUP(CE$1,main!$A$3:$H$102,5,FALSE)-VLOOKUP($A265,main!$A$3:$H$102,6,FALSE)&gt;=main!$D$103+VLOOKUP(VLOOKUP(CE$1,main!$A$3:$I$102,7,FALSE),main!$K$26:$Q$29,5,FALSE)),1,0)</f>
        <v>0</v>
      </c>
      <c r="CF265">
        <f>IF(AND(VLOOKUP(CF$1,main!$A$3:$H$102,7,FALSE)=main!$G$105,VLOOKUP(CF$1,main!$A$3:$H$102,5,FALSE)-VLOOKUP($A265,main!$A$3:$H$102,6,FALSE)&gt;=main!$D$103+VLOOKUP(VLOOKUP(CF$1,main!$A$3:$I$102,7,FALSE),main!$K$26:$Q$29,5,FALSE)),1,0)</f>
        <v>0</v>
      </c>
      <c r="CG265">
        <f>IF(AND(VLOOKUP(CG$1,main!$A$3:$H$102,7,FALSE)=main!$G$105,VLOOKUP(CG$1,main!$A$3:$H$102,5,FALSE)-VLOOKUP($A265,main!$A$3:$H$102,6,FALSE)&gt;=main!$D$103+VLOOKUP(VLOOKUP(CG$1,main!$A$3:$I$102,7,FALSE),main!$K$26:$Q$29,5,FALSE)),1,0)</f>
        <v>0</v>
      </c>
      <c r="CH265">
        <f>IF(AND(VLOOKUP(CH$1,main!$A$3:$H$102,7,FALSE)=main!$G$105,VLOOKUP(CH$1,main!$A$3:$H$102,5,FALSE)-VLOOKUP($A265,main!$A$3:$H$102,6,FALSE)&gt;=main!$D$103+VLOOKUP(VLOOKUP(CH$1,main!$A$3:$I$102,7,FALSE),main!$K$26:$Q$29,5,FALSE)),1,0)</f>
        <v>0</v>
      </c>
      <c r="CI265">
        <f>IF(AND(VLOOKUP(CI$1,main!$A$3:$H$102,7,FALSE)=main!$G$105,VLOOKUP(CI$1,main!$A$3:$H$102,5,FALSE)-VLOOKUP($A265,main!$A$3:$H$102,6,FALSE)&gt;=main!$D$103+VLOOKUP(VLOOKUP(CI$1,main!$A$3:$I$102,7,FALSE),main!$K$26:$Q$29,5,FALSE)),1,0)</f>
        <v>0</v>
      </c>
      <c r="CJ265">
        <f>IF(AND(VLOOKUP(CJ$1,main!$A$3:$H$102,7,FALSE)=main!$G$105,VLOOKUP(CJ$1,main!$A$3:$H$102,5,FALSE)-VLOOKUP($A265,main!$A$3:$H$102,6,FALSE)&gt;=main!$D$103+VLOOKUP(VLOOKUP(CJ$1,main!$A$3:$I$102,7,FALSE),main!$K$26:$Q$29,5,FALSE)),1,0)</f>
        <v>0</v>
      </c>
      <c r="CK265">
        <f>IF(AND(VLOOKUP(CK$1,main!$A$3:$H$102,7,FALSE)=main!$G$105,VLOOKUP(CK$1,main!$A$3:$H$102,5,FALSE)-VLOOKUP($A265,main!$A$3:$H$102,6,FALSE)&gt;=main!$D$103+VLOOKUP(VLOOKUP(CK$1,main!$A$3:$I$102,7,FALSE),main!$K$26:$Q$29,5,FALSE)),1,0)</f>
        <v>0</v>
      </c>
      <c r="CL265">
        <f>IF(AND(VLOOKUP(CL$1,main!$A$3:$H$102,7,FALSE)=main!$G$105,VLOOKUP(CL$1,main!$A$3:$H$102,5,FALSE)-VLOOKUP($A265,main!$A$3:$H$102,6,FALSE)&gt;=main!$D$103+VLOOKUP(VLOOKUP(CL$1,main!$A$3:$I$102,7,FALSE),main!$K$26:$Q$29,5,FALSE)),1,0)</f>
        <v>0</v>
      </c>
      <c r="CM265">
        <f>IF(AND(VLOOKUP(CM$1,main!$A$3:$H$102,7,FALSE)=main!$G$105,VLOOKUP(CM$1,main!$A$3:$H$102,5,FALSE)-VLOOKUP($A265,main!$A$3:$H$102,6,FALSE)&gt;=main!$D$103+VLOOKUP(VLOOKUP(CM$1,main!$A$3:$I$102,7,FALSE),main!$K$26:$Q$29,5,FALSE)),1,0)</f>
        <v>0</v>
      </c>
      <c r="CN265">
        <f>IF(AND(VLOOKUP(CN$1,main!$A$3:$H$102,7,FALSE)=main!$G$105,VLOOKUP(CN$1,main!$A$3:$H$102,5,FALSE)-VLOOKUP($A265,main!$A$3:$H$102,6,FALSE)&gt;=main!$D$103+VLOOKUP(VLOOKUP(CN$1,main!$A$3:$I$102,7,FALSE),main!$K$26:$Q$29,5,FALSE)),1,0)</f>
        <v>0</v>
      </c>
      <c r="CO265">
        <f>IF(AND(VLOOKUP(CO$1,main!$A$3:$H$102,7,FALSE)=main!$G$105,VLOOKUP(CO$1,main!$A$3:$H$102,5,FALSE)-VLOOKUP($A265,main!$A$3:$H$102,6,FALSE)&gt;=main!$D$103+VLOOKUP(VLOOKUP(CO$1,main!$A$3:$I$102,7,FALSE),main!$K$26:$Q$29,5,FALSE)),1,0)</f>
        <v>0</v>
      </c>
      <c r="CP265">
        <f>IF(AND(VLOOKUP(CP$1,main!$A$3:$H$102,7,FALSE)=main!$G$105,VLOOKUP(CP$1,main!$A$3:$H$102,5,FALSE)-VLOOKUP($A265,main!$A$3:$H$102,6,FALSE)&gt;=main!$D$103+VLOOKUP(VLOOKUP(CP$1,main!$A$3:$I$102,7,FALSE),main!$K$26:$Q$29,5,FALSE)),1,0)</f>
        <v>0</v>
      </c>
      <c r="CQ265">
        <f>IF(AND(VLOOKUP(CQ$1,main!$A$3:$H$102,7,FALSE)=main!$G$105,VLOOKUP(CQ$1,main!$A$3:$H$102,5,FALSE)-VLOOKUP($A265,main!$A$3:$H$102,6,FALSE)&gt;=main!$D$103+VLOOKUP(VLOOKUP(CQ$1,main!$A$3:$I$102,7,FALSE),main!$K$26:$Q$29,5,FALSE)),1,0)</f>
        <v>0</v>
      </c>
      <c r="CR265">
        <f>IF(AND(VLOOKUP(CR$1,main!$A$3:$H$102,7,FALSE)=main!$G$105,VLOOKUP(CR$1,main!$A$3:$H$102,5,FALSE)-VLOOKUP($A265,main!$A$3:$H$102,6,FALSE)&gt;=main!$D$103+VLOOKUP(VLOOKUP(CR$1,main!$A$3:$I$102,7,FALSE),main!$K$26:$Q$29,5,FALSE)),1,0)</f>
        <v>0</v>
      </c>
      <c r="CS265">
        <f>IF(AND(VLOOKUP(CS$1,main!$A$3:$H$102,7,FALSE)=main!$G$105,VLOOKUP(CS$1,main!$A$3:$H$102,5,FALSE)-VLOOKUP($A265,main!$A$3:$H$102,6,FALSE)&gt;=main!$D$103+VLOOKUP(VLOOKUP(CS$1,main!$A$3:$I$102,7,FALSE),main!$K$26:$Q$29,5,FALSE)),1,0)</f>
        <v>0</v>
      </c>
      <c r="CT265">
        <f>IF(AND(VLOOKUP(CT$1,main!$A$3:$H$102,7,FALSE)=main!$G$105,VLOOKUP(CT$1,main!$A$3:$H$102,5,FALSE)-VLOOKUP($A265,main!$A$3:$H$102,6,FALSE)&gt;=main!$D$103+VLOOKUP(VLOOKUP(CT$1,main!$A$3:$I$102,7,FALSE),main!$K$26:$Q$29,5,FALSE)),1,0)</f>
        <v>0</v>
      </c>
      <c r="CU265">
        <f>IF(AND(VLOOKUP(CU$1,main!$A$3:$H$102,7,FALSE)=main!$G$105,VLOOKUP(CU$1,main!$A$3:$H$102,5,FALSE)-VLOOKUP($A265,main!$A$3:$H$102,6,FALSE)&gt;=main!$D$103+VLOOKUP(VLOOKUP(CU$1,main!$A$3:$I$102,7,FALSE),main!$K$26:$Q$29,5,FALSE)),1,0)</f>
        <v>0</v>
      </c>
      <c r="CV265">
        <f>IF(AND(VLOOKUP(CV$1,main!$A$3:$H$102,7,FALSE)=main!$G$105,VLOOKUP(CV$1,main!$A$3:$H$102,5,FALSE)-VLOOKUP($A265,main!$A$3:$H$102,6,FALSE)&gt;=main!$D$103+VLOOKUP(VLOOKUP(CV$1,main!$A$3:$I$102,7,FALSE),main!$K$26:$Q$29,5,FALSE)),1,0)</f>
        <v>0</v>
      </c>
      <c r="CW265">
        <f>IF(AND(VLOOKUP(CW$1,main!$A$3:$H$102,7,FALSE)=main!$G$105,VLOOKUP(CW$1,main!$A$3:$H$102,5,FALSE)-VLOOKUP($A265,main!$A$3:$H$102,6,FALSE)&gt;=main!$D$103+VLOOKUP(VLOOKUP(CW$1,main!$A$3:$I$102,7,FALSE),main!$K$26:$Q$29,5,FALSE)),1,0)</f>
        <v>0</v>
      </c>
      <c r="CX265">
        <f>IF(AND(VLOOKUP(CX$1,main!$A$3:$H$102,7,FALSE)=main!$G$105,VLOOKUP(CX$1,main!$A$3:$H$102,5,FALSE)-VLOOKUP($A265,main!$A$3:$H$102,6,FALSE)&gt;=main!$D$103+VLOOKUP(VLOOKUP(CX$1,main!$A$3:$I$102,7,FALSE),main!$K$26:$Q$29,5,FALSE)),1,0)</f>
        <v>0</v>
      </c>
    </row>
    <row r="266" spans="1:102" x14ac:dyDescent="0.25">
      <c r="A266" s="1">
        <v>62</v>
      </c>
      <c r="B266">
        <v>0</v>
      </c>
      <c r="C266">
        <f>IF(AND(VLOOKUP(C$1,main!$A$3:$H$102,7,FALSE)=main!$G$105,VLOOKUP(C$1,main!$A$3:$H$102,5,FALSE)-VLOOKUP($A266,main!$A$3:$H$102,6,FALSE)&gt;=main!$D$103+VLOOKUP(VLOOKUP(C$1,main!$A$3:$I$102,7,FALSE),main!$K$26:$Q$29,5,FALSE)),1,0)</f>
        <v>0</v>
      </c>
      <c r="D266">
        <f>IF(AND(VLOOKUP(D$1,main!$A$3:$H$102,7,FALSE)=main!$G$105,VLOOKUP(D$1,main!$A$3:$H$102,5,FALSE)-VLOOKUP($A266,main!$A$3:$H$102,6,FALSE)&gt;=main!$D$103+VLOOKUP(VLOOKUP(D$1,main!$A$3:$I$102,7,FALSE),main!$K$26:$Q$29,5,FALSE)),1,0)</f>
        <v>0</v>
      </c>
      <c r="E266">
        <f>IF(AND(VLOOKUP(E$1,main!$A$3:$H$102,7,FALSE)=main!$G$105,VLOOKUP(E$1,main!$A$3:$H$102,5,FALSE)-VLOOKUP($A266,main!$A$3:$H$102,6,FALSE)&gt;=main!$D$103+VLOOKUP(VLOOKUP(E$1,main!$A$3:$I$102,7,FALSE),main!$K$26:$Q$29,5,FALSE)),1,0)</f>
        <v>0</v>
      </c>
      <c r="F266">
        <f>IF(AND(VLOOKUP(F$1,main!$A$3:$H$102,7,FALSE)=main!$G$105,VLOOKUP(F$1,main!$A$3:$H$102,5,FALSE)-VLOOKUP($A266,main!$A$3:$H$102,6,FALSE)&gt;=main!$D$103+VLOOKUP(VLOOKUP(F$1,main!$A$3:$I$102,7,FALSE),main!$K$26:$Q$29,5,FALSE)),1,0)</f>
        <v>0</v>
      </c>
      <c r="G266">
        <f>IF(AND(VLOOKUP(G$1,main!$A$3:$H$102,7,FALSE)=main!$G$105,VLOOKUP(G$1,main!$A$3:$H$102,5,FALSE)-VLOOKUP($A266,main!$A$3:$H$102,6,FALSE)&gt;=main!$D$103+VLOOKUP(VLOOKUP(G$1,main!$A$3:$I$102,7,FALSE),main!$K$26:$Q$29,5,FALSE)),1,0)</f>
        <v>0</v>
      </c>
      <c r="H266">
        <f>IF(AND(VLOOKUP(H$1,main!$A$3:$H$102,7,FALSE)=main!$G$105,VLOOKUP(H$1,main!$A$3:$H$102,5,FALSE)-VLOOKUP($A266,main!$A$3:$H$102,6,FALSE)&gt;=main!$D$103+VLOOKUP(VLOOKUP(H$1,main!$A$3:$I$102,7,FALSE),main!$K$26:$Q$29,5,FALSE)),1,0)</f>
        <v>0</v>
      </c>
      <c r="I266">
        <f>IF(AND(VLOOKUP(I$1,main!$A$3:$H$102,7,FALSE)=main!$G$105,VLOOKUP(I$1,main!$A$3:$H$102,5,FALSE)-VLOOKUP($A266,main!$A$3:$H$102,6,FALSE)&gt;=main!$D$103+VLOOKUP(VLOOKUP(I$1,main!$A$3:$I$102,7,FALSE),main!$K$26:$Q$29,5,FALSE)),1,0)</f>
        <v>0</v>
      </c>
      <c r="J266">
        <f>IF(AND(VLOOKUP(J$1,main!$A$3:$H$102,7,FALSE)=main!$G$105,VLOOKUP(J$1,main!$A$3:$H$102,5,FALSE)-VLOOKUP($A266,main!$A$3:$H$102,6,FALSE)&gt;=main!$D$103+VLOOKUP(VLOOKUP(J$1,main!$A$3:$I$102,7,FALSE),main!$K$26:$Q$29,5,FALSE)),1,0)</f>
        <v>0</v>
      </c>
      <c r="K266">
        <f>IF(AND(VLOOKUP(K$1,main!$A$3:$H$102,7,FALSE)=main!$G$105,VLOOKUP(K$1,main!$A$3:$H$102,5,FALSE)-VLOOKUP($A266,main!$A$3:$H$102,6,FALSE)&gt;=main!$D$103+VLOOKUP(VLOOKUP(K$1,main!$A$3:$I$102,7,FALSE),main!$K$26:$Q$29,5,FALSE)),1,0)</f>
        <v>0</v>
      </c>
      <c r="L266">
        <f>IF(AND(VLOOKUP(L$1,main!$A$3:$H$102,7,FALSE)=main!$G$105,VLOOKUP(L$1,main!$A$3:$H$102,5,FALSE)-VLOOKUP($A266,main!$A$3:$H$102,6,FALSE)&gt;=main!$D$103+VLOOKUP(VLOOKUP(L$1,main!$A$3:$I$102,7,FALSE),main!$K$26:$Q$29,5,FALSE)),1,0)</f>
        <v>0</v>
      </c>
      <c r="M266">
        <f>IF(AND(VLOOKUP(M$1,main!$A$3:$H$102,7,FALSE)=main!$G$105,VLOOKUP(M$1,main!$A$3:$H$102,5,FALSE)-VLOOKUP($A266,main!$A$3:$H$102,6,FALSE)&gt;=main!$D$103+VLOOKUP(VLOOKUP(M$1,main!$A$3:$I$102,7,FALSE),main!$K$26:$Q$29,5,FALSE)),1,0)</f>
        <v>0</v>
      </c>
      <c r="N266">
        <f>IF(AND(VLOOKUP(N$1,main!$A$3:$H$102,7,FALSE)=main!$G$105,VLOOKUP(N$1,main!$A$3:$H$102,5,FALSE)-VLOOKUP($A266,main!$A$3:$H$102,6,FALSE)&gt;=main!$D$103+VLOOKUP(VLOOKUP(N$1,main!$A$3:$I$102,7,FALSE),main!$K$26:$Q$29,5,FALSE)),1,0)</f>
        <v>0</v>
      </c>
      <c r="O266">
        <f>IF(AND(VLOOKUP(O$1,main!$A$3:$H$102,7,FALSE)=main!$G$105,VLOOKUP(O$1,main!$A$3:$H$102,5,FALSE)-VLOOKUP($A266,main!$A$3:$H$102,6,FALSE)&gt;=main!$D$103+VLOOKUP(VLOOKUP(O$1,main!$A$3:$I$102,7,FALSE),main!$K$26:$Q$29,5,FALSE)),1,0)</f>
        <v>0</v>
      </c>
      <c r="P266">
        <f>IF(AND(VLOOKUP(P$1,main!$A$3:$H$102,7,FALSE)=main!$G$105,VLOOKUP(P$1,main!$A$3:$H$102,5,FALSE)-VLOOKUP($A266,main!$A$3:$H$102,6,FALSE)&gt;=main!$D$103+VLOOKUP(VLOOKUP(P$1,main!$A$3:$I$102,7,FALSE),main!$K$26:$Q$29,5,FALSE)),1,0)</f>
        <v>0</v>
      </c>
      <c r="Q266">
        <f>IF(AND(VLOOKUP(Q$1,main!$A$3:$H$102,7,FALSE)=main!$G$105,VLOOKUP(Q$1,main!$A$3:$H$102,5,FALSE)-VLOOKUP($A266,main!$A$3:$H$102,6,FALSE)&gt;=main!$D$103+VLOOKUP(VLOOKUP(Q$1,main!$A$3:$I$102,7,FALSE),main!$K$26:$Q$29,5,FALSE)),1,0)</f>
        <v>0</v>
      </c>
      <c r="R266">
        <f>IF(AND(VLOOKUP(R$1,main!$A$3:$H$102,7,FALSE)=main!$G$105,VLOOKUP(R$1,main!$A$3:$H$102,5,FALSE)-VLOOKUP($A266,main!$A$3:$H$102,6,FALSE)&gt;=main!$D$103+VLOOKUP(VLOOKUP(R$1,main!$A$3:$I$102,7,FALSE),main!$K$26:$Q$29,5,FALSE)),1,0)</f>
        <v>0</v>
      </c>
      <c r="S266">
        <f>IF(AND(VLOOKUP(S$1,main!$A$3:$H$102,7,FALSE)=main!$G$105,VLOOKUP(S$1,main!$A$3:$H$102,5,FALSE)-VLOOKUP($A266,main!$A$3:$H$102,6,FALSE)&gt;=main!$D$103+VLOOKUP(VLOOKUP(S$1,main!$A$3:$I$102,7,FALSE),main!$K$26:$Q$29,5,FALSE)),1,0)</f>
        <v>0</v>
      </c>
      <c r="T266">
        <f>IF(AND(VLOOKUP(T$1,main!$A$3:$H$102,7,FALSE)=main!$G$105,VLOOKUP(T$1,main!$A$3:$H$102,5,FALSE)-VLOOKUP($A266,main!$A$3:$H$102,6,FALSE)&gt;=main!$D$103+VLOOKUP(VLOOKUP(T$1,main!$A$3:$I$102,7,FALSE),main!$K$26:$Q$29,5,FALSE)),1,0)</f>
        <v>0</v>
      </c>
      <c r="U266">
        <f>IF(AND(VLOOKUP(U$1,main!$A$3:$H$102,7,FALSE)=main!$G$105,VLOOKUP(U$1,main!$A$3:$H$102,5,FALSE)-VLOOKUP($A266,main!$A$3:$H$102,6,FALSE)&gt;=main!$D$103+VLOOKUP(VLOOKUP(U$1,main!$A$3:$I$102,7,FALSE),main!$K$26:$Q$29,5,FALSE)),1,0)</f>
        <v>0</v>
      </c>
      <c r="V266">
        <f>IF(AND(VLOOKUP(V$1,main!$A$3:$H$102,7,FALSE)=main!$G$105,VLOOKUP(V$1,main!$A$3:$H$102,5,FALSE)-VLOOKUP($A266,main!$A$3:$H$102,6,FALSE)&gt;=main!$D$103+VLOOKUP(VLOOKUP(V$1,main!$A$3:$I$102,7,FALSE),main!$K$26:$Q$29,5,FALSE)),1,0)</f>
        <v>0</v>
      </c>
      <c r="W266">
        <f>IF(AND(VLOOKUP(W$1,main!$A$3:$H$102,7,FALSE)=main!$G$105,VLOOKUP(W$1,main!$A$3:$H$102,5,FALSE)-VLOOKUP($A266,main!$A$3:$H$102,6,FALSE)&gt;=main!$D$103+VLOOKUP(VLOOKUP(W$1,main!$A$3:$I$102,7,FALSE),main!$K$26:$Q$29,5,FALSE)),1,0)</f>
        <v>0</v>
      </c>
      <c r="X266">
        <f>IF(AND(VLOOKUP(X$1,main!$A$3:$H$102,7,FALSE)=main!$G$105,VLOOKUP(X$1,main!$A$3:$H$102,5,FALSE)-VLOOKUP($A266,main!$A$3:$H$102,6,FALSE)&gt;=main!$D$103+VLOOKUP(VLOOKUP(X$1,main!$A$3:$I$102,7,FALSE),main!$K$26:$Q$29,5,FALSE)),1,0)</f>
        <v>0</v>
      </c>
      <c r="Y266">
        <f>IF(AND(VLOOKUP(Y$1,main!$A$3:$H$102,7,FALSE)=main!$G$105,VLOOKUP(Y$1,main!$A$3:$H$102,5,FALSE)-VLOOKUP($A266,main!$A$3:$H$102,6,FALSE)&gt;=main!$D$103+VLOOKUP(VLOOKUP(Y$1,main!$A$3:$I$102,7,FALSE),main!$K$26:$Q$29,5,FALSE)),1,0)</f>
        <v>0</v>
      </c>
      <c r="Z266">
        <f>IF(AND(VLOOKUP(Z$1,main!$A$3:$H$102,7,FALSE)=main!$G$105,VLOOKUP(Z$1,main!$A$3:$H$102,5,FALSE)-VLOOKUP($A266,main!$A$3:$H$102,6,FALSE)&gt;=main!$D$103+VLOOKUP(VLOOKUP(Z$1,main!$A$3:$I$102,7,FALSE),main!$K$26:$Q$29,5,FALSE)),1,0)</f>
        <v>0</v>
      </c>
      <c r="AA266">
        <f>IF(AND(VLOOKUP(AA$1,main!$A$3:$H$102,7,FALSE)=main!$G$105,VLOOKUP(AA$1,main!$A$3:$H$102,5,FALSE)-VLOOKUP($A266,main!$A$3:$H$102,6,FALSE)&gt;=main!$D$103+VLOOKUP(VLOOKUP(AA$1,main!$A$3:$I$102,7,FALSE),main!$K$26:$Q$29,5,FALSE)),1,0)</f>
        <v>0</v>
      </c>
      <c r="AB266">
        <f>IF(AND(VLOOKUP(AB$1,main!$A$3:$H$102,7,FALSE)=main!$G$105,VLOOKUP(AB$1,main!$A$3:$H$102,5,FALSE)-VLOOKUP($A266,main!$A$3:$H$102,6,FALSE)&gt;=main!$D$103+VLOOKUP(VLOOKUP(AB$1,main!$A$3:$I$102,7,FALSE),main!$K$26:$Q$29,5,FALSE)),1,0)</f>
        <v>0</v>
      </c>
      <c r="AC266">
        <f>IF(AND(VLOOKUP(AC$1,main!$A$3:$H$102,7,FALSE)=main!$G$105,VLOOKUP(AC$1,main!$A$3:$H$102,5,FALSE)-VLOOKUP($A266,main!$A$3:$H$102,6,FALSE)&gt;=main!$D$103+VLOOKUP(VLOOKUP(AC$1,main!$A$3:$I$102,7,FALSE),main!$K$26:$Q$29,5,FALSE)),1,0)</f>
        <v>0</v>
      </c>
      <c r="AD266">
        <f>IF(AND(VLOOKUP(AD$1,main!$A$3:$H$102,7,FALSE)=main!$G$105,VLOOKUP(AD$1,main!$A$3:$H$102,5,FALSE)-VLOOKUP($A266,main!$A$3:$H$102,6,FALSE)&gt;=main!$D$103+VLOOKUP(VLOOKUP(AD$1,main!$A$3:$I$102,7,FALSE),main!$K$26:$Q$29,5,FALSE)),1,0)</f>
        <v>0</v>
      </c>
      <c r="AE266">
        <f>IF(AND(VLOOKUP(AE$1,main!$A$3:$H$102,7,FALSE)=main!$G$105,VLOOKUP(AE$1,main!$A$3:$H$102,5,FALSE)-VLOOKUP($A266,main!$A$3:$H$102,6,FALSE)&gt;=main!$D$103+VLOOKUP(VLOOKUP(AE$1,main!$A$3:$I$102,7,FALSE),main!$K$26:$Q$29,5,FALSE)),1,0)</f>
        <v>0</v>
      </c>
      <c r="AF266">
        <f>IF(AND(VLOOKUP(AF$1,main!$A$3:$H$102,7,FALSE)=main!$G$105,VLOOKUP(AF$1,main!$A$3:$H$102,5,FALSE)-VLOOKUP($A266,main!$A$3:$H$102,6,FALSE)&gt;=main!$D$103+VLOOKUP(VLOOKUP(AF$1,main!$A$3:$I$102,7,FALSE),main!$K$26:$Q$29,5,FALSE)),1,0)</f>
        <v>0</v>
      </c>
      <c r="AG266">
        <f>IF(AND(VLOOKUP(AG$1,main!$A$3:$H$102,7,FALSE)=main!$G$105,VLOOKUP(AG$1,main!$A$3:$H$102,5,FALSE)-VLOOKUP($A266,main!$A$3:$H$102,6,FALSE)&gt;=main!$D$103+VLOOKUP(VLOOKUP(AG$1,main!$A$3:$I$102,7,FALSE),main!$K$26:$Q$29,5,FALSE)),1,0)</f>
        <v>0</v>
      </c>
      <c r="AH266">
        <f>IF(AND(VLOOKUP(AH$1,main!$A$3:$H$102,7,FALSE)=main!$G$105,VLOOKUP(AH$1,main!$A$3:$H$102,5,FALSE)-VLOOKUP($A266,main!$A$3:$H$102,6,FALSE)&gt;=main!$D$103+VLOOKUP(VLOOKUP(AH$1,main!$A$3:$I$102,7,FALSE),main!$K$26:$Q$29,5,FALSE)),1,0)</f>
        <v>0</v>
      </c>
      <c r="AI266">
        <f>IF(AND(VLOOKUP(AI$1,main!$A$3:$H$102,7,FALSE)=main!$G$105,VLOOKUP(AI$1,main!$A$3:$H$102,5,FALSE)-VLOOKUP($A266,main!$A$3:$H$102,6,FALSE)&gt;=main!$D$103+VLOOKUP(VLOOKUP(AI$1,main!$A$3:$I$102,7,FALSE),main!$K$26:$Q$29,5,FALSE)),1,0)</f>
        <v>0</v>
      </c>
      <c r="AJ266">
        <f>IF(AND(VLOOKUP(AJ$1,main!$A$3:$H$102,7,FALSE)=main!$G$105,VLOOKUP(AJ$1,main!$A$3:$H$102,5,FALSE)-VLOOKUP($A266,main!$A$3:$H$102,6,FALSE)&gt;=main!$D$103+VLOOKUP(VLOOKUP(AJ$1,main!$A$3:$I$102,7,FALSE),main!$K$26:$Q$29,5,FALSE)),1,0)</f>
        <v>1</v>
      </c>
      <c r="AK266">
        <f>IF(AND(VLOOKUP(AK$1,main!$A$3:$H$102,7,FALSE)=main!$G$105,VLOOKUP(AK$1,main!$A$3:$H$102,5,FALSE)-VLOOKUP($A266,main!$A$3:$H$102,6,FALSE)&gt;=main!$D$103+VLOOKUP(VLOOKUP(AK$1,main!$A$3:$I$102,7,FALSE),main!$K$26:$Q$29,5,FALSE)),1,0)</f>
        <v>1</v>
      </c>
      <c r="AL266">
        <f>IF(AND(VLOOKUP(AL$1,main!$A$3:$H$102,7,FALSE)=main!$G$105,VLOOKUP(AL$1,main!$A$3:$H$102,5,FALSE)-VLOOKUP($A266,main!$A$3:$H$102,6,FALSE)&gt;=main!$D$103+VLOOKUP(VLOOKUP(AL$1,main!$A$3:$I$102,7,FALSE),main!$K$26:$Q$29,5,FALSE)),1,0)</f>
        <v>1</v>
      </c>
      <c r="AM266">
        <f>IF(AND(VLOOKUP(AM$1,main!$A$3:$H$102,7,FALSE)=main!$G$105,VLOOKUP(AM$1,main!$A$3:$H$102,5,FALSE)-VLOOKUP($A266,main!$A$3:$H$102,6,FALSE)&gt;=main!$D$103+VLOOKUP(VLOOKUP(AM$1,main!$A$3:$I$102,7,FALSE),main!$K$26:$Q$29,5,FALSE)),1,0)</f>
        <v>1</v>
      </c>
      <c r="AN266">
        <f>IF(AND(VLOOKUP(AN$1,main!$A$3:$H$102,7,FALSE)=main!$G$105,VLOOKUP(AN$1,main!$A$3:$H$102,5,FALSE)-VLOOKUP($A266,main!$A$3:$H$102,6,FALSE)&gt;=main!$D$103+VLOOKUP(VLOOKUP(AN$1,main!$A$3:$I$102,7,FALSE),main!$K$26:$Q$29,5,FALSE)),1,0)</f>
        <v>1</v>
      </c>
      <c r="AO266">
        <f>IF(AND(VLOOKUP(AO$1,main!$A$3:$H$102,7,FALSE)=main!$G$105,VLOOKUP(AO$1,main!$A$3:$H$102,5,FALSE)-VLOOKUP($A266,main!$A$3:$H$102,6,FALSE)&gt;=main!$D$103+VLOOKUP(VLOOKUP(AO$1,main!$A$3:$I$102,7,FALSE),main!$K$26:$Q$29,5,FALSE)),1,0)</f>
        <v>0</v>
      </c>
      <c r="AP266">
        <f>IF(AND(VLOOKUP(AP$1,main!$A$3:$H$102,7,FALSE)=main!$G$105,VLOOKUP(AP$1,main!$A$3:$H$102,5,FALSE)-VLOOKUP($A266,main!$A$3:$H$102,6,FALSE)&gt;=main!$D$103+VLOOKUP(VLOOKUP(AP$1,main!$A$3:$I$102,7,FALSE),main!$K$26:$Q$29,5,FALSE)),1,0)</f>
        <v>1</v>
      </c>
      <c r="AQ266">
        <f>IF(AND(VLOOKUP(AQ$1,main!$A$3:$H$102,7,FALSE)=main!$G$105,VLOOKUP(AQ$1,main!$A$3:$H$102,5,FALSE)-VLOOKUP($A266,main!$A$3:$H$102,6,FALSE)&gt;=main!$D$103+VLOOKUP(VLOOKUP(AQ$1,main!$A$3:$I$102,7,FALSE),main!$K$26:$Q$29,5,FALSE)),1,0)</f>
        <v>0</v>
      </c>
      <c r="AR266">
        <f>IF(AND(VLOOKUP(AR$1,main!$A$3:$H$102,7,FALSE)=main!$G$105,VLOOKUP(AR$1,main!$A$3:$H$102,5,FALSE)-VLOOKUP($A266,main!$A$3:$H$102,6,FALSE)&gt;=main!$D$103+VLOOKUP(VLOOKUP(AR$1,main!$A$3:$I$102,7,FALSE),main!$K$26:$Q$29,5,FALSE)),1,0)</f>
        <v>0</v>
      </c>
      <c r="AS266">
        <f>IF(AND(VLOOKUP(AS$1,main!$A$3:$H$102,7,FALSE)=main!$G$105,VLOOKUP(AS$1,main!$A$3:$H$102,5,FALSE)-VLOOKUP($A266,main!$A$3:$H$102,6,FALSE)&gt;=main!$D$103+VLOOKUP(VLOOKUP(AS$1,main!$A$3:$I$102,7,FALSE),main!$K$26:$Q$29,5,FALSE)),1,0)</f>
        <v>1</v>
      </c>
      <c r="AT266">
        <f>IF(AND(VLOOKUP(AT$1,main!$A$3:$H$102,7,FALSE)=main!$G$105,VLOOKUP(AT$1,main!$A$3:$H$102,5,FALSE)-VLOOKUP($A266,main!$A$3:$H$102,6,FALSE)&gt;=main!$D$103+VLOOKUP(VLOOKUP(AT$1,main!$A$3:$I$102,7,FALSE),main!$K$26:$Q$29,5,FALSE)),1,0)</f>
        <v>1</v>
      </c>
      <c r="AU266">
        <f>IF(AND(VLOOKUP(AU$1,main!$A$3:$H$102,7,FALSE)=main!$G$105,VLOOKUP(AU$1,main!$A$3:$H$102,5,FALSE)-VLOOKUP($A266,main!$A$3:$H$102,6,FALSE)&gt;=main!$D$103+VLOOKUP(VLOOKUP(AU$1,main!$A$3:$I$102,7,FALSE),main!$K$26:$Q$29,5,FALSE)),1,0)</f>
        <v>0</v>
      </c>
      <c r="AV266">
        <f>IF(AND(VLOOKUP(AV$1,main!$A$3:$H$102,7,FALSE)=main!$G$105,VLOOKUP(AV$1,main!$A$3:$H$102,5,FALSE)-VLOOKUP($A266,main!$A$3:$H$102,6,FALSE)&gt;=main!$D$103+VLOOKUP(VLOOKUP(AV$1,main!$A$3:$I$102,7,FALSE),main!$K$26:$Q$29,5,FALSE)),1,0)</f>
        <v>0</v>
      </c>
      <c r="AW266">
        <f>IF(AND(VLOOKUP(AW$1,main!$A$3:$H$102,7,FALSE)=main!$G$105,VLOOKUP(AW$1,main!$A$3:$H$102,5,FALSE)-VLOOKUP($A266,main!$A$3:$H$102,6,FALSE)&gt;=main!$D$103+VLOOKUP(VLOOKUP(AW$1,main!$A$3:$I$102,7,FALSE),main!$K$26:$Q$29,5,FALSE)),1,0)</f>
        <v>1</v>
      </c>
      <c r="AX266">
        <f>IF(AND(VLOOKUP(AX$1,main!$A$3:$H$102,7,FALSE)=main!$G$105,VLOOKUP(AX$1,main!$A$3:$H$102,5,FALSE)-VLOOKUP($A266,main!$A$3:$H$102,6,FALSE)&gt;=main!$D$103+VLOOKUP(VLOOKUP(AX$1,main!$A$3:$I$102,7,FALSE),main!$K$26:$Q$29,5,FALSE)),1,0)</f>
        <v>1</v>
      </c>
      <c r="AY266">
        <f>IF(AND(VLOOKUP(AY$1,main!$A$3:$H$102,7,FALSE)=main!$G$105,VLOOKUP(AY$1,main!$A$3:$H$102,5,FALSE)-VLOOKUP($A266,main!$A$3:$H$102,6,FALSE)&gt;=main!$D$103+VLOOKUP(VLOOKUP(AY$1,main!$A$3:$I$102,7,FALSE),main!$K$26:$Q$29,5,FALSE)),1,0)</f>
        <v>0</v>
      </c>
      <c r="AZ266">
        <f>IF(AND(VLOOKUP(AZ$1,main!$A$3:$H$102,7,FALSE)=main!$G$105,VLOOKUP(AZ$1,main!$A$3:$H$102,5,FALSE)-VLOOKUP($A266,main!$A$3:$H$102,6,FALSE)&gt;=main!$D$103+VLOOKUP(VLOOKUP(AZ$1,main!$A$3:$I$102,7,FALSE),main!$K$26:$Q$29,5,FALSE)),1,0)</f>
        <v>0</v>
      </c>
      <c r="BA266">
        <f>IF(AND(VLOOKUP(BA$1,main!$A$3:$H$102,7,FALSE)=main!$G$105,VLOOKUP(BA$1,main!$A$3:$H$102,5,FALSE)-VLOOKUP($A266,main!$A$3:$H$102,6,FALSE)&gt;=main!$D$103+VLOOKUP(VLOOKUP(BA$1,main!$A$3:$I$102,7,FALSE),main!$K$26:$Q$29,5,FALSE)),1,0)</f>
        <v>0</v>
      </c>
      <c r="BB266">
        <f>IF(AND(VLOOKUP(BB$1,main!$A$3:$H$102,7,FALSE)=main!$G$105,VLOOKUP(BB$1,main!$A$3:$H$102,5,FALSE)-VLOOKUP($A266,main!$A$3:$H$102,6,FALSE)&gt;=main!$D$103+VLOOKUP(VLOOKUP(BB$1,main!$A$3:$I$102,7,FALSE),main!$K$26:$Q$29,5,FALSE)),1,0)</f>
        <v>0</v>
      </c>
      <c r="BC266">
        <f>IF(AND(VLOOKUP(BC$1,main!$A$3:$H$102,7,FALSE)=main!$G$105,VLOOKUP(BC$1,main!$A$3:$H$102,5,FALSE)-VLOOKUP($A266,main!$A$3:$H$102,6,FALSE)&gt;=main!$D$103+VLOOKUP(VLOOKUP(BC$1,main!$A$3:$I$102,7,FALSE),main!$K$26:$Q$29,5,FALSE)),1,0)</f>
        <v>0</v>
      </c>
      <c r="BD266">
        <f>IF(AND(VLOOKUP(BD$1,main!$A$3:$H$102,7,FALSE)=main!$G$105,VLOOKUP(BD$1,main!$A$3:$H$102,5,FALSE)-VLOOKUP($A266,main!$A$3:$H$102,6,FALSE)&gt;=main!$D$103+VLOOKUP(VLOOKUP(BD$1,main!$A$3:$I$102,7,FALSE),main!$K$26:$Q$29,5,FALSE)),1,0)</f>
        <v>0</v>
      </c>
      <c r="BE266">
        <f>IF(AND(VLOOKUP(BE$1,main!$A$3:$H$102,7,FALSE)=main!$G$105,VLOOKUP(BE$1,main!$A$3:$H$102,5,FALSE)-VLOOKUP($A266,main!$A$3:$H$102,6,FALSE)&gt;=main!$D$103+VLOOKUP(VLOOKUP(BE$1,main!$A$3:$I$102,7,FALSE),main!$K$26:$Q$29,5,FALSE)),1,0)</f>
        <v>0</v>
      </c>
      <c r="BF266">
        <f>IF(AND(VLOOKUP(BF$1,main!$A$3:$H$102,7,FALSE)=main!$G$105,VLOOKUP(BF$1,main!$A$3:$H$102,5,FALSE)-VLOOKUP($A266,main!$A$3:$H$102,6,FALSE)&gt;=main!$D$103+VLOOKUP(VLOOKUP(BF$1,main!$A$3:$I$102,7,FALSE),main!$K$26:$Q$29,5,FALSE)),1,0)</f>
        <v>0</v>
      </c>
      <c r="BG266">
        <f>IF(AND(VLOOKUP(BG$1,main!$A$3:$H$102,7,FALSE)=main!$G$105,VLOOKUP(BG$1,main!$A$3:$H$102,5,FALSE)-VLOOKUP($A266,main!$A$3:$H$102,6,FALSE)&gt;=main!$D$103+VLOOKUP(VLOOKUP(BG$1,main!$A$3:$I$102,7,FALSE),main!$K$26:$Q$29,5,FALSE)),1,0)</f>
        <v>0</v>
      </c>
      <c r="BH266">
        <f>IF(AND(VLOOKUP(BH$1,main!$A$3:$H$102,7,FALSE)=main!$G$105,VLOOKUP(BH$1,main!$A$3:$H$102,5,FALSE)-VLOOKUP($A266,main!$A$3:$H$102,6,FALSE)&gt;=main!$D$103+VLOOKUP(VLOOKUP(BH$1,main!$A$3:$I$102,7,FALSE),main!$K$26:$Q$29,5,FALSE)),1,0)</f>
        <v>0</v>
      </c>
      <c r="BI266">
        <f>IF(AND(VLOOKUP(BI$1,main!$A$3:$H$102,7,FALSE)=main!$G$105,VLOOKUP(BI$1,main!$A$3:$H$102,5,FALSE)-VLOOKUP($A266,main!$A$3:$H$102,6,FALSE)&gt;=main!$D$103+VLOOKUP(VLOOKUP(BI$1,main!$A$3:$I$102,7,FALSE),main!$K$26:$Q$29,5,FALSE)),1,0)</f>
        <v>0</v>
      </c>
      <c r="BJ266">
        <f>IF(AND(VLOOKUP(BJ$1,main!$A$3:$H$102,7,FALSE)=main!$G$105,VLOOKUP(BJ$1,main!$A$3:$H$102,5,FALSE)-VLOOKUP($A266,main!$A$3:$H$102,6,FALSE)&gt;=main!$D$103+VLOOKUP(VLOOKUP(BJ$1,main!$A$3:$I$102,7,FALSE),main!$K$26:$Q$29,5,FALSE)),1,0)</f>
        <v>0</v>
      </c>
      <c r="BK266">
        <f>IF(AND(VLOOKUP(BK$1,main!$A$3:$H$102,7,FALSE)=main!$G$105,VLOOKUP(BK$1,main!$A$3:$H$102,5,FALSE)-VLOOKUP($A266,main!$A$3:$H$102,6,FALSE)&gt;=main!$D$103+VLOOKUP(VLOOKUP(BK$1,main!$A$3:$I$102,7,FALSE),main!$K$26:$Q$29,5,FALSE)),1,0)</f>
        <v>0</v>
      </c>
      <c r="BL266">
        <f>IF(AND(VLOOKUP(BL$1,main!$A$3:$H$102,7,FALSE)=main!$G$105,VLOOKUP(BL$1,main!$A$3:$H$102,5,FALSE)-VLOOKUP($A266,main!$A$3:$H$102,6,FALSE)&gt;=main!$D$103+VLOOKUP(VLOOKUP(BL$1,main!$A$3:$I$102,7,FALSE),main!$K$26:$Q$29,5,FALSE)),1,0)</f>
        <v>0</v>
      </c>
      <c r="BM266">
        <f>IF(AND(VLOOKUP(BM$1,main!$A$3:$H$102,7,FALSE)=main!$G$105,VLOOKUP(BM$1,main!$A$3:$H$102,5,FALSE)-VLOOKUP($A266,main!$A$3:$H$102,6,FALSE)&gt;=main!$D$103+VLOOKUP(VLOOKUP(BM$1,main!$A$3:$I$102,7,FALSE),main!$K$26:$Q$29,5,FALSE)),1,0)</f>
        <v>0</v>
      </c>
      <c r="BN266">
        <f>IF(AND(VLOOKUP(BN$1,main!$A$3:$H$102,7,FALSE)=main!$G$105,VLOOKUP(BN$1,main!$A$3:$H$102,5,FALSE)-VLOOKUP($A266,main!$A$3:$H$102,6,FALSE)&gt;=main!$D$103+VLOOKUP(VLOOKUP(BN$1,main!$A$3:$I$102,7,FALSE),main!$K$26:$Q$29,5,FALSE)),1,0)</f>
        <v>0</v>
      </c>
      <c r="BO266">
        <f>IF(AND(VLOOKUP(BO$1,main!$A$3:$H$102,7,FALSE)=main!$G$105,VLOOKUP(BO$1,main!$A$3:$H$102,5,FALSE)-VLOOKUP($A266,main!$A$3:$H$102,6,FALSE)&gt;=main!$D$103+VLOOKUP(VLOOKUP(BO$1,main!$A$3:$I$102,7,FALSE),main!$K$26:$Q$29,5,FALSE)),1,0)</f>
        <v>0</v>
      </c>
      <c r="BP266">
        <f>IF(AND(VLOOKUP(BP$1,main!$A$3:$H$102,7,FALSE)=main!$G$105,VLOOKUP(BP$1,main!$A$3:$H$102,5,FALSE)-VLOOKUP($A266,main!$A$3:$H$102,6,FALSE)&gt;=main!$D$103+VLOOKUP(VLOOKUP(BP$1,main!$A$3:$I$102,7,FALSE),main!$K$26:$Q$29,5,FALSE)),1,0)</f>
        <v>0</v>
      </c>
      <c r="BQ266">
        <f>IF(AND(VLOOKUP(BQ$1,main!$A$3:$H$102,7,FALSE)=main!$G$105,VLOOKUP(BQ$1,main!$A$3:$H$102,5,FALSE)-VLOOKUP($A266,main!$A$3:$H$102,6,FALSE)&gt;=main!$D$103+VLOOKUP(VLOOKUP(BQ$1,main!$A$3:$I$102,7,FALSE),main!$K$26:$Q$29,5,FALSE)),1,0)</f>
        <v>0</v>
      </c>
      <c r="BR266">
        <f>IF(AND(VLOOKUP(BR$1,main!$A$3:$H$102,7,FALSE)=main!$G$105,VLOOKUP(BR$1,main!$A$3:$H$102,5,FALSE)-VLOOKUP($A266,main!$A$3:$H$102,6,FALSE)&gt;=main!$D$103+VLOOKUP(VLOOKUP(BR$1,main!$A$3:$I$102,7,FALSE),main!$K$26:$Q$29,5,FALSE)),1,0)</f>
        <v>0</v>
      </c>
      <c r="BS266">
        <f>IF(AND(VLOOKUP(BS$1,main!$A$3:$H$102,7,FALSE)=main!$G$105,VLOOKUP(BS$1,main!$A$3:$H$102,5,FALSE)-VLOOKUP($A266,main!$A$3:$H$102,6,FALSE)&gt;=main!$D$103+VLOOKUP(VLOOKUP(BS$1,main!$A$3:$I$102,7,FALSE),main!$K$26:$Q$29,5,FALSE)),1,0)</f>
        <v>0</v>
      </c>
      <c r="BT266">
        <f>IF(AND(VLOOKUP(BT$1,main!$A$3:$H$102,7,FALSE)=main!$G$105,VLOOKUP(BT$1,main!$A$3:$H$102,5,FALSE)-VLOOKUP($A266,main!$A$3:$H$102,6,FALSE)&gt;=main!$D$103+VLOOKUP(VLOOKUP(BT$1,main!$A$3:$I$102,7,FALSE),main!$K$26:$Q$29,5,FALSE)),1,0)</f>
        <v>0</v>
      </c>
      <c r="BU266">
        <f>IF(AND(VLOOKUP(BU$1,main!$A$3:$H$102,7,FALSE)=main!$G$105,VLOOKUP(BU$1,main!$A$3:$H$102,5,FALSE)-VLOOKUP($A266,main!$A$3:$H$102,6,FALSE)&gt;=main!$D$103+VLOOKUP(VLOOKUP(BU$1,main!$A$3:$I$102,7,FALSE),main!$K$26:$Q$29,5,FALSE)),1,0)</f>
        <v>0</v>
      </c>
      <c r="BV266">
        <f>IF(AND(VLOOKUP(BV$1,main!$A$3:$H$102,7,FALSE)=main!$G$105,VLOOKUP(BV$1,main!$A$3:$H$102,5,FALSE)-VLOOKUP($A266,main!$A$3:$H$102,6,FALSE)&gt;=main!$D$103+VLOOKUP(VLOOKUP(BV$1,main!$A$3:$I$102,7,FALSE),main!$K$26:$Q$29,5,FALSE)),1,0)</f>
        <v>0</v>
      </c>
      <c r="BW266">
        <f>IF(AND(VLOOKUP(BW$1,main!$A$3:$H$102,7,FALSE)=main!$G$105,VLOOKUP(BW$1,main!$A$3:$H$102,5,FALSE)-VLOOKUP($A266,main!$A$3:$H$102,6,FALSE)&gt;=main!$D$103+VLOOKUP(VLOOKUP(BW$1,main!$A$3:$I$102,7,FALSE),main!$K$26:$Q$29,5,FALSE)),1,0)</f>
        <v>0</v>
      </c>
      <c r="BX266">
        <f>IF(AND(VLOOKUP(BX$1,main!$A$3:$H$102,7,FALSE)=main!$G$105,VLOOKUP(BX$1,main!$A$3:$H$102,5,FALSE)-VLOOKUP($A266,main!$A$3:$H$102,6,FALSE)&gt;=main!$D$103+VLOOKUP(VLOOKUP(BX$1,main!$A$3:$I$102,7,FALSE),main!$K$26:$Q$29,5,FALSE)),1,0)</f>
        <v>0</v>
      </c>
      <c r="BY266">
        <f>IF(AND(VLOOKUP(BY$1,main!$A$3:$H$102,7,FALSE)=main!$G$105,VLOOKUP(BY$1,main!$A$3:$H$102,5,FALSE)-VLOOKUP($A266,main!$A$3:$H$102,6,FALSE)&gt;=main!$D$103+VLOOKUP(VLOOKUP(BY$1,main!$A$3:$I$102,7,FALSE),main!$K$26:$Q$29,5,FALSE)),1,0)</f>
        <v>0</v>
      </c>
      <c r="BZ266">
        <f>IF(AND(VLOOKUP(BZ$1,main!$A$3:$H$102,7,FALSE)=main!$G$105,VLOOKUP(BZ$1,main!$A$3:$H$102,5,FALSE)-VLOOKUP($A266,main!$A$3:$H$102,6,FALSE)&gt;=main!$D$103+VLOOKUP(VLOOKUP(BZ$1,main!$A$3:$I$102,7,FALSE),main!$K$26:$Q$29,5,FALSE)),1,0)</f>
        <v>0</v>
      </c>
      <c r="CA266">
        <f>IF(AND(VLOOKUP(CA$1,main!$A$3:$H$102,7,FALSE)=main!$G$105,VLOOKUP(CA$1,main!$A$3:$H$102,5,FALSE)-VLOOKUP($A266,main!$A$3:$H$102,6,FALSE)&gt;=main!$D$103+VLOOKUP(VLOOKUP(CA$1,main!$A$3:$I$102,7,FALSE),main!$K$26:$Q$29,5,FALSE)),1,0)</f>
        <v>0</v>
      </c>
      <c r="CB266">
        <f>IF(AND(VLOOKUP(CB$1,main!$A$3:$H$102,7,FALSE)=main!$G$105,VLOOKUP(CB$1,main!$A$3:$H$102,5,FALSE)-VLOOKUP($A266,main!$A$3:$H$102,6,FALSE)&gt;=main!$D$103+VLOOKUP(VLOOKUP(CB$1,main!$A$3:$I$102,7,FALSE),main!$K$26:$Q$29,5,FALSE)),1,0)</f>
        <v>0</v>
      </c>
      <c r="CC266">
        <f>IF(AND(VLOOKUP(CC$1,main!$A$3:$H$102,7,FALSE)=main!$G$105,VLOOKUP(CC$1,main!$A$3:$H$102,5,FALSE)-VLOOKUP($A266,main!$A$3:$H$102,6,FALSE)&gt;=main!$D$103+VLOOKUP(VLOOKUP(CC$1,main!$A$3:$I$102,7,FALSE),main!$K$26:$Q$29,5,FALSE)),1,0)</f>
        <v>0</v>
      </c>
      <c r="CD266">
        <f>IF(AND(VLOOKUP(CD$1,main!$A$3:$H$102,7,FALSE)=main!$G$105,VLOOKUP(CD$1,main!$A$3:$H$102,5,FALSE)-VLOOKUP($A266,main!$A$3:$H$102,6,FALSE)&gt;=main!$D$103+VLOOKUP(VLOOKUP(CD$1,main!$A$3:$I$102,7,FALSE),main!$K$26:$Q$29,5,FALSE)),1,0)</f>
        <v>0</v>
      </c>
      <c r="CE266">
        <f>IF(AND(VLOOKUP(CE$1,main!$A$3:$H$102,7,FALSE)=main!$G$105,VLOOKUP(CE$1,main!$A$3:$H$102,5,FALSE)-VLOOKUP($A266,main!$A$3:$H$102,6,FALSE)&gt;=main!$D$103+VLOOKUP(VLOOKUP(CE$1,main!$A$3:$I$102,7,FALSE),main!$K$26:$Q$29,5,FALSE)),1,0)</f>
        <v>0</v>
      </c>
      <c r="CF266">
        <f>IF(AND(VLOOKUP(CF$1,main!$A$3:$H$102,7,FALSE)=main!$G$105,VLOOKUP(CF$1,main!$A$3:$H$102,5,FALSE)-VLOOKUP($A266,main!$A$3:$H$102,6,FALSE)&gt;=main!$D$103+VLOOKUP(VLOOKUP(CF$1,main!$A$3:$I$102,7,FALSE),main!$K$26:$Q$29,5,FALSE)),1,0)</f>
        <v>0</v>
      </c>
      <c r="CG266">
        <f>IF(AND(VLOOKUP(CG$1,main!$A$3:$H$102,7,FALSE)=main!$G$105,VLOOKUP(CG$1,main!$A$3:$H$102,5,FALSE)-VLOOKUP($A266,main!$A$3:$H$102,6,FALSE)&gt;=main!$D$103+VLOOKUP(VLOOKUP(CG$1,main!$A$3:$I$102,7,FALSE),main!$K$26:$Q$29,5,FALSE)),1,0)</f>
        <v>0</v>
      </c>
      <c r="CH266">
        <f>IF(AND(VLOOKUP(CH$1,main!$A$3:$H$102,7,FALSE)=main!$G$105,VLOOKUP(CH$1,main!$A$3:$H$102,5,FALSE)-VLOOKUP($A266,main!$A$3:$H$102,6,FALSE)&gt;=main!$D$103+VLOOKUP(VLOOKUP(CH$1,main!$A$3:$I$102,7,FALSE),main!$K$26:$Q$29,5,FALSE)),1,0)</f>
        <v>0</v>
      </c>
      <c r="CI266">
        <f>IF(AND(VLOOKUP(CI$1,main!$A$3:$H$102,7,FALSE)=main!$G$105,VLOOKUP(CI$1,main!$A$3:$H$102,5,FALSE)-VLOOKUP($A266,main!$A$3:$H$102,6,FALSE)&gt;=main!$D$103+VLOOKUP(VLOOKUP(CI$1,main!$A$3:$I$102,7,FALSE),main!$K$26:$Q$29,5,FALSE)),1,0)</f>
        <v>0</v>
      </c>
      <c r="CJ266">
        <f>IF(AND(VLOOKUP(CJ$1,main!$A$3:$H$102,7,FALSE)=main!$G$105,VLOOKUP(CJ$1,main!$A$3:$H$102,5,FALSE)-VLOOKUP($A266,main!$A$3:$H$102,6,FALSE)&gt;=main!$D$103+VLOOKUP(VLOOKUP(CJ$1,main!$A$3:$I$102,7,FALSE),main!$K$26:$Q$29,5,FALSE)),1,0)</f>
        <v>0</v>
      </c>
      <c r="CK266">
        <f>IF(AND(VLOOKUP(CK$1,main!$A$3:$H$102,7,FALSE)=main!$G$105,VLOOKUP(CK$1,main!$A$3:$H$102,5,FALSE)-VLOOKUP($A266,main!$A$3:$H$102,6,FALSE)&gt;=main!$D$103+VLOOKUP(VLOOKUP(CK$1,main!$A$3:$I$102,7,FALSE),main!$K$26:$Q$29,5,FALSE)),1,0)</f>
        <v>0</v>
      </c>
      <c r="CL266">
        <f>IF(AND(VLOOKUP(CL$1,main!$A$3:$H$102,7,FALSE)=main!$G$105,VLOOKUP(CL$1,main!$A$3:$H$102,5,FALSE)-VLOOKUP($A266,main!$A$3:$H$102,6,FALSE)&gt;=main!$D$103+VLOOKUP(VLOOKUP(CL$1,main!$A$3:$I$102,7,FALSE),main!$K$26:$Q$29,5,FALSE)),1,0)</f>
        <v>0</v>
      </c>
      <c r="CM266">
        <f>IF(AND(VLOOKUP(CM$1,main!$A$3:$H$102,7,FALSE)=main!$G$105,VLOOKUP(CM$1,main!$A$3:$H$102,5,FALSE)-VLOOKUP($A266,main!$A$3:$H$102,6,FALSE)&gt;=main!$D$103+VLOOKUP(VLOOKUP(CM$1,main!$A$3:$I$102,7,FALSE),main!$K$26:$Q$29,5,FALSE)),1,0)</f>
        <v>0</v>
      </c>
      <c r="CN266">
        <f>IF(AND(VLOOKUP(CN$1,main!$A$3:$H$102,7,FALSE)=main!$G$105,VLOOKUP(CN$1,main!$A$3:$H$102,5,FALSE)-VLOOKUP($A266,main!$A$3:$H$102,6,FALSE)&gt;=main!$D$103+VLOOKUP(VLOOKUP(CN$1,main!$A$3:$I$102,7,FALSE),main!$K$26:$Q$29,5,FALSE)),1,0)</f>
        <v>0</v>
      </c>
      <c r="CO266">
        <f>IF(AND(VLOOKUP(CO$1,main!$A$3:$H$102,7,FALSE)=main!$G$105,VLOOKUP(CO$1,main!$A$3:$H$102,5,FALSE)-VLOOKUP($A266,main!$A$3:$H$102,6,FALSE)&gt;=main!$D$103+VLOOKUP(VLOOKUP(CO$1,main!$A$3:$I$102,7,FALSE),main!$K$26:$Q$29,5,FALSE)),1,0)</f>
        <v>0</v>
      </c>
      <c r="CP266">
        <f>IF(AND(VLOOKUP(CP$1,main!$A$3:$H$102,7,FALSE)=main!$G$105,VLOOKUP(CP$1,main!$A$3:$H$102,5,FALSE)-VLOOKUP($A266,main!$A$3:$H$102,6,FALSE)&gt;=main!$D$103+VLOOKUP(VLOOKUP(CP$1,main!$A$3:$I$102,7,FALSE),main!$K$26:$Q$29,5,FALSE)),1,0)</f>
        <v>0</v>
      </c>
      <c r="CQ266">
        <f>IF(AND(VLOOKUP(CQ$1,main!$A$3:$H$102,7,FALSE)=main!$G$105,VLOOKUP(CQ$1,main!$A$3:$H$102,5,FALSE)-VLOOKUP($A266,main!$A$3:$H$102,6,FALSE)&gt;=main!$D$103+VLOOKUP(VLOOKUP(CQ$1,main!$A$3:$I$102,7,FALSE),main!$K$26:$Q$29,5,FALSE)),1,0)</f>
        <v>0</v>
      </c>
      <c r="CR266">
        <f>IF(AND(VLOOKUP(CR$1,main!$A$3:$H$102,7,FALSE)=main!$G$105,VLOOKUP(CR$1,main!$A$3:$H$102,5,FALSE)-VLOOKUP($A266,main!$A$3:$H$102,6,FALSE)&gt;=main!$D$103+VLOOKUP(VLOOKUP(CR$1,main!$A$3:$I$102,7,FALSE),main!$K$26:$Q$29,5,FALSE)),1,0)</f>
        <v>0</v>
      </c>
      <c r="CS266">
        <f>IF(AND(VLOOKUP(CS$1,main!$A$3:$H$102,7,FALSE)=main!$G$105,VLOOKUP(CS$1,main!$A$3:$H$102,5,FALSE)-VLOOKUP($A266,main!$A$3:$H$102,6,FALSE)&gt;=main!$D$103+VLOOKUP(VLOOKUP(CS$1,main!$A$3:$I$102,7,FALSE),main!$K$26:$Q$29,5,FALSE)),1,0)</f>
        <v>0</v>
      </c>
      <c r="CT266">
        <f>IF(AND(VLOOKUP(CT$1,main!$A$3:$H$102,7,FALSE)=main!$G$105,VLOOKUP(CT$1,main!$A$3:$H$102,5,FALSE)-VLOOKUP($A266,main!$A$3:$H$102,6,FALSE)&gt;=main!$D$103+VLOOKUP(VLOOKUP(CT$1,main!$A$3:$I$102,7,FALSE),main!$K$26:$Q$29,5,FALSE)),1,0)</f>
        <v>0</v>
      </c>
      <c r="CU266">
        <f>IF(AND(VLOOKUP(CU$1,main!$A$3:$H$102,7,FALSE)=main!$G$105,VLOOKUP(CU$1,main!$A$3:$H$102,5,FALSE)-VLOOKUP($A266,main!$A$3:$H$102,6,FALSE)&gt;=main!$D$103+VLOOKUP(VLOOKUP(CU$1,main!$A$3:$I$102,7,FALSE),main!$K$26:$Q$29,5,FALSE)),1,0)</f>
        <v>0</v>
      </c>
      <c r="CV266">
        <f>IF(AND(VLOOKUP(CV$1,main!$A$3:$H$102,7,FALSE)=main!$G$105,VLOOKUP(CV$1,main!$A$3:$H$102,5,FALSE)-VLOOKUP($A266,main!$A$3:$H$102,6,FALSE)&gt;=main!$D$103+VLOOKUP(VLOOKUP(CV$1,main!$A$3:$I$102,7,FALSE),main!$K$26:$Q$29,5,FALSE)),1,0)</f>
        <v>0</v>
      </c>
      <c r="CW266">
        <f>IF(AND(VLOOKUP(CW$1,main!$A$3:$H$102,7,FALSE)=main!$G$105,VLOOKUP(CW$1,main!$A$3:$H$102,5,FALSE)-VLOOKUP($A266,main!$A$3:$H$102,6,FALSE)&gt;=main!$D$103+VLOOKUP(VLOOKUP(CW$1,main!$A$3:$I$102,7,FALSE),main!$K$26:$Q$29,5,FALSE)),1,0)</f>
        <v>0</v>
      </c>
      <c r="CX266">
        <f>IF(AND(VLOOKUP(CX$1,main!$A$3:$H$102,7,FALSE)=main!$G$105,VLOOKUP(CX$1,main!$A$3:$H$102,5,FALSE)-VLOOKUP($A266,main!$A$3:$H$102,6,FALSE)&gt;=main!$D$103+VLOOKUP(VLOOKUP(CX$1,main!$A$3:$I$102,7,FALSE),main!$K$26:$Q$29,5,FALSE)),1,0)</f>
        <v>0</v>
      </c>
    </row>
    <row r="267" spans="1:102" x14ac:dyDescent="0.25">
      <c r="A267" s="1">
        <v>63</v>
      </c>
      <c r="B267">
        <v>0</v>
      </c>
      <c r="C267">
        <f>IF(AND(VLOOKUP(C$1,main!$A$3:$H$102,7,FALSE)=main!$G$105,VLOOKUP(C$1,main!$A$3:$H$102,5,FALSE)-VLOOKUP($A267,main!$A$3:$H$102,6,FALSE)&gt;=main!$D$103+VLOOKUP(VLOOKUP(C$1,main!$A$3:$I$102,7,FALSE),main!$K$26:$Q$29,5,FALSE)),1,0)</f>
        <v>0</v>
      </c>
      <c r="D267">
        <f>IF(AND(VLOOKUP(D$1,main!$A$3:$H$102,7,FALSE)=main!$G$105,VLOOKUP(D$1,main!$A$3:$H$102,5,FALSE)-VLOOKUP($A267,main!$A$3:$H$102,6,FALSE)&gt;=main!$D$103+VLOOKUP(VLOOKUP(D$1,main!$A$3:$I$102,7,FALSE),main!$K$26:$Q$29,5,FALSE)),1,0)</f>
        <v>0</v>
      </c>
      <c r="E267">
        <f>IF(AND(VLOOKUP(E$1,main!$A$3:$H$102,7,FALSE)=main!$G$105,VLOOKUP(E$1,main!$A$3:$H$102,5,FALSE)-VLOOKUP($A267,main!$A$3:$H$102,6,FALSE)&gt;=main!$D$103+VLOOKUP(VLOOKUP(E$1,main!$A$3:$I$102,7,FALSE),main!$K$26:$Q$29,5,FALSE)),1,0)</f>
        <v>0</v>
      </c>
      <c r="F267">
        <f>IF(AND(VLOOKUP(F$1,main!$A$3:$H$102,7,FALSE)=main!$G$105,VLOOKUP(F$1,main!$A$3:$H$102,5,FALSE)-VLOOKUP($A267,main!$A$3:$H$102,6,FALSE)&gt;=main!$D$103+VLOOKUP(VLOOKUP(F$1,main!$A$3:$I$102,7,FALSE),main!$K$26:$Q$29,5,FALSE)),1,0)</f>
        <v>0</v>
      </c>
      <c r="G267">
        <f>IF(AND(VLOOKUP(G$1,main!$A$3:$H$102,7,FALSE)=main!$G$105,VLOOKUP(G$1,main!$A$3:$H$102,5,FALSE)-VLOOKUP($A267,main!$A$3:$H$102,6,FALSE)&gt;=main!$D$103+VLOOKUP(VLOOKUP(G$1,main!$A$3:$I$102,7,FALSE),main!$K$26:$Q$29,5,FALSE)),1,0)</f>
        <v>0</v>
      </c>
      <c r="H267">
        <f>IF(AND(VLOOKUP(H$1,main!$A$3:$H$102,7,FALSE)=main!$G$105,VLOOKUP(H$1,main!$A$3:$H$102,5,FALSE)-VLOOKUP($A267,main!$A$3:$H$102,6,FALSE)&gt;=main!$D$103+VLOOKUP(VLOOKUP(H$1,main!$A$3:$I$102,7,FALSE),main!$K$26:$Q$29,5,FALSE)),1,0)</f>
        <v>0</v>
      </c>
      <c r="I267">
        <f>IF(AND(VLOOKUP(I$1,main!$A$3:$H$102,7,FALSE)=main!$G$105,VLOOKUP(I$1,main!$A$3:$H$102,5,FALSE)-VLOOKUP($A267,main!$A$3:$H$102,6,FALSE)&gt;=main!$D$103+VLOOKUP(VLOOKUP(I$1,main!$A$3:$I$102,7,FALSE),main!$K$26:$Q$29,5,FALSE)),1,0)</f>
        <v>0</v>
      </c>
      <c r="J267">
        <f>IF(AND(VLOOKUP(J$1,main!$A$3:$H$102,7,FALSE)=main!$G$105,VLOOKUP(J$1,main!$A$3:$H$102,5,FALSE)-VLOOKUP($A267,main!$A$3:$H$102,6,FALSE)&gt;=main!$D$103+VLOOKUP(VLOOKUP(J$1,main!$A$3:$I$102,7,FALSE),main!$K$26:$Q$29,5,FALSE)),1,0)</f>
        <v>0</v>
      </c>
      <c r="K267">
        <f>IF(AND(VLOOKUP(K$1,main!$A$3:$H$102,7,FALSE)=main!$G$105,VLOOKUP(K$1,main!$A$3:$H$102,5,FALSE)-VLOOKUP($A267,main!$A$3:$H$102,6,FALSE)&gt;=main!$D$103+VLOOKUP(VLOOKUP(K$1,main!$A$3:$I$102,7,FALSE),main!$K$26:$Q$29,5,FALSE)),1,0)</f>
        <v>0</v>
      </c>
      <c r="L267">
        <f>IF(AND(VLOOKUP(L$1,main!$A$3:$H$102,7,FALSE)=main!$G$105,VLOOKUP(L$1,main!$A$3:$H$102,5,FALSE)-VLOOKUP($A267,main!$A$3:$H$102,6,FALSE)&gt;=main!$D$103+VLOOKUP(VLOOKUP(L$1,main!$A$3:$I$102,7,FALSE),main!$K$26:$Q$29,5,FALSE)),1,0)</f>
        <v>0</v>
      </c>
      <c r="M267">
        <f>IF(AND(VLOOKUP(M$1,main!$A$3:$H$102,7,FALSE)=main!$G$105,VLOOKUP(M$1,main!$A$3:$H$102,5,FALSE)-VLOOKUP($A267,main!$A$3:$H$102,6,FALSE)&gt;=main!$D$103+VLOOKUP(VLOOKUP(M$1,main!$A$3:$I$102,7,FALSE),main!$K$26:$Q$29,5,FALSE)),1,0)</f>
        <v>0</v>
      </c>
      <c r="N267">
        <f>IF(AND(VLOOKUP(N$1,main!$A$3:$H$102,7,FALSE)=main!$G$105,VLOOKUP(N$1,main!$A$3:$H$102,5,FALSE)-VLOOKUP($A267,main!$A$3:$H$102,6,FALSE)&gt;=main!$D$103+VLOOKUP(VLOOKUP(N$1,main!$A$3:$I$102,7,FALSE),main!$K$26:$Q$29,5,FALSE)),1,0)</f>
        <v>0</v>
      </c>
      <c r="O267">
        <f>IF(AND(VLOOKUP(O$1,main!$A$3:$H$102,7,FALSE)=main!$G$105,VLOOKUP(O$1,main!$A$3:$H$102,5,FALSE)-VLOOKUP($A267,main!$A$3:$H$102,6,FALSE)&gt;=main!$D$103+VLOOKUP(VLOOKUP(O$1,main!$A$3:$I$102,7,FALSE),main!$K$26:$Q$29,5,FALSE)),1,0)</f>
        <v>0</v>
      </c>
      <c r="P267">
        <f>IF(AND(VLOOKUP(P$1,main!$A$3:$H$102,7,FALSE)=main!$G$105,VLOOKUP(P$1,main!$A$3:$H$102,5,FALSE)-VLOOKUP($A267,main!$A$3:$H$102,6,FALSE)&gt;=main!$D$103+VLOOKUP(VLOOKUP(P$1,main!$A$3:$I$102,7,FALSE),main!$K$26:$Q$29,5,FALSE)),1,0)</f>
        <v>0</v>
      </c>
      <c r="Q267">
        <f>IF(AND(VLOOKUP(Q$1,main!$A$3:$H$102,7,FALSE)=main!$G$105,VLOOKUP(Q$1,main!$A$3:$H$102,5,FALSE)-VLOOKUP($A267,main!$A$3:$H$102,6,FALSE)&gt;=main!$D$103+VLOOKUP(VLOOKUP(Q$1,main!$A$3:$I$102,7,FALSE),main!$K$26:$Q$29,5,FALSE)),1,0)</f>
        <v>0</v>
      </c>
      <c r="R267">
        <f>IF(AND(VLOOKUP(R$1,main!$A$3:$H$102,7,FALSE)=main!$G$105,VLOOKUP(R$1,main!$A$3:$H$102,5,FALSE)-VLOOKUP($A267,main!$A$3:$H$102,6,FALSE)&gt;=main!$D$103+VLOOKUP(VLOOKUP(R$1,main!$A$3:$I$102,7,FALSE),main!$K$26:$Q$29,5,FALSE)),1,0)</f>
        <v>0</v>
      </c>
      <c r="S267">
        <f>IF(AND(VLOOKUP(S$1,main!$A$3:$H$102,7,FALSE)=main!$G$105,VLOOKUP(S$1,main!$A$3:$H$102,5,FALSE)-VLOOKUP($A267,main!$A$3:$H$102,6,FALSE)&gt;=main!$D$103+VLOOKUP(VLOOKUP(S$1,main!$A$3:$I$102,7,FALSE),main!$K$26:$Q$29,5,FALSE)),1,0)</f>
        <v>0</v>
      </c>
      <c r="T267">
        <f>IF(AND(VLOOKUP(T$1,main!$A$3:$H$102,7,FALSE)=main!$G$105,VLOOKUP(T$1,main!$A$3:$H$102,5,FALSE)-VLOOKUP($A267,main!$A$3:$H$102,6,FALSE)&gt;=main!$D$103+VLOOKUP(VLOOKUP(T$1,main!$A$3:$I$102,7,FALSE),main!$K$26:$Q$29,5,FALSE)),1,0)</f>
        <v>0</v>
      </c>
      <c r="U267">
        <f>IF(AND(VLOOKUP(U$1,main!$A$3:$H$102,7,FALSE)=main!$G$105,VLOOKUP(U$1,main!$A$3:$H$102,5,FALSE)-VLOOKUP($A267,main!$A$3:$H$102,6,FALSE)&gt;=main!$D$103+VLOOKUP(VLOOKUP(U$1,main!$A$3:$I$102,7,FALSE),main!$K$26:$Q$29,5,FALSE)),1,0)</f>
        <v>0</v>
      </c>
      <c r="V267">
        <f>IF(AND(VLOOKUP(V$1,main!$A$3:$H$102,7,FALSE)=main!$G$105,VLOOKUP(V$1,main!$A$3:$H$102,5,FALSE)-VLOOKUP($A267,main!$A$3:$H$102,6,FALSE)&gt;=main!$D$103+VLOOKUP(VLOOKUP(V$1,main!$A$3:$I$102,7,FALSE),main!$K$26:$Q$29,5,FALSE)),1,0)</f>
        <v>0</v>
      </c>
      <c r="W267">
        <f>IF(AND(VLOOKUP(W$1,main!$A$3:$H$102,7,FALSE)=main!$G$105,VLOOKUP(W$1,main!$A$3:$H$102,5,FALSE)-VLOOKUP($A267,main!$A$3:$H$102,6,FALSE)&gt;=main!$D$103+VLOOKUP(VLOOKUP(W$1,main!$A$3:$I$102,7,FALSE),main!$K$26:$Q$29,5,FALSE)),1,0)</f>
        <v>0</v>
      </c>
      <c r="X267">
        <f>IF(AND(VLOOKUP(X$1,main!$A$3:$H$102,7,FALSE)=main!$G$105,VLOOKUP(X$1,main!$A$3:$H$102,5,FALSE)-VLOOKUP($A267,main!$A$3:$H$102,6,FALSE)&gt;=main!$D$103+VLOOKUP(VLOOKUP(X$1,main!$A$3:$I$102,7,FALSE),main!$K$26:$Q$29,5,FALSE)),1,0)</f>
        <v>0</v>
      </c>
      <c r="Y267">
        <f>IF(AND(VLOOKUP(Y$1,main!$A$3:$H$102,7,FALSE)=main!$G$105,VLOOKUP(Y$1,main!$A$3:$H$102,5,FALSE)-VLOOKUP($A267,main!$A$3:$H$102,6,FALSE)&gt;=main!$D$103+VLOOKUP(VLOOKUP(Y$1,main!$A$3:$I$102,7,FALSE),main!$K$26:$Q$29,5,FALSE)),1,0)</f>
        <v>0</v>
      </c>
      <c r="Z267">
        <f>IF(AND(VLOOKUP(Z$1,main!$A$3:$H$102,7,FALSE)=main!$G$105,VLOOKUP(Z$1,main!$A$3:$H$102,5,FALSE)-VLOOKUP($A267,main!$A$3:$H$102,6,FALSE)&gt;=main!$D$103+VLOOKUP(VLOOKUP(Z$1,main!$A$3:$I$102,7,FALSE),main!$K$26:$Q$29,5,FALSE)),1,0)</f>
        <v>0</v>
      </c>
      <c r="AA267">
        <f>IF(AND(VLOOKUP(AA$1,main!$A$3:$H$102,7,FALSE)=main!$G$105,VLOOKUP(AA$1,main!$A$3:$H$102,5,FALSE)-VLOOKUP($A267,main!$A$3:$H$102,6,FALSE)&gt;=main!$D$103+VLOOKUP(VLOOKUP(AA$1,main!$A$3:$I$102,7,FALSE),main!$K$26:$Q$29,5,FALSE)),1,0)</f>
        <v>0</v>
      </c>
      <c r="AB267">
        <f>IF(AND(VLOOKUP(AB$1,main!$A$3:$H$102,7,FALSE)=main!$G$105,VLOOKUP(AB$1,main!$A$3:$H$102,5,FALSE)-VLOOKUP($A267,main!$A$3:$H$102,6,FALSE)&gt;=main!$D$103+VLOOKUP(VLOOKUP(AB$1,main!$A$3:$I$102,7,FALSE),main!$K$26:$Q$29,5,FALSE)),1,0)</f>
        <v>0</v>
      </c>
      <c r="AC267">
        <f>IF(AND(VLOOKUP(AC$1,main!$A$3:$H$102,7,FALSE)=main!$G$105,VLOOKUP(AC$1,main!$A$3:$H$102,5,FALSE)-VLOOKUP($A267,main!$A$3:$H$102,6,FALSE)&gt;=main!$D$103+VLOOKUP(VLOOKUP(AC$1,main!$A$3:$I$102,7,FALSE),main!$K$26:$Q$29,5,FALSE)),1,0)</f>
        <v>0</v>
      </c>
      <c r="AD267">
        <f>IF(AND(VLOOKUP(AD$1,main!$A$3:$H$102,7,FALSE)=main!$G$105,VLOOKUP(AD$1,main!$A$3:$H$102,5,FALSE)-VLOOKUP($A267,main!$A$3:$H$102,6,FALSE)&gt;=main!$D$103+VLOOKUP(VLOOKUP(AD$1,main!$A$3:$I$102,7,FALSE),main!$K$26:$Q$29,5,FALSE)),1,0)</f>
        <v>0</v>
      </c>
      <c r="AE267">
        <f>IF(AND(VLOOKUP(AE$1,main!$A$3:$H$102,7,FALSE)=main!$G$105,VLOOKUP(AE$1,main!$A$3:$H$102,5,FALSE)-VLOOKUP($A267,main!$A$3:$H$102,6,FALSE)&gt;=main!$D$103+VLOOKUP(VLOOKUP(AE$1,main!$A$3:$I$102,7,FALSE),main!$K$26:$Q$29,5,FALSE)),1,0)</f>
        <v>0</v>
      </c>
      <c r="AF267">
        <f>IF(AND(VLOOKUP(AF$1,main!$A$3:$H$102,7,FALSE)=main!$G$105,VLOOKUP(AF$1,main!$A$3:$H$102,5,FALSE)-VLOOKUP($A267,main!$A$3:$H$102,6,FALSE)&gt;=main!$D$103+VLOOKUP(VLOOKUP(AF$1,main!$A$3:$I$102,7,FALSE),main!$K$26:$Q$29,5,FALSE)),1,0)</f>
        <v>0</v>
      </c>
      <c r="AG267">
        <f>IF(AND(VLOOKUP(AG$1,main!$A$3:$H$102,7,FALSE)=main!$G$105,VLOOKUP(AG$1,main!$A$3:$H$102,5,FALSE)-VLOOKUP($A267,main!$A$3:$H$102,6,FALSE)&gt;=main!$D$103+VLOOKUP(VLOOKUP(AG$1,main!$A$3:$I$102,7,FALSE),main!$K$26:$Q$29,5,FALSE)),1,0)</f>
        <v>0</v>
      </c>
      <c r="AH267">
        <f>IF(AND(VLOOKUP(AH$1,main!$A$3:$H$102,7,FALSE)=main!$G$105,VLOOKUP(AH$1,main!$A$3:$H$102,5,FALSE)-VLOOKUP($A267,main!$A$3:$H$102,6,FALSE)&gt;=main!$D$103+VLOOKUP(VLOOKUP(AH$1,main!$A$3:$I$102,7,FALSE),main!$K$26:$Q$29,5,FALSE)),1,0)</f>
        <v>0</v>
      </c>
      <c r="AI267">
        <f>IF(AND(VLOOKUP(AI$1,main!$A$3:$H$102,7,FALSE)=main!$G$105,VLOOKUP(AI$1,main!$A$3:$H$102,5,FALSE)-VLOOKUP($A267,main!$A$3:$H$102,6,FALSE)&gt;=main!$D$103+VLOOKUP(VLOOKUP(AI$1,main!$A$3:$I$102,7,FALSE),main!$K$26:$Q$29,5,FALSE)),1,0)</f>
        <v>0</v>
      </c>
      <c r="AJ267">
        <f>IF(AND(VLOOKUP(AJ$1,main!$A$3:$H$102,7,FALSE)=main!$G$105,VLOOKUP(AJ$1,main!$A$3:$H$102,5,FALSE)-VLOOKUP($A267,main!$A$3:$H$102,6,FALSE)&gt;=main!$D$103+VLOOKUP(VLOOKUP(AJ$1,main!$A$3:$I$102,7,FALSE),main!$K$26:$Q$29,5,FALSE)),1,0)</f>
        <v>0</v>
      </c>
      <c r="AK267">
        <f>IF(AND(VLOOKUP(AK$1,main!$A$3:$H$102,7,FALSE)=main!$G$105,VLOOKUP(AK$1,main!$A$3:$H$102,5,FALSE)-VLOOKUP($A267,main!$A$3:$H$102,6,FALSE)&gt;=main!$D$103+VLOOKUP(VLOOKUP(AK$1,main!$A$3:$I$102,7,FALSE),main!$K$26:$Q$29,5,FALSE)),1,0)</f>
        <v>1</v>
      </c>
      <c r="AL267">
        <f>IF(AND(VLOOKUP(AL$1,main!$A$3:$H$102,7,FALSE)=main!$G$105,VLOOKUP(AL$1,main!$A$3:$H$102,5,FALSE)-VLOOKUP($A267,main!$A$3:$H$102,6,FALSE)&gt;=main!$D$103+VLOOKUP(VLOOKUP(AL$1,main!$A$3:$I$102,7,FALSE),main!$K$26:$Q$29,5,FALSE)),1,0)</f>
        <v>1</v>
      </c>
      <c r="AM267">
        <f>IF(AND(VLOOKUP(AM$1,main!$A$3:$H$102,7,FALSE)=main!$G$105,VLOOKUP(AM$1,main!$A$3:$H$102,5,FALSE)-VLOOKUP($A267,main!$A$3:$H$102,6,FALSE)&gt;=main!$D$103+VLOOKUP(VLOOKUP(AM$1,main!$A$3:$I$102,7,FALSE),main!$K$26:$Q$29,5,FALSE)),1,0)</f>
        <v>1</v>
      </c>
      <c r="AN267">
        <f>IF(AND(VLOOKUP(AN$1,main!$A$3:$H$102,7,FALSE)=main!$G$105,VLOOKUP(AN$1,main!$A$3:$H$102,5,FALSE)-VLOOKUP($A267,main!$A$3:$H$102,6,FALSE)&gt;=main!$D$103+VLOOKUP(VLOOKUP(AN$1,main!$A$3:$I$102,7,FALSE),main!$K$26:$Q$29,5,FALSE)),1,0)</f>
        <v>1</v>
      </c>
      <c r="AO267">
        <f>IF(AND(VLOOKUP(AO$1,main!$A$3:$H$102,7,FALSE)=main!$G$105,VLOOKUP(AO$1,main!$A$3:$H$102,5,FALSE)-VLOOKUP($A267,main!$A$3:$H$102,6,FALSE)&gt;=main!$D$103+VLOOKUP(VLOOKUP(AO$1,main!$A$3:$I$102,7,FALSE),main!$K$26:$Q$29,5,FALSE)),1,0)</f>
        <v>0</v>
      </c>
      <c r="AP267">
        <f>IF(AND(VLOOKUP(AP$1,main!$A$3:$H$102,7,FALSE)=main!$G$105,VLOOKUP(AP$1,main!$A$3:$H$102,5,FALSE)-VLOOKUP($A267,main!$A$3:$H$102,6,FALSE)&gt;=main!$D$103+VLOOKUP(VLOOKUP(AP$1,main!$A$3:$I$102,7,FALSE),main!$K$26:$Q$29,5,FALSE)),1,0)</f>
        <v>1</v>
      </c>
      <c r="AQ267">
        <f>IF(AND(VLOOKUP(AQ$1,main!$A$3:$H$102,7,FALSE)=main!$G$105,VLOOKUP(AQ$1,main!$A$3:$H$102,5,FALSE)-VLOOKUP($A267,main!$A$3:$H$102,6,FALSE)&gt;=main!$D$103+VLOOKUP(VLOOKUP(AQ$1,main!$A$3:$I$102,7,FALSE),main!$K$26:$Q$29,5,FALSE)),1,0)</f>
        <v>0</v>
      </c>
      <c r="AR267">
        <f>IF(AND(VLOOKUP(AR$1,main!$A$3:$H$102,7,FALSE)=main!$G$105,VLOOKUP(AR$1,main!$A$3:$H$102,5,FALSE)-VLOOKUP($A267,main!$A$3:$H$102,6,FALSE)&gt;=main!$D$103+VLOOKUP(VLOOKUP(AR$1,main!$A$3:$I$102,7,FALSE),main!$K$26:$Q$29,5,FALSE)),1,0)</f>
        <v>0</v>
      </c>
      <c r="AS267">
        <f>IF(AND(VLOOKUP(AS$1,main!$A$3:$H$102,7,FALSE)=main!$G$105,VLOOKUP(AS$1,main!$A$3:$H$102,5,FALSE)-VLOOKUP($A267,main!$A$3:$H$102,6,FALSE)&gt;=main!$D$103+VLOOKUP(VLOOKUP(AS$1,main!$A$3:$I$102,7,FALSE),main!$K$26:$Q$29,5,FALSE)),1,0)</f>
        <v>0</v>
      </c>
      <c r="AT267">
        <f>IF(AND(VLOOKUP(AT$1,main!$A$3:$H$102,7,FALSE)=main!$G$105,VLOOKUP(AT$1,main!$A$3:$H$102,5,FALSE)-VLOOKUP($A267,main!$A$3:$H$102,6,FALSE)&gt;=main!$D$103+VLOOKUP(VLOOKUP(AT$1,main!$A$3:$I$102,7,FALSE),main!$K$26:$Q$29,5,FALSE)),1,0)</f>
        <v>1</v>
      </c>
      <c r="AU267">
        <f>IF(AND(VLOOKUP(AU$1,main!$A$3:$H$102,7,FALSE)=main!$G$105,VLOOKUP(AU$1,main!$A$3:$H$102,5,FALSE)-VLOOKUP($A267,main!$A$3:$H$102,6,FALSE)&gt;=main!$D$103+VLOOKUP(VLOOKUP(AU$1,main!$A$3:$I$102,7,FALSE),main!$K$26:$Q$29,5,FALSE)),1,0)</f>
        <v>0</v>
      </c>
      <c r="AV267">
        <f>IF(AND(VLOOKUP(AV$1,main!$A$3:$H$102,7,FALSE)=main!$G$105,VLOOKUP(AV$1,main!$A$3:$H$102,5,FALSE)-VLOOKUP($A267,main!$A$3:$H$102,6,FALSE)&gt;=main!$D$103+VLOOKUP(VLOOKUP(AV$1,main!$A$3:$I$102,7,FALSE),main!$K$26:$Q$29,5,FALSE)),1,0)</f>
        <v>0</v>
      </c>
      <c r="AW267">
        <f>IF(AND(VLOOKUP(AW$1,main!$A$3:$H$102,7,FALSE)=main!$G$105,VLOOKUP(AW$1,main!$A$3:$H$102,5,FALSE)-VLOOKUP($A267,main!$A$3:$H$102,6,FALSE)&gt;=main!$D$103+VLOOKUP(VLOOKUP(AW$1,main!$A$3:$I$102,7,FALSE),main!$K$26:$Q$29,5,FALSE)),1,0)</f>
        <v>1</v>
      </c>
      <c r="AX267">
        <f>IF(AND(VLOOKUP(AX$1,main!$A$3:$H$102,7,FALSE)=main!$G$105,VLOOKUP(AX$1,main!$A$3:$H$102,5,FALSE)-VLOOKUP($A267,main!$A$3:$H$102,6,FALSE)&gt;=main!$D$103+VLOOKUP(VLOOKUP(AX$1,main!$A$3:$I$102,7,FALSE),main!$K$26:$Q$29,5,FALSE)),1,0)</f>
        <v>0</v>
      </c>
      <c r="AY267">
        <f>IF(AND(VLOOKUP(AY$1,main!$A$3:$H$102,7,FALSE)=main!$G$105,VLOOKUP(AY$1,main!$A$3:$H$102,5,FALSE)-VLOOKUP($A267,main!$A$3:$H$102,6,FALSE)&gt;=main!$D$103+VLOOKUP(VLOOKUP(AY$1,main!$A$3:$I$102,7,FALSE),main!$K$26:$Q$29,5,FALSE)),1,0)</f>
        <v>0</v>
      </c>
      <c r="AZ267">
        <f>IF(AND(VLOOKUP(AZ$1,main!$A$3:$H$102,7,FALSE)=main!$G$105,VLOOKUP(AZ$1,main!$A$3:$H$102,5,FALSE)-VLOOKUP($A267,main!$A$3:$H$102,6,FALSE)&gt;=main!$D$103+VLOOKUP(VLOOKUP(AZ$1,main!$A$3:$I$102,7,FALSE),main!$K$26:$Q$29,5,FALSE)),1,0)</f>
        <v>0</v>
      </c>
      <c r="BA267">
        <f>IF(AND(VLOOKUP(BA$1,main!$A$3:$H$102,7,FALSE)=main!$G$105,VLOOKUP(BA$1,main!$A$3:$H$102,5,FALSE)-VLOOKUP($A267,main!$A$3:$H$102,6,FALSE)&gt;=main!$D$103+VLOOKUP(VLOOKUP(BA$1,main!$A$3:$I$102,7,FALSE),main!$K$26:$Q$29,5,FALSE)),1,0)</f>
        <v>0</v>
      </c>
      <c r="BB267">
        <f>IF(AND(VLOOKUP(BB$1,main!$A$3:$H$102,7,FALSE)=main!$G$105,VLOOKUP(BB$1,main!$A$3:$H$102,5,FALSE)-VLOOKUP($A267,main!$A$3:$H$102,6,FALSE)&gt;=main!$D$103+VLOOKUP(VLOOKUP(BB$1,main!$A$3:$I$102,7,FALSE),main!$K$26:$Q$29,5,FALSE)),1,0)</f>
        <v>0</v>
      </c>
      <c r="BC267">
        <f>IF(AND(VLOOKUP(BC$1,main!$A$3:$H$102,7,FALSE)=main!$G$105,VLOOKUP(BC$1,main!$A$3:$H$102,5,FALSE)-VLOOKUP($A267,main!$A$3:$H$102,6,FALSE)&gt;=main!$D$103+VLOOKUP(VLOOKUP(BC$1,main!$A$3:$I$102,7,FALSE),main!$K$26:$Q$29,5,FALSE)),1,0)</f>
        <v>0</v>
      </c>
      <c r="BD267">
        <f>IF(AND(VLOOKUP(BD$1,main!$A$3:$H$102,7,FALSE)=main!$G$105,VLOOKUP(BD$1,main!$A$3:$H$102,5,FALSE)-VLOOKUP($A267,main!$A$3:$H$102,6,FALSE)&gt;=main!$D$103+VLOOKUP(VLOOKUP(BD$1,main!$A$3:$I$102,7,FALSE),main!$K$26:$Q$29,5,FALSE)),1,0)</f>
        <v>0</v>
      </c>
      <c r="BE267">
        <f>IF(AND(VLOOKUP(BE$1,main!$A$3:$H$102,7,FALSE)=main!$G$105,VLOOKUP(BE$1,main!$A$3:$H$102,5,FALSE)-VLOOKUP($A267,main!$A$3:$H$102,6,FALSE)&gt;=main!$D$103+VLOOKUP(VLOOKUP(BE$1,main!$A$3:$I$102,7,FALSE),main!$K$26:$Q$29,5,FALSE)),1,0)</f>
        <v>0</v>
      </c>
      <c r="BF267">
        <f>IF(AND(VLOOKUP(BF$1,main!$A$3:$H$102,7,FALSE)=main!$G$105,VLOOKUP(BF$1,main!$A$3:$H$102,5,FALSE)-VLOOKUP($A267,main!$A$3:$H$102,6,FALSE)&gt;=main!$D$103+VLOOKUP(VLOOKUP(BF$1,main!$A$3:$I$102,7,FALSE),main!$K$26:$Q$29,5,FALSE)),1,0)</f>
        <v>0</v>
      </c>
      <c r="BG267">
        <f>IF(AND(VLOOKUP(BG$1,main!$A$3:$H$102,7,FALSE)=main!$G$105,VLOOKUP(BG$1,main!$A$3:$H$102,5,FALSE)-VLOOKUP($A267,main!$A$3:$H$102,6,FALSE)&gt;=main!$D$103+VLOOKUP(VLOOKUP(BG$1,main!$A$3:$I$102,7,FALSE),main!$K$26:$Q$29,5,FALSE)),1,0)</f>
        <v>0</v>
      </c>
      <c r="BH267">
        <f>IF(AND(VLOOKUP(BH$1,main!$A$3:$H$102,7,FALSE)=main!$G$105,VLOOKUP(BH$1,main!$A$3:$H$102,5,FALSE)-VLOOKUP($A267,main!$A$3:$H$102,6,FALSE)&gt;=main!$D$103+VLOOKUP(VLOOKUP(BH$1,main!$A$3:$I$102,7,FALSE),main!$K$26:$Q$29,5,FALSE)),1,0)</f>
        <v>0</v>
      </c>
      <c r="BI267">
        <f>IF(AND(VLOOKUP(BI$1,main!$A$3:$H$102,7,FALSE)=main!$G$105,VLOOKUP(BI$1,main!$A$3:$H$102,5,FALSE)-VLOOKUP($A267,main!$A$3:$H$102,6,FALSE)&gt;=main!$D$103+VLOOKUP(VLOOKUP(BI$1,main!$A$3:$I$102,7,FALSE),main!$K$26:$Q$29,5,FALSE)),1,0)</f>
        <v>0</v>
      </c>
      <c r="BJ267">
        <f>IF(AND(VLOOKUP(BJ$1,main!$A$3:$H$102,7,FALSE)=main!$G$105,VLOOKUP(BJ$1,main!$A$3:$H$102,5,FALSE)-VLOOKUP($A267,main!$A$3:$H$102,6,FALSE)&gt;=main!$D$103+VLOOKUP(VLOOKUP(BJ$1,main!$A$3:$I$102,7,FALSE),main!$K$26:$Q$29,5,FALSE)),1,0)</f>
        <v>0</v>
      </c>
      <c r="BK267">
        <f>IF(AND(VLOOKUP(BK$1,main!$A$3:$H$102,7,FALSE)=main!$G$105,VLOOKUP(BK$1,main!$A$3:$H$102,5,FALSE)-VLOOKUP($A267,main!$A$3:$H$102,6,FALSE)&gt;=main!$D$103+VLOOKUP(VLOOKUP(BK$1,main!$A$3:$I$102,7,FALSE),main!$K$26:$Q$29,5,FALSE)),1,0)</f>
        <v>0</v>
      </c>
      <c r="BL267">
        <f>IF(AND(VLOOKUP(BL$1,main!$A$3:$H$102,7,FALSE)=main!$G$105,VLOOKUP(BL$1,main!$A$3:$H$102,5,FALSE)-VLOOKUP($A267,main!$A$3:$H$102,6,FALSE)&gt;=main!$D$103+VLOOKUP(VLOOKUP(BL$1,main!$A$3:$I$102,7,FALSE),main!$K$26:$Q$29,5,FALSE)),1,0)</f>
        <v>0</v>
      </c>
      <c r="BM267">
        <f>IF(AND(VLOOKUP(BM$1,main!$A$3:$H$102,7,FALSE)=main!$G$105,VLOOKUP(BM$1,main!$A$3:$H$102,5,FALSE)-VLOOKUP($A267,main!$A$3:$H$102,6,FALSE)&gt;=main!$D$103+VLOOKUP(VLOOKUP(BM$1,main!$A$3:$I$102,7,FALSE),main!$K$26:$Q$29,5,FALSE)),1,0)</f>
        <v>0</v>
      </c>
      <c r="BN267">
        <f>IF(AND(VLOOKUP(BN$1,main!$A$3:$H$102,7,FALSE)=main!$G$105,VLOOKUP(BN$1,main!$A$3:$H$102,5,FALSE)-VLOOKUP($A267,main!$A$3:$H$102,6,FALSE)&gt;=main!$D$103+VLOOKUP(VLOOKUP(BN$1,main!$A$3:$I$102,7,FALSE),main!$K$26:$Q$29,5,FALSE)),1,0)</f>
        <v>0</v>
      </c>
      <c r="BO267">
        <f>IF(AND(VLOOKUP(BO$1,main!$A$3:$H$102,7,FALSE)=main!$G$105,VLOOKUP(BO$1,main!$A$3:$H$102,5,FALSE)-VLOOKUP($A267,main!$A$3:$H$102,6,FALSE)&gt;=main!$D$103+VLOOKUP(VLOOKUP(BO$1,main!$A$3:$I$102,7,FALSE),main!$K$26:$Q$29,5,FALSE)),1,0)</f>
        <v>0</v>
      </c>
      <c r="BP267">
        <f>IF(AND(VLOOKUP(BP$1,main!$A$3:$H$102,7,FALSE)=main!$G$105,VLOOKUP(BP$1,main!$A$3:$H$102,5,FALSE)-VLOOKUP($A267,main!$A$3:$H$102,6,FALSE)&gt;=main!$D$103+VLOOKUP(VLOOKUP(BP$1,main!$A$3:$I$102,7,FALSE),main!$K$26:$Q$29,5,FALSE)),1,0)</f>
        <v>0</v>
      </c>
      <c r="BQ267">
        <f>IF(AND(VLOOKUP(BQ$1,main!$A$3:$H$102,7,FALSE)=main!$G$105,VLOOKUP(BQ$1,main!$A$3:$H$102,5,FALSE)-VLOOKUP($A267,main!$A$3:$H$102,6,FALSE)&gt;=main!$D$103+VLOOKUP(VLOOKUP(BQ$1,main!$A$3:$I$102,7,FALSE),main!$K$26:$Q$29,5,FALSE)),1,0)</f>
        <v>0</v>
      </c>
      <c r="BR267">
        <f>IF(AND(VLOOKUP(BR$1,main!$A$3:$H$102,7,FALSE)=main!$G$105,VLOOKUP(BR$1,main!$A$3:$H$102,5,FALSE)-VLOOKUP($A267,main!$A$3:$H$102,6,FALSE)&gt;=main!$D$103+VLOOKUP(VLOOKUP(BR$1,main!$A$3:$I$102,7,FALSE),main!$K$26:$Q$29,5,FALSE)),1,0)</f>
        <v>0</v>
      </c>
      <c r="BS267">
        <f>IF(AND(VLOOKUP(BS$1,main!$A$3:$H$102,7,FALSE)=main!$G$105,VLOOKUP(BS$1,main!$A$3:$H$102,5,FALSE)-VLOOKUP($A267,main!$A$3:$H$102,6,FALSE)&gt;=main!$D$103+VLOOKUP(VLOOKUP(BS$1,main!$A$3:$I$102,7,FALSE),main!$K$26:$Q$29,5,FALSE)),1,0)</f>
        <v>0</v>
      </c>
      <c r="BT267">
        <f>IF(AND(VLOOKUP(BT$1,main!$A$3:$H$102,7,FALSE)=main!$G$105,VLOOKUP(BT$1,main!$A$3:$H$102,5,FALSE)-VLOOKUP($A267,main!$A$3:$H$102,6,FALSE)&gt;=main!$D$103+VLOOKUP(VLOOKUP(BT$1,main!$A$3:$I$102,7,FALSE),main!$K$26:$Q$29,5,FALSE)),1,0)</f>
        <v>0</v>
      </c>
      <c r="BU267">
        <f>IF(AND(VLOOKUP(BU$1,main!$A$3:$H$102,7,FALSE)=main!$G$105,VLOOKUP(BU$1,main!$A$3:$H$102,5,FALSE)-VLOOKUP($A267,main!$A$3:$H$102,6,FALSE)&gt;=main!$D$103+VLOOKUP(VLOOKUP(BU$1,main!$A$3:$I$102,7,FALSE),main!$K$26:$Q$29,5,FALSE)),1,0)</f>
        <v>0</v>
      </c>
      <c r="BV267">
        <f>IF(AND(VLOOKUP(BV$1,main!$A$3:$H$102,7,FALSE)=main!$G$105,VLOOKUP(BV$1,main!$A$3:$H$102,5,FALSE)-VLOOKUP($A267,main!$A$3:$H$102,6,FALSE)&gt;=main!$D$103+VLOOKUP(VLOOKUP(BV$1,main!$A$3:$I$102,7,FALSE),main!$K$26:$Q$29,5,FALSE)),1,0)</f>
        <v>0</v>
      </c>
      <c r="BW267">
        <f>IF(AND(VLOOKUP(BW$1,main!$A$3:$H$102,7,FALSE)=main!$G$105,VLOOKUP(BW$1,main!$A$3:$H$102,5,FALSE)-VLOOKUP($A267,main!$A$3:$H$102,6,FALSE)&gt;=main!$D$103+VLOOKUP(VLOOKUP(BW$1,main!$A$3:$I$102,7,FALSE),main!$K$26:$Q$29,5,FALSE)),1,0)</f>
        <v>0</v>
      </c>
      <c r="BX267">
        <f>IF(AND(VLOOKUP(BX$1,main!$A$3:$H$102,7,FALSE)=main!$G$105,VLOOKUP(BX$1,main!$A$3:$H$102,5,FALSE)-VLOOKUP($A267,main!$A$3:$H$102,6,FALSE)&gt;=main!$D$103+VLOOKUP(VLOOKUP(BX$1,main!$A$3:$I$102,7,FALSE),main!$K$26:$Q$29,5,FALSE)),1,0)</f>
        <v>0</v>
      </c>
      <c r="BY267">
        <f>IF(AND(VLOOKUP(BY$1,main!$A$3:$H$102,7,FALSE)=main!$G$105,VLOOKUP(BY$1,main!$A$3:$H$102,5,FALSE)-VLOOKUP($A267,main!$A$3:$H$102,6,FALSE)&gt;=main!$D$103+VLOOKUP(VLOOKUP(BY$1,main!$A$3:$I$102,7,FALSE),main!$K$26:$Q$29,5,FALSE)),1,0)</f>
        <v>0</v>
      </c>
      <c r="BZ267">
        <f>IF(AND(VLOOKUP(BZ$1,main!$A$3:$H$102,7,FALSE)=main!$G$105,VLOOKUP(BZ$1,main!$A$3:$H$102,5,FALSE)-VLOOKUP($A267,main!$A$3:$H$102,6,FALSE)&gt;=main!$D$103+VLOOKUP(VLOOKUP(BZ$1,main!$A$3:$I$102,7,FALSE),main!$K$26:$Q$29,5,FALSE)),1,0)</f>
        <v>0</v>
      </c>
      <c r="CA267">
        <f>IF(AND(VLOOKUP(CA$1,main!$A$3:$H$102,7,FALSE)=main!$G$105,VLOOKUP(CA$1,main!$A$3:$H$102,5,FALSE)-VLOOKUP($A267,main!$A$3:$H$102,6,FALSE)&gt;=main!$D$103+VLOOKUP(VLOOKUP(CA$1,main!$A$3:$I$102,7,FALSE),main!$K$26:$Q$29,5,FALSE)),1,0)</f>
        <v>0</v>
      </c>
      <c r="CB267">
        <f>IF(AND(VLOOKUP(CB$1,main!$A$3:$H$102,7,FALSE)=main!$G$105,VLOOKUP(CB$1,main!$A$3:$H$102,5,FALSE)-VLOOKUP($A267,main!$A$3:$H$102,6,FALSE)&gt;=main!$D$103+VLOOKUP(VLOOKUP(CB$1,main!$A$3:$I$102,7,FALSE),main!$K$26:$Q$29,5,FALSE)),1,0)</f>
        <v>0</v>
      </c>
      <c r="CC267">
        <f>IF(AND(VLOOKUP(CC$1,main!$A$3:$H$102,7,FALSE)=main!$G$105,VLOOKUP(CC$1,main!$A$3:$H$102,5,FALSE)-VLOOKUP($A267,main!$A$3:$H$102,6,FALSE)&gt;=main!$D$103+VLOOKUP(VLOOKUP(CC$1,main!$A$3:$I$102,7,FALSE),main!$K$26:$Q$29,5,FALSE)),1,0)</f>
        <v>0</v>
      </c>
      <c r="CD267">
        <f>IF(AND(VLOOKUP(CD$1,main!$A$3:$H$102,7,FALSE)=main!$G$105,VLOOKUP(CD$1,main!$A$3:$H$102,5,FALSE)-VLOOKUP($A267,main!$A$3:$H$102,6,FALSE)&gt;=main!$D$103+VLOOKUP(VLOOKUP(CD$1,main!$A$3:$I$102,7,FALSE),main!$K$26:$Q$29,5,FALSE)),1,0)</f>
        <v>0</v>
      </c>
      <c r="CE267">
        <f>IF(AND(VLOOKUP(CE$1,main!$A$3:$H$102,7,FALSE)=main!$G$105,VLOOKUP(CE$1,main!$A$3:$H$102,5,FALSE)-VLOOKUP($A267,main!$A$3:$H$102,6,FALSE)&gt;=main!$D$103+VLOOKUP(VLOOKUP(CE$1,main!$A$3:$I$102,7,FALSE),main!$K$26:$Q$29,5,FALSE)),1,0)</f>
        <v>0</v>
      </c>
      <c r="CF267">
        <f>IF(AND(VLOOKUP(CF$1,main!$A$3:$H$102,7,FALSE)=main!$G$105,VLOOKUP(CF$1,main!$A$3:$H$102,5,FALSE)-VLOOKUP($A267,main!$A$3:$H$102,6,FALSE)&gt;=main!$D$103+VLOOKUP(VLOOKUP(CF$1,main!$A$3:$I$102,7,FALSE),main!$K$26:$Q$29,5,FALSE)),1,0)</f>
        <v>0</v>
      </c>
      <c r="CG267">
        <f>IF(AND(VLOOKUP(CG$1,main!$A$3:$H$102,7,FALSE)=main!$G$105,VLOOKUP(CG$1,main!$A$3:$H$102,5,FALSE)-VLOOKUP($A267,main!$A$3:$H$102,6,FALSE)&gt;=main!$D$103+VLOOKUP(VLOOKUP(CG$1,main!$A$3:$I$102,7,FALSE),main!$K$26:$Q$29,5,FALSE)),1,0)</f>
        <v>0</v>
      </c>
      <c r="CH267">
        <f>IF(AND(VLOOKUP(CH$1,main!$A$3:$H$102,7,FALSE)=main!$G$105,VLOOKUP(CH$1,main!$A$3:$H$102,5,FALSE)-VLOOKUP($A267,main!$A$3:$H$102,6,FALSE)&gt;=main!$D$103+VLOOKUP(VLOOKUP(CH$1,main!$A$3:$I$102,7,FALSE),main!$K$26:$Q$29,5,FALSE)),1,0)</f>
        <v>0</v>
      </c>
      <c r="CI267">
        <f>IF(AND(VLOOKUP(CI$1,main!$A$3:$H$102,7,FALSE)=main!$G$105,VLOOKUP(CI$1,main!$A$3:$H$102,5,FALSE)-VLOOKUP($A267,main!$A$3:$H$102,6,FALSE)&gt;=main!$D$103+VLOOKUP(VLOOKUP(CI$1,main!$A$3:$I$102,7,FALSE),main!$K$26:$Q$29,5,FALSE)),1,0)</f>
        <v>0</v>
      </c>
      <c r="CJ267">
        <f>IF(AND(VLOOKUP(CJ$1,main!$A$3:$H$102,7,FALSE)=main!$G$105,VLOOKUP(CJ$1,main!$A$3:$H$102,5,FALSE)-VLOOKUP($A267,main!$A$3:$H$102,6,FALSE)&gt;=main!$D$103+VLOOKUP(VLOOKUP(CJ$1,main!$A$3:$I$102,7,FALSE),main!$K$26:$Q$29,5,FALSE)),1,0)</f>
        <v>0</v>
      </c>
      <c r="CK267">
        <f>IF(AND(VLOOKUP(CK$1,main!$A$3:$H$102,7,FALSE)=main!$G$105,VLOOKUP(CK$1,main!$A$3:$H$102,5,FALSE)-VLOOKUP($A267,main!$A$3:$H$102,6,FALSE)&gt;=main!$D$103+VLOOKUP(VLOOKUP(CK$1,main!$A$3:$I$102,7,FALSE),main!$K$26:$Q$29,5,FALSE)),1,0)</f>
        <v>0</v>
      </c>
      <c r="CL267">
        <f>IF(AND(VLOOKUP(CL$1,main!$A$3:$H$102,7,FALSE)=main!$G$105,VLOOKUP(CL$1,main!$A$3:$H$102,5,FALSE)-VLOOKUP($A267,main!$A$3:$H$102,6,FALSE)&gt;=main!$D$103+VLOOKUP(VLOOKUP(CL$1,main!$A$3:$I$102,7,FALSE),main!$K$26:$Q$29,5,FALSE)),1,0)</f>
        <v>0</v>
      </c>
      <c r="CM267">
        <f>IF(AND(VLOOKUP(CM$1,main!$A$3:$H$102,7,FALSE)=main!$G$105,VLOOKUP(CM$1,main!$A$3:$H$102,5,FALSE)-VLOOKUP($A267,main!$A$3:$H$102,6,FALSE)&gt;=main!$D$103+VLOOKUP(VLOOKUP(CM$1,main!$A$3:$I$102,7,FALSE),main!$K$26:$Q$29,5,FALSE)),1,0)</f>
        <v>0</v>
      </c>
      <c r="CN267">
        <f>IF(AND(VLOOKUP(CN$1,main!$A$3:$H$102,7,FALSE)=main!$G$105,VLOOKUP(CN$1,main!$A$3:$H$102,5,FALSE)-VLOOKUP($A267,main!$A$3:$H$102,6,FALSE)&gt;=main!$D$103+VLOOKUP(VLOOKUP(CN$1,main!$A$3:$I$102,7,FALSE),main!$K$26:$Q$29,5,FALSE)),1,0)</f>
        <v>0</v>
      </c>
      <c r="CO267">
        <f>IF(AND(VLOOKUP(CO$1,main!$A$3:$H$102,7,FALSE)=main!$G$105,VLOOKUP(CO$1,main!$A$3:$H$102,5,FALSE)-VLOOKUP($A267,main!$A$3:$H$102,6,FALSE)&gt;=main!$D$103+VLOOKUP(VLOOKUP(CO$1,main!$A$3:$I$102,7,FALSE),main!$K$26:$Q$29,5,FALSE)),1,0)</f>
        <v>0</v>
      </c>
      <c r="CP267">
        <f>IF(AND(VLOOKUP(CP$1,main!$A$3:$H$102,7,FALSE)=main!$G$105,VLOOKUP(CP$1,main!$A$3:$H$102,5,FALSE)-VLOOKUP($A267,main!$A$3:$H$102,6,FALSE)&gt;=main!$D$103+VLOOKUP(VLOOKUP(CP$1,main!$A$3:$I$102,7,FALSE),main!$K$26:$Q$29,5,FALSE)),1,0)</f>
        <v>0</v>
      </c>
      <c r="CQ267">
        <f>IF(AND(VLOOKUP(CQ$1,main!$A$3:$H$102,7,FALSE)=main!$G$105,VLOOKUP(CQ$1,main!$A$3:$H$102,5,FALSE)-VLOOKUP($A267,main!$A$3:$H$102,6,FALSE)&gt;=main!$D$103+VLOOKUP(VLOOKUP(CQ$1,main!$A$3:$I$102,7,FALSE),main!$K$26:$Q$29,5,FALSE)),1,0)</f>
        <v>0</v>
      </c>
      <c r="CR267">
        <f>IF(AND(VLOOKUP(CR$1,main!$A$3:$H$102,7,FALSE)=main!$G$105,VLOOKUP(CR$1,main!$A$3:$H$102,5,FALSE)-VLOOKUP($A267,main!$A$3:$H$102,6,FALSE)&gt;=main!$D$103+VLOOKUP(VLOOKUP(CR$1,main!$A$3:$I$102,7,FALSE),main!$K$26:$Q$29,5,FALSE)),1,0)</f>
        <v>0</v>
      </c>
      <c r="CS267">
        <f>IF(AND(VLOOKUP(CS$1,main!$A$3:$H$102,7,FALSE)=main!$G$105,VLOOKUP(CS$1,main!$A$3:$H$102,5,FALSE)-VLOOKUP($A267,main!$A$3:$H$102,6,FALSE)&gt;=main!$D$103+VLOOKUP(VLOOKUP(CS$1,main!$A$3:$I$102,7,FALSE),main!$K$26:$Q$29,5,FALSE)),1,0)</f>
        <v>0</v>
      </c>
      <c r="CT267">
        <f>IF(AND(VLOOKUP(CT$1,main!$A$3:$H$102,7,FALSE)=main!$G$105,VLOOKUP(CT$1,main!$A$3:$H$102,5,FALSE)-VLOOKUP($A267,main!$A$3:$H$102,6,FALSE)&gt;=main!$D$103+VLOOKUP(VLOOKUP(CT$1,main!$A$3:$I$102,7,FALSE),main!$K$26:$Q$29,5,FALSE)),1,0)</f>
        <v>0</v>
      </c>
      <c r="CU267">
        <f>IF(AND(VLOOKUP(CU$1,main!$A$3:$H$102,7,FALSE)=main!$G$105,VLOOKUP(CU$1,main!$A$3:$H$102,5,FALSE)-VLOOKUP($A267,main!$A$3:$H$102,6,FALSE)&gt;=main!$D$103+VLOOKUP(VLOOKUP(CU$1,main!$A$3:$I$102,7,FALSE),main!$K$26:$Q$29,5,FALSE)),1,0)</f>
        <v>0</v>
      </c>
      <c r="CV267">
        <f>IF(AND(VLOOKUP(CV$1,main!$A$3:$H$102,7,FALSE)=main!$G$105,VLOOKUP(CV$1,main!$A$3:$H$102,5,FALSE)-VLOOKUP($A267,main!$A$3:$H$102,6,FALSE)&gt;=main!$D$103+VLOOKUP(VLOOKUP(CV$1,main!$A$3:$I$102,7,FALSE),main!$K$26:$Q$29,5,FALSE)),1,0)</f>
        <v>0</v>
      </c>
      <c r="CW267">
        <f>IF(AND(VLOOKUP(CW$1,main!$A$3:$H$102,7,FALSE)=main!$G$105,VLOOKUP(CW$1,main!$A$3:$H$102,5,FALSE)-VLOOKUP($A267,main!$A$3:$H$102,6,FALSE)&gt;=main!$D$103+VLOOKUP(VLOOKUP(CW$1,main!$A$3:$I$102,7,FALSE),main!$K$26:$Q$29,5,FALSE)),1,0)</f>
        <v>0</v>
      </c>
      <c r="CX267">
        <f>IF(AND(VLOOKUP(CX$1,main!$A$3:$H$102,7,FALSE)=main!$G$105,VLOOKUP(CX$1,main!$A$3:$H$102,5,FALSE)-VLOOKUP($A267,main!$A$3:$H$102,6,FALSE)&gt;=main!$D$103+VLOOKUP(VLOOKUP(CX$1,main!$A$3:$I$102,7,FALSE),main!$K$26:$Q$29,5,FALSE)),1,0)</f>
        <v>0</v>
      </c>
    </row>
    <row r="268" spans="1:102" x14ac:dyDescent="0.25">
      <c r="A268" s="1">
        <v>64</v>
      </c>
      <c r="B268">
        <v>0</v>
      </c>
      <c r="C268">
        <f>IF(AND(VLOOKUP(C$1,main!$A$3:$H$102,7,FALSE)=main!$G$105,VLOOKUP(C$1,main!$A$3:$H$102,5,FALSE)-VLOOKUP($A268,main!$A$3:$H$102,6,FALSE)&gt;=main!$D$103+VLOOKUP(VLOOKUP(C$1,main!$A$3:$I$102,7,FALSE),main!$K$26:$Q$29,5,FALSE)),1,0)</f>
        <v>0</v>
      </c>
      <c r="D268">
        <f>IF(AND(VLOOKUP(D$1,main!$A$3:$H$102,7,FALSE)=main!$G$105,VLOOKUP(D$1,main!$A$3:$H$102,5,FALSE)-VLOOKUP($A268,main!$A$3:$H$102,6,FALSE)&gt;=main!$D$103+VLOOKUP(VLOOKUP(D$1,main!$A$3:$I$102,7,FALSE),main!$K$26:$Q$29,5,FALSE)),1,0)</f>
        <v>0</v>
      </c>
      <c r="E268">
        <f>IF(AND(VLOOKUP(E$1,main!$A$3:$H$102,7,FALSE)=main!$G$105,VLOOKUP(E$1,main!$A$3:$H$102,5,FALSE)-VLOOKUP($A268,main!$A$3:$H$102,6,FALSE)&gt;=main!$D$103+VLOOKUP(VLOOKUP(E$1,main!$A$3:$I$102,7,FALSE),main!$K$26:$Q$29,5,FALSE)),1,0)</f>
        <v>0</v>
      </c>
      <c r="F268">
        <f>IF(AND(VLOOKUP(F$1,main!$A$3:$H$102,7,FALSE)=main!$G$105,VLOOKUP(F$1,main!$A$3:$H$102,5,FALSE)-VLOOKUP($A268,main!$A$3:$H$102,6,FALSE)&gt;=main!$D$103+VLOOKUP(VLOOKUP(F$1,main!$A$3:$I$102,7,FALSE),main!$K$26:$Q$29,5,FALSE)),1,0)</f>
        <v>0</v>
      </c>
      <c r="G268">
        <f>IF(AND(VLOOKUP(G$1,main!$A$3:$H$102,7,FALSE)=main!$G$105,VLOOKUP(G$1,main!$A$3:$H$102,5,FALSE)-VLOOKUP($A268,main!$A$3:$H$102,6,FALSE)&gt;=main!$D$103+VLOOKUP(VLOOKUP(G$1,main!$A$3:$I$102,7,FALSE),main!$K$26:$Q$29,5,FALSE)),1,0)</f>
        <v>0</v>
      </c>
      <c r="H268">
        <f>IF(AND(VLOOKUP(H$1,main!$A$3:$H$102,7,FALSE)=main!$G$105,VLOOKUP(H$1,main!$A$3:$H$102,5,FALSE)-VLOOKUP($A268,main!$A$3:$H$102,6,FALSE)&gt;=main!$D$103+VLOOKUP(VLOOKUP(H$1,main!$A$3:$I$102,7,FALSE),main!$K$26:$Q$29,5,FALSE)),1,0)</f>
        <v>0</v>
      </c>
      <c r="I268">
        <f>IF(AND(VLOOKUP(I$1,main!$A$3:$H$102,7,FALSE)=main!$G$105,VLOOKUP(I$1,main!$A$3:$H$102,5,FALSE)-VLOOKUP($A268,main!$A$3:$H$102,6,FALSE)&gt;=main!$D$103+VLOOKUP(VLOOKUP(I$1,main!$A$3:$I$102,7,FALSE),main!$K$26:$Q$29,5,FALSE)),1,0)</f>
        <v>0</v>
      </c>
      <c r="J268">
        <f>IF(AND(VLOOKUP(J$1,main!$A$3:$H$102,7,FALSE)=main!$G$105,VLOOKUP(J$1,main!$A$3:$H$102,5,FALSE)-VLOOKUP($A268,main!$A$3:$H$102,6,FALSE)&gt;=main!$D$103+VLOOKUP(VLOOKUP(J$1,main!$A$3:$I$102,7,FALSE),main!$K$26:$Q$29,5,FALSE)),1,0)</f>
        <v>0</v>
      </c>
      <c r="K268">
        <f>IF(AND(VLOOKUP(K$1,main!$A$3:$H$102,7,FALSE)=main!$G$105,VLOOKUP(K$1,main!$A$3:$H$102,5,FALSE)-VLOOKUP($A268,main!$A$3:$H$102,6,FALSE)&gt;=main!$D$103+VLOOKUP(VLOOKUP(K$1,main!$A$3:$I$102,7,FALSE),main!$K$26:$Q$29,5,FALSE)),1,0)</f>
        <v>0</v>
      </c>
      <c r="L268">
        <f>IF(AND(VLOOKUP(L$1,main!$A$3:$H$102,7,FALSE)=main!$G$105,VLOOKUP(L$1,main!$A$3:$H$102,5,FALSE)-VLOOKUP($A268,main!$A$3:$H$102,6,FALSE)&gt;=main!$D$103+VLOOKUP(VLOOKUP(L$1,main!$A$3:$I$102,7,FALSE),main!$K$26:$Q$29,5,FALSE)),1,0)</f>
        <v>0</v>
      </c>
      <c r="M268">
        <f>IF(AND(VLOOKUP(M$1,main!$A$3:$H$102,7,FALSE)=main!$G$105,VLOOKUP(M$1,main!$A$3:$H$102,5,FALSE)-VLOOKUP($A268,main!$A$3:$H$102,6,FALSE)&gt;=main!$D$103+VLOOKUP(VLOOKUP(M$1,main!$A$3:$I$102,7,FALSE),main!$K$26:$Q$29,5,FALSE)),1,0)</f>
        <v>0</v>
      </c>
      <c r="N268">
        <f>IF(AND(VLOOKUP(N$1,main!$A$3:$H$102,7,FALSE)=main!$G$105,VLOOKUP(N$1,main!$A$3:$H$102,5,FALSE)-VLOOKUP($A268,main!$A$3:$H$102,6,FALSE)&gt;=main!$D$103+VLOOKUP(VLOOKUP(N$1,main!$A$3:$I$102,7,FALSE),main!$K$26:$Q$29,5,FALSE)),1,0)</f>
        <v>0</v>
      </c>
      <c r="O268">
        <f>IF(AND(VLOOKUP(O$1,main!$A$3:$H$102,7,FALSE)=main!$G$105,VLOOKUP(O$1,main!$A$3:$H$102,5,FALSE)-VLOOKUP($A268,main!$A$3:$H$102,6,FALSE)&gt;=main!$D$103+VLOOKUP(VLOOKUP(O$1,main!$A$3:$I$102,7,FALSE),main!$K$26:$Q$29,5,FALSE)),1,0)</f>
        <v>0</v>
      </c>
      <c r="P268">
        <f>IF(AND(VLOOKUP(P$1,main!$A$3:$H$102,7,FALSE)=main!$G$105,VLOOKUP(P$1,main!$A$3:$H$102,5,FALSE)-VLOOKUP($A268,main!$A$3:$H$102,6,FALSE)&gt;=main!$D$103+VLOOKUP(VLOOKUP(P$1,main!$A$3:$I$102,7,FALSE),main!$K$26:$Q$29,5,FALSE)),1,0)</f>
        <v>0</v>
      </c>
      <c r="Q268">
        <f>IF(AND(VLOOKUP(Q$1,main!$A$3:$H$102,7,FALSE)=main!$G$105,VLOOKUP(Q$1,main!$A$3:$H$102,5,FALSE)-VLOOKUP($A268,main!$A$3:$H$102,6,FALSE)&gt;=main!$D$103+VLOOKUP(VLOOKUP(Q$1,main!$A$3:$I$102,7,FALSE),main!$K$26:$Q$29,5,FALSE)),1,0)</f>
        <v>0</v>
      </c>
      <c r="R268">
        <f>IF(AND(VLOOKUP(R$1,main!$A$3:$H$102,7,FALSE)=main!$G$105,VLOOKUP(R$1,main!$A$3:$H$102,5,FALSE)-VLOOKUP($A268,main!$A$3:$H$102,6,FALSE)&gt;=main!$D$103+VLOOKUP(VLOOKUP(R$1,main!$A$3:$I$102,7,FALSE),main!$K$26:$Q$29,5,FALSE)),1,0)</f>
        <v>0</v>
      </c>
      <c r="S268">
        <f>IF(AND(VLOOKUP(S$1,main!$A$3:$H$102,7,FALSE)=main!$G$105,VLOOKUP(S$1,main!$A$3:$H$102,5,FALSE)-VLOOKUP($A268,main!$A$3:$H$102,6,FALSE)&gt;=main!$D$103+VLOOKUP(VLOOKUP(S$1,main!$A$3:$I$102,7,FALSE),main!$K$26:$Q$29,5,FALSE)),1,0)</f>
        <v>0</v>
      </c>
      <c r="T268">
        <f>IF(AND(VLOOKUP(T$1,main!$A$3:$H$102,7,FALSE)=main!$G$105,VLOOKUP(T$1,main!$A$3:$H$102,5,FALSE)-VLOOKUP($A268,main!$A$3:$H$102,6,FALSE)&gt;=main!$D$103+VLOOKUP(VLOOKUP(T$1,main!$A$3:$I$102,7,FALSE),main!$K$26:$Q$29,5,FALSE)),1,0)</f>
        <v>0</v>
      </c>
      <c r="U268">
        <f>IF(AND(VLOOKUP(U$1,main!$A$3:$H$102,7,FALSE)=main!$G$105,VLOOKUP(U$1,main!$A$3:$H$102,5,FALSE)-VLOOKUP($A268,main!$A$3:$H$102,6,FALSE)&gt;=main!$D$103+VLOOKUP(VLOOKUP(U$1,main!$A$3:$I$102,7,FALSE),main!$K$26:$Q$29,5,FALSE)),1,0)</f>
        <v>0</v>
      </c>
      <c r="V268">
        <f>IF(AND(VLOOKUP(V$1,main!$A$3:$H$102,7,FALSE)=main!$G$105,VLOOKUP(V$1,main!$A$3:$H$102,5,FALSE)-VLOOKUP($A268,main!$A$3:$H$102,6,FALSE)&gt;=main!$D$103+VLOOKUP(VLOOKUP(V$1,main!$A$3:$I$102,7,FALSE),main!$K$26:$Q$29,5,FALSE)),1,0)</f>
        <v>0</v>
      </c>
      <c r="W268">
        <f>IF(AND(VLOOKUP(W$1,main!$A$3:$H$102,7,FALSE)=main!$G$105,VLOOKUP(W$1,main!$A$3:$H$102,5,FALSE)-VLOOKUP($A268,main!$A$3:$H$102,6,FALSE)&gt;=main!$D$103+VLOOKUP(VLOOKUP(W$1,main!$A$3:$I$102,7,FALSE),main!$K$26:$Q$29,5,FALSE)),1,0)</f>
        <v>0</v>
      </c>
      <c r="X268">
        <f>IF(AND(VLOOKUP(X$1,main!$A$3:$H$102,7,FALSE)=main!$G$105,VLOOKUP(X$1,main!$A$3:$H$102,5,FALSE)-VLOOKUP($A268,main!$A$3:$H$102,6,FALSE)&gt;=main!$D$103+VLOOKUP(VLOOKUP(X$1,main!$A$3:$I$102,7,FALSE),main!$K$26:$Q$29,5,FALSE)),1,0)</f>
        <v>0</v>
      </c>
      <c r="Y268">
        <f>IF(AND(VLOOKUP(Y$1,main!$A$3:$H$102,7,FALSE)=main!$G$105,VLOOKUP(Y$1,main!$A$3:$H$102,5,FALSE)-VLOOKUP($A268,main!$A$3:$H$102,6,FALSE)&gt;=main!$D$103+VLOOKUP(VLOOKUP(Y$1,main!$A$3:$I$102,7,FALSE),main!$K$26:$Q$29,5,FALSE)),1,0)</f>
        <v>0</v>
      </c>
      <c r="Z268">
        <f>IF(AND(VLOOKUP(Z$1,main!$A$3:$H$102,7,FALSE)=main!$G$105,VLOOKUP(Z$1,main!$A$3:$H$102,5,FALSE)-VLOOKUP($A268,main!$A$3:$H$102,6,FALSE)&gt;=main!$D$103+VLOOKUP(VLOOKUP(Z$1,main!$A$3:$I$102,7,FALSE),main!$K$26:$Q$29,5,FALSE)),1,0)</f>
        <v>0</v>
      </c>
      <c r="AA268">
        <f>IF(AND(VLOOKUP(AA$1,main!$A$3:$H$102,7,FALSE)=main!$G$105,VLOOKUP(AA$1,main!$A$3:$H$102,5,FALSE)-VLOOKUP($A268,main!$A$3:$H$102,6,FALSE)&gt;=main!$D$103+VLOOKUP(VLOOKUP(AA$1,main!$A$3:$I$102,7,FALSE),main!$K$26:$Q$29,5,FALSE)),1,0)</f>
        <v>0</v>
      </c>
      <c r="AB268">
        <f>IF(AND(VLOOKUP(AB$1,main!$A$3:$H$102,7,FALSE)=main!$G$105,VLOOKUP(AB$1,main!$A$3:$H$102,5,FALSE)-VLOOKUP($A268,main!$A$3:$H$102,6,FALSE)&gt;=main!$D$103+VLOOKUP(VLOOKUP(AB$1,main!$A$3:$I$102,7,FALSE),main!$K$26:$Q$29,5,FALSE)),1,0)</f>
        <v>0</v>
      </c>
      <c r="AC268">
        <f>IF(AND(VLOOKUP(AC$1,main!$A$3:$H$102,7,FALSE)=main!$G$105,VLOOKUP(AC$1,main!$A$3:$H$102,5,FALSE)-VLOOKUP($A268,main!$A$3:$H$102,6,FALSE)&gt;=main!$D$103+VLOOKUP(VLOOKUP(AC$1,main!$A$3:$I$102,7,FALSE),main!$K$26:$Q$29,5,FALSE)),1,0)</f>
        <v>0</v>
      </c>
      <c r="AD268">
        <f>IF(AND(VLOOKUP(AD$1,main!$A$3:$H$102,7,FALSE)=main!$G$105,VLOOKUP(AD$1,main!$A$3:$H$102,5,FALSE)-VLOOKUP($A268,main!$A$3:$H$102,6,FALSE)&gt;=main!$D$103+VLOOKUP(VLOOKUP(AD$1,main!$A$3:$I$102,7,FALSE),main!$K$26:$Q$29,5,FALSE)),1,0)</f>
        <v>0</v>
      </c>
      <c r="AE268">
        <f>IF(AND(VLOOKUP(AE$1,main!$A$3:$H$102,7,FALSE)=main!$G$105,VLOOKUP(AE$1,main!$A$3:$H$102,5,FALSE)-VLOOKUP($A268,main!$A$3:$H$102,6,FALSE)&gt;=main!$D$103+VLOOKUP(VLOOKUP(AE$1,main!$A$3:$I$102,7,FALSE),main!$K$26:$Q$29,5,FALSE)),1,0)</f>
        <v>0</v>
      </c>
      <c r="AF268">
        <f>IF(AND(VLOOKUP(AF$1,main!$A$3:$H$102,7,FALSE)=main!$G$105,VLOOKUP(AF$1,main!$A$3:$H$102,5,FALSE)-VLOOKUP($A268,main!$A$3:$H$102,6,FALSE)&gt;=main!$D$103+VLOOKUP(VLOOKUP(AF$1,main!$A$3:$I$102,7,FALSE),main!$K$26:$Q$29,5,FALSE)),1,0)</f>
        <v>0</v>
      </c>
      <c r="AG268">
        <f>IF(AND(VLOOKUP(AG$1,main!$A$3:$H$102,7,FALSE)=main!$G$105,VLOOKUP(AG$1,main!$A$3:$H$102,5,FALSE)-VLOOKUP($A268,main!$A$3:$H$102,6,FALSE)&gt;=main!$D$103+VLOOKUP(VLOOKUP(AG$1,main!$A$3:$I$102,7,FALSE),main!$K$26:$Q$29,5,FALSE)),1,0)</f>
        <v>0</v>
      </c>
      <c r="AH268">
        <f>IF(AND(VLOOKUP(AH$1,main!$A$3:$H$102,7,FALSE)=main!$G$105,VLOOKUP(AH$1,main!$A$3:$H$102,5,FALSE)-VLOOKUP($A268,main!$A$3:$H$102,6,FALSE)&gt;=main!$D$103+VLOOKUP(VLOOKUP(AH$1,main!$A$3:$I$102,7,FALSE),main!$K$26:$Q$29,5,FALSE)),1,0)</f>
        <v>0</v>
      </c>
      <c r="AI268">
        <f>IF(AND(VLOOKUP(AI$1,main!$A$3:$H$102,7,FALSE)=main!$G$105,VLOOKUP(AI$1,main!$A$3:$H$102,5,FALSE)-VLOOKUP($A268,main!$A$3:$H$102,6,FALSE)&gt;=main!$D$103+VLOOKUP(VLOOKUP(AI$1,main!$A$3:$I$102,7,FALSE),main!$K$26:$Q$29,5,FALSE)),1,0)</f>
        <v>0</v>
      </c>
      <c r="AJ268">
        <f>IF(AND(VLOOKUP(AJ$1,main!$A$3:$H$102,7,FALSE)=main!$G$105,VLOOKUP(AJ$1,main!$A$3:$H$102,5,FALSE)-VLOOKUP($A268,main!$A$3:$H$102,6,FALSE)&gt;=main!$D$103+VLOOKUP(VLOOKUP(AJ$1,main!$A$3:$I$102,7,FALSE),main!$K$26:$Q$29,5,FALSE)),1,0)</f>
        <v>0</v>
      </c>
      <c r="AK268">
        <f>IF(AND(VLOOKUP(AK$1,main!$A$3:$H$102,7,FALSE)=main!$G$105,VLOOKUP(AK$1,main!$A$3:$H$102,5,FALSE)-VLOOKUP($A268,main!$A$3:$H$102,6,FALSE)&gt;=main!$D$103+VLOOKUP(VLOOKUP(AK$1,main!$A$3:$I$102,7,FALSE),main!$K$26:$Q$29,5,FALSE)),1,0)</f>
        <v>0</v>
      </c>
      <c r="AL268">
        <f>IF(AND(VLOOKUP(AL$1,main!$A$3:$H$102,7,FALSE)=main!$G$105,VLOOKUP(AL$1,main!$A$3:$H$102,5,FALSE)-VLOOKUP($A268,main!$A$3:$H$102,6,FALSE)&gt;=main!$D$103+VLOOKUP(VLOOKUP(AL$1,main!$A$3:$I$102,7,FALSE),main!$K$26:$Q$29,5,FALSE)),1,0)</f>
        <v>0</v>
      </c>
      <c r="AM268">
        <f>IF(AND(VLOOKUP(AM$1,main!$A$3:$H$102,7,FALSE)=main!$G$105,VLOOKUP(AM$1,main!$A$3:$H$102,5,FALSE)-VLOOKUP($A268,main!$A$3:$H$102,6,FALSE)&gt;=main!$D$103+VLOOKUP(VLOOKUP(AM$1,main!$A$3:$I$102,7,FALSE),main!$K$26:$Q$29,5,FALSE)),1,0)</f>
        <v>1</v>
      </c>
      <c r="AN268">
        <f>IF(AND(VLOOKUP(AN$1,main!$A$3:$H$102,7,FALSE)=main!$G$105,VLOOKUP(AN$1,main!$A$3:$H$102,5,FALSE)-VLOOKUP($A268,main!$A$3:$H$102,6,FALSE)&gt;=main!$D$103+VLOOKUP(VLOOKUP(AN$1,main!$A$3:$I$102,7,FALSE),main!$K$26:$Q$29,5,FALSE)),1,0)</f>
        <v>1</v>
      </c>
      <c r="AO268">
        <f>IF(AND(VLOOKUP(AO$1,main!$A$3:$H$102,7,FALSE)=main!$G$105,VLOOKUP(AO$1,main!$A$3:$H$102,5,FALSE)-VLOOKUP($A268,main!$A$3:$H$102,6,FALSE)&gt;=main!$D$103+VLOOKUP(VLOOKUP(AO$1,main!$A$3:$I$102,7,FALSE),main!$K$26:$Q$29,5,FALSE)),1,0)</f>
        <v>0</v>
      </c>
      <c r="AP268">
        <f>IF(AND(VLOOKUP(AP$1,main!$A$3:$H$102,7,FALSE)=main!$G$105,VLOOKUP(AP$1,main!$A$3:$H$102,5,FALSE)-VLOOKUP($A268,main!$A$3:$H$102,6,FALSE)&gt;=main!$D$103+VLOOKUP(VLOOKUP(AP$1,main!$A$3:$I$102,7,FALSE),main!$K$26:$Q$29,5,FALSE)),1,0)</f>
        <v>1</v>
      </c>
      <c r="AQ268">
        <f>IF(AND(VLOOKUP(AQ$1,main!$A$3:$H$102,7,FALSE)=main!$G$105,VLOOKUP(AQ$1,main!$A$3:$H$102,5,FALSE)-VLOOKUP($A268,main!$A$3:$H$102,6,FALSE)&gt;=main!$D$103+VLOOKUP(VLOOKUP(AQ$1,main!$A$3:$I$102,7,FALSE),main!$K$26:$Q$29,5,FALSE)),1,0)</f>
        <v>0</v>
      </c>
      <c r="AR268">
        <f>IF(AND(VLOOKUP(AR$1,main!$A$3:$H$102,7,FALSE)=main!$G$105,VLOOKUP(AR$1,main!$A$3:$H$102,5,FALSE)-VLOOKUP($A268,main!$A$3:$H$102,6,FALSE)&gt;=main!$D$103+VLOOKUP(VLOOKUP(AR$1,main!$A$3:$I$102,7,FALSE),main!$K$26:$Q$29,5,FALSE)),1,0)</f>
        <v>0</v>
      </c>
      <c r="AS268">
        <f>IF(AND(VLOOKUP(AS$1,main!$A$3:$H$102,7,FALSE)=main!$G$105,VLOOKUP(AS$1,main!$A$3:$H$102,5,FALSE)-VLOOKUP($A268,main!$A$3:$H$102,6,FALSE)&gt;=main!$D$103+VLOOKUP(VLOOKUP(AS$1,main!$A$3:$I$102,7,FALSE),main!$K$26:$Q$29,5,FALSE)),1,0)</f>
        <v>0</v>
      </c>
      <c r="AT268">
        <f>IF(AND(VLOOKUP(AT$1,main!$A$3:$H$102,7,FALSE)=main!$G$105,VLOOKUP(AT$1,main!$A$3:$H$102,5,FALSE)-VLOOKUP($A268,main!$A$3:$H$102,6,FALSE)&gt;=main!$D$103+VLOOKUP(VLOOKUP(AT$1,main!$A$3:$I$102,7,FALSE),main!$K$26:$Q$29,5,FALSE)),1,0)</f>
        <v>0</v>
      </c>
      <c r="AU268">
        <f>IF(AND(VLOOKUP(AU$1,main!$A$3:$H$102,7,FALSE)=main!$G$105,VLOOKUP(AU$1,main!$A$3:$H$102,5,FALSE)-VLOOKUP($A268,main!$A$3:$H$102,6,FALSE)&gt;=main!$D$103+VLOOKUP(VLOOKUP(AU$1,main!$A$3:$I$102,7,FALSE),main!$K$26:$Q$29,5,FALSE)),1,0)</f>
        <v>0</v>
      </c>
      <c r="AV268">
        <f>IF(AND(VLOOKUP(AV$1,main!$A$3:$H$102,7,FALSE)=main!$G$105,VLOOKUP(AV$1,main!$A$3:$H$102,5,FALSE)-VLOOKUP($A268,main!$A$3:$H$102,6,FALSE)&gt;=main!$D$103+VLOOKUP(VLOOKUP(AV$1,main!$A$3:$I$102,7,FALSE),main!$K$26:$Q$29,5,FALSE)),1,0)</f>
        <v>0</v>
      </c>
      <c r="AW268">
        <f>IF(AND(VLOOKUP(AW$1,main!$A$3:$H$102,7,FALSE)=main!$G$105,VLOOKUP(AW$1,main!$A$3:$H$102,5,FALSE)-VLOOKUP($A268,main!$A$3:$H$102,6,FALSE)&gt;=main!$D$103+VLOOKUP(VLOOKUP(AW$1,main!$A$3:$I$102,7,FALSE),main!$K$26:$Q$29,5,FALSE)),1,0)</f>
        <v>0</v>
      </c>
      <c r="AX268">
        <f>IF(AND(VLOOKUP(AX$1,main!$A$3:$H$102,7,FALSE)=main!$G$105,VLOOKUP(AX$1,main!$A$3:$H$102,5,FALSE)-VLOOKUP($A268,main!$A$3:$H$102,6,FALSE)&gt;=main!$D$103+VLOOKUP(VLOOKUP(AX$1,main!$A$3:$I$102,7,FALSE),main!$K$26:$Q$29,5,FALSE)),1,0)</f>
        <v>0</v>
      </c>
      <c r="AY268">
        <f>IF(AND(VLOOKUP(AY$1,main!$A$3:$H$102,7,FALSE)=main!$G$105,VLOOKUP(AY$1,main!$A$3:$H$102,5,FALSE)-VLOOKUP($A268,main!$A$3:$H$102,6,FALSE)&gt;=main!$D$103+VLOOKUP(VLOOKUP(AY$1,main!$A$3:$I$102,7,FALSE),main!$K$26:$Q$29,5,FALSE)),1,0)</f>
        <v>0</v>
      </c>
      <c r="AZ268">
        <f>IF(AND(VLOOKUP(AZ$1,main!$A$3:$H$102,7,FALSE)=main!$G$105,VLOOKUP(AZ$1,main!$A$3:$H$102,5,FALSE)-VLOOKUP($A268,main!$A$3:$H$102,6,FALSE)&gt;=main!$D$103+VLOOKUP(VLOOKUP(AZ$1,main!$A$3:$I$102,7,FALSE),main!$K$26:$Q$29,5,FALSE)),1,0)</f>
        <v>0</v>
      </c>
      <c r="BA268">
        <f>IF(AND(VLOOKUP(BA$1,main!$A$3:$H$102,7,FALSE)=main!$G$105,VLOOKUP(BA$1,main!$A$3:$H$102,5,FALSE)-VLOOKUP($A268,main!$A$3:$H$102,6,FALSE)&gt;=main!$D$103+VLOOKUP(VLOOKUP(BA$1,main!$A$3:$I$102,7,FALSE),main!$K$26:$Q$29,5,FALSE)),1,0)</f>
        <v>0</v>
      </c>
      <c r="BB268">
        <f>IF(AND(VLOOKUP(BB$1,main!$A$3:$H$102,7,FALSE)=main!$G$105,VLOOKUP(BB$1,main!$A$3:$H$102,5,FALSE)-VLOOKUP($A268,main!$A$3:$H$102,6,FALSE)&gt;=main!$D$103+VLOOKUP(VLOOKUP(BB$1,main!$A$3:$I$102,7,FALSE),main!$K$26:$Q$29,5,FALSE)),1,0)</f>
        <v>0</v>
      </c>
      <c r="BC268">
        <f>IF(AND(VLOOKUP(BC$1,main!$A$3:$H$102,7,FALSE)=main!$G$105,VLOOKUP(BC$1,main!$A$3:$H$102,5,FALSE)-VLOOKUP($A268,main!$A$3:$H$102,6,FALSE)&gt;=main!$D$103+VLOOKUP(VLOOKUP(BC$1,main!$A$3:$I$102,7,FALSE),main!$K$26:$Q$29,5,FALSE)),1,0)</f>
        <v>0</v>
      </c>
      <c r="BD268">
        <f>IF(AND(VLOOKUP(BD$1,main!$A$3:$H$102,7,FALSE)=main!$G$105,VLOOKUP(BD$1,main!$A$3:$H$102,5,FALSE)-VLOOKUP($A268,main!$A$3:$H$102,6,FALSE)&gt;=main!$D$103+VLOOKUP(VLOOKUP(BD$1,main!$A$3:$I$102,7,FALSE),main!$K$26:$Q$29,5,FALSE)),1,0)</f>
        <v>0</v>
      </c>
      <c r="BE268">
        <f>IF(AND(VLOOKUP(BE$1,main!$A$3:$H$102,7,FALSE)=main!$G$105,VLOOKUP(BE$1,main!$A$3:$H$102,5,FALSE)-VLOOKUP($A268,main!$A$3:$H$102,6,FALSE)&gt;=main!$D$103+VLOOKUP(VLOOKUP(BE$1,main!$A$3:$I$102,7,FALSE),main!$K$26:$Q$29,5,FALSE)),1,0)</f>
        <v>0</v>
      </c>
      <c r="BF268">
        <f>IF(AND(VLOOKUP(BF$1,main!$A$3:$H$102,7,FALSE)=main!$G$105,VLOOKUP(BF$1,main!$A$3:$H$102,5,FALSE)-VLOOKUP($A268,main!$A$3:$H$102,6,FALSE)&gt;=main!$D$103+VLOOKUP(VLOOKUP(BF$1,main!$A$3:$I$102,7,FALSE),main!$K$26:$Q$29,5,FALSE)),1,0)</f>
        <v>0</v>
      </c>
      <c r="BG268">
        <f>IF(AND(VLOOKUP(BG$1,main!$A$3:$H$102,7,FALSE)=main!$G$105,VLOOKUP(BG$1,main!$A$3:$H$102,5,FALSE)-VLOOKUP($A268,main!$A$3:$H$102,6,FALSE)&gt;=main!$D$103+VLOOKUP(VLOOKUP(BG$1,main!$A$3:$I$102,7,FALSE),main!$K$26:$Q$29,5,FALSE)),1,0)</f>
        <v>0</v>
      </c>
      <c r="BH268">
        <f>IF(AND(VLOOKUP(BH$1,main!$A$3:$H$102,7,FALSE)=main!$G$105,VLOOKUP(BH$1,main!$A$3:$H$102,5,FALSE)-VLOOKUP($A268,main!$A$3:$H$102,6,FALSE)&gt;=main!$D$103+VLOOKUP(VLOOKUP(BH$1,main!$A$3:$I$102,7,FALSE),main!$K$26:$Q$29,5,FALSE)),1,0)</f>
        <v>0</v>
      </c>
      <c r="BI268">
        <f>IF(AND(VLOOKUP(BI$1,main!$A$3:$H$102,7,FALSE)=main!$G$105,VLOOKUP(BI$1,main!$A$3:$H$102,5,FALSE)-VLOOKUP($A268,main!$A$3:$H$102,6,FALSE)&gt;=main!$D$103+VLOOKUP(VLOOKUP(BI$1,main!$A$3:$I$102,7,FALSE),main!$K$26:$Q$29,5,FALSE)),1,0)</f>
        <v>0</v>
      </c>
      <c r="BJ268">
        <f>IF(AND(VLOOKUP(BJ$1,main!$A$3:$H$102,7,FALSE)=main!$G$105,VLOOKUP(BJ$1,main!$A$3:$H$102,5,FALSE)-VLOOKUP($A268,main!$A$3:$H$102,6,FALSE)&gt;=main!$D$103+VLOOKUP(VLOOKUP(BJ$1,main!$A$3:$I$102,7,FALSE),main!$K$26:$Q$29,5,FALSE)),1,0)</f>
        <v>0</v>
      </c>
      <c r="BK268">
        <f>IF(AND(VLOOKUP(BK$1,main!$A$3:$H$102,7,FALSE)=main!$G$105,VLOOKUP(BK$1,main!$A$3:$H$102,5,FALSE)-VLOOKUP($A268,main!$A$3:$H$102,6,FALSE)&gt;=main!$D$103+VLOOKUP(VLOOKUP(BK$1,main!$A$3:$I$102,7,FALSE),main!$K$26:$Q$29,5,FALSE)),1,0)</f>
        <v>0</v>
      </c>
      <c r="BL268">
        <f>IF(AND(VLOOKUP(BL$1,main!$A$3:$H$102,7,FALSE)=main!$G$105,VLOOKUP(BL$1,main!$A$3:$H$102,5,FALSE)-VLOOKUP($A268,main!$A$3:$H$102,6,FALSE)&gt;=main!$D$103+VLOOKUP(VLOOKUP(BL$1,main!$A$3:$I$102,7,FALSE),main!$K$26:$Q$29,5,FALSE)),1,0)</f>
        <v>0</v>
      </c>
      <c r="BM268">
        <f>IF(AND(VLOOKUP(BM$1,main!$A$3:$H$102,7,FALSE)=main!$G$105,VLOOKUP(BM$1,main!$A$3:$H$102,5,FALSE)-VLOOKUP($A268,main!$A$3:$H$102,6,FALSE)&gt;=main!$D$103+VLOOKUP(VLOOKUP(BM$1,main!$A$3:$I$102,7,FALSE),main!$K$26:$Q$29,5,FALSE)),1,0)</f>
        <v>0</v>
      </c>
      <c r="BN268">
        <f>IF(AND(VLOOKUP(BN$1,main!$A$3:$H$102,7,FALSE)=main!$G$105,VLOOKUP(BN$1,main!$A$3:$H$102,5,FALSE)-VLOOKUP($A268,main!$A$3:$H$102,6,FALSE)&gt;=main!$D$103+VLOOKUP(VLOOKUP(BN$1,main!$A$3:$I$102,7,FALSE),main!$K$26:$Q$29,5,FALSE)),1,0)</f>
        <v>0</v>
      </c>
      <c r="BO268">
        <f>IF(AND(VLOOKUP(BO$1,main!$A$3:$H$102,7,FALSE)=main!$G$105,VLOOKUP(BO$1,main!$A$3:$H$102,5,FALSE)-VLOOKUP($A268,main!$A$3:$H$102,6,FALSE)&gt;=main!$D$103+VLOOKUP(VLOOKUP(BO$1,main!$A$3:$I$102,7,FALSE),main!$K$26:$Q$29,5,FALSE)),1,0)</f>
        <v>0</v>
      </c>
      <c r="BP268">
        <f>IF(AND(VLOOKUP(BP$1,main!$A$3:$H$102,7,FALSE)=main!$G$105,VLOOKUP(BP$1,main!$A$3:$H$102,5,FALSE)-VLOOKUP($A268,main!$A$3:$H$102,6,FALSE)&gt;=main!$D$103+VLOOKUP(VLOOKUP(BP$1,main!$A$3:$I$102,7,FALSE),main!$K$26:$Q$29,5,FALSE)),1,0)</f>
        <v>0</v>
      </c>
      <c r="BQ268">
        <f>IF(AND(VLOOKUP(BQ$1,main!$A$3:$H$102,7,FALSE)=main!$G$105,VLOOKUP(BQ$1,main!$A$3:$H$102,5,FALSE)-VLOOKUP($A268,main!$A$3:$H$102,6,FALSE)&gt;=main!$D$103+VLOOKUP(VLOOKUP(BQ$1,main!$A$3:$I$102,7,FALSE),main!$K$26:$Q$29,5,FALSE)),1,0)</f>
        <v>0</v>
      </c>
      <c r="BR268">
        <f>IF(AND(VLOOKUP(BR$1,main!$A$3:$H$102,7,FALSE)=main!$G$105,VLOOKUP(BR$1,main!$A$3:$H$102,5,FALSE)-VLOOKUP($A268,main!$A$3:$H$102,6,FALSE)&gt;=main!$D$103+VLOOKUP(VLOOKUP(BR$1,main!$A$3:$I$102,7,FALSE),main!$K$26:$Q$29,5,FALSE)),1,0)</f>
        <v>0</v>
      </c>
      <c r="BS268">
        <f>IF(AND(VLOOKUP(BS$1,main!$A$3:$H$102,7,FALSE)=main!$G$105,VLOOKUP(BS$1,main!$A$3:$H$102,5,FALSE)-VLOOKUP($A268,main!$A$3:$H$102,6,FALSE)&gt;=main!$D$103+VLOOKUP(VLOOKUP(BS$1,main!$A$3:$I$102,7,FALSE),main!$K$26:$Q$29,5,FALSE)),1,0)</f>
        <v>0</v>
      </c>
      <c r="BT268">
        <f>IF(AND(VLOOKUP(BT$1,main!$A$3:$H$102,7,FALSE)=main!$G$105,VLOOKUP(BT$1,main!$A$3:$H$102,5,FALSE)-VLOOKUP($A268,main!$A$3:$H$102,6,FALSE)&gt;=main!$D$103+VLOOKUP(VLOOKUP(BT$1,main!$A$3:$I$102,7,FALSE),main!$K$26:$Q$29,5,FALSE)),1,0)</f>
        <v>0</v>
      </c>
      <c r="BU268">
        <f>IF(AND(VLOOKUP(BU$1,main!$A$3:$H$102,7,FALSE)=main!$G$105,VLOOKUP(BU$1,main!$A$3:$H$102,5,FALSE)-VLOOKUP($A268,main!$A$3:$H$102,6,FALSE)&gt;=main!$D$103+VLOOKUP(VLOOKUP(BU$1,main!$A$3:$I$102,7,FALSE),main!$K$26:$Q$29,5,FALSE)),1,0)</f>
        <v>0</v>
      </c>
      <c r="BV268">
        <f>IF(AND(VLOOKUP(BV$1,main!$A$3:$H$102,7,FALSE)=main!$G$105,VLOOKUP(BV$1,main!$A$3:$H$102,5,FALSE)-VLOOKUP($A268,main!$A$3:$H$102,6,FALSE)&gt;=main!$D$103+VLOOKUP(VLOOKUP(BV$1,main!$A$3:$I$102,7,FALSE),main!$K$26:$Q$29,5,FALSE)),1,0)</f>
        <v>0</v>
      </c>
      <c r="BW268">
        <f>IF(AND(VLOOKUP(BW$1,main!$A$3:$H$102,7,FALSE)=main!$G$105,VLOOKUP(BW$1,main!$A$3:$H$102,5,FALSE)-VLOOKUP($A268,main!$A$3:$H$102,6,FALSE)&gt;=main!$D$103+VLOOKUP(VLOOKUP(BW$1,main!$A$3:$I$102,7,FALSE),main!$K$26:$Q$29,5,FALSE)),1,0)</f>
        <v>0</v>
      </c>
      <c r="BX268">
        <f>IF(AND(VLOOKUP(BX$1,main!$A$3:$H$102,7,FALSE)=main!$G$105,VLOOKUP(BX$1,main!$A$3:$H$102,5,FALSE)-VLOOKUP($A268,main!$A$3:$H$102,6,FALSE)&gt;=main!$D$103+VLOOKUP(VLOOKUP(BX$1,main!$A$3:$I$102,7,FALSE),main!$K$26:$Q$29,5,FALSE)),1,0)</f>
        <v>0</v>
      </c>
      <c r="BY268">
        <f>IF(AND(VLOOKUP(BY$1,main!$A$3:$H$102,7,FALSE)=main!$G$105,VLOOKUP(BY$1,main!$A$3:$H$102,5,FALSE)-VLOOKUP($A268,main!$A$3:$H$102,6,FALSE)&gt;=main!$D$103+VLOOKUP(VLOOKUP(BY$1,main!$A$3:$I$102,7,FALSE),main!$K$26:$Q$29,5,FALSE)),1,0)</f>
        <v>0</v>
      </c>
      <c r="BZ268">
        <f>IF(AND(VLOOKUP(BZ$1,main!$A$3:$H$102,7,FALSE)=main!$G$105,VLOOKUP(BZ$1,main!$A$3:$H$102,5,FALSE)-VLOOKUP($A268,main!$A$3:$H$102,6,FALSE)&gt;=main!$D$103+VLOOKUP(VLOOKUP(BZ$1,main!$A$3:$I$102,7,FALSE),main!$K$26:$Q$29,5,FALSE)),1,0)</f>
        <v>0</v>
      </c>
      <c r="CA268">
        <f>IF(AND(VLOOKUP(CA$1,main!$A$3:$H$102,7,FALSE)=main!$G$105,VLOOKUP(CA$1,main!$A$3:$H$102,5,FALSE)-VLOOKUP($A268,main!$A$3:$H$102,6,FALSE)&gt;=main!$D$103+VLOOKUP(VLOOKUP(CA$1,main!$A$3:$I$102,7,FALSE),main!$K$26:$Q$29,5,FALSE)),1,0)</f>
        <v>0</v>
      </c>
      <c r="CB268">
        <f>IF(AND(VLOOKUP(CB$1,main!$A$3:$H$102,7,FALSE)=main!$G$105,VLOOKUP(CB$1,main!$A$3:$H$102,5,FALSE)-VLOOKUP($A268,main!$A$3:$H$102,6,FALSE)&gt;=main!$D$103+VLOOKUP(VLOOKUP(CB$1,main!$A$3:$I$102,7,FALSE),main!$K$26:$Q$29,5,FALSE)),1,0)</f>
        <v>0</v>
      </c>
      <c r="CC268">
        <f>IF(AND(VLOOKUP(CC$1,main!$A$3:$H$102,7,FALSE)=main!$G$105,VLOOKUP(CC$1,main!$A$3:$H$102,5,FALSE)-VLOOKUP($A268,main!$A$3:$H$102,6,FALSE)&gt;=main!$D$103+VLOOKUP(VLOOKUP(CC$1,main!$A$3:$I$102,7,FALSE),main!$K$26:$Q$29,5,FALSE)),1,0)</f>
        <v>0</v>
      </c>
      <c r="CD268">
        <f>IF(AND(VLOOKUP(CD$1,main!$A$3:$H$102,7,FALSE)=main!$G$105,VLOOKUP(CD$1,main!$A$3:$H$102,5,FALSE)-VLOOKUP($A268,main!$A$3:$H$102,6,FALSE)&gt;=main!$D$103+VLOOKUP(VLOOKUP(CD$1,main!$A$3:$I$102,7,FALSE),main!$K$26:$Q$29,5,FALSE)),1,0)</f>
        <v>0</v>
      </c>
      <c r="CE268">
        <f>IF(AND(VLOOKUP(CE$1,main!$A$3:$H$102,7,FALSE)=main!$G$105,VLOOKUP(CE$1,main!$A$3:$H$102,5,FALSE)-VLOOKUP($A268,main!$A$3:$H$102,6,FALSE)&gt;=main!$D$103+VLOOKUP(VLOOKUP(CE$1,main!$A$3:$I$102,7,FALSE),main!$K$26:$Q$29,5,FALSE)),1,0)</f>
        <v>0</v>
      </c>
      <c r="CF268">
        <f>IF(AND(VLOOKUP(CF$1,main!$A$3:$H$102,7,FALSE)=main!$G$105,VLOOKUP(CF$1,main!$A$3:$H$102,5,FALSE)-VLOOKUP($A268,main!$A$3:$H$102,6,FALSE)&gt;=main!$D$103+VLOOKUP(VLOOKUP(CF$1,main!$A$3:$I$102,7,FALSE),main!$K$26:$Q$29,5,FALSE)),1,0)</f>
        <v>0</v>
      </c>
      <c r="CG268">
        <f>IF(AND(VLOOKUP(CG$1,main!$A$3:$H$102,7,FALSE)=main!$G$105,VLOOKUP(CG$1,main!$A$3:$H$102,5,FALSE)-VLOOKUP($A268,main!$A$3:$H$102,6,FALSE)&gt;=main!$D$103+VLOOKUP(VLOOKUP(CG$1,main!$A$3:$I$102,7,FALSE),main!$K$26:$Q$29,5,FALSE)),1,0)</f>
        <v>0</v>
      </c>
      <c r="CH268">
        <f>IF(AND(VLOOKUP(CH$1,main!$A$3:$H$102,7,FALSE)=main!$G$105,VLOOKUP(CH$1,main!$A$3:$H$102,5,FALSE)-VLOOKUP($A268,main!$A$3:$H$102,6,FALSE)&gt;=main!$D$103+VLOOKUP(VLOOKUP(CH$1,main!$A$3:$I$102,7,FALSE),main!$K$26:$Q$29,5,FALSE)),1,0)</f>
        <v>0</v>
      </c>
      <c r="CI268">
        <f>IF(AND(VLOOKUP(CI$1,main!$A$3:$H$102,7,FALSE)=main!$G$105,VLOOKUP(CI$1,main!$A$3:$H$102,5,FALSE)-VLOOKUP($A268,main!$A$3:$H$102,6,FALSE)&gt;=main!$D$103+VLOOKUP(VLOOKUP(CI$1,main!$A$3:$I$102,7,FALSE),main!$K$26:$Q$29,5,FALSE)),1,0)</f>
        <v>0</v>
      </c>
      <c r="CJ268">
        <f>IF(AND(VLOOKUP(CJ$1,main!$A$3:$H$102,7,FALSE)=main!$G$105,VLOOKUP(CJ$1,main!$A$3:$H$102,5,FALSE)-VLOOKUP($A268,main!$A$3:$H$102,6,FALSE)&gt;=main!$D$103+VLOOKUP(VLOOKUP(CJ$1,main!$A$3:$I$102,7,FALSE),main!$K$26:$Q$29,5,FALSE)),1,0)</f>
        <v>0</v>
      </c>
      <c r="CK268">
        <f>IF(AND(VLOOKUP(CK$1,main!$A$3:$H$102,7,FALSE)=main!$G$105,VLOOKUP(CK$1,main!$A$3:$H$102,5,FALSE)-VLOOKUP($A268,main!$A$3:$H$102,6,FALSE)&gt;=main!$D$103+VLOOKUP(VLOOKUP(CK$1,main!$A$3:$I$102,7,FALSE),main!$K$26:$Q$29,5,FALSE)),1,0)</f>
        <v>0</v>
      </c>
      <c r="CL268">
        <f>IF(AND(VLOOKUP(CL$1,main!$A$3:$H$102,7,FALSE)=main!$G$105,VLOOKUP(CL$1,main!$A$3:$H$102,5,FALSE)-VLOOKUP($A268,main!$A$3:$H$102,6,FALSE)&gt;=main!$D$103+VLOOKUP(VLOOKUP(CL$1,main!$A$3:$I$102,7,FALSE),main!$K$26:$Q$29,5,FALSE)),1,0)</f>
        <v>0</v>
      </c>
      <c r="CM268">
        <f>IF(AND(VLOOKUP(CM$1,main!$A$3:$H$102,7,FALSE)=main!$G$105,VLOOKUP(CM$1,main!$A$3:$H$102,5,FALSE)-VLOOKUP($A268,main!$A$3:$H$102,6,FALSE)&gt;=main!$D$103+VLOOKUP(VLOOKUP(CM$1,main!$A$3:$I$102,7,FALSE),main!$K$26:$Q$29,5,FALSE)),1,0)</f>
        <v>0</v>
      </c>
      <c r="CN268">
        <f>IF(AND(VLOOKUP(CN$1,main!$A$3:$H$102,7,FALSE)=main!$G$105,VLOOKUP(CN$1,main!$A$3:$H$102,5,FALSE)-VLOOKUP($A268,main!$A$3:$H$102,6,FALSE)&gt;=main!$D$103+VLOOKUP(VLOOKUP(CN$1,main!$A$3:$I$102,7,FALSE),main!$K$26:$Q$29,5,FALSE)),1,0)</f>
        <v>0</v>
      </c>
      <c r="CO268">
        <f>IF(AND(VLOOKUP(CO$1,main!$A$3:$H$102,7,FALSE)=main!$G$105,VLOOKUP(CO$1,main!$A$3:$H$102,5,FALSE)-VLOOKUP($A268,main!$A$3:$H$102,6,FALSE)&gt;=main!$D$103+VLOOKUP(VLOOKUP(CO$1,main!$A$3:$I$102,7,FALSE),main!$K$26:$Q$29,5,FALSE)),1,0)</f>
        <v>0</v>
      </c>
      <c r="CP268">
        <f>IF(AND(VLOOKUP(CP$1,main!$A$3:$H$102,7,FALSE)=main!$G$105,VLOOKUP(CP$1,main!$A$3:$H$102,5,FALSE)-VLOOKUP($A268,main!$A$3:$H$102,6,FALSE)&gt;=main!$D$103+VLOOKUP(VLOOKUP(CP$1,main!$A$3:$I$102,7,FALSE),main!$K$26:$Q$29,5,FALSE)),1,0)</f>
        <v>0</v>
      </c>
      <c r="CQ268">
        <f>IF(AND(VLOOKUP(CQ$1,main!$A$3:$H$102,7,FALSE)=main!$G$105,VLOOKUP(CQ$1,main!$A$3:$H$102,5,FALSE)-VLOOKUP($A268,main!$A$3:$H$102,6,FALSE)&gt;=main!$D$103+VLOOKUP(VLOOKUP(CQ$1,main!$A$3:$I$102,7,FALSE),main!$K$26:$Q$29,5,FALSE)),1,0)</f>
        <v>0</v>
      </c>
      <c r="CR268">
        <f>IF(AND(VLOOKUP(CR$1,main!$A$3:$H$102,7,FALSE)=main!$G$105,VLOOKUP(CR$1,main!$A$3:$H$102,5,FALSE)-VLOOKUP($A268,main!$A$3:$H$102,6,FALSE)&gt;=main!$D$103+VLOOKUP(VLOOKUP(CR$1,main!$A$3:$I$102,7,FALSE),main!$K$26:$Q$29,5,FALSE)),1,0)</f>
        <v>0</v>
      </c>
      <c r="CS268">
        <f>IF(AND(VLOOKUP(CS$1,main!$A$3:$H$102,7,FALSE)=main!$G$105,VLOOKUP(CS$1,main!$A$3:$H$102,5,FALSE)-VLOOKUP($A268,main!$A$3:$H$102,6,FALSE)&gt;=main!$D$103+VLOOKUP(VLOOKUP(CS$1,main!$A$3:$I$102,7,FALSE),main!$K$26:$Q$29,5,FALSE)),1,0)</f>
        <v>0</v>
      </c>
      <c r="CT268">
        <f>IF(AND(VLOOKUP(CT$1,main!$A$3:$H$102,7,FALSE)=main!$G$105,VLOOKUP(CT$1,main!$A$3:$H$102,5,FALSE)-VLOOKUP($A268,main!$A$3:$H$102,6,FALSE)&gt;=main!$D$103+VLOOKUP(VLOOKUP(CT$1,main!$A$3:$I$102,7,FALSE),main!$K$26:$Q$29,5,FALSE)),1,0)</f>
        <v>0</v>
      </c>
      <c r="CU268">
        <f>IF(AND(VLOOKUP(CU$1,main!$A$3:$H$102,7,FALSE)=main!$G$105,VLOOKUP(CU$1,main!$A$3:$H$102,5,FALSE)-VLOOKUP($A268,main!$A$3:$H$102,6,FALSE)&gt;=main!$D$103+VLOOKUP(VLOOKUP(CU$1,main!$A$3:$I$102,7,FALSE),main!$K$26:$Q$29,5,FALSE)),1,0)</f>
        <v>0</v>
      </c>
      <c r="CV268">
        <f>IF(AND(VLOOKUP(CV$1,main!$A$3:$H$102,7,FALSE)=main!$G$105,VLOOKUP(CV$1,main!$A$3:$H$102,5,FALSE)-VLOOKUP($A268,main!$A$3:$H$102,6,FALSE)&gt;=main!$D$103+VLOOKUP(VLOOKUP(CV$1,main!$A$3:$I$102,7,FALSE),main!$K$26:$Q$29,5,FALSE)),1,0)</f>
        <v>0</v>
      </c>
      <c r="CW268">
        <f>IF(AND(VLOOKUP(CW$1,main!$A$3:$H$102,7,FALSE)=main!$G$105,VLOOKUP(CW$1,main!$A$3:$H$102,5,FALSE)-VLOOKUP($A268,main!$A$3:$H$102,6,FALSE)&gt;=main!$D$103+VLOOKUP(VLOOKUP(CW$1,main!$A$3:$I$102,7,FALSE),main!$K$26:$Q$29,5,FALSE)),1,0)</f>
        <v>0</v>
      </c>
      <c r="CX268">
        <f>IF(AND(VLOOKUP(CX$1,main!$A$3:$H$102,7,FALSE)=main!$G$105,VLOOKUP(CX$1,main!$A$3:$H$102,5,FALSE)-VLOOKUP($A268,main!$A$3:$H$102,6,FALSE)&gt;=main!$D$103+VLOOKUP(VLOOKUP(CX$1,main!$A$3:$I$102,7,FALSE),main!$K$26:$Q$29,5,FALSE)),1,0)</f>
        <v>0</v>
      </c>
    </row>
    <row r="269" spans="1:102" x14ac:dyDescent="0.25">
      <c r="A269" s="1">
        <v>65</v>
      </c>
      <c r="B269">
        <v>0</v>
      </c>
      <c r="C269">
        <f>IF(AND(VLOOKUP(C$1,main!$A$3:$H$102,7,FALSE)=main!$G$105,VLOOKUP(C$1,main!$A$3:$H$102,5,FALSE)-VLOOKUP($A269,main!$A$3:$H$102,6,FALSE)&gt;=main!$D$103+VLOOKUP(VLOOKUP(C$1,main!$A$3:$I$102,7,FALSE),main!$K$26:$Q$29,5,FALSE)),1,0)</f>
        <v>0</v>
      </c>
      <c r="D269">
        <f>IF(AND(VLOOKUP(D$1,main!$A$3:$H$102,7,FALSE)=main!$G$105,VLOOKUP(D$1,main!$A$3:$H$102,5,FALSE)-VLOOKUP($A269,main!$A$3:$H$102,6,FALSE)&gt;=main!$D$103+VLOOKUP(VLOOKUP(D$1,main!$A$3:$I$102,7,FALSE),main!$K$26:$Q$29,5,FALSE)),1,0)</f>
        <v>0</v>
      </c>
      <c r="E269">
        <f>IF(AND(VLOOKUP(E$1,main!$A$3:$H$102,7,FALSE)=main!$G$105,VLOOKUP(E$1,main!$A$3:$H$102,5,FALSE)-VLOOKUP($A269,main!$A$3:$H$102,6,FALSE)&gt;=main!$D$103+VLOOKUP(VLOOKUP(E$1,main!$A$3:$I$102,7,FALSE),main!$K$26:$Q$29,5,FALSE)),1,0)</f>
        <v>0</v>
      </c>
      <c r="F269">
        <f>IF(AND(VLOOKUP(F$1,main!$A$3:$H$102,7,FALSE)=main!$G$105,VLOOKUP(F$1,main!$A$3:$H$102,5,FALSE)-VLOOKUP($A269,main!$A$3:$H$102,6,FALSE)&gt;=main!$D$103+VLOOKUP(VLOOKUP(F$1,main!$A$3:$I$102,7,FALSE),main!$K$26:$Q$29,5,FALSE)),1,0)</f>
        <v>0</v>
      </c>
      <c r="G269">
        <f>IF(AND(VLOOKUP(G$1,main!$A$3:$H$102,7,FALSE)=main!$G$105,VLOOKUP(G$1,main!$A$3:$H$102,5,FALSE)-VLOOKUP($A269,main!$A$3:$H$102,6,FALSE)&gt;=main!$D$103+VLOOKUP(VLOOKUP(G$1,main!$A$3:$I$102,7,FALSE),main!$K$26:$Q$29,5,FALSE)),1,0)</f>
        <v>0</v>
      </c>
      <c r="H269">
        <f>IF(AND(VLOOKUP(H$1,main!$A$3:$H$102,7,FALSE)=main!$G$105,VLOOKUP(H$1,main!$A$3:$H$102,5,FALSE)-VLOOKUP($A269,main!$A$3:$H$102,6,FALSE)&gt;=main!$D$103+VLOOKUP(VLOOKUP(H$1,main!$A$3:$I$102,7,FALSE),main!$K$26:$Q$29,5,FALSE)),1,0)</f>
        <v>0</v>
      </c>
      <c r="I269">
        <f>IF(AND(VLOOKUP(I$1,main!$A$3:$H$102,7,FALSE)=main!$G$105,VLOOKUP(I$1,main!$A$3:$H$102,5,FALSE)-VLOOKUP($A269,main!$A$3:$H$102,6,FALSE)&gt;=main!$D$103+VLOOKUP(VLOOKUP(I$1,main!$A$3:$I$102,7,FALSE),main!$K$26:$Q$29,5,FALSE)),1,0)</f>
        <v>0</v>
      </c>
      <c r="J269">
        <f>IF(AND(VLOOKUP(J$1,main!$A$3:$H$102,7,FALSE)=main!$G$105,VLOOKUP(J$1,main!$A$3:$H$102,5,FALSE)-VLOOKUP($A269,main!$A$3:$H$102,6,FALSE)&gt;=main!$D$103+VLOOKUP(VLOOKUP(J$1,main!$A$3:$I$102,7,FALSE),main!$K$26:$Q$29,5,FALSE)),1,0)</f>
        <v>0</v>
      </c>
      <c r="K269">
        <f>IF(AND(VLOOKUP(K$1,main!$A$3:$H$102,7,FALSE)=main!$G$105,VLOOKUP(K$1,main!$A$3:$H$102,5,FALSE)-VLOOKUP($A269,main!$A$3:$H$102,6,FALSE)&gt;=main!$D$103+VLOOKUP(VLOOKUP(K$1,main!$A$3:$I$102,7,FALSE),main!$K$26:$Q$29,5,FALSE)),1,0)</f>
        <v>0</v>
      </c>
      <c r="L269">
        <f>IF(AND(VLOOKUP(L$1,main!$A$3:$H$102,7,FALSE)=main!$G$105,VLOOKUP(L$1,main!$A$3:$H$102,5,FALSE)-VLOOKUP($A269,main!$A$3:$H$102,6,FALSE)&gt;=main!$D$103+VLOOKUP(VLOOKUP(L$1,main!$A$3:$I$102,7,FALSE),main!$K$26:$Q$29,5,FALSE)),1,0)</f>
        <v>0</v>
      </c>
      <c r="M269">
        <f>IF(AND(VLOOKUP(M$1,main!$A$3:$H$102,7,FALSE)=main!$G$105,VLOOKUP(M$1,main!$A$3:$H$102,5,FALSE)-VLOOKUP($A269,main!$A$3:$H$102,6,FALSE)&gt;=main!$D$103+VLOOKUP(VLOOKUP(M$1,main!$A$3:$I$102,7,FALSE),main!$K$26:$Q$29,5,FALSE)),1,0)</f>
        <v>0</v>
      </c>
      <c r="N269">
        <f>IF(AND(VLOOKUP(N$1,main!$A$3:$H$102,7,FALSE)=main!$G$105,VLOOKUP(N$1,main!$A$3:$H$102,5,FALSE)-VLOOKUP($A269,main!$A$3:$H$102,6,FALSE)&gt;=main!$D$103+VLOOKUP(VLOOKUP(N$1,main!$A$3:$I$102,7,FALSE),main!$K$26:$Q$29,5,FALSE)),1,0)</f>
        <v>0</v>
      </c>
      <c r="O269">
        <f>IF(AND(VLOOKUP(O$1,main!$A$3:$H$102,7,FALSE)=main!$G$105,VLOOKUP(O$1,main!$A$3:$H$102,5,FALSE)-VLOOKUP($A269,main!$A$3:$H$102,6,FALSE)&gt;=main!$D$103+VLOOKUP(VLOOKUP(O$1,main!$A$3:$I$102,7,FALSE),main!$K$26:$Q$29,5,FALSE)),1,0)</f>
        <v>0</v>
      </c>
      <c r="P269">
        <f>IF(AND(VLOOKUP(P$1,main!$A$3:$H$102,7,FALSE)=main!$G$105,VLOOKUP(P$1,main!$A$3:$H$102,5,FALSE)-VLOOKUP($A269,main!$A$3:$H$102,6,FALSE)&gt;=main!$D$103+VLOOKUP(VLOOKUP(P$1,main!$A$3:$I$102,7,FALSE),main!$K$26:$Q$29,5,FALSE)),1,0)</f>
        <v>0</v>
      </c>
      <c r="Q269">
        <f>IF(AND(VLOOKUP(Q$1,main!$A$3:$H$102,7,FALSE)=main!$G$105,VLOOKUP(Q$1,main!$A$3:$H$102,5,FALSE)-VLOOKUP($A269,main!$A$3:$H$102,6,FALSE)&gt;=main!$D$103+VLOOKUP(VLOOKUP(Q$1,main!$A$3:$I$102,7,FALSE),main!$K$26:$Q$29,5,FALSE)),1,0)</f>
        <v>0</v>
      </c>
      <c r="R269">
        <f>IF(AND(VLOOKUP(R$1,main!$A$3:$H$102,7,FALSE)=main!$G$105,VLOOKUP(R$1,main!$A$3:$H$102,5,FALSE)-VLOOKUP($A269,main!$A$3:$H$102,6,FALSE)&gt;=main!$D$103+VLOOKUP(VLOOKUP(R$1,main!$A$3:$I$102,7,FALSE),main!$K$26:$Q$29,5,FALSE)),1,0)</f>
        <v>0</v>
      </c>
      <c r="S269">
        <f>IF(AND(VLOOKUP(S$1,main!$A$3:$H$102,7,FALSE)=main!$G$105,VLOOKUP(S$1,main!$A$3:$H$102,5,FALSE)-VLOOKUP($A269,main!$A$3:$H$102,6,FALSE)&gt;=main!$D$103+VLOOKUP(VLOOKUP(S$1,main!$A$3:$I$102,7,FALSE),main!$K$26:$Q$29,5,FALSE)),1,0)</f>
        <v>0</v>
      </c>
      <c r="T269">
        <f>IF(AND(VLOOKUP(T$1,main!$A$3:$H$102,7,FALSE)=main!$G$105,VLOOKUP(T$1,main!$A$3:$H$102,5,FALSE)-VLOOKUP($A269,main!$A$3:$H$102,6,FALSE)&gt;=main!$D$103+VLOOKUP(VLOOKUP(T$1,main!$A$3:$I$102,7,FALSE),main!$K$26:$Q$29,5,FALSE)),1,0)</f>
        <v>0</v>
      </c>
      <c r="U269">
        <f>IF(AND(VLOOKUP(U$1,main!$A$3:$H$102,7,FALSE)=main!$G$105,VLOOKUP(U$1,main!$A$3:$H$102,5,FALSE)-VLOOKUP($A269,main!$A$3:$H$102,6,FALSE)&gt;=main!$D$103+VLOOKUP(VLOOKUP(U$1,main!$A$3:$I$102,7,FALSE),main!$K$26:$Q$29,5,FALSE)),1,0)</f>
        <v>0</v>
      </c>
      <c r="V269">
        <f>IF(AND(VLOOKUP(V$1,main!$A$3:$H$102,7,FALSE)=main!$G$105,VLOOKUP(V$1,main!$A$3:$H$102,5,FALSE)-VLOOKUP($A269,main!$A$3:$H$102,6,FALSE)&gt;=main!$D$103+VLOOKUP(VLOOKUP(V$1,main!$A$3:$I$102,7,FALSE),main!$K$26:$Q$29,5,FALSE)),1,0)</f>
        <v>0</v>
      </c>
      <c r="W269">
        <f>IF(AND(VLOOKUP(W$1,main!$A$3:$H$102,7,FALSE)=main!$G$105,VLOOKUP(W$1,main!$A$3:$H$102,5,FALSE)-VLOOKUP($A269,main!$A$3:$H$102,6,FALSE)&gt;=main!$D$103+VLOOKUP(VLOOKUP(W$1,main!$A$3:$I$102,7,FALSE),main!$K$26:$Q$29,5,FALSE)),1,0)</f>
        <v>0</v>
      </c>
      <c r="X269">
        <f>IF(AND(VLOOKUP(X$1,main!$A$3:$H$102,7,FALSE)=main!$G$105,VLOOKUP(X$1,main!$A$3:$H$102,5,FALSE)-VLOOKUP($A269,main!$A$3:$H$102,6,FALSE)&gt;=main!$D$103+VLOOKUP(VLOOKUP(X$1,main!$A$3:$I$102,7,FALSE),main!$K$26:$Q$29,5,FALSE)),1,0)</f>
        <v>0</v>
      </c>
      <c r="Y269">
        <f>IF(AND(VLOOKUP(Y$1,main!$A$3:$H$102,7,FALSE)=main!$G$105,VLOOKUP(Y$1,main!$A$3:$H$102,5,FALSE)-VLOOKUP($A269,main!$A$3:$H$102,6,FALSE)&gt;=main!$D$103+VLOOKUP(VLOOKUP(Y$1,main!$A$3:$I$102,7,FALSE),main!$K$26:$Q$29,5,FALSE)),1,0)</f>
        <v>0</v>
      </c>
      <c r="Z269">
        <f>IF(AND(VLOOKUP(Z$1,main!$A$3:$H$102,7,FALSE)=main!$G$105,VLOOKUP(Z$1,main!$A$3:$H$102,5,FALSE)-VLOOKUP($A269,main!$A$3:$H$102,6,FALSE)&gt;=main!$D$103+VLOOKUP(VLOOKUP(Z$1,main!$A$3:$I$102,7,FALSE),main!$K$26:$Q$29,5,FALSE)),1,0)</f>
        <v>0</v>
      </c>
      <c r="AA269">
        <f>IF(AND(VLOOKUP(AA$1,main!$A$3:$H$102,7,FALSE)=main!$G$105,VLOOKUP(AA$1,main!$A$3:$H$102,5,FALSE)-VLOOKUP($A269,main!$A$3:$H$102,6,FALSE)&gt;=main!$D$103+VLOOKUP(VLOOKUP(AA$1,main!$A$3:$I$102,7,FALSE),main!$K$26:$Q$29,5,FALSE)),1,0)</f>
        <v>0</v>
      </c>
      <c r="AB269">
        <f>IF(AND(VLOOKUP(AB$1,main!$A$3:$H$102,7,FALSE)=main!$G$105,VLOOKUP(AB$1,main!$A$3:$H$102,5,FALSE)-VLOOKUP($A269,main!$A$3:$H$102,6,FALSE)&gt;=main!$D$103+VLOOKUP(VLOOKUP(AB$1,main!$A$3:$I$102,7,FALSE),main!$K$26:$Q$29,5,FALSE)),1,0)</f>
        <v>0</v>
      </c>
      <c r="AC269">
        <f>IF(AND(VLOOKUP(AC$1,main!$A$3:$H$102,7,FALSE)=main!$G$105,VLOOKUP(AC$1,main!$A$3:$H$102,5,FALSE)-VLOOKUP($A269,main!$A$3:$H$102,6,FALSE)&gt;=main!$D$103+VLOOKUP(VLOOKUP(AC$1,main!$A$3:$I$102,7,FALSE),main!$K$26:$Q$29,5,FALSE)),1,0)</f>
        <v>0</v>
      </c>
      <c r="AD269">
        <f>IF(AND(VLOOKUP(AD$1,main!$A$3:$H$102,7,FALSE)=main!$G$105,VLOOKUP(AD$1,main!$A$3:$H$102,5,FALSE)-VLOOKUP($A269,main!$A$3:$H$102,6,FALSE)&gt;=main!$D$103+VLOOKUP(VLOOKUP(AD$1,main!$A$3:$I$102,7,FALSE),main!$K$26:$Q$29,5,FALSE)),1,0)</f>
        <v>0</v>
      </c>
      <c r="AE269">
        <f>IF(AND(VLOOKUP(AE$1,main!$A$3:$H$102,7,FALSE)=main!$G$105,VLOOKUP(AE$1,main!$A$3:$H$102,5,FALSE)-VLOOKUP($A269,main!$A$3:$H$102,6,FALSE)&gt;=main!$D$103+VLOOKUP(VLOOKUP(AE$1,main!$A$3:$I$102,7,FALSE),main!$K$26:$Q$29,5,FALSE)),1,0)</f>
        <v>0</v>
      </c>
      <c r="AF269">
        <f>IF(AND(VLOOKUP(AF$1,main!$A$3:$H$102,7,FALSE)=main!$G$105,VLOOKUP(AF$1,main!$A$3:$H$102,5,FALSE)-VLOOKUP($A269,main!$A$3:$H$102,6,FALSE)&gt;=main!$D$103+VLOOKUP(VLOOKUP(AF$1,main!$A$3:$I$102,7,FALSE),main!$K$26:$Q$29,5,FALSE)),1,0)</f>
        <v>0</v>
      </c>
      <c r="AG269">
        <f>IF(AND(VLOOKUP(AG$1,main!$A$3:$H$102,7,FALSE)=main!$G$105,VLOOKUP(AG$1,main!$A$3:$H$102,5,FALSE)-VLOOKUP($A269,main!$A$3:$H$102,6,FALSE)&gt;=main!$D$103+VLOOKUP(VLOOKUP(AG$1,main!$A$3:$I$102,7,FALSE),main!$K$26:$Q$29,5,FALSE)),1,0)</f>
        <v>0</v>
      </c>
      <c r="AH269">
        <f>IF(AND(VLOOKUP(AH$1,main!$A$3:$H$102,7,FALSE)=main!$G$105,VLOOKUP(AH$1,main!$A$3:$H$102,5,FALSE)-VLOOKUP($A269,main!$A$3:$H$102,6,FALSE)&gt;=main!$D$103+VLOOKUP(VLOOKUP(AH$1,main!$A$3:$I$102,7,FALSE),main!$K$26:$Q$29,5,FALSE)),1,0)</f>
        <v>1</v>
      </c>
      <c r="AI269">
        <f>IF(AND(VLOOKUP(AI$1,main!$A$3:$H$102,7,FALSE)=main!$G$105,VLOOKUP(AI$1,main!$A$3:$H$102,5,FALSE)-VLOOKUP($A269,main!$A$3:$H$102,6,FALSE)&gt;=main!$D$103+VLOOKUP(VLOOKUP(AI$1,main!$A$3:$I$102,7,FALSE),main!$K$26:$Q$29,5,FALSE)),1,0)</f>
        <v>1</v>
      </c>
      <c r="AJ269">
        <f>IF(AND(VLOOKUP(AJ$1,main!$A$3:$H$102,7,FALSE)=main!$G$105,VLOOKUP(AJ$1,main!$A$3:$H$102,5,FALSE)-VLOOKUP($A269,main!$A$3:$H$102,6,FALSE)&gt;=main!$D$103+VLOOKUP(VLOOKUP(AJ$1,main!$A$3:$I$102,7,FALSE),main!$K$26:$Q$29,5,FALSE)),1,0)</f>
        <v>1</v>
      </c>
      <c r="AK269">
        <f>IF(AND(VLOOKUP(AK$1,main!$A$3:$H$102,7,FALSE)=main!$G$105,VLOOKUP(AK$1,main!$A$3:$H$102,5,FALSE)-VLOOKUP($A269,main!$A$3:$H$102,6,FALSE)&gt;=main!$D$103+VLOOKUP(VLOOKUP(AK$1,main!$A$3:$I$102,7,FALSE),main!$K$26:$Q$29,5,FALSE)),1,0)</f>
        <v>1</v>
      </c>
      <c r="AL269">
        <f>IF(AND(VLOOKUP(AL$1,main!$A$3:$H$102,7,FALSE)=main!$G$105,VLOOKUP(AL$1,main!$A$3:$H$102,5,FALSE)-VLOOKUP($A269,main!$A$3:$H$102,6,FALSE)&gt;=main!$D$103+VLOOKUP(VLOOKUP(AL$1,main!$A$3:$I$102,7,FALSE),main!$K$26:$Q$29,5,FALSE)),1,0)</f>
        <v>1</v>
      </c>
      <c r="AM269">
        <f>IF(AND(VLOOKUP(AM$1,main!$A$3:$H$102,7,FALSE)=main!$G$105,VLOOKUP(AM$1,main!$A$3:$H$102,5,FALSE)-VLOOKUP($A269,main!$A$3:$H$102,6,FALSE)&gt;=main!$D$103+VLOOKUP(VLOOKUP(AM$1,main!$A$3:$I$102,7,FALSE),main!$K$26:$Q$29,5,FALSE)),1,0)</f>
        <v>1</v>
      </c>
      <c r="AN269">
        <f>IF(AND(VLOOKUP(AN$1,main!$A$3:$H$102,7,FALSE)=main!$G$105,VLOOKUP(AN$1,main!$A$3:$H$102,5,FALSE)-VLOOKUP($A269,main!$A$3:$H$102,6,FALSE)&gt;=main!$D$103+VLOOKUP(VLOOKUP(AN$1,main!$A$3:$I$102,7,FALSE),main!$K$26:$Q$29,5,FALSE)),1,0)</f>
        <v>1</v>
      </c>
      <c r="AO269">
        <f>IF(AND(VLOOKUP(AO$1,main!$A$3:$H$102,7,FALSE)=main!$G$105,VLOOKUP(AO$1,main!$A$3:$H$102,5,FALSE)-VLOOKUP($A269,main!$A$3:$H$102,6,FALSE)&gt;=main!$D$103+VLOOKUP(VLOOKUP(AO$1,main!$A$3:$I$102,7,FALSE),main!$K$26:$Q$29,5,FALSE)),1,0)</f>
        <v>0</v>
      </c>
      <c r="AP269">
        <f>IF(AND(VLOOKUP(AP$1,main!$A$3:$H$102,7,FALSE)=main!$G$105,VLOOKUP(AP$1,main!$A$3:$H$102,5,FALSE)-VLOOKUP($A269,main!$A$3:$H$102,6,FALSE)&gt;=main!$D$103+VLOOKUP(VLOOKUP(AP$1,main!$A$3:$I$102,7,FALSE),main!$K$26:$Q$29,5,FALSE)),1,0)</f>
        <v>1</v>
      </c>
      <c r="AQ269">
        <f>IF(AND(VLOOKUP(AQ$1,main!$A$3:$H$102,7,FALSE)=main!$G$105,VLOOKUP(AQ$1,main!$A$3:$H$102,5,FALSE)-VLOOKUP($A269,main!$A$3:$H$102,6,FALSE)&gt;=main!$D$103+VLOOKUP(VLOOKUP(AQ$1,main!$A$3:$I$102,7,FALSE),main!$K$26:$Q$29,5,FALSE)),1,0)</f>
        <v>0</v>
      </c>
      <c r="AR269">
        <f>IF(AND(VLOOKUP(AR$1,main!$A$3:$H$102,7,FALSE)=main!$G$105,VLOOKUP(AR$1,main!$A$3:$H$102,5,FALSE)-VLOOKUP($A269,main!$A$3:$H$102,6,FALSE)&gt;=main!$D$103+VLOOKUP(VLOOKUP(AR$1,main!$A$3:$I$102,7,FALSE),main!$K$26:$Q$29,5,FALSE)),1,0)</f>
        <v>1</v>
      </c>
      <c r="AS269">
        <f>IF(AND(VLOOKUP(AS$1,main!$A$3:$H$102,7,FALSE)=main!$G$105,VLOOKUP(AS$1,main!$A$3:$H$102,5,FALSE)-VLOOKUP($A269,main!$A$3:$H$102,6,FALSE)&gt;=main!$D$103+VLOOKUP(VLOOKUP(AS$1,main!$A$3:$I$102,7,FALSE),main!$K$26:$Q$29,5,FALSE)),1,0)</f>
        <v>1</v>
      </c>
      <c r="AT269">
        <f>IF(AND(VLOOKUP(AT$1,main!$A$3:$H$102,7,FALSE)=main!$G$105,VLOOKUP(AT$1,main!$A$3:$H$102,5,FALSE)-VLOOKUP($A269,main!$A$3:$H$102,6,FALSE)&gt;=main!$D$103+VLOOKUP(VLOOKUP(AT$1,main!$A$3:$I$102,7,FALSE),main!$K$26:$Q$29,5,FALSE)),1,0)</f>
        <v>1</v>
      </c>
      <c r="AU269">
        <f>IF(AND(VLOOKUP(AU$1,main!$A$3:$H$102,7,FALSE)=main!$G$105,VLOOKUP(AU$1,main!$A$3:$H$102,5,FALSE)-VLOOKUP($A269,main!$A$3:$H$102,6,FALSE)&gt;=main!$D$103+VLOOKUP(VLOOKUP(AU$1,main!$A$3:$I$102,7,FALSE),main!$K$26:$Q$29,5,FALSE)),1,0)</f>
        <v>0</v>
      </c>
      <c r="AV269">
        <f>IF(AND(VLOOKUP(AV$1,main!$A$3:$H$102,7,FALSE)=main!$G$105,VLOOKUP(AV$1,main!$A$3:$H$102,5,FALSE)-VLOOKUP($A269,main!$A$3:$H$102,6,FALSE)&gt;=main!$D$103+VLOOKUP(VLOOKUP(AV$1,main!$A$3:$I$102,7,FALSE),main!$K$26:$Q$29,5,FALSE)),1,0)</f>
        <v>0</v>
      </c>
      <c r="AW269">
        <f>IF(AND(VLOOKUP(AW$1,main!$A$3:$H$102,7,FALSE)=main!$G$105,VLOOKUP(AW$1,main!$A$3:$H$102,5,FALSE)-VLOOKUP($A269,main!$A$3:$H$102,6,FALSE)&gt;=main!$D$103+VLOOKUP(VLOOKUP(AW$1,main!$A$3:$I$102,7,FALSE),main!$K$26:$Q$29,5,FALSE)),1,0)</f>
        <v>1</v>
      </c>
      <c r="AX269">
        <f>IF(AND(VLOOKUP(AX$1,main!$A$3:$H$102,7,FALSE)=main!$G$105,VLOOKUP(AX$1,main!$A$3:$H$102,5,FALSE)-VLOOKUP($A269,main!$A$3:$H$102,6,FALSE)&gt;=main!$D$103+VLOOKUP(VLOOKUP(AX$1,main!$A$3:$I$102,7,FALSE),main!$K$26:$Q$29,5,FALSE)),1,0)</f>
        <v>1</v>
      </c>
      <c r="AY269">
        <f>IF(AND(VLOOKUP(AY$1,main!$A$3:$H$102,7,FALSE)=main!$G$105,VLOOKUP(AY$1,main!$A$3:$H$102,5,FALSE)-VLOOKUP($A269,main!$A$3:$H$102,6,FALSE)&gt;=main!$D$103+VLOOKUP(VLOOKUP(AY$1,main!$A$3:$I$102,7,FALSE),main!$K$26:$Q$29,5,FALSE)),1,0)</f>
        <v>1</v>
      </c>
      <c r="AZ269">
        <f>IF(AND(VLOOKUP(AZ$1,main!$A$3:$H$102,7,FALSE)=main!$G$105,VLOOKUP(AZ$1,main!$A$3:$H$102,5,FALSE)-VLOOKUP($A269,main!$A$3:$H$102,6,FALSE)&gt;=main!$D$103+VLOOKUP(VLOOKUP(AZ$1,main!$A$3:$I$102,7,FALSE),main!$K$26:$Q$29,5,FALSE)),1,0)</f>
        <v>1</v>
      </c>
      <c r="BA269">
        <f>IF(AND(VLOOKUP(BA$1,main!$A$3:$H$102,7,FALSE)=main!$G$105,VLOOKUP(BA$1,main!$A$3:$H$102,5,FALSE)-VLOOKUP($A269,main!$A$3:$H$102,6,FALSE)&gt;=main!$D$103+VLOOKUP(VLOOKUP(BA$1,main!$A$3:$I$102,7,FALSE),main!$K$26:$Q$29,5,FALSE)),1,0)</f>
        <v>0</v>
      </c>
      <c r="BB269">
        <f>IF(AND(VLOOKUP(BB$1,main!$A$3:$H$102,7,FALSE)=main!$G$105,VLOOKUP(BB$1,main!$A$3:$H$102,5,FALSE)-VLOOKUP($A269,main!$A$3:$H$102,6,FALSE)&gt;=main!$D$103+VLOOKUP(VLOOKUP(BB$1,main!$A$3:$I$102,7,FALSE),main!$K$26:$Q$29,5,FALSE)),1,0)</f>
        <v>0</v>
      </c>
      <c r="BC269">
        <f>IF(AND(VLOOKUP(BC$1,main!$A$3:$H$102,7,FALSE)=main!$G$105,VLOOKUP(BC$1,main!$A$3:$H$102,5,FALSE)-VLOOKUP($A269,main!$A$3:$H$102,6,FALSE)&gt;=main!$D$103+VLOOKUP(VLOOKUP(BC$1,main!$A$3:$I$102,7,FALSE),main!$K$26:$Q$29,5,FALSE)),1,0)</f>
        <v>0</v>
      </c>
      <c r="BD269">
        <f>IF(AND(VLOOKUP(BD$1,main!$A$3:$H$102,7,FALSE)=main!$G$105,VLOOKUP(BD$1,main!$A$3:$H$102,5,FALSE)-VLOOKUP($A269,main!$A$3:$H$102,6,FALSE)&gt;=main!$D$103+VLOOKUP(VLOOKUP(BD$1,main!$A$3:$I$102,7,FALSE),main!$K$26:$Q$29,5,FALSE)),1,0)</f>
        <v>0</v>
      </c>
      <c r="BE269">
        <f>IF(AND(VLOOKUP(BE$1,main!$A$3:$H$102,7,FALSE)=main!$G$105,VLOOKUP(BE$1,main!$A$3:$H$102,5,FALSE)-VLOOKUP($A269,main!$A$3:$H$102,6,FALSE)&gt;=main!$D$103+VLOOKUP(VLOOKUP(BE$1,main!$A$3:$I$102,7,FALSE),main!$K$26:$Q$29,5,FALSE)),1,0)</f>
        <v>0</v>
      </c>
      <c r="BF269">
        <f>IF(AND(VLOOKUP(BF$1,main!$A$3:$H$102,7,FALSE)=main!$G$105,VLOOKUP(BF$1,main!$A$3:$H$102,5,FALSE)-VLOOKUP($A269,main!$A$3:$H$102,6,FALSE)&gt;=main!$D$103+VLOOKUP(VLOOKUP(BF$1,main!$A$3:$I$102,7,FALSE),main!$K$26:$Q$29,5,FALSE)),1,0)</f>
        <v>0</v>
      </c>
      <c r="BG269">
        <f>IF(AND(VLOOKUP(BG$1,main!$A$3:$H$102,7,FALSE)=main!$G$105,VLOOKUP(BG$1,main!$A$3:$H$102,5,FALSE)-VLOOKUP($A269,main!$A$3:$H$102,6,FALSE)&gt;=main!$D$103+VLOOKUP(VLOOKUP(BG$1,main!$A$3:$I$102,7,FALSE),main!$K$26:$Q$29,5,FALSE)),1,0)</f>
        <v>0</v>
      </c>
      <c r="BH269">
        <f>IF(AND(VLOOKUP(BH$1,main!$A$3:$H$102,7,FALSE)=main!$G$105,VLOOKUP(BH$1,main!$A$3:$H$102,5,FALSE)-VLOOKUP($A269,main!$A$3:$H$102,6,FALSE)&gt;=main!$D$103+VLOOKUP(VLOOKUP(BH$1,main!$A$3:$I$102,7,FALSE),main!$K$26:$Q$29,5,FALSE)),1,0)</f>
        <v>0</v>
      </c>
      <c r="BI269">
        <f>IF(AND(VLOOKUP(BI$1,main!$A$3:$H$102,7,FALSE)=main!$G$105,VLOOKUP(BI$1,main!$A$3:$H$102,5,FALSE)-VLOOKUP($A269,main!$A$3:$H$102,6,FALSE)&gt;=main!$D$103+VLOOKUP(VLOOKUP(BI$1,main!$A$3:$I$102,7,FALSE),main!$K$26:$Q$29,5,FALSE)),1,0)</f>
        <v>0</v>
      </c>
      <c r="BJ269">
        <f>IF(AND(VLOOKUP(BJ$1,main!$A$3:$H$102,7,FALSE)=main!$G$105,VLOOKUP(BJ$1,main!$A$3:$H$102,5,FALSE)-VLOOKUP($A269,main!$A$3:$H$102,6,FALSE)&gt;=main!$D$103+VLOOKUP(VLOOKUP(BJ$1,main!$A$3:$I$102,7,FALSE),main!$K$26:$Q$29,5,FALSE)),1,0)</f>
        <v>0</v>
      </c>
      <c r="BK269">
        <f>IF(AND(VLOOKUP(BK$1,main!$A$3:$H$102,7,FALSE)=main!$G$105,VLOOKUP(BK$1,main!$A$3:$H$102,5,FALSE)-VLOOKUP($A269,main!$A$3:$H$102,6,FALSE)&gt;=main!$D$103+VLOOKUP(VLOOKUP(BK$1,main!$A$3:$I$102,7,FALSE),main!$K$26:$Q$29,5,FALSE)),1,0)</f>
        <v>0</v>
      </c>
      <c r="BL269">
        <f>IF(AND(VLOOKUP(BL$1,main!$A$3:$H$102,7,FALSE)=main!$G$105,VLOOKUP(BL$1,main!$A$3:$H$102,5,FALSE)-VLOOKUP($A269,main!$A$3:$H$102,6,FALSE)&gt;=main!$D$103+VLOOKUP(VLOOKUP(BL$1,main!$A$3:$I$102,7,FALSE),main!$K$26:$Q$29,5,FALSE)),1,0)</f>
        <v>0</v>
      </c>
      <c r="BM269">
        <f>IF(AND(VLOOKUP(BM$1,main!$A$3:$H$102,7,FALSE)=main!$G$105,VLOOKUP(BM$1,main!$A$3:$H$102,5,FALSE)-VLOOKUP($A269,main!$A$3:$H$102,6,FALSE)&gt;=main!$D$103+VLOOKUP(VLOOKUP(BM$1,main!$A$3:$I$102,7,FALSE),main!$K$26:$Q$29,5,FALSE)),1,0)</f>
        <v>0</v>
      </c>
      <c r="BN269">
        <f>IF(AND(VLOOKUP(BN$1,main!$A$3:$H$102,7,FALSE)=main!$G$105,VLOOKUP(BN$1,main!$A$3:$H$102,5,FALSE)-VLOOKUP($A269,main!$A$3:$H$102,6,FALSE)&gt;=main!$D$103+VLOOKUP(VLOOKUP(BN$1,main!$A$3:$I$102,7,FALSE),main!$K$26:$Q$29,5,FALSE)),1,0)</f>
        <v>0</v>
      </c>
      <c r="BO269">
        <f>IF(AND(VLOOKUP(BO$1,main!$A$3:$H$102,7,FALSE)=main!$G$105,VLOOKUP(BO$1,main!$A$3:$H$102,5,FALSE)-VLOOKUP($A269,main!$A$3:$H$102,6,FALSE)&gt;=main!$D$103+VLOOKUP(VLOOKUP(BO$1,main!$A$3:$I$102,7,FALSE),main!$K$26:$Q$29,5,FALSE)),1,0)</f>
        <v>0</v>
      </c>
      <c r="BP269">
        <f>IF(AND(VLOOKUP(BP$1,main!$A$3:$H$102,7,FALSE)=main!$G$105,VLOOKUP(BP$1,main!$A$3:$H$102,5,FALSE)-VLOOKUP($A269,main!$A$3:$H$102,6,FALSE)&gt;=main!$D$103+VLOOKUP(VLOOKUP(BP$1,main!$A$3:$I$102,7,FALSE),main!$K$26:$Q$29,5,FALSE)),1,0)</f>
        <v>0</v>
      </c>
      <c r="BQ269">
        <f>IF(AND(VLOOKUP(BQ$1,main!$A$3:$H$102,7,FALSE)=main!$G$105,VLOOKUP(BQ$1,main!$A$3:$H$102,5,FALSE)-VLOOKUP($A269,main!$A$3:$H$102,6,FALSE)&gt;=main!$D$103+VLOOKUP(VLOOKUP(BQ$1,main!$A$3:$I$102,7,FALSE),main!$K$26:$Q$29,5,FALSE)),1,0)</f>
        <v>0</v>
      </c>
      <c r="BR269">
        <f>IF(AND(VLOOKUP(BR$1,main!$A$3:$H$102,7,FALSE)=main!$G$105,VLOOKUP(BR$1,main!$A$3:$H$102,5,FALSE)-VLOOKUP($A269,main!$A$3:$H$102,6,FALSE)&gt;=main!$D$103+VLOOKUP(VLOOKUP(BR$1,main!$A$3:$I$102,7,FALSE),main!$K$26:$Q$29,5,FALSE)),1,0)</f>
        <v>0</v>
      </c>
      <c r="BS269">
        <f>IF(AND(VLOOKUP(BS$1,main!$A$3:$H$102,7,FALSE)=main!$G$105,VLOOKUP(BS$1,main!$A$3:$H$102,5,FALSE)-VLOOKUP($A269,main!$A$3:$H$102,6,FALSE)&gt;=main!$D$103+VLOOKUP(VLOOKUP(BS$1,main!$A$3:$I$102,7,FALSE),main!$K$26:$Q$29,5,FALSE)),1,0)</f>
        <v>0</v>
      </c>
      <c r="BT269">
        <f>IF(AND(VLOOKUP(BT$1,main!$A$3:$H$102,7,FALSE)=main!$G$105,VLOOKUP(BT$1,main!$A$3:$H$102,5,FALSE)-VLOOKUP($A269,main!$A$3:$H$102,6,FALSE)&gt;=main!$D$103+VLOOKUP(VLOOKUP(BT$1,main!$A$3:$I$102,7,FALSE),main!$K$26:$Q$29,5,FALSE)),1,0)</f>
        <v>0</v>
      </c>
      <c r="BU269">
        <f>IF(AND(VLOOKUP(BU$1,main!$A$3:$H$102,7,FALSE)=main!$G$105,VLOOKUP(BU$1,main!$A$3:$H$102,5,FALSE)-VLOOKUP($A269,main!$A$3:$H$102,6,FALSE)&gt;=main!$D$103+VLOOKUP(VLOOKUP(BU$1,main!$A$3:$I$102,7,FALSE),main!$K$26:$Q$29,5,FALSE)),1,0)</f>
        <v>0</v>
      </c>
      <c r="BV269">
        <f>IF(AND(VLOOKUP(BV$1,main!$A$3:$H$102,7,FALSE)=main!$G$105,VLOOKUP(BV$1,main!$A$3:$H$102,5,FALSE)-VLOOKUP($A269,main!$A$3:$H$102,6,FALSE)&gt;=main!$D$103+VLOOKUP(VLOOKUP(BV$1,main!$A$3:$I$102,7,FALSE),main!$K$26:$Q$29,5,FALSE)),1,0)</f>
        <v>0</v>
      </c>
      <c r="BW269">
        <f>IF(AND(VLOOKUP(BW$1,main!$A$3:$H$102,7,FALSE)=main!$G$105,VLOOKUP(BW$1,main!$A$3:$H$102,5,FALSE)-VLOOKUP($A269,main!$A$3:$H$102,6,FALSE)&gt;=main!$D$103+VLOOKUP(VLOOKUP(BW$1,main!$A$3:$I$102,7,FALSE),main!$K$26:$Q$29,5,FALSE)),1,0)</f>
        <v>0</v>
      </c>
      <c r="BX269">
        <f>IF(AND(VLOOKUP(BX$1,main!$A$3:$H$102,7,FALSE)=main!$G$105,VLOOKUP(BX$1,main!$A$3:$H$102,5,FALSE)-VLOOKUP($A269,main!$A$3:$H$102,6,FALSE)&gt;=main!$D$103+VLOOKUP(VLOOKUP(BX$1,main!$A$3:$I$102,7,FALSE),main!$K$26:$Q$29,5,FALSE)),1,0)</f>
        <v>0</v>
      </c>
      <c r="BY269">
        <f>IF(AND(VLOOKUP(BY$1,main!$A$3:$H$102,7,FALSE)=main!$G$105,VLOOKUP(BY$1,main!$A$3:$H$102,5,FALSE)-VLOOKUP($A269,main!$A$3:$H$102,6,FALSE)&gt;=main!$D$103+VLOOKUP(VLOOKUP(BY$1,main!$A$3:$I$102,7,FALSE),main!$K$26:$Q$29,5,FALSE)),1,0)</f>
        <v>0</v>
      </c>
      <c r="BZ269">
        <f>IF(AND(VLOOKUP(BZ$1,main!$A$3:$H$102,7,FALSE)=main!$G$105,VLOOKUP(BZ$1,main!$A$3:$H$102,5,FALSE)-VLOOKUP($A269,main!$A$3:$H$102,6,FALSE)&gt;=main!$D$103+VLOOKUP(VLOOKUP(BZ$1,main!$A$3:$I$102,7,FALSE),main!$K$26:$Q$29,5,FALSE)),1,0)</f>
        <v>0</v>
      </c>
      <c r="CA269">
        <f>IF(AND(VLOOKUP(CA$1,main!$A$3:$H$102,7,FALSE)=main!$G$105,VLOOKUP(CA$1,main!$A$3:$H$102,5,FALSE)-VLOOKUP($A269,main!$A$3:$H$102,6,FALSE)&gt;=main!$D$103+VLOOKUP(VLOOKUP(CA$1,main!$A$3:$I$102,7,FALSE),main!$K$26:$Q$29,5,FALSE)),1,0)</f>
        <v>0</v>
      </c>
      <c r="CB269">
        <f>IF(AND(VLOOKUP(CB$1,main!$A$3:$H$102,7,FALSE)=main!$G$105,VLOOKUP(CB$1,main!$A$3:$H$102,5,FALSE)-VLOOKUP($A269,main!$A$3:$H$102,6,FALSE)&gt;=main!$D$103+VLOOKUP(VLOOKUP(CB$1,main!$A$3:$I$102,7,FALSE),main!$K$26:$Q$29,5,FALSE)),1,0)</f>
        <v>0</v>
      </c>
      <c r="CC269">
        <f>IF(AND(VLOOKUP(CC$1,main!$A$3:$H$102,7,FALSE)=main!$G$105,VLOOKUP(CC$1,main!$A$3:$H$102,5,FALSE)-VLOOKUP($A269,main!$A$3:$H$102,6,FALSE)&gt;=main!$D$103+VLOOKUP(VLOOKUP(CC$1,main!$A$3:$I$102,7,FALSE),main!$K$26:$Q$29,5,FALSE)),1,0)</f>
        <v>0</v>
      </c>
      <c r="CD269">
        <f>IF(AND(VLOOKUP(CD$1,main!$A$3:$H$102,7,FALSE)=main!$G$105,VLOOKUP(CD$1,main!$A$3:$H$102,5,FALSE)-VLOOKUP($A269,main!$A$3:$H$102,6,FALSE)&gt;=main!$D$103+VLOOKUP(VLOOKUP(CD$1,main!$A$3:$I$102,7,FALSE),main!$K$26:$Q$29,5,FALSE)),1,0)</f>
        <v>0</v>
      </c>
      <c r="CE269">
        <f>IF(AND(VLOOKUP(CE$1,main!$A$3:$H$102,7,FALSE)=main!$G$105,VLOOKUP(CE$1,main!$A$3:$H$102,5,FALSE)-VLOOKUP($A269,main!$A$3:$H$102,6,FALSE)&gt;=main!$D$103+VLOOKUP(VLOOKUP(CE$1,main!$A$3:$I$102,7,FALSE),main!$K$26:$Q$29,5,FALSE)),1,0)</f>
        <v>0</v>
      </c>
      <c r="CF269">
        <f>IF(AND(VLOOKUP(CF$1,main!$A$3:$H$102,7,FALSE)=main!$G$105,VLOOKUP(CF$1,main!$A$3:$H$102,5,FALSE)-VLOOKUP($A269,main!$A$3:$H$102,6,FALSE)&gt;=main!$D$103+VLOOKUP(VLOOKUP(CF$1,main!$A$3:$I$102,7,FALSE),main!$K$26:$Q$29,5,FALSE)),1,0)</f>
        <v>0</v>
      </c>
      <c r="CG269">
        <f>IF(AND(VLOOKUP(CG$1,main!$A$3:$H$102,7,FALSE)=main!$G$105,VLOOKUP(CG$1,main!$A$3:$H$102,5,FALSE)-VLOOKUP($A269,main!$A$3:$H$102,6,FALSE)&gt;=main!$D$103+VLOOKUP(VLOOKUP(CG$1,main!$A$3:$I$102,7,FALSE),main!$K$26:$Q$29,5,FALSE)),1,0)</f>
        <v>0</v>
      </c>
      <c r="CH269">
        <f>IF(AND(VLOOKUP(CH$1,main!$A$3:$H$102,7,FALSE)=main!$G$105,VLOOKUP(CH$1,main!$A$3:$H$102,5,FALSE)-VLOOKUP($A269,main!$A$3:$H$102,6,FALSE)&gt;=main!$D$103+VLOOKUP(VLOOKUP(CH$1,main!$A$3:$I$102,7,FALSE),main!$K$26:$Q$29,5,FALSE)),1,0)</f>
        <v>0</v>
      </c>
      <c r="CI269">
        <f>IF(AND(VLOOKUP(CI$1,main!$A$3:$H$102,7,FALSE)=main!$G$105,VLOOKUP(CI$1,main!$A$3:$H$102,5,FALSE)-VLOOKUP($A269,main!$A$3:$H$102,6,FALSE)&gt;=main!$D$103+VLOOKUP(VLOOKUP(CI$1,main!$A$3:$I$102,7,FALSE),main!$K$26:$Q$29,5,FALSE)),1,0)</f>
        <v>0</v>
      </c>
      <c r="CJ269">
        <f>IF(AND(VLOOKUP(CJ$1,main!$A$3:$H$102,7,FALSE)=main!$G$105,VLOOKUP(CJ$1,main!$A$3:$H$102,5,FALSE)-VLOOKUP($A269,main!$A$3:$H$102,6,FALSE)&gt;=main!$D$103+VLOOKUP(VLOOKUP(CJ$1,main!$A$3:$I$102,7,FALSE),main!$K$26:$Q$29,5,FALSE)),1,0)</f>
        <v>0</v>
      </c>
      <c r="CK269">
        <f>IF(AND(VLOOKUP(CK$1,main!$A$3:$H$102,7,FALSE)=main!$G$105,VLOOKUP(CK$1,main!$A$3:$H$102,5,FALSE)-VLOOKUP($A269,main!$A$3:$H$102,6,FALSE)&gt;=main!$D$103+VLOOKUP(VLOOKUP(CK$1,main!$A$3:$I$102,7,FALSE),main!$K$26:$Q$29,5,FALSE)),1,0)</f>
        <v>0</v>
      </c>
      <c r="CL269">
        <f>IF(AND(VLOOKUP(CL$1,main!$A$3:$H$102,7,FALSE)=main!$G$105,VLOOKUP(CL$1,main!$A$3:$H$102,5,FALSE)-VLOOKUP($A269,main!$A$3:$H$102,6,FALSE)&gt;=main!$D$103+VLOOKUP(VLOOKUP(CL$1,main!$A$3:$I$102,7,FALSE),main!$K$26:$Q$29,5,FALSE)),1,0)</f>
        <v>0</v>
      </c>
      <c r="CM269">
        <f>IF(AND(VLOOKUP(CM$1,main!$A$3:$H$102,7,FALSE)=main!$G$105,VLOOKUP(CM$1,main!$A$3:$H$102,5,FALSE)-VLOOKUP($A269,main!$A$3:$H$102,6,FALSE)&gt;=main!$D$103+VLOOKUP(VLOOKUP(CM$1,main!$A$3:$I$102,7,FALSE),main!$K$26:$Q$29,5,FALSE)),1,0)</f>
        <v>0</v>
      </c>
      <c r="CN269">
        <f>IF(AND(VLOOKUP(CN$1,main!$A$3:$H$102,7,FALSE)=main!$G$105,VLOOKUP(CN$1,main!$A$3:$H$102,5,FALSE)-VLOOKUP($A269,main!$A$3:$H$102,6,FALSE)&gt;=main!$D$103+VLOOKUP(VLOOKUP(CN$1,main!$A$3:$I$102,7,FALSE),main!$K$26:$Q$29,5,FALSE)),1,0)</f>
        <v>0</v>
      </c>
      <c r="CO269">
        <f>IF(AND(VLOOKUP(CO$1,main!$A$3:$H$102,7,FALSE)=main!$G$105,VLOOKUP(CO$1,main!$A$3:$H$102,5,FALSE)-VLOOKUP($A269,main!$A$3:$H$102,6,FALSE)&gt;=main!$D$103+VLOOKUP(VLOOKUP(CO$1,main!$A$3:$I$102,7,FALSE),main!$K$26:$Q$29,5,FALSE)),1,0)</f>
        <v>0</v>
      </c>
      <c r="CP269">
        <f>IF(AND(VLOOKUP(CP$1,main!$A$3:$H$102,7,FALSE)=main!$G$105,VLOOKUP(CP$1,main!$A$3:$H$102,5,FALSE)-VLOOKUP($A269,main!$A$3:$H$102,6,FALSE)&gt;=main!$D$103+VLOOKUP(VLOOKUP(CP$1,main!$A$3:$I$102,7,FALSE),main!$K$26:$Q$29,5,FALSE)),1,0)</f>
        <v>0</v>
      </c>
      <c r="CQ269">
        <f>IF(AND(VLOOKUP(CQ$1,main!$A$3:$H$102,7,FALSE)=main!$G$105,VLOOKUP(CQ$1,main!$A$3:$H$102,5,FALSE)-VLOOKUP($A269,main!$A$3:$H$102,6,FALSE)&gt;=main!$D$103+VLOOKUP(VLOOKUP(CQ$1,main!$A$3:$I$102,7,FALSE),main!$K$26:$Q$29,5,FALSE)),1,0)</f>
        <v>0</v>
      </c>
      <c r="CR269">
        <f>IF(AND(VLOOKUP(CR$1,main!$A$3:$H$102,7,FALSE)=main!$G$105,VLOOKUP(CR$1,main!$A$3:$H$102,5,FALSE)-VLOOKUP($A269,main!$A$3:$H$102,6,FALSE)&gt;=main!$D$103+VLOOKUP(VLOOKUP(CR$1,main!$A$3:$I$102,7,FALSE),main!$K$26:$Q$29,5,FALSE)),1,0)</f>
        <v>0</v>
      </c>
      <c r="CS269">
        <f>IF(AND(VLOOKUP(CS$1,main!$A$3:$H$102,7,FALSE)=main!$G$105,VLOOKUP(CS$1,main!$A$3:$H$102,5,FALSE)-VLOOKUP($A269,main!$A$3:$H$102,6,FALSE)&gt;=main!$D$103+VLOOKUP(VLOOKUP(CS$1,main!$A$3:$I$102,7,FALSE),main!$K$26:$Q$29,5,FALSE)),1,0)</f>
        <v>0</v>
      </c>
      <c r="CT269">
        <f>IF(AND(VLOOKUP(CT$1,main!$A$3:$H$102,7,FALSE)=main!$G$105,VLOOKUP(CT$1,main!$A$3:$H$102,5,FALSE)-VLOOKUP($A269,main!$A$3:$H$102,6,FALSE)&gt;=main!$D$103+VLOOKUP(VLOOKUP(CT$1,main!$A$3:$I$102,7,FALSE),main!$K$26:$Q$29,5,FALSE)),1,0)</f>
        <v>0</v>
      </c>
      <c r="CU269">
        <f>IF(AND(VLOOKUP(CU$1,main!$A$3:$H$102,7,FALSE)=main!$G$105,VLOOKUP(CU$1,main!$A$3:$H$102,5,FALSE)-VLOOKUP($A269,main!$A$3:$H$102,6,FALSE)&gt;=main!$D$103+VLOOKUP(VLOOKUP(CU$1,main!$A$3:$I$102,7,FALSE),main!$K$26:$Q$29,5,FALSE)),1,0)</f>
        <v>0</v>
      </c>
      <c r="CV269">
        <f>IF(AND(VLOOKUP(CV$1,main!$A$3:$H$102,7,FALSE)=main!$G$105,VLOOKUP(CV$1,main!$A$3:$H$102,5,FALSE)-VLOOKUP($A269,main!$A$3:$H$102,6,FALSE)&gt;=main!$D$103+VLOOKUP(VLOOKUP(CV$1,main!$A$3:$I$102,7,FALSE),main!$K$26:$Q$29,5,FALSE)),1,0)</f>
        <v>0</v>
      </c>
      <c r="CW269">
        <f>IF(AND(VLOOKUP(CW$1,main!$A$3:$H$102,7,FALSE)=main!$G$105,VLOOKUP(CW$1,main!$A$3:$H$102,5,FALSE)-VLOOKUP($A269,main!$A$3:$H$102,6,FALSE)&gt;=main!$D$103+VLOOKUP(VLOOKUP(CW$1,main!$A$3:$I$102,7,FALSE),main!$K$26:$Q$29,5,FALSE)),1,0)</f>
        <v>0</v>
      </c>
      <c r="CX269">
        <f>IF(AND(VLOOKUP(CX$1,main!$A$3:$H$102,7,FALSE)=main!$G$105,VLOOKUP(CX$1,main!$A$3:$H$102,5,FALSE)-VLOOKUP($A269,main!$A$3:$H$102,6,FALSE)&gt;=main!$D$103+VLOOKUP(VLOOKUP(CX$1,main!$A$3:$I$102,7,FALSE),main!$K$26:$Q$29,5,FALSE)),1,0)</f>
        <v>0</v>
      </c>
    </row>
    <row r="270" spans="1:102" x14ac:dyDescent="0.25">
      <c r="A270" s="1">
        <v>66</v>
      </c>
      <c r="B270">
        <v>0</v>
      </c>
      <c r="C270">
        <f>IF(AND(VLOOKUP(C$1,main!$A$3:$H$102,7,FALSE)=main!$G$105,VLOOKUP(C$1,main!$A$3:$H$102,5,FALSE)-VLOOKUP($A270,main!$A$3:$H$102,6,FALSE)&gt;=main!$D$103+VLOOKUP(VLOOKUP(C$1,main!$A$3:$I$102,7,FALSE),main!$K$26:$Q$29,5,FALSE)),1,0)</f>
        <v>0</v>
      </c>
      <c r="D270">
        <f>IF(AND(VLOOKUP(D$1,main!$A$3:$H$102,7,FALSE)=main!$G$105,VLOOKUP(D$1,main!$A$3:$H$102,5,FALSE)-VLOOKUP($A270,main!$A$3:$H$102,6,FALSE)&gt;=main!$D$103+VLOOKUP(VLOOKUP(D$1,main!$A$3:$I$102,7,FALSE),main!$K$26:$Q$29,5,FALSE)),1,0)</f>
        <v>0</v>
      </c>
      <c r="E270">
        <f>IF(AND(VLOOKUP(E$1,main!$A$3:$H$102,7,FALSE)=main!$G$105,VLOOKUP(E$1,main!$A$3:$H$102,5,FALSE)-VLOOKUP($A270,main!$A$3:$H$102,6,FALSE)&gt;=main!$D$103+VLOOKUP(VLOOKUP(E$1,main!$A$3:$I$102,7,FALSE),main!$K$26:$Q$29,5,FALSE)),1,0)</f>
        <v>0</v>
      </c>
      <c r="F270">
        <f>IF(AND(VLOOKUP(F$1,main!$A$3:$H$102,7,FALSE)=main!$G$105,VLOOKUP(F$1,main!$A$3:$H$102,5,FALSE)-VLOOKUP($A270,main!$A$3:$H$102,6,FALSE)&gt;=main!$D$103+VLOOKUP(VLOOKUP(F$1,main!$A$3:$I$102,7,FALSE),main!$K$26:$Q$29,5,FALSE)),1,0)</f>
        <v>0</v>
      </c>
      <c r="G270">
        <f>IF(AND(VLOOKUP(G$1,main!$A$3:$H$102,7,FALSE)=main!$G$105,VLOOKUP(G$1,main!$A$3:$H$102,5,FALSE)-VLOOKUP($A270,main!$A$3:$H$102,6,FALSE)&gt;=main!$D$103+VLOOKUP(VLOOKUP(G$1,main!$A$3:$I$102,7,FALSE),main!$K$26:$Q$29,5,FALSE)),1,0)</f>
        <v>0</v>
      </c>
      <c r="H270">
        <f>IF(AND(VLOOKUP(H$1,main!$A$3:$H$102,7,FALSE)=main!$G$105,VLOOKUP(H$1,main!$A$3:$H$102,5,FALSE)-VLOOKUP($A270,main!$A$3:$H$102,6,FALSE)&gt;=main!$D$103+VLOOKUP(VLOOKUP(H$1,main!$A$3:$I$102,7,FALSE),main!$K$26:$Q$29,5,FALSE)),1,0)</f>
        <v>0</v>
      </c>
      <c r="I270">
        <f>IF(AND(VLOOKUP(I$1,main!$A$3:$H$102,7,FALSE)=main!$G$105,VLOOKUP(I$1,main!$A$3:$H$102,5,FALSE)-VLOOKUP($A270,main!$A$3:$H$102,6,FALSE)&gt;=main!$D$103+VLOOKUP(VLOOKUP(I$1,main!$A$3:$I$102,7,FALSE),main!$K$26:$Q$29,5,FALSE)),1,0)</f>
        <v>0</v>
      </c>
      <c r="J270">
        <f>IF(AND(VLOOKUP(J$1,main!$A$3:$H$102,7,FALSE)=main!$G$105,VLOOKUP(J$1,main!$A$3:$H$102,5,FALSE)-VLOOKUP($A270,main!$A$3:$H$102,6,FALSE)&gt;=main!$D$103+VLOOKUP(VLOOKUP(J$1,main!$A$3:$I$102,7,FALSE),main!$K$26:$Q$29,5,FALSE)),1,0)</f>
        <v>0</v>
      </c>
      <c r="K270">
        <f>IF(AND(VLOOKUP(K$1,main!$A$3:$H$102,7,FALSE)=main!$G$105,VLOOKUP(K$1,main!$A$3:$H$102,5,FALSE)-VLOOKUP($A270,main!$A$3:$H$102,6,FALSE)&gt;=main!$D$103+VLOOKUP(VLOOKUP(K$1,main!$A$3:$I$102,7,FALSE),main!$K$26:$Q$29,5,FALSE)),1,0)</f>
        <v>0</v>
      </c>
      <c r="L270">
        <f>IF(AND(VLOOKUP(L$1,main!$A$3:$H$102,7,FALSE)=main!$G$105,VLOOKUP(L$1,main!$A$3:$H$102,5,FALSE)-VLOOKUP($A270,main!$A$3:$H$102,6,FALSE)&gt;=main!$D$103+VLOOKUP(VLOOKUP(L$1,main!$A$3:$I$102,7,FALSE),main!$K$26:$Q$29,5,FALSE)),1,0)</f>
        <v>0</v>
      </c>
      <c r="M270">
        <f>IF(AND(VLOOKUP(M$1,main!$A$3:$H$102,7,FALSE)=main!$G$105,VLOOKUP(M$1,main!$A$3:$H$102,5,FALSE)-VLOOKUP($A270,main!$A$3:$H$102,6,FALSE)&gt;=main!$D$103+VLOOKUP(VLOOKUP(M$1,main!$A$3:$I$102,7,FALSE),main!$K$26:$Q$29,5,FALSE)),1,0)</f>
        <v>0</v>
      </c>
      <c r="N270">
        <f>IF(AND(VLOOKUP(N$1,main!$A$3:$H$102,7,FALSE)=main!$G$105,VLOOKUP(N$1,main!$A$3:$H$102,5,FALSE)-VLOOKUP($A270,main!$A$3:$H$102,6,FALSE)&gt;=main!$D$103+VLOOKUP(VLOOKUP(N$1,main!$A$3:$I$102,7,FALSE),main!$K$26:$Q$29,5,FALSE)),1,0)</f>
        <v>0</v>
      </c>
      <c r="O270">
        <f>IF(AND(VLOOKUP(O$1,main!$A$3:$H$102,7,FALSE)=main!$G$105,VLOOKUP(O$1,main!$A$3:$H$102,5,FALSE)-VLOOKUP($A270,main!$A$3:$H$102,6,FALSE)&gt;=main!$D$103+VLOOKUP(VLOOKUP(O$1,main!$A$3:$I$102,7,FALSE),main!$K$26:$Q$29,5,FALSE)),1,0)</f>
        <v>0</v>
      </c>
      <c r="P270">
        <f>IF(AND(VLOOKUP(P$1,main!$A$3:$H$102,7,FALSE)=main!$G$105,VLOOKUP(P$1,main!$A$3:$H$102,5,FALSE)-VLOOKUP($A270,main!$A$3:$H$102,6,FALSE)&gt;=main!$D$103+VLOOKUP(VLOOKUP(P$1,main!$A$3:$I$102,7,FALSE),main!$K$26:$Q$29,5,FALSE)),1,0)</f>
        <v>0</v>
      </c>
      <c r="Q270">
        <f>IF(AND(VLOOKUP(Q$1,main!$A$3:$H$102,7,FALSE)=main!$G$105,VLOOKUP(Q$1,main!$A$3:$H$102,5,FALSE)-VLOOKUP($A270,main!$A$3:$H$102,6,FALSE)&gt;=main!$D$103+VLOOKUP(VLOOKUP(Q$1,main!$A$3:$I$102,7,FALSE),main!$K$26:$Q$29,5,FALSE)),1,0)</f>
        <v>0</v>
      </c>
      <c r="R270">
        <f>IF(AND(VLOOKUP(R$1,main!$A$3:$H$102,7,FALSE)=main!$G$105,VLOOKUP(R$1,main!$A$3:$H$102,5,FALSE)-VLOOKUP($A270,main!$A$3:$H$102,6,FALSE)&gt;=main!$D$103+VLOOKUP(VLOOKUP(R$1,main!$A$3:$I$102,7,FALSE),main!$K$26:$Q$29,5,FALSE)),1,0)</f>
        <v>0</v>
      </c>
      <c r="S270">
        <f>IF(AND(VLOOKUP(S$1,main!$A$3:$H$102,7,FALSE)=main!$G$105,VLOOKUP(S$1,main!$A$3:$H$102,5,FALSE)-VLOOKUP($A270,main!$A$3:$H$102,6,FALSE)&gt;=main!$D$103+VLOOKUP(VLOOKUP(S$1,main!$A$3:$I$102,7,FALSE),main!$K$26:$Q$29,5,FALSE)),1,0)</f>
        <v>0</v>
      </c>
      <c r="T270">
        <f>IF(AND(VLOOKUP(T$1,main!$A$3:$H$102,7,FALSE)=main!$G$105,VLOOKUP(T$1,main!$A$3:$H$102,5,FALSE)-VLOOKUP($A270,main!$A$3:$H$102,6,FALSE)&gt;=main!$D$103+VLOOKUP(VLOOKUP(T$1,main!$A$3:$I$102,7,FALSE),main!$K$26:$Q$29,5,FALSE)),1,0)</f>
        <v>0</v>
      </c>
      <c r="U270">
        <f>IF(AND(VLOOKUP(U$1,main!$A$3:$H$102,7,FALSE)=main!$G$105,VLOOKUP(U$1,main!$A$3:$H$102,5,FALSE)-VLOOKUP($A270,main!$A$3:$H$102,6,FALSE)&gt;=main!$D$103+VLOOKUP(VLOOKUP(U$1,main!$A$3:$I$102,7,FALSE),main!$K$26:$Q$29,5,FALSE)),1,0)</f>
        <v>0</v>
      </c>
      <c r="V270">
        <f>IF(AND(VLOOKUP(V$1,main!$A$3:$H$102,7,FALSE)=main!$G$105,VLOOKUP(V$1,main!$A$3:$H$102,5,FALSE)-VLOOKUP($A270,main!$A$3:$H$102,6,FALSE)&gt;=main!$D$103+VLOOKUP(VLOOKUP(V$1,main!$A$3:$I$102,7,FALSE),main!$K$26:$Q$29,5,FALSE)),1,0)</f>
        <v>0</v>
      </c>
      <c r="W270">
        <f>IF(AND(VLOOKUP(W$1,main!$A$3:$H$102,7,FALSE)=main!$G$105,VLOOKUP(W$1,main!$A$3:$H$102,5,FALSE)-VLOOKUP($A270,main!$A$3:$H$102,6,FALSE)&gt;=main!$D$103+VLOOKUP(VLOOKUP(W$1,main!$A$3:$I$102,7,FALSE),main!$K$26:$Q$29,5,FALSE)),1,0)</f>
        <v>0</v>
      </c>
      <c r="X270">
        <f>IF(AND(VLOOKUP(X$1,main!$A$3:$H$102,7,FALSE)=main!$G$105,VLOOKUP(X$1,main!$A$3:$H$102,5,FALSE)-VLOOKUP($A270,main!$A$3:$H$102,6,FALSE)&gt;=main!$D$103+VLOOKUP(VLOOKUP(X$1,main!$A$3:$I$102,7,FALSE),main!$K$26:$Q$29,5,FALSE)),1,0)</f>
        <v>0</v>
      </c>
      <c r="Y270">
        <f>IF(AND(VLOOKUP(Y$1,main!$A$3:$H$102,7,FALSE)=main!$G$105,VLOOKUP(Y$1,main!$A$3:$H$102,5,FALSE)-VLOOKUP($A270,main!$A$3:$H$102,6,FALSE)&gt;=main!$D$103+VLOOKUP(VLOOKUP(Y$1,main!$A$3:$I$102,7,FALSE),main!$K$26:$Q$29,5,FALSE)),1,0)</f>
        <v>0</v>
      </c>
      <c r="Z270">
        <f>IF(AND(VLOOKUP(Z$1,main!$A$3:$H$102,7,FALSE)=main!$G$105,VLOOKUP(Z$1,main!$A$3:$H$102,5,FALSE)-VLOOKUP($A270,main!$A$3:$H$102,6,FALSE)&gt;=main!$D$103+VLOOKUP(VLOOKUP(Z$1,main!$A$3:$I$102,7,FALSE),main!$K$26:$Q$29,5,FALSE)),1,0)</f>
        <v>0</v>
      </c>
      <c r="AA270">
        <f>IF(AND(VLOOKUP(AA$1,main!$A$3:$H$102,7,FALSE)=main!$G$105,VLOOKUP(AA$1,main!$A$3:$H$102,5,FALSE)-VLOOKUP($A270,main!$A$3:$H$102,6,FALSE)&gt;=main!$D$103+VLOOKUP(VLOOKUP(AA$1,main!$A$3:$I$102,7,FALSE),main!$K$26:$Q$29,5,FALSE)),1,0)</f>
        <v>0</v>
      </c>
      <c r="AB270">
        <f>IF(AND(VLOOKUP(AB$1,main!$A$3:$H$102,7,FALSE)=main!$G$105,VLOOKUP(AB$1,main!$A$3:$H$102,5,FALSE)-VLOOKUP($A270,main!$A$3:$H$102,6,FALSE)&gt;=main!$D$103+VLOOKUP(VLOOKUP(AB$1,main!$A$3:$I$102,7,FALSE),main!$K$26:$Q$29,5,FALSE)),1,0)</f>
        <v>0</v>
      </c>
      <c r="AC270">
        <f>IF(AND(VLOOKUP(AC$1,main!$A$3:$H$102,7,FALSE)=main!$G$105,VLOOKUP(AC$1,main!$A$3:$H$102,5,FALSE)-VLOOKUP($A270,main!$A$3:$H$102,6,FALSE)&gt;=main!$D$103+VLOOKUP(VLOOKUP(AC$1,main!$A$3:$I$102,7,FALSE),main!$K$26:$Q$29,5,FALSE)),1,0)</f>
        <v>0</v>
      </c>
      <c r="AD270">
        <f>IF(AND(VLOOKUP(AD$1,main!$A$3:$H$102,7,FALSE)=main!$G$105,VLOOKUP(AD$1,main!$A$3:$H$102,5,FALSE)-VLOOKUP($A270,main!$A$3:$H$102,6,FALSE)&gt;=main!$D$103+VLOOKUP(VLOOKUP(AD$1,main!$A$3:$I$102,7,FALSE),main!$K$26:$Q$29,5,FALSE)),1,0)</f>
        <v>0</v>
      </c>
      <c r="AE270">
        <f>IF(AND(VLOOKUP(AE$1,main!$A$3:$H$102,7,FALSE)=main!$G$105,VLOOKUP(AE$1,main!$A$3:$H$102,5,FALSE)-VLOOKUP($A270,main!$A$3:$H$102,6,FALSE)&gt;=main!$D$103+VLOOKUP(VLOOKUP(AE$1,main!$A$3:$I$102,7,FALSE),main!$K$26:$Q$29,5,FALSE)),1,0)</f>
        <v>0</v>
      </c>
      <c r="AF270">
        <f>IF(AND(VLOOKUP(AF$1,main!$A$3:$H$102,7,FALSE)=main!$G$105,VLOOKUP(AF$1,main!$A$3:$H$102,5,FALSE)-VLOOKUP($A270,main!$A$3:$H$102,6,FALSE)&gt;=main!$D$103+VLOOKUP(VLOOKUP(AF$1,main!$A$3:$I$102,7,FALSE),main!$K$26:$Q$29,5,FALSE)),1,0)</f>
        <v>0</v>
      </c>
      <c r="AG270">
        <f>IF(AND(VLOOKUP(AG$1,main!$A$3:$H$102,7,FALSE)=main!$G$105,VLOOKUP(AG$1,main!$A$3:$H$102,5,FALSE)-VLOOKUP($A270,main!$A$3:$H$102,6,FALSE)&gt;=main!$D$103+VLOOKUP(VLOOKUP(AG$1,main!$A$3:$I$102,7,FALSE),main!$K$26:$Q$29,5,FALSE)),1,0)</f>
        <v>0</v>
      </c>
      <c r="AH270">
        <f>IF(AND(VLOOKUP(AH$1,main!$A$3:$H$102,7,FALSE)=main!$G$105,VLOOKUP(AH$1,main!$A$3:$H$102,5,FALSE)-VLOOKUP($A270,main!$A$3:$H$102,6,FALSE)&gt;=main!$D$103+VLOOKUP(VLOOKUP(AH$1,main!$A$3:$I$102,7,FALSE),main!$K$26:$Q$29,5,FALSE)),1,0)</f>
        <v>0</v>
      </c>
      <c r="AI270">
        <f>IF(AND(VLOOKUP(AI$1,main!$A$3:$H$102,7,FALSE)=main!$G$105,VLOOKUP(AI$1,main!$A$3:$H$102,5,FALSE)-VLOOKUP($A270,main!$A$3:$H$102,6,FALSE)&gt;=main!$D$103+VLOOKUP(VLOOKUP(AI$1,main!$A$3:$I$102,7,FALSE),main!$K$26:$Q$29,5,FALSE)),1,0)</f>
        <v>0</v>
      </c>
      <c r="AJ270">
        <f>IF(AND(VLOOKUP(AJ$1,main!$A$3:$H$102,7,FALSE)=main!$G$105,VLOOKUP(AJ$1,main!$A$3:$H$102,5,FALSE)-VLOOKUP($A270,main!$A$3:$H$102,6,FALSE)&gt;=main!$D$103+VLOOKUP(VLOOKUP(AJ$1,main!$A$3:$I$102,7,FALSE),main!$K$26:$Q$29,5,FALSE)),1,0)</f>
        <v>1</v>
      </c>
      <c r="AK270">
        <f>IF(AND(VLOOKUP(AK$1,main!$A$3:$H$102,7,FALSE)=main!$G$105,VLOOKUP(AK$1,main!$A$3:$H$102,5,FALSE)-VLOOKUP($A270,main!$A$3:$H$102,6,FALSE)&gt;=main!$D$103+VLOOKUP(VLOOKUP(AK$1,main!$A$3:$I$102,7,FALSE),main!$K$26:$Q$29,5,FALSE)),1,0)</f>
        <v>1</v>
      </c>
      <c r="AL270">
        <f>IF(AND(VLOOKUP(AL$1,main!$A$3:$H$102,7,FALSE)=main!$G$105,VLOOKUP(AL$1,main!$A$3:$H$102,5,FALSE)-VLOOKUP($A270,main!$A$3:$H$102,6,FALSE)&gt;=main!$D$103+VLOOKUP(VLOOKUP(AL$1,main!$A$3:$I$102,7,FALSE),main!$K$26:$Q$29,5,FALSE)),1,0)</f>
        <v>1</v>
      </c>
      <c r="AM270">
        <f>IF(AND(VLOOKUP(AM$1,main!$A$3:$H$102,7,FALSE)=main!$G$105,VLOOKUP(AM$1,main!$A$3:$H$102,5,FALSE)-VLOOKUP($A270,main!$A$3:$H$102,6,FALSE)&gt;=main!$D$103+VLOOKUP(VLOOKUP(AM$1,main!$A$3:$I$102,7,FALSE),main!$K$26:$Q$29,5,FALSE)),1,0)</f>
        <v>1</v>
      </c>
      <c r="AN270">
        <f>IF(AND(VLOOKUP(AN$1,main!$A$3:$H$102,7,FALSE)=main!$G$105,VLOOKUP(AN$1,main!$A$3:$H$102,5,FALSE)-VLOOKUP($A270,main!$A$3:$H$102,6,FALSE)&gt;=main!$D$103+VLOOKUP(VLOOKUP(AN$1,main!$A$3:$I$102,7,FALSE),main!$K$26:$Q$29,5,FALSE)),1,0)</f>
        <v>1</v>
      </c>
      <c r="AO270">
        <f>IF(AND(VLOOKUP(AO$1,main!$A$3:$H$102,7,FALSE)=main!$G$105,VLOOKUP(AO$1,main!$A$3:$H$102,5,FALSE)-VLOOKUP($A270,main!$A$3:$H$102,6,FALSE)&gt;=main!$D$103+VLOOKUP(VLOOKUP(AO$1,main!$A$3:$I$102,7,FALSE),main!$K$26:$Q$29,5,FALSE)),1,0)</f>
        <v>0</v>
      </c>
      <c r="AP270">
        <f>IF(AND(VLOOKUP(AP$1,main!$A$3:$H$102,7,FALSE)=main!$G$105,VLOOKUP(AP$1,main!$A$3:$H$102,5,FALSE)-VLOOKUP($A270,main!$A$3:$H$102,6,FALSE)&gt;=main!$D$103+VLOOKUP(VLOOKUP(AP$1,main!$A$3:$I$102,7,FALSE),main!$K$26:$Q$29,5,FALSE)),1,0)</f>
        <v>1</v>
      </c>
      <c r="AQ270">
        <f>IF(AND(VLOOKUP(AQ$1,main!$A$3:$H$102,7,FALSE)=main!$G$105,VLOOKUP(AQ$1,main!$A$3:$H$102,5,FALSE)-VLOOKUP($A270,main!$A$3:$H$102,6,FALSE)&gt;=main!$D$103+VLOOKUP(VLOOKUP(AQ$1,main!$A$3:$I$102,7,FALSE),main!$K$26:$Q$29,5,FALSE)),1,0)</f>
        <v>0</v>
      </c>
      <c r="AR270">
        <f>IF(AND(VLOOKUP(AR$1,main!$A$3:$H$102,7,FALSE)=main!$G$105,VLOOKUP(AR$1,main!$A$3:$H$102,5,FALSE)-VLOOKUP($A270,main!$A$3:$H$102,6,FALSE)&gt;=main!$D$103+VLOOKUP(VLOOKUP(AR$1,main!$A$3:$I$102,7,FALSE),main!$K$26:$Q$29,5,FALSE)),1,0)</f>
        <v>0</v>
      </c>
      <c r="AS270">
        <f>IF(AND(VLOOKUP(AS$1,main!$A$3:$H$102,7,FALSE)=main!$G$105,VLOOKUP(AS$1,main!$A$3:$H$102,5,FALSE)-VLOOKUP($A270,main!$A$3:$H$102,6,FALSE)&gt;=main!$D$103+VLOOKUP(VLOOKUP(AS$1,main!$A$3:$I$102,7,FALSE),main!$K$26:$Q$29,5,FALSE)),1,0)</f>
        <v>1</v>
      </c>
      <c r="AT270">
        <f>IF(AND(VLOOKUP(AT$1,main!$A$3:$H$102,7,FALSE)=main!$G$105,VLOOKUP(AT$1,main!$A$3:$H$102,5,FALSE)-VLOOKUP($A270,main!$A$3:$H$102,6,FALSE)&gt;=main!$D$103+VLOOKUP(VLOOKUP(AT$1,main!$A$3:$I$102,7,FALSE),main!$K$26:$Q$29,5,FALSE)),1,0)</f>
        <v>1</v>
      </c>
      <c r="AU270">
        <f>IF(AND(VLOOKUP(AU$1,main!$A$3:$H$102,7,FALSE)=main!$G$105,VLOOKUP(AU$1,main!$A$3:$H$102,5,FALSE)-VLOOKUP($A270,main!$A$3:$H$102,6,FALSE)&gt;=main!$D$103+VLOOKUP(VLOOKUP(AU$1,main!$A$3:$I$102,7,FALSE),main!$K$26:$Q$29,5,FALSE)),1,0)</f>
        <v>0</v>
      </c>
      <c r="AV270">
        <f>IF(AND(VLOOKUP(AV$1,main!$A$3:$H$102,7,FALSE)=main!$G$105,VLOOKUP(AV$1,main!$A$3:$H$102,5,FALSE)-VLOOKUP($A270,main!$A$3:$H$102,6,FALSE)&gt;=main!$D$103+VLOOKUP(VLOOKUP(AV$1,main!$A$3:$I$102,7,FALSE),main!$K$26:$Q$29,5,FALSE)),1,0)</f>
        <v>0</v>
      </c>
      <c r="AW270">
        <f>IF(AND(VLOOKUP(AW$1,main!$A$3:$H$102,7,FALSE)=main!$G$105,VLOOKUP(AW$1,main!$A$3:$H$102,5,FALSE)-VLOOKUP($A270,main!$A$3:$H$102,6,FALSE)&gt;=main!$D$103+VLOOKUP(VLOOKUP(AW$1,main!$A$3:$I$102,7,FALSE),main!$K$26:$Q$29,5,FALSE)),1,0)</f>
        <v>1</v>
      </c>
      <c r="AX270">
        <f>IF(AND(VLOOKUP(AX$1,main!$A$3:$H$102,7,FALSE)=main!$G$105,VLOOKUP(AX$1,main!$A$3:$H$102,5,FALSE)-VLOOKUP($A270,main!$A$3:$H$102,6,FALSE)&gt;=main!$D$103+VLOOKUP(VLOOKUP(AX$1,main!$A$3:$I$102,7,FALSE),main!$K$26:$Q$29,5,FALSE)),1,0)</f>
        <v>1</v>
      </c>
      <c r="AY270">
        <f>IF(AND(VLOOKUP(AY$1,main!$A$3:$H$102,7,FALSE)=main!$G$105,VLOOKUP(AY$1,main!$A$3:$H$102,5,FALSE)-VLOOKUP($A270,main!$A$3:$H$102,6,FALSE)&gt;=main!$D$103+VLOOKUP(VLOOKUP(AY$1,main!$A$3:$I$102,7,FALSE),main!$K$26:$Q$29,5,FALSE)),1,0)</f>
        <v>0</v>
      </c>
      <c r="AZ270">
        <f>IF(AND(VLOOKUP(AZ$1,main!$A$3:$H$102,7,FALSE)=main!$G$105,VLOOKUP(AZ$1,main!$A$3:$H$102,5,FALSE)-VLOOKUP($A270,main!$A$3:$H$102,6,FALSE)&gt;=main!$D$103+VLOOKUP(VLOOKUP(AZ$1,main!$A$3:$I$102,7,FALSE),main!$K$26:$Q$29,5,FALSE)),1,0)</f>
        <v>1</v>
      </c>
      <c r="BA270">
        <f>IF(AND(VLOOKUP(BA$1,main!$A$3:$H$102,7,FALSE)=main!$G$105,VLOOKUP(BA$1,main!$A$3:$H$102,5,FALSE)-VLOOKUP($A270,main!$A$3:$H$102,6,FALSE)&gt;=main!$D$103+VLOOKUP(VLOOKUP(BA$1,main!$A$3:$I$102,7,FALSE),main!$K$26:$Q$29,5,FALSE)),1,0)</f>
        <v>0</v>
      </c>
      <c r="BB270">
        <f>IF(AND(VLOOKUP(BB$1,main!$A$3:$H$102,7,FALSE)=main!$G$105,VLOOKUP(BB$1,main!$A$3:$H$102,5,FALSE)-VLOOKUP($A270,main!$A$3:$H$102,6,FALSE)&gt;=main!$D$103+VLOOKUP(VLOOKUP(BB$1,main!$A$3:$I$102,7,FALSE),main!$K$26:$Q$29,5,FALSE)),1,0)</f>
        <v>0</v>
      </c>
      <c r="BC270">
        <f>IF(AND(VLOOKUP(BC$1,main!$A$3:$H$102,7,FALSE)=main!$G$105,VLOOKUP(BC$1,main!$A$3:$H$102,5,FALSE)-VLOOKUP($A270,main!$A$3:$H$102,6,FALSE)&gt;=main!$D$103+VLOOKUP(VLOOKUP(BC$1,main!$A$3:$I$102,7,FALSE),main!$K$26:$Q$29,5,FALSE)),1,0)</f>
        <v>0</v>
      </c>
      <c r="BD270">
        <f>IF(AND(VLOOKUP(BD$1,main!$A$3:$H$102,7,FALSE)=main!$G$105,VLOOKUP(BD$1,main!$A$3:$H$102,5,FALSE)-VLOOKUP($A270,main!$A$3:$H$102,6,FALSE)&gt;=main!$D$103+VLOOKUP(VLOOKUP(BD$1,main!$A$3:$I$102,7,FALSE),main!$K$26:$Q$29,5,FALSE)),1,0)</f>
        <v>0</v>
      </c>
      <c r="BE270">
        <f>IF(AND(VLOOKUP(BE$1,main!$A$3:$H$102,7,FALSE)=main!$G$105,VLOOKUP(BE$1,main!$A$3:$H$102,5,FALSE)-VLOOKUP($A270,main!$A$3:$H$102,6,FALSE)&gt;=main!$D$103+VLOOKUP(VLOOKUP(BE$1,main!$A$3:$I$102,7,FALSE),main!$K$26:$Q$29,5,FALSE)),1,0)</f>
        <v>0</v>
      </c>
      <c r="BF270">
        <f>IF(AND(VLOOKUP(BF$1,main!$A$3:$H$102,7,FALSE)=main!$G$105,VLOOKUP(BF$1,main!$A$3:$H$102,5,FALSE)-VLOOKUP($A270,main!$A$3:$H$102,6,FALSE)&gt;=main!$D$103+VLOOKUP(VLOOKUP(BF$1,main!$A$3:$I$102,7,FALSE),main!$K$26:$Q$29,5,FALSE)),1,0)</f>
        <v>0</v>
      </c>
      <c r="BG270">
        <f>IF(AND(VLOOKUP(BG$1,main!$A$3:$H$102,7,FALSE)=main!$G$105,VLOOKUP(BG$1,main!$A$3:$H$102,5,FALSE)-VLOOKUP($A270,main!$A$3:$H$102,6,FALSE)&gt;=main!$D$103+VLOOKUP(VLOOKUP(BG$1,main!$A$3:$I$102,7,FALSE),main!$K$26:$Q$29,5,FALSE)),1,0)</f>
        <v>0</v>
      </c>
      <c r="BH270">
        <f>IF(AND(VLOOKUP(BH$1,main!$A$3:$H$102,7,FALSE)=main!$G$105,VLOOKUP(BH$1,main!$A$3:$H$102,5,FALSE)-VLOOKUP($A270,main!$A$3:$H$102,6,FALSE)&gt;=main!$D$103+VLOOKUP(VLOOKUP(BH$1,main!$A$3:$I$102,7,FALSE),main!$K$26:$Q$29,5,FALSE)),1,0)</f>
        <v>0</v>
      </c>
      <c r="BI270">
        <f>IF(AND(VLOOKUP(BI$1,main!$A$3:$H$102,7,FALSE)=main!$G$105,VLOOKUP(BI$1,main!$A$3:$H$102,5,FALSE)-VLOOKUP($A270,main!$A$3:$H$102,6,FALSE)&gt;=main!$D$103+VLOOKUP(VLOOKUP(BI$1,main!$A$3:$I$102,7,FALSE),main!$K$26:$Q$29,5,FALSE)),1,0)</f>
        <v>0</v>
      </c>
      <c r="BJ270">
        <f>IF(AND(VLOOKUP(BJ$1,main!$A$3:$H$102,7,FALSE)=main!$G$105,VLOOKUP(BJ$1,main!$A$3:$H$102,5,FALSE)-VLOOKUP($A270,main!$A$3:$H$102,6,FALSE)&gt;=main!$D$103+VLOOKUP(VLOOKUP(BJ$1,main!$A$3:$I$102,7,FALSE),main!$K$26:$Q$29,5,FALSE)),1,0)</f>
        <v>0</v>
      </c>
      <c r="BK270">
        <f>IF(AND(VLOOKUP(BK$1,main!$A$3:$H$102,7,FALSE)=main!$G$105,VLOOKUP(BK$1,main!$A$3:$H$102,5,FALSE)-VLOOKUP($A270,main!$A$3:$H$102,6,FALSE)&gt;=main!$D$103+VLOOKUP(VLOOKUP(BK$1,main!$A$3:$I$102,7,FALSE),main!$K$26:$Q$29,5,FALSE)),1,0)</f>
        <v>0</v>
      </c>
      <c r="BL270">
        <f>IF(AND(VLOOKUP(BL$1,main!$A$3:$H$102,7,FALSE)=main!$G$105,VLOOKUP(BL$1,main!$A$3:$H$102,5,FALSE)-VLOOKUP($A270,main!$A$3:$H$102,6,FALSE)&gt;=main!$D$103+VLOOKUP(VLOOKUP(BL$1,main!$A$3:$I$102,7,FALSE),main!$K$26:$Q$29,5,FALSE)),1,0)</f>
        <v>0</v>
      </c>
      <c r="BM270">
        <f>IF(AND(VLOOKUP(BM$1,main!$A$3:$H$102,7,FALSE)=main!$G$105,VLOOKUP(BM$1,main!$A$3:$H$102,5,FALSE)-VLOOKUP($A270,main!$A$3:$H$102,6,FALSE)&gt;=main!$D$103+VLOOKUP(VLOOKUP(BM$1,main!$A$3:$I$102,7,FALSE),main!$K$26:$Q$29,5,FALSE)),1,0)</f>
        <v>0</v>
      </c>
      <c r="BN270">
        <f>IF(AND(VLOOKUP(BN$1,main!$A$3:$H$102,7,FALSE)=main!$G$105,VLOOKUP(BN$1,main!$A$3:$H$102,5,FALSE)-VLOOKUP($A270,main!$A$3:$H$102,6,FALSE)&gt;=main!$D$103+VLOOKUP(VLOOKUP(BN$1,main!$A$3:$I$102,7,FALSE),main!$K$26:$Q$29,5,FALSE)),1,0)</f>
        <v>0</v>
      </c>
      <c r="BO270">
        <f>IF(AND(VLOOKUP(BO$1,main!$A$3:$H$102,7,FALSE)=main!$G$105,VLOOKUP(BO$1,main!$A$3:$H$102,5,FALSE)-VLOOKUP($A270,main!$A$3:$H$102,6,FALSE)&gt;=main!$D$103+VLOOKUP(VLOOKUP(BO$1,main!$A$3:$I$102,7,FALSE),main!$K$26:$Q$29,5,FALSE)),1,0)</f>
        <v>0</v>
      </c>
      <c r="BP270">
        <f>IF(AND(VLOOKUP(BP$1,main!$A$3:$H$102,7,FALSE)=main!$G$105,VLOOKUP(BP$1,main!$A$3:$H$102,5,FALSE)-VLOOKUP($A270,main!$A$3:$H$102,6,FALSE)&gt;=main!$D$103+VLOOKUP(VLOOKUP(BP$1,main!$A$3:$I$102,7,FALSE),main!$K$26:$Q$29,5,FALSE)),1,0)</f>
        <v>0</v>
      </c>
      <c r="BQ270">
        <f>IF(AND(VLOOKUP(BQ$1,main!$A$3:$H$102,7,FALSE)=main!$G$105,VLOOKUP(BQ$1,main!$A$3:$H$102,5,FALSE)-VLOOKUP($A270,main!$A$3:$H$102,6,FALSE)&gt;=main!$D$103+VLOOKUP(VLOOKUP(BQ$1,main!$A$3:$I$102,7,FALSE),main!$K$26:$Q$29,5,FALSE)),1,0)</f>
        <v>0</v>
      </c>
      <c r="BR270">
        <f>IF(AND(VLOOKUP(BR$1,main!$A$3:$H$102,7,FALSE)=main!$G$105,VLOOKUP(BR$1,main!$A$3:$H$102,5,FALSE)-VLOOKUP($A270,main!$A$3:$H$102,6,FALSE)&gt;=main!$D$103+VLOOKUP(VLOOKUP(BR$1,main!$A$3:$I$102,7,FALSE),main!$K$26:$Q$29,5,FALSE)),1,0)</f>
        <v>0</v>
      </c>
      <c r="BS270">
        <f>IF(AND(VLOOKUP(BS$1,main!$A$3:$H$102,7,FALSE)=main!$G$105,VLOOKUP(BS$1,main!$A$3:$H$102,5,FALSE)-VLOOKUP($A270,main!$A$3:$H$102,6,FALSE)&gt;=main!$D$103+VLOOKUP(VLOOKUP(BS$1,main!$A$3:$I$102,7,FALSE),main!$K$26:$Q$29,5,FALSE)),1,0)</f>
        <v>0</v>
      </c>
      <c r="BT270">
        <f>IF(AND(VLOOKUP(BT$1,main!$A$3:$H$102,7,FALSE)=main!$G$105,VLOOKUP(BT$1,main!$A$3:$H$102,5,FALSE)-VLOOKUP($A270,main!$A$3:$H$102,6,FALSE)&gt;=main!$D$103+VLOOKUP(VLOOKUP(BT$1,main!$A$3:$I$102,7,FALSE),main!$K$26:$Q$29,5,FALSE)),1,0)</f>
        <v>0</v>
      </c>
      <c r="BU270">
        <f>IF(AND(VLOOKUP(BU$1,main!$A$3:$H$102,7,FALSE)=main!$G$105,VLOOKUP(BU$1,main!$A$3:$H$102,5,FALSE)-VLOOKUP($A270,main!$A$3:$H$102,6,FALSE)&gt;=main!$D$103+VLOOKUP(VLOOKUP(BU$1,main!$A$3:$I$102,7,FALSE),main!$K$26:$Q$29,5,FALSE)),1,0)</f>
        <v>0</v>
      </c>
      <c r="BV270">
        <f>IF(AND(VLOOKUP(BV$1,main!$A$3:$H$102,7,FALSE)=main!$G$105,VLOOKUP(BV$1,main!$A$3:$H$102,5,FALSE)-VLOOKUP($A270,main!$A$3:$H$102,6,FALSE)&gt;=main!$D$103+VLOOKUP(VLOOKUP(BV$1,main!$A$3:$I$102,7,FALSE),main!$K$26:$Q$29,5,FALSE)),1,0)</f>
        <v>0</v>
      </c>
      <c r="BW270">
        <f>IF(AND(VLOOKUP(BW$1,main!$A$3:$H$102,7,FALSE)=main!$G$105,VLOOKUP(BW$1,main!$A$3:$H$102,5,FALSE)-VLOOKUP($A270,main!$A$3:$H$102,6,FALSE)&gt;=main!$D$103+VLOOKUP(VLOOKUP(BW$1,main!$A$3:$I$102,7,FALSE),main!$K$26:$Q$29,5,FALSE)),1,0)</f>
        <v>0</v>
      </c>
      <c r="BX270">
        <f>IF(AND(VLOOKUP(BX$1,main!$A$3:$H$102,7,FALSE)=main!$G$105,VLOOKUP(BX$1,main!$A$3:$H$102,5,FALSE)-VLOOKUP($A270,main!$A$3:$H$102,6,FALSE)&gt;=main!$D$103+VLOOKUP(VLOOKUP(BX$1,main!$A$3:$I$102,7,FALSE),main!$K$26:$Q$29,5,FALSE)),1,0)</f>
        <v>0</v>
      </c>
      <c r="BY270">
        <f>IF(AND(VLOOKUP(BY$1,main!$A$3:$H$102,7,FALSE)=main!$G$105,VLOOKUP(BY$1,main!$A$3:$H$102,5,FALSE)-VLOOKUP($A270,main!$A$3:$H$102,6,FALSE)&gt;=main!$D$103+VLOOKUP(VLOOKUP(BY$1,main!$A$3:$I$102,7,FALSE),main!$K$26:$Q$29,5,FALSE)),1,0)</f>
        <v>0</v>
      </c>
      <c r="BZ270">
        <f>IF(AND(VLOOKUP(BZ$1,main!$A$3:$H$102,7,FALSE)=main!$G$105,VLOOKUP(BZ$1,main!$A$3:$H$102,5,FALSE)-VLOOKUP($A270,main!$A$3:$H$102,6,FALSE)&gt;=main!$D$103+VLOOKUP(VLOOKUP(BZ$1,main!$A$3:$I$102,7,FALSE),main!$K$26:$Q$29,5,FALSE)),1,0)</f>
        <v>0</v>
      </c>
      <c r="CA270">
        <f>IF(AND(VLOOKUP(CA$1,main!$A$3:$H$102,7,FALSE)=main!$G$105,VLOOKUP(CA$1,main!$A$3:$H$102,5,FALSE)-VLOOKUP($A270,main!$A$3:$H$102,6,FALSE)&gt;=main!$D$103+VLOOKUP(VLOOKUP(CA$1,main!$A$3:$I$102,7,FALSE),main!$K$26:$Q$29,5,FALSE)),1,0)</f>
        <v>0</v>
      </c>
      <c r="CB270">
        <f>IF(AND(VLOOKUP(CB$1,main!$A$3:$H$102,7,FALSE)=main!$G$105,VLOOKUP(CB$1,main!$A$3:$H$102,5,FALSE)-VLOOKUP($A270,main!$A$3:$H$102,6,FALSE)&gt;=main!$D$103+VLOOKUP(VLOOKUP(CB$1,main!$A$3:$I$102,7,FALSE),main!$K$26:$Q$29,5,FALSE)),1,0)</f>
        <v>0</v>
      </c>
      <c r="CC270">
        <f>IF(AND(VLOOKUP(CC$1,main!$A$3:$H$102,7,FALSE)=main!$G$105,VLOOKUP(CC$1,main!$A$3:$H$102,5,FALSE)-VLOOKUP($A270,main!$A$3:$H$102,6,FALSE)&gt;=main!$D$103+VLOOKUP(VLOOKUP(CC$1,main!$A$3:$I$102,7,FALSE),main!$K$26:$Q$29,5,FALSE)),1,0)</f>
        <v>0</v>
      </c>
      <c r="CD270">
        <f>IF(AND(VLOOKUP(CD$1,main!$A$3:$H$102,7,FALSE)=main!$G$105,VLOOKUP(CD$1,main!$A$3:$H$102,5,FALSE)-VLOOKUP($A270,main!$A$3:$H$102,6,FALSE)&gt;=main!$D$103+VLOOKUP(VLOOKUP(CD$1,main!$A$3:$I$102,7,FALSE),main!$K$26:$Q$29,5,FALSE)),1,0)</f>
        <v>0</v>
      </c>
      <c r="CE270">
        <f>IF(AND(VLOOKUP(CE$1,main!$A$3:$H$102,7,FALSE)=main!$G$105,VLOOKUP(CE$1,main!$A$3:$H$102,5,FALSE)-VLOOKUP($A270,main!$A$3:$H$102,6,FALSE)&gt;=main!$D$103+VLOOKUP(VLOOKUP(CE$1,main!$A$3:$I$102,7,FALSE),main!$K$26:$Q$29,5,FALSE)),1,0)</f>
        <v>0</v>
      </c>
      <c r="CF270">
        <f>IF(AND(VLOOKUP(CF$1,main!$A$3:$H$102,7,FALSE)=main!$G$105,VLOOKUP(CF$1,main!$A$3:$H$102,5,FALSE)-VLOOKUP($A270,main!$A$3:$H$102,6,FALSE)&gt;=main!$D$103+VLOOKUP(VLOOKUP(CF$1,main!$A$3:$I$102,7,FALSE),main!$K$26:$Q$29,5,FALSE)),1,0)</f>
        <v>0</v>
      </c>
      <c r="CG270">
        <f>IF(AND(VLOOKUP(CG$1,main!$A$3:$H$102,7,FALSE)=main!$G$105,VLOOKUP(CG$1,main!$A$3:$H$102,5,FALSE)-VLOOKUP($A270,main!$A$3:$H$102,6,FALSE)&gt;=main!$D$103+VLOOKUP(VLOOKUP(CG$1,main!$A$3:$I$102,7,FALSE),main!$K$26:$Q$29,5,FALSE)),1,0)</f>
        <v>0</v>
      </c>
      <c r="CH270">
        <f>IF(AND(VLOOKUP(CH$1,main!$A$3:$H$102,7,FALSE)=main!$G$105,VLOOKUP(CH$1,main!$A$3:$H$102,5,FALSE)-VLOOKUP($A270,main!$A$3:$H$102,6,FALSE)&gt;=main!$D$103+VLOOKUP(VLOOKUP(CH$1,main!$A$3:$I$102,7,FALSE),main!$K$26:$Q$29,5,FALSE)),1,0)</f>
        <v>0</v>
      </c>
      <c r="CI270">
        <f>IF(AND(VLOOKUP(CI$1,main!$A$3:$H$102,7,FALSE)=main!$G$105,VLOOKUP(CI$1,main!$A$3:$H$102,5,FALSE)-VLOOKUP($A270,main!$A$3:$H$102,6,FALSE)&gt;=main!$D$103+VLOOKUP(VLOOKUP(CI$1,main!$A$3:$I$102,7,FALSE),main!$K$26:$Q$29,5,FALSE)),1,0)</f>
        <v>0</v>
      </c>
      <c r="CJ270">
        <f>IF(AND(VLOOKUP(CJ$1,main!$A$3:$H$102,7,FALSE)=main!$G$105,VLOOKUP(CJ$1,main!$A$3:$H$102,5,FALSE)-VLOOKUP($A270,main!$A$3:$H$102,6,FALSE)&gt;=main!$D$103+VLOOKUP(VLOOKUP(CJ$1,main!$A$3:$I$102,7,FALSE),main!$K$26:$Q$29,5,FALSE)),1,0)</f>
        <v>0</v>
      </c>
      <c r="CK270">
        <f>IF(AND(VLOOKUP(CK$1,main!$A$3:$H$102,7,FALSE)=main!$G$105,VLOOKUP(CK$1,main!$A$3:$H$102,5,FALSE)-VLOOKUP($A270,main!$A$3:$H$102,6,FALSE)&gt;=main!$D$103+VLOOKUP(VLOOKUP(CK$1,main!$A$3:$I$102,7,FALSE),main!$K$26:$Q$29,5,FALSE)),1,0)</f>
        <v>0</v>
      </c>
      <c r="CL270">
        <f>IF(AND(VLOOKUP(CL$1,main!$A$3:$H$102,7,FALSE)=main!$G$105,VLOOKUP(CL$1,main!$A$3:$H$102,5,FALSE)-VLOOKUP($A270,main!$A$3:$H$102,6,FALSE)&gt;=main!$D$103+VLOOKUP(VLOOKUP(CL$1,main!$A$3:$I$102,7,FALSE),main!$K$26:$Q$29,5,FALSE)),1,0)</f>
        <v>0</v>
      </c>
      <c r="CM270">
        <f>IF(AND(VLOOKUP(CM$1,main!$A$3:$H$102,7,FALSE)=main!$G$105,VLOOKUP(CM$1,main!$A$3:$H$102,5,FALSE)-VLOOKUP($A270,main!$A$3:$H$102,6,FALSE)&gt;=main!$D$103+VLOOKUP(VLOOKUP(CM$1,main!$A$3:$I$102,7,FALSE),main!$K$26:$Q$29,5,FALSE)),1,0)</f>
        <v>0</v>
      </c>
      <c r="CN270">
        <f>IF(AND(VLOOKUP(CN$1,main!$A$3:$H$102,7,FALSE)=main!$G$105,VLOOKUP(CN$1,main!$A$3:$H$102,5,FALSE)-VLOOKUP($A270,main!$A$3:$H$102,6,FALSE)&gt;=main!$D$103+VLOOKUP(VLOOKUP(CN$1,main!$A$3:$I$102,7,FALSE),main!$K$26:$Q$29,5,FALSE)),1,0)</f>
        <v>0</v>
      </c>
      <c r="CO270">
        <f>IF(AND(VLOOKUP(CO$1,main!$A$3:$H$102,7,FALSE)=main!$G$105,VLOOKUP(CO$1,main!$A$3:$H$102,5,FALSE)-VLOOKUP($A270,main!$A$3:$H$102,6,FALSE)&gt;=main!$D$103+VLOOKUP(VLOOKUP(CO$1,main!$A$3:$I$102,7,FALSE),main!$K$26:$Q$29,5,FALSE)),1,0)</f>
        <v>0</v>
      </c>
      <c r="CP270">
        <f>IF(AND(VLOOKUP(CP$1,main!$A$3:$H$102,7,FALSE)=main!$G$105,VLOOKUP(CP$1,main!$A$3:$H$102,5,FALSE)-VLOOKUP($A270,main!$A$3:$H$102,6,FALSE)&gt;=main!$D$103+VLOOKUP(VLOOKUP(CP$1,main!$A$3:$I$102,7,FALSE),main!$K$26:$Q$29,5,FALSE)),1,0)</f>
        <v>0</v>
      </c>
      <c r="CQ270">
        <f>IF(AND(VLOOKUP(CQ$1,main!$A$3:$H$102,7,FALSE)=main!$G$105,VLOOKUP(CQ$1,main!$A$3:$H$102,5,FALSE)-VLOOKUP($A270,main!$A$3:$H$102,6,FALSE)&gt;=main!$D$103+VLOOKUP(VLOOKUP(CQ$1,main!$A$3:$I$102,7,FALSE),main!$K$26:$Q$29,5,FALSE)),1,0)</f>
        <v>0</v>
      </c>
      <c r="CR270">
        <f>IF(AND(VLOOKUP(CR$1,main!$A$3:$H$102,7,FALSE)=main!$G$105,VLOOKUP(CR$1,main!$A$3:$H$102,5,FALSE)-VLOOKUP($A270,main!$A$3:$H$102,6,FALSE)&gt;=main!$D$103+VLOOKUP(VLOOKUP(CR$1,main!$A$3:$I$102,7,FALSE),main!$K$26:$Q$29,5,FALSE)),1,0)</f>
        <v>0</v>
      </c>
      <c r="CS270">
        <f>IF(AND(VLOOKUP(CS$1,main!$A$3:$H$102,7,FALSE)=main!$G$105,VLOOKUP(CS$1,main!$A$3:$H$102,5,FALSE)-VLOOKUP($A270,main!$A$3:$H$102,6,FALSE)&gt;=main!$D$103+VLOOKUP(VLOOKUP(CS$1,main!$A$3:$I$102,7,FALSE),main!$K$26:$Q$29,5,FALSE)),1,0)</f>
        <v>0</v>
      </c>
      <c r="CT270">
        <f>IF(AND(VLOOKUP(CT$1,main!$A$3:$H$102,7,FALSE)=main!$G$105,VLOOKUP(CT$1,main!$A$3:$H$102,5,FALSE)-VLOOKUP($A270,main!$A$3:$H$102,6,FALSE)&gt;=main!$D$103+VLOOKUP(VLOOKUP(CT$1,main!$A$3:$I$102,7,FALSE),main!$K$26:$Q$29,5,FALSE)),1,0)</f>
        <v>0</v>
      </c>
      <c r="CU270">
        <f>IF(AND(VLOOKUP(CU$1,main!$A$3:$H$102,7,FALSE)=main!$G$105,VLOOKUP(CU$1,main!$A$3:$H$102,5,FALSE)-VLOOKUP($A270,main!$A$3:$H$102,6,FALSE)&gt;=main!$D$103+VLOOKUP(VLOOKUP(CU$1,main!$A$3:$I$102,7,FALSE),main!$K$26:$Q$29,5,FALSE)),1,0)</f>
        <v>0</v>
      </c>
      <c r="CV270">
        <f>IF(AND(VLOOKUP(CV$1,main!$A$3:$H$102,7,FALSE)=main!$G$105,VLOOKUP(CV$1,main!$A$3:$H$102,5,FALSE)-VLOOKUP($A270,main!$A$3:$H$102,6,FALSE)&gt;=main!$D$103+VLOOKUP(VLOOKUP(CV$1,main!$A$3:$I$102,7,FALSE),main!$K$26:$Q$29,5,FALSE)),1,0)</f>
        <v>0</v>
      </c>
      <c r="CW270">
        <f>IF(AND(VLOOKUP(CW$1,main!$A$3:$H$102,7,FALSE)=main!$G$105,VLOOKUP(CW$1,main!$A$3:$H$102,5,FALSE)-VLOOKUP($A270,main!$A$3:$H$102,6,FALSE)&gt;=main!$D$103+VLOOKUP(VLOOKUP(CW$1,main!$A$3:$I$102,7,FALSE),main!$K$26:$Q$29,5,FALSE)),1,0)</f>
        <v>0</v>
      </c>
      <c r="CX270">
        <f>IF(AND(VLOOKUP(CX$1,main!$A$3:$H$102,7,FALSE)=main!$G$105,VLOOKUP(CX$1,main!$A$3:$H$102,5,FALSE)-VLOOKUP($A270,main!$A$3:$H$102,6,FALSE)&gt;=main!$D$103+VLOOKUP(VLOOKUP(CX$1,main!$A$3:$I$102,7,FALSE),main!$K$26:$Q$29,5,FALSE)),1,0)</f>
        <v>0</v>
      </c>
    </row>
    <row r="271" spans="1:102" x14ac:dyDescent="0.25">
      <c r="A271" s="1">
        <v>67</v>
      </c>
      <c r="B271">
        <v>0</v>
      </c>
      <c r="C271">
        <f>IF(AND(VLOOKUP(C$1,main!$A$3:$H$102,7,FALSE)=main!$G$105,VLOOKUP(C$1,main!$A$3:$H$102,5,FALSE)-VLOOKUP($A271,main!$A$3:$H$102,6,FALSE)&gt;=main!$D$103+VLOOKUP(VLOOKUP(C$1,main!$A$3:$I$102,7,FALSE),main!$K$26:$Q$29,5,FALSE)),1,0)</f>
        <v>0</v>
      </c>
      <c r="D271">
        <f>IF(AND(VLOOKUP(D$1,main!$A$3:$H$102,7,FALSE)=main!$G$105,VLOOKUP(D$1,main!$A$3:$H$102,5,FALSE)-VLOOKUP($A271,main!$A$3:$H$102,6,FALSE)&gt;=main!$D$103+VLOOKUP(VLOOKUP(D$1,main!$A$3:$I$102,7,FALSE),main!$K$26:$Q$29,5,FALSE)),1,0)</f>
        <v>0</v>
      </c>
      <c r="E271">
        <f>IF(AND(VLOOKUP(E$1,main!$A$3:$H$102,7,FALSE)=main!$G$105,VLOOKUP(E$1,main!$A$3:$H$102,5,FALSE)-VLOOKUP($A271,main!$A$3:$H$102,6,FALSE)&gt;=main!$D$103+VLOOKUP(VLOOKUP(E$1,main!$A$3:$I$102,7,FALSE),main!$K$26:$Q$29,5,FALSE)),1,0)</f>
        <v>0</v>
      </c>
      <c r="F271">
        <f>IF(AND(VLOOKUP(F$1,main!$A$3:$H$102,7,FALSE)=main!$G$105,VLOOKUP(F$1,main!$A$3:$H$102,5,FALSE)-VLOOKUP($A271,main!$A$3:$H$102,6,FALSE)&gt;=main!$D$103+VLOOKUP(VLOOKUP(F$1,main!$A$3:$I$102,7,FALSE),main!$K$26:$Q$29,5,FALSE)),1,0)</f>
        <v>0</v>
      </c>
      <c r="G271">
        <f>IF(AND(VLOOKUP(G$1,main!$A$3:$H$102,7,FALSE)=main!$G$105,VLOOKUP(G$1,main!$A$3:$H$102,5,FALSE)-VLOOKUP($A271,main!$A$3:$H$102,6,FALSE)&gt;=main!$D$103+VLOOKUP(VLOOKUP(G$1,main!$A$3:$I$102,7,FALSE),main!$K$26:$Q$29,5,FALSE)),1,0)</f>
        <v>0</v>
      </c>
      <c r="H271">
        <f>IF(AND(VLOOKUP(H$1,main!$A$3:$H$102,7,FALSE)=main!$G$105,VLOOKUP(H$1,main!$A$3:$H$102,5,FALSE)-VLOOKUP($A271,main!$A$3:$H$102,6,FALSE)&gt;=main!$D$103+VLOOKUP(VLOOKUP(H$1,main!$A$3:$I$102,7,FALSE),main!$K$26:$Q$29,5,FALSE)),1,0)</f>
        <v>0</v>
      </c>
      <c r="I271">
        <f>IF(AND(VLOOKUP(I$1,main!$A$3:$H$102,7,FALSE)=main!$G$105,VLOOKUP(I$1,main!$A$3:$H$102,5,FALSE)-VLOOKUP($A271,main!$A$3:$H$102,6,FALSE)&gt;=main!$D$103+VLOOKUP(VLOOKUP(I$1,main!$A$3:$I$102,7,FALSE),main!$K$26:$Q$29,5,FALSE)),1,0)</f>
        <v>0</v>
      </c>
      <c r="J271">
        <f>IF(AND(VLOOKUP(J$1,main!$A$3:$H$102,7,FALSE)=main!$G$105,VLOOKUP(J$1,main!$A$3:$H$102,5,FALSE)-VLOOKUP($A271,main!$A$3:$H$102,6,FALSE)&gt;=main!$D$103+VLOOKUP(VLOOKUP(J$1,main!$A$3:$I$102,7,FALSE),main!$K$26:$Q$29,5,FALSE)),1,0)</f>
        <v>0</v>
      </c>
      <c r="K271">
        <f>IF(AND(VLOOKUP(K$1,main!$A$3:$H$102,7,FALSE)=main!$G$105,VLOOKUP(K$1,main!$A$3:$H$102,5,FALSE)-VLOOKUP($A271,main!$A$3:$H$102,6,FALSE)&gt;=main!$D$103+VLOOKUP(VLOOKUP(K$1,main!$A$3:$I$102,7,FALSE),main!$K$26:$Q$29,5,FALSE)),1,0)</f>
        <v>0</v>
      </c>
      <c r="L271">
        <f>IF(AND(VLOOKUP(L$1,main!$A$3:$H$102,7,FALSE)=main!$G$105,VLOOKUP(L$1,main!$A$3:$H$102,5,FALSE)-VLOOKUP($A271,main!$A$3:$H$102,6,FALSE)&gt;=main!$D$103+VLOOKUP(VLOOKUP(L$1,main!$A$3:$I$102,7,FALSE),main!$K$26:$Q$29,5,FALSE)),1,0)</f>
        <v>0</v>
      </c>
      <c r="M271">
        <f>IF(AND(VLOOKUP(M$1,main!$A$3:$H$102,7,FALSE)=main!$G$105,VLOOKUP(M$1,main!$A$3:$H$102,5,FALSE)-VLOOKUP($A271,main!$A$3:$H$102,6,FALSE)&gt;=main!$D$103+VLOOKUP(VLOOKUP(M$1,main!$A$3:$I$102,7,FALSE),main!$K$26:$Q$29,5,FALSE)),1,0)</f>
        <v>0</v>
      </c>
      <c r="N271">
        <f>IF(AND(VLOOKUP(N$1,main!$A$3:$H$102,7,FALSE)=main!$G$105,VLOOKUP(N$1,main!$A$3:$H$102,5,FALSE)-VLOOKUP($A271,main!$A$3:$H$102,6,FALSE)&gt;=main!$D$103+VLOOKUP(VLOOKUP(N$1,main!$A$3:$I$102,7,FALSE),main!$K$26:$Q$29,5,FALSE)),1,0)</f>
        <v>0</v>
      </c>
      <c r="O271">
        <f>IF(AND(VLOOKUP(O$1,main!$A$3:$H$102,7,FALSE)=main!$G$105,VLOOKUP(O$1,main!$A$3:$H$102,5,FALSE)-VLOOKUP($A271,main!$A$3:$H$102,6,FALSE)&gt;=main!$D$103+VLOOKUP(VLOOKUP(O$1,main!$A$3:$I$102,7,FALSE),main!$K$26:$Q$29,5,FALSE)),1,0)</f>
        <v>0</v>
      </c>
      <c r="P271">
        <f>IF(AND(VLOOKUP(P$1,main!$A$3:$H$102,7,FALSE)=main!$G$105,VLOOKUP(P$1,main!$A$3:$H$102,5,FALSE)-VLOOKUP($A271,main!$A$3:$H$102,6,FALSE)&gt;=main!$D$103+VLOOKUP(VLOOKUP(P$1,main!$A$3:$I$102,7,FALSE),main!$K$26:$Q$29,5,FALSE)),1,0)</f>
        <v>0</v>
      </c>
      <c r="Q271">
        <f>IF(AND(VLOOKUP(Q$1,main!$A$3:$H$102,7,FALSE)=main!$G$105,VLOOKUP(Q$1,main!$A$3:$H$102,5,FALSE)-VLOOKUP($A271,main!$A$3:$H$102,6,FALSE)&gt;=main!$D$103+VLOOKUP(VLOOKUP(Q$1,main!$A$3:$I$102,7,FALSE),main!$K$26:$Q$29,5,FALSE)),1,0)</f>
        <v>0</v>
      </c>
      <c r="R271">
        <f>IF(AND(VLOOKUP(R$1,main!$A$3:$H$102,7,FALSE)=main!$G$105,VLOOKUP(R$1,main!$A$3:$H$102,5,FALSE)-VLOOKUP($A271,main!$A$3:$H$102,6,FALSE)&gt;=main!$D$103+VLOOKUP(VLOOKUP(R$1,main!$A$3:$I$102,7,FALSE),main!$K$26:$Q$29,5,FALSE)),1,0)</f>
        <v>0</v>
      </c>
      <c r="S271">
        <f>IF(AND(VLOOKUP(S$1,main!$A$3:$H$102,7,FALSE)=main!$G$105,VLOOKUP(S$1,main!$A$3:$H$102,5,FALSE)-VLOOKUP($A271,main!$A$3:$H$102,6,FALSE)&gt;=main!$D$103+VLOOKUP(VLOOKUP(S$1,main!$A$3:$I$102,7,FALSE),main!$K$26:$Q$29,5,FALSE)),1,0)</f>
        <v>0</v>
      </c>
      <c r="T271">
        <f>IF(AND(VLOOKUP(T$1,main!$A$3:$H$102,7,FALSE)=main!$G$105,VLOOKUP(T$1,main!$A$3:$H$102,5,FALSE)-VLOOKUP($A271,main!$A$3:$H$102,6,FALSE)&gt;=main!$D$103+VLOOKUP(VLOOKUP(T$1,main!$A$3:$I$102,7,FALSE),main!$K$26:$Q$29,5,FALSE)),1,0)</f>
        <v>0</v>
      </c>
      <c r="U271">
        <f>IF(AND(VLOOKUP(U$1,main!$A$3:$H$102,7,FALSE)=main!$G$105,VLOOKUP(U$1,main!$A$3:$H$102,5,FALSE)-VLOOKUP($A271,main!$A$3:$H$102,6,FALSE)&gt;=main!$D$103+VLOOKUP(VLOOKUP(U$1,main!$A$3:$I$102,7,FALSE),main!$K$26:$Q$29,5,FALSE)),1,0)</f>
        <v>0</v>
      </c>
      <c r="V271">
        <f>IF(AND(VLOOKUP(V$1,main!$A$3:$H$102,7,FALSE)=main!$G$105,VLOOKUP(V$1,main!$A$3:$H$102,5,FALSE)-VLOOKUP($A271,main!$A$3:$H$102,6,FALSE)&gt;=main!$D$103+VLOOKUP(VLOOKUP(V$1,main!$A$3:$I$102,7,FALSE),main!$K$26:$Q$29,5,FALSE)),1,0)</f>
        <v>0</v>
      </c>
      <c r="W271">
        <f>IF(AND(VLOOKUP(W$1,main!$A$3:$H$102,7,FALSE)=main!$G$105,VLOOKUP(W$1,main!$A$3:$H$102,5,FALSE)-VLOOKUP($A271,main!$A$3:$H$102,6,FALSE)&gt;=main!$D$103+VLOOKUP(VLOOKUP(W$1,main!$A$3:$I$102,7,FALSE),main!$K$26:$Q$29,5,FALSE)),1,0)</f>
        <v>0</v>
      </c>
      <c r="X271">
        <f>IF(AND(VLOOKUP(X$1,main!$A$3:$H$102,7,FALSE)=main!$G$105,VLOOKUP(X$1,main!$A$3:$H$102,5,FALSE)-VLOOKUP($A271,main!$A$3:$H$102,6,FALSE)&gt;=main!$D$103+VLOOKUP(VLOOKUP(X$1,main!$A$3:$I$102,7,FALSE),main!$K$26:$Q$29,5,FALSE)),1,0)</f>
        <v>0</v>
      </c>
      <c r="Y271">
        <f>IF(AND(VLOOKUP(Y$1,main!$A$3:$H$102,7,FALSE)=main!$G$105,VLOOKUP(Y$1,main!$A$3:$H$102,5,FALSE)-VLOOKUP($A271,main!$A$3:$H$102,6,FALSE)&gt;=main!$D$103+VLOOKUP(VLOOKUP(Y$1,main!$A$3:$I$102,7,FALSE),main!$K$26:$Q$29,5,FALSE)),1,0)</f>
        <v>0</v>
      </c>
      <c r="Z271">
        <f>IF(AND(VLOOKUP(Z$1,main!$A$3:$H$102,7,FALSE)=main!$G$105,VLOOKUP(Z$1,main!$A$3:$H$102,5,FALSE)-VLOOKUP($A271,main!$A$3:$H$102,6,FALSE)&gt;=main!$D$103+VLOOKUP(VLOOKUP(Z$1,main!$A$3:$I$102,7,FALSE),main!$K$26:$Q$29,5,FALSE)),1,0)</f>
        <v>0</v>
      </c>
      <c r="AA271">
        <f>IF(AND(VLOOKUP(AA$1,main!$A$3:$H$102,7,FALSE)=main!$G$105,VLOOKUP(AA$1,main!$A$3:$H$102,5,FALSE)-VLOOKUP($A271,main!$A$3:$H$102,6,FALSE)&gt;=main!$D$103+VLOOKUP(VLOOKUP(AA$1,main!$A$3:$I$102,7,FALSE),main!$K$26:$Q$29,5,FALSE)),1,0)</f>
        <v>0</v>
      </c>
      <c r="AB271">
        <f>IF(AND(VLOOKUP(AB$1,main!$A$3:$H$102,7,FALSE)=main!$G$105,VLOOKUP(AB$1,main!$A$3:$H$102,5,FALSE)-VLOOKUP($A271,main!$A$3:$H$102,6,FALSE)&gt;=main!$D$103+VLOOKUP(VLOOKUP(AB$1,main!$A$3:$I$102,7,FALSE),main!$K$26:$Q$29,5,FALSE)),1,0)</f>
        <v>0</v>
      </c>
      <c r="AC271">
        <f>IF(AND(VLOOKUP(AC$1,main!$A$3:$H$102,7,FALSE)=main!$G$105,VLOOKUP(AC$1,main!$A$3:$H$102,5,FALSE)-VLOOKUP($A271,main!$A$3:$H$102,6,FALSE)&gt;=main!$D$103+VLOOKUP(VLOOKUP(AC$1,main!$A$3:$I$102,7,FALSE),main!$K$26:$Q$29,5,FALSE)),1,0)</f>
        <v>0</v>
      </c>
      <c r="AD271">
        <f>IF(AND(VLOOKUP(AD$1,main!$A$3:$H$102,7,FALSE)=main!$G$105,VLOOKUP(AD$1,main!$A$3:$H$102,5,FALSE)-VLOOKUP($A271,main!$A$3:$H$102,6,FALSE)&gt;=main!$D$103+VLOOKUP(VLOOKUP(AD$1,main!$A$3:$I$102,7,FALSE),main!$K$26:$Q$29,5,FALSE)),1,0)</f>
        <v>0</v>
      </c>
      <c r="AE271">
        <f>IF(AND(VLOOKUP(AE$1,main!$A$3:$H$102,7,FALSE)=main!$G$105,VLOOKUP(AE$1,main!$A$3:$H$102,5,FALSE)-VLOOKUP($A271,main!$A$3:$H$102,6,FALSE)&gt;=main!$D$103+VLOOKUP(VLOOKUP(AE$1,main!$A$3:$I$102,7,FALSE),main!$K$26:$Q$29,5,FALSE)),1,0)</f>
        <v>0</v>
      </c>
      <c r="AF271">
        <f>IF(AND(VLOOKUP(AF$1,main!$A$3:$H$102,7,FALSE)=main!$G$105,VLOOKUP(AF$1,main!$A$3:$H$102,5,FALSE)-VLOOKUP($A271,main!$A$3:$H$102,6,FALSE)&gt;=main!$D$103+VLOOKUP(VLOOKUP(AF$1,main!$A$3:$I$102,7,FALSE),main!$K$26:$Q$29,5,FALSE)),1,0)</f>
        <v>0</v>
      </c>
      <c r="AG271">
        <f>IF(AND(VLOOKUP(AG$1,main!$A$3:$H$102,7,FALSE)=main!$G$105,VLOOKUP(AG$1,main!$A$3:$H$102,5,FALSE)-VLOOKUP($A271,main!$A$3:$H$102,6,FALSE)&gt;=main!$D$103+VLOOKUP(VLOOKUP(AG$1,main!$A$3:$I$102,7,FALSE),main!$K$26:$Q$29,5,FALSE)),1,0)</f>
        <v>0</v>
      </c>
      <c r="AH271">
        <f>IF(AND(VLOOKUP(AH$1,main!$A$3:$H$102,7,FALSE)=main!$G$105,VLOOKUP(AH$1,main!$A$3:$H$102,5,FALSE)-VLOOKUP($A271,main!$A$3:$H$102,6,FALSE)&gt;=main!$D$103+VLOOKUP(VLOOKUP(AH$1,main!$A$3:$I$102,7,FALSE),main!$K$26:$Q$29,5,FALSE)),1,0)</f>
        <v>0</v>
      </c>
      <c r="AI271">
        <f>IF(AND(VLOOKUP(AI$1,main!$A$3:$H$102,7,FALSE)=main!$G$105,VLOOKUP(AI$1,main!$A$3:$H$102,5,FALSE)-VLOOKUP($A271,main!$A$3:$H$102,6,FALSE)&gt;=main!$D$103+VLOOKUP(VLOOKUP(AI$1,main!$A$3:$I$102,7,FALSE),main!$K$26:$Q$29,5,FALSE)),1,0)</f>
        <v>0</v>
      </c>
      <c r="AJ271">
        <f>IF(AND(VLOOKUP(AJ$1,main!$A$3:$H$102,7,FALSE)=main!$G$105,VLOOKUP(AJ$1,main!$A$3:$H$102,5,FALSE)-VLOOKUP($A271,main!$A$3:$H$102,6,FALSE)&gt;=main!$D$103+VLOOKUP(VLOOKUP(AJ$1,main!$A$3:$I$102,7,FALSE),main!$K$26:$Q$29,5,FALSE)),1,0)</f>
        <v>0</v>
      </c>
      <c r="AK271">
        <f>IF(AND(VLOOKUP(AK$1,main!$A$3:$H$102,7,FALSE)=main!$G$105,VLOOKUP(AK$1,main!$A$3:$H$102,5,FALSE)-VLOOKUP($A271,main!$A$3:$H$102,6,FALSE)&gt;=main!$D$103+VLOOKUP(VLOOKUP(AK$1,main!$A$3:$I$102,7,FALSE),main!$K$26:$Q$29,5,FALSE)),1,0)</f>
        <v>0</v>
      </c>
      <c r="AL271">
        <f>IF(AND(VLOOKUP(AL$1,main!$A$3:$H$102,7,FALSE)=main!$G$105,VLOOKUP(AL$1,main!$A$3:$H$102,5,FALSE)-VLOOKUP($A271,main!$A$3:$H$102,6,FALSE)&gt;=main!$D$103+VLOOKUP(VLOOKUP(AL$1,main!$A$3:$I$102,7,FALSE),main!$K$26:$Q$29,5,FALSE)),1,0)</f>
        <v>1</v>
      </c>
      <c r="AM271">
        <f>IF(AND(VLOOKUP(AM$1,main!$A$3:$H$102,7,FALSE)=main!$G$105,VLOOKUP(AM$1,main!$A$3:$H$102,5,FALSE)-VLOOKUP($A271,main!$A$3:$H$102,6,FALSE)&gt;=main!$D$103+VLOOKUP(VLOOKUP(AM$1,main!$A$3:$I$102,7,FALSE),main!$K$26:$Q$29,5,FALSE)),1,0)</f>
        <v>1</v>
      </c>
      <c r="AN271">
        <f>IF(AND(VLOOKUP(AN$1,main!$A$3:$H$102,7,FALSE)=main!$G$105,VLOOKUP(AN$1,main!$A$3:$H$102,5,FALSE)-VLOOKUP($A271,main!$A$3:$H$102,6,FALSE)&gt;=main!$D$103+VLOOKUP(VLOOKUP(AN$1,main!$A$3:$I$102,7,FALSE),main!$K$26:$Q$29,5,FALSE)),1,0)</f>
        <v>1</v>
      </c>
      <c r="AO271">
        <f>IF(AND(VLOOKUP(AO$1,main!$A$3:$H$102,7,FALSE)=main!$G$105,VLOOKUP(AO$1,main!$A$3:$H$102,5,FALSE)-VLOOKUP($A271,main!$A$3:$H$102,6,FALSE)&gt;=main!$D$103+VLOOKUP(VLOOKUP(AO$1,main!$A$3:$I$102,7,FALSE),main!$K$26:$Q$29,5,FALSE)),1,0)</f>
        <v>0</v>
      </c>
      <c r="AP271">
        <f>IF(AND(VLOOKUP(AP$1,main!$A$3:$H$102,7,FALSE)=main!$G$105,VLOOKUP(AP$1,main!$A$3:$H$102,5,FALSE)-VLOOKUP($A271,main!$A$3:$H$102,6,FALSE)&gt;=main!$D$103+VLOOKUP(VLOOKUP(AP$1,main!$A$3:$I$102,7,FALSE),main!$K$26:$Q$29,5,FALSE)),1,0)</f>
        <v>1</v>
      </c>
      <c r="AQ271">
        <f>IF(AND(VLOOKUP(AQ$1,main!$A$3:$H$102,7,FALSE)=main!$G$105,VLOOKUP(AQ$1,main!$A$3:$H$102,5,FALSE)-VLOOKUP($A271,main!$A$3:$H$102,6,FALSE)&gt;=main!$D$103+VLOOKUP(VLOOKUP(AQ$1,main!$A$3:$I$102,7,FALSE),main!$K$26:$Q$29,5,FALSE)),1,0)</f>
        <v>0</v>
      </c>
      <c r="AR271">
        <f>IF(AND(VLOOKUP(AR$1,main!$A$3:$H$102,7,FALSE)=main!$G$105,VLOOKUP(AR$1,main!$A$3:$H$102,5,FALSE)-VLOOKUP($A271,main!$A$3:$H$102,6,FALSE)&gt;=main!$D$103+VLOOKUP(VLOOKUP(AR$1,main!$A$3:$I$102,7,FALSE),main!$K$26:$Q$29,5,FALSE)),1,0)</f>
        <v>0</v>
      </c>
      <c r="AS271">
        <f>IF(AND(VLOOKUP(AS$1,main!$A$3:$H$102,7,FALSE)=main!$G$105,VLOOKUP(AS$1,main!$A$3:$H$102,5,FALSE)-VLOOKUP($A271,main!$A$3:$H$102,6,FALSE)&gt;=main!$D$103+VLOOKUP(VLOOKUP(AS$1,main!$A$3:$I$102,7,FALSE),main!$K$26:$Q$29,5,FALSE)),1,0)</f>
        <v>0</v>
      </c>
      <c r="AT271">
        <f>IF(AND(VLOOKUP(AT$1,main!$A$3:$H$102,7,FALSE)=main!$G$105,VLOOKUP(AT$1,main!$A$3:$H$102,5,FALSE)-VLOOKUP($A271,main!$A$3:$H$102,6,FALSE)&gt;=main!$D$103+VLOOKUP(VLOOKUP(AT$1,main!$A$3:$I$102,7,FALSE),main!$K$26:$Q$29,5,FALSE)),1,0)</f>
        <v>0</v>
      </c>
      <c r="AU271">
        <f>IF(AND(VLOOKUP(AU$1,main!$A$3:$H$102,7,FALSE)=main!$G$105,VLOOKUP(AU$1,main!$A$3:$H$102,5,FALSE)-VLOOKUP($A271,main!$A$3:$H$102,6,FALSE)&gt;=main!$D$103+VLOOKUP(VLOOKUP(AU$1,main!$A$3:$I$102,7,FALSE),main!$K$26:$Q$29,5,FALSE)),1,0)</f>
        <v>0</v>
      </c>
      <c r="AV271">
        <f>IF(AND(VLOOKUP(AV$1,main!$A$3:$H$102,7,FALSE)=main!$G$105,VLOOKUP(AV$1,main!$A$3:$H$102,5,FALSE)-VLOOKUP($A271,main!$A$3:$H$102,6,FALSE)&gt;=main!$D$103+VLOOKUP(VLOOKUP(AV$1,main!$A$3:$I$102,7,FALSE),main!$K$26:$Q$29,5,FALSE)),1,0)</f>
        <v>0</v>
      </c>
      <c r="AW271">
        <f>IF(AND(VLOOKUP(AW$1,main!$A$3:$H$102,7,FALSE)=main!$G$105,VLOOKUP(AW$1,main!$A$3:$H$102,5,FALSE)-VLOOKUP($A271,main!$A$3:$H$102,6,FALSE)&gt;=main!$D$103+VLOOKUP(VLOOKUP(AW$1,main!$A$3:$I$102,7,FALSE),main!$K$26:$Q$29,5,FALSE)),1,0)</f>
        <v>0</v>
      </c>
      <c r="AX271">
        <f>IF(AND(VLOOKUP(AX$1,main!$A$3:$H$102,7,FALSE)=main!$G$105,VLOOKUP(AX$1,main!$A$3:$H$102,5,FALSE)-VLOOKUP($A271,main!$A$3:$H$102,6,FALSE)&gt;=main!$D$103+VLOOKUP(VLOOKUP(AX$1,main!$A$3:$I$102,7,FALSE),main!$K$26:$Q$29,5,FALSE)),1,0)</f>
        <v>0</v>
      </c>
      <c r="AY271">
        <f>IF(AND(VLOOKUP(AY$1,main!$A$3:$H$102,7,FALSE)=main!$G$105,VLOOKUP(AY$1,main!$A$3:$H$102,5,FALSE)-VLOOKUP($A271,main!$A$3:$H$102,6,FALSE)&gt;=main!$D$103+VLOOKUP(VLOOKUP(AY$1,main!$A$3:$I$102,7,FALSE),main!$K$26:$Q$29,5,FALSE)),1,0)</f>
        <v>0</v>
      </c>
      <c r="AZ271">
        <f>IF(AND(VLOOKUP(AZ$1,main!$A$3:$H$102,7,FALSE)=main!$G$105,VLOOKUP(AZ$1,main!$A$3:$H$102,5,FALSE)-VLOOKUP($A271,main!$A$3:$H$102,6,FALSE)&gt;=main!$D$103+VLOOKUP(VLOOKUP(AZ$1,main!$A$3:$I$102,7,FALSE),main!$K$26:$Q$29,5,FALSE)),1,0)</f>
        <v>0</v>
      </c>
      <c r="BA271">
        <f>IF(AND(VLOOKUP(BA$1,main!$A$3:$H$102,7,FALSE)=main!$G$105,VLOOKUP(BA$1,main!$A$3:$H$102,5,FALSE)-VLOOKUP($A271,main!$A$3:$H$102,6,FALSE)&gt;=main!$D$103+VLOOKUP(VLOOKUP(BA$1,main!$A$3:$I$102,7,FALSE),main!$K$26:$Q$29,5,FALSE)),1,0)</f>
        <v>0</v>
      </c>
      <c r="BB271">
        <f>IF(AND(VLOOKUP(BB$1,main!$A$3:$H$102,7,FALSE)=main!$G$105,VLOOKUP(BB$1,main!$A$3:$H$102,5,FALSE)-VLOOKUP($A271,main!$A$3:$H$102,6,FALSE)&gt;=main!$D$103+VLOOKUP(VLOOKUP(BB$1,main!$A$3:$I$102,7,FALSE),main!$K$26:$Q$29,5,FALSE)),1,0)</f>
        <v>0</v>
      </c>
      <c r="BC271">
        <f>IF(AND(VLOOKUP(BC$1,main!$A$3:$H$102,7,FALSE)=main!$G$105,VLOOKUP(BC$1,main!$A$3:$H$102,5,FALSE)-VLOOKUP($A271,main!$A$3:$H$102,6,FALSE)&gt;=main!$D$103+VLOOKUP(VLOOKUP(BC$1,main!$A$3:$I$102,7,FALSE),main!$K$26:$Q$29,5,FALSE)),1,0)</f>
        <v>0</v>
      </c>
      <c r="BD271">
        <f>IF(AND(VLOOKUP(BD$1,main!$A$3:$H$102,7,FALSE)=main!$G$105,VLOOKUP(BD$1,main!$A$3:$H$102,5,FALSE)-VLOOKUP($A271,main!$A$3:$H$102,6,FALSE)&gt;=main!$D$103+VLOOKUP(VLOOKUP(BD$1,main!$A$3:$I$102,7,FALSE),main!$K$26:$Q$29,5,FALSE)),1,0)</f>
        <v>0</v>
      </c>
      <c r="BE271">
        <f>IF(AND(VLOOKUP(BE$1,main!$A$3:$H$102,7,FALSE)=main!$G$105,VLOOKUP(BE$1,main!$A$3:$H$102,5,FALSE)-VLOOKUP($A271,main!$A$3:$H$102,6,FALSE)&gt;=main!$D$103+VLOOKUP(VLOOKUP(BE$1,main!$A$3:$I$102,7,FALSE),main!$K$26:$Q$29,5,FALSE)),1,0)</f>
        <v>0</v>
      </c>
      <c r="BF271">
        <f>IF(AND(VLOOKUP(BF$1,main!$A$3:$H$102,7,FALSE)=main!$G$105,VLOOKUP(BF$1,main!$A$3:$H$102,5,FALSE)-VLOOKUP($A271,main!$A$3:$H$102,6,FALSE)&gt;=main!$D$103+VLOOKUP(VLOOKUP(BF$1,main!$A$3:$I$102,7,FALSE),main!$K$26:$Q$29,5,FALSE)),1,0)</f>
        <v>0</v>
      </c>
      <c r="BG271">
        <f>IF(AND(VLOOKUP(BG$1,main!$A$3:$H$102,7,FALSE)=main!$G$105,VLOOKUP(BG$1,main!$A$3:$H$102,5,FALSE)-VLOOKUP($A271,main!$A$3:$H$102,6,FALSE)&gt;=main!$D$103+VLOOKUP(VLOOKUP(BG$1,main!$A$3:$I$102,7,FALSE),main!$K$26:$Q$29,5,FALSE)),1,0)</f>
        <v>0</v>
      </c>
      <c r="BH271">
        <f>IF(AND(VLOOKUP(BH$1,main!$A$3:$H$102,7,FALSE)=main!$G$105,VLOOKUP(BH$1,main!$A$3:$H$102,5,FALSE)-VLOOKUP($A271,main!$A$3:$H$102,6,FALSE)&gt;=main!$D$103+VLOOKUP(VLOOKUP(BH$1,main!$A$3:$I$102,7,FALSE),main!$K$26:$Q$29,5,FALSE)),1,0)</f>
        <v>0</v>
      </c>
      <c r="BI271">
        <f>IF(AND(VLOOKUP(BI$1,main!$A$3:$H$102,7,FALSE)=main!$G$105,VLOOKUP(BI$1,main!$A$3:$H$102,5,FALSE)-VLOOKUP($A271,main!$A$3:$H$102,6,FALSE)&gt;=main!$D$103+VLOOKUP(VLOOKUP(BI$1,main!$A$3:$I$102,7,FALSE),main!$K$26:$Q$29,5,FALSE)),1,0)</f>
        <v>0</v>
      </c>
      <c r="BJ271">
        <f>IF(AND(VLOOKUP(BJ$1,main!$A$3:$H$102,7,FALSE)=main!$G$105,VLOOKUP(BJ$1,main!$A$3:$H$102,5,FALSE)-VLOOKUP($A271,main!$A$3:$H$102,6,FALSE)&gt;=main!$D$103+VLOOKUP(VLOOKUP(BJ$1,main!$A$3:$I$102,7,FALSE),main!$K$26:$Q$29,5,FALSE)),1,0)</f>
        <v>0</v>
      </c>
      <c r="BK271">
        <f>IF(AND(VLOOKUP(BK$1,main!$A$3:$H$102,7,FALSE)=main!$G$105,VLOOKUP(BK$1,main!$A$3:$H$102,5,FALSE)-VLOOKUP($A271,main!$A$3:$H$102,6,FALSE)&gt;=main!$D$103+VLOOKUP(VLOOKUP(BK$1,main!$A$3:$I$102,7,FALSE),main!$K$26:$Q$29,5,FALSE)),1,0)</f>
        <v>0</v>
      </c>
      <c r="BL271">
        <f>IF(AND(VLOOKUP(BL$1,main!$A$3:$H$102,7,FALSE)=main!$G$105,VLOOKUP(BL$1,main!$A$3:$H$102,5,FALSE)-VLOOKUP($A271,main!$A$3:$H$102,6,FALSE)&gt;=main!$D$103+VLOOKUP(VLOOKUP(BL$1,main!$A$3:$I$102,7,FALSE),main!$K$26:$Q$29,5,FALSE)),1,0)</f>
        <v>0</v>
      </c>
      <c r="BM271">
        <f>IF(AND(VLOOKUP(BM$1,main!$A$3:$H$102,7,FALSE)=main!$G$105,VLOOKUP(BM$1,main!$A$3:$H$102,5,FALSE)-VLOOKUP($A271,main!$A$3:$H$102,6,FALSE)&gt;=main!$D$103+VLOOKUP(VLOOKUP(BM$1,main!$A$3:$I$102,7,FALSE),main!$K$26:$Q$29,5,FALSE)),1,0)</f>
        <v>0</v>
      </c>
      <c r="BN271">
        <f>IF(AND(VLOOKUP(BN$1,main!$A$3:$H$102,7,FALSE)=main!$G$105,VLOOKUP(BN$1,main!$A$3:$H$102,5,FALSE)-VLOOKUP($A271,main!$A$3:$H$102,6,FALSE)&gt;=main!$D$103+VLOOKUP(VLOOKUP(BN$1,main!$A$3:$I$102,7,FALSE),main!$K$26:$Q$29,5,FALSE)),1,0)</f>
        <v>0</v>
      </c>
      <c r="BO271">
        <f>IF(AND(VLOOKUP(BO$1,main!$A$3:$H$102,7,FALSE)=main!$G$105,VLOOKUP(BO$1,main!$A$3:$H$102,5,FALSE)-VLOOKUP($A271,main!$A$3:$H$102,6,FALSE)&gt;=main!$D$103+VLOOKUP(VLOOKUP(BO$1,main!$A$3:$I$102,7,FALSE),main!$K$26:$Q$29,5,FALSE)),1,0)</f>
        <v>0</v>
      </c>
      <c r="BP271">
        <f>IF(AND(VLOOKUP(BP$1,main!$A$3:$H$102,7,FALSE)=main!$G$105,VLOOKUP(BP$1,main!$A$3:$H$102,5,FALSE)-VLOOKUP($A271,main!$A$3:$H$102,6,FALSE)&gt;=main!$D$103+VLOOKUP(VLOOKUP(BP$1,main!$A$3:$I$102,7,FALSE),main!$K$26:$Q$29,5,FALSE)),1,0)</f>
        <v>0</v>
      </c>
      <c r="BQ271">
        <f>IF(AND(VLOOKUP(BQ$1,main!$A$3:$H$102,7,FALSE)=main!$G$105,VLOOKUP(BQ$1,main!$A$3:$H$102,5,FALSE)-VLOOKUP($A271,main!$A$3:$H$102,6,FALSE)&gt;=main!$D$103+VLOOKUP(VLOOKUP(BQ$1,main!$A$3:$I$102,7,FALSE),main!$K$26:$Q$29,5,FALSE)),1,0)</f>
        <v>0</v>
      </c>
      <c r="BR271">
        <f>IF(AND(VLOOKUP(BR$1,main!$A$3:$H$102,7,FALSE)=main!$G$105,VLOOKUP(BR$1,main!$A$3:$H$102,5,FALSE)-VLOOKUP($A271,main!$A$3:$H$102,6,FALSE)&gt;=main!$D$103+VLOOKUP(VLOOKUP(BR$1,main!$A$3:$I$102,7,FALSE),main!$K$26:$Q$29,5,FALSE)),1,0)</f>
        <v>0</v>
      </c>
      <c r="BS271">
        <f>IF(AND(VLOOKUP(BS$1,main!$A$3:$H$102,7,FALSE)=main!$G$105,VLOOKUP(BS$1,main!$A$3:$H$102,5,FALSE)-VLOOKUP($A271,main!$A$3:$H$102,6,FALSE)&gt;=main!$D$103+VLOOKUP(VLOOKUP(BS$1,main!$A$3:$I$102,7,FALSE),main!$K$26:$Q$29,5,FALSE)),1,0)</f>
        <v>0</v>
      </c>
      <c r="BT271">
        <f>IF(AND(VLOOKUP(BT$1,main!$A$3:$H$102,7,FALSE)=main!$G$105,VLOOKUP(BT$1,main!$A$3:$H$102,5,FALSE)-VLOOKUP($A271,main!$A$3:$H$102,6,FALSE)&gt;=main!$D$103+VLOOKUP(VLOOKUP(BT$1,main!$A$3:$I$102,7,FALSE),main!$K$26:$Q$29,5,FALSE)),1,0)</f>
        <v>0</v>
      </c>
      <c r="BU271">
        <f>IF(AND(VLOOKUP(BU$1,main!$A$3:$H$102,7,FALSE)=main!$G$105,VLOOKUP(BU$1,main!$A$3:$H$102,5,FALSE)-VLOOKUP($A271,main!$A$3:$H$102,6,FALSE)&gt;=main!$D$103+VLOOKUP(VLOOKUP(BU$1,main!$A$3:$I$102,7,FALSE),main!$K$26:$Q$29,5,FALSE)),1,0)</f>
        <v>0</v>
      </c>
      <c r="BV271">
        <f>IF(AND(VLOOKUP(BV$1,main!$A$3:$H$102,7,FALSE)=main!$G$105,VLOOKUP(BV$1,main!$A$3:$H$102,5,FALSE)-VLOOKUP($A271,main!$A$3:$H$102,6,FALSE)&gt;=main!$D$103+VLOOKUP(VLOOKUP(BV$1,main!$A$3:$I$102,7,FALSE),main!$K$26:$Q$29,5,FALSE)),1,0)</f>
        <v>0</v>
      </c>
      <c r="BW271">
        <f>IF(AND(VLOOKUP(BW$1,main!$A$3:$H$102,7,FALSE)=main!$G$105,VLOOKUP(BW$1,main!$A$3:$H$102,5,FALSE)-VLOOKUP($A271,main!$A$3:$H$102,6,FALSE)&gt;=main!$D$103+VLOOKUP(VLOOKUP(BW$1,main!$A$3:$I$102,7,FALSE),main!$K$26:$Q$29,5,FALSE)),1,0)</f>
        <v>0</v>
      </c>
      <c r="BX271">
        <f>IF(AND(VLOOKUP(BX$1,main!$A$3:$H$102,7,FALSE)=main!$G$105,VLOOKUP(BX$1,main!$A$3:$H$102,5,FALSE)-VLOOKUP($A271,main!$A$3:$H$102,6,FALSE)&gt;=main!$D$103+VLOOKUP(VLOOKUP(BX$1,main!$A$3:$I$102,7,FALSE),main!$K$26:$Q$29,5,FALSE)),1,0)</f>
        <v>0</v>
      </c>
      <c r="BY271">
        <f>IF(AND(VLOOKUP(BY$1,main!$A$3:$H$102,7,FALSE)=main!$G$105,VLOOKUP(BY$1,main!$A$3:$H$102,5,FALSE)-VLOOKUP($A271,main!$A$3:$H$102,6,FALSE)&gt;=main!$D$103+VLOOKUP(VLOOKUP(BY$1,main!$A$3:$I$102,7,FALSE),main!$K$26:$Q$29,5,FALSE)),1,0)</f>
        <v>0</v>
      </c>
      <c r="BZ271">
        <f>IF(AND(VLOOKUP(BZ$1,main!$A$3:$H$102,7,FALSE)=main!$G$105,VLOOKUP(BZ$1,main!$A$3:$H$102,5,FALSE)-VLOOKUP($A271,main!$A$3:$H$102,6,FALSE)&gt;=main!$D$103+VLOOKUP(VLOOKUP(BZ$1,main!$A$3:$I$102,7,FALSE),main!$K$26:$Q$29,5,FALSE)),1,0)</f>
        <v>0</v>
      </c>
      <c r="CA271">
        <f>IF(AND(VLOOKUP(CA$1,main!$A$3:$H$102,7,FALSE)=main!$G$105,VLOOKUP(CA$1,main!$A$3:$H$102,5,FALSE)-VLOOKUP($A271,main!$A$3:$H$102,6,FALSE)&gt;=main!$D$103+VLOOKUP(VLOOKUP(CA$1,main!$A$3:$I$102,7,FALSE),main!$K$26:$Q$29,5,FALSE)),1,0)</f>
        <v>0</v>
      </c>
      <c r="CB271">
        <f>IF(AND(VLOOKUP(CB$1,main!$A$3:$H$102,7,FALSE)=main!$G$105,VLOOKUP(CB$1,main!$A$3:$H$102,5,FALSE)-VLOOKUP($A271,main!$A$3:$H$102,6,FALSE)&gt;=main!$D$103+VLOOKUP(VLOOKUP(CB$1,main!$A$3:$I$102,7,FALSE),main!$K$26:$Q$29,5,FALSE)),1,0)</f>
        <v>0</v>
      </c>
      <c r="CC271">
        <f>IF(AND(VLOOKUP(CC$1,main!$A$3:$H$102,7,FALSE)=main!$G$105,VLOOKUP(CC$1,main!$A$3:$H$102,5,FALSE)-VLOOKUP($A271,main!$A$3:$H$102,6,FALSE)&gt;=main!$D$103+VLOOKUP(VLOOKUP(CC$1,main!$A$3:$I$102,7,FALSE),main!$K$26:$Q$29,5,FALSE)),1,0)</f>
        <v>0</v>
      </c>
      <c r="CD271">
        <f>IF(AND(VLOOKUP(CD$1,main!$A$3:$H$102,7,FALSE)=main!$G$105,VLOOKUP(CD$1,main!$A$3:$H$102,5,FALSE)-VLOOKUP($A271,main!$A$3:$H$102,6,FALSE)&gt;=main!$D$103+VLOOKUP(VLOOKUP(CD$1,main!$A$3:$I$102,7,FALSE),main!$K$26:$Q$29,5,FALSE)),1,0)</f>
        <v>0</v>
      </c>
      <c r="CE271">
        <f>IF(AND(VLOOKUP(CE$1,main!$A$3:$H$102,7,FALSE)=main!$G$105,VLOOKUP(CE$1,main!$A$3:$H$102,5,FALSE)-VLOOKUP($A271,main!$A$3:$H$102,6,FALSE)&gt;=main!$D$103+VLOOKUP(VLOOKUP(CE$1,main!$A$3:$I$102,7,FALSE),main!$K$26:$Q$29,5,FALSE)),1,0)</f>
        <v>0</v>
      </c>
      <c r="CF271">
        <f>IF(AND(VLOOKUP(CF$1,main!$A$3:$H$102,7,FALSE)=main!$G$105,VLOOKUP(CF$1,main!$A$3:$H$102,5,FALSE)-VLOOKUP($A271,main!$A$3:$H$102,6,FALSE)&gt;=main!$D$103+VLOOKUP(VLOOKUP(CF$1,main!$A$3:$I$102,7,FALSE),main!$K$26:$Q$29,5,FALSE)),1,0)</f>
        <v>0</v>
      </c>
      <c r="CG271">
        <f>IF(AND(VLOOKUP(CG$1,main!$A$3:$H$102,7,FALSE)=main!$G$105,VLOOKUP(CG$1,main!$A$3:$H$102,5,FALSE)-VLOOKUP($A271,main!$A$3:$H$102,6,FALSE)&gt;=main!$D$103+VLOOKUP(VLOOKUP(CG$1,main!$A$3:$I$102,7,FALSE),main!$K$26:$Q$29,5,FALSE)),1,0)</f>
        <v>0</v>
      </c>
      <c r="CH271">
        <f>IF(AND(VLOOKUP(CH$1,main!$A$3:$H$102,7,FALSE)=main!$G$105,VLOOKUP(CH$1,main!$A$3:$H$102,5,FALSE)-VLOOKUP($A271,main!$A$3:$H$102,6,FALSE)&gt;=main!$D$103+VLOOKUP(VLOOKUP(CH$1,main!$A$3:$I$102,7,FALSE),main!$K$26:$Q$29,5,FALSE)),1,0)</f>
        <v>0</v>
      </c>
      <c r="CI271">
        <f>IF(AND(VLOOKUP(CI$1,main!$A$3:$H$102,7,FALSE)=main!$G$105,VLOOKUP(CI$1,main!$A$3:$H$102,5,FALSE)-VLOOKUP($A271,main!$A$3:$H$102,6,FALSE)&gt;=main!$D$103+VLOOKUP(VLOOKUP(CI$1,main!$A$3:$I$102,7,FALSE),main!$K$26:$Q$29,5,FALSE)),1,0)</f>
        <v>0</v>
      </c>
      <c r="CJ271">
        <f>IF(AND(VLOOKUP(CJ$1,main!$A$3:$H$102,7,FALSE)=main!$G$105,VLOOKUP(CJ$1,main!$A$3:$H$102,5,FALSE)-VLOOKUP($A271,main!$A$3:$H$102,6,FALSE)&gt;=main!$D$103+VLOOKUP(VLOOKUP(CJ$1,main!$A$3:$I$102,7,FALSE),main!$K$26:$Q$29,5,FALSE)),1,0)</f>
        <v>0</v>
      </c>
      <c r="CK271">
        <f>IF(AND(VLOOKUP(CK$1,main!$A$3:$H$102,7,FALSE)=main!$G$105,VLOOKUP(CK$1,main!$A$3:$H$102,5,FALSE)-VLOOKUP($A271,main!$A$3:$H$102,6,FALSE)&gt;=main!$D$103+VLOOKUP(VLOOKUP(CK$1,main!$A$3:$I$102,7,FALSE),main!$K$26:$Q$29,5,FALSE)),1,0)</f>
        <v>0</v>
      </c>
      <c r="CL271">
        <f>IF(AND(VLOOKUP(CL$1,main!$A$3:$H$102,7,FALSE)=main!$G$105,VLOOKUP(CL$1,main!$A$3:$H$102,5,FALSE)-VLOOKUP($A271,main!$A$3:$H$102,6,FALSE)&gt;=main!$D$103+VLOOKUP(VLOOKUP(CL$1,main!$A$3:$I$102,7,FALSE),main!$K$26:$Q$29,5,FALSE)),1,0)</f>
        <v>0</v>
      </c>
      <c r="CM271">
        <f>IF(AND(VLOOKUP(CM$1,main!$A$3:$H$102,7,FALSE)=main!$G$105,VLOOKUP(CM$1,main!$A$3:$H$102,5,FALSE)-VLOOKUP($A271,main!$A$3:$H$102,6,FALSE)&gt;=main!$D$103+VLOOKUP(VLOOKUP(CM$1,main!$A$3:$I$102,7,FALSE),main!$K$26:$Q$29,5,FALSE)),1,0)</f>
        <v>0</v>
      </c>
      <c r="CN271">
        <f>IF(AND(VLOOKUP(CN$1,main!$A$3:$H$102,7,FALSE)=main!$G$105,VLOOKUP(CN$1,main!$A$3:$H$102,5,FALSE)-VLOOKUP($A271,main!$A$3:$H$102,6,FALSE)&gt;=main!$D$103+VLOOKUP(VLOOKUP(CN$1,main!$A$3:$I$102,7,FALSE),main!$K$26:$Q$29,5,FALSE)),1,0)</f>
        <v>0</v>
      </c>
      <c r="CO271">
        <f>IF(AND(VLOOKUP(CO$1,main!$A$3:$H$102,7,FALSE)=main!$G$105,VLOOKUP(CO$1,main!$A$3:$H$102,5,FALSE)-VLOOKUP($A271,main!$A$3:$H$102,6,FALSE)&gt;=main!$D$103+VLOOKUP(VLOOKUP(CO$1,main!$A$3:$I$102,7,FALSE),main!$K$26:$Q$29,5,FALSE)),1,0)</f>
        <v>0</v>
      </c>
      <c r="CP271">
        <f>IF(AND(VLOOKUP(CP$1,main!$A$3:$H$102,7,FALSE)=main!$G$105,VLOOKUP(CP$1,main!$A$3:$H$102,5,FALSE)-VLOOKUP($A271,main!$A$3:$H$102,6,FALSE)&gt;=main!$D$103+VLOOKUP(VLOOKUP(CP$1,main!$A$3:$I$102,7,FALSE),main!$K$26:$Q$29,5,FALSE)),1,0)</f>
        <v>0</v>
      </c>
      <c r="CQ271">
        <f>IF(AND(VLOOKUP(CQ$1,main!$A$3:$H$102,7,FALSE)=main!$G$105,VLOOKUP(CQ$1,main!$A$3:$H$102,5,FALSE)-VLOOKUP($A271,main!$A$3:$H$102,6,FALSE)&gt;=main!$D$103+VLOOKUP(VLOOKUP(CQ$1,main!$A$3:$I$102,7,FALSE),main!$K$26:$Q$29,5,FALSE)),1,0)</f>
        <v>0</v>
      </c>
      <c r="CR271">
        <f>IF(AND(VLOOKUP(CR$1,main!$A$3:$H$102,7,FALSE)=main!$G$105,VLOOKUP(CR$1,main!$A$3:$H$102,5,FALSE)-VLOOKUP($A271,main!$A$3:$H$102,6,FALSE)&gt;=main!$D$103+VLOOKUP(VLOOKUP(CR$1,main!$A$3:$I$102,7,FALSE),main!$K$26:$Q$29,5,FALSE)),1,0)</f>
        <v>0</v>
      </c>
      <c r="CS271">
        <f>IF(AND(VLOOKUP(CS$1,main!$A$3:$H$102,7,FALSE)=main!$G$105,VLOOKUP(CS$1,main!$A$3:$H$102,5,FALSE)-VLOOKUP($A271,main!$A$3:$H$102,6,FALSE)&gt;=main!$D$103+VLOOKUP(VLOOKUP(CS$1,main!$A$3:$I$102,7,FALSE),main!$K$26:$Q$29,5,FALSE)),1,0)</f>
        <v>0</v>
      </c>
      <c r="CT271">
        <f>IF(AND(VLOOKUP(CT$1,main!$A$3:$H$102,7,FALSE)=main!$G$105,VLOOKUP(CT$1,main!$A$3:$H$102,5,FALSE)-VLOOKUP($A271,main!$A$3:$H$102,6,FALSE)&gt;=main!$D$103+VLOOKUP(VLOOKUP(CT$1,main!$A$3:$I$102,7,FALSE),main!$K$26:$Q$29,5,FALSE)),1,0)</f>
        <v>0</v>
      </c>
      <c r="CU271">
        <f>IF(AND(VLOOKUP(CU$1,main!$A$3:$H$102,7,FALSE)=main!$G$105,VLOOKUP(CU$1,main!$A$3:$H$102,5,FALSE)-VLOOKUP($A271,main!$A$3:$H$102,6,FALSE)&gt;=main!$D$103+VLOOKUP(VLOOKUP(CU$1,main!$A$3:$I$102,7,FALSE),main!$K$26:$Q$29,5,FALSE)),1,0)</f>
        <v>0</v>
      </c>
      <c r="CV271">
        <f>IF(AND(VLOOKUP(CV$1,main!$A$3:$H$102,7,FALSE)=main!$G$105,VLOOKUP(CV$1,main!$A$3:$H$102,5,FALSE)-VLOOKUP($A271,main!$A$3:$H$102,6,FALSE)&gt;=main!$D$103+VLOOKUP(VLOOKUP(CV$1,main!$A$3:$I$102,7,FALSE),main!$K$26:$Q$29,5,FALSE)),1,0)</f>
        <v>0</v>
      </c>
      <c r="CW271">
        <f>IF(AND(VLOOKUP(CW$1,main!$A$3:$H$102,7,FALSE)=main!$G$105,VLOOKUP(CW$1,main!$A$3:$H$102,5,FALSE)-VLOOKUP($A271,main!$A$3:$H$102,6,FALSE)&gt;=main!$D$103+VLOOKUP(VLOOKUP(CW$1,main!$A$3:$I$102,7,FALSE),main!$K$26:$Q$29,5,FALSE)),1,0)</f>
        <v>0</v>
      </c>
      <c r="CX271">
        <f>IF(AND(VLOOKUP(CX$1,main!$A$3:$H$102,7,FALSE)=main!$G$105,VLOOKUP(CX$1,main!$A$3:$H$102,5,FALSE)-VLOOKUP($A271,main!$A$3:$H$102,6,FALSE)&gt;=main!$D$103+VLOOKUP(VLOOKUP(CX$1,main!$A$3:$I$102,7,FALSE),main!$K$26:$Q$29,5,FALSE)),1,0)</f>
        <v>0</v>
      </c>
    </row>
    <row r="272" spans="1:102" x14ac:dyDescent="0.25">
      <c r="A272" s="1">
        <v>68</v>
      </c>
      <c r="B272">
        <v>0</v>
      </c>
      <c r="C272">
        <f>IF(AND(VLOOKUP(C$1,main!$A$3:$H$102,7,FALSE)=main!$G$105,VLOOKUP(C$1,main!$A$3:$H$102,5,FALSE)-VLOOKUP($A272,main!$A$3:$H$102,6,FALSE)&gt;=main!$D$103+VLOOKUP(VLOOKUP(C$1,main!$A$3:$I$102,7,FALSE),main!$K$26:$Q$29,5,FALSE)),1,0)</f>
        <v>0</v>
      </c>
      <c r="D272">
        <f>IF(AND(VLOOKUP(D$1,main!$A$3:$H$102,7,FALSE)=main!$G$105,VLOOKUP(D$1,main!$A$3:$H$102,5,FALSE)-VLOOKUP($A272,main!$A$3:$H$102,6,FALSE)&gt;=main!$D$103+VLOOKUP(VLOOKUP(D$1,main!$A$3:$I$102,7,FALSE),main!$K$26:$Q$29,5,FALSE)),1,0)</f>
        <v>0</v>
      </c>
      <c r="E272">
        <f>IF(AND(VLOOKUP(E$1,main!$A$3:$H$102,7,FALSE)=main!$G$105,VLOOKUP(E$1,main!$A$3:$H$102,5,FALSE)-VLOOKUP($A272,main!$A$3:$H$102,6,FALSE)&gt;=main!$D$103+VLOOKUP(VLOOKUP(E$1,main!$A$3:$I$102,7,FALSE),main!$K$26:$Q$29,5,FALSE)),1,0)</f>
        <v>0</v>
      </c>
      <c r="F272">
        <f>IF(AND(VLOOKUP(F$1,main!$A$3:$H$102,7,FALSE)=main!$G$105,VLOOKUP(F$1,main!$A$3:$H$102,5,FALSE)-VLOOKUP($A272,main!$A$3:$H$102,6,FALSE)&gt;=main!$D$103+VLOOKUP(VLOOKUP(F$1,main!$A$3:$I$102,7,FALSE),main!$K$26:$Q$29,5,FALSE)),1,0)</f>
        <v>0</v>
      </c>
      <c r="G272">
        <f>IF(AND(VLOOKUP(G$1,main!$A$3:$H$102,7,FALSE)=main!$G$105,VLOOKUP(G$1,main!$A$3:$H$102,5,FALSE)-VLOOKUP($A272,main!$A$3:$H$102,6,FALSE)&gt;=main!$D$103+VLOOKUP(VLOOKUP(G$1,main!$A$3:$I$102,7,FALSE),main!$K$26:$Q$29,5,FALSE)),1,0)</f>
        <v>0</v>
      </c>
      <c r="H272">
        <f>IF(AND(VLOOKUP(H$1,main!$A$3:$H$102,7,FALSE)=main!$G$105,VLOOKUP(H$1,main!$A$3:$H$102,5,FALSE)-VLOOKUP($A272,main!$A$3:$H$102,6,FALSE)&gt;=main!$D$103+VLOOKUP(VLOOKUP(H$1,main!$A$3:$I$102,7,FALSE),main!$K$26:$Q$29,5,FALSE)),1,0)</f>
        <v>0</v>
      </c>
      <c r="I272">
        <f>IF(AND(VLOOKUP(I$1,main!$A$3:$H$102,7,FALSE)=main!$G$105,VLOOKUP(I$1,main!$A$3:$H$102,5,FALSE)-VLOOKUP($A272,main!$A$3:$H$102,6,FALSE)&gt;=main!$D$103+VLOOKUP(VLOOKUP(I$1,main!$A$3:$I$102,7,FALSE),main!$K$26:$Q$29,5,FALSE)),1,0)</f>
        <v>0</v>
      </c>
      <c r="J272">
        <f>IF(AND(VLOOKUP(J$1,main!$A$3:$H$102,7,FALSE)=main!$G$105,VLOOKUP(J$1,main!$A$3:$H$102,5,FALSE)-VLOOKUP($A272,main!$A$3:$H$102,6,FALSE)&gt;=main!$D$103+VLOOKUP(VLOOKUP(J$1,main!$A$3:$I$102,7,FALSE),main!$K$26:$Q$29,5,FALSE)),1,0)</f>
        <v>0</v>
      </c>
      <c r="K272">
        <f>IF(AND(VLOOKUP(K$1,main!$A$3:$H$102,7,FALSE)=main!$G$105,VLOOKUP(K$1,main!$A$3:$H$102,5,FALSE)-VLOOKUP($A272,main!$A$3:$H$102,6,FALSE)&gt;=main!$D$103+VLOOKUP(VLOOKUP(K$1,main!$A$3:$I$102,7,FALSE),main!$K$26:$Q$29,5,FALSE)),1,0)</f>
        <v>0</v>
      </c>
      <c r="L272">
        <f>IF(AND(VLOOKUP(L$1,main!$A$3:$H$102,7,FALSE)=main!$G$105,VLOOKUP(L$1,main!$A$3:$H$102,5,FALSE)-VLOOKUP($A272,main!$A$3:$H$102,6,FALSE)&gt;=main!$D$103+VLOOKUP(VLOOKUP(L$1,main!$A$3:$I$102,7,FALSE),main!$K$26:$Q$29,5,FALSE)),1,0)</f>
        <v>0</v>
      </c>
      <c r="M272">
        <f>IF(AND(VLOOKUP(M$1,main!$A$3:$H$102,7,FALSE)=main!$G$105,VLOOKUP(M$1,main!$A$3:$H$102,5,FALSE)-VLOOKUP($A272,main!$A$3:$H$102,6,FALSE)&gt;=main!$D$103+VLOOKUP(VLOOKUP(M$1,main!$A$3:$I$102,7,FALSE),main!$K$26:$Q$29,5,FALSE)),1,0)</f>
        <v>0</v>
      </c>
      <c r="N272">
        <f>IF(AND(VLOOKUP(N$1,main!$A$3:$H$102,7,FALSE)=main!$G$105,VLOOKUP(N$1,main!$A$3:$H$102,5,FALSE)-VLOOKUP($A272,main!$A$3:$H$102,6,FALSE)&gt;=main!$D$103+VLOOKUP(VLOOKUP(N$1,main!$A$3:$I$102,7,FALSE),main!$K$26:$Q$29,5,FALSE)),1,0)</f>
        <v>0</v>
      </c>
      <c r="O272">
        <f>IF(AND(VLOOKUP(O$1,main!$A$3:$H$102,7,FALSE)=main!$G$105,VLOOKUP(O$1,main!$A$3:$H$102,5,FALSE)-VLOOKUP($A272,main!$A$3:$H$102,6,FALSE)&gt;=main!$D$103+VLOOKUP(VLOOKUP(O$1,main!$A$3:$I$102,7,FALSE),main!$K$26:$Q$29,5,FALSE)),1,0)</f>
        <v>0</v>
      </c>
      <c r="P272">
        <f>IF(AND(VLOOKUP(P$1,main!$A$3:$H$102,7,FALSE)=main!$G$105,VLOOKUP(P$1,main!$A$3:$H$102,5,FALSE)-VLOOKUP($A272,main!$A$3:$H$102,6,FALSE)&gt;=main!$D$103+VLOOKUP(VLOOKUP(P$1,main!$A$3:$I$102,7,FALSE),main!$K$26:$Q$29,5,FALSE)),1,0)</f>
        <v>0</v>
      </c>
      <c r="Q272">
        <f>IF(AND(VLOOKUP(Q$1,main!$A$3:$H$102,7,FALSE)=main!$G$105,VLOOKUP(Q$1,main!$A$3:$H$102,5,FALSE)-VLOOKUP($A272,main!$A$3:$H$102,6,FALSE)&gt;=main!$D$103+VLOOKUP(VLOOKUP(Q$1,main!$A$3:$I$102,7,FALSE),main!$K$26:$Q$29,5,FALSE)),1,0)</f>
        <v>0</v>
      </c>
      <c r="R272">
        <f>IF(AND(VLOOKUP(R$1,main!$A$3:$H$102,7,FALSE)=main!$G$105,VLOOKUP(R$1,main!$A$3:$H$102,5,FALSE)-VLOOKUP($A272,main!$A$3:$H$102,6,FALSE)&gt;=main!$D$103+VLOOKUP(VLOOKUP(R$1,main!$A$3:$I$102,7,FALSE),main!$K$26:$Q$29,5,FALSE)),1,0)</f>
        <v>0</v>
      </c>
      <c r="S272">
        <f>IF(AND(VLOOKUP(S$1,main!$A$3:$H$102,7,FALSE)=main!$G$105,VLOOKUP(S$1,main!$A$3:$H$102,5,FALSE)-VLOOKUP($A272,main!$A$3:$H$102,6,FALSE)&gt;=main!$D$103+VLOOKUP(VLOOKUP(S$1,main!$A$3:$I$102,7,FALSE),main!$K$26:$Q$29,5,FALSE)),1,0)</f>
        <v>0</v>
      </c>
      <c r="T272">
        <f>IF(AND(VLOOKUP(T$1,main!$A$3:$H$102,7,FALSE)=main!$G$105,VLOOKUP(T$1,main!$A$3:$H$102,5,FALSE)-VLOOKUP($A272,main!$A$3:$H$102,6,FALSE)&gt;=main!$D$103+VLOOKUP(VLOOKUP(T$1,main!$A$3:$I$102,7,FALSE),main!$K$26:$Q$29,5,FALSE)),1,0)</f>
        <v>0</v>
      </c>
      <c r="U272">
        <f>IF(AND(VLOOKUP(U$1,main!$A$3:$H$102,7,FALSE)=main!$G$105,VLOOKUP(U$1,main!$A$3:$H$102,5,FALSE)-VLOOKUP($A272,main!$A$3:$H$102,6,FALSE)&gt;=main!$D$103+VLOOKUP(VLOOKUP(U$1,main!$A$3:$I$102,7,FALSE),main!$K$26:$Q$29,5,FALSE)),1,0)</f>
        <v>0</v>
      </c>
      <c r="V272">
        <f>IF(AND(VLOOKUP(V$1,main!$A$3:$H$102,7,FALSE)=main!$G$105,VLOOKUP(V$1,main!$A$3:$H$102,5,FALSE)-VLOOKUP($A272,main!$A$3:$H$102,6,FALSE)&gt;=main!$D$103+VLOOKUP(VLOOKUP(V$1,main!$A$3:$I$102,7,FALSE),main!$K$26:$Q$29,5,FALSE)),1,0)</f>
        <v>0</v>
      </c>
      <c r="W272">
        <f>IF(AND(VLOOKUP(W$1,main!$A$3:$H$102,7,FALSE)=main!$G$105,VLOOKUP(W$1,main!$A$3:$H$102,5,FALSE)-VLOOKUP($A272,main!$A$3:$H$102,6,FALSE)&gt;=main!$D$103+VLOOKUP(VLOOKUP(W$1,main!$A$3:$I$102,7,FALSE),main!$K$26:$Q$29,5,FALSE)),1,0)</f>
        <v>0</v>
      </c>
      <c r="X272">
        <f>IF(AND(VLOOKUP(X$1,main!$A$3:$H$102,7,FALSE)=main!$G$105,VLOOKUP(X$1,main!$A$3:$H$102,5,FALSE)-VLOOKUP($A272,main!$A$3:$H$102,6,FALSE)&gt;=main!$D$103+VLOOKUP(VLOOKUP(X$1,main!$A$3:$I$102,7,FALSE),main!$K$26:$Q$29,5,FALSE)),1,0)</f>
        <v>0</v>
      </c>
      <c r="Y272">
        <f>IF(AND(VLOOKUP(Y$1,main!$A$3:$H$102,7,FALSE)=main!$G$105,VLOOKUP(Y$1,main!$A$3:$H$102,5,FALSE)-VLOOKUP($A272,main!$A$3:$H$102,6,FALSE)&gt;=main!$D$103+VLOOKUP(VLOOKUP(Y$1,main!$A$3:$I$102,7,FALSE),main!$K$26:$Q$29,5,FALSE)),1,0)</f>
        <v>0</v>
      </c>
      <c r="Z272">
        <f>IF(AND(VLOOKUP(Z$1,main!$A$3:$H$102,7,FALSE)=main!$G$105,VLOOKUP(Z$1,main!$A$3:$H$102,5,FALSE)-VLOOKUP($A272,main!$A$3:$H$102,6,FALSE)&gt;=main!$D$103+VLOOKUP(VLOOKUP(Z$1,main!$A$3:$I$102,7,FALSE),main!$K$26:$Q$29,5,FALSE)),1,0)</f>
        <v>0</v>
      </c>
      <c r="AA272">
        <f>IF(AND(VLOOKUP(AA$1,main!$A$3:$H$102,7,FALSE)=main!$G$105,VLOOKUP(AA$1,main!$A$3:$H$102,5,FALSE)-VLOOKUP($A272,main!$A$3:$H$102,6,FALSE)&gt;=main!$D$103+VLOOKUP(VLOOKUP(AA$1,main!$A$3:$I$102,7,FALSE),main!$K$26:$Q$29,5,FALSE)),1,0)</f>
        <v>0</v>
      </c>
      <c r="AB272">
        <f>IF(AND(VLOOKUP(AB$1,main!$A$3:$H$102,7,FALSE)=main!$G$105,VLOOKUP(AB$1,main!$A$3:$H$102,5,FALSE)-VLOOKUP($A272,main!$A$3:$H$102,6,FALSE)&gt;=main!$D$103+VLOOKUP(VLOOKUP(AB$1,main!$A$3:$I$102,7,FALSE),main!$K$26:$Q$29,5,FALSE)),1,0)</f>
        <v>0</v>
      </c>
      <c r="AC272">
        <f>IF(AND(VLOOKUP(AC$1,main!$A$3:$H$102,7,FALSE)=main!$G$105,VLOOKUP(AC$1,main!$A$3:$H$102,5,FALSE)-VLOOKUP($A272,main!$A$3:$H$102,6,FALSE)&gt;=main!$D$103+VLOOKUP(VLOOKUP(AC$1,main!$A$3:$I$102,7,FALSE),main!$K$26:$Q$29,5,FALSE)),1,0)</f>
        <v>0</v>
      </c>
      <c r="AD272">
        <f>IF(AND(VLOOKUP(AD$1,main!$A$3:$H$102,7,FALSE)=main!$G$105,VLOOKUP(AD$1,main!$A$3:$H$102,5,FALSE)-VLOOKUP($A272,main!$A$3:$H$102,6,FALSE)&gt;=main!$D$103+VLOOKUP(VLOOKUP(AD$1,main!$A$3:$I$102,7,FALSE),main!$K$26:$Q$29,5,FALSE)),1,0)</f>
        <v>0</v>
      </c>
      <c r="AE272">
        <f>IF(AND(VLOOKUP(AE$1,main!$A$3:$H$102,7,FALSE)=main!$G$105,VLOOKUP(AE$1,main!$A$3:$H$102,5,FALSE)-VLOOKUP($A272,main!$A$3:$H$102,6,FALSE)&gt;=main!$D$103+VLOOKUP(VLOOKUP(AE$1,main!$A$3:$I$102,7,FALSE),main!$K$26:$Q$29,5,FALSE)),1,0)</f>
        <v>0</v>
      </c>
      <c r="AF272">
        <f>IF(AND(VLOOKUP(AF$1,main!$A$3:$H$102,7,FALSE)=main!$G$105,VLOOKUP(AF$1,main!$A$3:$H$102,5,FALSE)-VLOOKUP($A272,main!$A$3:$H$102,6,FALSE)&gt;=main!$D$103+VLOOKUP(VLOOKUP(AF$1,main!$A$3:$I$102,7,FALSE),main!$K$26:$Q$29,5,FALSE)),1,0)</f>
        <v>0</v>
      </c>
      <c r="AG272">
        <f>IF(AND(VLOOKUP(AG$1,main!$A$3:$H$102,7,FALSE)=main!$G$105,VLOOKUP(AG$1,main!$A$3:$H$102,5,FALSE)-VLOOKUP($A272,main!$A$3:$H$102,6,FALSE)&gt;=main!$D$103+VLOOKUP(VLOOKUP(AG$1,main!$A$3:$I$102,7,FALSE),main!$K$26:$Q$29,5,FALSE)),1,0)</f>
        <v>0</v>
      </c>
      <c r="AH272">
        <f>IF(AND(VLOOKUP(AH$1,main!$A$3:$H$102,7,FALSE)=main!$G$105,VLOOKUP(AH$1,main!$A$3:$H$102,5,FALSE)-VLOOKUP($A272,main!$A$3:$H$102,6,FALSE)&gt;=main!$D$103+VLOOKUP(VLOOKUP(AH$1,main!$A$3:$I$102,7,FALSE),main!$K$26:$Q$29,5,FALSE)),1,0)</f>
        <v>0</v>
      </c>
      <c r="AI272">
        <f>IF(AND(VLOOKUP(AI$1,main!$A$3:$H$102,7,FALSE)=main!$G$105,VLOOKUP(AI$1,main!$A$3:$H$102,5,FALSE)-VLOOKUP($A272,main!$A$3:$H$102,6,FALSE)&gt;=main!$D$103+VLOOKUP(VLOOKUP(AI$1,main!$A$3:$I$102,7,FALSE),main!$K$26:$Q$29,5,FALSE)),1,0)</f>
        <v>0</v>
      </c>
      <c r="AJ272">
        <f>IF(AND(VLOOKUP(AJ$1,main!$A$3:$H$102,7,FALSE)=main!$G$105,VLOOKUP(AJ$1,main!$A$3:$H$102,5,FALSE)-VLOOKUP($A272,main!$A$3:$H$102,6,FALSE)&gt;=main!$D$103+VLOOKUP(VLOOKUP(AJ$1,main!$A$3:$I$102,7,FALSE),main!$K$26:$Q$29,5,FALSE)),1,0)</f>
        <v>0</v>
      </c>
      <c r="AK272">
        <f>IF(AND(VLOOKUP(AK$1,main!$A$3:$H$102,7,FALSE)=main!$G$105,VLOOKUP(AK$1,main!$A$3:$H$102,5,FALSE)-VLOOKUP($A272,main!$A$3:$H$102,6,FALSE)&gt;=main!$D$103+VLOOKUP(VLOOKUP(AK$1,main!$A$3:$I$102,7,FALSE),main!$K$26:$Q$29,5,FALSE)),1,0)</f>
        <v>0</v>
      </c>
      <c r="AL272">
        <f>IF(AND(VLOOKUP(AL$1,main!$A$3:$H$102,7,FALSE)=main!$G$105,VLOOKUP(AL$1,main!$A$3:$H$102,5,FALSE)-VLOOKUP($A272,main!$A$3:$H$102,6,FALSE)&gt;=main!$D$103+VLOOKUP(VLOOKUP(AL$1,main!$A$3:$I$102,7,FALSE),main!$K$26:$Q$29,5,FALSE)),1,0)</f>
        <v>1</v>
      </c>
      <c r="AM272">
        <f>IF(AND(VLOOKUP(AM$1,main!$A$3:$H$102,7,FALSE)=main!$G$105,VLOOKUP(AM$1,main!$A$3:$H$102,5,FALSE)-VLOOKUP($A272,main!$A$3:$H$102,6,FALSE)&gt;=main!$D$103+VLOOKUP(VLOOKUP(AM$1,main!$A$3:$I$102,7,FALSE),main!$K$26:$Q$29,5,FALSE)),1,0)</f>
        <v>1</v>
      </c>
      <c r="AN272">
        <f>IF(AND(VLOOKUP(AN$1,main!$A$3:$H$102,7,FALSE)=main!$G$105,VLOOKUP(AN$1,main!$A$3:$H$102,5,FALSE)-VLOOKUP($A272,main!$A$3:$H$102,6,FALSE)&gt;=main!$D$103+VLOOKUP(VLOOKUP(AN$1,main!$A$3:$I$102,7,FALSE),main!$K$26:$Q$29,5,FALSE)),1,0)</f>
        <v>1</v>
      </c>
      <c r="AO272">
        <f>IF(AND(VLOOKUP(AO$1,main!$A$3:$H$102,7,FALSE)=main!$G$105,VLOOKUP(AO$1,main!$A$3:$H$102,5,FALSE)-VLOOKUP($A272,main!$A$3:$H$102,6,FALSE)&gt;=main!$D$103+VLOOKUP(VLOOKUP(AO$1,main!$A$3:$I$102,7,FALSE),main!$K$26:$Q$29,5,FALSE)),1,0)</f>
        <v>0</v>
      </c>
      <c r="AP272">
        <f>IF(AND(VLOOKUP(AP$1,main!$A$3:$H$102,7,FALSE)=main!$G$105,VLOOKUP(AP$1,main!$A$3:$H$102,5,FALSE)-VLOOKUP($A272,main!$A$3:$H$102,6,FALSE)&gt;=main!$D$103+VLOOKUP(VLOOKUP(AP$1,main!$A$3:$I$102,7,FALSE),main!$K$26:$Q$29,5,FALSE)),1,0)</f>
        <v>1</v>
      </c>
      <c r="AQ272">
        <f>IF(AND(VLOOKUP(AQ$1,main!$A$3:$H$102,7,FALSE)=main!$G$105,VLOOKUP(AQ$1,main!$A$3:$H$102,5,FALSE)-VLOOKUP($A272,main!$A$3:$H$102,6,FALSE)&gt;=main!$D$103+VLOOKUP(VLOOKUP(AQ$1,main!$A$3:$I$102,7,FALSE),main!$K$26:$Q$29,5,FALSE)),1,0)</f>
        <v>0</v>
      </c>
      <c r="AR272">
        <f>IF(AND(VLOOKUP(AR$1,main!$A$3:$H$102,7,FALSE)=main!$G$105,VLOOKUP(AR$1,main!$A$3:$H$102,5,FALSE)-VLOOKUP($A272,main!$A$3:$H$102,6,FALSE)&gt;=main!$D$103+VLOOKUP(VLOOKUP(AR$1,main!$A$3:$I$102,7,FALSE),main!$K$26:$Q$29,5,FALSE)),1,0)</f>
        <v>0</v>
      </c>
      <c r="AS272">
        <f>IF(AND(VLOOKUP(AS$1,main!$A$3:$H$102,7,FALSE)=main!$G$105,VLOOKUP(AS$1,main!$A$3:$H$102,5,FALSE)-VLOOKUP($A272,main!$A$3:$H$102,6,FALSE)&gt;=main!$D$103+VLOOKUP(VLOOKUP(AS$1,main!$A$3:$I$102,7,FALSE),main!$K$26:$Q$29,5,FALSE)),1,0)</f>
        <v>0</v>
      </c>
      <c r="AT272">
        <f>IF(AND(VLOOKUP(AT$1,main!$A$3:$H$102,7,FALSE)=main!$G$105,VLOOKUP(AT$1,main!$A$3:$H$102,5,FALSE)-VLOOKUP($A272,main!$A$3:$H$102,6,FALSE)&gt;=main!$D$103+VLOOKUP(VLOOKUP(AT$1,main!$A$3:$I$102,7,FALSE),main!$K$26:$Q$29,5,FALSE)),1,0)</f>
        <v>1</v>
      </c>
      <c r="AU272">
        <f>IF(AND(VLOOKUP(AU$1,main!$A$3:$H$102,7,FALSE)=main!$G$105,VLOOKUP(AU$1,main!$A$3:$H$102,5,FALSE)-VLOOKUP($A272,main!$A$3:$H$102,6,FALSE)&gt;=main!$D$103+VLOOKUP(VLOOKUP(AU$1,main!$A$3:$I$102,7,FALSE),main!$K$26:$Q$29,5,FALSE)),1,0)</f>
        <v>0</v>
      </c>
      <c r="AV272">
        <f>IF(AND(VLOOKUP(AV$1,main!$A$3:$H$102,7,FALSE)=main!$G$105,VLOOKUP(AV$1,main!$A$3:$H$102,5,FALSE)-VLOOKUP($A272,main!$A$3:$H$102,6,FALSE)&gt;=main!$D$103+VLOOKUP(VLOOKUP(AV$1,main!$A$3:$I$102,7,FALSE),main!$K$26:$Q$29,5,FALSE)),1,0)</f>
        <v>0</v>
      </c>
      <c r="AW272">
        <f>IF(AND(VLOOKUP(AW$1,main!$A$3:$H$102,7,FALSE)=main!$G$105,VLOOKUP(AW$1,main!$A$3:$H$102,5,FALSE)-VLOOKUP($A272,main!$A$3:$H$102,6,FALSE)&gt;=main!$D$103+VLOOKUP(VLOOKUP(AW$1,main!$A$3:$I$102,7,FALSE),main!$K$26:$Q$29,5,FALSE)),1,0)</f>
        <v>0</v>
      </c>
      <c r="AX272">
        <f>IF(AND(VLOOKUP(AX$1,main!$A$3:$H$102,7,FALSE)=main!$G$105,VLOOKUP(AX$1,main!$A$3:$H$102,5,FALSE)-VLOOKUP($A272,main!$A$3:$H$102,6,FALSE)&gt;=main!$D$103+VLOOKUP(VLOOKUP(AX$1,main!$A$3:$I$102,7,FALSE),main!$K$26:$Q$29,5,FALSE)),1,0)</f>
        <v>0</v>
      </c>
      <c r="AY272">
        <f>IF(AND(VLOOKUP(AY$1,main!$A$3:$H$102,7,FALSE)=main!$G$105,VLOOKUP(AY$1,main!$A$3:$H$102,5,FALSE)-VLOOKUP($A272,main!$A$3:$H$102,6,FALSE)&gt;=main!$D$103+VLOOKUP(VLOOKUP(AY$1,main!$A$3:$I$102,7,FALSE),main!$K$26:$Q$29,5,FALSE)),1,0)</f>
        <v>0</v>
      </c>
      <c r="AZ272">
        <f>IF(AND(VLOOKUP(AZ$1,main!$A$3:$H$102,7,FALSE)=main!$G$105,VLOOKUP(AZ$1,main!$A$3:$H$102,5,FALSE)-VLOOKUP($A272,main!$A$3:$H$102,6,FALSE)&gt;=main!$D$103+VLOOKUP(VLOOKUP(AZ$1,main!$A$3:$I$102,7,FALSE),main!$K$26:$Q$29,5,FALSE)),1,0)</f>
        <v>0</v>
      </c>
      <c r="BA272">
        <f>IF(AND(VLOOKUP(BA$1,main!$A$3:$H$102,7,FALSE)=main!$G$105,VLOOKUP(BA$1,main!$A$3:$H$102,5,FALSE)-VLOOKUP($A272,main!$A$3:$H$102,6,FALSE)&gt;=main!$D$103+VLOOKUP(VLOOKUP(BA$1,main!$A$3:$I$102,7,FALSE),main!$K$26:$Q$29,5,FALSE)),1,0)</f>
        <v>0</v>
      </c>
      <c r="BB272">
        <f>IF(AND(VLOOKUP(BB$1,main!$A$3:$H$102,7,FALSE)=main!$G$105,VLOOKUP(BB$1,main!$A$3:$H$102,5,FALSE)-VLOOKUP($A272,main!$A$3:$H$102,6,FALSE)&gt;=main!$D$103+VLOOKUP(VLOOKUP(BB$1,main!$A$3:$I$102,7,FALSE),main!$K$26:$Q$29,5,FALSE)),1,0)</f>
        <v>0</v>
      </c>
      <c r="BC272">
        <f>IF(AND(VLOOKUP(BC$1,main!$A$3:$H$102,7,FALSE)=main!$G$105,VLOOKUP(BC$1,main!$A$3:$H$102,5,FALSE)-VLOOKUP($A272,main!$A$3:$H$102,6,FALSE)&gt;=main!$D$103+VLOOKUP(VLOOKUP(BC$1,main!$A$3:$I$102,7,FALSE),main!$K$26:$Q$29,5,FALSE)),1,0)</f>
        <v>0</v>
      </c>
      <c r="BD272">
        <f>IF(AND(VLOOKUP(BD$1,main!$A$3:$H$102,7,FALSE)=main!$G$105,VLOOKUP(BD$1,main!$A$3:$H$102,5,FALSE)-VLOOKUP($A272,main!$A$3:$H$102,6,FALSE)&gt;=main!$D$103+VLOOKUP(VLOOKUP(BD$1,main!$A$3:$I$102,7,FALSE),main!$K$26:$Q$29,5,FALSE)),1,0)</f>
        <v>0</v>
      </c>
      <c r="BE272">
        <f>IF(AND(VLOOKUP(BE$1,main!$A$3:$H$102,7,FALSE)=main!$G$105,VLOOKUP(BE$1,main!$A$3:$H$102,5,FALSE)-VLOOKUP($A272,main!$A$3:$H$102,6,FALSE)&gt;=main!$D$103+VLOOKUP(VLOOKUP(BE$1,main!$A$3:$I$102,7,FALSE),main!$K$26:$Q$29,5,FALSE)),1,0)</f>
        <v>0</v>
      </c>
      <c r="BF272">
        <f>IF(AND(VLOOKUP(BF$1,main!$A$3:$H$102,7,FALSE)=main!$G$105,VLOOKUP(BF$1,main!$A$3:$H$102,5,FALSE)-VLOOKUP($A272,main!$A$3:$H$102,6,FALSE)&gt;=main!$D$103+VLOOKUP(VLOOKUP(BF$1,main!$A$3:$I$102,7,FALSE),main!$K$26:$Q$29,5,FALSE)),1,0)</f>
        <v>0</v>
      </c>
      <c r="BG272">
        <f>IF(AND(VLOOKUP(BG$1,main!$A$3:$H$102,7,FALSE)=main!$G$105,VLOOKUP(BG$1,main!$A$3:$H$102,5,FALSE)-VLOOKUP($A272,main!$A$3:$H$102,6,FALSE)&gt;=main!$D$103+VLOOKUP(VLOOKUP(BG$1,main!$A$3:$I$102,7,FALSE),main!$K$26:$Q$29,5,FALSE)),1,0)</f>
        <v>0</v>
      </c>
      <c r="BH272">
        <f>IF(AND(VLOOKUP(BH$1,main!$A$3:$H$102,7,FALSE)=main!$G$105,VLOOKUP(BH$1,main!$A$3:$H$102,5,FALSE)-VLOOKUP($A272,main!$A$3:$H$102,6,FALSE)&gt;=main!$D$103+VLOOKUP(VLOOKUP(BH$1,main!$A$3:$I$102,7,FALSE),main!$K$26:$Q$29,5,FALSE)),1,0)</f>
        <v>0</v>
      </c>
      <c r="BI272">
        <f>IF(AND(VLOOKUP(BI$1,main!$A$3:$H$102,7,FALSE)=main!$G$105,VLOOKUP(BI$1,main!$A$3:$H$102,5,FALSE)-VLOOKUP($A272,main!$A$3:$H$102,6,FALSE)&gt;=main!$D$103+VLOOKUP(VLOOKUP(BI$1,main!$A$3:$I$102,7,FALSE),main!$K$26:$Q$29,5,FALSE)),1,0)</f>
        <v>0</v>
      </c>
      <c r="BJ272">
        <f>IF(AND(VLOOKUP(BJ$1,main!$A$3:$H$102,7,FALSE)=main!$G$105,VLOOKUP(BJ$1,main!$A$3:$H$102,5,FALSE)-VLOOKUP($A272,main!$A$3:$H$102,6,FALSE)&gt;=main!$D$103+VLOOKUP(VLOOKUP(BJ$1,main!$A$3:$I$102,7,FALSE),main!$K$26:$Q$29,5,FALSE)),1,0)</f>
        <v>0</v>
      </c>
      <c r="BK272">
        <f>IF(AND(VLOOKUP(BK$1,main!$A$3:$H$102,7,FALSE)=main!$G$105,VLOOKUP(BK$1,main!$A$3:$H$102,5,FALSE)-VLOOKUP($A272,main!$A$3:$H$102,6,FALSE)&gt;=main!$D$103+VLOOKUP(VLOOKUP(BK$1,main!$A$3:$I$102,7,FALSE),main!$K$26:$Q$29,5,FALSE)),1,0)</f>
        <v>0</v>
      </c>
      <c r="BL272">
        <f>IF(AND(VLOOKUP(BL$1,main!$A$3:$H$102,7,FALSE)=main!$G$105,VLOOKUP(BL$1,main!$A$3:$H$102,5,FALSE)-VLOOKUP($A272,main!$A$3:$H$102,6,FALSE)&gt;=main!$D$103+VLOOKUP(VLOOKUP(BL$1,main!$A$3:$I$102,7,FALSE),main!$K$26:$Q$29,5,FALSE)),1,0)</f>
        <v>0</v>
      </c>
      <c r="BM272">
        <f>IF(AND(VLOOKUP(BM$1,main!$A$3:$H$102,7,FALSE)=main!$G$105,VLOOKUP(BM$1,main!$A$3:$H$102,5,FALSE)-VLOOKUP($A272,main!$A$3:$H$102,6,FALSE)&gt;=main!$D$103+VLOOKUP(VLOOKUP(BM$1,main!$A$3:$I$102,7,FALSE),main!$K$26:$Q$29,5,FALSE)),1,0)</f>
        <v>0</v>
      </c>
      <c r="BN272">
        <f>IF(AND(VLOOKUP(BN$1,main!$A$3:$H$102,7,FALSE)=main!$G$105,VLOOKUP(BN$1,main!$A$3:$H$102,5,FALSE)-VLOOKUP($A272,main!$A$3:$H$102,6,FALSE)&gt;=main!$D$103+VLOOKUP(VLOOKUP(BN$1,main!$A$3:$I$102,7,FALSE),main!$K$26:$Q$29,5,FALSE)),1,0)</f>
        <v>0</v>
      </c>
      <c r="BO272">
        <f>IF(AND(VLOOKUP(BO$1,main!$A$3:$H$102,7,FALSE)=main!$G$105,VLOOKUP(BO$1,main!$A$3:$H$102,5,FALSE)-VLOOKUP($A272,main!$A$3:$H$102,6,FALSE)&gt;=main!$D$103+VLOOKUP(VLOOKUP(BO$1,main!$A$3:$I$102,7,FALSE),main!$K$26:$Q$29,5,FALSE)),1,0)</f>
        <v>0</v>
      </c>
      <c r="BP272">
        <f>IF(AND(VLOOKUP(BP$1,main!$A$3:$H$102,7,FALSE)=main!$G$105,VLOOKUP(BP$1,main!$A$3:$H$102,5,FALSE)-VLOOKUP($A272,main!$A$3:$H$102,6,FALSE)&gt;=main!$D$103+VLOOKUP(VLOOKUP(BP$1,main!$A$3:$I$102,7,FALSE),main!$K$26:$Q$29,5,FALSE)),1,0)</f>
        <v>0</v>
      </c>
      <c r="BQ272">
        <f>IF(AND(VLOOKUP(BQ$1,main!$A$3:$H$102,7,FALSE)=main!$G$105,VLOOKUP(BQ$1,main!$A$3:$H$102,5,FALSE)-VLOOKUP($A272,main!$A$3:$H$102,6,FALSE)&gt;=main!$D$103+VLOOKUP(VLOOKUP(BQ$1,main!$A$3:$I$102,7,FALSE),main!$K$26:$Q$29,5,FALSE)),1,0)</f>
        <v>0</v>
      </c>
      <c r="BR272">
        <f>IF(AND(VLOOKUP(BR$1,main!$A$3:$H$102,7,FALSE)=main!$G$105,VLOOKUP(BR$1,main!$A$3:$H$102,5,FALSE)-VLOOKUP($A272,main!$A$3:$H$102,6,FALSE)&gt;=main!$D$103+VLOOKUP(VLOOKUP(BR$1,main!$A$3:$I$102,7,FALSE),main!$K$26:$Q$29,5,FALSE)),1,0)</f>
        <v>0</v>
      </c>
      <c r="BS272">
        <f>IF(AND(VLOOKUP(BS$1,main!$A$3:$H$102,7,FALSE)=main!$G$105,VLOOKUP(BS$1,main!$A$3:$H$102,5,FALSE)-VLOOKUP($A272,main!$A$3:$H$102,6,FALSE)&gt;=main!$D$103+VLOOKUP(VLOOKUP(BS$1,main!$A$3:$I$102,7,FALSE),main!$K$26:$Q$29,5,FALSE)),1,0)</f>
        <v>0</v>
      </c>
      <c r="BT272">
        <f>IF(AND(VLOOKUP(BT$1,main!$A$3:$H$102,7,FALSE)=main!$G$105,VLOOKUP(BT$1,main!$A$3:$H$102,5,FALSE)-VLOOKUP($A272,main!$A$3:$H$102,6,FALSE)&gt;=main!$D$103+VLOOKUP(VLOOKUP(BT$1,main!$A$3:$I$102,7,FALSE),main!$K$26:$Q$29,5,FALSE)),1,0)</f>
        <v>0</v>
      </c>
      <c r="BU272">
        <f>IF(AND(VLOOKUP(BU$1,main!$A$3:$H$102,7,FALSE)=main!$G$105,VLOOKUP(BU$1,main!$A$3:$H$102,5,FALSE)-VLOOKUP($A272,main!$A$3:$H$102,6,FALSE)&gt;=main!$D$103+VLOOKUP(VLOOKUP(BU$1,main!$A$3:$I$102,7,FALSE),main!$K$26:$Q$29,5,FALSE)),1,0)</f>
        <v>0</v>
      </c>
      <c r="BV272">
        <f>IF(AND(VLOOKUP(BV$1,main!$A$3:$H$102,7,FALSE)=main!$G$105,VLOOKUP(BV$1,main!$A$3:$H$102,5,FALSE)-VLOOKUP($A272,main!$A$3:$H$102,6,FALSE)&gt;=main!$D$103+VLOOKUP(VLOOKUP(BV$1,main!$A$3:$I$102,7,FALSE),main!$K$26:$Q$29,5,FALSE)),1,0)</f>
        <v>0</v>
      </c>
      <c r="BW272">
        <f>IF(AND(VLOOKUP(BW$1,main!$A$3:$H$102,7,FALSE)=main!$G$105,VLOOKUP(BW$1,main!$A$3:$H$102,5,FALSE)-VLOOKUP($A272,main!$A$3:$H$102,6,FALSE)&gt;=main!$D$103+VLOOKUP(VLOOKUP(BW$1,main!$A$3:$I$102,7,FALSE),main!$K$26:$Q$29,5,FALSE)),1,0)</f>
        <v>0</v>
      </c>
      <c r="BX272">
        <f>IF(AND(VLOOKUP(BX$1,main!$A$3:$H$102,7,FALSE)=main!$G$105,VLOOKUP(BX$1,main!$A$3:$H$102,5,FALSE)-VLOOKUP($A272,main!$A$3:$H$102,6,FALSE)&gt;=main!$D$103+VLOOKUP(VLOOKUP(BX$1,main!$A$3:$I$102,7,FALSE),main!$K$26:$Q$29,5,FALSE)),1,0)</f>
        <v>0</v>
      </c>
      <c r="BY272">
        <f>IF(AND(VLOOKUP(BY$1,main!$A$3:$H$102,7,FALSE)=main!$G$105,VLOOKUP(BY$1,main!$A$3:$H$102,5,FALSE)-VLOOKUP($A272,main!$A$3:$H$102,6,FALSE)&gt;=main!$D$103+VLOOKUP(VLOOKUP(BY$1,main!$A$3:$I$102,7,FALSE),main!$K$26:$Q$29,5,FALSE)),1,0)</f>
        <v>0</v>
      </c>
      <c r="BZ272">
        <f>IF(AND(VLOOKUP(BZ$1,main!$A$3:$H$102,7,FALSE)=main!$G$105,VLOOKUP(BZ$1,main!$A$3:$H$102,5,FALSE)-VLOOKUP($A272,main!$A$3:$H$102,6,FALSE)&gt;=main!$D$103+VLOOKUP(VLOOKUP(BZ$1,main!$A$3:$I$102,7,FALSE),main!$K$26:$Q$29,5,FALSE)),1,0)</f>
        <v>0</v>
      </c>
      <c r="CA272">
        <f>IF(AND(VLOOKUP(CA$1,main!$A$3:$H$102,7,FALSE)=main!$G$105,VLOOKUP(CA$1,main!$A$3:$H$102,5,FALSE)-VLOOKUP($A272,main!$A$3:$H$102,6,FALSE)&gt;=main!$D$103+VLOOKUP(VLOOKUP(CA$1,main!$A$3:$I$102,7,FALSE),main!$K$26:$Q$29,5,FALSE)),1,0)</f>
        <v>0</v>
      </c>
      <c r="CB272">
        <f>IF(AND(VLOOKUP(CB$1,main!$A$3:$H$102,7,FALSE)=main!$G$105,VLOOKUP(CB$1,main!$A$3:$H$102,5,FALSE)-VLOOKUP($A272,main!$A$3:$H$102,6,FALSE)&gt;=main!$D$103+VLOOKUP(VLOOKUP(CB$1,main!$A$3:$I$102,7,FALSE),main!$K$26:$Q$29,5,FALSE)),1,0)</f>
        <v>0</v>
      </c>
      <c r="CC272">
        <f>IF(AND(VLOOKUP(CC$1,main!$A$3:$H$102,7,FALSE)=main!$G$105,VLOOKUP(CC$1,main!$A$3:$H$102,5,FALSE)-VLOOKUP($A272,main!$A$3:$H$102,6,FALSE)&gt;=main!$D$103+VLOOKUP(VLOOKUP(CC$1,main!$A$3:$I$102,7,FALSE),main!$K$26:$Q$29,5,FALSE)),1,0)</f>
        <v>0</v>
      </c>
      <c r="CD272">
        <f>IF(AND(VLOOKUP(CD$1,main!$A$3:$H$102,7,FALSE)=main!$G$105,VLOOKUP(CD$1,main!$A$3:$H$102,5,FALSE)-VLOOKUP($A272,main!$A$3:$H$102,6,FALSE)&gt;=main!$D$103+VLOOKUP(VLOOKUP(CD$1,main!$A$3:$I$102,7,FALSE),main!$K$26:$Q$29,5,FALSE)),1,0)</f>
        <v>0</v>
      </c>
      <c r="CE272">
        <f>IF(AND(VLOOKUP(CE$1,main!$A$3:$H$102,7,FALSE)=main!$G$105,VLOOKUP(CE$1,main!$A$3:$H$102,5,FALSE)-VLOOKUP($A272,main!$A$3:$H$102,6,FALSE)&gt;=main!$D$103+VLOOKUP(VLOOKUP(CE$1,main!$A$3:$I$102,7,FALSE),main!$K$26:$Q$29,5,FALSE)),1,0)</f>
        <v>0</v>
      </c>
      <c r="CF272">
        <f>IF(AND(VLOOKUP(CF$1,main!$A$3:$H$102,7,FALSE)=main!$G$105,VLOOKUP(CF$1,main!$A$3:$H$102,5,FALSE)-VLOOKUP($A272,main!$A$3:$H$102,6,FALSE)&gt;=main!$D$103+VLOOKUP(VLOOKUP(CF$1,main!$A$3:$I$102,7,FALSE),main!$K$26:$Q$29,5,FALSE)),1,0)</f>
        <v>0</v>
      </c>
      <c r="CG272">
        <f>IF(AND(VLOOKUP(CG$1,main!$A$3:$H$102,7,FALSE)=main!$G$105,VLOOKUP(CG$1,main!$A$3:$H$102,5,FALSE)-VLOOKUP($A272,main!$A$3:$H$102,6,FALSE)&gt;=main!$D$103+VLOOKUP(VLOOKUP(CG$1,main!$A$3:$I$102,7,FALSE),main!$K$26:$Q$29,5,FALSE)),1,0)</f>
        <v>0</v>
      </c>
      <c r="CH272">
        <f>IF(AND(VLOOKUP(CH$1,main!$A$3:$H$102,7,FALSE)=main!$G$105,VLOOKUP(CH$1,main!$A$3:$H$102,5,FALSE)-VLOOKUP($A272,main!$A$3:$H$102,6,FALSE)&gt;=main!$D$103+VLOOKUP(VLOOKUP(CH$1,main!$A$3:$I$102,7,FALSE),main!$K$26:$Q$29,5,FALSE)),1,0)</f>
        <v>0</v>
      </c>
      <c r="CI272">
        <f>IF(AND(VLOOKUP(CI$1,main!$A$3:$H$102,7,FALSE)=main!$G$105,VLOOKUP(CI$1,main!$A$3:$H$102,5,FALSE)-VLOOKUP($A272,main!$A$3:$H$102,6,FALSE)&gt;=main!$D$103+VLOOKUP(VLOOKUP(CI$1,main!$A$3:$I$102,7,FALSE),main!$K$26:$Q$29,5,FALSE)),1,0)</f>
        <v>0</v>
      </c>
      <c r="CJ272">
        <f>IF(AND(VLOOKUP(CJ$1,main!$A$3:$H$102,7,FALSE)=main!$G$105,VLOOKUP(CJ$1,main!$A$3:$H$102,5,FALSE)-VLOOKUP($A272,main!$A$3:$H$102,6,FALSE)&gt;=main!$D$103+VLOOKUP(VLOOKUP(CJ$1,main!$A$3:$I$102,7,FALSE),main!$K$26:$Q$29,5,FALSE)),1,0)</f>
        <v>0</v>
      </c>
      <c r="CK272">
        <f>IF(AND(VLOOKUP(CK$1,main!$A$3:$H$102,7,FALSE)=main!$G$105,VLOOKUP(CK$1,main!$A$3:$H$102,5,FALSE)-VLOOKUP($A272,main!$A$3:$H$102,6,FALSE)&gt;=main!$D$103+VLOOKUP(VLOOKUP(CK$1,main!$A$3:$I$102,7,FALSE),main!$K$26:$Q$29,5,FALSE)),1,0)</f>
        <v>0</v>
      </c>
      <c r="CL272">
        <f>IF(AND(VLOOKUP(CL$1,main!$A$3:$H$102,7,FALSE)=main!$G$105,VLOOKUP(CL$1,main!$A$3:$H$102,5,FALSE)-VLOOKUP($A272,main!$A$3:$H$102,6,FALSE)&gt;=main!$D$103+VLOOKUP(VLOOKUP(CL$1,main!$A$3:$I$102,7,FALSE),main!$K$26:$Q$29,5,FALSE)),1,0)</f>
        <v>0</v>
      </c>
      <c r="CM272">
        <f>IF(AND(VLOOKUP(CM$1,main!$A$3:$H$102,7,FALSE)=main!$G$105,VLOOKUP(CM$1,main!$A$3:$H$102,5,FALSE)-VLOOKUP($A272,main!$A$3:$H$102,6,FALSE)&gt;=main!$D$103+VLOOKUP(VLOOKUP(CM$1,main!$A$3:$I$102,7,FALSE),main!$K$26:$Q$29,5,FALSE)),1,0)</f>
        <v>0</v>
      </c>
      <c r="CN272">
        <f>IF(AND(VLOOKUP(CN$1,main!$A$3:$H$102,7,FALSE)=main!$G$105,VLOOKUP(CN$1,main!$A$3:$H$102,5,FALSE)-VLOOKUP($A272,main!$A$3:$H$102,6,FALSE)&gt;=main!$D$103+VLOOKUP(VLOOKUP(CN$1,main!$A$3:$I$102,7,FALSE),main!$K$26:$Q$29,5,FALSE)),1,0)</f>
        <v>0</v>
      </c>
      <c r="CO272">
        <f>IF(AND(VLOOKUP(CO$1,main!$A$3:$H$102,7,FALSE)=main!$G$105,VLOOKUP(CO$1,main!$A$3:$H$102,5,FALSE)-VLOOKUP($A272,main!$A$3:$H$102,6,FALSE)&gt;=main!$D$103+VLOOKUP(VLOOKUP(CO$1,main!$A$3:$I$102,7,FALSE),main!$K$26:$Q$29,5,FALSE)),1,0)</f>
        <v>0</v>
      </c>
      <c r="CP272">
        <f>IF(AND(VLOOKUP(CP$1,main!$A$3:$H$102,7,FALSE)=main!$G$105,VLOOKUP(CP$1,main!$A$3:$H$102,5,FALSE)-VLOOKUP($A272,main!$A$3:$H$102,6,FALSE)&gt;=main!$D$103+VLOOKUP(VLOOKUP(CP$1,main!$A$3:$I$102,7,FALSE),main!$K$26:$Q$29,5,FALSE)),1,0)</f>
        <v>0</v>
      </c>
      <c r="CQ272">
        <f>IF(AND(VLOOKUP(CQ$1,main!$A$3:$H$102,7,FALSE)=main!$G$105,VLOOKUP(CQ$1,main!$A$3:$H$102,5,FALSE)-VLOOKUP($A272,main!$A$3:$H$102,6,FALSE)&gt;=main!$D$103+VLOOKUP(VLOOKUP(CQ$1,main!$A$3:$I$102,7,FALSE),main!$K$26:$Q$29,5,FALSE)),1,0)</f>
        <v>0</v>
      </c>
      <c r="CR272">
        <f>IF(AND(VLOOKUP(CR$1,main!$A$3:$H$102,7,FALSE)=main!$G$105,VLOOKUP(CR$1,main!$A$3:$H$102,5,FALSE)-VLOOKUP($A272,main!$A$3:$H$102,6,FALSE)&gt;=main!$D$103+VLOOKUP(VLOOKUP(CR$1,main!$A$3:$I$102,7,FALSE),main!$K$26:$Q$29,5,FALSE)),1,0)</f>
        <v>0</v>
      </c>
      <c r="CS272">
        <f>IF(AND(VLOOKUP(CS$1,main!$A$3:$H$102,7,FALSE)=main!$G$105,VLOOKUP(CS$1,main!$A$3:$H$102,5,FALSE)-VLOOKUP($A272,main!$A$3:$H$102,6,FALSE)&gt;=main!$D$103+VLOOKUP(VLOOKUP(CS$1,main!$A$3:$I$102,7,FALSE),main!$K$26:$Q$29,5,FALSE)),1,0)</f>
        <v>0</v>
      </c>
      <c r="CT272">
        <f>IF(AND(VLOOKUP(CT$1,main!$A$3:$H$102,7,FALSE)=main!$G$105,VLOOKUP(CT$1,main!$A$3:$H$102,5,FALSE)-VLOOKUP($A272,main!$A$3:$H$102,6,FALSE)&gt;=main!$D$103+VLOOKUP(VLOOKUP(CT$1,main!$A$3:$I$102,7,FALSE),main!$K$26:$Q$29,5,FALSE)),1,0)</f>
        <v>0</v>
      </c>
      <c r="CU272">
        <f>IF(AND(VLOOKUP(CU$1,main!$A$3:$H$102,7,FALSE)=main!$G$105,VLOOKUP(CU$1,main!$A$3:$H$102,5,FALSE)-VLOOKUP($A272,main!$A$3:$H$102,6,FALSE)&gt;=main!$D$103+VLOOKUP(VLOOKUP(CU$1,main!$A$3:$I$102,7,FALSE),main!$K$26:$Q$29,5,FALSE)),1,0)</f>
        <v>0</v>
      </c>
      <c r="CV272">
        <f>IF(AND(VLOOKUP(CV$1,main!$A$3:$H$102,7,FALSE)=main!$G$105,VLOOKUP(CV$1,main!$A$3:$H$102,5,FALSE)-VLOOKUP($A272,main!$A$3:$H$102,6,FALSE)&gt;=main!$D$103+VLOOKUP(VLOOKUP(CV$1,main!$A$3:$I$102,7,FALSE),main!$K$26:$Q$29,5,FALSE)),1,0)</f>
        <v>0</v>
      </c>
      <c r="CW272">
        <f>IF(AND(VLOOKUP(CW$1,main!$A$3:$H$102,7,FALSE)=main!$G$105,VLOOKUP(CW$1,main!$A$3:$H$102,5,FALSE)-VLOOKUP($A272,main!$A$3:$H$102,6,FALSE)&gt;=main!$D$103+VLOOKUP(VLOOKUP(CW$1,main!$A$3:$I$102,7,FALSE),main!$K$26:$Q$29,5,FALSE)),1,0)</f>
        <v>0</v>
      </c>
      <c r="CX272">
        <f>IF(AND(VLOOKUP(CX$1,main!$A$3:$H$102,7,FALSE)=main!$G$105,VLOOKUP(CX$1,main!$A$3:$H$102,5,FALSE)-VLOOKUP($A272,main!$A$3:$H$102,6,FALSE)&gt;=main!$D$103+VLOOKUP(VLOOKUP(CX$1,main!$A$3:$I$102,7,FALSE),main!$K$26:$Q$29,5,FALSE)),1,0)</f>
        <v>0</v>
      </c>
    </row>
    <row r="273" spans="1:102" x14ac:dyDescent="0.25">
      <c r="A273" s="1">
        <v>69</v>
      </c>
      <c r="B273">
        <v>0</v>
      </c>
      <c r="C273">
        <f>IF(AND(VLOOKUP(C$1,main!$A$3:$H$102,7,FALSE)=main!$G$105,VLOOKUP(C$1,main!$A$3:$H$102,5,FALSE)-VLOOKUP($A273,main!$A$3:$H$102,6,FALSE)&gt;=main!$D$103+VLOOKUP(VLOOKUP(C$1,main!$A$3:$I$102,7,FALSE),main!$K$26:$Q$29,5,FALSE)),1,0)</f>
        <v>0</v>
      </c>
      <c r="D273">
        <f>IF(AND(VLOOKUP(D$1,main!$A$3:$H$102,7,FALSE)=main!$G$105,VLOOKUP(D$1,main!$A$3:$H$102,5,FALSE)-VLOOKUP($A273,main!$A$3:$H$102,6,FALSE)&gt;=main!$D$103+VLOOKUP(VLOOKUP(D$1,main!$A$3:$I$102,7,FALSE),main!$K$26:$Q$29,5,FALSE)),1,0)</f>
        <v>0</v>
      </c>
      <c r="E273">
        <f>IF(AND(VLOOKUP(E$1,main!$A$3:$H$102,7,FALSE)=main!$G$105,VLOOKUP(E$1,main!$A$3:$H$102,5,FALSE)-VLOOKUP($A273,main!$A$3:$H$102,6,FALSE)&gt;=main!$D$103+VLOOKUP(VLOOKUP(E$1,main!$A$3:$I$102,7,FALSE),main!$K$26:$Q$29,5,FALSE)),1,0)</f>
        <v>0</v>
      </c>
      <c r="F273">
        <f>IF(AND(VLOOKUP(F$1,main!$A$3:$H$102,7,FALSE)=main!$G$105,VLOOKUP(F$1,main!$A$3:$H$102,5,FALSE)-VLOOKUP($A273,main!$A$3:$H$102,6,FALSE)&gt;=main!$D$103+VLOOKUP(VLOOKUP(F$1,main!$A$3:$I$102,7,FALSE),main!$K$26:$Q$29,5,FALSE)),1,0)</f>
        <v>0</v>
      </c>
      <c r="G273">
        <f>IF(AND(VLOOKUP(G$1,main!$A$3:$H$102,7,FALSE)=main!$G$105,VLOOKUP(G$1,main!$A$3:$H$102,5,FALSE)-VLOOKUP($A273,main!$A$3:$H$102,6,FALSE)&gt;=main!$D$103+VLOOKUP(VLOOKUP(G$1,main!$A$3:$I$102,7,FALSE),main!$K$26:$Q$29,5,FALSE)),1,0)</f>
        <v>0</v>
      </c>
      <c r="H273">
        <f>IF(AND(VLOOKUP(H$1,main!$A$3:$H$102,7,FALSE)=main!$G$105,VLOOKUP(H$1,main!$A$3:$H$102,5,FALSE)-VLOOKUP($A273,main!$A$3:$H$102,6,FALSE)&gt;=main!$D$103+VLOOKUP(VLOOKUP(H$1,main!$A$3:$I$102,7,FALSE),main!$K$26:$Q$29,5,FALSE)),1,0)</f>
        <v>0</v>
      </c>
      <c r="I273">
        <f>IF(AND(VLOOKUP(I$1,main!$A$3:$H$102,7,FALSE)=main!$G$105,VLOOKUP(I$1,main!$A$3:$H$102,5,FALSE)-VLOOKUP($A273,main!$A$3:$H$102,6,FALSE)&gt;=main!$D$103+VLOOKUP(VLOOKUP(I$1,main!$A$3:$I$102,7,FALSE),main!$K$26:$Q$29,5,FALSE)),1,0)</f>
        <v>0</v>
      </c>
      <c r="J273">
        <f>IF(AND(VLOOKUP(J$1,main!$A$3:$H$102,7,FALSE)=main!$G$105,VLOOKUP(J$1,main!$A$3:$H$102,5,FALSE)-VLOOKUP($A273,main!$A$3:$H$102,6,FALSE)&gt;=main!$D$103+VLOOKUP(VLOOKUP(J$1,main!$A$3:$I$102,7,FALSE),main!$K$26:$Q$29,5,FALSE)),1,0)</f>
        <v>0</v>
      </c>
      <c r="K273">
        <f>IF(AND(VLOOKUP(K$1,main!$A$3:$H$102,7,FALSE)=main!$G$105,VLOOKUP(K$1,main!$A$3:$H$102,5,FALSE)-VLOOKUP($A273,main!$A$3:$H$102,6,FALSE)&gt;=main!$D$103+VLOOKUP(VLOOKUP(K$1,main!$A$3:$I$102,7,FALSE),main!$K$26:$Q$29,5,FALSE)),1,0)</f>
        <v>0</v>
      </c>
      <c r="L273">
        <f>IF(AND(VLOOKUP(L$1,main!$A$3:$H$102,7,FALSE)=main!$G$105,VLOOKUP(L$1,main!$A$3:$H$102,5,FALSE)-VLOOKUP($A273,main!$A$3:$H$102,6,FALSE)&gt;=main!$D$103+VLOOKUP(VLOOKUP(L$1,main!$A$3:$I$102,7,FALSE),main!$K$26:$Q$29,5,FALSE)),1,0)</f>
        <v>0</v>
      </c>
      <c r="M273">
        <f>IF(AND(VLOOKUP(M$1,main!$A$3:$H$102,7,FALSE)=main!$G$105,VLOOKUP(M$1,main!$A$3:$H$102,5,FALSE)-VLOOKUP($A273,main!$A$3:$H$102,6,FALSE)&gt;=main!$D$103+VLOOKUP(VLOOKUP(M$1,main!$A$3:$I$102,7,FALSE),main!$K$26:$Q$29,5,FALSE)),1,0)</f>
        <v>0</v>
      </c>
      <c r="N273">
        <f>IF(AND(VLOOKUP(N$1,main!$A$3:$H$102,7,FALSE)=main!$G$105,VLOOKUP(N$1,main!$A$3:$H$102,5,FALSE)-VLOOKUP($A273,main!$A$3:$H$102,6,FALSE)&gt;=main!$D$103+VLOOKUP(VLOOKUP(N$1,main!$A$3:$I$102,7,FALSE),main!$K$26:$Q$29,5,FALSE)),1,0)</f>
        <v>0</v>
      </c>
      <c r="O273">
        <f>IF(AND(VLOOKUP(O$1,main!$A$3:$H$102,7,FALSE)=main!$G$105,VLOOKUP(O$1,main!$A$3:$H$102,5,FALSE)-VLOOKUP($A273,main!$A$3:$H$102,6,FALSE)&gt;=main!$D$103+VLOOKUP(VLOOKUP(O$1,main!$A$3:$I$102,7,FALSE),main!$K$26:$Q$29,5,FALSE)),1,0)</f>
        <v>0</v>
      </c>
      <c r="P273">
        <f>IF(AND(VLOOKUP(P$1,main!$A$3:$H$102,7,FALSE)=main!$G$105,VLOOKUP(P$1,main!$A$3:$H$102,5,FALSE)-VLOOKUP($A273,main!$A$3:$H$102,6,FALSE)&gt;=main!$D$103+VLOOKUP(VLOOKUP(P$1,main!$A$3:$I$102,7,FALSE),main!$K$26:$Q$29,5,FALSE)),1,0)</f>
        <v>0</v>
      </c>
      <c r="Q273">
        <f>IF(AND(VLOOKUP(Q$1,main!$A$3:$H$102,7,FALSE)=main!$G$105,VLOOKUP(Q$1,main!$A$3:$H$102,5,FALSE)-VLOOKUP($A273,main!$A$3:$H$102,6,FALSE)&gt;=main!$D$103+VLOOKUP(VLOOKUP(Q$1,main!$A$3:$I$102,7,FALSE),main!$K$26:$Q$29,5,FALSE)),1,0)</f>
        <v>0</v>
      </c>
      <c r="R273">
        <f>IF(AND(VLOOKUP(R$1,main!$A$3:$H$102,7,FALSE)=main!$G$105,VLOOKUP(R$1,main!$A$3:$H$102,5,FALSE)-VLOOKUP($A273,main!$A$3:$H$102,6,FALSE)&gt;=main!$D$103+VLOOKUP(VLOOKUP(R$1,main!$A$3:$I$102,7,FALSE),main!$K$26:$Q$29,5,FALSE)),1,0)</f>
        <v>0</v>
      </c>
      <c r="S273">
        <f>IF(AND(VLOOKUP(S$1,main!$A$3:$H$102,7,FALSE)=main!$G$105,VLOOKUP(S$1,main!$A$3:$H$102,5,FALSE)-VLOOKUP($A273,main!$A$3:$H$102,6,FALSE)&gt;=main!$D$103+VLOOKUP(VLOOKUP(S$1,main!$A$3:$I$102,7,FALSE),main!$K$26:$Q$29,5,FALSE)),1,0)</f>
        <v>0</v>
      </c>
      <c r="T273">
        <f>IF(AND(VLOOKUP(T$1,main!$A$3:$H$102,7,FALSE)=main!$G$105,VLOOKUP(T$1,main!$A$3:$H$102,5,FALSE)-VLOOKUP($A273,main!$A$3:$H$102,6,FALSE)&gt;=main!$D$103+VLOOKUP(VLOOKUP(T$1,main!$A$3:$I$102,7,FALSE),main!$K$26:$Q$29,5,FALSE)),1,0)</f>
        <v>0</v>
      </c>
      <c r="U273">
        <f>IF(AND(VLOOKUP(U$1,main!$A$3:$H$102,7,FALSE)=main!$G$105,VLOOKUP(U$1,main!$A$3:$H$102,5,FALSE)-VLOOKUP($A273,main!$A$3:$H$102,6,FALSE)&gt;=main!$D$103+VLOOKUP(VLOOKUP(U$1,main!$A$3:$I$102,7,FALSE),main!$K$26:$Q$29,5,FALSE)),1,0)</f>
        <v>0</v>
      </c>
      <c r="V273">
        <f>IF(AND(VLOOKUP(V$1,main!$A$3:$H$102,7,FALSE)=main!$G$105,VLOOKUP(V$1,main!$A$3:$H$102,5,FALSE)-VLOOKUP($A273,main!$A$3:$H$102,6,FALSE)&gt;=main!$D$103+VLOOKUP(VLOOKUP(V$1,main!$A$3:$I$102,7,FALSE),main!$K$26:$Q$29,5,FALSE)),1,0)</f>
        <v>0</v>
      </c>
      <c r="W273">
        <f>IF(AND(VLOOKUP(W$1,main!$A$3:$H$102,7,FALSE)=main!$G$105,VLOOKUP(W$1,main!$A$3:$H$102,5,FALSE)-VLOOKUP($A273,main!$A$3:$H$102,6,FALSE)&gt;=main!$D$103+VLOOKUP(VLOOKUP(W$1,main!$A$3:$I$102,7,FALSE),main!$K$26:$Q$29,5,FALSE)),1,0)</f>
        <v>0</v>
      </c>
      <c r="X273">
        <f>IF(AND(VLOOKUP(X$1,main!$A$3:$H$102,7,FALSE)=main!$G$105,VLOOKUP(X$1,main!$A$3:$H$102,5,FALSE)-VLOOKUP($A273,main!$A$3:$H$102,6,FALSE)&gt;=main!$D$103+VLOOKUP(VLOOKUP(X$1,main!$A$3:$I$102,7,FALSE),main!$K$26:$Q$29,5,FALSE)),1,0)</f>
        <v>0</v>
      </c>
      <c r="Y273">
        <f>IF(AND(VLOOKUP(Y$1,main!$A$3:$H$102,7,FALSE)=main!$G$105,VLOOKUP(Y$1,main!$A$3:$H$102,5,FALSE)-VLOOKUP($A273,main!$A$3:$H$102,6,FALSE)&gt;=main!$D$103+VLOOKUP(VLOOKUP(Y$1,main!$A$3:$I$102,7,FALSE),main!$K$26:$Q$29,5,FALSE)),1,0)</f>
        <v>0</v>
      </c>
      <c r="Z273">
        <f>IF(AND(VLOOKUP(Z$1,main!$A$3:$H$102,7,FALSE)=main!$G$105,VLOOKUP(Z$1,main!$A$3:$H$102,5,FALSE)-VLOOKUP($A273,main!$A$3:$H$102,6,FALSE)&gt;=main!$D$103+VLOOKUP(VLOOKUP(Z$1,main!$A$3:$I$102,7,FALSE),main!$K$26:$Q$29,5,FALSE)),1,0)</f>
        <v>0</v>
      </c>
      <c r="AA273">
        <f>IF(AND(VLOOKUP(AA$1,main!$A$3:$H$102,7,FALSE)=main!$G$105,VLOOKUP(AA$1,main!$A$3:$H$102,5,FALSE)-VLOOKUP($A273,main!$A$3:$H$102,6,FALSE)&gt;=main!$D$103+VLOOKUP(VLOOKUP(AA$1,main!$A$3:$I$102,7,FALSE),main!$K$26:$Q$29,5,FALSE)),1,0)</f>
        <v>0</v>
      </c>
      <c r="AB273">
        <f>IF(AND(VLOOKUP(AB$1,main!$A$3:$H$102,7,FALSE)=main!$G$105,VLOOKUP(AB$1,main!$A$3:$H$102,5,FALSE)-VLOOKUP($A273,main!$A$3:$H$102,6,FALSE)&gt;=main!$D$103+VLOOKUP(VLOOKUP(AB$1,main!$A$3:$I$102,7,FALSE),main!$K$26:$Q$29,5,FALSE)),1,0)</f>
        <v>0</v>
      </c>
      <c r="AC273">
        <f>IF(AND(VLOOKUP(AC$1,main!$A$3:$H$102,7,FALSE)=main!$G$105,VLOOKUP(AC$1,main!$A$3:$H$102,5,FALSE)-VLOOKUP($A273,main!$A$3:$H$102,6,FALSE)&gt;=main!$D$103+VLOOKUP(VLOOKUP(AC$1,main!$A$3:$I$102,7,FALSE),main!$K$26:$Q$29,5,FALSE)),1,0)</f>
        <v>0</v>
      </c>
      <c r="AD273">
        <f>IF(AND(VLOOKUP(AD$1,main!$A$3:$H$102,7,FALSE)=main!$G$105,VLOOKUP(AD$1,main!$A$3:$H$102,5,FALSE)-VLOOKUP($A273,main!$A$3:$H$102,6,FALSE)&gt;=main!$D$103+VLOOKUP(VLOOKUP(AD$1,main!$A$3:$I$102,7,FALSE),main!$K$26:$Q$29,5,FALSE)),1,0)</f>
        <v>0</v>
      </c>
      <c r="AE273">
        <f>IF(AND(VLOOKUP(AE$1,main!$A$3:$H$102,7,FALSE)=main!$G$105,VLOOKUP(AE$1,main!$A$3:$H$102,5,FALSE)-VLOOKUP($A273,main!$A$3:$H$102,6,FALSE)&gt;=main!$D$103+VLOOKUP(VLOOKUP(AE$1,main!$A$3:$I$102,7,FALSE),main!$K$26:$Q$29,5,FALSE)),1,0)</f>
        <v>0</v>
      </c>
      <c r="AF273">
        <f>IF(AND(VLOOKUP(AF$1,main!$A$3:$H$102,7,FALSE)=main!$G$105,VLOOKUP(AF$1,main!$A$3:$H$102,5,FALSE)-VLOOKUP($A273,main!$A$3:$H$102,6,FALSE)&gt;=main!$D$103+VLOOKUP(VLOOKUP(AF$1,main!$A$3:$I$102,7,FALSE),main!$K$26:$Q$29,5,FALSE)),1,0)</f>
        <v>0</v>
      </c>
      <c r="AG273">
        <f>IF(AND(VLOOKUP(AG$1,main!$A$3:$H$102,7,FALSE)=main!$G$105,VLOOKUP(AG$1,main!$A$3:$H$102,5,FALSE)-VLOOKUP($A273,main!$A$3:$H$102,6,FALSE)&gt;=main!$D$103+VLOOKUP(VLOOKUP(AG$1,main!$A$3:$I$102,7,FALSE),main!$K$26:$Q$29,5,FALSE)),1,0)</f>
        <v>0</v>
      </c>
      <c r="AH273">
        <f>IF(AND(VLOOKUP(AH$1,main!$A$3:$H$102,7,FALSE)=main!$G$105,VLOOKUP(AH$1,main!$A$3:$H$102,5,FALSE)-VLOOKUP($A273,main!$A$3:$H$102,6,FALSE)&gt;=main!$D$103+VLOOKUP(VLOOKUP(AH$1,main!$A$3:$I$102,7,FALSE),main!$K$26:$Q$29,5,FALSE)),1,0)</f>
        <v>0</v>
      </c>
      <c r="AI273">
        <f>IF(AND(VLOOKUP(AI$1,main!$A$3:$H$102,7,FALSE)=main!$G$105,VLOOKUP(AI$1,main!$A$3:$H$102,5,FALSE)-VLOOKUP($A273,main!$A$3:$H$102,6,FALSE)&gt;=main!$D$103+VLOOKUP(VLOOKUP(AI$1,main!$A$3:$I$102,7,FALSE),main!$K$26:$Q$29,5,FALSE)),1,0)</f>
        <v>0</v>
      </c>
      <c r="AJ273">
        <f>IF(AND(VLOOKUP(AJ$1,main!$A$3:$H$102,7,FALSE)=main!$G$105,VLOOKUP(AJ$1,main!$A$3:$H$102,5,FALSE)-VLOOKUP($A273,main!$A$3:$H$102,6,FALSE)&gt;=main!$D$103+VLOOKUP(VLOOKUP(AJ$1,main!$A$3:$I$102,7,FALSE),main!$K$26:$Q$29,5,FALSE)),1,0)</f>
        <v>0</v>
      </c>
      <c r="AK273">
        <f>IF(AND(VLOOKUP(AK$1,main!$A$3:$H$102,7,FALSE)=main!$G$105,VLOOKUP(AK$1,main!$A$3:$H$102,5,FALSE)-VLOOKUP($A273,main!$A$3:$H$102,6,FALSE)&gt;=main!$D$103+VLOOKUP(VLOOKUP(AK$1,main!$A$3:$I$102,7,FALSE),main!$K$26:$Q$29,5,FALSE)),1,0)</f>
        <v>0</v>
      </c>
      <c r="AL273">
        <f>IF(AND(VLOOKUP(AL$1,main!$A$3:$H$102,7,FALSE)=main!$G$105,VLOOKUP(AL$1,main!$A$3:$H$102,5,FALSE)-VLOOKUP($A273,main!$A$3:$H$102,6,FALSE)&gt;=main!$D$103+VLOOKUP(VLOOKUP(AL$1,main!$A$3:$I$102,7,FALSE),main!$K$26:$Q$29,5,FALSE)),1,0)</f>
        <v>1</v>
      </c>
      <c r="AM273">
        <f>IF(AND(VLOOKUP(AM$1,main!$A$3:$H$102,7,FALSE)=main!$G$105,VLOOKUP(AM$1,main!$A$3:$H$102,5,FALSE)-VLOOKUP($A273,main!$A$3:$H$102,6,FALSE)&gt;=main!$D$103+VLOOKUP(VLOOKUP(AM$1,main!$A$3:$I$102,7,FALSE),main!$K$26:$Q$29,5,FALSE)),1,0)</f>
        <v>1</v>
      </c>
      <c r="AN273">
        <f>IF(AND(VLOOKUP(AN$1,main!$A$3:$H$102,7,FALSE)=main!$G$105,VLOOKUP(AN$1,main!$A$3:$H$102,5,FALSE)-VLOOKUP($A273,main!$A$3:$H$102,6,FALSE)&gt;=main!$D$103+VLOOKUP(VLOOKUP(AN$1,main!$A$3:$I$102,7,FALSE),main!$K$26:$Q$29,5,FALSE)),1,0)</f>
        <v>1</v>
      </c>
      <c r="AO273">
        <f>IF(AND(VLOOKUP(AO$1,main!$A$3:$H$102,7,FALSE)=main!$G$105,VLOOKUP(AO$1,main!$A$3:$H$102,5,FALSE)-VLOOKUP($A273,main!$A$3:$H$102,6,FALSE)&gt;=main!$D$103+VLOOKUP(VLOOKUP(AO$1,main!$A$3:$I$102,7,FALSE),main!$K$26:$Q$29,5,FALSE)),1,0)</f>
        <v>0</v>
      </c>
      <c r="AP273">
        <f>IF(AND(VLOOKUP(AP$1,main!$A$3:$H$102,7,FALSE)=main!$G$105,VLOOKUP(AP$1,main!$A$3:$H$102,5,FALSE)-VLOOKUP($A273,main!$A$3:$H$102,6,FALSE)&gt;=main!$D$103+VLOOKUP(VLOOKUP(AP$1,main!$A$3:$I$102,7,FALSE),main!$K$26:$Q$29,5,FALSE)),1,0)</f>
        <v>1</v>
      </c>
      <c r="AQ273">
        <f>IF(AND(VLOOKUP(AQ$1,main!$A$3:$H$102,7,FALSE)=main!$G$105,VLOOKUP(AQ$1,main!$A$3:$H$102,5,FALSE)-VLOOKUP($A273,main!$A$3:$H$102,6,FALSE)&gt;=main!$D$103+VLOOKUP(VLOOKUP(AQ$1,main!$A$3:$I$102,7,FALSE),main!$K$26:$Q$29,5,FALSE)),1,0)</f>
        <v>0</v>
      </c>
      <c r="AR273">
        <f>IF(AND(VLOOKUP(AR$1,main!$A$3:$H$102,7,FALSE)=main!$G$105,VLOOKUP(AR$1,main!$A$3:$H$102,5,FALSE)-VLOOKUP($A273,main!$A$3:$H$102,6,FALSE)&gt;=main!$D$103+VLOOKUP(VLOOKUP(AR$1,main!$A$3:$I$102,7,FALSE),main!$K$26:$Q$29,5,FALSE)),1,0)</f>
        <v>0</v>
      </c>
      <c r="AS273">
        <f>IF(AND(VLOOKUP(AS$1,main!$A$3:$H$102,7,FALSE)=main!$G$105,VLOOKUP(AS$1,main!$A$3:$H$102,5,FALSE)-VLOOKUP($A273,main!$A$3:$H$102,6,FALSE)&gt;=main!$D$103+VLOOKUP(VLOOKUP(AS$1,main!$A$3:$I$102,7,FALSE),main!$K$26:$Q$29,5,FALSE)),1,0)</f>
        <v>0</v>
      </c>
      <c r="AT273">
        <f>IF(AND(VLOOKUP(AT$1,main!$A$3:$H$102,7,FALSE)=main!$G$105,VLOOKUP(AT$1,main!$A$3:$H$102,5,FALSE)-VLOOKUP($A273,main!$A$3:$H$102,6,FALSE)&gt;=main!$D$103+VLOOKUP(VLOOKUP(AT$1,main!$A$3:$I$102,7,FALSE),main!$K$26:$Q$29,5,FALSE)),1,0)</f>
        <v>0</v>
      </c>
      <c r="AU273">
        <f>IF(AND(VLOOKUP(AU$1,main!$A$3:$H$102,7,FALSE)=main!$G$105,VLOOKUP(AU$1,main!$A$3:$H$102,5,FALSE)-VLOOKUP($A273,main!$A$3:$H$102,6,FALSE)&gt;=main!$D$103+VLOOKUP(VLOOKUP(AU$1,main!$A$3:$I$102,7,FALSE),main!$K$26:$Q$29,5,FALSE)),1,0)</f>
        <v>0</v>
      </c>
      <c r="AV273">
        <f>IF(AND(VLOOKUP(AV$1,main!$A$3:$H$102,7,FALSE)=main!$G$105,VLOOKUP(AV$1,main!$A$3:$H$102,5,FALSE)-VLOOKUP($A273,main!$A$3:$H$102,6,FALSE)&gt;=main!$D$103+VLOOKUP(VLOOKUP(AV$1,main!$A$3:$I$102,7,FALSE),main!$K$26:$Q$29,5,FALSE)),1,0)</f>
        <v>0</v>
      </c>
      <c r="AW273">
        <f>IF(AND(VLOOKUP(AW$1,main!$A$3:$H$102,7,FALSE)=main!$G$105,VLOOKUP(AW$1,main!$A$3:$H$102,5,FALSE)-VLOOKUP($A273,main!$A$3:$H$102,6,FALSE)&gt;=main!$D$103+VLOOKUP(VLOOKUP(AW$1,main!$A$3:$I$102,7,FALSE),main!$K$26:$Q$29,5,FALSE)),1,0)</f>
        <v>0</v>
      </c>
      <c r="AX273">
        <f>IF(AND(VLOOKUP(AX$1,main!$A$3:$H$102,7,FALSE)=main!$G$105,VLOOKUP(AX$1,main!$A$3:$H$102,5,FALSE)-VLOOKUP($A273,main!$A$3:$H$102,6,FALSE)&gt;=main!$D$103+VLOOKUP(VLOOKUP(AX$1,main!$A$3:$I$102,7,FALSE),main!$K$26:$Q$29,5,FALSE)),1,0)</f>
        <v>0</v>
      </c>
      <c r="AY273">
        <f>IF(AND(VLOOKUP(AY$1,main!$A$3:$H$102,7,FALSE)=main!$G$105,VLOOKUP(AY$1,main!$A$3:$H$102,5,FALSE)-VLOOKUP($A273,main!$A$3:$H$102,6,FALSE)&gt;=main!$D$103+VLOOKUP(VLOOKUP(AY$1,main!$A$3:$I$102,7,FALSE),main!$K$26:$Q$29,5,FALSE)),1,0)</f>
        <v>0</v>
      </c>
      <c r="AZ273">
        <f>IF(AND(VLOOKUP(AZ$1,main!$A$3:$H$102,7,FALSE)=main!$G$105,VLOOKUP(AZ$1,main!$A$3:$H$102,5,FALSE)-VLOOKUP($A273,main!$A$3:$H$102,6,FALSE)&gt;=main!$D$103+VLOOKUP(VLOOKUP(AZ$1,main!$A$3:$I$102,7,FALSE),main!$K$26:$Q$29,5,FALSE)),1,0)</f>
        <v>0</v>
      </c>
      <c r="BA273">
        <f>IF(AND(VLOOKUP(BA$1,main!$A$3:$H$102,7,FALSE)=main!$G$105,VLOOKUP(BA$1,main!$A$3:$H$102,5,FALSE)-VLOOKUP($A273,main!$A$3:$H$102,6,FALSE)&gt;=main!$D$103+VLOOKUP(VLOOKUP(BA$1,main!$A$3:$I$102,7,FALSE),main!$K$26:$Q$29,5,FALSE)),1,0)</f>
        <v>0</v>
      </c>
      <c r="BB273">
        <f>IF(AND(VLOOKUP(BB$1,main!$A$3:$H$102,7,FALSE)=main!$G$105,VLOOKUP(BB$1,main!$A$3:$H$102,5,FALSE)-VLOOKUP($A273,main!$A$3:$H$102,6,FALSE)&gt;=main!$D$103+VLOOKUP(VLOOKUP(BB$1,main!$A$3:$I$102,7,FALSE),main!$K$26:$Q$29,5,FALSE)),1,0)</f>
        <v>0</v>
      </c>
      <c r="BC273">
        <f>IF(AND(VLOOKUP(BC$1,main!$A$3:$H$102,7,FALSE)=main!$G$105,VLOOKUP(BC$1,main!$A$3:$H$102,5,FALSE)-VLOOKUP($A273,main!$A$3:$H$102,6,FALSE)&gt;=main!$D$103+VLOOKUP(VLOOKUP(BC$1,main!$A$3:$I$102,7,FALSE),main!$K$26:$Q$29,5,FALSE)),1,0)</f>
        <v>0</v>
      </c>
      <c r="BD273">
        <f>IF(AND(VLOOKUP(BD$1,main!$A$3:$H$102,7,FALSE)=main!$G$105,VLOOKUP(BD$1,main!$A$3:$H$102,5,FALSE)-VLOOKUP($A273,main!$A$3:$H$102,6,FALSE)&gt;=main!$D$103+VLOOKUP(VLOOKUP(BD$1,main!$A$3:$I$102,7,FALSE),main!$K$26:$Q$29,5,FALSE)),1,0)</f>
        <v>0</v>
      </c>
      <c r="BE273">
        <f>IF(AND(VLOOKUP(BE$1,main!$A$3:$H$102,7,FALSE)=main!$G$105,VLOOKUP(BE$1,main!$A$3:$H$102,5,FALSE)-VLOOKUP($A273,main!$A$3:$H$102,6,FALSE)&gt;=main!$D$103+VLOOKUP(VLOOKUP(BE$1,main!$A$3:$I$102,7,FALSE),main!$K$26:$Q$29,5,FALSE)),1,0)</f>
        <v>0</v>
      </c>
      <c r="BF273">
        <f>IF(AND(VLOOKUP(BF$1,main!$A$3:$H$102,7,FALSE)=main!$G$105,VLOOKUP(BF$1,main!$A$3:$H$102,5,FALSE)-VLOOKUP($A273,main!$A$3:$H$102,6,FALSE)&gt;=main!$D$103+VLOOKUP(VLOOKUP(BF$1,main!$A$3:$I$102,7,FALSE),main!$K$26:$Q$29,5,FALSE)),1,0)</f>
        <v>0</v>
      </c>
      <c r="BG273">
        <f>IF(AND(VLOOKUP(BG$1,main!$A$3:$H$102,7,FALSE)=main!$G$105,VLOOKUP(BG$1,main!$A$3:$H$102,5,FALSE)-VLOOKUP($A273,main!$A$3:$H$102,6,FALSE)&gt;=main!$D$103+VLOOKUP(VLOOKUP(BG$1,main!$A$3:$I$102,7,FALSE),main!$K$26:$Q$29,5,FALSE)),1,0)</f>
        <v>0</v>
      </c>
      <c r="BH273">
        <f>IF(AND(VLOOKUP(BH$1,main!$A$3:$H$102,7,FALSE)=main!$G$105,VLOOKUP(BH$1,main!$A$3:$H$102,5,FALSE)-VLOOKUP($A273,main!$A$3:$H$102,6,FALSE)&gt;=main!$D$103+VLOOKUP(VLOOKUP(BH$1,main!$A$3:$I$102,7,FALSE),main!$K$26:$Q$29,5,FALSE)),1,0)</f>
        <v>0</v>
      </c>
      <c r="BI273">
        <f>IF(AND(VLOOKUP(BI$1,main!$A$3:$H$102,7,FALSE)=main!$G$105,VLOOKUP(BI$1,main!$A$3:$H$102,5,FALSE)-VLOOKUP($A273,main!$A$3:$H$102,6,FALSE)&gt;=main!$D$103+VLOOKUP(VLOOKUP(BI$1,main!$A$3:$I$102,7,FALSE),main!$K$26:$Q$29,5,FALSE)),1,0)</f>
        <v>0</v>
      </c>
      <c r="BJ273">
        <f>IF(AND(VLOOKUP(BJ$1,main!$A$3:$H$102,7,FALSE)=main!$G$105,VLOOKUP(BJ$1,main!$A$3:$H$102,5,FALSE)-VLOOKUP($A273,main!$A$3:$H$102,6,FALSE)&gt;=main!$D$103+VLOOKUP(VLOOKUP(BJ$1,main!$A$3:$I$102,7,FALSE),main!$K$26:$Q$29,5,FALSE)),1,0)</f>
        <v>0</v>
      </c>
      <c r="BK273">
        <f>IF(AND(VLOOKUP(BK$1,main!$A$3:$H$102,7,FALSE)=main!$G$105,VLOOKUP(BK$1,main!$A$3:$H$102,5,FALSE)-VLOOKUP($A273,main!$A$3:$H$102,6,FALSE)&gt;=main!$D$103+VLOOKUP(VLOOKUP(BK$1,main!$A$3:$I$102,7,FALSE),main!$K$26:$Q$29,5,FALSE)),1,0)</f>
        <v>0</v>
      </c>
      <c r="BL273">
        <f>IF(AND(VLOOKUP(BL$1,main!$A$3:$H$102,7,FALSE)=main!$G$105,VLOOKUP(BL$1,main!$A$3:$H$102,5,FALSE)-VLOOKUP($A273,main!$A$3:$H$102,6,FALSE)&gt;=main!$D$103+VLOOKUP(VLOOKUP(BL$1,main!$A$3:$I$102,7,FALSE),main!$K$26:$Q$29,5,FALSE)),1,0)</f>
        <v>0</v>
      </c>
      <c r="BM273">
        <f>IF(AND(VLOOKUP(BM$1,main!$A$3:$H$102,7,FALSE)=main!$G$105,VLOOKUP(BM$1,main!$A$3:$H$102,5,FALSE)-VLOOKUP($A273,main!$A$3:$H$102,6,FALSE)&gt;=main!$D$103+VLOOKUP(VLOOKUP(BM$1,main!$A$3:$I$102,7,FALSE),main!$K$26:$Q$29,5,FALSE)),1,0)</f>
        <v>0</v>
      </c>
      <c r="BN273">
        <f>IF(AND(VLOOKUP(BN$1,main!$A$3:$H$102,7,FALSE)=main!$G$105,VLOOKUP(BN$1,main!$A$3:$H$102,5,FALSE)-VLOOKUP($A273,main!$A$3:$H$102,6,FALSE)&gt;=main!$D$103+VLOOKUP(VLOOKUP(BN$1,main!$A$3:$I$102,7,FALSE),main!$K$26:$Q$29,5,FALSE)),1,0)</f>
        <v>0</v>
      </c>
      <c r="BO273">
        <f>IF(AND(VLOOKUP(BO$1,main!$A$3:$H$102,7,FALSE)=main!$G$105,VLOOKUP(BO$1,main!$A$3:$H$102,5,FALSE)-VLOOKUP($A273,main!$A$3:$H$102,6,FALSE)&gt;=main!$D$103+VLOOKUP(VLOOKUP(BO$1,main!$A$3:$I$102,7,FALSE),main!$K$26:$Q$29,5,FALSE)),1,0)</f>
        <v>0</v>
      </c>
      <c r="BP273">
        <f>IF(AND(VLOOKUP(BP$1,main!$A$3:$H$102,7,FALSE)=main!$G$105,VLOOKUP(BP$1,main!$A$3:$H$102,5,FALSE)-VLOOKUP($A273,main!$A$3:$H$102,6,FALSE)&gt;=main!$D$103+VLOOKUP(VLOOKUP(BP$1,main!$A$3:$I$102,7,FALSE),main!$K$26:$Q$29,5,FALSE)),1,0)</f>
        <v>0</v>
      </c>
      <c r="BQ273">
        <f>IF(AND(VLOOKUP(BQ$1,main!$A$3:$H$102,7,FALSE)=main!$G$105,VLOOKUP(BQ$1,main!$A$3:$H$102,5,FALSE)-VLOOKUP($A273,main!$A$3:$H$102,6,FALSE)&gt;=main!$D$103+VLOOKUP(VLOOKUP(BQ$1,main!$A$3:$I$102,7,FALSE),main!$K$26:$Q$29,5,FALSE)),1,0)</f>
        <v>0</v>
      </c>
      <c r="BR273">
        <f>IF(AND(VLOOKUP(BR$1,main!$A$3:$H$102,7,FALSE)=main!$G$105,VLOOKUP(BR$1,main!$A$3:$H$102,5,FALSE)-VLOOKUP($A273,main!$A$3:$H$102,6,FALSE)&gt;=main!$D$103+VLOOKUP(VLOOKUP(BR$1,main!$A$3:$I$102,7,FALSE),main!$K$26:$Q$29,5,FALSE)),1,0)</f>
        <v>0</v>
      </c>
      <c r="BS273">
        <f>IF(AND(VLOOKUP(BS$1,main!$A$3:$H$102,7,FALSE)=main!$G$105,VLOOKUP(BS$1,main!$A$3:$H$102,5,FALSE)-VLOOKUP($A273,main!$A$3:$H$102,6,FALSE)&gt;=main!$D$103+VLOOKUP(VLOOKUP(BS$1,main!$A$3:$I$102,7,FALSE),main!$K$26:$Q$29,5,FALSE)),1,0)</f>
        <v>0</v>
      </c>
      <c r="BT273">
        <f>IF(AND(VLOOKUP(BT$1,main!$A$3:$H$102,7,FALSE)=main!$G$105,VLOOKUP(BT$1,main!$A$3:$H$102,5,FALSE)-VLOOKUP($A273,main!$A$3:$H$102,6,FALSE)&gt;=main!$D$103+VLOOKUP(VLOOKUP(BT$1,main!$A$3:$I$102,7,FALSE),main!$K$26:$Q$29,5,FALSE)),1,0)</f>
        <v>0</v>
      </c>
      <c r="BU273">
        <f>IF(AND(VLOOKUP(BU$1,main!$A$3:$H$102,7,FALSE)=main!$G$105,VLOOKUP(BU$1,main!$A$3:$H$102,5,FALSE)-VLOOKUP($A273,main!$A$3:$H$102,6,FALSE)&gt;=main!$D$103+VLOOKUP(VLOOKUP(BU$1,main!$A$3:$I$102,7,FALSE),main!$K$26:$Q$29,5,FALSE)),1,0)</f>
        <v>0</v>
      </c>
      <c r="BV273">
        <f>IF(AND(VLOOKUP(BV$1,main!$A$3:$H$102,7,FALSE)=main!$G$105,VLOOKUP(BV$1,main!$A$3:$H$102,5,FALSE)-VLOOKUP($A273,main!$A$3:$H$102,6,FALSE)&gt;=main!$D$103+VLOOKUP(VLOOKUP(BV$1,main!$A$3:$I$102,7,FALSE),main!$K$26:$Q$29,5,FALSE)),1,0)</f>
        <v>0</v>
      </c>
      <c r="BW273">
        <f>IF(AND(VLOOKUP(BW$1,main!$A$3:$H$102,7,FALSE)=main!$G$105,VLOOKUP(BW$1,main!$A$3:$H$102,5,FALSE)-VLOOKUP($A273,main!$A$3:$H$102,6,FALSE)&gt;=main!$D$103+VLOOKUP(VLOOKUP(BW$1,main!$A$3:$I$102,7,FALSE),main!$K$26:$Q$29,5,FALSE)),1,0)</f>
        <v>0</v>
      </c>
      <c r="BX273">
        <f>IF(AND(VLOOKUP(BX$1,main!$A$3:$H$102,7,FALSE)=main!$G$105,VLOOKUP(BX$1,main!$A$3:$H$102,5,FALSE)-VLOOKUP($A273,main!$A$3:$H$102,6,FALSE)&gt;=main!$D$103+VLOOKUP(VLOOKUP(BX$1,main!$A$3:$I$102,7,FALSE),main!$K$26:$Q$29,5,FALSE)),1,0)</f>
        <v>0</v>
      </c>
      <c r="BY273">
        <f>IF(AND(VLOOKUP(BY$1,main!$A$3:$H$102,7,FALSE)=main!$G$105,VLOOKUP(BY$1,main!$A$3:$H$102,5,FALSE)-VLOOKUP($A273,main!$A$3:$H$102,6,FALSE)&gt;=main!$D$103+VLOOKUP(VLOOKUP(BY$1,main!$A$3:$I$102,7,FALSE),main!$K$26:$Q$29,5,FALSE)),1,0)</f>
        <v>0</v>
      </c>
      <c r="BZ273">
        <f>IF(AND(VLOOKUP(BZ$1,main!$A$3:$H$102,7,FALSE)=main!$G$105,VLOOKUP(BZ$1,main!$A$3:$H$102,5,FALSE)-VLOOKUP($A273,main!$A$3:$H$102,6,FALSE)&gt;=main!$D$103+VLOOKUP(VLOOKUP(BZ$1,main!$A$3:$I$102,7,FALSE),main!$K$26:$Q$29,5,FALSE)),1,0)</f>
        <v>0</v>
      </c>
      <c r="CA273">
        <f>IF(AND(VLOOKUP(CA$1,main!$A$3:$H$102,7,FALSE)=main!$G$105,VLOOKUP(CA$1,main!$A$3:$H$102,5,FALSE)-VLOOKUP($A273,main!$A$3:$H$102,6,FALSE)&gt;=main!$D$103+VLOOKUP(VLOOKUP(CA$1,main!$A$3:$I$102,7,FALSE),main!$K$26:$Q$29,5,FALSE)),1,0)</f>
        <v>0</v>
      </c>
      <c r="CB273">
        <f>IF(AND(VLOOKUP(CB$1,main!$A$3:$H$102,7,FALSE)=main!$G$105,VLOOKUP(CB$1,main!$A$3:$H$102,5,FALSE)-VLOOKUP($A273,main!$A$3:$H$102,6,FALSE)&gt;=main!$D$103+VLOOKUP(VLOOKUP(CB$1,main!$A$3:$I$102,7,FALSE),main!$K$26:$Q$29,5,FALSE)),1,0)</f>
        <v>0</v>
      </c>
      <c r="CC273">
        <f>IF(AND(VLOOKUP(CC$1,main!$A$3:$H$102,7,FALSE)=main!$G$105,VLOOKUP(CC$1,main!$A$3:$H$102,5,FALSE)-VLOOKUP($A273,main!$A$3:$H$102,6,FALSE)&gt;=main!$D$103+VLOOKUP(VLOOKUP(CC$1,main!$A$3:$I$102,7,FALSE),main!$K$26:$Q$29,5,FALSE)),1,0)</f>
        <v>0</v>
      </c>
      <c r="CD273">
        <f>IF(AND(VLOOKUP(CD$1,main!$A$3:$H$102,7,FALSE)=main!$G$105,VLOOKUP(CD$1,main!$A$3:$H$102,5,FALSE)-VLOOKUP($A273,main!$A$3:$H$102,6,FALSE)&gt;=main!$D$103+VLOOKUP(VLOOKUP(CD$1,main!$A$3:$I$102,7,FALSE),main!$K$26:$Q$29,5,FALSE)),1,0)</f>
        <v>0</v>
      </c>
      <c r="CE273">
        <f>IF(AND(VLOOKUP(CE$1,main!$A$3:$H$102,7,FALSE)=main!$G$105,VLOOKUP(CE$1,main!$A$3:$H$102,5,FALSE)-VLOOKUP($A273,main!$A$3:$H$102,6,FALSE)&gt;=main!$D$103+VLOOKUP(VLOOKUP(CE$1,main!$A$3:$I$102,7,FALSE),main!$K$26:$Q$29,5,FALSE)),1,0)</f>
        <v>0</v>
      </c>
      <c r="CF273">
        <f>IF(AND(VLOOKUP(CF$1,main!$A$3:$H$102,7,FALSE)=main!$G$105,VLOOKUP(CF$1,main!$A$3:$H$102,5,FALSE)-VLOOKUP($A273,main!$A$3:$H$102,6,FALSE)&gt;=main!$D$103+VLOOKUP(VLOOKUP(CF$1,main!$A$3:$I$102,7,FALSE),main!$K$26:$Q$29,5,FALSE)),1,0)</f>
        <v>0</v>
      </c>
      <c r="CG273">
        <f>IF(AND(VLOOKUP(CG$1,main!$A$3:$H$102,7,FALSE)=main!$G$105,VLOOKUP(CG$1,main!$A$3:$H$102,5,FALSE)-VLOOKUP($A273,main!$A$3:$H$102,6,FALSE)&gt;=main!$D$103+VLOOKUP(VLOOKUP(CG$1,main!$A$3:$I$102,7,FALSE),main!$K$26:$Q$29,5,FALSE)),1,0)</f>
        <v>0</v>
      </c>
      <c r="CH273">
        <f>IF(AND(VLOOKUP(CH$1,main!$A$3:$H$102,7,FALSE)=main!$G$105,VLOOKUP(CH$1,main!$A$3:$H$102,5,FALSE)-VLOOKUP($A273,main!$A$3:$H$102,6,FALSE)&gt;=main!$D$103+VLOOKUP(VLOOKUP(CH$1,main!$A$3:$I$102,7,FALSE),main!$K$26:$Q$29,5,FALSE)),1,0)</f>
        <v>0</v>
      </c>
      <c r="CI273">
        <f>IF(AND(VLOOKUP(CI$1,main!$A$3:$H$102,7,FALSE)=main!$G$105,VLOOKUP(CI$1,main!$A$3:$H$102,5,FALSE)-VLOOKUP($A273,main!$A$3:$H$102,6,FALSE)&gt;=main!$D$103+VLOOKUP(VLOOKUP(CI$1,main!$A$3:$I$102,7,FALSE),main!$K$26:$Q$29,5,FALSE)),1,0)</f>
        <v>0</v>
      </c>
      <c r="CJ273">
        <f>IF(AND(VLOOKUP(CJ$1,main!$A$3:$H$102,7,FALSE)=main!$G$105,VLOOKUP(CJ$1,main!$A$3:$H$102,5,FALSE)-VLOOKUP($A273,main!$A$3:$H$102,6,FALSE)&gt;=main!$D$103+VLOOKUP(VLOOKUP(CJ$1,main!$A$3:$I$102,7,FALSE),main!$K$26:$Q$29,5,FALSE)),1,0)</f>
        <v>0</v>
      </c>
      <c r="CK273">
        <f>IF(AND(VLOOKUP(CK$1,main!$A$3:$H$102,7,FALSE)=main!$G$105,VLOOKUP(CK$1,main!$A$3:$H$102,5,FALSE)-VLOOKUP($A273,main!$A$3:$H$102,6,FALSE)&gt;=main!$D$103+VLOOKUP(VLOOKUP(CK$1,main!$A$3:$I$102,7,FALSE),main!$K$26:$Q$29,5,FALSE)),1,0)</f>
        <v>0</v>
      </c>
      <c r="CL273">
        <f>IF(AND(VLOOKUP(CL$1,main!$A$3:$H$102,7,FALSE)=main!$G$105,VLOOKUP(CL$1,main!$A$3:$H$102,5,FALSE)-VLOOKUP($A273,main!$A$3:$H$102,6,FALSE)&gt;=main!$D$103+VLOOKUP(VLOOKUP(CL$1,main!$A$3:$I$102,7,FALSE),main!$K$26:$Q$29,5,FALSE)),1,0)</f>
        <v>0</v>
      </c>
      <c r="CM273">
        <f>IF(AND(VLOOKUP(CM$1,main!$A$3:$H$102,7,FALSE)=main!$G$105,VLOOKUP(CM$1,main!$A$3:$H$102,5,FALSE)-VLOOKUP($A273,main!$A$3:$H$102,6,FALSE)&gt;=main!$D$103+VLOOKUP(VLOOKUP(CM$1,main!$A$3:$I$102,7,FALSE),main!$K$26:$Q$29,5,FALSE)),1,0)</f>
        <v>0</v>
      </c>
      <c r="CN273">
        <f>IF(AND(VLOOKUP(CN$1,main!$A$3:$H$102,7,FALSE)=main!$G$105,VLOOKUP(CN$1,main!$A$3:$H$102,5,FALSE)-VLOOKUP($A273,main!$A$3:$H$102,6,FALSE)&gt;=main!$D$103+VLOOKUP(VLOOKUP(CN$1,main!$A$3:$I$102,7,FALSE),main!$K$26:$Q$29,5,FALSE)),1,0)</f>
        <v>0</v>
      </c>
      <c r="CO273">
        <f>IF(AND(VLOOKUP(CO$1,main!$A$3:$H$102,7,FALSE)=main!$G$105,VLOOKUP(CO$1,main!$A$3:$H$102,5,FALSE)-VLOOKUP($A273,main!$A$3:$H$102,6,FALSE)&gt;=main!$D$103+VLOOKUP(VLOOKUP(CO$1,main!$A$3:$I$102,7,FALSE),main!$K$26:$Q$29,5,FALSE)),1,0)</f>
        <v>0</v>
      </c>
      <c r="CP273">
        <f>IF(AND(VLOOKUP(CP$1,main!$A$3:$H$102,7,FALSE)=main!$G$105,VLOOKUP(CP$1,main!$A$3:$H$102,5,FALSE)-VLOOKUP($A273,main!$A$3:$H$102,6,FALSE)&gt;=main!$D$103+VLOOKUP(VLOOKUP(CP$1,main!$A$3:$I$102,7,FALSE),main!$K$26:$Q$29,5,FALSE)),1,0)</f>
        <v>0</v>
      </c>
      <c r="CQ273">
        <f>IF(AND(VLOOKUP(CQ$1,main!$A$3:$H$102,7,FALSE)=main!$G$105,VLOOKUP(CQ$1,main!$A$3:$H$102,5,FALSE)-VLOOKUP($A273,main!$A$3:$H$102,6,FALSE)&gt;=main!$D$103+VLOOKUP(VLOOKUP(CQ$1,main!$A$3:$I$102,7,FALSE),main!$K$26:$Q$29,5,FALSE)),1,0)</f>
        <v>0</v>
      </c>
      <c r="CR273">
        <f>IF(AND(VLOOKUP(CR$1,main!$A$3:$H$102,7,FALSE)=main!$G$105,VLOOKUP(CR$1,main!$A$3:$H$102,5,FALSE)-VLOOKUP($A273,main!$A$3:$H$102,6,FALSE)&gt;=main!$D$103+VLOOKUP(VLOOKUP(CR$1,main!$A$3:$I$102,7,FALSE),main!$K$26:$Q$29,5,FALSE)),1,0)</f>
        <v>0</v>
      </c>
      <c r="CS273">
        <f>IF(AND(VLOOKUP(CS$1,main!$A$3:$H$102,7,FALSE)=main!$G$105,VLOOKUP(CS$1,main!$A$3:$H$102,5,FALSE)-VLOOKUP($A273,main!$A$3:$H$102,6,FALSE)&gt;=main!$D$103+VLOOKUP(VLOOKUP(CS$1,main!$A$3:$I$102,7,FALSE),main!$K$26:$Q$29,5,FALSE)),1,0)</f>
        <v>0</v>
      </c>
      <c r="CT273">
        <f>IF(AND(VLOOKUP(CT$1,main!$A$3:$H$102,7,FALSE)=main!$G$105,VLOOKUP(CT$1,main!$A$3:$H$102,5,FALSE)-VLOOKUP($A273,main!$A$3:$H$102,6,FALSE)&gt;=main!$D$103+VLOOKUP(VLOOKUP(CT$1,main!$A$3:$I$102,7,FALSE),main!$K$26:$Q$29,5,FALSE)),1,0)</f>
        <v>0</v>
      </c>
      <c r="CU273">
        <f>IF(AND(VLOOKUP(CU$1,main!$A$3:$H$102,7,FALSE)=main!$G$105,VLOOKUP(CU$1,main!$A$3:$H$102,5,FALSE)-VLOOKUP($A273,main!$A$3:$H$102,6,FALSE)&gt;=main!$D$103+VLOOKUP(VLOOKUP(CU$1,main!$A$3:$I$102,7,FALSE),main!$K$26:$Q$29,5,FALSE)),1,0)</f>
        <v>0</v>
      </c>
      <c r="CV273">
        <f>IF(AND(VLOOKUP(CV$1,main!$A$3:$H$102,7,FALSE)=main!$G$105,VLOOKUP(CV$1,main!$A$3:$H$102,5,FALSE)-VLOOKUP($A273,main!$A$3:$H$102,6,FALSE)&gt;=main!$D$103+VLOOKUP(VLOOKUP(CV$1,main!$A$3:$I$102,7,FALSE),main!$K$26:$Q$29,5,FALSE)),1,0)</f>
        <v>0</v>
      </c>
      <c r="CW273">
        <f>IF(AND(VLOOKUP(CW$1,main!$A$3:$H$102,7,FALSE)=main!$G$105,VLOOKUP(CW$1,main!$A$3:$H$102,5,FALSE)-VLOOKUP($A273,main!$A$3:$H$102,6,FALSE)&gt;=main!$D$103+VLOOKUP(VLOOKUP(CW$1,main!$A$3:$I$102,7,FALSE),main!$K$26:$Q$29,5,FALSE)),1,0)</f>
        <v>0</v>
      </c>
      <c r="CX273">
        <f>IF(AND(VLOOKUP(CX$1,main!$A$3:$H$102,7,FALSE)=main!$G$105,VLOOKUP(CX$1,main!$A$3:$H$102,5,FALSE)-VLOOKUP($A273,main!$A$3:$H$102,6,FALSE)&gt;=main!$D$103+VLOOKUP(VLOOKUP(CX$1,main!$A$3:$I$102,7,FALSE),main!$K$26:$Q$29,5,FALSE)),1,0)</f>
        <v>0</v>
      </c>
    </row>
    <row r="274" spans="1:102" x14ac:dyDescent="0.25">
      <c r="A274" s="1">
        <v>70</v>
      </c>
      <c r="B274">
        <v>0</v>
      </c>
      <c r="C274">
        <f>IF(AND(VLOOKUP(C$1,main!$A$3:$H$102,7,FALSE)=main!$G$105,VLOOKUP(C$1,main!$A$3:$H$102,5,FALSE)-VLOOKUP($A274,main!$A$3:$H$102,6,FALSE)&gt;=main!$D$103+VLOOKUP(VLOOKUP(C$1,main!$A$3:$I$102,7,FALSE),main!$K$26:$Q$29,5,FALSE)),1,0)</f>
        <v>0</v>
      </c>
      <c r="D274">
        <f>IF(AND(VLOOKUP(D$1,main!$A$3:$H$102,7,FALSE)=main!$G$105,VLOOKUP(D$1,main!$A$3:$H$102,5,FALSE)-VLOOKUP($A274,main!$A$3:$H$102,6,FALSE)&gt;=main!$D$103+VLOOKUP(VLOOKUP(D$1,main!$A$3:$I$102,7,FALSE),main!$K$26:$Q$29,5,FALSE)),1,0)</f>
        <v>0</v>
      </c>
      <c r="E274">
        <f>IF(AND(VLOOKUP(E$1,main!$A$3:$H$102,7,FALSE)=main!$G$105,VLOOKUP(E$1,main!$A$3:$H$102,5,FALSE)-VLOOKUP($A274,main!$A$3:$H$102,6,FALSE)&gt;=main!$D$103+VLOOKUP(VLOOKUP(E$1,main!$A$3:$I$102,7,FALSE),main!$K$26:$Q$29,5,FALSE)),1,0)</f>
        <v>0</v>
      </c>
      <c r="F274">
        <f>IF(AND(VLOOKUP(F$1,main!$A$3:$H$102,7,FALSE)=main!$G$105,VLOOKUP(F$1,main!$A$3:$H$102,5,FALSE)-VLOOKUP($A274,main!$A$3:$H$102,6,FALSE)&gt;=main!$D$103+VLOOKUP(VLOOKUP(F$1,main!$A$3:$I$102,7,FALSE),main!$K$26:$Q$29,5,FALSE)),1,0)</f>
        <v>0</v>
      </c>
      <c r="G274">
        <f>IF(AND(VLOOKUP(G$1,main!$A$3:$H$102,7,FALSE)=main!$G$105,VLOOKUP(G$1,main!$A$3:$H$102,5,FALSE)-VLOOKUP($A274,main!$A$3:$H$102,6,FALSE)&gt;=main!$D$103+VLOOKUP(VLOOKUP(G$1,main!$A$3:$I$102,7,FALSE),main!$K$26:$Q$29,5,FALSE)),1,0)</f>
        <v>0</v>
      </c>
      <c r="H274">
        <f>IF(AND(VLOOKUP(H$1,main!$A$3:$H$102,7,FALSE)=main!$G$105,VLOOKUP(H$1,main!$A$3:$H$102,5,FALSE)-VLOOKUP($A274,main!$A$3:$H$102,6,FALSE)&gt;=main!$D$103+VLOOKUP(VLOOKUP(H$1,main!$A$3:$I$102,7,FALSE),main!$K$26:$Q$29,5,FALSE)),1,0)</f>
        <v>0</v>
      </c>
      <c r="I274">
        <f>IF(AND(VLOOKUP(I$1,main!$A$3:$H$102,7,FALSE)=main!$G$105,VLOOKUP(I$1,main!$A$3:$H$102,5,FALSE)-VLOOKUP($A274,main!$A$3:$H$102,6,FALSE)&gt;=main!$D$103+VLOOKUP(VLOOKUP(I$1,main!$A$3:$I$102,7,FALSE),main!$K$26:$Q$29,5,FALSE)),1,0)</f>
        <v>0</v>
      </c>
      <c r="J274">
        <f>IF(AND(VLOOKUP(J$1,main!$A$3:$H$102,7,FALSE)=main!$G$105,VLOOKUP(J$1,main!$A$3:$H$102,5,FALSE)-VLOOKUP($A274,main!$A$3:$H$102,6,FALSE)&gt;=main!$D$103+VLOOKUP(VLOOKUP(J$1,main!$A$3:$I$102,7,FALSE),main!$K$26:$Q$29,5,FALSE)),1,0)</f>
        <v>0</v>
      </c>
      <c r="K274">
        <f>IF(AND(VLOOKUP(K$1,main!$A$3:$H$102,7,FALSE)=main!$G$105,VLOOKUP(K$1,main!$A$3:$H$102,5,FALSE)-VLOOKUP($A274,main!$A$3:$H$102,6,FALSE)&gt;=main!$D$103+VLOOKUP(VLOOKUP(K$1,main!$A$3:$I$102,7,FALSE),main!$K$26:$Q$29,5,FALSE)),1,0)</f>
        <v>0</v>
      </c>
      <c r="L274">
        <f>IF(AND(VLOOKUP(L$1,main!$A$3:$H$102,7,FALSE)=main!$G$105,VLOOKUP(L$1,main!$A$3:$H$102,5,FALSE)-VLOOKUP($A274,main!$A$3:$H$102,6,FALSE)&gt;=main!$D$103+VLOOKUP(VLOOKUP(L$1,main!$A$3:$I$102,7,FALSE),main!$K$26:$Q$29,5,FALSE)),1,0)</f>
        <v>0</v>
      </c>
      <c r="M274">
        <f>IF(AND(VLOOKUP(M$1,main!$A$3:$H$102,7,FALSE)=main!$G$105,VLOOKUP(M$1,main!$A$3:$H$102,5,FALSE)-VLOOKUP($A274,main!$A$3:$H$102,6,FALSE)&gt;=main!$D$103+VLOOKUP(VLOOKUP(M$1,main!$A$3:$I$102,7,FALSE),main!$K$26:$Q$29,5,FALSE)),1,0)</f>
        <v>0</v>
      </c>
      <c r="N274">
        <f>IF(AND(VLOOKUP(N$1,main!$A$3:$H$102,7,FALSE)=main!$G$105,VLOOKUP(N$1,main!$A$3:$H$102,5,FALSE)-VLOOKUP($A274,main!$A$3:$H$102,6,FALSE)&gt;=main!$D$103+VLOOKUP(VLOOKUP(N$1,main!$A$3:$I$102,7,FALSE),main!$K$26:$Q$29,5,FALSE)),1,0)</f>
        <v>0</v>
      </c>
      <c r="O274">
        <f>IF(AND(VLOOKUP(O$1,main!$A$3:$H$102,7,FALSE)=main!$G$105,VLOOKUP(O$1,main!$A$3:$H$102,5,FALSE)-VLOOKUP($A274,main!$A$3:$H$102,6,FALSE)&gt;=main!$D$103+VLOOKUP(VLOOKUP(O$1,main!$A$3:$I$102,7,FALSE),main!$K$26:$Q$29,5,FALSE)),1,0)</f>
        <v>0</v>
      </c>
      <c r="P274">
        <f>IF(AND(VLOOKUP(P$1,main!$A$3:$H$102,7,FALSE)=main!$G$105,VLOOKUP(P$1,main!$A$3:$H$102,5,FALSE)-VLOOKUP($A274,main!$A$3:$H$102,6,FALSE)&gt;=main!$D$103+VLOOKUP(VLOOKUP(P$1,main!$A$3:$I$102,7,FALSE),main!$K$26:$Q$29,5,FALSE)),1,0)</f>
        <v>0</v>
      </c>
      <c r="Q274">
        <f>IF(AND(VLOOKUP(Q$1,main!$A$3:$H$102,7,FALSE)=main!$G$105,VLOOKUP(Q$1,main!$A$3:$H$102,5,FALSE)-VLOOKUP($A274,main!$A$3:$H$102,6,FALSE)&gt;=main!$D$103+VLOOKUP(VLOOKUP(Q$1,main!$A$3:$I$102,7,FALSE),main!$K$26:$Q$29,5,FALSE)),1,0)</f>
        <v>0</v>
      </c>
      <c r="R274">
        <f>IF(AND(VLOOKUP(R$1,main!$A$3:$H$102,7,FALSE)=main!$G$105,VLOOKUP(R$1,main!$A$3:$H$102,5,FALSE)-VLOOKUP($A274,main!$A$3:$H$102,6,FALSE)&gt;=main!$D$103+VLOOKUP(VLOOKUP(R$1,main!$A$3:$I$102,7,FALSE),main!$K$26:$Q$29,5,FALSE)),1,0)</f>
        <v>0</v>
      </c>
      <c r="S274">
        <f>IF(AND(VLOOKUP(S$1,main!$A$3:$H$102,7,FALSE)=main!$G$105,VLOOKUP(S$1,main!$A$3:$H$102,5,FALSE)-VLOOKUP($A274,main!$A$3:$H$102,6,FALSE)&gt;=main!$D$103+VLOOKUP(VLOOKUP(S$1,main!$A$3:$I$102,7,FALSE),main!$K$26:$Q$29,5,FALSE)),1,0)</f>
        <v>0</v>
      </c>
      <c r="T274">
        <f>IF(AND(VLOOKUP(T$1,main!$A$3:$H$102,7,FALSE)=main!$G$105,VLOOKUP(T$1,main!$A$3:$H$102,5,FALSE)-VLOOKUP($A274,main!$A$3:$H$102,6,FALSE)&gt;=main!$D$103+VLOOKUP(VLOOKUP(T$1,main!$A$3:$I$102,7,FALSE),main!$K$26:$Q$29,5,FALSE)),1,0)</f>
        <v>0</v>
      </c>
      <c r="U274">
        <f>IF(AND(VLOOKUP(U$1,main!$A$3:$H$102,7,FALSE)=main!$G$105,VLOOKUP(U$1,main!$A$3:$H$102,5,FALSE)-VLOOKUP($A274,main!$A$3:$H$102,6,FALSE)&gt;=main!$D$103+VLOOKUP(VLOOKUP(U$1,main!$A$3:$I$102,7,FALSE),main!$K$26:$Q$29,5,FALSE)),1,0)</f>
        <v>0</v>
      </c>
      <c r="V274">
        <f>IF(AND(VLOOKUP(V$1,main!$A$3:$H$102,7,FALSE)=main!$G$105,VLOOKUP(V$1,main!$A$3:$H$102,5,FALSE)-VLOOKUP($A274,main!$A$3:$H$102,6,FALSE)&gt;=main!$D$103+VLOOKUP(VLOOKUP(V$1,main!$A$3:$I$102,7,FALSE),main!$K$26:$Q$29,5,FALSE)),1,0)</f>
        <v>0</v>
      </c>
      <c r="W274">
        <f>IF(AND(VLOOKUP(W$1,main!$A$3:$H$102,7,FALSE)=main!$G$105,VLOOKUP(W$1,main!$A$3:$H$102,5,FALSE)-VLOOKUP($A274,main!$A$3:$H$102,6,FALSE)&gt;=main!$D$103+VLOOKUP(VLOOKUP(W$1,main!$A$3:$I$102,7,FALSE),main!$K$26:$Q$29,5,FALSE)),1,0)</f>
        <v>0</v>
      </c>
      <c r="X274">
        <f>IF(AND(VLOOKUP(X$1,main!$A$3:$H$102,7,FALSE)=main!$G$105,VLOOKUP(X$1,main!$A$3:$H$102,5,FALSE)-VLOOKUP($A274,main!$A$3:$H$102,6,FALSE)&gt;=main!$D$103+VLOOKUP(VLOOKUP(X$1,main!$A$3:$I$102,7,FALSE),main!$K$26:$Q$29,5,FALSE)),1,0)</f>
        <v>0</v>
      </c>
      <c r="Y274">
        <f>IF(AND(VLOOKUP(Y$1,main!$A$3:$H$102,7,FALSE)=main!$G$105,VLOOKUP(Y$1,main!$A$3:$H$102,5,FALSE)-VLOOKUP($A274,main!$A$3:$H$102,6,FALSE)&gt;=main!$D$103+VLOOKUP(VLOOKUP(Y$1,main!$A$3:$I$102,7,FALSE),main!$K$26:$Q$29,5,FALSE)),1,0)</f>
        <v>0</v>
      </c>
      <c r="Z274">
        <f>IF(AND(VLOOKUP(Z$1,main!$A$3:$H$102,7,FALSE)=main!$G$105,VLOOKUP(Z$1,main!$A$3:$H$102,5,FALSE)-VLOOKUP($A274,main!$A$3:$H$102,6,FALSE)&gt;=main!$D$103+VLOOKUP(VLOOKUP(Z$1,main!$A$3:$I$102,7,FALSE),main!$K$26:$Q$29,5,FALSE)),1,0)</f>
        <v>0</v>
      </c>
      <c r="AA274">
        <f>IF(AND(VLOOKUP(AA$1,main!$A$3:$H$102,7,FALSE)=main!$G$105,VLOOKUP(AA$1,main!$A$3:$H$102,5,FALSE)-VLOOKUP($A274,main!$A$3:$H$102,6,FALSE)&gt;=main!$D$103+VLOOKUP(VLOOKUP(AA$1,main!$A$3:$I$102,7,FALSE),main!$K$26:$Q$29,5,FALSE)),1,0)</f>
        <v>0</v>
      </c>
      <c r="AB274">
        <f>IF(AND(VLOOKUP(AB$1,main!$A$3:$H$102,7,FALSE)=main!$G$105,VLOOKUP(AB$1,main!$A$3:$H$102,5,FALSE)-VLOOKUP($A274,main!$A$3:$H$102,6,FALSE)&gt;=main!$D$103+VLOOKUP(VLOOKUP(AB$1,main!$A$3:$I$102,7,FALSE),main!$K$26:$Q$29,5,FALSE)),1,0)</f>
        <v>0</v>
      </c>
      <c r="AC274">
        <f>IF(AND(VLOOKUP(AC$1,main!$A$3:$H$102,7,FALSE)=main!$G$105,VLOOKUP(AC$1,main!$A$3:$H$102,5,FALSE)-VLOOKUP($A274,main!$A$3:$H$102,6,FALSE)&gt;=main!$D$103+VLOOKUP(VLOOKUP(AC$1,main!$A$3:$I$102,7,FALSE),main!$K$26:$Q$29,5,FALSE)),1,0)</f>
        <v>0</v>
      </c>
      <c r="AD274">
        <f>IF(AND(VLOOKUP(AD$1,main!$A$3:$H$102,7,FALSE)=main!$G$105,VLOOKUP(AD$1,main!$A$3:$H$102,5,FALSE)-VLOOKUP($A274,main!$A$3:$H$102,6,FALSE)&gt;=main!$D$103+VLOOKUP(VLOOKUP(AD$1,main!$A$3:$I$102,7,FALSE),main!$K$26:$Q$29,5,FALSE)),1,0)</f>
        <v>0</v>
      </c>
      <c r="AE274">
        <f>IF(AND(VLOOKUP(AE$1,main!$A$3:$H$102,7,FALSE)=main!$G$105,VLOOKUP(AE$1,main!$A$3:$H$102,5,FALSE)-VLOOKUP($A274,main!$A$3:$H$102,6,FALSE)&gt;=main!$D$103+VLOOKUP(VLOOKUP(AE$1,main!$A$3:$I$102,7,FALSE),main!$K$26:$Q$29,5,FALSE)),1,0)</f>
        <v>0</v>
      </c>
      <c r="AF274">
        <f>IF(AND(VLOOKUP(AF$1,main!$A$3:$H$102,7,FALSE)=main!$G$105,VLOOKUP(AF$1,main!$A$3:$H$102,5,FALSE)-VLOOKUP($A274,main!$A$3:$H$102,6,FALSE)&gt;=main!$D$103+VLOOKUP(VLOOKUP(AF$1,main!$A$3:$I$102,7,FALSE),main!$K$26:$Q$29,5,FALSE)),1,0)</f>
        <v>0</v>
      </c>
      <c r="AG274">
        <f>IF(AND(VLOOKUP(AG$1,main!$A$3:$H$102,7,FALSE)=main!$G$105,VLOOKUP(AG$1,main!$A$3:$H$102,5,FALSE)-VLOOKUP($A274,main!$A$3:$H$102,6,FALSE)&gt;=main!$D$103+VLOOKUP(VLOOKUP(AG$1,main!$A$3:$I$102,7,FALSE),main!$K$26:$Q$29,5,FALSE)),1,0)</f>
        <v>0</v>
      </c>
      <c r="AH274">
        <f>IF(AND(VLOOKUP(AH$1,main!$A$3:$H$102,7,FALSE)=main!$G$105,VLOOKUP(AH$1,main!$A$3:$H$102,5,FALSE)-VLOOKUP($A274,main!$A$3:$H$102,6,FALSE)&gt;=main!$D$103+VLOOKUP(VLOOKUP(AH$1,main!$A$3:$I$102,7,FALSE),main!$K$26:$Q$29,5,FALSE)),1,0)</f>
        <v>0</v>
      </c>
      <c r="AI274">
        <f>IF(AND(VLOOKUP(AI$1,main!$A$3:$H$102,7,FALSE)=main!$G$105,VLOOKUP(AI$1,main!$A$3:$H$102,5,FALSE)-VLOOKUP($A274,main!$A$3:$H$102,6,FALSE)&gt;=main!$D$103+VLOOKUP(VLOOKUP(AI$1,main!$A$3:$I$102,7,FALSE),main!$K$26:$Q$29,5,FALSE)),1,0)</f>
        <v>0</v>
      </c>
      <c r="AJ274">
        <f>IF(AND(VLOOKUP(AJ$1,main!$A$3:$H$102,7,FALSE)=main!$G$105,VLOOKUP(AJ$1,main!$A$3:$H$102,5,FALSE)-VLOOKUP($A274,main!$A$3:$H$102,6,FALSE)&gt;=main!$D$103+VLOOKUP(VLOOKUP(AJ$1,main!$A$3:$I$102,7,FALSE),main!$K$26:$Q$29,5,FALSE)),1,0)</f>
        <v>0</v>
      </c>
      <c r="AK274">
        <f>IF(AND(VLOOKUP(AK$1,main!$A$3:$H$102,7,FALSE)=main!$G$105,VLOOKUP(AK$1,main!$A$3:$H$102,5,FALSE)-VLOOKUP($A274,main!$A$3:$H$102,6,FALSE)&gt;=main!$D$103+VLOOKUP(VLOOKUP(AK$1,main!$A$3:$I$102,7,FALSE),main!$K$26:$Q$29,5,FALSE)),1,0)</f>
        <v>0</v>
      </c>
      <c r="AL274">
        <f>IF(AND(VLOOKUP(AL$1,main!$A$3:$H$102,7,FALSE)=main!$G$105,VLOOKUP(AL$1,main!$A$3:$H$102,5,FALSE)-VLOOKUP($A274,main!$A$3:$H$102,6,FALSE)&gt;=main!$D$103+VLOOKUP(VLOOKUP(AL$1,main!$A$3:$I$102,7,FALSE),main!$K$26:$Q$29,5,FALSE)),1,0)</f>
        <v>0</v>
      </c>
      <c r="AM274">
        <f>IF(AND(VLOOKUP(AM$1,main!$A$3:$H$102,7,FALSE)=main!$G$105,VLOOKUP(AM$1,main!$A$3:$H$102,5,FALSE)-VLOOKUP($A274,main!$A$3:$H$102,6,FALSE)&gt;=main!$D$103+VLOOKUP(VLOOKUP(AM$1,main!$A$3:$I$102,7,FALSE),main!$K$26:$Q$29,5,FALSE)),1,0)</f>
        <v>1</v>
      </c>
      <c r="AN274">
        <f>IF(AND(VLOOKUP(AN$1,main!$A$3:$H$102,7,FALSE)=main!$G$105,VLOOKUP(AN$1,main!$A$3:$H$102,5,FALSE)-VLOOKUP($A274,main!$A$3:$H$102,6,FALSE)&gt;=main!$D$103+VLOOKUP(VLOOKUP(AN$1,main!$A$3:$I$102,7,FALSE),main!$K$26:$Q$29,5,FALSE)),1,0)</f>
        <v>1</v>
      </c>
      <c r="AO274">
        <f>IF(AND(VLOOKUP(AO$1,main!$A$3:$H$102,7,FALSE)=main!$G$105,VLOOKUP(AO$1,main!$A$3:$H$102,5,FALSE)-VLOOKUP($A274,main!$A$3:$H$102,6,FALSE)&gt;=main!$D$103+VLOOKUP(VLOOKUP(AO$1,main!$A$3:$I$102,7,FALSE),main!$K$26:$Q$29,5,FALSE)),1,0)</f>
        <v>0</v>
      </c>
      <c r="AP274">
        <f>IF(AND(VLOOKUP(AP$1,main!$A$3:$H$102,7,FALSE)=main!$G$105,VLOOKUP(AP$1,main!$A$3:$H$102,5,FALSE)-VLOOKUP($A274,main!$A$3:$H$102,6,FALSE)&gt;=main!$D$103+VLOOKUP(VLOOKUP(AP$1,main!$A$3:$I$102,7,FALSE),main!$K$26:$Q$29,5,FALSE)),1,0)</f>
        <v>1</v>
      </c>
      <c r="AQ274">
        <f>IF(AND(VLOOKUP(AQ$1,main!$A$3:$H$102,7,FALSE)=main!$G$105,VLOOKUP(AQ$1,main!$A$3:$H$102,5,FALSE)-VLOOKUP($A274,main!$A$3:$H$102,6,FALSE)&gt;=main!$D$103+VLOOKUP(VLOOKUP(AQ$1,main!$A$3:$I$102,7,FALSE),main!$K$26:$Q$29,5,FALSE)),1,0)</f>
        <v>0</v>
      </c>
      <c r="AR274">
        <f>IF(AND(VLOOKUP(AR$1,main!$A$3:$H$102,7,FALSE)=main!$G$105,VLOOKUP(AR$1,main!$A$3:$H$102,5,FALSE)-VLOOKUP($A274,main!$A$3:$H$102,6,FALSE)&gt;=main!$D$103+VLOOKUP(VLOOKUP(AR$1,main!$A$3:$I$102,7,FALSE),main!$K$26:$Q$29,5,FALSE)),1,0)</f>
        <v>0</v>
      </c>
      <c r="AS274">
        <f>IF(AND(VLOOKUP(AS$1,main!$A$3:$H$102,7,FALSE)=main!$G$105,VLOOKUP(AS$1,main!$A$3:$H$102,5,FALSE)-VLOOKUP($A274,main!$A$3:$H$102,6,FALSE)&gt;=main!$D$103+VLOOKUP(VLOOKUP(AS$1,main!$A$3:$I$102,7,FALSE),main!$K$26:$Q$29,5,FALSE)),1,0)</f>
        <v>0</v>
      </c>
      <c r="AT274">
        <f>IF(AND(VLOOKUP(AT$1,main!$A$3:$H$102,7,FALSE)=main!$G$105,VLOOKUP(AT$1,main!$A$3:$H$102,5,FALSE)-VLOOKUP($A274,main!$A$3:$H$102,6,FALSE)&gt;=main!$D$103+VLOOKUP(VLOOKUP(AT$1,main!$A$3:$I$102,7,FALSE),main!$K$26:$Q$29,5,FALSE)),1,0)</f>
        <v>0</v>
      </c>
      <c r="AU274">
        <f>IF(AND(VLOOKUP(AU$1,main!$A$3:$H$102,7,FALSE)=main!$G$105,VLOOKUP(AU$1,main!$A$3:$H$102,5,FALSE)-VLOOKUP($A274,main!$A$3:$H$102,6,FALSE)&gt;=main!$D$103+VLOOKUP(VLOOKUP(AU$1,main!$A$3:$I$102,7,FALSE),main!$K$26:$Q$29,5,FALSE)),1,0)</f>
        <v>0</v>
      </c>
      <c r="AV274">
        <f>IF(AND(VLOOKUP(AV$1,main!$A$3:$H$102,7,FALSE)=main!$G$105,VLOOKUP(AV$1,main!$A$3:$H$102,5,FALSE)-VLOOKUP($A274,main!$A$3:$H$102,6,FALSE)&gt;=main!$D$103+VLOOKUP(VLOOKUP(AV$1,main!$A$3:$I$102,7,FALSE),main!$K$26:$Q$29,5,FALSE)),1,0)</f>
        <v>0</v>
      </c>
      <c r="AW274">
        <f>IF(AND(VLOOKUP(AW$1,main!$A$3:$H$102,7,FALSE)=main!$G$105,VLOOKUP(AW$1,main!$A$3:$H$102,5,FALSE)-VLOOKUP($A274,main!$A$3:$H$102,6,FALSE)&gt;=main!$D$103+VLOOKUP(VLOOKUP(AW$1,main!$A$3:$I$102,7,FALSE),main!$K$26:$Q$29,5,FALSE)),1,0)</f>
        <v>0</v>
      </c>
      <c r="AX274">
        <f>IF(AND(VLOOKUP(AX$1,main!$A$3:$H$102,7,FALSE)=main!$G$105,VLOOKUP(AX$1,main!$A$3:$H$102,5,FALSE)-VLOOKUP($A274,main!$A$3:$H$102,6,FALSE)&gt;=main!$D$103+VLOOKUP(VLOOKUP(AX$1,main!$A$3:$I$102,7,FALSE),main!$K$26:$Q$29,5,FALSE)),1,0)</f>
        <v>0</v>
      </c>
      <c r="AY274">
        <f>IF(AND(VLOOKUP(AY$1,main!$A$3:$H$102,7,FALSE)=main!$G$105,VLOOKUP(AY$1,main!$A$3:$H$102,5,FALSE)-VLOOKUP($A274,main!$A$3:$H$102,6,FALSE)&gt;=main!$D$103+VLOOKUP(VLOOKUP(AY$1,main!$A$3:$I$102,7,FALSE),main!$K$26:$Q$29,5,FALSE)),1,0)</f>
        <v>0</v>
      </c>
      <c r="AZ274">
        <f>IF(AND(VLOOKUP(AZ$1,main!$A$3:$H$102,7,FALSE)=main!$G$105,VLOOKUP(AZ$1,main!$A$3:$H$102,5,FALSE)-VLOOKUP($A274,main!$A$3:$H$102,6,FALSE)&gt;=main!$D$103+VLOOKUP(VLOOKUP(AZ$1,main!$A$3:$I$102,7,FALSE),main!$K$26:$Q$29,5,FALSE)),1,0)</f>
        <v>0</v>
      </c>
      <c r="BA274">
        <f>IF(AND(VLOOKUP(BA$1,main!$A$3:$H$102,7,FALSE)=main!$G$105,VLOOKUP(BA$1,main!$A$3:$H$102,5,FALSE)-VLOOKUP($A274,main!$A$3:$H$102,6,FALSE)&gt;=main!$D$103+VLOOKUP(VLOOKUP(BA$1,main!$A$3:$I$102,7,FALSE),main!$K$26:$Q$29,5,FALSE)),1,0)</f>
        <v>0</v>
      </c>
      <c r="BB274">
        <f>IF(AND(VLOOKUP(BB$1,main!$A$3:$H$102,7,FALSE)=main!$G$105,VLOOKUP(BB$1,main!$A$3:$H$102,5,FALSE)-VLOOKUP($A274,main!$A$3:$H$102,6,FALSE)&gt;=main!$D$103+VLOOKUP(VLOOKUP(BB$1,main!$A$3:$I$102,7,FALSE),main!$K$26:$Q$29,5,FALSE)),1,0)</f>
        <v>0</v>
      </c>
      <c r="BC274">
        <f>IF(AND(VLOOKUP(BC$1,main!$A$3:$H$102,7,FALSE)=main!$G$105,VLOOKUP(BC$1,main!$A$3:$H$102,5,FALSE)-VLOOKUP($A274,main!$A$3:$H$102,6,FALSE)&gt;=main!$D$103+VLOOKUP(VLOOKUP(BC$1,main!$A$3:$I$102,7,FALSE),main!$K$26:$Q$29,5,FALSE)),1,0)</f>
        <v>0</v>
      </c>
      <c r="BD274">
        <f>IF(AND(VLOOKUP(BD$1,main!$A$3:$H$102,7,FALSE)=main!$G$105,VLOOKUP(BD$1,main!$A$3:$H$102,5,FALSE)-VLOOKUP($A274,main!$A$3:$H$102,6,FALSE)&gt;=main!$D$103+VLOOKUP(VLOOKUP(BD$1,main!$A$3:$I$102,7,FALSE),main!$K$26:$Q$29,5,FALSE)),1,0)</f>
        <v>0</v>
      </c>
      <c r="BE274">
        <f>IF(AND(VLOOKUP(BE$1,main!$A$3:$H$102,7,FALSE)=main!$G$105,VLOOKUP(BE$1,main!$A$3:$H$102,5,FALSE)-VLOOKUP($A274,main!$A$3:$H$102,6,FALSE)&gt;=main!$D$103+VLOOKUP(VLOOKUP(BE$1,main!$A$3:$I$102,7,FALSE),main!$K$26:$Q$29,5,FALSE)),1,0)</f>
        <v>0</v>
      </c>
      <c r="BF274">
        <f>IF(AND(VLOOKUP(BF$1,main!$A$3:$H$102,7,FALSE)=main!$G$105,VLOOKUP(BF$1,main!$A$3:$H$102,5,FALSE)-VLOOKUP($A274,main!$A$3:$H$102,6,FALSE)&gt;=main!$D$103+VLOOKUP(VLOOKUP(BF$1,main!$A$3:$I$102,7,FALSE),main!$K$26:$Q$29,5,FALSE)),1,0)</f>
        <v>0</v>
      </c>
      <c r="BG274">
        <f>IF(AND(VLOOKUP(BG$1,main!$A$3:$H$102,7,FALSE)=main!$G$105,VLOOKUP(BG$1,main!$A$3:$H$102,5,FALSE)-VLOOKUP($A274,main!$A$3:$H$102,6,FALSE)&gt;=main!$D$103+VLOOKUP(VLOOKUP(BG$1,main!$A$3:$I$102,7,FALSE),main!$K$26:$Q$29,5,FALSE)),1,0)</f>
        <v>0</v>
      </c>
      <c r="BH274">
        <f>IF(AND(VLOOKUP(BH$1,main!$A$3:$H$102,7,FALSE)=main!$G$105,VLOOKUP(BH$1,main!$A$3:$H$102,5,FALSE)-VLOOKUP($A274,main!$A$3:$H$102,6,FALSE)&gt;=main!$D$103+VLOOKUP(VLOOKUP(BH$1,main!$A$3:$I$102,7,FALSE),main!$K$26:$Q$29,5,FALSE)),1,0)</f>
        <v>0</v>
      </c>
      <c r="BI274">
        <f>IF(AND(VLOOKUP(BI$1,main!$A$3:$H$102,7,FALSE)=main!$G$105,VLOOKUP(BI$1,main!$A$3:$H$102,5,FALSE)-VLOOKUP($A274,main!$A$3:$H$102,6,FALSE)&gt;=main!$D$103+VLOOKUP(VLOOKUP(BI$1,main!$A$3:$I$102,7,FALSE),main!$K$26:$Q$29,5,FALSE)),1,0)</f>
        <v>0</v>
      </c>
      <c r="BJ274">
        <f>IF(AND(VLOOKUP(BJ$1,main!$A$3:$H$102,7,FALSE)=main!$G$105,VLOOKUP(BJ$1,main!$A$3:$H$102,5,FALSE)-VLOOKUP($A274,main!$A$3:$H$102,6,FALSE)&gt;=main!$D$103+VLOOKUP(VLOOKUP(BJ$1,main!$A$3:$I$102,7,FALSE),main!$K$26:$Q$29,5,FALSE)),1,0)</f>
        <v>0</v>
      </c>
      <c r="BK274">
        <f>IF(AND(VLOOKUP(BK$1,main!$A$3:$H$102,7,FALSE)=main!$G$105,VLOOKUP(BK$1,main!$A$3:$H$102,5,FALSE)-VLOOKUP($A274,main!$A$3:$H$102,6,FALSE)&gt;=main!$D$103+VLOOKUP(VLOOKUP(BK$1,main!$A$3:$I$102,7,FALSE),main!$K$26:$Q$29,5,FALSE)),1,0)</f>
        <v>0</v>
      </c>
      <c r="BL274">
        <f>IF(AND(VLOOKUP(BL$1,main!$A$3:$H$102,7,FALSE)=main!$G$105,VLOOKUP(BL$1,main!$A$3:$H$102,5,FALSE)-VLOOKUP($A274,main!$A$3:$H$102,6,FALSE)&gt;=main!$D$103+VLOOKUP(VLOOKUP(BL$1,main!$A$3:$I$102,7,FALSE),main!$K$26:$Q$29,5,FALSE)),1,0)</f>
        <v>0</v>
      </c>
      <c r="BM274">
        <f>IF(AND(VLOOKUP(BM$1,main!$A$3:$H$102,7,FALSE)=main!$G$105,VLOOKUP(BM$1,main!$A$3:$H$102,5,FALSE)-VLOOKUP($A274,main!$A$3:$H$102,6,FALSE)&gt;=main!$D$103+VLOOKUP(VLOOKUP(BM$1,main!$A$3:$I$102,7,FALSE),main!$K$26:$Q$29,5,FALSE)),1,0)</f>
        <v>0</v>
      </c>
      <c r="BN274">
        <f>IF(AND(VLOOKUP(BN$1,main!$A$3:$H$102,7,FALSE)=main!$G$105,VLOOKUP(BN$1,main!$A$3:$H$102,5,FALSE)-VLOOKUP($A274,main!$A$3:$H$102,6,FALSE)&gt;=main!$D$103+VLOOKUP(VLOOKUP(BN$1,main!$A$3:$I$102,7,FALSE),main!$K$26:$Q$29,5,FALSE)),1,0)</f>
        <v>0</v>
      </c>
      <c r="BO274">
        <f>IF(AND(VLOOKUP(BO$1,main!$A$3:$H$102,7,FALSE)=main!$G$105,VLOOKUP(BO$1,main!$A$3:$H$102,5,FALSE)-VLOOKUP($A274,main!$A$3:$H$102,6,FALSE)&gt;=main!$D$103+VLOOKUP(VLOOKUP(BO$1,main!$A$3:$I$102,7,FALSE),main!$K$26:$Q$29,5,FALSE)),1,0)</f>
        <v>0</v>
      </c>
      <c r="BP274">
        <f>IF(AND(VLOOKUP(BP$1,main!$A$3:$H$102,7,FALSE)=main!$G$105,VLOOKUP(BP$1,main!$A$3:$H$102,5,FALSE)-VLOOKUP($A274,main!$A$3:$H$102,6,FALSE)&gt;=main!$D$103+VLOOKUP(VLOOKUP(BP$1,main!$A$3:$I$102,7,FALSE),main!$K$26:$Q$29,5,FALSE)),1,0)</f>
        <v>0</v>
      </c>
      <c r="BQ274">
        <f>IF(AND(VLOOKUP(BQ$1,main!$A$3:$H$102,7,FALSE)=main!$G$105,VLOOKUP(BQ$1,main!$A$3:$H$102,5,FALSE)-VLOOKUP($A274,main!$A$3:$H$102,6,FALSE)&gt;=main!$D$103+VLOOKUP(VLOOKUP(BQ$1,main!$A$3:$I$102,7,FALSE),main!$K$26:$Q$29,5,FALSE)),1,0)</f>
        <v>0</v>
      </c>
      <c r="BR274">
        <f>IF(AND(VLOOKUP(BR$1,main!$A$3:$H$102,7,FALSE)=main!$G$105,VLOOKUP(BR$1,main!$A$3:$H$102,5,FALSE)-VLOOKUP($A274,main!$A$3:$H$102,6,FALSE)&gt;=main!$D$103+VLOOKUP(VLOOKUP(BR$1,main!$A$3:$I$102,7,FALSE),main!$K$26:$Q$29,5,FALSE)),1,0)</f>
        <v>0</v>
      </c>
      <c r="BS274">
        <f>IF(AND(VLOOKUP(BS$1,main!$A$3:$H$102,7,FALSE)=main!$G$105,VLOOKUP(BS$1,main!$A$3:$H$102,5,FALSE)-VLOOKUP($A274,main!$A$3:$H$102,6,FALSE)&gt;=main!$D$103+VLOOKUP(VLOOKUP(BS$1,main!$A$3:$I$102,7,FALSE),main!$K$26:$Q$29,5,FALSE)),1,0)</f>
        <v>0</v>
      </c>
      <c r="BT274">
        <f>IF(AND(VLOOKUP(BT$1,main!$A$3:$H$102,7,FALSE)=main!$G$105,VLOOKUP(BT$1,main!$A$3:$H$102,5,FALSE)-VLOOKUP($A274,main!$A$3:$H$102,6,FALSE)&gt;=main!$D$103+VLOOKUP(VLOOKUP(BT$1,main!$A$3:$I$102,7,FALSE),main!$K$26:$Q$29,5,FALSE)),1,0)</f>
        <v>0</v>
      </c>
      <c r="BU274">
        <f>IF(AND(VLOOKUP(BU$1,main!$A$3:$H$102,7,FALSE)=main!$G$105,VLOOKUP(BU$1,main!$A$3:$H$102,5,FALSE)-VLOOKUP($A274,main!$A$3:$H$102,6,FALSE)&gt;=main!$D$103+VLOOKUP(VLOOKUP(BU$1,main!$A$3:$I$102,7,FALSE),main!$K$26:$Q$29,5,FALSE)),1,0)</f>
        <v>0</v>
      </c>
      <c r="BV274">
        <f>IF(AND(VLOOKUP(BV$1,main!$A$3:$H$102,7,FALSE)=main!$G$105,VLOOKUP(BV$1,main!$A$3:$H$102,5,FALSE)-VLOOKUP($A274,main!$A$3:$H$102,6,FALSE)&gt;=main!$D$103+VLOOKUP(VLOOKUP(BV$1,main!$A$3:$I$102,7,FALSE),main!$K$26:$Q$29,5,FALSE)),1,0)</f>
        <v>0</v>
      </c>
      <c r="BW274">
        <f>IF(AND(VLOOKUP(BW$1,main!$A$3:$H$102,7,FALSE)=main!$G$105,VLOOKUP(BW$1,main!$A$3:$H$102,5,FALSE)-VLOOKUP($A274,main!$A$3:$H$102,6,FALSE)&gt;=main!$D$103+VLOOKUP(VLOOKUP(BW$1,main!$A$3:$I$102,7,FALSE),main!$K$26:$Q$29,5,FALSE)),1,0)</f>
        <v>0</v>
      </c>
      <c r="BX274">
        <f>IF(AND(VLOOKUP(BX$1,main!$A$3:$H$102,7,FALSE)=main!$G$105,VLOOKUP(BX$1,main!$A$3:$H$102,5,FALSE)-VLOOKUP($A274,main!$A$3:$H$102,6,FALSE)&gt;=main!$D$103+VLOOKUP(VLOOKUP(BX$1,main!$A$3:$I$102,7,FALSE),main!$K$26:$Q$29,5,FALSE)),1,0)</f>
        <v>0</v>
      </c>
      <c r="BY274">
        <f>IF(AND(VLOOKUP(BY$1,main!$A$3:$H$102,7,FALSE)=main!$G$105,VLOOKUP(BY$1,main!$A$3:$H$102,5,FALSE)-VLOOKUP($A274,main!$A$3:$H$102,6,FALSE)&gt;=main!$D$103+VLOOKUP(VLOOKUP(BY$1,main!$A$3:$I$102,7,FALSE),main!$K$26:$Q$29,5,FALSE)),1,0)</f>
        <v>0</v>
      </c>
      <c r="BZ274">
        <f>IF(AND(VLOOKUP(BZ$1,main!$A$3:$H$102,7,FALSE)=main!$G$105,VLOOKUP(BZ$1,main!$A$3:$H$102,5,FALSE)-VLOOKUP($A274,main!$A$3:$H$102,6,FALSE)&gt;=main!$D$103+VLOOKUP(VLOOKUP(BZ$1,main!$A$3:$I$102,7,FALSE),main!$K$26:$Q$29,5,FALSE)),1,0)</f>
        <v>0</v>
      </c>
      <c r="CA274">
        <f>IF(AND(VLOOKUP(CA$1,main!$A$3:$H$102,7,FALSE)=main!$G$105,VLOOKUP(CA$1,main!$A$3:$H$102,5,FALSE)-VLOOKUP($A274,main!$A$3:$H$102,6,FALSE)&gt;=main!$D$103+VLOOKUP(VLOOKUP(CA$1,main!$A$3:$I$102,7,FALSE),main!$K$26:$Q$29,5,FALSE)),1,0)</f>
        <v>0</v>
      </c>
      <c r="CB274">
        <f>IF(AND(VLOOKUP(CB$1,main!$A$3:$H$102,7,FALSE)=main!$G$105,VLOOKUP(CB$1,main!$A$3:$H$102,5,FALSE)-VLOOKUP($A274,main!$A$3:$H$102,6,FALSE)&gt;=main!$D$103+VLOOKUP(VLOOKUP(CB$1,main!$A$3:$I$102,7,FALSE),main!$K$26:$Q$29,5,FALSE)),1,0)</f>
        <v>0</v>
      </c>
      <c r="CC274">
        <f>IF(AND(VLOOKUP(CC$1,main!$A$3:$H$102,7,FALSE)=main!$G$105,VLOOKUP(CC$1,main!$A$3:$H$102,5,FALSE)-VLOOKUP($A274,main!$A$3:$H$102,6,FALSE)&gt;=main!$D$103+VLOOKUP(VLOOKUP(CC$1,main!$A$3:$I$102,7,FALSE),main!$K$26:$Q$29,5,FALSE)),1,0)</f>
        <v>0</v>
      </c>
      <c r="CD274">
        <f>IF(AND(VLOOKUP(CD$1,main!$A$3:$H$102,7,FALSE)=main!$G$105,VLOOKUP(CD$1,main!$A$3:$H$102,5,FALSE)-VLOOKUP($A274,main!$A$3:$H$102,6,FALSE)&gt;=main!$D$103+VLOOKUP(VLOOKUP(CD$1,main!$A$3:$I$102,7,FALSE),main!$K$26:$Q$29,5,FALSE)),1,0)</f>
        <v>0</v>
      </c>
      <c r="CE274">
        <f>IF(AND(VLOOKUP(CE$1,main!$A$3:$H$102,7,FALSE)=main!$G$105,VLOOKUP(CE$1,main!$A$3:$H$102,5,FALSE)-VLOOKUP($A274,main!$A$3:$H$102,6,FALSE)&gt;=main!$D$103+VLOOKUP(VLOOKUP(CE$1,main!$A$3:$I$102,7,FALSE),main!$K$26:$Q$29,5,FALSE)),1,0)</f>
        <v>0</v>
      </c>
      <c r="CF274">
        <f>IF(AND(VLOOKUP(CF$1,main!$A$3:$H$102,7,FALSE)=main!$G$105,VLOOKUP(CF$1,main!$A$3:$H$102,5,FALSE)-VLOOKUP($A274,main!$A$3:$H$102,6,FALSE)&gt;=main!$D$103+VLOOKUP(VLOOKUP(CF$1,main!$A$3:$I$102,7,FALSE),main!$K$26:$Q$29,5,FALSE)),1,0)</f>
        <v>0</v>
      </c>
      <c r="CG274">
        <f>IF(AND(VLOOKUP(CG$1,main!$A$3:$H$102,7,FALSE)=main!$G$105,VLOOKUP(CG$1,main!$A$3:$H$102,5,FALSE)-VLOOKUP($A274,main!$A$3:$H$102,6,FALSE)&gt;=main!$D$103+VLOOKUP(VLOOKUP(CG$1,main!$A$3:$I$102,7,FALSE),main!$K$26:$Q$29,5,FALSE)),1,0)</f>
        <v>0</v>
      </c>
      <c r="CH274">
        <f>IF(AND(VLOOKUP(CH$1,main!$A$3:$H$102,7,FALSE)=main!$G$105,VLOOKUP(CH$1,main!$A$3:$H$102,5,FALSE)-VLOOKUP($A274,main!$A$3:$H$102,6,FALSE)&gt;=main!$D$103+VLOOKUP(VLOOKUP(CH$1,main!$A$3:$I$102,7,FALSE),main!$K$26:$Q$29,5,FALSE)),1,0)</f>
        <v>0</v>
      </c>
      <c r="CI274">
        <f>IF(AND(VLOOKUP(CI$1,main!$A$3:$H$102,7,FALSE)=main!$G$105,VLOOKUP(CI$1,main!$A$3:$H$102,5,FALSE)-VLOOKUP($A274,main!$A$3:$H$102,6,FALSE)&gt;=main!$D$103+VLOOKUP(VLOOKUP(CI$1,main!$A$3:$I$102,7,FALSE),main!$K$26:$Q$29,5,FALSE)),1,0)</f>
        <v>0</v>
      </c>
      <c r="CJ274">
        <f>IF(AND(VLOOKUP(CJ$1,main!$A$3:$H$102,7,FALSE)=main!$G$105,VLOOKUP(CJ$1,main!$A$3:$H$102,5,FALSE)-VLOOKUP($A274,main!$A$3:$H$102,6,FALSE)&gt;=main!$D$103+VLOOKUP(VLOOKUP(CJ$1,main!$A$3:$I$102,7,FALSE),main!$K$26:$Q$29,5,FALSE)),1,0)</f>
        <v>0</v>
      </c>
      <c r="CK274">
        <f>IF(AND(VLOOKUP(CK$1,main!$A$3:$H$102,7,FALSE)=main!$G$105,VLOOKUP(CK$1,main!$A$3:$H$102,5,FALSE)-VLOOKUP($A274,main!$A$3:$H$102,6,FALSE)&gt;=main!$D$103+VLOOKUP(VLOOKUP(CK$1,main!$A$3:$I$102,7,FALSE),main!$K$26:$Q$29,5,FALSE)),1,0)</f>
        <v>0</v>
      </c>
      <c r="CL274">
        <f>IF(AND(VLOOKUP(CL$1,main!$A$3:$H$102,7,FALSE)=main!$G$105,VLOOKUP(CL$1,main!$A$3:$H$102,5,FALSE)-VLOOKUP($A274,main!$A$3:$H$102,6,FALSE)&gt;=main!$D$103+VLOOKUP(VLOOKUP(CL$1,main!$A$3:$I$102,7,FALSE),main!$K$26:$Q$29,5,FALSE)),1,0)</f>
        <v>0</v>
      </c>
      <c r="CM274">
        <f>IF(AND(VLOOKUP(CM$1,main!$A$3:$H$102,7,FALSE)=main!$G$105,VLOOKUP(CM$1,main!$A$3:$H$102,5,FALSE)-VLOOKUP($A274,main!$A$3:$H$102,6,FALSE)&gt;=main!$D$103+VLOOKUP(VLOOKUP(CM$1,main!$A$3:$I$102,7,FALSE),main!$K$26:$Q$29,5,FALSE)),1,0)</f>
        <v>0</v>
      </c>
      <c r="CN274">
        <f>IF(AND(VLOOKUP(CN$1,main!$A$3:$H$102,7,FALSE)=main!$G$105,VLOOKUP(CN$1,main!$A$3:$H$102,5,FALSE)-VLOOKUP($A274,main!$A$3:$H$102,6,FALSE)&gt;=main!$D$103+VLOOKUP(VLOOKUP(CN$1,main!$A$3:$I$102,7,FALSE),main!$K$26:$Q$29,5,FALSE)),1,0)</f>
        <v>0</v>
      </c>
      <c r="CO274">
        <f>IF(AND(VLOOKUP(CO$1,main!$A$3:$H$102,7,FALSE)=main!$G$105,VLOOKUP(CO$1,main!$A$3:$H$102,5,FALSE)-VLOOKUP($A274,main!$A$3:$H$102,6,FALSE)&gt;=main!$D$103+VLOOKUP(VLOOKUP(CO$1,main!$A$3:$I$102,7,FALSE),main!$K$26:$Q$29,5,FALSE)),1,0)</f>
        <v>0</v>
      </c>
      <c r="CP274">
        <f>IF(AND(VLOOKUP(CP$1,main!$A$3:$H$102,7,FALSE)=main!$G$105,VLOOKUP(CP$1,main!$A$3:$H$102,5,FALSE)-VLOOKUP($A274,main!$A$3:$H$102,6,FALSE)&gt;=main!$D$103+VLOOKUP(VLOOKUP(CP$1,main!$A$3:$I$102,7,FALSE),main!$K$26:$Q$29,5,FALSE)),1,0)</f>
        <v>0</v>
      </c>
      <c r="CQ274">
        <f>IF(AND(VLOOKUP(CQ$1,main!$A$3:$H$102,7,FALSE)=main!$G$105,VLOOKUP(CQ$1,main!$A$3:$H$102,5,FALSE)-VLOOKUP($A274,main!$A$3:$H$102,6,FALSE)&gt;=main!$D$103+VLOOKUP(VLOOKUP(CQ$1,main!$A$3:$I$102,7,FALSE),main!$K$26:$Q$29,5,FALSE)),1,0)</f>
        <v>0</v>
      </c>
      <c r="CR274">
        <f>IF(AND(VLOOKUP(CR$1,main!$A$3:$H$102,7,FALSE)=main!$G$105,VLOOKUP(CR$1,main!$A$3:$H$102,5,FALSE)-VLOOKUP($A274,main!$A$3:$H$102,6,FALSE)&gt;=main!$D$103+VLOOKUP(VLOOKUP(CR$1,main!$A$3:$I$102,7,FALSE),main!$K$26:$Q$29,5,FALSE)),1,0)</f>
        <v>0</v>
      </c>
      <c r="CS274">
        <f>IF(AND(VLOOKUP(CS$1,main!$A$3:$H$102,7,FALSE)=main!$G$105,VLOOKUP(CS$1,main!$A$3:$H$102,5,FALSE)-VLOOKUP($A274,main!$A$3:$H$102,6,FALSE)&gt;=main!$D$103+VLOOKUP(VLOOKUP(CS$1,main!$A$3:$I$102,7,FALSE),main!$K$26:$Q$29,5,FALSE)),1,0)</f>
        <v>0</v>
      </c>
      <c r="CT274">
        <f>IF(AND(VLOOKUP(CT$1,main!$A$3:$H$102,7,FALSE)=main!$G$105,VLOOKUP(CT$1,main!$A$3:$H$102,5,FALSE)-VLOOKUP($A274,main!$A$3:$H$102,6,FALSE)&gt;=main!$D$103+VLOOKUP(VLOOKUP(CT$1,main!$A$3:$I$102,7,FALSE),main!$K$26:$Q$29,5,FALSE)),1,0)</f>
        <v>0</v>
      </c>
      <c r="CU274">
        <f>IF(AND(VLOOKUP(CU$1,main!$A$3:$H$102,7,FALSE)=main!$G$105,VLOOKUP(CU$1,main!$A$3:$H$102,5,FALSE)-VLOOKUP($A274,main!$A$3:$H$102,6,FALSE)&gt;=main!$D$103+VLOOKUP(VLOOKUP(CU$1,main!$A$3:$I$102,7,FALSE),main!$K$26:$Q$29,5,FALSE)),1,0)</f>
        <v>0</v>
      </c>
      <c r="CV274">
        <f>IF(AND(VLOOKUP(CV$1,main!$A$3:$H$102,7,FALSE)=main!$G$105,VLOOKUP(CV$1,main!$A$3:$H$102,5,FALSE)-VLOOKUP($A274,main!$A$3:$H$102,6,FALSE)&gt;=main!$D$103+VLOOKUP(VLOOKUP(CV$1,main!$A$3:$I$102,7,FALSE),main!$K$26:$Q$29,5,FALSE)),1,0)</f>
        <v>0</v>
      </c>
      <c r="CW274">
        <f>IF(AND(VLOOKUP(CW$1,main!$A$3:$H$102,7,FALSE)=main!$G$105,VLOOKUP(CW$1,main!$A$3:$H$102,5,FALSE)-VLOOKUP($A274,main!$A$3:$H$102,6,FALSE)&gt;=main!$D$103+VLOOKUP(VLOOKUP(CW$1,main!$A$3:$I$102,7,FALSE),main!$K$26:$Q$29,5,FALSE)),1,0)</f>
        <v>0</v>
      </c>
      <c r="CX274">
        <f>IF(AND(VLOOKUP(CX$1,main!$A$3:$H$102,7,FALSE)=main!$G$105,VLOOKUP(CX$1,main!$A$3:$H$102,5,FALSE)-VLOOKUP($A274,main!$A$3:$H$102,6,FALSE)&gt;=main!$D$103+VLOOKUP(VLOOKUP(CX$1,main!$A$3:$I$102,7,FALSE),main!$K$26:$Q$29,5,FALSE)),1,0)</f>
        <v>0</v>
      </c>
    </row>
    <row r="275" spans="1:102" x14ac:dyDescent="0.25">
      <c r="A275" s="1">
        <v>71</v>
      </c>
      <c r="B275">
        <v>0</v>
      </c>
      <c r="C275">
        <f>IF(AND(VLOOKUP(C$1,main!$A$3:$H$102,7,FALSE)=main!$G$105,VLOOKUP(C$1,main!$A$3:$H$102,5,FALSE)-VLOOKUP($A275,main!$A$3:$H$102,6,FALSE)&gt;=main!$D$103+VLOOKUP(VLOOKUP(C$1,main!$A$3:$I$102,7,FALSE),main!$K$26:$Q$29,5,FALSE)),1,0)</f>
        <v>0</v>
      </c>
      <c r="D275">
        <f>IF(AND(VLOOKUP(D$1,main!$A$3:$H$102,7,FALSE)=main!$G$105,VLOOKUP(D$1,main!$A$3:$H$102,5,FALSE)-VLOOKUP($A275,main!$A$3:$H$102,6,FALSE)&gt;=main!$D$103+VLOOKUP(VLOOKUP(D$1,main!$A$3:$I$102,7,FALSE),main!$K$26:$Q$29,5,FALSE)),1,0)</f>
        <v>0</v>
      </c>
      <c r="E275">
        <f>IF(AND(VLOOKUP(E$1,main!$A$3:$H$102,7,FALSE)=main!$G$105,VLOOKUP(E$1,main!$A$3:$H$102,5,FALSE)-VLOOKUP($A275,main!$A$3:$H$102,6,FALSE)&gt;=main!$D$103+VLOOKUP(VLOOKUP(E$1,main!$A$3:$I$102,7,FALSE),main!$K$26:$Q$29,5,FALSE)),1,0)</f>
        <v>0</v>
      </c>
      <c r="F275">
        <f>IF(AND(VLOOKUP(F$1,main!$A$3:$H$102,7,FALSE)=main!$G$105,VLOOKUP(F$1,main!$A$3:$H$102,5,FALSE)-VLOOKUP($A275,main!$A$3:$H$102,6,FALSE)&gt;=main!$D$103+VLOOKUP(VLOOKUP(F$1,main!$A$3:$I$102,7,FALSE),main!$K$26:$Q$29,5,FALSE)),1,0)</f>
        <v>0</v>
      </c>
      <c r="G275">
        <f>IF(AND(VLOOKUP(G$1,main!$A$3:$H$102,7,FALSE)=main!$G$105,VLOOKUP(G$1,main!$A$3:$H$102,5,FALSE)-VLOOKUP($A275,main!$A$3:$H$102,6,FALSE)&gt;=main!$D$103+VLOOKUP(VLOOKUP(G$1,main!$A$3:$I$102,7,FALSE),main!$K$26:$Q$29,5,FALSE)),1,0)</f>
        <v>0</v>
      </c>
      <c r="H275">
        <f>IF(AND(VLOOKUP(H$1,main!$A$3:$H$102,7,FALSE)=main!$G$105,VLOOKUP(H$1,main!$A$3:$H$102,5,FALSE)-VLOOKUP($A275,main!$A$3:$H$102,6,FALSE)&gt;=main!$D$103+VLOOKUP(VLOOKUP(H$1,main!$A$3:$I$102,7,FALSE),main!$K$26:$Q$29,5,FALSE)),1,0)</f>
        <v>0</v>
      </c>
      <c r="I275">
        <f>IF(AND(VLOOKUP(I$1,main!$A$3:$H$102,7,FALSE)=main!$G$105,VLOOKUP(I$1,main!$A$3:$H$102,5,FALSE)-VLOOKUP($A275,main!$A$3:$H$102,6,FALSE)&gt;=main!$D$103+VLOOKUP(VLOOKUP(I$1,main!$A$3:$I$102,7,FALSE),main!$K$26:$Q$29,5,FALSE)),1,0)</f>
        <v>0</v>
      </c>
      <c r="J275">
        <f>IF(AND(VLOOKUP(J$1,main!$A$3:$H$102,7,FALSE)=main!$G$105,VLOOKUP(J$1,main!$A$3:$H$102,5,FALSE)-VLOOKUP($A275,main!$A$3:$H$102,6,FALSE)&gt;=main!$D$103+VLOOKUP(VLOOKUP(J$1,main!$A$3:$I$102,7,FALSE),main!$K$26:$Q$29,5,FALSE)),1,0)</f>
        <v>0</v>
      </c>
      <c r="K275">
        <f>IF(AND(VLOOKUP(K$1,main!$A$3:$H$102,7,FALSE)=main!$G$105,VLOOKUP(K$1,main!$A$3:$H$102,5,FALSE)-VLOOKUP($A275,main!$A$3:$H$102,6,FALSE)&gt;=main!$D$103+VLOOKUP(VLOOKUP(K$1,main!$A$3:$I$102,7,FALSE),main!$K$26:$Q$29,5,FALSE)),1,0)</f>
        <v>0</v>
      </c>
      <c r="L275">
        <f>IF(AND(VLOOKUP(L$1,main!$A$3:$H$102,7,FALSE)=main!$G$105,VLOOKUP(L$1,main!$A$3:$H$102,5,FALSE)-VLOOKUP($A275,main!$A$3:$H$102,6,FALSE)&gt;=main!$D$103+VLOOKUP(VLOOKUP(L$1,main!$A$3:$I$102,7,FALSE),main!$K$26:$Q$29,5,FALSE)),1,0)</f>
        <v>0</v>
      </c>
      <c r="M275">
        <f>IF(AND(VLOOKUP(M$1,main!$A$3:$H$102,7,FALSE)=main!$G$105,VLOOKUP(M$1,main!$A$3:$H$102,5,FALSE)-VLOOKUP($A275,main!$A$3:$H$102,6,FALSE)&gt;=main!$D$103+VLOOKUP(VLOOKUP(M$1,main!$A$3:$I$102,7,FALSE),main!$K$26:$Q$29,5,FALSE)),1,0)</f>
        <v>0</v>
      </c>
      <c r="N275">
        <f>IF(AND(VLOOKUP(N$1,main!$A$3:$H$102,7,FALSE)=main!$G$105,VLOOKUP(N$1,main!$A$3:$H$102,5,FALSE)-VLOOKUP($A275,main!$A$3:$H$102,6,FALSE)&gt;=main!$D$103+VLOOKUP(VLOOKUP(N$1,main!$A$3:$I$102,7,FALSE),main!$K$26:$Q$29,5,FALSE)),1,0)</f>
        <v>0</v>
      </c>
      <c r="O275">
        <f>IF(AND(VLOOKUP(O$1,main!$A$3:$H$102,7,FALSE)=main!$G$105,VLOOKUP(O$1,main!$A$3:$H$102,5,FALSE)-VLOOKUP($A275,main!$A$3:$H$102,6,FALSE)&gt;=main!$D$103+VLOOKUP(VLOOKUP(O$1,main!$A$3:$I$102,7,FALSE),main!$K$26:$Q$29,5,FALSE)),1,0)</f>
        <v>0</v>
      </c>
      <c r="P275">
        <f>IF(AND(VLOOKUP(P$1,main!$A$3:$H$102,7,FALSE)=main!$G$105,VLOOKUP(P$1,main!$A$3:$H$102,5,FALSE)-VLOOKUP($A275,main!$A$3:$H$102,6,FALSE)&gt;=main!$D$103+VLOOKUP(VLOOKUP(P$1,main!$A$3:$I$102,7,FALSE),main!$K$26:$Q$29,5,FALSE)),1,0)</f>
        <v>0</v>
      </c>
      <c r="Q275">
        <f>IF(AND(VLOOKUP(Q$1,main!$A$3:$H$102,7,FALSE)=main!$G$105,VLOOKUP(Q$1,main!$A$3:$H$102,5,FALSE)-VLOOKUP($A275,main!$A$3:$H$102,6,FALSE)&gt;=main!$D$103+VLOOKUP(VLOOKUP(Q$1,main!$A$3:$I$102,7,FALSE),main!$K$26:$Q$29,5,FALSE)),1,0)</f>
        <v>0</v>
      </c>
      <c r="R275">
        <f>IF(AND(VLOOKUP(R$1,main!$A$3:$H$102,7,FALSE)=main!$G$105,VLOOKUP(R$1,main!$A$3:$H$102,5,FALSE)-VLOOKUP($A275,main!$A$3:$H$102,6,FALSE)&gt;=main!$D$103+VLOOKUP(VLOOKUP(R$1,main!$A$3:$I$102,7,FALSE),main!$K$26:$Q$29,5,FALSE)),1,0)</f>
        <v>0</v>
      </c>
      <c r="S275">
        <f>IF(AND(VLOOKUP(S$1,main!$A$3:$H$102,7,FALSE)=main!$G$105,VLOOKUP(S$1,main!$A$3:$H$102,5,FALSE)-VLOOKUP($A275,main!$A$3:$H$102,6,FALSE)&gt;=main!$D$103+VLOOKUP(VLOOKUP(S$1,main!$A$3:$I$102,7,FALSE),main!$K$26:$Q$29,5,FALSE)),1,0)</f>
        <v>0</v>
      </c>
      <c r="T275">
        <f>IF(AND(VLOOKUP(T$1,main!$A$3:$H$102,7,FALSE)=main!$G$105,VLOOKUP(T$1,main!$A$3:$H$102,5,FALSE)-VLOOKUP($A275,main!$A$3:$H$102,6,FALSE)&gt;=main!$D$103+VLOOKUP(VLOOKUP(T$1,main!$A$3:$I$102,7,FALSE),main!$K$26:$Q$29,5,FALSE)),1,0)</f>
        <v>0</v>
      </c>
      <c r="U275">
        <f>IF(AND(VLOOKUP(U$1,main!$A$3:$H$102,7,FALSE)=main!$G$105,VLOOKUP(U$1,main!$A$3:$H$102,5,FALSE)-VLOOKUP($A275,main!$A$3:$H$102,6,FALSE)&gt;=main!$D$103+VLOOKUP(VLOOKUP(U$1,main!$A$3:$I$102,7,FALSE),main!$K$26:$Q$29,5,FALSE)),1,0)</f>
        <v>0</v>
      </c>
      <c r="V275">
        <f>IF(AND(VLOOKUP(V$1,main!$A$3:$H$102,7,FALSE)=main!$G$105,VLOOKUP(V$1,main!$A$3:$H$102,5,FALSE)-VLOOKUP($A275,main!$A$3:$H$102,6,FALSE)&gt;=main!$D$103+VLOOKUP(VLOOKUP(V$1,main!$A$3:$I$102,7,FALSE),main!$K$26:$Q$29,5,FALSE)),1,0)</f>
        <v>0</v>
      </c>
      <c r="W275">
        <f>IF(AND(VLOOKUP(W$1,main!$A$3:$H$102,7,FALSE)=main!$G$105,VLOOKUP(W$1,main!$A$3:$H$102,5,FALSE)-VLOOKUP($A275,main!$A$3:$H$102,6,FALSE)&gt;=main!$D$103+VLOOKUP(VLOOKUP(W$1,main!$A$3:$I$102,7,FALSE),main!$K$26:$Q$29,5,FALSE)),1,0)</f>
        <v>0</v>
      </c>
      <c r="X275">
        <f>IF(AND(VLOOKUP(X$1,main!$A$3:$H$102,7,FALSE)=main!$G$105,VLOOKUP(X$1,main!$A$3:$H$102,5,FALSE)-VLOOKUP($A275,main!$A$3:$H$102,6,FALSE)&gt;=main!$D$103+VLOOKUP(VLOOKUP(X$1,main!$A$3:$I$102,7,FALSE),main!$K$26:$Q$29,5,FALSE)),1,0)</f>
        <v>0</v>
      </c>
      <c r="Y275">
        <f>IF(AND(VLOOKUP(Y$1,main!$A$3:$H$102,7,FALSE)=main!$G$105,VLOOKUP(Y$1,main!$A$3:$H$102,5,FALSE)-VLOOKUP($A275,main!$A$3:$H$102,6,FALSE)&gt;=main!$D$103+VLOOKUP(VLOOKUP(Y$1,main!$A$3:$I$102,7,FALSE),main!$K$26:$Q$29,5,FALSE)),1,0)</f>
        <v>0</v>
      </c>
      <c r="Z275">
        <f>IF(AND(VLOOKUP(Z$1,main!$A$3:$H$102,7,FALSE)=main!$G$105,VLOOKUP(Z$1,main!$A$3:$H$102,5,FALSE)-VLOOKUP($A275,main!$A$3:$H$102,6,FALSE)&gt;=main!$D$103+VLOOKUP(VLOOKUP(Z$1,main!$A$3:$I$102,7,FALSE),main!$K$26:$Q$29,5,FALSE)),1,0)</f>
        <v>0</v>
      </c>
      <c r="AA275">
        <f>IF(AND(VLOOKUP(AA$1,main!$A$3:$H$102,7,FALSE)=main!$G$105,VLOOKUP(AA$1,main!$A$3:$H$102,5,FALSE)-VLOOKUP($A275,main!$A$3:$H$102,6,FALSE)&gt;=main!$D$103+VLOOKUP(VLOOKUP(AA$1,main!$A$3:$I$102,7,FALSE),main!$K$26:$Q$29,5,FALSE)),1,0)</f>
        <v>0</v>
      </c>
      <c r="AB275">
        <f>IF(AND(VLOOKUP(AB$1,main!$A$3:$H$102,7,FALSE)=main!$G$105,VLOOKUP(AB$1,main!$A$3:$H$102,5,FALSE)-VLOOKUP($A275,main!$A$3:$H$102,6,FALSE)&gt;=main!$D$103+VLOOKUP(VLOOKUP(AB$1,main!$A$3:$I$102,7,FALSE),main!$K$26:$Q$29,5,FALSE)),1,0)</f>
        <v>0</v>
      </c>
      <c r="AC275">
        <f>IF(AND(VLOOKUP(AC$1,main!$A$3:$H$102,7,FALSE)=main!$G$105,VLOOKUP(AC$1,main!$A$3:$H$102,5,FALSE)-VLOOKUP($A275,main!$A$3:$H$102,6,FALSE)&gt;=main!$D$103+VLOOKUP(VLOOKUP(AC$1,main!$A$3:$I$102,7,FALSE),main!$K$26:$Q$29,5,FALSE)),1,0)</f>
        <v>0</v>
      </c>
      <c r="AD275">
        <f>IF(AND(VLOOKUP(AD$1,main!$A$3:$H$102,7,FALSE)=main!$G$105,VLOOKUP(AD$1,main!$A$3:$H$102,5,FALSE)-VLOOKUP($A275,main!$A$3:$H$102,6,FALSE)&gt;=main!$D$103+VLOOKUP(VLOOKUP(AD$1,main!$A$3:$I$102,7,FALSE),main!$K$26:$Q$29,5,FALSE)),1,0)</f>
        <v>0</v>
      </c>
      <c r="AE275">
        <f>IF(AND(VLOOKUP(AE$1,main!$A$3:$H$102,7,FALSE)=main!$G$105,VLOOKUP(AE$1,main!$A$3:$H$102,5,FALSE)-VLOOKUP($A275,main!$A$3:$H$102,6,FALSE)&gt;=main!$D$103+VLOOKUP(VLOOKUP(AE$1,main!$A$3:$I$102,7,FALSE),main!$K$26:$Q$29,5,FALSE)),1,0)</f>
        <v>0</v>
      </c>
      <c r="AF275">
        <f>IF(AND(VLOOKUP(AF$1,main!$A$3:$H$102,7,FALSE)=main!$G$105,VLOOKUP(AF$1,main!$A$3:$H$102,5,FALSE)-VLOOKUP($A275,main!$A$3:$H$102,6,FALSE)&gt;=main!$D$103+VLOOKUP(VLOOKUP(AF$1,main!$A$3:$I$102,7,FALSE),main!$K$26:$Q$29,5,FALSE)),1,0)</f>
        <v>0</v>
      </c>
      <c r="AG275">
        <f>IF(AND(VLOOKUP(AG$1,main!$A$3:$H$102,7,FALSE)=main!$G$105,VLOOKUP(AG$1,main!$A$3:$H$102,5,FALSE)-VLOOKUP($A275,main!$A$3:$H$102,6,FALSE)&gt;=main!$D$103+VLOOKUP(VLOOKUP(AG$1,main!$A$3:$I$102,7,FALSE),main!$K$26:$Q$29,5,FALSE)),1,0)</f>
        <v>0</v>
      </c>
      <c r="AH275">
        <f>IF(AND(VLOOKUP(AH$1,main!$A$3:$H$102,7,FALSE)=main!$G$105,VLOOKUP(AH$1,main!$A$3:$H$102,5,FALSE)-VLOOKUP($A275,main!$A$3:$H$102,6,FALSE)&gt;=main!$D$103+VLOOKUP(VLOOKUP(AH$1,main!$A$3:$I$102,7,FALSE),main!$K$26:$Q$29,5,FALSE)),1,0)</f>
        <v>0</v>
      </c>
      <c r="AI275">
        <f>IF(AND(VLOOKUP(AI$1,main!$A$3:$H$102,7,FALSE)=main!$G$105,VLOOKUP(AI$1,main!$A$3:$H$102,5,FALSE)-VLOOKUP($A275,main!$A$3:$H$102,6,FALSE)&gt;=main!$D$103+VLOOKUP(VLOOKUP(AI$1,main!$A$3:$I$102,7,FALSE),main!$K$26:$Q$29,5,FALSE)),1,0)</f>
        <v>1</v>
      </c>
      <c r="AJ275">
        <f>IF(AND(VLOOKUP(AJ$1,main!$A$3:$H$102,7,FALSE)=main!$G$105,VLOOKUP(AJ$1,main!$A$3:$H$102,5,FALSE)-VLOOKUP($A275,main!$A$3:$H$102,6,FALSE)&gt;=main!$D$103+VLOOKUP(VLOOKUP(AJ$1,main!$A$3:$I$102,7,FALSE),main!$K$26:$Q$29,5,FALSE)),1,0)</f>
        <v>1</v>
      </c>
      <c r="AK275">
        <f>IF(AND(VLOOKUP(AK$1,main!$A$3:$H$102,7,FALSE)=main!$G$105,VLOOKUP(AK$1,main!$A$3:$H$102,5,FALSE)-VLOOKUP($A275,main!$A$3:$H$102,6,FALSE)&gt;=main!$D$103+VLOOKUP(VLOOKUP(AK$1,main!$A$3:$I$102,7,FALSE),main!$K$26:$Q$29,5,FALSE)),1,0)</f>
        <v>1</v>
      </c>
      <c r="AL275">
        <f>IF(AND(VLOOKUP(AL$1,main!$A$3:$H$102,7,FALSE)=main!$G$105,VLOOKUP(AL$1,main!$A$3:$H$102,5,FALSE)-VLOOKUP($A275,main!$A$3:$H$102,6,FALSE)&gt;=main!$D$103+VLOOKUP(VLOOKUP(AL$1,main!$A$3:$I$102,7,FALSE),main!$K$26:$Q$29,5,FALSE)),1,0)</f>
        <v>1</v>
      </c>
      <c r="AM275">
        <f>IF(AND(VLOOKUP(AM$1,main!$A$3:$H$102,7,FALSE)=main!$G$105,VLOOKUP(AM$1,main!$A$3:$H$102,5,FALSE)-VLOOKUP($A275,main!$A$3:$H$102,6,FALSE)&gt;=main!$D$103+VLOOKUP(VLOOKUP(AM$1,main!$A$3:$I$102,7,FALSE),main!$K$26:$Q$29,5,FALSE)),1,0)</f>
        <v>1</v>
      </c>
      <c r="AN275">
        <f>IF(AND(VLOOKUP(AN$1,main!$A$3:$H$102,7,FALSE)=main!$G$105,VLOOKUP(AN$1,main!$A$3:$H$102,5,FALSE)-VLOOKUP($A275,main!$A$3:$H$102,6,FALSE)&gt;=main!$D$103+VLOOKUP(VLOOKUP(AN$1,main!$A$3:$I$102,7,FALSE),main!$K$26:$Q$29,5,FALSE)),1,0)</f>
        <v>1</v>
      </c>
      <c r="AO275">
        <f>IF(AND(VLOOKUP(AO$1,main!$A$3:$H$102,7,FALSE)=main!$G$105,VLOOKUP(AO$1,main!$A$3:$H$102,5,FALSE)-VLOOKUP($A275,main!$A$3:$H$102,6,FALSE)&gt;=main!$D$103+VLOOKUP(VLOOKUP(AO$1,main!$A$3:$I$102,7,FALSE),main!$K$26:$Q$29,5,FALSE)),1,0)</f>
        <v>0</v>
      </c>
      <c r="AP275">
        <f>IF(AND(VLOOKUP(AP$1,main!$A$3:$H$102,7,FALSE)=main!$G$105,VLOOKUP(AP$1,main!$A$3:$H$102,5,FALSE)-VLOOKUP($A275,main!$A$3:$H$102,6,FALSE)&gt;=main!$D$103+VLOOKUP(VLOOKUP(AP$1,main!$A$3:$I$102,7,FALSE),main!$K$26:$Q$29,5,FALSE)),1,0)</f>
        <v>1</v>
      </c>
      <c r="AQ275">
        <f>IF(AND(VLOOKUP(AQ$1,main!$A$3:$H$102,7,FALSE)=main!$G$105,VLOOKUP(AQ$1,main!$A$3:$H$102,5,FALSE)-VLOOKUP($A275,main!$A$3:$H$102,6,FALSE)&gt;=main!$D$103+VLOOKUP(VLOOKUP(AQ$1,main!$A$3:$I$102,7,FALSE),main!$K$26:$Q$29,5,FALSE)),1,0)</f>
        <v>0</v>
      </c>
      <c r="AR275">
        <f>IF(AND(VLOOKUP(AR$1,main!$A$3:$H$102,7,FALSE)=main!$G$105,VLOOKUP(AR$1,main!$A$3:$H$102,5,FALSE)-VLOOKUP($A275,main!$A$3:$H$102,6,FALSE)&gt;=main!$D$103+VLOOKUP(VLOOKUP(AR$1,main!$A$3:$I$102,7,FALSE),main!$K$26:$Q$29,5,FALSE)),1,0)</f>
        <v>0</v>
      </c>
      <c r="AS275">
        <f>IF(AND(VLOOKUP(AS$1,main!$A$3:$H$102,7,FALSE)=main!$G$105,VLOOKUP(AS$1,main!$A$3:$H$102,5,FALSE)-VLOOKUP($A275,main!$A$3:$H$102,6,FALSE)&gt;=main!$D$103+VLOOKUP(VLOOKUP(AS$1,main!$A$3:$I$102,7,FALSE),main!$K$26:$Q$29,5,FALSE)),1,0)</f>
        <v>1</v>
      </c>
      <c r="AT275">
        <f>IF(AND(VLOOKUP(AT$1,main!$A$3:$H$102,7,FALSE)=main!$G$105,VLOOKUP(AT$1,main!$A$3:$H$102,5,FALSE)-VLOOKUP($A275,main!$A$3:$H$102,6,FALSE)&gt;=main!$D$103+VLOOKUP(VLOOKUP(AT$1,main!$A$3:$I$102,7,FALSE),main!$K$26:$Q$29,5,FALSE)),1,0)</f>
        <v>1</v>
      </c>
      <c r="AU275">
        <f>IF(AND(VLOOKUP(AU$1,main!$A$3:$H$102,7,FALSE)=main!$G$105,VLOOKUP(AU$1,main!$A$3:$H$102,5,FALSE)-VLOOKUP($A275,main!$A$3:$H$102,6,FALSE)&gt;=main!$D$103+VLOOKUP(VLOOKUP(AU$1,main!$A$3:$I$102,7,FALSE),main!$K$26:$Q$29,5,FALSE)),1,0)</f>
        <v>0</v>
      </c>
      <c r="AV275">
        <f>IF(AND(VLOOKUP(AV$1,main!$A$3:$H$102,7,FALSE)=main!$G$105,VLOOKUP(AV$1,main!$A$3:$H$102,5,FALSE)-VLOOKUP($A275,main!$A$3:$H$102,6,FALSE)&gt;=main!$D$103+VLOOKUP(VLOOKUP(AV$1,main!$A$3:$I$102,7,FALSE),main!$K$26:$Q$29,5,FALSE)),1,0)</f>
        <v>0</v>
      </c>
      <c r="AW275">
        <f>IF(AND(VLOOKUP(AW$1,main!$A$3:$H$102,7,FALSE)=main!$G$105,VLOOKUP(AW$1,main!$A$3:$H$102,5,FALSE)-VLOOKUP($A275,main!$A$3:$H$102,6,FALSE)&gt;=main!$D$103+VLOOKUP(VLOOKUP(AW$1,main!$A$3:$I$102,7,FALSE),main!$K$26:$Q$29,5,FALSE)),1,0)</f>
        <v>1</v>
      </c>
      <c r="AX275">
        <f>IF(AND(VLOOKUP(AX$1,main!$A$3:$H$102,7,FALSE)=main!$G$105,VLOOKUP(AX$1,main!$A$3:$H$102,5,FALSE)-VLOOKUP($A275,main!$A$3:$H$102,6,FALSE)&gt;=main!$D$103+VLOOKUP(VLOOKUP(AX$1,main!$A$3:$I$102,7,FALSE),main!$K$26:$Q$29,5,FALSE)),1,0)</f>
        <v>1</v>
      </c>
      <c r="AY275">
        <f>IF(AND(VLOOKUP(AY$1,main!$A$3:$H$102,7,FALSE)=main!$G$105,VLOOKUP(AY$1,main!$A$3:$H$102,5,FALSE)-VLOOKUP($A275,main!$A$3:$H$102,6,FALSE)&gt;=main!$D$103+VLOOKUP(VLOOKUP(AY$1,main!$A$3:$I$102,7,FALSE),main!$K$26:$Q$29,5,FALSE)),1,0)</f>
        <v>0</v>
      </c>
      <c r="AZ275">
        <f>IF(AND(VLOOKUP(AZ$1,main!$A$3:$H$102,7,FALSE)=main!$G$105,VLOOKUP(AZ$1,main!$A$3:$H$102,5,FALSE)-VLOOKUP($A275,main!$A$3:$H$102,6,FALSE)&gt;=main!$D$103+VLOOKUP(VLOOKUP(AZ$1,main!$A$3:$I$102,7,FALSE),main!$K$26:$Q$29,5,FALSE)),1,0)</f>
        <v>1</v>
      </c>
      <c r="BA275">
        <f>IF(AND(VLOOKUP(BA$1,main!$A$3:$H$102,7,FALSE)=main!$G$105,VLOOKUP(BA$1,main!$A$3:$H$102,5,FALSE)-VLOOKUP($A275,main!$A$3:$H$102,6,FALSE)&gt;=main!$D$103+VLOOKUP(VLOOKUP(BA$1,main!$A$3:$I$102,7,FALSE),main!$K$26:$Q$29,5,FALSE)),1,0)</f>
        <v>0</v>
      </c>
      <c r="BB275">
        <f>IF(AND(VLOOKUP(BB$1,main!$A$3:$H$102,7,FALSE)=main!$G$105,VLOOKUP(BB$1,main!$A$3:$H$102,5,FALSE)-VLOOKUP($A275,main!$A$3:$H$102,6,FALSE)&gt;=main!$D$103+VLOOKUP(VLOOKUP(BB$1,main!$A$3:$I$102,7,FALSE),main!$K$26:$Q$29,5,FALSE)),1,0)</f>
        <v>0</v>
      </c>
      <c r="BC275">
        <f>IF(AND(VLOOKUP(BC$1,main!$A$3:$H$102,7,FALSE)=main!$G$105,VLOOKUP(BC$1,main!$A$3:$H$102,5,FALSE)-VLOOKUP($A275,main!$A$3:$H$102,6,FALSE)&gt;=main!$D$103+VLOOKUP(VLOOKUP(BC$1,main!$A$3:$I$102,7,FALSE),main!$K$26:$Q$29,5,FALSE)),1,0)</f>
        <v>0</v>
      </c>
      <c r="BD275">
        <f>IF(AND(VLOOKUP(BD$1,main!$A$3:$H$102,7,FALSE)=main!$G$105,VLOOKUP(BD$1,main!$A$3:$H$102,5,FALSE)-VLOOKUP($A275,main!$A$3:$H$102,6,FALSE)&gt;=main!$D$103+VLOOKUP(VLOOKUP(BD$1,main!$A$3:$I$102,7,FALSE),main!$K$26:$Q$29,5,FALSE)),1,0)</f>
        <v>0</v>
      </c>
      <c r="BE275">
        <f>IF(AND(VLOOKUP(BE$1,main!$A$3:$H$102,7,FALSE)=main!$G$105,VLOOKUP(BE$1,main!$A$3:$H$102,5,FALSE)-VLOOKUP($A275,main!$A$3:$H$102,6,FALSE)&gt;=main!$D$103+VLOOKUP(VLOOKUP(BE$1,main!$A$3:$I$102,7,FALSE),main!$K$26:$Q$29,5,FALSE)),1,0)</f>
        <v>0</v>
      </c>
      <c r="BF275">
        <f>IF(AND(VLOOKUP(BF$1,main!$A$3:$H$102,7,FALSE)=main!$G$105,VLOOKUP(BF$1,main!$A$3:$H$102,5,FALSE)-VLOOKUP($A275,main!$A$3:$H$102,6,FALSE)&gt;=main!$D$103+VLOOKUP(VLOOKUP(BF$1,main!$A$3:$I$102,7,FALSE),main!$K$26:$Q$29,5,FALSE)),1,0)</f>
        <v>0</v>
      </c>
      <c r="BG275">
        <f>IF(AND(VLOOKUP(BG$1,main!$A$3:$H$102,7,FALSE)=main!$G$105,VLOOKUP(BG$1,main!$A$3:$H$102,5,FALSE)-VLOOKUP($A275,main!$A$3:$H$102,6,FALSE)&gt;=main!$D$103+VLOOKUP(VLOOKUP(BG$1,main!$A$3:$I$102,7,FALSE),main!$K$26:$Q$29,5,FALSE)),1,0)</f>
        <v>0</v>
      </c>
      <c r="BH275">
        <f>IF(AND(VLOOKUP(BH$1,main!$A$3:$H$102,7,FALSE)=main!$G$105,VLOOKUP(BH$1,main!$A$3:$H$102,5,FALSE)-VLOOKUP($A275,main!$A$3:$H$102,6,FALSE)&gt;=main!$D$103+VLOOKUP(VLOOKUP(BH$1,main!$A$3:$I$102,7,FALSE),main!$K$26:$Q$29,5,FALSE)),1,0)</f>
        <v>0</v>
      </c>
      <c r="BI275">
        <f>IF(AND(VLOOKUP(BI$1,main!$A$3:$H$102,7,FALSE)=main!$G$105,VLOOKUP(BI$1,main!$A$3:$H$102,5,FALSE)-VLOOKUP($A275,main!$A$3:$H$102,6,FALSE)&gt;=main!$D$103+VLOOKUP(VLOOKUP(BI$1,main!$A$3:$I$102,7,FALSE),main!$K$26:$Q$29,5,FALSE)),1,0)</f>
        <v>0</v>
      </c>
      <c r="BJ275">
        <f>IF(AND(VLOOKUP(BJ$1,main!$A$3:$H$102,7,FALSE)=main!$G$105,VLOOKUP(BJ$1,main!$A$3:$H$102,5,FALSE)-VLOOKUP($A275,main!$A$3:$H$102,6,FALSE)&gt;=main!$D$103+VLOOKUP(VLOOKUP(BJ$1,main!$A$3:$I$102,7,FALSE),main!$K$26:$Q$29,5,FALSE)),1,0)</f>
        <v>0</v>
      </c>
      <c r="BK275">
        <f>IF(AND(VLOOKUP(BK$1,main!$A$3:$H$102,7,FALSE)=main!$G$105,VLOOKUP(BK$1,main!$A$3:$H$102,5,FALSE)-VLOOKUP($A275,main!$A$3:$H$102,6,FALSE)&gt;=main!$D$103+VLOOKUP(VLOOKUP(BK$1,main!$A$3:$I$102,7,FALSE),main!$K$26:$Q$29,5,FALSE)),1,0)</f>
        <v>0</v>
      </c>
      <c r="BL275">
        <f>IF(AND(VLOOKUP(BL$1,main!$A$3:$H$102,7,FALSE)=main!$G$105,VLOOKUP(BL$1,main!$A$3:$H$102,5,FALSE)-VLOOKUP($A275,main!$A$3:$H$102,6,FALSE)&gt;=main!$D$103+VLOOKUP(VLOOKUP(BL$1,main!$A$3:$I$102,7,FALSE),main!$K$26:$Q$29,5,FALSE)),1,0)</f>
        <v>0</v>
      </c>
      <c r="BM275">
        <f>IF(AND(VLOOKUP(BM$1,main!$A$3:$H$102,7,FALSE)=main!$G$105,VLOOKUP(BM$1,main!$A$3:$H$102,5,FALSE)-VLOOKUP($A275,main!$A$3:$H$102,6,FALSE)&gt;=main!$D$103+VLOOKUP(VLOOKUP(BM$1,main!$A$3:$I$102,7,FALSE),main!$K$26:$Q$29,5,FALSE)),1,0)</f>
        <v>0</v>
      </c>
      <c r="BN275">
        <f>IF(AND(VLOOKUP(BN$1,main!$A$3:$H$102,7,FALSE)=main!$G$105,VLOOKUP(BN$1,main!$A$3:$H$102,5,FALSE)-VLOOKUP($A275,main!$A$3:$H$102,6,FALSE)&gt;=main!$D$103+VLOOKUP(VLOOKUP(BN$1,main!$A$3:$I$102,7,FALSE),main!$K$26:$Q$29,5,FALSE)),1,0)</f>
        <v>0</v>
      </c>
      <c r="BO275">
        <f>IF(AND(VLOOKUP(BO$1,main!$A$3:$H$102,7,FALSE)=main!$G$105,VLOOKUP(BO$1,main!$A$3:$H$102,5,FALSE)-VLOOKUP($A275,main!$A$3:$H$102,6,FALSE)&gt;=main!$D$103+VLOOKUP(VLOOKUP(BO$1,main!$A$3:$I$102,7,FALSE),main!$K$26:$Q$29,5,FALSE)),1,0)</f>
        <v>0</v>
      </c>
      <c r="BP275">
        <f>IF(AND(VLOOKUP(BP$1,main!$A$3:$H$102,7,FALSE)=main!$G$105,VLOOKUP(BP$1,main!$A$3:$H$102,5,FALSE)-VLOOKUP($A275,main!$A$3:$H$102,6,FALSE)&gt;=main!$D$103+VLOOKUP(VLOOKUP(BP$1,main!$A$3:$I$102,7,FALSE),main!$K$26:$Q$29,5,FALSE)),1,0)</f>
        <v>0</v>
      </c>
      <c r="BQ275">
        <f>IF(AND(VLOOKUP(BQ$1,main!$A$3:$H$102,7,FALSE)=main!$G$105,VLOOKUP(BQ$1,main!$A$3:$H$102,5,FALSE)-VLOOKUP($A275,main!$A$3:$H$102,6,FALSE)&gt;=main!$D$103+VLOOKUP(VLOOKUP(BQ$1,main!$A$3:$I$102,7,FALSE),main!$K$26:$Q$29,5,FALSE)),1,0)</f>
        <v>0</v>
      </c>
      <c r="BR275">
        <f>IF(AND(VLOOKUP(BR$1,main!$A$3:$H$102,7,FALSE)=main!$G$105,VLOOKUP(BR$1,main!$A$3:$H$102,5,FALSE)-VLOOKUP($A275,main!$A$3:$H$102,6,FALSE)&gt;=main!$D$103+VLOOKUP(VLOOKUP(BR$1,main!$A$3:$I$102,7,FALSE),main!$K$26:$Q$29,5,FALSE)),1,0)</f>
        <v>0</v>
      </c>
      <c r="BS275">
        <f>IF(AND(VLOOKUP(BS$1,main!$A$3:$H$102,7,FALSE)=main!$G$105,VLOOKUP(BS$1,main!$A$3:$H$102,5,FALSE)-VLOOKUP($A275,main!$A$3:$H$102,6,FALSE)&gt;=main!$D$103+VLOOKUP(VLOOKUP(BS$1,main!$A$3:$I$102,7,FALSE),main!$K$26:$Q$29,5,FALSE)),1,0)</f>
        <v>0</v>
      </c>
      <c r="BT275">
        <f>IF(AND(VLOOKUP(BT$1,main!$A$3:$H$102,7,FALSE)=main!$G$105,VLOOKUP(BT$1,main!$A$3:$H$102,5,FALSE)-VLOOKUP($A275,main!$A$3:$H$102,6,FALSE)&gt;=main!$D$103+VLOOKUP(VLOOKUP(BT$1,main!$A$3:$I$102,7,FALSE),main!$K$26:$Q$29,5,FALSE)),1,0)</f>
        <v>0</v>
      </c>
      <c r="BU275">
        <f>IF(AND(VLOOKUP(BU$1,main!$A$3:$H$102,7,FALSE)=main!$G$105,VLOOKUP(BU$1,main!$A$3:$H$102,5,FALSE)-VLOOKUP($A275,main!$A$3:$H$102,6,FALSE)&gt;=main!$D$103+VLOOKUP(VLOOKUP(BU$1,main!$A$3:$I$102,7,FALSE),main!$K$26:$Q$29,5,FALSE)),1,0)</f>
        <v>0</v>
      </c>
      <c r="BV275">
        <f>IF(AND(VLOOKUP(BV$1,main!$A$3:$H$102,7,FALSE)=main!$G$105,VLOOKUP(BV$1,main!$A$3:$H$102,5,FALSE)-VLOOKUP($A275,main!$A$3:$H$102,6,FALSE)&gt;=main!$D$103+VLOOKUP(VLOOKUP(BV$1,main!$A$3:$I$102,7,FALSE),main!$K$26:$Q$29,5,FALSE)),1,0)</f>
        <v>0</v>
      </c>
      <c r="BW275">
        <f>IF(AND(VLOOKUP(BW$1,main!$A$3:$H$102,7,FALSE)=main!$G$105,VLOOKUP(BW$1,main!$A$3:$H$102,5,FALSE)-VLOOKUP($A275,main!$A$3:$H$102,6,FALSE)&gt;=main!$D$103+VLOOKUP(VLOOKUP(BW$1,main!$A$3:$I$102,7,FALSE),main!$K$26:$Q$29,5,FALSE)),1,0)</f>
        <v>0</v>
      </c>
      <c r="BX275">
        <f>IF(AND(VLOOKUP(BX$1,main!$A$3:$H$102,7,FALSE)=main!$G$105,VLOOKUP(BX$1,main!$A$3:$H$102,5,FALSE)-VLOOKUP($A275,main!$A$3:$H$102,6,FALSE)&gt;=main!$D$103+VLOOKUP(VLOOKUP(BX$1,main!$A$3:$I$102,7,FALSE),main!$K$26:$Q$29,5,FALSE)),1,0)</f>
        <v>0</v>
      </c>
      <c r="BY275">
        <f>IF(AND(VLOOKUP(BY$1,main!$A$3:$H$102,7,FALSE)=main!$G$105,VLOOKUP(BY$1,main!$A$3:$H$102,5,FALSE)-VLOOKUP($A275,main!$A$3:$H$102,6,FALSE)&gt;=main!$D$103+VLOOKUP(VLOOKUP(BY$1,main!$A$3:$I$102,7,FALSE),main!$K$26:$Q$29,5,FALSE)),1,0)</f>
        <v>0</v>
      </c>
      <c r="BZ275">
        <f>IF(AND(VLOOKUP(BZ$1,main!$A$3:$H$102,7,FALSE)=main!$G$105,VLOOKUP(BZ$1,main!$A$3:$H$102,5,FALSE)-VLOOKUP($A275,main!$A$3:$H$102,6,FALSE)&gt;=main!$D$103+VLOOKUP(VLOOKUP(BZ$1,main!$A$3:$I$102,7,FALSE),main!$K$26:$Q$29,5,FALSE)),1,0)</f>
        <v>0</v>
      </c>
      <c r="CA275">
        <f>IF(AND(VLOOKUP(CA$1,main!$A$3:$H$102,7,FALSE)=main!$G$105,VLOOKUP(CA$1,main!$A$3:$H$102,5,FALSE)-VLOOKUP($A275,main!$A$3:$H$102,6,FALSE)&gt;=main!$D$103+VLOOKUP(VLOOKUP(CA$1,main!$A$3:$I$102,7,FALSE),main!$K$26:$Q$29,5,FALSE)),1,0)</f>
        <v>0</v>
      </c>
      <c r="CB275">
        <f>IF(AND(VLOOKUP(CB$1,main!$A$3:$H$102,7,FALSE)=main!$G$105,VLOOKUP(CB$1,main!$A$3:$H$102,5,FALSE)-VLOOKUP($A275,main!$A$3:$H$102,6,FALSE)&gt;=main!$D$103+VLOOKUP(VLOOKUP(CB$1,main!$A$3:$I$102,7,FALSE),main!$K$26:$Q$29,5,FALSE)),1,0)</f>
        <v>0</v>
      </c>
      <c r="CC275">
        <f>IF(AND(VLOOKUP(CC$1,main!$A$3:$H$102,7,FALSE)=main!$G$105,VLOOKUP(CC$1,main!$A$3:$H$102,5,FALSE)-VLOOKUP($A275,main!$A$3:$H$102,6,FALSE)&gt;=main!$D$103+VLOOKUP(VLOOKUP(CC$1,main!$A$3:$I$102,7,FALSE),main!$K$26:$Q$29,5,FALSE)),1,0)</f>
        <v>0</v>
      </c>
      <c r="CD275">
        <f>IF(AND(VLOOKUP(CD$1,main!$A$3:$H$102,7,FALSE)=main!$G$105,VLOOKUP(CD$1,main!$A$3:$H$102,5,FALSE)-VLOOKUP($A275,main!$A$3:$H$102,6,FALSE)&gt;=main!$D$103+VLOOKUP(VLOOKUP(CD$1,main!$A$3:$I$102,7,FALSE),main!$K$26:$Q$29,5,FALSE)),1,0)</f>
        <v>0</v>
      </c>
      <c r="CE275">
        <f>IF(AND(VLOOKUP(CE$1,main!$A$3:$H$102,7,FALSE)=main!$G$105,VLOOKUP(CE$1,main!$A$3:$H$102,5,FALSE)-VLOOKUP($A275,main!$A$3:$H$102,6,FALSE)&gt;=main!$D$103+VLOOKUP(VLOOKUP(CE$1,main!$A$3:$I$102,7,FALSE),main!$K$26:$Q$29,5,FALSE)),1,0)</f>
        <v>0</v>
      </c>
      <c r="CF275">
        <f>IF(AND(VLOOKUP(CF$1,main!$A$3:$H$102,7,FALSE)=main!$G$105,VLOOKUP(CF$1,main!$A$3:$H$102,5,FALSE)-VLOOKUP($A275,main!$A$3:$H$102,6,FALSE)&gt;=main!$D$103+VLOOKUP(VLOOKUP(CF$1,main!$A$3:$I$102,7,FALSE),main!$K$26:$Q$29,5,FALSE)),1,0)</f>
        <v>0</v>
      </c>
      <c r="CG275">
        <f>IF(AND(VLOOKUP(CG$1,main!$A$3:$H$102,7,FALSE)=main!$G$105,VLOOKUP(CG$1,main!$A$3:$H$102,5,FALSE)-VLOOKUP($A275,main!$A$3:$H$102,6,FALSE)&gt;=main!$D$103+VLOOKUP(VLOOKUP(CG$1,main!$A$3:$I$102,7,FALSE),main!$K$26:$Q$29,5,FALSE)),1,0)</f>
        <v>0</v>
      </c>
      <c r="CH275">
        <f>IF(AND(VLOOKUP(CH$1,main!$A$3:$H$102,7,FALSE)=main!$G$105,VLOOKUP(CH$1,main!$A$3:$H$102,5,FALSE)-VLOOKUP($A275,main!$A$3:$H$102,6,FALSE)&gt;=main!$D$103+VLOOKUP(VLOOKUP(CH$1,main!$A$3:$I$102,7,FALSE),main!$K$26:$Q$29,5,FALSE)),1,0)</f>
        <v>0</v>
      </c>
      <c r="CI275">
        <f>IF(AND(VLOOKUP(CI$1,main!$A$3:$H$102,7,FALSE)=main!$G$105,VLOOKUP(CI$1,main!$A$3:$H$102,5,FALSE)-VLOOKUP($A275,main!$A$3:$H$102,6,FALSE)&gt;=main!$D$103+VLOOKUP(VLOOKUP(CI$1,main!$A$3:$I$102,7,FALSE),main!$K$26:$Q$29,5,FALSE)),1,0)</f>
        <v>0</v>
      </c>
      <c r="CJ275">
        <f>IF(AND(VLOOKUP(CJ$1,main!$A$3:$H$102,7,FALSE)=main!$G$105,VLOOKUP(CJ$1,main!$A$3:$H$102,5,FALSE)-VLOOKUP($A275,main!$A$3:$H$102,6,FALSE)&gt;=main!$D$103+VLOOKUP(VLOOKUP(CJ$1,main!$A$3:$I$102,7,FALSE),main!$K$26:$Q$29,5,FALSE)),1,0)</f>
        <v>0</v>
      </c>
      <c r="CK275">
        <f>IF(AND(VLOOKUP(CK$1,main!$A$3:$H$102,7,FALSE)=main!$G$105,VLOOKUP(CK$1,main!$A$3:$H$102,5,FALSE)-VLOOKUP($A275,main!$A$3:$H$102,6,FALSE)&gt;=main!$D$103+VLOOKUP(VLOOKUP(CK$1,main!$A$3:$I$102,7,FALSE),main!$K$26:$Q$29,5,FALSE)),1,0)</f>
        <v>0</v>
      </c>
      <c r="CL275">
        <f>IF(AND(VLOOKUP(CL$1,main!$A$3:$H$102,7,FALSE)=main!$G$105,VLOOKUP(CL$1,main!$A$3:$H$102,5,FALSE)-VLOOKUP($A275,main!$A$3:$H$102,6,FALSE)&gt;=main!$D$103+VLOOKUP(VLOOKUP(CL$1,main!$A$3:$I$102,7,FALSE),main!$K$26:$Q$29,5,FALSE)),1,0)</f>
        <v>0</v>
      </c>
      <c r="CM275">
        <f>IF(AND(VLOOKUP(CM$1,main!$A$3:$H$102,7,FALSE)=main!$G$105,VLOOKUP(CM$1,main!$A$3:$H$102,5,FALSE)-VLOOKUP($A275,main!$A$3:$H$102,6,FALSE)&gt;=main!$D$103+VLOOKUP(VLOOKUP(CM$1,main!$A$3:$I$102,7,FALSE),main!$K$26:$Q$29,5,FALSE)),1,0)</f>
        <v>0</v>
      </c>
      <c r="CN275">
        <f>IF(AND(VLOOKUP(CN$1,main!$A$3:$H$102,7,FALSE)=main!$G$105,VLOOKUP(CN$1,main!$A$3:$H$102,5,FALSE)-VLOOKUP($A275,main!$A$3:$H$102,6,FALSE)&gt;=main!$D$103+VLOOKUP(VLOOKUP(CN$1,main!$A$3:$I$102,7,FALSE),main!$K$26:$Q$29,5,FALSE)),1,0)</f>
        <v>0</v>
      </c>
      <c r="CO275">
        <f>IF(AND(VLOOKUP(CO$1,main!$A$3:$H$102,7,FALSE)=main!$G$105,VLOOKUP(CO$1,main!$A$3:$H$102,5,FALSE)-VLOOKUP($A275,main!$A$3:$H$102,6,FALSE)&gt;=main!$D$103+VLOOKUP(VLOOKUP(CO$1,main!$A$3:$I$102,7,FALSE),main!$K$26:$Q$29,5,FALSE)),1,0)</f>
        <v>0</v>
      </c>
      <c r="CP275">
        <f>IF(AND(VLOOKUP(CP$1,main!$A$3:$H$102,7,FALSE)=main!$G$105,VLOOKUP(CP$1,main!$A$3:$H$102,5,FALSE)-VLOOKUP($A275,main!$A$3:$H$102,6,FALSE)&gt;=main!$D$103+VLOOKUP(VLOOKUP(CP$1,main!$A$3:$I$102,7,FALSE),main!$K$26:$Q$29,5,FALSE)),1,0)</f>
        <v>0</v>
      </c>
      <c r="CQ275">
        <f>IF(AND(VLOOKUP(CQ$1,main!$A$3:$H$102,7,FALSE)=main!$G$105,VLOOKUP(CQ$1,main!$A$3:$H$102,5,FALSE)-VLOOKUP($A275,main!$A$3:$H$102,6,FALSE)&gt;=main!$D$103+VLOOKUP(VLOOKUP(CQ$1,main!$A$3:$I$102,7,FALSE),main!$K$26:$Q$29,5,FALSE)),1,0)</f>
        <v>0</v>
      </c>
      <c r="CR275">
        <f>IF(AND(VLOOKUP(CR$1,main!$A$3:$H$102,7,FALSE)=main!$G$105,VLOOKUP(CR$1,main!$A$3:$H$102,5,FALSE)-VLOOKUP($A275,main!$A$3:$H$102,6,FALSE)&gt;=main!$D$103+VLOOKUP(VLOOKUP(CR$1,main!$A$3:$I$102,7,FALSE),main!$K$26:$Q$29,5,FALSE)),1,0)</f>
        <v>0</v>
      </c>
      <c r="CS275">
        <f>IF(AND(VLOOKUP(CS$1,main!$A$3:$H$102,7,FALSE)=main!$G$105,VLOOKUP(CS$1,main!$A$3:$H$102,5,FALSE)-VLOOKUP($A275,main!$A$3:$H$102,6,FALSE)&gt;=main!$D$103+VLOOKUP(VLOOKUP(CS$1,main!$A$3:$I$102,7,FALSE),main!$K$26:$Q$29,5,FALSE)),1,0)</f>
        <v>0</v>
      </c>
      <c r="CT275">
        <f>IF(AND(VLOOKUP(CT$1,main!$A$3:$H$102,7,FALSE)=main!$G$105,VLOOKUP(CT$1,main!$A$3:$H$102,5,FALSE)-VLOOKUP($A275,main!$A$3:$H$102,6,FALSE)&gt;=main!$D$103+VLOOKUP(VLOOKUP(CT$1,main!$A$3:$I$102,7,FALSE),main!$K$26:$Q$29,5,FALSE)),1,0)</f>
        <v>0</v>
      </c>
      <c r="CU275">
        <f>IF(AND(VLOOKUP(CU$1,main!$A$3:$H$102,7,FALSE)=main!$G$105,VLOOKUP(CU$1,main!$A$3:$H$102,5,FALSE)-VLOOKUP($A275,main!$A$3:$H$102,6,FALSE)&gt;=main!$D$103+VLOOKUP(VLOOKUP(CU$1,main!$A$3:$I$102,7,FALSE),main!$K$26:$Q$29,5,FALSE)),1,0)</f>
        <v>0</v>
      </c>
      <c r="CV275">
        <f>IF(AND(VLOOKUP(CV$1,main!$A$3:$H$102,7,FALSE)=main!$G$105,VLOOKUP(CV$1,main!$A$3:$H$102,5,FALSE)-VLOOKUP($A275,main!$A$3:$H$102,6,FALSE)&gt;=main!$D$103+VLOOKUP(VLOOKUP(CV$1,main!$A$3:$I$102,7,FALSE),main!$K$26:$Q$29,5,FALSE)),1,0)</f>
        <v>0</v>
      </c>
      <c r="CW275">
        <f>IF(AND(VLOOKUP(CW$1,main!$A$3:$H$102,7,FALSE)=main!$G$105,VLOOKUP(CW$1,main!$A$3:$H$102,5,FALSE)-VLOOKUP($A275,main!$A$3:$H$102,6,FALSE)&gt;=main!$D$103+VLOOKUP(VLOOKUP(CW$1,main!$A$3:$I$102,7,FALSE),main!$K$26:$Q$29,5,FALSE)),1,0)</f>
        <v>0</v>
      </c>
      <c r="CX275">
        <f>IF(AND(VLOOKUP(CX$1,main!$A$3:$H$102,7,FALSE)=main!$G$105,VLOOKUP(CX$1,main!$A$3:$H$102,5,FALSE)-VLOOKUP($A275,main!$A$3:$H$102,6,FALSE)&gt;=main!$D$103+VLOOKUP(VLOOKUP(CX$1,main!$A$3:$I$102,7,FALSE),main!$K$26:$Q$29,5,FALSE)),1,0)</f>
        <v>0</v>
      </c>
    </row>
    <row r="276" spans="1:102" x14ac:dyDescent="0.25">
      <c r="A276" s="1">
        <v>72</v>
      </c>
      <c r="B276">
        <v>0</v>
      </c>
      <c r="C276">
        <f>IF(AND(VLOOKUP(C$1,main!$A$3:$H$102,7,FALSE)=main!$G$105,VLOOKUP(C$1,main!$A$3:$H$102,5,FALSE)-VLOOKUP($A276,main!$A$3:$H$102,6,FALSE)&gt;=main!$D$103+VLOOKUP(VLOOKUP(C$1,main!$A$3:$I$102,7,FALSE),main!$K$26:$Q$29,5,FALSE)),1,0)</f>
        <v>0</v>
      </c>
      <c r="D276">
        <f>IF(AND(VLOOKUP(D$1,main!$A$3:$H$102,7,FALSE)=main!$G$105,VLOOKUP(D$1,main!$A$3:$H$102,5,FALSE)-VLOOKUP($A276,main!$A$3:$H$102,6,FALSE)&gt;=main!$D$103+VLOOKUP(VLOOKUP(D$1,main!$A$3:$I$102,7,FALSE),main!$K$26:$Q$29,5,FALSE)),1,0)</f>
        <v>0</v>
      </c>
      <c r="E276">
        <f>IF(AND(VLOOKUP(E$1,main!$A$3:$H$102,7,FALSE)=main!$G$105,VLOOKUP(E$1,main!$A$3:$H$102,5,FALSE)-VLOOKUP($A276,main!$A$3:$H$102,6,FALSE)&gt;=main!$D$103+VLOOKUP(VLOOKUP(E$1,main!$A$3:$I$102,7,FALSE),main!$K$26:$Q$29,5,FALSE)),1,0)</f>
        <v>0</v>
      </c>
      <c r="F276">
        <f>IF(AND(VLOOKUP(F$1,main!$A$3:$H$102,7,FALSE)=main!$G$105,VLOOKUP(F$1,main!$A$3:$H$102,5,FALSE)-VLOOKUP($A276,main!$A$3:$H$102,6,FALSE)&gt;=main!$D$103+VLOOKUP(VLOOKUP(F$1,main!$A$3:$I$102,7,FALSE),main!$K$26:$Q$29,5,FALSE)),1,0)</f>
        <v>0</v>
      </c>
      <c r="G276">
        <f>IF(AND(VLOOKUP(G$1,main!$A$3:$H$102,7,FALSE)=main!$G$105,VLOOKUP(G$1,main!$A$3:$H$102,5,FALSE)-VLOOKUP($A276,main!$A$3:$H$102,6,FALSE)&gt;=main!$D$103+VLOOKUP(VLOOKUP(G$1,main!$A$3:$I$102,7,FALSE),main!$K$26:$Q$29,5,FALSE)),1,0)</f>
        <v>0</v>
      </c>
      <c r="H276">
        <f>IF(AND(VLOOKUP(H$1,main!$A$3:$H$102,7,FALSE)=main!$G$105,VLOOKUP(H$1,main!$A$3:$H$102,5,FALSE)-VLOOKUP($A276,main!$A$3:$H$102,6,FALSE)&gt;=main!$D$103+VLOOKUP(VLOOKUP(H$1,main!$A$3:$I$102,7,FALSE),main!$K$26:$Q$29,5,FALSE)),1,0)</f>
        <v>0</v>
      </c>
      <c r="I276">
        <f>IF(AND(VLOOKUP(I$1,main!$A$3:$H$102,7,FALSE)=main!$G$105,VLOOKUP(I$1,main!$A$3:$H$102,5,FALSE)-VLOOKUP($A276,main!$A$3:$H$102,6,FALSE)&gt;=main!$D$103+VLOOKUP(VLOOKUP(I$1,main!$A$3:$I$102,7,FALSE),main!$K$26:$Q$29,5,FALSE)),1,0)</f>
        <v>0</v>
      </c>
      <c r="J276">
        <f>IF(AND(VLOOKUP(J$1,main!$A$3:$H$102,7,FALSE)=main!$G$105,VLOOKUP(J$1,main!$A$3:$H$102,5,FALSE)-VLOOKUP($A276,main!$A$3:$H$102,6,FALSE)&gt;=main!$D$103+VLOOKUP(VLOOKUP(J$1,main!$A$3:$I$102,7,FALSE),main!$K$26:$Q$29,5,FALSE)),1,0)</f>
        <v>0</v>
      </c>
      <c r="K276">
        <f>IF(AND(VLOOKUP(K$1,main!$A$3:$H$102,7,FALSE)=main!$G$105,VLOOKUP(K$1,main!$A$3:$H$102,5,FALSE)-VLOOKUP($A276,main!$A$3:$H$102,6,FALSE)&gt;=main!$D$103+VLOOKUP(VLOOKUP(K$1,main!$A$3:$I$102,7,FALSE),main!$K$26:$Q$29,5,FALSE)),1,0)</f>
        <v>0</v>
      </c>
      <c r="L276">
        <f>IF(AND(VLOOKUP(L$1,main!$A$3:$H$102,7,FALSE)=main!$G$105,VLOOKUP(L$1,main!$A$3:$H$102,5,FALSE)-VLOOKUP($A276,main!$A$3:$H$102,6,FALSE)&gt;=main!$D$103+VLOOKUP(VLOOKUP(L$1,main!$A$3:$I$102,7,FALSE),main!$K$26:$Q$29,5,FALSE)),1,0)</f>
        <v>0</v>
      </c>
      <c r="M276">
        <f>IF(AND(VLOOKUP(M$1,main!$A$3:$H$102,7,FALSE)=main!$G$105,VLOOKUP(M$1,main!$A$3:$H$102,5,FALSE)-VLOOKUP($A276,main!$A$3:$H$102,6,FALSE)&gt;=main!$D$103+VLOOKUP(VLOOKUP(M$1,main!$A$3:$I$102,7,FALSE),main!$K$26:$Q$29,5,FALSE)),1,0)</f>
        <v>0</v>
      </c>
      <c r="N276">
        <f>IF(AND(VLOOKUP(N$1,main!$A$3:$H$102,7,FALSE)=main!$G$105,VLOOKUP(N$1,main!$A$3:$H$102,5,FALSE)-VLOOKUP($A276,main!$A$3:$H$102,6,FALSE)&gt;=main!$D$103+VLOOKUP(VLOOKUP(N$1,main!$A$3:$I$102,7,FALSE),main!$K$26:$Q$29,5,FALSE)),1,0)</f>
        <v>0</v>
      </c>
      <c r="O276">
        <f>IF(AND(VLOOKUP(O$1,main!$A$3:$H$102,7,FALSE)=main!$G$105,VLOOKUP(O$1,main!$A$3:$H$102,5,FALSE)-VLOOKUP($A276,main!$A$3:$H$102,6,FALSE)&gt;=main!$D$103+VLOOKUP(VLOOKUP(O$1,main!$A$3:$I$102,7,FALSE),main!$K$26:$Q$29,5,FALSE)),1,0)</f>
        <v>0</v>
      </c>
      <c r="P276">
        <f>IF(AND(VLOOKUP(P$1,main!$A$3:$H$102,7,FALSE)=main!$G$105,VLOOKUP(P$1,main!$A$3:$H$102,5,FALSE)-VLOOKUP($A276,main!$A$3:$H$102,6,FALSE)&gt;=main!$D$103+VLOOKUP(VLOOKUP(P$1,main!$A$3:$I$102,7,FALSE),main!$K$26:$Q$29,5,FALSE)),1,0)</f>
        <v>0</v>
      </c>
      <c r="Q276">
        <f>IF(AND(VLOOKUP(Q$1,main!$A$3:$H$102,7,FALSE)=main!$G$105,VLOOKUP(Q$1,main!$A$3:$H$102,5,FALSE)-VLOOKUP($A276,main!$A$3:$H$102,6,FALSE)&gt;=main!$D$103+VLOOKUP(VLOOKUP(Q$1,main!$A$3:$I$102,7,FALSE),main!$K$26:$Q$29,5,FALSE)),1,0)</f>
        <v>0</v>
      </c>
      <c r="R276">
        <f>IF(AND(VLOOKUP(R$1,main!$A$3:$H$102,7,FALSE)=main!$G$105,VLOOKUP(R$1,main!$A$3:$H$102,5,FALSE)-VLOOKUP($A276,main!$A$3:$H$102,6,FALSE)&gt;=main!$D$103+VLOOKUP(VLOOKUP(R$1,main!$A$3:$I$102,7,FALSE),main!$K$26:$Q$29,5,FALSE)),1,0)</f>
        <v>0</v>
      </c>
      <c r="S276">
        <f>IF(AND(VLOOKUP(S$1,main!$A$3:$H$102,7,FALSE)=main!$G$105,VLOOKUP(S$1,main!$A$3:$H$102,5,FALSE)-VLOOKUP($A276,main!$A$3:$H$102,6,FALSE)&gt;=main!$D$103+VLOOKUP(VLOOKUP(S$1,main!$A$3:$I$102,7,FALSE),main!$K$26:$Q$29,5,FALSE)),1,0)</f>
        <v>0</v>
      </c>
      <c r="T276">
        <f>IF(AND(VLOOKUP(T$1,main!$A$3:$H$102,7,FALSE)=main!$G$105,VLOOKUP(T$1,main!$A$3:$H$102,5,FALSE)-VLOOKUP($A276,main!$A$3:$H$102,6,FALSE)&gt;=main!$D$103+VLOOKUP(VLOOKUP(T$1,main!$A$3:$I$102,7,FALSE),main!$K$26:$Q$29,5,FALSE)),1,0)</f>
        <v>0</v>
      </c>
      <c r="U276">
        <f>IF(AND(VLOOKUP(U$1,main!$A$3:$H$102,7,FALSE)=main!$G$105,VLOOKUP(U$1,main!$A$3:$H$102,5,FALSE)-VLOOKUP($A276,main!$A$3:$H$102,6,FALSE)&gt;=main!$D$103+VLOOKUP(VLOOKUP(U$1,main!$A$3:$I$102,7,FALSE),main!$K$26:$Q$29,5,FALSE)),1,0)</f>
        <v>0</v>
      </c>
      <c r="V276">
        <f>IF(AND(VLOOKUP(V$1,main!$A$3:$H$102,7,FALSE)=main!$G$105,VLOOKUP(V$1,main!$A$3:$H$102,5,FALSE)-VLOOKUP($A276,main!$A$3:$H$102,6,FALSE)&gt;=main!$D$103+VLOOKUP(VLOOKUP(V$1,main!$A$3:$I$102,7,FALSE),main!$K$26:$Q$29,5,FALSE)),1,0)</f>
        <v>0</v>
      </c>
      <c r="W276">
        <f>IF(AND(VLOOKUP(W$1,main!$A$3:$H$102,7,FALSE)=main!$G$105,VLOOKUP(W$1,main!$A$3:$H$102,5,FALSE)-VLOOKUP($A276,main!$A$3:$H$102,6,FALSE)&gt;=main!$D$103+VLOOKUP(VLOOKUP(W$1,main!$A$3:$I$102,7,FALSE),main!$K$26:$Q$29,5,FALSE)),1,0)</f>
        <v>0</v>
      </c>
      <c r="X276">
        <f>IF(AND(VLOOKUP(X$1,main!$A$3:$H$102,7,FALSE)=main!$G$105,VLOOKUP(X$1,main!$A$3:$H$102,5,FALSE)-VLOOKUP($A276,main!$A$3:$H$102,6,FALSE)&gt;=main!$D$103+VLOOKUP(VLOOKUP(X$1,main!$A$3:$I$102,7,FALSE),main!$K$26:$Q$29,5,FALSE)),1,0)</f>
        <v>0</v>
      </c>
      <c r="Y276">
        <f>IF(AND(VLOOKUP(Y$1,main!$A$3:$H$102,7,FALSE)=main!$G$105,VLOOKUP(Y$1,main!$A$3:$H$102,5,FALSE)-VLOOKUP($A276,main!$A$3:$H$102,6,FALSE)&gt;=main!$D$103+VLOOKUP(VLOOKUP(Y$1,main!$A$3:$I$102,7,FALSE),main!$K$26:$Q$29,5,FALSE)),1,0)</f>
        <v>0</v>
      </c>
      <c r="Z276">
        <f>IF(AND(VLOOKUP(Z$1,main!$A$3:$H$102,7,FALSE)=main!$G$105,VLOOKUP(Z$1,main!$A$3:$H$102,5,FALSE)-VLOOKUP($A276,main!$A$3:$H$102,6,FALSE)&gt;=main!$D$103+VLOOKUP(VLOOKUP(Z$1,main!$A$3:$I$102,7,FALSE),main!$K$26:$Q$29,5,FALSE)),1,0)</f>
        <v>0</v>
      </c>
      <c r="AA276">
        <f>IF(AND(VLOOKUP(AA$1,main!$A$3:$H$102,7,FALSE)=main!$G$105,VLOOKUP(AA$1,main!$A$3:$H$102,5,FALSE)-VLOOKUP($A276,main!$A$3:$H$102,6,FALSE)&gt;=main!$D$103+VLOOKUP(VLOOKUP(AA$1,main!$A$3:$I$102,7,FALSE),main!$K$26:$Q$29,5,FALSE)),1,0)</f>
        <v>0</v>
      </c>
      <c r="AB276">
        <f>IF(AND(VLOOKUP(AB$1,main!$A$3:$H$102,7,FALSE)=main!$G$105,VLOOKUP(AB$1,main!$A$3:$H$102,5,FALSE)-VLOOKUP($A276,main!$A$3:$H$102,6,FALSE)&gt;=main!$D$103+VLOOKUP(VLOOKUP(AB$1,main!$A$3:$I$102,7,FALSE),main!$K$26:$Q$29,5,FALSE)),1,0)</f>
        <v>0</v>
      </c>
      <c r="AC276">
        <f>IF(AND(VLOOKUP(AC$1,main!$A$3:$H$102,7,FALSE)=main!$G$105,VLOOKUP(AC$1,main!$A$3:$H$102,5,FALSE)-VLOOKUP($A276,main!$A$3:$H$102,6,FALSE)&gt;=main!$D$103+VLOOKUP(VLOOKUP(AC$1,main!$A$3:$I$102,7,FALSE),main!$K$26:$Q$29,5,FALSE)),1,0)</f>
        <v>0</v>
      </c>
      <c r="AD276">
        <f>IF(AND(VLOOKUP(AD$1,main!$A$3:$H$102,7,FALSE)=main!$G$105,VLOOKUP(AD$1,main!$A$3:$H$102,5,FALSE)-VLOOKUP($A276,main!$A$3:$H$102,6,FALSE)&gt;=main!$D$103+VLOOKUP(VLOOKUP(AD$1,main!$A$3:$I$102,7,FALSE),main!$K$26:$Q$29,5,FALSE)),1,0)</f>
        <v>0</v>
      </c>
      <c r="AE276">
        <f>IF(AND(VLOOKUP(AE$1,main!$A$3:$H$102,7,FALSE)=main!$G$105,VLOOKUP(AE$1,main!$A$3:$H$102,5,FALSE)-VLOOKUP($A276,main!$A$3:$H$102,6,FALSE)&gt;=main!$D$103+VLOOKUP(VLOOKUP(AE$1,main!$A$3:$I$102,7,FALSE),main!$K$26:$Q$29,5,FALSE)),1,0)</f>
        <v>0</v>
      </c>
      <c r="AF276">
        <f>IF(AND(VLOOKUP(AF$1,main!$A$3:$H$102,7,FALSE)=main!$G$105,VLOOKUP(AF$1,main!$A$3:$H$102,5,FALSE)-VLOOKUP($A276,main!$A$3:$H$102,6,FALSE)&gt;=main!$D$103+VLOOKUP(VLOOKUP(AF$1,main!$A$3:$I$102,7,FALSE),main!$K$26:$Q$29,5,FALSE)),1,0)</f>
        <v>0</v>
      </c>
      <c r="AG276">
        <f>IF(AND(VLOOKUP(AG$1,main!$A$3:$H$102,7,FALSE)=main!$G$105,VLOOKUP(AG$1,main!$A$3:$H$102,5,FALSE)-VLOOKUP($A276,main!$A$3:$H$102,6,FALSE)&gt;=main!$D$103+VLOOKUP(VLOOKUP(AG$1,main!$A$3:$I$102,7,FALSE),main!$K$26:$Q$29,5,FALSE)),1,0)</f>
        <v>0</v>
      </c>
      <c r="AH276">
        <f>IF(AND(VLOOKUP(AH$1,main!$A$3:$H$102,7,FALSE)=main!$G$105,VLOOKUP(AH$1,main!$A$3:$H$102,5,FALSE)-VLOOKUP($A276,main!$A$3:$H$102,6,FALSE)&gt;=main!$D$103+VLOOKUP(VLOOKUP(AH$1,main!$A$3:$I$102,7,FALSE),main!$K$26:$Q$29,5,FALSE)),1,0)</f>
        <v>0</v>
      </c>
      <c r="AI276">
        <f>IF(AND(VLOOKUP(AI$1,main!$A$3:$H$102,7,FALSE)=main!$G$105,VLOOKUP(AI$1,main!$A$3:$H$102,5,FALSE)-VLOOKUP($A276,main!$A$3:$H$102,6,FALSE)&gt;=main!$D$103+VLOOKUP(VLOOKUP(AI$1,main!$A$3:$I$102,7,FALSE),main!$K$26:$Q$29,5,FALSE)),1,0)</f>
        <v>0</v>
      </c>
      <c r="AJ276">
        <f>IF(AND(VLOOKUP(AJ$1,main!$A$3:$H$102,7,FALSE)=main!$G$105,VLOOKUP(AJ$1,main!$A$3:$H$102,5,FALSE)-VLOOKUP($A276,main!$A$3:$H$102,6,FALSE)&gt;=main!$D$103+VLOOKUP(VLOOKUP(AJ$1,main!$A$3:$I$102,7,FALSE),main!$K$26:$Q$29,5,FALSE)),1,0)</f>
        <v>1</v>
      </c>
      <c r="AK276">
        <f>IF(AND(VLOOKUP(AK$1,main!$A$3:$H$102,7,FALSE)=main!$G$105,VLOOKUP(AK$1,main!$A$3:$H$102,5,FALSE)-VLOOKUP($A276,main!$A$3:$H$102,6,FALSE)&gt;=main!$D$103+VLOOKUP(VLOOKUP(AK$1,main!$A$3:$I$102,7,FALSE),main!$K$26:$Q$29,5,FALSE)),1,0)</f>
        <v>1</v>
      </c>
      <c r="AL276">
        <f>IF(AND(VLOOKUP(AL$1,main!$A$3:$H$102,7,FALSE)=main!$G$105,VLOOKUP(AL$1,main!$A$3:$H$102,5,FALSE)-VLOOKUP($A276,main!$A$3:$H$102,6,FALSE)&gt;=main!$D$103+VLOOKUP(VLOOKUP(AL$1,main!$A$3:$I$102,7,FALSE),main!$K$26:$Q$29,5,FALSE)),1,0)</f>
        <v>1</v>
      </c>
      <c r="AM276">
        <f>IF(AND(VLOOKUP(AM$1,main!$A$3:$H$102,7,FALSE)=main!$G$105,VLOOKUP(AM$1,main!$A$3:$H$102,5,FALSE)-VLOOKUP($A276,main!$A$3:$H$102,6,FALSE)&gt;=main!$D$103+VLOOKUP(VLOOKUP(AM$1,main!$A$3:$I$102,7,FALSE),main!$K$26:$Q$29,5,FALSE)),1,0)</f>
        <v>1</v>
      </c>
      <c r="AN276">
        <f>IF(AND(VLOOKUP(AN$1,main!$A$3:$H$102,7,FALSE)=main!$G$105,VLOOKUP(AN$1,main!$A$3:$H$102,5,FALSE)-VLOOKUP($A276,main!$A$3:$H$102,6,FALSE)&gt;=main!$D$103+VLOOKUP(VLOOKUP(AN$1,main!$A$3:$I$102,7,FALSE),main!$K$26:$Q$29,5,FALSE)),1,0)</f>
        <v>1</v>
      </c>
      <c r="AO276">
        <f>IF(AND(VLOOKUP(AO$1,main!$A$3:$H$102,7,FALSE)=main!$G$105,VLOOKUP(AO$1,main!$A$3:$H$102,5,FALSE)-VLOOKUP($A276,main!$A$3:$H$102,6,FALSE)&gt;=main!$D$103+VLOOKUP(VLOOKUP(AO$1,main!$A$3:$I$102,7,FALSE),main!$K$26:$Q$29,5,FALSE)),1,0)</f>
        <v>0</v>
      </c>
      <c r="AP276">
        <f>IF(AND(VLOOKUP(AP$1,main!$A$3:$H$102,7,FALSE)=main!$G$105,VLOOKUP(AP$1,main!$A$3:$H$102,5,FALSE)-VLOOKUP($A276,main!$A$3:$H$102,6,FALSE)&gt;=main!$D$103+VLOOKUP(VLOOKUP(AP$1,main!$A$3:$I$102,7,FALSE),main!$K$26:$Q$29,5,FALSE)),1,0)</f>
        <v>1</v>
      </c>
      <c r="AQ276">
        <f>IF(AND(VLOOKUP(AQ$1,main!$A$3:$H$102,7,FALSE)=main!$G$105,VLOOKUP(AQ$1,main!$A$3:$H$102,5,FALSE)-VLOOKUP($A276,main!$A$3:$H$102,6,FALSE)&gt;=main!$D$103+VLOOKUP(VLOOKUP(AQ$1,main!$A$3:$I$102,7,FALSE),main!$K$26:$Q$29,5,FALSE)),1,0)</f>
        <v>0</v>
      </c>
      <c r="AR276">
        <f>IF(AND(VLOOKUP(AR$1,main!$A$3:$H$102,7,FALSE)=main!$G$105,VLOOKUP(AR$1,main!$A$3:$H$102,5,FALSE)-VLOOKUP($A276,main!$A$3:$H$102,6,FALSE)&gt;=main!$D$103+VLOOKUP(VLOOKUP(AR$1,main!$A$3:$I$102,7,FALSE),main!$K$26:$Q$29,5,FALSE)),1,0)</f>
        <v>0</v>
      </c>
      <c r="AS276">
        <f>IF(AND(VLOOKUP(AS$1,main!$A$3:$H$102,7,FALSE)=main!$G$105,VLOOKUP(AS$1,main!$A$3:$H$102,5,FALSE)-VLOOKUP($A276,main!$A$3:$H$102,6,FALSE)&gt;=main!$D$103+VLOOKUP(VLOOKUP(AS$1,main!$A$3:$I$102,7,FALSE),main!$K$26:$Q$29,5,FALSE)),1,0)</f>
        <v>1</v>
      </c>
      <c r="AT276">
        <f>IF(AND(VLOOKUP(AT$1,main!$A$3:$H$102,7,FALSE)=main!$G$105,VLOOKUP(AT$1,main!$A$3:$H$102,5,FALSE)-VLOOKUP($A276,main!$A$3:$H$102,6,FALSE)&gt;=main!$D$103+VLOOKUP(VLOOKUP(AT$1,main!$A$3:$I$102,7,FALSE),main!$K$26:$Q$29,5,FALSE)),1,0)</f>
        <v>1</v>
      </c>
      <c r="AU276">
        <f>IF(AND(VLOOKUP(AU$1,main!$A$3:$H$102,7,FALSE)=main!$G$105,VLOOKUP(AU$1,main!$A$3:$H$102,5,FALSE)-VLOOKUP($A276,main!$A$3:$H$102,6,FALSE)&gt;=main!$D$103+VLOOKUP(VLOOKUP(AU$1,main!$A$3:$I$102,7,FALSE),main!$K$26:$Q$29,5,FALSE)),1,0)</f>
        <v>0</v>
      </c>
      <c r="AV276">
        <f>IF(AND(VLOOKUP(AV$1,main!$A$3:$H$102,7,FALSE)=main!$G$105,VLOOKUP(AV$1,main!$A$3:$H$102,5,FALSE)-VLOOKUP($A276,main!$A$3:$H$102,6,FALSE)&gt;=main!$D$103+VLOOKUP(VLOOKUP(AV$1,main!$A$3:$I$102,7,FALSE),main!$K$26:$Q$29,5,FALSE)),1,0)</f>
        <v>0</v>
      </c>
      <c r="AW276">
        <f>IF(AND(VLOOKUP(AW$1,main!$A$3:$H$102,7,FALSE)=main!$G$105,VLOOKUP(AW$1,main!$A$3:$H$102,5,FALSE)-VLOOKUP($A276,main!$A$3:$H$102,6,FALSE)&gt;=main!$D$103+VLOOKUP(VLOOKUP(AW$1,main!$A$3:$I$102,7,FALSE),main!$K$26:$Q$29,5,FALSE)),1,0)</f>
        <v>1</v>
      </c>
      <c r="AX276">
        <f>IF(AND(VLOOKUP(AX$1,main!$A$3:$H$102,7,FALSE)=main!$G$105,VLOOKUP(AX$1,main!$A$3:$H$102,5,FALSE)-VLOOKUP($A276,main!$A$3:$H$102,6,FALSE)&gt;=main!$D$103+VLOOKUP(VLOOKUP(AX$1,main!$A$3:$I$102,7,FALSE),main!$K$26:$Q$29,5,FALSE)),1,0)</f>
        <v>0</v>
      </c>
      <c r="AY276">
        <f>IF(AND(VLOOKUP(AY$1,main!$A$3:$H$102,7,FALSE)=main!$G$105,VLOOKUP(AY$1,main!$A$3:$H$102,5,FALSE)-VLOOKUP($A276,main!$A$3:$H$102,6,FALSE)&gt;=main!$D$103+VLOOKUP(VLOOKUP(AY$1,main!$A$3:$I$102,7,FALSE),main!$K$26:$Q$29,5,FALSE)),1,0)</f>
        <v>0</v>
      </c>
      <c r="AZ276">
        <f>IF(AND(VLOOKUP(AZ$1,main!$A$3:$H$102,7,FALSE)=main!$G$105,VLOOKUP(AZ$1,main!$A$3:$H$102,5,FALSE)-VLOOKUP($A276,main!$A$3:$H$102,6,FALSE)&gt;=main!$D$103+VLOOKUP(VLOOKUP(AZ$1,main!$A$3:$I$102,7,FALSE),main!$K$26:$Q$29,5,FALSE)),1,0)</f>
        <v>0</v>
      </c>
      <c r="BA276">
        <f>IF(AND(VLOOKUP(BA$1,main!$A$3:$H$102,7,FALSE)=main!$G$105,VLOOKUP(BA$1,main!$A$3:$H$102,5,FALSE)-VLOOKUP($A276,main!$A$3:$H$102,6,FALSE)&gt;=main!$D$103+VLOOKUP(VLOOKUP(BA$1,main!$A$3:$I$102,7,FALSE),main!$K$26:$Q$29,5,FALSE)),1,0)</f>
        <v>0</v>
      </c>
      <c r="BB276">
        <f>IF(AND(VLOOKUP(BB$1,main!$A$3:$H$102,7,FALSE)=main!$G$105,VLOOKUP(BB$1,main!$A$3:$H$102,5,FALSE)-VLOOKUP($A276,main!$A$3:$H$102,6,FALSE)&gt;=main!$D$103+VLOOKUP(VLOOKUP(BB$1,main!$A$3:$I$102,7,FALSE),main!$K$26:$Q$29,5,FALSE)),1,0)</f>
        <v>0</v>
      </c>
      <c r="BC276">
        <f>IF(AND(VLOOKUP(BC$1,main!$A$3:$H$102,7,FALSE)=main!$G$105,VLOOKUP(BC$1,main!$A$3:$H$102,5,FALSE)-VLOOKUP($A276,main!$A$3:$H$102,6,FALSE)&gt;=main!$D$103+VLOOKUP(VLOOKUP(BC$1,main!$A$3:$I$102,7,FALSE),main!$K$26:$Q$29,5,FALSE)),1,0)</f>
        <v>0</v>
      </c>
      <c r="BD276">
        <f>IF(AND(VLOOKUP(BD$1,main!$A$3:$H$102,7,FALSE)=main!$G$105,VLOOKUP(BD$1,main!$A$3:$H$102,5,FALSE)-VLOOKUP($A276,main!$A$3:$H$102,6,FALSE)&gt;=main!$D$103+VLOOKUP(VLOOKUP(BD$1,main!$A$3:$I$102,7,FALSE),main!$K$26:$Q$29,5,FALSE)),1,0)</f>
        <v>0</v>
      </c>
      <c r="BE276">
        <f>IF(AND(VLOOKUP(BE$1,main!$A$3:$H$102,7,FALSE)=main!$G$105,VLOOKUP(BE$1,main!$A$3:$H$102,5,FALSE)-VLOOKUP($A276,main!$A$3:$H$102,6,FALSE)&gt;=main!$D$103+VLOOKUP(VLOOKUP(BE$1,main!$A$3:$I$102,7,FALSE),main!$K$26:$Q$29,5,FALSE)),1,0)</f>
        <v>0</v>
      </c>
      <c r="BF276">
        <f>IF(AND(VLOOKUP(BF$1,main!$A$3:$H$102,7,FALSE)=main!$G$105,VLOOKUP(BF$1,main!$A$3:$H$102,5,FALSE)-VLOOKUP($A276,main!$A$3:$H$102,6,FALSE)&gt;=main!$D$103+VLOOKUP(VLOOKUP(BF$1,main!$A$3:$I$102,7,FALSE),main!$K$26:$Q$29,5,FALSE)),1,0)</f>
        <v>0</v>
      </c>
      <c r="BG276">
        <f>IF(AND(VLOOKUP(BG$1,main!$A$3:$H$102,7,FALSE)=main!$G$105,VLOOKUP(BG$1,main!$A$3:$H$102,5,FALSE)-VLOOKUP($A276,main!$A$3:$H$102,6,FALSE)&gt;=main!$D$103+VLOOKUP(VLOOKUP(BG$1,main!$A$3:$I$102,7,FALSE),main!$K$26:$Q$29,5,FALSE)),1,0)</f>
        <v>0</v>
      </c>
      <c r="BH276">
        <f>IF(AND(VLOOKUP(BH$1,main!$A$3:$H$102,7,FALSE)=main!$G$105,VLOOKUP(BH$1,main!$A$3:$H$102,5,FALSE)-VLOOKUP($A276,main!$A$3:$H$102,6,FALSE)&gt;=main!$D$103+VLOOKUP(VLOOKUP(BH$1,main!$A$3:$I$102,7,FALSE),main!$K$26:$Q$29,5,FALSE)),1,0)</f>
        <v>0</v>
      </c>
      <c r="BI276">
        <f>IF(AND(VLOOKUP(BI$1,main!$A$3:$H$102,7,FALSE)=main!$G$105,VLOOKUP(BI$1,main!$A$3:$H$102,5,FALSE)-VLOOKUP($A276,main!$A$3:$H$102,6,FALSE)&gt;=main!$D$103+VLOOKUP(VLOOKUP(BI$1,main!$A$3:$I$102,7,FALSE),main!$K$26:$Q$29,5,FALSE)),1,0)</f>
        <v>0</v>
      </c>
      <c r="BJ276">
        <f>IF(AND(VLOOKUP(BJ$1,main!$A$3:$H$102,7,FALSE)=main!$G$105,VLOOKUP(BJ$1,main!$A$3:$H$102,5,FALSE)-VLOOKUP($A276,main!$A$3:$H$102,6,FALSE)&gt;=main!$D$103+VLOOKUP(VLOOKUP(BJ$1,main!$A$3:$I$102,7,FALSE),main!$K$26:$Q$29,5,FALSE)),1,0)</f>
        <v>0</v>
      </c>
      <c r="BK276">
        <f>IF(AND(VLOOKUP(BK$1,main!$A$3:$H$102,7,FALSE)=main!$G$105,VLOOKUP(BK$1,main!$A$3:$H$102,5,FALSE)-VLOOKUP($A276,main!$A$3:$H$102,6,FALSE)&gt;=main!$D$103+VLOOKUP(VLOOKUP(BK$1,main!$A$3:$I$102,7,FALSE),main!$K$26:$Q$29,5,FALSE)),1,0)</f>
        <v>0</v>
      </c>
      <c r="BL276">
        <f>IF(AND(VLOOKUP(BL$1,main!$A$3:$H$102,7,FALSE)=main!$G$105,VLOOKUP(BL$1,main!$A$3:$H$102,5,FALSE)-VLOOKUP($A276,main!$A$3:$H$102,6,FALSE)&gt;=main!$D$103+VLOOKUP(VLOOKUP(BL$1,main!$A$3:$I$102,7,FALSE),main!$K$26:$Q$29,5,FALSE)),1,0)</f>
        <v>0</v>
      </c>
      <c r="BM276">
        <f>IF(AND(VLOOKUP(BM$1,main!$A$3:$H$102,7,FALSE)=main!$G$105,VLOOKUP(BM$1,main!$A$3:$H$102,5,FALSE)-VLOOKUP($A276,main!$A$3:$H$102,6,FALSE)&gt;=main!$D$103+VLOOKUP(VLOOKUP(BM$1,main!$A$3:$I$102,7,FALSE),main!$K$26:$Q$29,5,FALSE)),1,0)</f>
        <v>0</v>
      </c>
      <c r="BN276">
        <f>IF(AND(VLOOKUP(BN$1,main!$A$3:$H$102,7,FALSE)=main!$G$105,VLOOKUP(BN$1,main!$A$3:$H$102,5,FALSE)-VLOOKUP($A276,main!$A$3:$H$102,6,FALSE)&gt;=main!$D$103+VLOOKUP(VLOOKUP(BN$1,main!$A$3:$I$102,7,FALSE),main!$K$26:$Q$29,5,FALSE)),1,0)</f>
        <v>0</v>
      </c>
      <c r="BO276">
        <f>IF(AND(VLOOKUP(BO$1,main!$A$3:$H$102,7,FALSE)=main!$G$105,VLOOKUP(BO$1,main!$A$3:$H$102,5,FALSE)-VLOOKUP($A276,main!$A$3:$H$102,6,FALSE)&gt;=main!$D$103+VLOOKUP(VLOOKUP(BO$1,main!$A$3:$I$102,7,FALSE),main!$K$26:$Q$29,5,FALSE)),1,0)</f>
        <v>0</v>
      </c>
      <c r="BP276">
        <f>IF(AND(VLOOKUP(BP$1,main!$A$3:$H$102,7,FALSE)=main!$G$105,VLOOKUP(BP$1,main!$A$3:$H$102,5,FALSE)-VLOOKUP($A276,main!$A$3:$H$102,6,FALSE)&gt;=main!$D$103+VLOOKUP(VLOOKUP(BP$1,main!$A$3:$I$102,7,FALSE),main!$K$26:$Q$29,5,FALSE)),1,0)</f>
        <v>0</v>
      </c>
      <c r="BQ276">
        <f>IF(AND(VLOOKUP(BQ$1,main!$A$3:$H$102,7,FALSE)=main!$G$105,VLOOKUP(BQ$1,main!$A$3:$H$102,5,FALSE)-VLOOKUP($A276,main!$A$3:$H$102,6,FALSE)&gt;=main!$D$103+VLOOKUP(VLOOKUP(BQ$1,main!$A$3:$I$102,7,FALSE),main!$K$26:$Q$29,5,FALSE)),1,0)</f>
        <v>0</v>
      </c>
      <c r="BR276">
        <f>IF(AND(VLOOKUP(BR$1,main!$A$3:$H$102,7,FALSE)=main!$G$105,VLOOKUP(BR$1,main!$A$3:$H$102,5,FALSE)-VLOOKUP($A276,main!$A$3:$H$102,6,FALSE)&gt;=main!$D$103+VLOOKUP(VLOOKUP(BR$1,main!$A$3:$I$102,7,FALSE),main!$K$26:$Q$29,5,FALSE)),1,0)</f>
        <v>0</v>
      </c>
      <c r="BS276">
        <f>IF(AND(VLOOKUP(BS$1,main!$A$3:$H$102,7,FALSE)=main!$G$105,VLOOKUP(BS$1,main!$A$3:$H$102,5,FALSE)-VLOOKUP($A276,main!$A$3:$H$102,6,FALSE)&gt;=main!$D$103+VLOOKUP(VLOOKUP(BS$1,main!$A$3:$I$102,7,FALSE),main!$K$26:$Q$29,5,FALSE)),1,0)</f>
        <v>0</v>
      </c>
      <c r="BT276">
        <f>IF(AND(VLOOKUP(BT$1,main!$A$3:$H$102,7,FALSE)=main!$G$105,VLOOKUP(BT$1,main!$A$3:$H$102,5,FALSE)-VLOOKUP($A276,main!$A$3:$H$102,6,FALSE)&gt;=main!$D$103+VLOOKUP(VLOOKUP(BT$1,main!$A$3:$I$102,7,FALSE),main!$K$26:$Q$29,5,FALSE)),1,0)</f>
        <v>0</v>
      </c>
      <c r="BU276">
        <f>IF(AND(VLOOKUP(BU$1,main!$A$3:$H$102,7,FALSE)=main!$G$105,VLOOKUP(BU$1,main!$A$3:$H$102,5,FALSE)-VLOOKUP($A276,main!$A$3:$H$102,6,FALSE)&gt;=main!$D$103+VLOOKUP(VLOOKUP(BU$1,main!$A$3:$I$102,7,FALSE),main!$K$26:$Q$29,5,FALSE)),1,0)</f>
        <v>0</v>
      </c>
      <c r="BV276">
        <f>IF(AND(VLOOKUP(BV$1,main!$A$3:$H$102,7,FALSE)=main!$G$105,VLOOKUP(BV$1,main!$A$3:$H$102,5,FALSE)-VLOOKUP($A276,main!$A$3:$H$102,6,FALSE)&gt;=main!$D$103+VLOOKUP(VLOOKUP(BV$1,main!$A$3:$I$102,7,FALSE),main!$K$26:$Q$29,5,FALSE)),1,0)</f>
        <v>0</v>
      </c>
      <c r="BW276">
        <f>IF(AND(VLOOKUP(BW$1,main!$A$3:$H$102,7,FALSE)=main!$G$105,VLOOKUP(BW$1,main!$A$3:$H$102,5,FALSE)-VLOOKUP($A276,main!$A$3:$H$102,6,FALSE)&gt;=main!$D$103+VLOOKUP(VLOOKUP(BW$1,main!$A$3:$I$102,7,FALSE),main!$K$26:$Q$29,5,FALSE)),1,0)</f>
        <v>0</v>
      </c>
      <c r="BX276">
        <f>IF(AND(VLOOKUP(BX$1,main!$A$3:$H$102,7,FALSE)=main!$G$105,VLOOKUP(BX$1,main!$A$3:$H$102,5,FALSE)-VLOOKUP($A276,main!$A$3:$H$102,6,FALSE)&gt;=main!$D$103+VLOOKUP(VLOOKUP(BX$1,main!$A$3:$I$102,7,FALSE),main!$K$26:$Q$29,5,FALSE)),1,0)</f>
        <v>0</v>
      </c>
      <c r="BY276">
        <f>IF(AND(VLOOKUP(BY$1,main!$A$3:$H$102,7,FALSE)=main!$G$105,VLOOKUP(BY$1,main!$A$3:$H$102,5,FALSE)-VLOOKUP($A276,main!$A$3:$H$102,6,FALSE)&gt;=main!$D$103+VLOOKUP(VLOOKUP(BY$1,main!$A$3:$I$102,7,FALSE),main!$K$26:$Q$29,5,FALSE)),1,0)</f>
        <v>0</v>
      </c>
      <c r="BZ276">
        <f>IF(AND(VLOOKUP(BZ$1,main!$A$3:$H$102,7,FALSE)=main!$G$105,VLOOKUP(BZ$1,main!$A$3:$H$102,5,FALSE)-VLOOKUP($A276,main!$A$3:$H$102,6,FALSE)&gt;=main!$D$103+VLOOKUP(VLOOKUP(BZ$1,main!$A$3:$I$102,7,FALSE),main!$K$26:$Q$29,5,FALSE)),1,0)</f>
        <v>0</v>
      </c>
      <c r="CA276">
        <f>IF(AND(VLOOKUP(CA$1,main!$A$3:$H$102,7,FALSE)=main!$G$105,VLOOKUP(CA$1,main!$A$3:$H$102,5,FALSE)-VLOOKUP($A276,main!$A$3:$H$102,6,FALSE)&gt;=main!$D$103+VLOOKUP(VLOOKUP(CA$1,main!$A$3:$I$102,7,FALSE),main!$K$26:$Q$29,5,FALSE)),1,0)</f>
        <v>0</v>
      </c>
      <c r="CB276">
        <f>IF(AND(VLOOKUP(CB$1,main!$A$3:$H$102,7,FALSE)=main!$G$105,VLOOKUP(CB$1,main!$A$3:$H$102,5,FALSE)-VLOOKUP($A276,main!$A$3:$H$102,6,FALSE)&gt;=main!$D$103+VLOOKUP(VLOOKUP(CB$1,main!$A$3:$I$102,7,FALSE),main!$K$26:$Q$29,5,FALSE)),1,0)</f>
        <v>0</v>
      </c>
      <c r="CC276">
        <f>IF(AND(VLOOKUP(CC$1,main!$A$3:$H$102,7,FALSE)=main!$G$105,VLOOKUP(CC$1,main!$A$3:$H$102,5,FALSE)-VLOOKUP($A276,main!$A$3:$H$102,6,FALSE)&gt;=main!$D$103+VLOOKUP(VLOOKUP(CC$1,main!$A$3:$I$102,7,FALSE),main!$K$26:$Q$29,5,FALSE)),1,0)</f>
        <v>0</v>
      </c>
      <c r="CD276">
        <f>IF(AND(VLOOKUP(CD$1,main!$A$3:$H$102,7,FALSE)=main!$G$105,VLOOKUP(CD$1,main!$A$3:$H$102,5,FALSE)-VLOOKUP($A276,main!$A$3:$H$102,6,FALSE)&gt;=main!$D$103+VLOOKUP(VLOOKUP(CD$1,main!$A$3:$I$102,7,FALSE),main!$K$26:$Q$29,5,FALSE)),1,0)</f>
        <v>0</v>
      </c>
      <c r="CE276">
        <f>IF(AND(VLOOKUP(CE$1,main!$A$3:$H$102,7,FALSE)=main!$G$105,VLOOKUP(CE$1,main!$A$3:$H$102,5,FALSE)-VLOOKUP($A276,main!$A$3:$H$102,6,FALSE)&gt;=main!$D$103+VLOOKUP(VLOOKUP(CE$1,main!$A$3:$I$102,7,FALSE),main!$K$26:$Q$29,5,FALSE)),1,0)</f>
        <v>0</v>
      </c>
      <c r="CF276">
        <f>IF(AND(VLOOKUP(CF$1,main!$A$3:$H$102,7,FALSE)=main!$G$105,VLOOKUP(CF$1,main!$A$3:$H$102,5,FALSE)-VLOOKUP($A276,main!$A$3:$H$102,6,FALSE)&gt;=main!$D$103+VLOOKUP(VLOOKUP(CF$1,main!$A$3:$I$102,7,FALSE),main!$K$26:$Q$29,5,FALSE)),1,0)</f>
        <v>0</v>
      </c>
      <c r="CG276">
        <f>IF(AND(VLOOKUP(CG$1,main!$A$3:$H$102,7,FALSE)=main!$G$105,VLOOKUP(CG$1,main!$A$3:$H$102,5,FALSE)-VLOOKUP($A276,main!$A$3:$H$102,6,FALSE)&gt;=main!$D$103+VLOOKUP(VLOOKUP(CG$1,main!$A$3:$I$102,7,FALSE),main!$K$26:$Q$29,5,FALSE)),1,0)</f>
        <v>0</v>
      </c>
      <c r="CH276">
        <f>IF(AND(VLOOKUP(CH$1,main!$A$3:$H$102,7,FALSE)=main!$G$105,VLOOKUP(CH$1,main!$A$3:$H$102,5,FALSE)-VLOOKUP($A276,main!$A$3:$H$102,6,FALSE)&gt;=main!$D$103+VLOOKUP(VLOOKUP(CH$1,main!$A$3:$I$102,7,FALSE),main!$K$26:$Q$29,5,FALSE)),1,0)</f>
        <v>0</v>
      </c>
      <c r="CI276">
        <f>IF(AND(VLOOKUP(CI$1,main!$A$3:$H$102,7,FALSE)=main!$G$105,VLOOKUP(CI$1,main!$A$3:$H$102,5,FALSE)-VLOOKUP($A276,main!$A$3:$H$102,6,FALSE)&gt;=main!$D$103+VLOOKUP(VLOOKUP(CI$1,main!$A$3:$I$102,7,FALSE),main!$K$26:$Q$29,5,FALSE)),1,0)</f>
        <v>0</v>
      </c>
      <c r="CJ276">
        <f>IF(AND(VLOOKUP(CJ$1,main!$A$3:$H$102,7,FALSE)=main!$G$105,VLOOKUP(CJ$1,main!$A$3:$H$102,5,FALSE)-VLOOKUP($A276,main!$A$3:$H$102,6,FALSE)&gt;=main!$D$103+VLOOKUP(VLOOKUP(CJ$1,main!$A$3:$I$102,7,FALSE),main!$K$26:$Q$29,5,FALSE)),1,0)</f>
        <v>0</v>
      </c>
      <c r="CK276">
        <f>IF(AND(VLOOKUP(CK$1,main!$A$3:$H$102,7,FALSE)=main!$G$105,VLOOKUP(CK$1,main!$A$3:$H$102,5,FALSE)-VLOOKUP($A276,main!$A$3:$H$102,6,FALSE)&gt;=main!$D$103+VLOOKUP(VLOOKUP(CK$1,main!$A$3:$I$102,7,FALSE),main!$K$26:$Q$29,5,FALSE)),1,0)</f>
        <v>0</v>
      </c>
      <c r="CL276">
        <f>IF(AND(VLOOKUP(CL$1,main!$A$3:$H$102,7,FALSE)=main!$G$105,VLOOKUP(CL$1,main!$A$3:$H$102,5,FALSE)-VLOOKUP($A276,main!$A$3:$H$102,6,FALSE)&gt;=main!$D$103+VLOOKUP(VLOOKUP(CL$1,main!$A$3:$I$102,7,FALSE),main!$K$26:$Q$29,5,FALSE)),1,0)</f>
        <v>0</v>
      </c>
      <c r="CM276">
        <f>IF(AND(VLOOKUP(CM$1,main!$A$3:$H$102,7,FALSE)=main!$G$105,VLOOKUP(CM$1,main!$A$3:$H$102,5,FALSE)-VLOOKUP($A276,main!$A$3:$H$102,6,FALSE)&gt;=main!$D$103+VLOOKUP(VLOOKUP(CM$1,main!$A$3:$I$102,7,FALSE),main!$K$26:$Q$29,5,FALSE)),1,0)</f>
        <v>0</v>
      </c>
      <c r="CN276">
        <f>IF(AND(VLOOKUP(CN$1,main!$A$3:$H$102,7,FALSE)=main!$G$105,VLOOKUP(CN$1,main!$A$3:$H$102,5,FALSE)-VLOOKUP($A276,main!$A$3:$H$102,6,FALSE)&gt;=main!$D$103+VLOOKUP(VLOOKUP(CN$1,main!$A$3:$I$102,7,FALSE),main!$K$26:$Q$29,5,FALSE)),1,0)</f>
        <v>0</v>
      </c>
      <c r="CO276">
        <f>IF(AND(VLOOKUP(CO$1,main!$A$3:$H$102,7,FALSE)=main!$G$105,VLOOKUP(CO$1,main!$A$3:$H$102,5,FALSE)-VLOOKUP($A276,main!$A$3:$H$102,6,FALSE)&gt;=main!$D$103+VLOOKUP(VLOOKUP(CO$1,main!$A$3:$I$102,7,FALSE),main!$K$26:$Q$29,5,FALSE)),1,0)</f>
        <v>0</v>
      </c>
      <c r="CP276">
        <f>IF(AND(VLOOKUP(CP$1,main!$A$3:$H$102,7,FALSE)=main!$G$105,VLOOKUP(CP$1,main!$A$3:$H$102,5,FALSE)-VLOOKUP($A276,main!$A$3:$H$102,6,FALSE)&gt;=main!$D$103+VLOOKUP(VLOOKUP(CP$1,main!$A$3:$I$102,7,FALSE),main!$K$26:$Q$29,5,FALSE)),1,0)</f>
        <v>0</v>
      </c>
      <c r="CQ276">
        <f>IF(AND(VLOOKUP(CQ$1,main!$A$3:$H$102,7,FALSE)=main!$G$105,VLOOKUP(CQ$1,main!$A$3:$H$102,5,FALSE)-VLOOKUP($A276,main!$A$3:$H$102,6,FALSE)&gt;=main!$D$103+VLOOKUP(VLOOKUP(CQ$1,main!$A$3:$I$102,7,FALSE),main!$K$26:$Q$29,5,FALSE)),1,0)</f>
        <v>0</v>
      </c>
      <c r="CR276">
        <f>IF(AND(VLOOKUP(CR$1,main!$A$3:$H$102,7,FALSE)=main!$G$105,VLOOKUP(CR$1,main!$A$3:$H$102,5,FALSE)-VLOOKUP($A276,main!$A$3:$H$102,6,FALSE)&gt;=main!$D$103+VLOOKUP(VLOOKUP(CR$1,main!$A$3:$I$102,7,FALSE),main!$K$26:$Q$29,5,FALSE)),1,0)</f>
        <v>0</v>
      </c>
      <c r="CS276">
        <f>IF(AND(VLOOKUP(CS$1,main!$A$3:$H$102,7,FALSE)=main!$G$105,VLOOKUP(CS$1,main!$A$3:$H$102,5,FALSE)-VLOOKUP($A276,main!$A$3:$H$102,6,FALSE)&gt;=main!$D$103+VLOOKUP(VLOOKUP(CS$1,main!$A$3:$I$102,7,FALSE),main!$K$26:$Q$29,5,FALSE)),1,0)</f>
        <v>0</v>
      </c>
      <c r="CT276">
        <f>IF(AND(VLOOKUP(CT$1,main!$A$3:$H$102,7,FALSE)=main!$G$105,VLOOKUP(CT$1,main!$A$3:$H$102,5,FALSE)-VLOOKUP($A276,main!$A$3:$H$102,6,FALSE)&gt;=main!$D$103+VLOOKUP(VLOOKUP(CT$1,main!$A$3:$I$102,7,FALSE),main!$K$26:$Q$29,5,FALSE)),1,0)</f>
        <v>0</v>
      </c>
      <c r="CU276">
        <f>IF(AND(VLOOKUP(CU$1,main!$A$3:$H$102,7,FALSE)=main!$G$105,VLOOKUP(CU$1,main!$A$3:$H$102,5,FALSE)-VLOOKUP($A276,main!$A$3:$H$102,6,FALSE)&gt;=main!$D$103+VLOOKUP(VLOOKUP(CU$1,main!$A$3:$I$102,7,FALSE),main!$K$26:$Q$29,5,FALSE)),1,0)</f>
        <v>0</v>
      </c>
      <c r="CV276">
        <f>IF(AND(VLOOKUP(CV$1,main!$A$3:$H$102,7,FALSE)=main!$G$105,VLOOKUP(CV$1,main!$A$3:$H$102,5,FALSE)-VLOOKUP($A276,main!$A$3:$H$102,6,FALSE)&gt;=main!$D$103+VLOOKUP(VLOOKUP(CV$1,main!$A$3:$I$102,7,FALSE),main!$K$26:$Q$29,5,FALSE)),1,0)</f>
        <v>0</v>
      </c>
      <c r="CW276">
        <f>IF(AND(VLOOKUP(CW$1,main!$A$3:$H$102,7,FALSE)=main!$G$105,VLOOKUP(CW$1,main!$A$3:$H$102,5,FALSE)-VLOOKUP($A276,main!$A$3:$H$102,6,FALSE)&gt;=main!$D$103+VLOOKUP(VLOOKUP(CW$1,main!$A$3:$I$102,7,FALSE),main!$K$26:$Q$29,5,FALSE)),1,0)</f>
        <v>0</v>
      </c>
      <c r="CX276">
        <f>IF(AND(VLOOKUP(CX$1,main!$A$3:$H$102,7,FALSE)=main!$G$105,VLOOKUP(CX$1,main!$A$3:$H$102,5,FALSE)-VLOOKUP($A276,main!$A$3:$H$102,6,FALSE)&gt;=main!$D$103+VLOOKUP(VLOOKUP(CX$1,main!$A$3:$I$102,7,FALSE),main!$K$26:$Q$29,5,FALSE)),1,0)</f>
        <v>0</v>
      </c>
    </row>
    <row r="277" spans="1:102" x14ac:dyDescent="0.25">
      <c r="A277" s="1">
        <v>73</v>
      </c>
      <c r="B277">
        <v>0</v>
      </c>
      <c r="C277">
        <f>IF(AND(VLOOKUP(C$1,main!$A$3:$H$102,7,FALSE)=main!$G$105,VLOOKUP(C$1,main!$A$3:$H$102,5,FALSE)-VLOOKUP($A277,main!$A$3:$H$102,6,FALSE)&gt;=main!$D$103+VLOOKUP(VLOOKUP(C$1,main!$A$3:$I$102,7,FALSE),main!$K$26:$Q$29,5,FALSE)),1,0)</f>
        <v>0</v>
      </c>
      <c r="D277">
        <f>IF(AND(VLOOKUP(D$1,main!$A$3:$H$102,7,FALSE)=main!$G$105,VLOOKUP(D$1,main!$A$3:$H$102,5,FALSE)-VLOOKUP($A277,main!$A$3:$H$102,6,FALSE)&gt;=main!$D$103+VLOOKUP(VLOOKUP(D$1,main!$A$3:$I$102,7,FALSE),main!$K$26:$Q$29,5,FALSE)),1,0)</f>
        <v>0</v>
      </c>
      <c r="E277">
        <f>IF(AND(VLOOKUP(E$1,main!$A$3:$H$102,7,FALSE)=main!$G$105,VLOOKUP(E$1,main!$A$3:$H$102,5,FALSE)-VLOOKUP($A277,main!$A$3:$H$102,6,FALSE)&gt;=main!$D$103+VLOOKUP(VLOOKUP(E$1,main!$A$3:$I$102,7,FALSE),main!$K$26:$Q$29,5,FALSE)),1,0)</f>
        <v>0</v>
      </c>
      <c r="F277">
        <f>IF(AND(VLOOKUP(F$1,main!$A$3:$H$102,7,FALSE)=main!$G$105,VLOOKUP(F$1,main!$A$3:$H$102,5,FALSE)-VLOOKUP($A277,main!$A$3:$H$102,6,FALSE)&gt;=main!$D$103+VLOOKUP(VLOOKUP(F$1,main!$A$3:$I$102,7,FALSE),main!$K$26:$Q$29,5,FALSE)),1,0)</f>
        <v>0</v>
      </c>
      <c r="G277">
        <f>IF(AND(VLOOKUP(G$1,main!$A$3:$H$102,7,FALSE)=main!$G$105,VLOOKUP(G$1,main!$A$3:$H$102,5,FALSE)-VLOOKUP($A277,main!$A$3:$H$102,6,FALSE)&gt;=main!$D$103+VLOOKUP(VLOOKUP(G$1,main!$A$3:$I$102,7,FALSE),main!$K$26:$Q$29,5,FALSE)),1,0)</f>
        <v>0</v>
      </c>
      <c r="H277">
        <f>IF(AND(VLOOKUP(H$1,main!$A$3:$H$102,7,FALSE)=main!$G$105,VLOOKUP(H$1,main!$A$3:$H$102,5,FALSE)-VLOOKUP($A277,main!$A$3:$H$102,6,FALSE)&gt;=main!$D$103+VLOOKUP(VLOOKUP(H$1,main!$A$3:$I$102,7,FALSE),main!$K$26:$Q$29,5,FALSE)),1,0)</f>
        <v>0</v>
      </c>
      <c r="I277">
        <f>IF(AND(VLOOKUP(I$1,main!$A$3:$H$102,7,FALSE)=main!$G$105,VLOOKUP(I$1,main!$A$3:$H$102,5,FALSE)-VLOOKUP($A277,main!$A$3:$H$102,6,FALSE)&gt;=main!$D$103+VLOOKUP(VLOOKUP(I$1,main!$A$3:$I$102,7,FALSE),main!$K$26:$Q$29,5,FALSE)),1,0)</f>
        <v>0</v>
      </c>
      <c r="J277">
        <f>IF(AND(VLOOKUP(J$1,main!$A$3:$H$102,7,FALSE)=main!$G$105,VLOOKUP(J$1,main!$A$3:$H$102,5,FALSE)-VLOOKUP($A277,main!$A$3:$H$102,6,FALSE)&gt;=main!$D$103+VLOOKUP(VLOOKUP(J$1,main!$A$3:$I$102,7,FALSE),main!$K$26:$Q$29,5,FALSE)),1,0)</f>
        <v>0</v>
      </c>
      <c r="K277">
        <f>IF(AND(VLOOKUP(K$1,main!$A$3:$H$102,7,FALSE)=main!$G$105,VLOOKUP(K$1,main!$A$3:$H$102,5,FALSE)-VLOOKUP($A277,main!$A$3:$H$102,6,FALSE)&gt;=main!$D$103+VLOOKUP(VLOOKUP(K$1,main!$A$3:$I$102,7,FALSE),main!$K$26:$Q$29,5,FALSE)),1,0)</f>
        <v>0</v>
      </c>
      <c r="L277">
        <f>IF(AND(VLOOKUP(L$1,main!$A$3:$H$102,7,FALSE)=main!$G$105,VLOOKUP(L$1,main!$A$3:$H$102,5,FALSE)-VLOOKUP($A277,main!$A$3:$H$102,6,FALSE)&gt;=main!$D$103+VLOOKUP(VLOOKUP(L$1,main!$A$3:$I$102,7,FALSE),main!$K$26:$Q$29,5,FALSE)),1,0)</f>
        <v>0</v>
      </c>
      <c r="M277">
        <f>IF(AND(VLOOKUP(M$1,main!$A$3:$H$102,7,FALSE)=main!$G$105,VLOOKUP(M$1,main!$A$3:$H$102,5,FALSE)-VLOOKUP($A277,main!$A$3:$H$102,6,FALSE)&gt;=main!$D$103+VLOOKUP(VLOOKUP(M$1,main!$A$3:$I$102,7,FALSE),main!$K$26:$Q$29,5,FALSE)),1,0)</f>
        <v>0</v>
      </c>
      <c r="N277">
        <f>IF(AND(VLOOKUP(N$1,main!$A$3:$H$102,7,FALSE)=main!$G$105,VLOOKUP(N$1,main!$A$3:$H$102,5,FALSE)-VLOOKUP($A277,main!$A$3:$H$102,6,FALSE)&gt;=main!$D$103+VLOOKUP(VLOOKUP(N$1,main!$A$3:$I$102,7,FALSE),main!$K$26:$Q$29,5,FALSE)),1,0)</f>
        <v>0</v>
      </c>
      <c r="O277">
        <f>IF(AND(VLOOKUP(O$1,main!$A$3:$H$102,7,FALSE)=main!$G$105,VLOOKUP(O$1,main!$A$3:$H$102,5,FALSE)-VLOOKUP($A277,main!$A$3:$H$102,6,FALSE)&gt;=main!$D$103+VLOOKUP(VLOOKUP(O$1,main!$A$3:$I$102,7,FALSE),main!$K$26:$Q$29,5,FALSE)),1,0)</f>
        <v>0</v>
      </c>
      <c r="P277">
        <f>IF(AND(VLOOKUP(P$1,main!$A$3:$H$102,7,FALSE)=main!$G$105,VLOOKUP(P$1,main!$A$3:$H$102,5,FALSE)-VLOOKUP($A277,main!$A$3:$H$102,6,FALSE)&gt;=main!$D$103+VLOOKUP(VLOOKUP(P$1,main!$A$3:$I$102,7,FALSE),main!$K$26:$Q$29,5,FALSE)),1,0)</f>
        <v>0</v>
      </c>
      <c r="Q277">
        <f>IF(AND(VLOOKUP(Q$1,main!$A$3:$H$102,7,FALSE)=main!$G$105,VLOOKUP(Q$1,main!$A$3:$H$102,5,FALSE)-VLOOKUP($A277,main!$A$3:$H$102,6,FALSE)&gt;=main!$D$103+VLOOKUP(VLOOKUP(Q$1,main!$A$3:$I$102,7,FALSE),main!$K$26:$Q$29,5,FALSE)),1,0)</f>
        <v>0</v>
      </c>
      <c r="R277">
        <f>IF(AND(VLOOKUP(R$1,main!$A$3:$H$102,7,FALSE)=main!$G$105,VLOOKUP(R$1,main!$A$3:$H$102,5,FALSE)-VLOOKUP($A277,main!$A$3:$H$102,6,FALSE)&gt;=main!$D$103+VLOOKUP(VLOOKUP(R$1,main!$A$3:$I$102,7,FALSE),main!$K$26:$Q$29,5,FALSE)),1,0)</f>
        <v>0</v>
      </c>
      <c r="S277">
        <f>IF(AND(VLOOKUP(S$1,main!$A$3:$H$102,7,FALSE)=main!$G$105,VLOOKUP(S$1,main!$A$3:$H$102,5,FALSE)-VLOOKUP($A277,main!$A$3:$H$102,6,FALSE)&gt;=main!$D$103+VLOOKUP(VLOOKUP(S$1,main!$A$3:$I$102,7,FALSE),main!$K$26:$Q$29,5,FALSE)),1,0)</f>
        <v>0</v>
      </c>
      <c r="T277">
        <f>IF(AND(VLOOKUP(T$1,main!$A$3:$H$102,7,FALSE)=main!$G$105,VLOOKUP(T$1,main!$A$3:$H$102,5,FALSE)-VLOOKUP($A277,main!$A$3:$H$102,6,FALSE)&gt;=main!$D$103+VLOOKUP(VLOOKUP(T$1,main!$A$3:$I$102,7,FALSE),main!$K$26:$Q$29,5,FALSE)),1,0)</f>
        <v>0</v>
      </c>
      <c r="U277">
        <f>IF(AND(VLOOKUP(U$1,main!$A$3:$H$102,7,FALSE)=main!$G$105,VLOOKUP(U$1,main!$A$3:$H$102,5,FALSE)-VLOOKUP($A277,main!$A$3:$H$102,6,FALSE)&gt;=main!$D$103+VLOOKUP(VLOOKUP(U$1,main!$A$3:$I$102,7,FALSE),main!$K$26:$Q$29,5,FALSE)),1,0)</f>
        <v>0</v>
      </c>
      <c r="V277">
        <f>IF(AND(VLOOKUP(V$1,main!$A$3:$H$102,7,FALSE)=main!$G$105,VLOOKUP(V$1,main!$A$3:$H$102,5,FALSE)-VLOOKUP($A277,main!$A$3:$H$102,6,FALSE)&gt;=main!$D$103+VLOOKUP(VLOOKUP(V$1,main!$A$3:$I$102,7,FALSE),main!$K$26:$Q$29,5,FALSE)),1,0)</f>
        <v>0</v>
      </c>
      <c r="W277">
        <f>IF(AND(VLOOKUP(W$1,main!$A$3:$H$102,7,FALSE)=main!$G$105,VLOOKUP(W$1,main!$A$3:$H$102,5,FALSE)-VLOOKUP($A277,main!$A$3:$H$102,6,FALSE)&gt;=main!$D$103+VLOOKUP(VLOOKUP(W$1,main!$A$3:$I$102,7,FALSE),main!$K$26:$Q$29,5,FALSE)),1,0)</f>
        <v>0</v>
      </c>
      <c r="X277">
        <f>IF(AND(VLOOKUP(X$1,main!$A$3:$H$102,7,FALSE)=main!$G$105,VLOOKUP(X$1,main!$A$3:$H$102,5,FALSE)-VLOOKUP($A277,main!$A$3:$H$102,6,FALSE)&gt;=main!$D$103+VLOOKUP(VLOOKUP(X$1,main!$A$3:$I$102,7,FALSE),main!$K$26:$Q$29,5,FALSE)),1,0)</f>
        <v>0</v>
      </c>
      <c r="Y277">
        <f>IF(AND(VLOOKUP(Y$1,main!$A$3:$H$102,7,FALSE)=main!$G$105,VLOOKUP(Y$1,main!$A$3:$H$102,5,FALSE)-VLOOKUP($A277,main!$A$3:$H$102,6,FALSE)&gt;=main!$D$103+VLOOKUP(VLOOKUP(Y$1,main!$A$3:$I$102,7,FALSE),main!$K$26:$Q$29,5,FALSE)),1,0)</f>
        <v>0</v>
      </c>
      <c r="Z277">
        <f>IF(AND(VLOOKUP(Z$1,main!$A$3:$H$102,7,FALSE)=main!$G$105,VLOOKUP(Z$1,main!$A$3:$H$102,5,FALSE)-VLOOKUP($A277,main!$A$3:$H$102,6,FALSE)&gt;=main!$D$103+VLOOKUP(VLOOKUP(Z$1,main!$A$3:$I$102,7,FALSE),main!$K$26:$Q$29,5,FALSE)),1,0)</f>
        <v>0</v>
      </c>
      <c r="AA277">
        <f>IF(AND(VLOOKUP(AA$1,main!$A$3:$H$102,7,FALSE)=main!$G$105,VLOOKUP(AA$1,main!$A$3:$H$102,5,FALSE)-VLOOKUP($A277,main!$A$3:$H$102,6,FALSE)&gt;=main!$D$103+VLOOKUP(VLOOKUP(AA$1,main!$A$3:$I$102,7,FALSE),main!$K$26:$Q$29,5,FALSE)),1,0)</f>
        <v>0</v>
      </c>
      <c r="AB277">
        <f>IF(AND(VLOOKUP(AB$1,main!$A$3:$H$102,7,FALSE)=main!$G$105,VLOOKUP(AB$1,main!$A$3:$H$102,5,FALSE)-VLOOKUP($A277,main!$A$3:$H$102,6,FALSE)&gt;=main!$D$103+VLOOKUP(VLOOKUP(AB$1,main!$A$3:$I$102,7,FALSE),main!$K$26:$Q$29,5,FALSE)),1,0)</f>
        <v>0</v>
      </c>
      <c r="AC277">
        <f>IF(AND(VLOOKUP(AC$1,main!$A$3:$H$102,7,FALSE)=main!$G$105,VLOOKUP(AC$1,main!$A$3:$H$102,5,FALSE)-VLOOKUP($A277,main!$A$3:$H$102,6,FALSE)&gt;=main!$D$103+VLOOKUP(VLOOKUP(AC$1,main!$A$3:$I$102,7,FALSE),main!$K$26:$Q$29,5,FALSE)),1,0)</f>
        <v>0</v>
      </c>
      <c r="AD277">
        <f>IF(AND(VLOOKUP(AD$1,main!$A$3:$H$102,7,FALSE)=main!$G$105,VLOOKUP(AD$1,main!$A$3:$H$102,5,FALSE)-VLOOKUP($A277,main!$A$3:$H$102,6,FALSE)&gt;=main!$D$103+VLOOKUP(VLOOKUP(AD$1,main!$A$3:$I$102,7,FALSE),main!$K$26:$Q$29,5,FALSE)),1,0)</f>
        <v>0</v>
      </c>
      <c r="AE277">
        <f>IF(AND(VLOOKUP(AE$1,main!$A$3:$H$102,7,FALSE)=main!$G$105,VLOOKUP(AE$1,main!$A$3:$H$102,5,FALSE)-VLOOKUP($A277,main!$A$3:$H$102,6,FALSE)&gt;=main!$D$103+VLOOKUP(VLOOKUP(AE$1,main!$A$3:$I$102,7,FALSE),main!$K$26:$Q$29,5,FALSE)),1,0)</f>
        <v>0</v>
      </c>
      <c r="AF277">
        <f>IF(AND(VLOOKUP(AF$1,main!$A$3:$H$102,7,FALSE)=main!$G$105,VLOOKUP(AF$1,main!$A$3:$H$102,5,FALSE)-VLOOKUP($A277,main!$A$3:$H$102,6,FALSE)&gt;=main!$D$103+VLOOKUP(VLOOKUP(AF$1,main!$A$3:$I$102,7,FALSE),main!$K$26:$Q$29,5,FALSE)),1,0)</f>
        <v>0</v>
      </c>
      <c r="AG277">
        <f>IF(AND(VLOOKUP(AG$1,main!$A$3:$H$102,7,FALSE)=main!$G$105,VLOOKUP(AG$1,main!$A$3:$H$102,5,FALSE)-VLOOKUP($A277,main!$A$3:$H$102,6,FALSE)&gt;=main!$D$103+VLOOKUP(VLOOKUP(AG$1,main!$A$3:$I$102,7,FALSE),main!$K$26:$Q$29,5,FALSE)),1,0)</f>
        <v>0</v>
      </c>
      <c r="AH277">
        <f>IF(AND(VLOOKUP(AH$1,main!$A$3:$H$102,7,FALSE)=main!$G$105,VLOOKUP(AH$1,main!$A$3:$H$102,5,FALSE)-VLOOKUP($A277,main!$A$3:$H$102,6,FALSE)&gt;=main!$D$103+VLOOKUP(VLOOKUP(AH$1,main!$A$3:$I$102,7,FALSE),main!$K$26:$Q$29,5,FALSE)),1,0)</f>
        <v>0</v>
      </c>
      <c r="AI277">
        <f>IF(AND(VLOOKUP(AI$1,main!$A$3:$H$102,7,FALSE)=main!$G$105,VLOOKUP(AI$1,main!$A$3:$H$102,5,FALSE)-VLOOKUP($A277,main!$A$3:$H$102,6,FALSE)&gt;=main!$D$103+VLOOKUP(VLOOKUP(AI$1,main!$A$3:$I$102,7,FALSE),main!$K$26:$Q$29,5,FALSE)),1,0)</f>
        <v>0</v>
      </c>
      <c r="AJ277">
        <f>IF(AND(VLOOKUP(AJ$1,main!$A$3:$H$102,7,FALSE)=main!$G$105,VLOOKUP(AJ$1,main!$A$3:$H$102,5,FALSE)-VLOOKUP($A277,main!$A$3:$H$102,6,FALSE)&gt;=main!$D$103+VLOOKUP(VLOOKUP(AJ$1,main!$A$3:$I$102,7,FALSE),main!$K$26:$Q$29,5,FALSE)),1,0)</f>
        <v>1</v>
      </c>
      <c r="AK277">
        <f>IF(AND(VLOOKUP(AK$1,main!$A$3:$H$102,7,FALSE)=main!$G$105,VLOOKUP(AK$1,main!$A$3:$H$102,5,FALSE)-VLOOKUP($A277,main!$A$3:$H$102,6,FALSE)&gt;=main!$D$103+VLOOKUP(VLOOKUP(AK$1,main!$A$3:$I$102,7,FALSE),main!$K$26:$Q$29,5,FALSE)),1,0)</f>
        <v>1</v>
      </c>
      <c r="AL277">
        <f>IF(AND(VLOOKUP(AL$1,main!$A$3:$H$102,7,FALSE)=main!$G$105,VLOOKUP(AL$1,main!$A$3:$H$102,5,FALSE)-VLOOKUP($A277,main!$A$3:$H$102,6,FALSE)&gt;=main!$D$103+VLOOKUP(VLOOKUP(AL$1,main!$A$3:$I$102,7,FALSE),main!$K$26:$Q$29,5,FALSE)),1,0)</f>
        <v>1</v>
      </c>
      <c r="AM277">
        <f>IF(AND(VLOOKUP(AM$1,main!$A$3:$H$102,7,FALSE)=main!$G$105,VLOOKUP(AM$1,main!$A$3:$H$102,5,FALSE)-VLOOKUP($A277,main!$A$3:$H$102,6,FALSE)&gt;=main!$D$103+VLOOKUP(VLOOKUP(AM$1,main!$A$3:$I$102,7,FALSE),main!$K$26:$Q$29,5,FALSE)),1,0)</f>
        <v>1</v>
      </c>
      <c r="AN277">
        <f>IF(AND(VLOOKUP(AN$1,main!$A$3:$H$102,7,FALSE)=main!$G$105,VLOOKUP(AN$1,main!$A$3:$H$102,5,FALSE)-VLOOKUP($A277,main!$A$3:$H$102,6,FALSE)&gt;=main!$D$103+VLOOKUP(VLOOKUP(AN$1,main!$A$3:$I$102,7,FALSE),main!$K$26:$Q$29,5,FALSE)),1,0)</f>
        <v>1</v>
      </c>
      <c r="AO277">
        <f>IF(AND(VLOOKUP(AO$1,main!$A$3:$H$102,7,FALSE)=main!$G$105,VLOOKUP(AO$1,main!$A$3:$H$102,5,FALSE)-VLOOKUP($A277,main!$A$3:$H$102,6,FALSE)&gt;=main!$D$103+VLOOKUP(VLOOKUP(AO$1,main!$A$3:$I$102,7,FALSE),main!$K$26:$Q$29,5,FALSE)),1,0)</f>
        <v>0</v>
      </c>
      <c r="AP277">
        <f>IF(AND(VLOOKUP(AP$1,main!$A$3:$H$102,7,FALSE)=main!$G$105,VLOOKUP(AP$1,main!$A$3:$H$102,5,FALSE)-VLOOKUP($A277,main!$A$3:$H$102,6,FALSE)&gt;=main!$D$103+VLOOKUP(VLOOKUP(AP$1,main!$A$3:$I$102,7,FALSE),main!$K$26:$Q$29,5,FALSE)),1,0)</f>
        <v>1</v>
      </c>
      <c r="AQ277">
        <f>IF(AND(VLOOKUP(AQ$1,main!$A$3:$H$102,7,FALSE)=main!$G$105,VLOOKUP(AQ$1,main!$A$3:$H$102,5,FALSE)-VLOOKUP($A277,main!$A$3:$H$102,6,FALSE)&gt;=main!$D$103+VLOOKUP(VLOOKUP(AQ$1,main!$A$3:$I$102,7,FALSE),main!$K$26:$Q$29,5,FALSE)),1,0)</f>
        <v>0</v>
      </c>
      <c r="AR277">
        <f>IF(AND(VLOOKUP(AR$1,main!$A$3:$H$102,7,FALSE)=main!$G$105,VLOOKUP(AR$1,main!$A$3:$H$102,5,FALSE)-VLOOKUP($A277,main!$A$3:$H$102,6,FALSE)&gt;=main!$D$103+VLOOKUP(VLOOKUP(AR$1,main!$A$3:$I$102,7,FALSE),main!$K$26:$Q$29,5,FALSE)),1,0)</f>
        <v>0</v>
      </c>
      <c r="AS277">
        <f>IF(AND(VLOOKUP(AS$1,main!$A$3:$H$102,7,FALSE)=main!$G$105,VLOOKUP(AS$1,main!$A$3:$H$102,5,FALSE)-VLOOKUP($A277,main!$A$3:$H$102,6,FALSE)&gt;=main!$D$103+VLOOKUP(VLOOKUP(AS$1,main!$A$3:$I$102,7,FALSE),main!$K$26:$Q$29,5,FALSE)),1,0)</f>
        <v>1</v>
      </c>
      <c r="AT277">
        <f>IF(AND(VLOOKUP(AT$1,main!$A$3:$H$102,7,FALSE)=main!$G$105,VLOOKUP(AT$1,main!$A$3:$H$102,5,FALSE)-VLOOKUP($A277,main!$A$3:$H$102,6,FALSE)&gt;=main!$D$103+VLOOKUP(VLOOKUP(AT$1,main!$A$3:$I$102,7,FALSE),main!$K$26:$Q$29,5,FALSE)),1,0)</f>
        <v>1</v>
      </c>
      <c r="AU277">
        <f>IF(AND(VLOOKUP(AU$1,main!$A$3:$H$102,7,FALSE)=main!$G$105,VLOOKUP(AU$1,main!$A$3:$H$102,5,FALSE)-VLOOKUP($A277,main!$A$3:$H$102,6,FALSE)&gt;=main!$D$103+VLOOKUP(VLOOKUP(AU$1,main!$A$3:$I$102,7,FALSE),main!$K$26:$Q$29,5,FALSE)),1,0)</f>
        <v>0</v>
      </c>
      <c r="AV277">
        <f>IF(AND(VLOOKUP(AV$1,main!$A$3:$H$102,7,FALSE)=main!$G$105,VLOOKUP(AV$1,main!$A$3:$H$102,5,FALSE)-VLOOKUP($A277,main!$A$3:$H$102,6,FALSE)&gt;=main!$D$103+VLOOKUP(VLOOKUP(AV$1,main!$A$3:$I$102,7,FALSE),main!$K$26:$Q$29,5,FALSE)),1,0)</f>
        <v>0</v>
      </c>
      <c r="AW277">
        <f>IF(AND(VLOOKUP(AW$1,main!$A$3:$H$102,7,FALSE)=main!$G$105,VLOOKUP(AW$1,main!$A$3:$H$102,5,FALSE)-VLOOKUP($A277,main!$A$3:$H$102,6,FALSE)&gt;=main!$D$103+VLOOKUP(VLOOKUP(AW$1,main!$A$3:$I$102,7,FALSE),main!$K$26:$Q$29,5,FALSE)),1,0)</f>
        <v>1</v>
      </c>
      <c r="AX277">
        <f>IF(AND(VLOOKUP(AX$1,main!$A$3:$H$102,7,FALSE)=main!$G$105,VLOOKUP(AX$1,main!$A$3:$H$102,5,FALSE)-VLOOKUP($A277,main!$A$3:$H$102,6,FALSE)&gt;=main!$D$103+VLOOKUP(VLOOKUP(AX$1,main!$A$3:$I$102,7,FALSE),main!$K$26:$Q$29,5,FALSE)),1,0)</f>
        <v>0</v>
      </c>
      <c r="AY277">
        <f>IF(AND(VLOOKUP(AY$1,main!$A$3:$H$102,7,FALSE)=main!$G$105,VLOOKUP(AY$1,main!$A$3:$H$102,5,FALSE)-VLOOKUP($A277,main!$A$3:$H$102,6,FALSE)&gt;=main!$D$103+VLOOKUP(VLOOKUP(AY$1,main!$A$3:$I$102,7,FALSE),main!$K$26:$Q$29,5,FALSE)),1,0)</f>
        <v>0</v>
      </c>
      <c r="AZ277">
        <f>IF(AND(VLOOKUP(AZ$1,main!$A$3:$H$102,7,FALSE)=main!$G$105,VLOOKUP(AZ$1,main!$A$3:$H$102,5,FALSE)-VLOOKUP($A277,main!$A$3:$H$102,6,FALSE)&gt;=main!$D$103+VLOOKUP(VLOOKUP(AZ$1,main!$A$3:$I$102,7,FALSE),main!$K$26:$Q$29,5,FALSE)),1,0)</f>
        <v>0</v>
      </c>
      <c r="BA277">
        <f>IF(AND(VLOOKUP(BA$1,main!$A$3:$H$102,7,FALSE)=main!$G$105,VLOOKUP(BA$1,main!$A$3:$H$102,5,FALSE)-VLOOKUP($A277,main!$A$3:$H$102,6,FALSE)&gt;=main!$D$103+VLOOKUP(VLOOKUP(BA$1,main!$A$3:$I$102,7,FALSE),main!$K$26:$Q$29,5,FALSE)),1,0)</f>
        <v>0</v>
      </c>
      <c r="BB277">
        <f>IF(AND(VLOOKUP(BB$1,main!$A$3:$H$102,7,FALSE)=main!$G$105,VLOOKUP(BB$1,main!$A$3:$H$102,5,FALSE)-VLOOKUP($A277,main!$A$3:$H$102,6,FALSE)&gt;=main!$D$103+VLOOKUP(VLOOKUP(BB$1,main!$A$3:$I$102,7,FALSE),main!$K$26:$Q$29,5,FALSE)),1,0)</f>
        <v>0</v>
      </c>
      <c r="BC277">
        <f>IF(AND(VLOOKUP(BC$1,main!$A$3:$H$102,7,FALSE)=main!$G$105,VLOOKUP(BC$1,main!$A$3:$H$102,5,FALSE)-VLOOKUP($A277,main!$A$3:$H$102,6,FALSE)&gt;=main!$D$103+VLOOKUP(VLOOKUP(BC$1,main!$A$3:$I$102,7,FALSE),main!$K$26:$Q$29,5,FALSE)),1,0)</f>
        <v>0</v>
      </c>
      <c r="BD277">
        <f>IF(AND(VLOOKUP(BD$1,main!$A$3:$H$102,7,FALSE)=main!$G$105,VLOOKUP(BD$1,main!$A$3:$H$102,5,FALSE)-VLOOKUP($A277,main!$A$3:$H$102,6,FALSE)&gt;=main!$D$103+VLOOKUP(VLOOKUP(BD$1,main!$A$3:$I$102,7,FALSE),main!$K$26:$Q$29,5,FALSE)),1,0)</f>
        <v>0</v>
      </c>
      <c r="BE277">
        <f>IF(AND(VLOOKUP(BE$1,main!$A$3:$H$102,7,FALSE)=main!$G$105,VLOOKUP(BE$1,main!$A$3:$H$102,5,FALSE)-VLOOKUP($A277,main!$A$3:$H$102,6,FALSE)&gt;=main!$D$103+VLOOKUP(VLOOKUP(BE$1,main!$A$3:$I$102,7,FALSE),main!$K$26:$Q$29,5,FALSE)),1,0)</f>
        <v>0</v>
      </c>
      <c r="BF277">
        <f>IF(AND(VLOOKUP(BF$1,main!$A$3:$H$102,7,FALSE)=main!$G$105,VLOOKUP(BF$1,main!$A$3:$H$102,5,FALSE)-VLOOKUP($A277,main!$A$3:$H$102,6,FALSE)&gt;=main!$D$103+VLOOKUP(VLOOKUP(BF$1,main!$A$3:$I$102,7,FALSE),main!$K$26:$Q$29,5,FALSE)),1,0)</f>
        <v>0</v>
      </c>
      <c r="BG277">
        <f>IF(AND(VLOOKUP(BG$1,main!$A$3:$H$102,7,FALSE)=main!$G$105,VLOOKUP(BG$1,main!$A$3:$H$102,5,FALSE)-VLOOKUP($A277,main!$A$3:$H$102,6,FALSE)&gt;=main!$D$103+VLOOKUP(VLOOKUP(BG$1,main!$A$3:$I$102,7,FALSE),main!$K$26:$Q$29,5,FALSE)),1,0)</f>
        <v>0</v>
      </c>
      <c r="BH277">
        <f>IF(AND(VLOOKUP(BH$1,main!$A$3:$H$102,7,FALSE)=main!$G$105,VLOOKUP(BH$1,main!$A$3:$H$102,5,FALSE)-VLOOKUP($A277,main!$A$3:$H$102,6,FALSE)&gt;=main!$D$103+VLOOKUP(VLOOKUP(BH$1,main!$A$3:$I$102,7,FALSE),main!$K$26:$Q$29,5,FALSE)),1,0)</f>
        <v>0</v>
      </c>
      <c r="BI277">
        <f>IF(AND(VLOOKUP(BI$1,main!$A$3:$H$102,7,FALSE)=main!$G$105,VLOOKUP(BI$1,main!$A$3:$H$102,5,FALSE)-VLOOKUP($A277,main!$A$3:$H$102,6,FALSE)&gt;=main!$D$103+VLOOKUP(VLOOKUP(BI$1,main!$A$3:$I$102,7,FALSE),main!$K$26:$Q$29,5,FALSE)),1,0)</f>
        <v>0</v>
      </c>
      <c r="BJ277">
        <f>IF(AND(VLOOKUP(BJ$1,main!$A$3:$H$102,7,FALSE)=main!$G$105,VLOOKUP(BJ$1,main!$A$3:$H$102,5,FALSE)-VLOOKUP($A277,main!$A$3:$H$102,6,FALSE)&gt;=main!$D$103+VLOOKUP(VLOOKUP(BJ$1,main!$A$3:$I$102,7,FALSE),main!$K$26:$Q$29,5,FALSE)),1,0)</f>
        <v>0</v>
      </c>
      <c r="BK277">
        <f>IF(AND(VLOOKUP(BK$1,main!$A$3:$H$102,7,FALSE)=main!$G$105,VLOOKUP(BK$1,main!$A$3:$H$102,5,FALSE)-VLOOKUP($A277,main!$A$3:$H$102,6,FALSE)&gt;=main!$D$103+VLOOKUP(VLOOKUP(BK$1,main!$A$3:$I$102,7,FALSE),main!$K$26:$Q$29,5,FALSE)),1,0)</f>
        <v>0</v>
      </c>
      <c r="BL277">
        <f>IF(AND(VLOOKUP(BL$1,main!$A$3:$H$102,7,FALSE)=main!$G$105,VLOOKUP(BL$1,main!$A$3:$H$102,5,FALSE)-VLOOKUP($A277,main!$A$3:$H$102,6,FALSE)&gt;=main!$D$103+VLOOKUP(VLOOKUP(BL$1,main!$A$3:$I$102,7,FALSE),main!$K$26:$Q$29,5,FALSE)),1,0)</f>
        <v>0</v>
      </c>
      <c r="BM277">
        <f>IF(AND(VLOOKUP(BM$1,main!$A$3:$H$102,7,FALSE)=main!$G$105,VLOOKUP(BM$1,main!$A$3:$H$102,5,FALSE)-VLOOKUP($A277,main!$A$3:$H$102,6,FALSE)&gt;=main!$D$103+VLOOKUP(VLOOKUP(BM$1,main!$A$3:$I$102,7,FALSE),main!$K$26:$Q$29,5,FALSE)),1,0)</f>
        <v>0</v>
      </c>
      <c r="BN277">
        <f>IF(AND(VLOOKUP(BN$1,main!$A$3:$H$102,7,FALSE)=main!$G$105,VLOOKUP(BN$1,main!$A$3:$H$102,5,FALSE)-VLOOKUP($A277,main!$A$3:$H$102,6,FALSE)&gt;=main!$D$103+VLOOKUP(VLOOKUP(BN$1,main!$A$3:$I$102,7,FALSE),main!$K$26:$Q$29,5,FALSE)),1,0)</f>
        <v>0</v>
      </c>
      <c r="BO277">
        <f>IF(AND(VLOOKUP(BO$1,main!$A$3:$H$102,7,FALSE)=main!$G$105,VLOOKUP(BO$1,main!$A$3:$H$102,5,FALSE)-VLOOKUP($A277,main!$A$3:$H$102,6,FALSE)&gt;=main!$D$103+VLOOKUP(VLOOKUP(BO$1,main!$A$3:$I$102,7,FALSE),main!$K$26:$Q$29,5,FALSE)),1,0)</f>
        <v>0</v>
      </c>
      <c r="BP277">
        <f>IF(AND(VLOOKUP(BP$1,main!$A$3:$H$102,7,FALSE)=main!$G$105,VLOOKUP(BP$1,main!$A$3:$H$102,5,FALSE)-VLOOKUP($A277,main!$A$3:$H$102,6,FALSE)&gt;=main!$D$103+VLOOKUP(VLOOKUP(BP$1,main!$A$3:$I$102,7,FALSE),main!$K$26:$Q$29,5,FALSE)),1,0)</f>
        <v>0</v>
      </c>
      <c r="BQ277">
        <f>IF(AND(VLOOKUP(BQ$1,main!$A$3:$H$102,7,FALSE)=main!$G$105,VLOOKUP(BQ$1,main!$A$3:$H$102,5,FALSE)-VLOOKUP($A277,main!$A$3:$H$102,6,FALSE)&gt;=main!$D$103+VLOOKUP(VLOOKUP(BQ$1,main!$A$3:$I$102,7,FALSE),main!$K$26:$Q$29,5,FALSE)),1,0)</f>
        <v>0</v>
      </c>
      <c r="BR277">
        <f>IF(AND(VLOOKUP(BR$1,main!$A$3:$H$102,7,FALSE)=main!$G$105,VLOOKUP(BR$1,main!$A$3:$H$102,5,FALSE)-VLOOKUP($A277,main!$A$3:$H$102,6,FALSE)&gt;=main!$D$103+VLOOKUP(VLOOKUP(BR$1,main!$A$3:$I$102,7,FALSE),main!$K$26:$Q$29,5,FALSE)),1,0)</f>
        <v>0</v>
      </c>
      <c r="BS277">
        <f>IF(AND(VLOOKUP(BS$1,main!$A$3:$H$102,7,FALSE)=main!$G$105,VLOOKUP(BS$1,main!$A$3:$H$102,5,FALSE)-VLOOKUP($A277,main!$A$3:$H$102,6,FALSE)&gt;=main!$D$103+VLOOKUP(VLOOKUP(BS$1,main!$A$3:$I$102,7,FALSE),main!$K$26:$Q$29,5,FALSE)),1,0)</f>
        <v>0</v>
      </c>
      <c r="BT277">
        <f>IF(AND(VLOOKUP(BT$1,main!$A$3:$H$102,7,FALSE)=main!$G$105,VLOOKUP(BT$1,main!$A$3:$H$102,5,FALSE)-VLOOKUP($A277,main!$A$3:$H$102,6,FALSE)&gt;=main!$D$103+VLOOKUP(VLOOKUP(BT$1,main!$A$3:$I$102,7,FALSE),main!$K$26:$Q$29,5,FALSE)),1,0)</f>
        <v>0</v>
      </c>
      <c r="BU277">
        <f>IF(AND(VLOOKUP(BU$1,main!$A$3:$H$102,7,FALSE)=main!$G$105,VLOOKUP(BU$1,main!$A$3:$H$102,5,FALSE)-VLOOKUP($A277,main!$A$3:$H$102,6,FALSE)&gt;=main!$D$103+VLOOKUP(VLOOKUP(BU$1,main!$A$3:$I$102,7,FALSE),main!$K$26:$Q$29,5,FALSE)),1,0)</f>
        <v>0</v>
      </c>
      <c r="BV277">
        <f>IF(AND(VLOOKUP(BV$1,main!$A$3:$H$102,7,FALSE)=main!$G$105,VLOOKUP(BV$1,main!$A$3:$H$102,5,FALSE)-VLOOKUP($A277,main!$A$3:$H$102,6,FALSE)&gt;=main!$D$103+VLOOKUP(VLOOKUP(BV$1,main!$A$3:$I$102,7,FALSE),main!$K$26:$Q$29,5,FALSE)),1,0)</f>
        <v>0</v>
      </c>
      <c r="BW277">
        <f>IF(AND(VLOOKUP(BW$1,main!$A$3:$H$102,7,FALSE)=main!$G$105,VLOOKUP(BW$1,main!$A$3:$H$102,5,FALSE)-VLOOKUP($A277,main!$A$3:$H$102,6,FALSE)&gt;=main!$D$103+VLOOKUP(VLOOKUP(BW$1,main!$A$3:$I$102,7,FALSE),main!$K$26:$Q$29,5,FALSE)),1,0)</f>
        <v>0</v>
      </c>
      <c r="BX277">
        <f>IF(AND(VLOOKUP(BX$1,main!$A$3:$H$102,7,FALSE)=main!$G$105,VLOOKUP(BX$1,main!$A$3:$H$102,5,FALSE)-VLOOKUP($A277,main!$A$3:$H$102,6,FALSE)&gt;=main!$D$103+VLOOKUP(VLOOKUP(BX$1,main!$A$3:$I$102,7,FALSE),main!$K$26:$Q$29,5,FALSE)),1,0)</f>
        <v>0</v>
      </c>
      <c r="BY277">
        <f>IF(AND(VLOOKUP(BY$1,main!$A$3:$H$102,7,FALSE)=main!$G$105,VLOOKUP(BY$1,main!$A$3:$H$102,5,FALSE)-VLOOKUP($A277,main!$A$3:$H$102,6,FALSE)&gt;=main!$D$103+VLOOKUP(VLOOKUP(BY$1,main!$A$3:$I$102,7,FALSE),main!$K$26:$Q$29,5,FALSE)),1,0)</f>
        <v>0</v>
      </c>
      <c r="BZ277">
        <f>IF(AND(VLOOKUP(BZ$1,main!$A$3:$H$102,7,FALSE)=main!$G$105,VLOOKUP(BZ$1,main!$A$3:$H$102,5,FALSE)-VLOOKUP($A277,main!$A$3:$H$102,6,FALSE)&gt;=main!$D$103+VLOOKUP(VLOOKUP(BZ$1,main!$A$3:$I$102,7,FALSE),main!$K$26:$Q$29,5,FALSE)),1,0)</f>
        <v>0</v>
      </c>
      <c r="CA277">
        <f>IF(AND(VLOOKUP(CA$1,main!$A$3:$H$102,7,FALSE)=main!$G$105,VLOOKUP(CA$1,main!$A$3:$H$102,5,FALSE)-VLOOKUP($A277,main!$A$3:$H$102,6,FALSE)&gt;=main!$D$103+VLOOKUP(VLOOKUP(CA$1,main!$A$3:$I$102,7,FALSE),main!$K$26:$Q$29,5,FALSE)),1,0)</f>
        <v>0</v>
      </c>
      <c r="CB277">
        <f>IF(AND(VLOOKUP(CB$1,main!$A$3:$H$102,7,FALSE)=main!$G$105,VLOOKUP(CB$1,main!$A$3:$H$102,5,FALSE)-VLOOKUP($A277,main!$A$3:$H$102,6,FALSE)&gt;=main!$D$103+VLOOKUP(VLOOKUP(CB$1,main!$A$3:$I$102,7,FALSE),main!$K$26:$Q$29,5,FALSE)),1,0)</f>
        <v>0</v>
      </c>
      <c r="CC277">
        <f>IF(AND(VLOOKUP(CC$1,main!$A$3:$H$102,7,FALSE)=main!$G$105,VLOOKUP(CC$1,main!$A$3:$H$102,5,FALSE)-VLOOKUP($A277,main!$A$3:$H$102,6,FALSE)&gt;=main!$D$103+VLOOKUP(VLOOKUP(CC$1,main!$A$3:$I$102,7,FALSE),main!$K$26:$Q$29,5,FALSE)),1,0)</f>
        <v>0</v>
      </c>
      <c r="CD277">
        <f>IF(AND(VLOOKUP(CD$1,main!$A$3:$H$102,7,FALSE)=main!$G$105,VLOOKUP(CD$1,main!$A$3:$H$102,5,FALSE)-VLOOKUP($A277,main!$A$3:$H$102,6,FALSE)&gt;=main!$D$103+VLOOKUP(VLOOKUP(CD$1,main!$A$3:$I$102,7,FALSE),main!$K$26:$Q$29,5,FALSE)),1,0)</f>
        <v>0</v>
      </c>
      <c r="CE277">
        <f>IF(AND(VLOOKUP(CE$1,main!$A$3:$H$102,7,FALSE)=main!$G$105,VLOOKUP(CE$1,main!$A$3:$H$102,5,FALSE)-VLOOKUP($A277,main!$A$3:$H$102,6,FALSE)&gt;=main!$D$103+VLOOKUP(VLOOKUP(CE$1,main!$A$3:$I$102,7,FALSE),main!$K$26:$Q$29,5,FALSE)),1,0)</f>
        <v>0</v>
      </c>
      <c r="CF277">
        <f>IF(AND(VLOOKUP(CF$1,main!$A$3:$H$102,7,FALSE)=main!$G$105,VLOOKUP(CF$1,main!$A$3:$H$102,5,FALSE)-VLOOKUP($A277,main!$A$3:$H$102,6,FALSE)&gt;=main!$D$103+VLOOKUP(VLOOKUP(CF$1,main!$A$3:$I$102,7,FALSE),main!$K$26:$Q$29,5,FALSE)),1,0)</f>
        <v>0</v>
      </c>
      <c r="CG277">
        <f>IF(AND(VLOOKUP(CG$1,main!$A$3:$H$102,7,FALSE)=main!$G$105,VLOOKUP(CG$1,main!$A$3:$H$102,5,FALSE)-VLOOKUP($A277,main!$A$3:$H$102,6,FALSE)&gt;=main!$D$103+VLOOKUP(VLOOKUP(CG$1,main!$A$3:$I$102,7,FALSE),main!$K$26:$Q$29,5,FALSE)),1,0)</f>
        <v>0</v>
      </c>
      <c r="CH277">
        <f>IF(AND(VLOOKUP(CH$1,main!$A$3:$H$102,7,FALSE)=main!$G$105,VLOOKUP(CH$1,main!$A$3:$H$102,5,FALSE)-VLOOKUP($A277,main!$A$3:$H$102,6,FALSE)&gt;=main!$D$103+VLOOKUP(VLOOKUP(CH$1,main!$A$3:$I$102,7,FALSE),main!$K$26:$Q$29,5,FALSE)),1,0)</f>
        <v>0</v>
      </c>
      <c r="CI277">
        <f>IF(AND(VLOOKUP(CI$1,main!$A$3:$H$102,7,FALSE)=main!$G$105,VLOOKUP(CI$1,main!$A$3:$H$102,5,FALSE)-VLOOKUP($A277,main!$A$3:$H$102,6,FALSE)&gt;=main!$D$103+VLOOKUP(VLOOKUP(CI$1,main!$A$3:$I$102,7,FALSE),main!$K$26:$Q$29,5,FALSE)),1,0)</f>
        <v>0</v>
      </c>
      <c r="CJ277">
        <f>IF(AND(VLOOKUP(CJ$1,main!$A$3:$H$102,7,FALSE)=main!$G$105,VLOOKUP(CJ$1,main!$A$3:$H$102,5,FALSE)-VLOOKUP($A277,main!$A$3:$H$102,6,FALSE)&gt;=main!$D$103+VLOOKUP(VLOOKUP(CJ$1,main!$A$3:$I$102,7,FALSE),main!$K$26:$Q$29,5,FALSE)),1,0)</f>
        <v>0</v>
      </c>
      <c r="CK277">
        <f>IF(AND(VLOOKUP(CK$1,main!$A$3:$H$102,7,FALSE)=main!$G$105,VLOOKUP(CK$1,main!$A$3:$H$102,5,FALSE)-VLOOKUP($A277,main!$A$3:$H$102,6,FALSE)&gt;=main!$D$103+VLOOKUP(VLOOKUP(CK$1,main!$A$3:$I$102,7,FALSE),main!$K$26:$Q$29,5,FALSE)),1,0)</f>
        <v>0</v>
      </c>
      <c r="CL277">
        <f>IF(AND(VLOOKUP(CL$1,main!$A$3:$H$102,7,FALSE)=main!$G$105,VLOOKUP(CL$1,main!$A$3:$H$102,5,FALSE)-VLOOKUP($A277,main!$A$3:$H$102,6,FALSE)&gt;=main!$D$103+VLOOKUP(VLOOKUP(CL$1,main!$A$3:$I$102,7,FALSE),main!$K$26:$Q$29,5,FALSE)),1,0)</f>
        <v>0</v>
      </c>
      <c r="CM277">
        <f>IF(AND(VLOOKUP(CM$1,main!$A$3:$H$102,7,FALSE)=main!$G$105,VLOOKUP(CM$1,main!$A$3:$H$102,5,FALSE)-VLOOKUP($A277,main!$A$3:$H$102,6,FALSE)&gt;=main!$D$103+VLOOKUP(VLOOKUP(CM$1,main!$A$3:$I$102,7,FALSE),main!$K$26:$Q$29,5,FALSE)),1,0)</f>
        <v>0</v>
      </c>
      <c r="CN277">
        <f>IF(AND(VLOOKUP(CN$1,main!$A$3:$H$102,7,FALSE)=main!$G$105,VLOOKUP(CN$1,main!$A$3:$H$102,5,FALSE)-VLOOKUP($A277,main!$A$3:$H$102,6,FALSE)&gt;=main!$D$103+VLOOKUP(VLOOKUP(CN$1,main!$A$3:$I$102,7,FALSE),main!$K$26:$Q$29,5,FALSE)),1,0)</f>
        <v>0</v>
      </c>
      <c r="CO277">
        <f>IF(AND(VLOOKUP(CO$1,main!$A$3:$H$102,7,FALSE)=main!$G$105,VLOOKUP(CO$1,main!$A$3:$H$102,5,FALSE)-VLOOKUP($A277,main!$A$3:$H$102,6,FALSE)&gt;=main!$D$103+VLOOKUP(VLOOKUP(CO$1,main!$A$3:$I$102,7,FALSE),main!$K$26:$Q$29,5,FALSE)),1,0)</f>
        <v>0</v>
      </c>
      <c r="CP277">
        <f>IF(AND(VLOOKUP(CP$1,main!$A$3:$H$102,7,FALSE)=main!$G$105,VLOOKUP(CP$1,main!$A$3:$H$102,5,FALSE)-VLOOKUP($A277,main!$A$3:$H$102,6,FALSE)&gt;=main!$D$103+VLOOKUP(VLOOKUP(CP$1,main!$A$3:$I$102,7,FALSE),main!$K$26:$Q$29,5,FALSE)),1,0)</f>
        <v>0</v>
      </c>
      <c r="CQ277">
        <f>IF(AND(VLOOKUP(CQ$1,main!$A$3:$H$102,7,FALSE)=main!$G$105,VLOOKUP(CQ$1,main!$A$3:$H$102,5,FALSE)-VLOOKUP($A277,main!$A$3:$H$102,6,FALSE)&gt;=main!$D$103+VLOOKUP(VLOOKUP(CQ$1,main!$A$3:$I$102,7,FALSE),main!$K$26:$Q$29,5,FALSE)),1,0)</f>
        <v>0</v>
      </c>
      <c r="CR277">
        <f>IF(AND(VLOOKUP(CR$1,main!$A$3:$H$102,7,FALSE)=main!$G$105,VLOOKUP(CR$1,main!$A$3:$H$102,5,FALSE)-VLOOKUP($A277,main!$A$3:$H$102,6,FALSE)&gt;=main!$D$103+VLOOKUP(VLOOKUP(CR$1,main!$A$3:$I$102,7,FALSE),main!$K$26:$Q$29,5,FALSE)),1,0)</f>
        <v>0</v>
      </c>
      <c r="CS277">
        <f>IF(AND(VLOOKUP(CS$1,main!$A$3:$H$102,7,FALSE)=main!$G$105,VLOOKUP(CS$1,main!$A$3:$H$102,5,FALSE)-VLOOKUP($A277,main!$A$3:$H$102,6,FALSE)&gt;=main!$D$103+VLOOKUP(VLOOKUP(CS$1,main!$A$3:$I$102,7,FALSE),main!$K$26:$Q$29,5,FALSE)),1,0)</f>
        <v>0</v>
      </c>
      <c r="CT277">
        <f>IF(AND(VLOOKUP(CT$1,main!$A$3:$H$102,7,FALSE)=main!$G$105,VLOOKUP(CT$1,main!$A$3:$H$102,5,FALSE)-VLOOKUP($A277,main!$A$3:$H$102,6,FALSE)&gt;=main!$D$103+VLOOKUP(VLOOKUP(CT$1,main!$A$3:$I$102,7,FALSE),main!$K$26:$Q$29,5,FALSE)),1,0)</f>
        <v>0</v>
      </c>
      <c r="CU277">
        <f>IF(AND(VLOOKUP(CU$1,main!$A$3:$H$102,7,FALSE)=main!$G$105,VLOOKUP(CU$1,main!$A$3:$H$102,5,FALSE)-VLOOKUP($A277,main!$A$3:$H$102,6,FALSE)&gt;=main!$D$103+VLOOKUP(VLOOKUP(CU$1,main!$A$3:$I$102,7,FALSE),main!$K$26:$Q$29,5,FALSE)),1,0)</f>
        <v>0</v>
      </c>
      <c r="CV277">
        <f>IF(AND(VLOOKUP(CV$1,main!$A$3:$H$102,7,FALSE)=main!$G$105,VLOOKUP(CV$1,main!$A$3:$H$102,5,FALSE)-VLOOKUP($A277,main!$A$3:$H$102,6,FALSE)&gt;=main!$D$103+VLOOKUP(VLOOKUP(CV$1,main!$A$3:$I$102,7,FALSE),main!$K$26:$Q$29,5,FALSE)),1,0)</f>
        <v>0</v>
      </c>
      <c r="CW277">
        <f>IF(AND(VLOOKUP(CW$1,main!$A$3:$H$102,7,FALSE)=main!$G$105,VLOOKUP(CW$1,main!$A$3:$H$102,5,FALSE)-VLOOKUP($A277,main!$A$3:$H$102,6,FALSE)&gt;=main!$D$103+VLOOKUP(VLOOKUP(CW$1,main!$A$3:$I$102,7,FALSE),main!$K$26:$Q$29,5,FALSE)),1,0)</f>
        <v>0</v>
      </c>
      <c r="CX277">
        <f>IF(AND(VLOOKUP(CX$1,main!$A$3:$H$102,7,FALSE)=main!$G$105,VLOOKUP(CX$1,main!$A$3:$H$102,5,FALSE)-VLOOKUP($A277,main!$A$3:$H$102,6,FALSE)&gt;=main!$D$103+VLOOKUP(VLOOKUP(CX$1,main!$A$3:$I$102,7,FALSE),main!$K$26:$Q$29,5,FALSE)),1,0)</f>
        <v>0</v>
      </c>
    </row>
    <row r="278" spans="1:102" x14ac:dyDescent="0.25">
      <c r="A278" s="1">
        <v>74</v>
      </c>
      <c r="B278">
        <v>0</v>
      </c>
      <c r="C278">
        <f>IF(AND(VLOOKUP(C$1,main!$A$3:$H$102,7,FALSE)=main!$G$105,VLOOKUP(C$1,main!$A$3:$H$102,5,FALSE)-VLOOKUP($A278,main!$A$3:$H$102,6,FALSE)&gt;=main!$D$103+VLOOKUP(VLOOKUP(C$1,main!$A$3:$I$102,7,FALSE),main!$K$26:$Q$29,5,FALSE)),1,0)</f>
        <v>0</v>
      </c>
      <c r="D278">
        <f>IF(AND(VLOOKUP(D$1,main!$A$3:$H$102,7,FALSE)=main!$G$105,VLOOKUP(D$1,main!$A$3:$H$102,5,FALSE)-VLOOKUP($A278,main!$A$3:$H$102,6,FALSE)&gt;=main!$D$103+VLOOKUP(VLOOKUP(D$1,main!$A$3:$I$102,7,FALSE),main!$K$26:$Q$29,5,FALSE)),1,0)</f>
        <v>0</v>
      </c>
      <c r="E278">
        <f>IF(AND(VLOOKUP(E$1,main!$A$3:$H$102,7,FALSE)=main!$G$105,VLOOKUP(E$1,main!$A$3:$H$102,5,FALSE)-VLOOKUP($A278,main!$A$3:$H$102,6,FALSE)&gt;=main!$D$103+VLOOKUP(VLOOKUP(E$1,main!$A$3:$I$102,7,FALSE),main!$K$26:$Q$29,5,FALSE)),1,0)</f>
        <v>0</v>
      </c>
      <c r="F278">
        <f>IF(AND(VLOOKUP(F$1,main!$A$3:$H$102,7,FALSE)=main!$G$105,VLOOKUP(F$1,main!$A$3:$H$102,5,FALSE)-VLOOKUP($A278,main!$A$3:$H$102,6,FALSE)&gt;=main!$D$103+VLOOKUP(VLOOKUP(F$1,main!$A$3:$I$102,7,FALSE),main!$K$26:$Q$29,5,FALSE)),1,0)</f>
        <v>0</v>
      </c>
      <c r="G278">
        <f>IF(AND(VLOOKUP(G$1,main!$A$3:$H$102,7,FALSE)=main!$G$105,VLOOKUP(G$1,main!$A$3:$H$102,5,FALSE)-VLOOKUP($A278,main!$A$3:$H$102,6,FALSE)&gt;=main!$D$103+VLOOKUP(VLOOKUP(G$1,main!$A$3:$I$102,7,FALSE),main!$K$26:$Q$29,5,FALSE)),1,0)</f>
        <v>0</v>
      </c>
      <c r="H278">
        <f>IF(AND(VLOOKUP(H$1,main!$A$3:$H$102,7,FALSE)=main!$G$105,VLOOKUP(H$1,main!$A$3:$H$102,5,FALSE)-VLOOKUP($A278,main!$A$3:$H$102,6,FALSE)&gt;=main!$D$103+VLOOKUP(VLOOKUP(H$1,main!$A$3:$I$102,7,FALSE),main!$K$26:$Q$29,5,FALSE)),1,0)</f>
        <v>0</v>
      </c>
      <c r="I278">
        <f>IF(AND(VLOOKUP(I$1,main!$A$3:$H$102,7,FALSE)=main!$G$105,VLOOKUP(I$1,main!$A$3:$H$102,5,FALSE)-VLOOKUP($A278,main!$A$3:$H$102,6,FALSE)&gt;=main!$D$103+VLOOKUP(VLOOKUP(I$1,main!$A$3:$I$102,7,FALSE),main!$K$26:$Q$29,5,FALSE)),1,0)</f>
        <v>0</v>
      </c>
      <c r="J278">
        <f>IF(AND(VLOOKUP(J$1,main!$A$3:$H$102,7,FALSE)=main!$G$105,VLOOKUP(J$1,main!$A$3:$H$102,5,FALSE)-VLOOKUP($A278,main!$A$3:$H$102,6,FALSE)&gt;=main!$D$103+VLOOKUP(VLOOKUP(J$1,main!$A$3:$I$102,7,FALSE),main!$K$26:$Q$29,5,FALSE)),1,0)</f>
        <v>0</v>
      </c>
      <c r="K278">
        <f>IF(AND(VLOOKUP(K$1,main!$A$3:$H$102,7,FALSE)=main!$G$105,VLOOKUP(K$1,main!$A$3:$H$102,5,FALSE)-VLOOKUP($A278,main!$A$3:$H$102,6,FALSE)&gt;=main!$D$103+VLOOKUP(VLOOKUP(K$1,main!$A$3:$I$102,7,FALSE),main!$K$26:$Q$29,5,FALSE)),1,0)</f>
        <v>0</v>
      </c>
      <c r="L278">
        <f>IF(AND(VLOOKUP(L$1,main!$A$3:$H$102,7,FALSE)=main!$G$105,VLOOKUP(L$1,main!$A$3:$H$102,5,FALSE)-VLOOKUP($A278,main!$A$3:$H$102,6,FALSE)&gt;=main!$D$103+VLOOKUP(VLOOKUP(L$1,main!$A$3:$I$102,7,FALSE),main!$K$26:$Q$29,5,FALSE)),1,0)</f>
        <v>0</v>
      </c>
      <c r="M278">
        <f>IF(AND(VLOOKUP(M$1,main!$A$3:$H$102,7,FALSE)=main!$G$105,VLOOKUP(M$1,main!$A$3:$H$102,5,FALSE)-VLOOKUP($A278,main!$A$3:$H$102,6,FALSE)&gt;=main!$D$103+VLOOKUP(VLOOKUP(M$1,main!$A$3:$I$102,7,FALSE),main!$K$26:$Q$29,5,FALSE)),1,0)</f>
        <v>0</v>
      </c>
      <c r="N278">
        <f>IF(AND(VLOOKUP(N$1,main!$A$3:$H$102,7,FALSE)=main!$G$105,VLOOKUP(N$1,main!$A$3:$H$102,5,FALSE)-VLOOKUP($A278,main!$A$3:$H$102,6,FALSE)&gt;=main!$D$103+VLOOKUP(VLOOKUP(N$1,main!$A$3:$I$102,7,FALSE),main!$K$26:$Q$29,5,FALSE)),1,0)</f>
        <v>0</v>
      </c>
      <c r="O278">
        <f>IF(AND(VLOOKUP(O$1,main!$A$3:$H$102,7,FALSE)=main!$G$105,VLOOKUP(O$1,main!$A$3:$H$102,5,FALSE)-VLOOKUP($A278,main!$A$3:$H$102,6,FALSE)&gt;=main!$D$103+VLOOKUP(VLOOKUP(O$1,main!$A$3:$I$102,7,FALSE),main!$K$26:$Q$29,5,FALSE)),1,0)</f>
        <v>0</v>
      </c>
      <c r="P278">
        <f>IF(AND(VLOOKUP(P$1,main!$A$3:$H$102,7,FALSE)=main!$G$105,VLOOKUP(P$1,main!$A$3:$H$102,5,FALSE)-VLOOKUP($A278,main!$A$3:$H$102,6,FALSE)&gt;=main!$D$103+VLOOKUP(VLOOKUP(P$1,main!$A$3:$I$102,7,FALSE),main!$K$26:$Q$29,5,FALSE)),1,0)</f>
        <v>0</v>
      </c>
      <c r="Q278">
        <f>IF(AND(VLOOKUP(Q$1,main!$A$3:$H$102,7,FALSE)=main!$G$105,VLOOKUP(Q$1,main!$A$3:$H$102,5,FALSE)-VLOOKUP($A278,main!$A$3:$H$102,6,FALSE)&gt;=main!$D$103+VLOOKUP(VLOOKUP(Q$1,main!$A$3:$I$102,7,FALSE),main!$K$26:$Q$29,5,FALSE)),1,0)</f>
        <v>0</v>
      </c>
      <c r="R278">
        <f>IF(AND(VLOOKUP(R$1,main!$A$3:$H$102,7,FALSE)=main!$G$105,VLOOKUP(R$1,main!$A$3:$H$102,5,FALSE)-VLOOKUP($A278,main!$A$3:$H$102,6,FALSE)&gt;=main!$D$103+VLOOKUP(VLOOKUP(R$1,main!$A$3:$I$102,7,FALSE),main!$K$26:$Q$29,5,FALSE)),1,0)</f>
        <v>0</v>
      </c>
      <c r="S278">
        <f>IF(AND(VLOOKUP(S$1,main!$A$3:$H$102,7,FALSE)=main!$G$105,VLOOKUP(S$1,main!$A$3:$H$102,5,FALSE)-VLOOKUP($A278,main!$A$3:$H$102,6,FALSE)&gt;=main!$D$103+VLOOKUP(VLOOKUP(S$1,main!$A$3:$I$102,7,FALSE),main!$K$26:$Q$29,5,FALSE)),1,0)</f>
        <v>0</v>
      </c>
      <c r="T278">
        <f>IF(AND(VLOOKUP(T$1,main!$A$3:$H$102,7,FALSE)=main!$G$105,VLOOKUP(T$1,main!$A$3:$H$102,5,FALSE)-VLOOKUP($A278,main!$A$3:$H$102,6,FALSE)&gt;=main!$D$103+VLOOKUP(VLOOKUP(T$1,main!$A$3:$I$102,7,FALSE),main!$K$26:$Q$29,5,FALSE)),1,0)</f>
        <v>0</v>
      </c>
      <c r="U278">
        <f>IF(AND(VLOOKUP(U$1,main!$A$3:$H$102,7,FALSE)=main!$G$105,VLOOKUP(U$1,main!$A$3:$H$102,5,FALSE)-VLOOKUP($A278,main!$A$3:$H$102,6,FALSE)&gt;=main!$D$103+VLOOKUP(VLOOKUP(U$1,main!$A$3:$I$102,7,FALSE),main!$K$26:$Q$29,5,FALSE)),1,0)</f>
        <v>0</v>
      </c>
      <c r="V278">
        <f>IF(AND(VLOOKUP(V$1,main!$A$3:$H$102,7,FALSE)=main!$G$105,VLOOKUP(V$1,main!$A$3:$H$102,5,FALSE)-VLOOKUP($A278,main!$A$3:$H$102,6,FALSE)&gt;=main!$D$103+VLOOKUP(VLOOKUP(V$1,main!$A$3:$I$102,7,FALSE),main!$K$26:$Q$29,5,FALSE)),1,0)</f>
        <v>0</v>
      </c>
      <c r="W278">
        <f>IF(AND(VLOOKUP(W$1,main!$A$3:$H$102,7,FALSE)=main!$G$105,VLOOKUP(W$1,main!$A$3:$H$102,5,FALSE)-VLOOKUP($A278,main!$A$3:$H$102,6,FALSE)&gt;=main!$D$103+VLOOKUP(VLOOKUP(W$1,main!$A$3:$I$102,7,FALSE),main!$K$26:$Q$29,5,FALSE)),1,0)</f>
        <v>0</v>
      </c>
      <c r="X278">
        <f>IF(AND(VLOOKUP(X$1,main!$A$3:$H$102,7,FALSE)=main!$G$105,VLOOKUP(X$1,main!$A$3:$H$102,5,FALSE)-VLOOKUP($A278,main!$A$3:$H$102,6,FALSE)&gt;=main!$D$103+VLOOKUP(VLOOKUP(X$1,main!$A$3:$I$102,7,FALSE),main!$K$26:$Q$29,5,FALSE)),1,0)</f>
        <v>0</v>
      </c>
      <c r="Y278">
        <f>IF(AND(VLOOKUP(Y$1,main!$A$3:$H$102,7,FALSE)=main!$G$105,VLOOKUP(Y$1,main!$A$3:$H$102,5,FALSE)-VLOOKUP($A278,main!$A$3:$H$102,6,FALSE)&gt;=main!$D$103+VLOOKUP(VLOOKUP(Y$1,main!$A$3:$I$102,7,FALSE),main!$K$26:$Q$29,5,FALSE)),1,0)</f>
        <v>0</v>
      </c>
      <c r="Z278">
        <f>IF(AND(VLOOKUP(Z$1,main!$A$3:$H$102,7,FALSE)=main!$G$105,VLOOKUP(Z$1,main!$A$3:$H$102,5,FALSE)-VLOOKUP($A278,main!$A$3:$H$102,6,FALSE)&gt;=main!$D$103+VLOOKUP(VLOOKUP(Z$1,main!$A$3:$I$102,7,FALSE),main!$K$26:$Q$29,5,FALSE)),1,0)</f>
        <v>0</v>
      </c>
      <c r="AA278">
        <f>IF(AND(VLOOKUP(AA$1,main!$A$3:$H$102,7,FALSE)=main!$G$105,VLOOKUP(AA$1,main!$A$3:$H$102,5,FALSE)-VLOOKUP($A278,main!$A$3:$H$102,6,FALSE)&gt;=main!$D$103+VLOOKUP(VLOOKUP(AA$1,main!$A$3:$I$102,7,FALSE),main!$K$26:$Q$29,5,FALSE)),1,0)</f>
        <v>0</v>
      </c>
      <c r="AB278">
        <f>IF(AND(VLOOKUP(AB$1,main!$A$3:$H$102,7,FALSE)=main!$G$105,VLOOKUP(AB$1,main!$A$3:$H$102,5,FALSE)-VLOOKUP($A278,main!$A$3:$H$102,6,FALSE)&gt;=main!$D$103+VLOOKUP(VLOOKUP(AB$1,main!$A$3:$I$102,7,FALSE),main!$K$26:$Q$29,5,FALSE)),1,0)</f>
        <v>0</v>
      </c>
      <c r="AC278">
        <f>IF(AND(VLOOKUP(AC$1,main!$A$3:$H$102,7,FALSE)=main!$G$105,VLOOKUP(AC$1,main!$A$3:$H$102,5,FALSE)-VLOOKUP($A278,main!$A$3:$H$102,6,FALSE)&gt;=main!$D$103+VLOOKUP(VLOOKUP(AC$1,main!$A$3:$I$102,7,FALSE),main!$K$26:$Q$29,5,FALSE)),1,0)</f>
        <v>0</v>
      </c>
      <c r="AD278">
        <f>IF(AND(VLOOKUP(AD$1,main!$A$3:$H$102,7,FALSE)=main!$G$105,VLOOKUP(AD$1,main!$A$3:$H$102,5,FALSE)-VLOOKUP($A278,main!$A$3:$H$102,6,FALSE)&gt;=main!$D$103+VLOOKUP(VLOOKUP(AD$1,main!$A$3:$I$102,7,FALSE),main!$K$26:$Q$29,5,FALSE)),1,0)</f>
        <v>0</v>
      </c>
      <c r="AE278">
        <f>IF(AND(VLOOKUP(AE$1,main!$A$3:$H$102,7,FALSE)=main!$G$105,VLOOKUP(AE$1,main!$A$3:$H$102,5,FALSE)-VLOOKUP($A278,main!$A$3:$H$102,6,FALSE)&gt;=main!$D$103+VLOOKUP(VLOOKUP(AE$1,main!$A$3:$I$102,7,FALSE),main!$K$26:$Q$29,5,FALSE)),1,0)</f>
        <v>0</v>
      </c>
      <c r="AF278">
        <f>IF(AND(VLOOKUP(AF$1,main!$A$3:$H$102,7,FALSE)=main!$G$105,VLOOKUP(AF$1,main!$A$3:$H$102,5,FALSE)-VLOOKUP($A278,main!$A$3:$H$102,6,FALSE)&gt;=main!$D$103+VLOOKUP(VLOOKUP(AF$1,main!$A$3:$I$102,7,FALSE),main!$K$26:$Q$29,5,FALSE)),1,0)</f>
        <v>0</v>
      </c>
      <c r="AG278">
        <f>IF(AND(VLOOKUP(AG$1,main!$A$3:$H$102,7,FALSE)=main!$G$105,VLOOKUP(AG$1,main!$A$3:$H$102,5,FALSE)-VLOOKUP($A278,main!$A$3:$H$102,6,FALSE)&gt;=main!$D$103+VLOOKUP(VLOOKUP(AG$1,main!$A$3:$I$102,7,FALSE),main!$K$26:$Q$29,5,FALSE)),1,0)</f>
        <v>0</v>
      </c>
      <c r="AH278">
        <f>IF(AND(VLOOKUP(AH$1,main!$A$3:$H$102,7,FALSE)=main!$G$105,VLOOKUP(AH$1,main!$A$3:$H$102,5,FALSE)-VLOOKUP($A278,main!$A$3:$H$102,6,FALSE)&gt;=main!$D$103+VLOOKUP(VLOOKUP(AH$1,main!$A$3:$I$102,7,FALSE),main!$K$26:$Q$29,5,FALSE)),1,0)</f>
        <v>0</v>
      </c>
      <c r="AI278">
        <f>IF(AND(VLOOKUP(AI$1,main!$A$3:$H$102,7,FALSE)=main!$G$105,VLOOKUP(AI$1,main!$A$3:$H$102,5,FALSE)-VLOOKUP($A278,main!$A$3:$H$102,6,FALSE)&gt;=main!$D$103+VLOOKUP(VLOOKUP(AI$1,main!$A$3:$I$102,7,FALSE),main!$K$26:$Q$29,5,FALSE)),1,0)</f>
        <v>0</v>
      </c>
      <c r="AJ278">
        <f>IF(AND(VLOOKUP(AJ$1,main!$A$3:$H$102,7,FALSE)=main!$G$105,VLOOKUP(AJ$1,main!$A$3:$H$102,5,FALSE)-VLOOKUP($A278,main!$A$3:$H$102,6,FALSE)&gt;=main!$D$103+VLOOKUP(VLOOKUP(AJ$1,main!$A$3:$I$102,7,FALSE),main!$K$26:$Q$29,5,FALSE)),1,0)</f>
        <v>0</v>
      </c>
      <c r="AK278">
        <f>IF(AND(VLOOKUP(AK$1,main!$A$3:$H$102,7,FALSE)=main!$G$105,VLOOKUP(AK$1,main!$A$3:$H$102,5,FALSE)-VLOOKUP($A278,main!$A$3:$H$102,6,FALSE)&gt;=main!$D$103+VLOOKUP(VLOOKUP(AK$1,main!$A$3:$I$102,7,FALSE),main!$K$26:$Q$29,5,FALSE)),1,0)</f>
        <v>0</v>
      </c>
      <c r="AL278">
        <f>IF(AND(VLOOKUP(AL$1,main!$A$3:$H$102,7,FALSE)=main!$G$105,VLOOKUP(AL$1,main!$A$3:$H$102,5,FALSE)-VLOOKUP($A278,main!$A$3:$H$102,6,FALSE)&gt;=main!$D$103+VLOOKUP(VLOOKUP(AL$1,main!$A$3:$I$102,7,FALSE),main!$K$26:$Q$29,5,FALSE)),1,0)</f>
        <v>1</v>
      </c>
      <c r="AM278">
        <f>IF(AND(VLOOKUP(AM$1,main!$A$3:$H$102,7,FALSE)=main!$G$105,VLOOKUP(AM$1,main!$A$3:$H$102,5,FALSE)-VLOOKUP($A278,main!$A$3:$H$102,6,FALSE)&gt;=main!$D$103+VLOOKUP(VLOOKUP(AM$1,main!$A$3:$I$102,7,FALSE),main!$K$26:$Q$29,5,FALSE)),1,0)</f>
        <v>1</v>
      </c>
      <c r="AN278">
        <f>IF(AND(VLOOKUP(AN$1,main!$A$3:$H$102,7,FALSE)=main!$G$105,VLOOKUP(AN$1,main!$A$3:$H$102,5,FALSE)-VLOOKUP($A278,main!$A$3:$H$102,6,FALSE)&gt;=main!$D$103+VLOOKUP(VLOOKUP(AN$1,main!$A$3:$I$102,7,FALSE),main!$K$26:$Q$29,5,FALSE)),1,0)</f>
        <v>1</v>
      </c>
      <c r="AO278">
        <f>IF(AND(VLOOKUP(AO$1,main!$A$3:$H$102,7,FALSE)=main!$G$105,VLOOKUP(AO$1,main!$A$3:$H$102,5,FALSE)-VLOOKUP($A278,main!$A$3:$H$102,6,FALSE)&gt;=main!$D$103+VLOOKUP(VLOOKUP(AO$1,main!$A$3:$I$102,7,FALSE),main!$K$26:$Q$29,5,FALSE)),1,0)</f>
        <v>0</v>
      </c>
      <c r="AP278">
        <f>IF(AND(VLOOKUP(AP$1,main!$A$3:$H$102,7,FALSE)=main!$G$105,VLOOKUP(AP$1,main!$A$3:$H$102,5,FALSE)-VLOOKUP($A278,main!$A$3:$H$102,6,FALSE)&gt;=main!$D$103+VLOOKUP(VLOOKUP(AP$1,main!$A$3:$I$102,7,FALSE),main!$K$26:$Q$29,5,FALSE)),1,0)</f>
        <v>1</v>
      </c>
      <c r="AQ278">
        <f>IF(AND(VLOOKUP(AQ$1,main!$A$3:$H$102,7,FALSE)=main!$G$105,VLOOKUP(AQ$1,main!$A$3:$H$102,5,FALSE)-VLOOKUP($A278,main!$A$3:$H$102,6,FALSE)&gt;=main!$D$103+VLOOKUP(VLOOKUP(AQ$1,main!$A$3:$I$102,7,FALSE),main!$K$26:$Q$29,5,FALSE)),1,0)</f>
        <v>0</v>
      </c>
      <c r="AR278">
        <f>IF(AND(VLOOKUP(AR$1,main!$A$3:$H$102,7,FALSE)=main!$G$105,VLOOKUP(AR$1,main!$A$3:$H$102,5,FALSE)-VLOOKUP($A278,main!$A$3:$H$102,6,FALSE)&gt;=main!$D$103+VLOOKUP(VLOOKUP(AR$1,main!$A$3:$I$102,7,FALSE),main!$K$26:$Q$29,5,FALSE)),1,0)</f>
        <v>0</v>
      </c>
      <c r="AS278">
        <f>IF(AND(VLOOKUP(AS$1,main!$A$3:$H$102,7,FALSE)=main!$G$105,VLOOKUP(AS$1,main!$A$3:$H$102,5,FALSE)-VLOOKUP($A278,main!$A$3:$H$102,6,FALSE)&gt;=main!$D$103+VLOOKUP(VLOOKUP(AS$1,main!$A$3:$I$102,7,FALSE),main!$K$26:$Q$29,5,FALSE)),1,0)</f>
        <v>0</v>
      </c>
      <c r="AT278">
        <f>IF(AND(VLOOKUP(AT$1,main!$A$3:$H$102,7,FALSE)=main!$G$105,VLOOKUP(AT$1,main!$A$3:$H$102,5,FALSE)-VLOOKUP($A278,main!$A$3:$H$102,6,FALSE)&gt;=main!$D$103+VLOOKUP(VLOOKUP(AT$1,main!$A$3:$I$102,7,FALSE),main!$K$26:$Q$29,5,FALSE)),1,0)</f>
        <v>0</v>
      </c>
      <c r="AU278">
        <f>IF(AND(VLOOKUP(AU$1,main!$A$3:$H$102,7,FALSE)=main!$G$105,VLOOKUP(AU$1,main!$A$3:$H$102,5,FALSE)-VLOOKUP($A278,main!$A$3:$H$102,6,FALSE)&gt;=main!$D$103+VLOOKUP(VLOOKUP(AU$1,main!$A$3:$I$102,7,FALSE),main!$K$26:$Q$29,5,FALSE)),1,0)</f>
        <v>0</v>
      </c>
      <c r="AV278">
        <f>IF(AND(VLOOKUP(AV$1,main!$A$3:$H$102,7,FALSE)=main!$G$105,VLOOKUP(AV$1,main!$A$3:$H$102,5,FALSE)-VLOOKUP($A278,main!$A$3:$H$102,6,FALSE)&gt;=main!$D$103+VLOOKUP(VLOOKUP(AV$1,main!$A$3:$I$102,7,FALSE),main!$K$26:$Q$29,5,FALSE)),1,0)</f>
        <v>0</v>
      </c>
      <c r="AW278">
        <f>IF(AND(VLOOKUP(AW$1,main!$A$3:$H$102,7,FALSE)=main!$G$105,VLOOKUP(AW$1,main!$A$3:$H$102,5,FALSE)-VLOOKUP($A278,main!$A$3:$H$102,6,FALSE)&gt;=main!$D$103+VLOOKUP(VLOOKUP(AW$1,main!$A$3:$I$102,7,FALSE),main!$K$26:$Q$29,5,FALSE)),1,0)</f>
        <v>0</v>
      </c>
      <c r="AX278">
        <f>IF(AND(VLOOKUP(AX$1,main!$A$3:$H$102,7,FALSE)=main!$G$105,VLOOKUP(AX$1,main!$A$3:$H$102,5,FALSE)-VLOOKUP($A278,main!$A$3:$H$102,6,FALSE)&gt;=main!$D$103+VLOOKUP(VLOOKUP(AX$1,main!$A$3:$I$102,7,FALSE),main!$K$26:$Q$29,5,FALSE)),1,0)</f>
        <v>0</v>
      </c>
      <c r="AY278">
        <f>IF(AND(VLOOKUP(AY$1,main!$A$3:$H$102,7,FALSE)=main!$G$105,VLOOKUP(AY$1,main!$A$3:$H$102,5,FALSE)-VLOOKUP($A278,main!$A$3:$H$102,6,FALSE)&gt;=main!$D$103+VLOOKUP(VLOOKUP(AY$1,main!$A$3:$I$102,7,FALSE),main!$K$26:$Q$29,5,FALSE)),1,0)</f>
        <v>0</v>
      </c>
      <c r="AZ278">
        <f>IF(AND(VLOOKUP(AZ$1,main!$A$3:$H$102,7,FALSE)=main!$G$105,VLOOKUP(AZ$1,main!$A$3:$H$102,5,FALSE)-VLOOKUP($A278,main!$A$3:$H$102,6,FALSE)&gt;=main!$D$103+VLOOKUP(VLOOKUP(AZ$1,main!$A$3:$I$102,7,FALSE),main!$K$26:$Q$29,5,FALSE)),1,0)</f>
        <v>0</v>
      </c>
      <c r="BA278">
        <f>IF(AND(VLOOKUP(BA$1,main!$A$3:$H$102,7,FALSE)=main!$G$105,VLOOKUP(BA$1,main!$A$3:$H$102,5,FALSE)-VLOOKUP($A278,main!$A$3:$H$102,6,FALSE)&gt;=main!$D$103+VLOOKUP(VLOOKUP(BA$1,main!$A$3:$I$102,7,FALSE),main!$K$26:$Q$29,5,FALSE)),1,0)</f>
        <v>0</v>
      </c>
      <c r="BB278">
        <f>IF(AND(VLOOKUP(BB$1,main!$A$3:$H$102,7,FALSE)=main!$G$105,VLOOKUP(BB$1,main!$A$3:$H$102,5,FALSE)-VLOOKUP($A278,main!$A$3:$H$102,6,FALSE)&gt;=main!$D$103+VLOOKUP(VLOOKUP(BB$1,main!$A$3:$I$102,7,FALSE),main!$K$26:$Q$29,5,FALSE)),1,0)</f>
        <v>0</v>
      </c>
      <c r="BC278">
        <f>IF(AND(VLOOKUP(BC$1,main!$A$3:$H$102,7,FALSE)=main!$G$105,VLOOKUP(BC$1,main!$A$3:$H$102,5,FALSE)-VLOOKUP($A278,main!$A$3:$H$102,6,FALSE)&gt;=main!$D$103+VLOOKUP(VLOOKUP(BC$1,main!$A$3:$I$102,7,FALSE),main!$K$26:$Q$29,5,FALSE)),1,0)</f>
        <v>0</v>
      </c>
      <c r="BD278">
        <f>IF(AND(VLOOKUP(BD$1,main!$A$3:$H$102,7,FALSE)=main!$G$105,VLOOKUP(BD$1,main!$A$3:$H$102,5,FALSE)-VLOOKUP($A278,main!$A$3:$H$102,6,FALSE)&gt;=main!$D$103+VLOOKUP(VLOOKUP(BD$1,main!$A$3:$I$102,7,FALSE),main!$K$26:$Q$29,5,FALSE)),1,0)</f>
        <v>0</v>
      </c>
      <c r="BE278">
        <f>IF(AND(VLOOKUP(BE$1,main!$A$3:$H$102,7,FALSE)=main!$G$105,VLOOKUP(BE$1,main!$A$3:$H$102,5,FALSE)-VLOOKUP($A278,main!$A$3:$H$102,6,FALSE)&gt;=main!$D$103+VLOOKUP(VLOOKUP(BE$1,main!$A$3:$I$102,7,FALSE),main!$K$26:$Q$29,5,FALSE)),1,0)</f>
        <v>0</v>
      </c>
      <c r="BF278">
        <f>IF(AND(VLOOKUP(BF$1,main!$A$3:$H$102,7,FALSE)=main!$G$105,VLOOKUP(BF$1,main!$A$3:$H$102,5,FALSE)-VLOOKUP($A278,main!$A$3:$H$102,6,FALSE)&gt;=main!$D$103+VLOOKUP(VLOOKUP(BF$1,main!$A$3:$I$102,7,FALSE),main!$K$26:$Q$29,5,FALSE)),1,0)</f>
        <v>0</v>
      </c>
      <c r="BG278">
        <f>IF(AND(VLOOKUP(BG$1,main!$A$3:$H$102,7,FALSE)=main!$G$105,VLOOKUP(BG$1,main!$A$3:$H$102,5,FALSE)-VLOOKUP($A278,main!$A$3:$H$102,6,FALSE)&gt;=main!$D$103+VLOOKUP(VLOOKUP(BG$1,main!$A$3:$I$102,7,FALSE),main!$K$26:$Q$29,5,FALSE)),1,0)</f>
        <v>0</v>
      </c>
      <c r="BH278">
        <f>IF(AND(VLOOKUP(BH$1,main!$A$3:$H$102,7,FALSE)=main!$G$105,VLOOKUP(BH$1,main!$A$3:$H$102,5,FALSE)-VLOOKUP($A278,main!$A$3:$H$102,6,FALSE)&gt;=main!$D$103+VLOOKUP(VLOOKUP(BH$1,main!$A$3:$I$102,7,FALSE),main!$K$26:$Q$29,5,FALSE)),1,0)</f>
        <v>0</v>
      </c>
      <c r="BI278">
        <f>IF(AND(VLOOKUP(BI$1,main!$A$3:$H$102,7,FALSE)=main!$G$105,VLOOKUP(BI$1,main!$A$3:$H$102,5,FALSE)-VLOOKUP($A278,main!$A$3:$H$102,6,FALSE)&gt;=main!$D$103+VLOOKUP(VLOOKUP(BI$1,main!$A$3:$I$102,7,FALSE),main!$K$26:$Q$29,5,FALSE)),1,0)</f>
        <v>0</v>
      </c>
      <c r="BJ278">
        <f>IF(AND(VLOOKUP(BJ$1,main!$A$3:$H$102,7,FALSE)=main!$G$105,VLOOKUP(BJ$1,main!$A$3:$H$102,5,FALSE)-VLOOKUP($A278,main!$A$3:$H$102,6,FALSE)&gt;=main!$D$103+VLOOKUP(VLOOKUP(BJ$1,main!$A$3:$I$102,7,FALSE),main!$K$26:$Q$29,5,FALSE)),1,0)</f>
        <v>0</v>
      </c>
      <c r="BK278">
        <f>IF(AND(VLOOKUP(BK$1,main!$A$3:$H$102,7,FALSE)=main!$G$105,VLOOKUP(BK$1,main!$A$3:$H$102,5,FALSE)-VLOOKUP($A278,main!$A$3:$H$102,6,FALSE)&gt;=main!$D$103+VLOOKUP(VLOOKUP(BK$1,main!$A$3:$I$102,7,FALSE),main!$K$26:$Q$29,5,FALSE)),1,0)</f>
        <v>0</v>
      </c>
      <c r="BL278">
        <f>IF(AND(VLOOKUP(BL$1,main!$A$3:$H$102,7,FALSE)=main!$G$105,VLOOKUP(BL$1,main!$A$3:$H$102,5,FALSE)-VLOOKUP($A278,main!$A$3:$H$102,6,FALSE)&gt;=main!$D$103+VLOOKUP(VLOOKUP(BL$1,main!$A$3:$I$102,7,FALSE),main!$K$26:$Q$29,5,FALSE)),1,0)</f>
        <v>0</v>
      </c>
      <c r="BM278">
        <f>IF(AND(VLOOKUP(BM$1,main!$A$3:$H$102,7,FALSE)=main!$G$105,VLOOKUP(BM$1,main!$A$3:$H$102,5,FALSE)-VLOOKUP($A278,main!$A$3:$H$102,6,FALSE)&gt;=main!$D$103+VLOOKUP(VLOOKUP(BM$1,main!$A$3:$I$102,7,FALSE),main!$K$26:$Q$29,5,FALSE)),1,0)</f>
        <v>0</v>
      </c>
      <c r="BN278">
        <f>IF(AND(VLOOKUP(BN$1,main!$A$3:$H$102,7,FALSE)=main!$G$105,VLOOKUP(BN$1,main!$A$3:$H$102,5,FALSE)-VLOOKUP($A278,main!$A$3:$H$102,6,FALSE)&gt;=main!$D$103+VLOOKUP(VLOOKUP(BN$1,main!$A$3:$I$102,7,FALSE),main!$K$26:$Q$29,5,FALSE)),1,0)</f>
        <v>0</v>
      </c>
      <c r="BO278">
        <f>IF(AND(VLOOKUP(BO$1,main!$A$3:$H$102,7,FALSE)=main!$G$105,VLOOKUP(BO$1,main!$A$3:$H$102,5,FALSE)-VLOOKUP($A278,main!$A$3:$H$102,6,FALSE)&gt;=main!$D$103+VLOOKUP(VLOOKUP(BO$1,main!$A$3:$I$102,7,FALSE),main!$K$26:$Q$29,5,FALSE)),1,0)</f>
        <v>0</v>
      </c>
      <c r="BP278">
        <f>IF(AND(VLOOKUP(BP$1,main!$A$3:$H$102,7,FALSE)=main!$G$105,VLOOKUP(BP$1,main!$A$3:$H$102,5,FALSE)-VLOOKUP($A278,main!$A$3:$H$102,6,FALSE)&gt;=main!$D$103+VLOOKUP(VLOOKUP(BP$1,main!$A$3:$I$102,7,FALSE),main!$K$26:$Q$29,5,FALSE)),1,0)</f>
        <v>0</v>
      </c>
      <c r="BQ278">
        <f>IF(AND(VLOOKUP(BQ$1,main!$A$3:$H$102,7,FALSE)=main!$G$105,VLOOKUP(BQ$1,main!$A$3:$H$102,5,FALSE)-VLOOKUP($A278,main!$A$3:$H$102,6,FALSE)&gt;=main!$D$103+VLOOKUP(VLOOKUP(BQ$1,main!$A$3:$I$102,7,FALSE),main!$K$26:$Q$29,5,FALSE)),1,0)</f>
        <v>0</v>
      </c>
      <c r="BR278">
        <f>IF(AND(VLOOKUP(BR$1,main!$A$3:$H$102,7,FALSE)=main!$G$105,VLOOKUP(BR$1,main!$A$3:$H$102,5,FALSE)-VLOOKUP($A278,main!$A$3:$H$102,6,FALSE)&gt;=main!$D$103+VLOOKUP(VLOOKUP(BR$1,main!$A$3:$I$102,7,FALSE),main!$K$26:$Q$29,5,FALSE)),1,0)</f>
        <v>0</v>
      </c>
      <c r="BS278">
        <f>IF(AND(VLOOKUP(BS$1,main!$A$3:$H$102,7,FALSE)=main!$G$105,VLOOKUP(BS$1,main!$A$3:$H$102,5,FALSE)-VLOOKUP($A278,main!$A$3:$H$102,6,FALSE)&gt;=main!$D$103+VLOOKUP(VLOOKUP(BS$1,main!$A$3:$I$102,7,FALSE),main!$K$26:$Q$29,5,FALSE)),1,0)</f>
        <v>0</v>
      </c>
      <c r="BT278">
        <f>IF(AND(VLOOKUP(BT$1,main!$A$3:$H$102,7,FALSE)=main!$G$105,VLOOKUP(BT$1,main!$A$3:$H$102,5,FALSE)-VLOOKUP($A278,main!$A$3:$H$102,6,FALSE)&gt;=main!$D$103+VLOOKUP(VLOOKUP(BT$1,main!$A$3:$I$102,7,FALSE),main!$K$26:$Q$29,5,FALSE)),1,0)</f>
        <v>0</v>
      </c>
      <c r="BU278">
        <f>IF(AND(VLOOKUP(BU$1,main!$A$3:$H$102,7,FALSE)=main!$G$105,VLOOKUP(BU$1,main!$A$3:$H$102,5,FALSE)-VLOOKUP($A278,main!$A$3:$H$102,6,FALSE)&gt;=main!$D$103+VLOOKUP(VLOOKUP(BU$1,main!$A$3:$I$102,7,FALSE),main!$K$26:$Q$29,5,FALSE)),1,0)</f>
        <v>0</v>
      </c>
      <c r="BV278">
        <f>IF(AND(VLOOKUP(BV$1,main!$A$3:$H$102,7,FALSE)=main!$G$105,VLOOKUP(BV$1,main!$A$3:$H$102,5,FALSE)-VLOOKUP($A278,main!$A$3:$H$102,6,FALSE)&gt;=main!$D$103+VLOOKUP(VLOOKUP(BV$1,main!$A$3:$I$102,7,FALSE),main!$K$26:$Q$29,5,FALSE)),1,0)</f>
        <v>0</v>
      </c>
      <c r="BW278">
        <f>IF(AND(VLOOKUP(BW$1,main!$A$3:$H$102,7,FALSE)=main!$G$105,VLOOKUP(BW$1,main!$A$3:$H$102,5,FALSE)-VLOOKUP($A278,main!$A$3:$H$102,6,FALSE)&gt;=main!$D$103+VLOOKUP(VLOOKUP(BW$1,main!$A$3:$I$102,7,FALSE),main!$K$26:$Q$29,5,FALSE)),1,0)</f>
        <v>0</v>
      </c>
      <c r="BX278">
        <f>IF(AND(VLOOKUP(BX$1,main!$A$3:$H$102,7,FALSE)=main!$G$105,VLOOKUP(BX$1,main!$A$3:$H$102,5,FALSE)-VLOOKUP($A278,main!$A$3:$H$102,6,FALSE)&gt;=main!$D$103+VLOOKUP(VLOOKUP(BX$1,main!$A$3:$I$102,7,FALSE),main!$K$26:$Q$29,5,FALSE)),1,0)</f>
        <v>0</v>
      </c>
      <c r="BY278">
        <f>IF(AND(VLOOKUP(BY$1,main!$A$3:$H$102,7,FALSE)=main!$G$105,VLOOKUP(BY$1,main!$A$3:$H$102,5,FALSE)-VLOOKUP($A278,main!$A$3:$H$102,6,FALSE)&gt;=main!$D$103+VLOOKUP(VLOOKUP(BY$1,main!$A$3:$I$102,7,FALSE),main!$K$26:$Q$29,5,FALSE)),1,0)</f>
        <v>0</v>
      </c>
      <c r="BZ278">
        <f>IF(AND(VLOOKUP(BZ$1,main!$A$3:$H$102,7,FALSE)=main!$G$105,VLOOKUP(BZ$1,main!$A$3:$H$102,5,FALSE)-VLOOKUP($A278,main!$A$3:$H$102,6,FALSE)&gt;=main!$D$103+VLOOKUP(VLOOKUP(BZ$1,main!$A$3:$I$102,7,FALSE),main!$K$26:$Q$29,5,FALSE)),1,0)</f>
        <v>0</v>
      </c>
      <c r="CA278">
        <f>IF(AND(VLOOKUP(CA$1,main!$A$3:$H$102,7,FALSE)=main!$G$105,VLOOKUP(CA$1,main!$A$3:$H$102,5,FALSE)-VLOOKUP($A278,main!$A$3:$H$102,6,FALSE)&gt;=main!$D$103+VLOOKUP(VLOOKUP(CA$1,main!$A$3:$I$102,7,FALSE),main!$K$26:$Q$29,5,FALSE)),1,0)</f>
        <v>0</v>
      </c>
      <c r="CB278">
        <f>IF(AND(VLOOKUP(CB$1,main!$A$3:$H$102,7,FALSE)=main!$G$105,VLOOKUP(CB$1,main!$A$3:$H$102,5,FALSE)-VLOOKUP($A278,main!$A$3:$H$102,6,FALSE)&gt;=main!$D$103+VLOOKUP(VLOOKUP(CB$1,main!$A$3:$I$102,7,FALSE),main!$K$26:$Q$29,5,FALSE)),1,0)</f>
        <v>0</v>
      </c>
      <c r="CC278">
        <f>IF(AND(VLOOKUP(CC$1,main!$A$3:$H$102,7,FALSE)=main!$G$105,VLOOKUP(CC$1,main!$A$3:$H$102,5,FALSE)-VLOOKUP($A278,main!$A$3:$H$102,6,FALSE)&gt;=main!$D$103+VLOOKUP(VLOOKUP(CC$1,main!$A$3:$I$102,7,FALSE),main!$K$26:$Q$29,5,FALSE)),1,0)</f>
        <v>0</v>
      </c>
      <c r="CD278">
        <f>IF(AND(VLOOKUP(CD$1,main!$A$3:$H$102,7,FALSE)=main!$G$105,VLOOKUP(CD$1,main!$A$3:$H$102,5,FALSE)-VLOOKUP($A278,main!$A$3:$H$102,6,FALSE)&gt;=main!$D$103+VLOOKUP(VLOOKUP(CD$1,main!$A$3:$I$102,7,FALSE),main!$K$26:$Q$29,5,FALSE)),1,0)</f>
        <v>0</v>
      </c>
      <c r="CE278">
        <f>IF(AND(VLOOKUP(CE$1,main!$A$3:$H$102,7,FALSE)=main!$G$105,VLOOKUP(CE$1,main!$A$3:$H$102,5,FALSE)-VLOOKUP($A278,main!$A$3:$H$102,6,FALSE)&gt;=main!$D$103+VLOOKUP(VLOOKUP(CE$1,main!$A$3:$I$102,7,FALSE),main!$K$26:$Q$29,5,FALSE)),1,0)</f>
        <v>0</v>
      </c>
      <c r="CF278">
        <f>IF(AND(VLOOKUP(CF$1,main!$A$3:$H$102,7,FALSE)=main!$G$105,VLOOKUP(CF$1,main!$A$3:$H$102,5,FALSE)-VLOOKUP($A278,main!$A$3:$H$102,6,FALSE)&gt;=main!$D$103+VLOOKUP(VLOOKUP(CF$1,main!$A$3:$I$102,7,FALSE),main!$K$26:$Q$29,5,FALSE)),1,0)</f>
        <v>0</v>
      </c>
      <c r="CG278">
        <f>IF(AND(VLOOKUP(CG$1,main!$A$3:$H$102,7,FALSE)=main!$G$105,VLOOKUP(CG$1,main!$A$3:$H$102,5,FALSE)-VLOOKUP($A278,main!$A$3:$H$102,6,FALSE)&gt;=main!$D$103+VLOOKUP(VLOOKUP(CG$1,main!$A$3:$I$102,7,FALSE),main!$K$26:$Q$29,5,FALSE)),1,0)</f>
        <v>0</v>
      </c>
      <c r="CH278">
        <f>IF(AND(VLOOKUP(CH$1,main!$A$3:$H$102,7,FALSE)=main!$G$105,VLOOKUP(CH$1,main!$A$3:$H$102,5,FALSE)-VLOOKUP($A278,main!$A$3:$H$102,6,FALSE)&gt;=main!$D$103+VLOOKUP(VLOOKUP(CH$1,main!$A$3:$I$102,7,FALSE),main!$K$26:$Q$29,5,FALSE)),1,0)</f>
        <v>0</v>
      </c>
      <c r="CI278">
        <f>IF(AND(VLOOKUP(CI$1,main!$A$3:$H$102,7,FALSE)=main!$G$105,VLOOKUP(CI$1,main!$A$3:$H$102,5,FALSE)-VLOOKUP($A278,main!$A$3:$H$102,6,FALSE)&gt;=main!$D$103+VLOOKUP(VLOOKUP(CI$1,main!$A$3:$I$102,7,FALSE),main!$K$26:$Q$29,5,FALSE)),1,0)</f>
        <v>0</v>
      </c>
      <c r="CJ278">
        <f>IF(AND(VLOOKUP(CJ$1,main!$A$3:$H$102,7,FALSE)=main!$G$105,VLOOKUP(CJ$1,main!$A$3:$H$102,5,FALSE)-VLOOKUP($A278,main!$A$3:$H$102,6,FALSE)&gt;=main!$D$103+VLOOKUP(VLOOKUP(CJ$1,main!$A$3:$I$102,7,FALSE),main!$K$26:$Q$29,5,FALSE)),1,0)</f>
        <v>0</v>
      </c>
      <c r="CK278">
        <f>IF(AND(VLOOKUP(CK$1,main!$A$3:$H$102,7,FALSE)=main!$G$105,VLOOKUP(CK$1,main!$A$3:$H$102,5,FALSE)-VLOOKUP($A278,main!$A$3:$H$102,6,FALSE)&gt;=main!$D$103+VLOOKUP(VLOOKUP(CK$1,main!$A$3:$I$102,7,FALSE),main!$K$26:$Q$29,5,FALSE)),1,0)</f>
        <v>0</v>
      </c>
      <c r="CL278">
        <f>IF(AND(VLOOKUP(CL$1,main!$A$3:$H$102,7,FALSE)=main!$G$105,VLOOKUP(CL$1,main!$A$3:$H$102,5,FALSE)-VLOOKUP($A278,main!$A$3:$H$102,6,FALSE)&gt;=main!$D$103+VLOOKUP(VLOOKUP(CL$1,main!$A$3:$I$102,7,FALSE),main!$K$26:$Q$29,5,FALSE)),1,0)</f>
        <v>0</v>
      </c>
      <c r="CM278">
        <f>IF(AND(VLOOKUP(CM$1,main!$A$3:$H$102,7,FALSE)=main!$G$105,VLOOKUP(CM$1,main!$A$3:$H$102,5,FALSE)-VLOOKUP($A278,main!$A$3:$H$102,6,FALSE)&gt;=main!$D$103+VLOOKUP(VLOOKUP(CM$1,main!$A$3:$I$102,7,FALSE),main!$K$26:$Q$29,5,FALSE)),1,0)</f>
        <v>0</v>
      </c>
      <c r="CN278">
        <f>IF(AND(VLOOKUP(CN$1,main!$A$3:$H$102,7,FALSE)=main!$G$105,VLOOKUP(CN$1,main!$A$3:$H$102,5,FALSE)-VLOOKUP($A278,main!$A$3:$H$102,6,FALSE)&gt;=main!$D$103+VLOOKUP(VLOOKUP(CN$1,main!$A$3:$I$102,7,FALSE),main!$K$26:$Q$29,5,FALSE)),1,0)</f>
        <v>0</v>
      </c>
      <c r="CO278">
        <f>IF(AND(VLOOKUP(CO$1,main!$A$3:$H$102,7,FALSE)=main!$G$105,VLOOKUP(CO$1,main!$A$3:$H$102,5,FALSE)-VLOOKUP($A278,main!$A$3:$H$102,6,FALSE)&gt;=main!$D$103+VLOOKUP(VLOOKUP(CO$1,main!$A$3:$I$102,7,FALSE),main!$K$26:$Q$29,5,FALSE)),1,0)</f>
        <v>0</v>
      </c>
      <c r="CP278">
        <f>IF(AND(VLOOKUP(CP$1,main!$A$3:$H$102,7,FALSE)=main!$G$105,VLOOKUP(CP$1,main!$A$3:$H$102,5,FALSE)-VLOOKUP($A278,main!$A$3:$H$102,6,FALSE)&gt;=main!$D$103+VLOOKUP(VLOOKUP(CP$1,main!$A$3:$I$102,7,FALSE),main!$K$26:$Q$29,5,FALSE)),1,0)</f>
        <v>0</v>
      </c>
      <c r="CQ278">
        <f>IF(AND(VLOOKUP(CQ$1,main!$A$3:$H$102,7,FALSE)=main!$G$105,VLOOKUP(CQ$1,main!$A$3:$H$102,5,FALSE)-VLOOKUP($A278,main!$A$3:$H$102,6,FALSE)&gt;=main!$D$103+VLOOKUP(VLOOKUP(CQ$1,main!$A$3:$I$102,7,FALSE),main!$K$26:$Q$29,5,FALSE)),1,0)</f>
        <v>0</v>
      </c>
      <c r="CR278">
        <f>IF(AND(VLOOKUP(CR$1,main!$A$3:$H$102,7,FALSE)=main!$G$105,VLOOKUP(CR$1,main!$A$3:$H$102,5,FALSE)-VLOOKUP($A278,main!$A$3:$H$102,6,FALSE)&gt;=main!$D$103+VLOOKUP(VLOOKUP(CR$1,main!$A$3:$I$102,7,FALSE),main!$K$26:$Q$29,5,FALSE)),1,0)</f>
        <v>0</v>
      </c>
      <c r="CS278">
        <f>IF(AND(VLOOKUP(CS$1,main!$A$3:$H$102,7,FALSE)=main!$G$105,VLOOKUP(CS$1,main!$A$3:$H$102,5,FALSE)-VLOOKUP($A278,main!$A$3:$H$102,6,FALSE)&gt;=main!$D$103+VLOOKUP(VLOOKUP(CS$1,main!$A$3:$I$102,7,FALSE),main!$K$26:$Q$29,5,FALSE)),1,0)</f>
        <v>0</v>
      </c>
      <c r="CT278">
        <f>IF(AND(VLOOKUP(CT$1,main!$A$3:$H$102,7,FALSE)=main!$G$105,VLOOKUP(CT$1,main!$A$3:$H$102,5,FALSE)-VLOOKUP($A278,main!$A$3:$H$102,6,FALSE)&gt;=main!$D$103+VLOOKUP(VLOOKUP(CT$1,main!$A$3:$I$102,7,FALSE),main!$K$26:$Q$29,5,FALSE)),1,0)</f>
        <v>0</v>
      </c>
      <c r="CU278">
        <f>IF(AND(VLOOKUP(CU$1,main!$A$3:$H$102,7,FALSE)=main!$G$105,VLOOKUP(CU$1,main!$A$3:$H$102,5,FALSE)-VLOOKUP($A278,main!$A$3:$H$102,6,FALSE)&gt;=main!$D$103+VLOOKUP(VLOOKUP(CU$1,main!$A$3:$I$102,7,FALSE),main!$K$26:$Q$29,5,FALSE)),1,0)</f>
        <v>0</v>
      </c>
      <c r="CV278">
        <f>IF(AND(VLOOKUP(CV$1,main!$A$3:$H$102,7,FALSE)=main!$G$105,VLOOKUP(CV$1,main!$A$3:$H$102,5,FALSE)-VLOOKUP($A278,main!$A$3:$H$102,6,FALSE)&gt;=main!$D$103+VLOOKUP(VLOOKUP(CV$1,main!$A$3:$I$102,7,FALSE),main!$K$26:$Q$29,5,FALSE)),1,0)</f>
        <v>0</v>
      </c>
      <c r="CW278">
        <f>IF(AND(VLOOKUP(CW$1,main!$A$3:$H$102,7,FALSE)=main!$G$105,VLOOKUP(CW$1,main!$A$3:$H$102,5,FALSE)-VLOOKUP($A278,main!$A$3:$H$102,6,FALSE)&gt;=main!$D$103+VLOOKUP(VLOOKUP(CW$1,main!$A$3:$I$102,7,FALSE),main!$K$26:$Q$29,5,FALSE)),1,0)</f>
        <v>0</v>
      </c>
      <c r="CX278">
        <f>IF(AND(VLOOKUP(CX$1,main!$A$3:$H$102,7,FALSE)=main!$G$105,VLOOKUP(CX$1,main!$A$3:$H$102,5,FALSE)-VLOOKUP($A278,main!$A$3:$H$102,6,FALSE)&gt;=main!$D$103+VLOOKUP(VLOOKUP(CX$1,main!$A$3:$I$102,7,FALSE),main!$K$26:$Q$29,5,FALSE)),1,0)</f>
        <v>0</v>
      </c>
    </row>
    <row r="279" spans="1:102" x14ac:dyDescent="0.25">
      <c r="A279" s="1">
        <v>75</v>
      </c>
      <c r="B279">
        <v>0</v>
      </c>
      <c r="C279">
        <f>IF(AND(VLOOKUP(C$1,main!$A$3:$H$102,7,FALSE)=main!$G$105,VLOOKUP(C$1,main!$A$3:$H$102,5,FALSE)-VLOOKUP($A279,main!$A$3:$H$102,6,FALSE)&gt;=main!$D$103+VLOOKUP(VLOOKUP(C$1,main!$A$3:$I$102,7,FALSE),main!$K$26:$Q$29,5,FALSE)),1,0)</f>
        <v>0</v>
      </c>
      <c r="D279">
        <f>IF(AND(VLOOKUP(D$1,main!$A$3:$H$102,7,FALSE)=main!$G$105,VLOOKUP(D$1,main!$A$3:$H$102,5,FALSE)-VLOOKUP($A279,main!$A$3:$H$102,6,FALSE)&gt;=main!$D$103+VLOOKUP(VLOOKUP(D$1,main!$A$3:$I$102,7,FALSE),main!$K$26:$Q$29,5,FALSE)),1,0)</f>
        <v>0</v>
      </c>
      <c r="E279">
        <f>IF(AND(VLOOKUP(E$1,main!$A$3:$H$102,7,FALSE)=main!$G$105,VLOOKUP(E$1,main!$A$3:$H$102,5,FALSE)-VLOOKUP($A279,main!$A$3:$H$102,6,FALSE)&gt;=main!$D$103+VLOOKUP(VLOOKUP(E$1,main!$A$3:$I$102,7,FALSE),main!$K$26:$Q$29,5,FALSE)),1,0)</f>
        <v>0</v>
      </c>
      <c r="F279">
        <f>IF(AND(VLOOKUP(F$1,main!$A$3:$H$102,7,FALSE)=main!$G$105,VLOOKUP(F$1,main!$A$3:$H$102,5,FALSE)-VLOOKUP($A279,main!$A$3:$H$102,6,FALSE)&gt;=main!$D$103+VLOOKUP(VLOOKUP(F$1,main!$A$3:$I$102,7,FALSE),main!$K$26:$Q$29,5,FALSE)),1,0)</f>
        <v>0</v>
      </c>
      <c r="G279">
        <f>IF(AND(VLOOKUP(G$1,main!$A$3:$H$102,7,FALSE)=main!$G$105,VLOOKUP(G$1,main!$A$3:$H$102,5,FALSE)-VLOOKUP($A279,main!$A$3:$H$102,6,FALSE)&gt;=main!$D$103+VLOOKUP(VLOOKUP(G$1,main!$A$3:$I$102,7,FALSE),main!$K$26:$Q$29,5,FALSE)),1,0)</f>
        <v>0</v>
      </c>
      <c r="H279">
        <f>IF(AND(VLOOKUP(H$1,main!$A$3:$H$102,7,FALSE)=main!$G$105,VLOOKUP(H$1,main!$A$3:$H$102,5,FALSE)-VLOOKUP($A279,main!$A$3:$H$102,6,FALSE)&gt;=main!$D$103+VLOOKUP(VLOOKUP(H$1,main!$A$3:$I$102,7,FALSE),main!$K$26:$Q$29,5,FALSE)),1,0)</f>
        <v>0</v>
      </c>
      <c r="I279">
        <f>IF(AND(VLOOKUP(I$1,main!$A$3:$H$102,7,FALSE)=main!$G$105,VLOOKUP(I$1,main!$A$3:$H$102,5,FALSE)-VLOOKUP($A279,main!$A$3:$H$102,6,FALSE)&gt;=main!$D$103+VLOOKUP(VLOOKUP(I$1,main!$A$3:$I$102,7,FALSE),main!$K$26:$Q$29,5,FALSE)),1,0)</f>
        <v>0</v>
      </c>
      <c r="J279">
        <f>IF(AND(VLOOKUP(J$1,main!$A$3:$H$102,7,FALSE)=main!$G$105,VLOOKUP(J$1,main!$A$3:$H$102,5,FALSE)-VLOOKUP($A279,main!$A$3:$H$102,6,FALSE)&gt;=main!$D$103+VLOOKUP(VLOOKUP(J$1,main!$A$3:$I$102,7,FALSE),main!$K$26:$Q$29,5,FALSE)),1,0)</f>
        <v>0</v>
      </c>
      <c r="K279">
        <f>IF(AND(VLOOKUP(K$1,main!$A$3:$H$102,7,FALSE)=main!$G$105,VLOOKUP(K$1,main!$A$3:$H$102,5,FALSE)-VLOOKUP($A279,main!$A$3:$H$102,6,FALSE)&gt;=main!$D$103+VLOOKUP(VLOOKUP(K$1,main!$A$3:$I$102,7,FALSE),main!$K$26:$Q$29,5,FALSE)),1,0)</f>
        <v>0</v>
      </c>
      <c r="L279">
        <f>IF(AND(VLOOKUP(L$1,main!$A$3:$H$102,7,FALSE)=main!$G$105,VLOOKUP(L$1,main!$A$3:$H$102,5,FALSE)-VLOOKUP($A279,main!$A$3:$H$102,6,FALSE)&gt;=main!$D$103+VLOOKUP(VLOOKUP(L$1,main!$A$3:$I$102,7,FALSE),main!$K$26:$Q$29,5,FALSE)),1,0)</f>
        <v>0</v>
      </c>
      <c r="M279">
        <f>IF(AND(VLOOKUP(M$1,main!$A$3:$H$102,7,FALSE)=main!$G$105,VLOOKUP(M$1,main!$A$3:$H$102,5,FALSE)-VLOOKUP($A279,main!$A$3:$H$102,6,FALSE)&gt;=main!$D$103+VLOOKUP(VLOOKUP(M$1,main!$A$3:$I$102,7,FALSE),main!$K$26:$Q$29,5,FALSE)),1,0)</f>
        <v>0</v>
      </c>
      <c r="N279">
        <f>IF(AND(VLOOKUP(N$1,main!$A$3:$H$102,7,FALSE)=main!$G$105,VLOOKUP(N$1,main!$A$3:$H$102,5,FALSE)-VLOOKUP($A279,main!$A$3:$H$102,6,FALSE)&gt;=main!$D$103+VLOOKUP(VLOOKUP(N$1,main!$A$3:$I$102,7,FALSE),main!$K$26:$Q$29,5,FALSE)),1,0)</f>
        <v>0</v>
      </c>
      <c r="O279">
        <f>IF(AND(VLOOKUP(O$1,main!$A$3:$H$102,7,FALSE)=main!$G$105,VLOOKUP(O$1,main!$A$3:$H$102,5,FALSE)-VLOOKUP($A279,main!$A$3:$H$102,6,FALSE)&gt;=main!$D$103+VLOOKUP(VLOOKUP(O$1,main!$A$3:$I$102,7,FALSE),main!$K$26:$Q$29,5,FALSE)),1,0)</f>
        <v>0</v>
      </c>
      <c r="P279">
        <f>IF(AND(VLOOKUP(P$1,main!$A$3:$H$102,7,FALSE)=main!$G$105,VLOOKUP(P$1,main!$A$3:$H$102,5,FALSE)-VLOOKUP($A279,main!$A$3:$H$102,6,FALSE)&gt;=main!$D$103+VLOOKUP(VLOOKUP(P$1,main!$A$3:$I$102,7,FALSE),main!$K$26:$Q$29,5,FALSE)),1,0)</f>
        <v>0</v>
      </c>
      <c r="Q279">
        <f>IF(AND(VLOOKUP(Q$1,main!$A$3:$H$102,7,FALSE)=main!$G$105,VLOOKUP(Q$1,main!$A$3:$H$102,5,FALSE)-VLOOKUP($A279,main!$A$3:$H$102,6,FALSE)&gt;=main!$D$103+VLOOKUP(VLOOKUP(Q$1,main!$A$3:$I$102,7,FALSE),main!$K$26:$Q$29,5,FALSE)),1,0)</f>
        <v>0</v>
      </c>
      <c r="R279">
        <f>IF(AND(VLOOKUP(R$1,main!$A$3:$H$102,7,FALSE)=main!$G$105,VLOOKUP(R$1,main!$A$3:$H$102,5,FALSE)-VLOOKUP($A279,main!$A$3:$H$102,6,FALSE)&gt;=main!$D$103+VLOOKUP(VLOOKUP(R$1,main!$A$3:$I$102,7,FALSE),main!$K$26:$Q$29,5,FALSE)),1,0)</f>
        <v>0</v>
      </c>
      <c r="S279">
        <f>IF(AND(VLOOKUP(S$1,main!$A$3:$H$102,7,FALSE)=main!$G$105,VLOOKUP(S$1,main!$A$3:$H$102,5,FALSE)-VLOOKUP($A279,main!$A$3:$H$102,6,FALSE)&gt;=main!$D$103+VLOOKUP(VLOOKUP(S$1,main!$A$3:$I$102,7,FALSE),main!$K$26:$Q$29,5,FALSE)),1,0)</f>
        <v>0</v>
      </c>
      <c r="T279">
        <f>IF(AND(VLOOKUP(T$1,main!$A$3:$H$102,7,FALSE)=main!$G$105,VLOOKUP(T$1,main!$A$3:$H$102,5,FALSE)-VLOOKUP($A279,main!$A$3:$H$102,6,FALSE)&gt;=main!$D$103+VLOOKUP(VLOOKUP(T$1,main!$A$3:$I$102,7,FALSE),main!$K$26:$Q$29,5,FALSE)),1,0)</f>
        <v>0</v>
      </c>
      <c r="U279">
        <f>IF(AND(VLOOKUP(U$1,main!$A$3:$H$102,7,FALSE)=main!$G$105,VLOOKUP(U$1,main!$A$3:$H$102,5,FALSE)-VLOOKUP($A279,main!$A$3:$H$102,6,FALSE)&gt;=main!$D$103+VLOOKUP(VLOOKUP(U$1,main!$A$3:$I$102,7,FALSE),main!$K$26:$Q$29,5,FALSE)),1,0)</f>
        <v>0</v>
      </c>
      <c r="V279">
        <f>IF(AND(VLOOKUP(V$1,main!$A$3:$H$102,7,FALSE)=main!$G$105,VLOOKUP(V$1,main!$A$3:$H$102,5,FALSE)-VLOOKUP($A279,main!$A$3:$H$102,6,FALSE)&gt;=main!$D$103+VLOOKUP(VLOOKUP(V$1,main!$A$3:$I$102,7,FALSE),main!$K$26:$Q$29,5,FALSE)),1,0)</f>
        <v>0</v>
      </c>
      <c r="W279">
        <f>IF(AND(VLOOKUP(W$1,main!$A$3:$H$102,7,FALSE)=main!$G$105,VLOOKUP(W$1,main!$A$3:$H$102,5,FALSE)-VLOOKUP($A279,main!$A$3:$H$102,6,FALSE)&gt;=main!$D$103+VLOOKUP(VLOOKUP(W$1,main!$A$3:$I$102,7,FALSE),main!$K$26:$Q$29,5,FALSE)),1,0)</f>
        <v>0</v>
      </c>
      <c r="X279">
        <f>IF(AND(VLOOKUP(X$1,main!$A$3:$H$102,7,FALSE)=main!$G$105,VLOOKUP(X$1,main!$A$3:$H$102,5,FALSE)-VLOOKUP($A279,main!$A$3:$H$102,6,FALSE)&gt;=main!$D$103+VLOOKUP(VLOOKUP(X$1,main!$A$3:$I$102,7,FALSE),main!$K$26:$Q$29,5,FALSE)),1,0)</f>
        <v>0</v>
      </c>
      <c r="Y279">
        <f>IF(AND(VLOOKUP(Y$1,main!$A$3:$H$102,7,FALSE)=main!$G$105,VLOOKUP(Y$1,main!$A$3:$H$102,5,FALSE)-VLOOKUP($A279,main!$A$3:$H$102,6,FALSE)&gt;=main!$D$103+VLOOKUP(VLOOKUP(Y$1,main!$A$3:$I$102,7,FALSE),main!$K$26:$Q$29,5,FALSE)),1,0)</f>
        <v>0</v>
      </c>
      <c r="Z279">
        <f>IF(AND(VLOOKUP(Z$1,main!$A$3:$H$102,7,FALSE)=main!$G$105,VLOOKUP(Z$1,main!$A$3:$H$102,5,FALSE)-VLOOKUP($A279,main!$A$3:$H$102,6,FALSE)&gt;=main!$D$103+VLOOKUP(VLOOKUP(Z$1,main!$A$3:$I$102,7,FALSE),main!$K$26:$Q$29,5,FALSE)),1,0)</f>
        <v>0</v>
      </c>
      <c r="AA279">
        <f>IF(AND(VLOOKUP(AA$1,main!$A$3:$H$102,7,FALSE)=main!$G$105,VLOOKUP(AA$1,main!$A$3:$H$102,5,FALSE)-VLOOKUP($A279,main!$A$3:$H$102,6,FALSE)&gt;=main!$D$103+VLOOKUP(VLOOKUP(AA$1,main!$A$3:$I$102,7,FALSE),main!$K$26:$Q$29,5,FALSE)),1,0)</f>
        <v>0</v>
      </c>
      <c r="AB279">
        <f>IF(AND(VLOOKUP(AB$1,main!$A$3:$H$102,7,FALSE)=main!$G$105,VLOOKUP(AB$1,main!$A$3:$H$102,5,FALSE)-VLOOKUP($A279,main!$A$3:$H$102,6,FALSE)&gt;=main!$D$103+VLOOKUP(VLOOKUP(AB$1,main!$A$3:$I$102,7,FALSE),main!$K$26:$Q$29,5,FALSE)),1,0)</f>
        <v>0</v>
      </c>
      <c r="AC279">
        <f>IF(AND(VLOOKUP(AC$1,main!$A$3:$H$102,7,FALSE)=main!$G$105,VLOOKUP(AC$1,main!$A$3:$H$102,5,FALSE)-VLOOKUP($A279,main!$A$3:$H$102,6,FALSE)&gt;=main!$D$103+VLOOKUP(VLOOKUP(AC$1,main!$A$3:$I$102,7,FALSE),main!$K$26:$Q$29,5,FALSE)),1,0)</f>
        <v>0</v>
      </c>
      <c r="AD279">
        <f>IF(AND(VLOOKUP(AD$1,main!$A$3:$H$102,7,FALSE)=main!$G$105,VLOOKUP(AD$1,main!$A$3:$H$102,5,FALSE)-VLOOKUP($A279,main!$A$3:$H$102,6,FALSE)&gt;=main!$D$103+VLOOKUP(VLOOKUP(AD$1,main!$A$3:$I$102,7,FALSE),main!$K$26:$Q$29,5,FALSE)),1,0)</f>
        <v>0</v>
      </c>
      <c r="AE279">
        <f>IF(AND(VLOOKUP(AE$1,main!$A$3:$H$102,7,FALSE)=main!$G$105,VLOOKUP(AE$1,main!$A$3:$H$102,5,FALSE)-VLOOKUP($A279,main!$A$3:$H$102,6,FALSE)&gt;=main!$D$103+VLOOKUP(VLOOKUP(AE$1,main!$A$3:$I$102,7,FALSE),main!$K$26:$Q$29,5,FALSE)),1,0)</f>
        <v>0</v>
      </c>
      <c r="AF279">
        <f>IF(AND(VLOOKUP(AF$1,main!$A$3:$H$102,7,FALSE)=main!$G$105,VLOOKUP(AF$1,main!$A$3:$H$102,5,FALSE)-VLOOKUP($A279,main!$A$3:$H$102,6,FALSE)&gt;=main!$D$103+VLOOKUP(VLOOKUP(AF$1,main!$A$3:$I$102,7,FALSE),main!$K$26:$Q$29,5,FALSE)),1,0)</f>
        <v>0</v>
      </c>
      <c r="AG279">
        <f>IF(AND(VLOOKUP(AG$1,main!$A$3:$H$102,7,FALSE)=main!$G$105,VLOOKUP(AG$1,main!$A$3:$H$102,5,FALSE)-VLOOKUP($A279,main!$A$3:$H$102,6,FALSE)&gt;=main!$D$103+VLOOKUP(VLOOKUP(AG$1,main!$A$3:$I$102,7,FALSE),main!$K$26:$Q$29,5,FALSE)),1,0)</f>
        <v>0</v>
      </c>
      <c r="AH279">
        <f>IF(AND(VLOOKUP(AH$1,main!$A$3:$H$102,7,FALSE)=main!$G$105,VLOOKUP(AH$1,main!$A$3:$H$102,5,FALSE)-VLOOKUP($A279,main!$A$3:$H$102,6,FALSE)&gt;=main!$D$103+VLOOKUP(VLOOKUP(AH$1,main!$A$3:$I$102,7,FALSE),main!$K$26:$Q$29,5,FALSE)),1,0)</f>
        <v>0</v>
      </c>
      <c r="AI279">
        <f>IF(AND(VLOOKUP(AI$1,main!$A$3:$H$102,7,FALSE)=main!$G$105,VLOOKUP(AI$1,main!$A$3:$H$102,5,FALSE)-VLOOKUP($A279,main!$A$3:$H$102,6,FALSE)&gt;=main!$D$103+VLOOKUP(VLOOKUP(AI$1,main!$A$3:$I$102,7,FALSE),main!$K$26:$Q$29,5,FALSE)),1,0)</f>
        <v>0</v>
      </c>
      <c r="AJ279">
        <f>IF(AND(VLOOKUP(AJ$1,main!$A$3:$H$102,7,FALSE)=main!$G$105,VLOOKUP(AJ$1,main!$A$3:$H$102,5,FALSE)-VLOOKUP($A279,main!$A$3:$H$102,6,FALSE)&gt;=main!$D$103+VLOOKUP(VLOOKUP(AJ$1,main!$A$3:$I$102,7,FALSE),main!$K$26:$Q$29,5,FALSE)),1,0)</f>
        <v>0</v>
      </c>
      <c r="AK279">
        <f>IF(AND(VLOOKUP(AK$1,main!$A$3:$H$102,7,FALSE)=main!$G$105,VLOOKUP(AK$1,main!$A$3:$H$102,5,FALSE)-VLOOKUP($A279,main!$A$3:$H$102,6,FALSE)&gt;=main!$D$103+VLOOKUP(VLOOKUP(AK$1,main!$A$3:$I$102,7,FALSE),main!$K$26:$Q$29,5,FALSE)),1,0)</f>
        <v>0</v>
      </c>
      <c r="AL279">
        <f>IF(AND(VLOOKUP(AL$1,main!$A$3:$H$102,7,FALSE)=main!$G$105,VLOOKUP(AL$1,main!$A$3:$H$102,5,FALSE)-VLOOKUP($A279,main!$A$3:$H$102,6,FALSE)&gt;=main!$D$103+VLOOKUP(VLOOKUP(AL$1,main!$A$3:$I$102,7,FALSE),main!$K$26:$Q$29,5,FALSE)),1,0)</f>
        <v>0</v>
      </c>
      <c r="AM279">
        <f>IF(AND(VLOOKUP(AM$1,main!$A$3:$H$102,7,FALSE)=main!$G$105,VLOOKUP(AM$1,main!$A$3:$H$102,5,FALSE)-VLOOKUP($A279,main!$A$3:$H$102,6,FALSE)&gt;=main!$D$103+VLOOKUP(VLOOKUP(AM$1,main!$A$3:$I$102,7,FALSE),main!$K$26:$Q$29,5,FALSE)),1,0)</f>
        <v>1</v>
      </c>
      <c r="AN279">
        <f>IF(AND(VLOOKUP(AN$1,main!$A$3:$H$102,7,FALSE)=main!$G$105,VLOOKUP(AN$1,main!$A$3:$H$102,5,FALSE)-VLOOKUP($A279,main!$A$3:$H$102,6,FALSE)&gt;=main!$D$103+VLOOKUP(VLOOKUP(AN$1,main!$A$3:$I$102,7,FALSE),main!$K$26:$Q$29,5,FALSE)),1,0)</f>
        <v>1</v>
      </c>
      <c r="AO279">
        <f>IF(AND(VLOOKUP(AO$1,main!$A$3:$H$102,7,FALSE)=main!$G$105,VLOOKUP(AO$1,main!$A$3:$H$102,5,FALSE)-VLOOKUP($A279,main!$A$3:$H$102,6,FALSE)&gt;=main!$D$103+VLOOKUP(VLOOKUP(AO$1,main!$A$3:$I$102,7,FALSE),main!$K$26:$Q$29,5,FALSE)),1,0)</f>
        <v>0</v>
      </c>
      <c r="AP279">
        <f>IF(AND(VLOOKUP(AP$1,main!$A$3:$H$102,7,FALSE)=main!$G$105,VLOOKUP(AP$1,main!$A$3:$H$102,5,FALSE)-VLOOKUP($A279,main!$A$3:$H$102,6,FALSE)&gt;=main!$D$103+VLOOKUP(VLOOKUP(AP$1,main!$A$3:$I$102,7,FALSE),main!$K$26:$Q$29,5,FALSE)),1,0)</f>
        <v>1</v>
      </c>
      <c r="AQ279">
        <f>IF(AND(VLOOKUP(AQ$1,main!$A$3:$H$102,7,FALSE)=main!$G$105,VLOOKUP(AQ$1,main!$A$3:$H$102,5,FALSE)-VLOOKUP($A279,main!$A$3:$H$102,6,FALSE)&gt;=main!$D$103+VLOOKUP(VLOOKUP(AQ$1,main!$A$3:$I$102,7,FALSE),main!$K$26:$Q$29,5,FALSE)),1,0)</f>
        <v>0</v>
      </c>
      <c r="AR279">
        <f>IF(AND(VLOOKUP(AR$1,main!$A$3:$H$102,7,FALSE)=main!$G$105,VLOOKUP(AR$1,main!$A$3:$H$102,5,FALSE)-VLOOKUP($A279,main!$A$3:$H$102,6,FALSE)&gt;=main!$D$103+VLOOKUP(VLOOKUP(AR$1,main!$A$3:$I$102,7,FALSE),main!$K$26:$Q$29,5,FALSE)),1,0)</f>
        <v>0</v>
      </c>
      <c r="AS279">
        <f>IF(AND(VLOOKUP(AS$1,main!$A$3:$H$102,7,FALSE)=main!$G$105,VLOOKUP(AS$1,main!$A$3:$H$102,5,FALSE)-VLOOKUP($A279,main!$A$3:$H$102,6,FALSE)&gt;=main!$D$103+VLOOKUP(VLOOKUP(AS$1,main!$A$3:$I$102,7,FALSE),main!$K$26:$Q$29,5,FALSE)),1,0)</f>
        <v>0</v>
      </c>
      <c r="AT279">
        <f>IF(AND(VLOOKUP(AT$1,main!$A$3:$H$102,7,FALSE)=main!$G$105,VLOOKUP(AT$1,main!$A$3:$H$102,5,FALSE)-VLOOKUP($A279,main!$A$3:$H$102,6,FALSE)&gt;=main!$D$103+VLOOKUP(VLOOKUP(AT$1,main!$A$3:$I$102,7,FALSE),main!$K$26:$Q$29,5,FALSE)),1,0)</f>
        <v>0</v>
      </c>
      <c r="AU279">
        <f>IF(AND(VLOOKUP(AU$1,main!$A$3:$H$102,7,FALSE)=main!$G$105,VLOOKUP(AU$1,main!$A$3:$H$102,5,FALSE)-VLOOKUP($A279,main!$A$3:$H$102,6,FALSE)&gt;=main!$D$103+VLOOKUP(VLOOKUP(AU$1,main!$A$3:$I$102,7,FALSE),main!$K$26:$Q$29,5,FALSE)),1,0)</f>
        <v>0</v>
      </c>
      <c r="AV279">
        <f>IF(AND(VLOOKUP(AV$1,main!$A$3:$H$102,7,FALSE)=main!$G$105,VLOOKUP(AV$1,main!$A$3:$H$102,5,FALSE)-VLOOKUP($A279,main!$A$3:$H$102,6,FALSE)&gt;=main!$D$103+VLOOKUP(VLOOKUP(AV$1,main!$A$3:$I$102,7,FALSE),main!$K$26:$Q$29,5,FALSE)),1,0)</f>
        <v>0</v>
      </c>
      <c r="AW279">
        <f>IF(AND(VLOOKUP(AW$1,main!$A$3:$H$102,7,FALSE)=main!$G$105,VLOOKUP(AW$1,main!$A$3:$H$102,5,FALSE)-VLOOKUP($A279,main!$A$3:$H$102,6,FALSE)&gt;=main!$D$103+VLOOKUP(VLOOKUP(AW$1,main!$A$3:$I$102,7,FALSE),main!$K$26:$Q$29,5,FALSE)),1,0)</f>
        <v>0</v>
      </c>
      <c r="AX279">
        <f>IF(AND(VLOOKUP(AX$1,main!$A$3:$H$102,7,FALSE)=main!$G$105,VLOOKUP(AX$1,main!$A$3:$H$102,5,FALSE)-VLOOKUP($A279,main!$A$3:$H$102,6,FALSE)&gt;=main!$D$103+VLOOKUP(VLOOKUP(AX$1,main!$A$3:$I$102,7,FALSE),main!$K$26:$Q$29,5,FALSE)),1,0)</f>
        <v>0</v>
      </c>
      <c r="AY279">
        <f>IF(AND(VLOOKUP(AY$1,main!$A$3:$H$102,7,FALSE)=main!$G$105,VLOOKUP(AY$1,main!$A$3:$H$102,5,FALSE)-VLOOKUP($A279,main!$A$3:$H$102,6,FALSE)&gt;=main!$D$103+VLOOKUP(VLOOKUP(AY$1,main!$A$3:$I$102,7,FALSE),main!$K$26:$Q$29,5,FALSE)),1,0)</f>
        <v>0</v>
      </c>
      <c r="AZ279">
        <f>IF(AND(VLOOKUP(AZ$1,main!$A$3:$H$102,7,FALSE)=main!$G$105,VLOOKUP(AZ$1,main!$A$3:$H$102,5,FALSE)-VLOOKUP($A279,main!$A$3:$H$102,6,FALSE)&gt;=main!$D$103+VLOOKUP(VLOOKUP(AZ$1,main!$A$3:$I$102,7,FALSE),main!$K$26:$Q$29,5,FALSE)),1,0)</f>
        <v>0</v>
      </c>
      <c r="BA279">
        <f>IF(AND(VLOOKUP(BA$1,main!$A$3:$H$102,7,FALSE)=main!$G$105,VLOOKUP(BA$1,main!$A$3:$H$102,5,FALSE)-VLOOKUP($A279,main!$A$3:$H$102,6,FALSE)&gt;=main!$D$103+VLOOKUP(VLOOKUP(BA$1,main!$A$3:$I$102,7,FALSE),main!$K$26:$Q$29,5,FALSE)),1,0)</f>
        <v>0</v>
      </c>
      <c r="BB279">
        <f>IF(AND(VLOOKUP(BB$1,main!$A$3:$H$102,7,FALSE)=main!$G$105,VLOOKUP(BB$1,main!$A$3:$H$102,5,FALSE)-VLOOKUP($A279,main!$A$3:$H$102,6,FALSE)&gt;=main!$D$103+VLOOKUP(VLOOKUP(BB$1,main!$A$3:$I$102,7,FALSE),main!$K$26:$Q$29,5,FALSE)),1,0)</f>
        <v>0</v>
      </c>
      <c r="BC279">
        <f>IF(AND(VLOOKUP(BC$1,main!$A$3:$H$102,7,FALSE)=main!$G$105,VLOOKUP(BC$1,main!$A$3:$H$102,5,FALSE)-VLOOKUP($A279,main!$A$3:$H$102,6,FALSE)&gt;=main!$D$103+VLOOKUP(VLOOKUP(BC$1,main!$A$3:$I$102,7,FALSE),main!$K$26:$Q$29,5,FALSE)),1,0)</f>
        <v>0</v>
      </c>
      <c r="BD279">
        <f>IF(AND(VLOOKUP(BD$1,main!$A$3:$H$102,7,FALSE)=main!$G$105,VLOOKUP(BD$1,main!$A$3:$H$102,5,FALSE)-VLOOKUP($A279,main!$A$3:$H$102,6,FALSE)&gt;=main!$D$103+VLOOKUP(VLOOKUP(BD$1,main!$A$3:$I$102,7,FALSE),main!$K$26:$Q$29,5,FALSE)),1,0)</f>
        <v>0</v>
      </c>
      <c r="BE279">
        <f>IF(AND(VLOOKUP(BE$1,main!$A$3:$H$102,7,FALSE)=main!$G$105,VLOOKUP(BE$1,main!$A$3:$H$102,5,FALSE)-VLOOKUP($A279,main!$A$3:$H$102,6,FALSE)&gt;=main!$D$103+VLOOKUP(VLOOKUP(BE$1,main!$A$3:$I$102,7,FALSE),main!$K$26:$Q$29,5,FALSE)),1,0)</f>
        <v>0</v>
      </c>
      <c r="BF279">
        <f>IF(AND(VLOOKUP(BF$1,main!$A$3:$H$102,7,FALSE)=main!$G$105,VLOOKUP(BF$1,main!$A$3:$H$102,5,FALSE)-VLOOKUP($A279,main!$A$3:$H$102,6,FALSE)&gt;=main!$D$103+VLOOKUP(VLOOKUP(BF$1,main!$A$3:$I$102,7,FALSE),main!$K$26:$Q$29,5,FALSE)),1,0)</f>
        <v>0</v>
      </c>
      <c r="BG279">
        <f>IF(AND(VLOOKUP(BG$1,main!$A$3:$H$102,7,FALSE)=main!$G$105,VLOOKUP(BG$1,main!$A$3:$H$102,5,FALSE)-VLOOKUP($A279,main!$A$3:$H$102,6,FALSE)&gt;=main!$D$103+VLOOKUP(VLOOKUP(BG$1,main!$A$3:$I$102,7,FALSE),main!$K$26:$Q$29,5,FALSE)),1,0)</f>
        <v>0</v>
      </c>
      <c r="BH279">
        <f>IF(AND(VLOOKUP(BH$1,main!$A$3:$H$102,7,FALSE)=main!$G$105,VLOOKUP(BH$1,main!$A$3:$H$102,5,FALSE)-VLOOKUP($A279,main!$A$3:$H$102,6,FALSE)&gt;=main!$D$103+VLOOKUP(VLOOKUP(BH$1,main!$A$3:$I$102,7,FALSE),main!$K$26:$Q$29,5,FALSE)),1,0)</f>
        <v>0</v>
      </c>
      <c r="BI279">
        <f>IF(AND(VLOOKUP(BI$1,main!$A$3:$H$102,7,FALSE)=main!$G$105,VLOOKUP(BI$1,main!$A$3:$H$102,5,FALSE)-VLOOKUP($A279,main!$A$3:$H$102,6,FALSE)&gt;=main!$D$103+VLOOKUP(VLOOKUP(BI$1,main!$A$3:$I$102,7,FALSE),main!$K$26:$Q$29,5,FALSE)),1,0)</f>
        <v>0</v>
      </c>
      <c r="BJ279">
        <f>IF(AND(VLOOKUP(BJ$1,main!$A$3:$H$102,7,FALSE)=main!$G$105,VLOOKUP(BJ$1,main!$A$3:$H$102,5,FALSE)-VLOOKUP($A279,main!$A$3:$H$102,6,FALSE)&gt;=main!$D$103+VLOOKUP(VLOOKUP(BJ$1,main!$A$3:$I$102,7,FALSE),main!$K$26:$Q$29,5,FALSE)),1,0)</f>
        <v>0</v>
      </c>
      <c r="BK279">
        <f>IF(AND(VLOOKUP(BK$1,main!$A$3:$H$102,7,FALSE)=main!$G$105,VLOOKUP(BK$1,main!$A$3:$H$102,5,FALSE)-VLOOKUP($A279,main!$A$3:$H$102,6,FALSE)&gt;=main!$D$103+VLOOKUP(VLOOKUP(BK$1,main!$A$3:$I$102,7,FALSE),main!$K$26:$Q$29,5,FALSE)),1,0)</f>
        <v>0</v>
      </c>
      <c r="BL279">
        <f>IF(AND(VLOOKUP(BL$1,main!$A$3:$H$102,7,FALSE)=main!$G$105,VLOOKUP(BL$1,main!$A$3:$H$102,5,FALSE)-VLOOKUP($A279,main!$A$3:$H$102,6,FALSE)&gt;=main!$D$103+VLOOKUP(VLOOKUP(BL$1,main!$A$3:$I$102,7,FALSE),main!$K$26:$Q$29,5,FALSE)),1,0)</f>
        <v>0</v>
      </c>
      <c r="BM279">
        <f>IF(AND(VLOOKUP(BM$1,main!$A$3:$H$102,7,FALSE)=main!$G$105,VLOOKUP(BM$1,main!$A$3:$H$102,5,FALSE)-VLOOKUP($A279,main!$A$3:$H$102,6,FALSE)&gt;=main!$D$103+VLOOKUP(VLOOKUP(BM$1,main!$A$3:$I$102,7,FALSE),main!$K$26:$Q$29,5,FALSE)),1,0)</f>
        <v>0</v>
      </c>
      <c r="BN279">
        <f>IF(AND(VLOOKUP(BN$1,main!$A$3:$H$102,7,FALSE)=main!$G$105,VLOOKUP(BN$1,main!$A$3:$H$102,5,FALSE)-VLOOKUP($A279,main!$A$3:$H$102,6,FALSE)&gt;=main!$D$103+VLOOKUP(VLOOKUP(BN$1,main!$A$3:$I$102,7,FALSE),main!$K$26:$Q$29,5,FALSE)),1,0)</f>
        <v>0</v>
      </c>
      <c r="BO279">
        <f>IF(AND(VLOOKUP(BO$1,main!$A$3:$H$102,7,FALSE)=main!$G$105,VLOOKUP(BO$1,main!$A$3:$H$102,5,FALSE)-VLOOKUP($A279,main!$A$3:$H$102,6,FALSE)&gt;=main!$D$103+VLOOKUP(VLOOKUP(BO$1,main!$A$3:$I$102,7,FALSE),main!$K$26:$Q$29,5,FALSE)),1,0)</f>
        <v>0</v>
      </c>
      <c r="BP279">
        <f>IF(AND(VLOOKUP(BP$1,main!$A$3:$H$102,7,FALSE)=main!$G$105,VLOOKUP(BP$1,main!$A$3:$H$102,5,FALSE)-VLOOKUP($A279,main!$A$3:$H$102,6,FALSE)&gt;=main!$D$103+VLOOKUP(VLOOKUP(BP$1,main!$A$3:$I$102,7,FALSE),main!$K$26:$Q$29,5,FALSE)),1,0)</f>
        <v>0</v>
      </c>
      <c r="BQ279">
        <f>IF(AND(VLOOKUP(BQ$1,main!$A$3:$H$102,7,FALSE)=main!$G$105,VLOOKUP(BQ$1,main!$A$3:$H$102,5,FALSE)-VLOOKUP($A279,main!$A$3:$H$102,6,FALSE)&gt;=main!$D$103+VLOOKUP(VLOOKUP(BQ$1,main!$A$3:$I$102,7,FALSE),main!$K$26:$Q$29,5,FALSE)),1,0)</f>
        <v>0</v>
      </c>
      <c r="BR279">
        <f>IF(AND(VLOOKUP(BR$1,main!$A$3:$H$102,7,FALSE)=main!$G$105,VLOOKUP(BR$1,main!$A$3:$H$102,5,FALSE)-VLOOKUP($A279,main!$A$3:$H$102,6,FALSE)&gt;=main!$D$103+VLOOKUP(VLOOKUP(BR$1,main!$A$3:$I$102,7,FALSE),main!$K$26:$Q$29,5,FALSE)),1,0)</f>
        <v>0</v>
      </c>
      <c r="BS279">
        <f>IF(AND(VLOOKUP(BS$1,main!$A$3:$H$102,7,FALSE)=main!$G$105,VLOOKUP(BS$1,main!$A$3:$H$102,5,FALSE)-VLOOKUP($A279,main!$A$3:$H$102,6,FALSE)&gt;=main!$D$103+VLOOKUP(VLOOKUP(BS$1,main!$A$3:$I$102,7,FALSE),main!$K$26:$Q$29,5,FALSE)),1,0)</f>
        <v>0</v>
      </c>
      <c r="BT279">
        <f>IF(AND(VLOOKUP(BT$1,main!$A$3:$H$102,7,FALSE)=main!$G$105,VLOOKUP(BT$1,main!$A$3:$H$102,5,FALSE)-VLOOKUP($A279,main!$A$3:$H$102,6,FALSE)&gt;=main!$D$103+VLOOKUP(VLOOKUP(BT$1,main!$A$3:$I$102,7,FALSE),main!$K$26:$Q$29,5,FALSE)),1,0)</f>
        <v>0</v>
      </c>
      <c r="BU279">
        <f>IF(AND(VLOOKUP(BU$1,main!$A$3:$H$102,7,FALSE)=main!$G$105,VLOOKUP(BU$1,main!$A$3:$H$102,5,FALSE)-VLOOKUP($A279,main!$A$3:$H$102,6,FALSE)&gt;=main!$D$103+VLOOKUP(VLOOKUP(BU$1,main!$A$3:$I$102,7,FALSE),main!$K$26:$Q$29,5,FALSE)),1,0)</f>
        <v>0</v>
      </c>
      <c r="BV279">
        <f>IF(AND(VLOOKUP(BV$1,main!$A$3:$H$102,7,FALSE)=main!$G$105,VLOOKUP(BV$1,main!$A$3:$H$102,5,FALSE)-VLOOKUP($A279,main!$A$3:$H$102,6,FALSE)&gt;=main!$D$103+VLOOKUP(VLOOKUP(BV$1,main!$A$3:$I$102,7,FALSE),main!$K$26:$Q$29,5,FALSE)),1,0)</f>
        <v>0</v>
      </c>
      <c r="BW279">
        <f>IF(AND(VLOOKUP(BW$1,main!$A$3:$H$102,7,FALSE)=main!$G$105,VLOOKUP(BW$1,main!$A$3:$H$102,5,FALSE)-VLOOKUP($A279,main!$A$3:$H$102,6,FALSE)&gt;=main!$D$103+VLOOKUP(VLOOKUP(BW$1,main!$A$3:$I$102,7,FALSE),main!$K$26:$Q$29,5,FALSE)),1,0)</f>
        <v>0</v>
      </c>
      <c r="BX279">
        <f>IF(AND(VLOOKUP(BX$1,main!$A$3:$H$102,7,FALSE)=main!$G$105,VLOOKUP(BX$1,main!$A$3:$H$102,5,FALSE)-VLOOKUP($A279,main!$A$3:$H$102,6,FALSE)&gt;=main!$D$103+VLOOKUP(VLOOKUP(BX$1,main!$A$3:$I$102,7,FALSE),main!$K$26:$Q$29,5,FALSE)),1,0)</f>
        <v>0</v>
      </c>
      <c r="BY279">
        <f>IF(AND(VLOOKUP(BY$1,main!$A$3:$H$102,7,FALSE)=main!$G$105,VLOOKUP(BY$1,main!$A$3:$H$102,5,FALSE)-VLOOKUP($A279,main!$A$3:$H$102,6,FALSE)&gt;=main!$D$103+VLOOKUP(VLOOKUP(BY$1,main!$A$3:$I$102,7,FALSE),main!$K$26:$Q$29,5,FALSE)),1,0)</f>
        <v>0</v>
      </c>
      <c r="BZ279">
        <f>IF(AND(VLOOKUP(BZ$1,main!$A$3:$H$102,7,FALSE)=main!$G$105,VLOOKUP(BZ$1,main!$A$3:$H$102,5,FALSE)-VLOOKUP($A279,main!$A$3:$H$102,6,FALSE)&gt;=main!$D$103+VLOOKUP(VLOOKUP(BZ$1,main!$A$3:$I$102,7,FALSE),main!$K$26:$Q$29,5,FALSE)),1,0)</f>
        <v>0</v>
      </c>
      <c r="CA279">
        <f>IF(AND(VLOOKUP(CA$1,main!$A$3:$H$102,7,FALSE)=main!$G$105,VLOOKUP(CA$1,main!$A$3:$H$102,5,FALSE)-VLOOKUP($A279,main!$A$3:$H$102,6,FALSE)&gt;=main!$D$103+VLOOKUP(VLOOKUP(CA$1,main!$A$3:$I$102,7,FALSE),main!$K$26:$Q$29,5,FALSE)),1,0)</f>
        <v>0</v>
      </c>
      <c r="CB279">
        <f>IF(AND(VLOOKUP(CB$1,main!$A$3:$H$102,7,FALSE)=main!$G$105,VLOOKUP(CB$1,main!$A$3:$H$102,5,FALSE)-VLOOKUP($A279,main!$A$3:$H$102,6,FALSE)&gt;=main!$D$103+VLOOKUP(VLOOKUP(CB$1,main!$A$3:$I$102,7,FALSE),main!$K$26:$Q$29,5,FALSE)),1,0)</f>
        <v>0</v>
      </c>
      <c r="CC279">
        <f>IF(AND(VLOOKUP(CC$1,main!$A$3:$H$102,7,FALSE)=main!$G$105,VLOOKUP(CC$1,main!$A$3:$H$102,5,FALSE)-VLOOKUP($A279,main!$A$3:$H$102,6,FALSE)&gt;=main!$D$103+VLOOKUP(VLOOKUP(CC$1,main!$A$3:$I$102,7,FALSE),main!$K$26:$Q$29,5,FALSE)),1,0)</f>
        <v>0</v>
      </c>
      <c r="CD279">
        <f>IF(AND(VLOOKUP(CD$1,main!$A$3:$H$102,7,FALSE)=main!$G$105,VLOOKUP(CD$1,main!$A$3:$H$102,5,FALSE)-VLOOKUP($A279,main!$A$3:$H$102,6,FALSE)&gt;=main!$D$103+VLOOKUP(VLOOKUP(CD$1,main!$A$3:$I$102,7,FALSE),main!$K$26:$Q$29,5,FALSE)),1,0)</f>
        <v>0</v>
      </c>
      <c r="CE279">
        <f>IF(AND(VLOOKUP(CE$1,main!$A$3:$H$102,7,FALSE)=main!$G$105,VLOOKUP(CE$1,main!$A$3:$H$102,5,FALSE)-VLOOKUP($A279,main!$A$3:$H$102,6,FALSE)&gt;=main!$D$103+VLOOKUP(VLOOKUP(CE$1,main!$A$3:$I$102,7,FALSE),main!$K$26:$Q$29,5,FALSE)),1,0)</f>
        <v>0</v>
      </c>
      <c r="CF279">
        <f>IF(AND(VLOOKUP(CF$1,main!$A$3:$H$102,7,FALSE)=main!$G$105,VLOOKUP(CF$1,main!$A$3:$H$102,5,FALSE)-VLOOKUP($A279,main!$A$3:$H$102,6,FALSE)&gt;=main!$D$103+VLOOKUP(VLOOKUP(CF$1,main!$A$3:$I$102,7,FALSE),main!$K$26:$Q$29,5,FALSE)),1,0)</f>
        <v>0</v>
      </c>
      <c r="CG279">
        <f>IF(AND(VLOOKUP(CG$1,main!$A$3:$H$102,7,FALSE)=main!$G$105,VLOOKUP(CG$1,main!$A$3:$H$102,5,FALSE)-VLOOKUP($A279,main!$A$3:$H$102,6,FALSE)&gt;=main!$D$103+VLOOKUP(VLOOKUP(CG$1,main!$A$3:$I$102,7,FALSE),main!$K$26:$Q$29,5,FALSE)),1,0)</f>
        <v>0</v>
      </c>
      <c r="CH279">
        <f>IF(AND(VLOOKUP(CH$1,main!$A$3:$H$102,7,FALSE)=main!$G$105,VLOOKUP(CH$1,main!$A$3:$H$102,5,FALSE)-VLOOKUP($A279,main!$A$3:$H$102,6,FALSE)&gt;=main!$D$103+VLOOKUP(VLOOKUP(CH$1,main!$A$3:$I$102,7,FALSE),main!$K$26:$Q$29,5,FALSE)),1,0)</f>
        <v>0</v>
      </c>
      <c r="CI279">
        <f>IF(AND(VLOOKUP(CI$1,main!$A$3:$H$102,7,FALSE)=main!$G$105,VLOOKUP(CI$1,main!$A$3:$H$102,5,FALSE)-VLOOKUP($A279,main!$A$3:$H$102,6,FALSE)&gt;=main!$D$103+VLOOKUP(VLOOKUP(CI$1,main!$A$3:$I$102,7,FALSE),main!$K$26:$Q$29,5,FALSE)),1,0)</f>
        <v>0</v>
      </c>
      <c r="CJ279">
        <f>IF(AND(VLOOKUP(CJ$1,main!$A$3:$H$102,7,FALSE)=main!$G$105,VLOOKUP(CJ$1,main!$A$3:$H$102,5,FALSE)-VLOOKUP($A279,main!$A$3:$H$102,6,FALSE)&gt;=main!$D$103+VLOOKUP(VLOOKUP(CJ$1,main!$A$3:$I$102,7,FALSE),main!$K$26:$Q$29,5,FALSE)),1,0)</f>
        <v>0</v>
      </c>
      <c r="CK279">
        <f>IF(AND(VLOOKUP(CK$1,main!$A$3:$H$102,7,FALSE)=main!$G$105,VLOOKUP(CK$1,main!$A$3:$H$102,5,FALSE)-VLOOKUP($A279,main!$A$3:$H$102,6,FALSE)&gt;=main!$D$103+VLOOKUP(VLOOKUP(CK$1,main!$A$3:$I$102,7,FALSE),main!$K$26:$Q$29,5,FALSE)),1,0)</f>
        <v>0</v>
      </c>
      <c r="CL279">
        <f>IF(AND(VLOOKUP(CL$1,main!$A$3:$H$102,7,FALSE)=main!$G$105,VLOOKUP(CL$1,main!$A$3:$H$102,5,FALSE)-VLOOKUP($A279,main!$A$3:$H$102,6,FALSE)&gt;=main!$D$103+VLOOKUP(VLOOKUP(CL$1,main!$A$3:$I$102,7,FALSE),main!$K$26:$Q$29,5,FALSE)),1,0)</f>
        <v>0</v>
      </c>
      <c r="CM279">
        <f>IF(AND(VLOOKUP(CM$1,main!$A$3:$H$102,7,FALSE)=main!$G$105,VLOOKUP(CM$1,main!$A$3:$H$102,5,FALSE)-VLOOKUP($A279,main!$A$3:$H$102,6,FALSE)&gt;=main!$D$103+VLOOKUP(VLOOKUP(CM$1,main!$A$3:$I$102,7,FALSE),main!$K$26:$Q$29,5,FALSE)),1,0)</f>
        <v>0</v>
      </c>
      <c r="CN279">
        <f>IF(AND(VLOOKUP(CN$1,main!$A$3:$H$102,7,FALSE)=main!$G$105,VLOOKUP(CN$1,main!$A$3:$H$102,5,FALSE)-VLOOKUP($A279,main!$A$3:$H$102,6,FALSE)&gt;=main!$D$103+VLOOKUP(VLOOKUP(CN$1,main!$A$3:$I$102,7,FALSE),main!$K$26:$Q$29,5,FALSE)),1,0)</f>
        <v>0</v>
      </c>
      <c r="CO279">
        <f>IF(AND(VLOOKUP(CO$1,main!$A$3:$H$102,7,FALSE)=main!$G$105,VLOOKUP(CO$1,main!$A$3:$H$102,5,FALSE)-VLOOKUP($A279,main!$A$3:$H$102,6,FALSE)&gt;=main!$D$103+VLOOKUP(VLOOKUP(CO$1,main!$A$3:$I$102,7,FALSE),main!$K$26:$Q$29,5,FALSE)),1,0)</f>
        <v>0</v>
      </c>
      <c r="CP279">
        <f>IF(AND(VLOOKUP(CP$1,main!$A$3:$H$102,7,FALSE)=main!$G$105,VLOOKUP(CP$1,main!$A$3:$H$102,5,FALSE)-VLOOKUP($A279,main!$A$3:$H$102,6,FALSE)&gt;=main!$D$103+VLOOKUP(VLOOKUP(CP$1,main!$A$3:$I$102,7,FALSE),main!$K$26:$Q$29,5,FALSE)),1,0)</f>
        <v>0</v>
      </c>
      <c r="CQ279">
        <f>IF(AND(VLOOKUP(CQ$1,main!$A$3:$H$102,7,FALSE)=main!$G$105,VLOOKUP(CQ$1,main!$A$3:$H$102,5,FALSE)-VLOOKUP($A279,main!$A$3:$H$102,6,FALSE)&gt;=main!$D$103+VLOOKUP(VLOOKUP(CQ$1,main!$A$3:$I$102,7,FALSE),main!$K$26:$Q$29,5,FALSE)),1,0)</f>
        <v>0</v>
      </c>
      <c r="CR279">
        <f>IF(AND(VLOOKUP(CR$1,main!$A$3:$H$102,7,FALSE)=main!$G$105,VLOOKUP(CR$1,main!$A$3:$H$102,5,FALSE)-VLOOKUP($A279,main!$A$3:$H$102,6,FALSE)&gt;=main!$D$103+VLOOKUP(VLOOKUP(CR$1,main!$A$3:$I$102,7,FALSE),main!$K$26:$Q$29,5,FALSE)),1,0)</f>
        <v>0</v>
      </c>
      <c r="CS279">
        <f>IF(AND(VLOOKUP(CS$1,main!$A$3:$H$102,7,FALSE)=main!$G$105,VLOOKUP(CS$1,main!$A$3:$H$102,5,FALSE)-VLOOKUP($A279,main!$A$3:$H$102,6,FALSE)&gt;=main!$D$103+VLOOKUP(VLOOKUP(CS$1,main!$A$3:$I$102,7,FALSE),main!$K$26:$Q$29,5,FALSE)),1,0)</f>
        <v>0</v>
      </c>
      <c r="CT279">
        <f>IF(AND(VLOOKUP(CT$1,main!$A$3:$H$102,7,FALSE)=main!$G$105,VLOOKUP(CT$1,main!$A$3:$H$102,5,FALSE)-VLOOKUP($A279,main!$A$3:$H$102,6,FALSE)&gt;=main!$D$103+VLOOKUP(VLOOKUP(CT$1,main!$A$3:$I$102,7,FALSE),main!$K$26:$Q$29,5,FALSE)),1,0)</f>
        <v>0</v>
      </c>
      <c r="CU279">
        <f>IF(AND(VLOOKUP(CU$1,main!$A$3:$H$102,7,FALSE)=main!$G$105,VLOOKUP(CU$1,main!$A$3:$H$102,5,FALSE)-VLOOKUP($A279,main!$A$3:$H$102,6,FALSE)&gt;=main!$D$103+VLOOKUP(VLOOKUP(CU$1,main!$A$3:$I$102,7,FALSE),main!$K$26:$Q$29,5,FALSE)),1,0)</f>
        <v>0</v>
      </c>
      <c r="CV279">
        <f>IF(AND(VLOOKUP(CV$1,main!$A$3:$H$102,7,FALSE)=main!$G$105,VLOOKUP(CV$1,main!$A$3:$H$102,5,FALSE)-VLOOKUP($A279,main!$A$3:$H$102,6,FALSE)&gt;=main!$D$103+VLOOKUP(VLOOKUP(CV$1,main!$A$3:$I$102,7,FALSE),main!$K$26:$Q$29,5,FALSE)),1,0)</f>
        <v>0</v>
      </c>
      <c r="CW279">
        <f>IF(AND(VLOOKUP(CW$1,main!$A$3:$H$102,7,FALSE)=main!$G$105,VLOOKUP(CW$1,main!$A$3:$H$102,5,FALSE)-VLOOKUP($A279,main!$A$3:$H$102,6,FALSE)&gt;=main!$D$103+VLOOKUP(VLOOKUP(CW$1,main!$A$3:$I$102,7,FALSE),main!$K$26:$Q$29,5,FALSE)),1,0)</f>
        <v>0</v>
      </c>
      <c r="CX279">
        <f>IF(AND(VLOOKUP(CX$1,main!$A$3:$H$102,7,FALSE)=main!$G$105,VLOOKUP(CX$1,main!$A$3:$H$102,5,FALSE)-VLOOKUP($A279,main!$A$3:$H$102,6,FALSE)&gt;=main!$D$103+VLOOKUP(VLOOKUP(CX$1,main!$A$3:$I$102,7,FALSE),main!$K$26:$Q$29,5,FALSE)),1,0)</f>
        <v>0</v>
      </c>
    </row>
    <row r="280" spans="1:102" x14ac:dyDescent="0.25">
      <c r="A280" s="1">
        <v>76</v>
      </c>
      <c r="B280">
        <v>0</v>
      </c>
      <c r="C280">
        <f>IF(AND(VLOOKUP(C$1,main!$A$3:$H$102,7,FALSE)=main!$G$105,VLOOKUP(C$1,main!$A$3:$H$102,5,FALSE)-VLOOKUP($A280,main!$A$3:$H$102,6,FALSE)&gt;=main!$D$103+VLOOKUP(VLOOKUP(C$1,main!$A$3:$I$102,7,FALSE),main!$K$26:$Q$29,5,FALSE)),1,0)</f>
        <v>0</v>
      </c>
      <c r="D280">
        <f>IF(AND(VLOOKUP(D$1,main!$A$3:$H$102,7,FALSE)=main!$G$105,VLOOKUP(D$1,main!$A$3:$H$102,5,FALSE)-VLOOKUP($A280,main!$A$3:$H$102,6,FALSE)&gt;=main!$D$103+VLOOKUP(VLOOKUP(D$1,main!$A$3:$I$102,7,FALSE),main!$K$26:$Q$29,5,FALSE)),1,0)</f>
        <v>0</v>
      </c>
      <c r="E280">
        <f>IF(AND(VLOOKUP(E$1,main!$A$3:$H$102,7,FALSE)=main!$G$105,VLOOKUP(E$1,main!$A$3:$H$102,5,FALSE)-VLOOKUP($A280,main!$A$3:$H$102,6,FALSE)&gt;=main!$D$103+VLOOKUP(VLOOKUP(E$1,main!$A$3:$I$102,7,FALSE),main!$K$26:$Q$29,5,FALSE)),1,0)</f>
        <v>0</v>
      </c>
      <c r="F280">
        <f>IF(AND(VLOOKUP(F$1,main!$A$3:$H$102,7,FALSE)=main!$G$105,VLOOKUP(F$1,main!$A$3:$H$102,5,FALSE)-VLOOKUP($A280,main!$A$3:$H$102,6,FALSE)&gt;=main!$D$103+VLOOKUP(VLOOKUP(F$1,main!$A$3:$I$102,7,FALSE),main!$K$26:$Q$29,5,FALSE)),1,0)</f>
        <v>0</v>
      </c>
      <c r="G280">
        <f>IF(AND(VLOOKUP(G$1,main!$A$3:$H$102,7,FALSE)=main!$G$105,VLOOKUP(G$1,main!$A$3:$H$102,5,FALSE)-VLOOKUP($A280,main!$A$3:$H$102,6,FALSE)&gt;=main!$D$103+VLOOKUP(VLOOKUP(G$1,main!$A$3:$I$102,7,FALSE),main!$K$26:$Q$29,5,FALSE)),1,0)</f>
        <v>0</v>
      </c>
      <c r="H280">
        <f>IF(AND(VLOOKUP(H$1,main!$A$3:$H$102,7,FALSE)=main!$G$105,VLOOKUP(H$1,main!$A$3:$H$102,5,FALSE)-VLOOKUP($A280,main!$A$3:$H$102,6,FALSE)&gt;=main!$D$103+VLOOKUP(VLOOKUP(H$1,main!$A$3:$I$102,7,FALSE),main!$K$26:$Q$29,5,FALSE)),1,0)</f>
        <v>0</v>
      </c>
      <c r="I280">
        <f>IF(AND(VLOOKUP(I$1,main!$A$3:$H$102,7,FALSE)=main!$G$105,VLOOKUP(I$1,main!$A$3:$H$102,5,FALSE)-VLOOKUP($A280,main!$A$3:$H$102,6,FALSE)&gt;=main!$D$103+VLOOKUP(VLOOKUP(I$1,main!$A$3:$I$102,7,FALSE),main!$K$26:$Q$29,5,FALSE)),1,0)</f>
        <v>0</v>
      </c>
      <c r="J280">
        <f>IF(AND(VLOOKUP(J$1,main!$A$3:$H$102,7,FALSE)=main!$G$105,VLOOKUP(J$1,main!$A$3:$H$102,5,FALSE)-VLOOKUP($A280,main!$A$3:$H$102,6,FALSE)&gt;=main!$D$103+VLOOKUP(VLOOKUP(J$1,main!$A$3:$I$102,7,FALSE),main!$K$26:$Q$29,5,FALSE)),1,0)</f>
        <v>0</v>
      </c>
      <c r="K280">
        <f>IF(AND(VLOOKUP(K$1,main!$A$3:$H$102,7,FALSE)=main!$G$105,VLOOKUP(K$1,main!$A$3:$H$102,5,FALSE)-VLOOKUP($A280,main!$A$3:$H$102,6,FALSE)&gt;=main!$D$103+VLOOKUP(VLOOKUP(K$1,main!$A$3:$I$102,7,FALSE),main!$K$26:$Q$29,5,FALSE)),1,0)</f>
        <v>0</v>
      </c>
      <c r="L280">
        <f>IF(AND(VLOOKUP(L$1,main!$A$3:$H$102,7,FALSE)=main!$G$105,VLOOKUP(L$1,main!$A$3:$H$102,5,FALSE)-VLOOKUP($A280,main!$A$3:$H$102,6,FALSE)&gt;=main!$D$103+VLOOKUP(VLOOKUP(L$1,main!$A$3:$I$102,7,FALSE),main!$K$26:$Q$29,5,FALSE)),1,0)</f>
        <v>0</v>
      </c>
      <c r="M280">
        <f>IF(AND(VLOOKUP(M$1,main!$A$3:$H$102,7,FALSE)=main!$G$105,VLOOKUP(M$1,main!$A$3:$H$102,5,FALSE)-VLOOKUP($A280,main!$A$3:$H$102,6,FALSE)&gt;=main!$D$103+VLOOKUP(VLOOKUP(M$1,main!$A$3:$I$102,7,FALSE),main!$K$26:$Q$29,5,FALSE)),1,0)</f>
        <v>0</v>
      </c>
      <c r="N280">
        <f>IF(AND(VLOOKUP(N$1,main!$A$3:$H$102,7,FALSE)=main!$G$105,VLOOKUP(N$1,main!$A$3:$H$102,5,FALSE)-VLOOKUP($A280,main!$A$3:$H$102,6,FALSE)&gt;=main!$D$103+VLOOKUP(VLOOKUP(N$1,main!$A$3:$I$102,7,FALSE),main!$K$26:$Q$29,5,FALSE)),1,0)</f>
        <v>0</v>
      </c>
      <c r="O280">
        <f>IF(AND(VLOOKUP(O$1,main!$A$3:$H$102,7,FALSE)=main!$G$105,VLOOKUP(O$1,main!$A$3:$H$102,5,FALSE)-VLOOKUP($A280,main!$A$3:$H$102,6,FALSE)&gt;=main!$D$103+VLOOKUP(VLOOKUP(O$1,main!$A$3:$I$102,7,FALSE),main!$K$26:$Q$29,5,FALSE)),1,0)</f>
        <v>0</v>
      </c>
      <c r="P280">
        <f>IF(AND(VLOOKUP(P$1,main!$A$3:$H$102,7,FALSE)=main!$G$105,VLOOKUP(P$1,main!$A$3:$H$102,5,FALSE)-VLOOKUP($A280,main!$A$3:$H$102,6,FALSE)&gt;=main!$D$103+VLOOKUP(VLOOKUP(P$1,main!$A$3:$I$102,7,FALSE),main!$K$26:$Q$29,5,FALSE)),1,0)</f>
        <v>0</v>
      </c>
      <c r="Q280">
        <f>IF(AND(VLOOKUP(Q$1,main!$A$3:$H$102,7,FALSE)=main!$G$105,VLOOKUP(Q$1,main!$A$3:$H$102,5,FALSE)-VLOOKUP($A280,main!$A$3:$H$102,6,FALSE)&gt;=main!$D$103+VLOOKUP(VLOOKUP(Q$1,main!$A$3:$I$102,7,FALSE),main!$K$26:$Q$29,5,FALSE)),1,0)</f>
        <v>0</v>
      </c>
      <c r="R280">
        <f>IF(AND(VLOOKUP(R$1,main!$A$3:$H$102,7,FALSE)=main!$G$105,VLOOKUP(R$1,main!$A$3:$H$102,5,FALSE)-VLOOKUP($A280,main!$A$3:$H$102,6,FALSE)&gt;=main!$D$103+VLOOKUP(VLOOKUP(R$1,main!$A$3:$I$102,7,FALSE),main!$K$26:$Q$29,5,FALSE)),1,0)</f>
        <v>0</v>
      </c>
      <c r="S280">
        <f>IF(AND(VLOOKUP(S$1,main!$A$3:$H$102,7,FALSE)=main!$G$105,VLOOKUP(S$1,main!$A$3:$H$102,5,FALSE)-VLOOKUP($A280,main!$A$3:$H$102,6,FALSE)&gt;=main!$D$103+VLOOKUP(VLOOKUP(S$1,main!$A$3:$I$102,7,FALSE),main!$K$26:$Q$29,5,FALSE)),1,0)</f>
        <v>0</v>
      </c>
      <c r="T280">
        <f>IF(AND(VLOOKUP(T$1,main!$A$3:$H$102,7,FALSE)=main!$G$105,VLOOKUP(T$1,main!$A$3:$H$102,5,FALSE)-VLOOKUP($A280,main!$A$3:$H$102,6,FALSE)&gt;=main!$D$103+VLOOKUP(VLOOKUP(T$1,main!$A$3:$I$102,7,FALSE),main!$K$26:$Q$29,5,FALSE)),1,0)</f>
        <v>0</v>
      </c>
      <c r="U280">
        <f>IF(AND(VLOOKUP(U$1,main!$A$3:$H$102,7,FALSE)=main!$G$105,VLOOKUP(U$1,main!$A$3:$H$102,5,FALSE)-VLOOKUP($A280,main!$A$3:$H$102,6,FALSE)&gt;=main!$D$103+VLOOKUP(VLOOKUP(U$1,main!$A$3:$I$102,7,FALSE),main!$K$26:$Q$29,5,FALSE)),1,0)</f>
        <v>0</v>
      </c>
      <c r="V280">
        <f>IF(AND(VLOOKUP(V$1,main!$A$3:$H$102,7,FALSE)=main!$G$105,VLOOKUP(V$1,main!$A$3:$H$102,5,FALSE)-VLOOKUP($A280,main!$A$3:$H$102,6,FALSE)&gt;=main!$D$103+VLOOKUP(VLOOKUP(V$1,main!$A$3:$I$102,7,FALSE),main!$K$26:$Q$29,5,FALSE)),1,0)</f>
        <v>0</v>
      </c>
      <c r="W280">
        <f>IF(AND(VLOOKUP(W$1,main!$A$3:$H$102,7,FALSE)=main!$G$105,VLOOKUP(W$1,main!$A$3:$H$102,5,FALSE)-VLOOKUP($A280,main!$A$3:$H$102,6,FALSE)&gt;=main!$D$103+VLOOKUP(VLOOKUP(W$1,main!$A$3:$I$102,7,FALSE),main!$K$26:$Q$29,5,FALSE)),1,0)</f>
        <v>0</v>
      </c>
      <c r="X280">
        <f>IF(AND(VLOOKUP(X$1,main!$A$3:$H$102,7,FALSE)=main!$G$105,VLOOKUP(X$1,main!$A$3:$H$102,5,FALSE)-VLOOKUP($A280,main!$A$3:$H$102,6,FALSE)&gt;=main!$D$103+VLOOKUP(VLOOKUP(X$1,main!$A$3:$I$102,7,FALSE),main!$K$26:$Q$29,5,FALSE)),1,0)</f>
        <v>0</v>
      </c>
      <c r="Y280">
        <f>IF(AND(VLOOKUP(Y$1,main!$A$3:$H$102,7,FALSE)=main!$G$105,VLOOKUP(Y$1,main!$A$3:$H$102,5,FALSE)-VLOOKUP($A280,main!$A$3:$H$102,6,FALSE)&gt;=main!$D$103+VLOOKUP(VLOOKUP(Y$1,main!$A$3:$I$102,7,FALSE),main!$K$26:$Q$29,5,FALSE)),1,0)</f>
        <v>0</v>
      </c>
      <c r="Z280">
        <f>IF(AND(VLOOKUP(Z$1,main!$A$3:$H$102,7,FALSE)=main!$G$105,VLOOKUP(Z$1,main!$A$3:$H$102,5,FALSE)-VLOOKUP($A280,main!$A$3:$H$102,6,FALSE)&gt;=main!$D$103+VLOOKUP(VLOOKUP(Z$1,main!$A$3:$I$102,7,FALSE),main!$K$26:$Q$29,5,FALSE)),1,0)</f>
        <v>0</v>
      </c>
      <c r="AA280">
        <f>IF(AND(VLOOKUP(AA$1,main!$A$3:$H$102,7,FALSE)=main!$G$105,VLOOKUP(AA$1,main!$A$3:$H$102,5,FALSE)-VLOOKUP($A280,main!$A$3:$H$102,6,FALSE)&gt;=main!$D$103+VLOOKUP(VLOOKUP(AA$1,main!$A$3:$I$102,7,FALSE),main!$K$26:$Q$29,5,FALSE)),1,0)</f>
        <v>0</v>
      </c>
      <c r="AB280">
        <f>IF(AND(VLOOKUP(AB$1,main!$A$3:$H$102,7,FALSE)=main!$G$105,VLOOKUP(AB$1,main!$A$3:$H$102,5,FALSE)-VLOOKUP($A280,main!$A$3:$H$102,6,FALSE)&gt;=main!$D$103+VLOOKUP(VLOOKUP(AB$1,main!$A$3:$I$102,7,FALSE),main!$K$26:$Q$29,5,FALSE)),1,0)</f>
        <v>0</v>
      </c>
      <c r="AC280">
        <f>IF(AND(VLOOKUP(AC$1,main!$A$3:$H$102,7,FALSE)=main!$G$105,VLOOKUP(AC$1,main!$A$3:$H$102,5,FALSE)-VLOOKUP($A280,main!$A$3:$H$102,6,FALSE)&gt;=main!$D$103+VLOOKUP(VLOOKUP(AC$1,main!$A$3:$I$102,7,FALSE),main!$K$26:$Q$29,5,FALSE)),1,0)</f>
        <v>0</v>
      </c>
      <c r="AD280">
        <f>IF(AND(VLOOKUP(AD$1,main!$A$3:$H$102,7,FALSE)=main!$G$105,VLOOKUP(AD$1,main!$A$3:$H$102,5,FALSE)-VLOOKUP($A280,main!$A$3:$H$102,6,FALSE)&gt;=main!$D$103+VLOOKUP(VLOOKUP(AD$1,main!$A$3:$I$102,7,FALSE),main!$K$26:$Q$29,5,FALSE)),1,0)</f>
        <v>0</v>
      </c>
      <c r="AE280">
        <f>IF(AND(VLOOKUP(AE$1,main!$A$3:$H$102,7,FALSE)=main!$G$105,VLOOKUP(AE$1,main!$A$3:$H$102,5,FALSE)-VLOOKUP($A280,main!$A$3:$H$102,6,FALSE)&gt;=main!$D$103+VLOOKUP(VLOOKUP(AE$1,main!$A$3:$I$102,7,FALSE),main!$K$26:$Q$29,5,FALSE)),1,0)</f>
        <v>0</v>
      </c>
      <c r="AF280">
        <f>IF(AND(VLOOKUP(AF$1,main!$A$3:$H$102,7,FALSE)=main!$G$105,VLOOKUP(AF$1,main!$A$3:$H$102,5,FALSE)-VLOOKUP($A280,main!$A$3:$H$102,6,FALSE)&gt;=main!$D$103+VLOOKUP(VLOOKUP(AF$1,main!$A$3:$I$102,7,FALSE),main!$K$26:$Q$29,5,FALSE)),1,0)</f>
        <v>0</v>
      </c>
      <c r="AG280">
        <f>IF(AND(VLOOKUP(AG$1,main!$A$3:$H$102,7,FALSE)=main!$G$105,VLOOKUP(AG$1,main!$A$3:$H$102,5,FALSE)-VLOOKUP($A280,main!$A$3:$H$102,6,FALSE)&gt;=main!$D$103+VLOOKUP(VLOOKUP(AG$1,main!$A$3:$I$102,7,FALSE),main!$K$26:$Q$29,5,FALSE)),1,0)</f>
        <v>0</v>
      </c>
      <c r="AH280">
        <f>IF(AND(VLOOKUP(AH$1,main!$A$3:$H$102,7,FALSE)=main!$G$105,VLOOKUP(AH$1,main!$A$3:$H$102,5,FALSE)-VLOOKUP($A280,main!$A$3:$H$102,6,FALSE)&gt;=main!$D$103+VLOOKUP(VLOOKUP(AH$1,main!$A$3:$I$102,7,FALSE),main!$K$26:$Q$29,5,FALSE)),1,0)</f>
        <v>0</v>
      </c>
      <c r="AI280">
        <f>IF(AND(VLOOKUP(AI$1,main!$A$3:$H$102,7,FALSE)=main!$G$105,VLOOKUP(AI$1,main!$A$3:$H$102,5,FALSE)-VLOOKUP($A280,main!$A$3:$H$102,6,FALSE)&gt;=main!$D$103+VLOOKUP(VLOOKUP(AI$1,main!$A$3:$I$102,7,FALSE),main!$K$26:$Q$29,5,FALSE)),1,0)</f>
        <v>1</v>
      </c>
      <c r="AJ280">
        <f>IF(AND(VLOOKUP(AJ$1,main!$A$3:$H$102,7,FALSE)=main!$G$105,VLOOKUP(AJ$1,main!$A$3:$H$102,5,FALSE)-VLOOKUP($A280,main!$A$3:$H$102,6,FALSE)&gt;=main!$D$103+VLOOKUP(VLOOKUP(AJ$1,main!$A$3:$I$102,7,FALSE),main!$K$26:$Q$29,5,FALSE)),1,0)</f>
        <v>1</v>
      </c>
      <c r="AK280">
        <f>IF(AND(VLOOKUP(AK$1,main!$A$3:$H$102,7,FALSE)=main!$G$105,VLOOKUP(AK$1,main!$A$3:$H$102,5,FALSE)-VLOOKUP($A280,main!$A$3:$H$102,6,FALSE)&gt;=main!$D$103+VLOOKUP(VLOOKUP(AK$1,main!$A$3:$I$102,7,FALSE),main!$K$26:$Q$29,5,FALSE)),1,0)</f>
        <v>1</v>
      </c>
      <c r="AL280">
        <f>IF(AND(VLOOKUP(AL$1,main!$A$3:$H$102,7,FALSE)=main!$G$105,VLOOKUP(AL$1,main!$A$3:$H$102,5,FALSE)-VLOOKUP($A280,main!$A$3:$H$102,6,FALSE)&gt;=main!$D$103+VLOOKUP(VLOOKUP(AL$1,main!$A$3:$I$102,7,FALSE),main!$K$26:$Q$29,5,FALSE)),1,0)</f>
        <v>1</v>
      </c>
      <c r="AM280">
        <f>IF(AND(VLOOKUP(AM$1,main!$A$3:$H$102,7,FALSE)=main!$G$105,VLOOKUP(AM$1,main!$A$3:$H$102,5,FALSE)-VLOOKUP($A280,main!$A$3:$H$102,6,FALSE)&gt;=main!$D$103+VLOOKUP(VLOOKUP(AM$1,main!$A$3:$I$102,7,FALSE),main!$K$26:$Q$29,5,FALSE)),1,0)</f>
        <v>1</v>
      </c>
      <c r="AN280">
        <f>IF(AND(VLOOKUP(AN$1,main!$A$3:$H$102,7,FALSE)=main!$G$105,VLOOKUP(AN$1,main!$A$3:$H$102,5,FALSE)-VLOOKUP($A280,main!$A$3:$H$102,6,FALSE)&gt;=main!$D$103+VLOOKUP(VLOOKUP(AN$1,main!$A$3:$I$102,7,FALSE),main!$K$26:$Q$29,5,FALSE)),1,0)</f>
        <v>1</v>
      </c>
      <c r="AO280">
        <f>IF(AND(VLOOKUP(AO$1,main!$A$3:$H$102,7,FALSE)=main!$G$105,VLOOKUP(AO$1,main!$A$3:$H$102,5,FALSE)-VLOOKUP($A280,main!$A$3:$H$102,6,FALSE)&gt;=main!$D$103+VLOOKUP(VLOOKUP(AO$1,main!$A$3:$I$102,7,FALSE),main!$K$26:$Q$29,5,FALSE)),1,0)</f>
        <v>0</v>
      </c>
      <c r="AP280">
        <f>IF(AND(VLOOKUP(AP$1,main!$A$3:$H$102,7,FALSE)=main!$G$105,VLOOKUP(AP$1,main!$A$3:$H$102,5,FALSE)-VLOOKUP($A280,main!$A$3:$H$102,6,FALSE)&gt;=main!$D$103+VLOOKUP(VLOOKUP(AP$1,main!$A$3:$I$102,7,FALSE),main!$K$26:$Q$29,5,FALSE)),1,0)</f>
        <v>1</v>
      </c>
      <c r="AQ280">
        <f>IF(AND(VLOOKUP(AQ$1,main!$A$3:$H$102,7,FALSE)=main!$G$105,VLOOKUP(AQ$1,main!$A$3:$H$102,5,FALSE)-VLOOKUP($A280,main!$A$3:$H$102,6,FALSE)&gt;=main!$D$103+VLOOKUP(VLOOKUP(AQ$1,main!$A$3:$I$102,7,FALSE),main!$K$26:$Q$29,5,FALSE)),1,0)</f>
        <v>0</v>
      </c>
      <c r="AR280">
        <f>IF(AND(VLOOKUP(AR$1,main!$A$3:$H$102,7,FALSE)=main!$G$105,VLOOKUP(AR$1,main!$A$3:$H$102,5,FALSE)-VLOOKUP($A280,main!$A$3:$H$102,6,FALSE)&gt;=main!$D$103+VLOOKUP(VLOOKUP(AR$1,main!$A$3:$I$102,7,FALSE),main!$K$26:$Q$29,5,FALSE)),1,0)</f>
        <v>0</v>
      </c>
      <c r="AS280">
        <f>IF(AND(VLOOKUP(AS$1,main!$A$3:$H$102,7,FALSE)=main!$G$105,VLOOKUP(AS$1,main!$A$3:$H$102,5,FALSE)-VLOOKUP($A280,main!$A$3:$H$102,6,FALSE)&gt;=main!$D$103+VLOOKUP(VLOOKUP(AS$1,main!$A$3:$I$102,7,FALSE),main!$K$26:$Q$29,5,FALSE)),1,0)</f>
        <v>1</v>
      </c>
      <c r="AT280">
        <f>IF(AND(VLOOKUP(AT$1,main!$A$3:$H$102,7,FALSE)=main!$G$105,VLOOKUP(AT$1,main!$A$3:$H$102,5,FALSE)-VLOOKUP($A280,main!$A$3:$H$102,6,FALSE)&gt;=main!$D$103+VLOOKUP(VLOOKUP(AT$1,main!$A$3:$I$102,7,FALSE),main!$K$26:$Q$29,5,FALSE)),1,0)</f>
        <v>1</v>
      </c>
      <c r="AU280">
        <f>IF(AND(VLOOKUP(AU$1,main!$A$3:$H$102,7,FALSE)=main!$G$105,VLOOKUP(AU$1,main!$A$3:$H$102,5,FALSE)-VLOOKUP($A280,main!$A$3:$H$102,6,FALSE)&gt;=main!$D$103+VLOOKUP(VLOOKUP(AU$1,main!$A$3:$I$102,7,FALSE),main!$K$26:$Q$29,5,FALSE)),1,0)</f>
        <v>0</v>
      </c>
      <c r="AV280">
        <f>IF(AND(VLOOKUP(AV$1,main!$A$3:$H$102,7,FALSE)=main!$G$105,VLOOKUP(AV$1,main!$A$3:$H$102,5,FALSE)-VLOOKUP($A280,main!$A$3:$H$102,6,FALSE)&gt;=main!$D$103+VLOOKUP(VLOOKUP(AV$1,main!$A$3:$I$102,7,FALSE),main!$K$26:$Q$29,5,FALSE)),1,0)</f>
        <v>0</v>
      </c>
      <c r="AW280">
        <f>IF(AND(VLOOKUP(AW$1,main!$A$3:$H$102,7,FALSE)=main!$G$105,VLOOKUP(AW$1,main!$A$3:$H$102,5,FALSE)-VLOOKUP($A280,main!$A$3:$H$102,6,FALSE)&gt;=main!$D$103+VLOOKUP(VLOOKUP(AW$1,main!$A$3:$I$102,7,FALSE),main!$K$26:$Q$29,5,FALSE)),1,0)</f>
        <v>1</v>
      </c>
      <c r="AX280">
        <f>IF(AND(VLOOKUP(AX$1,main!$A$3:$H$102,7,FALSE)=main!$G$105,VLOOKUP(AX$1,main!$A$3:$H$102,5,FALSE)-VLOOKUP($A280,main!$A$3:$H$102,6,FALSE)&gt;=main!$D$103+VLOOKUP(VLOOKUP(AX$1,main!$A$3:$I$102,7,FALSE),main!$K$26:$Q$29,5,FALSE)),1,0)</f>
        <v>1</v>
      </c>
      <c r="AY280">
        <f>IF(AND(VLOOKUP(AY$1,main!$A$3:$H$102,7,FALSE)=main!$G$105,VLOOKUP(AY$1,main!$A$3:$H$102,5,FALSE)-VLOOKUP($A280,main!$A$3:$H$102,6,FALSE)&gt;=main!$D$103+VLOOKUP(VLOOKUP(AY$1,main!$A$3:$I$102,7,FALSE),main!$K$26:$Q$29,5,FALSE)),1,0)</f>
        <v>0</v>
      </c>
      <c r="AZ280">
        <f>IF(AND(VLOOKUP(AZ$1,main!$A$3:$H$102,7,FALSE)=main!$G$105,VLOOKUP(AZ$1,main!$A$3:$H$102,5,FALSE)-VLOOKUP($A280,main!$A$3:$H$102,6,FALSE)&gt;=main!$D$103+VLOOKUP(VLOOKUP(AZ$1,main!$A$3:$I$102,7,FALSE),main!$K$26:$Q$29,5,FALSE)),1,0)</f>
        <v>1</v>
      </c>
      <c r="BA280">
        <f>IF(AND(VLOOKUP(BA$1,main!$A$3:$H$102,7,FALSE)=main!$G$105,VLOOKUP(BA$1,main!$A$3:$H$102,5,FALSE)-VLOOKUP($A280,main!$A$3:$H$102,6,FALSE)&gt;=main!$D$103+VLOOKUP(VLOOKUP(BA$1,main!$A$3:$I$102,7,FALSE),main!$K$26:$Q$29,5,FALSE)),1,0)</f>
        <v>0</v>
      </c>
      <c r="BB280">
        <f>IF(AND(VLOOKUP(BB$1,main!$A$3:$H$102,7,FALSE)=main!$G$105,VLOOKUP(BB$1,main!$A$3:$H$102,5,FALSE)-VLOOKUP($A280,main!$A$3:$H$102,6,FALSE)&gt;=main!$D$103+VLOOKUP(VLOOKUP(BB$1,main!$A$3:$I$102,7,FALSE),main!$K$26:$Q$29,5,FALSE)),1,0)</f>
        <v>0</v>
      </c>
      <c r="BC280">
        <f>IF(AND(VLOOKUP(BC$1,main!$A$3:$H$102,7,FALSE)=main!$G$105,VLOOKUP(BC$1,main!$A$3:$H$102,5,FALSE)-VLOOKUP($A280,main!$A$3:$H$102,6,FALSE)&gt;=main!$D$103+VLOOKUP(VLOOKUP(BC$1,main!$A$3:$I$102,7,FALSE),main!$K$26:$Q$29,5,FALSE)),1,0)</f>
        <v>0</v>
      </c>
      <c r="BD280">
        <f>IF(AND(VLOOKUP(BD$1,main!$A$3:$H$102,7,FALSE)=main!$G$105,VLOOKUP(BD$1,main!$A$3:$H$102,5,FALSE)-VLOOKUP($A280,main!$A$3:$H$102,6,FALSE)&gt;=main!$D$103+VLOOKUP(VLOOKUP(BD$1,main!$A$3:$I$102,7,FALSE),main!$K$26:$Q$29,5,FALSE)),1,0)</f>
        <v>0</v>
      </c>
      <c r="BE280">
        <f>IF(AND(VLOOKUP(BE$1,main!$A$3:$H$102,7,FALSE)=main!$G$105,VLOOKUP(BE$1,main!$A$3:$H$102,5,FALSE)-VLOOKUP($A280,main!$A$3:$H$102,6,FALSE)&gt;=main!$D$103+VLOOKUP(VLOOKUP(BE$1,main!$A$3:$I$102,7,FALSE),main!$K$26:$Q$29,5,FALSE)),1,0)</f>
        <v>0</v>
      </c>
      <c r="BF280">
        <f>IF(AND(VLOOKUP(BF$1,main!$A$3:$H$102,7,FALSE)=main!$G$105,VLOOKUP(BF$1,main!$A$3:$H$102,5,FALSE)-VLOOKUP($A280,main!$A$3:$H$102,6,FALSE)&gt;=main!$D$103+VLOOKUP(VLOOKUP(BF$1,main!$A$3:$I$102,7,FALSE),main!$K$26:$Q$29,5,FALSE)),1,0)</f>
        <v>0</v>
      </c>
      <c r="BG280">
        <f>IF(AND(VLOOKUP(BG$1,main!$A$3:$H$102,7,FALSE)=main!$G$105,VLOOKUP(BG$1,main!$A$3:$H$102,5,FALSE)-VLOOKUP($A280,main!$A$3:$H$102,6,FALSE)&gt;=main!$D$103+VLOOKUP(VLOOKUP(BG$1,main!$A$3:$I$102,7,FALSE),main!$K$26:$Q$29,5,FALSE)),1,0)</f>
        <v>0</v>
      </c>
      <c r="BH280">
        <f>IF(AND(VLOOKUP(BH$1,main!$A$3:$H$102,7,FALSE)=main!$G$105,VLOOKUP(BH$1,main!$A$3:$H$102,5,FALSE)-VLOOKUP($A280,main!$A$3:$H$102,6,FALSE)&gt;=main!$D$103+VLOOKUP(VLOOKUP(BH$1,main!$A$3:$I$102,7,FALSE),main!$K$26:$Q$29,5,FALSE)),1,0)</f>
        <v>0</v>
      </c>
      <c r="BI280">
        <f>IF(AND(VLOOKUP(BI$1,main!$A$3:$H$102,7,FALSE)=main!$G$105,VLOOKUP(BI$1,main!$A$3:$H$102,5,FALSE)-VLOOKUP($A280,main!$A$3:$H$102,6,FALSE)&gt;=main!$D$103+VLOOKUP(VLOOKUP(BI$1,main!$A$3:$I$102,7,FALSE),main!$K$26:$Q$29,5,FALSE)),1,0)</f>
        <v>0</v>
      </c>
      <c r="BJ280">
        <f>IF(AND(VLOOKUP(BJ$1,main!$A$3:$H$102,7,FALSE)=main!$G$105,VLOOKUP(BJ$1,main!$A$3:$H$102,5,FALSE)-VLOOKUP($A280,main!$A$3:$H$102,6,FALSE)&gt;=main!$D$103+VLOOKUP(VLOOKUP(BJ$1,main!$A$3:$I$102,7,FALSE),main!$K$26:$Q$29,5,FALSE)),1,0)</f>
        <v>0</v>
      </c>
      <c r="BK280">
        <f>IF(AND(VLOOKUP(BK$1,main!$A$3:$H$102,7,FALSE)=main!$G$105,VLOOKUP(BK$1,main!$A$3:$H$102,5,FALSE)-VLOOKUP($A280,main!$A$3:$H$102,6,FALSE)&gt;=main!$D$103+VLOOKUP(VLOOKUP(BK$1,main!$A$3:$I$102,7,FALSE),main!$K$26:$Q$29,5,FALSE)),1,0)</f>
        <v>0</v>
      </c>
      <c r="BL280">
        <f>IF(AND(VLOOKUP(BL$1,main!$A$3:$H$102,7,FALSE)=main!$G$105,VLOOKUP(BL$1,main!$A$3:$H$102,5,FALSE)-VLOOKUP($A280,main!$A$3:$H$102,6,FALSE)&gt;=main!$D$103+VLOOKUP(VLOOKUP(BL$1,main!$A$3:$I$102,7,FALSE),main!$K$26:$Q$29,5,FALSE)),1,0)</f>
        <v>0</v>
      </c>
      <c r="BM280">
        <f>IF(AND(VLOOKUP(BM$1,main!$A$3:$H$102,7,FALSE)=main!$G$105,VLOOKUP(BM$1,main!$A$3:$H$102,5,FALSE)-VLOOKUP($A280,main!$A$3:$H$102,6,FALSE)&gt;=main!$D$103+VLOOKUP(VLOOKUP(BM$1,main!$A$3:$I$102,7,FALSE),main!$K$26:$Q$29,5,FALSE)),1,0)</f>
        <v>0</v>
      </c>
      <c r="BN280">
        <f>IF(AND(VLOOKUP(BN$1,main!$A$3:$H$102,7,FALSE)=main!$G$105,VLOOKUP(BN$1,main!$A$3:$H$102,5,FALSE)-VLOOKUP($A280,main!$A$3:$H$102,6,FALSE)&gt;=main!$D$103+VLOOKUP(VLOOKUP(BN$1,main!$A$3:$I$102,7,FALSE),main!$K$26:$Q$29,5,FALSE)),1,0)</f>
        <v>0</v>
      </c>
      <c r="BO280">
        <f>IF(AND(VLOOKUP(BO$1,main!$A$3:$H$102,7,FALSE)=main!$G$105,VLOOKUP(BO$1,main!$A$3:$H$102,5,FALSE)-VLOOKUP($A280,main!$A$3:$H$102,6,FALSE)&gt;=main!$D$103+VLOOKUP(VLOOKUP(BO$1,main!$A$3:$I$102,7,FALSE),main!$K$26:$Q$29,5,FALSE)),1,0)</f>
        <v>0</v>
      </c>
      <c r="BP280">
        <f>IF(AND(VLOOKUP(BP$1,main!$A$3:$H$102,7,FALSE)=main!$G$105,VLOOKUP(BP$1,main!$A$3:$H$102,5,FALSE)-VLOOKUP($A280,main!$A$3:$H$102,6,FALSE)&gt;=main!$D$103+VLOOKUP(VLOOKUP(BP$1,main!$A$3:$I$102,7,FALSE),main!$K$26:$Q$29,5,FALSE)),1,0)</f>
        <v>0</v>
      </c>
      <c r="BQ280">
        <f>IF(AND(VLOOKUP(BQ$1,main!$A$3:$H$102,7,FALSE)=main!$G$105,VLOOKUP(BQ$1,main!$A$3:$H$102,5,FALSE)-VLOOKUP($A280,main!$A$3:$H$102,6,FALSE)&gt;=main!$D$103+VLOOKUP(VLOOKUP(BQ$1,main!$A$3:$I$102,7,FALSE),main!$K$26:$Q$29,5,FALSE)),1,0)</f>
        <v>0</v>
      </c>
      <c r="BR280">
        <f>IF(AND(VLOOKUP(BR$1,main!$A$3:$H$102,7,FALSE)=main!$G$105,VLOOKUP(BR$1,main!$A$3:$H$102,5,FALSE)-VLOOKUP($A280,main!$A$3:$H$102,6,FALSE)&gt;=main!$D$103+VLOOKUP(VLOOKUP(BR$1,main!$A$3:$I$102,7,FALSE),main!$K$26:$Q$29,5,FALSE)),1,0)</f>
        <v>0</v>
      </c>
      <c r="BS280">
        <f>IF(AND(VLOOKUP(BS$1,main!$A$3:$H$102,7,FALSE)=main!$G$105,VLOOKUP(BS$1,main!$A$3:$H$102,5,FALSE)-VLOOKUP($A280,main!$A$3:$H$102,6,FALSE)&gt;=main!$D$103+VLOOKUP(VLOOKUP(BS$1,main!$A$3:$I$102,7,FALSE),main!$K$26:$Q$29,5,FALSE)),1,0)</f>
        <v>0</v>
      </c>
      <c r="BT280">
        <f>IF(AND(VLOOKUP(BT$1,main!$A$3:$H$102,7,FALSE)=main!$G$105,VLOOKUP(BT$1,main!$A$3:$H$102,5,FALSE)-VLOOKUP($A280,main!$A$3:$H$102,6,FALSE)&gt;=main!$D$103+VLOOKUP(VLOOKUP(BT$1,main!$A$3:$I$102,7,FALSE),main!$K$26:$Q$29,5,FALSE)),1,0)</f>
        <v>0</v>
      </c>
      <c r="BU280">
        <f>IF(AND(VLOOKUP(BU$1,main!$A$3:$H$102,7,FALSE)=main!$G$105,VLOOKUP(BU$1,main!$A$3:$H$102,5,FALSE)-VLOOKUP($A280,main!$A$3:$H$102,6,FALSE)&gt;=main!$D$103+VLOOKUP(VLOOKUP(BU$1,main!$A$3:$I$102,7,FALSE),main!$K$26:$Q$29,5,FALSE)),1,0)</f>
        <v>0</v>
      </c>
      <c r="BV280">
        <f>IF(AND(VLOOKUP(BV$1,main!$A$3:$H$102,7,FALSE)=main!$G$105,VLOOKUP(BV$1,main!$A$3:$H$102,5,FALSE)-VLOOKUP($A280,main!$A$3:$H$102,6,FALSE)&gt;=main!$D$103+VLOOKUP(VLOOKUP(BV$1,main!$A$3:$I$102,7,FALSE),main!$K$26:$Q$29,5,FALSE)),1,0)</f>
        <v>0</v>
      </c>
      <c r="BW280">
        <f>IF(AND(VLOOKUP(BW$1,main!$A$3:$H$102,7,FALSE)=main!$G$105,VLOOKUP(BW$1,main!$A$3:$H$102,5,FALSE)-VLOOKUP($A280,main!$A$3:$H$102,6,FALSE)&gt;=main!$D$103+VLOOKUP(VLOOKUP(BW$1,main!$A$3:$I$102,7,FALSE),main!$K$26:$Q$29,5,FALSE)),1,0)</f>
        <v>0</v>
      </c>
      <c r="BX280">
        <f>IF(AND(VLOOKUP(BX$1,main!$A$3:$H$102,7,FALSE)=main!$G$105,VLOOKUP(BX$1,main!$A$3:$H$102,5,FALSE)-VLOOKUP($A280,main!$A$3:$H$102,6,FALSE)&gt;=main!$D$103+VLOOKUP(VLOOKUP(BX$1,main!$A$3:$I$102,7,FALSE),main!$K$26:$Q$29,5,FALSE)),1,0)</f>
        <v>0</v>
      </c>
      <c r="BY280">
        <f>IF(AND(VLOOKUP(BY$1,main!$A$3:$H$102,7,FALSE)=main!$G$105,VLOOKUP(BY$1,main!$A$3:$H$102,5,FALSE)-VLOOKUP($A280,main!$A$3:$H$102,6,FALSE)&gt;=main!$D$103+VLOOKUP(VLOOKUP(BY$1,main!$A$3:$I$102,7,FALSE),main!$K$26:$Q$29,5,FALSE)),1,0)</f>
        <v>0</v>
      </c>
      <c r="BZ280">
        <f>IF(AND(VLOOKUP(BZ$1,main!$A$3:$H$102,7,FALSE)=main!$G$105,VLOOKUP(BZ$1,main!$A$3:$H$102,5,FALSE)-VLOOKUP($A280,main!$A$3:$H$102,6,FALSE)&gt;=main!$D$103+VLOOKUP(VLOOKUP(BZ$1,main!$A$3:$I$102,7,FALSE),main!$K$26:$Q$29,5,FALSE)),1,0)</f>
        <v>0</v>
      </c>
      <c r="CA280">
        <f>IF(AND(VLOOKUP(CA$1,main!$A$3:$H$102,7,FALSE)=main!$G$105,VLOOKUP(CA$1,main!$A$3:$H$102,5,FALSE)-VLOOKUP($A280,main!$A$3:$H$102,6,FALSE)&gt;=main!$D$103+VLOOKUP(VLOOKUP(CA$1,main!$A$3:$I$102,7,FALSE),main!$K$26:$Q$29,5,FALSE)),1,0)</f>
        <v>0</v>
      </c>
      <c r="CB280">
        <f>IF(AND(VLOOKUP(CB$1,main!$A$3:$H$102,7,FALSE)=main!$G$105,VLOOKUP(CB$1,main!$A$3:$H$102,5,FALSE)-VLOOKUP($A280,main!$A$3:$H$102,6,FALSE)&gt;=main!$D$103+VLOOKUP(VLOOKUP(CB$1,main!$A$3:$I$102,7,FALSE),main!$K$26:$Q$29,5,FALSE)),1,0)</f>
        <v>0</v>
      </c>
      <c r="CC280">
        <f>IF(AND(VLOOKUP(CC$1,main!$A$3:$H$102,7,FALSE)=main!$G$105,VLOOKUP(CC$1,main!$A$3:$H$102,5,FALSE)-VLOOKUP($A280,main!$A$3:$H$102,6,FALSE)&gt;=main!$D$103+VLOOKUP(VLOOKUP(CC$1,main!$A$3:$I$102,7,FALSE),main!$K$26:$Q$29,5,FALSE)),1,0)</f>
        <v>0</v>
      </c>
      <c r="CD280">
        <f>IF(AND(VLOOKUP(CD$1,main!$A$3:$H$102,7,FALSE)=main!$G$105,VLOOKUP(CD$1,main!$A$3:$H$102,5,FALSE)-VLOOKUP($A280,main!$A$3:$H$102,6,FALSE)&gt;=main!$D$103+VLOOKUP(VLOOKUP(CD$1,main!$A$3:$I$102,7,FALSE),main!$K$26:$Q$29,5,FALSE)),1,0)</f>
        <v>0</v>
      </c>
      <c r="CE280">
        <f>IF(AND(VLOOKUP(CE$1,main!$A$3:$H$102,7,FALSE)=main!$G$105,VLOOKUP(CE$1,main!$A$3:$H$102,5,FALSE)-VLOOKUP($A280,main!$A$3:$H$102,6,FALSE)&gt;=main!$D$103+VLOOKUP(VLOOKUP(CE$1,main!$A$3:$I$102,7,FALSE),main!$K$26:$Q$29,5,FALSE)),1,0)</f>
        <v>0</v>
      </c>
      <c r="CF280">
        <f>IF(AND(VLOOKUP(CF$1,main!$A$3:$H$102,7,FALSE)=main!$G$105,VLOOKUP(CF$1,main!$A$3:$H$102,5,FALSE)-VLOOKUP($A280,main!$A$3:$H$102,6,FALSE)&gt;=main!$D$103+VLOOKUP(VLOOKUP(CF$1,main!$A$3:$I$102,7,FALSE),main!$K$26:$Q$29,5,FALSE)),1,0)</f>
        <v>0</v>
      </c>
      <c r="CG280">
        <f>IF(AND(VLOOKUP(CG$1,main!$A$3:$H$102,7,FALSE)=main!$G$105,VLOOKUP(CG$1,main!$A$3:$H$102,5,FALSE)-VLOOKUP($A280,main!$A$3:$H$102,6,FALSE)&gt;=main!$D$103+VLOOKUP(VLOOKUP(CG$1,main!$A$3:$I$102,7,FALSE),main!$K$26:$Q$29,5,FALSE)),1,0)</f>
        <v>0</v>
      </c>
      <c r="CH280">
        <f>IF(AND(VLOOKUP(CH$1,main!$A$3:$H$102,7,FALSE)=main!$G$105,VLOOKUP(CH$1,main!$A$3:$H$102,5,FALSE)-VLOOKUP($A280,main!$A$3:$H$102,6,FALSE)&gt;=main!$D$103+VLOOKUP(VLOOKUP(CH$1,main!$A$3:$I$102,7,FALSE),main!$K$26:$Q$29,5,FALSE)),1,0)</f>
        <v>0</v>
      </c>
      <c r="CI280">
        <f>IF(AND(VLOOKUP(CI$1,main!$A$3:$H$102,7,FALSE)=main!$G$105,VLOOKUP(CI$1,main!$A$3:$H$102,5,FALSE)-VLOOKUP($A280,main!$A$3:$H$102,6,FALSE)&gt;=main!$D$103+VLOOKUP(VLOOKUP(CI$1,main!$A$3:$I$102,7,FALSE),main!$K$26:$Q$29,5,FALSE)),1,0)</f>
        <v>0</v>
      </c>
      <c r="CJ280">
        <f>IF(AND(VLOOKUP(CJ$1,main!$A$3:$H$102,7,FALSE)=main!$G$105,VLOOKUP(CJ$1,main!$A$3:$H$102,5,FALSE)-VLOOKUP($A280,main!$A$3:$H$102,6,FALSE)&gt;=main!$D$103+VLOOKUP(VLOOKUP(CJ$1,main!$A$3:$I$102,7,FALSE),main!$K$26:$Q$29,5,FALSE)),1,0)</f>
        <v>0</v>
      </c>
      <c r="CK280">
        <f>IF(AND(VLOOKUP(CK$1,main!$A$3:$H$102,7,FALSE)=main!$G$105,VLOOKUP(CK$1,main!$A$3:$H$102,5,FALSE)-VLOOKUP($A280,main!$A$3:$H$102,6,FALSE)&gt;=main!$D$103+VLOOKUP(VLOOKUP(CK$1,main!$A$3:$I$102,7,FALSE),main!$K$26:$Q$29,5,FALSE)),1,0)</f>
        <v>0</v>
      </c>
      <c r="CL280">
        <f>IF(AND(VLOOKUP(CL$1,main!$A$3:$H$102,7,FALSE)=main!$G$105,VLOOKUP(CL$1,main!$A$3:$H$102,5,FALSE)-VLOOKUP($A280,main!$A$3:$H$102,6,FALSE)&gt;=main!$D$103+VLOOKUP(VLOOKUP(CL$1,main!$A$3:$I$102,7,FALSE),main!$K$26:$Q$29,5,FALSE)),1,0)</f>
        <v>0</v>
      </c>
      <c r="CM280">
        <f>IF(AND(VLOOKUP(CM$1,main!$A$3:$H$102,7,FALSE)=main!$G$105,VLOOKUP(CM$1,main!$A$3:$H$102,5,FALSE)-VLOOKUP($A280,main!$A$3:$H$102,6,FALSE)&gt;=main!$D$103+VLOOKUP(VLOOKUP(CM$1,main!$A$3:$I$102,7,FALSE),main!$K$26:$Q$29,5,FALSE)),1,0)</f>
        <v>0</v>
      </c>
      <c r="CN280">
        <f>IF(AND(VLOOKUP(CN$1,main!$A$3:$H$102,7,FALSE)=main!$G$105,VLOOKUP(CN$1,main!$A$3:$H$102,5,FALSE)-VLOOKUP($A280,main!$A$3:$H$102,6,FALSE)&gt;=main!$D$103+VLOOKUP(VLOOKUP(CN$1,main!$A$3:$I$102,7,FALSE),main!$K$26:$Q$29,5,FALSE)),1,0)</f>
        <v>0</v>
      </c>
      <c r="CO280">
        <f>IF(AND(VLOOKUP(CO$1,main!$A$3:$H$102,7,FALSE)=main!$G$105,VLOOKUP(CO$1,main!$A$3:$H$102,5,FALSE)-VLOOKUP($A280,main!$A$3:$H$102,6,FALSE)&gt;=main!$D$103+VLOOKUP(VLOOKUP(CO$1,main!$A$3:$I$102,7,FALSE),main!$K$26:$Q$29,5,FALSE)),1,0)</f>
        <v>0</v>
      </c>
      <c r="CP280">
        <f>IF(AND(VLOOKUP(CP$1,main!$A$3:$H$102,7,FALSE)=main!$G$105,VLOOKUP(CP$1,main!$A$3:$H$102,5,FALSE)-VLOOKUP($A280,main!$A$3:$H$102,6,FALSE)&gt;=main!$D$103+VLOOKUP(VLOOKUP(CP$1,main!$A$3:$I$102,7,FALSE),main!$K$26:$Q$29,5,FALSE)),1,0)</f>
        <v>0</v>
      </c>
      <c r="CQ280">
        <f>IF(AND(VLOOKUP(CQ$1,main!$A$3:$H$102,7,FALSE)=main!$G$105,VLOOKUP(CQ$1,main!$A$3:$H$102,5,FALSE)-VLOOKUP($A280,main!$A$3:$H$102,6,FALSE)&gt;=main!$D$103+VLOOKUP(VLOOKUP(CQ$1,main!$A$3:$I$102,7,FALSE),main!$K$26:$Q$29,5,FALSE)),1,0)</f>
        <v>0</v>
      </c>
      <c r="CR280">
        <f>IF(AND(VLOOKUP(CR$1,main!$A$3:$H$102,7,FALSE)=main!$G$105,VLOOKUP(CR$1,main!$A$3:$H$102,5,FALSE)-VLOOKUP($A280,main!$A$3:$H$102,6,FALSE)&gt;=main!$D$103+VLOOKUP(VLOOKUP(CR$1,main!$A$3:$I$102,7,FALSE),main!$K$26:$Q$29,5,FALSE)),1,0)</f>
        <v>0</v>
      </c>
      <c r="CS280">
        <f>IF(AND(VLOOKUP(CS$1,main!$A$3:$H$102,7,FALSE)=main!$G$105,VLOOKUP(CS$1,main!$A$3:$H$102,5,FALSE)-VLOOKUP($A280,main!$A$3:$H$102,6,FALSE)&gt;=main!$D$103+VLOOKUP(VLOOKUP(CS$1,main!$A$3:$I$102,7,FALSE),main!$K$26:$Q$29,5,FALSE)),1,0)</f>
        <v>0</v>
      </c>
      <c r="CT280">
        <f>IF(AND(VLOOKUP(CT$1,main!$A$3:$H$102,7,FALSE)=main!$G$105,VLOOKUP(CT$1,main!$A$3:$H$102,5,FALSE)-VLOOKUP($A280,main!$A$3:$H$102,6,FALSE)&gt;=main!$D$103+VLOOKUP(VLOOKUP(CT$1,main!$A$3:$I$102,7,FALSE),main!$K$26:$Q$29,5,FALSE)),1,0)</f>
        <v>0</v>
      </c>
      <c r="CU280">
        <f>IF(AND(VLOOKUP(CU$1,main!$A$3:$H$102,7,FALSE)=main!$G$105,VLOOKUP(CU$1,main!$A$3:$H$102,5,FALSE)-VLOOKUP($A280,main!$A$3:$H$102,6,FALSE)&gt;=main!$D$103+VLOOKUP(VLOOKUP(CU$1,main!$A$3:$I$102,7,FALSE),main!$K$26:$Q$29,5,FALSE)),1,0)</f>
        <v>0</v>
      </c>
      <c r="CV280">
        <f>IF(AND(VLOOKUP(CV$1,main!$A$3:$H$102,7,FALSE)=main!$G$105,VLOOKUP(CV$1,main!$A$3:$H$102,5,FALSE)-VLOOKUP($A280,main!$A$3:$H$102,6,FALSE)&gt;=main!$D$103+VLOOKUP(VLOOKUP(CV$1,main!$A$3:$I$102,7,FALSE),main!$K$26:$Q$29,5,FALSE)),1,0)</f>
        <v>0</v>
      </c>
      <c r="CW280">
        <f>IF(AND(VLOOKUP(CW$1,main!$A$3:$H$102,7,FALSE)=main!$G$105,VLOOKUP(CW$1,main!$A$3:$H$102,5,FALSE)-VLOOKUP($A280,main!$A$3:$H$102,6,FALSE)&gt;=main!$D$103+VLOOKUP(VLOOKUP(CW$1,main!$A$3:$I$102,7,FALSE),main!$K$26:$Q$29,5,FALSE)),1,0)</f>
        <v>0</v>
      </c>
      <c r="CX280">
        <f>IF(AND(VLOOKUP(CX$1,main!$A$3:$H$102,7,FALSE)=main!$G$105,VLOOKUP(CX$1,main!$A$3:$H$102,5,FALSE)-VLOOKUP($A280,main!$A$3:$H$102,6,FALSE)&gt;=main!$D$103+VLOOKUP(VLOOKUP(CX$1,main!$A$3:$I$102,7,FALSE),main!$K$26:$Q$29,5,FALSE)),1,0)</f>
        <v>0</v>
      </c>
    </row>
    <row r="281" spans="1:102" x14ac:dyDescent="0.25">
      <c r="A281" s="1">
        <v>77</v>
      </c>
      <c r="B281">
        <v>0</v>
      </c>
      <c r="C281">
        <f>IF(AND(VLOOKUP(C$1,main!$A$3:$H$102,7,FALSE)=main!$G$105,VLOOKUP(C$1,main!$A$3:$H$102,5,FALSE)-VLOOKUP($A281,main!$A$3:$H$102,6,FALSE)&gt;=main!$D$103+VLOOKUP(VLOOKUP(C$1,main!$A$3:$I$102,7,FALSE),main!$K$26:$Q$29,5,FALSE)),1,0)</f>
        <v>0</v>
      </c>
      <c r="D281">
        <f>IF(AND(VLOOKUP(D$1,main!$A$3:$H$102,7,FALSE)=main!$G$105,VLOOKUP(D$1,main!$A$3:$H$102,5,FALSE)-VLOOKUP($A281,main!$A$3:$H$102,6,FALSE)&gt;=main!$D$103+VLOOKUP(VLOOKUP(D$1,main!$A$3:$I$102,7,FALSE),main!$K$26:$Q$29,5,FALSE)),1,0)</f>
        <v>0</v>
      </c>
      <c r="E281">
        <f>IF(AND(VLOOKUP(E$1,main!$A$3:$H$102,7,FALSE)=main!$G$105,VLOOKUP(E$1,main!$A$3:$H$102,5,FALSE)-VLOOKUP($A281,main!$A$3:$H$102,6,FALSE)&gt;=main!$D$103+VLOOKUP(VLOOKUP(E$1,main!$A$3:$I$102,7,FALSE),main!$K$26:$Q$29,5,FALSE)),1,0)</f>
        <v>0</v>
      </c>
      <c r="F281">
        <f>IF(AND(VLOOKUP(F$1,main!$A$3:$H$102,7,FALSE)=main!$G$105,VLOOKUP(F$1,main!$A$3:$H$102,5,FALSE)-VLOOKUP($A281,main!$A$3:$H$102,6,FALSE)&gt;=main!$D$103+VLOOKUP(VLOOKUP(F$1,main!$A$3:$I$102,7,FALSE),main!$K$26:$Q$29,5,FALSE)),1,0)</f>
        <v>0</v>
      </c>
      <c r="G281">
        <f>IF(AND(VLOOKUP(G$1,main!$A$3:$H$102,7,FALSE)=main!$G$105,VLOOKUP(G$1,main!$A$3:$H$102,5,FALSE)-VLOOKUP($A281,main!$A$3:$H$102,6,FALSE)&gt;=main!$D$103+VLOOKUP(VLOOKUP(G$1,main!$A$3:$I$102,7,FALSE),main!$K$26:$Q$29,5,FALSE)),1,0)</f>
        <v>0</v>
      </c>
      <c r="H281">
        <f>IF(AND(VLOOKUP(H$1,main!$A$3:$H$102,7,FALSE)=main!$G$105,VLOOKUP(H$1,main!$A$3:$H$102,5,FALSE)-VLOOKUP($A281,main!$A$3:$H$102,6,FALSE)&gt;=main!$D$103+VLOOKUP(VLOOKUP(H$1,main!$A$3:$I$102,7,FALSE),main!$K$26:$Q$29,5,FALSE)),1,0)</f>
        <v>0</v>
      </c>
      <c r="I281">
        <f>IF(AND(VLOOKUP(I$1,main!$A$3:$H$102,7,FALSE)=main!$G$105,VLOOKUP(I$1,main!$A$3:$H$102,5,FALSE)-VLOOKUP($A281,main!$A$3:$H$102,6,FALSE)&gt;=main!$D$103+VLOOKUP(VLOOKUP(I$1,main!$A$3:$I$102,7,FALSE),main!$K$26:$Q$29,5,FALSE)),1,0)</f>
        <v>0</v>
      </c>
      <c r="J281">
        <f>IF(AND(VLOOKUP(J$1,main!$A$3:$H$102,7,FALSE)=main!$G$105,VLOOKUP(J$1,main!$A$3:$H$102,5,FALSE)-VLOOKUP($A281,main!$A$3:$H$102,6,FALSE)&gt;=main!$D$103+VLOOKUP(VLOOKUP(J$1,main!$A$3:$I$102,7,FALSE),main!$K$26:$Q$29,5,FALSE)),1,0)</f>
        <v>0</v>
      </c>
      <c r="K281">
        <f>IF(AND(VLOOKUP(K$1,main!$A$3:$H$102,7,FALSE)=main!$G$105,VLOOKUP(K$1,main!$A$3:$H$102,5,FALSE)-VLOOKUP($A281,main!$A$3:$H$102,6,FALSE)&gt;=main!$D$103+VLOOKUP(VLOOKUP(K$1,main!$A$3:$I$102,7,FALSE),main!$K$26:$Q$29,5,FALSE)),1,0)</f>
        <v>0</v>
      </c>
      <c r="L281">
        <f>IF(AND(VLOOKUP(L$1,main!$A$3:$H$102,7,FALSE)=main!$G$105,VLOOKUP(L$1,main!$A$3:$H$102,5,FALSE)-VLOOKUP($A281,main!$A$3:$H$102,6,FALSE)&gt;=main!$D$103+VLOOKUP(VLOOKUP(L$1,main!$A$3:$I$102,7,FALSE),main!$K$26:$Q$29,5,FALSE)),1,0)</f>
        <v>0</v>
      </c>
      <c r="M281">
        <f>IF(AND(VLOOKUP(M$1,main!$A$3:$H$102,7,FALSE)=main!$G$105,VLOOKUP(M$1,main!$A$3:$H$102,5,FALSE)-VLOOKUP($A281,main!$A$3:$H$102,6,FALSE)&gt;=main!$D$103+VLOOKUP(VLOOKUP(M$1,main!$A$3:$I$102,7,FALSE),main!$K$26:$Q$29,5,FALSE)),1,0)</f>
        <v>0</v>
      </c>
      <c r="N281">
        <f>IF(AND(VLOOKUP(N$1,main!$A$3:$H$102,7,FALSE)=main!$G$105,VLOOKUP(N$1,main!$A$3:$H$102,5,FALSE)-VLOOKUP($A281,main!$A$3:$H$102,6,FALSE)&gt;=main!$D$103+VLOOKUP(VLOOKUP(N$1,main!$A$3:$I$102,7,FALSE),main!$K$26:$Q$29,5,FALSE)),1,0)</f>
        <v>0</v>
      </c>
      <c r="O281">
        <f>IF(AND(VLOOKUP(O$1,main!$A$3:$H$102,7,FALSE)=main!$G$105,VLOOKUP(O$1,main!$A$3:$H$102,5,FALSE)-VLOOKUP($A281,main!$A$3:$H$102,6,FALSE)&gt;=main!$D$103+VLOOKUP(VLOOKUP(O$1,main!$A$3:$I$102,7,FALSE),main!$K$26:$Q$29,5,FALSE)),1,0)</f>
        <v>0</v>
      </c>
      <c r="P281">
        <f>IF(AND(VLOOKUP(P$1,main!$A$3:$H$102,7,FALSE)=main!$G$105,VLOOKUP(P$1,main!$A$3:$H$102,5,FALSE)-VLOOKUP($A281,main!$A$3:$H$102,6,FALSE)&gt;=main!$D$103+VLOOKUP(VLOOKUP(P$1,main!$A$3:$I$102,7,FALSE),main!$K$26:$Q$29,5,FALSE)),1,0)</f>
        <v>0</v>
      </c>
      <c r="Q281">
        <f>IF(AND(VLOOKUP(Q$1,main!$A$3:$H$102,7,FALSE)=main!$G$105,VLOOKUP(Q$1,main!$A$3:$H$102,5,FALSE)-VLOOKUP($A281,main!$A$3:$H$102,6,FALSE)&gt;=main!$D$103+VLOOKUP(VLOOKUP(Q$1,main!$A$3:$I$102,7,FALSE),main!$K$26:$Q$29,5,FALSE)),1,0)</f>
        <v>0</v>
      </c>
      <c r="R281">
        <f>IF(AND(VLOOKUP(R$1,main!$A$3:$H$102,7,FALSE)=main!$G$105,VLOOKUP(R$1,main!$A$3:$H$102,5,FALSE)-VLOOKUP($A281,main!$A$3:$H$102,6,FALSE)&gt;=main!$D$103+VLOOKUP(VLOOKUP(R$1,main!$A$3:$I$102,7,FALSE),main!$K$26:$Q$29,5,FALSE)),1,0)</f>
        <v>0</v>
      </c>
      <c r="S281">
        <f>IF(AND(VLOOKUP(S$1,main!$A$3:$H$102,7,FALSE)=main!$G$105,VLOOKUP(S$1,main!$A$3:$H$102,5,FALSE)-VLOOKUP($A281,main!$A$3:$H$102,6,FALSE)&gt;=main!$D$103+VLOOKUP(VLOOKUP(S$1,main!$A$3:$I$102,7,FALSE),main!$K$26:$Q$29,5,FALSE)),1,0)</f>
        <v>0</v>
      </c>
      <c r="T281">
        <f>IF(AND(VLOOKUP(T$1,main!$A$3:$H$102,7,FALSE)=main!$G$105,VLOOKUP(T$1,main!$A$3:$H$102,5,FALSE)-VLOOKUP($A281,main!$A$3:$H$102,6,FALSE)&gt;=main!$D$103+VLOOKUP(VLOOKUP(T$1,main!$A$3:$I$102,7,FALSE),main!$K$26:$Q$29,5,FALSE)),1,0)</f>
        <v>0</v>
      </c>
      <c r="U281">
        <f>IF(AND(VLOOKUP(U$1,main!$A$3:$H$102,7,FALSE)=main!$G$105,VLOOKUP(U$1,main!$A$3:$H$102,5,FALSE)-VLOOKUP($A281,main!$A$3:$H$102,6,FALSE)&gt;=main!$D$103+VLOOKUP(VLOOKUP(U$1,main!$A$3:$I$102,7,FALSE),main!$K$26:$Q$29,5,FALSE)),1,0)</f>
        <v>0</v>
      </c>
      <c r="V281">
        <f>IF(AND(VLOOKUP(V$1,main!$A$3:$H$102,7,FALSE)=main!$G$105,VLOOKUP(V$1,main!$A$3:$H$102,5,FALSE)-VLOOKUP($A281,main!$A$3:$H$102,6,FALSE)&gt;=main!$D$103+VLOOKUP(VLOOKUP(V$1,main!$A$3:$I$102,7,FALSE),main!$K$26:$Q$29,5,FALSE)),1,0)</f>
        <v>0</v>
      </c>
      <c r="W281">
        <f>IF(AND(VLOOKUP(W$1,main!$A$3:$H$102,7,FALSE)=main!$G$105,VLOOKUP(W$1,main!$A$3:$H$102,5,FALSE)-VLOOKUP($A281,main!$A$3:$H$102,6,FALSE)&gt;=main!$D$103+VLOOKUP(VLOOKUP(W$1,main!$A$3:$I$102,7,FALSE),main!$K$26:$Q$29,5,FALSE)),1,0)</f>
        <v>0</v>
      </c>
      <c r="X281">
        <f>IF(AND(VLOOKUP(X$1,main!$A$3:$H$102,7,FALSE)=main!$G$105,VLOOKUP(X$1,main!$A$3:$H$102,5,FALSE)-VLOOKUP($A281,main!$A$3:$H$102,6,FALSE)&gt;=main!$D$103+VLOOKUP(VLOOKUP(X$1,main!$A$3:$I$102,7,FALSE),main!$K$26:$Q$29,5,FALSE)),1,0)</f>
        <v>0</v>
      </c>
      <c r="Y281">
        <f>IF(AND(VLOOKUP(Y$1,main!$A$3:$H$102,7,FALSE)=main!$G$105,VLOOKUP(Y$1,main!$A$3:$H$102,5,FALSE)-VLOOKUP($A281,main!$A$3:$H$102,6,FALSE)&gt;=main!$D$103+VLOOKUP(VLOOKUP(Y$1,main!$A$3:$I$102,7,FALSE),main!$K$26:$Q$29,5,FALSE)),1,0)</f>
        <v>0</v>
      </c>
      <c r="Z281">
        <f>IF(AND(VLOOKUP(Z$1,main!$A$3:$H$102,7,FALSE)=main!$G$105,VLOOKUP(Z$1,main!$A$3:$H$102,5,FALSE)-VLOOKUP($A281,main!$A$3:$H$102,6,FALSE)&gt;=main!$D$103+VLOOKUP(VLOOKUP(Z$1,main!$A$3:$I$102,7,FALSE),main!$K$26:$Q$29,5,FALSE)),1,0)</f>
        <v>0</v>
      </c>
      <c r="AA281">
        <f>IF(AND(VLOOKUP(AA$1,main!$A$3:$H$102,7,FALSE)=main!$G$105,VLOOKUP(AA$1,main!$A$3:$H$102,5,FALSE)-VLOOKUP($A281,main!$A$3:$H$102,6,FALSE)&gt;=main!$D$103+VLOOKUP(VLOOKUP(AA$1,main!$A$3:$I$102,7,FALSE),main!$K$26:$Q$29,5,FALSE)),1,0)</f>
        <v>0</v>
      </c>
      <c r="AB281">
        <f>IF(AND(VLOOKUP(AB$1,main!$A$3:$H$102,7,FALSE)=main!$G$105,VLOOKUP(AB$1,main!$A$3:$H$102,5,FALSE)-VLOOKUP($A281,main!$A$3:$H$102,6,FALSE)&gt;=main!$D$103+VLOOKUP(VLOOKUP(AB$1,main!$A$3:$I$102,7,FALSE),main!$K$26:$Q$29,5,FALSE)),1,0)</f>
        <v>0</v>
      </c>
      <c r="AC281">
        <f>IF(AND(VLOOKUP(AC$1,main!$A$3:$H$102,7,FALSE)=main!$G$105,VLOOKUP(AC$1,main!$A$3:$H$102,5,FALSE)-VLOOKUP($A281,main!$A$3:$H$102,6,FALSE)&gt;=main!$D$103+VLOOKUP(VLOOKUP(AC$1,main!$A$3:$I$102,7,FALSE),main!$K$26:$Q$29,5,FALSE)),1,0)</f>
        <v>0</v>
      </c>
      <c r="AD281">
        <f>IF(AND(VLOOKUP(AD$1,main!$A$3:$H$102,7,FALSE)=main!$G$105,VLOOKUP(AD$1,main!$A$3:$H$102,5,FALSE)-VLOOKUP($A281,main!$A$3:$H$102,6,FALSE)&gt;=main!$D$103+VLOOKUP(VLOOKUP(AD$1,main!$A$3:$I$102,7,FALSE),main!$K$26:$Q$29,5,FALSE)),1,0)</f>
        <v>0</v>
      </c>
      <c r="AE281">
        <f>IF(AND(VLOOKUP(AE$1,main!$A$3:$H$102,7,FALSE)=main!$G$105,VLOOKUP(AE$1,main!$A$3:$H$102,5,FALSE)-VLOOKUP($A281,main!$A$3:$H$102,6,FALSE)&gt;=main!$D$103+VLOOKUP(VLOOKUP(AE$1,main!$A$3:$I$102,7,FALSE),main!$K$26:$Q$29,5,FALSE)),1,0)</f>
        <v>0</v>
      </c>
      <c r="AF281">
        <f>IF(AND(VLOOKUP(AF$1,main!$A$3:$H$102,7,FALSE)=main!$G$105,VLOOKUP(AF$1,main!$A$3:$H$102,5,FALSE)-VLOOKUP($A281,main!$A$3:$H$102,6,FALSE)&gt;=main!$D$103+VLOOKUP(VLOOKUP(AF$1,main!$A$3:$I$102,7,FALSE),main!$K$26:$Q$29,5,FALSE)),1,0)</f>
        <v>0</v>
      </c>
      <c r="AG281">
        <f>IF(AND(VLOOKUP(AG$1,main!$A$3:$H$102,7,FALSE)=main!$G$105,VLOOKUP(AG$1,main!$A$3:$H$102,5,FALSE)-VLOOKUP($A281,main!$A$3:$H$102,6,FALSE)&gt;=main!$D$103+VLOOKUP(VLOOKUP(AG$1,main!$A$3:$I$102,7,FALSE),main!$K$26:$Q$29,5,FALSE)),1,0)</f>
        <v>0</v>
      </c>
      <c r="AH281">
        <f>IF(AND(VLOOKUP(AH$1,main!$A$3:$H$102,7,FALSE)=main!$G$105,VLOOKUP(AH$1,main!$A$3:$H$102,5,FALSE)-VLOOKUP($A281,main!$A$3:$H$102,6,FALSE)&gt;=main!$D$103+VLOOKUP(VLOOKUP(AH$1,main!$A$3:$I$102,7,FALSE),main!$K$26:$Q$29,5,FALSE)),1,0)</f>
        <v>0</v>
      </c>
      <c r="AI281">
        <f>IF(AND(VLOOKUP(AI$1,main!$A$3:$H$102,7,FALSE)=main!$G$105,VLOOKUP(AI$1,main!$A$3:$H$102,5,FALSE)-VLOOKUP($A281,main!$A$3:$H$102,6,FALSE)&gt;=main!$D$103+VLOOKUP(VLOOKUP(AI$1,main!$A$3:$I$102,7,FALSE),main!$K$26:$Q$29,5,FALSE)),1,0)</f>
        <v>1</v>
      </c>
      <c r="AJ281">
        <f>IF(AND(VLOOKUP(AJ$1,main!$A$3:$H$102,7,FALSE)=main!$G$105,VLOOKUP(AJ$1,main!$A$3:$H$102,5,FALSE)-VLOOKUP($A281,main!$A$3:$H$102,6,FALSE)&gt;=main!$D$103+VLOOKUP(VLOOKUP(AJ$1,main!$A$3:$I$102,7,FALSE),main!$K$26:$Q$29,5,FALSE)),1,0)</f>
        <v>1</v>
      </c>
      <c r="AK281">
        <f>IF(AND(VLOOKUP(AK$1,main!$A$3:$H$102,7,FALSE)=main!$G$105,VLOOKUP(AK$1,main!$A$3:$H$102,5,FALSE)-VLOOKUP($A281,main!$A$3:$H$102,6,FALSE)&gt;=main!$D$103+VLOOKUP(VLOOKUP(AK$1,main!$A$3:$I$102,7,FALSE),main!$K$26:$Q$29,5,FALSE)),1,0)</f>
        <v>1</v>
      </c>
      <c r="AL281">
        <f>IF(AND(VLOOKUP(AL$1,main!$A$3:$H$102,7,FALSE)=main!$G$105,VLOOKUP(AL$1,main!$A$3:$H$102,5,FALSE)-VLOOKUP($A281,main!$A$3:$H$102,6,FALSE)&gt;=main!$D$103+VLOOKUP(VLOOKUP(AL$1,main!$A$3:$I$102,7,FALSE),main!$K$26:$Q$29,5,FALSE)),1,0)</f>
        <v>1</v>
      </c>
      <c r="AM281">
        <f>IF(AND(VLOOKUP(AM$1,main!$A$3:$H$102,7,FALSE)=main!$G$105,VLOOKUP(AM$1,main!$A$3:$H$102,5,FALSE)-VLOOKUP($A281,main!$A$3:$H$102,6,FALSE)&gt;=main!$D$103+VLOOKUP(VLOOKUP(AM$1,main!$A$3:$I$102,7,FALSE),main!$K$26:$Q$29,5,FALSE)),1,0)</f>
        <v>1</v>
      </c>
      <c r="AN281">
        <f>IF(AND(VLOOKUP(AN$1,main!$A$3:$H$102,7,FALSE)=main!$G$105,VLOOKUP(AN$1,main!$A$3:$H$102,5,FALSE)-VLOOKUP($A281,main!$A$3:$H$102,6,FALSE)&gt;=main!$D$103+VLOOKUP(VLOOKUP(AN$1,main!$A$3:$I$102,7,FALSE),main!$K$26:$Q$29,5,FALSE)),1,0)</f>
        <v>1</v>
      </c>
      <c r="AO281">
        <f>IF(AND(VLOOKUP(AO$1,main!$A$3:$H$102,7,FALSE)=main!$G$105,VLOOKUP(AO$1,main!$A$3:$H$102,5,FALSE)-VLOOKUP($A281,main!$A$3:$H$102,6,FALSE)&gt;=main!$D$103+VLOOKUP(VLOOKUP(AO$1,main!$A$3:$I$102,7,FALSE),main!$K$26:$Q$29,5,FALSE)),1,0)</f>
        <v>0</v>
      </c>
      <c r="AP281">
        <f>IF(AND(VLOOKUP(AP$1,main!$A$3:$H$102,7,FALSE)=main!$G$105,VLOOKUP(AP$1,main!$A$3:$H$102,5,FALSE)-VLOOKUP($A281,main!$A$3:$H$102,6,FALSE)&gt;=main!$D$103+VLOOKUP(VLOOKUP(AP$1,main!$A$3:$I$102,7,FALSE),main!$K$26:$Q$29,5,FALSE)),1,0)</f>
        <v>1</v>
      </c>
      <c r="AQ281">
        <f>IF(AND(VLOOKUP(AQ$1,main!$A$3:$H$102,7,FALSE)=main!$G$105,VLOOKUP(AQ$1,main!$A$3:$H$102,5,FALSE)-VLOOKUP($A281,main!$A$3:$H$102,6,FALSE)&gt;=main!$D$103+VLOOKUP(VLOOKUP(AQ$1,main!$A$3:$I$102,7,FALSE),main!$K$26:$Q$29,5,FALSE)),1,0)</f>
        <v>0</v>
      </c>
      <c r="AR281">
        <f>IF(AND(VLOOKUP(AR$1,main!$A$3:$H$102,7,FALSE)=main!$G$105,VLOOKUP(AR$1,main!$A$3:$H$102,5,FALSE)-VLOOKUP($A281,main!$A$3:$H$102,6,FALSE)&gt;=main!$D$103+VLOOKUP(VLOOKUP(AR$1,main!$A$3:$I$102,7,FALSE),main!$K$26:$Q$29,5,FALSE)),1,0)</f>
        <v>0</v>
      </c>
      <c r="AS281">
        <f>IF(AND(VLOOKUP(AS$1,main!$A$3:$H$102,7,FALSE)=main!$G$105,VLOOKUP(AS$1,main!$A$3:$H$102,5,FALSE)-VLOOKUP($A281,main!$A$3:$H$102,6,FALSE)&gt;=main!$D$103+VLOOKUP(VLOOKUP(AS$1,main!$A$3:$I$102,7,FALSE),main!$K$26:$Q$29,5,FALSE)),1,0)</f>
        <v>1</v>
      </c>
      <c r="AT281">
        <f>IF(AND(VLOOKUP(AT$1,main!$A$3:$H$102,7,FALSE)=main!$G$105,VLOOKUP(AT$1,main!$A$3:$H$102,5,FALSE)-VLOOKUP($A281,main!$A$3:$H$102,6,FALSE)&gt;=main!$D$103+VLOOKUP(VLOOKUP(AT$1,main!$A$3:$I$102,7,FALSE),main!$K$26:$Q$29,5,FALSE)),1,0)</f>
        <v>1</v>
      </c>
      <c r="AU281">
        <f>IF(AND(VLOOKUP(AU$1,main!$A$3:$H$102,7,FALSE)=main!$G$105,VLOOKUP(AU$1,main!$A$3:$H$102,5,FALSE)-VLOOKUP($A281,main!$A$3:$H$102,6,FALSE)&gt;=main!$D$103+VLOOKUP(VLOOKUP(AU$1,main!$A$3:$I$102,7,FALSE),main!$K$26:$Q$29,5,FALSE)),1,0)</f>
        <v>0</v>
      </c>
      <c r="AV281">
        <f>IF(AND(VLOOKUP(AV$1,main!$A$3:$H$102,7,FALSE)=main!$G$105,VLOOKUP(AV$1,main!$A$3:$H$102,5,FALSE)-VLOOKUP($A281,main!$A$3:$H$102,6,FALSE)&gt;=main!$D$103+VLOOKUP(VLOOKUP(AV$1,main!$A$3:$I$102,7,FALSE),main!$K$26:$Q$29,5,FALSE)),1,0)</f>
        <v>0</v>
      </c>
      <c r="AW281">
        <f>IF(AND(VLOOKUP(AW$1,main!$A$3:$H$102,7,FALSE)=main!$G$105,VLOOKUP(AW$1,main!$A$3:$H$102,5,FALSE)-VLOOKUP($A281,main!$A$3:$H$102,6,FALSE)&gt;=main!$D$103+VLOOKUP(VLOOKUP(AW$1,main!$A$3:$I$102,7,FALSE),main!$K$26:$Q$29,5,FALSE)),1,0)</f>
        <v>1</v>
      </c>
      <c r="AX281">
        <f>IF(AND(VLOOKUP(AX$1,main!$A$3:$H$102,7,FALSE)=main!$G$105,VLOOKUP(AX$1,main!$A$3:$H$102,5,FALSE)-VLOOKUP($A281,main!$A$3:$H$102,6,FALSE)&gt;=main!$D$103+VLOOKUP(VLOOKUP(AX$1,main!$A$3:$I$102,7,FALSE),main!$K$26:$Q$29,5,FALSE)),1,0)</f>
        <v>1</v>
      </c>
      <c r="AY281">
        <f>IF(AND(VLOOKUP(AY$1,main!$A$3:$H$102,7,FALSE)=main!$G$105,VLOOKUP(AY$1,main!$A$3:$H$102,5,FALSE)-VLOOKUP($A281,main!$A$3:$H$102,6,FALSE)&gt;=main!$D$103+VLOOKUP(VLOOKUP(AY$1,main!$A$3:$I$102,7,FALSE),main!$K$26:$Q$29,5,FALSE)),1,0)</f>
        <v>0</v>
      </c>
      <c r="AZ281">
        <f>IF(AND(VLOOKUP(AZ$1,main!$A$3:$H$102,7,FALSE)=main!$G$105,VLOOKUP(AZ$1,main!$A$3:$H$102,5,FALSE)-VLOOKUP($A281,main!$A$3:$H$102,6,FALSE)&gt;=main!$D$103+VLOOKUP(VLOOKUP(AZ$1,main!$A$3:$I$102,7,FALSE),main!$K$26:$Q$29,5,FALSE)),1,0)</f>
        <v>1</v>
      </c>
      <c r="BA281">
        <f>IF(AND(VLOOKUP(BA$1,main!$A$3:$H$102,7,FALSE)=main!$G$105,VLOOKUP(BA$1,main!$A$3:$H$102,5,FALSE)-VLOOKUP($A281,main!$A$3:$H$102,6,FALSE)&gt;=main!$D$103+VLOOKUP(VLOOKUP(BA$1,main!$A$3:$I$102,7,FALSE),main!$K$26:$Q$29,5,FALSE)),1,0)</f>
        <v>0</v>
      </c>
      <c r="BB281">
        <f>IF(AND(VLOOKUP(BB$1,main!$A$3:$H$102,7,FALSE)=main!$G$105,VLOOKUP(BB$1,main!$A$3:$H$102,5,FALSE)-VLOOKUP($A281,main!$A$3:$H$102,6,FALSE)&gt;=main!$D$103+VLOOKUP(VLOOKUP(BB$1,main!$A$3:$I$102,7,FALSE),main!$K$26:$Q$29,5,FALSE)),1,0)</f>
        <v>0</v>
      </c>
      <c r="BC281">
        <f>IF(AND(VLOOKUP(BC$1,main!$A$3:$H$102,7,FALSE)=main!$G$105,VLOOKUP(BC$1,main!$A$3:$H$102,5,FALSE)-VLOOKUP($A281,main!$A$3:$H$102,6,FALSE)&gt;=main!$D$103+VLOOKUP(VLOOKUP(BC$1,main!$A$3:$I$102,7,FALSE),main!$K$26:$Q$29,5,FALSE)),1,0)</f>
        <v>0</v>
      </c>
      <c r="BD281">
        <f>IF(AND(VLOOKUP(BD$1,main!$A$3:$H$102,7,FALSE)=main!$G$105,VLOOKUP(BD$1,main!$A$3:$H$102,5,FALSE)-VLOOKUP($A281,main!$A$3:$H$102,6,FALSE)&gt;=main!$D$103+VLOOKUP(VLOOKUP(BD$1,main!$A$3:$I$102,7,FALSE),main!$K$26:$Q$29,5,FALSE)),1,0)</f>
        <v>0</v>
      </c>
      <c r="BE281">
        <f>IF(AND(VLOOKUP(BE$1,main!$A$3:$H$102,7,FALSE)=main!$G$105,VLOOKUP(BE$1,main!$A$3:$H$102,5,FALSE)-VLOOKUP($A281,main!$A$3:$H$102,6,FALSE)&gt;=main!$D$103+VLOOKUP(VLOOKUP(BE$1,main!$A$3:$I$102,7,FALSE),main!$K$26:$Q$29,5,FALSE)),1,0)</f>
        <v>0</v>
      </c>
      <c r="BF281">
        <f>IF(AND(VLOOKUP(BF$1,main!$A$3:$H$102,7,FALSE)=main!$G$105,VLOOKUP(BF$1,main!$A$3:$H$102,5,FALSE)-VLOOKUP($A281,main!$A$3:$H$102,6,FALSE)&gt;=main!$D$103+VLOOKUP(VLOOKUP(BF$1,main!$A$3:$I$102,7,FALSE),main!$K$26:$Q$29,5,FALSE)),1,0)</f>
        <v>0</v>
      </c>
      <c r="BG281">
        <f>IF(AND(VLOOKUP(BG$1,main!$A$3:$H$102,7,FALSE)=main!$G$105,VLOOKUP(BG$1,main!$A$3:$H$102,5,FALSE)-VLOOKUP($A281,main!$A$3:$H$102,6,FALSE)&gt;=main!$D$103+VLOOKUP(VLOOKUP(BG$1,main!$A$3:$I$102,7,FALSE),main!$K$26:$Q$29,5,FALSE)),1,0)</f>
        <v>0</v>
      </c>
      <c r="BH281">
        <f>IF(AND(VLOOKUP(BH$1,main!$A$3:$H$102,7,FALSE)=main!$G$105,VLOOKUP(BH$1,main!$A$3:$H$102,5,FALSE)-VLOOKUP($A281,main!$A$3:$H$102,6,FALSE)&gt;=main!$D$103+VLOOKUP(VLOOKUP(BH$1,main!$A$3:$I$102,7,FALSE),main!$K$26:$Q$29,5,FALSE)),1,0)</f>
        <v>0</v>
      </c>
      <c r="BI281">
        <f>IF(AND(VLOOKUP(BI$1,main!$A$3:$H$102,7,FALSE)=main!$G$105,VLOOKUP(BI$1,main!$A$3:$H$102,5,FALSE)-VLOOKUP($A281,main!$A$3:$H$102,6,FALSE)&gt;=main!$D$103+VLOOKUP(VLOOKUP(BI$1,main!$A$3:$I$102,7,FALSE),main!$K$26:$Q$29,5,FALSE)),1,0)</f>
        <v>0</v>
      </c>
      <c r="BJ281">
        <f>IF(AND(VLOOKUP(BJ$1,main!$A$3:$H$102,7,FALSE)=main!$G$105,VLOOKUP(BJ$1,main!$A$3:$H$102,5,FALSE)-VLOOKUP($A281,main!$A$3:$H$102,6,FALSE)&gt;=main!$D$103+VLOOKUP(VLOOKUP(BJ$1,main!$A$3:$I$102,7,FALSE),main!$K$26:$Q$29,5,FALSE)),1,0)</f>
        <v>0</v>
      </c>
      <c r="BK281">
        <f>IF(AND(VLOOKUP(BK$1,main!$A$3:$H$102,7,FALSE)=main!$G$105,VLOOKUP(BK$1,main!$A$3:$H$102,5,FALSE)-VLOOKUP($A281,main!$A$3:$H$102,6,FALSE)&gt;=main!$D$103+VLOOKUP(VLOOKUP(BK$1,main!$A$3:$I$102,7,FALSE),main!$K$26:$Q$29,5,FALSE)),1,0)</f>
        <v>0</v>
      </c>
      <c r="BL281">
        <f>IF(AND(VLOOKUP(BL$1,main!$A$3:$H$102,7,FALSE)=main!$G$105,VLOOKUP(BL$1,main!$A$3:$H$102,5,FALSE)-VLOOKUP($A281,main!$A$3:$H$102,6,FALSE)&gt;=main!$D$103+VLOOKUP(VLOOKUP(BL$1,main!$A$3:$I$102,7,FALSE),main!$K$26:$Q$29,5,FALSE)),1,0)</f>
        <v>0</v>
      </c>
      <c r="BM281">
        <f>IF(AND(VLOOKUP(BM$1,main!$A$3:$H$102,7,FALSE)=main!$G$105,VLOOKUP(BM$1,main!$A$3:$H$102,5,FALSE)-VLOOKUP($A281,main!$A$3:$H$102,6,FALSE)&gt;=main!$D$103+VLOOKUP(VLOOKUP(BM$1,main!$A$3:$I$102,7,FALSE),main!$K$26:$Q$29,5,FALSE)),1,0)</f>
        <v>0</v>
      </c>
      <c r="BN281">
        <f>IF(AND(VLOOKUP(BN$1,main!$A$3:$H$102,7,FALSE)=main!$G$105,VLOOKUP(BN$1,main!$A$3:$H$102,5,FALSE)-VLOOKUP($A281,main!$A$3:$H$102,6,FALSE)&gt;=main!$D$103+VLOOKUP(VLOOKUP(BN$1,main!$A$3:$I$102,7,FALSE),main!$K$26:$Q$29,5,FALSE)),1,0)</f>
        <v>0</v>
      </c>
      <c r="BO281">
        <f>IF(AND(VLOOKUP(BO$1,main!$A$3:$H$102,7,FALSE)=main!$G$105,VLOOKUP(BO$1,main!$A$3:$H$102,5,FALSE)-VLOOKUP($A281,main!$A$3:$H$102,6,FALSE)&gt;=main!$D$103+VLOOKUP(VLOOKUP(BO$1,main!$A$3:$I$102,7,FALSE),main!$K$26:$Q$29,5,FALSE)),1,0)</f>
        <v>0</v>
      </c>
      <c r="BP281">
        <f>IF(AND(VLOOKUP(BP$1,main!$A$3:$H$102,7,FALSE)=main!$G$105,VLOOKUP(BP$1,main!$A$3:$H$102,5,FALSE)-VLOOKUP($A281,main!$A$3:$H$102,6,FALSE)&gt;=main!$D$103+VLOOKUP(VLOOKUP(BP$1,main!$A$3:$I$102,7,FALSE),main!$K$26:$Q$29,5,FALSE)),1,0)</f>
        <v>0</v>
      </c>
      <c r="BQ281">
        <f>IF(AND(VLOOKUP(BQ$1,main!$A$3:$H$102,7,FALSE)=main!$G$105,VLOOKUP(BQ$1,main!$A$3:$H$102,5,FALSE)-VLOOKUP($A281,main!$A$3:$H$102,6,FALSE)&gt;=main!$D$103+VLOOKUP(VLOOKUP(BQ$1,main!$A$3:$I$102,7,FALSE),main!$K$26:$Q$29,5,FALSE)),1,0)</f>
        <v>0</v>
      </c>
      <c r="BR281">
        <f>IF(AND(VLOOKUP(BR$1,main!$A$3:$H$102,7,FALSE)=main!$G$105,VLOOKUP(BR$1,main!$A$3:$H$102,5,FALSE)-VLOOKUP($A281,main!$A$3:$H$102,6,FALSE)&gt;=main!$D$103+VLOOKUP(VLOOKUP(BR$1,main!$A$3:$I$102,7,FALSE),main!$K$26:$Q$29,5,FALSE)),1,0)</f>
        <v>0</v>
      </c>
      <c r="BS281">
        <f>IF(AND(VLOOKUP(BS$1,main!$A$3:$H$102,7,FALSE)=main!$G$105,VLOOKUP(BS$1,main!$A$3:$H$102,5,FALSE)-VLOOKUP($A281,main!$A$3:$H$102,6,FALSE)&gt;=main!$D$103+VLOOKUP(VLOOKUP(BS$1,main!$A$3:$I$102,7,FALSE),main!$K$26:$Q$29,5,FALSE)),1,0)</f>
        <v>0</v>
      </c>
      <c r="BT281">
        <f>IF(AND(VLOOKUP(BT$1,main!$A$3:$H$102,7,FALSE)=main!$G$105,VLOOKUP(BT$1,main!$A$3:$H$102,5,FALSE)-VLOOKUP($A281,main!$A$3:$H$102,6,FALSE)&gt;=main!$D$103+VLOOKUP(VLOOKUP(BT$1,main!$A$3:$I$102,7,FALSE),main!$K$26:$Q$29,5,FALSE)),1,0)</f>
        <v>0</v>
      </c>
      <c r="BU281">
        <f>IF(AND(VLOOKUP(BU$1,main!$A$3:$H$102,7,FALSE)=main!$G$105,VLOOKUP(BU$1,main!$A$3:$H$102,5,FALSE)-VLOOKUP($A281,main!$A$3:$H$102,6,FALSE)&gt;=main!$D$103+VLOOKUP(VLOOKUP(BU$1,main!$A$3:$I$102,7,FALSE),main!$K$26:$Q$29,5,FALSE)),1,0)</f>
        <v>0</v>
      </c>
      <c r="BV281">
        <f>IF(AND(VLOOKUP(BV$1,main!$A$3:$H$102,7,FALSE)=main!$G$105,VLOOKUP(BV$1,main!$A$3:$H$102,5,FALSE)-VLOOKUP($A281,main!$A$3:$H$102,6,FALSE)&gt;=main!$D$103+VLOOKUP(VLOOKUP(BV$1,main!$A$3:$I$102,7,FALSE),main!$K$26:$Q$29,5,FALSE)),1,0)</f>
        <v>0</v>
      </c>
      <c r="BW281">
        <f>IF(AND(VLOOKUP(BW$1,main!$A$3:$H$102,7,FALSE)=main!$G$105,VLOOKUP(BW$1,main!$A$3:$H$102,5,FALSE)-VLOOKUP($A281,main!$A$3:$H$102,6,FALSE)&gt;=main!$D$103+VLOOKUP(VLOOKUP(BW$1,main!$A$3:$I$102,7,FALSE),main!$K$26:$Q$29,5,FALSE)),1,0)</f>
        <v>0</v>
      </c>
      <c r="BX281">
        <f>IF(AND(VLOOKUP(BX$1,main!$A$3:$H$102,7,FALSE)=main!$G$105,VLOOKUP(BX$1,main!$A$3:$H$102,5,FALSE)-VLOOKUP($A281,main!$A$3:$H$102,6,FALSE)&gt;=main!$D$103+VLOOKUP(VLOOKUP(BX$1,main!$A$3:$I$102,7,FALSE),main!$K$26:$Q$29,5,FALSE)),1,0)</f>
        <v>0</v>
      </c>
      <c r="BY281">
        <f>IF(AND(VLOOKUP(BY$1,main!$A$3:$H$102,7,FALSE)=main!$G$105,VLOOKUP(BY$1,main!$A$3:$H$102,5,FALSE)-VLOOKUP($A281,main!$A$3:$H$102,6,FALSE)&gt;=main!$D$103+VLOOKUP(VLOOKUP(BY$1,main!$A$3:$I$102,7,FALSE),main!$K$26:$Q$29,5,FALSE)),1,0)</f>
        <v>0</v>
      </c>
      <c r="BZ281">
        <f>IF(AND(VLOOKUP(BZ$1,main!$A$3:$H$102,7,FALSE)=main!$G$105,VLOOKUP(BZ$1,main!$A$3:$H$102,5,FALSE)-VLOOKUP($A281,main!$A$3:$H$102,6,FALSE)&gt;=main!$D$103+VLOOKUP(VLOOKUP(BZ$1,main!$A$3:$I$102,7,FALSE),main!$K$26:$Q$29,5,FALSE)),1,0)</f>
        <v>0</v>
      </c>
      <c r="CA281">
        <f>IF(AND(VLOOKUP(CA$1,main!$A$3:$H$102,7,FALSE)=main!$G$105,VLOOKUP(CA$1,main!$A$3:$H$102,5,FALSE)-VLOOKUP($A281,main!$A$3:$H$102,6,FALSE)&gt;=main!$D$103+VLOOKUP(VLOOKUP(CA$1,main!$A$3:$I$102,7,FALSE),main!$K$26:$Q$29,5,FALSE)),1,0)</f>
        <v>0</v>
      </c>
      <c r="CB281">
        <f>IF(AND(VLOOKUP(CB$1,main!$A$3:$H$102,7,FALSE)=main!$G$105,VLOOKUP(CB$1,main!$A$3:$H$102,5,FALSE)-VLOOKUP($A281,main!$A$3:$H$102,6,FALSE)&gt;=main!$D$103+VLOOKUP(VLOOKUP(CB$1,main!$A$3:$I$102,7,FALSE),main!$K$26:$Q$29,5,FALSE)),1,0)</f>
        <v>0</v>
      </c>
      <c r="CC281">
        <f>IF(AND(VLOOKUP(CC$1,main!$A$3:$H$102,7,FALSE)=main!$G$105,VLOOKUP(CC$1,main!$A$3:$H$102,5,FALSE)-VLOOKUP($A281,main!$A$3:$H$102,6,FALSE)&gt;=main!$D$103+VLOOKUP(VLOOKUP(CC$1,main!$A$3:$I$102,7,FALSE),main!$K$26:$Q$29,5,FALSE)),1,0)</f>
        <v>0</v>
      </c>
      <c r="CD281">
        <f>IF(AND(VLOOKUP(CD$1,main!$A$3:$H$102,7,FALSE)=main!$G$105,VLOOKUP(CD$1,main!$A$3:$H$102,5,FALSE)-VLOOKUP($A281,main!$A$3:$H$102,6,FALSE)&gt;=main!$D$103+VLOOKUP(VLOOKUP(CD$1,main!$A$3:$I$102,7,FALSE),main!$K$26:$Q$29,5,FALSE)),1,0)</f>
        <v>0</v>
      </c>
      <c r="CE281">
        <f>IF(AND(VLOOKUP(CE$1,main!$A$3:$H$102,7,FALSE)=main!$G$105,VLOOKUP(CE$1,main!$A$3:$H$102,5,FALSE)-VLOOKUP($A281,main!$A$3:$H$102,6,FALSE)&gt;=main!$D$103+VLOOKUP(VLOOKUP(CE$1,main!$A$3:$I$102,7,FALSE),main!$K$26:$Q$29,5,FALSE)),1,0)</f>
        <v>0</v>
      </c>
      <c r="CF281">
        <f>IF(AND(VLOOKUP(CF$1,main!$A$3:$H$102,7,FALSE)=main!$G$105,VLOOKUP(CF$1,main!$A$3:$H$102,5,FALSE)-VLOOKUP($A281,main!$A$3:$H$102,6,FALSE)&gt;=main!$D$103+VLOOKUP(VLOOKUP(CF$1,main!$A$3:$I$102,7,FALSE),main!$K$26:$Q$29,5,FALSE)),1,0)</f>
        <v>0</v>
      </c>
      <c r="CG281">
        <f>IF(AND(VLOOKUP(CG$1,main!$A$3:$H$102,7,FALSE)=main!$G$105,VLOOKUP(CG$1,main!$A$3:$H$102,5,FALSE)-VLOOKUP($A281,main!$A$3:$H$102,6,FALSE)&gt;=main!$D$103+VLOOKUP(VLOOKUP(CG$1,main!$A$3:$I$102,7,FALSE),main!$K$26:$Q$29,5,FALSE)),1,0)</f>
        <v>0</v>
      </c>
      <c r="CH281">
        <f>IF(AND(VLOOKUP(CH$1,main!$A$3:$H$102,7,FALSE)=main!$G$105,VLOOKUP(CH$1,main!$A$3:$H$102,5,FALSE)-VLOOKUP($A281,main!$A$3:$H$102,6,FALSE)&gt;=main!$D$103+VLOOKUP(VLOOKUP(CH$1,main!$A$3:$I$102,7,FALSE),main!$K$26:$Q$29,5,FALSE)),1,0)</f>
        <v>0</v>
      </c>
      <c r="CI281">
        <f>IF(AND(VLOOKUP(CI$1,main!$A$3:$H$102,7,FALSE)=main!$G$105,VLOOKUP(CI$1,main!$A$3:$H$102,5,FALSE)-VLOOKUP($A281,main!$A$3:$H$102,6,FALSE)&gt;=main!$D$103+VLOOKUP(VLOOKUP(CI$1,main!$A$3:$I$102,7,FALSE),main!$K$26:$Q$29,5,FALSE)),1,0)</f>
        <v>0</v>
      </c>
      <c r="CJ281">
        <f>IF(AND(VLOOKUP(CJ$1,main!$A$3:$H$102,7,FALSE)=main!$G$105,VLOOKUP(CJ$1,main!$A$3:$H$102,5,FALSE)-VLOOKUP($A281,main!$A$3:$H$102,6,FALSE)&gt;=main!$D$103+VLOOKUP(VLOOKUP(CJ$1,main!$A$3:$I$102,7,FALSE),main!$K$26:$Q$29,5,FALSE)),1,0)</f>
        <v>0</v>
      </c>
      <c r="CK281">
        <f>IF(AND(VLOOKUP(CK$1,main!$A$3:$H$102,7,FALSE)=main!$G$105,VLOOKUP(CK$1,main!$A$3:$H$102,5,FALSE)-VLOOKUP($A281,main!$A$3:$H$102,6,FALSE)&gt;=main!$D$103+VLOOKUP(VLOOKUP(CK$1,main!$A$3:$I$102,7,FALSE),main!$K$26:$Q$29,5,FALSE)),1,0)</f>
        <v>0</v>
      </c>
      <c r="CL281">
        <f>IF(AND(VLOOKUP(CL$1,main!$A$3:$H$102,7,FALSE)=main!$G$105,VLOOKUP(CL$1,main!$A$3:$H$102,5,FALSE)-VLOOKUP($A281,main!$A$3:$H$102,6,FALSE)&gt;=main!$D$103+VLOOKUP(VLOOKUP(CL$1,main!$A$3:$I$102,7,FALSE),main!$K$26:$Q$29,5,FALSE)),1,0)</f>
        <v>0</v>
      </c>
      <c r="CM281">
        <f>IF(AND(VLOOKUP(CM$1,main!$A$3:$H$102,7,FALSE)=main!$G$105,VLOOKUP(CM$1,main!$A$3:$H$102,5,FALSE)-VLOOKUP($A281,main!$A$3:$H$102,6,FALSE)&gt;=main!$D$103+VLOOKUP(VLOOKUP(CM$1,main!$A$3:$I$102,7,FALSE),main!$K$26:$Q$29,5,FALSE)),1,0)</f>
        <v>0</v>
      </c>
      <c r="CN281">
        <f>IF(AND(VLOOKUP(CN$1,main!$A$3:$H$102,7,FALSE)=main!$G$105,VLOOKUP(CN$1,main!$A$3:$H$102,5,FALSE)-VLOOKUP($A281,main!$A$3:$H$102,6,FALSE)&gt;=main!$D$103+VLOOKUP(VLOOKUP(CN$1,main!$A$3:$I$102,7,FALSE),main!$K$26:$Q$29,5,FALSE)),1,0)</f>
        <v>0</v>
      </c>
      <c r="CO281">
        <f>IF(AND(VLOOKUP(CO$1,main!$A$3:$H$102,7,FALSE)=main!$G$105,VLOOKUP(CO$1,main!$A$3:$H$102,5,FALSE)-VLOOKUP($A281,main!$A$3:$H$102,6,FALSE)&gt;=main!$D$103+VLOOKUP(VLOOKUP(CO$1,main!$A$3:$I$102,7,FALSE),main!$K$26:$Q$29,5,FALSE)),1,0)</f>
        <v>0</v>
      </c>
      <c r="CP281">
        <f>IF(AND(VLOOKUP(CP$1,main!$A$3:$H$102,7,FALSE)=main!$G$105,VLOOKUP(CP$1,main!$A$3:$H$102,5,FALSE)-VLOOKUP($A281,main!$A$3:$H$102,6,FALSE)&gt;=main!$D$103+VLOOKUP(VLOOKUP(CP$1,main!$A$3:$I$102,7,FALSE),main!$K$26:$Q$29,5,FALSE)),1,0)</f>
        <v>0</v>
      </c>
      <c r="CQ281">
        <f>IF(AND(VLOOKUP(CQ$1,main!$A$3:$H$102,7,FALSE)=main!$G$105,VLOOKUP(CQ$1,main!$A$3:$H$102,5,FALSE)-VLOOKUP($A281,main!$A$3:$H$102,6,FALSE)&gt;=main!$D$103+VLOOKUP(VLOOKUP(CQ$1,main!$A$3:$I$102,7,FALSE),main!$K$26:$Q$29,5,FALSE)),1,0)</f>
        <v>0</v>
      </c>
      <c r="CR281">
        <f>IF(AND(VLOOKUP(CR$1,main!$A$3:$H$102,7,FALSE)=main!$G$105,VLOOKUP(CR$1,main!$A$3:$H$102,5,FALSE)-VLOOKUP($A281,main!$A$3:$H$102,6,FALSE)&gt;=main!$D$103+VLOOKUP(VLOOKUP(CR$1,main!$A$3:$I$102,7,FALSE),main!$K$26:$Q$29,5,FALSE)),1,0)</f>
        <v>0</v>
      </c>
      <c r="CS281">
        <f>IF(AND(VLOOKUP(CS$1,main!$A$3:$H$102,7,FALSE)=main!$G$105,VLOOKUP(CS$1,main!$A$3:$H$102,5,FALSE)-VLOOKUP($A281,main!$A$3:$H$102,6,FALSE)&gt;=main!$D$103+VLOOKUP(VLOOKUP(CS$1,main!$A$3:$I$102,7,FALSE),main!$K$26:$Q$29,5,FALSE)),1,0)</f>
        <v>0</v>
      </c>
      <c r="CT281">
        <f>IF(AND(VLOOKUP(CT$1,main!$A$3:$H$102,7,FALSE)=main!$G$105,VLOOKUP(CT$1,main!$A$3:$H$102,5,FALSE)-VLOOKUP($A281,main!$A$3:$H$102,6,FALSE)&gt;=main!$D$103+VLOOKUP(VLOOKUP(CT$1,main!$A$3:$I$102,7,FALSE),main!$K$26:$Q$29,5,FALSE)),1,0)</f>
        <v>0</v>
      </c>
      <c r="CU281">
        <f>IF(AND(VLOOKUP(CU$1,main!$A$3:$H$102,7,FALSE)=main!$G$105,VLOOKUP(CU$1,main!$A$3:$H$102,5,FALSE)-VLOOKUP($A281,main!$A$3:$H$102,6,FALSE)&gt;=main!$D$103+VLOOKUP(VLOOKUP(CU$1,main!$A$3:$I$102,7,FALSE),main!$K$26:$Q$29,5,FALSE)),1,0)</f>
        <v>0</v>
      </c>
      <c r="CV281">
        <f>IF(AND(VLOOKUP(CV$1,main!$A$3:$H$102,7,FALSE)=main!$G$105,VLOOKUP(CV$1,main!$A$3:$H$102,5,FALSE)-VLOOKUP($A281,main!$A$3:$H$102,6,FALSE)&gt;=main!$D$103+VLOOKUP(VLOOKUP(CV$1,main!$A$3:$I$102,7,FALSE),main!$K$26:$Q$29,5,FALSE)),1,0)</f>
        <v>0</v>
      </c>
      <c r="CW281">
        <f>IF(AND(VLOOKUP(CW$1,main!$A$3:$H$102,7,FALSE)=main!$G$105,VLOOKUP(CW$1,main!$A$3:$H$102,5,FALSE)-VLOOKUP($A281,main!$A$3:$H$102,6,FALSE)&gt;=main!$D$103+VLOOKUP(VLOOKUP(CW$1,main!$A$3:$I$102,7,FALSE),main!$K$26:$Q$29,5,FALSE)),1,0)</f>
        <v>0</v>
      </c>
      <c r="CX281">
        <f>IF(AND(VLOOKUP(CX$1,main!$A$3:$H$102,7,FALSE)=main!$G$105,VLOOKUP(CX$1,main!$A$3:$H$102,5,FALSE)-VLOOKUP($A281,main!$A$3:$H$102,6,FALSE)&gt;=main!$D$103+VLOOKUP(VLOOKUP(CX$1,main!$A$3:$I$102,7,FALSE),main!$K$26:$Q$29,5,FALSE)),1,0)</f>
        <v>0</v>
      </c>
    </row>
    <row r="282" spans="1:102" x14ac:dyDescent="0.25">
      <c r="A282" s="1">
        <v>78</v>
      </c>
      <c r="B282">
        <v>0</v>
      </c>
      <c r="C282">
        <f>IF(AND(VLOOKUP(C$1,main!$A$3:$H$102,7,FALSE)=main!$G$105,VLOOKUP(C$1,main!$A$3:$H$102,5,FALSE)-VLOOKUP($A282,main!$A$3:$H$102,6,FALSE)&gt;=main!$D$103+VLOOKUP(VLOOKUP(C$1,main!$A$3:$I$102,7,FALSE),main!$K$26:$Q$29,5,FALSE)),1,0)</f>
        <v>0</v>
      </c>
      <c r="D282">
        <f>IF(AND(VLOOKUP(D$1,main!$A$3:$H$102,7,FALSE)=main!$G$105,VLOOKUP(D$1,main!$A$3:$H$102,5,FALSE)-VLOOKUP($A282,main!$A$3:$H$102,6,FALSE)&gt;=main!$D$103+VLOOKUP(VLOOKUP(D$1,main!$A$3:$I$102,7,FALSE),main!$K$26:$Q$29,5,FALSE)),1,0)</f>
        <v>0</v>
      </c>
      <c r="E282">
        <f>IF(AND(VLOOKUP(E$1,main!$A$3:$H$102,7,FALSE)=main!$G$105,VLOOKUP(E$1,main!$A$3:$H$102,5,FALSE)-VLOOKUP($A282,main!$A$3:$H$102,6,FALSE)&gt;=main!$D$103+VLOOKUP(VLOOKUP(E$1,main!$A$3:$I$102,7,FALSE),main!$K$26:$Q$29,5,FALSE)),1,0)</f>
        <v>0</v>
      </c>
      <c r="F282">
        <f>IF(AND(VLOOKUP(F$1,main!$A$3:$H$102,7,FALSE)=main!$G$105,VLOOKUP(F$1,main!$A$3:$H$102,5,FALSE)-VLOOKUP($A282,main!$A$3:$H$102,6,FALSE)&gt;=main!$D$103+VLOOKUP(VLOOKUP(F$1,main!$A$3:$I$102,7,FALSE),main!$K$26:$Q$29,5,FALSE)),1,0)</f>
        <v>0</v>
      </c>
      <c r="G282">
        <f>IF(AND(VLOOKUP(G$1,main!$A$3:$H$102,7,FALSE)=main!$G$105,VLOOKUP(G$1,main!$A$3:$H$102,5,FALSE)-VLOOKUP($A282,main!$A$3:$H$102,6,FALSE)&gt;=main!$D$103+VLOOKUP(VLOOKUP(G$1,main!$A$3:$I$102,7,FALSE),main!$K$26:$Q$29,5,FALSE)),1,0)</f>
        <v>0</v>
      </c>
      <c r="H282">
        <f>IF(AND(VLOOKUP(H$1,main!$A$3:$H$102,7,FALSE)=main!$G$105,VLOOKUP(H$1,main!$A$3:$H$102,5,FALSE)-VLOOKUP($A282,main!$A$3:$H$102,6,FALSE)&gt;=main!$D$103+VLOOKUP(VLOOKUP(H$1,main!$A$3:$I$102,7,FALSE),main!$K$26:$Q$29,5,FALSE)),1,0)</f>
        <v>0</v>
      </c>
      <c r="I282">
        <f>IF(AND(VLOOKUP(I$1,main!$A$3:$H$102,7,FALSE)=main!$G$105,VLOOKUP(I$1,main!$A$3:$H$102,5,FALSE)-VLOOKUP($A282,main!$A$3:$H$102,6,FALSE)&gt;=main!$D$103+VLOOKUP(VLOOKUP(I$1,main!$A$3:$I$102,7,FALSE),main!$K$26:$Q$29,5,FALSE)),1,0)</f>
        <v>0</v>
      </c>
      <c r="J282">
        <f>IF(AND(VLOOKUP(J$1,main!$A$3:$H$102,7,FALSE)=main!$G$105,VLOOKUP(J$1,main!$A$3:$H$102,5,FALSE)-VLOOKUP($A282,main!$A$3:$H$102,6,FALSE)&gt;=main!$D$103+VLOOKUP(VLOOKUP(J$1,main!$A$3:$I$102,7,FALSE),main!$K$26:$Q$29,5,FALSE)),1,0)</f>
        <v>0</v>
      </c>
      <c r="K282">
        <f>IF(AND(VLOOKUP(K$1,main!$A$3:$H$102,7,FALSE)=main!$G$105,VLOOKUP(K$1,main!$A$3:$H$102,5,FALSE)-VLOOKUP($A282,main!$A$3:$H$102,6,FALSE)&gt;=main!$D$103+VLOOKUP(VLOOKUP(K$1,main!$A$3:$I$102,7,FALSE),main!$K$26:$Q$29,5,FALSE)),1,0)</f>
        <v>0</v>
      </c>
      <c r="L282">
        <f>IF(AND(VLOOKUP(L$1,main!$A$3:$H$102,7,FALSE)=main!$G$105,VLOOKUP(L$1,main!$A$3:$H$102,5,FALSE)-VLOOKUP($A282,main!$A$3:$H$102,6,FALSE)&gt;=main!$D$103+VLOOKUP(VLOOKUP(L$1,main!$A$3:$I$102,7,FALSE),main!$K$26:$Q$29,5,FALSE)),1,0)</f>
        <v>0</v>
      </c>
      <c r="M282">
        <f>IF(AND(VLOOKUP(M$1,main!$A$3:$H$102,7,FALSE)=main!$G$105,VLOOKUP(M$1,main!$A$3:$H$102,5,FALSE)-VLOOKUP($A282,main!$A$3:$H$102,6,FALSE)&gt;=main!$D$103+VLOOKUP(VLOOKUP(M$1,main!$A$3:$I$102,7,FALSE),main!$K$26:$Q$29,5,FALSE)),1,0)</f>
        <v>0</v>
      </c>
      <c r="N282">
        <f>IF(AND(VLOOKUP(N$1,main!$A$3:$H$102,7,FALSE)=main!$G$105,VLOOKUP(N$1,main!$A$3:$H$102,5,FALSE)-VLOOKUP($A282,main!$A$3:$H$102,6,FALSE)&gt;=main!$D$103+VLOOKUP(VLOOKUP(N$1,main!$A$3:$I$102,7,FALSE),main!$K$26:$Q$29,5,FALSE)),1,0)</f>
        <v>0</v>
      </c>
      <c r="O282">
        <f>IF(AND(VLOOKUP(O$1,main!$A$3:$H$102,7,FALSE)=main!$G$105,VLOOKUP(O$1,main!$A$3:$H$102,5,FALSE)-VLOOKUP($A282,main!$A$3:$H$102,6,FALSE)&gt;=main!$D$103+VLOOKUP(VLOOKUP(O$1,main!$A$3:$I$102,7,FALSE),main!$K$26:$Q$29,5,FALSE)),1,0)</f>
        <v>0</v>
      </c>
      <c r="P282">
        <f>IF(AND(VLOOKUP(P$1,main!$A$3:$H$102,7,FALSE)=main!$G$105,VLOOKUP(P$1,main!$A$3:$H$102,5,FALSE)-VLOOKUP($A282,main!$A$3:$H$102,6,FALSE)&gt;=main!$D$103+VLOOKUP(VLOOKUP(P$1,main!$A$3:$I$102,7,FALSE),main!$K$26:$Q$29,5,FALSE)),1,0)</f>
        <v>0</v>
      </c>
      <c r="Q282">
        <f>IF(AND(VLOOKUP(Q$1,main!$A$3:$H$102,7,FALSE)=main!$G$105,VLOOKUP(Q$1,main!$A$3:$H$102,5,FALSE)-VLOOKUP($A282,main!$A$3:$H$102,6,FALSE)&gt;=main!$D$103+VLOOKUP(VLOOKUP(Q$1,main!$A$3:$I$102,7,FALSE),main!$K$26:$Q$29,5,FALSE)),1,0)</f>
        <v>0</v>
      </c>
      <c r="R282">
        <f>IF(AND(VLOOKUP(R$1,main!$A$3:$H$102,7,FALSE)=main!$G$105,VLOOKUP(R$1,main!$A$3:$H$102,5,FALSE)-VLOOKUP($A282,main!$A$3:$H$102,6,FALSE)&gt;=main!$D$103+VLOOKUP(VLOOKUP(R$1,main!$A$3:$I$102,7,FALSE),main!$K$26:$Q$29,5,FALSE)),1,0)</f>
        <v>0</v>
      </c>
      <c r="S282">
        <f>IF(AND(VLOOKUP(S$1,main!$A$3:$H$102,7,FALSE)=main!$G$105,VLOOKUP(S$1,main!$A$3:$H$102,5,FALSE)-VLOOKUP($A282,main!$A$3:$H$102,6,FALSE)&gt;=main!$D$103+VLOOKUP(VLOOKUP(S$1,main!$A$3:$I$102,7,FALSE),main!$K$26:$Q$29,5,FALSE)),1,0)</f>
        <v>0</v>
      </c>
      <c r="T282">
        <f>IF(AND(VLOOKUP(T$1,main!$A$3:$H$102,7,FALSE)=main!$G$105,VLOOKUP(T$1,main!$A$3:$H$102,5,FALSE)-VLOOKUP($A282,main!$A$3:$H$102,6,FALSE)&gt;=main!$D$103+VLOOKUP(VLOOKUP(T$1,main!$A$3:$I$102,7,FALSE),main!$K$26:$Q$29,5,FALSE)),1,0)</f>
        <v>0</v>
      </c>
      <c r="U282">
        <f>IF(AND(VLOOKUP(U$1,main!$A$3:$H$102,7,FALSE)=main!$G$105,VLOOKUP(U$1,main!$A$3:$H$102,5,FALSE)-VLOOKUP($A282,main!$A$3:$H$102,6,FALSE)&gt;=main!$D$103+VLOOKUP(VLOOKUP(U$1,main!$A$3:$I$102,7,FALSE),main!$K$26:$Q$29,5,FALSE)),1,0)</f>
        <v>0</v>
      </c>
      <c r="V282">
        <f>IF(AND(VLOOKUP(V$1,main!$A$3:$H$102,7,FALSE)=main!$G$105,VLOOKUP(V$1,main!$A$3:$H$102,5,FALSE)-VLOOKUP($A282,main!$A$3:$H$102,6,FALSE)&gt;=main!$D$103+VLOOKUP(VLOOKUP(V$1,main!$A$3:$I$102,7,FALSE),main!$K$26:$Q$29,5,FALSE)),1,0)</f>
        <v>0</v>
      </c>
      <c r="W282">
        <f>IF(AND(VLOOKUP(W$1,main!$A$3:$H$102,7,FALSE)=main!$G$105,VLOOKUP(W$1,main!$A$3:$H$102,5,FALSE)-VLOOKUP($A282,main!$A$3:$H$102,6,FALSE)&gt;=main!$D$103+VLOOKUP(VLOOKUP(W$1,main!$A$3:$I$102,7,FALSE),main!$K$26:$Q$29,5,FALSE)),1,0)</f>
        <v>0</v>
      </c>
      <c r="X282">
        <f>IF(AND(VLOOKUP(X$1,main!$A$3:$H$102,7,FALSE)=main!$G$105,VLOOKUP(X$1,main!$A$3:$H$102,5,FALSE)-VLOOKUP($A282,main!$A$3:$H$102,6,FALSE)&gt;=main!$D$103+VLOOKUP(VLOOKUP(X$1,main!$A$3:$I$102,7,FALSE),main!$K$26:$Q$29,5,FALSE)),1,0)</f>
        <v>0</v>
      </c>
      <c r="Y282">
        <f>IF(AND(VLOOKUP(Y$1,main!$A$3:$H$102,7,FALSE)=main!$G$105,VLOOKUP(Y$1,main!$A$3:$H$102,5,FALSE)-VLOOKUP($A282,main!$A$3:$H$102,6,FALSE)&gt;=main!$D$103+VLOOKUP(VLOOKUP(Y$1,main!$A$3:$I$102,7,FALSE),main!$K$26:$Q$29,5,FALSE)),1,0)</f>
        <v>0</v>
      </c>
      <c r="Z282">
        <f>IF(AND(VLOOKUP(Z$1,main!$A$3:$H$102,7,FALSE)=main!$G$105,VLOOKUP(Z$1,main!$A$3:$H$102,5,FALSE)-VLOOKUP($A282,main!$A$3:$H$102,6,FALSE)&gt;=main!$D$103+VLOOKUP(VLOOKUP(Z$1,main!$A$3:$I$102,7,FALSE),main!$K$26:$Q$29,5,FALSE)),1,0)</f>
        <v>0</v>
      </c>
      <c r="AA282">
        <f>IF(AND(VLOOKUP(AA$1,main!$A$3:$H$102,7,FALSE)=main!$G$105,VLOOKUP(AA$1,main!$A$3:$H$102,5,FALSE)-VLOOKUP($A282,main!$A$3:$H$102,6,FALSE)&gt;=main!$D$103+VLOOKUP(VLOOKUP(AA$1,main!$A$3:$I$102,7,FALSE),main!$K$26:$Q$29,5,FALSE)),1,0)</f>
        <v>0</v>
      </c>
      <c r="AB282">
        <f>IF(AND(VLOOKUP(AB$1,main!$A$3:$H$102,7,FALSE)=main!$G$105,VLOOKUP(AB$1,main!$A$3:$H$102,5,FALSE)-VLOOKUP($A282,main!$A$3:$H$102,6,FALSE)&gt;=main!$D$103+VLOOKUP(VLOOKUP(AB$1,main!$A$3:$I$102,7,FALSE),main!$K$26:$Q$29,5,FALSE)),1,0)</f>
        <v>0</v>
      </c>
      <c r="AC282">
        <f>IF(AND(VLOOKUP(AC$1,main!$A$3:$H$102,7,FALSE)=main!$G$105,VLOOKUP(AC$1,main!$A$3:$H$102,5,FALSE)-VLOOKUP($A282,main!$A$3:$H$102,6,FALSE)&gt;=main!$D$103+VLOOKUP(VLOOKUP(AC$1,main!$A$3:$I$102,7,FALSE),main!$K$26:$Q$29,5,FALSE)),1,0)</f>
        <v>0</v>
      </c>
      <c r="AD282">
        <f>IF(AND(VLOOKUP(AD$1,main!$A$3:$H$102,7,FALSE)=main!$G$105,VLOOKUP(AD$1,main!$A$3:$H$102,5,FALSE)-VLOOKUP($A282,main!$A$3:$H$102,6,FALSE)&gt;=main!$D$103+VLOOKUP(VLOOKUP(AD$1,main!$A$3:$I$102,7,FALSE),main!$K$26:$Q$29,5,FALSE)),1,0)</f>
        <v>0</v>
      </c>
      <c r="AE282">
        <f>IF(AND(VLOOKUP(AE$1,main!$A$3:$H$102,7,FALSE)=main!$G$105,VLOOKUP(AE$1,main!$A$3:$H$102,5,FALSE)-VLOOKUP($A282,main!$A$3:$H$102,6,FALSE)&gt;=main!$D$103+VLOOKUP(VLOOKUP(AE$1,main!$A$3:$I$102,7,FALSE),main!$K$26:$Q$29,5,FALSE)),1,0)</f>
        <v>0</v>
      </c>
      <c r="AF282">
        <f>IF(AND(VLOOKUP(AF$1,main!$A$3:$H$102,7,FALSE)=main!$G$105,VLOOKUP(AF$1,main!$A$3:$H$102,5,FALSE)-VLOOKUP($A282,main!$A$3:$H$102,6,FALSE)&gt;=main!$D$103+VLOOKUP(VLOOKUP(AF$1,main!$A$3:$I$102,7,FALSE),main!$K$26:$Q$29,5,FALSE)),1,0)</f>
        <v>0</v>
      </c>
      <c r="AG282">
        <f>IF(AND(VLOOKUP(AG$1,main!$A$3:$H$102,7,FALSE)=main!$G$105,VLOOKUP(AG$1,main!$A$3:$H$102,5,FALSE)-VLOOKUP($A282,main!$A$3:$H$102,6,FALSE)&gt;=main!$D$103+VLOOKUP(VLOOKUP(AG$1,main!$A$3:$I$102,7,FALSE),main!$K$26:$Q$29,5,FALSE)),1,0)</f>
        <v>0</v>
      </c>
      <c r="AH282">
        <f>IF(AND(VLOOKUP(AH$1,main!$A$3:$H$102,7,FALSE)=main!$G$105,VLOOKUP(AH$1,main!$A$3:$H$102,5,FALSE)-VLOOKUP($A282,main!$A$3:$H$102,6,FALSE)&gt;=main!$D$103+VLOOKUP(VLOOKUP(AH$1,main!$A$3:$I$102,7,FALSE),main!$K$26:$Q$29,5,FALSE)),1,0)</f>
        <v>0</v>
      </c>
      <c r="AI282">
        <f>IF(AND(VLOOKUP(AI$1,main!$A$3:$H$102,7,FALSE)=main!$G$105,VLOOKUP(AI$1,main!$A$3:$H$102,5,FALSE)-VLOOKUP($A282,main!$A$3:$H$102,6,FALSE)&gt;=main!$D$103+VLOOKUP(VLOOKUP(AI$1,main!$A$3:$I$102,7,FALSE),main!$K$26:$Q$29,5,FALSE)),1,0)</f>
        <v>0</v>
      </c>
      <c r="AJ282">
        <f>IF(AND(VLOOKUP(AJ$1,main!$A$3:$H$102,7,FALSE)=main!$G$105,VLOOKUP(AJ$1,main!$A$3:$H$102,5,FALSE)-VLOOKUP($A282,main!$A$3:$H$102,6,FALSE)&gt;=main!$D$103+VLOOKUP(VLOOKUP(AJ$1,main!$A$3:$I$102,7,FALSE),main!$K$26:$Q$29,5,FALSE)),1,0)</f>
        <v>0</v>
      </c>
      <c r="AK282">
        <f>IF(AND(VLOOKUP(AK$1,main!$A$3:$H$102,7,FALSE)=main!$G$105,VLOOKUP(AK$1,main!$A$3:$H$102,5,FALSE)-VLOOKUP($A282,main!$A$3:$H$102,6,FALSE)&gt;=main!$D$103+VLOOKUP(VLOOKUP(AK$1,main!$A$3:$I$102,7,FALSE),main!$K$26:$Q$29,5,FALSE)),1,0)</f>
        <v>0</v>
      </c>
      <c r="AL282">
        <f>IF(AND(VLOOKUP(AL$1,main!$A$3:$H$102,7,FALSE)=main!$G$105,VLOOKUP(AL$1,main!$A$3:$H$102,5,FALSE)-VLOOKUP($A282,main!$A$3:$H$102,6,FALSE)&gt;=main!$D$103+VLOOKUP(VLOOKUP(AL$1,main!$A$3:$I$102,7,FALSE),main!$K$26:$Q$29,5,FALSE)),1,0)</f>
        <v>0</v>
      </c>
      <c r="AM282">
        <f>IF(AND(VLOOKUP(AM$1,main!$A$3:$H$102,7,FALSE)=main!$G$105,VLOOKUP(AM$1,main!$A$3:$H$102,5,FALSE)-VLOOKUP($A282,main!$A$3:$H$102,6,FALSE)&gt;=main!$D$103+VLOOKUP(VLOOKUP(AM$1,main!$A$3:$I$102,7,FALSE),main!$K$26:$Q$29,5,FALSE)),1,0)</f>
        <v>1</v>
      </c>
      <c r="AN282">
        <f>IF(AND(VLOOKUP(AN$1,main!$A$3:$H$102,7,FALSE)=main!$G$105,VLOOKUP(AN$1,main!$A$3:$H$102,5,FALSE)-VLOOKUP($A282,main!$A$3:$H$102,6,FALSE)&gt;=main!$D$103+VLOOKUP(VLOOKUP(AN$1,main!$A$3:$I$102,7,FALSE),main!$K$26:$Q$29,5,FALSE)),1,0)</f>
        <v>1</v>
      </c>
      <c r="AO282">
        <f>IF(AND(VLOOKUP(AO$1,main!$A$3:$H$102,7,FALSE)=main!$G$105,VLOOKUP(AO$1,main!$A$3:$H$102,5,FALSE)-VLOOKUP($A282,main!$A$3:$H$102,6,FALSE)&gt;=main!$D$103+VLOOKUP(VLOOKUP(AO$1,main!$A$3:$I$102,7,FALSE),main!$K$26:$Q$29,5,FALSE)),1,0)</f>
        <v>0</v>
      </c>
      <c r="AP282">
        <f>IF(AND(VLOOKUP(AP$1,main!$A$3:$H$102,7,FALSE)=main!$G$105,VLOOKUP(AP$1,main!$A$3:$H$102,5,FALSE)-VLOOKUP($A282,main!$A$3:$H$102,6,FALSE)&gt;=main!$D$103+VLOOKUP(VLOOKUP(AP$1,main!$A$3:$I$102,7,FALSE),main!$K$26:$Q$29,5,FALSE)),1,0)</f>
        <v>1</v>
      </c>
      <c r="AQ282">
        <f>IF(AND(VLOOKUP(AQ$1,main!$A$3:$H$102,7,FALSE)=main!$G$105,VLOOKUP(AQ$1,main!$A$3:$H$102,5,FALSE)-VLOOKUP($A282,main!$A$3:$H$102,6,FALSE)&gt;=main!$D$103+VLOOKUP(VLOOKUP(AQ$1,main!$A$3:$I$102,7,FALSE),main!$K$26:$Q$29,5,FALSE)),1,0)</f>
        <v>0</v>
      </c>
      <c r="AR282">
        <f>IF(AND(VLOOKUP(AR$1,main!$A$3:$H$102,7,FALSE)=main!$G$105,VLOOKUP(AR$1,main!$A$3:$H$102,5,FALSE)-VLOOKUP($A282,main!$A$3:$H$102,6,FALSE)&gt;=main!$D$103+VLOOKUP(VLOOKUP(AR$1,main!$A$3:$I$102,7,FALSE),main!$K$26:$Q$29,5,FALSE)),1,0)</f>
        <v>0</v>
      </c>
      <c r="AS282">
        <f>IF(AND(VLOOKUP(AS$1,main!$A$3:$H$102,7,FALSE)=main!$G$105,VLOOKUP(AS$1,main!$A$3:$H$102,5,FALSE)-VLOOKUP($A282,main!$A$3:$H$102,6,FALSE)&gt;=main!$D$103+VLOOKUP(VLOOKUP(AS$1,main!$A$3:$I$102,7,FALSE),main!$K$26:$Q$29,5,FALSE)),1,0)</f>
        <v>0</v>
      </c>
      <c r="AT282">
        <f>IF(AND(VLOOKUP(AT$1,main!$A$3:$H$102,7,FALSE)=main!$G$105,VLOOKUP(AT$1,main!$A$3:$H$102,5,FALSE)-VLOOKUP($A282,main!$A$3:$H$102,6,FALSE)&gt;=main!$D$103+VLOOKUP(VLOOKUP(AT$1,main!$A$3:$I$102,7,FALSE),main!$K$26:$Q$29,5,FALSE)),1,0)</f>
        <v>0</v>
      </c>
      <c r="AU282">
        <f>IF(AND(VLOOKUP(AU$1,main!$A$3:$H$102,7,FALSE)=main!$G$105,VLOOKUP(AU$1,main!$A$3:$H$102,5,FALSE)-VLOOKUP($A282,main!$A$3:$H$102,6,FALSE)&gt;=main!$D$103+VLOOKUP(VLOOKUP(AU$1,main!$A$3:$I$102,7,FALSE),main!$K$26:$Q$29,5,FALSE)),1,0)</f>
        <v>0</v>
      </c>
      <c r="AV282">
        <f>IF(AND(VLOOKUP(AV$1,main!$A$3:$H$102,7,FALSE)=main!$G$105,VLOOKUP(AV$1,main!$A$3:$H$102,5,FALSE)-VLOOKUP($A282,main!$A$3:$H$102,6,FALSE)&gt;=main!$D$103+VLOOKUP(VLOOKUP(AV$1,main!$A$3:$I$102,7,FALSE),main!$K$26:$Q$29,5,FALSE)),1,0)</f>
        <v>0</v>
      </c>
      <c r="AW282">
        <f>IF(AND(VLOOKUP(AW$1,main!$A$3:$H$102,7,FALSE)=main!$G$105,VLOOKUP(AW$1,main!$A$3:$H$102,5,FALSE)-VLOOKUP($A282,main!$A$3:$H$102,6,FALSE)&gt;=main!$D$103+VLOOKUP(VLOOKUP(AW$1,main!$A$3:$I$102,7,FALSE),main!$K$26:$Q$29,5,FALSE)),1,0)</f>
        <v>0</v>
      </c>
      <c r="AX282">
        <f>IF(AND(VLOOKUP(AX$1,main!$A$3:$H$102,7,FALSE)=main!$G$105,VLOOKUP(AX$1,main!$A$3:$H$102,5,FALSE)-VLOOKUP($A282,main!$A$3:$H$102,6,FALSE)&gt;=main!$D$103+VLOOKUP(VLOOKUP(AX$1,main!$A$3:$I$102,7,FALSE),main!$K$26:$Q$29,5,FALSE)),1,0)</f>
        <v>0</v>
      </c>
      <c r="AY282">
        <f>IF(AND(VLOOKUP(AY$1,main!$A$3:$H$102,7,FALSE)=main!$G$105,VLOOKUP(AY$1,main!$A$3:$H$102,5,FALSE)-VLOOKUP($A282,main!$A$3:$H$102,6,FALSE)&gt;=main!$D$103+VLOOKUP(VLOOKUP(AY$1,main!$A$3:$I$102,7,FALSE),main!$K$26:$Q$29,5,FALSE)),1,0)</f>
        <v>0</v>
      </c>
      <c r="AZ282">
        <f>IF(AND(VLOOKUP(AZ$1,main!$A$3:$H$102,7,FALSE)=main!$G$105,VLOOKUP(AZ$1,main!$A$3:$H$102,5,FALSE)-VLOOKUP($A282,main!$A$3:$H$102,6,FALSE)&gt;=main!$D$103+VLOOKUP(VLOOKUP(AZ$1,main!$A$3:$I$102,7,FALSE),main!$K$26:$Q$29,5,FALSE)),1,0)</f>
        <v>0</v>
      </c>
      <c r="BA282">
        <f>IF(AND(VLOOKUP(BA$1,main!$A$3:$H$102,7,FALSE)=main!$G$105,VLOOKUP(BA$1,main!$A$3:$H$102,5,FALSE)-VLOOKUP($A282,main!$A$3:$H$102,6,FALSE)&gt;=main!$D$103+VLOOKUP(VLOOKUP(BA$1,main!$A$3:$I$102,7,FALSE),main!$K$26:$Q$29,5,FALSE)),1,0)</f>
        <v>0</v>
      </c>
      <c r="BB282">
        <f>IF(AND(VLOOKUP(BB$1,main!$A$3:$H$102,7,FALSE)=main!$G$105,VLOOKUP(BB$1,main!$A$3:$H$102,5,FALSE)-VLOOKUP($A282,main!$A$3:$H$102,6,FALSE)&gt;=main!$D$103+VLOOKUP(VLOOKUP(BB$1,main!$A$3:$I$102,7,FALSE),main!$K$26:$Q$29,5,FALSE)),1,0)</f>
        <v>0</v>
      </c>
      <c r="BC282">
        <f>IF(AND(VLOOKUP(BC$1,main!$A$3:$H$102,7,FALSE)=main!$G$105,VLOOKUP(BC$1,main!$A$3:$H$102,5,FALSE)-VLOOKUP($A282,main!$A$3:$H$102,6,FALSE)&gt;=main!$D$103+VLOOKUP(VLOOKUP(BC$1,main!$A$3:$I$102,7,FALSE),main!$K$26:$Q$29,5,FALSE)),1,0)</f>
        <v>0</v>
      </c>
      <c r="BD282">
        <f>IF(AND(VLOOKUP(BD$1,main!$A$3:$H$102,7,FALSE)=main!$G$105,VLOOKUP(BD$1,main!$A$3:$H$102,5,FALSE)-VLOOKUP($A282,main!$A$3:$H$102,6,FALSE)&gt;=main!$D$103+VLOOKUP(VLOOKUP(BD$1,main!$A$3:$I$102,7,FALSE),main!$K$26:$Q$29,5,FALSE)),1,0)</f>
        <v>0</v>
      </c>
      <c r="BE282">
        <f>IF(AND(VLOOKUP(BE$1,main!$A$3:$H$102,7,FALSE)=main!$G$105,VLOOKUP(BE$1,main!$A$3:$H$102,5,FALSE)-VLOOKUP($A282,main!$A$3:$H$102,6,FALSE)&gt;=main!$D$103+VLOOKUP(VLOOKUP(BE$1,main!$A$3:$I$102,7,FALSE),main!$K$26:$Q$29,5,FALSE)),1,0)</f>
        <v>0</v>
      </c>
      <c r="BF282">
        <f>IF(AND(VLOOKUP(BF$1,main!$A$3:$H$102,7,FALSE)=main!$G$105,VLOOKUP(BF$1,main!$A$3:$H$102,5,FALSE)-VLOOKUP($A282,main!$A$3:$H$102,6,FALSE)&gt;=main!$D$103+VLOOKUP(VLOOKUP(BF$1,main!$A$3:$I$102,7,FALSE),main!$K$26:$Q$29,5,FALSE)),1,0)</f>
        <v>0</v>
      </c>
      <c r="BG282">
        <f>IF(AND(VLOOKUP(BG$1,main!$A$3:$H$102,7,FALSE)=main!$G$105,VLOOKUP(BG$1,main!$A$3:$H$102,5,FALSE)-VLOOKUP($A282,main!$A$3:$H$102,6,FALSE)&gt;=main!$D$103+VLOOKUP(VLOOKUP(BG$1,main!$A$3:$I$102,7,FALSE),main!$K$26:$Q$29,5,FALSE)),1,0)</f>
        <v>0</v>
      </c>
      <c r="BH282">
        <f>IF(AND(VLOOKUP(BH$1,main!$A$3:$H$102,7,FALSE)=main!$G$105,VLOOKUP(BH$1,main!$A$3:$H$102,5,FALSE)-VLOOKUP($A282,main!$A$3:$H$102,6,FALSE)&gt;=main!$D$103+VLOOKUP(VLOOKUP(BH$1,main!$A$3:$I$102,7,FALSE),main!$K$26:$Q$29,5,FALSE)),1,0)</f>
        <v>0</v>
      </c>
      <c r="BI282">
        <f>IF(AND(VLOOKUP(BI$1,main!$A$3:$H$102,7,FALSE)=main!$G$105,VLOOKUP(BI$1,main!$A$3:$H$102,5,FALSE)-VLOOKUP($A282,main!$A$3:$H$102,6,FALSE)&gt;=main!$D$103+VLOOKUP(VLOOKUP(BI$1,main!$A$3:$I$102,7,FALSE),main!$K$26:$Q$29,5,FALSE)),1,0)</f>
        <v>0</v>
      </c>
      <c r="BJ282">
        <f>IF(AND(VLOOKUP(BJ$1,main!$A$3:$H$102,7,FALSE)=main!$G$105,VLOOKUP(BJ$1,main!$A$3:$H$102,5,FALSE)-VLOOKUP($A282,main!$A$3:$H$102,6,FALSE)&gt;=main!$D$103+VLOOKUP(VLOOKUP(BJ$1,main!$A$3:$I$102,7,FALSE),main!$K$26:$Q$29,5,FALSE)),1,0)</f>
        <v>0</v>
      </c>
      <c r="BK282">
        <f>IF(AND(VLOOKUP(BK$1,main!$A$3:$H$102,7,FALSE)=main!$G$105,VLOOKUP(BK$1,main!$A$3:$H$102,5,FALSE)-VLOOKUP($A282,main!$A$3:$H$102,6,FALSE)&gt;=main!$D$103+VLOOKUP(VLOOKUP(BK$1,main!$A$3:$I$102,7,FALSE),main!$K$26:$Q$29,5,FALSE)),1,0)</f>
        <v>0</v>
      </c>
      <c r="BL282">
        <f>IF(AND(VLOOKUP(BL$1,main!$A$3:$H$102,7,FALSE)=main!$G$105,VLOOKUP(BL$1,main!$A$3:$H$102,5,FALSE)-VLOOKUP($A282,main!$A$3:$H$102,6,FALSE)&gt;=main!$D$103+VLOOKUP(VLOOKUP(BL$1,main!$A$3:$I$102,7,FALSE),main!$K$26:$Q$29,5,FALSE)),1,0)</f>
        <v>0</v>
      </c>
      <c r="BM282">
        <f>IF(AND(VLOOKUP(BM$1,main!$A$3:$H$102,7,FALSE)=main!$G$105,VLOOKUP(BM$1,main!$A$3:$H$102,5,FALSE)-VLOOKUP($A282,main!$A$3:$H$102,6,FALSE)&gt;=main!$D$103+VLOOKUP(VLOOKUP(BM$1,main!$A$3:$I$102,7,FALSE),main!$K$26:$Q$29,5,FALSE)),1,0)</f>
        <v>0</v>
      </c>
      <c r="BN282">
        <f>IF(AND(VLOOKUP(BN$1,main!$A$3:$H$102,7,FALSE)=main!$G$105,VLOOKUP(BN$1,main!$A$3:$H$102,5,FALSE)-VLOOKUP($A282,main!$A$3:$H$102,6,FALSE)&gt;=main!$D$103+VLOOKUP(VLOOKUP(BN$1,main!$A$3:$I$102,7,FALSE),main!$K$26:$Q$29,5,FALSE)),1,0)</f>
        <v>0</v>
      </c>
      <c r="BO282">
        <f>IF(AND(VLOOKUP(BO$1,main!$A$3:$H$102,7,FALSE)=main!$G$105,VLOOKUP(BO$1,main!$A$3:$H$102,5,FALSE)-VLOOKUP($A282,main!$A$3:$H$102,6,FALSE)&gt;=main!$D$103+VLOOKUP(VLOOKUP(BO$1,main!$A$3:$I$102,7,FALSE),main!$K$26:$Q$29,5,FALSE)),1,0)</f>
        <v>0</v>
      </c>
      <c r="BP282">
        <f>IF(AND(VLOOKUP(BP$1,main!$A$3:$H$102,7,FALSE)=main!$G$105,VLOOKUP(BP$1,main!$A$3:$H$102,5,FALSE)-VLOOKUP($A282,main!$A$3:$H$102,6,FALSE)&gt;=main!$D$103+VLOOKUP(VLOOKUP(BP$1,main!$A$3:$I$102,7,FALSE),main!$K$26:$Q$29,5,FALSE)),1,0)</f>
        <v>0</v>
      </c>
      <c r="BQ282">
        <f>IF(AND(VLOOKUP(BQ$1,main!$A$3:$H$102,7,FALSE)=main!$G$105,VLOOKUP(BQ$1,main!$A$3:$H$102,5,FALSE)-VLOOKUP($A282,main!$A$3:$H$102,6,FALSE)&gt;=main!$D$103+VLOOKUP(VLOOKUP(BQ$1,main!$A$3:$I$102,7,FALSE),main!$K$26:$Q$29,5,FALSE)),1,0)</f>
        <v>0</v>
      </c>
      <c r="BR282">
        <f>IF(AND(VLOOKUP(BR$1,main!$A$3:$H$102,7,FALSE)=main!$G$105,VLOOKUP(BR$1,main!$A$3:$H$102,5,FALSE)-VLOOKUP($A282,main!$A$3:$H$102,6,FALSE)&gt;=main!$D$103+VLOOKUP(VLOOKUP(BR$1,main!$A$3:$I$102,7,FALSE),main!$K$26:$Q$29,5,FALSE)),1,0)</f>
        <v>0</v>
      </c>
      <c r="BS282">
        <f>IF(AND(VLOOKUP(BS$1,main!$A$3:$H$102,7,FALSE)=main!$G$105,VLOOKUP(BS$1,main!$A$3:$H$102,5,FALSE)-VLOOKUP($A282,main!$A$3:$H$102,6,FALSE)&gt;=main!$D$103+VLOOKUP(VLOOKUP(BS$1,main!$A$3:$I$102,7,FALSE),main!$K$26:$Q$29,5,FALSE)),1,0)</f>
        <v>0</v>
      </c>
      <c r="BT282">
        <f>IF(AND(VLOOKUP(BT$1,main!$A$3:$H$102,7,FALSE)=main!$G$105,VLOOKUP(BT$1,main!$A$3:$H$102,5,FALSE)-VLOOKUP($A282,main!$A$3:$H$102,6,FALSE)&gt;=main!$D$103+VLOOKUP(VLOOKUP(BT$1,main!$A$3:$I$102,7,FALSE),main!$K$26:$Q$29,5,FALSE)),1,0)</f>
        <v>0</v>
      </c>
      <c r="BU282">
        <f>IF(AND(VLOOKUP(BU$1,main!$A$3:$H$102,7,FALSE)=main!$G$105,VLOOKUP(BU$1,main!$A$3:$H$102,5,FALSE)-VLOOKUP($A282,main!$A$3:$H$102,6,FALSE)&gt;=main!$D$103+VLOOKUP(VLOOKUP(BU$1,main!$A$3:$I$102,7,FALSE),main!$K$26:$Q$29,5,FALSE)),1,0)</f>
        <v>0</v>
      </c>
      <c r="BV282">
        <f>IF(AND(VLOOKUP(BV$1,main!$A$3:$H$102,7,FALSE)=main!$G$105,VLOOKUP(BV$1,main!$A$3:$H$102,5,FALSE)-VLOOKUP($A282,main!$A$3:$H$102,6,FALSE)&gt;=main!$D$103+VLOOKUP(VLOOKUP(BV$1,main!$A$3:$I$102,7,FALSE),main!$K$26:$Q$29,5,FALSE)),1,0)</f>
        <v>0</v>
      </c>
      <c r="BW282">
        <f>IF(AND(VLOOKUP(BW$1,main!$A$3:$H$102,7,FALSE)=main!$G$105,VLOOKUP(BW$1,main!$A$3:$H$102,5,FALSE)-VLOOKUP($A282,main!$A$3:$H$102,6,FALSE)&gt;=main!$D$103+VLOOKUP(VLOOKUP(BW$1,main!$A$3:$I$102,7,FALSE),main!$K$26:$Q$29,5,FALSE)),1,0)</f>
        <v>0</v>
      </c>
      <c r="BX282">
        <f>IF(AND(VLOOKUP(BX$1,main!$A$3:$H$102,7,FALSE)=main!$G$105,VLOOKUP(BX$1,main!$A$3:$H$102,5,FALSE)-VLOOKUP($A282,main!$A$3:$H$102,6,FALSE)&gt;=main!$D$103+VLOOKUP(VLOOKUP(BX$1,main!$A$3:$I$102,7,FALSE),main!$K$26:$Q$29,5,FALSE)),1,0)</f>
        <v>0</v>
      </c>
      <c r="BY282">
        <f>IF(AND(VLOOKUP(BY$1,main!$A$3:$H$102,7,FALSE)=main!$G$105,VLOOKUP(BY$1,main!$A$3:$H$102,5,FALSE)-VLOOKUP($A282,main!$A$3:$H$102,6,FALSE)&gt;=main!$D$103+VLOOKUP(VLOOKUP(BY$1,main!$A$3:$I$102,7,FALSE),main!$K$26:$Q$29,5,FALSE)),1,0)</f>
        <v>0</v>
      </c>
      <c r="BZ282">
        <f>IF(AND(VLOOKUP(BZ$1,main!$A$3:$H$102,7,FALSE)=main!$G$105,VLOOKUP(BZ$1,main!$A$3:$H$102,5,FALSE)-VLOOKUP($A282,main!$A$3:$H$102,6,FALSE)&gt;=main!$D$103+VLOOKUP(VLOOKUP(BZ$1,main!$A$3:$I$102,7,FALSE),main!$K$26:$Q$29,5,FALSE)),1,0)</f>
        <v>0</v>
      </c>
      <c r="CA282">
        <f>IF(AND(VLOOKUP(CA$1,main!$A$3:$H$102,7,FALSE)=main!$G$105,VLOOKUP(CA$1,main!$A$3:$H$102,5,FALSE)-VLOOKUP($A282,main!$A$3:$H$102,6,FALSE)&gt;=main!$D$103+VLOOKUP(VLOOKUP(CA$1,main!$A$3:$I$102,7,FALSE),main!$K$26:$Q$29,5,FALSE)),1,0)</f>
        <v>0</v>
      </c>
      <c r="CB282">
        <f>IF(AND(VLOOKUP(CB$1,main!$A$3:$H$102,7,FALSE)=main!$G$105,VLOOKUP(CB$1,main!$A$3:$H$102,5,FALSE)-VLOOKUP($A282,main!$A$3:$H$102,6,FALSE)&gt;=main!$D$103+VLOOKUP(VLOOKUP(CB$1,main!$A$3:$I$102,7,FALSE),main!$K$26:$Q$29,5,FALSE)),1,0)</f>
        <v>0</v>
      </c>
      <c r="CC282">
        <f>IF(AND(VLOOKUP(CC$1,main!$A$3:$H$102,7,FALSE)=main!$G$105,VLOOKUP(CC$1,main!$A$3:$H$102,5,FALSE)-VLOOKUP($A282,main!$A$3:$H$102,6,FALSE)&gt;=main!$D$103+VLOOKUP(VLOOKUP(CC$1,main!$A$3:$I$102,7,FALSE),main!$K$26:$Q$29,5,FALSE)),1,0)</f>
        <v>0</v>
      </c>
      <c r="CD282">
        <f>IF(AND(VLOOKUP(CD$1,main!$A$3:$H$102,7,FALSE)=main!$G$105,VLOOKUP(CD$1,main!$A$3:$H$102,5,FALSE)-VLOOKUP($A282,main!$A$3:$H$102,6,FALSE)&gt;=main!$D$103+VLOOKUP(VLOOKUP(CD$1,main!$A$3:$I$102,7,FALSE),main!$K$26:$Q$29,5,FALSE)),1,0)</f>
        <v>0</v>
      </c>
      <c r="CE282">
        <f>IF(AND(VLOOKUP(CE$1,main!$A$3:$H$102,7,FALSE)=main!$G$105,VLOOKUP(CE$1,main!$A$3:$H$102,5,FALSE)-VLOOKUP($A282,main!$A$3:$H$102,6,FALSE)&gt;=main!$D$103+VLOOKUP(VLOOKUP(CE$1,main!$A$3:$I$102,7,FALSE),main!$K$26:$Q$29,5,FALSE)),1,0)</f>
        <v>0</v>
      </c>
      <c r="CF282">
        <f>IF(AND(VLOOKUP(CF$1,main!$A$3:$H$102,7,FALSE)=main!$G$105,VLOOKUP(CF$1,main!$A$3:$H$102,5,FALSE)-VLOOKUP($A282,main!$A$3:$H$102,6,FALSE)&gt;=main!$D$103+VLOOKUP(VLOOKUP(CF$1,main!$A$3:$I$102,7,FALSE),main!$K$26:$Q$29,5,FALSE)),1,0)</f>
        <v>0</v>
      </c>
      <c r="CG282">
        <f>IF(AND(VLOOKUP(CG$1,main!$A$3:$H$102,7,FALSE)=main!$G$105,VLOOKUP(CG$1,main!$A$3:$H$102,5,FALSE)-VLOOKUP($A282,main!$A$3:$H$102,6,FALSE)&gt;=main!$D$103+VLOOKUP(VLOOKUP(CG$1,main!$A$3:$I$102,7,FALSE),main!$K$26:$Q$29,5,FALSE)),1,0)</f>
        <v>0</v>
      </c>
      <c r="CH282">
        <f>IF(AND(VLOOKUP(CH$1,main!$A$3:$H$102,7,FALSE)=main!$G$105,VLOOKUP(CH$1,main!$A$3:$H$102,5,FALSE)-VLOOKUP($A282,main!$A$3:$H$102,6,FALSE)&gt;=main!$D$103+VLOOKUP(VLOOKUP(CH$1,main!$A$3:$I$102,7,FALSE),main!$K$26:$Q$29,5,FALSE)),1,0)</f>
        <v>0</v>
      </c>
      <c r="CI282">
        <f>IF(AND(VLOOKUP(CI$1,main!$A$3:$H$102,7,FALSE)=main!$G$105,VLOOKUP(CI$1,main!$A$3:$H$102,5,FALSE)-VLOOKUP($A282,main!$A$3:$H$102,6,FALSE)&gt;=main!$D$103+VLOOKUP(VLOOKUP(CI$1,main!$A$3:$I$102,7,FALSE),main!$K$26:$Q$29,5,FALSE)),1,0)</f>
        <v>0</v>
      </c>
      <c r="CJ282">
        <f>IF(AND(VLOOKUP(CJ$1,main!$A$3:$H$102,7,FALSE)=main!$G$105,VLOOKUP(CJ$1,main!$A$3:$H$102,5,FALSE)-VLOOKUP($A282,main!$A$3:$H$102,6,FALSE)&gt;=main!$D$103+VLOOKUP(VLOOKUP(CJ$1,main!$A$3:$I$102,7,FALSE),main!$K$26:$Q$29,5,FALSE)),1,0)</f>
        <v>0</v>
      </c>
      <c r="CK282">
        <f>IF(AND(VLOOKUP(CK$1,main!$A$3:$H$102,7,FALSE)=main!$G$105,VLOOKUP(CK$1,main!$A$3:$H$102,5,FALSE)-VLOOKUP($A282,main!$A$3:$H$102,6,FALSE)&gt;=main!$D$103+VLOOKUP(VLOOKUP(CK$1,main!$A$3:$I$102,7,FALSE),main!$K$26:$Q$29,5,FALSE)),1,0)</f>
        <v>0</v>
      </c>
      <c r="CL282">
        <f>IF(AND(VLOOKUP(CL$1,main!$A$3:$H$102,7,FALSE)=main!$G$105,VLOOKUP(CL$1,main!$A$3:$H$102,5,FALSE)-VLOOKUP($A282,main!$A$3:$H$102,6,FALSE)&gt;=main!$D$103+VLOOKUP(VLOOKUP(CL$1,main!$A$3:$I$102,7,FALSE),main!$K$26:$Q$29,5,FALSE)),1,0)</f>
        <v>0</v>
      </c>
      <c r="CM282">
        <f>IF(AND(VLOOKUP(CM$1,main!$A$3:$H$102,7,FALSE)=main!$G$105,VLOOKUP(CM$1,main!$A$3:$H$102,5,FALSE)-VLOOKUP($A282,main!$A$3:$H$102,6,FALSE)&gt;=main!$D$103+VLOOKUP(VLOOKUP(CM$1,main!$A$3:$I$102,7,FALSE),main!$K$26:$Q$29,5,FALSE)),1,0)</f>
        <v>0</v>
      </c>
      <c r="CN282">
        <f>IF(AND(VLOOKUP(CN$1,main!$A$3:$H$102,7,FALSE)=main!$G$105,VLOOKUP(CN$1,main!$A$3:$H$102,5,FALSE)-VLOOKUP($A282,main!$A$3:$H$102,6,FALSE)&gt;=main!$D$103+VLOOKUP(VLOOKUP(CN$1,main!$A$3:$I$102,7,FALSE),main!$K$26:$Q$29,5,FALSE)),1,0)</f>
        <v>0</v>
      </c>
      <c r="CO282">
        <f>IF(AND(VLOOKUP(CO$1,main!$A$3:$H$102,7,FALSE)=main!$G$105,VLOOKUP(CO$1,main!$A$3:$H$102,5,FALSE)-VLOOKUP($A282,main!$A$3:$H$102,6,FALSE)&gt;=main!$D$103+VLOOKUP(VLOOKUP(CO$1,main!$A$3:$I$102,7,FALSE),main!$K$26:$Q$29,5,FALSE)),1,0)</f>
        <v>0</v>
      </c>
      <c r="CP282">
        <f>IF(AND(VLOOKUP(CP$1,main!$A$3:$H$102,7,FALSE)=main!$G$105,VLOOKUP(CP$1,main!$A$3:$H$102,5,FALSE)-VLOOKUP($A282,main!$A$3:$H$102,6,FALSE)&gt;=main!$D$103+VLOOKUP(VLOOKUP(CP$1,main!$A$3:$I$102,7,FALSE),main!$K$26:$Q$29,5,FALSE)),1,0)</f>
        <v>0</v>
      </c>
      <c r="CQ282">
        <f>IF(AND(VLOOKUP(CQ$1,main!$A$3:$H$102,7,FALSE)=main!$G$105,VLOOKUP(CQ$1,main!$A$3:$H$102,5,FALSE)-VLOOKUP($A282,main!$A$3:$H$102,6,FALSE)&gt;=main!$D$103+VLOOKUP(VLOOKUP(CQ$1,main!$A$3:$I$102,7,FALSE),main!$K$26:$Q$29,5,FALSE)),1,0)</f>
        <v>0</v>
      </c>
      <c r="CR282">
        <f>IF(AND(VLOOKUP(CR$1,main!$A$3:$H$102,7,FALSE)=main!$G$105,VLOOKUP(CR$1,main!$A$3:$H$102,5,FALSE)-VLOOKUP($A282,main!$A$3:$H$102,6,FALSE)&gt;=main!$D$103+VLOOKUP(VLOOKUP(CR$1,main!$A$3:$I$102,7,FALSE),main!$K$26:$Q$29,5,FALSE)),1,0)</f>
        <v>0</v>
      </c>
      <c r="CS282">
        <f>IF(AND(VLOOKUP(CS$1,main!$A$3:$H$102,7,FALSE)=main!$G$105,VLOOKUP(CS$1,main!$A$3:$H$102,5,FALSE)-VLOOKUP($A282,main!$A$3:$H$102,6,FALSE)&gt;=main!$D$103+VLOOKUP(VLOOKUP(CS$1,main!$A$3:$I$102,7,FALSE),main!$K$26:$Q$29,5,FALSE)),1,0)</f>
        <v>0</v>
      </c>
      <c r="CT282">
        <f>IF(AND(VLOOKUP(CT$1,main!$A$3:$H$102,7,FALSE)=main!$G$105,VLOOKUP(CT$1,main!$A$3:$H$102,5,FALSE)-VLOOKUP($A282,main!$A$3:$H$102,6,FALSE)&gt;=main!$D$103+VLOOKUP(VLOOKUP(CT$1,main!$A$3:$I$102,7,FALSE),main!$K$26:$Q$29,5,FALSE)),1,0)</f>
        <v>0</v>
      </c>
      <c r="CU282">
        <f>IF(AND(VLOOKUP(CU$1,main!$A$3:$H$102,7,FALSE)=main!$G$105,VLOOKUP(CU$1,main!$A$3:$H$102,5,FALSE)-VLOOKUP($A282,main!$A$3:$H$102,6,FALSE)&gt;=main!$D$103+VLOOKUP(VLOOKUP(CU$1,main!$A$3:$I$102,7,FALSE),main!$K$26:$Q$29,5,FALSE)),1,0)</f>
        <v>0</v>
      </c>
      <c r="CV282">
        <f>IF(AND(VLOOKUP(CV$1,main!$A$3:$H$102,7,FALSE)=main!$G$105,VLOOKUP(CV$1,main!$A$3:$H$102,5,FALSE)-VLOOKUP($A282,main!$A$3:$H$102,6,FALSE)&gt;=main!$D$103+VLOOKUP(VLOOKUP(CV$1,main!$A$3:$I$102,7,FALSE),main!$K$26:$Q$29,5,FALSE)),1,0)</f>
        <v>0</v>
      </c>
      <c r="CW282">
        <f>IF(AND(VLOOKUP(CW$1,main!$A$3:$H$102,7,FALSE)=main!$G$105,VLOOKUP(CW$1,main!$A$3:$H$102,5,FALSE)-VLOOKUP($A282,main!$A$3:$H$102,6,FALSE)&gt;=main!$D$103+VLOOKUP(VLOOKUP(CW$1,main!$A$3:$I$102,7,FALSE),main!$K$26:$Q$29,5,FALSE)),1,0)</f>
        <v>0</v>
      </c>
      <c r="CX282">
        <f>IF(AND(VLOOKUP(CX$1,main!$A$3:$H$102,7,FALSE)=main!$G$105,VLOOKUP(CX$1,main!$A$3:$H$102,5,FALSE)-VLOOKUP($A282,main!$A$3:$H$102,6,FALSE)&gt;=main!$D$103+VLOOKUP(VLOOKUP(CX$1,main!$A$3:$I$102,7,FALSE),main!$K$26:$Q$29,5,FALSE)),1,0)</f>
        <v>0</v>
      </c>
    </row>
    <row r="283" spans="1:102" x14ac:dyDescent="0.25">
      <c r="A283" s="1">
        <v>79</v>
      </c>
      <c r="B283">
        <v>0</v>
      </c>
      <c r="C283">
        <f>IF(AND(VLOOKUP(C$1,main!$A$3:$H$102,7,FALSE)=main!$G$105,VLOOKUP(C$1,main!$A$3:$H$102,5,FALSE)-VLOOKUP($A283,main!$A$3:$H$102,6,FALSE)&gt;=main!$D$103+VLOOKUP(VLOOKUP(C$1,main!$A$3:$I$102,7,FALSE),main!$K$26:$Q$29,5,FALSE)),1,0)</f>
        <v>0</v>
      </c>
      <c r="D283">
        <f>IF(AND(VLOOKUP(D$1,main!$A$3:$H$102,7,FALSE)=main!$G$105,VLOOKUP(D$1,main!$A$3:$H$102,5,FALSE)-VLOOKUP($A283,main!$A$3:$H$102,6,FALSE)&gt;=main!$D$103+VLOOKUP(VLOOKUP(D$1,main!$A$3:$I$102,7,FALSE),main!$K$26:$Q$29,5,FALSE)),1,0)</f>
        <v>0</v>
      </c>
      <c r="E283">
        <f>IF(AND(VLOOKUP(E$1,main!$A$3:$H$102,7,FALSE)=main!$G$105,VLOOKUP(E$1,main!$A$3:$H$102,5,FALSE)-VLOOKUP($A283,main!$A$3:$H$102,6,FALSE)&gt;=main!$D$103+VLOOKUP(VLOOKUP(E$1,main!$A$3:$I$102,7,FALSE),main!$K$26:$Q$29,5,FALSE)),1,0)</f>
        <v>0</v>
      </c>
      <c r="F283">
        <f>IF(AND(VLOOKUP(F$1,main!$A$3:$H$102,7,FALSE)=main!$G$105,VLOOKUP(F$1,main!$A$3:$H$102,5,FALSE)-VLOOKUP($A283,main!$A$3:$H$102,6,FALSE)&gt;=main!$D$103+VLOOKUP(VLOOKUP(F$1,main!$A$3:$I$102,7,FALSE),main!$K$26:$Q$29,5,FALSE)),1,0)</f>
        <v>0</v>
      </c>
      <c r="G283">
        <f>IF(AND(VLOOKUP(G$1,main!$A$3:$H$102,7,FALSE)=main!$G$105,VLOOKUP(G$1,main!$A$3:$H$102,5,FALSE)-VLOOKUP($A283,main!$A$3:$H$102,6,FALSE)&gt;=main!$D$103+VLOOKUP(VLOOKUP(G$1,main!$A$3:$I$102,7,FALSE),main!$K$26:$Q$29,5,FALSE)),1,0)</f>
        <v>0</v>
      </c>
      <c r="H283">
        <f>IF(AND(VLOOKUP(H$1,main!$A$3:$H$102,7,FALSE)=main!$G$105,VLOOKUP(H$1,main!$A$3:$H$102,5,FALSE)-VLOOKUP($A283,main!$A$3:$H$102,6,FALSE)&gt;=main!$D$103+VLOOKUP(VLOOKUP(H$1,main!$A$3:$I$102,7,FALSE),main!$K$26:$Q$29,5,FALSE)),1,0)</f>
        <v>0</v>
      </c>
      <c r="I283">
        <f>IF(AND(VLOOKUP(I$1,main!$A$3:$H$102,7,FALSE)=main!$G$105,VLOOKUP(I$1,main!$A$3:$H$102,5,FALSE)-VLOOKUP($A283,main!$A$3:$H$102,6,FALSE)&gt;=main!$D$103+VLOOKUP(VLOOKUP(I$1,main!$A$3:$I$102,7,FALSE),main!$K$26:$Q$29,5,FALSE)),1,0)</f>
        <v>0</v>
      </c>
      <c r="J283">
        <f>IF(AND(VLOOKUP(J$1,main!$A$3:$H$102,7,FALSE)=main!$G$105,VLOOKUP(J$1,main!$A$3:$H$102,5,FALSE)-VLOOKUP($A283,main!$A$3:$H$102,6,FALSE)&gt;=main!$D$103+VLOOKUP(VLOOKUP(J$1,main!$A$3:$I$102,7,FALSE),main!$K$26:$Q$29,5,FALSE)),1,0)</f>
        <v>0</v>
      </c>
      <c r="K283">
        <f>IF(AND(VLOOKUP(K$1,main!$A$3:$H$102,7,FALSE)=main!$G$105,VLOOKUP(K$1,main!$A$3:$H$102,5,FALSE)-VLOOKUP($A283,main!$A$3:$H$102,6,FALSE)&gt;=main!$D$103+VLOOKUP(VLOOKUP(K$1,main!$A$3:$I$102,7,FALSE),main!$K$26:$Q$29,5,FALSE)),1,0)</f>
        <v>0</v>
      </c>
      <c r="L283">
        <f>IF(AND(VLOOKUP(L$1,main!$A$3:$H$102,7,FALSE)=main!$G$105,VLOOKUP(L$1,main!$A$3:$H$102,5,FALSE)-VLOOKUP($A283,main!$A$3:$H$102,6,FALSE)&gt;=main!$D$103+VLOOKUP(VLOOKUP(L$1,main!$A$3:$I$102,7,FALSE),main!$K$26:$Q$29,5,FALSE)),1,0)</f>
        <v>0</v>
      </c>
      <c r="M283">
        <f>IF(AND(VLOOKUP(M$1,main!$A$3:$H$102,7,FALSE)=main!$G$105,VLOOKUP(M$1,main!$A$3:$H$102,5,FALSE)-VLOOKUP($A283,main!$A$3:$H$102,6,FALSE)&gt;=main!$D$103+VLOOKUP(VLOOKUP(M$1,main!$A$3:$I$102,7,FALSE),main!$K$26:$Q$29,5,FALSE)),1,0)</f>
        <v>0</v>
      </c>
      <c r="N283">
        <f>IF(AND(VLOOKUP(N$1,main!$A$3:$H$102,7,FALSE)=main!$G$105,VLOOKUP(N$1,main!$A$3:$H$102,5,FALSE)-VLOOKUP($A283,main!$A$3:$H$102,6,FALSE)&gt;=main!$D$103+VLOOKUP(VLOOKUP(N$1,main!$A$3:$I$102,7,FALSE),main!$K$26:$Q$29,5,FALSE)),1,0)</f>
        <v>0</v>
      </c>
      <c r="O283">
        <f>IF(AND(VLOOKUP(O$1,main!$A$3:$H$102,7,FALSE)=main!$G$105,VLOOKUP(O$1,main!$A$3:$H$102,5,FALSE)-VLOOKUP($A283,main!$A$3:$H$102,6,FALSE)&gt;=main!$D$103+VLOOKUP(VLOOKUP(O$1,main!$A$3:$I$102,7,FALSE),main!$K$26:$Q$29,5,FALSE)),1,0)</f>
        <v>0</v>
      </c>
      <c r="P283">
        <f>IF(AND(VLOOKUP(P$1,main!$A$3:$H$102,7,FALSE)=main!$G$105,VLOOKUP(P$1,main!$A$3:$H$102,5,FALSE)-VLOOKUP($A283,main!$A$3:$H$102,6,FALSE)&gt;=main!$D$103+VLOOKUP(VLOOKUP(P$1,main!$A$3:$I$102,7,FALSE),main!$K$26:$Q$29,5,FALSE)),1,0)</f>
        <v>0</v>
      </c>
      <c r="Q283">
        <f>IF(AND(VLOOKUP(Q$1,main!$A$3:$H$102,7,FALSE)=main!$G$105,VLOOKUP(Q$1,main!$A$3:$H$102,5,FALSE)-VLOOKUP($A283,main!$A$3:$H$102,6,FALSE)&gt;=main!$D$103+VLOOKUP(VLOOKUP(Q$1,main!$A$3:$I$102,7,FALSE),main!$K$26:$Q$29,5,FALSE)),1,0)</f>
        <v>0</v>
      </c>
      <c r="R283">
        <f>IF(AND(VLOOKUP(R$1,main!$A$3:$H$102,7,FALSE)=main!$G$105,VLOOKUP(R$1,main!$A$3:$H$102,5,FALSE)-VLOOKUP($A283,main!$A$3:$H$102,6,FALSE)&gt;=main!$D$103+VLOOKUP(VLOOKUP(R$1,main!$A$3:$I$102,7,FALSE),main!$K$26:$Q$29,5,FALSE)),1,0)</f>
        <v>0</v>
      </c>
      <c r="S283">
        <f>IF(AND(VLOOKUP(S$1,main!$A$3:$H$102,7,FALSE)=main!$G$105,VLOOKUP(S$1,main!$A$3:$H$102,5,FALSE)-VLOOKUP($A283,main!$A$3:$H$102,6,FALSE)&gt;=main!$D$103+VLOOKUP(VLOOKUP(S$1,main!$A$3:$I$102,7,FALSE),main!$K$26:$Q$29,5,FALSE)),1,0)</f>
        <v>0</v>
      </c>
      <c r="T283">
        <f>IF(AND(VLOOKUP(T$1,main!$A$3:$H$102,7,FALSE)=main!$G$105,VLOOKUP(T$1,main!$A$3:$H$102,5,FALSE)-VLOOKUP($A283,main!$A$3:$H$102,6,FALSE)&gt;=main!$D$103+VLOOKUP(VLOOKUP(T$1,main!$A$3:$I$102,7,FALSE),main!$K$26:$Q$29,5,FALSE)),1,0)</f>
        <v>0</v>
      </c>
      <c r="U283">
        <f>IF(AND(VLOOKUP(U$1,main!$A$3:$H$102,7,FALSE)=main!$G$105,VLOOKUP(U$1,main!$A$3:$H$102,5,FALSE)-VLOOKUP($A283,main!$A$3:$H$102,6,FALSE)&gt;=main!$D$103+VLOOKUP(VLOOKUP(U$1,main!$A$3:$I$102,7,FALSE),main!$K$26:$Q$29,5,FALSE)),1,0)</f>
        <v>0</v>
      </c>
      <c r="V283">
        <f>IF(AND(VLOOKUP(V$1,main!$A$3:$H$102,7,FALSE)=main!$G$105,VLOOKUP(V$1,main!$A$3:$H$102,5,FALSE)-VLOOKUP($A283,main!$A$3:$H$102,6,FALSE)&gt;=main!$D$103+VLOOKUP(VLOOKUP(V$1,main!$A$3:$I$102,7,FALSE),main!$K$26:$Q$29,5,FALSE)),1,0)</f>
        <v>0</v>
      </c>
      <c r="W283">
        <f>IF(AND(VLOOKUP(W$1,main!$A$3:$H$102,7,FALSE)=main!$G$105,VLOOKUP(W$1,main!$A$3:$H$102,5,FALSE)-VLOOKUP($A283,main!$A$3:$H$102,6,FALSE)&gt;=main!$D$103+VLOOKUP(VLOOKUP(W$1,main!$A$3:$I$102,7,FALSE),main!$K$26:$Q$29,5,FALSE)),1,0)</f>
        <v>0</v>
      </c>
      <c r="X283">
        <f>IF(AND(VLOOKUP(X$1,main!$A$3:$H$102,7,FALSE)=main!$G$105,VLOOKUP(X$1,main!$A$3:$H$102,5,FALSE)-VLOOKUP($A283,main!$A$3:$H$102,6,FALSE)&gt;=main!$D$103+VLOOKUP(VLOOKUP(X$1,main!$A$3:$I$102,7,FALSE),main!$K$26:$Q$29,5,FALSE)),1,0)</f>
        <v>0</v>
      </c>
      <c r="Y283">
        <f>IF(AND(VLOOKUP(Y$1,main!$A$3:$H$102,7,FALSE)=main!$G$105,VLOOKUP(Y$1,main!$A$3:$H$102,5,FALSE)-VLOOKUP($A283,main!$A$3:$H$102,6,FALSE)&gt;=main!$D$103+VLOOKUP(VLOOKUP(Y$1,main!$A$3:$I$102,7,FALSE),main!$K$26:$Q$29,5,FALSE)),1,0)</f>
        <v>0</v>
      </c>
      <c r="Z283">
        <f>IF(AND(VLOOKUP(Z$1,main!$A$3:$H$102,7,FALSE)=main!$G$105,VLOOKUP(Z$1,main!$A$3:$H$102,5,FALSE)-VLOOKUP($A283,main!$A$3:$H$102,6,FALSE)&gt;=main!$D$103+VLOOKUP(VLOOKUP(Z$1,main!$A$3:$I$102,7,FALSE),main!$K$26:$Q$29,5,FALSE)),1,0)</f>
        <v>0</v>
      </c>
      <c r="AA283">
        <f>IF(AND(VLOOKUP(AA$1,main!$A$3:$H$102,7,FALSE)=main!$G$105,VLOOKUP(AA$1,main!$A$3:$H$102,5,FALSE)-VLOOKUP($A283,main!$A$3:$H$102,6,FALSE)&gt;=main!$D$103+VLOOKUP(VLOOKUP(AA$1,main!$A$3:$I$102,7,FALSE),main!$K$26:$Q$29,5,FALSE)),1,0)</f>
        <v>0</v>
      </c>
      <c r="AB283">
        <f>IF(AND(VLOOKUP(AB$1,main!$A$3:$H$102,7,FALSE)=main!$G$105,VLOOKUP(AB$1,main!$A$3:$H$102,5,FALSE)-VLOOKUP($A283,main!$A$3:$H$102,6,FALSE)&gt;=main!$D$103+VLOOKUP(VLOOKUP(AB$1,main!$A$3:$I$102,7,FALSE),main!$K$26:$Q$29,5,FALSE)),1,0)</f>
        <v>0</v>
      </c>
      <c r="AC283">
        <f>IF(AND(VLOOKUP(AC$1,main!$A$3:$H$102,7,FALSE)=main!$G$105,VLOOKUP(AC$1,main!$A$3:$H$102,5,FALSE)-VLOOKUP($A283,main!$A$3:$H$102,6,FALSE)&gt;=main!$D$103+VLOOKUP(VLOOKUP(AC$1,main!$A$3:$I$102,7,FALSE),main!$K$26:$Q$29,5,FALSE)),1,0)</f>
        <v>0</v>
      </c>
      <c r="AD283">
        <f>IF(AND(VLOOKUP(AD$1,main!$A$3:$H$102,7,FALSE)=main!$G$105,VLOOKUP(AD$1,main!$A$3:$H$102,5,FALSE)-VLOOKUP($A283,main!$A$3:$H$102,6,FALSE)&gt;=main!$D$103+VLOOKUP(VLOOKUP(AD$1,main!$A$3:$I$102,7,FALSE),main!$K$26:$Q$29,5,FALSE)),1,0)</f>
        <v>0</v>
      </c>
      <c r="AE283">
        <f>IF(AND(VLOOKUP(AE$1,main!$A$3:$H$102,7,FALSE)=main!$G$105,VLOOKUP(AE$1,main!$A$3:$H$102,5,FALSE)-VLOOKUP($A283,main!$A$3:$H$102,6,FALSE)&gt;=main!$D$103+VLOOKUP(VLOOKUP(AE$1,main!$A$3:$I$102,7,FALSE),main!$K$26:$Q$29,5,FALSE)),1,0)</f>
        <v>0</v>
      </c>
      <c r="AF283">
        <f>IF(AND(VLOOKUP(AF$1,main!$A$3:$H$102,7,FALSE)=main!$G$105,VLOOKUP(AF$1,main!$A$3:$H$102,5,FALSE)-VLOOKUP($A283,main!$A$3:$H$102,6,FALSE)&gt;=main!$D$103+VLOOKUP(VLOOKUP(AF$1,main!$A$3:$I$102,7,FALSE),main!$K$26:$Q$29,5,FALSE)),1,0)</f>
        <v>0</v>
      </c>
      <c r="AG283">
        <f>IF(AND(VLOOKUP(AG$1,main!$A$3:$H$102,7,FALSE)=main!$G$105,VLOOKUP(AG$1,main!$A$3:$H$102,5,FALSE)-VLOOKUP($A283,main!$A$3:$H$102,6,FALSE)&gt;=main!$D$103+VLOOKUP(VLOOKUP(AG$1,main!$A$3:$I$102,7,FALSE),main!$K$26:$Q$29,5,FALSE)),1,0)</f>
        <v>0</v>
      </c>
      <c r="AH283">
        <f>IF(AND(VLOOKUP(AH$1,main!$A$3:$H$102,7,FALSE)=main!$G$105,VLOOKUP(AH$1,main!$A$3:$H$102,5,FALSE)-VLOOKUP($A283,main!$A$3:$H$102,6,FALSE)&gt;=main!$D$103+VLOOKUP(VLOOKUP(AH$1,main!$A$3:$I$102,7,FALSE),main!$K$26:$Q$29,5,FALSE)),1,0)</f>
        <v>0</v>
      </c>
      <c r="AI283">
        <f>IF(AND(VLOOKUP(AI$1,main!$A$3:$H$102,7,FALSE)=main!$G$105,VLOOKUP(AI$1,main!$A$3:$H$102,5,FALSE)-VLOOKUP($A283,main!$A$3:$H$102,6,FALSE)&gt;=main!$D$103+VLOOKUP(VLOOKUP(AI$1,main!$A$3:$I$102,7,FALSE),main!$K$26:$Q$29,5,FALSE)),1,0)</f>
        <v>0</v>
      </c>
      <c r="AJ283">
        <f>IF(AND(VLOOKUP(AJ$1,main!$A$3:$H$102,7,FALSE)=main!$G$105,VLOOKUP(AJ$1,main!$A$3:$H$102,5,FALSE)-VLOOKUP($A283,main!$A$3:$H$102,6,FALSE)&gt;=main!$D$103+VLOOKUP(VLOOKUP(AJ$1,main!$A$3:$I$102,7,FALSE),main!$K$26:$Q$29,5,FALSE)),1,0)</f>
        <v>0</v>
      </c>
      <c r="AK283">
        <f>IF(AND(VLOOKUP(AK$1,main!$A$3:$H$102,7,FALSE)=main!$G$105,VLOOKUP(AK$1,main!$A$3:$H$102,5,FALSE)-VLOOKUP($A283,main!$A$3:$H$102,6,FALSE)&gt;=main!$D$103+VLOOKUP(VLOOKUP(AK$1,main!$A$3:$I$102,7,FALSE),main!$K$26:$Q$29,5,FALSE)),1,0)</f>
        <v>0</v>
      </c>
      <c r="AL283">
        <f>IF(AND(VLOOKUP(AL$1,main!$A$3:$H$102,7,FALSE)=main!$G$105,VLOOKUP(AL$1,main!$A$3:$H$102,5,FALSE)-VLOOKUP($A283,main!$A$3:$H$102,6,FALSE)&gt;=main!$D$103+VLOOKUP(VLOOKUP(AL$1,main!$A$3:$I$102,7,FALSE),main!$K$26:$Q$29,5,FALSE)),1,0)</f>
        <v>0</v>
      </c>
      <c r="AM283">
        <f>IF(AND(VLOOKUP(AM$1,main!$A$3:$H$102,7,FALSE)=main!$G$105,VLOOKUP(AM$1,main!$A$3:$H$102,5,FALSE)-VLOOKUP($A283,main!$A$3:$H$102,6,FALSE)&gt;=main!$D$103+VLOOKUP(VLOOKUP(AM$1,main!$A$3:$I$102,7,FALSE),main!$K$26:$Q$29,5,FALSE)),1,0)</f>
        <v>0</v>
      </c>
      <c r="AN283">
        <f>IF(AND(VLOOKUP(AN$1,main!$A$3:$H$102,7,FALSE)=main!$G$105,VLOOKUP(AN$1,main!$A$3:$H$102,5,FALSE)-VLOOKUP($A283,main!$A$3:$H$102,6,FALSE)&gt;=main!$D$103+VLOOKUP(VLOOKUP(AN$1,main!$A$3:$I$102,7,FALSE),main!$K$26:$Q$29,5,FALSE)),1,0)</f>
        <v>0</v>
      </c>
      <c r="AO283">
        <f>IF(AND(VLOOKUP(AO$1,main!$A$3:$H$102,7,FALSE)=main!$G$105,VLOOKUP(AO$1,main!$A$3:$H$102,5,FALSE)-VLOOKUP($A283,main!$A$3:$H$102,6,FALSE)&gt;=main!$D$103+VLOOKUP(VLOOKUP(AO$1,main!$A$3:$I$102,7,FALSE),main!$K$26:$Q$29,5,FALSE)),1,0)</f>
        <v>0</v>
      </c>
      <c r="AP283">
        <f>IF(AND(VLOOKUP(AP$1,main!$A$3:$H$102,7,FALSE)=main!$G$105,VLOOKUP(AP$1,main!$A$3:$H$102,5,FALSE)-VLOOKUP($A283,main!$A$3:$H$102,6,FALSE)&gt;=main!$D$103+VLOOKUP(VLOOKUP(AP$1,main!$A$3:$I$102,7,FALSE),main!$K$26:$Q$29,5,FALSE)),1,0)</f>
        <v>0</v>
      </c>
      <c r="AQ283">
        <f>IF(AND(VLOOKUP(AQ$1,main!$A$3:$H$102,7,FALSE)=main!$G$105,VLOOKUP(AQ$1,main!$A$3:$H$102,5,FALSE)-VLOOKUP($A283,main!$A$3:$H$102,6,FALSE)&gt;=main!$D$103+VLOOKUP(VLOOKUP(AQ$1,main!$A$3:$I$102,7,FALSE),main!$K$26:$Q$29,5,FALSE)),1,0)</f>
        <v>0</v>
      </c>
      <c r="AR283">
        <f>IF(AND(VLOOKUP(AR$1,main!$A$3:$H$102,7,FALSE)=main!$G$105,VLOOKUP(AR$1,main!$A$3:$H$102,5,FALSE)-VLOOKUP($A283,main!$A$3:$H$102,6,FALSE)&gt;=main!$D$103+VLOOKUP(VLOOKUP(AR$1,main!$A$3:$I$102,7,FALSE),main!$K$26:$Q$29,5,FALSE)),1,0)</f>
        <v>0</v>
      </c>
      <c r="AS283">
        <f>IF(AND(VLOOKUP(AS$1,main!$A$3:$H$102,7,FALSE)=main!$G$105,VLOOKUP(AS$1,main!$A$3:$H$102,5,FALSE)-VLOOKUP($A283,main!$A$3:$H$102,6,FALSE)&gt;=main!$D$103+VLOOKUP(VLOOKUP(AS$1,main!$A$3:$I$102,7,FALSE),main!$K$26:$Q$29,5,FALSE)),1,0)</f>
        <v>0</v>
      </c>
      <c r="AT283">
        <f>IF(AND(VLOOKUP(AT$1,main!$A$3:$H$102,7,FALSE)=main!$G$105,VLOOKUP(AT$1,main!$A$3:$H$102,5,FALSE)-VLOOKUP($A283,main!$A$3:$H$102,6,FALSE)&gt;=main!$D$103+VLOOKUP(VLOOKUP(AT$1,main!$A$3:$I$102,7,FALSE),main!$K$26:$Q$29,5,FALSE)),1,0)</f>
        <v>0</v>
      </c>
      <c r="AU283">
        <f>IF(AND(VLOOKUP(AU$1,main!$A$3:$H$102,7,FALSE)=main!$G$105,VLOOKUP(AU$1,main!$A$3:$H$102,5,FALSE)-VLOOKUP($A283,main!$A$3:$H$102,6,FALSE)&gt;=main!$D$103+VLOOKUP(VLOOKUP(AU$1,main!$A$3:$I$102,7,FALSE),main!$K$26:$Q$29,5,FALSE)),1,0)</f>
        <v>0</v>
      </c>
      <c r="AV283">
        <f>IF(AND(VLOOKUP(AV$1,main!$A$3:$H$102,7,FALSE)=main!$G$105,VLOOKUP(AV$1,main!$A$3:$H$102,5,FALSE)-VLOOKUP($A283,main!$A$3:$H$102,6,FALSE)&gt;=main!$D$103+VLOOKUP(VLOOKUP(AV$1,main!$A$3:$I$102,7,FALSE),main!$K$26:$Q$29,5,FALSE)),1,0)</f>
        <v>0</v>
      </c>
      <c r="AW283">
        <f>IF(AND(VLOOKUP(AW$1,main!$A$3:$H$102,7,FALSE)=main!$G$105,VLOOKUP(AW$1,main!$A$3:$H$102,5,FALSE)-VLOOKUP($A283,main!$A$3:$H$102,6,FALSE)&gt;=main!$D$103+VLOOKUP(VLOOKUP(AW$1,main!$A$3:$I$102,7,FALSE),main!$K$26:$Q$29,5,FALSE)),1,0)</f>
        <v>0</v>
      </c>
      <c r="AX283">
        <f>IF(AND(VLOOKUP(AX$1,main!$A$3:$H$102,7,FALSE)=main!$G$105,VLOOKUP(AX$1,main!$A$3:$H$102,5,FALSE)-VLOOKUP($A283,main!$A$3:$H$102,6,FALSE)&gt;=main!$D$103+VLOOKUP(VLOOKUP(AX$1,main!$A$3:$I$102,7,FALSE),main!$K$26:$Q$29,5,FALSE)),1,0)</f>
        <v>0</v>
      </c>
      <c r="AY283">
        <f>IF(AND(VLOOKUP(AY$1,main!$A$3:$H$102,7,FALSE)=main!$G$105,VLOOKUP(AY$1,main!$A$3:$H$102,5,FALSE)-VLOOKUP($A283,main!$A$3:$H$102,6,FALSE)&gt;=main!$D$103+VLOOKUP(VLOOKUP(AY$1,main!$A$3:$I$102,7,FALSE),main!$K$26:$Q$29,5,FALSE)),1,0)</f>
        <v>0</v>
      </c>
      <c r="AZ283">
        <f>IF(AND(VLOOKUP(AZ$1,main!$A$3:$H$102,7,FALSE)=main!$G$105,VLOOKUP(AZ$1,main!$A$3:$H$102,5,FALSE)-VLOOKUP($A283,main!$A$3:$H$102,6,FALSE)&gt;=main!$D$103+VLOOKUP(VLOOKUP(AZ$1,main!$A$3:$I$102,7,FALSE),main!$K$26:$Q$29,5,FALSE)),1,0)</f>
        <v>0</v>
      </c>
      <c r="BA283">
        <f>IF(AND(VLOOKUP(BA$1,main!$A$3:$H$102,7,FALSE)=main!$G$105,VLOOKUP(BA$1,main!$A$3:$H$102,5,FALSE)-VLOOKUP($A283,main!$A$3:$H$102,6,FALSE)&gt;=main!$D$103+VLOOKUP(VLOOKUP(BA$1,main!$A$3:$I$102,7,FALSE),main!$K$26:$Q$29,5,FALSE)),1,0)</f>
        <v>0</v>
      </c>
      <c r="BB283">
        <f>IF(AND(VLOOKUP(BB$1,main!$A$3:$H$102,7,FALSE)=main!$G$105,VLOOKUP(BB$1,main!$A$3:$H$102,5,FALSE)-VLOOKUP($A283,main!$A$3:$H$102,6,FALSE)&gt;=main!$D$103+VLOOKUP(VLOOKUP(BB$1,main!$A$3:$I$102,7,FALSE),main!$K$26:$Q$29,5,FALSE)),1,0)</f>
        <v>0</v>
      </c>
      <c r="BC283">
        <f>IF(AND(VLOOKUP(BC$1,main!$A$3:$H$102,7,FALSE)=main!$G$105,VLOOKUP(BC$1,main!$A$3:$H$102,5,FALSE)-VLOOKUP($A283,main!$A$3:$H$102,6,FALSE)&gt;=main!$D$103+VLOOKUP(VLOOKUP(BC$1,main!$A$3:$I$102,7,FALSE),main!$K$26:$Q$29,5,FALSE)),1,0)</f>
        <v>0</v>
      </c>
      <c r="BD283">
        <f>IF(AND(VLOOKUP(BD$1,main!$A$3:$H$102,7,FALSE)=main!$G$105,VLOOKUP(BD$1,main!$A$3:$H$102,5,FALSE)-VLOOKUP($A283,main!$A$3:$H$102,6,FALSE)&gt;=main!$D$103+VLOOKUP(VLOOKUP(BD$1,main!$A$3:$I$102,7,FALSE),main!$K$26:$Q$29,5,FALSE)),1,0)</f>
        <v>0</v>
      </c>
      <c r="BE283">
        <f>IF(AND(VLOOKUP(BE$1,main!$A$3:$H$102,7,FALSE)=main!$G$105,VLOOKUP(BE$1,main!$A$3:$H$102,5,FALSE)-VLOOKUP($A283,main!$A$3:$H$102,6,FALSE)&gt;=main!$D$103+VLOOKUP(VLOOKUP(BE$1,main!$A$3:$I$102,7,FALSE),main!$K$26:$Q$29,5,FALSE)),1,0)</f>
        <v>0</v>
      </c>
      <c r="BF283">
        <f>IF(AND(VLOOKUP(BF$1,main!$A$3:$H$102,7,FALSE)=main!$G$105,VLOOKUP(BF$1,main!$A$3:$H$102,5,FALSE)-VLOOKUP($A283,main!$A$3:$H$102,6,FALSE)&gt;=main!$D$103+VLOOKUP(VLOOKUP(BF$1,main!$A$3:$I$102,7,FALSE),main!$K$26:$Q$29,5,FALSE)),1,0)</f>
        <v>0</v>
      </c>
      <c r="BG283">
        <f>IF(AND(VLOOKUP(BG$1,main!$A$3:$H$102,7,FALSE)=main!$G$105,VLOOKUP(BG$1,main!$A$3:$H$102,5,FALSE)-VLOOKUP($A283,main!$A$3:$H$102,6,FALSE)&gt;=main!$D$103+VLOOKUP(VLOOKUP(BG$1,main!$A$3:$I$102,7,FALSE),main!$K$26:$Q$29,5,FALSE)),1,0)</f>
        <v>0</v>
      </c>
      <c r="BH283">
        <f>IF(AND(VLOOKUP(BH$1,main!$A$3:$H$102,7,FALSE)=main!$G$105,VLOOKUP(BH$1,main!$A$3:$H$102,5,FALSE)-VLOOKUP($A283,main!$A$3:$H$102,6,FALSE)&gt;=main!$D$103+VLOOKUP(VLOOKUP(BH$1,main!$A$3:$I$102,7,FALSE),main!$K$26:$Q$29,5,FALSE)),1,0)</f>
        <v>0</v>
      </c>
      <c r="BI283">
        <f>IF(AND(VLOOKUP(BI$1,main!$A$3:$H$102,7,FALSE)=main!$G$105,VLOOKUP(BI$1,main!$A$3:$H$102,5,FALSE)-VLOOKUP($A283,main!$A$3:$H$102,6,FALSE)&gt;=main!$D$103+VLOOKUP(VLOOKUP(BI$1,main!$A$3:$I$102,7,FALSE),main!$K$26:$Q$29,5,FALSE)),1,0)</f>
        <v>0</v>
      </c>
      <c r="BJ283">
        <f>IF(AND(VLOOKUP(BJ$1,main!$A$3:$H$102,7,FALSE)=main!$G$105,VLOOKUP(BJ$1,main!$A$3:$H$102,5,FALSE)-VLOOKUP($A283,main!$A$3:$H$102,6,FALSE)&gt;=main!$D$103+VLOOKUP(VLOOKUP(BJ$1,main!$A$3:$I$102,7,FALSE),main!$K$26:$Q$29,5,FALSE)),1,0)</f>
        <v>0</v>
      </c>
      <c r="BK283">
        <f>IF(AND(VLOOKUP(BK$1,main!$A$3:$H$102,7,FALSE)=main!$G$105,VLOOKUP(BK$1,main!$A$3:$H$102,5,FALSE)-VLOOKUP($A283,main!$A$3:$H$102,6,FALSE)&gt;=main!$D$103+VLOOKUP(VLOOKUP(BK$1,main!$A$3:$I$102,7,FALSE),main!$K$26:$Q$29,5,FALSE)),1,0)</f>
        <v>0</v>
      </c>
      <c r="BL283">
        <f>IF(AND(VLOOKUP(BL$1,main!$A$3:$H$102,7,FALSE)=main!$G$105,VLOOKUP(BL$1,main!$A$3:$H$102,5,FALSE)-VLOOKUP($A283,main!$A$3:$H$102,6,FALSE)&gt;=main!$D$103+VLOOKUP(VLOOKUP(BL$1,main!$A$3:$I$102,7,FALSE),main!$K$26:$Q$29,5,FALSE)),1,0)</f>
        <v>0</v>
      </c>
      <c r="BM283">
        <f>IF(AND(VLOOKUP(BM$1,main!$A$3:$H$102,7,FALSE)=main!$G$105,VLOOKUP(BM$1,main!$A$3:$H$102,5,FALSE)-VLOOKUP($A283,main!$A$3:$H$102,6,FALSE)&gt;=main!$D$103+VLOOKUP(VLOOKUP(BM$1,main!$A$3:$I$102,7,FALSE),main!$K$26:$Q$29,5,FALSE)),1,0)</f>
        <v>0</v>
      </c>
      <c r="BN283">
        <f>IF(AND(VLOOKUP(BN$1,main!$A$3:$H$102,7,FALSE)=main!$G$105,VLOOKUP(BN$1,main!$A$3:$H$102,5,FALSE)-VLOOKUP($A283,main!$A$3:$H$102,6,FALSE)&gt;=main!$D$103+VLOOKUP(VLOOKUP(BN$1,main!$A$3:$I$102,7,FALSE),main!$K$26:$Q$29,5,FALSE)),1,0)</f>
        <v>0</v>
      </c>
      <c r="BO283">
        <f>IF(AND(VLOOKUP(BO$1,main!$A$3:$H$102,7,FALSE)=main!$G$105,VLOOKUP(BO$1,main!$A$3:$H$102,5,FALSE)-VLOOKUP($A283,main!$A$3:$H$102,6,FALSE)&gt;=main!$D$103+VLOOKUP(VLOOKUP(BO$1,main!$A$3:$I$102,7,FALSE),main!$K$26:$Q$29,5,FALSE)),1,0)</f>
        <v>0</v>
      </c>
      <c r="BP283">
        <f>IF(AND(VLOOKUP(BP$1,main!$A$3:$H$102,7,FALSE)=main!$G$105,VLOOKUP(BP$1,main!$A$3:$H$102,5,FALSE)-VLOOKUP($A283,main!$A$3:$H$102,6,FALSE)&gt;=main!$D$103+VLOOKUP(VLOOKUP(BP$1,main!$A$3:$I$102,7,FALSE),main!$K$26:$Q$29,5,FALSE)),1,0)</f>
        <v>0</v>
      </c>
      <c r="BQ283">
        <f>IF(AND(VLOOKUP(BQ$1,main!$A$3:$H$102,7,FALSE)=main!$G$105,VLOOKUP(BQ$1,main!$A$3:$H$102,5,FALSE)-VLOOKUP($A283,main!$A$3:$H$102,6,FALSE)&gt;=main!$D$103+VLOOKUP(VLOOKUP(BQ$1,main!$A$3:$I$102,7,FALSE),main!$K$26:$Q$29,5,FALSE)),1,0)</f>
        <v>0</v>
      </c>
      <c r="BR283">
        <f>IF(AND(VLOOKUP(BR$1,main!$A$3:$H$102,7,FALSE)=main!$G$105,VLOOKUP(BR$1,main!$A$3:$H$102,5,FALSE)-VLOOKUP($A283,main!$A$3:$H$102,6,FALSE)&gt;=main!$D$103+VLOOKUP(VLOOKUP(BR$1,main!$A$3:$I$102,7,FALSE),main!$K$26:$Q$29,5,FALSE)),1,0)</f>
        <v>0</v>
      </c>
      <c r="BS283">
        <f>IF(AND(VLOOKUP(BS$1,main!$A$3:$H$102,7,FALSE)=main!$G$105,VLOOKUP(BS$1,main!$A$3:$H$102,5,FALSE)-VLOOKUP($A283,main!$A$3:$H$102,6,FALSE)&gt;=main!$D$103+VLOOKUP(VLOOKUP(BS$1,main!$A$3:$I$102,7,FALSE),main!$K$26:$Q$29,5,FALSE)),1,0)</f>
        <v>0</v>
      </c>
      <c r="BT283">
        <f>IF(AND(VLOOKUP(BT$1,main!$A$3:$H$102,7,FALSE)=main!$G$105,VLOOKUP(BT$1,main!$A$3:$H$102,5,FALSE)-VLOOKUP($A283,main!$A$3:$H$102,6,FALSE)&gt;=main!$D$103+VLOOKUP(VLOOKUP(BT$1,main!$A$3:$I$102,7,FALSE),main!$K$26:$Q$29,5,FALSE)),1,0)</f>
        <v>0</v>
      </c>
      <c r="BU283">
        <f>IF(AND(VLOOKUP(BU$1,main!$A$3:$H$102,7,FALSE)=main!$G$105,VLOOKUP(BU$1,main!$A$3:$H$102,5,FALSE)-VLOOKUP($A283,main!$A$3:$H$102,6,FALSE)&gt;=main!$D$103+VLOOKUP(VLOOKUP(BU$1,main!$A$3:$I$102,7,FALSE),main!$K$26:$Q$29,5,FALSE)),1,0)</f>
        <v>0</v>
      </c>
      <c r="BV283">
        <f>IF(AND(VLOOKUP(BV$1,main!$A$3:$H$102,7,FALSE)=main!$G$105,VLOOKUP(BV$1,main!$A$3:$H$102,5,FALSE)-VLOOKUP($A283,main!$A$3:$H$102,6,FALSE)&gt;=main!$D$103+VLOOKUP(VLOOKUP(BV$1,main!$A$3:$I$102,7,FALSE),main!$K$26:$Q$29,5,FALSE)),1,0)</f>
        <v>0</v>
      </c>
      <c r="BW283">
        <f>IF(AND(VLOOKUP(BW$1,main!$A$3:$H$102,7,FALSE)=main!$G$105,VLOOKUP(BW$1,main!$A$3:$H$102,5,FALSE)-VLOOKUP($A283,main!$A$3:$H$102,6,FALSE)&gt;=main!$D$103+VLOOKUP(VLOOKUP(BW$1,main!$A$3:$I$102,7,FALSE),main!$K$26:$Q$29,5,FALSE)),1,0)</f>
        <v>0</v>
      </c>
      <c r="BX283">
        <f>IF(AND(VLOOKUP(BX$1,main!$A$3:$H$102,7,FALSE)=main!$G$105,VLOOKUP(BX$1,main!$A$3:$H$102,5,FALSE)-VLOOKUP($A283,main!$A$3:$H$102,6,FALSE)&gt;=main!$D$103+VLOOKUP(VLOOKUP(BX$1,main!$A$3:$I$102,7,FALSE),main!$K$26:$Q$29,5,FALSE)),1,0)</f>
        <v>0</v>
      </c>
      <c r="BY283">
        <f>IF(AND(VLOOKUP(BY$1,main!$A$3:$H$102,7,FALSE)=main!$G$105,VLOOKUP(BY$1,main!$A$3:$H$102,5,FALSE)-VLOOKUP($A283,main!$A$3:$H$102,6,FALSE)&gt;=main!$D$103+VLOOKUP(VLOOKUP(BY$1,main!$A$3:$I$102,7,FALSE),main!$K$26:$Q$29,5,FALSE)),1,0)</f>
        <v>0</v>
      </c>
      <c r="BZ283">
        <f>IF(AND(VLOOKUP(BZ$1,main!$A$3:$H$102,7,FALSE)=main!$G$105,VLOOKUP(BZ$1,main!$A$3:$H$102,5,FALSE)-VLOOKUP($A283,main!$A$3:$H$102,6,FALSE)&gt;=main!$D$103+VLOOKUP(VLOOKUP(BZ$1,main!$A$3:$I$102,7,FALSE),main!$K$26:$Q$29,5,FALSE)),1,0)</f>
        <v>0</v>
      </c>
      <c r="CA283">
        <f>IF(AND(VLOOKUP(CA$1,main!$A$3:$H$102,7,FALSE)=main!$G$105,VLOOKUP(CA$1,main!$A$3:$H$102,5,FALSE)-VLOOKUP($A283,main!$A$3:$H$102,6,FALSE)&gt;=main!$D$103+VLOOKUP(VLOOKUP(CA$1,main!$A$3:$I$102,7,FALSE),main!$K$26:$Q$29,5,FALSE)),1,0)</f>
        <v>0</v>
      </c>
      <c r="CB283">
        <f>IF(AND(VLOOKUP(CB$1,main!$A$3:$H$102,7,FALSE)=main!$G$105,VLOOKUP(CB$1,main!$A$3:$H$102,5,FALSE)-VLOOKUP($A283,main!$A$3:$H$102,6,FALSE)&gt;=main!$D$103+VLOOKUP(VLOOKUP(CB$1,main!$A$3:$I$102,7,FALSE),main!$K$26:$Q$29,5,FALSE)),1,0)</f>
        <v>0</v>
      </c>
      <c r="CC283">
        <f>IF(AND(VLOOKUP(CC$1,main!$A$3:$H$102,7,FALSE)=main!$G$105,VLOOKUP(CC$1,main!$A$3:$H$102,5,FALSE)-VLOOKUP($A283,main!$A$3:$H$102,6,FALSE)&gt;=main!$D$103+VLOOKUP(VLOOKUP(CC$1,main!$A$3:$I$102,7,FALSE),main!$K$26:$Q$29,5,FALSE)),1,0)</f>
        <v>0</v>
      </c>
      <c r="CD283">
        <f>IF(AND(VLOOKUP(CD$1,main!$A$3:$H$102,7,FALSE)=main!$G$105,VLOOKUP(CD$1,main!$A$3:$H$102,5,FALSE)-VLOOKUP($A283,main!$A$3:$H$102,6,FALSE)&gt;=main!$D$103+VLOOKUP(VLOOKUP(CD$1,main!$A$3:$I$102,7,FALSE),main!$K$26:$Q$29,5,FALSE)),1,0)</f>
        <v>0</v>
      </c>
      <c r="CE283">
        <f>IF(AND(VLOOKUP(CE$1,main!$A$3:$H$102,7,FALSE)=main!$G$105,VLOOKUP(CE$1,main!$A$3:$H$102,5,FALSE)-VLOOKUP($A283,main!$A$3:$H$102,6,FALSE)&gt;=main!$D$103+VLOOKUP(VLOOKUP(CE$1,main!$A$3:$I$102,7,FALSE),main!$K$26:$Q$29,5,FALSE)),1,0)</f>
        <v>0</v>
      </c>
      <c r="CF283">
        <f>IF(AND(VLOOKUP(CF$1,main!$A$3:$H$102,7,FALSE)=main!$G$105,VLOOKUP(CF$1,main!$A$3:$H$102,5,FALSE)-VLOOKUP($A283,main!$A$3:$H$102,6,FALSE)&gt;=main!$D$103+VLOOKUP(VLOOKUP(CF$1,main!$A$3:$I$102,7,FALSE),main!$K$26:$Q$29,5,FALSE)),1,0)</f>
        <v>0</v>
      </c>
      <c r="CG283">
        <f>IF(AND(VLOOKUP(CG$1,main!$A$3:$H$102,7,FALSE)=main!$G$105,VLOOKUP(CG$1,main!$A$3:$H$102,5,FALSE)-VLOOKUP($A283,main!$A$3:$H$102,6,FALSE)&gt;=main!$D$103+VLOOKUP(VLOOKUP(CG$1,main!$A$3:$I$102,7,FALSE),main!$K$26:$Q$29,5,FALSE)),1,0)</f>
        <v>0</v>
      </c>
      <c r="CH283">
        <f>IF(AND(VLOOKUP(CH$1,main!$A$3:$H$102,7,FALSE)=main!$G$105,VLOOKUP(CH$1,main!$A$3:$H$102,5,FALSE)-VLOOKUP($A283,main!$A$3:$H$102,6,FALSE)&gt;=main!$D$103+VLOOKUP(VLOOKUP(CH$1,main!$A$3:$I$102,7,FALSE),main!$K$26:$Q$29,5,FALSE)),1,0)</f>
        <v>0</v>
      </c>
      <c r="CI283">
        <f>IF(AND(VLOOKUP(CI$1,main!$A$3:$H$102,7,FALSE)=main!$G$105,VLOOKUP(CI$1,main!$A$3:$H$102,5,FALSE)-VLOOKUP($A283,main!$A$3:$H$102,6,FALSE)&gt;=main!$D$103+VLOOKUP(VLOOKUP(CI$1,main!$A$3:$I$102,7,FALSE),main!$K$26:$Q$29,5,FALSE)),1,0)</f>
        <v>0</v>
      </c>
      <c r="CJ283">
        <f>IF(AND(VLOOKUP(CJ$1,main!$A$3:$H$102,7,FALSE)=main!$G$105,VLOOKUP(CJ$1,main!$A$3:$H$102,5,FALSE)-VLOOKUP($A283,main!$A$3:$H$102,6,FALSE)&gt;=main!$D$103+VLOOKUP(VLOOKUP(CJ$1,main!$A$3:$I$102,7,FALSE),main!$K$26:$Q$29,5,FALSE)),1,0)</f>
        <v>0</v>
      </c>
      <c r="CK283">
        <f>IF(AND(VLOOKUP(CK$1,main!$A$3:$H$102,7,FALSE)=main!$G$105,VLOOKUP(CK$1,main!$A$3:$H$102,5,FALSE)-VLOOKUP($A283,main!$A$3:$H$102,6,FALSE)&gt;=main!$D$103+VLOOKUP(VLOOKUP(CK$1,main!$A$3:$I$102,7,FALSE),main!$K$26:$Q$29,5,FALSE)),1,0)</f>
        <v>0</v>
      </c>
      <c r="CL283">
        <f>IF(AND(VLOOKUP(CL$1,main!$A$3:$H$102,7,FALSE)=main!$G$105,VLOOKUP(CL$1,main!$A$3:$H$102,5,FALSE)-VLOOKUP($A283,main!$A$3:$H$102,6,FALSE)&gt;=main!$D$103+VLOOKUP(VLOOKUP(CL$1,main!$A$3:$I$102,7,FALSE),main!$K$26:$Q$29,5,FALSE)),1,0)</f>
        <v>0</v>
      </c>
      <c r="CM283">
        <f>IF(AND(VLOOKUP(CM$1,main!$A$3:$H$102,7,FALSE)=main!$G$105,VLOOKUP(CM$1,main!$A$3:$H$102,5,FALSE)-VLOOKUP($A283,main!$A$3:$H$102,6,FALSE)&gt;=main!$D$103+VLOOKUP(VLOOKUP(CM$1,main!$A$3:$I$102,7,FALSE),main!$K$26:$Q$29,5,FALSE)),1,0)</f>
        <v>0</v>
      </c>
      <c r="CN283">
        <f>IF(AND(VLOOKUP(CN$1,main!$A$3:$H$102,7,FALSE)=main!$G$105,VLOOKUP(CN$1,main!$A$3:$H$102,5,FALSE)-VLOOKUP($A283,main!$A$3:$H$102,6,FALSE)&gt;=main!$D$103+VLOOKUP(VLOOKUP(CN$1,main!$A$3:$I$102,7,FALSE),main!$K$26:$Q$29,5,FALSE)),1,0)</f>
        <v>0</v>
      </c>
      <c r="CO283">
        <f>IF(AND(VLOOKUP(CO$1,main!$A$3:$H$102,7,FALSE)=main!$G$105,VLOOKUP(CO$1,main!$A$3:$H$102,5,FALSE)-VLOOKUP($A283,main!$A$3:$H$102,6,FALSE)&gt;=main!$D$103+VLOOKUP(VLOOKUP(CO$1,main!$A$3:$I$102,7,FALSE),main!$K$26:$Q$29,5,FALSE)),1,0)</f>
        <v>0</v>
      </c>
      <c r="CP283">
        <f>IF(AND(VLOOKUP(CP$1,main!$A$3:$H$102,7,FALSE)=main!$G$105,VLOOKUP(CP$1,main!$A$3:$H$102,5,FALSE)-VLOOKUP($A283,main!$A$3:$H$102,6,FALSE)&gt;=main!$D$103+VLOOKUP(VLOOKUP(CP$1,main!$A$3:$I$102,7,FALSE),main!$K$26:$Q$29,5,FALSE)),1,0)</f>
        <v>0</v>
      </c>
      <c r="CQ283">
        <f>IF(AND(VLOOKUP(CQ$1,main!$A$3:$H$102,7,FALSE)=main!$G$105,VLOOKUP(CQ$1,main!$A$3:$H$102,5,FALSE)-VLOOKUP($A283,main!$A$3:$H$102,6,FALSE)&gt;=main!$D$103+VLOOKUP(VLOOKUP(CQ$1,main!$A$3:$I$102,7,FALSE),main!$K$26:$Q$29,5,FALSE)),1,0)</f>
        <v>0</v>
      </c>
      <c r="CR283">
        <f>IF(AND(VLOOKUP(CR$1,main!$A$3:$H$102,7,FALSE)=main!$G$105,VLOOKUP(CR$1,main!$A$3:$H$102,5,FALSE)-VLOOKUP($A283,main!$A$3:$H$102,6,FALSE)&gt;=main!$D$103+VLOOKUP(VLOOKUP(CR$1,main!$A$3:$I$102,7,FALSE),main!$K$26:$Q$29,5,FALSE)),1,0)</f>
        <v>0</v>
      </c>
      <c r="CS283">
        <f>IF(AND(VLOOKUP(CS$1,main!$A$3:$H$102,7,FALSE)=main!$G$105,VLOOKUP(CS$1,main!$A$3:$H$102,5,FALSE)-VLOOKUP($A283,main!$A$3:$H$102,6,FALSE)&gt;=main!$D$103+VLOOKUP(VLOOKUP(CS$1,main!$A$3:$I$102,7,FALSE),main!$K$26:$Q$29,5,FALSE)),1,0)</f>
        <v>0</v>
      </c>
      <c r="CT283">
        <f>IF(AND(VLOOKUP(CT$1,main!$A$3:$H$102,7,FALSE)=main!$G$105,VLOOKUP(CT$1,main!$A$3:$H$102,5,FALSE)-VLOOKUP($A283,main!$A$3:$H$102,6,FALSE)&gt;=main!$D$103+VLOOKUP(VLOOKUP(CT$1,main!$A$3:$I$102,7,FALSE),main!$K$26:$Q$29,5,FALSE)),1,0)</f>
        <v>0</v>
      </c>
      <c r="CU283">
        <f>IF(AND(VLOOKUP(CU$1,main!$A$3:$H$102,7,FALSE)=main!$G$105,VLOOKUP(CU$1,main!$A$3:$H$102,5,FALSE)-VLOOKUP($A283,main!$A$3:$H$102,6,FALSE)&gt;=main!$D$103+VLOOKUP(VLOOKUP(CU$1,main!$A$3:$I$102,7,FALSE),main!$K$26:$Q$29,5,FALSE)),1,0)</f>
        <v>0</v>
      </c>
      <c r="CV283">
        <f>IF(AND(VLOOKUP(CV$1,main!$A$3:$H$102,7,FALSE)=main!$G$105,VLOOKUP(CV$1,main!$A$3:$H$102,5,FALSE)-VLOOKUP($A283,main!$A$3:$H$102,6,FALSE)&gt;=main!$D$103+VLOOKUP(VLOOKUP(CV$1,main!$A$3:$I$102,7,FALSE),main!$K$26:$Q$29,5,FALSE)),1,0)</f>
        <v>0</v>
      </c>
      <c r="CW283">
        <f>IF(AND(VLOOKUP(CW$1,main!$A$3:$H$102,7,FALSE)=main!$G$105,VLOOKUP(CW$1,main!$A$3:$H$102,5,FALSE)-VLOOKUP($A283,main!$A$3:$H$102,6,FALSE)&gt;=main!$D$103+VLOOKUP(VLOOKUP(CW$1,main!$A$3:$I$102,7,FALSE),main!$K$26:$Q$29,5,FALSE)),1,0)</f>
        <v>0</v>
      </c>
      <c r="CX283">
        <f>IF(AND(VLOOKUP(CX$1,main!$A$3:$H$102,7,FALSE)=main!$G$105,VLOOKUP(CX$1,main!$A$3:$H$102,5,FALSE)-VLOOKUP($A283,main!$A$3:$H$102,6,FALSE)&gt;=main!$D$103+VLOOKUP(VLOOKUP(CX$1,main!$A$3:$I$102,7,FALSE),main!$K$26:$Q$29,5,FALSE)),1,0)</f>
        <v>0</v>
      </c>
    </row>
    <row r="284" spans="1:102" x14ac:dyDescent="0.25">
      <c r="A284" s="1">
        <v>80</v>
      </c>
      <c r="B284">
        <v>0</v>
      </c>
      <c r="C284">
        <f>IF(AND(VLOOKUP(C$1,main!$A$3:$H$102,7,FALSE)=main!$G$105,VLOOKUP(C$1,main!$A$3:$H$102,5,FALSE)-VLOOKUP($A284,main!$A$3:$H$102,6,FALSE)&gt;=main!$D$103+VLOOKUP(VLOOKUP(C$1,main!$A$3:$I$102,7,FALSE),main!$K$26:$Q$29,5,FALSE)),1,0)</f>
        <v>0</v>
      </c>
      <c r="D284">
        <f>IF(AND(VLOOKUP(D$1,main!$A$3:$H$102,7,FALSE)=main!$G$105,VLOOKUP(D$1,main!$A$3:$H$102,5,FALSE)-VLOOKUP($A284,main!$A$3:$H$102,6,FALSE)&gt;=main!$D$103+VLOOKUP(VLOOKUP(D$1,main!$A$3:$I$102,7,FALSE),main!$K$26:$Q$29,5,FALSE)),1,0)</f>
        <v>0</v>
      </c>
      <c r="E284">
        <f>IF(AND(VLOOKUP(E$1,main!$A$3:$H$102,7,FALSE)=main!$G$105,VLOOKUP(E$1,main!$A$3:$H$102,5,FALSE)-VLOOKUP($A284,main!$A$3:$H$102,6,FALSE)&gt;=main!$D$103+VLOOKUP(VLOOKUP(E$1,main!$A$3:$I$102,7,FALSE),main!$K$26:$Q$29,5,FALSE)),1,0)</f>
        <v>0</v>
      </c>
      <c r="F284">
        <f>IF(AND(VLOOKUP(F$1,main!$A$3:$H$102,7,FALSE)=main!$G$105,VLOOKUP(F$1,main!$A$3:$H$102,5,FALSE)-VLOOKUP($A284,main!$A$3:$H$102,6,FALSE)&gt;=main!$D$103+VLOOKUP(VLOOKUP(F$1,main!$A$3:$I$102,7,FALSE),main!$K$26:$Q$29,5,FALSE)),1,0)</f>
        <v>0</v>
      </c>
      <c r="G284">
        <f>IF(AND(VLOOKUP(G$1,main!$A$3:$H$102,7,FALSE)=main!$G$105,VLOOKUP(G$1,main!$A$3:$H$102,5,FALSE)-VLOOKUP($A284,main!$A$3:$H$102,6,FALSE)&gt;=main!$D$103+VLOOKUP(VLOOKUP(G$1,main!$A$3:$I$102,7,FALSE),main!$K$26:$Q$29,5,FALSE)),1,0)</f>
        <v>0</v>
      </c>
      <c r="H284">
        <f>IF(AND(VLOOKUP(H$1,main!$A$3:$H$102,7,FALSE)=main!$G$105,VLOOKUP(H$1,main!$A$3:$H$102,5,FALSE)-VLOOKUP($A284,main!$A$3:$H$102,6,FALSE)&gt;=main!$D$103+VLOOKUP(VLOOKUP(H$1,main!$A$3:$I$102,7,FALSE),main!$K$26:$Q$29,5,FALSE)),1,0)</f>
        <v>0</v>
      </c>
      <c r="I284">
        <f>IF(AND(VLOOKUP(I$1,main!$A$3:$H$102,7,FALSE)=main!$G$105,VLOOKUP(I$1,main!$A$3:$H$102,5,FALSE)-VLOOKUP($A284,main!$A$3:$H$102,6,FALSE)&gt;=main!$D$103+VLOOKUP(VLOOKUP(I$1,main!$A$3:$I$102,7,FALSE),main!$K$26:$Q$29,5,FALSE)),1,0)</f>
        <v>0</v>
      </c>
      <c r="J284">
        <f>IF(AND(VLOOKUP(J$1,main!$A$3:$H$102,7,FALSE)=main!$G$105,VLOOKUP(J$1,main!$A$3:$H$102,5,FALSE)-VLOOKUP($A284,main!$A$3:$H$102,6,FALSE)&gt;=main!$D$103+VLOOKUP(VLOOKUP(J$1,main!$A$3:$I$102,7,FALSE),main!$K$26:$Q$29,5,FALSE)),1,0)</f>
        <v>0</v>
      </c>
      <c r="K284">
        <f>IF(AND(VLOOKUP(K$1,main!$A$3:$H$102,7,FALSE)=main!$G$105,VLOOKUP(K$1,main!$A$3:$H$102,5,FALSE)-VLOOKUP($A284,main!$A$3:$H$102,6,FALSE)&gt;=main!$D$103+VLOOKUP(VLOOKUP(K$1,main!$A$3:$I$102,7,FALSE),main!$K$26:$Q$29,5,FALSE)),1,0)</f>
        <v>0</v>
      </c>
      <c r="L284">
        <f>IF(AND(VLOOKUP(L$1,main!$A$3:$H$102,7,FALSE)=main!$G$105,VLOOKUP(L$1,main!$A$3:$H$102,5,FALSE)-VLOOKUP($A284,main!$A$3:$H$102,6,FALSE)&gt;=main!$D$103+VLOOKUP(VLOOKUP(L$1,main!$A$3:$I$102,7,FALSE),main!$K$26:$Q$29,5,FALSE)),1,0)</f>
        <v>0</v>
      </c>
      <c r="M284">
        <f>IF(AND(VLOOKUP(M$1,main!$A$3:$H$102,7,FALSE)=main!$G$105,VLOOKUP(M$1,main!$A$3:$H$102,5,FALSE)-VLOOKUP($A284,main!$A$3:$H$102,6,FALSE)&gt;=main!$D$103+VLOOKUP(VLOOKUP(M$1,main!$A$3:$I$102,7,FALSE),main!$K$26:$Q$29,5,FALSE)),1,0)</f>
        <v>0</v>
      </c>
      <c r="N284">
        <f>IF(AND(VLOOKUP(N$1,main!$A$3:$H$102,7,FALSE)=main!$G$105,VLOOKUP(N$1,main!$A$3:$H$102,5,FALSE)-VLOOKUP($A284,main!$A$3:$H$102,6,FALSE)&gt;=main!$D$103+VLOOKUP(VLOOKUP(N$1,main!$A$3:$I$102,7,FALSE),main!$K$26:$Q$29,5,FALSE)),1,0)</f>
        <v>0</v>
      </c>
      <c r="O284">
        <f>IF(AND(VLOOKUP(O$1,main!$A$3:$H$102,7,FALSE)=main!$G$105,VLOOKUP(O$1,main!$A$3:$H$102,5,FALSE)-VLOOKUP($A284,main!$A$3:$H$102,6,FALSE)&gt;=main!$D$103+VLOOKUP(VLOOKUP(O$1,main!$A$3:$I$102,7,FALSE),main!$K$26:$Q$29,5,FALSE)),1,0)</f>
        <v>0</v>
      </c>
      <c r="P284">
        <f>IF(AND(VLOOKUP(P$1,main!$A$3:$H$102,7,FALSE)=main!$G$105,VLOOKUP(P$1,main!$A$3:$H$102,5,FALSE)-VLOOKUP($A284,main!$A$3:$H$102,6,FALSE)&gt;=main!$D$103+VLOOKUP(VLOOKUP(P$1,main!$A$3:$I$102,7,FALSE),main!$K$26:$Q$29,5,FALSE)),1,0)</f>
        <v>0</v>
      </c>
      <c r="Q284">
        <f>IF(AND(VLOOKUP(Q$1,main!$A$3:$H$102,7,FALSE)=main!$G$105,VLOOKUP(Q$1,main!$A$3:$H$102,5,FALSE)-VLOOKUP($A284,main!$A$3:$H$102,6,FALSE)&gt;=main!$D$103+VLOOKUP(VLOOKUP(Q$1,main!$A$3:$I$102,7,FALSE),main!$K$26:$Q$29,5,FALSE)),1,0)</f>
        <v>0</v>
      </c>
      <c r="R284">
        <f>IF(AND(VLOOKUP(R$1,main!$A$3:$H$102,7,FALSE)=main!$G$105,VLOOKUP(R$1,main!$A$3:$H$102,5,FALSE)-VLOOKUP($A284,main!$A$3:$H$102,6,FALSE)&gt;=main!$D$103+VLOOKUP(VLOOKUP(R$1,main!$A$3:$I$102,7,FALSE),main!$K$26:$Q$29,5,FALSE)),1,0)</f>
        <v>0</v>
      </c>
      <c r="S284">
        <f>IF(AND(VLOOKUP(S$1,main!$A$3:$H$102,7,FALSE)=main!$G$105,VLOOKUP(S$1,main!$A$3:$H$102,5,FALSE)-VLOOKUP($A284,main!$A$3:$H$102,6,FALSE)&gt;=main!$D$103+VLOOKUP(VLOOKUP(S$1,main!$A$3:$I$102,7,FALSE),main!$K$26:$Q$29,5,FALSE)),1,0)</f>
        <v>0</v>
      </c>
      <c r="T284">
        <f>IF(AND(VLOOKUP(T$1,main!$A$3:$H$102,7,FALSE)=main!$G$105,VLOOKUP(T$1,main!$A$3:$H$102,5,FALSE)-VLOOKUP($A284,main!$A$3:$H$102,6,FALSE)&gt;=main!$D$103+VLOOKUP(VLOOKUP(T$1,main!$A$3:$I$102,7,FALSE),main!$K$26:$Q$29,5,FALSE)),1,0)</f>
        <v>0</v>
      </c>
      <c r="U284">
        <f>IF(AND(VLOOKUP(U$1,main!$A$3:$H$102,7,FALSE)=main!$G$105,VLOOKUP(U$1,main!$A$3:$H$102,5,FALSE)-VLOOKUP($A284,main!$A$3:$H$102,6,FALSE)&gt;=main!$D$103+VLOOKUP(VLOOKUP(U$1,main!$A$3:$I$102,7,FALSE),main!$K$26:$Q$29,5,FALSE)),1,0)</f>
        <v>0</v>
      </c>
      <c r="V284">
        <f>IF(AND(VLOOKUP(V$1,main!$A$3:$H$102,7,FALSE)=main!$G$105,VLOOKUP(V$1,main!$A$3:$H$102,5,FALSE)-VLOOKUP($A284,main!$A$3:$H$102,6,FALSE)&gt;=main!$D$103+VLOOKUP(VLOOKUP(V$1,main!$A$3:$I$102,7,FALSE),main!$K$26:$Q$29,5,FALSE)),1,0)</f>
        <v>0</v>
      </c>
      <c r="W284">
        <f>IF(AND(VLOOKUP(W$1,main!$A$3:$H$102,7,FALSE)=main!$G$105,VLOOKUP(W$1,main!$A$3:$H$102,5,FALSE)-VLOOKUP($A284,main!$A$3:$H$102,6,FALSE)&gt;=main!$D$103+VLOOKUP(VLOOKUP(W$1,main!$A$3:$I$102,7,FALSE),main!$K$26:$Q$29,5,FALSE)),1,0)</f>
        <v>0</v>
      </c>
      <c r="X284">
        <f>IF(AND(VLOOKUP(X$1,main!$A$3:$H$102,7,FALSE)=main!$G$105,VLOOKUP(X$1,main!$A$3:$H$102,5,FALSE)-VLOOKUP($A284,main!$A$3:$H$102,6,FALSE)&gt;=main!$D$103+VLOOKUP(VLOOKUP(X$1,main!$A$3:$I$102,7,FALSE),main!$K$26:$Q$29,5,FALSE)),1,0)</f>
        <v>0</v>
      </c>
      <c r="Y284">
        <f>IF(AND(VLOOKUP(Y$1,main!$A$3:$H$102,7,FALSE)=main!$G$105,VLOOKUP(Y$1,main!$A$3:$H$102,5,FALSE)-VLOOKUP($A284,main!$A$3:$H$102,6,FALSE)&gt;=main!$D$103+VLOOKUP(VLOOKUP(Y$1,main!$A$3:$I$102,7,FALSE),main!$K$26:$Q$29,5,FALSE)),1,0)</f>
        <v>0</v>
      </c>
      <c r="Z284">
        <f>IF(AND(VLOOKUP(Z$1,main!$A$3:$H$102,7,FALSE)=main!$G$105,VLOOKUP(Z$1,main!$A$3:$H$102,5,FALSE)-VLOOKUP($A284,main!$A$3:$H$102,6,FALSE)&gt;=main!$D$103+VLOOKUP(VLOOKUP(Z$1,main!$A$3:$I$102,7,FALSE),main!$K$26:$Q$29,5,FALSE)),1,0)</f>
        <v>0</v>
      </c>
      <c r="AA284">
        <f>IF(AND(VLOOKUP(AA$1,main!$A$3:$H$102,7,FALSE)=main!$G$105,VLOOKUP(AA$1,main!$A$3:$H$102,5,FALSE)-VLOOKUP($A284,main!$A$3:$H$102,6,FALSE)&gt;=main!$D$103+VLOOKUP(VLOOKUP(AA$1,main!$A$3:$I$102,7,FALSE),main!$K$26:$Q$29,5,FALSE)),1,0)</f>
        <v>0</v>
      </c>
      <c r="AB284">
        <f>IF(AND(VLOOKUP(AB$1,main!$A$3:$H$102,7,FALSE)=main!$G$105,VLOOKUP(AB$1,main!$A$3:$H$102,5,FALSE)-VLOOKUP($A284,main!$A$3:$H$102,6,FALSE)&gt;=main!$D$103+VLOOKUP(VLOOKUP(AB$1,main!$A$3:$I$102,7,FALSE),main!$K$26:$Q$29,5,FALSE)),1,0)</f>
        <v>0</v>
      </c>
      <c r="AC284">
        <f>IF(AND(VLOOKUP(AC$1,main!$A$3:$H$102,7,FALSE)=main!$G$105,VLOOKUP(AC$1,main!$A$3:$H$102,5,FALSE)-VLOOKUP($A284,main!$A$3:$H$102,6,FALSE)&gt;=main!$D$103+VLOOKUP(VLOOKUP(AC$1,main!$A$3:$I$102,7,FALSE),main!$K$26:$Q$29,5,FALSE)),1,0)</f>
        <v>0</v>
      </c>
      <c r="AD284">
        <f>IF(AND(VLOOKUP(AD$1,main!$A$3:$H$102,7,FALSE)=main!$G$105,VLOOKUP(AD$1,main!$A$3:$H$102,5,FALSE)-VLOOKUP($A284,main!$A$3:$H$102,6,FALSE)&gt;=main!$D$103+VLOOKUP(VLOOKUP(AD$1,main!$A$3:$I$102,7,FALSE),main!$K$26:$Q$29,5,FALSE)),1,0)</f>
        <v>0</v>
      </c>
      <c r="AE284">
        <f>IF(AND(VLOOKUP(AE$1,main!$A$3:$H$102,7,FALSE)=main!$G$105,VLOOKUP(AE$1,main!$A$3:$H$102,5,FALSE)-VLOOKUP($A284,main!$A$3:$H$102,6,FALSE)&gt;=main!$D$103+VLOOKUP(VLOOKUP(AE$1,main!$A$3:$I$102,7,FALSE),main!$K$26:$Q$29,5,FALSE)),1,0)</f>
        <v>0</v>
      </c>
      <c r="AF284">
        <f>IF(AND(VLOOKUP(AF$1,main!$A$3:$H$102,7,FALSE)=main!$G$105,VLOOKUP(AF$1,main!$A$3:$H$102,5,FALSE)-VLOOKUP($A284,main!$A$3:$H$102,6,FALSE)&gt;=main!$D$103+VLOOKUP(VLOOKUP(AF$1,main!$A$3:$I$102,7,FALSE),main!$K$26:$Q$29,5,FALSE)),1,0)</f>
        <v>0</v>
      </c>
      <c r="AG284">
        <f>IF(AND(VLOOKUP(AG$1,main!$A$3:$H$102,7,FALSE)=main!$G$105,VLOOKUP(AG$1,main!$A$3:$H$102,5,FALSE)-VLOOKUP($A284,main!$A$3:$H$102,6,FALSE)&gt;=main!$D$103+VLOOKUP(VLOOKUP(AG$1,main!$A$3:$I$102,7,FALSE),main!$K$26:$Q$29,5,FALSE)),1,0)</f>
        <v>0</v>
      </c>
      <c r="AH284">
        <f>IF(AND(VLOOKUP(AH$1,main!$A$3:$H$102,7,FALSE)=main!$G$105,VLOOKUP(AH$1,main!$A$3:$H$102,5,FALSE)-VLOOKUP($A284,main!$A$3:$H$102,6,FALSE)&gt;=main!$D$103+VLOOKUP(VLOOKUP(AH$1,main!$A$3:$I$102,7,FALSE),main!$K$26:$Q$29,5,FALSE)),1,0)</f>
        <v>0</v>
      </c>
      <c r="AI284">
        <f>IF(AND(VLOOKUP(AI$1,main!$A$3:$H$102,7,FALSE)=main!$G$105,VLOOKUP(AI$1,main!$A$3:$H$102,5,FALSE)-VLOOKUP($A284,main!$A$3:$H$102,6,FALSE)&gt;=main!$D$103+VLOOKUP(VLOOKUP(AI$1,main!$A$3:$I$102,7,FALSE),main!$K$26:$Q$29,5,FALSE)),1,0)</f>
        <v>0</v>
      </c>
      <c r="AJ284">
        <f>IF(AND(VLOOKUP(AJ$1,main!$A$3:$H$102,7,FALSE)=main!$G$105,VLOOKUP(AJ$1,main!$A$3:$H$102,5,FALSE)-VLOOKUP($A284,main!$A$3:$H$102,6,FALSE)&gt;=main!$D$103+VLOOKUP(VLOOKUP(AJ$1,main!$A$3:$I$102,7,FALSE),main!$K$26:$Q$29,5,FALSE)),1,0)</f>
        <v>0</v>
      </c>
      <c r="AK284">
        <f>IF(AND(VLOOKUP(AK$1,main!$A$3:$H$102,7,FALSE)=main!$G$105,VLOOKUP(AK$1,main!$A$3:$H$102,5,FALSE)-VLOOKUP($A284,main!$A$3:$H$102,6,FALSE)&gt;=main!$D$103+VLOOKUP(VLOOKUP(AK$1,main!$A$3:$I$102,7,FALSE),main!$K$26:$Q$29,5,FALSE)),1,0)</f>
        <v>0</v>
      </c>
      <c r="AL284">
        <f>IF(AND(VLOOKUP(AL$1,main!$A$3:$H$102,7,FALSE)=main!$G$105,VLOOKUP(AL$1,main!$A$3:$H$102,5,FALSE)-VLOOKUP($A284,main!$A$3:$H$102,6,FALSE)&gt;=main!$D$103+VLOOKUP(VLOOKUP(AL$1,main!$A$3:$I$102,7,FALSE),main!$K$26:$Q$29,5,FALSE)),1,0)</f>
        <v>0</v>
      </c>
      <c r="AM284">
        <f>IF(AND(VLOOKUP(AM$1,main!$A$3:$H$102,7,FALSE)=main!$G$105,VLOOKUP(AM$1,main!$A$3:$H$102,5,FALSE)-VLOOKUP($A284,main!$A$3:$H$102,6,FALSE)&gt;=main!$D$103+VLOOKUP(VLOOKUP(AM$1,main!$A$3:$I$102,7,FALSE),main!$K$26:$Q$29,5,FALSE)),1,0)</f>
        <v>1</v>
      </c>
      <c r="AN284">
        <f>IF(AND(VLOOKUP(AN$1,main!$A$3:$H$102,7,FALSE)=main!$G$105,VLOOKUP(AN$1,main!$A$3:$H$102,5,FALSE)-VLOOKUP($A284,main!$A$3:$H$102,6,FALSE)&gt;=main!$D$103+VLOOKUP(VLOOKUP(AN$1,main!$A$3:$I$102,7,FALSE),main!$K$26:$Q$29,5,FALSE)),1,0)</f>
        <v>1</v>
      </c>
      <c r="AO284">
        <f>IF(AND(VLOOKUP(AO$1,main!$A$3:$H$102,7,FALSE)=main!$G$105,VLOOKUP(AO$1,main!$A$3:$H$102,5,FALSE)-VLOOKUP($A284,main!$A$3:$H$102,6,FALSE)&gt;=main!$D$103+VLOOKUP(VLOOKUP(AO$1,main!$A$3:$I$102,7,FALSE),main!$K$26:$Q$29,5,FALSE)),1,0)</f>
        <v>0</v>
      </c>
      <c r="AP284">
        <f>IF(AND(VLOOKUP(AP$1,main!$A$3:$H$102,7,FALSE)=main!$G$105,VLOOKUP(AP$1,main!$A$3:$H$102,5,FALSE)-VLOOKUP($A284,main!$A$3:$H$102,6,FALSE)&gt;=main!$D$103+VLOOKUP(VLOOKUP(AP$1,main!$A$3:$I$102,7,FALSE),main!$K$26:$Q$29,5,FALSE)),1,0)</f>
        <v>1</v>
      </c>
      <c r="AQ284">
        <f>IF(AND(VLOOKUP(AQ$1,main!$A$3:$H$102,7,FALSE)=main!$G$105,VLOOKUP(AQ$1,main!$A$3:$H$102,5,FALSE)-VLOOKUP($A284,main!$A$3:$H$102,6,FALSE)&gt;=main!$D$103+VLOOKUP(VLOOKUP(AQ$1,main!$A$3:$I$102,7,FALSE),main!$K$26:$Q$29,5,FALSE)),1,0)</f>
        <v>0</v>
      </c>
      <c r="AR284">
        <f>IF(AND(VLOOKUP(AR$1,main!$A$3:$H$102,7,FALSE)=main!$G$105,VLOOKUP(AR$1,main!$A$3:$H$102,5,FALSE)-VLOOKUP($A284,main!$A$3:$H$102,6,FALSE)&gt;=main!$D$103+VLOOKUP(VLOOKUP(AR$1,main!$A$3:$I$102,7,FALSE),main!$K$26:$Q$29,5,FALSE)),1,0)</f>
        <v>0</v>
      </c>
      <c r="AS284">
        <f>IF(AND(VLOOKUP(AS$1,main!$A$3:$H$102,7,FALSE)=main!$G$105,VLOOKUP(AS$1,main!$A$3:$H$102,5,FALSE)-VLOOKUP($A284,main!$A$3:$H$102,6,FALSE)&gt;=main!$D$103+VLOOKUP(VLOOKUP(AS$1,main!$A$3:$I$102,7,FALSE),main!$K$26:$Q$29,5,FALSE)),1,0)</f>
        <v>0</v>
      </c>
      <c r="AT284">
        <f>IF(AND(VLOOKUP(AT$1,main!$A$3:$H$102,7,FALSE)=main!$G$105,VLOOKUP(AT$1,main!$A$3:$H$102,5,FALSE)-VLOOKUP($A284,main!$A$3:$H$102,6,FALSE)&gt;=main!$D$103+VLOOKUP(VLOOKUP(AT$1,main!$A$3:$I$102,7,FALSE),main!$K$26:$Q$29,5,FALSE)),1,0)</f>
        <v>0</v>
      </c>
      <c r="AU284">
        <f>IF(AND(VLOOKUP(AU$1,main!$A$3:$H$102,7,FALSE)=main!$G$105,VLOOKUP(AU$1,main!$A$3:$H$102,5,FALSE)-VLOOKUP($A284,main!$A$3:$H$102,6,FALSE)&gt;=main!$D$103+VLOOKUP(VLOOKUP(AU$1,main!$A$3:$I$102,7,FALSE),main!$K$26:$Q$29,5,FALSE)),1,0)</f>
        <v>0</v>
      </c>
      <c r="AV284">
        <f>IF(AND(VLOOKUP(AV$1,main!$A$3:$H$102,7,FALSE)=main!$G$105,VLOOKUP(AV$1,main!$A$3:$H$102,5,FALSE)-VLOOKUP($A284,main!$A$3:$H$102,6,FALSE)&gt;=main!$D$103+VLOOKUP(VLOOKUP(AV$1,main!$A$3:$I$102,7,FALSE),main!$K$26:$Q$29,5,FALSE)),1,0)</f>
        <v>0</v>
      </c>
      <c r="AW284">
        <f>IF(AND(VLOOKUP(AW$1,main!$A$3:$H$102,7,FALSE)=main!$G$105,VLOOKUP(AW$1,main!$A$3:$H$102,5,FALSE)-VLOOKUP($A284,main!$A$3:$H$102,6,FALSE)&gt;=main!$D$103+VLOOKUP(VLOOKUP(AW$1,main!$A$3:$I$102,7,FALSE),main!$K$26:$Q$29,5,FALSE)),1,0)</f>
        <v>0</v>
      </c>
      <c r="AX284">
        <f>IF(AND(VLOOKUP(AX$1,main!$A$3:$H$102,7,FALSE)=main!$G$105,VLOOKUP(AX$1,main!$A$3:$H$102,5,FALSE)-VLOOKUP($A284,main!$A$3:$H$102,6,FALSE)&gt;=main!$D$103+VLOOKUP(VLOOKUP(AX$1,main!$A$3:$I$102,7,FALSE),main!$K$26:$Q$29,5,FALSE)),1,0)</f>
        <v>0</v>
      </c>
      <c r="AY284">
        <f>IF(AND(VLOOKUP(AY$1,main!$A$3:$H$102,7,FALSE)=main!$G$105,VLOOKUP(AY$1,main!$A$3:$H$102,5,FALSE)-VLOOKUP($A284,main!$A$3:$H$102,6,FALSE)&gt;=main!$D$103+VLOOKUP(VLOOKUP(AY$1,main!$A$3:$I$102,7,FALSE),main!$K$26:$Q$29,5,FALSE)),1,0)</f>
        <v>0</v>
      </c>
      <c r="AZ284">
        <f>IF(AND(VLOOKUP(AZ$1,main!$A$3:$H$102,7,FALSE)=main!$G$105,VLOOKUP(AZ$1,main!$A$3:$H$102,5,FALSE)-VLOOKUP($A284,main!$A$3:$H$102,6,FALSE)&gt;=main!$D$103+VLOOKUP(VLOOKUP(AZ$1,main!$A$3:$I$102,7,FALSE),main!$K$26:$Q$29,5,FALSE)),1,0)</f>
        <v>0</v>
      </c>
      <c r="BA284">
        <f>IF(AND(VLOOKUP(BA$1,main!$A$3:$H$102,7,FALSE)=main!$G$105,VLOOKUP(BA$1,main!$A$3:$H$102,5,FALSE)-VLOOKUP($A284,main!$A$3:$H$102,6,FALSE)&gt;=main!$D$103+VLOOKUP(VLOOKUP(BA$1,main!$A$3:$I$102,7,FALSE),main!$K$26:$Q$29,5,FALSE)),1,0)</f>
        <v>0</v>
      </c>
      <c r="BB284">
        <f>IF(AND(VLOOKUP(BB$1,main!$A$3:$H$102,7,FALSE)=main!$G$105,VLOOKUP(BB$1,main!$A$3:$H$102,5,FALSE)-VLOOKUP($A284,main!$A$3:$H$102,6,FALSE)&gt;=main!$D$103+VLOOKUP(VLOOKUP(BB$1,main!$A$3:$I$102,7,FALSE),main!$K$26:$Q$29,5,FALSE)),1,0)</f>
        <v>0</v>
      </c>
      <c r="BC284">
        <f>IF(AND(VLOOKUP(BC$1,main!$A$3:$H$102,7,FALSE)=main!$G$105,VLOOKUP(BC$1,main!$A$3:$H$102,5,FALSE)-VLOOKUP($A284,main!$A$3:$H$102,6,FALSE)&gt;=main!$D$103+VLOOKUP(VLOOKUP(BC$1,main!$A$3:$I$102,7,FALSE),main!$K$26:$Q$29,5,FALSE)),1,0)</f>
        <v>0</v>
      </c>
      <c r="BD284">
        <f>IF(AND(VLOOKUP(BD$1,main!$A$3:$H$102,7,FALSE)=main!$G$105,VLOOKUP(BD$1,main!$A$3:$H$102,5,FALSE)-VLOOKUP($A284,main!$A$3:$H$102,6,FALSE)&gt;=main!$D$103+VLOOKUP(VLOOKUP(BD$1,main!$A$3:$I$102,7,FALSE),main!$K$26:$Q$29,5,FALSE)),1,0)</f>
        <v>0</v>
      </c>
      <c r="BE284">
        <f>IF(AND(VLOOKUP(BE$1,main!$A$3:$H$102,7,FALSE)=main!$G$105,VLOOKUP(BE$1,main!$A$3:$H$102,5,FALSE)-VLOOKUP($A284,main!$A$3:$H$102,6,FALSE)&gt;=main!$D$103+VLOOKUP(VLOOKUP(BE$1,main!$A$3:$I$102,7,FALSE),main!$K$26:$Q$29,5,FALSE)),1,0)</f>
        <v>0</v>
      </c>
      <c r="BF284">
        <f>IF(AND(VLOOKUP(BF$1,main!$A$3:$H$102,7,FALSE)=main!$G$105,VLOOKUP(BF$1,main!$A$3:$H$102,5,FALSE)-VLOOKUP($A284,main!$A$3:$H$102,6,FALSE)&gt;=main!$D$103+VLOOKUP(VLOOKUP(BF$1,main!$A$3:$I$102,7,FALSE),main!$K$26:$Q$29,5,FALSE)),1,0)</f>
        <v>0</v>
      </c>
      <c r="BG284">
        <f>IF(AND(VLOOKUP(BG$1,main!$A$3:$H$102,7,FALSE)=main!$G$105,VLOOKUP(BG$1,main!$A$3:$H$102,5,FALSE)-VLOOKUP($A284,main!$A$3:$H$102,6,FALSE)&gt;=main!$D$103+VLOOKUP(VLOOKUP(BG$1,main!$A$3:$I$102,7,FALSE),main!$K$26:$Q$29,5,FALSE)),1,0)</f>
        <v>0</v>
      </c>
      <c r="BH284">
        <f>IF(AND(VLOOKUP(BH$1,main!$A$3:$H$102,7,FALSE)=main!$G$105,VLOOKUP(BH$1,main!$A$3:$H$102,5,FALSE)-VLOOKUP($A284,main!$A$3:$H$102,6,FALSE)&gt;=main!$D$103+VLOOKUP(VLOOKUP(BH$1,main!$A$3:$I$102,7,FALSE),main!$K$26:$Q$29,5,FALSE)),1,0)</f>
        <v>0</v>
      </c>
      <c r="BI284">
        <f>IF(AND(VLOOKUP(BI$1,main!$A$3:$H$102,7,FALSE)=main!$G$105,VLOOKUP(BI$1,main!$A$3:$H$102,5,FALSE)-VLOOKUP($A284,main!$A$3:$H$102,6,FALSE)&gt;=main!$D$103+VLOOKUP(VLOOKUP(BI$1,main!$A$3:$I$102,7,FALSE),main!$K$26:$Q$29,5,FALSE)),1,0)</f>
        <v>0</v>
      </c>
      <c r="BJ284">
        <f>IF(AND(VLOOKUP(BJ$1,main!$A$3:$H$102,7,FALSE)=main!$G$105,VLOOKUP(BJ$1,main!$A$3:$H$102,5,FALSE)-VLOOKUP($A284,main!$A$3:$H$102,6,FALSE)&gt;=main!$D$103+VLOOKUP(VLOOKUP(BJ$1,main!$A$3:$I$102,7,FALSE),main!$K$26:$Q$29,5,FALSE)),1,0)</f>
        <v>0</v>
      </c>
      <c r="BK284">
        <f>IF(AND(VLOOKUP(BK$1,main!$A$3:$H$102,7,FALSE)=main!$G$105,VLOOKUP(BK$1,main!$A$3:$H$102,5,FALSE)-VLOOKUP($A284,main!$A$3:$H$102,6,FALSE)&gt;=main!$D$103+VLOOKUP(VLOOKUP(BK$1,main!$A$3:$I$102,7,FALSE),main!$K$26:$Q$29,5,FALSE)),1,0)</f>
        <v>0</v>
      </c>
      <c r="BL284">
        <f>IF(AND(VLOOKUP(BL$1,main!$A$3:$H$102,7,FALSE)=main!$G$105,VLOOKUP(BL$1,main!$A$3:$H$102,5,FALSE)-VLOOKUP($A284,main!$A$3:$H$102,6,FALSE)&gt;=main!$D$103+VLOOKUP(VLOOKUP(BL$1,main!$A$3:$I$102,7,FALSE),main!$K$26:$Q$29,5,FALSE)),1,0)</f>
        <v>0</v>
      </c>
      <c r="BM284">
        <f>IF(AND(VLOOKUP(BM$1,main!$A$3:$H$102,7,FALSE)=main!$G$105,VLOOKUP(BM$1,main!$A$3:$H$102,5,FALSE)-VLOOKUP($A284,main!$A$3:$H$102,6,FALSE)&gt;=main!$D$103+VLOOKUP(VLOOKUP(BM$1,main!$A$3:$I$102,7,FALSE),main!$K$26:$Q$29,5,FALSE)),1,0)</f>
        <v>0</v>
      </c>
      <c r="BN284">
        <f>IF(AND(VLOOKUP(BN$1,main!$A$3:$H$102,7,FALSE)=main!$G$105,VLOOKUP(BN$1,main!$A$3:$H$102,5,FALSE)-VLOOKUP($A284,main!$A$3:$H$102,6,FALSE)&gt;=main!$D$103+VLOOKUP(VLOOKUP(BN$1,main!$A$3:$I$102,7,FALSE),main!$K$26:$Q$29,5,FALSE)),1,0)</f>
        <v>0</v>
      </c>
      <c r="BO284">
        <f>IF(AND(VLOOKUP(BO$1,main!$A$3:$H$102,7,FALSE)=main!$G$105,VLOOKUP(BO$1,main!$A$3:$H$102,5,FALSE)-VLOOKUP($A284,main!$A$3:$H$102,6,FALSE)&gt;=main!$D$103+VLOOKUP(VLOOKUP(BO$1,main!$A$3:$I$102,7,FALSE),main!$K$26:$Q$29,5,FALSE)),1,0)</f>
        <v>0</v>
      </c>
      <c r="BP284">
        <f>IF(AND(VLOOKUP(BP$1,main!$A$3:$H$102,7,FALSE)=main!$G$105,VLOOKUP(BP$1,main!$A$3:$H$102,5,FALSE)-VLOOKUP($A284,main!$A$3:$H$102,6,FALSE)&gt;=main!$D$103+VLOOKUP(VLOOKUP(BP$1,main!$A$3:$I$102,7,FALSE),main!$K$26:$Q$29,5,FALSE)),1,0)</f>
        <v>0</v>
      </c>
      <c r="BQ284">
        <f>IF(AND(VLOOKUP(BQ$1,main!$A$3:$H$102,7,FALSE)=main!$G$105,VLOOKUP(BQ$1,main!$A$3:$H$102,5,FALSE)-VLOOKUP($A284,main!$A$3:$H$102,6,FALSE)&gt;=main!$D$103+VLOOKUP(VLOOKUP(BQ$1,main!$A$3:$I$102,7,FALSE),main!$K$26:$Q$29,5,FALSE)),1,0)</f>
        <v>0</v>
      </c>
      <c r="BR284">
        <f>IF(AND(VLOOKUP(BR$1,main!$A$3:$H$102,7,FALSE)=main!$G$105,VLOOKUP(BR$1,main!$A$3:$H$102,5,FALSE)-VLOOKUP($A284,main!$A$3:$H$102,6,FALSE)&gt;=main!$D$103+VLOOKUP(VLOOKUP(BR$1,main!$A$3:$I$102,7,FALSE),main!$K$26:$Q$29,5,FALSE)),1,0)</f>
        <v>0</v>
      </c>
      <c r="BS284">
        <f>IF(AND(VLOOKUP(BS$1,main!$A$3:$H$102,7,FALSE)=main!$G$105,VLOOKUP(BS$1,main!$A$3:$H$102,5,FALSE)-VLOOKUP($A284,main!$A$3:$H$102,6,FALSE)&gt;=main!$D$103+VLOOKUP(VLOOKUP(BS$1,main!$A$3:$I$102,7,FALSE),main!$K$26:$Q$29,5,FALSE)),1,0)</f>
        <v>0</v>
      </c>
      <c r="BT284">
        <f>IF(AND(VLOOKUP(BT$1,main!$A$3:$H$102,7,FALSE)=main!$G$105,VLOOKUP(BT$1,main!$A$3:$H$102,5,FALSE)-VLOOKUP($A284,main!$A$3:$H$102,6,FALSE)&gt;=main!$D$103+VLOOKUP(VLOOKUP(BT$1,main!$A$3:$I$102,7,FALSE),main!$K$26:$Q$29,5,FALSE)),1,0)</f>
        <v>0</v>
      </c>
      <c r="BU284">
        <f>IF(AND(VLOOKUP(BU$1,main!$A$3:$H$102,7,FALSE)=main!$G$105,VLOOKUP(BU$1,main!$A$3:$H$102,5,FALSE)-VLOOKUP($A284,main!$A$3:$H$102,6,FALSE)&gt;=main!$D$103+VLOOKUP(VLOOKUP(BU$1,main!$A$3:$I$102,7,FALSE),main!$K$26:$Q$29,5,FALSE)),1,0)</f>
        <v>0</v>
      </c>
      <c r="BV284">
        <f>IF(AND(VLOOKUP(BV$1,main!$A$3:$H$102,7,FALSE)=main!$G$105,VLOOKUP(BV$1,main!$A$3:$H$102,5,FALSE)-VLOOKUP($A284,main!$A$3:$H$102,6,FALSE)&gt;=main!$D$103+VLOOKUP(VLOOKUP(BV$1,main!$A$3:$I$102,7,FALSE),main!$K$26:$Q$29,5,FALSE)),1,0)</f>
        <v>0</v>
      </c>
      <c r="BW284">
        <f>IF(AND(VLOOKUP(BW$1,main!$A$3:$H$102,7,FALSE)=main!$G$105,VLOOKUP(BW$1,main!$A$3:$H$102,5,FALSE)-VLOOKUP($A284,main!$A$3:$H$102,6,FALSE)&gt;=main!$D$103+VLOOKUP(VLOOKUP(BW$1,main!$A$3:$I$102,7,FALSE),main!$K$26:$Q$29,5,FALSE)),1,0)</f>
        <v>0</v>
      </c>
      <c r="BX284">
        <f>IF(AND(VLOOKUP(BX$1,main!$A$3:$H$102,7,FALSE)=main!$G$105,VLOOKUP(BX$1,main!$A$3:$H$102,5,FALSE)-VLOOKUP($A284,main!$A$3:$H$102,6,FALSE)&gt;=main!$D$103+VLOOKUP(VLOOKUP(BX$1,main!$A$3:$I$102,7,FALSE),main!$K$26:$Q$29,5,FALSE)),1,0)</f>
        <v>0</v>
      </c>
      <c r="BY284">
        <f>IF(AND(VLOOKUP(BY$1,main!$A$3:$H$102,7,FALSE)=main!$G$105,VLOOKUP(BY$1,main!$A$3:$H$102,5,FALSE)-VLOOKUP($A284,main!$A$3:$H$102,6,FALSE)&gt;=main!$D$103+VLOOKUP(VLOOKUP(BY$1,main!$A$3:$I$102,7,FALSE),main!$K$26:$Q$29,5,FALSE)),1,0)</f>
        <v>0</v>
      </c>
      <c r="BZ284">
        <f>IF(AND(VLOOKUP(BZ$1,main!$A$3:$H$102,7,FALSE)=main!$G$105,VLOOKUP(BZ$1,main!$A$3:$H$102,5,FALSE)-VLOOKUP($A284,main!$A$3:$H$102,6,FALSE)&gt;=main!$D$103+VLOOKUP(VLOOKUP(BZ$1,main!$A$3:$I$102,7,FALSE),main!$K$26:$Q$29,5,FALSE)),1,0)</f>
        <v>0</v>
      </c>
      <c r="CA284">
        <f>IF(AND(VLOOKUP(CA$1,main!$A$3:$H$102,7,FALSE)=main!$G$105,VLOOKUP(CA$1,main!$A$3:$H$102,5,FALSE)-VLOOKUP($A284,main!$A$3:$H$102,6,FALSE)&gt;=main!$D$103+VLOOKUP(VLOOKUP(CA$1,main!$A$3:$I$102,7,FALSE),main!$K$26:$Q$29,5,FALSE)),1,0)</f>
        <v>0</v>
      </c>
      <c r="CB284">
        <f>IF(AND(VLOOKUP(CB$1,main!$A$3:$H$102,7,FALSE)=main!$G$105,VLOOKUP(CB$1,main!$A$3:$H$102,5,FALSE)-VLOOKUP($A284,main!$A$3:$H$102,6,FALSE)&gt;=main!$D$103+VLOOKUP(VLOOKUP(CB$1,main!$A$3:$I$102,7,FALSE),main!$K$26:$Q$29,5,FALSE)),1,0)</f>
        <v>0</v>
      </c>
      <c r="CC284">
        <f>IF(AND(VLOOKUP(CC$1,main!$A$3:$H$102,7,FALSE)=main!$G$105,VLOOKUP(CC$1,main!$A$3:$H$102,5,FALSE)-VLOOKUP($A284,main!$A$3:$H$102,6,FALSE)&gt;=main!$D$103+VLOOKUP(VLOOKUP(CC$1,main!$A$3:$I$102,7,FALSE),main!$K$26:$Q$29,5,FALSE)),1,0)</f>
        <v>0</v>
      </c>
      <c r="CD284">
        <f>IF(AND(VLOOKUP(CD$1,main!$A$3:$H$102,7,FALSE)=main!$G$105,VLOOKUP(CD$1,main!$A$3:$H$102,5,FALSE)-VLOOKUP($A284,main!$A$3:$H$102,6,FALSE)&gt;=main!$D$103+VLOOKUP(VLOOKUP(CD$1,main!$A$3:$I$102,7,FALSE),main!$K$26:$Q$29,5,FALSE)),1,0)</f>
        <v>0</v>
      </c>
      <c r="CE284">
        <f>IF(AND(VLOOKUP(CE$1,main!$A$3:$H$102,7,FALSE)=main!$G$105,VLOOKUP(CE$1,main!$A$3:$H$102,5,FALSE)-VLOOKUP($A284,main!$A$3:$H$102,6,FALSE)&gt;=main!$D$103+VLOOKUP(VLOOKUP(CE$1,main!$A$3:$I$102,7,FALSE),main!$K$26:$Q$29,5,FALSE)),1,0)</f>
        <v>0</v>
      </c>
      <c r="CF284">
        <f>IF(AND(VLOOKUP(CF$1,main!$A$3:$H$102,7,FALSE)=main!$G$105,VLOOKUP(CF$1,main!$A$3:$H$102,5,FALSE)-VLOOKUP($A284,main!$A$3:$H$102,6,FALSE)&gt;=main!$D$103+VLOOKUP(VLOOKUP(CF$1,main!$A$3:$I$102,7,FALSE),main!$K$26:$Q$29,5,FALSE)),1,0)</f>
        <v>0</v>
      </c>
      <c r="CG284">
        <f>IF(AND(VLOOKUP(CG$1,main!$A$3:$H$102,7,FALSE)=main!$G$105,VLOOKUP(CG$1,main!$A$3:$H$102,5,FALSE)-VLOOKUP($A284,main!$A$3:$H$102,6,FALSE)&gt;=main!$D$103+VLOOKUP(VLOOKUP(CG$1,main!$A$3:$I$102,7,FALSE),main!$K$26:$Q$29,5,FALSE)),1,0)</f>
        <v>0</v>
      </c>
      <c r="CH284">
        <f>IF(AND(VLOOKUP(CH$1,main!$A$3:$H$102,7,FALSE)=main!$G$105,VLOOKUP(CH$1,main!$A$3:$H$102,5,FALSE)-VLOOKUP($A284,main!$A$3:$H$102,6,FALSE)&gt;=main!$D$103+VLOOKUP(VLOOKUP(CH$1,main!$A$3:$I$102,7,FALSE),main!$K$26:$Q$29,5,FALSE)),1,0)</f>
        <v>0</v>
      </c>
      <c r="CI284">
        <f>IF(AND(VLOOKUP(CI$1,main!$A$3:$H$102,7,FALSE)=main!$G$105,VLOOKUP(CI$1,main!$A$3:$H$102,5,FALSE)-VLOOKUP($A284,main!$A$3:$H$102,6,FALSE)&gt;=main!$D$103+VLOOKUP(VLOOKUP(CI$1,main!$A$3:$I$102,7,FALSE),main!$K$26:$Q$29,5,FALSE)),1,0)</f>
        <v>0</v>
      </c>
      <c r="CJ284">
        <f>IF(AND(VLOOKUP(CJ$1,main!$A$3:$H$102,7,FALSE)=main!$G$105,VLOOKUP(CJ$1,main!$A$3:$H$102,5,FALSE)-VLOOKUP($A284,main!$A$3:$H$102,6,FALSE)&gt;=main!$D$103+VLOOKUP(VLOOKUP(CJ$1,main!$A$3:$I$102,7,FALSE),main!$K$26:$Q$29,5,FALSE)),1,0)</f>
        <v>0</v>
      </c>
      <c r="CK284">
        <f>IF(AND(VLOOKUP(CK$1,main!$A$3:$H$102,7,FALSE)=main!$G$105,VLOOKUP(CK$1,main!$A$3:$H$102,5,FALSE)-VLOOKUP($A284,main!$A$3:$H$102,6,FALSE)&gt;=main!$D$103+VLOOKUP(VLOOKUP(CK$1,main!$A$3:$I$102,7,FALSE),main!$K$26:$Q$29,5,FALSE)),1,0)</f>
        <v>0</v>
      </c>
      <c r="CL284">
        <f>IF(AND(VLOOKUP(CL$1,main!$A$3:$H$102,7,FALSE)=main!$G$105,VLOOKUP(CL$1,main!$A$3:$H$102,5,FALSE)-VLOOKUP($A284,main!$A$3:$H$102,6,FALSE)&gt;=main!$D$103+VLOOKUP(VLOOKUP(CL$1,main!$A$3:$I$102,7,FALSE),main!$K$26:$Q$29,5,FALSE)),1,0)</f>
        <v>0</v>
      </c>
      <c r="CM284">
        <f>IF(AND(VLOOKUP(CM$1,main!$A$3:$H$102,7,FALSE)=main!$G$105,VLOOKUP(CM$1,main!$A$3:$H$102,5,FALSE)-VLOOKUP($A284,main!$A$3:$H$102,6,FALSE)&gt;=main!$D$103+VLOOKUP(VLOOKUP(CM$1,main!$A$3:$I$102,7,FALSE),main!$K$26:$Q$29,5,FALSE)),1,0)</f>
        <v>0</v>
      </c>
      <c r="CN284">
        <f>IF(AND(VLOOKUP(CN$1,main!$A$3:$H$102,7,FALSE)=main!$G$105,VLOOKUP(CN$1,main!$A$3:$H$102,5,FALSE)-VLOOKUP($A284,main!$A$3:$H$102,6,FALSE)&gt;=main!$D$103+VLOOKUP(VLOOKUP(CN$1,main!$A$3:$I$102,7,FALSE),main!$K$26:$Q$29,5,FALSE)),1,0)</f>
        <v>0</v>
      </c>
      <c r="CO284">
        <f>IF(AND(VLOOKUP(CO$1,main!$A$3:$H$102,7,FALSE)=main!$G$105,VLOOKUP(CO$1,main!$A$3:$H$102,5,FALSE)-VLOOKUP($A284,main!$A$3:$H$102,6,FALSE)&gt;=main!$D$103+VLOOKUP(VLOOKUP(CO$1,main!$A$3:$I$102,7,FALSE),main!$K$26:$Q$29,5,FALSE)),1,0)</f>
        <v>0</v>
      </c>
      <c r="CP284">
        <f>IF(AND(VLOOKUP(CP$1,main!$A$3:$H$102,7,FALSE)=main!$G$105,VLOOKUP(CP$1,main!$A$3:$H$102,5,FALSE)-VLOOKUP($A284,main!$A$3:$H$102,6,FALSE)&gt;=main!$D$103+VLOOKUP(VLOOKUP(CP$1,main!$A$3:$I$102,7,FALSE),main!$K$26:$Q$29,5,FALSE)),1,0)</f>
        <v>0</v>
      </c>
      <c r="CQ284">
        <f>IF(AND(VLOOKUP(CQ$1,main!$A$3:$H$102,7,FALSE)=main!$G$105,VLOOKUP(CQ$1,main!$A$3:$H$102,5,FALSE)-VLOOKUP($A284,main!$A$3:$H$102,6,FALSE)&gt;=main!$D$103+VLOOKUP(VLOOKUP(CQ$1,main!$A$3:$I$102,7,FALSE),main!$K$26:$Q$29,5,FALSE)),1,0)</f>
        <v>0</v>
      </c>
      <c r="CR284">
        <f>IF(AND(VLOOKUP(CR$1,main!$A$3:$H$102,7,FALSE)=main!$G$105,VLOOKUP(CR$1,main!$A$3:$H$102,5,FALSE)-VLOOKUP($A284,main!$A$3:$H$102,6,FALSE)&gt;=main!$D$103+VLOOKUP(VLOOKUP(CR$1,main!$A$3:$I$102,7,FALSE),main!$K$26:$Q$29,5,FALSE)),1,0)</f>
        <v>0</v>
      </c>
      <c r="CS284">
        <f>IF(AND(VLOOKUP(CS$1,main!$A$3:$H$102,7,FALSE)=main!$G$105,VLOOKUP(CS$1,main!$A$3:$H$102,5,FALSE)-VLOOKUP($A284,main!$A$3:$H$102,6,FALSE)&gt;=main!$D$103+VLOOKUP(VLOOKUP(CS$1,main!$A$3:$I$102,7,FALSE),main!$K$26:$Q$29,5,FALSE)),1,0)</f>
        <v>0</v>
      </c>
      <c r="CT284">
        <f>IF(AND(VLOOKUP(CT$1,main!$A$3:$H$102,7,FALSE)=main!$G$105,VLOOKUP(CT$1,main!$A$3:$H$102,5,FALSE)-VLOOKUP($A284,main!$A$3:$H$102,6,FALSE)&gt;=main!$D$103+VLOOKUP(VLOOKUP(CT$1,main!$A$3:$I$102,7,FALSE),main!$K$26:$Q$29,5,FALSE)),1,0)</f>
        <v>0</v>
      </c>
      <c r="CU284">
        <f>IF(AND(VLOOKUP(CU$1,main!$A$3:$H$102,7,FALSE)=main!$G$105,VLOOKUP(CU$1,main!$A$3:$H$102,5,FALSE)-VLOOKUP($A284,main!$A$3:$H$102,6,FALSE)&gt;=main!$D$103+VLOOKUP(VLOOKUP(CU$1,main!$A$3:$I$102,7,FALSE),main!$K$26:$Q$29,5,FALSE)),1,0)</f>
        <v>0</v>
      </c>
      <c r="CV284">
        <f>IF(AND(VLOOKUP(CV$1,main!$A$3:$H$102,7,FALSE)=main!$G$105,VLOOKUP(CV$1,main!$A$3:$H$102,5,FALSE)-VLOOKUP($A284,main!$A$3:$H$102,6,FALSE)&gt;=main!$D$103+VLOOKUP(VLOOKUP(CV$1,main!$A$3:$I$102,7,FALSE),main!$K$26:$Q$29,5,FALSE)),1,0)</f>
        <v>0</v>
      </c>
      <c r="CW284">
        <f>IF(AND(VLOOKUP(CW$1,main!$A$3:$H$102,7,FALSE)=main!$G$105,VLOOKUP(CW$1,main!$A$3:$H$102,5,FALSE)-VLOOKUP($A284,main!$A$3:$H$102,6,FALSE)&gt;=main!$D$103+VLOOKUP(VLOOKUP(CW$1,main!$A$3:$I$102,7,FALSE),main!$K$26:$Q$29,5,FALSE)),1,0)</f>
        <v>0</v>
      </c>
      <c r="CX284">
        <f>IF(AND(VLOOKUP(CX$1,main!$A$3:$H$102,7,FALSE)=main!$G$105,VLOOKUP(CX$1,main!$A$3:$H$102,5,FALSE)-VLOOKUP($A284,main!$A$3:$H$102,6,FALSE)&gt;=main!$D$103+VLOOKUP(VLOOKUP(CX$1,main!$A$3:$I$102,7,FALSE),main!$K$26:$Q$29,5,FALSE)),1,0)</f>
        <v>0</v>
      </c>
    </row>
    <row r="285" spans="1:102" x14ac:dyDescent="0.25">
      <c r="A285" s="1">
        <v>81</v>
      </c>
      <c r="B285">
        <v>0</v>
      </c>
      <c r="C285">
        <f>IF(AND(VLOOKUP(C$1,main!$A$3:$H$102,7,FALSE)=main!$G$105,VLOOKUP(C$1,main!$A$3:$H$102,5,FALSE)-VLOOKUP($A285,main!$A$3:$H$102,6,FALSE)&gt;=main!$D$103+VLOOKUP(VLOOKUP(C$1,main!$A$3:$I$102,7,FALSE),main!$K$26:$Q$29,5,FALSE)),1,0)</f>
        <v>0</v>
      </c>
      <c r="D285">
        <f>IF(AND(VLOOKUP(D$1,main!$A$3:$H$102,7,FALSE)=main!$G$105,VLOOKUP(D$1,main!$A$3:$H$102,5,FALSE)-VLOOKUP($A285,main!$A$3:$H$102,6,FALSE)&gt;=main!$D$103+VLOOKUP(VLOOKUP(D$1,main!$A$3:$I$102,7,FALSE),main!$K$26:$Q$29,5,FALSE)),1,0)</f>
        <v>0</v>
      </c>
      <c r="E285">
        <f>IF(AND(VLOOKUP(E$1,main!$A$3:$H$102,7,FALSE)=main!$G$105,VLOOKUP(E$1,main!$A$3:$H$102,5,FALSE)-VLOOKUP($A285,main!$A$3:$H$102,6,FALSE)&gt;=main!$D$103+VLOOKUP(VLOOKUP(E$1,main!$A$3:$I$102,7,FALSE),main!$K$26:$Q$29,5,FALSE)),1,0)</f>
        <v>0</v>
      </c>
      <c r="F285">
        <f>IF(AND(VLOOKUP(F$1,main!$A$3:$H$102,7,FALSE)=main!$G$105,VLOOKUP(F$1,main!$A$3:$H$102,5,FALSE)-VLOOKUP($A285,main!$A$3:$H$102,6,FALSE)&gt;=main!$D$103+VLOOKUP(VLOOKUP(F$1,main!$A$3:$I$102,7,FALSE),main!$K$26:$Q$29,5,FALSE)),1,0)</f>
        <v>0</v>
      </c>
      <c r="G285">
        <f>IF(AND(VLOOKUP(G$1,main!$A$3:$H$102,7,FALSE)=main!$G$105,VLOOKUP(G$1,main!$A$3:$H$102,5,FALSE)-VLOOKUP($A285,main!$A$3:$H$102,6,FALSE)&gt;=main!$D$103+VLOOKUP(VLOOKUP(G$1,main!$A$3:$I$102,7,FALSE),main!$K$26:$Q$29,5,FALSE)),1,0)</f>
        <v>0</v>
      </c>
      <c r="H285">
        <f>IF(AND(VLOOKUP(H$1,main!$A$3:$H$102,7,FALSE)=main!$G$105,VLOOKUP(H$1,main!$A$3:$H$102,5,FALSE)-VLOOKUP($A285,main!$A$3:$H$102,6,FALSE)&gt;=main!$D$103+VLOOKUP(VLOOKUP(H$1,main!$A$3:$I$102,7,FALSE),main!$K$26:$Q$29,5,FALSE)),1,0)</f>
        <v>0</v>
      </c>
      <c r="I285">
        <f>IF(AND(VLOOKUP(I$1,main!$A$3:$H$102,7,FALSE)=main!$G$105,VLOOKUP(I$1,main!$A$3:$H$102,5,FALSE)-VLOOKUP($A285,main!$A$3:$H$102,6,FALSE)&gt;=main!$D$103+VLOOKUP(VLOOKUP(I$1,main!$A$3:$I$102,7,FALSE),main!$K$26:$Q$29,5,FALSE)),1,0)</f>
        <v>0</v>
      </c>
      <c r="J285">
        <f>IF(AND(VLOOKUP(J$1,main!$A$3:$H$102,7,FALSE)=main!$G$105,VLOOKUP(J$1,main!$A$3:$H$102,5,FALSE)-VLOOKUP($A285,main!$A$3:$H$102,6,FALSE)&gt;=main!$D$103+VLOOKUP(VLOOKUP(J$1,main!$A$3:$I$102,7,FALSE),main!$K$26:$Q$29,5,FALSE)),1,0)</f>
        <v>0</v>
      </c>
      <c r="K285">
        <f>IF(AND(VLOOKUP(K$1,main!$A$3:$H$102,7,FALSE)=main!$G$105,VLOOKUP(K$1,main!$A$3:$H$102,5,FALSE)-VLOOKUP($A285,main!$A$3:$H$102,6,FALSE)&gt;=main!$D$103+VLOOKUP(VLOOKUP(K$1,main!$A$3:$I$102,7,FALSE),main!$K$26:$Q$29,5,FALSE)),1,0)</f>
        <v>0</v>
      </c>
      <c r="L285">
        <f>IF(AND(VLOOKUP(L$1,main!$A$3:$H$102,7,FALSE)=main!$G$105,VLOOKUP(L$1,main!$A$3:$H$102,5,FALSE)-VLOOKUP($A285,main!$A$3:$H$102,6,FALSE)&gt;=main!$D$103+VLOOKUP(VLOOKUP(L$1,main!$A$3:$I$102,7,FALSE),main!$K$26:$Q$29,5,FALSE)),1,0)</f>
        <v>0</v>
      </c>
      <c r="M285">
        <f>IF(AND(VLOOKUP(M$1,main!$A$3:$H$102,7,FALSE)=main!$G$105,VLOOKUP(M$1,main!$A$3:$H$102,5,FALSE)-VLOOKUP($A285,main!$A$3:$H$102,6,FALSE)&gt;=main!$D$103+VLOOKUP(VLOOKUP(M$1,main!$A$3:$I$102,7,FALSE),main!$K$26:$Q$29,5,FALSE)),1,0)</f>
        <v>0</v>
      </c>
      <c r="N285">
        <f>IF(AND(VLOOKUP(N$1,main!$A$3:$H$102,7,FALSE)=main!$G$105,VLOOKUP(N$1,main!$A$3:$H$102,5,FALSE)-VLOOKUP($A285,main!$A$3:$H$102,6,FALSE)&gt;=main!$D$103+VLOOKUP(VLOOKUP(N$1,main!$A$3:$I$102,7,FALSE),main!$K$26:$Q$29,5,FALSE)),1,0)</f>
        <v>0</v>
      </c>
      <c r="O285">
        <f>IF(AND(VLOOKUP(O$1,main!$A$3:$H$102,7,FALSE)=main!$G$105,VLOOKUP(O$1,main!$A$3:$H$102,5,FALSE)-VLOOKUP($A285,main!$A$3:$H$102,6,FALSE)&gt;=main!$D$103+VLOOKUP(VLOOKUP(O$1,main!$A$3:$I$102,7,FALSE),main!$K$26:$Q$29,5,FALSE)),1,0)</f>
        <v>0</v>
      </c>
      <c r="P285">
        <f>IF(AND(VLOOKUP(P$1,main!$A$3:$H$102,7,FALSE)=main!$G$105,VLOOKUP(P$1,main!$A$3:$H$102,5,FALSE)-VLOOKUP($A285,main!$A$3:$H$102,6,FALSE)&gt;=main!$D$103+VLOOKUP(VLOOKUP(P$1,main!$A$3:$I$102,7,FALSE),main!$K$26:$Q$29,5,FALSE)),1,0)</f>
        <v>0</v>
      </c>
      <c r="Q285">
        <f>IF(AND(VLOOKUP(Q$1,main!$A$3:$H$102,7,FALSE)=main!$G$105,VLOOKUP(Q$1,main!$A$3:$H$102,5,FALSE)-VLOOKUP($A285,main!$A$3:$H$102,6,FALSE)&gt;=main!$D$103+VLOOKUP(VLOOKUP(Q$1,main!$A$3:$I$102,7,FALSE),main!$K$26:$Q$29,5,FALSE)),1,0)</f>
        <v>0</v>
      </c>
      <c r="R285">
        <f>IF(AND(VLOOKUP(R$1,main!$A$3:$H$102,7,FALSE)=main!$G$105,VLOOKUP(R$1,main!$A$3:$H$102,5,FALSE)-VLOOKUP($A285,main!$A$3:$H$102,6,FALSE)&gt;=main!$D$103+VLOOKUP(VLOOKUP(R$1,main!$A$3:$I$102,7,FALSE),main!$K$26:$Q$29,5,FALSE)),1,0)</f>
        <v>0</v>
      </c>
      <c r="S285">
        <f>IF(AND(VLOOKUP(S$1,main!$A$3:$H$102,7,FALSE)=main!$G$105,VLOOKUP(S$1,main!$A$3:$H$102,5,FALSE)-VLOOKUP($A285,main!$A$3:$H$102,6,FALSE)&gt;=main!$D$103+VLOOKUP(VLOOKUP(S$1,main!$A$3:$I$102,7,FALSE),main!$K$26:$Q$29,5,FALSE)),1,0)</f>
        <v>0</v>
      </c>
      <c r="T285">
        <f>IF(AND(VLOOKUP(T$1,main!$A$3:$H$102,7,FALSE)=main!$G$105,VLOOKUP(T$1,main!$A$3:$H$102,5,FALSE)-VLOOKUP($A285,main!$A$3:$H$102,6,FALSE)&gt;=main!$D$103+VLOOKUP(VLOOKUP(T$1,main!$A$3:$I$102,7,FALSE),main!$K$26:$Q$29,5,FALSE)),1,0)</f>
        <v>0</v>
      </c>
      <c r="U285">
        <f>IF(AND(VLOOKUP(U$1,main!$A$3:$H$102,7,FALSE)=main!$G$105,VLOOKUP(U$1,main!$A$3:$H$102,5,FALSE)-VLOOKUP($A285,main!$A$3:$H$102,6,FALSE)&gt;=main!$D$103+VLOOKUP(VLOOKUP(U$1,main!$A$3:$I$102,7,FALSE),main!$K$26:$Q$29,5,FALSE)),1,0)</f>
        <v>0</v>
      </c>
      <c r="V285">
        <f>IF(AND(VLOOKUP(V$1,main!$A$3:$H$102,7,FALSE)=main!$G$105,VLOOKUP(V$1,main!$A$3:$H$102,5,FALSE)-VLOOKUP($A285,main!$A$3:$H$102,6,FALSE)&gt;=main!$D$103+VLOOKUP(VLOOKUP(V$1,main!$A$3:$I$102,7,FALSE),main!$K$26:$Q$29,5,FALSE)),1,0)</f>
        <v>0</v>
      </c>
      <c r="W285">
        <f>IF(AND(VLOOKUP(W$1,main!$A$3:$H$102,7,FALSE)=main!$G$105,VLOOKUP(W$1,main!$A$3:$H$102,5,FALSE)-VLOOKUP($A285,main!$A$3:$H$102,6,FALSE)&gt;=main!$D$103+VLOOKUP(VLOOKUP(W$1,main!$A$3:$I$102,7,FALSE),main!$K$26:$Q$29,5,FALSE)),1,0)</f>
        <v>0</v>
      </c>
      <c r="X285">
        <f>IF(AND(VLOOKUP(X$1,main!$A$3:$H$102,7,FALSE)=main!$G$105,VLOOKUP(X$1,main!$A$3:$H$102,5,FALSE)-VLOOKUP($A285,main!$A$3:$H$102,6,FALSE)&gt;=main!$D$103+VLOOKUP(VLOOKUP(X$1,main!$A$3:$I$102,7,FALSE),main!$K$26:$Q$29,5,FALSE)),1,0)</f>
        <v>0</v>
      </c>
      <c r="Y285">
        <f>IF(AND(VLOOKUP(Y$1,main!$A$3:$H$102,7,FALSE)=main!$G$105,VLOOKUP(Y$1,main!$A$3:$H$102,5,FALSE)-VLOOKUP($A285,main!$A$3:$H$102,6,FALSE)&gt;=main!$D$103+VLOOKUP(VLOOKUP(Y$1,main!$A$3:$I$102,7,FALSE),main!$K$26:$Q$29,5,FALSE)),1,0)</f>
        <v>0</v>
      </c>
      <c r="Z285">
        <f>IF(AND(VLOOKUP(Z$1,main!$A$3:$H$102,7,FALSE)=main!$G$105,VLOOKUP(Z$1,main!$A$3:$H$102,5,FALSE)-VLOOKUP($A285,main!$A$3:$H$102,6,FALSE)&gt;=main!$D$103+VLOOKUP(VLOOKUP(Z$1,main!$A$3:$I$102,7,FALSE),main!$K$26:$Q$29,5,FALSE)),1,0)</f>
        <v>0</v>
      </c>
      <c r="AA285">
        <f>IF(AND(VLOOKUP(AA$1,main!$A$3:$H$102,7,FALSE)=main!$G$105,VLOOKUP(AA$1,main!$A$3:$H$102,5,FALSE)-VLOOKUP($A285,main!$A$3:$H$102,6,FALSE)&gt;=main!$D$103+VLOOKUP(VLOOKUP(AA$1,main!$A$3:$I$102,7,FALSE),main!$K$26:$Q$29,5,FALSE)),1,0)</f>
        <v>0</v>
      </c>
      <c r="AB285">
        <f>IF(AND(VLOOKUP(AB$1,main!$A$3:$H$102,7,FALSE)=main!$G$105,VLOOKUP(AB$1,main!$A$3:$H$102,5,FALSE)-VLOOKUP($A285,main!$A$3:$H$102,6,FALSE)&gt;=main!$D$103+VLOOKUP(VLOOKUP(AB$1,main!$A$3:$I$102,7,FALSE),main!$K$26:$Q$29,5,FALSE)),1,0)</f>
        <v>0</v>
      </c>
      <c r="AC285">
        <f>IF(AND(VLOOKUP(AC$1,main!$A$3:$H$102,7,FALSE)=main!$G$105,VLOOKUP(AC$1,main!$A$3:$H$102,5,FALSE)-VLOOKUP($A285,main!$A$3:$H$102,6,FALSE)&gt;=main!$D$103+VLOOKUP(VLOOKUP(AC$1,main!$A$3:$I$102,7,FALSE),main!$K$26:$Q$29,5,FALSE)),1,0)</f>
        <v>0</v>
      </c>
      <c r="AD285">
        <f>IF(AND(VLOOKUP(AD$1,main!$A$3:$H$102,7,FALSE)=main!$G$105,VLOOKUP(AD$1,main!$A$3:$H$102,5,FALSE)-VLOOKUP($A285,main!$A$3:$H$102,6,FALSE)&gt;=main!$D$103+VLOOKUP(VLOOKUP(AD$1,main!$A$3:$I$102,7,FALSE),main!$K$26:$Q$29,5,FALSE)),1,0)</f>
        <v>0</v>
      </c>
      <c r="AE285">
        <f>IF(AND(VLOOKUP(AE$1,main!$A$3:$H$102,7,FALSE)=main!$G$105,VLOOKUP(AE$1,main!$A$3:$H$102,5,FALSE)-VLOOKUP($A285,main!$A$3:$H$102,6,FALSE)&gt;=main!$D$103+VLOOKUP(VLOOKUP(AE$1,main!$A$3:$I$102,7,FALSE),main!$K$26:$Q$29,5,FALSE)),1,0)</f>
        <v>0</v>
      </c>
      <c r="AF285">
        <f>IF(AND(VLOOKUP(AF$1,main!$A$3:$H$102,7,FALSE)=main!$G$105,VLOOKUP(AF$1,main!$A$3:$H$102,5,FALSE)-VLOOKUP($A285,main!$A$3:$H$102,6,FALSE)&gt;=main!$D$103+VLOOKUP(VLOOKUP(AF$1,main!$A$3:$I$102,7,FALSE),main!$K$26:$Q$29,5,FALSE)),1,0)</f>
        <v>0</v>
      </c>
      <c r="AG285">
        <f>IF(AND(VLOOKUP(AG$1,main!$A$3:$H$102,7,FALSE)=main!$G$105,VLOOKUP(AG$1,main!$A$3:$H$102,5,FALSE)-VLOOKUP($A285,main!$A$3:$H$102,6,FALSE)&gt;=main!$D$103+VLOOKUP(VLOOKUP(AG$1,main!$A$3:$I$102,7,FALSE),main!$K$26:$Q$29,5,FALSE)),1,0)</f>
        <v>0</v>
      </c>
      <c r="AH285">
        <f>IF(AND(VLOOKUP(AH$1,main!$A$3:$H$102,7,FALSE)=main!$G$105,VLOOKUP(AH$1,main!$A$3:$H$102,5,FALSE)-VLOOKUP($A285,main!$A$3:$H$102,6,FALSE)&gt;=main!$D$103+VLOOKUP(VLOOKUP(AH$1,main!$A$3:$I$102,7,FALSE),main!$K$26:$Q$29,5,FALSE)),1,0)</f>
        <v>0</v>
      </c>
      <c r="AI285">
        <f>IF(AND(VLOOKUP(AI$1,main!$A$3:$H$102,7,FALSE)=main!$G$105,VLOOKUP(AI$1,main!$A$3:$H$102,5,FALSE)-VLOOKUP($A285,main!$A$3:$H$102,6,FALSE)&gt;=main!$D$103+VLOOKUP(VLOOKUP(AI$1,main!$A$3:$I$102,7,FALSE),main!$K$26:$Q$29,5,FALSE)),1,0)</f>
        <v>0</v>
      </c>
      <c r="AJ285">
        <f>IF(AND(VLOOKUP(AJ$1,main!$A$3:$H$102,7,FALSE)=main!$G$105,VLOOKUP(AJ$1,main!$A$3:$H$102,5,FALSE)-VLOOKUP($A285,main!$A$3:$H$102,6,FALSE)&gt;=main!$D$103+VLOOKUP(VLOOKUP(AJ$1,main!$A$3:$I$102,7,FALSE),main!$K$26:$Q$29,5,FALSE)),1,0)</f>
        <v>0</v>
      </c>
      <c r="AK285">
        <f>IF(AND(VLOOKUP(AK$1,main!$A$3:$H$102,7,FALSE)=main!$G$105,VLOOKUP(AK$1,main!$A$3:$H$102,5,FALSE)-VLOOKUP($A285,main!$A$3:$H$102,6,FALSE)&gt;=main!$D$103+VLOOKUP(VLOOKUP(AK$1,main!$A$3:$I$102,7,FALSE),main!$K$26:$Q$29,5,FALSE)),1,0)</f>
        <v>0</v>
      </c>
      <c r="AL285">
        <f>IF(AND(VLOOKUP(AL$1,main!$A$3:$H$102,7,FALSE)=main!$G$105,VLOOKUP(AL$1,main!$A$3:$H$102,5,FALSE)-VLOOKUP($A285,main!$A$3:$H$102,6,FALSE)&gt;=main!$D$103+VLOOKUP(VLOOKUP(AL$1,main!$A$3:$I$102,7,FALSE),main!$K$26:$Q$29,5,FALSE)),1,0)</f>
        <v>1</v>
      </c>
      <c r="AM285">
        <f>IF(AND(VLOOKUP(AM$1,main!$A$3:$H$102,7,FALSE)=main!$G$105,VLOOKUP(AM$1,main!$A$3:$H$102,5,FALSE)-VLOOKUP($A285,main!$A$3:$H$102,6,FALSE)&gt;=main!$D$103+VLOOKUP(VLOOKUP(AM$1,main!$A$3:$I$102,7,FALSE),main!$K$26:$Q$29,5,FALSE)),1,0)</f>
        <v>1</v>
      </c>
      <c r="AN285">
        <f>IF(AND(VLOOKUP(AN$1,main!$A$3:$H$102,7,FALSE)=main!$G$105,VLOOKUP(AN$1,main!$A$3:$H$102,5,FALSE)-VLOOKUP($A285,main!$A$3:$H$102,6,FALSE)&gt;=main!$D$103+VLOOKUP(VLOOKUP(AN$1,main!$A$3:$I$102,7,FALSE),main!$K$26:$Q$29,5,FALSE)),1,0)</f>
        <v>1</v>
      </c>
      <c r="AO285">
        <f>IF(AND(VLOOKUP(AO$1,main!$A$3:$H$102,7,FALSE)=main!$G$105,VLOOKUP(AO$1,main!$A$3:$H$102,5,FALSE)-VLOOKUP($A285,main!$A$3:$H$102,6,FALSE)&gt;=main!$D$103+VLOOKUP(VLOOKUP(AO$1,main!$A$3:$I$102,7,FALSE),main!$K$26:$Q$29,5,FALSE)),1,0)</f>
        <v>0</v>
      </c>
      <c r="AP285">
        <f>IF(AND(VLOOKUP(AP$1,main!$A$3:$H$102,7,FALSE)=main!$G$105,VLOOKUP(AP$1,main!$A$3:$H$102,5,FALSE)-VLOOKUP($A285,main!$A$3:$H$102,6,FALSE)&gt;=main!$D$103+VLOOKUP(VLOOKUP(AP$1,main!$A$3:$I$102,7,FALSE),main!$K$26:$Q$29,5,FALSE)),1,0)</f>
        <v>1</v>
      </c>
      <c r="AQ285">
        <f>IF(AND(VLOOKUP(AQ$1,main!$A$3:$H$102,7,FALSE)=main!$G$105,VLOOKUP(AQ$1,main!$A$3:$H$102,5,FALSE)-VLOOKUP($A285,main!$A$3:$H$102,6,FALSE)&gt;=main!$D$103+VLOOKUP(VLOOKUP(AQ$1,main!$A$3:$I$102,7,FALSE),main!$K$26:$Q$29,5,FALSE)),1,0)</f>
        <v>0</v>
      </c>
      <c r="AR285">
        <f>IF(AND(VLOOKUP(AR$1,main!$A$3:$H$102,7,FALSE)=main!$G$105,VLOOKUP(AR$1,main!$A$3:$H$102,5,FALSE)-VLOOKUP($A285,main!$A$3:$H$102,6,FALSE)&gt;=main!$D$103+VLOOKUP(VLOOKUP(AR$1,main!$A$3:$I$102,7,FALSE),main!$K$26:$Q$29,5,FALSE)),1,0)</f>
        <v>0</v>
      </c>
      <c r="AS285">
        <f>IF(AND(VLOOKUP(AS$1,main!$A$3:$H$102,7,FALSE)=main!$G$105,VLOOKUP(AS$1,main!$A$3:$H$102,5,FALSE)-VLOOKUP($A285,main!$A$3:$H$102,6,FALSE)&gt;=main!$D$103+VLOOKUP(VLOOKUP(AS$1,main!$A$3:$I$102,7,FALSE),main!$K$26:$Q$29,5,FALSE)),1,0)</f>
        <v>0</v>
      </c>
      <c r="AT285">
        <f>IF(AND(VLOOKUP(AT$1,main!$A$3:$H$102,7,FALSE)=main!$G$105,VLOOKUP(AT$1,main!$A$3:$H$102,5,FALSE)-VLOOKUP($A285,main!$A$3:$H$102,6,FALSE)&gt;=main!$D$103+VLOOKUP(VLOOKUP(AT$1,main!$A$3:$I$102,7,FALSE),main!$K$26:$Q$29,5,FALSE)),1,0)</f>
        <v>1</v>
      </c>
      <c r="AU285">
        <f>IF(AND(VLOOKUP(AU$1,main!$A$3:$H$102,7,FALSE)=main!$G$105,VLOOKUP(AU$1,main!$A$3:$H$102,5,FALSE)-VLOOKUP($A285,main!$A$3:$H$102,6,FALSE)&gt;=main!$D$103+VLOOKUP(VLOOKUP(AU$1,main!$A$3:$I$102,7,FALSE),main!$K$26:$Q$29,5,FALSE)),1,0)</f>
        <v>0</v>
      </c>
      <c r="AV285">
        <f>IF(AND(VLOOKUP(AV$1,main!$A$3:$H$102,7,FALSE)=main!$G$105,VLOOKUP(AV$1,main!$A$3:$H$102,5,FALSE)-VLOOKUP($A285,main!$A$3:$H$102,6,FALSE)&gt;=main!$D$103+VLOOKUP(VLOOKUP(AV$1,main!$A$3:$I$102,7,FALSE),main!$K$26:$Q$29,5,FALSE)),1,0)</f>
        <v>0</v>
      </c>
      <c r="AW285">
        <f>IF(AND(VLOOKUP(AW$1,main!$A$3:$H$102,7,FALSE)=main!$G$105,VLOOKUP(AW$1,main!$A$3:$H$102,5,FALSE)-VLOOKUP($A285,main!$A$3:$H$102,6,FALSE)&gt;=main!$D$103+VLOOKUP(VLOOKUP(AW$1,main!$A$3:$I$102,7,FALSE),main!$K$26:$Q$29,5,FALSE)),1,0)</f>
        <v>0</v>
      </c>
      <c r="AX285">
        <f>IF(AND(VLOOKUP(AX$1,main!$A$3:$H$102,7,FALSE)=main!$G$105,VLOOKUP(AX$1,main!$A$3:$H$102,5,FALSE)-VLOOKUP($A285,main!$A$3:$H$102,6,FALSE)&gt;=main!$D$103+VLOOKUP(VLOOKUP(AX$1,main!$A$3:$I$102,7,FALSE),main!$K$26:$Q$29,5,FALSE)),1,0)</f>
        <v>0</v>
      </c>
      <c r="AY285">
        <f>IF(AND(VLOOKUP(AY$1,main!$A$3:$H$102,7,FALSE)=main!$G$105,VLOOKUP(AY$1,main!$A$3:$H$102,5,FALSE)-VLOOKUP($A285,main!$A$3:$H$102,6,FALSE)&gt;=main!$D$103+VLOOKUP(VLOOKUP(AY$1,main!$A$3:$I$102,7,FALSE),main!$K$26:$Q$29,5,FALSE)),1,0)</f>
        <v>0</v>
      </c>
      <c r="AZ285">
        <f>IF(AND(VLOOKUP(AZ$1,main!$A$3:$H$102,7,FALSE)=main!$G$105,VLOOKUP(AZ$1,main!$A$3:$H$102,5,FALSE)-VLOOKUP($A285,main!$A$3:$H$102,6,FALSE)&gt;=main!$D$103+VLOOKUP(VLOOKUP(AZ$1,main!$A$3:$I$102,7,FALSE),main!$K$26:$Q$29,5,FALSE)),1,0)</f>
        <v>0</v>
      </c>
      <c r="BA285">
        <f>IF(AND(VLOOKUP(BA$1,main!$A$3:$H$102,7,FALSE)=main!$G$105,VLOOKUP(BA$1,main!$A$3:$H$102,5,FALSE)-VLOOKUP($A285,main!$A$3:$H$102,6,FALSE)&gt;=main!$D$103+VLOOKUP(VLOOKUP(BA$1,main!$A$3:$I$102,7,FALSE),main!$K$26:$Q$29,5,FALSE)),1,0)</f>
        <v>0</v>
      </c>
      <c r="BB285">
        <f>IF(AND(VLOOKUP(BB$1,main!$A$3:$H$102,7,FALSE)=main!$G$105,VLOOKUP(BB$1,main!$A$3:$H$102,5,FALSE)-VLOOKUP($A285,main!$A$3:$H$102,6,FALSE)&gt;=main!$D$103+VLOOKUP(VLOOKUP(BB$1,main!$A$3:$I$102,7,FALSE),main!$K$26:$Q$29,5,FALSE)),1,0)</f>
        <v>0</v>
      </c>
      <c r="BC285">
        <f>IF(AND(VLOOKUP(BC$1,main!$A$3:$H$102,7,FALSE)=main!$G$105,VLOOKUP(BC$1,main!$A$3:$H$102,5,FALSE)-VLOOKUP($A285,main!$A$3:$H$102,6,FALSE)&gt;=main!$D$103+VLOOKUP(VLOOKUP(BC$1,main!$A$3:$I$102,7,FALSE),main!$K$26:$Q$29,5,FALSE)),1,0)</f>
        <v>0</v>
      </c>
      <c r="BD285">
        <f>IF(AND(VLOOKUP(BD$1,main!$A$3:$H$102,7,FALSE)=main!$G$105,VLOOKUP(BD$1,main!$A$3:$H$102,5,FALSE)-VLOOKUP($A285,main!$A$3:$H$102,6,FALSE)&gt;=main!$D$103+VLOOKUP(VLOOKUP(BD$1,main!$A$3:$I$102,7,FALSE),main!$K$26:$Q$29,5,FALSE)),1,0)</f>
        <v>0</v>
      </c>
      <c r="BE285">
        <f>IF(AND(VLOOKUP(BE$1,main!$A$3:$H$102,7,FALSE)=main!$G$105,VLOOKUP(BE$1,main!$A$3:$H$102,5,FALSE)-VLOOKUP($A285,main!$A$3:$H$102,6,FALSE)&gt;=main!$D$103+VLOOKUP(VLOOKUP(BE$1,main!$A$3:$I$102,7,FALSE),main!$K$26:$Q$29,5,FALSE)),1,0)</f>
        <v>0</v>
      </c>
      <c r="BF285">
        <f>IF(AND(VLOOKUP(BF$1,main!$A$3:$H$102,7,FALSE)=main!$G$105,VLOOKUP(BF$1,main!$A$3:$H$102,5,FALSE)-VLOOKUP($A285,main!$A$3:$H$102,6,FALSE)&gt;=main!$D$103+VLOOKUP(VLOOKUP(BF$1,main!$A$3:$I$102,7,FALSE),main!$K$26:$Q$29,5,FALSE)),1,0)</f>
        <v>0</v>
      </c>
      <c r="BG285">
        <f>IF(AND(VLOOKUP(BG$1,main!$A$3:$H$102,7,FALSE)=main!$G$105,VLOOKUP(BG$1,main!$A$3:$H$102,5,FALSE)-VLOOKUP($A285,main!$A$3:$H$102,6,FALSE)&gt;=main!$D$103+VLOOKUP(VLOOKUP(BG$1,main!$A$3:$I$102,7,FALSE),main!$K$26:$Q$29,5,FALSE)),1,0)</f>
        <v>0</v>
      </c>
      <c r="BH285">
        <f>IF(AND(VLOOKUP(BH$1,main!$A$3:$H$102,7,FALSE)=main!$G$105,VLOOKUP(BH$1,main!$A$3:$H$102,5,FALSE)-VLOOKUP($A285,main!$A$3:$H$102,6,FALSE)&gt;=main!$D$103+VLOOKUP(VLOOKUP(BH$1,main!$A$3:$I$102,7,FALSE),main!$K$26:$Q$29,5,FALSE)),1,0)</f>
        <v>0</v>
      </c>
      <c r="BI285">
        <f>IF(AND(VLOOKUP(BI$1,main!$A$3:$H$102,7,FALSE)=main!$G$105,VLOOKUP(BI$1,main!$A$3:$H$102,5,FALSE)-VLOOKUP($A285,main!$A$3:$H$102,6,FALSE)&gt;=main!$D$103+VLOOKUP(VLOOKUP(BI$1,main!$A$3:$I$102,7,FALSE),main!$K$26:$Q$29,5,FALSE)),1,0)</f>
        <v>0</v>
      </c>
      <c r="BJ285">
        <f>IF(AND(VLOOKUP(BJ$1,main!$A$3:$H$102,7,FALSE)=main!$G$105,VLOOKUP(BJ$1,main!$A$3:$H$102,5,FALSE)-VLOOKUP($A285,main!$A$3:$H$102,6,FALSE)&gt;=main!$D$103+VLOOKUP(VLOOKUP(BJ$1,main!$A$3:$I$102,7,FALSE),main!$K$26:$Q$29,5,FALSE)),1,0)</f>
        <v>0</v>
      </c>
      <c r="BK285">
        <f>IF(AND(VLOOKUP(BK$1,main!$A$3:$H$102,7,FALSE)=main!$G$105,VLOOKUP(BK$1,main!$A$3:$H$102,5,FALSE)-VLOOKUP($A285,main!$A$3:$H$102,6,FALSE)&gt;=main!$D$103+VLOOKUP(VLOOKUP(BK$1,main!$A$3:$I$102,7,FALSE),main!$K$26:$Q$29,5,FALSE)),1,0)</f>
        <v>0</v>
      </c>
      <c r="BL285">
        <f>IF(AND(VLOOKUP(BL$1,main!$A$3:$H$102,7,FALSE)=main!$G$105,VLOOKUP(BL$1,main!$A$3:$H$102,5,FALSE)-VLOOKUP($A285,main!$A$3:$H$102,6,FALSE)&gt;=main!$D$103+VLOOKUP(VLOOKUP(BL$1,main!$A$3:$I$102,7,FALSE),main!$K$26:$Q$29,5,FALSE)),1,0)</f>
        <v>0</v>
      </c>
      <c r="BM285">
        <f>IF(AND(VLOOKUP(BM$1,main!$A$3:$H$102,7,FALSE)=main!$G$105,VLOOKUP(BM$1,main!$A$3:$H$102,5,FALSE)-VLOOKUP($A285,main!$A$3:$H$102,6,FALSE)&gt;=main!$D$103+VLOOKUP(VLOOKUP(BM$1,main!$A$3:$I$102,7,FALSE),main!$K$26:$Q$29,5,FALSE)),1,0)</f>
        <v>0</v>
      </c>
      <c r="BN285">
        <f>IF(AND(VLOOKUP(BN$1,main!$A$3:$H$102,7,FALSE)=main!$G$105,VLOOKUP(BN$1,main!$A$3:$H$102,5,FALSE)-VLOOKUP($A285,main!$A$3:$H$102,6,FALSE)&gt;=main!$D$103+VLOOKUP(VLOOKUP(BN$1,main!$A$3:$I$102,7,FALSE),main!$K$26:$Q$29,5,FALSE)),1,0)</f>
        <v>0</v>
      </c>
      <c r="BO285">
        <f>IF(AND(VLOOKUP(BO$1,main!$A$3:$H$102,7,FALSE)=main!$G$105,VLOOKUP(BO$1,main!$A$3:$H$102,5,FALSE)-VLOOKUP($A285,main!$A$3:$H$102,6,FALSE)&gt;=main!$D$103+VLOOKUP(VLOOKUP(BO$1,main!$A$3:$I$102,7,FALSE),main!$K$26:$Q$29,5,FALSE)),1,0)</f>
        <v>0</v>
      </c>
      <c r="BP285">
        <f>IF(AND(VLOOKUP(BP$1,main!$A$3:$H$102,7,FALSE)=main!$G$105,VLOOKUP(BP$1,main!$A$3:$H$102,5,FALSE)-VLOOKUP($A285,main!$A$3:$H$102,6,FALSE)&gt;=main!$D$103+VLOOKUP(VLOOKUP(BP$1,main!$A$3:$I$102,7,FALSE),main!$K$26:$Q$29,5,FALSE)),1,0)</f>
        <v>0</v>
      </c>
      <c r="BQ285">
        <f>IF(AND(VLOOKUP(BQ$1,main!$A$3:$H$102,7,FALSE)=main!$G$105,VLOOKUP(BQ$1,main!$A$3:$H$102,5,FALSE)-VLOOKUP($A285,main!$A$3:$H$102,6,FALSE)&gt;=main!$D$103+VLOOKUP(VLOOKUP(BQ$1,main!$A$3:$I$102,7,FALSE),main!$K$26:$Q$29,5,FALSE)),1,0)</f>
        <v>0</v>
      </c>
      <c r="BR285">
        <f>IF(AND(VLOOKUP(BR$1,main!$A$3:$H$102,7,FALSE)=main!$G$105,VLOOKUP(BR$1,main!$A$3:$H$102,5,FALSE)-VLOOKUP($A285,main!$A$3:$H$102,6,FALSE)&gt;=main!$D$103+VLOOKUP(VLOOKUP(BR$1,main!$A$3:$I$102,7,FALSE),main!$K$26:$Q$29,5,FALSE)),1,0)</f>
        <v>0</v>
      </c>
      <c r="BS285">
        <f>IF(AND(VLOOKUP(BS$1,main!$A$3:$H$102,7,FALSE)=main!$G$105,VLOOKUP(BS$1,main!$A$3:$H$102,5,FALSE)-VLOOKUP($A285,main!$A$3:$H$102,6,FALSE)&gt;=main!$D$103+VLOOKUP(VLOOKUP(BS$1,main!$A$3:$I$102,7,FALSE),main!$K$26:$Q$29,5,FALSE)),1,0)</f>
        <v>0</v>
      </c>
      <c r="BT285">
        <f>IF(AND(VLOOKUP(BT$1,main!$A$3:$H$102,7,FALSE)=main!$G$105,VLOOKUP(BT$1,main!$A$3:$H$102,5,FALSE)-VLOOKUP($A285,main!$A$3:$H$102,6,FALSE)&gt;=main!$D$103+VLOOKUP(VLOOKUP(BT$1,main!$A$3:$I$102,7,FALSE),main!$K$26:$Q$29,5,FALSE)),1,0)</f>
        <v>0</v>
      </c>
      <c r="BU285">
        <f>IF(AND(VLOOKUP(BU$1,main!$A$3:$H$102,7,FALSE)=main!$G$105,VLOOKUP(BU$1,main!$A$3:$H$102,5,FALSE)-VLOOKUP($A285,main!$A$3:$H$102,6,FALSE)&gt;=main!$D$103+VLOOKUP(VLOOKUP(BU$1,main!$A$3:$I$102,7,FALSE),main!$K$26:$Q$29,5,FALSE)),1,0)</f>
        <v>0</v>
      </c>
      <c r="BV285">
        <f>IF(AND(VLOOKUP(BV$1,main!$A$3:$H$102,7,FALSE)=main!$G$105,VLOOKUP(BV$1,main!$A$3:$H$102,5,FALSE)-VLOOKUP($A285,main!$A$3:$H$102,6,FALSE)&gt;=main!$D$103+VLOOKUP(VLOOKUP(BV$1,main!$A$3:$I$102,7,FALSE),main!$K$26:$Q$29,5,FALSE)),1,0)</f>
        <v>0</v>
      </c>
      <c r="BW285">
        <f>IF(AND(VLOOKUP(BW$1,main!$A$3:$H$102,7,FALSE)=main!$G$105,VLOOKUP(BW$1,main!$A$3:$H$102,5,FALSE)-VLOOKUP($A285,main!$A$3:$H$102,6,FALSE)&gt;=main!$D$103+VLOOKUP(VLOOKUP(BW$1,main!$A$3:$I$102,7,FALSE),main!$K$26:$Q$29,5,FALSE)),1,0)</f>
        <v>0</v>
      </c>
      <c r="BX285">
        <f>IF(AND(VLOOKUP(BX$1,main!$A$3:$H$102,7,FALSE)=main!$G$105,VLOOKUP(BX$1,main!$A$3:$H$102,5,FALSE)-VLOOKUP($A285,main!$A$3:$H$102,6,FALSE)&gt;=main!$D$103+VLOOKUP(VLOOKUP(BX$1,main!$A$3:$I$102,7,FALSE),main!$K$26:$Q$29,5,FALSE)),1,0)</f>
        <v>0</v>
      </c>
      <c r="BY285">
        <f>IF(AND(VLOOKUP(BY$1,main!$A$3:$H$102,7,FALSE)=main!$G$105,VLOOKUP(BY$1,main!$A$3:$H$102,5,FALSE)-VLOOKUP($A285,main!$A$3:$H$102,6,FALSE)&gt;=main!$D$103+VLOOKUP(VLOOKUP(BY$1,main!$A$3:$I$102,7,FALSE),main!$K$26:$Q$29,5,FALSE)),1,0)</f>
        <v>0</v>
      </c>
      <c r="BZ285">
        <f>IF(AND(VLOOKUP(BZ$1,main!$A$3:$H$102,7,FALSE)=main!$G$105,VLOOKUP(BZ$1,main!$A$3:$H$102,5,FALSE)-VLOOKUP($A285,main!$A$3:$H$102,6,FALSE)&gt;=main!$D$103+VLOOKUP(VLOOKUP(BZ$1,main!$A$3:$I$102,7,FALSE),main!$K$26:$Q$29,5,FALSE)),1,0)</f>
        <v>0</v>
      </c>
      <c r="CA285">
        <f>IF(AND(VLOOKUP(CA$1,main!$A$3:$H$102,7,FALSE)=main!$G$105,VLOOKUP(CA$1,main!$A$3:$H$102,5,FALSE)-VLOOKUP($A285,main!$A$3:$H$102,6,FALSE)&gt;=main!$D$103+VLOOKUP(VLOOKUP(CA$1,main!$A$3:$I$102,7,FALSE),main!$K$26:$Q$29,5,FALSE)),1,0)</f>
        <v>0</v>
      </c>
      <c r="CB285">
        <f>IF(AND(VLOOKUP(CB$1,main!$A$3:$H$102,7,FALSE)=main!$G$105,VLOOKUP(CB$1,main!$A$3:$H$102,5,FALSE)-VLOOKUP($A285,main!$A$3:$H$102,6,FALSE)&gt;=main!$D$103+VLOOKUP(VLOOKUP(CB$1,main!$A$3:$I$102,7,FALSE),main!$K$26:$Q$29,5,FALSE)),1,0)</f>
        <v>0</v>
      </c>
      <c r="CC285">
        <f>IF(AND(VLOOKUP(CC$1,main!$A$3:$H$102,7,FALSE)=main!$G$105,VLOOKUP(CC$1,main!$A$3:$H$102,5,FALSE)-VLOOKUP($A285,main!$A$3:$H$102,6,FALSE)&gt;=main!$D$103+VLOOKUP(VLOOKUP(CC$1,main!$A$3:$I$102,7,FALSE),main!$K$26:$Q$29,5,FALSE)),1,0)</f>
        <v>0</v>
      </c>
      <c r="CD285">
        <f>IF(AND(VLOOKUP(CD$1,main!$A$3:$H$102,7,FALSE)=main!$G$105,VLOOKUP(CD$1,main!$A$3:$H$102,5,FALSE)-VLOOKUP($A285,main!$A$3:$H$102,6,FALSE)&gt;=main!$D$103+VLOOKUP(VLOOKUP(CD$1,main!$A$3:$I$102,7,FALSE),main!$K$26:$Q$29,5,FALSE)),1,0)</f>
        <v>0</v>
      </c>
      <c r="CE285">
        <f>IF(AND(VLOOKUP(CE$1,main!$A$3:$H$102,7,FALSE)=main!$G$105,VLOOKUP(CE$1,main!$A$3:$H$102,5,FALSE)-VLOOKUP($A285,main!$A$3:$H$102,6,FALSE)&gt;=main!$D$103+VLOOKUP(VLOOKUP(CE$1,main!$A$3:$I$102,7,FALSE),main!$K$26:$Q$29,5,FALSE)),1,0)</f>
        <v>0</v>
      </c>
      <c r="CF285">
        <f>IF(AND(VLOOKUP(CF$1,main!$A$3:$H$102,7,FALSE)=main!$G$105,VLOOKUP(CF$1,main!$A$3:$H$102,5,FALSE)-VLOOKUP($A285,main!$A$3:$H$102,6,FALSE)&gt;=main!$D$103+VLOOKUP(VLOOKUP(CF$1,main!$A$3:$I$102,7,FALSE),main!$K$26:$Q$29,5,FALSE)),1,0)</f>
        <v>0</v>
      </c>
      <c r="CG285">
        <f>IF(AND(VLOOKUP(CG$1,main!$A$3:$H$102,7,FALSE)=main!$G$105,VLOOKUP(CG$1,main!$A$3:$H$102,5,FALSE)-VLOOKUP($A285,main!$A$3:$H$102,6,FALSE)&gt;=main!$D$103+VLOOKUP(VLOOKUP(CG$1,main!$A$3:$I$102,7,FALSE),main!$K$26:$Q$29,5,FALSE)),1,0)</f>
        <v>0</v>
      </c>
      <c r="CH285">
        <f>IF(AND(VLOOKUP(CH$1,main!$A$3:$H$102,7,FALSE)=main!$G$105,VLOOKUP(CH$1,main!$A$3:$H$102,5,FALSE)-VLOOKUP($A285,main!$A$3:$H$102,6,FALSE)&gt;=main!$D$103+VLOOKUP(VLOOKUP(CH$1,main!$A$3:$I$102,7,FALSE),main!$K$26:$Q$29,5,FALSE)),1,0)</f>
        <v>0</v>
      </c>
      <c r="CI285">
        <f>IF(AND(VLOOKUP(CI$1,main!$A$3:$H$102,7,FALSE)=main!$G$105,VLOOKUP(CI$1,main!$A$3:$H$102,5,FALSE)-VLOOKUP($A285,main!$A$3:$H$102,6,FALSE)&gt;=main!$D$103+VLOOKUP(VLOOKUP(CI$1,main!$A$3:$I$102,7,FALSE),main!$K$26:$Q$29,5,FALSE)),1,0)</f>
        <v>0</v>
      </c>
      <c r="CJ285">
        <f>IF(AND(VLOOKUP(CJ$1,main!$A$3:$H$102,7,FALSE)=main!$G$105,VLOOKUP(CJ$1,main!$A$3:$H$102,5,FALSE)-VLOOKUP($A285,main!$A$3:$H$102,6,FALSE)&gt;=main!$D$103+VLOOKUP(VLOOKUP(CJ$1,main!$A$3:$I$102,7,FALSE),main!$K$26:$Q$29,5,FALSE)),1,0)</f>
        <v>0</v>
      </c>
      <c r="CK285">
        <f>IF(AND(VLOOKUP(CK$1,main!$A$3:$H$102,7,FALSE)=main!$G$105,VLOOKUP(CK$1,main!$A$3:$H$102,5,FALSE)-VLOOKUP($A285,main!$A$3:$H$102,6,FALSE)&gt;=main!$D$103+VLOOKUP(VLOOKUP(CK$1,main!$A$3:$I$102,7,FALSE),main!$K$26:$Q$29,5,FALSE)),1,0)</f>
        <v>0</v>
      </c>
      <c r="CL285">
        <f>IF(AND(VLOOKUP(CL$1,main!$A$3:$H$102,7,FALSE)=main!$G$105,VLOOKUP(CL$1,main!$A$3:$H$102,5,FALSE)-VLOOKUP($A285,main!$A$3:$H$102,6,FALSE)&gt;=main!$D$103+VLOOKUP(VLOOKUP(CL$1,main!$A$3:$I$102,7,FALSE),main!$K$26:$Q$29,5,FALSE)),1,0)</f>
        <v>0</v>
      </c>
      <c r="CM285">
        <f>IF(AND(VLOOKUP(CM$1,main!$A$3:$H$102,7,FALSE)=main!$G$105,VLOOKUP(CM$1,main!$A$3:$H$102,5,FALSE)-VLOOKUP($A285,main!$A$3:$H$102,6,FALSE)&gt;=main!$D$103+VLOOKUP(VLOOKUP(CM$1,main!$A$3:$I$102,7,FALSE),main!$K$26:$Q$29,5,FALSE)),1,0)</f>
        <v>0</v>
      </c>
      <c r="CN285">
        <f>IF(AND(VLOOKUP(CN$1,main!$A$3:$H$102,7,FALSE)=main!$G$105,VLOOKUP(CN$1,main!$A$3:$H$102,5,FALSE)-VLOOKUP($A285,main!$A$3:$H$102,6,FALSE)&gt;=main!$D$103+VLOOKUP(VLOOKUP(CN$1,main!$A$3:$I$102,7,FALSE),main!$K$26:$Q$29,5,FALSE)),1,0)</f>
        <v>0</v>
      </c>
      <c r="CO285">
        <f>IF(AND(VLOOKUP(CO$1,main!$A$3:$H$102,7,FALSE)=main!$G$105,VLOOKUP(CO$1,main!$A$3:$H$102,5,FALSE)-VLOOKUP($A285,main!$A$3:$H$102,6,FALSE)&gt;=main!$D$103+VLOOKUP(VLOOKUP(CO$1,main!$A$3:$I$102,7,FALSE),main!$K$26:$Q$29,5,FALSE)),1,0)</f>
        <v>0</v>
      </c>
      <c r="CP285">
        <f>IF(AND(VLOOKUP(CP$1,main!$A$3:$H$102,7,FALSE)=main!$G$105,VLOOKUP(CP$1,main!$A$3:$H$102,5,FALSE)-VLOOKUP($A285,main!$A$3:$H$102,6,FALSE)&gt;=main!$D$103+VLOOKUP(VLOOKUP(CP$1,main!$A$3:$I$102,7,FALSE),main!$K$26:$Q$29,5,FALSE)),1,0)</f>
        <v>0</v>
      </c>
      <c r="CQ285">
        <f>IF(AND(VLOOKUP(CQ$1,main!$A$3:$H$102,7,FALSE)=main!$G$105,VLOOKUP(CQ$1,main!$A$3:$H$102,5,FALSE)-VLOOKUP($A285,main!$A$3:$H$102,6,FALSE)&gt;=main!$D$103+VLOOKUP(VLOOKUP(CQ$1,main!$A$3:$I$102,7,FALSE),main!$K$26:$Q$29,5,FALSE)),1,0)</f>
        <v>0</v>
      </c>
      <c r="CR285">
        <f>IF(AND(VLOOKUP(CR$1,main!$A$3:$H$102,7,FALSE)=main!$G$105,VLOOKUP(CR$1,main!$A$3:$H$102,5,FALSE)-VLOOKUP($A285,main!$A$3:$H$102,6,FALSE)&gt;=main!$D$103+VLOOKUP(VLOOKUP(CR$1,main!$A$3:$I$102,7,FALSE),main!$K$26:$Q$29,5,FALSE)),1,0)</f>
        <v>0</v>
      </c>
      <c r="CS285">
        <f>IF(AND(VLOOKUP(CS$1,main!$A$3:$H$102,7,FALSE)=main!$G$105,VLOOKUP(CS$1,main!$A$3:$H$102,5,FALSE)-VLOOKUP($A285,main!$A$3:$H$102,6,FALSE)&gt;=main!$D$103+VLOOKUP(VLOOKUP(CS$1,main!$A$3:$I$102,7,FALSE),main!$K$26:$Q$29,5,FALSE)),1,0)</f>
        <v>0</v>
      </c>
      <c r="CT285">
        <f>IF(AND(VLOOKUP(CT$1,main!$A$3:$H$102,7,FALSE)=main!$G$105,VLOOKUP(CT$1,main!$A$3:$H$102,5,FALSE)-VLOOKUP($A285,main!$A$3:$H$102,6,FALSE)&gt;=main!$D$103+VLOOKUP(VLOOKUP(CT$1,main!$A$3:$I$102,7,FALSE),main!$K$26:$Q$29,5,FALSE)),1,0)</f>
        <v>0</v>
      </c>
      <c r="CU285">
        <f>IF(AND(VLOOKUP(CU$1,main!$A$3:$H$102,7,FALSE)=main!$G$105,VLOOKUP(CU$1,main!$A$3:$H$102,5,FALSE)-VLOOKUP($A285,main!$A$3:$H$102,6,FALSE)&gt;=main!$D$103+VLOOKUP(VLOOKUP(CU$1,main!$A$3:$I$102,7,FALSE),main!$K$26:$Q$29,5,FALSE)),1,0)</f>
        <v>0</v>
      </c>
      <c r="CV285">
        <f>IF(AND(VLOOKUP(CV$1,main!$A$3:$H$102,7,FALSE)=main!$G$105,VLOOKUP(CV$1,main!$A$3:$H$102,5,FALSE)-VLOOKUP($A285,main!$A$3:$H$102,6,FALSE)&gt;=main!$D$103+VLOOKUP(VLOOKUP(CV$1,main!$A$3:$I$102,7,FALSE),main!$K$26:$Q$29,5,FALSE)),1,0)</f>
        <v>0</v>
      </c>
      <c r="CW285">
        <f>IF(AND(VLOOKUP(CW$1,main!$A$3:$H$102,7,FALSE)=main!$G$105,VLOOKUP(CW$1,main!$A$3:$H$102,5,FALSE)-VLOOKUP($A285,main!$A$3:$H$102,6,FALSE)&gt;=main!$D$103+VLOOKUP(VLOOKUP(CW$1,main!$A$3:$I$102,7,FALSE),main!$K$26:$Q$29,5,FALSE)),1,0)</f>
        <v>0</v>
      </c>
      <c r="CX285">
        <f>IF(AND(VLOOKUP(CX$1,main!$A$3:$H$102,7,FALSE)=main!$G$105,VLOOKUP(CX$1,main!$A$3:$H$102,5,FALSE)-VLOOKUP($A285,main!$A$3:$H$102,6,FALSE)&gt;=main!$D$103+VLOOKUP(VLOOKUP(CX$1,main!$A$3:$I$102,7,FALSE),main!$K$26:$Q$29,5,FALSE)),1,0)</f>
        <v>0</v>
      </c>
    </row>
    <row r="286" spans="1:102" x14ac:dyDescent="0.25">
      <c r="A286" s="1">
        <v>82</v>
      </c>
      <c r="B286">
        <v>0</v>
      </c>
      <c r="C286">
        <f>IF(AND(VLOOKUP(C$1,main!$A$3:$H$102,7,FALSE)=main!$G$105,VLOOKUP(C$1,main!$A$3:$H$102,5,FALSE)-VLOOKUP($A286,main!$A$3:$H$102,6,FALSE)&gt;=main!$D$103+VLOOKUP(VLOOKUP(C$1,main!$A$3:$I$102,7,FALSE),main!$K$26:$Q$29,5,FALSE)),1,0)</f>
        <v>0</v>
      </c>
      <c r="D286">
        <f>IF(AND(VLOOKUP(D$1,main!$A$3:$H$102,7,FALSE)=main!$G$105,VLOOKUP(D$1,main!$A$3:$H$102,5,FALSE)-VLOOKUP($A286,main!$A$3:$H$102,6,FALSE)&gt;=main!$D$103+VLOOKUP(VLOOKUP(D$1,main!$A$3:$I$102,7,FALSE),main!$K$26:$Q$29,5,FALSE)),1,0)</f>
        <v>0</v>
      </c>
      <c r="E286">
        <f>IF(AND(VLOOKUP(E$1,main!$A$3:$H$102,7,FALSE)=main!$G$105,VLOOKUP(E$1,main!$A$3:$H$102,5,FALSE)-VLOOKUP($A286,main!$A$3:$H$102,6,FALSE)&gt;=main!$D$103+VLOOKUP(VLOOKUP(E$1,main!$A$3:$I$102,7,FALSE),main!$K$26:$Q$29,5,FALSE)),1,0)</f>
        <v>0</v>
      </c>
      <c r="F286">
        <f>IF(AND(VLOOKUP(F$1,main!$A$3:$H$102,7,FALSE)=main!$G$105,VLOOKUP(F$1,main!$A$3:$H$102,5,FALSE)-VLOOKUP($A286,main!$A$3:$H$102,6,FALSE)&gt;=main!$D$103+VLOOKUP(VLOOKUP(F$1,main!$A$3:$I$102,7,FALSE),main!$K$26:$Q$29,5,FALSE)),1,0)</f>
        <v>0</v>
      </c>
      <c r="G286">
        <f>IF(AND(VLOOKUP(G$1,main!$A$3:$H$102,7,FALSE)=main!$G$105,VLOOKUP(G$1,main!$A$3:$H$102,5,FALSE)-VLOOKUP($A286,main!$A$3:$H$102,6,FALSE)&gt;=main!$D$103+VLOOKUP(VLOOKUP(G$1,main!$A$3:$I$102,7,FALSE),main!$K$26:$Q$29,5,FALSE)),1,0)</f>
        <v>0</v>
      </c>
      <c r="H286">
        <f>IF(AND(VLOOKUP(H$1,main!$A$3:$H$102,7,FALSE)=main!$G$105,VLOOKUP(H$1,main!$A$3:$H$102,5,FALSE)-VLOOKUP($A286,main!$A$3:$H$102,6,FALSE)&gt;=main!$D$103+VLOOKUP(VLOOKUP(H$1,main!$A$3:$I$102,7,FALSE),main!$K$26:$Q$29,5,FALSE)),1,0)</f>
        <v>0</v>
      </c>
      <c r="I286">
        <f>IF(AND(VLOOKUP(I$1,main!$A$3:$H$102,7,FALSE)=main!$G$105,VLOOKUP(I$1,main!$A$3:$H$102,5,FALSE)-VLOOKUP($A286,main!$A$3:$H$102,6,FALSE)&gt;=main!$D$103+VLOOKUP(VLOOKUP(I$1,main!$A$3:$I$102,7,FALSE),main!$K$26:$Q$29,5,FALSE)),1,0)</f>
        <v>0</v>
      </c>
      <c r="J286">
        <f>IF(AND(VLOOKUP(J$1,main!$A$3:$H$102,7,FALSE)=main!$G$105,VLOOKUP(J$1,main!$A$3:$H$102,5,FALSE)-VLOOKUP($A286,main!$A$3:$H$102,6,FALSE)&gt;=main!$D$103+VLOOKUP(VLOOKUP(J$1,main!$A$3:$I$102,7,FALSE),main!$K$26:$Q$29,5,FALSE)),1,0)</f>
        <v>0</v>
      </c>
      <c r="K286">
        <f>IF(AND(VLOOKUP(K$1,main!$A$3:$H$102,7,FALSE)=main!$G$105,VLOOKUP(K$1,main!$A$3:$H$102,5,FALSE)-VLOOKUP($A286,main!$A$3:$H$102,6,FALSE)&gt;=main!$D$103+VLOOKUP(VLOOKUP(K$1,main!$A$3:$I$102,7,FALSE),main!$K$26:$Q$29,5,FALSE)),1,0)</f>
        <v>0</v>
      </c>
      <c r="L286">
        <f>IF(AND(VLOOKUP(L$1,main!$A$3:$H$102,7,FALSE)=main!$G$105,VLOOKUP(L$1,main!$A$3:$H$102,5,FALSE)-VLOOKUP($A286,main!$A$3:$H$102,6,FALSE)&gt;=main!$D$103+VLOOKUP(VLOOKUP(L$1,main!$A$3:$I$102,7,FALSE),main!$K$26:$Q$29,5,FALSE)),1,0)</f>
        <v>0</v>
      </c>
      <c r="M286">
        <f>IF(AND(VLOOKUP(M$1,main!$A$3:$H$102,7,FALSE)=main!$G$105,VLOOKUP(M$1,main!$A$3:$H$102,5,FALSE)-VLOOKUP($A286,main!$A$3:$H$102,6,FALSE)&gt;=main!$D$103+VLOOKUP(VLOOKUP(M$1,main!$A$3:$I$102,7,FALSE),main!$K$26:$Q$29,5,FALSE)),1,0)</f>
        <v>0</v>
      </c>
      <c r="N286">
        <f>IF(AND(VLOOKUP(N$1,main!$A$3:$H$102,7,FALSE)=main!$G$105,VLOOKUP(N$1,main!$A$3:$H$102,5,FALSE)-VLOOKUP($A286,main!$A$3:$H$102,6,FALSE)&gt;=main!$D$103+VLOOKUP(VLOOKUP(N$1,main!$A$3:$I$102,7,FALSE),main!$K$26:$Q$29,5,FALSE)),1,0)</f>
        <v>0</v>
      </c>
      <c r="O286">
        <f>IF(AND(VLOOKUP(O$1,main!$A$3:$H$102,7,FALSE)=main!$G$105,VLOOKUP(O$1,main!$A$3:$H$102,5,FALSE)-VLOOKUP($A286,main!$A$3:$H$102,6,FALSE)&gt;=main!$D$103+VLOOKUP(VLOOKUP(O$1,main!$A$3:$I$102,7,FALSE),main!$K$26:$Q$29,5,FALSE)),1,0)</f>
        <v>0</v>
      </c>
      <c r="P286">
        <f>IF(AND(VLOOKUP(P$1,main!$A$3:$H$102,7,FALSE)=main!$G$105,VLOOKUP(P$1,main!$A$3:$H$102,5,FALSE)-VLOOKUP($A286,main!$A$3:$H$102,6,FALSE)&gt;=main!$D$103+VLOOKUP(VLOOKUP(P$1,main!$A$3:$I$102,7,FALSE),main!$K$26:$Q$29,5,FALSE)),1,0)</f>
        <v>0</v>
      </c>
      <c r="Q286">
        <f>IF(AND(VLOOKUP(Q$1,main!$A$3:$H$102,7,FALSE)=main!$G$105,VLOOKUP(Q$1,main!$A$3:$H$102,5,FALSE)-VLOOKUP($A286,main!$A$3:$H$102,6,FALSE)&gt;=main!$D$103+VLOOKUP(VLOOKUP(Q$1,main!$A$3:$I$102,7,FALSE),main!$K$26:$Q$29,5,FALSE)),1,0)</f>
        <v>0</v>
      </c>
      <c r="R286">
        <f>IF(AND(VLOOKUP(R$1,main!$A$3:$H$102,7,FALSE)=main!$G$105,VLOOKUP(R$1,main!$A$3:$H$102,5,FALSE)-VLOOKUP($A286,main!$A$3:$H$102,6,FALSE)&gt;=main!$D$103+VLOOKUP(VLOOKUP(R$1,main!$A$3:$I$102,7,FALSE),main!$K$26:$Q$29,5,FALSE)),1,0)</f>
        <v>0</v>
      </c>
      <c r="S286">
        <f>IF(AND(VLOOKUP(S$1,main!$A$3:$H$102,7,FALSE)=main!$G$105,VLOOKUP(S$1,main!$A$3:$H$102,5,FALSE)-VLOOKUP($A286,main!$A$3:$H$102,6,FALSE)&gt;=main!$D$103+VLOOKUP(VLOOKUP(S$1,main!$A$3:$I$102,7,FALSE),main!$K$26:$Q$29,5,FALSE)),1,0)</f>
        <v>0</v>
      </c>
      <c r="T286">
        <f>IF(AND(VLOOKUP(T$1,main!$A$3:$H$102,7,FALSE)=main!$G$105,VLOOKUP(T$1,main!$A$3:$H$102,5,FALSE)-VLOOKUP($A286,main!$A$3:$H$102,6,FALSE)&gt;=main!$D$103+VLOOKUP(VLOOKUP(T$1,main!$A$3:$I$102,7,FALSE),main!$K$26:$Q$29,5,FALSE)),1,0)</f>
        <v>0</v>
      </c>
      <c r="U286">
        <f>IF(AND(VLOOKUP(U$1,main!$A$3:$H$102,7,FALSE)=main!$G$105,VLOOKUP(U$1,main!$A$3:$H$102,5,FALSE)-VLOOKUP($A286,main!$A$3:$H$102,6,FALSE)&gt;=main!$D$103+VLOOKUP(VLOOKUP(U$1,main!$A$3:$I$102,7,FALSE),main!$K$26:$Q$29,5,FALSE)),1,0)</f>
        <v>0</v>
      </c>
      <c r="V286">
        <f>IF(AND(VLOOKUP(V$1,main!$A$3:$H$102,7,FALSE)=main!$G$105,VLOOKUP(V$1,main!$A$3:$H$102,5,FALSE)-VLOOKUP($A286,main!$A$3:$H$102,6,FALSE)&gt;=main!$D$103+VLOOKUP(VLOOKUP(V$1,main!$A$3:$I$102,7,FALSE),main!$K$26:$Q$29,5,FALSE)),1,0)</f>
        <v>0</v>
      </c>
      <c r="W286">
        <f>IF(AND(VLOOKUP(W$1,main!$A$3:$H$102,7,FALSE)=main!$G$105,VLOOKUP(W$1,main!$A$3:$H$102,5,FALSE)-VLOOKUP($A286,main!$A$3:$H$102,6,FALSE)&gt;=main!$D$103+VLOOKUP(VLOOKUP(W$1,main!$A$3:$I$102,7,FALSE),main!$K$26:$Q$29,5,FALSE)),1,0)</f>
        <v>0</v>
      </c>
      <c r="X286">
        <f>IF(AND(VLOOKUP(X$1,main!$A$3:$H$102,7,FALSE)=main!$G$105,VLOOKUP(X$1,main!$A$3:$H$102,5,FALSE)-VLOOKUP($A286,main!$A$3:$H$102,6,FALSE)&gt;=main!$D$103+VLOOKUP(VLOOKUP(X$1,main!$A$3:$I$102,7,FALSE),main!$K$26:$Q$29,5,FALSE)),1,0)</f>
        <v>0</v>
      </c>
      <c r="Y286">
        <f>IF(AND(VLOOKUP(Y$1,main!$A$3:$H$102,7,FALSE)=main!$G$105,VLOOKUP(Y$1,main!$A$3:$H$102,5,FALSE)-VLOOKUP($A286,main!$A$3:$H$102,6,FALSE)&gt;=main!$D$103+VLOOKUP(VLOOKUP(Y$1,main!$A$3:$I$102,7,FALSE),main!$K$26:$Q$29,5,FALSE)),1,0)</f>
        <v>0</v>
      </c>
      <c r="Z286">
        <f>IF(AND(VLOOKUP(Z$1,main!$A$3:$H$102,7,FALSE)=main!$G$105,VLOOKUP(Z$1,main!$A$3:$H$102,5,FALSE)-VLOOKUP($A286,main!$A$3:$H$102,6,FALSE)&gt;=main!$D$103+VLOOKUP(VLOOKUP(Z$1,main!$A$3:$I$102,7,FALSE),main!$K$26:$Q$29,5,FALSE)),1,0)</f>
        <v>0</v>
      </c>
      <c r="AA286">
        <f>IF(AND(VLOOKUP(AA$1,main!$A$3:$H$102,7,FALSE)=main!$G$105,VLOOKUP(AA$1,main!$A$3:$H$102,5,FALSE)-VLOOKUP($A286,main!$A$3:$H$102,6,FALSE)&gt;=main!$D$103+VLOOKUP(VLOOKUP(AA$1,main!$A$3:$I$102,7,FALSE),main!$K$26:$Q$29,5,FALSE)),1,0)</f>
        <v>0</v>
      </c>
      <c r="AB286">
        <f>IF(AND(VLOOKUP(AB$1,main!$A$3:$H$102,7,FALSE)=main!$G$105,VLOOKUP(AB$1,main!$A$3:$H$102,5,FALSE)-VLOOKUP($A286,main!$A$3:$H$102,6,FALSE)&gt;=main!$D$103+VLOOKUP(VLOOKUP(AB$1,main!$A$3:$I$102,7,FALSE),main!$K$26:$Q$29,5,FALSE)),1,0)</f>
        <v>0</v>
      </c>
      <c r="AC286">
        <f>IF(AND(VLOOKUP(AC$1,main!$A$3:$H$102,7,FALSE)=main!$G$105,VLOOKUP(AC$1,main!$A$3:$H$102,5,FALSE)-VLOOKUP($A286,main!$A$3:$H$102,6,FALSE)&gt;=main!$D$103+VLOOKUP(VLOOKUP(AC$1,main!$A$3:$I$102,7,FALSE),main!$K$26:$Q$29,5,FALSE)),1,0)</f>
        <v>0</v>
      </c>
      <c r="AD286">
        <f>IF(AND(VLOOKUP(AD$1,main!$A$3:$H$102,7,FALSE)=main!$G$105,VLOOKUP(AD$1,main!$A$3:$H$102,5,FALSE)-VLOOKUP($A286,main!$A$3:$H$102,6,FALSE)&gt;=main!$D$103+VLOOKUP(VLOOKUP(AD$1,main!$A$3:$I$102,7,FALSE),main!$K$26:$Q$29,5,FALSE)),1,0)</f>
        <v>0</v>
      </c>
      <c r="AE286">
        <f>IF(AND(VLOOKUP(AE$1,main!$A$3:$H$102,7,FALSE)=main!$G$105,VLOOKUP(AE$1,main!$A$3:$H$102,5,FALSE)-VLOOKUP($A286,main!$A$3:$H$102,6,FALSE)&gt;=main!$D$103+VLOOKUP(VLOOKUP(AE$1,main!$A$3:$I$102,7,FALSE),main!$K$26:$Q$29,5,FALSE)),1,0)</f>
        <v>0</v>
      </c>
      <c r="AF286">
        <f>IF(AND(VLOOKUP(AF$1,main!$A$3:$H$102,7,FALSE)=main!$G$105,VLOOKUP(AF$1,main!$A$3:$H$102,5,FALSE)-VLOOKUP($A286,main!$A$3:$H$102,6,FALSE)&gt;=main!$D$103+VLOOKUP(VLOOKUP(AF$1,main!$A$3:$I$102,7,FALSE),main!$K$26:$Q$29,5,FALSE)),1,0)</f>
        <v>0</v>
      </c>
      <c r="AG286">
        <f>IF(AND(VLOOKUP(AG$1,main!$A$3:$H$102,7,FALSE)=main!$G$105,VLOOKUP(AG$1,main!$A$3:$H$102,5,FALSE)-VLOOKUP($A286,main!$A$3:$H$102,6,FALSE)&gt;=main!$D$103+VLOOKUP(VLOOKUP(AG$1,main!$A$3:$I$102,7,FALSE),main!$K$26:$Q$29,5,FALSE)),1,0)</f>
        <v>0</v>
      </c>
      <c r="AH286">
        <f>IF(AND(VLOOKUP(AH$1,main!$A$3:$H$102,7,FALSE)=main!$G$105,VLOOKUP(AH$1,main!$A$3:$H$102,5,FALSE)-VLOOKUP($A286,main!$A$3:$H$102,6,FALSE)&gt;=main!$D$103+VLOOKUP(VLOOKUP(AH$1,main!$A$3:$I$102,7,FALSE),main!$K$26:$Q$29,5,FALSE)),1,0)</f>
        <v>0</v>
      </c>
      <c r="AI286">
        <f>IF(AND(VLOOKUP(AI$1,main!$A$3:$H$102,7,FALSE)=main!$G$105,VLOOKUP(AI$1,main!$A$3:$H$102,5,FALSE)-VLOOKUP($A286,main!$A$3:$H$102,6,FALSE)&gt;=main!$D$103+VLOOKUP(VLOOKUP(AI$1,main!$A$3:$I$102,7,FALSE),main!$K$26:$Q$29,5,FALSE)),1,0)</f>
        <v>0</v>
      </c>
      <c r="AJ286">
        <f>IF(AND(VLOOKUP(AJ$1,main!$A$3:$H$102,7,FALSE)=main!$G$105,VLOOKUP(AJ$1,main!$A$3:$H$102,5,FALSE)-VLOOKUP($A286,main!$A$3:$H$102,6,FALSE)&gt;=main!$D$103+VLOOKUP(VLOOKUP(AJ$1,main!$A$3:$I$102,7,FALSE),main!$K$26:$Q$29,5,FALSE)),1,0)</f>
        <v>0</v>
      </c>
      <c r="AK286">
        <f>IF(AND(VLOOKUP(AK$1,main!$A$3:$H$102,7,FALSE)=main!$G$105,VLOOKUP(AK$1,main!$A$3:$H$102,5,FALSE)-VLOOKUP($A286,main!$A$3:$H$102,6,FALSE)&gt;=main!$D$103+VLOOKUP(VLOOKUP(AK$1,main!$A$3:$I$102,7,FALSE),main!$K$26:$Q$29,5,FALSE)),1,0)</f>
        <v>0</v>
      </c>
      <c r="AL286">
        <f>IF(AND(VLOOKUP(AL$1,main!$A$3:$H$102,7,FALSE)=main!$G$105,VLOOKUP(AL$1,main!$A$3:$H$102,5,FALSE)-VLOOKUP($A286,main!$A$3:$H$102,6,FALSE)&gt;=main!$D$103+VLOOKUP(VLOOKUP(AL$1,main!$A$3:$I$102,7,FALSE),main!$K$26:$Q$29,5,FALSE)),1,0)</f>
        <v>1</v>
      </c>
      <c r="AM286">
        <f>IF(AND(VLOOKUP(AM$1,main!$A$3:$H$102,7,FALSE)=main!$G$105,VLOOKUP(AM$1,main!$A$3:$H$102,5,FALSE)-VLOOKUP($A286,main!$A$3:$H$102,6,FALSE)&gt;=main!$D$103+VLOOKUP(VLOOKUP(AM$1,main!$A$3:$I$102,7,FALSE),main!$K$26:$Q$29,5,FALSE)),1,0)</f>
        <v>1</v>
      </c>
      <c r="AN286">
        <f>IF(AND(VLOOKUP(AN$1,main!$A$3:$H$102,7,FALSE)=main!$G$105,VLOOKUP(AN$1,main!$A$3:$H$102,5,FALSE)-VLOOKUP($A286,main!$A$3:$H$102,6,FALSE)&gt;=main!$D$103+VLOOKUP(VLOOKUP(AN$1,main!$A$3:$I$102,7,FALSE),main!$K$26:$Q$29,5,FALSE)),1,0)</f>
        <v>1</v>
      </c>
      <c r="AO286">
        <f>IF(AND(VLOOKUP(AO$1,main!$A$3:$H$102,7,FALSE)=main!$G$105,VLOOKUP(AO$1,main!$A$3:$H$102,5,FALSE)-VLOOKUP($A286,main!$A$3:$H$102,6,FALSE)&gt;=main!$D$103+VLOOKUP(VLOOKUP(AO$1,main!$A$3:$I$102,7,FALSE),main!$K$26:$Q$29,5,FALSE)),1,0)</f>
        <v>0</v>
      </c>
      <c r="AP286">
        <f>IF(AND(VLOOKUP(AP$1,main!$A$3:$H$102,7,FALSE)=main!$G$105,VLOOKUP(AP$1,main!$A$3:$H$102,5,FALSE)-VLOOKUP($A286,main!$A$3:$H$102,6,FALSE)&gt;=main!$D$103+VLOOKUP(VLOOKUP(AP$1,main!$A$3:$I$102,7,FALSE),main!$K$26:$Q$29,5,FALSE)),1,0)</f>
        <v>1</v>
      </c>
      <c r="AQ286">
        <f>IF(AND(VLOOKUP(AQ$1,main!$A$3:$H$102,7,FALSE)=main!$G$105,VLOOKUP(AQ$1,main!$A$3:$H$102,5,FALSE)-VLOOKUP($A286,main!$A$3:$H$102,6,FALSE)&gt;=main!$D$103+VLOOKUP(VLOOKUP(AQ$1,main!$A$3:$I$102,7,FALSE),main!$K$26:$Q$29,5,FALSE)),1,0)</f>
        <v>0</v>
      </c>
      <c r="AR286">
        <f>IF(AND(VLOOKUP(AR$1,main!$A$3:$H$102,7,FALSE)=main!$G$105,VLOOKUP(AR$1,main!$A$3:$H$102,5,FALSE)-VLOOKUP($A286,main!$A$3:$H$102,6,FALSE)&gt;=main!$D$103+VLOOKUP(VLOOKUP(AR$1,main!$A$3:$I$102,7,FALSE),main!$K$26:$Q$29,5,FALSE)),1,0)</f>
        <v>0</v>
      </c>
      <c r="AS286">
        <f>IF(AND(VLOOKUP(AS$1,main!$A$3:$H$102,7,FALSE)=main!$G$105,VLOOKUP(AS$1,main!$A$3:$H$102,5,FALSE)-VLOOKUP($A286,main!$A$3:$H$102,6,FALSE)&gt;=main!$D$103+VLOOKUP(VLOOKUP(AS$1,main!$A$3:$I$102,7,FALSE),main!$K$26:$Q$29,5,FALSE)),1,0)</f>
        <v>0</v>
      </c>
      <c r="AT286">
        <f>IF(AND(VLOOKUP(AT$1,main!$A$3:$H$102,7,FALSE)=main!$G$105,VLOOKUP(AT$1,main!$A$3:$H$102,5,FALSE)-VLOOKUP($A286,main!$A$3:$H$102,6,FALSE)&gt;=main!$D$103+VLOOKUP(VLOOKUP(AT$1,main!$A$3:$I$102,7,FALSE),main!$K$26:$Q$29,5,FALSE)),1,0)</f>
        <v>1</v>
      </c>
      <c r="AU286">
        <f>IF(AND(VLOOKUP(AU$1,main!$A$3:$H$102,7,FALSE)=main!$G$105,VLOOKUP(AU$1,main!$A$3:$H$102,5,FALSE)-VLOOKUP($A286,main!$A$3:$H$102,6,FALSE)&gt;=main!$D$103+VLOOKUP(VLOOKUP(AU$1,main!$A$3:$I$102,7,FALSE),main!$K$26:$Q$29,5,FALSE)),1,0)</f>
        <v>0</v>
      </c>
      <c r="AV286">
        <f>IF(AND(VLOOKUP(AV$1,main!$A$3:$H$102,7,FALSE)=main!$G$105,VLOOKUP(AV$1,main!$A$3:$H$102,5,FALSE)-VLOOKUP($A286,main!$A$3:$H$102,6,FALSE)&gt;=main!$D$103+VLOOKUP(VLOOKUP(AV$1,main!$A$3:$I$102,7,FALSE),main!$K$26:$Q$29,5,FALSE)),1,0)</f>
        <v>0</v>
      </c>
      <c r="AW286">
        <f>IF(AND(VLOOKUP(AW$1,main!$A$3:$H$102,7,FALSE)=main!$G$105,VLOOKUP(AW$1,main!$A$3:$H$102,5,FALSE)-VLOOKUP($A286,main!$A$3:$H$102,6,FALSE)&gt;=main!$D$103+VLOOKUP(VLOOKUP(AW$1,main!$A$3:$I$102,7,FALSE),main!$K$26:$Q$29,5,FALSE)),1,0)</f>
        <v>0</v>
      </c>
      <c r="AX286">
        <f>IF(AND(VLOOKUP(AX$1,main!$A$3:$H$102,7,FALSE)=main!$G$105,VLOOKUP(AX$1,main!$A$3:$H$102,5,FALSE)-VLOOKUP($A286,main!$A$3:$H$102,6,FALSE)&gt;=main!$D$103+VLOOKUP(VLOOKUP(AX$1,main!$A$3:$I$102,7,FALSE),main!$K$26:$Q$29,5,FALSE)),1,0)</f>
        <v>0</v>
      </c>
      <c r="AY286">
        <f>IF(AND(VLOOKUP(AY$1,main!$A$3:$H$102,7,FALSE)=main!$G$105,VLOOKUP(AY$1,main!$A$3:$H$102,5,FALSE)-VLOOKUP($A286,main!$A$3:$H$102,6,FALSE)&gt;=main!$D$103+VLOOKUP(VLOOKUP(AY$1,main!$A$3:$I$102,7,FALSE),main!$K$26:$Q$29,5,FALSE)),1,0)</f>
        <v>0</v>
      </c>
      <c r="AZ286">
        <f>IF(AND(VLOOKUP(AZ$1,main!$A$3:$H$102,7,FALSE)=main!$G$105,VLOOKUP(AZ$1,main!$A$3:$H$102,5,FALSE)-VLOOKUP($A286,main!$A$3:$H$102,6,FALSE)&gt;=main!$D$103+VLOOKUP(VLOOKUP(AZ$1,main!$A$3:$I$102,7,FALSE),main!$K$26:$Q$29,5,FALSE)),1,0)</f>
        <v>0</v>
      </c>
      <c r="BA286">
        <f>IF(AND(VLOOKUP(BA$1,main!$A$3:$H$102,7,FALSE)=main!$G$105,VLOOKUP(BA$1,main!$A$3:$H$102,5,FALSE)-VLOOKUP($A286,main!$A$3:$H$102,6,FALSE)&gt;=main!$D$103+VLOOKUP(VLOOKUP(BA$1,main!$A$3:$I$102,7,FALSE),main!$K$26:$Q$29,5,FALSE)),1,0)</f>
        <v>0</v>
      </c>
      <c r="BB286">
        <f>IF(AND(VLOOKUP(BB$1,main!$A$3:$H$102,7,FALSE)=main!$G$105,VLOOKUP(BB$1,main!$A$3:$H$102,5,FALSE)-VLOOKUP($A286,main!$A$3:$H$102,6,FALSE)&gt;=main!$D$103+VLOOKUP(VLOOKUP(BB$1,main!$A$3:$I$102,7,FALSE),main!$K$26:$Q$29,5,FALSE)),1,0)</f>
        <v>0</v>
      </c>
      <c r="BC286">
        <f>IF(AND(VLOOKUP(BC$1,main!$A$3:$H$102,7,FALSE)=main!$G$105,VLOOKUP(BC$1,main!$A$3:$H$102,5,FALSE)-VLOOKUP($A286,main!$A$3:$H$102,6,FALSE)&gt;=main!$D$103+VLOOKUP(VLOOKUP(BC$1,main!$A$3:$I$102,7,FALSE),main!$K$26:$Q$29,5,FALSE)),1,0)</f>
        <v>0</v>
      </c>
      <c r="BD286">
        <f>IF(AND(VLOOKUP(BD$1,main!$A$3:$H$102,7,FALSE)=main!$G$105,VLOOKUP(BD$1,main!$A$3:$H$102,5,FALSE)-VLOOKUP($A286,main!$A$3:$H$102,6,FALSE)&gt;=main!$D$103+VLOOKUP(VLOOKUP(BD$1,main!$A$3:$I$102,7,FALSE),main!$K$26:$Q$29,5,FALSE)),1,0)</f>
        <v>0</v>
      </c>
      <c r="BE286">
        <f>IF(AND(VLOOKUP(BE$1,main!$A$3:$H$102,7,FALSE)=main!$G$105,VLOOKUP(BE$1,main!$A$3:$H$102,5,FALSE)-VLOOKUP($A286,main!$A$3:$H$102,6,FALSE)&gt;=main!$D$103+VLOOKUP(VLOOKUP(BE$1,main!$A$3:$I$102,7,FALSE),main!$K$26:$Q$29,5,FALSE)),1,0)</f>
        <v>0</v>
      </c>
      <c r="BF286">
        <f>IF(AND(VLOOKUP(BF$1,main!$A$3:$H$102,7,FALSE)=main!$G$105,VLOOKUP(BF$1,main!$A$3:$H$102,5,FALSE)-VLOOKUP($A286,main!$A$3:$H$102,6,FALSE)&gt;=main!$D$103+VLOOKUP(VLOOKUP(BF$1,main!$A$3:$I$102,7,FALSE),main!$K$26:$Q$29,5,FALSE)),1,0)</f>
        <v>0</v>
      </c>
      <c r="BG286">
        <f>IF(AND(VLOOKUP(BG$1,main!$A$3:$H$102,7,FALSE)=main!$G$105,VLOOKUP(BG$1,main!$A$3:$H$102,5,FALSE)-VLOOKUP($A286,main!$A$3:$H$102,6,FALSE)&gt;=main!$D$103+VLOOKUP(VLOOKUP(BG$1,main!$A$3:$I$102,7,FALSE),main!$K$26:$Q$29,5,FALSE)),1,0)</f>
        <v>0</v>
      </c>
      <c r="BH286">
        <f>IF(AND(VLOOKUP(BH$1,main!$A$3:$H$102,7,FALSE)=main!$G$105,VLOOKUP(BH$1,main!$A$3:$H$102,5,FALSE)-VLOOKUP($A286,main!$A$3:$H$102,6,FALSE)&gt;=main!$D$103+VLOOKUP(VLOOKUP(BH$1,main!$A$3:$I$102,7,FALSE),main!$K$26:$Q$29,5,FALSE)),1,0)</f>
        <v>0</v>
      </c>
      <c r="BI286">
        <f>IF(AND(VLOOKUP(BI$1,main!$A$3:$H$102,7,FALSE)=main!$G$105,VLOOKUP(BI$1,main!$A$3:$H$102,5,FALSE)-VLOOKUP($A286,main!$A$3:$H$102,6,FALSE)&gt;=main!$D$103+VLOOKUP(VLOOKUP(BI$1,main!$A$3:$I$102,7,FALSE),main!$K$26:$Q$29,5,FALSE)),1,0)</f>
        <v>0</v>
      </c>
      <c r="BJ286">
        <f>IF(AND(VLOOKUP(BJ$1,main!$A$3:$H$102,7,FALSE)=main!$G$105,VLOOKUP(BJ$1,main!$A$3:$H$102,5,FALSE)-VLOOKUP($A286,main!$A$3:$H$102,6,FALSE)&gt;=main!$D$103+VLOOKUP(VLOOKUP(BJ$1,main!$A$3:$I$102,7,FALSE),main!$K$26:$Q$29,5,FALSE)),1,0)</f>
        <v>0</v>
      </c>
      <c r="BK286">
        <f>IF(AND(VLOOKUP(BK$1,main!$A$3:$H$102,7,FALSE)=main!$G$105,VLOOKUP(BK$1,main!$A$3:$H$102,5,FALSE)-VLOOKUP($A286,main!$A$3:$H$102,6,FALSE)&gt;=main!$D$103+VLOOKUP(VLOOKUP(BK$1,main!$A$3:$I$102,7,FALSE),main!$K$26:$Q$29,5,FALSE)),1,0)</f>
        <v>0</v>
      </c>
      <c r="BL286">
        <f>IF(AND(VLOOKUP(BL$1,main!$A$3:$H$102,7,FALSE)=main!$G$105,VLOOKUP(BL$1,main!$A$3:$H$102,5,FALSE)-VLOOKUP($A286,main!$A$3:$H$102,6,FALSE)&gt;=main!$D$103+VLOOKUP(VLOOKUP(BL$1,main!$A$3:$I$102,7,FALSE),main!$K$26:$Q$29,5,FALSE)),1,0)</f>
        <v>0</v>
      </c>
      <c r="BM286">
        <f>IF(AND(VLOOKUP(BM$1,main!$A$3:$H$102,7,FALSE)=main!$G$105,VLOOKUP(BM$1,main!$A$3:$H$102,5,FALSE)-VLOOKUP($A286,main!$A$3:$H$102,6,FALSE)&gt;=main!$D$103+VLOOKUP(VLOOKUP(BM$1,main!$A$3:$I$102,7,FALSE),main!$K$26:$Q$29,5,FALSE)),1,0)</f>
        <v>0</v>
      </c>
      <c r="BN286">
        <f>IF(AND(VLOOKUP(BN$1,main!$A$3:$H$102,7,FALSE)=main!$G$105,VLOOKUP(BN$1,main!$A$3:$H$102,5,FALSE)-VLOOKUP($A286,main!$A$3:$H$102,6,FALSE)&gt;=main!$D$103+VLOOKUP(VLOOKUP(BN$1,main!$A$3:$I$102,7,FALSE),main!$K$26:$Q$29,5,FALSE)),1,0)</f>
        <v>0</v>
      </c>
      <c r="BO286">
        <f>IF(AND(VLOOKUP(BO$1,main!$A$3:$H$102,7,FALSE)=main!$G$105,VLOOKUP(BO$1,main!$A$3:$H$102,5,FALSE)-VLOOKUP($A286,main!$A$3:$H$102,6,FALSE)&gt;=main!$D$103+VLOOKUP(VLOOKUP(BO$1,main!$A$3:$I$102,7,FALSE),main!$K$26:$Q$29,5,FALSE)),1,0)</f>
        <v>0</v>
      </c>
      <c r="BP286">
        <f>IF(AND(VLOOKUP(BP$1,main!$A$3:$H$102,7,FALSE)=main!$G$105,VLOOKUP(BP$1,main!$A$3:$H$102,5,FALSE)-VLOOKUP($A286,main!$A$3:$H$102,6,FALSE)&gt;=main!$D$103+VLOOKUP(VLOOKUP(BP$1,main!$A$3:$I$102,7,FALSE),main!$K$26:$Q$29,5,FALSE)),1,0)</f>
        <v>0</v>
      </c>
      <c r="BQ286">
        <f>IF(AND(VLOOKUP(BQ$1,main!$A$3:$H$102,7,FALSE)=main!$G$105,VLOOKUP(BQ$1,main!$A$3:$H$102,5,FALSE)-VLOOKUP($A286,main!$A$3:$H$102,6,FALSE)&gt;=main!$D$103+VLOOKUP(VLOOKUP(BQ$1,main!$A$3:$I$102,7,FALSE),main!$K$26:$Q$29,5,FALSE)),1,0)</f>
        <v>0</v>
      </c>
      <c r="BR286">
        <f>IF(AND(VLOOKUP(BR$1,main!$A$3:$H$102,7,FALSE)=main!$G$105,VLOOKUP(BR$1,main!$A$3:$H$102,5,FALSE)-VLOOKUP($A286,main!$A$3:$H$102,6,FALSE)&gt;=main!$D$103+VLOOKUP(VLOOKUP(BR$1,main!$A$3:$I$102,7,FALSE),main!$K$26:$Q$29,5,FALSE)),1,0)</f>
        <v>0</v>
      </c>
      <c r="BS286">
        <f>IF(AND(VLOOKUP(BS$1,main!$A$3:$H$102,7,FALSE)=main!$G$105,VLOOKUP(BS$1,main!$A$3:$H$102,5,FALSE)-VLOOKUP($A286,main!$A$3:$H$102,6,FALSE)&gt;=main!$D$103+VLOOKUP(VLOOKUP(BS$1,main!$A$3:$I$102,7,FALSE),main!$K$26:$Q$29,5,FALSE)),1,0)</f>
        <v>0</v>
      </c>
      <c r="BT286">
        <f>IF(AND(VLOOKUP(BT$1,main!$A$3:$H$102,7,FALSE)=main!$G$105,VLOOKUP(BT$1,main!$A$3:$H$102,5,FALSE)-VLOOKUP($A286,main!$A$3:$H$102,6,FALSE)&gt;=main!$D$103+VLOOKUP(VLOOKUP(BT$1,main!$A$3:$I$102,7,FALSE),main!$K$26:$Q$29,5,FALSE)),1,0)</f>
        <v>0</v>
      </c>
      <c r="BU286">
        <f>IF(AND(VLOOKUP(BU$1,main!$A$3:$H$102,7,FALSE)=main!$G$105,VLOOKUP(BU$1,main!$A$3:$H$102,5,FALSE)-VLOOKUP($A286,main!$A$3:$H$102,6,FALSE)&gt;=main!$D$103+VLOOKUP(VLOOKUP(BU$1,main!$A$3:$I$102,7,FALSE),main!$K$26:$Q$29,5,FALSE)),1,0)</f>
        <v>0</v>
      </c>
      <c r="BV286">
        <f>IF(AND(VLOOKUP(BV$1,main!$A$3:$H$102,7,FALSE)=main!$G$105,VLOOKUP(BV$1,main!$A$3:$H$102,5,FALSE)-VLOOKUP($A286,main!$A$3:$H$102,6,FALSE)&gt;=main!$D$103+VLOOKUP(VLOOKUP(BV$1,main!$A$3:$I$102,7,FALSE),main!$K$26:$Q$29,5,FALSE)),1,0)</f>
        <v>0</v>
      </c>
      <c r="BW286">
        <f>IF(AND(VLOOKUP(BW$1,main!$A$3:$H$102,7,FALSE)=main!$G$105,VLOOKUP(BW$1,main!$A$3:$H$102,5,FALSE)-VLOOKUP($A286,main!$A$3:$H$102,6,FALSE)&gt;=main!$D$103+VLOOKUP(VLOOKUP(BW$1,main!$A$3:$I$102,7,FALSE),main!$K$26:$Q$29,5,FALSE)),1,0)</f>
        <v>0</v>
      </c>
      <c r="BX286">
        <f>IF(AND(VLOOKUP(BX$1,main!$A$3:$H$102,7,FALSE)=main!$G$105,VLOOKUP(BX$1,main!$A$3:$H$102,5,FALSE)-VLOOKUP($A286,main!$A$3:$H$102,6,FALSE)&gt;=main!$D$103+VLOOKUP(VLOOKUP(BX$1,main!$A$3:$I$102,7,FALSE),main!$K$26:$Q$29,5,FALSE)),1,0)</f>
        <v>0</v>
      </c>
      <c r="BY286">
        <f>IF(AND(VLOOKUP(BY$1,main!$A$3:$H$102,7,FALSE)=main!$G$105,VLOOKUP(BY$1,main!$A$3:$H$102,5,FALSE)-VLOOKUP($A286,main!$A$3:$H$102,6,FALSE)&gt;=main!$D$103+VLOOKUP(VLOOKUP(BY$1,main!$A$3:$I$102,7,FALSE),main!$K$26:$Q$29,5,FALSE)),1,0)</f>
        <v>0</v>
      </c>
      <c r="BZ286">
        <f>IF(AND(VLOOKUP(BZ$1,main!$A$3:$H$102,7,FALSE)=main!$G$105,VLOOKUP(BZ$1,main!$A$3:$H$102,5,FALSE)-VLOOKUP($A286,main!$A$3:$H$102,6,FALSE)&gt;=main!$D$103+VLOOKUP(VLOOKUP(BZ$1,main!$A$3:$I$102,7,FALSE),main!$K$26:$Q$29,5,FALSE)),1,0)</f>
        <v>0</v>
      </c>
      <c r="CA286">
        <f>IF(AND(VLOOKUP(CA$1,main!$A$3:$H$102,7,FALSE)=main!$G$105,VLOOKUP(CA$1,main!$A$3:$H$102,5,FALSE)-VLOOKUP($A286,main!$A$3:$H$102,6,FALSE)&gt;=main!$D$103+VLOOKUP(VLOOKUP(CA$1,main!$A$3:$I$102,7,FALSE),main!$K$26:$Q$29,5,FALSE)),1,0)</f>
        <v>0</v>
      </c>
      <c r="CB286">
        <f>IF(AND(VLOOKUP(CB$1,main!$A$3:$H$102,7,FALSE)=main!$G$105,VLOOKUP(CB$1,main!$A$3:$H$102,5,FALSE)-VLOOKUP($A286,main!$A$3:$H$102,6,FALSE)&gt;=main!$D$103+VLOOKUP(VLOOKUP(CB$1,main!$A$3:$I$102,7,FALSE),main!$K$26:$Q$29,5,FALSE)),1,0)</f>
        <v>0</v>
      </c>
      <c r="CC286">
        <f>IF(AND(VLOOKUP(CC$1,main!$A$3:$H$102,7,FALSE)=main!$G$105,VLOOKUP(CC$1,main!$A$3:$H$102,5,FALSE)-VLOOKUP($A286,main!$A$3:$H$102,6,FALSE)&gt;=main!$D$103+VLOOKUP(VLOOKUP(CC$1,main!$A$3:$I$102,7,FALSE),main!$K$26:$Q$29,5,FALSE)),1,0)</f>
        <v>0</v>
      </c>
      <c r="CD286">
        <f>IF(AND(VLOOKUP(CD$1,main!$A$3:$H$102,7,FALSE)=main!$G$105,VLOOKUP(CD$1,main!$A$3:$H$102,5,FALSE)-VLOOKUP($A286,main!$A$3:$H$102,6,FALSE)&gt;=main!$D$103+VLOOKUP(VLOOKUP(CD$1,main!$A$3:$I$102,7,FALSE),main!$K$26:$Q$29,5,FALSE)),1,0)</f>
        <v>0</v>
      </c>
      <c r="CE286">
        <f>IF(AND(VLOOKUP(CE$1,main!$A$3:$H$102,7,FALSE)=main!$G$105,VLOOKUP(CE$1,main!$A$3:$H$102,5,FALSE)-VLOOKUP($A286,main!$A$3:$H$102,6,FALSE)&gt;=main!$D$103+VLOOKUP(VLOOKUP(CE$1,main!$A$3:$I$102,7,FALSE),main!$K$26:$Q$29,5,FALSE)),1,0)</f>
        <v>0</v>
      </c>
      <c r="CF286">
        <f>IF(AND(VLOOKUP(CF$1,main!$A$3:$H$102,7,FALSE)=main!$G$105,VLOOKUP(CF$1,main!$A$3:$H$102,5,FALSE)-VLOOKUP($A286,main!$A$3:$H$102,6,FALSE)&gt;=main!$D$103+VLOOKUP(VLOOKUP(CF$1,main!$A$3:$I$102,7,FALSE),main!$K$26:$Q$29,5,FALSE)),1,0)</f>
        <v>0</v>
      </c>
      <c r="CG286">
        <f>IF(AND(VLOOKUP(CG$1,main!$A$3:$H$102,7,FALSE)=main!$G$105,VLOOKUP(CG$1,main!$A$3:$H$102,5,FALSE)-VLOOKUP($A286,main!$A$3:$H$102,6,FALSE)&gt;=main!$D$103+VLOOKUP(VLOOKUP(CG$1,main!$A$3:$I$102,7,FALSE),main!$K$26:$Q$29,5,FALSE)),1,0)</f>
        <v>0</v>
      </c>
      <c r="CH286">
        <f>IF(AND(VLOOKUP(CH$1,main!$A$3:$H$102,7,FALSE)=main!$G$105,VLOOKUP(CH$1,main!$A$3:$H$102,5,FALSE)-VLOOKUP($A286,main!$A$3:$H$102,6,FALSE)&gt;=main!$D$103+VLOOKUP(VLOOKUP(CH$1,main!$A$3:$I$102,7,FALSE),main!$K$26:$Q$29,5,FALSE)),1,0)</f>
        <v>0</v>
      </c>
      <c r="CI286">
        <f>IF(AND(VLOOKUP(CI$1,main!$A$3:$H$102,7,FALSE)=main!$G$105,VLOOKUP(CI$1,main!$A$3:$H$102,5,FALSE)-VLOOKUP($A286,main!$A$3:$H$102,6,FALSE)&gt;=main!$D$103+VLOOKUP(VLOOKUP(CI$1,main!$A$3:$I$102,7,FALSE),main!$K$26:$Q$29,5,FALSE)),1,0)</f>
        <v>0</v>
      </c>
      <c r="CJ286">
        <f>IF(AND(VLOOKUP(CJ$1,main!$A$3:$H$102,7,FALSE)=main!$G$105,VLOOKUP(CJ$1,main!$A$3:$H$102,5,FALSE)-VLOOKUP($A286,main!$A$3:$H$102,6,FALSE)&gt;=main!$D$103+VLOOKUP(VLOOKUP(CJ$1,main!$A$3:$I$102,7,FALSE),main!$K$26:$Q$29,5,FALSE)),1,0)</f>
        <v>0</v>
      </c>
      <c r="CK286">
        <f>IF(AND(VLOOKUP(CK$1,main!$A$3:$H$102,7,FALSE)=main!$G$105,VLOOKUP(CK$1,main!$A$3:$H$102,5,FALSE)-VLOOKUP($A286,main!$A$3:$H$102,6,FALSE)&gt;=main!$D$103+VLOOKUP(VLOOKUP(CK$1,main!$A$3:$I$102,7,FALSE),main!$K$26:$Q$29,5,FALSE)),1,0)</f>
        <v>0</v>
      </c>
      <c r="CL286">
        <f>IF(AND(VLOOKUP(CL$1,main!$A$3:$H$102,7,FALSE)=main!$G$105,VLOOKUP(CL$1,main!$A$3:$H$102,5,FALSE)-VLOOKUP($A286,main!$A$3:$H$102,6,FALSE)&gt;=main!$D$103+VLOOKUP(VLOOKUP(CL$1,main!$A$3:$I$102,7,FALSE),main!$K$26:$Q$29,5,FALSE)),1,0)</f>
        <v>0</v>
      </c>
      <c r="CM286">
        <f>IF(AND(VLOOKUP(CM$1,main!$A$3:$H$102,7,FALSE)=main!$G$105,VLOOKUP(CM$1,main!$A$3:$H$102,5,FALSE)-VLOOKUP($A286,main!$A$3:$H$102,6,FALSE)&gt;=main!$D$103+VLOOKUP(VLOOKUP(CM$1,main!$A$3:$I$102,7,FALSE),main!$K$26:$Q$29,5,FALSE)),1,0)</f>
        <v>0</v>
      </c>
      <c r="CN286">
        <f>IF(AND(VLOOKUP(CN$1,main!$A$3:$H$102,7,FALSE)=main!$G$105,VLOOKUP(CN$1,main!$A$3:$H$102,5,FALSE)-VLOOKUP($A286,main!$A$3:$H$102,6,FALSE)&gt;=main!$D$103+VLOOKUP(VLOOKUP(CN$1,main!$A$3:$I$102,7,FALSE),main!$K$26:$Q$29,5,FALSE)),1,0)</f>
        <v>0</v>
      </c>
      <c r="CO286">
        <f>IF(AND(VLOOKUP(CO$1,main!$A$3:$H$102,7,FALSE)=main!$G$105,VLOOKUP(CO$1,main!$A$3:$H$102,5,FALSE)-VLOOKUP($A286,main!$A$3:$H$102,6,FALSE)&gt;=main!$D$103+VLOOKUP(VLOOKUP(CO$1,main!$A$3:$I$102,7,FALSE),main!$K$26:$Q$29,5,FALSE)),1,0)</f>
        <v>0</v>
      </c>
      <c r="CP286">
        <f>IF(AND(VLOOKUP(CP$1,main!$A$3:$H$102,7,FALSE)=main!$G$105,VLOOKUP(CP$1,main!$A$3:$H$102,5,FALSE)-VLOOKUP($A286,main!$A$3:$H$102,6,FALSE)&gt;=main!$D$103+VLOOKUP(VLOOKUP(CP$1,main!$A$3:$I$102,7,FALSE),main!$K$26:$Q$29,5,FALSE)),1,0)</f>
        <v>0</v>
      </c>
      <c r="CQ286">
        <f>IF(AND(VLOOKUP(CQ$1,main!$A$3:$H$102,7,FALSE)=main!$G$105,VLOOKUP(CQ$1,main!$A$3:$H$102,5,FALSE)-VLOOKUP($A286,main!$A$3:$H$102,6,FALSE)&gt;=main!$D$103+VLOOKUP(VLOOKUP(CQ$1,main!$A$3:$I$102,7,FALSE),main!$K$26:$Q$29,5,FALSE)),1,0)</f>
        <v>0</v>
      </c>
      <c r="CR286">
        <f>IF(AND(VLOOKUP(CR$1,main!$A$3:$H$102,7,FALSE)=main!$G$105,VLOOKUP(CR$1,main!$A$3:$H$102,5,FALSE)-VLOOKUP($A286,main!$A$3:$H$102,6,FALSE)&gt;=main!$D$103+VLOOKUP(VLOOKUP(CR$1,main!$A$3:$I$102,7,FALSE),main!$K$26:$Q$29,5,FALSE)),1,0)</f>
        <v>0</v>
      </c>
      <c r="CS286">
        <f>IF(AND(VLOOKUP(CS$1,main!$A$3:$H$102,7,FALSE)=main!$G$105,VLOOKUP(CS$1,main!$A$3:$H$102,5,FALSE)-VLOOKUP($A286,main!$A$3:$H$102,6,FALSE)&gt;=main!$D$103+VLOOKUP(VLOOKUP(CS$1,main!$A$3:$I$102,7,FALSE),main!$K$26:$Q$29,5,FALSE)),1,0)</f>
        <v>0</v>
      </c>
      <c r="CT286">
        <f>IF(AND(VLOOKUP(CT$1,main!$A$3:$H$102,7,FALSE)=main!$G$105,VLOOKUP(CT$1,main!$A$3:$H$102,5,FALSE)-VLOOKUP($A286,main!$A$3:$H$102,6,FALSE)&gt;=main!$D$103+VLOOKUP(VLOOKUP(CT$1,main!$A$3:$I$102,7,FALSE),main!$K$26:$Q$29,5,FALSE)),1,0)</f>
        <v>0</v>
      </c>
      <c r="CU286">
        <f>IF(AND(VLOOKUP(CU$1,main!$A$3:$H$102,7,FALSE)=main!$G$105,VLOOKUP(CU$1,main!$A$3:$H$102,5,FALSE)-VLOOKUP($A286,main!$A$3:$H$102,6,FALSE)&gt;=main!$D$103+VLOOKUP(VLOOKUP(CU$1,main!$A$3:$I$102,7,FALSE),main!$K$26:$Q$29,5,FALSE)),1,0)</f>
        <v>0</v>
      </c>
      <c r="CV286">
        <f>IF(AND(VLOOKUP(CV$1,main!$A$3:$H$102,7,FALSE)=main!$G$105,VLOOKUP(CV$1,main!$A$3:$H$102,5,FALSE)-VLOOKUP($A286,main!$A$3:$H$102,6,FALSE)&gt;=main!$D$103+VLOOKUP(VLOOKUP(CV$1,main!$A$3:$I$102,7,FALSE),main!$K$26:$Q$29,5,FALSE)),1,0)</f>
        <v>0</v>
      </c>
      <c r="CW286">
        <f>IF(AND(VLOOKUP(CW$1,main!$A$3:$H$102,7,FALSE)=main!$G$105,VLOOKUP(CW$1,main!$A$3:$H$102,5,FALSE)-VLOOKUP($A286,main!$A$3:$H$102,6,FALSE)&gt;=main!$D$103+VLOOKUP(VLOOKUP(CW$1,main!$A$3:$I$102,7,FALSE),main!$K$26:$Q$29,5,FALSE)),1,0)</f>
        <v>0</v>
      </c>
      <c r="CX286">
        <f>IF(AND(VLOOKUP(CX$1,main!$A$3:$H$102,7,FALSE)=main!$G$105,VLOOKUP(CX$1,main!$A$3:$H$102,5,FALSE)-VLOOKUP($A286,main!$A$3:$H$102,6,FALSE)&gt;=main!$D$103+VLOOKUP(VLOOKUP(CX$1,main!$A$3:$I$102,7,FALSE),main!$K$26:$Q$29,5,FALSE)),1,0)</f>
        <v>0</v>
      </c>
    </row>
    <row r="287" spans="1:102" x14ac:dyDescent="0.25">
      <c r="A287" s="1">
        <v>83</v>
      </c>
      <c r="B287">
        <v>0</v>
      </c>
      <c r="C287">
        <f>IF(AND(VLOOKUP(C$1,main!$A$3:$H$102,7,FALSE)=main!$G$105,VLOOKUP(C$1,main!$A$3:$H$102,5,FALSE)-VLOOKUP($A287,main!$A$3:$H$102,6,FALSE)&gt;=main!$D$103+VLOOKUP(VLOOKUP(C$1,main!$A$3:$I$102,7,FALSE),main!$K$26:$Q$29,5,FALSE)),1,0)</f>
        <v>0</v>
      </c>
      <c r="D287">
        <f>IF(AND(VLOOKUP(D$1,main!$A$3:$H$102,7,FALSE)=main!$G$105,VLOOKUP(D$1,main!$A$3:$H$102,5,FALSE)-VLOOKUP($A287,main!$A$3:$H$102,6,FALSE)&gt;=main!$D$103+VLOOKUP(VLOOKUP(D$1,main!$A$3:$I$102,7,FALSE),main!$K$26:$Q$29,5,FALSE)),1,0)</f>
        <v>0</v>
      </c>
      <c r="E287">
        <f>IF(AND(VLOOKUP(E$1,main!$A$3:$H$102,7,FALSE)=main!$G$105,VLOOKUP(E$1,main!$A$3:$H$102,5,FALSE)-VLOOKUP($A287,main!$A$3:$H$102,6,FALSE)&gt;=main!$D$103+VLOOKUP(VLOOKUP(E$1,main!$A$3:$I$102,7,FALSE),main!$K$26:$Q$29,5,FALSE)),1,0)</f>
        <v>0</v>
      </c>
      <c r="F287">
        <f>IF(AND(VLOOKUP(F$1,main!$A$3:$H$102,7,FALSE)=main!$G$105,VLOOKUP(F$1,main!$A$3:$H$102,5,FALSE)-VLOOKUP($A287,main!$A$3:$H$102,6,FALSE)&gt;=main!$D$103+VLOOKUP(VLOOKUP(F$1,main!$A$3:$I$102,7,FALSE),main!$K$26:$Q$29,5,FALSE)),1,0)</f>
        <v>0</v>
      </c>
      <c r="G287">
        <f>IF(AND(VLOOKUP(G$1,main!$A$3:$H$102,7,FALSE)=main!$G$105,VLOOKUP(G$1,main!$A$3:$H$102,5,FALSE)-VLOOKUP($A287,main!$A$3:$H$102,6,FALSE)&gt;=main!$D$103+VLOOKUP(VLOOKUP(G$1,main!$A$3:$I$102,7,FALSE),main!$K$26:$Q$29,5,FALSE)),1,0)</f>
        <v>0</v>
      </c>
      <c r="H287">
        <f>IF(AND(VLOOKUP(H$1,main!$A$3:$H$102,7,FALSE)=main!$G$105,VLOOKUP(H$1,main!$A$3:$H$102,5,FALSE)-VLOOKUP($A287,main!$A$3:$H$102,6,FALSE)&gt;=main!$D$103+VLOOKUP(VLOOKUP(H$1,main!$A$3:$I$102,7,FALSE),main!$K$26:$Q$29,5,FALSE)),1,0)</f>
        <v>0</v>
      </c>
      <c r="I287">
        <f>IF(AND(VLOOKUP(I$1,main!$A$3:$H$102,7,FALSE)=main!$G$105,VLOOKUP(I$1,main!$A$3:$H$102,5,FALSE)-VLOOKUP($A287,main!$A$3:$H$102,6,FALSE)&gt;=main!$D$103+VLOOKUP(VLOOKUP(I$1,main!$A$3:$I$102,7,FALSE),main!$K$26:$Q$29,5,FALSE)),1,0)</f>
        <v>0</v>
      </c>
      <c r="J287">
        <f>IF(AND(VLOOKUP(J$1,main!$A$3:$H$102,7,FALSE)=main!$G$105,VLOOKUP(J$1,main!$A$3:$H$102,5,FALSE)-VLOOKUP($A287,main!$A$3:$H$102,6,FALSE)&gt;=main!$D$103+VLOOKUP(VLOOKUP(J$1,main!$A$3:$I$102,7,FALSE),main!$K$26:$Q$29,5,FALSE)),1,0)</f>
        <v>0</v>
      </c>
      <c r="K287">
        <f>IF(AND(VLOOKUP(K$1,main!$A$3:$H$102,7,FALSE)=main!$G$105,VLOOKUP(K$1,main!$A$3:$H$102,5,FALSE)-VLOOKUP($A287,main!$A$3:$H$102,6,FALSE)&gt;=main!$D$103+VLOOKUP(VLOOKUP(K$1,main!$A$3:$I$102,7,FALSE),main!$K$26:$Q$29,5,FALSE)),1,0)</f>
        <v>0</v>
      </c>
      <c r="L287">
        <f>IF(AND(VLOOKUP(L$1,main!$A$3:$H$102,7,FALSE)=main!$G$105,VLOOKUP(L$1,main!$A$3:$H$102,5,FALSE)-VLOOKUP($A287,main!$A$3:$H$102,6,FALSE)&gt;=main!$D$103+VLOOKUP(VLOOKUP(L$1,main!$A$3:$I$102,7,FALSE),main!$K$26:$Q$29,5,FALSE)),1,0)</f>
        <v>0</v>
      </c>
      <c r="M287">
        <f>IF(AND(VLOOKUP(M$1,main!$A$3:$H$102,7,FALSE)=main!$G$105,VLOOKUP(M$1,main!$A$3:$H$102,5,FALSE)-VLOOKUP($A287,main!$A$3:$H$102,6,FALSE)&gt;=main!$D$103+VLOOKUP(VLOOKUP(M$1,main!$A$3:$I$102,7,FALSE),main!$K$26:$Q$29,5,FALSE)),1,0)</f>
        <v>0</v>
      </c>
      <c r="N287">
        <f>IF(AND(VLOOKUP(N$1,main!$A$3:$H$102,7,FALSE)=main!$G$105,VLOOKUP(N$1,main!$A$3:$H$102,5,FALSE)-VLOOKUP($A287,main!$A$3:$H$102,6,FALSE)&gt;=main!$D$103+VLOOKUP(VLOOKUP(N$1,main!$A$3:$I$102,7,FALSE),main!$K$26:$Q$29,5,FALSE)),1,0)</f>
        <v>0</v>
      </c>
      <c r="O287">
        <f>IF(AND(VLOOKUP(O$1,main!$A$3:$H$102,7,FALSE)=main!$G$105,VLOOKUP(O$1,main!$A$3:$H$102,5,FALSE)-VLOOKUP($A287,main!$A$3:$H$102,6,FALSE)&gt;=main!$D$103+VLOOKUP(VLOOKUP(O$1,main!$A$3:$I$102,7,FALSE),main!$K$26:$Q$29,5,FALSE)),1,0)</f>
        <v>0</v>
      </c>
      <c r="P287">
        <f>IF(AND(VLOOKUP(P$1,main!$A$3:$H$102,7,FALSE)=main!$G$105,VLOOKUP(P$1,main!$A$3:$H$102,5,FALSE)-VLOOKUP($A287,main!$A$3:$H$102,6,FALSE)&gt;=main!$D$103+VLOOKUP(VLOOKUP(P$1,main!$A$3:$I$102,7,FALSE),main!$K$26:$Q$29,5,FALSE)),1,0)</f>
        <v>0</v>
      </c>
      <c r="Q287">
        <f>IF(AND(VLOOKUP(Q$1,main!$A$3:$H$102,7,FALSE)=main!$G$105,VLOOKUP(Q$1,main!$A$3:$H$102,5,FALSE)-VLOOKUP($A287,main!$A$3:$H$102,6,FALSE)&gt;=main!$D$103+VLOOKUP(VLOOKUP(Q$1,main!$A$3:$I$102,7,FALSE),main!$K$26:$Q$29,5,FALSE)),1,0)</f>
        <v>0</v>
      </c>
      <c r="R287">
        <f>IF(AND(VLOOKUP(R$1,main!$A$3:$H$102,7,FALSE)=main!$G$105,VLOOKUP(R$1,main!$A$3:$H$102,5,FALSE)-VLOOKUP($A287,main!$A$3:$H$102,6,FALSE)&gt;=main!$D$103+VLOOKUP(VLOOKUP(R$1,main!$A$3:$I$102,7,FALSE),main!$K$26:$Q$29,5,FALSE)),1,0)</f>
        <v>0</v>
      </c>
      <c r="S287">
        <f>IF(AND(VLOOKUP(S$1,main!$A$3:$H$102,7,FALSE)=main!$G$105,VLOOKUP(S$1,main!$A$3:$H$102,5,FALSE)-VLOOKUP($A287,main!$A$3:$H$102,6,FALSE)&gt;=main!$D$103+VLOOKUP(VLOOKUP(S$1,main!$A$3:$I$102,7,FALSE),main!$K$26:$Q$29,5,FALSE)),1,0)</f>
        <v>0</v>
      </c>
      <c r="T287">
        <f>IF(AND(VLOOKUP(T$1,main!$A$3:$H$102,7,FALSE)=main!$G$105,VLOOKUP(T$1,main!$A$3:$H$102,5,FALSE)-VLOOKUP($A287,main!$A$3:$H$102,6,FALSE)&gt;=main!$D$103+VLOOKUP(VLOOKUP(T$1,main!$A$3:$I$102,7,FALSE),main!$K$26:$Q$29,5,FALSE)),1,0)</f>
        <v>0</v>
      </c>
      <c r="U287">
        <f>IF(AND(VLOOKUP(U$1,main!$A$3:$H$102,7,FALSE)=main!$G$105,VLOOKUP(U$1,main!$A$3:$H$102,5,FALSE)-VLOOKUP($A287,main!$A$3:$H$102,6,FALSE)&gt;=main!$D$103+VLOOKUP(VLOOKUP(U$1,main!$A$3:$I$102,7,FALSE),main!$K$26:$Q$29,5,FALSE)),1,0)</f>
        <v>0</v>
      </c>
      <c r="V287">
        <f>IF(AND(VLOOKUP(V$1,main!$A$3:$H$102,7,FALSE)=main!$G$105,VLOOKUP(V$1,main!$A$3:$H$102,5,FALSE)-VLOOKUP($A287,main!$A$3:$H$102,6,FALSE)&gt;=main!$D$103+VLOOKUP(VLOOKUP(V$1,main!$A$3:$I$102,7,FALSE),main!$K$26:$Q$29,5,FALSE)),1,0)</f>
        <v>0</v>
      </c>
      <c r="W287">
        <f>IF(AND(VLOOKUP(W$1,main!$A$3:$H$102,7,FALSE)=main!$G$105,VLOOKUP(W$1,main!$A$3:$H$102,5,FALSE)-VLOOKUP($A287,main!$A$3:$H$102,6,FALSE)&gt;=main!$D$103+VLOOKUP(VLOOKUP(W$1,main!$A$3:$I$102,7,FALSE),main!$K$26:$Q$29,5,FALSE)),1,0)</f>
        <v>0</v>
      </c>
      <c r="X287">
        <f>IF(AND(VLOOKUP(X$1,main!$A$3:$H$102,7,FALSE)=main!$G$105,VLOOKUP(X$1,main!$A$3:$H$102,5,FALSE)-VLOOKUP($A287,main!$A$3:$H$102,6,FALSE)&gt;=main!$D$103+VLOOKUP(VLOOKUP(X$1,main!$A$3:$I$102,7,FALSE),main!$K$26:$Q$29,5,FALSE)),1,0)</f>
        <v>0</v>
      </c>
      <c r="Y287">
        <f>IF(AND(VLOOKUP(Y$1,main!$A$3:$H$102,7,FALSE)=main!$G$105,VLOOKUP(Y$1,main!$A$3:$H$102,5,FALSE)-VLOOKUP($A287,main!$A$3:$H$102,6,FALSE)&gt;=main!$D$103+VLOOKUP(VLOOKUP(Y$1,main!$A$3:$I$102,7,FALSE),main!$K$26:$Q$29,5,FALSE)),1,0)</f>
        <v>0</v>
      </c>
      <c r="Z287">
        <f>IF(AND(VLOOKUP(Z$1,main!$A$3:$H$102,7,FALSE)=main!$G$105,VLOOKUP(Z$1,main!$A$3:$H$102,5,FALSE)-VLOOKUP($A287,main!$A$3:$H$102,6,FALSE)&gt;=main!$D$103+VLOOKUP(VLOOKUP(Z$1,main!$A$3:$I$102,7,FALSE),main!$K$26:$Q$29,5,FALSE)),1,0)</f>
        <v>0</v>
      </c>
      <c r="AA287">
        <f>IF(AND(VLOOKUP(AA$1,main!$A$3:$H$102,7,FALSE)=main!$G$105,VLOOKUP(AA$1,main!$A$3:$H$102,5,FALSE)-VLOOKUP($A287,main!$A$3:$H$102,6,FALSE)&gt;=main!$D$103+VLOOKUP(VLOOKUP(AA$1,main!$A$3:$I$102,7,FALSE),main!$K$26:$Q$29,5,FALSE)),1,0)</f>
        <v>0</v>
      </c>
      <c r="AB287">
        <f>IF(AND(VLOOKUP(AB$1,main!$A$3:$H$102,7,FALSE)=main!$G$105,VLOOKUP(AB$1,main!$A$3:$H$102,5,FALSE)-VLOOKUP($A287,main!$A$3:$H$102,6,FALSE)&gt;=main!$D$103+VLOOKUP(VLOOKUP(AB$1,main!$A$3:$I$102,7,FALSE),main!$K$26:$Q$29,5,FALSE)),1,0)</f>
        <v>0</v>
      </c>
      <c r="AC287">
        <f>IF(AND(VLOOKUP(AC$1,main!$A$3:$H$102,7,FALSE)=main!$G$105,VLOOKUP(AC$1,main!$A$3:$H$102,5,FALSE)-VLOOKUP($A287,main!$A$3:$H$102,6,FALSE)&gt;=main!$D$103+VLOOKUP(VLOOKUP(AC$1,main!$A$3:$I$102,7,FALSE),main!$K$26:$Q$29,5,FALSE)),1,0)</f>
        <v>0</v>
      </c>
      <c r="AD287">
        <f>IF(AND(VLOOKUP(AD$1,main!$A$3:$H$102,7,FALSE)=main!$G$105,VLOOKUP(AD$1,main!$A$3:$H$102,5,FALSE)-VLOOKUP($A287,main!$A$3:$H$102,6,FALSE)&gt;=main!$D$103+VLOOKUP(VLOOKUP(AD$1,main!$A$3:$I$102,7,FALSE),main!$K$26:$Q$29,5,FALSE)),1,0)</f>
        <v>0</v>
      </c>
      <c r="AE287">
        <f>IF(AND(VLOOKUP(AE$1,main!$A$3:$H$102,7,FALSE)=main!$G$105,VLOOKUP(AE$1,main!$A$3:$H$102,5,FALSE)-VLOOKUP($A287,main!$A$3:$H$102,6,FALSE)&gt;=main!$D$103+VLOOKUP(VLOOKUP(AE$1,main!$A$3:$I$102,7,FALSE),main!$K$26:$Q$29,5,FALSE)),1,0)</f>
        <v>0</v>
      </c>
      <c r="AF287">
        <f>IF(AND(VLOOKUP(AF$1,main!$A$3:$H$102,7,FALSE)=main!$G$105,VLOOKUP(AF$1,main!$A$3:$H$102,5,FALSE)-VLOOKUP($A287,main!$A$3:$H$102,6,FALSE)&gt;=main!$D$103+VLOOKUP(VLOOKUP(AF$1,main!$A$3:$I$102,7,FALSE),main!$K$26:$Q$29,5,FALSE)),1,0)</f>
        <v>0</v>
      </c>
      <c r="AG287">
        <f>IF(AND(VLOOKUP(AG$1,main!$A$3:$H$102,7,FALSE)=main!$G$105,VLOOKUP(AG$1,main!$A$3:$H$102,5,FALSE)-VLOOKUP($A287,main!$A$3:$H$102,6,FALSE)&gt;=main!$D$103+VLOOKUP(VLOOKUP(AG$1,main!$A$3:$I$102,7,FALSE),main!$K$26:$Q$29,5,FALSE)),1,0)</f>
        <v>0</v>
      </c>
      <c r="AH287">
        <f>IF(AND(VLOOKUP(AH$1,main!$A$3:$H$102,7,FALSE)=main!$G$105,VLOOKUP(AH$1,main!$A$3:$H$102,5,FALSE)-VLOOKUP($A287,main!$A$3:$H$102,6,FALSE)&gt;=main!$D$103+VLOOKUP(VLOOKUP(AH$1,main!$A$3:$I$102,7,FALSE),main!$K$26:$Q$29,5,FALSE)),1,0)</f>
        <v>0</v>
      </c>
      <c r="AI287">
        <f>IF(AND(VLOOKUP(AI$1,main!$A$3:$H$102,7,FALSE)=main!$G$105,VLOOKUP(AI$1,main!$A$3:$H$102,5,FALSE)-VLOOKUP($A287,main!$A$3:$H$102,6,FALSE)&gt;=main!$D$103+VLOOKUP(VLOOKUP(AI$1,main!$A$3:$I$102,7,FALSE),main!$K$26:$Q$29,5,FALSE)),1,0)</f>
        <v>0</v>
      </c>
      <c r="AJ287">
        <f>IF(AND(VLOOKUP(AJ$1,main!$A$3:$H$102,7,FALSE)=main!$G$105,VLOOKUP(AJ$1,main!$A$3:$H$102,5,FALSE)-VLOOKUP($A287,main!$A$3:$H$102,6,FALSE)&gt;=main!$D$103+VLOOKUP(VLOOKUP(AJ$1,main!$A$3:$I$102,7,FALSE),main!$K$26:$Q$29,5,FALSE)),1,0)</f>
        <v>0</v>
      </c>
      <c r="AK287">
        <f>IF(AND(VLOOKUP(AK$1,main!$A$3:$H$102,7,FALSE)=main!$G$105,VLOOKUP(AK$1,main!$A$3:$H$102,5,FALSE)-VLOOKUP($A287,main!$A$3:$H$102,6,FALSE)&gt;=main!$D$103+VLOOKUP(VLOOKUP(AK$1,main!$A$3:$I$102,7,FALSE),main!$K$26:$Q$29,5,FALSE)),1,0)</f>
        <v>0</v>
      </c>
      <c r="AL287">
        <f>IF(AND(VLOOKUP(AL$1,main!$A$3:$H$102,7,FALSE)=main!$G$105,VLOOKUP(AL$1,main!$A$3:$H$102,5,FALSE)-VLOOKUP($A287,main!$A$3:$H$102,6,FALSE)&gt;=main!$D$103+VLOOKUP(VLOOKUP(AL$1,main!$A$3:$I$102,7,FALSE),main!$K$26:$Q$29,5,FALSE)),1,0)</f>
        <v>0</v>
      </c>
      <c r="AM287">
        <f>IF(AND(VLOOKUP(AM$1,main!$A$3:$H$102,7,FALSE)=main!$G$105,VLOOKUP(AM$1,main!$A$3:$H$102,5,FALSE)-VLOOKUP($A287,main!$A$3:$H$102,6,FALSE)&gt;=main!$D$103+VLOOKUP(VLOOKUP(AM$1,main!$A$3:$I$102,7,FALSE),main!$K$26:$Q$29,5,FALSE)),1,0)</f>
        <v>1</v>
      </c>
      <c r="AN287">
        <f>IF(AND(VLOOKUP(AN$1,main!$A$3:$H$102,7,FALSE)=main!$G$105,VLOOKUP(AN$1,main!$A$3:$H$102,5,FALSE)-VLOOKUP($A287,main!$A$3:$H$102,6,FALSE)&gt;=main!$D$103+VLOOKUP(VLOOKUP(AN$1,main!$A$3:$I$102,7,FALSE),main!$K$26:$Q$29,5,FALSE)),1,0)</f>
        <v>1</v>
      </c>
      <c r="AO287">
        <f>IF(AND(VLOOKUP(AO$1,main!$A$3:$H$102,7,FALSE)=main!$G$105,VLOOKUP(AO$1,main!$A$3:$H$102,5,FALSE)-VLOOKUP($A287,main!$A$3:$H$102,6,FALSE)&gt;=main!$D$103+VLOOKUP(VLOOKUP(AO$1,main!$A$3:$I$102,7,FALSE),main!$K$26:$Q$29,5,FALSE)),1,0)</f>
        <v>0</v>
      </c>
      <c r="AP287">
        <f>IF(AND(VLOOKUP(AP$1,main!$A$3:$H$102,7,FALSE)=main!$G$105,VLOOKUP(AP$1,main!$A$3:$H$102,5,FALSE)-VLOOKUP($A287,main!$A$3:$H$102,6,FALSE)&gt;=main!$D$103+VLOOKUP(VLOOKUP(AP$1,main!$A$3:$I$102,7,FALSE),main!$K$26:$Q$29,5,FALSE)),1,0)</f>
        <v>1</v>
      </c>
      <c r="AQ287">
        <f>IF(AND(VLOOKUP(AQ$1,main!$A$3:$H$102,7,FALSE)=main!$G$105,VLOOKUP(AQ$1,main!$A$3:$H$102,5,FALSE)-VLOOKUP($A287,main!$A$3:$H$102,6,FALSE)&gt;=main!$D$103+VLOOKUP(VLOOKUP(AQ$1,main!$A$3:$I$102,7,FALSE),main!$K$26:$Q$29,5,FALSE)),1,0)</f>
        <v>0</v>
      </c>
      <c r="AR287">
        <f>IF(AND(VLOOKUP(AR$1,main!$A$3:$H$102,7,FALSE)=main!$G$105,VLOOKUP(AR$1,main!$A$3:$H$102,5,FALSE)-VLOOKUP($A287,main!$A$3:$H$102,6,FALSE)&gt;=main!$D$103+VLOOKUP(VLOOKUP(AR$1,main!$A$3:$I$102,7,FALSE),main!$K$26:$Q$29,5,FALSE)),1,0)</f>
        <v>0</v>
      </c>
      <c r="AS287">
        <f>IF(AND(VLOOKUP(AS$1,main!$A$3:$H$102,7,FALSE)=main!$G$105,VLOOKUP(AS$1,main!$A$3:$H$102,5,FALSE)-VLOOKUP($A287,main!$A$3:$H$102,6,FALSE)&gt;=main!$D$103+VLOOKUP(VLOOKUP(AS$1,main!$A$3:$I$102,7,FALSE),main!$K$26:$Q$29,5,FALSE)),1,0)</f>
        <v>0</v>
      </c>
      <c r="AT287">
        <f>IF(AND(VLOOKUP(AT$1,main!$A$3:$H$102,7,FALSE)=main!$G$105,VLOOKUP(AT$1,main!$A$3:$H$102,5,FALSE)-VLOOKUP($A287,main!$A$3:$H$102,6,FALSE)&gt;=main!$D$103+VLOOKUP(VLOOKUP(AT$1,main!$A$3:$I$102,7,FALSE),main!$K$26:$Q$29,5,FALSE)),1,0)</f>
        <v>0</v>
      </c>
      <c r="AU287">
        <f>IF(AND(VLOOKUP(AU$1,main!$A$3:$H$102,7,FALSE)=main!$G$105,VLOOKUP(AU$1,main!$A$3:$H$102,5,FALSE)-VLOOKUP($A287,main!$A$3:$H$102,6,FALSE)&gt;=main!$D$103+VLOOKUP(VLOOKUP(AU$1,main!$A$3:$I$102,7,FALSE),main!$K$26:$Q$29,5,FALSE)),1,0)</f>
        <v>0</v>
      </c>
      <c r="AV287">
        <f>IF(AND(VLOOKUP(AV$1,main!$A$3:$H$102,7,FALSE)=main!$G$105,VLOOKUP(AV$1,main!$A$3:$H$102,5,FALSE)-VLOOKUP($A287,main!$A$3:$H$102,6,FALSE)&gt;=main!$D$103+VLOOKUP(VLOOKUP(AV$1,main!$A$3:$I$102,7,FALSE),main!$K$26:$Q$29,5,FALSE)),1,0)</f>
        <v>0</v>
      </c>
      <c r="AW287">
        <f>IF(AND(VLOOKUP(AW$1,main!$A$3:$H$102,7,FALSE)=main!$G$105,VLOOKUP(AW$1,main!$A$3:$H$102,5,FALSE)-VLOOKUP($A287,main!$A$3:$H$102,6,FALSE)&gt;=main!$D$103+VLOOKUP(VLOOKUP(AW$1,main!$A$3:$I$102,7,FALSE),main!$K$26:$Q$29,5,FALSE)),1,0)</f>
        <v>0</v>
      </c>
      <c r="AX287">
        <f>IF(AND(VLOOKUP(AX$1,main!$A$3:$H$102,7,FALSE)=main!$G$105,VLOOKUP(AX$1,main!$A$3:$H$102,5,FALSE)-VLOOKUP($A287,main!$A$3:$H$102,6,FALSE)&gt;=main!$D$103+VLOOKUP(VLOOKUP(AX$1,main!$A$3:$I$102,7,FALSE),main!$K$26:$Q$29,5,FALSE)),1,0)</f>
        <v>0</v>
      </c>
      <c r="AY287">
        <f>IF(AND(VLOOKUP(AY$1,main!$A$3:$H$102,7,FALSE)=main!$G$105,VLOOKUP(AY$1,main!$A$3:$H$102,5,FALSE)-VLOOKUP($A287,main!$A$3:$H$102,6,FALSE)&gt;=main!$D$103+VLOOKUP(VLOOKUP(AY$1,main!$A$3:$I$102,7,FALSE),main!$K$26:$Q$29,5,FALSE)),1,0)</f>
        <v>0</v>
      </c>
      <c r="AZ287">
        <f>IF(AND(VLOOKUP(AZ$1,main!$A$3:$H$102,7,FALSE)=main!$G$105,VLOOKUP(AZ$1,main!$A$3:$H$102,5,FALSE)-VLOOKUP($A287,main!$A$3:$H$102,6,FALSE)&gt;=main!$D$103+VLOOKUP(VLOOKUP(AZ$1,main!$A$3:$I$102,7,FALSE),main!$K$26:$Q$29,5,FALSE)),1,0)</f>
        <v>0</v>
      </c>
      <c r="BA287">
        <f>IF(AND(VLOOKUP(BA$1,main!$A$3:$H$102,7,FALSE)=main!$G$105,VLOOKUP(BA$1,main!$A$3:$H$102,5,FALSE)-VLOOKUP($A287,main!$A$3:$H$102,6,FALSE)&gt;=main!$D$103+VLOOKUP(VLOOKUP(BA$1,main!$A$3:$I$102,7,FALSE),main!$K$26:$Q$29,5,FALSE)),1,0)</f>
        <v>0</v>
      </c>
      <c r="BB287">
        <f>IF(AND(VLOOKUP(BB$1,main!$A$3:$H$102,7,FALSE)=main!$G$105,VLOOKUP(BB$1,main!$A$3:$H$102,5,FALSE)-VLOOKUP($A287,main!$A$3:$H$102,6,FALSE)&gt;=main!$D$103+VLOOKUP(VLOOKUP(BB$1,main!$A$3:$I$102,7,FALSE),main!$K$26:$Q$29,5,FALSE)),1,0)</f>
        <v>0</v>
      </c>
      <c r="BC287">
        <f>IF(AND(VLOOKUP(BC$1,main!$A$3:$H$102,7,FALSE)=main!$G$105,VLOOKUP(BC$1,main!$A$3:$H$102,5,FALSE)-VLOOKUP($A287,main!$A$3:$H$102,6,FALSE)&gt;=main!$D$103+VLOOKUP(VLOOKUP(BC$1,main!$A$3:$I$102,7,FALSE),main!$K$26:$Q$29,5,FALSE)),1,0)</f>
        <v>0</v>
      </c>
      <c r="BD287">
        <f>IF(AND(VLOOKUP(BD$1,main!$A$3:$H$102,7,FALSE)=main!$G$105,VLOOKUP(BD$1,main!$A$3:$H$102,5,FALSE)-VLOOKUP($A287,main!$A$3:$H$102,6,FALSE)&gt;=main!$D$103+VLOOKUP(VLOOKUP(BD$1,main!$A$3:$I$102,7,FALSE),main!$K$26:$Q$29,5,FALSE)),1,0)</f>
        <v>0</v>
      </c>
      <c r="BE287">
        <f>IF(AND(VLOOKUP(BE$1,main!$A$3:$H$102,7,FALSE)=main!$G$105,VLOOKUP(BE$1,main!$A$3:$H$102,5,FALSE)-VLOOKUP($A287,main!$A$3:$H$102,6,FALSE)&gt;=main!$D$103+VLOOKUP(VLOOKUP(BE$1,main!$A$3:$I$102,7,FALSE),main!$K$26:$Q$29,5,FALSE)),1,0)</f>
        <v>0</v>
      </c>
      <c r="BF287">
        <f>IF(AND(VLOOKUP(BF$1,main!$A$3:$H$102,7,FALSE)=main!$G$105,VLOOKUP(BF$1,main!$A$3:$H$102,5,FALSE)-VLOOKUP($A287,main!$A$3:$H$102,6,FALSE)&gt;=main!$D$103+VLOOKUP(VLOOKUP(BF$1,main!$A$3:$I$102,7,FALSE),main!$K$26:$Q$29,5,FALSE)),1,0)</f>
        <v>0</v>
      </c>
      <c r="BG287">
        <f>IF(AND(VLOOKUP(BG$1,main!$A$3:$H$102,7,FALSE)=main!$G$105,VLOOKUP(BG$1,main!$A$3:$H$102,5,FALSE)-VLOOKUP($A287,main!$A$3:$H$102,6,FALSE)&gt;=main!$D$103+VLOOKUP(VLOOKUP(BG$1,main!$A$3:$I$102,7,FALSE),main!$K$26:$Q$29,5,FALSE)),1,0)</f>
        <v>0</v>
      </c>
      <c r="BH287">
        <f>IF(AND(VLOOKUP(BH$1,main!$A$3:$H$102,7,FALSE)=main!$G$105,VLOOKUP(BH$1,main!$A$3:$H$102,5,FALSE)-VLOOKUP($A287,main!$A$3:$H$102,6,FALSE)&gt;=main!$D$103+VLOOKUP(VLOOKUP(BH$1,main!$A$3:$I$102,7,FALSE),main!$K$26:$Q$29,5,FALSE)),1,0)</f>
        <v>0</v>
      </c>
      <c r="BI287">
        <f>IF(AND(VLOOKUP(BI$1,main!$A$3:$H$102,7,FALSE)=main!$G$105,VLOOKUP(BI$1,main!$A$3:$H$102,5,FALSE)-VLOOKUP($A287,main!$A$3:$H$102,6,FALSE)&gt;=main!$D$103+VLOOKUP(VLOOKUP(BI$1,main!$A$3:$I$102,7,FALSE),main!$K$26:$Q$29,5,FALSE)),1,0)</f>
        <v>0</v>
      </c>
      <c r="BJ287">
        <f>IF(AND(VLOOKUP(BJ$1,main!$A$3:$H$102,7,FALSE)=main!$G$105,VLOOKUP(BJ$1,main!$A$3:$H$102,5,FALSE)-VLOOKUP($A287,main!$A$3:$H$102,6,FALSE)&gt;=main!$D$103+VLOOKUP(VLOOKUP(BJ$1,main!$A$3:$I$102,7,FALSE),main!$K$26:$Q$29,5,FALSE)),1,0)</f>
        <v>0</v>
      </c>
      <c r="BK287">
        <f>IF(AND(VLOOKUP(BK$1,main!$A$3:$H$102,7,FALSE)=main!$G$105,VLOOKUP(BK$1,main!$A$3:$H$102,5,FALSE)-VLOOKUP($A287,main!$A$3:$H$102,6,FALSE)&gt;=main!$D$103+VLOOKUP(VLOOKUP(BK$1,main!$A$3:$I$102,7,FALSE),main!$K$26:$Q$29,5,FALSE)),1,0)</f>
        <v>0</v>
      </c>
      <c r="BL287">
        <f>IF(AND(VLOOKUP(BL$1,main!$A$3:$H$102,7,FALSE)=main!$G$105,VLOOKUP(BL$1,main!$A$3:$H$102,5,FALSE)-VLOOKUP($A287,main!$A$3:$H$102,6,FALSE)&gt;=main!$D$103+VLOOKUP(VLOOKUP(BL$1,main!$A$3:$I$102,7,FALSE),main!$K$26:$Q$29,5,FALSE)),1,0)</f>
        <v>0</v>
      </c>
      <c r="BM287">
        <f>IF(AND(VLOOKUP(BM$1,main!$A$3:$H$102,7,FALSE)=main!$G$105,VLOOKUP(BM$1,main!$A$3:$H$102,5,FALSE)-VLOOKUP($A287,main!$A$3:$H$102,6,FALSE)&gt;=main!$D$103+VLOOKUP(VLOOKUP(BM$1,main!$A$3:$I$102,7,FALSE),main!$K$26:$Q$29,5,FALSE)),1,0)</f>
        <v>0</v>
      </c>
      <c r="BN287">
        <f>IF(AND(VLOOKUP(BN$1,main!$A$3:$H$102,7,FALSE)=main!$G$105,VLOOKUP(BN$1,main!$A$3:$H$102,5,FALSE)-VLOOKUP($A287,main!$A$3:$H$102,6,FALSE)&gt;=main!$D$103+VLOOKUP(VLOOKUP(BN$1,main!$A$3:$I$102,7,FALSE),main!$K$26:$Q$29,5,FALSE)),1,0)</f>
        <v>0</v>
      </c>
      <c r="BO287">
        <f>IF(AND(VLOOKUP(BO$1,main!$A$3:$H$102,7,FALSE)=main!$G$105,VLOOKUP(BO$1,main!$A$3:$H$102,5,FALSE)-VLOOKUP($A287,main!$A$3:$H$102,6,FALSE)&gt;=main!$D$103+VLOOKUP(VLOOKUP(BO$1,main!$A$3:$I$102,7,FALSE),main!$K$26:$Q$29,5,FALSE)),1,0)</f>
        <v>0</v>
      </c>
      <c r="BP287">
        <f>IF(AND(VLOOKUP(BP$1,main!$A$3:$H$102,7,FALSE)=main!$G$105,VLOOKUP(BP$1,main!$A$3:$H$102,5,FALSE)-VLOOKUP($A287,main!$A$3:$H$102,6,FALSE)&gt;=main!$D$103+VLOOKUP(VLOOKUP(BP$1,main!$A$3:$I$102,7,FALSE),main!$K$26:$Q$29,5,FALSE)),1,0)</f>
        <v>0</v>
      </c>
      <c r="BQ287">
        <f>IF(AND(VLOOKUP(BQ$1,main!$A$3:$H$102,7,FALSE)=main!$G$105,VLOOKUP(BQ$1,main!$A$3:$H$102,5,FALSE)-VLOOKUP($A287,main!$A$3:$H$102,6,FALSE)&gt;=main!$D$103+VLOOKUP(VLOOKUP(BQ$1,main!$A$3:$I$102,7,FALSE),main!$K$26:$Q$29,5,FALSE)),1,0)</f>
        <v>0</v>
      </c>
      <c r="BR287">
        <f>IF(AND(VLOOKUP(BR$1,main!$A$3:$H$102,7,FALSE)=main!$G$105,VLOOKUP(BR$1,main!$A$3:$H$102,5,FALSE)-VLOOKUP($A287,main!$A$3:$H$102,6,FALSE)&gt;=main!$D$103+VLOOKUP(VLOOKUP(BR$1,main!$A$3:$I$102,7,FALSE),main!$K$26:$Q$29,5,FALSE)),1,0)</f>
        <v>0</v>
      </c>
      <c r="BS287">
        <f>IF(AND(VLOOKUP(BS$1,main!$A$3:$H$102,7,FALSE)=main!$G$105,VLOOKUP(BS$1,main!$A$3:$H$102,5,FALSE)-VLOOKUP($A287,main!$A$3:$H$102,6,FALSE)&gt;=main!$D$103+VLOOKUP(VLOOKUP(BS$1,main!$A$3:$I$102,7,FALSE),main!$K$26:$Q$29,5,FALSE)),1,0)</f>
        <v>0</v>
      </c>
      <c r="BT287">
        <f>IF(AND(VLOOKUP(BT$1,main!$A$3:$H$102,7,FALSE)=main!$G$105,VLOOKUP(BT$1,main!$A$3:$H$102,5,FALSE)-VLOOKUP($A287,main!$A$3:$H$102,6,FALSE)&gt;=main!$D$103+VLOOKUP(VLOOKUP(BT$1,main!$A$3:$I$102,7,FALSE),main!$K$26:$Q$29,5,FALSE)),1,0)</f>
        <v>0</v>
      </c>
      <c r="BU287">
        <f>IF(AND(VLOOKUP(BU$1,main!$A$3:$H$102,7,FALSE)=main!$G$105,VLOOKUP(BU$1,main!$A$3:$H$102,5,FALSE)-VLOOKUP($A287,main!$A$3:$H$102,6,FALSE)&gt;=main!$D$103+VLOOKUP(VLOOKUP(BU$1,main!$A$3:$I$102,7,FALSE),main!$K$26:$Q$29,5,FALSE)),1,0)</f>
        <v>0</v>
      </c>
      <c r="BV287">
        <f>IF(AND(VLOOKUP(BV$1,main!$A$3:$H$102,7,FALSE)=main!$G$105,VLOOKUP(BV$1,main!$A$3:$H$102,5,FALSE)-VLOOKUP($A287,main!$A$3:$H$102,6,FALSE)&gt;=main!$D$103+VLOOKUP(VLOOKUP(BV$1,main!$A$3:$I$102,7,FALSE),main!$K$26:$Q$29,5,FALSE)),1,0)</f>
        <v>0</v>
      </c>
      <c r="BW287">
        <f>IF(AND(VLOOKUP(BW$1,main!$A$3:$H$102,7,FALSE)=main!$G$105,VLOOKUP(BW$1,main!$A$3:$H$102,5,FALSE)-VLOOKUP($A287,main!$A$3:$H$102,6,FALSE)&gt;=main!$D$103+VLOOKUP(VLOOKUP(BW$1,main!$A$3:$I$102,7,FALSE),main!$K$26:$Q$29,5,FALSE)),1,0)</f>
        <v>0</v>
      </c>
      <c r="BX287">
        <f>IF(AND(VLOOKUP(BX$1,main!$A$3:$H$102,7,FALSE)=main!$G$105,VLOOKUP(BX$1,main!$A$3:$H$102,5,FALSE)-VLOOKUP($A287,main!$A$3:$H$102,6,FALSE)&gt;=main!$D$103+VLOOKUP(VLOOKUP(BX$1,main!$A$3:$I$102,7,FALSE),main!$K$26:$Q$29,5,FALSE)),1,0)</f>
        <v>0</v>
      </c>
      <c r="BY287">
        <f>IF(AND(VLOOKUP(BY$1,main!$A$3:$H$102,7,FALSE)=main!$G$105,VLOOKUP(BY$1,main!$A$3:$H$102,5,FALSE)-VLOOKUP($A287,main!$A$3:$H$102,6,FALSE)&gt;=main!$D$103+VLOOKUP(VLOOKUP(BY$1,main!$A$3:$I$102,7,FALSE),main!$K$26:$Q$29,5,FALSE)),1,0)</f>
        <v>0</v>
      </c>
      <c r="BZ287">
        <f>IF(AND(VLOOKUP(BZ$1,main!$A$3:$H$102,7,FALSE)=main!$G$105,VLOOKUP(BZ$1,main!$A$3:$H$102,5,FALSE)-VLOOKUP($A287,main!$A$3:$H$102,6,FALSE)&gt;=main!$D$103+VLOOKUP(VLOOKUP(BZ$1,main!$A$3:$I$102,7,FALSE),main!$K$26:$Q$29,5,FALSE)),1,0)</f>
        <v>0</v>
      </c>
      <c r="CA287">
        <f>IF(AND(VLOOKUP(CA$1,main!$A$3:$H$102,7,FALSE)=main!$G$105,VLOOKUP(CA$1,main!$A$3:$H$102,5,FALSE)-VLOOKUP($A287,main!$A$3:$H$102,6,FALSE)&gt;=main!$D$103+VLOOKUP(VLOOKUP(CA$1,main!$A$3:$I$102,7,FALSE),main!$K$26:$Q$29,5,FALSE)),1,0)</f>
        <v>0</v>
      </c>
      <c r="CB287">
        <f>IF(AND(VLOOKUP(CB$1,main!$A$3:$H$102,7,FALSE)=main!$G$105,VLOOKUP(CB$1,main!$A$3:$H$102,5,FALSE)-VLOOKUP($A287,main!$A$3:$H$102,6,FALSE)&gt;=main!$D$103+VLOOKUP(VLOOKUP(CB$1,main!$A$3:$I$102,7,FALSE),main!$K$26:$Q$29,5,FALSE)),1,0)</f>
        <v>0</v>
      </c>
      <c r="CC287">
        <f>IF(AND(VLOOKUP(CC$1,main!$A$3:$H$102,7,FALSE)=main!$G$105,VLOOKUP(CC$1,main!$A$3:$H$102,5,FALSE)-VLOOKUP($A287,main!$A$3:$H$102,6,FALSE)&gt;=main!$D$103+VLOOKUP(VLOOKUP(CC$1,main!$A$3:$I$102,7,FALSE),main!$K$26:$Q$29,5,FALSE)),1,0)</f>
        <v>0</v>
      </c>
      <c r="CD287">
        <f>IF(AND(VLOOKUP(CD$1,main!$A$3:$H$102,7,FALSE)=main!$G$105,VLOOKUP(CD$1,main!$A$3:$H$102,5,FALSE)-VLOOKUP($A287,main!$A$3:$H$102,6,FALSE)&gt;=main!$D$103+VLOOKUP(VLOOKUP(CD$1,main!$A$3:$I$102,7,FALSE),main!$K$26:$Q$29,5,FALSE)),1,0)</f>
        <v>0</v>
      </c>
      <c r="CE287">
        <f>IF(AND(VLOOKUP(CE$1,main!$A$3:$H$102,7,FALSE)=main!$G$105,VLOOKUP(CE$1,main!$A$3:$H$102,5,FALSE)-VLOOKUP($A287,main!$A$3:$H$102,6,FALSE)&gt;=main!$D$103+VLOOKUP(VLOOKUP(CE$1,main!$A$3:$I$102,7,FALSE),main!$K$26:$Q$29,5,FALSE)),1,0)</f>
        <v>0</v>
      </c>
      <c r="CF287">
        <f>IF(AND(VLOOKUP(CF$1,main!$A$3:$H$102,7,FALSE)=main!$G$105,VLOOKUP(CF$1,main!$A$3:$H$102,5,FALSE)-VLOOKUP($A287,main!$A$3:$H$102,6,FALSE)&gt;=main!$D$103+VLOOKUP(VLOOKUP(CF$1,main!$A$3:$I$102,7,FALSE),main!$K$26:$Q$29,5,FALSE)),1,0)</f>
        <v>0</v>
      </c>
      <c r="CG287">
        <f>IF(AND(VLOOKUP(CG$1,main!$A$3:$H$102,7,FALSE)=main!$G$105,VLOOKUP(CG$1,main!$A$3:$H$102,5,FALSE)-VLOOKUP($A287,main!$A$3:$H$102,6,FALSE)&gt;=main!$D$103+VLOOKUP(VLOOKUP(CG$1,main!$A$3:$I$102,7,FALSE),main!$K$26:$Q$29,5,FALSE)),1,0)</f>
        <v>0</v>
      </c>
      <c r="CH287">
        <f>IF(AND(VLOOKUP(CH$1,main!$A$3:$H$102,7,FALSE)=main!$G$105,VLOOKUP(CH$1,main!$A$3:$H$102,5,FALSE)-VLOOKUP($A287,main!$A$3:$H$102,6,FALSE)&gt;=main!$D$103+VLOOKUP(VLOOKUP(CH$1,main!$A$3:$I$102,7,FALSE),main!$K$26:$Q$29,5,FALSE)),1,0)</f>
        <v>0</v>
      </c>
      <c r="CI287">
        <f>IF(AND(VLOOKUP(CI$1,main!$A$3:$H$102,7,FALSE)=main!$G$105,VLOOKUP(CI$1,main!$A$3:$H$102,5,FALSE)-VLOOKUP($A287,main!$A$3:$H$102,6,FALSE)&gt;=main!$D$103+VLOOKUP(VLOOKUP(CI$1,main!$A$3:$I$102,7,FALSE),main!$K$26:$Q$29,5,FALSE)),1,0)</f>
        <v>0</v>
      </c>
      <c r="CJ287">
        <f>IF(AND(VLOOKUP(CJ$1,main!$A$3:$H$102,7,FALSE)=main!$G$105,VLOOKUP(CJ$1,main!$A$3:$H$102,5,FALSE)-VLOOKUP($A287,main!$A$3:$H$102,6,FALSE)&gt;=main!$D$103+VLOOKUP(VLOOKUP(CJ$1,main!$A$3:$I$102,7,FALSE),main!$K$26:$Q$29,5,FALSE)),1,0)</f>
        <v>0</v>
      </c>
      <c r="CK287">
        <f>IF(AND(VLOOKUP(CK$1,main!$A$3:$H$102,7,FALSE)=main!$G$105,VLOOKUP(CK$1,main!$A$3:$H$102,5,FALSE)-VLOOKUP($A287,main!$A$3:$H$102,6,FALSE)&gt;=main!$D$103+VLOOKUP(VLOOKUP(CK$1,main!$A$3:$I$102,7,FALSE),main!$K$26:$Q$29,5,FALSE)),1,0)</f>
        <v>0</v>
      </c>
      <c r="CL287">
        <f>IF(AND(VLOOKUP(CL$1,main!$A$3:$H$102,7,FALSE)=main!$G$105,VLOOKUP(CL$1,main!$A$3:$H$102,5,FALSE)-VLOOKUP($A287,main!$A$3:$H$102,6,FALSE)&gt;=main!$D$103+VLOOKUP(VLOOKUP(CL$1,main!$A$3:$I$102,7,FALSE),main!$K$26:$Q$29,5,FALSE)),1,0)</f>
        <v>0</v>
      </c>
      <c r="CM287">
        <f>IF(AND(VLOOKUP(CM$1,main!$A$3:$H$102,7,FALSE)=main!$G$105,VLOOKUP(CM$1,main!$A$3:$H$102,5,FALSE)-VLOOKUP($A287,main!$A$3:$H$102,6,FALSE)&gt;=main!$D$103+VLOOKUP(VLOOKUP(CM$1,main!$A$3:$I$102,7,FALSE),main!$K$26:$Q$29,5,FALSE)),1,0)</f>
        <v>0</v>
      </c>
      <c r="CN287">
        <f>IF(AND(VLOOKUP(CN$1,main!$A$3:$H$102,7,FALSE)=main!$G$105,VLOOKUP(CN$1,main!$A$3:$H$102,5,FALSE)-VLOOKUP($A287,main!$A$3:$H$102,6,FALSE)&gt;=main!$D$103+VLOOKUP(VLOOKUP(CN$1,main!$A$3:$I$102,7,FALSE),main!$K$26:$Q$29,5,FALSE)),1,0)</f>
        <v>0</v>
      </c>
      <c r="CO287">
        <f>IF(AND(VLOOKUP(CO$1,main!$A$3:$H$102,7,FALSE)=main!$G$105,VLOOKUP(CO$1,main!$A$3:$H$102,5,FALSE)-VLOOKUP($A287,main!$A$3:$H$102,6,FALSE)&gt;=main!$D$103+VLOOKUP(VLOOKUP(CO$1,main!$A$3:$I$102,7,FALSE),main!$K$26:$Q$29,5,FALSE)),1,0)</f>
        <v>0</v>
      </c>
      <c r="CP287">
        <f>IF(AND(VLOOKUP(CP$1,main!$A$3:$H$102,7,FALSE)=main!$G$105,VLOOKUP(CP$1,main!$A$3:$H$102,5,FALSE)-VLOOKUP($A287,main!$A$3:$H$102,6,FALSE)&gt;=main!$D$103+VLOOKUP(VLOOKUP(CP$1,main!$A$3:$I$102,7,FALSE),main!$K$26:$Q$29,5,FALSE)),1,0)</f>
        <v>0</v>
      </c>
      <c r="CQ287">
        <f>IF(AND(VLOOKUP(CQ$1,main!$A$3:$H$102,7,FALSE)=main!$G$105,VLOOKUP(CQ$1,main!$A$3:$H$102,5,FALSE)-VLOOKUP($A287,main!$A$3:$H$102,6,FALSE)&gt;=main!$D$103+VLOOKUP(VLOOKUP(CQ$1,main!$A$3:$I$102,7,FALSE),main!$K$26:$Q$29,5,FALSE)),1,0)</f>
        <v>0</v>
      </c>
      <c r="CR287">
        <f>IF(AND(VLOOKUP(CR$1,main!$A$3:$H$102,7,FALSE)=main!$G$105,VLOOKUP(CR$1,main!$A$3:$H$102,5,FALSE)-VLOOKUP($A287,main!$A$3:$H$102,6,FALSE)&gt;=main!$D$103+VLOOKUP(VLOOKUP(CR$1,main!$A$3:$I$102,7,FALSE),main!$K$26:$Q$29,5,FALSE)),1,0)</f>
        <v>0</v>
      </c>
      <c r="CS287">
        <f>IF(AND(VLOOKUP(CS$1,main!$A$3:$H$102,7,FALSE)=main!$G$105,VLOOKUP(CS$1,main!$A$3:$H$102,5,FALSE)-VLOOKUP($A287,main!$A$3:$H$102,6,FALSE)&gt;=main!$D$103+VLOOKUP(VLOOKUP(CS$1,main!$A$3:$I$102,7,FALSE),main!$K$26:$Q$29,5,FALSE)),1,0)</f>
        <v>0</v>
      </c>
      <c r="CT287">
        <f>IF(AND(VLOOKUP(CT$1,main!$A$3:$H$102,7,FALSE)=main!$G$105,VLOOKUP(CT$1,main!$A$3:$H$102,5,FALSE)-VLOOKUP($A287,main!$A$3:$H$102,6,FALSE)&gt;=main!$D$103+VLOOKUP(VLOOKUP(CT$1,main!$A$3:$I$102,7,FALSE),main!$K$26:$Q$29,5,FALSE)),1,0)</f>
        <v>0</v>
      </c>
      <c r="CU287">
        <f>IF(AND(VLOOKUP(CU$1,main!$A$3:$H$102,7,FALSE)=main!$G$105,VLOOKUP(CU$1,main!$A$3:$H$102,5,FALSE)-VLOOKUP($A287,main!$A$3:$H$102,6,FALSE)&gt;=main!$D$103+VLOOKUP(VLOOKUP(CU$1,main!$A$3:$I$102,7,FALSE),main!$K$26:$Q$29,5,FALSE)),1,0)</f>
        <v>0</v>
      </c>
      <c r="CV287">
        <f>IF(AND(VLOOKUP(CV$1,main!$A$3:$H$102,7,FALSE)=main!$G$105,VLOOKUP(CV$1,main!$A$3:$H$102,5,FALSE)-VLOOKUP($A287,main!$A$3:$H$102,6,FALSE)&gt;=main!$D$103+VLOOKUP(VLOOKUP(CV$1,main!$A$3:$I$102,7,FALSE),main!$K$26:$Q$29,5,FALSE)),1,0)</f>
        <v>0</v>
      </c>
      <c r="CW287">
        <f>IF(AND(VLOOKUP(CW$1,main!$A$3:$H$102,7,FALSE)=main!$G$105,VLOOKUP(CW$1,main!$A$3:$H$102,5,FALSE)-VLOOKUP($A287,main!$A$3:$H$102,6,FALSE)&gt;=main!$D$103+VLOOKUP(VLOOKUP(CW$1,main!$A$3:$I$102,7,FALSE),main!$K$26:$Q$29,5,FALSE)),1,0)</f>
        <v>0</v>
      </c>
      <c r="CX287">
        <f>IF(AND(VLOOKUP(CX$1,main!$A$3:$H$102,7,FALSE)=main!$G$105,VLOOKUP(CX$1,main!$A$3:$H$102,5,FALSE)-VLOOKUP($A287,main!$A$3:$H$102,6,FALSE)&gt;=main!$D$103+VLOOKUP(VLOOKUP(CX$1,main!$A$3:$I$102,7,FALSE),main!$K$26:$Q$29,5,FALSE)),1,0)</f>
        <v>0</v>
      </c>
    </row>
    <row r="288" spans="1:102" x14ac:dyDescent="0.25">
      <c r="A288" s="1">
        <v>84</v>
      </c>
      <c r="B288">
        <v>0</v>
      </c>
      <c r="C288">
        <f>IF(AND(VLOOKUP(C$1,main!$A$3:$H$102,7,FALSE)=main!$G$105,VLOOKUP(C$1,main!$A$3:$H$102,5,FALSE)-VLOOKUP($A288,main!$A$3:$H$102,6,FALSE)&gt;=main!$D$103+VLOOKUP(VLOOKUP(C$1,main!$A$3:$I$102,7,FALSE),main!$K$26:$Q$29,5,FALSE)),1,0)</f>
        <v>0</v>
      </c>
      <c r="D288">
        <f>IF(AND(VLOOKUP(D$1,main!$A$3:$H$102,7,FALSE)=main!$G$105,VLOOKUP(D$1,main!$A$3:$H$102,5,FALSE)-VLOOKUP($A288,main!$A$3:$H$102,6,FALSE)&gt;=main!$D$103+VLOOKUP(VLOOKUP(D$1,main!$A$3:$I$102,7,FALSE),main!$K$26:$Q$29,5,FALSE)),1,0)</f>
        <v>0</v>
      </c>
      <c r="E288">
        <f>IF(AND(VLOOKUP(E$1,main!$A$3:$H$102,7,FALSE)=main!$G$105,VLOOKUP(E$1,main!$A$3:$H$102,5,FALSE)-VLOOKUP($A288,main!$A$3:$H$102,6,FALSE)&gt;=main!$D$103+VLOOKUP(VLOOKUP(E$1,main!$A$3:$I$102,7,FALSE),main!$K$26:$Q$29,5,FALSE)),1,0)</f>
        <v>0</v>
      </c>
      <c r="F288">
        <f>IF(AND(VLOOKUP(F$1,main!$A$3:$H$102,7,FALSE)=main!$G$105,VLOOKUP(F$1,main!$A$3:$H$102,5,FALSE)-VLOOKUP($A288,main!$A$3:$H$102,6,FALSE)&gt;=main!$D$103+VLOOKUP(VLOOKUP(F$1,main!$A$3:$I$102,7,FALSE),main!$K$26:$Q$29,5,FALSE)),1,0)</f>
        <v>0</v>
      </c>
      <c r="G288">
        <f>IF(AND(VLOOKUP(G$1,main!$A$3:$H$102,7,FALSE)=main!$G$105,VLOOKUP(G$1,main!$A$3:$H$102,5,FALSE)-VLOOKUP($A288,main!$A$3:$H$102,6,FALSE)&gt;=main!$D$103+VLOOKUP(VLOOKUP(G$1,main!$A$3:$I$102,7,FALSE),main!$K$26:$Q$29,5,FALSE)),1,0)</f>
        <v>0</v>
      </c>
      <c r="H288">
        <f>IF(AND(VLOOKUP(H$1,main!$A$3:$H$102,7,FALSE)=main!$G$105,VLOOKUP(H$1,main!$A$3:$H$102,5,FALSE)-VLOOKUP($A288,main!$A$3:$H$102,6,FALSE)&gt;=main!$D$103+VLOOKUP(VLOOKUP(H$1,main!$A$3:$I$102,7,FALSE),main!$K$26:$Q$29,5,FALSE)),1,0)</f>
        <v>0</v>
      </c>
      <c r="I288">
        <f>IF(AND(VLOOKUP(I$1,main!$A$3:$H$102,7,FALSE)=main!$G$105,VLOOKUP(I$1,main!$A$3:$H$102,5,FALSE)-VLOOKUP($A288,main!$A$3:$H$102,6,FALSE)&gt;=main!$D$103+VLOOKUP(VLOOKUP(I$1,main!$A$3:$I$102,7,FALSE),main!$K$26:$Q$29,5,FALSE)),1,0)</f>
        <v>0</v>
      </c>
      <c r="J288">
        <f>IF(AND(VLOOKUP(J$1,main!$A$3:$H$102,7,FALSE)=main!$G$105,VLOOKUP(J$1,main!$A$3:$H$102,5,FALSE)-VLOOKUP($A288,main!$A$3:$H$102,6,FALSE)&gt;=main!$D$103+VLOOKUP(VLOOKUP(J$1,main!$A$3:$I$102,7,FALSE),main!$K$26:$Q$29,5,FALSE)),1,0)</f>
        <v>0</v>
      </c>
      <c r="K288">
        <f>IF(AND(VLOOKUP(K$1,main!$A$3:$H$102,7,FALSE)=main!$G$105,VLOOKUP(K$1,main!$A$3:$H$102,5,FALSE)-VLOOKUP($A288,main!$A$3:$H$102,6,FALSE)&gt;=main!$D$103+VLOOKUP(VLOOKUP(K$1,main!$A$3:$I$102,7,FALSE),main!$K$26:$Q$29,5,FALSE)),1,0)</f>
        <v>0</v>
      </c>
      <c r="L288">
        <f>IF(AND(VLOOKUP(L$1,main!$A$3:$H$102,7,FALSE)=main!$G$105,VLOOKUP(L$1,main!$A$3:$H$102,5,FALSE)-VLOOKUP($A288,main!$A$3:$H$102,6,FALSE)&gt;=main!$D$103+VLOOKUP(VLOOKUP(L$1,main!$A$3:$I$102,7,FALSE),main!$K$26:$Q$29,5,FALSE)),1,0)</f>
        <v>0</v>
      </c>
      <c r="M288">
        <f>IF(AND(VLOOKUP(M$1,main!$A$3:$H$102,7,FALSE)=main!$G$105,VLOOKUP(M$1,main!$A$3:$H$102,5,FALSE)-VLOOKUP($A288,main!$A$3:$H$102,6,FALSE)&gt;=main!$D$103+VLOOKUP(VLOOKUP(M$1,main!$A$3:$I$102,7,FALSE),main!$K$26:$Q$29,5,FALSE)),1,0)</f>
        <v>0</v>
      </c>
      <c r="N288">
        <f>IF(AND(VLOOKUP(N$1,main!$A$3:$H$102,7,FALSE)=main!$G$105,VLOOKUP(N$1,main!$A$3:$H$102,5,FALSE)-VLOOKUP($A288,main!$A$3:$H$102,6,FALSE)&gt;=main!$D$103+VLOOKUP(VLOOKUP(N$1,main!$A$3:$I$102,7,FALSE),main!$K$26:$Q$29,5,FALSE)),1,0)</f>
        <v>0</v>
      </c>
      <c r="O288">
        <f>IF(AND(VLOOKUP(O$1,main!$A$3:$H$102,7,FALSE)=main!$G$105,VLOOKUP(O$1,main!$A$3:$H$102,5,FALSE)-VLOOKUP($A288,main!$A$3:$H$102,6,FALSE)&gt;=main!$D$103+VLOOKUP(VLOOKUP(O$1,main!$A$3:$I$102,7,FALSE),main!$K$26:$Q$29,5,FALSE)),1,0)</f>
        <v>0</v>
      </c>
      <c r="P288">
        <f>IF(AND(VLOOKUP(P$1,main!$A$3:$H$102,7,FALSE)=main!$G$105,VLOOKUP(P$1,main!$A$3:$H$102,5,FALSE)-VLOOKUP($A288,main!$A$3:$H$102,6,FALSE)&gt;=main!$D$103+VLOOKUP(VLOOKUP(P$1,main!$A$3:$I$102,7,FALSE),main!$K$26:$Q$29,5,FALSE)),1,0)</f>
        <v>0</v>
      </c>
      <c r="Q288">
        <f>IF(AND(VLOOKUP(Q$1,main!$A$3:$H$102,7,FALSE)=main!$G$105,VLOOKUP(Q$1,main!$A$3:$H$102,5,FALSE)-VLOOKUP($A288,main!$A$3:$H$102,6,FALSE)&gt;=main!$D$103+VLOOKUP(VLOOKUP(Q$1,main!$A$3:$I$102,7,FALSE),main!$K$26:$Q$29,5,FALSE)),1,0)</f>
        <v>0</v>
      </c>
      <c r="R288">
        <f>IF(AND(VLOOKUP(R$1,main!$A$3:$H$102,7,FALSE)=main!$G$105,VLOOKUP(R$1,main!$A$3:$H$102,5,FALSE)-VLOOKUP($A288,main!$A$3:$H$102,6,FALSE)&gt;=main!$D$103+VLOOKUP(VLOOKUP(R$1,main!$A$3:$I$102,7,FALSE),main!$K$26:$Q$29,5,FALSE)),1,0)</f>
        <v>0</v>
      </c>
      <c r="S288">
        <f>IF(AND(VLOOKUP(S$1,main!$A$3:$H$102,7,FALSE)=main!$G$105,VLOOKUP(S$1,main!$A$3:$H$102,5,FALSE)-VLOOKUP($A288,main!$A$3:$H$102,6,FALSE)&gt;=main!$D$103+VLOOKUP(VLOOKUP(S$1,main!$A$3:$I$102,7,FALSE),main!$K$26:$Q$29,5,FALSE)),1,0)</f>
        <v>0</v>
      </c>
      <c r="T288">
        <f>IF(AND(VLOOKUP(T$1,main!$A$3:$H$102,7,FALSE)=main!$G$105,VLOOKUP(T$1,main!$A$3:$H$102,5,FALSE)-VLOOKUP($A288,main!$A$3:$H$102,6,FALSE)&gt;=main!$D$103+VLOOKUP(VLOOKUP(T$1,main!$A$3:$I$102,7,FALSE),main!$K$26:$Q$29,5,FALSE)),1,0)</f>
        <v>0</v>
      </c>
      <c r="U288">
        <f>IF(AND(VLOOKUP(U$1,main!$A$3:$H$102,7,FALSE)=main!$G$105,VLOOKUP(U$1,main!$A$3:$H$102,5,FALSE)-VLOOKUP($A288,main!$A$3:$H$102,6,FALSE)&gt;=main!$D$103+VLOOKUP(VLOOKUP(U$1,main!$A$3:$I$102,7,FALSE),main!$K$26:$Q$29,5,FALSE)),1,0)</f>
        <v>0</v>
      </c>
      <c r="V288">
        <f>IF(AND(VLOOKUP(V$1,main!$A$3:$H$102,7,FALSE)=main!$G$105,VLOOKUP(V$1,main!$A$3:$H$102,5,FALSE)-VLOOKUP($A288,main!$A$3:$H$102,6,FALSE)&gt;=main!$D$103+VLOOKUP(VLOOKUP(V$1,main!$A$3:$I$102,7,FALSE),main!$K$26:$Q$29,5,FALSE)),1,0)</f>
        <v>0</v>
      </c>
      <c r="W288">
        <f>IF(AND(VLOOKUP(W$1,main!$A$3:$H$102,7,FALSE)=main!$G$105,VLOOKUP(W$1,main!$A$3:$H$102,5,FALSE)-VLOOKUP($A288,main!$A$3:$H$102,6,FALSE)&gt;=main!$D$103+VLOOKUP(VLOOKUP(W$1,main!$A$3:$I$102,7,FALSE),main!$K$26:$Q$29,5,FALSE)),1,0)</f>
        <v>0</v>
      </c>
      <c r="X288">
        <f>IF(AND(VLOOKUP(X$1,main!$A$3:$H$102,7,FALSE)=main!$G$105,VLOOKUP(X$1,main!$A$3:$H$102,5,FALSE)-VLOOKUP($A288,main!$A$3:$H$102,6,FALSE)&gt;=main!$D$103+VLOOKUP(VLOOKUP(X$1,main!$A$3:$I$102,7,FALSE),main!$K$26:$Q$29,5,FALSE)),1,0)</f>
        <v>0</v>
      </c>
      <c r="Y288">
        <f>IF(AND(VLOOKUP(Y$1,main!$A$3:$H$102,7,FALSE)=main!$G$105,VLOOKUP(Y$1,main!$A$3:$H$102,5,FALSE)-VLOOKUP($A288,main!$A$3:$H$102,6,FALSE)&gt;=main!$D$103+VLOOKUP(VLOOKUP(Y$1,main!$A$3:$I$102,7,FALSE),main!$K$26:$Q$29,5,FALSE)),1,0)</f>
        <v>0</v>
      </c>
      <c r="Z288">
        <f>IF(AND(VLOOKUP(Z$1,main!$A$3:$H$102,7,FALSE)=main!$G$105,VLOOKUP(Z$1,main!$A$3:$H$102,5,FALSE)-VLOOKUP($A288,main!$A$3:$H$102,6,FALSE)&gt;=main!$D$103+VLOOKUP(VLOOKUP(Z$1,main!$A$3:$I$102,7,FALSE),main!$K$26:$Q$29,5,FALSE)),1,0)</f>
        <v>0</v>
      </c>
      <c r="AA288">
        <f>IF(AND(VLOOKUP(AA$1,main!$A$3:$H$102,7,FALSE)=main!$G$105,VLOOKUP(AA$1,main!$A$3:$H$102,5,FALSE)-VLOOKUP($A288,main!$A$3:$H$102,6,FALSE)&gt;=main!$D$103+VLOOKUP(VLOOKUP(AA$1,main!$A$3:$I$102,7,FALSE),main!$K$26:$Q$29,5,FALSE)),1,0)</f>
        <v>0</v>
      </c>
      <c r="AB288">
        <f>IF(AND(VLOOKUP(AB$1,main!$A$3:$H$102,7,FALSE)=main!$G$105,VLOOKUP(AB$1,main!$A$3:$H$102,5,FALSE)-VLOOKUP($A288,main!$A$3:$H$102,6,FALSE)&gt;=main!$D$103+VLOOKUP(VLOOKUP(AB$1,main!$A$3:$I$102,7,FALSE),main!$K$26:$Q$29,5,FALSE)),1,0)</f>
        <v>0</v>
      </c>
      <c r="AC288">
        <f>IF(AND(VLOOKUP(AC$1,main!$A$3:$H$102,7,FALSE)=main!$G$105,VLOOKUP(AC$1,main!$A$3:$H$102,5,FALSE)-VLOOKUP($A288,main!$A$3:$H$102,6,FALSE)&gt;=main!$D$103+VLOOKUP(VLOOKUP(AC$1,main!$A$3:$I$102,7,FALSE),main!$K$26:$Q$29,5,FALSE)),1,0)</f>
        <v>0</v>
      </c>
      <c r="AD288">
        <f>IF(AND(VLOOKUP(AD$1,main!$A$3:$H$102,7,FALSE)=main!$G$105,VLOOKUP(AD$1,main!$A$3:$H$102,5,FALSE)-VLOOKUP($A288,main!$A$3:$H$102,6,FALSE)&gt;=main!$D$103+VLOOKUP(VLOOKUP(AD$1,main!$A$3:$I$102,7,FALSE),main!$K$26:$Q$29,5,FALSE)),1,0)</f>
        <v>0</v>
      </c>
      <c r="AE288">
        <f>IF(AND(VLOOKUP(AE$1,main!$A$3:$H$102,7,FALSE)=main!$G$105,VLOOKUP(AE$1,main!$A$3:$H$102,5,FALSE)-VLOOKUP($A288,main!$A$3:$H$102,6,FALSE)&gt;=main!$D$103+VLOOKUP(VLOOKUP(AE$1,main!$A$3:$I$102,7,FALSE),main!$K$26:$Q$29,5,FALSE)),1,0)</f>
        <v>0</v>
      </c>
      <c r="AF288">
        <f>IF(AND(VLOOKUP(AF$1,main!$A$3:$H$102,7,FALSE)=main!$G$105,VLOOKUP(AF$1,main!$A$3:$H$102,5,FALSE)-VLOOKUP($A288,main!$A$3:$H$102,6,FALSE)&gt;=main!$D$103+VLOOKUP(VLOOKUP(AF$1,main!$A$3:$I$102,7,FALSE),main!$K$26:$Q$29,5,FALSE)),1,0)</f>
        <v>0</v>
      </c>
      <c r="AG288">
        <f>IF(AND(VLOOKUP(AG$1,main!$A$3:$H$102,7,FALSE)=main!$G$105,VLOOKUP(AG$1,main!$A$3:$H$102,5,FALSE)-VLOOKUP($A288,main!$A$3:$H$102,6,FALSE)&gt;=main!$D$103+VLOOKUP(VLOOKUP(AG$1,main!$A$3:$I$102,7,FALSE),main!$K$26:$Q$29,5,FALSE)),1,0)</f>
        <v>0</v>
      </c>
      <c r="AH288">
        <f>IF(AND(VLOOKUP(AH$1,main!$A$3:$H$102,7,FALSE)=main!$G$105,VLOOKUP(AH$1,main!$A$3:$H$102,5,FALSE)-VLOOKUP($A288,main!$A$3:$H$102,6,FALSE)&gt;=main!$D$103+VLOOKUP(VLOOKUP(AH$1,main!$A$3:$I$102,7,FALSE),main!$K$26:$Q$29,5,FALSE)),1,0)</f>
        <v>0</v>
      </c>
      <c r="AI288">
        <f>IF(AND(VLOOKUP(AI$1,main!$A$3:$H$102,7,FALSE)=main!$G$105,VLOOKUP(AI$1,main!$A$3:$H$102,5,FALSE)-VLOOKUP($A288,main!$A$3:$H$102,6,FALSE)&gt;=main!$D$103+VLOOKUP(VLOOKUP(AI$1,main!$A$3:$I$102,7,FALSE),main!$K$26:$Q$29,5,FALSE)),1,0)</f>
        <v>0</v>
      </c>
      <c r="AJ288">
        <f>IF(AND(VLOOKUP(AJ$1,main!$A$3:$H$102,7,FALSE)=main!$G$105,VLOOKUP(AJ$1,main!$A$3:$H$102,5,FALSE)-VLOOKUP($A288,main!$A$3:$H$102,6,FALSE)&gt;=main!$D$103+VLOOKUP(VLOOKUP(AJ$1,main!$A$3:$I$102,7,FALSE),main!$K$26:$Q$29,5,FALSE)),1,0)</f>
        <v>0</v>
      </c>
      <c r="AK288">
        <f>IF(AND(VLOOKUP(AK$1,main!$A$3:$H$102,7,FALSE)=main!$G$105,VLOOKUP(AK$1,main!$A$3:$H$102,5,FALSE)-VLOOKUP($A288,main!$A$3:$H$102,6,FALSE)&gt;=main!$D$103+VLOOKUP(VLOOKUP(AK$1,main!$A$3:$I$102,7,FALSE),main!$K$26:$Q$29,5,FALSE)),1,0)</f>
        <v>0</v>
      </c>
      <c r="AL288">
        <f>IF(AND(VLOOKUP(AL$1,main!$A$3:$H$102,7,FALSE)=main!$G$105,VLOOKUP(AL$1,main!$A$3:$H$102,5,FALSE)-VLOOKUP($A288,main!$A$3:$H$102,6,FALSE)&gt;=main!$D$103+VLOOKUP(VLOOKUP(AL$1,main!$A$3:$I$102,7,FALSE),main!$K$26:$Q$29,5,FALSE)),1,0)</f>
        <v>0</v>
      </c>
      <c r="AM288">
        <f>IF(AND(VLOOKUP(AM$1,main!$A$3:$H$102,7,FALSE)=main!$G$105,VLOOKUP(AM$1,main!$A$3:$H$102,5,FALSE)-VLOOKUP($A288,main!$A$3:$H$102,6,FALSE)&gt;=main!$D$103+VLOOKUP(VLOOKUP(AM$1,main!$A$3:$I$102,7,FALSE),main!$K$26:$Q$29,5,FALSE)),1,0)</f>
        <v>0</v>
      </c>
      <c r="AN288">
        <f>IF(AND(VLOOKUP(AN$1,main!$A$3:$H$102,7,FALSE)=main!$G$105,VLOOKUP(AN$1,main!$A$3:$H$102,5,FALSE)-VLOOKUP($A288,main!$A$3:$H$102,6,FALSE)&gt;=main!$D$103+VLOOKUP(VLOOKUP(AN$1,main!$A$3:$I$102,7,FALSE),main!$K$26:$Q$29,5,FALSE)),1,0)</f>
        <v>0</v>
      </c>
      <c r="AO288">
        <f>IF(AND(VLOOKUP(AO$1,main!$A$3:$H$102,7,FALSE)=main!$G$105,VLOOKUP(AO$1,main!$A$3:$H$102,5,FALSE)-VLOOKUP($A288,main!$A$3:$H$102,6,FALSE)&gt;=main!$D$103+VLOOKUP(VLOOKUP(AO$1,main!$A$3:$I$102,7,FALSE),main!$K$26:$Q$29,5,FALSE)),1,0)</f>
        <v>0</v>
      </c>
      <c r="AP288">
        <f>IF(AND(VLOOKUP(AP$1,main!$A$3:$H$102,7,FALSE)=main!$G$105,VLOOKUP(AP$1,main!$A$3:$H$102,5,FALSE)-VLOOKUP($A288,main!$A$3:$H$102,6,FALSE)&gt;=main!$D$103+VLOOKUP(VLOOKUP(AP$1,main!$A$3:$I$102,7,FALSE),main!$K$26:$Q$29,5,FALSE)),1,0)</f>
        <v>1</v>
      </c>
      <c r="AQ288">
        <f>IF(AND(VLOOKUP(AQ$1,main!$A$3:$H$102,7,FALSE)=main!$G$105,VLOOKUP(AQ$1,main!$A$3:$H$102,5,FALSE)-VLOOKUP($A288,main!$A$3:$H$102,6,FALSE)&gt;=main!$D$103+VLOOKUP(VLOOKUP(AQ$1,main!$A$3:$I$102,7,FALSE),main!$K$26:$Q$29,5,FALSE)),1,0)</f>
        <v>0</v>
      </c>
      <c r="AR288">
        <f>IF(AND(VLOOKUP(AR$1,main!$A$3:$H$102,7,FALSE)=main!$G$105,VLOOKUP(AR$1,main!$A$3:$H$102,5,FALSE)-VLOOKUP($A288,main!$A$3:$H$102,6,FALSE)&gt;=main!$D$103+VLOOKUP(VLOOKUP(AR$1,main!$A$3:$I$102,7,FALSE),main!$K$26:$Q$29,5,FALSE)),1,0)</f>
        <v>0</v>
      </c>
      <c r="AS288">
        <f>IF(AND(VLOOKUP(AS$1,main!$A$3:$H$102,7,FALSE)=main!$G$105,VLOOKUP(AS$1,main!$A$3:$H$102,5,FALSE)-VLOOKUP($A288,main!$A$3:$H$102,6,FALSE)&gt;=main!$D$103+VLOOKUP(VLOOKUP(AS$1,main!$A$3:$I$102,7,FALSE),main!$K$26:$Q$29,5,FALSE)),1,0)</f>
        <v>0</v>
      </c>
      <c r="AT288">
        <f>IF(AND(VLOOKUP(AT$1,main!$A$3:$H$102,7,FALSE)=main!$G$105,VLOOKUP(AT$1,main!$A$3:$H$102,5,FALSE)-VLOOKUP($A288,main!$A$3:$H$102,6,FALSE)&gt;=main!$D$103+VLOOKUP(VLOOKUP(AT$1,main!$A$3:$I$102,7,FALSE),main!$K$26:$Q$29,5,FALSE)),1,0)</f>
        <v>0</v>
      </c>
      <c r="AU288">
        <f>IF(AND(VLOOKUP(AU$1,main!$A$3:$H$102,7,FALSE)=main!$G$105,VLOOKUP(AU$1,main!$A$3:$H$102,5,FALSE)-VLOOKUP($A288,main!$A$3:$H$102,6,FALSE)&gt;=main!$D$103+VLOOKUP(VLOOKUP(AU$1,main!$A$3:$I$102,7,FALSE),main!$K$26:$Q$29,5,FALSE)),1,0)</f>
        <v>0</v>
      </c>
      <c r="AV288">
        <f>IF(AND(VLOOKUP(AV$1,main!$A$3:$H$102,7,FALSE)=main!$G$105,VLOOKUP(AV$1,main!$A$3:$H$102,5,FALSE)-VLOOKUP($A288,main!$A$3:$H$102,6,FALSE)&gt;=main!$D$103+VLOOKUP(VLOOKUP(AV$1,main!$A$3:$I$102,7,FALSE),main!$K$26:$Q$29,5,FALSE)),1,0)</f>
        <v>0</v>
      </c>
      <c r="AW288">
        <f>IF(AND(VLOOKUP(AW$1,main!$A$3:$H$102,7,FALSE)=main!$G$105,VLOOKUP(AW$1,main!$A$3:$H$102,5,FALSE)-VLOOKUP($A288,main!$A$3:$H$102,6,FALSE)&gt;=main!$D$103+VLOOKUP(VLOOKUP(AW$1,main!$A$3:$I$102,7,FALSE),main!$K$26:$Q$29,5,FALSE)),1,0)</f>
        <v>0</v>
      </c>
      <c r="AX288">
        <f>IF(AND(VLOOKUP(AX$1,main!$A$3:$H$102,7,FALSE)=main!$G$105,VLOOKUP(AX$1,main!$A$3:$H$102,5,FALSE)-VLOOKUP($A288,main!$A$3:$H$102,6,FALSE)&gt;=main!$D$103+VLOOKUP(VLOOKUP(AX$1,main!$A$3:$I$102,7,FALSE),main!$K$26:$Q$29,5,FALSE)),1,0)</f>
        <v>0</v>
      </c>
      <c r="AY288">
        <f>IF(AND(VLOOKUP(AY$1,main!$A$3:$H$102,7,FALSE)=main!$G$105,VLOOKUP(AY$1,main!$A$3:$H$102,5,FALSE)-VLOOKUP($A288,main!$A$3:$H$102,6,FALSE)&gt;=main!$D$103+VLOOKUP(VLOOKUP(AY$1,main!$A$3:$I$102,7,FALSE),main!$K$26:$Q$29,5,FALSE)),1,0)</f>
        <v>0</v>
      </c>
      <c r="AZ288">
        <f>IF(AND(VLOOKUP(AZ$1,main!$A$3:$H$102,7,FALSE)=main!$G$105,VLOOKUP(AZ$1,main!$A$3:$H$102,5,FALSE)-VLOOKUP($A288,main!$A$3:$H$102,6,FALSE)&gt;=main!$D$103+VLOOKUP(VLOOKUP(AZ$1,main!$A$3:$I$102,7,FALSE),main!$K$26:$Q$29,5,FALSE)),1,0)</f>
        <v>0</v>
      </c>
      <c r="BA288">
        <f>IF(AND(VLOOKUP(BA$1,main!$A$3:$H$102,7,FALSE)=main!$G$105,VLOOKUP(BA$1,main!$A$3:$H$102,5,FALSE)-VLOOKUP($A288,main!$A$3:$H$102,6,FALSE)&gt;=main!$D$103+VLOOKUP(VLOOKUP(BA$1,main!$A$3:$I$102,7,FALSE),main!$K$26:$Q$29,5,FALSE)),1,0)</f>
        <v>0</v>
      </c>
      <c r="BB288">
        <f>IF(AND(VLOOKUP(BB$1,main!$A$3:$H$102,7,FALSE)=main!$G$105,VLOOKUP(BB$1,main!$A$3:$H$102,5,FALSE)-VLOOKUP($A288,main!$A$3:$H$102,6,FALSE)&gt;=main!$D$103+VLOOKUP(VLOOKUP(BB$1,main!$A$3:$I$102,7,FALSE),main!$K$26:$Q$29,5,FALSE)),1,0)</f>
        <v>0</v>
      </c>
      <c r="BC288">
        <f>IF(AND(VLOOKUP(BC$1,main!$A$3:$H$102,7,FALSE)=main!$G$105,VLOOKUP(BC$1,main!$A$3:$H$102,5,FALSE)-VLOOKUP($A288,main!$A$3:$H$102,6,FALSE)&gt;=main!$D$103+VLOOKUP(VLOOKUP(BC$1,main!$A$3:$I$102,7,FALSE),main!$K$26:$Q$29,5,FALSE)),1,0)</f>
        <v>0</v>
      </c>
      <c r="BD288">
        <f>IF(AND(VLOOKUP(BD$1,main!$A$3:$H$102,7,FALSE)=main!$G$105,VLOOKUP(BD$1,main!$A$3:$H$102,5,FALSE)-VLOOKUP($A288,main!$A$3:$H$102,6,FALSE)&gt;=main!$D$103+VLOOKUP(VLOOKUP(BD$1,main!$A$3:$I$102,7,FALSE),main!$K$26:$Q$29,5,FALSE)),1,0)</f>
        <v>0</v>
      </c>
      <c r="BE288">
        <f>IF(AND(VLOOKUP(BE$1,main!$A$3:$H$102,7,FALSE)=main!$G$105,VLOOKUP(BE$1,main!$A$3:$H$102,5,FALSE)-VLOOKUP($A288,main!$A$3:$H$102,6,FALSE)&gt;=main!$D$103+VLOOKUP(VLOOKUP(BE$1,main!$A$3:$I$102,7,FALSE),main!$K$26:$Q$29,5,FALSE)),1,0)</f>
        <v>0</v>
      </c>
      <c r="BF288">
        <f>IF(AND(VLOOKUP(BF$1,main!$A$3:$H$102,7,FALSE)=main!$G$105,VLOOKUP(BF$1,main!$A$3:$H$102,5,FALSE)-VLOOKUP($A288,main!$A$3:$H$102,6,FALSE)&gt;=main!$D$103+VLOOKUP(VLOOKUP(BF$1,main!$A$3:$I$102,7,FALSE),main!$K$26:$Q$29,5,FALSE)),1,0)</f>
        <v>0</v>
      </c>
      <c r="BG288">
        <f>IF(AND(VLOOKUP(BG$1,main!$A$3:$H$102,7,FALSE)=main!$G$105,VLOOKUP(BG$1,main!$A$3:$H$102,5,FALSE)-VLOOKUP($A288,main!$A$3:$H$102,6,FALSE)&gt;=main!$D$103+VLOOKUP(VLOOKUP(BG$1,main!$A$3:$I$102,7,FALSE),main!$K$26:$Q$29,5,FALSE)),1,0)</f>
        <v>0</v>
      </c>
      <c r="BH288">
        <f>IF(AND(VLOOKUP(BH$1,main!$A$3:$H$102,7,FALSE)=main!$G$105,VLOOKUP(BH$1,main!$A$3:$H$102,5,FALSE)-VLOOKUP($A288,main!$A$3:$H$102,6,FALSE)&gt;=main!$D$103+VLOOKUP(VLOOKUP(BH$1,main!$A$3:$I$102,7,FALSE),main!$K$26:$Q$29,5,FALSE)),1,0)</f>
        <v>0</v>
      </c>
      <c r="BI288">
        <f>IF(AND(VLOOKUP(BI$1,main!$A$3:$H$102,7,FALSE)=main!$G$105,VLOOKUP(BI$1,main!$A$3:$H$102,5,FALSE)-VLOOKUP($A288,main!$A$3:$H$102,6,FALSE)&gt;=main!$D$103+VLOOKUP(VLOOKUP(BI$1,main!$A$3:$I$102,7,FALSE),main!$K$26:$Q$29,5,FALSE)),1,0)</f>
        <v>0</v>
      </c>
      <c r="BJ288">
        <f>IF(AND(VLOOKUP(BJ$1,main!$A$3:$H$102,7,FALSE)=main!$G$105,VLOOKUP(BJ$1,main!$A$3:$H$102,5,FALSE)-VLOOKUP($A288,main!$A$3:$H$102,6,FALSE)&gt;=main!$D$103+VLOOKUP(VLOOKUP(BJ$1,main!$A$3:$I$102,7,FALSE),main!$K$26:$Q$29,5,FALSE)),1,0)</f>
        <v>0</v>
      </c>
      <c r="BK288">
        <f>IF(AND(VLOOKUP(BK$1,main!$A$3:$H$102,7,FALSE)=main!$G$105,VLOOKUP(BK$1,main!$A$3:$H$102,5,FALSE)-VLOOKUP($A288,main!$A$3:$H$102,6,FALSE)&gt;=main!$D$103+VLOOKUP(VLOOKUP(BK$1,main!$A$3:$I$102,7,FALSE),main!$K$26:$Q$29,5,FALSE)),1,0)</f>
        <v>0</v>
      </c>
      <c r="BL288">
        <f>IF(AND(VLOOKUP(BL$1,main!$A$3:$H$102,7,FALSE)=main!$G$105,VLOOKUP(BL$1,main!$A$3:$H$102,5,FALSE)-VLOOKUP($A288,main!$A$3:$H$102,6,FALSE)&gt;=main!$D$103+VLOOKUP(VLOOKUP(BL$1,main!$A$3:$I$102,7,FALSE),main!$K$26:$Q$29,5,FALSE)),1,0)</f>
        <v>0</v>
      </c>
      <c r="BM288">
        <f>IF(AND(VLOOKUP(BM$1,main!$A$3:$H$102,7,FALSE)=main!$G$105,VLOOKUP(BM$1,main!$A$3:$H$102,5,FALSE)-VLOOKUP($A288,main!$A$3:$H$102,6,FALSE)&gt;=main!$D$103+VLOOKUP(VLOOKUP(BM$1,main!$A$3:$I$102,7,FALSE),main!$K$26:$Q$29,5,FALSE)),1,0)</f>
        <v>0</v>
      </c>
      <c r="BN288">
        <f>IF(AND(VLOOKUP(BN$1,main!$A$3:$H$102,7,FALSE)=main!$G$105,VLOOKUP(BN$1,main!$A$3:$H$102,5,FALSE)-VLOOKUP($A288,main!$A$3:$H$102,6,FALSE)&gt;=main!$D$103+VLOOKUP(VLOOKUP(BN$1,main!$A$3:$I$102,7,FALSE),main!$K$26:$Q$29,5,FALSE)),1,0)</f>
        <v>0</v>
      </c>
      <c r="BO288">
        <f>IF(AND(VLOOKUP(BO$1,main!$A$3:$H$102,7,FALSE)=main!$G$105,VLOOKUP(BO$1,main!$A$3:$H$102,5,FALSE)-VLOOKUP($A288,main!$A$3:$H$102,6,FALSE)&gt;=main!$D$103+VLOOKUP(VLOOKUP(BO$1,main!$A$3:$I$102,7,FALSE),main!$K$26:$Q$29,5,FALSE)),1,0)</f>
        <v>0</v>
      </c>
      <c r="BP288">
        <f>IF(AND(VLOOKUP(BP$1,main!$A$3:$H$102,7,FALSE)=main!$G$105,VLOOKUP(BP$1,main!$A$3:$H$102,5,FALSE)-VLOOKUP($A288,main!$A$3:$H$102,6,FALSE)&gt;=main!$D$103+VLOOKUP(VLOOKUP(BP$1,main!$A$3:$I$102,7,FALSE),main!$K$26:$Q$29,5,FALSE)),1,0)</f>
        <v>0</v>
      </c>
      <c r="BQ288">
        <f>IF(AND(VLOOKUP(BQ$1,main!$A$3:$H$102,7,FALSE)=main!$G$105,VLOOKUP(BQ$1,main!$A$3:$H$102,5,FALSE)-VLOOKUP($A288,main!$A$3:$H$102,6,FALSE)&gt;=main!$D$103+VLOOKUP(VLOOKUP(BQ$1,main!$A$3:$I$102,7,FALSE),main!$K$26:$Q$29,5,FALSE)),1,0)</f>
        <v>0</v>
      </c>
      <c r="BR288">
        <f>IF(AND(VLOOKUP(BR$1,main!$A$3:$H$102,7,FALSE)=main!$G$105,VLOOKUP(BR$1,main!$A$3:$H$102,5,FALSE)-VLOOKUP($A288,main!$A$3:$H$102,6,FALSE)&gt;=main!$D$103+VLOOKUP(VLOOKUP(BR$1,main!$A$3:$I$102,7,FALSE),main!$K$26:$Q$29,5,FALSE)),1,0)</f>
        <v>0</v>
      </c>
      <c r="BS288">
        <f>IF(AND(VLOOKUP(BS$1,main!$A$3:$H$102,7,FALSE)=main!$G$105,VLOOKUP(BS$1,main!$A$3:$H$102,5,FALSE)-VLOOKUP($A288,main!$A$3:$H$102,6,FALSE)&gt;=main!$D$103+VLOOKUP(VLOOKUP(BS$1,main!$A$3:$I$102,7,FALSE),main!$K$26:$Q$29,5,FALSE)),1,0)</f>
        <v>0</v>
      </c>
      <c r="BT288">
        <f>IF(AND(VLOOKUP(BT$1,main!$A$3:$H$102,7,FALSE)=main!$G$105,VLOOKUP(BT$1,main!$A$3:$H$102,5,FALSE)-VLOOKUP($A288,main!$A$3:$H$102,6,FALSE)&gt;=main!$D$103+VLOOKUP(VLOOKUP(BT$1,main!$A$3:$I$102,7,FALSE),main!$K$26:$Q$29,5,FALSE)),1,0)</f>
        <v>0</v>
      </c>
      <c r="BU288">
        <f>IF(AND(VLOOKUP(BU$1,main!$A$3:$H$102,7,FALSE)=main!$G$105,VLOOKUP(BU$1,main!$A$3:$H$102,5,FALSE)-VLOOKUP($A288,main!$A$3:$H$102,6,FALSE)&gt;=main!$D$103+VLOOKUP(VLOOKUP(BU$1,main!$A$3:$I$102,7,FALSE),main!$K$26:$Q$29,5,FALSE)),1,0)</f>
        <v>0</v>
      </c>
      <c r="BV288">
        <f>IF(AND(VLOOKUP(BV$1,main!$A$3:$H$102,7,FALSE)=main!$G$105,VLOOKUP(BV$1,main!$A$3:$H$102,5,FALSE)-VLOOKUP($A288,main!$A$3:$H$102,6,FALSE)&gt;=main!$D$103+VLOOKUP(VLOOKUP(BV$1,main!$A$3:$I$102,7,FALSE),main!$K$26:$Q$29,5,FALSE)),1,0)</f>
        <v>0</v>
      </c>
      <c r="BW288">
        <f>IF(AND(VLOOKUP(BW$1,main!$A$3:$H$102,7,FALSE)=main!$G$105,VLOOKUP(BW$1,main!$A$3:$H$102,5,FALSE)-VLOOKUP($A288,main!$A$3:$H$102,6,FALSE)&gt;=main!$D$103+VLOOKUP(VLOOKUP(BW$1,main!$A$3:$I$102,7,FALSE),main!$K$26:$Q$29,5,FALSE)),1,0)</f>
        <v>0</v>
      </c>
      <c r="BX288">
        <f>IF(AND(VLOOKUP(BX$1,main!$A$3:$H$102,7,FALSE)=main!$G$105,VLOOKUP(BX$1,main!$A$3:$H$102,5,FALSE)-VLOOKUP($A288,main!$A$3:$H$102,6,FALSE)&gt;=main!$D$103+VLOOKUP(VLOOKUP(BX$1,main!$A$3:$I$102,7,FALSE),main!$K$26:$Q$29,5,FALSE)),1,0)</f>
        <v>0</v>
      </c>
      <c r="BY288">
        <f>IF(AND(VLOOKUP(BY$1,main!$A$3:$H$102,7,FALSE)=main!$G$105,VLOOKUP(BY$1,main!$A$3:$H$102,5,FALSE)-VLOOKUP($A288,main!$A$3:$H$102,6,FALSE)&gt;=main!$D$103+VLOOKUP(VLOOKUP(BY$1,main!$A$3:$I$102,7,FALSE),main!$K$26:$Q$29,5,FALSE)),1,0)</f>
        <v>0</v>
      </c>
      <c r="BZ288">
        <f>IF(AND(VLOOKUP(BZ$1,main!$A$3:$H$102,7,FALSE)=main!$G$105,VLOOKUP(BZ$1,main!$A$3:$H$102,5,FALSE)-VLOOKUP($A288,main!$A$3:$H$102,6,FALSE)&gt;=main!$D$103+VLOOKUP(VLOOKUP(BZ$1,main!$A$3:$I$102,7,FALSE),main!$K$26:$Q$29,5,FALSE)),1,0)</f>
        <v>0</v>
      </c>
      <c r="CA288">
        <f>IF(AND(VLOOKUP(CA$1,main!$A$3:$H$102,7,FALSE)=main!$G$105,VLOOKUP(CA$1,main!$A$3:$H$102,5,FALSE)-VLOOKUP($A288,main!$A$3:$H$102,6,FALSE)&gt;=main!$D$103+VLOOKUP(VLOOKUP(CA$1,main!$A$3:$I$102,7,FALSE),main!$K$26:$Q$29,5,FALSE)),1,0)</f>
        <v>0</v>
      </c>
      <c r="CB288">
        <f>IF(AND(VLOOKUP(CB$1,main!$A$3:$H$102,7,FALSE)=main!$G$105,VLOOKUP(CB$1,main!$A$3:$H$102,5,FALSE)-VLOOKUP($A288,main!$A$3:$H$102,6,FALSE)&gt;=main!$D$103+VLOOKUP(VLOOKUP(CB$1,main!$A$3:$I$102,7,FALSE),main!$K$26:$Q$29,5,FALSE)),1,0)</f>
        <v>0</v>
      </c>
      <c r="CC288">
        <f>IF(AND(VLOOKUP(CC$1,main!$A$3:$H$102,7,FALSE)=main!$G$105,VLOOKUP(CC$1,main!$A$3:$H$102,5,FALSE)-VLOOKUP($A288,main!$A$3:$H$102,6,FALSE)&gt;=main!$D$103+VLOOKUP(VLOOKUP(CC$1,main!$A$3:$I$102,7,FALSE),main!$K$26:$Q$29,5,FALSE)),1,0)</f>
        <v>0</v>
      </c>
      <c r="CD288">
        <f>IF(AND(VLOOKUP(CD$1,main!$A$3:$H$102,7,FALSE)=main!$G$105,VLOOKUP(CD$1,main!$A$3:$H$102,5,FALSE)-VLOOKUP($A288,main!$A$3:$H$102,6,FALSE)&gt;=main!$D$103+VLOOKUP(VLOOKUP(CD$1,main!$A$3:$I$102,7,FALSE),main!$K$26:$Q$29,5,FALSE)),1,0)</f>
        <v>0</v>
      </c>
      <c r="CE288">
        <f>IF(AND(VLOOKUP(CE$1,main!$A$3:$H$102,7,FALSE)=main!$G$105,VLOOKUP(CE$1,main!$A$3:$H$102,5,FALSE)-VLOOKUP($A288,main!$A$3:$H$102,6,FALSE)&gt;=main!$D$103+VLOOKUP(VLOOKUP(CE$1,main!$A$3:$I$102,7,FALSE),main!$K$26:$Q$29,5,FALSE)),1,0)</f>
        <v>0</v>
      </c>
      <c r="CF288">
        <f>IF(AND(VLOOKUP(CF$1,main!$A$3:$H$102,7,FALSE)=main!$G$105,VLOOKUP(CF$1,main!$A$3:$H$102,5,FALSE)-VLOOKUP($A288,main!$A$3:$H$102,6,FALSE)&gt;=main!$D$103+VLOOKUP(VLOOKUP(CF$1,main!$A$3:$I$102,7,FALSE),main!$K$26:$Q$29,5,FALSE)),1,0)</f>
        <v>0</v>
      </c>
      <c r="CG288">
        <f>IF(AND(VLOOKUP(CG$1,main!$A$3:$H$102,7,FALSE)=main!$G$105,VLOOKUP(CG$1,main!$A$3:$H$102,5,FALSE)-VLOOKUP($A288,main!$A$3:$H$102,6,FALSE)&gt;=main!$D$103+VLOOKUP(VLOOKUP(CG$1,main!$A$3:$I$102,7,FALSE),main!$K$26:$Q$29,5,FALSE)),1,0)</f>
        <v>0</v>
      </c>
      <c r="CH288">
        <f>IF(AND(VLOOKUP(CH$1,main!$A$3:$H$102,7,FALSE)=main!$G$105,VLOOKUP(CH$1,main!$A$3:$H$102,5,FALSE)-VLOOKUP($A288,main!$A$3:$H$102,6,FALSE)&gt;=main!$D$103+VLOOKUP(VLOOKUP(CH$1,main!$A$3:$I$102,7,FALSE),main!$K$26:$Q$29,5,FALSE)),1,0)</f>
        <v>0</v>
      </c>
      <c r="CI288">
        <f>IF(AND(VLOOKUP(CI$1,main!$A$3:$H$102,7,FALSE)=main!$G$105,VLOOKUP(CI$1,main!$A$3:$H$102,5,FALSE)-VLOOKUP($A288,main!$A$3:$H$102,6,FALSE)&gt;=main!$D$103+VLOOKUP(VLOOKUP(CI$1,main!$A$3:$I$102,7,FALSE),main!$K$26:$Q$29,5,FALSE)),1,0)</f>
        <v>0</v>
      </c>
      <c r="CJ288">
        <f>IF(AND(VLOOKUP(CJ$1,main!$A$3:$H$102,7,FALSE)=main!$G$105,VLOOKUP(CJ$1,main!$A$3:$H$102,5,FALSE)-VLOOKUP($A288,main!$A$3:$H$102,6,FALSE)&gt;=main!$D$103+VLOOKUP(VLOOKUP(CJ$1,main!$A$3:$I$102,7,FALSE),main!$K$26:$Q$29,5,FALSE)),1,0)</f>
        <v>0</v>
      </c>
      <c r="CK288">
        <f>IF(AND(VLOOKUP(CK$1,main!$A$3:$H$102,7,FALSE)=main!$G$105,VLOOKUP(CK$1,main!$A$3:$H$102,5,FALSE)-VLOOKUP($A288,main!$A$3:$H$102,6,FALSE)&gt;=main!$D$103+VLOOKUP(VLOOKUP(CK$1,main!$A$3:$I$102,7,FALSE),main!$K$26:$Q$29,5,FALSE)),1,0)</f>
        <v>0</v>
      </c>
      <c r="CL288">
        <f>IF(AND(VLOOKUP(CL$1,main!$A$3:$H$102,7,FALSE)=main!$G$105,VLOOKUP(CL$1,main!$A$3:$H$102,5,FALSE)-VLOOKUP($A288,main!$A$3:$H$102,6,FALSE)&gt;=main!$D$103+VLOOKUP(VLOOKUP(CL$1,main!$A$3:$I$102,7,FALSE),main!$K$26:$Q$29,5,FALSE)),1,0)</f>
        <v>0</v>
      </c>
      <c r="CM288">
        <f>IF(AND(VLOOKUP(CM$1,main!$A$3:$H$102,7,FALSE)=main!$G$105,VLOOKUP(CM$1,main!$A$3:$H$102,5,FALSE)-VLOOKUP($A288,main!$A$3:$H$102,6,FALSE)&gt;=main!$D$103+VLOOKUP(VLOOKUP(CM$1,main!$A$3:$I$102,7,FALSE),main!$K$26:$Q$29,5,FALSE)),1,0)</f>
        <v>0</v>
      </c>
      <c r="CN288">
        <f>IF(AND(VLOOKUP(CN$1,main!$A$3:$H$102,7,FALSE)=main!$G$105,VLOOKUP(CN$1,main!$A$3:$H$102,5,FALSE)-VLOOKUP($A288,main!$A$3:$H$102,6,FALSE)&gt;=main!$D$103+VLOOKUP(VLOOKUP(CN$1,main!$A$3:$I$102,7,FALSE),main!$K$26:$Q$29,5,FALSE)),1,0)</f>
        <v>0</v>
      </c>
      <c r="CO288">
        <f>IF(AND(VLOOKUP(CO$1,main!$A$3:$H$102,7,FALSE)=main!$G$105,VLOOKUP(CO$1,main!$A$3:$H$102,5,FALSE)-VLOOKUP($A288,main!$A$3:$H$102,6,FALSE)&gt;=main!$D$103+VLOOKUP(VLOOKUP(CO$1,main!$A$3:$I$102,7,FALSE),main!$K$26:$Q$29,5,FALSE)),1,0)</f>
        <v>0</v>
      </c>
      <c r="CP288">
        <f>IF(AND(VLOOKUP(CP$1,main!$A$3:$H$102,7,FALSE)=main!$G$105,VLOOKUP(CP$1,main!$A$3:$H$102,5,FALSE)-VLOOKUP($A288,main!$A$3:$H$102,6,FALSE)&gt;=main!$D$103+VLOOKUP(VLOOKUP(CP$1,main!$A$3:$I$102,7,FALSE),main!$K$26:$Q$29,5,FALSE)),1,0)</f>
        <v>0</v>
      </c>
      <c r="CQ288">
        <f>IF(AND(VLOOKUP(CQ$1,main!$A$3:$H$102,7,FALSE)=main!$G$105,VLOOKUP(CQ$1,main!$A$3:$H$102,5,FALSE)-VLOOKUP($A288,main!$A$3:$H$102,6,FALSE)&gt;=main!$D$103+VLOOKUP(VLOOKUP(CQ$1,main!$A$3:$I$102,7,FALSE),main!$K$26:$Q$29,5,FALSE)),1,0)</f>
        <v>0</v>
      </c>
      <c r="CR288">
        <f>IF(AND(VLOOKUP(CR$1,main!$A$3:$H$102,7,FALSE)=main!$G$105,VLOOKUP(CR$1,main!$A$3:$H$102,5,FALSE)-VLOOKUP($A288,main!$A$3:$H$102,6,FALSE)&gt;=main!$D$103+VLOOKUP(VLOOKUP(CR$1,main!$A$3:$I$102,7,FALSE),main!$K$26:$Q$29,5,FALSE)),1,0)</f>
        <v>0</v>
      </c>
      <c r="CS288">
        <f>IF(AND(VLOOKUP(CS$1,main!$A$3:$H$102,7,FALSE)=main!$G$105,VLOOKUP(CS$1,main!$A$3:$H$102,5,FALSE)-VLOOKUP($A288,main!$A$3:$H$102,6,FALSE)&gt;=main!$D$103+VLOOKUP(VLOOKUP(CS$1,main!$A$3:$I$102,7,FALSE),main!$K$26:$Q$29,5,FALSE)),1,0)</f>
        <v>0</v>
      </c>
      <c r="CT288">
        <f>IF(AND(VLOOKUP(CT$1,main!$A$3:$H$102,7,FALSE)=main!$G$105,VLOOKUP(CT$1,main!$A$3:$H$102,5,FALSE)-VLOOKUP($A288,main!$A$3:$H$102,6,FALSE)&gt;=main!$D$103+VLOOKUP(VLOOKUP(CT$1,main!$A$3:$I$102,7,FALSE),main!$K$26:$Q$29,5,FALSE)),1,0)</f>
        <v>0</v>
      </c>
      <c r="CU288">
        <f>IF(AND(VLOOKUP(CU$1,main!$A$3:$H$102,7,FALSE)=main!$G$105,VLOOKUP(CU$1,main!$A$3:$H$102,5,FALSE)-VLOOKUP($A288,main!$A$3:$H$102,6,FALSE)&gt;=main!$D$103+VLOOKUP(VLOOKUP(CU$1,main!$A$3:$I$102,7,FALSE),main!$K$26:$Q$29,5,FALSE)),1,0)</f>
        <v>0</v>
      </c>
      <c r="CV288">
        <f>IF(AND(VLOOKUP(CV$1,main!$A$3:$H$102,7,FALSE)=main!$G$105,VLOOKUP(CV$1,main!$A$3:$H$102,5,FALSE)-VLOOKUP($A288,main!$A$3:$H$102,6,FALSE)&gt;=main!$D$103+VLOOKUP(VLOOKUP(CV$1,main!$A$3:$I$102,7,FALSE),main!$K$26:$Q$29,5,FALSE)),1,0)</f>
        <v>0</v>
      </c>
      <c r="CW288">
        <f>IF(AND(VLOOKUP(CW$1,main!$A$3:$H$102,7,FALSE)=main!$G$105,VLOOKUP(CW$1,main!$A$3:$H$102,5,FALSE)-VLOOKUP($A288,main!$A$3:$H$102,6,FALSE)&gt;=main!$D$103+VLOOKUP(VLOOKUP(CW$1,main!$A$3:$I$102,7,FALSE),main!$K$26:$Q$29,5,FALSE)),1,0)</f>
        <v>0</v>
      </c>
      <c r="CX288">
        <f>IF(AND(VLOOKUP(CX$1,main!$A$3:$H$102,7,FALSE)=main!$G$105,VLOOKUP(CX$1,main!$A$3:$H$102,5,FALSE)-VLOOKUP($A288,main!$A$3:$H$102,6,FALSE)&gt;=main!$D$103+VLOOKUP(VLOOKUP(CX$1,main!$A$3:$I$102,7,FALSE),main!$K$26:$Q$29,5,FALSE)),1,0)</f>
        <v>0</v>
      </c>
    </row>
    <row r="289" spans="1:102" x14ac:dyDescent="0.25">
      <c r="A289" s="1">
        <v>85</v>
      </c>
      <c r="B289">
        <v>0</v>
      </c>
      <c r="C289">
        <f>IF(AND(VLOOKUP(C$1,main!$A$3:$H$102,7,FALSE)=main!$G$105,VLOOKUP(C$1,main!$A$3:$H$102,5,FALSE)-VLOOKUP($A289,main!$A$3:$H$102,6,FALSE)&gt;=main!$D$103+VLOOKUP(VLOOKUP(C$1,main!$A$3:$I$102,7,FALSE),main!$K$26:$Q$29,5,FALSE)),1,0)</f>
        <v>0</v>
      </c>
      <c r="D289">
        <f>IF(AND(VLOOKUP(D$1,main!$A$3:$H$102,7,FALSE)=main!$G$105,VLOOKUP(D$1,main!$A$3:$H$102,5,FALSE)-VLOOKUP($A289,main!$A$3:$H$102,6,FALSE)&gt;=main!$D$103+VLOOKUP(VLOOKUP(D$1,main!$A$3:$I$102,7,FALSE),main!$K$26:$Q$29,5,FALSE)),1,0)</f>
        <v>0</v>
      </c>
      <c r="E289">
        <f>IF(AND(VLOOKUP(E$1,main!$A$3:$H$102,7,FALSE)=main!$G$105,VLOOKUP(E$1,main!$A$3:$H$102,5,FALSE)-VLOOKUP($A289,main!$A$3:$H$102,6,FALSE)&gt;=main!$D$103+VLOOKUP(VLOOKUP(E$1,main!$A$3:$I$102,7,FALSE),main!$K$26:$Q$29,5,FALSE)),1,0)</f>
        <v>0</v>
      </c>
      <c r="F289">
        <f>IF(AND(VLOOKUP(F$1,main!$A$3:$H$102,7,FALSE)=main!$G$105,VLOOKUP(F$1,main!$A$3:$H$102,5,FALSE)-VLOOKUP($A289,main!$A$3:$H$102,6,FALSE)&gt;=main!$D$103+VLOOKUP(VLOOKUP(F$1,main!$A$3:$I$102,7,FALSE),main!$K$26:$Q$29,5,FALSE)),1,0)</f>
        <v>0</v>
      </c>
      <c r="G289">
        <f>IF(AND(VLOOKUP(G$1,main!$A$3:$H$102,7,FALSE)=main!$G$105,VLOOKUP(G$1,main!$A$3:$H$102,5,FALSE)-VLOOKUP($A289,main!$A$3:$H$102,6,FALSE)&gt;=main!$D$103+VLOOKUP(VLOOKUP(G$1,main!$A$3:$I$102,7,FALSE),main!$K$26:$Q$29,5,FALSE)),1,0)</f>
        <v>0</v>
      </c>
      <c r="H289">
        <f>IF(AND(VLOOKUP(H$1,main!$A$3:$H$102,7,FALSE)=main!$G$105,VLOOKUP(H$1,main!$A$3:$H$102,5,FALSE)-VLOOKUP($A289,main!$A$3:$H$102,6,FALSE)&gt;=main!$D$103+VLOOKUP(VLOOKUP(H$1,main!$A$3:$I$102,7,FALSE),main!$K$26:$Q$29,5,FALSE)),1,0)</f>
        <v>0</v>
      </c>
      <c r="I289">
        <f>IF(AND(VLOOKUP(I$1,main!$A$3:$H$102,7,FALSE)=main!$G$105,VLOOKUP(I$1,main!$A$3:$H$102,5,FALSE)-VLOOKUP($A289,main!$A$3:$H$102,6,FALSE)&gt;=main!$D$103+VLOOKUP(VLOOKUP(I$1,main!$A$3:$I$102,7,FALSE),main!$K$26:$Q$29,5,FALSE)),1,0)</f>
        <v>0</v>
      </c>
      <c r="J289">
        <f>IF(AND(VLOOKUP(J$1,main!$A$3:$H$102,7,FALSE)=main!$G$105,VLOOKUP(J$1,main!$A$3:$H$102,5,FALSE)-VLOOKUP($A289,main!$A$3:$H$102,6,FALSE)&gt;=main!$D$103+VLOOKUP(VLOOKUP(J$1,main!$A$3:$I$102,7,FALSE),main!$K$26:$Q$29,5,FALSE)),1,0)</f>
        <v>0</v>
      </c>
      <c r="K289">
        <f>IF(AND(VLOOKUP(K$1,main!$A$3:$H$102,7,FALSE)=main!$G$105,VLOOKUP(K$1,main!$A$3:$H$102,5,FALSE)-VLOOKUP($A289,main!$A$3:$H$102,6,FALSE)&gt;=main!$D$103+VLOOKUP(VLOOKUP(K$1,main!$A$3:$I$102,7,FALSE),main!$K$26:$Q$29,5,FALSE)),1,0)</f>
        <v>0</v>
      </c>
      <c r="L289">
        <f>IF(AND(VLOOKUP(L$1,main!$A$3:$H$102,7,FALSE)=main!$G$105,VLOOKUP(L$1,main!$A$3:$H$102,5,FALSE)-VLOOKUP($A289,main!$A$3:$H$102,6,FALSE)&gt;=main!$D$103+VLOOKUP(VLOOKUP(L$1,main!$A$3:$I$102,7,FALSE),main!$K$26:$Q$29,5,FALSE)),1,0)</f>
        <v>0</v>
      </c>
      <c r="M289">
        <f>IF(AND(VLOOKUP(M$1,main!$A$3:$H$102,7,FALSE)=main!$G$105,VLOOKUP(M$1,main!$A$3:$H$102,5,FALSE)-VLOOKUP($A289,main!$A$3:$H$102,6,FALSE)&gt;=main!$D$103+VLOOKUP(VLOOKUP(M$1,main!$A$3:$I$102,7,FALSE),main!$K$26:$Q$29,5,FALSE)),1,0)</f>
        <v>0</v>
      </c>
      <c r="N289">
        <f>IF(AND(VLOOKUP(N$1,main!$A$3:$H$102,7,FALSE)=main!$G$105,VLOOKUP(N$1,main!$A$3:$H$102,5,FALSE)-VLOOKUP($A289,main!$A$3:$H$102,6,FALSE)&gt;=main!$D$103+VLOOKUP(VLOOKUP(N$1,main!$A$3:$I$102,7,FALSE),main!$K$26:$Q$29,5,FALSE)),1,0)</f>
        <v>0</v>
      </c>
      <c r="O289">
        <f>IF(AND(VLOOKUP(O$1,main!$A$3:$H$102,7,FALSE)=main!$G$105,VLOOKUP(O$1,main!$A$3:$H$102,5,FALSE)-VLOOKUP($A289,main!$A$3:$H$102,6,FALSE)&gt;=main!$D$103+VLOOKUP(VLOOKUP(O$1,main!$A$3:$I$102,7,FALSE),main!$K$26:$Q$29,5,FALSE)),1,0)</f>
        <v>0</v>
      </c>
      <c r="P289">
        <f>IF(AND(VLOOKUP(P$1,main!$A$3:$H$102,7,FALSE)=main!$G$105,VLOOKUP(P$1,main!$A$3:$H$102,5,FALSE)-VLOOKUP($A289,main!$A$3:$H$102,6,FALSE)&gt;=main!$D$103+VLOOKUP(VLOOKUP(P$1,main!$A$3:$I$102,7,FALSE),main!$K$26:$Q$29,5,FALSE)),1,0)</f>
        <v>0</v>
      </c>
      <c r="Q289">
        <f>IF(AND(VLOOKUP(Q$1,main!$A$3:$H$102,7,FALSE)=main!$G$105,VLOOKUP(Q$1,main!$A$3:$H$102,5,FALSE)-VLOOKUP($A289,main!$A$3:$H$102,6,FALSE)&gt;=main!$D$103+VLOOKUP(VLOOKUP(Q$1,main!$A$3:$I$102,7,FALSE),main!$K$26:$Q$29,5,FALSE)),1,0)</f>
        <v>0</v>
      </c>
      <c r="R289">
        <f>IF(AND(VLOOKUP(R$1,main!$A$3:$H$102,7,FALSE)=main!$G$105,VLOOKUP(R$1,main!$A$3:$H$102,5,FALSE)-VLOOKUP($A289,main!$A$3:$H$102,6,FALSE)&gt;=main!$D$103+VLOOKUP(VLOOKUP(R$1,main!$A$3:$I$102,7,FALSE),main!$K$26:$Q$29,5,FALSE)),1,0)</f>
        <v>0</v>
      </c>
      <c r="S289">
        <f>IF(AND(VLOOKUP(S$1,main!$A$3:$H$102,7,FALSE)=main!$G$105,VLOOKUP(S$1,main!$A$3:$H$102,5,FALSE)-VLOOKUP($A289,main!$A$3:$H$102,6,FALSE)&gt;=main!$D$103+VLOOKUP(VLOOKUP(S$1,main!$A$3:$I$102,7,FALSE),main!$K$26:$Q$29,5,FALSE)),1,0)</f>
        <v>0</v>
      </c>
      <c r="T289">
        <f>IF(AND(VLOOKUP(T$1,main!$A$3:$H$102,7,FALSE)=main!$G$105,VLOOKUP(T$1,main!$A$3:$H$102,5,FALSE)-VLOOKUP($A289,main!$A$3:$H$102,6,FALSE)&gt;=main!$D$103+VLOOKUP(VLOOKUP(T$1,main!$A$3:$I$102,7,FALSE),main!$K$26:$Q$29,5,FALSE)),1,0)</f>
        <v>0</v>
      </c>
      <c r="U289">
        <f>IF(AND(VLOOKUP(U$1,main!$A$3:$H$102,7,FALSE)=main!$G$105,VLOOKUP(U$1,main!$A$3:$H$102,5,FALSE)-VLOOKUP($A289,main!$A$3:$H$102,6,FALSE)&gt;=main!$D$103+VLOOKUP(VLOOKUP(U$1,main!$A$3:$I$102,7,FALSE),main!$K$26:$Q$29,5,FALSE)),1,0)</f>
        <v>0</v>
      </c>
      <c r="V289">
        <f>IF(AND(VLOOKUP(V$1,main!$A$3:$H$102,7,FALSE)=main!$G$105,VLOOKUP(V$1,main!$A$3:$H$102,5,FALSE)-VLOOKUP($A289,main!$A$3:$H$102,6,FALSE)&gt;=main!$D$103+VLOOKUP(VLOOKUP(V$1,main!$A$3:$I$102,7,FALSE),main!$K$26:$Q$29,5,FALSE)),1,0)</f>
        <v>0</v>
      </c>
      <c r="W289">
        <f>IF(AND(VLOOKUP(W$1,main!$A$3:$H$102,7,FALSE)=main!$G$105,VLOOKUP(W$1,main!$A$3:$H$102,5,FALSE)-VLOOKUP($A289,main!$A$3:$H$102,6,FALSE)&gt;=main!$D$103+VLOOKUP(VLOOKUP(W$1,main!$A$3:$I$102,7,FALSE),main!$K$26:$Q$29,5,FALSE)),1,0)</f>
        <v>0</v>
      </c>
      <c r="X289">
        <f>IF(AND(VLOOKUP(X$1,main!$A$3:$H$102,7,FALSE)=main!$G$105,VLOOKUP(X$1,main!$A$3:$H$102,5,FALSE)-VLOOKUP($A289,main!$A$3:$H$102,6,FALSE)&gt;=main!$D$103+VLOOKUP(VLOOKUP(X$1,main!$A$3:$I$102,7,FALSE),main!$K$26:$Q$29,5,FALSE)),1,0)</f>
        <v>0</v>
      </c>
      <c r="Y289">
        <f>IF(AND(VLOOKUP(Y$1,main!$A$3:$H$102,7,FALSE)=main!$G$105,VLOOKUP(Y$1,main!$A$3:$H$102,5,FALSE)-VLOOKUP($A289,main!$A$3:$H$102,6,FALSE)&gt;=main!$D$103+VLOOKUP(VLOOKUP(Y$1,main!$A$3:$I$102,7,FALSE),main!$K$26:$Q$29,5,FALSE)),1,0)</f>
        <v>0</v>
      </c>
      <c r="Z289">
        <f>IF(AND(VLOOKUP(Z$1,main!$A$3:$H$102,7,FALSE)=main!$G$105,VLOOKUP(Z$1,main!$A$3:$H$102,5,FALSE)-VLOOKUP($A289,main!$A$3:$H$102,6,FALSE)&gt;=main!$D$103+VLOOKUP(VLOOKUP(Z$1,main!$A$3:$I$102,7,FALSE),main!$K$26:$Q$29,5,FALSE)),1,0)</f>
        <v>0</v>
      </c>
      <c r="AA289">
        <f>IF(AND(VLOOKUP(AA$1,main!$A$3:$H$102,7,FALSE)=main!$G$105,VLOOKUP(AA$1,main!$A$3:$H$102,5,FALSE)-VLOOKUP($A289,main!$A$3:$H$102,6,FALSE)&gt;=main!$D$103+VLOOKUP(VLOOKUP(AA$1,main!$A$3:$I$102,7,FALSE),main!$K$26:$Q$29,5,FALSE)),1,0)</f>
        <v>0</v>
      </c>
      <c r="AB289">
        <f>IF(AND(VLOOKUP(AB$1,main!$A$3:$H$102,7,FALSE)=main!$G$105,VLOOKUP(AB$1,main!$A$3:$H$102,5,FALSE)-VLOOKUP($A289,main!$A$3:$H$102,6,FALSE)&gt;=main!$D$103+VLOOKUP(VLOOKUP(AB$1,main!$A$3:$I$102,7,FALSE),main!$K$26:$Q$29,5,FALSE)),1,0)</f>
        <v>0</v>
      </c>
      <c r="AC289">
        <f>IF(AND(VLOOKUP(AC$1,main!$A$3:$H$102,7,FALSE)=main!$G$105,VLOOKUP(AC$1,main!$A$3:$H$102,5,FALSE)-VLOOKUP($A289,main!$A$3:$H$102,6,FALSE)&gt;=main!$D$103+VLOOKUP(VLOOKUP(AC$1,main!$A$3:$I$102,7,FALSE),main!$K$26:$Q$29,5,FALSE)),1,0)</f>
        <v>0</v>
      </c>
      <c r="AD289">
        <f>IF(AND(VLOOKUP(AD$1,main!$A$3:$H$102,7,FALSE)=main!$G$105,VLOOKUP(AD$1,main!$A$3:$H$102,5,FALSE)-VLOOKUP($A289,main!$A$3:$H$102,6,FALSE)&gt;=main!$D$103+VLOOKUP(VLOOKUP(AD$1,main!$A$3:$I$102,7,FALSE),main!$K$26:$Q$29,5,FALSE)),1,0)</f>
        <v>0</v>
      </c>
      <c r="AE289">
        <f>IF(AND(VLOOKUP(AE$1,main!$A$3:$H$102,7,FALSE)=main!$G$105,VLOOKUP(AE$1,main!$A$3:$H$102,5,FALSE)-VLOOKUP($A289,main!$A$3:$H$102,6,FALSE)&gt;=main!$D$103+VLOOKUP(VLOOKUP(AE$1,main!$A$3:$I$102,7,FALSE),main!$K$26:$Q$29,5,FALSE)),1,0)</f>
        <v>0</v>
      </c>
      <c r="AF289">
        <f>IF(AND(VLOOKUP(AF$1,main!$A$3:$H$102,7,FALSE)=main!$G$105,VLOOKUP(AF$1,main!$A$3:$H$102,5,FALSE)-VLOOKUP($A289,main!$A$3:$H$102,6,FALSE)&gt;=main!$D$103+VLOOKUP(VLOOKUP(AF$1,main!$A$3:$I$102,7,FALSE),main!$K$26:$Q$29,5,FALSE)),1,0)</f>
        <v>0</v>
      </c>
      <c r="AG289">
        <f>IF(AND(VLOOKUP(AG$1,main!$A$3:$H$102,7,FALSE)=main!$G$105,VLOOKUP(AG$1,main!$A$3:$H$102,5,FALSE)-VLOOKUP($A289,main!$A$3:$H$102,6,FALSE)&gt;=main!$D$103+VLOOKUP(VLOOKUP(AG$1,main!$A$3:$I$102,7,FALSE),main!$K$26:$Q$29,5,FALSE)),1,0)</f>
        <v>0</v>
      </c>
      <c r="AH289">
        <f>IF(AND(VLOOKUP(AH$1,main!$A$3:$H$102,7,FALSE)=main!$G$105,VLOOKUP(AH$1,main!$A$3:$H$102,5,FALSE)-VLOOKUP($A289,main!$A$3:$H$102,6,FALSE)&gt;=main!$D$103+VLOOKUP(VLOOKUP(AH$1,main!$A$3:$I$102,7,FALSE),main!$K$26:$Q$29,5,FALSE)),1,0)</f>
        <v>0</v>
      </c>
      <c r="AI289">
        <f>IF(AND(VLOOKUP(AI$1,main!$A$3:$H$102,7,FALSE)=main!$G$105,VLOOKUP(AI$1,main!$A$3:$H$102,5,FALSE)-VLOOKUP($A289,main!$A$3:$H$102,6,FALSE)&gt;=main!$D$103+VLOOKUP(VLOOKUP(AI$1,main!$A$3:$I$102,7,FALSE),main!$K$26:$Q$29,5,FALSE)),1,0)</f>
        <v>0</v>
      </c>
      <c r="AJ289">
        <f>IF(AND(VLOOKUP(AJ$1,main!$A$3:$H$102,7,FALSE)=main!$G$105,VLOOKUP(AJ$1,main!$A$3:$H$102,5,FALSE)-VLOOKUP($A289,main!$A$3:$H$102,6,FALSE)&gt;=main!$D$103+VLOOKUP(VLOOKUP(AJ$1,main!$A$3:$I$102,7,FALSE),main!$K$26:$Q$29,5,FALSE)),1,0)</f>
        <v>0</v>
      </c>
      <c r="AK289">
        <f>IF(AND(VLOOKUP(AK$1,main!$A$3:$H$102,7,FALSE)=main!$G$105,VLOOKUP(AK$1,main!$A$3:$H$102,5,FALSE)-VLOOKUP($A289,main!$A$3:$H$102,6,FALSE)&gt;=main!$D$103+VLOOKUP(VLOOKUP(AK$1,main!$A$3:$I$102,7,FALSE),main!$K$26:$Q$29,5,FALSE)),1,0)</f>
        <v>0</v>
      </c>
      <c r="AL289">
        <f>IF(AND(VLOOKUP(AL$1,main!$A$3:$H$102,7,FALSE)=main!$G$105,VLOOKUP(AL$1,main!$A$3:$H$102,5,FALSE)-VLOOKUP($A289,main!$A$3:$H$102,6,FALSE)&gt;=main!$D$103+VLOOKUP(VLOOKUP(AL$1,main!$A$3:$I$102,7,FALSE),main!$K$26:$Q$29,5,FALSE)),1,0)</f>
        <v>0</v>
      </c>
      <c r="AM289">
        <f>IF(AND(VLOOKUP(AM$1,main!$A$3:$H$102,7,FALSE)=main!$G$105,VLOOKUP(AM$1,main!$A$3:$H$102,5,FALSE)-VLOOKUP($A289,main!$A$3:$H$102,6,FALSE)&gt;=main!$D$103+VLOOKUP(VLOOKUP(AM$1,main!$A$3:$I$102,7,FALSE),main!$K$26:$Q$29,5,FALSE)),1,0)</f>
        <v>0</v>
      </c>
      <c r="AN289">
        <f>IF(AND(VLOOKUP(AN$1,main!$A$3:$H$102,7,FALSE)=main!$G$105,VLOOKUP(AN$1,main!$A$3:$H$102,5,FALSE)-VLOOKUP($A289,main!$A$3:$H$102,6,FALSE)&gt;=main!$D$103+VLOOKUP(VLOOKUP(AN$1,main!$A$3:$I$102,7,FALSE),main!$K$26:$Q$29,5,FALSE)),1,0)</f>
        <v>0</v>
      </c>
      <c r="AO289">
        <f>IF(AND(VLOOKUP(AO$1,main!$A$3:$H$102,7,FALSE)=main!$G$105,VLOOKUP(AO$1,main!$A$3:$H$102,5,FALSE)-VLOOKUP($A289,main!$A$3:$H$102,6,FALSE)&gt;=main!$D$103+VLOOKUP(VLOOKUP(AO$1,main!$A$3:$I$102,7,FALSE),main!$K$26:$Q$29,5,FALSE)),1,0)</f>
        <v>0</v>
      </c>
      <c r="AP289">
        <f>IF(AND(VLOOKUP(AP$1,main!$A$3:$H$102,7,FALSE)=main!$G$105,VLOOKUP(AP$1,main!$A$3:$H$102,5,FALSE)-VLOOKUP($A289,main!$A$3:$H$102,6,FALSE)&gt;=main!$D$103+VLOOKUP(VLOOKUP(AP$1,main!$A$3:$I$102,7,FALSE),main!$K$26:$Q$29,5,FALSE)),1,0)</f>
        <v>0</v>
      </c>
      <c r="AQ289">
        <f>IF(AND(VLOOKUP(AQ$1,main!$A$3:$H$102,7,FALSE)=main!$G$105,VLOOKUP(AQ$1,main!$A$3:$H$102,5,FALSE)-VLOOKUP($A289,main!$A$3:$H$102,6,FALSE)&gt;=main!$D$103+VLOOKUP(VLOOKUP(AQ$1,main!$A$3:$I$102,7,FALSE),main!$K$26:$Q$29,5,FALSE)),1,0)</f>
        <v>0</v>
      </c>
      <c r="AR289">
        <f>IF(AND(VLOOKUP(AR$1,main!$A$3:$H$102,7,FALSE)=main!$G$105,VLOOKUP(AR$1,main!$A$3:$H$102,5,FALSE)-VLOOKUP($A289,main!$A$3:$H$102,6,FALSE)&gt;=main!$D$103+VLOOKUP(VLOOKUP(AR$1,main!$A$3:$I$102,7,FALSE),main!$K$26:$Q$29,5,FALSE)),1,0)</f>
        <v>0</v>
      </c>
      <c r="AS289">
        <f>IF(AND(VLOOKUP(AS$1,main!$A$3:$H$102,7,FALSE)=main!$G$105,VLOOKUP(AS$1,main!$A$3:$H$102,5,FALSE)-VLOOKUP($A289,main!$A$3:$H$102,6,FALSE)&gt;=main!$D$103+VLOOKUP(VLOOKUP(AS$1,main!$A$3:$I$102,7,FALSE),main!$K$26:$Q$29,5,FALSE)),1,0)</f>
        <v>0</v>
      </c>
      <c r="AT289">
        <f>IF(AND(VLOOKUP(AT$1,main!$A$3:$H$102,7,FALSE)=main!$G$105,VLOOKUP(AT$1,main!$A$3:$H$102,5,FALSE)-VLOOKUP($A289,main!$A$3:$H$102,6,FALSE)&gt;=main!$D$103+VLOOKUP(VLOOKUP(AT$1,main!$A$3:$I$102,7,FALSE),main!$K$26:$Q$29,5,FALSE)),1,0)</f>
        <v>0</v>
      </c>
      <c r="AU289">
        <f>IF(AND(VLOOKUP(AU$1,main!$A$3:$H$102,7,FALSE)=main!$G$105,VLOOKUP(AU$1,main!$A$3:$H$102,5,FALSE)-VLOOKUP($A289,main!$A$3:$H$102,6,FALSE)&gt;=main!$D$103+VLOOKUP(VLOOKUP(AU$1,main!$A$3:$I$102,7,FALSE),main!$K$26:$Q$29,5,FALSE)),1,0)</f>
        <v>0</v>
      </c>
      <c r="AV289">
        <f>IF(AND(VLOOKUP(AV$1,main!$A$3:$H$102,7,FALSE)=main!$G$105,VLOOKUP(AV$1,main!$A$3:$H$102,5,FALSE)-VLOOKUP($A289,main!$A$3:$H$102,6,FALSE)&gt;=main!$D$103+VLOOKUP(VLOOKUP(AV$1,main!$A$3:$I$102,7,FALSE),main!$K$26:$Q$29,5,FALSE)),1,0)</f>
        <v>0</v>
      </c>
      <c r="AW289">
        <f>IF(AND(VLOOKUP(AW$1,main!$A$3:$H$102,7,FALSE)=main!$G$105,VLOOKUP(AW$1,main!$A$3:$H$102,5,FALSE)-VLOOKUP($A289,main!$A$3:$H$102,6,FALSE)&gt;=main!$D$103+VLOOKUP(VLOOKUP(AW$1,main!$A$3:$I$102,7,FALSE),main!$K$26:$Q$29,5,FALSE)),1,0)</f>
        <v>0</v>
      </c>
      <c r="AX289">
        <f>IF(AND(VLOOKUP(AX$1,main!$A$3:$H$102,7,FALSE)=main!$G$105,VLOOKUP(AX$1,main!$A$3:$H$102,5,FALSE)-VLOOKUP($A289,main!$A$3:$H$102,6,FALSE)&gt;=main!$D$103+VLOOKUP(VLOOKUP(AX$1,main!$A$3:$I$102,7,FALSE),main!$K$26:$Q$29,5,FALSE)),1,0)</f>
        <v>0</v>
      </c>
      <c r="AY289">
        <f>IF(AND(VLOOKUP(AY$1,main!$A$3:$H$102,7,FALSE)=main!$G$105,VLOOKUP(AY$1,main!$A$3:$H$102,5,FALSE)-VLOOKUP($A289,main!$A$3:$H$102,6,FALSE)&gt;=main!$D$103+VLOOKUP(VLOOKUP(AY$1,main!$A$3:$I$102,7,FALSE),main!$K$26:$Q$29,5,FALSE)),1,0)</f>
        <v>0</v>
      </c>
      <c r="AZ289">
        <f>IF(AND(VLOOKUP(AZ$1,main!$A$3:$H$102,7,FALSE)=main!$G$105,VLOOKUP(AZ$1,main!$A$3:$H$102,5,FALSE)-VLOOKUP($A289,main!$A$3:$H$102,6,FALSE)&gt;=main!$D$103+VLOOKUP(VLOOKUP(AZ$1,main!$A$3:$I$102,7,FALSE),main!$K$26:$Q$29,5,FALSE)),1,0)</f>
        <v>0</v>
      </c>
      <c r="BA289">
        <f>IF(AND(VLOOKUP(BA$1,main!$A$3:$H$102,7,FALSE)=main!$G$105,VLOOKUP(BA$1,main!$A$3:$H$102,5,FALSE)-VLOOKUP($A289,main!$A$3:$H$102,6,FALSE)&gt;=main!$D$103+VLOOKUP(VLOOKUP(BA$1,main!$A$3:$I$102,7,FALSE),main!$K$26:$Q$29,5,FALSE)),1,0)</f>
        <v>0</v>
      </c>
      <c r="BB289">
        <f>IF(AND(VLOOKUP(BB$1,main!$A$3:$H$102,7,FALSE)=main!$G$105,VLOOKUP(BB$1,main!$A$3:$H$102,5,FALSE)-VLOOKUP($A289,main!$A$3:$H$102,6,FALSE)&gt;=main!$D$103+VLOOKUP(VLOOKUP(BB$1,main!$A$3:$I$102,7,FALSE),main!$K$26:$Q$29,5,FALSE)),1,0)</f>
        <v>0</v>
      </c>
      <c r="BC289">
        <f>IF(AND(VLOOKUP(BC$1,main!$A$3:$H$102,7,FALSE)=main!$G$105,VLOOKUP(BC$1,main!$A$3:$H$102,5,FALSE)-VLOOKUP($A289,main!$A$3:$H$102,6,FALSE)&gt;=main!$D$103+VLOOKUP(VLOOKUP(BC$1,main!$A$3:$I$102,7,FALSE),main!$K$26:$Q$29,5,FALSE)),1,0)</f>
        <v>0</v>
      </c>
      <c r="BD289">
        <f>IF(AND(VLOOKUP(BD$1,main!$A$3:$H$102,7,FALSE)=main!$G$105,VLOOKUP(BD$1,main!$A$3:$H$102,5,FALSE)-VLOOKUP($A289,main!$A$3:$H$102,6,FALSE)&gt;=main!$D$103+VLOOKUP(VLOOKUP(BD$1,main!$A$3:$I$102,7,FALSE),main!$K$26:$Q$29,5,FALSE)),1,0)</f>
        <v>0</v>
      </c>
      <c r="BE289">
        <f>IF(AND(VLOOKUP(BE$1,main!$A$3:$H$102,7,FALSE)=main!$G$105,VLOOKUP(BE$1,main!$A$3:$H$102,5,FALSE)-VLOOKUP($A289,main!$A$3:$H$102,6,FALSE)&gt;=main!$D$103+VLOOKUP(VLOOKUP(BE$1,main!$A$3:$I$102,7,FALSE),main!$K$26:$Q$29,5,FALSE)),1,0)</f>
        <v>0</v>
      </c>
      <c r="BF289">
        <f>IF(AND(VLOOKUP(BF$1,main!$A$3:$H$102,7,FALSE)=main!$G$105,VLOOKUP(BF$1,main!$A$3:$H$102,5,FALSE)-VLOOKUP($A289,main!$A$3:$H$102,6,FALSE)&gt;=main!$D$103+VLOOKUP(VLOOKUP(BF$1,main!$A$3:$I$102,7,FALSE),main!$K$26:$Q$29,5,FALSE)),1,0)</f>
        <v>0</v>
      </c>
      <c r="BG289">
        <f>IF(AND(VLOOKUP(BG$1,main!$A$3:$H$102,7,FALSE)=main!$G$105,VLOOKUP(BG$1,main!$A$3:$H$102,5,FALSE)-VLOOKUP($A289,main!$A$3:$H$102,6,FALSE)&gt;=main!$D$103+VLOOKUP(VLOOKUP(BG$1,main!$A$3:$I$102,7,FALSE),main!$K$26:$Q$29,5,FALSE)),1,0)</f>
        <v>0</v>
      </c>
      <c r="BH289">
        <f>IF(AND(VLOOKUP(BH$1,main!$A$3:$H$102,7,FALSE)=main!$G$105,VLOOKUP(BH$1,main!$A$3:$H$102,5,FALSE)-VLOOKUP($A289,main!$A$3:$H$102,6,FALSE)&gt;=main!$D$103+VLOOKUP(VLOOKUP(BH$1,main!$A$3:$I$102,7,FALSE),main!$K$26:$Q$29,5,FALSE)),1,0)</f>
        <v>0</v>
      </c>
      <c r="BI289">
        <f>IF(AND(VLOOKUP(BI$1,main!$A$3:$H$102,7,FALSE)=main!$G$105,VLOOKUP(BI$1,main!$A$3:$H$102,5,FALSE)-VLOOKUP($A289,main!$A$3:$H$102,6,FALSE)&gt;=main!$D$103+VLOOKUP(VLOOKUP(BI$1,main!$A$3:$I$102,7,FALSE),main!$K$26:$Q$29,5,FALSE)),1,0)</f>
        <v>0</v>
      </c>
      <c r="BJ289">
        <f>IF(AND(VLOOKUP(BJ$1,main!$A$3:$H$102,7,FALSE)=main!$G$105,VLOOKUP(BJ$1,main!$A$3:$H$102,5,FALSE)-VLOOKUP($A289,main!$A$3:$H$102,6,FALSE)&gt;=main!$D$103+VLOOKUP(VLOOKUP(BJ$1,main!$A$3:$I$102,7,FALSE),main!$K$26:$Q$29,5,FALSE)),1,0)</f>
        <v>0</v>
      </c>
      <c r="BK289">
        <f>IF(AND(VLOOKUP(BK$1,main!$A$3:$H$102,7,FALSE)=main!$G$105,VLOOKUP(BK$1,main!$A$3:$H$102,5,FALSE)-VLOOKUP($A289,main!$A$3:$H$102,6,FALSE)&gt;=main!$D$103+VLOOKUP(VLOOKUP(BK$1,main!$A$3:$I$102,7,FALSE),main!$K$26:$Q$29,5,FALSE)),1,0)</f>
        <v>0</v>
      </c>
      <c r="BL289">
        <f>IF(AND(VLOOKUP(BL$1,main!$A$3:$H$102,7,FALSE)=main!$G$105,VLOOKUP(BL$1,main!$A$3:$H$102,5,FALSE)-VLOOKUP($A289,main!$A$3:$H$102,6,FALSE)&gt;=main!$D$103+VLOOKUP(VLOOKUP(BL$1,main!$A$3:$I$102,7,FALSE),main!$K$26:$Q$29,5,FALSE)),1,0)</f>
        <v>0</v>
      </c>
      <c r="BM289">
        <f>IF(AND(VLOOKUP(BM$1,main!$A$3:$H$102,7,FALSE)=main!$G$105,VLOOKUP(BM$1,main!$A$3:$H$102,5,FALSE)-VLOOKUP($A289,main!$A$3:$H$102,6,FALSE)&gt;=main!$D$103+VLOOKUP(VLOOKUP(BM$1,main!$A$3:$I$102,7,FALSE),main!$K$26:$Q$29,5,FALSE)),1,0)</f>
        <v>0</v>
      </c>
      <c r="BN289">
        <f>IF(AND(VLOOKUP(BN$1,main!$A$3:$H$102,7,FALSE)=main!$G$105,VLOOKUP(BN$1,main!$A$3:$H$102,5,FALSE)-VLOOKUP($A289,main!$A$3:$H$102,6,FALSE)&gt;=main!$D$103+VLOOKUP(VLOOKUP(BN$1,main!$A$3:$I$102,7,FALSE),main!$K$26:$Q$29,5,FALSE)),1,0)</f>
        <v>0</v>
      </c>
      <c r="BO289">
        <f>IF(AND(VLOOKUP(BO$1,main!$A$3:$H$102,7,FALSE)=main!$G$105,VLOOKUP(BO$1,main!$A$3:$H$102,5,FALSE)-VLOOKUP($A289,main!$A$3:$H$102,6,FALSE)&gt;=main!$D$103+VLOOKUP(VLOOKUP(BO$1,main!$A$3:$I$102,7,FALSE),main!$K$26:$Q$29,5,FALSE)),1,0)</f>
        <v>0</v>
      </c>
      <c r="BP289">
        <f>IF(AND(VLOOKUP(BP$1,main!$A$3:$H$102,7,FALSE)=main!$G$105,VLOOKUP(BP$1,main!$A$3:$H$102,5,FALSE)-VLOOKUP($A289,main!$A$3:$H$102,6,FALSE)&gt;=main!$D$103+VLOOKUP(VLOOKUP(BP$1,main!$A$3:$I$102,7,FALSE),main!$K$26:$Q$29,5,FALSE)),1,0)</f>
        <v>0</v>
      </c>
      <c r="BQ289">
        <f>IF(AND(VLOOKUP(BQ$1,main!$A$3:$H$102,7,FALSE)=main!$G$105,VLOOKUP(BQ$1,main!$A$3:$H$102,5,FALSE)-VLOOKUP($A289,main!$A$3:$H$102,6,FALSE)&gt;=main!$D$103+VLOOKUP(VLOOKUP(BQ$1,main!$A$3:$I$102,7,FALSE),main!$K$26:$Q$29,5,FALSE)),1,0)</f>
        <v>0</v>
      </c>
      <c r="BR289">
        <f>IF(AND(VLOOKUP(BR$1,main!$A$3:$H$102,7,FALSE)=main!$G$105,VLOOKUP(BR$1,main!$A$3:$H$102,5,FALSE)-VLOOKUP($A289,main!$A$3:$H$102,6,FALSE)&gt;=main!$D$103+VLOOKUP(VLOOKUP(BR$1,main!$A$3:$I$102,7,FALSE),main!$K$26:$Q$29,5,FALSE)),1,0)</f>
        <v>0</v>
      </c>
      <c r="BS289">
        <f>IF(AND(VLOOKUP(BS$1,main!$A$3:$H$102,7,FALSE)=main!$G$105,VLOOKUP(BS$1,main!$A$3:$H$102,5,FALSE)-VLOOKUP($A289,main!$A$3:$H$102,6,FALSE)&gt;=main!$D$103+VLOOKUP(VLOOKUP(BS$1,main!$A$3:$I$102,7,FALSE),main!$K$26:$Q$29,5,FALSE)),1,0)</f>
        <v>0</v>
      </c>
      <c r="BT289">
        <f>IF(AND(VLOOKUP(BT$1,main!$A$3:$H$102,7,FALSE)=main!$G$105,VLOOKUP(BT$1,main!$A$3:$H$102,5,FALSE)-VLOOKUP($A289,main!$A$3:$H$102,6,FALSE)&gt;=main!$D$103+VLOOKUP(VLOOKUP(BT$1,main!$A$3:$I$102,7,FALSE),main!$K$26:$Q$29,5,FALSE)),1,0)</f>
        <v>0</v>
      </c>
      <c r="BU289">
        <f>IF(AND(VLOOKUP(BU$1,main!$A$3:$H$102,7,FALSE)=main!$G$105,VLOOKUP(BU$1,main!$A$3:$H$102,5,FALSE)-VLOOKUP($A289,main!$A$3:$H$102,6,FALSE)&gt;=main!$D$103+VLOOKUP(VLOOKUP(BU$1,main!$A$3:$I$102,7,FALSE),main!$K$26:$Q$29,5,FALSE)),1,0)</f>
        <v>0</v>
      </c>
      <c r="BV289">
        <f>IF(AND(VLOOKUP(BV$1,main!$A$3:$H$102,7,FALSE)=main!$G$105,VLOOKUP(BV$1,main!$A$3:$H$102,5,FALSE)-VLOOKUP($A289,main!$A$3:$H$102,6,FALSE)&gt;=main!$D$103+VLOOKUP(VLOOKUP(BV$1,main!$A$3:$I$102,7,FALSE),main!$K$26:$Q$29,5,FALSE)),1,0)</f>
        <v>0</v>
      </c>
      <c r="BW289">
        <f>IF(AND(VLOOKUP(BW$1,main!$A$3:$H$102,7,FALSE)=main!$G$105,VLOOKUP(BW$1,main!$A$3:$H$102,5,FALSE)-VLOOKUP($A289,main!$A$3:$H$102,6,FALSE)&gt;=main!$D$103+VLOOKUP(VLOOKUP(BW$1,main!$A$3:$I$102,7,FALSE),main!$K$26:$Q$29,5,FALSE)),1,0)</f>
        <v>0</v>
      </c>
      <c r="BX289">
        <f>IF(AND(VLOOKUP(BX$1,main!$A$3:$H$102,7,FALSE)=main!$G$105,VLOOKUP(BX$1,main!$A$3:$H$102,5,FALSE)-VLOOKUP($A289,main!$A$3:$H$102,6,FALSE)&gt;=main!$D$103+VLOOKUP(VLOOKUP(BX$1,main!$A$3:$I$102,7,FALSE),main!$K$26:$Q$29,5,FALSE)),1,0)</f>
        <v>0</v>
      </c>
      <c r="BY289">
        <f>IF(AND(VLOOKUP(BY$1,main!$A$3:$H$102,7,FALSE)=main!$G$105,VLOOKUP(BY$1,main!$A$3:$H$102,5,FALSE)-VLOOKUP($A289,main!$A$3:$H$102,6,FALSE)&gt;=main!$D$103+VLOOKUP(VLOOKUP(BY$1,main!$A$3:$I$102,7,FALSE),main!$K$26:$Q$29,5,FALSE)),1,0)</f>
        <v>0</v>
      </c>
      <c r="BZ289">
        <f>IF(AND(VLOOKUP(BZ$1,main!$A$3:$H$102,7,FALSE)=main!$G$105,VLOOKUP(BZ$1,main!$A$3:$H$102,5,FALSE)-VLOOKUP($A289,main!$A$3:$H$102,6,FALSE)&gt;=main!$D$103+VLOOKUP(VLOOKUP(BZ$1,main!$A$3:$I$102,7,FALSE),main!$K$26:$Q$29,5,FALSE)),1,0)</f>
        <v>0</v>
      </c>
      <c r="CA289">
        <f>IF(AND(VLOOKUP(CA$1,main!$A$3:$H$102,7,FALSE)=main!$G$105,VLOOKUP(CA$1,main!$A$3:$H$102,5,FALSE)-VLOOKUP($A289,main!$A$3:$H$102,6,FALSE)&gt;=main!$D$103+VLOOKUP(VLOOKUP(CA$1,main!$A$3:$I$102,7,FALSE),main!$K$26:$Q$29,5,FALSE)),1,0)</f>
        <v>0</v>
      </c>
      <c r="CB289">
        <f>IF(AND(VLOOKUP(CB$1,main!$A$3:$H$102,7,FALSE)=main!$G$105,VLOOKUP(CB$1,main!$A$3:$H$102,5,FALSE)-VLOOKUP($A289,main!$A$3:$H$102,6,FALSE)&gt;=main!$D$103+VLOOKUP(VLOOKUP(CB$1,main!$A$3:$I$102,7,FALSE),main!$K$26:$Q$29,5,FALSE)),1,0)</f>
        <v>0</v>
      </c>
      <c r="CC289">
        <f>IF(AND(VLOOKUP(CC$1,main!$A$3:$H$102,7,FALSE)=main!$G$105,VLOOKUP(CC$1,main!$A$3:$H$102,5,FALSE)-VLOOKUP($A289,main!$A$3:$H$102,6,FALSE)&gt;=main!$D$103+VLOOKUP(VLOOKUP(CC$1,main!$A$3:$I$102,7,FALSE),main!$K$26:$Q$29,5,FALSE)),1,0)</f>
        <v>0</v>
      </c>
      <c r="CD289">
        <f>IF(AND(VLOOKUP(CD$1,main!$A$3:$H$102,7,FALSE)=main!$G$105,VLOOKUP(CD$1,main!$A$3:$H$102,5,FALSE)-VLOOKUP($A289,main!$A$3:$H$102,6,FALSE)&gt;=main!$D$103+VLOOKUP(VLOOKUP(CD$1,main!$A$3:$I$102,7,FALSE),main!$K$26:$Q$29,5,FALSE)),1,0)</f>
        <v>0</v>
      </c>
      <c r="CE289">
        <f>IF(AND(VLOOKUP(CE$1,main!$A$3:$H$102,7,FALSE)=main!$G$105,VLOOKUP(CE$1,main!$A$3:$H$102,5,FALSE)-VLOOKUP($A289,main!$A$3:$H$102,6,FALSE)&gt;=main!$D$103+VLOOKUP(VLOOKUP(CE$1,main!$A$3:$I$102,7,FALSE),main!$K$26:$Q$29,5,FALSE)),1,0)</f>
        <v>0</v>
      </c>
      <c r="CF289">
        <f>IF(AND(VLOOKUP(CF$1,main!$A$3:$H$102,7,FALSE)=main!$G$105,VLOOKUP(CF$1,main!$A$3:$H$102,5,FALSE)-VLOOKUP($A289,main!$A$3:$H$102,6,FALSE)&gt;=main!$D$103+VLOOKUP(VLOOKUP(CF$1,main!$A$3:$I$102,7,FALSE),main!$K$26:$Q$29,5,FALSE)),1,0)</f>
        <v>0</v>
      </c>
      <c r="CG289">
        <f>IF(AND(VLOOKUP(CG$1,main!$A$3:$H$102,7,FALSE)=main!$G$105,VLOOKUP(CG$1,main!$A$3:$H$102,5,FALSE)-VLOOKUP($A289,main!$A$3:$H$102,6,FALSE)&gt;=main!$D$103+VLOOKUP(VLOOKUP(CG$1,main!$A$3:$I$102,7,FALSE),main!$K$26:$Q$29,5,FALSE)),1,0)</f>
        <v>0</v>
      </c>
      <c r="CH289">
        <f>IF(AND(VLOOKUP(CH$1,main!$A$3:$H$102,7,FALSE)=main!$G$105,VLOOKUP(CH$1,main!$A$3:$H$102,5,FALSE)-VLOOKUP($A289,main!$A$3:$H$102,6,FALSE)&gt;=main!$D$103+VLOOKUP(VLOOKUP(CH$1,main!$A$3:$I$102,7,FALSE),main!$K$26:$Q$29,5,FALSE)),1,0)</f>
        <v>0</v>
      </c>
      <c r="CI289">
        <f>IF(AND(VLOOKUP(CI$1,main!$A$3:$H$102,7,FALSE)=main!$G$105,VLOOKUP(CI$1,main!$A$3:$H$102,5,FALSE)-VLOOKUP($A289,main!$A$3:$H$102,6,FALSE)&gt;=main!$D$103+VLOOKUP(VLOOKUP(CI$1,main!$A$3:$I$102,7,FALSE),main!$K$26:$Q$29,5,FALSE)),1,0)</f>
        <v>0</v>
      </c>
      <c r="CJ289">
        <f>IF(AND(VLOOKUP(CJ$1,main!$A$3:$H$102,7,FALSE)=main!$G$105,VLOOKUP(CJ$1,main!$A$3:$H$102,5,FALSE)-VLOOKUP($A289,main!$A$3:$H$102,6,FALSE)&gt;=main!$D$103+VLOOKUP(VLOOKUP(CJ$1,main!$A$3:$I$102,7,FALSE),main!$K$26:$Q$29,5,FALSE)),1,0)</f>
        <v>0</v>
      </c>
      <c r="CK289">
        <f>IF(AND(VLOOKUP(CK$1,main!$A$3:$H$102,7,FALSE)=main!$G$105,VLOOKUP(CK$1,main!$A$3:$H$102,5,FALSE)-VLOOKUP($A289,main!$A$3:$H$102,6,FALSE)&gt;=main!$D$103+VLOOKUP(VLOOKUP(CK$1,main!$A$3:$I$102,7,FALSE),main!$K$26:$Q$29,5,FALSE)),1,0)</f>
        <v>0</v>
      </c>
      <c r="CL289">
        <f>IF(AND(VLOOKUP(CL$1,main!$A$3:$H$102,7,FALSE)=main!$G$105,VLOOKUP(CL$1,main!$A$3:$H$102,5,FALSE)-VLOOKUP($A289,main!$A$3:$H$102,6,FALSE)&gt;=main!$D$103+VLOOKUP(VLOOKUP(CL$1,main!$A$3:$I$102,7,FALSE),main!$K$26:$Q$29,5,FALSE)),1,0)</f>
        <v>0</v>
      </c>
      <c r="CM289">
        <f>IF(AND(VLOOKUP(CM$1,main!$A$3:$H$102,7,FALSE)=main!$G$105,VLOOKUP(CM$1,main!$A$3:$H$102,5,FALSE)-VLOOKUP($A289,main!$A$3:$H$102,6,FALSE)&gt;=main!$D$103+VLOOKUP(VLOOKUP(CM$1,main!$A$3:$I$102,7,FALSE),main!$K$26:$Q$29,5,FALSE)),1,0)</f>
        <v>0</v>
      </c>
      <c r="CN289">
        <f>IF(AND(VLOOKUP(CN$1,main!$A$3:$H$102,7,FALSE)=main!$G$105,VLOOKUP(CN$1,main!$A$3:$H$102,5,FALSE)-VLOOKUP($A289,main!$A$3:$H$102,6,FALSE)&gt;=main!$D$103+VLOOKUP(VLOOKUP(CN$1,main!$A$3:$I$102,7,FALSE),main!$K$26:$Q$29,5,FALSE)),1,0)</f>
        <v>0</v>
      </c>
      <c r="CO289">
        <f>IF(AND(VLOOKUP(CO$1,main!$A$3:$H$102,7,FALSE)=main!$G$105,VLOOKUP(CO$1,main!$A$3:$H$102,5,FALSE)-VLOOKUP($A289,main!$A$3:$H$102,6,FALSE)&gt;=main!$D$103+VLOOKUP(VLOOKUP(CO$1,main!$A$3:$I$102,7,FALSE),main!$K$26:$Q$29,5,FALSE)),1,0)</f>
        <v>0</v>
      </c>
      <c r="CP289">
        <f>IF(AND(VLOOKUP(CP$1,main!$A$3:$H$102,7,FALSE)=main!$G$105,VLOOKUP(CP$1,main!$A$3:$H$102,5,FALSE)-VLOOKUP($A289,main!$A$3:$H$102,6,FALSE)&gt;=main!$D$103+VLOOKUP(VLOOKUP(CP$1,main!$A$3:$I$102,7,FALSE),main!$K$26:$Q$29,5,FALSE)),1,0)</f>
        <v>0</v>
      </c>
      <c r="CQ289">
        <f>IF(AND(VLOOKUP(CQ$1,main!$A$3:$H$102,7,FALSE)=main!$G$105,VLOOKUP(CQ$1,main!$A$3:$H$102,5,FALSE)-VLOOKUP($A289,main!$A$3:$H$102,6,FALSE)&gt;=main!$D$103+VLOOKUP(VLOOKUP(CQ$1,main!$A$3:$I$102,7,FALSE),main!$K$26:$Q$29,5,FALSE)),1,0)</f>
        <v>0</v>
      </c>
      <c r="CR289">
        <f>IF(AND(VLOOKUP(CR$1,main!$A$3:$H$102,7,FALSE)=main!$G$105,VLOOKUP(CR$1,main!$A$3:$H$102,5,FALSE)-VLOOKUP($A289,main!$A$3:$H$102,6,FALSE)&gt;=main!$D$103+VLOOKUP(VLOOKUP(CR$1,main!$A$3:$I$102,7,FALSE),main!$K$26:$Q$29,5,FALSE)),1,0)</f>
        <v>0</v>
      </c>
      <c r="CS289">
        <f>IF(AND(VLOOKUP(CS$1,main!$A$3:$H$102,7,FALSE)=main!$G$105,VLOOKUP(CS$1,main!$A$3:$H$102,5,FALSE)-VLOOKUP($A289,main!$A$3:$H$102,6,FALSE)&gt;=main!$D$103+VLOOKUP(VLOOKUP(CS$1,main!$A$3:$I$102,7,FALSE),main!$K$26:$Q$29,5,FALSE)),1,0)</f>
        <v>0</v>
      </c>
      <c r="CT289">
        <f>IF(AND(VLOOKUP(CT$1,main!$A$3:$H$102,7,FALSE)=main!$G$105,VLOOKUP(CT$1,main!$A$3:$H$102,5,FALSE)-VLOOKUP($A289,main!$A$3:$H$102,6,FALSE)&gt;=main!$D$103+VLOOKUP(VLOOKUP(CT$1,main!$A$3:$I$102,7,FALSE),main!$K$26:$Q$29,5,FALSE)),1,0)</f>
        <v>0</v>
      </c>
      <c r="CU289">
        <f>IF(AND(VLOOKUP(CU$1,main!$A$3:$H$102,7,FALSE)=main!$G$105,VLOOKUP(CU$1,main!$A$3:$H$102,5,FALSE)-VLOOKUP($A289,main!$A$3:$H$102,6,FALSE)&gt;=main!$D$103+VLOOKUP(VLOOKUP(CU$1,main!$A$3:$I$102,7,FALSE),main!$K$26:$Q$29,5,FALSE)),1,0)</f>
        <v>0</v>
      </c>
      <c r="CV289">
        <f>IF(AND(VLOOKUP(CV$1,main!$A$3:$H$102,7,FALSE)=main!$G$105,VLOOKUP(CV$1,main!$A$3:$H$102,5,FALSE)-VLOOKUP($A289,main!$A$3:$H$102,6,FALSE)&gt;=main!$D$103+VLOOKUP(VLOOKUP(CV$1,main!$A$3:$I$102,7,FALSE),main!$K$26:$Q$29,5,FALSE)),1,0)</f>
        <v>0</v>
      </c>
      <c r="CW289">
        <f>IF(AND(VLOOKUP(CW$1,main!$A$3:$H$102,7,FALSE)=main!$G$105,VLOOKUP(CW$1,main!$A$3:$H$102,5,FALSE)-VLOOKUP($A289,main!$A$3:$H$102,6,FALSE)&gt;=main!$D$103+VLOOKUP(VLOOKUP(CW$1,main!$A$3:$I$102,7,FALSE),main!$K$26:$Q$29,5,FALSE)),1,0)</f>
        <v>0</v>
      </c>
      <c r="CX289">
        <f>IF(AND(VLOOKUP(CX$1,main!$A$3:$H$102,7,FALSE)=main!$G$105,VLOOKUP(CX$1,main!$A$3:$H$102,5,FALSE)-VLOOKUP($A289,main!$A$3:$H$102,6,FALSE)&gt;=main!$D$103+VLOOKUP(VLOOKUP(CX$1,main!$A$3:$I$102,7,FALSE),main!$K$26:$Q$29,5,FALSE)),1,0)</f>
        <v>0</v>
      </c>
    </row>
    <row r="290" spans="1:102" x14ac:dyDescent="0.25">
      <c r="A290" s="1">
        <v>86</v>
      </c>
      <c r="B290">
        <v>0</v>
      </c>
      <c r="C290">
        <f>IF(AND(VLOOKUP(C$1,main!$A$3:$H$102,7,FALSE)=main!$G$105,VLOOKUP(C$1,main!$A$3:$H$102,5,FALSE)-VLOOKUP($A290,main!$A$3:$H$102,6,FALSE)&gt;=main!$D$103+VLOOKUP(VLOOKUP(C$1,main!$A$3:$I$102,7,FALSE),main!$K$26:$Q$29,5,FALSE)),1,0)</f>
        <v>0</v>
      </c>
      <c r="D290">
        <f>IF(AND(VLOOKUP(D$1,main!$A$3:$H$102,7,FALSE)=main!$G$105,VLOOKUP(D$1,main!$A$3:$H$102,5,FALSE)-VLOOKUP($A290,main!$A$3:$H$102,6,FALSE)&gt;=main!$D$103+VLOOKUP(VLOOKUP(D$1,main!$A$3:$I$102,7,FALSE),main!$K$26:$Q$29,5,FALSE)),1,0)</f>
        <v>0</v>
      </c>
      <c r="E290">
        <f>IF(AND(VLOOKUP(E$1,main!$A$3:$H$102,7,FALSE)=main!$G$105,VLOOKUP(E$1,main!$A$3:$H$102,5,FALSE)-VLOOKUP($A290,main!$A$3:$H$102,6,FALSE)&gt;=main!$D$103+VLOOKUP(VLOOKUP(E$1,main!$A$3:$I$102,7,FALSE),main!$K$26:$Q$29,5,FALSE)),1,0)</f>
        <v>0</v>
      </c>
      <c r="F290">
        <f>IF(AND(VLOOKUP(F$1,main!$A$3:$H$102,7,FALSE)=main!$G$105,VLOOKUP(F$1,main!$A$3:$H$102,5,FALSE)-VLOOKUP($A290,main!$A$3:$H$102,6,FALSE)&gt;=main!$D$103+VLOOKUP(VLOOKUP(F$1,main!$A$3:$I$102,7,FALSE),main!$K$26:$Q$29,5,FALSE)),1,0)</f>
        <v>0</v>
      </c>
      <c r="G290">
        <f>IF(AND(VLOOKUP(G$1,main!$A$3:$H$102,7,FALSE)=main!$G$105,VLOOKUP(G$1,main!$A$3:$H$102,5,FALSE)-VLOOKUP($A290,main!$A$3:$H$102,6,FALSE)&gt;=main!$D$103+VLOOKUP(VLOOKUP(G$1,main!$A$3:$I$102,7,FALSE),main!$K$26:$Q$29,5,FALSE)),1,0)</f>
        <v>0</v>
      </c>
      <c r="H290">
        <f>IF(AND(VLOOKUP(H$1,main!$A$3:$H$102,7,FALSE)=main!$G$105,VLOOKUP(H$1,main!$A$3:$H$102,5,FALSE)-VLOOKUP($A290,main!$A$3:$H$102,6,FALSE)&gt;=main!$D$103+VLOOKUP(VLOOKUP(H$1,main!$A$3:$I$102,7,FALSE),main!$K$26:$Q$29,5,FALSE)),1,0)</f>
        <v>0</v>
      </c>
      <c r="I290">
        <f>IF(AND(VLOOKUP(I$1,main!$A$3:$H$102,7,FALSE)=main!$G$105,VLOOKUP(I$1,main!$A$3:$H$102,5,FALSE)-VLOOKUP($A290,main!$A$3:$H$102,6,FALSE)&gt;=main!$D$103+VLOOKUP(VLOOKUP(I$1,main!$A$3:$I$102,7,FALSE),main!$K$26:$Q$29,5,FALSE)),1,0)</f>
        <v>0</v>
      </c>
      <c r="J290">
        <f>IF(AND(VLOOKUP(J$1,main!$A$3:$H$102,7,FALSE)=main!$G$105,VLOOKUP(J$1,main!$A$3:$H$102,5,FALSE)-VLOOKUP($A290,main!$A$3:$H$102,6,FALSE)&gt;=main!$D$103+VLOOKUP(VLOOKUP(J$1,main!$A$3:$I$102,7,FALSE),main!$K$26:$Q$29,5,FALSE)),1,0)</f>
        <v>0</v>
      </c>
      <c r="K290">
        <f>IF(AND(VLOOKUP(K$1,main!$A$3:$H$102,7,FALSE)=main!$G$105,VLOOKUP(K$1,main!$A$3:$H$102,5,FALSE)-VLOOKUP($A290,main!$A$3:$H$102,6,FALSE)&gt;=main!$D$103+VLOOKUP(VLOOKUP(K$1,main!$A$3:$I$102,7,FALSE),main!$K$26:$Q$29,5,FALSE)),1,0)</f>
        <v>0</v>
      </c>
      <c r="L290">
        <f>IF(AND(VLOOKUP(L$1,main!$A$3:$H$102,7,FALSE)=main!$G$105,VLOOKUP(L$1,main!$A$3:$H$102,5,FALSE)-VLOOKUP($A290,main!$A$3:$H$102,6,FALSE)&gt;=main!$D$103+VLOOKUP(VLOOKUP(L$1,main!$A$3:$I$102,7,FALSE),main!$K$26:$Q$29,5,FALSE)),1,0)</f>
        <v>0</v>
      </c>
      <c r="M290">
        <f>IF(AND(VLOOKUP(M$1,main!$A$3:$H$102,7,FALSE)=main!$G$105,VLOOKUP(M$1,main!$A$3:$H$102,5,FALSE)-VLOOKUP($A290,main!$A$3:$H$102,6,FALSE)&gt;=main!$D$103+VLOOKUP(VLOOKUP(M$1,main!$A$3:$I$102,7,FALSE),main!$K$26:$Q$29,5,FALSE)),1,0)</f>
        <v>0</v>
      </c>
      <c r="N290">
        <f>IF(AND(VLOOKUP(N$1,main!$A$3:$H$102,7,FALSE)=main!$G$105,VLOOKUP(N$1,main!$A$3:$H$102,5,FALSE)-VLOOKUP($A290,main!$A$3:$H$102,6,FALSE)&gt;=main!$D$103+VLOOKUP(VLOOKUP(N$1,main!$A$3:$I$102,7,FALSE),main!$K$26:$Q$29,5,FALSE)),1,0)</f>
        <v>0</v>
      </c>
      <c r="O290">
        <f>IF(AND(VLOOKUP(O$1,main!$A$3:$H$102,7,FALSE)=main!$G$105,VLOOKUP(O$1,main!$A$3:$H$102,5,FALSE)-VLOOKUP($A290,main!$A$3:$H$102,6,FALSE)&gt;=main!$D$103+VLOOKUP(VLOOKUP(O$1,main!$A$3:$I$102,7,FALSE),main!$K$26:$Q$29,5,FALSE)),1,0)</f>
        <v>0</v>
      </c>
      <c r="P290">
        <f>IF(AND(VLOOKUP(P$1,main!$A$3:$H$102,7,FALSE)=main!$G$105,VLOOKUP(P$1,main!$A$3:$H$102,5,FALSE)-VLOOKUP($A290,main!$A$3:$H$102,6,FALSE)&gt;=main!$D$103+VLOOKUP(VLOOKUP(P$1,main!$A$3:$I$102,7,FALSE),main!$K$26:$Q$29,5,FALSE)),1,0)</f>
        <v>0</v>
      </c>
      <c r="Q290">
        <f>IF(AND(VLOOKUP(Q$1,main!$A$3:$H$102,7,FALSE)=main!$G$105,VLOOKUP(Q$1,main!$A$3:$H$102,5,FALSE)-VLOOKUP($A290,main!$A$3:$H$102,6,FALSE)&gt;=main!$D$103+VLOOKUP(VLOOKUP(Q$1,main!$A$3:$I$102,7,FALSE),main!$K$26:$Q$29,5,FALSE)),1,0)</f>
        <v>0</v>
      </c>
      <c r="R290">
        <f>IF(AND(VLOOKUP(R$1,main!$A$3:$H$102,7,FALSE)=main!$G$105,VLOOKUP(R$1,main!$A$3:$H$102,5,FALSE)-VLOOKUP($A290,main!$A$3:$H$102,6,FALSE)&gt;=main!$D$103+VLOOKUP(VLOOKUP(R$1,main!$A$3:$I$102,7,FALSE),main!$K$26:$Q$29,5,FALSE)),1,0)</f>
        <v>0</v>
      </c>
      <c r="S290">
        <f>IF(AND(VLOOKUP(S$1,main!$A$3:$H$102,7,FALSE)=main!$G$105,VLOOKUP(S$1,main!$A$3:$H$102,5,FALSE)-VLOOKUP($A290,main!$A$3:$H$102,6,FALSE)&gt;=main!$D$103+VLOOKUP(VLOOKUP(S$1,main!$A$3:$I$102,7,FALSE),main!$K$26:$Q$29,5,FALSE)),1,0)</f>
        <v>0</v>
      </c>
      <c r="T290">
        <f>IF(AND(VLOOKUP(T$1,main!$A$3:$H$102,7,FALSE)=main!$G$105,VLOOKUP(T$1,main!$A$3:$H$102,5,FALSE)-VLOOKUP($A290,main!$A$3:$H$102,6,FALSE)&gt;=main!$D$103+VLOOKUP(VLOOKUP(T$1,main!$A$3:$I$102,7,FALSE),main!$K$26:$Q$29,5,FALSE)),1,0)</f>
        <v>0</v>
      </c>
      <c r="U290">
        <f>IF(AND(VLOOKUP(U$1,main!$A$3:$H$102,7,FALSE)=main!$G$105,VLOOKUP(U$1,main!$A$3:$H$102,5,FALSE)-VLOOKUP($A290,main!$A$3:$H$102,6,FALSE)&gt;=main!$D$103+VLOOKUP(VLOOKUP(U$1,main!$A$3:$I$102,7,FALSE),main!$K$26:$Q$29,5,FALSE)),1,0)</f>
        <v>0</v>
      </c>
      <c r="V290">
        <f>IF(AND(VLOOKUP(V$1,main!$A$3:$H$102,7,FALSE)=main!$G$105,VLOOKUP(V$1,main!$A$3:$H$102,5,FALSE)-VLOOKUP($A290,main!$A$3:$H$102,6,FALSE)&gt;=main!$D$103+VLOOKUP(VLOOKUP(V$1,main!$A$3:$I$102,7,FALSE),main!$K$26:$Q$29,5,FALSE)),1,0)</f>
        <v>0</v>
      </c>
      <c r="W290">
        <f>IF(AND(VLOOKUP(W$1,main!$A$3:$H$102,7,FALSE)=main!$G$105,VLOOKUP(W$1,main!$A$3:$H$102,5,FALSE)-VLOOKUP($A290,main!$A$3:$H$102,6,FALSE)&gt;=main!$D$103+VLOOKUP(VLOOKUP(W$1,main!$A$3:$I$102,7,FALSE),main!$K$26:$Q$29,5,FALSE)),1,0)</f>
        <v>0</v>
      </c>
      <c r="X290">
        <f>IF(AND(VLOOKUP(X$1,main!$A$3:$H$102,7,FALSE)=main!$G$105,VLOOKUP(X$1,main!$A$3:$H$102,5,FALSE)-VLOOKUP($A290,main!$A$3:$H$102,6,FALSE)&gt;=main!$D$103+VLOOKUP(VLOOKUP(X$1,main!$A$3:$I$102,7,FALSE),main!$K$26:$Q$29,5,FALSE)),1,0)</f>
        <v>0</v>
      </c>
      <c r="Y290">
        <f>IF(AND(VLOOKUP(Y$1,main!$A$3:$H$102,7,FALSE)=main!$G$105,VLOOKUP(Y$1,main!$A$3:$H$102,5,FALSE)-VLOOKUP($A290,main!$A$3:$H$102,6,FALSE)&gt;=main!$D$103+VLOOKUP(VLOOKUP(Y$1,main!$A$3:$I$102,7,FALSE),main!$K$26:$Q$29,5,FALSE)),1,0)</f>
        <v>0</v>
      </c>
      <c r="Z290">
        <f>IF(AND(VLOOKUP(Z$1,main!$A$3:$H$102,7,FALSE)=main!$G$105,VLOOKUP(Z$1,main!$A$3:$H$102,5,FALSE)-VLOOKUP($A290,main!$A$3:$H$102,6,FALSE)&gt;=main!$D$103+VLOOKUP(VLOOKUP(Z$1,main!$A$3:$I$102,7,FALSE),main!$K$26:$Q$29,5,FALSE)),1,0)</f>
        <v>0</v>
      </c>
      <c r="AA290">
        <f>IF(AND(VLOOKUP(AA$1,main!$A$3:$H$102,7,FALSE)=main!$G$105,VLOOKUP(AA$1,main!$A$3:$H$102,5,FALSE)-VLOOKUP($A290,main!$A$3:$H$102,6,FALSE)&gt;=main!$D$103+VLOOKUP(VLOOKUP(AA$1,main!$A$3:$I$102,7,FALSE),main!$K$26:$Q$29,5,FALSE)),1,0)</f>
        <v>0</v>
      </c>
      <c r="AB290">
        <f>IF(AND(VLOOKUP(AB$1,main!$A$3:$H$102,7,FALSE)=main!$G$105,VLOOKUP(AB$1,main!$A$3:$H$102,5,FALSE)-VLOOKUP($A290,main!$A$3:$H$102,6,FALSE)&gt;=main!$D$103+VLOOKUP(VLOOKUP(AB$1,main!$A$3:$I$102,7,FALSE),main!$K$26:$Q$29,5,FALSE)),1,0)</f>
        <v>0</v>
      </c>
      <c r="AC290">
        <f>IF(AND(VLOOKUP(AC$1,main!$A$3:$H$102,7,FALSE)=main!$G$105,VLOOKUP(AC$1,main!$A$3:$H$102,5,FALSE)-VLOOKUP($A290,main!$A$3:$H$102,6,FALSE)&gt;=main!$D$103+VLOOKUP(VLOOKUP(AC$1,main!$A$3:$I$102,7,FALSE),main!$K$26:$Q$29,5,FALSE)),1,0)</f>
        <v>0</v>
      </c>
      <c r="AD290">
        <f>IF(AND(VLOOKUP(AD$1,main!$A$3:$H$102,7,FALSE)=main!$G$105,VLOOKUP(AD$1,main!$A$3:$H$102,5,FALSE)-VLOOKUP($A290,main!$A$3:$H$102,6,FALSE)&gt;=main!$D$103+VLOOKUP(VLOOKUP(AD$1,main!$A$3:$I$102,7,FALSE),main!$K$26:$Q$29,5,FALSE)),1,0)</f>
        <v>0</v>
      </c>
      <c r="AE290">
        <f>IF(AND(VLOOKUP(AE$1,main!$A$3:$H$102,7,FALSE)=main!$G$105,VLOOKUP(AE$1,main!$A$3:$H$102,5,FALSE)-VLOOKUP($A290,main!$A$3:$H$102,6,FALSE)&gt;=main!$D$103+VLOOKUP(VLOOKUP(AE$1,main!$A$3:$I$102,7,FALSE),main!$K$26:$Q$29,5,FALSE)),1,0)</f>
        <v>0</v>
      </c>
      <c r="AF290">
        <f>IF(AND(VLOOKUP(AF$1,main!$A$3:$H$102,7,FALSE)=main!$G$105,VLOOKUP(AF$1,main!$A$3:$H$102,5,FALSE)-VLOOKUP($A290,main!$A$3:$H$102,6,FALSE)&gt;=main!$D$103+VLOOKUP(VLOOKUP(AF$1,main!$A$3:$I$102,7,FALSE),main!$K$26:$Q$29,5,FALSE)),1,0)</f>
        <v>0</v>
      </c>
      <c r="AG290">
        <f>IF(AND(VLOOKUP(AG$1,main!$A$3:$H$102,7,FALSE)=main!$G$105,VLOOKUP(AG$1,main!$A$3:$H$102,5,FALSE)-VLOOKUP($A290,main!$A$3:$H$102,6,FALSE)&gt;=main!$D$103+VLOOKUP(VLOOKUP(AG$1,main!$A$3:$I$102,7,FALSE),main!$K$26:$Q$29,5,FALSE)),1,0)</f>
        <v>0</v>
      </c>
      <c r="AH290">
        <f>IF(AND(VLOOKUP(AH$1,main!$A$3:$H$102,7,FALSE)=main!$G$105,VLOOKUP(AH$1,main!$A$3:$H$102,5,FALSE)-VLOOKUP($A290,main!$A$3:$H$102,6,FALSE)&gt;=main!$D$103+VLOOKUP(VLOOKUP(AH$1,main!$A$3:$I$102,7,FALSE),main!$K$26:$Q$29,5,FALSE)),1,0)</f>
        <v>0</v>
      </c>
      <c r="AI290">
        <f>IF(AND(VLOOKUP(AI$1,main!$A$3:$H$102,7,FALSE)=main!$G$105,VLOOKUP(AI$1,main!$A$3:$H$102,5,FALSE)-VLOOKUP($A290,main!$A$3:$H$102,6,FALSE)&gt;=main!$D$103+VLOOKUP(VLOOKUP(AI$1,main!$A$3:$I$102,7,FALSE),main!$K$26:$Q$29,5,FALSE)),1,0)</f>
        <v>0</v>
      </c>
      <c r="AJ290">
        <f>IF(AND(VLOOKUP(AJ$1,main!$A$3:$H$102,7,FALSE)=main!$G$105,VLOOKUP(AJ$1,main!$A$3:$H$102,5,FALSE)-VLOOKUP($A290,main!$A$3:$H$102,6,FALSE)&gt;=main!$D$103+VLOOKUP(VLOOKUP(AJ$1,main!$A$3:$I$102,7,FALSE),main!$K$26:$Q$29,5,FALSE)),1,0)</f>
        <v>0</v>
      </c>
      <c r="AK290">
        <f>IF(AND(VLOOKUP(AK$1,main!$A$3:$H$102,7,FALSE)=main!$G$105,VLOOKUP(AK$1,main!$A$3:$H$102,5,FALSE)-VLOOKUP($A290,main!$A$3:$H$102,6,FALSE)&gt;=main!$D$103+VLOOKUP(VLOOKUP(AK$1,main!$A$3:$I$102,7,FALSE),main!$K$26:$Q$29,5,FALSE)),1,0)</f>
        <v>0</v>
      </c>
      <c r="AL290">
        <f>IF(AND(VLOOKUP(AL$1,main!$A$3:$H$102,7,FALSE)=main!$G$105,VLOOKUP(AL$1,main!$A$3:$H$102,5,FALSE)-VLOOKUP($A290,main!$A$3:$H$102,6,FALSE)&gt;=main!$D$103+VLOOKUP(VLOOKUP(AL$1,main!$A$3:$I$102,7,FALSE),main!$K$26:$Q$29,5,FALSE)),1,0)</f>
        <v>1</v>
      </c>
      <c r="AM290">
        <f>IF(AND(VLOOKUP(AM$1,main!$A$3:$H$102,7,FALSE)=main!$G$105,VLOOKUP(AM$1,main!$A$3:$H$102,5,FALSE)-VLOOKUP($A290,main!$A$3:$H$102,6,FALSE)&gt;=main!$D$103+VLOOKUP(VLOOKUP(AM$1,main!$A$3:$I$102,7,FALSE),main!$K$26:$Q$29,5,FALSE)),1,0)</f>
        <v>1</v>
      </c>
      <c r="AN290">
        <f>IF(AND(VLOOKUP(AN$1,main!$A$3:$H$102,7,FALSE)=main!$G$105,VLOOKUP(AN$1,main!$A$3:$H$102,5,FALSE)-VLOOKUP($A290,main!$A$3:$H$102,6,FALSE)&gt;=main!$D$103+VLOOKUP(VLOOKUP(AN$1,main!$A$3:$I$102,7,FALSE),main!$K$26:$Q$29,5,FALSE)),1,0)</f>
        <v>1</v>
      </c>
      <c r="AO290">
        <f>IF(AND(VLOOKUP(AO$1,main!$A$3:$H$102,7,FALSE)=main!$G$105,VLOOKUP(AO$1,main!$A$3:$H$102,5,FALSE)-VLOOKUP($A290,main!$A$3:$H$102,6,FALSE)&gt;=main!$D$103+VLOOKUP(VLOOKUP(AO$1,main!$A$3:$I$102,7,FALSE),main!$K$26:$Q$29,5,FALSE)),1,0)</f>
        <v>0</v>
      </c>
      <c r="AP290">
        <f>IF(AND(VLOOKUP(AP$1,main!$A$3:$H$102,7,FALSE)=main!$G$105,VLOOKUP(AP$1,main!$A$3:$H$102,5,FALSE)-VLOOKUP($A290,main!$A$3:$H$102,6,FALSE)&gt;=main!$D$103+VLOOKUP(VLOOKUP(AP$1,main!$A$3:$I$102,7,FALSE),main!$K$26:$Q$29,5,FALSE)),1,0)</f>
        <v>1</v>
      </c>
      <c r="AQ290">
        <f>IF(AND(VLOOKUP(AQ$1,main!$A$3:$H$102,7,FALSE)=main!$G$105,VLOOKUP(AQ$1,main!$A$3:$H$102,5,FALSE)-VLOOKUP($A290,main!$A$3:$H$102,6,FALSE)&gt;=main!$D$103+VLOOKUP(VLOOKUP(AQ$1,main!$A$3:$I$102,7,FALSE),main!$K$26:$Q$29,5,FALSE)),1,0)</f>
        <v>0</v>
      </c>
      <c r="AR290">
        <f>IF(AND(VLOOKUP(AR$1,main!$A$3:$H$102,7,FALSE)=main!$G$105,VLOOKUP(AR$1,main!$A$3:$H$102,5,FALSE)-VLOOKUP($A290,main!$A$3:$H$102,6,FALSE)&gt;=main!$D$103+VLOOKUP(VLOOKUP(AR$1,main!$A$3:$I$102,7,FALSE),main!$K$26:$Q$29,5,FALSE)),1,0)</f>
        <v>0</v>
      </c>
      <c r="AS290">
        <f>IF(AND(VLOOKUP(AS$1,main!$A$3:$H$102,7,FALSE)=main!$G$105,VLOOKUP(AS$1,main!$A$3:$H$102,5,FALSE)-VLOOKUP($A290,main!$A$3:$H$102,6,FALSE)&gt;=main!$D$103+VLOOKUP(VLOOKUP(AS$1,main!$A$3:$I$102,7,FALSE),main!$K$26:$Q$29,5,FALSE)),1,0)</f>
        <v>0</v>
      </c>
      <c r="AT290">
        <f>IF(AND(VLOOKUP(AT$1,main!$A$3:$H$102,7,FALSE)=main!$G$105,VLOOKUP(AT$1,main!$A$3:$H$102,5,FALSE)-VLOOKUP($A290,main!$A$3:$H$102,6,FALSE)&gt;=main!$D$103+VLOOKUP(VLOOKUP(AT$1,main!$A$3:$I$102,7,FALSE),main!$K$26:$Q$29,5,FALSE)),1,0)</f>
        <v>1</v>
      </c>
      <c r="AU290">
        <f>IF(AND(VLOOKUP(AU$1,main!$A$3:$H$102,7,FALSE)=main!$G$105,VLOOKUP(AU$1,main!$A$3:$H$102,5,FALSE)-VLOOKUP($A290,main!$A$3:$H$102,6,FALSE)&gt;=main!$D$103+VLOOKUP(VLOOKUP(AU$1,main!$A$3:$I$102,7,FALSE),main!$K$26:$Q$29,5,FALSE)),1,0)</f>
        <v>0</v>
      </c>
      <c r="AV290">
        <f>IF(AND(VLOOKUP(AV$1,main!$A$3:$H$102,7,FALSE)=main!$G$105,VLOOKUP(AV$1,main!$A$3:$H$102,5,FALSE)-VLOOKUP($A290,main!$A$3:$H$102,6,FALSE)&gt;=main!$D$103+VLOOKUP(VLOOKUP(AV$1,main!$A$3:$I$102,7,FALSE),main!$K$26:$Q$29,5,FALSE)),1,0)</f>
        <v>0</v>
      </c>
      <c r="AW290">
        <f>IF(AND(VLOOKUP(AW$1,main!$A$3:$H$102,7,FALSE)=main!$G$105,VLOOKUP(AW$1,main!$A$3:$H$102,5,FALSE)-VLOOKUP($A290,main!$A$3:$H$102,6,FALSE)&gt;=main!$D$103+VLOOKUP(VLOOKUP(AW$1,main!$A$3:$I$102,7,FALSE),main!$K$26:$Q$29,5,FALSE)),1,0)</f>
        <v>0</v>
      </c>
      <c r="AX290">
        <f>IF(AND(VLOOKUP(AX$1,main!$A$3:$H$102,7,FALSE)=main!$G$105,VLOOKUP(AX$1,main!$A$3:$H$102,5,FALSE)-VLOOKUP($A290,main!$A$3:$H$102,6,FALSE)&gt;=main!$D$103+VLOOKUP(VLOOKUP(AX$1,main!$A$3:$I$102,7,FALSE),main!$K$26:$Q$29,5,FALSE)),1,0)</f>
        <v>0</v>
      </c>
      <c r="AY290">
        <f>IF(AND(VLOOKUP(AY$1,main!$A$3:$H$102,7,FALSE)=main!$G$105,VLOOKUP(AY$1,main!$A$3:$H$102,5,FALSE)-VLOOKUP($A290,main!$A$3:$H$102,6,FALSE)&gt;=main!$D$103+VLOOKUP(VLOOKUP(AY$1,main!$A$3:$I$102,7,FALSE),main!$K$26:$Q$29,5,FALSE)),1,0)</f>
        <v>0</v>
      </c>
      <c r="AZ290">
        <f>IF(AND(VLOOKUP(AZ$1,main!$A$3:$H$102,7,FALSE)=main!$G$105,VLOOKUP(AZ$1,main!$A$3:$H$102,5,FALSE)-VLOOKUP($A290,main!$A$3:$H$102,6,FALSE)&gt;=main!$D$103+VLOOKUP(VLOOKUP(AZ$1,main!$A$3:$I$102,7,FALSE),main!$K$26:$Q$29,5,FALSE)),1,0)</f>
        <v>0</v>
      </c>
      <c r="BA290">
        <f>IF(AND(VLOOKUP(BA$1,main!$A$3:$H$102,7,FALSE)=main!$G$105,VLOOKUP(BA$1,main!$A$3:$H$102,5,FALSE)-VLOOKUP($A290,main!$A$3:$H$102,6,FALSE)&gt;=main!$D$103+VLOOKUP(VLOOKUP(BA$1,main!$A$3:$I$102,7,FALSE),main!$K$26:$Q$29,5,FALSE)),1,0)</f>
        <v>0</v>
      </c>
      <c r="BB290">
        <f>IF(AND(VLOOKUP(BB$1,main!$A$3:$H$102,7,FALSE)=main!$G$105,VLOOKUP(BB$1,main!$A$3:$H$102,5,FALSE)-VLOOKUP($A290,main!$A$3:$H$102,6,FALSE)&gt;=main!$D$103+VLOOKUP(VLOOKUP(BB$1,main!$A$3:$I$102,7,FALSE),main!$K$26:$Q$29,5,FALSE)),1,0)</f>
        <v>0</v>
      </c>
      <c r="BC290">
        <f>IF(AND(VLOOKUP(BC$1,main!$A$3:$H$102,7,FALSE)=main!$G$105,VLOOKUP(BC$1,main!$A$3:$H$102,5,FALSE)-VLOOKUP($A290,main!$A$3:$H$102,6,FALSE)&gt;=main!$D$103+VLOOKUP(VLOOKUP(BC$1,main!$A$3:$I$102,7,FALSE),main!$K$26:$Q$29,5,FALSE)),1,0)</f>
        <v>0</v>
      </c>
      <c r="BD290">
        <f>IF(AND(VLOOKUP(BD$1,main!$A$3:$H$102,7,FALSE)=main!$G$105,VLOOKUP(BD$1,main!$A$3:$H$102,5,FALSE)-VLOOKUP($A290,main!$A$3:$H$102,6,FALSE)&gt;=main!$D$103+VLOOKUP(VLOOKUP(BD$1,main!$A$3:$I$102,7,FALSE),main!$K$26:$Q$29,5,FALSE)),1,0)</f>
        <v>0</v>
      </c>
      <c r="BE290">
        <f>IF(AND(VLOOKUP(BE$1,main!$A$3:$H$102,7,FALSE)=main!$G$105,VLOOKUP(BE$1,main!$A$3:$H$102,5,FALSE)-VLOOKUP($A290,main!$A$3:$H$102,6,FALSE)&gt;=main!$D$103+VLOOKUP(VLOOKUP(BE$1,main!$A$3:$I$102,7,FALSE),main!$K$26:$Q$29,5,FALSE)),1,0)</f>
        <v>0</v>
      </c>
      <c r="BF290">
        <f>IF(AND(VLOOKUP(BF$1,main!$A$3:$H$102,7,FALSE)=main!$G$105,VLOOKUP(BF$1,main!$A$3:$H$102,5,FALSE)-VLOOKUP($A290,main!$A$3:$H$102,6,FALSE)&gt;=main!$D$103+VLOOKUP(VLOOKUP(BF$1,main!$A$3:$I$102,7,FALSE),main!$K$26:$Q$29,5,FALSE)),1,0)</f>
        <v>0</v>
      </c>
      <c r="BG290">
        <f>IF(AND(VLOOKUP(BG$1,main!$A$3:$H$102,7,FALSE)=main!$G$105,VLOOKUP(BG$1,main!$A$3:$H$102,5,FALSE)-VLOOKUP($A290,main!$A$3:$H$102,6,FALSE)&gt;=main!$D$103+VLOOKUP(VLOOKUP(BG$1,main!$A$3:$I$102,7,FALSE),main!$K$26:$Q$29,5,FALSE)),1,0)</f>
        <v>0</v>
      </c>
      <c r="BH290">
        <f>IF(AND(VLOOKUP(BH$1,main!$A$3:$H$102,7,FALSE)=main!$G$105,VLOOKUP(BH$1,main!$A$3:$H$102,5,FALSE)-VLOOKUP($A290,main!$A$3:$H$102,6,FALSE)&gt;=main!$D$103+VLOOKUP(VLOOKUP(BH$1,main!$A$3:$I$102,7,FALSE),main!$K$26:$Q$29,5,FALSE)),1,0)</f>
        <v>0</v>
      </c>
      <c r="BI290">
        <f>IF(AND(VLOOKUP(BI$1,main!$A$3:$H$102,7,FALSE)=main!$G$105,VLOOKUP(BI$1,main!$A$3:$H$102,5,FALSE)-VLOOKUP($A290,main!$A$3:$H$102,6,FALSE)&gt;=main!$D$103+VLOOKUP(VLOOKUP(BI$1,main!$A$3:$I$102,7,FALSE),main!$K$26:$Q$29,5,FALSE)),1,0)</f>
        <v>0</v>
      </c>
      <c r="BJ290">
        <f>IF(AND(VLOOKUP(BJ$1,main!$A$3:$H$102,7,FALSE)=main!$G$105,VLOOKUP(BJ$1,main!$A$3:$H$102,5,FALSE)-VLOOKUP($A290,main!$A$3:$H$102,6,FALSE)&gt;=main!$D$103+VLOOKUP(VLOOKUP(BJ$1,main!$A$3:$I$102,7,FALSE),main!$K$26:$Q$29,5,FALSE)),1,0)</f>
        <v>0</v>
      </c>
      <c r="BK290">
        <f>IF(AND(VLOOKUP(BK$1,main!$A$3:$H$102,7,FALSE)=main!$G$105,VLOOKUP(BK$1,main!$A$3:$H$102,5,FALSE)-VLOOKUP($A290,main!$A$3:$H$102,6,FALSE)&gt;=main!$D$103+VLOOKUP(VLOOKUP(BK$1,main!$A$3:$I$102,7,FALSE),main!$K$26:$Q$29,5,FALSE)),1,0)</f>
        <v>0</v>
      </c>
      <c r="BL290">
        <f>IF(AND(VLOOKUP(BL$1,main!$A$3:$H$102,7,FALSE)=main!$G$105,VLOOKUP(BL$1,main!$A$3:$H$102,5,FALSE)-VLOOKUP($A290,main!$A$3:$H$102,6,FALSE)&gt;=main!$D$103+VLOOKUP(VLOOKUP(BL$1,main!$A$3:$I$102,7,FALSE),main!$K$26:$Q$29,5,FALSE)),1,0)</f>
        <v>0</v>
      </c>
      <c r="BM290">
        <f>IF(AND(VLOOKUP(BM$1,main!$A$3:$H$102,7,FALSE)=main!$G$105,VLOOKUP(BM$1,main!$A$3:$H$102,5,FALSE)-VLOOKUP($A290,main!$A$3:$H$102,6,FALSE)&gt;=main!$D$103+VLOOKUP(VLOOKUP(BM$1,main!$A$3:$I$102,7,FALSE),main!$K$26:$Q$29,5,FALSE)),1,0)</f>
        <v>0</v>
      </c>
      <c r="BN290">
        <f>IF(AND(VLOOKUP(BN$1,main!$A$3:$H$102,7,FALSE)=main!$G$105,VLOOKUP(BN$1,main!$A$3:$H$102,5,FALSE)-VLOOKUP($A290,main!$A$3:$H$102,6,FALSE)&gt;=main!$D$103+VLOOKUP(VLOOKUP(BN$1,main!$A$3:$I$102,7,FALSE),main!$K$26:$Q$29,5,FALSE)),1,0)</f>
        <v>0</v>
      </c>
      <c r="BO290">
        <f>IF(AND(VLOOKUP(BO$1,main!$A$3:$H$102,7,FALSE)=main!$G$105,VLOOKUP(BO$1,main!$A$3:$H$102,5,FALSE)-VLOOKUP($A290,main!$A$3:$H$102,6,FALSE)&gt;=main!$D$103+VLOOKUP(VLOOKUP(BO$1,main!$A$3:$I$102,7,FALSE),main!$K$26:$Q$29,5,FALSE)),1,0)</f>
        <v>0</v>
      </c>
      <c r="BP290">
        <f>IF(AND(VLOOKUP(BP$1,main!$A$3:$H$102,7,FALSE)=main!$G$105,VLOOKUP(BP$1,main!$A$3:$H$102,5,FALSE)-VLOOKUP($A290,main!$A$3:$H$102,6,FALSE)&gt;=main!$D$103+VLOOKUP(VLOOKUP(BP$1,main!$A$3:$I$102,7,FALSE),main!$K$26:$Q$29,5,FALSE)),1,0)</f>
        <v>0</v>
      </c>
      <c r="BQ290">
        <f>IF(AND(VLOOKUP(BQ$1,main!$A$3:$H$102,7,FALSE)=main!$G$105,VLOOKUP(BQ$1,main!$A$3:$H$102,5,FALSE)-VLOOKUP($A290,main!$A$3:$H$102,6,FALSE)&gt;=main!$D$103+VLOOKUP(VLOOKUP(BQ$1,main!$A$3:$I$102,7,FALSE),main!$K$26:$Q$29,5,FALSE)),1,0)</f>
        <v>0</v>
      </c>
      <c r="BR290">
        <f>IF(AND(VLOOKUP(BR$1,main!$A$3:$H$102,7,FALSE)=main!$G$105,VLOOKUP(BR$1,main!$A$3:$H$102,5,FALSE)-VLOOKUP($A290,main!$A$3:$H$102,6,FALSE)&gt;=main!$D$103+VLOOKUP(VLOOKUP(BR$1,main!$A$3:$I$102,7,FALSE),main!$K$26:$Q$29,5,FALSE)),1,0)</f>
        <v>0</v>
      </c>
      <c r="BS290">
        <f>IF(AND(VLOOKUP(BS$1,main!$A$3:$H$102,7,FALSE)=main!$G$105,VLOOKUP(BS$1,main!$A$3:$H$102,5,FALSE)-VLOOKUP($A290,main!$A$3:$H$102,6,FALSE)&gt;=main!$D$103+VLOOKUP(VLOOKUP(BS$1,main!$A$3:$I$102,7,FALSE),main!$K$26:$Q$29,5,FALSE)),1,0)</f>
        <v>0</v>
      </c>
      <c r="BT290">
        <f>IF(AND(VLOOKUP(BT$1,main!$A$3:$H$102,7,FALSE)=main!$G$105,VLOOKUP(BT$1,main!$A$3:$H$102,5,FALSE)-VLOOKUP($A290,main!$A$3:$H$102,6,FALSE)&gt;=main!$D$103+VLOOKUP(VLOOKUP(BT$1,main!$A$3:$I$102,7,FALSE),main!$K$26:$Q$29,5,FALSE)),1,0)</f>
        <v>0</v>
      </c>
      <c r="BU290">
        <f>IF(AND(VLOOKUP(BU$1,main!$A$3:$H$102,7,FALSE)=main!$G$105,VLOOKUP(BU$1,main!$A$3:$H$102,5,FALSE)-VLOOKUP($A290,main!$A$3:$H$102,6,FALSE)&gt;=main!$D$103+VLOOKUP(VLOOKUP(BU$1,main!$A$3:$I$102,7,FALSE),main!$K$26:$Q$29,5,FALSE)),1,0)</f>
        <v>0</v>
      </c>
      <c r="BV290">
        <f>IF(AND(VLOOKUP(BV$1,main!$A$3:$H$102,7,FALSE)=main!$G$105,VLOOKUP(BV$1,main!$A$3:$H$102,5,FALSE)-VLOOKUP($A290,main!$A$3:$H$102,6,FALSE)&gt;=main!$D$103+VLOOKUP(VLOOKUP(BV$1,main!$A$3:$I$102,7,FALSE),main!$K$26:$Q$29,5,FALSE)),1,0)</f>
        <v>0</v>
      </c>
      <c r="BW290">
        <f>IF(AND(VLOOKUP(BW$1,main!$A$3:$H$102,7,FALSE)=main!$G$105,VLOOKUP(BW$1,main!$A$3:$H$102,5,FALSE)-VLOOKUP($A290,main!$A$3:$H$102,6,FALSE)&gt;=main!$D$103+VLOOKUP(VLOOKUP(BW$1,main!$A$3:$I$102,7,FALSE),main!$K$26:$Q$29,5,FALSE)),1,0)</f>
        <v>0</v>
      </c>
      <c r="BX290">
        <f>IF(AND(VLOOKUP(BX$1,main!$A$3:$H$102,7,FALSE)=main!$G$105,VLOOKUP(BX$1,main!$A$3:$H$102,5,FALSE)-VLOOKUP($A290,main!$A$3:$H$102,6,FALSE)&gt;=main!$D$103+VLOOKUP(VLOOKUP(BX$1,main!$A$3:$I$102,7,FALSE),main!$K$26:$Q$29,5,FALSE)),1,0)</f>
        <v>0</v>
      </c>
      <c r="BY290">
        <f>IF(AND(VLOOKUP(BY$1,main!$A$3:$H$102,7,FALSE)=main!$G$105,VLOOKUP(BY$1,main!$A$3:$H$102,5,FALSE)-VLOOKUP($A290,main!$A$3:$H$102,6,FALSE)&gt;=main!$D$103+VLOOKUP(VLOOKUP(BY$1,main!$A$3:$I$102,7,FALSE),main!$K$26:$Q$29,5,FALSE)),1,0)</f>
        <v>0</v>
      </c>
      <c r="BZ290">
        <f>IF(AND(VLOOKUP(BZ$1,main!$A$3:$H$102,7,FALSE)=main!$G$105,VLOOKUP(BZ$1,main!$A$3:$H$102,5,FALSE)-VLOOKUP($A290,main!$A$3:$H$102,6,FALSE)&gt;=main!$D$103+VLOOKUP(VLOOKUP(BZ$1,main!$A$3:$I$102,7,FALSE),main!$K$26:$Q$29,5,FALSE)),1,0)</f>
        <v>0</v>
      </c>
      <c r="CA290">
        <f>IF(AND(VLOOKUP(CA$1,main!$A$3:$H$102,7,FALSE)=main!$G$105,VLOOKUP(CA$1,main!$A$3:$H$102,5,FALSE)-VLOOKUP($A290,main!$A$3:$H$102,6,FALSE)&gt;=main!$D$103+VLOOKUP(VLOOKUP(CA$1,main!$A$3:$I$102,7,FALSE),main!$K$26:$Q$29,5,FALSE)),1,0)</f>
        <v>0</v>
      </c>
      <c r="CB290">
        <f>IF(AND(VLOOKUP(CB$1,main!$A$3:$H$102,7,FALSE)=main!$G$105,VLOOKUP(CB$1,main!$A$3:$H$102,5,FALSE)-VLOOKUP($A290,main!$A$3:$H$102,6,FALSE)&gt;=main!$D$103+VLOOKUP(VLOOKUP(CB$1,main!$A$3:$I$102,7,FALSE),main!$K$26:$Q$29,5,FALSE)),1,0)</f>
        <v>0</v>
      </c>
      <c r="CC290">
        <f>IF(AND(VLOOKUP(CC$1,main!$A$3:$H$102,7,FALSE)=main!$G$105,VLOOKUP(CC$1,main!$A$3:$H$102,5,FALSE)-VLOOKUP($A290,main!$A$3:$H$102,6,FALSE)&gt;=main!$D$103+VLOOKUP(VLOOKUP(CC$1,main!$A$3:$I$102,7,FALSE),main!$K$26:$Q$29,5,FALSE)),1,0)</f>
        <v>0</v>
      </c>
      <c r="CD290">
        <f>IF(AND(VLOOKUP(CD$1,main!$A$3:$H$102,7,FALSE)=main!$G$105,VLOOKUP(CD$1,main!$A$3:$H$102,5,FALSE)-VLOOKUP($A290,main!$A$3:$H$102,6,FALSE)&gt;=main!$D$103+VLOOKUP(VLOOKUP(CD$1,main!$A$3:$I$102,7,FALSE),main!$K$26:$Q$29,5,FALSE)),1,0)</f>
        <v>0</v>
      </c>
      <c r="CE290">
        <f>IF(AND(VLOOKUP(CE$1,main!$A$3:$H$102,7,FALSE)=main!$G$105,VLOOKUP(CE$1,main!$A$3:$H$102,5,FALSE)-VLOOKUP($A290,main!$A$3:$H$102,6,FALSE)&gt;=main!$D$103+VLOOKUP(VLOOKUP(CE$1,main!$A$3:$I$102,7,FALSE),main!$K$26:$Q$29,5,FALSE)),1,0)</f>
        <v>0</v>
      </c>
      <c r="CF290">
        <f>IF(AND(VLOOKUP(CF$1,main!$A$3:$H$102,7,FALSE)=main!$G$105,VLOOKUP(CF$1,main!$A$3:$H$102,5,FALSE)-VLOOKUP($A290,main!$A$3:$H$102,6,FALSE)&gt;=main!$D$103+VLOOKUP(VLOOKUP(CF$1,main!$A$3:$I$102,7,FALSE),main!$K$26:$Q$29,5,FALSE)),1,0)</f>
        <v>0</v>
      </c>
      <c r="CG290">
        <f>IF(AND(VLOOKUP(CG$1,main!$A$3:$H$102,7,FALSE)=main!$G$105,VLOOKUP(CG$1,main!$A$3:$H$102,5,FALSE)-VLOOKUP($A290,main!$A$3:$H$102,6,FALSE)&gt;=main!$D$103+VLOOKUP(VLOOKUP(CG$1,main!$A$3:$I$102,7,FALSE),main!$K$26:$Q$29,5,FALSE)),1,0)</f>
        <v>0</v>
      </c>
      <c r="CH290">
        <f>IF(AND(VLOOKUP(CH$1,main!$A$3:$H$102,7,FALSE)=main!$G$105,VLOOKUP(CH$1,main!$A$3:$H$102,5,FALSE)-VLOOKUP($A290,main!$A$3:$H$102,6,FALSE)&gt;=main!$D$103+VLOOKUP(VLOOKUP(CH$1,main!$A$3:$I$102,7,FALSE),main!$K$26:$Q$29,5,FALSE)),1,0)</f>
        <v>0</v>
      </c>
      <c r="CI290">
        <f>IF(AND(VLOOKUP(CI$1,main!$A$3:$H$102,7,FALSE)=main!$G$105,VLOOKUP(CI$1,main!$A$3:$H$102,5,FALSE)-VLOOKUP($A290,main!$A$3:$H$102,6,FALSE)&gt;=main!$D$103+VLOOKUP(VLOOKUP(CI$1,main!$A$3:$I$102,7,FALSE),main!$K$26:$Q$29,5,FALSE)),1,0)</f>
        <v>0</v>
      </c>
      <c r="CJ290">
        <f>IF(AND(VLOOKUP(CJ$1,main!$A$3:$H$102,7,FALSE)=main!$G$105,VLOOKUP(CJ$1,main!$A$3:$H$102,5,FALSE)-VLOOKUP($A290,main!$A$3:$H$102,6,FALSE)&gt;=main!$D$103+VLOOKUP(VLOOKUP(CJ$1,main!$A$3:$I$102,7,FALSE),main!$K$26:$Q$29,5,FALSE)),1,0)</f>
        <v>0</v>
      </c>
      <c r="CK290">
        <f>IF(AND(VLOOKUP(CK$1,main!$A$3:$H$102,7,FALSE)=main!$G$105,VLOOKUP(CK$1,main!$A$3:$H$102,5,FALSE)-VLOOKUP($A290,main!$A$3:$H$102,6,FALSE)&gt;=main!$D$103+VLOOKUP(VLOOKUP(CK$1,main!$A$3:$I$102,7,FALSE),main!$K$26:$Q$29,5,FALSE)),1,0)</f>
        <v>0</v>
      </c>
      <c r="CL290">
        <f>IF(AND(VLOOKUP(CL$1,main!$A$3:$H$102,7,FALSE)=main!$G$105,VLOOKUP(CL$1,main!$A$3:$H$102,5,FALSE)-VLOOKUP($A290,main!$A$3:$H$102,6,FALSE)&gt;=main!$D$103+VLOOKUP(VLOOKUP(CL$1,main!$A$3:$I$102,7,FALSE),main!$K$26:$Q$29,5,FALSE)),1,0)</f>
        <v>0</v>
      </c>
      <c r="CM290">
        <f>IF(AND(VLOOKUP(CM$1,main!$A$3:$H$102,7,FALSE)=main!$G$105,VLOOKUP(CM$1,main!$A$3:$H$102,5,FALSE)-VLOOKUP($A290,main!$A$3:$H$102,6,FALSE)&gt;=main!$D$103+VLOOKUP(VLOOKUP(CM$1,main!$A$3:$I$102,7,FALSE),main!$K$26:$Q$29,5,FALSE)),1,0)</f>
        <v>0</v>
      </c>
      <c r="CN290">
        <f>IF(AND(VLOOKUP(CN$1,main!$A$3:$H$102,7,FALSE)=main!$G$105,VLOOKUP(CN$1,main!$A$3:$H$102,5,FALSE)-VLOOKUP($A290,main!$A$3:$H$102,6,FALSE)&gt;=main!$D$103+VLOOKUP(VLOOKUP(CN$1,main!$A$3:$I$102,7,FALSE),main!$K$26:$Q$29,5,FALSE)),1,0)</f>
        <v>0</v>
      </c>
      <c r="CO290">
        <f>IF(AND(VLOOKUP(CO$1,main!$A$3:$H$102,7,FALSE)=main!$G$105,VLOOKUP(CO$1,main!$A$3:$H$102,5,FALSE)-VLOOKUP($A290,main!$A$3:$H$102,6,FALSE)&gt;=main!$D$103+VLOOKUP(VLOOKUP(CO$1,main!$A$3:$I$102,7,FALSE),main!$K$26:$Q$29,5,FALSE)),1,0)</f>
        <v>0</v>
      </c>
      <c r="CP290">
        <f>IF(AND(VLOOKUP(CP$1,main!$A$3:$H$102,7,FALSE)=main!$G$105,VLOOKUP(CP$1,main!$A$3:$H$102,5,FALSE)-VLOOKUP($A290,main!$A$3:$H$102,6,FALSE)&gt;=main!$D$103+VLOOKUP(VLOOKUP(CP$1,main!$A$3:$I$102,7,FALSE),main!$K$26:$Q$29,5,FALSE)),1,0)</f>
        <v>0</v>
      </c>
      <c r="CQ290">
        <f>IF(AND(VLOOKUP(CQ$1,main!$A$3:$H$102,7,FALSE)=main!$G$105,VLOOKUP(CQ$1,main!$A$3:$H$102,5,FALSE)-VLOOKUP($A290,main!$A$3:$H$102,6,FALSE)&gt;=main!$D$103+VLOOKUP(VLOOKUP(CQ$1,main!$A$3:$I$102,7,FALSE),main!$K$26:$Q$29,5,FALSE)),1,0)</f>
        <v>0</v>
      </c>
      <c r="CR290">
        <f>IF(AND(VLOOKUP(CR$1,main!$A$3:$H$102,7,FALSE)=main!$G$105,VLOOKUP(CR$1,main!$A$3:$H$102,5,FALSE)-VLOOKUP($A290,main!$A$3:$H$102,6,FALSE)&gt;=main!$D$103+VLOOKUP(VLOOKUP(CR$1,main!$A$3:$I$102,7,FALSE),main!$K$26:$Q$29,5,FALSE)),1,0)</f>
        <v>0</v>
      </c>
      <c r="CS290">
        <f>IF(AND(VLOOKUP(CS$1,main!$A$3:$H$102,7,FALSE)=main!$G$105,VLOOKUP(CS$1,main!$A$3:$H$102,5,FALSE)-VLOOKUP($A290,main!$A$3:$H$102,6,FALSE)&gt;=main!$D$103+VLOOKUP(VLOOKUP(CS$1,main!$A$3:$I$102,7,FALSE),main!$K$26:$Q$29,5,FALSE)),1,0)</f>
        <v>0</v>
      </c>
      <c r="CT290">
        <f>IF(AND(VLOOKUP(CT$1,main!$A$3:$H$102,7,FALSE)=main!$G$105,VLOOKUP(CT$1,main!$A$3:$H$102,5,FALSE)-VLOOKUP($A290,main!$A$3:$H$102,6,FALSE)&gt;=main!$D$103+VLOOKUP(VLOOKUP(CT$1,main!$A$3:$I$102,7,FALSE),main!$K$26:$Q$29,5,FALSE)),1,0)</f>
        <v>0</v>
      </c>
      <c r="CU290">
        <f>IF(AND(VLOOKUP(CU$1,main!$A$3:$H$102,7,FALSE)=main!$G$105,VLOOKUP(CU$1,main!$A$3:$H$102,5,FALSE)-VLOOKUP($A290,main!$A$3:$H$102,6,FALSE)&gt;=main!$D$103+VLOOKUP(VLOOKUP(CU$1,main!$A$3:$I$102,7,FALSE),main!$K$26:$Q$29,5,FALSE)),1,0)</f>
        <v>0</v>
      </c>
      <c r="CV290">
        <f>IF(AND(VLOOKUP(CV$1,main!$A$3:$H$102,7,FALSE)=main!$G$105,VLOOKUP(CV$1,main!$A$3:$H$102,5,FALSE)-VLOOKUP($A290,main!$A$3:$H$102,6,FALSE)&gt;=main!$D$103+VLOOKUP(VLOOKUP(CV$1,main!$A$3:$I$102,7,FALSE),main!$K$26:$Q$29,5,FALSE)),1,0)</f>
        <v>0</v>
      </c>
      <c r="CW290">
        <f>IF(AND(VLOOKUP(CW$1,main!$A$3:$H$102,7,FALSE)=main!$G$105,VLOOKUP(CW$1,main!$A$3:$H$102,5,FALSE)-VLOOKUP($A290,main!$A$3:$H$102,6,FALSE)&gt;=main!$D$103+VLOOKUP(VLOOKUP(CW$1,main!$A$3:$I$102,7,FALSE),main!$K$26:$Q$29,5,FALSE)),1,0)</f>
        <v>0</v>
      </c>
      <c r="CX290">
        <f>IF(AND(VLOOKUP(CX$1,main!$A$3:$H$102,7,FALSE)=main!$G$105,VLOOKUP(CX$1,main!$A$3:$H$102,5,FALSE)-VLOOKUP($A290,main!$A$3:$H$102,6,FALSE)&gt;=main!$D$103+VLOOKUP(VLOOKUP(CX$1,main!$A$3:$I$102,7,FALSE),main!$K$26:$Q$29,5,FALSE)),1,0)</f>
        <v>0</v>
      </c>
    </row>
    <row r="291" spans="1:102" x14ac:dyDescent="0.25">
      <c r="A291" s="1">
        <v>87</v>
      </c>
      <c r="B291">
        <v>0</v>
      </c>
      <c r="C291">
        <f>IF(AND(VLOOKUP(C$1,main!$A$3:$H$102,7,FALSE)=main!$G$105,VLOOKUP(C$1,main!$A$3:$H$102,5,FALSE)-VLOOKUP($A291,main!$A$3:$H$102,6,FALSE)&gt;=main!$D$103+VLOOKUP(VLOOKUP(C$1,main!$A$3:$I$102,7,FALSE),main!$K$26:$Q$29,5,FALSE)),1,0)</f>
        <v>0</v>
      </c>
      <c r="D291">
        <f>IF(AND(VLOOKUP(D$1,main!$A$3:$H$102,7,FALSE)=main!$G$105,VLOOKUP(D$1,main!$A$3:$H$102,5,FALSE)-VLOOKUP($A291,main!$A$3:$H$102,6,FALSE)&gt;=main!$D$103+VLOOKUP(VLOOKUP(D$1,main!$A$3:$I$102,7,FALSE),main!$K$26:$Q$29,5,FALSE)),1,0)</f>
        <v>0</v>
      </c>
      <c r="E291">
        <f>IF(AND(VLOOKUP(E$1,main!$A$3:$H$102,7,FALSE)=main!$G$105,VLOOKUP(E$1,main!$A$3:$H$102,5,FALSE)-VLOOKUP($A291,main!$A$3:$H$102,6,FALSE)&gt;=main!$D$103+VLOOKUP(VLOOKUP(E$1,main!$A$3:$I$102,7,FALSE),main!$K$26:$Q$29,5,FALSE)),1,0)</f>
        <v>0</v>
      </c>
      <c r="F291">
        <f>IF(AND(VLOOKUP(F$1,main!$A$3:$H$102,7,FALSE)=main!$G$105,VLOOKUP(F$1,main!$A$3:$H$102,5,FALSE)-VLOOKUP($A291,main!$A$3:$H$102,6,FALSE)&gt;=main!$D$103+VLOOKUP(VLOOKUP(F$1,main!$A$3:$I$102,7,FALSE),main!$K$26:$Q$29,5,FALSE)),1,0)</f>
        <v>0</v>
      </c>
      <c r="G291">
        <f>IF(AND(VLOOKUP(G$1,main!$A$3:$H$102,7,FALSE)=main!$G$105,VLOOKUP(G$1,main!$A$3:$H$102,5,FALSE)-VLOOKUP($A291,main!$A$3:$H$102,6,FALSE)&gt;=main!$D$103+VLOOKUP(VLOOKUP(G$1,main!$A$3:$I$102,7,FALSE),main!$K$26:$Q$29,5,FALSE)),1,0)</f>
        <v>0</v>
      </c>
      <c r="H291">
        <f>IF(AND(VLOOKUP(H$1,main!$A$3:$H$102,7,FALSE)=main!$G$105,VLOOKUP(H$1,main!$A$3:$H$102,5,FALSE)-VLOOKUP($A291,main!$A$3:$H$102,6,FALSE)&gt;=main!$D$103+VLOOKUP(VLOOKUP(H$1,main!$A$3:$I$102,7,FALSE),main!$K$26:$Q$29,5,FALSE)),1,0)</f>
        <v>0</v>
      </c>
      <c r="I291">
        <f>IF(AND(VLOOKUP(I$1,main!$A$3:$H$102,7,FALSE)=main!$G$105,VLOOKUP(I$1,main!$A$3:$H$102,5,FALSE)-VLOOKUP($A291,main!$A$3:$H$102,6,FALSE)&gt;=main!$D$103+VLOOKUP(VLOOKUP(I$1,main!$A$3:$I$102,7,FALSE),main!$K$26:$Q$29,5,FALSE)),1,0)</f>
        <v>0</v>
      </c>
      <c r="J291">
        <f>IF(AND(VLOOKUP(J$1,main!$A$3:$H$102,7,FALSE)=main!$G$105,VLOOKUP(J$1,main!$A$3:$H$102,5,FALSE)-VLOOKUP($A291,main!$A$3:$H$102,6,FALSE)&gt;=main!$D$103+VLOOKUP(VLOOKUP(J$1,main!$A$3:$I$102,7,FALSE),main!$K$26:$Q$29,5,FALSE)),1,0)</f>
        <v>0</v>
      </c>
      <c r="K291">
        <f>IF(AND(VLOOKUP(K$1,main!$A$3:$H$102,7,FALSE)=main!$G$105,VLOOKUP(K$1,main!$A$3:$H$102,5,FALSE)-VLOOKUP($A291,main!$A$3:$H$102,6,FALSE)&gt;=main!$D$103+VLOOKUP(VLOOKUP(K$1,main!$A$3:$I$102,7,FALSE),main!$K$26:$Q$29,5,FALSE)),1,0)</f>
        <v>0</v>
      </c>
      <c r="L291">
        <f>IF(AND(VLOOKUP(L$1,main!$A$3:$H$102,7,FALSE)=main!$G$105,VLOOKUP(L$1,main!$A$3:$H$102,5,FALSE)-VLOOKUP($A291,main!$A$3:$H$102,6,FALSE)&gt;=main!$D$103+VLOOKUP(VLOOKUP(L$1,main!$A$3:$I$102,7,FALSE),main!$K$26:$Q$29,5,FALSE)),1,0)</f>
        <v>0</v>
      </c>
      <c r="M291">
        <f>IF(AND(VLOOKUP(M$1,main!$A$3:$H$102,7,FALSE)=main!$G$105,VLOOKUP(M$1,main!$A$3:$H$102,5,FALSE)-VLOOKUP($A291,main!$A$3:$H$102,6,FALSE)&gt;=main!$D$103+VLOOKUP(VLOOKUP(M$1,main!$A$3:$I$102,7,FALSE),main!$K$26:$Q$29,5,FALSE)),1,0)</f>
        <v>0</v>
      </c>
      <c r="N291">
        <f>IF(AND(VLOOKUP(N$1,main!$A$3:$H$102,7,FALSE)=main!$G$105,VLOOKUP(N$1,main!$A$3:$H$102,5,FALSE)-VLOOKUP($A291,main!$A$3:$H$102,6,FALSE)&gt;=main!$D$103+VLOOKUP(VLOOKUP(N$1,main!$A$3:$I$102,7,FALSE),main!$K$26:$Q$29,5,FALSE)),1,0)</f>
        <v>0</v>
      </c>
      <c r="O291">
        <f>IF(AND(VLOOKUP(O$1,main!$A$3:$H$102,7,FALSE)=main!$G$105,VLOOKUP(O$1,main!$A$3:$H$102,5,FALSE)-VLOOKUP($A291,main!$A$3:$H$102,6,FALSE)&gt;=main!$D$103+VLOOKUP(VLOOKUP(O$1,main!$A$3:$I$102,7,FALSE),main!$K$26:$Q$29,5,FALSE)),1,0)</f>
        <v>0</v>
      </c>
      <c r="P291">
        <f>IF(AND(VLOOKUP(P$1,main!$A$3:$H$102,7,FALSE)=main!$G$105,VLOOKUP(P$1,main!$A$3:$H$102,5,FALSE)-VLOOKUP($A291,main!$A$3:$H$102,6,FALSE)&gt;=main!$D$103+VLOOKUP(VLOOKUP(P$1,main!$A$3:$I$102,7,FALSE),main!$K$26:$Q$29,5,FALSE)),1,0)</f>
        <v>0</v>
      </c>
      <c r="Q291">
        <f>IF(AND(VLOOKUP(Q$1,main!$A$3:$H$102,7,FALSE)=main!$G$105,VLOOKUP(Q$1,main!$A$3:$H$102,5,FALSE)-VLOOKUP($A291,main!$A$3:$H$102,6,FALSE)&gt;=main!$D$103+VLOOKUP(VLOOKUP(Q$1,main!$A$3:$I$102,7,FALSE),main!$K$26:$Q$29,5,FALSE)),1,0)</f>
        <v>0</v>
      </c>
      <c r="R291">
        <f>IF(AND(VLOOKUP(R$1,main!$A$3:$H$102,7,FALSE)=main!$G$105,VLOOKUP(R$1,main!$A$3:$H$102,5,FALSE)-VLOOKUP($A291,main!$A$3:$H$102,6,FALSE)&gt;=main!$D$103+VLOOKUP(VLOOKUP(R$1,main!$A$3:$I$102,7,FALSE),main!$K$26:$Q$29,5,FALSE)),1,0)</f>
        <v>0</v>
      </c>
      <c r="S291">
        <f>IF(AND(VLOOKUP(S$1,main!$A$3:$H$102,7,FALSE)=main!$G$105,VLOOKUP(S$1,main!$A$3:$H$102,5,FALSE)-VLOOKUP($A291,main!$A$3:$H$102,6,FALSE)&gt;=main!$D$103+VLOOKUP(VLOOKUP(S$1,main!$A$3:$I$102,7,FALSE),main!$K$26:$Q$29,5,FALSE)),1,0)</f>
        <v>0</v>
      </c>
      <c r="T291">
        <f>IF(AND(VLOOKUP(T$1,main!$A$3:$H$102,7,FALSE)=main!$G$105,VLOOKUP(T$1,main!$A$3:$H$102,5,FALSE)-VLOOKUP($A291,main!$A$3:$H$102,6,FALSE)&gt;=main!$D$103+VLOOKUP(VLOOKUP(T$1,main!$A$3:$I$102,7,FALSE),main!$K$26:$Q$29,5,FALSE)),1,0)</f>
        <v>0</v>
      </c>
      <c r="U291">
        <f>IF(AND(VLOOKUP(U$1,main!$A$3:$H$102,7,FALSE)=main!$G$105,VLOOKUP(U$1,main!$A$3:$H$102,5,FALSE)-VLOOKUP($A291,main!$A$3:$H$102,6,FALSE)&gt;=main!$D$103+VLOOKUP(VLOOKUP(U$1,main!$A$3:$I$102,7,FALSE),main!$K$26:$Q$29,5,FALSE)),1,0)</f>
        <v>0</v>
      </c>
      <c r="V291">
        <f>IF(AND(VLOOKUP(V$1,main!$A$3:$H$102,7,FALSE)=main!$G$105,VLOOKUP(V$1,main!$A$3:$H$102,5,FALSE)-VLOOKUP($A291,main!$A$3:$H$102,6,FALSE)&gt;=main!$D$103+VLOOKUP(VLOOKUP(V$1,main!$A$3:$I$102,7,FALSE),main!$K$26:$Q$29,5,FALSE)),1,0)</f>
        <v>0</v>
      </c>
      <c r="W291">
        <f>IF(AND(VLOOKUP(W$1,main!$A$3:$H$102,7,FALSE)=main!$G$105,VLOOKUP(W$1,main!$A$3:$H$102,5,FALSE)-VLOOKUP($A291,main!$A$3:$H$102,6,FALSE)&gt;=main!$D$103+VLOOKUP(VLOOKUP(W$1,main!$A$3:$I$102,7,FALSE),main!$K$26:$Q$29,5,FALSE)),1,0)</f>
        <v>0</v>
      </c>
      <c r="X291">
        <f>IF(AND(VLOOKUP(X$1,main!$A$3:$H$102,7,FALSE)=main!$G$105,VLOOKUP(X$1,main!$A$3:$H$102,5,FALSE)-VLOOKUP($A291,main!$A$3:$H$102,6,FALSE)&gt;=main!$D$103+VLOOKUP(VLOOKUP(X$1,main!$A$3:$I$102,7,FALSE),main!$K$26:$Q$29,5,FALSE)),1,0)</f>
        <v>0</v>
      </c>
      <c r="Y291">
        <f>IF(AND(VLOOKUP(Y$1,main!$A$3:$H$102,7,FALSE)=main!$G$105,VLOOKUP(Y$1,main!$A$3:$H$102,5,FALSE)-VLOOKUP($A291,main!$A$3:$H$102,6,FALSE)&gt;=main!$D$103+VLOOKUP(VLOOKUP(Y$1,main!$A$3:$I$102,7,FALSE),main!$K$26:$Q$29,5,FALSE)),1,0)</f>
        <v>0</v>
      </c>
      <c r="Z291">
        <f>IF(AND(VLOOKUP(Z$1,main!$A$3:$H$102,7,FALSE)=main!$G$105,VLOOKUP(Z$1,main!$A$3:$H$102,5,FALSE)-VLOOKUP($A291,main!$A$3:$H$102,6,FALSE)&gt;=main!$D$103+VLOOKUP(VLOOKUP(Z$1,main!$A$3:$I$102,7,FALSE),main!$K$26:$Q$29,5,FALSE)),1,0)</f>
        <v>0</v>
      </c>
      <c r="AA291">
        <f>IF(AND(VLOOKUP(AA$1,main!$A$3:$H$102,7,FALSE)=main!$G$105,VLOOKUP(AA$1,main!$A$3:$H$102,5,FALSE)-VLOOKUP($A291,main!$A$3:$H$102,6,FALSE)&gt;=main!$D$103+VLOOKUP(VLOOKUP(AA$1,main!$A$3:$I$102,7,FALSE),main!$K$26:$Q$29,5,FALSE)),1,0)</f>
        <v>0</v>
      </c>
      <c r="AB291">
        <f>IF(AND(VLOOKUP(AB$1,main!$A$3:$H$102,7,FALSE)=main!$G$105,VLOOKUP(AB$1,main!$A$3:$H$102,5,FALSE)-VLOOKUP($A291,main!$A$3:$H$102,6,FALSE)&gt;=main!$D$103+VLOOKUP(VLOOKUP(AB$1,main!$A$3:$I$102,7,FALSE),main!$K$26:$Q$29,5,FALSE)),1,0)</f>
        <v>0</v>
      </c>
      <c r="AC291">
        <f>IF(AND(VLOOKUP(AC$1,main!$A$3:$H$102,7,FALSE)=main!$G$105,VLOOKUP(AC$1,main!$A$3:$H$102,5,FALSE)-VLOOKUP($A291,main!$A$3:$H$102,6,FALSE)&gt;=main!$D$103+VLOOKUP(VLOOKUP(AC$1,main!$A$3:$I$102,7,FALSE),main!$K$26:$Q$29,5,FALSE)),1,0)</f>
        <v>0</v>
      </c>
      <c r="AD291">
        <f>IF(AND(VLOOKUP(AD$1,main!$A$3:$H$102,7,FALSE)=main!$G$105,VLOOKUP(AD$1,main!$A$3:$H$102,5,FALSE)-VLOOKUP($A291,main!$A$3:$H$102,6,FALSE)&gt;=main!$D$103+VLOOKUP(VLOOKUP(AD$1,main!$A$3:$I$102,7,FALSE),main!$K$26:$Q$29,5,FALSE)),1,0)</f>
        <v>0</v>
      </c>
      <c r="AE291">
        <f>IF(AND(VLOOKUP(AE$1,main!$A$3:$H$102,7,FALSE)=main!$G$105,VLOOKUP(AE$1,main!$A$3:$H$102,5,FALSE)-VLOOKUP($A291,main!$A$3:$H$102,6,FALSE)&gt;=main!$D$103+VLOOKUP(VLOOKUP(AE$1,main!$A$3:$I$102,7,FALSE),main!$K$26:$Q$29,5,FALSE)),1,0)</f>
        <v>0</v>
      </c>
      <c r="AF291">
        <f>IF(AND(VLOOKUP(AF$1,main!$A$3:$H$102,7,FALSE)=main!$G$105,VLOOKUP(AF$1,main!$A$3:$H$102,5,FALSE)-VLOOKUP($A291,main!$A$3:$H$102,6,FALSE)&gt;=main!$D$103+VLOOKUP(VLOOKUP(AF$1,main!$A$3:$I$102,7,FALSE),main!$K$26:$Q$29,5,FALSE)),1,0)</f>
        <v>0</v>
      </c>
      <c r="AG291">
        <f>IF(AND(VLOOKUP(AG$1,main!$A$3:$H$102,7,FALSE)=main!$G$105,VLOOKUP(AG$1,main!$A$3:$H$102,5,FALSE)-VLOOKUP($A291,main!$A$3:$H$102,6,FALSE)&gt;=main!$D$103+VLOOKUP(VLOOKUP(AG$1,main!$A$3:$I$102,7,FALSE),main!$K$26:$Q$29,5,FALSE)),1,0)</f>
        <v>0</v>
      </c>
      <c r="AH291">
        <f>IF(AND(VLOOKUP(AH$1,main!$A$3:$H$102,7,FALSE)=main!$G$105,VLOOKUP(AH$1,main!$A$3:$H$102,5,FALSE)-VLOOKUP($A291,main!$A$3:$H$102,6,FALSE)&gt;=main!$D$103+VLOOKUP(VLOOKUP(AH$1,main!$A$3:$I$102,7,FALSE),main!$K$26:$Q$29,5,FALSE)),1,0)</f>
        <v>0</v>
      </c>
      <c r="AI291">
        <f>IF(AND(VLOOKUP(AI$1,main!$A$3:$H$102,7,FALSE)=main!$G$105,VLOOKUP(AI$1,main!$A$3:$H$102,5,FALSE)-VLOOKUP($A291,main!$A$3:$H$102,6,FALSE)&gt;=main!$D$103+VLOOKUP(VLOOKUP(AI$1,main!$A$3:$I$102,7,FALSE),main!$K$26:$Q$29,5,FALSE)),1,0)</f>
        <v>0</v>
      </c>
      <c r="AJ291">
        <f>IF(AND(VLOOKUP(AJ$1,main!$A$3:$H$102,7,FALSE)=main!$G$105,VLOOKUP(AJ$1,main!$A$3:$H$102,5,FALSE)-VLOOKUP($A291,main!$A$3:$H$102,6,FALSE)&gt;=main!$D$103+VLOOKUP(VLOOKUP(AJ$1,main!$A$3:$I$102,7,FALSE),main!$K$26:$Q$29,5,FALSE)),1,0)</f>
        <v>0</v>
      </c>
      <c r="AK291">
        <f>IF(AND(VLOOKUP(AK$1,main!$A$3:$H$102,7,FALSE)=main!$G$105,VLOOKUP(AK$1,main!$A$3:$H$102,5,FALSE)-VLOOKUP($A291,main!$A$3:$H$102,6,FALSE)&gt;=main!$D$103+VLOOKUP(VLOOKUP(AK$1,main!$A$3:$I$102,7,FALSE),main!$K$26:$Q$29,5,FALSE)),1,0)</f>
        <v>1</v>
      </c>
      <c r="AL291">
        <f>IF(AND(VLOOKUP(AL$1,main!$A$3:$H$102,7,FALSE)=main!$G$105,VLOOKUP(AL$1,main!$A$3:$H$102,5,FALSE)-VLOOKUP($A291,main!$A$3:$H$102,6,FALSE)&gt;=main!$D$103+VLOOKUP(VLOOKUP(AL$1,main!$A$3:$I$102,7,FALSE),main!$K$26:$Q$29,5,FALSE)),1,0)</f>
        <v>1</v>
      </c>
      <c r="AM291">
        <f>IF(AND(VLOOKUP(AM$1,main!$A$3:$H$102,7,FALSE)=main!$G$105,VLOOKUP(AM$1,main!$A$3:$H$102,5,FALSE)-VLOOKUP($A291,main!$A$3:$H$102,6,FALSE)&gt;=main!$D$103+VLOOKUP(VLOOKUP(AM$1,main!$A$3:$I$102,7,FALSE),main!$K$26:$Q$29,5,FALSE)),1,0)</f>
        <v>1</v>
      </c>
      <c r="AN291">
        <f>IF(AND(VLOOKUP(AN$1,main!$A$3:$H$102,7,FALSE)=main!$G$105,VLOOKUP(AN$1,main!$A$3:$H$102,5,FALSE)-VLOOKUP($A291,main!$A$3:$H$102,6,FALSE)&gt;=main!$D$103+VLOOKUP(VLOOKUP(AN$1,main!$A$3:$I$102,7,FALSE),main!$K$26:$Q$29,5,FALSE)),1,0)</f>
        <v>1</v>
      </c>
      <c r="AO291">
        <f>IF(AND(VLOOKUP(AO$1,main!$A$3:$H$102,7,FALSE)=main!$G$105,VLOOKUP(AO$1,main!$A$3:$H$102,5,FALSE)-VLOOKUP($A291,main!$A$3:$H$102,6,FALSE)&gt;=main!$D$103+VLOOKUP(VLOOKUP(AO$1,main!$A$3:$I$102,7,FALSE),main!$K$26:$Q$29,5,FALSE)),1,0)</f>
        <v>0</v>
      </c>
      <c r="AP291">
        <f>IF(AND(VLOOKUP(AP$1,main!$A$3:$H$102,7,FALSE)=main!$G$105,VLOOKUP(AP$1,main!$A$3:$H$102,5,FALSE)-VLOOKUP($A291,main!$A$3:$H$102,6,FALSE)&gt;=main!$D$103+VLOOKUP(VLOOKUP(AP$1,main!$A$3:$I$102,7,FALSE),main!$K$26:$Q$29,5,FALSE)),1,0)</f>
        <v>1</v>
      </c>
      <c r="AQ291">
        <f>IF(AND(VLOOKUP(AQ$1,main!$A$3:$H$102,7,FALSE)=main!$G$105,VLOOKUP(AQ$1,main!$A$3:$H$102,5,FALSE)-VLOOKUP($A291,main!$A$3:$H$102,6,FALSE)&gt;=main!$D$103+VLOOKUP(VLOOKUP(AQ$1,main!$A$3:$I$102,7,FALSE),main!$K$26:$Q$29,5,FALSE)),1,0)</f>
        <v>0</v>
      </c>
      <c r="AR291">
        <f>IF(AND(VLOOKUP(AR$1,main!$A$3:$H$102,7,FALSE)=main!$G$105,VLOOKUP(AR$1,main!$A$3:$H$102,5,FALSE)-VLOOKUP($A291,main!$A$3:$H$102,6,FALSE)&gt;=main!$D$103+VLOOKUP(VLOOKUP(AR$1,main!$A$3:$I$102,7,FALSE),main!$K$26:$Q$29,5,FALSE)),1,0)</f>
        <v>0</v>
      </c>
      <c r="AS291">
        <f>IF(AND(VLOOKUP(AS$1,main!$A$3:$H$102,7,FALSE)=main!$G$105,VLOOKUP(AS$1,main!$A$3:$H$102,5,FALSE)-VLOOKUP($A291,main!$A$3:$H$102,6,FALSE)&gt;=main!$D$103+VLOOKUP(VLOOKUP(AS$1,main!$A$3:$I$102,7,FALSE),main!$K$26:$Q$29,5,FALSE)),1,0)</f>
        <v>0</v>
      </c>
      <c r="AT291">
        <f>IF(AND(VLOOKUP(AT$1,main!$A$3:$H$102,7,FALSE)=main!$G$105,VLOOKUP(AT$1,main!$A$3:$H$102,5,FALSE)-VLOOKUP($A291,main!$A$3:$H$102,6,FALSE)&gt;=main!$D$103+VLOOKUP(VLOOKUP(AT$1,main!$A$3:$I$102,7,FALSE),main!$K$26:$Q$29,5,FALSE)),1,0)</f>
        <v>1</v>
      </c>
      <c r="AU291">
        <f>IF(AND(VLOOKUP(AU$1,main!$A$3:$H$102,7,FALSE)=main!$G$105,VLOOKUP(AU$1,main!$A$3:$H$102,5,FALSE)-VLOOKUP($A291,main!$A$3:$H$102,6,FALSE)&gt;=main!$D$103+VLOOKUP(VLOOKUP(AU$1,main!$A$3:$I$102,7,FALSE),main!$K$26:$Q$29,5,FALSE)),1,0)</f>
        <v>0</v>
      </c>
      <c r="AV291">
        <f>IF(AND(VLOOKUP(AV$1,main!$A$3:$H$102,7,FALSE)=main!$G$105,VLOOKUP(AV$1,main!$A$3:$H$102,5,FALSE)-VLOOKUP($A291,main!$A$3:$H$102,6,FALSE)&gt;=main!$D$103+VLOOKUP(VLOOKUP(AV$1,main!$A$3:$I$102,7,FALSE),main!$K$26:$Q$29,5,FALSE)),1,0)</f>
        <v>0</v>
      </c>
      <c r="AW291">
        <f>IF(AND(VLOOKUP(AW$1,main!$A$3:$H$102,7,FALSE)=main!$G$105,VLOOKUP(AW$1,main!$A$3:$H$102,5,FALSE)-VLOOKUP($A291,main!$A$3:$H$102,6,FALSE)&gt;=main!$D$103+VLOOKUP(VLOOKUP(AW$1,main!$A$3:$I$102,7,FALSE),main!$K$26:$Q$29,5,FALSE)),1,0)</f>
        <v>1</v>
      </c>
      <c r="AX291">
        <f>IF(AND(VLOOKUP(AX$1,main!$A$3:$H$102,7,FALSE)=main!$G$105,VLOOKUP(AX$1,main!$A$3:$H$102,5,FALSE)-VLOOKUP($A291,main!$A$3:$H$102,6,FALSE)&gt;=main!$D$103+VLOOKUP(VLOOKUP(AX$1,main!$A$3:$I$102,7,FALSE),main!$K$26:$Q$29,5,FALSE)),1,0)</f>
        <v>0</v>
      </c>
      <c r="AY291">
        <f>IF(AND(VLOOKUP(AY$1,main!$A$3:$H$102,7,FALSE)=main!$G$105,VLOOKUP(AY$1,main!$A$3:$H$102,5,FALSE)-VLOOKUP($A291,main!$A$3:$H$102,6,FALSE)&gt;=main!$D$103+VLOOKUP(VLOOKUP(AY$1,main!$A$3:$I$102,7,FALSE),main!$K$26:$Q$29,5,FALSE)),1,0)</f>
        <v>0</v>
      </c>
      <c r="AZ291">
        <f>IF(AND(VLOOKUP(AZ$1,main!$A$3:$H$102,7,FALSE)=main!$G$105,VLOOKUP(AZ$1,main!$A$3:$H$102,5,FALSE)-VLOOKUP($A291,main!$A$3:$H$102,6,FALSE)&gt;=main!$D$103+VLOOKUP(VLOOKUP(AZ$1,main!$A$3:$I$102,7,FALSE),main!$K$26:$Q$29,5,FALSE)),1,0)</f>
        <v>0</v>
      </c>
      <c r="BA291">
        <f>IF(AND(VLOOKUP(BA$1,main!$A$3:$H$102,7,FALSE)=main!$G$105,VLOOKUP(BA$1,main!$A$3:$H$102,5,FALSE)-VLOOKUP($A291,main!$A$3:$H$102,6,FALSE)&gt;=main!$D$103+VLOOKUP(VLOOKUP(BA$1,main!$A$3:$I$102,7,FALSE),main!$K$26:$Q$29,5,FALSE)),1,0)</f>
        <v>0</v>
      </c>
      <c r="BB291">
        <f>IF(AND(VLOOKUP(BB$1,main!$A$3:$H$102,7,FALSE)=main!$G$105,VLOOKUP(BB$1,main!$A$3:$H$102,5,FALSE)-VLOOKUP($A291,main!$A$3:$H$102,6,FALSE)&gt;=main!$D$103+VLOOKUP(VLOOKUP(BB$1,main!$A$3:$I$102,7,FALSE),main!$K$26:$Q$29,5,FALSE)),1,0)</f>
        <v>0</v>
      </c>
      <c r="BC291">
        <f>IF(AND(VLOOKUP(BC$1,main!$A$3:$H$102,7,FALSE)=main!$G$105,VLOOKUP(BC$1,main!$A$3:$H$102,5,FALSE)-VLOOKUP($A291,main!$A$3:$H$102,6,FALSE)&gt;=main!$D$103+VLOOKUP(VLOOKUP(BC$1,main!$A$3:$I$102,7,FALSE),main!$K$26:$Q$29,5,FALSE)),1,0)</f>
        <v>0</v>
      </c>
      <c r="BD291">
        <f>IF(AND(VLOOKUP(BD$1,main!$A$3:$H$102,7,FALSE)=main!$G$105,VLOOKUP(BD$1,main!$A$3:$H$102,5,FALSE)-VLOOKUP($A291,main!$A$3:$H$102,6,FALSE)&gt;=main!$D$103+VLOOKUP(VLOOKUP(BD$1,main!$A$3:$I$102,7,FALSE),main!$K$26:$Q$29,5,FALSE)),1,0)</f>
        <v>0</v>
      </c>
      <c r="BE291">
        <f>IF(AND(VLOOKUP(BE$1,main!$A$3:$H$102,7,FALSE)=main!$G$105,VLOOKUP(BE$1,main!$A$3:$H$102,5,FALSE)-VLOOKUP($A291,main!$A$3:$H$102,6,FALSE)&gt;=main!$D$103+VLOOKUP(VLOOKUP(BE$1,main!$A$3:$I$102,7,FALSE),main!$K$26:$Q$29,5,FALSE)),1,0)</f>
        <v>0</v>
      </c>
      <c r="BF291">
        <f>IF(AND(VLOOKUP(BF$1,main!$A$3:$H$102,7,FALSE)=main!$G$105,VLOOKUP(BF$1,main!$A$3:$H$102,5,FALSE)-VLOOKUP($A291,main!$A$3:$H$102,6,FALSE)&gt;=main!$D$103+VLOOKUP(VLOOKUP(BF$1,main!$A$3:$I$102,7,FALSE),main!$K$26:$Q$29,5,FALSE)),1,0)</f>
        <v>0</v>
      </c>
      <c r="BG291">
        <f>IF(AND(VLOOKUP(BG$1,main!$A$3:$H$102,7,FALSE)=main!$G$105,VLOOKUP(BG$1,main!$A$3:$H$102,5,FALSE)-VLOOKUP($A291,main!$A$3:$H$102,6,FALSE)&gt;=main!$D$103+VLOOKUP(VLOOKUP(BG$1,main!$A$3:$I$102,7,FALSE),main!$K$26:$Q$29,5,FALSE)),1,0)</f>
        <v>0</v>
      </c>
      <c r="BH291">
        <f>IF(AND(VLOOKUP(BH$1,main!$A$3:$H$102,7,FALSE)=main!$G$105,VLOOKUP(BH$1,main!$A$3:$H$102,5,FALSE)-VLOOKUP($A291,main!$A$3:$H$102,6,FALSE)&gt;=main!$D$103+VLOOKUP(VLOOKUP(BH$1,main!$A$3:$I$102,7,FALSE),main!$K$26:$Q$29,5,FALSE)),1,0)</f>
        <v>0</v>
      </c>
      <c r="BI291">
        <f>IF(AND(VLOOKUP(BI$1,main!$A$3:$H$102,7,FALSE)=main!$G$105,VLOOKUP(BI$1,main!$A$3:$H$102,5,FALSE)-VLOOKUP($A291,main!$A$3:$H$102,6,FALSE)&gt;=main!$D$103+VLOOKUP(VLOOKUP(BI$1,main!$A$3:$I$102,7,FALSE),main!$K$26:$Q$29,5,FALSE)),1,0)</f>
        <v>0</v>
      </c>
      <c r="BJ291">
        <f>IF(AND(VLOOKUP(BJ$1,main!$A$3:$H$102,7,FALSE)=main!$G$105,VLOOKUP(BJ$1,main!$A$3:$H$102,5,FALSE)-VLOOKUP($A291,main!$A$3:$H$102,6,FALSE)&gt;=main!$D$103+VLOOKUP(VLOOKUP(BJ$1,main!$A$3:$I$102,7,FALSE),main!$K$26:$Q$29,5,FALSE)),1,0)</f>
        <v>0</v>
      </c>
      <c r="BK291">
        <f>IF(AND(VLOOKUP(BK$1,main!$A$3:$H$102,7,FALSE)=main!$G$105,VLOOKUP(BK$1,main!$A$3:$H$102,5,FALSE)-VLOOKUP($A291,main!$A$3:$H$102,6,FALSE)&gt;=main!$D$103+VLOOKUP(VLOOKUP(BK$1,main!$A$3:$I$102,7,FALSE),main!$K$26:$Q$29,5,FALSE)),1,0)</f>
        <v>0</v>
      </c>
      <c r="BL291">
        <f>IF(AND(VLOOKUP(BL$1,main!$A$3:$H$102,7,FALSE)=main!$G$105,VLOOKUP(BL$1,main!$A$3:$H$102,5,FALSE)-VLOOKUP($A291,main!$A$3:$H$102,6,FALSE)&gt;=main!$D$103+VLOOKUP(VLOOKUP(BL$1,main!$A$3:$I$102,7,FALSE),main!$K$26:$Q$29,5,FALSE)),1,0)</f>
        <v>0</v>
      </c>
      <c r="BM291">
        <f>IF(AND(VLOOKUP(BM$1,main!$A$3:$H$102,7,FALSE)=main!$G$105,VLOOKUP(BM$1,main!$A$3:$H$102,5,FALSE)-VLOOKUP($A291,main!$A$3:$H$102,6,FALSE)&gt;=main!$D$103+VLOOKUP(VLOOKUP(BM$1,main!$A$3:$I$102,7,FALSE),main!$K$26:$Q$29,5,FALSE)),1,0)</f>
        <v>0</v>
      </c>
      <c r="BN291">
        <f>IF(AND(VLOOKUP(BN$1,main!$A$3:$H$102,7,FALSE)=main!$G$105,VLOOKUP(BN$1,main!$A$3:$H$102,5,FALSE)-VLOOKUP($A291,main!$A$3:$H$102,6,FALSE)&gt;=main!$D$103+VLOOKUP(VLOOKUP(BN$1,main!$A$3:$I$102,7,FALSE),main!$K$26:$Q$29,5,FALSE)),1,0)</f>
        <v>0</v>
      </c>
      <c r="BO291">
        <f>IF(AND(VLOOKUP(BO$1,main!$A$3:$H$102,7,FALSE)=main!$G$105,VLOOKUP(BO$1,main!$A$3:$H$102,5,FALSE)-VLOOKUP($A291,main!$A$3:$H$102,6,FALSE)&gt;=main!$D$103+VLOOKUP(VLOOKUP(BO$1,main!$A$3:$I$102,7,FALSE),main!$K$26:$Q$29,5,FALSE)),1,0)</f>
        <v>0</v>
      </c>
      <c r="BP291">
        <f>IF(AND(VLOOKUP(BP$1,main!$A$3:$H$102,7,FALSE)=main!$G$105,VLOOKUP(BP$1,main!$A$3:$H$102,5,FALSE)-VLOOKUP($A291,main!$A$3:$H$102,6,FALSE)&gt;=main!$D$103+VLOOKUP(VLOOKUP(BP$1,main!$A$3:$I$102,7,FALSE),main!$K$26:$Q$29,5,FALSE)),1,0)</f>
        <v>0</v>
      </c>
      <c r="BQ291">
        <f>IF(AND(VLOOKUP(BQ$1,main!$A$3:$H$102,7,FALSE)=main!$G$105,VLOOKUP(BQ$1,main!$A$3:$H$102,5,FALSE)-VLOOKUP($A291,main!$A$3:$H$102,6,FALSE)&gt;=main!$D$103+VLOOKUP(VLOOKUP(BQ$1,main!$A$3:$I$102,7,FALSE),main!$K$26:$Q$29,5,FALSE)),1,0)</f>
        <v>0</v>
      </c>
      <c r="BR291">
        <f>IF(AND(VLOOKUP(BR$1,main!$A$3:$H$102,7,FALSE)=main!$G$105,VLOOKUP(BR$1,main!$A$3:$H$102,5,FALSE)-VLOOKUP($A291,main!$A$3:$H$102,6,FALSE)&gt;=main!$D$103+VLOOKUP(VLOOKUP(BR$1,main!$A$3:$I$102,7,FALSE),main!$K$26:$Q$29,5,FALSE)),1,0)</f>
        <v>0</v>
      </c>
      <c r="BS291">
        <f>IF(AND(VLOOKUP(BS$1,main!$A$3:$H$102,7,FALSE)=main!$G$105,VLOOKUP(BS$1,main!$A$3:$H$102,5,FALSE)-VLOOKUP($A291,main!$A$3:$H$102,6,FALSE)&gt;=main!$D$103+VLOOKUP(VLOOKUP(BS$1,main!$A$3:$I$102,7,FALSE),main!$K$26:$Q$29,5,FALSE)),1,0)</f>
        <v>0</v>
      </c>
      <c r="BT291">
        <f>IF(AND(VLOOKUP(BT$1,main!$A$3:$H$102,7,FALSE)=main!$G$105,VLOOKUP(BT$1,main!$A$3:$H$102,5,FALSE)-VLOOKUP($A291,main!$A$3:$H$102,6,FALSE)&gt;=main!$D$103+VLOOKUP(VLOOKUP(BT$1,main!$A$3:$I$102,7,FALSE),main!$K$26:$Q$29,5,FALSE)),1,0)</f>
        <v>0</v>
      </c>
      <c r="BU291">
        <f>IF(AND(VLOOKUP(BU$1,main!$A$3:$H$102,7,FALSE)=main!$G$105,VLOOKUP(BU$1,main!$A$3:$H$102,5,FALSE)-VLOOKUP($A291,main!$A$3:$H$102,6,FALSE)&gt;=main!$D$103+VLOOKUP(VLOOKUP(BU$1,main!$A$3:$I$102,7,FALSE),main!$K$26:$Q$29,5,FALSE)),1,0)</f>
        <v>0</v>
      </c>
      <c r="BV291">
        <f>IF(AND(VLOOKUP(BV$1,main!$A$3:$H$102,7,FALSE)=main!$G$105,VLOOKUP(BV$1,main!$A$3:$H$102,5,FALSE)-VLOOKUP($A291,main!$A$3:$H$102,6,FALSE)&gt;=main!$D$103+VLOOKUP(VLOOKUP(BV$1,main!$A$3:$I$102,7,FALSE),main!$K$26:$Q$29,5,FALSE)),1,0)</f>
        <v>0</v>
      </c>
      <c r="BW291">
        <f>IF(AND(VLOOKUP(BW$1,main!$A$3:$H$102,7,FALSE)=main!$G$105,VLOOKUP(BW$1,main!$A$3:$H$102,5,FALSE)-VLOOKUP($A291,main!$A$3:$H$102,6,FALSE)&gt;=main!$D$103+VLOOKUP(VLOOKUP(BW$1,main!$A$3:$I$102,7,FALSE),main!$K$26:$Q$29,5,FALSE)),1,0)</f>
        <v>0</v>
      </c>
      <c r="BX291">
        <f>IF(AND(VLOOKUP(BX$1,main!$A$3:$H$102,7,FALSE)=main!$G$105,VLOOKUP(BX$1,main!$A$3:$H$102,5,FALSE)-VLOOKUP($A291,main!$A$3:$H$102,6,FALSE)&gt;=main!$D$103+VLOOKUP(VLOOKUP(BX$1,main!$A$3:$I$102,7,FALSE),main!$K$26:$Q$29,5,FALSE)),1,0)</f>
        <v>0</v>
      </c>
      <c r="BY291">
        <f>IF(AND(VLOOKUP(BY$1,main!$A$3:$H$102,7,FALSE)=main!$G$105,VLOOKUP(BY$1,main!$A$3:$H$102,5,FALSE)-VLOOKUP($A291,main!$A$3:$H$102,6,FALSE)&gt;=main!$D$103+VLOOKUP(VLOOKUP(BY$1,main!$A$3:$I$102,7,FALSE),main!$K$26:$Q$29,5,FALSE)),1,0)</f>
        <v>0</v>
      </c>
      <c r="BZ291">
        <f>IF(AND(VLOOKUP(BZ$1,main!$A$3:$H$102,7,FALSE)=main!$G$105,VLOOKUP(BZ$1,main!$A$3:$H$102,5,FALSE)-VLOOKUP($A291,main!$A$3:$H$102,6,FALSE)&gt;=main!$D$103+VLOOKUP(VLOOKUP(BZ$1,main!$A$3:$I$102,7,FALSE),main!$K$26:$Q$29,5,FALSE)),1,0)</f>
        <v>0</v>
      </c>
      <c r="CA291">
        <f>IF(AND(VLOOKUP(CA$1,main!$A$3:$H$102,7,FALSE)=main!$G$105,VLOOKUP(CA$1,main!$A$3:$H$102,5,FALSE)-VLOOKUP($A291,main!$A$3:$H$102,6,FALSE)&gt;=main!$D$103+VLOOKUP(VLOOKUP(CA$1,main!$A$3:$I$102,7,FALSE),main!$K$26:$Q$29,5,FALSE)),1,0)</f>
        <v>0</v>
      </c>
      <c r="CB291">
        <f>IF(AND(VLOOKUP(CB$1,main!$A$3:$H$102,7,FALSE)=main!$G$105,VLOOKUP(CB$1,main!$A$3:$H$102,5,FALSE)-VLOOKUP($A291,main!$A$3:$H$102,6,FALSE)&gt;=main!$D$103+VLOOKUP(VLOOKUP(CB$1,main!$A$3:$I$102,7,FALSE),main!$K$26:$Q$29,5,FALSE)),1,0)</f>
        <v>0</v>
      </c>
      <c r="CC291">
        <f>IF(AND(VLOOKUP(CC$1,main!$A$3:$H$102,7,FALSE)=main!$G$105,VLOOKUP(CC$1,main!$A$3:$H$102,5,FALSE)-VLOOKUP($A291,main!$A$3:$H$102,6,FALSE)&gt;=main!$D$103+VLOOKUP(VLOOKUP(CC$1,main!$A$3:$I$102,7,FALSE),main!$K$26:$Q$29,5,FALSE)),1,0)</f>
        <v>0</v>
      </c>
      <c r="CD291">
        <f>IF(AND(VLOOKUP(CD$1,main!$A$3:$H$102,7,FALSE)=main!$G$105,VLOOKUP(CD$1,main!$A$3:$H$102,5,FALSE)-VLOOKUP($A291,main!$A$3:$H$102,6,FALSE)&gt;=main!$D$103+VLOOKUP(VLOOKUP(CD$1,main!$A$3:$I$102,7,FALSE),main!$K$26:$Q$29,5,FALSE)),1,0)</f>
        <v>0</v>
      </c>
      <c r="CE291">
        <f>IF(AND(VLOOKUP(CE$1,main!$A$3:$H$102,7,FALSE)=main!$G$105,VLOOKUP(CE$1,main!$A$3:$H$102,5,FALSE)-VLOOKUP($A291,main!$A$3:$H$102,6,FALSE)&gt;=main!$D$103+VLOOKUP(VLOOKUP(CE$1,main!$A$3:$I$102,7,FALSE),main!$K$26:$Q$29,5,FALSE)),1,0)</f>
        <v>0</v>
      </c>
      <c r="CF291">
        <f>IF(AND(VLOOKUP(CF$1,main!$A$3:$H$102,7,FALSE)=main!$G$105,VLOOKUP(CF$1,main!$A$3:$H$102,5,FALSE)-VLOOKUP($A291,main!$A$3:$H$102,6,FALSE)&gt;=main!$D$103+VLOOKUP(VLOOKUP(CF$1,main!$A$3:$I$102,7,FALSE),main!$K$26:$Q$29,5,FALSE)),1,0)</f>
        <v>0</v>
      </c>
      <c r="CG291">
        <f>IF(AND(VLOOKUP(CG$1,main!$A$3:$H$102,7,FALSE)=main!$G$105,VLOOKUP(CG$1,main!$A$3:$H$102,5,FALSE)-VLOOKUP($A291,main!$A$3:$H$102,6,FALSE)&gt;=main!$D$103+VLOOKUP(VLOOKUP(CG$1,main!$A$3:$I$102,7,FALSE),main!$K$26:$Q$29,5,FALSE)),1,0)</f>
        <v>0</v>
      </c>
      <c r="CH291">
        <f>IF(AND(VLOOKUP(CH$1,main!$A$3:$H$102,7,FALSE)=main!$G$105,VLOOKUP(CH$1,main!$A$3:$H$102,5,FALSE)-VLOOKUP($A291,main!$A$3:$H$102,6,FALSE)&gt;=main!$D$103+VLOOKUP(VLOOKUP(CH$1,main!$A$3:$I$102,7,FALSE),main!$K$26:$Q$29,5,FALSE)),1,0)</f>
        <v>0</v>
      </c>
      <c r="CI291">
        <f>IF(AND(VLOOKUP(CI$1,main!$A$3:$H$102,7,FALSE)=main!$G$105,VLOOKUP(CI$1,main!$A$3:$H$102,5,FALSE)-VLOOKUP($A291,main!$A$3:$H$102,6,FALSE)&gt;=main!$D$103+VLOOKUP(VLOOKUP(CI$1,main!$A$3:$I$102,7,FALSE),main!$K$26:$Q$29,5,FALSE)),1,0)</f>
        <v>0</v>
      </c>
      <c r="CJ291">
        <f>IF(AND(VLOOKUP(CJ$1,main!$A$3:$H$102,7,FALSE)=main!$G$105,VLOOKUP(CJ$1,main!$A$3:$H$102,5,FALSE)-VLOOKUP($A291,main!$A$3:$H$102,6,FALSE)&gt;=main!$D$103+VLOOKUP(VLOOKUP(CJ$1,main!$A$3:$I$102,7,FALSE),main!$K$26:$Q$29,5,FALSE)),1,0)</f>
        <v>0</v>
      </c>
      <c r="CK291">
        <f>IF(AND(VLOOKUP(CK$1,main!$A$3:$H$102,7,FALSE)=main!$G$105,VLOOKUP(CK$1,main!$A$3:$H$102,5,FALSE)-VLOOKUP($A291,main!$A$3:$H$102,6,FALSE)&gt;=main!$D$103+VLOOKUP(VLOOKUP(CK$1,main!$A$3:$I$102,7,FALSE),main!$K$26:$Q$29,5,FALSE)),1,0)</f>
        <v>0</v>
      </c>
      <c r="CL291">
        <f>IF(AND(VLOOKUP(CL$1,main!$A$3:$H$102,7,FALSE)=main!$G$105,VLOOKUP(CL$1,main!$A$3:$H$102,5,FALSE)-VLOOKUP($A291,main!$A$3:$H$102,6,FALSE)&gt;=main!$D$103+VLOOKUP(VLOOKUP(CL$1,main!$A$3:$I$102,7,FALSE),main!$K$26:$Q$29,5,FALSE)),1,0)</f>
        <v>0</v>
      </c>
      <c r="CM291">
        <f>IF(AND(VLOOKUP(CM$1,main!$A$3:$H$102,7,FALSE)=main!$G$105,VLOOKUP(CM$1,main!$A$3:$H$102,5,FALSE)-VLOOKUP($A291,main!$A$3:$H$102,6,FALSE)&gt;=main!$D$103+VLOOKUP(VLOOKUP(CM$1,main!$A$3:$I$102,7,FALSE),main!$K$26:$Q$29,5,FALSE)),1,0)</f>
        <v>0</v>
      </c>
      <c r="CN291">
        <f>IF(AND(VLOOKUP(CN$1,main!$A$3:$H$102,7,FALSE)=main!$G$105,VLOOKUP(CN$1,main!$A$3:$H$102,5,FALSE)-VLOOKUP($A291,main!$A$3:$H$102,6,FALSE)&gt;=main!$D$103+VLOOKUP(VLOOKUP(CN$1,main!$A$3:$I$102,7,FALSE),main!$K$26:$Q$29,5,FALSE)),1,0)</f>
        <v>0</v>
      </c>
      <c r="CO291">
        <f>IF(AND(VLOOKUP(CO$1,main!$A$3:$H$102,7,FALSE)=main!$G$105,VLOOKUP(CO$1,main!$A$3:$H$102,5,FALSE)-VLOOKUP($A291,main!$A$3:$H$102,6,FALSE)&gt;=main!$D$103+VLOOKUP(VLOOKUP(CO$1,main!$A$3:$I$102,7,FALSE),main!$K$26:$Q$29,5,FALSE)),1,0)</f>
        <v>0</v>
      </c>
      <c r="CP291">
        <f>IF(AND(VLOOKUP(CP$1,main!$A$3:$H$102,7,FALSE)=main!$G$105,VLOOKUP(CP$1,main!$A$3:$H$102,5,FALSE)-VLOOKUP($A291,main!$A$3:$H$102,6,FALSE)&gt;=main!$D$103+VLOOKUP(VLOOKUP(CP$1,main!$A$3:$I$102,7,FALSE),main!$K$26:$Q$29,5,FALSE)),1,0)</f>
        <v>0</v>
      </c>
      <c r="CQ291">
        <f>IF(AND(VLOOKUP(CQ$1,main!$A$3:$H$102,7,FALSE)=main!$G$105,VLOOKUP(CQ$1,main!$A$3:$H$102,5,FALSE)-VLOOKUP($A291,main!$A$3:$H$102,6,FALSE)&gt;=main!$D$103+VLOOKUP(VLOOKUP(CQ$1,main!$A$3:$I$102,7,FALSE),main!$K$26:$Q$29,5,FALSE)),1,0)</f>
        <v>0</v>
      </c>
      <c r="CR291">
        <f>IF(AND(VLOOKUP(CR$1,main!$A$3:$H$102,7,FALSE)=main!$G$105,VLOOKUP(CR$1,main!$A$3:$H$102,5,FALSE)-VLOOKUP($A291,main!$A$3:$H$102,6,FALSE)&gt;=main!$D$103+VLOOKUP(VLOOKUP(CR$1,main!$A$3:$I$102,7,FALSE),main!$K$26:$Q$29,5,FALSE)),1,0)</f>
        <v>0</v>
      </c>
      <c r="CS291">
        <f>IF(AND(VLOOKUP(CS$1,main!$A$3:$H$102,7,FALSE)=main!$G$105,VLOOKUP(CS$1,main!$A$3:$H$102,5,FALSE)-VLOOKUP($A291,main!$A$3:$H$102,6,FALSE)&gt;=main!$D$103+VLOOKUP(VLOOKUP(CS$1,main!$A$3:$I$102,7,FALSE),main!$K$26:$Q$29,5,FALSE)),1,0)</f>
        <v>0</v>
      </c>
      <c r="CT291">
        <f>IF(AND(VLOOKUP(CT$1,main!$A$3:$H$102,7,FALSE)=main!$G$105,VLOOKUP(CT$1,main!$A$3:$H$102,5,FALSE)-VLOOKUP($A291,main!$A$3:$H$102,6,FALSE)&gt;=main!$D$103+VLOOKUP(VLOOKUP(CT$1,main!$A$3:$I$102,7,FALSE),main!$K$26:$Q$29,5,FALSE)),1,0)</f>
        <v>0</v>
      </c>
      <c r="CU291">
        <f>IF(AND(VLOOKUP(CU$1,main!$A$3:$H$102,7,FALSE)=main!$G$105,VLOOKUP(CU$1,main!$A$3:$H$102,5,FALSE)-VLOOKUP($A291,main!$A$3:$H$102,6,FALSE)&gt;=main!$D$103+VLOOKUP(VLOOKUP(CU$1,main!$A$3:$I$102,7,FALSE),main!$K$26:$Q$29,5,FALSE)),1,0)</f>
        <v>0</v>
      </c>
      <c r="CV291">
        <f>IF(AND(VLOOKUP(CV$1,main!$A$3:$H$102,7,FALSE)=main!$G$105,VLOOKUP(CV$1,main!$A$3:$H$102,5,FALSE)-VLOOKUP($A291,main!$A$3:$H$102,6,FALSE)&gt;=main!$D$103+VLOOKUP(VLOOKUP(CV$1,main!$A$3:$I$102,7,FALSE),main!$K$26:$Q$29,5,FALSE)),1,0)</f>
        <v>0</v>
      </c>
      <c r="CW291">
        <f>IF(AND(VLOOKUP(CW$1,main!$A$3:$H$102,7,FALSE)=main!$G$105,VLOOKUP(CW$1,main!$A$3:$H$102,5,FALSE)-VLOOKUP($A291,main!$A$3:$H$102,6,FALSE)&gt;=main!$D$103+VLOOKUP(VLOOKUP(CW$1,main!$A$3:$I$102,7,FALSE),main!$K$26:$Q$29,5,FALSE)),1,0)</f>
        <v>0</v>
      </c>
      <c r="CX291">
        <f>IF(AND(VLOOKUP(CX$1,main!$A$3:$H$102,7,FALSE)=main!$G$105,VLOOKUP(CX$1,main!$A$3:$H$102,5,FALSE)-VLOOKUP($A291,main!$A$3:$H$102,6,FALSE)&gt;=main!$D$103+VLOOKUP(VLOOKUP(CX$1,main!$A$3:$I$102,7,FALSE),main!$K$26:$Q$29,5,FALSE)),1,0)</f>
        <v>0</v>
      </c>
    </row>
    <row r="292" spans="1:102" x14ac:dyDescent="0.25">
      <c r="A292" s="1">
        <v>88</v>
      </c>
      <c r="B292">
        <v>0</v>
      </c>
      <c r="C292">
        <f>IF(AND(VLOOKUP(C$1,main!$A$3:$H$102,7,FALSE)=main!$G$105,VLOOKUP(C$1,main!$A$3:$H$102,5,FALSE)-VLOOKUP($A292,main!$A$3:$H$102,6,FALSE)&gt;=main!$D$103+VLOOKUP(VLOOKUP(C$1,main!$A$3:$I$102,7,FALSE),main!$K$26:$Q$29,5,FALSE)),1,0)</f>
        <v>0</v>
      </c>
      <c r="D292">
        <f>IF(AND(VLOOKUP(D$1,main!$A$3:$H$102,7,FALSE)=main!$G$105,VLOOKUP(D$1,main!$A$3:$H$102,5,FALSE)-VLOOKUP($A292,main!$A$3:$H$102,6,FALSE)&gt;=main!$D$103+VLOOKUP(VLOOKUP(D$1,main!$A$3:$I$102,7,FALSE),main!$K$26:$Q$29,5,FALSE)),1,0)</f>
        <v>0</v>
      </c>
      <c r="E292">
        <f>IF(AND(VLOOKUP(E$1,main!$A$3:$H$102,7,FALSE)=main!$G$105,VLOOKUP(E$1,main!$A$3:$H$102,5,FALSE)-VLOOKUP($A292,main!$A$3:$H$102,6,FALSE)&gt;=main!$D$103+VLOOKUP(VLOOKUP(E$1,main!$A$3:$I$102,7,FALSE),main!$K$26:$Q$29,5,FALSE)),1,0)</f>
        <v>0</v>
      </c>
      <c r="F292">
        <f>IF(AND(VLOOKUP(F$1,main!$A$3:$H$102,7,FALSE)=main!$G$105,VLOOKUP(F$1,main!$A$3:$H$102,5,FALSE)-VLOOKUP($A292,main!$A$3:$H$102,6,FALSE)&gt;=main!$D$103+VLOOKUP(VLOOKUP(F$1,main!$A$3:$I$102,7,FALSE),main!$K$26:$Q$29,5,FALSE)),1,0)</f>
        <v>0</v>
      </c>
      <c r="G292">
        <f>IF(AND(VLOOKUP(G$1,main!$A$3:$H$102,7,FALSE)=main!$G$105,VLOOKUP(G$1,main!$A$3:$H$102,5,FALSE)-VLOOKUP($A292,main!$A$3:$H$102,6,FALSE)&gt;=main!$D$103+VLOOKUP(VLOOKUP(G$1,main!$A$3:$I$102,7,FALSE),main!$K$26:$Q$29,5,FALSE)),1,0)</f>
        <v>0</v>
      </c>
      <c r="H292">
        <f>IF(AND(VLOOKUP(H$1,main!$A$3:$H$102,7,FALSE)=main!$G$105,VLOOKUP(H$1,main!$A$3:$H$102,5,FALSE)-VLOOKUP($A292,main!$A$3:$H$102,6,FALSE)&gt;=main!$D$103+VLOOKUP(VLOOKUP(H$1,main!$A$3:$I$102,7,FALSE),main!$K$26:$Q$29,5,FALSE)),1,0)</f>
        <v>0</v>
      </c>
      <c r="I292">
        <f>IF(AND(VLOOKUP(I$1,main!$A$3:$H$102,7,FALSE)=main!$G$105,VLOOKUP(I$1,main!$A$3:$H$102,5,FALSE)-VLOOKUP($A292,main!$A$3:$H$102,6,FALSE)&gt;=main!$D$103+VLOOKUP(VLOOKUP(I$1,main!$A$3:$I$102,7,FALSE),main!$K$26:$Q$29,5,FALSE)),1,0)</f>
        <v>0</v>
      </c>
      <c r="J292">
        <f>IF(AND(VLOOKUP(J$1,main!$A$3:$H$102,7,FALSE)=main!$G$105,VLOOKUP(J$1,main!$A$3:$H$102,5,FALSE)-VLOOKUP($A292,main!$A$3:$H$102,6,FALSE)&gt;=main!$D$103+VLOOKUP(VLOOKUP(J$1,main!$A$3:$I$102,7,FALSE),main!$K$26:$Q$29,5,FALSE)),1,0)</f>
        <v>0</v>
      </c>
      <c r="K292">
        <f>IF(AND(VLOOKUP(K$1,main!$A$3:$H$102,7,FALSE)=main!$G$105,VLOOKUP(K$1,main!$A$3:$H$102,5,FALSE)-VLOOKUP($A292,main!$A$3:$H$102,6,FALSE)&gt;=main!$D$103+VLOOKUP(VLOOKUP(K$1,main!$A$3:$I$102,7,FALSE),main!$K$26:$Q$29,5,FALSE)),1,0)</f>
        <v>0</v>
      </c>
      <c r="L292">
        <f>IF(AND(VLOOKUP(L$1,main!$A$3:$H$102,7,FALSE)=main!$G$105,VLOOKUP(L$1,main!$A$3:$H$102,5,FALSE)-VLOOKUP($A292,main!$A$3:$H$102,6,FALSE)&gt;=main!$D$103+VLOOKUP(VLOOKUP(L$1,main!$A$3:$I$102,7,FALSE),main!$K$26:$Q$29,5,FALSE)),1,0)</f>
        <v>0</v>
      </c>
      <c r="M292">
        <f>IF(AND(VLOOKUP(M$1,main!$A$3:$H$102,7,FALSE)=main!$G$105,VLOOKUP(M$1,main!$A$3:$H$102,5,FALSE)-VLOOKUP($A292,main!$A$3:$H$102,6,FALSE)&gt;=main!$D$103+VLOOKUP(VLOOKUP(M$1,main!$A$3:$I$102,7,FALSE),main!$K$26:$Q$29,5,FALSE)),1,0)</f>
        <v>0</v>
      </c>
      <c r="N292">
        <f>IF(AND(VLOOKUP(N$1,main!$A$3:$H$102,7,FALSE)=main!$G$105,VLOOKUP(N$1,main!$A$3:$H$102,5,FALSE)-VLOOKUP($A292,main!$A$3:$H$102,6,FALSE)&gt;=main!$D$103+VLOOKUP(VLOOKUP(N$1,main!$A$3:$I$102,7,FALSE),main!$K$26:$Q$29,5,FALSE)),1,0)</f>
        <v>0</v>
      </c>
      <c r="O292">
        <f>IF(AND(VLOOKUP(O$1,main!$A$3:$H$102,7,FALSE)=main!$G$105,VLOOKUP(O$1,main!$A$3:$H$102,5,FALSE)-VLOOKUP($A292,main!$A$3:$H$102,6,FALSE)&gt;=main!$D$103+VLOOKUP(VLOOKUP(O$1,main!$A$3:$I$102,7,FALSE),main!$K$26:$Q$29,5,FALSE)),1,0)</f>
        <v>0</v>
      </c>
      <c r="P292">
        <f>IF(AND(VLOOKUP(P$1,main!$A$3:$H$102,7,FALSE)=main!$G$105,VLOOKUP(P$1,main!$A$3:$H$102,5,FALSE)-VLOOKUP($A292,main!$A$3:$H$102,6,FALSE)&gt;=main!$D$103+VLOOKUP(VLOOKUP(P$1,main!$A$3:$I$102,7,FALSE),main!$K$26:$Q$29,5,FALSE)),1,0)</f>
        <v>0</v>
      </c>
      <c r="Q292">
        <f>IF(AND(VLOOKUP(Q$1,main!$A$3:$H$102,7,FALSE)=main!$G$105,VLOOKUP(Q$1,main!$A$3:$H$102,5,FALSE)-VLOOKUP($A292,main!$A$3:$H$102,6,FALSE)&gt;=main!$D$103+VLOOKUP(VLOOKUP(Q$1,main!$A$3:$I$102,7,FALSE),main!$K$26:$Q$29,5,FALSE)),1,0)</f>
        <v>0</v>
      </c>
      <c r="R292">
        <f>IF(AND(VLOOKUP(R$1,main!$A$3:$H$102,7,FALSE)=main!$G$105,VLOOKUP(R$1,main!$A$3:$H$102,5,FALSE)-VLOOKUP($A292,main!$A$3:$H$102,6,FALSE)&gt;=main!$D$103+VLOOKUP(VLOOKUP(R$1,main!$A$3:$I$102,7,FALSE),main!$K$26:$Q$29,5,FALSE)),1,0)</f>
        <v>0</v>
      </c>
      <c r="S292">
        <f>IF(AND(VLOOKUP(S$1,main!$A$3:$H$102,7,FALSE)=main!$G$105,VLOOKUP(S$1,main!$A$3:$H$102,5,FALSE)-VLOOKUP($A292,main!$A$3:$H$102,6,FALSE)&gt;=main!$D$103+VLOOKUP(VLOOKUP(S$1,main!$A$3:$I$102,7,FALSE),main!$K$26:$Q$29,5,FALSE)),1,0)</f>
        <v>0</v>
      </c>
      <c r="T292">
        <f>IF(AND(VLOOKUP(T$1,main!$A$3:$H$102,7,FALSE)=main!$G$105,VLOOKUP(T$1,main!$A$3:$H$102,5,FALSE)-VLOOKUP($A292,main!$A$3:$H$102,6,FALSE)&gt;=main!$D$103+VLOOKUP(VLOOKUP(T$1,main!$A$3:$I$102,7,FALSE),main!$K$26:$Q$29,5,FALSE)),1,0)</f>
        <v>0</v>
      </c>
      <c r="U292">
        <f>IF(AND(VLOOKUP(U$1,main!$A$3:$H$102,7,FALSE)=main!$G$105,VLOOKUP(U$1,main!$A$3:$H$102,5,FALSE)-VLOOKUP($A292,main!$A$3:$H$102,6,FALSE)&gt;=main!$D$103+VLOOKUP(VLOOKUP(U$1,main!$A$3:$I$102,7,FALSE),main!$K$26:$Q$29,5,FALSE)),1,0)</f>
        <v>0</v>
      </c>
      <c r="V292">
        <f>IF(AND(VLOOKUP(V$1,main!$A$3:$H$102,7,FALSE)=main!$G$105,VLOOKUP(V$1,main!$A$3:$H$102,5,FALSE)-VLOOKUP($A292,main!$A$3:$H$102,6,FALSE)&gt;=main!$D$103+VLOOKUP(VLOOKUP(V$1,main!$A$3:$I$102,7,FALSE),main!$K$26:$Q$29,5,FALSE)),1,0)</f>
        <v>0</v>
      </c>
      <c r="W292">
        <f>IF(AND(VLOOKUP(W$1,main!$A$3:$H$102,7,FALSE)=main!$G$105,VLOOKUP(W$1,main!$A$3:$H$102,5,FALSE)-VLOOKUP($A292,main!$A$3:$H$102,6,FALSE)&gt;=main!$D$103+VLOOKUP(VLOOKUP(W$1,main!$A$3:$I$102,7,FALSE),main!$K$26:$Q$29,5,FALSE)),1,0)</f>
        <v>0</v>
      </c>
      <c r="X292">
        <f>IF(AND(VLOOKUP(X$1,main!$A$3:$H$102,7,FALSE)=main!$G$105,VLOOKUP(X$1,main!$A$3:$H$102,5,FALSE)-VLOOKUP($A292,main!$A$3:$H$102,6,FALSE)&gt;=main!$D$103+VLOOKUP(VLOOKUP(X$1,main!$A$3:$I$102,7,FALSE),main!$K$26:$Q$29,5,FALSE)),1,0)</f>
        <v>0</v>
      </c>
      <c r="Y292">
        <f>IF(AND(VLOOKUP(Y$1,main!$A$3:$H$102,7,FALSE)=main!$G$105,VLOOKUP(Y$1,main!$A$3:$H$102,5,FALSE)-VLOOKUP($A292,main!$A$3:$H$102,6,FALSE)&gt;=main!$D$103+VLOOKUP(VLOOKUP(Y$1,main!$A$3:$I$102,7,FALSE),main!$K$26:$Q$29,5,FALSE)),1,0)</f>
        <v>0</v>
      </c>
      <c r="Z292">
        <f>IF(AND(VLOOKUP(Z$1,main!$A$3:$H$102,7,FALSE)=main!$G$105,VLOOKUP(Z$1,main!$A$3:$H$102,5,FALSE)-VLOOKUP($A292,main!$A$3:$H$102,6,FALSE)&gt;=main!$D$103+VLOOKUP(VLOOKUP(Z$1,main!$A$3:$I$102,7,FALSE),main!$K$26:$Q$29,5,FALSE)),1,0)</f>
        <v>0</v>
      </c>
      <c r="AA292">
        <f>IF(AND(VLOOKUP(AA$1,main!$A$3:$H$102,7,FALSE)=main!$G$105,VLOOKUP(AA$1,main!$A$3:$H$102,5,FALSE)-VLOOKUP($A292,main!$A$3:$H$102,6,FALSE)&gt;=main!$D$103+VLOOKUP(VLOOKUP(AA$1,main!$A$3:$I$102,7,FALSE),main!$K$26:$Q$29,5,FALSE)),1,0)</f>
        <v>0</v>
      </c>
      <c r="AB292">
        <f>IF(AND(VLOOKUP(AB$1,main!$A$3:$H$102,7,FALSE)=main!$G$105,VLOOKUP(AB$1,main!$A$3:$H$102,5,FALSE)-VLOOKUP($A292,main!$A$3:$H$102,6,FALSE)&gt;=main!$D$103+VLOOKUP(VLOOKUP(AB$1,main!$A$3:$I$102,7,FALSE),main!$K$26:$Q$29,5,FALSE)),1,0)</f>
        <v>0</v>
      </c>
      <c r="AC292">
        <f>IF(AND(VLOOKUP(AC$1,main!$A$3:$H$102,7,FALSE)=main!$G$105,VLOOKUP(AC$1,main!$A$3:$H$102,5,FALSE)-VLOOKUP($A292,main!$A$3:$H$102,6,FALSE)&gt;=main!$D$103+VLOOKUP(VLOOKUP(AC$1,main!$A$3:$I$102,7,FALSE),main!$K$26:$Q$29,5,FALSE)),1,0)</f>
        <v>0</v>
      </c>
      <c r="AD292">
        <f>IF(AND(VLOOKUP(AD$1,main!$A$3:$H$102,7,FALSE)=main!$G$105,VLOOKUP(AD$1,main!$A$3:$H$102,5,FALSE)-VLOOKUP($A292,main!$A$3:$H$102,6,FALSE)&gt;=main!$D$103+VLOOKUP(VLOOKUP(AD$1,main!$A$3:$I$102,7,FALSE),main!$K$26:$Q$29,5,FALSE)),1,0)</f>
        <v>0</v>
      </c>
      <c r="AE292">
        <f>IF(AND(VLOOKUP(AE$1,main!$A$3:$H$102,7,FALSE)=main!$G$105,VLOOKUP(AE$1,main!$A$3:$H$102,5,FALSE)-VLOOKUP($A292,main!$A$3:$H$102,6,FALSE)&gt;=main!$D$103+VLOOKUP(VLOOKUP(AE$1,main!$A$3:$I$102,7,FALSE),main!$K$26:$Q$29,5,FALSE)),1,0)</f>
        <v>0</v>
      </c>
      <c r="AF292">
        <f>IF(AND(VLOOKUP(AF$1,main!$A$3:$H$102,7,FALSE)=main!$G$105,VLOOKUP(AF$1,main!$A$3:$H$102,5,FALSE)-VLOOKUP($A292,main!$A$3:$H$102,6,FALSE)&gt;=main!$D$103+VLOOKUP(VLOOKUP(AF$1,main!$A$3:$I$102,7,FALSE),main!$K$26:$Q$29,5,FALSE)),1,0)</f>
        <v>0</v>
      </c>
      <c r="AG292">
        <f>IF(AND(VLOOKUP(AG$1,main!$A$3:$H$102,7,FALSE)=main!$G$105,VLOOKUP(AG$1,main!$A$3:$H$102,5,FALSE)-VLOOKUP($A292,main!$A$3:$H$102,6,FALSE)&gt;=main!$D$103+VLOOKUP(VLOOKUP(AG$1,main!$A$3:$I$102,7,FALSE),main!$K$26:$Q$29,5,FALSE)),1,0)</f>
        <v>0</v>
      </c>
      <c r="AH292">
        <f>IF(AND(VLOOKUP(AH$1,main!$A$3:$H$102,7,FALSE)=main!$G$105,VLOOKUP(AH$1,main!$A$3:$H$102,5,FALSE)-VLOOKUP($A292,main!$A$3:$H$102,6,FALSE)&gt;=main!$D$103+VLOOKUP(VLOOKUP(AH$1,main!$A$3:$I$102,7,FALSE),main!$K$26:$Q$29,5,FALSE)),1,0)</f>
        <v>0</v>
      </c>
      <c r="AI292">
        <f>IF(AND(VLOOKUP(AI$1,main!$A$3:$H$102,7,FALSE)=main!$G$105,VLOOKUP(AI$1,main!$A$3:$H$102,5,FALSE)-VLOOKUP($A292,main!$A$3:$H$102,6,FALSE)&gt;=main!$D$103+VLOOKUP(VLOOKUP(AI$1,main!$A$3:$I$102,7,FALSE),main!$K$26:$Q$29,5,FALSE)),1,0)</f>
        <v>0</v>
      </c>
      <c r="AJ292">
        <f>IF(AND(VLOOKUP(AJ$1,main!$A$3:$H$102,7,FALSE)=main!$G$105,VLOOKUP(AJ$1,main!$A$3:$H$102,5,FALSE)-VLOOKUP($A292,main!$A$3:$H$102,6,FALSE)&gt;=main!$D$103+VLOOKUP(VLOOKUP(AJ$1,main!$A$3:$I$102,7,FALSE),main!$K$26:$Q$29,5,FALSE)),1,0)</f>
        <v>0</v>
      </c>
      <c r="AK292">
        <f>IF(AND(VLOOKUP(AK$1,main!$A$3:$H$102,7,FALSE)=main!$G$105,VLOOKUP(AK$1,main!$A$3:$H$102,5,FALSE)-VLOOKUP($A292,main!$A$3:$H$102,6,FALSE)&gt;=main!$D$103+VLOOKUP(VLOOKUP(AK$1,main!$A$3:$I$102,7,FALSE),main!$K$26:$Q$29,5,FALSE)),1,0)</f>
        <v>0</v>
      </c>
      <c r="AL292">
        <f>IF(AND(VLOOKUP(AL$1,main!$A$3:$H$102,7,FALSE)=main!$G$105,VLOOKUP(AL$1,main!$A$3:$H$102,5,FALSE)-VLOOKUP($A292,main!$A$3:$H$102,6,FALSE)&gt;=main!$D$103+VLOOKUP(VLOOKUP(AL$1,main!$A$3:$I$102,7,FALSE),main!$K$26:$Q$29,5,FALSE)),1,0)</f>
        <v>1</v>
      </c>
      <c r="AM292">
        <f>IF(AND(VLOOKUP(AM$1,main!$A$3:$H$102,7,FALSE)=main!$G$105,VLOOKUP(AM$1,main!$A$3:$H$102,5,FALSE)-VLOOKUP($A292,main!$A$3:$H$102,6,FALSE)&gt;=main!$D$103+VLOOKUP(VLOOKUP(AM$1,main!$A$3:$I$102,7,FALSE),main!$K$26:$Q$29,5,FALSE)),1,0)</f>
        <v>1</v>
      </c>
      <c r="AN292">
        <f>IF(AND(VLOOKUP(AN$1,main!$A$3:$H$102,7,FALSE)=main!$G$105,VLOOKUP(AN$1,main!$A$3:$H$102,5,FALSE)-VLOOKUP($A292,main!$A$3:$H$102,6,FALSE)&gt;=main!$D$103+VLOOKUP(VLOOKUP(AN$1,main!$A$3:$I$102,7,FALSE),main!$K$26:$Q$29,5,FALSE)),1,0)</f>
        <v>1</v>
      </c>
      <c r="AO292">
        <f>IF(AND(VLOOKUP(AO$1,main!$A$3:$H$102,7,FALSE)=main!$G$105,VLOOKUP(AO$1,main!$A$3:$H$102,5,FALSE)-VLOOKUP($A292,main!$A$3:$H$102,6,FALSE)&gt;=main!$D$103+VLOOKUP(VLOOKUP(AO$1,main!$A$3:$I$102,7,FALSE),main!$K$26:$Q$29,5,FALSE)),1,0)</f>
        <v>0</v>
      </c>
      <c r="AP292">
        <f>IF(AND(VLOOKUP(AP$1,main!$A$3:$H$102,7,FALSE)=main!$G$105,VLOOKUP(AP$1,main!$A$3:$H$102,5,FALSE)-VLOOKUP($A292,main!$A$3:$H$102,6,FALSE)&gt;=main!$D$103+VLOOKUP(VLOOKUP(AP$1,main!$A$3:$I$102,7,FALSE),main!$K$26:$Q$29,5,FALSE)),1,0)</f>
        <v>1</v>
      </c>
      <c r="AQ292">
        <f>IF(AND(VLOOKUP(AQ$1,main!$A$3:$H$102,7,FALSE)=main!$G$105,VLOOKUP(AQ$1,main!$A$3:$H$102,5,FALSE)-VLOOKUP($A292,main!$A$3:$H$102,6,FALSE)&gt;=main!$D$103+VLOOKUP(VLOOKUP(AQ$1,main!$A$3:$I$102,7,FALSE),main!$K$26:$Q$29,5,FALSE)),1,0)</f>
        <v>0</v>
      </c>
      <c r="AR292">
        <f>IF(AND(VLOOKUP(AR$1,main!$A$3:$H$102,7,FALSE)=main!$G$105,VLOOKUP(AR$1,main!$A$3:$H$102,5,FALSE)-VLOOKUP($A292,main!$A$3:$H$102,6,FALSE)&gt;=main!$D$103+VLOOKUP(VLOOKUP(AR$1,main!$A$3:$I$102,7,FALSE),main!$K$26:$Q$29,5,FALSE)),1,0)</f>
        <v>0</v>
      </c>
      <c r="AS292">
        <f>IF(AND(VLOOKUP(AS$1,main!$A$3:$H$102,7,FALSE)=main!$G$105,VLOOKUP(AS$1,main!$A$3:$H$102,5,FALSE)-VLOOKUP($A292,main!$A$3:$H$102,6,FALSE)&gt;=main!$D$103+VLOOKUP(VLOOKUP(AS$1,main!$A$3:$I$102,7,FALSE),main!$K$26:$Q$29,5,FALSE)),1,0)</f>
        <v>0</v>
      </c>
      <c r="AT292">
        <f>IF(AND(VLOOKUP(AT$1,main!$A$3:$H$102,7,FALSE)=main!$G$105,VLOOKUP(AT$1,main!$A$3:$H$102,5,FALSE)-VLOOKUP($A292,main!$A$3:$H$102,6,FALSE)&gt;=main!$D$103+VLOOKUP(VLOOKUP(AT$1,main!$A$3:$I$102,7,FALSE),main!$K$26:$Q$29,5,FALSE)),1,0)</f>
        <v>1</v>
      </c>
      <c r="AU292">
        <f>IF(AND(VLOOKUP(AU$1,main!$A$3:$H$102,7,FALSE)=main!$G$105,VLOOKUP(AU$1,main!$A$3:$H$102,5,FALSE)-VLOOKUP($A292,main!$A$3:$H$102,6,FALSE)&gt;=main!$D$103+VLOOKUP(VLOOKUP(AU$1,main!$A$3:$I$102,7,FALSE),main!$K$26:$Q$29,5,FALSE)),1,0)</f>
        <v>0</v>
      </c>
      <c r="AV292">
        <f>IF(AND(VLOOKUP(AV$1,main!$A$3:$H$102,7,FALSE)=main!$G$105,VLOOKUP(AV$1,main!$A$3:$H$102,5,FALSE)-VLOOKUP($A292,main!$A$3:$H$102,6,FALSE)&gt;=main!$D$103+VLOOKUP(VLOOKUP(AV$1,main!$A$3:$I$102,7,FALSE),main!$K$26:$Q$29,5,FALSE)),1,0)</f>
        <v>0</v>
      </c>
      <c r="AW292">
        <f>IF(AND(VLOOKUP(AW$1,main!$A$3:$H$102,7,FALSE)=main!$G$105,VLOOKUP(AW$1,main!$A$3:$H$102,5,FALSE)-VLOOKUP($A292,main!$A$3:$H$102,6,FALSE)&gt;=main!$D$103+VLOOKUP(VLOOKUP(AW$1,main!$A$3:$I$102,7,FALSE),main!$K$26:$Q$29,5,FALSE)),1,0)</f>
        <v>0</v>
      </c>
      <c r="AX292">
        <f>IF(AND(VLOOKUP(AX$1,main!$A$3:$H$102,7,FALSE)=main!$G$105,VLOOKUP(AX$1,main!$A$3:$H$102,5,FALSE)-VLOOKUP($A292,main!$A$3:$H$102,6,FALSE)&gt;=main!$D$103+VLOOKUP(VLOOKUP(AX$1,main!$A$3:$I$102,7,FALSE),main!$K$26:$Q$29,5,FALSE)),1,0)</f>
        <v>0</v>
      </c>
      <c r="AY292">
        <f>IF(AND(VLOOKUP(AY$1,main!$A$3:$H$102,7,FALSE)=main!$G$105,VLOOKUP(AY$1,main!$A$3:$H$102,5,FALSE)-VLOOKUP($A292,main!$A$3:$H$102,6,FALSE)&gt;=main!$D$103+VLOOKUP(VLOOKUP(AY$1,main!$A$3:$I$102,7,FALSE),main!$K$26:$Q$29,5,FALSE)),1,0)</f>
        <v>0</v>
      </c>
      <c r="AZ292">
        <f>IF(AND(VLOOKUP(AZ$1,main!$A$3:$H$102,7,FALSE)=main!$G$105,VLOOKUP(AZ$1,main!$A$3:$H$102,5,FALSE)-VLOOKUP($A292,main!$A$3:$H$102,6,FALSE)&gt;=main!$D$103+VLOOKUP(VLOOKUP(AZ$1,main!$A$3:$I$102,7,FALSE),main!$K$26:$Q$29,5,FALSE)),1,0)</f>
        <v>0</v>
      </c>
      <c r="BA292">
        <f>IF(AND(VLOOKUP(BA$1,main!$A$3:$H$102,7,FALSE)=main!$G$105,VLOOKUP(BA$1,main!$A$3:$H$102,5,FALSE)-VLOOKUP($A292,main!$A$3:$H$102,6,FALSE)&gt;=main!$D$103+VLOOKUP(VLOOKUP(BA$1,main!$A$3:$I$102,7,FALSE),main!$K$26:$Q$29,5,FALSE)),1,0)</f>
        <v>0</v>
      </c>
      <c r="BB292">
        <f>IF(AND(VLOOKUP(BB$1,main!$A$3:$H$102,7,FALSE)=main!$G$105,VLOOKUP(BB$1,main!$A$3:$H$102,5,FALSE)-VLOOKUP($A292,main!$A$3:$H$102,6,FALSE)&gt;=main!$D$103+VLOOKUP(VLOOKUP(BB$1,main!$A$3:$I$102,7,FALSE),main!$K$26:$Q$29,5,FALSE)),1,0)</f>
        <v>0</v>
      </c>
      <c r="BC292">
        <f>IF(AND(VLOOKUP(BC$1,main!$A$3:$H$102,7,FALSE)=main!$G$105,VLOOKUP(BC$1,main!$A$3:$H$102,5,FALSE)-VLOOKUP($A292,main!$A$3:$H$102,6,FALSE)&gt;=main!$D$103+VLOOKUP(VLOOKUP(BC$1,main!$A$3:$I$102,7,FALSE),main!$K$26:$Q$29,5,FALSE)),1,0)</f>
        <v>0</v>
      </c>
      <c r="BD292">
        <f>IF(AND(VLOOKUP(BD$1,main!$A$3:$H$102,7,FALSE)=main!$G$105,VLOOKUP(BD$1,main!$A$3:$H$102,5,FALSE)-VLOOKUP($A292,main!$A$3:$H$102,6,FALSE)&gt;=main!$D$103+VLOOKUP(VLOOKUP(BD$1,main!$A$3:$I$102,7,FALSE),main!$K$26:$Q$29,5,FALSE)),1,0)</f>
        <v>0</v>
      </c>
      <c r="BE292">
        <f>IF(AND(VLOOKUP(BE$1,main!$A$3:$H$102,7,FALSE)=main!$G$105,VLOOKUP(BE$1,main!$A$3:$H$102,5,FALSE)-VLOOKUP($A292,main!$A$3:$H$102,6,FALSE)&gt;=main!$D$103+VLOOKUP(VLOOKUP(BE$1,main!$A$3:$I$102,7,FALSE),main!$K$26:$Q$29,5,FALSE)),1,0)</f>
        <v>0</v>
      </c>
      <c r="BF292">
        <f>IF(AND(VLOOKUP(BF$1,main!$A$3:$H$102,7,FALSE)=main!$G$105,VLOOKUP(BF$1,main!$A$3:$H$102,5,FALSE)-VLOOKUP($A292,main!$A$3:$H$102,6,FALSE)&gt;=main!$D$103+VLOOKUP(VLOOKUP(BF$1,main!$A$3:$I$102,7,FALSE),main!$K$26:$Q$29,5,FALSE)),1,0)</f>
        <v>0</v>
      </c>
      <c r="BG292">
        <f>IF(AND(VLOOKUP(BG$1,main!$A$3:$H$102,7,FALSE)=main!$G$105,VLOOKUP(BG$1,main!$A$3:$H$102,5,FALSE)-VLOOKUP($A292,main!$A$3:$H$102,6,FALSE)&gt;=main!$D$103+VLOOKUP(VLOOKUP(BG$1,main!$A$3:$I$102,7,FALSE),main!$K$26:$Q$29,5,FALSE)),1,0)</f>
        <v>0</v>
      </c>
      <c r="BH292">
        <f>IF(AND(VLOOKUP(BH$1,main!$A$3:$H$102,7,FALSE)=main!$G$105,VLOOKUP(BH$1,main!$A$3:$H$102,5,FALSE)-VLOOKUP($A292,main!$A$3:$H$102,6,FALSE)&gt;=main!$D$103+VLOOKUP(VLOOKUP(BH$1,main!$A$3:$I$102,7,FALSE),main!$K$26:$Q$29,5,FALSE)),1,0)</f>
        <v>0</v>
      </c>
      <c r="BI292">
        <f>IF(AND(VLOOKUP(BI$1,main!$A$3:$H$102,7,FALSE)=main!$G$105,VLOOKUP(BI$1,main!$A$3:$H$102,5,FALSE)-VLOOKUP($A292,main!$A$3:$H$102,6,FALSE)&gt;=main!$D$103+VLOOKUP(VLOOKUP(BI$1,main!$A$3:$I$102,7,FALSE),main!$K$26:$Q$29,5,FALSE)),1,0)</f>
        <v>0</v>
      </c>
      <c r="BJ292">
        <f>IF(AND(VLOOKUP(BJ$1,main!$A$3:$H$102,7,FALSE)=main!$G$105,VLOOKUP(BJ$1,main!$A$3:$H$102,5,FALSE)-VLOOKUP($A292,main!$A$3:$H$102,6,FALSE)&gt;=main!$D$103+VLOOKUP(VLOOKUP(BJ$1,main!$A$3:$I$102,7,FALSE),main!$K$26:$Q$29,5,FALSE)),1,0)</f>
        <v>0</v>
      </c>
      <c r="BK292">
        <f>IF(AND(VLOOKUP(BK$1,main!$A$3:$H$102,7,FALSE)=main!$G$105,VLOOKUP(BK$1,main!$A$3:$H$102,5,FALSE)-VLOOKUP($A292,main!$A$3:$H$102,6,FALSE)&gt;=main!$D$103+VLOOKUP(VLOOKUP(BK$1,main!$A$3:$I$102,7,FALSE),main!$K$26:$Q$29,5,FALSE)),1,0)</f>
        <v>0</v>
      </c>
      <c r="BL292">
        <f>IF(AND(VLOOKUP(BL$1,main!$A$3:$H$102,7,FALSE)=main!$G$105,VLOOKUP(BL$1,main!$A$3:$H$102,5,FALSE)-VLOOKUP($A292,main!$A$3:$H$102,6,FALSE)&gt;=main!$D$103+VLOOKUP(VLOOKUP(BL$1,main!$A$3:$I$102,7,FALSE),main!$K$26:$Q$29,5,FALSE)),1,0)</f>
        <v>0</v>
      </c>
      <c r="BM292">
        <f>IF(AND(VLOOKUP(BM$1,main!$A$3:$H$102,7,FALSE)=main!$G$105,VLOOKUP(BM$1,main!$A$3:$H$102,5,FALSE)-VLOOKUP($A292,main!$A$3:$H$102,6,FALSE)&gt;=main!$D$103+VLOOKUP(VLOOKUP(BM$1,main!$A$3:$I$102,7,FALSE),main!$K$26:$Q$29,5,FALSE)),1,0)</f>
        <v>0</v>
      </c>
      <c r="BN292">
        <f>IF(AND(VLOOKUP(BN$1,main!$A$3:$H$102,7,FALSE)=main!$G$105,VLOOKUP(BN$1,main!$A$3:$H$102,5,FALSE)-VLOOKUP($A292,main!$A$3:$H$102,6,FALSE)&gt;=main!$D$103+VLOOKUP(VLOOKUP(BN$1,main!$A$3:$I$102,7,FALSE),main!$K$26:$Q$29,5,FALSE)),1,0)</f>
        <v>0</v>
      </c>
      <c r="BO292">
        <f>IF(AND(VLOOKUP(BO$1,main!$A$3:$H$102,7,FALSE)=main!$G$105,VLOOKUP(BO$1,main!$A$3:$H$102,5,FALSE)-VLOOKUP($A292,main!$A$3:$H$102,6,FALSE)&gt;=main!$D$103+VLOOKUP(VLOOKUP(BO$1,main!$A$3:$I$102,7,FALSE),main!$K$26:$Q$29,5,FALSE)),1,0)</f>
        <v>0</v>
      </c>
      <c r="BP292">
        <f>IF(AND(VLOOKUP(BP$1,main!$A$3:$H$102,7,FALSE)=main!$G$105,VLOOKUP(BP$1,main!$A$3:$H$102,5,FALSE)-VLOOKUP($A292,main!$A$3:$H$102,6,FALSE)&gt;=main!$D$103+VLOOKUP(VLOOKUP(BP$1,main!$A$3:$I$102,7,FALSE),main!$K$26:$Q$29,5,FALSE)),1,0)</f>
        <v>0</v>
      </c>
      <c r="BQ292">
        <f>IF(AND(VLOOKUP(BQ$1,main!$A$3:$H$102,7,FALSE)=main!$G$105,VLOOKUP(BQ$1,main!$A$3:$H$102,5,FALSE)-VLOOKUP($A292,main!$A$3:$H$102,6,FALSE)&gt;=main!$D$103+VLOOKUP(VLOOKUP(BQ$1,main!$A$3:$I$102,7,FALSE),main!$K$26:$Q$29,5,FALSE)),1,0)</f>
        <v>0</v>
      </c>
      <c r="BR292">
        <f>IF(AND(VLOOKUP(BR$1,main!$A$3:$H$102,7,FALSE)=main!$G$105,VLOOKUP(BR$1,main!$A$3:$H$102,5,FALSE)-VLOOKUP($A292,main!$A$3:$H$102,6,FALSE)&gt;=main!$D$103+VLOOKUP(VLOOKUP(BR$1,main!$A$3:$I$102,7,FALSE),main!$K$26:$Q$29,5,FALSE)),1,0)</f>
        <v>0</v>
      </c>
      <c r="BS292">
        <f>IF(AND(VLOOKUP(BS$1,main!$A$3:$H$102,7,FALSE)=main!$G$105,VLOOKUP(BS$1,main!$A$3:$H$102,5,FALSE)-VLOOKUP($A292,main!$A$3:$H$102,6,FALSE)&gt;=main!$D$103+VLOOKUP(VLOOKUP(BS$1,main!$A$3:$I$102,7,FALSE),main!$K$26:$Q$29,5,FALSE)),1,0)</f>
        <v>0</v>
      </c>
      <c r="BT292">
        <f>IF(AND(VLOOKUP(BT$1,main!$A$3:$H$102,7,FALSE)=main!$G$105,VLOOKUP(BT$1,main!$A$3:$H$102,5,FALSE)-VLOOKUP($A292,main!$A$3:$H$102,6,FALSE)&gt;=main!$D$103+VLOOKUP(VLOOKUP(BT$1,main!$A$3:$I$102,7,FALSE),main!$K$26:$Q$29,5,FALSE)),1,0)</f>
        <v>0</v>
      </c>
      <c r="BU292">
        <f>IF(AND(VLOOKUP(BU$1,main!$A$3:$H$102,7,FALSE)=main!$G$105,VLOOKUP(BU$1,main!$A$3:$H$102,5,FALSE)-VLOOKUP($A292,main!$A$3:$H$102,6,FALSE)&gt;=main!$D$103+VLOOKUP(VLOOKUP(BU$1,main!$A$3:$I$102,7,FALSE),main!$K$26:$Q$29,5,FALSE)),1,0)</f>
        <v>0</v>
      </c>
      <c r="BV292">
        <f>IF(AND(VLOOKUP(BV$1,main!$A$3:$H$102,7,FALSE)=main!$G$105,VLOOKUP(BV$1,main!$A$3:$H$102,5,FALSE)-VLOOKUP($A292,main!$A$3:$H$102,6,FALSE)&gt;=main!$D$103+VLOOKUP(VLOOKUP(BV$1,main!$A$3:$I$102,7,FALSE),main!$K$26:$Q$29,5,FALSE)),1,0)</f>
        <v>0</v>
      </c>
      <c r="BW292">
        <f>IF(AND(VLOOKUP(BW$1,main!$A$3:$H$102,7,FALSE)=main!$G$105,VLOOKUP(BW$1,main!$A$3:$H$102,5,FALSE)-VLOOKUP($A292,main!$A$3:$H$102,6,FALSE)&gt;=main!$D$103+VLOOKUP(VLOOKUP(BW$1,main!$A$3:$I$102,7,FALSE),main!$K$26:$Q$29,5,FALSE)),1,0)</f>
        <v>0</v>
      </c>
      <c r="BX292">
        <f>IF(AND(VLOOKUP(BX$1,main!$A$3:$H$102,7,FALSE)=main!$G$105,VLOOKUP(BX$1,main!$A$3:$H$102,5,FALSE)-VLOOKUP($A292,main!$A$3:$H$102,6,FALSE)&gt;=main!$D$103+VLOOKUP(VLOOKUP(BX$1,main!$A$3:$I$102,7,FALSE),main!$K$26:$Q$29,5,FALSE)),1,0)</f>
        <v>0</v>
      </c>
      <c r="BY292">
        <f>IF(AND(VLOOKUP(BY$1,main!$A$3:$H$102,7,FALSE)=main!$G$105,VLOOKUP(BY$1,main!$A$3:$H$102,5,FALSE)-VLOOKUP($A292,main!$A$3:$H$102,6,FALSE)&gt;=main!$D$103+VLOOKUP(VLOOKUP(BY$1,main!$A$3:$I$102,7,FALSE),main!$K$26:$Q$29,5,FALSE)),1,0)</f>
        <v>0</v>
      </c>
      <c r="BZ292">
        <f>IF(AND(VLOOKUP(BZ$1,main!$A$3:$H$102,7,FALSE)=main!$G$105,VLOOKUP(BZ$1,main!$A$3:$H$102,5,FALSE)-VLOOKUP($A292,main!$A$3:$H$102,6,FALSE)&gt;=main!$D$103+VLOOKUP(VLOOKUP(BZ$1,main!$A$3:$I$102,7,FALSE),main!$K$26:$Q$29,5,FALSE)),1,0)</f>
        <v>0</v>
      </c>
      <c r="CA292">
        <f>IF(AND(VLOOKUP(CA$1,main!$A$3:$H$102,7,FALSE)=main!$G$105,VLOOKUP(CA$1,main!$A$3:$H$102,5,FALSE)-VLOOKUP($A292,main!$A$3:$H$102,6,FALSE)&gt;=main!$D$103+VLOOKUP(VLOOKUP(CA$1,main!$A$3:$I$102,7,FALSE),main!$K$26:$Q$29,5,FALSE)),1,0)</f>
        <v>0</v>
      </c>
      <c r="CB292">
        <f>IF(AND(VLOOKUP(CB$1,main!$A$3:$H$102,7,FALSE)=main!$G$105,VLOOKUP(CB$1,main!$A$3:$H$102,5,FALSE)-VLOOKUP($A292,main!$A$3:$H$102,6,FALSE)&gt;=main!$D$103+VLOOKUP(VLOOKUP(CB$1,main!$A$3:$I$102,7,FALSE),main!$K$26:$Q$29,5,FALSE)),1,0)</f>
        <v>0</v>
      </c>
      <c r="CC292">
        <f>IF(AND(VLOOKUP(CC$1,main!$A$3:$H$102,7,FALSE)=main!$G$105,VLOOKUP(CC$1,main!$A$3:$H$102,5,FALSE)-VLOOKUP($A292,main!$A$3:$H$102,6,FALSE)&gt;=main!$D$103+VLOOKUP(VLOOKUP(CC$1,main!$A$3:$I$102,7,FALSE),main!$K$26:$Q$29,5,FALSE)),1,0)</f>
        <v>0</v>
      </c>
      <c r="CD292">
        <f>IF(AND(VLOOKUP(CD$1,main!$A$3:$H$102,7,FALSE)=main!$G$105,VLOOKUP(CD$1,main!$A$3:$H$102,5,FALSE)-VLOOKUP($A292,main!$A$3:$H$102,6,FALSE)&gt;=main!$D$103+VLOOKUP(VLOOKUP(CD$1,main!$A$3:$I$102,7,FALSE),main!$K$26:$Q$29,5,FALSE)),1,0)</f>
        <v>0</v>
      </c>
      <c r="CE292">
        <f>IF(AND(VLOOKUP(CE$1,main!$A$3:$H$102,7,FALSE)=main!$G$105,VLOOKUP(CE$1,main!$A$3:$H$102,5,FALSE)-VLOOKUP($A292,main!$A$3:$H$102,6,FALSE)&gt;=main!$D$103+VLOOKUP(VLOOKUP(CE$1,main!$A$3:$I$102,7,FALSE),main!$K$26:$Q$29,5,FALSE)),1,0)</f>
        <v>0</v>
      </c>
      <c r="CF292">
        <f>IF(AND(VLOOKUP(CF$1,main!$A$3:$H$102,7,FALSE)=main!$G$105,VLOOKUP(CF$1,main!$A$3:$H$102,5,FALSE)-VLOOKUP($A292,main!$A$3:$H$102,6,FALSE)&gt;=main!$D$103+VLOOKUP(VLOOKUP(CF$1,main!$A$3:$I$102,7,FALSE),main!$K$26:$Q$29,5,FALSE)),1,0)</f>
        <v>0</v>
      </c>
      <c r="CG292">
        <f>IF(AND(VLOOKUP(CG$1,main!$A$3:$H$102,7,FALSE)=main!$G$105,VLOOKUP(CG$1,main!$A$3:$H$102,5,FALSE)-VLOOKUP($A292,main!$A$3:$H$102,6,FALSE)&gt;=main!$D$103+VLOOKUP(VLOOKUP(CG$1,main!$A$3:$I$102,7,FALSE),main!$K$26:$Q$29,5,FALSE)),1,0)</f>
        <v>0</v>
      </c>
      <c r="CH292">
        <f>IF(AND(VLOOKUP(CH$1,main!$A$3:$H$102,7,FALSE)=main!$G$105,VLOOKUP(CH$1,main!$A$3:$H$102,5,FALSE)-VLOOKUP($A292,main!$A$3:$H$102,6,FALSE)&gt;=main!$D$103+VLOOKUP(VLOOKUP(CH$1,main!$A$3:$I$102,7,FALSE),main!$K$26:$Q$29,5,FALSE)),1,0)</f>
        <v>0</v>
      </c>
      <c r="CI292">
        <f>IF(AND(VLOOKUP(CI$1,main!$A$3:$H$102,7,FALSE)=main!$G$105,VLOOKUP(CI$1,main!$A$3:$H$102,5,FALSE)-VLOOKUP($A292,main!$A$3:$H$102,6,FALSE)&gt;=main!$D$103+VLOOKUP(VLOOKUP(CI$1,main!$A$3:$I$102,7,FALSE),main!$K$26:$Q$29,5,FALSE)),1,0)</f>
        <v>0</v>
      </c>
      <c r="CJ292">
        <f>IF(AND(VLOOKUP(CJ$1,main!$A$3:$H$102,7,FALSE)=main!$G$105,VLOOKUP(CJ$1,main!$A$3:$H$102,5,FALSE)-VLOOKUP($A292,main!$A$3:$H$102,6,FALSE)&gt;=main!$D$103+VLOOKUP(VLOOKUP(CJ$1,main!$A$3:$I$102,7,FALSE),main!$K$26:$Q$29,5,FALSE)),1,0)</f>
        <v>0</v>
      </c>
      <c r="CK292">
        <f>IF(AND(VLOOKUP(CK$1,main!$A$3:$H$102,7,FALSE)=main!$G$105,VLOOKUP(CK$1,main!$A$3:$H$102,5,FALSE)-VLOOKUP($A292,main!$A$3:$H$102,6,FALSE)&gt;=main!$D$103+VLOOKUP(VLOOKUP(CK$1,main!$A$3:$I$102,7,FALSE),main!$K$26:$Q$29,5,FALSE)),1,0)</f>
        <v>0</v>
      </c>
      <c r="CL292">
        <f>IF(AND(VLOOKUP(CL$1,main!$A$3:$H$102,7,FALSE)=main!$G$105,VLOOKUP(CL$1,main!$A$3:$H$102,5,FALSE)-VLOOKUP($A292,main!$A$3:$H$102,6,FALSE)&gt;=main!$D$103+VLOOKUP(VLOOKUP(CL$1,main!$A$3:$I$102,7,FALSE),main!$K$26:$Q$29,5,FALSE)),1,0)</f>
        <v>0</v>
      </c>
      <c r="CM292">
        <f>IF(AND(VLOOKUP(CM$1,main!$A$3:$H$102,7,FALSE)=main!$G$105,VLOOKUP(CM$1,main!$A$3:$H$102,5,FALSE)-VLOOKUP($A292,main!$A$3:$H$102,6,FALSE)&gt;=main!$D$103+VLOOKUP(VLOOKUP(CM$1,main!$A$3:$I$102,7,FALSE),main!$K$26:$Q$29,5,FALSE)),1,0)</f>
        <v>0</v>
      </c>
      <c r="CN292">
        <f>IF(AND(VLOOKUP(CN$1,main!$A$3:$H$102,7,FALSE)=main!$G$105,VLOOKUP(CN$1,main!$A$3:$H$102,5,FALSE)-VLOOKUP($A292,main!$A$3:$H$102,6,FALSE)&gt;=main!$D$103+VLOOKUP(VLOOKUP(CN$1,main!$A$3:$I$102,7,FALSE),main!$K$26:$Q$29,5,FALSE)),1,0)</f>
        <v>0</v>
      </c>
      <c r="CO292">
        <f>IF(AND(VLOOKUP(CO$1,main!$A$3:$H$102,7,FALSE)=main!$G$105,VLOOKUP(CO$1,main!$A$3:$H$102,5,FALSE)-VLOOKUP($A292,main!$A$3:$H$102,6,FALSE)&gt;=main!$D$103+VLOOKUP(VLOOKUP(CO$1,main!$A$3:$I$102,7,FALSE),main!$K$26:$Q$29,5,FALSE)),1,0)</f>
        <v>0</v>
      </c>
      <c r="CP292">
        <f>IF(AND(VLOOKUP(CP$1,main!$A$3:$H$102,7,FALSE)=main!$G$105,VLOOKUP(CP$1,main!$A$3:$H$102,5,FALSE)-VLOOKUP($A292,main!$A$3:$H$102,6,FALSE)&gt;=main!$D$103+VLOOKUP(VLOOKUP(CP$1,main!$A$3:$I$102,7,FALSE),main!$K$26:$Q$29,5,FALSE)),1,0)</f>
        <v>0</v>
      </c>
      <c r="CQ292">
        <f>IF(AND(VLOOKUP(CQ$1,main!$A$3:$H$102,7,FALSE)=main!$G$105,VLOOKUP(CQ$1,main!$A$3:$H$102,5,FALSE)-VLOOKUP($A292,main!$A$3:$H$102,6,FALSE)&gt;=main!$D$103+VLOOKUP(VLOOKUP(CQ$1,main!$A$3:$I$102,7,FALSE),main!$K$26:$Q$29,5,FALSE)),1,0)</f>
        <v>0</v>
      </c>
      <c r="CR292">
        <f>IF(AND(VLOOKUP(CR$1,main!$A$3:$H$102,7,FALSE)=main!$G$105,VLOOKUP(CR$1,main!$A$3:$H$102,5,FALSE)-VLOOKUP($A292,main!$A$3:$H$102,6,FALSE)&gt;=main!$D$103+VLOOKUP(VLOOKUP(CR$1,main!$A$3:$I$102,7,FALSE),main!$K$26:$Q$29,5,FALSE)),1,0)</f>
        <v>0</v>
      </c>
      <c r="CS292">
        <f>IF(AND(VLOOKUP(CS$1,main!$A$3:$H$102,7,FALSE)=main!$G$105,VLOOKUP(CS$1,main!$A$3:$H$102,5,FALSE)-VLOOKUP($A292,main!$A$3:$H$102,6,FALSE)&gt;=main!$D$103+VLOOKUP(VLOOKUP(CS$1,main!$A$3:$I$102,7,FALSE),main!$K$26:$Q$29,5,FALSE)),1,0)</f>
        <v>0</v>
      </c>
      <c r="CT292">
        <f>IF(AND(VLOOKUP(CT$1,main!$A$3:$H$102,7,FALSE)=main!$G$105,VLOOKUP(CT$1,main!$A$3:$H$102,5,FALSE)-VLOOKUP($A292,main!$A$3:$H$102,6,FALSE)&gt;=main!$D$103+VLOOKUP(VLOOKUP(CT$1,main!$A$3:$I$102,7,FALSE),main!$K$26:$Q$29,5,FALSE)),1,0)</f>
        <v>0</v>
      </c>
      <c r="CU292">
        <f>IF(AND(VLOOKUP(CU$1,main!$A$3:$H$102,7,FALSE)=main!$G$105,VLOOKUP(CU$1,main!$A$3:$H$102,5,FALSE)-VLOOKUP($A292,main!$A$3:$H$102,6,FALSE)&gt;=main!$D$103+VLOOKUP(VLOOKUP(CU$1,main!$A$3:$I$102,7,FALSE),main!$K$26:$Q$29,5,FALSE)),1,0)</f>
        <v>0</v>
      </c>
      <c r="CV292">
        <f>IF(AND(VLOOKUP(CV$1,main!$A$3:$H$102,7,FALSE)=main!$G$105,VLOOKUP(CV$1,main!$A$3:$H$102,5,FALSE)-VLOOKUP($A292,main!$A$3:$H$102,6,FALSE)&gt;=main!$D$103+VLOOKUP(VLOOKUP(CV$1,main!$A$3:$I$102,7,FALSE),main!$K$26:$Q$29,5,FALSE)),1,0)</f>
        <v>0</v>
      </c>
      <c r="CW292">
        <f>IF(AND(VLOOKUP(CW$1,main!$A$3:$H$102,7,FALSE)=main!$G$105,VLOOKUP(CW$1,main!$A$3:$H$102,5,FALSE)-VLOOKUP($A292,main!$A$3:$H$102,6,FALSE)&gt;=main!$D$103+VLOOKUP(VLOOKUP(CW$1,main!$A$3:$I$102,7,FALSE),main!$K$26:$Q$29,5,FALSE)),1,0)</f>
        <v>0</v>
      </c>
      <c r="CX292">
        <f>IF(AND(VLOOKUP(CX$1,main!$A$3:$H$102,7,FALSE)=main!$G$105,VLOOKUP(CX$1,main!$A$3:$H$102,5,FALSE)-VLOOKUP($A292,main!$A$3:$H$102,6,FALSE)&gt;=main!$D$103+VLOOKUP(VLOOKUP(CX$1,main!$A$3:$I$102,7,FALSE),main!$K$26:$Q$29,5,FALSE)),1,0)</f>
        <v>0</v>
      </c>
    </row>
    <row r="293" spans="1:102" x14ac:dyDescent="0.25">
      <c r="A293" s="1">
        <v>89</v>
      </c>
      <c r="B293">
        <v>0</v>
      </c>
      <c r="C293">
        <f>IF(AND(VLOOKUP(C$1,main!$A$3:$H$102,7,FALSE)=main!$G$105,VLOOKUP(C$1,main!$A$3:$H$102,5,FALSE)-VLOOKUP($A293,main!$A$3:$H$102,6,FALSE)&gt;=main!$D$103+VLOOKUP(VLOOKUP(C$1,main!$A$3:$I$102,7,FALSE),main!$K$26:$Q$29,5,FALSE)),1,0)</f>
        <v>0</v>
      </c>
      <c r="D293">
        <f>IF(AND(VLOOKUP(D$1,main!$A$3:$H$102,7,FALSE)=main!$G$105,VLOOKUP(D$1,main!$A$3:$H$102,5,FALSE)-VLOOKUP($A293,main!$A$3:$H$102,6,FALSE)&gt;=main!$D$103+VLOOKUP(VLOOKUP(D$1,main!$A$3:$I$102,7,FALSE),main!$K$26:$Q$29,5,FALSE)),1,0)</f>
        <v>0</v>
      </c>
      <c r="E293">
        <f>IF(AND(VLOOKUP(E$1,main!$A$3:$H$102,7,FALSE)=main!$G$105,VLOOKUP(E$1,main!$A$3:$H$102,5,FALSE)-VLOOKUP($A293,main!$A$3:$H$102,6,FALSE)&gt;=main!$D$103+VLOOKUP(VLOOKUP(E$1,main!$A$3:$I$102,7,FALSE),main!$K$26:$Q$29,5,FALSE)),1,0)</f>
        <v>0</v>
      </c>
      <c r="F293">
        <f>IF(AND(VLOOKUP(F$1,main!$A$3:$H$102,7,FALSE)=main!$G$105,VLOOKUP(F$1,main!$A$3:$H$102,5,FALSE)-VLOOKUP($A293,main!$A$3:$H$102,6,FALSE)&gt;=main!$D$103+VLOOKUP(VLOOKUP(F$1,main!$A$3:$I$102,7,FALSE),main!$K$26:$Q$29,5,FALSE)),1,0)</f>
        <v>0</v>
      </c>
      <c r="G293">
        <f>IF(AND(VLOOKUP(G$1,main!$A$3:$H$102,7,FALSE)=main!$G$105,VLOOKUP(G$1,main!$A$3:$H$102,5,FALSE)-VLOOKUP($A293,main!$A$3:$H$102,6,FALSE)&gt;=main!$D$103+VLOOKUP(VLOOKUP(G$1,main!$A$3:$I$102,7,FALSE),main!$K$26:$Q$29,5,FALSE)),1,0)</f>
        <v>0</v>
      </c>
      <c r="H293">
        <f>IF(AND(VLOOKUP(H$1,main!$A$3:$H$102,7,FALSE)=main!$G$105,VLOOKUP(H$1,main!$A$3:$H$102,5,FALSE)-VLOOKUP($A293,main!$A$3:$H$102,6,FALSE)&gt;=main!$D$103+VLOOKUP(VLOOKUP(H$1,main!$A$3:$I$102,7,FALSE),main!$K$26:$Q$29,5,FALSE)),1,0)</f>
        <v>0</v>
      </c>
      <c r="I293">
        <f>IF(AND(VLOOKUP(I$1,main!$A$3:$H$102,7,FALSE)=main!$G$105,VLOOKUP(I$1,main!$A$3:$H$102,5,FALSE)-VLOOKUP($A293,main!$A$3:$H$102,6,FALSE)&gt;=main!$D$103+VLOOKUP(VLOOKUP(I$1,main!$A$3:$I$102,7,FALSE),main!$K$26:$Q$29,5,FALSE)),1,0)</f>
        <v>0</v>
      </c>
      <c r="J293">
        <f>IF(AND(VLOOKUP(J$1,main!$A$3:$H$102,7,FALSE)=main!$G$105,VLOOKUP(J$1,main!$A$3:$H$102,5,FALSE)-VLOOKUP($A293,main!$A$3:$H$102,6,FALSE)&gt;=main!$D$103+VLOOKUP(VLOOKUP(J$1,main!$A$3:$I$102,7,FALSE),main!$K$26:$Q$29,5,FALSE)),1,0)</f>
        <v>0</v>
      </c>
      <c r="K293">
        <f>IF(AND(VLOOKUP(K$1,main!$A$3:$H$102,7,FALSE)=main!$G$105,VLOOKUP(K$1,main!$A$3:$H$102,5,FALSE)-VLOOKUP($A293,main!$A$3:$H$102,6,FALSE)&gt;=main!$D$103+VLOOKUP(VLOOKUP(K$1,main!$A$3:$I$102,7,FALSE),main!$K$26:$Q$29,5,FALSE)),1,0)</f>
        <v>0</v>
      </c>
      <c r="L293">
        <f>IF(AND(VLOOKUP(L$1,main!$A$3:$H$102,7,FALSE)=main!$G$105,VLOOKUP(L$1,main!$A$3:$H$102,5,FALSE)-VLOOKUP($A293,main!$A$3:$H$102,6,FALSE)&gt;=main!$D$103+VLOOKUP(VLOOKUP(L$1,main!$A$3:$I$102,7,FALSE),main!$K$26:$Q$29,5,FALSE)),1,0)</f>
        <v>0</v>
      </c>
      <c r="M293">
        <f>IF(AND(VLOOKUP(M$1,main!$A$3:$H$102,7,FALSE)=main!$G$105,VLOOKUP(M$1,main!$A$3:$H$102,5,FALSE)-VLOOKUP($A293,main!$A$3:$H$102,6,FALSE)&gt;=main!$D$103+VLOOKUP(VLOOKUP(M$1,main!$A$3:$I$102,7,FALSE),main!$K$26:$Q$29,5,FALSE)),1,0)</f>
        <v>0</v>
      </c>
      <c r="N293">
        <f>IF(AND(VLOOKUP(N$1,main!$A$3:$H$102,7,FALSE)=main!$G$105,VLOOKUP(N$1,main!$A$3:$H$102,5,FALSE)-VLOOKUP($A293,main!$A$3:$H$102,6,FALSE)&gt;=main!$D$103+VLOOKUP(VLOOKUP(N$1,main!$A$3:$I$102,7,FALSE),main!$K$26:$Q$29,5,FALSE)),1,0)</f>
        <v>0</v>
      </c>
      <c r="O293">
        <f>IF(AND(VLOOKUP(O$1,main!$A$3:$H$102,7,FALSE)=main!$G$105,VLOOKUP(O$1,main!$A$3:$H$102,5,FALSE)-VLOOKUP($A293,main!$A$3:$H$102,6,FALSE)&gt;=main!$D$103+VLOOKUP(VLOOKUP(O$1,main!$A$3:$I$102,7,FALSE),main!$K$26:$Q$29,5,FALSE)),1,0)</f>
        <v>0</v>
      </c>
      <c r="P293">
        <f>IF(AND(VLOOKUP(P$1,main!$A$3:$H$102,7,FALSE)=main!$G$105,VLOOKUP(P$1,main!$A$3:$H$102,5,FALSE)-VLOOKUP($A293,main!$A$3:$H$102,6,FALSE)&gt;=main!$D$103+VLOOKUP(VLOOKUP(P$1,main!$A$3:$I$102,7,FALSE),main!$K$26:$Q$29,5,FALSE)),1,0)</f>
        <v>0</v>
      </c>
      <c r="Q293">
        <f>IF(AND(VLOOKUP(Q$1,main!$A$3:$H$102,7,FALSE)=main!$G$105,VLOOKUP(Q$1,main!$A$3:$H$102,5,FALSE)-VLOOKUP($A293,main!$A$3:$H$102,6,FALSE)&gt;=main!$D$103+VLOOKUP(VLOOKUP(Q$1,main!$A$3:$I$102,7,FALSE),main!$K$26:$Q$29,5,FALSE)),1,0)</f>
        <v>0</v>
      </c>
      <c r="R293">
        <f>IF(AND(VLOOKUP(R$1,main!$A$3:$H$102,7,FALSE)=main!$G$105,VLOOKUP(R$1,main!$A$3:$H$102,5,FALSE)-VLOOKUP($A293,main!$A$3:$H$102,6,FALSE)&gt;=main!$D$103+VLOOKUP(VLOOKUP(R$1,main!$A$3:$I$102,7,FALSE),main!$K$26:$Q$29,5,FALSE)),1,0)</f>
        <v>0</v>
      </c>
      <c r="S293">
        <f>IF(AND(VLOOKUP(S$1,main!$A$3:$H$102,7,FALSE)=main!$G$105,VLOOKUP(S$1,main!$A$3:$H$102,5,FALSE)-VLOOKUP($A293,main!$A$3:$H$102,6,FALSE)&gt;=main!$D$103+VLOOKUP(VLOOKUP(S$1,main!$A$3:$I$102,7,FALSE),main!$K$26:$Q$29,5,FALSE)),1,0)</f>
        <v>0</v>
      </c>
      <c r="T293">
        <f>IF(AND(VLOOKUP(T$1,main!$A$3:$H$102,7,FALSE)=main!$G$105,VLOOKUP(T$1,main!$A$3:$H$102,5,FALSE)-VLOOKUP($A293,main!$A$3:$H$102,6,FALSE)&gt;=main!$D$103+VLOOKUP(VLOOKUP(T$1,main!$A$3:$I$102,7,FALSE),main!$K$26:$Q$29,5,FALSE)),1,0)</f>
        <v>0</v>
      </c>
      <c r="U293">
        <f>IF(AND(VLOOKUP(U$1,main!$A$3:$H$102,7,FALSE)=main!$G$105,VLOOKUP(U$1,main!$A$3:$H$102,5,FALSE)-VLOOKUP($A293,main!$A$3:$H$102,6,FALSE)&gt;=main!$D$103+VLOOKUP(VLOOKUP(U$1,main!$A$3:$I$102,7,FALSE),main!$K$26:$Q$29,5,FALSE)),1,0)</f>
        <v>0</v>
      </c>
      <c r="V293">
        <f>IF(AND(VLOOKUP(V$1,main!$A$3:$H$102,7,FALSE)=main!$G$105,VLOOKUP(V$1,main!$A$3:$H$102,5,FALSE)-VLOOKUP($A293,main!$A$3:$H$102,6,FALSE)&gt;=main!$D$103+VLOOKUP(VLOOKUP(V$1,main!$A$3:$I$102,7,FALSE),main!$K$26:$Q$29,5,FALSE)),1,0)</f>
        <v>0</v>
      </c>
      <c r="W293">
        <f>IF(AND(VLOOKUP(W$1,main!$A$3:$H$102,7,FALSE)=main!$G$105,VLOOKUP(W$1,main!$A$3:$H$102,5,FALSE)-VLOOKUP($A293,main!$A$3:$H$102,6,FALSE)&gt;=main!$D$103+VLOOKUP(VLOOKUP(W$1,main!$A$3:$I$102,7,FALSE),main!$K$26:$Q$29,5,FALSE)),1,0)</f>
        <v>0</v>
      </c>
      <c r="X293">
        <f>IF(AND(VLOOKUP(X$1,main!$A$3:$H$102,7,FALSE)=main!$G$105,VLOOKUP(X$1,main!$A$3:$H$102,5,FALSE)-VLOOKUP($A293,main!$A$3:$H$102,6,FALSE)&gt;=main!$D$103+VLOOKUP(VLOOKUP(X$1,main!$A$3:$I$102,7,FALSE),main!$K$26:$Q$29,5,FALSE)),1,0)</f>
        <v>0</v>
      </c>
      <c r="Y293">
        <f>IF(AND(VLOOKUP(Y$1,main!$A$3:$H$102,7,FALSE)=main!$G$105,VLOOKUP(Y$1,main!$A$3:$H$102,5,FALSE)-VLOOKUP($A293,main!$A$3:$H$102,6,FALSE)&gt;=main!$D$103+VLOOKUP(VLOOKUP(Y$1,main!$A$3:$I$102,7,FALSE),main!$K$26:$Q$29,5,FALSE)),1,0)</f>
        <v>0</v>
      </c>
      <c r="Z293">
        <f>IF(AND(VLOOKUP(Z$1,main!$A$3:$H$102,7,FALSE)=main!$G$105,VLOOKUP(Z$1,main!$A$3:$H$102,5,FALSE)-VLOOKUP($A293,main!$A$3:$H$102,6,FALSE)&gt;=main!$D$103+VLOOKUP(VLOOKUP(Z$1,main!$A$3:$I$102,7,FALSE),main!$K$26:$Q$29,5,FALSE)),1,0)</f>
        <v>0</v>
      </c>
      <c r="AA293">
        <f>IF(AND(VLOOKUP(AA$1,main!$A$3:$H$102,7,FALSE)=main!$G$105,VLOOKUP(AA$1,main!$A$3:$H$102,5,FALSE)-VLOOKUP($A293,main!$A$3:$H$102,6,FALSE)&gt;=main!$D$103+VLOOKUP(VLOOKUP(AA$1,main!$A$3:$I$102,7,FALSE),main!$K$26:$Q$29,5,FALSE)),1,0)</f>
        <v>0</v>
      </c>
      <c r="AB293">
        <f>IF(AND(VLOOKUP(AB$1,main!$A$3:$H$102,7,FALSE)=main!$G$105,VLOOKUP(AB$1,main!$A$3:$H$102,5,FALSE)-VLOOKUP($A293,main!$A$3:$H$102,6,FALSE)&gt;=main!$D$103+VLOOKUP(VLOOKUP(AB$1,main!$A$3:$I$102,7,FALSE),main!$K$26:$Q$29,5,FALSE)),1,0)</f>
        <v>0</v>
      </c>
      <c r="AC293">
        <f>IF(AND(VLOOKUP(AC$1,main!$A$3:$H$102,7,FALSE)=main!$G$105,VLOOKUP(AC$1,main!$A$3:$H$102,5,FALSE)-VLOOKUP($A293,main!$A$3:$H$102,6,FALSE)&gt;=main!$D$103+VLOOKUP(VLOOKUP(AC$1,main!$A$3:$I$102,7,FALSE),main!$K$26:$Q$29,5,FALSE)),1,0)</f>
        <v>0</v>
      </c>
      <c r="AD293">
        <f>IF(AND(VLOOKUP(AD$1,main!$A$3:$H$102,7,FALSE)=main!$G$105,VLOOKUP(AD$1,main!$A$3:$H$102,5,FALSE)-VLOOKUP($A293,main!$A$3:$H$102,6,FALSE)&gt;=main!$D$103+VLOOKUP(VLOOKUP(AD$1,main!$A$3:$I$102,7,FALSE),main!$K$26:$Q$29,5,FALSE)),1,0)</f>
        <v>0</v>
      </c>
      <c r="AE293">
        <f>IF(AND(VLOOKUP(AE$1,main!$A$3:$H$102,7,FALSE)=main!$G$105,VLOOKUP(AE$1,main!$A$3:$H$102,5,FALSE)-VLOOKUP($A293,main!$A$3:$H$102,6,FALSE)&gt;=main!$D$103+VLOOKUP(VLOOKUP(AE$1,main!$A$3:$I$102,7,FALSE),main!$K$26:$Q$29,5,FALSE)),1,0)</f>
        <v>0</v>
      </c>
      <c r="AF293">
        <f>IF(AND(VLOOKUP(AF$1,main!$A$3:$H$102,7,FALSE)=main!$G$105,VLOOKUP(AF$1,main!$A$3:$H$102,5,FALSE)-VLOOKUP($A293,main!$A$3:$H$102,6,FALSE)&gt;=main!$D$103+VLOOKUP(VLOOKUP(AF$1,main!$A$3:$I$102,7,FALSE),main!$K$26:$Q$29,5,FALSE)),1,0)</f>
        <v>0</v>
      </c>
      <c r="AG293">
        <f>IF(AND(VLOOKUP(AG$1,main!$A$3:$H$102,7,FALSE)=main!$G$105,VLOOKUP(AG$1,main!$A$3:$H$102,5,FALSE)-VLOOKUP($A293,main!$A$3:$H$102,6,FALSE)&gt;=main!$D$103+VLOOKUP(VLOOKUP(AG$1,main!$A$3:$I$102,7,FALSE),main!$K$26:$Q$29,5,FALSE)),1,0)</f>
        <v>0</v>
      </c>
      <c r="AH293">
        <f>IF(AND(VLOOKUP(AH$1,main!$A$3:$H$102,7,FALSE)=main!$G$105,VLOOKUP(AH$1,main!$A$3:$H$102,5,FALSE)-VLOOKUP($A293,main!$A$3:$H$102,6,FALSE)&gt;=main!$D$103+VLOOKUP(VLOOKUP(AH$1,main!$A$3:$I$102,7,FALSE),main!$K$26:$Q$29,5,FALSE)),1,0)</f>
        <v>0</v>
      </c>
      <c r="AI293">
        <f>IF(AND(VLOOKUP(AI$1,main!$A$3:$H$102,7,FALSE)=main!$G$105,VLOOKUP(AI$1,main!$A$3:$H$102,5,FALSE)-VLOOKUP($A293,main!$A$3:$H$102,6,FALSE)&gt;=main!$D$103+VLOOKUP(VLOOKUP(AI$1,main!$A$3:$I$102,7,FALSE),main!$K$26:$Q$29,5,FALSE)),1,0)</f>
        <v>0</v>
      </c>
      <c r="AJ293">
        <f>IF(AND(VLOOKUP(AJ$1,main!$A$3:$H$102,7,FALSE)=main!$G$105,VLOOKUP(AJ$1,main!$A$3:$H$102,5,FALSE)-VLOOKUP($A293,main!$A$3:$H$102,6,FALSE)&gt;=main!$D$103+VLOOKUP(VLOOKUP(AJ$1,main!$A$3:$I$102,7,FALSE),main!$K$26:$Q$29,5,FALSE)),1,0)</f>
        <v>0</v>
      </c>
      <c r="AK293">
        <f>IF(AND(VLOOKUP(AK$1,main!$A$3:$H$102,7,FALSE)=main!$G$105,VLOOKUP(AK$1,main!$A$3:$H$102,5,FALSE)-VLOOKUP($A293,main!$A$3:$H$102,6,FALSE)&gt;=main!$D$103+VLOOKUP(VLOOKUP(AK$1,main!$A$3:$I$102,7,FALSE),main!$K$26:$Q$29,5,FALSE)),1,0)</f>
        <v>0</v>
      </c>
      <c r="AL293">
        <f>IF(AND(VLOOKUP(AL$1,main!$A$3:$H$102,7,FALSE)=main!$G$105,VLOOKUP(AL$1,main!$A$3:$H$102,5,FALSE)-VLOOKUP($A293,main!$A$3:$H$102,6,FALSE)&gt;=main!$D$103+VLOOKUP(VLOOKUP(AL$1,main!$A$3:$I$102,7,FALSE),main!$K$26:$Q$29,5,FALSE)),1,0)</f>
        <v>0</v>
      </c>
      <c r="AM293">
        <f>IF(AND(VLOOKUP(AM$1,main!$A$3:$H$102,7,FALSE)=main!$G$105,VLOOKUP(AM$1,main!$A$3:$H$102,5,FALSE)-VLOOKUP($A293,main!$A$3:$H$102,6,FALSE)&gt;=main!$D$103+VLOOKUP(VLOOKUP(AM$1,main!$A$3:$I$102,7,FALSE),main!$K$26:$Q$29,5,FALSE)),1,0)</f>
        <v>0</v>
      </c>
      <c r="AN293">
        <f>IF(AND(VLOOKUP(AN$1,main!$A$3:$H$102,7,FALSE)=main!$G$105,VLOOKUP(AN$1,main!$A$3:$H$102,5,FALSE)-VLOOKUP($A293,main!$A$3:$H$102,6,FALSE)&gt;=main!$D$103+VLOOKUP(VLOOKUP(AN$1,main!$A$3:$I$102,7,FALSE),main!$K$26:$Q$29,5,FALSE)),1,0)</f>
        <v>1</v>
      </c>
      <c r="AO293">
        <f>IF(AND(VLOOKUP(AO$1,main!$A$3:$H$102,7,FALSE)=main!$G$105,VLOOKUP(AO$1,main!$A$3:$H$102,5,FALSE)-VLOOKUP($A293,main!$A$3:$H$102,6,FALSE)&gt;=main!$D$103+VLOOKUP(VLOOKUP(AO$1,main!$A$3:$I$102,7,FALSE),main!$K$26:$Q$29,5,FALSE)),1,0)</f>
        <v>0</v>
      </c>
      <c r="AP293">
        <f>IF(AND(VLOOKUP(AP$1,main!$A$3:$H$102,7,FALSE)=main!$G$105,VLOOKUP(AP$1,main!$A$3:$H$102,5,FALSE)-VLOOKUP($A293,main!$A$3:$H$102,6,FALSE)&gt;=main!$D$103+VLOOKUP(VLOOKUP(AP$1,main!$A$3:$I$102,7,FALSE),main!$K$26:$Q$29,5,FALSE)),1,0)</f>
        <v>1</v>
      </c>
      <c r="AQ293">
        <f>IF(AND(VLOOKUP(AQ$1,main!$A$3:$H$102,7,FALSE)=main!$G$105,VLOOKUP(AQ$1,main!$A$3:$H$102,5,FALSE)-VLOOKUP($A293,main!$A$3:$H$102,6,FALSE)&gt;=main!$D$103+VLOOKUP(VLOOKUP(AQ$1,main!$A$3:$I$102,7,FALSE),main!$K$26:$Q$29,5,FALSE)),1,0)</f>
        <v>0</v>
      </c>
      <c r="AR293">
        <f>IF(AND(VLOOKUP(AR$1,main!$A$3:$H$102,7,FALSE)=main!$G$105,VLOOKUP(AR$1,main!$A$3:$H$102,5,FALSE)-VLOOKUP($A293,main!$A$3:$H$102,6,FALSE)&gt;=main!$D$103+VLOOKUP(VLOOKUP(AR$1,main!$A$3:$I$102,7,FALSE),main!$K$26:$Q$29,5,FALSE)),1,0)</f>
        <v>0</v>
      </c>
      <c r="AS293">
        <f>IF(AND(VLOOKUP(AS$1,main!$A$3:$H$102,7,FALSE)=main!$G$105,VLOOKUP(AS$1,main!$A$3:$H$102,5,FALSE)-VLOOKUP($A293,main!$A$3:$H$102,6,FALSE)&gt;=main!$D$103+VLOOKUP(VLOOKUP(AS$1,main!$A$3:$I$102,7,FALSE),main!$K$26:$Q$29,5,FALSE)),1,0)</f>
        <v>0</v>
      </c>
      <c r="AT293">
        <f>IF(AND(VLOOKUP(AT$1,main!$A$3:$H$102,7,FALSE)=main!$G$105,VLOOKUP(AT$1,main!$A$3:$H$102,5,FALSE)-VLOOKUP($A293,main!$A$3:$H$102,6,FALSE)&gt;=main!$D$103+VLOOKUP(VLOOKUP(AT$1,main!$A$3:$I$102,7,FALSE),main!$K$26:$Q$29,5,FALSE)),1,0)</f>
        <v>0</v>
      </c>
      <c r="AU293">
        <f>IF(AND(VLOOKUP(AU$1,main!$A$3:$H$102,7,FALSE)=main!$G$105,VLOOKUP(AU$1,main!$A$3:$H$102,5,FALSE)-VLOOKUP($A293,main!$A$3:$H$102,6,FALSE)&gt;=main!$D$103+VLOOKUP(VLOOKUP(AU$1,main!$A$3:$I$102,7,FALSE),main!$K$26:$Q$29,5,FALSE)),1,0)</f>
        <v>0</v>
      </c>
      <c r="AV293">
        <f>IF(AND(VLOOKUP(AV$1,main!$A$3:$H$102,7,FALSE)=main!$G$105,VLOOKUP(AV$1,main!$A$3:$H$102,5,FALSE)-VLOOKUP($A293,main!$A$3:$H$102,6,FALSE)&gt;=main!$D$103+VLOOKUP(VLOOKUP(AV$1,main!$A$3:$I$102,7,FALSE),main!$K$26:$Q$29,5,FALSE)),1,0)</f>
        <v>0</v>
      </c>
      <c r="AW293">
        <f>IF(AND(VLOOKUP(AW$1,main!$A$3:$H$102,7,FALSE)=main!$G$105,VLOOKUP(AW$1,main!$A$3:$H$102,5,FALSE)-VLOOKUP($A293,main!$A$3:$H$102,6,FALSE)&gt;=main!$D$103+VLOOKUP(VLOOKUP(AW$1,main!$A$3:$I$102,7,FALSE),main!$K$26:$Q$29,5,FALSE)),1,0)</f>
        <v>0</v>
      </c>
      <c r="AX293">
        <f>IF(AND(VLOOKUP(AX$1,main!$A$3:$H$102,7,FALSE)=main!$G$105,VLOOKUP(AX$1,main!$A$3:$H$102,5,FALSE)-VLOOKUP($A293,main!$A$3:$H$102,6,FALSE)&gt;=main!$D$103+VLOOKUP(VLOOKUP(AX$1,main!$A$3:$I$102,7,FALSE),main!$K$26:$Q$29,5,FALSE)),1,0)</f>
        <v>0</v>
      </c>
      <c r="AY293">
        <f>IF(AND(VLOOKUP(AY$1,main!$A$3:$H$102,7,FALSE)=main!$G$105,VLOOKUP(AY$1,main!$A$3:$H$102,5,FALSE)-VLOOKUP($A293,main!$A$3:$H$102,6,FALSE)&gt;=main!$D$103+VLOOKUP(VLOOKUP(AY$1,main!$A$3:$I$102,7,FALSE),main!$K$26:$Q$29,5,FALSE)),1,0)</f>
        <v>0</v>
      </c>
      <c r="AZ293">
        <f>IF(AND(VLOOKUP(AZ$1,main!$A$3:$H$102,7,FALSE)=main!$G$105,VLOOKUP(AZ$1,main!$A$3:$H$102,5,FALSE)-VLOOKUP($A293,main!$A$3:$H$102,6,FALSE)&gt;=main!$D$103+VLOOKUP(VLOOKUP(AZ$1,main!$A$3:$I$102,7,FALSE),main!$K$26:$Q$29,5,FALSE)),1,0)</f>
        <v>0</v>
      </c>
      <c r="BA293">
        <f>IF(AND(VLOOKUP(BA$1,main!$A$3:$H$102,7,FALSE)=main!$G$105,VLOOKUP(BA$1,main!$A$3:$H$102,5,FALSE)-VLOOKUP($A293,main!$A$3:$H$102,6,FALSE)&gt;=main!$D$103+VLOOKUP(VLOOKUP(BA$1,main!$A$3:$I$102,7,FALSE),main!$K$26:$Q$29,5,FALSE)),1,0)</f>
        <v>0</v>
      </c>
      <c r="BB293">
        <f>IF(AND(VLOOKUP(BB$1,main!$A$3:$H$102,7,FALSE)=main!$G$105,VLOOKUP(BB$1,main!$A$3:$H$102,5,FALSE)-VLOOKUP($A293,main!$A$3:$H$102,6,FALSE)&gt;=main!$D$103+VLOOKUP(VLOOKUP(BB$1,main!$A$3:$I$102,7,FALSE),main!$K$26:$Q$29,5,FALSE)),1,0)</f>
        <v>0</v>
      </c>
      <c r="BC293">
        <f>IF(AND(VLOOKUP(BC$1,main!$A$3:$H$102,7,FALSE)=main!$G$105,VLOOKUP(BC$1,main!$A$3:$H$102,5,FALSE)-VLOOKUP($A293,main!$A$3:$H$102,6,FALSE)&gt;=main!$D$103+VLOOKUP(VLOOKUP(BC$1,main!$A$3:$I$102,7,FALSE),main!$K$26:$Q$29,5,FALSE)),1,0)</f>
        <v>0</v>
      </c>
      <c r="BD293">
        <f>IF(AND(VLOOKUP(BD$1,main!$A$3:$H$102,7,FALSE)=main!$G$105,VLOOKUP(BD$1,main!$A$3:$H$102,5,FALSE)-VLOOKUP($A293,main!$A$3:$H$102,6,FALSE)&gt;=main!$D$103+VLOOKUP(VLOOKUP(BD$1,main!$A$3:$I$102,7,FALSE),main!$K$26:$Q$29,5,FALSE)),1,0)</f>
        <v>0</v>
      </c>
      <c r="BE293">
        <f>IF(AND(VLOOKUP(BE$1,main!$A$3:$H$102,7,FALSE)=main!$G$105,VLOOKUP(BE$1,main!$A$3:$H$102,5,FALSE)-VLOOKUP($A293,main!$A$3:$H$102,6,FALSE)&gt;=main!$D$103+VLOOKUP(VLOOKUP(BE$1,main!$A$3:$I$102,7,FALSE),main!$K$26:$Q$29,5,FALSE)),1,0)</f>
        <v>0</v>
      </c>
      <c r="BF293">
        <f>IF(AND(VLOOKUP(BF$1,main!$A$3:$H$102,7,FALSE)=main!$G$105,VLOOKUP(BF$1,main!$A$3:$H$102,5,FALSE)-VLOOKUP($A293,main!$A$3:$H$102,6,FALSE)&gt;=main!$D$103+VLOOKUP(VLOOKUP(BF$1,main!$A$3:$I$102,7,FALSE),main!$K$26:$Q$29,5,FALSE)),1,0)</f>
        <v>0</v>
      </c>
      <c r="BG293">
        <f>IF(AND(VLOOKUP(BG$1,main!$A$3:$H$102,7,FALSE)=main!$G$105,VLOOKUP(BG$1,main!$A$3:$H$102,5,FALSE)-VLOOKUP($A293,main!$A$3:$H$102,6,FALSE)&gt;=main!$D$103+VLOOKUP(VLOOKUP(BG$1,main!$A$3:$I$102,7,FALSE),main!$K$26:$Q$29,5,FALSE)),1,0)</f>
        <v>0</v>
      </c>
      <c r="BH293">
        <f>IF(AND(VLOOKUP(BH$1,main!$A$3:$H$102,7,FALSE)=main!$G$105,VLOOKUP(BH$1,main!$A$3:$H$102,5,FALSE)-VLOOKUP($A293,main!$A$3:$H$102,6,FALSE)&gt;=main!$D$103+VLOOKUP(VLOOKUP(BH$1,main!$A$3:$I$102,7,FALSE),main!$K$26:$Q$29,5,FALSE)),1,0)</f>
        <v>0</v>
      </c>
      <c r="BI293">
        <f>IF(AND(VLOOKUP(BI$1,main!$A$3:$H$102,7,FALSE)=main!$G$105,VLOOKUP(BI$1,main!$A$3:$H$102,5,FALSE)-VLOOKUP($A293,main!$A$3:$H$102,6,FALSE)&gt;=main!$D$103+VLOOKUP(VLOOKUP(BI$1,main!$A$3:$I$102,7,FALSE),main!$K$26:$Q$29,5,FALSE)),1,0)</f>
        <v>0</v>
      </c>
      <c r="BJ293">
        <f>IF(AND(VLOOKUP(BJ$1,main!$A$3:$H$102,7,FALSE)=main!$G$105,VLOOKUP(BJ$1,main!$A$3:$H$102,5,FALSE)-VLOOKUP($A293,main!$A$3:$H$102,6,FALSE)&gt;=main!$D$103+VLOOKUP(VLOOKUP(BJ$1,main!$A$3:$I$102,7,FALSE),main!$K$26:$Q$29,5,FALSE)),1,0)</f>
        <v>0</v>
      </c>
      <c r="BK293">
        <f>IF(AND(VLOOKUP(BK$1,main!$A$3:$H$102,7,FALSE)=main!$G$105,VLOOKUP(BK$1,main!$A$3:$H$102,5,FALSE)-VLOOKUP($A293,main!$A$3:$H$102,6,FALSE)&gt;=main!$D$103+VLOOKUP(VLOOKUP(BK$1,main!$A$3:$I$102,7,FALSE),main!$K$26:$Q$29,5,FALSE)),1,0)</f>
        <v>0</v>
      </c>
      <c r="BL293">
        <f>IF(AND(VLOOKUP(BL$1,main!$A$3:$H$102,7,FALSE)=main!$G$105,VLOOKUP(BL$1,main!$A$3:$H$102,5,FALSE)-VLOOKUP($A293,main!$A$3:$H$102,6,FALSE)&gt;=main!$D$103+VLOOKUP(VLOOKUP(BL$1,main!$A$3:$I$102,7,FALSE),main!$K$26:$Q$29,5,FALSE)),1,0)</f>
        <v>0</v>
      </c>
      <c r="BM293">
        <f>IF(AND(VLOOKUP(BM$1,main!$A$3:$H$102,7,FALSE)=main!$G$105,VLOOKUP(BM$1,main!$A$3:$H$102,5,FALSE)-VLOOKUP($A293,main!$A$3:$H$102,6,FALSE)&gt;=main!$D$103+VLOOKUP(VLOOKUP(BM$1,main!$A$3:$I$102,7,FALSE),main!$K$26:$Q$29,5,FALSE)),1,0)</f>
        <v>0</v>
      </c>
      <c r="BN293">
        <f>IF(AND(VLOOKUP(BN$1,main!$A$3:$H$102,7,FALSE)=main!$G$105,VLOOKUP(BN$1,main!$A$3:$H$102,5,FALSE)-VLOOKUP($A293,main!$A$3:$H$102,6,FALSE)&gt;=main!$D$103+VLOOKUP(VLOOKUP(BN$1,main!$A$3:$I$102,7,FALSE),main!$K$26:$Q$29,5,FALSE)),1,0)</f>
        <v>0</v>
      </c>
      <c r="BO293">
        <f>IF(AND(VLOOKUP(BO$1,main!$A$3:$H$102,7,FALSE)=main!$G$105,VLOOKUP(BO$1,main!$A$3:$H$102,5,FALSE)-VLOOKUP($A293,main!$A$3:$H$102,6,FALSE)&gt;=main!$D$103+VLOOKUP(VLOOKUP(BO$1,main!$A$3:$I$102,7,FALSE),main!$K$26:$Q$29,5,FALSE)),1,0)</f>
        <v>0</v>
      </c>
      <c r="BP293">
        <f>IF(AND(VLOOKUP(BP$1,main!$A$3:$H$102,7,FALSE)=main!$G$105,VLOOKUP(BP$1,main!$A$3:$H$102,5,FALSE)-VLOOKUP($A293,main!$A$3:$H$102,6,FALSE)&gt;=main!$D$103+VLOOKUP(VLOOKUP(BP$1,main!$A$3:$I$102,7,FALSE),main!$K$26:$Q$29,5,FALSE)),1,0)</f>
        <v>0</v>
      </c>
      <c r="BQ293">
        <f>IF(AND(VLOOKUP(BQ$1,main!$A$3:$H$102,7,FALSE)=main!$G$105,VLOOKUP(BQ$1,main!$A$3:$H$102,5,FALSE)-VLOOKUP($A293,main!$A$3:$H$102,6,FALSE)&gt;=main!$D$103+VLOOKUP(VLOOKUP(BQ$1,main!$A$3:$I$102,7,FALSE),main!$K$26:$Q$29,5,FALSE)),1,0)</f>
        <v>0</v>
      </c>
      <c r="BR293">
        <f>IF(AND(VLOOKUP(BR$1,main!$A$3:$H$102,7,FALSE)=main!$G$105,VLOOKUP(BR$1,main!$A$3:$H$102,5,FALSE)-VLOOKUP($A293,main!$A$3:$H$102,6,FALSE)&gt;=main!$D$103+VLOOKUP(VLOOKUP(BR$1,main!$A$3:$I$102,7,FALSE),main!$K$26:$Q$29,5,FALSE)),1,0)</f>
        <v>0</v>
      </c>
      <c r="BS293">
        <f>IF(AND(VLOOKUP(BS$1,main!$A$3:$H$102,7,FALSE)=main!$G$105,VLOOKUP(BS$1,main!$A$3:$H$102,5,FALSE)-VLOOKUP($A293,main!$A$3:$H$102,6,FALSE)&gt;=main!$D$103+VLOOKUP(VLOOKUP(BS$1,main!$A$3:$I$102,7,FALSE),main!$K$26:$Q$29,5,FALSE)),1,0)</f>
        <v>0</v>
      </c>
      <c r="BT293">
        <f>IF(AND(VLOOKUP(BT$1,main!$A$3:$H$102,7,FALSE)=main!$G$105,VLOOKUP(BT$1,main!$A$3:$H$102,5,FALSE)-VLOOKUP($A293,main!$A$3:$H$102,6,FALSE)&gt;=main!$D$103+VLOOKUP(VLOOKUP(BT$1,main!$A$3:$I$102,7,FALSE),main!$K$26:$Q$29,5,FALSE)),1,0)</f>
        <v>0</v>
      </c>
      <c r="BU293">
        <f>IF(AND(VLOOKUP(BU$1,main!$A$3:$H$102,7,FALSE)=main!$G$105,VLOOKUP(BU$1,main!$A$3:$H$102,5,FALSE)-VLOOKUP($A293,main!$A$3:$H$102,6,FALSE)&gt;=main!$D$103+VLOOKUP(VLOOKUP(BU$1,main!$A$3:$I$102,7,FALSE),main!$K$26:$Q$29,5,FALSE)),1,0)</f>
        <v>0</v>
      </c>
      <c r="BV293">
        <f>IF(AND(VLOOKUP(BV$1,main!$A$3:$H$102,7,FALSE)=main!$G$105,VLOOKUP(BV$1,main!$A$3:$H$102,5,FALSE)-VLOOKUP($A293,main!$A$3:$H$102,6,FALSE)&gt;=main!$D$103+VLOOKUP(VLOOKUP(BV$1,main!$A$3:$I$102,7,FALSE),main!$K$26:$Q$29,5,FALSE)),1,0)</f>
        <v>0</v>
      </c>
      <c r="BW293">
        <f>IF(AND(VLOOKUP(BW$1,main!$A$3:$H$102,7,FALSE)=main!$G$105,VLOOKUP(BW$1,main!$A$3:$H$102,5,FALSE)-VLOOKUP($A293,main!$A$3:$H$102,6,FALSE)&gt;=main!$D$103+VLOOKUP(VLOOKUP(BW$1,main!$A$3:$I$102,7,FALSE),main!$K$26:$Q$29,5,FALSE)),1,0)</f>
        <v>0</v>
      </c>
      <c r="BX293">
        <f>IF(AND(VLOOKUP(BX$1,main!$A$3:$H$102,7,FALSE)=main!$G$105,VLOOKUP(BX$1,main!$A$3:$H$102,5,FALSE)-VLOOKUP($A293,main!$A$3:$H$102,6,FALSE)&gt;=main!$D$103+VLOOKUP(VLOOKUP(BX$1,main!$A$3:$I$102,7,FALSE),main!$K$26:$Q$29,5,FALSE)),1,0)</f>
        <v>0</v>
      </c>
      <c r="BY293">
        <f>IF(AND(VLOOKUP(BY$1,main!$A$3:$H$102,7,FALSE)=main!$G$105,VLOOKUP(BY$1,main!$A$3:$H$102,5,FALSE)-VLOOKUP($A293,main!$A$3:$H$102,6,FALSE)&gt;=main!$D$103+VLOOKUP(VLOOKUP(BY$1,main!$A$3:$I$102,7,FALSE),main!$K$26:$Q$29,5,FALSE)),1,0)</f>
        <v>0</v>
      </c>
      <c r="BZ293">
        <f>IF(AND(VLOOKUP(BZ$1,main!$A$3:$H$102,7,FALSE)=main!$G$105,VLOOKUP(BZ$1,main!$A$3:$H$102,5,FALSE)-VLOOKUP($A293,main!$A$3:$H$102,6,FALSE)&gt;=main!$D$103+VLOOKUP(VLOOKUP(BZ$1,main!$A$3:$I$102,7,FALSE),main!$K$26:$Q$29,5,FALSE)),1,0)</f>
        <v>0</v>
      </c>
      <c r="CA293">
        <f>IF(AND(VLOOKUP(CA$1,main!$A$3:$H$102,7,FALSE)=main!$G$105,VLOOKUP(CA$1,main!$A$3:$H$102,5,FALSE)-VLOOKUP($A293,main!$A$3:$H$102,6,FALSE)&gt;=main!$D$103+VLOOKUP(VLOOKUP(CA$1,main!$A$3:$I$102,7,FALSE),main!$K$26:$Q$29,5,FALSE)),1,0)</f>
        <v>0</v>
      </c>
      <c r="CB293">
        <f>IF(AND(VLOOKUP(CB$1,main!$A$3:$H$102,7,FALSE)=main!$G$105,VLOOKUP(CB$1,main!$A$3:$H$102,5,FALSE)-VLOOKUP($A293,main!$A$3:$H$102,6,FALSE)&gt;=main!$D$103+VLOOKUP(VLOOKUP(CB$1,main!$A$3:$I$102,7,FALSE),main!$K$26:$Q$29,5,FALSE)),1,0)</f>
        <v>0</v>
      </c>
      <c r="CC293">
        <f>IF(AND(VLOOKUP(CC$1,main!$A$3:$H$102,7,FALSE)=main!$G$105,VLOOKUP(CC$1,main!$A$3:$H$102,5,FALSE)-VLOOKUP($A293,main!$A$3:$H$102,6,FALSE)&gt;=main!$D$103+VLOOKUP(VLOOKUP(CC$1,main!$A$3:$I$102,7,FALSE),main!$K$26:$Q$29,5,FALSE)),1,0)</f>
        <v>0</v>
      </c>
      <c r="CD293">
        <f>IF(AND(VLOOKUP(CD$1,main!$A$3:$H$102,7,FALSE)=main!$G$105,VLOOKUP(CD$1,main!$A$3:$H$102,5,FALSE)-VLOOKUP($A293,main!$A$3:$H$102,6,FALSE)&gt;=main!$D$103+VLOOKUP(VLOOKUP(CD$1,main!$A$3:$I$102,7,FALSE),main!$K$26:$Q$29,5,FALSE)),1,0)</f>
        <v>0</v>
      </c>
      <c r="CE293">
        <f>IF(AND(VLOOKUP(CE$1,main!$A$3:$H$102,7,FALSE)=main!$G$105,VLOOKUP(CE$1,main!$A$3:$H$102,5,FALSE)-VLOOKUP($A293,main!$A$3:$H$102,6,FALSE)&gt;=main!$D$103+VLOOKUP(VLOOKUP(CE$1,main!$A$3:$I$102,7,FALSE),main!$K$26:$Q$29,5,FALSE)),1,0)</f>
        <v>0</v>
      </c>
      <c r="CF293">
        <f>IF(AND(VLOOKUP(CF$1,main!$A$3:$H$102,7,FALSE)=main!$G$105,VLOOKUP(CF$1,main!$A$3:$H$102,5,FALSE)-VLOOKUP($A293,main!$A$3:$H$102,6,FALSE)&gt;=main!$D$103+VLOOKUP(VLOOKUP(CF$1,main!$A$3:$I$102,7,FALSE),main!$K$26:$Q$29,5,FALSE)),1,0)</f>
        <v>0</v>
      </c>
      <c r="CG293">
        <f>IF(AND(VLOOKUP(CG$1,main!$A$3:$H$102,7,FALSE)=main!$G$105,VLOOKUP(CG$1,main!$A$3:$H$102,5,FALSE)-VLOOKUP($A293,main!$A$3:$H$102,6,FALSE)&gt;=main!$D$103+VLOOKUP(VLOOKUP(CG$1,main!$A$3:$I$102,7,FALSE),main!$K$26:$Q$29,5,FALSE)),1,0)</f>
        <v>0</v>
      </c>
      <c r="CH293">
        <f>IF(AND(VLOOKUP(CH$1,main!$A$3:$H$102,7,FALSE)=main!$G$105,VLOOKUP(CH$1,main!$A$3:$H$102,5,FALSE)-VLOOKUP($A293,main!$A$3:$H$102,6,FALSE)&gt;=main!$D$103+VLOOKUP(VLOOKUP(CH$1,main!$A$3:$I$102,7,FALSE),main!$K$26:$Q$29,5,FALSE)),1,0)</f>
        <v>0</v>
      </c>
      <c r="CI293">
        <f>IF(AND(VLOOKUP(CI$1,main!$A$3:$H$102,7,FALSE)=main!$G$105,VLOOKUP(CI$1,main!$A$3:$H$102,5,FALSE)-VLOOKUP($A293,main!$A$3:$H$102,6,FALSE)&gt;=main!$D$103+VLOOKUP(VLOOKUP(CI$1,main!$A$3:$I$102,7,FALSE),main!$K$26:$Q$29,5,FALSE)),1,0)</f>
        <v>0</v>
      </c>
      <c r="CJ293">
        <f>IF(AND(VLOOKUP(CJ$1,main!$A$3:$H$102,7,FALSE)=main!$G$105,VLOOKUP(CJ$1,main!$A$3:$H$102,5,FALSE)-VLOOKUP($A293,main!$A$3:$H$102,6,FALSE)&gt;=main!$D$103+VLOOKUP(VLOOKUP(CJ$1,main!$A$3:$I$102,7,FALSE),main!$K$26:$Q$29,5,FALSE)),1,0)</f>
        <v>0</v>
      </c>
      <c r="CK293">
        <f>IF(AND(VLOOKUP(CK$1,main!$A$3:$H$102,7,FALSE)=main!$G$105,VLOOKUP(CK$1,main!$A$3:$H$102,5,FALSE)-VLOOKUP($A293,main!$A$3:$H$102,6,FALSE)&gt;=main!$D$103+VLOOKUP(VLOOKUP(CK$1,main!$A$3:$I$102,7,FALSE),main!$K$26:$Q$29,5,FALSE)),1,0)</f>
        <v>0</v>
      </c>
      <c r="CL293">
        <f>IF(AND(VLOOKUP(CL$1,main!$A$3:$H$102,7,FALSE)=main!$G$105,VLOOKUP(CL$1,main!$A$3:$H$102,5,FALSE)-VLOOKUP($A293,main!$A$3:$H$102,6,FALSE)&gt;=main!$D$103+VLOOKUP(VLOOKUP(CL$1,main!$A$3:$I$102,7,FALSE),main!$K$26:$Q$29,5,FALSE)),1,0)</f>
        <v>0</v>
      </c>
      <c r="CM293">
        <f>IF(AND(VLOOKUP(CM$1,main!$A$3:$H$102,7,FALSE)=main!$G$105,VLOOKUP(CM$1,main!$A$3:$H$102,5,FALSE)-VLOOKUP($A293,main!$A$3:$H$102,6,FALSE)&gt;=main!$D$103+VLOOKUP(VLOOKUP(CM$1,main!$A$3:$I$102,7,FALSE),main!$K$26:$Q$29,5,FALSE)),1,0)</f>
        <v>0</v>
      </c>
      <c r="CN293">
        <f>IF(AND(VLOOKUP(CN$1,main!$A$3:$H$102,7,FALSE)=main!$G$105,VLOOKUP(CN$1,main!$A$3:$H$102,5,FALSE)-VLOOKUP($A293,main!$A$3:$H$102,6,FALSE)&gt;=main!$D$103+VLOOKUP(VLOOKUP(CN$1,main!$A$3:$I$102,7,FALSE),main!$K$26:$Q$29,5,FALSE)),1,0)</f>
        <v>0</v>
      </c>
      <c r="CO293">
        <f>IF(AND(VLOOKUP(CO$1,main!$A$3:$H$102,7,FALSE)=main!$G$105,VLOOKUP(CO$1,main!$A$3:$H$102,5,FALSE)-VLOOKUP($A293,main!$A$3:$H$102,6,FALSE)&gt;=main!$D$103+VLOOKUP(VLOOKUP(CO$1,main!$A$3:$I$102,7,FALSE),main!$K$26:$Q$29,5,FALSE)),1,0)</f>
        <v>0</v>
      </c>
      <c r="CP293">
        <f>IF(AND(VLOOKUP(CP$1,main!$A$3:$H$102,7,FALSE)=main!$G$105,VLOOKUP(CP$1,main!$A$3:$H$102,5,FALSE)-VLOOKUP($A293,main!$A$3:$H$102,6,FALSE)&gt;=main!$D$103+VLOOKUP(VLOOKUP(CP$1,main!$A$3:$I$102,7,FALSE),main!$K$26:$Q$29,5,FALSE)),1,0)</f>
        <v>0</v>
      </c>
      <c r="CQ293">
        <f>IF(AND(VLOOKUP(CQ$1,main!$A$3:$H$102,7,FALSE)=main!$G$105,VLOOKUP(CQ$1,main!$A$3:$H$102,5,FALSE)-VLOOKUP($A293,main!$A$3:$H$102,6,FALSE)&gt;=main!$D$103+VLOOKUP(VLOOKUP(CQ$1,main!$A$3:$I$102,7,FALSE),main!$K$26:$Q$29,5,FALSE)),1,0)</f>
        <v>0</v>
      </c>
      <c r="CR293">
        <f>IF(AND(VLOOKUP(CR$1,main!$A$3:$H$102,7,FALSE)=main!$G$105,VLOOKUP(CR$1,main!$A$3:$H$102,5,FALSE)-VLOOKUP($A293,main!$A$3:$H$102,6,FALSE)&gt;=main!$D$103+VLOOKUP(VLOOKUP(CR$1,main!$A$3:$I$102,7,FALSE),main!$K$26:$Q$29,5,FALSE)),1,0)</f>
        <v>0</v>
      </c>
      <c r="CS293">
        <f>IF(AND(VLOOKUP(CS$1,main!$A$3:$H$102,7,FALSE)=main!$G$105,VLOOKUP(CS$1,main!$A$3:$H$102,5,FALSE)-VLOOKUP($A293,main!$A$3:$H$102,6,FALSE)&gt;=main!$D$103+VLOOKUP(VLOOKUP(CS$1,main!$A$3:$I$102,7,FALSE),main!$K$26:$Q$29,5,FALSE)),1,0)</f>
        <v>0</v>
      </c>
      <c r="CT293">
        <f>IF(AND(VLOOKUP(CT$1,main!$A$3:$H$102,7,FALSE)=main!$G$105,VLOOKUP(CT$1,main!$A$3:$H$102,5,FALSE)-VLOOKUP($A293,main!$A$3:$H$102,6,FALSE)&gt;=main!$D$103+VLOOKUP(VLOOKUP(CT$1,main!$A$3:$I$102,7,FALSE),main!$K$26:$Q$29,5,FALSE)),1,0)</f>
        <v>0</v>
      </c>
      <c r="CU293">
        <f>IF(AND(VLOOKUP(CU$1,main!$A$3:$H$102,7,FALSE)=main!$G$105,VLOOKUP(CU$1,main!$A$3:$H$102,5,FALSE)-VLOOKUP($A293,main!$A$3:$H$102,6,FALSE)&gt;=main!$D$103+VLOOKUP(VLOOKUP(CU$1,main!$A$3:$I$102,7,FALSE),main!$K$26:$Q$29,5,FALSE)),1,0)</f>
        <v>0</v>
      </c>
      <c r="CV293">
        <f>IF(AND(VLOOKUP(CV$1,main!$A$3:$H$102,7,FALSE)=main!$G$105,VLOOKUP(CV$1,main!$A$3:$H$102,5,FALSE)-VLOOKUP($A293,main!$A$3:$H$102,6,FALSE)&gt;=main!$D$103+VLOOKUP(VLOOKUP(CV$1,main!$A$3:$I$102,7,FALSE),main!$K$26:$Q$29,5,FALSE)),1,0)</f>
        <v>0</v>
      </c>
      <c r="CW293">
        <f>IF(AND(VLOOKUP(CW$1,main!$A$3:$H$102,7,FALSE)=main!$G$105,VLOOKUP(CW$1,main!$A$3:$H$102,5,FALSE)-VLOOKUP($A293,main!$A$3:$H$102,6,FALSE)&gt;=main!$D$103+VLOOKUP(VLOOKUP(CW$1,main!$A$3:$I$102,7,FALSE),main!$K$26:$Q$29,5,FALSE)),1,0)</f>
        <v>0</v>
      </c>
      <c r="CX293">
        <f>IF(AND(VLOOKUP(CX$1,main!$A$3:$H$102,7,FALSE)=main!$G$105,VLOOKUP(CX$1,main!$A$3:$H$102,5,FALSE)-VLOOKUP($A293,main!$A$3:$H$102,6,FALSE)&gt;=main!$D$103+VLOOKUP(VLOOKUP(CX$1,main!$A$3:$I$102,7,FALSE),main!$K$26:$Q$29,5,FALSE)),1,0)</f>
        <v>0</v>
      </c>
    </row>
    <row r="294" spans="1:102" x14ac:dyDescent="0.25">
      <c r="A294" s="1">
        <v>90</v>
      </c>
      <c r="B294">
        <v>0</v>
      </c>
      <c r="C294">
        <f>IF(AND(VLOOKUP(C$1,main!$A$3:$H$102,7,FALSE)=main!$G$105,VLOOKUP(C$1,main!$A$3:$H$102,5,FALSE)-VLOOKUP($A294,main!$A$3:$H$102,6,FALSE)&gt;=main!$D$103+VLOOKUP(VLOOKUP(C$1,main!$A$3:$I$102,7,FALSE),main!$K$26:$Q$29,5,FALSE)),1,0)</f>
        <v>0</v>
      </c>
      <c r="D294">
        <f>IF(AND(VLOOKUP(D$1,main!$A$3:$H$102,7,FALSE)=main!$G$105,VLOOKUP(D$1,main!$A$3:$H$102,5,FALSE)-VLOOKUP($A294,main!$A$3:$H$102,6,FALSE)&gt;=main!$D$103+VLOOKUP(VLOOKUP(D$1,main!$A$3:$I$102,7,FALSE),main!$K$26:$Q$29,5,FALSE)),1,0)</f>
        <v>0</v>
      </c>
      <c r="E294">
        <f>IF(AND(VLOOKUP(E$1,main!$A$3:$H$102,7,FALSE)=main!$G$105,VLOOKUP(E$1,main!$A$3:$H$102,5,FALSE)-VLOOKUP($A294,main!$A$3:$H$102,6,FALSE)&gt;=main!$D$103+VLOOKUP(VLOOKUP(E$1,main!$A$3:$I$102,7,FALSE),main!$K$26:$Q$29,5,FALSE)),1,0)</f>
        <v>0</v>
      </c>
      <c r="F294">
        <f>IF(AND(VLOOKUP(F$1,main!$A$3:$H$102,7,FALSE)=main!$G$105,VLOOKUP(F$1,main!$A$3:$H$102,5,FALSE)-VLOOKUP($A294,main!$A$3:$H$102,6,FALSE)&gt;=main!$D$103+VLOOKUP(VLOOKUP(F$1,main!$A$3:$I$102,7,FALSE),main!$K$26:$Q$29,5,FALSE)),1,0)</f>
        <v>0</v>
      </c>
      <c r="G294">
        <f>IF(AND(VLOOKUP(G$1,main!$A$3:$H$102,7,FALSE)=main!$G$105,VLOOKUP(G$1,main!$A$3:$H$102,5,FALSE)-VLOOKUP($A294,main!$A$3:$H$102,6,FALSE)&gt;=main!$D$103+VLOOKUP(VLOOKUP(G$1,main!$A$3:$I$102,7,FALSE),main!$K$26:$Q$29,5,FALSE)),1,0)</f>
        <v>0</v>
      </c>
      <c r="H294">
        <f>IF(AND(VLOOKUP(H$1,main!$A$3:$H$102,7,FALSE)=main!$G$105,VLOOKUP(H$1,main!$A$3:$H$102,5,FALSE)-VLOOKUP($A294,main!$A$3:$H$102,6,FALSE)&gt;=main!$D$103+VLOOKUP(VLOOKUP(H$1,main!$A$3:$I$102,7,FALSE),main!$K$26:$Q$29,5,FALSE)),1,0)</f>
        <v>0</v>
      </c>
      <c r="I294">
        <f>IF(AND(VLOOKUP(I$1,main!$A$3:$H$102,7,FALSE)=main!$G$105,VLOOKUP(I$1,main!$A$3:$H$102,5,FALSE)-VLOOKUP($A294,main!$A$3:$H$102,6,FALSE)&gt;=main!$D$103+VLOOKUP(VLOOKUP(I$1,main!$A$3:$I$102,7,FALSE),main!$K$26:$Q$29,5,FALSE)),1,0)</f>
        <v>0</v>
      </c>
      <c r="J294">
        <f>IF(AND(VLOOKUP(J$1,main!$A$3:$H$102,7,FALSE)=main!$G$105,VLOOKUP(J$1,main!$A$3:$H$102,5,FALSE)-VLOOKUP($A294,main!$A$3:$H$102,6,FALSE)&gt;=main!$D$103+VLOOKUP(VLOOKUP(J$1,main!$A$3:$I$102,7,FALSE),main!$K$26:$Q$29,5,FALSE)),1,0)</f>
        <v>0</v>
      </c>
      <c r="K294">
        <f>IF(AND(VLOOKUP(K$1,main!$A$3:$H$102,7,FALSE)=main!$G$105,VLOOKUP(K$1,main!$A$3:$H$102,5,FALSE)-VLOOKUP($A294,main!$A$3:$H$102,6,FALSE)&gt;=main!$D$103+VLOOKUP(VLOOKUP(K$1,main!$A$3:$I$102,7,FALSE),main!$K$26:$Q$29,5,FALSE)),1,0)</f>
        <v>0</v>
      </c>
      <c r="L294">
        <f>IF(AND(VLOOKUP(L$1,main!$A$3:$H$102,7,FALSE)=main!$G$105,VLOOKUP(L$1,main!$A$3:$H$102,5,FALSE)-VLOOKUP($A294,main!$A$3:$H$102,6,FALSE)&gt;=main!$D$103+VLOOKUP(VLOOKUP(L$1,main!$A$3:$I$102,7,FALSE),main!$K$26:$Q$29,5,FALSE)),1,0)</f>
        <v>0</v>
      </c>
      <c r="M294">
        <f>IF(AND(VLOOKUP(M$1,main!$A$3:$H$102,7,FALSE)=main!$G$105,VLOOKUP(M$1,main!$A$3:$H$102,5,FALSE)-VLOOKUP($A294,main!$A$3:$H$102,6,FALSE)&gt;=main!$D$103+VLOOKUP(VLOOKUP(M$1,main!$A$3:$I$102,7,FALSE),main!$K$26:$Q$29,5,FALSE)),1,0)</f>
        <v>0</v>
      </c>
      <c r="N294">
        <f>IF(AND(VLOOKUP(N$1,main!$A$3:$H$102,7,FALSE)=main!$G$105,VLOOKUP(N$1,main!$A$3:$H$102,5,FALSE)-VLOOKUP($A294,main!$A$3:$H$102,6,FALSE)&gt;=main!$D$103+VLOOKUP(VLOOKUP(N$1,main!$A$3:$I$102,7,FALSE),main!$K$26:$Q$29,5,FALSE)),1,0)</f>
        <v>0</v>
      </c>
      <c r="O294">
        <f>IF(AND(VLOOKUP(O$1,main!$A$3:$H$102,7,FALSE)=main!$G$105,VLOOKUP(O$1,main!$A$3:$H$102,5,FALSE)-VLOOKUP($A294,main!$A$3:$H$102,6,FALSE)&gt;=main!$D$103+VLOOKUP(VLOOKUP(O$1,main!$A$3:$I$102,7,FALSE),main!$K$26:$Q$29,5,FALSE)),1,0)</f>
        <v>0</v>
      </c>
      <c r="P294">
        <f>IF(AND(VLOOKUP(P$1,main!$A$3:$H$102,7,FALSE)=main!$G$105,VLOOKUP(P$1,main!$A$3:$H$102,5,FALSE)-VLOOKUP($A294,main!$A$3:$H$102,6,FALSE)&gt;=main!$D$103+VLOOKUP(VLOOKUP(P$1,main!$A$3:$I$102,7,FALSE),main!$K$26:$Q$29,5,FALSE)),1,0)</f>
        <v>0</v>
      </c>
      <c r="Q294">
        <f>IF(AND(VLOOKUP(Q$1,main!$A$3:$H$102,7,FALSE)=main!$G$105,VLOOKUP(Q$1,main!$A$3:$H$102,5,FALSE)-VLOOKUP($A294,main!$A$3:$H$102,6,FALSE)&gt;=main!$D$103+VLOOKUP(VLOOKUP(Q$1,main!$A$3:$I$102,7,FALSE),main!$K$26:$Q$29,5,FALSE)),1,0)</f>
        <v>0</v>
      </c>
      <c r="R294">
        <f>IF(AND(VLOOKUP(R$1,main!$A$3:$H$102,7,FALSE)=main!$G$105,VLOOKUP(R$1,main!$A$3:$H$102,5,FALSE)-VLOOKUP($A294,main!$A$3:$H$102,6,FALSE)&gt;=main!$D$103+VLOOKUP(VLOOKUP(R$1,main!$A$3:$I$102,7,FALSE),main!$K$26:$Q$29,5,FALSE)),1,0)</f>
        <v>0</v>
      </c>
      <c r="S294">
        <f>IF(AND(VLOOKUP(S$1,main!$A$3:$H$102,7,FALSE)=main!$G$105,VLOOKUP(S$1,main!$A$3:$H$102,5,FALSE)-VLOOKUP($A294,main!$A$3:$H$102,6,FALSE)&gt;=main!$D$103+VLOOKUP(VLOOKUP(S$1,main!$A$3:$I$102,7,FALSE),main!$K$26:$Q$29,5,FALSE)),1,0)</f>
        <v>0</v>
      </c>
      <c r="T294">
        <f>IF(AND(VLOOKUP(T$1,main!$A$3:$H$102,7,FALSE)=main!$G$105,VLOOKUP(T$1,main!$A$3:$H$102,5,FALSE)-VLOOKUP($A294,main!$A$3:$H$102,6,FALSE)&gt;=main!$D$103+VLOOKUP(VLOOKUP(T$1,main!$A$3:$I$102,7,FALSE),main!$K$26:$Q$29,5,FALSE)),1,0)</f>
        <v>0</v>
      </c>
      <c r="U294">
        <f>IF(AND(VLOOKUP(U$1,main!$A$3:$H$102,7,FALSE)=main!$G$105,VLOOKUP(U$1,main!$A$3:$H$102,5,FALSE)-VLOOKUP($A294,main!$A$3:$H$102,6,FALSE)&gt;=main!$D$103+VLOOKUP(VLOOKUP(U$1,main!$A$3:$I$102,7,FALSE),main!$K$26:$Q$29,5,FALSE)),1,0)</f>
        <v>0</v>
      </c>
      <c r="V294">
        <f>IF(AND(VLOOKUP(V$1,main!$A$3:$H$102,7,FALSE)=main!$G$105,VLOOKUP(V$1,main!$A$3:$H$102,5,FALSE)-VLOOKUP($A294,main!$A$3:$H$102,6,FALSE)&gt;=main!$D$103+VLOOKUP(VLOOKUP(V$1,main!$A$3:$I$102,7,FALSE),main!$K$26:$Q$29,5,FALSE)),1,0)</f>
        <v>0</v>
      </c>
      <c r="W294">
        <f>IF(AND(VLOOKUP(W$1,main!$A$3:$H$102,7,FALSE)=main!$G$105,VLOOKUP(W$1,main!$A$3:$H$102,5,FALSE)-VLOOKUP($A294,main!$A$3:$H$102,6,FALSE)&gt;=main!$D$103+VLOOKUP(VLOOKUP(W$1,main!$A$3:$I$102,7,FALSE),main!$K$26:$Q$29,5,FALSE)),1,0)</f>
        <v>0</v>
      </c>
      <c r="X294">
        <f>IF(AND(VLOOKUP(X$1,main!$A$3:$H$102,7,FALSE)=main!$G$105,VLOOKUP(X$1,main!$A$3:$H$102,5,FALSE)-VLOOKUP($A294,main!$A$3:$H$102,6,FALSE)&gt;=main!$D$103+VLOOKUP(VLOOKUP(X$1,main!$A$3:$I$102,7,FALSE),main!$K$26:$Q$29,5,FALSE)),1,0)</f>
        <v>0</v>
      </c>
      <c r="Y294">
        <f>IF(AND(VLOOKUP(Y$1,main!$A$3:$H$102,7,FALSE)=main!$G$105,VLOOKUP(Y$1,main!$A$3:$H$102,5,FALSE)-VLOOKUP($A294,main!$A$3:$H$102,6,FALSE)&gt;=main!$D$103+VLOOKUP(VLOOKUP(Y$1,main!$A$3:$I$102,7,FALSE),main!$K$26:$Q$29,5,FALSE)),1,0)</f>
        <v>0</v>
      </c>
      <c r="Z294">
        <f>IF(AND(VLOOKUP(Z$1,main!$A$3:$H$102,7,FALSE)=main!$G$105,VLOOKUP(Z$1,main!$A$3:$H$102,5,FALSE)-VLOOKUP($A294,main!$A$3:$H$102,6,FALSE)&gt;=main!$D$103+VLOOKUP(VLOOKUP(Z$1,main!$A$3:$I$102,7,FALSE),main!$K$26:$Q$29,5,FALSE)),1,0)</f>
        <v>0</v>
      </c>
      <c r="AA294">
        <f>IF(AND(VLOOKUP(AA$1,main!$A$3:$H$102,7,FALSE)=main!$G$105,VLOOKUP(AA$1,main!$A$3:$H$102,5,FALSE)-VLOOKUP($A294,main!$A$3:$H$102,6,FALSE)&gt;=main!$D$103+VLOOKUP(VLOOKUP(AA$1,main!$A$3:$I$102,7,FALSE),main!$K$26:$Q$29,5,FALSE)),1,0)</f>
        <v>0</v>
      </c>
      <c r="AB294">
        <f>IF(AND(VLOOKUP(AB$1,main!$A$3:$H$102,7,FALSE)=main!$G$105,VLOOKUP(AB$1,main!$A$3:$H$102,5,FALSE)-VLOOKUP($A294,main!$A$3:$H$102,6,FALSE)&gt;=main!$D$103+VLOOKUP(VLOOKUP(AB$1,main!$A$3:$I$102,7,FALSE),main!$K$26:$Q$29,5,FALSE)),1,0)</f>
        <v>0</v>
      </c>
      <c r="AC294">
        <f>IF(AND(VLOOKUP(AC$1,main!$A$3:$H$102,7,FALSE)=main!$G$105,VLOOKUP(AC$1,main!$A$3:$H$102,5,FALSE)-VLOOKUP($A294,main!$A$3:$H$102,6,FALSE)&gt;=main!$D$103+VLOOKUP(VLOOKUP(AC$1,main!$A$3:$I$102,7,FALSE),main!$K$26:$Q$29,5,FALSE)),1,0)</f>
        <v>0</v>
      </c>
      <c r="AD294">
        <f>IF(AND(VLOOKUP(AD$1,main!$A$3:$H$102,7,FALSE)=main!$G$105,VLOOKUP(AD$1,main!$A$3:$H$102,5,FALSE)-VLOOKUP($A294,main!$A$3:$H$102,6,FALSE)&gt;=main!$D$103+VLOOKUP(VLOOKUP(AD$1,main!$A$3:$I$102,7,FALSE),main!$K$26:$Q$29,5,FALSE)),1,0)</f>
        <v>0</v>
      </c>
      <c r="AE294">
        <f>IF(AND(VLOOKUP(AE$1,main!$A$3:$H$102,7,FALSE)=main!$G$105,VLOOKUP(AE$1,main!$A$3:$H$102,5,FALSE)-VLOOKUP($A294,main!$A$3:$H$102,6,FALSE)&gt;=main!$D$103+VLOOKUP(VLOOKUP(AE$1,main!$A$3:$I$102,7,FALSE),main!$K$26:$Q$29,5,FALSE)),1,0)</f>
        <v>0</v>
      </c>
      <c r="AF294">
        <f>IF(AND(VLOOKUP(AF$1,main!$A$3:$H$102,7,FALSE)=main!$G$105,VLOOKUP(AF$1,main!$A$3:$H$102,5,FALSE)-VLOOKUP($A294,main!$A$3:$H$102,6,FALSE)&gt;=main!$D$103+VLOOKUP(VLOOKUP(AF$1,main!$A$3:$I$102,7,FALSE),main!$K$26:$Q$29,5,FALSE)),1,0)</f>
        <v>0</v>
      </c>
      <c r="AG294">
        <f>IF(AND(VLOOKUP(AG$1,main!$A$3:$H$102,7,FALSE)=main!$G$105,VLOOKUP(AG$1,main!$A$3:$H$102,5,FALSE)-VLOOKUP($A294,main!$A$3:$H$102,6,FALSE)&gt;=main!$D$103+VLOOKUP(VLOOKUP(AG$1,main!$A$3:$I$102,7,FALSE),main!$K$26:$Q$29,5,FALSE)),1,0)</f>
        <v>0</v>
      </c>
      <c r="AH294">
        <f>IF(AND(VLOOKUP(AH$1,main!$A$3:$H$102,7,FALSE)=main!$G$105,VLOOKUP(AH$1,main!$A$3:$H$102,5,FALSE)-VLOOKUP($A294,main!$A$3:$H$102,6,FALSE)&gt;=main!$D$103+VLOOKUP(VLOOKUP(AH$1,main!$A$3:$I$102,7,FALSE),main!$K$26:$Q$29,5,FALSE)),1,0)</f>
        <v>0</v>
      </c>
      <c r="AI294">
        <f>IF(AND(VLOOKUP(AI$1,main!$A$3:$H$102,7,FALSE)=main!$G$105,VLOOKUP(AI$1,main!$A$3:$H$102,5,FALSE)-VLOOKUP($A294,main!$A$3:$H$102,6,FALSE)&gt;=main!$D$103+VLOOKUP(VLOOKUP(AI$1,main!$A$3:$I$102,7,FALSE),main!$K$26:$Q$29,5,FALSE)),1,0)</f>
        <v>0</v>
      </c>
      <c r="AJ294">
        <f>IF(AND(VLOOKUP(AJ$1,main!$A$3:$H$102,7,FALSE)=main!$G$105,VLOOKUP(AJ$1,main!$A$3:$H$102,5,FALSE)-VLOOKUP($A294,main!$A$3:$H$102,6,FALSE)&gt;=main!$D$103+VLOOKUP(VLOOKUP(AJ$1,main!$A$3:$I$102,7,FALSE),main!$K$26:$Q$29,5,FALSE)),1,0)</f>
        <v>0</v>
      </c>
      <c r="AK294">
        <f>IF(AND(VLOOKUP(AK$1,main!$A$3:$H$102,7,FALSE)=main!$G$105,VLOOKUP(AK$1,main!$A$3:$H$102,5,FALSE)-VLOOKUP($A294,main!$A$3:$H$102,6,FALSE)&gt;=main!$D$103+VLOOKUP(VLOOKUP(AK$1,main!$A$3:$I$102,7,FALSE),main!$K$26:$Q$29,5,FALSE)),1,0)</f>
        <v>0</v>
      </c>
      <c r="AL294">
        <f>IF(AND(VLOOKUP(AL$1,main!$A$3:$H$102,7,FALSE)=main!$G$105,VLOOKUP(AL$1,main!$A$3:$H$102,5,FALSE)-VLOOKUP($A294,main!$A$3:$H$102,6,FALSE)&gt;=main!$D$103+VLOOKUP(VLOOKUP(AL$1,main!$A$3:$I$102,7,FALSE),main!$K$26:$Q$29,5,FALSE)),1,0)</f>
        <v>0</v>
      </c>
      <c r="AM294">
        <f>IF(AND(VLOOKUP(AM$1,main!$A$3:$H$102,7,FALSE)=main!$G$105,VLOOKUP(AM$1,main!$A$3:$H$102,5,FALSE)-VLOOKUP($A294,main!$A$3:$H$102,6,FALSE)&gt;=main!$D$103+VLOOKUP(VLOOKUP(AM$1,main!$A$3:$I$102,7,FALSE),main!$K$26:$Q$29,5,FALSE)),1,0)</f>
        <v>0</v>
      </c>
      <c r="AN294">
        <f>IF(AND(VLOOKUP(AN$1,main!$A$3:$H$102,7,FALSE)=main!$G$105,VLOOKUP(AN$1,main!$A$3:$H$102,5,FALSE)-VLOOKUP($A294,main!$A$3:$H$102,6,FALSE)&gt;=main!$D$103+VLOOKUP(VLOOKUP(AN$1,main!$A$3:$I$102,7,FALSE),main!$K$26:$Q$29,5,FALSE)),1,0)</f>
        <v>0</v>
      </c>
      <c r="AO294">
        <f>IF(AND(VLOOKUP(AO$1,main!$A$3:$H$102,7,FALSE)=main!$G$105,VLOOKUP(AO$1,main!$A$3:$H$102,5,FALSE)-VLOOKUP($A294,main!$A$3:$H$102,6,FALSE)&gt;=main!$D$103+VLOOKUP(VLOOKUP(AO$1,main!$A$3:$I$102,7,FALSE),main!$K$26:$Q$29,5,FALSE)),1,0)</f>
        <v>0</v>
      </c>
      <c r="AP294">
        <f>IF(AND(VLOOKUP(AP$1,main!$A$3:$H$102,7,FALSE)=main!$G$105,VLOOKUP(AP$1,main!$A$3:$H$102,5,FALSE)-VLOOKUP($A294,main!$A$3:$H$102,6,FALSE)&gt;=main!$D$103+VLOOKUP(VLOOKUP(AP$1,main!$A$3:$I$102,7,FALSE),main!$K$26:$Q$29,5,FALSE)),1,0)</f>
        <v>0</v>
      </c>
      <c r="AQ294">
        <f>IF(AND(VLOOKUP(AQ$1,main!$A$3:$H$102,7,FALSE)=main!$G$105,VLOOKUP(AQ$1,main!$A$3:$H$102,5,FALSE)-VLOOKUP($A294,main!$A$3:$H$102,6,FALSE)&gt;=main!$D$103+VLOOKUP(VLOOKUP(AQ$1,main!$A$3:$I$102,7,FALSE),main!$K$26:$Q$29,5,FALSE)),1,0)</f>
        <v>0</v>
      </c>
      <c r="AR294">
        <f>IF(AND(VLOOKUP(AR$1,main!$A$3:$H$102,7,FALSE)=main!$G$105,VLOOKUP(AR$1,main!$A$3:$H$102,5,FALSE)-VLOOKUP($A294,main!$A$3:$H$102,6,FALSE)&gt;=main!$D$103+VLOOKUP(VLOOKUP(AR$1,main!$A$3:$I$102,7,FALSE),main!$K$26:$Q$29,5,FALSE)),1,0)</f>
        <v>0</v>
      </c>
      <c r="AS294">
        <f>IF(AND(VLOOKUP(AS$1,main!$A$3:$H$102,7,FALSE)=main!$G$105,VLOOKUP(AS$1,main!$A$3:$H$102,5,FALSE)-VLOOKUP($A294,main!$A$3:$H$102,6,FALSE)&gt;=main!$D$103+VLOOKUP(VLOOKUP(AS$1,main!$A$3:$I$102,7,FALSE),main!$K$26:$Q$29,5,FALSE)),1,0)</f>
        <v>0</v>
      </c>
      <c r="AT294">
        <f>IF(AND(VLOOKUP(AT$1,main!$A$3:$H$102,7,FALSE)=main!$G$105,VLOOKUP(AT$1,main!$A$3:$H$102,5,FALSE)-VLOOKUP($A294,main!$A$3:$H$102,6,FALSE)&gt;=main!$D$103+VLOOKUP(VLOOKUP(AT$1,main!$A$3:$I$102,7,FALSE),main!$K$26:$Q$29,5,FALSE)),1,0)</f>
        <v>0</v>
      </c>
      <c r="AU294">
        <f>IF(AND(VLOOKUP(AU$1,main!$A$3:$H$102,7,FALSE)=main!$G$105,VLOOKUP(AU$1,main!$A$3:$H$102,5,FALSE)-VLOOKUP($A294,main!$A$3:$H$102,6,FALSE)&gt;=main!$D$103+VLOOKUP(VLOOKUP(AU$1,main!$A$3:$I$102,7,FALSE),main!$K$26:$Q$29,5,FALSE)),1,0)</f>
        <v>0</v>
      </c>
      <c r="AV294">
        <f>IF(AND(VLOOKUP(AV$1,main!$A$3:$H$102,7,FALSE)=main!$G$105,VLOOKUP(AV$1,main!$A$3:$H$102,5,FALSE)-VLOOKUP($A294,main!$A$3:$H$102,6,FALSE)&gt;=main!$D$103+VLOOKUP(VLOOKUP(AV$1,main!$A$3:$I$102,7,FALSE),main!$K$26:$Q$29,5,FALSE)),1,0)</f>
        <v>0</v>
      </c>
      <c r="AW294">
        <f>IF(AND(VLOOKUP(AW$1,main!$A$3:$H$102,7,FALSE)=main!$G$105,VLOOKUP(AW$1,main!$A$3:$H$102,5,FALSE)-VLOOKUP($A294,main!$A$3:$H$102,6,FALSE)&gt;=main!$D$103+VLOOKUP(VLOOKUP(AW$1,main!$A$3:$I$102,7,FALSE),main!$K$26:$Q$29,5,FALSE)),1,0)</f>
        <v>0</v>
      </c>
      <c r="AX294">
        <f>IF(AND(VLOOKUP(AX$1,main!$A$3:$H$102,7,FALSE)=main!$G$105,VLOOKUP(AX$1,main!$A$3:$H$102,5,FALSE)-VLOOKUP($A294,main!$A$3:$H$102,6,FALSE)&gt;=main!$D$103+VLOOKUP(VLOOKUP(AX$1,main!$A$3:$I$102,7,FALSE),main!$K$26:$Q$29,5,FALSE)),1,0)</f>
        <v>0</v>
      </c>
      <c r="AY294">
        <f>IF(AND(VLOOKUP(AY$1,main!$A$3:$H$102,7,FALSE)=main!$G$105,VLOOKUP(AY$1,main!$A$3:$H$102,5,FALSE)-VLOOKUP($A294,main!$A$3:$H$102,6,FALSE)&gt;=main!$D$103+VLOOKUP(VLOOKUP(AY$1,main!$A$3:$I$102,7,FALSE),main!$K$26:$Q$29,5,FALSE)),1,0)</f>
        <v>0</v>
      </c>
      <c r="AZ294">
        <f>IF(AND(VLOOKUP(AZ$1,main!$A$3:$H$102,7,FALSE)=main!$G$105,VLOOKUP(AZ$1,main!$A$3:$H$102,5,FALSE)-VLOOKUP($A294,main!$A$3:$H$102,6,FALSE)&gt;=main!$D$103+VLOOKUP(VLOOKUP(AZ$1,main!$A$3:$I$102,7,FALSE),main!$K$26:$Q$29,5,FALSE)),1,0)</f>
        <v>0</v>
      </c>
      <c r="BA294">
        <f>IF(AND(VLOOKUP(BA$1,main!$A$3:$H$102,7,FALSE)=main!$G$105,VLOOKUP(BA$1,main!$A$3:$H$102,5,FALSE)-VLOOKUP($A294,main!$A$3:$H$102,6,FALSE)&gt;=main!$D$103+VLOOKUP(VLOOKUP(BA$1,main!$A$3:$I$102,7,FALSE),main!$K$26:$Q$29,5,FALSE)),1,0)</f>
        <v>0</v>
      </c>
      <c r="BB294">
        <f>IF(AND(VLOOKUP(BB$1,main!$A$3:$H$102,7,FALSE)=main!$G$105,VLOOKUP(BB$1,main!$A$3:$H$102,5,FALSE)-VLOOKUP($A294,main!$A$3:$H$102,6,FALSE)&gt;=main!$D$103+VLOOKUP(VLOOKUP(BB$1,main!$A$3:$I$102,7,FALSE),main!$K$26:$Q$29,5,FALSE)),1,0)</f>
        <v>0</v>
      </c>
      <c r="BC294">
        <f>IF(AND(VLOOKUP(BC$1,main!$A$3:$H$102,7,FALSE)=main!$G$105,VLOOKUP(BC$1,main!$A$3:$H$102,5,FALSE)-VLOOKUP($A294,main!$A$3:$H$102,6,FALSE)&gt;=main!$D$103+VLOOKUP(VLOOKUP(BC$1,main!$A$3:$I$102,7,FALSE),main!$K$26:$Q$29,5,FALSE)),1,0)</f>
        <v>0</v>
      </c>
      <c r="BD294">
        <f>IF(AND(VLOOKUP(BD$1,main!$A$3:$H$102,7,FALSE)=main!$G$105,VLOOKUP(BD$1,main!$A$3:$H$102,5,FALSE)-VLOOKUP($A294,main!$A$3:$H$102,6,FALSE)&gt;=main!$D$103+VLOOKUP(VLOOKUP(BD$1,main!$A$3:$I$102,7,FALSE),main!$K$26:$Q$29,5,FALSE)),1,0)</f>
        <v>0</v>
      </c>
      <c r="BE294">
        <f>IF(AND(VLOOKUP(BE$1,main!$A$3:$H$102,7,FALSE)=main!$G$105,VLOOKUP(BE$1,main!$A$3:$H$102,5,FALSE)-VLOOKUP($A294,main!$A$3:$H$102,6,FALSE)&gt;=main!$D$103+VLOOKUP(VLOOKUP(BE$1,main!$A$3:$I$102,7,FALSE),main!$K$26:$Q$29,5,FALSE)),1,0)</f>
        <v>0</v>
      </c>
      <c r="BF294">
        <f>IF(AND(VLOOKUP(BF$1,main!$A$3:$H$102,7,FALSE)=main!$G$105,VLOOKUP(BF$1,main!$A$3:$H$102,5,FALSE)-VLOOKUP($A294,main!$A$3:$H$102,6,FALSE)&gt;=main!$D$103+VLOOKUP(VLOOKUP(BF$1,main!$A$3:$I$102,7,FALSE),main!$K$26:$Q$29,5,FALSE)),1,0)</f>
        <v>0</v>
      </c>
      <c r="BG294">
        <f>IF(AND(VLOOKUP(BG$1,main!$A$3:$H$102,7,FALSE)=main!$G$105,VLOOKUP(BG$1,main!$A$3:$H$102,5,FALSE)-VLOOKUP($A294,main!$A$3:$H$102,6,FALSE)&gt;=main!$D$103+VLOOKUP(VLOOKUP(BG$1,main!$A$3:$I$102,7,FALSE),main!$K$26:$Q$29,5,FALSE)),1,0)</f>
        <v>0</v>
      </c>
      <c r="BH294">
        <f>IF(AND(VLOOKUP(BH$1,main!$A$3:$H$102,7,FALSE)=main!$G$105,VLOOKUP(BH$1,main!$A$3:$H$102,5,FALSE)-VLOOKUP($A294,main!$A$3:$H$102,6,FALSE)&gt;=main!$D$103+VLOOKUP(VLOOKUP(BH$1,main!$A$3:$I$102,7,FALSE),main!$K$26:$Q$29,5,FALSE)),1,0)</f>
        <v>0</v>
      </c>
      <c r="BI294">
        <f>IF(AND(VLOOKUP(BI$1,main!$A$3:$H$102,7,FALSE)=main!$G$105,VLOOKUP(BI$1,main!$A$3:$H$102,5,FALSE)-VLOOKUP($A294,main!$A$3:$H$102,6,FALSE)&gt;=main!$D$103+VLOOKUP(VLOOKUP(BI$1,main!$A$3:$I$102,7,FALSE),main!$K$26:$Q$29,5,FALSE)),1,0)</f>
        <v>0</v>
      </c>
      <c r="BJ294">
        <f>IF(AND(VLOOKUP(BJ$1,main!$A$3:$H$102,7,FALSE)=main!$G$105,VLOOKUP(BJ$1,main!$A$3:$H$102,5,FALSE)-VLOOKUP($A294,main!$A$3:$H$102,6,FALSE)&gt;=main!$D$103+VLOOKUP(VLOOKUP(BJ$1,main!$A$3:$I$102,7,FALSE),main!$K$26:$Q$29,5,FALSE)),1,0)</f>
        <v>0</v>
      </c>
      <c r="BK294">
        <f>IF(AND(VLOOKUP(BK$1,main!$A$3:$H$102,7,FALSE)=main!$G$105,VLOOKUP(BK$1,main!$A$3:$H$102,5,FALSE)-VLOOKUP($A294,main!$A$3:$H$102,6,FALSE)&gt;=main!$D$103+VLOOKUP(VLOOKUP(BK$1,main!$A$3:$I$102,7,FALSE),main!$K$26:$Q$29,5,FALSE)),1,0)</f>
        <v>0</v>
      </c>
      <c r="BL294">
        <f>IF(AND(VLOOKUP(BL$1,main!$A$3:$H$102,7,FALSE)=main!$G$105,VLOOKUP(BL$1,main!$A$3:$H$102,5,FALSE)-VLOOKUP($A294,main!$A$3:$H$102,6,FALSE)&gt;=main!$D$103+VLOOKUP(VLOOKUP(BL$1,main!$A$3:$I$102,7,FALSE),main!$K$26:$Q$29,5,FALSE)),1,0)</f>
        <v>0</v>
      </c>
      <c r="BM294">
        <f>IF(AND(VLOOKUP(BM$1,main!$A$3:$H$102,7,FALSE)=main!$G$105,VLOOKUP(BM$1,main!$A$3:$H$102,5,FALSE)-VLOOKUP($A294,main!$A$3:$H$102,6,FALSE)&gt;=main!$D$103+VLOOKUP(VLOOKUP(BM$1,main!$A$3:$I$102,7,FALSE),main!$K$26:$Q$29,5,FALSE)),1,0)</f>
        <v>0</v>
      </c>
      <c r="BN294">
        <f>IF(AND(VLOOKUP(BN$1,main!$A$3:$H$102,7,FALSE)=main!$G$105,VLOOKUP(BN$1,main!$A$3:$H$102,5,FALSE)-VLOOKUP($A294,main!$A$3:$H$102,6,FALSE)&gt;=main!$D$103+VLOOKUP(VLOOKUP(BN$1,main!$A$3:$I$102,7,FALSE),main!$K$26:$Q$29,5,FALSE)),1,0)</f>
        <v>0</v>
      </c>
      <c r="BO294">
        <f>IF(AND(VLOOKUP(BO$1,main!$A$3:$H$102,7,FALSE)=main!$G$105,VLOOKUP(BO$1,main!$A$3:$H$102,5,FALSE)-VLOOKUP($A294,main!$A$3:$H$102,6,FALSE)&gt;=main!$D$103+VLOOKUP(VLOOKUP(BO$1,main!$A$3:$I$102,7,FALSE),main!$K$26:$Q$29,5,FALSE)),1,0)</f>
        <v>0</v>
      </c>
      <c r="BP294">
        <f>IF(AND(VLOOKUP(BP$1,main!$A$3:$H$102,7,FALSE)=main!$G$105,VLOOKUP(BP$1,main!$A$3:$H$102,5,FALSE)-VLOOKUP($A294,main!$A$3:$H$102,6,FALSE)&gt;=main!$D$103+VLOOKUP(VLOOKUP(BP$1,main!$A$3:$I$102,7,FALSE),main!$K$26:$Q$29,5,FALSE)),1,0)</f>
        <v>0</v>
      </c>
      <c r="BQ294">
        <f>IF(AND(VLOOKUP(BQ$1,main!$A$3:$H$102,7,FALSE)=main!$G$105,VLOOKUP(BQ$1,main!$A$3:$H$102,5,FALSE)-VLOOKUP($A294,main!$A$3:$H$102,6,FALSE)&gt;=main!$D$103+VLOOKUP(VLOOKUP(BQ$1,main!$A$3:$I$102,7,FALSE),main!$K$26:$Q$29,5,FALSE)),1,0)</f>
        <v>0</v>
      </c>
      <c r="BR294">
        <f>IF(AND(VLOOKUP(BR$1,main!$A$3:$H$102,7,FALSE)=main!$G$105,VLOOKUP(BR$1,main!$A$3:$H$102,5,FALSE)-VLOOKUP($A294,main!$A$3:$H$102,6,FALSE)&gt;=main!$D$103+VLOOKUP(VLOOKUP(BR$1,main!$A$3:$I$102,7,FALSE),main!$K$26:$Q$29,5,FALSE)),1,0)</f>
        <v>0</v>
      </c>
      <c r="BS294">
        <f>IF(AND(VLOOKUP(BS$1,main!$A$3:$H$102,7,FALSE)=main!$G$105,VLOOKUP(BS$1,main!$A$3:$H$102,5,FALSE)-VLOOKUP($A294,main!$A$3:$H$102,6,FALSE)&gt;=main!$D$103+VLOOKUP(VLOOKUP(BS$1,main!$A$3:$I$102,7,FALSE),main!$K$26:$Q$29,5,FALSE)),1,0)</f>
        <v>0</v>
      </c>
      <c r="BT294">
        <f>IF(AND(VLOOKUP(BT$1,main!$A$3:$H$102,7,FALSE)=main!$G$105,VLOOKUP(BT$1,main!$A$3:$H$102,5,FALSE)-VLOOKUP($A294,main!$A$3:$H$102,6,FALSE)&gt;=main!$D$103+VLOOKUP(VLOOKUP(BT$1,main!$A$3:$I$102,7,FALSE),main!$K$26:$Q$29,5,FALSE)),1,0)</f>
        <v>0</v>
      </c>
      <c r="BU294">
        <f>IF(AND(VLOOKUP(BU$1,main!$A$3:$H$102,7,FALSE)=main!$G$105,VLOOKUP(BU$1,main!$A$3:$H$102,5,FALSE)-VLOOKUP($A294,main!$A$3:$H$102,6,FALSE)&gt;=main!$D$103+VLOOKUP(VLOOKUP(BU$1,main!$A$3:$I$102,7,FALSE),main!$K$26:$Q$29,5,FALSE)),1,0)</f>
        <v>0</v>
      </c>
      <c r="BV294">
        <f>IF(AND(VLOOKUP(BV$1,main!$A$3:$H$102,7,FALSE)=main!$G$105,VLOOKUP(BV$1,main!$A$3:$H$102,5,FALSE)-VLOOKUP($A294,main!$A$3:$H$102,6,FALSE)&gt;=main!$D$103+VLOOKUP(VLOOKUP(BV$1,main!$A$3:$I$102,7,FALSE),main!$K$26:$Q$29,5,FALSE)),1,0)</f>
        <v>0</v>
      </c>
      <c r="BW294">
        <f>IF(AND(VLOOKUP(BW$1,main!$A$3:$H$102,7,FALSE)=main!$G$105,VLOOKUP(BW$1,main!$A$3:$H$102,5,FALSE)-VLOOKUP($A294,main!$A$3:$H$102,6,FALSE)&gt;=main!$D$103+VLOOKUP(VLOOKUP(BW$1,main!$A$3:$I$102,7,FALSE),main!$K$26:$Q$29,5,FALSE)),1,0)</f>
        <v>0</v>
      </c>
      <c r="BX294">
        <f>IF(AND(VLOOKUP(BX$1,main!$A$3:$H$102,7,FALSE)=main!$G$105,VLOOKUP(BX$1,main!$A$3:$H$102,5,FALSE)-VLOOKUP($A294,main!$A$3:$H$102,6,FALSE)&gt;=main!$D$103+VLOOKUP(VLOOKUP(BX$1,main!$A$3:$I$102,7,FALSE),main!$K$26:$Q$29,5,FALSE)),1,0)</f>
        <v>0</v>
      </c>
      <c r="BY294">
        <f>IF(AND(VLOOKUP(BY$1,main!$A$3:$H$102,7,FALSE)=main!$G$105,VLOOKUP(BY$1,main!$A$3:$H$102,5,FALSE)-VLOOKUP($A294,main!$A$3:$H$102,6,FALSE)&gt;=main!$D$103+VLOOKUP(VLOOKUP(BY$1,main!$A$3:$I$102,7,FALSE),main!$K$26:$Q$29,5,FALSE)),1,0)</f>
        <v>0</v>
      </c>
      <c r="BZ294">
        <f>IF(AND(VLOOKUP(BZ$1,main!$A$3:$H$102,7,FALSE)=main!$G$105,VLOOKUP(BZ$1,main!$A$3:$H$102,5,FALSE)-VLOOKUP($A294,main!$A$3:$H$102,6,FALSE)&gt;=main!$D$103+VLOOKUP(VLOOKUP(BZ$1,main!$A$3:$I$102,7,FALSE),main!$K$26:$Q$29,5,FALSE)),1,0)</f>
        <v>0</v>
      </c>
      <c r="CA294">
        <f>IF(AND(VLOOKUP(CA$1,main!$A$3:$H$102,7,FALSE)=main!$G$105,VLOOKUP(CA$1,main!$A$3:$H$102,5,FALSE)-VLOOKUP($A294,main!$A$3:$H$102,6,FALSE)&gt;=main!$D$103+VLOOKUP(VLOOKUP(CA$1,main!$A$3:$I$102,7,FALSE),main!$K$26:$Q$29,5,FALSE)),1,0)</f>
        <v>0</v>
      </c>
      <c r="CB294">
        <f>IF(AND(VLOOKUP(CB$1,main!$A$3:$H$102,7,FALSE)=main!$G$105,VLOOKUP(CB$1,main!$A$3:$H$102,5,FALSE)-VLOOKUP($A294,main!$A$3:$H$102,6,FALSE)&gt;=main!$D$103+VLOOKUP(VLOOKUP(CB$1,main!$A$3:$I$102,7,FALSE),main!$K$26:$Q$29,5,FALSE)),1,0)</f>
        <v>0</v>
      </c>
      <c r="CC294">
        <f>IF(AND(VLOOKUP(CC$1,main!$A$3:$H$102,7,FALSE)=main!$G$105,VLOOKUP(CC$1,main!$A$3:$H$102,5,FALSE)-VLOOKUP($A294,main!$A$3:$H$102,6,FALSE)&gt;=main!$D$103+VLOOKUP(VLOOKUP(CC$1,main!$A$3:$I$102,7,FALSE),main!$K$26:$Q$29,5,FALSE)),1,0)</f>
        <v>0</v>
      </c>
      <c r="CD294">
        <f>IF(AND(VLOOKUP(CD$1,main!$A$3:$H$102,7,FALSE)=main!$G$105,VLOOKUP(CD$1,main!$A$3:$H$102,5,FALSE)-VLOOKUP($A294,main!$A$3:$H$102,6,FALSE)&gt;=main!$D$103+VLOOKUP(VLOOKUP(CD$1,main!$A$3:$I$102,7,FALSE),main!$K$26:$Q$29,5,FALSE)),1,0)</f>
        <v>0</v>
      </c>
      <c r="CE294">
        <f>IF(AND(VLOOKUP(CE$1,main!$A$3:$H$102,7,FALSE)=main!$G$105,VLOOKUP(CE$1,main!$A$3:$H$102,5,FALSE)-VLOOKUP($A294,main!$A$3:$H$102,6,FALSE)&gt;=main!$D$103+VLOOKUP(VLOOKUP(CE$1,main!$A$3:$I$102,7,FALSE),main!$K$26:$Q$29,5,FALSE)),1,0)</f>
        <v>0</v>
      </c>
      <c r="CF294">
        <f>IF(AND(VLOOKUP(CF$1,main!$A$3:$H$102,7,FALSE)=main!$G$105,VLOOKUP(CF$1,main!$A$3:$H$102,5,FALSE)-VLOOKUP($A294,main!$A$3:$H$102,6,FALSE)&gt;=main!$D$103+VLOOKUP(VLOOKUP(CF$1,main!$A$3:$I$102,7,FALSE),main!$K$26:$Q$29,5,FALSE)),1,0)</f>
        <v>0</v>
      </c>
      <c r="CG294">
        <f>IF(AND(VLOOKUP(CG$1,main!$A$3:$H$102,7,FALSE)=main!$G$105,VLOOKUP(CG$1,main!$A$3:$H$102,5,FALSE)-VLOOKUP($A294,main!$A$3:$H$102,6,FALSE)&gt;=main!$D$103+VLOOKUP(VLOOKUP(CG$1,main!$A$3:$I$102,7,FALSE),main!$K$26:$Q$29,5,FALSE)),1,0)</f>
        <v>0</v>
      </c>
      <c r="CH294">
        <f>IF(AND(VLOOKUP(CH$1,main!$A$3:$H$102,7,FALSE)=main!$G$105,VLOOKUP(CH$1,main!$A$3:$H$102,5,FALSE)-VLOOKUP($A294,main!$A$3:$H$102,6,FALSE)&gt;=main!$D$103+VLOOKUP(VLOOKUP(CH$1,main!$A$3:$I$102,7,FALSE),main!$K$26:$Q$29,5,FALSE)),1,0)</f>
        <v>0</v>
      </c>
      <c r="CI294">
        <f>IF(AND(VLOOKUP(CI$1,main!$A$3:$H$102,7,FALSE)=main!$G$105,VLOOKUP(CI$1,main!$A$3:$H$102,5,FALSE)-VLOOKUP($A294,main!$A$3:$H$102,6,FALSE)&gt;=main!$D$103+VLOOKUP(VLOOKUP(CI$1,main!$A$3:$I$102,7,FALSE),main!$K$26:$Q$29,5,FALSE)),1,0)</f>
        <v>0</v>
      </c>
      <c r="CJ294">
        <f>IF(AND(VLOOKUP(CJ$1,main!$A$3:$H$102,7,FALSE)=main!$G$105,VLOOKUP(CJ$1,main!$A$3:$H$102,5,FALSE)-VLOOKUP($A294,main!$A$3:$H$102,6,FALSE)&gt;=main!$D$103+VLOOKUP(VLOOKUP(CJ$1,main!$A$3:$I$102,7,FALSE),main!$K$26:$Q$29,5,FALSE)),1,0)</f>
        <v>0</v>
      </c>
      <c r="CK294">
        <f>IF(AND(VLOOKUP(CK$1,main!$A$3:$H$102,7,FALSE)=main!$G$105,VLOOKUP(CK$1,main!$A$3:$H$102,5,FALSE)-VLOOKUP($A294,main!$A$3:$H$102,6,FALSE)&gt;=main!$D$103+VLOOKUP(VLOOKUP(CK$1,main!$A$3:$I$102,7,FALSE),main!$K$26:$Q$29,5,FALSE)),1,0)</f>
        <v>0</v>
      </c>
      <c r="CL294">
        <f>IF(AND(VLOOKUP(CL$1,main!$A$3:$H$102,7,FALSE)=main!$G$105,VLOOKUP(CL$1,main!$A$3:$H$102,5,FALSE)-VLOOKUP($A294,main!$A$3:$H$102,6,FALSE)&gt;=main!$D$103+VLOOKUP(VLOOKUP(CL$1,main!$A$3:$I$102,7,FALSE),main!$K$26:$Q$29,5,FALSE)),1,0)</f>
        <v>0</v>
      </c>
      <c r="CM294">
        <f>IF(AND(VLOOKUP(CM$1,main!$A$3:$H$102,7,FALSE)=main!$G$105,VLOOKUP(CM$1,main!$A$3:$H$102,5,FALSE)-VLOOKUP($A294,main!$A$3:$H$102,6,FALSE)&gt;=main!$D$103+VLOOKUP(VLOOKUP(CM$1,main!$A$3:$I$102,7,FALSE),main!$K$26:$Q$29,5,FALSE)),1,0)</f>
        <v>0</v>
      </c>
      <c r="CN294">
        <f>IF(AND(VLOOKUP(CN$1,main!$A$3:$H$102,7,FALSE)=main!$G$105,VLOOKUP(CN$1,main!$A$3:$H$102,5,FALSE)-VLOOKUP($A294,main!$A$3:$H$102,6,FALSE)&gt;=main!$D$103+VLOOKUP(VLOOKUP(CN$1,main!$A$3:$I$102,7,FALSE),main!$K$26:$Q$29,5,FALSE)),1,0)</f>
        <v>0</v>
      </c>
      <c r="CO294">
        <f>IF(AND(VLOOKUP(CO$1,main!$A$3:$H$102,7,FALSE)=main!$G$105,VLOOKUP(CO$1,main!$A$3:$H$102,5,FALSE)-VLOOKUP($A294,main!$A$3:$H$102,6,FALSE)&gt;=main!$D$103+VLOOKUP(VLOOKUP(CO$1,main!$A$3:$I$102,7,FALSE),main!$K$26:$Q$29,5,FALSE)),1,0)</f>
        <v>0</v>
      </c>
      <c r="CP294">
        <f>IF(AND(VLOOKUP(CP$1,main!$A$3:$H$102,7,FALSE)=main!$G$105,VLOOKUP(CP$1,main!$A$3:$H$102,5,FALSE)-VLOOKUP($A294,main!$A$3:$H$102,6,FALSE)&gt;=main!$D$103+VLOOKUP(VLOOKUP(CP$1,main!$A$3:$I$102,7,FALSE),main!$K$26:$Q$29,5,FALSE)),1,0)</f>
        <v>0</v>
      </c>
      <c r="CQ294">
        <f>IF(AND(VLOOKUP(CQ$1,main!$A$3:$H$102,7,FALSE)=main!$G$105,VLOOKUP(CQ$1,main!$A$3:$H$102,5,FALSE)-VLOOKUP($A294,main!$A$3:$H$102,6,FALSE)&gt;=main!$D$103+VLOOKUP(VLOOKUP(CQ$1,main!$A$3:$I$102,7,FALSE),main!$K$26:$Q$29,5,FALSE)),1,0)</f>
        <v>0</v>
      </c>
      <c r="CR294">
        <f>IF(AND(VLOOKUP(CR$1,main!$A$3:$H$102,7,FALSE)=main!$G$105,VLOOKUP(CR$1,main!$A$3:$H$102,5,FALSE)-VLOOKUP($A294,main!$A$3:$H$102,6,FALSE)&gt;=main!$D$103+VLOOKUP(VLOOKUP(CR$1,main!$A$3:$I$102,7,FALSE),main!$K$26:$Q$29,5,FALSE)),1,0)</f>
        <v>0</v>
      </c>
      <c r="CS294">
        <f>IF(AND(VLOOKUP(CS$1,main!$A$3:$H$102,7,FALSE)=main!$G$105,VLOOKUP(CS$1,main!$A$3:$H$102,5,FALSE)-VLOOKUP($A294,main!$A$3:$H$102,6,FALSE)&gt;=main!$D$103+VLOOKUP(VLOOKUP(CS$1,main!$A$3:$I$102,7,FALSE),main!$K$26:$Q$29,5,FALSE)),1,0)</f>
        <v>0</v>
      </c>
      <c r="CT294">
        <f>IF(AND(VLOOKUP(CT$1,main!$A$3:$H$102,7,FALSE)=main!$G$105,VLOOKUP(CT$1,main!$A$3:$H$102,5,FALSE)-VLOOKUP($A294,main!$A$3:$H$102,6,FALSE)&gt;=main!$D$103+VLOOKUP(VLOOKUP(CT$1,main!$A$3:$I$102,7,FALSE),main!$K$26:$Q$29,5,FALSE)),1,0)</f>
        <v>0</v>
      </c>
      <c r="CU294">
        <f>IF(AND(VLOOKUP(CU$1,main!$A$3:$H$102,7,FALSE)=main!$G$105,VLOOKUP(CU$1,main!$A$3:$H$102,5,FALSE)-VLOOKUP($A294,main!$A$3:$H$102,6,FALSE)&gt;=main!$D$103+VLOOKUP(VLOOKUP(CU$1,main!$A$3:$I$102,7,FALSE),main!$K$26:$Q$29,5,FALSE)),1,0)</f>
        <v>0</v>
      </c>
      <c r="CV294">
        <f>IF(AND(VLOOKUP(CV$1,main!$A$3:$H$102,7,FALSE)=main!$G$105,VLOOKUP(CV$1,main!$A$3:$H$102,5,FALSE)-VLOOKUP($A294,main!$A$3:$H$102,6,FALSE)&gt;=main!$D$103+VLOOKUP(VLOOKUP(CV$1,main!$A$3:$I$102,7,FALSE),main!$K$26:$Q$29,5,FALSE)),1,0)</f>
        <v>0</v>
      </c>
      <c r="CW294">
        <f>IF(AND(VLOOKUP(CW$1,main!$A$3:$H$102,7,FALSE)=main!$G$105,VLOOKUP(CW$1,main!$A$3:$H$102,5,FALSE)-VLOOKUP($A294,main!$A$3:$H$102,6,FALSE)&gt;=main!$D$103+VLOOKUP(VLOOKUP(CW$1,main!$A$3:$I$102,7,FALSE),main!$K$26:$Q$29,5,FALSE)),1,0)</f>
        <v>0</v>
      </c>
      <c r="CX294">
        <f>IF(AND(VLOOKUP(CX$1,main!$A$3:$H$102,7,FALSE)=main!$G$105,VLOOKUP(CX$1,main!$A$3:$H$102,5,FALSE)-VLOOKUP($A294,main!$A$3:$H$102,6,FALSE)&gt;=main!$D$103+VLOOKUP(VLOOKUP(CX$1,main!$A$3:$I$102,7,FALSE),main!$K$26:$Q$29,5,FALSE)),1,0)</f>
        <v>0</v>
      </c>
    </row>
    <row r="295" spans="1:102" x14ac:dyDescent="0.25">
      <c r="A295" s="1">
        <v>91</v>
      </c>
      <c r="B295">
        <v>0</v>
      </c>
      <c r="C295">
        <f>IF(AND(VLOOKUP(C$1,main!$A$3:$H$102,7,FALSE)=main!$G$105,VLOOKUP(C$1,main!$A$3:$H$102,5,FALSE)-VLOOKUP($A295,main!$A$3:$H$102,6,FALSE)&gt;=main!$D$103+VLOOKUP(VLOOKUP(C$1,main!$A$3:$I$102,7,FALSE),main!$K$26:$Q$29,5,FALSE)),1,0)</f>
        <v>0</v>
      </c>
      <c r="D295">
        <f>IF(AND(VLOOKUP(D$1,main!$A$3:$H$102,7,FALSE)=main!$G$105,VLOOKUP(D$1,main!$A$3:$H$102,5,FALSE)-VLOOKUP($A295,main!$A$3:$H$102,6,FALSE)&gt;=main!$D$103+VLOOKUP(VLOOKUP(D$1,main!$A$3:$I$102,7,FALSE),main!$K$26:$Q$29,5,FALSE)),1,0)</f>
        <v>0</v>
      </c>
      <c r="E295">
        <f>IF(AND(VLOOKUP(E$1,main!$A$3:$H$102,7,FALSE)=main!$G$105,VLOOKUP(E$1,main!$A$3:$H$102,5,FALSE)-VLOOKUP($A295,main!$A$3:$H$102,6,FALSE)&gt;=main!$D$103+VLOOKUP(VLOOKUP(E$1,main!$A$3:$I$102,7,FALSE),main!$K$26:$Q$29,5,FALSE)),1,0)</f>
        <v>0</v>
      </c>
      <c r="F295">
        <f>IF(AND(VLOOKUP(F$1,main!$A$3:$H$102,7,FALSE)=main!$G$105,VLOOKUP(F$1,main!$A$3:$H$102,5,FALSE)-VLOOKUP($A295,main!$A$3:$H$102,6,FALSE)&gt;=main!$D$103+VLOOKUP(VLOOKUP(F$1,main!$A$3:$I$102,7,FALSE),main!$K$26:$Q$29,5,FALSE)),1,0)</f>
        <v>0</v>
      </c>
      <c r="G295">
        <f>IF(AND(VLOOKUP(G$1,main!$A$3:$H$102,7,FALSE)=main!$G$105,VLOOKUP(G$1,main!$A$3:$H$102,5,FALSE)-VLOOKUP($A295,main!$A$3:$H$102,6,FALSE)&gt;=main!$D$103+VLOOKUP(VLOOKUP(G$1,main!$A$3:$I$102,7,FALSE),main!$K$26:$Q$29,5,FALSE)),1,0)</f>
        <v>0</v>
      </c>
      <c r="H295">
        <f>IF(AND(VLOOKUP(H$1,main!$A$3:$H$102,7,FALSE)=main!$G$105,VLOOKUP(H$1,main!$A$3:$H$102,5,FALSE)-VLOOKUP($A295,main!$A$3:$H$102,6,FALSE)&gt;=main!$D$103+VLOOKUP(VLOOKUP(H$1,main!$A$3:$I$102,7,FALSE),main!$K$26:$Q$29,5,FALSE)),1,0)</f>
        <v>0</v>
      </c>
      <c r="I295">
        <f>IF(AND(VLOOKUP(I$1,main!$A$3:$H$102,7,FALSE)=main!$G$105,VLOOKUP(I$1,main!$A$3:$H$102,5,FALSE)-VLOOKUP($A295,main!$A$3:$H$102,6,FALSE)&gt;=main!$D$103+VLOOKUP(VLOOKUP(I$1,main!$A$3:$I$102,7,FALSE),main!$K$26:$Q$29,5,FALSE)),1,0)</f>
        <v>0</v>
      </c>
      <c r="J295">
        <f>IF(AND(VLOOKUP(J$1,main!$A$3:$H$102,7,FALSE)=main!$G$105,VLOOKUP(J$1,main!$A$3:$H$102,5,FALSE)-VLOOKUP($A295,main!$A$3:$H$102,6,FALSE)&gt;=main!$D$103+VLOOKUP(VLOOKUP(J$1,main!$A$3:$I$102,7,FALSE),main!$K$26:$Q$29,5,FALSE)),1,0)</f>
        <v>0</v>
      </c>
      <c r="K295">
        <f>IF(AND(VLOOKUP(K$1,main!$A$3:$H$102,7,FALSE)=main!$G$105,VLOOKUP(K$1,main!$A$3:$H$102,5,FALSE)-VLOOKUP($A295,main!$A$3:$H$102,6,FALSE)&gt;=main!$D$103+VLOOKUP(VLOOKUP(K$1,main!$A$3:$I$102,7,FALSE),main!$K$26:$Q$29,5,FALSE)),1,0)</f>
        <v>0</v>
      </c>
      <c r="L295">
        <f>IF(AND(VLOOKUP(L$1,main!$A$3:$H$102,7,FALSE)=main!$G$105,VLOOKUP(L$1,main!$A$3:$H$102,5,FALSE)-VLOOKUP($A295,main!$A$3:$H$102,6,FALSE)&gt;=main!$D$103+VLOOKUP(VLOOKUP(L$1,main!$A$3:$I$102,7,FALSE),main!$K$26:$Q$29,5,FALSE)),1,0)</f>
        <v>0</v>
      </c>
      <c r="M295">
        <f>IF(AND(VLOOKUP(M$1,main!$A$3:$H$102,7,FALSE)=main!$G$105,VLOOKUP(M$1,main!$A$3:$H$102,5,FALSE)-VLOOKUP($A295,main!$A$3:$H$102,6,FALSE)&gt;=main!$D$103+VLOOKUP(VLOOKUP(M$1,main!$A$3:$I$102,7,FALSE),main!$K$26:$Q$29,5,FALSE)),1,0)</f>
        <v>0</v>
      </c>
      <c r="N295">
        <f>IF(AND(VLOOKUP(N$1,main!$A$3:$H$102,7,FALSE)=main!$G$105,VLOOKUP(N$1,main!$A$3:$H$102,5,FALSE)-VLOOKUP($A295,main!$A$3:$H$102,6,FALSE)&gt;=main!$D$103+VLOOKUP(VLOOKUP(N$1,main!$A$3:$I$102,7,FALSE),main!$K$26:$Q$29,5,FALSE)),1,0)</f>
        <v>0</v>
      </c>
      <c r="O295">
        <f>IF(AND(VLOOKUP(O$1,main!$A$3:$H$102,7,FALSE)=main!$G$105,VLOOKUP(O$1,main!$A$3:$H$102,5,FALSE)-VLOOKUP($A295,main!$A$3:$H$102,6,FALSE)&gt;=main!$D$103+VLOOKUP(VLOOKUP(O$1,main!$A$3:$I$102,7,FALSE),main!$K$26:$Q$29,5,FALSE)),1,0)</f>
        <v>0</v>
      </c>
      <c r="P295">
        <f>IF(AND(VLOOKUP(P$1,main!$A$3:$H$102,7,FALSE)=main!$G$105,VLOOKUP(P$1,main!$A$3:$H$102,5,FALSE)-VLOOKUP($A295,main!$A$3:$H$102,6,FALSE)&gt;=main!$D$103+VLOOKUP(VLOOKUP(P$1,main!$A$3:$I$102,7,FALSE),main!$K$26:$Q$29,5,FALSE)),1,0)</f>
        <v>0</v>
      </c>
      <c r="Q295">
        <f>IF(AND(VLOOKUP(Q$1,main!$A$3:$H$102,7,FALSE)=main!$G$105,VLOOKUP(Q$1,main!$A$3:$H$102,5,FALSE)-VLOOKUP($A295,main!$A$3:$H$102,6,FALSE)&gt;=main!$D$103+VLOOKUP(VLOOKUP(Q$1,main!$A$3:$I$102,7,FALSE),main!$K$26:$Q$29,5,FALSE)),1,0)</f>
        <v>0</v>
      </c>
      <c r="R295">
        <f>IF(AND(VLOOKUP(R$1,main!$A$3:$H$102,7,FALSE)=main!$G$105,VLOOKUP(R$1,main!$A$3:$H$102,5,FALSE)-VLOOKUP($A295,main!$A$3:$H$102,6,FALSE)&gt;=main!$D$103+VLOOKUP(VLOOKUP(R$1,main!$A$3:$I$102,7,FALSE),main!$K$26:$Q$29,5,FALSE)),1,0)</f>
        <v>0</v>
      </c>
      <c r="S295">
        <f>IF(AND(VLOOKUP(S$1,main!$A$3:$H$102,7,FALSE)=main!$G$105,VLOOKUP(S$1,main!$A$3:$H$102,5,FALSE)-VLOOKUP($A295,main!$A$3:$H$102,6,FALSE)&gt;=main!$D$103+VLOOKUP(VLOOKUP(S$1,main!$A$3:$I$102,7,FALSE),main!$K$26:$Q$29,5,FALSE)),1,0)</f>
        <v>0</v>
      </c>
      <c r="T295">
        <f>IF(AND(VLOOKUP(T$1,main!$A$3:$H$102,7,FALSE)=main!$G$105,VLOOKUP(T$1,main!$A$3:$H$102,5,FALSE)-VLOOKUP($A295,main!$A$3:$H$102,6,FALSE)&gt;=main!$D$103+VLOOKUP(VLOOKUP(T$1,main!$A$3:$I$102,7,FALSE),main!$K$26:$Q$29,5,FALSE)),1,0)</f>
        <v>0</v>
      </c>
      <c r="U295">
        <f>IF(AND(VLOOKUP(U$1,main!$A$3:$H$102,7,FALSE)=main!$G$105,VLOOKUP(U$1,main!$A$3:$H$102,5,FALSE)-VLOOKUP($A295,main!$A$3:$H$102,6,FALSE)&gt;=main!$D$103+VLOOKUP(VLOOKUP(U$1,main!$A$3:$I$102,7,FALSE),main!$K$26:$Q$29,5,FALSE)),1,0)</f>
        <v>0</v>
      </c>
      <c r="V295">
        <f>IF(AND(VLOOKUP(V$1,main!$A$3:$H$102,7,FALSE)=main!$G$105,VLOOKUP(V$1,main!$A$3:$H$102,5,FALSE)-VLOOKUP($A295,main!$A$3:$H$102,6,FALSE)&gt;=main!$D$103+VLOOKUP(VLOOKUP(V$1,main!$A$3:$I$102,7,FALSE),main!$K$26:$Q$29,5,FALSE)),1,0)</f>
        <v>0</v>
      </c>
      <c r="W295">
        <f>IF(AND(VLOOKUP(W$1,main!$A$3:$H$102,7,FALSE)=main!$G$105,VLOOKUP(W$1,main!$A$3:$H$102,5,FALSE)-VLOOKUP($A295,main!$A$3:$H$102,6,FALSE)&gt;=main!$D$103+VLOOKUP(VLOOKUP(W$1,main!$A$3:$I$102,7,FALSE),main!$K$26:$Q$29,5,FALSE)),1,0)</f>
        <v>0</v>
      </c>
      <c r="X295">
        <f>IF(AND(VLOOKUP(X$1,main!$A$3:$H$102,7,FALSE)=main!$G$105,VLOOKUP(X$1,main!$A$3:$H$102,5,FALSE)-VLOOKUP($A295,main!$A$3:$H$102,6,FALSE)&gt;=main!$D$103+VLOOKUP(VLOOKUP(X$1,main!$A$3:$I$102,7,FALSE),main!$K$26:$Q$29,5,FALSE)),1,0)</f>
        <v>0</v>
      </c>
      <c r="Y295">
        <f>IF(AND(VLOOKUP(Y$1,main!$A$3:$H$102,7,FALSE)=main!$G$105,VLOOKUP(Y$1,main!$A$3:$H$102,5,FALSE)-VLOOKUP($A295,main!$A$3:$H$102,6,FALSE)&gt;=main!$D$103+VLOOKUP(VLOOKUP(Y$1,main!$A$3:$I$102,7,FALSE),main!$K$26:$Q$29,5,FALSE)),1,0)</f>
        <v>0</v>
      </c>
      <c r="Z295">
        <f>IF(AND(VLOOKUP(Z$1,main!$A$3:$H$102,7,FALSE)=main!$G$105,VLOOKUP(Z$1,main!$A$3:$H$102,5,FALSE)-VLOOKUP($A295,main!$A$3:$H$102,6,FALSE)&gt;=main!$D$103+VLOOKUP(VLOOKUP(Z$1,main!$A$3:$I$102,7,FALSE),main!$K$26:$Q$29,5,FALSE)),1,0)</f>
        <v>0</v>
      </c>
      <c r="AA295">
        <f>IF(AND(VLOOKUP(AA$1,main!$A$3:$H$102,7,FALSE)=main!$G$105,VLOOKUP(AA$1,main!$A$3:$H$102,5,FALSE)-VLOOKUP($A295,main!$A$3:$H$102,6,FALSE)&gt;=main!$D$103+VLOOKUP(VLOOKUP(AA$1,main!$A$3:$I$102,7,FALSE),main!$K$26:$Q$29,5,FALSE)),1,0)</f>
        <v>0</v>
      </c>
      <c r="AB295">
        <f>IF(AND(VLOOKUP(AB$1,main!$A$3:$H$102,7,FALSE)=main!$G$105,VLOOKUP(AB$1,main!$A$3:$H$102,5,FALSE)-VLOOKUP($A295,main!$A$3:$H$102,6,FALSE)&gt;=main!$D$103+VLOOKUP(VLOOKUP(AB$1,main!$A$3:$I$102,7,FALSE),main!$K$26:$Q$29,5,FALSE)),1,0)</f>
        <v>0</v>
      </c>
      <c r="AC295">
        <f>IF(AND(VLOOKUP(AC$1,main!$A$3:$H$102,7,FALSE)=main!$G$105,VLOOKUP(AC$1,main!$A$3:$H$102,5,FALSE)-VLOOKUP($A295,main!$A$3:$H$102,6,FALSE)&gt;=main!$D$103+VLOOKUP(VLOOKUP(AC$1,main!$A$3:$I$102,7,FALSE),main!$K$26:$Q$29,5,FALSE)),1,0)</f>
        <v>0</v>
      </c>
      <c r="AD295">
        <f>IF(AND(VLOOKUP(AD$1,main!$A$3:$H$102,7,FALSE)=main!$G$105,VLOOKUP(AD$1,main!$A$3:$H$102,5,FALSE)-VLOOKUP($A295,main!$A$3:$H$102,6,FALSE)&gt;=main!$D$103+VLOOKUP(VLOOKUP(AD$1,main!$A$3:$I$102,7,FALSE),main!$K$26:$Q$29,5,FALSE)),1,0)</f>
        <v>0</v>
      </c>
      <c r="AE295">
        <f>IF(AND(VLOOKUP(AE$1,main!$A$3:$H$102,7,FALSE)=main!$G$105,VLOOKUP(AE$1,main!$A$3:$H$102,5,FALSE)-VLOOKUP($A295,main!$A$3:$H$102,6,FALSE)&gt;=main!$D$103+VLOOKUP(VLOOKUP(AE$1,main!$A$3:$I$102,7,FALSE),main!$K$26:$Q$29,5,FALSE)),1,0)</f>
        <v>0</v>
      </c>
      <c r="AF295">
        <f>IF(AND(VLOOKUP(AF$1,main!$A$3:$H$102,7,FALSE)=main!$G$105,VLOOKUP(AF$1,main!$A$3:$H$102,5,FALSE)-VLOOKUP($A295,main!$A$3:$H$102,6,FALSE)&gt;=main!$D$103+VLOOKUP(VLOOKUP(AF$1,main!$A$3:$I$102,7,FALSE),main!$K$26:$Q$29,5,FALSE)),1,0)</f>
        <v>0</v>
      </c>
      <c r="AG295">
        <f>IF(AND(VLOOKUP(AG$1,main!$A$3:$H$102,7,FALSE)=main!$G$105,VLOOKUP(AG$1,main!$A$3:$H$102,5,FALSE)-VLOOKUP($A295,main!$A$3:$H$102,6,FALSE)&gt;=main!$D$103+VLOOKUP(VLOOKUP(AG$1,main!$A$3:$I$102,7,FALSE),main!$K$26:$Q$29,5,FALSE)),1,0)</f>
        <v>0</v>
      </c>
      <c r="AH295">
        <f>IF(AND(VLOOKUP(AH$1,main!$A$3:$H$102,7,FALSE)=main!$G$105,VLOOKUP(AH$1,main!$A$3:$H$102,5,FALSE)-VLOOKUP($A295,main!$A$3:$H$102,6,FALSE)&gt;=main!$D$103+VLOOKUP(VLOOKUP(AH$1,main!$A$3:$I$102,7,FALSE),main!$K$26:$Q$29,5,FALSE)),1,0)</f>
        <v>0</v>
      </c>
      <c r="AI295">
        <f>IF(AND(VLOOKUP(AI$1,main!$A$3:$H$102,7,FALSE)=main!$G$105,VLOOKUP(AI$1,main!$A$3:$H$102,5,FALSE)-VLOOKUP($A295,main!$A$3:$H$102,6,FALSE)&gt;=main!$D$103+VLOOKUP(VLOOKUP(AI$1,main!$A$3:$I$102,7,FALSE),main!$K$26:$Q$29,5,FALSE)),1,0)</f>
        <v>0</v>
      </c>
      <c r="AJ295">
        <f>IF(AND(VLOOKUP(AJ$1,main!$A$3:$H$102,7,FALSE)=main!$G$105,VLOOKUP(AJ$1,main!$A$3:$H$102,5,FALSE)-VLOOKUP($A295,main!$A$3:$H$102,6,FALSE)&gt;=main!$D$103+VLOOKUP(VLOOKUP(AJ$1,main!$A$3:$I$102,7,FALSE),main!$K$26:$Q$29,5,FALSE)),1,0)</f>
        <v>1</v>
      </c>
      <c r="AK295">
        <f>IF(AND(VLOOKUP(AK$1,main!$A$3:$H$102,7,FALSE)=main!$G$105,VLOOKUP(AK$1,main!$A$3:$H$102,5,FALSE)-VLOOKUP($A295,main!$A$3:$H$102,6,FALSE)&gt;=main!$D$103+VLOOKUP(VLOOKUP(AK$1,main!$A$3:$I$102,7,FALSE),main!$K$26:$Q$29,5,FALSE)),1,0)</f>
        <v>1</v>
      </c>
      <c r="AL295">
        <f>IF(AND(VLOOKUP(AL$1,main!$A$3:$H$102,7,FALSE)=main!$G$105,VLOOKUP(AL$1,main!$A$3:$H$102,5,FALSE)-VLOOKUP($A295,main!$A$3:$H$102,6,FALSE)&gt;=main!$D$103+VLOOKUP(VLOOKUP(AL$1,main!$A$3:$I$102,7,FALSE),main!$K$26:$Q$29,5,FALSE)),1,0)</f>
        <v>1</v>
      </c>
      <c r="AM295">
        <f>IF(AND(VLOOKUP(AM$1,main!$A$3:$H$102,7,FALSE)=main!$G$105,VLOOKUP(AM$1,main!$A$3:$H$102,5,FALSE)-VLOOKUP($A295,main!$A$3:$H$102,6,FALSE)&gt;=main!$D$103+VLOOKUP(VLOOKUP(AM$1,main!$A$3:$I$102,7,FALSE),main!$K$26:$Q$29,5,FALSE)),1,0)</f>
        <v>1</v>
      </c>
      <c r="AN295">
        <f>IF(AND(VLOOKUP(AN$1,main!$A$3:$H$102,7,FALSE)=main!$G$105,VLOOKUP(AN$1,main!$A$3:$H$102,5,FALSE)-VLOOKUP($A295,main!$A$3:$H$102,6,FALSE)&gt;=main!$D$103+VLOOKUP(VLOOKUP(AN$1,main!$A$3:$I$102,7,FALSE),main!$K$26:$Q$29,5,FALSE)),1,0)</f>
        <v>1</v>
      </c>
      <c r="AO295">
        <f>IF(AND(VLOOKUP(AO$1,main!$A$3:$H$102,7,FALSE)=main!$G$105,VLOOKUP(AO$1,main!$A$3:$H$102,5,FALSE)-VLOOKUP($A295,main!$A$3:$H$102,6,FALSE)&gt;=main!$D$103+VLOOKUP(VLOOKUP(AO$1,main!$A$3:$I$102,7,FALSE),main!$K$26:$Q$29,5,FALSE)),1,0)</f>
        <v>0</v>
      </c>
      <c r="AP295">
        <f>IF(AND(VLOOKUP(AP$1,main!$A$3:$H$102,7,FALSE)=main!$G$105,VLOOKUP(AP$1,main!$A$3:$H$102,5,FALSE)-VLOOKUP($A295,main!$A$3:$H$102,6,FALSE)&gt;=main!$D$103+VLOOKUP(VLOOKUP(AP$1,main!$A$3:$I$102,7,FALSE),main!$K$26:$Q$29,5,FALSE)),1,0)</f>
        <v>1</v>
      </c>
      <c r="AQ295">
        <f>IF(AND(VLOOKUP(AQ$1,main!$A$3:$H$102,7,FALSE)=main!$G$105,VLOOKUP(AQ$1,main!$A$3:$H$102,5,FALSE)-VLOOKUP($A295,main!$A$3:$H$102,6,FALSE)&gt;=main!$D$103+VLOOKUP(VLOOKUP(AQ$1,main!$A$3:$I$102,7,FALSE),main!$K$26:$Q$29,5,FALSE)),1,0)</f>
        <v>0</v>
      </c>
      <c r="AR295">
        <f>IF(AND(VLOOKUP(AR$1,main!$A$3:$H$102,7,FALSE)=main!$G$105,VLOOKUP(AR$1,main!$A$3:$H$102,5,FALSE)-VLOOKUP($A295,main!$A$3:$H$102,6,FALSE)&gt;=main!$D$103+VLOOKUP(VLOOKUP(AR$1,main!$A$3:$I$102,7,FALSE),main!$K$26:$Q$29,5,FALSE)),1,0)</f>
        <v>0</v>
      </c>
      <c r="AS295">
        <f>IF(AND(VLOOKUP(AS$1,main!$A$3:$H$102,7,FALSE)=main!$G$105,VLOOKUP(AS$1,main!$A$3:$H$102,5,FALSE)-VLOOKUP($A295,main!$A$3:$H$102,6,FALSE)&gt;=main!$D$103+VLOOKUP(VLOOKUP(AS$1,main!$A$3:$I$102,7,FALSE),main!$K$26:$Q$29,5,FALSE)),1,0)</f>
        <v>1</v>
      </c>
      <c r="AT295">
        <f>IF(AND(VLOOKUP(AT$1,main!$A$3:$H$102,7,FALSE)=main!$G$105,VLOOKUP(AT$1,main!$A$3:$H$102,5,FALSE)-VLOOKUP($A295,main!$A$3:$H$102,6,FALSE)&gt;=main!$D$103+VLOOKUP(VLOOKUP(AT$1,main!$A$3:$I$102,7,FALSE),main!$K$26:$Q$29,5,FALSE)),1,0)</f>
        <v>1</v>
      </c>
      <c r="AU295">
        <f>IF(AND(VLOOKUP(AU$1,main!$A$3:$H$102,7,FALSE)=main!$G$105,VLOOKUP(AU$1,main!$A$3:$H$102,5,FALSE)-VLOOKUP($A295,main!$A$3:$H$102,6,FALSE)&gt;=main!$D$103+VLOOKUP(VLOOKUP(AU$1,main!$A$3:$I$102,7,FALSE),main!$K$26:$Q$29,5,FALSE)),1,0)</f>
        <v>0</v>
      </c>
      <c r="AV295">
        <f>IF(AND(VLOOKUP(AV$1,main!$A$3:$H$102,7,FALSE)=main!$G$105,VLOOKUP(AV$1,main!$A$3:$H$102,5,FALSE)-VLOOKUP($A295,main!$A$3:$H$102,6,FALSE)&gt;=main!$D$103+VLOOKUP(VLOOKUP(AV$1,main!$A$3:$I$102,7,FALSE),main!$K$26:$Q$29,5,FALSE)),1,0)</f>
        <v>0</v>
      </c>
      <c r="AW295">
        <f>IF(AND(VLOOKUP(AW$1,main!$A$3:$H$102,7,FALSE)=main!$G$105,VLOOKUP(AW$1,main!$A$3:$H$102,5,FALSE)-VLOOKUP($A295,main!$A$3:$H$102,6,FALSE)&gt;=main!$D$103+VLOOKUP(VLOOKUP(AW$1,main!$A$3:$I$102,7,FALSE),main!$K$26:$Q$29,5,FALSE)),1,0)</f>
        <v>1</v>
      </c>
      <c r="AX295">
        <f>IF(AND(VLOOKUP(AX$1,main!$A$3:$H$102,7,FALSE)=main!$G$105,VLOOKUP(AX$1,main!$A$3:$H$102,5,FALSE)-VLOOKUP($A295,main!$A$3:$H$102,6,FALSE)&gt;=main!$D$103+VLOOKUP(VLOOKUP(AX$1,main!$A$3:$I$102,7,FALSE),main!$K$26:$Q$29,5,FALSE)),1,0)</f>
        <v>0</v>
      </c>
      <c r="AY295">
        <f>IF(AND(VLOOKUP(AY$1,main!$A$3:$H$102,7,FALSE)=main!$G$105,VLOOKUP(AY$1,main!$A$3:$H$102,5,FALSE)-VLOOKUP($A295,main!$A$3:$H$102,6,FALSE)&gt;=main!$D$103+VLOOKUP(VLOOKUP(AY$1,main!$A$3:$I$102,7,FALSE),main!$K$26:$Q$29,5,FALSE)),1,0)</f>
        <v>0</v>
      </c>
      <c r="AZ295">
        <f>IF(AND(VLOOKUP(AZ$1,main!$A$3:$H$102,7,FALSE)=main!$G$105,VLOOKUP(AZ$1,main!$A$3:$H$102,5,FALSE)-VLOOKUP($A295,main!$A$3:$H$102,6,FALSE)&gt;=main!$D$103+VLOOKUP(VLOOKUP(AZ$1,main!$A$3:$I$102,7,FALSE),main!$K$26:$Q$29,5,FALSE)),1,0)</f>
        <v>0</v>
      </c>
      <c r="BA295">
        <f>IF(AND(VLOOKUP(BA$1,main!$A$3:$H$102,7,FALSE)=main!$G$105,VLOOKUP(BA$1,main!$A$3:$H$102,5,FALSE)-VLOOKUP($A295,main!$A$3:$H$102,6,FALSE)&gt;=main!$D$103+VLOOKUP(VLOOKUP(BA$1,main!$A$3:$I$102,7,FALSE),main!$K$26:$Q$29,5,FALSE)),1,0)</f>
        <v>0</v>
      </c>
      <c r="BB295">
        <f>IF(AND(VLOOKUP(BB$1,main!$A$3:$H$102,7,FALSE)=main!$G$105,VLOOKUP(BB$1,main!$A$3:$H$102,5,FALSE)-VLOOKUP($A295,main!$A$3:$H$102,6,FALSE)&gt;=main!$D$103+VLOOKUP(VLOOKUP(BB$1,main!$A$3:$I$102,7,FALSE),main!$K$26:$Q$29,5,FALSE)),1,0)</f>
        <v>0</v>
      </c>
      <c r="BC295">
        <f>IF(AND(VLOOKUP(BC$1,main!$A$3:$H$102,7,FALSE)=main!$G$105,VLOOKUP(BC$1,main!$A$3:$H$102,5,FALSE)-VLOOKUP($A295,main!$A$3:$H$102,6,FALSE)&gt;=main!$D$103+VLOOKUP(VLOOKUP(BC$1,main!$A$3:$I$102,7,FALSE),main!$K$26:$Q$29,5,FALSE)),1,0)</f>
        <v>0</v>
      </c>
      <c r="BD295">
        <f>IF(AND(VLOOKUP(BD$1,main!$A$3:$H$102,7,FALSE)=main!$G$105,VLOOKUP(BD$1,main!$A$3:$H$102,5,FALSE)-VLOOKUP($A295,main!$A$3:$H$102,6,FALSE)&gt;=main!$D$103+VLOOKUP(VLOOKUP(BD$1,main!$A$3:$I$102,7,FALSE),main!$K$26:$Q$29,5,FALSE)),1,0)</f>
        <v>0</v>
      </c>
      <c r="BE295">
        <f>IF(AND(VLOOKUP(BE$1,main!$A$3:$H$102,7,FALSE)=main!$G$105,VLOOKUP(BE$1,main!$A$3:$H$102,5,FALSE)-VLOOKUP($A295,main!$A$3:$H$102,6,FALSE)&gt;=main!$D$103+VLOOKUP(VLOOKUP(BE$1,main!$A$3:$I$102,7,FALSE),main!$K$26:$Q$29,5,FALSE)),1,0)</f>
        <v>0</v>
      </c>
      <c r="BF295">
        <f>IF(AND(VLOOKUP(BF$1,main!$A$3:$H$102,7,FALSE)=main!$G$105,VLOOKUP(BF$1,main!$A$3:$H$102,5,FALSE)-VLOOKUP($A295,main!$A$3:$H$102,6,FALSE)&gt;=main!$D$103+VLOOKUP(VLOOKUP(BF$1,main!$A$3:$I$102,7,FALSE),main!$K$26:$Q$29,5,FALSE)),1,0)</f>
        <v>0</v>
      </c>
      <c r="BG295">
        <f>IF(AND(VLOOKUP(BG$1,main!$A$3:$H$102,7,FALSE)=main!$G$105,VLOOKUP(BG$1,main!$A$3:$H$102,5,FALSE)-VLOOKUP($A295,main!$A$3:$H$102,6,FALSE)&gt;=main!$D$103+VLOOKUP(VLOOKUP(BG$1,main!$A$3:$I$102,7,FALSE),main!$K$26:$Q$29,5,FALSE)),1,0)</f>
        <v>0</v>
      </c>
      <c r="BH295">
        <f>IF(AND(VLOOKUP(BH$1,main!$A$3:$H$102,7,FALSE)=main!$G$105,VLOOKUP(BH$1,main!$A$3:$H$102,5,FALSE)-VLOOKUP($A295,main!$A$3:$H$102,6,FALSE)&gt;=main!$D$103+VLOOKUP(VLOOKUP(BH$1,main!$A$3:$I$102,7,FALSE),main!$K$26:$Q$29,5,FALSE)),1,0)</f>
        <v>0</v>
      </c>
      <c r="BI295">
        <f>IF(AND(VLOOKUP(BI$1,main!$A$3:$H$102,7,FALSE)=main!$G$105,VLOOKUP(BI$1,main!$A$3:$H$102,5,FALSE)-VLOOKUP($A295,main!$A$3:$H$102,6,FALSE)&gt;=main!$D$103+VLOOKUP(VLOOKUP(BI$1,main!$A$3:$I$102,7,FALSE),main!$K$26:$Q$29,5,FALSE)),1,0)</f>
        <v>0</v>
      </c>
      <c r="BJ295">
        <f>IF(AND(VLOOKUP(BJ$1,main!$A$3:$H$102,7,FALSE)=main!$G$105,VLOOKUP(BJ$1,main!$A$3:$H$102,5,FALSE)-VLOOKUP($A295,main!$A$3:$H$102,6,FALSE)&gt;=main!$D$103+VLOOKUP(VLOOKUP(BJ$1,main!$A$3:$I$102,7,FALSE),main!$K$26:$Q$29,5,FALSE)),1,0)</f>
        <v>0</v>
      </c>
      <c r="BK295">
        <f>IF(AND(VLOOKUP(BK$1,main!$A$3:$H$102,7,FALSE)=main!$G$105,VLOOKUP(BK$1,main!$A$3:$H$102,5,FALSE)-VLOOKUP($A295,main!$A$3:$H$102,6,FALSE)&gt;=main!$D$103+VLOOKUP(VLOOKUP(BK$1,main!$A$3:$I$102,7,FALSE),main!$K$26:$Q$29,5,FALSE)),1,0)</f>
        <v>0</v>
      </c>
      <c r="BL295">
        <f>IF(AND(VLOOKUP(BL$1,main!$A$3:$H$102,7,FALSE)=main!$G$105,VLOOKUP(BL$1,main!$A$3:$H$102,5,FALSE)-VLOOKUP($A295,main!$A$3:$H$102,6,FALSE)&gt;=main!$D$103+VLOOKUP(VLOOKUP(BL$1,main!$A$3:$I$102,7,FALSE),main!$K$26:$Q$29,5,FALSE)),1,0)</f>
        <v>0</v>
      </c>
      <c r="BM295">
        <f>IF(AND(VLOOKUP(BM$1,main!$A$3:$H$102,7,FALSE)=main!$G$105,VLOOKUP(BM$1,main!$A$3:$H$102,5,FALSE)-VLOOKUP($A295,main!$A$3:$H$102,6,FALSE)&gt;=main!$D$103+VLOOKUP(VLOOKUP(BM$1,main!$A$3:$I$102,7,FALSE),main!$K$26:$Q$29,5,FALSE)),1,0)</f>
        <v>0</v>
      </c>
      <c r="BN295">
        <f>IF(AND(VLOOKUP(BN$1,main!$A$3:$H$102,7,FALSE)=main!$G$105,VLOOKUP(BN$1,main!$A$3:$H$102,5,FALSE)-VLOOKUP($A295,main!$A$3:$H$102,6,FALSE)&gt;=main!$D$103+VLOOKUP(VLOOKUP(BN$1,main!$A$3:$I$102,7,FALSE),main!$K$26:$Q$29,5,FALSE)),1,0)</f>
        <v>0</v>
      </c>
      <c r="BO295">
        <f>IF(AND(VLOOKUP(BO$1,main!$A$3:$H$102,7,FALSE)=main!$G$105,VLOOKUP(BO$1,main!$A$3:$H$102,5,FALSE)-VLOOKUP($A295,main!$A$3:$H$102,6,FALSE)&gt;=main!$D$103+VLOOKUP(VLOOKUP(BO$1,main!$A$3:$I$102,7,FALSE),main!$K$26:$Q$29,5,FALSE)),1,0)</f>
        <v>0</v>
      </c>
      <c r="BP295">
        <f>IF(AND(VLOOKUP(BP$1,main!$A$3:$H$102,7,FALSE)=main!$G$105,VLOOKUP(BP$1,main!$A$3:$H$102,5,FALSE)-VLOOKUP($A295,main!$A$3:$H$102,6,FALSE)&gt;=main!$D$103+VLOOKUP(VLOOKUP(BP$1,main!$A$3:$I$102,7,FALSE),main!$K$26:$Q$29,5,FALSE)),1,0)</f>
        <v>0</v>
      </c>
      <c r="BQ295">
        <f>IF(AND(VLOOKUP(BQ$1,main!$A$3:$H$102,7,FALSE)=main!$G$105,VLOOKUP(BQ$1,main!$A$3:$H$102,5,FALSE)-VLOOKUP($A295,main!$A$3:$H$102,6,FALSE)&gt;=main!$D$103+VLOOKUP(VLOOKUP(BQ$1,main!$A$3:$I$102,7,FALSE),main!$K$26:$Q$29,5,FALSE)),1,0)</f>
        <v>0</v>
      </c>
      <c r="BR295">
        <f>IF(AND(VLOOKUP(BR$1,main!$A$3:$H$102,7,FALSE)=main!$G$105,VLOOKUP(BR$1,main!$A$3:$H$102,5,FALSE)-VLOOKUP($A295,main!$A$3:$H$102,6,FALSE)&gt;=main!$D$103+VLOOKUP(VLOOKUP(BR$1,main!$A$3:$I$102,7,FALSE),main!$K$26:$Q$29,5,FALSE)),1,0)</f>
        <v>0</v>
      </c>
      <c r="BS295">
        <f>IF(AND(VLOOKUP(BS$1,main!$A$3:$H$102,7,FALSE)=main!$G$105,VLOOKUP(BS$1,main!$A$3:$H$102,5,FALSE)-VLOOKUP($A295,main!$A$3:$H$102,6,FALSE)&gt;=main!$D$103+VLOOKUP(VLOOKUP(BS$1,main!$A$3:$I$102,7,FALSE),main!$K$26:$Q$29,5,FALSE)),1,0)</f>
        <v>0</v>
      </c>
      <c r="BT295">
        <f>IF(AND(VLOOKUP(BT$1,main!$A$3:$H$102,7,FALSE)=main!$G$105,VLOOKUP(BT$1,main!$A$3:$H$102,5,FALSE)-VLOOKUP($A295,main!$A$3:$H$102,6,FALSE)&gt;=main!$D$103+VLOOKUP(VLOOKUP(BT$1,main!$A$3:$I$102,7,FALSE),main!$K$26:$Q$29,5,FALSE)),1,0)</f>
        <v>0</v>
      </c>
      <c r="BU295">
        <f>IF(AND(VLOOKUP(BU$1,main!$A$3:$H$102,7,FALSE)=main!$G$105,VLOOKUP(BU$1,main!$A$3:$H$102,5,FALSE)-VLOOKUP($A295,main!$A$3:$H$102,6,FALSE)&gt;=main!$D$103+VLOOKUP(VLOOKUP(BU$1,main!$A$3:$I$102,7,FALSE),main!$K$26:$Q$29,5,FALSE)),1,0)</f>
        <v>0</v>
      </c>
      <c r="BV295">
        <f>IF(AND(VLOOKUP(BV$1,main!$A$3:$H$102,7,FALSE)=main!$G$105,VLOOKUP(BV$1,main!$A$3:$H$102,5,FALSE)-VLOOKUP($A295,main!$A$3:$H$102,6,FALSE)&gt;=main!$D$103+VLOOKUP(VLOOKUP(BV$1,main!$A$3:$I$102,7,FALSE),main!$K$26:$Q$29,5,FALSE)),1,0)</f>
        <v>0</v>
      </c>
      <c r="BW295">
        <f>IF(AND(VLOOKUP(BW$1,main!$A$3:$H$102,7,FALSE)=main!$G$105,VLOOKUP(BW$1,main!$A$3:$H$102,5,FALSE)-VLOOKUP($A295,main!$A$3:$H$102,6,FALSE)&gt;=main!$D$103+VLOOKUP(VLOOKUP(BW$1,main!$A$3:$I$102,7,FALSE),main!$K$26:$Q$29,5,FALSE)),1,0)</f>
        <v>0</v>
      </c>
      <c r="BX295">
        <f>IF(AND(VLOOKUP(BX$1,main!$A$3:$H$102,7,FALSE)=main!$G$105,VLOOKUP(BX$1,main!$A$3:$H$102,5,FALSE)-VLOOKUP($A295,main!$A$3:$H$102,6,FALSE)&gt;=main!$D$103+VLOOKUP(VLOOKUP(BX$1,main!$A$3:$I$102,7,FALSE),main!$K$26:$Q$29,5,FALSE)),1,0)</f>
        <v>0</v>
      </c>
      <c r="BY295">
        <f>IF(AND(VLOOKUP(BY$1,main!$A$3:$H$102,7,FALSE)=main!$G$105,VLOOKUP(BY$1,main!$A$3:$H$102,5,FALSE)-VLOOKUP($A295,main!$A$3:$H$102,6,FALSE)&gt;=main!$D$103+VLOOKUP(VLOOKUP(BY$1,main!$A$3:$I$102,7,FALSE),main!$K$26:$Q$29,5,FALSE)),1,0)</f>
        <v>0</v>
      </c>
      <c r="BZ295">
        <f>IF(AND(VLOOKUP(BZ$1,main!$A$3:$H$102,7,FALSE)=main!$G$105,VLOOKUP(BZ$1,main!$A$3:$H$102,5,FALSE)-VLOOKUP($A295,main!$A$3:$H$102,6,FALSE)&gt;=main!$D$103+VLOOKUP(VLOOKUP(BZ$1,main!$A$3:$I$102,7,FALSE),main!$K$26:$Q$29,5,FALSE)),1,0)</f>
        <v>0</v>
      </c>
      <c r="CA295">
        <f>IF(AND(VLOOKUP(CA$1,main!$A$3:$H$102,7,FALSE)=main!$G$105,VLOOKUP(CA$1,main!$A$3:$H$102,5,FALSE)-VLOOKUP($A295,main!$A$3:$H$102,6,FALSE)&gt;=main!$D$103+VLOOKUP(VLOOKUP(CA$1,main!$A$3:$I$102,7,FALSE),main!$K$26:$Q$29,5,FALSE)),1,0)</f>
        <v>0</v>
      </c>
      <c r="CB295">
        <f>IF(AND(VLOOKUP(CB$1,main!$A$3:$H$102,7,FALSE)=main!$G$105,VLOOKUP(CB$1,main!$A$3:$H$102,5,FALSE)-VLOOKUP($A295,main!$A$3:$H$102,6,FALSE)&gt;=main!$D$103+VLOOKUP(VLOOKUP(CB$1,main!$A$3:$I$102,7,FALSE),main!$K$26:$Q$29,5,FALSE)),1,0)</f>
        <v>0</v>
      </c>
      <c r="CC295">
        <f>IF(AND(VLOOKUP(CC$1,main!$A$3:$H$102,7,FALSE)=main!$G$105,VLOOKUP(CC$1,main!$A$3:$H$102,5,FALSE)-VLOOKUP($A295,main!$A$3:$H$102,6,FALSE)&gt;=main!$D$103+VLOOKUP(VLOOKUP(CC$1,main!$A$3:$I$102,7,FALSE),main!$K$26:$Q$29,5,FALSE)),1,0)</f>
        <v>0</v>
      </c>
      <c r="CD295">
        <f>IF(AND(VLOOKUP(CD$1,main!$A$3:$H$102,7,FALSE)=main!$G$105,VLOOKUP(CD$1,main!$A$3:$H$102,5,FALSE)-VLOOKUP($A295,main!$A$3:$H$102,6,FALSE)&gt;=main!$D$103+VLOOKUP(VLOOKUP(CD$1,main!$A$3:$I$102,7,FALSE),main!$K$26:$Q$29,5,FALSE)),1,0)</f>
        <v>0</v>
      </c>
      <c r="CE295">
        <f>IF(AND(VLOOKUP(CE$1,main!$A$3:$H$102,7,FALSE)=main!$G$105,VLOOKUP(CE$1,main!$A$3:$H$102,5,FALSE)-VLOOKUP($A295,main!$A$3:$H$102,6,FALSE)&gt;=main!$D$103+VLOOKUP(VLOOKUP(CE$1,main!$A$3:$I$102,7,FALSE),main!$K$26:$Q$29,5,FALSE)),1,0)</f>
        <v>0</v>
      </c>
      <c r="CF295">
        <f>IF(AND(VLOOKUP(CF$1,main!$A$3:$H$102,7,FALSE)=main!$G$105,VLOOKUP(CF$1,main!$A$3:$H$102,5,FALSE)-VLOOKUP($A295,main!$A$3:$H$102,6,FALSE)&gt;=main!$D$103+VLOOKUP(VLOOKUP(CF$1,main!$A$3:$I$102,7,FALSE),main!$K$26:$Q$29,5,FALSE)),1,0)</f>
        <v>0</v>
      </c>
      <c r="CG295">
        <f>IF(AND(VLOOKUP(CG$1,main!$A$3:$H$102,7,FALSE)=main!$G$105,VLOOKUP(CG$1,main!$A$3:$H$102,5,FALSE)-VLOOKUP($A295,main!$A$3:$H$102,6,FALSE)&gt;=main!$D$103+VLOOKUP(VLOOKUP(CG$1,main!$A$3:$I$102,7,FALSE),main!$K$26:$Q$29,5,FALSE)),1,0)</f>
        <v>0</v>
      </c>
      <c r="CH295">
        <f>IF(AND(VLOOKUP(CH$1,main!$A$3:$H$102,7,FALSE)=main!$G$105,VLOOKUP(CH$1,main!$A$3:$H$102,5,FALSE)-VLOOKUP($A295,main!$A$3:$H$102,6,FALSE)&gt;=main!$D$103+VLOOKUP(VLOOKUP(CH$1,main!$A$3:$I$102,7,FALSE),main!$K$26:$Q$29,5,FALSE)),1,0)</f>
        <v>0</v>
      </c>
      <c r="CI295">
        <f>IF(AND(VLOOKUP(CI$1,main!$A$3:$H$102,7,FALSE)=main!$G$105,VLOOKUP(CI$1,main!$A$3:$H$102,5,FALSE)-VLOOKUP($A295,main!$A$3:$H$102,6,FALSE)&gt;=main!$D$103+VLOOKUP(VLOOKUP(CI$1,main!$A$3:$I$102,7,FALSE),main!$K$26:$Q$29,5,FALSE)),1,0)</f>
        <v>0</v>
      </c>
      <c r="CJ295">
        <f>IF(AND(VLOOKUP(CJ$1,main!$A$3:$H$102,7,FALSE)=main!$G$105,VLOOKUP(CJ$1,main!$A$3:$H$102,5,FALSE)-VLOOKUP($A295,main!$A$3:$H$102,6,FALSE)&gt;=main!$D$103+VLOOKUP(VLOOKUP(CJ$1,main!$A$3:$I$102,7,FALSE),main!$K$26:$Q$29,5,FALSE)),1,0)</f>
        <v>0</v>
      </c>
      <c r="CK295">
        <f>IF(AND(VLOOKUP(CK$1,main!$A$3:$H$102,7,FALSE)=main!$G$105,VLOOKUP(CK$1,main!$A$3:$H$102,5,FALSE)-VLOOKUP($A295,main!$A$3:$H$102,6,FALSE)&gt;=main!$D$103+VLOOKUP(VLOOKUP(CK$1,main!$A$3:$I$102,7,FALSE),main!$K$26:$Q$29,5,FALSE)),1,0)</f>
        <v>0</v>
      </c>
      <c r="CL295">
        <f>IF(AND(VLOOKUP(CL$1,main!$A$3:$H$102,7,FALSE)=main!$G$105,VLOOKUP(CL$1,main!$A$3:$H$102,5,FALSE)-VLOOKUP($A295,main!$A$3:$H$102,6,FALSE)&gt;=main!$D$103+VLOOKUP(VLOOKUP(CL$1,main!$A$3:$I$102,7,FALSE),main!$K$26:$Q$29,5,FALSE)),1,0)</f>
        <v>0</v>
      </c>
      <c r="CM295">
        <f>IF(AND(VLOOKUP(CM$1,main!$A$3:$H$102,7,FALSE)=main!$G$105,VLOOKUP(CM$1,main!$A$3:$H$102,5,FALSE)-VLOOKUP($A295,main!$A$3:$H$102,6,FALSE)&gt;=main!$D$103+VLOOKUP(VLOOKUP(CM$1,main!$A$3:$I$102,7,FALSE),main!$K$26:$Q$29,5,FALSE)),1,0)</f>
        <v>0</v>
      </c>
      <c r="CN295">
        <f>IF(AND(VLOOKUP(CN$1,main!$A$3:$H$102,7,FALSE)=main!$G$105,VLOOKUP(CN$1,main!$A$3:$H$102,5,FALSE)-VLOOKUP($A295,main!$A$3:$H$102,6,FALSE)&gt;=main!$D$103+VLOOKUP(VLOOKUP(CN$1,main!$A$3:$I$102,7,FALSE),main!$K$26:$Q$29,5,FALSE)),1,0)</f>
        <v>0</v>
      </c>
      <c r="CO295">
        <f>IF(AND(VLOOKUP(CO$1,main!$A$3:$H$102,7,FALSE)=main!$G$105,VLOOKUP(CO$1,main!$A$3:$H$102,5,FALSE)-VLOOKUP($A295,main!$A$3:$H$102,6,FALSE)&gt;=main!$D$103+VLOOKUP(VLOOKUP(CO$1,main!$A$3:$I$102,7,FALSE),main!$K$26:$Q$29,5,FALSE)),1,0)</f>
        <v>0</v>
      </c>
      <c r="CP295">
        <f>IF(AND(VLOOKUP(CP$1,main!$A$3:$H$102,7,FALSE)=main!$G$105,VLOOKUP(CP$1,main!$A$3:$H$102,5,FALSE)-VLOOKUP($A295,main!$A$3:$H$102,6,FALSE)&gt;=main!$D$103+VLOOKUP(VLOOKUP(CP$1,main!$A$3:$I$102,7,FALSE),main!$K$26:$Q$29,5,FALSE)),1,0)</f>
        <v>0</v>
      </c>
      <c r="CQ295">
        <f>IF(AND(VLOOKUP(CQ$1,main!$A$3:$H$102,7,FALSE)=main!$G$105,VLOOKUP(CQ$1,main!$A$3:$H$102,5,FALSE)-VLOOKUP($A295,main!$A$3:$H$102,6,FALSE)&gt;=main!$D$103+VLOOKUP(VLOOKUP(CQ$1,main!$A$3:$I$102,7,FALSE),main!$K$26:$Q$29,5,FALSE)),1,0)</f>
        <v>0</v>
      </c>
      <c r="CR295">
        <f>IF(AND(VLOOKUP(CR$1,main!$A$3:$H$102,7,FALSE)=main!$G$105,VLOOKUP(CR$1,main!$A$3:$H$102,5,FALSE)-VLOOKUP($A295,main!$A$3:$H$102,6,FALSE)&gt;=main!$D$103+VLOOKUP(VLOOKUP(CR$1,main!$A$3:$I$102,7,FALSE),main!$K$26:$Q$29,5,FALSE)),1,0)</f>
        <v>0</v>
      </c>
      <c r="CS295">
        <f>IF(AND(VLOOKUP(CS$1,main!$A$3:$H$102,7,FALSE)=main!$G$105,VLOOKUP(CS$1,main!$A$3:$H$102,5,FALSE)-VLOOKUP($A295,main!$A$3:$H$102,6,FALSE)&gt;=main!$D$103+VLOOKUP(VLOOKUP(CS$1,main!$A$3:$I$102,7,FALSE),main!$K$26:$Q$29,5,FALSE)),1,0)</f>
        <v>0</v>
      </c>
      <c r="CT295">
        <f>IF(AND(VLOOKUP(CT$1,main!$A$3:$H$102,7,FALSE)=main!$G$105,VLOOKUP(CT$1,main!$A$3:$H$102,5,FALSE)-VLOOKUP($A295,main!$A$3:$H$102,6,FALSE)&gt;=main!$D$103+VLOOKUP(VLOOKUP(CT$1,main!$A$3:$I$102,7,FALSE),main!$K$26:$Q$29,5,FALSE)),1,0)</f>
        <v>0</v>
      </c>
      <c r="CU295">
        <f>IF(AND(VLOOKUP(CU$1,main!$A$3:$H$102,7,FALSE)=main!$G$105,VLOOKUP(CU$1,main!$A$3:$H$102,5,FALSE)-VLOOKUP($A295,main!$A$3:$H$102,6,FALSE)&gt;=main!$D$103+VLOOKUP(VLOOKUP(CU$1,main!$A$3:$I$102,7,FALSE),main!$K$26:$Q$29,5,FALSE)),1,0)</f>
        <v>0</v>
      </c>
      <c r="CV295">
        <f>IF(AND(VLOOKUP(CV$1,main!$A$3:$H$102,7,FALSE)=main!$G$105,VLOOKUP(CV$1,main!$A$3:$H$102,5,FALSE)-VLOOKUP($A295,main!$A$3:$H$102,6,FALSE)&gt;=main!$D$103+VLOOKUP(VLOOKUP(CV$1,main!$A$3:$I$102,7,FALSE),main!$K$26:$Q$29,5,FALSE)),1,0)</f>
        <v>0</v>
      </c>
      <c r="CW295">
        <f>IF(AND(VLOOKUP(CW$1,main!$A$3:$H$102,7,FALSE)=main!$G$105,VLOOKUP(CW$1,main!$A$3:$H$102,5,FALSE)-VLOOKUP($A295,main!$A$3:$H$102,6,FALSE)&gt;=main!$D$103+VLOOKUP(VLOOKUP(CW$1,main!$A$3:$I$102,7,FALSE),main!$K$26:$Q$29,5,FALSE)),1,0)</f>
        <v>0</v>
      </c>
      <c r="CX295">
        <f>IF(AND(VLOOKUP(CX$1,main!$A$3:$H$102,7,FALSE)=main!$G$105,VLOOKUP(CX$1,main!$A$3:$H$102,5,FALSE)-VLOOKUP($A295,main!$A$3:$H$102,6,FALSE)&gt;=main!$D$103+VLOOKUP(VLOOKUP(CX$1,main!$A$3:$I$102,7,FALSE),main!$K$26:$Q$29,5,FALSE)),1,0)</f>
        <v>0</v>
      </c>
    </row>
    <row r="296" spans="1:102" x14ac:dyDescent="0.25">
      <c r="A296" s="1">
        <v>92</v>
      </c>
      <c r="B296">
        <v>0</v>
      </c>
      <c r="C296">
        <f>IF(AND(VLOOKUP(C$1,main!$A$3:$H$102,7,FALSE)=main!$G$105,VLOOKUP(C$1,main!$A$3:$H$102,5,FALSE)-VLOOKUP($A296,main!$A$3:$H$102,6,FALSE)&gt;=main!$D$103+VLOOKUP(VLOOKUP(C$1,main!$A$3:$I$102,7,FALSE),main!$K$26:$Q$29,5,FALSE)),1,0)</f>
        <v>0</v>
      </c>
      <c r="D296">
        <f>IF(AND(VLOOKUP(D$1,main!$A$3:$H$102,7,FALSE)=main!$G$105,VLOOKUP(D$1,main!$A$3:$H$102,5,FALSE)-VLOOKUP($A296,main!$A$3:$H$102,6,FALSE)&gt;=main!$D$103+VLOOKUP(VLOOKUP(D$1,main!$A$3:$I$102,7,FALSE),main!$K$26:$Q$29,5,FALSE)),1,0)</f>
        <v>0</v>
      </c>
      <c r="E296">
        <f>IF(AND(VLOOKUP(E$1,main!$A$3:$H$102,7,FALSE)=main!$G$105,VLOOKUP(E$1,main!$A$3:$H$102,5,FALSE)-VLOOKUP($A296,main!$A$3:$H$102,6,FALSE)&gt;=main!$D$103+VLOOKUP(VLOOKUP(E$1,main!$A$3:$I$102,7,FALSE),main!$K$26:$Q$29,5,FALSE)),1,0)</f>
        <v>0</v>
      </c>
      <c r="F296">
        <f>IF(AND(VLOOKUP(F$1,main!$A$3:$H$102,7,FALSE)=main!$G$105,VLOOKUP(F$1,main!$A$3:$H$102,5,FALSE)-VLOOKUP($A296,main!$A$3:$H$102,6,FALSE)&gt;=main!$D$103+VLOOKUP(VLOOKUP(F$1,main!$A$3:$I$102,7,FALSE),main!$K$26:$Q$29,5,FALSE)),1,0)</f>
        <v>0</v>
      </c>
      <c r="G296">
        <f>IF(AND(VLOOKUP(G$1,main!$A$3:$H$102,7,FALSE)=main!$G$105,VLOOKUP(G$1,main!$A$3:$H$102,5,FALSE)-VLOOKUP($A296,main!$A$3:$H$102,6,FALSE)&gt;=main!$D$103+VLOOKUP(VLOOKUP(G$1,main!$A$3:$I$102,7,FALSE),main!$K$26:$Q$29,5,FALSE)),1,0)</f>
        <v>0</v>
      </c>
      <c r="H296">
        <f>IF(AND(VLOOKUP(H$1,main!$A$3:$H$102,7,FALSE)=main!$G$105,VLOOKUP(H$1,main!$A$3:$H$102,5,FALSE)-VLOOKUP($A296,main!$A$3:$H$102,6,FALSE)&gt;=main!$D$103+VLOOKUP(VLOOKUP(H$1,main!$A$3:$I$102,7,FALSE),main!$K$26:$Q$29,5,FALSE)),1,0)</f>
        <v>0</v>
      </c>
      <c r="I296">
        <f>IF(AND(VLOOKUP(I$1,main!$A$3:$H$102,7,FALSE)=main!$G$105,VLOOKUP(I$1,main!$A$3:$H$102,5,FALSE)-VLOOKUP($A296,main!$A$3:$H$102,6,FALSE)&gt;=main!$D$103+VLOOKUP(VLOOKUP(I$1,main!$A$3:$I$102,7,FALSE),main!$K$26:$Q$29,5,FALSE)),1,0)</f>
        <v>0</v>
      </c>
      <c r="J296">
        <f>IF(AND(VLOOKUP(J$1,main!$A$3:$H$102,7,FALSE)=main!$G$105,VLOOKUP(J$1,main!$A$3:$H$102,5,FALSE)-VLOOKUP($A296,main!$A$3:$H$102,6,FALSE)&gt;=main!$D$103+VLOOKUP(VLOOKUP(J$1,main!$A$3:$I$102,7,FALSE),main!$K$26:$Q$29,5,FALSE)),1,0)</f>
        <v>0</v>
      </c>
      <c r="K296">
        <f>IF(AND(VLOOKUP(K$1,main!$A$3:$H$102,7,FALSE)=main!$G$105,VLOOKUP(K$1,main!$A$3:$H$102,5,FALSE)-VLOOKUP($A296,main!$A$3:$H$102,6,FALSE)&gt;=main!$D$103+VLOOKUP(VLOOKUP(K$1,main!$A$3:$I$102,7,FALSE),main!$K$26:$Q$29,5,FALSE)),1,0)</f>
        <v>0</v>
      </c>
      <c r="L296">
        <f>IF(AND(VLOOKUP(L$1,main!$A$3:$H$102,7,FALSE)=main!$G$105,VLOOKUP(L$1,main!$A$3:$H$102,5,FALSE)-VLOOKUP($A296,main!$A$3:$H$102,6,FALSE)&gt;=main!$D$103+VLOOKUP(VLOOKUP(L$1,main!$A$3:$I$102,7,FALSE),main!$K$26:$Q$29,5,FALSE)),1,0)</f>
        <v>0</v>
      </c>
      <c r="M296">
        <f>IF(AND(VLOOKUP(M$1,main!$A$3:$H$102,7,FALSE)=main!$G$105,VLOOKUP(M$1,main!$A$3:$H$102,5,FALSE)-VLOOKUP($A296,main!$A$3:$H$102,6,FALSE)&gt;=main!$D$103+VLOOKUP(VLOOKUP(M$1,main!$A$3:$I$102,7,FALSE),main!$K$26:$Q$29,5,FALSE)),1,0)</f>
        <v>0</v>
      </c>
      <c r="N296">
        <f>IF(AND(VLOOKUP(N$1,main!$A$3:$H$102,7,FALSE)=main!$G$105,VLOOKUP(N$1,main!$A$3:$H$102,5,FALSE)-VLOOKUP($A296,main!$A$3:$H$102,6,FALSE)&gt;=main!$D$103+VLOOKUP(VLOOKUP(N$1,main!$A$3:$I$102,7,FALSE),main!$K$26:$Q$29,5,FALSE)),1,0)</f>
        <v>0</v>
      </c>
      <c r="O296">
        <f>IF(AND(VLOOKUP(O$1,main!$A$3:$H$102,7,FALSE)=main!$G$105,VLOOKUP(O$1,main!$A$3:$H$102,5,FALSE)-VLOOKUP($A296,main!$A$3:$H$102,6,FALSE)&gt;=main!$D$103+VLOOKUP(VLOOKUP(O$1,main!$A$3:$I$102,7,FALSE),main!$K$26:$Q$29,5,FALSE)),1,0)</f>
        <v>0</v>
      </c>
      <c r="P296">
        <f>IF(AND(VLOOKUP(P$1,main!$A$3:$H$102,7,FALSE)=main!$G$105,VLOOKUP(P$1,main!$A$3:$H$102,5,FALSE)-VLOOKUP($A296,main!$A$3:$H$102,6,FALSE)&gt;=main!$D$103+VLOOKUP(VLOOKUP(P$1,main!$A$3:$I$102,7,FALSE),main!$K$26:$Q$29,5,FALSE)),1,0)</f>
        <v>0</v>
      </c>
      <c r="Q296">
        <f>IF(AND(VLOOKUP(Q$1,main!$A$3:$H$102,7,FALSE)=main!$G$105,VLOOKUP(Q$1,main!$A$3:$H$102,5,FALSE)-VLOOKUP($A296,main!$A$3:$H$102,6,FALSE)&gt;=main!$D$103+VLOOKUP(VLOOKUP(Q$1,main!$A$3:$I$102,7,FALSE),main!$K$26:$Q$29,5,FALSE)),1,0)</f>
        <v>0</v>
      </c>
      <c r="R296">
        <f>IF(AND(VLOOKUP(R$1,main!$A$3:$H$102,7,FALSE)=main!$G$105,VLOOKUP(R$1,main!$A$3:$H$102,5,FALSE)-VLOOKUP($A296,main!$A$3:$H$102,6,FALSE)&gt;=main!$D$103+VLOOKUP(VLOOKUP(R$1,main!$A$3:$I$102,7,FALSE),main!$K$26:$Q$29,5,FALSE)),1,0)</f>
        <v>0</v>
      </c>
      <c r="S296">
        <f>IF(AND(VLOOKUP(S$1,main!$A$3:$H$102,7,FALSE)=main!$G$105,VLOOKUP(S$1,main!$A$3:$H$102,5,FALSE)-VLOOKUP($A296,main!$A$3:$H$102,6,FALSE)&gt;=main!$D$103+VLOOKUP(VLOOKUP(S$1,main!$A$3:$I$102,7,FALSE),main!$K$26:$Q$29,5,FALSE)),1,0)</f>
        <v>0</v>
      </c>
      <c r="T296">
        <f>IF(AND(VLOOKUP(T$1,main!$A$3:$H$102,7,FALSE)=main!$G$105,VLOOKUP(T$1,main!$A$3:$H$102,5,FALSE)-VLOOKUP($A296,main!$A$3:$H$102,6,FALSE)&gt;=main!$D$103+VLOOKUP(VLOOKUP(T$1,main!$A$3:$I$102,7,FALSE),main!$K$26:$Q$29,5,FALSE)),1,0)</f>
        <v>0</v>
      </c>
      <c r="U296">
        <f>IF(AND(VLOOKUP(U$1,main!$A$3:$H$102,7,FALSE)=main!$G$105,VLOOKUP(U$1,main!$A$3:$H$102,5,FALSE)-VLOOKUP($A296,main!$A$3:$H$102,6,FALSE)&gt;=main!$D$103+VLOOKUP(VLOOKUP(U$1,main!$A$3:$I$102,7,FALSE),main!$K$26:$Q$29,5,FALSE)),1,0)</f>
        <v>0</v>
      </c>
      <c r="V296">
        <f>IF(AND(VLOOKUP(V$1,main!$A$3:$H$102,7,FALSE)=main!$G$105,VLOOKUP(V$1,main!$A$3:$H$102,5,FALSE)-VLOOKUP($A296,main!$A$3:$H$102,6,FALSE)&gt;=main!$D$103+VLOOKUP(VLOOKUP(V$1,main!$A$3:$I$102,7,FALSE),main!$K$26:$Q$29,5,FALSE)),1,0)</f>
        <v>0</v>
      </c>
      <c r="W296">
        <f>IF(AND(VLOOKUP(W$1,main!$A$3:$H$102,7,FALSE)=main!$G$105,VLOOKUP(W$1,main!$A$3:$H$102,5,FALSE)-VLOOKUP($A296,main!$A$3:$H$102,6,FALSE)&gt;=main!$D$103+VLOOKUP(VLOOKUP(W$1,main!$A$3:$I$102,7,FALSE),main!$K$26:$Q$29,5,FALSE)),1,0)</f>
        <v>0</v>
      </c>
      <c r="X296">
        <f>IF(AND(VLOOKUP(X$1,main!$A$3:$H$102,7,FALSE)=main!$G$105,VLOOKUP(X$1,main!$A$3:$H$102,5,FALSE)-VLOOKUP($A296,main!$A$3:$H$102,6,FALSE)&gt;=main!$D$103+VLOOKUP(VLOOKUP(X$1,main!$A$3:$I$102,7,FALSE),main!$K$26:$Q$29,5,FALSE)),1,0)</f>
        <v>0</v>
      </c>
      <c r="Y296">
        <f>IF(AND(VLOOKUP(Y$1,main!$A$3:$H$102,7,FALSE)=main!$G$105,VLOOKUP(Y$1,main!$A$3:$H$102,5,FALSE)-VLOOKUP($A296,main!$A$3:$H$102,6,FALSE)&gt;=main!$D$103+VLOOKUP(VLOOKUP(Y$1,main!$A$3:$I$102,7,FALSE),main!$K$26:$Q$29,5,FALSE)),1,0)</f>
        <v>0</v>
      </c>
      <c r="Z296">
        <f>IF(AND(VLOOKUP(Z$1,main!$A$3:$H$102,7,FALSE)=main!$G$105,VLOOKUP(Z$1,main!$A$3:$H$102,5,FALSE)-VLOOKUP($A296,main!$A$3:$H$102,6,FALSE)&gt;=main!$D$103+VLOOKUP(VLOOKUP(Z$1,main!$A$3:$I$102,7,FALSE),main!$K$26:$Q$29,5,FALSE)),1,0)</f>
        <v>0</v>
      </c>
      <c r="AA296">
        <f>IF(AND(VLOOKUP(AA$1,main!$A$3:$H$102,7,FALSE)=main!$G$105,VLOOKUP(AA$1,main!$A$3:$H$102,5,FALSE)-VLOOKUP($A296,main!$A$3:$H$102,6,FALSE)&gt;=main!$D$103+VLOOKUP(VLOOKUP(AA$1,main!$A$3:$I$102,7,FALSE),main!$K$26:$Q$29,5,FALSE)),1,0)</f>
        <v>0</v>
      </c>
      <c r="AB296">
        <f>IF(AND(VLOOKUP(AB$1,main!$A$3:$H$102,7,FALSE)=main!$G$105,VLOOKUP(AB$1,main!$A$3:$H$102,5,FALSE)-VLOOKUP($A296,main!$A$3:$H$102,6,FALSE)&gt;=main!$D$103+VLOOKUP(VLOOKUP(AB$1,main!$A$3:$I$102,7,FALSE),main!$K$26:$Q$29,5,FALSE)),1,0)</f>
        <v>0</v>
      </c>
      <c r="AC296">
        <f>IF(AND(VLOOKUP(AC$1,main!$A$3:$H$102,7,FALSE)=main!$G$105,VLOOKUP(AC$1,main!$A$3:$H$102,5,FALSE)-VLOOKUP($A296,main!$A$3:$H$102,6,FALSE)&gt;=main!$D$103+VLOOKUP(VLOOKUP(AC$1,main!$A$3:$I$102,7,FALSE),main!$K$26:$Q$29,5,FALSE)),1,0)</f>
        <v>0</v>
      </c>
      <c r="AD296">
        <f>IF(AND(VLOOKUP(AD$1,main!$A$3:$H$102,7,FALSE)=main!$G$105,VLOOKUP(AD$1,main!$A$3:$H$102,5,FALSE)-VLOOKUP($A296,main!$A$3:$H$102,6,FALSE)&gt;=main!$D$103+VLOOKUP(VLOOKUP(AD$1,main!$A$3:$I$102,7,FALSE),main!$K$26:$Q$29,5,FALSE)),1,0)</f>
        <v>0</v>
      </c>
      <c r="AE296">
        <f>IF(AND(VLOOKUP(AE$1,main!$A$3:$H$102,7,FALSE)=main!$G$105,VLOOKUP(AE$1,main!$A$3:$H$102,5,FALSE)-VLOOKUP($A296,main!$A$3:$H$102,6,FALSE)&gt;=main!$D$103+VLOOKUP(VLOOKUP(AE$1,main!$A$3:$I$102,7,FALSE),main!$K$26:$Q$29,5,FALSE)),1,0)</f>
        <v>0</v>
      </c>
      <c r="AF296">
        <f>IF(AND(VLOOKUP(AF$1,main!$A$3:$H$102,7,FALSE)=main!$G$105,VLOOKUP(AF$1,main!$A$3:$H$102,5,FALSE)-VLOOKUP($A296,main!$A$3:$H$102,6,FALSE)&gt;=main!$D$103+VLOOKUP(VLOOKUP(AF$1,main!$A$3:$I$102,7,FALSE),main!$K$26:$Q$29,5,FALSE)),1,0)</f>
        <v>0</v>
      </c>
      <c r="AG296">
        <f>IF(AND(VLOOKUP(AG$1,main!$A$3:$H$102,7,FALSE)=main!$G$105,VLOOKUP(AG$1,main!$A$3:$H$102,5,FALSE)-VLOOKUP($A296,main!$A$3:$H$102,6,FALSE)&gt;=main!$D$103+VLOOKUP(VLOOKUP(AG$1,main!$A$3:$I$102,7,FALSE),main!$K$26:$Q$29,5,FALSE)),1,0)</f>
        <v>0</v>
      </c>
      <c r="AH296">
        <f>IF(AND(VLOOKUP(AH$1,main!$A$3:$H$102,7,FALSE)=main!$G$105,VLOOKUP(AH$1,main!$A$3:$H$102,5,FALSE)-VLOOKUP($A296,main!$A$3:$H$102,6,FALSE)&gt;=main!$D$103+VLOOKUP(VLOOKUP(AH$1,main!$A$3:$I$102,7,FALSE),main!$K$26:$Q$29,5,FALSE)),1,0)</f>
        <v>0</v>
      </c>
      <c r="AI296">
        <f>IF(AND(VLOOKUP(AI$1,main!$A$3:$H$102,7,FALSE)=main!$G$105,VLOOKUP(AI$1,main!$A$3:$H$102,5,FALSE)-VLOOKUP($A296,main!$A$3:$H$102,6,FALSE)&gt;=main!$D$103+VLOOKUP(VLOOKUP(AI$1,main!$A$3:$I$102,7,FALSE),main!$K$26:$Q$29,5,FALSE)),1,0)</f>
        <v>0</v>
      </c>
      <c r="AJ296">
        <f>IF(AND(VLOOKUP(AJ$1,main!$A$3:$H$102,7,FALSE)=main!$G$105,VLOOKUP(AJ$1,main!$A$3:$H$102,5,FALSE)-VLOOKUP($A296,main!$A$3:$H$102,6,FALSE)&gt;=main!$D$103+VLOOKUP(VLOOKUP(AJ$1,main!$A$3:$I$102,7,FALSE),main!$K$26:$Q$29,5,FALSE)),1,0)</f>
        <v>0</v>
      </c>
      <c r="AK296">
        <f>IF(AND(VLOOKUP(AK$1,main!$A$3:$H$102,7,FALSE)=main!$G$105,VLOOKUP(AK$1,main!$A$3:$H$102,5,FALSE)-VLOOKUP($A296,main!$A$3:$H$102,6,FALSE)&gt;=main!$D$103+VLOOKUP(VLOOKUP(AK$1,main!$A$3:$I$102,7,FALSE),main!$K$26:$Q$29,5,FALSE)),1,0)</f>
        <v>0</v>
      </c>
      <c r="AL296">
        <f>IF(AND(VLOOKUP(AL$1,main!$A$3:$H$102,7,FALSE)=main!$G$105,VLOOKUP(AL$1,main!$A$3:$H$102,5,FALSE)-VLOOKUP($A296,main!$A$3:$H$102,6,FALSE)&gt;=main!$D$103+VLOOKUP(VLOOKUP(AL$1,main!$A$3:$I$102,7,FALSE),main!$K$26:$Q$29,5,FALSE)),1,0)</f>
        <v>1</v>
      </c>
      <c r="AM296">
        <f>IF(AND(VLOOKUP(AM$1,main!$A$3:$H$102,7,FALSE)=main!$G$105,VLOOKUP(AM$1,main!$A$3:$H$102,5,FALSE)-VLOOKUP($A296,main!$A$3:$H$102,6,FALSE)&gt;=main!$D$103+VLOOKUP(VLOOKUP(AM$1,main!$A$3:$I$102,7,FALSE),main!$K$26:$Q$29,5,FALSE)),1,0)</f>
        <v>1</v>
      </c>
      <c r="AN296">
        <f>IF(AND(VLOOKUP(AN$1,main!$A$3:$H$102,7,FALSE)=main!$G$105,VLOOKUP(AN$1,main!$A$3:$H$102,5,FALSE)-VLOOKUP($A296,main!$A$3:$H$102,6,FALSE)&gt;=main!$D$103+VLOOKUP(VLOOKUP(AN$1,main!$A$3:$I$102,7,FALSE),main!$K$26:$Q$29,5,FALSE)),1,0)</f>
        <v>1</v>
      </c>
      <c r="AO296">
        <f>IF(AND(VLOOKUP(AO$1,main!$A$3:$H$102,7,FALSE)=main!$G$105,VLOOKUP(AO$1,main!$A$3:$H$102,5,FALSE)-VLOOKUP($A296,main!$A$3:$H$102,6,FALSE)&gt;=main!$D$103+VLOOKUP(VLOOKUP(AO$1,main!$A$3:$I$102,7,FALSE),main!$K$26:$Q$29,5,FALSE)),1,0)</f>
        <v>0</v>
      </c>
      <c r="AP296">
        <f>IF(AND(VLOOKUP(AP$1,main!$A$3:$H$102,7,FALSE)=main!$G$105,VLOOKUP(AP$1,main!$A$3:$H$102,5,FALSE)-VLOOKUP($A296,main!$A$3:$H$102,6,FALSE)&gt;=main!$D$103+VLOOKUP(VLOOKUP(AP$1,main!$A$3:$I$102,7,FALSE),main!$K$26:$Q$29,5,FALSE)),1,0)</f>
        <v>1</v>
      </c>
      <c r="AQ296">
        <f>IF(AND(VLOOKUP(AQ$1,main!$A$3:$H$102,7,FALSE)=main!$G$105,VLOOKUP(AQ$1,main!$A$3:$H$102,5,FALSE)-VLOOKUP($A296,main!$A$3:$H$102,6,FALSE)&gt;=main!$D$103+VLOOKUP(VLOOKUP(AQ$1,main!$A$3:$I$102,7,FALSE),main!$K$26:$Q$29,5,FALSE)),1,0)</f>
        <v>0</v>
      </c>
      <c r="AR296">
        <f>IF(AND(VLOOKUP(AR$1,main!$A$3:$H$102,7,FALSE)=main!$G$105,VLOOKUP(AR$1,main!$A$3:$H$102,5,FALSE)-VLOOKUP($A296,main!$A$3:$H$102,6,FALSE)&gt;=main!$D$103+VLOOKUP(VLOOKUP(AR$1,main!$A$3:$I$102,7,FALSE),main!$K$26:$Q$29,5,FALSE)),1,0)</f>
        <v>0</v>
      </c>
      <c r="AS296">
        <f>IF(AND(VLOOKUP(AS$1,main!$A$3:$H$102,7,FALSE)=main!$G$105,VLOOKUP(AS$1,main!$A$3:$H$102,5,FALSE)-VLOOKUP($A296,main!$A$3:$H$102,6,FALSE)&gt;=main!$D$103+VLOOKUP(VLOOKUP(AS$1,main!$A$3:$I$102,7,FALSE),main!$K$26:$Q$29,5,FALSE)),1,0)</f>
        <v>0</v>
      </c>
      <c r="AT296">
        <f>IF(AND(VLOOKUP(AT$1,main!$A$3:$H$102,7,FALSE)=main!$G$105,VLOOKUP(AT$1,main!$A$3:$H$102,5,FALSE)-VLOOKUP($A296,main!$A$3:$H$102,6,FALSE)&gt;=main!$D$103+VLOOKUP(VLOOKUP(AT$1,main!$A$3:$I$102,7,FALSE),main!$K$26:$Q$29,5,FALSE)),1,0)</f>
        <v>1</v>
      </c>
      <c r="AU296">
        <f>IF(AND(VLOOKUP(AU$1,main!$A$3:$H$102,7,FALSE)=main!$G$105,VLOOKUP(AU$1,main!$A$3:$H$102,5,FALSE)-VLOOKUP($A296,main!$A$3:$H$102,6,FALSE)&gt;=main!$D$103+VLOOKUP(VLOOKUP(AU$1,main!$A$3:$I$102,7,FALSE),main!$K$26:$Q$29,5,FALSE)),1,0)</f>
        <v>0</v>
      </c>
      <c r="AV296">
        <f>IF(AND(VLOOKUP(AV$1,main!$A$3:$H$102,7,FALSE)=main!$G$105,VLOOKUP(AV$1,main!$A$3:$H$102,5,FALSE)-VLOOKUP($A296,main!$A$3:$H$102,6,FALSE)&gt;=main!$D$103+VLOOKUP(VLOOKUP(AV$1,main!$A$3:$I$102,7,FALSE),main!$K$26:$Q$29,5,FALSE)),1,0)</f>
        <v>0</v>
      </c>
      <c r="AW296">
        <f>IF(AND(VLOOKUP(AW$1,main!$A$3:$H$102,7,FALSE)=main!$G$105,VLOOKUP(AW$1,main!$A$3:$H$102,5,FALSE)-VLOOKUP($A296,main!$A$3:$H$102,6,FALSE)&gt;=main!$D$103+VLOOKUP(VLOOKUP(AW$1,main!$A$3:$I$102,7,FALSE),main!$K$26:$Q$29,5,FALSE)),1,0)</f>
        <v>0</v>
      </c>
      <c r="AX296">
        <f>IF(AND(VLOOKUP(AX$1,main!$A$3:$H$102,7,FALSE)=main!$G$105,VLOOKUP(AX$1,main!$A$3:$H$102,5,FALSE)-VLOOKUP($A296,main!$A$3:$H$102,6,FALSE)&gt;=main!$D$103+VLOOKUP(VLOOKUP(AX$1,main!$A$3:$I$102,7,FALSE),main!$K$26:$Q$29,5,FALSE)),1,0)</f>
        <v>0</v>
      </c>
      <c r="AY296">
        <f>IF(AND(VLOOKUP(AY$1,main!$A$3:$H$102,7,FALSE)=main!$G$105,VLOOKUP(AY$1,main!$A$3:$H$102,5,FALSE)-VLOOKUP($A296,main!$A$3:$H$102,6,FALSE)&gt;=main!$D$103+VLOOKUP(VLOOKUP(AY$1,main!$A$3:$I$102,7,FALSE),main!$K$26:$Q$29,5,FALSE)),1,0)</f>
        <v>0</v>
      </c>
      <c r="AZ296">
        <f>IF(AND(VLOOKUP(AZ$1,main!$A$3:$H$102,7,FALSE)=main!$G$105,VLOOKUP(AZ$1,main!$A$3:$H$102,5,FALSE)-VLOOKUP($A296,main!$A$3:$H$102,6,FALSE)&gt;=main!$D$103+VLOOKUP(VLOOKUP(AZ$1,main!$A$3:$I$102,7,FALSE),main!$K$26:$Q$29,5,FALSE)),1,0)</f>
        <v>0</v>
      </c>
      <c r="BA296">
        <f>IF(AND(VLOOKUP(BA$1,main!$A$3:$H$102,7,FALSE)=main!$G$105,VLOOKUP(BA$1,main!$A$3:$H$102,5,FALSE)-VLOOKUP($A296,main!$A$3:$H$102,6,FALSE)&gt;=main!$D$103+VLOOKUP(VLOOKUP(BA$1,main!$A$3:$I$102,7,FALSE),main!$K$26:$Q$29,5,FALSE)),1,0)</f>
        <v>0</v>
      </c>
      <c r="BB296">
        <f>IF(AND(VLOOKUP(BB$1,main!$A$3:$H$102,7,FALSE)=main!$G$105,VLOOKUP(BB$1,main!$A$3:$H$102,5,FALSE)-VLOOKUP($A296,main!$A$3:$H$102,6,FALSE)&gt;=main!$D$103+VLOOKUP(VLOOKUP(BB$1,main!$A$3:$I$102,7,FALSE),main!$K$26:$Q$29,5,FALSE)),1,0)</f>
        <v>0</v>
      </c>
      <c r="BC296">
        <f>IF(AND(VLOOKUP(BC$1,main!$A$3:$H$102,7,FALSE)=main!$G$105,VLOOKUP(BC$1,main!$A$3:$H$102,5,FALSE)-VLOOKUP($A296,main!$A$3:$H$102,6,FALSE)&gt;=main!$D$103+VLOOKUP(VLOOKUP(BC$1,main!$A$3:$I$102,7,FALSE),main!$K$26:$Q$29,5,FALSE)),1,0)</f>
        <v>0</v>
      </c>
      <c r="BD296">
        <f>IF(AND(VLOOKUP(BD$1,main!$A$3:$H$102,7,FALSE)=main!$G$105,VLOOKUP(BD$1,main!$A$3:$H$102,5,FALSE)-VLOOKUP($A296,main!$A$3:$H$102,6,FALSE)&gt;=main!$D$103+VLOOKUP(VLOOKUP(BD$1,main!$A$3:$I$102,7,FALSE),main!$K$26:$Q$29,5,FALSE)),1,0)</f>
        <v>0</v>
      </c>
      <c r="BE296">
        <f>IF(AND(VLOOKUP(BE$1,main!$A$3:$H$102,7,FALSE)=main!$G$105,VLOOKUP(BE$1,main!$A$3:$H$102,5,FALSE)-VLOOKUP($A296,main!$A$3:$H$102,6,FALSE)&gt;=main!$D$103+VLOOKUP(VLOOKUP(BE$1,main!$A$3:$I$102,7,FALSE),main!$K$26:$Q$29,5,FALSE)),1,0)</f>
        <v>0</v>
      </c>
      <c r="BF296">
        <f>IF(AND(VLOOKUP(BF$1,main!$A$3:$H$102,7,FALSE)=main!$G$105,VLOOKUP(BF$1,main!$A$3:$H$102,5,FALSE)-VLOOKUP($A296,main!$A$3:$H$102,6,FALSE)&gt;=main!$D$103+VLOOKUP(VLOOKUP(BF$1,main!$A$3:$I$102,7,FALSE),main!$K$26:$Q$29,5,FALSE)),1,0)</f>
        <v>0</v>
      </c>
      <c r="BG296">
        <f>IF(AND(VLOOKUP(BG$1,main!$A$3:$H$102,7,FALSE)=main!$G$105,VLOOKUP(BG$1,main!$A$3:$H$102,5,FALSE)-VLOOKUP($A296,main!$A$3:$H$102,6,FALSE)&gt;=main!$D$103+VLOOKUP(VLOOKUP(BG$1,main!$A$3:$I$102,7,FALSE),main!$K$26:$Q$29,5,FALSE)),1,0)</f>
        <v>0</v>
      </c>
      <c r="BH296">
        <f>IF(AND(VLOOKUP(BH$1,main!$A$3:$H$102,7,FALSE)=main!$G$105,VLOOKUP(BH$1,main!$A$3:$H$102,5,FALSE)-VLOOKUP($A296,main!$A$3:$H$102,6,FALSE)&gt;=main!$D$103+VLOOKUP(VLOOKUP(BH$1,main!$A$3:$I$102,7,FALSE),main!$K$26:$Q$29,5,FALSE)),1,0)</f>
        <v>0</v>
      </c>
      <c r="BI296">
        <f>IF(AND(VLOOKUP(BI$1,main!$A$3:$H$102,7,FALSE)=main!$G$105,VLOOKUP(BI$1,main!$A$3:$H$102,5,FALSE)-VLOOKUP($A296,main!$A$3:$H$102,6,FALSE)&gt;=main!$D$103+VLOOKUP(VLOOKUP(BI$1,main!$A$3:$I$102,7,FALSE),main!$K$26:$Q$29,5,FALSE)),1,0)</f>
        <v>0</v>
      </c>
      <c r="BJ296">
        <f>IF(AND(VLOOKUP(BJ$1,main!$A$3:$H$102,7,FALSE)=main!$G$105,VLOOKUP(BJ$1,main!$A$3:$H$102,5,FALSE)-VLOOKUP($A296,main!$A$3:$H$102,6,FALSE)&gt;=main!$D$103+VLOOKUP(VLOOKUP(BJ$1,main!$A$3:$I$102,7,FALSE),main!$K$26:$Q$29,5,FALSE)),1,0)</f>
        <v>0</v>
      </c>
      <c r="BK296">
        <f>IF(AND(VLOOKUP(BK$1,main!$A$3:$H$102,7,FALSE)=main!$G$105,VLOOKUP(BK$1,main!$A$3:$H$102,5,FALSE)-VLOOKUP($A296,main!$A$3:$H$102,6,FALSE)&gt;=main!$D$103+VLOOKUP(VLOOKUP(BK$1,main!$A$3:$I$102,7,FALSE),main!$K$26:$Q$29,5,FALSE)),1,0)</f>
        <v>0</v>
      </c>
      <c r="BL296">
        <f>IF(AND(VLOOKUP(BL$1,main!$A$3:$H$102,7,FALSE)=main!$G$105,VLOOKUP(BL$1,main!$A$3:$H$102,5,FALSE)-VLOOKUP($A296,main!$A$3:$H$102,6,FALSE)&gt;=main!$D$103+VLOOKUP(VLOOKUP(BL$1,main!$A$3:$I$102,7,FALSE),main!$K$26:$Q$29,5,FALSE)),1,0)</f>
        <v>0</v>
      </c>
      <c r="BM296">
        <f>IF(AND(VLOOKUP(BM$1,main!$A$3:$H$102,7,FALSE)=main!$G$105,VLOOKUP(BM$1,main!$A$3:$H$102,5,FALSE)-VLOOKUP($A296,main!$A$3:$H$102,6,FALSE)&gt;=main!$D$103+VLOOKUP(VLOOKUP(BM$1,main!$A$3:$I$102,7,FALSE),main!$K$26:$Q$29,5,FALSE)),1,0)</f>
        <v>0</v>
      </c>
      <c r="BN296">
        <f>IF(AND(VLOOKUP(BN$1,main!$A$3:$H$102,7,FALSE)=main!$G$105,VLOOKUP(BN$1,main!$A$3:$H$102,5,FALSE)-VLOOKUP($A296,main!$A$3:$H$102,6,FALSE)&gt;=main!$D$103+VLOOKUP(VLOOKUP(BN$1,main!$A$3:$I$102,7,FALSE),main!$K$26:$Q$29,5,FALSE)),1,0)</f>
        <v>0</v>
      </c>
      <c r="BO296">
        <f>IF(AND(VLOOKUP(BO$1,main!$A$3:$H$102,7,FALSE)=main!$G$105,VLOOKUP(BO$1,main!$A$3:$H$102,5,FALSE)-VLOOKUP($A296,main!$A$3:$H$102,6,FALSE)&gt;=main!$D$103+VLOOKUP(VLOOKUP(BO$1,main!$A$3:$I$102,7,FALSE),main!$K$26:$Q$29,5,FALSE)),1,0)</f>
        <v>0</v>
      </c>
      <c r="BP296">
        <f>IF(AND(VLOOKUP(BP$1,main!$A$3:$H$102,7,FALSE)=main!$G$105,VLOOKUP(BP$1,main!$A$3:$H$102,5,FALSE)-VLOOKUP($A296,main!$A$3:$H$102,6,FALSE)&gt;=main!$D$103+VLOOKUP(VLOOKUP(BP$1,main!$A$3:$I$102,7,FALSE),main!$K$26:$Q$29,5,FALSE)),1,0)</f>
        <v>0</v>
      </c>
      <c r="BQ296">
        <f>IF(AND(VLOOKUP(BQ$1,main!$A$3:$H$102,7,FALSE)=main!$G$105,VLOOKUP(BQ$1,main!$A$3:$H$102,5,FALSE)-VLOOKUP($A296,main!$A$3:$H$102,6,FALSE)&gt;=main!$D$103+VLOOKUP(VLOOKUP(BQ$1,main!$A$3:$I$102,7,FALSE),main!$K$26:$Q$29,5,FALSE)),1,0)</f>
        <v>0</v>
      </c>
      <c r="BR296">
        <f>IF(AND(VLOOKUP(BR$1,main!$A$3:$H$102,7,FALSE)=main!$G$105,VLOOKUP(BR$1,main!$A$3:$H$102,5,FALSE)-VLOOKUP($A296,main!$A$3:$H$102,6,FALSE)&gt;=main!$D$103+VLOOKUP(VLOOKUP(BR$1,main!$A$3:$I$102,7,FALSE),main!$K$26:$Q$29,5,FALSE)),1,0)</f>
        <v>0</v>
      </c>
      <c r="BS296">
        <f>IF(AND(VLOOKUP(BS$1,main!$A$3:$H$102,7,FALSE)=main!$G$105,VLOOKUP(BS$1,main!$A$3:$H$102,5,FALSE)-VLOOKUP($A296,main!$A$3:$H$102,6,FALSE)&gt;=main!$D$103+VLOOKUP(VLOOKUP(BS$1,main!$A$3:$I$102,7,FALSE),main!$K$26:$Q$29,5,FALSE)),1,0)</f>
        <v>0</v>
      </c>
      <c r="BT296">
        <f>IF(AND(VLOOKUP(BT$1,main!$A$3:$H$102,7,FALSE)=main!$G$105,VLOOKUP(BT$1,main!$A$3:$H$102,5,FALSE)-VLOOKUP($A296,main!$A$3:$H$102,6,FALSE)&gt;=main!$D$103+VLOOKUP(VLOOKUP(BT$1,main!$A$3:$I$102,7,FALSE),main!$K$26:$Q$29,5,FALSE)),1,0)</f>
        <v>0</v>
      </c>
      <c r="BU296">
        <f>IF(AND(VLOOKUP(BU$1,main!$A$3:$H$102,7,FALSE)=main!$G$105,VLOOKUP(BU$1,main!$A$3:$H$102,5,FALSE)-VLOOKUP($A296,main!$A$3:$H$102,6,FALSE)&gt;=main!$D$103+VLOOKUP(VLOOKUP(BU$1,main!$A$3:$I$102,7,FALSE),main!$K$26:$Q$29,5,FALSE)),1,0)</f>
        <v>0</v>
      </c>
      <c r="BV296">
        <f>IF(AND(VLOOKUP(BV$1,main!$A$3:$H$102,7,FALSE)=main!$G$105,VLOOKUP(BV$1,main!$A$3:$H$102,5,FALSE)-VLOOKUP($A296,main!$A$3:$H$102,6,FALSE)&gt;=main!$D$103+VLOOKUP(VLOOKUP(BV$1,main!$A$3:$I$102,7,FALSE),main!$K$26:$Q$29,5,FALSE)),1,0)</f>
        <v>0</v>
      </c>
      <c r="BW296">
        <f>IF(AND(VLOOKUP(BW$1,main!$A$3:$H$102,7,FALSE)=main!$G$105,VLOOKUP(BW$1,main!$A$3:$H$102,5,FALSE)-VLOOKUP($A296,main!$A$3:$H$102,6,FALSE)&gt;=main!$D$103+VLOOKUP(VLOOKUP(BW$1,main!$A$3:$I$102,7,FALSE),main!$K$26:$Q$29,5,FALSE)),1,0)</f>
        <v>0</v>
      </c>
      <c r="BX296">
        <f>IF(AND(VLOOKUP(BX$1,main!$A$3:$H$102,7,FALSE)=main!$G$105,VLOOKUP(BX$1,main!$A$3:$H$102,5,FALSE)-VLOOKUP($A296,main!$A$3:$H$102,6,FALSE)&gt;=main!$D$103+VLOOKUP(VLOOKUP(BX$1,main!$A$3:$I$102,7,FALSE),main!$K$26:$Q$29,5,FALSE)),1,0)</f>
        <v>0</v>
      </c>
      <c r="BY296">
        <f>IF(AND(VLOOKUP(BY$1,main!$A$3:$H$102,7,FALSE)=main!$G$105,VLOOKUP(BY$1,main!$A$3:$H$102,5,FALSE)-VLOOKUP($A296,main!$A$3:$H$102,6,FALSE)&gt;=main!$D$103+VLOOKUP(VLOOKUP(BY$1,main!$A$3:$I$102,7,FALSE),main!$K$26:$Q$29,5,FALSE)),1,0)</f>
        <v>0</v>
      </c>
      <c r="BZ296">
        <f>IF(AND(VLOOKUP(BZ$1,main!$A$3:$H$102,7,FALSE)=main!$G$105,VLOOKUP(BZ$1,main!$A$3:$H$102,5,FALSE)-VLOOKUP($A296,main!$A$3:$H$102,6,FALSE)&gt;=main!$D$103+VLOOKUP(VLOOKUP(BZ$1,main!$A$3:$I$102,7,FALSE),main!$K$26:$Q$29,5,FALSE)),1,0)</f>
        <v>0</v>
      </c>
      <c r="CA296">
        <f>IF(AND(VLOOKUP(CA$1,main!$A$3:$H$102,7,FALSE)=main!$G$105,VLOOKUP(CA$1,main!$A$3:$H$102,5,FALSE)-VLOOKUP($A296,main!$A$3:$H$102,6,FALSE)&gt;=main!$D$103+VLOOKUP(VLOOKUP(CA$1,main!$A$3:$I$102,7,FALSE),main!$K$26:$Q$29,5,FALSE)),1,0)</f>
        <v>0</v>
      </c>
      <c r="CB296">
        <f>IF(AND(VLOOKUP(CB$1,main!$A$3:$H$102,7,FALSE)=main!$G$105,VLOOKUP(CB$1,main!$A$3:$H$102,5,FALSE)-VLOOKUP($A296,main!$A$3:$H$102,6,FALSE)&gt;=main!$D$103+VLOOKUP(VLOOKUP(CB$1,main!$A$3:$I$102,7,FALSE),main!$K$26:$Q$29,5,FALSE)),1,0)</f>
        <v>0</v>
      </c>
      <c r="CC296">
        <f>IF(AND(VLOOKUP(CC$1,main!$A$3:$H$102,7,FALSE)=main!$G$105,VLOOKUP(CC$1,main!$A$3:$H$102,5,FALSE)-VLOOKUP($A296,main!$A$3:$H$102,6,FALSE)&gt;=main!$D$103+VLOOKUP(VLOOKUP(CC$1,main!$A$3:$I$102,7,FALSE),main!$K$26:$Q$29,5,FALSE)),1,0)</f>
        <v>0</v>
      </c>
      <c r="CD296">
        <f>IF(AND(VLOOKUP(CD$1,main!$A$3:$H$102,7,FALSE)=main!$G$105,VLOOKUP(CD$1,main!$A$3:$H$102,5,FALSE)-VLOOKUP($A296,main!$A$3:$H$102,6,FALSE)&gt;=main!$D$103+VLOOKUP(VLOOKUP(CD$1,main!$A$3:$I$102,7,FALSE),main!$K$26:$Q$29,5,FALSE)),1,0)</f>
        <v>0</v>
      </c>
      <c r="CE296">
        <f>IF(AND(VLOOKUP(CE$1,main!$A$3:$H$102,7,FALSE)=main!$G$105,VLOOKUP(CE$1,main!$A$3:$H$102,5,FALSE)-VLOOKUP($A296,main!$A$3:$H$102,6,FALSE)&gt;=main!$D$103+VLOOKUP(VLOOKUP(CE$1,main!$A$3:$I$102,7,FALSE),main!$K$26:$Q$29,5,FALSE)),1,0)</f>
        <v>0</v>
      </c>
      <c r="CF296">
        <f>IF(AND(VLOOKUP(CF$1,main!$A$3:$H$102,7,FALSE)=main!$G$105,VLOOKUP(CF$1,main!$A$3:$H$102,5,FALSE)-VLOOKUP($A296,main!$A$3:$H$102,6,FALSE)&gt;=main!$D$103+VLOOKUP(VLOOKUP(CF$1,main!$A$3:$I$102,7,FALSE),main!$K$26:$Q$29,5,FALSE)),1,0)</f>
        <v>0</v>
      </c>
      <c r="CG296">
        <f>IF(AND(VLOOKUP(CG$1,main!$A$3:$H$102,7,FALSE)=main!$G$105,VLOOKUP(CG$1,main!$A$3:$H$102,5,FALSE)-VLOOKUP($A296,main!$A$3:$H$102,6,FALSE)&gt;=main!$D$103+VLOOKUP(VLOOKUP(CG$1,main!$A$3:$I$102,7,FALSE),main!$K$26:$Q$29,5,FALSE)),1,0)</f>
        <v>0</v>
      </c>
      <c r="CH296">
        <f>IF(AND(VLOOKUP(CH$1,main!$A$3:$H$102,7,FALSE)=main!$G$105,VLOOKUP(CH$1,main!$A$3:$H$102,5,FALSE)-VLOOKUP($A296,main!$A$3:$H$102,6,FALSE)&gt;=main!$D$103+VLOOKUP(VLOOKUP(CH$1,main!$A$3:$I$102,7,FALSE),main!$K$26:$Q$29,5,FALSE)),1,0)</f>
        <v>0</v>
      </c>
      <c r="CI296">
        <f>IF(AND(VLOOKUP(CI$1,main!$A$3:$H$102,7,FALSE)=main!$G$105,VLOOKUP(CI$1,main!$A$3:$H$102,5,FALSE)-VLOOKUP($A296,main!$A$3:$H$102,6,FALSE)&gt;=main!$D$103+VLOOKUP(VLOOKUP(CI$1,main!$A$3:$I$102,7,FALSE),main!$K$26:$Q$29,5,FALSE)),1,0)</f>
        <v>0</v>
      </c>
      <c r="CJ296">
        <f>IF(AND(VLOOKUP(CJ$1,main!$A$3:$H$102,7,FALSE)=main!$G$105,VLOOKUP(CJ$1,main!$A$3:$H$102,5,FALSE)-VLOOKUP($A296,main!$A$3:$H$102,6,FALSE)&gt;=main!$D$103+VLOOKUP(VLOOKUP(CJ$1,main!$A$3:$I$102,7,FALSE),main!$K$26:$Q$29,5,FALSE)),1,0)</f>
        <v>0</v>
      </c>
      <c r="CK296">
        <f>IF(AND(VLOOKUP(CK$1,main!$A$3:$H$102,7,FALSE)=main!$G$105,VLOOKUP(CK$1,main!$A$3:$H$102,5,FALSE)-VLOOKUP($A296,main!$A$3:$H$102,6,FALSE)&gt;=main!$D$103+VLOOKUP(VLOOKUP(CK$1,main!$A$3:$I$102,7,FALSE),main!$K$26:$Q$29,5,FALSE)),1,0)</f>
        <v>0</v>
      </c>
      <c r="CL296">
        <f>IF(AND(VLOOKUP(CL$1,main!$A$3:$H$102,7,FALSE)=main!$G$105,VLOOKUP(CL$1,main!$A$3:$H$102,5,FALSE)-VLOOKUP($A296,main!$A$3:$H$102,6,FALSE)&gt;=main!$D$103+VLOOKUP(VLOOKUP(CL$1,main!$A$3:$I$102,7,FALSE),main!$K$26:$Q$29,5,FALSE)),1,0)</f>
        <v>0</v>
      </c>
      <c r="CM296">
        <f>IF(AND(VLOOKUP(CM$1,main!$A$3:$H$102,7,FALSE)=main!$G$105,VLOOKUP(CM$1,main!$A$3:$H$102,5,FALSE)-VLOOKUP($A296,main!$A$3:$H$102,6,FALSE)&gt;=main!$D$103+VLOOKUP(VLOOKUP(CM$1,main!$A$3:$I$102,7,FALSE),main!$K$26:$Q$29,5,FALSE)),1,0)</f>
        <v>0</v>
      </c>
      <c r="CN296">
        <f>IF(AND(VLOOKUP(CN$1,main!$A$3:$H$102,7,FALSE)=main!$G$105,VLOOKUP(CN$1,main!$A$3:$H$102,5,FALSE)-VLOOKUP($A296,main!$A$3:$H$102,6,FALSE)&gt;=main!$D$103+VLOOKUP(VLOOKUP(CN$1,main!$A$3:$I$102,7,FALSE),main!$K$26:$Q$29,5,FALSE)),1,0)</f>
        <v>0</v>
      </c>
      <c r="CO296">
        <f>IF(AND(VLOOKUP(CO$1,main!$A$3:$H$102,7,FALSE)=main!$G$105,VLOOKUP(CO$1,main!$A$3:$H$102,5,FALSE)-VLOOKUP($A296,main!$A$3:$H$102,6,FALSE)&gt;=main!$D$103+VLOOKUP(VLOOKUP(CO$1,main!$A$3:$I$102,7,FALSE),main!$K$26:$Q$29,5,FALSE)),1,0)</f>
        <v>0</v>
      </c>
      <c r="CP296">
        <f>IF(AND(VLOOKUP(CP$1,main!$A$3:$H$102,7,FALSE)=main!$G$105,VLOOKUP(CP$1,main!$A$3:$H$102,5,FALSE)-VLOOKUP($A296,main!$A$3:$H$102,6,FALSE)&gt;=main!$D$103+VLOOKUP(VLOOKUP(CP$1,main!$A$3:$I$102,7,FALSE),main!$K$26:$Q$29,5,FALSE)),1,0)</f>
        <v>0</v>
      </c>
      <c r="CQ296">
        <f>IF(AND(VLOOKUP(CQ$1,main!$A$3:$H$102,7,FALSE)=main!$G$105,VLOOKUP(CQ$1,main!$A$3:$H$102,5,FALSE)-VLOOKUP($A296,main!$A$3:$H$102,6,FALSE)&gt;=main!$D$103+VLOOKUP(VLOOKUP(CQ$1,main!$A$3:$I$102,7,FALSE),main!$K$26:$Q$29,5,FALSE)),1,0)</f>
        <v>0</v>
      </c>
      <c r="CR296">
        <f>IF(AND(VLOOKUP(CR$1,main!$A$3:$H$102,7,FALSE)=main!$G$105,VLOOKUP(CR$1,main!$A$3:$H$102,5,FALSE)-VLOOKUP($A296,main!$A$3:$H$102,6,FALSE)&gt;=main!$D$103+VLOOKUP(VLOOKUP(CR$1,main!$A$3:$I$102,7,FALSE),main!$K$26:$Q$29,5,FALSE)),1,0)</f>
        <v>0</v>
      </c>
      <c r="CS296">
        <f>IF(AND(VLOOKUP(CS$1,main!$A$3:$H$102,7,FALSE)=main!$G$105,VLOOKUP(CS$1,main!$A$3:$H$102,5,FALSE)-VLOOKUP($A296,main!$A$3:$H$102,6,FALSE)&gt;=main!$D$103+VLOOKUP(VLOOKUP(CS$1,main!$A$3:$I$102,7,FALSE),main!$K$26:$Q$29,5,FALSE)),1,0)</f>
        <v>0</v>
      </c>
      <c r="CT296">
        <f>IF(AND(VLOOKUP(CT$1,main!$A$3:$H$102,7,FALSE)=main!$G$105,VLOOKUP(CT$1,main!$A$3:$H$102,5,FALSE)-VLOOKUP($A296,main!$A$3:$H$102,6,FALSE)&gt;=main!$D$103+VLOOKUP(VLOOKUP(CT$1,main!$A$3:$I$102,7,FALSE),main!$K$26:$Q$29,5,FALSE)),1,0)</f>
        <v>0</v>
      </c>
      <c r="CU296">
        <f>IF(AND(VLOOKUP(CU$1,main!$A$3:$H$102,7,FALSE)=main!$G$105,VLOOKUP(CU$1,main!$A$3:$H$102,5,FALSE)-VLOOKUP($A296,main!$A$3:$H$102,6,FALSE)&gt;=main!$D$103+VLOOKUP(VLOOKUP(CU$1,main!$A$3:$I$102,7,FALSE),main!$K$26:$Q$29,5,FALSE)),1,0)</f>
        <v>0</v>
      </c>
      <c r="CV296">
        <f>IF(AND(VLOOKUP(CV$1,main!$A$3:$H$102,7,FALSE)=main!$G$105,VLOOKUP(CV$1,main!$A$3:$H$102,5,FALSE)-VLOOKUP($A296,main!$A$3:$H$102,6,FALSE)&gt;=main!$D$103+VLOOKUP(VLOOKUP(CV$1,main!$A$3:$I$102,7,FALSE),main!$K$26:$Q$29,5,FALSE)),1,0)</f>
        <v>0</v>
      </c>
      <c r="CW296">
        <f>IF(AND(VLOOKUP(CW$1,main!$A$3:$H$102,7,FALSE)=main!$G$105,VLOOKUP(CW$1,main!$A$3:$H$102,5,FALSE)-VLOOKUP($A296,main!$A$3:$H$102,6,FALSE)&gt;=main!$D$103+VLOOKUP(VLOOKUP(CW$1,main!$A$3:$I$102,7,FALSE),main!$K$26:$Q$29,5,FALSE)),1,0)</f>
        <v>0</v>
      </c>
      <c r="CX296">
        <f>IF(AND(VLOOKUP(CX$1,main!$A$3:$H$102,7,FALSE)=main!$G$105,VLOOKUP(CX$1,main!$A$3:$H$102,5,FALSE)-VLOOKUP($A296,main!$A$3:$H$102,6,FALSE)&gt;=main!$D$103+VLOOKUP(VLOOKUP(CX$1,main!$A$3:$I$102,7,FALSE),main!$K$26:$Q$29,5,FALSE)),1,0)</f>
        <v>0</v>
      </c>
    </row>
    <row r="297" spans="1:102" x14ac:dyDescent="0.25">
      <c r="A297" s="1">
        <v>93</v>
      </c>
      <c r="B297">
        <v>0</v>
      </c>
      <c r="C297">
        <f>IF(AND(VLOOKUP(C$1,main!$A$3:$H$102,7,FALSE)=main!$G$105,VLOOKUP(C$1,main!$A$3:$H$102,5,FALSE)-VLOOKUP($A297,main!$A$3:$H$102,6,FALSE)&gt;=main!$D$103+VLOOKUP(VLOOKUP(C$1,main!$A$3:$I$102,7,FALSE),main!$K$26:$Q$29,5,FALSE)),1,0)</f>
        <v>0</v>
      </c>
      <c r="D297">
        <f>IF(AND(VLOOKUP(D$1,main!$A$3:$H$102,7,FALSE)=main!$G$105,VLOOKUP(D$1,main!$A$3:$H$102,5,FALSE)-VLOOKUP($A297,main!$A$3:$H$102,6,FALSE)&gt;=main!$D$103+VLOOKUP(VLOOKUP(D$1,main!$A$3:$I$102,7,FALSE),main!$K$26:$Q$29,5,FALSE)),1,0)</f>
        <v>0</v>
      </c>
      <c r="E297">
        <f>IF(AND(VLOOKUP(E$1,main!$A$3:$H$102,7,FALSE)=main!$G$105,VLOOKUP(E$1,main!$A$3:$H$102,5,FALSE)-VLOOKUP($A297,main!$A$3:$H$102,6,FALSE)&gt;=main!$D$103+VLOOKUP(VLOOKUP(E$1,main!$A$3:$I$102,7,FALSE),main!$K$26:$Q$29,5,FALSE)),1,0)</f>
        <v>0</v>
      </c>
      <c r="F297">
        <f>IF(AND(VLOOKUP(F$1,main!$A$3:$H$102,7,FALSE)=main!$G$105,VLOOKUP(F$1,main!$A$3:$H$102,5,FALSE)-VLOOKUP($A297,main!$A$3:$H$102,6,FALSE)&gt;=main!$D$103+VLOOKUP(VLOOKUP(F$1,main!$A$3:$I$102,7,FALSE),main!$K$26:$Q$29,5,FALSE)),1,0)</f>
        <v>0</v>
      </c>
      <c r="G297">
        <f>IF(AND(VLOOKUP(G$1,main!$A$3:$H$102,7,FALSE)=main!$G$105,VLOOKUP(G$1,main!$A$3:$H$102,5,FALSE)-VLOOKUP($A297,main!$A$3:$H$102,6,FALSE)&gt;=main!$D$103+VLOOKUP(VLOOKUP(G$1,main!$A$3:$I$102,7,FALSE),main!$K$26:$Q$29,5,FALSE)),1,0)</f>
        <v>0</v>
      </c>
      <c r="H297">
        <f>IF(AND(VLOOKUP(H$1,main!$A$3:$H$102,7,FALSE)=main!$G$105,VLOOKUP(H$1,main!$A$3:$H$102,5,FALSE)-VLOOKUP($A297,main!$A$3:$H$102,6,FALSE)&gt;=main!$D$103+VLOOKUP(VLOOKUP(H$1,main!$A$3:$I$102,7,FALSE),main!$K$26:$Q$29,5,FALSE)),1,0)</f>
        <v>0</v>
      </c>
      <c r="I297">
        <f>IF(AND(VLOOKUP(I$1,main!$A$3:$H$102,7,FALSE)=main!$G$105,VLOOKUP(I$1,main!$A$3:$H$102,5,FALSE)-VLOOKUP($A297,main!$A$3:$H$102,6,FALSE)&gt;=main!$D$103+VLOOKUP(VLOOKUP(I$1,main!$A$3:$I$102,7,FALSE),main!$K$26:$Q$29,5,FALSE)),1,0)</f>
        <v>0</v>
      </c>
      <c r="J297">
        <f>IF(AND(VLOOKUP(J$1,main!$A$3:$H$102,7,FALSE)=main!$G$105,VLOOKUP(J$1,main!$A$3:$H$102,5,FALSE)-VLOOKUP($A297,main!$A$3:$H$102,6,FALSE)&gt;=main!$D$103+VLOOKUP(VLOOKUP(J$1,main!$A$3:$I$102,7,FALSE),main!$K$26:$Q$29,5,FALSE)),1,0)</f>
        <v>0</v>
      </c>
      <c r="K297">
        <f>IF(AND(VLOOKUP(K$1,main!$A$3:$H$102,7,FALSE)=main!$G$105,VLOOKUP(K$1,main!$A$3:$H$102,5,FALSE)-VLOOKUP($A297,main!$A$3:$H$102,6,FALSE)&gt;=main!$D$103+VLOOKUP(VLOOKUP(K$1,main!$A$3:$I$102,7,FALSE),main!$K$26:$Q$29,5,FALSE)),1,0)</f>
        <v>0</v>
      </c>
      <c r="L297">
        <f>IF(AND(VLOOKUP(L$1,main!$A$3:$H$102,7,FALSE)=main!$G$105,VLOOKUP(L$1,main!$A$3:$H$102,5,FALSE)-VLOOKUP($A297,main!$A$3:$H$102,6,FALSE)&gt;=main!$D$103+VLOOKUP(VLOOKUP(L$1,main!$A$3:$I$102,7,FALSE),main!$K$26:$Q$29,5,FALSE)),1,0)</f>
        <v>0</v>
      </c>
      <c r="M297">
        <f>IF(AND(VLOOKUP(M$1,main!$A$3:$H$102,7,FALSE)=main!$G$105,VLOOKUP(M$1,main!$A$3:$H$102,5,FALSE)-VLOOKUP($A297,main!$A$3:$H$102,6,FALSE)&gt;=main!$D$103+VLOOKUP(VLOOKUP(M$1,main!$A$3:$I$102,7,FALSE),main!$K$26:$Q$29,5,FALSE)),1,0)</f>
        <v>0</v>
      </c>
      <c r="N297">
        <f>IF(AND(VLOOKUP(N$1,main!$A$3:$H$102,7,FALSE)=main!$G$105,VLOOKUP(N$1,main!$A$3:$H$102,5,FALSE)-VLOOKUP($A297,main!$A$3:$H$102,6,FALSE)&gt;=main!$D$103+VLOOKUP(VLOOKUP(N$1,main!$A$3:$I$102,7,FALSE),main!$K$26:$Q$29,5,FALSE)),1,0)</f>
        <v>0</v>
      </c>
      <c r="O297">
        <f>IF(AND(VLOOKUP(O$1,main!$A$3:$H$102,7,FALSE)=main!$G$105,VLOOKUP(O$1,main!$A$3:$H$102,5,FALSE)-VLOOKUP($A297,main!$A$3:$H$102,6,FALSE)&gt;=main!$D$103+VLOOKUP(VLOOKUP(O$1,main!$A$3:$I$102,7,FALSE),main!$K$26:$Q$29,5,FALSE)),1,0)</f>
        <v>0</v>
      </c>
      <c r="P297">
        <f>IF(AND(VLOOKUP(P$1,main!$A$3:$H$102,7,FALSE)=main!$G$105,VLOOKUP(P$1,main!$A$3:$H$102,5,FALSE)-VLOOKUP($A297,main!$A$3:$H$102,6,FALSE)&gt;=main!$D$103+VLOOKUP(VLOOKUP(P$1,main!$A$3:$I$102,7,FALSE),main!$K$26:$Q$29,5,FALSE)),1,0)</f>
        <v>0</v>
      </c>
      <c r="Q297">
        <f>IF(AND(VLOOKUP(Q$1,main!$A$3:$H$102,7,FALSE)=main!$G$105,VLOOKUP(Q$1,main!$A$3:$H$102,5,FALSE)-VLOOKUP($A297,main!$A$3:$H$102,6,FALSE)&gt;=main!$D$103+VLOOKUP(VLOOKUP(Q$1,main!$A$3:$I$102,7,FALSE),main!$K$26:$Q$29,5,FALSE)),1,0)</f>
        <v>0</v>
      </c>
      <c r="R297">
        <f>IF(AND(VLOOKUP(R$1,main!$A$3:$H$102,7,FALSE)=main!$G$105,VLOOKUP(R$1,main!$A$3:$H$102,5,FALSE)-VLOOKUP($A297,main!$A$3:$H$102,6,FALSE)&gt;=main!$D$103+VLOOKUP(VLOOKUP(R$1,main!$A$3:$I$102,7,FALSE),main!$K$26:$Q$29,5,FALSE)),1,0)</f>
        <v>0</v>
      </c>
      <c r="S297">
        <f>IF(AND(VLOOKUP(S$1,main!$A$3:$H$102,7,FALSE)=main!$G$105,VLOOKUP(S$1,main!$A$3:$H$102,5,FALSE)-VLOOKUP($A297,main!$A$3:$H$102,6,FALSE)&gt;=main!$D$103+VLOOKUP(VLOOKUP(S$1,main!$A$3:$I$102,7,FALSE),main!$K$26:$Q$29,5,FALSE)),1,0)</f>
        <v>0</v>
      </c>
      <c r="T297">
        <f>IF(AND(VLOOKUP(T$1,main!$A$3:$H$102,7,FALSE)=main!$G$105,VLOOKUP(T$1,main!$A$3:$H$102,5,FALSE)-VLOOKUP($A297,main!$A$3:$H$102,6,FALSE)&gt;=main!$D$103+VLOOKUP(VLOOKUP(T$1,main!$A$3:$I$102,7,FALSE),main!$K$26:$Q$29,5,FALSE)),1,0)</f>
        <v>0</v>
      </c>
      <c r="U297">
        <f>IF(AND(VLOOKUP(U$1,main!$A$3:$H$102,7,FALSE)=main!$G$105,VLOOKUP(U$1,main!$A$3:$H$102,5,FALSE)-VLOOKUP($A297,main!$A$3:$H$102,6,FALSE)&gt;=main!$D$103+VLOOKUP(VLOOKUP(U$1,main!$A$3:$I$102,7,FALSE),main!$K$26:$Q$29,5,FALSE)),1,0)</f>
        <v>0</v>
      </c>
      <c r="V297">
        <f>IF(AND(VLOOKUP(V$1,main!$A$3:$H$102,7,FALSE)=main!$G$105,VLOOKUP(V$1,main!$A$3:$H$102,5,FALSE)-VLOOKUP($A297,main!$A$3:$H$102,6,FALSE)&gt;=main!$D$103+VLOOKUP(VLOOKUP(V$1,main!$A$3:$I$102,7,FALSE),main!$K$26:$Q$29,5,FALSE)),1,0)</f>
        <v>0</v>
      </c>
      <c r="W297">
        <f>IF(AND(VLOOKUP(W$1,main!$A$3:$H$102,7,FALSE)=main!$G$105,VLOOKUP(W$1,main!$A$3:$H$102,5,FALSE)-VLOOKUP($A297,main!$A$3:$H$102,6,FALSE)&gt;=main!$D$103+VLOOKUP(VLOOKUP(W$1,main!$A$3:$I$102,7,FALSE),main!$K$26:$Q$29,5,FALSE)),1,0)</f>
        <v>0</v>
      </c>
      <c r="X297">
        <f>IF(AND(VLOOKUP(X$1,main!$A$3:$H$102,7,FALSE)=main!$G$105,VLOOKUP(X$1,main!$A$3:$H$102,5,FALSE)-VLOOKUP($A297,main!$A$3:$H$102,6,FALSE)&gt;=main!$D$103+VLOOKUP(VLOOKUP(X$1,main!$A$3:$I$102,7,FALSE),main!$K$26:$Q$29,5,FALSE)),1,0)</f>
        <v>0</v>
      </c>
      <c r="Y297">
        <f>IF(AND(VLOOKUP(Y$1,main!$A$3:$H$102,7,FALSE)=main!$G$105,VLOOKUP(Y$1,main!$A$3:$H$102,5,FALSE)-VLOOKUP($A297,main!$A$3:$H$102,6,FALSE)&gt;=main!$D$103+VLOOKUP(VLOOKUP(Y$1,main!$A$3:$I$102,7,FALSE),main!$K$26:$Q$29,5,FALSE)),1,0)</f>
        <v>0</v>
      </c>
      <c r="Z297">
        <f>IF(AND(VLOOKUP(Z$1,main!$A$3:$H$102,7,FALSE)=main!$G$105,VLOOKUP(Z$1,main!$A$3:$H$102,5,FALSE)-VLOOKUP($A297,main!$A$3:$H$102,6,FALSE)&gt;=main!$D$103+VLOOKUP(VLOOKUP(Z$1,main!$A$3:$I$102,7,FALSE),main!$K$26:$Q$29,5,FALSE)),1,0)</f>
        <v>0</v>
      </c>
      <c r="AA297">
        <f>IF(AND(VLOOKUP(AA$1,main!$A$3:$H$102,7,FALSE)=main!$G$105,VLOOKUP(AA$1,main!$A$3:$H$102,5,FALSE)-VLOOKUP($A297,main!$A$3:$H$102,6,FALSE)&gt;=main!$D$103+VLOOKUP(VLOOKUP(AA$1,main!$A$3:$I$102,7,FALSE),main!$K$26:$Q$29,5,FALSE)),1,0)</f>
        <v>0</v>
      </c>
      <c r="AB297">
        <f>IF(AND(VLOOKUP(AB$1,main!$A$3:$H$102,7,FALSE)=main!$G$105,VLOOKUP(AB$1,main!$A$3:$H$102,5,FALSE)-VLOOKUP($A297,main!$A$3:$H$102,6,FALSE)&gt;=main!$D$103+VLOOKUP(VLOOKUP(AB$1,main!$A$3:$I$102,7,FALSE),main!$K$26:$Q$29,5,FALSE)),1,0)</f>
        <v>0</v>
      </c>
      <c r="AC297">
        <f>IF(AND(VLOOKUP(AC$1,main!$A$3:$H$102,7,FALSE)=main!$G$105,VLOOKUP(AC$1,main!$A$3:$H$102,5,FALSE)-VLOOKUP($A297,main!$A$3:$H$102,6,FALSE)&gt;=main!$D$103+VLOOKUP(VLOOKUP(AC$1,main!$A$3:$I$102,7,FALSE),main!$K$26:$Q$29,5,FALSE)),1,0)</f>
        <v>0</v>
      </c>
      <c r="AD297">
        <f>IF(AND(VLOOKUP(AD$1,main!$A$3:$H$102,7,FALSE)=main!$G$105,VLOOKUP(AD$1,main!$A$3:$H$102,5,FALSE)-VLOOKUP($A297,main!$A$3:$H$102,6,FALSE)&gt;=main!$D$103+VLOOKUP(VLOOKUP(AD$1,main!$A$3:$I$102,7,FALSE),main!$K$26:$Q$29,5,FALSE)),1,0)</f>
        <v>0</v>
      </c>
      <c r="AE297">
        <f>IF(AND(VLOOKUP(AE$1,main!$A$3:$H$102,7,FALSE)=main!$G$105,VLOOKUP(AE$1,main!$A$3:$H$102,5,FALSE)-VLOOKUP($A297,main!$A$3:$H$102,6,FALSE)&gt;=main!$D$103+VLOOKUP(VLOOKUP(AE$1,main!$A$3:$I$102,7,FALSE),main!$K$26:$Q$29,5,FALSE)),1,0)</f>
        <v>0</v>
      </c>
      <c r="AF297">
        <f>IF(AND(VLOOKUP(AF$1,main!$A$3:$H$102,7,FALSE)=main!$G$105,VLOOKUP(AF$1,main!$A$3:$H$102,5,FALSE)-VLOOKUP($A297,main!$A$3:$H$102,6,FALSE)&gt;=main!$D$103+VLOOKUP(VLOOKUP(AF$1,main!$A$3:$I$102,7,FALSE),main!$K$26:$Q$29,5,FALSE)),1,0)</f>
        <v>0</v>
      </c>
      <c r="AG297">
        <f>IF(AND(VLOOKUP(AG$1,main!$A$3:$H$102,7,FALSE)=main!$G$105,VLOOKUP(AG$1,main!$A$3:$H$102,5,FALSE)-VLOOKUP($A297,main!$A$3:$H$102,6,FALSE)&gt;=main!$D$103+VLOOKUP(VLOOKUP(AG$1,main!$A$3:$I$102,7,FALSE),main!$K$26:$Q$29,5,FALSE)),1,0)</f>
        <v>0</v>
      </c>
      <c r="AH297">
        <f>IF(AND(VLOOKUP(AH$1,main!$A$3:$H$102,7,FALSE)=main!$G$105,VLOOKUP(AH$1,main!$A$3:$H$102,5,FALSE)-VLOOKUP($A297,main!$A$3:$H$102,6,FALSE)&gt;=main!$D$103+VLOOKUP(VLOOKUP(AH$1,main!$A$3:$I$102,7,FALSE),main!$K$26:$Q$29,5,FALSE)),1,0)</f>
        <v>0</v>
      </c>
      <c r="AI297">
        <f>IF(AND(VLOOKUP(AI$1,main!$A$3:$H$102,7,FALSE)=main!$G$105,VLOOKUP(AI$1,main!$A$3:$H$102,5,FALSE)-VLOOKUP($A297,main!$A$3:$H$102,6,FALSE)&gt;=main!$D$103+VLOOKUP(VLOOKUP(AI$1,main!$A$3:$I$102,7,FALSE),main!$K$26:$Q$29,5,FALSE)),1,0)</f>
        <v>0</v>
      </c>
      <c r="AJ297">
        <f>IF(AND(VLOOKUP(AJ$1,main!$A$3:$H$102,7,FALSE)=main!$G$105,VLOOKUP(AJ$1,main!$A$3:$H$102,5,FALSE)-VLOOKUP($A297,main!$A$3:$H$102,6,FALSE)&gt;=main!$D$103+VLOOKUP(VLOOKUP(AJ$1,main!$A$3:$I$102,7,FALSE),main!$K$26:$Q$29,5,FALSE)),1,0)</f>
        <v>0</v>
      </c>
      <c r="AK297">
        <f>IF(AND(VLOOKUP(AK$1,main!$A$3:$H$102,7,FALSE)=main!$G$105,VLOOKUP(AK$1,main!$A$3:$H$102,5,FALSE)-VLOOKUP($A297,main!$A$3:$H$102,6,FALSE)&gt;=main!$D$103+VLOOKUP(VLOOKUP(AK$1,main!$A$3:$I$102,7,FALSE),main!$K$26:$Q$29,5,FALSE)),1,0)</f>
        <v>0</v>
      </c>
      <c r="AL297">
        <f>IF(AND(VLOOKUP(AL$1,main!$A$3:$H$102,7,FALSE)=main!$G$105,VLOOKUP(AL$1,main!$A$3:$H$102,5,FALSE)-VLOOKUP($A297,main!$A$3:$H$102,6,FALSE)&gt;=main!$D$103+VLOOKUP(VLOOKUP(AL$1,main!$A$3:$I$102,7,FALSE),main!$K$26:$Q$29,5,FALSE)),1,0)</f>
        <v>1</v>
      </c>
      <c r="AM297">
        <f>IF(AND(VLOOKUP(AM$1,main!$A$3:$H$102,7,FALSE)=main!$G$105,VLOOKUP(AM$1,main!$A$3:$H$102,5,FALSE)-VLOOKUP($A297,main!$A$3:$H$102,6,FALSE)&gt;=main!$D$103+VLOOKUP(VLOOKUP(AM$1,main!$A$3:$I$102,7,FALSE),main!$K$26:$Q$29,5,FALSE)),1,0)</f>
        <v>1</v>
      </c>
      <c r="AN297">
        <f>IF(AND(VLOOKUP(AN$1,main!$A$3:$H$102,7,FALSE)=main!$G$105,VLOOKUP(AN$1,main!$A$3:$H$102,5,FALSE)-VLOOKUP($A297,main!$A$3:$H$102,6,FALSE)&gt;=main!$D$103+VLOOKUP(VLOOKUP(AN$1,main!$A$3:$I$102,7,FALSE),main!$K$26:$Q$29,5,FALSE)),1,0)</f>
        <v>1</v>
      </c>
      <c r="AO297">
        <f>IF(AND(VLOOKUP(AO$1,main!$A$3:$H$102,7,FALSE)=main!$G$105,VLOOKUP(AO$1,main!$A$3:$H$102,5,FALSE)-VLOOKUP($A297,main!$A$3:$H$102,6,FALSE)&gt;=main!$D$103+VLOOKUP(VLOOKUP(AO$1,main!$A$3:$I$102,7,FALSE),main!$K$26:$Q$29,5,FALSE)),1,0)</f>
        <v>0</v>
      </c>
      <c r="AP297">
        <f>IF(AND(VLOOKUP(AP$1,main!$A$3:$H$102,7,FALSE)=main!$G$105,VLOOKUP(AP$1,main!$A$3:$H$102,5,FALSE)-VLOOKUP($A297,main!$A$3:$H$102,6,FALSE)&gt;=main!$D$103+VLOOKUP(VLOOKUP(AP$1,main!$A$3:$I$102,7,FALSE),main!$K$26:$Q$29,5,FALSE)),1,0)</f>
        <v>1</v>
      </c>
      <c r="AQ297">
        <f>IF(AND(VLOOKUP(AQ$1,main!$A$3:$H$102,7,FALSE)=main!$G$105,VLOOKUP(AQ$1,main!$A$3:$H$102,5,FALSE)-VLOOKUP($A297,main!$A$3:$H$102,6,FALSE)&gt;=main!$D$103+VLOOKUP(VLOOKUP(AQ$1,main!$A$3:$I$102,7,FALSE),main!$K$26:$Q$29,5,FALSE)),1,0)</f>
        <v>0</v>
      </c>
      <c r="AR297">
        <f>IF(AND(VLOOKUP(AR$1,main!$A$3:$H$102,7,FALSE)=main!$G$105,VLOOKUP(AR$1,main!$A$3:$H$102,5,FALSE)-VLOOKUP($A297,main!$A$3:$H$102,6,FALSE)&gt;=main!$D$103+VLOOKUP(VLOOKUP(AR$1,main!$A$3:$I$102,7,FALSE),main!$K$26:$Q$29,5,FALSE)),1,0)</f>
        <v>0</v>
      </c>
      <c r="AS297">
        <f>IF(AND(VLOOKUP(AS$1,main!$A$3:$H$102,7,FALSE)=main!$G$105,VLOOKUP(AS$1,main!$A$3:$H$102,5,FALSE)-VLOOKUP($A297,main!$A$3:$H$102,6,FALSE)&gt;=main!$D$103+VLOOKUP(VLOOKUP(AS$1,main!$A$3:$I$102,7,FALSE),main!$K$26:$Q$29,5,FALSE)),1,0)</f>
        <v>0</v>
      </c>
      <c r="AT297">
        <f>IF(AND(VLOOKUP(AT$1,main!$A$3:$H$102,7,FALSE)=main!$G$105,VLOOKUP(AT$1,main!$A$3:$H$102,5,FALSE)-VLOOKUP($A297,main!$A$3:$H$102,6,FALSE)&gt;=main!$D$103+VLOOKUP(VLOOKUP(AT$1,main!$A$3:$I$102,7,FALSE),main!$K$26:$Q$29,5,FALSE)),1,0)</f>
        <v>0</v>
      </c>
      <c r="AU297">
        <f>IF(AND(VLOOKUP(AU$1,main!$A$3:$H$102,7,FALSE)=main!$G$105,VLOOKUP(AU$1,main!$A$3:$H$102,5,FALSE)-VLOOKUP($A297,main!$A$3:$H$102,6,FALSE)&gt;=main!$D$103+VLOOKUP(VLOOKUP(AU$1,main!$A$3:$I$102,7,FALSE),main!$K$26:$Q$29,5,FALSE)),1,0)</f>
        <v>0</v>
      </c>
      <c r="AV297">
        <f>IF(AND(VLOOKUP(AV$1,main!$A$3:$H$102,7,FALSE)=main!$G$105,VLOOKUP(AV$1,main!$A$3:$H$102,5,FALSE)-VLOOKUP($A297,main!$A$3:$H$102,6,FALSE)&gt;=main!$D$103+VLOOKUP(VLOOKUP(AV$1,main!$A$3:$I$102,7,FALSE),main!$K$26:$Q$29,5,FALSE)),1,0)</f>
        <v>0</v>
      </c>
      <c r="AW297">
        <f>IF(AND(VLOOKUP(AW$1,main!$A$3:$H$102,7,FALSE)=main!$G$105,VLOOKUP(AW$1,main!$A$3:$H$102,5,FALSE)-VLOOKUP($A297,main!$A$3:$H$102,6,FALSE)&gt;=main!$D$103+VLOOKUP(VLOOKUP(AW$1,main!$A$3:$I$102,7,FALSE),main!$K$26:$Q$29,5,FALSE)),1,0)</f>
        <v>0</v>
      </c>
      <c r="AX297">
        <f>IF(AND(VLOOKUP(AX$1,main!$A$3:$H$102,7,FALSE)=main!$G$105,VLOOKUP(AX$1,main!$A$3:$H$102,5,FALSE)-VLOOKUP($A297,main!$A$3:$H$102,6,FALSE)&gt;=main!$D$103+VLOOKUP(VLOOKUP(AX$1,main!$A$3:$I$102,7,FALSE),main!$K$26:$Q$29,5,FALSE)),1,0)</f>
        <v>0</v>
      </c>
      <c r="AY297">
        <f>IF(AND(VLOOKUP(AY$1,main!$A$3:$H$102,7,FALSE)=main!$G$105,VLOOKUP(AY$1,main!$A$3:$H$102,5,FALSE)-VLOOKUP($A297,main!$A$3:$H$102,6,FALSE)&gt;=main!$D$103+VLOOKUP(VLOOKUP(AY$1,main!$A$3:$I$102,7,FALSE),main!$K$26:$Q$29,5,FALSE)),1,0)</f>
        <v>0</v>
      </c>
      <c r="AZ297">
        <f>IF(AND(VLOOKUP(AZ$1,main!$A$3:$H$102,7,FALSE)=main!$G$105,VLOOKUP(AZ$1,main!$A$3:$H$102,5,FALSE)-VLOOKUP($A297,main!$A$3:$H$102,6,FALSE)&gt;=main!$D$103+VLOOKUP(VLOOKUP(AZ$1,main!$A$3:$I$102,7,FALSE),main!$K$26:$Q$29,5,FALSE)),1,0)</f>
        <v>0</v>
      </c>
      <c r="BA297">
        <f>IF(AND(VLOOKUP(BA$1,main!$A$3:$H$102,7,FALSE)=main!$G$105,VLOOKUP(BA$1,main!$A$3:$H$102,5,FALSE)-VLOOKUP($A297,main!$A$3:$H$102,6,FALSE)&gt;=main!$D$103+VLOOKUP(VLOOKUP(BA$1,main!$A$3:$I$102,7,FALSE),main!$K$26:$Q$29,5,FALSE)),1,0)</f>
        <v>0</v>
      </c>
      <c r="BB297">
        <f>IF(AND(VLOOKUP(BB$1,main!$A$3:$H$102,7,FALSE)=main!$G$105,VLOOKUP(BB$1,main!$A$3:$H$102,5,FALSE)-VLOOKUP($A297,main!$A$3:$H$102,6,FALSE)&gt;=main!$D$103+VLOOKUP(VLOOKUP(BB$1,main!$A$3:$I$102,7,FALSE),main!$K$26:$Q$29,5,FALSE)),1,0)</f>
        <v>0</v>
      </c>
      <c r="BC297">
        <f>IF(AND(VLOOKUP(BC$1,main!$A$3:$H$102,7,FALSE)=main!$G$105,VLOOKUP(BC$1,main!$A$3:$H$102,5,FALSE)-VLOOKUP($A297,main!$A$3:$H$102,6,FALSE)&gt;=main!$D$103+VLOOKUP(VLOOKUP(BC$1,main!$A$3:$I$102,7,FALSE),main!$K$26:$Q$29,5,FALSE)),1,0)</f>
        <v>0</v>
      </c>
      <c r="BD297">
        <f>IF(AND(VLOOKUP(BD$1,main!$A$3:$H$102,7,FALSE)=main!$G$105,VLOOKUP(BD$1,main!$A$3:$H$102,5,FALSE)-VLOOKUP($A297,main!$A$3:$H$102,6,FALSE)&gt;=main!$D$103+VLOOKUP(VLOOKUP(BD$1,main!$A$3:$I$102,7,FALSE),main!$K$26:$Q$29,5,FALSE)),1,0)</f>
        <v>0</v>
      </c>
      <c r="BE297">
        <f>IF(AND(VLOOKUP(BE$1,main!$A$3:$H$102,7,FALSE)=main!$G$105,VLOOKUP(BE$1,main!$A$3:$H$102,5,FALSE)-VLOOKUP($A297,main!$A$3:$H$102,6,FALSE)&gt;=main!$D$103+VLOOKUP(VLOOKUP(BE$1,main!$A$3:$I$102,7,FALSE),main!$K$26:$Q$29,5,FALSE)),1,0)</f>
        <v>0</v>
      </c>
      <c r="BF297">
        <f>IF(AND(VLOOKUP(BF$1,main!$A$3:$H$102,7,FALSE)=main!$G$105,VLOOKUP(BF$1,main!$A$3:$H$102,5,FALSE)-VLOOKUP($A297,main!$A$3:$H$102,6,FALSE)&gt;=main!$D$103+VLOOKUP(VLOOKUP(BF$1,main!$A$3:$I$102,7,FALSE),main!$K$26:$Q$29,5,FALSE)),1,0)</f>
        <v>0</v>
      </c>
      <c r="BG297">
        <f>IF(AND(VLOOKUP(BG$1,main!$A$3:$H$102,7,FALSE)=main!$G$105,VLOOKUP(BG$1,main!$A$3:$H$102,5,FALSE)-VLOOKUP($A297,main!$A$3:$H$102,6,FALSE)&gt;=main!$D$103+VLOOKUP(VLOOKUP(BG$1,main!$A$3:$I$102,7,FALSE),main!$K$26:$Q$29,5,FALSE)),1,0)</f>
        <v>0</v>
      </c>
      <c r="BH297">
        <f>IF(AND(VLOOKUP(BH$1,main!$A$3:$H$102,7,FALSE)=main!$G$105,VLOOKUP(BH$1,main!$A$3:$H$102,5,FALSE)-VLOOKUP($A297,main!$A$3:$H$102,6,FALSE)&gt;=main!$D$103+VLOOKUP(VLOOKUP(BH$1,main!$A$3:$I$102,7,FALSE),main!$K$26:$Q$29,5,FALSE)),1,0)</f>
        <v>0</v>
      </c>
      <c r="BI297">
        <f>IF(AND(VLOOKUP(BI$1,main!$A$3:$H$102,7,FALSE)=main!$G$105,VLOOKUP(BI$1,main!$A$3:$H$102,5,FALSE)-VLOOKUP($A297,main!$A$3:$H$102,6,FALSE)&gt;=main!$D$103+VLOOKUP(VLOOKUP(BI$1,main!$A$3:$I$102,7,FALSE),main!$K$26:$Q$29,5,FALSE)),1,0)</f>
        <v>0</v>
      </c>
      <c r="BJ297">
        <f>IF(AND(VLOOKUP(BJ$1,main!$A$3:$H$102,7,FALSE)=main!$G$105,VLOOKUP(BJ$1,main!$A$3:$H$102,5,FALSE)-VLOOKUP($A297,main!$A$3:$H$102,6,FALSE)&gt;=main!$D$103+VLOOKUP(VLOOKUP(BJ$1,main!$A$3:$I$102,7,FALSE),main!$K$26:$Q$29,5,FALSE)),1,0)</f>
        <v>0</v>
      </c>
      <c r="BK297">
        <f>IF(AND(VLOOKUP(BK$1,main!$A$3:$H$102,7,FALSE)=main!$G$105,VLOOKUP(BK$1,main!$A$3:$H$102,5,FALSE)-VLOOKUP($A297,main!$A$3:$H$102,6,FALSE)&gt;=main!$D$103+VLOOKUP(VLOOKUP(BK$1,main!$A$3:$I$102,7,FALSE),main!$K$26:$Q$29,5,FALSE)),1,0)</f>
        <v>0</v>
      </c>
      <c r="BL297">
        <f>IF(AND(VLOOKUP(BL$1,main!$A$3:$H$102,7,FALSE)=main!$G$105,VLOOKUP(BL$1,main!$A$3:$H$102,5,FALSE)-VLOOKUP($A297,main!$A$3:$H$102,6,FALSE)&gt;=main!$D$103+VLOOKUP(VLOOKUP(BL$1,main!$A$3:$I$102,7,FALSE),main!$K$26:$Q$29,5,FALSE)),1,0)</f>
        <v>0</v>
      </c>
      <c r="BM297">
        <f>IF(AND(VLOOKUP(BM$1,main!$A$3:$H$102,7,FALSE)=main!$G$105,VLOOKUP(BM$1,main!$A$3:$H$102,5,FALSE)-VLOOKUP($A297,main!$A$3:$H$102,6,FALSE)&gt;=main!$D$103+VLOOKUP(VLOOKUP(BM$1,main!$A$3:$I$102,7,FALSE),main!$K$26:$Q$29,5,FALSE)),1,0)</f>
        <v>0</v>
      </c>
      <c r="BN297">
        <f>IF(AND(VLOOKUP(BN$1,main!$A$3:$H$102,7,FALSE)=main!$G$105,VLOOKUP(BN$1,main!$A$3:$H$102,5,FALSE)-VLOOKUP($A297,main!$A$3:$H$102,6,FALSE)&gt;=main!$D$103+VLOOKUP(VLOOKUP(BN$1,main!$A$3:$I$102,7,FALSE),main!$K$26:$Q$29,5,FALSE)),1,0)</f>
        <v>0</v>
      </c>
      <c r="BO297">
        <f>IF(AND(VLOOKUP(BO$1,main!$A$3:$H$102,7,FALSE)=main!$G$105,VLOOKUP(BO$1,main!$A$3:$H$102,5,FALSE)-VLOOKUP($A297,main!$A$3:$H$102,6,FALSE)&gt;=main!$D$103+VLOOKUP(VLOOKUP(BO$1,main!$A$3:$I$102,7,FALSE),main!$K$26:$Q$29,5,FALSE)),1,0)</f>
        <v>0</v>
      </c>
      <c r="BP297">
        <f>IF(AND(VLOOKUP(BP$1,main!$A$3:$H$102,7,FALSE)=main!$G$105,VLOOKUP(BP$1,main!$A$3:$H$102,5,FALSE)-VLOOKUP($A297,main!$A$3:$H$102,6,FALSE)&gt;=main!$D$103+VLOOKUP(VLOOKUP(BP$1,main!$A$3:$I$102,7,FALSE),main!$K$26:$Q$29,5,FALSE)),1,0)</f>
        <v>0</v>
      </c>
      <c r="BQ297">
        <f>IF(AND(VLOOKUP(BQ$1,main!$A$3:$H$102,7,FALSE)=main!$G$105,VLOOKUP(BQ$1,main!$A$3:$H$102,5,FALSE)-VLOOKUP($A297,main!$A$3:$H$102,6,FALSE)&gt;=main!$D$103+VLOOKUP(VLOOKUP(BQ$1,main!$A$3:$I$102,7,FALSE),main!$K$26:$Q$29,5,FALSE)),1,0)</f>
        <v>0</v>
      </c>
      <c r="BR297">
        <f>IF(AND(VLOOKUP(BR$1,main!$A$3:$H$102,7,FALSE)=main!$G$105,VLOOKUP(BR$1,main!$A$3:$H$102,5,FALSE)-VLOOKUP($A297,main!$A$3:$H$102,6,FALSE)&gt;=main!$D$103+VLOOKUP(VLOOKUP(BR$1,main!$A$3:$I$102,7,FALSE),main!$K$26:$Q$29,5,FALSE)),1,0)</f>
        <v>0</v>
      </c>
      <c r="BS297">
        <f>IF(AND(VLOOKUP(BS$1,main!$A$3:$H$102,7,FALSE)=main!$G$105,VLOOKUP(BS$1,main!$A$3:$H$102,5,FALSE)-VLOOKUP($A297,main!$A$3:$H$102,6,FALSE)&gt;=main!$D$103+VLOOKUP(VLOOKUP(BS$1,main!$A$3:$I$102,7,FALSE),main!$K$26:$Q$29,5,FALSE)),1,0)</f>
        <v>0</v>
      </c>
      <c r="BT297">
        <f>IF(AND(VLOOKUP(BT$1,main!$A$3:$H$102,7,FALSE)=main!$G$105,VLOOKUP(BT$1,main!$A$3:$H$102,5,FALSE)-VLOOKUP($A297,main!$A$3:$H$102,6,FALSE)&gt;=main!$D$103+VLOOKUP(VLOOKUP(BT$1,main!$A$3:$I$102,7,FALSE),main!$K$26:$Q$29,5,FALSE)),1,0)</f>
        <v>0</v>
      </c>
      <c r="BU297">
        <f>IF(AND(VLOOKUP(BU$1,main!$A$3:$H$102,7,FALSE)=main!$G$105,VLOOKUP(BU$1,main!$A$3:$H$102,5,FALSE)-VLOOKUP($A297,main!$A$3:$H$102,6,FALSE)&gt;=main!$D$103+VLOOKUP(VLOOKUP(BU$1,main!$A$3:$I$102,7,FALSE),main!$K$26:$Q$29,5,FALSE)),1,0)</f>
        <v>0</v>
      </c>
      <c r="BV297">
        <f>IF(AND(VLOOKUP(BV$1,main!$A$3:$H$102,7,FALSE)=main!$G$105,VLOOKUP(BV$1,main!$A$3:$H$102,5,FALSE)-VLOOKUP($A297,main!$A$3:$H$102,6,FALSE)&gt;=main!$D$103+VLOOKUP(VLOOKUP(BV$1,main!$A$3:$I$102,7,FALSE),main!$K$26:$Q$29,5,FALSE)),1,0)</f>
        <v>0</v>
      </c>
      <c r="BW297">
        <f>IF(AND(VLOOKUP(BW$1,main!$A$3:$H$102,7,FALSE)=main!$G$105,VLOOKUP(BW$1,main!$A$3:$H$102,5,FALSE)-VLOOKUP($A297,main!$A$3:$H$102,6,FALSE)&gt;=main!$D$103+VLOOKUP(VLOOKUP(BW$1,main!$A$3:$I$102,7,FALSE),main!$K$26:$Q$29,5,FALSE)),1,0)</f>
        <v>0</v>
      </c>
      <c r="BX297">
        <f>IF(AND(VLOOKUP(BX$1,main!$A$3:$H$102,7,FALSE)=main!$G$105,VLOOKUP(BX$1,main!$A$3:$H$102,5,FALSE)-VLOOKUP($A297,main!$A$3:$H$102,6,FALSE)&gt;=main!$D$103+VLOOKUP(VLOOKUP(BX$1,main!$A$3:$I$102,7,FALSE),main!$K$26:$Q$29,5,FALSE)),1,0)</f>
        <v>0</v>
      </c>
      <c r="BY297">
        <f>IF(AND(VLOOKUP(BY$1,main!$A$3:$H$102,7,FALSE)=main!$G$105,VLOOKUP(BY$1,main!$A$3:$H$102,5,FALSE)-VLOOKUP($A297,main!$A$3:$H$102,6,FALSE)&gt;=main!$D$103+VLOOKUP(VLOOKUP(BY$1,main!$A$3:$I$102,7,FALSE),main!$K$26:$Q$29,5,FALSE)),1,0)</f>
        <v>0</v>
      </c>
      <c r="BZ297">
        <f>IF(AND(VLOOKUP(BZ$1,main!$A$3:$H$102,7,FALSE)=main!$G$105,VLOOKUP(BZ$1,main!$A$3:$H$102,5,FALSE)-VLOOKUP($A297,main!$A$3:$H$102,6,FALSE)&gt;=main!$D$103+VLOOKUP(VLOOKUP(BZ$1,main!$A$3:$I$102,7,FALSE),main!$K$26:$Q$29,5,FALSE)),1,0)</f>
        <v>0</v>
      </c>
      <c r="CA297">
        <f>IF(AND(VLOOKUP(CA$1,main!$A$3:$H$102,7,FALSE)=main!$G$105,VLOOKUP(CA$1,main!$A$3:$H$102,5,FALSE)-VLOOKUP($A297,main!$A$3:$H$102,6,FALSE)&gt;=main!$D$103+VLOOKUP(VLOOKUP(CA$1,main!$A$3:$I$102,7,FALSE),main!$K$26:$Q$29,5,FALSE)),1,0)</f>
        <v>0</v>
      </c>
      <c r="CB297">
        <f>IF(AND(VLOOKUP(CB$1,main!$A$3:$H$102,7,FALSE)=main!$G$105,VLOOKUP(CB$1,main!$A$3:$H$102,5,FALSE)-VLOOKUP($A297,main!$A$3:$H$102,6,FALSE)&gt;=main!$D$103+VLOOKUP(VLOOKUP(CB$1,main!$A$3:$I$102,7,FALSE),main!$K$26:$Q$29,5,FALSE)),1,0)</f>
        <v>0</v>
      </c>
      <c r="CC297">
        <f>IF(AND(VLOOKUP(CC$1,main!$A$3:$H$102,7,FALSE)=main!$G$105,VLOOKUP(CC$1,main!$A$3:$H$102,5,FALSE)-VLOOKUP($A297,main!$A$3:$H$102,6,FALSE)&gt;=main!$D$103+VLOOKUP(VLOOKUP(CC$1,main!$A$3:$I$102,7,FALSE),main!$K$26:$Q$29,5,FALSE)),1,0)</f>
        <v>0</v>
      </c>
      <c r="CD297">
        <f>IF(AND(VLOOKUP(CD$1,main!$A$3:$H$102,7,FALSE)=main!$G$105,VLOOKUP(CD$1,main!$A$3:$H$102,5,FALSE)-VLOOKUP($A297,main!$A$3:$H$102,6,FALSE)&gt;=main!$D$103+VLOOKUP(VLOOKUP(CD$1,main!$A$3:$I$102,7,FALSE),main!$K$26:$Q$29,5,FALSE)),1,0)</f>
        <v>0</v>
      </c>
      <c r="CE297">
        <f>IF(AND(VLOOKUP(CE$1,main!$A$3:$H$102,7,FALSE)=main!$G$105,VLOOKUP(CE$1,main!$A$3:$H$102,5,FALSE)-VLOOKUP($A297,main!$A$3:$H$102,6,FALSE)&gt;=main!$D$103+VLOOKUP(VLOOKUP(CE$1,main!$A$3:$I$102,7,FALSE),main!$K$26:$Q$29,5,FALSE)),1,0)</f>
        <v>0</v>
      </c>
      <c r="CF297">
        <f>IF(AND(VLOOKUP(CF$1,main!$A$3:$H$102,7,FALSE)=main!$G$105,VLOOKUP(CF$1,main!$A$3:$H$102,5,FALSE)-VLOOKUP($A297,main!$A$3:$H$102,6,FALSE)&gt;=main!$D$103+VLOOKUP(VLOOKUP(CF$1,main!$A$3:$I$102,7,FALSE),main!$K$26:$Q$29,5,FALSE)),1,0)</f>
        <v>0</v>
      </c>
      <c r="CG297">
        <f>IF(AND(VLOOKUP(CG$1,main!$A$3:$H$102,7,FALSE)=main!$G$105,VLOOKUP(CG$1,main!$A$3:$H$102,5,FALSE)-VLOOKUP($A297,main!$A$3:$H$102,6,FALSE)&gt;=main!$D$103+VLOOKUP(VLOOKUP(CG$1,main!$A$3:$I$102,7,FALSE),main!$K$26:$Q$29,5,FALSE)),1,0)</f>
        <v>0</v>
      </c>
      <c r="CH297">
        <f>IF(AND(VLOOKUP(CH$1,main!$A$3:$H$102,7,FALSE)=main!$G$105,VLOOKUP(CH$1,main!$A$3:$H$102,5,FALSE)-VLOOKUP($A297,main!$A$3:$H$102,6,FALSE)&gt;=main!$D$103+VLOOKUP(VLOOKUP(CH$1,main!$A$3:$I$102,7,FALSE),main!$K$26:$Q$29,5,FALSE)),1,0)</f>
        <v>0</v>
      </c>
      <c r="CI297">
        <f>IF(AND(VLOOKUP(CI$1,main!$A$3:$H$102,7,FALSE)=main!$G$105,VLOOKUP(CI$1,main!$A$3:$H$102,5,FALSE)-VLOOKUP($A297,main!$A$3:$H$102,6,FALSE)&gt;=main!$D$103+VLOOKUP(VLOOKUP(CI$1,main!$A$3:$I$102,7,FALSE),main!$K$26:$Q$29,5,FALSE)),1,0)</f>
        <v>0</v>
      </c>
      <c r="CJ297">
        <f>IF(AND(VLOOKUP(CJ$1,main!$A$3:$H$102,7,FALSE)=main!$G$105,VLOOKUP(CJ$1,main!$A$3:$H$102,5,FALSE)-VLOOKUP($A297,main!$A$3:$H$102,6,FALSE)&gt;=main!$D$103+VLOOKUP(VLOOKUP(CJ$1,main!$A$3:$I$102,7,FALSE),main!$K$26:$Q$29,5,FALSE)),1,0)</f>
        <v>0</v>
      </c>
      <c r="CK297">
        <f>IF(AND(VLOOKUP(CK$1,main!$A$3:$H$102,7,FALSE)=main!$G$105,VLOOKUP(CK$1,main!$A$3:$H$102,5,FALSE)-VLOOKUP($A297,main!$A$3:$H$102,6,FALSE)&gt;=main!$D$103+VLOOKUP(VLOOKUP(CK$1,main!$A$3:$I$102,7,FALSE),main!$K$26:$Q$29,5,FALSE)),1,0)</f>
        <v>0</v>
      </c>
      <c r="CL297">
        <f>IF(AND(VLOOKUP(CL$1,main!$A$3:$H$102,7,FALSE)=main!$G$105,VLOOKUP(CL$1,main!$A$3:$H$102,5,FALSE)-VLOOKUP($A297,main!$A$3:$H$102,6,FALSE)&gt;=main!$D$103+VLOOKUP(VLOOKUP(CL$1,main!$A$3:$I$102,7,FALSE),main!$K$26:$Q$29,5,FALSE)),1,0)</f>
        <v>0</v>
      </c>
      <c r="CM297">
        <f>IF(AND(VLOOKUP(CM$1,main!$A$3:$H$102,7,FALSE)=main!$G$105,VLOOKUP(CM$1,main!$A$3:$H$102,5,FALSE)-VLOOKUP($A297,main!$A$3:$H$102,6,FALSE)&gt;=main!$D$103+VLOOKUP(VLOOKUP(CM$1,main!$A$3:$I$102,7,FALSE),main!$K$26:$Q$29,5,FALSE)),1,0)</f>
        <v>0</v>
      </c>
      <c r="CN297">
        <f>IF(AND(VLOOKUP(CN$1,main!$A$3:$H$102,7,FALSE)=main!$G$105,VLOOKUP(CN$1,main!$A$3:$H$102,5,FALSE)-VLOOKUP($A297,main!$A$3:$H$102,6,FALSE)&gt;=main!$D$103+VLOOKUP(VLOOKUP(CN$1,main!$A$3:$I$102,7,FALSE),main!$K$26:$Q$29,5,FALSE)),1,0)</f>
        <v>0</v>
      </c>
      <c r="CO297">
        <f>IF(AND(VLOOKUP(CO$1,main!$A$3:$H$102,7,FALSE)=main!$G$105,VLOOKUP(CO$1,main!$A$3:$H$102,5,FALSE)-VLOOKUP($A297,main!$A$3:$H$102,6,FALSE)&gt;=main!$D$103+VLOOKUP(VLOOKUP(CO$1,main!$A$3:$I$102,7,FALSE),main!$K$26:$Q$29,5,FALSE)),1,0)</f>
        <v>0</v>
      </c>
      <c r="CP297">
        <f>IF(AND(VLOOKUP(CP$1,main!$A$3:$H$102,7,FALSE)=main!$G$105,VLOOKUP(CP$1,main!$A$3:$H$102,5,FALSE)-VLOOKUP($A297,main!$A$3:$H$102,6,FALSE)&gt;=main!$D$103+VLOOKUP(VLOOKUP(CP$1,main!$A$3:$I$102,7,FALSE),main!$K$26:$Q$29,5,FALSE)),1,0)</f>
        <v>0</v>
      </c>
      <c r="CQ297">
        <f>IF(AND(VLOOKUP(CQ$1,main!$A$3:$H$102,7,FALSE)=main!$G$105,VLOOKUP(CQ$1,main!$A$3:$H$102,5,FALSE)-VLOOKUP($A297,main!$A$3:$H$102,6,FALSE)&gt;=main!$D$103+VLOOKUP(VLOOKUP(CQ$1,main!$A$3:$I$102,7,FALSE),main!$K$26:$Q$29,5,FALSE)),1,0)</f>
        <v>0</v>
      </c>
      <c r="CR297">
        <f>IF(AND(VLOOKUP(CR$1,main!$A$3:$H$102,7,FALSE)=main!$G$105,VLOOKUP(CR$1,main!$A$3:$H$102,5,FALSE)-VLOOKUP($A297,main!$A$3:$H$102,6,FALSE)&gt;=main!$D$103+VLOOKUP(VLOOKUP(CR$1,main!$A$3:$I$102,7,FALSE),main!$K$26:$Q$29,5,FALSE)),1,0)</f>
        <v>0</v>
      </c>
      <c r="CS297">
        <f>IF(AND(VLOOKUP(CS$1,main!$A$3:$H$102,7,FALSE)=main!$G$105,VLOOKUP(CS$1,main!$A$3:$H$102,5,FALSE)-VLOOKUP($A297,main!$A$3:$H$102,6,FALSE)&gt;=main!$D$103+VLOOKUP(VLOOKUP(CS$1,main!$A$3:$I$102,7,FALSE),main!$K$26:$Q$29,5,FALSE)),1,0)</f>
        <v>0</v>
      </c>
      <c r="CT297">
        <f>IF(AND(VLOOKUP(CT$1,main!$A$3:$H$102,7,FALSE)=main!$G$105,VLOOKUP(CT$1,main!$A$3:$H$102,5,FALSE)-VLOOKUP($A297,main!$A$3:$H$102,6,FALSE)&gt;=main!$D$103+VLOOKUP(VLOOKUP(CT$1,main!$A$3:$I$102,7,FALSE),main!$K$26:$Q$29,5,FALSE)),1,0)</f>
        <v>0</v>
      </c>
      <c r="CU297">
        <f>IF(AND(VLOOKUP(CU$1,main!$A$3:$H$102,7,FALSE)=main!$G$105,VLOOKUP(CU$1,main!$A$3:$H$102,5,FALSE)-VLOOKUP($A297,main!$A$3:$H$102,6,FALSE)&gt;=main!$D$103+VLOOKUP(VLOOKUP(CU$1,main!$A$3:$I$102,7,FALSE),main!$K$26:$Q$29,5,FALSE)),1,0)</f>
        <v>0</v>
      </c>
      <c r="CV297">
        <f>IF(AND(VLOOKUP(CV$1,main!$A$3:$H$102,7,FALSE)=main!$G$105,VLOOKUP(CV$1,main!$A$3:$H$102,5,FALSE)-VLOOKUP($A297,main!$A$3:$H$102,6,FALSE)&gt;=main!$D$103+VLOOKUP(VLOOKUP(CV$1,main!$A$3:$I$102,7,FALSE),main!$K$26:$Q$29,5,FALSE)),1,0)</f>
        <v>0</v>
      </c>
      <c r="CW297">
        <f>IF(AND(VLOOKUP(CW$1,main!$A$3:$H$102,7,FALSE)=main!$G$105,VLOOKUP(CW$1,main!$A$3:$H$102,5,FALSE)-VLOOKUP($A297,main!$A$3:$H$102,6,FALSE)&gt;=main!$D$103+VLOOKUP(VLOOKUP(CW$1,main!$A$3:$I$102,7,FALSE),main!$K$26:$Q$29,5,FALSE)),1,0)</f>
        <v>0</v>
      </c>
      <c r="CX297">
        <f>IF(AND(VLOOKUP(CX$1,main!$A$3:$H$102,7,FALSE)=main!$G$105,VLOOKUP(CX$1,main!$A$3:$H$102,5,FALSE)-VLOOKUP($A297,main!$A$3:$H$102,6,FALSE)&gt;=main!$D$103+VLOOKUP(VLOOKUP(CX$1,main!$A$3:$I$102,7,FALSE),main!$K$26:$Q$29,5,FALSE)),1,0)</f>
        <v>0</v>
      </c>
    </row>
    <row r="298" spans="1:102" x14ac:dyDescent="0.25">
      <c r="A298" s="1">
        <v>94</v>
      </c>
      <c r="B298">
        <v>0</v>
      </c>
      <c r="C298">
        <f>IF(AND(VLOOKUP(C$1,main!$A$3:$H$102,7,FALSE)=main!$G$105,VLOOKUP(C$1,main!$A$3:$H$102,5,FALSE)-VLOOKUP($A298,main!$A$3:$H$102,6,FALSE)&gt;=main!$D$103+VLOOKUP(VLOOKUP(C$1,main!$A$3:$I$102,7,FALSE),main!$K$26:$Q$29,5,FALSE)),1,0)</f>
        <v>0</v>
      </c>
      <c r="D298">
        <f>IF(AND(VLOOKUP(D$1,main!$A$3:$H$102,7,FALSE)=main!$G$105,VLOOKUP(D$1,main!$A$3:$H$102,5,FALSE)-VLOOKUP($A298,main!$A$3:$H$102,6,FALSE)&gt;=main!$D$103+VLOOKUP(VLOOKUP(D$1,main!$A$3:$I$102,7,FALSE),main!$K$26:$Q$29,5,FALSE)),1,0)</f>
        <v>0</v>
      </c>
      <c r="E298">
        <f>IF(AND(VLOOKUP(E$1,main!$A$3:$H$102,7,FALSE)=main!$G$105,VLOOKUP(E$1,main!$A$3:$H$102,5,FALSE)-VLOOKUP($A298,main!$A$3:$H$102,6,FALSE)&gt;=main!$D$103+VLOOKUP(VLOOKUP(E$1,main!$A$3:$I$102,7,FALSE),main!$K$26:$Q$29,5,FALSE)),1,0)</f>
        <v>0</v>
      </c>
      <c r="F298">
        <f>IF(AND(VLOOKUP(F$1,main!$A$3:$H$102,7,FALSE)=main!$G$105,VLOOKUP(F$1,main!$A$3:$H$102,5,FALSE)-VLOOKUP($A298,main!$A$3:$H$102,6,FALSE)&gt;=main!$D$103+VLOOKUP(VLOOKUP(F$1,main!$A$3:$I$102,7,FALSE),main!$K$26:$Q$29,5,FALSE)),1,0)</f>
        <v>0</v>
      </c>
      <c r="G298">
        <f>IF(AND(VLOOKUP(G$1,main!$A$3:$H$102,7,FALSE)=main!$G$105,VLOOKUP(G$1,main!$A$3:$H$102,5,FALSE)-VLOOKUP($A298,main!$A$3:$H$102,6,FALSE)&gt;=main!$D$103+VLOOKUP(VLOOKUP(G$1,main!$A$3:$I$102,7,FALSE),main!$K$26:$Q$29,5,FALSE)),1,0)</f>
        <v>0</v>
      </c>
      <c r="H298">
        <f>IF(AND(VLOOKUP(H$1,main!$A$3:$H$102,7,FALSE)=main!$G$105,VLOOKUP(H$1,main!$A$3:$H$102,5,FALSE)-VLOOKUP($A298,main!$A$3:$H$102,6,FALSE)&gt;=main!$D$103+VLOOKUP(VLOOKUP(H$1,main!$A$3:$I$102,7,FALSE),main!$K$26:$Q$29,5,FALSE)),1,0)</f>
        <v>0</v>
      </c>
      <c r="I298">
        <f>IF(AND(VLOOKUP(I$1,main!$A$3:$H$102,7,FALSE)=main!$G$105,VLOOKUP(I$1,main!$A$3:$H$102,5,FALSE)-VLOOKUP($A298,main!$A$3:$H$102,6,FALSE)&gt;=main!$D$103+VLOOKUP(VLOOKUP(I$1,main!$A$3:$I$102,7,FALSE),main!$K$26:$Q$29,5,FALSE)),1,0)</f>
        <v>0</v>
      </c>
      <c r="J298">
        <f>IF(AND(VLOOKUP(J$1,main!$A$3:$H$102,7,FALSE)=main!$G$105,VLOOKUP(J$1,main!$A$3:$H$102,5,FALSE)-VLOOKUP($A298,main!$A$3:$H$102,6,FALSE)&gt;=main!$D$103+VLOOKUP(VLOOKUP(J$1,main!$A$3:$I$102,7,FALSE),main!$K$26:$Q$29,5,FALSE)),1,0)</f>
        <v>0</v>
      </c>
      <c r="K298">
        <f>IF(AND(VLOOKUP(K$1,main!$A$3:$H$102,7,FALSE)=main!$G$105,VLOOKUP(K$1,main!$A$3:$H$102,5,FALSE)-VLOOKUP($A298,main!$A$3:$H$102,6,FALSE)&gt;=main!$D$103+VLOOKUP(VLOOKUP(K$1,main!$A$3:$I$102,7,FALSE),main!$K$26:$Q$29,5,FALSE)),1,0)</f>
        <v>0</v>
      </c>
      <c r="L298">
        <f>IF(AND(VLOOKUP(L$1,main!$A$3:$H$102,7,FALSE)=main!$G$105,VLOOKUP(L$1,main!$A$3:$H$102,5,FALSE)-VLOOKUP($A298,main!$A$3:$H$102,6,FALSE)&gt;=main!$D$103+VLOOKUP(VLOOKUP(L$1,main!$A$3:$I$102,7,FALSE),main!$K$26:$Q$29,5,FALSE)),1,0)</f>
        <v>0</v>
      </c>
      <c r="M298">
        <f>IF(AND(VLOOKUP(M$1,main!$A$3:$H$102,7,FALSE)=main!$G$105,VLOOKUP(M$1,main!$A$3:$H$102,5,FALSE)-VLOOKUP($A298,main!$A$3:$H$102,6,FALSE)&gt;=main!$D$103+VLOOKUP(VLOOKUP(M$1,main!$A$3:$I$102,7,FALSE),main!$K$26:$Q$29,5,FALSE)),1,0)</f>
        <v>0</v>
      </c>
      <c r="N298">
        <f>IF(AND(VLOOKUP(N$1,main!$A$3:$H$102,7,FALSE)=main!$G$105,VLOOKUP(N$1,main!$A$3:$H$102,5,FALSE)-VLOOKUP($A298,main!$A$3:$H$102,6,FALSE)&gt;=main!$D$103+VLOOKUP(VLOOKUP(N$1,main!$A$3:$I$102,7,FALSE),main!$K$26:$Q$29,5,FALSE)),1,0)</f>
        <v>0</v>
      </c>
      <c r="O298">
        <f>IF(AND(VLOOKUP(O$1,main!$A$3:$H$102,7,FALSE)=main!$G$105,VLOOKUP(O$1,main!$A$3:$H$102,5,FALSE)-VLOOKUP($A298,main!$A$3:$H$102,6,FALSE)&gt;=main!$D$103+VLOOKUP(VLOOKUP(O$1,main!$A$3:$I$102,7,FALSE),main!$K$26:$Q$29,5,FALSE)),1,0)</f>
        <v>0</v>
      </c>
      <c r="P298">
        <f>IF(AND(VLOOKUP(P$1,main!$A$3:$H$102,7,FALSE)=main!$G$105,VLOOKUP(P$1,main!$A$3:$H$102,5,FALSE)-VLOOKUP($A298,main!$A$3:$H$102,6,FALSE)&gt;=main!$D$103+VLOOKUP(VLOOKUP(P$1,main!$A$3:$I$102,7,FALSE),main!$K$26:$Q$29,5,FALSE)),1,0)</f>
        <v>0</v>
      </c>
      <c r="Q298">
        <f>IF(AND(VLOOKUP(Q$1,main!$A$3:$H$102,7,FALSE)=main!$G$105,VLOOKUP(Q$1,main!$A$3:$H$102,5,FALSE)-VLOOKUP($A298,main!$A$3:$H$102,6,FALSE)&gt;=main!$D$103+VLOOKUP(VLOOKUP(Q$1,main!$A$3:$I$102,7,FALSE),main!$K$26:$Q$29,5,FALSE)),1,0)</f>
        <v>0</v>
      </c>
      <c r="R298">
        <f>IF(AND(VLOOKUP(R$1,main!$A$3:$H$102,7,FALSE)=main!$G$105,VLOOKUP(R$1,main!$A$3:$H$102,5,FALSE)-VLOOKUP($A298,main!$A$3:$H$102,6,FALSE)&gt;=main!$D$103+VLOOKUP(VLOOKUP(R$1,main!$A$3:$I$102,7,FALSE),main!$K$26:$Q$29,5,FALSE)),1,0)</f>
        <v>0</v>
      </c>
      <c r="S298">
        <f>IF(AND(VLOOKUP(S$1,main!$A$3:$H$102,7,FALSE)=main!$G$105,VLOOKUP(S$1,main!$A$3:$H$102,5,FALSE)-VLOOKUP($A298,main!$A$3:$H$102,6,FALSE)&gt;=main!$D$103+VLOOKUP(VLOOKUP(S$1,main!$A$3:$I$102,7,FALSE),main!$K$26:$Q$29,5,FALSE)),1,0)</f>
        <v>0</v>
      </c>
      <c r="T298">
        <f>IF(AND(VLOOKUP(T$1,main!$A$3:$H$102,7,FALSE)=main!$G$105,VLOOKUP(T$1,main!$A$3:$H$102,5,FALSE)-VLOOKUP($A298,main!$A$3:$H$102,6,FALSE)&gt;=main!$D$103+VLOOKUP(VLOOKUP(T$1,main!$A$3:$I$102,7,FALSE),main!$K$26:$Q$29,5,FALSE)),1,0)</f>
        <v>0</v>
      </c>
      <c r="U298">
        <f>IF(AND(VLOOKUP(U$1,main!$A$3:$H$102,7,FALSE)=main!$G$105,VLOOKUP(U$1,main!$A$3:$H$102,5,FALSE)-VLOOKUP($A298,main!$A$3:$H$102,6,FALSE)&gt;=main!$D$103+VLOOKUP(VLOOKUP(U$1,main!$A$3:$I$102,7,FALSE),main!$K$26:$Q$29,5,FALSE)),1,0)</f>
        <v>0</v>
      </c>
      <c r="V298">
        <f>IF(AND(VLOOKUP(V$1,main!$A$3:$H$102,7,FALSE)=main!$G$105,VLOOKUP(V$1,main!$A$3:$H$102,5,FALSE)-VLOOKUP($A298,main!$A$3:$H$102,6,FALSE)&gt;=main!$D$103+VLOOKUP(VLOOKUP(V$1,main!$A$3:$I$102,7,FALSE),main!$K$26:$Q$29,5,FALSE)),1,0)</f>
        <v>0</v>
      </c>
      <c r="W298">
        <f>IF(AND(VLOOKUP(W$1,main!$A$3:$H$102,7,FALSE)=main!$G$105,VLOOKUP(W$1,main!$A$3:$H$102,5,FALSE)-VLOOKUP($A298,main!$A$3:$H$102,6,FALSE)&gt;=main!$D$103+VLOOKUP(VLOOKUP(W$1,main!$A$3:$I$102,7,FALSE),main!$K$26:$Q$29,5,FALSE)),1,0)</f>
        <v>0</v>
      </c>
      <c r="X298">
        <f>IF(AND(VLOOKUP(X$1,main!$A$3:$H$102,7,FALSE)=main!$G$105,VLOOKUP(X$1,main!$A$3:$H$102,5,FALSE)-VLOOKUP($A298,main!$A$3:$H$102,6,FALSE)&gt;=main!$D$103+VLOOKUP(VLOOKUP(X$1,main!$A$3:$I$102,7,FALSE),main!$K$26:$Q$29,5,FALSE)),1,0)</f>
        <v>0</v>
      </c>
      <c r="Y298">
        <f>IF(AND(VLOOKUP(Y$1,main!$A$3:$H$102,7,FALSE)=main!$G$105,VLOOKUP(Y$1,main!$A$3:$H$102,5,FALSE)-VLOOKUP($A298,main!$A$3:$H$102,6,FALSE)&gt;=main!$D$103+VLOOKUP(VLOOKUP(Y$1,main!$A$3:$I$102,7,FALSE),main!$K$26:$Q$29,5,FALSE)),1,0)</f>
        <v>0</v>
      </c>
      <c r="Z298">
        <f>IF(AND(VLOOKUP(Z$1,main!$A$3:$H$102,7,FALSE)=main!$G$105,VLOOKUP(Z$1,main!$A$3:$H$102,5,FALSE)-VLOOKUP($A298,main!$A$3:$H$102,6,FALSE)&gt;=main!$D$103+VLOOKUP(VLOOKUP(Z$1,main!$A$3:$I$102,7,FALSE),main!$K$26:$Q$29,5,FALSE)),1,0)</f>
        <v>0</v>
      </c>
      <c r="AA298">
        <f>IF(AND(VLOOKUP(AA$1,main!$A$3:$H$102,7,FALSE)=main!$G$105,VLOOKUP(AA$1,main!$A$3:$H$102,5,FALSE)-VLOOKUP($A298,main!$A$3:$H$102,6,FALSE)&gt;=main!$D$103+VLOOKUP(VLOOKUP(AA$1,main!$A$3:$I$102,7,FALSE),main!$K$26:$Q$29,5,FALSE)),1,0)</f>
        <v>0</v>
      </c>
      <c r="AB298">
        <f>IF(AND(VLOOKUP(AB$1,main!$A$3:$H$102,7,FALSE)=main!$G$105,VLOOKUP(AB$1,main!$A$3:$H$102,5,FALSE)-VLOOKUP($A298,main!$A$3:$H$102,6,FALSE)&gt;=main!$D$103+VLOOKUP(VLOOKUP(AB$1,main!$A$3:$I$102,7,FALSE),main!$K$26:$Q$29,5,FALSE)),1,0)</f>
        <v>0</v>
      </c>
      <c r="AC298">
        <f>IF(AND(VLOOKUP(AC$1,main!$A$3:$H$102,7,FALSE)=main!$G$105,VLOOKUP(AC$1,main!$A$3:$H$102,5,FALSE)-VLOOKUP($A298,main!$A$3:$H$102,6,FALSE)&gt;=main!$D$103+VLOOKUP(VLOOKUP(AC$1,main!$A$3:$I$102,7,FALSE),main!$K$26:$Q$29,5,FALSE)),1,0)</f>
        <v>0</v>
      </c>
      <c r="AD298">
        <f>IF(AND(VLOOKUP(AD$1,main!$A$3:$H$102,7,FALSE)=main!$G$105,VLOOKUP(AD$1,main!$A$3:$H$102,5,FALSE)-VLOOKUP($A298,main!$A$3:$H$102,6,FALSE)&gt;=main!$D$103+VLOOKUP(VLOOKUP(AD$1,main!$A$3:$I$102,7,FALSE),main!$K$26:$Q$29,5,FALSE)),1,0)</f>
        <v>0</v>
      </c>
      <c r="AE298">
        <f>IF(AND(VLOOKUP(AE$1,main!$A$3:$H$102,7,FALSE)=main!$G$105,VLOOKUP(AE$1,main!$A$3:$H$102,5,FALSE)-VLOOKUP($A298,main!$A$3:$H$102,6,FALSE)&gt;=main!$D$103+VLOOKUP(VLOOKUP(AE$1,main!$A$3:$I$102,7,FALSE),main!$K$26:$Q$29,5,FALSE)),1,0)</f>
        <v>0</v>
      </c>
      <c r="AF298">
        <f>IF(AND(VLOOKUP(AF$1,main!$A$3:$H$102,7,FALSE)=main!$G$105,VLOOKUP(AF$1,main!$A$3:$H$102,5,FALSE)-VLOOKUP($A298,main!$A$3:$H$102,6,FALSE)&gt;=main!$D$103+VLOOKUP(VLOOKUP(AF$1,main!$A$3:$I$102,7,FALSE),main!$K$26:$Q$29,5,FALSE)),1,0)</f>
        <v>0</v>
      </c>
      <c r="AG298">
        <f>IF(AND(VLOOKUP(AG$1,main!$A$3:$H$102,7,FALSE)=main!$G$105,VLOOKUP(AG$1,main!$A$3:$H$102,5,FALSE)-VLOOKUP($A298,main!$A$3:$H$102,6,FALSE)&gt;=main!$D$103+VLOOKUP(VLOOKUP(AG$1,main!$A$3:$I$102,7,FALSE),main!$K$26:$Q$29,5,FALSE)),1,0)</f>
        <v>0</v>
      </c>
      <c r="AH298">
        <f>IF(AND(VLOOKUP(AH$1,main!$A$3:$H$102,7,FALSE)=main!$G$105,VLOOKUP(AH$1,main!$A$3:$H$102,5,FALSE)-VLOOKUP($A298,main!$A$3:$H$102,6,FALSE)&gt;=main!$D$103+VLOOKUP(VLOOKUP(AH$1,main!$A$3:$I$102,7,FALSE),main!$K$26:$Q$29,5,FALSE)),1,0)</f>
        <v>0</v>
      </c>
      <c r="AI298">
        <f>IF(AND(VLOOKUP(AI$1,main!$A$3:$H$102,7,FALSE)=main!$G$105,VLOOKUP(AI$1,main!$A$3:$H$102,5,FALSE)-VLOOKUP($A298,main!$A$3:$H$102,6,FALSE)&gt;=main!$D$103+VLOOKUP(VLOOKUP(AI$1,main!$A$3:$I$102,7,FALSE),main!$K$26:$Q$29,5,FALSE)),1,0)</f>
        <v>0</v>
      </c>
      <c r="AJ298">
        <f>IF(AND(VLOOKUP(AJ$1,main!$A$3:$H$102,7,FALSE)=main!$G$105,VLOOKUP(AJ$1,main!$A$3:$H$102,5,FALSE)-VLOOKUP($A298,main!$A$3:$H$102,6,FALSE)&gt;=main!$D$103+VLOOKUP(VLOOKUP(AJ$1,main!$A$3:$I$102,7,FALSE),main!$K$26:$Q$29,5,FALSE)),1,0)</f>
        <v>0</v>
      </c>
      <c r="AK298">
        <f>IF(AND(VLOOKUP(AK$1,main!$A$3:$H$102,7,FALSE)=main!$G$105,VLOOKUP(AK$1,main!$A$3:$H$102,5,FALSE)-VLOOKUP($A298,main!$A$3:$H$102,6,FALSE)&gt;=main!$D$103+VLOOKUP(VLOOKUP(AK$1,main!$A$3:$I$102,7,FALSE),main!$K$26:$Q$29,5,FALSE)),1,0)</f>
        <v>0</v>
      </c>
      <c r="AL298">
        <f>IF(AND(VLOOKUP(AL$1,main!$A$3:$H$102,7,FALSE)=main!$G$105,VLOOKUP(AL$1,main!$A$3:$H$102,5,FALSE)-VLOOKUP($A298,main!$A$3:$H$102,6,FALSE)&gt;=main!$D$103+VLOOKUP(VLOOKUP(AL$1,main!$A$3:$I$102,7,FALSE),main!$K$26:$Q$29,5,FALSE)),1,0)</f>
        <v>0</v>
      </c>
      <c r="AM298">
        <f>IF(AND(VLOOKUP(AM$1,main!$A$3:$H$102,7,FALSE)=main!$G$105,VLOOKUP(AM$1,main!$A$3:$H$102,5,FALSE)-VLOOKUP($A298,main!$A$3:$H$102,6,FALSE)&gt;=main!$D$103+VLOOKUP(VLOOKUP(AM$1,main!$A$3:$I$102,7,FALSE),main!$K$26:$Q$29,5,FALSE)),1,0)</f>
        <v>0</v>
      </c>
      <c r="AN298">
        <f>IF(AND(VLOOKUP(AN$1,main!$A$3:$H$102,7,FALSE)=main!$G$105,VLOOKUP(AN$1,main!$A$3:$H$102,5,FALSE)-VLOOKUP($A298,main!$A$3:$H$102,6,FALSE)&gt;=main!$D$103+VLOOKUP(VLOOKUP(AN$1,main!$A$3:$I$102,7,FALSE),main!$K$26:$Q$29,5,FALSE)),1,0)</f>
        <v>0</v>
      </c>
      <c r="AO298">
        <f>IF(AND(VLOOKUP(AO$1,main!$A$3:$H$102,7,FALSE)=main!$G$105,VLOOKUP(AO$1,main!$A$3:$H$102,5,FALSE)-VLOOKUP($A298,main!$A$3:$H$102,6,FALSE)&gt;=main!$D$103+VLOOKUP(VLOOKUP(AO$1,main!$A$3:$I$102,7,FALSE),main!$K$26:$Q$29,5,FALSE)),1,0)</f>
        <v>0</v>
      </c>
      <c r="AP298">
        <f>IF(AND(VLOOKUP(AP$1,main!$A$3:$H$102,7,FALSE)=main!$G$105,VLOOKUP(AP$1,main!$A$3:$H$102,5,FALSE)-VLOOKUP($A298,main!$A$3:$H$102,6,FALSE)&gt;=main!$D$103+VLOOKUP(VLOOKUP(AP$1,main!$A$3:$I$102,7,FALSE),main!$K$26:$Q$29,5,FALSE)),1,0)</f>
        <v>1</v>
      </c>
      <c r="AQ298">
        <f>IF(AND(VLOOKUP(AQ$1,main!$A$3:$H$102,7,FALSE)=main!$G$105,VLOOKUP(AQ$1,main!$A$3:$H$102,5,FALSE)-VLOOKUP($A298,main!$A$3:$H$102,6,FALSE)&gt;=main!$D$103+VLOOKUP(VLOOKUP(AQ$1,main!$A$3:$I$102,7,FALSE),main!$K$26:$Q$29,5,FALSE)),1,0)</f>
        <v>0</v>
      </c>
      <c r="AR298">
        <f>IF(AND(VLOOKUP(AR$1,main!$A$3:$H$102,7,FALSE)=main!$G$105,VLOOKUP(AR$1,main!$A$3:$H$102,5,FALSE)-VLOOKUP($A298,main!$A$3:$H$102,6,FALSE)&gt;=main!$D$103+VLOOKUP(VLOOKUP(AR$1,main!$A$3:$I$102,7,FALSE),main!$K$26:$Q$29,5,FALSE)),1,0)</f>
        <v>0</v>
      </c>
      <c r="AS298">
        <f>IF(AND(VLOOKUP(AS$1,main!$A$3:$H$102,7,FALSE)=main!$G$105,VLOOKUP(AS$1,main!$A$3:$H$102,5,FALSE)-VLOOKUP($A298,main!$A$3:$H$102,6,FALSE)&gt;=main!$D$103+VLOOKUP(VLOOKUP(AS$1,main!$A$3:$I$102,7,FALSE),main!$K$26:$Q$29,5,FALSE)),1,0)</f>
        <v>0</v>
      </c>
      <c r="AT298">
        <f>IF(AND(VLOOKUP(AT$1,main!$A$3:$H$102,7,FALSE)=main!$G$105,VLOOKUP(AT$1,main!$A$3:$H$102,5,FALSE)-VLOOKUP($A298,main!$A$3:$H$102,6,FALSE)&gt;=main!$D$103+VLOOKUP(VLOOKUP(AT$1,main!$A$3:$I$102,7,FALSE),main!$K$26:$Q$29,5,FALSE)),1,0)</f>
        <v>0</v>
      </c>
      <c r="AU298">
        <f>IF(AND(VLOOKUP(AU$1,main!$A$3:$H$102,7,FALSE)=main!$G$105,VLOOKUP(AU$1,main!$A$3:$H$102,5,FALSE)-VLOOKUP($A298,main!$A$3:$H$102,6,FALSE)&gt;=main!$D$103+VLOOKUP(VLOOKUP(AU$1,main!$A$3:$I$102,7,FALSE),main!$K$26:$Q$29,5,FALSE)),1,0)</f>
        <v>0</v>
      </c>
      <c r="AV298">
        <f>IF(AND(VLOOKUP(AV$1,main!$A$3:$H$102,7,FALSE)=main!$G$105,VLOOKUP(AV$1,main!$A$3:$H$102,5,FALSE)-VLOOKUP($A298,main!$A$3:$H$102,6,FALSE)&gt;=main!$D$103+VLOOKUP(VLOOKUP(AV$1,main!$A$3:$I$102,7,FALSE),main!$K$26:$Q$29,5,FALSE)),1,0)</f>
        <v>0</v>
      </c>
      <c r="AW298">
        <f>IF(AND(VLOOKUP(AW$1,main!$A$3:$H$102,7,FALSE)=main!$G$105,VLOOKUP(AW$1,main!$A$3:$H$102,5,FALSE)-VLOOKUP($A298,main!$A$3:$H$102,6,FALSE)&gt;=main!$D$103+VLOOKUP(VLOOKUP(AW$1,main!$A$3:$I$102,7,FALSE),main!$K$26:$Q$29,5,FALSE)),1,0)</f>
        <v>0</v>
      </c>
      <c r="AX298">
        <f>IF(AND(VLOOKUP(AX$1,main!$A$3:$H$102,7,FALSE)=main!$G$105,VLOOKUP(AX$1,main!$A$3:$H$102,5,FALSE)-VLOOKUP($A298,main!$A$3:$H$102,6,FALSE)&gt;=main!$D$103+VLOOKUP(VLOOKUP(AX$1,main!$A$3:$I$102,7,FALSE),main!$K$26:$Q$29,5,FALSE)),1,0)</f>
        <v>0</v>
      </c>
      <c r="AY298">
        <f>IF(AND(VLOOKUP(AY$1,main!$A$3:$H$102,7,FALSE)=main!$G$105,VLOOKUP(AY$1,main!$A$3:$H$102,5,FALSE)-VLOOKUP($A298,main!$A$3:$H$102,6,FALSE)&gt;=main!$D$103+VLOOKUP(VLOOKUP(AY$1,main!$A$3:$I$102,7,FALSE),main!$K$26:$Q$29,5,FALSE)),1,0)</f>
        <v>0</v>
      </c>
      <c r="AZ298">
        <f>IF(AND(VLOOKUP(AZ$1,main!$A$3:$H$102,7,FALSE)=main!$G$105,VLOOKUP(AZ$1,main!$A$3:$H$102,5,FALSE)-VLOOKUP($A298,main!$A$3:$H$102,6,FALSE)&gt;=main!$D$103+VLOOKUP(VLOOKUP(AZ$1,main!$A$3:$I$102,7,FALSE),main!$K$26:$Q$29,5,FALSE)),1,0)</f>
        <v>0</v>
      </c>
      <c r="BA298">
        <f>IF(AND(VLOOKUP(BA$1,main!$A$3:$H$102,7,FALSE)=main!$G$105,VLOOKUP(BA$1,main!$A$3:$H$102,5,FALSE)-VLOOKUP($A298,main!$A$3:$H$102,6,FALSE)&gt;=main!$D$103+VLOOKUP(VLOOKUP(BA$1,main!$A$3:$I$102,7,FALSE),main!$K$26:$Q$29,5,FALSE)),1,0)</f>
        <v>0</v>
      </c>
      <c r="BB298">
        <f>IF(AND(VLOOKUP(BB$1,main!$A$3:$H$102,7,FALSE)=main!$G$105,VLOOKUP(BB$1,main!$A$3:$H$102,5,FALSE)-VLOOKUP($A298,main!$A$3:$H$102,6,FALSE)&gt;=main!$D$103+VLOOKUP(VLOOKUP(BB$1,main!$A$3:$I$102,7,FALSE),main!$K$26:$Q$29,5,FALSE)),1,0)</f>
        <v>0</v>
      </c>
      <c r="BC298">
        <f>IF(AND(VLOOKUP(BC$1,main!$A$3:$H$102,7,FALSE)=main!$G$105,VLOOKUP(BC$1,main!$A$3:$H$102,5,FALSE)-VLOOKUP($A298,main!$A$3:$H$102,6,FALSE)&gt;=main!$D$103+VLOOKUP(VLOOKUP(BC$1,main!$A$3:$I$102,7,FALSE),main!$K$26:$Q$29,5,FALSE)),1,0)</f>
        <v>0</v>
      </c>
      <c r="BD298">
        <f>IF(AND(VLOOKUP(BD$1,main!$A$3:$H$102,7,FALSE)=main!$G$105,VLOOKUP(BD$1,main!$A$3:$H$102,5,FALSE)-VLOOKUP($A298,main!$A$3:$H$102,6,FALSE)&gt;=main!$D$103+VLOOKUP(VLOOKUP(BD$1,main!$A$3:$I$102,7,FALSE),main!$K$26:$Q$29,5,FALSE)),1,0)</f>
        <v>0</v>
      </c>
      <c r="BE298">
        <f>IF(AND(VLOOKUP(BE$1,main!$A$3:$H$102,7,FALSE)=main!$G$105,VLOOKUP(BE$1,main!$A$3:$H$102,5,FALSE)-VLOOKUP($A298,main!$A$3:$H$102,6,FALSE)&gt;=main!$D$103+VLOOKUP(VLOOKUP(BE$1,main!$A$3:$I$102,7,FALSE),main!$K$26:$Q$29,5,FALSE)),1,0)</f>
        <v>0</v>
      </c>
      <c r="BF298">
        <f>IF(AND(VLOOKUP(BF$1,main!$A$3:$H$102,7,FALSE)=main!$G$105,VLOOKUP(BF$1,main!$A$3:$H$102,5,FALSE)-VLOOKUP($A298,main!$A$3:$H$102,6,FALSE)&gt;=main!$D$103+VLOOKUP(VLOOKUP(BF$1,main!$A$3:$I$102,7,FALSE),main!$K$26:$Q$29,5,FALSE)),1,0)</f>
        <v>0</v>
      </c>
      <c r="BG298">
        <f>IF(AND(VLOOKUP(BG$1,main!$A$3:$H$102,7,FALSE)=main!$G$105,VLOOKUP(BG$1,main!$A$3:$H$102,5,FALSE)-VLOOKUP($A298,main!$A$3:$H$102,6,FALSE)&gt;=main!$D$103+VLOOKUP(VLOOKUP(BG$1,main!$A$3:$I$102,7,FALSE),main!$K$26:$Q$29,5,FALSE)),1,0)</f>
        <v>0</v>
      </c>
      <c r="BH298">
        <f>IF(AND(VLOOKUP(BH$1,main!$A$3:$H$102,7,FALSE)=main!$G$105,VLOOKUP(BH$1,main!$A$3:$H$102,5,FALSE)-VLOOKUP($A298,main!$A$3:$H$102,6,FALSE)&gt;=main!$D$103+VLOOKUP(VLOOKUP(BH$1,main!$A$3:$I$102,7,FALSE),main!$K$26:$Q$29,5,FALSE)),1,0)</f>
        <v>0</v>
      </c>
      <c r="BI298">
        <f>IF(AND(VLOOKUP(BI$1,main!$A$3:$H$102,7,FALSE)=main!$G$105,VLOOKUP(BI$1,main!$A$3:$H$102,5,FALSE)-VLOOKUP($A298,main!$A$3:$H$102,6,FALSE)&gt;=main!$D$103+VLOOKUP(VLOOKUP(BI$1,main!$A$3:$I$102,7,FALSE),main!$K$26:$Q$29,5,FALSE)),1,0)</f>
        <v>0</v>
      </c>
      <c r="BJ298">
        <f>IF(AND(VLOOKUP(BJ$1,main!$A$3:$H$102,7,FALSE)=main!$G$105,VLOOKUP(BJ$1,main!$A$3:$H$102,5,FALSE)-VLOOKUP($A298,main!$A$3:$H$102,6,FALSE)&gt;=main!$D$103+VLOOKUP(VLOOKUP(BJ$1,main!$A$3:$I$102,7,FALSE),main!$K$26:$Q$29,5,FALSE)),1,0)</f>
        <v>0</v>
      </c>
      <c r="BK298">
        <f>IF(AND(VLOOKUP(BK$1,main!$A$3:$H$102,7,FALSE)=main!$G$105,VLOOKUP(BK$1,main!$A$3:$H$102,5,FALSE)-VLOOKUP($A298,main!$A$3:$H$102,6,FALSE)&gt;=main!$D$103+VLOOKUP(VLOOKUP(BK$1,main!$A$3:$I$102,7,FALSE),main!$K$26:$Q$29,5,FALSE)),1,0)</f>
        <v>0</v>
      </c>
      <c r="BL298">
        <f>IF(AND(VLOOKUP(BL$1,main!$A$3:$H$102,7,FALSE)=main!$G$105,VLOOKUP(BL$1,main!$A$3:$H$102,5,FALSE)-VLOOKUP($A298,main!$A$3:$H$102,6,FALSE)&gt;=main!$D$103+VLOOKUP(VLOOKUP(BL$1,main!$A$3:$I$102,7,FALSE),main!$K$26:$Q$29,5,FALSE)),1,0)</f>
        <v>0</v>
      </c>
      <c r="BM298">
        <f>IF(AND(VLOOKUP(BM$1,main!$A$3:$H$102,7,FALSE)=main!$G$105,VLOOKUP(BM$1,main!$A$3:$H$102,5,FALSE)-VLOOKUP($A298,main!$A$3:$H$102,6,FALSE)&gt;=main!$D$103+VLOOKUP(VLOOKUP(BM$1,main!$A$3:$I$102,7,FALSE),main!$K$26:$Q$29,5,FALSE)),1,0)</f>
        <v>0</v>
      </c>
      <c r="BN298">
        <f>IF(AND(VLOOKUP(BN$1,main!$A$3:$H$102,7,FALSE)=main!$G$105,VLOOKUP(BN$1,main!$A$3:$H$102,5,FALSE)-VLOOKUP($A298,main!$A$3:$H$102,6,FALSE)&gt;=main!$D$103+VLOOKUP(VLOOKUP(BN$1,main!$A$3:$I$102,7,FALSE),main!$K$26:$Q$29,5,FALSE)),1,0)</f>
        <v>0</v>
      </c>
      <c r="BO298">
        <f>IF(AND(VLOOKUP(BO$1,main!$A$3:$H$102,7,FALSE)=main!$G$105,VLOOKUP(BO$1,main!$A$3:$H$102,5,FALSE)-VLOOKUP($A298,main!$A$3:$H$102,6,FALSE)&gt;=main!$D$103+VLOOKUP(VLOOKUP(BO$1,main!$A$3:$I$102,7,FALSE),main!$K$26:$Q$29,5,FALSE)),1,0)</f>
        <v>0</v>
      </c>
      <c r="BP298">
        <f>IF(AND(VLOOKUP(BP$1,main!$A$3:$H$102,7,FALSE)=main!$G$105,VLOOKUP(BP$1,main!$A$3:$H$102,5,FALSE)-VLOOKUP($A298,main!$A$3:$H$102,6,FALSE)&gt;=main!$D$103+VLOOKUP(VLOOKUP(BP$1,main!$A$3:$I$102,7,FALSE),main!$K$26:$Q$29,5,FALSE)),1,0)</f>
        <v>0</v>
      </c>
      <c r="BQ298">
        <f>IF(AND(VLOOKUP(BQ$1,main!$A$3:$H$102,7,FALSE)=main!$G$105,VLOOKUP(BQ$1,main!$A$3:$H$102,5,FALSE)-VLOOKUP($A298,main!$A$3:$H$102,6,FALSE)&gt;=main!$D$103+VLOOKUP(VLOOKUP(BQ$1,main!$A$3:$I$102,7,FALSE),main!$K$26:$Q$29,5,FALSE)),1,0)</f>
        <v>0</v>
      </c>
      <c r="BR298">
        <f>IF(AND(VLOOKUP(BR$1,main!$A$3:$H$102,7,FALSE)=main!$G$105,VLOOKUP(BR$1,main!$A$3:$H$102,5,FALSE)-VLOOKUP($A298,main!$A$3:$H$102,6,FALSE)&gt;=main!$D$103+VLOOKUP(VLOOKUP(BR$1,main!$A$3:$I$102,7,FALSE),main!$K$26:$Q$29,5,FALSE)),1,0)</f>
        <v>0</v>
      </c>
      <c r="BS298">
        <f>IF(AND(VLOOKUP(BS$1,main!$A$3:$H$102,7,FALSE)=main!$G$105,VLOOKUP(BS$1,main!$A$3:$H$102,5,FALSE)-VLOOKUP($A298,main!$A$3:$H$102,6,FALSE)&gt;=main!$D$103+VLOOKUP(VLOOKUP(BS$1,main!$A$3:$I$102,7,FALSE),main!$K$26:$Q$29,5,FALSE)),1,0)</f>
        <v>0</v>
      </c>
      <c r="BT298">
        <f>IF(AND(VLOOKUP(BT$1,main!$A$3:$H$102,7,FALSE)=main!$G$105,VLOOKUP(BT$1,main!$A$3:$H$102,5,FALSE)-VLOOKUP($A298,main!$A$3:$H$102,6,FALSE)&gt;=main!$D$103+VLOOKUP(VLOOKUP(BT$1,main!$A$3:$I$102,7,FALSE),main!$K$26:$Q$29,5,FALSE)),1,0)</f>
        <v>0</v>
      </c>
      <c r="BU298">
        <f>IF(AND(VLOOKUP(BU$1,main!$A$3:$H$102,7,FALSE)=main!$G$105,VLOOKUP(BU$1,main!$A$3:$H$102,5,FALSE)-VLOOKUP($A298,main!$A$3:$H$102,6,FALSE)&gt;=main!$D$103+VLOOKUP(VLOOKUP(BU$1,main!$A$3:$I$102,7,FALSE),main!$K$26:$Q$29,5,FALSE)),1,0)</f>
        <v>0</v>
      </c>
      <c r="BV298">
        <f>IF(AND(VLOOKUP(BV$1,main!$A$3:$H$102,7,FALSE)=main!$G$105,VLOOKUP(BV$1,main!$A$3:$H$102,5,FALSE)-VLOOKUP($A298,main!$A$3:$H$102,6,FALSE)&gt;=main!$D$103+VLOOKUP(VLOOKUP(BV$1,main!$A$3:$I$102,7,FALSE),main!$K$26:$Q$29,5,FALSE)),1,0)</f>
        <v>0</v>
      </c>
      <c r="BW298">
        <f>IF(AND(VLOOKUP(BW$1,main!$A$3:$H$102,7,FALSE)=main!$G$105,VLOOKUP(BW$1,main!$A$3:$H$102,5,FALSE)-VLOOKUP($A298,main!$A$3:$H$102,6,FALSE)&gt;=main!$D$103+VLOOKUP(VLOOKUP(BW$1,main!$A$3:$I$102,7,FALSE),main!$K$26:$Q$29,5,FALSE)),1,0)</f>
        <v>0</v>
      </c>
      <c r="BX298">
        <f>IF(AND(VLOOKUP(BX$1,main!$A$3:$H$102,7,FALSE)=main!$G$105,VLOOKUP(BX$1,main!$A$3:$H$102,5,FALSE)-VLOOKUP($A298,main!$A$3:$H$102,6,FALSE)&gt;=main!$D$103+VLOOKUP(VLOOKUP(BX$1,main!$A$3:$I$102,7,FALSE),main!$K$26:$Q$29,5,FALSE)),1,0)</f>
        <v>0</v>
      </c>
      <c r="BY298">
        <f>IF(AND(VLOOKUP(BY$1,main!$A$3:$H$102,7,FALSE)=main!$G$105,VLOOKUP(BY$1,main!$A$3:$H$102,5,FALSE)-VLOOKUP($A298,main!$A$3:$H$102,6,FALSE)&gt;=main!$D$103+VLOOKUP(VLOOKUP(BY$1,main!$A$3:$I$102,7,FALSE),main!$K$26:$Q$29,5,FALSE)),1,0)</f>
        <v>0</v>
      </c>
      <c r="BZ298">
        <f>IF(AND(VLOOKUP(BZ$1,main!$A$3:$H$102,7,FALSE)=main!$G$105,VLOOKUP(BZ$1,main!$A$3:$H$102,5,FALSE)-VLOOKUP($A298,main!$A$3:$H$102,6,FALSE)&gt;=main!$D$103+VLOOKUP(VLOOKUP(BZ$1,main!$A$3:$I$102,7,FALSE),main!$K$26:$Q$29,5,FALSE)),1,0)</f>
        <v>0</v>
      </c>
      <c r="CA298">
        <f>IF(AND(VLOOKUP(CA$1,main!$A$3:$H$102,7,FALSE)=main!$G$105,VLOOKUP(CA$1,main!$A$3:$H$102,5,FALSE)-VLOOKUP($A298,main!$A$3:$H$102,6,FALSE)&gt;=main!$D$103+VLOOKUP(VLOOKUP(CA$1,main!$A$3:$I$102,7,FALSE),main!$K$26:$Q$29,5,FALSE)),1,0)</f>
        <v>0</v>
      </c>
      <c r="CB298">
        <f>IF(AND(VLOOKUP(CB$1,main!$A$3:$H$102,7,FALSE)=main!$G$105,VLOOKUP(CB$1,main!$A$3:$H$102,5,FALSE)-VLOOKUP($A298,main!$A$3:$H$102,6,FALSE)&gt;=main!$D$103+VLOOKUP(VLOOKUP(CB$1,main!$A$3:$I$102,7,FALSE),main!$K$26:$Q$29,5,FALSE)),1,0)</f>
        <v>0</v>
      </c>
      <c r="CC298">
        <f>IF(AND(VLOOKUP(CC$1,main!$A$3:$H$102,7,FALSE)=main!$G$105,VLOOKUP(CC$1,main!$A$3:$H$102,5,FALSE)-VLOOKUP($A298,main!$A$3:$H$102,6,FALSE)&gt;=main!$D$103+VLOOKUP(VLOOKUP(CC$1,main!$A$3:$I$102,7,FALSE),main!$K$26:$Q$29,5,FALSE)),1,0)</f>
        <v>0</v>
      </c>
      <c r="CD298">
        <f>IF(AND(VLOOKUP(CD$1,main!$A$3:$H$102,7,FALSE)=main!$G$105,VLOOKUP(CD$1,main!$A$3:$H$102,5,FALSE)-VLOOKUP($A298,main!$A$3:$H$102,6,FALSE)&gt;=main!$D$103+VLOOKUP(VLOOKUP(CD$1,main!$A$3:$I$102,7,FALSE),main!$K$26:$Q$29,5,FALSE)),1,0)</f>
        <v>0</v>
      </c>
      <c r="CE298">
        <f>IF(AND(VLOOKUP(CE$1,main!$A$3:$H$102,7,FALSE)=main!$G$105,VLOOKUP(CE$1,main!$A$3:$H$102,5,FALSE)-VLOOKUP($A298,main!$A$3:$H$102,6,FALSE)&gt;=main!$D$103+VLOOKUP(VLOOKUP(CE$1,main!$A$3:$I$102,7,FALSE),main!$K$26:$Q$29,5,FALSE)),1,0)</f>
        <v>0</v>
      </c>
      <c r="CF298">
        <f>IF(AND(VLOOKUP(CF$1,main!$A$3:$H$102,7,FALSE)=main!$G$105,VLOOKUP(CF$1,main!$A$3:$H$102,5,FALSE)-VLOOKUP($A298,main!$A$3:$H$102,6,FALSE)&gt;=main!$D$103+VLOOKUP(VLOOKUP(CF$1,main!$A$3:$I$102,7,FALSE),main!$K$26:$Q$29,5,FALSE)),1,0)</f>
        <v>0</v>
      </c>
      <c r="CG298">
        <f>IF(AND(VLOOKUP(CG$1,main!$A$3:$H$102,7,FALSE)=main!$G$105,VLOOKUP(CG$1,main!$A$3:$H$102,5,FALSE)-VLOOKUP($A298,main!$A$3:$H$102,6,FALSE)&gt;=main!$D$103+VLOOKUP(VLOOKUP(CG$1,main!$A$3:$I$102,7,FALSE),main!$K$26:$Q$29,5,FALSE)),1,0)</f>
        <v>0</v>
      </c>
      <c r="CH298">
        <f>IF(AND(VLOOKUP(CH$1,main!$A$3:$H$102,7,FALSE)=main!$G$105,VLOOKUP(CH$1,main!$A$3:$H$102,5,FALSE)-VLOOKUP($A298,main!$A$3:$H$102,6,FALSE)&gt;=main!$D$103+VLOOKUP(VLOOKUP(CH$1,main!$A$3:$I$102,7,FALSE),main!$K$26:$Q$29,5,FALSE)),1,0)</f>
        <v>0</v>
      </c>
      <c r="CI298">
        <f>IF(AND(VLOOKUP(CI$1,main!$A$3:$H$102,7,FALSE)=main!$G$105,VLOOKUP(CI$1,main!$A$3:$H$102,5,FALSE)-VLOOKUP($A298,main!$A$3:$H$102,6,FALSE)&gt;=main!$D$103+VLOOKUP(VLOOKUP(CI$1,main!$A$3:$I$102,7,FALSE),main!$K$26:$Q$29,5,FALSE)),1,0)</f>
        <v>0</v>
      </c>
      <c r="CJ298">
        <f>IF(AND(VLOOKUP(CJ$1,main!$A$3:$H$102,7,FALSE)=main!$G$105,VLOOKUP(CJ$1,main!$A$3:$H$102,5,FALSE)-VLOOKUP($A298,main!$A$3:$H$102,6,FALSE)&gt;=main!$D$103+VLOOKUP(VLOOKUP(CJ$1,main!$A$3:$I$102,7,FALSE),main!$K$26:$Q$29,5,FALSE)),1,0)</f>
        <v>0</v>
      </c>
      <c r="CK298">
        <f>IF(AND(VLOOKUP(CK$1,main!$A$3:$H$102,7,FALSE)=main!$G$105,VLOOKUP(CK$1,main!$A$3:$H$102,5,FALSE)-VLOOKUP($A298,main!$A$3:$H$102,6,FALSE)&gt;=main!$D$103+VLOOKUP(VLOOKUP(CK$1,main!$A$3:$I$102,7,FALSE),main!$K$26:$Q$29,5,FALSE)),1,0)</f>
        <v>0</v>
      </c>
      <c r="CL298">
        <f>IF(AND(VLOOKUP(CL$1,main!$A$3:$H$102,7,FALSE)=main!$G$105,VLOOKUP(CL$1,main!$A$3:$H$102,5,FALSE)-VLOOKUP($A298,main!$A$3:$H$102,6,FALSE)&gt;=main!$D$103+VLOOKUP(VLOOKUP(CL$1,main!$A$3:$I$102,7,FALSE),main!$K$26:$Q$29,5,FALSE)),1,0)</f>
        <v>0</v>
      </c>
      <c r="CM298">
        <f>IF(AND(VLOOKUP(CM$1,main!$A$3:$H$102,7,FALSE)=main!$G$105,VLOOKUP(CM$1,main!$A$3:$H$102,5,FALSE)-VLOOKUP($A298,main!$A$3:$H$102,6,FALSE)&gt;=main!$D$103+VLOOKUP(VLOOKUP(CM$1,main!$A$3:$I$102,7,FALSE),main!$K$26:$Q$29,5,FALSE)),1,0)</f>
        <v>0</v>
      </c>
      <c r="CN298">
        <f>IF(AND(VLOOKUP(CN$1,main!$A$3:$H$102,7,FALSE)=main!$G$105,VLOOKUP(CN$1,main!$A$3:$H$102,5,FALSE)-VLOOKUP($A298,main!$A$3:$H$102,6,FALSE)&gt;=main!$D$103+VLOOKUP(VLOOKUP(CN$1,main!$A$3:$I$102,7,FALSE),main!$K$26:$Q$29,5,FALSE)),1,0)</f>
        <v>0</v>
      </c>
      <c r="CO298">
        <f>IF(AND(VLOOKUP(CO$1,main!$A$3:$H$102,7,FALSE)=main!$G$105,VLOOKUP(CO$1,main!$A$3:$H$102,5,FALSE)-VLOOKUP($A298,main!$A$3:$H$102,6,FALSE)&gt;=main!$D$103+VLOOKUP(VLOOKUP(CO$1,main!$A$3:$I$102,7,FALSE),main!$K$26:$Q$29,5,FALSE)),1,0)</f>
        <v>0</v>
      </c>
      <c r="CP298">
        <f>IF(AND(VLOOKUP(CP$1,main!$A$3:$H$102,7,FALSE)=main!$G$105,VLOOKUP(CP$1,main!$A$3:$H$102,5,FALSE)-VLOOKUP($A298,main!$A$3:$H$102,6,FALSE)&gt;=main!$D$103+VLOOKUP(VLOOKUP(CP$1,main!$A$3:$I$102,7,FALSE),main!$K$26:$Q$29,5,FALSE)),1,0)</f>
        <v>0</v>
      </c>
      <c r="CQ298">
        <f>IF(AND(VLOOKUP(CQ$1,main!$A$3:$H$102,7,FALSE)=main!$G$105,VLOOKUP(CQ$1,main!$A$3:$H$102,5,FALSE)-VLOOKUP($A298,main!$A$3:$H$102,6,FALSE)&gt;=main!$D$103+VLOOKUP(VLOOKUP(CQ$1,main!$A$3:$I$102,7,FALSE),main!$K$26:$Q$29,5,FALSE)),1,0)</f>
        <v>0</v>
      </c>
      <c r="CR298">
        <f>IF(AND(VLOOKUP(CR$1,main!$A$3:$H$102,7,FALSE)=main!$G$105,VLOOKUP(CR$1,main!$A$3:$H$102,5,FALSE)-VLOOKUP($A298,main!$A$3:$H$102,6,FALSE)&gt;=main!$D$103+VLOOKUP(VLOOKUP(CR$1,main!$A$3:$I$102,7,FALSE),main!$K$26:$Q$29,5,FALSE)),1,0)</f>
        <v>0</v>
      </c>
      <c r="CS298">
        <f>IF(AND(VLOOKUP(CS$1,main!$A$3:$H$102,7,FALSE)=main!$G$105,VLOOKUP(CS$1,main!$A$3:$H$102,5,FALSE)-VLOOKUP($A298,main!$A$3:$H$102,6,FALSE)&gt;=main!$D$103+VLOOKUP(VLOOKUP(CS$1,main!$A$3:$I$102,7,FALSE),main!$K$26:$Q$29,5,FALSE)),1,0)</f>
        <v>0</v>
      </c>
      <c r="CT298">
        <f>IF(AND(VLOOKUP(CT$1,main!$A$3:$H$102,7,FALSE)=main!$G$105,VLOOKUP(CT$1,main!$A$3:$H$102,5,FALSE)-VLOOKUP($A298,main!$A$3:$H$102,6,FALSE)&gt;=main!$D$103+VLOOKUP(VLOOKUP(CT$1,main!$A$3:$I$102,7,FALSE),main!$K$26:$Q$29,5,FALSE)),1,0)</f>
        <v>0</v>
      </c>
      <c r="CU298">
        <f>IF(AND(VLOOKUP(CU$1,main!$A$3:$H$102,7,FALSE)=main!$G$105,VLOOKUP(CU$1,main!$A$3:$H$102,5,FALSE)-VLOOKUP($A298,main!$A$3:$H$102,6,FALSE)&gt;=main!$D$103+VLOOKUP(VLOOKUP(CU$1,main!$A$3:$I$102,7,FALSE),main!$K$26:$Q$29,5,FALSE)),1,0)</f>
        <v>0</v>
      </c>
      <c r="CV298">
        <f>IF(AND(VLOOKUP(CV$1,main!$A$3:$H$102,7,FALSE)=main!$G$105,VLOOKUP(CV$1,main!$A$3:$H$102,5,FALSE)-VLOOKUP($A298,main!$A$3:$H$102,6,FALSE)&gt;=main!$D$103+VLOOKUP(VLOOKUP(CV$1,main!$A$3:$I$102,7,FALSE),main!$K$26:$Q$29,5,FALSE)),1,0)</f>
        <v>0</v>
      </c>
      <c r="CW298">
        <f>IF(AND(VLOOKUP(CW$1,main!$A$3:$H$102,7,FALSE)=main!$G$105,VLOOKUP(CW$1,main!$A$3:$H$102,5,FALSE)-VLOOKUP($A298,main!$A$3:$H$102,6,FALSE)&gt;=main!$D$103+VLOOKUP(VLOOKUP(CW$1,main!$A$3:$I$102,7,FALSE),main!$K$26:$Q$29,5,FALSE)),1,0)</f>
        <v>0</v>
      </c>
      <c r="CX298">
        <f>IF(AND(VLOOKUP(CX$1,main!$A$3:$H$102,7,FALSE)=main!$G$105,VLOOKUP(CX$1,main!$A$3:$H$102,5,FALSE)-VLOOKUP($A298,main!$A$3:$H$102,6,FALSE)&gt;=main!$D$103+VLOOKUP(VLOOKUP(CX$1,main!$A$3:$I$102,7,FALSE),main!$K$26:$Q$29,5,FALSE)),1,0)</f>
        <v>0</v>
      </c>
    </row>
    <row r="299" spans="1:102" x14ac:dyDescent="0.25">
      <c r="A299" s="1">
        <v>95</v>
      </c>
      <c r="B299">
        <v>0</v>
      </c>
      <c r="C299">
        <f>IF(AND(VLOOKUP(C$1,main!$A$3:$H$102,7,FALSE)=main!$G$105,VLOOKUP(C$1,main!$A$3:$H$102,5,FALSE)-VLOOKUP($A299,main!$A$3:$H$102,6,FALSE)&gt;=main!$D$103+VLOOKUP(VLOOKUP(C$1,main!$A$3:$I$102,7,FALSE),main!$K$26:$Q$29,5,FALSE)),1,0)</f>
        <v>0</v>
      </c>
      <c r="D299">
        <f>IF(AND(VLOOKUP(D$1,main!$A$3:$H$102,7,FALSE)=main!$G$105,VLOOKUP(D$1,main!$A$3:$H$102,5,FALSE)-VLOOKUP($A299,main!$A$3:$H$102,6,FALSE)&gt;=main!$D$103+VLOOKUP(VLOOKUP(D$1,main!$A$3:$I$102,7,FALSE),main!$K$26:$Q$29,5,FALSE)),1,0)</f>
        <v>0</v>
      </c>
      <c r="E299">
        <f>IF(AND(VLOOKUP(E$1,main!$A$3:$H$102,7,FALSE)=main!$G$105,VLOOKUP(E$1,main!$A$3:$H$102,5,FALSE)-VLOOKUP($A299,main!$A$3:$H$102,6,FALSE)&gt;=main!$D$103+VLOOKUP(VLOOKUP(E$1,main!$A$3:$I$102,7,FALSE),main!$K$26:$Q$29,5,FALSE)),1,0)</f>
        <v>0</v>
      </c>
      <c r="F299">
        <f>IF(AND(VLOOKUP(F$1,main!$A$3:$H$102,7,FALSE)=main!$G$105,VLOOKUP(F$1,main!$A$3:$H$102,5,FALSE)-VLOOKUP($A299,main!$A$3:$H$102,6,FALSE)&gt;=main!$D$103+VLOOKUP(VLOOKUP(F$1,main!$A$3:$I$102,7,FALSE),main!$K$26:$Q$29,5,FALSE)),1,0)</f>
        <v>0</v>
      </c>
      <c r="G299">
        <f>IF(AND(VLOOKUP(G$1,main!$A$3:$H$102,7,FALSE)=main!$G$105,VLOOKUP(G$1,main!$A$3:$H$102,5,FALSE)-VLOOKUP($A299,main!$A$3:$H$102,6,FALSE)&gt;=main!$D$103+VLOOKUP(VLOOKUP(G$1,main!$A$3:$I$102,7,FALSE),main!$K$26:$Q$29,5,FALSE)),1,0)</f>
        <v>0</v>
      </c>
      <c r="H299">
        <f>IF(AND(VLOOKUP(H$1,main!$A$3:$H$102,7,FALSE)=main!$G$105,VLOOKUP(H$1,main!$A$3:$H$102,5,FALSE)-VLOOKUP($A299,main!$A$3:$H$102,6,FALSE)&gt;=main!$D$103+VLOOKUP(VLOOKUP(H$1,main!$A$3:$I$102,7,FALSE),main!$K$26:$Q$29,5,FALSE)),1,0)</f>
        <v>0</v>
      </c>
      <c r="I299">
        <f>IF(AND(VLOOKUP(I$1,main!$A$3:$H$102,7,FALSE)=main!$G$105,VLOOKUP(I$1,main!$A$3:$H$102,5,FALSE)-VLOOKUP($A299,main!$A$3:$H$102,6,FALSE)&gt;=main!$D$103+VLOOKUP(VLOOKUP(I$1,main!$A$3:$I$102,7,FALSE),main!$K$26:$Q$29,5,FALSE)),1,0)</f>
        <v>0</v>
      </c>
      <c r="J299">
        <f>IF(AND(VLOOKUP(J$1,main!$A$3:$H$102,7,FALSE)=main!$G$105,VLOOKUP(J$1,main!$A$3:$H$102,5,FALSE)-VLOOKUP($A299,main!$A$3:$H$102,6,FALSE)&gt;=main!$D$103+VLOOKUP(VLOOKUP(J$1,main!$A$3:$I$102,7,FALSE),main!$K$26:$Q$29,5,FALSE)),1,0)</f>
        <v>0</v>
      </c>
      <c r="K299">
        <f>IF(AND(VLOOKUP(K$1,main!$A$3:$H$102,7,FALSE)=main!$G$105,VLOOKUP(K$1,main!$A$3:$H$102,5,FALSE)-VLOOKUP($A299,main!$A$3:$H$102,6,FALSE)&gt;=main!$D$103+VLOOKUP(VLOOKUP(K$1,main!$A$3:$I$102,7,FALSE),main!$K$26:$Q$29,5,FALSE)),1,0)</f>
        <v>0</v>
      </c>
      <c r="L299">
        <f>IF(AND(VLOOKUP(L$1,main!$A$3:$H$102,7,FALSE)=main!$G$105,VLOOKUP(L$1,main!$A$3:$H$102,5,FALSE)-VLOOKUP($A299,main!$A$3:$H$102,6,FALSE)&gt;=main!$D$103+VLOOKUP(VLOOKUP(L$1,main!$A$3:$I$102,7,FALSE),main!$K$26:$Q$29,5,FALSE)),1,0)</f>
        <v>0</v>
      </c>
      <c r="M299">
        <f>IF(AND(VLOOKUP(M$1,main!$A$3:$H$102,7,FALSE)=main!$G$105,VLOOKUP(M$1,main!$A$3:$H$102,5,FALSE)-VLOOKUP($A299,main!$A$3:$H$102,6,FALSE)&gt;=main!$D$103+VLOOKUP(VLOOKUP(M$1,main!$A$3:$I$102,7,FALSE),main!$K$26:$Q$29,5,FALSE)),1,0)</f>
        <v>0</v>
      </c>
      <c r="N299">
        <f>IF(AND(VLOOKUP(N$1,main!$A$3:$H$102,7,FALSE)=main!$G$105,VLOOKUP(N$1,main!$A$3:$H$102,5,FALSE)-VLOOKUP($A299,main!$A$3:$H$102,6,FALSE)&gt;=main!$D$103+VLOOKUP(VLOOKUP(N$1,main!$A$3:$I$102,7,FALSE),main!$K$26:$Q$29,5,FALSE)),1,0)</f>
        <v>0</v>
      </c>
      <c r="O299">
        <f>IF(AND(VLOOKUP(O$1,main!$A$3:$H$102,7,FALSE)=main!$G$105,VLOOKUP(O$1,main!$A$3:$H$102,5,FALSE)-VLOOKUP($A299,main!$A$3:$H$102,6,FALSE)&gt;=main!$D$103+VLOOKUP(VLOOKUP(O$1,main!$A$3:$I$102,7,FALSE),main!$K$26:$Q$29,5,FALSE)),1,0)</f>
        <v>0</v>
      </c>
      <c r="P299">
        <f>IF(AND(VLOOKUP(P$1,main!$A$3:$H$102,7,FALSE)=main!$G$105,VLOOKUP(P$1,main!$A$3:$H$102,5,FALSE)-VLOOKUP($A299,main!$A$3:$H$102,6,FALSE)&gt;=main!$D$103+VLOOKUP(VLOOKUP(P$1,main!$A$3:$I$102,7,FALSE),main!$K$26:$Q$29,5,FALSE)),1,0)</f>
        <v>0</v>
      </c>
      <c r="Q299">
        <f>IF(AND(VLOOKUP(Q$1,main!$A$3:$H$102,7,FALSE)=main!$G$105,VLOOKUP(Q$1,main!$A$3:$H$102,5,FALSE)-VLOOKUP($A299,main!$A$3:$H$102,6,FALSE)&gt;=main!$D$103+VLOOKUP(VLOOKUP(Q$1,main!$A$3:$I$102,7,FALSE),main!$K$26:$Q$29,5,FALSE)),1,0)</f>
        <v>0</v>
      </c>
      <c r="R299">
        <f>IF(AND(VLOOKUP(R$1,main!$A$3:$H$102,7,FALSE)=main!$G$105,VLOOKUP(R$1,main!$A$3:$H$102,5,FALSE)-VLOOKUP($A299,main!$A$3:$H$102,6,FALSE)&gt;=main!$D$103+VLOOKUP(VLOOKUP(R$1,main!$A$3:$I$102,7,FALSE),main!$K$26:$Q$29,5,FALSE)),1,0)</f>
        <v>0</v>
      </c>
      <c r="S299">
        <f>IF(AND(VLOOKUP(S$1,main!$A$3:$H$102,7,FALSE)=main!$G$105,VLOOKUP(S$1,main!$A$3:$H$102,5,FALSE)-VLOOKUP($A299,main!$A$3:$H$102,6,FALSE)&gt;=main!$D$103+VLOOKUP(VLOOKUP(S$1,main!$A$3:$I$102,7,FALSE),main!$K$26:$Q$29,5,FALSE)),1,0)</f>
        <v>0</v>
      </c>
      <c r="T299">
        <f>IF(AND(VLOOKUP(T$1,main!$A$3:$H$102,7,FALSE)=main!$G$105,VLOOKUP(T$1,main!$A$3:$H$102,5,FALSE)-VLOOKUP($A299,main!$A$3:$H$102,6,FALSE)&gt;=main!$D$103+VLOOKUP(VLOOKUP(T$1,main!$A$3:$I$102,7,FALSE),main!$K$26:$Q$29,5,FALSE)),1,0)</f>
        <v>0</v>
      </c>
      <c r="U299">
        <f>IF(AND(VLOOKUP(U$1,main!$A$3:$H$102,7,FALSE)=main!$G$105,VLOOKUP(U$1,main!$A$3:$H$102,5,FALSE)-VLOOKUP($A299,main!$A$3:$H$102,6,FALSE)&gt;=main!$D$103+VLOOKUP(VLOOKUP(U$1,main!$A$3:$I$102,7,FALSE),main!$K$26:$Q$29,5,FALSE)),1,0)</f>
        <v>0</v>
      </c>
      <c r="V299">
        <f>IF(AND(VLOOKUP(V$1,main!$A$3:$H$102,7,FALSE)=main!$G$105,VLOOKUP(V$1,main!$A$3:$H$102,5,FALSE)-VLOOKUP($A299,main!$A$3:$H$102,6,FALSE)&gt;=main!$D$103+VLOOKUP(VLOOKUP(V$1,main!$A$3:$I$102,7,FALSE),main!$K$26:$Q$29,5,FALSE)),1,0)</f>
        <v>0</v>
      </c>
      <c r="W299">
        <f>IF(AND(VLOOKUP(W$1,main!$A$3:$H$102,7,FALSE)=main!$G$105,VLOOKUP(W$1,main!$A$3:$H$102,5,FALSE)-VLOOKUP($A299,main!$A$3:$H$102,6,FALSE)&gt;=main!$D$103+VLOOKUP(VLOOKUP(W$1,main!$A$3:$I$102,7,FALSE),main!$K$26:$Q$29,5,FALSE)),1,0)</f>
        <v>0</v>
      </c>
      <c r="X299">
        <f>IF(AND(VLOOKUP(X$1,main!$A$3:$H$102,7,FALSE)=main!$G$105,VLOOKUP(X$1,main!$A$3:$H$102,5,FALSE)-VLOOKUP($A299,main!$A$3:$H$102,6,FALSE)&gt;=main!$D$103+VLOOKUP(VLOOKUP(X$1,main!$A$3:$I$102,7,FALSE),main!$K$26:$Q$29,5,FALSE)),1,0)</f>
        <v>0</v>
      </c>
      <c r="Y299">
        <f>IF(AND(VLOOKUP(Y$1,main!$A$3:$H$102,7,FALSE)=main!$G$105,VLOOKUP(Y$1,main!$A$3:$H$102,5,FALSE)-VLOOKUP($A299,main!$A$3:$H$102,6,FALSE)&gt;=main!$D$103+VLOOKUP(VLOOKUP(Y$1,main!$A$3:$I$102,7,FALSE),main!$K$26:$Q$29,5,FALSE)),1,0)</f>
        <v>0</v>
      </c>
      <c r="Z299">
        <f>IF(AND(VLOOKUP(Z$1,main!$A$3:$H$102,7,FALSE)=main!$G$105,VLOOKUP(Z$1,main!$A$3:$H$102,5,FALSE)-VLOOKUP($A299,main!$A$3:$H$102,6,FALSE)&gt;=main!$D$103+VLOOKUP(VLOOKUP(Z$1,main!$A$3:$I$102,7,FALSE),main!$K$26:$Q$29,5,FALSE)),1,0)</f>
        <v>0</v>
      </c>
      <c r="AA299">
        <f>IF(AND(VLOOKUP(AA$1,main!$A$3:$H$102,7,FALSE)=main!$G$105,VLOOKUP(AA$1,main!$A$3:$H$102,5,FALSE)-VLOOKUP($A299,main!$A$3:$H$102,6,FALSE)&gt;=main!$D$103+VLOOKUP(VLOOKUP(AA$1,main!$A$3:$I$102,7,FALSE),main!$K$26:$Q$29,5,FALSE)),1,0)</f>
        <v>0</v>
      </c>
      <c r="AB299">
        <f>IF(AND(VLOOKUP(AB$1,main!$A$3:$H$102,7,FALSE)=main!$G$105,VLOOKUP(AB$1,main!$A$3:$H$102,5,FALSE)-VLOOKUP($A299,main!$A$3:$H$102,6,FALSE)&gt;=main!$D$103+VLOOKUP(VLOOKUP(AB$1,main!$A$3:$I$102,7,FALSE),main!$K$26:$Q$29,5,FALSE)),1,0)</f>
        <v>0</v>
      </c>
      <c r="AC299">
        <f>IF(AND(VLOOKUP(AC$1,main!$A$3:$H$102,7,FALSE)=main!$G$105,VLOOKUP(AC$1,main!$A$3:$H$102,5,FALSE)-VLOOKUP($A299,main!$A$3:$H$102,6,FALSE)&gt;=main!$D$103+VLOOKUP(VLOOKUP(AC$1,main!$A$3:$I$102,7,FALSE),main!$K$26:$Q$29,5,FALSE)),1,0)</f>
        <v>0</v>
      </c>
      <c r="AD299">
        <f>IF(AND(VLOOKUP(AD$1,main!$A$3:$H$102,7,FALSE)=main!$G$105,VLOOKUP(AD$1,main!$A$3:$H$102,5,FALSE)-VLOOKUP($A299,main!$A$3:$H$102,6,FALSE)&gt;=main!$D$103+VLOOKUP(VLOOKUP(AD$1,main!$A$3:$I$102,7,FALSE),main!$K$26:$Q$29,5,FALSE)),1,0)</f>
        <v>0</v>
      </c>
      <c r="AE299">
        <f>IF(AND(VLOOKUP(AE$1,main!$A$3:$H$102,7,FALSE)=main!$G$105,VLOOKUP(AE$1,main!$A$3:$H$102,5,FALSE)-VLOOKUP($A299,main!$A$3:$H$102,6,FALSE)&gt;=main!$D$103+VLOOKUP(VLOOKUP(AE$1,main!$A$3:$I$102,7,FALSE),main!$K$26:$Q$29,5,FALSE)),1,0)</f>
        <v>0</v>
      </c>
      <c r="AF299">
        <f>IF(AND(VLOOKUP(AF$1,main!$A$3:$H$102,7,FALSE)=main!$G$105,VLOOKUP(AF$1,main!$A$3:$H$102,5,FALSE)-VLOOKUP($A299,main!$A$3:$H$102,6,FALSE)&gt;=main!$D$103+VLOOKUP(VLOOKUP(AF$1,main!$A$3:$I$102,7,FALSE),main!$K$26:$Q$29,5,FALSE)),1,0)</f>
        <v>0</v>
      </c>
      <c r="AG299">
        <f>IF(AND(VLOOKUP(AG$1,main!$A$3:$H$102,7,FALSE)=main!$G$105,VLOOKUP(AG$1,main!$A$3:$H$102,5,FALSE)-VLOOKUP($A299,main!$A$3:$H$102,6,FALSE)&gt;=main!$D$103+VLOOKUP(VLOOKUP(AG$1,main!$A$3:$I$102,7,FALSE),main!$K$26:$Q$29,5,FALSE)),1,0)</f>
        <v>0</v>
      </c>
      <c r="AH299">
        <f>IF(AND(VLOOKUP(AH$1,main!$A$3:$H$102,7,FALSE)=main!$G$105,VLOOKUP(AH$1,main!$A$3:$H$102,5,FALSE)-VLOOKUP($A299,main!$A$3:$H$102,6,FALSE)&gt;=main!$D$103+VLOOKUP(VLOOKUP(AH$1,main!$A$3:$I$102,7,FALSE),main!$K$26:$Q$29,5,FALSE)),1,0)</f>
        <v>0</v>
      </c>
      <c r="AI299">
        <f>IF(AND(VLOOKUP(AI$1,main!$A$3:$H$102,7,FALSE)=main!$G$105,VLOOKUP(AI$1,main!$A$3:$H$102,5,FALSE)-VLOOKUP($A299,main!$A$3:$H$102,6,FALSE)&gt;=main!$D$103+VLOOKUP(VLOOKUP(AI$1,main!$A$3:$I$102,7,FALSE),main!$K$26:$Q$29,5,FALSE)),1,0)</f>
        <v>0</v>
      </c>
      <c r="AJ299">
        <f>IF(AND(VLOOKUP(AJ$1,main!$A$3:$H$102,7,FALSE)=main!$G$105,VLOOKUP(AJ$1,main!$A$3:$H$102,5,FALSE)-VLOOKUP($A299,main!$A$3:$H$102,6,FALSE)&gt;=main!$D$103+VLOOKUP(VLOOKUP(AJ$1,main!$A$3:$I$102,7,FALSE),main!$K$26:$Q$29,5,FALSE)),1,0)</f>
        <v>0</v>
      </c>
      <c r="AK299">
        <f>IF(AND(VLOOKUP(AK$1,main!$A$3:$H$102,7,FALSE)=main!$G$105,VLOOKUP(AK$1,main!$A$3:$H$102,5,FALSE)-VLOOKUP($A299,main!$A$3:$H$102,6,FALSE)&gt;=main!$D$103+VLOOKUP(VLOOKUP(AK$1,main!$A$3:$I$102,7,FALSE),main!$K$26:$Q$29,5,FALSE)),1,0)</f>
        <v>0</v>
      </c>
      <c r="AL299">
        <f>IF(AND(VLOOKUP(AL$1,main!$A$3:$H$102,7,FALSE)=main!$G$105,VLOOKUP(AL$1,main!$A$3:$H$102,5,FALSE)-VLOOKUP($A299,main!$A$3:$H$102,6,FALSE)&gt;=main!$D$103+VLOOKUP(VLOOKUP(AL$1,main!$A$3:$I$102,7,FALSE),main!$K$26:$Q$29,5,FALSE)),1,0)</f>
        <v>0</v>
      </c>
      <c r="AM299">
        <f>IF(AND(VLOOKUP(AM$1,main!$A$3:$H$102,7,FALSE)=main!$G$105,VLOOKUP(AM$1,main!$A$3:$H$102,5,FALSE)-VLOOKUP($A299,main!$A$3:$H$102,6,FALSE)&gt;=main!$D$103+VLOOKUP(VLOOKUP(AM$1,main!$A$3:$I$102,7,FALSE),main!$K$26:$Q$29,5,FALSE)),1,0)</f>
        <v>0</v>
      </c>
      <c r="AN299">
        <f>IF(AND(VLOOKUP(AN$1,main!$A$3:$H$102,7,FALSE)=main!$G$105,VLOOKUP(AN$1,main!$A$3:$H$102,5,FALSE)-VLOOKUP($A299,main!$A$3:$H$102,6,FALSE)&gt;=main!$D$103+VLOOKUP(VLOOKUP(AN$1,main!$A$3:$I$102,7,FALSE),main!$K$26:$Q$29,5,FALSE)),1,0)</f>
        <v>0</v>
      </c>
      <c r="AO299">
        <f>IF(AND(VLOOKUP(AO$1,main!$A$3:$H$102,7,FALSE)=main!$G$105,VLOOKUP(AO$1,main!$A$3:$H$102,5,FALSE)-VLOOKUP($A299,main!$A$3:$H$102,6,FALSE)&gt;=main!$D$103+VLOOKUP(VLOOKUP(AO$1,main!$A$3:$I$102,7,FALSE),main!$K$26:$Q$29,5,FALSE)),1,0)</f>
        <v>0</v>
      </c>
      <c r="AP299">
        <f>IF(AND(VLOOKUP(AP$1,main!$A$3:$H$102,7,FALSE)=main!$G$105,VLOOKUP(AP$1,main!$A$3:$H$102,5,FALSE)-VLOOKUP($A299,main!$A$3:$H$102,6,FALSE)&gt;=main!$D$103+VLOOKUP(VLOOKUP(AP$1,main!$A$3:$I$102,7,FALSE),main!$K$26:$Q$29,5,FALSE)),1,0)</f>
        <v>1</v>
      </c>
      <c r="AQ299">
        <f>IF(AND(VLOOKUP(AQ$1,main!$A$3:$H$102,7,FALSE)=main!$G$105,VLOOKUP(AQ$1,main!$A$3:$H$102,5,FALSE)-VLOOKUP($A299,main!$A$3:$H$102,6,FALSE)&gt;=main!$D$103+VLOOKUP(VLOOKUP(AQ$1,main!$A$3:$I$102,7,FALSE),main!$K$26:$Q$29,5,FALSE)),1,0)</f>
        <v>0</v>
      </c>
      <c r="AR299">
        <f>IF(AND(VLOOKUP(AR$1,main!$A$3:$H$102,7,FALSE)=main!$G$105,VLOOKUP(AR$1,main!$A$3:$H$102,5,FALSE)-VLOOKUP($A299,main!$A$3:$H$102,6,FALSE)&gt;=main!$D$103+VLOOKUP(VLOOKUP(AR$1,main!$A$3:$I$102,7,FALSE),main!$K$26:$Q$29,5,FALSE)),1,0)</f>
        <v>0</v>
      </c>
      <c r="AS299">
        <f>IF(AND(VLOOKUP(AS$1,main!$A$3:$H$102,7,FALSE)=main!$G$105,VLOOKUP(AS$1,main!$A$3:$H$102,5,FALSE)-VLOOKUP($A299,main!$A$3:$H$102,6,FALSE)&gt;=main!$D$103+VLOOKUP(VLOOKUP(AS$1,main!$A$3:$I$102,7,FALSE),main!$K$26:$Q$29,5,FALSE)),1,0)</f>
        <v>0</v>
      </c>
      <c r="AT299">
        <f>IF(AND(VLOOKUP(AT$1,main!$A$3:$H$102,7,FALSE)=main!$G$105,VLOOKUP(AT$1,main!$A$3:$H$102,5,FALSE)-VLOOKUP($A299,main!$A$3:$H$102,6,FALSE)&gt;=main!$D$103+VLOOKUP(VLOOKUP(AT$1,main!$A$3:$I$102,7,FALSE),main!$K$26:$Q$29,5,FALSE)),1,0)</f>
        <v>0</v>
      </c>
      <c r="AU299">
        <f>IF(AND(VLOOKUP(AU$1,main!$A$3:$H$102,7,FALSE)=main!$G$105,VLOOKUP(AU$1,main!$A$3:$H$102,5,FALSE)-VLOOKUP($A299,main!$A$3:$H$102,6,FALSE)&gt;=main!$D$103+VLOOKUP(VLOOKUP(AU$1,main!$A$3:$I$102,7,FALSE),main!$K$26:$Q$29,5,FALSE)),1,0)</f>
        <v>0</v>
      </c>
      <c r="AV299">
        <f>IF(AND(VLOOKUP(AV$1,main!$A$3:$H$102,7,FALSE)=main!$G$105,VLOOKUP(AV$1,main!$A$3:$H$102,5,FALSE)-VLOOKUP($A299,main!$A$3:$H$102,6,FALSE)&gt;=main!$D$103+VLOOKUP(VLOOKUP(AV$1,main!$A$3:$I$102,7,FALSE),main!$K$26:$Q$29,5,FALSE)),1,0)</f>
        <v>0</v>
      </c>
      <c r="AW299">
        <f>IF(AND(VLOOKUP(AW$1,main!$A$3:$H$102,7,FALSE)=main!$G$105,VLOOKUP(AW$1,main!$A$3:$H$102,5,FALSE)-VLOOKUP($A299,main!$A$3:$H$102,6,FALSE)&gt;=main!$D$103+VLOOKUP(VLOOKUP(AW$1,main!$A$3:$I$102,7,FALSE),main!$K$26:$Q$29,5,FALSE)),1,0)</f>
        <v>0</v>
      </c>
      <c r="AX299">
        <f>IF(AND(VLOOKUP(AX$1,main!$A$3:$H$102,7,FALSE)=main!$G$105,VLOOKUP(AX$1,main!$A$3:$H$102,5,FALSE)-VLOOKUP($A299,main!$A$3:$H$102,6,FALSE)&gt;=main!$D$103+VLOOKUP(VLOOKUP(AX$1,main!$A$3:$I$102,7,FALSE),main!$K$26:$Q$29,5,FALSE)),1,0)</f>
        <v>0</v>
      </c>
      <c r="AY299">
        <f>IF(AND(VLOOKUP(AY$1,main!$A$3:$H$102,7,FALSE)=main!$G$105,VLOOKUP(AY$1,main!$A$3:$H$102,5,FALSE)-VLOOKUP($A299,main!$A$3:$H$102,6,FALSE)&gt;=main!$D$103+VLOOKUP(VLOOKUP(AY$1,main!$A$3:$I$102,7,FALSE),main!$K$26:$Q$29,5,FALSE)),1,0)</f>
        <v>0</v>
      </c>
      <c r="AZ299">
        <f>IF(AND(VLOOKUP(AZ$1,main!$A$3:$H$102,7,FALSE)=main!$G$105,VLOOKUP(AZ$1,main!$A$3:$H$102,5,FALSE)-VLOOKUP($A299,main!$A$3:$H$102,6,FALSE)&gt;=main!$D$103+VLOOKUP(VLOOKUP(AZ$1,main!$A$3:$I$102,7,FALSE),main!$K$26:$Q$29,5,FALSE)),1,0)</f>
        <v>0</v>
      </c>
      <c r="BA299">
        <f>IF(AND(VLOOKUP(BA$1,main!$A$3:$H$102,7,FALSE)=main!$G$105,VLOOKUP(BA$1,main!$A$3:$H$102,5,FALSE)-VLOOKUP($A299,main!$A$3:$H$102,6,FALSE)&gt;=main!$D$103+VLOOKUP(VLOOKUP(BA$1,main!$A$3:$I$102,7,FALSE),main!$K$26:$Q$29,5,FALSE)),1,0)</f>
        <v>0</v>
      </c>
      <c r="BB299">
        <f>IF(AND(VLOOKUP(BB$1,main!$A$3:$H$102,7,FALSE)=main!$G$105,VLOOKUP(BB$1,main!$A$3:$H$102,5,FALSE)-VLOOKUP($A299,main!$A$3:$H$102,6,FALSE)&gt;=main!$D$103+VLOOKUP(VLOOKUP(BB$1,main!$A$3:$I$102,7,FALSE),main!$K$26:$Q$29,5,FALSE)),1,0)</f>
        <v>0</v>
      </c>
      <c r="BC299">
        <f>IF(AND(VLOOKUP(BC$1,main!$A$3:$H$102,7,FALSE)=main!$G$105,VLOOKUP(BC$1,main!$A$3:$H$102,5,FALSE)-VLOOKUP($A299,main!$A$3:$H$102,6,FALSE)&gt;=main!$D$103+VLOOKUP(VLOOKUP(BC$1,main!$A$3:$I$102,7,FALSE),main!$K$26:$Q$29,5,FALSE)),1,0)</f>
        <v>0</v>
      </c>
      <c r="BD299">
        <f>IF(AND(VLOOKUP(BD$1,main!$A$3:$H$102,7,FALSE)=main!$G$105,VLOOKUP(BD$1,main!$A$3:$H$102,5,FALSE)-VLOOKUP($A299,main!$A$3:$H$102,6,FALSE)&gt;=main!$D$103+VLOOKUP(VLOOKUP(BD$1,main!$A$3:$I$102,7,FALSE),main!$K$26:$Q$29,5,FALSE)),1,0)</f>
        <v>0</v>
      </c>
      <c r="BE299">
        <f>IF(AND(VLOOKUP(BE$1,main!$A$3:$H$102,7,FALSE)=main!$G$105,VLOOKUP(BE$1,main!$A$3:$H$102,5,FALSE)-VLOOKUP($A299,main!$A$3:$H$102,6,FALSE)&gt;=main!$D$103+VLOOKUP(VLOOKUP(BE$1,main!$A$3:$I$102,7,FALSE),main!$K$26:$Q$29,5,FALSE)),1,0)</f>
        <v>0</v>
      </c>
      <c r="BF299">
        <f>IF(AND(VLOOKUP(BF$1,main!$A$3:$H$102,7,FALSE)=main!$G$105,VLOOKUP(BF$1,main!$A$3:$H$102,5,FALSE)-VLOOKUP($A299,main!$A$3:$H$102,6,FALSE)&gt;=main!$D$103+VLOOKUP(VLOOKUP(BF$1,main!$A$3:$I$102,7,FALSE),main!$K$26:$Q$29,5,FALSE)),1,0)</f>
        <v>0</v>
      </c>
      <c r="BG299">
        <f>IF(AND(VLOOKUP(BG$1,main!$A$3:$H$102,7,FALSE)=main!$G$105,VLOOKUP(BG$1,main!$A$3:$H$102,5,FALSE)-VLOOKUP($A299,main!$A$3:$H$102,6,FALSE)&gt;=main!$D$103+VLOOKUP(VLOOKUP(BG$1,main!$A$3:$I$102,7,FALSE),main!$K$26:$Q$29,5,FALSE)),1,0)</f>
        <v>0</v>
      </c>
      <c r="BH299">
        <f>IF(AND(VLOOKUP(BH$1,main!$A$3:$H$102,7,FALSE)=main!$G$105,VLOOKUP(BH$1,main!$A$3:$H$102,5,FALSE)-VLOOKUP($A299,main!$A$3:$H$102,6,FALSE)&gt;=main!$D$103+VLOOKUP(VLOOKUP(BH$1,main!$A$3:$I$102,7,FALSE),main!$K$26:$Q$29,5,FALSE)),1,0)</f>
        <v>0</v>
      </c>
      <c r="BI299">
        <f>IF(AND(VLOOKUP(BI$1,main!$A$3:$H$102,7,FALSE)=main!$G$105,VLOOKUP(BI$1,main!$A$3:$H$102,5,FALSE)-VLOOKUP($A299,main!$A$3:$H$102,6,FALSE)&gt;=main!$D$103+VLOOKUP(VLOOKUP(BI$1,main!$A$3:$I$102,7,FALSE),main!$K$26:$Q$29,5,FALSE)),1,0)</f>
        <v>0</v>
      </c>
      <c r="BJ299">
        <f>IF(AND(VLOOKUP(BJ$1,main!$A$3:$H$102,7,FALSE)=main!$G$105,VLOOKUP(BJ$1,main!$A$3:$H$102,5,FALSE)-VLOOKUP($A299,main!$A$3:$H$102,6,FALSE)&gt;=main!$D$103+VLOOKUP(VLOOKUP(BJ$1,main!$A$3:$I$102,7,FALSE),main!$K$26:$Q$29,5,FALSE)),1,0)</f>
        <v>0</v>
      </c>
      <c r="BK299">
        <f>IF(AND(VLOOKUP(BK$1,main!$A$3:$H$102,7,FALSE)=main!$G$105,VLOOKUP(BK$1,main!$A$3:$H$102,5,FALSE)-VLOOKUP($A299,main!$A$3:$H$102,6,FALSE)&gt;=main!$D$103+VLOOKUP(VLOOKUP(BK$1,main!$A$3:$I$102,7,FALSE),main!$K$26:$Q$29,5,FALSE)),1,0)</f>
        <v>0</v>
      </c>
      <c r="BL299">
        <f>IF(AND(VLOOKUP(BL$1,main!$A$3:$H$102,7,FALSE)=main!$G$105,VLOOKUP(BL$1,main!$A$3:$H$102,5,FALSE)-VLOOKUP($A299,main!$A$3:$H$102,6,FALSE)&gt;=main!$D$103+VLOOKUP(VLOOKUP(BL$1,main!$A$3:$I$102,7,FALSE),main!$K$26:$Q$29,5,FALSE)),1,0)</f>
        <v>0</v>
      </c>
      <c r="BM299">
        <f>IF(AND(VLOOKUP(BM$1,main!$A$3:$H$102,7,FALSE)=main!$G$105,VLOOKUP(BM$1,main!$A$3:$H$102,5,FALSE)-VLOOKUP($A299,main!$A$3:$H$102,6,FALSE)&gt;=main!$D$103+VLOOKUP(VLOOKUP(BM$1,main!$A$3:$I$102,7,FALSE),main!$K$26:$Q$29,5,FALSE)),1,0)</f>
        <v>0</v>
      </c>
      <c r="BN299">
        <f>IF(AND(VLOOKUP(BN$1,main!$A$3:$H$102,7,FALSE)=main!$G$105,VLOOKUP(BN$1,main!$A$3:$H$102,5,FALSE)-VLOOKUP($A299,main!$A$3:$H$102,6,FALSE)&gt;=main!$D$103+VLOOKUP(VLOOKUP(BN$1,main!$A$3:$I$102,7,FALSE),main!$K$26:$Q$29,5,FALSE)),1,0)</f>
        <v>0</v>
      </c>
      <c r="BO299">
        <f>IF(AND(VLOOKUP(BO$1,main!$A$3:$H$102,7,FALSE)=main!$G$105,VLOOKUP(BO$1,main!$A$3:$H$102,5,FALSE)-VLOOKUP($A299,main!$A$3:$H$102,6,FALSE)&gt;=main!$D$103+VLOOKUP(VLOOKUP(BO$1,main!$A$3:$I$102,7,FALSE),main!$K$26:$Q$29,5,FALSE)),1,0)</f>
        <v>0</v>
      </c>
      <c r="BP299">
        <f>IF(AND(VLOOKUP(BP$1,main!$A$3:$H$102,7,FALSE)=main!$G$105,VLOOKUP(BP$1,main!$A$3:$H$102,5,FALSE)-VLOOKUP($A299,main!$A$3:$H$102,6,FALSE)&gt;=main!$D$103+VLOOKUP(VLOOKUP(BP$1,main!$A$3:$I$102,7,FALSE),main!$K$26:$Q$29,5,FALSE)),1,0)</f>
        <v>0</v>
      </c>
      <c r="BQ299">
        <f>IF(AND(VLOOKUP(BQ$1,main!$A$3:$H$102,7,FALSE)=main!$G$105,VLOOKUP(BQ$1,main!$A$3:$H$102,5,FALSE)-VLOOKUP($A299,main!$A$3:$H$102,6,FALSE)&gt;=main!$D$103+VLOOKUP(VLOOKUP(BQ$1,main!$A$3:$I$102,7,FALSE),main!$K$26:$Q$29,5,FALSE)),1,0)</f>
        <v>0</v>
      </c>
      <c r="BR299">
        <f>IF(AND(VLOOKUP(BR$1,main!$A$3:$H$102,7,FALSE)=main!$G$105,VLOOKUP(BR$1,main!$A$3:$H$102,5,FALSE)-VLOOKUP($A299,main!$A$3:$H$102,6,FALSE)&gt;=main!$D$103+VLOOKUP(VLOOKUP(BR$1,main!$A$3:$I$102,7,FALSE),main!$K$26:$Q$29,5,FALSE)),1,0)</f>
        <v>0</v>
      </c>
      <c r="BS299">
        <f>IF(AND(VLOOKUP(BS$1,main!$A$3:$H$102,7,FALSE)=main!$G$105,VLOOKUP(BS$1,main!$A$3:$H$102,5,FALSE)-VLOOKUP($A299,main!$A$3:$H$102,6,FALSE)&gt;=main!$D$103+VLOOKUP(VLOOKUP(BS$1,main!$A$3:$I$102,7,FALSE),main!$K$26:$Q$29,5,FALSE)),1,0)</f>
        <v>0</v>
      </c>
      <c r="BT299">
        <f>IF(AND(VLOOKUP(BT$1,main!$A$3:$H$102,7,FALSE)=main!$G$105,VLOOKUP(BT$1,main!$A$3:$H$102,5,FALSE)-VLOOKUP($A299,main!$A$3:$H$102,6,FALSE)&gt;=main!$D$103+VLOOKUP(VLOOKUP(BT$1,main!$A$3:$I$102,7,FALSE),main!$K$26:$Q$29,5,FALSE)),1,0)</f>
        <v>0</v>
      </c>
      <c r="BU299">
        <f>IF(AND(VLOOKUP(BU$1,main!$A$3:$H$102,7,FALSE)=main!$G$105,VLOOKUP(BU$1,main!$A$3:$H$102,5,FALSE)-VLOOKUP($A299,main!$A$3:$H$102,6,FALSE)&gt;=main!$D$103+VLOOKUP(VLOOKUP(BU$1,main!$A$3:$I$102,7,FALSE),main!$K$26:$Q$29,5,FALSE)),1,0)</f>
        <v>0</v>
      </c>
      <c r="BV299">
        <f>IF(AND(VLOOKUP(BV$1,main!$A$3:$H$102,7,FALSE)=main!$G$105,VLOOKUP(BV$1,main!$A$3:$H$102,5,FALSE)-VLOOKUP($A299,main!$A$3:$H$102,6,FALSE)&gt;=main!$D$103+VLOOKUP(VLOOKUP(BV$1,main!$A$3:$I$102,7,FALSE),main!$K$26:$Q$29,5,FALSE)),1,0)</f>
        <v>0</v>
      </c>
      <c r="BW299">
        <f>IF(AND(VLOOKUP(BW$1,main!$A$3:$H$102,7,FALSE)=main!$G$105,VLOOKUP(BW$1,main!$A$3:$H$102,5,FALSE)-VLOOKUP($A299,main!$A$3:$H$102,6,FALSE)&gt;=main!$D$103+VLOOKUP(VLOOKUP(BW$1,main!$A$3:$I$102,7,FALSE),main!$K$26:$Q$29,5,FALSE)),1,0)</f>
        <v>0</v>
      </c>
      <c r="BX299">
        <f>IF(AND(VLOOKUP(BX$1,main!$A$3:$H$102,7,FALSE)=main!$G$105,VLOOKUP(BX$1,main!$A$3:$H$102,5,FALSE)-VLOOKUP($A299,main!$A$3:$H$102,6,FALSE)&gt;=main!$D$103+VLOOKUP(VLOOKUP(BX$1,main!$A$3:$I$102,7,FALSE),main!$K$26:$Q$29,5,FALSE)),1,0)</f>
        <v>0</v>
      </c>
      <c r="BY299">
        <f>IF(AND(VLOOKUP(BY$1,main!$A$3:$H$102,7,FALSE)=main!$G$105,VLOOKUP(BY$1,main!$A$3:$H$102,5,FALSE)-VLOOKUP($A299,main!$A$3:$H$102,6,FALSE)&gt;=main!$D$103+VLOOKUP(VLOOKUP(BY$1,main!$A$3:$I$102,7,FALSE),main!$K$26:$Q$29,5,FALSE)),1,0)</f>
        <v>0</v>
      </c>
      <c r="BZ299">
        <f>IF(AND(VLOOKUP(BZ$1,main!$A$3:$H$102,7,FALSE)=main!$G$105,VLOOKUP(BZ$1,main!$A$3:$H$102,5,FALSE)-VLOOKUP($A299,main!$A$3:$H$102,6,FALSE)&gt;=main!$D$103+VLOOKUP(VLOOKUP(BZ$1,main!$A$3:$I$102,7,FALSE),main!$K$26:$Q$29,5,FALSE)),1,0)</f>
        <v>0</v>
      </c>
      <c r="CA299">
        <f>IF(AND(VLOOKUP(CA$1,main!$A$3:$H$102,7,FALSE)=main!$G$105,VLOOKUP(CA$1,main!$A$3:$H$102,5,FALSE)-VLOOKUP($A299,main!$A$3:$H$102,6,FALSE)&gt;=main!$D$103+VLOOKUP(VLOOKUP(CA$1,main!$A$3:$I$102,7,FALSE),main!$K$26:$Q$29,5,FALSE)),1,0)</f>
        <v>0</v>
      </c>
      <c r="CB299">
        <f>IF(AND(VLOOKUP(CB$1,main!$A$3:$H$102,7,FALSE)=main!$G$105,VLOOKUP(CB$1,main!$A$3:$H$102,5,FALSE)-VLOOKUP($A299,main!$A$3:$H$102,6,FALSE)&gt;=main!$D$103+VLOOKUP(VLOOKUP(CB$1,main!$A$3:$I$102,7,FALSE),main!$K$26:$Q$29,5,FALSE)),1,0)</f>
        <v>0</v>
      </c>
      <c r="CC299">
        <f>IF(AND(VLOOKUP(CC$1,main!$A$3:$H$102,7,FALSE)=main!$G$105,VLOOKUP(CC$1,main!$A$3:$H$102,5,FALSE)-VLOOKUP($A299,main!$A$3:$H$102,6,FALSE)&gt;=main!$D$103+VLOOKUP(VLOOKUP(CC$1,main!$A$3:$I$102,7,FALSE),main!$K$26:$Q$29,5,FALSE)),1,0)</f>
        <v>0</v>
      </c>
      <c r="CD299">
        <f>IF(AND(VLOOKUP(CD$1,main!$A$3:$H$102,7,FALSE)=main!$G$105,VLOOKUP(CD$1,main!$A$3:$H$102,5,FALSE)-VLOOKUP($A299,main!$A$3:$H$102,6,FALSE)&gt;=main!$D$103+VLOOKUP(VLOOKUP(CD$1,main!$A$3:$I$102,7,FALSE),main!$K$26:$Q$29,5,FALSE)),1,0)</f>
        <v>0</v>
      </c>
      <c r="CE299">
        <f>IF(AND(VLOOKUP(CE$1,main!$A$3:$H$102,7,FALSE)=main!$G$105,VLOOKUP(CE$1,main!$A$3:$H$102,5,FALSE)-VLOOKUP($A299,main!$A$3:$H$102,6,FALSE)&gt;=main!$D$103+VLOOKUP(VLOOKUP(CE$1,main!$A$3:$I$102,7,FALSE),main!$K$26:$Q$29,5,FALSE)),1,0)</f>
        <v>0</v>
      </c>
      <c r="CF299">
        <f>IF(AND(VLOOKUP(CF$1,main!$A$3:$H$102,7,FALSE)=main!$G$105,VLOOKUP(CF$1,main!$A$3:$H$102,5,FALSE)-VLOOKUP($A299,main!$A$3:$H$102,6,FALSE)&gt;=main!$D$103+VLOOKUP(VLOOKUP(CF$1,main!$A$3:$I$102,7,FALSE),main!$K$26:$Q$29,5,FALSE)),1,0)</f>
        <v>0</v>
      </c>
      <c r="CG299">
        <f>IF(AND(VLOOKUP(CG$1,main!$A$3:$H$102,7,FALSE)=main!$G$105,VLOOKUP(CG$1,main!$A$3:$H$102,5,FALSE)-VLOOKUP($A299,main!$A$3:$H$102,6,FALSE)&gt;=main!$D$103+VLOOKUP(VLOOKUP(CG$1,main!$A$3:$I$102,7,FALSE),main!$K$26:$Q$29,5,FALSE)),1,0)</f>
        <v>0</v>
      </c>
      <c r="CH299">
        <f>IF(AND(VLOOKUP(CH$1,main!$A$3:$H$102,7,FALSE)=main!$G$105,VLOOKUP(CH$1,main!$A$3:$H$102,5,FALSE)-VLOOKUP($A299,main!$A$3:$H$102,6,FALSE)&gt;=main!$D$103+VLOOKUP(VLOOKUP(CH$1,main!$A$3:$I$102,7,FALSE),main!$K$26:$Q$29,5,FALSE)),1,0)</f>
        <v>0</v>
      </c>
      <c r="CI299">
        <f>IF(AND(VLOOKUP(CI$1,main!$A$3:$H$102,7,FALSE)=main!$G$105,VLOOKUP(CI$1,main!$A$3:$H$102,5,FALSE)-VLOOKUP($A299,main!$A$3:$H$102,6,FALSE)&gt;=main!$D$103+VLOOKUP(VLOOKUP(CI$1,main!$A$3:$I$102,7,FALSE),main!$K$26:$Q$29,5,FALSE)),1,0)</f>
        <v>0</v>
      </c>
      <c r="CJ299">
        <f>IF(AND(VLOOKUP(CJ$1,main!$A$3:$H$102,7,FALSE)=main!$G$105,VLOOKUP(CJ$1,main!$A$3:$H$102,5,FALSE)-VLOOKUP($A299,main!$A$3:$H$102,6,FALSE)&gt;=main!$D$103+VLOOKUP(VLOOKUP(CJ$1,main!$A$3:$I$102,7,FALSE),main!$K$26:$Q$29,5,FALSE)),1,0)</f>
        <v>0</v>
      </c>
      <c r="CK299">
        <f>IF(AND(VLOOKUP(CK$1,main!$A$3:$H$102,7,FALSE)=main!$G$105,VLOOKUP(CK$1,main!$A$3:$H$102,5,FALSE)-VLOOKUP($A299,main!$A$3:$H$102,6,FALSE)&gt;=main!$D$103+VLOOKUP(VLOOKUP(CK$1,main!$A$3:$I$102,7,FALSE),main!$K$26:$Q$29,5,FALSE)),1,0)</f>
        <v>0</v>
      </c>
      <c r="CL299">
        <f>IF(AND(VLOOKUP(CL$1,main!$A$3:$H$102,7,FALSE)=main!$G$105,VLOOKUP(CL$1,main!$A$3:$H$102,5,FALSE)-VLOOKUP($A299,main!$A$3:$H$102,6,FALSE)&gt;=main!$D$103+VLOOKUP(VLOOKUP(CL$1,main!$A$3:$I$102,7,FALSE),main!$K$26:$Q$29,5,FALSE)),1,0)</f>
        <v>0</v>
      </c>
      <c r="CM299">
        <f>IF(AND(VLOOKUP(CM$1,main!$A$3:$H$102,7,FALSE)=main!$G$105,VLOOKUP(CM$1,main!$A$3:$H$102,5,FALSE)-VLOOKUP($A299,main!$A$3:$H$102,6,FALSE)&gt;=main!$D$103+VLOOKUP(VLOOKUP(CM$1,main!$A$3:$I$102,7,FALSE),main!$K$26:$Q$29,5,FALSE)),1,0)</f>
        <v>0</v>
      </c>
      <c r="CN299">
        <f>IF(AND(VLOOKUP(CN$1,main!$A$3:$H$102,7,FALSE)=main!$G$105,VLOOKUP(CN$1,main!$A$3:$H$102,5,FALSE)-VLOOKUP($A299,main!$A$3:$H$102,6,FALSE)&gt;=main!$D$103+VLOOKUP(VLOOKUP(CN$1,main!$A$3:$I$102,7,FALSE),main!$K$26:$Q$29,5,FALSE)),1,0)</f>
        <v>0</v>
      </c>
      <c r="CO299">
        <f>IF(AND(VLOOKUP(CO$1,main!$A$3:$H$102,7,FALSE)=main!$G$105,VLOOKUP(CO$1,main!$A$3:$H$102,5,FALSE)-VLOOKUP($A299,main!$A$3:$H$102,6,FALSE)&gt;=main!$D$103+VLOOKUP(VLOOKUP(CO$1,main!$A$3:$I$102,7,FALSE),main!$K$26:$Q$29,5,FALSE)),1,0)</f>
        <v>0</v>
      </c>
      <c r="CP299">
        <f>IF(AND(VLOOKUP(CP$1,main!$A$3:$H$102,7,FALSE)=main!$G$105,VLOOKUP(CP$1,main!$A$3:$H$102,5,FALSE)-VLOOKUP($A299,main!$A$3:$H$102,6,FALSE)&gt;=main!$D$103+VLOOKUP(VLOOKUP(CP$1,main!$A$3:$I$102,7,FALSE),main!$K$26:$Q$29,5,FALSE)),1,0)</f>
        <v>0</v>
      </c>
      <c r="CQ299">
        <f>IF(AND(VLOOKUP(CQ$1,main!$A$3:$H$102,7,FALSE)=main!$G$105,VLOOKUP(CQ$1,main!$A$3:$H$102,5,FALSE)-VLOOKUP($A299,main!$A$3:$H$102,6,FALSE)&gt;=main!$D$103+VLOOKUP(VLOOKUP(CQ$1,main!$A$3:$I$102,7,FALSE),main!$K$26:$Q$29,5,FALSE)),1,0)</f>
        <v>0</v>
      </c>
      <c r="CR299">
        <f>IF(AND(VLOOKUP(CR$1,main!$A$3:$H$102,7,FALSE)=main!$G$105,VLOOKUP(CR$1,main!$A$3:$H$102,5,FALSE)-VLOOKUP($A299,main!$A$3:$H$102,6,FALSE)&gt;=main!$D$103+VLOOKUP(VLOOKUP(CR$1,main!$A$3:$I$102,7,FALSE),main!$K$26:$Q$29,5,FALSE)),1,0)</f>
        <v>0</v>
      </c>
      <c r="CS299">
        <f>IF(AND(VLOOKUP(CS$1,main!$A$3:$H$102,7,FALSE)=main!$G$105,VLOOKUP(CS$1,main!$A$3:$H$102,5,FALSE)-VLOOKUP($A299,main!$A$3:$H$102,6,FALSE)&gt;=main!$D$103+VLOOKUP(VLOOKUP(CS$1,main!$A$3:$I$102,7,FALSE),main!$K$26:$Q$29,5,FALSE)),1,0)</f>
        <v>0</v>
      </c>
      <c r="CT299">
        <f>IF(AND(VLOOKUP(CT$1,main!$A$3:$H$102,7,FALSE)=main!$G$105,VLOOKUP(CT$1,main!$A$3:$H$102,5,FALSE)-VLOOKUP($A299,main!$A$3:$H$102,6,FALSE)&gt;=main!$D$103+VLOOKUP(VLOOKUP(CT$1,main!$A$3:$I$102,7,FALSE),main!$K$26:$Q$29,5,FALSE)),1,0)</f>
        <v>0</v>
      </c>
      <c r="CU299">
        <f>IF(AND(VLOOKUP(CU$1,main!$A$3:$H$102,7,FALSE)=main!$G$105,VLOOKUP(CU$1,main!$A$3:$H$102,5,FALSE)-VLOOKUP($A299,main!$A$3:$H$102,6,FALSE)&gt;=main!$D$103+VLOOKUP(VLOOKUP(CU$1,main!$A$3:$I$102,7,FALSE),main!$K$26:$Q$29,5,FALSE)),1,0)</f>
        <v>0</v>
      </c>
      <c r="CV299">
        <f>IF(AND(VLOOKUP(CV$1,main!$A$3:$H$102,7,FALSE)=main!$G$105,VLOOKUP(CV$1,main!$A$3:$H$102,5,FALSE)-VLOOKUP($A299,main!$A$3:$H$102,6,FALSE)&gt;=main!$D$103+VLOOKUP(VLOOKUP(CV$1,main!$A$3:$I$102,7,FALSE),main!$K$26:$Q$29,5,FALSE)),1,0)</f>
        <v>0</v>
      </c>
      <c r="CW299">
        <f>IF(AND(VLOOKUP(CW$1,main!$A$3:$H$102,7,FALSE)=main!$G$105,VLOOKUP(CW$1,main!$A$3:$H$102,5,FALSE)-VLOOKUP($A299,main!$A$3:$H$102,6,FALSE)&gt;=main!$D$103+VLOOKUP(VLOOKUP(CW$1,main!$A$3:$I$102,7,FALSE),main!$K$26:$Q$29,5,FALSE)),1,0)</f>
        <v>0</v>
      </c>
      <c r="CX299">
        <f>IF(AND(VLOOKUP(CX$1,main!$A$3:$H$102,7,FALSE)=main!$G$105,VLOOKUP(CX$1,main!$A$3:$H$102,5,FALSE)-VLOOKUP($A299,main!$A$3:$H$102,6,FALSE)&gt;=main!$D$103+VLOOKUP(VLOOKUP(CX$1,main!$A$3:$I$102,7,FALSE),main!$K$26:$Q$29,5,FALSE)),1,0)</f>
        <v>0</v>
      </c>
    </row>
    <row r="300" spans="1:102" x14ac:dyDescent="0.25">
      <c r="A300" s="1">
        <v>96</v>
      </c>
      <c r="B300">
        <v>0</v>
      </c>
      <c r="C300">
        <f>IF(AND(VLOOKUP(C$1,main!$A$3:$H$102,7,FALSE)=main!$G$105,VLOOKUP(C$1,main!$A$3:$H$102,5,FALSE)-VLOOKUP($A300,main!$A$3:$H$102,6,FALSE)&gt;=main!$D$103+VLOOKUP(VLOOKUP(C$1,main!$A$3:$I$102,7,FALSE),main!$K$26:$Q$29,5,FALSE)),1,0)</f>
        <v>0</v>
      </c>
      <c r="D300">
        <f>IF(AND(VLOOKUP(D$1,main!$A$3:$H$102,7,FALSE)=main!$G$105,VLOOKUP(D$1,main!$A$3:$H$102,5,FALSE)-VLOOKUP($A300,main!$A$3:$H$102,6,FALSE)&gt;=main!$D$103+VLOOKUP(VLOOKUP(D$1,main!$A$3:$I$102,7,FALSE),main!$K$26:$Q$29,5,FALSE)),1,0)</f>
        <v>0</v>
      </c>
      <c r="E300">
        <f>IF(AND(VLOOKUP(E$1,main!$A$3:$H$102,7,FALSE)=main!$G$105,VLOOKUP(E$1,main!$A$3:$H$102,5,FALSE)-VLOOKUP($A300,main!$A$3:$H$102,6,FALSE)&gt;=main!$D$103+VLOOKUP(VLOOKUP(E$1,main!$A$3:$I$102,7,FALSE),main!$K$26:$Q$29,5,FALSE)),1,0)</f>
        <v>0</v>
      </c>
      <c r="F300">
        <f>IF(AND(VLOOKUP(F$1,main!$A$3:$H$102,7,FALSE)=main!$G$105,VLOOKUP(F$1,main!$A$3:$H$102,5,FALSE)-VLOOKUP($A300,main!$A$3:$H$102,6,FALSE)&gt;=main!$D$103+VLOOKUP(VLOOKUP(F$1,main!$A$3:$I$102,7,FALSE),main!$K$26:$Q$29,5,FALSE)),1,0)</f>
        <v>0</v>
      </c>
      <c r="G300">
        <f>IF(AND(VLOOKUP(G$1,main!$A$3:$H$102,7,FALSE)=main!$G$105,VLOOKUP(G$1,main!$A$3:$H$102,5,FALSE)-VLOOKUP($A300,main!$A$3:$H$102,6,FALSE)&gt;=main!$D$103+VLOOKUP(VLOOKUP(G$1,main!$A$3:$I$102,7,FALSE),main!$K$26:$Q$29,5,FALSE)),1,0)</f>
        <v>0</v>
      </c>
      <c r="H300">
        <f>IF(AND(VLOOKUP(H$1,main!$A$3:$H$102,7,FALSE)=main!$G$105,VLOOKUP(H$1,main!$A$3:$H$102,5,FALSE)-VLOOKUP($A300,main!$A$3:$H$102,6,FALSE)&gt;=main!$D$103+VLOOKUP(VLOOKUP(H$1,main!$A$3:$I$102,7,FALSE),main!$K$26:$Q$29,5,FALSE)),1,0)</f>
        <v>0</v>
      </c>
      <c r="I300">
        <f>IF(AND(VLOOKUP(I$1,main!$A$3:$H$102,7,FALSE)=main!$G$105,VLOOKUP(I$1,main!$A$3:$H$102,5,FALSE)-VLOOKUP($A300,main!$A$3:$H$102,6,FALSE)&gt;=main!$D$103+VLOOKUP(VLOOKUP(I$1,main!$A$3:$I$102,7,FALSE),main!$K$26:$Q$29,5,FALSE)),1,0)</f>
        <v>0</v>
      </c>
      <c r="J300">
        <f>IF(AND(VLOOKUP(J$1,main!$A$3:$H$102,7,FALSE)=main!$G$105,VLOOKUP(J$1,main!$A$3:$H$102,5,FALSE)-VLOOKUP($A300,main!$A$3:$H$102,6,FALSE)&gt;=main!$D$103+VLOOKUP(VLOOKUP(J$1,main!$A$3:$I$102,7,FALSE),main!$K$26:$Q$29,5,FALSE)),1,0)</f>
        <v>0</v>
      </c>
      <c r="K300">
        <f>IF(AND(VLOOKUP(K$1,main!$A$3:$H$102,7,FALSE)=main!$G$105,VLOOKUP(K$1,main!$A$3:$H$102,5,FALSE)-VLOOKUP($A300,main!$A$3:$H$102,6,FALSE)&gt;=main!$D$103+VLOOKUP(VLOOKUP(K$1,main!$A$3:$I$102,7,FALSE),main!$K$26:$Q$29,5,FALSE)),1,0)</f>
        <v>0</v>
      </c>
      <c r="L300">
        <f>IF(AND(VLOOKUP(L$1,main!$A$3:$H$102,7,FALSE)=main!$G$105,VLOOKUP(L$1,main!$A$3:$H$102,5,FALSE)-VLOOKUP($A300,main!$A$3:$H$102,6,FALSE)&gt;=main!$D$103+VLOOKUP(VLOOKUP(L$1,main!$A$3:$I$102,7,FALSE),main!$K$26:$Q$29,5,FALSE)),1,0)</f>
        <v>0</v>
      </c>
      <c r="M300">
        <f>IF(AND(VLOOKUP(M$1,main!$A$3:$H$102,7,FALSE)=main!$G$105,VLOOKUP(M$1,main!$A$3:$H$102,5,FALSE)-VLOOKUP($A300,main!$A$3:$H$102,6,FALSE)&gt;=main!$D$103+VLOOKUP(VLOOKUP(M$1,main!$A$3:$I$102,7,FALSE),main!$K$26:$Q$29,5,FALSE)),1,0)</f>
        <v>0</v>
      </c>
      <c r="N300">
        <f>IF(AND(VLOOKUP(N$1,main!$A$3:$H$102,7,FALSE)=main!$G$105,VLOOKUP(N$1,main!$A$3:$H$102,5,FALSE)-VLOOKUP($A300,main!$A$3:$H$102,6,FALSE)&gt;=main!$D$103+VLOOKUP(VLOOKUP(N$1,main!$A$3:$I$102,7,FALSE),main!$K$26:$Q$29,5,FALSE)),1,0)</f>
        <v>0</v>
      </c>
      <c r="O300">
        <f>IF(AND(VLOOKUP(O$1,main!$A$3:$H$102,7,FALSE)=main!$G$105,VLOOKUP(O$1,main!$A$3:$H$102,5,FALSE)-VLOOKUP($A300,main!$A$3:$H$102,6,FALSE)&gt;=main!$D$103+VLOOKUP(VLOOKUP(O$1,main!$A$3:$I$102,7,FALSE),main!$K$26:$Q$29,5,FALSE)),1,0)</f>
        <v>0</v>
      </c>
      <c r="P300">
        <f>IF(AND(VLOOKUP(P$1,main!$A$3:$H$102,7,FALSE)=main!$G$105,VLOOKUP(P$1,main!$A$3:$H$102,5,FALSE)-VLOOKUP($A300,main!$A$3:$H$102,6,FALSE)&gt;=main!$D$103+VLOOKUP(VLOOKUP(P$1,main!$A$3:$I$102,7,FALSE),main!$K$26:$Q$29,5,FALSE)),1,0)</f>
        <v>0</v>
      </c>
      <c r="Q300">
        <f>IF(AND(VLOOKUP(Q$1,main!$A$3:$H$102,7,FALSE)=main!$G$105,VLOOKUP(Q$1,main!$A$3:$H$102,5,FALSE)-VLOOKUP($A300,main!$A$3:$H$102,6,FALSE)&gt;=main!$D$103+VLOOKUP(VLOOKUP(Q$1,main!$A$3:$I$102,7,FALSE),main!$K$26:$Q$29,5,FALSE)),1,0)</f>
        <v>0</v>
      </c>
      <c r="R300">
        <f>IF(AND(VLOOKUP(R$1,main!$A$3:$H$102,7,FALSE)=main!$G$105,VLOOKUP(R$1,main!$A$3:$H$102,5,FALSE)-VLOOKUP($A300,main!$A$3:$H$102,6,FALSE)&gt;=main!$D$103+VLOOKUP(VLOOKUP(R$1,main!$A$3:$I$102,7,FALSE),main!$K$26:$Q$29,5,FALSE)),1,0)</f>
        <v>0</v>
      </c>
      <c r="S300">
        <f>IF(AND(VLOOKUP(S$1,main!$A$3:$H$102,7,FALSE)=main!$G$105,VLOOKUP(S$1,main!$A$3:$H$102,5,FALSE)-VLOOKUP($A300,main!$A$3:$H$102,6,FALSE)&gt;=main!$D$103+VLOOKUP(VLOOKUP(S$1,main!$A$3:$I$102,7,FALSE),main!$K$26:$Q$29,5,FALSE)),1,0)</f>
        <v>0</v>
      </c>
      <c r="T300">
        <f>IF(AND(VLOOKUP(T$1,main!$A$3:$H$102,7,FALSE)=main!$G$105,VLOOKUP(T$1,main!$A$3:$H$102,5,FALSE)-VLOOKUP($A300,main!$A$3:$H$102,6,FALSE)&gt;=main!$D$103+VLOOKUP(VLOOKUP(T$1,main!$A$3:$I$102,7,FALSE),main!$K$26:$Q$29,5,FALSE)),1,0)</f>
        <v>0</v>
      </c>
      <c r="U300">
        <f>IF(AND(VLOOKUP(U$1,main!$A$3:$H$102,7,FALSE)=main!$G$105,VLOOKUP(U$1,main!$A$3:$H$102,5,FALSE)-VLOOKUP($A300,main!$A$3:$H$102,6,FALSE)&gt;=main!$D$103+VLOOKUP(VLOOKUP(U$1,main!$A$3:$I$102,7,FALSE),main!$K$26:$Q$29,5,FALSE)),1,0)</f>
        <v>0</v>
      </c>
      <c r="V300">
        <f>IF(AND(VLOOKUP(V$1,main!$A$3:$H$102,7,FALSE)=main!$G$105,VLOOKUP(V$1,main!$A$3:$H$102,5,FALSE)-VLOOKUP($A300,main!$A$3:$H$102,6,FALSE)&gt;=main!$D$103+VLOOKUP(VLOOKUP(V$1,main!$A$3:$I$102,7,FALSE),main!$K$26:$Q$29,5,FALSE)),1,0)</f>
        <v>0</v>
      </c>
      <c r="W300">
        <f>IF(AND(VLOOKUP(W$1,main!$A$3:$H$102,7,FALSE)=main!$G$105,VLOOKUP(W$1,main!$A$3:$H$102,5,FALSE)-VLOOKUP($A300,main!$A$3:$H$102,6,FALSE)&gt;=main!$D$103+VLOOKUP(VLOOKUP(W$1,main!$A$3:$I$102,7,FALSE),main!$K$26:$Q$29,5,FALSE)),1,0)</f>
        <v>0</v>
      </c>
      <c r="X300">
        <f>IF(AND(VLOOKUP(X$1,main!$A$3:$H$102,7,FALSE)=main!$G$105,VLOOKUP(X$1,main!$A$3:$H$102,5,FALSE)-VLOOKUP($A300,main!$A$3:$H$102,6,FALSE)&gt;=main!$D$103+VLOOKUP(VLOOKUP(X$1,main!$A$3:$I$102,7,FALSE),main!$K$26:$Q$29,5,FALSE)),1,0)</f>
        <v>0</v>
      </c>
      <c r="Y300">
        <f>IF(AND(VLOOKUP(Y$1,main!$A$3:$H$102,7,FALSE)=main!$G$105,VLOOKUP(Y$1,main!$A$3:$H$102,5,FALSE)-VLOOKUP($A300,main!$A$3:$H$102,6,FALSE)&gt;=main!$D$103+VLOOKUP(VLOOKUP(Y$1,main!$A$3:$I$102,7,FALSE),main!$K$26:$Q$29,5,FALSE)),1,0)</f>
        <v>0</v>
      </c>
      <c r="Z300">
        <f>IF(AND(VLOOKUP(Z$1,main!$A$3:$H$102,7,FALSE)=main!$G$105,VLOOKUP(Z$1,main!$A$3:$H$102,5,FALSE)-VLOOKUP($A300,main!$A$3:$H$102,6,FALSE)&gt;=main!$D$103+VLOOKUP(VLOOKUP(Z$1,main!$A$3:$I$102,7,FALSE),main!$K$26:$Q$29,5,FALSE)),1,0)</f>
        <v>0</v>
      </c>
      <c r="AA300">
        <f>IF(AND(VLOOKUP(AA$1,main!$A$3:$H$102,7,FALSE)=main!$G$105,VLOOKUP(AA$1,main!$A$3:$H$102,5,FALSE)-VLOOKUP($A300,main!$A$3:$H$102,6,FALSE)&gt;=main!$D$103+VLOOKUP(VLOOKUP(AA$1,main!$A$3:$I$102,7,FALSE),main!$K$26:$Q$29,5,FALSE)),1,0)</f>
        <v>0</v>
      </c>
      <c r="AB300">
        <f>IF(AND(VLOOKUP(AB$1,main!$A$3:$H$102,7,FALSE)=main!$G$105,VLOOKUP(AB$1,main!$A$3:$H$102,5,FALSE)-VLOOKUP($A300,main!$A$3:$H$102,6,FALSE)&gt;=main!$D$103+VLOOKUP(VLOOKUP(AB$1,main!$A$3:$I$102,7,FALSE),main!$K$26:$Q$29,5,FALSE)),1,0)</f>
        <v>0</v>
      </c>
      <c r="AC300">
        <f>IF(AND(VLOOKUP(AC$1,main!$A$3:$H$102,7,FALSE)=main!$G$105,VLOOKUP(AC$1,main!$A$3:$H$102,5,FALSE)-VLOOKUP($A300,main!$A$3:$H$102,6,FALSE)&gt;=main!$D$103+VLOOKUP(VLOOKUP(AC$1,main!$A$3:$I$102,7,FALSE),main!$K$26:$Q$29,5,FALSE)),1,0)</f>
        <v>0</v>
      </c>
      <c r="AD300">
        <f>IF(AND(VLOOKUP(AD$1,main!$A$3:$H$102,7,FALSE)=main!$G$105,VLOOKUP(AD$1,main!$A$3:$H$102,5,FALSE)-VLOOKUP($A300,main!$A$3:$H$102,6,FALSE)&gt;=main!$D$103+VLOOKUP(VLOOKUP(AD$1,main!$A$3:$I$102,7,FALSE),main!$K$26:$Q$29,5,FALSE)),1,0)</f>
        <v>0</v>
      </c>
      <c r="AE300">
        <f>IF(AND(VLOOKUP(AE$1,main!$A$3:$H$102,7,FALSE)=main!$G$105,VLOOKUP(AE$1,main!$A$3:$H$102,5,FALSE)-VLOOKUP($A300,main!$A$3:$H$102,6,FALSE)&gt;=main!$D$103+VLOOKUP(VLOOKUP(AE$1,main!$A$3:$I$102,7,FALSE),main!$K$26:$Q$29,5,FALSE)),1,0)</f>
        <v>0</v>
      </c>
      <c r="AF300">
        <f>IF(AND(VLOOKUP(AF$1,main!$A$3:$H$102,7,FALSE)=main!$G$105,VLOOKUP(AF$1,main!$A$3:$H$102,5,FALSE)-VLOOKUP($A300,main!$A$3:$H$102,6,FALSE)&gt;=main!$D$103+VLOOKUP(VLOOKUP(AF$1,main!$A$3:$I$102,7,FALSE),main!$K$26:$Q$29,5,FALSE)),1,0)</f>
        <v>0</v>
      </c>
      <c r="AG300">
        <f>IF(AND(VLOOKUP(AG$1,main!$A$3:$H$102,7,FALSE)=main!$G$105,VLOOKUP(AG$1,main!$A$3:$H$102,5,FALSE)-VLOOKUP($A300,main!$A$3:$H$102,6,FALSE)&gt;=main!$D$103+VLOOKUP(VLOOKUP(AG$1,main!$A$3:$I$102,7,FALSE),main!$K$26:$Q$29,5,FALSE)),1,0)</f>
        <v>0</v>
      </c>
      <c r="AH300">
        <f>IF(AND(VLOOKUP(AH$1,main!$A$3:$H$102,7,FALSE)=main!$G$105,VLOOKUP(AH$1,main!$A$3:$H$102,5,FALSE)-VLOOKUP($A300,main!$A$3:$H$102,6,FALSE)&gt;=main!$D$103+VLOOKUP(VLOOKUP(AH$1,main!$A$3:$I$102,7,FALSE),main!$K$26:$Q$29,5,FALSE)),1,0)</f>
        <v>0</v>
      </c>
      <c r="AI300">
        <f>IF(AND(VLOOKUP(AI$1,main!$A$3:$H$102,7,FALSE)=main!$G$105,VLOOKUP(AI$1,main!$A$3:$H$102,5,FALSE)-VLOOKUP($A300,main!$A$3:$H$102,6,FALSE)&gt;=main!$D$103+VLOOKUP(VLOOKUP(AI$1,main!$A$3:$I$102,7,FALSE),main!$K$26:$Q$29,5,FALSE)),1,0)</f>
        <v>1</v>
      </c>
      <c r="AJ300">
        <f>IF(AND(VLOOKUP(AJ$1,main!$A$3:$H$102,7,FALSE)=main!$G$105,VLOOKUP(AJ$1,main!$A$3:$H$102,5,FALSE)-VLOOKUP($A300,main!$A$3:$H$102,6,FALSE)&gt;=main!$D$103+VLOOKUP(VLOOKUP(AJ$1,main!$A$3:$I$102,7,FALSE),main!$K$26:$Q$29,5,FALSE)),1,0)</f>
        <v>1</v>
      </c>
      <c r="AK300">
        <f>IF(AND(VLOOKUP(AK$1,main!$A$3:$H$102,7,FALSE)=main!$G$105,VLOOKUP(AK$1,main!$A$3:$H$102,5,FALSE)-VLOOKUP($A300,main!$A$3:$H$102,6,FALSE)&gt;=main!$D$103+VLOOKUP(VLOOKUP(AK$1,main!$A$3:$I$102,7,FALSE),main!$K$26:$Q$29,5,FALSE)),1,0)</f>
        <v>1</v>
      </c>
      <c r="AL300">
        <f>IF(AND(VLOOKUP(AL$1,main!$A$3:$H$102,7,FALSE)=main!$G$105,VLOOKUP(AL$1,main!$A$3:$H$102,5,FALSE)-VLOOKUP($A300,main!$A$3:$H$102,6,FALSE)&gt;=main!$D$103+VLOOKUP(VLOOKUP(AL$1,main!$A$3:$I$102,7,FALSE),main!$K$26:$Q$29,5,FALSE)),1,0)</f>
        <v>1</v>
      </c>
      <c r="AM300">
        <f>IF(AND(VLOOKUP(AM$1,main!$A$3:$H$102,7,FALSE)=main!$G$105,VLOOKUP(AM$1,main!$A$3:$H$102,5,FALSE)-VLOOKUP($A300,main!$A$3:$H$102,6,FALSE)&gt;=main!$D$103+VLOOKUP(VLOOKUP(AM$1,main!$A$3:$I$102,7,FALSE),main!$K$26:$Q$29,5,FALSE)),1,0)</f>
        <v>1</v>
      </c>
      <c r="AN300">
        <f>IF(AND(VLOOKUP(AN$1,main!$A$3:$H$102,7,FALSE)=main!$G$105,VLOOKUP(AN$1,main!$A$3:$H$102,5,FALSE)-VLOOKUP($A300,main!$A$3:$H$102,6,FALSE)&gt;=main!$D$103+VLOOKUP(VLOOKUP(AN$1,main!$A$3:$I$102,7,FALSE),main!$K$26:$Q$29,5,FALSE)),1,0)</f>
        <v>1</v>
      </c>
      <c r="AO300">
        <f>IF(AND(VLOOKUP(AO$1,main!$A$3:$H$102,7,FALSE)=main!$G$105,VLOOKUP(AO$1,main!$A$3:$H$102,5,FALSE)-VLOOKUP($A300,main!$A$3:$H$102,6,FALSE)&gt;=main!$D$103+VLOOKUP(VLOOKUP(AO$1,main!$A$3:$I$102,7,FALSE),main!$K$26:$Q$29,5,FALSE)),1,0)</f>
        <v>0</v>
      </c>
      <c r="AP300">
        <f>IF(AND(VLOOKUP(AP$1,main!$A$3:$H$102,7,FALSE)=main!$G$105,VLOOKUP(AP$1,main!$A$3:$H$102,5,FALSE)-VLOOKUP($A300,main!$A$3:$H$102,6,FALSE)&gt;=main!$D$103+VLOOKUP(VLOOKUP(AP$1,main!$A$3:$I$102,7,FALSE),main!$K$26:$Q$29,5,FALSE)),1,0)</f>
        <v>1</v>
      </c>
      <c r="AQ300">
        <f>IF(AND(VLOOKUP(AQ$1,main!$A$3:$H$102,7,FALSE)=main!$G$105,VLOOKUP(AQ$1,main!$A$3:$H$102,5,FALSE)-VLOOKUP($A300,main!$A$3:$H$102,6,FALSE)&gt;=main!$D$103+VLOOKUP(VLOOKUP(AQ$1,main!$A$3:$I$102,7,FALSE),main!$K$26:$Q$29,5,FALSE)),1,0)</f>
        <v>0</v>
      </c>
      <c r="AR300">
        <f>IF(AND(VLOOKUP(AR$1,main!$A$3:$H$102,7,FALSE)=main!$G$105,VLOOKUP(AR$1,main!$A$3:$H$102,5,FALSE)-VLOOKUP($A300,main!$A$3:$H$102,6,FALSE)&gt;=main!$D$103+VLOOKUP(VLOOKUP(AR$1,main!$A$3:$I$102,7,FALSE),main!$K$26:$Q$29,5,FALSE)),1,0)</f>
        <v>0</v>
      </c>
      <c r="AS300">
        <f>IF(AND(VLOOKUP(AS$1,main!$A$3:$H$102,7,FALSE)=main!$G$105,VLOOKUP(AS$1,main!$A$3:$H$102,5,FALSE)-VLOOKUP($A300,main!$A$3:$H$102,6,FALSE)&gt;=main!$D$103+VLOOKUP(VLOOKUP(AS$1,main!$A$3:$I$102,7,FALSE),main!$K$26:$Q$29,5,FALSE)),1,0)</f>
        <v>1</v>
      </c>
      <c r="AT300">
        <f>IF(AND(VLOOKUP(AT$1,main!$A$3:$H$102,7,FALSE)=main!$G$105,VLOOKUP(AT$1,main!$A$3:$H$102,5,FALSE)-VLOOKUP($A300,main!$A$3:$H$102,6,FALSE)&gt;=main!$D$103+VLOOKUP(VLOOKUP(AT$1,main!$A$3:$I$102,7,FALSE),main!$K$26:$Q$29,5,FALSE)),1,0)</f>
        <v>1</v>
      </c>
      <c r="AU300">
        <f>IF(AND(VLOOKUP(AU$1,main!$A$3:$H$102,7,FALSE)=main!$G$105,VLOOKUP(AU$1,main!$A$3:$H$102,5,FALSE)-VLOOKUP($A300,main!$A$3:$H$102,6,FALSE)&gt;=main!$D$103+VLOOKUP(VLOOKUP(AU$1,main!$A$3:$I$102,7,FALSE),main!$K$26:$Q$29,5,FALSE)),1,0)</f>
        <v>0</v>
      </c>
      <c r="AV300">
        <f>IF(AND(VLOOKUP(AV$1,main!$A$3:$H$102,7,FALSE)=main!$G$105,VLOOKUP(AV$1,main!$A$3:$H$102,5,FALSE)-VLOOKUP($A300,main!$A$3:$H$102,6,FALSE)&gt;=main!$D$103+VLOOKUP(VLOOKUP(AV$1,main!$A$3:$I$102,7,FALSE),main!$K$26:$Q$29,5,FALSE)),1,0)</f>
        <v>0</v>
      </c>
      <c r="AW300">
        <f>IF(AND(VLOOKUP(AW$1,main!$A$3:$H$102,7,FALSE)=main!$G$105,VLOOKUP(AW$1,main!$A$3:$H$102,5,FALSE)-VLOOKUP($A300,main!$A$3:$H$102,6,FALSE)&gt;=main!$D$103+VLOOKUP(VLOOKUP(AW$1,main!$A$3:$I$102,7,FALSE),main!$K$26:$Q$29,5,FALSE)),1,0)</f>
        <v>1</v>
      </c>
      <c r="AX300">
        <f>IF(AND(VLOOKUP(AX$1,main!$A$3:$H$102,7,FALSE)=main!$G$105,VLOOKUP(AX$1,main!$A$3:$H$102,5,FALSE)-VLOOKUP($A300,main!$A$3:$H$102,6,FALSE)&gt;=main!$D$103+VLOOKUP(VLOOKUP(AX$1,main!$A$3:$I$102,7,FALSE),main!$K$26:$Q$29,5,FALSE)),1,0)</f>
        <v>1</v>
      </c>
      <c r="AY300">
        <f>IF(AND(VLOOKUP(AY$1,main!$A$3:$H$102,7,FALSE)=main!$G$105,VLOOKUP(AY$1,main!$A$3:$H$102,5,FALSE)-VLOOKUP($A300,main!$A$3:$H$102,6,FALSE)&gt;=main!$D$103+VLOOKUP(VLOOKUP(AY$1,main!$A$3:$I$102,7,FALSE),main!$K$26:$Q$29,5,FALSE)),1,0)</f>
        <v>0</v>
      </c>
      <c r="AZ300">
        <f>IF(AND(VLOOKUP(AZ$1,main!$A$3:$H$102,7,FALSE)=main!$G$105,VLOOKUP(AZ$1,main!$A$3:$H$102,5,FALSE)-VLOOKUP($A300,main!$A$3:$H$102,6,FALSE)&gt;=main!$D$103+VLOOKUP(VLOOKUP(AZ$1,main!$A$3:$I$102,7,FALSE),main!$K$26:$Q$29,5,FALSE)),1,0)</f>
        <v>1</v>
      </c>
      <c r="BA300">
        <f>IF(AND(VLOOKUP(BA$1,main!$A$3:$H$102,7,FALSE)=main!$G$105,VLOOKUP(BA$1,main!$A$3:$H$102,5,FALSE)-VLOOKUP($A300,main!$A$3:$H$102,6,FALSE)&gt;=main!$D$103+VLOOKUP(VLOOKUP(BA$1,main!$A$3:$I$102,7,FALSE),main!$K$26:$Q$29,5,FALSE)),1,0)</f>
        <v>0</v>
      </c>
      <c r="BB300">
        <f>IF(AND(VLOOKUP(BB$1,main!$A$3:$H$102,7,FALSE)=main!$G$105,VLOOKUP(BB$1,main!$A$3:$H$102,5,FALSE)-VLOOKUP($A300,main!$A$3:$H$102,6,FALSE)&gt;=main!$D$103+VLOOKUP(VLOOKUP(BB$1,main!$A$3:$I$102,7,FALSE),main!$K$26:$Q$29,5,FALSE)),1,0)</f>
        <v>0</v>
      </c>
      <c r="BC300">
        <f>IF(AND(VLOOKUP(BC$1,main!$A$3:$H$102,7,FALSE)=main!$G$105,VLOOKUP(BC$1,main!$A$3:$H$102,5,FALSE)-VLOOKUP($A300,main!$A$3:$H$102,6,FALSE)&gt;=main!$D$103+VLOOKUP(VLOOKUP(BC$1,main!$A$3:$I$102,7,FALSE),main!$K$26:$Q$29,5,FALSE)),1,0)</f>
        <v>0</v>
      </c>
      <c r="BD300">
        <f>IF(AND(VLOOKUP(BD$1,main!$A$3:$H$102,7,FALSE)=main!$G$105,VLOOKUP(BD$1,main!$A$3:$H$102,5,FALSE)-VLOOKUP($A300,main!$A$3:$H$102,6,FALSE)&gt;=main!$D$103+VLOOKUP(VLOOKUP(BD$1,main!$A$3:$I$102,7,FALSE),main!$K$26:$Q$29,5,FALSE)),1,0)</f>
        <v>0</v>
      </c>
      <c r="BE300">
        <f>IF(AND(VLOOKUP(BE$1,main!$A$3:$H$102,7,FALSE)=main!$G$105,VLOOKUP(BE$1,main!$A$3:$H$102,5,FALSE)-VLOOKUP($A300,main!$A$3:$H$102,6,FALSE)&gt;=main!$D$103+VLOOKUP(VLOOKUP(BE$1,main!$A$3:$I$102,7,FALSE),main!$K$26:$Q$29,5,FALSE)),1,0)</f>
        <v>0</v>
      </c>
      <c r="BF300">
        <f>IF(AND(VLOOKUP(BF$1,main!$A$3:$H$102,7,FALSE)=main!$G$105,VLOOKUP(BF$1,main!$A$3:$H$102,5,FALSE)-VLOOKUP($A300,main!$A$3:$H$102,6,FALSE)&gt;=main!$D$103+VLOOKUP(VLOOKUP(BF$1,main!$A$3:$I$102,7,FALSE),main!$K$26:$Q$29,5,FALSE)),1,0)</f>
        <v>0</v>
      </c>
      <c r="BG300">
        <f>IF(AND(VLOOKUP(BG$1,main!$A$3:$H$102,7,FALSE)=main!$G$105,VLOOKUP(BG$1,main!$A$3:$H$102,5,FALSE)-VLOOKUP($A300,main!$A$3:$H$102,6,FALSE)&gt;=main!$D$103+VLOOKUP(VLOOKUP(BG$1,main!$A$3:$I$102,7,FALSE),main!$K$26:$Q$29,5,FALSE)),1,0)</f>
        <v>0</v>
      </c>
      <c r="BH300">
        <f>IF(AND(VLOOKUP(BH$1,main!$A$3:$H$102,7,FALSE)=main!$G$105,VLOOKUP(BH$1,main!$A$3:$H$102,5,FALSE)-VLOOKUP($A300,main!$A$3:$H$102,6,FALSE)&gt;=main!$D$103+VLOOKUP(VLOOKUP(BH$1,main!$A$3:$I$102,7,FALSE),main!$K$26:$Q$29,5,FALSE)),1,0)</f>
        <v>0</v>
      </c>
      <c r="BI300">
        <f>IF(AND(VLOOKUP(BI$1,main!$A$3:$H$102,7,FALSE)=main!$G$105,VLOOKUP(BI$1,main!$A$3:$H$102,5,FALSE)-VLOOKUP($A300,main!$A$3:$H$102,6,FALSE)&gt;=main!$D$103+VLOOKUP(VLOOKUP(BI$1,main!$A$3:$I$102,7,FALSE),main!$K$26:$Q$29,5,FALSE)),1,0)</f>
        <v>0</v>
      </c>
      <c r="BJ300">
        <f>IF(AND(VLOOKUP(BJ$1,main!$A$3:$H$102,7,FALSE)=main!$G$105,VLOOKUP(BJ$1,main!$A$3:$H$102,5,FALSE)-VLOOKUP($A300,main!$A$3:$H$102,6,FALSE)&gt;=main!$D$103+VLOOKUP(VLOOKUP(BJ$1,main!$A$3:$I$102,7,FALSE),main!$K$26:$Q$29,5,FALSE)),1,0)</f>
        <v>0</v>
      </c>
      <c r="BK300">
        <f>IF(AND(VLOOKUP(BK$1,main!$A$3:$H$102,7,FALSE)=main!$G$105,VLOOKUP(BK$1,main!$A$3:$H$102,5,FALSE)-VLOOKUP($A300,main!$A$3:$H$102,6,FALSE)&gt;=main!$D$103+VLOOKUP(VLOOKUP(BK$1,main!$A$3:$I$102,7,FALSE),main!$K$26:$Q$29,5,FALSE)),1,0)</f>
        <v>0</v>
      </c>
      <c r="BL300">
        <f>IF(AND(VLOOKUP(BL$1,main!$A$3:$H$102,7,FALSE)=main!$G$105,VLOOKUP(BL$1,main!$A$3:$H$102,5,FALSE)-VLOOKUP($A300,main!$A$3:$H$102,6,FALSE)&gt;=main!$D$103+VLOOKUP(VLOOKUP(BL$1,main!$A$3:$I$102,7,FALSE),main!$K$26:$Q$29,5,FALSE)),1,0)</f>
        <v>0</v>
      </c>
      <c r="BM300">
        <f>IF(AND(VLOOKUP(BM$1,main!$A$3:$H$102,7,FALSE)=main!$G$105,VLOOKUP(BM$1,main!$A$3:$H$102,5,FALSE)-VLOOKUP($A300,main!$A$3:$H$102,6,FALSE)&gt;=main!$D$103+VLOOKUP(VLOOKUP(BM$1,main!$A$3:$I$102,7,FALSE),main!$K$26:$Q$29,5,FALSE)),1,0)</f>
        <v>0</v>
      </c>
      <c r="BN300">
        <f>IF(AND(VLOOKUP(BN$1,main!$A$3:$H$102,7,FALSE)=main!$G$105,VLOOKUP(BN$1,main!$A$3:$H$102,5,FALSE)-VLOOKUP($A300,main!$A$3:$H$102,6,FALSE)&gt;=main!$D$103+VLOOKUP(VLOOKUP(BN$1,main!$A$3:$I$102,7,FALSE),main!$K$26:$Q$29,5,FALSE)),1,0)</f>
        <v>0</v>
      </c>
      <c r="BO300">
        <f>IF(AND(VLOOKUP(BO$1,main!$A$3:$H$102,7,FALSE)=main!$G$105,VLOOKUP(BO$1,main!$A$3:$H$102,5,FALSE)-VLOOKUP($A300,main!$A$3:$H$102,6,FALSE)&gt;=main!$D$103+VLOOKUP(VLOOKUP(BO$1,main!$A$3:$I$102,7,FALSE),main!$K$26:$Q$29,5,FALSE)),1,0)</f>
        <v>0</v>
      </c>
      <c r="BP300">
        <f>IF(AND(VLOOKUP(BP$1,main!$A$3:$H$102,7,FALSE)=main!$G$105,VLOOKUP(BP$1,main!$A$3:$H$102,5,FALSE)-VLOOKUP($A300,main!$A$3:$H$102,6,FALSE)&gt;=main!$D$103+VLOOKUP(VLOOKUP(BP$1,main!$A$3:$I$102,7,FALSE),main!$K$26:$Q$29,5,FALSE)),1,0)</f>
        <v>0</v>
      </c>
      <c r="BQ300">
        <f>IF(AND(VLOOKUP(BQ$1,main!$A$3:$H$102,7,FALSE)=main!$G$105,VLOOKUP(BQ$1,main!$A$3:$H$102,5,FALSE)-VLOOKUP($A300,main!$A$3:$H$102,6,FALSE)&gt;=main!$D$103+VLOOKUP(VLOOKUP(BQ$1,main!$A$3:$I$102,7,FALSE),main!$K$26:$Q$29,5,FALSE)),1,0)</f>
        <v>0</v>
      </c>
      <c r="BR300">
        <f>IF(AND(VLOOKUP(BR$1,main!$A$3:$H$102,7,FALSE)=main!$G$105,VLOOKUP(BR$1,main!$A$3:$H$102,5,FALSE)-VLOOKUP($A300,main!$A$3:$H$102,6,FALSE)&gt;=main!$D$103+VLOOKUP(VLOOKUP(BR$1,main!$A$3:$I$102,7,FALSE),main!$K$26:$Q$29,5,FALSE)),1,0)</f>
        <v>0</v>
      </c>
      <c r="BS300">
        <f>IF(AND(VLOOKUP(BS$1,main!$A$3:$H$102,7,FALSE)=main!$G$105,VLOOKUP(BS$1,main!$A$3:$H$102,5,FALSE)-VLOOKUP($A300,main!$A$3:$H$102,6,FALSE)&gt;=main!$D$103+VLOOKUP(VLOOKUP(BS$1,main!$A$3:$I$102,7,FALSE),main!$K$26:$Q$29,5,FALSE)),1,0)</f>
        <v>0</v>
      </c>
      <c r="BT300">
        <f>IF(AND(VLOOKUP(BT$1,main!$A$3:$H$102,7,FALSE)=main!$G$105,VLOOKUP(BT$1,main!$A$3:$H$102,5,FALSE)-VLOOKUP($A300,main!$A$3:$H$102,6,FALSE)&gt;=main!$D$103+VLOOKUP(VLOOKUP(BT$1,main!$A$3:$I$102,7,FALSE),main!$K$26:$Q$29,5,FALSE)),1,0)</f>
        <v>0</v>
      </c>
      <c r="BU300">
        <f>IF(AND(VLOOKUP(BU$1,main!$A$3:$H$102,7,FALSE)=main!$G$105,VLOOKUP(BU$1,main!$A$3:$H$102,5,FALSE)-VLOOKUP($A300,main!$A$3:$H$102,6,FALSE)&gt;=main!$D$103+VLOOKUP(VLOOKUP(BU$1,main!$A$3:$I$102,7,FALSE),main!$K$26:$Q$29,5,FALSE)),1,0)</f>
        <v>0</v>
      </c>
      <c r="BV300">
        <f>IF(AND(VLOOKUP(BV$1,main!$A$3:$H$102,7,FALSE)=main!$G$105,VLOOKUP(BV$1,main!$A$3:$H$102,5,FALSE)-VLOOKUP($A300,main!$A$3:$H$102,6,FALSE)&gt;=main!$D$103+VLOOKUP(VLOOKUP(BV$1,main!$A$3:$I$102,7,FALSE),main!$K$26:$Q$29,5,FALSE)),1,0)</f>
        <v>0</v>
      </c>
      <c r="BW300">
        <f>IF(AND(VLOOKUP(BW$1,main!$A$3:$H$102,7,FALSE)=main!$G$105,VLOOKUP(BW$1,main!$A$3:$H$102,5,FALSE)-VLOOKUP($A300,main!$A$3:$H$102,6,FALSE)&gt;=main!$D$103+VLOOKUP(VLOOKUP(BW$1,main!$A$3:$I$102,7,FALSE),main!$K$26:$Q$29,5,FALSE)),1,0)</f>
        <v>0</v>
      </c>
      <c r="BX300">
        <f>IF(AND(VLOOKUP(BX$1,main!$A$3:$H$102,7,FALSE)=main!$G$105,VLOOKUP(BX$1,main!$A$3:$H$102,5,FALSE)-VLOOKUP($A300,main!$A$3:$H$102,6,FALSE)&gt;=main!$D$103+VLOOKUP(VLOOKUP(BX$1,main!$A$3:$I$102,7,FALSE),main!$K$26:$Q$29,5,FALSE)),1,0)</f>
        <v>0</v>
      </c>
      <c r="BY300">
        <f>IF(AND(VLOOKUP(BY$1,main!$A$3:$H$102,7,FALSE)=main!$G$105,VLOOKUP(BY$1,main!$A$3:$H$102,5,FALSE)-VLOOKUP($A300,main!$A$3:$H$102,6,FALSE)&gt;=main!$D$103+VLOOKUP(VLOOKUP(BY$1,main!$A$3:$I$102,7,FALSE),main!$K$26:$Q$29,5,FALSE)),1,0)</f>
        <v>0</v>
      </c>
      <c r="BZ300">
        <f>IF(AND(VLOOKUP(BZ$1,main!$A$3:$H$102,7,FALSE)=main!$G$105,VLOOKUP(BZ$1,main!$A$3:$H$102,5,FALSE)-VLOOKUP($A300,main!$A$3:$H$102,6,FALSE)&gt;=main!$D$103+VLOOKUP(VLOOKUP(BZ$1,main!$A$3:$I$102,7,FALSE),main!$K$26:$Q$29,5,FALSE)),1,0)</f>
        <v>0</v>
      </c>
      <c r="CA300">
        <f>IF(AND(VLOOKUP(CA$1,main!$A$3:$H$102,7,FALSE)=main!$G$105,VLOOKUP(CA$1,main!$A$3:$H$102,5,FALSE)-VLOOKUP($A300,main!$A$3:$H$102,6,FALSE)&gt;=main!$D$103+VLOOKUP(VLOOKUP(CA$1,main!$A$3:$I$102,7,FALSE),main!$K$26:$Q$29,5,FALSE)),1,0)</f>
        <v>0</v>
      </c>
      <c r="CB300">
        <f>IF(AND(VLOOKUP(CB$1,main!$A$3:$H$102,7,FALSE)=main!$G$105,VLOOKUP(CB$1,main!$A$3:$H$102,5,FALSE)-VLOOKUP($A300,main!$A$3:$H$102,6,FALSE)&gt;=main!$D$103+VLOOKUP(VLOOKUP(CB$1,main!$A$3:$I$102,7,FALSE),main!$K$26:$Q$29,5,FALSE)),1,0)</f>
        <v>0</v>
      </c>
      <c r="CC300">
        <f>IF(AND(VLOOKUP(CC$1,main!$A$3:$H$102,7,FALSE)=main!$G$105,VLOOKUP(CC$1,main!$A$3:$H$102,5,FALSE)-VLOOKUP($A300,main!$A$3:$H$102,6,FALSE)&gt;=main!$D$103+VLOOKUP(VLOOKUP(CC$1,main!$A$3:$I$102,7,FALSE),main!$K$26:$Q$29,5,FALSE)),1,0)</f>
        <v>0</v>
      </c>
      <c r="CD300">
        <f>IF(AND(VLOOKUP(CD$1,main!$A$3:$H$102,7,FALSE)=main!$G$105,VLOOKUP(CD$1,main!$A$3:$H$102,5,FALSE)-VLOOKUP($A300,main!$A$3:$H$102,6,FALSE)&gt;=main!$D$103+VLOOKUP(VLOOKUP(CD$1,main!$A$3:$I$102,7,FALSE),main!$K$26:$Q$29,5,FALSE)),1,0)</f>
        <v>0</v>
      </c>
      <c r="CE300">
        <f>IF(AND(VLOOKUP(CE$1,main!$A$3:$H$102,7,FALSE)=main!$G$105,VLOOKUP(CE$1,main!$A$3:$H$102,5,FALSE)-VLOOKUP($A300,main!$A$3:$H$102,6,FALSE)&gt;=main!$D$103+VLOOKUP(VLOOKUP(CE$1,main!$A$3:$I$102,7,FALSE),main!$K$26:$Q$29,5,FALSE)),1,0)</f>
        <v>0</v>
      </c>
      <c r="CF300">
        <f>IF(AND(VLOOKUP(CF$1,main!$A$3:$H$102,7,FALSE)=main!$G$105,VLOOKUP(CF$1,main!$A$3:$H$102,5,FALSE)-VLOOKUP($A300,main!$A$3:$H$102,6,FALSE)&gt;=main!$D$103+VLOOKUP(VLOOKUP(CF$1,main!$A$3:$I$102,7,FALSE),main!$K$26:$Q$29,5,FALSE)),1,0)</f>
        <v>0</v>
      </c>
      <c r="CG300">
        <f>IF(AND(VLOOKUP(CG$1,main!$A$3:$H$102,7,FALSE)=main!$G$105,VLOOKUP(CG$1,main!$A$3:$H$102,5,FALSE)-VLOOKUP($A300,main!$A$3:$H$102,6,FALSE)&gt;=main!$D$103+VLOOKUP(VLOOKUP(CG$1,main!$A$3:$I$102,7,FALSE),main!$K$26:$Q$29,5,FALSE)),1,0)</f>
        <v>0</v>
      </c>
      <c r="CH300">
        <f>IF(AND(VLOOKUP(CH$1,main!$A$3:$H$102,7,FALSE)=main!$G$105,VLOOKUP(CH$1,main!$A$3:$H$102,5,FALSE)-VLOOKUP($A300,main!$A$3:$H$102,6,FALSE)&gt;=main!$D$103+VLOOKUP(VLOOKUP(CH$1,main!$A$3:$I$102,7,FALSE),main!$K$26:$Q$29,5,FALSE)),1,0)</f>
        <v>0</v>
      </c>
      <c r="CI300">
        <f>IF(AND(VLOOKUP(CI$1,main!$A$3:$H$102,7,FALSE)=main!$G$105,VLOOKUP(CI$1,main!$A$3:$H$102,5,FALSE)-VLOOKUP($A300,main!$A$3:$H$102,6,FALSE)&gt;=main!$D$103+VLOOKUP(VLOOKUP(CI$1,main!$A$3:$I$102,7,FALSE),main!$K$26:$Q$29,5,FALSE)),1,0)</f>
        <v>0</v>
      </c>
      <c r="CJ300">
        <f>IF(AND(VLOOKUP(CJ$1,main!$A$3:$H$102,7,FALSE)=main!$G$105,VLOOKUP(CJ$1,main!$A$3:$H$102,5,FALSE)-VLOOKUP($A300,main!$A$3:$H$102,6,FALSE)&gt;=main!$D$103+VLOOKUP(VLOOKUP(CJ$1,main!$A$3:$I$102,7,FALSE),main!$K$26:$Q$29,5,FALSE)),1,0)</f>
        <v>0</v>
      </c>
      <c r="CK300">
        <f>IF(AND(VLOOKUP(CK$1,main!$A$3:$H$102,7,FALSE)=main!$G$105,VLOOKUP(CK$1,main!$A$3:$H$102,5,FALSE)-VLOOKUP($A300,main!$A$3:$H$102,6,FALSE)&gt;=main!$D$103+VLOOKUP(VLOOKUP(CK$1,main!$A$3:$I$102,7,FALSE),main!$K$26:$Q$29,5,FALSE)),1,0)</f>
        <v>0</v>
      </c>
      <c r="CL300">
        <f>IF(AND(VLOOKUP(CL$1,main!$A$3:$H$102,7,FALSE)=main!$G$105,VLOOKUP(CL$1,main!$A$3:$H$102,5,FALSE)-VLOOKUP($A300,main!$A$3:$H$102,6,FALSE)&gt;=main!$D$103+VLOOKUP(VLOOKUP(CL$1,main!$A$3:$I$102,7,FALSE),main!$K$26:$Q$29,5,FALSE)),1,0)</f>
        <v>0</v>
      </c>
      <c r="CM300">
        <f>IF(AND(VLOOKUP(CM$1,main!$A$3:$H$102,7,FALSE)=main!$G$105,VLOOKUP(CM$1,main!$A$3:$H$102,5,FALSE)-VLOOKUP($A300,main!$A$3:$H$102,6,FALSE)&gt;=main!$D$103+VLOOKUP(VLOOKUP(CM$1,main!$A$3:$I$102,7,FALSE),main!$K$26:$Q$29,5,FALSE)),1,0)</f>
        <v>0</v>
      </c>
      <c r="CN300">
        <f>IF(AND(VLOOKUP(CN$1,main!$A$3:$H$102,7,FALSE)=main!$G$105,VLOOKUP(CN$1,main!$A$3:$H$102,5,FALSE)-VLOOKUP($A300,main!$A$3:$H$102,6,FALSE)&gt;=main!$D$103+VLOOKUP(VLOOKUP(CN$1,main!$A$3:$I$102,7,FALSE),main!$K$26:$Q$29,5,FALSE)),1,0)</f>
        <v>0</v>
      </c>
      <c r="CO300">
        <f>IF(AND(VLOOKUP(CO$1,main!$A$3:$H$102,7,FALSE)=main!$G$105,VLOOKUP(CO$1,main!$A$3:$H$102,5,FALSE)-VLOOKUP($A300,main!$A$3:$H$102,6,FALSE)&gt;=main!$D$103+VLOOKUP(VLOOKUP(CO$1,main!$A$3:$I$102,7,FALSE),main!$K$26:$Q$29,5,FALSE)),1,0)</f>
        <v>0</v>
      </c>
      <c r="CP300">
        <f>IF(AND(VLOOKUP(CP$1,main!$A$3:$H$102,7,FALSE)=main!$G$105,VLOOKUP(CP$1,main!$A$3:$H$102,5,FALSE)-VLOOKUP($A300,main!$A$3:$H$102,6,FALSE)&gt;=main!$D$103+VLOOKUP(VLOOKUP(CP$1,main!$A$3:$I$102,7,FALSE),main!$K$26:$Q$29,5,FALSE)),1,0)</f>
        <v>0</v>
      </c>
      <c r="CQ300">
        <f>IF(AND(VLOOKUP(CQ$1,main!$A$3:$H$102,7,FALSE)=main!$G$105,VLOOKUP(CQ$1,main!$A$3:$H$102,5,FALSE)-VLOOKUP($A300,main!$A$3:$H$102,6,FALSE)&gt;=main!$D$103+VLOOKUP(VLOOKUP(CQ$1,main!$A$3:$I$102,7,FALSE),main!$K$26:$Q$29,5,FALSE)),1,0)</f>
        <v>0</v>
      </c>
      <c r="CR300">
        <f>IF(AND(VLOOKUP(CR$1,main!$A$3:$H$102,7,FALSE)=main!$G$105,VLOOKUP(CR$1,main!$A$3:$H$102,5,FALSE)-VLOOKUP($A300,main!$A$3:$H$102,6,FALSE)&gt;=main!$D$103+VLOOKUP(VLOOKUP(CR$1,main!$A$3:$I$102,7,FALSE),main!$K$26:$Q$29,5,FALSE)),1,0)</f>
        <v>0</v>
      </c>
      <c r="CS300">
        <f>IF(AND(VLOOKUP(CS$1,main!$A$3:$H$102,7,FALSE)=main!$G$105,VLOOKUP(CS$1,main!$A$3:$H$102,5,FALSE)-VLOOKUP($A300,main!$A$3:$H$102,6,FALSE)&gt;=main!$D$103+VLOOKUP(VLOOKUP(CS$1,main!$A$3:$I$102,7,FALSE),main!$K$26:$Q$29,5,FALSE)),1,0)</f>
        <v>0</v>
      </c>
      <c r="CT300">
        <f>IF(AND(VLOOKUP(CT$1,main!$A$3:$H$102,7,FALSE)=main!$G$105,VLOOKUP(CT$1,main!$A$3:$H$102,5,FALSE)-VLOOKUP($A300,main!$A$3:$H$102,6,FALSE)&gt;=main!$D$103+VLOOKUP(VLOOKUP(CT$1,main!$A$3:$I$102,7,FALSE),main!$K$26:$Q$29,5,FALSE)),1,0)</f>
        <v>0</v>
      </c>
      <c r="CU300">
        <f>IF(AND(VLOOKUP(CU$1,main!$A$3:$H$102,7,FALSE)=main!$G$105,VLOOKUP(CU$1,main!$A$3:$H$102,5,FALSE)-VLOOKUP($A300,main!$A$3:$H$102,6,FALSE)&gt;=main!$D$103+VLOOKUP(VLOOKUP(CU$1,main!$A$3:$I$102,7,FALSE),main!$K$26:$Q$29,5,FALSE)),1,0)</f>
        <v>0</v>
      </c>
      <c r="CV300">
        <f>IF(AND(VLOOKUP(CV$1,main!$A$3:$H$102,7,FALSE)=main!$G$105,VLOOKUP(CV$1,main!$A$3:$H$102,5,FALSE)-VLOOKUP($A300,main!$A$3:$H$102,6,FALSE)&gt;=main!$D$103+VLOOKUP(VLOOKUP(CV$1,main!$A$3:$I$102,7,FALSE),main!$K$26:$Q$29,5,FALSE)),1,0)</f>
        <v>0</v>
      </c>
      <c r="CW300">
        <f>IF(AND(VLOOKUP(CW$1,main!$A$3:$H$102,7,FALSE)=main!$G$105,VLOOKUP(CW$1,main!$A$3:$H$102,5,FALSE)-VLOOKUP($A300,main!$A$3:$H$102,6,FALSE)&gt;=main!$D$103+VLOOKUP(VLOOKUP(CW$1,main!$A$3:$I$102,7,FALSE),main!$K$26:$Q$29,5,FALSE)),1,0)</f>
        <v>0</v>
      </c>
      <c r="CX300">
        <f>IF(AND(VLOOKUP(CX$1,main!$A$3:$H$102,7,FALSE)=main!$G$105,VLOOKUP(CX$1,main!$A$3:$H$102,5,FALSE)-VLOOKUP($A300,main!$A$3:$H$102,6,FALSE)&gt;=main!$D$103+VLOOKUP(VLOOKUP(CX$1,main!$A$3:$I$102,7,FALSE),main!$K$26:$Q$29,5,FALSE)),1,0)</f>
        <v>0</v>
      </c>
    </row>
    <row r="301" spans="1:102" x14ac:dyDescent="0.25">
      <c r="A301" s="1">
        <v>97</v>
      </c>
      <c r="B301">
        <v>0</v>
      </c>
      <c r="C301">
        <f>IF(AND(VLOOKUP(C$1,main!$A$3:$H$102,7,FALSE)=main!$G$105,VLOOKUP(C$1,main!$A$3:$H$102,5,FALSE)-VLOOKUP($A301,main!$A$3:$H$102,6,FALSE)&gt;=main!$D$103+VLOOKUP(VLOOKUP(C$1,main!$A$3:$I$102,7,FALSE),main!$K$26:$Q$29,5,FALSE)),1,0)</f>
        <v>0</v>
      </c>
      <c r="D301">
        <f>IF(AND(VLOOKUP(D$1,main!$A$3:$H$102,7,FALSE)=main!$G$105,VLOOKUP(D$1,main!$A$3:$H$102,5,FALSE)-VLOOKUP($A301,main!$A$3:$H$102,6,FALSE)&gt;=main!$D$103+VLOOKUP(VLOOKUP(D$1,main!$A$3:$I$102,7,FALSE),main!$K$26:$Q$29,5,FALSE)),1,0)</f>
        <v>0</v>
      </c>
      <c r="E301">
        <f>IF(AND(VLOOKUP(E$1,main!$A$3:$H$102,7,FALSE)=main!$G$105,VLOOKUP(E$1,main!$A$3:$H$102,5,FALSE)-VLOOKUP($A301,main!$A$3:$H$102,6,FALSE)&gt;=main!$D$103+VLOOKUP(VLOOKUP(E$1,main!$A$3:$I$102,7,FALSE),main!$K$26:$Q$29,5,FALSE)),1,0)</f>
        <v>0</v>
      </c>
      <c r="F301">
        <f>IF(AND(VLOOKUP(F$1,main!$A$3:$H$102,7,FALSE)=main!$G$105,VLOOKUP(F$1,main!$A$3:$H$102,5,FALSE)-VLOOKUP($A301,main!$A$3:$H$102,6,FALSE)&gt;=main!$D$103+VLOOKUP(VLOOKUP(F$1,main!$A$3:$I$102,7,FALSE),main!$K$26:$Q$29,5,FALSE)),1,0)</f>
        <v>0</v>
      </c>
      <c r="G301">
        <f>IF(AND(VLOOKUP(G$1,main!$A$3:$H$102,7,FALSE)=main!$G$105,VLOOKUP(G$1,main!$A$3:$H$102,5,FALSE)-VLOOKUP($A301,main!$A$3:$H$102,6,FALSE)&gt;=main!$D$103+VLOOKUP(VLOOKUP(G$1,main!$A$3:$I$102,7,FALSE),main!$K$26:$Q$29,5,FALSE)),1,0)</f>
        <v>0</v>
      </c>
      <c r="H301">
        <f>IF(AND(VLOOKUP(H$1,main!$A$3:$H$102,7,FALSE)=main!$G$105,VLOOKUP(H$1,main!$A$3:$H$102,5,FALSE)-VLOOKUP($A301,main!$A$3:$H$102,6,FALSE)&gt;=main!$D$103+VLOOKUP(VLOOKUP(H$1,main!$A$3:$I$102,7,FALSE),main!$K$26:$Q$29,5,FALSE)),1,0)</f>
        <v>0</v>
      </c>
      <c r="I301">
        <f>IF(AND(VLOOKUP(I$1,main!$A$3:$H$102,7,FALSE)=main!$G$105,VLOOKUP(I$1,main!$A$3:$H$102,5,FALSE)-VLOOKUP($A301,main!$A$3:$H$102,6,FALSE)&gt;=main!$D$103+VLOOKUP(VLOOKUP(I$1,main!$A$3:$I$102,7,FALSE),main!$K$26:$Q$29,5,FALSE)),1,0)</f>
        <v>0</v>
      </c>
      <c r="J301">
        <f>IF(AND(VLOOKUP(J$1,main!$A$3:$H$102,7,FALSE)=main!$G$105,VLOOKUP(J$1,main!$A$3:$H$102,5,FALSE)-VLOOKUP($A301,main!$A$3:$H$102,6,FALSE)&gt;=main!$D$103+VLOOKUP(VLOOKUP(J$1,main!$A$3:$I$102,7,FALSE),main!$K$26:$Q$29,5,FALSE)),1,0)</f>
        <v>0</v>
      </c>
      <c r="K301">
        <f>IF(AND(VLOOKUP(K$1,main!$A$3:$H$102,7,FALSE)=main!$G$105,VLOOKUP(K$1,main!$A$3:$H$102,5,FALSE)-VLOOKUP($A301,main!$A$3:$H$102,6,FALSE)&gt;=main!$D$103+VLOOKUP(VLOOKUP(K$1,main!$A$3:$I$102,7,FALSE),main!$K$26:$Q$29,5,FALSE)),1,0)</f>
        <v>0</v>
      </c>
      <c r="L301">
        <f>IF(AND(VLOOKUP(L$1,main!$A$3:$H$102,7,FALSE)=main!$G$105,VLOOKUP(L$1,main!$A$3:$H$102,5,FALSE)-VLOOKUP($A301,main!$A$3:$H$102,6,FALSE)&gt;=main!$D$103+VLOOKUP(VLOOKUP(L$1,main!$A$3:$I$102,7,FALSE),main!$K$26:$Q$29,5,FALSE)),1,0)</f>
        <v>0</v>
      </c>
      <c r="M301">
        <f>IF(AND(VLOOKUP(M$1,main!$A$3:$H$102,7,FALSE)=main!$G$105,VLOOKUP(M$1,main!$A$3:$H$102,5,FALSE)-VLOOKUP($A301,main!$A$3:$H$102,6,FALSE)&gt;=main!$D$103+VLOOKUP(VLOOKUP(M$1,main!$A$3:$I$102,7,FALSE),main!$K$26:$Q$29,5,FALSE)),1,0)</f>
        <v>0</v>
      </c>
      <c r="N301">
        <f>IF(AND(VLOOKUP(N$1,main!$A$3:$H$102,7,FALSE)=main!$G$105,VLOOKUP(N$1,main!$A$3:$H$102,5,FALSE)-VLOOKUP($A301,main!$A$3:$H$102,6,FALSE)&gt;=main!$D$103+VLOOKUP(VLOOKUP(N$1,main!$A$3:$I$102,7,FALSE),main!$K$26:$Q$29,5,FALSE)),1,0)</f>
        <v>0</v>
      </c>
      <c r="O301">
        <f>IF(AND(VLOOKUP(O$1,main!$A$3:$H$102,7,FALSE)=main!$G$105,VLOOKUP(O$1,main!$A$3:$H$102,5,FALSE)-VLOOKUP($A301,main!$A$3:$H$102,6,FALSE)&gt;=main!$D$103+VLOOKUP(VLOOKUP(O$1,main!$A$3:$I$102,7,FALSE),main!$K$26:$Q$29,5,FALSE)),1,0)</f>
        <v>0</v>
      </c>
      <c r="P301">
        <f>IF(AND(VLOOKUP(P$1,main!$A$3:$H$102,7,FALSE)=main!$G$105,VLOOKUP(P$1,main!$A$3:$H$102,5,FALSE)-VLOOKUP($A301,main!$A$3:$H$102,6,FALSE)&gt;=main!$D$103+VLOOKUP(VLOOKUP(P$1,main!$A$3:$I$102,7,FALSE),main!$K$26:$Q$29,5,FALSE)),1,0)</f>
        <v>0</v>
      </c>
      <c r="Q301">
        <f>IF(AND(VLOOKUP(Q$1,main!$A$3:$H$102,7,FALSE)=main!$G$105,VLOOKUP(Q$1,main!$A$3:$H$102,5,FALSE)-VLOOKUP($A301,main!$A$3:$H$102,6,FALSE)&gt;=main!$D$103+VLOOKUP(VLOOKUP(Q$1,main!$A$3:$I$102,7,FALSE),main!$K$26:$Q$29,5,FALSE)),1,0)</f>
        <v>0</v>
      </c>
      <c r="R301">
        <f>IF(AND(VLOOKUP(R$1,main!$A$3:$H$102,7,FALSE)=main!$G$105,VLOOKUP(R$1,main!$A$3:$H$102,5,FALSE)-VLOOKUP($A301,main!$A$3:$H$102,6,FALSE)&gt;=main!$D$103+VLOOKUP(VLOOKUP(R$1,main!$A$3:$I$102,7,FALSE),main!$K$26:$Q$29,5,FALSE)),1,0)</f>
        <v>0</v>
      </c>
      <c r="S301">
        <f>IF(AND(VLOOKUP(S$1,main!$A$3:$H$102,7,FALSE)=main!$G$105,VLOOKUP(S$1,main!$A$3:$H$102,5,FALSE)-VLOOKUP($A301,main!$A$3:$H$102,6,FALSE)&gt;=main!$D$103+VLOOKUP(VLOOKUP(S$1,main!$A$3:$I$102,7,FALSE),main!$K$26:$Q$29,5,FALSE)),1,0)</f>
        <v>0</v>
      </c>
      <c r="T301">
        <f>IF(AND(VLOOKUP(T$1,main!$A$3:$H$102,7,FALSE)=main!$G$105,VLOOKUP(T$1,main!$A$3:$H$102,5,FALSE)-VLOOKUP($A301,main!$A$3:$H$102,6,FALSE)&gt;=main!$D$103+VLOOKUP(VLOOKUP(T$1,main!$A$3:$I$102,7,FALSE),main!$K$26:$Q$29,5,FALSE)),1,0)</f>
        <v>0</v>
      </c>
      <c r="U301">
        <f>IF(AND(VLOOKUP(U$1,main!$A$3:$H$102,7,FALSE)=main!$G$105,VLOOKUP(U$1,main!$A$3:$H$102,5,FALSE)-VLOOKUP($A301,main!$A$3:$H$102,6,FALSE)&gt;=main!$D$103+VLOOKUP(VLOOKUP(U$1,main!$A$3:$I$102,7,FALSE),main!$K$26:$Q$29,5,FALSE)),1,0)</f>
        <v>0</v>
      </c>
      <c r="V301">
        <f>IF(AND(VLOOKUP(V$1,main!$A$3:$H$102,7,FALSE)=main!$G$105,VLOOKUP(V$1,main!$A$3:$H$102,5,FALSE)-VLOOKUP($A301,main!$A$3:$H$102,6,FALSE)&gt;=main!$D$103+VLOOKUP(VLOOKUP(V$1,main!$A$3:$I$102,7,FALSE),main!$K$26:$Q$29,5,FALSE)),1,0)</f>
        <v>0</v>
      </c>
      <c r="W301">
        <f>IF(AND(VLOOKUP(W$1,main!$A$3:$H$102,7,FALSE)=main!$G$105,VLOOKUP(W$1,main!$A$3:$H$102,5,FALSE)-VLOOKUP($A301,main!$A$3:$H$102,6,FALSE)&gt;=main!$D$103+VLOOKUP(VLOOKUP(W$1,main!$A$3:$I$102,7,FALSE),main!$K$26:$Q$29,5,FALSE)),1,0)</f>
        <v>0</v>
      </c>
      <c r="X301">
        <f>IF(AND(VLOOKUP(X$1,main!$A$3:$H$102,7,FALSE)=main!$G$105,VLOOKUP(X$1,main!$A$3:$H$102,5,FALSE)-VLOOKUP($A301,main!$A$3:$H$102,6,FALSE)&gt;=main!$D$103+VLOOKUP(VLOOKUP(X$1,main!$A$3:$I$102,7,FALSE),main!$K$26:$Q$29,5,FALSE)),1,0)</f>
        <v>0</v>
      </c>
      <c r="Y301">
        <f>IF(AND(VLOOKUP(Y$1,main!$A$3:$H$102,7,FALSE)=main!$G$105,VLOOKUP(Y$1,main!$A$3:$H$102,5,FALSE)-VLOOKUP($A301,main!$A$3:$H$102,6,FALSE)&gt;=main!$D$103+VLOOKUP(VLOOKUP(Y$1,main!$A$3:$I$102,7,FALSE),main!$K$26:$Q$29,5,FALSE)),1,0)</f>
        <v>0</v>
      </c>
      <c r="Z301">
        <f>IF(AND(VLOOKUP(Z$1,main!$A$3:$H$102,7,FALSE)=main!$G$105,VLOOKUP(Z$1,main!$A$3:$H$102,5,FALSE)-VLOOKUP($A301,main!$A$3:$H$102,6,FALSE)&gt;=main!$D$103+VLOOKUP(VLOOKUP(Z$1,main!$A$3:$I$102,7,FALSE),main!$K$26:$Q$29,5,FALSE)),1,0)</f>
        <v>0</v>
      </c>
      <c r="AA301">
        <f>IF(AND(VLOOKUP(AA$1,main!$A$3:$H$102,7,FALSE)=main!$G$105,VLOOKUP(AA$1,main!$A$3:$H$102,5,FALSE)-VLOOKUP($A301,main!$A$3:$H$102,6,FALSE)&gt;=main!$D$103+VLOOKUP(VLOOKUP(AA$1,main!$A$3:$I$102,7,FALSE),main!$K$26:$Q$29,5,FALSE)),1,0)</f>
        <v>0</v>
      </c>
      <c r="AB301">
        <f>IF(AND(VLOOKUP(AB$1,main!$A$3:$H$102,7,FALSE)=main!$G$105,VLOOKUP(AB$1,main!$A$3:$H$102,5,FALSE)-VLOOKUP($A301,main!$A$3:$H$102,6,FALSE)&gt;=main!$D$103+VLOOKUP(VLOOKUP(AB$1,main!$A$3:$I$102,7,FALSE),main!$K$26:$Q$29,5,FALSE)),1,0)</f>
        <v>0</v>
      </c>
      <c r="AC301">
        <f>IF(AND(VLOOKUP(AC$1,main!$A$3:$H$102,7,FALSE)=main!$G$105,VLOOKUP(AC$1,main!$A$3:$H$102,5,FALSE)-VLOOKUP($A301,main!$A$3:$H$102,6,FALSE)&gt;=main!$D$103+VLOOKUP(VLOOKUP(AC$1,main!$A$3:$I$102,7,FALSE),main!$K$26:$Q$29,5,FALSE)),1,0)</f>
        <v>0</v>
      </c>
      <c r="AD301">
        <f>IF(AND(VLOOKUP(AD$1,main!$A$3:$H$102,7,FALSE)=main!$G$105,VLOOKUP(AD$1,main!$A$3:$H$102,5,FALSE)-VLOOKUP($A301,main!$A$3:$H$102,6,FALSE)&gt;=main!$D$103+VLOOKUP(VLOOKUP(AD$1,main!$A$3:$I$102,7,FALSE),main!$K$26:$Q$29,5,FALSE)),1,0)</f>
        <v>0</v>
      </c>
      <c r="AE301">
        <f>IF(AND(VLOOKUP(AE$1,main!$A$3:$H$102,7,FALSE)=main!$G$105,VLOOKUP(AE$1,main!$A$3:$H$102,5,FALSE)-VLOOKUP($A301,main!$A$3:$H$102,6,FALSE)&gt;=main!$D$103+VLOOKUP(VLOOKUP(AE$1,main!$A$3:$I$102,7,FALSE),main!$K$26:$Q$29,5,FALSE)),1,0)</f>
        <v>0</v>
      </c>
      <c r="AF301">
        <f>IF(AND(VLOOKUP(AF$1,main!$A$3:$H$102,7,FALSE)=main!$G$105,VLOOKUP(AF$1,main!$A$3:$H$102,5,FALSE)-VLOOKUP($A301,main!$A$3:$H$102,6,FALSE)&gt;=main!$D$103+VLOOKUP(VLOOKUP(AF$1,main!$A$3:$I$102,7,FALSE),main!$K$26:$Q$29,5,FALSE)),1,0)</f>
        <v>0</v>
      </c>
      <c r="AG301">
        <f>IF(AND(VLOOKUP(AG$1,main!$A$3:$H$102,7,FALSE)=main!$G$105,VLOOKUP(AG$1,main!$A$3:$H$102,5,FALSE)-VLOOKUP($A301,main!$A$3:$H$102,6,FALSE)&gt;=main!$D$103+VLOOKUP(VLOOKUP(AG$1,main!$A$3:$I$102,7,FALSE),main!$K$26:$Q$29,5,FALSE)),1,0)</f>
        <v>0</v>
      </c>
      <c r="AH301">
        <f>IF(AND(VLOOKUP(AH$1,main!$A$3:$H$102,7,FALSE)=main!$G$105,VLOOKUP(AH$1,main!$A$3:$H$102,5,FALSE)-VLOOKUP($A301,main!$A$3:$H$102,6,FALSE)&gt;=main!$D$103+VLOOKUP(VLOOKUP(AH$1,main!$A$3:$I$102,7,FALSE),main!$K$26:$Q$29,5,FALSE)),1,0)</f>
        <v>0</v>
      </c>
      <c r="AI301">
        <f>IF(AND(VLOOKUP(AI$1,main!$A$3:$H$102,7,FALSE)=main!$G$105,VLOOKUP(AI$1,main!$A$3:$H$102,5,FALSE)-VLOOKUP($A301,main!$A$3:$H$102,6,FALSE)&gt;=main!$D$103+VLOOKUP(VLOOKUP(AI$1,main!$A$3:$I$102,7,FALSE),main!$K$26:$Q$29,5,FALSE)),1,0)</f>
        <v>1</v>
      </c>
      <c r="AJ301">
        <f>IF(AND(VLOOKUP(AJ$1,main!$A$3:$H$102,7,FALSE)=main!$G$105,VLOOKUP(AJ$1,main!$A$3:$H$102,5,FALSE)-VLOOKUP($A301,main!$A$3:$H$102,6,FALSE)&gt;=main!$D$103+VLOOKUP(VLOOKUP(AJ$1,main!$A$3:$I$102,7,FALSE),main!$K$26:$Q$29,5,FALSE)),1,0)</f>
        <v>1</v>
      </c>
      <c r="AK301">
        <f>IF(AND(VLOOKUP(AK$1,main!$A$3:$H$102,7,FALSE)=main!$G$105,VLOOKUP(AK$1,main!$A$3:$H$102,5,FALSE)-VLOOKUP($A301,main!$A$3:$H$102,6,FALSE)&gt;=main!$D$103+VLOOKUP(VLOOKUP(AK$1,main!$A$3:$I$102,7,FALSE),main!$K$26:$Q$29,5,FALSE)),1,0)</f>
        <v>1</v>
      </c>
      <c r="AL301">
        <f>IF(AND(VLOOKUP(AL$1,main!$A$3:$H$102,7,FALSE)=main!$G$105,VLOOKUP(AL$1,main!$A$3:$H$102,5,FALSE)-VLOOKUP($A301,main!$A$3:$H$102,6,FALSE)&gt;=main!$D$103+VLOOKUP(VLOOKUP(AL$1,main!$A$3:$I$102,7,FALSE),main!$K$26:$Q$29,5,FALSE)),1,0)</f>
        <v>1</v>
      </c>
      <c r="AM301">
        <f>IF(AND(VLOOKUP(AM$1,main!$A$3:$H$102,7,FALSE)=main!$G$105,VLOOKUP(AM$1,main!$A$3:$H$102,5,FALSE)-VLOOKUP($A301,main!$A$3:$H$102,6,FALSE)&gt;=main!$D$103+VLOOKUP(VLOOKUP(AM$1,main!$A$3:$I$102,7,FALSE),main!$K$26:$Q$29,5,FALSE)),1,0)</f>
        <v>1</v>
      </c>
      <c r="AN301">
        <f>IF(AND(VLOOKUP(AN$1,main!$A$3:$H$102,7,FALSE)=main!$G$105,VLOOKUP(AN$1,main!$A$3:$H$102,5,FALSE)-VLOOKUP($A301,main!$A$3:$H$102,6,FALSE)&gt;=main!$D$103+VLOOKUP(VLOOKUP(AN$1,main!$A$3:$I$102,7,FALSE),main!$K$26:$Q$29,5,FALSE)),1,0)</f>
        <v>1</v>
      </c>
      <c r="AO301">
        <f>IF(AND(VLOOKUP(AO$1,main!$A$3:$H$102,7,FALSE)=main!$G$105,VLOOKUP(AO$1,main!$A$3:$H$102,5,FALSE)-VLOOKUP($A301,main!$A$3:$H$102,6,FALSE)&gt;=main!$D$103+VLOOKUP(VLOOKUP(AO$1,main!$A$3:$I$102,7,FALSE),main!$K$26:$Q$29,5,FALSE)),1,0)</f>
        <v>0</v>
      </c>
      <c r="AP301">
        <f>IF(AND(VLOOKUP(AP$1,main!$A$3:$H$102,7,FALSE)=main!$G$105,VLOOKUP(AP$1,main!$A$3:$H$102,5,FALSE)-VLOOKUP($A301,main!$A$3:$H$102,6,FALSE)&gt;=main!$D$103+VLOOKUP(VLOOKUP(AP$1,main!$A$3:$I$102,7,FALSE),main!$K$26:$Q$29,5,FALSE)),1,0)</f>
        <v>1</v>
      </c>
      <c r="AQ301">
        <f>IF(AND(VLOOKUP(AQ$1,main!$A$3:$H$102,7,FALSE)=main!$G$105,VLOOKUP(AQ$1,main!$A$3:$H$102,5,FALSE)-VLOOKUP($A301,main!$A$3:$H$102,6,FALSE)&gt;=main!$D$103+VLOOKUP(VLOOKUP(AQ$1,main!$A$3:$I$102,7,FALSE),main!$K$26:$Q$29,5,FALSE)),1,0)</f>
        <v>0</v>
      </c>
      <c r="AR301">
        <f>IF(AND(VLOOKUP(AR$1,main!$A$3:$H$102,7,FALSE)=main!$G$105,VLOOKUP(AR$1,main!$A$3:$H$102,5,FALSE)-VLOOKUP($A301,main!$A$3:$H$102,6,FALSE)&gt;=main!$D$103+VLOOKUP(VLOOKUP(AR$1,main!$A$3:$I$102,7,FALSE),main!$K$26:$Q$29,5,FALSE)),1,0)</f>
        <v>0</v>
      </c>
      <c r="AS301">
        <f>IF(AND(VLOOKUP(AS$1,main!$A$3:$H$102,7,FALSE)=main!$G$105,VLOOKUP(AS$1,main!$A$3:$H$102,5,FALSE)-VLOOKUP($A301,main!$A$3:$H$102,6,FALSE)&gt;=main!$D$103+VLOOKUP(VLOOKUP(AS$1,main!$A$3:$I$102,7,FALSE),main!$K$26:$Q$29,5,FALSE)),1,0)</f>
        <v>1</v>
      </c>
      <c r="AT301">
        <f>IF(AND(VLOOKUP(AT$1,main!$A$3:$H$102,7,FALSE)=main!$G$105,VLOOKUP(AT$1,main!$A$3:$H$102,5,FALSE)-VLOOKUP($A301,main!$A$3:$H$102,6,FALSE)&gt;=main!$D$103+VLOOKUP(VLOOKUP(AT$1,main!$A$3:$I$102,7,FALSE),main!$K$26:$Q$29,5,FALSE)),1,0)</f>
        <v>1</v>
      </c>
      <c r="AU301">
        <f>IF(AND(VLOOKUP(AU$1,main!$A$3:$H$102,7,FALSE)=main!$G$105,VLOOKUP(AU$1,main!$A$3:$H$102,5,FALSE)-VLOOKUP($A301,main!$A$3:$H$102,6,FALSE)&gt;=main!$D$103+VLOOKUP(VLOOKUP(AU$1,main!$A$3:$I$102,7,FALSE),main!$K$26:$Q$29,5,FALSE)),1,0)</f>
        <v>0</v>
      </c>
      <c r="AV301">
        <f>IF(AND(VLOOKUP(AV$1,main!$A$3:$H$102,7,FALSE)=main!$G$105,VLOOKUP(AV$1,main!$A$3:$H$102,5,FALSE)-VLOOKUP($A301,main!$A$3:$H$102,6,FALSE)&gt;=main!$D$103+VLOOKUP(VLOOKUP(AV$1,main!$A$3:$I$102,7,FALSE),main!$K$26:$Q$29,5,FALSE)),1,0)</f>
        <v>0</v>
      </c>
      <c r="AW301">
        <f>IF(AND(VLOOKUP(AW$1,main!$A$3:$H$102,7,FALSE)=main!$G$105,VLOOKUP(AW$1,main!$A$3:$H$102,5,FALSE)-VLOOKUP($A301,main!$A$3:$H$102,6,FALSE)&gt;=main!$D$103+VLOOKUP(VLOOKUP(AW$1,main!$A$3:$I$102,7,FALSE),main!$K$26:$Q$29,5,FALSE)),1,0)</f>
        <v>1</v>
      </c>
      <c r="AX301">
        <f>IF(AND(VLOOKUP(AX$1,main!$A$3:$H$102,7,FALSE)=main!$G$105,VLOOKUP(AX$1,main!$A$3:$H$102,5,FALSE)-VLOOKUP($A301,main!$A$3:$H$102,6,FALSE)&gt;=main!$D$103+VLOOKUP(VLOOKUP(AX$1,main!$A$3:$I$102,7,FALSE),main!$K$26:$Q$29,5,FALSE)),1,0)</f>
        <v>1</v>
      </c>
      <c r="AY301">
        <f>IF(AND(VLOOKUP(AY$1,main!$A$3:$H$102,7,FALSE)=main!$G$105,VLOOKUP(AY$1,main!$A$3:$H$102,5,FALSE)-VLOOKUP($A301,main!$A$3:$H$102,6,FALSE)&gt;=main!$D$103+VLOOKUP(VLOOKUP(AY$1,main!$A$3:$I$102,7,FALSE),main!$K$26:$Q$29,5,FALSE)),1,0)</f>
        <v>0</v>
      </c>
      <c r="AZ301">
        <f>IF(AND(VLOOKUP(AZ$1,main!$A$3:$H$102,7,FALSE)=main!$G$105,VLOOKUP(AZ$1,main!$A$3:$H$102,5,FALSE)-VLOOKUP($A301,main!$A$3:$H$102,6,FALSE)&gt;=main!$D$103+VLOOKUP(VLOOKUP(AZ$1,main!$A$3:$I$102,7,FALSE),main!$K$26:$Q$29,5,FALSE)),1,0)</f>
        <v>1</v>
      </c>
      <c r="BA301">
        <f>IF(AND(VLOOKUP(BA$1,main!$A$3:$H$102,7,FALSE)=main!$G$105,VLOOKUP(BA$1,main!$A$3:$H$102,5,FALSE)-VLOOKUP($A301,main!$A$3:$H$102,6,FALSE)&gt;=main!$D$103+VLOOKUP(VLOOKUP(BA$1,main!$A$3:$I$102,7,FALSE),main!$K$26:$Q$29,5,FALSE)),1,0)</f>
        <v>0</v>
      </c>
      <c r="BB301">
        <f>IF(AND(VLOOKUP(BB$1,main!$A$3:$H$102,7,FALSE)=main!$G$105,VLOOKUP(BB$1,main!$A$3:$H$102,5,FALSE)-VLOOKUP($A301,main!$A$3:$H$102,6,FALSE)&gt;=main!$D$103+VLOOKUP(VLOOKUP(BB$1,main!$A$3:$I$102,7,FALSE),main!$K$26:$Q$29,5,FALSE)),1,0)</f>
        <v>0</v>
      </c>
      <c r="BC301">
        <f>IF(AND(VLOOKUP(BC$1,main!$A$3:$H$102,7,FALSE)=main!$G$105,VLOOKUP(BC$1,main!$A$3:$H$102,5,FALSE)-VLOOKUP($A301,main!$A$3:$H$102,6,FALSE)&gt;=main!$D$103+VLOOKUP(VLOOKUP(BC$1,main!$A$3:$I$102,7,FALSE),main!$K$26:$Q$29,5,FALSE)),1,0)</f>
        <v>0</v>
      </c>
      <c r="BD301">
        <f>IF(AND(VLOOKUP(BD$1,main!$A$3:$H$102,7,FALSE)=main!$G$105,VLOOKUP(BD$1,main!$A$3:$H$102,5,FALSE)-VLOOKUP($A301,main!$A$3:$H$102,6,FALSE)&gt;=main!$D$103+VLOOKUP(VLOOKUP(BD$1,main!$A$3:$I$102,7,FALSE),main!$K$26:$Q$29,5,FALSE)),1,0)</f>
        <v>0</v>
      </c>
      <c r="BE301">
        <f>IF(AND(VLOOKUP(BE$1,main!$A$3:$H$102,7,FALSE)=main!$G$105,VLOOKUP(BE$1,main!$A$3:$H$102,5,FALSE)-VLOOKUP($A301,main!$A$3:$H$102,6,FALSE)&gt;=main!$D$103+VLOOKUP(VLOOKUP(BE$1,main!$A$3:$I$102,7,FALSE),main!$K$26:$Q$29,5,FALSE)),1,0)</f>
        <v>0</v>
      </c>
      <c r="BF301">
        <f>IF(AND(VLOOKUP(BF$1,main!$A$3:$H$102,7,FALSE)=main!$G$105,VLOOKUP(BF$1,main!$A$3:$H$102,5,FALSE)-VLOOKUP($A301,main!$A$3:$H$102,6,FALSE)&gt;=main!$D$103+VLOOKUP(VLOOKUP(BF$1,main!$A$3:$I$102,7,FALSE),main!$K$26:$Q$29,5,FALSE)),1,0)</f>
        <v>0</v>
      </c>
      <c r="BG301">
        <f>IF(AND(VLOOKUP(BG$1,main!$A$3:$H$102,7,FALSE)=main!$G$105,VLOOKUP(BG$1,main!$A$3:$H$102,5,FALSE)-VLOOKUP($A301,main!$A$3:$H$102,6,FALSE)&gt;=main!$D$103+VLOOKUP(VLOOKUP(BG$1,main!$A$3:$I$102,7,FALSE),main!$K$26:$Q$29,5,FALSE)),1,0)</f>
        <v>0</v>
      </c>
      <c r="BH301">
        <f>IF(AND(VLOOKUP(BH$1,main!$A$3:$H$102,7,FALSE)=main!$G$105,VLOOKUP(BH$1,main!$A$3:$H$102,5,FALSE)-VLOOKUP($A301,main!$A$3:$H$102,6,FALSE)&gt;=main!$D$103+VLOOKUP(VLOOKUP(BH$1,main!$A$3:$I$102,7,FALSE),main!$K$26:$Q$29,5,FALSE)),1,0)</f>
        <v>0</v>
      </c>
      <c r="BI301">
        <f>IF(AND(VLOOKUP(BI$1,main!$A$3:$H$102,7,FALSE)=main!$G$105,VLOOKUP(BI$1,main!$A$3:$H$102,5,FALSE)-VLOOKUP($A301,main!$A$3:$H$102,6,FALSE)&gt;=main!$D$103+VLOOKUP(VLOOKUP(BI$1,main!$A$3:$I$102,7,FALSE),main!$K$26:$Q$29,5,FALSE)),1,0)</f>
        <v>0</v>
      </c>
      <c r="BJ301">
        <f>IF(AND(VLOOKUP(BJ$1,main!$A$3:$H$102,7,FALSE)=main!$G$105,VLOOKUP(BJ$1,main!$A$3:$H$102,5,FALSE)-VLOOKUP($A301,main!$A$3:$H$102,6,FALSE)&gt;=main!$D$103+VLOOKUP(VLOOKUP(BJ$1,main!$A$3:$I$102,7,FALSE),main!$K$26:$Q$29,5,FALSE)),1,0)</f>
        <v>0</v>
      </c>
      <c r="BK301">
        <f>IF(AND(VLOOKUP(BK$1,main!$A$3:$H$102,7,FALSE)=main!$G$105,VLOOKUP(BK$1,main!$A$3:$H$102,5,FALSE)-VLOOKUP($A301,main!$A$3:$H$102,6,FALSE)&gt;=main!$D$103+VLOOKUP(VLOOKUP(BK$1,main!$A$3:$I$102,7,FALSE),main!$K$26:$Q$29,5,FALSE)),1,0)</f>
        <v>0</v>
      </c>
      <c r="BL301">
        <f>IF(AND(VLOOKUP(BL$1,main!$A$3:$H$102,7,FALSE)=main!$G$105,VLOOKUP(BL$1,main!$A$3:$H$102,5,FALSE)-VLOOKUP($A301,main!$A$3:$H$102,6,FALSE)&gt;=main!$D$103+VLOOKUP(VLOOKUP(BL$1,main!$A$3:$I$102,7,FALSE),main!$K$26:$Q$29,5,FALSE)),1,0)</f>
        <v>0</v>
      </c>
      <c r="BM301">
        <f>IF(AND(VLOOKUP(BM$1,main!$A$3:$H$102,7,FALSE)=main!$G$105,VLOOKUP(BM$1,main!$A$3:$H$102,5,FALSE)-VLOOKUP($A301,main!$A$3:$H$102,6,FALSE)&gt;=main!$D$103+VLOOKUP(VLOOKUP(BM$1,main!$A$3:$I$102,7,FALSE),main!$K$26:$Q$29,5,FALSE)),1,0)</f>
        <v>0</v>
      </c>
      <c r="BN301">
        <f>IF(AND(VLOOKUP(BN$1,main!$A$3:$H$102,7,FALSE)=main!$G$105,VLOOKUP(BN$1,main!$A$3:$H$102,5,FALSE)-VLOOKUP($A301,main!$A$3:$H$102,6,FALSE)&gt;=main!$D$103+VLOOKUP(VLOOKUP(BN$1,main!$A$3:$I$102,7,FALSE),main!$K$26:$Q$29,5,FALSE)),1,0)</f>
        <v>0</v>
      </c>
      <c r="BO301">
        <f>IF(AND(VLOOKUP(BO$1,main!$A$3:$H$102,7,FALSE)=main!$G$105,VLOOKUP(BO$1,main!$A$3:$H$102,5,FALSE)-VLOOKUP($A301,main!$A$3:$H$102,6,FALSE)&gt;=main!$D$103+VLOOKUP(VLOOKUP(BO$1,main!$A$3:$I$102,7,FALSE),main!$K$26:$Q$29,5,FALSE)),1,0)</f>
        <v>0</v>
      </c>
      <c r="BP301">
        <f>IF(AND(VLOOKUP(BP$1,main!$A$3:$H$102,7,FALSE)=main!$G$105,VLOOKUP(BP$1,main!$A$3:$H$102,5,FALSE)-VLOOKUP($A301,main!$A$3:$H$102,6,FALSE)&gt;=main!$D$103+VLOOKUP(VLOOKUP(BP$1,main!$A$3:$I$102,7,FALSE),main!$K$26:$Q$29,5,FALSE)),1,0)</f>
        <v>0</v>
      </c>
      <c r="BQ301">
        <f>IF(AND(VLOOKUP(BQ$1,main!$A$3:$H$102,7,FALSE)=main!$G$105,VLOOKUP(BQ$1,main!$A$3:$H$102,5,FALSE)-VLOOKUP($A301,main!$A$3:$H$102,6,FALSE)&gt;=main!$D$103+VLOOKUP(VLOOKUP(BQ$1,main!$A$3:$I$102,7,FALSE),main!$K$26:$Q$29,5,FALSE)),1,0)</f>
        <v>0</v>
      </c>
      <c r="BR301">
        <f>IF(AND(VLOOKUP(BR$1,main!$A$3:$H$102,7,FALSE)=main!$G$105,VLOOKUP(BR$1,main!$A$3:$H$102,5,FALSE)-VLOOKUP($A301,main!$A$3:$H$102,6,FALSE)&gt;=main!$D$103+VLOOKUP(VLOOKUP(BR$1,main!$A$3:$I$102,7,FALSE),main!$K$26:$Q$29,5,FALSE)),1,0)</f>
        <v>0</v>
      </c>
      <c r="BS301">
        <f>IF(AND(VLOOKUP(BS$1,main!$A$3:$H$102,7,FALSE)=main!$G$105,VLOOKUP(BS$1,main!$A$3:$H$102,5,FALSE)-VLOOKUP($A301,main!$A$3:$H$102,6,FALSE)&gt;=main!$D$103+VLOOKUP(VLOOKUP(BS$1,main!$A$3:$I$102,7,FALSE),main!$K$26:$Q$29,5,FALSE)),1,0)</f>
        <v>0</v>
      </c>
      <c r="BT301">
        <f>IF(AND(VLOOKUP(BT$1,main!$A$3:$H$102,7,FALSE)=main!$G$105,VLOOKUP(BT$1,main!$A$3:$H$102,5,FALSE)-VLOOKUP($A301,main!$A$3:$H$102,6,FALSE)&gt;=main!$D$103+VLOOKUP(VLOOKUP(BT$1,main!$A$3:$I$102,7,FALSE),main!$K$26:$Q$29,5,FALSE)),1,0)</f>
        <v>0</v>
      </c>
      <c r="BU301">
        <f>IF(AND(VLOOKUP(BU$1,main!$A$3:$H$102,7,FALSE)=main!$G$105,VLOOKUP(BU$1,main!$A$3:$H$102,5,FALSE)-VLOOKUP($A301,main!$A$3:$H$102,6,FALSE)&gt;=main!$D$103+VLOOKUP(VLOOKUP(BU$1,main!$A$3:$I$102,7,FALSE),main!$K$26:$Q$29,5,FALSE)),1,0)</f>
        <v>0</v>
      </c>
      <c r="BV301">
        <f>IF(AND(VLOOKUP(BV$1,main!$A$3:$H$102,7,FALSE)=main!$G$105,VLOOKUP(BV$1,main!$A$3:$H$102,5,FALSE)-VLOOKUP($A301,main!$A$3:$H$102,6,FALSE)&gt;=main!$D$103+VLOOKUP(VLOOKUP(BV$1,main!$A$3:$I$102,7,FALSE),main!$K$26:$Q$29,5,FALSE)),1,0)</f>
        <v>0</v>
      </c>
      <c r="BW301">
        <f>IF(AND(VLOOKUP(BW$1,main!$A$3:$H$102,7,FALSE)=main!$G$105,VLOOKUP(BW$1,main!$A$3:$H$102,5,FALSE)-VLOOKUP($A301,main!$A$3:$H$102,6,FALSE)&gt;=main!$D$103+VLOOKUP(VLOOKUP(BW$1,main!$A$3:$I$102,7,FALSE),main!$K$26:$Q$29,5,FALSE)),1,0)</f>
        <v>0</v>
      </c>
      <c r="BX301">
        <f>IF(AND(VLOOKUP(BX$1,main!$A$3:$H$102,7,FALSE)=main!$G$105,VLOOKUP(BX$1,main!$A$3:$H$102,5,FALSE)-VLOOKUP($A301,main!$A$3:$H$102,6,FALSE)&gt;=main!$D$103+VLOOKUP(VLOOKUP(BX$1,main!$A$3:$I$102,7,FALSE),main!$K$26:$Q$29,5,FALSE)),1,0)</f>
        <v>0</v>
      </c>
      <c r="BY301">
        <f>IF(AND(VLOOKUP(BY$1,main!$A$3:$H$102,7,FALSE)=main!$G$105,VLOOKUP(BY$1,main!$A$3:$H$102,5,FALSE)-VLOOKUP($A301,main!$A$3:$H$102,6,FALSE)&gt;=main!$D$103+VLOOKUP(VLOOKUP(BY$1,main!$A$3:$I$102,7,FALSE),main!$K$26:$Q$29,5,FALSE)),1,0)</f>
        <v>0</v>
      </c>
      <c r="BZ301">
        <f>IF(AND(VLOOKUP(BZ$1,main!$A$3:$H$102,7,FALSE)=main!$G$105,VLOOKUP(BZ$1,main!$A$3:$H$102,5,FALSE)-VLOOKUP($A301,main!$A$3:$H$102,6,FALSE)&gt;=main!$D$103+VLOOKUP(VLOOKUP(BZ$1,main!$A$3:$I$102,7,FALSE),main!$K$26:$Q$29,5,FALSE)),1,0)</f>
        <v>0</v>
      </c>
      <c r="CA301">
        <f>IF(AND(VLOOKUP(CA$1,main!$A$3:$H$102,7,FALSE)=main!$G$105,VLOOKUP(CA$1,main!$A$3:$H$102,5,FALSE)-VLOOKUP($A301,main!$A$3:$H$102,6,FALSE)&gt;=main!$D$103+VLOOKUP(VLOOKUP(CA$1,main!$A$3:$I$102,7,FALSE),main!$K$26:$Q$29,5,FALSE)),1,0)</f>
        <v>0</v>
      </c>
      <c r="CB301">
        <f>IF(AND(VLOOKUP(CB$1,main!$A$3:$H$102,7,FALSE)=main!$G$105,VLOOKUP(CB$1,main!$A$3:$H$102,5,FALSE)-VLOOKUP($A301,main!$A$3:$H$102,6,FALSE)&gt;=main!$D$103+VLOOKUP(VLOOKUP(CB$1,main!$A$3:$I$102,7,FALSE),main!$K$26:$Q$29,5,FALSE)),1,0)</f>
        <v>0</v>
      </c>
      <c r="CC301">
        <f>IF(AND(VLOOKUP(CC$1,main!$A$3:$H$102,7,FALSE)=main!$G$105,VLOOKUP(CC$1,main!$A$3:$H$102,5,FALSE)-VLOOKUP($A301,main!$A$3:$H$102,6,FALSE)&gt;=main!$D$103+VLOOKUP(VLOOKUP(CC$1,main!$A$3:$I$102,7,FALSE),main!$K$26:$Q$29,5,FALSE)),1,0)</f>
        <v>0</v>
      </c>
      <c r="CD301">
        <f>IF(AND(VLOOKUP(CD$1,main!$A$3:$H$102,7,FALSE)=main!$G$105,VLOOKUP(CD$1,main!$A$3:$H$102,5,FALSE)-VLOOKUP($A301,main!$A$3:$H$102,6,FALSE)&gt;=main!$D$103+VLOOKUP(VLOOKUP(CD$1,main!$A$3:$I$102,7,FALSE),main!$K$26:$Q$29,5,FALSE)),1,0)</f>
        <v>0</v>
      </c>
      <c r="CE301">
        <f>IF(AND(VLOOKUP(CE$1,main!$A$3:$H$102,7,FALSE)=main!$G$105,VLOOKUP(CE$1,main!$A$3:$H$102,5,FALSE)-VLOOKUP($A301,main!$A$3:$H$102,6,FALSE)&gt;=main!$D$103+VLOOKUP(VLOOKUP(CE$1,main!$A$3:$I$102,7,FALSE),main!$K$26:$Q$29,5,FALSE)),1,0)</f>
        <v>0</v>
      </c>
      <c r="CF301">
        <f>IF(AND(VLOOKUP(CF$1,main!$A$3:$H$102,7,FALSE)=main!$G$105,VLOOKUP(CF$1,main!$A$3:$H$102,5,FALSE)-VLOOKUP($A301,main!$A$3:$H$102,6,FALSE)&gt;=main!$D$103+VLOOKUP(VLOOKUP(CF$1,main!$A$3:$I$102,7,FALSE),main!$K$26:$Q$29,5,FALSE)),1,0)</f>
        <v>0</v>
      </c>
      <c r="CG301">
        <f>IF(AND(VLOOKUP(CG$1,main!$A$3:$H$102,7,FALSE)=main!$G$105,VLOOKUP(CG$1,main!$A$3:$H$102,5,FALSE)-VLOOKUP($A301,main!$A$3:$H$102,6,FALSE)&gt;=main!$D$103+VLOOKUP(VLOOKUP(CG$1,main!$A$3:$I$102,7,FALSE),main!$K$26:$Q$29,5,FALSE)),1,0)</f>
        <v>0</v>
      </c>
      <c r="CH301">
        <f>IF(AND(VLOOKUP(CH$1,main!$A$3:$H$102,7,FALSE)=main!$G$105,VLOOKUP(CH$1,main!$A$3:$H$102,5,FALSE)-VLOOKUP($A301,main!$A$3:$H$102,6,FALSE)&gt;=main!$D$103+VLOOKUP(VLOOKUP(CH$1,main!$A$3:$I$102,7,FALSE),main!$K$26:$Q$29,5,FALSE)),1,0)</f>
        <v>0</v>
      </c>
      <c r="CI301">
        <f>IF(AND(VLOOKUP(CI$1,main!$A$3:$H$102,7,FALSE)=main!$G$105,VLOOKUP(CI$1,main!$A$3:$H$102,5,FALSE)-VLOOKUP($A301,main!$A$3:$H$102,6,FALSE)&gt;=main!$D$103+VLOOKUP(VLOOKUP(CI$1,main!$A$3:$I$102,7,FALSE),main!$K$26:$Q$29,5,FALSE)),1,0)</f>
        <v>0</v>
      </c>
      <c r="CJ301">
        <f>IF(AND(VLOOKUP(CJ$1,main!$A$3:$H$102,7,FALSE)=main!$G$105,VLOOKUP(CJ$1,main!$A$3:$H$102,5,FALSE)-VLOOKUP($A301,main!$A$3:$H$102,6,FALSE)&gt;=main!$D$103+VLOOKUP(VLOOKUP(CJ$1,main!$A$3:$I$102,7,FALSE),main!$K$26:$Q$29,5,FALSE)),1,0)</f>
        <v>0</v>
      </c>
      <c r="CK301">
        <f>IF(AND(VLOOKUP(CK$1,main!$A$3:$H$102,7,FALSE)=main!$G$105,VLOOKUP(CK$1,main!$A$3:$H$102,5,FALSE)-VLOOKUP($A301,main!$A$3:$H$102,6,FALSE)&gt;=main!$D$103+VLOOKUP(VLOOKUP(CK$1,main!$A$3:$I$102,7,FALSE),main!$K$26:$Q$29,5,FALSE)),1,0)</f>
        <v>0</v>
      </c>
      <c r="CL301">
        <f>IF(AND(VLOOKUP(CL$1,main!$A$3:$H$102,7,FALSE)=main!$G$105,VLOOKUP(CL$1,main!$A$3:$H$102,5,FALSE)-VLOOKUP($A301,main!$A$3:$H$102,6,FALSE)&gt;=main!$D$103+VLOOKUP(VLOOKUP(CL$1,main!$A$3:$I$102,7,FALSE),main!$K$26:$Q$29,5,FALSE)),1,0)</f>
        <v>0</v>
      </c>
      <c r="CM301">
        <f>IF(AND(VLOOKUP(CM$1,main!$A$3:$H$102,7,FALSE)=main!$G$105,VLOOKUP(CM$1,main!$A$3:$H$102,5,FALSE)-VLOOKUP($A301,main!$A$3:$H$102,6,FALSE)&gt;=main!$D$103+VLOOKUP(VLOOKUP(CM$1,main!$A$3:$I$102,7,FALSE),main!$K$26:$Q$29,5,FALSE)),1,0)</f>
        <v>0</v>
      </c>
      <c r="CN301">
        <f>IF(AND(VLOOKUP(CN$1,main!$A$3:$H$102,7,FALSE)=main!$G$105,VLOOKUP(CN$1,main!$A$3:$H$102,5,FALSE)-VLOOKUP($A301,main!$A$3:$H$102,6,FALSE)&gt;=main!$D$103+VLOOKUP(VLOOKUP(CN$1,main!$A$3:$I$102,7,FALSE),main!$K$26:$Q$29,5,FALSE)),1,0)</f>
        <v>0</v>
      </c>
      <c r="CO301">
        <f>IF(AND(VLOOKUP(CO$1,main!$A$3:$H$102,7,FALSE)=main!$G$105,VLOOKUP(CO$1,main!$A$3:$H$102,5,FALSE)-VLOOKUP($A301,main!$A$3:$H$102,6,FALSE)&gt;=main!$D$103+VLOOKUP(VLOOKUP(CO$1,main!$A$3:$I$102,7,FALSE),main!$K$26:$Q$29,5,FALSE)),1,0)</f>
        <v>0</v>
      </c>
      <c r="CP301">
        <f>IF(AND(VLOOKUP(CP$1,main!$A$3:$H$102,7,FALSE)=main!$G$105,VLOOKUP(CP$1,main!$A$3:$H$102,5,FALSE)-VLOOKUP($A301,main!$A$3:$H$102,6,FALSE)&gt;=main!$D$103+VLOOKUP(VLOOKUP(CP$1,main!$A$3:$I$102,7,FALSE),main!$K$26:$Q$29,5,FALSE)),1,0)</f>
        <v>0</v>
      </c>
      <c r="CQ301">
        <f>IF(AND(VLOOKUP(CQ$1,main!$A$3:$H$102,7,FALSE)=main!$G$105,VLOOKUP(CQ$1,main!$A$3:$H$102,5,FALSE)-VLOOKUP($A301,main!$A$3:$H$102,6,FALSE)&gt;=main!$D$103+VLOOKUP(VLOOKUP(CQ$1,main!$A$3:$I$102,7,FALSE),main!$K$26:$Q$29,5,FALSE)),1,0)</f>
        <v>0</v>
      </c>
      <c r="CR301">
        <f>IF(AND(VLOOKUP(CR$1,main!$A$3:$H$102,7,FALSE)=main!$G$105,VLOOKUP(CR$1,main!$A$3:$H$102,5,FALSE)-VLOOKUP($A301,main!$A$3:$H$102,6,FALSE)&gt;=main!$D$103+VLOOKUP(VLOOKUP(CR$1,main!$A$3:$I$102,7,FALSE),main!$K$26:$Q$29,5,FALSE)),1,0)</f>
        <v>0</v>
      </c>
      <c r="CS301">
        <f>IF(AND(VLOOKUP(CS$1,main!$A$3:$H$102,7,FALSE)=main!$G$105,VLOOKUP(CS$1,main!$A$3:$H$102,5,FALSE)-VLOOKUP($A301,main!$A$3:$H$102,6,FALSE)&gt;=main!$D$103+VLOOKUP(VLOOKUP(CS$1,main!$A$3:$I$102,7,FALSE),main!$K$26:$Q$29,5,FALSE)),1,0)</f>
        <v>0</v>
      </c>
      <c r="CT301">
        <f>IF(AND(VLOOKUP(CT$1,main!$A$3:$H$102,7,FALSE)=main!$G$105,VLOOKUP(CT$1,main!$A$3:$H$102,5,FALSE)-VLOOKUP($A301,main!$A$3:$H$102,6,FALSE)&gt;=main!$D$103+VLOOKUP(VLOOKUP(CT$1,main!$A$3:$I$102,7,FALSE),main!$K$26:$Q$29,5,FALSE)),1,0)</f>
        <v>0</v>
      </c>
      <c r="CU301">
        <f>IF(AND(VLOOKUP(CU$1,main!$A$3:$H$102,7,FALSE)=main!$G$105,VLOOKUP(CU$1,main!$A$3:$H$102,5,FALSE)-VLOOKUP($A301,main!$A$3:$H$102,6,FALSE)&gt;=main!$D$103+VLOOKUP(VLOOKUP(CU$1,main!$A$3:$I$102,7,FALSE),main!$K$26:$Q$29,5,FALSE)),1,0)</f>
        <v>0</v>
      </c>
      <c r="CV301">
        <f>IF(AND(VLOOKUP(CV$1,main!$A$3:$H$102,7,FALSE)=main!$G$105,VLOOKUP(CV$1,main!$A$3:$H$102,5,FALSE)-VLOOKUP($A301,main!$A$3:$H$102,6,FALSE)&gt;=main!$D$103+VLOOKUP(VLOOKUP(CV$1,main!$A$3:$I$102,7,FALSE),main!$K$26:$Q$29,5,FALSE)),1,0)</f>
        <v>0</v>
      </c>
      <c r="CW301">
        <f>IF(AND(VLOOKUP(CW$1,main!$A$3:$H$102,7,FALSE)=main!$G$105,VLOOKUP(CW$1,main!$A$3:$H$102,5,FALSE)-VLOOKUP($A301,main!$A$3:$H$102,6,FALSE)&gt;=main!$D$103+VLOOKUP(VLOOKUP(CW$1,main!$A$3:$I$102,7,FALSE),main!$K$26:$Q$29,5,FALSE)),1,0)</f>
        <v>0</v>
      </c>
      <c r="CX301">
        <f>IF(AND(VLOOKUP(CX$1,main!$A$3:$H$102,7,FALSE)=main!$G$105,VLOOKUP(CX$1,main!$A$3:$H$102,5,FALSE)-VLOOKUP($A301,main!$A$3:$H$102,6,FALSE)&gt;=main!$D$103+VLOOKUP(VLOOKUP(CX$1,main!$A$3:$I$102,7,FALSE),main!$K$26:$Q$29,5,FALSE)),1,0)</f>
        <v>0</v>
      </c>
    </row>
    <row r="302" spans="1:102" x14ac:dyDescent="0.25">
      <c r="A302" s="1">
        <v>98</v>
      </c>
      <c r="B302">
        <v>0</v>
      </c>
      <c r="C302">
        <f>IF(AND(VLOOKUP(C$1,main!$A$3:$H$102,7,FALSE)=main!$G$105,VLOOKUP(C$1,main!$A$3:$H$102,5,FALSE)-VLOOKUP($A302,main!$A$3:$H$102,6,FALSE)&gt;=main!$D$103+VLOOKUP(VLOOKUP(C$1,main!$A$3:$I$102,7,FALSE),main!$K$26:$Q$29,5,FALSE)),1,0)</f>
        <v>0</v>
      </c>
      <c r="D302">
        <f>IF(AND(VLOOKUP(D$1,main!$A$3:$H$102,7,FALSE)=main!$G$105,VLOOKUP(D$1,main!$A$3:$H$102,5,FALSE)-VLOOKUP($A302,main!$A$3:$H$102,6,FALSE)&gt;=main!$D$103+VLOOKUP(VLOOKUP(D$1,main!$A$3:$I$102,7,FALSE),main!$K$26:$Q$29,5,FALSE)),1,0)</f>
        <v>0</v>
      </c>
      <c r="E302">
        <f>IF(AND(VLOOKUP(E$1,main!$A$3:$H$102,7,FALSE)=main!$G$105,VLOOKUP(E$1,main!$A$3:$H$102,5,FALSE)-VLOOKUP($A302,main!$A$3:$H$102,6,FALSE)&gt;=main!$D$103+VLOOKUP(VLOOKUP(E$1,main!$A$3:$I$102,7,FALSE),main!$K$26:$Q$29,5,FALSE)),1,0)</f>
        <v>0</v>
      </c>
      <c r="F302">
        <f>IF(AND(VLOOKUP(F$1,main!$A$3:$H$102,7,FALSE)=main!$G$105,VLOOKUP(F$1,main!$A$3:$H$102,5,FALSE)-VLOOKUP($A302,main!$A$3:$H$102,6,FALSE)&gt;=main!$D$103+VLOOKUP(VLOOKUP(F$1,main!$A$3:$I$102,7,FALSE),main!$K$26:$Q$29,5,FALSE)),1,0)</f>
        <v>0</v>
      </c>
      <c r="G302">
        <f>IF(AND(VLOOKUP(G$1,main!$A$3:$H$102,7,FALSE)=main!$G$105,VLOOKUP(G$1,main!$A$3:$H$102,5,FALSE)-VLOOKUP($A302,main!$A$3:$H$102,6,FALSE)&gt;=main!$D$103+VLOOKUP(VLOOKUP(G$1,main!$A$3:$I$102,7,FALSE),main!$K$26:$Q$29,5,FALSE)),1,0)</f>
        <v>0</v>
      </c>
      <c r="H302">
        <f>IF(AND(VLOOKUP(H$1,main!$A$3:$H$102,7,FALSE)=main!$G$105,VLOOKUP(H$1,main!$A$3:$H$102,5,FALSE)-VLOOKUP($A302,main!$A$3:$H$102,6,FALSE)&gt;=main!$D$103+VLOOKUP(VLOOKUP(H$1,main!$A$3:$I$102,7,FALSE),main!$K$26:$Q$29,5,FALSE)),1,0)</f>
        <v>0</v>
      </c>
      <c r="I302">
        <f>IF(AND(VLOOKUP(I$1,main!$A$3:$H$102,7,FALSE)=main!$G$105,VLOOKUP(I$1,main!$A$3:$H$102,5,FALSE)-VLOOKUP($A302,main!$A$3:$H$102,6,FALSE)&gt;=main!$D$103+VLOOKUP(VLOOKUP(I$1,main!$A$3:$I$102,7,FALSE),main!$K$26:$Q$29,5,FALSE)),1,0)</f>
        <v>0</v>
      </c>
      <c r="J302">
        <f>IF(AND(VLOOKUP(J$1,main!$A$3:$H$102,7,FALSE)=main!$G$105,VLOOKUP(J$1,main!$A$3:$H$102,5,FALSE)-VLOOKUP($A302,main!$A$3:$H$102,6,FALSE)&gt;=main!$D$103+VLOOKUP(VLOOKUP(J$1,main!$A$3:$I$102,7,FALSE),main!$K$26:$Q$29,5,FALSE)),1,0)</f>
        <v>0</v>
      </c>
      <c r="K302">
        <f>IF(AND(VLOOKUP(K$1,main!$A$3:$H$102,7,FALSE)=main!$G$105,VLOOKUP(K$1,main!$A$3:$H$102,5,FALSE)-VLOOKUP($A302,main!$A$3:$H$102,6,FALSE)&gt;=main!$D$103+VLOOKUP(VLOOKUP(K$1,main!$A$3:$I$102,7,FALSE),main!$K$26:$Q$29,5,FALSE)),1,0)</f>
        <v>0</v>
      </c>
      <c r="L302">
        <f>IF(AND(VLOOKUP(L$1,main!$A$3:$H$102,7,FALSE)=main!$G$105,VLOOKUP(L$1,main!$A$3:$H$102,5,FALSE)-VLOOKUP($A302,main!$A$3:$H$102,6,FALSE)&gt;=main!$D$103+VLOOKUP(VLOOKUP(L$1,main!$A$3:$I$102,7,FALSE),main!$K$26:$Q$29,5,FALSE)),1,0)</f>
        <v>0</v>
      </c>
      <c r="M302">
        <f>IF(AND(VLOOKUP(M$1,main!$A$3:$H$102,7,FALSE)=main!$G$105,VLOOKUP(M$1,main!$A$3:$H$102,5,FALSE)-VLOOKUP($A302,main!$A$3:$H$102,6,FALSE)&gt;=main!$D$103+VLOOKUP(VLOOKUP(M$1,main!$A$3:$I$102,7,FALSE),main!$K$26:$Q$29,5,FALSE)),1,0)</f>
        <v>0</v>
      </c>
      <c r="N302">
        <f>IF(AND(VLOOKUP(N$1,main!$A$3:$H$102,7,FALSE)=main!$G$105,VLOOKUP(N$1,main!$A$3:$H$102,5,FALSE)-VLOOKUP($A302,main!$A$3:$H$102,6,FALSE)&gt;=main!$D$103+VLOOKUP(VLOOKUP(N$1,main!$A$3:$I$102,7,FALSE),main!$K$26:$Q$29,5,FALSE)),1,0)</f>
        <v>0</v>
      </c>
      <c r="O302">
        <f>IF(AND(VLOOKUP(O$1,main!$A$3:$H$102,7,FALSE)=main!$G$105,VLOOKUP(O$1,main!$A$3:$H$102,5,FALSE)-VLOOKUP($A302,main!$A$3:$H$102,6,FALSE)&gt;=main!$D$103+VLOOKUP(VLOOKUP(O$1,main!$A$3:$I$102,7,FALSE),main!$K$26:$Q$29,5,FALSE)),1,0)</f>
        <v>0</v>
      </c>
      <c r="P302">
        <f>IF(AND(VLOOKUP(P$1,main!$A$3:$H$102,7,FALSE)=main!$G$105,VLOOKUP(P$1,main!$A$3:$H$102,5,FALSE)-VLOOKUP($A302,main!$A$3:$H$102,6,FALSE)&gt;=main!$D$103+VLOOKUP(VLOOKUP(P$1,main!$A$3:$I$102,7,FALSE),main!$K$26:$Q$29,5,FALSE)),1,0)</f>
        <v>0</v>
      </c>
      <c r="Q302">
        <f>IF(AND(VLOOKUP(Q$1,main!$A$3:$H$102,7,FALSE)=main!$G$105,VLOOKUP(Q$1,main!$A$3:$H$102,5,FALSE)-VLOOKUP($A302,main!$A$3:$H$102,6,FALSE)&gt;=main!$D$103+VLOOKUP(VLOOKUP(Q$1,main!$A$3:$I$102,7,FALSE),main!$K$26:$Q$29,5,FALSE)),1,0)</f>
        <v>0</v>
      </c>
      <c r="R302">
        <f>IF(AND(VLOOKUP(R$1,main!$A$3:$H$102,7,FALSE)=main!$G$105,VLOOKUP(R$1,main!$A$3:$H$102,5,FALSE)-VLOOKUP($A302,main!$A$3:$H$102,6,FALSE)&gt;=main!$D$103+VLOOKUP(VLOOKUP(R$1,main!$A$3:$I$102,7,FALSE),main!$K$26:$Q$29,5,FALSE)),1,0)</f>
        <v>0</v>
      </c>
      <c r="S302">
        <f>IF(AND(VLOOKUP(S$1,main!$A$3:$H$102,7,FALSE)=main!$G$105,VLOOKUP(S$1,main!$A$3:$H$102,5,FALSE)-VLOOKUP($A302,main!$A$3:$H$102,6,FALSE)&gt;=main!$D$103+VLOOKUP(VLOOKUP(S$1,main!$A$3:$I$102,7,FALSE),main!$K$26:$Q$29,5,FALSE)),1,0)</f>
        <v>0</v>
      </c>
      <c r="T302">
        <f>IF(AND(VLOOKUP(T$1,main!$A$3:$H$102,7,FALSE)=main!$G$105,VLOOKUP(T$1,main!$A$3:$H$102,5,FALSE)-VLOOKUP($A302,main!$A$3:$H$102,6,FALSE)&gt;=main!$D$103+VLOOKUP(VLOOKUP(T$1,main!$A$3:$I$102,7,FALSE),main!$K$26:$Q$29,5,FALSE)),1,0)</f>
        <v>0</v>
      </c>
      <c r="U302">
        <f>IF(AND(VLOOKUP(U$1,main!$A$3:$H$102,7,FALSE)=main!$G$105,VLOOKUP(U$1,main!$A$3:$H$102,5,FALSE)-VLOOKUP($A302,main!$A$3:$H$102,6,FALSE)&gt;=main!$D$103+VLOOKUP(VLOOKUP(U$1,main!$A$3:$I$102,7,FALSE),main!$K$26:$Q$29,5,FALSE)),1,0)</f>
        <v>0</v>
      </c>
      <c r="V302">
        <f>IF(AND(VLOOKUP(V$1,main!$A$3:$H$102,7,FALSE)=main!$G$105,VLOOKUP(V$1,main!$A$3:$H$102,5,FALSE)-VLOOKUP($A302,main!$A$3:$H$102,6,FALSE)&gt;=main!$D$103+VLOOKUP(VLOOKUP(V$1,main!$A$3:$I$102,7,FALSE),main!$K$26:$Q$29,5,FALSE)),1,0)</f>
        <v>0</v>
      </c>
      <c r="W302">
        <f>IF(AND(VLOOKUP(W$1,main!$A$3:$H$102,7,FALSE)=main!$G$105,VLOOKUP(W$1,main!$A$3:$H$102,5,FALSE)-VLOOKUP($A302,main!$A$3:$H$102,6,FALSE)&gt;=main!$D$103+VLOOKUP(VLOOKUP(W$1,main!$A$3:$I$102,7,FALSE),main!$K$26:$Q$29,5,FALSE)),1,0)</f>
        <v>0</v>
      </c>
      <c r="X302">
        <f>IF(AND(VLOOKUP(X$1,main!$A$3:$H$102,7,FALSE)=main!$G$105,VLOOKUP(X$1,main!$A$3:$H$102,5,FALSE)-VLOOKUP($A302,main!$A$3:$H$102,6,FALSE)&gt;=main!$D$103+VLOOKUP(VLOOKUP(X$1,main!$A$3:$I$102,7,FALSE),main!$K$26:$Q$29,5,FALSE)),1,0)</f>
        <v>0</v>
      </c>
      <c r="Y302">
        <f>IF(AND(VLOOKUP(Y$1,main!$A$3:$H$102,7,FALSE)=main!$G$105,VLOOKUP(Y$1,main!$A$3:$H$102,5,FALSE)-VLOOKUP($A302,main!$A$3:$H$102,6,FALSE)&gt;=main!$D$103+VLOOKUP(VLOOKUP(Y$1,main!$A$3:$I$102,7,FALSE),main!$K$26:$Q$29,5,FALSE)),1,0)</f>
        <v>0</v>
      </c>
      <c r="Z302">
        <f>IF(AND(VLOOKUP(Z$1,main!$A$3:$H$102,7,FALSE)=main!$G$105,VLOOKUP(Z$1,main!$A$3:$H$102,5,FALSE)-VLOOKUP($A302,main!$A$3:$H$102,6,FALSE)&gt;=main!$D$103+VLOOKUP(VLOOKUP(Z$1,main!$A$3:$I$102,7,FALSE),main!$K$26:$Q$29,5,FALSE)),1,0)</f>
        <v>0</v>
      </c>
      <c r="AA302">
        <f>IF(AND(VLOOKUP(AA$1,main!$A$3:$H$102,7,FALSE)=main!$G$105,VLOOKUP(AA$1,main!$A$3:$H$102,5,FALSE)-VLOOKUP($A302,main!$A$3:$H$102,6,FALSE)&gt;=main!$D$103+VLOOKUP(VLOOKUP(AA$1,main!$A$3:$I$102,7,FALSE),main!$K$26:$Q$29,5,FALSE)),1,0)</f>
        <v>0</v>
      </c>
      <c r="AB302">
        <f>IF(AND(VLOOKUP(AB$1,main!$A$3:$H$102,7,FALSE)=main!$G$105,VLOOKUP(AB$1,main!$A$3:$H$102,5,FALSE)-VLOOKUP($A302,main!$A$3:$H$102,6,FALSE)&gt;=main!$D$103+VLOOKUP(VLOOKUP(AB$1,main!$A$3:$I$102,7,FALSE),main!$K$26:$Q$29,5,FALSE)),1,0)</f>
        <v>0</v>
      </c>
      <c r="AC302">
        <f>IF(AND(VLOOKUP(AC$1,main!$A$3:$H$102,7,FALSE)=main!$G$105,VLOOKUP(AC$1,main!$A$3:$H$102,5,FALSE)-VLOOKUP($A302,main!$A$3:$H$102,6,FALSE)&gt;=main!$D$103+VLOOKUP(VLOOKUP(AC$1,main!$A$3:$I$102,7,FALSE),main!$K$26:$Q$29,5,FALSE)),1,0)</f>
        <v>0</v>
      </c>
      <c r="AD302">
        <f>IF(AND(VLOOKUP(AD$1,main!$A$3:$H$102,7,FALSE)=main!$G$105,VLOOKUP(AD$1,main!$A$3:$H$102,5,FALSE)-VLOOKUP($A302,main!$A$3:$H$102,6,FALSE)&gt;=main!$D$103+VLOOKUP(VLOOKUP(AD$1,main!$A$3:$I$102,7,FALSE),main!$K$26:$Q$29,5,FALSE)),1,0)</f>
        <v>0</v>
      </c>
      <c r="AE302">
        <f>IF(AND(VLOOKUP(AE$1,main!$A$3:$H$102,7,FALSE)=main!$G$105,VLOOKUP(AE$1,main!$A$3:$H$102,5,FALSE)-VLOOKUP($A302,main!$A$3:$H$102,6,FALSE)&gt;=main!$D$103+VLOOKUP(VLOOKUP(AE$1,main!$A$3:$I$102,7,FALSE),main!$K$26:$Q$29,5,FALSE)),1,0)</f>
        <v>0</v>
      </c>
      <c r="AF302">
        <f>IF(AND(VLOOKUP(AF$1,main!$A$3:$H$102,7,FALSE)=main!$G$105,VLOOKUP(AF$1,main!$A$3:$H$102,5,FALSE)-VLOOKUP($A302,main!$A$3:$H$102,6,FALSE)&gt;=main!$D$103+VLOOKUP(VLOOKUP(AF$1,main!$A$3:$I$102,7,FALSE),main!$K$26:$Q$29,5,FALSE)),1,0)</f>
        <v>0</v>
      </c>
      <c r="AG302">
        <f>IF(AND(VLOOKUP(AG$1,main!$A$3:$H$102,7,FALSE)=main!$G$105,VLOOKUP(AG$1,main!$A$3:$H$102,5,FALSE)-VLOOKUP($A302,main!$A$3:$H$102,6,FALSE)&gt;=main!$D$103+VLOOKUP(VLOOKUP(AG$1,main!$A$3:$I$102,7,FALSE),main!$K$26:$Q$29,5,FALSE)),1,0)</f>
        <v>0</v>
      </c>
      <c r="AH302">
        <f>IF(AND(VLOOKUP(AH$1,main!$A$3:$H$102,7,FALSE)=main!$G$105,VLOOKUP(AH$1,main!$A$3:$H$102,5,FALSE)-VLOOKUP($A302,main!$A$3:$H$102,6,FALSE)&gt;=main!$D$103+VLOOKUP(VLOOKUP(AH$1,main!$A$3:$I$102,7,FALSE),main!$K$26:$Q$29,5,FALSE)),1,0)</f>
        <v>0</v>
      </c>
      <c r="AI302">
        <f>IF(AND(VLOOKUP(AI$1,main!$A$3:$H$102,7,FALSE)=main!$G$105,VLOOKUP(AI$1,main!$A$3:$H$102,5,FALSE)-VLOOKUP($A302,main!$A$3:$H$102,6,FALSE)&gt;=main!$D$103+VLOOKUP(VLOOKUP(AI$1,main!$A$3:$I$102,7,FALSE),main!$K$26:$Q$29,5,FALSE)),1,0)</f>
        <v>0</v>
      </c>
      <c r="AJ302">
        <f>IF(AND(VLOOKUP(AJ$1,main!$A$3:$H$102,7,FALSE)=main!$G$105,VLOOKUP(AJ$1,main!$A$3:$H$102,5,FALSE)-VLOOKUP($A302,main!$A$3:$H$102,6,FALSE)&gt;=main!$D$103+VLOOKUP(VLOOKUP(AJ$1,main!$A$3:$I$102,7,FALSE),main!$K$26:$Q$29,5,FALSE)),1,0)</f>
        <v>0</v>
      </c>
      <c r="AK302">
        <f>IF(AND(VLOOKUP(AK$1,main!$A$3:$H$102,7,FALSE)=main!$G$105,VLOOKUP(AK$1,main!$A$3:$H$102,5,FALSE)-VLOOKUP($A302,main!$A$3:$H$102,6,FALSE)&gt;=main!$D$103+VLOOKUP(VLOOKUP(AK$1,main!$A$3:$I$102,7,FALSE),main!$K$26:$Q$29,5,FALSE)),1,0)</f>
        <v>0</v>
      </c>
      <c r="AL302">
        <f>IF(AND(VLOOKUP(AL$1,main!$A$3:$H$102,7,FALSE)=main!$G$105,VLOOKUP(AL$1,main!$A$3:$H$102,5,FALSE)-VLOOKUP($A302,main!$A$3:$H$102,6,FALSE)&gt;=main!$D$103+VLOOKUP(VLOOKUP(AL$1,main!$A$3:$I$102,7,FALSE),main!$K$26:$Q$29,5,FALSE)),1,0)</f>
        <v>1</v>
      </c>
      <c r="AM302">
        <f>IF(AND(VLOOKUP(AM$1,main!$A$3:$H$102,7,FALSE)=main!$G$105,VLOOKUP(AM$1,main!$A$3:$H$102,5,FALSE)-VLOOKUP($A302,main!$A$3:$H$102,6,FALSE)&gt;=main!$D$103+VLOOKUP(VLOOKUP(AM$1,main!$A$3:$I$102,7,FALSE),main!$K$26:$Q$29,5,FALSE)),1,0)</f>
        <v>1</v>
      </c>
      <c r="AN302">
        <f>IF(AND(VLOOKUP(AN$1,main!$A$3:$H$102,7,FALSE)=main!$G$105,VLOOKUP(AN$1,main!$A$3:$H$102,5,FALSE)-VLOOKUP($A302,main!$A$3:$H$102,6,FALSE)&gt;=main!$D$103+VLOOKUP(VLOOKUP(AN$1,main!$A$3:$I$102,7,FALSE),main!$K$26:$Q$29,5,FALSE)),1,0)</f>
        <v>1</v>
      </c>
      <c r="AO302">
        <f>IF(AND(VLOOKUP(AO$1,main!$A$3:$H$102,7,FALSE)=main!$G$105,VLOOKUP(AO$1,main!$A$3:$H$102,5,FALSE)-VLOOKUP($A302,main!$A$3:$H$102,6,FALSE)&gt;=main!$D$103+VLOOKUP(VLOOKUP(AO$1,main!$A$3:$I$102,7,FALSE),main!$K$26:$Q$29,5,FALSE)),1,0)</f>
        <v>0</v>
      </c>
      <c r="AP302">
        <f>IF(AND(VLOOKUP(AP$1,main!$A$3:$H$102,7,FALSE)=main!$G$105,VLOOKUP(AP$1,main!$A$3:$H$102,5,FALSE)-VLOOKUP($A302,main!$A$3:$H$102,6,FALSE)&gt;=main!$D$103+VLOOKUP(VLOOKUP(AP$1,main!$A$3:$I$102,7,FALSE),main!$K$26:$Q$29,5,FALSE)),1,0)</f>
        <v>1</v>
      </c>
      <c r="AQ302">
        <f>IF(AND(VLOOKUP(AQ$1,main!$A$3:$H$102,7,FALSE)=main!$G$105,VLOOKUP(AQ$1,main!$A$3:$H$102,5,FALSE)-VLOOKUP($A302,main!$A$3:$H$102,6,FALSE)&gt;=main!$D$103+VLOOKUP(VLOOKUP(AQ$1,main!$A$3:$I$102,7,FALSE),main!$K$26:$Q$29,5,FALSE)),1,0)</f>
        <v>0</v>
      </c>
      <c r="AR302">
        <f>IF(AND(VLOOKUP(AR$1,main!$A$3:$H$102,7,FALSE)=main!$G$105,VLOOKUP(AR$1,main!$A$3:$H$102,5,FALSE)-VLOOKUP($A302,main!$A$3:$H$102,6,FALSE)&gt;=main!$D$103+VLOOKUP(VLOOKUP(AR$1,main!$A$3:$I$102,7,FALSE),main!$K$26:$Q$29,5,FALSE)),1,0)</f>
        <v>0</v>
      </c>
      <c r="AS302">
        <f>IF(AND(VLOOKUP(AS$1,main!$A$3:$H$102,7,FALSE)=main!$G$105,VLOOKUP(AS$1,main!$A$3:$H$102,5,FALSE)-VLOOKUP($A302,main!$A$3:$H$102,6,FALSE)&gt;=main!$D$103+VLOOKUP(VLOOKUP(AS$1,main!$A$3:$I$102,7,FALSE),main!$K$26:$Q$29,5,FALSE)),1,0)</f>
        <v>0</v>
      </c>
      <c r="AT302">
        <f>IF(AND(VLOOKUP(AT$1,main!$A$3:$H$102,7,FALSE)=main!$G$105,VLOOKUP(AT$1,main!$A$3:$H$102,5,FALSE)-VLOOKUP($A302,main!$A$3:$H$102,6,FALSE)&gt;=main!$D$103+VLOOKUP(VLOOKUP(AT$1,main!$A$3:$I$102,7,FALSE),main!$K$26:$Q$29,5,FALSE)),1,0)</f>
        <v>1</v>
      </c>
      <c r="AU302">
        <f>IF(AND(VLOOKUP(AU$1,main!$A$3:$H$102,7,FALSE)=main!$G$105,VLOOKUP(AU$1,main!$A$3:$H$102,5,FALSE)-VLOOKUP($A302,main!$A$3:$H$102,6,FALSE)&gt;=main!$D$103+VLOOKUP(VLOOKUP(AU$1,main!$A$3:$I$102,7,FALSE),main!$K$26:$Q$29,5,FALSE)),1,0)</f>
        <v>0</v>
      </c>
      <c r="AV302">
        <f>IF(AND(VLOOKUP(AV$1,main!$A$3:$H$102,7,FALSE)=main!$G$105,VLOOKUP(AV$1,main!$A$3:$H$102,5,FALSE)-VLOOKUP($A302,main!$A$3:$H$102,6,FALSE)&gt;=main!$D$103+VLOOKUP(VLOOKUP(AV$1,main!$A$3:$I$102,7,FALSE),main!$K$26:$Q$29,5,FALSE)),1,0)</f>
        <v>0</v>
      </c>
      <c r="AW302">
        <f>IF(AND(VLOOKUP(AW$1,main!$A$3:$H$102,7,FALSE)=main!$G$105,VLOOKUP(AW$1,main!$A$3:$H$102,5,FALSE)-VLOOKUP($A302,main!$A$3:$H$102,6,FALSE)&gt;=main!$D$103+VLOOKUP(VLOOKUP(AW$1,main!$A$3:$I$102,7,FALSE),main!$K$26:$Q$29,5,FALSE)),1,0)</f>
        <v>0</v>
      </c>
      <c r="AX302">
        <f>IF(AND(VLOOKUP(AX$1,main!$A$3:$H$102,7,FALSE)=main!$G$105,VLOOKUP(AX$1,main!$A$3:$H$102,5,FALSE)-VLOOKUP($A302,main!$A$3:$H$102,6,FALSE)&gt;=main!$D$103+VLOOKUP(VLOOKUP(AX$1,main!$A$3:$I$102,7,FALSE),main!$K$26:$Q$29,5,FALSE)),1,0)</f>
        <v>0</v>
      </c>
      <c r="AY302">
        <f>IF(AND(VLOOKUP(AY$1,main!$A$3:$H$102,7,FALSE)=main!$G$105,VLOOKUP(AY$1,main!$A$3:$H$102,5,FALSE)-VLOOKUP($A302,main!$A$3:$H$102,6,FALSE)&gt;=main!$D$103+VLOOKUP(VLOOKUP(AY$1,main!$A$3:$I$102,7,FALSE),main!$K$26:$Q$29,5,FALSE)),1,0)</f>
        <v>0</v>
      </c>
      <c r="AZ302">
        <f>IF(AND(VLOOKUP(AZ$1,main!$A$3:$H$102,7,FALSE)=main!$G$105,VLOOKUP(AZ$1,main!$A$3:$H$102,5,FALSE)-VLOOKUP($A302,main!$A$3:$H$102,6,FALSE)&gt;=main!$D$103+VLOOKUP(VLOOKUP(AZ$1,main!$A$3:$I$102,7,FALSE),main!$K$26:$Q$29,5,FALSE)),1,0)</f>
        <v>0</v>
      </c>
      <c r="BA302">
        <f>IF(AND(VLOOKUP(BA$1,main!$A$3:$H$102,7,FALSE)=main!$G$105,VLOOKUP(BA$1,main!$A$3:$H$102,5,FALSE)-VLOOKUP($A302,main!$A$3:$H$102,6,FALSE)&gt;=main!$D$103+VLOOKUP(VLOOKUP(BA$1,main!$A$3:$I$102,7,FALSE),main!$K$26:$Q$29,5,FALSE)),1,0)</f>
        <v>0</v>
      </c>
      <c r="BB302">
        <f>IF(AND(VLOOKUP(BB$1,main!$A$3:$H$102,7,FALSE)=main!$G$105,VLOOKUP(BB$1,main!$A$3:$H$102,5,FALSE)-VLOOKUP($A302,main!$A$3:$H$102,6,FALSE)&gt;=main!$D$103+VLOOKUP(VLOOKUP(BB$1,main!$A$3:$I$102,7,FALSE),main!$K$26:$Q$29,5,FALSE)),1,0)</f>
        <v>0</v>
      </c>
      <c r="BC302">
        <f>IF(AND(VLOOKUP(BC$1,main!$A$3:$H$102,7,FALSE)=main!$G$105,VLOOKUP(BC$1,main!$A$3:$H$102,5,FALSE)-VLOOKUP($A302,main!$A$3:$H$102,6,FALSE)&gt;=main!$D$103+VLOOKUP(VLOOKUP(BC$1,main!$A$3:$I$102,7,FALSE),main!$K$26:$Q$29,5,FALSE)),1,0)</f>
        <v>0</v>
      </c>
      <c r="BD302">
        <f>IF(AND(VLOOKUP(BD$1,main!$A$3:$H$102,7,FALSE)=main!$G$105,VLOOKUP(BD$1,main!$A$3:$H$102,5,FALSE)-VLOOKUP($A302,main!$A$3:$H$102,6,FALSE)&gt;=main!$D$103+VLOOKUP(VLOOKUP(BD$1,main!$A$3:$I$102,7,FALSE),main!$K$26:$Q$29,5,FALSE)),1,0)</f>
        <v>0</v>
      </c>
      <c r="BE302">
        <f>IF(AND(VLOOKUP(BE$1,main!$A$3:$H$102,7,FALSE)=main!$G$105,VLOOKUP(BE$1,main!$A$3:$H$102,5,FALSE)-VLOOKUP($A302,main!$A$3:$H$102,6,FALSE)&gt;=main!$D$103+VLOOKUP(VLOOKUP(BE$1,main!$A$3:$I$102,7,FALSE),main!$K$26:$Q$29,5,FALSE)),1,0)</f>
        <v>0</v>
      </c>
      <c r="BF302">
        <f>IF(AND(VLOOKUP(BF$1,main!$A$3:$H$102,7,FALSE)=main!$G$105,VLOOKUP(BF$1,main!$A$3:$H$102,5,FALSE)-VLOOKUP($A302,main!$A$3:$H$102,6,FALSE)&gt;=main!$D$103+VLOOKUP(VLOOKUP(BF$1,main!$A$3:$I$102,7,FALSE),main!$K$26:$Q$29,5,FALSE)),1,0)</f>
        <v>0</v>
      </c>
      <c r="BG302">
        <f>IF(AND(VLOOKUP(BG$1,main!$A$3:$H$102,7,FALSE)=main!$G$105,VLOOKUP(BG$1,main!$A$3:$H$102,5,FALSE)-VLOOKUP($A302,main!$A$3:$H$102,6,FALSE)&gt;=main!$D$103+VLOOKUP(VLOOKUP(BG$1,main!$A$3:$I$102,7,FALSE),main!$K$26:$Q$29,5,FALSE)),1,0)</f>
        <v>0</v>
      </c>
      <c r="BH302">
        <f>IF(AND(VLOOKUP(BH$1,main!$A$3:$H$102,7,FALSE)=main!$G$105,VLOOKUP(BH$1,main!$A$3:$H$102,5,FALSE)-VLOOKUP($A302,main!$A$3:$H$102,6,FALSE)&gt;=main!$D$103+VLOOKUP(VLOOKUP(BH$1,main!$A$3:$I$102,7,FALSE),main!$K$26:$Q$29,5,FALSE)),1,0)</f>
        <v>0</v>
      </c>
      <c r="BI302">
        <f>IF(AND(VLOOKUP(BI$1,main!$A$3:$H$102,7,FALSE)=main!$G$105,VLOOKUP(BI$1,main!$A$3:$H$102,5,FALSE)-VLOOKUP($A302,main!$A$3:$H$102,6,FALSE)&gt;=main!$D$103+VLOOKUP(VLOOKUP(BI$1,main!$A$3:$I$102,7,FALSE),main!$K$26:$Q$29,5,FALSE)),1,0)</f>
        <v>0</v>
      </c>
      <c r="BJ302">
        <f>IF(AND(VLOOKUP(BJ$1,main!$A$3:$H$102,7,FALSE)=main!$G$105,VLOOKUP(BJ$1,main!$A$3:$H$102,5,FALSE)-VLOOKUP($A302,main!$A$3:$H$102,6,FALSE)&gt;=main!$D$103+VLOOKUP(VLOOKUP(BJ$1,main!$A$3:$I$102,7,FALSE),main!$K$26:$Q$29,5,FALSE)),1,0)</f>
        <v>0</v>
      </c>
      <c r="BK302">
        <f>IF(AND(VLOOKUP(BK$1,main!$A$3:$H$102,7,FALSE)=main!$G$105,VLOOKUP(BK$1,main!$A$3:$H$102,5,FALSE)-VLOOKUP($A302,main!$A$3:$H$102,6,FALSE)&gt;=main!$D$103+VLOOKUP(VLOOKUP(BK$1,main!$A$3:$I$102,7,FALSE),main!$K$26:$Q$29,5,FALSE)),1,0)</f>
        <v>0</v>
      </c>
      <c r="BL302">
        <f>IF(AND(VLOOKUP(BL$1,main!$A$3:$H$102,7,FALSE)=main!$G$105,VLOOKUP(BL$1,main!$A$3:$H$102,5,FALSE)-VLOOKUP($A302,main!$A$3:$H$102,6,FALSE)&gt;=main!$D$103+VLOOKUP(VLOOKUP(BL$1,main!$A$3:$I$102,7,FALSE),main!$K$26:$Q$29,5,FALSE)),1,0)</f>
        <v>0</v>
      </c>
      <c r="BM302">
        <f>IF(AND(VLOOKUP(BM$1,main!$A$3:$H$102,7,FALSE)=main!$G$105,VLOOKUP(BM$1,main!$A$3:$H$102,5,FALSE)-VLOOKUP($A302,main!$A$3:$H$102,6,FALSE)&gt;=main!$D$103+VLOOKUP(VLOOKUP(BM$1,main!$A$3:$I$102,7,FALSE),main!$K$26:$Q$29,5,FALSE)),1,0)</f>
        <v>0</v>
      </c>
      <c r="BN302">
        <f>IF(AND(VLOOKUP(BN$1,main!$A$3:$H$102,7,FALSE)=main!$G$105,VLOOKUP(BN$1,main!$A$3:$H$102,5,FALSE)-VLOOKUP($A302,main!$A$3:$H$102,6,FALSE)&gt;=main!$D$103+VLOOKUP(VLOOKUP(BN$1,main!$A$3:$I$102,7,FALSE),main!$K$26:$Q$29,5,FALSE)),1,0)</f>
        <v>0</v>
      </c>
      <c r="BO302">
        <f>IF(AND(VLOOKUP(BO$1,main!$A$3:$H$102,7,FALSE)=main!$G$105,VLOOKUP(BO$1,main!$A$3:$H$102,5,FALSE)-VLOOKUP($A302,main!$A$3:$H$102,6,FALSE)&gt;=main!$D$103+VLOOKUP(VLOOKUP(BO$1,main!$A$3:$I$102,7,FALSE),main!$K$26:$Q$29,5,FALSE)),1,0)</f>
        <v>0</v>
      </c>
      <c r="BP302">
        <f>IF(AND(VLOOKUP(BP$1,main!$A$3:$H$102,7,FALSE)=main!$G$105,VLOOKUP(BP$1,main!$A$3:$H$102,5,FALSE)-VLOOKUP($A302,main!$A$3:$H$102,6,FALSE)&gt;=main!$D$103+VLOOKUP(VLOOKUP(BP$1,main!$A$3:$I$102,7,FALSE),main!$K$26:$Q$29,5,FALSE)),1,0)</f>
        <v>0</v>
      </c>
      <c r="BQ302">
        <f>IF(AND(VLOOKUP(BQ$1,main!$A$3:$H$102,7,FALSE)=main!$G$105,VLOOKUP(BQ$1,main!$A$3:$H$102,5,FALSE)-VLOOKUP($A302,main!$A$3:$H$102,6,FALSE)&gt;=main!$D$103+VLOOKUP(VLOOKUP(BQ$1,main!$A$3:$I$102,7,FALSE),main!$K$26:$Q$29,5,FALSE)),1,0)</f>
        <v>0</v>
      </c>
      <c r="BR302">
        <f>IF(AND(VLOOKUP(BR$1,main!$A$3:$H$102,7,FALSE)=main!$G$105,VLOOKUP(BR$1,main!$A$3:$H$102,5,FALSE)-VLOOKUP($A302,main!$A$3:$H$102,6,FALSE)&gt;=main!$D$103+VLOOKUP(VLOOKUP(BR$1,main!$A$3:$I$102,7,FALSE),main!$K$26:$Q$29,5,FALSE)),1,0)</f>
        <v>0</v>
      </c>
      <c r="BS302">
        <f>IF(AND(VLOOKUP(BS$1,main!$A$3:$H$102,7,FALSE)=main!$G$105,VLOOKUP(BS$1,main!$A$3:$H$102,5,FALSE)-VLOOKUP($A302,main!$A$3:$H$102,6,FALSE)&gt;=main!$D$103+VLOOKUP(VLOOKUP(BS$1,main!$A$3:$I$102,7,FALSE),main!$K$26:$Q$29,5,FALSE)),1,0)</f>
        <v>0</v>
      </c>
      <c r="BT302">
        <f>IF(AND(VLOOKUP(BT$1,main!$A$3:$H$102,7,FALSE)=main!$G$105,VLOOKUP(BT$1,main!$A$3:$H$102,5,FALSE)-VLOOKUP($A302,main!$A$3:$H$102,6,FALSE)&gt;=main!$D$103+VLOOKUP(VLOOKUP(BT$1,main!$A$3:$I$102,7,FALSE),main!$K$26:$Q$29,5,FALSE)),1,0)</f>
        <v>0</v>
      </c>
      <c r="BU302">
        <f>IF(AND(VLOOKUP(BU$1,main!$A$3:$H$102,7,FALSE)=main!$G$105,VLOOKUP(BU$1,main!$A$3:$H$102,5,FALSE)-VLOOKUP($A302,main!$A$3:$H$102,6,FALSE)&gt;=main!$D$103+VLOOKUP(VLOOKUP(BU$1,main!$A$3:$I$102,7,FALSE),main!$K$26:$Q$29,5,FALSE)),1,0)</f>
        <v>0</v>
      </c>
      <c r="BV302">
        <f>IF(AND(VLOOKUP(BV$1,main!$A$3:$H$102,7,FALSE)=main!$G$105,VLOOKUP(BV$1,main!$A$3:$H$102,5,FALSE)-VLOOKUP($A302,main!$A$3:$H$102,6,FALSE)&gt;=main!$D$103+VLOOKUP(VLOOKUP(BV$1,main!$A$3:$I$102,7,FALSE),main!$K$26:$Q$29,5,FALSE)),1,0)</f>
        <v>0</v>
      </c>
      <c r="BW302">
        <f>IF(AND(VLOOKUP(BW$1,main!$A$3:$H$102,7,FALSE)=main!$G$105,VLOOKUP(BW$1,main!$A$3:$H$102,5,FALSE)-VLOOKUP($A302,main!$A$3:$H$102,6,FALSE)&gt;=main!$D$103+VLOOKUP(VLOOKUP(BW$1,main!$A$3:$I$102,7,FALSE),main!$K$26:$Q$29,5,FALSE)),1,0)</f>
        <v>0</v>
      </c>
      <c r="BX302">
        <f>IF(AND(VLOOKUP(BX$1,main!$A$3:$H$102,7,FALSE)=main!$G$105,VLOOKUP(BX$1,main!$A$3:$H$102,5,FALSE)-VLOOKUP($A302,main!$A$3:$H$102,6,FALSE)&gt;=main!$D$103+VLOOKUP(VLOOKUP(BX$1,main!$A$3:$I$102,7,FALSE),main!$K$26:$Q$29,5,FALSE)),1,0)</f>
        <v>0</v>
      </c>
      <c r="BY302">
        <f>IF(AND(VLOOKUP(BY$1,main!$A$3:$H$102,7,FALSE)=main!$G$105,VLOOKUP(BY$1,main!$A$3:$H$102,5,FALSE)-VLOOKUP($A302,main!$A$3:$H$102,6,FALSE)&gt;=main!$D$103+VLOOKUP(VLOOKUP(BY$1,main!$A$3:$I$102,7,FALSE),main!$K$26:$Q$29,5,FALSE)),1,0)</f>
        <v>0</v>
      </c>
      <c r="BZ302">
        <f>IF(AND(VLOOKUP(BZ$1,main!$A$3:$H$102,7,FALSE)=main!$G$105,VLOOKUP(BZ$1,main!$A$3:$H$102,5,FALSE)-VLOOKUP($A302,main!$A$3:$H$102,6,FALSE)&gt;=main!$D$103+VLOOKUP(VLOOKUP(BZ$1,main!$A$3:$I$102,7,FALSE),main!$K$26:$Q$29,5,FALSE)),1,0)</f>
        <v>0</v>
      </c>
      <c r="CA302">
        <f>IF(AND(VLOOKUP(CA$1,main!$A$3:$H$102,7,FALSE)=main!$G$105,VLOOKUP(CA$1,main!$A$3:$H$102,5,FALSE)-VLOOKUP($A302,main!$A$3:$H$102,6,FALSE)&gt;=main!$D$103+VLOOKUP(VLOOKUP(CA$1,main!$A$3:$I$102,7,FALSE),main!$K$26:$Q$29,5,FALSE)),1,0)</f>
        <v>0</v>
      </c>
      <c r="CB302">
        <f>IF(AND(VLOOKUP(CB$1,main!$A$3:$H$102,7,FALSE)=main!$G$105,VLOOKUP(CB$1,main!$A$3:$H$102,5,FALSE)-VLOOKUP($A302,main!$A$3:$H$102,6,FALSE)&gt;=main!$D$103+VLOOKUP(VLOOKUP(CB$1,main!$A$3:$I$102,7,FALSE),main!$K$26:$Q$29,5,FALSE)),1,0)</f>
        <v>0</v>
      </c>
      <c r="CC302">
        <f>IF(AND(VLOOKUP(CC$1,main!$A$3:$H$102,7,FALSE)=main!$G$105,VLOOKUP(CC$1,main!$A$3:$H$102,5,FALSE)-VLOOKUP($A302,main!$A$3:$H$102,6,FALSE)&gt;=main!$D$103+VLOOKUP(VLOOKUP(CC$1,main!$A$3:$I$102,7,FALSE),main!$K$26:$Q$29,5,FALSE)),1,0)</f>
        <v>0</v>
      </c>
      <c r="CD302">
        <f>IF(AND(VLOOKUP(CD$1,main!$A$3:$H$102,7,FALSE)=main!$G$105,VLOOKUP(CD$1,main!$A$3:$H$102,5,FALSE)-VLOOKUP($A302,main!$A$3:$H$102,6,FALSE)&gt;=main!$D$103+VLOOKUP(VLOOKUP(CD$1,main!$A$3:$I$102,7,FALSE),main!$K$26:$Q$29,5,FALSE)),1,0)</f>
        <v>0</v>
      </c>
      <c r="CE302">
        <f>IF(AND(VLOOKUP(CE$1,main!$A$3:$H$102,7,FALSE)=main!$G$105,VLOOKUP(CE$1,main!$A$3:$H$102,5,FALSE)-VLOOKUP($A302,main!$A$3:$H$102,6,FALSE)&gt;=main!$D$103+VLOOKUP(VLOOKUP(CE$1,main!$A$3:$I$102,7,FALSE),main!$K$26:$Q$29,5,FALSE)),1,0)</f>
        <v>0</v>
      </c>
      <c r="CF302">
        <f>IF(AND(VLOOKUP(CF$1,main!$A$3:$H$102,7,FALSE)=main!$G$105,VLOOKUP(CF$1,main!$A$3:$H$102,5,FALSE)-VLOOKUP($A302,main!$A$3:$H$102,6,FALSE)&gt;=main!$D$103+VLOOKUP(VLOOKUP(CF$1,main!$A$3:$I$102,7,FALSE),main!$K$26:$Q$29,5,FALSE)),1,0)</f>
        <v>0</v>
      </c>
      <c r="CG302">
        <f>IF(AND(VLOOKUP(CG$1,main!$A$3:$H$102,7,FALSE)=main!$G$105,VLOOKUP(CG$1,main!$A$3:$H$102,5,FALSE)-VLOOKUP($A302,main!$A$3:$H$102,6,FALSE)&gt;=main!$D$103+VLOOKUP(VLOOKUP(CG$1,main!$A$3:$I$102,7,FALSE),main!$K$26:$Q$29,5,FALSE)),1,0)</f>
        <v>0</v>
      </c>
      <c r="CH302">
        <f>IF(AND(VLOOKUP(CH$1,main!$A$3:$H$102,7,FALSE)=main!$G$105,VLOOKUP(CH$1,main!$A$3:$H$102,5,FALSE)-VLOOKUP($A302,main!$A$3:$H$102,6,FALSE)&gt;=main!$D$103+VLOOKUP(VLOOKUP(CH$1,main!$A$3:$I$102,7,FALSE),main!$K$26:$Q$29,5,FALSE)),1,0)</f>
        <v>0</v>
      </c>
      <c r="CI302">
        <f>IF(AND(VLOOKUP(CI$1,main!$A$3:$H$102,7,FALSE)=main!$G$105,VLOOKUP(CI$1,main!$A$3:$H$102,5,FALSE)-VLOOKUP($A302,main!$A$3:$H$102,6,FALSE)&gt;=main!$D$103+VLOOKUP(VLOOKUP(CI$1,main!$A$3:$I$102,7,FALSE),main!$K$26:$Q$29,5,FALSE)),1,0)</f>
        <v>0</v>
      </c>
      <c r="CJ302">
        <f>IF(AND(VLOOKUP(CJ$1,main!$A$3:$H$102,7,FALSE)=main!$G$105,VLOOKUP(CJ$1,main!$A$3:$H$102,5,FALSE)-VLOOKUP($A302,main!$A$3:$H$102,6,FALSE)&gt;=main!$D$103+VLOOKUP(VLOOKUP(CJ$1,main!$A$3:$I$102,7,FALSE),main!$K$26:$Q$29,5,FALSE)),1,0)</f>
        <v>0</v>
      </c>
      <c r="CK302">
        <f>IF(AND(VLOOKUP(CK$1,main!$A$3:$H$102,7,FALSE)=main!$G$105,VLOOKUP(CK$1,main!$A$3:$H$102,5,FALSE)-VLOOKUP($A302,main!$A$3:$H$102,6,FALSE)&gt;=main!$D$103+VLOOKUP(VLOOKUP(CK$1,main!$A$3:$I$102,7,FALSE),main!$K$26:$Q$29,5,FALSE)),1,0)</f>
        <v>0</v>
      </c>
      <c r="CL302">
        <f>IF(AND(VLOOKUP(CL$1,main!$A$3:$H$102,7,FALSE)=main!$G$105,VLOOKUP(CL$1,main!$A$3:$H$102,5,FALSE)-VLOOKUP($A302,main!$A$3:$H$102,6,FALSE)&gt;=main!$D$103+VLOOKUP(VLOOKUP(CL$1,main!$A$3:$I$102,7,FALSE),main!$K$26:$Q$29,5,FALSE)),1,0)</f>
        <v>0</v>
      </c>
      <c r="CM302">
        <f>IF(AND(VLOOKUP(CM$1,main!$A$3:$H$102,7,FALSE)=main!$G$105,VLOOKUP(CM$1,main!$A$3:$H$102,5,FALSE)-VLOOKUP($A302,main!$A$3:$H$102,6,FALSE)&gt;=main!$D$103+VLOOKUP(VLOOKUP(CM$1,main!$A$3:$I$102,7,FALSE),main!$K$26:$Q$29,5,FALSE)),1,0)</f>
        <v>0</v>
      </c>
      <c r="CN302">
        <f>IF(AND(VLOOKUP(CN$1,main!$A$3:$H$102,7,FALSE)=main!$G$105,VLOOKUP(CN$1,main!$A$3:$H$102,5,FALSE)-VLOOKUP($A302,main!$A$3:$H$102,6,FALSE)&gt;=main!$D$103+VLOOKUP(VLOOKUP(CN$1,main!$A$3:$I$102,7,FALSE),main!$K$26:$Q$29,5,FALSE)),1,0)</f>
        <v>0</v>
      </c>
      <c r="CO302">
        <f>IF(AND(VLOOKUP(CO$1,main!$A$3:$H$102,7,FALSE)=main!$G$105,VLOOKUP(CO$1,main!$A$3:$H$102,5,FALSE)-VLOOKUP($A302,main!$A$3:$H$102,6,FALSE)&gt;=main!$D$103+VLOOKUP(VLOOKUP(CO$1,main!$A$3:$I$102,7,FALSE),main!$K$26:$Q$29,5,FALSE)),1,0)</f>
        <v>0</v>
      </c>
      <c r="CP302">
        <f>IF(AND(VLOOKUP(CP$1,main!$A$3:$H$102,7,FALSE)=main!$G$105,VLOOKUP(CP$1,main!$A$3:$H$102,5,FALSE)-VLOOKUP($A302,main!$A$3:$H$102,6,FALSE)&gt;=main!$D$103+VLOOKUP(VLOOKUP(CP$1,main!$A$3:$I$102,7,FALSE),main!$K$26:$Q$29,5,FALSE)),1,0)</f>
        <v>0</v>
      </c>
      <c r="CQ302">
        <f>IF(AND(VLOOKUP(CQ$1,main!$A$3:$H$102,7,FALSE)=main!$G$105,VLOOKUP(CQ$1,main!$A$3:$H$102,5,FALSE)-VLOOKUP($A302,main!$A$3:$H$102,6,FALSE)&gt;=main!$D$103+VLOOKUP(VLOOKUP(CQ$1,main!$A$3:$I$102,7,FALSE),main!$K$26:$Q$29,5,FALSE)),1,0)</f>
        <v>0</v>
      </c>
      <c r="CR302">
        <f>IF(AND(VLOOKUP(CR$1,main!$A$3:$H$102,7,FALSE)=main!$G$105,VLOOKUP(CR$1,main!$A$3:$H$102,5,FALSE)-VLOOKUP($A302,main!$A$3:$H$102,6,FALSE)&gt;=main!$D$103+VLOOKUP(VLOOKUP(CR$1,main!$A$3:$I$102,7,FALSE),main!$K$26:$Q$29,5,FALSE)),1,0)</f>
        <v>0</v>
      </c>
      <c r="CS302">
        <f>IF(AND(VLOOKUP(CS$1,main!$A$3:$H$102,7,FALSE)=main!$G$105,VLOOKUP(CS$1,main!$A$3:$H$102,5,FALSE)-VLOOKUP($A302,main!$A$3:$H$102,6,FALSE)&gt;=main!$D$103+VLOOKUP(VLOOKUP(CS$1,main!$A$3:$I$102,7,FALSE),main!$K$26:$Q$29,5,FALSE)),1,0)</f>
        <v>0</v>
      </c>
      <c r="CT302">
        <f>IF(AND(VLOOKUP(CT$1,main!$A$3:$H$102,7,FALSE)=main!$G$105,VLOOKUP(CT$1,main!$A$3:$H$102,5,FALSE)-VLOOKUP($A302,main!$A$3:$H$102,6,FALSE)&gt;=main!$D$103+VLOOKUP(VLOOKUP(CT$1,main!$A$3:$I$102,7,FALSE),main!$K$26:$Q$29,5,FALSE)),1,0)</f>
        <v>0</v>
      </c>
      <c r="CU302">
        <f>IF(AND(VLOOKUP(CU$1,main!$A$3:$H$102,7,FALSE)=main!$G$105,VLOOKUP(CU$1,main!$A$3:$H$102,5,FALSE)-VLOOKUP($A302,main!$A$3:$H$102,6,FALSE)&gt;=main!$D$103+VLOOKUP(VLOOKUP(CU$1,main!$A$3:$I$102,7,FALSE),main!$K$26:$Q$29,5,FALSE)),1,0)</f>
        <v>0</v>
      </c>
      <c r="CV302">
        <f>IF(AND(VLOOKUP(CV$1,main!$A$3:$H$102,7,FALSE)=main!$G$105,VLOOKUP(CV$1,main!$A$3:$H$102,5,FALSE)-VLOOKUP($A302,main!$A$3:$H$102,6,FALSE)&gt;=main!$D$103+VLOOKUP(VLOOKUP(CV$1,main!$A$3:$I$102,7,FALSE),main!$K$26:$Q$29,5,FALSE)),1,0)</f>
        <v>0</v>
      </c>
      <c r="CW302">
        <f>IF(AND(VLOOKUP(CW$1,main!$A$3:$H$102,7,FALSE)=main!$G$105,VLOOKUP(CW$1,main!$A$3:$H$102,5,FALSE)-VLOOKUP($A302,main!$A$3:$H$102,6,FALSE)&gt;=main!$D$103+VLOOKUP(VLOOKUP(CW$1,main!$A$3:$I$102,7,FALSE),main!$K$26:$Q$29,5,FALSE)),1,0)</f>
        <v>0</v>
      </c>
      <c r="CX302">
        <f>IF(AND(VLOOKUP(CX$1,main!$A$3:$H$102,7,FALSE)=main!$G$105,VLOOKUP(CX$1,main!$A$3:$H$102,5,FALSE)-VLOOKUP($A302,main!$A$3:$H$102,6,FALSE)&gt;=main!$D$103+VLOOKUP(VLOOKUP(CX$1,main!$A$3:$I$102,7,FALSE),main!$K$26:$Q$29,5,FALSE)),1,0)</f>
        <v>0</v>
      </c>
    </row>
    <row r="303" spans="1:102" x14ac:dyDescent="0.25">
      <c r="A303" s="1">
        <v>99</v>
      </c>
      <c r="B303">
        <v>0</v>
      </c>
      <c r="C303">
        <f>IF(AND(VLOOKUP(C$1,main!$A$3:$H$102,7,FALSE)=main!$G$105,VLOOKUP(C$1,main!$A$3:$H$102,5,FALSE)-VLOOKUP($A303,main!$A$3:$H$102,6,FALSE)&gt;=main!$D$103+VLOOKUP(VLOOKUP(C$1,main!$A$3:$I$102,7,FALSE),main!$K$26:$Q$29,5,FALSE)),1,0)</f>
        <v>0</v>
      </c>
      <c r="D303">
        <f>IF(AND(VLOOKUP(D$1,main!$A$3:$H$102,7,FALSE)=main!$G$105,VLOOKUP(D$1,main!$A$3:$H$102,5,FALSE)-VLOOKUP($A303,main!$A$3:$H$102,6,FALSE)&gt;=main!$D$103+VLOOKUP(VLOOKUP(D$1,main!$A$3:$I$102,7,FALSE),main!$K$26:$Q$29,5,FALSE)),1,0)</f>
        <v>0</v>
      </c>
      <c r="E303">
        <f>IF(AND(VLOOKUP(E$1,main!$A$3:$H$102,7,FALSE)=main!$G$105,VLOOKUP(E$1,main!$A$3:$H$102,5,FALSE)-VLOOKUP($A303,main!$A$3:$H$102,6,FALSE)&gt;=main!$D$103+VLOOKUP(VLOOKUP(E$1,main!$A$3:$I$102,7,FALSE),main!$K$26:$Q$29,5,FALSE)),1,0)</f>
        <v>0</v>
      </c>
      <c r="F303">
        <f>IF(AND(VLOOKUP(F$1,main!$A$3:$H$102,7,FALSE)=main!$G$105,VLOOKUP(F$1,main!$A$3:$H$102,5,FALSE)-VLOOKUP($A303,main!$A$3:$H$102,6,FALSE)&gt;=main!$D$103+VLOOKUP(VLOOKUP(F$1,main!$A$3:$I$102,7,FALSE),main!$K$26:$Q$29,5,FALSE)),1,0)</f>
        <v>0</v>
      </c>
      <c r="G303">
        <f>IF(AND(VLOOKUP(G$1,main!$A$3:$H$102,7,FALSE)=main!$G$105,VLOOKUP(G$1,main!$A$3:$H$102,5,FALSE)-VLOOKUP($A303,main!$A$3:$H$102,6,FALSE)&gt;=main!$D$103+VLOOKUP(VLOOKUP(G$1,main!$A$3:$I$102,7,FALSE),main!$K$26:$Q$29,5,FALSE)),1,0)</f>
        <v>0</v>
      </c>
      <c r="H303">
        <f>IF(AND(VLOOKUP(H$1,main!$A$3:$H$102,7,FALSE)=main!$G$105,VLOOKUP(H$1,main!$A$3:$H$102,5,FALSE)-VLOOKUP($A303,main!$A$3:$H$102,6,FALSE)&gt;=main!$D$103+VLOOKUP(VLOOKUP(H$1,main!$A$3:$I$102,7,FALSE),main!$K$26:$Q$29,5,FALSE)),1,0)</f>
        <v>0</v>
      </c>
      <c r="I303">
        <f>IF(AND(VLOOKUP(I$1,main!$A$3:$H$102,7,FALSE)=main!$G$105,VLOOKUP(I$1,main!$A$3:$H$102,5,FALSE)-VLOOKUP($A303,main!$A$3:$H$102,6,FALSE)&gt;=main!$D$103+VLOOKUP(VLOOKUP(I$1,main!$A$3:$I$102,7,FALSE),main!$K$26:$Q$29,5,FALSE)),1,0)</f>
        <v>0</v>
      </c>
      <c r="J303">
        <f>IF(AND(VLOOKUP(J$1,main!$A$3:$H$102,7,FALSE)=main!$G$105,VLOOKUP(J$1,main!$A$3:$H$102,5,FALSE)-VLOOKUP($A303,main!$A$3:$H$102,6,FALSE)&gt;=main!$D$103+VLOOKUP(VLOOKUP(J$1,main!$A$3:$I$102,7,FALSE),main!$K$26:$Q$29,5,FALSE)),1,0)</f>
        <v>0</v>
      </c>
      <c r="K303">
        <f>IF(AND(VLOOKUP(K$1,main!$A$3:$H$102,7,FALSE)=main!$G$105,VLOOKUP(K$1,main!$A$3:$H$102,5,FALSE)-VLOOKUP($A303,main!$A$3:$H$102,6,FALSE)&gt;=main!$D$103+VLOOKUP(VLOOKUP(K$1,main!$A$3:$I$102,7,FALSE),main!$K$26:$Q$29,5,FALSE)),1,0)</f>
        <v>0</v>
      </c>
      <c r="L303">
        <f>IF(AND(VLOOKUP(L$1,main!$A$3:$H$102,7,FALSE)=main!$G$105,VLOOKUP(L$1,main!$A$3:$H$102,5,FALSE)-VLOOKUP($A303,main!$A$3:$H$102,6,FALSE)&gt;=main!$D$103+VLOOKUP(VLOOKUP(L$1,main!$A$3:$I$102,7,FALSE),main!$K$26:$Q$29,5,FALSE)),1,0)</f>
        <v>0</v>
      </c>
      <c r="M303">
        <f>IF(AND(VLOOKUP(M$1,main!$A$3:$H$102,7,FALSE)=main!$G$105,VLOOKUP(M$1,main!$A$3:$H$102,5,FALSE)-VLOOKUP($A303,main!$A$3:$H$102,6,FALSE)&gt;=main!$D$103+VLOOKUP(VLOOKUP(M$1,main!$A$3:$I$102,7,FALSE),main!$K$26:$Q$29,5,FALSE)),1,0)</f>
        <v>0</v>
      </c>
      <c r="N303">
        <f>IF(AND(VLOOKUP(N$1,main!$A$3:$H$102,7,FALSE)=main!$G$105,VLOOKUP(N$1,main!$A$3:$H$102,5,FALSE)-VLOOKUP($A303,main!$A$3:$H$102,6,FALSE)&gt;=main!$D$103+VLOOKUP(VLOOKUP(N$1,main!$A$3:$I$102,7,FALSE),main!$K$26:$Q$29,5,FALSE)),1,0)</f>
        <v>0</v>
      </c>
      <c r="O303">
        <f>IF(AND(VLOOKUP(O$1,main!$A$3:$H$102,7,FALSE)=main!$G$105,VLOOKUP(O$1,main!$A$3:$H$102,5,FALSE)-VLOOKUP($A303,main!$A$3:$H$102,6,FALSE)&gt;=main!$D$103+VLOOKUP(VLOOKUP(O$1,main!$A$3:$I$102,7,FALSE),main!$K$26:$Q$29,5,FALSE)),1,0)</f>
        <v>0</v>
      </c>
      <c r="P303">
        <f>IF(AND(VLOOKUP(P$1,main!$A$3:$H$102,7,FALSE)=main!$G$105,VLOOKUP(P$1,main!$A$3:$H$102,5,FALSE)-VLOOKUP($A303,main!$A$3:$H$102,6,FALSE)&gt;=main!$D$103+VLOOKUP(VLOOKUP(P$1,main!$A$3:$I$102,7,FALSE),main!$K$26:$Q$29,5,FALSE)),1,0)</f>
        <v>0</v>
      </c>
      <c r="Q303">
        <f>IF(AND(VLOOKUP(Q$1,main!$A$3:$H$102,7,FALSE)=main!$G$105,VLOOKUP(Q$1,main!$A$3:$H$102,5,FALSE)-VLOOKUP($A303,main!$A$3:$H$102,6,FALSE)&gt;=main!$D$103+VLOOKUP(VLOOKUP(Q$1,main!$A$3:$I$102,7,FALSE),main!$K$26:$Q$29,5,FALSE)),1,0)</f>
        <v>0</v>
      </c>
      <c r="R303">
        <f>IF(AND(VLOOKUP(R$1,main!$A$3:$H$102,7,FALSE)=main!$G$105,VLOOKUP(R$1,main!$A$3:$H$102,5,FALSE)-VLOOKUP($A303,main!$A$3:$H$102,6,FALSE)&gt;=main!$D$103+VLOOKUP(VLOOKUP(R$1,main!$A$3:$I$102,7,FALSE),main!$K$26:$Q$29,5,FALSE)),1,0)</f>
        <v>0</v>
      </c>
      <c r="S303">
        <f>IF(AND(VLOOKUP(S$1,main!$A$3:$H$102,7,FALSE)=main!$G$105,VLOOKUP(S$1,main!$A$3:$H$102,5,FALSE)-VLOOKUP($A303,main!$A$3:$H$102,6,FALSE)&gt;=main!$D$103+VLOOKUP(VLOOKUP(S$1,main!$A$3:$I$102,7,FALSE),main!$K$26:$Q$29,5,FALSE)),1,0)</f>
        <v>0</v>
      </c>
      <c r="T303">
        <f>IF(AND(VLOOKUP(T$1,main!$A$3:$H$102,7,FALSE)=main!$G$105,VLOOKUP(T$1,main!$A$3:$H$102,5,FALSE)-VLOOKUP($A303,main!$A$3:$H$102,6,FALSE)&gt;=main!$D$103+VLOOKUP(VLOOKUP(T$1,main!$A$3:$I$102,7,FALSE),main!$K$26:$Q$29,5,FALSE)),1,0)</f>
        <v>0</v>
      </c>
      <c r="U303">
        <f>IF(AND(VLOOKUP(U$1,main!$A$3:$H$102,7,FALSE)=main!$G$105,VLOOKUP(U$1,main!$A$3:$H$102,5,FALSE)-VLOOKUP($A303,main!$A$3:$H$102,6,FALSE)&gt;=main!$D$103+VLOOKUP(VLOOKUP(U$1,main!$A$3:$I$102,7,FALSE),main!$K$26:$Q$29,5,FALSE)),1,0)</f>
        <v>0</v>
      </c>
      <c r="V303">
        <f>IF(AND(VLOOKUP(V$1,main!$A$3:$H$102,7,FALSE)=main!$G$105,VLOOKUP(V$1,main!$A$3:$H$102,5,FALSE)-VLOOKUP($A303,main!$A$3:$H$102,6,FALSE)&gt;=main!$D$103+VLOOKUP(VLOOKUP(V$1,main!$A$3:$I$102,7,FALSE),main!$K$26:$Q$29,5,FALSE)),1,0)</f>
        <v>0</v>
      </c>
      <c r="W303">
        <f>IF(AND(VLOOKUP(W$1,main!$A$3:$H$102,7,FALSE)=main!$G$105,VLOOKUP(W$1,main!$A$3:$H$102,5,FALSE)-VLOOKUP($A303,main!$A$3:$H$102,6,FALSE)&gt;=main!$D$103+VLOOKUP(VLOOKUP(W$1,main!$A$3:$I$102,7,FALSE),main!$K$26:$Q$29,5,FALSE)),1,0)</f>
        <v>0</v>
      </c>
      <c r="X303">
        <f>IF(AND(VLOOKUP(X$1,main!$A$3:$H$102,7,FALSE)=main!$G$105,VLOOKUP(X$1,main!$A$3:$H$102,5,FALSE)-VLOOKUP($A303,main!$A$3:$H$102,6,FALSE)&gt;=main!$D$103+VLOOKUP(VLOOKUP(X$1,main!$A$3:$I$102,7,FALSE),main!$K$26:$Q$29,5,FALSE)),1,0)</f>
        <v>0</v>
      </c>
      <c r="Y303">
        <f>IF(AND(VLOOKUP(Y$1,main!$A$3:$H$102,7,FALSE)=main!$G$105,VLOOKUP(Y$1,main!$A$3:$H$102,5,FALSE)-VLOOKUP($A303,main!$A$3:$H$102,6,FALSE)&gt;=main!$D$103+VLOOKUP(VLOOKUP(Y$1,main!$A$3:$I$102,7,FALSE),main!$K$26:$Q$29,5,FALSE)),1,0)</f>
        <v>0</v>
      </c>
      <c r="Z303">
        <f>IF(AND(VLOOKUP(Z$1,main!$A$3:$H$102,7,FALSE)=main!$G$105,VLOOKUP(Z$1,main!$A$3:$H$102,5,FALSE)-VLOOKUP($A303,main!$A$3:$H$102,6,FALSE)&gt;=main!$D$103+VLOOKUP(VLOOKUP(Z$1,main!$A$3:$I$102,7,FALSE),main!$K$26:$Q$29,5,FALSE)),1,0)</f>
        <v>0</v>
      </c>
      <c r="AA303">
        <f>IF(AND(VLOOKUP(AA$1,main!$A$3:$H$102,7,FALSE)=main!$G$105,VLOOKUP(AA$1,main!$A$3:$H$102,5,FALSE)-VLOOKUP($A303,main!$A$3:$H$102,6,FALSE)&gt;=main!$D$103+VLOOKUP(VLOOKUP(AA$1,main!$A$3:$I$102,7,FALSE),main!$K$26:$Q$29,5,FALSE)),1,0)</f>
        <v>0</v>
      </c>
      <c r="AB303">
        <f>IF(AND(VLOOKUP(AB$1,main!$A$3:$H$102,7,FALSE)=main!$G$105,VLOOKUP(AB$1,main!$A$3:$H$102,5,FALSE)-VLOOKUP($A303,main!$A$3:$H$102,6,FALSE)&gt;=main!$D$103+VLOOKUP(VLOOKUP(AB$1,main!$A$3:$I$102,7,FALSE),main!$K$26:$Q$29,5,FALSE)),1,0)</f>
        <v>0</v>
      </c>
      <c r="AC303">
        <f>IF(AND(VLOOKUP(AC$1,main!$A$3:$H$102,7,FALSE)=main!$G$105,VLOOKUP(AC$1,main!$A$3:$H$102,5,FALSE)-VLOOKUP($A303,main!$A$3:$H$102,6,FALSE)&gt;=main!$D$103+VLOOKUP(VLOOKUP(AC$1,main!$A$3:$I$102,7,FALSE),main!$K$26:$Q$29,5,FALSE)),1,0)</f>
        <v>0</v>
      </c>
      <c r="AD303">
        <f>IF(AND(VLOOKUP(AD$1,main!$A$3:$H$102,7,FALSE)=main!$G$105,VLOOKUP(AD$1,main!$A$3:$H$102,5,FALSE)-VLOOKUP($A303,main!$A$3:$H$102,6,FALSE)&gt;=main!$D$103+VLOOKUP(VLOOKUP(AD$1,main!$A$3:$I$102,7,FALSE),main!$K$26:$Q$29,5,FALSE)),1,0)</f>
        <v>0</v>
      </c>
      <c r="AE303">
        <f>IF(AND(VLOOKUP(AE$1,main!$A$3:$H$102,7,FALSE)=main!$G$105,VLOOKUP(AE$1,main!$A$3:$H$102,5,FALSE)-VLOOKUP($A303,main!$A$3:$H$102,6,FALSE)&gt;=main!$D$103+VLOOKUP(VLOOKUP(AE$1,main!$A$3:$I$102,7,FALSE),main!$K$26:$Q$29,5,FALSE)),1,0)</f>
        <v>0</v>
      </c>
      <c r="AF303">
        <f>IF(AND(VLOOKUP(AF$1,main!$A$3:$H$102,7,FALSE)=main!$G$105,VLOOKUP(AF$1,main!$A$3:$H$102,5,FALSE)-VLOOKUP($A303,main!$A$3:$H$102,6,FALSE)&gt;=main!$D$103+VLOOKUP(VLOOKUP(AF$1,main!$A$3:$I$102,7,FALSE),main!$K$26:$Q$29,5,FALSE)),1,0)</f>
        <v>0</v>
      </c>
      <c r="AG303">
        <f>IF(AND(VLOOKUP(AG$1,main!$A$3:$H$102,7,FALSE)=main!$G$105,VLOOKUP(AG$1,main!$A$3:$H$102,5,FALSE)-VLOOKUP($A303,main!$A$3:$H$102,6,FALSE)&gt;=main!$D$103+VLOOKUP(VLOOKUP(AG$1,main!$A$3:$I$102,7,FALSE),main!$K$26:$Q$29,5,FALSE)),1,0)</f>
        <v>0</v>
      </c>
      <c r="AH303">
        <f>IF(AND(VLOOKUP(AH$1,main!$A$3:$H$102,7,FALSE)=main!$G$105,VLOOKUP(AH$1,main!$A$3:$H$102,5,FALSE)-VLOOKUP($A303,main!$A$3:$H$102,6,FALSE)&gt;=main!$D$103+VLOOKUP(VLOOKUP(AH$1,main!$A$3:$I$102,7,FALSE),main!$K$26:$Q$29,5,FALSE)),1,0)</f>
        <v>0</v>
      </c>
      <c r="AI303">
        <f>IF(AND(VLOOKUP(AI$1,main!$A$3:$H$102,7,FALSE)=main!$G$105,VLOOKUP(AI$1,main!$A$3:$H$102,5,FALSE)-VLOOKUP($A303,main!$A$3:$H$102,6,FALSE)&gt;=main!$D$103+VLOOKUP(VLOOKUP(AI$1,main!$A$3:$I$102,7,FALSE),main!$K$26:$Q$29,5,FALSE)),1,0)</f>
        <v>0</v>
      </c>
      <c r="AJ303">
        <f>IF(AND(VLOOKUP(AJ$1,main!$A$3:$H$102,7,FALSE)=main!$G$105,VLOOKUP(AJ$1,main!$A$3:$H$102,5,FALSE)-VLOOKUP($A303,main!$A$3:$H$102,6,FALSE)&gt;=main!$D$103+VLOOKUP(VLOOKUP(AJ$1,main!$A$3:$I$102,7,FALSE),main!$K$26:$Q$29,5,FALSE)),1,0)</f>
        <v>0</v>
      </c>
      <c r="AK303">
        <f>IF(AND(VLOOKUP(AK$1,main!$A$3:$H$102,7,FALSE)=main!$G$105,VLOOKUP(AK$1,main!$A$3:$H$102,5,FALSE)-VLOOKUP($A303,main!$A$3:$H$102,6,FALSE)&gt;=main!$D$103+VLOOKUP(VLOOKUP(AK$1,main!$A$3:$I$102,7,FALSE),main!$K$26:$Q$29,5,FALSE)),1,0)</f>
        <v>0</v>
      </c>
      <c r="AL303">
        <f>IF(AND(VLOOKUP(AL$1,main!$A$3:$H$102,7,FALSE)=main!$G$105,VLOOKUP(AL$1,main!$A$3:$H$102,5,FALSE)-VLOOKUP($A303,main!$A$3:$H$102,6,FALSE)&gt;=main!$D$103+VLOOKUP(VLOOKUP(AL$1,main!$A$3:$I$102,7,FALSE),main!$K$26:$Q$29,5,FALSE)),1,0)</f>
        <v>0</v>
      </c>
      <c r="AM303">
        <f>IF(AND(VLOOKUP(AM$1,main!$A$3:$H$102,7,FALSE)=main!$G$105,VLOOKUP(AM$1,main!$A$3:$H$102,5,FALSE)-VLOOKUP($A303,main!$A$3:$H$102,6,FALSE)&gt;=main!$D$103+VLOOKUP(VLOOKUP(AM$1,main!$A$3:$I$102,7,FALSE),main!$K$26:$Q$29,5,FALSE)),1,0)</f>
        <v>0</v>
      </c>
      <c r="AN303">
        <f>IF(AND(VLOOKUP(AN$1,main!$A$3:$H$102,7,FALSE)=main!$G$105,VLOOKUP(AN$1,main!$A$3:$H$102,5,FALSE)-VLOOKUP($A303,main!$A$3:$H$102,6,FALSE)&gt;=main!$D$103+VLOOKUP(VLOOKUP(AN$1,main!$A$3:$I$102,7,FALSE),main!$K$26:$Q$29,5,FALSE)),1,0)</f>
        <v>1</v>
      </c>
      <c r="AO303">
        <f>IF(AND(VLOOKUP(AO$1,main!$A$3:$H$102,7,FALSE)=main!$G$105,VLOOKUP(AO$1,main!$A$3:$H$102,5,FALSE)-VLOOKUP($A303,main!$A$3:$H$102,6,FALSE)&gt;=main!$D$103+VLOOKUP(VLOOKUP(AO$1,main!$A$3:$I$102,7,FALSE),main!$K$26:$Q$29,5,FALSE)),1,0)</f>
        <v>0</v>
      </c>
      <c r="AP303">
        <f>IF(AND(VLOOKUP(AP$1,main!$A$3:$H$102,7,FALSE)=main!$G$105,VLOOKUP(AP$1,main!$A$3:$H$102,5,FALSE)-VLOOKUP($A303,main!$A$3:$H$102,6,FALSE)&gt;=main!$D$103+VLOOKUP(VLOOKUP(AP$1,main!$A$3:$I$102,7,FALSE),main!$K$26:$Q$29,5,FALSE)),1,0)</f>
        <v>1</v>
      </c>
      <c r="AQ303">
        <f>IF(AND(VLOOKUP(AQ$1,main!$A$3:$H$102,7,FALSE)=main!$G$105,VLOOKUP(AQ$1,main!$A$3:$H$102,5,FALSE)-VLOOKUP($A303,main!$A$3:$H$102,6,FALSE)&gt;=main!$D$103+VLOOKUP(VLOOKUP(AQ$1,main!$A$3:$I$102,7,FALSE),main!$K$26:$Q$29,5,FALSE)),1,0)</f>
        <v>0</v>
      </c>
      <c r="AR303">
        <f>IF(AND(VLOOKUP(AR$1,main!$A$3:$H$102,7,FALSE)=main!$G$105,VLOOKUP(AR$1,main!$A$3:$H$102,5,FALSE)-VLOOKUP($A303,main!$A$3:$H$102,6,FALSE)&gt;=main!$D$103+VLOOKUP(VLOOKUP(AR$1,main!$A$3:$I$102,7,FALSE),main!$K$26:$Q$29,5,FALSE)),1,0)</f>
        <v>0</v>
      </c>
      <c r="AS303">
        <f>IF(AND(VLOOKUP(AS$1,main!$A$3:$H$102,7,FALSE)=main!$G$105,VLOOKUP(AS$1,main!$A$3:$H$102,5,FALSE)-VLOOKUP($A303,main!$A$3:$H$102,6,FALSE)&gt;=main!$D$103+VLOOKUP(VLOOKUP(AS$1,main!$A$3:$I$102,7,FALSE),main!$K$26:$Q$29,5,FALSE)),1,0)</f>
        <v>0</v>
      </c>
      <c r="AT303">
        <f>IF(AND(VLOOKUP(AT$1,main!$A$3:$H$102,7,FALSE)=main!$G$105,VLOOKUP(AT$1,main!$A$3:$H$102,5,FALSE)-VLOOKUP($A303,main!$A$3:$H$102,6,FALSE)&gt;=main!$D$103+VLOOKUP(VLOOKUP(AT$1,main!$A$3:$I$102,7,FALSE),main!$K$26:$Q$29,5,FALSE)),1,0)</f>
        <v>0</v>
      </c>
      <c r="AU303">
        <f>IF(AND(VLOOKUP(AU$1,main!$A$3:$H$102,7,FALSE)=main!$G$105,VLOOKUP(AU$1,main!$A$3:$H$102,5,FALSE)-VLOOKUP($A303,main!$A$3:$H$102,6,FALSE)&gt;=main!$D$103+VLOOKUP(VLOOKUP(AU$1,main!$A$3:$I$102,7,FALSE),main!$K$26:$Q$29,5,FALSE)),1,0)</f>
        <v>0</v>
      </c>
      <c r="AV303">
        <f>IF(AND(VLOOKUP(AV$1,main!$A$3:$H$102,7,FALSE)=main!$G$105,VLOOKUP(AV$1,main!$A$3:$H$102,5,FALSE)-VLOOKUP($A303,main!$A$3:$H$102,6,FALSE)&gt;=main!$D$103+VLOOKUP(VLOOKUP(AV$1,main!$A$3:$I$102,7,FALSE),main!$K$26:$Q$29,5,FALSE)),1,0)</f>
        <v>0</v>
      </c>
      <c r="AW303">
        <f>IF(AND(VLOOKUP(AW$1,main!$A$3:$H$102,7,FALSE)=main!$G$105,VLOOKUP(AW$1,main!$A$3:$H$102,5,FALSE)-VLOOKUP($A303,main!$A$3:$H$102,6,FALSE)&gt;=main!$D$103+VLOOKUP(VLOOKUP(AW$1,main!$A$3:$I$102,7,FALSE),main!$K$26:$Q$29,5,FALSE)),1,0)</f>
        <v>0</v>
      </c>
      <c r="AX303">
        <f>IF(AND(VLOOKUP(AX$1,main!$A$3:$H$102,7,FALSE)=main!$G$105,VLOOKUP(AX$1,main!$A$3:$H$102,5,FALSE)-VLOOKUP($A303,main!$A$3:$H$102,6,FALSE)&gt;=main!$D$103+VLOOKUP(VLOOKUP(AX$1,main!$A$3:$I$102,7,FALSE),main!$K$26:$Q$29,5,FALSE)),1,0)</f>
        <v>0</v>
      </c>
      <c r="AY303">
        <f>IF(AND(VLOOKUP(AY$1,main!$A$3:$H$102,7,FALSE)=main!$G$105,VLOOKUP(AY$1,main!$A$3:$H$102,5,FALSE)-VLOOKUP($A303,main!$A$3:$H$102,6,FALSE)&gt;=main!$D$103+VLOOKUP(VLOOKUP(AY$1,main!$A$3:$I$102,7,FALSE),main!$K$26:$Q$29,5,FALSE)),1,0)</f>
        <v>0</v>
      </c>
      <c r="AZ303">
        <f>IF(AND(VLOOKUP(AZ$1,main!$A$3:$H$102,7,FALSE)=main!$G$105,VLOOKUP(AZ$1,main!$A$3:$H$102,5,FALSE)-VLOOKUP($A303,main!$A$3:$H$102,6,FALSE)&gt;=main!$D$103+VLOOKUP(VLOOKUP(AZ$1,main!$A$3:$I$102,7,FALSE),main!$K$26:$Q$29,5,FALSE)),1,0)</f>
        <v>0</v>
      </c>
      <c r="BA303">
        <f>IF(AND(VLOOKUP(BA$1,main!$A$3:$H$102,7,FALSE)=main!$G$105,VLOOKUP(BA$1,main!$A$3:$H$102,5,FALSE)-VLOOKUP($A303,main!$A$3:$H$102,6,FALSE)&gt;=main!$D$103+VLOOKUP(VLOOKUP(BA$1,main!$A$3:$I$102,7,FALSE),main!$K$26:$Q$29,5,FALSE)),1,0)</f>
        <v>0</v>
      </c>
      <c r="BB303">
        <f>IF(AND(VLOOKUP(BB$1,main!$A$3:$H$102,7,FALSE)=main!$G$105,VLOOKUP(BB$1,main!$A$3:$H$102,5,FALSE)-VLOOKUP($A303,main!$A$3:$H$102,6,FALSE)&gt;=main!$D$103+VLOOKUP(VLOOKUP(BB$1,main!$A$3:$I$102,7,FALSE),main!$K$26:$Q$29,5,FALSE)),1,0)</f>
        <v>0</v>
      </c>
      <c r="BC303">
        <f>IF(AND(VLOOKUP(BC$1,main!$A$3:$H$102,7,FALSE)=main!$G$105,VLOOKUP(BC$1,main!$A$3:$H$102,5,FALSE)-VLOOKUP($A303,main!$A$3:$H$102,6,FALSE)&gt;=main!$D$103+VLOOKUP(VLOOKUP(BC$1,main!$A$3:$I$102,7,FALSE),main!$K$26:$Q$29,5,FALSE)),1,0)</f>
        <v>0</v>
      </c>
      <c r="BD303">
        <f>IF(AND(VLOOKUP(BD$1,main!$A$3:$H$102,7,FALSE)=main!$G$105,VLOOKUP(BD$1,main!$A$3:$H$102,5,FALSE)-VLOOKUP($A303,main!$A$3:$H$102,6,FALSE)&gt;=main!$D$103+VLOOKUP(VLOOKUP(BD$1,main!$A$3:$I$102,7,FALSE),main!$K$26:$Q$29,5,FALSE)),1,0)</f>
        <v>0</v>
      </c>
      <c r="BE303">
        <f>IF(AND(VLOOKUP(BE$1,main!$A$3:$H$102,7,FALSE)=main!$G$105,VLOOKUP(BE$1,main!$A$3:$H$102,5,FALSE)-VLOOKUP($A303,main!$A$3:$H$102,6,FALSE)&gt;=main!$D$103+VLOOKUP(VLOOKUP(BE$1,main!$A$3:$I$102,7,FALSE),main!$K$26:$Q$29,5,FALSE)),1,0)</f>
        <v>0</v>
      </c>
      <c r="BF303">
        <f>IF(AND(VLOOKUP(BF$1,main!$A$3:$H$102,7,FALSE)=main!$G$105,VLOOKUP(BF$1,main!$A$3:$H$102,5,FALSE)-VLOOKUP($A303,main!$A$3:$H$102,6,FALSE)&gt;=main!$D$103+VLOOKUP(VLOOKUP(BF$1,main!$A$3:$I$102,7,FALSE),main!$K$26:$Q$29,5,FALSE)),1,0)</f>
        <v>0</v>
      </c>
      <c r="BG303">
        <f>IF(AND(VLOOKUP(BG$1,main!$A$3:$H$102,7,FALSE)=main!$G$105,VLOOKUP(BG$1,main!$A$3:$H$102,5,FALSE)-VLOOKUP($A303,main!$A$3:$H$102,6,FALSE)&gt;=main!$D$103+VLOOKUP(VLOOKUP(BG$1,main!$A$3:$I$102,7,FALSE),main!$K$26:$Q$29,5,FALSE)),1,0)</f>
        <v>0</v>
      </c>
      <c r="BH303">
        <f>IF(AND(VLOOKUP(BH$1,main!$A$3:$H$102,7,FALSE)=main!$G$105,VLOOKUP(BH$1,main!$A$3:$H$102,5,FALSE)-VLOOKUP($A303,main!$A$3:$H$102,6,FALSE)&gt;=main!$D$103+VLOOKUP(VLOOKUP(BH$1,main!$A$3:$I$102,7,FALSE),main!$K$26:$Q$29,5,FALSE)),1,0)</f>
        <v>0</v>
      </c>
      <c r="BI303">
        <f>IF(AND(VLOOKUP(BI$1,main!$A$3:$H$102,7,FALSE)=main!$G$105,VLOOKUP(BI$1,main!$A$3:$H$102,5,FALSE)-VLOOKUP($A303,main!$A$3:$H$102,6,FALSE)&gt;=main!$D$103+VLOOKUP(VLOOKUP(BI$1,main!$A$3:$I$102,7,FALSE),main!$K$26:$Q$29,5,FALSE)),1,0)</f>
        <v>0</v>
      </c>
      <c r="BJ303">
        <f>IF(AND(VLOOKUP(BJ$1,main!$A$3:$H$102,7,FALSE)=main!$G$105,VLOOKUP(BJ$1,main!$A$3:$H$102,5,FALSE)-VLOOKUP($A303,main!$A$3:$H$102,6,FALSE)&gt;=main!$D$103+VLOOKUP(VLOOKUP(BJ$1,main!$A$3:$I$102,7,FALSE),main!$K$26:$Q$29,5,FALSE)),1,0)</f>
        <v>0</v>
      </c>
      <c r="BK303">
        <f>IF(AND(VLOOKUP(BK$1,main!$A$3:$H$102,7,FALSE)=main!$G$105,VLOOKUP(BK$1,main!$A$3:$H$102,5,FALSE)-VLOOKUP($A303,main!$A$3:$H$102,6,FALSE)&gt;=main!$D$103+VLOOKUP(VLOOKUP(BK$1,main!$A$3:$I$102,7,FALSE),main!$K$26:$Q$29,5,FALSE)),1,0)</f>
        <v>0</v>
      </c>
      <c r="BL303">
        <f>IF(AND(VLOOKUP(BL$1,main!$A$3:$H$102,7,FALSE)=main!$G$105,VLOOKUP(BL$1,main!$A$3:$H$102,5,FALSE)-VLOOKUP($A303,main!$A$3:$H$102,6,FALSE)&gt;=main!$D$103+VLOOKUP(VLOOKUP(BL$1,main!$A$3:$I$102,7,FALSE),main!$K$26:$Q$29,5,FALSE)),1,0)</f>
        <v>0</v>
      </c>
      <c r="BM303">
        <f>IF(AND(VLOOKUP(BM$1,main!$A$3:$H$102,7,FALSE)=main!$G$105,VLOOKUP(BM$1,main!$A$3:$H$102,5,FALSE)-VLOOKUP($A303,main!$A$3:$H$102,6,FALSE)&gt;=main!$D$103+VLOOKUP(VLOOKUP(BM$1,main!$A$3:$I$102,7,FALSE),main!$K$26:$Q$29,5,FALSE)),1,0)</f>
        <v>0</v>
      </c>
      <c r="BN303">
        <f>IF(AND(VLOOKUP(BN$1,main!$A$3:$H$102,7,FALSE)=main!$G$105,VLOOKUP(BN$1,main!$A$3:$H$102,5,FALSE)-VLOOKUP($A303,main!$A$3:$H$102,6,FALSE)&gt;=main!$D$103+VLOOKUP(VLOOKUP(BN$1,main!$A$3:$I$102,7,FALSE),main!$K$26:$Q$29,5,FALSE)),1,0)</f>
        <v>0</v>
      </c>
      <c r="BO303">
        <f>IF(AND(VLOOKUP(BO$1,main!$A$3:$H$102,7,FALSE)=main!$G$105,VLOOKUP(BO$1,main!$A$3:$H$102,5,FALSE)-VLOOKUP($A303,main!$A$3:$H$102,6,FALSE)&gt;=main!$D$103+VLOOKUP(VLOOKUP(BO$1,main!$A$3:$I$102,7,FALSE),main!$K$26:$Q$29,5,FALSE)),1,0)</f>
        <v>0</v>
      </c>
      <c r="BP303">
        <f>IF(AND(VLOOKUP(BP$1,main!$A$3:$H$102,7,FALSE)=main!$G$105,VLOOKUP(BP$1,main!$A$3:$H$102,5,FALSE)-VLOOKUP($A303,main!$A$3:$H$102,6,FALSE)&gt;=main!$D$103+VLOOKUP(VLOOKUP(BP$1,main!$A$3:$I$102,7,FALSE),main!$K$26:$Q$29,5,FALSE)),1,0)</f>
        <v>0</v>
      </c>
      <c r="BQ303">
        <f>IF(AND(VLOOKUP(BQ$1,main!$A$3:$H$102,7,FALSE)=main!$G$105,VLOOKUP(BQ$1,main!$A$3:$H$102,5,FALSE)-VLOOKUP($A303,main!$A$3:$H$102,6,FALSE)&gt;=main!$D$103+VLOOKUP(VLOOKUP(BQ$1,main!$A$3:$I$102,7,FALSE),main!$K$26:$Q$29,5,FALSE)),1,0)</f>
        <v>0</v>
      </c>
      <c r="BR303">
        <f>IF(AND(VLOOKUP(BR$1,main!$A$3:$H$102,7,FALSE)=main!$G$105,VLOOKUP(BR$1,main!$A$3:$H$102,5,FALSE)-VLOOKUP($A303,main!$A$3:$H$102,6,FALSE)&gt;=main!$D$103+VLOOKUP(VLOOKUP(BR$1,main!$A$3:$I$102,7,FALSE),main!$K$26:$Q$29,5,FALSE)),1,0)</f>
        <v>0</v>
      </c>
      <c r="BS303">
        <f>IF(AND(VLOOKUP(BS$1,main!$A$3:$H$102,7,FALSE)=main!$G$105,VLOOKUP(BS$1,main!$A$3:$H$102,5,FALSE)-VLOOKUP($A303,main!$A$3:$H$102,6,FALSE)&gt;=main!$D$103+VLOOKUP(VLOOKUP(BS$1,main!$A$3:$I$102,7,FALSE),main!$K$26:$Q$29,5,FALSE)),1,0)</f>
        <v>0</v>
      </c>
      <c r="BT303">
        <f>IF(AND(VLOOKUP(BT$1,main!$A$3:$H$102,7,FALSE)=main!$G$105,VLOOKUP(BT$1,main!$A$3:$H$102,5,FALSE)-VLOOKUP($A303,main!$A$3:$H$102,6,FALSE)&gt;=main!$D$103+VLOOKUP(VLOOKUP(BT$1,main!$A$3:$I$102,7,FALSE),main!$K$26:$Q$29,5,FALSE)),1,0)</f>
        <v>0</v>
      </c>
      <c r="BU303">
        <f>IF(AND(VLOOKUP(BU$1,main!$A$3:$H$102,7,FALSE)=main!$G$105,VLOOKUP(BU$1,main!$A$3:$H$102,5,FALSE)-VLOOKUP($A303,main!$A$3:$H$102,6,FALSE)&gt;=main!$D$103+VLOOKUP(VLOOKUP(BU$1,main!$A$3:$I$102,7,FALSE),main!$K$26:$Q$29,5,FALSE)),1,0)</f>
        <v>0</v>
      </c>
      <c r="BV303">
        <f>IF(AND(VLOOKUP(BV$1,main!$A$3:$H$102,7,FALSE)=main!$G$105,VLOOKUP(BV$1,main!$A$3:$H$102,5,FALSE)-VLOOKUP($A303,main!$A$3:$H$102,6,FALSE)&gt;=main!$D$103+VLOOKUP(VLOOKUP(BV$1,main!$A$3:$I$102,7,FALSE),main!$K$26:$Q$29,5,FALSE)),1,0)</f>
        <v>0</v>
      </c>
      <c r="BW303">
        <f>IF(AND(VLOOKUP(BW$1,main!$A$3:$H$102,7,FALSE)=main!$G$105,VLOOKUP(BW$1,main!$A$3:$H$102,5,FALSE)-VLOOKUP($A303,main!$A$3:$H$102,6,FALSE)&gt;=main!$D$103+VLOOKUP(VLOOKUP(BW$1,main!$A$3:$I$102,7,FALSE),main!$K$26:$Q$29,5,FALSE)),1,0)</f>
        <v>0</v>
      </c>
      <c r="BX303">
        <f>IF(AND(VLOOKUP(BX$1,main!$A$3:$H$102,7,FALSE)=main!$G$105,VLOOKUP(BX$1,main!$A$3:$H$102,5,FALSE)-VLOOKUP($A303,main!$A$3:$H$102,6,FALSE)&gt;=main!$D$103+VLOOKUP(VLOOKUP(BX$1,main!$A$3:$I$102,7,FALSE),main!$K$26:$Q$29,5,FALSE)),1,0)</f>
        <v>0</v>
      </c>
      <c r="BY303">
        <f>IF(AND(VLOOKUP(BY$1,main!$A$3:$H$102,7,FALSE)=main!$G$105,VLOOKUP(BY$1,main!$A$3:$H$102,5,FALSE)-VLOOKUP($A303,main!$A$3:$H$102,6,FALSE)&gt;=main!$D$103+VLOOKUP(VLOOKUP(BY$1,main!$A$3:$I$102,7,FALSE),main!$K$26:$Q$29,5,FALSE)),1,0)</f>
        <v>0</v>
      </c>
      <c r="BZ303">
        <f>IF(AND(VLOOKUP(BZ$1,main!$A$3:$H$102,7,FALSE)=main!$G$105,VLOOKUP(BZ$1,main!$A$3:$H$102,5,FALSE)-VLOOKUP($A303,main!$A$3:$H$102,6,FALSE)&gt;=main!$D$103+VLOOKUP(VLOOKUP(BZ$1,main!$A$3:$I$102,7,FALSE),main!$K$26:$Q$29,5,FALSE)),1,0)</f>
        <v>0</v>
      </c>
      <c r="CA303">
        <f>IF(AND(VLOOKUP(CA$1,main!$A$3:$H$102,7,FALSE)=main!$G$105,VLOOKUP(CA$1,main!$A$3:$H$102,5,FALSE)-VLOOKUP($A303,main!$A$3:$H$102,6,FALSE)&gt;=main!$D$103+VLOOKUP(VLOOKUP(CA$1,main!$A$3:$I$102,7,FALSE),main!$K$26:$Q$29,5,FALSE)),1,0)</f>
        <v>0</v>
      </c>
      <c r="CB303">
        <f>IF(AND(VLOOKUP(CB$1,main!$A$3:$H$102,7,FALSE)=main!$G$105,VLOOKUP(CB$1,main!$A$3:$H$102,5,FALSE)-VLOOKUP($A303,main!$A$3:$H$102,6,FALSE)&gt;=main!$D$103+VLOOKUP(VLOOKUP(CB$1,main!$A$3:$I$102,7,FALSE),main!$K$26:$Q$29,5,FALSE)),1,0)</f>
        <v>0</v>
      </c>
      <c r="CC303">
        <f>IF(AND(VLOOKUP(CC$1,main!$A$3:$H$102,7,FALSE)=main!$G$105,VLOOKUP(CC$1,main!$A$3:$H$102,5,FALSE)-VLOOKUP($A303,main!$A$3:$H$102,6,FALSE)&gt;=main!$D$103+VLOOKUP(VLOOKUP(CC$1,main!$A$3:$I$102,7,FALSE),main!$K$26:$Q$29,5,FALSE)),1,0)</f>
        <v>0</v>
      </c>
      <c r="CD303">
        <f>IF(AND(VLOOKUP(CD$1,main!$A$3:$H$102,7,FALSE)=main!$G$105,VLOOKUP(CD$1,main!$A$3:$H$102,5,FALSE)-VLOOKUP($A303,main!$A$3:$H$102,6,FALSE)&gt;=main!$D$103+VLOOKUP(VLOOKUP(CD$1,main!$A$3:$I$102,7,FALSE),main!$K$26:$Q$29,5,FALSE)),1,0)</f>
        <v>0</v>
      </c>
      <c r="CE303">
        <f>IF(AND(VLOOKUP(CE$1,main!$A$3:$H$102,7,FALSE)=main!$G$105,VLOOKUP(CE$1,main!$A$3:$H$102,5,FALSE)-VLOOKUP($A303,main!$A$3:$H$102,6,FALSE)&gt;=main!$D$103+VLOOKUP(VLOOKUP(CE$1,main!$A$3:$I$102,7,FALSE),main!$K$26:$Q$29,5,FALSE)),1,0)</f>
        <v>0</v>
      </c>
      <c r="CF303">
        <f>IF(AND(VLOOKUP(CF$1,main!$A$3:$H$102,7,FALSE)=main!$G$105,VLOOKUP(CF$1,main!$A$3:$H$102,5,FALSE)-VLOOKUP($A303,main!$A$3:$H$102,6,FALSE)&gt;=main!$D$103+VLOOKUP(VLOOKUP(CF$1,main!$A$3:$I$102,7,FALSE),main!$K$26:$Q$29,5,FALSE)),1,0)</f>
        <v>0</v>
      </c>
      <c r="CG303">
        <f>IF(AND(VLOOKUP(CG$1,main!$A$3:$H$102,7,FALSE)=main!$G$105,VLOOKUP(CG$1,main!$A$3:$H$102,5,FALSE)-VLOOKUP($A303,main!$A$3:$H$102,6,FALSE)&gt;=main!$D$103+VLOOKUP(VLOOKUP(CG$1,main!$A$3:$I$102,7,FALSE),main!$K$26:$Q$29,5,FALSE)),1,0)</f>
        <v>0</v>
      </c>
      <c r="CH303">
        <f>IF(AND(VLOOKUP(CH$1,main!$A$3:$H$102,7,FALSE)=main!$G$105,VLOOKUP(CH$1,main!$A$3:$H$102,5,FALSE)-VLOOKUP($A303,main!$A$3:$H$102,6,FALSE)&gt;=main!$D$103+VLOOKUP(VLOOKUP(CH$1,main!$A$3:$I$102,7,FALSE),main!$K$26:$Q$29,5,FALSE)),1,0)</f>
        <v>0</v>
      </c>
      <c r="CI303">
        <f>IF(AND(VLOOKUP(CI$1,main!$A$3:$H$102,7,FALSE)=main!$G$105,VLOOKUP(CI$1,main!$A$3:$H$102,5,FALSE)-VLOOKUP($A303,main!$A$3:$H$102,6,FALSE)&gt;=main!$D$103+VLOOKUP(VLOOKUP(CI$1,main!$A$3:$I$102,7,FALSE),main!$K$26:$Q$29,5,FALSE)),1,0)</f>
        <v>0</v>
      </c>
      <c r="CJ303">
        <f>IF(AND(VLOOKUP(CJ$1,main!$A$3:$H$102,7,FALSE)=main!$G$105,VLOOKUP(CJ$1,main!$A$3:$H$102,5,FALSE)-VLOOKUP($A303,main!$A$3:$H$102,6,FALSE)&gt;=main!$D$103+VLOOKUP(VLOOKUP(CJ$1,main!$A$3:$I$102,7,FALSE),main!$K$26:$Q$29,5,FALSE)),1,0)</f>
        <v>0</v>
      </c>
      <c r="CK303">
        <f>IF(AND(VLOOKUP(CK$1,main!$A$3:$H$102,7,FALSE)=main!$G$105,VLOOKUP(CK$1,main!$A$3:$H$102,5,FALSE)-VLOOKUP($A303,main!$A$3:$H$102,6,FALSE)&gt;=main!$D$103+VLOOKUP(VLOOKUP(CK$1,main!$A$3:$I$102,7,FALSE),main!$K$26:$Q$29,5,FALSE)),1,0)</f>
        <v>0</v>
      </c>
      <c r="CL303">
        <f>IF(AND(VLOOKUP(CL$1,main!$A$3:$H$102,7,FALSE)=main!$G$105,VLOOKUP(CL$1,main!$A$3:$H$102,5,FALSE)-VLOOKUP($A303,main!$A$3:$H$102,6,FALSE)&gt;=main!$D$103+VLOOKUP(VLOOKUP(CL$1,main!$A$3:$I$102,7,FALSE),main!$K$26:$Q$29,5,FALSE)),1,0)</f>
        <v>0</v>
      </c>
      <c r="CM303">
        <f>IF(AND(VLOOKUP(CM$1,main!$A$3:$H$102,7,FALSE)=main!$G$105,VLOOKUP(CM$1,main!$A$3:$H$102,5,FALSE)-VLOOKUP($A303,main!$A$3:$H$102,6,FALSE)&gt;=main!$D$103+VLOOKUP(VLOOKUP(CM$1,main!$A$3:$I$102,7,FALSE),main!$K$26:$Q$29,5,FALSE)),1,0)</f>
        <v>0</v>
      </c>
      <c r="CN303">
        <f>IF(AND(VLOOKUP(CN$1,main!$A$3:$H$102,7,FALSE)=main!$G$105,VLOOKUP(CN$1,main!$A$3:$H$102,5,FALSE)-VLOOKUP($A303,main!$A$3:$H$102,6,FALSE)&gt;=main!$D$103+VLOOKUP(VLOOKUP(CN$1,main!$A$3:$I$102,7,FALSE),main!$K$26:$Q$29,5,FALSE)),1,0)</f>
        <v>0</v>
      </c>
      <c r="CO303">
        <f>IF(AND(VLOOKUP(CO$1,main!$A$3:$H$102,7,FALSE)=main!$G$105,VLOOKUP(CO$1,main!$A$3:$H$102,5,FALSE)-VLOOKUP($A303,main!$A$3:$H$102,6,FALSE)&gt;=main!$D$103+VLOOKUP(VLOOKUP(CO$1,main!$A$3:$I$102,7,FALSE),main!$K$26:$Q$29,5,FALSE)),1,0)</f>
        <v>0</v>
      </c>
      <c r="CP303">
        <f>IF(AND(VLOOKUP(CP$1,main!$A$3:$H$102,7,FALSE)=main!$G$105,VLOOKUP(CP$1,main!$A$3:$H$102,5,FALSE)-VLOOKUP($A303,main!$A$3:$H$102,6,FALSE)&gt;=main!$D$103+VLOOKUP(VLOOKUP(CP$1,main!$A$3:$I$102,7,FALSE),main!$K$26:$Q$29,5,FALSE)),1,0)</f>
        <v>0</v>
      </c>
      <c r="CQ303">
        <f>IF(AND(VLOOKUP(CQ$1,main!$A$3:$H$102,7,FALSE)=main!$G$105,VLOOKUP(CQ$1,main!$A$3:$H$102,5,FALSE)-VLOOKUP($A303,main!$A$3:$H$102,6,FALSE)&gt;=main!$D$103+VLOOKUP(VLOOKUP(CQ$1,main!$A$3:$I$102,7,FALSE),main!$K$26:$Q$29,5,FALSE)),1,0)</f>
        <v>0</v>
      </c>
      <c r="CR303">
        <f>IF(AND(VLOOKUP(CR$1,main!$A$3:$H$102,7,FALSE)=main!$G$105,VLOOKUP(CR$1,main!$A$3:$H$102,5,FALSE)-VLOOKUP($A303,main!$A$3:$H$102,6,FALSE)&gt;=main!$D$103+VLOOKUP(VLOOKUP(CR$1,main!$A$3:$I$102,7,FALSE),main!$K$26:$Q$29,5,FALSE)),1,0)</f>
        <v>0</v>
      </c>
      <c r="CS303">
        <f>IF(AND(VLOOKUP(CS$1,main!$A$3:$H$102,7,FALSE)=main!$G$105,VLOOKUP(CS$1,main!$A$3:$H$102,5,FALSE)-VLOOKUP($A303,main!$A$3:$H$102,6,FALSE)&gt;=main!$D$103+VLOOKUP(VLOOKUP(CS$1,main!$A$3:$I$102,7,FALSE),main!$K$26:$Q$29,5,FALSE)),1,0)</f>
        <v>0</v>
      </c>
      <c r="CT303">
        <f>IF(AND(VLOOKUP(CT$1,main!$A$3:$H$102,7,FALSE)=main!$G$105,VLOOKUP(CT$1,main!$A$3:$H$102,5,FALSE)-VLOOKUP($A303,main!$A$3:$H$102,6,FALSE)&gt;=main!$D$103+VLOOKUP(VLOOKUP(CT$1,main!$A$3:$I$102,7,FALSE),main!$K$26:$Q$29,5,FALSE)),1,0)</f>
        <v>0</v>
      </c>
      <c r="CU303">
        <f>IF(AND(VLOOKUP(CU$1,main!$A$3:$H$102,7,FALSE)=main!$G$105,VLOOKUP(CU$1,main!$A$3:$H$102,5,FALSE)-VLOOKUP($A303,main!$A$3:$H$102,6,FALSE)&gt;=main!$D$103+VLOOKUP(VLOOKUP(CU$1,main!$A$3:$I$102,7,FALSE),main!$K$26:$Q$29,5,FALSE)),1,0)</f>
        <v>0</v>
      </c>
      <c r="CV303">
        <f>IF(AND(VLOOKUP(CV$1,main!$A$3:$H$102,7,FALSE)=main!$G$105,VLOOKUP(CV$1,main!$A$3:$H$102,5,FALSE)-VLOOKUP($A303,main!$A$3:$H$102,6,FALSE)&gt;=main!$D$103+VLOOKUP(VLOOKUP(CV$1,main!$A$3:$I$102,7,FALSE),main!$K$26:$Q$29,5,FALSE)),1,0)</f>
        <v>0</v>
      </c>
      <c r="CW303">
        <f>IF(AND(VLOOKUP(CW$1,main!$A$3:$H$102,7,FALSE)=main!$G$105,VLOOKUP(CW$1,main!$A$3:$H$102,5,FALSE)-VLOOKUP($A303,main!$A$3:$H$102,6,FALSE)&gt;=main!$D$103+VLOOKUP(VLOOKUP(CW$1,main!$A$3:$I$102,7,FALSE),main!$K$26:$Q$29,5,FALSE)),1,0)</f>
        <v>0</v>
      </c>
      <c r="CX303">
        <f>IF(AND(VLOOKUP(CX$1,main!$A$3:$H$102,7,FALSE)=main!$G$105,VLOOKUP(CX$1,main!$A$3:$H$102,5,FALSE)-VLOOKUP($A303,main!$A$3:$H$102,6,FALSE)&gt;=main!$D$103+VLOOKUP(VLOOKUP(CX$1,main!$A$3:$I$102,7,FALSE),main!$K$26:$Q$29,5,FALSE)),1,0)</f>
        <v>0</v>
      </c>
    </row>
    <row r="304" spans="1:102" x14ac:dyDescent="0.25">
      <c r="A304" s="1">
        <v>100</v>
      </c>
      <c r="B304">
        <v>0</v>
      </c>
      <c r="C304">
        <f>IF(AND(VLOOKUP(C$1,main!$A$3:$H$102,7,FALSE)=main!$G$105,VLOOKUP(C$1,main!$A$3:$H$102,5,FALSE)-VLOOKUP($A304,main!$A$3:$H$102,6,FALSE)&gt;=main!$D$103+VLOOKUP(VLOOKUP(C$1,main!$A$3:$I$102,7,FALSE),main!$K$26:$Q$29,5,FALSE)),1,0)</f>
        <v>0</v>
      </c>
      <c r="D304">
        <f>IF(AND(VLOOKUP(D$1,main!$A$3:$H$102,7,FALSE)=main!$G$105,VLOOKUP(D$1,main!$A$3:$H$102,5,FALSE)-VLOOKUP($A304,main!$A$3:$H$102,6,FALSE)&gt;=main!$D$103+VLOOKUP(VLOOKUP(D$1,main!$A$3:$I$102,7,FALSE),main!$K$26:$Q$29,5,FALSE)),1,0)</f>
        <v>0</v>
      </c>
      <c r="E304">
        <f>IF(AND(VLOOKUP(E$1,main!$A$3:$H$102,7,FALSE)=main!$G$105,VLOOKUP(E$1,main!$A$3:$H$102,5,FALSE)-VLOOKUP($A304,main!$A$3:$H$102,6,FALSE)&gt;=main!$D$103+VLOOKUP(VLOOKUP(E$1,main!$A$3:$I$102,7,FALSE),main!$K$26:$Q$29,5,FALSE)),1,0)</f>
        <v>0</v>
      </c>
      <c r="F304">
        <f>IF(AND(VLOOKUP(F$1,main!$A$3:$H$102,7,FALSE)=main!$G$105,VLOOKUP(F$1,main!$A$3:$H$102,5,FALSE)-VLOOKUP($A304,main!$A$3:$H$102,6,FALSE)&gt;=main!$D$103+VLOOKUP(VLOOKUP(F$1,main!$A$3:$I$102,7,FALSE),main!$K$26:$Q$29,5,FALSE)),1,0)</f>
        <v>0</v>
      </c>
      <c r="G304">
        <f>IF(AND(VLOOKUP(G$1,main!$A$3:$H$102,7,FALSE)=main!$G$105,VLOOKUP(G$1,main!$A$3:$H$102,5,FALSE)-VLOOKUP($A304,main!$A$3:$H$102,6,FALSE)&gt;=main!$D$103+VLOOKUP(VLOOKUP(G$1,main!$A$3:$I$102,7,FALSE),main!$K$26:$Q$29,5,FALSE)),1,0)</f>
        <v>0</v>
      </c>
      <c r="H304">
        <f>IF(AND(VLOOKUP(H$1,main!$A$3:$H$102,7,FALSE)=main!$G$105,VLOOKUP(H$1,main!$A$3:$H$102,5,FALSE)-VLOOKUP($A304,main!$A$3:$H$102,6,FALSE)&gt;=main!$D$103+VLOOKUP(VLOOKUP(H$1,main!$A$3:$I$102,7,FALSE),main!$K$26:$Q$29,5,FALSE)),1,0)</f>
        <v>0</v>
      </c>
      <c r="I304">
        <f>IF(AND(VLOOKUP(I$1,main!$A$3:$H$102,7,FALSE)=main!$G$105,VLOOKUP(I$1,main!$A$3:$H$102,5,FALSE)-VLOOKUP($A304,main!$A$3:$H$102,6,FALSE)&gt;=main!$D$103+VLOOKUP(VLOOKUP(I$1,main!$A$3:$I$102,7,FALSE),main!$K$26:$Q$29,5,FALSE)),1,0)</f>
        <v>0</v>
      </c>
      <c r="J304">
        <f>IF(AND(VLOOKUP(J$1,main!$A$3:$H$102,7,FALSE)=main!$G$105,VLOOKUP(J$1,main!$A$3:$H$102,5,FALSE)-VLOOKUP($A304,main!$A$3:$H$102,6,FALSE)&gt;=main!$D$103+VLOOKUP(VLOOKUP(J$1,main!$A$3:$I$102,7,FALSE),main!$K$26:$Q$29,5,FALSE)),1,0)</f>
        <v>0</v>
      </c>
      <c r="K304">
        <f>IF(AND(VLOOKUP(K$1,main!$A$3:$H$102,7,FALSE)=main!$G$105,VLOOKUP(K$1,main!$A$3:$H$102,5,FALSE)-VLOOKUP($A304,main!$A$3:$H$102,6,FALSE)&gt;=main!$D$103+VLOOKUP(VLOOKUP(K$1,main!$A$3:$I$102,7,FALSE),main!$K$26:$Q$29,5,FALSE)),1,0)</f>
        <v>0</v>
      </c>
      <c r="L304">
        <f>IF(AND(VLOOKUP(L$1,main!$A$3:$H$102,7,FALSE)=main!$G$105,VLOOKUP(L$1,main!$A$3:$H$102,5,FALSE)-VLOOKUP($A304,main!$A$3:$H$102,6,FALSE)&gt;=main!$D$103+VLOOKUP(VLOOKUP(L$1,main!$A$3:$I$102,7,FALSE),main!$K$26:$Q$29,5,FALSE)),1,0)</f>
        <v>0</v>
      </c>
      <c r="M304">
        <f>IF(AND(VLOOKUP(M$1,main!$A$3:$H$102,7,FALSE)=main!$G$105,VLOOKUP(M$1,main!$A$3:$H$102,5,FALSE)-VLOOKUP($A304,main!$A$3:$H$102,6,FALSE)&gt;=main!$D$103+VLOOKUP(VLOOKUP(M$1,main!$A$3:$I$102,7,FALSE),main!$K$26:$Q$29,5,FALSE)),1,0)</f>
        <v>0</v>
      </c>
      <c r="N304">
        <f>IF(AND(VLOOKUP(N$1,main!$A$3:$H$102,7,FALSE)=main!$G$105,VLOOKUP(N$1,main!$A$3:$H$102,5,FALSE)-VLOOKUP($A304,main!$A$3:$H$102,6,FALSE)&gt;=main!$D$103+VLOOKUP(VLOOKUP(N$1,main!$A$3:$I$102,7,FALSE),main!$K$26:$Q$29,5,FALSE)),1,0)</f>
        <v>0</v>
      </c>
      <c r="O304">
        <f>IF(AND(VLOOKUP(O$1,main!$A$3:$H$102,7,FALSE)=main!$G$105,VLOOKUP(O$1,main!$A$3:$H$102,5,FALSE)-VLOOKUP($A304,main!$A$3:$H$102,6,FALSE)&gt;=main!$D$103+VLOOKUP(VLOOKUP(O$1,main!$A$3:$I$102,7,FALSE),main!$K$26:$Q$29,5,FALSE)),1,0)</f>
        <v>0</v>
      </c>
      <c r="P304">
        <f>IF(AND(VLOOKUP(P$1,main!$A$3:$H$102,7,FALSE)=main!$G$105,VLOOKUP(P$1,main!$A$3:$H$102,5,FALSE)-VLOOKUP($A304,main!$A$3:$H$102,6,FALSE)&gt;=main!$D$103+VLOOKUP(VLOOKUP(P$1,main!$A$3:$I$102,7,FALSE),main!$K$26:$Q$29,5,FALSE)),1,0)</f>
        <v>0</v>
      </c>
      <c r="Q304">
        <f>IF(AND(VLOOKUP(Q$1,main!$A$3:$H$102,7,FALSE)=main!$G$105,VLOOKUP(Q$1,main!$A$3:$H$102,5,FALSE)-VLOOKUP($A304,main!$A$3:$H$102,6,FALSE)&gt;=main!$D$103+VLOOKUP(VLOOKUP(Q$1,main!$A$3:$I$102,7,FALSE),main!$K$26:$Q$29,5,FALSE)),1,0)</f>
        <v>0</v>
      </c>
      <c r="R304">
        <f>IF(AND(VLOOKUP(R$1,main!$A$3:$H$102,7,FALSE)=main!$G$105,VLOOKUP(R$1,main!$A$3:$H$102,5,FALSE)-VLOOKUP($A304,main!$A$3:$H$102,6,FALSE)&gt;=main!$D$103+VLOOKUP(VLOOKUP(R$1,main!$A$3:$I$102,7,FALSE),main!$K$26:$Q$29,5,FALSE)),1,0)</f>
        <v>0</v>
      </c>
      <c r="S304">
        <f>IF(AND(VLOOKUP(S$1,main!$A$3:$H$102,7,FALSE)=main!$G$105,VLOOKUP(S$1,main!$A$3:$H$102,5,FALSE)-VLOOKUP($A304,main!$A$3:$H$102,6,FALSE)&gt;=main!$D$103+VLOOKUP(VLOOKUP(S$1,main!$A$3:$I$102,7,FALSE),main!$K$26:$Q$29,5,FALSE)),1,0)</f>
        <v>0</v>
      </c>
      <c r="T304">
        <f>IF(AND(VLOOKUP(T$1,main!$A$3:$H$102,7,FALSE)=main!$G$105,VLOOKUP(T$1,main!$A$3:$H$102,5,FALSE)-VLOOKUP($A304,main!$A$3:$H$102,6,FALSE)&gt;=main!$D$103+VLOOKUP(VLOOKUP(T$1,main!$A$3:$I$102,7,FALSE),main!$K$26:$Q$29,5,FALSE)),1,0)</f>
        <v>0</v>
      </c>
      <c r="U304">
        <f>IF(AND(VLOOKUP(U$1,main!$A$3:$H$102,7,FALSE)=main!$G$105,VLOOKUP(U$1,main!$A$3:$H$102,5,FALSE)-VLOOKUP($A304,main!$A$3:$H$102,6,FALSE)&gt;=main!$D$103+VLOOKUP(VLOOKUP(U$1,main!$A$3:$I$102,7,FALSE),main!$K$26:$Q$29,5,FALSE)),1,0)</f>
        <v>0</v>
      </c>
      <c r="V304">
        <f>IF(AND(VLOOKUP(V$1,main!$A$3:$H$102,7,FALSE)=main!$G$105,VLOOKUP(V$1,main!$A$3:$H$102,5,FALSE)-VLOOKUP($A304,main!$A$3:$H$102,6,FALSE)&gt;=main!$D$103+VLOOKUP(VLOOKUP(V$1,main!$A$3:$I$102,7,FALSE),main!$K$26:$Q$29,5,FALSE)),1,0)</f>
        <v>0</v>
      </c>
      <c r="W304">
        <f>IF(AND(VLOOKUP(W$1,main!$A$3:$H$102,7,FALSE)=main!$G$105,VLOOKUP(W$1,main!$A$3:$H$102,5,FALSE)-VLOOKUP($A304,main!$A$3:$H$102,6,FALSE)&gt;=main!$D$103+VLOOKUP(VLOOKUP(W$1,main!$A$3:$I$102,7,FALSE),main!$K$26:$Q$29,5,FALSE)),1,0)</f>
        <v>0</v>
      </c>
      <c r="X304">
        <f>IF(AND(VLOOKUP(X$1,main!$A$3:$H$102,7,FALSE)=main!$G$105,VLOOKUP(X$1,main!$A$3:$H$102,5,FALSE)-VLOOKUP($A304,main!$A$3:$H$102,6,FALSE)&gt;=main!$D$103+VLOOKUP(VLOOKUP(X$1,main!$A$3:$I$102,7,FALSE),main!$K$26:$Q$29,5,FALSE)),1,0)</f>
        <v>0</v>
      </c>
      <c r="Y304">
        <f>IF(AND(VLOOKUP(Y$1,main!$A$3:$H$102,7,FALSE)=main!$G$105,VLOOKUP(Y$1,main!$A$3:$H$102,5,FALSE)-VLOOKUP($A304,main!$A$3:$H$102,6,FALSE)&gt;=main!$D$103+VLOOKUP(VLOOKUP(Y$1,main!$A$3:$I$102,7,FALSE),main!$K$26:$Q$29,5,FALSE)),1,0)</f>
        <v>0</v>
      </c>
      <c r="Z304">
        <f>IF(AND(VLOOKUP(Z$1,main!$A$3:$H$102,7,FALSE)=main!$G$105,VLOOKUP(Z$1,main!$A$3:$H$102,5,FALSE)-VLOOKUP($A304,main!$A$3:$H$102,6,FALSE)&gt;=main!$D$103+VLOOKUP(VLOOKUP(Z$1,main!$A$3:$I$102,7,FALSE),main!$K$26:$Q$29,5,FALSE)),1,0)</f>
        <v>0</v>
      </c>
      <c r="AA304">
        <f>IF(AND(VLOOKUP(AA$1,main!$A$3:$H$102,7,FALSE)=main!$G$105,VLOOKUP(AA$1,main!$A$3:$H$102,5,FALSE)-VLOOKUP($A304,main!$A$3:$H$102,6,FALSE)&gt;=main!$D$103+VLOOKUP(VLOOKUP(AA$1,main!$A$3:$I$102,7,FALSE),main!$K$26:$Q$29,5,FALSE)),1,0)</f>
        <v>0</v>
      </c>
      <c r="AB304">
        <f>IF(AND(VLOOKUP(AB$1,main!$A$3:$H$102,7,FALSE)=main!$G$105,VLOOKUP(AB$1,main!$A$3:$H$102,5,FALSE)-VLOOKUP($A304,main!$A$3:$H$102,6,FALSE)&gt;=main!$D$103+VLOOKUP(VLOOKUP(AB$1,main!$A$3:$I$102,7,FALSE),main!$K$26:$Q$29,5,FALSE)),1,0)</f>
        <v>0</v>
      </c>
      <c r="AC304">
        <f>IF(AND(VLOOKUP(AC$1,main!$A$3:$H$102,7,FALSE)=main!$G$105,VLOOKUP(AC$1,main!$A$3:$H$102,5,FALSE)-VLOOKUP($A304,main!$A$3:$H$102,6,FALSE)&gt;=main!$D$103+VLOOKUP(VLOOKUP(AC$1,main!$A$3:$I$102,7,FALSE),main!$K$26:$Q$29,5,FALSE)),1,0)</f>
        <v>0</v>
      </c>
      <c r="AD304">
        <f>IF(AND(VLOOKUP(AD$1,main!$A$3:$H$102,7,FALSE)=main!$G$105,VLOOKUP(AD$1,main!$A$3:$H$102,5,FALSE)-VLOOKUP($A304,main!$A$3:$H$102,6,FALSE)&gt;=main!$D$103+VLOOKUP(VLOOKUP(AD$1,main!$A$3:$I$102,7,FALSE),main!$K$26:$Q$29,5,FALSE)),1,0)</f>
        <v>0</v>
      </c>
      <c r="AE304">
        <f>IF(AND(VLOOKUP(AE$1,main!$A$3:$H$102,7,FALSE)=main!$G$105,VLOOKUP(AE$1,main!$A$3:$H$102,5,FALSE)-VLOOKUP($A304,main!$A$3:$H$102,6,FALSE)&gt;=main!$D$103+VLOOKUP(VLOOKUP(AE$1,main!$A$3:$I$102,7,FALSE),main!$K$26:$Q$29,5,FALSE)),1,0)</f>
        <v>0</v>
      </c>
      <c r="AF304">
        <f>IF(AND(VLOOKUP(AF$1,main!$A$3:$H$102,7,FALSE)=main!$G$105,VLOOKUP(AF$1,main!$A$3:$H$102,5,FALSE)-VLOOKUP($A304,main!$A$3:$H$102,6,FALSE)&gt;=main!$D$103+VLOOKUP(VLOOKUP(AF$1,main!$A$3:$I$102,7,FALSE),main!$K$26:$Q$29,5,FALSE)),1,0)</f>
        <v>0</v>
      </c>
      <c r="AG304">
        <f>IF(AND(VLOOKUP(AG$1,main!$A$3:$H$102,7,FALSE)=main!$G$105,VLOOKUP(AG$1,main!$A$3:$H$102,5,FALSE)-VLOOKUP($A304,main!$A$3:$H$102,6,FALSE)&gt;=main!$D$103+VLOOKUP(VLOOKUP(AG$1,main!$A$3:$I$102,7,FALSE),main!$K$26:$Q$29,5,FALSE)),1,0)</f>
        <v>0</v>
      </c>
      <c r="AH304">
        <f>IF(AND(VLOOKUP(AH$1,main!$A$3:$H$102,7,FALSE)=main!$G$105,VLOOKUP(AH$1,main!$A$3:$H$102,5,FALSE)-VLOOKUP($A304,main!$A$3:$H$102,6,FALSE)&gt;=main!$D$103+VLOOKUP(VLOOKUP(AH$1,main!$A$3:$I$102,7,FALSE),main!$K$26:$Q$29,5,FALSE)),1,0)</f>
        <v>0</v>
      </c>
      <c r="AI304">
        <f>IF(AND(VLOOKUP(AI$1,main!$A$3:$H$102,7,FALSE)=main!$G$105,VLOOKUP(AI$1,main!$A$3:$H$102,5,FALSE)-VLOOKUP($A304,main!$A$3:$H$102,6,FALSE)&gt;=main!$D$103+VLOOKUP(VLOOKUP(AI$1,main!$A$3:$I$102,7,FALSE),main!$K$26:$Q$29,5,FALSE)),1,0)</f>
        <v>0</v>
      </c>
      <c r="AJ304">
        <f>IF(AND(VLOOKUP(AJ$1,main!$A$3:$H$102,7,FALSE)=main!$G$105,VLOOKUP(AJ$1,main!$A$3:$H$102,5,FALSE)-VLOOKUP($A304,main!$A$3:$H$102,6,FALSE)&gt;=main!$D$103+VLOOKUP(VLOOKUP(AJ$1,main!$A$3:$I$102,7,FALSE),main!$K$26:$Q$29,5,FALSE)),1,0)</f>
        <v>0</v>
      </c>
      <c r="AK304">
        <f>IF(AND(VLOOKUP(AK$1,main!$A$3:$H$102,7,FALSE)=main!$G$105,VLOOKUP(AK$1,main!$A$3:$H$102,5,FALSE)-VLOOKUP($A304,main!$A$3:$H$102,6,FALSE)&gt;=main!$D$103+VLOOKUP(VLOOKUP(AK$1,main!$A$3:$I$102,7,FALSE),main!$K$26:$Q$29,5,FALSE)),1,0)</f>
        <v>0</v>
      </c>
      <c r="AL304">
        <f>IF(AND(VLOOKUP(AL$1,main!$A$3:$H$102,7,FALSE)=main!$G$105,VLOOKUP(AL$1,main!$A$3:$H$102,5,FALSE)-VLOOKUP($A304,main!$A$3:$H$102,6,FALSE)&gt;=main!$D$103+VLOOKUP(VLOOKUP(AL$1,main!$A$3:$I$102,7,FALSE),main!$K$26:$Q$29,5,FALSE)),1,0)</f>
        <v>0</v>
      </c>
      <c r="AM304">
        <f>IF(AND(VLOOKUP(AM$1,main!$A$3:$H$102,7,FALSE)=main!$G$105,VLOOKUP(AM$1,main!$A$3:$H$102,5,FALSE)-VLOOKUP($A304,main!$A$3:$H$102,6,FALSE)&gt;=main!$D$103+VLOOKUP(VLOOKUP(AM$1,main!$A$3:$I$102,7,FALSE),main!$K$26:$Q$29,5,FALSE)),1,0)</f>
        <v>0</v>
      </c>
      <c r="AN304">
        <f>IF(AND(VLOOKUP(AN$1,main!$A$3:$H$102,7,FALSE)=main!$G$105,VLOOKUP(AN$1,main!$A$3:$H$102,5,FALSE)-VLOOKUP($A304,main!$A$3:$H$102,6,FALSE)&gt;=main!$D$103+VLOOKUP(VLOOKUP(AN$1,main!$A$3:$I$102,7,FALSE),main!$K$26:$Q$29,5,FALSE)),1,0)</f>
        <v>0</v>
      </c>
      <c r="AO304">
        <f>IF(AND(VLOOKUP(AO$1,main!$A$3:$H$102,7,FALSE)=main!$G$105,VLOOKUP(AO$1,main!$A$3:$H$102,5,FALSE)-VLOOKUP($A304,main!$A$3:$H$102,6,FALSE)&gt;=main!$D$103+VLOOKUP(VLOOKUP(AO$1,main!$A$3:$I$102,7,FALSE),main!$K$26:$Q$29,5,FALSE)),1,0)</f>
        <v>0</v>
      </c>
      <c r="AP304">
        <f>IF(AND(VLOOKUP(AP$1,main!$A$3:$H$102,7,FALSE)=main!$G$105,VLOOKUP(AP$1,main!$A$3:$H$102,5,FALSE)-VLOOKUP($A304,main!$A$3:$H$102,6,FALSE)&gt;=main!$D$103+VLOOKUP(VLOOKUP(AP$1,main!$A$3:$I$102,7,FALSE),main!$K$26:$Q$29,5,FALSE)),1,0)</f>
        <v>1</v>
      </c>
      <c r="AQ304">
        <f>IF(AND(VLOOKUP(AQ$1,main!$A$3:$H$102,7,FALSE)=main!$G$105,VLOOKUP(AQ$1,main!$A$3:$H$102,5,FALSE)-VLOOKUP($A304,main!$A$3:$H$102,6,FALSE)&gt;=main!$D$103+VLOOKUP(VLOOKUP(AQ$1,main!$A$3:$I$102,7,FALSE),main!$K$26:$Q$29,5,FALSE)),1,0)</f>
        <v>0</v>
      </c>
      <c r="AR304">
        <f>IF(AND(VLOOKUP(AR$1,main!$A$3:$H$102,7,FALSE)=main!$G$105,VLOOKUP(AR$1,main!$A$3:$H$102,5,FALSE)-VLOOKUP($A304,main!$A$3:$H$102,6,FALSE)&gt;=main!$D$103+VLOOKUP(VLOOKUP(AR$1,main!$A$3:$I$102,7,FALSE),main!$K$26:$Q$29,5,FALSE)),1,0)</f>
        <v>0</v>
      </c>
      <c r="AS304">
        <f>IF(AND(VLOOKUP(AS$1,main!$A$3:$H$102,7,FALSE)=main!$G$105,VLOOKUP(AS$1,main!$A$3:$H$102,5,FALSE)-VLOOKUP($A304,main!$A$3:$H$102,6,FALSE)&gt;=main!$D$103+VLOOKUP(VLOOKUP(AS$1,main!$A$3:$I$102,7,FALSE),main!$K$26:$Q$29,5,FALSE)),1,0)</f>
        <v>0</v>
      </c>
      <c r="AT304">
        <f>IF(AND(VLOOKUP(AT$1,main!$A$3:$H$102,7,FALSE)=main!$G$105,VLOOKUP(AT$1,main!$A$3:$H$102,5,FALSE)-VLOOKUP($A304,main!$A$3:$H$102,6,FALSE)&gt;=main!$D$103+VLOOKUP(VLOOKUP(AT$1,main!$A$3:$I$102,7,FALSE),main!$K$26:$Q$29,5,FALSE)),1,0)</f>
        <v>0</v>
      </c>
      <c r="AU304">
        <f>IF(AND(VLOOKUP(AU$1,main!$A$3:$H$102,7,FALSE)=main!$G$105,VLOOKUP(AU$1,main!$A$3:$H$102,5,FALSE)-VLOOKUP($A304,main!$A$3:$H$102,6,FALSE)&gt;=main!$D$103+VLOOKUP(VLOOKUP(AU$1,main!$A$3:$I$102,7,FALSE),main!$K$26:$Q$29,5,FALSE)),1,0)</f>
        <v>0</v>
      </c>
      <c r="AV304">
        <f>IF(AND(VLOOKUP(AV$1,main!$A$3:$H$102,7,FALSE)=main!$G$105,VLOOKUP(AV$1,main!$A$3:$H$102,5,FALSE)-VLOOKUP($A304,main!$A$3:$H$102,6,FALSE)&gt;=main!$D$103+VLOOKUP(VLOOKUP(AV$1,main!$A$3:$I$102,7,FALSE),main!$K$26:$Q$29,5,FALSE)),1,0)</f>
        <v>0</v>
      </c>
      <c r="AW304">
        <f>IF(AND(VLOOKUP(AW$1,main!$A$3:$H$102,7,FALSE)=main!$G$105,VLOOKUP(AW$1,main!$A$3:$H$102,5,FALSE)-VLOOKUP($A304,main!$A$3:$H$102,6,FALSE)&gt;=main!$D$103+VLOOKUP(VLOOKUP(AW$1,main!$A$3:$I$102,7,FALSE),main!$K$26:$Q$29,5,FALSE)),1,0)</f>
        <v>0</v>
      </c>
      <c r="AX304">
        <f>IF(AND(VLOOKUP(AX$1,main!$A$3:$H$102,7,FALSE)=main!$G$105,VLOOKUP(AX$1,main!$A$3:$H$102,5,FALSE)-VLOOKUP($A304,main!$A$3:$H$102,6,FALSE)&gt;=main!$D$103+VLOOKUP(VLOOKUP(AX$1,main!$A$3:$I$102,7,FALSE),main!$K$26:$Q$29,5,FALSE)),1,0)</f>
        <v>0</v>
      </c>
      <c r="AY304">
        <f>IF(AND(VLOOKUP(AY$1,main!$A$3:$H$102,7,FALSE)=main!$G$105,VLOOKUP(AY$1,main!$A$3:$H$102,5,FALSE)-VLOOKUP($A304,main!$A$3:$H$102,6,FALSE)&gt;=main!$D$103+VLOOKUP(VLOOKUP(AY$1,main!$A$3:$I$102,7,FALSE),main!$K$26:$Q$29,5,FALSE)),1,0)</f>
        <v>0</v>
      </c>
      <c r="AZ304">
        <f>IF(AND(VLOOKUP(AZ$1,main!$A$3:$H$102,7,FALSE)=main!$G$105,VLOOKUP(AZ$1,main!$A$3:$H$102,5,FALSE)-VLOOKUP($A304,main!$A$3:$H$102,6,FALSE)&gt;=main!$D$103+VLOOKUP(VLOOKUP(AZ$1,main!$A$3:$I$102,7,FALSE),main!$K$26:$Q$29,5,FALSE)),1,0)</f>
        <v>0</v>
      </c>
      <c r="BA304">
        <f>IF(AND(VLOOKUP(BA$1,main!$A$3:$H$102,7,FALSE)=main!$G$105,VLOOKUP(BA$1,main!$A$3:$H$102,5,FALSE)-VLOOKUP($A304,main!$A$3:$H$102,6,FALSE)&gt;=main!$D$103+VLOOKUP(VLOOKUP(BA$1,main!$A$3:$I$102,7,FALSE),main!$K$26:$Q$29,5,FALSE)),1,0)</f>
        <v>0</v>
      </c>
      <c r="BB304">
        <f>IF(AND(VLOOKUP(BB$1,main!$A$3:$H$102,7,FALSE)=main!$G$105,VLOOKUP(BB$1,main!$A$3:$H$102,5,FALSE)-VLOOKUP($A304,main!$A$3:$H$102,6,FALSE)&gt;=main!$D$103+VLOOKUP(VLOOKUP(BB$1,main!$A$3:$I$102,7,FALSE),main!$K$26:$Q$29,5,FALSE)),1,0)</f>
        <v>0</v>
      </c>
      <c r="BC304">
        <f>IF(AND(VLOOKUP(BC$1,main!$A$3:$H$102,7,FALSE)=main!$G$105,VLOOKUP(BC$1,main!$A$3:$H$102,5,FALSE)-VLOOKUP($A304,main!$A$3:$H$102,6,FALSE)&gt;=main!$D$103+VLOOKUP(VLOOKUP(BC$1,main!$A$3:$I$102,7,FALSE),main!$K$26:$Q$29,5,FALSE)),1,0)</f>
        <v>0</v>
      </c>
      <c r="BD304">
        <f>IF(AND(VLOOKUP(BD$1,main!$A$3:$H$102,7,FALSE)=main!$G$105,VLOOKUP(BD$1,main!$A$3:$H$102,5,FALSE)-VLOOKUP($A304,main!$A$3:$H$102,6,FALSE)&gt;=main!$D$103+VLOOKUP(VLOOKUP(BD$1,main!$A$3:$I$102,7,FALSE),main!$K$26:$Q$29,5,FALSE)),1,0)</f>
        <v>0</v>
      </c>
      <c r="BE304">
        <f>IF(AND(VLOOKUP(BE$1,main!$A$3:$H$102,7,FALSE)=main!$G$105,VLOOKUP(BE$1,main!$A$3:$H$102,5,FALSE)-VLOOKUP($A304,main!$A$3:$H$102,6,FALSE)&gt;=main!$D$103+VLOOKUP(VLOOKUP(BE$1,main!$A$3:$I$102,7,FALSE),main!$K$26:$Q$29,5,FALSE)),1,0)</f>
        <v>0</v>
      </c>
      <c r="BF304">
        <f>IF(AND(VLOOKUP(BF$1,main!$A$3:$H$102,7,FALSE)=main!$G$105,VLOOKUP(BF$1,main!$A$3:$H$102,5,FALSE)-VLOOKUP($A304,main!$A$3:$H$102,6,FALSE)&gt;=main!$D$103+VLOOKUP(VLOOKUP(BF$1,main!$A$3:$I$102,7,FALSE),main!$K$26:$Q$29,5,FALSE)),1,0)</f>
        <v>0</v>
      </c>
      <c r="BG304">
        <f>IF(AND(VLOOKUP(BG$1,main!$A$3:$H$102,7,FALSE)=main!$G$105,VLOOKUP(BG$1,main!$A$3:$H$102,5,FALSE)-VLOOKUP($A304,main!$A$3:$H$102,6,FALSE)&gt;=main!$D$103+VLOOKUP(VLOOKUP(BG$1,main!$A$3:$I$102,7,FALSE),main!$K$26:$Q$29,5,FALSE)),1,0)</f>
        <v>0</v>
      </c>
      <c r="BH304">
        <f>IF(AND(VLOOKUP(BH$1,main!$A$3:$H$102,7,FALSE)=main!$G$105,VLOOKUP(BH$1,main!$A$3:$H$102,5,FALSE)-VLOOKUP($A304,main!$A$3:$H$102,6,FALSE)&gt;=main!$D$103+VLOOKUP(VLOOKUP(BH$1,main!$A$3:$I$102,7,FALSE),main!$K$26:$Q$29,5,FALSE)),1,0)</f>
        <v>0</v>
      </c>
      <c r="BI304">
        <f>IF(AND(VLOOKUP(BI$1,main!$A$3:$H$102,7,FALSE)=main!$G$105,VLOOKUP(BI$1,main!$A$3:$H$102,5,FALSE)-VLOOKUP($A304,main!$A$3:$H$102,6,FALSE)&gt;=main!$D$103+VLOOKUP(VLOOKUP(BI$1,main!$A$3:$I$102,7,FALSE),main!$K$26:$Q$29,5,FALSE)),1,0)</f>
        <v>0</v>
      </c>
      <c r="BJ304">
        <f>IF(AND(VLOOKUP(BJ$1,main!$A$3:$H$102,7,FALSE)=main!$G$105,VLOOKUP(BJ$1,main!$A$3:$H$102,5,FALSE)-VLOOKUP($A304,main!$A$3:$H$102,6,FALSE)&gt;=main!$D$103+VLOOKUP(VLOOKUP(BJ$1,main!$A$3:$I$102,7,FALSE),main!$K$26:$Q$29,5,FALSE)),1,0)</f>
        <v>0</v>
      </c>
      <c r="BK304">
        <f>IF(AND(VLOOKUP(BK$1,main!$A$3:$H$102,7,FALSE)=main!$G$105,VLOOKUP(BK$1,main!$A$3:$H$102,5,FALSE)-VLOOKUP($A304,main!$A$3:$H$102,6,FALSE)&gt;=main!$D$103+VLOOKUP(VLOOKUP(BK$1,main!$A$3:$I$102,7,FALSE),main!$K$26:$Q$29,5,FALSE)),1,0)</f>
        <v>0</v>
      </c>
      <c r="BL304">
        <f>IF(AND(VLOOKUP(BL$1,main!$A$3:$H$102,7,FALSE)=main!$G$105,VLOOKUP(BL$1,main!$A$3:$H$102,5,FALSE)-VLOOKUP($A304,main!$A$3:$H$102,6,FALSE)&gt;=main!$D$103+VLOOKUP(VLOOKUP(BL$1,main!$A$3:$I$102,7,FALSE),main!$K$26:$Q$29,5,FALSE)),1,0)</f>
        <v>0</v>
      </c>
      <c r="BM304">
        <f>IF(AND(VLOOKUP(BM$1,main!$A$3:$H$102,7,FALSE)=main!$G$105,VLOOKUP(BM$1,main!$A$3:$H$102,5,FALSE)-VLOOKUP($A304,main!$A$3:$H$102,6,FALSE)&gt;=main!$D$103+VLOOKUP(VLOOKUP(BM$1,main!$A$3:$I$102,7,FALSE),main!$K$26:$Q$29,5,FALSE)),1,0)</f>
        <v>0</v>
      </c>
      <c r="BN304">
        <f>IF(AND(VLOOKUP(BN$1,main!$A$3:$H$102,7,FALSE)=main!$G$105,VLOOKUP(BN$1,main!$A$3:$H$102,5,FALSE)-VLOOKUP($A304,main!$A$3:$H$102,6,FALSE)&gt;=main!$D$103+VLOOKUP(VLOOKUP(BN$1,main!$A$3:$I$102,7,FALSE),main!$K$26:$Q$29,5,FALSE)),1,0)</f>
        <v>0</v>
      </c>
      <c r="BO304">
        <f>IF(AND(VLOOKUP(BO$1,main!$A$3:$H$102,7,FALSE)=main!$G$105,VLOOKUP(BO$1,main!$A$3:$H$102,5,FALSE)-VLOOKUP($A304,main!$A$3:$H$102,6,FALSE)&gt;=main!$D$103+VLOOKUP(VLOOKUP(BO$1,main!$A$3:$I$102,7,FALSE),main!$K$26:$Q$29,5,FALSE)),1,0)</f>
        <v>0</v>
      </c>
      <c r="BP304">
        <f>IF(AND(VLOOKUP(BP$1,main!$A$3:$H$102,7,FALSE)=main!$G$105,VLOOKUP(BP$1,main!$A$3:$H$102,5,FALSE)-VLOOKUP($A304,main!$A$3:$H$102,6,FALSE)&gt;=main!$D$103+VLOOKUP(VLOOKUP(BP$1,main!$A$3:$I$102,7,FALSE),main!$K$26:$Q$29,5,FALSE)),1,0)</f>
        <v>0</v>
      </c>
      <c r="BQ304">
        <f>IF(AND(VLOOKUP(BQ$1,main!$A$3:$H$102,7,FALSE)=main!$G$105,VLOOKUP(BQ$1,main!$A$3:$H$102,5,FALSE)-VLOOKUP($A304,main!$A$3:$H$102,6,FALSE)&gt;=main!$D$103+VLOOKUP(VLOOKUP(BQ$1,main!$A$3:$I$102,7,FALSE),main!$K$26:$Q$29,5,FALSE)),1,0)</f>
        <v>0</v>
      </c>
      <c r="BR304">
        <f>IF(AND(VLOOKUP(BR$1,main!$A$3:$H$102,7,FALSE)=main!$G$105,VLOOKUP(BR$1,main!$A$3:$H$102,5,FALSE)-VLOOKUP($A304,main!$A$3:$H$102,6,FALSE)&gt;=main!$D$103+VLOOKUP(VLOOKUP(BR$1,main!$A$3:$I$102,7,FALSE),main!$K$26:$Q$29,5,FALSE)),1,0)</f>
        <v>0</v>
      </c>
      <c r="BS304">
        <f>IF(AND(VLOOKUP(BS$1,main!$A$3:$H$102,7,FALSE)=main!$G$105,VLOOKUP(BS$1,main!$A$3:$H$102,5,FALSE)-VLOOKUP($A304,main!$A$3:$H$102,6,FALSE)&gt;=main!$D$103+VLOOKUP(VLOOKUP(BS$1,main!$A$3:$I$102,7,FALSE),main!$K$26:$Q$29,5,FALSE)),1,0)</f>
        <v>0</v>
      </c>
      <c r="BT304">
        <f>IF(AND(VLOOKUP(BT$1,main!$A$3:$H$102,7,FALSE)=main!$G$105,VLOOKUP(BT$1,main!$A$3:$H$102,5,FALSE)-VLOOKUP($A304,main!$A$3:$H$102,6,FALSE)&gt;=main!$D$103+VLOOKUP(VLOOKUP(BT$1,main!$A$3:$I$102,7,FALSE),main!$K$26:$Q$29,5,FALSE)),1,0)</f>
        <v>0</v>
      </c>
      <c r="BU304">
        <f>IF(AND(VLOOKUP(BU$1,main!$A$3:$H$102,7,FALSE)=main!$G$105,VLOOKUP(BU$1,main!$A$3:$H$102,5,FALSE)-VLOOKUP($A304,main!$A$3:$H$102,6,FALSE)&gt;=main!$D$103+VLOOKUP(VLOOKUP(BU$1,main!$A$3:$I$102,7,FALSE),main!$K$26:$Q$29,5,FALSE)),1,0)</f>
        <v>0</v>
      </c>
      <c r="BV304">
        <f>IF(AND(VLOOKUP(BV$1,main!$A$3:$H$102,7,FALSE)=main!$G$105,VLOOKUP(BV$1,main!$A$3:$H$102,5,FALSE)-VLOOKUP($A304,main!$A$3:$H$102,6,FALSE)&gt;=main!$D$103+VLOOKUP(VLOOKUP(BV$1,main!$A$3:$I$102,7,FALSE),main!$K$26:$Q$29,5,FALSE)),1,0)</f>
        <v>0</v>
      </c>
      <c r="BW304">
        <f>IF(AND(VLOOKUP(BW$1,main!$A$3:$H$102,7,FALSE)=main!$G$105,VLOOKUP(BW$1,main!$A$3:$H$102,5,FALSE)-VLOOKUP($A304,main!$A$3:$H$102,6,FALSE)&gt;=main!$D$103+VLOOKUP(VLOOKUP(BW$1,main!$A$3:$I$102,7,FALSE),main!$K$26:$Q$29,5,FALSE)),1,0)</f>
        <v>0</v>
      </c>
      <c r="BX304">
        <f>IF(AND(VLOOKUP(BX$1,main!$A$3:$H$102,7,FALSE)=main!$G$105,VLOOKUP(BX$1,main!$A$3:$H$102,5,FALSE)-VLOOKUP($A304,main!$A$3:$H$102,6,FALSE)&gt;=main!$D$103+VLOOKUP(VLOOKUP(BX$1,main!$A$3:$I$102,7,FALSE),main!$K$26:$Q$29,5,FALSE)),1,0)</f>
        <v>0</v>
      </c>
      <c r="BY304">
        <f>IF(AND(VLOOKUP(BY$1,main!$A$3:$H$102,7,FALSE)=main!$G$105,VLOOKUP(BY$1,main!$A$3:$H$102,5,FALSE)-VLOOKUP($A304,main!$A$3:$H$102,6,FALSE)&gt;=main!$D$103+VLOOKUP(VLOOKUP(BY$1,main!$A$3:$I$102,7,FALSE),main!$K$26:$Q$29,5,FALSE)),1,0)</f>
        <v>0</v>
      </c>
      <c r="BZ304">
        <f>IF(AND(VLOOKUP(BZ$1,main!$A$3:$H$102,7,FALSE)=main!$G$105,VLOOKUP(BZ$1,main!$A$3:$H$102,5,FALSE)-VLOOKUP($A304,main!$A$3:$H$102,6,FALSE)&gt;=main!$D$103+VLOOKUP(VLOOKUP(BZ$1,main!$A$3:$I$102,7,FALSE),main!$K$26:$Q$29,5,FALSE)),1,0)</f>
        <v>0</v>
      </c>
      <c r="CA304">
        <f>IF(AND(VLOOKUP(CA$1,main!$A$3:$H$102,7,FALSE)=main!$G$105,VLOOKUP(CA$1,main!$A$3:$H$102,5,FALSE)-VLOOKUP($A304,main!$A$3:$H$102,6,FALSE)&gt;=main!$D$103+VLOOKUP(VLOOKUP(CA$1,main!$A$3:$I$102,7,FALSE),main!$K$26:$Q$29,5,FALSE)),1,0)</f>
        <v>0</v>
      </c>
      <c r="CB304">
        <f>IF(AND(VLOOKUP(CB$1,main!$A$3:$H$102,7,FALSE)=main!$G$105,VLOOKUP(CB$1,main!$A$3:$H$102,5,FALSE)-VLOOKUP($A304,main!$A$3:$H$102,6,FALSE)&gt;=main!$D$103+VLOOKUP(VLOOKUP(CB$1,main!$A$3:$I$102,7,FALSE),main!$K$26:$Q$29,5,FALSE)),1,0)</f>
        <v>0</v>
      </c>
      <c r="CC304">
        <f>IF(AND(VLOOKUP(CC$1,main!$A$3:$H$102,7,FALSE)=main!$G$105,VLOOKUP(CC$1,main!$A$3:$H$102,5,FALSE)-VLOOKUP($A304,main!$A$3:$H$102,6,FALSE)&gt;=main!$D$103+VLOOKUP(VLOOKUP(CC$1,main!$A$3:$I$102,7,FALSE),main!$K$26:$Q$29,5,FALSE)),1,0)</f>
        <v>0</v>
      </c>
      <c r="CD304">
        <f>IF(AND(VLOOKUP(CD$1,main!$A$3:$H$102,7,FALSE)=main!$G$105,VLOOKUP(CD$1,main!$A$3:$H$102,5,FALSE)-VLOOKUP($A304,main!$A$3:$H$102,6,FALSE)&gt;=main!$D$103+VLOOKUP(VLOOKUP(CD$1,main!$A$3:$I$102,7,FALSE),main!$K$26:$Q$29,5,FALSE)),1,0)</f>
        <v>0</v>
      </c>
      <c r="CE304">
        <f>IF(AND(VLOOKUP(CE$1,main!$A$3:$H$102,7,FALSE)=main!$G$105,VLOOKUP(CE$1,main!$A$3:$H$102,5,FALSE)-VLOOKUP($A304,main!$A$3:$H$102,6,FALSE)&gt;=main!$D$103+VLOOKUP(VLOOKUP(CE$1,main!$A$3:$I$102,7,FALSE),main!$K$26:$Q$29,5,FALSE)),1,0)</f>
        <v>0</v>
      </c>
      <c r="CF304">
        <f>IF(AND(VLOOKUP(CF$1,main!$A$3:$H$102,7,FALSE)=main!$G$105,VLOOKUP(CF$1,main!$A$3:$H$102,5,FALSE)-VLOOKUP($A304,main!$A$3:$H$102,6,FALSE)&gt;=main!$D$103+VLOOKUP(VLOOKUP(CF$1,main!$A$3:$I$102,7,FALSE),main!$K$26:$Q$29,5,FALSE)),1,0)</f>
        <v>0</v>
      </c>
      <c r="CG304">
        <f>IF(AND(VLOOKUP(CG$1,main!$A$3:$H$102,7,FALSE)=main!$G$105,VLOOKUP(CG$1,main!$A$3:$H$102,5,FALSE)-VLOOKUP($A304,main!$A$3:$H$102,6,FALSE)&gt;=main!$D$103+VLOOKUP(VLOOKUP(CG$1,main!$A$3:$I$102,7,FALSE),main!$K$26:$Q$29,5,FALSE)),1,0)</f>
        <v>0</v>
      </c>
      <c r="CH304">
        <f>IF(AND(VLOOKUP(CH$1,main!$A$3:$H$102,7,FALSE)=main!$G$105,VLOOKUP(CH$1,main!$A$3:$H$102,5,FALSE)-VLOOKUP($A304,main!$A$3:$H$102,6,FALSE)&gt;=main!$D$103+VLOOKUP(VLOOKUP(CH$1,main!$A$3:$I$102,7,FALSE),main!$K$26:$Q$29,5,FALSE)),1,0)</f>
        <v>0</v>
      </c>
      <c r="CI304">
        <f>IF(AND(VLOOKUP(CI$1,main!$A$3:$H$102,7,FALSE)=main!$G$105,VLOOKUP(CI$1,main!$A$3:$H$102,5,FALSE)-VLOOKUP($A304,main!$A$3:$H$102,6,FALSE)&gt;=main!$D$103+VLOOKUP(VLOOKUP(CI$1,main!$A$3:$I$102,7,FALSE),main!$K$26:$Q$29,5,FALSE)),1,0)</f>
        <v>0</v>
      </c>
      <c r="CJ304">
        <f>IF(AND(VLOOKUP(CJ$1,main!$A$3:$H$102,7,FALSE)=main!$G$105,VLOOKUP(CJ$1,main!$A$3:$H$102,5,FALSE)-VLOOKUP($A304,main!$A$3:$H$102,6,FALSE)&gt;=main!$D$103+VLOOKUP(VLOOKUP(CJ$1,main!$A$3:$I$102,7,FALSE),main!$K$26:$Q$29,5,FALSE)),1,0)</f>
        <v>0</v>
      </c>
      <c r="CK304">
        <f>IF(AND(VLOOKUP(CK$1,main!$A$3:$H$102,7,FALSE)=main!$G$105,VLOOKUP(CK$1,main!$A$3:$H$102,5,FALSE)-VLOOKUP($A304,main!$A$3:$H$102,6,FALSE)&gt;=main!$D$103+VLOOKUP(VLOOKUP(CK$1,main!$A$3:$I$102,7,FALSE),main!$K$26:$Q$29,5,FALSE)),1,0)</f>
        <v>0</v>
      </c>
      <c r="CL304">
        <f>IF(AND(VLOOKUP(CL$1,main!$A$3:$H$102,7,FALSE)=main!$G$105,VLOOKUP(CL$1,main!$A$3:$H$102,5,FALSE)-VLOOKUP($A304,main!$A$3:$H$102,6,FALSE)&gt;=main!$D$103+VLOOKUP(VLOOKUP(CL$1,main!$A$3:$I$102,7,FALSE),main!$K$26:$Q$29,5,FALSE)),1,0)</f>
        <v>0</v>
      </c>
      <c r="CM304">
        <f>IF(AND(VLOOKUP(CM$1,main!$A$3:$H$102,7,FALSE)=main!$G$105,VLOOKUP(CM$1,main!$A$3:$H$102,5,FALSE)-VLOOKUP($A304,main!$A$3:$H$102,6,FALSE)&gt;=main!$D$103+VLOOKUP(VLOOKUP(CM$1,main!$A$3:$I$102,7,FALSE),main!$K$26:$Q$29,5,FALSE)),1,0)</f>
        <v>0</v>
      </c>
      <c r="CN304">
        <f>IF(AND(VLOOKUP(CN$1,main!$A$3:$H$102,7,FALSE)=main!$G$105,VLOOKUP(CN$1,main!$A$3:$H$102,5,FALSE)-VLOOKUP($A304,main!$A$3:$H$102,6,FALSE)&gt;=main!$D$103+VLOOKUP(VLOOKUP(CN$1,main!$A$3:$I$102,7,FALSE),main!$K$26:$Q$29,5,FALSE)),1,0)</f>
        <v>0</v>
      </c>
      <c r="CO304">
        <f>IF(AND(VLOOKUP(CO$1,main!$A$3:$H$102,7,FALSE)=main!$G$105,VLOOKUP(CO$1,main!$A$3:$H$102,5,FALSE)-VLOOKUP($A304,main!$A$3:$H$102,6,FALSE)&gt;=main!$D$103+VLOOKUP(VLOOKUP(CO$1,main!$A$3:$I$102,7,FALSE),main!$K$26:$Q$29,5,FALSE)),1,0)</f>
        <v>0</v>
      </c>
      <c r="CP304">
        <f>IF(AND(VLOOKUP(CP$1,main!$A$3:$H$102,7,FALSE)=main!$G$105,VLOOKUP(CP$1,main!$A$3:$H$102,5,FALSE)-VLOOKUP($A304,main!$A$3:$H$102,6,FALSE)&gt;=main!$D$103+VLOOKUP(VLOOKUP(CP$1,main!$A$3:$I$102,7,FALSE),main!$K$26:$Q$29,5,FALSE)),1,0)</f>
        <v>0</v>
      </c>
      <c r="CQ304">
        <f>IF(AND(VLOOKUP(CQ$1,main!$A$3:$H$102,7,FALSE)=main!$G$105,VLOOKUP(CQ$1,main!$A$3:$H$102,5,FALSE)-VLOOKUP($A304,main!$A$3:$H$102,6,FALSE)&gt;=main!$D$103+VLOOKUP(VLOOKUP(CQ$1,main!$A$3:$I$102,7,FALSE),main!$K$26:$Q$29,5,FALSE)),1,0)</f>
        <v>0</v>
      </c>
      <c r="CR304">
        <f>IF(AND(VLOOKUP(CR$1,main!$A$3:$H$102,7,FALSE)=main!$G$105,VLOOKUP(CR$1,main!$A$3:$H$102,5,FALSE)-VLOOKUP($A304,main!$A$3:$H$102,6,FALSE)&gt;=main!$D$103+VLOOKUP(VLOOKUP(CR$1,main!$A$3:$I$102,7,FALSE),main!$K$26:$Q$29,5,FALSE)),1,0)</f>
        <v>0</v>
      </c>
      <c r="CS304">
        <f>IF(AND(VLOOKUP(CS$1,main!$A$3:$H$102,7,FALSE)=main!$G$105,VLOOKUP(CS$1,main!$A$3:$H$102,5,FALSE)-VLOOKUP($A304,main!$A$3:$H$102,6,FALSE)&gt;=main!$D$103+VLOOKUP(VLOOKUP(CS$1,main!$A$3:$I$102,7,FALSE),main!$K$26:$Q$29,5,FALSE)),1,0)</f>
        <v>0</v>
      </c>
      <c r="CT304">
        <f>IF(AND(VLOOKUP(CT$1,main!$A$3:$H$102,7,FALSE)=main!$G$105,VLOOKUP(CT$1,main!$A$3:$H$102,5,FALSE)-VLOOKUP($A304,main!$A$3:$H$102,6,FALSE)&gt;=main!$D$103+VLOOKUP(VLOOKUP(CT$1,main!$A$3:$I$102,7,FALSE),main!$K$26:$Q$29,5,FALSE)),1,0)</f>
        <v>0</v>
      </c>
      <c r="CU304">
        <f>IF(AND(VLOOKUP(CU$1,main!$A$3:$H$102,7,FALSE)=main!$G$105,VLOOKUP(CU$1,main!$A$3:$H$102,5,FALSE)-VLOOKUP($A304,main!$A$3:$H$102,6,FALSE)&gt;=main!$D$103+VLOOKUP(VLOOKUP(CU$1,main!$A$3:$I$102,7,FALSE),main!$K$26:$Q$29,5,FALSE)),1,0)</f>
        <v>0</v>
      </c>
      <c r="CV304">
        <f>IF(AND(VLOOKUP(CV$1,main!$A$3:$H$102,7,FALSE)=main!$G$105,VLOOKUP(CV$1,main!$A$3:$H$102,5,FALSE)-VLOOKUP($A304,main!$A$3:$H$102,6,FALSE)&gt;=main!$D$103+VLOOKUP(VLOOKUP(CV$1,main!$A$3:$I$102,7,FALSE),main!$K$26:$Q$29,5,FALSE)),1,0)</f>
        <v>0</v>
      </c>
      <c r="CW304">
        <f>IF(AND(VLOOKUP(CW$1,main!$A$3:$H$102,7,FALSE)=main!$G$105,VLOOKUP(CW$1,main!$A$3:$H$102,5,FALSE)-VLOOKUP($A304,main!$A$3:$H$102,6,FALSE)&gt;=main!$D$103+VLOOKUP(VLOOKUP(CW$1,main!$A$3:$I$102,7,FALSE),main!$K$26:$Q$29,5,FALSE)),1,0)</f>
        <v>0</v>
      </c>
      <c r="CX304">
        <f>IF(AND(VLOOKUP(CX$1,main!$A$3:$H$102,7,FALSE)=main!$G$105,VLOOKUP(CX$1,main!$A$3:$H$102,5,FALSE)-VLOOKUP($A304,main!$A$3:$H$102,6,FALSE)&gt;=main!$D$103+VLOOKUP(VLOOKUP(CX$1,main!$A$3:$I$102,7,FALSE),main!$K$26:$Q$29,5,FALSE)),1,0)</f>
        <v>0</v>
      </c>
    </row>
    <row r="324" spans="4:4" x14ac:dyDescent="0.25">
      <c r="D324">
        <f>main!$D$103+VLOOKUP(VLOOKUP(C$1,main!$A$3:$I$102,7,FALSE),main!$K$26:$Q$29,3,FALSE)</f>
        <v>80</v>
      </c>
    </row>
    <row r="325" spans="4:4" x14ac:dyDescent="0.25">
      <c r="D325">
        <f>main!$D$103</f>
        <v>50</v>
      </c>
    </row>
  </sheetData>
  <conditionalFormatting sqref="B2:XFD30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E80B1-456B-4F07-A2A8-6284CDBC2CBA}">
  <dimension ref="A1:CX102"/>
  <sheetViews>
    <sheetView topLeftCell="CQ65" workbookViewId="0">
      <selection activeCell="AF99" sqref="AF99"/>
    </sheetView>
  </sheetViews>
  <sheetFormatPr defaultRowHeight="15" x14ac:dyDescent="0.25"/>
  <sheetData>
    <row r="1" spans="1:102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</row>
    <row r="3" spans="1:102" x14ac:dyDescent="0.25">
      <c r="A3">
        <f t="shared" ref="A3:A34" si="0">A2+1</f>
        <v>1</v>
      </c>
      <c r="B3">
        <v>0</v>
      </c>
      <c r="C3">
        <f>IF(gamma!C3,VLOOKUP(zeta!C$1,main!$A$3:$H$102,5,FALSE)-VLOOKUP(zeta!$A3,main!$A$3:$H$102,6,FALSE),0)</f>
        <v>0</v>
      </c>
      <c r="D3">
        <f>IF(gamma!D3,VLOOKUP(zeta!D$1,main!$A$3:$H$102,5,FALSE)-VLOOKUP(zeta!$A3,main!$A$3:$H$102,6,FALSE),0)</f>
        <v>0</v>
      </c>
      <c r="E3">
        <f>IF(gamma!E3,VLOOKUP(zeta!E$1,main!$A$3:$H$102,5,FALSE)-VLOOKUP(zeta!$A3,main!$A$3:$H$102,6,FALSE),0)</f>
        <v>155</v>
      </c>
      <c r="F3">
        <f>IF(gamma!F3,VLOOKUP(zeta!F$1,main!$A$3:$H$102,5,FALSE)-VLOOKUP(zeta!$A3,main!$A$3:$H$102,6,FALSE),0)</f>
        <v>175</v>
      </c>
      <c r="G3">
        <f>IF(gamma!G3,VLOOKUP(zeta!G$1,main!$A$3:$H$102,5,FALSE)-VLOOKUP(zeta!$A3,main!$A$3:$H$102,6,FALSE),0)</f>
        <v>265</v>
      </c>
      <c r="H3">
        <f>IF(gamma!H3,VLOOKUP(zeta!H$1,main!$A$3:$H$102,5,FALSE)-VLOOKUP(zeta!$A3,main!$A$3:$H$102,6,FALSE),0)</f>
        <v>355</v>
      </c>
      <c r="I3">
        <f>IF(gamma!I3,VLOOKUP(zeta!I$1,main!$A$3:$H$102,5,FALSE)-VLOOKUP(zeta!$A3,main!$A$3:$H$102,6,FALSE),0)</f>
        <v>415</v>
      </c>
      <c r="J3">
        <f>IF(gamma!J3,VLOOKUP(zeta!J$1,main!$A$3:$H$102,5,FALSE)-VLOOKUP(zeta!$A3,main!$A$3:$H$102,6,FALSE),0)</f>
        <v>475</v>
      </c>
      <c r="K3">
        <f>IF(gamma!K3,VLOOKUP(zeta!K$1,main!$A$3:$H$102,5,FALSE)-VLOOKUP(zeta!$A3,main!$A$3:$H$102,6,FALSE),0)</f>
        <v>535</v>
      </c>
      <c r="L3">
        <f>IF(gamma!L3,VLOOKUP(zeta!L$1,main!$A$3:$H$102,5,FALSE)-VLOOKUP(zeta!$A3,main!$A$3:$H$102,6,FALSE),0)</f>
        <v>625</v>
      </c>
      <c r="M3">
        <f>IF(gamma!M3,VLOOKUP(zeta!M$1,main!$A$3:$H$102,5,FALSE)-VLOOKUP(zeta!$A3,main!$A$3:$H$102,6,FALSE),0)</f>
        <v>0</v>
      </c>
      <c r="N3">
        <f>IF(gamma!N3,VLOOKUP(zeta!N$1,main!$A$3:$H$102,5,FALSE)-VLOOKUP(zeta!$A3,main!$A$3:$H$102,6,FALSE),0)</f>
        <v>0</v>
      </c>
      <c r="O3">
        <f>IF(gamma!O3,VLOOKUP(zeta!O$1,main!$A$3:$H$102,5,FALSE)-VLOOKUP(zeta!$A3,main!$A$3:$H$102,6,FALSE),0)</f>
        <v>0</v>
      </c>
      <c r="P3">
        <f>IF(gamma!P3,VLOOKUP(zeta!P$1,main!$A$3:$H$102,5,FALSE)-VLOOKUP(zeta!$A3,main!$A$3:$H$102,6,FALSE),0)</f>
        <v>110</v>
      </c>
      <c r="Q3">
        <f>IF(gamma!Q3,VLOOKUP(zeta!Q$1,main!$A$3:$H$102,5,FALSE)-VLOOKUP(zeta!$A3,main!$A$3:$H$102,6,FALSE),0)</f>
        <v>190</v>
      </c>
      <c r="R3">
        <f>IF(gamma!R3,VLOOKUP(zeta!R$1,main!$A$3:$H$102,5,FALSE)-VLOOKUP(zeta!$A3,main!$A$3:$H$102,6,FALSE),0)</f>
        <v>230</v>
      </c>
      <c r="S3">
        <f>IF(gamma!S3,VLOOKUP(zeta!S$1,main!$A$3:$H$102,5,FALSE)-VLOOKUP(zeta!$A3,main!$A$3:$H$102,6,FALSE),0)</f>
        <v>355</v>
      </c>
      <c r="T3">
        <f>IF(gamma!T3,VLOOKUP(zeta!T$1,main!$A$3:$H$102,5,FALSE)-VLOOKUP(zeta!$A3,main!$A$3:$H$102,6,FALSE),0)</f>
        <v>435</v>
      </c>
      <c r="U3">
        <f>IF(gamma!U3,VLOOKUP(zeta!U$1,main!$A$3:$H$102,5,FALSE)-VLOOKUP(zeta!$A3,main!$A$3:$H$102,6,FALSE),0)</f>
        <v>590</v>
      </c>
      <c r="V3">
        <f>IF(gamma!V3,VLOOKUP(zeta!V$1,main!$A$3:$H$102,5,FALSE)-VLOOKUP(zeta!$A3,main!$A$3:$H$102,6,FALSE),0)</f>
        <v>650</v>
      </c>
      <c r="W3">
        <f>IF(gamma!W3,VLOOKUP(zeta!W$1,main!$A$3:$H$102,5,FALSE)-VLOOKUP(zeta!$A3,main!$A$3:$H$102,6,FALSE),0)</f>
        <v>0</v>
      </c>
      <c r="X3">
        <f>IF(gamma!X3,VLOOKUP(zeta!X$1,main!$A$3:$H$102,5,FALSE)-VLOOKUP(zeta!$A3,main!$A$3:$H$102,6,FALSE),0)</f>
        <v>65</v>
      </c>
      <c r="Y3">
        <f>IF(gamma!Y3,VLOOKUP(zeta!Y$1,main!$A$3:$H$102,5,FALSE)-VLOOKUP(zeta!$A3,main!$A$3:$H$102,6,FALSE),0)</f>
        <v>225</v>
      </c>
      <c r="Z3">
        <f>IF(gamma!Z3,VLOOKUP(zeta!Z$1,main!$A$3:$H$102,5,FALSE)-VLOOKUP(zeta!$A3,main!$A$3:$H$102,6,FALSE),0)</f>
        <v>405</v>
      </c>
      <c r="AA3">
        <f>IF(gamma!AA3,VLOOKUP(zeta!AA$1,main!$A$3:$H$102,5,FALSE)-VLOOKUP(zeta!$A3,main!$A$3:$H$102,6,FALSE),0)</f>
        <v>555</v>
      </c>
      <c r="AB3">
        <f>IF(gamma!AB3,VLOOKUP(zeta!AB$1,main!$A$3:$H$102,5,FALSE)-VLOOKUP(zeta!$A3,main!$A$3:$H$102,6,FALSE),0)</f>
        <v>0</v>
      </c>
      <c r="AC3">
        <f>IF(gamma!AC3,VLOOKUP(zeta!AC$1,main!$A$3:$H$102,5,FALSE)-VLOOKUP(zeta!$A3,main!$A$3:$H$102,6,FALSE),0)</f>
        <v>0</v>
      </c>
      <c r="AD3">
        <f>IF(gamma!AD3,VLOOKUP(zeta!AD$1,main!$A$3:$H$102,5,FALSE)-VLOOKUP(zeta!$A3,main!$A$3:$H$102,6,FALSE),0)</f>
        <v>185</v>
      </c>
      <c r="AE3">
        <f>IF(gamma!AE3,VLOOKUP(zeta!AE$1,main!$A$3:$H$102,5,FALSE)-VLOOKUP(zeta!$A3,main!$A$3:$H$102,6,FALSE),0)</f>
        <v>365</v>
      </c>
      <c r="AF3">
        <f>IF(gamma!AF3,VLOOKUP(zeta!AF$1,main!$A$3:$H$102,5,FALSE)-VLOOKUP(zeta!$A3,main!$A$3:$H$102,6,FALSE),0)</f>
        <v>535</v>
      </c>
      <c r="AG3">
        <f>IF(gamma!AG3,VLOOKUP(zeta!AG$1,main!$A$3:$H$102,5,FALSE)-VLOOKUP(zeta!$A3,main!$A$3:$H$102,6,FALSE),0)</f>
        <v>0</v>
      </c>
      <c r="AH3">
        <f>IF(gamma!AH3,VLOOKUP(zeta!AH$1,main!$A$3:$H$102,5,FALSE)-VLOOKUP(zeta!$A3,main!$A$3:$H$102,6,FALSE),0)</f>
        <v>65</v>
      </c>
      <c r="AI3">
        <f>IF(gamma!AI3,VLOOKUP(zeta!AI$1,main!$A$3:$H$102,5,FALSE)-VLOOKUP(zeta!$A3,main!$A$3:$H$102,6,FALSE),0)</f>
        <v>155</v>
      </c>
      <c r="AJ3">
        <f>IF(gamma!AJ3,VLOOKUP(zeta!AJ$1,main!$A$3:$H$102,5,FALSE)-VLOOKUP(zeta!$A3,main!$A$3:$H$102,6,FALSE),0)</f>
        <v>245</v>
      </c>
      <c r="AK3">
        <f>IF(gamma!AK3,VLOOKUP(zeta!AK$1,main!$A$3:$H$102,5,FALSE)-VLOOKUP(zeta!$A3,main!$A$3:$H$102,6,FALSE),0)</f>
        <v>335</v>
      </c>
      <c r="AL3">
        <f>IF(gamma!AL3,VLOOKUP(zeta!AL$1,main!$A$3:$H$102,5,FALSE)-VLOOKUP(zeta!$A3,main!$A$3:$H$102,6,FALSE),0)</f>
        <v>425</v>
      </c>
      <c r="AM3">
        <f>IF(gamma!AM3,VLOOKUP(zeta!AM$1,main!$A$3:$H$102,5,FALSE)-VLOOKUP(zeta!$A3,main!$A$3:$H$102,6,FALSE),0)</f>
        <v>515</v>
      </c>
      <c r="AN3">
        <f>IF(gamma!AN3,VLOOKUP(zeta!AN$1,main!$A$3:$H$102,5,FALSE)-VLOOKUP(zeta!$A3,main!$A$3:$H$102,6,FALSE),0)</f>
        <v>575</v>
      </c>
      <c r="AO3">
        <f>IF(gamma!AO3,VLOOKUP(zeta!AO$1,main!$A$3:$H$102,5,FALSE)-VLOOKUP(zeta!$A3,main!$A$3:$H$102,6,FALSE),0)</f>
        <v>0</v>
      </c>
      <c r="AP3">
        <f>IF(gamma!AP3,VLOOKUP(zeta!AP$1,main!$A$3:$H$102,5,FALSE)-VLOOKUP(zeta!$A3,main!$A$3:$H$102,6,FALSE),0)</f>
        <v>635</v>
      </c>
      <c r="AQ3">
        <f>IF(gamma!AQ3,VLOOKUP(zeta!AQ$1,main!$A$3:$H$102,5,FALSE)-VLOOKUP(zeta!$A3,main!$A$3:$H$102,6,FALSE),0)</f>
        <v>0</v>
      </c>
      <c r="AR3">
        <f>IF(gamma!AR3,VLOOKUP(zeta!AR$1,main!$A$3:$H$102,5,FALSE)-VLOOKUP(zeta!$A3,main!$A$3:$H$102,6,FALSE),0)</f>
        <v>30</v>
      </c>
      <c r="AS3">
        <f>IF(gamma!AS3,VLOOKUP(zeta!AS$1,main!$A$3:$H$102,5,FALSE)-VLOOKUP(zeta!$A3,main!$A$3:$H$102,6,FALSE),0)</f>
        <v>235</v>
      </c>
      <c r="AT3">
        <f>IF(gamma!AT3,VLOOKUP(zeta!AT$1,main!$A$3:$H$102,5,FALSE)-VLOOKUP(zeta!$A3,main!$A$3:$H$102,6,FALSE),0)</f>
        <v>385</v>
      </c>
      <c r="AU3">
        <f>IF(gamma!AU3,VLOOKUP(zeta!AU$1,main!$A$3:$H$102,5,FALSE)-VLOOKUP(zeta!$A3,main!$A$3:$H$102,6,FALSE),0)</f>
        <v>0</v>
      </c>
      <c r="AV3">
        <f>IF(gamma!AV3,VLOOKUP(zeta!AV$1,main!$A$3:$H$102,5,FALSE)-VLOOKUP(zeta!$A3,main!$A$3:$H$102,6,FALSE),0)</f>
        <v>0</v>
      </c>
      <c r="AW3">
        <f>IF(gamma!AW3,VLOOKUP(zeta!AW$1,main!$A$3:$H$102,5,FALSE)-VLOOKUP(zeta!$A3,main!$A$3:$H$102,6,FALSE),0)</f>
        <v>335</v>
      </c>
      <c r="AX3">
        <f>IF(gamma!AX3,VLOOKUP(zeta!AX$1,main!$A$3:$H$102,5,FALSE)-VLOOKUP(zeta!$A3,main!$A$3:$H$102,6,FALSE),0)</f>
        <v>175</v>
      </c>
      <c r="AY3">
        <f>IF(gamma!AY3,VLOOKUP(zeta!AY$1,main!$A$3:$H$102,5,FALSE)-VLOOKUP(zeta!$A3,main!$A$3:$H$102,6,FALSE),0)</f>
        <v>35</v>
      </c>
      <c r="AZ3">
        <f>IF(gamma!AZ3,VLOOKUP(zeta!AZ$1,main!$A$3:$H$102,5,FALSE)-VLOOKUP(zeta!$A3,main!$A$3:$H$102,6,FALSE),0)</f>
        <v>165</v>
      </c>
      <c r="BA3">
        <f>IF(gamma!BA3,VLOOKUP(zeta!BA$1,main!$A$3:$H$102,5,FALSE)-VLOOKUP(zeta!$A3,main!$A$3:$H$102,6,FALSE),0)</f>
        <v>0</v>
      </c>
      <c r="BB3">
        <f>IF(gamma!BB3,VLOOKUP(zeta!BB$1,main!$A$3:$H$102,5,FALSE)-VLOOKUP(zeta!$A3,main!$A$3:$H$102,6,FALSE),0)</f>
        <v>175</v>
      </c>
      <c r="BC3">
        <f>IF(gamma!BC3,VLOOKUP(zeta!BC$1,main!$A$3:$H$102,5,FALSE)-VLOOKUP(zeta!$A3,main!$A$3:$H$102,6,FALSE),0)</f>
        <v>295</v>
      </c>
      <c r="BD3">
        <f>IF(gamma!BD3,VLOOKUP(zeta!BD$1,main!$A$3:$H$102,5,FALSE)-VLOOKUP(zeta!$A3,main!$A$3:$H$102,6,FALSE),0)</f>
        <v>355</v>
      </c>
      <c r="BE3">
        <f>IF(gamma!BE3,VLOOKUP(zeta!BE$1,main!$A$3:$H$102,5,FALSE)-VLOOKUP(zeta!$A3,main!$A$3:$H$102,6,FALSE),0)</f>
        <v>475</v>
      </c>
      <c r="BF3">
        <f>IF(gamma!BF3,VLOOKUP(zeta!BF$1,main!$A$3:$H$102,5,FALSE)-VLOOKUP(zeta!$A3,main!$A$3:$H$102,6,FALSE),0)</f>
        <v>0</v>
      </c>
      <c r="BG3">
        <f>IF(gamma!BG3,VLOOKUP(zeta!BG$1,main!$A$3:$H$102,5,FALSE)-VLOOKUP(zeta!$A3,main!$A$3:$H$102,6,FALSE),0)</f>
        <v>65</v>
      </c>
      <c r="BH3">
        <f>IF(gamma!BH3,VLOOKUP(zeta!BH$1,main!$A$3:$H$102,5,FALSE)-VLOOKUP(zeta!$A3,main!$A$3:$H$102,6,FALSE),0)</f>
        <v>260</v>
      </c>
      <c r="BI3">
        <f>IF(gamma!BI3,VLOOKUP(zeta!BI$1,main!$A$3:$H$102,5,FALSE)-VLOOKUP(zeta!$A3,main!$A$3:$H$102,6,FALSE),0)</f>
        <v>645</v>
      </c>
      <c r="BJ3">
        <f>IF(gamma!BJ3,VLOOKUP(zeta!BJ$1,main!$A$3:$H$102,5,FALSE)-VLOOKUP(zeta!$A3,main!$A$3:$H$102,6,FALSE),0)</f>
        <v>435</v>
      </c>
      <c r="BK3">
        <f>IF(gamma!BK3,VLOOKUP(zeta!BK$1,main!$A$3:$H$102,5,FALSE)-VLOOKUP(zeta!$A3,main!$A$3:$H$102,6,FALSE),0)</f>
        <v>0</v>
      </c>
      <c r="BL3">
        <f>IF(gamma!BL3,VLOOKUP(zeta!BL$1,main!$A$3:$H$102,5,FALSE)-VLOOKUP(zeta!$A3,main!$A$3:$H$102,6,FALSE),0)</f>
        <v>0</v>
      </c>
      <c r="BM3">
        <f>IF(gamma!BM3,VLOOKUP(zeta!BM$1,main!$A$3:$H$102,5,FALSE)-VLOOKUP(zeta!$A3,main!$A$3:$H$102,6,FALSE),0)</f>
        <v>80</v>
      </c>
      <c r="BN3">
        <f>IF(gamma!BN3,VLOOKUP(zeta!BN$1,main!$A$3:$H$102,5,FALSE)-VLOOKUP(zeta!$A3,main!$A$3:$H$102,6,FALSE),0)</f>
        <v>335</v>
      </c>
      <c r="BO3">
        <f>IF(gamma!BO3,VLOOKUP(zeta!BO$1,main!$A$3:$H$102,5,FALSE)-VLOOKUP(zeta!$A3,main!$A$3:$H$102,6,FALSE),0)</f>
        <v>0</v>
      </c>
      <c r="BP3">
        <f>IF(gamma!BP3,VLOOKUP(zeta!BP$1,main!$A$3:$H$102,5,FALSE)-VLOOKUP(zeta!$A3,main!$A$3:$H$102,6,FALSE),0)</f>
        <v>0</v>
      </c>
      <c r="BQ3">
        <f>IF(gamma!BQ3,VLOOKUP(zeta!BQ$1,main!$A$3:$H$102,5,FALSE)-VLOOKUP(zeta!$A3,main!$A$3:$H$102,6,FALSE),0)</f>
        <v>190</v>
      </c>
      <c r="BR3">
        <f>IF(gamma!BR3,VLOOKUP(zeta!BR$1,main!$A$3:$H$102,5,FALSE)-VLOOKUP(zeta!$A3,main!$A$3:$H$102,6,FALSE),0)</f>
        <v>225</v>
      </c>
      <c r="BS3">
        <f>IF(gamma!BS3,VLOOKUP(zeta!BS$1,main!$A$3:$H$102,5,FALSE)-VLOOKUP(zeta!$A3,main!$A$3:$H$102,6,FALSE),0)</f>
        <v>235</v>
      </c>
      <c r="BT3">
        <f>IF(gamma!BT3,VLOOKUP(zeta!BT$1,main!$A$3:$H$102,5,FALSE)-VLOOKUP(zeta!$A3,main!$A$3:$H$102,6,FALSE),0)</f>
        <v>185</v>
      </c>
      <c r="BU3">
        <f>IF(gamma!BU3,VLOOKUP(zeta!BU$1,main!$A$3:$H$102,5,FALSE)-VLOOKUP(zeta!$A3,main!$A$3:$H$102,6,FALSE),0)</f>
        <v>0</v>
      </c>
      <c r="BV3">
        <f>IF(gamma!BV3,VLOOKUP(zeta!BV$1,main!$A$3:$H$102,5,FALSE)-VLOOKUP(zeta!$A3,main!$A$3:$H$102,6,FALSE),0)</f>
        <v>0</v>
      </c>
      <c r="BW3">
        <f>IF(gamma!BW3,VLOOKUP(zeta!BW$1,main!$A$3:$H$102,5,FALSE)-VLOOKUP(zeta!$A3,main!$A$3:$H$102,6,FALSE),0)</f>
        <v>0</v>
      </c>
      <c r="BX3">
        <f>IF(gamma!BX3,VLOOKUP(zeta!BX$1,main!$A$3:$H$102,5,FALSE)-VLOOKUP(zeta!$A3,main!$A$3:$H$102,6,FALSE),0)</f>
        <v>200</v>
      </c>
      <c r="BY3">
        <f>IF(gamma!BY3,VLOOKUP(zeta!BY$1,main!$A$3:$H$102,5,FALSE)-VLOOKUP(zeta!$A3,main!$A$3:$H$102,6,FALSE),0)</f>
        <v>285</v>
      </c>
      <c r="BZ3">
        <f>IF(gamma!BZ3,VLOOKUP(zeta!BZ$1,main!$A$3:$H$102,5,FALSE)-VLOOKUP(zeta!$A3,main!$A$3:$H$102,6,FALSE),0)</f>
        <v>0</v>
      </c>
      <c r="CA3">
        <f>IF(gamma!CA3,VLOOKUP(zeta!CA$1,main!$A$3:$H$102,5,FALSE)-VLOOKUP(zeta!$A3,main!$A$3:$H$102,6,FALSE),0)</f>
        <v>0</v>
      </c>
      <c r="CB3">
        <f>IF(gamma!CB3,VLOOKUP(zeta!CB$1,main!$A$3:$H$102,5,FALSE)-VLOOKUP(zeta!$A3,main!$A$3:$H$102,6,FALSE),0)</f>
        <v>340</v>
      </c>
      <c r="CC3">
        <f>IF(gamma!CC3,VLOOKUP(zeta!CC$1,main!$A$3:$H$102,5,FALSE)-VLOOKUP(zeta!$A3,main!$A$3:$H$102,6,FALSE),0)</f>
        <v>550</v>
      </c>
      <c r="CD3">
        <f>IF(gamma!CD3,VLOOKUP(zeta!CD$1,main!$A$3:$H$102,5,FALSE)-VLOOKUP(zeta!$A3,main!$A$3:$H$102,6,FALSE),0)</f>
        <v>285</v>
      </c>
      <c r="CE3">
        <f>IF(gamma!CE3,VLOOKUP(zeta!CE$1,main!$A$3:$H$102,5,FALSE)-VLOOKUP(zeta!$A3,main!$A$3:$H$102,6,FALSE),0)</f>
        <v>155</v>
      </c>
      <c r="CF3">
        <f>IF(gamma!CF3,VLOOKUP(zeta!CF$1,main!$A$3:$H$102,5,FALSE)-VLOOKUP(zeta!$A3,main!$A$3:$H$102,6,FALSE),0)</f>
        <v>185</v>
      </c>
      <c r="CG3">
        <f>IF(gamma!CG3,VLOOKUP(zeta!CG$1,main!$A$3:$H$102,5,FALSE)-VLOOKUP(zeta!$A3,main!$A$3:$H$102,6,FALSE),0)</f>
        <v>235</v>
      </c>
      <c r="CH3">
        <f>IF(gamma!CH3,VLOOKUP(zeta!CH$1,main!$A$3:$H$102,5,FALSE)-VLOOKUP(zeta!$A3,main!$A$3:$H$102,6,FALSE),0)</f>
        <v>435</v>
      </c>
      <c r="CI3">
        <f>IF(gamma!CI3,VLOOKUP(zeta!CI$1,main!$A$3:$H$102,5,FALSE)-VLOOKUP(zeta!$A3,main!$A$3:$H$102,6,FALSE),0)</f>
        <v>635</v>
      </c>
      <c r="CJ3">
        <f>IF(gamma!CJ3,VLOOKUP(zeta!CJ$1,main!$A$3:$H$102,5,FALSE)-VLOOKUP(zeta!$A3,main!$A$3:$H$102,6,FALSE),0)</f>
        <v>225</v>
      </c>
      <c r="CK3">
        <f>IF(gamma!CK3,VLOOKUP(zeta!CK$1,main!$A$3:$H$102,5,FALSE)-VLOOKUP(zeta!$A3,main!$A$3:$H$102,6,FALSE),0)</f>
        <v>119</v>
      </c>
      <c r="CL3">
        <f>IF(gamma!CL3,VLOOKUP(zeta!CL$1,main!$A$3:$H$102,5,FALSE)-VLOOKUP(zeta!$A3,main!$A$3:$H$102,6,FALSE),0)</f>
        <v>235</v>
      </c>
      <c r="CM3">
        <f>IF(gamma!CM3,VLOOKUP(zeta!CM$1,main!$A$3:$H$102,5,FALSE)-VLOOKUP(zeta!$A3,main!$A$3:$H$102,6,FALSE),0)</f>
        <v>411</v>
      </c>
      <c r="CN3">
        <f>IF(gamma!CN3,VLOOKUP(zeta!CN$1,main!$A$3:$H$102,5,FALSE)-VLOOKUP(zeta!$A3,main!$A$3:$H$102,6,FALSE),0)</f>
        <v>635</v>
      </c>
      <c r="CO3">
        <f>IF(gamma!CO3,VLOOKUP(zeta!CO$1,main!$A$3:$H$102,5,FALSE)-VLOOKUP(zeta!$A3,main!$A$3:$H$102,6,FALSE),0)</f>
        <v>0</v>
      </c>
      <c r="CP3">
        <f>IF(gamma!CP3,VLOOKUP(zeta!CP$1,main!$A$3:$H$102,5,FALSE)-VLOOKUP(zeta!$A3,main!$A$3:$H$102,6,FALSE),0)</f>
        <v>200</v>
      </c>
      <c r="CQ3">
        <f>IF(gamma!CQ3,VLOOKUP(zeta!CQ$1,main!$A$3:$H$102,5,FALSE)-VLOOKUP(zeta!$A3,main!$A$3:$H$102,6,FALSE),0)</f>
        <v>215</v>
      </c>
      <c r="CR3">
        <f>IF(gamma!CR3,VLOOKUP(zeta!CR$1,main!$A$3:$H$102,5,FALSE)-VLOOKUP(zeta!$A3,main!$A$3:$H$102,6,FALSE),0)</f>
        <v>400</v>
      </c>
      <c r="CS3">
        <f>IF(gamma!CS3,VLOOKUP(zeta!CS$1,main!$A$3:$H$102,5,FALSE)-VLOOKUP(zeta!$A3,main!$A$3:$H$102,6,FALSE),0)</f>
        <v>410</v>
      </c>
      <c r="CT3">
        <f>IF(gamma!CT3,VLOOKUP(zeta!CT$1,main!$A$3:$H$102,5,FALSE)-VLOOKUP(zeta!$A3,main!$A$3:$H$102,6,FALSE),0)</f>
        <v>0</v>
      </c>
      <c r="CU3">
        <f>IF(gamma!CU3,VLOOKUP(zeta!CU$1,main!$A$3:$H$102,5,FALSE)-VLOOKUP(zeta!$A3,main!$A$3:$H$102,6,FALSE),0)</f>
        <v>0</v>
      </c>
      <c r="CV3">
        <f>IF(gamma!CV3,VLOOKUP(zeta!CV$1,main!$A$3:$H$102,5,FALSE)-VLOOKUP(zeta!$A3,main!$A$3:$H$102,6,FALSE),0)</f>
        <v>215</v>
      </c>
      <c r="CW3">
        <f>IF(gamma!CW3,VLOOKUP(zeta!CW$1,main!$A$3:$H$102,5,FALSE)-VLOOKUP(zeta!$A3,main!$A$3:$H$102,6,FALSE),0)</f>
        <v>400</v>
      </c>
      <c r="CX3">
        <f>IF(gamma!CX3,VLOOKUP(zeta!CX$1,main!$A$3:$H$102,5,FALSE)-VLOOKUP(zeta!$A3,main!$A$3:$H$102,6,FALSE),0)</f>
        <v>440</v>
      </c>
    </row>
    <row r="4" spans="1:102" x14ac:dyDescent="0.25">
      <c r="A4">
        <f t="shared" si="0"/>
        <v>2</v>
      </c>
      <c r="B4">
        <v>0</v>
      </c>
      <c r="C4">
        <f>IF(gamma!C4,VLOOKUP(zeta!C$1,main!$A$3:$H$102,5,FALSE)-VLOOKUP(zeta!$A4,main!$A$3:$H$102,6,FALSE),0)</f>
        <v>0</v>
      </c>
      <c r="D4">
        <f>IF(gamma!D4,VLOOKUP(zeta!D$1,main!$A$3:$H$102,5,FALSE)-VLOOKUP(zeta!$A4,main!$A$3:$H$102,6,FALSE),0)</f>
        <v>0</v>
      </c>
      <c r="E4">
        <f>IF(gamma!E4,VLOOKUP(zeta!E$1,main!$A$3:$H$102,5,FALSE)-VLOOKUP(zeta!$A4,main!$A$3:$H$102,6,FALSE),0)</f>
        <v>0</v>
      </c>
      <c r="F4">
        <f>IF(gamma!F4,VLOOKUP(zeta!F$1,main!$A$3:$H$102,5,FALSE)-VLOOKUP(zeta!$A4,main!$A$3:$H$102,6,FALSE),0)</f>
        <v>45</v>
      </c>
      <c r="G4">
        <f>IF(gamma!G4,VLOOKUP(zeta!G$1,main!$A$3:$H$102,5,FALSE)-VLOOKUP(zeta!$A4,main!$A$3:$H$102,6,FALSE),0)</f>
        <v>135</v>
      </c>
      <c r="H4">
        <f>IF(gamma!H4,VLOOKUP(zeta!H$1,main!$A$3:$H$102,5,FALSE)-VLOOKUP(zeta!$A4,main!$A$3:$H$102,6,FALSE),0)</f>
        <v>225</v>
      </c>
      <c r="I4">
        <f>IF(gamma!I4,VLOOKUP(zeta!I$1,main!$A$3:$H$102,5,FALSE)-VLOOKUP(zeta!$A4,main!$A$3:$H$102,6,FALSE),0)</f>
        <v>285</v>
      </c>
      <c r="J4">
        <f>IF(gamma!J4,VLOOKUP(zeta!J$1,main!$A$3:$H$102,5,FALSE)-VLOOKUP(zeta!$A4,main!$A$3:$H$102,6,FALSE),0)</f>
        <v>345</v>
      </c>
      <c r="K4">
        <f>IF(gamma!K4,VLOOKUP(zeta!K$1,main!$A$3:$H$102,5,FALSE)-VLOOKUP(zeta!$A4,main!$A$3:$H$102,6,FALSE),0)</f>
        <v>405</v>
      </c>
      <c r="L4">
        <f>IF(gamma!L4,VLOOKUP(zeta!L$1,main!$A$3:$H$102,5,FALSE)-VLOOKUP(zeta!$A4,main!$A$3:$H$102,6,FALSE),0)</f>
        <v>495</v>
      </c>
      <c r="M4">
        <f>IF(gamma!M4,VLOOKUP(zeta!M$1,main!$A$3:$H$102,5,FALSE)-VLOOKUP(zeta!$A4,main!$A$3:$H$102,6,FALSE),0)</f>
        <v>0</v>
      </c>
      <c r="N4">
        <f>IF(gamma!N4,VLOOKUP(zeta!N$1,main!$A$3:$H$102,5,FALSE)-VLOOKUP(zeta!$A4,main!$A$3:$H$102,6,FALSE),0)</f>
        <v>0</v>
      </c>
      <c r="O4">
        <f>IF(gamma!O4,VLOOKUP(zeta!O$1,main!$A$3:$H$102,5,FALSE)-VLOOKUP(zeta!$A4,main!$A$3:$H$102,6,FALSE),0)</f>
        <v>0</v>
      </c>
      <c r="P4">
        <f>IF(gamma!P4,VLOOKUP(zeta!P$1,main!$A$3:$H$102,5,FALSE)-VLOOKUP(zeta!$A4,main!$A$3:$H$102,6,FALSE),0)</f>
        <v>0</v>
      </c>
      <c r="Q4">
        <f>IF(gamma!Q4,VLOOKUP(zeta!Q$1,main!$A$3:$H$102,5,FALSE)-VLOOKUP(zeta!$A4,main!$A$3:$H$102,6,FALSE),0)</f>
        <v>60</v>
      </c>
      <c r="R4">
        <f>IF(gamma!R4,VLOOKUP(zeta!R$1,main!$A$3:$H$102,5,FALSE)-VLOOKUP(zeta!$A4,main!$A$3:$H$102,6,FALSE),0)</f>
        <v>100</v>
      </c>
      <c r="S4">
        <f>IF(gamma!S4,VLOOKUP(zeta!S$1,main!$A$3:$H$102,5,FALSE)-VLOOKUP(zeta!$A4,main!$A$3:$H$102,6,FALSE),0)</f>
        <v>225</v>
      </c>
      <c r="T4">
        <f>IF(gamma!T4,VLOOKUP(zeta!T$1,main!$A$3:$H$102,5,FALSE)-VLOOKUP(zeta!$A4,main!$A$3:$H$102,6,FALSE),0)</f>
        <v>305</v>
      </c>
      <c r="U4">
        <f>IF(gamma!U4,VLOOKUP(zeta!U$1,main!$A$3:$H$102,5,FALSE)-VLOOKUP(zeta!$A4,main!$A$3:$H$102,6,FALSE),0)</f>
        <v>460</v>
      </c>
      <c r="V4">
        <f>IF(gamma!V4,VLOOKUP(zeta!V$1,main!$A$3:$H$102,5,FALSE)-VLOOKUP(zeta!$A4,main!$A$3:$H$102,6,FALSE),0)</f>
        <v>520</v>
      </c>
      <c r="W4">
        <f>IF(gamma!W4,VLOOKUP(zeta!W$1,main!$A$3:$H$102,5,FALSE)-VLOOKUP(zeta!$A4,main!$A$3:$H$102,6,FALSE),0)</f>
        <v>0</v>
      </c>
      <c r="X4">
        <f>IF(gamma!X4,VLOOKUP(zeta!X$1,main!$A$3:$H$102,5,FALSE)-VLOOKUP(zeta!$A4,main!$A$3:$H$102,6,FALSE),0)</f>
        <v>0</v>
      </c>
      <c r="Y4">
        <f>IF(gamma!Y4,VLOOKUP(zeta!Y$1,main!$A$3:$H$102,5,FALSE)-VLOOKUP(zeta!$A4,main!$A$3:$H$102,6,FALSE),0)</f>
        <v>95</v>
      </c>
      <c r="Z4">
        <f>IF(gamma!Z4,VLOOKUP(zeta!Z$1,main!$A$3:$H$102,5,FALSE)-VLOOKUP(zeta!$A4,main!$A$3:$H$102,6,FALSE),0)</f>
        <v>275</v>
      </c>
      <c r="AA4">
        <f>IF(gamma!AA4,VLOOKUP(zeta!AA$1,main!$A$3:$H$102,5,FALSE)-VLOOKUP(zeta!$A4,main!$A$3:$H$102,6,FALSE),0)</f>
        <v>425</v>
      </c>
      <c r="AB4">
        <f>IF(gamma!AB4,VLOOKUP(zeta!AB$1,main!$A$3:$H$102,5,FALSE)-VLOOKUP(zeta!$A4,main!$A$3:$H$102,6,FALSE),0)</f>
        <v>0</v>
      </c>
      <c r="AC4">
        <f>IF(gamma!AC4,VLOOKUP(zeta!AC$1,main!$A$3:$H$102,5,FALSE)-VLOOKUP(zeta!$A4,main!$A$3:$H$102,6,FALSE),0)</f>
        <v>0</v>
      </c>
      <c r="AD4">
        <f>IF(gamma!AD4,VLOOKUP(zeta!AD$1,main!$A$3:$H$102,5,FALSE)-VLOOKUP(zeta!$A4,main!$A$3:$H$102,6,FALSE),0)</f>
        <v>55</v>
      </c>
      <c r="AE4">
        <f>IF(gamma!AE4,VLOOKUP(zeta!AE$1,main!$A$3:$H$102,5,FALSE)-VLOOKUP(zeta!$A4,main!$A$3:$H$102,6,FALSE),0)</f>
        <v>235</v>
      </c>
      <c r="AF4">
        <f>IF(gamma!AF4,VLOOKUP(zeta!AF$1,main!$A$3:$H$102,5,FALSE)-VLOOKUP(zeta!$A4,main!$A$3:$H$102,6,FALSE),0)</f>
        <v>405</v>
      </c>
      <c r="AG4">
        <f>IF(gamma!AG4,VLOOKUP(zeta!AG$1,main!$A$3:$H$102,5,FALSE)-VLOOKUP(zeta!$A4,main!$A$3:$H$102,6,FALSE),0)</f>
        <v>0</v>
      </c>
      <c r="AH4">
        <f>IF(gamma!AH4,VLOOKUP(zeta!AH$1,main!$A$3:$H$102,5,FALSE)-VLOOKUP(zeta!$A4,main!$A$3:$H$102,6,FALSE),0)</f>
        <v>0</v>
      </c>
      <c r="AI4">
        <f>IF(gamma!AI4,VLOOKUP(zeta!AI$1,main!$A$3:$H$102,5,FALSE)-VLOOKUP(zeta!$A4,main!$A$3:$H$102,6,FALSE),0)</f>
        <v>25</v>
      </c>
      <c r="AJ4">
        <f>IF(gamma!AJ4,VLOOKUP(zeta!AJ$1,main!$A$3:$H$102,5,FALSE)-VLOOKUP(zeta!$A4,main!$A$3:$H$102,6,FALSE),0)</f>
        <v>115</v>
      </c>
      <c r="AK4">
        <f>IF(gamma!AK4,VLOOKUP(zeta!AK$1,main!$A$3:$H$102,5,FALSE)-VLOOKUP(zeta!$A4,main!$A$3:$H$102,6,FALSE),0)</f>
        <v>205</v>
      </c>
      <c r="AL4">
        <f>IF(gamma!AL4,VLOOKUP(zeta!AL$1,main!$A$3:$H$102,5,FALSE)-VLOOKUP(zeta!$A4,main!$A$3:$H$102,6,FALSE),0)</f>
        <v>295</v>
      </c>
      <c r="AM4">
        <f>IF(gamma!AM4,VLOOKUP(zeta!AM$1,main!$A$3:$H$102,5,FALSE)-VLOOKUP(zeta!$A4,main!$A$3:$H$102,6,FALSE),0)</f>
        <v>385</v>
      </c>
      <c r="AN4">
        <f>IF(gamma!AN4,VLOOKUP(zeta!AN$1,main!$A$3:$H$102,5,FALSE)-VLOOKUP(zeta!$A4,main!$A$3:$H$102,6,FALSE),0)</f>
        <v>445</v>
      </c>
      <c r="AO4">
        <f>IF(gamma!AO4,VLOOKUP(zeta!AO$1,main!$A$3:$H$102,5,FALSE)-VLOOKUP(zeta!$A4,main!$A$3:$H$102,6,FALSE),0)</f>
        <v>0</v>
      </c>
      <c r="AP4">
        <f>IF(gamma!AP4,VLOOKUP(zeta!AP$1,main!$A$3:$H$102,5,FALSE)-VLOOKUP(zeta!$A4,main!$A$3:$H$102,6,FALSE),0)</f>
        <v>505</v>
      </c>
      <c r="AQ4">
        <f>IF(gamma!AQ4,VLOOKUP(zeta!AQ$1,main!$A$3:$H$102,5,FALSE)-VLOOKUP(zeta!$A4,main!$A$3:$H$102,6,FALSE),0)</f>
        <v>0</v>
      </c>
      <c r="AR4">
        <f>IF(gamma!AR4,VLOOKUP(zeta!AR$1,main!$A$3:$H$102,5,FALSE)-VLOOKUP(zeta!$A4,main!$A$3:$H$102,6,FALSE),0)</f>
        <v>0</v>
      </c>
      <c r="AS4">
        <f>IF(gamma!AS4,VLOOKUP(zeta!AS$1,main!$A$3:$H$102,5,FALSE)-VLOOKUP(zeta!$A4,main!$A$3:$H$102,6,FALSE),0)</f>
        <v>105</v>
      </c>
      <c r="AT4">
        <f>IF(gamma!AT4,VLOOKUP(zeta!AT$1,main!$A$3:$H$102,5,FALSE)-VLOOKUP(zeta!$A4,main!$A$3:$H$102,6,FALSE),0)</f>
        <v>255</v>
      </c>
      <c r="AU4">
        <f>IF(gamma!AU4,VLOOKUP(zeta!AU$1,main!$A$3:$H$102,5,FALSE)-VLOOKUP(zeta!$A4,main!$A$3:$H$102,6,FALSE),0)</f>
        <v>0</v>
      </c>
      <c r="AV4">
        <f>IF(gamma!AV4,VLOOKUP(zeta!AV$1,main!$A$3:$H$102,5,FALSE)-VLOOKUP(zeta!$A4,main!$A$3:$H$102,6,FALSE),0)</f>
        <v>0</v>
      </c>
      <c r="AW4">
        <f>IF(gamma!AW4,VLOOKUP(zeta!AW$1,main!$A$3:$H$102,5,FALSE)-VLOOKUP(zeta!$A4,main!$A$3:$H$102,6,FALSE),0)</f>
        <v>205</v>
      </c>
      <c r="AX4">
        <f>IF(gamma!AX4,VLOOKUP(zeta!AX$1,main!$A$3:$H$102,5,FALSE)-VLOOKUP(zeta!$A4,main!$A$3:$H$102,6,FALSE),0)</f>
        <v>45</v>
      </c>
      <c r="AY4">
        <f>IF(gamma!AY4,VLOOKUP(zeta!AY$1,main!$A$3:$H$102,5,FALSE)-VLOOKUP(zeta!$A4,main!$A$3:$H$102,6,FALSE),0)</f>
        <v>0</v>
      </c>
      <c r="AZ4">
        <f>IF(gamma!AZ4,VLOOKUP(zeta!AZ$1,main!$A$3:$H$102,5,FALSE)-VLOOKUP(zeta!$A4,main!$A$3:$H$102,6,FALSE),0)</f>
        <v>35</v>
      </c>
      <c r="BA4">
        <f>IF(gamma!BA4,VLOOKUP(zeta!BA$1,main!$A$3:$H$102,5,FALSE)-VLOOKUP(zeta!$A4,main!$A$3:$H$102,6,FALSE),0)</f>
        <v>0</v>
      </c>
      <c r="BB4">
        <f>IF(gamma!BB4,VLOOKUP(zeta!BB$1,main!$A$3:$H$102,5,FALSE)-VLOOKUP(zeta!$A4,main!$A$3:$H$102,6,FALSE),0)</f>
        <v>45</v>
      </c>
      <c r="BC4">
        <f>IF(gamma!BC4,VLOOKUP(zeta!BC$1,main!$A$3:$H$102,5,FALSE)-VLOOKUP(zeta!$A4,main!$A$3:$H$102,6,FALSE),0)</f>
        <v>165</v>
      </c>
      <c r="BD4">
        <f>IF(gamma!BD4,VLOOKUP(zeta!BD$1,main!$A$3:$H$102,5,FALSE)-VLOOKUP(zeta!$A4,main!$A$3:$H$102,6,FALSE),0)</f>
        <v>225</v>
      </c>
      <c r="BE4">
        <f>IF(gamma!BE4,VLOOKUP(zeta!BE$1,main!$A$3:$H$102,5,FALSE)-VLOOKUP(zeta!$A4,main!$A$3:$H$102,6,FALSE),0)</f>
        <v>345</v>
      </c>
      <c r="BF4">
        <f>IF(gamma!BF4,VLOOKUP(zeta!BF$1,main!$A$3:$H$102,5,FALSE)-VLOOKUP(zeta!$A4,main!$A$3:$H$102,6,FALSE),0)</f>
        <v>0</v>
      </c>
      <c r="BG4">
        <f>IF(gamma!BG4,VLOOKUP(zeta!BG$1,main!$A$3:$H$102,5,FALSE)-VLOOKUP(zeta!$A4,main!$A$3:$H$102,6,FALSE),0)</f>
        <v>0</v>
      </c>
      <c r="BH4">
        <f>IF(gamma!BH4,VLOOKUP(zeta!BH$1,main!$A$3:$H$102,5,FALSE)-VLOOKUP(zeta!$A4,main!$A$3:$H$102,6,FALSE),0)</f>
        <v>130</v>
      </c>
      <c r="BI4">
        <f>IF(gamma!BI4,VLOOKUP(zeta!BI$1,main!$A$3:$H$102,5,FALSE)-VLOOKUP(zeta!$A4,main!$A$3:$H$102,6,FALSE),0)</f>
        <v>515</v>
      </c>
      <c r="BJ4">
        <f>IF(gamma!BJ4,VLOOKUP(zeta!BJ$1,main!$A$3:$H$102,5,FALSE)-VLOOKUP(zeta!$A4,main!$A$3:$H$102,6,FALSE),0)</f>
        <v>305</v>
      </c>
      <c r="BK4">
        <f>IF(gamma!BK4,VLOOKUP(zeta!BK$1,main!$A$3:$H$102,5,FALSE)-VLOOKUP(zeta!$A4,main!$A$3:$H$102,6,FALSE),0)</f>
        <v>0</v>
      </c>
      <c r="BL4">
        <f>IF(gamma!BL4,VLOOKUP(zeta!BL$1,main!$A$3:$H$102,5,FALSE)-VLOOKUP(zeta!$A4,main!$A$3:$H$102,6,FALSE),0)</f>
        <v>0</v>
      </c>
      <c r="BM4">
        <f>IF(gamma!BM4,VLOOKUP(zeta!BM$1,main!$A$3:$H$102,5,FALSE)-VLOOKUP(zeta!$A4,main!$A$3:$H$102,6,FALSE),0)</f>
        <v>0</v>
      </c>
      <c r="BN4">
        <f>IF(gamma!BN4,VLOOKUP(zeta!BN$1,main!$A$3:$H$102,5,FALSE)-VLOOKUP(zeta!$A4,main!$A$3:$H$102,6,FALSE),0)</f>
        <v>205</v>
      </c>
      <c r="BO4">
        <f>IF(gamma!BO4,VLOOKUP(zeta!BO$1,main!$A$3:$H$102,5,FALSE)-VLOOKUP(zeta!$A4,main!$A$3:$H$102,6,FALSE),0)</f>
        <v>0</v>
      </c>
      <c r="BP4">
        <f>IF(gamma!BP4,VLOOKUP(zeta!BP$1,main!$A$3:$H$102,5,FALSE)-VLOOKUP(zeta!$A4,main!$A$3:$H$102,6,FALSE),0)</f>
        <v>0</v>
      </c>
      <c r="BQ4">
        <f>IF(gamma!BQ4,VLOOKUP(zeta!BQ$1,main!$A$3:$H$102,5,FALSE)-VLOOKUP(zeta!$A4,main!$A$3:$H$102,6,FALSE),0)</f>
        <v>60</v>
      </c>
      <c r="BR4">
        <f>IF(gamma!BR4,VLOOKUP(zeta!BR$1,main!$A$3:$H$102,5,FALSE)-VLOOKUP(zeta!$A4,main!$A$3:$H$102,6,FALSE),0)</f>
        <v>95</v>
      </c>
      <c r="BS4">
        <f>IF(gamma!BS4,VLOOKUP(zeta!BS$1,main!$A$3:$H$102,5,FALSE)-VLOOKUP(zeta!$A4,main!$A$3:$H$102,6,FALSE),0)</f>
        <v>105</v>
      </c>
      <c r="BT4">
        <f>IF(gamma!BT4,VLOOKUP(zeta!BT$1,main!$A$3:$H$102,5,FALSE)-VLOOKUP(zeta!$A4,main!$A$3:$H$102,6,FALSE),0)</f>
        <v>55</v>
      </c>
      <c r="BU4">
        <f>IF(gamma!BU4,VLOOKUP(zeta!BU$1,main!$A$3:$H$102,5,FALSE)-VLOOKUP(zeta!$A4,main!$A$3:$H$102,6,FALSE),0)</f>
        <v>0</v>
      </c>
      <c r="BV4">
        <f>IF(gamma!BV4,VLOOKUP(zeta!BV$1,main!$A$3:$H$102,5,FALSE)-VLOOKUP(zeta!$A4,main!$A$3:$H$102,6,FALSE),0)</f>
        <v>0</v>
      </c>
      <c r="BW4">
        <f>IF(gamma!BW4,VLOOKUP(zeta!BW$1,main!$A$3:$H$102,5,FALSE)-VLOOKUP(zeta!$A4,main!$A$3:$H$102,6,FALSE),0)</f>
        <v>0</v>
      </c>
      <c r="BX4">
        <f>IF(gamma!BX4,VLOOKUP(zeta!BX$1,main!$A$3:$H$102,5,FALSE)-VLOOKUP(zeta!$A4,main!$A$3:$H$102,6,FALSE),0)</f>
        <v>70</v>
      </c>
      <c r="BY4">
        <f>IF(gamma!BY4,VLOOKUP(zeta!BY$1,main!$A$3:$H$102,5,FALSE)-VLOOKUP(zeta!$A4,main!$A$3:$H$102,6,FALSE),0)</f>
        <v>155</v>
      </c>
      <c r="BZ4">
        <f>IF(gamma!BZ4,VLOOKUP(zeta!BZ$1,main!$A$3:$H$102,5,FALSE)-VLOOKUP(zeta!$A4,main!$A$3:$H$102,6,FALSE),0)</f>
        <v>0</v>
      </c>
      <c r="CA4">
        <f>IF(gamma!CA4,VLOOKUP(zeta!CA$1,main!$A$3:$H$102,5,FALSE)-VLOOKUP(zeta!$A4,main!$A$3:$H$102,6,FALSE),0)</f>
        <v>0</v>
      </c>
      <c r="CB4">
        <f>IF(gamma!CB4,VLOOKUP(zeta!CB$1,main!$A$3:$H$102,5,FALSE)-VLOOKUP(zeta!$A4,main!$A$3:$H$102,6,FALSE),0)</f>
        <v>210</v>
      </c>
      <c r="CC4">
        <f>IF(gamma!CC4,VLOOKUP(zeta!CC$1,main!$A$3:$H$102,5,FALSE)-VLOOKUP(zeta!$A4,main!$A$3:$H$102,6,FALSE),0)</f>
        <v>420</v>
      </c>
      <c r="CD4">
        <f>IF(gamma!CD4,VLOOKUP(zeta!CD$1,main!$A$3:$H$102,5,FALSE)-VLOOKUP(zeta!$A4,main!$A$3:$H$102,6,FALSE),0)</f>
        <v>155</v>
      </c>
      <c r="CE4">
        <f>IF(gamma!CE4,VLOOKUP(zeta!CE$1,main!$A$3:$H$102,5,FALSE)-VLOOKUP(zeta!$A4,main!$A$3:$H$102,6,FALSE),0)</f>
        <v>0</v>
      </c>
      <c r="CF4">
        <f>IF(gamma!CF4,VLOOKUP(zeta!CF$1,main!$A$3:$H$102,5,FALSE)-VLOOKUP(zeta!$A4,main!$A$3:$H$102,6,FALSE),0)</f>
        <v>55</v>
      </c>
      <c r="CG4">
        <f>IF(gamma!CG4,VLOOKUP(zeta!CG$1,main!$A$3:$H$102,5,FALSE)-VLOOKUP(zeta!$A4,main!$A$3:$H$102,6,FALSE),0)</f>
        <v>105</v>
      </c>
      <c r="CH4">
        <f>IF(gamma!CH4,VLOOKUP(zeta!CH$1,main!$A$3:$H$102,5,FALSE)-VLOOKUP(zeta!$A4,main!$A$3:$H$102,6,FALSE),0)</f>
        <v>305</v>
      </c>
      <c r="CI4">
        <f>IF(gamma!CI4,VLOOKUP(zeta!CI$1,main!$A$3:$H$102,5,FALSE)-VLOOKUP(zeta!$A4,main!$A$3:$H$102,6,FALSE),0)</f>
        <v>505</v>
      </c>
      <c r="CJ4">
        <f>IF(gamma!CJ4,VLOOKUP(zeta!CJ$1,main!$A$3:$H$102,5,FALSE)-VLOOKUP(zeta!$A4,main!$A$3:$H$102,6,FALSE),0)</f>
        <v>95</v>
      </c>
      <c r="CK4">
        <f>IF(gamma!CK4,VLOOKUP(zeta!CK$1,main!$A$3:$H$102,5,FALSE)-VLOOKUP(zeta!$A4,main!$A$3:$H$102,6,FALSE),0)</f>
        <v>0</v>
      </c>
      <c r="CL4">
        <f>IF(gamma!CL4,VLOOKUP(zeta!CL$1,main!$A$3:$H$102,5,FALSE)-VLOOKUP(zeta!$A4,main!$A$3:$H$102,6,FALSE),0)</f>
        <v>105</v>
      </c>
      <c r="CM4">
        <f>IF(gamma!CM4,VLOOKUP(zeta!CM$1,main!$A$3:$H$102,5,FALSE)-VLOOKUP(zeta!$A4,main!$A$3:$H$102,6,FALSE),0)</f>
        <v>281</v>
      </c>
      <c r="CN4">
        <f>IF(gamma!CN4,VLOOKUP(zeta!CN$1,main!$A$3:$H$102,5,FALSE)-VLOOKUP(zeta!$A4,main!$A$3:$H$102,6,FALSE),0)</f>
        <v>505</v>
      </c>
      <c r="CO4">
        <f>IF(gamma!CO4,VLOOKUP(zeta!CO$1,main!$A$3:$H$102,5,FALSE)-VLOOKUP(zeta!$A4,main!$A$3:$H$102,6,FALSE),0)</f>
        <v>0</v>
      </c>
      <c r="CP4">
        <f>IF(gamma!CP4,VLOOKUP(zeta!CP$1,main!$A$3:$H$102,5,FALSE)-VLOOKUP(zeta!$A4,main!$A$3:$H$102,6,FALSE),0)</f>
        <v>70</v>
      </c>
      <c r="CQ4">
        <f>IF(gamma!CQ4,VLOOKUP(zeta!CQ$1,main!$A$3:$H$102,5,FALSE)-VLOOKUP(zeta!$A4,main!$A$3:$H$102,6,FALSE),0)</f>
        <v>85</v>
      </c>
      <c r="CR4">
        <f>IF(gamma!CR4,VLOOKUP(zeta!CR$1,main!$A$3:$H$102,5,FALSE)-VLOOKUP(zeta!$A4,main!$A$3:$H$102,6,FALSE),0)</f>
        <v>270</v>
      </c>
      <c r="CS4">
        <f>IF(gamma!CS4,VLOOKUP(zeta!CS$1,main!$A$3:$H$102,5,FALSE)-VLOOKUP(zeta!$A4,main!$A$3:$H$102,6,FALSE),0)</f>
        <v>280</v>
      </c>
      <c r="CT4">
        <f>IF(gamma!CT4,VLOOKUP(zeta!CT$1,main!$A$3:$H$102,5,FALSE)-VLOOKUP(zeta!$A4,main!$A$3:$H$102,6,FALSE),0)</f>
        <v>0</v>
      </c>
      <c r="CU4">
        <f>IF(gamma!CU4,VLOOKUP(zeta!CU$1,main!$A$3:$H$102,5,FALSE)-VLOOKUP(zeta!$A4,main!$A$3:$H$102,6,FALSE),0)</f>
        <v>0</v>
      </c>
      <c r="CV4">
        <f>IF(gamma!CV4,VLOOKUP(zeta!CV$1,main!$A$3:$H$102,5,FALSE)-VLOOKUP(zeta!$A4,main!$A$3:$H$102,6,FALSE),0)</f>
        <v>85</v>
      </c>
      <c r="CW4">
        <f>IF(gamma!CW4,VLOOKUP(zeta!CW$1,main!$A$3:$H$102,5,FALSE)-VLOOKUP(zeta!$A4,main!$A$3:$H$102,6,FALSE),0)</f>
        <v>270</v>
      </c>
      <c r="CX4">
        <f>IF(gamma!CX4,VLOOKUP(zeta!CX$1,main!$A$3:$H$102,5,FALSE)-VLOOKUP(zeta!$A4,main!$A$3:$H$102,6,FALSE),0)</f>
        <v>310</v>
      </c>
    </row>
    <row r="5" spans="1:102" x14ac:dyDescent="0.25">
      <c r="A5">
        <f t="shared" si="0"/>
        <v>3</v>
      </c>
      <c r="B5">
        <v>0</v>
      </c>
      <c r="C5">
        <f>IF(gamma!C5,VLOOKUP(zeta!C$1,main!$A$3:$H$102,5,FALSE)-VLOOKUP(zeta!$A5,main!$A$3:$H$102,6,FALSE),0)</f>
        <v>0</v>
      </c>
      <c r="D5">
        <f>IF(gamma!D5,VLOOKUP(zeta!D$1,main!$A$3:$H$102,5,FALSE)-VLOOKUP(zeta!$A5,main!$A$3:$H$102,6,FALSE),0)</f>
        <v>0</v>
      </c>
      <c r="E5">
        <f>IF(gamma!E5,VLOOKUP(zeta!E$1,main!$A$3:$H$102,5,FALSE)-VLOOKUP(zeta!$A5,main!$A$3:$H$102,6,FALSE),0)</f>
        <v>0</v>
      </c>
      <c r="F5">
        <f>IF(gamma!F5,VLOOKUP(zeta!F$1,main!$A$3:$H$102,5,FALSE)-VLOOKUP(zeta!$A5,main!$A$3:$H$102,6,FALSE),0)</f>
        <v>0</v>
      </c>
      <c r="G5">
        <f>IF(gamma!G5,VLOOKUP(zeta!G$1,main!$A$3:$H$102,5,FALSE)-VLOOKUP(zeta!$A5,main!$A$3:$H$102,6,FALSE),0)</f>
        <v>0</v>
      </c>
      <c r="H5">
        <f>IF(gamma!H5,VLOOKUP(zeta!H$1,main!$A$3:$H$102,5,FALSE)-VLOOKUP(zeta!$A5,main!$A$3:$H$102,6,FALSE),0)</f>
        <v>65</v>
      </c>
      <c r="I5">
        <f>IF(gamma!I5,VLOOKUP(zeta!I$1,main!$A$3:$H$102,5,FALSE)-VLOOKUP(zeta!$A5,main!$A$3:$H$102,6,FALSE),0)</f>
        <v>125</v>
      </c>
      <c r="J5">
        <f>IF(gamma!J5,VLOOKUP(zeta!J$1,main!$A$3:$H$102,5,FALSE)-VLOOKUP(zeta!$A5,main!$A$3:$H$102,6,FALSE),0)</f>
        <v>185</v>
      </c>
      <c r="K5">
        <f>IF(gamma!K5,VLOOKUP(zeta!K$1,main!$A$3:$H$102,5,FALSE)-VLOOKUP(zeta!$A5,main!$A$3:$H$102,6,FALSE),0)</f>
        <v>245</v>
      </c>
      <c r="L5">
        <f>IF(gamma!L5,VLOOKUP(zeta!L$1,main!$A$3:$H$102,5,FALSE)-VLOOKUP(zeta!$A5,main!$A$3:$H$102,6,FALSE),0)</f>
        <v>335</v>
      </c>
      <c r="M5">
        <f>IF(gamma!M5,VLOOKUP(zeta!M$1,main!$A$3:$H$102,5,FALSE)-VLOOKUP(zeta!$A5,main!$A$3:$H$102,6,FALSE),0)</f>
        <v>0</v>
      </c>
      <c r="N5">
        <f>IF(gamma!N5,VLOOKUP(zeta!N$1,main!$A$3:$H$102,5,FALSE)-VLOOKUP(zeta!$A5,main!$A$3:$H$102,6,FALSE),0)</f>
        <v>0</v>
      </c>
      <c r="O5">
        <f>IF(gamma!O5,VLOOKUP(zeta!O$1,main!$A$3:$H$102,5,FALSE)-VLOOKUP(zeta!$A5,main!$A$3:$H$102,6,FALSE),0)</f>
        <v>0</v>
      </c>
      <c r="P5">
        <f>IF(gamma!P5,VLOOKUP(zeta!P$1,main!$A$3:$H$102,5,FALSE)-VLOOKUP(zeta!$A5,main!$A$3:$H$102,6,FALSE),0)</f>
        <v>0</v>
      </c>
      <c r="Q5">
        <f>IF(gamma!Q5,VLOOKUP(zeta!Q$1,main!$A$3:$H$102,5,FALSE)-VLOOKUP(zeta!$A5,main!$A$3:$H$102,6,FALSE),0)</f>
        <v>0</v>
      </c>
      <c r="R5">
        <f>IF(gamma!R5,VLOOKUP(zeta!R$1,main!$A$3:$H$102,5,FALSE)-VLOOKUP(zeta!$A5,main!$A$3:$H$102,6,FALSE),0)</f>
        <v>0</v>
      </c>
      <c r="S5">
        <f>IF(gamma!S5,VLOOKUP(zeta!S$1,main!$A$3:$H$102,5,FALSE)-VLOOKUP(zeta!$A5,main!$A$3:$H$102,6,FALSE),0)</f>
        <v>65</v>
      </c>
      <c r="T5">
        <f>IF(gamma!T5,VLOOKUP(zeta!T$1,main!$A$3:$H$102,5,FALSE)-VLOOKUP(zeta!$A5,main!$A$3:$H$102,6,FALSE),0)</f>
        <v>145</v>
      </c>
      <c r="U5">
        <f>IF(gamma!U5,VLOOKUP(zeta!U$1,main!$A$3:$H$102,5,FALSE)-VLOOKUP(zeta!$A5,main!$A$3:$H$102,6,FALSE),0)</f>
        <v>300</v>
      </c>
      <c r="V5">
        <f>IF(gamma!V5,VLOOKUP(zeta!V$1,main!$A$3:$H$102,5,FALSE)-VLOOKUP(zeta!$A5,main!$A$3:$H$102,6,FALSE),0)</f>
        <v>360</v>
      </c>
      <c r="W5">
        <f>IF(gamma!W5,VLOOKUP(zeta!W$1,main!$A$3:$H$102,5,FALSE)-VLOOKUP(zeta!$A5,main!$A$3:$H$102,6,FALSE),0)</f>
        <v>0</v>
      </c>
      <c r="X5">
        <f>IF(gamma!X5,VLOOKUP(zeta!X$1,main!$A$3:$H$102,5,FALSE)-VLOOKUP(zeta!$A5,main!$A$3:$H$102,6,FALSE),0)</f>
        <v>0</v>
      </c>
      <c r="Y5">
        <f>IF(gamma!Y5,VLOOKUP(zeta!Y$1,main!$A$3:$H$102,5,FALSE)-VLOOKUP(zeta!$A5,main!$A$3:$H$102,6,FALSE),0)</f>
        <v>0</v>
      </c>
      <c r="Z5">
        <f>IF(gamma!Z5,VLOOKUP(zeta!Z$1,main!$A$3:$H$102,5,FALSE)-VLOOKUP(zeta!$A5,main!$A$3:$H$102,6,FALSE),0)</f>
        <v>115</v>
      </c>
      <c r="AA5">
        <f>IF(gamma!AA5,VLOOKUP(zeta!AA$1,main!$A$3:$H$102,5,FALSE)-VLOOKUP(zeta!$A5,main!$A$3:$H$102,6,FALSE),0)</f>
        <v>265</v>
      </c>
      <c r="AB5">
        <f>IF(gamma!AB5,VLOOKUP(zeta!AB$1,main!$A$3:$H$102,5,FALSE)-VLOOKUP(zeta!$A5,main!$A$3:$H$102,6,FALSE),0)</f>
        <v>0</v>
      </c>
      <c r="AC5">
        <f>IF(gamma!AC5,VLOOKUP(zeta!AC$1,main!$A$3:$H$102,5,FALSE)-VLOOKUP(zeta!$A5,main!$A$3:$H$102,6,FALSE),0)</f>
        <v>0</v>
      </c>
      <c r="AD5">
        <f>IF(gamma!AD5,VLOOKUP(zeta!AD$1,main!$A$3:$H$102,5,FALSE)-VLOOKUP(zeta!$A5,main!$A$3:$H$102,6,FALSE),0)</f>
        <v>0</v>
      </c>
      <c r="AE5">
        <f>IF(gamma!AE5,VLOOKUP(zeta!AE$1,main!$A$3:$H$102,5,FALSE)-VLOOKUP(zeta!$A5,main!$A$3:$H$102,6,FALSE),0)</f>
        <v>75</v>
      </c>
      <c r="AF5">
        <f>IF(gamma!AF5,VLOOKUP(zeta!AF$1,main!$A$3:$H$102,5,FALSE)-VLOOKUP(zeta!$A5,main!$A$3:$H$102,6,FALSE),0)</f>
        <v>245</v>
      </c>
      <c r="AG5">
        <f>IF(gamma!AG5,VLOOKUP(zeta!AG$1,main!$A$3:$H$102,5,FALSE)-VLOOKUP(zeta!$A5,main!$A$3:$H$102,6,FALSE),0)</f>
        <v>0</v>
      </c>
      <c r="AH5">
        <f>IF(gamma!AH5,VLOOKUP(zeta!AH$1,main!$A$3:$H$102,5,FALSE)-VLOOKUP(zeta!$A5,main!$A$3:$H$102,6,FALSE),0)</f>
        <v>0</v>
      </c>
      <c r="AI5">
        <f>IF(gamma!AI5,VLOOKUP(zeta!AI$1,main!$A$3:$H$102,5,FALSE)-VLOOKUP(zeta!$A5,main!$A$3:$H$102,6,FALSE),0)</f>
        <v>0</v>
      </c>
      <c r="AJ5">
        <f>IF(gamma!AJ5,VLOOKUP(zeta!AJ$1,main!$A$3:$H$102,5,FALSE)-VLOOKUP(zeta!$A5,main!$A$3:$H$102,6,FALSE),0)</f>
        <v>0</v>
      </c>
      <c r="AK5">
        <f>IF(gamma!AK5,VLOOKUP(zeta!AK$1,main!$A$3:$H$102,5,FALSE)-VLOOKUP(zeta!$A5,main!$A$3:$H$102,6,FALSE),0)</f>
        <v>45</v>
      </c>
      <c r="AL5">
        <f>IF(gamma!AL5,VLOOKUP(zeta!AL$1,main!$A$3:$H$102,5,FALSE)-VLOOKUP(zeta!$A5,main!$A$3:$H$102,6,FALSE),0)</f>
        <v>135</v>
      </c>
      <c r="AM5">
        <f>IF(gamma!AM5,VLOOKUP(zeta!AM$1,main!$A$3:$H$102,5,FALSE)-VLOOKUP(zeta!$A5,main!$A$3:$H$102,6,FALSE),0)</f>
        <v>225</v>
      </c>
      <c r="AN5">
        <f>IF(gamma!AN5,VLOOKUP(zeta!AN$1,main!$A$3:$H$102,5,FALSE)-VLOOKUP(zeta!$A5,main!$A$3:$H$102,6,FALSE),0)</f>
        <v>285</v>
      </c>
      <c r="AO5">
        <f>IF(gamma!AO5,VLOOKUP(zeta!AO$1,main!$A$3:$H$102,5,FALSE)-VLOOKUP(zeta!$A5,main!$A$3:$H$102,6,FALSE),0)</f>
        <v>0</v>
      </c>
      <c r="AP5">
        <f>IF(gamma!AP5,VLOOKUP(zeta!AP$1,main!$A$3:$H$102,5,FALSE)-VLOOKUP(zeta!$A5,main!$A$3:$H$102,6,FALSE),0)</f>
        <v>345</v>
      </c>
      <c r="AQ5">
        <f>IF(gamma!AQ5,VLOOKUP(zeta!AQ$1,main!$A$3:$H$102,5,FALSE)-VLOOKUP(zeta!$A5,main!$A$3:$H$102,6,FALSE),0)</f>
        <v>0</v>
      </c>
      <c r="AR5">
        <f>IF(gamma!AR5,VLOOKUP(zeta!AR$1,main!$A$3:$H$102,5,FALSE)-VLOOKUP(zeta!$A5,main!$A$3:$H$102,6,FALSE),0)</f>
        <v>0</v>
      </c>
      <c r="AS5">
        <f>IF(gamma!AS5,VLOOKUP(zeta!AS$1,main!$A$3:$H$102,5,FALSE)-VLOOKUP(zeta!$A5,main!$A$3:$H$102,6,FALSE),0)</f>
        <v>0</v>
      </c>
      <c r="AT5">
        <f>IF(gamma!AT5,VLOOKUP(zeta!AT$1,main!$A$3:$H$102,5,FALSE)-VLOOKUP(zeta!$A5,main!$A$3:$H$102,6,FALSE),0)</f>
        <v>95</v>
      </c>
      <c r="AU5">
        <f>IF(gamma!AU5,VLOOKUP(zeta!AU$1,main!$A$3:$H$102,5,FALSE)-VLOOKUP(zeta!$A5,main!$A$3:$H$102,6,FALSE),0)</f>
        <v>0</v>
      </c>
      <c r="AV5">
        <f>IF(gamma!AV5,VLOOKUP(zeta!AV$1,main!$A$3:$H$102,5,FALSE)-VLOOKUP(zeta!$A5,main!$A$3:$H$102,6,FALSE),0)</f>
        <v>0</v>
      </c>
      <c r="AW5">
        <f>IF(gamma!AW5,VLOOKUP(zeta!AW$1,main!$A$3:$H$102,5,FALSE)-VLOOKUP(zeta!$A5,main!$A$3:$H$102,6,FALSE),0)</f>
        <v>45</v>
      </c>
      <c r="AX5">
        <f>IF(gamma!AX5,VLOOKUP(zeta!AX$1,main!$A$3:$H$102,5,FALSE)-VLOOKUP(zeta!$A5,main!$A$3:$H$102,6,FALSE),0)</f>
        <v>0</v>
      </c>
      <c r="AY5">
        <f>IF(gamma!AY5,VLOOKUP(zeta!AY$1,main!$A$3:$H$102,5,FALSE)-VLOOKUP(zeta!$A5,main!$A$3:$H$102,6,FALSE),0)</f>
        <v>0</v>
      </c>
      <c r="AZ5">
        <f>IF(gamma!AZ5,VLOOKUP(zeta!AZ$1,main!$A$3:$H$102,5,FALSE)-VLOOKUP(zeta!$A5,main!$A$3:$H$102,6,FALSE),0)</f>
        <v>0</v>
      </c>
      <c r="BA5">
        <f>IF(gamma!BA5,VLOOKUP(zeta!BA$1,main!$A$3:$H$102,5,FALSE)-VLOOKUP(zeta!$A5,main!$A$3:$H$102,6,FALSE),0)</f>
        <v>0</v>
      </c>
      <c r="BB5">
        <f>IF(gamma!BB5,VLOOKUP(zeta!BB$1,main!$A$3:$H$102,5,FALSE)-VLOOKUP(zeta!$A5,main!$A$3:$H$102,6,FALSE),0)</f>
        <v>0</v>
      </c>
      <c r="BC5">
        <f>IF(gamma!BC5,VLOOKUP(zeta!BC$1,main!$A$3:$H$102,5,FALSE)-VLOOKUP(zeta!$A5,main!$A$3:$H$102,6,FALSE),0)</f>
        <v>0</v>
      </c>
      <c r="BD5">
        <f>IF(gamma!BD5,VLOOKUP(zeta!BD$1,main!$A$3:$H$102,5,FALSE)-VLOOKUP(zeta!$A5,main!$A$3:$H$102,6,FALSE),0)</f>
        <v>65</v>
      </c>
      <c r="BE5">
        <f>IF(gamma!BE5,VLOOKUP(zeta!BE$1,main!$A$3:$H$102,5,FALSE)-VLOOKUP(zeta!$A5,main!$A$3:$H$102,6,FALSE),0)</f>
        <v>185</v>
      </c>
      <c r="BF5">
        <f>IF(gamma!BF5,VLOOKUP(zeta!BF$1,main!$A$3:$H$102,5,FALSE)-VLOOKUP(zeta!$A5,main!$A$3:$H$102,6,FALSE),0)</f>
        <v>0</v>
      </c>
      <c r="BG5">
        <f>IF(gamma!BG5,VLOOKUP(zeta!BG$1,main!$A$3:$H$102,5,FALSE)-VLOOKUP(zeta!$A5,main!$A$3:$H$102,6,FALSE),0)</f>
        <v>0</v>
      </c>
      <c r="BH5">
        <f>IF(gamma!BH5,VLOOKUP(zeta!BH$1,main!$A$3:$H$102,5,FALSE)-VLOOKUP(zeta!$A5,main!$A$3:$H$102,6,FALSE),0)</f>
        <v>0</v>
      </c>
      <c r="BI5">
        <f>IF(gamma!BI5,VLOOKUP(zeta!BI$1,main!$A$3:$H$102,5,FALSE)-VLOOKUP(zeta!$A5,main!$A$3:$H$102,6,FALSE),0)</f>
        <v>355</v>
      </c>
      <c r="BJ5">
        <f>IF(gamma!BJ5,VLOOKUP(zeta!BJ$1,main!$A$3:$H$102,5,FALSE)-VLOOKUP(zeta!$A5,main!$A$3:$H$102,6,FALSE),0)</f>
        <v>145</v>
      </c>
      <c r="BK5">
        <f>IF(gamma!BK5,VLOOKUP(zeta!BK$1,main!$A$3:$H$102,5,FALSE)-VLOOKUP(zeta!$A5,main!$A$3:$H$102,6,FALSE),0)</f>
        <v>0</v>
      </c>
      <c r="BL5">
        <f>IF(gamma!BL5,VLOOKUP(zeta!BL$1,main!$A$3:$H$102,5,FALSE)-VLOOKUP(zeta!$A5,main!$A$3:$H$102,6,FALSE),0)</f>
        <v>0</v>
      </c>
      <c r="BM5">
        <f>IF(gamma!BM5,VLOOKUP(zeta!BM$1,main!$A$3:$H$102,5,FALSE)-VLOOKUP(zeta!$A5,main!$A$3:$H$102,6,FALSE),0)</f>
        <v>0</v>
      </c>
      <c r="BN5">
        <f>IF(gamma!BN5,VLOOKUP(zeta!BN$1,main!$A$3:$H$102,5,FALSE)-VLOOKUP(zeta!$A5,main!$A$3:$H$102,6,FALSE),0)</f>
        <v>45</v>
      </c>
      <c r="BO5">
        <f>IF(gamma!BO5,VLOOKUP(zeta!BO$1,main!$A$3:$H$102,5,FALSE)-VLOOKUP(zeta!$A5,main!$A$3:$H$102,6,FALSE),0)</f>
        <v>0</v>
      </c>
      <c r="BP5">
        <f>IF(gamma!BP5,VLOOKUP(zeta!BP$1,main!$A$3:$H$102,5,FALSE)-VLOOKUP(zeta!$A5,main!$A$3:$H$102,6,FALSE),0)</f>
        <v>0</v>
      </c>
      <c r="BQ5">
        <f>IF(gamma!BQ5,VLOOKUP(zeta!BQ$1,main!$A$3:$H$102,5,FALSE)-VLOOKUP(zeta!$A5,main!$A$3:$H$102,6,FALSE),0)</f>
        <v>0</v>
      </c>
      <c r="BR5">
        <f>IF(gamma!BR5,VLOOKUP(zeta!BR$1,main!$A$3:$H$102,5,FALSE)-VLOOKUP(zeta!$A5,main!$A$3:$H$102,6,FALSE),0)</f>
        <v>0</v>
      </c>
      <c r="BS5">
        <f>IF(gamma!BS5,VLOOKUP(zeta!BS$1,main!$A$3:$H$102,5,FALSE)-VLOOKUP(zeta!$A5,main!$A$3:$H$102,6,FALSE),0)</f>
        <v>0</v>
      </c>
      <c r="BT5">
        <f>IF(gamma!BT5,VLOOKUP(zeta!BT$1,main!$A$3:$H$102,5,FALSE)-VLOOKUP(zeta!$A5,main!$A$3:$H$102,6,FALSE),0)</f>
        <v>0</v>
      </c>
      <c r="BU5">
        <f>IF(gamma!BU5,VLOOKUP(zeta!BU$1,main!$A$3:$H$102,5,FALSE)-VLOOKUP(zeta!$A5,main!$A$3:$H$102,6,FALSE),0)</f>
        <v>0</v>
      </c>
      <c r="BV5">
        <f>IF(gamma!BV5,VLOOKUP(zeta!BV$1,main!$A$3:$H$102,5,FALSE)-VLOOKUP(zeta!$A5,main!$A$3:$H$102,6,FALSE),0)</f>
        <v>0</v>
      </c>
      <c r="BW5">
        <f>IF(gamma!BW5,VLOOKUP(zeta!BW$1,main!$A$3:$H$102,5,FALSE)-VLOOKUP(zeta!$A5,main!$A$3:$H$102,6,FALSE),0)</f>
        <v>0</v>
      </c>
      <c r="BX5">
        <f>IF(gamma!BX5,VLOOKUP(zeta!BX$1,main!$A$3:$H$102,5,FALSE)-VLOOKUP(zeta!$A5,main!$A$3:$H$102,6,FALSE),0)</f>
        <v>0</v>
      </c>
      <c r="BY5">
        <f>IF(gamma!BY5,VLOOKUP(zeta!BY$1,main!$A$3:$H$102,5,FALSE)-VLOOKUP(zeta!$A5,main!$A$3:$H$102,6,FALSE),0)</f>
        <v>0</v>
      </c>
      <c r="BZ5">
        <f>IF(gamma!BZ5,VLOOKUP(zeta!BZ$1,main!$A$3:$H$102,5,FALSE)-VLOOKUP(zeta!$A5,main!$A$3:$H$102,6,FALSE),0)</f>
        <v>0</v>
      </c>
      <c r="CA5">
        <f>IF(gamma!CA5,VLOOKUP(zeta!CA$1,main!$A$3:$H$102,5,FALSE)-VLOOKUP(zeta!$A5,main!$A$3:$H$102,6,FALSE),0)</f>
        <v>0</v>
      </c>
      <c r="CB5">
        <f>IF(gamma!CB5,VLOOKUP(zeta!CB$1,main!$A$3:$H$102,5,FALSE)-VLOOKUP(zeta!$A5,main!$A$3:$H$102,6,FALSE),0)</f>
        <v>50</v>
      </c>
      <c r="CC5">
        <f>IF(gamma!CC5,VLOOKUP(zeta!CC$1,main!$A$3:$H$102,5,FALSE)-VLOOKUP(zeta!$A5,main!$A$3:$H$102,6,FALSE),0)</f>
        <v>260</v>
      </c>
      <c r="CD5">
        <f>IF(gamma!CD5,VLOOKUP(zeta!CD$1,main!$A$3:$H$102,5,FALSE)-VLOOKUP(zeta!$A5,main!$A$3:$H$102,6,FALSE),0)</f>
        <v>0</v>
      </c>
      <c r="CE5">
        <f>IF(gamma!CE5,VLOOKUP(zeta!CE$1,main!$A$3:$H$102,5,FALSE)-VLOOKUP(zeta!$A5,main!$A$3:$H$102,6,FALSE),0)</f>
        <v>0</v>
      </c>
      <c r="CF5">
        <f>IF(gamma!CF5,VLOOKUP(zeta!CF$1,main!$A$3:$H$102,5,FALSE)-VLOOKUP(zeta!$A5,main!$A$3:$H$102,6,FALSE),0)</f>
        <v>0</v>
      </c>
      <c r="CG5">
        <f>IF(gamma!CG5,VLOOKUP(zeta!CG$1,main!$A$3:$H$102,5,FALSE)-VLOOKUP(zeta!$A5,main!$A$3:$H$102,6,FALSE),0)</f>
        <v>0</v>
      </c>
      <c r="CH5">
        <f>IF(gamma!CH5,VLOOKUP(zeta!CH$1,main!$A$3:$H$102,5,FALSE)-VLOOKUP(zeta!$A5,main!$A$3:$H$102,6,FALSE),0)</f>
        <v>145</v>
      </c>
      <c r="CI5">
        <f>IF(gamma!CI5,VLOOKUP(zeta!CI$1,main!$A$3:$H$102,5,FALSE)-VLOOKUP(zeta!$A5,main!$A$3:$H$102,6,FALSE),0)</f>
        <v>345</v>
      </c>
      <c r="CJ5">
        <f>IF(gamma!CJ5,VLOOKUP(zeta!CJ$1,main!$A$3:$H$102,5,FALSE)-VLOOKUP(zeta!$A5,main!$A$3:$H$102,6,FALSE),0)</f>
        <v>0</v>
      </c>
      <c r="CK5">
        <f>IF(gamma!CK5,VLOOKUP(zeta!CK$1,main!$A$3:$H$102,5,FALSE)-VLOOKUP(zeta!$A5,main!$A$3:$H$102,6,FALSE),0)</f>
        <v>0</v>
      </c>
      <c r="CL5">
        <f>IF(gamma!CL5,VLOOKUP(zeta!CL$1,main!$A$3:$H$102,5,FALSE)-VLOOKUP(zeta!$A5,main!$A$3:$H$102,6,FALSE),0)</f>
        <v>0</v>
      </c>
      <c r="CM5">
        <f>IF(gamma!CM5,VLOOKUP(zeta!CM$1,main!$A$3:$H$102,5,FALSE)-VLOOKUP(zeta!$A5,main!$A$3:$H$102,6,FALSE),0)</f>
        <v>121</v>
      </c>
      <c r="CN5">
        <f>IF(gamma!CN5,VLOOKUP(zeta!CN$1,main!$A$3:$H$102,5,FALSE)-VLOOKUP(zeta!$A5,main!$A$3:$H$102,6,FALSE),0)</f>
        <v>345</v>
      </c>
      <c r="CO5">
        <f>IF(gamma!CO5,VLOOKUP(zeta!CO$1,main!$A$3:$H$102,5,FALSE)-VLOOKUP(zeta!$A5,main!$A$3:$H$102,6,FALSE),0)</f>
        <v>0</v>
      </c>
      <c r="CP5">
        <f>IF(gamma!CP5,VLOOKUP(zeta!CP$1,main!$A$3:$H$102,5,FALSE)-VLOOKUP(zeta!$A5,main!$A$3:$H$102,6,FALSE),0)</f>
        <v>0</v>
      </c>
      <c r="CQ5">
        <f>IF(gamma!CQ5,VLOOKUP(zeta!CQ$1,main!$A$3:$H$102,5,FALSE)-VLOOKUP(zeta!$A5,main!$A$3:$H$102,6,FALSE),0)</f>
        <v>0</v>
      </c>
      <c r="CR5">
        <f>IF(gamma!CR5,VLOOKUP(zeta!CR$1,main!$A$3:$H$102,5,FALSE)-VLOOKUP(zeta!$A5,main!$A$3:$H$102,6,FALSE),0)</f>
        <v>110</v>
      </c>
      <c r="CS5">
        <f>IF(gamma!CS5,VLOOKUP(zeta!CS$1,main!$A$3:$H$102,5,FALSE)-VLOOKUP(zeta!$A5,main!$A$3:$H$102,6,FALSE),0)</f>
        <v>120</v>
      </c>
      <c r="CT5">
        <f>IF(gamma!CT5,VLOOKUP(zeta!CT$1,main!$A$3:$H$102,5,FALSE)-VLOOKUP(zeta!$A5,main!$A$3:$H$102,6,FALSE),0)</f>
        <v>0</v>
      </c>
      <c r="CU5">
        <f>IF(gamma!CU5,VLOOKUP(zeta!CU$1,main!$A$3:$H$102,5,FALSE)-VLOOKUP(zeta!$A5,main!$A$3:$H$102,6,FALSE),0)</f>
        <v>0</v>
      </c>
      <c r="CV5">
        <f>IF(gamma!CV5,VLOOKUP(zeta!CV$1,main!$A$3:$H$102,5,FALSE)-VLOOKUP(zeta!$A5,main!$A$3:$H$102,6,FALSE),0)</f>
        <v>0</v>
      </c>
      <c r="CW5">
        <f>IF(gamma!CW5,VLOOKUP(zeta!CW$1,main!$A$3:$H$102,5,FALSE)-VLOOKUP(zeta!$A5,main!$A$3:$H$102,6,FALSE),0)</f>
        <v>110</v>
      </c>
      <c r="CX5">
        <f>IF(gamma!CX5,VLOOKUP(zeta!CX$1,main!$A$3:$H$102,5,FALSE)-VLOOKUP(zeta!$A5,main!$A$3:$H$102,6,FALSE),0)</f>
        <v>150</v>
      </c>
    </row>
    <row r="6" spans="1:102" x14ac:dyDescent="0.25">
      <c r="A6">
        <f t="shared" si="0"/>
        <v>4</v>
      </c>
      <c r="B6">
        <v>0</v>
      </c>
      <c r="C6">
        <f>IF(gamma!C6,VLOOKUP(zeta!C$1,main!$A$3:$H$102,5,FALSE)-VLOOKUP(zeta!$A6,main!$A$3:$H$102,6,FALSE),0)</f>
        <v>0</v>
      </c>
      <c r="D6">
        <f>IF(gamma!D6,VLOOKUP(zeta!D$1,main!$A$3:$H$102,5,FALSE)-VLOOKUP(zeta!$A6,main!$A$3:$H$102,6,FALSE),0)</f>
        <v>0</v>
      </c>
      <c r="E6">
        <f>IF(gamma!E6,VLOOKUP(zeta!E$1,main!$A$3:$H$102,5,FALSE)-VLOOKUP(zeta!$A6,main!$A$3:$H$102,6,FALSE),0)</f>
        <v>0</v>
      </c>
      <c r="F6">
        <f>IF(gamma!F6,VLOOKUP(zeta!F$1,main!$A$3:$H$102,5,FALSE)-VLOOKUP(zeta!$A6,main!$A$3:$H$102,6,FALSE),0)</f>
        <v>0</v>
      </c>
      <c r="G6">
        <f>IF(gamma!G6,VLOOKUP(zeta!G$1,main!$A$3:$H$102,5,FALSE)-VLOOKUP(zeta!$A6,main!$A$3:$H$102,6,FALSE),0)</f>
        <v>0</v>
      </c>
      <c r="H6">
        <f>IF(gamma!H6,VLOOKUP(zeta!H$1,main!$A$3:$H$102,5,FALSE)-VLOOKUP(zeta!$A6,main!$A$3:$H$102,6,FALSE),0)</f>
        <v>45</v>
      </c>
      <c r="I6">
        <f>IF(gamma!I6,VLOOKUP(zeta!I$1,main!$A$3:$H$102,5,FALSE)-VLOOKUP(zeta!$A6,main!$A$3:$H$102,6,FALSE),0)</f>
        <v>105</v>
      </c>
      <c r="J6">
        <f>IF(gamma!J6,VLOOKUP(zeta!J$1,main!$A$3:$H$102,5,FALSE)-VLOOKUP(zeta!$A6,main!$A$3:$H$102,6,FALSE),0)</f>
        <v>165</v>
      </c>
      <c r="K6">
        <f>IF(gamma!K6,VLOOKUP(zeta!K$1,main!$A$3:$H$102,5,FALSE)-VLOOKUP(zeta!$A6,main!$A$3:$H$102,6,FALSE),0)</f>
        <v>225</v>
      </c>
      <c r="L6">
        <f>IF(gamma!L6,VLOOKUP(zeta!L$1,main!$A$3:$H$102,5,FALSE)-VLOOKUP(zeta!$A6,main!$A$3:$H$102,6,FALSE),0)</f>
        <v>315</v>
      </c>
      <c r="M6">
        <f>IF(gamma!M6,VLOOKUP(zeta!M$1,main!$A$3:$H$102,5,FALSE)-VLOOKUP(zeta!$A6,main!$A$3:$H$102,6,FALSE),0)</f>
        <v>0</v>
      </c>
      <c r="N6">
        <f>IF(gamma!N6,VLOOKUP(zeta!N$1,main!$A$3:$H$102,5,FALSE)-VLOOKUP(zeta!$A6,main!$A$3:$H$102,6,FALSE),0)</f>
        <v>0</v>
      </c>
      <c r="O6">
        <f>IF(gamma!O6,VLOOKUP(zeta!O$1,main!$A$3:$H$102,5,FALSE)-VLOOKUP(zeta!$A6,main!$A$3:$H$102,6,FALSE),0)</f>
        <v>0</v>
      </c>
      <c r="P6">
        <f>IF(gamma!P6,VLOOKUP(zeta!P$1,main!$A$3:$H$102,5,FALSE)-VLOOKUP(zeta!$A6,main!$A$3:$H$102,6,FALSE),0)</f>
        <v>0</v>
      </c>
      <c r="Q6">
        <f>IF(gamma!Q6,VLOOKUP(zeta!Q$1,main!$A$3:$H$102,5,FALSE)-VLOOKUP(zeta!$A6,main!$A$3:$H$102,6,FALSE),0)</f>
        <v>0</v>
      </c>
      <c r="R6">
        <f>IF(gamma!R6,VLOOKUP(zeta!R$1,main!$A$3:$H$102,5,FALSE)-VLOOKUP(zeta!$A6,main!$A$3:$H$102,6,FALSE),0)</f>
        <v>0</v>
      </c>
      <c r="S6">
        <f>IF(gamma!S6,VLOOKUP(zeta!S$1,main!$A$3:$H$102,5,FALSE)-VLOOKUP(zeta!$A6,main!$A$3:$H$102,6,FALSE),0)</f>
        <v>45</v>
      </c>
      <c r="T6">
        <f>IF(gamma!T6,VLOOKUP(zeta!T$1,main!$A$3:$H$102,5,FALSE)-VLOOKUP(zeta!$A6,main!$A$3:$H$102,6,FALSE),0)</f>
        <v>125</v>
      </c>
      <c r="U6">
        <f>IF(gamma!U6,VLOOKUP(zeta!U$1,main!$A$3:$H$102,5,FALSE)-VLOOKUP(zeta!$A6,main!$A$3:$H$102,6,FALSE),0)</f>
        <v>280</v>
      </c>
      <c r="V6">
        <f>IF(gamma!V6,VLOOKUP(zeta!V$1,main!$A$3:$H$102,5,FALSE)-VLOOKUP(zeta!$A6,main!$A$3:$H$102,6,FALSE),0)</f>
        <v>340</v>
      </c>
      <c r="W6">
        <f>IF(gamma!W6,VLOOKUP(zeta!W$1,main!$A$3:$H$102,5,FALSE)-VLOOKUP(zeta!$A6,main!$A$3:$H$102,6,FALSE),0)</f>
        <v>0</v>
      </c>
      <c r="X6">
        <f>IF(gamma!X6,VLOOKUP(zeta!X$1,main!$A$3:$H$102,5,FALSE)-VLOOKUP(zeta!$A6,main!$A$3:$H$102,6,FALSE),0)</f>
        <v>0</v>
      </c>
      <c r="Y6">
        <f>IF(gamma!Y6,VLOOKUP(zeta!Y$1,main!$A$3:$H$102,5,FALSE)-VLOOKUP(zeta!$A6,main!$A$3:$H$102,6,FALSE),0)</f>
        <v>0</v>
      </c>
      <c r="Z6">
        <f>IF(gamma!Z6,VLOOKUP(zeta!Z$1,main!$A$3:$H$102,5,FALSE)-VLOOKUP(zeta!$A6,main!$A$3:$H$102,6,FALSE),0)</f>
        <v>95</v>
      </c>
      <c r="AA6">
        <f>IF(gamma!AA6,VLOOKUP(zeta!AA$1,main!$A$3:$H$102,5,FALSE)-VLOOKUP(zeta!$A6,main!$A$3:$H$102,6,FALSE),0)</f>
        <v>245</v>
      </c>
      <c r="AB6">
        <f>IF(gamma!AB6,VLOOKUP(zeta!AB$1,main!$A$3:$H$102,5,FALSE)-VLOOKUP(zeta!$A6,main!$A$3:$H$102,6,FALSE),0)</f>
        <v>0</v>
      </c>
      <c r="AC6">
        <f>IF(gamma!AC6,VLOOKUP(zeta!AC$1,main!$A$3:$H$102,5,FALSE)-VLOOKUP(zeta!$A6,main!$A$3:$H$102,6,FALSE),0)</f>
        <v>0</v>
      </c>
      <c r="AD6">
        <f>IF(gamma!AD6,VLOOKUP(zeta!AD$1,main!$A$3:$H$102,5,FALSE)-VLOOKUP(zeta!$A6,main!$A$3:$H$102,6,FALSE),0)</f>
        <v>0</v>
      </c>
      <c r="AE6">
        <f>IF(gamma!AE6,VLOOKUP(zeta!AE$1,main!$A$3:$H$102,5,FALSE)-VLOOKUP(zeta!$A6,main!$A$3:$H$102,6,FALSE),0)</f>
        <v>55</v>
      </c>
      <c r="AF6">
        <f>IF(gamma!AF6,VLOOKUP(zeta!AF$1,main!$A$3:$H$102,5,FALSE)-VLOOKUP(zeta!$A6,main!$A$3:$H$102,6,FALSE),0)</f>
        <v>225</v>
      </c>
      <c r="AG6">
        <f>IF(gamma!AG6,VLOOKUP(zeta!AG$1,main!$A$3:$H$102,5,FALSE)-VLOOKUP(zeta!$A6,main!$A$3:$H$102,6,FALSE),0)</f>
        <v>0</v>
      </c>
      <c r="AH6">
        <f>IF(gamma!AH6,VLOOKUP(zeta!AH$1,main!$A$3:$H$102,5,FALSE)-VLOOKUP(zeta!$A6,main!$A$3:$H$102,6,FALSE),0)</f>
        <v>0</v>
      </c>
      <c r="AI6">
        <f>IF(gamma!AI6,VLOOKUP(zeta!AI$1,main!$A$3:$H$102,5,FALSE)-VLOOKUP(zeta!$A6,main!$A$3:$H$102,6,FALSE),0)</f>
        <v>0</v>
      </c>
      <c r="AJ6">
        <f>IF(gamma!AJ6,VLOOKUP(zeta!AJ$1,main!$A$3:$H$102,5,FALSE)-VLOOKUP(zeta!$A6,main!$A$3:$H$102,6,FALSE),0)</f>
        <v>0</v>
      </c>
      <c r="AK6">
        <f>IF(gamma!AK6,VLOOKUP(zeta!AK$1,main!$A$3:$H$102,5,FALSE)-VLOOKUP(zeta!$A6,main!$A$3:$H$102,6,FALSE),0)</f>
        <v>25</v>
      </c>
      <c r="AL6">
        <f>IF(gamma!AL6,VLOOKUP(zeta!AL$1,main!$A$3:$H$102,5,FALSE)-VLOOKUP(zeta!$A6,main!$A$3:$H$102,6,FALSE),0)</f>
        <v>115</v>
      </c>
      <c r="AM6">
        <f>IF(gamma!AM6,VLOOKUP(zeta!AM$1,main!$A$3:$H$102,5,FALSE)-VLOOKUP(zeta!$A6,main!$A$3:$H$102,6,FALSE),0)</f>
        <v>205</v>
      </c>
      <c r="AN6">
        <f>IF(gamma!AN6,VLOOKUP(zeta!AN$1,main!$A$3:$H$102,5,FALSE)-VLOOKUP(zeta!$A6,main!$A$3:$H$102,6,FALSE),0)</f>
        <v>265</v>
      </c>
      <c r="AO6">
        <f>IF(gamma!AO6,VLOOKUP(zeta!AO$1,main!$A$3:$H$102,5,FALSE)-VLOOKUP(zeta!$A6,main!$A$3:$H$102,6,FALSE),0)</f>
        <v>0</v>
      </c>
      <c r="AP6">
        <f>IF(gamma!AP6,VLOOKUP(zeta!AP$1,main!$A$3:$H$102,5,FALSE)-VLOOKUP(zeta!$A6,main!$A$3:$H$102,6,FALSE),0)</f>
        <v>325</v>
      </c>
      <c r="AQ6">
        <f>IF(gamma!AQ6,VLOOKUP(zeta!AQ$1,main!$A$3:$H$102,5,FALSE)-VLOOKUP(zeta!$A6,main!$A$3:$H$102,6,FALSE),0)</f>
        <v>0</v>
      </c>
      <c r="AR6">
        <f>IF(gamma!AR6,VLOOKUP(zeta!AR$1,main!$A$3:$H$102,5,FALSE)-VLOOKUP(zeta!$A6,main!$A$3:$H$102,6,FALSE),0)</f>
        <v>0</v>
      </c>
      <c r="AS6">
        <f>IF(gamma!AS6,VLOOKUP(zeta!AS$1,main!$A$3:$H$102,5,FALSE)-VLOOKUP(zeta!$A6,main!$A$3:$H$102,6,FALSE),0)</f>
        <v>0</v>
      </c>
      <c r="AT6">
        <f>IF(gamma!AT6,VLOOKUP(zeta!AT$1,main!$A$3:$H$102,5,FALSE)-VLOOKUP(zeta!$A6,main!$A$3:$H$102,6,FALSE),0)</f>
        <v>75</v>
      </c>
      <c r="AU6">
        <f>IF(gamma!AU6,VLOOKUP(zeta!AU$1,main!$A$3:$H$102,5,FALSE)-VLOOKUP(zeta!$A6,main!$A$3:$H$102,6,FALSE),0)</f>
        <v>0</v>
      </c>
      <c r="AV6">
        <f>IF(gamma!AV6,VLOOKUP(zeta!AV$1,main!$A$3:$H$102,5,FALSE)-VLOOKUP(zeta!$A6,main!$A$3:$H$102,6,FALSE),0)</f>
        <v>0</v>
      </c>
      <c r="AW6">
        <f>IF(gamma!AW6,VLOOKUP(zeta!AW$1,main!$A$3:$H$102,5,FALSE)-VLOOKUP(zeta!$A6,main!$A$3:$H$102,6,FALSE),0)</f>
        <v>25</v>
      </c>
      <c r="AX6">
        <f>IF(gamma!AX6,VLOOKUP(zeta!AX$1,main!$A$3:$H$102,5,FALSE)-VLOOKUP(zeta!$A6,main!$A$3:$H$102,6,FALSE),0)</f>
        <v>0</v>
      </c>
      <c r="AY6">
        <f>IF(gamma!AY6,VLOOKUP(zeta!AY$1,main!$A$3:$H$102,5,FALSE)-VLOOKUP(zeta!$A6,main!$A$3:$H$102,6,FALSE),0)</f>
        <v>0</v>
      </c>
      <c r="AZ6">
        <f>IF(gamma!AZ6,VLOOKUP(zeta!AZ$1,main!$A$3:$H$102,5,FALSE)-VLOOKUP(zeta!$A6,main!$A$3:$H$102,6,FALSE),0)</f>
        <v>0</v>
      </c>
      <c r="BA6">
        <f>IF(gamma!BA6,VLOOKUP(zeta!BA$1,main!$A$3:$H$102,5,FALSE)-VLOOKUP(zeta!$A6,main!$A$3:$H$102,6,FALSE),0)</f>
        <v>0</v>
      </c>
      <c r="BB6">
        <f>IF(gamma!BB6,VLOOKUP(zeta!BB$1,main!$A$3:$H$102,5,FALSE)-VLOOKUP(zeta!$A6,main!$A$3:$H$102,6,FALSE),0)</f>
        <v>0</v>
      </c>
      <c r="BC6">
        <f>IF(gamma!BC6,VLOOKUP(zeta!BC$1,main!$A$3:$H$102,5,FALSE)-VLOOKUP(zeta!$A6,main!$A$3:$H$102,6,FALSE),0)</f>
        <v>0</v>
      </c>
      <c r="BD6">
        <f>IF(gamma!BD6,VLOOKUP(zeta!BD$1,main!$A$3:$H$102,5,FALSE)-VLOOKUP(zeta!$A6,main!$A$3:$H$102,6,FALSE),0)</f>
        <v>45</v>
      </c>
      <c r="BE6">
        <f>IF(gamma!BE6,VLOOKUP(zeta!BE$1,main!$A$3:$H$102,5,FALSE)-VLOOKUP(zeta!$A6,main!$A$3:$H$102,6,FALSE),0)</f>
        <v>165</v>
      </c>
      <c r="BF6">
        <f>IF(gamma!BF6,VLOOKUP(zeta!BF$1,main!$A$3:$H$102,5,FALSE)-VLOOKUP(zeta!$A6,main!$A$3:$H$102,6,FALSE),0)</f>
        <v>0</v>
      </c>
      <c r="BG6">
        <f>IF(gamma!BG6,VLOOKUP(zeta!BG$1,main!$A$3:$H$102,5,FALSE)-VLOOKUP(zeta!$A6,main!$A$3:$H$102,6,FALSE),0)</f>
        <v>0</v>
      </c>
      <c r="BH6">
        <f>IF(gamma!BH6,VLOOKUP(zeta!BH$1,main!$A$3:$H$102,5,FALSE)-VLOOKUP(zeta!$A6,main!$A$3:$H$102,6,FALSE),0)</f>
        <v>0</v>
      </c>
      <c r="BI6">
        <f>IF(gamma!BI6,VLOOKUP(zeta!BI$1,main!$A$3:$H$102,5,FALSE)-VLOOKUP(zeta!$A6,main!$A$3:$H$102,6,FALSE),0)</f>
        <v>335</v>
      </c>
      <c r="BJ6">
        <f>IF(gamma!BJ6,VLOOKUP(zeta!BJ$1,main!$A$3:$H$102,5,FALSE)-VLOOKUP(zeta!$A6,main!$A$3:$H$102,6,FALSE),0)</f>
        <v>125</v>
      </c>
      <c r="BK6">
        <f>IF(gamma!BK6,VLOOKUP(zeta!BK$1,main!$A$3:$H$102,5,FALSE)-VLOOKUP(zeta!$A6,main!$A$3:$H$102,6,FALSE),0)</f>
        <v>0</v>
      </c>
      <c r="BL6">
        <f>IF(gamma!BL6,VLOOKUP(zeta!BL$1,main!$A$3:$H$102,5,FALSE)-VLOOKUP(zeta!$A6,main!$A$3:$H$102,6,FALSE),0)</f>
        <v>0</v>
      </c>
      <c r="BM6">
        <f>IF(gamma!BM6,VLOOKUP(zeta!BM$1,main!$A$3:$H$102,5,FALSE)-VLOOKUP(zeta!$A6,main!$A$3:$H$102,6,FALSE),0)</f>
        <v>0</v>
      </c>
      <c r="BN6">
        <f>IF(gamma!BN6,VLOOKUP(zeta!BN$1,main!$A$3:$H$102,5,FALSE)-VLOOKUP(zeta!$A6,main!$A$3:$H$102,6,FALSE),0)</f>
        <v>0</v>
      </c>
      <c r="BO6">
        <f>IF(gamma!BO6,VLOOKUP(zeta!BO$1,main!$A$3:$H$102,5,FALSE)-VLOOKUP(zeta!$A6,main!$A$3:$H$102,6,FALSE),0)</f>
        <v>0</v>
      </c>
      <c r="BP6">
        <f>IF(gamma!BP6,VLOOKUP(zeta!BP$1,main!$A$3:$H$102,5,FALSE)-VLOOKUP(zeta!$A6,main!$A$3:$H$102,6,FALSE),0)</f>
        <v>0</v>
      </c>
      <c r="BQ6">
        <f>IF(gamma!BQ6,VLOOKUP(zeta!BQ$1,main!$A$3:$H$102,5,FALSE)-VLOOKUP(zeta!$A6,main!$A$3:$H$102,6,FALSE),0)</f>
        <v>0</v>
      </c>
      <c r="BR6">
        <f>IF(gamma!BR6,VLOOKUP(zeta!BR$1,main!$A$3:$H$102,5,FALSE)-VLOOKUP(zeta!$A6,main!$A$3:$H$102,6,FALSE),0)</f>
        <v>0</v>
      </c>
      <c r="BS6">
        <f>IF(gamma!BS6,VLOOKUP(zeta!BS$1,main!$A$3:$H$102,5,FALSE)-VLOOKUP(zeta!$A6,main!$A$3:$H$102,6,FALSE),0)</f>
        <v>0</v>
      </c>
      <c r="BT6">
        <f>IF(gamma!BT6,VLOOKUP(zeta!BT$1,main!$A$3:$H$102,5,FALSE)-VLOOKUP(zeta!$A6,main!$A$3:$H$102,6,FALSE),0)</f>
        <v>0</v>
      </c>
      <c r="BU6">
        <f>IF(gamma!BU6,VLOOKUP(zeta!BU$1,main!$A$3:$H$102,5,FALSE)-VLOOKUP(zeta!$A6,main!$A$3:$H$102,6,FALSE),0)</f>
        <v>0</v>
      </c>
      <c r="BV6">
        <f>IF(gamma!BV6,VLOOKUP(zeta!BV$1,main!$A$3:$H$102,5,FALSE)-VLOOKUP(zeta!$A6,main!$A$3:$H$102,6,FALSE),0)</f>
        <v>0</v>
      </c>
      <c r="BW6">
        <f>IF(gamma!BW6,VLOOKUP(zeta!BW$1,main!$A$3:$H$102,5,FALSE)-VLOOKUP(zeta!$A6,main!$A$3:$H$102,6,FALSE),0)</f>
        <v>0</v>
      </c>
      <c r="BX6">
        <f>IF(gamma!BX6,VLOOKUP(zeta!BX$1,main!$A$3:$H$102,5,FALSE)-VLOOKUP(zeta!$A6,main!$A$3:$H$102,6,FALSE),0)</f>
        <v>0</v>
      </c>
      <c r="BY6">
        <f>IF(gamma!BY6,VLOOKUP(zeta!BY$1,main!$A$3:$H$102,5,FALSE)-VLOOKUP(zeta!$A6,main!$A$3:$H$102,6,FALSE),0)</f>
        <v>0</v>
      </c>
      <c r="BZ6">
        <f>IF(gamma!BZ6,VLOOKUP(zeta!BZ$1,main!$A$3:$H$102,5,FALSE)-VLOOKUP(zeta!$A6,main!$A$3:$H$102,6,FALSE),0)</f>
        <v>0</v>
      </c>
      <c r="CA6">
        <f>IF(gamma!CA6,VLOOKUP(zeta!CA$1,main!$A$3:$H$102,5,FALSE)-VLOOKUP(zeta!$A6,main!$A$3:$H$102,6,FALSE),0)</f>
        <v>0</v>
      </c>
      <c r="CB6">
        <f>IF(gamma!CB6,VLOOKUP(zeta!CB$1,main!$A$3:$H$102,5,FALSE)-VLOOKUP(zeta!$A6,main!$A$3:$H$102,6,FALSE),0)</f>
        <v>0</v>
      </c>
      <c r="CC6">
        <f>IF(gamma!CC6,VLOOKUP(zeta!CC$1,main!$A$3:$H$102,5,FALSE)-VLOOKUP(zeta!$A6,main!$A$3:$H$102,6,FALSE),0)</f>
        <v>240</v>
      </c>
      <c r="CD6">
        <f>IF(gamma!CD6,VLOOKUP(zeta!CD$1,main!$A$3:$H$102,5,FALSE)-VLOOKUP(zeta!$A6,main!$A$3:$H$102,6,FALSE),0)</f>
        <v>0</v>
      </c>
      <c r="CE6">
        <f>IF(gamma!CE6,VLOOKUP(zeta!CE$1,main!$A$3:$H$102,5,FALSE)-VLOOKUP(zeta!$A6,main!$A$3:$H$102,6,FALSE),0)</f>
        <v>0</v>
      </c>
      <c r="CF6">
        <f>IF(gamma!CF6,VLOOKUP(zeta!CF$1,main!$A$3:$H$102,5,FALSE)-VLOOKUP(zeta!$A6,main!$A$3:$H$102,6,FALSE),0)</f>
        <v>0</v>
      </c>
      <c r="CG6">
        <f>IF(gamma!CG6,VLOOKUP(zeta!CG$1,main!$A$3:$H$102,5,FALSE)-VLOOKUP(zeta!$A6,main!$A$3:$H$102,6,FALSE),0)</f>
        <v>0</v>
      </c>
      <c r="CH6">
        <f>IF(gamma!CH6,VLOOKUP(zeta!CH$1,main!$A$3:$H$102,5,FALSE)-VLOOKUP(zeta!$A6,main!$A$3:$H$102,6,FALSE),0)</f>
        <v>125</v>
      </c>
      <c r="CI6">
        <f>IF(gamma!CI6,VLOOKUP(zeta!CI$1,main!$A$3:$H$102,5,FALSE)-VLOOKUP(zeta!$A6,main!$A$3:$H$102,6,FALSE),0)</f>
        <v>325</v>
      </c>
      <c r="CJ6">
        <f>IF(gamma!CJ6,VLOOKUP(zeta!CJ$1,main!$A$3:$H$102,5,FALSE)-VLOOKUP(zeta!$A6,main!$A$3:$H$102,6,FALSE),0)</f>
        <v>0</v>
      </c>
      <c r="CK6">
        <f>IF(gamma!CK6,VLOOKUP(zeta!CK$1,main!$A$3:$H$102,5,FALSE)-VLOOKUP(zeta!$A6,main!$A$3:$H$102,6,FALSE),0)</f>
        <v>0</v>
      </c>
      <c r="CL6">
        <f>IF(gamma!CL6,VLOOKUP(zeta!CL$1,main!$A$3:$H$102,5,FALSE)-VLOOKUP(zeta!$A6,main!$A$3:$H$102,6,FALSE),0)</f>
        <v>0</v>
      </c>
      <c r="CM6">
        <f>IF(gamma!CM6,VLOOKUP(zeta!CM$1,main!$A$3:$H$102,5,FALSE)-VLOOKUP(zeta!$A6,main!$A$3:$H$102,6,FALSE),0)</f>
        <v>101</v>
      </c>
      <c r="CN6">
        <f>IF(gamma!CN6,VLOOKUP(zeta!CN$1,main!$A$3:$H$102,5,FALSE)-VLOOKUP(zeta!$A6,main!$A$3:$H$102,6,FALSE),0)</f>
        <v>325</v>
      </c>
      <c r="CO6">
        <f>IF(gamma!CO6,VLOOKUP(zeta!CO$1,main!$A$3:$H$102,5,FALSE)-VLOOKUP(zeta!$A6,main!$A$3:$H$102,6,FALSE),0)</f>
        <v>0</v>
      </c>
      <c r="CP6">
        <f>IF(gamma!CP6,VLOOKUP(zeta!CP$1,main!$A$3:$H$102,5,FALSE)-VLOOKUP(zeta!$A6,main!$A$3:$H$102,6,FALSE),0)</f>
        <v>0</v>
      </c>
      <c r="CQ6">
        <f>IF(gamma!CQ6,VLOOKUP(zeta!CQ$1,main!$A$3:$H$102,5,FALSE)-VLOOKUP(zeta!$A6,main!$A$3:$H$102,6,FALSE),0)</f>
        <v>0</v>
      </c>
      <c r="CR6">
        <f>IF(gamma!CR6,VLOOKUP(zeta!CR$1,main!$A$3:$H$102,5,FALSE)-VLOOKUP(zeta!$A6,main!$A$3:$H$102,6,FALSE),0)</f>
        <v>90</v>
      </c>
      <c r="CS6">
        <f>IF(gamma!CS6,VLOOKUP(zeta!CS$1,main!$A$3:$H$102,5,FALSE)-VLOOKUP(zeta!$A6,main!$A$3:$H$102,6,FALSE),0)</f>
        <v>100</v>
      </c>
      <c r="CT6">
        <f>IF(gamma!CT6,VLOOKUP(zeta!CT$1,main!$A$3:$H$102,5,FALSE)-VLOOKUP(zeta!$A6,main!$A$3:$H$102,6,FALSE),0)</f>
        <v>0</v>
      </c>
      <c r="CU6">
        <f>IF(gamma!CU6,VLOOKUP(zeta!CU$1,main!$A$3:$H$102,5,FALSE)-VLOOKUP(zeta!$A6,main!$A$3:$H$102,6,FALSE),0)</f>
        <v>0</v>
      </c>
      <c r="CV6">
        <f>IF(gamma!CV6,VLOOKUP(zeta!CV$1,main!$A$3:$H$102,5,FALSE)-VLOOKUP(zeta!$A6,main!$A$3:$H$102,6,FALSE),0)</f>
        <v>0</v>
      </c>
      <c r="CW6">
        <f>IF(gamma!CW6,VLOOKUP(zeta!CW$1,main!$A$3:$H$102,5,FALSE)-VLOOKUP(zeta!$A6,main!$A$3:$H$102,6,FALSE),0)</f>
        <v>90</v>
      </c>
      <c r="CX6">
        <f>IF(gamma!CX6,VLOOKUP(zeta!CX$1,main!$A$3:$H$102,5,FALSE)-VLOOKUP(zeta!$A6,main!$A$3:$H$102,6,FALSE),0)</f>
        <v>130</v>
      </c>
    </row>
    <row r="7" spans="1:102" x14ac:dyDescent="0.25">
      <c r="A7">
        <f t="shared" si="0"/>
        <v>5</v>
      </c>
      <c r="B7">
        <v>0</v>
      </c>
      <c r="C7">
        <f>IF(gamma!C7,VLOOKUP(zeta!C$1,main!$A$3:$H$102,5,FALSE)-VLOOKUP(zeta!$A7,main!$A$3:$H$102,6,FALSE),0)</f>
        <v>0</v>
      </c>
      <c r="D7">
        <f>IF(gamma!D7,VLOOKUP(zeta!D$1,main!$A$3:$H$102,5,FALSE)-VLOOKUP(zeta!$A7,main!$A$3:$H$102,6,FALSE),0)</f>
        <v>0</v>
      </c>
      <c r="E7">
        <f>IF(gamma!E7,VLOOKUP(zeta!E$1,main!$A$3:$H$102,5,FALSE)-VLOOKUP(zeta!$A7,main!$A$3:$H$102,6,FALSE),0)</f>
        <v>0</v>
      </c>
      <c r="F7">
        <f>IF(gamma!F7,VLOOKUP(zeta!F$1,main!$A$3:$H$102,5,FALSE)-VLOOKUP(zeta!$A7,main!$A$3:$H$102,6,FALSE),0)</f>
        <v>0</v>
      </c>
      <c r="G7">
        <f>IF(gamma!G7,VLOOKUP(zeta!G$1,main!$A$3:$H$102,5,FALSE)-VLOOKUP(zeta!$A7,main!$A$3:$H$102,6,FALSE),0)</f>
        <v>0</v>
      </c>
      <c r="H7">
        <f>IF(gamma!H7,VLOOKUP(zeta!H$1,main!$A$3:$H$102,5,FALSE)-VLOOKUP(zeta!$A7,main!$A$3:$H$102,6,FALSE),0)</f>
        <v>0</v>
      </c>
      <c r="I7">
        <f>IF(gamma!I7,VLOOKUP(zeta!I$1,main!$A$3:$H$102,5,FALSE)-VLOOKUP(zeta!$A7,main!$A$3:$H$102,6,FALSE),0)</f>
        <v>0</v>
      </c>
      <c r="J7">
        <f>IF(gamma!J7,VLOOKUP(zeta!J$1,main!$A$3:$H$102,5,FALSE)-VLOOKUP(zeta!$A7,main!$A$3:$H$102,6,FALSE),0)</f>
        <v>75</v>
      </c>
      <c r="K7">
        <f>IF(gamma!K7,VLOOKUP(zeta!K$1,main!$A$3:$H$102,5,FALSE)-VLOOKUP(zeta!$A7,main!$A$3:$H$102,6,FALSE),0)</f>
        <v>135</v>
      </c>
      <c r="L7">
        <f>IF(gamma!L7,VLOOKUP(zeta!L$1,main!$A$3:$H$102,5,FALSE)-VLOOKUP(zeta!$A7,main!$A$3:$H$102,6,FALSE),0)</f>
        <v>225</v>
      </c>
      <c r="M7">
        <f>IF(gamma!M7,VLOOKUP(zeta!M$1,main!$A$3:$H$102,5,FALSE)-VLOOKUP(zeta!$A7,main!$A$3:$H$102,6,FALSE),0)</f>
        <v>0</v>
      </c>
      <c r="N7">
        <f>IF(gamma!N7,VLOOKUP(zeta!N$1,main!$A$3:$H$102,5,FALSE)-VLOOKUP(zeta!$A7,main!$A$3:$H$102,6,FALSE),0)</f>
        <v>0</v>
      </c>
      <c r="O7">
        <f>IF(gamma!O7,VLOOKUP(zeta!O$1,main!$A$3:$H$102,5,FALSE)-VLOOKUP(zeta!$A7,main!$A$3:$H$102,6,FALSE),0)</f>
        <v>0</v>
      </c>
      <c r="P7">
        <f>IF(gamma!P7,VLOOKUP(zeta!P$1,main!$A$3:$H$102,5,FALSE)-VLOOKUP(zeta!$A7,main!$A$3:$H$102,6,FALSE),0)</f>
        <v>0</v>
      </c>
      <c r="Q7">
        <f>IF(gamma!Q7,VLOOKUP(zeta!Q$1,main!$A$3:$H$102,5,FALSE)-VLOOKUP(zeta!$A7,main!$A$3:$H$102,6,FALSE),0)</f>
        <v>0</v>
      </c>
      <c r="R7">
        <f>IF(gamma!R7,VLOOKUP(zeta!R$1,main!$A$3:$H$102,5,FALSE)-VLOOKUP(zeta!$A7,main!$A$3:$H$102,6,FALSE),0)</f>
        <v>0</v>
      </c>
      <c r="S7">
        <f>IF(gamma!S7,VLOOKUP(zeta!S$1,main!$A$3:$H$102,5,FALSE)-VLOOKUP(zeta!$A7,main!$A$3:$H$102,6,FALSE),0)</f>
        <v>0</v>
      </c>
      <c r="T7">
        <f>IF(gamma!T7,VLOOKUP(zeta!T$1,main!$A$3:$H$102,5,FALSE)-VLOOKUP(zeta!$A7,main!$A$3:$H$102,6,FALSE),0)</f>
        <v>0</v>
      </c>
      <c r="U7">
        <f>IF(gamma!U7,VLOOKUP(zeta!U$1,main!$A$3:$H$102,5,FALSE)-VLOOKUP(zeta!$A7,main!$A$3:$H$102,6,FALSE),0)</f>
        <v>190</v>
      </c>
      <c r="V7">
        <f>IF(gamma!V7,VLOOKUP(zeta!V$1,main!$A$3:$H$102,5,FALSE)-VLOOKUP(zeta!$A7,main!$A$3:$H$102,6,FALSE),0)</f>
        <v>250</v>
      </c>
      <c r="W7">
        <f>IF(gamma!W7,VLOOKUP(zeta!W$1,main!$A$3:$H$102,5,FALSE)-VLOOKUP(zeta!$A7,main!$A$3:$H$102,6,FALSE),0)</f>
        <v>0</v>
      </c>
      <c r="X7">
        <f>IF(gamma!X7,VLOOKUP(zeta!X$1,main!$A$3:$H$102,5,FALSE)-VLOOKUP(zeta!$A7,main!$A$3:$H$102,6,FALSE),0)</f>
        <v>0</v>
      </c>
      <c r="Y7">
        <f>IF(gamma!Y7,VLOOKUP(zeta!Y$1,main!$A$3:$H$102,5,FALSE)-VLOOKUP(zeta!$A7,main!$A$3:$H$102,6,FALSE),0)</f>
        <v>0</v>
      </c>
      <c r="Z7">
        <f>IF(gamma!Z7,VLOOKUP(zeta!Z$1,main!$A$3:$H$102,5,FALSE)-VLOOKUP(zeta!$A7,main!$A$3:$H$102,6,FALSE),0)</f>
        <v>0</v>
      </c>
      <c r="AA7">
        <f>IF(gamma!AA7,VLOOKUP(zeta!AA$1,main!$A$3:$H$102,5,FALSE)-VLOOKUP(zeta!$A7,main!$A$3:$H$102,6,FALSE),0)</f>
        <v>155</v>
      </c>
      <c r="AB7">
        <f>IF(gamma!AB7,VLOOKUP(zeta!AB$1,main!$A$3:$H$102,5,FALSE)-VLOOKUP(zeta!$A7,main!$A$3:$H$102,6,FALSE),0)</f>
        <v>0</v>
      </c>
      <c r="AC7">
        <f>IF(gamma!AC7,VLOOKUP(zeta!AC$1,main!$A$3:$H$102,5,FALSE)-VLOOKUP(zeta!$A7,main!$A$3:$H$102,6,FALSE),0)</f>
        <v>0</v>
      </c>
      <c r="AD7">
        <f>IF(gamma!AD7,VLOOKUP(zeta!AD$1,main!$A$3:$H$102,5,FALSE)-VLOOKUP(zeta!$A7,main!$A$3:$H$102,6,FALSE),0)</f>
        <v>0</v>
      </c>
      <c r="AE7">
        <f>IF(gamma!AE7,VLOOKUP(zeta!AE$1,main!$A$3:$H$102,5,FALSE)-VLOOKUP(zeta!$A7,main!$A$3:$H$102,6,FALSE),0)</f>
        <v>0</v>
      </c>
      <c r="AF7">
        <f>IF(gamma!AF7,VLOOKUP(zeta!AF$1,main!$A$3:$H$102,5,FALSE)-VLOOKUP(zeta!$A7,main!$A$3:$H$102,6,FALSE),0)</f>
        <v>135</v>
      </c>
      <c r="AG7">
        <f>IF(gamma!AG7,VLOOKUP(zeta!AG$1,main!$A$3:$H$102,5,FALSE)-VLOOKUP(zeta!$A7,main!$A$3:$H$102,6,FALSE),0)</f>
        <v>0</v>
      </c>
      <c r="AH7">
        <f>IF(gamma!AH7,VLOOKUP(zeta!AH$1,main!$A$3:$H$102,5,FALSE)-VLOOKUP(zeta!$A7,main!$A$3:$H$102,6,FALSE),0)</f>
        <v>0</v>
      </c>
      <c r="AI7">
        <f>IF(gamma!AI7,VLOOKUP(zeta!AI$1,main!$A$3:$H$102,5,FALSE)-VLOOKUP(zeta!$A7,main!$A$3:$H$102,6,FALSE),0)</f>
        <v>0</v>
      </c>
      <c r="AJ7">
        <f>IF(gamma!AJ7,VLOOKUP(zeta!AJ$1,main!$A$3:$H$102,5,FALSE)-VLOOKUP(zeta!$A7,main!$A$3:$H$102,6,FALSE),0)</f>
        <v>0</v>
      </c>
      <c r="AK7">
        <f>IF(gamma!AK7,VLOOKUP(zeta!AK$1,main!$A$3:$H$102,5,FALSE)-VLOOKUP(zeta!$A7,main!$A$3:$H$102,6,FALSE),0)</f>
        <v>0</v>
      </c>
      <c r="AL7">
        <f>IF(gamma!AL7,VLOOKUP(zeta!AL$1,main!$A$3:$H$102,5,FALSE)-VLOOKUP(zeta!$A7,main!$A$3:$H$102,6,FALSE),0)</f>
        <v>25</v>
      </c>
      <c r="AM7">
        <f>IF(gamma!AM7,VLOOKUP(zeta!AM$1,main!$A$3:$H$102,5,FALSE)-VLOOKUP(zeta!$A7,main!$A$3:$H$102,6,FALSE),0)</f>
        <v>115</v>
      </c>
      <c r="AN7">
        <f>IF(gamma!AN7,VLOOKUP(zeta!AN$1,main!$A$3:$H$102,5,FALSE)-VLOOKUP(zeta!$A7,main!$A$3:$H$102,6,FALSE),0)</f>
        <v>175</v>
      </c>
      <c r="AO7">
        <f>IF(gamma!AO7,VLOOKUP(zeta!AO$1,main!$A$3:$H$102,5,FALSE)-VLOOKUP(zeta!$A7,main!$A$3:$H$102,6,FALSE),0)</f>
        <v>0</v>
      </c>
      <c r="AP7">
        <f>IF(gamma!AP7,VLOOKUP(zeta!AP$1,main!$A$3:$H$102,5,FALSE)-VLOOKUP(zeta!$A7,main!$A$3:$H$102,6,FALSE),0)</f>
        <v>235</v>
      </c>
      <c r="AQ7">
        <f>IF(gamma!AQ7,VLOOKUP(zeta!AQ$1,main!$A$3:$H$102,5,FALSE)-VLOOKUP(zeta!$A7,main!$A$3:$H$102,6,FALSE),0)</f>
        <v>0</v>
      </c>
      <c r="AR7">
        <f>IF(gamma!AR7,VLOOKUP(zeta!AR$1,main!$A$3:$H$102,5,FALSE)-VLOOKUP(zeta!$A7,main!$A$3:$H$102,6,FALSE),0)</f>
        <v>0</v>
      </c>
      <c r="AS7">
        <f>IF(gamma!AS7,VLOOKUP(zeta!AS$1,main!$A$3:$H$102,5,FALSE)-VLOOKUP(zeta!$A7,main!$A$3:$H$102,6,FALSE),0)</f>
        <v>0</v>
      </c>
      <c r="AT7">
        <f>IF(gamma!AT7,VLOOKUP(zeta!AT$1,main!$A$3:$H$102,5,FALSE)-VLOOKUP(zeta!$A7,main!$A$3:$H$102,6,FALSE),0)</f>
        <v>0</v>
      </c>
      <c r="AU7">
        <f>IF(gamma!AU7,VLOOKUP(zeta!AU$1,main!$A$3:$H$102,5,FALSE)-VLOOKUP(zeta!$A7,main!$A$3:$H$102,6,FALSE),0)</f>
        <v>0</v>
      </c>
      <c r="AV7">
        <f>IF(gamma!AV7,VLOOKUP(zeta!AV$1,main!$A$3:$H$102,5,FALSE)-VLOOKUP(zeta!$A7,main!$A$3:$H$102,6,FALSE),0)</f>
        <v>0</v>
      </c>
      <c r="AW7">
        <f>IF(gamma!AW7,VLOOKUP(zeta!AW$1,main!$A$3:$H$102,5,FALSE)-VLOOKUP(zeta!$A7,main!$A$3:$H$102,6,FALSE),0)</f>
        <v>0</v>
      </c>
      <c r="AX7">
        <f>IF(gamma!AX7,VLOOKUP(zeta!AX$1,main!$A$3:$H$102,5,FALSE)-VLOOKUP(zeta!$A7,main!$A$3:$H$102,6,FALSE),0)</f>
        <v>0</v>
      </c>
      <c r="AY7">
        <f>IF(gamma!AY7,VLOOKUP(zeta!AY$1,main!$A$3:$H$102,5,FALSE)-VLOOKUP(zeta!$A7,main!$A$3:$H$102,6,FALSE),0)</f>
        <v>0</v>
      </c>
      <c r="AZ7">
        <f>IF(gamma!AZ7,VLOOKUP(zeta!AZ$1,main!$A$3:$H$102,5,FALSE)-VLOOKUP(zeta!$A7,main!$A$3:$H$102,6,FALSE),0)</f>
        <v>0</v>
      </c>
      <c r="BA7">
        <f>IF(gamma!BA7,VLOOKUP(zeta!BA$1,main!$A$3:$H$102,5,FALSE)-VLOOKUP(zeta!$A7,main!$A$3:$H$102,6,FALSE),0)</f>
        <v>0</v>
      </c>
      <c r="BB7">
        <f>IF(gamma!BB7,VLOOKUP(zeta!BB$1,main!$A$3:$H$102,5,FALSE)-VLOOKUP(zeta!$A7,main!$A$3:$H$102,6,FALSE),0)</f>
        <v>0</v>
      </c>
      <c r="BC7">
        <f>IF(gamma!BC7,VLOOKUP(zeta!BC$1,main!$A$3:$H$102,5,FALSE)-VLOOKUP(zeta!$A7,main!$A$3:$H$102,6,FALSE),0)</f>
        <v>0</v>
      </c>
      <c r="BD7">
        <f>IF(gamma!BD7,VLOOKUP(zeta!BD$1,main!$A$3:$H$102,5,FALSE)-VLOOKUP(zeta!$A7,main!$A$3:$H$102,6,FALSE),0)</f>
        <v>0</v>
      </c>
      <c r="BE7">
        <f>IF(gamma!BE7,VLOOKUP(zeta!BE$1,main!$A$3:$H$102,5,FALSE)-VLOOKUP(zeta!$A7,main!$A$3:$H$102,6,FALSE),0)</f>
        <v>75</v>
      </c>
      <c r="BF7">
        <f>IF(gamma!BF7,VLOOKUP(zeta!BF$1,main!$A$3:$H$102,5,FALSE)-VLOOKUP(zeta!$A7,main!$A$3:$H$102,6,FALSE),0)</f>
        <v>0</v>
      </c>
      <c r="BG7">
        <f>IF(gamma!BG7,VLOOKUP(zeta!BG$1,main!$A$3:$H$102,5,FALSE)-VLOOKUP(zeta!$A7,main!$A$3:$H$102,6,FALSE),0)</f>
        <v>0</v>
      </c>
      <c r="BH7">
        <f>IF(gamma!BH7,VLOOKUP(zeta!BH$1,main!$A$3:$H$102,5,FALSE)-VLOOKUP(zeta!$A7,main!$A$3:$H$102,6,FALSE),0)</f>
        <v>0</v>
      </c>
      <c r="BI7">
        <f>IF(gamma!BI7,VLOOKUP(zeta!BI$1,main!$A$3:$H$102,5,FALSE)-VLOOKUP(zeta!$A7,main!$A$3:$H$102,6,FALSE),0)</f>
        <v>245</v>
      </c>
      <c r="BJ7">
        <f>IF(gamma!BJ7,VLOOKUP(zeta!BJ$1,main!$A$3:$H$102,5,FALSE)-VLOOKUP(zeta!$A7,main!$A$3:$H$102,6,FALSE),0)</f>
        <v>0</v>
      </c>
      <c r="BK7">
        <f>IF(gamma!BK7,VLOOKUP(zeta!BK$1,main!$A$3:$H$102,5,FALSE)-VLOOKUP(zeta!$A7,main!$A$3:$H$102,6,FALSE),0)</f>
        <v>0</v>
      </c>
      <c r="BL7">
        <f>IF(gamma!BL7,VLOOKUP(zeta!BL$1,main!$A$3:$H$102,5,FALSE)-VLOOKUP(zeta!$A7,main!$A$3:$H$102,6,FALSE),0)</f>
        <v>0</v>
      </c>
      <c r="BM7">
        <f>IF(gamma!BM7,VLOOKUP(zeta!BM$1,main!$A$3:$H$102,5,FALSE)-VLOOKUP(zeta!$A7,main!$A$3:$H$102,6,FALSE),0)</f>
        <v>0</v>
      </c>
      <c r="BN7">
        <f>IF(gamma!BN7,VLOOKUP(zeta!BN$1,main!$A$3:$H$102,5,FALSE)-VLOOKUP(zeta!$A7,main!$A$3:$H$102,6,FALSE),0)</f>
        <v>0</v>
      </c>
      <c r="BO7">
        <f>IF(gamma!BO7,VLOOKUP(zeta!BO$1,main!$A$3:$H$102,5,FALSE)-VLOOKUP(zeta!$A7,main!$A$3:$H$102,6,FALSE),0)</f>
        <v>0</v>
      </c>
      <c r="BP7">
        <f>IF(gamma!BP7,VLOOKUP(zeta!BP$1,main!$A$3:$H$102,5,FALSE)-VLOOKUP(zeta!$A7,main!$A$3:$H$102,6,FALSE),0)</f>
        <v>0</v>
      </c>
      <c r="BQ7">
        <f>IF(gamma!BQ7,VLOOKUP(zeta!BQ$1,main!$A$3:$H$102,5,FALSE)-VLOOKUP(zeta!$A7,main!$A$3:$H$102,6,FALSE),0)</f>
        <v>0</v>
      </c>
      <c r="BR7">
        <f>IF(gamma!BR7,VLOOKUP(zeta!BR$1,main!$A$3:$H$102,5,FALSE)-VLOOKUP(zeta!$A7,main!$A$3:$H$102,6,FALSE),0)</f>
        <v>0</v>
      </c>
      <c r="BS7">
        <f>IF(gamma!BS7,VLOOKUP(zeta!BS$1,main!$A$3:$H$102,5,FALSE)-VLOOKUP(zeta!$A7,main!$A$3:$H$102,6,FALSE),0)</f>
        <v>0</v>
      </c>
      <c r="BT7">
        <f>IF(gamma!BT7,VLOOKUP(zeta!BT$1,main!$A$3:$H$102,5,FALSE)-VLOOKUP(zeta!$A7,main!$A$3:$H$102,6,FALSE),0)</f>
        <v>0</v>
      </c>
      <c r="BU7">
        <f>IF(gamma!BU7,VLOOKUP(zeta!BU$1,main!$A$3:$H$102,5,FALSE)-VLOOKUP(zeta!$A7,main!$A$3:$H$102,6,FALSE),0)</f>
        <v>0</v>
      </c>
      <c r="BV7">
        <f>IF(gamma!BV7,VLOOKUP(zeta!BV$1,main!$A$3:$H$102,5,FALSE)-VLOOKUP(zeta!$A7,main!$A$3:$H$102,6,FALSE),0)</f>
        <v>0</v>
      </c>
      <c r="BW7">
        <f>IF(gamma!BW7,VLOOKUP(zeta!BW$1,main!$A$3:$H$102,5,FALSE)-VLOOKUP(zeta!$A7,main!$A$3:$H$102,6,FALSE),0)</f>
        <v>0</v>
      </c>
      <c r="BX7">
        <f>IF(gamma!BX7,VLOOKUP(zeta!BX$1,main!$A$3:$H$102,5,FALSE)-VLOOKUP(zeta!$A7,main!$A$3:$H$102,6,FALSE),0)</f>
        <v>0</v>
      </c>
      <c r="BY7">
        <f>IF(gamma!BY7,VLOOKUP(zeta!BY$1,main!$A$3:$H$102,5,FALSE)-VLOOKUP(zeta!$A7,main!$A$3:$H$102,6,FALSE),0)</f>
        <v>0</v>
      </c>
      <c r="BZ7">
        <f>IF(gamma!BZ7,VLOOKUP(zeta!BZ$1,main!$A$3:$H$102,5,FALSE)-VLOOKUP(zeta!$A7,main!$A$3:$H$102,6,FALSE),0)</f>
        <v>0</v>
      </c>
      <c r="CA7">
        <f>IF(gamma!CA7,VLOOKUP(zeta!CA$1,main!$A$3:$H$102,5,FALSE)-VLOOKUP(zeta!$A7,main!$A$3:$H$102,6,FALSE),0)</f>
        <v>0</v>
      </c>
      <c r="CB7">
        <f>IF(gamma!CB7,VLOOKUP(zeta!CB$1,main!$A$3:$H$102,5,FALSE)-VLOOKUP(zeta!$A7,main!$A$3:$H$102,6,FALSE),0)</f>
        <v>0</v>
      </c>
      <c r="CC7">
        <f>IF(gamma!CC7,VLOOKUP(zeta!CC$1,main!$A$3:$H$102,5,FALSE)-VLOOKUP(zeta!$A7,main!$A$3:$H$102,6,FALSE),0)</f>
        <v>150</v>
      </c>
      <c r="CD7">
        <f>IF(gamma!CD7,VLOOKUP(zeta!CD$1,main!$A$3:$H$102,5,FALSE)-VLOOKUP(zeta!$A7,main!$A$3:$H$102,6,FALSE),0)</f>
        <v>0</v>
      </c>
      <c r="CE7">
        <f>IF(gamma!CE7,VLOOKUP(zeta!CE$1,main!$A$3:$H$102,5,FALSE)-VLOOKUP(zeta!$A7,main!$A$3:$H$102,6,FALSE),0)</f>
        <v>0</v>
      </c>
      <c r="CF7">
        <f>IF(gamma!CF7,VLOOKUP(zeta!CF$1,main!$A$3:$H$102,5,FALSE)-VLOOKUP(zeta!$A7,main!$A$3:$H$102,6,FALSE),0)</f>
        <v>0</v>
      </c>
      <c r="CG7">
        <f>IF(gamma!CG7,VLOOKUP(zeta!CG$1,main!$A$3:$H$102,5,FALSE)-VLOOKUP(zeta!$A7,main!$A$3:$H$102,6,FALSE),0)</f>
        <v>0</v>
      </c>
      <c r="CH7">
        <f>IF(gamma!CH7,VLOOKUP(zeta!CH$1,main!$A$3:$H$102,5,FALSE)-VLOOKUP(zeta!$A7,main!$A$3:$H$102,6,FALSE),0)</f>
        <v>0</v>
      </c>
      <c r="CI7">
        <f>IF(gamma!CI7,VLOOKUP(zeta!CI$1,main!$A$3:$H$102,5,FALSE)-VLOOKUP(zeta!$A7,main!$A$3:$H$102,6,FALSE),0)</f>
        <v>235</v>
      </c>
      <c r="CJ7">
        <f>IF(gamma!CJ7,VLOOKUP(zeta!CJ$1,main!$A$3:$H$102,5,FALSE)-VLOOKUP(zeta!$A7,main!$A$3:$H$102,6,FALSE),0)</f>
        <v>0</v>
      </c>
      <c r="CK7">
        <f>IF(gamma!CK7,VLOOKUP(zeta!CK$1,main!$A$3:$H$102,5,FALSE)-VLOOKUP(zeta!$A7,main!$A$3:$H$102,6,FALSE),0)</f>
        <v>0</v>
      </c>
      <c r="CL7">
        <f>IF(gamma!CL7,VLOOKUP(zeta!CL$1,main!$A$3:$H$102,5,FALSE)-VLOOKUP(zeta!$A7,main!$A$3:$H$102,6,FALSE),0)</f>
        <v>0</v>
      </c>
      <c r="CM7">
        <f>IF(gamma!CM7,VLOOKUP(zeta!CM$1,main!$A$3:$H$102,5,FALSE)-VLOOKUP(zeta!$A7,main!$A$3:$H$102,6,FALSE),0)</f>
        <v>0</v>
      </c>
      <c r="CN7">
        <f>IF(gamma!CN7,VLOOKUP(zeta!CN$1,main!$A$3:$H$102,5,FALSE)-VLOOKUP(zeta!$A7,main!$A$3:$H$102,6,FALSE),0)</f>
        <v>235</v>
      </c>
      <c r="CO7">
        <f>IF(gamma!CO7,VLOOKUP(zeta!CO$1,main!$A$3:$H$102,5,FALSE)-VLOOKUP(zeta!$A7,main!$A$3:$H$102,6,FALSE),0)</f>
        <v>0</v>
      </c>
      <c r="CP7">
        <f>IF(gamma!CP7,VLOOKUP(zeta!CP$1,main!$A$3:$H$102,5,FALSE)-VLOOKUP(zeta!$A7,main!$A$3:$H$102,6,FALSE),0)</f>
        <v>0</v>
      </c>
      <c r="CQ7">
        <f>IF(gamma!CQ7,VLOOKUP(zeta!CQ$1,main!$A$3:$H$102,5,FALSE)-VLOOKUP(zeta!$A7,main!$A$3:$H$102,6,FALSE),0)</f>
        <v>0</v>
      </c>
      <c r="CR7">
        <f>IF(gamma!CR7,VLOOKUP(zeta!CR$1,main!$A$3:$H$102,5,FALSE)-VLOOKUP(zeta!$A7,main!$A$3:$H$102,6,FALSE),0)</f>
        <v>0</v>
      </c>
      <c r="CS7">
        <f>IF(gamma!CS7,VLOOKUP(zeta!CS$1,main!$A$3:$H$102,5,FALSE)-VLOOKUP(zeta!$A7,main!$A$3:$H$102,6,FALSE),0)</f>
        <v>0</v>
      </c>
      <c r="CT7">
        <f>IF(gamma!CT7,VLOOKUP(zeta!CT$1,main!$A$3:$H$102,5,FALSE)-VLOOKUP(zeta!$A7,main!$A$3:$H$102,6,FALSE),0)</f>
        <v>0</v>
      </c>
      <c r="CU7">
        <f>IF(gamma!CU7,VLOOKUP(zeta!CU$1,main!$A$3:$H$102,5,FALSE)-VLOOKUP(zeta!$A7,main!$A$3:$H$102,6,FALSE),0)</f>
        <v>0</v>
      </c>
      <c r="CV7">
        <f>IF(gamma!CV7,VLOOKUP(zeta!CV$1,main!$A$3:$H$102,5,FALSE)-VLOOKUP(zeta!$A7,main!$A$3:$H$102,6,FALSE),0)</f>
        <v>0</v>
      </c>
      <c r="CW7">
        <f>IF(gamma!CW7,VLOOKUP(zeta!CW$1,main!$A$3:$H$102,5,FALSE)-VLOOKUP(zeta!$A7,main!$A$3:$H$102,6,FALSE),0)</f>
        <v>0</v>
      </c>
      <c r="CX7">
        <f>IF(gamma!CX7,VLOOKUP(zeta!CX$1,main!$A$3:$H$102,5,FALSE)-VLOOKUP(zeta!$A7,main!$A$3:$H$102,6,FALSE),0)</f>
        <v>0</v>
      </c>
    </row>
    <row r="8" spans="1:102" x14ac:dyDescent="0.25">
      <c r="A8">
        <f t="shared" si="0"/>
        <v>6</v>
      </c>
      <c r="B8">
        <v>0</v>
      </c>
      <c r="C8">
        <f>IF(gamma!C8,VLOOKUP(zeta!C$1,main!$A$3:$H$102,5,FALSE)-VLOOKUP(zeta!$A8,main!$A$3:$H$102,6,FALSE),0)</f>
        <v>0</v>
      </c>
      <c r="D8">
        <f>IF(gamma!D8,VLOOKUP(zeta!D$1,main!$A$3:$H$102,5,FALSE)-VLOOKUP(zeta!$A8,main!$A$3:$H$102,6,FALSE),0)</f>
        <v>0</v>
      </c>
      <c r="E8">
        <f>IF(gamma!E8,VLOOKUP(zeta!E$1,main!$A$3:$H$102,5,FALSE)-VLOOKUP(zeta!$A8,main!$A$3:$H$102,6,FALSE),0)</f>
        <v>0</v>
      </c>
      <c r="F8">
        <f>IF(gamma!F8,VLOOKUP(zeta!F$1,main!$A$3:$H$102,5,FALSE)-VLOOKUP(zeta!$A8,main!$A$3:$H$102,6,FALSE),0)</f>
        <v>0</v>
      </c>
      <c r="G8">
        <f>IF(gamma!G8,VLOOKUP(zeta!G$1,main!$A$3:$H$102,5,FALSE)-VLOOKUP(zeta!$A8,main!$A$3:$H$102,6,FALSE),0)</f>
        <v>0</v>
      </c>
      <c r="H8">
        <f>IF(gamma!H8,VLOOKUP(zeta!H$1,main!$A$3:$H$102,5,FALSE)-VLOOKUP(zeta!$A8,main!$A$3:$H$102,6,FALSE),0)</f>
        <v>0</v>
      </c>
      <c r="I8">
        <f>IF(gamma!I8,VLOOKUP(zeta!I$1,main!$A$3:$H$102,5,FALSE)-VLOOKUP(zeta!$A8,main!$A$3:$H$102,6,FALSE),0)</f>
        <v>0</v>
      </c>
      <c r="J8">
        <f>IF(gamma!J8,VLOOKUP(zeta!J$1,main!$A$3:$H$102,5,FALSE)-VLOOKUP(zeta!$A8,main!$A$3:$H$102,6,FALSE),0)</f>
        <v>0</v>
      </c>
      <c r="K8">
        <f>IF(gamma!K8,VLOOKUP(zeta!K$1,main!$A$3:$H$102,5,FALSE)-VLOOKUP(zeta!$A8,main!$A$3:$H$102,6,FALSE),0)</f>
        <v>45</v>
      </c>
      <c r="L8">
        <f>IF(gamma!L8,VLOOKUP(zeta!L$1,main!$A$3:$H$102,5,FALSE)-VLOOKUP(zeta!$A8,main!$A$3:$H$102,6,FALSE),0)</f>
        <v>135</v>
      </c>
      <c r="M8">
        <f>IF(gamma!M8,VLOOKUP(zeta!M$1,main!$A$3:$H$102,5,FALSE)-VLOOKUP(zeta!$A8,main!$A$3:$H$102,6,FALSE),0)</f>
        <v>0</v>
      </c>
      <c r="N8">
        <f>IF(gamma!N8,VLOOKUP(zeta!N$1,main!$A$3:$H$102,5,FALSE)-VLOOKUP(zeta!$A8,main!$A$3:$H$102,6,FALSE),0)</f>
        <v>0</v>
      </c>
      <c r="O8">
        <f>IF(gamma!O8,VLOOKUP(zeta!O$1,main!$A$3:$H$102,5,FALSE)-VLOOKUP(zeta!$A8,main!$A$3:$H$102,6,FALSE),0)</f>
        <v>0</v>
      </c>
      <c r="P8">
        <f>IF(gamma!P8,VLOOKUP(zeta!P$1,main!$A$3:$H$102,5,FALSE)-VLOOKUP(zeta!$A8,main!$A$3:$H$102,6,FALSE),0)</f>
        <v>0</v>
      </c>
      <c r="Q8">
        <f>IF(gamma!Q8,VLOOKUP(zeta!Q$1,main!$A$3:$H$102,5,FALSE)-VLOOKUP(zeta!$A8,main!$A$3:$H$102,6,FALSE),0)</f>
        <v>0</v>
      </c>
      <c r="R8">
        <f>IF(gamma!R8,VLOOKUP(zeta!R$1,main!$A$3:$H$102,5,FALSE)-VLOOKUP(zeta!$A8,main!$A$3:$H$102,6,FALSE),0)</f>
        <v>0</v>
      </c>
      <c r="S8">
        <f>IF(gamma!S8,VLOOKUP(zeta!S$1,main!$A$3:$H$102,5,FALSE)-VLOOKUP(zeta!$A8,main!$A$3:$H$102,6,FALSE),0)</f>
        <v>0</v>
      </c>
      <c r="T8">
        <f>IF(gamma!T8,VLOOKUP(zeta!T$1,main!$A$3:$H$102,5,FALSE)-VLOOKUP(zeta!$A8,main!$A$3:$H$102,6,FALSE),0)</f>
        <v>0</v>
      </c>
      <c r="U8">
        <f>IF(gamma!U8,VLOOKUP(zeta!U$1,main!$A$3:$H$102,5,FALSE)-VLOOKUP(zeta!$A8,main!$A$3:$H$102,6,FALSE),0)</f>
        <v>100</v>
      </c>
      <c r="V8">
        <f>IF(gamma!V8,VLOOKUP(zeta!V$1,main!$A$3:$H$102,5,FALSE)-VLOOKUP(zeta!$A8,main!$A$3:$H$102,6,FALSE),0)</f>
        <v>160</v>
      </c>
      <c r="W8">
        <f>IF(gamma!W8,VLOOKUP(zeta!W$1,main!$A$3:$H$102,5,FALSE)-VLOOKUP(zeta!$A8,main!$A$3:$H$102,6,FALSE),0)</f>
        <v>0</v>
      </c>
      <c r="X8">
        <f>IF(gamma!X8,VLOOKUP(zeta!X$1,main!$A$3:$H$102,5,FALSE)-VLOOKUP(zeta!$A8,main!$A$3:$H$102,6,FALSE),0)</f>
        <v>0</v>
      </c>
      <c r="Y8">
        <f>IF(gamma!Y8,VLOOKUP(zeta!Y$1,main!$A$3:$H$102,5,FALSE)-VLOOKUP(zeta!$A8,main!$A$3:$H$102,6,FALSE),0)</f>
        <v>0</v>
      </c>
      <c r="Z8">
        <f>IF(gamma!Z8,VLOOKUP(zeta!Z$1,main!$A$3:$H$102,5,FALSE)-VLOOKUP(zeta!$A8,main!$A$3:$H$102,6,FALSE),0)</f>
        <v>0</v>
      </c>
      <c r="AA8">
        <f>IF(gamma!AA8,VLOOKUP(zeta!AA$1,main!$A$3:$H$102,5,FALSE)-VLOOKUP(zeta!$A8,main!$A$3:$H$102,6,FALSE),0)</f>
        <v>65</v>
      </c>
      <c r="AB8">
        <f>IF(gamma!AB8,VLOOKUP(zeta!AB$1,main!$A$3:$H$102,5,FALSE)-VLOOKUP(zeta!$A8,main!$A$3:$H$102,6,FALSE),0)</f>
        <v>0</v>
      </c>
      <c r="AC8">
        <f>IF(gamma!AC8,VLOOKUP(zeta!AC$1,main!$A$3:$H$102,5,FALSE)-VLOOKUP(zeta!$A8,main!$A$3:$H$102,6,FALSE),0)</f>
        <v>0</v>
      </c>
      <c r="AD8">
        <f>IF(gamma!AD8,VLOOKUP(zeta!AD$1,main!$A$3:$H$102,5,FALSE)-VLOOKUP(zeta!$A8,main!$A$3:$H$102,6,FALSE),0)</f>
        <v>0</v>
      </c>
      <c r="AE8">
        <f>IF(gamma!AE8,VLOOKUP(zeta!AE$1,main!$A$3:$H$102,5,FALSE)-VLOOKUP(zeta!$A8,main!$A$3:$H$102,6,FALSE),0)</f>
        <v>0</v>
      </c>
      <c r="AF8">
        <f>IF(gamma!AF8,VLOOKUP(zeta!AF$1,main!$A$3:$H$102,5,FALSE)-VLOOKUP(zeta!$A8,main!$A$3:$H$102,6,FALSE),0)</f>
        <v>45</v>
      </c>
      <c r="AG8">
        <f>IF(gamma!AG8,VLOOKUP(zeta!AG$1,main!$A$3:$H$102,5,FALSE)-VLOOKUP(zeta!$A8,main!$A$3:$H$102,6,FALSE),0)</f>
        <v>0</v>
      </c>
      <c r="AH8">
        <f>IF(gamma!AH8,VLOOKUP(zeta!AH$1,main!$A$3:$H$102,5,FALSE)-VLOOKUP(zeta!$A8,main!$A$3:$H$102,6,FALSE),0)</f>
        <v>0</v>
      </c>
      <c r="AI8">
        <f>IF(gamma!AI8,VLOOKUP(zeta!AI$1,main!$A$3:$H$102,5,FALSE)-VLOOKUP(zeta!$A8,main!$A$3:$H$102,6,FALSE),0)</f>
        <v>0</v>
      </c>
      <c r="AJ8">
        <f>IF(gamma!AJ8,VLOOKUP(zeta!AJ$1,main!$A$3:$H$102,5,FALSE)-VLOOKUP(zeta!$A8,main!$A$3:$H$102,6,FALSE),0)</f>
        <v>0</v>
      </c>
      <c r="AK8">
        <f>IF(gamma!AK8,VLOOKUP(zeta!AK$1,main!$A$3:$H$102,5,FALSE)-VLOOKUP(zeta!$A8,main!$A$3:$H$102,6,FALSE),0)</f>
        <v>0</v>
      </c>
      <c r="AL8">
        <f>IF(gamma!AL8,VLOOKUP(zeta!AL$1,main!$A$3:$H$102,5,FALSE)-VLOOKUP(zeta!$A8,main!$A$3:$H$102,6,FALSE),0)</f>
        <v>0</v>
      </c>
      <c r="AM8">
        <f>IF(gamma!AM8,VLOOKUP(zeta!AM$1,main!$A$3:$H$102,5,FALSE)-VLOOKUP(zeta!$A8,main!$A$3:$H$102,6,FALSE),0)</f>
        <v>25</v>
      </c>
      <c r="AN8">
        <f>IF(gamma!AN8,VLOOKUP(zeta!AN$1,main!$A$3:$H$102,5,FALSE)-VLOOKUP(zeta!$A8,main!$A$3:$H$102,6,FALSE),0)</f>
        <v>85</v>
      </c>
      <c r="AO8">
        <f>IF(gamma!AO8,VLOOKUP(zeta!AO$1,main!$A$3:$H$102,5,FALSE)-VLOOKUP(zeta!$A8,main!$A$3:$H$102,6,FALSE),0)</f>
        <v>0</v>
      </c>
      <c r="AP8">
        <f>IF(gamma!AP8,VLOOKUP(zeta!AP$1,main!$A$3:$H$102,5,FALSE)-VLOOKUP(zeta!$A8,main!$A$3:$H$102,6,FALSE),0)</f>
        <v>145</v>
      </c>
      <c r="AQ8">
        <f>IF(gamma!AQ8,VLOOKUP(zeta!AQ$1,main!$A$3:$H$102,5,FALSE)-VLOOKUP(zeta!$A8,main!$A$3:$H$102,6,FALSE),0)</f>
        <v>0</v>
      </c>
      <c r="AR8">
        <f>IF(gamma!AR8,VLOOKUP(zeta!AR$1,main!$A$3:$H$102,5,FALSE)-VLOOKUP(zeta!$A8,main!$A$3:$H$102,6,FALSE),0)</f>
        <v>0</v>
      </c>
      <c r="AS8">
        <f>IF(gamma!AS8,VLOOKUP(zeta!AS$1,main!$A$3:$H$102,5,FALSE)-VLOOKUP(zeta!$A8,main!$A$3:$H$102,6,FALSE),0)</f>
        <v>0</v>
      </c>
      <c r="AT8">
        <f>IF(gamma!AT8,VLOOKUP(zeta!AT$1,main!$A$3:$H$102,5,FALSE)-VLOOKUP(zeta!$A8,main!$A$3:$H$102,6,FALSE),0)</f>
        <v>0</v>
      </c>
      <c r="AU8">
        <f>IF(gamma!AU8,VLOOKUP(zeta!AU$1,main!$A$3:$H$102,5,FALSE)-VLOOKUP(zeta!$A8,main!$A$3:$H$102,6,FALSE),0)</f>
        <v>0</v>
      </c>
      <c r="AV8">
        <f>IF(gamma!AV8,VLOOKUP(zeta!AV$1,main!$A$3:$H$102,5,FALSE)-VLOOKUP(zeta!$A8,main!$A$3:$H$102,6,FALSE),0)</f>
        <v>0</v>
      </c>
      <c r="AW8">
        <f>IF(gamma!AW8,VLOOKUP(zeta!AW$1,main!$A$3:$H$102,5,FALSE)-VLOOKUP(zeta!$A8,main!$A$3:$H$102,6,FALSE),0)</f>
        <v>0</v>
      </c>
      <c r="AX8">
        <f>IF(gamma!AX8,VLOOKUP(zeta!AX$1,main!$A$3:$H$102,5,FALSE)-VLOOKUP(zeta!$A8,main!$A$3:$H$102,6,FALSE),0)</f>
        <v>0</v>
      </c>
      <c r="AY8">
        <f>IF(gamma!AY8,VLOOKUP(zeta!AY$1,main!$A$3:$H$102,5,FALSE)-VLOOKUP(zeta!$A8,main!$A$3:$H$102,6,FALSE),0)</f>
        <v>0</v>
      </c>
      <c r="AZ8">
        <f>IF(gamma!AZ8,VLOOKUP(zeta!AZ$1,main!$A$3:$H$102,5,FALSE)-VLOOKUP(zeta!$A8,main!$A$3:$H$102,6,FALSE),0)</f>
        <v>0</v>
      </c>
      <c r="BA8">
        <f>IF(gamma!BA8,VLOOKUP(zeta!BA$1,main!$A$3:$H$102,5,FALSE)-VLOOKUP(zeta!$A8,main!$A$3:$H$102,6,FALSE),0)</f>
        <v>0</v>
      </c>
      <c r="BB8">
        <f>IF(gamma!BB8,VLOOKUP(zeta!BB$1,main!$A$3:$H$102,5,FALSE)-VLOOKUP(zeta!$A8,main!$A$3:$H$102,6,FALSE),0)</f>
        <v>0</v>
      </c>
      <c r="BC8">
        <f>IF(gamma!BC8,VLOOKUP(zeta!BC$1,main!$A$3:$H$102,5,FALSE)-VLOOKUP(zeta!$A8,main!$A$3:$H$102,6,FALSE),0)</f>
        <v>0</v>
      </c>
      <c r="BD8">
        <f>IF(gamma!BD8,VLOOKUP(zeta!BD$1,main!$A$3:$H$102,5,FALSE)-VLOOKUP(zeta!$A8,main!$A$3:$H$102,6,FALSE),0)</f>
        <v>0</v>
      </c>
      <c r="BE8">
        <f>IF(gamma!BE8,VLOOKUP(zeta!BE$1,main!$A$3:$H$102,5,FALSE)-VLOOKUP(zeta!$A8,main!$A$3:$H$102,6,FALSE),0)</f>
        <v>0</v>
      </c>
      <c r="BF8">
        <f>IF(gamma!BF8,VLOOKUP(zeta!BF$1,main!$A$3:$H$102,5,FALSE)-VLOOKUP(zeta!$A8,main!$A$3:$H$102,6,FALSE),0)</f>
        <v>0</v>
      </c>
      <c r="BG8">
        <f>IF(gamma!BG8,VLOOKUP(zeta!BG$1,main!$A$3:$H$102,5,FALSE)-VLOOKUP(zeta!$A8,main!$A$3:$H$102,6,FALSE),0)</f>
        <v>0</v>
      </c>
      <c r="BH8">
        <f>IF(gamma!BH8,VLOOKUP(zeta!BH$1,main!$A$3:$H$102,5,FALSE)-VLOOKUP(zeta!$A8,main!$A$3:$H$102,6,FALSE),0)</f>
        <v>0</v>
      </c>
      <c r="BI8">
        <f>IF(gamma!BI8,VLOOKUP(zeta!BI$1,main!$A$3:$H$102,5,FALSE)-VLOOKUP(zeta!$A8,main!$A$3:$H$102,6,FALSE),0)</f>
        <v>155</v>
      </c>
      <c r="BJ8">
        <f>IF(gamma!BJ8,VLOOKUP(zeta!BJ$1,main!$A$3:$H$102,5,FALSE)-VLOOKUP(zeta!$A8,main!$A$3:$H$102,6,FALSE),0)</f>
        <v>0</v>
      </c>
      <c r="BK8">
        <f>IF(gamma!BK8,VLOOKUP(zeta!BK$1,main!$A$3:$H$102,5,FALSE)-VLOOKUP(zeta!$A8,main!$A$3:$H$102,6,FALSE),0)</f>
        <v>0</v>
      </c>
      <c r="BL8">
        <f>IF(gamma!BL8,VLOOKUP(zeta!BL$1,main!$A$3:$H$102,5,FALSE)-VLOOKUP(zeta!$A8,main!$A$3:$H$102,6,FALSE),0)</f>
        <v>0</v>
      </c>
      <c r="BM8">
        <f>IF(gamma!BM8,VLOOKUP(zeta!BM$1,main!$A$3:$H$102,5,FALSE)-VLOOKUP(zeta!$A8,main!$A$3:$H$102,6,FALSE),0)</f>
        <v>0</v>
      </c>
      <c r="BN8">
        <f>IF(gamma!BN8,VLOOKUP(zeta!BN$1,main!$A$3:$H$102,5,FALSE)-VLOOKUP(zeta!$A8,main!$A$3:$H$102,6,FALSE),0)</f>
        <v>0</v>
      </c>
      <c r="BO8">
        <f>IF(gamma!BO8,VLOOKUP(zeta!BO$1,main!$A$3:$H$102,5,FALSE)-VLOOKUP(zeta!$A8,main!$A$3:$H$102,6,FALSE),0)</f>
        <v>0</v>
      </c>
      <c r="BP8">
        <f>IF(gamma!BP8,VLOOKUP(zeta!BP$1,main!$A$3:$H$102,5,FALSE)-VLOOKUP(zeta!$A8,main!$A$3:$H$102,6,FALSE),0)</f>
        <v>0</v>
      </c>
      <c r="BQ8">
        <f>IF(gamma!BQ8,VLOOKUP(zeta!BQ$1,main!$A$3:$H$102,5,FALSE)-VLOOKUP(zeta!$A8,main!$A$3:$H$102,6,FALSE),0)</f>
        <v>0</v>
      </c>
      <c r="BR8">
        <f>IF(gamma!BR8,VLOOKUP(zeta!BR$1,main!$A$3:$H$102,5,FALSE)-VLOOKUP(zeta!$A8,main!$A$3:$H$102,6,FALSE),0)</f>
        <v>0</v>
      </c>
      <c r="BS8">
        <f>IF(gamma!BS8,VLOOKUP(zeta!BS$1,main!$A$3:$H$102,5,FALSE)-VLOOKUP(zeta!$A8,main!$A$3:$H$102,6,FALSE),0)</f>
        <v>0</v>
      </c>
      <c r="BT8">
        <f>IF(gamma!BT8,VLOOKUP(zeta!BT$1,main!$A$3:$H$102,5,FALSE)-VLOOKUP(zeta!$A8,main!$A$3:$H$102,6,FALSE),0)</f>
        <v>0</v>
      </c>
      <c r="BU8">
        <f>IF(gamma!BU8,VLOOKUP(zeta!BU$1,main!$A$3:$H$102,5,FALSE)-VLOOKUP(zeta!$A8,main!$A$3:$H$102,6,FALSE),0)</f>
        <v>0</v>
      </c>
      <c r="BV8">
        <f>IF(gamma!BV8,VLOOKUP(zeta!BV$1,main!$A$3:$H$102,5,FALSE)-VLOOKUP(zeta!$A8,main!$A$3:$H$102,6,FALSE),0)</f>
        <v>0</v>
      </c>
      <c r="BW8">
        <f>IF(gamma!BW8,VLOOKUP(zeta!BW$1,main!$A$3:$H$102,5,FALSE)-VLOOKUP(zeta!$A8,main!$A$3:$H$102,6,FALSE),0)</f>
        <v>0</v>
      </c>
      <c r="BX8">
        <f>IF(gamma!BX8,VLOOKUP(zeta!BX$1,main!$A$3:$H$102,5,FALSE)-VLOOKUP(zeta!$A8,main!$A$3:$H$102,6,FALSE),0)</f>
        <v>0</v>
      </c>
      <c r="BY8">
        <f>IF(gamma!BY8,VLOOKUP(zeta!BY$1,main!$A$3:$H$102,5,FALSE)-VLOOKUP(zeta!$A8,main!$A$3:$H$102,6,FALSE),0)</f>
        <v>0</v>
      </c>
      <c r="BZ8">
        <f>IF(gamma!BZ8,VLOOKUP(zeta!BZ$1,main!$A$3:$H$102,5,FALSE)-VLOOKUP(zeta!$A8,main!$A$3:$H$102,6,FALSE),0)</f>
        <v>0</v>
      </c>
      <c r="CA8">
        <f>IF(gamma!CA8,VLOOKUP(zeta!CA$1,main!$A$3:$H$102,5,FALSE)-VLOOKUP(zeta!$A8,main!$A$3:$H$102,6,FALSE),0)</f>
        <v>0</v>
      </c>
      <c r="CB8">
        <f>IF(gamma!CB8,VLOOKUP(zeta!CB$1,main!$A$3:$H$102,5,FALSE)-VLOOKUP(zeta!$A8,main!$A$3:$H$102,6,FALSE),0)</f>
        <v>0</v>
      </c>
      <c r="CC8">
        <f>IF(gamma!CC8,VLOOKUP(zeta!CC$1,main!$A$3:$H$102,5,FALSE)-VLOOKUP(zeta!$A8,main!$A$3:$H$102,6,FALSE),0)</f>
        <v>60</v>
      </c>
      <c r="CD8">
        <f>IF(gamma!CD8,VLOOKUP(zeta!CD$1,main!$A$3:$H$102,5,FALSE)-VLOOKUP(zeta!$A8,main!$A$3:$H$102,6,FALSE),0)</f>
        <v>0</v>
      </c>
      <c r="CE8">
        <f>IF(gamma!CE8,VLOOKUP(zeta!CE$1,main!$A$3:$H$102,5,FALSE)-VLOOKUP(zeta!$A8,main!$A$3:$H$102,6,FALSE),0)</f>
        <v>0</v>
      </c>
      <c r="CF8">
        <f>IF(gamma!CF8,VLOOKUP(zeta!CF$1,main!$A$3:$H$102,5,FALSE)-VLOOKUP(zeta!$A8,main!$A$3:$H$102,6,FALSE),0)</f>
        <v>0</v>
      </c>
      <c r="CG8">
        <f>IF(gamma!CG8,VLOOKUP(zeta!CG$1,main!$A$3:$H$102,5,FALSE)-VLOOKUP(zeta!$A8,main!$A$3:$H$102,6,FALSE),0)</f>
        <v>0</v>
      </c>
      <c r="CH8">
        <f>IF(gamma!CH8,VLOOKUP(zeta!CH$1,main!$A$3:$H$102,5,FALSE)-VLOOKUP(zeta!$A8,main!$A$3:$H$102,6,FALSE),0)</f>
        <v>0</v>
      </c>
      <c r="CI8">
        <f>IF(gamma!CI8,VLOOKUP(zeta!CI$1,main!$A$3:$H$102,5,FALSE)-VLOOKUP(zeta!$A8,main!$A$3:$H$102,6,FALSE),0)</f>
        <v>145</v>
      </c>
      <c r="CJ8">
        <f>IF(gamma!CJ8,VLOOKUP(zeta!CJ$1,main!$A$3:$H$102,5,FALSE)-VLOOKUP(zeta!$A8,main!$A$3:$H$102,6,FALSE),0)</f>
        <v>0</v>
      </c>
      <c r="CK8">
        <f>IF(gamma!CK8,VLOOKUP(zeta!CK$1,main!$A$3:$H$102,5,FALSE)-VLOOKUP(zeta!$A8,main!$A$3:$H$102,6,FALSE),0)</f>
        <v>0</v>
      </c>
      <c r="CL8">
        <f>IF(gamma!CL8,VLOOKUP(zeta!CL$1,main!$A$3:$H$102,5,FALSE)-VLOOKUP(zeta!$A8,main!$A$3:$H$102,6,FALSE),0)</f>
        <v>0</v>
      </c>
      <c r="CM8">
        <f>IF(gamma!CM8,VLOOKUP(zeta!CM$1,main!$A$3:$H$102,5,FALSE)-VLOOKUP(zeta!$A8,main!$A$3:$H$102,6,FALSE),0)</f>
        <v>0</v>
      </c>
      <c r="CN8">
        <f>IF(gamma!CN8,VLOOKUP(zeta!CN$1,main!$A$3:$H$102,5,FALSE)-VLOOKUP(zeta!$A8,main!$A$3:$H$102,6,FALSE),0)</f>
        <v>145</v>
      </c>
      <c r="CO8">
        <f>IF(gamma!CO8,VLOOKUP(zeta!CO$1,main!$A$3:$H$102,5,FALSE)-VLOOKUP(zeta!$A8,main!$A$3:$H$102,6,FALSE),0)</f>
        <v>0</v>
      </c>
      <c r="CP8">
        <f>IF(gamma!CP8,VLOOKUP(zeta!CP$1,main!$A$3:$H$102,5,FALSE)-VLOOKUP(zeta!$A8,main!$A$3:$H$102,6,FALSE),0)</f>
        <v>0</v>
      </c>
      <c r="CQ8">
        <f>IF(gamma!CQ8,VLOOKUP(zeta!CQ$1,main!$A$3:$H$102,5,FALSE)-VLOOKUP(zeta!$A8,main!$A$3:$H$102,6,FALSE),0)</f>
        <v>0</v>
      </c>
      <c r="CR8">
        <f>IF(gamma!CR8,VLOOKUP(zeta!CR$1,main!$A$3:$H$102,5,FALSE)-VLOOKUP(zeta!$A8,main!$A$3:$H$102,6,FALSE),0)</f>
        <v>0</v>
      </c>
      <c r="CS8">
        <f>IF(gamma!CS8,VLOOKUP(zeta!CS$1,main!$A$3:$H$102,5,FALSE)-VLOOKUP(zeta!$A8,main!$A$3:$H$102,6,FALSE),0)</f>
        <v>0</v>
      </c>
      <c r="CT8">
        <f>IF(gamma!CT8,VLOOKUP(zeta!CT$1,main!$A$3:$H$102,5,FALSE)-VLOOKUP(zeta!$A8,main!$A$3:$H$102,6,FALSE),0)</f>
        <v>0</v>
      </c>
      <c r="CU8">
        <f>IF(gamma!CU8,VLOOKUP(zeta!CU$1,main!$A$3:$H$102,5,FALSE)-VLOOKUP(zeta!$A8,main!$A$3:$H$102,6,FALSE),0)</f>
        <v>0</v>
      </c>
      <c r="CV8">
        <f>IF(gamma!CV8,VLOOKUP(zeta!CV$1,main!$A$3:$H$102,5,FALSE)-VLOOKUP(zeta!$A8,main!$A$3:$H$102,6,FALSE),0)</f>
        <v>0</v>
      </c>
      <c r="CW8">
        <f>IF(gamma!CW8,VLOOKUP(zeta!CW$1,main!$A$3:$H$102,5,FALSE)-VLOOKUP(zeta!$A8,main!$A$3:$H$102,6,FALSE),0)</f>
        <v>0</v>
      </c>
      <c r="CX8">
        <f>IF(gamma!CX8,VLOOKUP(zeta!CX$1,main!$A$3:$H$102,5,FALSE)-VLOOKUP(zeta!$A8,main!$A$3:$H$102,6,FALSE),0)</f>
        <v>0</v>
      </c>
    </row>
    <row r="9" spans="1:102" x14ac:dyDescent="0.25">
      <c r="A9">
        <f t="shared" si="0"/>
        <v>7</v>
      </c>
      <c r="B9">
        <v>0</v>
      </c>
      <c r="C9">
        <f>IF(gamma!C9,VLOOKUP(zeta!C$1,main!$A$3:$H$102,5,FALSE)-VLOOKUP(zeta!$A9,main!$A$3:$H$102,6,FALSE),0)</f>
        <v>0</v>
      </c>
      <c r="D9">
        <f>IF(gamma!D9,VLOOKUP(zeta!D$1,main!$A$3:$H$102,5,FALSE)-VLOOKUP(zeta!$A9,main!$A$3:$H$102,6,FALSE),0)</f>
        <v>0</v>
      </c>
      <c r="E9">
        <f>IF(gamma!E9,VLOOKUP(zeta!E$1,main!$A$3:$H$102,5,FALSE)-VLOOKUP(zeta!$A9,main!$A$3:$H$102,6,FALSE),0)</f>
        <v>0</v>
      </c>
      <c r="F9">
        <f>IF(gamma!F9,VLOOKUP(zeta!F$1,main!$A$3:$H$102,5,FALSE)-VLOOKUP(zeta!$A9,main!$A$3:$H$102,6,FALSE),0)</f>
        <v>0</v>
      </c>
      <c r="G9">
        <f>IF(gamma!G9,VLOOKUP(zeta!G$1,main!$A$3:$H$102,5,FALSE)-VLOOKUP(zeta!$A9,main!$A$3:$H$102,6,FALSE),0)</f>
        <v>0</v>
      </c>
      <c r="H9">
        <f>IF(gamma!H9,VLOOKUP(zeta!H$1,main!$A$3:$H$102,5,FALSE)-VLOOKUP(zeta!$A9,main!$A$3:$H$102,6,FALSE),0)</f>
        <v>0</v>
      </c>
      <c r="I9">
        <f>IF(gamma!I9,VLOOKUP(zeta!I$1,main!$A$3:$H$102,5,FALSE)-VLOOKUP(zeta!$A9,main!$A$3:$H$102,6,FALSE),0)</f>
        <v>0</v>
      </c>
      <c r="J9">
        <f>IF(gamma!J9,VLOOKUP(zeta!J$1,main!$A$3:$H$102,5,FALSE)-VLOOKUP(zeta!$A9,main!$A$3:$H$102,6,FALSE),0)</f>
        <v>0</v>
      </c>
      <c r="K9">
        <f>IF(gamma!K9,VLOOKUP(zeta!K$1,main!$A$3:$H$102,5,FALSE)-VLOOKUP(zeta!$A9,main!$A$3:$H$102,6,FALSE),0)</f>
        <v>0</v>
      </c>
      <c r="L9">
        <f>IF(gamma!L9,VLOOKUP(zeta!L$1,main!$A$3:$H$102,5,FALSE)-VLOOKUP(zeta!$A9,main!$A$3:$H$102,6,FALSE),0)</f>
        <v>75</v>
      </c>
      <c r="M9">
        <f>IF(gamma!M9,VLOOKUP(zeta!M$1,main!$A$3:$H$102,5,FALSE)-VLOOKUP(zeta!$A9,main!$A$3:$H$102,6,FALSE),0)</f>
        <v>0</v>
      </c>
      <c r="N9">
        <f>IF(gamma!N9,VLOOKUP(zeta!N$1,main!$A$3:$H$102,5,FALSE)-VLOOKUP(zeta!$A9,main!$A$3:$H$102,6,FALSE),0)</f>
        <v>0</v>
      </c>
      <c r="O9">
        <f>IF(gamma!O9,VLOOKUP(zeta!O$1,main!$A$3:$H$102,5,FALSE)-VLOOKUP(zeta!$A9,main!$A$3:$H$102,6,FALSE),0)</f>
        <v>0</v>
      </c>
      <c r="P9">
        <f>IF(gamma!P9,VLOOKUP(zeta!P$1,main!$A$3:$H$102,5,FALSE)-VLOOKUP(zeta!$A9,main!$A$3:$H$102,6,FALSE),0)</f>
        <v>0</v>
      </c>
      <c r="Q9">
        <f>IF(gamma!Q9,VLOOKUP(zeta!Q$1,main!$A$3:$H$102,5,FALSE)-VLOOKUP(zeta!$A9,main!$A$3:$H$102,6,FALSE),0)</f>
        <v>0</v>
      </c>
      <c r="R9">
        <f>IF(gamma!R9,VLOOKUP(zeta!R$1,main!$A$3:$H$102,5,FALSE)-VLOOKUP(zeta!$A9,main!$A$3:$H$102,6,FALSE),0)</f>
        <v>0</v>
      </c>
      <c r="S9">
        <f>IF(gamma!S9,VLOOKUP(zeta!S$1,main!$A$3:$H$102,5,FALSE)-VLOOKUP(zeta!$A9,main!$A$3:$H$102,6,FALSE),0)</f>
        <v>0</v>
      </c>
      <c r="T9">
        <f>IF(gamma!T9,VLOOKUP(zeta!T$1,main!$A$3:$H$102,5,FALSE)-VLOOKUP(zeta!$A9,main!$A$3:$H$102,6,FALSE),0)</f>
        <v>0</v>
      </c>
      <c r="U9">
        <f>IF(gamma!U9,VLOOKUP(zeta!U$1,main!$A$3:$H$102,5,FALSE)-VLOOKUP(zeta!$A9,main!$A$3:$H$102,6,FALSE),0)</f>
        <v>40</v>
      </c>
      <c r="V9">
        <f>IF(gamma!V9,VLOOKUP(zeta!V$1,main!$A$3:$H$102,5,FALSE)-VLOOKUP(zeta!$A9,main!$A$3:$H$102,6,FALSE),0)</f>
        <v>100</v>
      </c>
      <c r="W9">
        <f>IF(gamma!W9,VLOOKUP(zeta!W$1,main!$A$3:$H$102,5,FALSE)-VLOOKUP(zeta!$A9,main!$A$3:$H$102,6,FALSE),0)</f>
        <v>0</v>
      </c>
      <c r="X9">
        <f>IF(gamma!X9,VLOOKUP(zeta!X$1,main!$A$3:$H$102,5,FALSE)-VLOOKUP(zeta!$A9,main!$A$3:$H$102,6,FALSE),0)</f>
        <v>0</v>
      </c>
      <c r="Y9">
        <f>IF(gamma!Y9,VLOOKUP(zeta!Y$1,main!$A$3:$H$102,5,FALSE)-VLOOKUP(zeta!$A9,main!$A$3:$H$102,6,FALSE),0)</f>
        <v>0</v>
      </c>
      <c r="Z9">
        <f>IF(gamma!Z9,VLOOKUP(zeta!Z$1,main!$A$3:$H$102,5,FALSE)-VLOOKUP(zeta!$A9,main!$A$3:$H$102,6,FALSE),0)</f>
        <v>0</v>
      </c>
      <c r="AA9">
        <f>IF(gamma!AA9,VLOOKUP(zeta!AA$1,main!$A$3:$H$102,5,FALSE)-VLOOKUP(zeta!$A9,main!$A$3:$H$102,6,FALSE),0)</f>
        <v>0</v>
      </c>
      <c r="AB9">
        <f>IF(gamma!AB9,VLOOKUP(zeta!AB$1,main!$A$3:$H$102,5,FALSE)-VLOOKUP(zeta!$A9,main!$A$3:$H$102,6,FALSE),0)</f>
        <v>0</v>
      </c>
      <c r="AC9">
        <f>IF(gamma!AC9,VLOOKUP(zeta!AC$1,main!$A$3:$H$102,5,FALSE)-VLOOKUP(zeta!$A9,main!$A$3:$H$102,6,FALSE),0)</f>
        <v>0</v>
      </c>
      <c r="AD9">
        <f>IF(gamma!AD9,VLOOKUP(zeta!AD$1,main!$A$3:$H$102,5,FALSE)-VLOOKUP(zeta!$A9,main!$A$3:$H$102,6,FALSE),0)</f>
        <v>0</v>
      </c>
      <c r="AE9">
        <f>IF(gamma!AE9,VLOOKUP(zeta!AE$1,main!$A$3:$H$102,5,FALSE)-VLOOKUP(zeta!$A9,main!$A$3:$H$102,6,FALSE),0)</f>
        <v>0</v>
      </c>
      <c r="AF9">
        <f>IF(gamma!AF9,VLOOKUP(zeta!AF$1,main!$A$3:$H$102,5,FALSE)-VLOOKUP(zeta!$A9,main!$A$3:$H$102,6,FALSE),0)</f>
        <v>0</v>
      </c>
      <c r="AG9">
        <f>IF(gamma!AG9,VLOOKUP(zeta!AG$1,main!$A$3:$H$102,5,FALSE)-VLOOKUP(zeta!$A9,main!$A$3:$H$102,6,FALSE),0)</f>
        <v>0</v>
      </c>
      <c r="AH9">
        <f>IF(gamma!AH9,VLOOKUP(zeta!AH$1,main!$A$3:$H$102,5,FALSE)-VLOOKUP(zeta!$A9,main!$A$3:$H$102,6,FALSE),0)</f>
        <v>0</v>
      </c>
      <c r="AI9">
        <f>IF(gamma!AI9,VLOOKUP(zeta!AI$1,main!$A$3:$H$102,5,FALSE)-VLOOKUP(zeta!$A9,main!$A$3:$H$102,6,FALSE),0)</f>
        <v>0</v>
      </c>
      <c r="AJ9">
        <f>IF(gamma!AJ9,VLOOKUP(zeta!AJ$1,main!$A$3:$H$102,5,FALSE)-VLOOKUP(zeta!$A9,main!$A$3:$H$102,6,FALSE),0)</f>
        <v>0</v>
      </c>
      <c r="AK9">
        <f>IF(gamma!AK9,VLOOKUP(zeta!AK$1,main!$A$3:$H$102,5,FALSE)-VLOOKUP(zeta!$A9,main!$A$3:$H$102,6,FALSE),0)</f>
        <v>0</v>
      </c>
      <c r="AL9">
        <f>IF(gamma!AL9,VLOOKUP(zeta!AL$1,main!$A$3:$H$102,5,FALSE)-VLOOKUP(zeta!$A9,main!$A$3:$H$102,6,FALSE),0)</f>
        <v>0</v>
      </c>
      <c r="AM9">
        <f>IF(gamma!AM9,VLOOKUP(zeta!AM$1,main!$A$3:$H$102,5,FALSE)-VLOOKUP(zeta!$A9,main!$A$3:$H$102,6,FALSE),0)</f>
        <v>0</v>
      </c>
      <c r="AN9">
        <f>IF(gamma!AN9,VLOOKUP(zeta!AN$1,main!$A$3:$H$102,5,FALSE)-VLOOKUP(zeta!$A9,main!$A$3:$H$102,6,FALSE),0)</f>
        <v>25</v>
      </c>
      <c r="AO9">
        <f>IF(gamma!AO9,VLOOKUP(zeta!AO$1,main!$A$3:$H$102,5,FALSE)-VLOOKUP(zeta!$A9,main!$A$3:$H$102,6,FALSE),0)</f>
        <v>0</v>
      </c>
      <c r="AP9">
        <f>IF(gamma!AP9,VLOOKUP(zeta!AP$1,main!$A$3:$H$102,5,FALSE)-VLOOKUP(zeta!$A9,main!$A$3:$H$102,6,FALSE),0)</f>
        <v>85</v>
      </c>
      <c r="AQ9">
        <f>IF(gamma!AQ9,VLOOKUP(zeta!AQ$1,main!$A$3:$H$102,5,FALSE)-VLOOKUP(zeta!$A9,main!$A$3:$H$102,6,FALSE),0)</f>
        <v>0</v>
      </c>
      <c r="AR9">
        <f>IF(gamma!AR9,VLOOKUP(zeta!AR$1,main!$A$3:$H$102,5,FALSE)-VLOOKUP(zeta!$A9,main!$A$3:$H$102,6,FALSE),0)</f>
        <v>0</v>
      </c>
      <c r="AS9">
        <f>IF(gamma!AS9,VLOOKUP(zeta!AS$1,main!$A$3:$H$102,5,FALSE)-VLOOKUP(zeta!$A9,main!$A$3:$H$102,6,FALSE),0)</f>
        <v>0</v>
      </c>
      <c r="AT9">
        <f>IF(gamma!AT9,VLOOKUP(zeta!AT$1,main!$A$3:$H$102,5,FALSE)-VLOOKUP(zeta!$A9,main!$A$3:$H$102,6,FALSE),0)</f>
        <v>0</v>
      </c>
      <c r="AU9">
        <f>IF(gamma!AU9,VLOOKUP(zeta!AU$1,main!$A$3:$H$102,5,FALSE)-VLOOKUP(zeta!$A9,main!$A$3:$H$102,6,FALSE),0)</f>
        <v>0</v>
      </c>
      <c r="AV9">
        <f>IF(gamma!AV9,VLOOKUP(zeta!AV$1,main!$A$3:$H$102,5,FALSE)-VLOOKUP(zeta!$A9,main!$A$3:$H$102,6,FALSE),0)</f>
        <v>0</v>
      </c>
      <c r="AW9">
        <f>IF(gamma!AW9,VLOOKUP(zeta!AW$1,main!$A$3:$H$102,5,FALSE)-VLOOKUP(zeta!$A9,main!$A$3:$H$102,6,FALSE),0)</f>
        <v>0</v>
      </c>
      <c r="AX9">
        <f>IF(gamma!AX9,VLOOKUP(zeta!AX$1,main!$A$3:$H$102,5,FALSE)-VLOOKUP(zeta!$A9,main!$A$3:$H$102,6,FALSE),0)</f>
        <v>0</v>
      </c>
      <c r="AY9">
        <f>IF(gamma!AY9,VLOOKUP(zeta!AY$1,main!$A$3:$H$102,5,FALSE)-VLOOKUP(zeta!$A9,main!$A$3:$H$102,6,FALSE),0)</f>
        <v>0</v>
      </c>
      <c r="AZ9">
        <f>IF(gamma!AZ9,VLOOKUP(zeta!AZ$1,main!$A$3:$H$102,5,FALSE)-VLOOKUP(zeta!$A9,main!$A$3:$H$102,6,FALSE),0)</f>
        <v>0</v>
      </c>
      <c r="BA9">
        <f>IF(gamma!BA9,VLOOKUP(zeta!BA$1,main!$A$3:$H$102,5,FALSE)-VLOOKUP(zeta!$A9,main!$A$3:$H$102,6,FALSE),0)</f>
        <v>0</v>
      </c>
      <c r="BB9">
        <f>IF(gamma!BB9,VLOOKUP(zeta!BB$1,main!$A$3:$H$102,5,FALSE)-VLOOKUP(zeta!$A9,main!$A$3:$H$102,6,FALSE),0)</f>
        <v>0</v>
      </c>
      <c r="BC9">
        <f>IF(gamma!BC9,VLOOKUP(zeta!BC$1,main!$A$3:$H$102,5,FALSE)-VLOOKUP(zeta!$A9,main!$A$3:$H$102,6,FALSE),0)</f>
        <v>0</v>
      </c>
      <c r="BD9">
        <f>IF(gamma!BD9,VLOOKUP(zeta!BD$1,main!$A$3:$H$102,5,FALSE)-VLOOKUP(zeta!$A9,main!$A$3:$H$102,6,FALSE),0)</f>
        <v>0</v>
      </c>
      <c r="BE9">
        <f>IF(gamma!BE9,VLOOKUP(zeta!BE$1,main!$A$3:$H$102,5,FALSE)-VLOOKUP(zeta!$A9,main!$A$3:$H$102,6,FALSE),0)</f>
        <v>0</v>
      </c>
      <c r="BF9">
        <f>IF(gamma!BF9,VLOOKUP(zeta!BF$1,main!$A$3:$H$102,5,FALSE)-VLOOKUP(zeta!$A9,main!$A$3:$H$102,6,FALSE),0)</f>
        <v>0</v>
      </c>
      <c r="BG9">
        <f>IF(gamma!BG9,VLOOKUP(zeta!BG$1,main!$A$3:$H$102,5,FALSE)-VLOOKUP(zeta!$A9,main!$A$3:$H$102,6,FALSE),0)</f>
        <v>0</v>
      </c>
      <c r="BH9">
        <f>IF(gamma!BH9,VLOOKUP(zeta!BH$1,main!$A$3:$H$102,5,FALSE)-VLOOKUP(zeta!$A9,main!$A$3:$H$102,6,FALSE),0)</f>
        <v>0</v>
      </c>
      <c r="BI9">
        <f>IF(gamma!BI9,VLOOKUP(zeta!BI$1,main!$A$3:$H$102,5,FALSE)-VLOOKUP(zeta!$A9,main!$A$3:$H$102,6,FALSE),0)</f>
        <v>95</v>
      </c>
      <c r="BJ9">
        <f>IF(gamma!BJ9,VLOOKUP(zeta!BJ$1,main!$A$3:$H$102,5,FALSE)-VLOOKUP(zeta!$A9,main!$A$3:$H$102,6,FALSE),0)</f>
        <v>0</v>
      </c>
      <c r="BK9">
        <f>IF(gamma!BK9,VLOOKUP(zeta!BK$1,main!$A$3:$H$102,5,FALSE)-VLOOKUP(zeta!$A9,main!$A$3:$H$102,6,FALSE),0)</f>
        <v>0</v>
      </c>
      <c r="BL9">
        <f>IF(gamma!BL9,VLOOKUP(zeta!BL$1,main!$A$3:$H$102,5,FALSE)-VLOOKUP(zeta!$A9,main!$A$3:$H$102,6,FALSE),0)</f>
        <v>0</v>
      </c>
      <c r="BM9">
        <f>IF(gamma!BM9,VLOOKUP(zeta!BM$1,main!$A$3:$H$102,5,FALSE)-VLOOKUP(zeta!$A9,main!$A$3:$H$102,6,FALSE),0)</f>
        <v>0</v>
      </c>
      <c r="BN9">
        <f>IF(gamma!BN9,VLOOKUP(zeta!BN$1,main!$A$3:$H$102,5,FALSE)-VLOOKUP(zeta!$A9,main!$A$3:$H$102,6,FALSE),0)</f>
        <v>0</v>
      </c>
      <c r="BO9">
        <f>IF(gamma!BO9,VLOOKUP(zeta!BO$1,main!$A$3:$H$102,5,FALSE)-VLOOKUP(zeta!$A9,main!$A$3:$H$102,6,FALSE),0)</f>
        <v>0</v>
      </c>
      <c r="BP9">
        <f>IF(gamma!BP9,VLOOKUP(zeta!BP$1,main!$A$3:$H$102,5,FALSE)-VLOOKUP(zeta!$A9,main!$A$3:$H$102,6,FALSE),0)</f>
        <v>0</v>
      </c>
      <c r="BQ9">
        <f>IF(gamma!BQ9,VLOOKUP(zeta!BQ$1,main!$A$3:$H$102,5,FALSE)-VLOOKUP(zeta!$A9,main!$A$3:$H$102,6,FALSE),0)</f>
        <v>0</v>
      </c>
      <c r="BR9">
        <f>IF(gamma!BR9,VLOOKUP(zeta!BR$1,main!$A$3:$H$102,5,FALSE)-VLOOKUP(zeta!$A9,main!$A$3:$H$102,6,FALSE),0)</f>
        <v>0</v>
      </c>
      <c r="BS9">
        <f>IF(gamma!BS9,VLOOKUP(zeta!BS$1,main!$A$3:$H$102,5,FALSE)-VLOOKUP(zeta!$A9,main!$A$3:$H$102,6,FALSE),0)</f>
        <v>0</v>
      </c>
      <c r="BT9">
        <f>IF(gamma!BT9,VLOOKUP(zeta!BT$1,main!$A$3:$H$102,5,FALSE)-VLOOKUP(zeta!$A9,main!$A$3:$H$102,6,FALSE),0)</f>
        <v>0</v>
      </c>
      <c r="BU9">
        <f>IF(gamma!BU9,VLOOKUP(zeta!BU$1,main!$A$3:$H$102,5,FALSE)-VLOOKUP(zeta!$A9,main!$A$3:$H$102,6,FALSE),0)</f>
        <v>0</v>
      </c>
      <c r="BV9">
        <f>IF(gamma!BV9,VLOOKUP(zeta!BV$1,main!$A$3:$H$102,5,FALSE)-VLOOKUP(zeta!$A9,main!$A$3:$H$102,6,FALSE),0)</f>
        <v>0</v>
      </c>
      <c r="BW9">
        <f>IF(gamma!BW9,VLOOKUP(zeta!BW$1,main!$A$3:$H$102,5,FALSE)-VLOOKUP(zeta!$A9,main!$A$3:$H$102,6,FALSE),0)</f>
        <v>0</v>
      </c>
      <c r="BX9">
        <f>IF(gamma!BX9,VLOOKUP(zeta!BX$1,main!$A$3:$H$102,5,FALSE)-VLOOKUP(zeta!$A9,main!$A$3:$H$102,6,FALSE),0)</f>
        <v>0</v>
      </c>
      <c r="BY9">
        <f>IF(gamma!BY9,VLOOKUP(zeta!BY$1,main!$A$3:$H$102,5,FALSE)-VLOOKUP(zeta!$A9,main!$A$3:$H$102,6,FALSE),0)</f>
        <v>0</v>
      </c>
      <c r="BZ9">
        <f>IF(gamma!BZ9,VLOOKUP(zeta!BZ$1,main!$A$3:$H$102,5,FALSE)-VLOOKUP(zeta!$A9,main!$A$3:$H$102,6,FALSE),0)</f>
        <v>0</v>
      </c>
      <c r="CA9">
        <f>IF(gamma!CA9,VLOOKUP(zeta!CA$1,main!$A$3:$H$102,5,FALSE)-VLOOKUP(zeta!$A9,main!$A$3:$H$102,6,FALSE),0)</f>
        <v>0</v>
      </c>
      <c r="CB9">
        <f>IF(gamma!CB9,VLOOKUP(zeta!CB$1,main!$A$3:$H$102,5,FALSE)-VLOOKUP(zeta!$A9,main!$A$3:$H$102,6,FALSE),0)</f>
        <v>0</v>
      </c>
      <c r="CC9">
        <f>IF(gamma!CC9,VLOOKUP(zeta!CC$1,main!$A$3:$H$102,5,FALSE)-VLOOKUP(zeta!$A9,main!$A$3:$H$102,6,FALSE),0)</f>
        <v>0</v>
      </c>
      <c r="CD9">
        <f>IF(gamma!CD9,VLOOKUP(zeta!CD$1,main!$A$3:$H$102,5,FALSE)-VLOOKUP(zeta!$A9,main!$A$3:$H$102,6,FALSE),0)</f>
        <v>0</v>
      </c>
      <c r="CE9">
        <f>IF(gamma!CE9,VLOOKUP(zeta!CE$1,main!$A$3:$H$102,5,FALSE)-VLOOKUP(zeta!$A9,main!$A$3:$H$102,6,FALSE),0)</f>
        <v>0</v>
      </c>
      <c r="CF9">
        <f>IF(gamma!CF9,VLOOKUP(zeta!CF$1,main!$A$3:$H$102,5,FALSE)-VLOOKUP(zeta!$A9,main!$A$3:$H$102,6,FALSE),0)</f>
        <v>0</v>
      </c>
      <c r="CG9">
        <f>IF(gamma!CG9,VLOOKUP(zeta!CG$1,main!$A$3:$H$102,5,FALSE)-VLOOKUP(zeta!$A9,main!$A$3:$H$102,6,FALSE),0)</f>
        <v>0</v>
      </c>
      <c r="CH9">
        <f>IF(gamma!CH9,VLOOKUP(zeta!CH$1,main!$A$3:$H$102,5,FALSE)-VLOOKUP(zeta!$A9,main!$A$3:$H$102,6,FALSE),0)</f>
        <v>0</v>
      </c>
      <c r="CI9">
        <f>IF(gamma!CI9,VLOOKUP(zeta!CI$1,main!$A$3:$H$102,5,FALSE)-VLOOKUP(zeta!$A9,main!$A$3:$H$102,6,FALSE),0)</f>
        <v>85</v>
      </c>
      <c r="CJ9">
        <f>IF(gamma!CJ9,VLOOKUP(zeta!CJ$1,main!$A$3:$H$102,5,FALSE)-VLOOKUP(zeta!$A9,main!$A$3:$H$102,6,FALSE),0)</f>
        <v>0</v>
      </c>
      <c r="CK9">
        <f>IF(gamma!CK9,VLOOKUP(zeta!CK$1,main!$A$3:$H$102,5,FALSE)-VLOOKUP(zeta!$A9,main!$A$3:$H$102,6,FALSE),0)</f>
        <v>0</v>
      </c>
      <c r="CL9">
        <f>IF(gamma!CL9,VLOOKUP(zeta!CL$1,main!$A$3:$H$102,5,FALSE)-VLOOKUP(zeta!$A9,main!$A$3:$H$102,6,FALSE),0)</f>
        <v>0</v>
      </c>
      <c r="CM9">
        <f>IF(gamma!CM9,VLOOKUP(zeta!CM$1,main!$A$3:$H$102,5,FALSE)-VLOOKUP(zeta!$A9,main!$A$3:$H$102,6,FALSE),0)</f>
        <v>0</v>
      </c>
      <c r="CN9">
        <f>IF(gamma!CN9,VLOOKUP(zeta!CN$1,main!$A$3:$H$102,5,FALSE)-VLOOKUP(zeta!$A9,main!$A$3:$H$102,6,FALSE),0)</f>
        <v>85</v>
      </c>
      <c r="CO9">
        <f>IF(gamma!CO9,VLOOKUP(zeta!CO$1,main!$A$3:$H$102,5,FALSE)-VLOOKUP(zeta!$A9,main!$A$3:$H$102,6,FALSE),0)</f>
        <v>0</v>
      </c>
      <c r="CP9">
        <f>IF(gamma!CP9,VLOOKUP(zeta!CP$1,main!$A$3:$H$102,5,FALSE)-VLOOKUP(zeta!$A9,main!$A$3:$H$102,6,FALSE),0)</f>
        <v>0</v>
      </c>
      <c r="CQ9">
        <f>IF(gamma!CQ9,VLOOKUP(zeta!CQ$1,main!$A$3:$H$102,5,FALSE)-VLOOKUP(zeta!$A9,main!$A$3:$H$102,6,FALSE),0)</f>
        <v>0</v>
      </c>
      <c r="CR9">
        <f>IF(gamma!CR9,VLOOKUP(zeta!CR$1,main!$A$3:$H$102,5,FALSE)-VLOOKUP(zeta!$A9,main!$A$3:$H$102,6,FALSE),0)</f>
        <v>0</v>
      </c>
      <c r="CS9">
        <f>IF(gamma!CS9,VLOOKUP(zeta!CS$1,main!$A$3:$H$102,5,FALSE)-VLOOKUP(zeta!$A9,main!$A$3:$H$102,6,FALSE),0)</f>
        <v>0</v>
      </c>
      <c r="CT9">
        <f>IF(gamma!CT9,VLOOKUP(zeta!CT$1,main!$A$3:$H$102,5,FALSE)-VLOOKUP(zeta!$A9,main!$A$3:$H$102,6,FALSE),0)</f>
        <v>0</v>
      </c>
      <c r="CU9">
        <f>IF(gamma!CU9,VLOOKUP(zeta!CU$1,main!$A$3:$H$102,5,FALSE)-VLOOKUP(zeta!$A9,main!$A$3:$H$102,6,FALSE),0)</f>
        <v>0</v>
      </c>
      <c r="CV9">
        <f>IF(gamma!CV9,VLOOKUP(zeta!CV$1,main!$A$3:$H$102,5,FALSE)-VLOOKUP(zeta!$A9,main!$A$3:$H$102,6,FALSE),0)</f>
        <v>0</v>
      </c>
      <c r="CW9">
        <f>IF(gamma!CW9,VLOOKUP(zeta!CW$1,main!$A$3:$H$102,5,FALSE)-VLOOKUP(zeta!$A9,main!$A$3:$H$102,6,FALSE),0)</f>
        <v>0</v>
      </c>
      <c r="CX9">
        <f>IF(gamma!CX9,VLOOKUP(zeta!CX$1,main!$A$3:$H$102,5,FALSE)-VLOOKUP(zeta!$A9,main!$A$3:$H$102,6,FALSE),0)</f>
        <v>0</v>
      </c>
    </row>
    <row r="10" spans="1:102" x14ac:dyDescent="0.25">
      <c r="A10">
        <f t="shared" si="0"/>
        <v>8</v>
      </c>
      <c r="B10">
        <v>0</v>
      </c>
      <c r="C10">
        <f>IF(gamma!C10,VLOOKUP(zeta!C$1,main!$A$3:$H$102,5,FALSE)-VLOOKUP(zeta!$A10,main!$A$3:$H$102,6,FALSE),0)</f>
        <v>0</v>
      </c>
      <c r="D10">
        <f>IF(gamma!D10,VLOOKUP(zeta!D$1,main!$A$3:$H$102,5,FALSE)-VLOOKUP(zeta!$A10,main!$A$3:$H$102,6,FALSE),0)</f>
        <v>0</v>
      </c>
      <c r="E10">
        <f>IF(gamma!E10,VLOOKUP(zeta!E$1,main!$A$3:$H$102,5,FALSE)-VLOOKUP(zeta!$A10,main!$A$3:$H$102,6,FALSE),0)</f>
        <v>0</v>
      </c>
      <c r="F10">
        <f>IF(gamma!F10,VLOOKUP(zeta!F$1,main!$A$3:$H$102,5,FALSE)-VLOOKUP(zeta!$A10,main!$A$3:$H$102,6,FALSE),0)</f>
        <v>0</v>
      </c>
      <c r="G10">
        <f>IF(gamma!G10,VLOOKUP(zeta!G$1,main!$A$3:$H$102,5,FALSE)-VLOOKUP(zeta!$A10,main!$A$3:$H$102,6,FALSE),0)</f>
        <v>0</v>
      </c>
      <c r="H10">
        <f>IF(gamma!H10,VLOOKUP(zeta!H$1,main!$A$3:$H$102,5,FALSE)-VLOOKUP(zeta!$A10,main!$A$3:$H$102,6,FALSE),0)</f>
        <v>0</v>
      </c>
      <c r="I10">
        <f>IF(gamma!I10,VLOOKUP(zeta!I$1,main!$A$3:$H$102,5,FALSE)-VLOOKUP(zeta!$A10,main!$A$3:$H$102,6,FALSE),0)</f>
        <v>0</v>
      </c>
      <c r="J10">
        <f>IF(gamma!J10,VLOOKUP(zeta!J$1,main!$A$3:$H$102,5,FALSE)-VLOOKUP(zeta!$A10,main!$A$3:$H$102,6,FALSE),0)</f>
        <v>0</v>
      </c>
      <c r="K10">
        <f>IF(gamma!K10,VLOOKUP(zeta!K$1,main!$A$3:$H$102,5,FALSE)-VLOOKUP(zeta!$A10,main!$A$3:$H$102,6,FALSE),0)</f>
        <v>0</v>
      </c>
      <c r="L10">
        <f>IF(gamma!L10,VLOOKUP(zeta!L$1,main!$A$3:$H$102,5,FALSE)-VLOOKUP(zeta!$A10,main!$A$3:$H$102,6,FALSE),0)</f>
        <v>0</v>
      </c>
      <c r="M10">
        <f>IF(gamma!M10,VLOOKUP(zeta!M$1,main!$A$3:$H$102,5,FALSE)-VLOOKUP(zeta!$A10,main!$A$3:$H$102,6,FALSE),0)</f>
        <v>0</v>
      </c>
      <c r="N10">
        <f>IF(gamma!N10,VLOOKUP(zeta!N$1,main!$A$3:$H$102,5,FALSE)-VLOOKUP(zeta!$A10,main!$A$3:$H$102,6,FALSE),0)</f>
        <v>0</v>
      </c>
      <c r="O10">
        <f>IF(gamma!O10,VLOOKUP(zeta!O$1,main!$A$3:$H$102,5,FALSE)-VLOOKUP(zeta!$A10,main!$A$3:$H$102,6,FALSE),0)</f>
        <v>0</v>
      </c>
      <c r="P10">
        <f>IF(gamma!P10,VLOOKUP(zeta!P$1,main!$A$3:$H$102,5,FALSE)-VLOOKUP(zeta!$A10,main!$A$3:$H$102,6,FALSE),0)</f>
        <v>0</v>
      </c>
      <c r="Q10">
        <f>IF(gamma!Q10,VLOOKUP(zeta!Q$1,main!$A$3:$H$102,5,FALSE)-VLOOKUP(zeta!$A10,main!$A$3:$H$102,6,FALSE),0)</f>
        <v>0</v>
      </c>
      <c r="R10">
        <f>IF(gamma!R10,VLOOKUP(zeta!R$1,main!$A$3:$H$102,5,FALSE)-VLOOKUP(zeta!$A10,main!$A$3:$H$102,6,FALSE),0)</f>
        <v>0</v>
      </c>
      <c r="S10">
        <f>IF(gamma!S10,VLOOKUP(zeta!S$1,main!$A$3:$H$102,5,FALSE)-VLOOKUP(zeta!$A10,main!$A$3:$H$102,6,FALSE),0)</f>
        <v>0</v>
      </c>
      <c r="T10">
        <f>IF(gamma!T10,VLOOKUP(zeta!T$1,main!$A$3:$H$102,5,FALSE)-VLOOKUP(zeta!$A10,main!$A$3:$H$102,6,FALSE),0)</f>
        <v>0</v>
      </c>
      <c r="U10">
        <f>IF(gamma!U10,VLOOKUP(zeta!U$1,main!$A$3:$H$102,5,FALSE)-VLOOKUP(zeta!$A10,main!$A$3:$H$102,6,FALSE),0)</f>
        <v>0</v>
      </c>
      <c r="V10">
        <f>IF(gamma!V10,VLOOKUP(zeta!V$1,main!$A$3:$H$102,5,FALSE)-VLOOKUP(zeta!$A10,main!$A$3:$H$102,6,FALSE),0)</f>
        <v>40</v>
      </c>
      <c r="W10">
        <f>IF(gamma!W10,VLOOKUP(zeta!W$1,main!$A$3:$H$102,5,FALSE)-VLOOKUP(zeta!$A10,main!$A$3:$H$102,6,FALSE),0)</f>
        <v>0</v>
      </c>
      <c r="X10">
        <f>IF(gamma!X10,VLOOKUP(zeta!X$1,main!$A$3:$H$102,5,FALSE)-VLOOKUP(zeta!$A10,main!$A$3:$H$102,6,FALSE),0)</f>
        <v>0</v>
      </c>
      <c r="Y10">
        <f>IF(gamma!Y10,VLOOKUP(zeta!Y$1,main!$A$3:$H$102,5,FALSE)-VLOOKUP(zeta!$A10,main!$A$3:$H$102,6,FALSE),0)</f>
        <v>0</v>
      </c>
      <c r="Z10">
        <f>IF(gamma!Z10,VLOOKUP(zeta!Z$1,main!$A$3:$H$102,5,FALSE)-VLOOKUP(zeta!$A10,main!$A$3:$H$102,6,FALSE),0)</f>
        <v>0</v>
      </c>
      <c r="AA10">
        <f>IF(gamma!AA10,VLOOKUP(zeta!AA$1,main!$A$3:$H$102,5,FALSE)-VLOOKUP(zeta!$A10,main!$A$3:$H$102,6,FALSE),0)</f>
        <v>0</v>
      </c>
      <c r="AB10">
        <f>IF(gamma!AB10,VLOOKUP(zeta!AB$1,main!$A$3:$H$102,5,FALSE)-VLOOKUP(zeta!$A10,main!$A$3:$H$102,6,FALSE),0)</f>
        <v>0</v>
      </c>
      <c r="AC10">
        <f>IF(gamma!AC10,VLOOKUP(zeta!AC$1,main!$A$3:$H$102,5,FALSE)-VLOOKUP(zeta!$A10,main!$A$3:$H$102,6,FALSE),0)</f>
        <v>0</v>
      </c>
      <c r="AD10">
        <f>IF(gamma!AD10,VLOOKUP(zeta!AD$1,main!$A$3:$H$102,5,FALSE)-VLOOKUP(zeta!$A10,main!$A$3:$H$102,6,FALSE),0)</f>
        <v>0</v>
      </c>
      <c r="AE10">
        <f>IF(gamma!AE10,VLOOKUP(zeta!AE$1,main!$A$3:$H$102,5,FALSE)-VLOOKUP(zeta!$A10,main!$A$3:$H$102,6,FALSE),0)</f>
        <v>0</v>
      </c>
      <c r="AF10">
        <f>IF(gamma!AF10,VLOOKUP(zeta!AF$1,main!$A$3:$H$102,5,FALSE)-VLOOKUP(zeta!$A10,main!$A$3:$H$102,6,FALSE),0)</f>
        <v>0</v>
      </c>
      <c r="AG10">
        <f>IF(gamma!AG10,VLOOKUP(zeta!AG$1,main!$A$3:$H$102,5,FALSE)-VLOOKUP(zeta!$A10,main!$A$3:$H$102,6,FALSE),0)</f>
        <v>0</v>
      </c>
      <c r="AH10">
        <f>IF(gamma!AH10,VLOOKUP(zeta!AH$1,main!$A$3:$H$102,5,FALSE)-VLOOKUP(zeta!$A10,main!$A$3:$H$102,6,FALSE),0)</f>
        <v>0</v>
      </c>
      <c r="AI10">
        <f>IF(gamma!AI10,VLOOKUP(zeta!AI$1,main!$A$3:$H$102,5,FALSE)-VLOOKUP(zeta!$A10,main!$A$3:$H$102,6,FALSE),0)</f>
        <v>0</v>
      </c>
      <c r="AJ10">
        <f>IF(gamma!AJ10,VLOOKUP(zeta!AJ$1,main!$A$3:$H$102,5,FALSE)-VLOOKUP(zeta!$A10,main!$A$3:$H$102,6,FALSE),0)</f>
        <v>0</v>
      </c>
      <c r="AK10">
        <f>IF(gamma!AK10,VLOOKUP(zeta!AK$1,main!$A$3:$H$102,5,FALSE)-VLOOKUP(zeta!$A10,main!$A$3:$H$102,6,FALSE),0)</f>
        <v>0</v>
      </c>
      <c r="AL10">
        <f>IF(gamma!AL10,VLOOKUP(zeta!AL$1,main!$A$3:$H$102,5,FALSE)-VLOOKUP(zeta!$A10,main!$A$3:$H$102,6,FALSE),0)</f>
        <v>0</v>
      </c>
      <c r="AM10">
        <f>IF(gamma!AM10,VLOOKUP(zeta!AM$1,main!$A$3:$H$102,5,FALSE)-VLOOKUP(zeta!$A10,main!$A$3:$H$102,6,FALSE),0)</f>
        <v>0</v>
      </c>
      <c r="AN10">
        <f>IF(gamma!AN10,VLOOKUP(zeta!AN$1,main!$A$3:$H$102,5,FALSE)-VLOOKUP(zeta!$A10,main!$A$3:$H$102,6,FALSE),0)</f>
        <v>0</v>
      </c>
      <c r="AO10">
        <f>IF(gamma!AO10,VLOOKUP(zeta!AO$1,main!$A$3:$H$102,5,FALSE)-VLOOKUP(zeta!$A10,main!$A$3:$H$102,6,FALSE),0)</f>
        <v>0</v>
      </c>
      <c r="AP10">
        <f>IF(gamma!AP10,VLOOKUP(zeta!AP$1,main!$A$3:$H$102,5,FALSE)-VLOOKUP(zeta!$A10,main!$A$3:$H$102,6,FALSE),0)</f>
        <v>25</v>
      </c>
      <c r="AQ10">
        <f>IF(gamma!AQ10,VLOOKUP(zeta!AQ$1,main!$A$3:$H$102,5,FALSE)-VLOOKUP(zeta!$A10,main!$A$3:$H$102,6,FALSE),0)</f>
        <v>0</v>
      </c>
      <c r="AR10">
        <f>IF(gamma!AR10,VLOOKUP(zeta!AR$1,main!$A$3:$H$102,5,FALSE)-VLOOKUP(zeta!$A10,main!$A$3:$H$102,6,FALSE),0)</f>
        <v>0</v>
      </c>
      <c r="AS10">
        <f>IF(gamma!AS10,VLOOKUP(zeta!AS$1,main!$A$3:$H$102,5,FALSE)-VLOOKUP(zeta!$A10,main!$A$3:$H$102,6,FALSE),0)</f>
        <v>0</v>
      </c>
      <c r="AT10">
        <f>IF(gamma!AT10,VLOOKUP(zeta!AT$1,main!$A$3:$H$102,5,FALSE)-VLOOKUP(zeta!$A10,main!$A$3:$H$102,6,FALSE),0)</f>
        <v>0</v>
      </c>
      <c r="AU10">
        <f>IF(gamma!AU10,VLOOKUP(zeta!AU$1,main!$A$3:$H$102,5,FALSE)-VLOOKUP(zeta!$A10,main!$A$3:$H$102,6,FALSE),0)</f>
        <v>0</v>
      </c>
      <c r="AV10">
        <f>IF(gamma!AV10,VLOOKUP(zeta!AV$1,main!$A$3:$H$102,5,FALSE)-VLOOKUP(zeta!$A10,main!$A$3:$H$102,6,FALSE),0)</f>
        <v>0</v>
      </c>
      <c r="AW10">
        <f>IF(gamma!AW10,VLOOKUP(zeta!AW$1,main!$A$3:$H$102,5,FALSE)-VLOOKUP(zeta!$A10,main!$A$3:$H$102,6,FALSE),0)</f>
        <v>0</v>
      </c>
      <c r="AX10">
        <f>IF(gamma!AX10,VLOOKUP(zeta!AX$1,main!$A$3:$H$102,5,FALSE)-VLOOKUP(zeta!$A10,main!$A$3:$H$102,6,FALSE),0)</f>
        <v>0</v>
      </c>
      <c r="AY10">
        <f>IF(gamma!AY10,VLOOKUP(zeta!AY$1,main!$A$3:$H$102,5,FALSE)-VLOOKUP(zeta!$A10,main!$A$3:$H$102,6,FALSE),0)</f>
        <v>0</v>
      </c>
      <c r="AZ10">
        <f>IF(gamma!AZ10,VLOOKUP(zeta!AZ$1,main!$A$3:$H$102,5,FALSE)-VLOOKUP(zeta!$A10,main!$A$3:$H$102,6,FALSE),0)</f>
        <v>0</v>
      </c>
      <c r="BA10">
        <f>IF(gamma!BA10,VLOOKUP(zeta!BA$1,main!$A$3:$H$102,5,FALSE)-VLOOKUP(zeta!$A10,main!$A$3:$H$102,6,FALSE),0)</f>
        <v>0</v>
      </c>
      <c r="BB10">
        <f>IF(gamma!BB10,VLOOKUP(zeta!BB$1,main!$A$3:$H$102,5,FALSE)-VLOOKUP(zeta!$A10,main!$A$3:$H$102,6,FALSE),0)</f>
        <v>0</v>
      </c>
      <c r="BC10">
        <f>IF(gamma!BC10,VLOOKUP(zeta!BC$1,main!$A$3:$H$102,5,FALSE)-VLOOKUP(zeta!$A10,main!$A$3:$H$102,6,FALSE),0)</f>
        <v>0</v>
      </c>
      <c r="BD10">
        <f>IF(gamma!BD10,VLOOKUP(zeta!BD$1,main!$A$3:$H$102,5,FALSE)-VLOOKUP(zeta!$A10,main!$A$3:$H$102,6,FALSE),0)</f>
        <v>0</v>
      </c>
      <c r="BE10">
        <f>IF(gamma!BE10,VLOOKUP(zeta!BE$1,main!$A$3:$H$102,5,FALSE)-VLOOKUP(zeta!$A10,main!$A$3:$H$102,6,FALSE),0)</f>
        <v>0</v>
      </c>
      <c r="BF10">
        <f>IF(gamma!BF10,VLOOKUP(zeta!BF$1,main!$A$3:$H$102,5,FALSE)-VLOOKUP(zeta!$A10,main!$A$3:$H$102,6,FALSE),0)</f>
        <v>0</v>
      </c>
      <c r="BG10">
        <f>IF(gamma!BG10,VLOOKUP(zeta!BG$1,main!$A$3:$H$102,5,FALSE)-VLOOKUP(zeta!$A10,main!$A$3:$H$102,6,FALSE),0)</f>
        <v>0</v>
      </c>
      <c r="BH10">
        <f>IF(gamma!BH10,VLOOKUP(zeta!BH$1,main!$A$3:$H$102,5,FALSE)-VLOOKUP(zeta!$A10,main!$A$3:$H$102,6,FALSE),0)</f>
        <v>0</v>
      </c>
      <c r="BI10">
        <f>IF(gamma!BI10,VLOOKUP(zeta!BI$1,main!$A$3:$H$102,5,FALSE)-VLOOKUP(zeta!$A10,main!$A$3:$H$102,6,FALSE),0)</f>
        <v>0</v>
      </c>
      <c r="BJ10">
        <f>IF(gamma!BJ10,VLOOKUP(zeta!BJ$1,main!$A$3:$H$102,5,FALSE)-VLOOKUP(zeta!$A10,main!$A$3:$H$102,6,FALSE),0)</f>
        <v>0</v>
      </c>
      <c r="BK10">
        <f>IF(gamma!BK10,VLOOKUP(zeta!BK$1,main!$A$3:$H$102,5,FALSE)-VLOOKUP(zeta!$A10,main!$A$3:$H$102,6,FALSE),0)</f>
        <v>0</v>
      </c>
      <c r="BL10">
        <f>IF(gamma!BL10,VLOOKUP(zeta!BL$1,main!$A$3:$H$102,5,FALSE)-VLOOKUP(zeta!$A10,main!$A$3:$H$102,6,FALSE),0)</f>
        <v>0</v>
      </c>
      <c r="BM10">
        <f>IF(gamma!BM10,VLOOKUP(zeta!BM$1,main!$A$3:$H$102,5,FALSE)-VLOOKUP(zeta!$A10,main!$A$3:$H$102,6,FALSE),0)</f>
        <v>0</v>
      </c>
      <c r="BN10">
        <f>IF(gamma!BN10,VLOOKUP(zeta!BN$1,main!$A$3:$H$102,5,FALSE)-VLOOKUP(zeta!$A10,main!$A$3:$H$102,6,FALSE),0)</f>
        <v>0</v>
      </c>
      <c r="BO10">
        <f>IF(gamma!BO10,VLOOKUP(zeta!BO$1,main!$A$3:$H$102,5,FALSE)-VLOOKUP(zeta!$A10,main!$A$3:$H$102,6,FALSE),0)</f>
        <v>0</v>
      </c>
      <c r="BP10">
        <f>IF(gamma!BP10,VLOOKUP(zeta!BP$1,main!$A$3:$H$102,5,FALSE)-VLOOKUP(zeta!$A10,main!$A$3:$H$102,6,FALSE),0)</f>
        <v>0</v>
      </c>
      <c r="BQ10">
        <f>IF(gamma!BQ10,VLOOKUP(zeta!BQ$1,main!$A$3:$H$102,5,FALSE)-VLOOKUP(zeta!$A10,main!$A$3:$H$102,6,FALSE),0)</f>
        <v>0</v>
      </c>
      <c r="BR10">
        <f>IF(gamma!BR10,VLOOKUP(zeta!BR$1,main!$A$3:$H$102,5,FALSE)-VLOOKUP(zeta!$A10,main!$A$3:$H$102,6,FALSE),0)</f>
        <v>0</v>
      </c>
      <c r="BS10">
        <f>IF(gamma!BS10,VLOOKUP(zeta!BS$1,main!$A$3:$H$102,5,FALSE)-VLOOKUP(zeta!$A10,main!$A$3:$H$102,6,FALSE),0)</f>
        <v>0</v>
      </c>
      <c r="BT10">
        <f>IF(gamma!BT10,VLOOKUP(zeta!BT$1,main!$A$3:$H$102,5,FALSE)-VLOOKUP(zeta!$A10,main!$A$3:$H$102,6,FALSE),0)</f>
        <v>0</v>
      </c>
      <c r="BU10">
        <f>IF(gamma!BU10,VLOOKUP(zeta!BU$1,main!$A$3:$H$102,5,FALSE)-VLOOKUP(zeta!$A10,main!$A$3:$H$102,6,FALSE),0)</f>
        <v>0</v>
      </c>
      <c r="BV10">
        <f>IF(gamma!BV10,VLOOKUP(zeta!BV$1,main!$A$3:$H$102,5,FALSE)-VLOOKUP(zeta!$A10,main!$A$3:$H$102,6,FALSE),0)</f>
        <v>0</v>
      </c>
      <c r="BW10">
        <f>IF(gamma!BW10,VLOOKUP(zeta!BW$1,main!$A$3:$H$102,5,FALSE)-VLOOKUP(zeta!$A10,main!$A$3:$H$102,6,FALSE),0)</f>
        <v>0</v>
      </c>
      <c r="BX10">
        <f>IF(gamma!BX10,VLOOKUP(zeta!BX$1,main!$A$3:$H$102,5,FALSE)-VLOOKUP(zeta!$A10,main!$A$3:$H$102,6,FALSE),0)</f>
        <v>0</v>
      </c>
      <c r="BY10">
        <f>IF(gamma!BY10,VLOOKUP(zeta!BY$1,main!$A$3:$H$102,5,FALSE)-VLOOKUP(zeta!$A10,main!$A$3:$H$102,6,FALSE),0)</f>
        <v>0</v>
      </c>
      <c r="BZ10">
        <f>IF(gamma!BZ10,VLOOKUP(zeta!BZ$1,main!$A$3:$H$102,5,FALSE)-VLOOKUP(zeta!$A10,main!$A$3:$H$102,6,FALSE),0)</f>
        <v>0</v>
      </c>
      <c r="CA10">
        <f>IF(gamma!CA10,VLOOKUP(zeta!CA$1,main!$A$3:$H$102,5,FALSE)-VLOOKUP(zeta!$A10,main!$A$3:$H$102,6,FALSE),0)</f>
        <v>0</v>
      </c>
      <c r="CB10">
        <f>IF(gamma!CB10,VLOOKUP(zeta!CB$1,main!$A$3:$H$102,5,FALSE)-VLOOKUP(zeta!$A10,main!$A$3:$H$102,6,FALSE),0)</f>
        <v>0</v>
      </c>
      <c r="CC10">
        <f>IF(gamma!CC10,VLOOKUP(zeta!CC$1,main!$A$3:$H$102,5,FALSE)-VLOOKUP(zeta!$A10,main!$A$3:$H$102,6,FALSE),0)</f>
        <v>0</v>
      </c>
      <c r="CD10">
        <f>IF(gamma!CD10,VLOOKUP(zeta!CD$1,main!$A$3:$H$102,5,FALSE)-VLOOKUP(zeta!$A10,main!$A$3:$H$102,6,FALSE),0)</f>
        <v>0</v>
      </c>
      <c r="CE10">
        <f>IF(gamma!CE10,VLOOKUP(zeta!CE$1,main!$A$3:$H$102,5,FALSE)-VLOOKUP(zeta!$A10,main!$A$3:$H$102,6,FALSE),0)</f>
        <v>0</v>
      </c>
      <c r="CF10">
        <f>IF(gamma!CF10,VLOOKUP(zeta!CF$1,main!$A$3:$H$102,5,FALSE)-VLOOKUP(zeta!$A10,main!$A$3:$H$102,6,FALSE),0)</f>
        <v>0</v>
      </c>
      <c r="CG10">
        <f>IF(gamma!CG10,VLOOKUP(zeta!CG$1,main!$A$3:$H$102,5,FALSE)-VLOOKUP(zeta!$A10,main!$A$3:$H$102,6,FALSE),0)</f>
        <v>0</v>
      </c>
      <c r="CH10">
        <f>IF(gamma!CH10,VLOOKUP(zeta!CH$1,main!$A$3:$H$102,5,FALSE)-VLOOKUP(zeta!$A10,main!$A$3:$H$102,6,FALSE),0)</f>
        <v>0</v>
      </c>
      <c r="CI10">
        <f>IF(gamma!CI10,VLOOKUP(zeta!CI$1,main!$A$3:$H$102,5,FALSE)-VLOOKUP(zeta!$A10,main!$A$3:$H$102,6,FALSE),0)</f>
        <v>0</v>
      </c>
      <c r="CJ10">
        <f>IF(gamma!CJ10,VLOOKUP(zeta!CJ$1,main!$A$3:$H$102,5,FALSE)-VLOOKUP(zeta!$A10,main!$A$3:$H$102,6,FALSE),0)</f>
        <v>0</v>
      </c>
      <c r="CK10">
        <f>IF(gamma!CK10,VLOOKUP(zeta!CK$1,main!$A$3:$H$102,5,FALSE)-VLOOKUP(zeta!$A10,main!$A$3:$H$102,6,FALSE),0)</f>
        <v>0</v>
      </c>
      <c r="CL10">
        <f>IF(gamma!CL10,VLOOKUP(zeta!CL$1,main!$A$3:$H$102,5,FALSE)-VLOOKUP(zeta!$A10,main!$A$3:$H$102,6,FALSE),0)</f>
        <v>0</v>
      </c>
      <c r="CM10">
        <f>IF(gamma!CM10,VLOOKUP(zeta!CM$1,main!$A$3:$H$102,5,FALSE)-VLOOKUP(zeta!$A10,main!$A$3:$H$102,6,FALSE),0)</f>
        <v>0</v>
      </c>
      <c r="CN10">
        <f>IF(gamma!CN10,VLOOKUP(zeta!CN$1,main!$A$3:$H$102,5,FALSE)-VLOOKUP(zeta!$A10,main!$A$3:$H$102,6,FALSE),0)</f>
        <v>0</v>
      </c>
      <c r="CO10">
        <f>IF(gamma!CO10,VLOOKUP(zeta!CO$1,main!$A$3:$H$102,5,FALSE)-VLOOKUP(zeta!$A10,main!$A$3:$H$102,6,FALSE),0)</f>
        <v>0</v>
      </c>
      <c r="CP10">
        <f>IF(gamma!CP10,VLOOKUP(zeta!CP$1,main!$A$3:$H$102,5,FALSE)-VLOOKUP(zeta!$A10,main!$A$3:$H$102,6,FALSE),0)</f>
        <v>0</v>
      </c>
      <c r="CQ10">
        <f>IF(gamma!CQ10,VLOOKUP(zeta!CQ$1,main!$A$3:$H$102,5,FALSE)-VLOOKUP(zeta!$A10,main!$A$3:$H$102,6,FALSE),0)</f>
        <v>0</v>
      </c>
      <c r="CR10">
        <f>IF(gamma!CR10,VLOOKUP(zeta!CR$1,main!$A$3:$H$102,5,FALSE)-VLOOKUP(zeta!$A10,main!$A$3:$H$102,6,FALSE),0)</f>
        <v>0</v>
      </c>
      <c r="CS10">
        <f>IF(gamma!CS10,VLOOKUP(zeta!CS$1,main!$A$3:$H$102,5,FALSE)-VLOOKUP(zeta!$A10,main!$A$3:$H$102,6,FALSE),0)</f>
        <v>0</v>
      </c>
      <c r="CT10">
        <f>IF(gamma!CT10,VLOOKUP(zeta!CT$1,main!$A$3:$H$102,5,FALSE)-VLOOKUP(zeta!$A10,main!$A$3:$H$102,6,FALSE),0)</f>
        <v>0</v>
      </c>
      <c r="CU10">
        <f>IF(gamma!CU10,VLOOKUP(zeta!CU$1,main!$A$3:$H$102,5,FALSE)-VLOOKUP(zeta!$A10,main!$A$3:$H$102,6,FALSE),0)</f>
        <v>0</v>
      </c>
      <c r="CV10">
        <f>IF(gamma!CV10,VLOOKUP(zeta!CV$1,main!$A$3:$H$102,5,FALSE)-VLOOKUP(zeta!$A10,main!$A$3:$H$102,6,FALSE),0)</f>
        <v>0</v>
      </c>
      <c r="CW10">
        <f>IF(gamma!CW10,VLOOKUP(zeta!CW$1,main!$A$3:$H$102,5,FALSE)-VLOOKUP(zeta!$A10,main!$A$3:$H$102,6,FALSE),0)</f>
        <v>0</v>
      </c>
      <c r="CX10">
        <f>IF(gamma!CX10,VLOOKUP(zeta!CX$1,main!$A$3:$H$102,5,FALSE)-VLOOKUP(zeta!$A10,main!$A$3:$H$102,6,FALSE),0)</f>
        <v>0</v>
      </c>
    </row>
    <row r="11" spans="1:102" x14ac:dyDescent="0.25">
      <c r="A11">
        <f t="shared" si="0"/>
        <v>9</v>
      </c>
      <c r="B11">
        <v>0</v>
      </c>
      <c r="C11">
        <f>IF(gamma!C11,VLOOKUP(zeta!C$1,main!$A$3:$H$102,5,FALSE)-VLOOKUP(zeta!$A11,main!$A$3:$H$102,6,FALSE),0)</f>
        <v>0</v>
      </c>
      <c r="D11">
        <f>IF(gamma!D11,VLOOKUP(zeta!D$1,main!$A$3:$H$102,5,FALSE)-VLOOKUP(zeta!$A11,main!$A$3:$H$102,6,FALSE),0)</f>
        <v>0</v>
      </c>
      <c r="E11">
        <f>IF(gamma!E11,VLOOKUP(zeta!E$1,main!$A$3:$H$102,5,FALSE)-VLOOKUP(zeta!$A11,main!$A$3:$H$102,6,FALSE),0)</f>
        <v>0</v>
      </c>
      <c r="F11">
        <f>IF(gamma!F11,VLOOKUP(zeta!F$1,main!$A$3:$H$102,5,FALSE)-VLOOKUP(zeta!$A11,main!$A$3:$H$102,6,FALSE),0)</f>
        <v>0</v>
      </c>
      <c r="G11">
        <f>IF(gamma!G11,VLOOKUP(zeta!G$1,main!$A$3:$H$102,5,FALSE)-VLOOKUP(zeta!$A11,main!$A$3:$H$102,6,FALSE),0)</f>
        <v>0</v>
      </c>
      <c r="H11">
        <f>IF(gamma!H11,VLOOKUP(zeta!H$1,main!$A$3:$H$102,5,FALSE)-VLOOKUP(zeta!$A11,main!$A$3:$H$102,6,FALSE),0)</f>
        <v>0</v>
      </c>
      <c r="I11">
        <f>IF(gamma!I11,VLOOKUP(zeta!I$1,main!$A$3:$H$102,5,FALSE)-VLOOKUP(zeta!$A11,main!$A$3:$H$102,6,FALSE),0)</f>
        <v>0</v>
      </c>
      <c r="J11">
        <f>IF(gamma!J11,VLOOKUP(zeta!J$1,main!$A$3:$H$102,5,FALSE)-VLOOKUP(zeta!$A11,main!$A$3:$H$102,6,FALSE),0)</f>
        <v>0</v>
      </c>
      <c r="K11">
        <f>IF(gamma!K11,VLOOKUP(zeta!K$1,main!$A$3:$H$102,5,FALSE)-VLOOKUP(zeta!$A11,main!$A$3:$H$102,6,FALSE),0)</f>
        <v>0</v>
      </c>
      <c r="L11">
        <f>IF(gamma!L11,VLOOKUP(zeta!L$1,main!$A$3:$H$102,5,FALSE)-VLOOKUP(zeta!$A11,main!$A$3:$H$102,6,FALSE),0)</f>
        <v>0</v>
      </c>
      <c r="M11">
        <f>IF(gamma!M11,VLOOKUP(zeta!M$1,main!$A$3:$H$102,5,FALSE)-VLOOKUP(zeta!$A11,main!$A$3:$H$102,6,FALSE),0)</f>
        <v>0</v>
      </c>
      <c r="N11">
        <f>IF(gamma!N11,VLOOKUP(zeta!N$1,main!$A$3:$H$102,5,FALSE)-VLOOKUP(zeta!$A11,main!$A$3:$H$102,6,FALSE),0)</f>
        <v>0</v>
      </c>
      <c r="O11">
        <f>IF(gamma!O11,VLOOKUP(zeta!O$1,main!$A$3:$H$102,5,FALSE)-VLOOKUP(zeta!$A11,main!$A$3:$H$102,6,FALSE),0)</f>
        <v>0</v>
      </c>
      <c r="P11">
        <f>IF(gamma!P11,VLOOKUP(zeta!P$1,main!$A$3:$H$102,5,FALSE)-VLOOKUP(zeta!$A11,main!$A$3:$H$102,6,FALSE),0)</f>
        <v>0</v>
      </c>
      <c r="Q11">
        <f>IF(gamma!Q11,VLOOKUP(zeta!Q$1,main!$A$3:$H$102,5,FALSE)-VLOOKUP(zeta!$A11,main!$A$3:$H$102,6,FALSE),0)</f>
        <v>0</v>
      </c>
      <c r="R11">
        <f>IF(gamma!R11,VLOOKUP(zeta!R$1,main!$A$3:$H$102,5,FALSE)-VLOOKUP(zeta!$A11,main!$A$3:$H$102,6,FALSE),0)</f>
        <v>0</v>
      </c>
      <c r="S11">
        <f>IF(gamma!S11,VLOOKUP(zeta!S$1,main!$A$3:$H$102,5,FALSE)-VLOOKUP(zeta!$A11,main!$A$3:$H$102,6,FALSE),0)</f>
        <v>0</v>
      </c>
      <c r="T11">
        <f>IF(gamma!T11,VLOOKUP(zeta!T$1,main!$A$3:$H$102,5,FALSE)-VLOOKUP(zeta!$A11,main!$A$3:$H$102,6,FALSE),0)</f>
        <v>0</v>
      </c>
      <c r="U11">
        <f>IF(gamma!U11,VLOOKUP(zeta!U$1,main!$A$3:$H$102,5,FALSE)-VLOOKUP(zeta!$A11,main!$A$3:$H$102,6,FALSE),0)</f>
        <v>0</v>
      </c>
      <c r="V11">
        <f>IF(gamma!V11,VLOOKUP(zeta!V$1,main!$A$3:$H$102,5,FALSE)-VLOOKUP(zeta!$A11,main!$A$3:$H$102,6,FALSE),0)</f>
        <v>0</v>
      </c>
      <c r="W11">
        <f>IF(gamma!W11,VLOOKUP(zeta!W$1,main!$A$3:$H$102,5,FALSE)-VLOOKUP(zeta!$A11,main!$A$3:$H$102,6,FALSE),0)</f>
        <v>0</v>
      </c>
      <c r="X11">
        <f>IF(gamma!X11,VLOOKUP(zeta!X$1,main!$A$3:$H$102,5,FALSE)-VLOOKUP(zeta!$A11,main!$A$3:$H$102,6,FALSE),0)</f>
        <v>0</v>
      </c>
      <c r="Y11">
        <f>IF(gamma!Y11,VLOOKUP(zeta!Y$1,main!$A$3:$H$102,5,FALSE)-VLOOKUP(zeta!$A11,main!$A$3:$H$102,6,FALSE),0)</f>
        <v>0</v>
      </c>
      <c r="Z11">
        <f>IF(gamma!Z11,VLOOKUP(zeta!Z$1,main!$A$3:$H$102,5,FALSE)-VLOOKUP(zeta!$A11,main!$A$3:$H$102,6,FALSE),0)</f>
        <v>0</v>
      </c>
      <c r="AA11">
        <f>IF(gamma!AA11,VLOOKUP(zeta!AA$1,main!$A$3:$H$102,5,FALSE)-VLOOKUP(zeta!$A11,main!$A$3:$H$102,6,FALSE),0)</f>
        <v>0</v>
      </c>
      <c r="AB11">
        <f>IF(gamma!AB11,VLOOKUP(zeta!AB$1,main!$A$3:$H$102,5,FALSE)-VLOOKUP(zeta!$A11,main!$A$3:$H$102,6,FALSE),0)</f>
        <v>0</v>
      </c>
      <c r="AC11">
        <f>IF(gamma!AC11,VLOOKUP(zeta!AC$1,main!$A$3:$H$102,5,FALSE)-VLOOKUP(zeta!$A11,main!$A$3:$H$102,6,FALSE),0)</f>
        <v>0</v>
      </c>
      <c r="AD11">
        <f>IF(gamma!AD11,VLOOKUP(zeta!AD$1,main!$A$3:$H$102,5,FALSE)-VLOOKUP(zeta!$A11,main!$A$3:$H$102,6,FALSE),0)</f>
        <v>0</v>
      </c>
      <c r="AE11">
        <f>IF(gamma!AE11,VLOOKUP(zeta!AE$1,main!$A$3:$H$102,5,FALSE)-VLOOKUP(zeta!$A11,main!$A$3:$H$102,6,FALSE),0)</f>
        <v>0</v>
      </c>
      <c r="AF11">
        <f>IF(gamma!AF11,VLOOKUP(zeta!AF$1,main!$A$3:$H$102,5,FALSE)-VLOOKUP(zeta!$A11,main!$A$3:$H$102,6,FALSE),0)</f>
        <v>0</v>
      </c>
      <c r="AG11">
        <f>IF(gamma!AG11,VLOOKUP(zeta!AG$1,main!$A$3:$H$102,5,FALSE)-VLOOKUP(zeta!$A11,main!$A$3:$H$102,6,FALSE),0)</f>
        <v>0</v>
      </c>
      <c r="AH11">
        <f>IF(gamma!AH11,VLOOKUP(zeta!AH$1,main!$A$3:$H$102,5,FALSE)-VLOOKUP(zeta!$A11,main!$A$3:$H$102,6,FALSE),0)</f>
        <v>0</v>
      </c>
      <c r="AI11">
        <f>IF(gamma!AI11,VLOOKUP(zeta!AI$1,main!$A$3:$H$102,5,FALSE)-VLOOKUP(zeta!$A11,main!$A$3:$H$102,6,FALSE),0)</f>
        <v>0</v>
      </c>
      <c r="AJ11">
        <f>IF(gamma!AJ11,VLOOKUP(zeta!AJ$1,main!$A$3:$H$102,5,FALSE)-VLOOKUP(zeta!$A11,main!$A$3:$H$102,6,FALSE),0)</f>
        <v>0</v>
      </c>
      <c r="AK11">
        <f>IF(gamma!AK11,VLOOKUP(zeta!AK$1,main!$A$3:$H$102,5,FALSE)-VLOOKUP(zeta!$A11,main!$A$3:$H$102,6,FALSE),0)</f>
        <v>0</v>
      </c>
      <c r="AL11">
        <f>IF(gamma!AL11,VLOOKUP(zeta!AL$1,main!$A$3:$H$102,5,FALSE)-VLOOKUP(zeta!$A11,main!$A$3:$H$102,6,FALSE),0)</f>
        <v>0</v>
      </c>
      <c r="AM11">
        <f>IF(gamma!AM11,VLOOKUP(zeta!AM$1,main!$A$3:$H$102,5,FALSE)-VLOOKUP(zeta!$A11,main!$A$3:$H$102,6,FALSE),0)</f>
        <v>0</v>
      </c>
      <c r="AN11">
        <f>IF(gamma!AN11,VLOOKUP(zeta!AN$1,main!$A$3:$H$102,5,FALSE)-VLOOKUP(zeta!$A11,main!$A$3:$H$102,6,FALSE),0)</f>
        <v>0</v>
      </c>
      <c r="AO11">
        <f>IF(gamma!AO11,VLOOKUP(zeta!AO$1,main!$A$3:$H$102,5,FALSE)-VLOOKUP(zeta!$A11,main!$A$3:$H$102,6,FALSE),0)</f>
        <v>0</v>
      </c>
      <c r="AP11">
        <f>IF(gamma!AP11,VLOOKUP(zeta!AP$1,main!$A$3:$H$102,5,FALSE)-VLOOKUP(zeta!$A11,main!$A$3:$H$102,6,FALSE),0)</f>
        <v>0</v>
      </c>
      <c r="AQ11">
        <f>IF(gamma!AQ11,VLOOKUP(zeta!AQ$1,main!$A$3:$H$102,5,FALSE)-VLOOKUP(zeta!$A11,main!$A$3:$H$102,6,FALSE),0)</f>
        <v>0</v>
      </c>
      <c r="AR11">
        <f>IF(gamma!AR11,VLOOKUP(zeta!AR$1,main!$A$3:$H$102,5,FALSE)-VLOOKUP(zeta!$A11,main!$A$3:$H$102,6,FALSE),0)</f>
        <v>0</v>
      </c>
      <c r="AS11">
        <f>IF(gamma!AS11,VLOOKUP(zeta!AS$1,main!$A$3:$H$102,5,FALSE)-VLOOKUP(zeta!$A11,main!$A$3:$H$102,6,FALSE),0)</f>
        <v>0</v>
      </c>
      <c r="AT11">
        <f>IF(gamma!AT11,VLOOKUP(zeta!AT$1,main!$A$3:$H$102,5,FALSE)-VLOOKUP(zeta!$A11,main!$A$3:$H$102,6,FALSE),0)</f>
        <v>0</v>
      </c>
      <c r="AU11">
        <f>IF(gamma!AU11,VLOOKUP(zeta!AU$1,main!$A$3:$H$102,5,FALSE)-VLOOKUP(zeta!$A11,main!$A$3:$H$102,6,FALSE),0)</f>
        <v>0</v>
      </c>
      <c r="AV11">
        <f>IF(gamma!AV11,VLOOKUP(zeta!AV$1,main!$A$3:$H$102,5,FALSE)-VLOOKUP(zeta!$A11,main!$A$3:$H$102,6,FALSE),0)</f>
        <v>0</v>
      </c>
      <c r="AW11">
        <f>IF(gamma!AW11,VLOOKUP(zeta!AW$1,main!$A$3:$H$102,5,FALSE)-VLOOKUP(zeta!$A11,main!$A$3:$H$102,6,FALSE),0)</f>
        <v>0</v>
      </c>
      <c r="AX11">
        <f>IF(gamma!AX11,VLOOKUP(zeta!AX$1,main!$A$3:$H$102,5,FALSE)-VLOOKUP(zeta!$A11,main!$A$3:$H$102,6,FALSE),0)</f>
        <v>0</v>
      </c>
      <c r="AY11">
        <f>IF(gamma!AY11,VLOOKUP(zeta!AY$1,main!$A$3:$H$102,5,FALSE)-VLOOKUP(zeta!$A11,main!$A$3:$H$102,6,FALSE),0)</f>
        <v>0</v>
      </c>
      <c r="AZ11">
        <f>IF(gamma!AZ11,VLOOKUP(zeta!AZ$1,main!$A$3:$H$102,5,FALSE)-VLOOKUP(zeta!$A11,main!$A$3:$H$102,6,FALSE),0)</f>
        <v>0</v>
      </c>
      <c r="BA11">
        <f>IF(gamma!BA11,VLOOKUP(zeta!BA$1,main!$A$3:$H$102,5,FALSE)-VLOOKUP(zeta!$A11,main!$A$3:$H$102,6,FALSE),0)</f>
        <v>0</v>
      </c>
      <c r="BB11">
        <f>IF(gamma!BB11,VLOOKUP(zeta!BB$1,main!$A$3:$H$102,5,FALSE)-VLOOKUP(zeta!$A11,main!$A$3:$H$102,6,FALSE),0)</f>
        <v>0</v>
      </c>
      <c r="BC11">
        <f>IF(gamma!BC11,VLOOKUP(zeta!BC$1,main!$A$3:$H$102,5,FALSE)-VLOOKUP(zeta!$A11,main!$A$3:$H$102,6,FALSE),0)</f>
        <v>0</v>
      </c>
      <c r="BD11">
        <f>IF(gamma!BD11,VLOOKUP(zeta!BD$1,main!$A$3:$H$102,5,FALSE)-VLOOKUP(zeta!$A11,main!$A$3:$H$102,6,FALSE),0)</f>
        <v>0</v>
      </c>
      <c r="BE11">
        <f>IF(gamma!BE11,VLOOKUP(zeta!BE$1,main!$A$3:$H$102,5,FALSE)-VLOOKUP(zeta!$A11,main!$A$3:$H$102,6,FALSE),0)</f>
        <v>0</v>
      </c>
      <c r="BF11">
        <f>IF(gamma!BF11,VLOOKUP(zeta!BF$1,main!$A$3:$H$102,5,FALSE)-VLOOKUP(zeta!$A11,main!$A$3:$H$102,6,FALSE),0)</f>
        <v>0</v>
      </c>
      <c r="BG11">
        <f>IF(gamma!BG11,VLOOKUP(zeta!BG$1,main!$A$3:$H$102,5,FALSE)-VLOOKUP(zeta!$A11,main!$A$3:$H$102,6,FALSE),0)</f>
        <v>0</v>
      </c>
      <c r="BH11">
        <f>IF(gamma!BH11,VLOOKUP(zeta!BH$1,main!$A$3:$H$102,5,FALSE)-VLOOKUP(zeta!$A11,main!$A$3:$H$102,6,FALSE),0)</f>
        <v>0</v>
      </c>
      <c r="BI11">
        <f>IF(gamma!BI11,VLOOKUP(zeta!BI$1,main!$A$3:$H$102,5,FALSE)-VLOOKUP(zeta!$A11,main!$A$3:$H$102,6,FALSE),0)</f>
        <v>0</v>
      </c>
      <c r="BJ11">
        <f>IF(gamma!BJ11,VLOOKUP(zeta!BJ$1,main!$A$3:$H$102,5,FALSE)-VLOOKUP(zeta!$A11,main!$A$3:$H$102,6,FALSE),0)</f>
        <v>0</v>
      </c>
      <c r="BK11">
        <f>IF(gamma!BK11,VLOOKUP(zeta!BK$1,main!$A$3:$H$102,5,FALSE)-VLOOKUP(zeta!$A11,main!$A$3:$H$102,6,FALSE),0)</f>
        <v>0</v>
      </c>
      <c r="BL11">
        <f>IF(gamma!BL11,VLOOKUP(zeta!BL$1,main!$A$3:$H$102,5,FALSE)-VLOOKUP(zeta!$A11,main!$A$3:$H$102,6,FALSE),0)</f>
        <v>0</v>
      </c>
      <c r="BM11">
        <f>IF(gamma!BM11,VLOOKUP(zeta!BM$1,main!$A$3:$H$102,5,FALSE)-VLOOKUP(zeta!$A11,main!$A$3:$H$102,6,FALSE),0)</f>
        <v>0</v>
      </c>
      <c r="BN11">
        <f>IF(gamma!BN11,VLOOKUP(zeta!BN$1,main!$A$3:$H$102,5,FALSE)-VLOOKUP(zeta!$A11,main!$A$3:$H$102,6,FALSE),0)</f>
        <v>0</v>
      </c>
      <c r="BO11">
        <f>IF(gamma!BO11,VLOOKUP(zeta!BO$1,main!$A$3:$H$102,5,FALSE)-VLOOKUP(zeta!$A11,main!$A$3:$H$102,6,FALSE),0)</f>
        <v>0</v>
      </c>
      <c r="BP11">
        <f>IF(gamma!BP11,VLOOKUP(zeta!BP$1,main!$A$3:$H$102,5,FALSE)-VLOOKUP(zeta!$A11,main!$A$3:$H$102,6,FALSE),0)</f>
        <v>0</v>
      </c>
      <c r="BQ11">
        <f>IF(gamma!BQ11,VLOOKUP(zeta!BQ$1,main!$A$3:$H$102,5,FALSE)-VLOOKUP(zeta!$A11,main!$A$3:$H$102,6,FALSE),0)</f>
        <v>0</v>
      </c>
      <c r="BR11">
        <f>IF(gamma!BR11,VLOOKUP(zeta!BR$1,main!$A$3:$H$102,5,FALSE)-VLOOKUP(zeta!$A11,main!$A$3:$H$102,6,FALSE),0)</f>
        <v>0</v>
      </c>
      <c r="BS11">
        <f>IF(gamma!BS11,VLOOKUP(zeta!BS$1,main!$A$3:$H$102,5,FALSE)-VLOOKUP(zeta!$A11,main!$A$3:$H$102,6,FALSE),0)</f>
        <v>0</v>
      </c>
      <c r="BT11">
        <f>IF(gamma!BT11,VLOOKUP(zeta!BT$1,main!$A$3:$H$102,5,FALSE)-VLOOKUP(zeta!$A11,main!$A$3:$H$102,6,FALSE),0)</f>
        <v>0</v>
      </c>
      <c r="BU11">
        <f>IF(gamma!BU11,VLOOKUP(zeta!BU$1,main!$A$3:$H$102,5,FALSE)-VLOOKUP(zeta!$A11,main!$A$3:$H$102,6,FALSE),0)</f>
        <v>0</v>
      </c>
      <c r="BV11">
        <f>IF(gamma!BV11,VLOOKUP(zeta!BV$1,main!$A$3:$H$102,5,FALSE)-VLOOKUP(zeta!$A11,main!$A$3:$H$102,6,FALSE),0)</f>
        <v>0</v>
      </c>
      <c r="BW11">
        <f>IF(gamma!BW11,VLOOKUP(zeta!BW$1,main!$A$3:$H$102,5,FALSE)-VLOOKUP(zeta!$A11,main!$A$3:$H$102,6,FALSE),0)</f>
        <v>0</v>
      </c>
      <c r="BX11">
        <f>IF(gamma!BX11,VLOOKUP(zeta!BX$1,main!$A$3:$H$102,5,FALSE)-VLOOKUP(zeta!$A11,main!$A$3:$H$102,6,FALSE),0)</f>
        <v>0</v>
      </c>
      <c r="BY11">
        <f>IF(gamma!BY11,VLOOKUP(zeta!BY$1,main!$A$3:$H$102,5,FALSE)-VLOOKUP(zeta!$A11,main!$A$3:$H$102,6,FALSE),0)</f>
        <v>0</v>
      </c>
      <c r="BZ11">
        <f>IF(gamma!BZ11,VLOOKUP(zeta!BZ$1,main!$A$3:$H$102,5,FALSE)-VLOOKUP(zeta!$A11,main!$A$3:$H$102,6,FALSE),0)</f>
        <v>0</v>
      </c>
      <c r="CA11">
        <f>IF(gamma!CA11,VLOOKUP(zeta!CA$1,main!$A$3:$H$102,5,FALSE)-VLOOKUP(zeta!$A11,main!$A$3:$H$102,6,FALSE),0)</f>
        <v>0</v>
      </c>
      <c r="CB11">
        <f>IF(gamma!CB11,VLOOKUP(zeta!CB$1,main!$A$3:$H$102,5,FALSE)-VLOOKUP(zeta!$A11,main!$A$3:$H$102,6,FALSE),0)</f>
        <v>0</v>
      </c>
      <c r="CC11">
        <f>IF(gamma!CC11,VLOOKUP(zeta!CC$1,main!$A$3:$H$102,5,FALSE)-VLOOKUP(zeta!$A11,main!$A$3:$H$102,6,FALSE),0)</f>
        <v>0</v>
      </c>
      <c r="CD11">
        <f>IF(gamma!CD11,VLOOKUP(zeta!CD$1,main!$A$3:$H$102,5,FALSE)-VLOOKUP(zeta!$A11,main!$A$3:$H$102,6,FALSE),0)</f>
        <v>0</v>
      </c>
      <c r="CE11">
        <f>IF(gamma!CE11,VLOOKUP(zeta!CE$1,main!$A$3:$H$102,5,FALSE)-VLOOKUP(zeta!$A11,main!$A$3:$H$102,6,FALSE),0)</f>
        <v>0</v>
      </c>
      <c r="CF11">
        <f>IF(gamma!CF11,VLOOKUP(zeta!CF$1,main!$A$3:$H$102,5,FALSE)-VLOOKUP(zeta!$A11,main!$A$3:$H$102,6,FALSE),0)</f>
        <v>0</v>
      </c>
      <c r="CG11">
        <f>IF(gamma!CG11,VLOOKUP(zeta!CG$1,main!$A$3:$H$102,5,FALSE)-VLOOKUP(zeta!$A11,main!$A$3:$H$102,6,FALSE),0)</f>
        <v>0</v>
      </c>
      <c r="CH11">
        <f>IF(gamma!CH11,VLOOKUP(zeta!CH$1,main!$A$3:$H$102,5,FALSE)-VLOOKUP(zeta!$A11,main!$A$3:$H$102,6,FALSE),0)</f>
        <v>0</v>
      </c>
      <c r="CI11">
        <f>IF(gamma!CI11,VLOOKUP(zeta!CI$1,main!$A$3:$H$102,5,FALSE)-VLOOKUP(zeta!$A11,main!$A$3:$H$102,6,FALSE),0)</f>
        <v>0</v>
      </c>
      <c r="CJ11">
        <f>IF(gamma!CJ11,VLOOKUP(zeta!CJ$1,main!$A$3:$H$102,5,FALSE)-VLOOKUP(zeta!$A11,main!$A$3:$H$102,6,FALSE),0)</f>
        <v>0</v>
      </c>
      <c r="CK11">
        <f>IF(gamma!CK11,VLOOKUP(zeta!CK$1,main!$A$3:$H$102,5,FALSE)-VLOOKUP(zeta!$A11,main!$A$3:$H$102,6,FALSE),0)</f>
        <v>0</v>
      </c>
      <c r="CL11">
        <f>IF(gamma!CL11,VLOOKUP(zeta!CL$1,main!$A$3:$H$102,5,FALSE)-VLOOKUP(zeta!$A11,main!$A$3:$H$102,6,FALSE),0)</f>
        <v>0</v>
      </c>
      <c r="CM11">
        <f>IF(gamma!CM11,VLOOKUP(zeta!CM$1,main!$A$3:$H$102,5,FALSE)-VLOOKUP(zeta!$A11,main!$A$3:$H$102,6,FALSE),0)</f>
        <v>0</v>
      </c>
      <c r="CN11">
        <f>IF(gamma!CN11,VLOOKUP(zeta!CN$1,main!$A$3:$H$102,5,FALSE)-VLOOKUP(zeta!$A11,main!$A$3:$H$102,6,FALSE),0)</f>
        <v>0</v>
      </c>
      <c r="CO11">
        <f>IF(gamma!CO11,VLOOKUP(zeta!CO$1,main!$A$3:$H$102,5,FALSE)-VLOOKUP(zeta!$A11,main!$A$3:$H$102,6,FALSE),0)</f>
        <v>0</v>
      </c>
      <c r="CP11">
        <f>IF(gamma!CP11,VLOOKUP(zeta!CP$1,main!$A$3:$H$102,5,FALSE)-VLOOKUP(zeta!$A11,main!$A$3:$H$102,6,FALSE),0)</f>
        <v>0</v>
      </c>
      <c r="CQ11">
        <f>IF(gamma!CQ11,VLOOKUP(zeta!CQ$1,main!$A$3:$H$102,5,FALSE)-VLOOKUP(zeta!$A11,main!$A$3:$H$102,6,FALSE),0)</f>
        <v>0</v>
      </c>
      <c r="CR11">
        <f>IF(gamma!CR11,VLOOKUP(zeta!CR$1,main!$A$3:$H$102,5,FALSE)-VLOOKUP(zeta!$A11,main!$A$3:$H$102,6,FALSE),0)</f>
        <v>0</v>
      </c>
      <c r="CS11">
        <f>IF(gamma!CS11,VLOOKUP(zeta!CS$1,main!$A$3:$H$102,5,FALSE)-VLOOKUP(zeta!$A11,main!$A$3:$H$102,6,FALSE),0)</f>
        <v>0</v>
      </c>
      <c r="CT11">
        <f>IF(gamma!CT11,VLOOKUP(zeta!CT$1,main!$A$3:$H$102,5,FALSE)-VLOOKUP(zeta!$A11,main!$A$3:$H$102,6,FALSE),0)</f>
        <v>0</v>
      </c>
      <c r="CU11">
        <f>IF(gamma!CU11,VLOOKUP(zeta!CU$1,main!$A$3:$H$102,5,FALSE)-VLOOKUP(zeta!$A11,main!$A$3:$H$102,6,FALSE),0)</f>
        <v>0</v>
      </c>
      <c r="CV11">
        <f>IF(gamma!CV11,VLOOKUP(zeta!CV$1,main!$A$3:$H$102,5,FALSE)-VLOOKUP(zeta!$A11,main!$A$3:$H$102,6,FALSE),0)</f>
        <v>0</v>
      </c>
      <c r="CW11">
        <f>IF(gamma!CW11,VLOOKUP(zeta!CW$1,main!$A$3:$H$102,5,FALSE)-VLOOKUP(zeta!$A11,main!$A$3:$H$102,6,FALSE),0)</f>
        <v>0</v>
      </c>
      <c r="CX11">
        <f>IF(gamma!CX11,VLOOKUP(zeta!CX$1,main!$A$3:$H$102,5,FALSE)-VLOOKUP(zeta!$A11,main!$A$3:$H$102,6,FALSE),0)</f>
        <v>0</v>
      </c>
    </row>
    <row r="12" spans="1:102" x14ac:dyDescent="0.25">
      <c r="A12">
        <f t="shared" si="0"/>
        <v>10</v>
      </c>
      <c r="B12">
        <v>0</v>
      </c>
      <c r="C12">
        <f>IF(gamma!C12,VLOOKUP(zeta!C$1,main!$A$3:$H$102,5,FALSE)-VLOOKUP(zeta!$A12,main!$A$3:$H$102,6,FALSE),0)</f>
        <v>0</v>
      </c>
      <c r="D12">
        <f>IF(gamma!D12,VLOOKUP(zeta!D$1,main!$A$3:$H$102,5,FALSE)-VLOOKUP(zeta!$A12,main!$A$3:$H$102,6,FALSE),0)</f>
        <v>0</v>
      </c>
      <c r="E12">
        <f>IF(gamma!E12,VLOOKUP(zeta!E$1,main!$A$3:$H$102,5,FALSE)-VLOOKUP(zeta!$A12,main!$A$3:$H$102,6,FALSE),0)</f>
        <v>0</v>
      </c>
      <c r="F12">
        <f>IF(gamma!F12,VLOOKUP(zeta!F$1,main!$A$3:$H$102,5,FALSE)-VLOOKUP(zeta!$A12,main!$A$3:$H$102,6,FALSE),0)</f>
        <v>0</v>
      </c>
      <c r="G12">
        <f>IF(gamma!G12,VLOOKUP(zeta!G$1,main!$A$3:$H$102,5,FALSE)-VLOOKUP(zeta!$A12,main!$A$3:$H$102,6,FALSE),0)</f>
        <v>0</v>
      </c>
      <c r="H12">
        <f>IF(gamma!H12,VLOOKUP(zeta!H$1,main!$A$3:$H$102,5,FALSE)-VLOOKUP(zeta!$A12,main!$A$3:$H$102,6,FALSE),0)</f>
        <v>0</v>
      </c>
      <c r="I12">
        <f>IF(gamma!I12,VLOOKUP(zeta!I$1,main!$A$3:$H$102,5,FALSE)-VLOOKUP(zeta!$A12,main!$A$3:$H$102,6,FALSE),0)</f>
        <v>0</v>
      </c>
      <c r="J12">
        <f>IF(gamma!J12,VLOOKUP(zeta!J$1,main!$A$3:$H$102,5,FALSE)-VLOOKUP(zeta!$A12,main!$A$3:$H$102,6,FALSE),0)</f>
        <v>0</v>
      </c>
      <c r="K12">
        <f>IF(gamma!K12,VLOOKUP(zeta!K$1,main!$A$3:$H$102,5,FALSE)-VLOOKUP(zeta!$A12,main!$A$3:$H$102,6,FALSE),0)</f>
        <v>0</v>
      </c>
      <c r="L12">
        <f>IF(gamma!L12,VLOOKUP(zeta!L$1,main!$A$3:$H$102,5,FALSE)-VLOOKUP(zeta!$A12,main!$A$3:$H$102,6,FALSE),0)</f>
        <v>0</v>
      </c>
      <c r="M12">
        <f>IF(gamma!M12,VLOOKUP(zeta!M$1,main!$A$3:$H$102,5,FALSE)-VLOOKUP(zeta!$A12,main!$A$3:$H$102,6,FALSE),0)</f>
        <v>0</v>
      </c>
      <c r="N12">
        <f>IF(gamma!N12,VLOOKUP(zeta!N$1,main!$A$3:$H$102,5,FALSE)-VLOOKUP(zeta!$A12,main!$A$3:$H$102,6,FALSE),0)</f>
        <v>0</v>
      </c>
      <c r="O12">
        <f>IF(gamma!O12,VLOOKUP(zeta!O$1,main!$A$3:$H$102,5,FALSE)-VLOOKUP(zeta!$A12,main!$A$3:$H$102,6,FALSE),0)</f>
        <v>0</v>
      </c>
      <c r="P12">
        <f>IF(gamma!P12,VLOOKUP(zeta!P$1,main!$A$3:$H$102,5,FALSE)-VLOOKUP(zeta!$A12,main!$A$3:$H$102,6,FALSE),0)</f>
        <v>0</v>
      </c>
      <c r="Q12">
        <f>IF(gamma!Q12,VLOOKUP(zeta!Q$1,main!$A$3:$H$102,5,FALSE)-VLOOKUP(zeta!$A12,main!$A$3:$H$102,6,FALSE),0)</f>
        <v>0</v>
      </c>
      <c r="R12">
        <f>IF(gamma!R12,VLOOKUP(zeta!R$1,main!$A$3:$H$102,5,FALSE)-VLOOKUP(zeta!$A12,main!$A$3:$H$102,6,FALSE),0)</f>
        <v>0</v>
      </c>
      <c r="S12">
        <f>IF(gamma!S12,VLOOKUP(zeta!S$1,main!$A$3:$H$102,5,FALSE)-VLOOKUP(zeta!$A12,main!$A$3:$H$102,6,FALSE),0)</f>
        <v>0</v>
      </c>
      <c r="T12">
        <f>IF(gamma!T12,VLOOKUP(zeta!T$1,main!$A$3:$H$102,5,FALSE)-VLOOKUP(zeta!$A12,main!$A$3:$H$102,6,FALSE),0)</f>
        <v>0</v>
      </c>
      <c r="U12">
        <f>IF(gamma!U12,VLOOKUP(zeta!U$1,main!$A$3:$H$102,5,FALSE)-VLOOKUP(zeta!$A12,main!$A$3:$H$102,6,FALSE),0)</f>
        <v>0</v>
      </c>
      <c r="V12">
        <f>IF(gamma!V12,VLOOKUP(zeta!V$1,main!$A$3:$H$102,5,FALSE)-VLOOKUP(zeta!$A12,main!$A$3:$H$102,6,FALSE),0)</f>
        <v>0</v>
      </c>
      <c r="W12">
        <f>IF(gamma!W12,VLOOKUP(zeta!W$1,main!$A$3:$H$102,5,FALSE)-VLOOKUP(zeta!$A12,main!$A$3:$H$102,6,FALSE),0)</f>
        <v>0</v>
      </c>
      <c r="X12">
        <f>IF(gamma!X12,VLOOKUP(zeta!X$1,main!$A$3:$H$102,5,FALSE)-VLOOKUP(zeta!$A12,main!$A$3:$H$102,6,FALSE),0)</f>
        <v>0</v>
      </c>
      <c r="Y12">
        <f>IF(gamma!Y12,VLOOKUP(zeta!Y$1,main!$A$3:$H$102,5,FALSE)-VLOOKUP(zeta!$A12,main!$A$3:$H$102,6,FALSE),0)</f>
        <v>0</v>
      </c>
      <c r="Z12">
        <f>IF(gamma!Z12,VLOOKUP(zeta!Z$1,main!$A$3:$H$102,5,FALSE)-VLOOKUP(zeta!$A12,main!$A$3:$H$102,6,FALSE),0)</f>
        <v>0</v>
      </c>
      <c r="AA12">
        <f>IF(gamma!AA12,VLOOKUP(zeta!AA$1,main!$A$3:$H$102,5,FALSE)-VLOOKUP(zeta!$A12,main!$A$3:$H$102,6,FALSE),0)</f>
        <v>0</v>
      </c>
      <c r="AB12">
        <f>IF(gamma!AB12,VLOOKUP(zeta!AB$1,main!$A$3:$H$102,5,FALSE)-VLOOKUP(zeta!$A12,main!$A$3:$H$102,6,FALSE),0)</f>
        <v>0</v>
      </c>
      <c r="AC12">
        <f>IF(gamma!AC12,VLOOKUP(zeta!AC$1,main!$A$3:$H$102,5,FALSE)-VLOOKUP(zeta!$A12,main!$A$3:$H$102,6,FALSE),0)</f>
        <v>0</v>
      </c>
      <c r="AD12">
        <f>IF(gamma!AD12,VLOOKUP(zeta!AD$1,main!$A$3:$H$102,5,FALSE)-VLOOKUP(zeta!$A12,main!$A$3:$H$102,6,FALSE),0)</f>
        <v>0</v>
      </c>
      <c r="AE12">
        <f>IF(gamma!AE12,VLOOKUP(zeta!AE$1,main!$A$3:$H$102,5,FALSE)-VLOOKUP(zeta!$A12,main!$A$3:$H$102,6,FALSE),0)</f>
        <v>0</v>
      </c>
      <c r="AF12">
        <f>IF(gamma!AF12,VLOOKUP(zeta!AF$1,main!$A$3:$H$102,5,FALSE)-VLOOKUP(zeta!$A12,main!$A$3:$H$102,6,FALSE),0)</f>
        <v>0</v>
      </c>
      <c r="AG12">
        <f>IF(gamma!AG12,VLOOKUP(zeta!AG$1,main!$A$3:$H$102,5,FALSE)-VLOOKUP(zeta!$A12,main!$A$3:$H$102,6,FALSE),0)</f>
        <v>0</v>
      </c>
      <c r="AH12">
        <f>IF(gamma!AH12,VLOOKUP(zeta!AH$1,main!$A$3:$H$102,5,FALSE)-VLOOKUP(zeta!$A12,main!$A$3:$H$102,6,FALSE),0)</f>
        <v>0</v>
      </c>
      <c r="AI12">
        <f>IF(gamma!AI12,VLOOKUP(zeta!AI$1,main!$A$3:$H$102,5,FALSE)-VLOOKUP(zeta!$A12,main!$A$3:$H$102,6,FALSE),0)</f>
        <v>0</v>
      </c>
      <c r="AJ12">
        <f>IF(gamma!AJ12,VLOOKUP(zeta!AJ$1,main!$A$3:$H$102,5,FALSE)-VLOOKUP(zeta!$A12,main!$A$3:$H$102,6,FALSE),0)</f>
        <v>0</v>
      </c>
      <c r="AK12">
        <f>IF(gamma!AK12,VLOOKUP(zeta!AK$1,main!$A$3:$H$102,5,FALSE)-VLOOKUP(zeta!$A12,main!$A$3:$H$102,6,FALSE),0)</f>
        <v>0</v>
      </c>
      <c r="AL12">
        <f>IF(gamma!AL12,VLOOKUP(zeta!AL$1,main!$A$3:$H$102,5,FALSE)-VLOOKUP(zeta!$A12,main!$A$3:$H$102,6,FALSE),0)</f>
        <v>0</v>
      </c>
      <c r="AM12">
        <f>IF(gamma!AM12,VLOOKUP(zeta!AM$1,main!$A$3:$H$102,5,FALSE)-VLOOKUP(zeta!$A12,main!$A$3:$H$102,6,FALSE),0)</f>
        <v>0</v>
      </c>
      <c r="AN12">
        <f>IF(gamma!AN12,VLOOKUP(zeta!AN$1,main!$A$3:$H$102,5,FALSE)-VLOOKUP(zeta!$A12,main!$A$3:$H$102,6,FALSE),0)</f>
        <v>0</v>
      </c>
      <c r="AO12">
        <f>IF(gamma!AO12,VLOOKUP(zeta!AO$1,main!$A$3:$H$102,5,FALSE)-VLOOKUP(zeta!$A12,main!$A$3:$H$102,6,FALSE),0)</f>
        <v>0</v>
      </c>
      <c r="AP12">
        <f>IF(gamma!AP12,VLOOKUP(zeta!AP$1,main!$A$3:$H$102,5,FALSE)-VLOOKUP(zeta!$A12,main!$A$3:$H$102,6,FALSE),0)</f>
        <v>0</v>
      </c>
      <c r="AQ12">
        <f>IF(gamma!AQ12,VLOOKUP(zeta!AQ$1,main!$A$3:$H$102,5,FALSE)-VLOOKUP(zeta!$A12,main!$A$3:$H$102,6,FALSE),0)</f>
        <v>0</v>
      </c>
      <c r="AR12">
        <f>IF(gamma!AR12,VLOOKUP(zeta!AR$1,main!$A$3:$H$102,5,FALSE)-VLOOKUP(zeta!$A12,main!$A$3:$H$102,6,FALSE),0)</f>
        <v>0</v>
      </c>
      <c r="AS12">
        <f>IF(gamma!AS12,VLOOKUP(zeta!AS$1,main!$A$3:$H$102,5,FALSE)-VLOOKUP(zeta!$A12,main!$A$3:$H$102,6,FALSE),0)</f>
        <v>0</v>
      </c>
      <c r="AT12">
        <f>IF(gamma!AT12,VLOOKUP(zeta!AT$1,main!$A$3:$H$102,5,FALSE)-VLOOKUP(zeta!$A12,main!$A$3:$H$102,6,FALSE),0)</f>
        <v>0</v>
      </c>
      <c r="AU12">
        <f>IF(gamma!AU12,VLOOKUP(zeta!AU$1,main!$A$3:$H$102,5,FALSE)-VLOOKUP(zeta!$A12,main!$A$3:$H$102,6,FALSE),0)</f>
        <v>0</v>
      </c>
      <c r="AV12">
        <f>IF(gamma!AV12,VLOOKUP(zeta!AV$1,main!$A$3:$H$102,5,FALSE)-VLOOKUP(zeta!$A12,main!$A$3:$H$102,6,FALSE),0)</f>
        <v>0</v>
      </c>
      <c r="AW12">
        <f>IF(gamma!AW12,VLOOKUP(zeta!AW$1,main!$A$3:$H$102,5,FALSE)-VLOOKUP(zeta!$A12,main!$A$3:$H$102,6,FALSE),0)</f>
        <v>0</v>
      </c>
      <c r="AX12">
        <f>IF(gamma!AX12,VLOOKUP(zeta!AX$1,main!$A$3:$H$102,5,FALSE)-VLOOKUP(zeta!$A12,main!$A$3:$H$102,6,FALSE),0)</f>
        <v>0</v>
      </c>
      <c r="AY12">
        <f>IF(gamma!AY12,VLOOKUP(zeta!AY$1,main!$A$3:$H$102,5,FALSE)-VLOOKUP(zeta!$A12,main!$A$3:$H$102,6,FALSE),0)</f>
        <v>0</v>
      </c>
      <c r="AZ12">
        <f>IF(gamma!AZ12,VLOOKUP(zeta!AZ$1,main!$A$3:$H$102,5,FALSE)-VLOOKUP(zeta!$A12,main!$A$3:$H$102,6,FALSE),0)</f>
        <v>0</v>
      </c>
      <c r="BA12">
        <f>IF(gamma!BA12,VLOOKUP(zeta!BA$1,main!$A$3:$H$102,5,FALSE)-VLOOKUP(zeta!$A12,main!$A$3:$H$102,6,FALSE),0)</f>
        <v>0</v>
      </c>
      <c r="BB12">
        <f>IF(gamma!BB12,VLOOKUP(zeta!BB$1,main!$A$3:$H$102,5,FALSE)-VLOOKUP(zeta!$A12,main!$A$3:$H$102,6,FALSE),0)</f>
        <v>0</v>
      </c>
      <c r="BC12">
        <f>IF(gamma!BC12,VLOOKUP(zeta!BC$1,main!$A$3:$H$102,5,FALSE)-VLOOKUP(zeta!$A12,main!$A$3:$H$102,6,FALSE),0)</f>
        <v>0</v>
      </c>
      <c r="BD12">
        <f>IF(gamma!BD12,VLOOKUP(zeta!BD$1,main!$A$3:$H$102,5,FALSE)-VLOOKUP(zeta!$A12,main!$A$3:$H$102,6,FALSE),0)</f>
        <v>0</v>
      </c>
      <c r="BE12">
        <f>IF(gamma!BE12,VLOOKUP(zeta!BE$1,main!$A$3:$H$102,5,FALSE)-VLOOKUP(zeta!$A12,main!$A$3:$H$102,6,FALSE),0)</f>
        <v>0</v>
      </c>
      <c r="BF12">
        <f>IF(gamma!BF12,VLOOKUP(zeta!BF$1,main!$A$3:$H$102,5,FALSE)-VLOOKUP(zeta!$A12,main!$A$3:$H$102,6,FALSE),0)</f>
        <v>0</v>
      </c>
      <c r="BG12">
        <f>IF(gamma!BG12,VLOOKUP(zeta!BG$1,main!$A$3:$H$102,5,FALSE)-VLOOKUP(zeta!$A12,main!$A$3:$H$102,6,FALSE),0)</f>
        <v>0</v>
      </c>
      <c r="BH12">
        <f>IF(gamma!BH12,VLOOKUP(zeta!BH$1,main!$A$3:$H$102,5,FALSE)-VLOOKUP(zeta!$A12,main!$A$3:$H$102,6,FALSE),0)</f>
        <v>0</v>
      </c>
      <c r="BI12">
        <f>IF(gamma!BI12,VLOOKUP(zeta!BI$1,main!$A$3:$H$102,5,FALSE)-VLOOKUP(zeta!$A12,main!$A$3:$H$102,6,FALSE),0)</f>
        <v>0</v>
      </c>
      <c r="BJ12">
        <f>IF(gamma!BJ12,VLOOKUP(zeta!BJ$1,main!$A$3:$H$102,5,FALSE)-VLOOKUP(zeta!$A12,main!$A$3:$H$102,6,FALSE),0)</f>
        <v>0</v>
      </c>
      <c r="BK12">
        <f>IF(gamma!BK12,VLOOKUP(zeta!BK$1,main!$A$3:$H$102,5,FALSE)-VLOOKUP(zeta!$A12,main!$A$3:$H$102,6,FALSE),0)</f>
        <v>0</v>
      </c>
      <c r="BL12">
        <f>IF(gamma!BL12,VLOOKUP(zeta!BL$1,main!$A$3:$H$102,5,FALSE)-VLOOKUP(zeta!$A12,main!$A$3:$H$102,6,FALSE),0)</f>
        <v>0</v>
      </c>
      <c r="BM12">
        <f>IF(gamma!BM12,VLOOKUP(zeta!BM$1,main!$A$3:$H$102,5,FALSE)-VLOOKUP(zeta!$A12,main!$A$3:$H$102,6,FALSE),0)</f>
        <v>0</v>
      </c>
      <c r="BN12">
        <f>IF(gamma!BN12,VLOOKUP(zeta!BN$1,main!$A$3:$H$102,5,FALSE)-VLOOKUP(zeta!$A12,main!$A$3:$H$102,6,FALSE),0)</f>
        <v>0</v>
      </c>
      <c r="BO12">
        <f>IF(gamma!BO12,VLOOKUP(zeta!BO$1,main!$A$3:$H$102,5,FALSE)-VLOOKUP(zeta!$A12,main!$A$3:$H$102,6,FALSE),0)</f>
        <v>0</v>
      </c>
      <c r="BP12">
        <f>IF(gamma!BP12,VLOOKUP(zeta!BP$1,main!$A$3:$H$102,5,FALSE)-VLOOKUP(zeta!$A12,main!$A$3:$H$102,6,FALSE),0)</f>
        <v>0</v>
      </c>
      <c r="BQ12">
        <f>IF(gamma!BQ12,VLOOKUP(zeta!BQ$1,main!$A$3:$H$102,5,FALSE)-VLOOKUP(zeta!$A12,main!$A$3:$H$102,6,FALSE),0)</f>
        <v>0</v>
      </c>
      <c r="BR12">
        <f>IF(gamma!BR12,VLOOKUP(zeta!BR$1,main!$A$3:$H$102,5,FALSE)-VLOOKUP(zeta!$A12,main!$A$3:$H$102,6,FALSE),0)</f>
        <v>0</v>
      </c>
      <c r="BS12">
        <f>IF(gamma!BS12,VLOOKUP(zeta!BS$1,main!$A$3:$H$102,5,FALSE)-VLOOKUP(zeta!$A12,main!$A$3:$H$102,6,FALSE),0)</f>
        <v>0</v>
      </c>
      <c r="BT12">
        <f>IF(gamma!BT12,VLOOKUP(zeta!BT$1,main!$A$3:$H$102,5,FALSE)-VLOOKUP(zeta!$A12,main!$A$3:$H$102,6,FALSE),0)</f>
        <v>0</v>
      </c>
      <c r="BU12">
        <f>IF(gamma!BU12,VLOOKUP(zeta!BU$1,main!$A$3:$H$102,5,FALSE)-VLOOKUP(zeta!$A12,main!$A$3:$H$102,6,FALSE),0)</f>
        <v>0</v>
      </c>
      <c r="BV12">
        <f>IF(gamma!BV12,VLOOKUP(zeta!BV$1,main!$A$3:$H$102,5,FALSE)-VLOOKUP(zeta!$A12,main!$A$3:$H$102,6,FALSE),0)</f>
        <v>0</v>
      </c>
      <c r="BW12">
        <f>IF(gamma!BW12,VLOOKUP(zeta!BW$1,main!$A$3:$H$102,5,FALSE)-VLOOKUP(zeta!$A12,main!$A$3:$H$102,6,FALSE),0)</f>
        <v>0</v>
      </c>
      <c r="BX12">
        <f>IF(gamma!BX12,VLOOKUP(zeta!BX$1,main!$A$3:$H$102,5,FALSE)-VLOOKUP(zeta!$A12,main!$A$3:$H$102,6,FALSE),0)</f>
        <v>0</v>
      </c>
      <c r="BY12">
        <f>IF(gamma!BY12,VLOOKUP(zeta!BY$1,main!$A$3:$H$102,5,FALSE)-VLOOKUP(zeta!$A12,main!$A$3:$H$102,6,FALSE),0)</f>
        <v>0</v>
      </c>
      <c r="BZ12">
        <f>IF(gamma!BZ12,VLOOKUP(zeta!BZ$1,main!$A$3:$H$102,5,FALSE)-VLOOKUP(zeta!$A12,main!$A$3:$H$102,6,FALSE),0)</f>
        <v>0</v>
      </c>
      <c r="CA12">
        <f>IF(gamma!CA12,VLOOKUP(zeta!CA$1,main!$A$3:$H$102,5,FALSE)-VLOOKUP(zeta!$A12,main!$A$3:$H$102,6,FALSE),0)</f>
        <v>0</v>
      </c>
      <c r="CB12">
        <f>IF(gamma!CB12,VLOOKUP(zeta!CB$1,main!$A$3:$H$102,5,FALSE)-VLOOKUP(zeta!$A12,main!$A$3:$H$102,6,FALSE),0)</f>
        <v>0</v>
      </c>
      <c r="CC12">
        <f>IF(gamma!CC12,VLOOKUP(zeta!CC$1,main!$A$3:$H$102,5,FALSE)-VLOOKUP(zeta!$A12,main!$A$3:$H$102,6,FALSE),0)</f>
        <v>0</v>
      </c>
      <c r="CD12">
        <f>IF(gamma!CD12,VLOOKUP(zeta!CD$1,main!$A$3:$H$102,5,FALSE)-VLOOKUP(zeta!$A12,main!$A$3:$H$102,6,FALSE),0)</f>
        <v>0</v>
      </c>
      <c r="CE12">
        <f>IF(gamma!CE12,VLOOKUP(zeta!CE$1,main!$A$3:$H$102,5,FALSE)-VLOOKUP(zeta!$A12,main!$A$3:$H$102,6,FALSE),0)</f>
        <v>0</v>
      </c>
      <c r="CF12">
        <f>IF(gamma!CF12,VLOOKUP(zeta!CF$1,main!$A$3:$H$102,5,FALSE)-VLOOKUP(zeta!$A12,main!$A$3:$H$102,6,FALSE),0)</f>
        <v>0</v>
      </c>
      <c r="CG12">
        <f>IF(gamma!CG12,VLOOKUP(zeta!CG$1,main!$A$3:$H$102,5,FALSE)-VLOOKUP(zeta!$A12,main!$A$3:$H$102,6,FALSE),0)</f>
        <v>0</v>
      </c>
      <c r="CH12">
        <f>IF(gamma!CH12,VLOOKUP(zeta!CH$1,main!$A$3:$H$102,5,FALSE)-VLOOKUP(zeta!$A12,main!$A$3:$H$102,6,FALSE),0)</f>
        <v>0</v>
      </c>
      <c r="CI12">
        <f>IF(gamma!CI12,VLOOKUP(zeta!CI$1,main!$A$3:$H$102,5,FALSE)-VLOOKUP(zeta!$A12,main!$A$3:$H$102,6,FALSE),0)</f>
        <v>0</v>
      </c>
      <c r="CJ12">
        <f>IF(gamma!CJ12,VLOOKUP(zeta!CJ$1,main!$A$3:$H$102,5,FALSE)-VLOOKUP(zeta!$A12,main!$A$3:$H$102,6,FALSE),0)</f>
        <v>0</v>
      </c>
      <c r="CK12">
        <f>IF(gamma!CK12,VLOOKUP(zeta!CK$1,main!$A$3:$H$102,5,FALSE)-VLOOKUP(zeta!$A12,main!$A$3:$H$102,6,FALSE),0)</f>
        <v>0</v>
      </c>
      <c r="CL12">
        <f>IF(gamma!CL12,VLOOKUP(zeta!CL$1,main!$A$3:$H$102,5,FALSE)-VLOOKUP(zeta!$A12,main!$A$3:$H$102,6,FALSE),0)</f>
        <v>0</v>
      </c>
      <c r="CM12">
        <f>IF(gamma!CM12,VLOOKUP(zeta!CM$1,main!$A$3:$H$102,5,FALSE)-VLOOKUP(zeta!$A12,main!$A$3:$H$102,6,FALSE),0)</f>
        <v>0</v>
      </c>
      <c r="CN12">
        <f>IF(gamma!CN12,VLOOKUP(zeta!CN$1,main!$A$3:$H$102,5,FALSE)-VLOOKUP(zeta!$A12,main!$A$3:$H$102,6,FALSE),0)</f>
        <v>0</v>
      </c>
      <c r="CO12">
        <f>IF(gamma!CO12,VLOOKUP(zeta!CO$1,main!$A$3:$H$102,5,FALSE)-VLOOKUP(zeta!$A12,main!$A$3:$H$102,6,FALSE),0)</f>
        <v>0</v>
      </c>
      <c r="CP12">
        <f>IF(gamma!CP12,VLOOKUP(zeta!CP$1,main!$A$3:$H$102,5,FALSE)-VLOOKUP(zeta!$A12,main!$A$3:$H$102,6,FALSE),0)</f>
        <v>0</v>
      </c>
      <c r="CQ12">
        <f>IF(gamma!CQ12,VLOOKUP(zeta!CQ$1,main!$A$3:$H$102,5,FALSE)-VLOOKUP(zeta!$A12,main!$A$3:$H$102,6,FALSE),0)</f>
        <v>0</v>
      </c>
      <c r="CR12">
        <f>IF(gamma!CR12,VLOOKUP(zeta!CR$1,main!$A$3:$H$102,5,FALSE)-VLOOKUP(zeta!$A12,main!$A$3:$H$102,6,FALSE),0)</f>
        <v>0</v>
      </c>
      <c r="CS12">
        <f>IF(gamma!CS12,VLOOKUP(zeta!CS$1,main!$A$3:$H$102,5,FALSE)-VLOOKUP(zeta!$A12,main!$A$3:$H$102,6,FALSE),0)</f>
        <v>0</v>
      </c>
      <c r="CT12">
        <f>IF(gamma!CT12,VLOOKUP(zeta!CT$1,main!$A$3:$H$102,5,FALSE)-VLOOKUP(zeta!$A12,main!$A$3:$H$102,6,FALSE),0)</f>
        <v>0</v>
      </c>
      <c r="CU12">
        <f>IF(gamma!CU12,VLOOKUP(zeta!CU$1,main!$A$3:$H$102,5,FALSE)-VLOOKUP(zeta!$A12,main!$A$3:$H$102,6,FALSE),0)</f>
        <v>0</v>
      </c>
      <c r="CV12">
        <f>IF(gamma!CV12,VLOOKUP(zeta!CV$1,main!$A$3:$H$102,5,FALSE)-VLOOKUP(zeta!$A12,main!$A$3:$H$102,6,FALSE),0)</f>
        <v>0</v>
      </c>
      <c r="CW12">
        <f>IF(gamma!CW12,VLOOKUP(zeta!CW$1,main!$A$3:$H$102,5,FALSE)-VLOOKUP(zeta!$A12,main!$A$3:$H$102,6,FALSE),0)</f>
        <v>0</v>
      </c>
      <c r="CX12">
        <f>IF(gamma!CX12,VLOOKUP(zeta!CX$1,main!$A$3:$H$102,5,FALSE)-VLOOKUP(zeta!$A12,main!$A$3:$H$102,6,FALSE),0)</f>
        <v>0</v>
      </c>
    </row>
    <row r="13" spans="1:102" x14ac:dyDescent="0.25">
      <c r="A13">
        <f t="shared" si="0"/>
        <v>11</v>
      </c>
      <c r="B13">
        <v>0</v>
      </c>
      <c r="C13">
        <f>IF(gamma!C13,VLOOKUP(zeta!C$1,main!$A$3:$H$102,5,FALSE)-VLOOKUP(zeta!$A13,main!$A$3:$H$102,6,FALSE),0)</f>
        <v>0</v>
      </c>
      <c r="D13">
        <f>IF(gamma!D13,VLOOKUP(zeta!D$1,main!$A$3:$H$102,5,FALSE)-VLOOKUP(zeta!$A13,main!$A$3:$H$102,6,FALSE),0)</f>
        <v>0</v>
      </c>
      <c r="E13">
        <f>IF(gamma!E13,VLOOKUP(zeta!E$1,main!$A$3:$H$102,5,FALSE)-VLOOKUP(zeta!$A13,main!$A$3:$H$102,6,FALSE),0)</f>
        <v>0</v>
      </c>
      <c r="F13">
        <f>IF(gamma!F13,VLOOKUP(zeta!F$1,main!$A$3:$H$102,5,FALSE)-VLOOKUP(zeta!$A13,main!$A$3:$H$102,6,FALSE),0)</f>
        <v>45</v>
      </c>
      <c r="G13">
        <f>IF(gamma!G13,VLOOKUP(zeta!G$1,main!$A$3:$H$102,5,FALSE)-VLOOKUP(zeta!$A13,main!$A$3:$H$102,6,FALSE),0)</f>
        <v>135</v>
      </c>
      <c r="H13">
        <f>IF(gamma!H13,VLOOKUP(zeta!H$1,main!$A$3:$H$102,5,FALSE)-VLOOKUP(zeta!$A13,main!$A$3:$H$102,6,FALSE),0)</f>
        <v>225</v>
      </c>
      <c r="I13">
        <f>IF(gamma!I13,VLOOKUP(zeta!I$1,main!$A$3:$H$102,5,FALSE)-VLOOKUP(zeta!$A13,main!$A$3:$H$102,6,FALSE),0)</f>
        <v>285</v>
      </c>
      <c r="J13">
        <f>IF(gamma!J13,VLOOKUP(zeta!J$1,main!$A$3:$H$102,5,FALSE)-VLOOKUP(zeta!$A13,main!$A$3:$H$102,6,FALSE),0)</f>
        <v>345</v>
      </c>
      <c r="K13">
        <f>IF(gamma!K13,VLOOKUP(zeta!K$1,main!$A$3:$H$102,5,FALSE)-VLOOKUP(zeta!$A13,main!$A$3:$H$102,6,FALSE),0)</f>
        <v>405</v>
      </c>
      <c r="L13">
        <f>IF(gamma!L13,VLOOKUP(zeta!L$1,main!$A$3:$H$102,5,FALSE)-VLOOKUP(zeta!$A13,main!$A$3:$H$102,6,FALSE),0)</f>
        <v>495</v>
      </c>
      <c r="M13">
        <f>IF(gamma!M13,VLOOKUP(zeta!M$1,main!$A$3:$H$102,5,FALSE)-VLOOKUP(zeta!$A13,main!$A$3:$H$102,6,FALSE),0)</f>
        <v>0</v>
      </c>
      <c r="N13">
        <f>IF(gamma!N13,VLOOKUP(zeta!N$1,main!$A$3:$H$102,5,FALSE)-VLOOKUP(zeta!$A13,main!$A$3:$H$102,6,FALSE),0)</f>
        <v>0</v>
      </c>
      <c r="O13">
        <f>IF(gamma!O13,VLOOKUP(zeta!O$1,main!$A$3:$H$102,5,FALSE)-VLOOKUP(zeta!$A13,main!$A$3:$H$102,6,FALSE),0)</f>
        <v>0</v>
      </c>
      <c r="P13">
        <f>IF(gamma!P13,VLOOKUP(zeta!P$1,main!$A$3:$H$102,5,FALSE)-VLOOKUP(zeta!$A13,main!$A$3:$H$102,6,FALSE),0)</f>
        <v>0</v>
      </c>
      <c r="Q13">
        <f>IF(gamma!Q13,VLOOKUP(zeta!Q$1,main!$A$3:$H$102,5,FALSE)-VLOOKUP(zeta!$A13,main!$A$3:$H$102,6,FALSE),0)</f>
        <v>60</v>
      </c>
      <c r="R13">
        <f>IF(gamma!R13,VLOOKUP(zeta!R$1,main!$A$3:$H$102,5,FALSE)-VLOOKUP(zeta!$A13,main!$A$3:$H$102,6,FALSE),0)</f>
        <v>100</v>
      </c>
      <c r="S13">
        <f>IF(gamma!S13,VLOOKUP(zeta!S$1,main!$A$3:$H$102,5,FALSE)-VLOOKUP(zeta!$A13,main!$A$3:$H$102,6,FALSE),0)</f>
        <v>225</v>
      </c>
      <c r="T13">
        <f>IF(gamma!T13,VLOOKUP(zeta!T$1,main!$A$3:$H$102,5,FALSE)-VLOOKUP(zeta!$A13,main!$A$3:$H$102,6,FALSE),0)</f>
        <v>305</v>
      </c>
      <c r="U13">
        <f>IF(gamma!U13,VLOOKUP(zeta!U$1,main!$A$3:$H$102,5,FALSE)-VLOOKUP(zeta!$A13,main!$A$3:$H$102,6,FALSE),0)</f>
        <v>460</v>
      </c>
      <c r="V13">
        <f>IF(gamma!V13,VLOOKUP(zeta!V$1,main!$A$3:$H$102,5,FALSE)-VLOOKUP(zeta!$A13,main!$A$3:$H$102,6,FALSE),0)</f>
        <v>520</v>
      </c>
      <c r="W13">
        <f>IF(gamma!W13,VLOOKUP(zeta!W$1,main!$A$3:$H$102,5,FALSE)-VLOOKUP(zeta!$A13,main!$A$3:$H$102,6,FALSE),0)</f>
        <v>0</v>
      </c>
      <c r="X13">
        <f>IF(gamma!X13,VLOOKUP(zeta!X$1,main!$A$3:$H$102,5,FALSE)-VLOOKUP(zeta!$A13,main!$A$3:$H$102,6,FALSE),0)</f>
        <v>0</v>
      </c>
      <c r="Y13">
        <f>IF(gamma!Y13,VLOOKUP(zeta!Y$1,main!$A$3:$H$102,5,FALSE)-VLOOKUP(zeta!$A13,main!$A$3:$H$102,6,FALSE),0)</f>
        <v>95</v>
      </c>
      <c r="Z13">
        <f>IF(gamma!Z13,VLOOKUP(zeta!Z$1,main!$A$3:$H$102,5,FALSE)-VLOOKUP(zeta!$A13,main!$A$3:$H$102,6,FALSE),0)</f>
        <v>275</v>
      </c>
      <c r="AA13">
        <f>IF(gamma!AA13,VLOOKUP(zeta!AA$1,main!$A$3:$H$102,5,FALSE)-VLOOKUP(zeta!$A13,main!$A$3:$H$102,6,FALSE),0)</f>
        <v>425</v>
      </c>
      <c r="AB13">
        <f>IF(gamma!AB13,VLOOKUP(zeta!AB$1,main!$A$3:$H$102,5,FALSE)-VLOOKUP(zeta!$A13,main!$A$3:$H$102,6,FALSE),0)</f>
        <v>0</v>
      </c>
      <c r="AC13">
        <f>IF(gamma!AC13,VLOOKUP(zeta!AC$1,main!$A$3:$H$102,5,FALSE)-VLOOKUP(zeta!$A13,main!$A$3:$H$102,6,FALSE),0)</f>
        <v>0</v>
      </c>
      <c r="AD13">
        <f>IF(gamma!AD13,VLOOKUP(zeta!AD$1,main!$A$3:$H$102,5,FALSE)-VLOOKUP(zeta!$A13,main!$A$3:$H$102,6,FALSE),0)</f>
        <v>55</v>
      </c>
      <c r="AE13">
        <f>IF(gamma!AE13,VLOOKUP(zeta!AE$1,main!$A$3:$H$102,5,FALSE)-VLOOKUP(zeta!$A13,main!$A$3:$H$102,6,FALSE),0)</f>
        <v>235</v>
      </c>
      <c r="AF13">
        <f>IF(gamma!AF13,VLOOKUP(zeta!AF$1,main!$A$3:$H$102,5,FALSE)-VLOOKUP(zeta!$A13,main!$A$3:$H$102,6,FALSE),0)</f>
        <v>405</v>
      </c>
      <c r="AG13">
        <f>IF(gamma!AG13,VLOOKUP(zeta!AG$1,main!$A$3:$H$102,5,FALSE)-VLOOKUP(zeta!$A13,main!$A$3:$H$102,6,FALSE),0)</f>
        <v>0</v>
      </c>
      <c r="AH13">
        <f>IF(gamma!AH13,VLOOKUP(zeta!AH$1,main!$A$3:$H$102,5,FALSE)-VLOOKUP(zeta!$A13,main!$A$3:$H$102,6,FALSE),0)</f>
        <v>0</v>
      </c>
      <c r="AI13">
        <f>IF(gamma!AI13,VLOOKUP(zeta!AI$1,main!$A$3:$H$102,5,FALSE)-VLOOKUP(zeta!$A13,main!$A$3:$H$102,6,FALSE),0)</f>
        <v>0</v>
      </c>
      <c r="AJ13">
        <f>IF(gamma!AJ13,VLOOKUP(zeta!AJ$1,main!$A$3:$H$102,5,FALSE)-VLOOKUP(zeta!$A13,main!$A$3:$H$102,6,FALSE),0)</f>
        <v>115</v>
      </c>
      <c r="AK13">
        <f>IF(gamma!AK13,VLOOKUP(zeta!AK$1,main!$A$3:$H$102,5,FALSE)-VLOOKUP(zeta!$A13,main!$A$3:$H$102,6,FALSE),0)</f>
        <v>205</v>
      </c>
      <c r="AL13">
        <f>IF(gamma!AL13,VLOOKUP(zeta!AL$1,main!$A$3:$H$102,5,FALSE)-VLOOKUP(zeta!$A13,main!$A$3:$H$102,6,FALSE),0)</f>
        <v>295</v>
      </c>
      <c r="AM13">
        <f>IF(gamma!AM13,VLOOKUP(zeta!AM$1,main!$A$3:$H$102,5,FALSE)-VLOOKUP(zeta!$A13,main!$A$3:$H$102,6,FALSE),0)</f>
        <v>385</v>
      </c>
      <c r="AN13">
        <f>IF(gamma!AN13,VLOOKUP(zeta!AN$1,main!$A$3:$H$102,5,FALSE)-VLOOKUP(zeta!$A13,main!$A$3:$H$102,6,FALSE),0)</f>
        <v>445</v>
      </c>
      <c r="AO13">
        <f>IF(gamma!AO13,VLOOKUP(zeta!AO$1,main!$A$3:$H$102,5,FALSE)-VLOOKUP(zeta!$A13,main!$A$3:$H$102,6,FALSE),0)</f>
        <v>0</v>
      </c>
      <c r="AP13">
        <f>IF(gamma!AP13,VLOOKUP(zeta!AP$1,main!$A$3:$H$102,5,FALSE)-VLOOKUP(zeta!$A13,main!$A$3:$H$102,6,FALSE),0)</f>
        <v>505</v>
      </c>
      <c r="AQ13">
        <f>IF(gamma!AQ13,VLOOKUP(zeta!AQ$1,main!$A$3:$H$102,5,FALSE)-VLOOKUP(zeta!$A13,main!$A$3:$H$102,6,FALSE),0)</f>
        <v>0</v>
      </c>
      <c r="AR13">
        <f>IF(gamma!AR13,VLOOKUP(zeta!AR$1,main!$A$3:$H$102,5,FALSE)-VLOOKUP(zeta!$A13,main!$A$3:$H$102,6,FALSE),0)</f>
        <v>0</v>
      </c>
      <c r="AS13">
        <f>IF(gamma!AS13,VLOOKUP(zeta!AS$1,main!$A$3:$H$102,5,FALSE)-VLOOKUP(zeta!$A13,main!$A$3:$H$102,6,FALSE),0)</f>
        <v>105</v>
      </c>
      <c r="AT13">
        <f>IF(gamma!AT13,VLOOKUP(zeta!AT$1,main!$A$3:$H$102,5,FALSE)-VLOOKUP(zeta!$A13,main!$A$3:$H$102,6,FALSE),0)</f>
        <v>255</v>
      </c>
      <c r="AU13">
        <f>IF(gamma!AU13,VLOOKUP(zeta!AU$1,main!$A$3:$H$102,5,FALSE)-VLOOKUP(zeta!$A13,main!$A$3:$H$102,6,FALSE),0)</f>
        <v>0</v>
      </c>
      <c r="AV13">
        <f>IF(gamma!AV13,VLOOKUP(zeta!AV$1,main!$A$3:$H$102,5,FALSE)-VLOOKUP(zeta!$A13,main!$A$3:$H$102,6,FALSE),0)</f>
        <v>0</v>
      </c>
      <c r="AW13">
        <f>IF(gamma!AW13,VLOOKUP(zeta!AW$1,main!$A$3:$H$102,5,FALSE)-VLOOKUP(zeta!$A13,main!$A$3:$H$102,6,FALSE),0)</f>
        <v>205</v>
      </c>
      <c r="AX13">
        <f>IF(gamma!AX13,VLOOKUP(zeta!AX$1,main!$A$3:$H$102,5,FALSE)-VLOOKUP(zeta!$A13,main!$A$3:$H$102,6,FALSE),0)</f>
        <v>45</v>
      </c>
      <c r="AY13">
        <f>IF(gamma!AY13,VLOOKUP(zeta!AY$1,main!$A$3:$H$102,5,FALSE)-VLOOKUP(zeta!$A13,main!$A$3:$H$102,6,FALSE),0)</f>
        <v>0</v>
      </c>
      <c r="AZ13">
        <f>IF(gamma!AZ13,VLOOKUP(zeta!AZ$1,main!$A$3:$H$102,5,FALSE)-VLOOKUP(zeta!$A13,main!$A$3:$H$102,6,FALSE),0)</f>
        <v>0</v>
      </c>
      <c r="BA13">
        <f>IF(gamma!BA13,VLOOKUP(zeta!BA$1,main!$A$3:$H$102,5,FALSE)-VLOOKUP(zeta!$A13,main!$A$3:$H$102,6,FALSE),0)</f>
        <v>0</v>
      </c>
      <c r="BB13">
        <f>IF(gamma!BB13,VLOOKUP(zeta!BB$1,main!$A$3:$H$102,5,FALSE)-VLOOKUP(zeta!$A13,main!$A$3:$H$102,6,FALSE),0)</f>
        <v>45</v>
      </c>
      <c r="BC13">
        <f>IF(gamma!BC13,VLOOKUP(zeta!BC$1,main!$A$3:$H$102,5,FALSE)-VLOOKUP(zeta!$A13,main!$A$3:$H$102,6,FALSE),0)</f>
        <v>165</v>
      </c>
      <c r="BD13">
        <f>IF(gamma!BD13,VLOOKUP(zeta!BD$1,main!$A$3:$H$102,5,FALSE)-VLOOKUP(zeta!$A13,main!$A$3:$H$102,6,FALSE),0)</f>
        <v>225</v>
      </c>
      <c r="BE13">
        <f>IF(gamma!BE13,VLOOKUP(zeta!BE$1,main!$A$3:$H$102,5,FALSE)-VLOOKUP(zeta!$A13,main!$A$3:$H$102,6,FALSE),0)</f>
        <v>345</v>
      </c>
      <c r="BF13">
        <f>IF(gamma!BF13,VLOOKUP(zeta!BF$1,main!$A$3:$H$102,5,FALSE)-VLOOKUP(zeta!$A13,main!$A$3:$H$102,6,FALSE),0)</f>
        <v>0</v>
      </c>
      <c r="BG13">
        <f>IF(gamma!BG13,VLOOKUP(zeta!BG$1,main!$A$3:$H$102,5,FALSE)-VLOOKUP(zeta!$A13,main!$A$3:$H$102,6,FALSE),0)</f>
        <v>0</v>
      </c>
      <c r="BH13">
        <f>IF(gamma!BH13,VLOOKUP(zeta!BH$1,main!$A$3:$H$102,5,FALSE)-VLOOKUP(zeta!$A13,main!$A$3:$H$102,6,FALSE),0)</f>
        <v>130</v>
      </c>
      <c r="BI13">
        <f>IF(gamma!BI13,VLOOKUP(zeta!BI$1,main!$A$3:$H$102,5,FALSE)-VLOOKUP(zeta!$A13,main!$A$3:$H$102,6,FALSE),0)</f>
        <v>515</v>
      </c>
      <c r="BJ13">
        <f>IF(gamma!BJ13,VLOOKUP(zeta!BJ$1,main!$A$3:$H$102,5,FALSE)-VLOOKUP(zeta!$A13,main!$A$3:$H$102,6,FALSE),0)</f>
        <v>305</v>
      </c>
      <c r="BK13">
        <f>IF(gamma!BK13,VLOOKUP(zeta!BK$1,main!$A$3:$H$102,5,FALSE)-VLOOKUP(zeta!$A13,main!$A$3:$H$102,6,FALSE),0)</f>
        <v>0</v>
      </c>
      <c r="BL13">
        <f>IF(gamma!BL13,VLOOKUP(zeta!BL$1,main!$A$3:$H$102,5,FALSE)-VLOOKUP(zeta!$A13,main!$A$3:$H$102,6,FALSE),0)</f>
        <v>0</v>
      </c>
      <c r="BM13">
        <f>IF(gamma!BM13,VLOOKUP(zeta!BM$1,main!$A$3:$H$102,5,FALSE)-VLOOKUP(zeta!$A13,main!$A$3:$H$102,6,FALSE),0)</f>
        <v>0</v>
      </c>
      <c r="BN13">
        <f>IF(gamma!BN13,VLOOKUP(zeta!BN$1,main!$A$3:$H$102,5,FALSE)-VLOOKUP(zeta!$A13,main!$A$3:$H$102,6,FALSE),0)</f>
        <v>205</v>
      </c>
      <c r="BO13">
        <f>IF(gamma!BO13,VLOOKUP(zeta!BO$1,main!$A$3:$H$102,5,FALSE)-VLOOKUP(zeta!$A13,main!$A$3:$H$102,6,FALSE),0)</f>
        <v>0</v>
      </c>
      <c r="BP13">
        <f>IF(gamma!BP13,VLOOKUP(zeta!BP$1,main!$A$3:$H$102,5,FALSE)-VLOOKUP(zeta!$A13,main!$A$3:$H$102,6,FALSE),0)</f>
        <v>0</v>
      </c>
      <c r="BQ13">
        <f>IF(gamma!BQ13,VLOOKUP(zeta!BQ$1,main!$A$3:$H$102,5,FALSE)-VLOOKUP(zeta!$A13,main!$A$3:$H$102,6,FALSE),0)</f>
        <v>60</v>
      </c>
      <c r="BR13">
        <f>IF(gamma!BR13,VLOOKUP(zeta!BR$1,main!$A$3:$H$102,5,FALSE)-VLOOKUP(zeta!$A13,main!$A$3:$H$102,6,FALSE),0)</f>
        <v>95</v>
      </c>
      <c r="BS13">
        <f>IF(gamma!BS13,VLOOKUP(zeta!BS$1,main!$A$3:$H$102,5,FALSE)-VLOOKUP(zeta!$A13,main!$A$3:$H$102,6,FALSE),0)</f>
        <v>105</v>
      </c>
      <c r="BT13">
        <f>IF(gamma!BT13,VLOOKUP(zeta!BT$1,main!$A$3:$H$102,5,FALSE)-VLOOKUP(zeta!$A13,main!$A$3:$H$102,6,FALSE),0)</f>
        <v>55</v>
      </c>
      <c r="BU13">
        <f>IF(gamma!BU13,VLOOKUP(zeta!BU$1,main!$A$3:$H$102,5,FALSE)-VLOOKUP(zeta!$A13,main!$A$3:$H$102,6,FALSE),0)</f>
        <v>0</v>
      </c>
      <c r="BV13">
        <f>IF(gamma!BV13,VLOOKUP(zeta!BV$1,main!$A$3:$H$102,5,FALSE)-VLOOKUP(zeta!$A13,main!$A$3:$H$102,6,FALSE),0)</f>
        <v>0</v>
      </c>
      <c r="BW13">
        <f>IF(gamma!BW13,VLOOKUP(zeta!BW$1,main!$A$3:$H$102,5,FALSE)-VLOOKUP(zeta!$A13,main!$A$3:$H$102,6,FALSE),0)</f>
        <v>0</v>
      </c>
      <c r="BX13">
        <f>IF(gamma!BX13,VLOOKUP(zeta!BX$1,main!$A$3:$H$102,5,FALSE)-VLOOKUP(zeta!$A13,main!$A$3:$H$102,6,FALSE),0)</f>
        <v>70</v>
      </c>
      <c r="BY13">
        <f>IF(gamma!BY13,VLOOKUP(zeta!BY$1,main!$A$3:$H$102,5,FALSE)-VLOOKUP(zeta!$A13,main!$A$3:$H$102,6,FALSE),0)</f>
        <v>155</v>
      </c>
      <c r="BZ13">
        <f>IF(gamma!BZ13,VLOOKUP(zeta!BZ$1,main!$A$3:$H$102,5,FALSE)-VLOOKUP(zeta!$A13,main!$A$3:$H$102,6,FALSE),0)</f>
        <v>0</v>
      </c>
      <c r="CA13">
        <f>IF(gamma!CA13,VLOOKUP(zeta!CA$1,main!$A$3:$H$102,5,FALSE)-VLOOKUP(zeta!$A13,main!$A$3:$H$102,6,FALSE),0)</f>
        <v>0</v>
      </c>
      <c r="CB13">
        <f>IF(gamma!CB13,VLOOKUP(zeta!CB$1,main!$A$3:$H$102,5,FALSE)-VLOOKUP(zeta!$A13,main!$A$3:$H$102,6,FALSE),0)</f>
        <v>210</v>
      </c>
      <c r="CC13">
        <f>IF(gamma!CC13,VLOOKUP(zeta!CC$1,main!$A$3:$H$102,5,FALSE)-VLOOKUP(zeta!$A13,main!$A$3:$H$102,6,FALSE),0)</f>
        <v>420</v>
      </c>
      <c r="CD13">
        <f>IF(gamma!CD13,VLOOKUP(zeta!CD$1,main!$A$3:$H$102,5,FALSE)-VLOOKUP(zeta!$A13,main!$A$3:$H$102,6,FALSE),0)</f>
        <v>155</v>
      </c>
      <c r="CE13">
        <f>IF(gamma!CE13,VLOOKUP(zeta!CE$1,main!$A$3:$H$102,5,FALSE)-VLOOKUP(zeta!$A13,main!$A$3:$H$102,6,FALSE),0)</f>
        <v>0</v>
      </c>
      <c r="CF13">
        <f>IF(gamma!CF13,VLOOKUP(zeta!CF$1,main!$A$3:$H$102,5,FALSE)-VLOOKUP(zeta!$A13,main!$A$3:$H$102,6,FALSE),0)</f>
        <v>55</v>
      </c>
      <c r="CG13">
        <f>IF(gamma!CG13,VLOOKUP(zeta!CG$1,main!$A$3:$H$102,5,FALSE)-VLOOKUP(zeta!$A13,main!$A$3:$H$102,6,FALSE),0)</f>
        <v>105</v>
      </c>
      <c r="CH13">
        <f>IF(gamma!CH13,VLOOKUP(zeta!CH$1,main!$A$3:$H$102,5,FALSE)-VLOOKUP(zeta!$A13,main!$A$3:$H$102,6,FALSE),0)</f>
        <v>305</v>
      </c>
      <c r="CI13">
        <f>IF(gamma!CI13,VLOOKUP(zeta!CI$1,main!$A$3:$H$102,5,FALSE)-VLOOKUP(zeta!$A13,main!$A$3:$H$102,6,FALSE),0)</f>
        <v>505</v>
      </c>
      <c r="CJ13">
        <f>IF(gamma!CJ13,VLOOKUP(zeta!CJ$1,main!$A$3:$H$102,5,FALSE)-VLOOKUP(zeta!$A13,main!$A$3:$H$102,6,FALSE),0)</f>
        <v>95</v>
      </c>
      <c r="CK13">
        <f>IF(gamma!CK13,VLOOKUP(zeta!CK$1,main!$A$3:$H$102,5,FALSE)-VLOOKUP(zeta!$A13,main!$A$3:$H$102,6,FALSE),0)</f>
        <v>0</v>
      </c>
      <c r="CL13">
        <f>IF(gamma!CL13,VLOOKUP(zeta!CL$1,main!$A$3:$H$102,5,FALSE)-VLOOKUP(zeta!$A13,main!$A$3:$H$102,6,FALSE),0)</f>
        <v>105</v>
      </c>
      <c r="CM13">
        <f>IF(gamma!CM13,VLOOKUP(zeta!CM$1,main!$A$3:$H$102,5,FALSE)-VLOOKUP(zeta!$A13,main!$A$3:$H$102,6,FALSE),0)</f>
        <v>281</v>
      </c>
      <c r="CN13">
        <f>IF(gamma!CN13,VLOOKUP(zeta!CN$1,main!$A$3:$H$102,5,FALSE)-VLOOKUP(zeta!$A13,main!$A$3:$H$102,6,FALSE),0)</f>
        <v>505</v>
      </c>
      <c r="CO13">
        <f>IF(gamma!CO13,VLOOKUP(zeta!CO$1,main!$A$3:$H$102,5,FALSE)-VLOOKUP(zeta!$A13,main!$A$3:$H$102,6,FALSE),0)</f>
        <v>0</v>
      </c>
      <c r="CP13">
        <f>IF(gamma!CP13,VLOOKUP(zeta!CP$1,main!$A$3:$H$102,5,FALSE)-VLOOKUP(zeta!$A13,main!$A$3:$H$102,6,FALSE),0)</f>
        <v>70</v>
      </c>
      <c r="CQ13">
        <f>IF(gamma!CQ13,VLOOKUP(zeta!CQ$1,main!$A$3:$H$102,5,FALSE)-VLOOKUP(zeta!$A13,main!$A$3:$H$102,6,FALSE),0)</f>
        <v>85</v>
      </c>
      <c r="CR13">
        <f>IF(gamma!CR13,VLOOKUP(zeta!CR$1,main!$A$3:$H$102,5,FALSE)-VLOOKUP(zeta!$A13,main!$A$3:$H$102,6,FALSE),0)</f>
        <v>270</v>
      </c>
      <c r="CS13">
        <f>IF(gamma!CS13,VLOOKUP(zeta!CS$1,main!$A$3:$H$102,5,FALSE)-VLOOKUP(zeta!$A13,main!$A$3:$H$102,6,FALSE),0)</f>
        <v>280</v>
      </c>
      <c r="CT13">
        <f>IF(gamma!CT13,VLOOKUP(zeta!CT$1,main!$A$3:$H$102,5,FALSE)-VLOOKUP(zeta!$A13,main!$A$3:$H$102,6,FALSE),0)</f>
        <v>0</v>
      </c>
      <c r="CU13">
        <f>IF(gamma!CU13,VLOOKUP(zeta!CU$1,main!$A$3:$H$102,5,FALSE)-VLOOKUP(zeta!$A13,main!$A$3:$H$102,6,FALSE),0)</f>
        <v>0</v>
      </c>
      <c r="CV13">
        <f>IF(gamma!CV13,VLOOKUP(zeta!CV$1,main!$A$3:$H$102,5,FALSE)-VLOOKUP(zeta!$A13,main!$A$3:$H$102,6,FALSE),0)</f>
        <v>85</v>
      </c>
      <c r="CW13">
        <f>IF(gamma!CW13,VLOOKUP(zeta!CW$1,main!$A$3:$H$102,5,FALSE)-VLOOKUP(zeta!$A13,main!$A$3:$H$102,6,FALSE),0)</f>
        <v>270</v>
      </c>
      <c r="CX13">
        <f>IF(gamma!CX13,VLOOKUP(zeta!CX$1,main!$A$3:$H$102,5,FALSE)-VLOOKUP(zeta!$A13,main!$A$3:$H$102,6,FALSE),0)</f>
        <v>310</v>
      </c>
    </row>
    <row r="14" spans="1:102" x14ac:dyDescent="0.25">
      <c r="A14">
        <f t="shared" si="0"/>
        <v>12</v>
      </c>
      <c r="B14">
        <v>0</v>
      </c>
      <c r="C14">
        <f>IF(gamma!C14,VLOOKUP(zeta!C$1,main!$A$3:$H$102,5,FALSE)-VLOOKUP(zeta!$A14,main!$A$3:$H$102,6,FALSE),0)</f>
        <v>0</v>
      </c>
      <c r="D14">
        <f>IF(gamma!D14,VLOOKUP(zeta!D$1,main!$A$3:$H$102,5,FALSE)-VLOOKUP(zeta!$A14,main!$A$3:$H$102,6,FALSE),0)</f>
        <v>0</v>
      </c>
      <c r="E14">
        <f>IF(gamma!E14,VLOOKUP(zeta!E$1,main!$A$3:$H$102,5,FALSE)-VLOOKUP(zeta!$A14,main!$A$3:$H$102,6,FALSE),0)</f>
        <v>0</v>
      </c>
      <c r="F14">
        <f>IF(gamma!F14,VLOOKUP(zeta!F$1,main!$A$3:$H$102,5,FALSE)-VLOOKUP(zeta!$A14,main!$A$3:$H$102,6,FALSE),0)</f>
        <v>0</v>
      </c>
      <c r="G14">
        <f>IF(gamma!G14,VLOOKUP(zeta!G$1,main!$A$3:$H$102,5,FALSE)-VLOOKUP(zeta!$A14,main!$A$3:$H$102,6,FALSE),0)</f>
        <v>122</v>
      </c>
      <c r="H14">
        <f>IF(gamma!H14,VLOOKUP(zeta!H$1,main!$A$3:$H$102,5,FALSE)-VLOOKUP(zeta!$A14,main!$A$3:$H$102,6,FALSE),0)</f>
        <v>212</v>
      </c>
      <c r="I14">
        <f>IF(gamma!I14,VLOOKUP(zeta!I$1,main!$A$3:$H$102,5,FALSE)-VLOOKUP(zeta!$A14,main!$A$3:$H$102,6,FALSE),0)</f>
        <v>272</v>
      </c>
      <c r="J14">
        <f>IF(gamma!J14,VLOOKUP(zeta!J$1,main!$A$3:$H$102,5,FALSE)-VLOOKUP(zeta!$A14,main!$A$3:$H$102,6,FALSE),0)</f>
        <v>332</v>
      </c>
      <c r="K14">
        <f>IF(gamma!K14,VLOOKUP(zeta!K$1,main!$A$3:$H$102,5,FALSE)-VLOOKUP(zeta!$A14,main!$A$3:$H$102,6,FALSE),0)</f>
        <v>392</v>
      </c>
      <c r="L14">
        <f>IF(gamma!L14,VLOOKUP(zeta!L$1,main!$A$3:$H$102,5,FALSE)-VLOOKUP(zeta!$A14,main!$A$3:$H$102,6,FALSE),0)</f>
        <v>482</v>
      </c>
      <c r="M14">
        <f>IF(gamma!M14,VLOOKUP(zeta!M$1,main!$A$3:$H$102,5,FALSE)-VLOOKUP(zeta!$A14,main!$A$3:$H$102,6,FALSE),0)</f>
        <v>0</v>
      </c>
      <c r="N14">
        <f>IF(gamma!N14,VLOOKUP(zeta!N$1,main!$A$3:$H$102,5,FALSE)-VLOOKUP(zeta!$A14,main!$A$3:$H$102,6,FALSE),0)</f>
        <v>0</v>
      </c>
      <c r="O14">
        <f>IF(gamma!O14,VLOOKUP(zeta!O$1,main!$A$3:$H$102,5,FALSE)-VLOOKUP(zeta!$A14,main!$A$3:$H$102,6,FALSE),0)</f>
        <v>0</v>
      </c>
      <c r="P14">
        <f>IF(gamma!P14,VLOOKUP(zeta!P$1,main!$A$3:$H$102,5,FALSE)-VLOOKUP(zeta!$A14,main!$A$3:$H$102,6,FALSE),0)</f>
        <v>0</v>
      </c>
      <c r="Q14">
        <f>IF(gamma!Q14,VLOOKUP(zeta!Q$1,main!$A$3:$H$102,5,FALSE)-VLOOKUP(zeta!$A14,main!$A$3:$H$102,6,FALSE),0)</f>
        <v>47</v>
      </c>
      <c r="R14">
        <f>IF(gamma!R14,VLOOKUP(zeta!R$1,main!$A$3:$H$102,5,FALSE)-VLOOKUP(zeta!$A14,main!$A$3:$H$102,6,FALSE),0)</f>
        <v>87</v>
      </c>
      <c r="S14">
        <f>IF(gamma!S14,VLOOKUP(zeta!S$1,main!$A$3:$H$102,5,FALSE)-VLOOKUP(zeta!$A14,main!$A$3:$H$102,6,FALSE),0)</f>
        <v>212</v>
      </c>
      <c r="T14">
        <f>IF(gamma!T14,VLOOKUP(zeta!T$1,main!$A$3:$H$102,5,FALSE)-VLOOKUP(zeta!$A14,main!$A$3:$H$102,6,FALSE),0)</f>
        <v>292</v>
      </c>
      <c r="U14">
        <f>IF(gamma!U14,VLOOKUP(zeta!U$1,main!$A$3:$H$102,5,FALSE)-VLOOKUP(zeta!$A14,main!$A$3:$H$102,6,FALSE),0)</f>
        <v>447</v>
      </c>
      <c r="V14">
        <f>IF(gamma!V14,VLOOKUP(zeta!V$1,main!$A$3:$H$102,5,FALSE)-VLOOKUP(zeta!$A14,main!$A$3:$H$102,6,FALSE),0)</f>
        <v>507</v>
      </c>
      <c r="W14">
        <f>IF(gamma!W14,VLOOKUP(zeta!W$1,main!$A$3:$H$102,5,FALSE)-VLOOKUP(zeta!$A14,main!$A$3:$H$102,6,FALSE),0)</f>
        <v>0</v>
      </c>
      <c r="X14">
        <f>IF(gamma!X14,VLOOKUP(zeta!X$1,main!$A$3:$H$102,5,FALSE)-VLOOKUP(zeta!$A14,main!$A$3:$H$102,6,FALSE),0)</f>
        <v>0</v>
      </c>
      <c r="Y14">
        <f>IF(gamma!Y14,VLOOKUP(zeta!Y$1,main!$A$3:$H$102,5,FALSE)-VLOOKUP(zeta!$A14,main!$A$3:$H$102,6,FALSE),0)</f>
        <v>82</v>
      </c>
      <c r="Z14">
        <f>IF(gamma!Z14,VLOOKUP(zeta!Z$1,main!$A$3:$H$102,5,FALSE)-VLOOKUP(zeta!$A14,main!$A$3:$H$102,6,FALSE),0)</f>
        <v>262</v>
      </c>
      <c r="AA14">
        <f>IF(gamma!AA14,VLOOKUP(zeta!AA$1,main!$A$3:$H$102,5,FALSE)-VLOOKUP(zeta!$A14,main!$A$3:$H$102,6,FALSE),0)</f>
        <v>412</v>
      </c>
      <c r="AB14">
        <f>IF(gamma!AB14,VLOOKUP(zeta!AB$1,main!$A$3:$H$102,5,FALSE)-VLOOKUP(zeta!$A14,main!$A$3:$H$102,6,FALSE),0)</f>
        <v>0</v>
      </c>
      <c r="AC14">
        <f>IF(gamma!AC14,VLOOKUP(zeta!AC$1,main!$A$3:$H$102,5,FALSE)-VLOOKUP(zeta!$A14,main!$A$3:$H$102,6,FALSE),0)</f>
        <v>0</v>
      </c>
      <c r="AD14">
        <f>IF(gamma!AD14,VLOOKUP(zeta!AD$1,main!$A$3:$H$102,5,FALSE)-VLOOKUP(zeta!$A14,main!$A$3:$H$102,6,FALSE),0)</f>
        <v>0</v>
      </c>
      <c r="AE14">
        <f>IF(gamma!AE14,VLOOKUP(zeta!AE$1,main!$A$3:$H$102,5,FALSE)-VLOOKUP(zeta!$A14,main!$A$3:$H$102,6,FALSE),0)</f>
        <v>222</v>
      </c>
      <c r="AF14">
        <f>IF(gamma!AF14,VLOOKUP(zeta!AF$1,main!$A$3:$H$102,5,FALSE)-VLOOKUP(zeta!$A14,main!$A$3:$H$102,6,FALSE),0)</f>
        <v>392</v>
      </c>
      <c r="AG14">
        <f>IF(gamma!AG14,VLOOKUP(zeta!AG$1,main!$A$3:$H$102,5,FALSE)-VLOOKUP(zeta!$A14,main!$A$3:$H$102,6,FALSE),0)</f>
        <v>0</v>
      </c>
      <c r="AH14">
        <f>IF(gamma!AH14,VLOOKUP(zeta!AH$1,main!$A$3:$H$102,5,FALSE)-VLOOKUP(zeta!$A14,main!$A$3:$H$102,6,FALSE),0)</f>
        <v>0</v>
      </c>
      <c r="AI14">
        <f>IF(gamma!AI14,VLOOKUP(zeta!AI$1,main!$A$3:$H$102,5,FALSE)-VLOOKUP(zeta!$A14,main!$A$3:$H$102,6,FALSE),0)</f>
        <v>0</v>
      </c>
      <c r="AJ14">
        <f>IF(gamma!AJ14,VLOOKUP(zeta!AJ$1,main!$A$3:$H$102,5,FALSE)-VLOOKUP(zeta!$A14,main!$A$3:$H$102,6,FALSE),0)</f>
        <v>102</v>
      </c>
      <c r="AK14">
        <f>IF(gamma!AK14,VLOOKUP(zeta!AK$1,main!$A$3:$H$102,5,FALSE)-VLOOKUP(zeta!$A14,main!$A$3:$H$102,6,FALSE),0)</f>
        <v>192</v>
      </c>
      <c r="AL14">
        <f>IF(gamma!AL14,VLOOKUP(zeta!AL$1,main!$A$3:$H$102,5,FALSE)-VLOOKUP(zeta!$A14,main!$A$3:$H$102,6,FALSE),0)</f>
        <v>282</v>
      </c>
      <c r="AM14">
        <f>IF(gamma!AM14,VLOOKUP(zeta!AM$1,main!$A$3:$H$102,5,FALSE)-VLOOKUP(zeta!$A14,main!$A$3:$H$102,6,FALSE),0)</f>
        <v>372</v>
      </c>
      <c r="AN14">
        <f>IF(gamma!AN14,VLOOKUP(zeta!AN$1,main!$A$3:$H$102,5,FALSE)-VLOOKUP(zeta!$A14,main!$A$3:$H$102,6,FALSE),0)</f>
        <v>432</v>
      </c>
      <c r="AO14">
        <f>IF(gamma!AO14,VLOOKUP(zeta!AO$1,main!$A$3:$H$102,5,FALSE)-VLOOKUP(zeta!$A14,main!$A$3:$H$102,6,FALSE),0)</f>
        <v>0</v>
      </c>
      <c r="AP14">
        <f>IF(gamma!AP14,VLOOKUP(zeta!AP$1,main!$A$3:$H$102,5,FALSE)-VLOOKUP(zeta!$A14,main!$A$3:$H$102,6,FALSE),0)</f>
        <v>492</v>
      </c>
      <c r="AQ14">
        <f>IF(gamma!AQ14,VLOOKUP(zeta!AQ$1,main!$A$3:$H$102,5,FALSE)-VLOOKUP(zeta!$A14,main!$A$3:$H$102,6,FALSE),0)</f>
        <v>0</v>
      </c>
      <c r="AR14">
        <f>IF(gamma!AR14,VLOOKUP(zeta!AR$1,main!$A$3:$H$102,5,FALSE)-VLOOKUP(zeta!$A14,main!$A$3:$H$102,6,FALSE),0)</f>
        <v>0</v>
      </c>
      <c r="AS14">
        <f>IF(gamma!AS14,VLOOKUP(zeta!AS$1,main!$A$3:$H$102,5,FALSE)-VLOOKUP(zeta!$A14,main!$A$3:$H$102,6,FALSE),0)</f>
        <v>92</v>
      </c>
      <c r="AT14">
        <f>IF(gamma!AT14,VLOOKUP(zeta!AT$1,main!$A$3:$H$102,5,FALSE)-VLOOKUP(zeta!$A14,main!$A$3:$H$102,6,FALSE),0)</f>
        <v>242</v>
      </c>
      <c r="AU14">
        <f>IF(gamma!AU14,VLOOKUP(zeta!AU$1,main!$A$3:$H$102,5,FALSE)-VLOOKUP(zeta!$A14,main!$A$3:$H$102,6,FALSE),0)</f>
        <v>0</v>
      </c>
      <c r="AV14">
        <f>IF(gamma!AV14,VLOOKUP(zeta!AV$1,main!$A$3:$H$102,5,FALSE)-VLOOKUP(zeta!$A14,main!$A$3:$H$102,6,FALSE),0)</f>
        <v>0</v>
      </c>
      <c r="AW14">
        <f>IF(gamma!AW14,VLOOKUP(zeta!AW$1,main!$A$3:$H$102,5,FALSE)-VLOOKUP(zeta!$A14,main!$A$3:$H$102,6,FALSE),0)</f>
        <v>192</v>
      </c>
      <c r="AX14">
        <f>IF(gamma!AX14,VLOOKUP(zeta!AX$1,main!$A$3:$H$102,5,FALSE)-VLOOKUP(zeta!$A14,main!$A$3:$H$102,6,FALSE),0)</f>
        <v>0</v>
      </c>
      <c r="AY14">
        <f>IF(gamma!AY14,VLOOKUP(zeta!AY$1,main!$A$3:$H$102,5,FALSE)-VLOOKUP(zeta!$A14,main!$A$3:$H$102,6,FALSE),0)</f>
        <v>0</v>
      </c>
      <c r="AZ14">
        <f>IF(gamma!AZ14,VLOOKUP(zeta!AZ$1,main!$A$3:$H$102,5,FALSE)-VLOOKUP(zeta!$A14,main!$A$3:$H$102,6,FALSE),0)</f>
        <v>0</v>
      </c>
      <c r="BA14">
        <f>IF(gamma!BA14,VLOOKUP(zeta!BA$1,main!$A$3:$H$102,5,FALSE)-VLOOKUP(zeta!$A14,main!$A$3:$H$102,6,FALSE),0)</f>
        <v>0</v>
      </c>
      <c r="BB14">
        <f>IF(gamma!BB14,VLOOKUP(zeta!BB$1,main!$A$3:$H$102,5,FALSE)-VLOOKUP(zeta!$A14,main!$A$3:$H$102,6,FALSE),0)</f>
        <v>32</v>
      </c>
      <c r="BC14">
        <f>IF(gamma!BC14,VLOOKUP(zeta!BC$1,main!$A$3:$H$102,5,FALSE)-VLOOKUP(zeta!$A14,main!$A$3:$H$102,6,FALSE),0)</f>
        <v>152</v>
      </c>
      <c r="BD14">
        <f>IF(gamma!BD14,VLOOKUP(zeta!BD$1,main!$A$3:$H$102,5,FALSE)-VLOOKUP(zeta!$A14,main!$A$3:$H$102,6,FALSE),0)</f>
        <v>212</v>
      </c>
      <c r="BE14">
        <f>IF(gamma!BE14,VLOOKUP(zeta!BE$1,main!$A$3:$H$102,5,FALSE)-VLOOKUP(zeta!$A14,main!$A$3:$H$102,6,FALSE),0)</f>
        <v>332</v>
      </c>
      <c r="BF14">
        <f>IF(gamma!BF14,VLOOKUP(zeta!BF$1,main!$A$3:$H$102,5,FALSE)-VLOOKUP(zeta!$A14,main!$A$3:$H$102,6,FALSE),0)</f>
        <v>0</v>
      </c>
      <c r="BG14">
        <f>IF(gamma!BG14,VLOOKUP(zeta!BG$1,main!$A$3:$H$102,5,FALSE)-VLOOKUP(zeta!$A14,main!$A$3:$H$102,6,FALSE),0)</f>
        <v>0</v>
      </c>
      <c r="BH14">
        <f>IF(gamma!BH14,VLOOKUP(zeta!BH$1,main!$A$3:$H$102,5,FALSE)-VLOOKUP(zeta!$A14,main!$A$3:$H$102,6,FALSE),0)</f>
        <v>117</v>
      </c>
      <c r="BI14">
        <f>IF(gamma!BI14,VLOOKUP(zeta!BI$1,main!$A$3:$H$102,5,FALSE)-VLOOKUP(zeta!$A14,main!$A$3:$H$102,6,FALSE),0)</f>
        <v>502</v>
      </c>
      <c r="BJ14">
        <f>IF(gamma!BJ14,VLOOKUP(zeta!BJ$1,main!$A$3:$H$102,5,FALSE)-VLOOKUP(zeta!$A14,main!$A$3:$H$102,6,FALSE),0)</f>
        <v>292</v>
      </c>
      <c r="BK14">
        <f>IF(gamma!BK14,VLOOKUP(zeta!BK$1,main!$A$3:$H$102,5,FALSE)-VLOOKUP(zeta!$A14,main!$A$3:$H$102,6,FALSE),0)</f>
        <v>0</v>
      </c>
      <c r="BL14">
        <f>IF(gamma!BL14,VLOOKUP(zeta!BL$1,main!$A$3:$H$102,5,FALSE)-VLOOKUP(zeta!$A14,main!$A$3:$H$102,6,FALSE),0)</f>
        <v>0</v>
      </c>
      <c r="BM14">
        <f>IF(gamma!BM14,VLOOKUP(zeta!BM$1,main!$A$3:$H$102,5,FALSE)-VLOOKUP(zeta!$A14,main!$A$3:$H$102,6,FALSE),0)</f>
        <v>0</v>
      </c>
      <c r="BN14">
        <f>IF(gamma!BN14,VLOOKUP(zeta!BN$1,main!$A$3:$H$102,5,FALSE)-VLOOKUP(zeta!$A14,main!$A$3:$H$102,6,FALSE),0)</f>
        <v>192</v>
      </c>
      <c r="BO14">
        <f>IF(gamma!BO14,VLOOKUP(zeta!BO$1,main!$A$3:$H$102,5,FALSE)-VLOOKUP(zeta!$A14,main!$A$3:$H$102,6,FALSE),0)</f>
        <v>0</v>
      </c>
      <c r="BP14">
        <f>IF(gamma!BP14,VLOOKUP(zeta!BP$1,main!$A$3:$H$102,5,FALSE)-VLOOKUP(zeta!$A14,main!$A$3:$H$102,6,FALSE),0)</f>
        <v>0</v>
      </c>
      <c r="BQ14">
        <f>IF(gamma!BQ14,VLOOKUP(zeta!BQ$1,main!$A$3:$H$102,5,FALSE)-VLOOKUP(zeta!$A14,main!$A$3:$H$102,6,FALSE),0)</f>
        <v>47</v>
      </c>
      <c r="BR14">
        <f>IF(gamma!BR14,VLOOKUP(zeta!BR$1,main!$A$3:$H$102,5,FALSE)-VLOOKUP(zeta!$A14,main!$A$3:$H$102,6,FALSE),0)</f>
        <v>82</v>
      </c>
      <c r="BS14">
        <f>IF(gamma!BS14,VLOOKUP(zeta!BS$1,main!$A$3:$H$102,5,FALSE)-VLOOKUP(zeta!$A14,main!$A$3:$H$102,6,FALSE),0)</f>
        <v>92</v>
      </c>
      <c r="BT14">
        <f>IF(gamma!BT14,VLOOKUP(zeta!BT$1,main!$A$3:$H$102,5,FALSE)-VLOOKUP(zeta!$A14,main!$A$3:$H$102,6,FALSE),0)</f>
        <v>42</v>
      </c>
      <c r="BU14">
        <f>IF(gamma!BU14,VLOOKUP(zeta!BU$1,main!$A$3:$H$102,5,FALSE)-VLOOKUP(zeta!$A14,main!$A$3:$H$102,6,FALSE),0)</f>
        <v>0</v>
      </c>
      <c r="BV14">
        <f>IF(gamma!BV14,VLOOKUP(zeta!BV$1,main!$A$3:$H$102,5,FALSE)-VLOOKUP(zeta!$A14,main!$A$3:$H$102,6,FALSE),0)</f>
        <v>0</v>
      </c>
      <c r="BW14">
        <f>IF(gamma!BW14,VLOOKUP(zeta!BW$1,main!$A$3:$H$102,5,FALSE)-VLOOKUP(zeta!$A14,main!$A$3:$H$102,6,FALSE),0)</f>
        <v>0</v>
      </c>
      <c r="BX14">
        <f>IF(gamma!BX14,VLOOKUP(zeta!BX$1,main!$A$3:$H$102,5,FALSE)-VLOOKUP(zeta!$A14,main!$A$3:$H$102,6,FALSE),0)</f>
        <v>57</v>
      </c>
      <c r="BY14">
        <f>IF(gamma!BY14,VLOOKUP(zeta!BY$1,main!$A$3:$H$102,5,FALSE)-VLOOKUP(zeta!$A14,main!$A$3:$H$102,6,FALSE),0)</f>
        <v>142</v>
      </c>
      <c r="BZ14">
        <f>IF(gamma!BZ14,VLOOKUP(zeta!BZ$1,main!$A$3:$H$102,5,FALSE)-VLOOKUP(zeta!$A14,main!$A$3:$H$102,6,FALSE),0)</f>
        <v>0</v>
      </c>
      <c r="CA14">
        <f>IF(gamma!CA14,VLOOKUP(zeta!CA$1,main!$A$3:$H$102,5,FALSE)-VLOOKUP(zeta!$A14,main!$A$3:$H$102,6,FALSE),0)</f>
        <v>0</v>
      </c>
      <c r="CB14">
        <f>IF(gamma!CB14,VLOOKUP(zeta!CB$1,main!$A$3:$H$102,5,FALSE)-VLOOKUP(zeta!$A14,main!$A$3:$H$102,6,FALSE),0)</f>
        <v>197</v>
      </c>
      <c r="CC14">
        <f>IF(gamma!CC14,VLOOKUP(zeta!CC$1,main!$A$3:$H$102,5,FALSE)-VLOOKUP(zeta!$A14,main!$A$3:$H$102,6,FALSE),0)</f>
        <v>407</v>
      </c>
      <c r="CD14">
        <f>IF(gamma!CD14,VLOOKUP(zeta!CD$1,main!$A$3:$H$102,5,FALSE)-VLOOKUP(zeta!$A14,main!$A$3:$H$102,6,FALSE),0)</f>
        <v>142</v>
      </c>
      <c r="CE14">
        <f>IF(gamma!CE14,VLOOKUP(zeta!CE$1,main!$A$3:$H$102,5,FALSE)-VLOOKUP(zeta!$A14,main!$A$3:$H$102,6,FALSE),0)</f>
        <v>0</v>
      </c>
      <c r="CF14">
        <f>IF(gamma!CF14,VLOOKUP(zeta!CF$1,main!$A$3:$H$102,5,FALSE)-VLOOKUP(zeta!$A14,main!$A$3:$H$102,6,FALSE),0)</f>
        <v>0</v>
      </c>
      <c r="CG14">
        <f>IF(gamma!CG14,VLOOKUP(zeta!CG$1,main!$A$3:$H$102,5,FALSE)-VLOOKUP(zeta!$A14,main!$A$3:$H$102,6,FALSE),0)</f>
        <v>92</v>
      </c>
      <c r="CH14">
        <f>IF(gamma!CH14,VLOOKUP(zeta!CH$1,main!$A$3:$H$102,5,FALSE)-VLOOKUP(zeta!$A14,main!$A$3:$H$102,6,FALSE),0)</f>
        <v>292</v>
      </c>
      <c r="CI14">
        <f>IF(gamma!CI14,VLOOKUP(zeta!CI$1,main!$A$3:$H$102,5,FALSE)-VLOOKUP(zeta!$A14,main!$A$3:$H$102,6,FALSE),0)</f>
        <v>492</v>
      </c>
      <c r="CJ14">
        <f>IF(gamma!CJ14,VLOOKUP(zeta!CJ$1,main!$A$3:$H$102,5,FALSE)-VLOOKUP(zeta!$A14,main!$A$3:$H$102,6,FALSE),0)</f>
        <v>82</v>
      </c>
      <c r="CK14">
        <f>IF(gamma!CK14,VLOOKUP(zeta!CK$1,main!$A$3:$H$102,5,FALSE)-VLOOKUP(zeta!$A14,main!$A$3:$H$102,6,FALSE),0)</f>
        <v>0</v>
      </c>
      <c r="CL14">
        <f>IF(gamma!CL14,VLOOKUP(zeta!CL$1,main!$A$3:$H$102,5,FALSE)-VLOOKUP(zeta!$A14,main!$A$3:$H$102,6,FALSE),0)</f>
        <v>92</v>
      </c>
      <c r="CM14">
        <f>IF(gamma!CM14,VLOOKUP(zeta!CM$1,main!$A$3:$H$102,5,FALSE)-VLOOKUP(zeta!$A14,main!$A$3:$H$102,6,FALSE),0)</f>
        <v>268</v>
      </c>
      <c r="CN14">
        <f>IF(gamma!CN14,VLOOKUP(zeta!CN$1,main!$A$3:$H$102,5,FALSE)-VLOOKUP(zeta!$A14,main!$A$3:$H$102,6,FALSE),0)</f>
        <v>492</v>
      </c>
      <c r="CO14">
        <f>IF(gamma!CO14,VLOOKUP(zeta!CO$1,main!$A$3:$H$102,5,FALSE)-VLOOKUP(zeta!$A14,main!$A$3:$H$102,6,FALSE),0)</f>
        <v>0</v>
      </c>
      <c r="CP14">
        <f>IF(gamma!CP14,VLOOKUP(zeta!CP$1,main!$A$3:$H$102,5,FALSE)-VLOOKUP(zeta!$A14,main!$A$3:$H$102,6,FALSE),0)</f>
        <v>57</v>
      </c>
      <c r="CQ14">
        <f>IF(gamma!CQ14,VLOOKUP(zeta!CQ$1,main!$A$3:$H$102,5,FALSE)-VLOOKUP(zeta!$A14,main!$A$3:$H$102,6,FALSE),0)</f>
        <v>72</v>
      </c>
      <c r="CR14">
        <f>IF(gamma!CR14,VLOOKUP(zeta!CR$1,main!$A$3:$H$102,5,FALSE)-VLOOKUP(zeta!$A14,main!$A$3:$H$102,6,FALSE),0)</f>
        <v>257</v>
      </c>
      <c r="CS14">
        <f>IF(gamma!CS14,VLOOKUP(zeta!CS$1,main!$A$3:$H$102,5,FALSE)-VLOOKUP(zeta!$A14,main!$A$3:$H$102,6,FALSE),0)</f>
        <v>267</v>
      </c>
      <c r="CT14">
        <f>IF(gamma!CT14,VLOOKUP(zeta!CT$1,main!$A$3:$H$102,5,FALSE)-VLOOKUP(zeta!$A14,main!$A$3:$H$102,6,FALSE),0)</f>
        <v>0</v>
      </c>
      <c r="CU14">
        <f>IF(gamma!CU14,VLOOKUP(zeta!CU$1,main!$A$3:$H$102,5,FALSE)-VLOOKUP(zeta!$A14,main!$A$3:$H$102,6,FALSE),0)</f>
        <v>0</v>
      </c>
      <c r="CV14">
        <f>IF(gamma!CV14,VLOOKUP(zeta!CV$1,main!$A$3:$H$102,5,FALSE)-VLOOKUP(zeta!$A14,main!$A$3:$H$102,6,FALSE),0)</f>
        <v>72</v>
      </c>
      <c r="CW14">
        <f>IF(gamma!CW14,VLOOKUP(zeta!CW$1,main!$A$3:$H$102,5,FALSE)-VLOOKUP(zeta!$A14,main!$A$3:$H$102,6,FALSE),0)</f>
        <v>257</v>
      </c>
      <c r="CX14">
        <f>IF(gamma!CX14,VLOOKUP(zeta!CX$1,main!$A$3:$H$102,5,FALSE)-VLOOKUP(zeta!$A14,main!$A$3:$H$102,6,FALSE),0)</f>
        <v>297</v>
      </c>
    </row>
    <row r="15" spans="1:102" x14ac:dyDescent="0.25">
      <c r="A15">
        <f t="shared" si="0"/>
        <v>13</v>
      </c>
      <c r="B15">
        <v>0</v>
      </c>
      <c r="C15">
        <f>IF(gamma!C15,VLOOKUP(zeta!C$1,main!$A$3:$H$102,5,FALSE)-VLOOKUP(zeta!$A15,main!$A$3:$H$102,6,FALSE),0)</f>
        <v>0</v>
      </c>
      <c r="D15">
        <f>IF(gamma!D15,VLOOKUP(zeta!D$1,main!$A$3:$H$102,5,FALSE)-VLOOKUP(zeta!$A15,main!$A$3:$H$102,6,FALSE),0)</f>
        <v>0</v>
      </c>
      <c r="E15">
        <f>IF(gamma!E15,VLOOKUP(zeta!E$1,main!$A$3:$H$102,5,FALSE)-VLOOKUP(zeta!$A15,main!$A$3:$H$102,6,FALSE),0)</f>
        <v>0</v>
      </c>
      <c r="F15">
        <f>IF(gamma!F15,VLOOKUP(zeta!F$1,main!$A$3:$H$102,5,FALSE)-VLOOKUP(zeta!$A15,main!$A$3:$H$102,6,FALSE),0)</f>
        <v>0</v>
      </c>
      <c r="G15">
        <f>IF(gamma!G15,VLOOKUP(zeta!G$1,main!$A$3:$H$102,5,FALSE)-VLOOKUP(zeta!$A15,main!$A$3:$H$102,6,FALSE),0)</f>
        <v>90</v>
      </c>
      <c r="H15">
        <f>IF(gamma!H15,VLOOKUP(zeta!H$1,main!$A$3:$H$102,5,FALSE)-VLOOKUP(zeta!$A15,main!$A$3:$H$102,6,FALSE),0)</f>
        <v>180</v>
      </c>
      <c r="I15">
        <f>IF(gamma!I15,VLOOKUP(zeta!I$1,main!$A$3:$H$102,5,FALSE)-VLOOKUP(zeta!$A15,main!$A$3:$H$102,6,FALSE),0)</f>
        <v>240</v>
      </c>
      <c r="J15">
        <f>IF(gamma!J15,VLOOKUP(zeta!J$1,main!$A$3:$H$102,5,FALSE)-VLOOKUP(zeta!$A15,main!$A$3:$H$102,6,FALSE),0)</f>
        <v>300</v>
      </c>
      <c r="K15">
        <f>IF(gamma!K15,VLOOKUP(zeta!K$1,main!$A$3:$H$102,5,FALSE)-VLOOKUP(zeta!$A15,main!$A$3:$H$102,6,FALSE),0)</f>
        <v>360</v>
      </c>
      <c r="L15">
        <f>IF(gamma!L15,VLOOKUP(zeta!L$1,main!$A$3:$H$102,5,FALSE)-VLOOKUP(zeta!$A15,main!$A$3:$H$102,6,FALSE),0)</f>
        <v>450</v>
      </c>
      <c r="M15">
        <f>IF(gamma!M15,VLOOKUP(zeta!M$1,main!$A$3:$H$102,5,FALSE)-VLOOKUP(zeta!$A15,main!$A$3:$H$102,6,FALSE),0)</f>
        <v>0</v>
      </c>
      <c r="N15">
        <f>IF(gamma!N15,VLOOKUP(zeta!N$1,main!$A$3:$H$102,5,FALSE)-VLOOKUP(zeta!$A15,main!$A$3:$H$102,6,FALSE),0)</f>
        <v>0</v>
      </c>
      <c r="O15">
        <f>IF(gamma!O15,VLOOKUP(zeta!O$1,main!$A$3:$H$102,5,FALSE)-VLOOKUP(zeta!$A15,main!$A$3:$H$102,6,FALSE),0)</f>
        <v>0</v>
      </c>
      <c r="P15">
        <f>IF(gamma!P15,VLOOKUP(zeta!P$1,main!$A$3:$H$102,5,FALSE)-VLOOKUP(zeta!$A15,main!$A$3:$H$102,6,FALSE),0)</f>
        <v>0</v>
      </c>
      <c r="Q15">
        <f>IF(gamma!Q15,VLOOKUP(zeta!Q$1,main!$A$3:$H$102,5,FALSE)-VLOOKUP(zeta!$A15,main!$A$3:$H$102,6,FALSE),0)</f>
        <v>0</v>
      </c>
      <c r="R15">
        <f>IF(gamma!R15,VLOOKUP(zeta!R$1,main!$A$3:$H$102,5,FALSE)-VLOOKUP(zeta!$A15,main!$A$3:$H$102,6,FALSE),0)</f>
        <v>55</v>
      </c>
      <c r="S15">
        <f>IF(gamma!S15,VLOOKUP(zeta!S$1,main!$A$3:$H$102,5,FALSE)-VLOOKUP(zeta!$A15,main!$A$3:$H$102,6,FALSE),0)</f>
        <v>180</v>
      </c>
      <c r="T15">
        <f>IF(gamma!T15,VLOOKUP(zeta!T$1,main!$A$3:$H$102,5,FALSE)-VLOOKUP(zeta!$A15,main!$A$3:$H$102,6,FALSE),0)</f>
        <v>260</v>
      </c>
      <c r="U15">
        <f>IF(gamma!U15,VLOOKUP(zeta!U$1,main!$A$3:$H$102,5,FALSE)-VLOOKUP(zeta!$A15,main!$A$3:$H$102,6,FALSE),0)</f>
        <v>415</v>
      </c>
      <c r="V15">
        <f>IF(gamma!V15,VLOOKUP(zeta!V$1,main!$A$3:$H$102,5,FALSE)-VLOOKUP(zeta!$A15,main!$A$3:$H$102,6,FALSE),0)</f>
        <v>475</v>
      </c>
      <c r="W15">
        <f>IF(gamma!W15,VLOOKUP(zeta!W$1,main!$A$3:$H$102,5,FALSE)-VLOOKUP(zeta!$A15,main!$A$3:$H$102,6,FALSE),0)</f>
        <v>0</v>
      </c>
      <c r="X15">
        <f>IF(gamma!X15,VLOOKUP(zeta!X$1,main!$A$3:$H$102,5,FALSE)-VLOOKUP(zeta!$A15,main!$A$3:$H$102,6,FALSE),0)</f>
        <v>0</v>
      </c>
      <c r="Y15">
        <f>IF(gamma!Y15,VLOOKUP(zeta!Y$1,main!$A$3:$H$102,5,FALSE)-VLOOKUP(zeta!$A15,main!$A$3:$H$102,6,FALSE),0)</f>
        <v>50</v>
      </c>
      <c r="Z15">
        <f>IF(gamma!Z15,VLOOKUP(zeta!Z$1,main!$A$3:$H$102,5,FALSE)-VLOOKUP(zeta!$A15,main!$A$3:$H$102,6,FALSE),0)</f>
        <v>230</v>
      </c>
      <c r="AA15">
        <f>IF(gamma!AA15,VLOOKUP(zeta!AA$1,main!$A$3:$H$102,5,FALSE)-VLOOKUP(zeta!$A15,main!$A$3:$H$102,6,FALSE),0)</f>
        <v>380</v>
      </c>
      <c r="AB15">
        <f>IF(gamma!AB15,VLOOKUP(zeta!AB$1,main!$A$3:$H$102,5,FALSE)-VLOOKUP(zeta!$A15,main!$A$3:$H$102,6,FALSE),0)</f>
        <v>0</v>
      </c>
      <c r="AC15">
        <f>IF(gamma!AC15,VLOOKUP(zeta!AC$1,main!$A$3:$H$102,5,FALSE)-VLOOKUP(zeta!$A15,main!$A$3:$H$102,6,FALSE),0)</f>
        <v>0</v>
      </c>
      <c r="AD15">
        <f>IF(gamma!AD15,VLOOKUP(zeta!AD$1,main!$A$3:$H$102,5,FALSE)-VLOOKUP(zeta!$A15,main!$A$3:$H$102,6,FALSE),0)</f>
        <v>0</v>
      </c>
      <c r="AE15">
        <f>IF(gamma!AE15,VLOOKUP(zeta!AE$1,main!$A$3:$H$102,5,FALSE)-VLOOKUP(zeta!$A15,main!$A$3:$H$102,6,FALSE),0)</f>
        <v>190</v>
      </c>
      <c r="AF15">
        <f>IF(gamma!AF15,VLOOKUP(zeta!AF$1,main!$A$3:$H$102,5,FALSE)-VLOOKUP(zeta!$A15,main!$A$3:$H$102,6,FALSE),0)</f>
        <v>360</v>
      </c>
      <c r="AG15">
        <f>IF(gamma!AG15,VLOOKUP(zeta!AG$1,main!$A$3:$H$102,5,FALSE)-VLOOKUP(zeta!$A15,main!$A$3:$H$102,6,FALSE),0)</f>
        <v>0</v>
      </c>
      <c r="AH15">
        <f>IF(gamma!AH15,VLOOKUP(zeta!AH$1,main!$A$3:$H$102,5,FALSE)-VLOOKUP(zeta!$A15,main!$A$3:$H$102,6,FALSE),0)</f>
        <v>0</v>
      </c>
      <c r="AI15">
        <f>IF(gamma!AI15,VLOOKUP(zeta!AI$1,main!$A$3:$H$102,5,FALSE)-VLOOKUP(zeta!$A15,main!$A$3:$H$102,6,FALSE),0)</f>
        <v>0</v>
      </c>
      <c r="AJ15">
        <f>IF(gamma!AJ15,VLOOKUP(zeta!AJ$1,main!$A$3:$H$102,5,FALSE)-VLOOKUP(zeta!$A15,main!$A$3:$H$102,6,FALSE),0)</f>
        <v>70</v>
      </c>
      <c r="AK15">
        <f>IF(gamma!AK15,VLOOKUP(zeta!AK$1,main!$A$3:$H$102,5,FALSE)-VLOOKUP(zeta!$A15,main!$A$3:$H$102,6,FALSE),0)</f>
        <v>160</v>
      </c>
      <c r="AL15">
        <f>IF(gamma!AL15,VLOOKUP(zeta!AL$1,main!$A$3:$H$102,5,FALSE)-VLOOKUP(zeta!$A15,main!$A$3:$H$102,6,FALSE),0)</f>
        <v>250</v>
      </c>
      <c r="AM15">
        <f>IF(gamma!AM15,VLOOKUP(zeta!AM$1,main!$A$3:$H$102,5,FALSE)-VLOOKUP(zeta!$A15,main!$A$3:$H$102,6,FALSE),0)</f>
        <v>340</v>
      </c>
      <c r="AN15">
        <f>IF(gamma!AN15,VLOOKUP(zeta!AN$1,main!$A$3:$H$102,5,FALSE)-VLOOKUP(zeta!$A15,main!$A$3:$H$102,6,FALSE),0)</f>
        <v>400</v>
      </c>
      <c r="AO15">
        <f>IF(gamma!AO15,VLOOKUP(zeta!AO$1,main!$A$3:$H$102,5,FALSE)-VLOOKUP(zeta!$A15,main!$A$3:$H$102,6,FALSE),0)</f>
        <v>0</v>
      </c>
      <c r="AP15">
        <f>IF(gamma!AP15,VLOOKUP(zeta!AP$1,main!$A$3:$H$102,5,FALSE)-VLOOKUP(zeta!$A15,main!$A$3:$H$102,6,FALSE),0)</f>
        <v>460</v>
      </c>
      <c r="AQ15">
        <f>IF(gamma!AQ15,VLOOKUP(zeta!AQ$1,main!$A$3:$H$102,5,FALSE)-VLOOKUP(zeta!$A15,main!$A$3:$H$102,6,FALSE),0)</f>
        <v>0</v>
      </c>
      <c r="AR15">
        <f>IF(gamma!AR15,VLOOKUP(zeta!AR$1,main!$A$3:$H$102,5,FALSE)-VLOOKUP(zeta!$A15,main!$A$3:$H$102,6,FALSE),0)</f>
        <v>0</v>
      </c>
      <c r="AS15">
        <f>IF(gamma!AS15,VLOOKUP(zeta!AS$1,main!$A$3:$H$102,5,FALSE)-VLOOKUP(zeta!$A15,main!$A$3:$H$102,6,FALSE),0)</f>
        <v>60</v>
      </c>
      <c r="AT15">
        <f>IF(gamma!AT15,VLOOKUP(zeta!AT$1,main!$A$3:$H$102,5,FALSE)-VLOOKUP(zeta!$A15,main!$A$3:$H$102,6,FALSE),0)</f>
        <v>210</v>
      </c>
      <c r="AU15">
        <f>IF(gamma!AU15,VLOOKUP(zeta!AU$1,main!$A$3:$H$102,5,FALSE)-VLOOKUP(zeta!$A15,main!$A$3:$H$102,6,FALSE),0)</f>
        <v>0</v>
      </c>
      <c r="AV15">
        <f>IF(gamma!AV15,VLOOKUP(zeta!AV$1,main!$A$3:$H$102,5,FALSE)-VLOOKUP(zeta!$A15,main!$A$3:$H$102,6,FALSE),0)</f>
        <v>0</v>
      </c>
      <c r="AW15">
        <f>IF(gamma!AW15,VLOOKUP(zeta!AW$1,main!$A$3:$H$102,5,FALSE)-VLOOKUP(zeta!$A15,main!$A$3:$H$102,6,FALSE),0)</f>
        <v>160</v>
      </c>
      <c r="AX15">
        <f>IF(gamma!AX15,VLOOKUP(zeta!AX$1,main!$A$3:$H$102,5,FALSE)-VLOOKUP(zeta!$A15,main!$A$3:$H$102,6,FALSE),0)</f>
        <v>0</v>
      </c>
      <c r="AY15">
        <f>IF(gamma!AY15,VLOOKUP(zeta!AY$1,main!$A$3:$H$102,5,FALSE)-VLOOKUP(zeta!$A15,main!$A$3:$H$102,6,FALSE),0)</f>
        <v>0</v>
      </c>
      <c r="AZ15">
        <f>IF(gamma!AZ15,VLOOKUP(zeta!AZ$1,main!$A$3:$H$102,5,FALSE)-VLOOKUP(zeta!$A15,main!$A$3:$H$102,6,FALSE),0)</f>
        <v>0</v>
      </c>
      <c r="BA15">
        <f>IF(gamma!BA15,VLOOKUP(zeta!BA$1,main!$A$3:$H$102,5,FALSE)-VLOOKUP(zeta!$A15,main!$A$3:$H$102,6,FALSE),0)</f>
        <v>0</v>
      </c>
      <c r="BB15">
        <f>IF(gamma!BB15,VLOOKUP(zeta!BB$1,main!$A$3:$H$102,5,FALSE)-VLOOKUP(zeta!$A15,main!$A$3:$H$102,6,FALSE),0)</f>
        <v>0</v>
      </c>
      <c r="BC15">
        <f>IF(gamma!BC15,VLOOKUP(zeta!BC$1,main!$A$3:$H$102,5,FALSE)-VLOOKUP(zeta!$A15,main!$A$3:$H$102,6,FALSE),0)</f>
        <v>120</v>
      </c>
      <c r="BD15">
        <f>IF(gamma!BD15,VLOOKUP(zeta!BD$1,main!$A$3:$H$102,5,FALSE)-VLOOKUP(zeta!$A15,main!$A$3:$H$102,6,FALSE),0)</f>
        <v>180</v>
      </c>
      <c r="BE15">
        <f>IF(gamma!BE15,VLOOKUP(zeta!BE$1,main!$A$3:$H$102,5,FALSE)-VLOOKUP(zeta!$A15,main!$A$3:$H$102,6,FALSE),0)</f>
        <v>300</v>
      </c>
      <c r="BF15">
        <f>IF(gamma!BF15,VLOOKUP(zeta!BF$1,main!$A$3:$H$102,5,FALSE)-VLOOKUP(zeta!$A15,main!$A$3:$H$102,6,FALSE),0)</f>
        <v>0</v>
      </c>
      <c r="BG15">
        <f>IF(gamma!BG15,VLOOKUP(zeta!BG$1,main!$A$3:$H$102,5,FALSE)-VLOOKUP(zeta!$A15,main!$A$3:$H$102,6,FALSE),0)</f>
        <v>0</v>
      </c>
      <c r="BH15">
        <f>IF(gamma!BH15,VLOOKUP(zeta!BH$1,main!$A$3:$H$102,5,FALSE)-VLOOKUP(zeta!$A15,main!$A$3:$H$102,6,FALSE),0)</f>
        <v>85</v>
      </c>
      <c r="BI15">
        <f>IF(gamma!BI15,VLOOKUP(zeta!BI$1,main!$A$3:$H$102,5,FALSE)-VLOOKUP(zeta!$A15,main!$A$3:$H$102,6,FALSE),0)</f>
        <v>470</v>
      </c>
      <c r="BJ15">
        <f>IF(gamma!BJ15,VLOOKUP(zeta!BJ$1,main!$A$3:$H$102,5,FALSE)-VLOOKUP(zeta!$A15,main!$A$3:$H$102,6,FALSE),0)</f>
        <v>260</v>
      </c>
      <c r="BK15">
        <f>IF(gamma!BK15,VLOOKUP(zeta!BK$1,main!$A$3:$H$102,5,FALSE)-VLOOKUP(zeta!$A15,main!$A$3:$H$102,6,FALSE),0)</f>
        <v>0</v>
      </c>
      <c r="BL15">
        <f>IF(gamma!BL15,VLOOKUP(zeta!BL$1,main!$A$3:$H$102,5,FALSE)-VLOOKUP(zeta!$A15,main!$A$3:$H$102,6,FALSE),0)</f>
        <v>0</v>
      </c>
      <c r="BM15">
        <f>IF(gamma!BM15,VLOOKUP(zeta!BM$1,main!$A$3:$H$102,5,FALSE)-VLOOKUP(zeta!$A15,main!$A$3:$H$102,6,FALSE),0)</f>
        <v>0</v>
      </c>
      <c r="BN15">
        <f>IF(gamma!BN15,VLOOKUP(zeta!BN$1,main!$A$3:$H$102,5,FALSE)-VLOOKUP(zeta!$A15,main!$A$3:$H$102,6,FALSE),0)</f>
        <v>160</v>
      </c>
      <c r="BO15">
        <f>IF(gamma!BO15,VLOOKUP(zeta!BO$1,main!$A$3:$H$102,5,FALSE)-VLOOKUP(zeta!$A15,main!$A$3:$H$102,6,FALSE),0)</f>
        <v>0</v>
      </c>
      <c r="BP15">
        <f>IF(gamma!BP15,VLOOKUP(zeta!BP$1,main!$A$3:$H$102,5,FALSE)-VLOOKUP(zeta!$A15,main!$A$3:$H$102,6,FALSE),0)</f>
        <v>0</v>
      </c>
      <c r="BQ15">
        <f>IF(gamma!BQ15,VLOOKUP(zeta!BQ$1,main!$A$3:$H$102,5,FALSE)-VLOOKUP(zeta!$A15,main!$A$3:$H$102,6,FALSE),0)</f>
        <v>15</v>
      </c>
      <c r="BR15">
        <f>IF(gamma!BR15,VLOOKUP(zeta!BR$1,main!$A$3:$H$102,5,FALSE)-VLOOKUP(zeta!$A15,main!$A$3:$H$102,6,FALSE),0)</f>
        <v>50</v>
      </c>
      <c r="BS15">
        <f>IF(gamma!BS15,VLOOKUP(zeta!BS$1,main!$A$3:$H$102,5,FALSE)-VLOOKUP(zeta!$A15,main!$A$3:$H$102,6,FALSE),0)</f>
        <v>60</v>
      </c>
      <c r="BT15">
        <f>IF(gamma!BT15,VLOOKUP(zeta!BT$1,main!$A$3:$H$102,5,FALSE)-VLOOKUP(zeta!$A15,main!$A$3:$H$102,6,FALSE),0)</f>
        <v>0</v>
      </c>
      <c r="BU15">
        <f>IF(gamma!BU15,VLOOKUP(zeta!BU$1,main!$A$3:$H$102,5,FALSE)-VLOOKUP(zeta!$A15,main!$A$3:$H$102,6,FALSE),0)</f>
        <v>0</v>
      </c>
      <c r="BV15">
        <f>IF(gamma!BV15,VLOOKUP(zeta!BV$1,main!$A$3:$H$102,5,FALSE)-VLOOKUP(zeta!$A15,main!$A$3:$H$102,6,FALSE),0)</f>
        <v>0</v>
      </c>
      <c r="BW15">
        <f>IF(gamma!BW15,VLOOKUP(zeta!BW$1,main!$A$3:$H$102,5,FALSE)-VLOOKUP(zeta!$A15,main!$A$3:$H$102,6,FALSE),0)</f>
        <v>0</v>
      </c>
      <c r="BX15">
        <f>IF(gamma!BX15,VLOOKUP(zeta!BX$1,main!$A$3:$H$102,5,FALSE)-VLOOKUP(zeta!$A15,main!$A$3:$H$102,6,FALSE),0)</f>
        <v>25</v>
      </c>
      <c r="BY15">
        <f>IF(gamma!BY15,VLOOKUP(zeta!BY$1,main!$A$3:$H$102,5,FALSE)-VLOOKUP(zeta!$A15,main!$A$3:$H$102,6,FALSE),0)</f>
        <v>110</v>
      </c>
      <c r="BZ15">
        <f>IF(gamma!BZ15,VLOOKUP(zeta!BZ$1,main!$A$3:$H$102,5,FALSE)-VLOOKUP(zeta!$A15,main!$A$3:$H$102,6,FALSE),0)</f>
        <v>0</v>
      </c>
      <c r="CA15">
        <f>IF(gamma!CA15,VLOOKUP(zeta!CA$1,main!$A$3:$H$102,5,FALSE)-VLOOKUP(zeta!$A15,main!$A$3:$H$102,6,FALSE),0)</f>
        <v>0</v>
      </c>
      <c r="CB15">
        <f>IF(gamma!CB15,VLOOKUP(zeta!CB$1,main!$A$3:$H$102,5,FALSE)-VLOOKUP(zeta!$A15,main!$A$3:$H$102,6,FALSE),0)</f>
        <v>165</v>
      </c>
      <c r="CC15">
        <f>IF(gamma!CC15,VLOOKUP(zeta!CC$1,main!$A$3:$H$102,5,FALSE)-VLOOKUP(zeta!$A15,main!$A$3:$H$102,6,FALSE),0)</f>
        <v>375</v>
      </c>
      <c r="CD15">
        <f>IF(gamma!CD15,VLOOKUP(zeta!CD$1,main!$A$3:$H$102,5,FALSE)-VLOOKUP(zeta!$A15,main!$A$3:$H$102,6,FALSE),0)</f>
        <v>110</v>
      </c>
      <c r="CE15">
        <f>IF(gamma!CE15,VLOOKUP(zeta!CE$1,main!$A$3:$H$102,5,FALSE)-VLOOKUP(zeta!$A15,main!$A$3:$H$102,6,FALSE),0)</f>
        <v>0</v>
      </c>
      <c r="CF15">
        <f>IF(gamma!CF15,VLOOKUP(zeta!CF$1,main!$A$3:$H$102,5,FALSE)-VLOOKUP(zeta!$A15,main!$A$3:$H$102,6,FALSE),0)</f>
        <v>0</v>
      </c>
      <c r="CG15">
        <f>IF(gamma!CG15,VLOOKUP(zeta!CG$1,main!$A$3:$H$102,5,FALSE)-VLOOKUP(zeta!$A15,main!$A$3:$H$102,6,FALSE),0)</f>
        <v>60</v>
      </c>
      <c r="CH15">
        <f>IF(gamma!CH15,VLOOKUP(zeta!CH$1,main!$A$3:$H$102,5,FALSE)-VLOOKUP(zeta!$A15,main!$A$3:$H$102,6,FALSE),0)</f>
        <v>260</v>
      </c>
      <c r="CI15">
        <f>IF(gamma!CI15,VLOOKUP(zeta!CI$1,main!$A$3:$H$102,5,FALSE)-VLOOKUP(zeta!$A15,main!$A$3:$H$102,6,FALSE),0)</f>
        <v>460</v>
      </c>
      <c r="CJ15">
        <f>IF(gamma!CJ15,VLOOKUP(zeta!CJ$1,main!$A$3:$H$102,5,FALSE)-VLOOKUP(zeta!$A15,main!$A$3:$H$102,6,FALSE),0)</f>
        <v>50</v>
      </c>
      <c r="CK15">
        <f>IF(gamma!CK15,VLOOKUP(zeta!CK$1,main!$A$3:$H$102,5,FALSE)-VLOOKUP(zeta!$A15,main!$A$3:$H$102,6,FALSE),0)</f>
        <v>0</v>
      </c>
      <c r="CL15">
        <f>IF(gamma!CL15,VLOOKUP(zeta!CL$1,main!$A$3:$H$102,5,FALSE)-VLOOKUP(zeta!$A15,main!$A$3:$H$102,6,FALSE),0)</f>
        <v>60</v>
      </c>
      <c r="CM15">
        <f>IF(gamma!CM15,VLOOKUP(zeta!CM$1,main!$A$3:$H$102,5,FALSE)-VLOOKUP(zeta!$A15,main!$A$3:$H$102,6,FALSE),0)</f>
        <v>236</v>
      </c>
      <c r="CN15">
        <f>IF(gamma!CN15,VLOOKUP(zeta!CN$1,main!$A$3:$H$102,5,FALSE)-VLOOKUP(zeta!$A15,main!$A$3:$H$102,6,FALSE),0)</f>
        <v>460</v>
      </c>
      <c r="CO15">
        <f>IF(gamma!CO15,VLOOKUP(zeta!CO$1,main!$A$3:$H$102,5,FALSE)-VLOOKUP(zeta!$A15,main!$A$3:$H$102,6,FALSE),0)</f>
        <v>0</v>
      </c>
      <c r="CP15">
        <f>IF(gamma!CP15,VLOOKUP(zeta!CP$1,main!$A$3:$H$102,5,FALSE)-VLOOKUP(zeta!$A15,main!$A$3:$H$102,6,FALSE),0)</f>
        <v>0</v>
      </c>
      <c r="CQ15">
        <f>IF(gamma!CQ15,VLOOKUP(zeta!CQ$1,main!$A$3:$H$102,5,FALSE)-VLOOKUP(zeta!$A15,main!$A$3:$H$102,6,FALSE),0)</f>
        <v>0</v>
      </c>
      <c r="CR15">
        <f>IF(gamma!CR15,VLOOKUP(zeta!CR$1,main!$A$3:$H$102,5,FALSE)-VLOOKUP(zeta!$A15,main!$A$3:$H$102,6,FALSE),0)</f>
        <v>225</v>
      </c>
      <c r="CS15">
        <f>IF(gamma!CS15,VLOOKUP(zeta!CS$1,main!$A$3:$H$102,5,FALSE)-VLOOKUP(zeta!$A15,main!$A$3:$H$102,6,FALSE),0)</f>
        <v>235</v>
      </c>
      <c r="CT15">
        <f>IF(gamma!CT15,VLOOKUP(zeta!CT$1,main!$A$3:$H$102,5,FALSE)-VLOOKUP(zeta!$A15,main!$A$3:$H$102,6,FALSE),0)</f>
        <v>0</v>
      </c>
      <c r="CU15">
        <f>IF(gamma!CU15,VLOOKUP(zeta!CU$1,main!$A$3:$H$102,5,FALSE)-VLOOKUP(zeta!$A15,main!$A$3:$H$102,6,FALSE),0)</f>
        <v>0</v>
      </c>
      <c r="CV15">
        <f>IF(gamma!CV15,VLOOKUP(zeta!CV$1,main!$A$3:$H$102,5,FALSE)-VLOOKUP(zeta!$A15,main!$A$3:$H$102,6,FALSE),0)</f>
        <v>0</v>
      </c>
      <c r="CW15">
        <f>IF(gamma!CW15,VLOOKUP(zeta!CW$1,main!$A$3:$H$102,5,FALSE)-VLOOKUP(zeta!$A15,main!$A$3:$H$102,6,FALSE),0)</f>
        <v>225</v>
      </c>
      <c r="CX15">
        <f>IF(gamma!CX15,VLOOKUP(zeta!CX$1,main!$A$3:$H$102,5,FALSE)-VLOOKUP(zeta!$A15,main!$A$3:$H$102,6,FALSE),0)</f>
        <v>265</v>
      </c>
    </row>
    <row r="16" spans="1:102" x14ac:dyDescent="0.25">
      <c r="A16">
        <f t="shared" si="0"/>
        <v>14</v>
      </c>
      <c r="B16">
        <v>0</v>
      </c>
      <c r="C16">
        <f>IF(gamma!C16,VLOOKUP(zeta!C$1,main!$A$3:$H$102,5,FALSE)-VLOOKUP(zeta!$A16,main!$A$3:$H$102,6,FALSE),0)</f>
        <v>0</v>
      </c>
      <c r="D16">
        <f>IF(gamma!D16,VLOOKUP(zeta!D$1,main!$A$3:$H$102,5,FALSE)-VLOOKUP(zeta!$A16,main!$A$3:$H$102,6,FALSE),0)</f>
        <v>0</v>
      </c>
      <c r="E16">
        <f>IF(gamma!E16,VLOOKUP(zeta!E$1,main!$A$3:$H$102,5,FALSE)-VLOOKUP(zeta!$A16,main!$A$3:$H$102,6,FALSE),0)</f>
        <v>0</v>
      </c>
      <c r="F16">
        <f>IF(gamma!F16,VLOOKUP(zeta!F$1,main!$A$3:$H$102,5,FALSE)-VLOOKUP(zeta!$A16,main!$A$3:$H$102,6,FALSE),0)</f>
        <v>0</v>
      </c>
      <c r="G16">
        <f>IF(gamma!G16,VLOOKUP(zeta!G$1,main!$A$3:$H$102,5,FALSE)-VLOOKUP(zeta!$A16,main!$A$3:$H$102,6,FALSE),0)</f>
        <v>0</v>
      </c>
      <c r="H16">
        <f>IF(gamma!H16,VLOOKUP(zeta!H$1,main!$A$3:$H$102,5,FALSE)-VLOOKUP(zeta!$A16,main!$A$3:$H$102,6,FALSE),0)</f>
        <v>105</v>
      </c>
      <c r="I16">
        <f>IF(gamma!I16,VLOOKUP(zeta!I$1,main!$A$3:$H$102,5,FALSE)-VLOOKUP(zeta!$A16,main!$A$3:$H$102,6,FALSE),0)</f>
        <v>165</v>
      </c>
      <c r="J16">
        <f>IF(gamma!J16,VLOOKUP(zeta!J$1,main!$A$3:$H$102,5,FALSE)-VLOOKUP(zeta!$A16,main!$A$3:$H$102,6,FALSE),0)</f>
        <v>225</v>
      </c>
      <c r="K16">
        <f>IF(gamma!K16,VLOOKUP(zeta!K$1,main!$A$3:$H$102,5,FALSE)-VLOOKUP(zeta!$A16,main!$A$3:$H$102,6,FALSE),0)</f>
        <v>285</v>
      </c>
      <c r="L16">
        <f>IF(gamma!L16,VLOOKUP(zeta!L$1,main!$A$3:$H$102,5,FALSE)-VLOOKUP(zeta!$A16,main!$A$3:$H$102,6,FALSE),0)</f>
        <v>375</v>
      </c>
      <c r="M16">
        <f>IF(gamma!M16,VLOOKUP(zeta!M$1,main!$A$3:$H$102,5,FALSE)-VLOOKUP(zeta!$A16,main!$A$3:$H$102,6,FALSE),0)</f>
        <v>0</v>
      </c>
      <c r="N16">
        <f>IF(gamma!N16,VLOOKUP(zeta!N$1,main!$A$3:$H$102,5,FALSE)-VLOOKUP(zeta!$A16,main!$A$3:$H$102,6,FALSE),0)</f>
        <v>0</v>
      </c>
      <c r="O16">
        <f>IF(gamma!O16,VLOOKUP(zeta!O$1,main!$A$3:$H$102,5,FALSE)-VLOOKUP(zeta!$A16,main!$A$3:$H$102,6,FALSE),0)</f>
        <v>0</v>
      </c>
      <c r="P16">
        <f>IF(gamma!P16,VLOOKUP(zeta!P$1,main!$A$3:$H$102,5,FALSE)-VLOOKUP(zeta!$A16,main!$A$3:$H$102,6,FALSE),0)</f>
        <v>0</v>
      </c>
      <c r="Q16">
        <f>IF(gamma!Q16,VLOOKUP(zeta!Q$1,main!$A$3:$H$102,5,FALSE)-VLOOKUP(zeta!$A16,main!$A$3:$H$102,6,FALSE),0)</f>
        <v>0</v>
      </c>
      <c r="R16">
        <f>IF(gamma!R16,VLOOKUP(zeta!R$1,main!$A$3:$H$102,5,FALSE)-VLOOKUP(zeta!$A16,main!$A$3:$H$102,6,FALSE),0)</f>
        <v>0</v>
      </c>
      <c r="S16">
        <f>IF(gamma!S16,VLOOKUP(zeta!S$1,main!$A$3:$H$102,5,FALSE)-VLOOKUP(zeta!$A16,main!$A$3:$H$102,6,FALSE),0)</f>
        <v>105</v>
      </c>
      <c r="T16">
        <f>IF(gamma!T16,VLOOKUP(zeta!T$1,main!$A$3:$H$102,5,FALSE)-VLOOKUP(zeta!$A16,main!$A$3:$H$102,6,FALSE),0)</f>
        <v>185</v>
      </c>
      <c r="U16">
        <f>IF(gamma!U16,VLOOKUP(zeta!U$1,main!$A$3:$H$102,5,FALSE)-VLOOKUP(zeta!$A16,main!$A$3:$H$102,6,FALSE),0)</f>
        <v>340</v>
      </c>
      <c r="V16">
        <f>IF(gamma!V16,VLOOKUP(zeta!V$1,main!$A$3:$H$102,5,FALSE)-VLOOKUP(zeta!$A16,main!$A$3:$H$102,6,FALSE),0)</f>
        <v>400</v>
      </c>
      <c r="W16">
        <f>IF(gamma!W16,VLOOKUP(zeta!W$1,main!$A$3:$H$102,5,FALSE)-VLOOKUP(zeta!$A16,main!$A$3:$H$102,6,FALSE),0)</f>
        <v>0</v>
      </c>
      <c r="X16">
        <f>IF(gamma!X16,VLOOKUP(zeta!X$1,main!$A$3:$H$102,5,FALSE)-VLOOKUP(zeta!$A16,main!$A$3:$H$102,6,FALSE),0)</f>
        <v>0</v>
      </c>
      <c r="Y16">
        <f>IF(gamma!Y16,VLOOKUP(zeta!Y$1,main!$A$3:$H$102,5,FALSE)-VLOOKUP(zeta!$A16,main!$A$3:$H$102,6,FALSE),0)</f>
        <v>0</v>
      </c>
      <c r="Z16">
        <f>IF(gamma!Z16,VLOOKUP(zeta!Z$1,main!$A$3:$H$102,5,FALSE)-VLOOKUP(zeta!$A16,main!$A$3:$H$102,6,FALSE),0)</f>
        <v>155</v>
      </c>
      <c r="AA16">
        <f>IF(gamma!AA16,VLOOKUP(zeta!AA$1,main!$A$3:$H$102,5,FALSE)-VLOOKUP(zeta!$A16,main!$A$3:$H$102,6,FALSE),0)</f>
        <v>305</v>
      </c>
      <c r="AB16">
        <f>IF(gamma!AB16,VLOOKUP(zeta!AB$1,main!$A$3:$H$102,5,FALSE)-VLOOKUP(zeta!$A16,main!$A$3:$H$102,6,FALSE),0)</f>
        <v>0</v>
      </c>
      <c r="AC16">
        <f>IF(gamma!AC16,VLOOKUP(zeta!AC$1,main!$A$3:$H$102,5,FALSE)-VLOOKUP(zeta!$A16,main!$A$3:$H$102,6,FALSE),0)</f>
        <v>0</v>
      </c>
      <c r="AD16">
        <f>IF(gamma!AD16,VLOOKUP(zeta!AD$1,main!$A$3:$H$102,5,FALSE)-VLOOKUP(zeta!$A16,main!$A$3:$H$102,6,FALSE),0)</f>
        <v>0</v>
      </c>
      <c r="AE16">
        <f>IF(gamma!AE16,VLOOKUP(zeta!AE$1,main!$A$3:$H$102,5,FALSE)-VLOOKUP(zeta!$A16,main!$A$3:$H$102,6,FALSE),0)</f>
        <v>115</v>
      </c>
      <c r="AF16">
        <f>IF(gamma!AF16,VLOOKUP(zeta!AF$1,main!$A$3:$H$102,5,FALSE)-VLOOKUP(zeta!$A16,main!$A$3:$H$102,6,FALSE),0)</f>
        <v>285</v>
      </c>
      <c r="AG16">
        <f>IF(gamma!AG16,VLOOKUP(zeta!AG$1,main!$A$3:$H$102,5,FALSE)-VLOOKUP(zeta!$A16,main!$A$3:$H$102,6,FALSE),0)</f>
        <v>0</v>
      </c>
      <c r="AH16">
        <f>IF(gamma!AH16,VLOOKUP(zeta!AH$1,main!$A$3:$H$102,5,FALSE)-VLOOKUP(zeta!$A16,main!$A$3:$H$102,6,FALSE),0)</f>
        <v>0</v>
      </c>
      <c r="AI16">
        <f>IF(gamma!AI16,VLOOKUP(zeta!AI$1,main!$A$3:$H$102,5,FALSE)-VLOOKUP(zeta!$A16,main!$A$3:$H$102,6,FALSE),0)</f>
        <v>0</v>
      </c>
      <c r="AJ16">
        <f>IF(gamma!AJ16,VLOOKUP(zeta!AJ$1,main!$A$3:$H$102,5,FALSE)-VLOOKUP(zeta!$A16,main!$A$3:$H$102,6,FALSE),0)</f>
        <v>0</v>
      </c>
      <c r="AK16">
        <f>IF(gamma!AK16,VLOOKUP(zeta!AK$1,main!$A$3:$H$102,5,FALSE)-VLOOKUP(zeta!$A16,main!$A$3:$H$102,6,FALSE),0)</f>
        <v>85</v>
      </c>
      <c r="AL16">
        <f>IF(gamma!AL16,VLOOKUP(zeta!AL$1,main!$A$3:$H$102,5,FALSE)-VLOOKUP(zeta!$A16,main!$A$3:$H$102,6,FALSE),0)</f>
        <v>175</v>
      </c>
      <c r="AM16">
        <f>IF(gamma!AM16,VLOOKUP(zeta!AM$1,main!$A$3:$H$102,5,FALSE)-VLOOKUP(zeta!$A16,main!$A$3:$H$102,6,FALSE),0)</f>
        <v>265</v>
      </c>
      <c r="AN16">
        <f>IF(gamma!AN16,VLOOKUP(zeta!AN$1,main!$A$3:$H$102,5,FALSE)-VLOOKUP(zeta!$A16,main!$A$3:$H$102,6,FALSE),0)</f>
        <v>325</v>
      </c>
      <c r="AO16">
        <f>IF(gamma!AO16,VLOOKUP(zeta!AO$1,main!$A$3:$H$102,5,FALSE)-VLOOKUP(zeta!$A16,main!$A$3:$H$102,6,FALSE),0)</f>
        <v>0</v>
      </c>
      <c r="AP16">
        <f>IF(gamma!AP16,VLOOKUP(zeta!AP$1,main!$A$3:$H$102,5,FALSE)-VLOOKUP(zeta!$A16,main!$A$3:$H$102,6,FALSE),0)</f>
        <v>385</v>
      </c>
      <c r="AQ16">
        <f>IF(gamma!AQ16,VLOOKUP(zeta!AQ$1,main!$A$3:$H$102,5,FALSE)-VLOOKUP(zeta!$A16,main!$A$3:$H$102,6,FALSE),0)</f>
        <v>0</v>
      </c>
      <c r="AR16">
        <f>IF(gamma!AR16,VLOOKUP(zeta!AR$1,main!$A$3:$H$102,5,FALSE)-VLOOKUP(zeta!$A16,main!$A$3:$H$102,6,FALSE),0)</f>
        <v>0</v>
      </c>
      <c r="AS16">
        <f>IF(gamma!AS16,VLOOKUP(zeta!AS$1,main!$A$3:$H$102,5,FALSE)-VLOOKUP(zeta!$A16,main!$A$3:$H$102,6,FALSE),0)</f>
        <v>0</v>
      </c>
      <c r="AT16">
        <f>IF(gamma!AT16,VLOOKUP(zeta!AT$1,main!$A$3:$H$102,5,FALSE)-VLOOKUP(zeta!$A16,main!$A$3:$H$102,6,FALSE),0)</f>
        <v>135</v>
      </c>
      <c r="AU16">
        <f>IF(gamma!AU16,VLOOKUP(zeta!AU$1,main!$A$3:$H$102,5,FALSE)-VLOOKUP(zeta!$A16,main!$A$3:$H$102,6,FALSE),0)</f>
        <v>0</v>
      </c>
      <c r="AV16">
        <f>IF(gamma!AV16,VLOOKUP(zeta!AV$1,main!$A$3:$H$102,5,FALSE)-VLOOKUP(zeta!$A16,main!$A$3:$H$102,6,FALSE),0)</f>
        <v>0</v>
      </c>
      <c r="AW16">
        <f>IF(gamma!AW16,VLOOKUP(zeta!AW$1,main!$A$3:$H$102,5,FALSE)-VLOOKUP(zeta!$A16,main!$A$3:$H$102,6,FALSE),0)</f>
        <v>85</v>
      </c>
      <c r="AX16">
        <f>IF(gamma!AX16,VLOOKUP(zeta!AX$1,main!$A$3:$H$102,5,FALSE)-VLOOKUP(zeta!$A16,main!$A$3:$H$102,6,FALSE),0)</f>
        <v>0</v>
      </c>
      <c r="AY16">
        <f>IF(gamma!AY16,VLOOKUP(zeta!AY$1,main!$A$3:$H$102,5,FALSE)-VLOOKUP(zeta!$A16,main!$A$3:$H$102,6,FALSE),0)</f>
        <v>0</v>
      </c>
      <c r="AZ16">
        <f>IF(gamma!AZ16,VLOOKUP(zeta!AZ$1,main!$A$3:$H$102,5,FALSE)-VLOOKUP(zeta!$A16,main!$A$3:$H$102,6,FALSE),0)</f>
        <v>0</v>
      </c>
      <c r="BA16">
        <f>IF(gamma!BA16,VLOOKUP(zeta!BA$1,main!$A$3:$H$102,5,FALSE)-VLOOKUP(zeta!$A16,main!$A$3:$H$102,6,FALSE),0)</f>
        <v>0</v>
      </c>
      <c r="BB16">
        <f>IF(gamma!BB16,VLOOKUP(zeta!BB$1,main!$A$3:$H$102,5,FALSE)-VLOOKUP(zeta!$A16,main!$A$3:$H$102,6,FALSE),0)</f>
        <v>0</v>
      </c>
      <c r="BC16">
        <f>IF(gamma!BC16,VLOOKUP(zeta!BC$1,main!$A$3:$H$102,5,FALSE)-VLOOKUP(zeta!$A16,main!$A$3:$H$102,6,FALSE),0)</f>
        <v>45</v>
      </c>
      <c r="BD16">
        <f>IF(gamma!BD16,VLOOKUP(zeta!BD$1,main!$A$3:$H$102,5,FALSE)-VLOOKUP(zeta!$A16,main!$A$3:$H$102,6,FALSE),0)</f>
        <v>105</v>
      </c>
      <c r="BE16">
        <f>IF(gamma!BE16,VLOOKUP(zeta!BE$1,main!$A$3:$H$102,5,FALSE)-VLOOKUP(zeta!$A16,main!$A$3:$H$102,6,FALSE),0)</f>
        <v>225</v>
      </c>
      <c r="BF16">
        <f>IF(gamma!BF16,VLOOKUP(zeta!BF$1,main!$A$3:$H$102,5,FALSE)-VLOOKUP(zeta!$A16,main!$A$3:$H$102,6,FALSE),0)</f>
        <v>0</v>
      </c>
      <c r="BG16">
        <f>IF(gamma!BG16,VLOOKUP(zeta!BG$1,main!$A$3:$H$102,5,FALSE)-VLOOKUP(zeta!$A16,main!$A$3:$H$102,6,FALSE),0)</f>
        <v>0</v>
      </c>
      <c r="BH16">
        <f>IF(gamma!BH16,VLOOKUP(zeta!BH$1,main!$A$3:$H$102,5,FALSE)-VLOOKUP(zeta!$A16,main!$A$3:$H$102,6,FALSE),0)</f>
        <v>0</v>
      </c>
      <c r="BI16">
        <f>IF(gamma!BI16,VLOOKUP(zeta!BI$1,main!$A$3:$H$102,5,FALSE)-VLOOKUP(zeta!$A16,main!$A$3:$H$102,6,FALSE),0)</f>
        <v>395</v>
      </c>
      <c r="BJ16">
        <f>IF(gamma!BJ16,VLOOKUP(zeta!BJ$1,main!$A$3:$H$102,5,FALSE)-VLOOKUP(zeta!$A16,main!$A$3:$H$102,6,FALSE),0)</f>
        <v>185</v>
      </c>
      <c r="BK16">
        <f>IF(gamma!BK16,VLOOKUP(zeta!BK$1,main!$A$3:$H$102,5,FALSE)-VLOOKUP(zeta!$A16,main!$A$3:$H$102,6,FALSE),0)</f>
        <v>0</v>
      </c>
      <c r="BL16">
        <f>IF(gamma!BL16,VLOOKUP(zeta!BL$1,main!$A$3:$H$102,5,FALSE)-VLOOKUP(zeta!$A16,main!$A$3:$H$102,6,FALSE),0)</f>
        <v>0</v>
      </c>
      <c r="BM16">
        <f>IF(gamma!BM16,VLOOKUP(zeta!BM$1,main!$A$3:$H$102,5,FALSE)-VLOOKUP(zeta!$A16,main!$A$3:$H$102,6,FALSE),0)</f>
        <v>0</v>
      </c>
      <c r="BN16">
        <f>IF(gamma!BN16,VLOOKUP(zeta!BN$1,main!$A$3:$H$102,5,FALSE)-VLOOKUP(zeta!$A16,main!$A$3:$H$102,6,FALSE),0)</f>
        <v>85</v>
      </c>
      <c r="BO16">
        <f>IF(gamma!BO16,VLOOKUP(zeta!BO$1,main!$A$3:$H$102,5,FALSE)-VLOOKUP(zeta!$A16,main!$A$3:$H$102,6,FALSE),0)</f>
        <v>0</v>
      </c>
      <c r="BP16">
        <f>IF(gamma!BP16,VLOOKUP(zeta!BP$1,main!$A$3:$H$102,5,FALSE)-VLOOKUP(zeta!$A16,main!$A$3:$H$102,6,FALSE),0)</f>
        <v>0</v>
      </c>
      <c r="BQ16">
        <f>IF(gamma!BQ16,VLOOKUP(zeta!BQ$1,main!$A$3:$H$102,5,FALSE)-VLOOKUP(zeta!$A16,main!$A$3:$H$102,6,FALSE),0)</f>
        <v>0</v>
      </c>
      <c r="BR16">
        <f>IF(gamma!BR16,VLOOKUP(zeta!BR$1,main!$A$3:$H$102,5,FALSE)-VLOOKUP(zeta!$A16,main!$A$3:$H$102,6,FALSE),0)</f>
        <v>0</v>
      </c>
      <c r="BS16">
        <f>IF(gamma!BS16,VLOOKUP(zeta!BS$1,main!$A$3:$H$102,5,FALSE)-VLOOKUP(zeta!$A16,main!$A$3:$H$102,6,FALSE),0)</f>
        <v>0</v>
      </c>
      <c r="BT16">
        <f>IF(gamma!BT16,VLOOKUP(zeta!BT$1,main!$A$3:$H$102,5,FALSE)-VLOOKUP(zeta!$A16,main!$A$3:$H$102,6,FALSE),0)</f>
        <v>0</v>
      </c>
      <c r="BU16">
        <f>IF(gamma!BU16,VLOOKUP(zeta!BU$1,main!$A$3:$H$102,5,FALSE)-VLOOKUP(zeta!$A16,main!$A$3:$H$102,6,FALSE),0)</f>
        <v>0</v>
      </c>
      <c r="BV16">
        <f>IF(gamma!BV16,VLOOKUP(zeta!BV$1,main!$A$3:$H$102,5,FALSE)-VLOOKUP(zeta!$A16,main!$A$3:$H$102,6,FALSE),0)</f>
        <v>0</v>
      </c>
      <c r="BW16">
        <f>IF(gamma!BW16,VLOOKUP(zeta!BW$1,main!$A$3:$H$102,5,FALSE)-VLOOKUP(zeta!$A16,main!$A$3:$H$102,6,FALSE),0)</f>
        <v>0</v>
      </c>
      <c r="BX16">
        <f>IF(gamma!BX16,VLOOKUP(zeta!BX$1,main!$A$3:$H$102,5,FALSE)-VLOOKUP(zeta!$A16,main!$A$3:$H$102,6,FALSE),0)</f>
        <v>0</v>
      </c>
      <c r="BY16">
        <f>IF(gamma!BY16,VLOOKUP(zeta!BY$1,main!$A$3:$H$102,5,FALSE)-VLOOKUP(zeta!$A16,main!$A$3:$H$102,6,FALSE),0)</f>
        <v>35</v>
      </c>
      <c r="BZ16">
        <f>IF(gamma!BZ16,VLOOKUP(zeta!BZ$1,main!$A$3:$H$102,5,FALSE)-VLOOKUP(zeta!$A16,main!$A$3:$H$102,6,FALSE),0)</f>
        <v>0</v>
      </c>
      <c r="CA16">
        <f>IF(gamma!CA16,VLOOKUP(zeta!CA$1,main!$A$3:$H$102,5,FALSE)-VLOOKUP(zeta!$A16,main!$A$3:$H$102,6,FALSE),0)</f>
        <v>0</v>
      </c>
      <c r="CB16">
        <f>IF(gamma!CB16,VLOOKUP(zeta!CB$1,main!$A$3:$H$102,5,FALSE)-VLOOKUP(zeta!$A16,main!$A$3:$H$102,6,FALSE),0)</f>
        <v>90</v>
      </c>
      <c r="CC16">
        <f>IF(gamma!CC16,VLOOKUP(zeta!CC$1,main!$A$3:$H$102,5,FALSE)-VLOOKUP(zeta!$A16,main!$A$3:$H$102,6,FALSE),0)</f>
        <v>300</v>
      </c>
      <c r="CD16">
        <f>IF(gamma!CD16,VLOOKUP(zeta!CD$1,main!$A$3:$H$102,5,FALSE)-VLOOKUP(zeta!$A16,main!$A$3:$H$102,6,FALSE),0)</f>
        <v>35</v>
      </c>
      <c r="CE16">
        <f>IF(gamma!CE16,VLOOKUP(zeta!CE$1,main!$A$3:$H$102,5,FALSE)-VLOOKUP(zeta!$A16,main!$A$3:$H$102,6,FALSE),0)</f>
        <v>0</v>
      </c>
      <c r="CF16">
        <f>IF(gamma!CF16,VLOOKUP(zeta!CF$1,main!$A$3:$H$102,5,FALSE)-VLOOKUP(zeta!$A16,main!$A$3:$H$102,6,FALSE),0)</f>
        <v>0</v>
      </c>
      <c r="CG16">
        <f>IF(gamma!CG16,VLOOKUP(zeta!CG$1,main!$A$3:$H$102,5,FALSE)-VLOOKUP(zeta!$A16,main!$A$3:$H$102,6,FALSE),0)</f>
        <v>0</v>
      </c>
      <c r="CH16">
        <f>IF(gamma!CH16,VLOOKUP(zeta!CH$1,main!$A$3:$H$102,5,FALSE)-VLOOKUP(zeta!$A16,main!$A$3:$H$102,6,FALSE),0)</f>
        <v>185</v>
      </c>
      <c r="CI16">
        <f>IF(gamma!CI16,VLOOKUP(zeta!CI$1,main!$A$3:$H$102,5,FALSE)-VLOOKUP(zeta!$A16,main!$A$3:$H$102,6,FALSE),0)</f>
        <v>385</v>
      </c>
      <c r="CJ16">
        <f>IF(gamma!CJ16,VLOOKUP(zeta!CJ$1,main!$A$3:$H$102,5,FALSE)-VLOOKUP(zeta!$A16,main!$A$3:$H$102,6,FALSE),0)</f>
        <v>0</v>
      </c>
      <c r="CK16">
        <f>IF(gamma!CK16,VLOOKUP(zeta!CK$1,main!$A$3:$H$102,5,FALSE)-VLOOKUP(zeta!$A16,main!$A$3:$H$102,6,FALSE),0)</f>
        <v>0</v>
      </c>
      <c r="CL16">
        <f>IF(gamma!CL16,VLOOKUP(zeta!CL$1,main!$A$3:$H$102,5,FALSE)-VLOOKUP(zeta!$A16,main!$A$3:$H$102,6,FALSE),0)</f>
        <v>0</v>
      </c>
      <c r="CM16">
        <f>IF(gamma!CM16,VLOOKUP(zeta!CM$1,main!$A$3:$H$102,5,FALSE)-VLOOKUP(zeta!$A16,main!$A$3:$H$102,6,FALSE),0)</f>
        <v>161</v>
      </c>
      <c r="CN16">
        <f>IF(gamma!CN16,VLOOKUP(zeta!CN$1,main!$A$3:$H$102,5,FALSE)-VLOOKUP(zeta!$A16,main!$A$3:$H$102,6,FALSE),0)</f>
        <v>385</v>
      </c>
      <c r="CO16">
        <f>IF(gamma!CO16,VLOOKUP(zeta!CO$1,main!$A$3:$H$102,5,FALSE)-VLOOKUP(zeta!$A16,main!$A$3:$H$102,6,FALSE),0)</f>
        <v>0</v>
      </c>
      <c r="CP16">
        <f>IF(gamma!CP16,VLOOKUP(zeta!CP$1,main!$A$3:$H$102,5,FALSE)-VLOOKUP(zeta!$A16,main!$A$3:$H$102,6,FALSE),0)</f>
        <v>0</v>
      </c>
      <c r="CQ16">
        <f>IF(gamma!CQ16,VLOOKUP(zeta!CQ$1,main!$A$3:$H$102,5,FALSE)-VLOOKUP(zeta!$A16,main!$A$3:$H$102,6,FALSE),0)</f>
        <v>0</v>
      </c>
      <c r="CR16">
        <f>IF(gamma!CR16,VLOOKUP(zeta!CR$1,main!$A$3:$H$102,5,FALSE)-VLOOKUP(zeta!$A16,main!$A$3:$H$102,6,FALSE),0)</f>
        <v>150</v>
      </c>
      <c r="CS16">
        <f>IF(gamma!CS16,VLOOKUP(zeta!CS$1,main!$A$3:$H$102,5,FALSE)-VLOOKUP(zeta!$A16,main!$A$3:$H$102,6,FALSE),0)</f>
        <v>160</v>
      </c>
      <c r="CT16">
        <f>IF(gamma!CT16,VLOOKUP(zeta!CT$1,main!$A$3:$H$102,5,FALSE)-VLOOKUP(zeta!$A16,main!$A$3:$H$102,6,FALSE),0)</f>
        <v>0</v>
      </c>
      <c r="CU16">
        <f>IF(gamma!CU16,VLOOKUP(zeta!CU$1,main!$A$3:$H$102,5,FALSE)-VLOOKUP(zeta!$A16,main!$A$3:$H$102,6,FALSE),0)</f>
        <v>0</v>
      </c>
      <c r="CV16">
        <f>IF(gamma!CV16,VLOOKUP(zeta!CV$1,main!$A$3:$H$102,5,FALSE)-VLOOKUP(zeta!$A16,main!$A$3:$H$102,6,FALSE),0)</f>
        <v>0</v>
      </c>
      <c r="CW16">
        <f>IF(gamma!CW16,VLOOKUP(zeta!CW$1,main!$A$3:$H$102,5,FALSE)-VLOOKUP(zeta!$A16,main!$A$3:$H$102,6,FALSE),0)</f>
        <v>150</v>
      </c>
      <c r="CX16">
        <f>IF(gamma!CX16,VLOOKUP(zeta!CX$1,main!$A$3:$H$102,5,FALSE)-VLOOKUP(zeta!$A16,main!$A$3:$H$102,6,FALSE),0)</f>
        <v>190</v>
      </c>
    </row>
    <row r="17" spans="1:102" x14ac:dyDescent="0.25">
      <c r="A17">
        <f t="shared" si="0"/>
        <v>15</v>
      </c>
      <c r="B17">
        <v>0</v>
      </c>
      <c r="C17">
        <f>IF(gamma!C17,VLOOKUP(zeta!C$1,main!$A$3:$H$102,5,FALSE)-VLOOKUP(zeta!$A17,main!$A$3:$H$102,6,FALSE),0)</f>
        <v>0</v>
      </c>
      <c r="D17">
        <f>IF(gamma!D17,VLOOKUP(zeta!D$1,main!$A$3:$H$102,5,FALSE)-VLOOKUP(zeta!$A17,main!$A$3:$H$102,6,FALSE),0)</f>
        <v>0</v>
      </c>
      <c r="E17">
        <f>IF(gamma!E17,VLOOKUP(zeta!E$1,main!$A$3:$H$102,5,FALSE)-VLOOKUP(zeta!$A17,main!$A$3:$H$102,6,FALSE),0)</f>
        <v>0</v>
      </c>
      <c r="F17">
        <f>IF(gamma!F17,VLOOKUP(zeta!F$1,main!$A$3:$H$102,5,FALSE)-VLOOKUP(zeta!$A17,main!$A$3:$H$102,6,FALSE),0)</f>
        <v>0</v>
      </c>
      <c r="G17">
        <f>IF(gamma!G17,VLOOKUP(zeta!G$1,main!$A$3:$H$102,5,FALSE)-VLOOKUP(zeta!$A17,main!$A$3:$H$102,6,FALSE),0)</f>
        <v>0</v>
      </c>
      <c r="H17">
        <f>IF(gamma!H17,VLOOKUP(zeta!H$1,main!$A$3:$H$102,5,FALSE)-VLOOKUP(zeta!$A17,main!$A$3:$H$102,6,FALSE),0)</f>
        <v>0</v>
      </c>
      <c r="I17">
        <f>IF(gamma!I17,VLOOKUP(zeta!I$1,main!$A$3:$H$102,5,FALSE)-VLOOKUP(zeta!$A17,main!$A$3:$H$102,6,FALSE),0)</f>
        <v>85</v>
      </c>
      <c r="J17">
        <f>IF(gamma!J17,VLOOKUP(zeta!J$1,main!$A$3:$H$102,5,FALSE)-VLOOKUP(zeta!$A17,main!$A$3:$H$102,6,FALSE),0)</f>
        <v>145</v>
      </c>
      <c r="K17">
        <f>IF(gamma!K17,VLOOKUP(zeta!K$1,main!$A$3:$H$102,5,FALSE)-VLOOKUP(zeta!$A17,main!$A$3:$H$102,6,FALSE),0)</f>
        <v>205</v>
      </c>
      <c r="L17">
        <f>IF(gamma!L17,VLOOKUP(zeta!L$1,main!$A$3:$H$102,5,FALSE)-VLOOKUP(zeta!$A17,main!$A$3:$H$102,6,FALSE),0)</f>
        <v>295</v>
      </c>
      <c r="M17">
        <f>IF(gamma!M17,VLOOKUP(zeta!M$1,main!$A$3:$H$102,5,FALSE)-VLOOKUP(zeta!$A17,main!$A$3:$H$102,6,FALSE),0)</f>
        <v>0</v>
      </c>
      <c r="N17">
        <f>IF(gamma!N17,VLOOKUP(zeta!N$1,main!$A$3:$H$102,5,FALSE)-VLOOKUP(zeta!$A17,main!$A$3:$H$102,6,FALSE),0)</f>
        <v>0</v>
      </c>
      <c r="O17">
        <f>IF(gamma!O17,VLOOKUP(zeta!O$1,main!$A$3:$H$102,5,FALSE)-VLOOKUP(zeta!$A17,main!$A$3:$H$102,6,FALSE),0)</f>
        <v>0</v>
      </c>
      <c r="P17">
        <f>IF(gamma!P17,VLOOKUP(zeta!P$1,main!$A$3:$H$102,5,FALSE)-VLOOKUP(zeta!$A17,main!$A$3:$H$102,6,FALSE),0)</f>
        <v>0</v>
      </c>
      <c r="Q17">
        <f>IF(gamma!Q17,VLOOKUP(zeta!Q$1,main!$A$3:$H$102,5,FALSE)-VLOOKUP(zeta!$A17,main!$A$3:$H$102,6,FALSE),0)</f>
        <v>0</v>
      </c>
      <c r="R17">
        <f>IF(gamma!R17,VLOOKUP(zeta!R$1,main!$A$3:$H$102,5,FALSE)-VLOOKUP(zeta!$A17,main!$A$3:$H$102,6,FALSE),0)</f>
        <v>0</v>
      </c>
      <c r="S17">
        <f>IF(gamma!S17,VLOOKUP(zeta!S$1,main!$A$3:$H$102,5,FALSE)-VLOOKUP(zeta!$A17,main!$A$3:$H$102,6,FALSE),0)</f>
        <v>0</v>
      </c>
      <c r="T17">
        <f>IF(gamma!T17,VLOOKUP(zeta!T$1,main!$A$3:$H$102,5,FALSE)-VLOOKUP(zeta!$A17,main!$A$3:$H$102,6,FALSE),0)</f>
        <v>105</v>
      </c>
      <c r="U17">
        <f>IF(gamma!U17,VLOOKUP(zeta!U$1,main!$A$3:$H$102,5,FALSE)-VLOOKUP(zeta!$A17,main!$A$3:$H$102,6,FALSE),0)</f>
        <v>260</v>
      </c>
      <c r="V17">
        <f>IF(gamma!V17,VLOOKUP(zeta!V$1,main!$A$3:$H$102,5,FALSE)-VLOOKUP(zeta!$A17,main!$A$3:$H$102,6,FALSE),0)</f>
        <v>320</v>
      </c>
      <c r="W17">
        <f>IF(gamma!W17,VLOOKUP(zeta!W$1,main!$A$3:$H$102,5,FALSE)-VLOOKUP(zeta!$A17,main!$A$3:$H$102,6,FALSE),0)</f>
        <v>0</v>
      </c>
      <c r="X17">
        <f>IF(gamma!X17,VLOOKUP(zeta!X$1,main!$A$3:$H$102,5,FALSE)-VLOOKUP(zeta!$A17,main!$A$3:$H$102,6,FALSE),0)</f>
        <v>0</v>
      </c>
      <c r="Y17">
        <f>IF(gamma!Y17,VLOOKUP(zeta!Y$1,main!$A$3:$H$102,5,FALSE)-VLOOKUP(zeta!$A17,main!$A$3:$H$102,6,FALSE),0)</f>
        <v>0</v>
      </c>
      <c r="Z17">
        <f>IF(gamma!Z17,VLOOKUP(zeta!Z$1,main!$A$3:$H$102,5,FALSE)-VLOOKUP(zeta!$A17,main!$A$3:$H$102,6,FALSE),0)</f>
        <v>75</v>
      </c>
      <c r="AA17">
        <f>IF(gamma!AA17,VLOOKUP(zeta!AA$1,main!$A$3:$H$102,5,FALSE)-VLOOKUP(zeta!$A17,main!$A$3:$H$102,6,FALSE),0)</f>
        <v>225</v>
      </c>
      <c r="AB17">
        <f>IF(gamma!AB17,VLOOKUP(zeta!AB$1,main!$A$3:$H$102,5,FALSE)-VLOOKUP(zeta!$A17,main!$A$3:$H$102,6,FALSE),0)</f>
        <v>0</v>
      </c>
      <c r="AC17">
        <f>IF(gamma!AC17,VLOOKUP(zeta!AC$1,main!$A$3:$H$102,5,FALSE)-VLOOKUP(zeta!$A17,main!$A$3:$H$102,6,FALSE),0)</f>
        <v>0</v>
      </c>
      <c r="AD17">
        <f>IF(gamma!AD17,VLOOKUP(zeta!AD$1,main!$A$3:$H$102,5,FALSE)-VLOOKUP(zeta!$A17,main!$A$3:$H$102,6,FALSE),0)</f>
        <v>0</v>
      </c>
      <c r="AE17">
        <f>IF(gamma!AE17,VLOOKUP(zeta!AE$1,main!$A$3:$H$102,5,FALSE)-VLOOKUP(zeta!$A17,main!$A$3:$H$102,6,FALSE),0)</f>
        <v>0</v>
      </c>
      <c r="AF17">
        <f>IF(gamma!AF17,VLOOKUP(zeta!AF$1,main!$A$3:$H$102,5,FALSE)-VLOOKUP(zeta!$A17,main!$A$3:$H$102,6,FALSE),0)</f>
        <v>205</v>
      </c>
      <c r="AG17">
        <f>IF(gamma!AG17,VLOOKUP(zeta!AG$1,main!$A$3:$H$102,5,FALSE)-VLOOKUP(zeta!$A17,main!$A$3:$H$102,6,FALSE),0)</f>
        <v>0</v>
      </c>
      <c r="AH17">
        <f>IF(gamma!AH17,VLOOKUP(zeta!AH$1,main!$A$3:$H$102,5,FALSE)-VLOOKUP(zeta!$A17,main!$A$3:$H$102,6,FALSE),0)</f>
        <v>0</v>
      </c>
      <c r="AI17">
        <f>IF(gamma!AI17,VLOOKUP(zeta!AI$1,main!$A$3:$H$102,5,FALSE)-VLOOKUP(zeta!$A17,main!$A$3:$H$102,6,FALSE),0)</f>
        <v>0</v>
      </c>
      <c r="AJ17">
        <f>IF(gamma!AJ17,VLOOKUP(zeta!AJ$1,main!$A$3:$H$102,5,FALSE)-VLOOKUP(zeta!$A17,main!$A$3:$H$102,6,FALSE),0)</f>
        <v>0</v>
      </c>
      <c r="AK17">
        <f>IF(gamma!AK17,VLOOKUP(zeta!AK$1,main!$A$3:$H$102,5,FALSE)-VLOOKUP(zeta!$A17,main!$A$3:$H$102,6,FALSE),0)</f>
        <v>0</v>
      </c>
      <c r="AL17">
        <f>IF(gamma!AL17,VLOOKUP(zeta!AL$1,main!$A$3:$H$102,5,FALSE)-VLOOKUP(zeta!$A17,main!$A$3:$H$102,6,FALSE),0)</f>
        <v>95</v>
      </c>
      <c r="AM17">
        <f>IF(gamma!AM17,VLOOKUP(zeta!AM$1,main!$A$3:$H$102,5,FALSE)-VLOOKUP(zeta!$A17,main!$A$3:$H$102,6,FALSE),0)</f>
        <v>185</v>
      </c>
      <c r="AN17">
        <f>IF(gamma!AN17,VLOOKUP(zeta!AN$1,main!$A$3:$H$102,5,FALSE)-VLOOKUP(zeta!$A17,main!$A$3:$H$102,6,FALSE),0)</f>
        <v>245</v>
      </c>
      <c r="AO17">
        <f>IF(gamma!AO17,VLOOKUP(zeta!AO$1,main!$A$3:$H$102,5,FALSE)-VLOOKUP(zeta!$A17,main!$A$3:$H$102,6,FALSE),0)</f>
        <v>0</v>
      </c>
      <c r="AP17">
        <f>IF(gamma!AP17,VLOOKUP(zeta!AP$1,main!$A$3:$H$102,5,FALSE)-VLOOKUP(zeta!$A17,main!$A$3:$H$102,6,FALSE),0)</f>
        <v>305</v>
      </c>
      <c r="AQ17">
        <f>IF(gamma!AQ17,VLOOKUP(zeta!AQ$1,main!$A$3:$H$102,5,FALSE)-VLOOKUP(zeta!$A17,main!$A$3:$H$102,6,FALSE),0)</f>
        <v>0</v>
      </c>
      <c r="AR17">
        <f>IF(gamma!AR17,VLOOKUP(zeta!AR$1,main!$A$3:$H$102,5,FALSE)-VLOOKUP(zeta!$A17,main!$A$3:$H$102,6,FALSE),0)</f>
        <v>0</v>
      </c>
      <c r="AS17">
        <f>IF(gamma!AS17,VLOOKUP(zeta!AS$1,main!$A$3:$H$102,5,FALSE)-VLOOKUP(zeta!$A17,main!$A$3:$H$102,6,FALSE),0)</f>
        <v>0</v>
      </c>
      <c r="AT17">
        <f>IF(gamma!AT17,VLOOKUP(zeta!AT$1,main!$A$3:$H$102,5,FALSE)-VLOOKUP(zeta!$A17,main!$A$3:$H$102,6,FALSE),0)</f>
        <v>55</v>
      </c>
      <c r="AU17">
        <f>IF(gamma!AU17,VLOOKUP(zeta!AU$1,main!$A$3:$H$102,5,FALSE)-VLOOKUP(zeta!$A17,main!$A$3:$H$102,6,FALSE),0)</f>
        <v>0</v>
      </c>
      <c r="AV17">
        <f>IF(gamma!AV17,VLOOKUP(zeta!AV$1,main!$A$3:$H$102,5,FALSE)-VLOOKUP(zeta!$A17,main!$A$3:$H$102,6,FALSE),0)</f>
        <v>0</v>
      </c>
      <c r="AW17">
        <f>IF(gamma!AW17,VLOOKUP(zeta!AW$1,main!$A$3:$H$102,5,FALSE)-VLOOKUP(zeta!$A17,main!$A$3:$H$102,6,FALSE),0)</f>
        <v>0</v>
      </c>
      <c r="AX17">
        <f>IF(gamma!AX17,VLOOKUP(zeta!AX$1,main!$A$3:$H$102,5,FALSE)-VLOOKUP(zeta!$A17,main!$A$3:$H$102,6,FALSE),0)</f>
        <v>0</v>
      </c>
      <c r="AY17">
        <f>IF(gamma!AY17,VLOOKUP(zeta!AY$1,main!$A$3:$H$102,5,FALSE)-VLOOKUP(zeta!$A17,main!$A$3:$H$102,6,FALSE),0)</f>
        <v>0</v>
      </c>
      <c r="AZ17">
        <f>IF(gamma!AZ17,VLOOKUP(zeta!AZ$1,main!$A$3:$H$102,5,FALSE)-VLOOKUP(zeta!$A17,main!$A$3:$H$102,6,FALSE),0)</f>
        <v>0</v>
      </c>
      <c r="BA17">
        <f>IF(gamma!BA17,VLOOKUP(zeta!BA$1,main!$A$3:$H$102,5,FALSE)-VLOOKUP(zeta!$A17,main!$A$3:$H$102,6,FALSE),0)</f>
        <v>0</v>
      </c>
      <c r="BB17">
        <f>IF(gamma!BB17,VLOOKUP(zeta!BB$1,main!$A$3:$H$102,5,FALSE)-VLOOKUP(zeta!$A17,main!$A$3:$H$102,6,FALSE),0)</f>
        <v>0</v>
      </c>
      <c r="BC17">
        <f>IF(gamma!BC17,VLOOKUP(zeta!BC$1,main!$A$3:$H$102,5,FALSE)-VLOOKUP(zeta!$A17,main!$A$3:$H$102,6,FALSE),0)</f>
        <v>0</v>
      </c>
      <c r="BD17">
        <f>IF(gamma!BD17,VLOOKUP(zeta!BD$1,main!$A$3:$H$102,5,FALSE)-VLOOKUP(zeta!$A17,main!$A$3:$H$102,6,FALSE),0)</f>
        <v>25</v>
      </c>
      <c r="BE17">
        <f>IF(gamma!BE17,VLOOKUP(zeta!BE$1,main!$A$3:$H$102,5,FALSE)-VLOOKUP(zeta!$A17,main!$A$3:$H$102,6,FALSE),0)</f>
        <v>145</v>
      </c>
      <c r="BF17">
        <f>IF(gamma!BF17,VLOOKUP(zeta!BF$1,main!$A$3:$H$102,5,FALSE)-VLOOKUP(zeta!$A17,main!$A$3:$H$102,6,FALSE),0)</f>
        <v>0</v>
      </c>
      <c r="BG17">
        <f>IF(gamma!BG17,VLOOKUP(zeta!BG$1,main!$A$3:$H$102,5,FALSE)-VLOOKUP(zeta!$A17,main!$A$3:$H$102,6,FALSE),0)</f>
        <v>0</v>
      </c>
      <c r="BH17">
        <f>IF(gamma!BH17,VLOOKUP(zeta!BH$1,main!$A$3:$H$102,5,FALSE)-VLOOKUP(zeta!$A17,main!$A$3:$H$102,6,FALSE),0)</f>
        <v>0</v>
      </c>
      <c r="BI17">
        <f>IF(gamma!BI17,VLOOKUP(zeta!BI$1,main!$A$3:$H$102,5,FALSE)-VLOOKUP(zeta!$A17,main!$A$3:$H$102,6,FALSE),0)</f>
        <v>315</v>
      </c>
      <c r="BJ17">
        <f>IF(gamma!BJ17,VLOOKUP(zeta!BJ$1,main!$A$3:$H$102,5,FALSE)-VLOOKUP(zeta!$A17,main!$A$3:$H$102,6,FALSE),0)</f>
        <v>105</v>
      </c>
      <c r="BK17">
        <f>IF(gamma!BK17,VLOOKUP(zeta!BK$1,main!$A$3:$H$102,5,FALSE)-VLOOKUP(zeta!$A17,main!$A$3:$H$102,6,FALSE),0)</f>
        <v>0</v>
      </c>
      <c r="BL17">
        <f>IF(gamma!BL17,VLOOKUP(zeta!BL$1,main!$A$3:$H$102,5,FALSE)-VLOOKUP(zeta!$A17,main!$A$3:$H$102,6,FALSE),0)</f>
        <v>0</v>
      </c>
      <c r="BM17">
        <f>IF(gamma!BM17,VLOOKUP(zeta!BM$1,main!$A$3:$H$102,5,FALSE)-VLOOKUP(zeta!$A17,main!$A$3:$H$102,6,FALSE),0)</f>
        <v>0</v>
      </c>
      <c r="BN17">
        <f>IF(gamma!BN17,VLOOKUP(zeta!BN$1,main!$A$3:$H$102,5,FALSE)-VLOOKUP(zeta!$A17,main!$A$3:$H$102,6,FALSE),0)</f>
        <v>0</v>
      </c>
      <c r="BO17">
        <f>IF(gamma!BO17,VLOOKUP(zeta!BO$1,main!$A$3:$H$102,5,FALSE)-VLOOKUP(zeta!$A17,main!$A$3:$H$102,6,FALSE),0)</f>
        <v>0</v>
      </c>
      <c r="BP17">
        <f>IF(gamma!BP17,VLOOKUP(zeta!BP$1,main!$A$3:$H$102,5,FALSE)-VLOOKUP(zeta!$A17,main!$A$3:$H$102,6,FALSE),0)</f>
        <v>0</v>
      </c>
      <c r="BQ17">
        <f>IF(gamma!BQ17,VLOOKUP(zeta!BQ$1,main!$A$3:$H$102,5,FALSE)-VLOOKUP(zeta!$A17,main!$A$3:$H$102,6,FALSE),0)</f>
        <v>0</v>
      </c>
      <c r="BR17">
        <f>IF(gamma!BR17,VLOOKUP(zeta!BR$1,main!$A$3:$H$102,5,FALSE)-VLOOKUP(zeta!$A17,main!$A$3:$H$102,6,FALSE),0)</f>
        <v>0</v>
      </c>
      <c r="BS17">
        <f>IF(gamma!BS17,VLOOKUP(zeta!BS$1,main!$A$3:$H$102,5,FALSE)-VLOOKUP(zeta!$A17,main!$A$3:$H$102,6,FALSE),0)</f>
        <v>0</v>
      </c>
      <c r="BT17">
        <f>IF(gamma!BT17,VLOOKUP(zeta!BT$1,main!$A$3:$H$102,5,FALSE)-VLOOKUP(zeta!$A17,main!$A$3:$H$102,6,FALSE),0)</f>
        <v>0</v>
      </c>
      <c r="BU17">
        <f>IF(gamma!BU17,VLOOKUP(zeta!BU$1,main!$A$3:$H$102,5,FALSE)-VLOOKUP(zeta!$A17,main!$A$3:$H$102,6,FALSE),0)</f>
        <v>0</v>
      </c>
      <c r="BV17">
        <f>IF(gamma!BV17,VLOOKUP(zeta!BV$1,main!$A$3:$H$102,5,FALSE)-VLOOKUP(zeta!$A17,main!$A$3:$H$102,6,FALSE),0)</f>
        <v>0</v>
      </c>
      <c r="BW17">
        <f>IF(gamma!BW17,VLOOKUP(zeta!BW$1,main!$A$3:$H$102,5,FALSE)-VLOOKUP(zeta!$A17,main!$A$3:$H$102,6,FALSE),0)</f>
        <v>0</v>
      </c>
      <c r="BX17">
        <f>IF(gamma!BX17,VLOOKUP(zeta!BX$1,main!$A$3:$H$102,5,FALSE)-VLOOKUP(zeta!$A17,main!$A$3:$H$102,6,FALSE),0)</f>
        <v>0</v>
      </c>
      <c r="BY17">
        <f>IF(gamma!BY17,VLOOKUP(zeta!BY$1,main!$A$3:$H$102,5,FALSE)-VLOOKUP(zeta!$A17,main!$A$3:$H$102,6,FALSE),0)</f>
        <v>0</v>
      </c>
      <c r="BZ17">
        <f>IF(gamma!BZ17,VLOOKUP(zeta!BZ$1,main!$A$3:$H$102,5,FALSE)-VLOOKUP(zeta!$A17,main!$A$3:$H$102,6,FALSE),0)</f>
        <v>0</v>
      </c>
      <c r="CA17">
        <f>IF(gamma!CA17,VLOOKUP(zeta!CA$1,main!$A$3:$H$102,5,FALSE)-VLOOKUP(zeta!$A17,main!$A$3:$H$102,6,FALSE),0)</f>
        <v>0</v>
      </c>
      <c r="CB17">
        <f>IF(gamma!CB17,VLOOKUP(zeta!CB$1,main!$A$3:$H$102,5,FALSE)-VLOOKUP(zeta!$A17,main!$A$3:$H$102,6,FALSE),0)</f>
        <v>0</v>
      </c>
      <c r="CC17">
        <f>IF(gamma!CC17,VLOOKUP(zeta!CC$1,main!$A$3:$H$102,5,FALSE)-VLOOKUP(zeta!$A17,main!$A$3:$H$102,6,FALSE),0)</f>
        <v>220</v>
      </c>
      <c r="CD17">
        <f>IF(gamma!CD17,VLOOKUP(zeta!CD$1,main!$A$3:$H$102,5,FALSE)-VLOOKUP(zeta!$A17,main!$A$3:$H$102,6,FALSE),0)</f>
        <v>0</v>
      </c>
      <c r="CE17">
        <f>IF(gamma!CE17,VLOOKUP(zeta!CE$1,main!$A$3:$H$102,5,FALSE)-VLOOKUP(zeta!$A17,main!$A$3:$H$102,6,FALSE),0)</f>
        <v>0</v>
      </c>
      <c r="CF17">
        <f>IF(gamma!CF17,VLOOKUP(zeta!CF$1,main!$A$3:$H$102,5,FALSE)-VLOOKUP(zeta!$A17,main!$A$3:$H$102,6,FALSE),0)</f>
        <v>0</v>
      </c>
      <c r="CG17">
        <f>IF(gamma!CG17,VLOOKUP(zeta!CG$1,main!$A$3:$H$102,5,FALSE)-VLOOKUP(zeta!$A17,main!$A$3:$H$102,6,FALSE),0)</f>
        <v>0</v>
      </c>
      <c r="CH17">
        <f>IF(gamma!CH17,VLOOKUP(zeta!CH$1,main!$A$3:$H$102,5,FALSE)-VLOOKUP(zeta!$A17,main!$A$3:$H$102,6,FALSE),0)</f>
        <v>105</v>
      </c>
      <c r="CI17">
        <f>IF(gamma!CI17,VLOOKUP(zeta!CI$1,main!$A$3:$H$102,5,FALSE)-VLOOKUP(zeta!$A17,main!$A$3:$H$102,6,FALSE),0)</f>
        <v>305</v>
      </c>
      <c r="CJ17">
        <f>IF(gamma!CJ17,VLOOKUP(zeta!CJ$1,main!$A$3:$H$102,5,FALSE)-VLOOKUP(zeta!$A17,main!$A$3:$H$102,6,FALSE),0)</f>
        <v>0</v>
      </c>
      <c r="CK17">
        <f>IF(gamma!CK17,VLOOKUP(zeta!CK$1,main!$A$3:$H$102,5,FALSE)-VLOOKUP(zeta!$A17,main!$A$3:$H$102,6,FALSE),0)</f>
        <v>0</v>
      </c>
      <c r="CL17">
        <f>IF(gamma!CL17,VLOOKUP(zeta!CL$1,main!$A$3:$H$102,5,FALSE)-VLOOKUP(zeta!$A17,main!$A$3:$H$102,6,FALSE),0)</f>
        <v>0</v>
      </c>
      <c r="CM17">
        <f>IF(gamma!CM17,VLOOKUP(zeta!CM$1,main!$A$3:$H$102,5,FALSE)-VLOOKUP(zeta!$A17,main!$A$3:$H$102,6,FALSE),0)</f>
        <v>81</v>
      </c>
      <c r="CN17">
        <f>IF(gamma!CN17,VLOOKUP(zeta!CN$1,main!$A$3:$H$102,5,FALSE)-VLOOKUP(zeta!$A17,main!$A$3:$H$102,6,FALSE),0)</f>
        <v>305</v>
      </c>
      <c r="CO17">
        <f>IF(gamma!CO17,VLOOKUP(zeta!CO$1,main!$A$3:$H$102,5,FALSE)-VLOOKUP(zeta!$A17,main!$A$3:$H$102,6,FALSE),0)</f>
        <v>0</v>
      </c>
      <c r="CP17">
        <f>IF(gamma!CP17,VLOOKUP(zeta!CP$1,main!$A$3:$H$102,5,FALSE)-VLOOKUP(zeta!$A17,main!$A$3:$H$102,6,FALSE),0)</f>
        <v>0</v>
      </c>
      <c r="CQ17">
        <f>IF(gamma!CQ17,VLOOKUP(zeta!CQ$1,main!$A$3:$H$102,5,FALSE)-VLOOKUP(zeta!$A17,main!$A$3:$H$102,6,FALSE),0)</f>
        <v>0</v>
      </c>
      <c r="CR17">
        <f>IF(gamma!CR17,VLOOKUP(zeta!CR$1,main!$A$3:$H$102,5,FALSE)-VLOOKUP(zeta!$A17,main!$A$3:$H$102,6,FALSE),0)</f>
        <v>70</v>
      </c>
      <c r="CS17">
        <f>IF(gamma!CS17,VLOOKUP(zeta!CS$1,main!$A$3:$H$102,5,FALSE)-VLOOKUP(zeta!$A17,main!$A$3:$H$102,6,FALSE),0)</f>
        <v>80</v>
      </c>
      <c r="CT17">
        <f>IF(gamma!CT17,VLOOKUP(zeta!CT$1,main!$A$3:$H$102,5,FALSE)-VLOOKUP(zeta!$A17,main!$A$3:$H$102,6,FALSE),0)</f>
        <v>0</v>
      </c>
      <c r="CU17">
        <f>IF(gamma!CU17,VLOOKUP(zeta!CU$1,main!$A$3:$H$102,5,FALSE)-VLOOKUP(zeta!$A17,main!$A$3:$H$102,6,FALSE),0)</f>
        <v>0</v>
      </c>
      <c r="CV17">
        <f>IF(gamma!CV17,VLOOKUP(zeta!CV$1,main!$A$3:$H$102,5,FALSE)-VLOOKUP(zeta!$A17,main!$A$3:$H$102,6,FALSE),0)</f>
        <v>0</v>
      </c>
      <c r="CW17">
        <f>IF(gamma!CW17,VLOOKUP(zeta!CW$1,main!$A$3:$H$102,5,FALSE)-VLOOKUP(zeta!$A17,main!$A$3:$H$102,6,FALSE),0)</f>
        <v>70</v>
      </c>
      <c r="CX17">
        <f>IF(gamma!CX17,VLOOKUP(zeta!CX$1,main!$A$3:$H$102,5,FALSE)-VLOOKUP(zeta!$A17,main!$A$3:$H$102,6,FALSE),0)</f>
        <v>110</v>
      </c>
    </row>
    <row r="18" spans="1:102" x14ac:dyDescent="0.25">
      <c r="A18">
        <f t="shared" si="0"/>
        <v>16</v>
      </c>
      <c r="B18">
        <v>0</v>
      </c>
      <c r="C18">
        <f>IF(gamma!C18,VLOOKUP(zeta!C$1,main!$A$3:$H$102,5,FALSE)-VLOOKUP(zeta!$A18,main!$A$3:$H$102,6,FALSE),0)</f>
        <v>0</v>
      </c>
      <c r="D18">
        <f>IF(gamma!D18,VLOOKUP(zeta!D$1,main!$A$3:$H$102,5,FALSE)-VLOOKUP(zeta!$A18,main!$A$3:$H$102,6,FALSE),0)</f>
        <v>0</v>
      </c>
      <c r="E18">
        <f>IF(gamma!E18,VLOOKUP(zeta!E$1,main!$A$3:$H$102,5,FALSE)-VLOOKUP(zeta!$A18,main!$A$3:$H$102,6,FALSE),0)</f>
        <v>0</v>
      </c>
      <c r="F18">
        <f>IF(gamma!F18,VLOOKUP(zeta!F$1,main!$A$3:$H$102,5,FALSE)-VLOOKUP(zeta!$A18,main!$A$3:$H$102,6,FALSE),0)</f>
        <v>0</v>
      </c>
      <c r="G18">
        <f>IF(gamma!G18,VLOOKUP(zeta!G$1,main!$A$3:$H$102,5,FALSE)-VLOOKUP(zeta!$A18,main!$A$3:$H$102,6,FALSE),0)</f>
        <v>0</v>
      </c>
      <c r="H18">
        <f>IF(gamma!H18,VLOOKUP(zeta!H$1,main!$A$3:$H$102,5,FALSE)-VLOOKUP(zeta!$A18,main!$A$3:$H$102,6,FALSE),0)</f>
        <v>0</v>
      </c>
      <c r="I18">
        <f>IF(gamma!I18,VLOOKUP(zeta!I$1,main!$A$3:$H$102,5,FALSE)-VLOOKUP(zeta!$A18,main!$A$3:$H$102,6,FALSE),0)</f>
        <v>45</v>
      </c>
      <c r="J18">
        <f>IF(gamma!J18,VLOOKUP(zeta!J$1,main!$A$3:$H$102,5,FALSE)-VLOOKUP(zeta!$A18,main!$A$3:$H$102,6,FALSE),0)</f>
        <v>105</v>
      </c>
      <c r="K18">
        <f>IF(gamma!K18,VLOOKUP(zeta!K$1,main!$A$3:$H$102,5,FALSE)-VLOOKUP(zeta!$A18,main!$A$3:$H$102,6,FALSE),0)</f>
        <v>165</v>
      </c>
      <c r="L18">
        <f>IF(gamma!L18,VLOOKUP(zeta!L$1,main!$A$3:$H$102,5,FALSE)-VLOOKUP(zeta!$A18,main!$A$3:$H$102,6,FALSE),0)</f>
        <v>255</v>
      </c>
      <c r="M18">
        <f>IF(gamma!M18,VLOOKUP(zeta!M$1,main!$A$3:$H$102,5,FALSE)-VLOOKUP(zeta!$A18,main!$A$3:$H$102,6,FALSE),0)</f>
        <v>0</v>
      </c>
      <c r="N18">
        <f>IF(gamma!N18,VLOOKUP(zeta!N$1,main!$A$3:$H$102,5,FALSE)-VLOOKUP(zeta!$A18,main!$A$3:$H$102,6,FALSE),0)</f>
        <v>0</v>
      </c>
      <c r="O18">
        <f>IF(gamma!O18,VLOOKUP(zeta!O$1,main!$A$3:$H$102,5,FALSE)-VLOOKUP(zeta!$A18,main!$A$3:$H$102,6,FALSE),0)</f>
        <v>0</v>
      </c>
      <c r="P18">
        <f>IF(gamma!P18,VLOOKUP(zeta!P$1,main!$A$3:$H$102,5,FALSE)-VLOOKUP(zeta!$A18,main!$A$3:$H$102,6,FALSE),0)</f>
        <v>0</v>
      </c>
      <c r="Q18">
        <f>IF(gamma!Q18,VLOOKUP(zeta!Q$1,main!$A$3:$H$102,5,FALSE)-VLOOKUP(zeta!$A18,main!$A$3:$H$102,6,FALSE),0)</f>
        <v>0</v>
      </c>
      <c r="R18">
        <f>IF(gamma!R18,VLOOKUP(zeta!R$1,main!$A$3:$H$102,5,FALSE)-VLOOKUP(zeta!$A18,main!$A$3:$H$102,6,FALSE),0)</f>
        <v>0</v>
      </c>
      <c r="S18">
        <f>IF(gamma!S18,VLOOKUP(zeta!S$1,main!$A$3:$H$102,5,FALSE)-VLOOKUP(zeta!$A18,main!$A$3:$H$102,6,FALSE),0)</f>
        <v>0</v>
      </c>
      <c r="T18">
        <f>IF(gamma!T18,VLOOKUP(zeta!T$1,main!$A$3:$H$102,5,FALSE)-VLOOKUP(zeta!$A18,main!$A$3:$H$102,6,FALSE),0)</f>
        <v>65</v>
      </c>
      <c r="U18">
        <f>IF(gamma!U18,VLOOKUP(zeta!U$1,main!$A$3:$H$102,5,FALSE)-VLOOKUP(zeta!$A18,main!$A$3:$H$102,6,FALSE),0)</f>
        <v>220</v>
      </c>
      <c r="V18">
        <f>IF(gamma!V18,VLOOKUP(zeta!V$1,main!$A$3:$H$102,5,FALSE)-VLOOKUP(zeta!$A18,main!$A$3:$H$102,6,FALSE),0)</f>
        <v>280</v>
      </c>
      <c r="W18">
        <f>IF(gamma!W18,VLOOKUP(zeta!W$1,main!$A$3:$H$102,5,FALSE)-VLOOKUP(zeta!$A18,main!$A$3:$H$102,6,FALSE),0)</f>
        <v>0</v>
      </c>
      <c r="X18">
        <f>IF(gamma!X18,VLOOKUP(zeta!X$1,main!$A$3:$H$102,5,FALSE)-VLOOKUP(zeta!$A18,main!$A$3:$H$102,6,FALSE),0)</f>
        <v>0</v>
      </c>
      <c r="Y18">
        <f>IF(gamma!Y18,VLOOKUP(zeta!Y$1,main!$A$3:$H$102,5,FALSE)-VLOOKUP(zeta!$A18,main!$A$3:$H$102,6,FALSE),0)</f>
        <v>0</v>
      </c>
      <c r="Z18">
        <f>IF(gamma!Z18,VLOOKUP(zeta!Z$1,main!$A$3:$H$102,5,FALSE)-VLOOKUP(zeta!$A18,main!$A$3:$H$102,6,FALSE),0)</f>
        <v>0</v>
      </c>
      <c r="AA18">
        <f>IF(gamma!AA18,VLOOKUP(zeta!AA$1,main!$A$3:$H$102,5,FALSE)-VLOOKUP(zeta!$A18,main!$A$3:$H$102,6,FALSE),0)</f>
        <v>185</v>
      </c>
      <c r="AB18">
        <f>IF(gamma!AB18,VLOOKUP(zeta!AB$1,main!$A$3:$H$102,5,FALSE)-VLOOKUP(zeta!$A18,main!$A$3:$H$102,6,FALSE),0)</f>
        <v>0</v>
      </c>
      <c r="AC18">
        <f>IF(gamma!AC18,VLOOKUP(zeta!AC$1,main!$A$3:$H$102,5,FALSE)-VLOOKUP(zeta!$A18,main!$A$3:$H$102,6,FALSE),0)</f>
        <v>0</v>
      </c>
      <c r="AD18">
        <f>IF(gamma!AD18,VLOOKUP(zeta!AD$1,main!$A$3:$H$102,5,FALSE)-VLOOKUP(zeta!$A18,main!$A$3:$H$102,6,FALSE),0)</f>
        <v>0</v>
      </c>
      <c r="AE18">
        <f>IF(gamma!AE18,VLOOKUP(zeta!AE$1,main!$A$3:$H$102,5,FALSE)-VLOOKUP(zeta!$A18,main!$A$3:$H$102,6,FALSE),0)</f>
        <v>0</v>
      </c>
      <c r="AF18">
        <f>IF(gamma!AF18,VLOOKUP(zeta!AF$1,main!$A$3:$H$102,5,FALSE)-VLOOKUP(zeta!$A18,main!$A$3:$H$102,6,FALSE),0)</f>
        <v>165</v>
      </c>
      <c r="AG18">
        <f>IF(gamma!AG18,VLOOKUP(zeta!AG$1,main!$A$3:$H$102,5,FALSE)-VLOOKUP(zeta!$A18,main!$A$3:$H$102,6,FALSE),0)</f>
        <v>0</v>
      </c>
      <c r="AH18">
        <f>IF(gamma!AH18,VLOOKUP(zeta!AH$1,main!$A$3:$H$102,5,FALSE)-VLOOKUP(zeta!$A18,main!$A$3:$H$102,6,FALSE),0)</f>
        <v>0</v>
      </c>
      <c r="AI18">
        <f>IF(gamma!AI18,VLOOKUP(zeta!AI$1,main!$A$3:$H$102,5,FALSE)-VLOOKUP(zeta!$A18,main!$A$3:$H$102,6,FALSE),0)</f>
        <v>0</v>
      </c>
      <c r="AJ18">
        <f>IF(gamma!AJ18,VLOOKUP(zeta!AJ$1,main!$A$3:$H$102,5,FALSE)-VLOOKUP(zeta!$A18,main!$A$3:$H$102,6,FALSE),0)</f>
        <v>0</v>
      </c>
      <c r="AK18">
        <f>IF(gamma!AK18,VLOOKUP(zeta!AK$1,main!$A$3:$H$102,5,FALSE)-VLOOKUP(zeta!$A18,main!$A$3:$H$102,6,FALSE),0)</f>
        <v>0</v>
      </c>
      <c r="AL18">
        <f>IF(gamma!AL18,VLOOKUP(zeta!AL$1,main!$A$3:$H$102,5,FALSE)-VLOOKUP(zeta!$A18,main!$A$3:$H$102,6,FALSE),0)</f>
        <v>55</v>
      </c>
      <c r="AM18">
        <f>IF(gamma!AM18,VLOOKUP(zeta!AM$1,main!$A$3:$H$102,5,FALSE)-VLOOKUP(zeta!$A18,main!$A$3:$H$102,6,FALSE),0)</f>
        <v>145</v>
      </c>
      <c r="AN18">
        <f>IF(gamma!AN18,VLOOKUP(zeta!AN$1,main!$A$3:$H$102,5,FALSE)-VLOOKUP(zeta!$A18,main!$A$3:$H$102,6,FALSE),0)</f>
        <v>205</v>
      </c>
      <c r="AO18">
        <f>IF(gamma!AO18,VLOOKUP(zeta!AO$1,main!$A$3:$H$102,5,FALSE)-VLOOKUP(zeta!$A18,main!$A$3:$H$102,6,FALSE),0)</f>
        <v>0</v>
      </c>
      <c r="AP18">
        <f>IF(gamma!AP18,VLOOKUP(zeta!AP$1,main!$A$3:$H$102,5,FALSE)-VLOOKUP(zeta!$A18,main!$A$3:$H$102,6,FALSE),0)</f>
        <v>265</v>
      </c>
      <c r="AQ18">
        <f>IF(gamma!AQ18,VLOOKUP(zeta!AQ$1,main!$A$3:$H$102,5,FALSE)-VLOOKUP(zeta!$A18,main!$A$3:$H$102,6,FALSE),0)</f>
        <v>0</v>
      </c>
      <c r="AR18">
        <f>IF(gamma!AR18,VLOOKUP(zeta!AR$1,main!$A$3:$H$102,5,FALSE)-VLOOKUP(zeta!$A18,main!$A$3:$H$102,6,FALSE),0)</f>
        <v>0</v>
      </c>
      <c r="AS18">
        <f>IF(gamma!AS18,VLOOKUP(zeta!AS$1,main!$A$3:$H$102,5,FALSE)-VLOOKUP(zeta!$A18,main!$A$3:$H$102,6,FALSE),0)</f>
        <v>0</v>
      </c>
      <c r="AT18">
        <f>IF(gamma!AT18,VLOOKUP(zeta!AT$1,main!$A$3:$H$102,5,FALSE)-VLOOKUP(zeta!$A18,main!$A$3:$H$102,6,FALSE),0)</f>
        <v>0</v>
      </c>
      <c r="AU18">
        <f>IF(gamma!AU18,VLOOKUP(zeta!AU$1,main!$A$3:$H$102,5,FALSE)-VLOOKUP(zeta!$A18,main!$A$3:$H$102,6,FALSE),0)</f>
        <v>0</v>
      </c>
      <c r="AV18">
        <f>IF(gamma!AV18,VLOOKUP(zeta!AV$1,main!$A$3:$H$102,5,FALSE)-VLOOKUP(zeta!$A18,main!$A$3:$H$102,6,FALSE),0)</f>
        <v>0</v>
      </c>
      <c r="AW18">
        <f>IF(gamma!AW18,VLOOKUP(zeta!AW$1,main!$A$3:$H$102,5,FALSE)-VLOOKUP(zeta!$A18,main!$A$3:$H$102,6,FALSE),0)</f>
        <v>0</v>
      </c>
      <c r="AX18">
        <f>IF(gamma!AX18,VLOOKUP(zeta!AX$1,main!$A$3:$H$102,5,FALSE)-VLOOKUP(zeta!$A18,main!$A$3:$H$102,6,FALSE),0)</f>
        <v>0</v>
      </c>
      <c r="AY18">
        <f>IF(gamma!AY18,VLOOKUP(zeta!AY$1,main!$A$3:$H$102,5,FALSE)-VLOOKUP(zeta!$A18,main!$A$3:$H$102,6,FALSE),0)</f>
        <v>0</v>
      </c>
      <c r="AZ18">
        <f>IF(gamma!AZ18,VLOOKUP(zeta!AZ$1,main!$A$3:$H$102,5,FALSE)-VLOOKUP(zeta!$A18,main!$A$3:$H$102,6,FALSE),0)</f>
        <v>0</v>
      </c>
      <c r="BA18">
        <f>IF(gamma!BA18,VLOOKUP(zeta!BA$1,main!$A$3:$H$102,5,FALSE)-VLOOKUP(zeta!$A18,main!$A$3:$H$102,6,FALSE),0)</f>
        <v>0</v>
      </c>
      <c r="BB18">
        <f>IF(gamma!BB18,VLOOKUP(zeta!BB$1,main!$A$3:$H$102,5,FALSE)-VLOOKUP(zeta!$A18,main!$A$3:$H$102,6,FALSE),0)</f>
        <v>0</v>
      </c>
      <c r="BC18">
        <f>IF(gamma!BC18,VLOOKUP(zeta!BC$1,main!$A$3:$H$102,5,FALSE)-VLOOKUP(zeta!$A18,main!$A$3:$H$102,6,FALSE),0)</f>
        <v>0</v>
      </c>
      <c r="BD18">
        <f>IF(gamma!BD18,VLOOKUP(zeta!BD$1,main!$A$3:$H$102,5,FALSE)-VLOOKUP(zeta!$A18,main!$A$3:$H$102,6,FALSE),0)</f>
        <v>0</v>
      </c>
      <c r="BE18">
        <f>IF(gamma!BE18,VLOOKUP(zeta!BE$1,main!$A$3:$H$102,5,FALSE)-VLOOKUP(zeta!$A18,main!$A$3:$H$102,6,FALSE),0)</f>
        <v>105</v>
      </c>
      <c r="BF18">
        <f>IF(gamma!BF18,VLOOKUP(zeta!BF$1,main!$A$3:$H$102,5,FALSE)-VLOOKUP(zeta!$A18,main!$A$3:$H$102,6,FALSE),0)</f>
        <v>0</v>
      </c>
      <c r="BG18">
        <f>IF(gamma!BG18,VLOOKUP(zeta!BG$1,main!$A$3:$H$102,5,FALSE)-VLOOKUP(zeta!$A18,main!$A$3:$H$102,6,FALSE),0)</f>
        <v>0</v>
      </c>
      <c r="BH18">
        <f>IF(gamma!BH18,VLOOKUP(zeta!BH$1,main!$A$3:$H$102,5,FALSE)-VLOOKUP(zeta!$A18,main!$A$3:$H$102,6,FALSE),0)</f>
        <v>0</v>
      </c>
      <c r="BI18">
        <f>IF(gamma!BI18,VLOOKUP(zeta!BI$1,main!$A$3:$H$102,5,FALSE)-VLOOKUP(zeta!$A18,main!$A$3:$H$102,6,FALSE),0)</f>
        <v>275</v>
      </c>
      <c r="BJ18">
        <f>IF(gamma!BJ18,VLOOKUP(zeta!BJ$1,main!$A$3:$H$102,5,FALSE)-VLOOKUP(zeta!$A18,main!$A$3:$H$102,6,FALSE),0)</f>
        <v>65</v>
      </c>
      <c r="BK18">
        <f>IF(gamma!BK18,VLOOKUP(zeta!BK$1,main!$A$3:$H$102,5,FALSE)-VLOOKUP(zeta!$A18,main!$A$3:$H$102,6,FALSE),0)</f>
        <v>0</v>
      </c>
      <c r="BL18">
        <f>IF(gamma!BL18,VLOOKUP(zeta!BL$1,main!$A$3:$H$102,5,FALSE)-VLOOKUP(zeta!$A18,main!$A$3:$H$102,6,FALSE),0)</f>
        <v>0</v>
      </c>
      <c r="BM18">
        <f>IF(gamma!BM18,VLOOKUP(zeta!BM$1,main!$A$3:$H$102,5,FALSE)-VLOOKUP(zeta!$A18,main!$A$3:$H$102,6,FALSE),0)</f>
        <v>0</v>
      </c>
      <c r="BN18">
        <f>IF(gamma!BN18,VLOOKUP(zeta!BN$1,main!$A$3:$H$102,5,FALSE)-VLOOKUP(zeta!$A18,main!$A$3:$H$102,6,FALSE),0)</f>
        <v>0</v>
      </c>
      <c r="BO18">
        <f>IF(gamma!BO18,VLOOKUP(zeta!BO$1,main!$A$3:$H$102,5,FALSE)-VLOOKUP(zeta!$A18,main!$A$3:$H$102,6,FALSE),0)</f>
        <v>0</v>
      </c>
      <c r="BP18">
        <f>IF(gamma!BP18,VLOOKUP(zeta!BP$1,main!$A$3:$H$102,5,FALSE)-VLOOKUP(zeta!$A18,main!$A$3:$H$102,6,FALSE),0)</f>
        <v>0</v>
      </c>
      <c r="BQ18">
        <f>IF(gamma!BQ18,VLOOKUP(zeta!BQ$1,main!$A$3:$H$102,5,FALSE)-VLOOKUP(zeta!$A18,main!$A$3:$H$102,6,FALSE),0)</f>
        <v>0</v>
      </c>
      <c r="BR18">
        <f>IF(gamma!BR18,VLOOKUP(zeta!BR$1,main!$A$3:$H$102,5,FALSE)-VLOOKUP(zeta!$A18,main!$A$3:$H$102,6,FALSE),0)</f>
        <v>0</v>
      </c>
      <c r="BS18">
        <f>IF(gamma!BS18,VLOOKUP(zeta!BS$1,main!$A$3:$H$102,5,FALSE)-VLOOKUP(zeta!$A18,main!$A$3:$H$102,6,FALSE),0)</f>
        <v>0</v>
      </c>
      <c r="BT18">
        <f>IF(gamma!BT18,VLOOKUP(zeta!BT$1,main!$A$3:$H$102,5,FALSE)-VLOOKUP(zeta!$A18,main!$A$3:$H$102,6,FALSE),0)</f>
        <v>0</v>
      </c>
      <c r="BU18">
        <f>IF(gamma!BU18,VLOOKUP(zeta!BU$1,main!$A$3:$H$102,5,FALSE)-VLOOKUP(zeta!$A18,main!$A$3:$H$102,6,FALSE),0)</f>
        <v>0</v>
      </c>
      <c r="BV18">
        <f>IF(gamma!BV18,VLOOKUP(zeta!BV$1,main!$A$3:$H$102,5,FALSE)-VLOOKUP(zeta!$A18,main!$A$3:$H$102,6,FALSE),0)</f>
        <v>0</v>
      </c>
      <c r="BW18">
        <f>IF(gamma!BW18,VLOOKUP(zeta!BW$1,main!$A$3:$H$102,5,FALSE)-VLOOKUP(zeta!$A18,main!$A$3:$H$102,6,FALSE),0)</f>
        <v>0</v>
      </c>
      <c r="BX18">
        <f>IF(gamma!BX18,VLOOKUP(zeta!BX$1,main!$A$3:$H$102,5,FALSE)-VLOOKUP(zeta!$A18,main!$A$3:$H$102,6,FALSE),0)</f>
        <v>0</v>
      </c>
      <c r="BY18">
        <f>IF(gamma!BY18,VLOOKUP(zeta!BY$1,main!$A$3:$H$102,5,FALSE)-VLOOKUP(zeta!$A18,main!$A$3:$H$102,6,FALSE),0)</f>
        <v>0</v>
      </c>
      <c r="BZ18">
        <f>IF(gamma!BZ18,VLOOKUP(zeta!BZ$1,main!$A$3:$H$102,5,FALSE)-VLOOKUP(zeta!$A18,main!$A$3:$H$102,6,FALSE),0)</f>
        <v>0</v>
      </c>
      <c r="CA18">
        <f>IF(gamma!CA18,VLOOKUP(zeta!CA$1,main!$A$3:$H$102,5,FALSE)-VLOOKUP(zeta!$A18,main!$A$3:$H$102,6,FALSE),0)</f>
        <v>0</v>
      </c>
      <c r="CB18">
        <f>IF(gamma!CB18,VLOOKUP(zeta!CB$1,main!$A$3:$H$102,5,FALSE)-VLOOKUP(zeta!$A18,main!$A$3:$H$102,6,FALSE),0)</f>
        <v>0</v>
      </c>
      <c r="CC18">
        <f>IF(gamma!CC18,VLOOKUP(zeta!CC$1,main!$A$3:$H$102,5,FALSE)-VLOOKUP(zeta!$A18,main!$A$3:$H$102,6,FALSE),0)</f>
        <v>180</v>
      </c>
      <c r="CD18">
        <f>IF(gamma!CD18,VLOOKUP(zeta!CD$1,main!$A$3:$H$102,5,FALSE)-VLOOKUP(zeta!$A18,main!$A$3:$H$102,6,FALSE),0)</f>
        <v>0</v>
      </c>
      <c r="CE18">
        <f>IF(gamma!CE18,VLOOKUP(zeta!CE$1,main!$A$3:$H$102,5,FALSE)-VLOOKUP(zeta!$A18,main!$A$3:$H$102,6,FALSE),0)</f>
        <v>0</v>
      </c>
      <c r="CF18">
        <f>IF(gamma!CF18,VLOOKUP(zeta!CF$1,main!$A$3:$H$102,5,FALSE)-VLOOKUP(zeta!$A18,main!$A$3:$H$102,6,FALSE),0)</f>
        <v>0</v>
      </c>
      <c r="CG18">
        <f>IF(gamma!CG18,VLOOKUP(zeta!CG$1,main!$A$3:$H$102,5,FALSE)-VLOOKUP(zeta!$A18,main!$A$3:$H$102,6,FALSE),0)</f>
        <v>0</v>
      </c>
      <c r="CH18">
        <f>IF(gamma!CH18,VLOOKUP(zeta!CH$1,main!$A$3:$H$102,5,FALSE)-VLOOKUP(zeta!$A18,main!$A$3:$H$102,6,FALSE),0)</f>
        <v>65</v>
      </c>
      <c r="CI18">
        <f>IF(gamma!CI18,VLOOKUP(zeta!CI$1,main!$A$3:$H$102,5,FALSE)-VLOOKUP(zeta!$A18,main!$A$3:$H$102,6,FALSE),0)</f>
        <v>265</v>
      </c>
      <c r="CJ18">
        <f>IF(gamma!CJ18,VLOOKUP(zeta!CJ$1,main!$A$3:$H$102,5,FALSE)-VLOOKUP(zeta!$A18,main!$A$3:$H$102,6,FALSE),0)</f>
        <v>0</v>
      </c>
      <c r="CK18">
        <f>IF(gamma!CK18,VLOOKUP(zeta!CK$1,main!$A$3:$H$102,5,FALSE)-VLOOKUP(zeta!$A18,main!$A$3:$H$102,6,FALSE),0)</f>
        <v>0</v>
      </c>
      <c r="CL18">
        <f>IF(gamma!CL18,VLOOKUP(zeta!CL$1,main!$A$3:$H$102,5,FALSE)-VLOOKUP(zeta!$A18,main!$A$3:$H$102,6,FALSE),0)</f>
        <v>0</v>
      </c>
      <c r="CM18">
        <f>IF(gamma!CM18,VLOOKUP(zeta!CM$1,main!$A$3:$H$102,5,FALSE)-VLOOKUP(zeta!$A18,main!$A$3:$H$102,6,FALSE),0)</f>
        <v>0</v>
      </c>
      <c r="CN18">
        <f>IF(gamma!CN18,VLOOKUP(zeta!CN$1,main!$A$3:$H$102,5,FALSE)-VLOOKUP(zeta!$A18,main!$A$3:$H$102,6,FALSE),0)</f>
        <v>265</v>
      </c>
      <c r="CO18">
        <f>IF(gamma!CO18,VLOOKUP(zeta!CO$1,main!$A$3:$H$102,5,FALSE)-VLOOKUP(zeta!$A18,main!$A$3:$H$102,6,FALSE),0)</f>
        <v>0</v>
      </c>
      <c r="CP18">
        <f>IF(gamma!CP18,VLOOKUP(zeta!CP$1,main!$A$3:$H$102,5,FALSE)-VLOOKUP(zeta!$A18,main!$A$3:$H$102,6,FALSE),0)</f>
        <v>0</v>
      </c>
      <c r="CQ18">
        <f>IF(gamma!CQ18,VLOOKUP(zeta!CQ$1,main!$A$3:$H$102,5,FALSE)-VLOOKUP(zeta!$A18,main!$A$3:$H$102,6,FALSE),0)</f>
        <v>0</v>
      </c>
      <c r="CR18">
        <f>IF(gamma!CR18,VLOOKUP(zeta!CR$1,main!$A$3:$H$102,5,FALSE)-VLOOKUP(zeta!$A18,main!$A$3:$H$102,6,FALSE),0)</f>
        <v>0</v>
      </c>
      <c r="CS18">
        <f>IF(gamma!CS18,VLOOKUP(zeta!CS$1,main!$A$3:$H$102,5,FALSE)-VLOOKUP(zeta!$A18,main!$A$3:$H$102,6,FALSE),0)</f>
        <v>0</v>
      </c>
      <c r="CT18">
        <f>IF(gamma!CT18,VLOOKUP(zeta!CT$1,main!$A$3:$H$102,5,FALSE)-VLOOKUP(zeta!$A18,main!$A$3:$H$102,6,FALSE),0)</f>
        <v>0</v>
      </c>
      <c r="CU18">
        <f>IF(gamma!CU18,VLOOKUP(zeta!CU$1,main!$A$3:$H$102,5,FALSE)-VLOOKUP(zeta!$A18,main!$A$3:$H$102,6,FALSE),0)</f>
        <v>0</v>
      </c>
      <c r="CV18">
        <f>IF(gamma!CV18,VLOOKUP(zeta!CV$1,main!$A$3:$H$102,5,FALSE)-VLOOKUP(zeta!$A18,main!$A$3:$H$102,6,FALSE),0)</f>
        <v>0</v>
      </c>
      <c r="CW18">
        <f>IF(gamma!CW18,VLOOKUP(zeta!CW$1,main!$A$3:$H$102,5,FALSE)-VLOOKUP(zeta!$A18,main!$A$3:$H$102,6,FALSE),0)</f>
        <v>0</v>
      </c>
      <c r="CX18">
        <f>IF(gamma!CX18,VLOOKUP(zeta!CX$1,main!$A$3:$H$102,5,FALSE)-VLOOKUP(zeta!$A18,main!$A$3:$H$102,6,FALSE),0)</f>
        <v>70</v>
      </c>
    </row>
    <row r="19" spans="1:102" x14ac:dyDescent="0.25">
      <c r="A19">
        <f t="shared" si="0"/>
        <v>17</v>
      </c>
      <c r="B19">
        <v>0</v>
      </c>
      <c r="C19">
        <f>IF(gamma!C19,VLOOKUP(zeta!C$1,main!$A$3:$H$102,5,FALSE)-VLOOKUP(zeta!$A19,main!$A$3:$H$102,6,FALSE),0)</f>
        <v>0</v>
      </c>
      <c r="D19">
        <f>IF(gamma!D19,VLOOKUP(zeta!D$1,main!$A$3:$H$102,5,FALSE)-VLOOKUP(zeta!$A19,main!$A$3:$H$102,6,FALSE),0)</f>
        <v>0</v>
      </c>
      <c r="E19">
        <f>IF(gamma!E19,VLOOKUP(zeta!E$1,main!$A$3:$H$102,5,FALSE)-VLOOKUP(zeta!$A19,main!$A$3:$H$102,6,FALSE),0)</f>
        <v>0</v>
      </c>
      <c r="F19">
        <f>IF(gamma!F19,VLOOKUP(zeta!F$1,main!$A$3:$H$102,5,FALSE)-VLOOKUP(zeta!$A19,main!$A$3:$H$102,6,FALSE),0)</f>
        <v>0</v>
      </c>
      <c r="G19">
        <f>IF(gamma!G19,VLOOKUP(zeta!G$1,main!$A$3:$H$102,5,FALSE)-VLOOKUP(zeta!$A19,main!$A$3:$H$102,6,FALSE),0)</f>
        <v>0</v>
      </c>
      <c r="H19">
        <f>IF(gamma!H19,VLOOKUP(zeta!H$1,main!$A$3:$H$102,5,FALSE)-VLOOKUP(zeta!$A19,main!$A$3:$H$102,6,FALSE),0)</f>
        <v>0</v>
      </c>
      <c r="I19">
        <f>IF(gamma!I19,VLOOKUP(zeta!I$1,main!$A$3:$H$102,5,FALSE)-VLOOKUP(zeta!$A19,main!$A$3:$H$102,6,FALSE),0)</f>
        <v>0</v>
      </c>
      <c r="J19">
        <f>IF(gamma!J19,VLOOKUP(zeta!J$1,main!$A$3:$H$102,5,FALSE)-VLOOKUP(zeta!$A19,main!$A$3:$H$102,6,FALSE),0)</f>
        <v>0</v>
      </c>
      <c r="K19">
        <f>IF(gamma!K19,VLOOKUP(zeta!K$1,main!$A$3:$H$102,5,FALSE)-VLOOKUP(zeta!$A19,main!$A$3:$H$102,6,FALSE),0)</f>
        <v>0</v>
      </c>
      <c r="L19">
        <f>IF(gamma!L19,VLOOKUP(zeta!L$1,main!$A$3:$H$102,5,FALSE)-VLOOKUP(zeta!$A19,main!$A$3:$H$102,6,FALSE),0)</f>
        <v>130</v>
      </c>
      <c r="M19">
        <f>IF(gamma!M19,VLOOKUP(zeta!M$1,main!$A$3:$H$102,5,FALSE)-VLOOKUP(zeta!$A19,main!$A$3:$H$102,6,FALSE),0)</f>
        <v>0</v>
      </c>
      <c r="N19">
        <f>IF(gamma!N19,VLOOKUP(zeta!N$1,main!$A$3:$H$102,5,FALSE)-VLOOKUP(zeta!$A19,main!$A$3:$H$102,6,FALSE),0)</f>
        <v>0</v>
      </c>
      <c r="O19">
        <f>IF(gamma!O19,VLOOKUP(zeta!O$1,main!$A$3:$H$102,5,FALSE)-VLOOKUP(zeta!$A19,main!$A$3:$H$102,6,FALSE),0)</f>
        <v>0</v>
      </c>
      <c r="P19">
        <f>IF(gamma!P19,VLOOKUP(zeta!P$1,main!$A$3:$H$102,5,FALSE)-VLOOKUP(zeta!$A19,main!$A$3:$H$102,6,FALSE),0)</f>
        <v>0</v>
      </c>
      <c r="Q19">
        <f>IF(gamma!Q19,VLOOKUP(zeta!Q$1,main!$A$3:$H$102,5,FALSE)-VLOOKUP(zeta!$A19,main!$A$3:$H$102,6,FALSE),0)</f>
        <v>0</v>
      </c>
      <c r="R19">
        <f>IF(gamma!R19,VLOOKUP(zeta!R$1,main!$A$3:$H$102,5,FALSE)-VLOOKUP(zeta!$A19,main!$A$3:$H$102,6,FALSE),0)</f>
        <v>0</v>
      </c>
      <c r="S19">
        <f>IF(gamma!S19,VLOOKUP(zeta!S$1,main!$A$3:$H$102,5,FALSE)-VLOOKUP(zeta!$A19,main!$A$3:$H$102,6,FALSE),0)</f>
        <v>0</v>
      </c>
      <c r="T19">
        <f>IF(gamma!T19,VLOOKUP(zeta!T$1,main!$A$3:$H$102,5,FALSE)-VLOOKUP(zeta!$A19,main!$A$3:$H$102,6,FALSE),0)</f>
        <v>0</v>
      </c>
      <c r="U19">
        <f>IF(gamma!U19,VLOOKUP(zeta!U$1,main!$A$3:$H$102,5,FALSE)-VLOOKUP(zeta!$A19,main!$A$3:$H$102,6,FALSE),0)</f>
        <v>95</v>
      </c>
      <c r="V19">
        <f>IF(gamma!V19,VLOOKUP(zeta!V$1,main!$A$3:$H$102,5,FALSE)-VLOOKUP(zeta!$A19,main!$A$3:$H$102,6,FALSE),0)</f>
        <v>155</v>
      </c>
      <c r="W19">
        <f>IF(gamma!W19,VLOOKUP(zeta!W$1,main!$A$3:$H$102,5,FALSE)-VLOOKUP(zeta!$A19,main!$A$3:$H$102,6,FALSE),0)</f>
        <v>0</v>
      </c>
      <c r="X19">
        <f>IF(gamma!X19,VLOOKUP(zeta!X$1,main!$A$3:$H$102,5,FALSE)-VLOOKUP(zeta!$A19,main!$A$3:$H$102,6,FALSE),0)</f>
        <v>0</v>
      </c>
      <c r="Y19">
        <f>IF(gamma!Y19,VLOOKUP(zeta!Y$1,main!$A$3:$H$102,5,FALSE)-VLOOKUP(zeta!$A19,main!$A$3:$H$102,6,FALSE),0)</f>
        <v>0</v>
      </c>
      <c r="Z19">
        <f>IF(gamma!Z19,VLOOKUP(zeta!Z$1,main!$A$3:$H$102,5,FALSE)-VLOOKUP(zeta!$A19,main!$A$3:$H$102,6,FALSE),0)</f>
        <v>0</v>
      </c>
      <c r="AA19">
        <f>IF(gamma!AA19,VLOOKUP(zeta!AA$1,main!$A$3:$H$102,5,FALSE)-VLOOKUP(zeta!$A19,main!$A$3:$H$102,6,FALSE),0)</f>
        <v>60</v>
      </c>
      <c r="AB19">
        <f>IF(gamma!AB19,VLOOKUP(zeta!AB$1,main!$A$3:$H$102,5,FALSE)-VLOOKUP(zeta!$A19,main!$A$3:$H$102,6,FALSE),0)</f>
        <v>0</v>
      </c>
      <c r="AC19">
        <f>IF(gamma!AC19,VLOOKUP(zeta!AC$1,main!$A$3:$H$102,5,FALSE)-VLOOKUP(zeta!$A19,main!$A$3:$H$102,6,FALSE),0)</f>
        <v>0</v>
      </c>
      <c r="AD19">
        <f>IF(gamma!AD19,VLOOKUP(zeta!AD$1,main!$A$3:$H$102,5,FALSE)-VLOOKUP(zeta!$A19,main!$A$3:$H$102,6,FALSE),0)</f>
        <v>0</v>
      </c>
      <c r="AE19">
        <f>IF(gamma!AE19,VLOOKUP(zeta!AE$1,main!$A$3:$H$102,5,FALSE)-VLOOKUP(zeta!$A19,main!$A$3:$H$102,6,FALSE),0)</f>
        <v>0</v>
      </c>
      <c r="AF19">
        <f>IF(gamma!AF19,VLOOKUP(zeta!AF$1,main!$A$3:$H$102,5,FALSE)-VLOOKUP(zeta!$A19,main!$A$3:$H$102,6,FALSE),0)</f>
        <v>0</v>
      </c>
      <c r="AG19">
        <f>IF(gamma!AG19,VLOOKUP(zeta!AG$1,main!$A$3:$H$102,5,FALSE)-VLOOKUP(zeta!$A19,main!$A$3:$H$102,6,FALSE),0)</f>
        <v>0</v>
      </c>
      <c r="AH19">
        <f>IF(gamma!AH19,VLOOKUP(zeta!AH$1,main!$A$3:$H$102,5,FALSE)-VLOOKUP(zeta!$A19,main!$A$3:$H$102,6,FALSE),0)</f>
        <v>0</v>
      </c>
      <c r="AI19">
        <f>IF(gamma!AI19,VLOOKUP(zeta!AI$1,main!$A$3:$H$102,5,FALSE)-VLOOKUP(zeta!$A19,main!$A$3:$H$102,6,FALSE),0)</f>
        <v>0</v>
      </c>
      <c r="AJ19">
        <f>IF(gamma!AJ19,VLOOKUP(zeta!AJ$1,main!$A$3:$H$102,5,FALSE)-VLOOKUP(zeta!$A19,main!$A$3:$H$102,6,FALSE),0)</f>
        <v>0</v>
      </c>
      <c r="AK19">
        <f>IF(gamma!AK19,VLOOKUP(zeta!AK$1,main!$A$3:$H$102,5,FALSE)-VLOOKUP(zeta!$A19,main!$A$3:$H$102,6,FALSE),0)</f>
        <v>0</v>
      </c>
      <c r="AL19">
        <f>IF(gamma!AL19,VLOOKUP(zeta!AL$1,main!$A$3:$H$102,5,FALSE)-VLOOKUP(zeta!$A19,main!$A$3:$H$102,6,FALSE),0)</f>
        <v>0</v>
      </c>
      <c r="AM19">
        <f>IF(gamma!AM19,VLOOKUP(zeta!AM$1,main!$A$3:$H$102,5,FALSE)-VLOOKUP(zeta!$A19,main!$A$3:$H$102,6,FALSE),0)</f>
        <v>0</v>
      </c>
      <c r="AN19">
        <f>IF(gamma!AN19,VLOOKUP(zeta!AN$1,main!$A$3:$H$102,5,FALSE)-VLOOKUP(zeta!$A19,main!$A$3:$H$102,6,FALSE),0)</f>
        <v>80</v>
      </c>
      <c r="AO19">
        <f>IF(gamma!AO19,VLOOKUP(zeta!AO$1,main!$A$3:$H$102,5,FALSE)-VLOOKUP(zeta!$A19,main!$A$3:$H$102,6,FALSE),0)</f>
        <v>0</v>
      </c>
      <c r="AP19">
        <f>IF(gamma!AP19,VLOOKUP(zeta!AP$1,main!$A$3:$H$102,5,FALSE)-VLOOKUP(zeta!$A19,main!$A$3:$H$102,6,FALSE),0)</f>
        <v>140</v>
      </c>
      <c r="AQ19">
        <f>IF(gamma!AQ19,VLOOKUP(zeta!AQ$1,main!$A$3:$H$102,5,FALSE)-VLOOKUP(zeta!$A19,main!$A$3:$H$102,6,FALSE),0)</f>
        <v>0</v>
      </c>
      <c r="AR19">
        <f>IF(gamma!AR19,VLOOKUP(zeta!AR$1,main!$A$3:$H$102,5,FALSE)-VLOOKUP(zeta!$A19,main!$A$3:$H$102,6,FALSE),0)</f>
        <v>0</v>
      </c>
      <c r="AS19">
        <f>IF(gamma!AS19,VLOOKUP(zeta!AS$1,main!$A$3:$H$102,5,FALSE)-VLOOKUP(zeta!$A19,main!$A$3:$H$102,6,FALSE),0)</f>
        <v>0</v>
      </c>
      <c r="AT19">
        <f>IF(gamma!AT19,VLOOKUP(zeta!AT$1,main!$A$3:$H$102,5,FALSE)-VLOOKUP(zeta!$A19,main!$A$3:$H$102,6,FALSE),0)</f>
        <v>0</v>
      </c>
      <c r="AU19">
        <f>IF(gamma!AU19,VLOOKUP(zeta!AU$1,main!$A$3:$H$102,5,FALSE)-VLOOKUP(zeta!$A19,main!$A$3:$H$102,6,FALSE),0)</f>
        <v>0</v>
      </c>
      <c r="AV19">
        <f>IF(gamma!AV19,VLOOKUP(zeta!AV$1,main!$A$3:$H$102,5,FALSE)-VLOOKUP(zeta!$A19,main!$A$3:$H$102,6,FALSE),0)</f>
        <v>0</v>
      </c>
      <c r="AW19">
        <f>IF(gamma!AW19,VLOOKUP(zeta!AW$1,main!$A$3:$H$102,5,FALSE)-VLOOKUP(zeta!$A19,main!$A$3:$H$102,6,FALSE),0)</f>
        <v>0</v>
      </c>
      <c r="AX19">
        <f>IF(gamma!AX19,VLOOKUP(zeta!AX$1,main!$A$3:$H$102,5,FALSE)-VLOOKUP(zeta!$A19,main!$A$3:$H$102,6,FALSE),0)</f>
        <v>0</v>
      </c>
      <c r="AY19">
        <f>IF(gamma!AY19,VLOOKUP(zeta!AY$1,main!$A$3:$H$102,5,FALSE)-VLOOKUP(zeta!$A19,main!$A$3:$H$102,6,FALSE),0)</f>
        <v>0</v>
      </c>
      <c r="AZ19">
        <f>IF(gamma!AZ19,VLOOKUP(zeta!AZ$1,main!$A$3:$H$102,5,FALSE)-VLOOKUP(zeta!$A19,main!$A$3:$H$102,6,FALSE),0)</f>
        <v>0</v>
      </c>
      <c r="BA19">
        <f>IF(gamma!BA19,VLOOKUP(zeta!BA$1,main!$A$3:$H$102,5,FALSE)-VLOOKUP(zeta!$A19,main!$A$3:$H$102,6,FALSE),0)</f>
        <v>0</v>
      </c>
      <c r="BB19">
        <f>IF(gamma!BB19,VLOOKUP(zeta!BB$1,main!$A$3:$H$102,5,FALSE)-VLOOKUP(zeta!$A19,main!$A$3:$H$102,6,FALSE),0)</f>
        <v>0</v>
      </c>
      <c r="BC19">
        <f>IF(gamma!BC19,VLOOKUP(zeta!BC$1,main!$A$3:$H$102,5,FALSE)-VLOOKUP(zeta!$A19,main!$A$3:$H$102,6,FALSE),0)</f>
        <v>0</v>
      </c>
      <c r="BD19">
        <f>IF(gamma!BD19,VLOOKUP(zeta!BD$1,main!$A$3:$H$102,5,FALSE)-VLOOKUP(zeta!$A19,main!$A$3:$H$102,6,FALSE),0)</f>
        <v>0</v>
      </c>
      <c r="BE19">
        <f>IF(gamma!BE19,VLOOKUP(zeta!BE$1,main!$A$3:$H$102,5,FALSE)-VLOOKUP(zeta!$A19,main!$A$3:$H$102,6,FALSE),0)</f>
        <v>0</v>
      </c>
      <c r="BF19">
        <f>IF(gamma!BF19,VLOOKUP(zeta!BF$1,main!$A$3:$H$102,5,FALSE)-VLOOKUP(zeta!$A19,main!$A$3:$H$102,6,FALSE),0)</f>
        <v>0</v>
      </c>
      <c r="BG19">
        <f>IF(gamma!BG19,VLOOKUP(zeta!BG$1,main!$A$3:$H$102,5,FALSE)-VLOOKUP(zeta!$A19,main!$A$3:$H$102,6,FALSE),0)</f>
        <v>0</v>
      </c>
      <c r="BH19">
        <f>IF(gamma!BH19,VLOOKUP(zeta!BH$1,main!$A$3:$H$102,5,FALSE)-VLOOKUP(zeta!$A19,main!$A$3:$H$102,6,FALSE),0)</f>
        <v>0</v>
      </c>
      <c r="BI19">
        <f>IF(gamma!BI19,VLOOKUP(zeta!BI$1,main!$A$3:$H$102,5,FALSE)-VLOOKUP(zeta!$A19,main!$A$3:$H$102,6,FALSE),0)</f>
        <v>150</v>
      </c>
      <c r="BJ19">
        <f>IF(gamma!BJ19,VLOOKUP(zeta!BJ$1,main!$A$3:$H$102,5,FALSE)-VLOOKUP(zeta!$A19,main!$A$3:$H$102,6,FALSE),0)</f>
        <v>0</v>
      </c>
      <c r="BK19">
        <f>IF(gamma!BK19,VLOOKUP(zeta!BK$1,main!$A$3:$H$102,5,FALSE)-VLOOKUP(zeta!$A19,main!$A$3:$H$102,6,FALSE),0)</f>
        <v>0</v>
      </c>
      <c r="BL19">
        <f>IF(gamma!BL19,VLOOKUP(zeta!BL$1,main!$A$3:$H$102,5,FALSE)-VLOOKUP(zeta!$A19,main!$A$3:$H$102,6,FALSE),0)</f>
        <v>0</v>
      </c>
      <c r="BM19">
        <f>IF(gamma!BM19,VLOOKUP(zeta!BM$1,main!$A$3:$H$102,5,FALSE)-VLOOKUP(zeta!$A19,main!$A$3:$H$102,6,FALSE),0)</f>
        <v>0</v>
      </c>
      <c r="BN19">
        <f>IF(gamma!BN19,VLOOKUP(zeta!BN$1,main!$A$3:$H$102,5,FALSE)-VLOOKUP(zeta!$A19,main!$A$3:$H$102,6,FALSE),0)</f>
        <v>0</v>
      </c>
      <c r="BO19">
        <f>IF(gamma!BO19,VLOOKUP(zeta!BO$1,main!$A$3:$H$102,5,FALSE)-VLOOKUP(zeta!$A19,main!$A$3:$H$102,6,FALSE),0)</f>
        <v>0</v>
      </c>
      <c r="BP19">
        <f>IF(gamma!BP19,VLOOKUP(zeta!BP$1,main!$A$3:$H$102,5,FALSE)-VLOOKUP(zeta!$A19,main!$A$3:$H$102,6,FALSE),0)</f>
        <v>0</v>
      </c>
      <c r="BQ19">
        <f>IF(gamma!BQ19,VLOOKUP(zeta!BQ$1,main!$A$3:$H$102,5,FALSE)-VLOOKUP(zeta!$A19,main!$A$3:$H$102,6,FALSE),0)</f>
        <v>0</v>
      </c>
      <c r="BR19">
        <f>IF(gamma!BR19,VLOOKUP(zeta!BR$1,main!$A$3:$H$102,5,FALSE)-VLOOKUP(zeta!$A19,main!$A$3:$H$102,6,FALSE),0)</f>
        <v>0</v>
      </c>
      <c r="BS19">
        <f>IF(gamma!BS19,VLOOKUP(zeta!BS$1,main!$A$3:$H$102,5,FALSE)-VLOOKUP(zeta!$A19,main!$A$3:$H$102,6,FALSE),0)</f>
        <v>0</v>
      </c>
      <c r="BT19">
        <f>IF(gamma!BT19,VLOOKUP(zeta!BT$1,main!$A$3:$H$102,5,FALSE)-VLOOKUP(zeta!$A19,main!$A$3:$H$102,6,FALSE),0)</f>
        <v>0</v>
      </c>
      <c r="BU19">
        <f>IF(gamma!BU19,VLOOKUP(zeta!BU$1,main!$A$3:$H$102,5,FALSE)-VLOOKUP(zeta!$A19,main!$A$3:$H$102,6,FALSE),0)</f>
        <v>0</v>
      </c>
      <c r="BV19">
        <f>IF(gamma!BV19,VLOOKUP(zeta!BV$1,main!$A$3:$H$102,5,FALSE)-VLOOKUP(zeta!$A19,main!$A$3:$H$102,6,FALSE),0)</f>
        <v>0</v>
      </c>
      <c r="BW19">
        <f>IF(gamma!BW19,VLOOKUP(zeta!BW$1,main!$A$3:$H$102,5,FALSE)-VLOOKUP(zeta!$A19,main!$A$3:$H$102,6,FALSE),0)</f>
        <v>0</v>
      </c>
      <c r="BX19">
        <f>IF(gamma!BX19,VLOOKUP(zeta!BX$1,main!$A$3:$H$102,5,FALSE)-VLOOKUP(zeta!$A19,main!$A$3:$H$102,6,FALSE),0)</f>
        <v>0</v>
      </c>
      <c r="BY19">
        <f>IF(gamma!BY19,VLOOKUP(zeta!BY$1,main!$A$3:$H$102,5,FALSE)-VLOOKUP(zeta!$A19,main!$A$3:$H$102,6,FALSE),0)</f>
        <v>0</v>
      </c>
      <c r="BZ19">
        <f>IF(gamma!BZ19,VLOOKUP(zeta!BZ$1,main!$A$3:$H$102,5,FALSE)-VLOOKUP(zeta!$A19,main!$A$3:$H$102,6,FALSE),0)</f>
        <v>0</v>
      </c>
      <c r="CA19">
        <f>IF(gamma!CA19,VLOOKUP(zeta!CA$1,main!$A$3:$H$102,5,FALSE)-VLOOKUP(zeta!$A19,main!$A$3:$H$102,6,FALSE),0)</f>
        <v>0</v>
      </c>
      <c r="CB19">
        <f>IF(gamma!CB19,VLOOKUP(zeta!CB$1,main!$A$3:$H$102,5,FALSE)-VLOOKUP(zeta!$A19,main!$A$3:$H$102,6,FALSE),0)</f>
        <v>0</v>
      </c>
      <c r="CC19">
        <f>IF(gamma!CC19,VLOOKUP(zeta!CC$1,main!$A$3:$H$102,5,FALSE)-VLOOKUP(zeta!$A19,main!$A$3:$H$102,6,FALSE),0)</f>
        <v>55</v>
      </c>
      <c r="CD19">
        <f>IF(gamma!CD19,VLOOKUP(zeta!CD$1,main!$A$3:$H$102,5,FALSE)-VLOOKUP(zeta!$A19,main!$A$3:$H$102,6,FALSE),0)</f>
        <v>0</v>
      </c>
      <c r="CE19">
        <f>IF(gamma!CE19,VLOOKUP(zeta!CE$1,main!$A$3:$H$102,5,FALSE)-VLOOKUP(zeta!$A19,main!$A$3:$H$102,6,FALSE),0)</f>
        <v>0</v>
      </c>
      <c r="CF19">
        <f>IF(gamma!CF19,VLOOKUP(zeta!CF$1,main!$A$3:$H$102,5,FALSE)-VLOOKUP(zeta!$A19,main!$A$3:$H$102,6,FALSE),0)</f>
        <v>0</v>
      </c>
      <c r="CG19">
        <f>IF(gamma!CG19,VLOOKUP(zeta!CG$1,main!$A$3:$H$102,5,FALSE)-VLOOKUP(zeta!$A19,main!$A$3:$H$102,6,FALSE),0)</f>
        <v>0</v>
      </c>
      <c r="CH19">
        <f>IF(gamma!CH19,VLOOKUP(zeta!CH$1,main!$A$3:$H$102,5,FALSE)-VLOOKUP(zeta!$A19,main!$A$3:$H$102,6,FALSE),0)</f>
        <v>0</v>
      </c>
      <c r="CI19">
        <f>IF(gamma!CI19,VLOOKUP(zeta!CI$1,main!$A$3:$H$102,5,FALSE)-VLOOKUP(zeta!$A19,main!$A$3:$H$102,6,FALSE),0)</f>
        <v>140</v>
      </c>
      <c r="CJ19">
        <f>IF(gamma!CJ19,VLOOKUP(zeta!CJ$1,main!$A$3:$H$102,5,FALSE)-VLOOKUP(zeta!$A19,main!$A$3:$H$102,6,FALSE),0)</f>
        <v>0</v>
      </c>
      <c r="CK19">
        <f>IF(gamma!CK19,VLOOKUP(zeta!CK$1,main!$A$3:$H$102,5,FALSE)-VLOOKUP(zeta!$A19,main!$A$3:$H$102,6,FALSE),0)</f>
        <v>0</v>
      </c>
      <c r="CL19">
        <f>IF(gamma!CL19,VLOOKUP(zeta!CL$1,main!$A$3:$H$102,5,FALSE)-VLOOKUP(zeta!$A19,main!$A$3:$H$102,6,FALSE),0)</f>
        <v>0</v>
      </c>
      <c r="CM19">
        <f>IF(gamma!CM19,VLOOKUP(zeta!CM$1,main!$A$3:$H$102,5,FALSE)-VLOOKUP(zeta!$A19,main!$A$3:$H$102,6,FALSE),0)</f>
        <v>0</v>
      </c>
      <c r="CN19">
        <f>IF(gamma!CN19,VLOOKUP(zeta!CN$1,main!$A$3:$H$102,5,FALSE)-VLOOKUP(zeta!$A19,main!$A$3:$H$102,6,FALSE),0)</f>
        <v>140</v>
      </c>
      <c r="CO19">
        <f>IF(gamma!CO19,VLOOKUP(zeta!CO$1,main!$A$3:$H$102,5,FALSE)-VLOOKUP(zeta!$A19,main!$A$3:$H$102,6,FALSE),0)</f>
        <v>0</v>
      </c>
      <c r="CP19">
        <f>IF(gamma!CP19,VLOOKUP(zeta!CP$1,main!$A$3:$H$102,5,FALSE)-VLOOKUP(zeta!$A19,main!$A$3:$H$102,6,FALSE),0)</f>
        <v>0</v>
      </c>
      <c r="CQ19">
        <f>IF(gamma!CQ19,VLOOKUP(zeta!CQ$1,main!$A$3:$H$102,5,FALSE)-VLOOKUP(zeta!$A19,main!$A$3:$H$102,6,FALSE),0)</f>
        <v>0</v>
      </c>
      <c r="CR19">
        <f>IF(gamma!CR19,VLOOKUP(zeta!CR$1,main!$A$3:$H$102,5,FALSE)-VLOOKUP(zeta!$A19,main!$A$3:$H$102,6,FALSE),0)</f>
        <v>0</v>
      </c>
      <c r="CS19">
        <f>IF(gamma!CS19,VLOOKUP(zeta!CS$1,main!$A$3:$H$102,5,FALSE)-VLOOKUP(zeta!$A19,main!$A$3:$H$102,6,FALSE),0)</f>
        <v>0</v>
      </c>
      <c r="CT19">
        <f>IF(gamma!CT19,VLOOKUP(zeta!CT$1,main!$A$3:$H$102,5,FALSE)-VLOOKUP(zeta!$A19,main!$A$3:$H$102,6,FALSE),0)</f>
        <v>0</v>
      </c>
      <c r="CU19">
        <f>IF(gamma!CU19,VLOOKUP(zeta!CU$1,main!$A$3:$H$102,5,FALSE)-VLOOKUP(zeta!$A19,main!$A$3:$H$102,6,FALSE),0)</f>
        <v>0</v>
      </c>
      <c r="CV19">
        <f>IF(gamma!CV19,VLOOKUP(zeta!CV$1,main!$A$3:$H$102,5,FALSE)-VLOOKUP(zeta!$A19,main!$A$3:$H$102,6,FALSE),0)</f>
        <v>0</v>
      </c>
      <c r="CW19">
        <f>IF(gamma!CW19,VLOOKUP(zeta!CW$1,main!$A$3:$H$102,5,FALSE)-VLOOKUP(zeta!$A19,main!$A$3:$H$102,6,FALSE),0)</f>
        <v>0</v>
      </c>
      <c r="CX19">
        <f>IF(gamma!CX19,VLOOKUP(zeta!CX$1,main!$A$3:$H$102,5,FALSE)-VLOOKUP(zeta!$A19,main!$A$3:$H$102,6,FALSE),0)</f>
        <v>0</v>
      </c>
    </row>
    <row r="20" spans="1:102" x14ac:dyDescent="0.25">
      <c r="A20">
        <f t="shared" si="0"/>
        <v>18</v>
      </c>
      <c r="B20">
        <v>0</v>
      </c>
      <c r="C20">
        <f>IF(gamma!C20,VLOOKUP(zeta!C$1,main!$A$3:$H$102,5,FALSE)-VLOOKUP(zeta!$A20,main!$A$3:$H$102,6,FALSE),0)</f>
        <v>0</v>
      </c>
      <c r="D20">
        <f>IF(gamma!D20,VLOOKUP(zeta!D$1,main!$A$3:$H$102,5,FALSE)-VLOOKUP(zeta!$A20,main!$A$3:$H$102,6,FALSE),0)</f>
        <v>0</v>
      </c>
      <c r="E20">
        <f>IF(gamma!E20,VLOOKUP(zeta!E$1,main!$A$3:$H$102,5,FALSE)-VLOOKUP(zeta!$A20,main!$A$3:$H$102,6,FALSE),0)</f>
        <v>0</v>
      </c>
      <c r="F20">
        <f>IF(gamma!F20,VLOOKUP(zeta!F$1,main!$A$3:$H$102,5,FALSE)-VLOOKUP(zeta!$A20,main!$A$3:$H$102,6,FALSE),0)</f>
        <v>0</v>
      </c>
      <c r="G20">
        <f>IF(gamma!G20,VLOOKUP(zeta!G$1,main!$A$3:$H$102,5,FALSE)-VLOOKUP(zeta!$A20,main!$A$3:$H$102,6,FALSE),0)</f>
        <v>0</v>
      </c>
      <c r="H20">
        <f>IF(gamma!H20,VLOOKUP(zeta!H$1,main!$A$3:$H$102,5,FALSE)-VLOOKUP(zeta!$A20,main!$A$3:$H$102,6,FALSE),0)</f>
        <v>0</v>
      </c>
      <c r="I20">
        <f>IF(gamma!I20,VLOOKUP(zeta!I$1,main!$A$3:$H$102,5,FALSE)-VLOOKUP(zeta!$A20,main!$A$3:$H$102,6,FALSE),0)</f>
        <v>0</v>
      </c>
      <c r="J20">
        <f>IF(gamma!J20,VLOOKUP(zeta!J$1,main!$A$3:$H$102,5,FALSE)-VLOOKUP(zeta!$A20,main!$A$3:$H$102,6,FALSE),0)</f>
        <v>0</v>
      </c>
      <c r="K20">
        <f>IF(gamma!K20,VLOOKUP(zeta!K$1,main!$A$3:$H$102,5,FALSE)-VLOOKUP(zeta!$A20,main!$A$3:$H$102,6,FALSE),0)</f>
        <v>0</v>
      </c>
      <c r="L20">
        <f>IF(gamma!L20,VLOOKUP(zeta!L$1,main!$A$3:$H$102,5,FALSE)-VLOOKUP(zeta!$A20,main!$A$3:$H$102,6,FALSE),0)</f>
        <v>50</v>
      </c>
      <c r="M20">
        <f>IF(gamma!M20,VLOOKUP(zeta!M$1,main!$A$3:$H$102,5,FALSE)-VLOOKUP(zeta!$A20,main!$A$3:$H$102,6,FALSE),0)</f>
        <v>0</v>
      </c>
      <c r="N20">
        <f>IF(gamma!N20,VLOOKUP(zeta!N$1,main!$A$3:$H$102,5,FALSE)-VLOOKUP(zeta!$A20,main!$A$3:$H$102,6,FALSE),0)</f>
        <v>0</v>
      </c>
      <c r="O20">
        <f>IF(gamma!O20,VLOOKUP(zeta!O$1,main!$A$3:$H$102,5,FALSE)-VLOOKUP(zeta!$A20,main!$A$3:$H$102,6,FALSE),0)</f>
        <v>0</v>
      </c>
      <c r="P20">
        <f>IF(gamma!P20,VLOOKUP(zeta!P$1,main!$A$3:$H$102,5,FALSE)-VLOOKUP(zeta!$A20,main!$A$3:$H$102,6,FALSE),0)</f>
        <v>0</v>
      </c>
      <c r="Q20">
        <f>IF(gamma!Q20,VLOOKUP(zeta!Q$1,main!$A$3:$H$102,5,FALSE)-VLOOKUP(zeta!$A20,main!$A$3:$H$102,6,FALSE),0)</f>
        <v>0</v>
      </c>
      <c r="R20">
        <f>IF(gamma!R20,VLOOKUP(zeta!R$1,main!$A$3:$H$102,5,FALSE)-VLOOKUP(zeta!$A20,main!$A$3:$H$102,6,FALSE),0)</f>
        <v>0</v>
      </c>
      <c r="S20">
        <f>IF(gamma!S20,VLOOKUP(zeta!S$1,main!$A$3:$H$102,5,FALSE)-VLOOKUP(zeta!$A20,main!$A$3:$H$102,6,FALSE),0)</f>
        <v>0</v>
      </c>
      <c r="T20">
        <f>IF(gamma!T20,VLOOKUP(zeta!T$1,main!$A$3:$H$102,5,FALSE)-VLOOKUP(zeta!$A20,main!$A$3:$H$102,6,FALSE),0)</f>
        <v>0</v>
      </c>
      <c r="U20">
        <f>IF(gamma!U20,VLOOKUP(zeta!U$1,main!$A$3:$H$102,5,FALSE)-VLOOKUP(zeta!$A20,main!$A$3:$H$102,6,FALSE),0)</f>
        <v>0</v>
      </c>
      <c r="V20">
        <f>IF(gamma!V20,VLOOKUP(zeta!V$1,main!$A$3:$H$102,5,FALSE)-VLOOKUP(zeta!$A20,main!$A$3:$H$102,6,FALSE),0)</f>
        <v>75</v>
      </c>
      <c r="W20">
        <f>IF(gamma!W20,VLOOKUP(zeta!W$1,main!$A$3:$H$102,5,FALSE)-VLOOKUP(zeta!$A20,main!$A$3:$H$102,6,FALSE),0)</f>
        <v>0</v>
      </c>
      <c r="X20">
        <f>IF(gamma!X20,VLOOKUP(zeta!X$1,main!$A$3:$H$102,5,FALSE)-VLOOKUP(zeta!$A20,main!$A$3:$H$102,6,FALSE),0)</f>
        <v>0</v>
      </c>
      <c r="Y20">
        <f>IF(gamma!Y20,VLOOKUP(zeta!Y$1,main!$A$3:$H$102,5,FALSE)-VLOOKUP(zeta!$A20,main!$A$3:$H$102,6,FALSE),0)</f>
        <v>0</v>
      </c>
      <c r="Z20">
        <f>IF(gamma!Z20,VLOOKUP(zeta!Z$1,main!$A$3:$H$102,5,FALSE)-VLOOKUP(zeta!$A20,main!$A$3:$H$102,6,FALSE),0)</f>
        <v>0</v>
      </c>
      <c r="AA20">
        <f>IF(gamma!AA20,VLOOKUP(zeta!AA$1,main!$A$3:$H$102,5,FALSE)-VLOOKUP(zeta!$A20,main!$A$3:$H$102,6,FALSE),0)</f>
        <v>0</v>
      </c>
      <c r="AB20">
        <f>IF(gamma!AB20,VLOOKUP(zeta!AB$1,main!$A$3:$H$102,5,FALSE)-VLOOKUP(zeta!$A20,main!$A$3:$H$102,6,FALSE),0)</f>
        <v>0</v>
      </c>
      <c r="AC20">
        <f>IF(gamma!AC20,VLOOKUP(zeta!AC$1,main!$A$3:$H$102,5,FALSE)-VLOOKUP(zeta!$A20,main!$A$3:$H$102,6,FALSE),0)</f>
        <v>0</v>
      </c>
      <c r="AD20">
        <f>IF(gamma!AD20,VLOOKUP(zeta!AD$1,main!$A$3:$H$102,5,FALSE)-VLOOKUP(zeta!$A20,main!$A$3:$H$102,6,FALSE),0)</f>
        <v>0</v>
      </c>
      <c r="AE20">
        <f>IF(gamma!AE20,VLOOKUP(zeta!AE$1,main!$A$3:$H$102,5,FALSE)-VLOOKUP(zeta!$A20,main!$A$3:$H$102,6,FALSE),0)</f>
        <v>0</v>
      </c>
      <c r="AF20">
        <f>IF(gamma!AF20,VLOOKUP(zeta!AF$1,main!$A$3:$H$102,5,FALSE)-VLOOKUP(zeta!$A20,main!$A$3:$H$102,6,FALSE),0)</f>
        <v>0</v>
      </c>
      <c r="AG20">
        <f>IF(gamma!AG20,VLOOKUP(zeta!AG$1,main!$A$3:$H$102,5,FALSE)-VLOOKUP(zeta!$A20,main!$A$3:$H$102,6,FALSE),0)</f>
        <v>0</v>
      </c>
      <c r="AH20">
        <f>IF(gamma!AH20,VLOOKUP(zeta!AH$1,main!$A$3:$H$102,5,FALSE)-VLOOKUP(zeta!$A20,main!$A$3:$H$102,6,FALSE),0)</f>
        <v>0</v>
      </c>
      <c r="AI20">
        <f>IF(gamma!AI20,VLOOKUP(zeta!AI$1,main!$A$3:$H$102,5,FALSE)-VLOOKUP(zeta!$A20,main!$A$3:$H$102,6,FALSE),0)</f>
        <v>0</v>
      </c>
      <c r="AJ20">
        <f>IF(gamma!AJ20,VLOOKUP(zeta!AJ$1,main!$A$3:$H$102,5,FALSE)-VLOOKUP(zeta!$A20,main!$A$3:$H$102,6,FALSE),0)</f>
        <v>0</v>
      </c>
      <c r="AK20">
        <f>IF(gamma!AK20,VLOOKUP(zeta!AK$1,main!$A$3:$H$102,5,FALSE)-VLOOKUP(zeta!$A20,main!$A$3:$H$102,6,FALSE),0)</f>
        <v>0</v>
      </c>
      <c r="AL20">
        <f>IF(gamma!AL20,VLOOKUP(zeta!AL$1,main!$A$3:$H$102,5,FALSE)-VLOOKUP(zeta!$A20,main!$A$3:$H$102,6,FALSE),0)</f>
        <v>0</v>
      </c>
      <c r="AM20">
        <f>IF(gamma!AM20,VLOOKUP(zeta!AM$1,main!$A$3:$H$102,5,FALSE)-VLOOKUP(zeta!$A20,main!$A$3:$H$102,6,FALSE),0)</f>
        <v>0</v>
      </c>
      <c r="AN20">
        <f>IF(gamma!AN20,VLOOKUP(zeta!AN$1,main!$A$3:$H$102,5,FALSE)-VLOOKUP(zeta!$A20,main!$A$3:$H$102,6,FALSE),0)</f>
        <v>0</v>
      </c>
      <c r="AO20">
        <f>IF(gamma!AO20,VLOOKUP(zeta!AO$1,main!$A$3:$H$102,5,FALSE)-VLOOKUP(zeta!$A20,main!$A$3:$H$102,6,FALSE),0)</f>
        <v>0</v>
      </c>
      <c r="AP20">
        <f>IF(gamma!AP20,VLOOKUP(zeta!AP$1,main!$A$3:$H$102,5,FALSE)-VLOOKUP(zeta!$A20,main!$A$3:$H$102,6,FALSE),0)</f>
        <v>60</v>
      </c>
      <c r="AQ20">
        <f>IF(gamma!AQ20,VLOOKUP(zeta!AQ$1,main!$A$3:$H$102,5,FALSE)-VLOOKUP(zeta!$A20,main!$A$3:$H$102,6,FALSE),0)</f>
        <v>0</v>
      </c>
      <c r="AR20">
        <f>IF(gamma!AR20,VLOOKUP(zeta!AR$1,main!$A$3:$H$102,5,FALSE)-VLOOKUP(zeta!$A20,main!$A$3:$H$102,6,FALSE),0)</f>
        <v>0</v>
      </c>
      <c r="AS20">
        <f>IF(gamma!AS20,VLOOKUP(zeta!AS$1,main!$A$3:$H$102,5,FALSE)-VLOOKUP(zeta!$A20,main!$A$3:$H$102,6,FALSE),0)</f>
        <v>0</v>
      </c>
      <c r="AT20">
        <f>IF(gamma!AT20,VLOOKUP(zeta!AT$1,main!$A$3:$H$102,5,FALSE)-VLOOKUP(zeta!$A20,main!$A$3:$H$102,6,FALSE),0)</f>
        <v>0</v>
      </c>
      <c r="AU20">
        <f>IF(gamma!AU20,VLOOKUP(zeta!AU$1,main!$A$3:$H$102,5,FALSE)-VLOOKUP(zeta!$A20,main!$A$3:$H$102,6,FALSE),0)</f>
        <v>0</v>
      </c>
      <c r="AV20">
        <f>IF(gamma!AV20,VLOOKUP(zeta!AV$1,main!$A$3:$H$102,5,FALSE)-VLOOKUP(zeta!$A20,main!$A$3:$H$102,6,FALSE),0)</f>
        <v>0</v>
      </c>
      <c r="AW20">
        <f>IF(gamma!AW20,VLOOKUP(zeta!AW$1,main!$A$3:$H$102,5,FALSE)-VLOOKUP(zeta!$A20,main!$A$3:$H$102,6,FALSE),0)</f>
        <v>0</v>
      </c>
      <c r="AX20">
        <f>IF(gamma!AX20,VLOOKUP(zeta!AX$1,main!$A$3:$H$102,5,FALSE)-VLOOKUP(zeta!$A20,main!$A$3:$H$102,6,FALSE),0)</f>
        <v>0</v>
      </c>
      <c r="AY20">
        <f>IF(gamma!AY20,VLOOKUP(zeta!AY$1,main!$A$3:$H$102,5,FALSE)-VLOOKUP(zeta!$A20,main!$A$3:$H$102,6,FALSE),0)</f>
        <v>0</v>
      </c>
      <c r="AZ20">
        <f>IF(gamma!AZ20,VLOOKUP(zeta!AZ$1,main!$A$3:$H$102,5,FALSE)-VLOOKUP(zeta!$A20,main!$A$3:$H$102,6,FALSE),0)</f>
        <v>0</v>
      </c>
      <c r="BA20">
        <f>IF(gamma!BA20,VLOOKUP(zeta!BA$1,main!$A$3:$H$102,5,FALSE)-VLOOKUP(zeta!$A20,main!$A$3:$H$102,6,FALSE),0)</f>
        <v>0</v>
      </c>
      <c r="BB20">
        <f>IF(gamma!BB20,VLOOKUP(zeta!BB$1,main!$A$3:$H$102,5,FALSE)-VLOOKUP(zeta!$A20,main!$A$3:$H$102,6,FALSE),0)</f>
        <v>0</v>
      </c>
      <c r="BC20">
        <f>IF(gamma!BC20,VLOOKUP(zeta!BC$1,main!$A$3:$H$102,5,FALSE)-VLOOKUP(zeta!$A20,main!$A$3:$H$102,6,FALSE),0)</f>
        <v>0</v>
      </c>
      <c r="BD20">
        <f>IF(gamma!BD20,VLOOKUP(zeta!BD$1,main!$A$3:$H$102,5,FALSE)-VLOOKUP(zeta!$A20,main!$A$3:$H$102,6,FALSE),0)</f>
        <v>0</v>
      </c>
      <c r="BE20">
        <f>IF(gamma!BE20,VLOOKUP(zeta!BE$1,main!$A$3:$H$102,5,FALSE)-VLOOKUP(zeta!$A20,main!$A$3:$H$102,6,FALSE),0)</f>
        <v>0</v>
      </c>
      <c r="BF20">
        <f>IF(gamma!BF20,VLOOKUP(zeta!BF$1,main!$A$3:$H$102,5,FALSE)-VLOOKUP(zeta!$A20,main!$A$3:$H$102,6,FALSE),0)</f>
        <v>0</v>
      </c>
      <c r="BG20">
        <f>IF(gamma!BG20,VLOOKUP(zeta!BG$1,main!$A$3:$H$102,5,FALSE)-VLOOKUP(zeta!$A20,main!$A$3:$H$102,6,FALSE),0)</f>
        <v>0</v>
      </c>
      <c r="BH20">
        <f>IF(gamma!BH20,VLOOKUP(zeta!BH$1,main!$A$3:$H$102,5,FALSE)-VLOOKUP(zeta!$A20,main!$A$3:$H$102,6,FALSE),0)</f>
        <v>0</v>
      </c>
      <c r="BI20">
        <f>IF(gamma!BI20,VLOOKUP(zeta!BI$1,main!$A$3:$H$102,5,FALSE)-VLOOKUP(zeta!$A20,main!$A$3:$H$102,6,FALSE),0)</f>
        <v>70</v>
      </c>
      <c r="BJ20">
        <f>IF(gamma!BJ20,VLOOKUP(zeta!BJ$1,main!$A$3:$H$102,5,FALSE)-VLOOKUP(zeta!$A20,main!$A$3:$H$102,6,FALSE),0)</f>
        <v>0</v>
      </c>
      <c r="BK20">
        <f>IF(gamma!BK20,VLOOKUP(zeta!BK$1,main!$A$3:$H$102,5,FALSE)-VLOOKUP(zeta!$A20,main!$A$3:$H$102,6,FALSE),0)</f>
        <v>0</v>
      </c>
      <c r="BL20">
        <f>IF(gamma!BL20,VLOOKUP(zeta!BL$1,main!$A$3:$H$102,5,FALSE)-VLOOKUP(zeta!$A20,main!$A$3:$H$102,6,FALSE),0)</f>
        <v>0</v>
      </c>
      <c r="BM20">
        <f>IF(gamma!BM20,VLOOKUP(zeta!BM$1,main!$A$3:$H$102,5,FALSE)-VLOOKUP(zeta!$A20,main!$A$3:$H$102,6,FALSE),0)</f>
        <v>0</v>
      </c>
      <c r="BN20">
        <f>IF(gamma!BN20,VLOOKUP(zeta!BN$1,main!$A$3:$H$102,5,FALSE)-VLOOKUP(zeta!$A20,main!$A$3:$H$102,6,FALSE),0)</f>
        <v>0</v>
      </c>
      <c r="BO20">
        <f>IF(gamma!BO20,VLOOKUP(zeta!BO$1,main!$A$3:$H$102,5,FALSE)-VLOOKUP(zeta!$A20,main!$A$3:$H$102,6,FALSE),0)</f>
        <v>0</v>
      </c>
      <c r="BP20">
        <f>IF(gamma!BP20,VLOOKUP(zeta!BP$1,main!$A$3:$H$102,5,FALSE)-VLOOKUP(zeta!$A20,main!$A$3:$H$102,6,FALSE),0)</f>
        <v>0</v>
      </c>
      <c r="BQ20">
        <f>IF(gamma!BQ20,VLOOKUP(zeta!BQ$1,main!$A$3:$H$102,5,FALSE)-VLOOKUP(zeta!$A20,main!$A$3:$H$102,6,FALSE),0)</f>
        <v>0</v>
      </c>
      <c r="BR20">
        <f>IF(gamma!BR20,VLOOKUP(zeta!BR$1,main!$A$3:$H$102,5,FALSE)-VLOOKUP(zeta!$A20,main!$A$3:$H$102,6,FALSE),0)</f>
        <v>0</v>
      </c>
      <c r="BS20">
        <f>IF(gamma!BS20,VLOOKUP(zeta!BS$1,main!$A$3:$H$102,5,FALSE)-VLOOKUP(zeta!$A20,main!$A$3:$H$102,6,FALSE),0)</f>
        <v>0</v>
      </c>
      <c r="BT20">
        <f>IF(gamma!BT20,VLOOKUP(zeta!BT$1,main!$A$3:$H$102,5,FALSE)-VLOOKUP(zeta!$A20,main!$A$3:$H$102,6,FALSE),0)</f>
        <v>0</v>
      </c>
      <c r="BU20">
        <f>IF(gamma!BU20,VLOOKUP(zeta!BU$1,main!$A$3:$H$102,5,FALSE)-VLOOKUP(zeta!$A20,main!$A$3:$H$102,6,FALSE),0)</f>
        <v>0</v>
      </c>
      <c r="BV20">
        <f>IF(gamma!BV20,VLOOKUP(zeta!BV$1,main!$A$3:$H$102,5,FALSE)-VLOOKUP(zeta!$A20,main!$A$3:$H$102,6,FALSE),0)</f>
        <v>0</v>
      </c>
      <c r="BW20">
        <f>IF(gamma!BW20,VLOOKUP(zeta!BW$1,main!$A$3:$H$102,5,FALSE)-VLOOKUP(zeta!$A20,main!$A$3:$H$102,6,FALSE),0)</f>
        <v>0</v>
      </c>
      <c r="BX20">
        <f>IF(gamma!BX20,VLOOKUP(zeta!BX$1,main!$A$3:$H$102,5,FALSE)-VLOOKUP(zeta!$A20,main!$A$3:$H$102,6,FALSE),0)</f>
        <v>0</v>
      </c>
      <c r="BY20">
        <f>IF(gamma!BY20,VLOOKUP(zeta!BY$1,main!$A$3:$H$102,5,FALSE)-VLOOKUP(zeta!$A20,main!$A$3:$H$102,6,FALSE),0)</f>
        <v>0</v>
      </c>
      <c r="BZ20">
        <f>IF(gamma!BZ20,VLOOKUP(zeta!BZ$1,main!$A$3:$H$102,5,FALSE)-VLOOKUP(zeta!$A20,main!$A$3:$H$102,6,FALSE),0)</f>
        <v>0</v>
      </c>
      <c r="CA20">
        <f>IF(gamma!CA20,VLOOKUP(zeta!CA$1,main!$A$3:$H$102,5,FALSE)-VLOOKUP(zeta!$A20,main!$A$3:$H$102,6,FALSE),0)</f>
        <v>0</v>
      </c>
      <c r="CB20">
        <f>IF(gamma!CB20,VLOOKUP(zeta!CB$1,main!$A$3:$H$102,5,FALSE)-VLOOKUP(zeta!$A20,main!$A$3:$H$102,6,FALSE),0)</f>
        <v>0</v>
      </c>
      <c r="CC20">
        <f>IF(gamma!CC20,VLOOKUP(zeta!CC$1,main!$A$3:$H$102,5,FALSE)-VLOOKUP(zeta!$A20,main!$A$3:$H$102,6,FALSE),0)</f>
        <v>0</v>
      </c>
      <c r="CD20">
        <f>IF(gamma!CD20,VLOOKUP(zeta!CD$1,main!$A$3:$H$102,5,FALSE)-VLOOKUP(zeta!$A20,main!$A$3:$H$102,6,FALSE),0)</f>
        <v>0</v>
      </c>
      <c r="CE20">
        <f>IF(gamma!CE20,VLOOKUP(zeta!CE$1,main!$A$3:$H$102,5,FALSE)-VLOOKUP(zeta!$A20,main!$A$3:$H$102,6,FALSE),0)</f>
        <v>0</v>
      </c>
      <c r="CF20">
        <f>IF(gamma!CF20,VLOOKUP(zeta!CF$1,main!$A$3:$H$102,5,FALSE)-VLOOKUP(zeta!$A20,main!$A$3:$H$102,6,FALSE),0)</f>
        <v>0</v>
      </c>
      <c r="CG20">
        <f>IF(gamma!CG20,VLOOKUP(zeta!CG$1,main!$A$3:$H$102,5,FALSE)-VLOOKUP(zeta!$A20,main!$A$3:$H$102,6,FALSE),0)</f>
        <v>0</v>
      </c>
      <c r="CH20">
        <f>IF(gamma!CH20,VLOOKUP(zeta!CH$1,main!$A$3:$H$102,5,FALSE)-VLOOKUP(zeta!$A20,main!$A$3:$H$102,6,FALSE),0)</f>
        <v>0</v>
      </c>
      <c r="CI20">
        <f>IF(gamma!CI20,VLOOKUP(zeta!CI$1,main!$A$3:$H$102,5,FALSE)-VLOOKUP(zeta!$A20,main!$A$3:$H$102,6,FALSE),0)</f>
        <v>60</v>
      </c>
      <c r="CJ20">
        <f>IF(gamma!CJ20,VLOOKUP(zeta!CJ$1,main!$A$3:$H$102,5,FALSE)-VLOOKUP(zeta!$A20,main!$A$3:$H$102,6,FALSE),0)</f>
        <v>0</v>
      </c>
      <c r="CK20">
        <f>IF(gamma!CK20,VLOOKUP(zeta!CK$1,main!$A$3:$H$102,5,FALSE)-VLOOKUP(zeta!$A20,main!$A$3:$H$102,6,FALSE),0)</f>
        <v>0</v>
      </c>
      <c r="CL20">
        <f>IF(gamma!CL20,VLOOKUP(zeta!CL$1,main!$A$3:$H$102,5,FALSE)-VLOOKUP(zeta!$A20,main!$A$3:$H$102,6,FALSE),0)</f>
        <v>0</v>
      </c>
      <c r="CM20">
        <f>IF(gamma!CM20,VLOOKUP(zeta!CM$1,main!$A$3:$H$102,5,FALSE)-VLOOKUP(zeta!$A20,main!$A$3:$H$102,6,FALSE),0)</f>
        <v>0</v>
      </c>
      <c r="CN20">
        <f>IF(gamma!CN20,VLOOKUP(zeta!CN$1,main!$A$3:$H$102,5,FALSE)-VLOOKUP(zeta!$A20,main!$A$3:$H$102,6,FALSE),0)</f>
        <v>60</v>
      </c>
      <c r="CO20">
        <f>IF(gamma!CO20,VLOOKUP(zeta!CO$1,main!$A$3:$H$102,5,FALSE)-VLOOKUP(zeta!$A20,main!$A$3:$H$102,6,FALSE),0)</f>
        <v>0</v>
      </c>
      <c r="CP20">
        <f>IF(gamma!CP20,VLOOKUP(zeta!CP$1,main!$A$3:$H$102,5,FALSE)-VLOOKUP(zeta!$A20,main!$A$3:$H$102,6,FALSE),0)</f>
        <v>0</v>
      </c>
      <c r="CQ20">
        <f>IF(gamma!CQ20,VLOOKUP(zeta!CQ$1,main!$A$3:$H$102,5,FALSE)-VLOOKUP(zeta!$A20,main!$A$3:$H$102,6,FALSE),0)</f>
        <v>0</v>
      </c>
      <c r="CR20">
        <f>IF(gamma!CR20,VLOOKUP(zeta!CR$1,main!$A$3:$H$102,5,FALSE)-VLOOKUP(zeta!$A20,main!$A$3:$H$102,6,FALSE),0)</f>
        <v>0</v>
      </c>
      <c r="CS20">
        <f>IF(gamma!CS20,VLOOKUP(zeta!CS$1,main!$A$3:$H$102,5,FALSE)-VLOOKUP(zeta!$A20,main!$A$3:$H$102,6,FALSE),0)</f>
        <v>0</v>
      </c>
      <c r="CT20">
        <f>IF(gamma!CT20,VLOOKUP(zeta!CT$1,main!$A$3:$H$102,5,FALSE)-VLOOKUP(zeta!$A20,main!$A$3:$H$102,6,FALSE),0)</f>
        <v>0</v>
      </c>
      <c r="CU20">
        <f>IF(gamma!CU20,VLOOKUP(zeta!CU$1,main!$A$3:$H$102,5,FALSE)-VLOOKUP(zeta!$A20,main!$A$3:$H$102,6,FALSE),0)</f>
        <v>0</v>
      </c>
      <c r="CV20">
        <f>IF(gamma!CV20,VLOOKUP(zeta!CV$1,main!$A$3:$H$102,5,FALSE)-VLOOKUP(zeta!$A20,main!$A$3:$H$102,6,FALSE),0)</f>
        <v>0</v>
      </c>
      <c r="CW20">
        <f>IF(gamma!CW20,VLOOKUP(zeta!CW$1,main!$A$3:$H$102,5,FALSE)-VLOOKUP(zeta!$A20,main!$A$3:$H$102,6,FALSE),0)</f>
        <v>0</v>
      </c>
      <c r="CX20">
        <f>IF(gamma!CX20,VLOOKUP(zeta!CX$1,main!$A$3:$H$102,5,FALSE)-VLOOKUP(zeta!$A20,main!$A$3:$H$102,6,FALSE),0)</f>
        <v>0</v>
      </c>
    </row>
    <row r="21" spans="1:102" x14ac:dyDescent="0.25">
      <c r="A21">
        <f t="shared" si="0"/>
        <v>19</v>
      </c>
      <c r="B21">
        <v>0</v>
      </c>
      <c r="C21">
        <f>IF(gamma!C21,VLOOKUP(zeta!C$1,main!$A$3:$H$102,5,FALSE)-VLOOKUP(zeta!$A21,main!$A$3:$H$102,6,FALSE),0)</f>
        <v>0</v>
      </c>
      <c r="D21">
        <f>IF(gamma!D21,VLOOKUP(zeta!D$1,main!$A$3:$H$102,5,FALSE)-VLOOKUP(zeta!$A21,main!$A$3:$H$102,6,FALSE),0)</f>
        <v>0</v>
      </c>
      <c r="E21">
        <f>IF(gamma!E21,VLOOKUP(zeta!E$1,main!$A$3:$H$102,5,FALSE)-VLOOKUP(zeta!$A21,main!$A$3:$H$102,6,FALSE),0)</f>
        <v>0</v>
      </c>
      <c r="F21">
        <f>IF(gamma!F21,VLOOKUP(zeta!F$1,main!$A$3:$H$102,5,FALSE)-VLOOKUP(zeta!$A21,main!$A$3:$H$102,6,FALSE),0)</f>
        <v>0</v>
      </c>
      <c r="G21">
        <f>IF(gamma!G21,VLOOKUP(zeta!G$1,main!$A$3:$H$102,5,FALSE)-VLOOKUP(zeta!$A21,main!$A$3:$H$102,6,FALSE),0)</f>
        <v>0</v>
      </c>
      <c r="H21">
        <f>IF(gamma!H21,VLOOKUP(zeta!H$1,main!$A$3:$H$102,5,FALSE)-VLOOKUP(zeta!$A21,main!$A$3:$H$102,6,FALSE),0)</f>
        <v>0</v>
      </c>
      <c r="I21">
        <f>IF(gamma!I21,VLOOKUP(zeta!I$1,main!$A$3:$H$102,5,FALSE)-VLOOKUP(zeta!$A21,main!$A$3:$H$102,6,FALSE),0)</f>
        <v>0</v>
      </c>
      <c r="J21">
        <f>IF(gamma!J21,VLOOKUP(zeta!J$1,main!$A$3:$H$102,5,FALSE)-VLOOKUP(zeta!$A21,main!$A$3:$H$102,6,FALSE),0)</f>
        <v>0</v>
      </c>
      <c r="K21">
        <f>IF(gamma!K21,VLOOKUP(zeta!K$1,main!$A$3:$H$102,5,FALSE)-VLOOKUP(zeta!$A21,main!$A$3:$H$102,6,FALSE),0)</f>
        <v>0</v>
      </c>
      <c r="L21">
        <f>IF(gamma!L21,VLOOKUP(zeta!L$1,main!$A$3:$H$102,5,FALSE)-VLOOKUP(zeta!$A21,main!$A$3:$H$102,6,FALSE),0)</f>
        <v>0</v>
      </c>
      <c r="M21">
        <f>IF(gamma!M21,VLOOKUP(zeta!M$1,main!$A$3:$H$102,5,FALSE)-VLOOKUP(zeta!$A21,main!$A$3:$H$102,6,FALSE),0)</f>
        <v>0</v>
      </c>
      <c r="N21">
        <f>IF(gamma!N21,VLOOKUP(zeta!N$1,main!$A$3:$H$102,5,FALSE)-VLOOKUP(zeta!$A21,main!$A$3:$H$102,6,FALSE),0)</f>
        <v>0</v>
      </c>
      <c r="O21">
        <f>IF(gamma!O21,VLOOKUP(zeta!O$1,main!$A$3:$H$102,5,FALSE)-VLOOKUP(zeta!$A21,main!$A$3:$H$102,6,FALSE),0)</f>
        <v>0</v>
      </c>
      <c r="P21">
        <f>IF(gamma!P21,VLOOKUP(zeta!P$1,main!$A$3:$H$102,5,FALSE)-VLOOKUP(zeta!$A21,main!$A$3:$H$102,6,FALSE),0)</f>
        <v>0</v>
      </c>
      <c r="Q21">
        <f>IF(gamma!Q21,VLOOKUP(zeta!Q$1,main!$A$3:$H$102,5,FALSE)-VLOOKUP(zeta!$A21,main!$A$3:$H$102,6,FALSE),0)</f>
        <v>0</v>
      </c>
      <c r="R21">
        <f>IF(gamma!R21,VLOOKUP(zeta!R$1,main!$A$3:$H$102,5,FALSE)-VLOOKUP(zeta!$A21,main!$A$3:$H$102,6,FALSE),0)</f>
        <v>0</v>
      </c>
      <c r="S21">
        <f>IF(gamma!S21,VLOOKUP(zeta!S$1,main!$A$3:$H$102,5,FALSE)-VLOOKUP(zeta!$A21,main!$A$3:$H$102,6,FALSE),0)</f>
        <v>0</v>
      </c>
      <c r="T21">
        <f>IF(gamma!T21,VLOOKUP(zeta!T$1,main!$A$3:$H$102,5,FALSE)-VLOOKUP(zeta!$A21,main!$A$3:$H$102,6,FALSE),0)</f>
        <v>0</v>
      </c>
      <c r="U21">
        <f>IF(gamma!U21,VLOOKUP(zeta!U$1,main!$A$3:$H$102,5,FALSE)-VLOOKUP(zeta!$A21,main!$A$3:$H$102,6,FALSE),0)</f>
        <v>0</v>
      </c>
      <c r="V21">
        <f>IF(gamma!V21,VLOOKUP(zeta!V$1,main!$A$3:$H$102,5,FALSE)-VLOOKUP(zeta!$A21,main!$A$3:$H$102,6,FALSE),0)</f>
        <v>0</v>
      </c>
      <c r="W21">
        <f>IF(gamma!W21,VLOOKUP(zeta!W$1,main!$A$3:$H$102,5,FALSE)-VLOOKUP(zeta!$A21,main!$A$3:$H$102,6,FALSE),0)</f>
        <v>0</v>
      </c>
      <c r="X21">
        <f>IF(gamma!X21,VLOOKUP(zeta!X$1,main!$A$3:$H$102,5,FALSE)-VLOOKUP(zeta!$A21,main!$A$3:$H$102,6,FALSE),0)</f>
        <v>0</v>
      </c>
      <c r="Y21">
        <f>IF(gamma!Y21,VLOOKUP(zeta!Y$1,main!$A$3:$H$102,5,FALSE)-VLOOKUP(zeta!$A21,main!$A$3:$H$102,6,FALSE),0)</f>
        <v>0</v>
      </c>
      <c r="Z21">
        <f>IF(gamma!Z21,VLOOKUP(zeta!Z$1,main!$A$3:$H$102,5,FALSE)-VLOOKUP(zeta!$A21,main!$A$3:$H$102,6,FALSE),0)</f>
        <v>0</v>
      </c>
      <c r="AA21">
        <f>IF(gamma!AA21,VLOOKUP(zeta!AA$1,main!$A$3:$H$102,5,FALSE)-VLOOKUP(zeta!$A21,main!$A$3:$H$102,6,FALSE),0)</f>
        <v>0</v>
      </c>
      <c r="AB21">
        <f>IF(gamma!AB21,VLOOKUP(zeta!AB$1,main!$A$3:$H$102,5,FALSE)-VLOOKUP(zeta!$A21,main!$A$3:$H$102,6,FALSE),0)</f>
        <v>0</v>
      </c>
      <c r="AC21">
        <f>IF(gamma!AC21,VLOOKUP(zeta!AC$1,main!$A$3:$H$102,5,FALSE)-VLOOKUP(zeta!$A21,main!$A$3:$H$102,6,FALSE),0)</f>
        <v>0</v>
      </c>
      <c r="AD21">
        <f>IF(gamma!AD21,VLOOKUP(zeta!AD$1,main!$A$3:$H$102,5,FALSE)-VLOOKUP(zeta!$A21,main!$A$3:$H$102,6,FALSE),0)</f>
        <v>0</v>
      </c>
      <c r="AE21">
        <f>IF(gamma!AE21,VLOOKUP(zeta!AE$1,main!$A$3:$H$102,5,FALSE)-VLOOKUP(zeta!$A21,main!$A$3:$H$102,6,FALSE),0)</f>
        <v>0</v>
      </c>
      <c r="AF21">
        <f>IF(gamma!AF21,VLOOKUP(zeta!AF$1,main!$A$3:$H$102,5,FALSE)-VLOOKUP(zeta!$A21,main!$A$3:$H$102,6,FALSE),0)</f>
        <v>0</v>
      </c>
      <c r="AG21">
        <f>IF(gamma!AG21,VLOOKUP(zeta!AG$1,main!$A$3:$H$102,5,FALSE)-VLOOKUP(zeta!$A21,main!$A$3:$H$102,6,FALSE),0)</f>
        <v>0</v>
      </c>
      <c r="AH21">
        <f>IF(gamma!AH21,VLOOKUP(zeta!AH$1,main!$A$3:$H$102,5,FALSE)-VLOOKUP(zeta!$A21,main!$A$3:$H$102,6,FALSE),0)</f>
        <v>0</v>
      </c>
      <c r="AI21">
        <f>IF(gamma!AI21,VLOOKUP(zeta!AI$1,main!$A$3:$H$102,5,FALSE)-VLOOKUP(zeta!$A21,main!$A$3:$H$102,6,FALSE),0)</f>
        <v>0</v>
      </c>
      <c r="AJ21">
        <f>IF(gamma!AJ21,VLOOKUP(zeta!AJ$1,main!$A$3:$H$102,5,FALSE)-VLOOKUP(zeta!$A21,main!$A$3:$H$102,6,FALSE),0)</f>
        <v>0</v>
      </c>
      <c r="AK21">
        <f>IF(gamma!AK21,VLOOKUP(zeta!AK$1,main!$A$3:$H$102,5,FALSE)-VLOOKUP(zeta!$A21,main!$A$3:$H$102,6,FALSE),0)</f>
        <v>0</v>
      </c>
      <c r="AL21">
        <f>IF(gamma!AL21,VLOOKUP(zeta!AL$1,main!$A$3:$H$102,5,FALSE)-VLOOKUP(zeta!$A21,main!$A$3:$H$102,6,FALSE),0)</f>
        <v>0</v>
      </c>
      <c r="AM21">
        <f>IF(gamma!AM21,VLOOKUP(zeta!AM$1,main!$A$3:$H$102,5,FALSE)-VLOOKUP(zeta!$A21,main!$A$3:$H$102,6,FALSE),0)</f>
        <v>0</v>
      </c>
      <c r="AN21">
        <f>IF(gamma!AN21,VLOOKUP(zeta!AN$1,main!$A$3:$H$102,5,FALSE)-VLOOKUP(zeta!$A21,main!$A$3:$H$102,6,FALSE),0)</f>
        <v>0</v>
      </c>
      <c r="AO21">
        <f>IF(gamma!AO21,VLOOKUP(zeta!AO$1,main!$A$3:$H$102,5,FALSE)-VLOOKUP(zeta!$A21,main!$A$3:$H$102,6,FALSE),0)</f>
        <v>0</v>
      </c>
      <c r="AP21">
        <f>IF(gamma!AP21,VLOOKUP(zeta!AP$1,main!$A$3:$H$102,5,FALSE)-VLOOKUP(zeta!$A21,main!$A$3:$H$102,6,FALSE),0)</f>
        <v>0</v>
      </c>
      <c r="AQ21">
        <f>IF(gamma!AQ21,VLOOKUP(zeta!AQ$1,main!$A$3:$H$102,5,FALSE)-VLOOKUP(zeta!$A21,main!$A$3:$H$102,6,FALSE),0)</f>
        <v>0</v>
      </c>
      <c r="AR21">
        <f>IF(gamma!AR21,VLOOKUP(zeta!AR$1,main!$A$3:$H$102,5,FALSE)-VLOOKUP(zeta!$A21,main!$A$3:$H$102,6,FALSE),0)</f>
        <v>0</v>
      </c>
      <c r="AS21">
        <f>IF(gamma!AS21,VLOOKUP(zeta!AS$1,main!$A$3:$H$102,5,FALSE)-VLOOKUP(zeta!$A21,main!$A$3:$H$102,6,FALSE),0)</f>
        <v>0</v>
      </c>
      <c r="AT21">
        <f>IF(gamma!AT21,VLOOKUP(zeta!AT$1,main!$A$3:$H$102,5,FALSE)-VLOOKUP(zeta!$A21,main!$A$3:$H$102,6,FALSE),0)</f>
        <v>0</v>
      </c>
      <c r="AU21">
        <f>IF(gamma!AU21,VLOOKUP(zeta!AU$1,main!$A$3:$H$102,5,FALSE)-VLOOKUP(zeta!$A21,main!$A$3:$H$102,6,FALSE),0)</f>
        <v>0</v>
      </c>
      <c r="AV21">
        <f>IF(gamma!AV21,VLOOKUP(zeta!AV$1,main!$A$3:$H$102,5,FALSE)-VLOOKUP(zeta!$A21,main!$A$3:$H$102,6,FALSE),0)</f>
        <v>0</v>
      </c>
      <c r="AW21">
        <f>IF(gamma!AW21,VLOOKUP(zeta!AW$1,main!$A$3:$H$102,5,FALSE)-VLOOKUP(zeta!$A21,main!$A$3:$H$102,6,FALSE),0)</f>
        <v>0</v>
      </c>
      <c r="AX21">
        <f>IF(gamma!AX21,VLOOKUP(zeta!AX$1,main!$A$3:$H$102,5,FALSE)-VLOOKUP(zeta!$A21,main!$A$3:$H$102,6,FALSE),0)</f>
        <v>0</v>
      </c>
      <c r="AY21">
        <f>IF(gamma!AY21,VLOOKUP(zeta!AY$1,main!$A$3:$H$102,5,FALSE)-VLOOKUP(zeta!$A21,main!$A$3:$H$102,6,FALSE),0)</f>
        <v>0</v>
      </c>
      <c r="AZ21">
        <f>IF(gamma!AZ21,VLOOKUP(zeta!AZ$1,main!$A$3:$H$102,5,FALSE)-VLOOKUP(zeta!$A21,main!$A$3:$H$102,6,FALSE),0)</f>
        <v>0</v>
      </c>
      <c r="BA21">
        <f>IF(gamma!BA21,VLOOKUP(zeta!BA$1,main!$A$3:$H$102,5,FALSE)-VLOOKUP(zeta!$A21,main!$A$3:$H$102,6,FALSE),0)</f>
        <v>0</v>
      </c>
      <c r="BB21">
        <f>IF(gamma!BB21,VLOOKUP(zeta!BB$1,main!$A$3:$H$102,5,FALSE)-VLOOKUP(zeta!$A21,main!$A$3:$H$102,6,FALSE),0)</f>
        <v>0</v>
      </c>
      <c r="BC21">
        <f>IF(gamma!BC21,VLOOKUP(zeta!BC$1,main!$A$3:$H$102,5,FALSE)-VLOOKUP(zeta!$A21,main!$A$3:$H$102,6,FALSE),0)</f>
        <v>0</v>
      </c>
      <c r="BD21">
        <f>IF(gamma!BD21,VLOOKUP(zeta!BD$1,main!$A$3:$H$102,5,FALSE)-VLOOKUP(zeta!$A21,main!$A$3:$H$102,6,FALSE),0)</f>
        <v>0</v>
      </c>
      <c r="BE21">
        <f>IF(gamma!BE21,VLOOKUP(zeta!BE$1,main!$A$3:$H$102,5,FALSE)-VLOOKUP(zeta!$A21,main!$A$3:$H$102,6,FALSE),0)</f>
        <v>0</v>
      </c>
      <c r="BF21">
        <f>IF(gamma!BF21,VLOOKUP(zeta!BF$1,main!$A$3:$H$102,5,FALSE)-VLOOKUP(zeta!$A21,main!$A$3:$H$102,6,FALSE),0)</f>
        <v>0</v>
      </c>
      <c r="BG21">
        <f>IF(gamma!BG21,VLOOKUP(zeta!BG$1,main!$A$3:$H$102,5,FALSE)-VLOOKUP(zeta!$A21,main!$A$3:$H$102,6,FALSE),0)</f>
        <v>0</v>
      </c>
      <c r="BH21">
        <f>IF(gamma!BH21,VLOOKUP(zeta!BH$1,main!$A$3:$H$102,5,FALSE)-VLOOKUP(zeta!$A21,main!$A$3:$H$102,6,FALSE),0)</f>
        <v>0</v>
      </c>
      <c r="BI21">
        <f>IF(gamma!BI21,VLOOKUP(zeta!BI$1,main!$A$3:$H$102,5,FALSE)-VLOOKUP(zeta!$A21,main!$A$3:$H$102,6,FALSE),0)</f>
        <v>0</v>
      </c>
      <c r="BJ21">
        <f>IF(gamma!BJ21,VLOOKUP(zeta!BJ$1,main!$A$3:$H$102,5,FALSE)-VLOOKUP(zeta!$A21,main!$A$3:$H$102,6,FALSE),0)</f>
        <v>0</v>
      </c>
      <c r="BK21">
        <f>IF(gamma!BK21,VLOOKUP(zeta!BK$1,main!$A$3:$H$102,5,FALSE)-VLOOKUP(zeta!$A21,main!$A$3:$H$102,6,FALSE),0)</f>
        <v>0</v>
      </c>
      <c r="BL21">
        <f>IF(gamma!BL21,VLOOKUP(zeta!BL$1,main!$A$3:$H$102,5,FALSE)-VLOOKUP(zeta!$A21,main!$A$3:$H$102,6,FALSE),0)</f>
        <v>0</v>
      </c>
      <c r="BM21">
        <f>IF(gamma!BM21,VLOOKUP(zeta!BM$1,main!$A$3:$H$102,5,FALSE)-VLOOKUP(zeta!$A21,main!$A$3:$H$102,6,FALSE),0)</f>
        <v>0</v>
      </c>
      <c r="BN21">
        <f>IF(gamma!BN21,VLOOKUP(zeta!BN$1,main!$A$3:$H$102,5,FALSE)-VLOOKUP(zeta!$A21,main!$A$3:$H$102,6,FALSE),0)</f>
        <v>0</v>
      </c>
      <c r="BO21">
        <f>IF(gamma!BO21,VLOOKUP(zeta!BO$1,main!$A$3:$H$102,5,FALSE)-VLOOKUP(zeta!$A21,main!$A$3:$H$102,6,FALSE),0)</f>
        <v>0</v>
      </c>
      <c r="BP21">
        <f>IF(gamma!BP21,VLOOKUP(zeta!BP$1,main!$A$3:$H$102,5,FALSE)-VLOOKUP(zeta!$A21,main!$A$3:$H$102,6,FALSE),0)</f>
        <v>0</v>
      </c>
      <c r="BQ21">
        <f>IF(gamma!BQ21,VLOOKUP(zeta!BQ$1,main!$A$3:$H$102,5,FALSE)-VLOOKUP(zeta!$A21,main!$A$3:$H$102,6,FALSE),0)</f>
        <v>0</v>
      </c>
      <c r="BR21">
        <f>IF(gamma!BR21,VLOOKUP(zeta!BR$1,main!$A$3:$H$102,5,FALSE)-VLOOKUP(zeta!$A21,main!$A$3:$H$102,6,FALSE),0)</f>
        <v>0</v>
      </c>
      <c r="BS21">
        <f>IF(gamma!BS21,VLOOKUP(zeta!BS$1,main!$A$3:$H$102,5,FALSE)-VLOOKUP(zeta!$A21,main!$A$3:$H$102,6,FALSE),0)</f>
        <v>0</v>
      </c>
      <c r="BT21">
        <f>IF(gamma!BT21,VLOOKUP(zeta!BT$1,main!$A$3:$H$102,5,FALSE)-VLOOKUP(zeta!$A21,main!$A$3:$H$102,6,FALSE),0)</f>
        <v>0</v>
      </c>
      <c r="BU21">
        <f>IF(gamma!BU21,VLOOKUP(zeta!BU$1,main!$A$3:$H$102,5,FALSE)-VLOOKUP(zeta!$A21,main!$A$3:$H$102,6,FALSE),0)</f>
        <v>0</v>
      </c>
      <c r="BV21">
        <f>IF(gamma!BV21,VLOOKUP(zeta!BV$1,main!$A$3:$H$102,5,FALSE)-VLOOKUP(zeta!$A21,main!$A$3:$H$102,6,FALSE),0)</f>
        <v>0</v>
      </c>
      <c r="BW21">
        <f>IF(gamma!BW21,VLOOKUP(zeta!BW$1,main!$A$3:$H$102,5,FALSE)-VLOOKUP(zeta!$A21,main!$A$3:$H$102,6,FALSE),0)</f>
        <v>0</v>
      </c>
      <c r="BX21">
        <f>IF(gamma!BX21,VLOOKUP(zeta!BX$1,main!$A$3:$H$102,5,FALSE)-VLOOKUP(zeta!$A21,main!$A$3:$H$102,6,FALSE),0)</f>
        <v>0</v>
      </c>
      <c r="BY21">
        <f>IF(gamma!BY21,VLOOKUP(zeta!BY$1,main!$A$3:$H$102,5,FALSE)-VLOOKUP(zeta!$A21,main!$A$3:$H$102,6,FALSE),0)</f>
        <v>0</v>
      </c>
      <c r="BZ21">
        <f>IF(gamma!BZ21,VLOOKUP(zeta!BZ$1,main!$A$3:$H$102,5,FALSE)-VLOOKUP(zeta!$A21,main!$A$3:$H$102,6,FALSE),0)</f>
        <v>0</v>
      </c>
      <c r="CA21">
        <f>IF(gamma!CA21,VLOOKUP(zeta!CA$1,main!$A$3:$H$102,5,FALSE)-VLOOKUP(zeta!$A21,main!$A$3:$H$102,6,FALSE),0)</f>
        <v>0</v>
      </c>
      <c r="CB21">
        <f>IF(gamma!CB21,VLOOKUP(zeta!CB$1,main!$A$3:$H$102,5,FALSE)-VLOOKUP(zeta!$A21,main!$A$3:$H$102,6,FALSE),0)</f>
        <v>0</v>
      </c>
      <c r="CC21">
        <f>IF(gamma!CC21,VLOOKUP(zeta!CC$1,main!$A$3:$H$102,5,FALSE)-VLOOKUP(zeta!$A21,main!$A$3:$H$102,6,FALSE),0)</f>
        <v>0</v>
      </c>
      <c r="CD21">
        <f>IF(gamma!CD21,VLOOKUP(zeta!CD$1,main!$A$3:$H$102,5,FALSE)-VLOOKUP(zeta!$A21,main!$A$3:$H$102,6,FALSE),0)</f>
        <v>0</v>
      </c>
      <c r="CE21">
        <f>IF(gamma!CE21,VLOOKUP(zeta!CE$1,main!$A$3:$H$102,5,FALSE)-VLOOKUP(zeta!$A21,main!$A$3:$H$102,6,FALSE),0)</f>
        <v>0</v>
      </c>
      <c r="CF21">
        <f>IF(gamma!CF21,VLOOKUP(zeta!CF$1,main!$A$3:$H$102,5,FALSE)-VLOOKUP(zeta!$A21,main!$A$3:$H$102,6,FALSE),0)</f>
        <v>0</v>
      </c>
      <c r="CG21">
        <f>IF(gamma!CG21,VLOOKUP(zeta!CG$1,main!$A$3:$H$102,5,FALSE)-VLOOKUP(zeta!$A21,main!$A$3:$H$102,6,FALSE),0)</f>
        <v>0</v>
      </c>
      <c r="CH21">
        <f>IF(gamma!CH21,VLOOKUP(zeta!CH$1,main!$A$3:$H$102,5,FALSE)-VLOOKUP(zeta!$A21,main!$A$3:$H$102,6,FALSE),0)</f>
        <v>0</v>
      </c>
      <c r="CI21">
        <f>IF(gamma!CI21,VLOOKUP(zeta!CI$1,main!$A$3:$H$102,5,FALSE)-VLOOKUP(zeta!$A21,main!$A$3:$H$102,6,FALSE),0)</f>
        <v>0</v>
      </c>
      <c r="CJ21">
        <f>IF(gamma!CJ21,VLOOKUP(zeta!CJ$1,main!$A$3:$H$102,5,FALSE)-VLOOKUP(zeta!$A21,main!$A$3:$H$102,6,FALSE),0)</f>
        <v>0</v>
      </c>
      <c r="CK21">
        <f>IF(gamma!CK21,VLOOKUP(zeta!CK$1,main!$A$3:$H$102,5,FALSE)-VLOOKUP(zeta!$A21,main!$A$3:$H$102,6,FALSE),0)</f>
        <v>0</v>
      </c>
      <c r="CL21">
        <f>IF(gamma!CL21,VLOOKUP(zeta!CL$1,main!$A$3:$H$102,5,FALSE)-VLOOKUP(zeta!$A21,main!$A$3:$H$102,6,FALSE),0)</f>
        <v>0</v>
      </c>
      <c r="CM21">
        <f>IF(gamma!CM21,VLOOKUP(zeta!CM$1,main!$A$3:$H$102,5,FALSE)-VLOOKUP(zeta!$A21,main!$A$3:$H$102,6,FALSE),0)</f>
        <v>0</v>
      </c>
      <c r="CN21">
        <f>IF(gamma!CN21,VLOOKUP(zeta!CN$1,main!$A$3:$H$102,5,FALSE)-VLOOKUP(zeta!$A21,main!$A$3:$H$102,6,FALSE),0)</f>
        <v>0</v>
      </c>
      <c r="CO21">
        <f>IF(gamma!CO21,VLOOKUP(zeta!CO$1,main!$A$3:$H$102,5,FALSE)-VLOOKUP(zeta!$A21,main!$A$3:$H$102,6,FALSE),0)</f>
        <v>0</v>
      </c>
      <c r="CP21">
        <f>IF(gamma!CP21,VLOOKUP(zeta!CP$1,main!$A$3:$H$102,5,FALSE)-VLOOKUP(zeta!$A21,main!$A$3:$H$102,6,FALSE),0)</f>
        <v>0</v>
      </c>
      <c r="CQ21">
        <f>IF(gamma!CQ21,VLOOKUP(zeta!CQ$1,main!$A$3:$H$102,5,FALSE)-VLOOKUP(zeta!$A21,main!$A$3:$H$102,6,FALSE),0)</f>
        <v>0</v>
      </c>
      <c r="CR21">
        <f>IF(gamma!CR21,VLOOKUP(zeta!CR$1,main!$A$3:$H$102,5,FALSE)-VLOOKUP(zeta!$A21,main!$A$3:$H$102,6,FALSE),0)</f>
        <v>0</v>
      </c>
      <c r="CS21">
        <f>IF(gamma!CS21,VLOOKUP(zeta!CS$1,main!$A$3:$H$102,5,FALSE)-VLOOKUP(zeta!$A21,main!$A$3:$H$102,6,FALSE),0)</f>
        <v>0</v>
      </c>
      <c r="CT21">
        <f>IF(gamma!CT21,VLOOKUP(zeta!CT$1,main!$A$3:$H$102,5,FALSE)-VLOOKUP(zeta!$A21,main!$A$3:$H$102,6,FALSE),0)</f>
        <v>0</v>
      </c>
      <c r="CU21">
        <f>IF(gamma!CU21,VLOOKUP(zeta!CU$1,main!$A$3:$H$102,5,FALSE)-VLOOKUP(zeta!$A21,main!$A$3:$H$102,6,FALSE),0)</f>
        <v>0</v>
      </c>
      <c r="CV21">
        <f>IF(gamma!CV21,VLOOKUP(zeta!CV$1,main!$A$3:$H$102,5,FALSE)-VLOOKUP(zeta!$A21,main!$A$3:$H$102,6,FALSE),0)</f>
        <v>0</v>
      </c>
      <c r="CW21">
        <f>IF(gamma!CW21,VLOOKUP(zeta!CW$1,main!$A$3:$H$102,5,FALSE)-VLOOKUP(zeta!$A21,main!$A$3:$H$102,6,FALSE),0)</f>
        <v>0</v>
      </c>
      <c r="CX21">
        <f>IF(gamma!CX21,VLOOKUP(zeta!CX$1,main!$A$3:$H$102,5,FALSE)-VLOOKUP(zeta!$A21,main!$A$3:$H$102,6,FALSE),0)</f>
        <v>0</v>
      </c>
    </row>
    <row r="22" spans="1:102" x14ac:dyDescent="0.25">
      <c r="A22">
        <f t="shared" si="0"/>
        <v>20</v>
      </c>
      <c r="B22">
        <v>0</v>
      </c>
      <c r="C22">
        <f>IF(gamma!C22,VLOOKUP(zeta!C$1,main!$A$3:$H$102,5,FALSE)-VLOOKUP(zeta!$A22,main!$A$3:$H$102,6,FALSE),0)</f>
        <v>0</v>
      </c>
      <c r="D22">
        <f>IF(gamma!D22,VLOOKUP(zeta!D$1,main!$A$3:$H$102,5,FALSE)-VLOOKUP(zeta!$A22,main!$A$3:$H$102,6,FALSE),0)</f>
        <v>0</v>
      </c>
      <c r="E22">
        <f>IF(gamma!E22,VLOOKUP(zeta!E$1,main!$A$3:$H$102,5,FALSE)-VLOOKUP(zeta!$A22,main!$A$3:$H$102,6,FALSE),0)</f>
        <v>0</v>
      </c>
      <c r="F22">
        <f>IF(gamma!F22,VLOOKUP(zeta!F$1,main!$A$3:$H$102,5,FALSE)-VLOOKUP(zeta!$A22,main!$A$3:$H$102,6,FALSE),0)</f>
        <v>0</v>
      </c>
      <c r="G22">
        <f>IF(gamma!G22,VLOOKUP(zeta!G$1,main!$A$3:$H$102,5,FALSE)-VLOOKUP(zeta!$A22,main!$A$3:$H$102,6,FALSE),0)</f>
        <v>0</v>
      </c>
      <c r="H22">
        <f>IF(gamma!H22,VLOOKUP(zeta!H$1,main!$A$3:$H$102,5,FALSE)-VLOOKUP(zeta!$A22,main!$A$3:$H$102,6,FALSE),0)</f>
        <v>0</v>
      </c>
      <c r="I22">
        <f>IF(gamma!I22,VLOOKUP(zeta!I$1,main!$A$3:$H$102,5,FALSE)-VLOOKUP(zeta!$A22,main!$A$3:$H$102,6,FALSE),0)</f>
        <v>0</v>
      </c>
      <c r="J22">
        <f>IF(gamma!J22,VLOOKUP(zeta!J$1,main!$A$3:$H$102,5,FALSE)-VLOOKUP(zeta!$A22,main!$A$3:$H$102,6,FALSE),0)</f>
        <v>0</v>
      </c>
      <c r="K22">
        <f>IF(gamma!K22,VLOOKUP(zeta!K$1,main!$A$3:$H$102,5,FALSE)-VLOOKUP(zeta!$A22,main!$A$3:$H$102,6,FALSE),0)</f>
        <v>0</v>
      </c>
      <c r="L22">
        <f>IF(gamma!L22,VLOOKUP(zeta!L$1,main!$A$3:$H$102,5,FALSE)-VLOOKUP(zeta!$A22,main!$A$3:$H$102,6,FALSE),0)</f>
        <v>0</v>
      </c>
      <c r="M22">
        <f>IF(gamma!M22,VLOOKUP(zeta!M$1,main!$A$3:$H$102,5,FALSE)-VLOOKUP(zeta!$A22,main!$A$3:$H$102,6,FALSE),0)</f>
        <v>0</v>
      </c>
      <c r="N22">
        <f>IF(gamma!N22,VLOOKUP(zeta!N$1,main!$A$3:$H$102,5,FALSE)-VLOOKUP(zeta!$A22,main!$A$3:$H$102,6,FALSE),0)</f>
        <v>0</v>
      </c>
      <c r="O22">
        <f>IF(gamma!O22,VLOOKUP(zeta!O$1,main!$A$3:$H$102,5,FALSE)-VLOOKUP(zeta!$A22,main!$A$3:$H$102,6,FALSE),0)</f>
        <v>0</v>
      </c>
      <c r="P22">
        <f>IF(gamma!P22,VLOOKUP(zeta!P$1,main!$A$3:$H$102,5,FALSE)-VLOOKUP(zeta!$A22,main!$A$3:$H$102,6,FALSE),0)</f>
        <v>0</v>
      </c>
      <c r="Q22">
        <f>IF(gamma!Q22,VLOOKUP(zeta!Q$1,main!$A$3:$H$102,5,FALSE)-VLOOKUP(zeta!$A22,main!$A$3:$H$102,6,FALSE),0)</f>
        <v>0</v>
      </c>
      <c r="R22">
        <f>IF(gamma!R22,VLOOKUP(zeta!R$1,main!$A$3:$H$102,5,FALSE)-VLOOKUP(zeta!$A22,main!$A$3:$H$102,6,FALSE),0)</f>
        <v>0</v>
      </c>
      <c r="S22">
        <f>IF(gamma!S22,VLOOKUP(zeta!S$1,main!$A$3:$H$102,5,FALSE)-VLOOKUP(zeta!$A22,main!$A$3:$H$102,6,FALSE),0)</f>
        <v>0</v>
      </c>
      <c r="T22">
        <f>IF(gamma!T22,VLOOKUP(zeta!T$1,main!$A$3:$H$102,5,FALSE)-VLOOKUP(zeta!$A22,main!$A$3:$H$102,6,FALSE),0)</f>
        <v>0</v>
      </c>
      <c r="U22">
        <f>IF(gamma!U22,VLOOKUP(zeta!U$1,main!$A$3:$H$102,5,FALSE)-VLOOKUP(zeta!$A22,main!$A$3:$H$102,6,FALSE),0)</f>
        <v>0</v>
      </c>
      <c r="V22">
        <f>IF(gamma!V22,VLOOKUP(zeta!V$1,main!$A$3:$H$102,5,FALSE)-VLOOKUP(zeta!$A22,main!$A$3:$H$102,6,FALSE),0)</f>
        <v>0</v>
      </c>
      <c r="W22">
        <f>IF(gamma!W22,VLOOKUP(zeta!W$1,main!$A$3:$H$102,5,FALSE)-VLOOKUP(zeta!$A22,main!$A$3:$H$102,6,FALSE),0)</f>
        <v>0</v>
      </c>
      <c r="X22">
        <f>IF(gamma!X22,VLOOKUP(zeta!X$1,main!$A$3:$H$102,5,FALSE)-VLOOKUP(zeta!$A22,main!$A$3:$H$102,6,FALSE),0)</f>
        <v>0</v>
      </c>
      <c r="Y22">
        <f>IF(gamma!Y22,VLOOKUP(zeta!Y$1,main!$A$3:$H$102,5,FALSE)-VLOOKUP(zeta!$A22,main!$A$3:$H$102,6,FALSE),0)</f>
        <v>0</v>
      </c>
      <c r="Z22">
        <f>IF(gamma!Z22,VLOOKUP(zeta!Z$1,main!$A$3:$H$102,5,FALSE)-VLOOKUP(zeta!$A22,main!$A$3:$H$102,6,FALSE),0)</f>
        <v>0</v>
      </c>
      <c r="AA22">
        <f>IF(gamma!AA22,VLOOKUP(zeta!AA$1,main!$A$3:$H$102,5,FALSE)-VLOOKUP(zeta!$A22,main!$A$3:$H$102,6,FALSE),0)</f>
        <v>0</v>
      </c>
      <c r="AB22">
        <f>IF(gamma!AB22,VLOOKUP(zeta!AB$1,main!$A$3:$H$102,5,FALSE)-VLOOKUP(zeta!$A22,main!$A$3:$H$102,6,FALSE),0)</f>
        <v>0</v>
      </c>
      <c r="AC22">
        <f>IF(gamma!AC22,VLOOKUP(zeta!AC$1,main!$A$3:$H$102,5,FALSE)-VLOOKUP(zeta!$A22,main!$A$3:$H$102,6,FALSE),0)</f>
        <v>0</v>
      </c>
      <c r="AD22">
        <f>IF(gamma!AD22,VLOOKUP(zeta!AD$1,main!$A$3:$H$102,5,FALSE)-VLOOKUP(zeta!$A22,main!$A$3:$H$102,6,FALSE),0)</f>
        <v>0</v>
      </c>
      <c r="AE22">
        <f>IF(gamma!AE22,VLOOKUP(zeta!AE$1,main!$A$3:$H$102,5,FALSE)-VLOOKUP(zeta!$A22,main!$A$3:$H$102,6,FALSE),0)</f>
        <v>0</v>
      </c>
      <c r="AF22">
        <f>IF(gamma!AF22,VLOOKUP(zeta!AF$1,main!$A$3:$H$102,5,FALSE)-VLOOKUP(zeta!$A22,main!$A$3:$H$102,6,FALSE),0)</f>
        <v>0</v>
      </c>
      <c r="AG22">
        <f>IF(gamma!AG22,VLOOKUP(zeta!AG$1,main!$A$3:$H$102,5,FALSE)-VLOOKUP(zeta!$A22,main!$A$3:$H$102,6,FALSE),0)</f>
        <v>0</v>
      </c>
      <c r="AH22">
        <f>IF(gamma!AH22,VLOOKUP(zeta!AH$1,main!$A$3:$H$102,5,FALSE)-VLOOKUP(zeta!$A22,main!$A$3:$H$102,6,FALSE),0)</f>
        <v>0</v>
      </c>
      <c r="AI22">
        <f>IF(gamma!AI22,VLOOKUP(zeta!AI$1,main!$A$3:$H$102,5,FALSE)-VLOOKUP(zeta!$A22,main!$A$3:$H$102,6,FALSE),0)</f>
        <v>0</v>
      </c>
      <c r="AJ22">
        <f>IF(gamma!AJ22,VLOOKUP(zeta!AJ$1,main!$A$3:$H$102,5,FALSE)-VLOOKUP(zeta!$A22,main!$A$3:$H$102,6,FALSE),0)</f>
        <v>0</v>
      </c>
      <c r="AK22">
        <f>IF(gamma!AK22,VLOOKUP(zeta!AK$1,main!$A$3:$H$102,5,FALSE)-VLOOKUP(zeta!$A22,main!$A$3:$H$102,6,FALSE),0)</f>
        <v>0</v>
      </c>
      <c r="AL22">
        <f>IF(gamma!AL22,VLOOKUP(zeta!AL$1,main!$A$3:$H$102,5,FALSE)-VLOOKUP(zeta!$A22,main!$A$3:$H$102,6,FALSE),0)</f>
        <v>0</v>
      </c>
      <c r="AM22">
        <f>IF(gamma!AM22,VLOOKUP(zeta!AM$1,main!$A$3:$H$102,5,FALSE)-VLOOKUP(zeta!$A22,main!$A$3:$H$102,6,FALSE),0)</f>
        <v>0</v>
      </c>
      <c r="AN22">
        <f>IF(gamma!AN22,VLOOKUP(zeta!AN$1,main!$A$3:$H$102,5,FALSE)-VLOOKUP(zeta!$A22,main!$A$3:$H$102,6,FALSE),0)</f>
        <v>0</v>
      </c>
      <c r="AO22">
        <f>IF(gamma!AO22,VLOOKUP(zeta!AO$1,main!$A$3:$H$102,5,FALSE)-VLOOKUP(zeta!$A22,main!$A$3:$H$102,6,FALSE),0)</f>
        <v>0</v>
      </c>
      <c r="AP22">
        <f>IF(gamma!AP22,VLOOKUP(zeta!AP$1,main!$A$3:$H$102,5,FALSE)-VLOOKUP(zeta!$A22,main!$A$3:$H$102,6,FALSE),0)</f>
        <v>0</v>
      </c>
      <c r="AQ22">
        <f>IF(gamma!AQ22,VLOOKUP(zeta!AQ$1,main!$A$3:$H$102,5,FALSE)-VLOOKUP(zeta!$A22,main!$A$3:$H$102,6,FALSE),0)</f>
        <v>0</v>
      </c>
      <c r="AR22">
        <f>IF(gamma!AR22,VLOOKUP(zeta!AR$1,main!$A$3:$H$102,5,FALSE)-VLOOKUP(zeta!$A22,main!$A$3:$H$102,6,FALSE),0)</f>
        <v>0</v>
      </c>
      <c r="AS22">
        <f>IF(gamma!AS22,VLOOKUP(zeta!AS$1,main!$A$3:$H$102,5,FALSE)-VLOOKUP(zeta!$A22,main!$A$3:$H$102,6,FALSE),0)</f>
        <v>0</v>
      </c>
      <c r="AT22">
        <f>IF(gamma!AT22,VLOOKUP(zeta!AT$1,main!$A$3:$H$102,5,FALSE)-VLOOKUP(zeta!$A22,main!$A$3:$H$102,6,FALSE),0)</f>
        <v>0</v>
      </c>
      <c r="AU22">
        <f>IF(gamma!AU22,VLOOKUP(zeta!AU$1,main!$A$3:$H$102,5,FALSE)-VLOOKUP(zeta!$A22,main!$A$3:$H$102,6,FALSE),0)</f>
        <v>0</v>
      </c>
      <c r="AV22">
        <f>IF(gamma!AV22,VLOOKUP(zeta!AV$1,main!$A$3:$H$102,5,FALSE)-VLOOKUP(zeta!$A22,main!$A$3:$H$102,6,FALSE),0)</f>
        <v>0</v>
      </c>
      <c r="AW22">
        <f>IF(gamma!AW22,VLOOKUP(zeta!AW$1,main!$A$3:$H$102,5,FALSE)-VLOOKUP(zeta!$A22,main!$A$3:$H$102,6,FALSE),0)</f>
        <v>0</v>
      </c>
      <c r="AX22">
        <f>IF(gamma!AX22,VLOOKUP(zeta!AX$1,main!$A$3:$H$102,5,FALSE)-VLOOKUP(zeta!$A22,main!$A$3:$H$102,6,FALSE),0)</f>
        <v>0</v>
      </c>
      <c r="AY22">
        <f>IF(gamma!AY22,VLOOKUP(zeta!AY$1,main!$A$3:$H$102,5,FALSE)-VLOOKUP(zeta!$A22,main!$A$3:$H$102,6,FALSE),0)</f>
        <v>0</v>
      </c>
      <c r="AZ22">
        <f>IF(gamma!AZ22,VLOOKUP(zeta!AZ$1,main!$A$3:$H$102,5,FALSE)-VLOOKUP(zeta!$A22,main!$A$3:$H$102,6,FALSE),0)</f>
        <v>0</v>
      </c>
      <c r="BA22">
        <f>IF(gamma!BA22,VLOOKUP(zeta!BA$1,main!$A$3:$H$102,5,FALSE)-VLOOKUP(zeta!$A22,main!$A$3:$H$102,6,FALSE),0)</f>
        <v>0</v>
      </c>
      <c r="BB22">
        <f>IF(gamma!BB22,VLOOKUP(zeta!BB$1,main!$A$3:$H$102,5,FALSE)-VLOOKUP(zeta!$A22,main!$A$3:$H$102,6,FALSE),0)</f>
        <v>0</v>
      </c>
      <c r="BC22">
        <f>IF(gamma!BC22,VLOOKUP(zeta!BC$1,main!$A$3:$H$102,5,FALSE)-VLOOKUP(zeta!$A22,main!$A$3:$H$102,6,FALSE),0)</f>
        <v>0</v>
      </c>
      <c r="BD22">
        <f>IF(gamma!BD22,VLOOKUP(zeta!BD$1,main!$A$3:$H$102,5,FALSE)-VLOOKUP(zeta!$A22,main!$A$3:$H$102,6,FALSE),0)</f>
        <v>0</v>
      </c>
      <c r="BE22">
        <f>IF(gamma!BE22,VLOOKUP(zeta!BE$1,main!$A$3:$H$102,5,FALSE)-VLOOKUP(zeta!$A22,main!$A$3:$H$102,6,FALSE),0)</f>
        <v>0</v>
      </c>
      <c r="BF22">
        <f>IF(gamma!BF22,VLOOKUP(zeta!BF$1,main!$A$3:$H$102,5,FALSE)-VLOOKUP(zeta!$A22,main!$A$3:$H$102,6,FALSE),0)</f>
        <v>0</v>
      </c>
      <c r="BG22">
        <f>IF(gamma!BG22,VLOOKUP(zeta!BG$1,main!$A$3:$H$102,5,FALSE)-VLOOKUP(zeta!$A22,main!$A$3:$H$102,6,FALSE),0)</f>
        <v>0</v>
      </c>
      <c r="BH22">
        <f>IF(gamma!BH22,VLOOKUP(zeta!BH$1,main!$A$3:$H$102,5,FALSE)-VLOOKUP(zeta!$A22,main!$A$3:$H$102,6,FALSE),0)</f>
        <v>0</v>
      </c>
      <c r="BI22">
        <f>IF(gamma!BI22,VLOOKUP(zeta!BI$1,main!$A$3:$H$102,5,FALSE)-VLOOKUP(zeta!$A22,main!$A$3:$H$102,6,FALSE),0)</f>
        <v>0</v>
      </c>
      <c r="BJ22">
        <f>IF(gamma!BJ22,VLOOKUP(zeta!BJ$1,main!$A$3:$H$102,5,FALSE)-VLOOKUP(zeta!$A22,main!$A$3:$H$102,6,FALSE),0)</f>
        <v>0</v>
      </c>
      <c r="BK22">
        <f>IF(gamma!BK22,VLOOKUP(zeta!BK$1,main!$A$3:$H$102,5,FALSE)-VLOOKUP(zeta!$A22,main!$A$3:$H$102,6,FALSE),0)</f>
        <v>0</v>
      </c>
      <c r="BL22">
        <f>IF(gamma!BL22,VLOOKUP(zeta!BL$1,main!$A$3:$H$102,5,FALSE)-VLOOKUP(zeta!$A22,main!$A$3:$H$102,6,FALSE),0)</f>
        <v>0</v>
      </c>
      <c r="BM22">
        <f>IF(gamma!BM22,VLOOKUP(zeta!BM$1,main!$A$3:$H$102,5,FALSE)-VLOOKUP(zeta!$A22,main!$A$3:$H$102,6,FALSE),0)</f>
        <v>0</v>
      </c>
      <c r="BN22">
        <f>IF(gamma!BN22,VLOOKUP(zeta!BN$1,main!$A$3:$H$102,5,FALSE)-VLOOKUP(zeta!$A22,main!$A$3:$H$102,6,FALSE),0)</f>
        <v>0</v>
      </c>
      <c r="BO22">
        <f>IF(gamma!BO22,VLOOKUP(zeta!BO$1,main!$A$3:$H$102,5,FALSE)-VLOOKUP(zeta!$A22,main!$A$3:$H$102,6,FALSE),0)</f>
        <v>0</v>
      </c>
      <c r="BP22">
        <f>IF(gamma!BP22,VLOOKUP(zeta!BP$1,main!$A$3:$H$102,5,FALSE)-VLOOKUP(zeta!$A22,main!$A$3:$H$102,6,FALSE),0)</f>
        <v>0</v>
      </c>
      <c r="BQ22">
        <f>IF(gamma!BQ22,VLOOKUP(zeta!BQ$1,main!$A$3:$H$102,5,FALSE)-VLOOKUP(zeta!$A22,main!$A$3:$H$102,6,FALSE),0)</f>
        <v>0</v>
      </c>
      <c r="BR22">
        <f>IF(gamma!BR22,VLOOKUP(zeta!BR$1,main!$A$3:$H$102,5,FALSE)-VLOOKUP(zeta!$A22,main!$A$3:$H$102,6,FALSE),0)</f>
        <v>0</v>
      </c>
      <c r="BS22">
        <f>IF(gamma!BS22,VLOOKUP(zeta!BS$1,main!$A$3:$H$102,5,FALSE)-VLOOKUP(zeta!$A22,main!$A$3:$H$102,6,FALSE),0)</f>
        <v>0</v>
      </c>
      <c r="BT22">
        <f>IF(gamma!BT22,VLOOKUP(zeta!BT$1,main!$A$3:$H$102,5,FALSE)-VLOOKUP(zeta!$A22,main!$A$3:$H$102,6,FALSE),0)</f>
        <v>0</v>
      </c>
      <c r="BU22">
        <f>IF(gamma!BU22,VLOOKUP(zeta!BU$1,main!$A$3:$H$102,5,FALSE)-VLOOKUP(zeta!$A22,main!$A$3:$H$102,6,FALSE),0)</f>
        <v>0</v>
      </c>
      <c r="BV22">
        <f>IF(gamma!BV22,VLOOKUP(zeta!BV$1,main!$A$3:$H$102,5,FALSE)-VLOOKUP(zeta!$A22,main!$A$3:$H$102,6,FALSE),0)</f>
        <v>0</v>
      </c>
      <c r="BW22">
        <f>IF(gamma!BW22,VLOOKUP(zeta!BW$1,main!$A$3:$H$102,5,FALSE)-VLOOKUP(zeta!$A22,main!$A$3:$H$102,6,FALSE),0)</f>
        <v>0</v>
      </c>
      <c r="BX22">
        <f>IF(gamma!BX22,VLOOKUP(zeta!BX$1,main!$A$3:$H$102,5,FALSE)-VLOOKUP(zeta!$A22,main!$A$3:$H$102,6,FALSE),0)</f>
        <v>0</v>
      </c>
      <c r="BY22">
        <f>IF(gamma!BY22,VLOOKUP(zeta!BY$1,main!$A$3:$H$102,5,FALSE)-VLOOKUP(zeta!$A22,main!$A$3:$H$102,6,FALSE),0)</f>
        <v>0</v>
      </c>
      <c r="BZ22">
        <f>IF(gamma!BZ22,VLOOKUP(zeta!BZ$1,main!$A$3:$H$102,5,FALSE)-VLOOKUP(zeta!$A22,main!$A$3:$H$102,6,FALSE),0)</f>
        <v>0</v>
      </c>
      <c r="CA22">
        <f>IF(gamma!CA22,VLOOKUP(zeta!CA$1,main!$A$3:$H$102,5,FALSE)-VLOOKUP(zeta!$A22,main!$A$3:$H$102,6,FALSE),0)</f>
        <v>0</v>
      </c>
      <c r="CB22">
        <f>IF(gamma!CB22,VLOOKUP(zeta!CB$1,main!$A$3:$H$102,5,FALSE)-VLOOKUP(zeta!$A22,main!$A$3:$H$102,6,FALSE),0)</f>
        <v>0</v>
      </c>
      <c r="CC22">
        <f>IF(gamma!CC22,VLOOKUP(zeta!CC$1,main!$A$3:$H$102,5,FALSE)-VLOOKUP(zeta!$A22,main!$A$3:$H$102,6,FALSE),0)</f>
        <v>0</v>
      </c>
      <c r="CD22">
        <f>IF(gamma!CD22,VLOOKUP(zeta!CD$1,main!$A$3:$H$102,5,FALSE)-VLOOKUP(zeta!$A22,main!$A$3:$H$102,6,FALSE),0)</f>
        <v>0</v>
      </c>
      <c r="CE22">
        <f>IF(gamma!CE22,VLOOKUP(zeta!CE$1,main!$A$3:$H$102,5,FALSE)-VLOOKUP(zeta!$A22,main!$A$3:$H$102,6,FALSE),0)</f>
        <v>0</v>
      </c>
      <c r="CF22">
        <f>IF(gamma!CF22,VLOOKUP(zeta!CF$1,main!$A$3:$H$102,5,FALSE)-VLOOKUP(zeta!$A22,main!$A$3:$H$102,6,FALSE),0)</f>
        <v>0</v>
      </c>
      <c r="CG22">
        <f>IF(gamma!CG22,VLOOKUP(zeta!CG$1,main!$A$3:$H$102,5,FALSE)-VLOOKUP(zeta!$A22,main!$A$3:$H$102,6,FALSE),0)</f>
        <v>0</v>
      </c>
      <c r="CH22">
        <f>IF(gamma!CH22,VLOOKUP(zeta!CH$1,main!$A$3:$H$102,5,FALSE)-VLOOKUP(zeta!$A22,main!$A$3:$H$102,6,FALSE),0)</f>
        <v>0</v>
      </c>
      <c r="CI22">
        <f>IF(gamma!CI22,VLOOKUP(zeta!CI$1,main!$A$3:$H$102,5,FALSE)-VLOOKUP(zeta!$A22,main!$A$3:$H$102,6,FALSE),0)</f>
        <v>0</v>
      </c>
      <c r="CJ22">
        <f>IF(gamma!CJ22,VLOOKUP(zeta!CJ$1,main!$A$3:$H$102,5,FALSE)-VLOOKUP(zeta!$A22,main!$A$3:$H$102,6,FALSE),0)</f>
        <v>0</v>
      </c>
      <c r="CK22">
        <f>IF(gamma!CK22,VLOOKUP(zeta!CK$1,main!$A$3:$H$102,5,FALSE)-VLOOKUP(zeta!$A22,main!$A$3:$H$102,6,FALSE),0)</f>
        <v>0</v>
      </c>
      <c r="CL22">
        <f>IF(gamma!CL22,VLOOKUP(zeta!CL$1,main!$A$3:$H$102,5,FALSE)-VLOOKUP(zeta!$A22,main!$A$3:$H$102,6,FALSE),0)</f>
        <v>0</v>
      </c>
      <c r="CM22">
        <f>IF(gamma!CM22,VLOOKUP(zeta!CM$1,main!$A$3:$H$102,5,FALSE)-VLOOKUP(zeta!$A22,main!$A$3:$H$102,6,FALSE),0)</f>
        <v>0</v>
      </c>
      <c r="CN22">
        <f>IF(gamma!CN22,VLOOKUP(zeta!CN$1,main!$A$3:$H$102,5,FALSE)-VLOOKUP(zeta!$A22,main!$A$3:$H$102,6,FALSE),0)</f>
        <v>0</v>
      </c>
      <c r="CO22">
        <f>IF(gamma!CO22,VLOOKUP(zeta!CO$1,main!$A$3:$H$102,5,FALSE)-VLOOKUP(zeta!$A22,main!$A$3:$H$102,6,FALSE),0)</f>
        <v>0</v>
      </c>
      <c r="CP22">
        <f>IF(gamma!CP22,VLOOKUP(zeta!CP$1,main!$A$3:$H$102,5,FALSE)-VLOOKUP(zeta!$A22,main!$A$3:$H$102,6,FALSE),0)</f>
        <v>0</v>
      </c>
      <c r="CQ22">
        <f>IF(gamma!CQ22,VLOOKUP(zeta!CQ$1,main!$A$3:$H$102,5,FALSE)-VLOOKUP(zeta!$A22,main!$A$3:$H$102,6,FALSE),0)</f>
        <v>0</v>
      </c>
      <c r="CR22">
        <f>IF(gamma!CR22,VLOOKUP(zeta!CR$1,main!$A$3:$H$102,5,FALSE)-VLOOKUP(zeta!$A22,main!$A$3:$H$102,6,FALSE),0)</f>
        <v>0</v>
      </c>
      <c r="CS22">
        <f>IF(gamma!CS22,VLOOKUP(zeta!CS$1,main!$A$3:$H$102,5,FALSE)-VLOOKUP(zeta!$A22,main!$A$3:$H$102,6,FALSE),0)</f>
        <v>0</v>
      </c>
      <c r="CT22">
        <f>IF(gamma!CT22,VLOOKUP(zeta!CT$1,main!$A$3:$H$102,5,FALSE)-VLOOKUP(zeta!$A22,main!$A$3:$H$102,6,FALSE),0)</f>
        <v>0</v>
      </c>
      <c r="CU22">
        <f>IF(gamma!CU22,VLOOKUP(zeta!CU$1,main!$A$3:$H$102,5,FALSE)-VLOOKUP(zeta!$A22,main!$A$3:$H$102,6,FALSE),0)</f>
        <v>0</v>
      </c>
      <c r="CV22">
        <f>IF(gamma!CV22,VLOOKUP(zeta!CV$1,main!$A$3:$H$102,5,FALSE)-VLOOKUP(zeta!$A22,main!$A$3:$H$102,6,FALSE),0)</f>
        <v>0</v>
      </c>
      <c r="CW22">
        <f>IF(gamma!CW22,VLOOKUP(zeta!CW$1,main!$A$3:$H$102,5,FALSE)-VLOOKUP(zeta!$A22,main!$A$3:$H$102,6,FALSE),0)</f>
        <v>0</v>
      </c>
      <c r="CX22">
        <f>IF(gamma!CX22,VLOOKUP(zeta!CX$1,main!$A$3:$H$102,5,FALSE)-VLOOKUP(zeta!$A22,main!$A$3:$H$102,6,FALSE),0)</f>
        <v>0</v>
      </c>
    </row>
    <row r="23" spans="1:102" x14ac:dyDescent="0.25">
      <c r="A23">
        <f t="shared" si="0"/>
        <v>21</v>
      </c>
      <c r="B23">
        <v>0</v>
      </c>
      <c r="C23">
        <f>IF(gamma!C23,VLOOKUP(zeta!C$1,main!$A$3:$H$102,5,FALSE)-VLOOKUP(zeta!$A23,main!$A$3:$H$102,6,FALSE),0)</f>
        <v>0</v>
      </c>
      <c r="D23">
        <f>IF(gamma!D23,VLOOKUP(zeta!D$1,main!$A$3:$H$102,5,FALSE)-VLOOKUP(zeta!$A23,main!$A$3:$H$102,6,FALSE),0)</f>
        <v>0</v>
      </c>
      <c r="E23">
        <f>IF(gamma!E23,VLOOKUP(zeta!E$1,main!$A$3:$H$102,5,FALSE)-VLOOKUP(zeta!$A23,main!$A$3:$H$102,6,FALSE),0)</f>
        <v>0</v>
      </c>
      <c r="F23">
        <f>IF(gamma!F23,VLOOKUP(zeta!F$1,main!$A$3:$H$102,5,FALSE)-VLOOKUP(zeta!$A23,main!$A$3:$H$102,6,FALSE),0)</f>
        <v>0</v>
      </c>
      <c r="G23">
        <f>IF(gamma!G23,VLOOKUP(zeta!G$1,main!$A$3:$H$102,5,FALSE)-VLOOKUP(zeta!$A23,main!$A$3:$H$102,6,FALSE),0)</f>
        <v>130</v>
      </c>
      <c r="H23">
        <f>IF(gamma!H23,VLOOKUP(zeta!H$1,main!$A$3:$H$102,5,FALSE)-VLOOKUP(zeta!$A23,main!$A$3:$H$102,6,FALSE),0)</f>
        <v>220</v>
      </c>
      <c r="I23">
        <f>IF(gamma!I23,VLOOKUP(zeta!I$1,main!$A$3:$H$102,5,FALSE)-VLOOKUP(zeta!$A23,main!$A$3:$H$102,6,FALSE),0)</f>
        <v>280</v>
      </c>
      <c r="J23">
        <f>IF(gamma!J23,VLOOKUP(zeta!J$1,main!$A$3:$H$102,5,FALSE)-VLOOKUP(zeta!$A23,main!$A$3:$H$102,6,FALSE),0)</f>
        <v>340</v>
      </c>
      <c r="K23">
        <f>IF(gamma!K23,VLOOKUP(zeta!K$1,main!$A$3:$H$102,5,FALSE)-VLOOKUP(zeta!$A23,main!$A$3:$H$102,6,FALSE),0)</f>
        <v>400</v>
      </c>
      <c r="L23">
        <f>IF(gamma!L23,VLOOKUP(zeta!L$1,main!$A$3:$H$102,5,FALSE)-VLOOKUP(zeta!$A23,main!$A$3:$H$102,6,FALSE),0)</f>
        <v>490</v>
      </c>
      <c r="M23">
        <f>IF(gamma!M23,VLOOKUP(zeta!M$1,main!$A$3:$H$102,5,FALSE)-VLOOKUP(zeta!$A23,main!$A$3:$H$102,6,FALSE),0)</f>
        <v>0</v>
      </c>
      <c r="N23">
        <f>IF(gamma!N23,VLOOKUP(zeta!N$1,main!$A$3:$H$102,5,FALSE)-VLOOKUP(zeta!$A23,main!$A$3:$H$102,6,FALSE),0)</f>
        <v>0</v>
      </c>
      <c r="O23">
        <f>IF(gamma!O23,VLOOKUP(zeta!O$1,main!$A$3:$H$102,5,FALSE)-VLOOKUP(zeta!$A23,main!$A$3:$H$102,6,FALSE),0)</f>
        <v>0</v>
      </c>
      <c r="P23">
        <f>IF(gamma!P23,VLOOKUP(zeta!P$1,main!$A$3:$H$102,5,FALSE)-VLOOKUP(zeta!$A23,main!$A$3:$H$102,6,FALSE),0)</f>
        <v>0</v>
      </c>
      <c r="Q23">
        <f>IF(gamma!Q23,VLOOKUP(zeta!Q$1,main!$A$3:$H$102,5,FALSE)-VLOOKUP(zeta!$A23,main!$A$3:$H$102,6,FALSE),0)</f>
        <v>55</v>
      </c>
      <c r="R23">
        <f>IF(gamma!R23,VLOOKUP(zeta!R$1,main!$A$3:$H$102,5,FALSE)-VLOOKUP(zeta!$A23,main!$A$3:$H$102,6,FALSE),0)</f>
        <v>95</v>
      </c>
      <c r="S23">
        <f>IF(gamma!S23,VLOOKUP(zeta!S$1,main!$A$3:$H$102,5,FALSE)-VLOOKUP(zeta!$A23,main!$A$3:$H$102,6,FALSE),0)</f>
        <v>220</v>
      </c>
      <c r="T23">
        <f>IF(gamma!T23,VLOOKUP(zeta!T$1,main!$A$3:$H$102,5,FALSE)-VLOOKUP(zeta!$A23,main!$A$3:$H$102,6,FALSE),0)</f>
        <v>300</v>
      </c>
      <c r="U23">
        <f>IF(gamma!U23,VLOOKUP(zeta!U$1,main!$A$3:$H$102,5,FALSE)-VLOOKUP(zeta!$A23,main!$A$3:$H$102,6,FALSE),0)</f>
        <v>455</v>
      </c>
      <c r="V23">
        <f>IF(gamma!V23,VLOOKUP(zeta!V$1,main!$A$3:$H$102,5,FALSE)-VLOOKUP(zeta!$A23,main!$A$3:$H$102,6,FALSE),0)</f>
        <v>515</v>
      </c>
      <c r="W23">
        <f>IF(gamma!W23,VLOOKUP(zeta!W$1,main!$A$3:$H$102,5,FALSE)-VLOOKUP(zeta!$A23,main!$A$3:$H$102,6,FALSE),0)</f>
        <v>0</v>
      </c>
      <c r="X23">
        <f>IF(gamma!X23,VLOOKUP(zeta!X$1,main!$A$3:$H$102,5,FALSE)-VLOOKUP(zeta!$A23,main!$A$3:$H$102,6,FALSE),0)</f>
        <v>0</v>
      </c>
      <c r="Y23">
        <f>IF(gamma!Y23,VLOOKUP(zeta!Y$1,main!$A$3:$H$102,5,FALSE)-VLOOKUP(zeta!$A23,main!$A$3:$H$102,6,FALSE),0)</f>
        <v>90</v>
      </c>
      <c r="Z23">
        <f>IF(gamma!Z23,VLOOKUP(zeta!Z$1,main!$A$3:$H$102,5,FALSE)-VLOOKUP(zeta!$A23,main!$A$3:$H$102,6,FALSE),0)</f>
        <v>270</v>
      </c>
      <c r="AA23">
        <f>IF(gamma!AA23,VLOOKUP(zeta!AA$1,main!$A$3:$H$102,5,FALSE)-VLOOKUP(zeta!$A23,main!$A$3:$H$102,6,FALSE),0)</f>
        <v>420</v>
      </c>
      <c r="AB23">
        <f>IF(gamma!AB23,VLOOKUP(zeta!AB$1,main!$A$3:$H$102,5,FALSE)-VLOOKUP(zeta!$A23,main!$A$3:$H$102,6,FALSE),0)</f>
        <v>0</v>
      </c>
      <c r="AC23">
        <f>IF(gamma!AC23,VLOOKUP(zeta!AC$1,main!$A$3:$H$102,5,FALSE)-VLOOKUP(zeta!$A23,main!$A$3:$H$102,6,FALSE),0)</f>
        <v>0</v>
      </c>
      <c r="AD23">
        <f>IF(gamma!AD23,VLOOKUP(zeta!AD$1,main!$A$3:$H$102,5,FALSE)-VLOOKUP(zeta!$A23,main!$A$3:$H$102,6,FALSE),0)</f>
        <v>50</v>
      </c>
      <c r="AE23">
        <f>IF(gamma!AE23,VLOOKUP(zeta!AE$1,main!$A$3:$H$102,5,FALSE)-VLOOKUP(zeta!$A23,main!$A$3:$H$102,6,FALSE),0)</f>
        <v>230</v>
      </c>
      <c r="AF23">
        <f>IF(gamma!AF23,VLOOKUP(zeta!AF$1,main!$A$3:$H$102,5,FALSE)-VLOOKUP(zeta!$A23,main!$A$3:$H$102,6,FALSE),0)</f>
        <v>400</v>
      </c>
      <c r="AG23">
        <f>IF(gamma!AG23,VLOOKUP(zeta!AG$1,main!$A$3:$H$102,5,FALSE)-VLOOKUP(zeta!$A23,main!$A$3:$H$102,6,FALSE),0)</f>
        <v>0</v>
      </c>
      <c r="AH23">
        <f>IF(gamma!AH23,VLOOKUP(zeta!AH$1,main!$A$3:$H$102,5,FALSE)-VLOOKUP(zeta!$A23,main!$A$3:$H$102,6,FALSE),0)</f>
        <v>0</v>
      </c>
      <c r="AI23">
        <f>IF(gamma!AI23,VLOOKUP(zeta!AI$1,main!$A$3:$H$102,5,FALSE)-VLOOKUP(zeta!$A23,main!$A$3:$H$102,6,FALSE),0)</f>
        <v>0</v>
      </c>
      <c r="AJ23">
        <f>IF(gamma!AJ23,VLOOKUP(zeta!AJ$1,main!$A$3:$H$102,5,FALSE)-VLOOKUP(zeta!$A23,main!$A$3:$H$102,6,FALSE),0)</f>
        <v>110</v>
      </c>
      <c r="AK23">
        <f>IF(gamma!AK23,VLOOKUP(zeta!AK$1,main!$A$3:$H$102,5,FALSE)-VLOOKUP(zeta!$A23,main!$A$3:$H$102,6,FALSE),0)</f>
        <v>200</v>
      </c>
      <c r="AL23">
        <f>IF(gamma!AL23,VLOOKUP(zeta!AL$1,main!$A$3:$H$102,5,FALSE)-VLOOKUP(zeta!$A23,main!$A$3:$H$102,6,FALSE),0)</f>
        <v>290</v>
      </c>
      <c r="AM23">
        <f>IF(gamma!AM23,VLOOKUP(zeta!AM$1,main!$A$3:$H$102,5,FALSE)-VLOOKUP(zeta!$A23,main!$A$3:$H$102,6,FALSE),0)</f>
        <v>380</v>
      </c>
      <c r="AN23">
        <f>IF(gamma!AN23,VLOOKUP(zeta!AN$1,main!$A$3:$H$102,5,FALSE)-VLOOKUP(zeta!$A23,main!$A$3:$H$102,6,FALSE),0)</f>
        <v>440</v>
      </c>
      <c r="AO23">
        <f>IF(gamma!AO23,VLOOKUP(zeta!AO$1,main!$A$3:$H$102,5,FALSE)-VLOOKUP(zeta!$A23,main!$A$3:$H$102,6,FALSE),0)</f>
        <v>0</v>
      </c>
      <c r="AP23">
        <f>IF(gamma!AP23,VLOOKUP(zeta!AP$1,main!$A$3:$H$102,5,FALSE)-VLOOKUP(zeta!$A23,main!$A$3:$H$102,6,FALSE),0)</f>
        <v>500</v>
      </c>
      <c r="AQ23">
        <f>IF(gamma!AQ23,VLOOKUP(zeta!AQ$1,main!$A$3:$H$102,5,FALSE)-VLOOKUP(zeta!$A23,main!$A$3:$H$102,6,FALSE),0)</f>
        <v>0</v>
      </c>
      <c r="AR23">
        <f>IF(gamma!AR23,VLOOKUP(zeta!AR$1,main!$A$3:$H$102,5,FALSE)-VLOOKUP(zeta!$A23,main!$A$3:$H$102,6,FALSE),0)</f>
        <v>0</v>
      </c>
      <c r="AS23">
        <f>IF(gamma!AS23,VLOOKUP(zeta!AS$1,main!$A$3:$H$102,5,FALSE)-VLOOKUP(zeta!$A23,main!$A$3:$H$102,6,FALSE),0)</f>
        <v>100</v>
      </c>
      <c r="AT23">
        <f>IF(gamma!AT23,VLOOKUP(zeta!AT$1,main!$A$3:$H$102,5,FALSE)-VLOOKUP(zeta!$A23,main!$A$3:$H$102,6,FALSE),0)</f>
        <v>250</v>
      </c>
      <c r="AU23">
        <f>IF(gamma!AU23,VLOOKUP(zeta!AU$1,main!$A$3:$H$102,5,FALSE)-VLOOKUP(zeta!$A23,main!$A$3:$H$102,6,FALSE),0)</f>
        <v>0</v>
      </c>
      <c r="AV23">
        <f>IF(gamma!AV23,VLOOKUP(zeta!AV$1,main!$A$3:$H$102,5,FALSE)-VLOOKUP(zeta!$A23,main!$A$3:$H$102,6,FALSE),0)</f>
        <v>0</v>
      </c>
      <c r="AW23">
        <f>IF(gamma!AW23,VLOOKUP(zeta!AW$1,main!$A$3:$H$102,5,FALSE)-VLOOKUP(zeta!$A23,main!$A$3:$H$102,6,FALSE),0)</f>
        <v>200</v>
      </c>
      <c r="AX23">
        <f>IF(gamma!AX23,VLOOKUP(zeta!AX$1,main!$A$3:$H$102,5,FALSE)-VLOOKUP(zeta!$A23,main!$A$3:$H$102,6,FALSE),0)</f>
        <v>0</v>
      </c>
      <c r="AY23">
        <f>IF(gamma!AY23,VLOOKUP(zeta!AY$1,main!$A$3:$H$102,5,FALSE)-VLOOKUP(zeta!$A23,main!$A$3:$H$102,6,FALSE),0)</f>
        <v>0</v>
      </c>
      <c r="AZ23">
        <f>IF(gamma!AZ23,VLOOKUP(zeta!AZ$1,main!$A$3:$H$102,5,FALSE)-VLOOKUP(zeta!$A23,main!$A$3:$H$102,6,FALSE),0)</f>
        <v>0</v>
      </c>
      <c r="BA23">
        <f>IF(gamma!BA23,VLOOKUP(zeta!BA$1,main!$A$3:$H$102,5,FALSE)-VLOOKUP(zeta!$A23,main!$A$3:$H$102,6,FALSE),0)</f>
        <v>0</v>
      </c>
      <c r="BB23">
        <f>IF(gamma!BB23,VLOOKUP(zeta!BB$1,main!$A$3:$H$102,5,FALSE)-VLOOKUP(zeta!$A23,main!$A$3:$H$102,6,FALSE),0)</f>
        <v>0</v>
      </c>
      <c r="BC23">
        <f>IF(gamma!BC23,VLOOKUP(zeta!BC$1,main!$A$3:$H$102,5,FALSE)-VLOOKUP(zeta!$A23,main!$A$3:$H$102,6,FALSE),0)</f>
        <v>160</v>
      </c>
      <c r="BD23">
        <f>IF(gamma!BD23,VLOOKUP(zeta!BD$1,main!$A$3:$H$102,5,FALSE)-VLOOKUP(zeta!$A23,main!$A$3:$H$102,6,FALSE),0)</f>
        <v>220</v>
      </c>
      <c r="BE23">
        <f>IF(gamma!BE23,VLOOKUP(zeta!BE$1,main!$A$3:$H$102,5,FALSE)-VLOOKUP(zeta!$A23,main!$A$3:$H$102,6,FALSE),0)</f>
        <v>340</v>
      </c>
      <c r="BF23">
        <f>IF(gamma!BF23,VLOOKUP(zeta!BF$1,main!$A$3:$H$102,5,FALSE)-VLOOKUP(zeta!$A23,main!$A$3:$H$102,6,FALSE),0)</f>
        <v>0</v>
      </c>
      <c r="BG23">
        <f>IF(gamma!BG23,VLOOKUP(zeta!BG$1,main!$A$3:$H$102,5,FALSE)-VLOOKUP(zeta!$A23,main!$A$3:$H$102,6,FALSE),0)</f>
        <v>0</v>
      </c>
      <c r="BH23">
        <f>IF(gamma!BH23,VLOOKUP(zeta!BH$1,main!$A$3:$H$102,5,FALSE)-VLOOKUP(zeta!$A23,main!$A$3:$H$102,6,FALSE),0)</f>
        <v>125</v>
      </c>
      <c r="BI23">
        <f>IF(gamma!BI23,VLOOKUP(zeta!BI$1,main!$A$3:$H$102,5,FALSE)-VLOOKUP(zeta!$A23,main!$A$3:$H$102,6,FALSE),0)</f>
        <v>510</v>
      </c>
      <c r="BJ23">
        <f>IF(gamma!BJ23,VLOOKUP(zeta!BJ$1,main!$A$3:$H$102,5,FALSE)-VLOOKUP(zeta!$A23,main!$A$3:$H$102,6,FALSE),0)</f>
        <v>300</v>
      </c>
      <c r="BK23">
        <f>IF(gamma!BK23,VLOOKUP(zeta!BK$1,main!$A$3:$H$102,5,FALSE)-VLOOKUP(zeta!$A23,main!$A$3:$H$102,6,FALSE),0)</f>
        <v>0</v>
      </c>
      <c r="BL23">
        <f>IF(gamma!BL23,VLOOKUP(zeta!BL$1,main!$A$3:$H$102,5,FALSE)-VLOOKUP(zeta!$A23,main!$A$3:$H$102,6,FALSE),0)</f>
        <v>0</v>
      </c>
      <c r="BM23">
        <f>IF(gamma!BM23,VLOOKUP(zeta!BM$1,main!$A$3:$H$102,5,FALSE)-VLOOKUP(zeta!$A23,main!$A$3:$H$102,6,FALSE),0)</f>
        <v>0</v>
      </c>
      <c r="BN23">
        <f>IF(gamma!BN23,VLOOKUP(zeta!BN$1,main!$A$3:$H$102,5,FALSE)-VLOOKUP(zeta!$A23,main!$A$3:$H$102,6,FALSE),0)</f>
        <v>200</v>
      </c>
      <c r="BO23">
        <f>IF(gamma!BO23,VLOOKUP(zeta!BO$1,main!$A$3:$H$102,5,FALSE)-VLOOKUP(zeta!$A23,main!$A$3:$H$102,6,FALSE),0)</f>
        <v>0</v>
      </c>
      <c r="BP23">
        <f>IF(gamma!BP23,VLOOKUP(zeta!BP$1,main!$A$3:$H$102,5,FALSE)-VLOOKUP(zeta!$A23,main!$A$3:$H$102,6,FALSE),0)</f>
        <v>0</v>
      </c>
      <c r="BQ23">
        <f>IF(gamma!BQ23,VLOOKUP(zeta!BQ$1,main!$A$3:$H$102,5,FALSE)-VLOOKUP(zeta!$A23,main!$A$3:$H$102,6,FALSE),0)</f>
        <v>55</v>
      </c>
      <c r="BR23">
        <f>IF(gamma!BR23,VLOOKUP(zeta!BR$1,main!$A$3:$H$102,5,FALSE)-VLOOKUP(zeta!$A23,main!$A$3:$H$102,6,FALSE),0)</f>
        <v>90</v>
      </c>
      <c r="BS23">
        <f>IF(gamma!BS23,VLOOKUP(zeta!BS$1,main!$A$3:$H$102,5,FALSE)-VLOOKUP(zeta!$A23,main!$A$3:$H$102,6,FALSE),0)</f>
        <v>100</v>
      </c>
      <c r="BT23">
        <f>IF(gamma!BT23,VLOOKUP(zeta!BT$1,main!$A$3:$H$102,5,FALSE)-VLOOKUP(zeta!$A23,main!$A$3:$H$102,6,FALSE),0)</f>
        <v>50</v>
      </c>
      <c r="BU23">
        <f>IF(gamma!BU23,VLOOKUP(zeta!BU$1,main!$A$3:$H$102,5,FALSE)-VLOOKUP(zeta!$A23,main!$A$3:$H$102,6,FALSE),0)</f>
        <v>0</v>
      </c>
      <c r="BV23">
        <f>IF(gamma!BV23,VLOOKUP(zeta!BV$1,main!$A$3:$H$102,5,FALSE)-VLOOKUP(zeta!$A23,main!$A$3:$H$102,6,FALSE),0)</f>
        <v>0</v>
      </c>
      <c r="BW23">
        <f>IF(gamma!BW23,VLOOKUP(zeta!BW$1,main!$A$3:$H$102,5,FALSE)-VLOOKUP(zeta!$A23,main!$A$3:$H$102,6,FALSE),0)</f>
        <v>0</v>
      </c>
      <c r="BX23">
        <f>IF(gamma!BX23,VLOOKUP(zeta!BX$1,main!$A$3:$H$102,5,FALSE)-VLOOKUP(zeta!$A23,main!$A$3:$H$102,6,FALSE),0)</f>
        <v>65</v>
      </c>
      <c r="BY23">
        <f>IF(gamma!BY23,VLOOKUP(zeta!BY$1,main!$A$3:$H$102,5,FALSE)-VLOOKUP(zeta!$A23,main!$A$3:$H$102,6,FALSE),0)</f>
        <v>150</v>
      </c>
      <c r="BZ23">
        <f>IF(gamma!BZ23,VLOOKUP(zeta!BZ$1,main!$A$3:$H$102,5,FALSE)-VLOOKUP(zeta!$A23,main!$A$3:$H$102,6,FALSE),0)</f>
        <v>0</v>
      </c>
      <c r="CA23">
        <f>IF(gamma!CA23,VLOOKUP(zeta!CA$1,main!$A$3:$H$102,5,FALSE)-VLOOKUP(zeta!$A23,main!$A$3:$H$102,6,FALSE),0)</f>
        <v>0</v>
      </c>
      <c r="CB23">
        <f>IF(gamma!CB23,VLOOKUP(zeta!CB$1,main!$A$3:$H$102,5,FALSE)-VLOOKUP(zeta!$A23,main!$A$3:$H$102,6,FALSE),0)</f>
        <v>205</v>
      </c>
      <c r="CC23">
        <f>IF(gamma!CC23,VLOOKUP(zeta!CC$1,main!$A$3:$H$102,5,FALSE)-VLOOKUP(zeta!$A23,main!$A$3:$H$102,6,FALSE),0)</f>
        <v>415</v>
      </c>
      <c r="CD23">
        <f>IF(gamma!CD23,VLOOKUP(zeta!CD$1,main!$A$3:$H$102,5,FALSE)-VLOOKUP(zeta!$A23,main!$A$3:$H$102,6,FALSE),0)</f>
        <v>150</v>
      </c>
      <c r="CE23">
        <f>IF(gamma!CE23,VLOOKUP(zeta!CE$1,main!$A$3:$H$102,5,FALSE)-VLOOKUP(zeta!$A23,main!$A$3:$H$102,6,FALSE),0)</f>
        <v>20</v>
      </c>
      <c r="CF23">
        <f>IF(gamma!CF23,VLOOKUP(zeta!CF$1,main!$A$3:$H$102,5,FALSE)-VLOOKUP(zeta!$A23,main!$A$3:$H$102,6,FALSE),0)</f>
        <v>50</v>
      </c>
      <c r="CG23">
        <f>IF(gamma!CG23,VLOOKUP(zeta!CG$1,main!$A$3:$H$102,5,FALSE)-VLOOKUP(zeta!$A23,main!$A$3:$H$102,6,FALSE),0)</f>
        <v>100</v>
      </c>
      <c r="CH23">
        <f>IF(gamma!CH23,VLOOKUP(zeta!CH$1,main!$A$3:$H$102,5,FALSE)-VLOOKUP(zeta!$A23,main!$A$3:$H$102,6,FALSE),0)</f>
        <v>300</v>
      </c>
      <c r="CI23">
        <f>IF(gamma!CI23,VLOOKUP(zeta!CI$1,main!$A$3:$H$102,5,FALSE)-VLOOKUP(zeta!$A23,main!$A$3:$H$102,6,FALSE),0)</f>
        <v>500</v>
      </c>
      <c r="CJ23">
        <f>IF(gamma!CJ23,VLOOKUP(zeta!CJ$1,main!$A$3:$H$102,5,FALSE)-VLOOKUP(zeta!$A23,main!$A$3:$H$102,6,FALSE),0)</f>
        <v>90</v>
      </c>
      <c r="CK23">
        <f>IF(gamma!CK23,VLOOKUP(zeta!CK$1,main!$A$3:$H$102,5,FALSE)-VLOOKUP(zeta!$A23,main!$A$3:$H$102,6,FALSE),0)</f>
        <v>0</v>
      </c>
      <c r="CL23">
        <f>IF(gamma!CL23,VLOOKUP(zeta!CL$1,main!$A$3:$H$102,5,FALSE)-VLOOKUP(zeta!$A23,main!$A$3:$H$102,6,FALSE),0)</f>
        <v>100</v>
      </c>
      <c r="CM23">
        <f>IF(gamma!CM23,VLOOKUP(zeta!CM$1,main!$A$3:$H$102,5,FALSE)-VLOOKUP(zeta!$A23,main!$A$3:$H$102,6,FALSE),0)</f>
        <v>276</v>
      </c>
      <c r="CN23">
        <f>IF(gamma!CN23,VLOOKUP(zeta!CN$1,main!$A$3:$H$102,5,FALSE)-VLOOKUP(zeta!$A23,main!$A$3:$H$102,6,FALSE),0)</f>
        <v>500</v>
      </c>
      <c r="CO23">
        <f>IF(gamma!CO23,VLOOKUP(zeta!CO$1,main!$A$3:$H$102,5,FALSE)-VLOOKUP(zeta!$A23,main!$A$3:$H$102,6,FALSE),0)</f>
        <v>0</v>
      </c>
      <c r="CP23">
        <f>IF(gamma!CP23,VLOOKUP(zeta!CP$1,main!$A$3:$H$102,5,FALSE)-VLOOKUP(zeta!$A23,main!$A$3:$H$102,6,FALSE),0)</f>
        <v>65</v>
      </c>
      <c r="CQ23">
        <f>IF(gamma!CQ23,VLOOKUP(zeta!CQ$1,main!$A$3:$H$102,5,FALSE)-VLOOKUP(zeta!$A23,main!$A$3:$H$102,6,FALSE),0)</f>
        <v>80</v>
      </c>
      <c r="CR23">
        <f>IF(gamma!CR23,VLOOKUP(zeta!CR$1,main!$A$3:$H$102,5,FALSE)-VLOOKUP(zeta!$A23,main!$A$3:$H$102,6,FALSE),0)</f>
        <v>265</v>
      </c>
      <c r="CS23">
        <f>IF(gamma!CS23,VLOOKUP(zeta!CS$1,main!$A$3:$H$102,5,FALSE)-VLOOKUP(zeta!$A23,main!$A$3:$H$102,6,FALSE),0)</f>
        <v>275</v>
      </c>
      <c r="CT23">
        <f>IF(gamma!CT23,VLOOKUP(zeta!CT$1,main!$A$3:$H$102,5,FALSE)-VLOOKUP(zeta!$A23,main!$A$3:$H$102,6,FALSE),0)</f>
        <v>0</v>
      </c>
      <c r="CU23">
        <f>IF(gamma!CU23,VLOOKUP(zeta!CU$1,main!$A$3:$H$102,5,FALSE)-VLOOKUP(zeta!$A23,main!$A$3:$H$102,6,FALSE),0)</f>
        <v>0</v>
      </c>
      <c r="CV23">
        <f>IF(gamma!CV23,VLOOKUP(zeta!CV$1,main!$A$3:$H$102,5,FALSE)-VLOOKUP(zeta!$A23,main!$A$3:$H$102,6,FALSE),0)</f>
        <v>80</v>
      </c>
      <c r="CW23">
        <f>IF(gamma!CW23,VLOOKUP(zeta!CW$1,main!$A$3:$H$102,5,FALSE)-VLOOKUP(zeta!$A23,main!$A$3:$H$102,6,FALSE),0)</f>
        <v>265</v>
      </c>
      <c r="CX23">
        <f>IF(gamma!CX23,VLOOKUP(zeta!CX$1,main!$A$3:$H$102,5,FALSE)-VLOOKUP(zeta!$A23,main!$A$3:$H$102,6,FALSE),0)</f>
        <v>305</v>
      </c>
    </row>
    <row r="24" spans="1:102" x14ac:dyDescent="0.25">
      <c r="A24">
        <f t="shared" si="0"/>
        <v>22</v>
      </c>
      <c r="B24">
        <v>0</v>
      </c>
      <c r="C24">
        <f>IF(gamma!C24,VLOOKUP(zeta!C$1,main!$A$3:$H$102,5,FALSE)-VLOOKUP(zeta!$A24,main!$A$3:$H$102,6,FALSE),0)</f>
        <v>0</v>
      </c>
      <c r="D24">
        <f>IF(gamma!D24,VLOOKUP(zeta!D$1,main!$A$3:$H$102,5,FALSE)-VLOOKUP(zeta!$A24,main!$A$3:$H$102,6,FALSE),0)</f>
        <v>0</v>
      </c>
      <c r="E24">
        <f>IF(gamma!E24,VLOOKUP(zeta!E$1,main!$A$3:$H$102,5,FALSE)-VLOOKUP(zeta!$A24,main!$A$3:$H$102,6,FALSE),0)</f>
        <v>0</v>
      </c>
      <c r="F24">
        <f>IF(gamma!F24,VLOOKUP(zeta!F$1,main!$A$3:$H$102,5,FALSE)-VLOOKUP(zeta!$A24,main!$A$3:$H$102,6,FALSE),0)</f>
        <v>0</v>
      </c>
      <c r="G24">
        <f>IF(gamma!G24,VLOOKUP(zeta!G$1,main!$A$3:$H$102,5,FALSE)-VLOOKUP(zeta!$A24,main!$A$3:$H$102,6,FALSE),0)</f>
        <v>60</v>
      </c>
      <c r="H24">
        <f>IF(gamma!H24,VLOOKUP(zeta!H$1,main!$A$3:$H$102,5,FALSE)-VLOOKUP(zeta!$A24,main!$A$3:$H$102,6,FALSE),0)</f>
        <v>150</v>
      </c>
      <c r="I24">
        <f>IF(gamma!I24,VLOOKUP(zeta!I$1,main!$A$3:$H$102,5,FALSE)-VLOOKUP(zeta!$A24,main!$A$3:$H$102,6,FALSE),0)</f>
        <v>210</v>
      </c>
      <c r="J24">
        <f>IF(gamma!J24,VLOOKUP(zeta!J$1,main!$A$3:$H$102,5,FALSE)-VLOOKUP(zeta!$A24,main!$A$3:$H$102,6,FALSE),0)</f>
        <v>270</v>
      </c>
      <c r="K24">
        <f>IF(gamma!K24,VLOOKUP(zeta!K$1,main!$A$3:$H$102,5,FALSE)-VLOOKUP(zeta!$A24,main!$A$3:$H$102,6,FALSE),0)</f>
        <v>330</v>
      </c>
      <c r="L24">
        <f>IF(gamma!L24,VLOOKUP(zeta!L$1,main!$A$3:$H$102,5,FALSE)-VLOOKUP(zeta!$A24,main!$A$3:$H$102,6,FALSE),0)</f>
        <v>420</v>
      </c>
      <c r="M24">
        <f>IF(gamma!M24,VLOOKUP(zeta!M$1,main!$A$3:$H$102,5,FALSE)-VLOOKUP(zeta!$A24,main!$A$3:$H$102,6,FALSE),0)</f>
        <v>0</v>
      </c>
      <c r="N24">
        <f>IF(gamma!N24,VLOOKUP(zeta!N$1,main!$A$3:$H$102,5,FALSE)-VLOOKUP(zeta!$A24,main!$A$3:$H$102,6,FALSE),0)</f>
        <v>0</v>
      </c>
      <c r="O24">
        <f>IF(gamma!O24,VLOOKUP(zeta!O$1,main!$A$3:$H$102,5,FALSE)-VLOOKUP(zeta!$A24,main!$A$3:$H$102,6,FALSE),0)</f>
        <v>0</v>
      </c>
      <c r="P24">
        <f>IF(gamma!P24,VLOOKUP(zeta!P$1,main!$A$3:$H$102,5,FALSE)-VLOOKUP(zeta!$A24,main!$A$3:$H$102,6,FALSE),0)</f>
        <v>0</v>
      </c>
      <c r="Q24">
        <f>IF(gamma!Q24,VLOOKUP(zeta!Q$1,main!$A$3:$H$102,5,FALSE)-VLOOKUP(zeta!$A24,main!$A$3:$H$102,6,FALSE),0)</f>
        <v>0</v>
      </c>
      <c r="R24">
        <f>IF(gamma!R24,VLOOKUP(zeta!R$1,main!$A$3:$H$102,5,FALSE)-VLOOKUP(zeta!$A24,main!$A$3:$H$102,6,FALSE),0)</f>
        <v>0</v>
      </c>
      <c r="S24">
        <f>IF(gamma!S24,VLOOKUP(zeta!S$1,main!$A$3:$H$102,5,FALSE)-VLOOKUP(zeta!$A24,main!$A$3:$H$102,6,FALSE),0)</f>
        <v>150</v>
      </c>
      <c r="T24">
        <f>IF(gamma!T24,VLOOKUP(zeta!T$1,main!$A$3:$H$102,5,FALSE)-VLOOKUP(zeta!$A24,main!$A$3:$H$102,6,FALSE),0)</f>
        <v>230</v>
      </c>
      <c r="U24">
        <f>IF(gamma!U24,VLOOKUP(zeta!U$1,main!$A$3:$H$102,5,FALSE)-VLOOKUP(zeta!$A24,main!$A$3:$H$102,6,FALSE),0)</f>
        <v>385</v>
      </c>
      <c r="V24">
        <f>IF(gamma!V24,VLOOKUP(zeta!V$1,main!$A$3:$H$102,5,FALSE)-VLOOKUP(zeta!$A24,main!$A$3:$H$102,6,FALSE),0)</f>
        <v>445</v>
      </c>
      <c r="W24">
        <f>IF(gamma!W24,VLOOKUP(zeta!W$1,main!$A$3:$H$102,5,FALSE)-VLOOKUP(zeta!$A24,main!$A$3:$H$102,6,FALSE),0)</f>
        <v>0</v>
      </c>
      <c r="X24">
        <f>IF(gamma!X24,VLOOKUP(zeta!X$1,main!$A$3:$H$102,5,FALSE)-VLOOKUP(zeta!$A24,main!$A$3:$H$102,6,FALSE),0)</f>
        <v>0</v>
      </c>
      <c r="Y24">
        <f>IF(gamma!Y24,VLOOKUP(zeta!Y$1,main!$A$3:$H$102,5,FALSE)-VLOOKUP(zeta!$A24,main!$A$3:$H$102,6,FALSE),0)</f>
        <v>0</v>
      </c>
      <c r="Z24">
        <f>IF(gamma!Z24,VLOOKUP(zeta!Z$1,main!$A$3:$H$102,5,FALSE)-VLOOKUP(zeta!$A24,main!$A$3:$H$102,6,FALSE),0)</f>
        <v>200</v>
      </c>
      <c r="AA24">
        <f>IF(gamma!AA24,VLOOKUP(zeta!AA$1,main!$A$3:$H$102,5,FALSE)-VLOOKUP(zeta!$A24,main!$A$3:$H$102,6,FALSE),0)</f>
        <v>350</v>
      </c>
      <c r="AB24">
        <f>IF(gamma!AB24,VLOOKUP(zeta!AB$1,main!$A$3:$H$102,5,FALSE)-VLOOKUP(zeta!$A24,main!$A$3:$H$102,6,FALSE),0)</f>
        <v>0</v>
      </c>
      <c r="AC24">
        <f>IF(gamma!AC24,VLOOKUP(zeta!AC$1,main!$A$3:$H$102,5,FALSE)-VLOOKUP(zeta!$A24,main!$A$3:$H$102,6,FALSE),0)</f>
        <v>0</v>
      </c>
      <c r="AD24">
        <f>IF(gamma!AD24,VLOOKUP(zeta!AD$1,main!$A$3:$H$102,5,FALSE)-VLOOKUP(zeta!$A24,main!$A$3:$H$102,6,FALSE),0)</f>
        <v>0</v>
      </c>
      <c r="AE24">
        <f>IF(gamma!AE24,VLOOKUP(zeta!AE$1,main!$A$3:$H$102,5,FALSE)-VLOOKUP(zeta!$A24,main!$A$3:$H$102,6,FALSE),0)</f>
        <v>160</v>
      </c>
      <c r="AF24">
        <f>IF(gamma!AF24,VLOOKUP(zeta!AF$1,main!$A$3:$H$102,5,FALSE)-VLOOKUP(zeta!$A24,main!$A$3:$H$102,6,FALSE),0)</f>
        <v>330</v>
      </c>
      <c r="AG24">
        <f>IF(gamma!AG24,VLOOKUP(zeta!AG$1,main!$A$3:$H$102,5,FALSE)-VLOOKUP(zeta!$A24,main!$A$3:$H$102,6,FALSE),0)</f>
        <v>0</v>
      </c>
      <c r="AH24">
        <f>IF(gamma!AH24,VLOOKUP(zeta!AH$1,main!$A$3:$H$102,5,FALSE)-VLOOKUP(zeta!$A24,main!$A$3:$H$102,6,FALSE),0)</f>
        <v>0</v>
      </c>
      <c r="AI24">
        <f>IF(gamma!AI24,VLOOKUP(zeta!AI$1,main!$A$3:$H$102,5,FALSE)-VLOOKUP(zeta!$A24,main!$A$3:$H$102,6,FALSE),0)</f>
        <v>0</v>
      </c>
      <c r="AJ24">
        <f>IF(gamma!AJ24,VLOOKUP(zeta!AJ$1,main!$A$3:$H$102,5,FALSE)-VLOOKUP(zeta!$A24,main!$A$3:$H$102,6,FALSE),0)</f>
        <v>0</v>
      </c>
      <c r="AK24">
        <f>IF(gamma!AK24,VLOOKUP(zeta!AK$1,main!$A$3:$H$102,5,FALSE)-VLOOKUP(zeta!$A24,main!$A$3:$H$102,6,FALSE),0)</f>
        <v>130</v>
      </c>
      <c r="AL24">
        <f>IF(gamma!AL24,VLOOKUP(zeta!AL$1,main!$A$3:$H$102,5,FALSE)-VLOOKUP(zeta!$A24,main!$A$3:$H$102,6,FALSE),0)</f>
        <v>220</v>
      </c>
      <c r="AM24">
        <f>IF(gamma!AM24,VLOOKUP(zeta!AM$1,main!$A$3:$H$102,5,FALSE)-VLOOKUP(zeta!$A24,main!$A$3:$H$102,6,FALSE),0)</f>
        <v>310</v>
      </c>
      <c r="AN24">
        <f>IF(gamma!AN24,VLOOKUP(zeta!AN$1,main!$A$3:$H$102,5,FALSE)-VLOOKUP(zeta!$A24,main!$A$3:$H$102,6,FALSE),0)</f>
        <v>370</v>
      </c>
      <c r="AO24">
        <f>IF(gamma!AO24,VLOOKUP(zeta!AO$1,main!$A$3:$H$102,5,FALSE)-VLOOKUP(zeta!$A24,main!$A$3:$H$102,6,FALSE),0)</f>
        <v>0</v>
      </c>
      <c r="AP24">
        <f>IF(gamma!AP24,VLOOKUP(zeta!AP$1,main!$A$3:$H$102,5,FALSE)-VLOOKUP(zeta!$A24,main!$A$3:$H$102,6,FALSE),0)</f>
        <v>430</v>
      </c>
      <c r="AQ24">
        <f>IF(gamma!AQ24,VLOOKUP(zeta!AQ$1,main!$A$3:$H$102,5,FALSE)-VLOOKUP(zeta!$A24,main!$A$3:$H$102,6,FALSE),0)</f>
        <v>0</v>
      </c>
      <c r="AR24">
        <f>IF(gamma!AR24,VLOOKUP(zeta!AR$1,main!$A$3:$H$102,5,FALSE)-VLOOKUP(zeta!$A24,main!$A$3:$H$102,6,FALSE),0)</f>
        <v>0</v>
      </c>
      <c r="AS24">
        <f>IF(gamma!AS24,VLOOKUP(zeta!AS$1,main!$A$3:$H$102,5,FALSE)-VLOOKUP(zeta!$A24,main!$A$3:$H$102,6,FALSE),0)</f>
        <v>0</v>
      </c>
      <c r="AT24">
        <f>IF(gamma!AT24,VLOOKUP(zeta!AT$1,main!$A$3:$H$102,5,FALSE)-VLOOKUP(zeta!$A24,main!$A$3:$H$102,6,FALSE),0)</f>
        <v>180</v>
      </c>
      <c r="AU24">
        <f>IF(gamma!AU24,VLOOKUP(zeta!AU$1,main!$A$3:$H$102,5,FALSE)-VLOOKUP(zeta!$A24,main!$A$3:$H$102,6,FALSE),0)</f>
        <v>0</v>
      </c>
      <c r="AV24">
        <f>IF(gamma!AV24,VLOOKUP(zeta!AV$1,main!$A$3:$H$102,5,FALSE)-VLOOKUP(zeta!$A24,main!$A$3:$H$102,6,FALSE),0)</f>
        <v>0</v>
      </c>
      <c r="AW24">
        <f>IF(gamma!AW24,VLOOKUP(zeta!AW$1,main!$A$3:$H$102,5,FALSE)-VLOOKUP(zeta!$A24,main!$A$3:$H$102,6,FALSE),0)</f>
        <v>130</v>
      </c>
      <c r="AX24">
        <f>IF(gamma!AX24,VLOOKUP(zeta!AX$1,main!$A$3:$H$102,5,FALSE)-VLOOKUP(zeta!$A24,main!$A$3:$H$102,6,FALSE),0)</f>
        <v>0</v>
      </c>
      <c r="AY24">
        <f>IF(gamma!AY24,VLOOKUP(zeta!AY$1,main!$A$3:$H$102,5,FALSE)-VLOOKUP(zeta!$A24,main!$A$3:$H$102,6,FALSE),0)</f>
        <v>0</v>
      </c>
      <c r="AZ24">
        <f>IF(gamma!AZ24,VLOOKUP(zeta!AZ$1,main!$A$3:$H$102,5,FALSE)-VLOOKUP(zeta!$A24,main!$A$3:$H$102,6,FALSE),0)</f>
        <v>0</v>
      </c>
      <c r="BA24">
        <f>IF(gamma!BA24,VLOOKUP(zeta!BA$1,main!$A$3:$H$102,5,FALSE)-VLOOKUP(zeta!$A24,main!$A$3:$H$102,6,FALSE),0)</f>
        <v>0</v>
      </c>
      <c r="BB24">
        <f>IF(gamma!BB24,VLOOKUP(zeta!BB$1,main!$A$3:$H$102,5,FALSE)-VLOOKUP(zeta!$A24,main!$A$3:$H$102,6,FALSE),0)</f>
        <v>0</v>
      </c>
      <c r="BC24">
        <f>IF(gamma!BC24,VLOOKUP(zeta!BC$1,main!$A$3:$H$102,5,FALSE)-VLOOKUP(zeta!$A24,main!$A$3:$H$102,6,FALSE),0)</f>
        <v>90</v>
      </c>
      <c r="BD24">
        <f>IF(gamma!BD24,VLOOKUP(zeta!BD$1,main!$A$3:$H$102,5,FALSE)-VLOOKUP(zeta!$A24,main!$A$3:$H$102,6,FALSE),0)</f>
        <v>150</v>
      </c>
      <c r="BE24">
        <f>IF(gamma!BE24,VLOOKUP(zeta!BE$1,main!$A$3:$H$102,5,FALSE)-VLOOKUP(zeta!$A24,main!$A$3:$H$102,6,FALSE),0)</f>
        <v>270</v>
      </c>
      <c r="BF24">
        <f>IF(gamma!BF24,VLOOKUP(zeta!BF$1,main!$A$3:$H$102,5,FALSE)-VLOOKUP(zeta!$A24,main!$A$3:$H$102,6,FALSE),0)</f>
        <v>0</v>
      </c>
      <c r="BG24">
        <f>IF(gamma!BG24,VLOOKUP(zeta!BG$1,main!$A$3:$H$102,5,FALSE)-VLOOKUP(zeta!$A24,main!$A$3:$H$102,6,FALSE),0)</f>
        <v>0</v>
      </c>
      <c r="BH24">
        <f>IF(gamma!BH24,VLOOKUP(zeta!BH$1,main!$A$3:$H$102,5,FALSE)-VLOOKUP(zeta!$A24,main!$A$3:$H$102,6,FALSE),0)</f>
        <v>55</v>
      </c>
      <c r="BI24">
        <f>IF(gamma!BI24,VLOOKUP(zeta!BI$1,main!$A$3:$H$102,5,FALSE)-VLOOKUP(zeta!$A24,main!$A$3:$H$102,6,FALSE),0)</f>
        <v>440</v>
      </c>
      <c r="BJ24">
        <f>IF(gamma!BJ24,VLOOKUP(zeta!BJ$1,main!$A$3:$H$102,5,FALSE)-VLOOKUP(zeta!$A24,main!$A$3:$H$102,6,FALSE),0)</f>
        <v>230</v>
      </c>
      <c r="BK24">
        <f>IF(gamma!BK24,VLOOKUP(zeta!BK$1,main!$A$3:$H$102,5,FALSE)-VLOOKUP(zeta!$A24,main!$A$3:$H$102,6,FALSE),0)</f>
        <v>0</v>
      </c>
      <c r="BL24">
        <f>IF(gamma!BL24,VLOOKUP(zeta!BL$1,main!$A$3:$H$102,5,FALSE)-VLOOKUP(zeta!$A24,main!$A$3:$H$102,6,FALSE),0)</f>
        <v>0</v>
      </c>
      <c r="BM24">
        <f>IF(gamma!BM24,VLOOKUP(zeta!BM$1,main!$A$3:$H$102,5,FALSE)-VLOOKUP(zeta!$A24,main!$A$3:$H$102,6,FALSE),0)</f>
        <v>0</v>
      </c>
      <c r="BN24">
        <f>IF(gamma!BN24,VLOOKUP(zeta!BN$1,main!$A$3:$H$102,5,FALSE)-VLOOKUP(zeta!$A24,main!$A$3:$H$102,6,FALSE),0)</f>
        <v>130</v>
      </c>
      <c r="BO24">
        <f>IF(gamma!BO24,VLOOKUP(zeta!BO$1,main!$A$3:$H$102,5,FALSE)-VLOOKUP(zeta!$A24,main!$A$3:$H$102,6,FALSE),0)</f>
        <v>0</v>
      </c>
      <c r="BP24">
        <f>IF(gamma!BP24,VLOOKUP(zeta!BP$1,main!$A$3:$H$102,5,FALSE)-VLOOKUP(zeta!$A24,main!$A$3:$H$102,6,FALSE),0)</f>
        <v>0</v>
      </c>
      <c r="BQ24">
        <f>IF(gamma!BQ24,VLOOKUP(zeta!BQ$1,main!$A$3:$H$102,5,FALSE)-VLOOKUP(zeta!$A24,main!$A$3:$H$102,6,FALSE),0)</f>
        <v>0</v>
      </c>
      <c r="BR24">
        <f>IF(gamma!BR24,VLOOKUP(zeta!BR$1,main!$A$3:$H$102,5,FALSE)-VLOOKUP(zeta!$A24,main!$A$3:$H$102,6,FALSE),0)</f>
        <v>0</v>
      </c>
      <c r="BS24">
        <f>IF(gamma!BS24,VLOOKUP(zeta!BS$1,main!$A$3:$H$102,5,FALSE)-VLOOKUP(zeta!$A24,main!$A$3:$H$102,6,FALSE),0)</f>
        <v>0</v>
      </c>
      <c r="BT24">
        <f>IF(gamma!BT24,VLOOKUP(zeta!BT$1,main!$A$3:$H$102,5,FALSE)-VLOOKUP(zeta!$A24,main!$A$3:$H$102,6,FALSE),0)</f>
        <v>0</v>
      </c>
      <c r="BU24">
        <f>IF(gamma!BU24,VLOOKUP(zeta!BU$1,main!$A$3:$H$102,5,FALSE)-VLOOKUP(zeta!$A24,main!$A$3:$H$102,6,FALSE),0)</f>
        <v>0</v>
      </c>
      <c r="BV24">
        <f>IF(gamma!BV24,VLOOKUP(zeta!BV$1,main!$A$3:$H$102,5,FALSE)-VLOOKUP(zeta!$A24,main!$A$3:$H$102,6,FALSE),0)</f>
        <v>0</v>
      </c>
      <c r="BW24">
        <f>IF(gamma!BW24,VLOOKUP(zeta!BW$1,main!$A$3:$H$102,5,FALSE)-VLOOKUP(zeta!$A24,main!$A$3:$H$102,6,FALSE),0)</f>
        <v>0</v>
      </c>
      <c r="BX24">
        <f>IF(gamma!BX24,VLOOKUP(zeta!BX$1,main!$A$3:$H$102,5,FALSE)-VLOOKUP(zeta!$A24,main!$A$3:$H$102,6,FALSE),0)</f>
        <v>0</v>
      </c>
      <c r="BY24">
        <f>IF(gamma!BY24,VLOOKUP(zeta!BY$1,main!$A$3:$H$102,5,FALSE)-VLOOKUP(zeta!$A24,main!$A$3:$H$102,6,FALSE),0)</f>
        <v>80</v>
      </c>
      <c r="BZ24">
        <f>IF(gamma!BZ24,VLOOKUP(zeta!BZ$1,main!$A$3:$H$102,5,FALSE)-VLOOKUP(zeta!$A24,main!$A$3:$H$102,6,FALSE),0)</f>
        <v>0</v>
      </c>
      <c r="CA24">
        <f>IF(gamma!CA24,VLOOKUP(zeta!CA$1,main!$A$3:$H$102,5,FALSE)-VLOOKUP(zeta!$A24,main!$A$3:$H$102,6,FALSE),0)</f>
        <v>0</v>
      </c>
      <c r="CB24">
        <f>IF(gamma!CB24,VLOOKUP(zeta!CB$1,main!$A$3:$H$102,5,FALSE)-VLOOKUP(zeta!$A24,main!$A$3:$H$102,6,FALSE),0)</f>
        <v>135</v>
      </c>
      <c r="CC24">
        <f>IF(gamma!CC24,VLOOKUP(zeta!CC$1,main!$A$3:$H$102,5,FALSE)-VLOOKUP(zeta!$A24,main!$A$3:$H$102,6,FALSE),0)</f>
        <v>345</v>
      </c>
      <c r="CD24">
        <f>IF(gamma!CD24,VLOOKUP(zeta!CD$1,main!$A$3:$H$102,5,FALSE)-VLOOKUP(zeta!$A24,main!$A$3:$H$102,6,FALSE),0)</f>
        <v>80</v>
      </c>
      <c r="CE24">
        <f>IF(gamma!CE24,VLOOKUP(zeta!CE$1,main!$A$3:$H$102,5,FALSE)-VLOOKUP(zeta!$A24,main!$A$3:$H$102,6,FALSE),0)</f>
        <v>0</v>
      </c>
      <c r="CF24">
        <f>IF(gamma!CF24,VLOOKUP(zeta!CF$1,main!$A$3:$H$102,5,FALSE)-VLOOKUP(zeta!$A24,main!$A$3:$H$102,6,FALSE),0)</f>
        <v>0</v>
      </c>
      <c r="CG24">
        <f>IF(gamma!CG24,VLOOKUP(zeta!CG$1,main!$A$3:$H$102,5,FALSE)-VLOOKUP(zeta!$A24,main!$A$3:$H$102,6,FALSE),0)</f>
        <v>30</v>
      </c>
      <c r="CH24">
        <f>IF(gamma!CH24,VLOOKUP(zeta!CH$1,main!$A$3:$H$102,5,FALSE)-VLOOKUP(zeta!$A24,main!$A$3:$H$102,6,FALSE),0)</f>
        <v>230</v>
      </c>
      <c r="CI24">
        <f>IF(gamma!CI24,VLOOKUP(zeta!CI$1,main!$A$3:$H$102,5,FALSE)-VLOOKUP(zeta!$A24,main!$A$3:$H$102,6,FALSE),0)</f>
        <v>430</v>
      </c>
      <c r="CJ24">
        <f>IF(gamma!CJ24,VLOOKUP(zeta!CJ$1,main!$A$3:$H$102,5,FALSE)-VLOOKUP(zeta!$A24,main!$A$3:$H$102,6,FALSE),0)</f>
        <v>20</v>
      </c>
      <c r="CK24">
        <f>IF(gamma!CK24,VLOOKUP(zeta!CK$1,main!$A$3:$H$102,5,FALSE)-VLOOKUP(zeta!$A24,main!$A$3:$H$102,6,FALSE),0)</f>
        <v>0</v>
      </c>
      <c r="CL24">
        <f>IF(gamma!CL24,VLOOKUP(zeta!CL$1,main!$A$3:$H$102,5,FALSE)-VLOOKUP(zeta!$A24,main!$A$3:$H$102,6,FALSE),0)</f>
        <v>30</v>
      </c>
      <c r="CM24">
        <f>IF(gamma!CM24,VLOOKUP(zeta!CM$1,main!$A$3:$H$102,5,FALSE)-VLOOKUP(zeta!$A24,main!$A$3:$H$102,6,FALSE),0)</f>
        <v>206</v>
      </c>
      <c r="CN24">
        <f>IF(gamma!CN24,VLOOKUP(zeta!CN$1,main!$A$3:$H$102,5,FALSE)-VLOOKUP(zeta!$A24,main!$A$3:$H$102,6,FALSE),0)</f>
        <v>430</v>
      </c>
      <c r="CO24">
        <f>IF(gamma!CO24,VLOOKUP(zeta!CO$1,main!$A$3:$H$102,5,FALSE)-VLOOKUP(zeta!$A24,main!$A$3:$H$102,6,FALSE),0)</f>
        <v>0</v>
      </c>
      <c r="CP24">
        <f>IF(gamma!CP24,VLOOKUP(zeta!CP$1,main!$A$3:$H$102,5,FALSE)-VLOOKUP(zeta!$A24,main!$A$3:$H$102,6,FALSE),0)</f>
        <v>0</v>
      </c>
      <c r="CQ24">
        <f>IF(gamma!CQ24,VLOOKUP(zeta!CQ$1,main!$A$3:$H$102,5,FALSE)-VLOOKUP(zeta!$A24,main!$A$3:$H$102,6,FALSE),0)</f>
        <v>0</v>
      </c>
      <c r="CR24">
        <f>IF(gamma!CR24,VLOOKUP(zeta!CR$1,main!$A$3:$H$102,5,FALSE)-VLOOKUP(zeta!$A24,main!$A$3:$H$102,6,FALSE),0)</f>
        <v>195</v>
      </c>
      <c r="CS24">
        <f>IF(gamma!CS24,VLOOKUP(zeta!CS$1,main!$A$3:$H$102,5,FALSE)-VLOOKUP(zeta!$A24,main!$A$3:$H$102,6,FALSE),0)</f>
        <v>205</v>
      </c>
      <c r="CT24">
        <f>IF(gamma!CT24,VLOOKUP(zeta!CT$1,main!$A$3:$H$102,5,FALSE)-VLOOKUP(zeta!$A24,main!$A$3:$H$102,6,FALSE),0)</f>
        <v>0</v>
      </c>
      <c r="CU24">
        <f>IF(gamma!CU24,VLOOKUP(zeta!CU$1,main!$A$3:$H$102,5,FALSE)-VLOOKUP(zeta!$A24,main!$A$3:$H$102,6,FALSE),0)</f>
        <v>0</v>
      </c>
      <c r="CV24">
        <f>IF(gamma!CV24,VLOOKUP(zeta!CV$1,main!$A$3:$H$102,5,FALSE)-VLOOKUP(zeta!$A24,main!$A$3:$H$102,6,FALSE),0)</f>
        <v>0</v>
      </c>
      <c r="CW24">
        <f>IF(gamma!CW24,VLOOKUP(zeta!CW$1,main!$A$3:$H$102,5,FALSE)-VLOOKUP(zeta!$A24,main!$A$3:$H$102,6,FALSE),0)</f>
        <v>195</v>
      </c>
      <c r="CX24">
        <f>IF(gamma!CX24,VLOOKUP(zeta!CX$1,main!$A$3:$H$102,5,FALSE)-VLOOKUP(zeta!$A24,main!$A$3:$H$102,6,FALSE),0)</f>
        <v>235</v>
      </c>
    </row>
    <row r="25" spans="1:102" x14ac:dyDescent="0.25">
      <c r="A25">
        <f t="shared" si="0"/>
        <v>23</v>
      </c>
      <c r="B25">
        <v>0</v>
      </c>
      <c r="C25">
        <f>IF(gamma!C25,VLOOKUP(zeta!C$1,main!$A$3:$H$102,5,FALSE)-VLOOKUP(zeta!$A25,main!$A$3:$H$102,6,FALSE),0)</f>
        <v>0</v>
      </c>
      <c r="D25">
        <f>IF(gamma!D25,VLOOKUP(zeta!D$1,main!$A$3:$H$102,5,FALSE)-VLOOKUP(zeta!$A25,main!$A$3:$H$102,6,FALSE),0)</f>
        <v>0</v>
      </c>
      <c r="E25">
        <f>IF(gamma!E25,VLOOKUP(zeta!E$1,main!$A$3:$H$102,5,FALSE)-VLOOKUP(zeta!$A25,main!$A$3:$H$102,6,FALSE),0)</f>
        <v>0</v>
      </c>
      <c r="F25">
        <f>IF(gamma!F25,VLOOKUP(zeta!F$1,main!$A$3:$H$102,5,FALSE)-VLOOKUP(zeta!$A25,main!$A$3:$H$102,6,FALSE),0)</f>
        <v>0</v>
      </c>
      <c r="G25">
        <f>IF(gamma!G25,VLOOKUP(zeta!G$1,main!$A$3:$H$102,5,FALSE)-VLOOKUP(zeta!$A25,main!$A$3:$H$102,6,FALSE),0)</f>
        <v>0</v>
      </c>
      <c r="H25">
        <f>IF(gamma!H25,VLOOKUP(zeta!H$1,main!$A$3:$H$102,5,FALSE)-VLOOKUP(zeta!$A25,main!$A$3:$H$102,6,FALSE),0)</f>
        <v>0</v>
      </c>
      <c r="I25">
        <f>IF(gamma!I25,VLOOKUP(zeta!I$1,main!$A$3:$H$102,5,FALSE)-VLOOKUP(zeta!$A25,main!$A$3:$H$102,6,FALSE),0)</f>
        <v>55</v>
      </c>
      <c r="J25">
        <f>IF(gamma!J25,VLOOKUP(zeta!J$1,main!$A$3:$H$102,5,FALSE)-VLOOKUP(zeta!$A25,main!$A$3:$H$102,6,FALSE),0)</f>
        <v>115</v>
      </c>
      <c r="K25">
        <f>IF(gamma!K25,VLOOKUP(zeta!K$1,main!$A$3:$H$102,5,FALSE)-VLOOKUP(zeta!$A25,main!$A$3:$H$102,6,FALSE),0)</f>
        <v>175</v>
      </c>
      <c r="L25">
        <f>IF(gamma!L25,VLOOKUP(zeta!L$1,main!$A$3:$H$102,5,FALSE)-VLOOKUP(zeta!$A25,main!$A$3:$H$102,6,FALSE),0)</f>
        <v>265</v>
      </c>
      <c r="M25">
        <f>IF(gamma!M25,VLOOKUP(zeta!M$1,main!$A$3:$H$102,5,FALSE)-VLOOKUP(zeta!$A25,main!$A$3:$H$102,6,FALSE),0)</f>
        <v>0</v>
      </c>
      <c r="N25">
        <f>IF(gamma!N25,VLOOKUP(zeta!N$1,main!$A$3:$H$102,5,FALSE)-VLOOKUP(zeta!$A25,main!$A$3:$H$102,6,FALSE),0)</f>
        <v>0</v>
      </c>
      <c r="O25">
        <f>IF(gamma!O25,VLOOKUP(zeta!O$1,main!$A$3:$H$102,5,FALSE)-VLOOKUP(zeta!$A25,main!$A$3:$H$102,6,FALSE),0)</f>
        <v>0</v>
      </c>
      <c r="P25">
        <f>IF(gamma!P25,VLOOKUP(zeta!P$1,main!$A$3:$H$102,5,FALSE)-VLOOKUP(zeta!$A25,main!$A$3:$H$102,6,FALSE),0)</f>
        <v>0</v>
      </c>
      <c r="Q25">
        <f>IF(gamma!Q25,VLOOKUP(zeta!Q$1,main!$A$3:$H$102,5,FALSE)-VLOOKUP(zeta!$A25,main!$A$3:$H$102,6,FALSE),0)</f>
        <v>0</v>
      </c>
      <c r="R25">
        <f>IF(gamma!R25,VLOOKUP(zeta!R$1,main!$A$3:$H$102,5,FALSE)-VLOOKUP(zeta!$A25,main!$A$3:$H$102,6,FALSE),0)</f>
        <v>0</v>
      </c>
      <c r="S25">
        <f>IF(gamma!S25,VLOOKUP(zeta!S$1,main!$A$3:$H$102,5,FALSE)-VLOOKUP(zeta!$A25,main!$A$3:$H$102,6,FALSE),0)</f>
        <v>0</v>
      </c>
      <c r="T25">
        <f>IF(gamma!T25,VLOOKUP(zeta!T$1,main!$A$3:$H$102,5,FALSE)-VLOOKUP(zeta!$A25,main!$A$3:$H$102,6,FALSE),0)</f>
        <v>75</v>
      </c>
      <c r="U25">
        <f>IF(gamma!U25,VLOOKUP(zeta!U$1,main!$A$3:$H$102,5,FALSE)-VLOOKUP(zeta!$A25,main!$A$3:$H$102,6,FALSE),0)</f>
        <v>230</v>
      </c>
      <c r="V25">
        <f>IF(gamma!V25,VLOOKUP(zeta!V$1,main!$A$3:$H$102,5,FALSE)-VLOOKUP(zeta!$A25,main!$A$3:$H$102,6,FALSE),0)</f>
        <v>290</v>
      </c>
      <c r="W25">
        <f>IF(gamma!W25,VLOOKUP(zeta!W$1,main!$A$3:$H$102,5,FALSE)-VLOOKUP(zeta!$A25,main!$A$3:$H$102,6,FALSE),0)</f>
        <v>0</v>
      </c>
      <c r="X25">
        <f>IF(gamma!X25,VLOOKUP(zeta!X$1,main!$A$3:$H$102,5,FALSE)-VLOOKUP(zeta!$A25,main!$A$3:$H$102,6,FALSE),0)</f>
        <v>0</v>
      </c>
      <c r="Y25">
        <f>IF(gamma!Y25,VLOOKUP(zeta!Y$1,main!$A$3:$H$102,5,FALSE)-VLOOKUP(zeta!$A25,main!$A$3:$H$102,6,FALSE),0)</f>
        <v>0</v>
      </c>
      <c r="Z25">
        <f>IF(gamma!Z25,VLOOKUP(zeta!Z$1,main!$A$3:$H$102,5,FALSE)-VLOOKUP(zeta!$A25,main!$A$3:$H$102,6,FALSE),0)</f>
        <v>0</v>
      </c>
      <c r="AA25">
        <f>IF(gamma!AA25,VLOOKUP(zeta!AA$1,main!$A$3:$H$102,5,FALSE)-VLOOKUP(zeta!$A25,main!$A$3:$H$102,6,FALSE),0)</f>
        <v>195</v>
      </c>
      <c r="AB25">
        <f>IF(gamma!AB25,VLOOKUP(zeta!AB$1,main!$A$3:$H$102,5,FALSE)-VLOOKUP(zeta!$A25,main!$A$3:$H$102,6,FALSE),0)</f>
        <v>0</v>
      </c>
      <c r="AC25">
        <f>IF(gamma!AC25,VLOOKUP(zeta!AC$1,main!$A$3:$H$102,5,FALSE)-VLOOKUP(zeta!$A25,main!$A$3:$H$102,6,FALSE),0)</f>
        <v>0</v>
      </c>
      <c r="AD25">
        <f>IF(gamma!AD25,VLOOKUP(zeta!AD$1,main!$A$3:$H$102,5,FALSE)-VLOOKUP(zeta!$A25,main!$A$3:$H$102,6,FALSE),0)</f>
        <v>0</v>
      </c>
      <c r="AE25">
        <f>IF(gamma!AE25,VLOOKUP(zeta!AE$1,main!$A$3:$H$102,5,FALSE)-VLOOKUP(zeta!$A25,main!$A$3:$H$102,6,FALSE),0)</f>
        <v>0</v>
      </c>
      <c r="AF25">
        <f>IF(gamma!AF25,VLOOKUP(zeta!AF$1,main!$A$3:$H$102,5,FALSE)-VLOOKUP(zeta!$A25,main!$A$3:$H$102,6,FALSE),0)</f>
        <v>175</v>
      </c>
      <c r="AG25">
        <f>IF(gamma!AG25,VLOOKUP(zeta!AG$1,main!$A$3:$H$102,5,FALSE)-VLOOKUP(zeta!$A25,main!$A$3:$H$102,6,FALSE),0)</f>
        <v>0</v>
      </c>
      <c r="AH25">
        <f>IF(gamma!AH25,VLOOKUP(zeta!AH$1,main!$A$3:$H$102,5,FALSE)-VLOOKUP(zeta!$A25,main!$A$3:$H$102,6,FALSE),0)</f>
        <v>0</v>
      </c>
      <c r="AI25">
        <f>IF(gamma!AI25,VLOOKUP(zeta!AI$1,main!$A$3:$H$102,5,FALSE)-VLOOKUP(zeta!$A25,main!$A$3:$H$102,6,FALSE),0)</f>
        <v>0</v>
      </c>
      <c r="AJ25">
        <f>IF(gamma!AJ25,VLOOKUP(zeta!AJ$1,main!$A$3:$H$102,5,FALSE)-VLOOKUP(zeta!$A25,main!$A$3:$H$102,6,FALSE),0)</f>
        <v>0</v>
      </c>
      <c r="AK25">
        <f>IF(gamma!AK25,VLOOKUP(zeta!AK$1,main!$A$3:$H$102,5,FALSE)-VLOOKUP(zeta!$A25,main!$A$3:$H$102,6,FALSE),0)</f>
        <v>0</v>
      </c>
      <c r="AL25">
        <f>IF(gamma!AL25,VLOOKUP(zeta!AL$1,main!$A$3:$H$102,5,FALSE)-VLOOKUP(zeta!$A25,main!$A$3:$H$102,6,FALSE),0)</f>
        <v>65</v>
      </c>
      <c r="AM25">
        <f>IF(gamma!AM25,VLOOKUP(zeta!AM$1,main!$A$3:$H$102,5,FALSE)-VLOOKUP(zeta!$A25,main!$A$3:$H$102,6,FALSE),0)</f>
        <v>155</v>
      </c>
      <c r="AN25">
        <f>IF(gamma!AN25,VLOOKUP(zeta!AN$1,main!$A$3:$H$102,5,FALSE)-VLOOKUP(zeta!$A25,main!$A$3:$H$102,6,FALSE),0)</f>
        <v>215</v>
      </c>
      <c r="AO25">
        <f>IF(gamma!AO25,VLOOKUP(zeta!AO$1,main!$A$3:$H$102,5,FALSE)-VLOOKUP(zeta!$A25,main!$A$3:$H$102,6,FALSE),0)</f>
        <v>0</v>
      </c>
      <c r="AP25">
        <f>IF(gamma!AP25,VLOOKUP(zeta!AP$1,main!$A$3:$H$102,5,FALSE)-VLOOKUP(zeta!$A25,main!$A$3:$H$102,6,FALSE),0)</f>
        <v>275</v>
      </c>
      <c r="AQ25">
        <f>IF(gamma!AQ25,VLOOKUP(zeta!AQ$1,main!$A$3:$H$102,5,FALSE)-VLOOKUP(zeta!$A25,main!$A$3:$H$102,6,FALSE),0)</f>
        <v>0</v>
      </c>
      <c r="AR25">
        <f>IF(gamma!AR25,VLOOKUP(zeta!AR$1,main!$A$3:$H$102,5,FALSE)-VLOOKUP(zeta!$A25,main!$A$3:$H$102,6,FALSE),0)</f>
        <v>0</v>
      </c>
      <c r="AS25">
        <f>IF(gamma!AS25,VLOOKUP(zeta!AS$1,main!$A$3:$H$102,5,FALSE)-VLOOKUP(zeta!$A25,main!$A$3:$H$102,6,FALSE),0)</f>
        <v>0</v>
      </c>
      <c r="AT25">
        <f>IF(gamma!AT25,VLOOKUP(zeta!AT$1,main!$A$3:$H$102,5,FALSE)-VLOOKUP(zeta!$A25,main!$A$3:$H$102,6,FALSE),0)</f>
        <v>0</v>
      </c>
      <c r="AU25">
        <f>IF(gamma!AU25,VLOOKUP(zeta!AU$1,main!$A$3:$H$102,5,FALSE)-VLOOKUP(zeta!$A25,main!$A$3:$H$102,6,FALSE),0)</f>
        <v>0</v>
      </c>
      <c r="AV25">
        <f>IF(gamma!AV25,VLOOKUP(zeta!AV$1,main!$A$3:$H$102,5,FALSE)-VLOOKUP(zeta!$A25,main!$A$3:$H$102,6,FALSE),0)</f>
        <v>0</v>
      </c>
      <c r="AW25">
        <f>IF(gamma!AW25,VLOOKUP(zeta!AW$1,main!$A$3:$H$102,5,FALSE)-VLOOKUP(zeta!$A25,main!$A$3:$H$102,6,FALSE),0)</f>
        <v>0</v>
      </c>
      <c r="AX25">
        <f>IF(gamma!AX25,VLOOKUP(zeta!AX$1,main!$A$3:$H$102,5,FALSE)-VLOOKUP(zeta!$A25,main!$A$3:$H$102,6,FALSE),0)</f>
        <v>0</v>
      </c>
      <c r="AY25">
        <f>IF(gamma!AY25,VLOOKUP(zeta!AY$1,main!$A$3:$H$102,5,FALSE)-VLOOKUP(zeta!$A25,main!$A$3:$H$102,6,FALSE),0)</f>
        <v>0</v>
      </c>
      <c r="AZ25">
        <f>IF(gamma!AZ25,VLOOKUP(zeta!AZ$1,main!$A$3:$H$102,5,FALSE)-VLOOKUP(zeta!$A25,main!$A$3:$H$102,6,FALSE),0)</f>
        <v>0</v>
      </c>
      <c r="BA25">
        <f>IF(gamma!BA25,VLOOKUP(zeta!BA$1,main!$A$3:$H$102,5,FALSE)-VLOOKUP(zeta!$A25,main!$A$3:$H$102,6,FALSE),0)</f>
        <v>0</v>
      </c>
      <c r="BB25">
        <f>IF(gamma!BB25,VLOOKUP(zeta!BB$1,main!$A$3:$H$102,5,FALSE)-VLOOKUP(zeta!$A25,main!$A$3:$H$102,6,FALSE),0)</f>
        <v>0</v>
      </c>
      <c r="BC25">
        <f>IF(gamma!BC25,VLOOKUP(zeta!BC$1,main!$A$3:$H$102,5,FALSE)-VLOOKUP(zeta!$A25,main!$A$3:$H$102,6,FALSE),0)</f>
        <v>0</v>
      </c>
      <c r="BD25">
        <f>IF(gamma!BD25,VLOOKUP(zeta!BD$1,main!$A$3:$H$102,5,FALSE)-VLOOKUP(zeta!$A25,main!$A$3:$H$102,6,FALSE),0)</f>
        <v>0</v>
      </c>
      <c r="BE25">
        <f>IF(gamma!BE25,VLOOKUP(zeta!BE$1,main!$A$3:$H$102,5,FALSE)-VLOOKUP(zeta!$A25,main!$A$3:$H$102,6,FALSE),0)</f>
        <v>115</v>
      </c>
      <c r="BF25">
        <f>IF(gamma!BF25,VLOOKUP(zeta!BF$1,main!$A$3:$H$102,5,FALSE)-VLOOKUP(zeta!$A25,main!$A$3:$H$102,6,FALSE),0)</f>
        <v>0</v>
      </c>
      <c r="BG25">
        <f>IF(gamma!BG25,VLOOKUP(zeta!BG$1,main!$A$3:$H$102,5,FALSE)-VLOOKUP(zeta!$A25,main!$A$3:$H$102,6,FALSE),0)</f>
        <v>0</v>
      </c>
      <c r="BH25">
        <f>IF(gamma!BH25,VLOOKUP(zeta!BH$1,main!$A$3:$H$102,5,FALSE)-VLOOKUP(zeta!$A25,main!$A$3:$H$102,6,FALSE),0)</f>
        <v>0</v>
      </c>
      <c r="BI25">
        <f>IF(gamma!BI25,VLOOKUP(zeta!BI$1,main!$A$3:$H$102,5,FALSE)-VLOOKUP(zeta!$A25,main!$A$3:$H$102,6,FALSE),0)</f>
        <v>285</v>
      </c>
      <c r="BJ25">
        <f>IF(gamma!BJ25,VLOOKUP(zeta!BJ$1,main!$A$3:$H$102,5,FALSE)-VLOOKUP(zeta!$A25,main!$A$3:$H$102,6,FALSE),0)</f>
        <v>75</v>
      </c>
      <c r="BK25">
        <f>IF(gamma!BK25,VLOOKUP(zeta!BK$1,main!$A$3:$H$102,5,FALSE)-VLOOKUP(zeta!$A25,main!$A$3:$H$102,6,FALSE),0)</f>
        <v>0</v>
      </c>
      <c r="BL25">
        <f>IF(gamma!BL25,VLOOKUP(zeta!BL$1,main!$A$3:$H$102,5,FALSE)-VLOOKUP(zeta!$A25,main!$A$3:$H$102,6,FALSE),0)</f>
        <v>0</v>
      </c>
      <c r="BM25">
        <f>IF(gamma!BM25,VLOOKUP(zeta!BM$1,main!$A$3:$H$102,5,FALSE)-VLOOKUP(zeta!$A25,main!$A$3:$H$102,6,FALSE),0)</f>
        <v>0</v>
      </c>
      <c r="BN25">
        <f>IF(gamma!BN25,VLOOKUP(zeta!BN$1,main!$A$3:$H$102,5,FALSE)-VLOOKUP(zeta!$A25,main!$A$3:$H$102,6,FALSE),0)</f>
        <v>0</v>
      </c>
      <c r="BO25">
        <f>IF(gamma!BO25,VLOOKUP(zeta!BO$1,main!$A$3:$H$102,5,FALSE)-VLOOKUP(zeta!$A25,main!$A$3:$H$102,6,FALSE),0)</f>
        <v>0</v>
      </c>
      <c r="BP25">
        <f>IF(gamma!BP25,VLOOKUP(zeta!BP$1,main!$A$3:$H$102,5,FALSE)-VLOOKUP(zeta!$A25,main!$A$3:$H$102,6,FALSE),0)</f>
        <v>0</v>
      </c>
      <c r="BQ25">
        <f>IF(gamma!BQ25,VLOOKUP(zeta!BQ$1,main!$A$3:$H$102,5,FALSE)-VLOOKUP(zeta!$A25,main!$A$3:$H$102,6,FALSE),0)</f>
        <v>0</v>
      </c>
      <c r="BR25">
        <f>IF(gamma!BR25,VLOOKUP(zeta!BR$1,main!$A$3:$H$102,5,FALSE)-VLOOKUP(zeta!$A25,main!$A$3:$H$102,6,FALSE),0)</f>
        <v>0</v>
      </c>
      <c r="BS25">
        <f>IF(gamma!BS25,VLOOKUP(zeta!BS$1,main!$A$3:$H$102,5,FALSE)-VLOOKUP(zeta!$A25,main!$A$3:$H$102,6,FALSE),0)</f>
        <v>0</v>
      </c>
      <c r="BT25">
        <f>IF(gamma!BT25,VLOOKUP(zeta!BT$1,main!$A$3:$H$102,5,FALSE)-VLOOKUP(zeta!$A25,main!$A$3:$H$102,6,FALSE),0)</f>
        <v>0</v>
      </c>
      <c r="BU25">
        <f>IF(gamma!BU25,VLOOKUP(zeta!BU$1,main!$A$3:$H$102,5,FALSE)-VLOOKUP(zeta!$A25,main!$A$3:$H$102,6,FALSE),0)</f>
        <v>0</v>
      </c>
      <c r="BV25">
        <f>IF(gamma!BV25,VLOOKUP(zeta!BV$1,main!$A$3:$H$102,5,FALSE)-VLOOKUP(zeta!$A25,main!$A$3:$H$102,6,FALSE),0)</f>
        <v>0</v>
      </c>
      <c r="BW25">
        <f>IF(gamma!BW25,VLOOKUP(zeta!BW$1,main!$A$3:$H$102,5,FALSE)-VLOOKUP(zeta!$A25,main!$A$3:$H$102,6,FALSE),0)</f>
        <v>0</v>
      </c>
      <c r="BX25">
        <f>IF(gamma!BX25,VLOOKUP(zeta!BX$1,main!$A$3:$H$102,5,FALSE)-VLOOKUP(zeta!$A25,main!$A$3:$H$102,6,FALSE),0)</f>
        <v>0</v>
      </c>
      <c r="BY25">
        <f>IF(gamma!BY25,VLOOKUP(zeta!BY$1,main!$A$3:$H$102,5,FALSE)-VLOOKUP(zeta!$A25,main!$A$3:$H$102,6,FALSE),0)</f>
        <v>0</v>
      </c>
      <c r="BZ25">
        <f>IF(gamma!BZ25,VLOOKUP(zeta!BZ$1,main!$A$3:$H$102,5,FALSE)-VLOOKUP(zeta!$A25,main!$A$3:$H$102,6,FALSE),0)</f>
        <v>0</v>
      </c>
      <c r="CA25">
        <f>IF(gamma!CA25,VLOOKUP(zeta!CA$1,main!$A$3:$H$102,5,FALSE)-VLOOKUP(zeta!$A25,main!$A$3:$H$102,6,FALSE),0)</f>
        <v>0</v>
      </c>
      <c r="CB25">
        <f>IF(gamma!CB25,VLOOKUP(zeta!CB$1,main!$A$3:$H$102,5,FALSE)-VLOOKUP(zeta!$A25,main!$A$3:$H$102,6,FALSE),0)</f>
        <v>0</v>
      </c>
      <c r="CC25">
        <f>IF(gamma!CC25,VLOOKUP(zeta!CC$1,main!$A$3:$H$102,5,FALSE)-VLOOKUP(zeta!$A25,main!$A$3:$H$102,6,FALSE),0)</f>
        <v>190</v>
      </c>
      <c r="CD25">
        <f>IF(gamma!CD25,VLOOKUP(zeta!CD$1,main!$A$3:$H$102,5,FALSE)-VLOOKUP(zeta!$A25,main!$A$3:$H$102,6,FALSE),0)</f>
        <v>0</v>
      </c>
      <c r="CE25">
        <f>IF(gamma!CE25,VLOOKUP(zeta!CE$1,main!$A$3:$H$102,5,FALSE)-VLOOKUP(zeta!$A25,main!$A$3:$H$102,6,FALSE),0)</f>
        <v>0</v>
      </c>
      <c r="CF25">
        <f>IF(gamma!CF25,VLOOKUP(zeta!CF$1,main!$A$3:$H$102,5,FALSE)-VLOOKUP(zeta!$A25,main!$A$3:$H$102,6,FALSE),0)</f>
        <v>0</v>
      </c>
      <c r="CG25">
        <f>IF(gamma!CG25,VLOOKUP(zeta!CG$1,main!$A$3:$H$102,5,FALSE)-VLOOKUP(zeta!$A25,main!$A$3:$H$102,6,FALSE),0)</f>
        <v>0</v>
      </c>
      <c r="CH25">
        <f>IF(gamma!CH25,VLOOKUP(zeta!CH$1,main!$A$3:$H$102,5,FALSE)-VLOOKUP(zeta!$A25,main!$A$3:$H$102,6,FALSE),0)</f>
        <v>75</v>
      </c>
      <c r="CI25">
        <f>IF(gamma!CI25,VLOOKUP(zeta!CI$1,main!$A$3:$H$102,5,FALSE)-VLOOKUP(zeta!$A25,main!$A$3:$H$102,6,FALSE),0)</f>
        <v>275</v>
      </c>
      <c r="CJ25">
        <f>IF(gamma!CJ25,VLOOKUP(zeta!CJ$1,main!$A$3:$H$102,5,FALSE)-VLOOKUP(zeta!$A25,main!$A$3:$H$102,6,FALSE),0)</f>
        <v>0</v>
      </c>
      <c r="CK25">
        <f>IF(gamma!CK25,VLOOKUP(zeta!CK$1,main!$A$3:$H$102,5,FALSE)-VLOOKUP(zeta!$A25,main!$A$3:$H$102,6,FALSE),0)</f>
        <v>0</v>
      </c>
      <c r="CL25">
        <f>IF(gamma!CL25,VLOOKUP(zeta!CL$1,main!$A$3:$H$102,5,FALSE)-VLOOKUP(zeta!$A25,main!$A$3:$H$102,6,FALSE),0)</f>
        <v>0</v>
      </c>
      <c r="CM25">
        <f>IF(gamma!CM25,VLOOKUP(zeta!CM$1,main!$A$3:$H$102,5,FALSE)-VLOOKUP(zeta!$A25,main!$A$3:$H$102,6,FALSE),0)</f>
        <v>51</v>
      </c>
      <c r="CN25">
        <f>IF(gamma!CN25,VLOOKUP(zeta!CN$1,main!$A$3:$H$102,5,FALSE)-VLOOKUP(zeta!$A25,main!$A$3:$H$102,6,FALSE),0)</f>
        <v>275</v>
      </c>
      <c r="CO25">
        <f>IF(gamma!CO25,VLOOKUP(zeta!CO$1,main!$A$3:$H$102,5,FALSE)-VLOOKUP(zeta!$A25,main!$A$3:$H$102,6,FALSE),0)</f>
        <v>0</v>
      </c>
      <c r="CP25">
        <f>IF(gamma!CP25,VLOOKUP(zeta!CP$1,main!$A$3:$H$102,5,FALSE)-VLOOKUP(zeta!$A25,main!$A$3:$H$102,6,FALSE),0)</f>
        <v>0</v>
      </c>
      <c r="CQ25">
        <f>IF(gamma!CQ25,VLOOKUP(zeta!CQ$1,main!$A$3:$H$102,5,FALSE)-VLOOKUP(zeta!$A25,main!$A$3:$H$102,6,FALSE),0)</f>
        <v>0</v>
      </c>
      <c r="CR25">
        <f>IF(gamma!CR25,VLOOKUP(zeta!CR$1,main!$A$3:$H$102,5,FALSE)-VLOOKUP(zeta!$A25,main!$A$3:$H$102,6,FALSE),0)</f>
        <v>40</v>
      </c>
      <c r="CS25">
        <f>IF(gamma!CS25,VLOOKUP(zeta!CS$1,main!$A$3:$H$102,5,FALSE)-VLOOKUP(zeta!$A25,main!$A$3:$H$102,6,FALSE),0)</f>
        <v>50</v>
      </c>
      <c r="CT25">
        <f>IF(gamma!CT25,VLOOKUP(zeta!CT$1,main!$A$3:$H$102,5,FALSE)-VLOOKUP(zeta!$A25,main!$A$3:$H$102,6,FALSE),0)</f>
        <v>0</v>
      </c>
      <c r="CU25">
        <f>IF(gamma!CU25,VLOOKUP(zeta!CU$1,main!$A$3:$H$102,5,FALSE)-VLOOKUP(zeta!$A25,main!$A$3:$H$102,6,FALSE),0)</f>
        <v>0</v>
      </c>
      <c r="CV25">
        <f>IF(gamma!CV25,VLOOKUP(zeta!CV$1,main!$A$3:$H$102,5,FALSE)-VLOOKUP(zeta!$A25,main!$A$3:$H$102,6,FALSE),0)</f>
        <v>0</v>
      </c>
      <c r="CW25">
        <f>IF(gamma!CW25,VLOOKUP(zeta!CW$1,main!$A$3:$H$102,5,FALSE)-VLOOKUP(zeta!$A25,main!$A$3:$H$102,6,FALSE),0)</f>
        <v>40</v>
      </c>
      <c r="CX25">
        <f>IF(gamma!CX25,VLOOKUP(zeta!CX$1,main!$A$3:$H$102,5,FALSE)-VLOOKUP(zeta!$A25,main!$A$3:$H$102,6,FALSE),0)</f>
        <v>80</v>
      </c>
    </row>
    <row r="26" spans="1:102" x14ac:dyDescent="0.25">
      <c r="A26">
        <f t="shared" si="0"/>
        <v>24</v>
      </c>
      <c r="B26">
        <v>0</v>
      </c>
      <c r="C26">
        <f>IF(gamma!C26,VLOOKUP(zeta!C$1,main!$A$3:$H$102,5,FALSE)-VLOOKUP(zeta!$A26,main!$A$3:$H$102,6,FALSE),0)</f>
        <v>0</v>
      </c>
      <c r="D26">
        <f>IF(gamma!D26,VLOOKUP(zeta!D$1,main!$A$3:$H$102,5,FALSE)-VLOOKUP(zeta!$A26,main!$A$3:$H$102,6,FALSE),0)</f>
        <v>0</v>
      </c>
      <c r="E26">
        <f>IF(gamma!E26,VLOOKUP(zeta!E$1,main!$A$3:$H$102,5,FALSE)-VLOOKUP(zeta!$A26,main!$A$3:$H$102,6,FALSE),0)</f>
        <v>0</v>
      </c>
      <c r="F26">
        <f>IF(gamma!F26,VLOOKUP(zeta!F$1,main!$A$3:$H$102,5,FALSE)-VLOOKUP(zeta!$A26,main!$A$3:$H$102,6,FALSE),0)</f>
        <v>0</v>
      </c>
      <c r="G26">
        <f>IF(gamma!G26,VLOOKUP(zeta!G$1,main!$A$3:$H$102,5,FALSE)-VLOOKUP(zeta!$A26,main!$A$3:$H$102,6,FALSE),0)</f>
        <v>0</v>
      </c>
      <c r="H26">
        <f>IF(gamma!H26,VLOOKUP(zeta!H$1,main!$A$3:$H$102,5,FALSE)-VLOOKUP(zeta!$A26,main!$A$3:$H$102,6,FALSE),0)</f>
        <v>0</v>
      </c>
      <c r="I26">
        <f>IF(gamma!I26,VLOOKUP(zeta!I$1,main!$A$3:$H$102,5,FALSE)-VLOOKUP(zeta!$A26,main!$A$3:$H$102,6,FALSE),0)</f>
        <v>0</v>
      </c>
      <c r="J26">
        <f>IF(gamma!J26,VLOOKUP(zeta!J$1,main!$A$3:$H$102,5,FALSE)-VLOOKUP(zeta!$A26,main!$A$3:$H$102,6,FALSE),0)</f>
        <v>0</v>
      </c>
      <c r="K26">
        <f>IF(gamma!K26,VLOOKUP(zeta!K$1,main!$A$3:$H$102,5,FALSE)-VLOOKUP(zeta!$A26,main!$A$3:$H$102,6,FALSE),0)</f>
        <v>0</v>
      </c>
      <c r="L26">
        <f>IF(gamma!L26,VLOOKUP(zeta!L$1,main!$A$3:$H$102,5,FALSE)-VLOOKUP(zeta!$A26,main!$A$3:$H$102,6,FALSE),0)</f>
        <v>80</v>
      </c>
      <c r="M26">
        <f>IF(gamma!M26,VLOOKUP(zeta!M$1,main!$A$3:$H$102,5,FALSE)-VLOOKUP(zeta!$A26,main!$A$3:$H$102,6,FALSE),0)</f>
        <v>0</v>
      </c>
      <c r="N26">
        <f>IF(gamma!N26,VLOOKUP(zeta!N$1,main!$A$3:$H$102,5,FALSE)-VLOOKUP(zeta!$A26,main!$A$3:$H$102,6,FALSE),0)</f>
        <v>0</v>
      </c>
      <c r="O26">
        <f>IF(gamma!O26,VLOOKUP(zeta!O$1,main!$A$3:$H$102,5,FALSE)-VLOOKUP(zeta!$A26,main!$A$3:$H$102,6,FALSE),0)</f>
        <v>0</v>
      </c>
      <c r="P26">
        <f>IF(gamma!P26,VLOOKUP(zeta!P$1,main!$A$3:$H$102,5,FALSE)-VLOOKUP(zeta!$A26,main!$A$3:$H$102,6,FALSE),0)</f>
        <v>0</v>
      </c>
      <c r="Q26">
        <f>IF(gamma!Q26,VLOOKUP(zeta!Q$1,main!$A$3:$H$102,5,FALSE)-VLOOKUP(zeta!$A26,main!$A$3:$H$102,6,FALSE),0)</f>
        <v>0</v>
      </c>
      <c r="R26">
        <f>IF(gamma!R26,VLOOKUP(zeta!R$1,main!$A$3:$H$102,5,FALSE)-VLOOKUP(zeta!$A26,main!$A$3:$H$102,6,FALSE),0)</f>
        <v>0</v>
      </c>
      <c r="S26">
        <f>IF(gamma!S26,VLOOKUP(zeta!S$1,main!$A$3:$H$102,5,FALSE)-VLOOKUP(zeta!$A26,main!$A$3:$H$102,6,FALSE),0)</f>
        <v>0</v>
      </c>
      <c r="T26">
        <f>IF(gamma!T26,VLOOKUP(zeta!T$1,main!$A$3:$H$102,5,FALSE)-VLOOKUP(zeta!$A26,main!$A$3:$H$102,6,FALSE),0)</f>
        <v>0</v>
      </c>
      <c r="U26">
        <f>IF(gamma!U26,VLOOKUP(zeta!U$1,main!$A$3:$H$102,5,FALSE)-VLOOKUP(zeta!$A26,main!$A$3:$H$102,6,FALSE),0)</f>
        <v>0</v>
      </c>
      <c r="V26">
        <f>IF(gamma!V26,VLOOKUP(zeta!V$1,main!$A$3:$H$102,5,FALSE)-VLOOKUP(zeta!$A26,main!$A$3:$H$102,6,FALSE),0)</f>
        <v>105</v>
      </c>
      <c r="W26">
        <f>IF(gamma!W26,VLOOKUP(zeta!W$1,main!$A$3:$H$102,5,FALSE)-VLOOKUP(zeta!$A26,main!$A$3:$H$102,6,FALSE),0)</f>
        <v>0</v>
      </c>
      <c r="X26">
        <f>IF(gamma!X26,VLOOKUP(zeta!X$1,main!$A$3:$H$102,5,FALSE)-VLOOKUP(zeta!$A26,main!$A$3:$H$102,6,FALSE),0)</f>
        <v>0</v>
      </c>
      <c r="Y26">
        <f>IF(gamma!Y26,VLOOKUP(zeta!Y$1,main!$A$3:$H$102,5,FALSE)-VLOOKUP(zeta!$A26,main!$A$3:$H$102,6,FALSE),0)</f>
        <v>0</v>
      </c>
      <c r="Z26">
        <f>IF(gamma!Z26,VLOOKUP(zeta!Z$1,main!$A$3:$H$102,5,FALSE)-VLOOKUP(zeta!$A26,main!$A$3:$H$102,6,FALSE),0)</f>
        <v>0</v>
      </c>
      <c r="AA26">
        <f>IF(gamma!AA26,VLOOKUP(zeta!AA$1,main!$A$3:$H$102,5,FALSE)-VLOOKUP(zeta!$A26,main!$A$3:$H$102,6,FALSE),0)</f>
        <v>0</v>
      </c>
      <c r="AB26">
        <f>IF(gamma!AB26,VLOOKUP(zeta!AB$1,main!$A$3:$H$102,5,FALSE)-VLOOKUP(zeta!$A26,main!$A$3:$H$102,6,FALSE),0)</f>
        <v>0</v>
      </c>
      <c r="AC26">
        <f>IF(gamma!AC26,VLOOKUP(zeta!AC$1,main!$A$3:$H$102,5,FALSE)-VLOOKUP(zeta!$A26,main!$A$3:$H$102,6,FALSE),0)</f>
        <v>0</v>
      </c>
      <c r="AD26">
        <f>IF(gamma!AD26,VLOOKUP(zeta!AD$1,main!$A$3:$H$102,5,FALSE)-VLOOKUP(zeta!$A26,main!$A$3:$H$102,6,FALSE),0)</f>
        <v>0</v>
      </c>
      <c r="AE26">
        <f>IF(gamma!AE26,VLOOKUP(zeta!AE$1,main!$A$3:$H$102,5,FALSE)-VLOOKUP(zeta!$A26,main!$A$3:$H$102,6,FALSE),0)</f>
        <v>0</v>
      </c>
      <c r="AF26">
        <f>IF(gamma!AF26,VLOOKUP(zeta!AF$1,main!$A$3:$H$102,5,FALSE)-VLOOKUP(zeta!$A26,main!$A$3:$H$102,6,FALSE),0)</f>
        <v>0</v>
      </c>
      <c r="AG26">
        <f>IF(gamma!AG26,VLOOKUP(zeta!AG$1,main!$A$3:$H$102,5,FALSE)-VLOOKUP(zeta!$A26,main!$A$3:$H$102,6,FALSE),0)</f>
        <v>0</v>
      </c>
      <c r="AH26">
        <f>IF(gamma!AH26,VLOOKUP(zeta!AH$1,main!$A$3:$H$102,5,FALSE)-VLOOKUP(zeta!$A26,main!$A$3:$H$102,6,FALSE),0)</f>
        <v>0</v>
      </c>
      <c r="AI26">
        <f>IF(gamma!AI26,VLOOKUP(zeta!AI$1,main!$A$3:$H$102,5,FALSE)-VLOOKUP(zeta!$A26,main!$A$3:$H$102,6,FALSE),0)</f>
        <v>0</v>
      </c>
      <c r="AJ26">
        <f>IF(gamma!AJ26,VLOOKUP(zeta!AJ$1,main!$A$3:$H$102,5,FALSE)-VLOOKUP(zeta!$A26,main!$A$3:$H$102,6,FALSE),0)</f>
        <v>0</v>
      </c>
      <c r="AK26">
        <f>IF(gamma!AK26,VLOOKUP(zeta!AK$1,main!$A$3:$H$102,5,FALSE)-VLOOKUP(zeta!$A26,main!$A$3:$H$102,6,FALSE),0)</f>
        <v>0</v>
      </c>
      <c r="AL26">
        <f>IF(gamma!AL26,VLOOKUP(zeta!AL$1,main!$A$3:$H$102,5,FALSE)-VLOOKUP(zeta!$A26,main!$A$3:$H$102,6,FALSE),0)</f>
        <v>0</v>
      </c>
      <c r="AM26">
        <f>IF(gamma!AM26,VLOOKUP(zeta!AM$1,main!$A$3:$H$102,5,FALSE)-VLOOKUP(zeta!$A26,main!$A$3:$H$102,6,FALSE),0)</f>
        <v>0</v>
      </c>
      <c r="AN26">
        <f>IF(gamma!AN26,VLOOKUP(zeta!AN$1,main!$A$3:$H$102,5,FALSE)-VLOOKUP(zeta!$A26,main!$A$3:$H$102,6,FALSE),0)</f>
        <v>0</v>
      </c>
      <c r="AO26">
        <f>IF(gamma!AO26,VLOOKUP(zeta!AO$1,main!$A$3:$H$102,5,FALSE)-VLOOKUP(zeta!$A26,main!$A$3:$H$102,6,FALSE),0)</f>
        <v>0</v>
      </c>
      <c r="AP26">
        <f>IF(gamma!AP26,VLOOKUP(zeta!AP$1,main!$A$3:$H$102,5,FALSE)-VLOOKUP(zeta!$A26,main!$A$3:$H$102,6,FALSE),0)</f>
        <v>90</v>
      </c>
      <c r="AQ26">
        <f>IF(gamma!AQ26,VLOOKUP(zeta!AQ$1,main!$A$3:$H$102,5,FALSE)-VLOOKUP(zeta!$A26,main!$A$3:$H$102,6,FALSE),0)</f>
        <v>0</v>
      </c>
      <c r="AR26">
        <f>IF(gamma!AR26,VLOOKUP(zeta!AR$1,main!$A$3:$H$102,5,FALSE)-VLOOKUP(zeta!$A26,main!$A$3:$H$102,6,FALSE),0)</f>
        <v>0</v>
      </c>
      <c r="AS26">
        <f>IF(gamma!AS26,VLOOKUP(zeta!AS$1,main!$A$3:$H$102,5,FALSE)-VLOOKUP(zeta!$A26,main!$A$3:$H$102,6,FALSE),0)</f>
        <v>0</v>
      </c>
      <c r="AT26">
        <f>IF(gamma!AT26,VLOOKUP(zeta!AT$1,main!$A$3:$H$102,5,FALSE)-VLOOKUP(zeta!$A26,main!$A$3:$H$102,6,FALSE),0)</f>
        <v>0</v>
      </c>
      <c r="AU26">
        <f>IF(gamma!AU26,VLOOKUP(zeta!AU$1,main!$A$3:$H$102,5,FALSE)-VLOOKUP(zeta!$A26,main!$A$3:$H$102,6,FALSE),0)</f>
        <v>0</v>
      </c>
      <c r="AV26">
        <f>IF(gamma!AV26,VLOOKUP(zeta!AV$1,main!$A$3:$H$102,5,FALSE)-VLOOKUP(zeta!$A26,main!$A$3:$H$102,6,FALSE),0)</f>
        <v>0</v>
      </c>
      <c r="AW26">
        <f>IF(gamma!AW26,VLOOKUP(zeta!AW$1,main!$A$3:$H$102,5,FALSE)-VLOOKUP(zeta!$A26,main!$A$3:$H$102,6,FALSE),0)</f>
        <v>0</v>
      </c>
      <c r="AX26">
        <f>IF(gamma!AX26,VLOOKUP(zeta!AX$1,main!$A$3:$H$102,5,FALSE)-VLOOKUP(zeta!$A26,main!$A$3:$H$102,6,FALSE),0)</f>
        <v>0</v>
      </c>
      <c r="AY26">
        <f>IF(gamma!AY26,VLOOKUP(zeta!AY$1,main!$A$3:$H$102,5,FALSE)-VLOOKUP(zeta!$A26,main!$A$3:$H$102,6,FALSE),0)</f>
        <v>0</v>
      </c>
      <c r="AZ26">
        <f>IF(gamma!AZ26,VLOOKUP(zeta!AZ$1,main!$A$3:$H$102,5,FALSE)-VLOOKUP(zeta!$A26,main!$A$3:$H$102,6,FALSE),0)</f>
        <v>0</v>
      </c>
      <c r="BA26">
        <f>IF(gamma!BA26,VLOOKUP(zeta!BA$1,main!$A$3:$H$102,5,FALSE)-VLOOKUP(zeta!$A26,main!$A$3:$H$102,6,FALSE),0)</f>
        <v>0</v>
      </c>
      <c r="BB26">
        <f>IF(gamma!BB26,VLOOKUP(zeta!BB$1,main!$A$3:$H$102,5,FALSE)-VLOOKUP(zeta!$A26,main!$A$3:$H$102,6,FALSE),0)</f>
        <v>0</v>
      </c>
      <c r="BC26">
        <f>IF(gamma!BC26,VLOOKUP(zeta!BC$1,main!$A$3:$H$102,5,FALSE)-VLOOKUP(zeta!$A26,main!$A$3:$H$102,6,FALSE),0)</f>
        <v>0</v>
      </c>
      <c r="BD26">
        <f>IF(gamma!BD26,VLOOKUP(zeta!BD$1,main!$A$3:$H$102,5,FALSE)-VLOOKUP(zeta!$A26,main!$A$3:$H$102,6,FALSE),0)</f>
        <v>0</v>
      </c>
      <c r="BE26">
        <f>IF(gamma!BE26,VLOOKUP(zeta!BE$1,main!$A$3:$H$102,5,FALSE)-VLOOKUP(zeta!$A26,main!$A$3:$H$102,6,FALSE),0)</f>
        <v>0</v>
      </c>
      <c r="BF26">
        <f>IF(gamma!BF26,VLOOKUP(zeta!BF$1,main!$A$3:$H$102,5,FALSE)-VLOOKUP(zeta!$A26,main!$A$3:$H$102,6,FALSE),0)</f>
        <v>0</v>
      </c>
      <c r="BG26">
        <f>IF(gamma!BG26,VLOOKUP(zeta!BG$1,main!$A$3:$H$102,5,FALSE)-VLOOKUP(zeta!$A26,main!$A$3:$H$102,6,FALSE),0)</f>
        <v>0</v>
      </c>
      <c r="BH26">
        <f>IF(gamma!BH26,VLOOKUP(zeta!BH$1,main!$A$3:$H$102,5,FALSE)-VLOOKUP(zeta!$A26,main!$A$3:$H$102,6,FALSE),0)</f>
        <v>0</v>
      </c>
      <c r="BI26">
        <f>IF(gamma!BI26,VLOOKUP(zeta!BI$1,main!$A$3:$H$102,5,FALSE)-VLOOKUP(zeta!$A26,main!$A$3:$H$102,6,FALSE),0)</f>
        <v>100</v>
      </c>
      <c r="BJ26">
        <f>IF(gamma!BJ26,VLOOKUP(zeta!BJ$1,main!$A$3:$H$102,5,FALSE)-VLOOKUP(zeta!$A26,main!$A$3:$H$102,6,FALSE),0)</f>
        <v>0</v>
      </c>
      <c r="BK26">
        <f>IF(gamma!BK26,VLOOKUP(zeta!BK$1,main!$A$3:$H$102,5,FALSE)-VLOOKUP(zeta!$A26,main!$A$3:$H$102,6,FALSE),0)</f>
        <v>0</v>
      </c>
      <c r="BL26">
        <f>IF(gamma!BL26,VLOOKUP(zeta!BL$1,main!$A$3:$H$102,5,FALSE)-VLOOKUP(zeta!$A26,main!$A$3:$H$102,6,FALSE),0)</f>
        <v>0</v>
      </c>
      <c r="BM26">
        <f>IF(gamma!BM26,VLOOKUP(zeta!BM$1,main!$A$3:$H$102,5,FALSE)-VLOOKUP(zeta!$A26,main!$A$3:$H$102,6,FALSE),0)</f>
        <v>0</v>
      </c>
      <c r="BN26">
        <f>IF(gamma!BN26,VLOOKUP(zeta!BN$1,main!$A$3:$H$102,5,FALSE)-VLOOKUP(zeta!$A26,main!$A$3:$H$102,6,FALSE),0)</f>
        <v>0</v>
      </c>
      <c r="BO26">
        <f>IF(gamma!BO26,VLOOKUP(zeta!BO$1,main!$A$3:$H$102,5,FALSE)-VLOOKUP(zeta!$A26,main!$A$3:$H$102,6,FALSE),0)</f>
        <v>0</v>
      </c>
      <c r="BP26">
        <f>IF(gamma!BP26,VLOOKUP(zeta!BP$1,main!$A$3:$H$102,5,FALSE)-VLOOKUP(zeta!$A26,main!$A$3:$H$102,6,FALSE),0)</f>
        <v>0</v>
      </c>
      <c r="BQ26">
        <f>IF(gamma!BQ26,VLOOKUP(zeta!BQ$1,main!$A$3:$H$102,5,FALSE)-VLOOKUP(zeta!$A26,main!$A$3:$H$102,6,FALSE),0)</f>
        <v>0</v>
      </c>
      <c r="BR26">
        <f>IF(gamma!BR26,VLOOKUP(zeta!BR$1,main!$A$3:$H$102,5,FALSE)-VLOOKUP(zeta!$A26,main!$A$3:$H$102,6,FALSE),0)</f>
        <v>0</v>
      </c>
      <c r="BS26">
        <f>IF(gamma!BS26,VLOOKUP(zeta!BS$1,main!$A$3:$H$102,5,FALSE)-VLOOKUP(zeta!$A26,main!$A$3:$H$102,6,FALSE),0)</f>
        <v>0</v>
      </c>
      <c r="BT26">
        <f>IF(gamma!BT26,VLOOKUP(zeta!BT$1,main!$A$3:$H$102,5,FALSE)-VLOOKUP(zeta!$A26,main!$A$3:$H$102,6,FALSE),0)</f>
        <v>0</v>
      </c>
      <c r="BU26">
        <f>IF(gamma!BU26,VLOOKUP(zeta!BU$1,main!$A$3:$H$102,5,FALSE)-VLOOKUP(zeta!$A26,main!$A$3:$H$102,6,FALSE),0)</f>
        <v>0</v>
      </c>
      <c r="BV26">
        <f>IF(gamma!BV26,VLOOKUP(zeta!BV$1,main!$A$3:$H$102,5,FALSE)-VLOOKUP(zeta!$A26,main!$A$3:$H$102,6,FALSE),0)</f>
        <v>0</v>
      </c>
      <c r="BW26">
        <f>IF(gamma!BW26,VLOOKUP(zeta!BW$1,main!$A$3:$H$102,5,FALSE)-VLOOKUP(zeta!$A26,main!$A$3:$H$102,6,FALSE),0)</f>
        <v>0</v>
      </c>
      <c r="BX26">
        <f>IF(gamma!BX26,VLOOKUP(zeta!BX$1,main!$A$3:$H$102,5,FALSE)-VLOOKUP(zeta!$A26,main!$A$3:$H$102,6,FALSE),0)</f>
        <v>0</v>
      </c>
      <c r="BY26">
        <f>IF(gamma!BY26,VLOOKUP(zeta!BY$1,main!$A$3:$H$102,5,FALSE)-VLOOKUP(zeta!$A26,main!$A$3:$H$102,6,FALSE),0)</f>
        <v>0</v>
      </c>
      <c r="BZ26">
        <f>IF(gamma!BZ26,VLOOKUP(zeta!BZ$1,main!$A$3:$H$102,5,FALSE)-VLOOKUP(zeta!$A26,main!$A$3:$H$102,6,FALSE),0)</f>
        <v>0</v>
      </c>
      <c r="CA26">
        <f>IF(gamma!CA26,VLOOKUP(zeta!CA$1,main!$A$3:$H$102,5,FALSE)-VLOOKUP(zeta!$A26,main!$A$3:$H$102,6,FALSE),0)</f>
        <v>0</v>
      </c>
      <c r="CB26">
        <f>IF(gamma!CB26,VLOOKUP(zeta!CB$1,main!$A$3:$H$102,5,FALSE)-VLOOKUP(zeta!$A26,main!$A$3:$H$102,6,FALSE),0)</f>
        <v>0</v>
      </c>
      <c r="CC26">
        <f>IF(gamma!CC26,VLOOKUP(zeta!CC$1,main!$A$3:$H$102,5,FALSE)-VLOOKUP(zeta!$A26,main!$A$3:$H$102,6,FALSE),0)</f>
        <v>0</v>
      </c>
      <c r="CD26">
        <f>IF(gamma!CD26,VLOOKUP(zeta!CD$1,main!$A$3:$H$102,5,FALSE)-VLOOKUP(zeta!$A26,main!$A$3:$H$102,6,FALSE),0)</f>
        <v>0</v>
      </c>
      <c r="CE26">
        <f>IF(gamma!CE26,VLOOKUP(zeta!CE$1,main!$A$3:$H$102,5,FALSE)-VLOOKUP(zeta!$A26,main!$A$3:$H$102,6,FALSE),0)</f>
        <v>0</v>
      </c>
      <c r="CF26">
        <f>IF(gamma!CF26,VLOOKUP(zeta!CF$1,main!$A$3:$H$102,5,FALSE)-VLOOKUP(zeta!$A26,main!$A$3:$H$102,6,FALSE),0)</f>
        <v>0</v>
      </c>
      <c r="CG26">
        <f>IF(gamma!CG26,VLOOKUP(zeta!CG$1,main!$A$3:$H$102,5,FALSE)-VLOOKUP(zeta!$A26,main!$A$3:$H$102,6,FALSE),0)</f>
        <v>0</v>
      </c>
      <c r="CH26">
        <f>IF(gamma!CH26,VLOOKUP(zeta!CH$1,main!$A$3:$H$102,5,FALSE)-VLOOKUP(zeta!$A26,main!$A$3:$H$102,6,FALSE),0)</f>
        <v>0</v>
      </c>
      <c r="CI26">
        <f>IF(gamma!CI26,VLOOKUP(zeta!CI$1,main!$A$3:$H$102,5,FALSE)-VLOOKUP(zeta!$A26,main!$A$3:$H$102,6,FALSE),0)</f>
        <v>90</v>
      </c>
      <c r="CJ26">
        <f>IF(gamma!CJ26,VLOOKUP(zeta!CJ$1,main!$A$3:$H$102,5,FALSE)-VLOOKUP(zeta!$A26,main!$A$3:$H$102,6,FALSE),0)</f>
        <v>0</v>
      </c>
      <c r="CK26">
        <f>IF(gamma!CK26,VLOOKUP(zeta!CK$1,main!$A$3:$H$102,5,FALSE)-VLOOKUP(zeta!$A26,main!$A$3:$H$102,6,FALSE),0)</f>
        <v>0</v>
      </c>
      <c r="CL26">
        <f>IF(gamma!CL26,VLOOKUP(zeta!CL$1,main!$A$3:$H$102,5,FALSE)-VLOOKUP(zeta!$A26,main!$A$3:$H$102,6,FALSE),0)</f>
        <v>0</v>
      </c>
      <c r="CM26">
        <f>IF(gamma!CM26,VLOOKUP(zeta!CM$1,main!$A$3:$H$102,5,FALSE)-VLOOKUP(zeta!$A26,main!$A$3:$H$102,6,FALSE),0)</f>
        <v>0</v>
      </c>
      <c r="CN26">
        <f>IF(gamma!CN26,VLOOKUP(zeta!CN$1,main!$A$3:$H$102,5,FALSE)-VLOOKUP(zeta!$A26,main!$A$3:$H$102,6,FALSE),0)</f>
        <v>90</v>
      </c>
      <c r="CO26">
        <f>IF(gamma!CO26,VLOOKUP(zeta!CO$1,main!$A$3:$H$102,5,FALSE)-VLOOKUP(zeta!$A26,main!$A$3:$H$102,6,FALSE),0)</f>
        <v>0</v>
      </c>
      <c r="CP26">
        <f>IF(gamma!CP26,VLOOKUP(zeta!CP$1,main!$A$3:$H$102,5,FALSE)-VLOOKUP(zeta!$A26,main!$A$3:$H$102,6,FALSE),0)</f>
        <v>0</v>
      </c>
      <c r="CQ26">
        <f>IF(gamma!CQ26,VLOOKUP(zeta!CQ$1,main!$A$3:$H$102,5,FALSE)-VLOOKUP(zeta!$A26,main!$A$3:$H$102,6,FALSE),0)</f>
        <v>0</v>
      </c>
      <c r="CR26">
        <f>IF(gamma!CR26,VLOOKUP(zeta!CR$1,main!$A$3:$H$102,5,FALSE)-VLOOKUP(zeta!$A26,main!$A$3:$H$102,6,FALSE),0)</f>
        <v>0</v>
      </c>
      <c r="CS26">
        <f>IF(gamma!CS26,VLOOKUP(zeta!CS$1,main!$A$3:$H$102,5,FALSE)-VLOOKUP(zeta!$A26,main!$A$3:$H$102,6,FALSE),0)</f>
        <v>0</v>
      </c>
      <c r="CT26">
        <f>IF(gamma!CT26,VLOOKUP(zeta!CT$1,main!$A$3:$H$102,5,FALSE)-VLOOKUP(zeta!$A26,main!$A$3:$H$102,6,FALSE),0)</f>
        <v>0</v>
      </c>
      <c r="CU26">
        <f>IF(gamma!CU26,VLOOKUP(zeta!CU$1,main!$A$3:$H$102,5,FALSE)-VLOOKUP(zeta!$A26,main!$A$3:$H$102,6,FALSE),0)</f>
        <v>0</v>
      </c>
      <c r="CV26">
        <f>IF(gamma!CV26,VLOOKUP(zeta!CV$1,main!$A$3:$H$102,5,FALSE)-VLOOKUP(zeta!$A26,main!$A$3:$H$102,6,FALSE),0)</f>
        <v>0</v>
      </c>
      <c r="CW26">
        <f>IF(gamma!CW26,VLOOKUP(zeta!CW$1,main!$A$3:$H$102,5,FALSE)-VLOOKUP(zeta!$A26,main!$A$3:$H$102,6,FALSE),0)</f>
        <v>0</v>
      </c>
      <c r="CX26">
        <f>IF(gamma!CX26,VLOOKUP(zeta!CX$1,main!$A$3:$H$102,5,FALSE)-VLOOKUP(zeta!$A26,main!$A$3:$H$102,6,FALSE),0)</f>
        <v>0</v>
      </c>
    </row>
    <row r="27" spans="1:102" x14ac:dyDescent="0.25">
      <c r="A27">
        <f t="shared" si="0"/>
        <v>25</v>
      </c>
      <c r="B27">
        <v>0</v>
      </c>
      <c r="C27">
        <f>IF(gamma!C27,VLOOKUP(zeta!C$1,main!$A$3:$H$102,5,FALSE)-VLOOKUP(zeta!$A27,main!$A$3:$H$102,6,FALSE),0)</f>
        <v>0</v>
      </c>
      <c r="D27">
        <f>IF(gamma!D27,VLOOKUP(zeta!D$1,main!$A$3:$H$102,5,FALSE)-VLOOKUP(zeta!$A27,main!$A$3:$H$102,6,FALSE),0)</f>
        <v>0</v>
      </c>
      <c r="E27">
        <f>IF(gamma!E27,VLOOKUP(zeta!E$1,main!$A$3:$H$102,5,FALSE)-VLOOKUP(zeta!$A27,main!$A$3:$H$102,6,FALSE),0)</f>
        <v>0</v>
      </c>
      <c r="F27">
        <f>IF(gamma!F27,VLOOKUP(zeta!F$1,main!$A$3:$H$102,5,FALSE)-VLOOKUP(zeta!$A27,main!$A$3:$H$102,6,FALSE),0)</f>
        <v>0</v>
      </c>
      <c r="G27">
        <f>IF(gamma!G27,VLOOKUP(zeta!G$1,main!$A$3:$H$102,5,FALSE)-VLOOKUP(zeta!$A27,main!$A$3:$H$102,6,FALSE),0)</f>
        <v>0</v>
      </c>
      <c r="H27">
        <f>IF(gamma!H27,VLOOKUP(zeta!H$1,main!$A$3:$H$102,5,FALSE)-VLOOKUP(zeta!$A27,main!$A$3:$H$102,6,FALSE),0)</f>
        <v>0</v>
      </c>
      <c r="I27">
        <f>IF(gamma!I27,VLOOKUP(zeta!I$1,main!$A$3:$H$102,5,FALSE)-VLOOKUP(zeta!$A27,main!$A$3:$H$102,6,FALSE),0)</f>
        <v>0</v>
      </c>
      <c r="J27">
        <f>IF(gamma!J27,VLOOKUP(zeta!J$1,main!$A$3:$H$102,5,FALSE)-VLOOKUP(zeta!$A27,main!$A$3:$H$102,6,FALSE),0)</f>
        <v>0</v>
      </c>
      <c r="K27">
        <f>IF(gamma!K27,VLOOKUP(zeta!K$1,main!$A$3:$H$102,5,FALSE)-VLOOKUP(zeta!$A27,main!$A$3:$H$102,6,FALSE),0)</f>
        <v>0</v>
      </c>
      <c r="L27">
        <f>IF(gamma!L27,VLOOKUP(zeta!L$1,main!$A$3:$H$102,5,FALSE)-VLOOKUP(zeta!$A27,main!$A$3:$H$102,6,FALSE),0)</f>
        <v>0</v>
      </c>
      <c r="M27">
        <f>IF(gamma!M27,VLOOKUP(zeta!M$1,main!$A$3:$H$102,5,FALSE)-VLOOKUP(zeta!$A27,main!$A$3:$H$102,6,FALSE),0)</f>
        <v>0</v>
      </c>
      <c r="N27">
        <f>IF(gamma!N27,VLOOKUP(zeta!N$1,main!$A$3:$H$102,5,FALSE)-VLOOKUP(zeta!$A27,main!$A$3:$H$102,6,FALSE),0)</f>
        <v>0</v>
      </c>
      <c r="O27">
        <f>IF(gamma!O27,VLOOKUP(zeta!O$1,main!$A$3:$H$102,5,FALSE)-VLOOKUP(zeta!$A27,main!$A$3:$H$102,6,FALSE),0)</f>
        <v>0</v>
      </c>
      <c r="P27">
        <f>IF(gamma!P27,VLOOKUP(zeta!P$1,main!$A$3:$H$102,5,FALSE)-VLOOKUP(zeta!$A27,main!$A$3:$H$102,6,FALSE),0)</f>
        <v>0</v>
      </c>
      <c r="Q27">
        <f>IF(gamma!Q27,VLOOKUP(zeta!Q$1,main!$A$3:$H$102,5,FALSE)-VLOOKUP(zeta!$A27,main!$A$3:$H$102,6,FALSE),0)</f>
        <v>0</v>
      </c>
      <c r="R27">
        <f>IF(gamma!R27,VLOOKUP(zeta!R$1,main!$A$3:$H$102,5,FALSE)-VLOOKUP(zeta!$A27,main!$A$3:$H$102,6,FALSE),0)</f>
        <v>0</v>
      </c>
      <c r="S27">
        <f>IF(gamma!S27,VLOOKUP(zeta!S$1,main!$A$3:$H$102,5,FALSE)-VLOOKUP(zeta!$A27,main!$A$3:$H$102,6,FALSE),0)</f>
        <v>0</v>
      </c>
      <c r="T27">
        <f>IF(gamma!T27,VLOOKUP(zeta!T$1,main!$A$3:$H$102,5,FALSE)-VLOOKUP(zeta!$A27,main!$A$3:$H$102,6,FALSE),0)</f>
        <v>0</v>
      </c>
      <c r="U27">
        <f>IF(gamma!U27,VLOOKUP(zeta!U$1,main!$A$3:$H$102,5,FALSE)-VLOOKUP(zeta!$A27,main!$A$3:$H$102,6,FALSE),0)</f>
        <v>0</v>
      </c>
      <c r="V27">
        <f>IF(gamma!V27,VLOOKUP(zeta!V$1,main!$A$3:$H$102,5,FALSE)-VLOOKUP(zeta!$A27,main!$A$3:$H$102,6,FALSE),0)</f>
        <v>0</v>
      </c>
      <c r="W27">
        <f>IF(gamma!W27,VLOOKUP(zeta!W$1,main!$A$3:$H$102,5,FALSE)-VLOOKUP(zeta!$A27,main!$A$3:$H$102,6,FALSE),0)</f>
        <v>0</v>
      </c>
      <c r="X27">
        <f>IF(gamma!X27,VLOOKUP(zeta!X$1,main!$A$3:$H$102,5,FALSE)-VLOOKUP(zeta!$A27,main!$A$3:$H$102,6,FALSE),0)</f>
        <v>0</v>
      </c>
      <c r="Y27">
        <f>IF(gamma!Y27,VLOOKUP(zeta!Y$1,main!$A$3:$H$102,5,FALSE)-VLOOKUP(zeta!$A27,main!$A$3:$H$102,6,FALSE),0)</f>
        <v>0</v>
      </c>
      <c r="Z27">
        <f>IF(gamma!Z27,VLOOKUP(zeta!Z$1,main!$A$3:$H$102,5,FALSE)-VLOOKUP(zeta!$A27,main!$A$3:$H$102,6,FALSE),0)</f>
        <v>0</v>
      </c>
      <c r="AA27">
        <f>IF(gamma!AA27,VLOOKUP(zeta!AA$1,main!$A$3:$H$102,5,FALSE)-VLOOKUP(zeta!$A27,main!$A$3:$H$102,6,FALSE),0)</f>
        <v>0</v>
      </c>
      <c r="AB27">
        <f>IF(gamma!AB27,VLOOKUP(zeta!AB$1,main!$A$3:$H$102,5,FALSE)-VLOOKUP(zeta!$A27,main!$A$3:$H$102,6,FALSE),0)</f>
        <v>0</v>
      </c>
      <c r="AC27">
        <f>IF(gamma!AC27,VLOOKUP(zeta!AC$1,main!$A$3:$H$102,5,FALSE)-VLOOKUP(zeta!$A27,main!$A$3:$H$102,6,FALSE),0)</f>
        <v>0</v>
      </c>
      <c r="AD27">
        <f>IF(gamma!AD27,VLOOKUP(zeta!AD$1,main!$A$3:$H$102,5,FALSE)-VLOOKUP(zeta!$A27,main!$A$3:$H$102,6,FALSE),0)</f>
        <v>0</v>
      </c>
      <c r="AE27">
        <f>IF(gamma!AE27,VLOOKUP(zeta!AE$1,main!$A$3:$H$102,5,FALSE)-VLOOKUP(zeta!$A27,main!$A$3:$H$102,6,FALSE),0)</f>
        <v>0</v>
      </c>
      <c r="AF27">
        <f>IF(gamma!AF27,VLOOKUP(zeta!AF$1,main!$A$3:$H$102,5,FALSE)-VLOOKUP(zeta!$A27,main!$A$3:$H$102,6,FALSE),0)</f>
        <v>0</v>
      </c>
      <c r="AG27">
        <f>IF(gamma!AG27,VLOOKUP(zeta!AG$1,main!$A$3:$H$102,5,FALSE)-VLOOKUP(zeta!$A27,main!$A$3:$H$102,6,FALSE),0)</f>
        <v>0</v>
      </c>
      <c r="AH27">
        <f>IF(gamma!AH27,VLOOKUP(zeta!AH$1,main!$A$3:$H$102,5,FALSE)-VLOOKUP(zeta!$A27,main!$A$3:$H$102,6,FALSE),0)</f>
        <v>0</v>
      </c>
      <c r="AI27">
        <f>IF(gamma!AI27,VLOOKUP(zeta!AI$1,main!$A$3:$H$102,5,FALSE)-VLOOKUP(zeta!$A27,main!$A$3:$H$102,6,FALSE),0)</f>
        <v>0</v>
      </c>
      <c r="AJ27">
        <f>IF(gamma!AJ27,VLOOKUP(zeta!AJ$1,main!$A$3:$H$102,5,FALSE)-VLOOKUP(zeta!$A27,main!$A$3:$H$102,6,FALSE),0)</f>
        <v>0</v>
      </c>
      <c r="AK27">
        <f>IF(gamma!AK27,VLOOKUP(zeta!AK$1,main!$A$3:$H$102,5,FALSE)-VLOOKUP(zeta!$A27,main!$A$3:$H$102,6,FALSE),0)</f>
        <v>0</v>
      </c>
      <c r="AL27">
        <f>IF(gamma!AL27,VLOOKUP(zeta!AL$1,main!$A$3:$H$102,5,FALSE)-VLOOKUP(zeta!$A27,main!$A$3:$H$102,6,FALSE),0)</f>
        <v>0</v>
      </c>
      <c r="AM27">
        <f>IF(gamma!AM27,VLOOKUP(zeta!AM$1,main!$A$3:$H$102,5,FALSE)-VLOOKUP(zeta!$A27,main!$A$3:$H$102,6,FALSE),0)</f>
        <v>0</v>
      </c>
      <c r="AN27">
        <f>IF(gamma!AN27,VLOOKUP(zeta!AN$1,main!$A$3:$H$102,5,FALSE)-VLOOKUP(zeta!$A27,main!$A$3:$H$102,6,FALSE),0)</f>
        <v>0</v>
      </c>
      <c r="AO27">
        <f>IF(gamma!AO27,VLOOKUP(zeta!AO$1,main!$A$3:$H$102,5,FALSE)-VLOOKUP(zeta!$A27,main!$A$3:$H$102,6,FALSE),0)</f>
        <v>0</v>
      </c>
      <c r="AP27">
        <f>IF(gamma!AP27,VLOOKUP(zeta!AP$1,main!$A$3:$H$102,5,FALSE)-VLOOKUP(zeta!$A27,main!$A$3:$H$102,6,FALSE),0)</f>
        <v>0</v>
      </c>
      <c r="AQ27">
        <f>IF(gamma!AQ27,VLOOKUP(zeta!AQ$1,main!$A$3:$H$102,5,FALSE)-VLOOKUP(zeta!$A27,main!$A$3:$H$102,6,FALSE),0)</f>
        <v>0</v>
      </c>
      <c r="AR27">
        <f>IF(gamma!AR27,VLOOKUP(zeta!AR$1,main!$A$3:$H$102,5,FALSE)-VLOOKUP(zeta!$A27,main!$A$3:$H$102,6,FALSE),0)</f>
        <v>0</v>
      </c>
      <c r="AS27">
        <f>IF(gamma!AS27,VLOOKUP(zeta!AS$1,main!$A$3:$H$102,5,FALSE)-VLOOKUP(zeta!$A27,main!$A$3:$H$102,6,FALSE),0)</f>
        <v>0</v>
      </c>
      <c r="AT27">
        <f>IF(gamma!AT27,VLOOKUP(zeta!AT$1,main!$A$3:$H$102,5,FALSE)-VLOOKUP(zeta!$A27,main!$A$3:$H$102,6,FALSE),0)</f>
        <v>0</v>
      </c>
      <c r="AU27">
        <f>IF(gamma!AU27,VLOOKUP(zeta!AU$1,main!$A$3:$H$102,5,FALSE)-VLOOKUP(zeta!$A27,main!$A$3:$H$102,6,FALSE),0)</f>
        <v>0</v>
      </c>
      <c r="AV27">
        <f>IF(gamma!AV27,VLOOKUP(zeta!AV$1,main!$A$3:$H$102,5,FALSE)-VLOOKUP(zeta!$A27,main!$A$3:$H$102,6,FALSE),0)</f>
        <v>0</v>
      </c>
      <c r="AW27">
        <f>IF(gamma!AW27,VLOOKUP(zeta!AW$1,main!$A$3:$H$102,5,FALSE)-VLOOKUP(zeta!$A27,main!$A$3:$H$102,6,FALSE),0)</f>
        <v>0</v>
      </c>
      <c r="AX27">
        <f>IF(gamma!AX27,VLOOKUP(zeta!AX$1,main!$A$3:$H$102,5,FALSE)-VLOOKUP(zeta!$A27,main!$A$3:$H$102,6,FALSE),0)</f>
        <v>0</v>
      </c>
      <c r="AY27">
        <f>IF(gamma!AY27,VLOOKUP(zeta!AY$1,main!$A$3:$H$102,5,FALSE)-VLOOKUP(zeta!$A27,main!$A$3:$H$102,6,FALSE),0)</f>
        <v>0</v>
      </c>
      <c r="AZ27">
        <f>IF(gamma!AZ27,VLOOKUP(zeta!AZ$1,main!$A$3:$H$102,5,FALSE)-VLOOKUP(zeta!$A27,main!$A$3:$H$102,6,FALSE),0)</f>
        <v>0</v>
      </c>
      <c r="BA27">
        <f>IF(gamma!BA27,VLOOKUP(zeta!BA$1,main!$A$3:$H$102,5,FALSE)-VLOOKUP(zeta!$A27,main!$A$3:$H$102,6,FALSE),0)</f>
        <v>0</v>
      </c>
      <c r="BB27">
        <f>IF(gamma!BB27,VLOOKUP(zeta!BB$1,main!$A$3:$H$102,5,FALSE)-VLOOKUP(zeta!$A27,main!$A$3:$H$102,6,FALSE),0)</f>
        <v>0</v>
      </c>
      <c r="BC27">
        <f>IF(gamma!BC27,VLOOKUP(zeta!BC$1,main!$A$3:$H$102,5,FALSE)-VLOOKUP(zeta!$A27,main!$A$3:$H$102,6,FALSE),0)</f>
        <v>0</v>
      </c>
      <c r="BD27">
        <f>IF(gamma!BD27,VLOOKUP(zeta!BD$1,main!$A$3:$H$102,5,FALSE)-VLOOKUP(zeta!$A27,main!$A$3:$H$102,6,FALSE),0)</f>
        <v>0</v>
      </c>
      <c r="BE27">
        <f>IF(gamma!BE27,VLOOKUP(zeta!BE$1,main!$A$3:$H$102,5,FALSE)-VLOOKUP(zeta!$A27,main!$A$3:$H$102,6,FALSE),0)</f>
        <v>0</v>
      </c>
      <c r="BF27">
        <f>IF(gamma!BF27,VLOOKUP(zeta!BF$1,main!$A$3:$H$102,5,FALSE)-VLOOKUP(zeta!$A27,main!$A$3:$H$102,6,FALSE),0)</f>
        <v>0</v>
      </c>
      <c r="BG27">
        <f>IF(gamma!BG27,VLOOKUP(zeta!BG$1,main!$A$3:$H$102,5,FALSE)-VLOOKUP(zeta!$A27,main!$A$3:$H$102,6,FALSE),0)</f>
        <v>0</v>
      </c>
      <c r="BH27">
        <f>IF(gamma!BH27,VLOOKUP(zeta!BH$1,main!$A$3:$H$102,5,FALSE)-VLOOKUP(zeta!$A27,main!$A$3:$H$102,6,FALSE),0)</f>
        <v>0</v>
      </c>
      <c r="BI27">
        <f>IF(gamma!BI27,VLOOKUP(zeta!BI$1,main!$A$3:$H$102,5,FALSE)-VLOOKUP(zeta!$A27,main!$A$3:$H$102,6,FALSE),0)</f>
        <v>0</v>
      </c>
      <c r="BJ27">
        <f>IF(gamma!BJ27,VLOOKUP(zeta!BJ$1,main!$A$3:$H$102,5,FALSE)-VLOOKUP(zeta!$A27,main!$A$3:$H$102,6,FALSE),0)</f>
        <v>0</v>
      </c>
      <c r="BK27">
        <f>IF(gamma!BK27,VLOOKUP(zeta!BK$1,main!$A$3:$H$102,5,FALSE)-VLOOKUP(zeta!$A27,main!$A$3:$H$102,6,FALSE),0)</f>
        <v>0</v>
      </c>
      <c r="BL27">
        <f>IF(gamma!BL27,VLOOKUP(zeta!BL$1,main!$A$3:$H$102,5,FALSE)-VLOOKUP(zeta!$A27,main!$A$3:$H$102,6,FALSE),0)</f>
        <v>0</v>
      </c>
      <c r="BM27">
        <f>IF(gamma!BM27,VLOOKUP(zeta!BM$1,main!$A$3:$H$102,5,FALSE)-VLOOKUP(zeta!$A27,main!$A$3:$H$102,6,FALSE),0)</f>
        <v>0</v>
      </c>
      <c r="BN27">
        <f>IF(gamma!BN27,VLOOKUP(zeta!BN$1,main!$A$3:$H$102,5,FALSE)-VLOOKUP(zeta!$A27,main!$A$3:$H$102,6,FALSE),0)</f>
        <v>0</v>
      </c>
      <c r="BO27">
        <f>IF(gamma!BO27,VLOOKUP(zeta!BO$1,main!$A$3:$H$102,5,FALSE)-VLOOKUP(zeta!$A27,main!$A$3:$H$102,6,FALSE),0)</f>
        <v>0</v>
      </c>
      <c r="BP27">
        <f>IF(gamma!BP27,VLOOKUP(zeta!BP$1,main!$A$3:$H$102,5,FALSE)-VLOOKUP(zeta!$A27,main!$A$3:$H$102,6,FALSE),0)</f>
        <v>0</v>
      </c>
      <c r="BQ27">
        <f>IF(gamma!BQ27,VLOOKUP(zeta!BQ$1,main!$A$3:$H$102,5,FALSE)-VLOOKUP(zeta!$A27,main!$A$3:$H$102,6,FALSE),0)</f>
        <v>0</v>
      </c>
      <c r="BR27">
        <f>IF(gamma!BR27,VLOOKUP(zeta!BR$1,main!$A$3:$H$102,5,FALSE)-VLOOKUP(zeta!$A27,main!$A$3:$H$102,6,FALSE),0)</f>
        <v>0</v>
      </c>
      <c r="BS27">
        <f>IF(gamma!BS27,VLOOKUP(zeta!BS$1,main!$A$3:$H$102,5,FALSE)-VLOOKUP(zeta!$A27,main!$A$3:$H$102,6,FALSE),0)</f>
        <v>0</v>
      </c>
      <c r="BT27">
        <f>IF(gamma!BT27,VLOOKUP(zeta!BT$1,main!$A$3:$H$102,5,FALSE)-VLOOKUP(zeta!$A27,main!$A$3:$H$102,6,FALSE),0)</f>
        <v>0</v>
      </c>
      <c r="BU27">
        <f>IF(gamma!BU27,VLOOKUP(zeta!BU$1,main!$A$3:$H$102,5,FALSE)-VLOOKUP(zeta!$A27,main!$A$3:$H$102,6,FALSE),0)</f>
        <v>0</v>
      </c>
      <c r="BV27">
        <f>IF(gamma!BV27,VLOOKUP(zeta!BV$1,main!$A$3:$H$102,5,FALSE)-VLOOKUP(zeta!$A27,main!$A$3:$H$102,6,FALSE),0)</f>
        <v>0</v>
      </c>
      <c r="BW27">
        <f>IF(gamma!BW27,VLOOKUP(zeta!BW$1,main!$A$3:$H$102,5,FALSE)-VLOOKUP(zeta!$A27,main!$A$3:$H$102,6,FALSE),0)</f>
        <v>0</v>
      </c>
      <c r="BX27">
        <f>IF(gamma!BX27,VLOOKUP(zeta!BX$1,main!$A$3:$H$102,5,FALSE)-VLOOKUP(zeta!$A27,main!$A$3:$H$102,6,FALSE),0)</f>
        <v>0</v>
      </c>
      <c r="BY27">
        <f>IF(gamma!BY27,VLOOKUP(zeta!BY$1,main!$A$3:$H$102,5,FALSE)-VLOOKUP(zeta!$A27,main!$A$3:$H$102,6,FALSE),0)</f>
        <v>0</v>
      </c>
      <c r="BZ27">
        <f>IF(gamma!BZ27,VLOOKUP(zeta!BZ$1,main!$A$3:$H$102,5,FALSE)-VLOOKUP(zeta!$A27,main!$A$3:$H$102,6,FALSE),0)</f>
        <v>0</v>
      </c>
      <c r="CA27">
        <f>IF(gamma!CA27,VLOOKUP(zeta!CA$1,main!$A$3:$H$102,5,FALSE)-VLOOKUP(zeta!$A27,main!$A$3:$H$102,6,FALSE),0)</f>
        <v>0</v>
      </c>
      <c r="CB27">
        <f>IF(gamma!CB27,VLOOKUP(zeta!CB$1,main!$A$3:$H$102,5,FALSE)-VLOOKUP(zeta!$A27,main!$A$3:$H$102,6,FALSE),0)</f>
        <v>0</v>
      </c>
      <c r="CC27">
        <f>IF(gamma!CC27,VLOOKUP(zeta!CC$1,main!$A$3:$H$102,5,FALSE)-VLOOKUP(zeta!$A27,main!$A$3:$H$102,6,FALSE),0)</f>
        <v>0</v>
      </c>
      <c r="CD27">
        <f>IF(gamma!CD27,VLOOKUP(zeta!CD$1,main!$A$3:$H$102,5,FALSE)-VLOOKUP(zeta!$A27,main!$A$3:$H$102,6,FALSE),0)</f>
        <v>0</v>
      </c>
      <c r="CE27">
        <f>IF(gamma!CE27,VLOOKUP(zeta!CE$1,main!$A$3:$H$102,5,FALSE)-VLOOKUP(zeta!$A27,main!$A$3:$H$102,6,FALSE),0)</f>
        <v>0</v>
      </c>
      <c r="CF27">
        <f>IF(gamma!CF27,VLOOKUP(zeta!CF$1,main!$A$3:$H$102,5,FALSE)-VLOOKUP(zeta!$A27,main!$A$3:$H$102,6,FALSE),0)</f>
        <v>0</v>
      </c>
      <c r="CG27">
        <f>IF(gamma!CG27,VLOOKUP(zeta!CG$1,main!$A$3:$H$102,5,FALSE)-VLOOKUP(zeta!$A27,main!$A$3:$H$102,6,FALSE),0)</f>
        <v>0</v>
      </c>
      <c r="CH27">
        <f>IF(gamma!CH27,VLOOKUP(zeta!CH$1,main!$A$3:$H$102,5,FALSE)-VLOOKUP(zeta!$A27,main!$A$3:$H$102,6,FALSE),0)</f>
        <v>0</v>
      </c>
      <c r="CI27">
        <f>IF(gamma!CI27,VLOOKUP(zeta!CI$1,main!$A$3:$H$102,5,FALSE)-VLOOKUP(zeta!$A27,main!$A$3:$H$102,6,FALSE),0)</f>
        <v>0</v>
      </c>
      <c r="CJ27">
        <f>IF(gamma!CJ27,VLOOKUP(zeta!CJ$1,main!$A$3:$H$102,5,FALSE)-VLOOKUP(zeta!$A27,main!$A$3:$H$102,6,FALSE),0)</f>
        <v>0</v>
      </c>
      <c r="CK27">
        <f>IF(gamma!CK27,VLOOKUP(zeta!CK$1,main!$A$3:$H$102,5,FALSE)-VLOOKUP(zeta!$A27,main!$A$3:$H$102,6,FALSE),0)</f>
        <v>0</v>
      </c>
      <c r="CL27">
        <f>IF(gamma!CL27,VLOOKUP(zeta!CL$1,main!$A$3:$H$102,5,FALSE)-VLOOKUP(zeta!$A27,main!$A$3:$H$102,6,FALSE),0)</f>
        <v>0</v>
      </c>
      <c r="CM27">
        <f>IF(gamma!CM27,VLOOKUP(zeta!CM$1,main!$A$3:$H$102,5,FALSE)-VLOOKUP(zeta!$A27,main!$A$3:$H$102,6,FALSE),0)</f>
        <v>0</v>
      </c>
      <c r="CN27">
        <f>IF(gamma!CN27,VLOOKUP(zeta!CN$1,main!$A$3:$H$102,5,FALSE)-VLOOKUP(zeta!$A27,main!$A$3:$H$102,6,FALSE),0)</f>
        <v>0</v>
      </c>
      <c r="CO27">
        <f>IF(gamma!CO27,VLOOKUP(zeta!CO$1,main!$A$3:$H$102,5,FALSE)-VLOOKUP(zeta!$A27,main!$A$3:$H$102,6,FALSE),0)</f>
        <v>0</v>
      </c>
      <c r="CP27">
        <f>IF(gamma!CP27,VLOOKUP(zeta!CP$1,main!$A$3:$H$102,5,FALSE)-VLOOKUP(zeta!$A27,main!$A$3:$H$102,6,FALSE),0)</f>
        <v>0</v>
      </c>
      <c r="CQ27">
        <f>IF(gamma!CQ27,VLOOKUP(zeta!CQ$1,main!$A$3:$H$102,5,FALSE)-VLOOKUP(zeta!$A27,main!$A$3:$H$102,6,FALSE),0)</f>
        <v>0</v>
      </c>
      <c r="CR27">
        <f>IF(gamma!CR27,VLOOKUP(zeta!CR$1,main!$A$3:$H$102,5,FALSE)-VLOOKUP(zeta!$A27,main!$A$3:$H$102,6,FALSE),0)</f>
        <v>0</v>
      </c>
      <c r="CS27">
        <f>IF(gamma!CS27,VLOOKUP(zeta!CS$1,main!$A$3:$H$102,5,FALSE)-VLOOKUP(zeta!$A27,main!$A$3:$H$102,6,FALSE),0)</f>
        <v>0</v>
      </c>
      <c r="CT27">
        <f>IF(gamma!CT27,VLOOKUP(zeta!CT$1,main!$A$3:$H$102,5,FALSE)-VLOOKUP(zeta!$A27,main!$A$3:$H$102,6,FALSE),0)</f>
        <v>0</v>
      </c>
      <c r="CU27">
        <f>IF(gamma!CU27,VLOOKUP(zeta!CU$1,main!$A$3:$H$102,5,FALSE)-VLOOKUP(zeta!$A27,main!$A$3:$H$102,6,FALSE),0)</f>
        <v>0</v>
      </c>
      <c r="CV27">
        <f>IF(gamma!CV27,VLOOKUP(zeta!CV$1,main!$A$3:$H$102,5,FALSE)-VLOOKUP(zeta!$A27,main!$A$3:$H$102,6,FALSE),0)</f>
        <v>0</v>
      </c>
      <c r="CW27">
        <f>IF(gamma!CW27,VLOOKUP(zeta!CW$1,main!$A$3:$H$102,5,FALSE)-VLOOKUP(zeta!$A27,main!$A$3:$H$102,6,FALSE),0)</f>
        <v>0</v>
      </c>
      <c r="CX27">
        <f>IF(gamma!CX27,VLOOKUP(zeta!CX$1,main!$A$3:$H$102,5,FALSE)-VLOOKUP(zeta!$A27,main!$A$3:$H$102,6,FALSE),0)</f>
        <v>0</v>
      </c>
    </row>
    <row r="28" spans="1:102" x14ac:dyDescent="0.25">
      <c r="A28">
        <f t="shared" si="0"/>
        <v>26</v>
      </c>
      <c r="B28">
        <v>0</v>
      </c>
      <c r="C28">
        <f>IF(gamma!C28,VLOOKUP(zeta!C$1,main!$A$3:$H$102,5,FALSE)-VLOOKUP(zeta!$A28,main!$A$3:$H$102,6,FALSE),0)</f>
        <v>0</v>
      </c>
      <c r="D28">
        <f>IF(gamma!D28,VLOOKUP(zeta!D$1,main!$A$3:$H$102,5,FALSE)-VLOOKUP(zeta!$A28,main!$A$3:$H$102,6,FALSE),0)</f>
        <v>0</v>
      </c>
      <c r="E28">
        <f>IF(gamma!E28,VLOOKUP(zeta!E$1,main!$A$3:$H$102,5,FALSE)-VLOOKUP(zeta!$A28,main!$A$3:$H$102,6,FALSE),0)</f>
        <v>100</v>
      </c>
      <c r="F28">
        <f>IF(gamma!F28,VLOOKUP(zeta!F$1,main!$A$3:$H$102,5,FALSE)-VLOOKUP(zeta!$A28,main!$A$3:$H$102,6,FALSE),0)</f>
        <v>120</v>
      </c>
      <c r="G28">
        <f>IF(gamma!G28,VLOOKUP(zeta!G$1,main!$A$3:$H$102,5,FALSE)-VLOOKUP(zeta!$A28,main!$A$3:$H$102,6,FALSE),0)</f>
        <v>210</v>
      </c>
      <c r="H28">
        <f>IF(gamma!H28,VLOOKUP(zeta!H$1,main!$A$3:$H$102,5,FALSE)-VLOOKUP(zeta!$A28,main!$A$3:$H$102,6,FALSE),0)</f>
        <v>300</v>
      </c>
      <c r="I28">
        <f>IF(gamma!I28,VLOOKUP(zeta!I$1,main!$A$3:$H$102,5,FALSE)-VLOOKUP(zeta!$A28,main!$A$3:$H$102,6,FALSE),0)</f>
        <v>360</v>
      </c>
      <c r="J28">
        <f>IF(gamma!J28,VLOOKUP(zeta!J$1,main!$A$3:$H$102,5,FALSE)-VLOOKUP(zeta!$A28,main!$A$3:$H$102,6,FALSE),0)</f>
        <v>420</v>
      </c>
      <c r="K28">
        <f>IF(gamma!K28,VLOOKUP(zeta!K$1,main!$A$3:$H$102,5,FALSE)-VLOOKUP(zeta!$A28,main!$A$3:$H$102,6,FALSE),0)</f>
        <v>480</v>
      </c>
      <c r="L28">
        <f>IF(gamma!L28,VLOOKUP(zeta!L$1,main!$A$3:$H$102,5,FALSE)-VLOOKUP(zeta!$A28,main!$A$3:$H$102,6,FALSE),0)</f>
        <v>570</v>
      </c>
      <c r="M28">
        <f>IF(gamma!M28,VLOOKUP(zeta!M$1,main!$A$3:$H$102,5,FALSE)-VLOOKUP(zeta!$A28,main!$A$3:$H$102,6,FALSE),0)</f>
        <v>0</v>
      </c>
      <c r="N28">
        <f>IF(gamma!N28,VLOOKUP(zeta!N$1,main!$A$3:$H$102,5,FALSE)-VLOOKUP(zeta!$A28,main!$A$3:$H$102,6,FALSE),0)</f>
        <v>0</v>
      </c>
      <c r="O28">
        <f>IF(gamma!O28,VLOOKUP(zeta!O$1,main!$A$3:$H$102,5,FALSE)-VLOOKUP(zeta!$A28,main!$A$3:$H$102,6,FALSE),0)</f>
        <v>0</v>
      </c>
      <c r="P28">
        <f>IF(gamma!P28,VLOOKUP(zeta!P$1,main!$A$3:$H$102,5,FALSE)-VLOOKUP(zeta!$A28,main!$A$3:$H$102,6,FALSE),0)</f>
        <v>55</v>
      </c>
      <c r="Q28">
        <f>IF(gamma!Q28,VLOOKUP(zeta!Q$1,main!$A$3:$H$102,5,FALSE)-VLOOKUP(zeta!$A28,main!$A$3:$H$102,6,FALSE),0)</f>
        <v>135</v>
      </c>
      <c r="R28">
        <f>IF(gamma!R28,VLOOKUP(zeta!R$1,main!$A$3:$H$102,5,FALSE)-VLOOKUP(zeta!$A28,main!$A$3:$H$102,6,FALSE),0)</f>
        <v>175</v>
      </c>
      <c r="S28">
        <f>IF(gamma!S28,VLOOKUP(zeta!S$1,main!$A$3:$H$102,5,FALSE)-VLOOKUP(zeta!$A28,main!$A$3:$H$102,6,FALSE),0)</f>
        <v>300</v>
      </c>
      <c r="T28">
        <f>IF(gamma!T28,VLOOKUP(zeta!T$1,main!$A$3:$H$102,5,FALSE)-VLOOKUP(zeta!$A28,main!$A$3:$H$102,6,FALSE),0)</f>
        <v>380</v>
      </c>
      <c r="U28">
        <f>IF(gamma!U28,VLOOKUP(zeta!U$1,main!$A$3:$H$102,5,FALSE)-VLOOKUP(zeta!$A28,main!$A$3:$H$102,6,FALSE),0)</f>
        <v>535</v>
      </c>
      <c r="V28">
        <f>IF(gamma!V28,VLOOKUP(zeta!V$1,main!$A$3:$H$102,5,FALSE)-VLOOKUP(zeta!$A28,main!$A$3:$H$102,6,FALSE),0)</f>
        <v>595</v>
      </c>
      <c r="W28">
        <f>IF(gamma!W28,VLOOKUP(zeta!W$1,main!$A$3:$H$102,5,FALSE)-VLOOKUP(zeta!$A28,main!$A$3:$H$102,6,FALSE),0)</f>
        <v>0</v>
      </c>
      <c r="X28">
        <f>IF(gamma!X28,VLOOKUP(zeta!X$1,main!$A$3:$H$102,5,FALSE)-VLOOKUP(zeta!$A28,main!$A$3:$H$102,6,FALSE),0)</f>
        <v>0</v>
      </c>
      <c r="Y28">
        <f>IF(gamma!Y28,VLOOKUP(zeta!Y$1,main!$A$3:$H$102,5,FALSE)-VLOOKUP(zeta!$A28,main!$A$3:$H$102,6,FALSE),0)</f>
        <v>170</v>
      </c>
      <c r="Z28">
        <f>IF(gamma!Z28,VLOOKUP(zeta!Z$1,main!$A$3:$H$102,5,FALSE)-VLOOKUP(zeta!$A28,main!$A$3:$H$102,6,FALSE),0)</f>
        <v>350</v>
      </c>
      <c r="AA28">
        <f>IF(gamma!AA28,VLOOKUP(zeta!AA$1,main!$A$3:$H$102,5,FALSE)-VLOOKUP(zeta!$A28,main!$A$3:$H$102,6,FALSE),0)</f>
        <v>500</v>
      </c>
      <c r="AB28">
        <f>IF(gamma!AB28,VLOOKUP(zeta!AB$1,main!$A$3:$H$102,5,FALSE)-VLOOKUP(zeta!$A28,main!$A$3:$H$102,6,FALSE),0)</f>
        <v>0</v>
      </c>
      <c r="AC28">
        <f>IF(gamma!AC28,VLOOKUP(zeta!AC$1,main!$A$3:$H$102,5,FALSE)-VLOOKUP(zeta!$A28,main!$A$3:$H$102,6,FALSE),0)</f>
        <v>0</v>
      </c>
      <c r="AD28">
        <f>IF(gamma!AD28,VLOOKUP(zeta!AD$1,main!$A$3:$H$102,5,FALSE)-VLOOKUP(zeta!$A28,main!$A$3:$H$102,6,FALSE),0)</f>
        <v>130</v>
      </c>
      <c r="AE28">
        <f>IF(gamma!AE28,VLOOKUP(zeta!AE$1,main!$A$3:$H$102,5,FALSE)-VLOOKUP(zeta!$A28,main!$A$3:$H$102,6,FALSE),0)</f>
        <v>310</v>
      </c>
      <c r="AF28">
        <f>IF(gamma!AF28,VLOOKUP(zeta!AF$1,main!$A$3:$H$102,5,FALSE)-VLOOKUP(zeta!$A28,main!$A$3:$H$102,6,FALSE),0)</f>
        <v>480</v>
      </c>
      <c r="AG28">
        <f>IF(gamma!AG28,VLOOKUP(zeta!AG$1,main!$A$3:$H$102,5,FALSE)-VLOOKUP(zeta!$A28,main!$A$3:$H$102,6,FALSE),0)</f>
        <v>0</v>
      </c>
      <c r="AH28">
        <f>IF(gamma!AH28,VLOOKUP(zeta!AH$1,main!$A$3:$H$102,5,FALSE)-VLOOKUP(zeta!$A28,main!$A$3:$H$102,6,FALSE),0)</f>
        <v>0</v>
      </c>
      <c r="AI28">
        <f>IF(gamma!AI28,VLOOKUP(zeta!AI$1,main!$A$3:$H$102,5,FALSE)-VLOOKUP(zeta!$A28,main!$A$3:$H$102,6,FALSE),0)</f>
        <v>100</v>
      </c>
      <c r="AJ28">
        <f>IF(gamma!AJ28,VLOOKUP(zeta!AJ$1,main!$A$3:$H$102,5,FALSE)-VLOOKUP(zeta!$A28,main!$A$3:$H$102,6,FALSE),0)</f>
        <v>190</v>
      </c>
      <c r="AK28">
        <f>IF(gamma!AK28,VLOOKUP(zeta!AK$1,main!$A$3:$H$102,5,FALSE)-VLOOKUP(zeta!$A28,main!$A$3:$H$102,6,FALSE),0)</f>
        <v>280</v>
      </c>
      <c r="AL28">
        <f>IF(gamma!AL28,VLOOKUP(zeta!AL$1,main!$A$3:$H$102,5,FALSE)-VLOOKUP(zeta!$A28,main!$A$3:$H$102,6,FALSE),0)</f>
        <v>370</v>
      </c>
      <c r="AM28">
        <f>IF(gamma!AM28,VLOOKUP(zeta!AM$1,main!$A$3:$H$102,5,FALSE)-VLOOKUP(zeta!$A28,main!$A$3:$H$102,6,FALSE),0)</f>
        <v>460</v>
      </c>
      <c r="AN28">
        <f>IF(gamma!AN28,VLOOKUP(zeta!AN$1,main!$A$3:$H$102,5,FALSE)-VLOOKUP(zeta!$A28,main!$A$3:$H$102,6,FALSE),0)</f>
        <v>520</v>
      </c>
      <c r="AO28">
        <f>IF(gamma!AO28,VLOOKUP(zeta!AO$1,main!$A$3:$H$102,5,FALSE)-VLOOKUP(zeta!$A28,main!$A$3:$H$102,6,FALSE),0)</f>
        <v>0</v>
      </c>
      <c r="AP28">
        <f>IF(gamma!AP28,VLOOKUP(zeta!AP$1,main!$A$3:$H$102,5,FALSE)-VLOOKUP(zeta!$A28,main!$A$3:$H$102,6,FALSE),0)</f>
        <v>580</v>
      </c>
      <c r="AQ28">
        <f>IF(gamma!AQ28,VLOOKUP(zeta!AQ$1,main!$A$3:$H$102,5,FALSE)-VLOOKUP(zeta!$A28,main!$A$3:$H$102,6,FALSE),0)</f>
        <v>0</v>
      </c>
      <c r="AR28">
        <f>IF(gamma!AR28,VLOOKUP(zeta!AR$1,main!$A$3:$H$102,5,FALSE)-VLOOKUP(zeta!$A28,main!$A$3:$H$102,6,FALSE),0)</f>
        <v>0</v>
      </c>
      <c r="AS28">
        <f>IF(gamma!AS28,VLOOKUP(zeta!AS$1,main!$A$3:$H$102,5,FALSE)-VLOOKUP(zeta!$A28,main!$A$3:$H$102,6,FALSE),0)</f>
        <v>180</v>
      </c>
      <c r="AT28">
        <f>IF(gamma!AT28,VLOOKUP(zeta!AT$1,main!$A$3:$H$102,5,FALSE)-VLOOKUP(zeta!$A28,main!$A$3:$H$102,6,FALSE),0)</f>
        <v>330</v>
      </c>
      <c r="AU28">
        <f>IF(gamma!AU28,VLOOKUP(zeta!AU$1,main!$A$3:$H$102,5,FALSE)-VLOOKUP(zeta!$A28,main!$A$3:$H$102,6,FALSE),0)</f>
        <v>0</v>
      </c>
      <c r="AV28">
        <f>IF(gamma!AV28,VLOOKUP(zeta!AV$1,main!$A$3:$H$102,5,FALSE)-VLOOKUP(zeta!$A28,main!$A$3:$H$102,6,FALSE),0)</f>
        <v>0</v>
      </c>
      <c r="AW28">
        <f>IF(gamma!AW28,VLOOKUP(zeta!AW$1,main!$A$3:$H$102,5,FALSE)-VLOOKUP(zeta!$A28,main!$A$3:$H$102,6,FALSE),0)</f>
        <v>280</v>
      </c>
      <c r="AX28">
        <f>IF(gamma!AX28,VLOOKUP(zeta!AX$1,main!$A$3:$H$102,5,FALSE)-VLOOKUP(zeta!$A28,main!$A$3:$H$102,6,FALSE),0)</f>
        <v>120</v>
      </c>
      <c r="AY28">
        <f>IF(gamma!AY28,VLOOKUP(zeta!AY$1,main!$A$3:$H$102,5,FALSE)-VLOOKUP(zeta!$A28,main!$A$3:$H$102,6,FALSE),0)</f>
        <v>0</v>
      </c>
      <c r="AZ28">
        <f>IF(gamma!AZ28,VLOOKUP(zeta!AZ$1,main!$A$3:$H$102,5,FALSE)-VLOOKUP(zeta!$A28,main!$A$3:$H$102,6,FALSE),0)</f>
        <v>110</v>
      </c>
      <c r="BA28">
        <f>IF(gamma!BA28,VLOOKUP(zeta!BA$1,main!$A$3:$H$102,5,FALSE)-VLOOKUP(zeta!$A28,main!$A$3:$H$102,6,FALSE),0)</f>
        <v>0</v>
      </c>
      <c r="BB28">
        <f>IF(gamma!BB28,VLOOKUP(zeta!BB$1,main!$A$3:$H$102,5,FALSE)-VLOOKUP(zeta!$A28,main!$A$3:$H$102,6,FALSE),0)</f>
        <v>120</v>
      </c>
      <c r="BC28">
        <f>IF(gamma!BC28,VLOOKUP(zeta!BC$1,main!$A$3:$H$102,5,FALSE)-VLOOKUP(zeta!$A28,main!$A$3:$H$102,6,FALSE),0)</f>
        <v>240</v>
      </c>
      <c r="BD28">
        <f>IF(gamma!BD28,VLOOKUP(zeta!BD$1,main!$A$3:$H$102,5,FALSE)-VLOOKUP(zeta!$A28,main!$A$3:$H$102,6,FALSE),0)</f>
        <v>300</v>
      </c>
      <c r="BE28">
        <f>IF(gamma!BE28,VLOOKUP(zeta!BE$1,main!$A$3:$H$102,5,FALSE)-VLOOKUP(zeta!$A28,main!$A$3:$H$102,6,FALSE),0)</f>
        <v>420</v>
      </c>
      <c r="BF28">
        <f>IF(gamma!BF28,VLOOKUP(zeta!BF$1,main!$A$3:$H$102,5,FALSE)-VLOOKUP(zeta!$A28,main!$A$3:$H$102,6,FALSE),0)</f>
        <v>0</v>
      </c>
      <c r="BG28">
        <f>IF(gamma!BG28,VLOOKUP(zeta!BG$1,main!$A$3:$H$102,5,FALSE)-VLOOKUP(zeta!$A28,main!$A$3:$H$102,6,FALSE),0)</f>
        <v>0</v>
      </c>
      <c r="BH28">
        <f>IF(gamma!BH28,VLOOKUP(zeta!BH$1,main!$A$3:$H$102,5,FALSE)-VLOOKUP(zeta!$A28,main!$A$3:$H$102,6,FALSE),0)</f>
        <v>205</v>
      </c>
      <c r="BI28">
        <f>IF(gamma!BI28,VLOOKUP(zeta!BI$1,main!$A$3:$H$102,5,FALSE)-VLOOKUP(zeta!$A28,main!$A$3:$H$102,6,FALSE),0)</f>
        <v>590</v>
      </c>
      <c r="BJ28">
        <f>IF(gamma!BJ28,VLOOKUP(zeta!BJ$1,main!$A$3:$H$102,5,FALSE)-VLOOKUP(zeta!$A28,main!$A$3:$H$102,6,FALSE),0)</f>
        <v>380</v>
      </c>
      <c r="BK28">
        <f>IF(gamma!BK28,VLOOKUP(zeta!BK$1,main!$A$3:$H$102,5,FALSE)-VLOOKUP(zeta!$A28,main!$A$3:$H$102,6,FALSE),0)</f>
        <v>0</v>
      </c>
      <c r="BL28">
        <f>IF(gamma!BL28,VLOOKUP(zeta!BL$1,main!$A$3:$H$102,5,FALSE)-VLOOKUP(zeta!$A28,main!$A$3:$H$102,6,FALSE),0)</f>
        <v>0</v>
      </c>
      <c r="BM28">
        <f>IF(gamma!BM28,VLOOKUP(zeta!BM$1,main!$A$3:$H$102,5,FALSE)-VLOOKUP(zeta!$A28,main!$A$3:$H$102,6,FALSE),0)</f>
        <v>0</v>
      </c>
      <c r="BN28">
        <f>IF(gamma!BN28,VLOOKUP(zeta!BN$1,main!$A$3:$H$102,5,FALSE)-VLOOKUP(zeta!$A28,main!$A$3:$H$102,6,FALSE),0)</f>
        <v>280</v>
      </c>
      <c r="BO28">
        <f>IF(gamma!BO28,VLOOKUP(zeta!BO$1,main!$A$3:$H$102,5,FALSE)-VLOOKUP(zeta!$A28,main!$A$3:$H$102,6,FALSE),0)</f>
        <v>0</v>
      </c>
      <c r="BP28">
        <f>IF(gamma!BP28,VLOOKUP(zeta!BP$1,main!$A$3:$H$102,5,FALSE)-VLOOKUP(zeta!$A28,main!$A$3:$H$102,6,FALSE),0)</f>
        <v>0</v>
      </c>
      <c r="BQ28">
        <f>IF(gamma!BQ28,VLOOKUP(zeta!BQ$1,main!$A$3:$H$102,5,FALSE)-VLOOKUP(zeta!$A28,main!$A$3:$H$102,6,FALSE),0)</f>
        <v>135</v>
      </c>
      <c r="BR28">
        <f>IF(gamma!BR28,VLOOKUP(zeta!BR$1,main!$A$3:$H$102,5,FALSE)-VLOOKUP(zeta!$A28,main!$A$3:$H$102,6,FALSE),0)</f>
        <v>170</v>
      </c>
      <c r="BS28">
        <f>IF(gamma!BS28,VLOOKUP(zeta!BS$1,main!$A$3:$H$102,5,FALSE)-VLOOKUP(zeta!$A28,main!$A$3:$H$102,6,FALSE),0)</f>
        <v>180</v>
      </c>
      <c r="BT28">
        <f>IF(gamma!BT28,VLOOKUP(zeta!BT$1,main!$A$3:$H$102,5,FALSE)-VLOOKUP(zeta!$A28,main!$A$3:$H$102,6,FALSE),0)</f>
        <v>130</v>
      </c>
      <c r="BU28">
        <f>IF(gamma!BU28,VLOOKUP(zeta!BU$1,main!$A$3:$H$102,5,FALSE)-VLOOKUP(zeta!$A28,main!$A$3:$H$102,6,FALSE),0)</f>
        <v>0</v>
      </c>
      <c r="BV28">
        <f>IF(gamma!BV28,VLOOKUP(zeta!BV$1,main!$A$3:$H$102,5,FALSE)-VLOOKUP(zeta!$A28,main!$A$3:$H$102,6,FALSE),0)</f>
        <v>0</v>
      </c>
      <c r="BW28">
        <f>IF(gamma!BW28,VLOOKUP(zeta!BW$1,main!$A$3:$H$102,5,FALSE)-VLOOKUP(zeta!$A28,main!$A$3:$H$102,6,FALSE),0)</f>
        <v>0</v>
      </c>
      <c r="BX28">
        <f>IF(gamma!BX28,VLOOKUP(zeta!BX$1,main!$A$3:$H$102,5,FALSE)-VLOOKUP(zeta!$A28,main!$A$3:$H$102,6,FALSE),0)</f>
        <v>145</v>
      </c>
      <c r="BY28">
        <f>IF(gamma!BY28,VLOOKUP(zeta!BY$1,main!$A$3:$H$102,5,FALSE)-VLOOKUP(zeta!$A28,main!$A$3:$H$102,6,FALSE),0)</f>
        <v>230</v>
      </c>
      <c r="BZ28">
        <f>IF(gamma!BZ28,VLOOKUP(zeta!BZ$1,main!$A$3:$H$102,5,FALSE)-VLOOKUP(zeta!$A28,main!$A$3:$H$102,6,FALSE),0)</f>
        <v>0</v>
      </c>
      <c r="CA28">
        <f>IF(gamma!CA28,VLOOKUP(zeta!CA$1,main!$A$3:$H$102,5,FALSE)-VLOOKUP(zeta!$A28,main!$A$3:$H$102,6,FALSE),0)</f>
        <v>0</v>
      </c>
      <c r="CB28">
        <f>IF(gamma!CB28,VLOOKUP(zeta!CB$1,main!$A$3:$H$102,5,FALSE)-VLOOKUP(zeta!$A28,main!$A$3:$H$102,6,FALSE),0)</f>
        <v>285</v>
      </c>
      <c r="CC28">
        <f>IF(gamma!CC28,VLOOKUP(zeta!CC$1,main!$A$3:$H$102,5,FALSE)-VLOOKUP(zeta!$A28,main!$A$3:$H$102,6,FALSE),0)</f>
        <v>495</v>
      </c>
      <c r="CD28">
        <f>IF(gamma!CD28,VLOOKUP(zeta!CD$1,main!$A$3:$H$102,5,FALSE)-VLOOKUP(zeta!$A28,main!$A$3:$H$102,6,FALSE),0)</f>
        <v>230</v>
      </c>
      <c r="CE28">
        <f>IF(gamma!CE28,VLOOKUP(zeta!CE$1,main!$A$3:$H$102,5,FALSE)-VLOOKUP(zeta!$A28,main!$A$3:$H$102,6,FALSE),0)</f>
        <v>100</v>
      </c>
      <c r="CF28">
        <f>IF(gamma!CF28,VLOOKUP(zeta!CF$1,main!$A$3:$H$102,5,FALSE)-VLOOKUP(zeta!$A28,main!$A$3:$H$102,6,FALSE),0)</f>
        <v>130</v>
      </c>
      <c r="CG28">
        <f>IF(gamma!CG28,VLOOKUP(zeta!CG$1,main!$A$3:$H$102,5,FALSE)-VLOOKUP(zeta!$A28,main!$A$3:$H$102,6,FALSE),0)</f>
        <v>180</v>
      </c>
      <c r="CH28">
        <f>IF(gamma!CH28,VLOOKUP(zeta!CH$1,main!$A$3:$H$102,5,FALSE)-VLOOKUP(zeta!$A28,main!$A$3:$H$102,6,FALSE),0)</f>
        <v>380</v>
      </c>
      <c r="CI28">
        <f>IF(gamma!CI28,VLOOKUP(zeta!CI$1,main!$A$3:$H$102,5,FALSE)-VLOOKUP(zeta!$A28,main!$A$3:$H$102,6,FALSE),0)</f>
        <v>580</v>
      </c>
      <c r="CJ28">
        <f>IF(gamma!CJ28,VLOOKUP(zeta!CJ$1,main!$A$3:$H$102,5,FALSE)-VLOOKUP(zeta!$A28,main!$A$3:$H$102,6,FALSE),0)</f>
        <v>170</v>
      </c>
      <c r="CK28">
        <f>IF(gamma!CK28,VLOOKUP(zeta!CK$1,main!$A$3:$H$102,5,FALSE)-VLOOKUP(zeta!$A28,main!$A$3:$H$102,6,FALSE),0)</f>
        <v>64</v>
      </c>
      <c r="CL28">
        <f>IF(gamma!CL28,VLOOKUP(zeta!CL$1,main!$A$3:$H$102,5,FALSE)-VLOOKUP(zeta!$A28,main!$A$3:$H$102,6,FALSE),0)</f>
        <v>180</v>
      </c>
      <c r="CM28">
        <f>IF(gamma!CM28,VLOOKUP(zeta!CM$1,main!$A$3:$H$102,5,FALSE)-VLOOKUP(zeta!$A28,main!$A$3:$H$102,6,FALSE),0)</f>
        <v>356</v>
      </c>
      <c r="CN28">
        <f>IF(gamma!CN28,VLOOKUP(zeta!CN$1,main!$A$3:$H$102,5,FALSE)-VLOOKUP(zeta!$A28,main!$A$3:$H$102,6,FALSE),0)</f>
        <v>580</v>
      </c>
      <c r="CO28">
        <f>IF(gamma!CO28,VLOOKUP(zeta!CO$1,main!$A$3:$H$102,5,FALSE)-VLOOKUP(zeta!$A28,main!$A$3:$H$102,6,FALSE),0)</f>
        <v>0</v>
      </c>
      <c r="CP28">
        <f>IF(gamma!CP28,VLOOKUP(zeta!CP$1,main!$A$3:$H$102,5,FALSE)-VLOOKUP(zeta!$A28,main!$A$3:$H$102,6,FALSE),0)</f>
        <v>145</v>
      </c>
      <c r="CQ28">
        <f>IF(gamma!CQ28,VLOOKUP(zeta!CQ$1,main!$A$3:$H$102,5,FALSE)-VLOOKUP(zeta!$A28,main!$A$3:$H$102,6,FALSE),0)</f>
        <v>160</v>
      </c>
      <c r="CR28">
        <f>IF(gamma!CR28,VLOOKUP(zeta!CR$1,main!$A$3:$H$102,5,FALSE)-VLOOKUP(zeta!$A28,main!$A$3:$H$102,6,FALSE),0)</f>
        <v>345</v>
      </c>
      <c r="CS28">
        <f>IF(gamma!CS28,VLOOKUP(zeta!CS$1,main!$A$3:$H$102,5,FALSE)-VLOOKUP(zeta!$A28,main!$A$3:$H$102,6,FALSE),0)</f>
        <v>355</v>
      </c>
      <c r="CT28">
        <f>IF(gamma!CT28,VLOOKUP(zeta!CT$1,main!$A$3:$H$102,5,FALSE)-VLOOKUP(zeta!$A28,main!$A$3:$H$102,6,FALSE),0)</f>
        <v>0</v>
      </c>
      <c r="CU28">
        <f>IF(gamma!CU28,VLOOKUP(zeta!CU$1,main!$A$3:$H$102,5,FALSE)-VLOOKUP(zeta!$A28,main!$A$3:$H$102,6,FALSE),0)</f>
        <v>0</v>
      </c>
      <c r="CV28">
        <f>IF(gamma!CV28,VLOOKUP(zeta!CV$1,main!$A$3:$H$102,5,FALSE)-VLOOKUP(zeta!$A28,main!$A$3:$H$102,6,FALSE),0)</f>
        <v>160</v>
      </c>
      <c r="CW28">
        <f>IF(gamma!CW28,VLOOKUP(zeta!CW$1,main!$A$3:$H$102,5,FALSE)-VLOOKUP(zeta!$A28,main!$A$3:$H$102,6,FALSE),0)</f>
        <v>345</v>
      </c>
      <c r="CX28">
        <f>IF(gamma!CX28,VLOOKUP(zeta!CX$1,main!$A$3:$H$102,5,FALSE)-VLOOKUP(zeta!$A28,main!$A$3:$H$102,6,FALSE),0)</f>
        <v>385</v>
      </c>
    </row>
    <row r="29" spans="1:102" x14ac:dyDescent="0.25">
      <c r="A29">
        <f t="shared" si="0"/>
        <v>27</v>
      </c>
      <c r="B29">
        <v>0</v>
      </c>
      <c r="C29">
        <f>IF(gamma!C29,VLOOKUP(zeta!C$1,main!$A$3:$H$102,5,FALSE)-VLOOKUP(zeta!$A29,main!$A$3:$H$102,6,FALSE),0)</f>
        <v>0</v>
      </c>
      <c r="D29">
        <f>IF(gamma!D29,VLOOKUP(zeta!D$1,main!$A$3:$H$102,5,FALSE)-VLOOKUP(zeta!$A29,main!$A$3:$H$102,6,FALSE),0)</f>
        <v>0</v>
      </c>
      <c r="E29">
        <f>IF(gamma!E29,VLOOKUP(zeta!E$1,main!$A$3:$H$102,5,FALSE)-VLOOKUP(zeta!$A29,main!$A$3:$H$102,6,FALSE),0)</f>
        <v>80</v>
      </c>
      <c r="F29">
        <f>IF(gamma!F29,VLOOKUP(zeta!F$1,main!$A$3:$H$102,5,FALSE)-VLOOKUP(zeta!$A29,main!$A$3:$H$102,6,FALSE),0)</f>
        <v>100</v>
      </c>
      <c r="G29">
        <f>IF(gamma!G29,VLOOKUP(zeta!G$1,main!$A$3:$H$102,5,FALSE)-VLOOKUP(zeta!$A29,main!$A$3:$H$102,6,FALSE),0)</f>
        <v>190</v>
      </c>
      <c r="H29">
        <f>IF(gamma!H29,VLOOKUP(zeta!H$1,main!$A$3:$H$102,5,FALSE)-VLOOKUP(zeta!$A29,main!$A$3:$H$102,6,FALSE),0)</f>
        <v>280</v>
      </c>
      <c r="I29">
        <f>IF(gamma!I29,VLOOKUP(zeta!I$1,main!$A$3:$H$102,5,FALSE)-VLOOKUP(zeta!$A29,main!$A$3:$H$102,6,FALSE),0)</f>
        <v>340</v>
      </c>
      <c r="J29">
        <f>IF(gamma!J29,VLOOKUP(zeta!J$1,main!$A$3:$H$102,5,FALSE)-VLOOKUP(zeta!$A29,main!$A$3:$H$102,6,FALSE),0)</f>
        <v>400</v>
      </c>
      <c r="K29">
        <f>IF(gamma!K29,VLOOKUP(zeta!K$1,main!$A$3:$H$102,5,FALSE)-VLOOKUP(zeta!$A29,main!$A$3:$H$102,6,FALSE),0)</f>
        <v>460</v>
      </c>
      <c r="L29">
        <f>IF(gamma!L29,VLOOKUP(zeta!L$1,main!$A$3:$H$102,5,FALSE)-VLOOKUP(zeta!$A29,main!$A$3:$H$102,6,FALSE),0)</f>
        <v>550</v>
      </c>
      <c r="M29">
        <f>IF(gamma!M29,VLOOKUP(zeta!M$1,main!$A$3:$H$102,5,FALSE)-VLOOKUP(zeta!$A29,main!$A$3:$H$102,6,FALSE),0)</f>
        <v>0</v>
      </c>
      <c r="N29">
        <f>IF(gamma!N29,VLOOKUP(zeta!N$1,main!$A$3:$H$102,5,FALSE)-VLOOKUP(zeta!$A29,main!$A$3:$H$102,6,FALSE),0)</f>
        <v>0</v>
      </c>
      <c r="O29">
        <f>IF(gamma!O29,VLOOKUP(zeta!O$1,main!$A$3:$H$102,5,FALSE)-VLOOKUP(zeta!$A29,main!$A$3:$H$102,6,FALSE),0)</f>
        <v>0</v>
      </c>
      <c r="P29">
        <f>IF(gamma!P29,VLOOKUP(zeta!P$1,main!$A$3:$H$102,5,FALSE)-VLOOKUP(zeta!$A29,main!$A$3:$H$102,6,FALSE),0)</f>
        <v>0</v>
      </c>
      <c r="Q29">
        <f>IF(gamma!Q29,VLOOKUP(zeta!Q$1,main!$A$3:$H$102,5,FALSE)-VLOOKUP(zeta!$A29,main!$A$3:$H$102,6,FALSE),0)</f>
        <v>115</v>
      </c>
      <c r="R29">
        <f>IF(gamma!R29,VLOOKUP(zeta!R$1,main!$A$3:$H$102,5,FALSE)-VLOOKUP(zeta!$A29,main!$A$3:$H$102,6,FALSE),0)</f>
        <v>155</v>
      </c>
      <c r="S29">
        <f>IF(gamma!S29,VLOOKUP(zeta!S$1,main!$A$3:$H$102,5,FALSE)-VLOOKUP(zeta!$A29,main!$A$3:$H$102,6,FALSE),0)</f>
        <v>280</v>
      </c>
      <c r="T29">
        <f>IF(gamma!T29,VLOOKUP(zeta!T$1,main!$A$3:$H$102,5,FALSE)-VLOOKUP(zeta!$A29,main!$A$3:$H$102,6,FALSE),0)</f>
        <v>360</v>
      </c>
      <c r="U29">
        <f>IF(gamma!U29,VLOOKUP(zeta!U$1,main!$A$3:$H$102,5,FALSE)-VLOOKUP(zeta!$A29,main!$A$3:$H$102,6,FALSE),0)</f>
        <v>515</v>
      </c>
      <c r="V29">
        <f>IF(gamma!V29,VLOOKUP(zeta!V$1,main!$A$3:$H$102,5,FALSE)-VLOOKUP(zeta!$A29,main!$A$3:$H$102,6,FALSE),0)</f>
        <v>575</v>
      </c>
      <c r="W29">
        <f>IF(gamma!W29,VLOOKUP(zeta!W$1,main!$A$3:$H$102,5,FALSE)-VLOOKUP(zeta!$A29,main!$A$3:$H$102,6,FALSE),0)</f>
        <v>0</v>
      </c>
      <c r="X29">
        <f>IF(gamma!X29,VLOOKUP(zeta!X$1,main!$A$3:$H$102,5,FALSE)-VLOOKUP(zeta!$A29,main!$A$3:$H$102,6,FALSE),0)</f>
        <v>0</v>
      </c>
      <c r="Y29">
        <f>IF(gamma!Y29,VLOOKUP(zeta!Y$1,main!$A$3:$H$102,5,FALSE)-VLOOKUP(zeta!$A29,main!$A$3:$H$102,6,FALSE),0)</f>
        <v>150</v>
      </c>
      <c r="Z29">
        <f>IF(gamma!Z29,VLOOKUP(zeta!Z$1,main!$A$3:$H$102,5,FALSE)-VLOOKUP(zeta!$A29,main!$A$3:$H$102,6,FALSE),0)</f>
        <v>330</v>
      </c>
      <c r="AA29">
        <f>IF(gamma!AA29,VLOOKUP(zeta!AA$1,main!$A$3:$H$102,5,FALSE)-VLOOKUP(zeta!$A29,main!$A$3:$H$102,6,FALSE),0)</f>
        <v>480</v>
      </c>
      <c r="AB29">
        <f>IF(gamma!AB29,VLOOKUP(zeta!AB$1,main!$A$3:$H$102,5,FALSE)-VLOOKUP(zeta!$A29,main!$A$3:$H$102,6,FALSE),0)</f>
        <v>0</v>
      </c>
      <c r="AC29">
        <f>IF(gamma!AC29,VLOOKUP(zeta!AC$1,main!$A$3:$H$102,5,FALSE)-VLOOKUP(zeta!$A29,main!$A$3:$H$102,6,FALSE),0)</f>
        <v>0</v>
      </c>
      <c r="AD29">
        <f>IF(gamma!AD29,VLOOKUP(zeta!AD$1,main!$A$3:$H$102,5,FALSE)-VLOOKUP(zeta!$A29,main!$A$3:$H$102,6,FALSE),0)</f>
        <v>110</v>
      </c>
      <c r="AE29">
        <f>IF(gamma!AE29,VLOOKUP(zeta!AE$1,main!$A$3:$H$102,5,FALSE)-VLOOKUP(zeta!$A29,main!$A$3:$H$102,6,FALSE),0)</f>
        <v>290</v>
      </c>
      <c r="AF29">
        <f>IF(gamma!AF29,VLOOKUP(zeta!AF$1,main!$A$3:$H$102,5,FALSE)-VLOOKUP(zeta!$A29,main!$A$3:$H$102,6,FALSE),0)</f>
        <v>460</v>
      </c>
      <c r="AG29">
        <f>IF(gamma!AG29,VLOOKUP(zeta!AG$1,main!$A$3:$H$102,5,FALSE)-VLOOKUP(zeta!$A29,main!$A$3:$H$102,6,FALSE),0)</f>
        <v>0</v>
      </c>
      <c r="AH29">
        <f>IF(gamma!AH29,VLOOKUP(zeta!AH$1,main!$A$3:$H$102,5,FALSE)-VLOOKUP(zeta!$A29,main!$A$3:$H$102,6,FALSE),0)</f>
        <v>0</v>
      </c>
      <c r="AI29">
        <f>IF(gamma!AI29,VLOOKUP(zeta!AI$1,main!$A$3:$H$102,5,FALSE)-VLOOKUP(zeta!$A29,main!$A$3:$H$102,6,FALSE),0)</f>
        <v>80</v>
      </c>
      <c r="AJ29">
        <f>IF(gamma!AJ29,VLOOKUP(zeta!AJ$1,main!$A$3:$H$102,5,FALSE)-VLOOKUP(zeta!$A29,main!$A$3:$H$102,6,FALSE),0)</f>
        <v>170</v>
      </c>
      <c r="AK29">
        <f>IF(gamma!AK29,VLOOKUP(zeta!AK$1,main!$A$3:$H$102,5,FALSE)-VLOOKUP(zeta!$A29,main!$A$3:$H$102,6,FALSE),0)</f>
        <v>260</v>
      </c>
      <c r="AL29">
        <f>IF(gamma!AL29,VLOOKUP(zeta!AL$1,main!$A$3:$H$102,5,FALSE)-VLOOKUP(zeta!$A29,main!$A$3:$H$102,6,FALSE),0)</f>
        <v>350</v>
      </c>
      <c r="AM29">
        <f>IF(gamma!AM29,VLOOKUP(zeta!AM$1,main!$A$3:$H$102,5,FALSE)-VLOOKUP(zeta!$A29,main!$A$3:$H$102,6,FALSE),0)</f>
        <v>440</v>
      </c>
      <c r="AN29">
        <f>IF(gamma!AN29,VLOOKUP(zeta!AN$1,main!$A$3:$H$102,5,FALSE)-VLOOKUP(zeta!$A29,main!$A$3:$H$102,6,FALSE),0)</f>
        <v>500</v>
      </c>
      <c r="AO29">
        <f>IF(gamma!AO29,VLOOKUP(zeta!AO$1,main!$A$3:$H$102,5,FALSE)-VLOOKUP(zeta!$A29,main!$A$3:$H$102,6,FALSE),0)</f>
        <v>0</v>
      </c>
      <c r="AP29">
        <f>IF(gamma!AP29,VLOOKUP(zeta!AP$1,main!$A$3:$H$102,5,FALSE)-VLOOKUP(zeta!$A29,main!$A$3:$H$102,6,FALSE),0)</f>
        <v>560</v>
      </c>
      <c r="AQ29">
        <f>IF(gamma!AQ29,VLOOKUP(zeta!AQ$1,main!$A$3:$H$102,5,FALSE)-VLOOKUP(zeta!$A29,main!$A$3:$H$102,6,FALSE),0)</f>
        <v>0</v>
      </c>
      <c r="AR29">
        <f>IF(gamma!AR29,VLOOKUP(zeta!AR$1,main!$A$3:$H$102,5,FALSE)-VLOOKUP(zeta!$A29,main!$A$3:$H$102,6,FALSE),0)</f>
        <v>0</v>
      </c>
      <c r="AS29">
        <f>IF(gamma!AS29,VLOOKUP(zeta!AS$1,main!$A$3:$H$102,5,FALSE)-VLOOKUP(zeta!$A29,main!$A$3:$H$102,6,FALSE),0)</f>
        <v>160</v>
      </c>
      <c r="AT29">
        <f>IF(gamma!AT29,VLOOKUP(zeta!AT$1,main!$A$3:$H$102,5,FALSE)-VLOOKUP(zeta!$A29,main!$A$3:$H$102,6,FALSE),0)</f>
        <v>310</v>
      </c>
      <c r="AU29">
        <f>IF(gamma!AU29,VLOOKUP(zeta!AU$1,main!$A$3:$H$102,5,FALSE)-VLOOKUP(zeta!$A29,main!$A$3:$H$102,6,FALSE),0)</f>
        <v>0</v>
      </c>
      <c r="AV29">
        <f>IF(gamma!AV29,VLOOKUP(zeta!AV$1,main!$A$3:$H$102,5,FALSE)-VLOOKUP(zeta!$A29,main!$A$3:$H$102,6,FALSE),0)</f>
        <v>0</v>
      </c>
      <c r="AW29">
        <f>IF(gamma!AW29,VLOOKUP(zeta!AW$1,main!$A$3:$H$102,5,FALSE)-VLOOKUP(zeta!$A29,main!$A$3:$H$102,6,FALSE),0)</f>
        <v>260</v>
      </c>
      <c r="AX29">
        <f>IF(gamma!AX29,VLOOKUP(zeta!AX$1,main!$A$3:$H$102,5,FALSE)-VLOOKUP(zeta!$A29,main!$A$3:$H$102,6,FALSE),0)</f>
        <v>100</v>
      </c>
      <c r="AY29">
        <f>IF(gamma!AY29,VLOOKUP(zeta!AY$1,main!$A$3:$H$102,5,FALSE)-VLOOKUP(zeta!$A29,main!$A$3:$H$102,6,FALSE),0)</f>
        <v>0</v>
      </c>
      <c r="AZ29">
        <f>IF(gamma!AZ29,VLOOKUP(zeta!AZ$1,main!$A$3:$H$102,5,FALSE)-VLOOKUP(zeta!$A29,main!$A$3:$H$102,6,FALSE),0)</f>
        <v>90</v>
      </c>
      <c r="BA29">
        <f>IF(gamma!BA29,VLOOKUP(zeta!BA$1,main!$A$3:$H$102,5,FALSE)-VLOOKUP(zeta!$A29,main!$A$3:$H$102,6,FALSE),0)</f>
        <v>0</v>
      </c>
      <c r="BB29">
        <f>IF(gamma!BB29,VLOOKUP(zeta!BB$1,main!$A$3:$H$102,5,FALSE)-VLOOKUP(zeta!$A29,main!$A$3:$H$102,6,FALSE),0)</f>
        <v>100</v>
      </c>
      <c r="BC29">
        <f>IF(gamma!BC29,VLOOKUP(zeta!BC$1,main!$A$3:$H$102,5,FALSE)-VLOOKUP(zeta!$A29,main!$A$3:$H$102,6,FALSE),0)</f>
        <v>220</v>
      </c>
      <c r="BD29">
        <f>IF(gamma!BD29,VLOOKUP(zeta!BD$1,main!$A$3:$H$102,5,FALSE)-VLOOKUP(zeta!$A29,main!$A$3:$H$102,6,FALSE),0)</f>
        <v>280</v>
      </c>
      <c r="BE29">
        <f>IF(gamma!BE29,VLOOKUP(zeta!BE$1,main!$A$3:$H$102,5,FALSE)-VLOOKUP(zeta!$A29,main!$A$3:$H$102,6,FALSE),0)</f>
        <v>400</v>
      </c>
      <c r="BF29">
        <f>IF(gamma!BF29,VLOOKUP(zeta!BF$1,main!$A$3:$H$102,5,FALSE)-VLOOKUP(zeta!$A29,main!$A$3:$H$102,6,FALSE),0)</f>
        <v>0</v>
      </c>
      <c r="BG29">
        <f>IF(gamma!BG29,VLOOKUP(zeta!BG$1,main!$A$3:$H$102,5,FALSE)-VLOOKUP(zeta!$A29,main!$A$3:$H$102,6,FALSE),0)</f>
        <v>0</v>
      </c>
      <c r="BH29">
        <f>IF(gamma!BH29,VLOOKUP(zeta!BH$1,main!$A$3:$H$102,5,FALSE)-VLOOKUP(zeta!$A29,main!$A$3:$H$102,6,FALSE),0)</f>
        <v>185</v>
      </c>
      <c r="BI29">
        <f>IF(gamma!BI29,VLOOKUP(zeta!BI$1,main!$A$3:$H$102,5,FALSE)-VLOOKUP(zeta!$A29,main!$A$3:$H$102,6,FALSE),0)</f>
        <v>570</v>
      </c>
      <c r="BJ29">
        <f>IF(gamma!BJ29,VLOOKUP(zeta!BJ$1,main!$A$3:$H$102,5,FALSE)-VLOOKUP(zeta!$A29,main!$A$3:$H$102,6,FALSE),0)</f>
        <v>360</v>
      </c>
      <c r="BK29">
        <f>IF(gamma!BK29,VLOOKUP(zeta!BK$1,main!$A$3:$H$102,5,FALSE)-VLOOKUP(zeta!$A29,main!$A$3:$H$102,6,FALSE),0)</f>
        <v>0</v>
      </c>
      <c r="BL29">
        <f>IF(gamma!BL29,VLOOKUP(zeta!BL$1,main!$A$3:$H$102,5,FALSE)-VLOOKUP(zeta!$A29,main!$A$3:$H$102,6,FALSE),0)</f>
        <v>0</v>
      </c>
      <c r="BM29">
        <f>IF(gamma!BM29,VLOOKUP(zeta!BM$1,main!$A$3:$H$102,5,FALSE)-VLOOKUP(zeta!$A29,main!$A$3:$H$102,6,FALSE),0)</f>
        <v>0</v>
      </c>
      <c r="BN29">
        <f>IF(gamma!BN29,VLOOKUP(zeta!BN$1,main!$A$3:$H$102,5,FALSE)-VLOOKUP(zeta!$A29,main!$A$3:$H$102,6,FALSE),0)</f>
        <v>260</v>
      </c>
      <c r="BO29">
        <f>IF(gamma!BO29,VLOOKUP(zeta!BO$1,main!$A$3:$H$102,5,FALSE)-VLOOKUP(zeta!$A29,main!$A$3:$H$102,6,FALSE),0)</f>
        <v>0</v>
      </c>
      <c r="BP29">
        <f>IF(gamma!BP29,VLOOKUP(zeta!BP$1,main!$A$3:$H$102,5,FALSE)-VLOOKUP(zeta!$A29,main!$A$3:$H$102,6,FALSE),0)</f>
        <v>0</v>
      </c>
      <c r="BQ29">
        <f>IF(gamma!BQ29,VLOOKUP(zeta!BQ$1,main!$A$3:$H$102,5,FALSE)-VLOOKUP(zeta!$A29,main!$A$3:$H$102,6,FALSE),0)</f>
        <v>115</v>
      </c>
      <c r="BR29">
        <f>IF(gamma!BR29,VLOOKUP(zeta!BR$1,main!$A$3:$H$102,5,FALSE)-VLOOKUP(zeta!$A29,main!$A$3:$H$102,6,FALSE),0)</f>
        <v>150</v>
      </c>
      <c r="BS29">
        <f>IF(gamma!BS29,VLOOKUP(zeta!BS$1,main!$A$3:$H$102,5,FALSE)-VLOOKUP(zeta!$A29,main!$A$3:$H$102,6,FALSE),0)</f>
        <v>160</v>
      </c>
      <c r="BT29">
        <f>IF(gamma!BT29,VLOOKUP(zeta!BT$1,main!$A$3:$H$102,5,FALSE)-VLOOKUP(zeta!$A29,main!$A$3:$H$102,6,FALSE),0)</f>
        <v>110</v>
      </c>
      <c r="BU29">
        <f>IF(gamma!BU29,VLOOKUP(zeta!BU$1,main!$A$3:$H$102,5,FALSE)-VLOOKUP(zeta!$A29,main!$A$3:$H$102,6,FALSE),0)</f>
        <v>0</v>
      </c>
      <c r="BV29">
        <f>IF(gamma!BV29,VLOOKUP(zeta!BV$1,main!$A$3:$H$102,5,FALSE)-VLOOKUP(zeta!$A29,main!$A$3:$H$102,6,FALSE),0)</f>
        <v>0</v>
      </c>
      <c r="BW29">
        <f>IF(gamma!BW29,VLOOKUP(zeta!BW$1,main!$A$3:$H$102,5,FALSE)-VLOOKUP(zeta!$A29,main!$A$3:$H$102,6,FALSE),0)</f>
        <v>0</v>
      </c>
      <c r="BX29">
        <f>IF(gamma!BX29,VLOOKUP(zeta!BX$1,main!$A$3:$H$102,5,FALSE)-VLOOKUP(zeta!$A29,main!$A$3:$H$102,6,FALSE),0)</f>
        <v>125</v>
      </c>
      <c r="BY29">
        <f>IF(gamma!BY29,VLOOKUP(zeta!BY$1,main!$A$3:$H$102,5,FALSE)-VLOOKUP(zeta!$A29,main!$A$3:$H$102,6,FALSE),0)</f>
        <v>210</v>
      </c>
      <c r="BZ29">
        <f>IF(gamma!BZ29,VLOOKUP(zeta!BZ$1,main!$A$3:$H$102,5,FALSE)-VLOOKUP(zeta!$A29,main!$A$3:$H$102,6,FALSE),0)</f>
        <v>0</v>
      </c>
      <c r="CA29">
        <f>IF(gamma!CA29,VLOOKUP(zeta!CA$1,main!$A$3:$H$102,5,FALSE)-VLOOKUP(zeta!$A29,main!$A$3:$H$102,6,FALSE),0)</f>
        <v>0</v>
      </c>
      <c r="CB29">
        <f>IF(gamma!CB29,VLOOKUP(zeta!CB$1,main!$A$3:$H$102,5,FALSE)-VLOOKUP(zeta!$A29,main!$A$3:$H$102,6,FALSE),0)</f>
        <v>265</v>
      </c>
      <c r="CC29">
        <f>IF(gamma!CC29,VLOOKUP(zeta!CC$1,main!$A$3:$H$102,5,FALSE)-VLOOKUP(zeta!$A29,main!$A$3:$H$102,6,FALSE),0)</f>
        <v>475</v>
      </c>
      <c r="CD29">
        <f>IF(gamma!CD29,VLOOKUP(zeta!CD$1,main!$A$3:$H$102,5,FALSE)-VLOOKUP(zeta!$A29,main!$A$3:$H$102,6,FALSE),0)</f>
        <v>210</v>
      </c>
      <c r="CE29">
        <f>IF(gamma!CE29,VLOOKUP(zeta!CE$1,main!$A$3:$H$102,5,FALSE)-VLOOKUP(zeta!$A29,main!$A$3:$H$102,6,FALSE),0)</f>
        <v>80</v>
      </c>
      <c r="CF29">
        <f>IF(gamma!CF29,VLOOKUP(zeta!CF$1,main!$A$3:$H$102,5,FALSE)-VLOOKUP(zeta!$A29,main!$A$3:$H$102,6,FALSE),0)</f>
        <v>110</v>
      </c>
      <c r="CG29">
        <f>IF(gamma!CG29,VLOOKUP(zeta!CG$1,main!$A$3:$H$102,5,FALSE)-VLOOKUP(zeta!$A29,main!$A$3:$H$102,6,FALSE),0)</f>
        <v>160</v>
      </c>
      <c r="CH29">
        <f>IF(gamma!CH29,VLOOKUP(zeta!CH$1,main!$A$3:$H$102,5,FALSE)-VLOOKUP(zeta!$A29,main!$A$3:$H$102,6,FALSE),0)</f>
        <v>360</v>
      </c>
      <c r="CI29">
        <f>IF(gamma!CI29,VLOOKUP(zeta!CI$1,main!$A$3:$H$102,5,FALSE)-VLOOKUP(zeta!$A29,main!$A$3:$H$102,6,FALSE),0)</f>
        <v>560</v>
      </c>
      <c r="CJ29">
        <f>IF(gamma!CJ29,VLOOKUP(zeta!CJ$1,main!$A$3:$H$102,5,FALSE)-VLOOKUP(zeta!$A29,main!$A$3:$H$102,6,FALSE),0)</f>
        <v>150</v>
      </c>
      <c r="CK29">
        <f>IF(gamma!CK29,VLOOKUP(zeta!CK$1,main!$A$3:$H$102,5,FALSE)-VLOOKUP(zeta!$A29,main!$A$3:$H$102,6,FALSE),0)</f>
        <v>44</v>
      </c>
      <c r="CL29">
        <f>IF(gamma!CL29,VLOOKUP(zeta!CL$1,main!$A$3:$H$102,5,FALSE)-VLOOKUP(zeta!$A29,main!$A$3:$H$102,6,FALSE),0)</f>
        <v>160</v>
      </c>
      <c r="CM29">
        <f>IF(gamma!CM29,VLOOKUP(zeta!CM$1,main!$A$3:$H$102,5,FALSE)-VLOOKUP(zeta!$A29,main!$A$3:$H$102,6,FALSE),0)</f>
        <v>336</v>
      </c>
      <c r="CN29">
        <f>IF(gamma!CN29,VLOOKUP(zeta!CN$1,main!$A$3:$H$102,5,FALSE)-VLOOKUP(zeta!$A29,main!$A$3:$H$102,6,FALSE),0)</f>
        <v>560</v>
      </c>
      <c r="CO29">
        <f>IF(gamma!CO29,VLOOKUP(zeta!CO$1,main!$A$3:$H$102,5,FALSE)-VLOOKUP(zeta!$A29,main!$A$3:$H$102,6,FALSE),0)</f>
        <v>0</v>
      </c>
      <c r="CP29">
        <f>IF(gamma!CP29,VLOOKUP(zeta!CP$1,main!$A$3:$H$102,5,FALSE)-VLOOKUP(zeta!$A29,main!$A$3:$H$102,6,FALSE),0)</f>
        <v>125</v>
      </c>
      <c r="CQ29">
        <f>IF(gamma!CQ29,VLOOKUP(zeta!CQ$1,main!$A$3:$H$102,5,FALSE)-VLOOKUP(zeta!$A29,main!$A$3:$H$102,6,FALSE),0)</f>
        <v>140</v>
      </c>
      <c r="CR29">
        <f>IF(gamma!CR29,VLOOKUP(zeta!CR$1,main!$A$3:$H$102,5,FALSE)-VLOOKUP(zeta!$A29,main!$A$3:$H$102,6,FALSE),0)</f>
        <v>325</v>
      </c>
      <c r="CS29">
        <f>IF(gamma!CS29,VLOOKUP(zeta!CS$1,main!$A$3:$H$102,5,FALSE)-VLOOKUP(zeta!$A29,main!$A$3:$H$102,6,FALSE),0)</f>
        <v>335</v>
      </c>
      <c r="CT29">
        <f>IF(gamma!CT29,VLOOKUP(zeta!CT$1,main!$A$3:$H$102,5,FALSE)-VLOOKUP(zeta!$A29,main!$A$3:$H$102,6,FALSE),0)</f>
        <v>0</v>
      </c>
      <c r="CU29">
        <f>IF(gamma!CU29,VLOOKUP(zeta!CU$1,main!$A$3:$H$102,5,FALSE)-VLOOKUP(zeta!$A29,main!$A$3:$H$102,6,FALSE),0)</f>
        <v>0</v>
      </c>
      <c r="CV29">
        <f>IF(gamma!CV29,VLOOKUP(zeta!CV$1,main!$A$3:$H$102,5,FALSE)-VLOOKUP(zeta!$A29,main!$A$3:$H$102,6,FALSE),0)</f>
        <v>140</v>
      </c>
      <c r="CW29">
        <f>IF(gamma!CW29,VLOOKUP(zeta!CW$1,main!$A$3:$H$102,5,FALSE)-VLOOKUP(zeta!$A29,main!$A$3:$H$102,6,FALSE),0)</f>
        <v>325</v>
      </c>
      <c r="CX29">
        <f>IF(gamma!CX29,VLOOKUP(zeta!CX$1,main!$A$3:$H$102,5,FALSE)-VLOOKUP(zeta!$A29,main!$A$3:$H$102,6,FALSE),0)</f>
        <v>365</v>
      </c>
    </row>
    <row r="30" spans="1:102" x14ac:dyDescent="0.25">
      <c r="A30">
        <f t="shared" si="0"/>
        <v>28</v>
      </c>
      <c r="B30">
        <v>0</v>
      </c>
      <c r="C30">
        <f>IF(gamma!C30,VLOOKUP(zeta!C$1,main!$A$3:$H$102,5,FALSE)-VLOOKUP(zeta!$A30,main!$A$3:$H$102,6,FALSE),0)</f>
        <v>0</v>
      </c>
      <c r="D30">
        <f>IF(gamma!D30,VLOOKUP(zeta!D$1,main!$A$3:$H$102,5,FALSE)-VLOOKUP(zeta!$A30,main!$A$3:$H$102,6,FALSE),0)</f>
        <v>0</v>
      </c>
      <c r="E30">
        <f>IF(gamma!E30,VLOOKUP(zeta!E$1,main!$A$3:$H$102,5,FALSE)-VLOOKUP(zeta!$A30,main!$A$3:$H$102,6,FALSE),0)</f>
        <v>0</v>
      </c>
      <c r="F30">
        <f>IF(gamma!F30,VLOOKUP(zeta!F$1,main!$A$3:$H$102,5,FALSE)-VLOOKUP(zeta!$A30,main!$A$3:$H$102,6,FALSE),0)</f>
        <v>0</v>
      </c>
      <c r="G30">
        <f>IF(gamma!G30,VLOOKUP(zeta!G$1,main!$A$3:$H$102,5,FALSE)-VLOOKUP(zeta!$A30,main!$A$3:$H$102,6,FALSE),0)</f>
        <v>0</v>
      </c>
      <c r="H30">
        <f>IF(gamma!H30,VLOOKUP(zeta!H$1,main!$A$3:$H$102,5,FALSE)-VLOOKUP(zeta!$A30,main!$A$3:$H$102,6,FALSE),0)</f>
        <v>0</v>
      </c>
      <c r="I30">
        <f>IF(gamma!I30,VLOOKUP(zeta!I$1,main!$A$3:$H$102,5,FALSE)-VLOOKUP(zeta!$A30,main!$A$3:$H$102,6,FALSE),0)</f>
        <v>95</v>
      </c>
      <c r="J30">
        <f>IF(gamma!J30,VLOOKUP(zeta!J$1,main!$A$3:$H$102,5,FALSE)-VLOOKUP(zeta!$A30,main!$A$3:$H$102,6,FALSE),0)</f>
        <v>155</v>
      </c>
      <c r="K30">
        <f>IF(gamma!K30,VLOOKUP(zeta!K$1,main!$A$3:$H$102,5,FALSE)-VLOOKUP(zeta!$A30,main!$A$3:$H$102,6,FALSE),0)</f>
        <v>215</v>
      </c>
      <c r="L30">
        <f>IF(gamma!L30,VLOOKUP(zeta!L$1,main!$A$3:$H$102,5,FALSE)-VLOOKUP(zeta!$A30,main!$A$3:$H$102,6,FALSE),0)</f>
        <v>305</v>
      </c>
      <c r="M30">
        <f>IF(gamma!M30,VLOOKUP(zeta!M$1,main!$A$3:$H$102,5,FALSE)-VLOOKUP(zeta!$A30,main!$A$3:$H$102,6,FALSE),0)</f>
        <v>0</v>
      </c>
      <c r="N30">
        <f>IF(gamma!N30,VLOOKUP(zeta!N$1,main!$A$3:$H$102,5,FALSE)-VLOOKUP(zeta!$A30,main!$A$3:$H$102,6,FALSE),0)</f>
        <v>0</v>
      </c>
      <c r="O30">
        <f>IF(gamma!O30,VLOOKUP(zeta!O$1,main!$A$3:$H$102,5,FALSE)-VLOOKUP(zeta!$A30,main!$A$3:$H$102,6,FALSE),0)</f>
        <v>0</v>
      </c>
      <c r="P30">
        <f>IF(gamma!P30,VLOOKUP(zeta!P$1,main!$A$3:$H$102,5,FALSE)-VLOOKUP(zeta!$A30,main!$A$3:$H$102,6,FALSE),0)</f>
        <v>0</v>
      </c>
      <c r="Q30">
        <f>IF(gamma!Q30,VLOOKUP(zeta!Q$1,main!$A$3:$H$102,5,FALSE)-VLOOKUP(zeta!$A30,main!$A$3:$H$102,6,FALSE),0)</f>
        <v>0</v>
      </c>
      <c r="R30">
        <f>IF(gamma!R30,VLOOKUP(zeta!R$1,main!$A$3:$H$102,5,FALSE)-VLOOKUP(zeta!$A30,main!$A$3:$H$102,6,FALSE),0)</f>
        <v>0</v>
      </c>
      <c r="S30">
        <f>IF(gamma!S30,VLOOKUP(zeta!S$1,main!$A$3:$H$102,5,FALSE)-VLOOKUP(zeta!$A30,main!$A$3:$H$102,6,FALSE),0)</f>
        <v>0</v>
      </c>
      <c r="T30">
        <f>IF(gamma!T30,VLOOKUP(zeta!T$1,main!$A$3:$H$102,5,FALSE)-VLOOKUP(zeta!$A30,main!$A$3:$H$102,6,FALSE),0)</f>
        <v>115</v>
      </c>
      <c r="U30">
        <f>IF(gamma!U30,VLOOKUP(zeta!U$1,main!$A$3:$H$102,5,FALSE)-VLOOKUP(zeta!$A30,main!$A$3:$H$102,6,FALSE),0)</f>
        <v>270</v>
      </c>
      <c r="V30">
        <f>IF(gamma!V30,VLOOKUP(zeta!V$1,main!$A$3:$H$102,5,FALSE)-VLOOKUP(zeta!$A30,main!$A$3:$H$102,6,FALSE),0)</f>
        <v>330</v>
      </c>
      <c r="W30">
        <f>IF(gamma!W30,VLOOKUP(zeta!W$1,main!$A$3:$H$102,5,FALSE)-VLOOKUP(zeta!$A30,main!$A$3:$H$102,6,FALSE),0)</f>
        <v>0</v>
      </c>
      <c r="X30">
        <f>IF(gamma!X30,VLOOKUP(zeta!X$1,main!$A$3:$H$102,5,FALSE)-VLOOKUP(zeta!$A30,main!$A$3:$H$102,6,FALSE),0)</f>
        <v>0</v>
      </c>
      <c r="Y30">
        <f>IF(gamma!Y30,VLOOKUP(zeta!Y$1,main!$A$3:$H$102,5,FALSE)-VLOOKUP(zeta!$A30,main!$A$3:$H$102,6,FALSE),0)</f>
        <v>0</v>
      </c>
      <c r="Z30">
        <f>IF(gamma!Z30,VLOOKUP(zeta!Z$1,main!$A$3:$H$102,5,FALSE)-VLOOKUP(zeta!$A30,main!$A$3:$H$102,6,FALSE),0)</f>
        <v>85</v>
      </c>
      <c r="AA30">
        <f>IF(gamma!AA30,VLOOKUP(zeta!AA$1,main!$A$3:$H$102,5,FALSE)-VLOOKUP(zeta!$A30,main!$A$3:$H$102,6,FALSE),0)</f>
        <v>235</v>
      </c>
      <c r="AB30">
        <f>IF(gamma!AB30,VLOOKUP(zeta!AB$1,main!$A$3:$H$102,5,FALSE)-VLOOKUP(zeta!$A30,main!$A$3:$H$102,6,FALSE),0)</f>
        <v>0</v>
      </c>
      <c r="AC30">
        <f>IF(gamma!AC30,VLOOKUP(zeta!AC$1,main!$A$3:$H$102,5,FALSE)-VLOOKUP(zeta!$A30,main!$A$3:$H$102,6,FALSE),0)</f>
        <v>0</v>
      </c>
      <c r="AD30">
        <f>IF(gamma!AD30,VLOOKUP(zeta!AD$1,main!$A$3:$H$102,5,FALSE)-VLOOKUP(zeta!$A30,main!$A$3:$H$102,6,FALSE),0)</f>
        <v>0</v>
      </c>
      <c r="AE30">
        <f>IF(gamma!AE30,VLOOKUP(zeta!AE$1,main!$A$3:$H$102,5,FALSE)-VLOOKUP(zeta!$A30,main!$A$3:$H$102,6,FALSE),0)</f>
        <v>0</v>
      </c>
      <c r="AF30">
        <f>IF(gamma!AF30,VLOOKUP(zeta!AF$1,main!$A$3:$H$102,5,FALSE)-VLOOKUP(zeta!$A30,main!$A$3:$H$102,6,FALSE),0)</f>
        <v>215</v>
      </c>
      <c r="AG30">
        <f>IF(gamma!AG30,VLOOKUP(zeta!AG$1,main!$A$3:$H$102,5,FALSE)-VLOOKUP(zeta!$A30,main!$A$3:$H$102,6,FALSE),0)</f>
        <v>0</v>
      </c>
      <c r="AH30">
        <f>IF(gamma!AH30,VLOOKUP(zeta!AH$1,main!$A$3:$H$102,5,FALSE)-VLOOKUP(zeta!$A30,main!$A$3:$H$102,6,FALSE),0)</f>
        <v>0</v>
      </c>
      <c r="AI30">
        <f>IF(gamma!AI30,VLOOKUP(zeta!AI$1,main!$A$3:$H$102,5,FALSE)-VLOOKUP(zeta!$A30,main!$A$3:$H$102,6,FALSE),0)</f>
        <v>0</v>
      </c>
      <c r="AJ30">
        <f>IF(gamma!AJ30,VLOOKUP(zeta!AJ$1,main!$A$3:$H$102,5,FALSE)-VLOOKUP(zeta!$A30,main!$A$3:$H$102,6,FALSE),0)</f>
        <v>0</v>
      </c>
      <c r="AK30">
        <f>IF(gamma!AK30,VLOOKUP(zeta!AK$1,main!$A$3:$H$102,5,FALSE)-VLOOKUP(zeta!$A30,main!$A$3:$H$102,6,FALSE),0)</f>
        <v>0</v>
      </c>
      <c r="AL30">
        <f>IF(gamma!AL30,VLOOKUP(zeta!AL$1,main!$A$3:$H$102,5,FALSE)-VLOOKUP(zeta!$A30,main!$A$3:$H$102,6,FALSE),0)</f>
        <v>105</v>
      </c>
      <c r="AM30">
        <f>IF(gamma!AM30,VLOOKUP(zeta!AM$1,main!$A$3:$H$102,5,FALSE)-VLOOKUP(zeta!$A30,main!$A$3:$H$102,6,FALSE),0)</f>
        <v>195</v>
      </c>
      <c r="AN30">
        <f>IF(gamma!AN30,VLOOKUP(zeta!AN$1,main!$A$3:$H$102,5,FALSE)-VLOOKUP(zeta!$A30,main!$A$3:$H$102,6,FALSE),0)</f>
        <v>255</v>
      </c>
      <c r="AO30">
        <f>IF(gamma!AO30,VLOOKUP(zeta!AO$1,main!$A$3:$H$102,5,FALSE)-VLOOKUP(zeta!$A30,main!$A$3:$H$102,6,FALSE),0)</f>
        <v>0</v>
      </c>
      <c r="AP30">
        <f>IF(gamma!AP30,VLOOKUP(zeta!AP$1,main!$A$3:$H$102,5,FALSE)-VLOOKUP(zeta!$A30,main!$A$3:$H$102,6,FALSE),0)</f>
        <v>315</v>
      </c>
      <c r="AQ30">
        <f>IF(gamma!AQ30,VLOOKUP(zeta!AQ$1,main!$A$3:$H$102,5,FALSE)-VLOOKUP(zeta!$A30,main!$A$3:$H$102,6,FALSE),0)</f>
        <v>0</v>
      </c>
      <c r="AR30">
        <f>IF(gamma!AR30,VLOOKUP(zeta!AR$1,main!$A$3:$H$102,5,FALSE)-VLOOKUP(zeta!$A30,main!$A$3:$H$102,6,FALSE),0)</f>
        <v>0</v>
      </c>
      <c r="AS30">
        <f>IF(gamma!AS30,VLOOKUP(zeta!AS$1,main!$A$3:$H$102,5,FALSE)-VLOOKUP(zeta!$A30,main!$A$3:$H$102,6,FALSE),0)</f>
        <v>0</v>
      </c>
      <c r="AT30">
        <f>IF(gamma!AT30,VLOOKUP(zeta!AT$1,main!$A$3:$H$102,5,FALSE)-VLOOKUP(zeta!$A30,main!$A$3:$H$102,6,FALSE),0)</f>
        <v>65</v>
      </c>
      <c r="AU30">
        <f>IF(gamma!AU30,VLOOKUP(zeta!AU$1,main!$A$3:$H$102,5,FALSE)-VLOOKUP(zeta!$A30,main!$A$3:$H$102,6,FALSE),0)</f>
        <v>0</v>
      </c>
      <c r="AV30">
        <f>IF(gamma!AV30,VLOOKUP(zeta!AV$1,main!$A$3:$H$102,5,FALSE)-VLOOKUP(zeta!$A30,main!$A$3:$H$102,6,FALSE),0)</f>
        <v>0</v>
      </c>
      <c r="AW30">
        <f>IF(gamma!AW30,VLOOKUP(zeta!AW$1,main!$A$3:$H$102,5,FALSE)-VLOOKUP(zeta!$A30,main!$A$3:$H$102,6,FALSE),0)</f>
        <v>0</v>
      </c>
      <c r="AX30">
        <f>IF(gamma!AX30,VLOOKUP(zeta!AX$1,main!$A$3:$H$102,5,FALSE)-VLOOKUP(zeta!$A30,main!$A$3:$H$102,6,FALSE),0)</f>
        <v>0</v>
      </c>
      <c r="AY30">
        <f>IF(gamma!AY30,VLOOKUP(zeta!AY$1,main!$A$3:$H$102,5,FALSE)-VLOOKUP(zeta!$A30,main!$A$3:$H$102,6,FALSE),0)</f>
        <v>0</v>
      </c>
      <c r="AZ30">
        <f>IF(gamma!AZ30,VLOOKUP(zeta!AZ$1,main!$A$3:$H$102,5,FALSE)-VLOOKUP(zeta!$A30,main!$A$3:$H$102,6,FALSE),0)</f>
        <v>0</v>
      </c>
      <c r="BA30">
        <f>IF(gamma!BA30,VLOOKUP(zeta!BA$1,main!$A$3:$H$102,5,FALSE)-VLOOKUP(zeta!$A30,main!$A$3:$H$102,6,FALSE),0)</f>
        <v>0</v>
      </c>
      <c r="BB30">
        <f>IF(gamma!BB30,VLOOKUP(zeta!BB$1,main!$A$3:$H$102,5,FALSE)-VLOOKUP(zeta!$A30,main!$A$3:$H$102,6,FALSE),0)</f>
        <v>0</v>
      </c>
      <c r="BC30">
        <f>IF(gamma!BC30,VLOOKUP(zeta!BC$1,main!$A$3:$H$102,5,FALSE)-VLOOKUP(zeta!$A30,main!$A$3:$H$102,6,FALSE),0)</f>
        <v>0</v>
      </c>
      <c r="BD30">
        <f>IF(gamma!BD30,VLOOKUP(zeta!BD$1,main!$A$3:$H$102,5,FALSE)-VLOOKUP(zeta!$A30,main!$A$3:$H$102,6,FALSE),0)</f>
        <v>0</v>
      </c>
      <c r="BE30">
        <f>IF(gamma!BE30,VLOOKUP(zeta!BE$1,main!$A$3:$H$102,5,FALSE)-VLOOKUP(zeta!$A30,main!$A$3:$H$102,6,FALSE),0)</f>
        <v>155</v>
      </c>
      <c r="BF30">
        <f>IF(gamma!BF30,VLOOKUP(zeta!BF$1,main!$A$3:$H$102,5,FALSE)-VLOOKUP(zeta!$A30,main!$A$3:$H$102,6,FALSE),0)</f>
        <v>0</v>
      </c>
      <c r="BG30">
        <f>IF(gamma!BG30,VLOOKUP(zeta!BG$1,main!$A$3:$H$102,5,FALSE)-VLOOKUP(zeta!$A30,main!$A$3:$H$102,6,FALSE),0)</f>
        <v>0</v>
      </c>
      <c r="BH30">
        <f>IF(gamma!BH30,VLOOKUP(zeta!BH$1,main!$A$3:$H$102,5,FALSE)-VLOOKUP(zeta!$A30,main!$A$3:$H$102,6,FALSE),0)</f>
        <v>0</v>
      </c>
      <c r="BI30">
        <f>IF(gamma!BI30,VLOOKUP(zeta!BI$1,main!$A$3:$H$102,5,FALSE)-VLOOKUP(zeta!$A30,main!$A$3:$H$102,6,FALSE),0)</f>
        <v>325</v>
      </c>
      <c r="BJ30">
        <f>IF(gamma!BJ30,VLOOKUP(zeta!BJ$1,main!$A$3:$H$102,5,FALSE)-VLOOKUP(zeta!$A30,main!$A$3:$H$102,6,FALSE),0)</f>
        <v>115</v>
      </c>
      <c r="BK30">
        <f>IF(gamma!BK30,VLOOKUP(zeta!BK$1,main!$A$3:$H$102,5,FALSE)-VLOOKUP(zeta!$A30,main!$A$3:$H$102,6,FALSE),0)</f>
        <v>0</v>
      </c>
      <c r="BL30">
        <f>IF(gamma!BL30,VLOOKUP(zeta!BL$1,main!$A$3:$H$102,5,FALSE)-VLOOKUP(zeta!$A30,main!$A$3:$H$102,6,FALSE),0)</f>
        <v>0</v>
      </c>
      <c r="BM30">
        <f>IF(gamma!BM30,VLOOKUP(zeta!BM$1,main!$A$3:$H$102,5,FALSE)-VLOOKUP(zeta!$A30,main!$A$3:$H$102,6,FALSE),0)</f>
        <v>0</v>
      </c>
      <c r="BN30">
        <f>IF(gamma!BN30,VLOOKUP(zeta!BN$1,main!$A$3:$H$102,5,FALSE)-VLOOKUP(zeta!$A30,main!$A$3:$H$102,6,FALSE),0)</f>
        <v>0</v>
      </c>
      <c r="BO30">
        <f>IF(gamma!BO30,VLOOKUP(zeta!BO$1,main!$A$3:$H$102,5,FALSE)-VLOOKUP(zeta!$A30,main!$A$3:$H$102,6,FALSE),0)</f>
        <v>0</v>
      </c>
      <c r="BP30">
        <f>IF(gamma!BP30,VLOOKUP(zeta!BP$1,main!$A$3:$H$102,5,FALSE)-VLOOKUP(zeta!$A30,main!$A$3:$H$102,6,FALSE),0)</f>
        <v>0</v>
      </c>
      <c r="BQ30">
        <f>IF(gamma!BQ30,VLOOKUP(zeta!BQ$1,main!$A$3:$H$102,5,FALSE)-VLOOKUP(zeta!$A30,main!$A$3:$H$102,6,FALSE),0)</f>
        <v>0</v>
      </c>
      <c r="BR30">
        <f>IF(gamma!BR30,VLOOKUP(zeta!BR$1,main!$A$3:$H$102,5,FALSE)-VLOOKUP(zeta!$A30,main!$A$3:$H$102,6,FALSE),0)</f>
        <v>0</v>
      </c>
      <c r="BS30">
        <f>IF(gamma!BS30,VLOOKUP(zeta!BS$1,main!$A$3:$H$102,5,FALSE)-VLOOKUP(zeta!$A30,main!$A$3:$H$102,6,FALSE),0)</f>
        <v>0</v>
      </c>
      <c r="BT30">
        <f>IF(gamma!BT30,VLOOKUP(zeta!BT$1,main!$A$3:$H$102,5,FALSE)-VLOOKUP(zeta!$A30,main!$A$3:$H$102,6,FALSE),0)</f>
        <v>0</v>
      </c>
      <c r="BU30">
        <f>IF(gamma!BU30,VLOOKUP(zeta!BU$1,main!$A$3:$H$102,5,FALSE)-VLOOKUP(zeta!$A30,main!$A$3:$H$102,6,FALSE),0)</f>
        <v>0</v>
      </c>
      <c r="BV30">
        <f>IF(gamma!BV30,VLOOKUP(zeta!BV$1,main!$A$3:$H$102,5,FALSE)-VLOOKUP(zeta!$A30,main!$A$3:$H$102,6,FALSE),0)</f>
        <v>0</v>
      </c>
      <c r="BW30">
        <f>IF(gamma!BW30,VLOOKUP(zeta!BW$1,main!$A$3:$H$102,5,FALSE)-VLOOKUP(zeta!$A30,main!$A$3:$H$102,6,FALSE),0)</f>
        <v>0</v>
      </c>
      <c r="BX30">
        <f>IF(gamma!BX30,VLOOKUP(zeta!BX$1,main!$A$3:$H$102,5,FALSE)-VLOOKUP(zeta!$A30,main!$A$3:$H$102,6,FALSE),0)</f>
        <v>0</v>
      </c>
      <c r="BY30">
        <f>IF(gamma!BY30,VLOOKUP(zeta!BY$1,main!$A$3:$H$102,5,FALSE)-VLOOKUP(zeta!$A30,main!$A$3:$H$102,6,FALSE),0)</f>
        <v>0</v>
      </c>
      <c r="BZ30">
        <f>IF(gamma!BZ30,VLOOKUP(zeta!BZ$1,main!$A$3:$H$102,5,FALSE)-VLOOKUP(zeta!$A30,main!$A$3:$H$102,6,FALSE),0)</f>
        <v>0</v>
      </c>
      <c r="CA30">
        <f>IF(gamma!CA30,VLOOKUP(zeta!CA$1,main!$A$3:$H$102,5,FALSE)-VLOOKUP(zeta!$A30,main!$A$3:$H$102,6,FALSE),0)</f>
        <v>0</v>
      </c>
      <c r="CB30">
        <f>IF(gamma!CB30,VLOOKUP(zeta!CB$1,main!$A$3:$H$102,5,FALSE)-VLOOKUP(zeta!$A30,main!$A$3:$H$102,6,FALSE),0)</f>
        <v>0</v>
      </c>
      <c r="CC30">
        <f>IF(gamma!CC30,VLOOKUP(zeta!CC$1,main!$A$3:$H$102,5,FALSE)-VLOOKUP(zeta!$A30,main!$A$3:$H$102,6,FALSE),0)</f>
        <v>230</v>
      </c>
      <c r="CD30">
        <f>IF(gamma!CD30,VLOOKUP(zeta!CD$1,main!$A$3:$H$102,5,FALSE)-VLOOKUP(zeta!$A30,main!$A$3:$H$102,6,FALSE),0)</f>
        <v>0</v>
      </c>
      <c r="CE30">
        <f>IF(gamma!CE30,VLOOKUP(zeta!CE$1,main!$A$3:$H$102,5,FALSE)-VLOOKUP(zeta!$A30,main!$A$3:$H$102,6,FALSE),0)</f>
        <v>0</v>
      </c>
      <c r="CF30">
        <f>IF(gamma!CF30,VLOOKUP(zeta!CF$1,main!$A$3:$H$102,5,FALSE)-VLOOKUP(zeta!$A30,main!$A$3:$H$102,6,FALSE),0)</f>
        <v>0</v>
      </c>
      <c r="CG30">
        <f>IF(gamma!CG30,VLOOKUP(zeta!CG$1,main!$A$3:$H$102,5,FALSE)-VLOOKUP(zeta!$A30,main!$A$3:$H$102,6,FALSE),0)</f>
        <v>0</v>
      </c>
      <c r="CH30">
        <f>IF(gamma!CH30,VLOOKUP(zeta!CH$1,main!$A$3:$H$102,5,FALSE)-VLOOKUP(zeta!$A30,main!$A$3:$H$102,6,FALSE),0)</f>
        <v>115</v>
      </c>
      <c r="CI30">
        <f>IF(gamma!CI30,VLOOKUP(zeta!CI$1,main!$A$3:$H$102,5,FALSE)-VLOOKUP(zeta!$A30,main!$A$3:$H$102,6,FALSE),0)</f>
        <v>315</v>
      </c>
      <c r="CJ30">
        <f>IF(gamma!CJ30,VLOOKUP(zeta!CJ$1,main!$A$3:$H$102,5,FALSE)-VLOOKUP(zeta!$A30,main!$A$3:$H$102,6,FALSE),0)</f>
        <v>0</v>
      </c>
      <c r="CK30">
        <f>IF(gamma!CK30,VLOOKUP(zeta!CK$1,main!$A$3:$H$102,5,FALSE)-VLOOKUP(zeta!$A30,main!$A$3:$H$102,6,FALSE),0)</f>
        <v>0</v>
      </c>
      <c r="CL30">
        <f>IF(gamma!CL30,VLOOKUP(zeta!CL$1,main!$A$3:$H$102,5,FALSE)-VLOOKUP(zeta!$A30,main!$A$3:$H$102,6,FALSE),0)</f>
        <v>0</v>
      </c>
      <c r="CM30">
        <f>IF(gamma!CM30,VLOOKUP(zeta!CM$1,main!$A$3:$H$102,5,FALSE)-VLOOKUP(zeta!$A30,main!$A$3:$H$102,6,FALSE),0)</f>
        <v>91</v>
      </c>
      <c r="CN30">
        <f>IF(gamma!CN30,VLOOKUP(zeta!CN$1,main!$A$3:$H$102,5,FALSE)-VLOOKUP(zeta!$A30,main!$A$3:$H$102,6,FALSE),0)</f>
        <v>315</v>
      </c>
      <c r="CO30">
        <f>IF(gamma!CO30,VLOOKUP(zeta!CO$1,main!$A$3:$H$102,5,FALSE)-VLOOKUP(zeta!$A30,main!$A$3:$H$102,6,FALSE),0)</f>
        <v>0</v>
      </c>
      <c r="CP30">
        <f>IF(gamma!CP30,VLOOKUP(zeta!CP$1,main!$A$3:$H$102,5,FALSE)-VLOOKUP(zeta!$A30,main!$A$3:$H$102,6,FALSE),0)</f>
        <v>0</v>
      </c>
      <c r="CQ30">
        <f>IF(gamma!CQ30,VLOOKUP(zeta!CQ$1,main!$A$3:$H$102,5,FALSE)-VLOOKUP(zeta!$A30,main!$A$3:$H$102,6,FALSE),0)</f>
        <v>0</v>
      </c>
      <c r="CR30">
        <f>IF(gamma!CR30,VLOOKUP(zeta!CR$1,main!$A$3:$H$102,5,FALSE)-VLOOKUP(zeta!$A30,main!$A$3:$H$102,6,FALSE),0)</f>
        <v>80</v>
      </c>
      <c r="CS30">
        <f>IF(gamma!CS30,VLOOKUP(zeta!CS$1,main!$A$3:$H$102,5,FALSE)-VLOOKUP(zeta!$A30,main!$A$3:$H$102,6,FALSE),0)</f>
        <v>90</v>
      </c>
      <c r="CT30">
        <f>IF(gamma!CT30,VLOOKUP(zeta!CT$1,main!$A$3:$H$102,5,FALSE)-VLOOKUP(zeta!$A30,main!$A$3:$H$102,6,FALSE),0)</f>
        <v>0</v>
      </c>
      <c r="CU30">
        <f>IF(gamma!CU30,VLOOKUP(zeta!CU$1,main!$A$3:$H$102,5,FALSE)-VLOOKUP(zeta!$A30,main!$A$3:$H$102,6,FALSE),0)</f>
        <v>0</v>
      </c>
      <c r="CV30">
        <f>IF(gamma!CV30,VLOOKUP(zeta!CV$1,main!$A$3:$H$102,5,FALSE)-VLOOKUP(zeta!$A30,main!$A$3:$H$102,6,FALSE),0)</f>
        <v>0</v>
      </c>
      <c r="CW30">
        <f>IF(gamma!CW30,VLOOKUP(zeta!CW$1,main!$A$3:$H$102,5,FALSE)-VLOOKUP(zeta!$A30,main!$A$3:$H$102,6,FALSE),0)</f>
        <v>80</v>
      </c>
      <c r="CX30">
        <f>IF(gamma!CX30,VLOOKUP(zeta!CX$1,main!$A$3:$H$102,5,FALSE)-VLOOKUP(zeta!$A30,main!$A$3:$H$102,6,FALSE),0)</f>
        <v>120</v>
      </c>
    </row>
    <row r="31" spans="1:102" x14ac:dyDescent="0.25">
      <c r="A31">
        <f t="shared" si="0"/>
        <v>29</v>
      </c>
      <c r="B31">
        <v>0</v>
      </c>
      <c r="C31">
        <f>IF(gamma!C31,VLOOKUP(zeta!C$1,main!$A$3:$H$102,5,FALSE)-VLOOKUP(zeta!$A31,main!$A$3:$H$102,6,FALSE),0)</f>
        <v>0</v>
      </c>
      <c r="D31">
        <f>IF(gamma!D31,VLOOKUP(zeta!D$1,main!$A$3:$H$102,5,FALSE)-VLOOKUP(zeta!$A31,main!$A$3:$H$102,6,FALSE),0)</f>
        <v>0</v>
      </c>
      <c r="E31">
        <f>IF(gamma!E31,VLOOKUP(zeta!E$1,main!$A$3:$H$102,5,FALSE)-VLOOKUP(zeta!$A31,main!$A$3:$H$102,6,FALSE),0)</f>
        <v>0</v>
      </c>
      <c r="F31">
        <f>IF(gamma!F31,VLOOKUP(zeta!F$1,main!$A$3:$H$102,5,FALSE)-VLOOKUP(zeta!$A31,main!$A$3:$H$102,6,FALSE),0)</f>
        <v>0</v>
      </c>
      <c r="G31">
        <f>IF(gamma!G31,VLOOKUP(zeta!G$1,main!$A$3:$H$102,5,FALSE)-VLOOKUP(zeta!$A31,main!$A$3:$H$102,6,FALSE),0)</f>
        <v>0</v>
      </c>
      <c r="H31">
        <f>IF(gamma!H31,VLOOKUP(zeta!H$1,main!$A$3:$H$102,5,FALSE)-VLOOKUP(zeta!$A31,main!$A$3:$H$102,6,FALSE),0)</f>
        <v>0</v>
      </c>
      <c r="I31">
        <f>IF(gamma!I31,VLOOKUP(zeta!I$1,main!$A$3:$H$102,5,FALSE)-VLOOKUP(zeta!$A31,main!$A$3:$H$102,6,FALSE),0)</f>
        <v>0</v>
      </c>
      <c r="J31">
        <f>IF(gamma!J31,VLOOKUP(zeta!J$1,main!$A$3:$H$102,5,FALSE)-VLOOKUP(zeta!$A31,main!$A$3:$H$102,6,FALSE),0)</f>
        <v>0</v>
      </c>
      <c r="K31">
        <f>IF(gamma!K31,VLOOKUP(zeta!K$1,main!$A$3:$H$102,5,FALSE)-VLOOKUP(zeta!$A31,main!$A$3:$H$102,6,FALSE),0)</f>
        <v>0</v>
      </c>
      <c r="L31">
        <f>IF(gamma!L31,VLOOKUP(zeta!L$1,main!$A$3:$H$102,5,FALSE)-VLOOKUP(zeta!$A31,main!$A$3:$H$102,6,FALSE),0)</f>
        <v>120</v>
      </c>
      <c r="M31">
        <f>IF(gamma!M31,VLOOKUP(zeta!M$1,main!$A$3:$H$102,5,FALSE)-VLOOKUP(zeta!$A31,main!$A$3:$H$102,6,FALSE),0)</f>
        <v>0</v>
      </c>
      <c r="N31">
        <f>IF(gamma!N31,VLOOKUP(zeta!N$1,main!$A$3:$H$102,5,FALSE)-VLOOKUP(zeta!$A31,main!$A$3:$H$102,6,FALSE),0)</f>
        <v>0</v>
      </c>
      <c r="O31">
        <f>IF(gamma!O31,VLOOKUP(zeta!O$1,main!$A$3:$H$102,5,FALSE)-VLOOKUP(zeta!$A31,main!$A$3:$H$102,6,FALSE),0)</f>
        <v>0</v>
      </c>
      <c r="P31">
        <f>IF(gamma!P31,VLOOKUP(zeta!P$1,main!$A$3:$H$102,5,FALSE)-VLOOKUP(zeta!$A31,main!$A$3:$H$102,6,FALSE),0)</f>
        <v>0</v>
      </c>
      <c r="Q31">
        <f>IF(gamma!Q31,VLOOKUP(zeta!Q$1,main!$A$3:$H$102,5,FALSE)-VLOOKUP(zeta!$A31,main!$A$3:$H$102,6,FALSE),0)</f>
        <v>0</v>
      </c>
      <c r="R31">
        <f>IF(gamma!R31,VLOOKUP(zeta!R$1,main!$A$3:$H$102,5,FALSE)-VLOOKUP(zeta!$A31,main!$A$3:$H$102,6,FALSE),0)</f>
        <v>0</v>
      </c>
      <c r="S31">
        <f>IF(gamma!S31,VLOOKUP(zeta!S$1,main!$A$3:$H$102,5,FALSE)-VLOOKUP(zeta!$A31,main!$A$3:$H$102,6,FALSE),0)</f>
        <v>0</v>
      </c>
      <c r="T31">
        <f>IF(gamma!T31,VLOOKUP(zeta!T$1,main!$A$3:$H$102,5,FALSE)-VLOOKUP(zeta!$A31,main!$A$3:$H$102,6,FALSE),0)</f>
        <v>0</v>
      </c>
      <c r="U31">
        <f>IF(gamma!U31,VLOOKUP(zeta!U$1,main!$A$3:$H$102,5,FALSE)-VLOOKUP(zeta!$A31,main!$A$3:$H$102,6,FALSE),0)</f>
        <v>85</v>
      </c>
      <c r="V31">
        <f>IF(gamma!V31,VLOOKUP(zeta!V$1,main!$A$3:$H$102,5,FALSE)-VLOOKUP(zeta!$A31,main!$A$3:$H$102,6,FALSE),0)</f>
        <v>145</v>
      </c>
      <c r="W31">
        <f>IF(gamma!W31,VLOOKUP(zeta!W$1,main!$A$3:$H$102,5,FALSE)-VLOOKUP(zeta!$A31,main!$A$3:$H$102,6,FALSE),0)</f>
        <v>0</v>
      </c>
      <c r="X31">
        <f>IF(gamma!X31,VLOOKUP(zeta!X$1,main!$A$3:$H$102,5,FALSE)-VLOOKUP(zeta!$A31,main!$A$3:$H$102,6,FALSE),0)</f>
        <v>0</v>
      </c>
      <c r="Y31">
        <f>IF(gamma!Y31,VLOOKUP(zeta!Y$1,main!$A$3:$H$102,5,FALSE)-VLOOKUP(zeta!$A31,main!$A$3:$H$102,6,FALSE),0)</f>
        <v>0</v>
      </c>
      <c r="Z31">
        <f>IF(gamma!Z31,VLOOKUP(zeta!Z$1,main!$A$3:$H$102,5,FALSE)-VLOOKUP(zeta!$A31,main!$A$3:$H$102,6,FALSE),0)</f>
        <v>0</v>
      </c>
      <c r="AA31">
        <f>IF(gamma!AA31,VLOOKUP(zeta!AA$1,main!$A$3:$H$102,5,FALSE)-VLOOKUP(zeta!$A31,main!$A$3:$H$102,6,FALSE),0)</f>
        <v>50</v>
      </c>
      <c r="AB31">
        <f>IF(gamma!AB31,VLOOKUP(zeta!AB$1,main!$A$3:$H$102,5,FALSE)-VLOOKUP(zeta!$A31,main!$A$3:$H$102,6,FALSE),0)</f>
        <v>0</v>
      </c>
      <c r="AC31">
        <f>IF(gamma!AC31,VLOOKUP(zeta!AC$1,main!$A$3:$H$102,5,FALSE)-VLOOKUP(zeta!$A31,main!$A$3:$H$102,6,FALSE),0)</f>
        <v>0</v>
      </c>
      <c r="AD31">
        <f>IF(gamma!AD31,VLOOKUP(zeta!AD$1,main!$A$3:$H$102,5,FALSE)-VLOOKUP(zeta!$A31,main!$A$3:$H$102,6,FALSE),0)</f>
        <v>0</v>
      </c>
      <c r="AE31">
        <f>IF(gamma!AE31,VLOOKUP(zeta!AE$1,main!$A$3:$H$102,5,FALSE)-VLOOKUP(zeta!$A31,main!$A$3:$H$102,6,FALSE),0)</f>
        <v>0</v>
      </c>
      <c r="AF31">
        <f>IF(gamma!AF31,VLOOKUP(zeta!AF$1,main!$A$3:$H$102,5,FALSE)-VLOOKUP(zeta!$A31,main!$A$3:$H$102,6,FALSE),0)</f>
        <v>0</v>
      </c>
      <c r="AG31">
        <f>IF(gamma!AG31,VLOOKUP(zeta!AG$1,main!$A$3:$H$102,5,FALSE)-VLOOKUP(zeta!$A31,main!$A$3:$H$102,6,FALSE),0)</f>
        <v>0</v>
      </c>
      <c r="AH31">
        <f>IF(gamma!AH31,VLOOKUP(zeta!AH$1,main!$A$3:$H$102,5,FALSE)-VLOOKUP(zeta!$A31,main!$A$3:$H$102,6,FALSE),0)</f>
        <v>0</v>
      </c>
      <c r="AI31">
        <f>IF(gamma!AI31,VLOOKUP(zeta!AI$1,main!$A$3:$H$102,5,FALSE)-VLOOKUP(zeta!$A31,main!$A$3:$H$102,6,FALSE),0)</f>
        <v>0</v>
      </c>
      <c r="AJ31">
        <f>IF(gamma!AJ31,VLOOKUP(zeta!AJ$1,main!$A$3:$H$102,5,FALSE)-VLOOKUP(zeta!$A31,main!$A$3:$H$102,6,FALSE),0)</f>
        <v>0</v>
      </c>
      <c r="AK31">
        <f>IF(gamma!AK31,VLOOKUP(zeta!AK$1,main!$A$3:$H$102,5,FALSE)-VLOOKUP(zeta!$A31,main!$A$3:$H$102,6,FALSE),0)</f>
        <v>0</v>
      </c>
      <c r="AL31">
        <f>IF(gamma!AL31,VLOOKUP(zeta!AL$1,main!$A$3:$H$102,5,FALSE)-VLOOKUP(zeta!$A31,main!$A$3:$H$102,6,FALSE),0)</f>
        <v>0</v>
      </c>
      <c r="AM31">
        <f>IF(gamma!AM31,VLOOKUP(zeta!AM$1,main!$A$3:$H$102,5,FALSE)-VLOOKUP(zeta!$A31,main!$A$3:$H$102,6,FALSE),0)</f>
        <v>0</v>
      </c>
      <c r="AN31">
        <f>IF(gamma!AN31,VLOOKUP(zeta!AN$1,main!$A$3:$H$102,5,FALSE)-VLOOKUP(zeta!$A31,main!$A$3:$H$102,6,FALSE),0)</f>
        <v>70</v>
      </c>
      <c r="AO31">
        <f>IF(gamma!AO31,VLOOKUP(zeta!AO$1,main!$A$3:$H$102,5,FALSE)-VLOOKUP(zeta!$A31,main!$A$3:$H$102,6,FALSE),0)</f>
        <v>0</v>
      </c>
      <c r="AP31">
        <f>IF(gamma!AP31,VLOOKUP(zeta!AP$1,main!$A$3:$H$102,5,FALSE)-VLOOKUP(zeta!$A31,main!$A$3:$H$102,6,FALSE),0)</f>
        <v>130</v>
      </c>
      <c r="AQ31">
        <f>IF(gamma!AQ31,VLOOKUP(zeta!AQ$1,main!$A$3:$H$102,5,FALSE)-VLOOKUP(zeta!$A31,main!$A$3:$H$102,6,FALSE),0)</f>
        <v>0</v>
      </c>
      <c r="AR31">
        <f>IF(gamma!AR31,VLOOKUP(zeta!AR$1,main!$A$3:$H$102,5,FALSE)-VLOOKUP(zeta!$A31,main!$A$3:$H$102,6,FALSE),0)</f>
        <v>0</v>
      </c>
      <c r="AS31">
        <f>IF(gamma!AS31,VLOOKUP(zeta!AS$1,main!$A$3:$H$102,5,FALSE)-VLOOKUP(zeta!$A31,main!$A$3:$H$102,6,FALSE),0)</f>
        <v>0</v>
      </c>
      <c r="AT31">
        <f>IF(gamma!AT31,VLOOKUP(zeta!AT$1,main!$A$3:$H$102,5,FALSE)-VLOOKUP(zeta!$A31,main!$A$3:$H$102,6,FALSE),0)</f>
        <v>0</v>
      </c>
      <c r="AU31">
        <f>IF(gamma!AU31,VLOOKUP(zeta!AU$1,main!$A$3:$H$102,5,FALSE)-VLOOKUP(zeta!$A31,main!$A$3:$H$102,6,FALSE),0)</f>
        <v>0</v>
      </c>
      <c r="AV31">
        <f>IF(gamma!AV31,VLOOKUP(zeta!AV$1,main!$A$3:$H$102,5,FALSE)-VLOOKUP(zeta!$A31,main!$A$3:$H$102,6,FALSE),0)</f>
        <v>0</v>
      </c>
      <c r="AW31">
        <f>IF(gamma!AW31,VLOOKUP(zeta!AW$1,main!$A$3:$H$102,5,FALSE)-VLOOKUP(zeta!$A31,main!$A$3:$H$102,6,FALSE),0)</f>
        <v>0</v>
      </c>
      <c r="AX31">
        <f>IF(gamma!AX31,VLOOKUP(zeta!AX$1,main!$A$3:$H$102,5,FALSE)-VLOOKUP(zeta!$A31,main!$A$3:$H$102,6,FALSE),0)</f>
        <v>0</v>
      </c>
      <c r="AY31">
        <f>IF(gamma!AY31,VLOOKUP(zeta!AY$1,main!$A$3:$H$102,5,FALSE)-VLOOKUP(zeta!$A31,main!$A$3:$H$102,6,FALSE),0)</f>
        <v>0</v>
      </c>
      <c r="AZ31">
        <f>IF(gamma!AZ31,VLOOKUP(zeta!AZ$1,main!$A$3:$H$102,5,FALSE)-VLOOKUP(zeta!$A31,main!$A$3:$H$102,6,FALSE),0)</f>
        <v>0</v>
      </c>
      <c r="BA31">
        <f>IF(gamma!BA31,VLOOKUP(zeta!BA$1,main!$A$3:$H$102,5,FALSE)-VLOOKUP(zeta!$A31,main!$A$3:$H$102,6,FALSE),0)</f>
        <v>0</v>
      </c>
      <c r="BB31">
        <f>IF(gamma!BB31,VLOOKUP(zeta!BB$1,main!$A$3:$H$102,5,FALSE)-VLOOKUP(zeta!$A31,main!$A$3:$H$102,6,FALSE),0)</f>
        <v>0</v>
      </c>
      <c r="BC31">
        <f>IF(gamma!BC31,VLOOKUP(zeta!BC$1,main!$A$3:$H$102,5,FALSE)-VLOOKUP(zeta!$A31,main!$A$3:$H$102,6,FALSE),0)</f>
        <v>0</v>
      </c>
      <c r="BD31">
        <f>IF(gamma!BD31,VLOOKUP(zeta!BD$1,main!$A$3:$H$102,5,FALSE)-VLOOKUP(zeta!$A31,main!$A$3:$H$102,6,FALSE),0)</f>
        <v>0</v>
      </c>
      <c r="BE31">
        <f>IF(gamma!BE31,VLOOKUP(zeta!BE$1,main!$A$3:$H$102,5,FALSE)-VLOOKUP(zeta!$A31,main!$A$3:$H$102,6,FALSE),0)</f>
        <v>0</v>
      </c>
      <c r="BF31">
        <f>IF(gamma!BF31,VLOOKUP(zeta!BF$1,main!$A$3:$H$102,5,FALSE)-VLOOKUP(zeta!$A31,main!$A$3:$H$102,6,FALSE),0)</f>
        <v>0</v>
      </c>
      <c r="BG31">
        <f>IF(gamma!BG31,VLOOKUP(zeta!BG$1,main!$A$3:$H$102,5,FALSE)-VLOOKUP(zeta!$A31,main!$A$3:$H$102,6,FALSE),0)</f>
        <v>0</v>
      </c>
      <c r="BH31">
        <f>IF(gamma!BH31,VLOOKUP(zeta!BH$1,main!$A$3:$H$102,5,FALSE)-VLOOKUP(zeta!$A31,main!$A$3:$H$102,6,FALSE),0)</f>
        <v>0</v>
      </c>
      <c r="BI31">
        <f>IF(gamma!BI31,VLOOKUP(zeta!BI$1,main!$A$3:$H$102,5,FALSE)-VLOOKUP(zeta!$A31,main!$A$3:$H$102,6,FALSE),0)</f>
        <v>140</v>
      </c>
      <c r="BJ31">
        <f>IF(gamma!BJ31,VLOOKUP(zeta!BJ$1,main!$A$3:$H$102,5,FALSE)-VLOOKUP(zeta!$A31,main!$A$3:$H$102,6,FALSE),0)</f>
        <v>0</v>
      </c>
      <c r="BK31">
        <f>IF(gamma!BK31,VLOOKUP(zeta!BK$1,main!$A$3:$H$102,5,FALSE)-VLOOKUP(zeta!$A31,main!$A$3:$H$102,6,FALSE),0)</f>
        <v>0</v>
      </c>
      <c r="BL31">
        <f>IF(gamma!BL31,VLOOKUP(zeta!BL$1,main!$A$3:$H$102,5,FALSE)-VLOOKUP(zeta!$A31,main!$A$3:$H$102,6,FALSE),0)</f>
        <v>0</v>
      </c>
      <c r="BM31">
        <f>IF(gamma!BM31,VLOOKUP(zeta!BM$1,main!$A$3:$H$102,5,FALSE)-VLOOKUP(zeta!$A31,main!$A$3:$H$102,6,FALSE),0)</f>
        <v>0</v>
      </c>
      <c r="BN31">
        <f>IF(gamma!BN31,VLOOKUP(zeta!BN$1,main!$A$3:$H$102,5,FALSE)-VLOOKUP(zeta!$A31,main!$A$3:$H$102,6,FALSE),0)</f>
        <v>0</v>
      </c>
      <c r="BO31">
        <f>IF(gamma!BO31,VLOOKUP(zeta!BO$1,main!$A$3:$H$102,5,FALSE)-VLOOKUP(zeta!$A31,main!$A$3:$H$102,6,FALSE),0)</f>
        <v>0</v>
      </c>
      <c r="BP31">
        <f>IF(gamma!BP31,VLOOKUP(zeta!BP$1,main!$A$3:$H$102,5,FALSE)-VLOOKUP(zeta!$A31,main!$A$3:$H$102,6,FALSE),0)</f>
        <v>0</v>
      </c>
      <c r="BQ31">
        <f>IF(gamma!BQ31,VLOOKUP(zeta!BQ$1,main!$A$3:$H$102,5,FALSE)-VLOOKUP(zeta!$A31,main!$A$3:$H$102,6,FALSE),0)</f>
        <v>0</v>
      </c>
      <c r="BR31">
        <f>IF(gamma!BR31,VLOOKUP(zeta!BR$1,main!$A$3:$H$102,5,FALSE)-VLOOKUP(zeta!$A31,main!$A$3:$H$102,6,FALSE),0)</f>
        <v>0</v>
      </c>
      <c r="BS31">
        <f>IF(gamma!BS31,VLOOKUP(zeta!BS$1,main!$A$3:$H$102,5,FALSE)-VLOOKUP(zeta!$A31,main!$A$3:$H$102,6,FALSE),0)</f>
        <v>0</v>
      </c>
      <c r="BT31">
        <f>IF(gamma!BT31,VLOOKUP(zeta!BT$1,main!$A$3:$H$102,5,FALSE)-VLOOKUP(zeta!$A31,main!$A$3:$H$102,6,FALSE),0)</f>
        <v>0</v>
      </c>
      <c r="BU31">
        <f>IF(gamma!BU31,VLOOKUP(zeta!BU$1,main!$A$3:$H$102,5,FALSE)-VLOOKUP(zeta!$A31,main!$A$3:$H$102,6,FALSE),0)</f>
        <v>0</v>
      </c>
      <c r="BV31">
        <f>IF(gamma!BV31,VLOOKUP(zeta!BV$1,main!$A$3:$H$102,5,FALSE)-VLOOKUP(zeta!$A31,main!$A$3:$H$102,6,FALSE),0)</f>
        <v>0</v>
      </c>
      <c r="BW31">
        <f>IF(gamma!BW31,VLOOKUP(zeta!BW$1,main!$A$3:$H$102,5,FALSE)-VLOOKUP(zeta!$A31,main!$A$3:$H$102,6,FALSE),0)</f>
        <v>0</v>
      </c>
      <c r="BX31">
        <f>IF(gamma!BX31,VLOOKUP(zeta!BX$1,main!$A$3:$H$102,5,FALSE)-VLOOKUP(zeta!$A31,main!$A$3:$H$102,6,FALSE),0)</f>
        <v>0</v>
      </c>
      <c r="BY31">
        <f>IF(gamma!BY31,VLOOKUP(zeta!BY$1,main!$A$3:$H$102,5,FALSE)-VLOOKUP(zeta!$A31,main!$A$3:$H$102,6,FALSE),0)</f>
        <v>0</v>
      </c>
      <c r="BZ31">
        <f>IF(gamma!BZ31,VLOOKUP(zeta!BZ$1,main!$A$3:$H$102,5,FALSE)-VLOOKUP(zeta!$A31,main!$A$3:$H$102,6,FALSE),0)</f>
        <v>0</v>
      </c>
      <c r="CA31">
        <f>IF(gamma!CA31,VLOOKUP(zeta!CA$1,main!$A$3:$H$102,5,FALSE)-VLOOKUP(zeta!$A31,main!$A$3:$H$102,6,FALSE),0)</f>
        <v>0</v>
      </c>
      <c r="CB31">
        <f>IF(gamma!CB31,VLOOKUP(zeta!CB$1,main!$A$3:$H$102,5,FALSE)-VLOOKUP(zeta!$A31,main!$A$3:$H$102,6,FALSE),0)</f>
        <v>0</v>
      </c>
      <c r="CC31">
        <f>IF(gamma!CC31,VLOOKUP(zeta!CC$1,main!$A$3:$H$102,5,FALSE)-VLOOKUP(zeta!$A31,main!$A$3:$H$102,6,FALSE),0)</f>
        <v>0</v>
      </c>
      <c r="CD31">
        <f>IF(gamma!CD31,VLOOKUP(zeta!CD$1,main!$A$3:$H$102,5,FALSE)-VLOOKUP(zeta!$A31,main!$A$3:$H$102,6,FALSE),0)</f>
        <v>0</v>
      </c>
      <c r="CE31">
        <f>IF(gamma!CE31,VLOOKUP(zeta!CE$1,main!$A$3:$H$102,5,FALSE)-VLOOKUP(zeta!$A31,main!$A$3:$H$102,6,FALSE),0)</f>
        <v>0</v>
      </c>
      <c r="CF31">
        <f>IF(gamma!CF31,VLOOKUP(zeta!CF$1,main!$A$3:$H$102,5,FALSE)-VLOOKUP(zeta!$A31,main!$A$3:$H$102,6,FALSE),0)</f>
        <v>0</v>
      </c>
      <c r="CG31">
        <f>IF(gamma!CG31,VLOOKUP(zeta!CG$1,main!$A$3:$H$102,5,FALSE)-VLOOKUP(zeta!$A31,main!$A$3:$H$102,6,FALSE),0)</f>
        <v>0</v>
      </c>
      <c r="CH31">
        <f>IF(gamma!CH31,VLOOKUP(zeta!CH$1,main!$A$3:$H$102,5,FALSE)-VLOOKUP(zeta!$A31,main!$A$3:$H$102,6,FALSE),0)</f>
        <v>0</v>
      </c>
      <c r="CI31">
        <f>IF(gamma!CI31,VLOOKUP(zeta!CI$1,main!$A$3:$H$102,5,FALSE)-VLOOKUP(zeta!$A31,main!$A$3:$H$102,6,FALSE),0)</f>
        <v>130</v>
      </c>
      <c r="CJ31">
        <f>IF(gamma!CJ31,VLOOKUP(zeta!CJ$1,main!$A$3:$H$102,5,FALSE)-VLOOKUP(zeta!$A31,main!$A$3:$H$102,6,FALSE),0)</f>
        <v>0</v>
      </c>
      <c r="CK31">
        <f>IF(gamma!CK31,VLOOKUP(zeta!CK$1,main!$A$3:$H$102,5,FALSE)-VLOOKUP(zeta!$A31,main!$A$3:$H$102,6,FALSE),0)</f>
        <v>0</v>
      </c>
      <c r="CL31">
        <f>IF(gamma!CL31,VLOOKUP(zeta!CL$1,main!$A$3:$H$102,5,FALSE)-VLOOKUP(zeta!$A31,main!$A$3:$H$102,6,FALSE),0)</f>
        <v>0</v>
      </c>
      <c r="CM31">
        <f>IF(gamma!CM31,VLOOKUP(zeta!CM$1,main!$A$3:$H$102,5,FALSE)-VLOOKUP(zeta!$A31,main!$A$3:$H$102,6,FALSE),0)</f>
        <v>0</v>
      </c>
      <c r="CN31">
        <f>IF(gamma!CN31,VLOOKUP(zeta!CN$1,main!$A$3:$H$102,5,FALSE)-VLOOKUP(zeta!$A31,main!$A$3:$H$102,6,FALSE),0)</f>
        <v>130</v>
      </c>
      <c r="CO31">
        <f>IF(gamma!CO31,VLOOKUP(zeta!CO$1,main!$A$3:$H$102,5,FALSE)-VLOOKUP(zeta!$A31,main!$A$3:$H$102,6,FALSE),0)</f>
        <v>0</v>
      </c>
      <c r="CP31">
        <f>IF(gamma!CP31,VLOOKUP(zeta!CP$1,main!$A$3:$H$102,5,FALSE)-VLOOKUP(zeta!$A31,main!$A$3:$H$102,6,FALSE),0)</f>
        <v>0</v>
      </c>
      <c r="CQ31">
        <f>IF(gamma!CQ31,VLOOKUP(zeta!CQ$1,main!$A$3:$H$102,5,FALSE)-VLOOKUP(zeta!$A31,main!$A$3:$H$102,6,FALSE),0)</f>
        <v>0</v>
      </c>
      <c r="CR31">
        <f>IF(gamma!CR31,VLOOKUP(zeta!CR$1,main!$A$3:$H$102,5,FALSE)-VLOOKUP(zeta!$A31,main!$A$3:$H$102,6,FALSE),0)</f>
        <v>0</v>
      </c>
      <c r="CS31">
        <f>IF(gamma!CS31,VLOOKUP(zeta!CS$1,main!$A$3:$H$102,5,FALSE)-VLOOKUP(zeta!$A31,main!$A$3:$H$102,6,FALSE),0)</f>
        <v>0</v>
      </c>
      <c r="CT31">
        <f>IF(gamma!CT31,VLOOKUP(zeta!CT$1,main!$A$3:$H$102,5,FALSE)-VLOOKUP(zeta!$A31,main!$A$3:$H$102,6,FALSE),0)</f>
        <v>0</v>
      </c>
      <c r="CU31">
        <f>IF(gamma!CU31,VLOOKUP(zeta!CU$1,main!$A$3:$H$102,5,FALSE)-VLOOKUP(zeta!$A31,main!$A$3:$H$102,6,FALSE),0)</f>
        <v>0</v>
      </c>
      <c r="CV31">
        <f>IF(gamma!CV31,VLOOKUP(zeta!CV$1,main!$A$3:$H$102,5,FALSE)-VLOOKUP(zeta!$A31,main!$A$3:$H$102,6,FALSE),0)</f>
        <v>0</v>
      </c>
      <c r="CW31">
        <f>IF(gamma!CW31,VLOOKUP(zeta!CW$1,main!$A$3:$H$102,5,FALSE)-VLOOKUP(zeta!$A31,main!$A$3:$H$102,6,FALSE),0)</f>
        <v>0</v>
      </c>
      <c r="CX31">
        <f>IF(gamma!CX31,VLOOKUP(zeta!CX$1,main!$A$3:$H$102,5,FALSE)-VLOOKUP(zeta!$A31,main!$A$3:$H$102,6,FALSE),0)</f>
        <v>0</v>
      </c>
    </row>
    <row r="32" spans="1:102" x14ac:dyDescent="0.25">
      <c r="A32">
        <f t="shared" si="0"/>
        <v>30</v>
      </c>
      <c r="B32">
        <v>0</v>
      </c>
      <c r="C32">
        <f>IF(gamma!C32,VLOOKUP(zeta!C$1,main!$A$3:$H$102,5,FALSE)-VLOOKUP(zeta!$A32,main!$A$3:$H$102,6,FALSE),0)</f>
        <v>0</v>
      </c>
      <c r="D32">
        <f>IF(gamma!D32,VLOOKUP(zeta!D$1,main!$A$3:$H$102,5,FALSE)-VLOOKUP(zeta!$A32,main!$A$3:$H$102,6,FALSE),0)</f>
        <v>0</v>
      </c>
      <c r="E32">
        <f>IF(gamma!E32,VLOOKUP(zeta!E$1,main!$A$3:$H$102,5,FALSE)-VLOOKUP(zeta!$A32,main!$A$3:$H$102,6,FALSE),0)</f>
        <v>0</v>
      </c>
      <c r="F32">
        <f>IF(gamma!F32,VLOOKUP(zeta!F$1,main!$A$3:$H$102,5,FALSE)-VLOOKUP(zeta!$A32,main!$A$3:$H$102,6,FALSE),0)</f>
        <v>0</v>
      </c>
      <c r="G32">
        <f>IF(gamma!G32,VLOOKUP(zeta!G$1,main!$A$3:$H$102,5,FALSE)-VLOOKUP(zeta!$A32,main!$A$3:$H$102,6,FALSE),0)</f>
        <v>0</v>
      </c>
      <c r="H32">
        <f>IF(gamma!H32,VLOOKUP(zeta!H$1,main!$A$3:$H$102,5,FALSE)-VLOOKUP(zeta!$A32,main!$A$3:$H$102,6,FALSE),0)</f>
        <v>0</v>
      </c>
      <c r="I32">
        <f>IF(gamma!I32,VLOOKUP(zeta!I$1,main!$A$3:$H$102,5,FALSE)-VLOOKUP(zeta!$A32,main!$A$3:$H$102,6,FALSE),0)</f>
        <v>0</v>
      </c>
      <c r="J32">
        <f>IF(gamma!J32,VLOOKUP(zeta!J$1,main!$A$3:$H$102,5,FALSE)-VLOOKUP(zeta!$A32,main!$A$3:$H$102,6,FALSE),0)</f>
        <v>0</v>
      </c>
      <c r="K32">
        <f>IF(gamma!K32,VLOOKUP(zeta!K$1,main!$A$3:$H$102,5,FALSE)-VLOOKUP(zeta!$A32,main!$A$3:$H$102,6,FALSE),0)</f>
        <v>0</v>
      </c>
      <c r="L32">
        <f>IF(gamma!L32,VLOOKUP(zeta!L$1,main!$A$3:$H$102,5,FALSE)-VLOOKUP(zeta!$A32,main!$A$3:$H$102,6,FALSE),0)</f>
        <v>0</v>
      </c>
      <c r="M32">
        <f>IF(gamma!M32,VLOOKUP(zeta!M$1,main!$A$3:$H$102,5,FALSE)-VLOOKUP(zeta!$A32,main!$A$3:$H$102,6,FALSE),0)</f>
        <v>0</v>
      </c>
      <c r="N32">
        <f>IF(gamma!N32,VLOOKUP(zeta!N$1,main!$A$3:$H$102,5,FALSE)-VLOOKUP(zeta!$A32,main!$A$3:$H$102,6,FALSE),0)</f>
        <v>0</v>
      </c>
      <c r="O32">
        <f>IF(gamma!O32,VLOOKUP(zeta!O$1,main!$A$3:$H$102,5,FALSE)-VLOOKUP(zeta!$A32,main!$A$3:$H$102,6,FALSE),0)</f>
        <v>0</v>
      </c>
      <c r="P32">
        <f>IF(gamma!P32,VLOOKUP(zeta!P$1,main!$A$3:$H$102,5,FALSE)-VLOOKUP(zeta!$A32,main!$A$3:$H$102,6,FALSE),0)</f>
        <v>0</v>
      </c>
      <c r="Q32">
        <f>IF(gamma!Q32,VLOOKUP(zeta!Q$1,main!$A$3:$H$102,5,FALSE)-VLOOKUP(zeta!$A32,main!$A$3:$H$102,6,FALSE),0)</f>
        <v>0</v>
      </c>
      <c r="R32">
        <f>IF(gamma!R32,VLOOKUP(zeta!R$1,main!$A$3:$H$102,5,FALSE)-VLOOKUP(zeta!$A32,main!$A$3:$H$102,6,FALSE),0)</f>
        <v>0</v>
      </c>
      <c r="S32">
        <f>IF(gamma!S32,VLOOKUP(zeta!S$1,main!$A$3:$H$102,5,FALSE)-VLOOKUP(zeta!$A32,main!$A$3:$H$102,6,FALSE),0)</f>
        <v>0</v>
      </c>
      <c r="T32">
        <f>IF(gamma!T32,VLOOKUP(zeta!T$1,main!$A$3:$H$102,5,FALSE)-VLOOKUP(zeta!$A32,main!$A$3:$H$102,6,FALSE),0)</f>
        <v>0</v>
      </c>
      <c r="U32">
        <f>IF(gamma!U32,VLOOKUP(zeta!U$1,main!$A$3:$H$102,5,FALSE)-VLOOKUP(zeta!$A32,main!$A$3:$H$102,6,FALSE),0)</f>
        <v>0</v>
      </c>
      <c r="V32">
        <f>IF(gamma!V32,VLOOKUP(zeta!V$1,main!$A$3:$H$102,5,FALSE)-VLOOKUP(zeta!$A32,main!$A$3:$H$102,6,FALSE),0)</f>
        <v>0</v>
      </c>
      <c r="W32">
        <f>IF(gamma!W32,VLOOKUP(zeta!W$1,main!$A$3:$H$102,5,FALSE)-VLOOKUP(zeta!$A32,main!$A$3:$H$102,6,FALSE),0)</f>
        <v>0</v>
      </c>
      <c r="X32">
        <f>IF(gamma!X32,VLOOKUP(zeta!X$1,main!$A$3:$H$102,5,FALSE)-VLOOKUP(zeta!$A32,main!$A$3:$H$102,6,FALSE),0)</f>
        <v>0</v>
      </c>
      <c r="Y32">
        <f>IF(gamma!Y32,VLOOKUP(zeta!Y$1,main!$A$3:$H$102,5,FALSE)-VLOOKUP(zeta!$A32,main!$A$3:$H$102,6,FALSE),0)</f>
        <v>0</v>
      </c>
      <c r="Z32">
        <f>IF(gamma!Z32,VLOOKUP(zeta!Z$1,main!$A$3:$H$102,5,FALSE)-VLOOKUP(zeta!$A32,main!$A$3:$H$102,6,FALSE),0)</f>
        <v>0</v>
      </c>
      <c r="AA32">
        <f>IF(gamma!AA32,VLOOKUP(zeta!AA$1,main!$A$3:$H$102,5,FALSE)-VLOOKUP(zeta!$A32,main!$A$3:$H$102,6,FALSE),0)</f>
        <v>0</v>
      </c>
      <c r="AB32">
        <f>IF(gamma!AB32,VLOOKUP(zeta!AB$1,main!$A$3:$H$102,5,FALSE)-VLOOKUP(zeta!$A32,main!$A$3:$H$102,6,FALSE),0)</f>
        <v>0</v>
      </c>
      <c r="AC32">
        <f>IF(gamma!AC32,VLOOKUP(zeta!AC$1,main!$A$3:$H$102,5,FALSE)-VLOOKUP(zeta!$A32,main!$A$3:$H$102,6,FALSE),0)</f>
        <v>0</v>
      </c>
      <c r="AD32">
        <f>IF(gamma!AD32,VLOOKUP(zeta!AD$1,main!$A$3:$H$102,5,FALSE)-VLOOKUP(zeta!$A32,main!$A$3:$H$102,6,FALSE),0)</f>
        <v>0</v>
      </c>
      <c r="AE32">
        <f>IF(gamma!AE32,VLOOKUP(zeta!AE$1,main!$A$3:$H$102,5,FALSE)-VLOOKUP(zeta!$A32,main!$A$3:$H$102,6,FALSE),0)</f>
        <v>0</v>
      </c>
      <c r="AF32">
        <f>IF(gamma!AF32,VLOOKUP(zeta!AF$1,main!$A$3:$H$102,5,FALSE)-VLOOKUP(zeta!$A32,main!$A$3:$H$102,6,FALSE),0)</f>
        <v>0</v>
      </c>
      <c r="AG32">
        <f>IF(gamma!AG32,VLOOKUP(zeta!AG$1,main!$A$3:$H$102,5,FALSE)-VLOOKUP(zeta!$A32,main!$A$3:$H$102,6,FALSE),0)</f>
        <v>0</v>
      </c>
      <c r="AH32">
        <f>IF(gamma!AH32,VLOOKUP(zeta!AH$1,main!$A$3:$H$102,5,FALSE)-VLOOKUP(zeta!$A32,main!$A$3:$H$102,6,FALSE),0)</f>
        <v>0</v>
      </c>
      <c r="AI32">
        <f>IF(gamma!AI32,VLOOKUP(zeta!AI$1,main!$A$3:$H$102,5,FALSE)-VLOOKUP(zeta!$A32,main!$A$3:$H$102,6,FALSE),0)</f>
        <v>0</v>
      </c>
      <c r="AJ32">
        <f>IF(gamma!AJ32,VLOOKUP(zeta!AJ$1,main!$A$3:$H$102,5,FALSE)-VLOOKUP(zeta!$A32,main!$A$3:$H$102,6,FALSE),0)</f>
        <v>0</v>
      </c>
      <c r="AK32">
        <f>IF(gamma!AK32,VLOOKUP(zeta!AK$1,main!$A$3:$H$102,5,FALSE)-VLOOKUP(zeta!$A32,main!$A$3:$H$102,6,FALSE),0)</f>
        <v>0</v>
      </c>
      <c r="AL32">
        <f>IF(gamma!AL32,VLOOKUP(zeta!AL$1,main!$A$3:$H$102,5,FALSE)-VLOOKUP(zeta!$A32,main!$A$3:$H$102,6,FALSE),0)</f>
        <v>0</v>
      </c>
      <c r="AM32">
        <f>IF(gamma!AM32,VLOOKUP(zeta!AM$1,main!$A$3:$H$102,5,FALSE)-VLOOKUP(zeta!$A32,main!$A$3:$H$102,6,FALSE),0)</f>
        <v>0</v>
      </c>
      <c r="AN32">
        <f>IF(gamma!AN32,VLOOKUP(zeta!AN$1,main!$A$3:$H$102,5,FALSE)-VLOOKUP(zeta!$A32,main!$A$3:$H$102,6,FALSE),0)</f>
        <v>0</v>
      </c>
      <c r="AO32">
        <f>IF(gamma!AO32,VLOOKUP(zeta!AO$1,main!$A$3:$H$102,5,FALSE)-VLOOKUP(zeta!$A32,main!$A$3:$H$102,6,FALSE),0)</f>
        <v>0</v>
      </c>
      <c r="AP32">
        <f>IF(gamma!AP32,VLOOKUP(zeta!AP$1,main!$A$3:$H$102,5,FALSE)-VLOOKUP(zeta!$A32,main!$A$3:$H$102,6,FALSE),0)</f>
        <v>0</v>
      </c>
      <c r="AQ32">
        <f>IF(gamma!AQ32,VLOOKUP(zeta!AQ$1,main!$A$3:$H$102,5,FALSE)-VLOOKUP(zeta!$A32,main!$A$3:$H$102,6,FALSE),0)</f>
        <v>0</v>
      </c>
      <c r="AR32">
        <f>IF(gamma!AR32,VLOOKUP(zeta!AR$1,main!$A$3:$H$102,5,FALSE)-VLOOKUP(zeta!$A32,main!$A$3:$H$102,6,FALSE),0)</f>
        <v>0</v>
      </c>
      <c r="AS32">
        <f>IF(gamma!AS32,VLOOKUP(zeta!AS$1,main!$A$3:$H$102,5,FALSE)-VLOOKUP(zeta!$A32,main!$A$3:$H$102,6,FALSE),0)</f>
        <v>0</v>
      </c>
      <c r="AT32">
        <f>IF(gamma!AT32,VLOOKUP(zeta!AT$1,main!$A$3:$H$102,5,FALSE)-VLOOKUP(zeta!$A32,main!$A$3:$H$102,6,FALSE),0)</f>
        <v>0</v>
      </c>
      <c r="AU32">
        <f>IF(gamma!AU32,VLOOKUP(zeta!AU$1,main!$A$3:$H$102,5,FALSE)-VLOOKUP(zeta!$A32,main!$A$3:$H$102,6,FALSE),0)</f>
        <v>0</v>
      </c>
      <c r="AV32">
        <f>IF(gamma!AV32,VLOOKUP(zeta!AV$1,main!$A$3:$H$102,5,FALSE)-VLOOKUP(zeta!$A32,main!$A$3:$H$102,6,FALSE),0)</f>
        <v>0</v>
      </c>
      <c r="AW32">
        <f>IF(gamma!AW32,VLOOKUP(zeta!AW$1,main!$A$3:$H$102,5,FALSE)-VLOOKUP(zeta!$A32,main!$A$3:$H$102,6,FALSE),0)</f>
        <v>0</v>
      </c>
      <c r="AX32">
        <f>IF(gamma!AX32,VLOOKUP(zeta!AX$1,main!$A$3:$H$102,5,FALSE)-VLOOKUP(zeta!$A32,main!$A$3:$H$102,6,FALSE),0)</f>
        <v>0</v>
      </c>
      <c r="AY32">
        <f>IF(gamma!AY32,VLOOKUP(zeta!AY$1,main!$A$3:$H$102,5,FALSE)-VLOOKUP(zeta!$A32,main!$A$3:$H$102,6,FALSE),0)</f>
        <v>0</v>
      </c>
      <c r="AZ32">
        <f>IF(gamma!AZ32,VLOOKUP(zeta!AZ$1,main!$A$3:$H$102,5,FALSE)-VLOOKUP(zeta!$A32,main!$A$3:$H$102,6,FALSE),0)</f>
        <v>0</v>
      </c>
      <c r="BA32">
        <f>IF(gamma!BA32,VLOOKUP(zeta!BA$1,main!$A$3:$H$102,5,FALSE)-VLOOKUP(zeta!$A32,main!$A$3:$H$102,6,FALSE),0)</f>
        <v>0</v>
      </c>
      <c r="BB32">
        <f>IF(gamma!BB32,VLOOKUP(zeta!BB$1,main!$A$3:$H$102,5,FALSE)-VLOOKUP(zeta!$A32,main!$A$3:$H$102,6,FALSE),0)</f>
        <v>0</v>
      </c>
      <c r="BC32">
        <f>IF(gamma!BC32,VLOOKUP(zeta!BC$1,main!$A$3:$H$102,5,FALSE)-VLOOKUP(zeta!$A32,main!$A$3:$H$102,6,FALSE),0)</f>
        <v>0</v>
      </c>
      <c r="BD32">
        <f>IF(gamma!BD32,VLOOKUP(zeta!BD$1,main!$A$3:$H$102,5,FALSE)-VLOOKUP(zeta!$A32,main!$A$3:$H$102,6,FALSE),0)</f>
        <v>0</v>
      </c>
      <c r="BE32">
        <f>IF(gamma!BE32,VLOOKUP(zeta!BE$1,main!$A$3:$H$102,5,FALSE)-VLOOKUP(zeta!$A32,main!$A$3:$H$102,6,FALSE),0)</f>
        <v>0</v>
      </c>
      <c r="BF32">
        <f>IF(gamma!BF32,VLOOKUP(zeta!BF$1,main!$A$3:$H$102,5,FALSE)-VLOOKUP(zeta!$A32,main!$A$3:$H$102,6,FALSE),0)</f>
        <v>0</v>
      </c>
      <c r="BG32">
        <f>IF(gamma!BG32,VLOOKUP(zeta!BG$1,main!$A$3:$H$102,5,FALSE)-VLOOKUP(zeta!$A32,main!$A$3:$H$102,6,FALSE),0)</f>
        <v>0</v>
      </c>
      <c r="BH32">
        <f>IF(gamma!BH32,VLOOKUP(zeta!BH$1,main!$A$3:$H$102,5,FALSE)-VLOOKUP(zeta!$A32,main!$A$3:$H$102,6,FALSE),0)</f>
        <v>0</v>
      </c>
      <c r="BI32">
        <f>IF(gamma!BI32,VLOOKUP(zeta!BI$1,main!$A$3:$H$102,5,FALSE)-VLOOKUP(zeta!$A32,main!$A$3:$H$102,6,FALSE),0)</f>
        <v>0</v>
      </c>
      <c r="BJ32">
        <f>IF(gamma!BJ32,VLOOKUP(zeta!BJ$1,main!$A$3:$H$102,5,FALSE)-VLOOKUP(zeta!$A32,main!$A$3:$H$102,6,FALSE),0)</f>
        <v>0</v>
      </c>
      <c r="BK32">
        <f>IF(gamma!BK32,VLOOKUP(zeta!BK$1,main!$A$3:$H$102,5,FALSE)-VLOOKUP(zeta!$A32,main!$A$3:$H$102,6,FALSE),0)</f>
        <v>0</v>
      </c>
      <c r="BL32">
        <f>IF(gamma!BL32,VLOOKUP(zeta!BL$1,main!$A$3:$H$102,5,FALSE)-VLOOKUP(zeta!$A32,main!$A$3:$H$102,6,FALSE),0)</f>
        <v>0</v>
      </c>
      <c r="BM32">
        <f>IF(gamma!BM32,VLOOKUP(zeta!BM$1,main!$A$3:$H$102,5,FALSE)-VLOOKUP(zeta!$A32,main!$A$3:$H$102,6,FALSE),0)</f>
        <v>0</v>
      </c>
      <c r="BN32">
        <f>IF(gamma!BN32,VLOOKUP(zeta!BN$1,main!$A$3:$H$102,5,FALSE)-VLOOKUP(zeta!$A32,main!$A$3:$H$102,6,FALSE),0)</f>
        <v>0</v>
      </c>
      <c r="BO32">
        <f>IF(gamma!BO32,VLOOKUP(zeta!BO$1,main!$A$3:$H$102,5,FALSE)-VLOOKUP(zeta!$A32,main!$A$3:$H$102,6,FALSE),0)</f>
        <v>0</v>
      </c>
      <c r="BP32">
        <f>IF(gamma!BP32,VLOOKUP(zeta!BP$1,main!$A$3:$H$102,5,FALSE)-VLOOKUP(zeta!$A32,main!$A$3:$H$102,6,FALSE),0)</f>
        <v>0</v>
      </c>
      <c r="BQ32">
        <f>IF(gamma!BQ32,VLOOKUP(zeta!BQ$1,main!$A$3:$H$102,5,FALSE)-VLOOKUP(zeta!$A32,main!$A$3:$H$102,6,FALSE),0)</f>
        <v>0</v>
      </c>
      <c r="BR32">
        <f>IF(gamma!BR32,VLOOKUP(zeta!BR$1,main!$A$3:$H$102,5,FALSE)-VLOOKUP(zeta!$A32,main!$A$3:$H$102,6,FALSE),0)</f>
        <v>0</v>
      </c>
      <c r="BS32">
        <f>IF(gamma!BS32,VLOOKUP(zeta!BS$1,main!$A$3:$H$102,5,FALSE)-VLOOKUP(zeta!$A32,main!$A$3:$H$102,6,FALSE),0)</f>
        <v>0</v>
      </c>
      <c r="BT32">
        <f>IF(gamma!BT32,VLOOKUP(zeta!BT$1,main!$A$3:$H$102,5,FALSE)-VLOOKUP(zeta!$A32,main!$A$3:$H$102,6,FALSE),0)</f>
        <v>0</v>
      </c>
      <c r="BU32">
        <f>IF(gamma!BU32,VLOOKUP(zeta!BU$1,main!$A$3:$H$102,5,FALSE)-VLOOKUP(zeta!$A32,main!$A$3:$H$102,6,FALSE),0)</f>
        <v>0</v>
      </c>
      <c r="BV32">
        <f>IF(gamma!BV32,VLOOKUP(zeta!BV$1,main!$A$3:$H$102,5,FALSE)-VLOOKUP(zeta!$A32,main!$A$3:$H$102,6,FALSE),0)</f>
        <v>0</v>
      </c>
      <c r="BW32">
        <f>IF(gamma!BW32,VLOOKUP(zeta!BW$1,main!$A$3:$H$102,5,FALSE)-VLOOKUP(zeta!$A32,main!$A$3:$H$102,6,FALSE),0)</f>
        <v>0</v>
      </c>
      <c r="BX32">
        <f>IF(gamma!BX32,VLOOKUP(zeta!BX$1,main!$A$3:$H$102,5,FALSE)-VLOOKUP(zeta!$A32,main!$A$3:$H$102,6,FALSE),0)</f>
        <v>0</v>
      </c>
      <c r="BY32">
        <f>IF(gamma!BY32,VLOOKUP(zeta!BY$1,main!$A$3:$H$102,5,FALSE)-VLOOKUP(zeta!$A32,main!$A$3:$H$102,6,FALSE),0)</f>
        <v>0</v>
      </c>
      <c r="BZ32">
        <f>IF(gamma!BZ32,VLOOKUP(zeta!BZ$1,main!$A$3:$H$102,5,FALSE)-VLOOKUP(zeta!$A32,main!$A$3:$H$102,6,FALSE),0)</f>
        <v>0</v>
      </c>
      <c r="CA32">
        <f>IF(gamma!CA32,VLOOKUP(zeta!CA$1,main!$A$3:$H$102,5,FALSE)-VLOOKUP(zeta!$A32,main!$A$3:$H$102,6,FALSE),0)</f>
        <v>0</v>
      </c>
      <c r="CB32">
        <f>IF(gamma!CB32,VLOOKUP(zeta!CB$1,main!$A$3:$H$102,5,FALSE)-VLOOKUP(zeta!$A32,main!$A$3:$H$102,6,FALSE),0)</f>
        <v>0</v>
      </c>
      <c r="CC32">
        <f>IF(gamma!CC32,VLOOKUP(zeta!CC$1,main!$A$3:$H$102,5,FALSE)-VLOOKUP(zeta!$A32,main!$A$3:$H$102,6,FALSE),0)</f>
        <v>0</v>
      </c>
      <c r="CD32">
        <f>IF(gamma!CD32,VLOOKUP(zeta!CD$1,main!$A$3:$H$102,5,FALSE)-VLOOKUP(zeta!$A32,main!$A$3:$H$102,6,FALSE),0)</f>
        <v>0</v>
      </c>
      <c r="CE32">
        <f>IF(gamma!CE32,VLOOKUP(zeta!CE$1,main!$A$3:$H$102,5,FALSE)-VLOOKUP(zeta!$A32,main!$A$3:$H$102,6,FALSE),0)</f>
        <v>0</v>
      </c>
      <c r="CF32">
        <f>IF(gamma!CF32,VLOOKUP(zeta!CF$1,main!$A$3:$H$102,5,FALSE)-VLOOKUP(zeta!$A32,main!$A$3:$H$102,6,FALSE),0)</f>
        <v>0</v>
      </c>
      <c r="CG32">
        <f>IF(gamma!CG32,VLOOKUP(zeta!CG$1,main!$A$3:$H$102,5,FALSE)-VLOOKUP(zeta!$A32,main!$A$3:$H$102,6,FALSE),0)</f>
        <v>0</v>
      </c>
      <c r="CH32">
        <f>IF(gamma!CH32,VLOOKUP(zeta!CH$1,main!$A$3:$H$102,5,FALSE)-VLOOKUP(zeta!$A32,main!$A$3:$H$102,6,FALSE),0)</f>
        <v>0</v>
      </c>
      <c r="CI32">
        <f>IF(gamma!CI32,VLOOKUP(zeta!CI$1,main!$A$3:$H$102,5,FALSE)-VLOOKUP(zeta!$A32,main!$A$3:$H$102,6,FALSE),0)</f>
        <v>0</v>
      </c>
      <c r="CJ32">
        <f>IF(gamma!CJ32,VLOOKUP(zeta!CJ$1,main!$A$3:$H$102,5,FALSE)-VLOOKUP(zeta!$A32,main!$A$3:$H$102,6,FALSE),0)</f>
        <v>0</v>
      </c>
      <c r="CK32">
        <f>IF(gamma!CK32,VLOOKUP(zeta!CK$1,main!$A$3:$H$102,5,FALSE)-VLOOKUP(zeta!$A32,main!$A$3:$H$102,6,FALSE),0)</f>
        <v>0</v>
      </c>
      <c r="CL32">
        <f>IF(gamma!CL32,VLOOKUP(zeta!CL$1,main!$A$3:$H$102,5,FALSE)-VLOOKUP(zeta!$A32,main!$A$3:$H$102,6,FALSE),0)</f>
        <v>0</v>
      </c>
      <c r="CM32">
        <f>IF(gamma!CM32,VLOOKUP(zeta!CM$1,main!$A$3:$H$102,5,FALSE)-VLOOKUP(zeta!$A32,main!$A$3:$H$102,6,FALSE),0)</f>
        <v>0</v>
      </c>
      <c r="CN32">
        <f>IF(gamma!CN32,VLOOKUP(zeta!CN$1,main!$A$3:$H$102,5,FALSE)-VLOOKUP(zeta!$A32,main!$A$3:$H$102,6,FALSE),0)</f>
        <v>0</v>
      </c>
      <c r="CO32">
        <f>IF(gamma!CO32,VLOOKUP(zeta!CO$1,main!$A$3:$H$102,5,FALSE)-VLOOKUP(zeta!$A32,main!$A$3:$H$102,6,FALSE),0)</f>
        <v>0</v>
      </c>
      <c r="CP32">
        <f>IF(gamma!CP32,VLOOKUP(zeta!CP$1,main!$A$3:$H$102,5,FALSE)-VLOOKUP(zeta!$A32,main!$A$3:$H$102,6,FALSE),0)</f>
        <v>0</v>
      </c>
      <c r="CQ32">
        <f>IF(gamma!CQ32,VLOOKUP(zeta!CQ$1,main!$A$3:$H$102,5,FALSE)-VLOOKUP(zeta!$A32,main!$A$3:$H$102,6,FALSE),0)</f>
        <v>0</v>
      </c>
      <c r="CR32">
        <f>IF(gamma!CR32,VLOOKUP(zeta!CR$1,main!$A$3:$H$102,5,FALSE)-VLOOKUP(zeta!$A32,main!$A$3:$H$102,6,FALSE),0)</f>
        <v>0</v>
      </c>
      <c r="CS32">
        <f>IF(gamma!CS32,VLOOKUP(zeta!CS$1,main!$A$3:$H$102,5,FALSE)-VLOOKUP(zeta!$A32,main!$A$3:$H$102,6,FALSE),0)</f>
        <v>0</v>
      </c>
      <c r="CT32">
        <f>IF(gamma!CT32,VLOOKUP(zeta!CT$1,main!$A$3:$H$102,5,FALSE)-VLOOKUP(zeta!$A32,main!$A$3:$H$102,6,FALSE),0)</f>
        <v>0</v>
      </c>
      <c r="CU32">
        <f>IF(gamma!CU32,VLOOKUP(zeta!CU$1,main!$A$3:$H$102,5,FALSE)-VLOOKUP(zeta!$A32,main!$A$3:$H$102,6,FALSE),0)</f>
        <v>0</v>
      </c>
      <c r="CV32">
        <f>IF(gamma!CV32,VLOOKUP(zeta!CV$1,main!$A$3:$H$102,5,FALSE)-VLOOKUP(zeta!$A32,main!$A$3:$H$102,6,FALSE),0)</f>
        <v>0</v>
      </c>
      <c r="CW32">
        <f>IF(gamma!CW32,VLOOKUP(zeta!CW$1,main!$A$3:$H$102,5,FALSE)-VLOOKUP(zeta!$A32,main!$A$3:$H$102,6,FALSE),0)</f>
        <v>0</v>
      </c>
      <c r="CX32">
        <f>IF(gamma!CX32,VLOOKUP(zeta!CX$1,main!$A$3:$H$102,5,FALSE)-VLOOKUP(zeta!$A32,main!$A$3:$H$102,6,FALSE),0)</f>
        <v>0</v>
      </c>
    </row>
    <row r="33" spans="1:102" x14ac:dyDescent="0.25">
      <c r="A33">
        <f t="shared" si="0"/>
        <v>31</v>
      </c>
      <c r="B33">
        <v>0</v>
      </c>
      <c r="C33">
        <f>IF(gamma!C33,VLOOKUP(zeta!C$1,main!$A$3:$H$102,5,FALSE)-VLOOKUP(zeta!$A33,main!$A$3:$H$102,6,FALSE),0)</f>
        <v>0</v>
      </c>
      <c r="D33">
        <f>IF(gamma!D33,VLOOKUP(zeta!D$1,main!$A$3:$H$102,5,FALSE)-VLOOKUP(zeta!$A33,main!$A$3:$H$102,6,FALSE),0)</f>
        <v>0</v>
      </c>
      <c r="E33">
        <f>IF(gamma!E33,VLOOKUP(zeta!E$1,main!$A$3:$H$102,5,FALSE)-VLOOKUP(zeta!$A33,main!$A$3:$H$102,6,FALSE),0)</f>
        <v>45</v>
      </c>
      <c r="F33">
        <f>IF(gamma!F33,VLOOKUP(zeta!F$1,main!$A$3:$H$102,5,FALSE)-VLOOKUP(zeta!$A33,main!$A$3:$H$102,6,FALSE),0)</f>
        <v>65</v>
      </c>
      <c r="G33">
        <f>IF(gamma!G33,VLOOKUP(zeta!G$1,main!$A$3:$H$102,5,FALSE)-VLOOKUP(zeta!$A33,main!$A$3:$H$102,6,FALSE),0)</f>
        <v>155</v>
      </c>
      <c r="H33">
        <f>IF(gamma!H33,VLOOKUP(zeta!H$1,main!$A$3:$H$102,5,FALSE)-VLOOKUP(zeta!$A33,main!$A$3:$H$102,6,FALSE),0)</f>
        <v>245</v>
      </c>
      <c r="I33">
        <f>IF(gamma!I33,VLOOKUP(zeta!I$1,main!$A$3:$H$102,5,FALSE)-VLOOKUP(zeta!$A33,main!$A$3:$H$102,6,FALSE),0)</f>
        <v>305</v>
      </c>
      <c r="J33">
        <f>IF(gamma!J33,VLOOKUP(zeta!J$1,main!$A$3:$H$102,5,FALSE)-VLOOKUP(zeta!$A33,main!$A$3:$H$102,6,FALSE),0)</f>
        <v>365</v>
      </c>
      <c r="K33">
        <f>IF(gamma!K33,VLOOKUP(zeta!K$1,main!$A$3:$H$102,5,FALSE)-VLOOKUP(zeta!$A33,main!$A$3:$H$102,6,FALSE),0)</f>
        <v>425</v>
      </c>
      <c r="L33">
        <f>IF(gamma!L33,VLOOKUP(zeta!L$1,main!$A$3:$H$102,5,FALSE)-VLOOKUP(zeta!$A33,main!$A$3:$H$102,6,FALSE),0)</f>
        <v>515</v>
      </c>
      <c r="M33">
        <f>IF(gamma!M33,VLOOKUP(zeta!M$1,main!$A$3:$H$102,5,FALSE)-VLOOKUP(zeta!$A33,main!$A$3:$H$102,6,FALSE),0)</f>
        <v>0</v>
      </c>
      <c r="N33">
        <f>IF(gamma!N33,VLOOKUP(zeta!N$1,main!$A$3:$H$102,5,FALSE)-VLOOKUP(zeta!$A33,main!$A$3:$H$102,6,FALSE),0)</f>
        <v>0</v>
      </c>
      <c r="O33">
        <f>IF(gamma!O33,VLOOKUP(zeta!O$1,main!$A$3:$H$102,5,FALSE)-VLOOKUP(zeta!$A33,main!$A$3:$H$102,6,FALSE),0)</f>
        <v>0</v>
      </c>
      <c r="P33">
        <f>IF(gamma!P33,VLOOKUP(zeta!P$1,main!$A$3:$H$102,5,FALSE)-VLOOKUP(zeta!$A33,main!$A$3:$H$102,6,FALSE),0)</f>
        <v>0</v>
      </c>
      <c r="Q33">
        <f>IF(gamma!Q33,VLOOKUP(zeta!Q$1,main!$A$3:$H$102,5,FALSE)-VLOOKUP(zeta!$A33,main!$A$3:$H$102,6,FALSE),0)</f>
        <v>80</v>
      </c>
      <c r="R33">
        <f>IF(gamma!R33,VLOOKUP(zeta!R$1,main!$A$3:$H$102,5,FALSE)-VLOOKUP(zeta!$A33,main!$A$3:$H$102,6,FALSE),0)</f>
        <v>120</v>
      </c>
      <c r="S33">
        <f>IF(gamma!S33,VLOOKUP(zeta!S$1,main!$A$3:$H$102,5,FALSE)-VLOOKUP(zeta!$A33,main!$A$3:$H$102,6,FALSE),0)</f>
        <v>245</v>
      </c>
      <c r="T33">
        <f>IF(gamma!T33,VLOOKUP(zeta!T$1,main!$A$3:$H$102,5,FALSE)-VLOOKUP(zeta!$A33,main!$A$3:$H$102,6,FALSE),0)</f>
        <v>325</v>
      </c>
      <c r="U33">
        <f>IF(gamma!U33,VLOOKUP(zeta!U$1,main!$A$3:$H$102,5,FALSE)-VLOOKUP(zeta!$A33,main!$A$3:$H$102,6,FALSE),0)</f>
        <v>480</v>
      </c>
      <c r="V33">
        <f>IF(gamma!V33,VLOOKUP(zeta!V$1,main!$A$3:$H$102,5,FALSE)-VLOOKUP(zeta!$A33,main!$A$3:$H$102,6,FALSE),0)</f>
        <v>540</v>
      </c>
      <c r="W33">
        <f>IF(gamma!W33,VLOOKUP(zeta!W$1,main!$A$3:$H$102,5,FALSE)-VLOOKUP(zeta!$A33,main!$A$3:$H$102,6,FALSE),0)</f>
        <v>0</v>
      </c>
      <c r="X33">
        <f>IF(gamma!X33,VLOOKUP(zeta!X$1,main!$A$3:$H$102,5,FALSE)-VLOOKUP(zeta!$A33,main!$A$3:$H$102,6,FALSE),0)</f>
        <v>0</v>
      </c>
      <c r="Y33">
        <f>IF(gamma!Y33,VLOOKUP(zeta!Y$1,main!$A$3:$H$102,5,FALSE)-VLOOKUP(zeta!$A33,main!$A$3:$H$102,6,FALSE),0)</f>
        <v>115</v>
      </c>
      <c r="Z33">
        <f>IF(gamma!Z33,VLOOKUP(zeta!Z$1,main!$A$3:$H$102,5,FALSE)-VLOOKUP(zeta!$A33,main!$A$3:$H$102,6,FALSE),0)</f>
        <v>295</v>
      </c>
      <c r="AA33">
        <f>IF(gamma!AA33,VLOOKUP(zeta!AA$1,main!$A$3:$H$102,5,FALSE)-VLOOKUP(zeta!$A33,main!$A$3:$H$102,6,FALSE),0)</f>
        <v>445</v>
      </c>
      <c r="AB33">
        <f>IF(gamma!AB33,VLOOKUP(zeta!AB$1,main!$A$3:$H$102,5,FALSE)-VLOOKUP(zeta!$A33,main!$A$3:$H$102,6,FALSE),0)</f>
        <v>0</v>
      </c>
      <c r="AC33">
        <f>IF(gamma!AC33,VLOOKUP(zeta!AC$1,main!$A$3:$H$102,5,FALSE)-VLOOKUP(zeta!$A33,main!$A$3:$H$102,6,FALSE),0)</f>
        <v>0</v>
      </c>
      <c r="AD33">
        <f>IF(gamma!AD33,VLOOKUP(zeta!AD$1,main!$A$3:$H$102,5,FALSE)-VLOOKUP(zeta!$A33,main!$A$3:$H$102,6,FALSE),0)</f>
        <v>75</v>
      </c>
      <c r="AE33">
        <f>IF(gamma!AE33,VLOOKUP(zeta!AE$1,main!$A$3:$H$102,5,FALSE)-VLOOKUP(zeta!$A33,main!$A$3:$H$102,6,FALSE),0)</f>
        <v>255</v>
      </c>
      <c r="AF33">
        <f>IF(gamma!AF33,VLOOKUP(zeta!AF$1,main!$A$3:$H$102,5,FALSE)-VLOOKUP(zeta!$A33,main!$A$3:$H$102,6,FALSE),0)</f>
        <v>425</v>
      </c>
      <c r="AG33">
        <f>IF(gamma!AG33,VLOOKUP(zeta!AG$1,main!$A$3:$H$102,5,FALSE)-VLOOKUP(zeta!$A33,main!$A$3:$H$102,6,FALSE),0)</f>
        <v>0</v>
      </c>
      <c r="AH33">
        <f>IF(gamma!AH33,VLOOKUP(zeta!AH$1,main!$A$3:$H$102,5,FALSE)-VLOOKUP(zeta!$A33,main!$A$3:$H$102,6,FALSE),0)</f>
        <v>0</v>
      </c>
      <c r="AI33">
        <f>IF(gamma!AI33,VLOOKUP(zeta!AI$1,main!$A$3:$H$102,5,FALSE)-VLOOKUP(zeta!$A33,main!$A$3:$H$102,6,FALSE),0)</f>
        <v>45</v>
      </c>
      <c r="AJ33">
        <f>IF(gamma!AJ33,VLOOKUP(zeta!AJ$1,main!$A$3:$H$102,5,FALSE)-VLOOKUP(zeta!$A33,main!$A$3:$H$102,6,FALSE),0)</f>
        <v>135</v>
      </c>
      <c r="AK33">
        <f>IF(gamma!AK33,VLOOKUP(zeta!AK$1,main!$A$3:$H$102,5,FALSE)-VLOOKUP(zeta!$A33,main!$A$3:$H$102,6,FALSE),0)</f>
        <v>225</v>
      </c>
      <c r="AL33">
        <f>IF(gamma!AL33,VLOOKUP(zeta!AL$1,main!$A$3:$H$102,5,FALSE)-VLOOKUP(zeta!$A33,main!$A$3:$H$102,6,FALSE),0)</f>
        <v>315</v>
      </c>
      <c r="AM33">
        <f>IF(gamma!AM33,VLOOKUP(zeta!AM$1,main!$A$3:$H$102,5,FALSE)-VLOOKUP(zeta!$A33,main!$A$3:$H$102,6,FALSE),0)</f>
        <v>405</v>
      </c>
      <c r="AN33">
        <f>IF(gamma!AN33,VLOOKUP(zeta!AN$1,main!$A$3:$H$102,5,FALSE)-VLOOKUP(zeta!$A33,main!$A$3:$H$102,6,FALSE),0)</f>
        <v>465</v>
      </c>
      <c r="AO33">
        <f>IF(gamma!AO33,VLOOKUP(zeta!AO$1,main!$A$3:$H$102,5,FALSE)-VLOOKUP(zeta!$A33,main!$A$3:$H$102,6,FALSE),0)</f>
        <v>0</v>
      </c>
      <c r="AP33">
        <f>IF(gamma!AP33,VLOOKUP(zeta!AP$1,main!$A$3:$H$102,5,FALSE)-VLOOKUP(zeta!$A33,main!$A$3:$H$102,6,FALSE),0)</f>
        <v>525</v>
      </c>
      <c r="AQ33">
        <f>IF(gamma!AQ33,VLOOKUP(zeta!AQ$1,main!$A$3:$H$102,5,FALSE)-VLOOKUP(zeta!$A33,main!$A$3:$H$102,6,FALSE),0)</f>
        <v>0</v>
      </c>
      <c r="AR33">
        <f>IF(gamma!AR33,VLOOKUP(zeta!AR$1,main!$A$3:$H$102,5,FALSE)-VLOOKUP(zeta!$A33,main!$A$3:$H$102,6,FALSE),0)</f>
        <v>0</v>
      </c>
      <c r="AS33">
        <f>IF(gamma!AS33,VLOOKUP(zeta!AS$1,main!$A$3:$H$102,5,FALSE)-VLOOKUP(zeta!$A33,main!$A$3:$H$102,6,FALSE),0)</f>
        <v>125</v>
      </c>
      <c r="AT33">
        <f>IF(gamma!AT33,VLOOKUP(zeta!AT$1,main!$A$3:$H$102,5,FALSE)-VLOOKUP(zeta!$A33,main!$A$3:$H$102,6,FALSE),0)</f>
        <v>275</v>
      </c>
      <c r="AU33">
        <f>IF(gamma!AU33,VLOOKUP(zeta!AU$1,main!$A$3:$H$102,5,FALSE)-VLOOKUP(zeta!$A33,main!$A$3:$H$102,6,FALSE),0)</f>
        <v>0</v>
      </c>
      <c r="AV33">
        <f>IF(gamma!AV33,VLOOKUP(zeta!AV$1,main!$A$3:$H$102,5,FALSE)-VLOOKUP(zeta!$A33,main!$A$3:$H$102,6,FALSE),0)</f>
        <v>0</v>
      </c>
      <c r="AW33">
        <f>IF(gamma!AW33,VLOOKUP(zeta!AW$1,main!$A$3:$H$102,5,FALSE)-VLOOKUP(zeta!$A33,main!$A$3:$H$102,6,FALSE),0)</f>
        <v>225</v>
      </c>
      <c r="AX33">
        <f>IF(gamma!AX33,VLOOKUP(zeta!AX$1,main!$A$3:$H$102,5,FALSE)-VLOOKUP(zeta!$A33,main!$A$3:$H$102,6,FALSE),0)</f>
        <v>65</v>
      </c>
      <c r="AY33">
        <f>IF(gamma!AY33,VLOOKUP(zeta!AY$1,main!$A$3:$H$102,5,FALSE)-VLOOKUP(zeta!$A33,main!$A$3:$H$102,6,FALSE),0)</f>
        <v>0</v>
      </c>
      <c r="AZ33">
        <f>IF(gamma!AZ33,VLOOKUP(zeta!AZ$1,main!$A$3:$H$102,5,FALSE)-VLOOKUP(zeta!$A33,main!$A$3:$H$102,6,FALSE),0)</f>
        <v>55</v>
      </c>
      <c r="BA33">
        <f>IF(gamma!BA33,VLOOKUP(zeta!BA$1,main!$A$3:$H$102,5,FALSE)-VLOOKUP(zeta!$A33,main!$A$3:$H$102,6,FALSE),0)</f>
        <v>0</v>
      </c>
      <c r="BB33">
        <f>IF(gamma!BB33,VLOOKUP(zeta!BB$1,main!$A$3:$H$102,5,FALSE)-VLOOKUP(zeta!$A33,main!$A$3:$H$102,6,FALSE),0)</f>
        <v>65</v>
      </c>
      <c r="BC33">
        <f>IF(gamma!BC33,VLOOKUP(zeta!BC$1,main!$A$3:$H$102,5,FALSE)-VLOOKUP(zeta!$A33,main!$A$3:$H$102,6,FALSE),0)</f>
        <v>185</v>
      </c>
      <c r="BD33">
        <f>IF(gamma!BD33,VLOOKUP(zeta!BD$1,main!$A$3:$H$102,5,FALSE)-VLOOKUP(zeta!$A33,main!$A$3:$H$102,6,FALSE),0)</f>
        <v>245</v>
      </c>
      <c r="BE33">
        <f>IF(gamma!BE33,VLOOKUP(zeta!BE$1,main!$A$3:$H$102,5,FALSE)-VLOOKUP(zeta!$A33,main!$A$3:$H$102,6,FALSE),0)</f>
        <v>365</v>
      </c>
      <c r="BF33">
        <f>IF(gamma!BF33,VLOOKUP(zeta!BF$1,main!$A$3:$H$102,5,FALSE)-VLOOKUP(zeta!$A33,main!$A$3:$H$102,6,FALSE),0)</f>
        <v>0</v>
      </c>
      <c r="BG33">
        <f>IF(gamma!BG33,VLOOKUP(zeta!BG$1,main!$A$3:$H$102,5,FALSE)-VLOOKUP(zeta!$A33,main!$A$3:$H$102,6,FALSE),0)</f>
        <v>0</v>
      </c>
      <c r="BH33">
        <f>IF(gamma!BH33,VLOOKUP(zeta!BH$1,main!$A$3:$H$102,5,FALSE)-VLOOKUP(zeta!$A33,main!$A$3:$H$102,6,FALSE),0)</f>
        <v>150</v>
      </c>
      <c r="BI33">
        <f>IF(gamma!BI33,VLOOKUP(zeta!BI$1,main!$A$3:$H$102,5,FALSE)-VLOOKUP(zeta!$A33,main!$A$3:$H$102,6,FALSE),0)</f>
        <v>535</v>
      </c>
      <c r="BJ33">
        <f>IF(gamma!BJ33,VLOOKUP(zeta!BJ$1,main!$A$3:$H$102,5,FALSE)-VLOOKUP(zeta!$A33,main!$A$3:$H$102,6,FALSE),0)</f>
        <v>325</v>
      </c>
      <c r="BK33">
        <f>IF(gamma!BK33,VLOOKUP(zeta!BK$1,main!$A$3:$H$102,5,FALSE)-VLOOKUP(zeta!$A33,main!$A$3:$H$102,6,FALSE),0)</f>
        <v>0</v>
      </c>
      <c r="BL33">
        <f>IF(gamma!BL33,VLOOKUP(zeta!BL$1,main!$A$3:$H$102,5,FALSE)-VLOOKUP(zeta!$A33,main!$A$3:$H$102,6,FALSE),0)</f>
        <v>0</v>
      </c>
      <c r="BM33">
        <f>IF(gamma!BM33,VLOOKUP(zeta!BM$1,main!$A$3:$H$102,5,FALSE)-VLOOKUP(zeta!$A33,main!$A$3:$H$102,6,FALSE),0)</f>
        <v>0</v>
      </c>
      <c r="BN33">
        <f>IF(gamma!BN33,VLOOKUP(zeta!BN$1,main!$A$3:$H$102,5,FALSE)-VLOOKUP(zeta!$A33,main!$A$3:$H$102,6,FALSE),0)</f>
        <v>225</v>
      </c>
      <c r="BO33">
        <f>IF(gamma!BO33,VLOOKUP(zeta!BO$1,main!$A$3:$H$102,5,FALSE)-VLOOKUP(zeta!$A33,main!$A$3:$H$102,6,FALSE),0)</f>
        <v>0</v>
      </c>
      <c r="BP33">
        <f>IF(gamma!BP33,VLOOKUP(zeta!BP$1,main!$A$3:$H$102,5,FALSE)-VLOOKUP(zeta!$A33,main!$A$3:$H$102,6,FALSE),0)</f>
        <v>0</v>
      </c>
      <c r="BQ33">
        <f>IF(gamma!BQ33,VLOOKUP(zeta!BQ$1,main!$A$3:$H$102,5,FALSE)-VLOOKUP(zeta!$A33,main!$A$3:$H$102,6,FALSE),0)</f>
        <v>80</v>
      </c>
      <c r="BR33">
        <f>IF(gamma!BR33,VLOOKUP(zeta!BR$1,main!$A$3:$H$102,5,FALSE)-VLOOKUP(zeta!$A33,main!$A$3:$H$102,6,FALSE),0)</f>
        <v>115</v>
      </c>
      <c r="BS33">
        <f>IF(gamma!BS33,VLOOKUP(zeta!BS$1,main!$A$3:$H$102,5,FALSE)-VLOOKUP(zeta!$A33,main!$A$3:$H$102,6,FALSE),0)</f>
        <v>125</v>
      </c>
      <c r="BT33">
        <f>IF(gamma!BT33,VLOOKUP(zeta!BT$1,main!$A$3:$H$102,5,FALSE)-VLOOKUP(zeta!$A33,main!$A$3:$H$102,6,FALSE),0)</f>
        <v>75</v>
      </c>
      <c r="BU33">
        <f>IF(gamma!BU33,VLOOKUP(zeta!BU$1,main!$A$3:$H$102,5,FALSE)-VLOOKUP(zeta!$A33,main!$A$3:$H$102,6,FALSE),0)</f>
        <v>0</v>
      </c>
      <c r="BV33">
        <f>IF(gamma!BV33,VLOOKUP(zeta!BV$1,main!$A$3:$H$102,5,FALSE)-VLOOKUP(zeta!$A33,main!$A$3:$H$102,6,FALSE),0)</f>
        <v>0</v>
      </c>
      <c r="BW33">
        <f>IF(gamma!BW33,VLOOKUP(zeta!BW$1,main!$A$3:$H$102,5,FALSE)-VLOOKUP(zeta!$A33,main!$A$3:$H$102,6,FALSE),0)</f>
        <v>0</v>
      </c>
      <c r="BX33">
        <f>IF(gamma!BX33,VLOOKUP(zeta!BX$1,main!$A$3:$H$102,5,FALSE)-VLOOKUP(zeta!$A33,main!$A$3:$H$102,6,FALSE),0)</f>
        <v>90</v>
      </c>
      <c r="BY33">
        <f>IF(gamma!BY33,VLOOKUP(zeta!BY$1,main!$A$3:$H$102,5,FALSE)-VLOOKUP(zeta!$A33,main!$A$3:$H$102,6,FALSE),0)</f>
        <v>175</v>
      </c>
      <c r="BZ33">
        <f>IF(gamma!BZ33,VLOOKUP(zeta!BZ$1,main!$A$3:$H$102,5,FALSE)-VLOOKUP(zeta!$A33,main!$A$3:$H$102,6,FALSE),0)</f>
        <v>0</v>
      </c>
      <c r="CA33">
        <f>IF(gamma!CA33,VLOOKUP(zeta!CA$1,main!$A$3:$H$102,5,FALSE)-VLOOKUP(zeta!$A33,main!$A$3:$H$102,6,FALSE),0)</f>
        <v>0</v>
      </c>
      <c r="CB33">
        <f>IF(gamma!CB33,VLOOKUP(zeta!CB$1,main!$A$3:$H$102,5,FALSE)-VLOOKUP(zeta!$A33,main!$A$3:$H$102,6,FALSE),0)</f>
        <v>230</v>
      </c>
      <c r="CC33">
        <f>IF(gamma!CC33,VLOOKUP(zeta!CC$1,main!$A$3:$H$102,5,FALSE)-VLOOKUP(zeta!$A33,main!$A$3:$H$102,6,FALSE),0)</f>
        <v>440</v>
      </c>
      <c r="CD33">
        <f>IF(gamma!CD33,VLOOKUP(zeta!CD$1,main!$A$3:$H$102,5,FALSE)-VLOOKUP(zeta!$A33,main!$A$3:$H$102,6,FALSE),0)</f>
        <v>175</v>
      </c>
      <c r="CE33">
        <f>IF(gamma!CE33,VLOOKUP(zeta!CE$1,main!$A$3:$H$102,5,FALSE)-VLOOKUP(zeta!$A33,main!$A$3:$H$102,6,FALSE),0)</f>
        <v>0</v>
      </c>
      <c r="CF33">
        <f>IF(gamma!CF33,VLOOKUP(zeta!CF$1,main!$A$3:$H$102,5,FALSE)-VLOOKUP(zeta!$A33,main!$A$3:$H$102,6,FALSE),0)</f>
        <v>75</v>
      </c>
      <c r="CG33">
        <f>IF(gamma!CG33,VLOOKUP(zeta!CG$1,main!$A$3:$H$102,5,FALSE)-VLOOKUP(zeta!$A33,main!$A$3:$H$102,6,FALSE),0)</f>
        <v>125</v>
      </c>
      <c r="CH33">
        <f>IF(gamma!CH33,VLOOKUP(zeta!CH$1,main!$A$3:$H$102,5,FALSE)-VLOOKUP(zeta!$A33,main!$A$3:$H$102,6,FALSE),0)</f>
        <v>325</v>
      </c>
      <c r="CI33">
        <f>IF(gamma!CI33,VLOOKUP(zeta!CI$1,main!$A$3:$H$102,5,FALSE)-VLOOKUP(zeta!$A33,main!$A$3:$H$102,6,FALSE),0)</f>
        <v>525</v>
      </c>
      <c r="CJ33">
        <f>IF(gamma!CJ33,VLOOKUP(zeta!CJ$1,main!$A$3:$H$102,5,FALSE)-VLOOKUP(zeta!$A33,main!$A$3:$H$102,6,FALSE),0)</f>
        <v>115</v>
      </c>
      <c r="CK33">
        <f>IF(gamma!CK33,VLOOKUP(zeta!CK$1,main!$A$3:$H$102,5,FALSE)-VLOOKUP(zeta!$A33,main!$A$3:$H$102,6,FALSE),0)</f>
        <v>0</v>
      </c>
      <c r="CL33">
        <f>IF(gamma!CL33,VLOOKUP(zeta!CL$1,main!$A$3:$H$102,5,FALSE)-VLOOKUP(zeta!$A33,main!$A$3:$H$102,6,FALSE),0)</f>
        <v>125</v>
      </c>
      <c r="CM33">
        <f>IF(gamma!CM33,VLOOKUP(zeta!CM$1,main!$A$3:$H$102,5,FALSE)-VLOOKUP(zeta!$A33,main!$A$3:$H$102,6,FALSE),0)</f>
        <v>301</v>
      </c>
      <c r="CN33">
        <f>IF(gamma!CN33,VLOOKUP(zeta!CN$1,main!$A$3:$H$102,5,FALSE)-VLOOKUP(zeta!$A33,main!$A$3:$H$102,6,FALSE),0)</f>
        <v>525</v>
      </c>
      <c r="CO33">
        <f>IF(gamma!CO33,VLOOKUP(zeta!CO$1,main!$A$3:$H$102,5,FALSE)-VLOOKUP(zeta!$A33,main!$A$3:$H$102,6,FALSE),0)</f>
        <v>0</v>
      </c>
      <c r="CP33">
        <f>IF(gamma!CP33,VLOOKUP(zeta!CP$1,main!$A$3:$H$102,5,FALSE)-VLOOKUP(zeta!$A33,main!$A$3:$H$102,6,FALSE),0)</f>
        <v>90</v>
      </c>
      <c r="CQ33">
        <f>IF(gamma!CQ33,VLOOKUP(zeta!CQ$1,main!$A$3:$H$102,5,FALSE)-VLOOKUP(zeta!$A33,main!$A$3:$H$102,6,FALSE),0)</f>
        <v>105</v>
      </c>
      <c r="CR33">
        <f>IF(gamma!CR33,VLOOKUP(zeta!CR$1,main!$A$3:$H$102,5,FALSE)-VLOOKUP(zeta!$A33,main!$A$3:$H$102,6,FALSE),0)</f>
        <v>290</v>
      </c>
      <c r="CS33">
        <f>IF(gamma!CS33,VLOOKUP(zeta!CS$1,main!$A$3:$H$102,5,FALSE)-VLOOKUP(zeta!$A33,main!$A$3:$H$102,6,FALSE),0)</f>
        <v>300</v>
      </c>
      <c r="CT33">
        <f>IF(gamma!CT33,VLOOKUP(zeta!CT$1,main!$A$3:$H$102,5,FALSE)-VLOOKUP(zeta!$A33,main!$A$3:$H$102,6,FALSE),0)</f>
        <v>0</v>
      </c>
      <c r="CU33">
        <f>IF(gamma!CU33,VLOOKUP(zeta!CU$1,main!$A$3:$H$102,5,FALSE)-VLOOKUP(zeta!$A33,main!$A$3:$H$102,6,FALSE),0)</f>
        <v>0</v>
      </c>
      <c r="CV33">
        <f>IF(gamma!CV33,VLOOKUP(zeta!CV$1,main!$A$3:$H$102,5,FALSE)-VLOOKUP(zeta!$A33,main!$A$3:$H$102,6,FALSE),0)</f>
        <v>105</v>
      </c>
      <c r="CW33">
        <f>IF(gamma!CW33,VLOOKUP(zeta!CW$1,main!$A$3:$H$102,5,FALSE)-VLOOKUP(zeta!$A33,main!$A$3:$H$102,6,FALSE),0)</f>
        <v>290</v>
      </c>
      <c r="CX33">
        <f>IF(gamma!CX33,VLOOKUP(zeta!CX$1,main!$A$3:$H$102,5,FALSE)-VLOOKUP(zeta!$A33,main!$A$3:$H$102,6,FALSE),0)</f>
        <v>330</v>
      </c>
    </row>
    <row r="34" spans="1:102" x14ac:dyDescent="0.25">
      <c r="A34">
        <f t="shared" si="0"/>
        <v>32</v>
      </c>
      <c r="B34">
        <v>0</v>
      </c>
      <c r="C34">
        <f>IF(gamma!C34,VLOOKUP(zeta!C$1,main!$A$3:$H$102,5,FALSE)-VLOOKUP(zeta!$A34,main!$A$3:$H$102,6,FALSE),0)</f>
        <v>0</v>
      </c>
      <c r="D34">
        <f>IF(gamma!D34,VLOOKUP(zeta!D$1,main!$A$3:$H$102,5,FALSE)-VLOOKUP(zeta!$A34,main!$A$3:$H$102,6,FALSE),0)</f>
        <v>0</v>
      </c>
      <c r="E34">
        <f>IF(gamma!E34,VLOOKUP(zeta!E$1,main!$A$3:$H$102,5,FALSE)-VLOOKUP(zeta!$A34,main!$A$3:$H$102,6,FALSE),0)</f>
        <v>0</v>
      </c>
      <c r="F34">
        <f>IF(gamma!F34,VLOOKUP(zeta!F$1,main!$A$3:$H$102,5,FALSE)-VLOOKUP(zeta!$A34,main!$A$3:$H$102,6,FALSE),0)</f>
        <v>0</v>
      </c>
      <c r="G34">
        <f>IF(gamma!G34,VLOOKUP(zeta!G$1,main!$A$3:$H$102,5,FALSE)-VLOOKUP(zeta!$A34,main!$A$3:$H$102,6,FALSE),0)</f>
        <v>65</v>
      </c>
      <c r="H34">
        <f>IF(gamma!H34,VLOOKUP(zeta!H$1,main!$A$3:$H$102,5,FALSE)-VLOOKUP(zeta!$A34,main!$A$3:$H$102,6,FALSE),0)</f>
        <v>155</v>
      </c>
      <c r="I34">
        <f>IF(gamma!I34,VLOOKUP(zeta!I$1,main!$A$3:$H$102,5,FALSE)-VLOOKUP(zeta!$A34,main!$A$3:$H$102,6,FALSE),0)</f>
        <v>215</v>
      </c>
      <c r="J34">
        <f>IF(gamma!J34,VLOOKUP(zeta!J$1,main!$A$3:$H$102,5,FALSE)-VLOOKUP(zeta!$A34,main!$A$3:$H$102,6,FALSE),0)</f>
        <v>275</v>
      </c>
      <c r="K34">
        <f>IF(gamma!K34,VLOOKUP(zeta!K$1,main!$A$3:$H$102,5,FALSE)-VLOOKUP(zeta!$A34,main!$A$3:$H$102,6,FALSE),0)</f>
        <v>335</v>
      </c>
      <c r="L34">
        <f>IF(gamma!L34,VLOOKUP(zeta!L$1,main!$A$3:$H$102,5,FALSE)-VLOOKUP(zeta!$A34,main!$A$3:$H$102,6,FALSE),0)</f>
        <v>425</v>
      </c>
      <c r="M34">
        <f>IF(gamma!M34,VLOOKUP(zeta!M$1,main!$A$3:$H$102,5,FALSE)-VLOOKUP(zeta!$A34,main!$A$3:$H$102,6,FALSE),0)</f>
        <v>0</v>
      </c>
      <c r="N34">
        <f>IF(gamma!N34,VLOOKUP(zeta!N$1,main!$A$3:$H$102,5,FALSE)-VLOOKUP(zeta!$A34,main!$A$3:$H$102,6,FALSE),0)</f>
        <v>0</v>
      </c>
      <c r="O34">
        <f>IF(gamma!O34,VLOOKUP(zeta!O$1,main!$A$3:$H$102,5,FALSE)-VLOOKUP(zeta!$A34,main!$A$3:$H$102,6,FALSE),0)</f>
        <v>0</v>
      </c>
      <c r="P34">
        <f>IF(gamma!P34,VLOOKUP(zeta!P$1,main!$A$3:$H$102,5,FALSE)-VLOOKUP(zeta!$A34,main!$A$3:$H$102,6,FALSE),0)</f>
        <v>0</v>
      </c>
      <c r="Q34">
        <f>IF(gamma!Q34,VLOOKUP(zeta!Q$1,main!$A$3:$H$102,5,FALSE)-VLOOKUP(zeta!$A34,main!$A$3:$H$102,6,FALSE),0)</f>
        <v>0</v>
      </c>
      <c r="R34">
        <f>IF(gamma!R34,VLOOKUP(zeta!R$1,main!$A$3:$H$102,5,FALSE)-VLOOKUP(zeta!$A34,main!$A$3:$H$102,6,FALSE),0)</f>
        <v>30</v>
      </c>
      <c r="S34">
        <f>IF(gamma!S34,VLOOKUP(zeta!S$1,main!$A$3:$H$102,5,FALSE)-VLOOKUP(zeta!$A34,main!$A$3:$H$102,6,FALSE),0)</f>
        <v>155</v>
      </c>
      <c r="T34">
        <f>IF(gamma!T34,VLOOKUP(zeta!T$1,main!$A$3:$H$102,5,FALSE)-VLOOKUP(zeta!$A34,main!$A$3:$H$102,6,FALSE),0)</f>
        <v>235</v>
      </c>
      <c r="U34">
        <f>IF(gamma!U34,VLOOKUP(zeta!U$1,main!$A$3:$H$102,5,FALSE)-VLOOKUP(zeta!$A34,main!$A$3:$H$102,6,FALSE),0)</f>
        <v>390</v>
      </c>
      <c r="V34">
        <f>IF(gamma!V34,VLOOKUP(zeta!V$1,main!$A$3:$H$102,5,FALSE)-VLOOKUP(zeta!$A34,main!$A$3:$H$102,6,FALSE),0)</f>
        <v>450</v>
      </c>
      <c r="W34">
        <f>IF(gamma!W34,VLOOKUP(zeta!W$1,main!$A$3:$H$102,5,FALSE)-VLOOKUP(zeta!$A34,main!$A$3:$H$102,6,FALSE),0)</f>
        <v>0</v>
      </c>
      <c r="X34">
        <f>IF(gamma!X34,VLOOKUP(zeta!X$1,main!$A$3:$H$102,5,FALSE)-VLOOKUP(zeta!$A34,main!$A$3:$H$102,6,FALSE),0)</f>
        <v>0</v>
      </c>
      <c r="Y34">
        <f>IF(gamma!Y34,VLOOKUP(zeta!Y$1,main!$A$3:$H$102,5,FALSE)-VLOOKUP(zeta!$A34,main!$A$3:$H$102,6,FALSE),0)</f>
        <v>25</v>
      </c>
      <c r="Z34">
        <f>IF(gamma!Z34,VLOOKUP(zeta!Z$1,main!$A$3:$H$102,5,FALSE)-VLOOKUP(zeta!$A34,main!$A$3:$H$102,6,FALSE),0)</f>
        <v>205</v>
      </c>
      <c r="AA34">
        <f>IF(gamma!AA34,VLOOKUP(zeta!AA$1,main!$A$3:$H$102,5,FALSE)-VLOOKUP(zeta!$A34,main!$A$3:$H$102,6,FALSE),0)</f>
        <v>355</v>
      </c>
      <c r="AB34">
        <f>IF(gamma!AB34,VLOOKUP(zeta!AB$1,main!$A$3:$H$102,5,FALSE)-VLOOKUP(zeta!$A34,main!$A$3:$H$102,6,FALSE),0)</f>
        <v>0</v>
      </c>
      <c r="AC34">
        <f>IF(gamma!AC34,VLOOKUP(zeta!AC$1,main!$A$3:$H$102,5,FALSE)-VLOOKUP(zeta!$A34,main!$A$3:$H$102,6,FALSE),0)</f>
        <v>0</v>
      </c>
      <c r="AD34">
        <f>IF(gamma!AD34,VLOOKUP(zeta!AD$1,main!$A$3:$H$102,5,FALSE)-VLOOKUP(zeta!$A34,main!$A$3:$H$102,6,FALSE),0)</f>
        <v>0</v>
      </c>
      <c r="AE34">
        <f>IF(gamma!AE34,VLOOKUP(zeta!AE$1,main!$A$3:$H$102,5,FALSE)-VLOOKUP(zeta!$A34,main!$A$3:$H$102,6,FALSE),0)</f>
        <v>165</v>
      </c>
      <c r="AF34">
        <f>IF(gamma!AF34,VLOOKUP(zeta!AF$1,main!$A$3:$H$102,5,FALSE)-VLOOKUP(zeta!$A34,main!$A$3:$H$102,6,FALSE),0)</f>
        <v>335</v>
      </c>
      <c r="AG34">
        <f>IF(gamma!AG34,VLOOKUP(zeta!AG$1,main!$A$3:$H$102,5,FALSE)-VLOOKUP(zeta!$A34,main!$A$3:$H$102,6,FALSE),0)</f>
        <v>0</v>
      </c>
      <c r="AH34">
        <f>IF(gamma!AH34,VLOOKUP(zeta!AH$1,main!$A$3:$H$102,5,FALSE)-VLOOKUP(zeta!$A34,main!$A$3:$H$102,6,FALSE),0)</f>
        <v>0</v>
      </c>
      <c r="AI34">
        <f>IF(gamma!AI34,VLOOKUP(zeta!AI$1,main!$A$3:$H$102,5,FALSE)-VLOOKUP(zeta!$A34,main!$A$3:$H$102,6,FALSE),0)</f>
        <v>0</v>
      </c>
      <c r="AJ34">
        <f>IF(gamma!AJ34,VLOOKUP(zeta!AJ$1,main!$A$3:$H$102,5,FALSE)-VLOOKUP(zeta!$A34,main!$A$3:$H$102,6,FALSE),0)</f>
        <v>45</v>
      </c>
      <c r="AK34">
        <f>IF(gamma!AK34,VLOOKUP(zeta!AK$1,main!$A$3:$H$102,5,FALSE)-VLOOKUP(zeta!$A34,main!$A$3:$H$102,6,FALSE),0)</f>
        <v>135</v>
      </c>
      <c r="AL34">
        <f>IF(gamma!AL34,VLOOKUP(zeta!AL$1,main!$A$3:$H$102,5,FALSE)-VLOOKUP(zeta!$A34,main!$A$3:$H$102,6,FALSE),0)</f>
        <v>225</v>
      </c>
      <c r="AM34">
        <f>IF(gamma!AM34,VLOOKUP(zeta!AM$1,main!$A$3:$H$102,5,FALSE)-VLOOKUP(zeta!$A34,main!$A$3:$H$102,6,FALSE),0)</f>
        <v>315</v>
      </c>
      <c r="AN34">
        <f>IF(gamma!AN34,VLOOKUP(zeta!AN$1,main!$A$3:$H$102,5,FALSE)-VLOOKUP(zeta!$A34,main!$A$3:$H$102,6,FALSE),0)</f>
        <v>375</v>
      </c>
      <c r="AO34">
        <f>IF(gamma!AO34,VLOOKUP(zeta!AO$1,main!$A$3:$H$102,5,FALSE)-VLOOKUP(zeta!$A34,main!$A$3:$H$102,6,FALSE),0)</f>
        <v>0</v>
      </c>
      <c r="AP34">
        <f>IF(gamma!AP34,VLOOKUP(zeta!AP$1,main!$A$3:$H$102,5,FALSE)-VLOOKUP(zeta!$A34,main!$A$3:$H$102,6,FALSE),0)</f>
        <v>435</v>
      </c>
      <c r="AQ34">
        <f>IF(gamma!AQ34,VLOOKUP(zeta!AQ$1,main!$A$3:$H$102,5,FALSE)-VLOOKUP(zeta!$A34,main!$A$3:$H$102,6,FALSE),0)</f>
        <v>0</v>
      </c>
      <c r="AR34">
        <f>IF(gamma!AR34,VLOOKUP(zeta!AR$1,main!$A$3:$H$102,5,FALSE)-VLOOKUP(zeta!$A34,main!$A$3:$H$102,6,FALSE),0)</f>
        <v>0</v>
      </c>
      <c r="AS34">
        <f>IF(gamma!AS34,VLOOKUP(zeta!AS$1,main!$A$3:$H$102,5,FALSE)-VLOOKUP(zeta!$A34,main!$A$3:$H$102,6,FALSE),0)</f>
        <v>0</v>
      </c>
      <c r="AT34">
        <f>IF(gamma!AT34,VLOOKUP(zeta!AT$1,main!$A$3:$H$102,5,FALSE)-VLOOKUP(zeta!$A34,main!$A$3:$H$102,6,FALSE),0)</f>
        <v>185</v>
      </c>
      <c r="AU34">
        <f>IF(gamma!AU34,VLOOKUP(zeta!AU$1,main!$A$3:$H$102,5,FALSE)-VLOOKUP(zeta!$A34,main!$A$3:$H$102,6,FALSE),0)</f>
        <v>0</v>
      </c>
      <c r="AV34">
        <f>IF(gamma!AV34,VLOOKUP(zeta!AV$1,main!$A$3:$H$102,5,FALSE)-VLOOKUP(zeta!$A34,main!$A$3:$H$102,6,FALSE),0)</f>
        <v>0</v>
      </c>
      <c r="AW34">
        <f>IF(gamma!AW34,VLOOKUP(zeta!AW$1,main!$A$3:$H$102,5,FALSE)-VLOOKUP(zeta!$A34,main!$A$3:$H$102,6,FALSE),0)</f>
        <v>135</v>
      </c>
      <c r="AX34">
        <f>IF(gamma!AX34,VLOOKUP(zeta!AX$1,main!$A$3:$H$102,5,FALSE)-VLOOKUP(zeta!$A34,main!$A$3:$H$102,6,FALSE),0)</f>
        <v>0</v>
      </c>
      <c r="AY34">
        <f>IF(gamma!AY34,VLOOKUP(zeta!AY$1,main!$A$3:$H$102,5,FALSE)-VLOOKUP(zeta!$A34,main!$A$3:$H$102,6,FALSE),0)</f>
        <v>0</v>
      </c>
      <c r="AZ34">
        <f>IF(gamma!AZ34,VLOOKUP(zeta!AZ$1,main!$A$3:$H$102,5,FALSE)-VLOOKUP(zeta!$A34,main!$A$3:$H$102,6,FALSE),0)</f>
        <v>0</v>
      </c>
      <c r="BA34">
        <f>IF(gamma!BA34,VLOOKUP(zeta!BA$1,main!$A$3:$H$102,5,FALSE)-VLOOKUP(zeta!$A34,main!$A$3:$H$102,6,FALSE),0)</f>
        <v>0</v>
      </c>
      <c r="BB34">
        <f>IF(gamma!BB34,VLOOKUP(zeta!BB$1,main!$A$3:$H$102,5,FALSE)-VLOOKUP(zeta!$A34,main!$A$3:$H$102,6,FALSE),0)</f>
        <v>0</v>
      </c>
      <c r="BC34">
        <f>IF(gamma!BC34,VLOOKUP(zeta!BC$1,main!$A$3:$H$102,5,FALSE)-VLOOKUP(zeta!$A34,main!$A$3:$H$102,6,FALSE),0)</f>
        <v>95</v>
      </c>
      <c r="BD34">
        <f>IF(gamma!BD34,VLOOKUP(zeta!BD$1,main!$A$3:$H$102,5,FALSE)-VLOOKUP(zeta!$A34,main!$A$3:$H$102,6,FALSE),0)</f>
        <v>155</v>
      </c>
      <c r="BE34">
        <f>IF(gamma!BE34,VLOOKUP(zeta!BE$1,main!$A$3:$H$102,5,FALSE)-VLOOKUP(zeta!$A34,main!$A$3:$H$102,6,FALSE),0)</f>
        <v>275</v>
      </c>
      <c r="BF34">
        <f>IF(gamma!BF34,VLOOKUP(zeta!BF$1,main!$A$3:$H$102,5,FALSE)-VLOOKUP(zeta!$A34,main!$A$3:$H$102,6,FALSE),0)</f>
        <v>0</v>
      </c>
      <c r="BG34">
        <f>IF(gamma!BG34,VLOOKUP(zeta!BG$1,main!$A$3:$H$102,5,FALSE)-VLOOKUP(zeta!$A34,main!$A$3:$H$102,6,FALSE),0)</f>
        <v>0</v>
      </c>
      <c r="BH34">
        <f>IF(gamma!BH34,VLOOKUP(zeta!BH$1,main!$A$3:$H$102,5,FALSE)-VLOOKUP(zeta!$A34,main!$A$3:$H$102,6,FALSE),0)</f>
        <v>60</v>
      </c>
      <c r="BI34">
        <f>IF(gamma!BI34,VLOOKUP(zeta!BI$1,main!$A$3:$H$102,5,FALSE)-VLOOKUP(zeta!$A34,main!$A$3:$H$102,6,FALSE),0)</f>
        <v>445</v>
      </c>
      <c r="BJ34">
        <f>IF(gamma!BJ34,VLOOKUP(zeta!BJ$1,main!$A$3:$H$102,5,FALSE)-VLOOKUP(zeta!$A34,main!$A$3:$H$102,6,FALSE),0)</f>
        <v>235</v>
      </c>
      <c r="BK34">
        <f>IF(gamma!BK34,VLOOKUP(zeta!BK$1,main!$A$3:$H$102,5,FALSE)-VLOOKUP(zeta!$A34,main!$A$3:$H$102,6,FALSE),0)</f>
        <v>0</v>
      </c>
      <c r="BL34">
        <f>IF(gamma!BL34,VLOOKUP(zeta!BL$1,main!$A$3:$H$102,5,FALSE)-VLOOKUP(zeta!$A34,main!$A$3:$H$102,6,FALSE),0)</f>
        <v>0</v>
      </c>
      <c r="BM34">
        <f>IF(gamma!BM34,VLOOKUP(zeta!BM$1,main!$A$3:$H$102,5,FALSE)-VLOOKUP(zeta!$A34,main!$A$3:$H$102,6,FALSE),0)</f>
        <v>0</v>
      </c>
      <c r="BN34">
        <f>IF(gamma!BN34,VLOOKUP(zeta!BN$1,main!$A$3:$H$102,5,FALSE)-VLOOKUP(zeta!$A34,main!$A$3:$H$102,6,FALSE),0)</f>
        <v>135</v>
      </c>
      <c r="BO34">
        <f>IF(gamma!BO34,VLOOKUP(zeta!BO$1,main!$A$3:$H$102,5,FALSE)-VLOOKUP(zeta!$A34,main!$A$3:$H$102,6,FALSE),0)</f>
        <v>0</v>
      </c>
      <c r="BP34">
        <f>IF(gamma!BP34,VLOOKUP(zeta!BP$1,main!$A$3:$H$102,5,FALSE)-VLOOKUP(zeta!$A34,main!$A$3:$H$102,6,FALSE),0)</f>
        <v>0</v>
      </c>
      <c r="BQ34">
        <f>IF(gamma!BQ34,VLOOKUP(zeta!BQ$1,main!$A$3:$H$102,5,FALSE)-VLOOKUP(zeta!$A34,main!$A$3:$H$102,6,FALSE),0)</f>
        <v>0</v>
      </c>
      <c r="BR34">
        <f>IF(gamma!BR34,VLOOKUP(zeta!BR$1,main!$A$3:$H$102,5,FALSE)-VLOOKUP(zeta!$A34,main!$A$3:$H$102,6,FALSE),0)</f>
        <v>0</v>
      </c>
      <c r="BS34">
        <f>IF(gamma!BS34,VLOOKUP(zeta!BS$1,main!$A$3:$H$102,5,FALSE)-VLOOKUP(zeta!$A34,main!$A$3:$H$102,6,FALSE),0)</f>
        <v>0</v>
      </c>
      <c r="BT34">
        <f>IF(gamma!BT34,VLOOKUP(zeta!BT$1,main!$A$3:$H$102,5,FALSE)-VLOOKUP(zeta!$A34,main!$A$3:$H$102,6,FALSE),0)</f>
        <v>0</v>
      </c>
      <c r="BU34">
        <f>IF(gamma!BU34,VLOOKUP(zeta!BU$1,main!$A$3:$H$102,5,FALSE)-VLOOKUP(zeta!$A34,main!$A$3:$H$102,6,FALSE),0)</f>
        <v>0</v>
      </c>
      <c r="BV34">
        <f>IF(gamma!BV34,VLOOKUP(zeta!BV$1,main!$A$3:$H$102,5,FALSE)-VLOOKUP(zeta!$A34,main!$A$3:$H$102,6,FALSE),0)</f>
        <v>0</v>
      </c>
      <c r="BW34">
        <f>IF(gamma!BW34,VLOOKUP(zeta!BW$1,main!$A$3:$H$102,5,FALSE)-VLOOKUP(zeta!$A34,main!$A$3:$H$102,6,FALSE),0)</f>
        <v>0</v>
      </c>
      <c r="BX34">
        <f>IF(gamma!BX34,VLOOKUP(zeta!BX$1,main!$A$3:$H$102,5,FALSE)-VLOOKUP(zeta!$A34,main!$A$3:$H$102,6,FALSE),0)</f>
        <v>0</v>
      </c>
      <c r="BY34">
        <f>IF(gamma!BY34,VLOOKUP(zeta!BY$1,main!$A$3:$H$102,5,FALSE)-VLOOKUP(zeta!$A34,main!$A$3:$H$102,6,FALSE),0)</f>
        <v>85</v>
      </c>
      <c r="BZ34">
        <f>IF(gamma!BZ34,VLOOKUP(zeta!BZ$1,main!$A$3:$H$102,5,FALSE)-VLOOKUP(zeta!$A34,main!$A$3:$H$102,6,FALSE),0)</f>
        <v>0</v>
      </c>
      <c r="CA34">
        <f>IF(gamma!CA34,VLOOKUP(zeta!CA$1,main!$A$3:$H$102,5,FALSE)-VLOOKUP(zeta!$A34,main!$A$3:$H$102,6,FALSE),0)</f>
        <v>0</v>
      </c>
      <c r="CB34">
        <f>IF(gamma!CB34,VLOOKUP(zeta!CB$1,main!$A$3:$H$102,5,FALSE)-VLOOKUP(zeta!$A34,main!$A$3:$H$102,6,FALSE),0)</f>
        <v>140</v>
      </c>
      <c r="CC34">
        <f>IF(gamma!CC34,VLOOKUP(zeta!CC$1,main!$A$3:$H$102,5,FALSE)-VLOOKUP(zeta!$A34,main!$A$3:$H$102,6,FALSE),0)</f>
        <v>350</v>
      </c>
      <c r="CD34">
        <f>IF(gamma!CD34,VLOOKUP(zeta!CD$1,main!$A$3:$H$102,5,FALSE)-VLOOKUP(zeta!$A34,main!$A$3:$H$102,6,FALSE),0)</f>
        <v>85</v>
      </c>
      <c r="CE34">
        <f>IF(gamma!CE34,VLOOKUP(zeta!CE$1,main!$A$3:$H$102,5,FALSE)-VLOOKUP(zeta!$A34,main!$A$3:$H$102,6,FALSE),0)</f>
        <v>0</v>
      </c>
      <c r="CF34">
        <f>IF(gamma!CF34,VLOOKUP(zeta!CF$1,main!$A$3:$H$102,5,FALSE)-VLOOKUP(zeta!$A34,main!$A$3:$H$102,6,FALSE),0)</f>
        <v>0</v>
      </c>
      <c r="CG34">
        <f>IF(gamma!CG34,VLOOKUP(zeta!CG$1,main!$A$3:$H$102,5,FALSE)-VLOOKUP(zeta!$A34,main!$A$3:$H$102,6,FALSE),0)</f>
        <v>0</v>
      </c>
      <c r="CH34">
        <f>IF(gamma!CH34,VLOOKUP(zeta!CH$1,main!$A$3:$H$102,5,FALSE)-VLOOKUP(zeta!$A34,main!$A$3:$H$102,6,FALSE),0)</f>
        <v>235</v>
      </c>
      <c r="CI34">
        <f>IF(gamma!CI34,VLOOKUP(zeta!CI$1,main!$A$3:$H$102,5,FALSE)-VLOOKUP(zeta!$A34,main!$A$3:$H$102,6,FALSE),0)</f>
        <v>435</v>
      </c>
      <c r="CJ34">
        <f>IF(gamma!CJ34,VLOOKUP(zeta!CJ$1,main!$A$3:$H$102,5,FALSE)-VLOOKUP(zeta!$A34,main!$A$3:$H$102,6,FALSE),0)</f>
        <v>0</v>
      </c>
      <c r="CK34">
        <f>IF(gamma!CK34,VLOOKUP(zeta!CK$1,main!$A$3:$H$102,5,FALSE)-VLOOKUP(zeta!$A34,main!$A$3:$H$102,6,FALSE),0)</f>
        <v>0</v>
      </c>
      <c r="CL34">
        <f>IF(gamma!CL34,VLOOKUP(zeta!CL$1,main!$A$3:$H$102,5,FALSE)-VLOOKUP(zeta!$A34,main!$A$3:$H$102,6,FALSE),0)</f>
        <v>0</v>
      </c>
      <c r="CM34">
        <f>IF(gamma!CM34,VLOOKUP(zeta!CM$1,main!$A$3:$H$102,5,FALSE)-VLOOKUP(zeta!$A34,main!$A$3:$H$102,6,FALSE),0)</f>
        <v>211</v>
      </c>
      <c r="CN34">
        <f>IF(gamma!CN34,VLOOKUP(zeta!CN$1,main!$A$3:$H$102,5,FALSE)-VLOOKUP(zeta!$A34,main!$A$3:$H$102,6,FALSE),0)</f>
        <v>435</v>
      </c>
      <c r="CO34">
        <f>IF(gamma!CO34,VLOOKUP(zeta!CO$1,main!$A$3:$H$102,5,FALSE)-VLOOKUP(zeta!$A34,main!$A$3:$H$102,6,FALSE),0)</f>
        <v>0</v>
      </c>
      <c r="CP34">
        <f>IF(gamma!CP34,VLOOKUP(zeta!CP$1,main!$A$3:$H$102,5,FALSE)-VLOOKUP(zeta!$A34,main!$A$3:$H$102,6,FALSE),0)</f>
        <v>0</v>
      </c>
      <c r="CQ34">
        <f>IF(gamma!CQ34,VLOOKUP(zeta!CQ$1,main!$A$3:$H$102,5,FALSE)-VLOOKUP(zeta!$A34,main!$A$3:$H$102,6,FALSE),0)</f>
        <v>0</v>
      </c>
      <c r="CR34">
        <f>IF(gamma!CR34,VLOOKUP(zeta!CR$1,main!$A$3:$H$102,5,FALSE)-VLOOKUP(zeta!$A34,main!$A$3:$H$102,6,FALSE),0)</f>
        <v>200</v>
      </c>
      <c r="CS34">
        <f>IF(gamma!CS34,VLOOKUP(zeta!CS$1,main!$A$3:$H$102,5,FALSE)-VLOOKUP(zeta!$A34,main!$A$3:$H$102,6,FALSE),0)</f>
        <v>210</v>
      </c>
      <c r="CT34">
        <f>IF(gamma!CT34,VLOOKUP(zeta!CT$1,main!$A$3:$H$102,5,FALSE)-VLOOKUP(zeta!$A34,main!$A$3:$H$102,6,FALSE),0)</f>
        <v>0</v>
      </c>
      <c r="CU34">
        <f>IF(gamma!CU34,VLOOKUP(zeta!CU$1,main!$A$3:$H$102,5,FALSE)-VLOOKUP(zeta!$A34,main!$A$3:$H$102,6,FALSE),0)</f>
        <v>0</v>
      </c>
      <c r="CV34">
        <f>IF(gamma!CV34,VLOOKUP(zeta!CV$1,main!$A$3:$H$102,5,FALSE)-VLOOKUP(zeta!$A34,main!$A$3:$H$102,6,FALSE),0)</f>
        <v>0</v>
      </c>
      <c r="CW34">
        <f>IF(gamma!CW34,VLOOKUP(zeta!CW$1,main!$A$3:$H$102,5,FALSE)-VLOOKUP(zeta!$A34,main!$A$3:$H$102,6,FALSE),0)</f>
        <v>200</v>
      </c>
      <c r="CX34">
        <f>IF(gamma!CX34,VLOOKUP(zeta!CX$1,main!$A$3:$H$102,5,FALSE)-VLOOKUP(zeta!$A34,main!$A$3:$H$102,6,FALSE),0)</f>
        <v>240</v>
      </c>
    </row>
    <row r="35" spans="1:102" x14ac:dyDescent="0.25">
      <c r="A35">
        <f t="shared" ref="A35:A66" si="1">A34+1</f>
        <v>33</v>
      </c>
      <c r="B35">
        <v>0</v>
      </c>
      <c r="C35">
        <f>IF(gamma!C35,VLOOKUP(zeta!C$1,main!$A$3:$H$102,5,FALSE)-VLOOKUP(zeta!$A35,main!$A$3:$H$102,6,FALSE),0)</f>
        <v>0</v>
      </c>
      <c r="D35">
        <f>IF(gamma!D35,VLOOKUP(zeta!D$1,main!$A$3:$H$102,5,FALSE)-VLOOKUP(zeta!$A35,main!$A$3:$H$102,6,FALSE),0)</f>
        <v>0</v>
      </c>
      <c r="E35">
        <f>IF(gamma!E35,VLOOKUP(zeta!E$1,main!$A$3:$H$102,5,FALSE)-VLOOKUP(zeta!$A35,main!$A$3:$H$102,6,FALSE),0)</f>
        <v>0</v>
      </c>
      <c r="F35">
        <f>IF(gamma!F35,VLOOKUP(zeta!F$1,main!$A$3:$H$102,5,FALSE)-VLOOKUP(zeta!$A35,main!$A$3:$H$102,6,FALSE),0)</f>
        <v>0</v>
      </c>
      <c r="G35">
        <f>IF(gamma!G35,VLOOKUP(zeta!G$1,main!$A$3:$H$102,5,FALSE)-VLOOKUP(zeta!$A35,main!$A$3:$H$102,6,FALSE),0)</f>
        <v>0</v>
      </c>
      <c r="H35">
        <f>IF(gamma!H35,VLOOKUP(zeta!H$1,main!$A$3:$H$102,5,FALSE)-VLOOKUP(zeta!$A35,main!$A$3:$H$102,6,FALSE),0)</f>
        <v>65</v>
      </c>
      <c r="I35">
        <f>IF(gamma!I35,VLOOKUP(zeta!I$1,main!$A$3:$H$102,5,FALSE)-VLOOKUP(zeta!$A35,main!$A$3:$H$102,6,FALSE),0)</f>
        <v>125</v>
      </c>
      <c r="J35">
        <f>IF(gamma!J35,VLOOKUP(zeta!J$1,main!$A$3:$H$102,5,FALSE)-VLOOKUP(zeta!$A35,main!$A$3:$H$102,6,FALSE),0)</f>
        <v>185</v>
      </c>
      <c r="K35">
        <f>IF(gamma!K35,VLOOKUP(zeta!K$1,main!$A$3:$H$102,5,FALSE)-VLOOKUP(zeta!$A35,main!$A$3:$H$102,6,FALSE),0)</f>
        <v>245</v>
      </c>
      <c r="L35">
        <f>IF(gamma!L35,VLOOKUP(zeta!L$1,main!$A$3:$H$102,5,FALSE)-VLOOKUP(zeta!$A35,main!$A$3:$H$102,6,FALSE),0)</f>
        <v>335</v>
      </c>
      <c r="M35">
        <f>IF(gamma!M35,VLOOKUP(zeta!M$1,main!$A$3:$H$102,5,FALSE)-VLOOKUP(zeta!$A35,main!$A$3:$H$102,6,FALSE),0)</f>
        <v>0</v>
      </c>
      <c r="N35">
        <f>IF(gamma!N35,VLOOKUP(zeta!N$1,main!$A$3:$H$102,5,FALSE)-VLOOKUP(zeta!$A35,main!$A$3:$H$102,6,FALSE),0)</f>
        <v>0</v>
      </c>
      <c r="O35">
        <f>IF(gamma!O35,VLOOKUP(zeta!O$1,main!$A$3:$H$102,5,FALSE)-VLOOKUP(zeta!$A35,main!$A$3:$H$102,6,FALSE),0)</f>
        <v>0</v>
      </c>
      <c r="P35">
        <f>IF(gamma!P35,VLOOKUP(zeta!P$1,main!$A$3:$H$102,5,FALSE)-VLOOKUP(zeta!$A35,main!$A$3:$H$102,6,FALSE),0)</f>
        <v>0</v>
      </c>
      <c r="Q35">
        <f>IF(gamma!Q35,VLOOKUP(zeta!Q$1,main!$A$3:$H$102,5,FALSE)-VLOOKUP(zeta!$A35,main!$A$3:$H$102,6,FALSE),0)</f>
        <v>0</v>
      </c>
      <c r="R35">
        <f>IF(gamma!R35,VLOOKUP(zeta!R$1,main!$A$3:$H$102,5,FALSE)-VLOOKUP(zeta!$A35,main!$A$3:$H$102,6,FALSE),0)</f>
        <v>0</v>
      </c>
      <c r="S35">
        <f>IF(gamma!S35,VLOOKUP(zeta!S$1,main!$A$3:$H$102,5,FALSE)-VLOOKUP(zeta!$A35,main!$A$3:$H$102,6,FALSE),0)</f>
        <v>65</v>
      </c>
      <c r="T35">
        <f>IF(gamma!T35,VLOOKUP(zeta!T$1,main!$A$3:$H$102,5,FALSE)-VLOOKUP(zeta!$A35,main!$A$3:$H$102,6,FALSE),0)</f>
        <v>145</v>
      </c>
      <c r="U35">
        <f>IF(gamma!U35,VLOOKUP(zeta!U$1,main!$A$3:$H$102,5,FALSE)-VLOOKUP(zeta!$A35,main!$A$3:$H$102,6,FALSE),0)</f>
        <v>300</v>
      </c>
      <c r="V35">
        <f>IF(gamma!V35,VLOOKUP(zeta!V$1,main!$A$3:$H$102,5,FALSE)-VLOOKUP(zeta!$A35,main!$A$3:$H$102,6,FALSE),0)</f>
        <v>360</v>
      </c>
      <c r="W35">
        <f>IF(gamma!W35,VLOOKUP(zeta!W$1,main!$A$3:$H$102,5,FALSE)-VLOOKUP(zeta!$A35,main!$A$3:$H$102,6,FALSE),0)</f>
        <v>0</v>
      </c>
      <c r="X35">
        <f>IF(gamma!X35,VLOOKUP(zeta!X$1,main!$A$3:$H$102,5,FALSE)-VLOOKUP(zeta!$A35,main!$A$3:$H$102,6,FALSE),0)</f>
        <v>0</v>
      </c>
      <c r="Y35">
        <f>IF(gamma!Y35,VLOOKUP(zeta!Y$1,main!$A$3:$H$102,5,FALSE)-VLOOKUP(zeta!$A35,main!$A$3:$H$102,6,FALSE),0)</f>
        <v>0</v>
      </c>
      <c r="Z35">
        <f>IF(gamma!Z35,VLOOKUP(zeta!Z$1,main!$A$3:$H$102,5,FALSE)-VLOOKUP(zeta!$A35,main!$A$3:$H$102,6,FALSE),0)</f>
        <v>115</v>
      </c>
      <c r="AA35">
        <f>IF(gamma!AA35,VLOOKUP(zeta!AA$1,main!$A$3:$H$102,5,FALSE)-VLOOKUP(zeta!$A35,main!$A$3:$H$102,6,FALSE),0)</f>
        <v>265</v>
      </c>
      <c r="AB35">
        <f>IF(gamma!AB35,VLOOKUP(zeta!AB$1,main!$A$3:$H$102,5,FALSE)-VLOOKUP(zeta!$A35,main!$A$3:$H$102,6,FALSE),0)</f>
        <v>0</v>
      </c>
      <c r="AC35">
        <f>IF(gamma!AC35,VLOOKUP(zeta!AC$1,main!$A$3:$H$102,5,FALSE)-VLOOKUP(zeta!$A35,main!$A$3:$H$102,6,FALSE),0)</f>
        <v>0</v>
      </c>
      <c r="AD35">
        <f>IF(gamma!AD35,VLOOKUP(zeta!AD$1,main!$A$3:$H$102,5,FALSE)-VLOOKUP(zeta!$A35,main!$A$3:$H$102,6,FALSE),0)</f>
        <v>0</v>
      </c>
      <c r="AE35">
        <f>IF(gamma!AE35,VLOOKUP(zeta!AE$1,main!$A$3:$H$102,5,FALSE)-VLOOKUP(zeta!$A35,main!$A$3:$H$102,6,FALSE),0)</f>
        <v>75</v>
      </c>
      <c r="AF35">
        <f>IF(gamma!AF35,VLOOKUP(zeta!AF$1,main!$A$3:$H$102,5,FALSE)-VLOOKUP(zeta!$A35,main!$A$3:$H$102,6,FALSE),0)</f>
        <v>245</v>
      </c>
      <c r="AG35">
        <f>IF(gamma!AG35,VLOOKUP(zeta!AG$1,main!$A$3:$H$102,5,FALSE)-VLOOKUP(zeta!$A35,main!$A$3:$H$102,6,FALSE),0)</f>
        <v>0</v>
      </c>
      <c r="AH35">
        <f>IF(gamma!AH35,VLOOKUP(zeta!AH$1,main!$A$3:$H$102,5,FALSE)-VLOOKUP(zeta!$A35,main!$A$3:$H$102,6,FALSE),0)</f>
        <v>0</v>
      </c>
      <c r="AI35">
        <f>IF(gamma!AI35,VLOOKUP(zeta!AI$1,main!$A$3:$H$102,5,FALSE)-VLOOKUP(zeta!$A35,main!$A$3:$H$102,6,FALSE),0)</f>
        <v>0</v>
      </c>
      <c r="AJ35">
        <f>IF(gamma!AJ35,VLOOKUP(zeta!AJ$1,main!$A$3:$H$102,5,FALSE)-VLOOKUP(zeta!$A35,main!$A$3:$H$102,6,FALSE),0)</f>
        <v>0</v>
      </c>
      <c r="AK35">
        <f>IF(gamma!AK35,VLOOKUP(zeta!AK$1,main!$A$3:$H$102,5,FALSE)-VLOOKUP(zeta!$A35,main!$A$3:$H$102,6,FALSE),0)</f>
        <v>45</v>
      </c>
      <c r="AL35">
        <f>IF(gamma!AL35,VLOOKUP(zeta!AL$1,main!$A$3:$H$102,5,FALSE)-VLOOKUP(zeta!$A35,main!$A$3:$H$102,6,FALSE),0)</f>
        <v>135</v>
      </c>
      <c r="AM35">
        <f>IF(gamma!AM35,VLOOKUP(zeta!AM$1,main!$A$3:$H$102,5,FALSE)-VLOOKUP(zeta!$A35,main!$A$3:$H$102,6,FALSE),0)</f>
        <v>225</v>
      </c>
      <c r="AN35">
        <f>IF(gamma!AN35,VLOOKUP(zeta!AN$1,main!$A$3:$H$102,5,FALSE)-VLOOKUP(zeta!$A35,main!$A$3:$H$102,6,FALSE),0)</f>
        <v>285</v>
      </c>
      <c r="AO35">
        <f>IF(gamma!AO35,VLOOKUP(zeta!AO$1,main!$A$3:$H$102,5,FALSE)-VLOOKUP(zeta!$A35,main!$A$3:$H$102,6,FALSE),0)</f>
        <v>0</v>
      </c>
      <c r="AP35">
        <f>IF(gamma!AP35,VLOOKUP(zeta!AP$1,main!$A$3:$H$102,5,FALSE)-VLOOKUP(zeta!$A35,main!$A$3:$H$102,6,FALSE),0)</f>
        <v>345</v>
      </c>
      <c r="AQ35">
        <f>IF(gamma!AQ35,VLOOKUP(zeta!AQ$1,main!$A$3:$H$102,5,FALSE)-VLOOKUP(zeta!$A35,main!$A$3:$H$102,6,FALSE),0)</f>
        <v>0</v>
      </c>
      <c r="AR35">
        <f>IF(gamma!AR35,VLOOKUP(zeta!AR$1,main!$A$3:$H$102,5,FALSE)-VLOOKUP(zeta!$A35,main!$A$3:$H$102,6,FALSE),0)</f>
        <v>0</v>
      </c>
      <c r="AS35">
        <f>IF(gamma!AS35,VLOOKUP(zeta!AS$1,main!$A$3:$H$102,5,FALSE)-VLOOKUP(zeta!$A35,main!$A$3:$H$102,6,FALSE),0)</f>
        <v>0</v>
      </c>
      <c r="AT35">
        <f>IF(gamma!AT35,VLOOKUP(zeta!AT$1,main!$A$3:$H$102,5,FALSE)-VLOOKUP(zeta!$A35,main!$A$3:$H$102,6,FALSE),0)</f>
        <v>95</v>
      </c>
      <c r="AU35">
        <f>IF(gamma!AU35,VLOOKUP(zeta!AU$1,main!$A$3:$H$102,5,FALSE)-VLOOKUP(zeta!$A35,main!$A$3:$H$102,6,FALSE),0)</f>
        <v>0</v>
      </c>
      <c r="AV35">
        <f>IF(gamma!AV35,VLOOKUP(zeta!AV$1,main!$A$3:$H$102,5,FALSE)-VLOOKUP(zeta!$A35,main!$A$3:$H$102,6,FALSE),0)</f>
        <v>0</v>
      </c>
      <c r="AW35">
        <f>IF(gamma!AW35,VLOOKUP(zeta!AW$1,main!$A$3:$H$102,5,FALSE)-VLOOKUP(zeta!$A35,main!$A$3:$H$102,6,FALSE),0)</f>
        <v>45</v>
      </c>
      <c r="AX35">
        <f>IF(gamma!AX35,VLOOKUP(zeta!AX$1,main!$A$3:$H$102,5,FALSE)-VLOOKUP(zeta!$A35,main!$A$3:$H$102,6,FALSE),0)</f>
        <v>0</v>
      </c>
      <c r="AY35">
        <f>IF(gamma!AY35,VLOOKUP(zeta!AY$1,main!$A$3:$H$102,5,FALSE)-VLOOKUP(zeta!$A35,main!$A$3:$H$102,6,FALSE),0)</f>
        <v>0</v>
      </c>
      <c r="AZ35">
        <f>IF(gamma!AZ35,VLOOKUP(zeta!AZ$1,main!$A$3:$H$102,5,FALSE)-VLOOKUP(zeta!$A35,main!$A$3:$H$102,6,FALSE),0)</f>
        <v>0</v>
      </c>
      <c r="BA35">
        <f>IF(gamma!BA35,VLOOKUP(zeta!BA$1,main!$A$3:$H$102,5,FALSE)-VLOOKUP(zeta!$A35,main!$A$3:$H$102,6,FALSE),0)</f>
        <v>0</v>
      </c>
      <c r="BB35">
        <f>IF(gamma!BB35,VLOOKUP(zeta!BB$1,main!$A$3:$H$102,5,FALSE)-VLOOKUP(zeta!$A35,main!$A$3:$H$102,6,FALSE),0)</f>
        <v>0</v>
      </c>
      <c r="BC35">
        <f>IF(gamma!BC35,VLOOKUP(zeta!BC$1,main!$A$3:$H$102,5,FALSE)-VLOOKUP(zeta!$A35,main!$A$3:$H$102,6,FALSE),0)</f>
        <v>0</v>
      </c>
      <c r="BD35">
        <f>IF(gamma!BD35,VLOOKUP(zeta!BD$1,main!$A$3:$H$102,5,FALSE)-VLOOKUP(zeta!$A35,main!$A$3:$H$102,6,FALSE),0)</f>
        <v>65</v>
      </c>
      <c r="BE35">
        <f>IF(gamma!BE35,VLOOKUP(zeta!BE$1,main!$A$3:$H$102,5,FALSE)-VLOOKUP(zeta!$A35,main!$A$3:$H$102,6,FALSE),0)</f>
        <v>185</v>
      </c>
      <c r="BF35">
        <f>IF(gamma!BF35,VLOOKUP(zeta!BF$1,main!$A$3:$H$102,5,FALSE)-VLOOKUP(zeta!$A35,main!$A$3:$H$102,6,FALSE),0)</f>
        <v>0</v>
      </c>
      <c r="BG35">
        <f>IF(gamma!BG35,VLOOKUP(zeta!BG$1,main!$A$3:$H$102,5,FALSE)-VLOOKUP(zeta!$A35,main!$A$3:$H$102,6,FALSE),0)</f>
        <v>0</v>
      </c>
      <c r="BH35">
        <f>IF(gamma!BH35,VLOOKUP(zeta!BH$1,main!$A$3:$H$102,5,FALSE)-VLOOKUP(zeta!$A35,main!$A$3:$H$102,6,FALSE),0)</f>
        <v>0</v>
      </c>
      <c r="BI35">
        <f>IF(gamma!BI35,VLOOKUP(zeta!BI$1,main!$A$3:$H$102,5,FALSE)-VLOOKUP(zeta!$A35,main!$A$3:$H$102,6,FALSE),0)</f>
        <v>355</v>
      </c>
      <c r="BJ35">
        <f>IF(gamma!BJ35,VLOOKUP(zeta!BJ$1,main!$A$3:$H$102,5,FALSE)-VLOOKUP(zeta!$A35,main!$A$3:$H$102,6,FALSE),0)</f>
        <v>145</v>
      </c>
      <c r="BK35">
        <f>IF(gamma!BK35,VLOOKUP(zeta!BK$1,main!$A$3:$H$102,5,FALSE)-VLOOKUP(zeta!$A35,main!$A$3:$H$102,6,FALSE),0)</f>
        <v>0</v>
      </c>
      <c r="BL35">
        <f>IF(gamma!BL35,VLOOKUP(zeta!BL$1,main!$A$3:$H$102,5,FALSE)-VLOOKUP(zeta!$A35,main!$A$3:$H$102,6,FALSE),0)</f>
        <v>0</v>
      </c>
      <c r="BM35">
        <f>IF(gamma!BM35,VLOOKUP(zeta!BM$1,main!$A$3:$H$102,5,FALSE)-VLOOKUP(zeta!$A35,main!$A$3:$H$102,6,FALSE),0)</f>
        <v>0</v>
      </c>
      <c r="BN35">
        <f>IF(gamma!BN35,VLOOKUP(zeta!BN$1,main!$A$3:$H$102,5,FALSE)-VLOOKUP(zeta!$A35,main!$A$3:$H$102,6,FALSE),0)</f>
        <v>45</v>
      </c>
      <c r="BO35">
        <f>IF(gamma!BO35,VLOOKUP(zeta!BO$1,main!$A$3:$H$102,5,FALSE)-VLOOKUP(zeta!$A35,main!$A$3:$H$102,6,FALSE),0)</f>
        <v>0</v>
      </c>
      <c r="BP35">
        <f>IF(gamma!BP35,VLOOKUP(zeta!BP$1,main!$A$3:$H$102,5,FALSE)-VLOOKUP(zeta!$A35,main!$A$3:$H$102,6,FALSE),0)</f>
        <v>0</v>
      </c>
      <c r="BQ35">
        <f>IF(gamma!BQ35,VLOOKUP(zeta!BQ$1,main!$A$3:$H$102,5,FALSE)-VLOOKUP(zeta!$A35,main!$A$3:$H$102,6,FALSE),0)</f>
        <v>0</v>
      </c>
      <c r="BR35">
        <f>IF(gamma!BR35,VLOOKUP(zeta!BR$1,main!$A$3:$H$102,5,FALSE)-VLOOKUP(zeta!$A35,main!$A$3:$H$102,6,FALSE),0)</f>
        <v>0</v>
      </c>
      <c r="BS35">
        <f>IF(gamma!BS35,VLOOKUP(zeta!BS$1,main!$A$3:$H$102,5,FALSE)-VLOOKUP(zeta!$A35,main!$A$3:$H$102,6,FALSE),0)</f>
        <v>0</v>
      </c>
      <c r="BT35">
        <f>IF(gamma!BT35,VLOOKUP(zeta!BT$1,main!$A$3:$H$102,5,FALSE)-VLOOKUP(zeta!$A35,main!$A$3:$H$102,6,FALSE),0)</f>
        <v>0</v>
      </c>
      <c r="BU35">
        <f>IF(gamma!BU35,VLOOKUP(zeta!BU$1,main!$A$3:$H$102,5,FALSE)-VLOOKUP(zeta!$A35,main!$A$3:$H$102,6,FALSE),0)</f>
        <v>0</v>
      </c>
      <c r="BV35">
        <f>IF(gamma!BV35,VLOOKUP(zeta!BV$1,main!$A$3:$H$102,5,FALSE)-VLOOKUP(zeta!$A35,main!$A$3:$H$102,6,FALSE),0)</f>
        <v>0</v>
      </c>
      <c r="BW35">
        <f>IF(gamma!BW35,VLOOKUP(zeta!BW$1,main!$A$3:$H$102,5,FALSE)-VLOOKUP(zeta!$A35,main!$A$3:$H$102,6,FALSE),0)</f>
        <v>0</v>
      </c>
      <c r="BX35">
        <f>IF(gamma!BX35,VLOOKUP(zeta!BX$1,main!$A$3:$H$102,5,FALSE)-VLOOKUP(zeta!$A35,main!$A$3:$H$102,6,FALSE),0)</f>
        <v>0</v>
      </c>
      <c r="BY35">
        <f>IF(gamma!BY35,VLOOKUP(zeta!BY$1,main!$A$3:$H$102,5,FALSE)-VLOOKUP(zeta!$A35,main!$A$3:$H$102,6,FALSE),0)</f>
        <v>0</v>
      </c>
      <c r="BZ35">
        <f>IF(gamma!BZ35,VLOOKUP(zeta!BZ$1,main!$A$3:$H$102,5,FALSE)-VLOOKUP(zeta!$A35,main!$A$3:$H$102,6,FALSE),0)</f>
        <v>0</v>
      </c>
      <c r="CA35">
        <f>IF(gamma!CA35,VLOOKUP(zeta!CA$1,main!$A$3:$H$102,5,FALSE)-VLOOKUP(zeta!$A35,main!$A$3:$H$102,6,FALSE),0)</f>
        <v>0</v>
      </c>
      <c r="CB35">
        <f>IF(gamma!CB35,VLOOKUP(zeta!CB$1,main!$A$3:$H$102,5,FALSE)-VLOOKUP(zeta!$A35,main!$A$3:$H$102,6,FALSE),0)</f>
        <v>50</v>
      </c>
      <c r="CC35">
        <f>IF(gamma!CC35,VLOOKUP(zeta!CC$1,main!$A$3:$H$102,5,FALSE)-VLOOKUP(zeta!$A35,main!$A$3:$H$102,6,FALSE),0)</f>
        <v>260</v>
      </c>
      <c r="CD35">
        <f>IF(gamma!CD35,VLOOKUP(zeta!CD$1,main!$A$3:$H$102,5,FALSE)-VLOOKUP(zeta!$A35,main!$A$3:$H$102,6,FALSE),0)</f>
        <v>0</v>
      </c>
      <c r="CE35">
        <f>IF(gamma!CE35,VLOOKUP(zeta!CE$1,main!$A$3:$H$102,5,FALSE)-VLOOKUP(zeta!$A35,main!$A$3:$H$102,6,FALSE),0)</f>
        <v>0</v>
      </c>
      <c r="CF35">
        <f>IF(gamma!CF35,VLOOKUP(zeta!CF$1,main!$A$3:$H$102,5,FALSE)-VLOOKUP(zeta!$A35,main!$A$3:$H$102,6,FALSE),0)</f>
        <v>0</v>
      </c>
      <c r="CG35">
        <f>IF(gamma!CG35,VLOOKUP(zeta!CG$1,main!$A$3:$H$102,5,FALSE)-VLOOKUP(zeta!$A35,main!$A$3:$H$102,6,FALSE),0)</f>
        <v>0</v>
      </c>
      <c r="CH35">
        <f>IF(gamma!CH35,VLOOKUP(zeta!CH$1,main!$A$3:$H$102,5,FALSE)-VLOOKUP(zeta!$A35,main!$A$3:$H$102,6,FALSE),0)</f>
        <v>145</v>
      </c>
      <c r="CI35">
        <f>IF(gamma!CI35,VLOOKUP(zeta!CI$1,main!$A$3:$H$102,5,FALSE)-VLOOKUP(zeta!$A35,main!$A$3:$H$102,6,FALSE),0)</f>
        <v>345</v>
      </c>
      <c r="CJ35">
        <f>IF(gamma!CJ35,VLOOKUP(zeta!CJ$1,main!$A$3:$H$102,5,FALSE)-VLOOKUP(zeta!$A35,main!$A$3:$H$102,6,FALSE),0)</f>
        <v>0</v>
      </c>
      <c r="CK35">
        <f>IF(gamma!CK35,VLOOKUP(zeta!CK$1,main!$A$3:$H$102,5,FALSE)-VLOOKUP(zeta!$A35,main!$A$3:$H$102,6,FALSE),0)</f>
        <v>0</v>
      </c>
      <c r="CL35">
        <f>IF(gamma!CL35,VLOOKUP(zeta!CL$1,main!$A$3:$H$102,5,FALSE)-VLOOKUP(zeta!$A35,main!$A$3:$H$102,6,FALSE),0)</f>
        <v>0</v>
      </c>
      <c r="CM35">
        <f>IF(gamma!CM35,VLOOKUP(zeta!CM$1,main!$A$3:$H$102,5,FALSE)-VLOOKUP(zeta!$A35,main!$A$3:$H$102,6,FALSE),0)</f>
        <v>121</v>
      </c>
      <c r="CN35">
        <f>IF(gamma!CN35,VLOOKUP(zeta!CN$1,main!$A$3:$H$102,5,FALSE)-VLOOKUP(zeta!$A35,main!$A$3:$H$102,6,FALSE),0)</f>
        <v>345</v>
      </c>
      <c r="CO35">
        <f>IF(gamma!CO35,VLOOKUP(zeta!CO$1,main!$A$3:$H$102,5,FALSE)-VLOOKUP(zeta!$A35,main!$A$3:$H$102,6,FALSE),0)</f>
        <v>0</v>
      </c>
      <c r="CP35">
        <f>IF(gamma!CP35,VLOOKUP(zeta!CP$1,main!$A$3:$H$102,5,FALSE)-VLOOKUP(zeta!$A35,main!$A$3:$H$102,6,FALSE),0)</f>
        <v>0</v>
      </c>
      <c r="CQ35">
        <f>IF(gamma!CQ35,VLOOKUP(zeta!CQ$1,main!$A$3:$H$102,5,FALSE)-VLOOKUP(zeta!$A35,main!$A$3:$H$102,6,FALSE),0)</f>
        <v>0</v>
      </c>
      <c r="CR35">
        <f>IF(gamma!CR35,VLOOKUP(zeta!CR$1,main!$A$3:$H$102,5,FALSE)-VLOOKUP(zeta!$A35,main!$A$3:$H$102,6,FALSE),0)</f>
        <v>110</v>
      </c>
      <c r="CS35">
        <f>IF(gamma!CS35,VLOOKUP(zeta!CS$1,main!$A$3:$H$102,5,FALSE)-VLOOKUP(zeta!$A35,main!$A$3:$H$102,6,FALSE),0)</f>
        <v>120</v>
      </c>
      <c r="CT35">
        <f>IF(gamma!CT35,VLOOKUP(zeta!CT$1,main!$A$3:$H$102,5,FALSE)-VLOOKUP(zeta!$A35,main!$A$3:$H$102,6,FALSE),0)</f>
        <v>0</v>
      </c>
      <c r="CU35">
        <f>IF(gamma!CU35,VLOOKUP(zeta!CU$1,main!$A$3:$H$102,5,FALSE)-VLOOKUP(zeta!$A35,main!$A$3:$H$102,6,FALSE),0)</f>
        <v>0</v>
      </c>
      <c r="CV35">
        <f>IF(gamma!CV35,VLOOKUP(zeta!CV$1,main!$A$3:$H$102,5,FALSE)-VLOOKUP(zeta!$A35,main!$A$3:$H$102,6,FALSE),0)</f>
        <v>0</v>
      </c>
      <c r="CW35">
        <f>IF(gamma!CW35,VLOOKUP(zeta!CW$1,main!$A$3:$H$102,5,FALSE)-VLOOKUP(zeta!$A35,main!$A$3:$H$102,6,FALSE),0)</f>
        <v>110</v>
      </c>
      <c r="CX35">
        <f>IF(gamma!CX35,VLOOKUP(zeta!CX$1,main!$A$3:$H$102,5,FALSE)-VLOOKUP(zeta!$A35,main!$A$3:$H$102,6,FALSE),0)</f>
        <v>150</v>
      </c>
    </row>
    <row r="36" spans="1:102" x14ac:dyDescent="0.25">
      <c r="A36">
        <f t="shared" si="1"/>
        <v>34</v>
      </c>
      <c r="B36">
        <v>0</v>
      </c>
      <c r="C36">
        <f>IF(gamma!C36,VLOOKUP(zeta!C$1,main!$A$3:$H$102,5,FALSE)-VLOOKUP(zeta!$A36,main!$A$3:$H$102,6,FALSE),0)</f>
        <v>0</v>
      </c>
      <c r="D36">
        <f>IF(gamma!D36,VLOOKUP(zeta!D$1,main!$A$3:$H$102,5,FALSE)-VLOOKUP(zeta!$A36,main!$A$3:$H$102,6,FALSE),0)</f>
        <v>0</v>
      </c>
      <c r="E36">
        <f>IF(gamma!E36,VLOOKUP(zeta!E$1,main!$A$3:$H$102,5,FALSE)-VLOOKUP(zeta!$A36,main!$A$3:$H$102,6,FALSE),0)</f>
        <v>0</v>
      </c>
      <c r="F36">
        <f>IF(gamma!F36,VLOOKUP(zeta!F$1,main!$A$3:$H$102,5,FALSE)-VLOOKUP(zeta!$A36,main!$A$3:$H$102,6,FALSE),0)</f>
        <v>0</v>
      </c>
      <c r="G36">
        <f>IF(gamma!G36,VLOOKUP(zeta!G$1,main!$A$3:$H$102,5,FALSE)-VLOOKUP(zeta!$A36,main!$A$3:$H$102,6,FALSE),0)</f>
        <v>0</v>
      </c>
      <c r="H36">
        <f>IF(gamma!H36,VLOOKUP(zeta!H$1,main!$A$3:$H$102,5,FALSE)-VLOOKUP(zeta!$A36,main!$A$3:$H$102,6,FALSE),0)</f>
        <v>0</v>
      </c>
      <c r="I36">
        <f>IF(gamma!I36,VLOOKUP(zeta!I$1,main!$A$3:$H$102,5,FALSE)-VLOOKUP(zeta!$A36,main!$A$3:$H$102,6,FALSE),0)</f>
        <v>35</v>
      </c>
      <c r="J36">
        <f>IF(gamma!J36,VLOOKUP(zeta!J$1,main!$A$3:$H$102,5,FALSE)-VLOOKUP(zeta!$A36,main!$A$3:$H$102,6,FALSE),0)</f>
        <v>95</v>
      </c>
      <c r="K36">
        <f>IF(gamma!K36,VLOOKUP(zeta!K$1,main!$A$3:$H$102,5,FALSE)-VLOOKUP(zeta!$A36,main!$A$3:$H$102,6,FALSE),0)</f>
        <v>155</v>
      </c>
      <c r="L36">
        <f>IF(gamma!L36,VLOOKUP(zeta!L$1,main!$A$3:$H$102,5,FALSE)-VLOOKUP(zeta!$A36,main!$A$3:$H$102,6,FALSE),0)</f>
        <v>245</v>
      </c>
      <c r="M36">
        <f>IF(gamma!M36,VLOOKUP(zeta!M$1,main!$A$3:$H$102,5,FALSE)-VLOOKUP(zeta!$A36,main!$A$3:$H$102,6,FALSE),0)</f>
        <v>0</v>
      </c>
      <c r="N36">
        <f>IF(gamma!N36,VLOOKUP(zeta!N$1,main!$A$3:$H$102,5,FALSE)-VLOOKUP(zeta!$A36,main!$A$3:$H$102,6,FALSE),0)</f>
        <v>0</v>
      </c>
      <c r="O36">
        <f>IF(gamma!O36,VLOOKUP(zeta!O$1,main!$A$3:$H$102,5,FALSE)-VLOOKUP(zeta!$A36,main!$A$3:$H$102,6,FALSE),0)</f>
        <v>0</v>
      </c>
      <c r="P36">
        <f>IF(gamma!P36,VLOOKUP(zeta!P$1,main!$A$3:$H$102,5,FALSE)-VLOOKUP(zeta!$A36,main!$A$3:$H$102,6,FALSE),0)</f>
        <v>0</v>
      </c>
      <c r="Q36">
        <f>IF(gamma!Q36,VLOOKUP(zeta!Q$1,main!$A$3:$H$102,5,FALSE)-VLOOKUP(zeta!$A36,main!$A$3:$H$102,6,FALSE),0)</f>
        <v>0</v>
      </c>
      <c r="R36">
        <f>IF(gamma!R36,VLOOKUP(zeta!R$1,main!$A$3:$H$102,5,FALSE)-VLOOKUP(zeta!$A36,main!$A$3:$H$102,6,FALSE),0)</f>
        <v>0</v>
      </c>
      <c r="S36">
        <f>IF(gamma!S36,VLOOKUP(zeta!S$1,main!$A$3:$H$102,5,FALSE)-VLOOKUP(zeta!$A36,main!$A$3:$H$102,6,FALSE),0)</f>
        <v>0</v>
      </c>
      <c r="T36">
        <f>IF(gamma!T36,VLOOKUP(zeta!T$1,main!$A$3:$H$102,5,FALSE)-VLOOKUP(zeta!$A36,main!$A$3:$H$102,6,FALSE),0)</f>
        <v>55</v>
      </c>
      <c r="U36">
        <f>IF(gamma!U36,VLOOKUP(zeta!U$1,main!$A$3:$H$102,5,FALSE)-VLOOKUP(zeta!$A36,main!$A$3:$H$102,6,FALSE),0)</f>
        <v>210</v>
      </c>
      <c r="V36">
        <f>IF(gamma!V36,VLOOKUP(zeta!V$1,main!$A$3:$H$102,5,FALSE)-VLOOKUP(zeta!$A36,main!$A$3:$H$102,6,FALSE),0)</f>
        <v>270</v>
      </c>
      <c r="W36">
        <f>IF(gamma!W36,VLOOKUP(zeta!W$1,main!$A$3:$H$102,5,FALSE)-VLOOKUP(zeta!$A36,main!$A$3:$H$102,6,FALSE),0)</f>
        <v>0</v>
      </c>
      <c r="X36">
        <f>IF(gamma!X36,VLOOKUP(zeta!X$1,main!$A$3:$H$102,5,FALSE)-VLOOKUP(zeta!$A36,main!$A$3:$H$102,6,FALSE),0)</f>
        <v>0</v>
      </c>
      <c r="Y36">
        <f>IF(gamma!Y36,VLOOKUP(zeta!Y$1,main!$A$3:$H$102,5,FALSE)-VLOOKUP(zeta!$A36,main!$A$3:$H$102,6,FALSE),0)</f>
        <v>0</v>
      </c>
      <c r="Z36">
        <f>IF(gamma!Z36,VLOOKUP(zeta!Z$1,main!$A$3:$H$102,5,FALSE)-VLOOKUP(zeta!$A36,main!$A$3:$H$102,6,FALSE),0)</f>
        <v>25</v>
      </c>
      <c r="AA36">
        <f>IF(gamma!AA36,VLOOKUP(zeta!AA$1,main!$A$3:$H$102,5,FALSE)-VLOOKUP(zeta!$A36,main!$A$3:$H$102,6,FALSE),0)</f>
        <v>175</v>
      </c>
      <c r="AB36">
        <f>IF(gamma!AB36,VLOOKUP(zeta!AB$1,main!$A$3:$H$102,5,FALSE)-VLOOKUP(zeta!$A36,main!$A$3:$H$102,6,FALSE),0)</f>
        <v>0</v>
      </c>
      <c r="AC36">
        <f>IF(gamma!AC36,VLOOKUP(zeta!AC$1,main!$A$3:$H$102,5,FALSE)-VLOOKUP(zeta!$A36,main!$A$3:$H$102,6,FALSE),0)</f>
        <v>0</v>
      </c>
      <c r="AD36">
        <f>IF(gamma!AD36,VLOOKUP(zeta!AD$1,main!$A$3:$H$102,5,FALSE)-VLOOKUP(zeta!$A36,main!$A$3:$H$102,6,FALSE),0)</f>
        <v>0</v>
      </c>
      <c r="AE36">
        <f>IF(gamma!AE36,VLOOKUP(zeta!AE$1,main!$A$3:$H$102,5,FALSE)-VLOOKUP(zeta!$A36,main!$A$3:$H$102,6,FALSE),0)</f>
        <v>0</v>
      </c>
      <c r="AF36">
        <f>IF(gamma!AF36,VLOOKUP(zeta!AF$1,main!$A$3:$H$102,5,FALSE)-VLOOKUP(zeta!$A36,main!$A$3:$H$102,6,FALSE),0)</f>
        <v>155</v>
      </c>
      <c r="AG36">
        <f>IF(gamma!AG36,VLOOKUP(zeta!AG$1,main!$A$3:$H$102,5,FALSE)-VLOOKUP(zeta!$A36,main!$A$3:$H$102,6,FALSE),0)</f>
        <v>0</v>
      </c>
      <c r="AH36">
        <f>IF(gamma!AH36,VLOOKUP(zeta!AH$1,main!$A$3:$H$102,5,FALSE)-VLOOKUP(zeta!$A36,main!$A$3:$H$102,6,FALSE),0)</f>
        <v>0</v>
      </c>
      <c r="AI36">
        <f>IF(gamma!AI36,VLOOKUP(zeta!AI$1,main!$A$3:$H$102,5,FALSE)-VLOOKUP(zeta!$A36,main!$A$3:$H$102,6,FALSE),0)</f>
        <v>0</v>
      </c>
      <c r="AJ36">
        <f>IF(gamma!AJ36,VLOOKUP(zeta!AJ$1,main!$A$3:$H$102,5,FALSE)-VLOOKUP(zeta!$A36,main!$A$3:$H$102,6,FALSE),0)</f>
        <v>0</v>
      </c>
      <c r="AK36">
        <f>IF(gamma!AK36,VLOOKUP(zeta!AK$1,main!$A$3:$H$102,5,FALSE)-VLOOKUP(zeta!$A36,main!$A$3:$H$102,6,FALSE),0)</f>
        <v>0</v>
      </c>
      <c r="AL36">
        <f>IF(gamma!AL36,VLOOKUP(zeta!AL$1,main!$A$3:$H$102,5,FALSE)-VLOOKUP(zeta!$A36,main!$A$3:$H$102,6,FALSE),0)</f>
        <v>45</v>
      </c>
      <c r="AM36">
        <f>IF(gamma!AM36,VLOOKUP(zeta!AM$1,main!$A$3:$H$102,5,FALSE)-VLOOKUP(zeta!$A36,main!$A$3:$H$102,6,FALSE),0)</f>
        <v>135</v>
      </c>
      <c r="AN36">
        <f>IF(gamma!AN36,VLOOKUP(zeta!AN$1,main!$A$3:$H$102,5,FALSE)-VLOOKUP(zeta!$A36,main!$A$3:$H$102,6,FALSE),0)</f>
        <v>195</v>
      </c>
      <c r="AO36">
        <f>IF(gamma!AO36,VLOOKUP(zeta!AO$1,main!$A$3:$H$102,5,FALSE)-VLOOKUP(zeta!$A36,main!$A$3:$H$102,6,FALSE),0)</f>
        <v>0</v>
      </c>
      <c r="AP36">
        <f>IF(gamma!AP36,VLOOKUP(zeta!AP$1,main!$A$3:$H$102,5,FALSE)-VLOOKUP(zeta!$A36,main!$A$3:$H$102,6,FALSE),0)</f>
        <v>255</v>
      </c>
      <c r="AQ36">
        <f>IF(gamma!AQ36,VLOOKUP(zeta!AQ$1,main!$A$3:$H$102,5,FALSE)-VLOOKUP(zeta!$A36,main!$A$3:$H$102,6,FALSE),0)</f>
        <v>0</v>
      </c>
      <c r="AR36">
        <f>IF(gamma!AR36,VLOOKUP(zeta!AR$1,main!$A$3:$H$102,5,FALSE)-VLOOKUP(zeta!$A36,main!$A$3:$H$102,6,FALSE),0)</f>
        <v>0</v>
      </c>
      <c r="AS36">
        <f>IF(gamma!AS36,VLOOKUP(zeta!AS$1,main!$A$3:$H$102,5,FALSE)-VLOOKUP(zeta!$A36,main!$A$3:$H$102,6,FALSE),0)</f>
        <v>0</v>
      </c>
      <c r="AT36">
        <f>IF(gamma!AT36,VLOOKUP(zeta!AT$1,main!$A$3:$H$102,5,FALSE)-VLOOKUP(zeta!$A36,main!$A$3:$H$102,6,FALSE),0)</f>
        <v>0</v>
      </c>
      <c r="AU36">
        <f>IF(gamma!AU36,VLOOKUP(zeta!AU$1,main!$A$3:$H$102,5,FALSE)-VLOOKUP(zeta!$A36,main!$A$3:$H$102,6,FALSE),0)</f>
        <v>0</v>
      </c>
      <c r="AV36">
        <f>IF(gamma!AV36,VLOOKUP(zeta!AV$1,main!$A$3:$H$102,5,FALSE)-VLOOKUP(zeta!$A36,main!$A$3:$H$102,6,FALSE),0)</f>
        <v>0</v>
      </c>
      <c r="AW36">
        <f>IF(gamma!AW36,VLOOKUP(zeta!AW$1,main!$A$3:$H$102,5,FALSE)-VLOOKUP(zeta!$A36,main!$A$3:$H$102,6,FALSE),0)</f>
        <v>0</v>
      </c>
      <c r="AX36">
        <f>IF(gamma!AX36,VLOOKUP(zeta!AX$1,main!$A$3:$H$102,5,FALSE)-VLOOKUP(zeta!$A36,main!$A$3:$H$102,6,FALSE),0)</f>
        <v>0</v>
      </c>
      <c r="AY36">
        <f>IF(gamma!AY36,VLOOKUP(zeta!AY$1,main!$A$3:$H$102,5,FALSE)-VLOOKUP(zeta!$A36,main!$A$3:$H$102,6,FALSE),0)</f>
        <v>0</v>
      </c>
      <c r="AZ36">
        <f>IF(gamma!AZ36,VLOOKUP(zeta!AZ$1,main!$A$3:$H$102,5,FALSE)-VLOOKUP(zeta!$A36,main!$A$3:$H$102,6,FALSE),0)</f>
        <v>0</v>
      </c>
      <c r="BA36">
        <f>IF(gamma!BA36,VLOOKUP(zeta!BA$1,main!$A$3:$H$102,5,FALSE)-VLOOKUP(zeta!$A36,main!$A$3:$H$102,6,FALSE),0)</f>
        <v>0</v>
      </c>
      <c r="BB36">
        <f>IF(gamma!BB36,VLOOKUP(zeta!BB$1,main!$A$3:$H$102,5,FALSE)-VLOOKUP(zeta!$A36,main!$A$3:$H$102,6,FALSE),0)</f>
        <v>0</v>
      </c>
      <c r="BC36">
        <f>IF(gamma!BC36,VLOOKUP(zeta!BC$1,main!$A$3:$H$102,5,FALSE)-VLOOKUP(zeta!$A36,main!$A$3:$H$102,6,FALSE),0)</f>
        <v>0</v>
      </c>
      <c r="BD36">
        <f>IF(gamma!BD36,VLOOKUP(zeta!BD$1,main!$A$3:$H$102,5,FALSE)-VLOOKUP(zeta!$A36,main!$A$3:$H$102,6,FALSE),0)</f>
        <v>0</v>
      </c>
      <c r="BE36">
        <f>IF(gamma!BE36,VLOOKUP(zeta!BE$1,main!$A$3:$H$102,5,FALSE)-VLOOKUP(zeta!$A36,main!$A$3:$H$102,6,FALSE),0)</f>
        <v>95</v>
      </c>
      <c r="BF36">
        <f>IF(gamma!BF36,VLOOKUP(zeta!BF$1,main!$A$3:$H$102,5,FALSE)-VLOOKUP(zeta!$A36,main!$A$3:$H$102,6,FALSE),0)</f>
        <v>0</v>
      </c>
      <c r="BG36">
        <f>IF(gamma!BG36,VLOOKUP(zeta!BG$1,main!$A$3:$H$102,5,FALSE)-VLOOKUP(zeta!$A36,main!$A$3:$H$102,6,FALSE),0)</f>
        <v>0</v>
      </c>
      <c r="BH36">
        <f>IF(gamma!BH36,VLOOKUP(zeta!BH$1,main!$A$3:$H$102,5,FALSE)-VLOOKUP(zeta!$A36,main!$A$3:$H$102,6,FALSE),0)</f>
        <v>0</v>
      </c>
      <c r="BI36">
        <f>IF(gamma!BI36,VLOOKUP(zeta!BI$1,main!$A$3:$H$102,5,FALSE)-VLOOKUP(zeta!$A36,main!$A$3:$H$102,6,FALSE),0)</f>
        <v>265</v>
      </c>
      <c r="BJ36">
        <f>IF(gamma!BJ36,VLOOKUP(zeta!BJ$1,main!$A$3:$H$102,5,FALSE)-VLOOKUP(zeta!$A36,main!$A$3:$H$102,6,FALSE),0)</f>
        <v>55</v>
      </c>
      <c r="BK36">
        <f>IF(gamma!BK36,VLOOKUP(zeta!BK$1,main!$A$3:$H$102,5,FALSE)-VLOOKUP(zeta!$A36,main!$A$3:$H$102,6,FALSE),0)</f>
        <v>0</v>
      </c>
      <c r="BL36">
        <f>IF(gamma!BL36,VLOOKUP(zeta!BL$1,main!$A$3:$H$102,5,FALSE)-VLOOKUP(zeta!$A36,main!$A$3:$H$102,6,FALSE),0)</f>
        <v>0</v>
      </c>
      <c r="BM36">
        <f>IF(gamma!BM36,VLOOKUP(zeta!BM$1,main!$A$3:$H$102,5,FALSE)-VLOOKUP(zeta!$A36,main!$A$3:$H$102,6,FALSE),0)</f>
        <v>0</v>
      </c>
      <c r="BN36">
        <f>IF(gamma!BN36,VLOOKUP(zeta!BN$1,main!$A$3:$H$102,5,FALSE)-VLOOKUP(zeta!$A36,main!$A$3:$H$102,6,FALSE),0)</f>
        <v>0</v>
      </c>
      <c r="BO36">
        <f>IF(gamma!BO36,VLOOKUP(zeta!BO$1,main!$A$3:$H$102,5,FALSE)-VLOOKUP(zeta!$A36,main!$A$3:$H$102,6,FALSE),0)</f>
        <v>0</v>
      </c>
      <c r="BP36">
        <f>IF(gamma!BP36,VLOOKUP(zeta!BP$1,main!$A$3:$H$102,5,FALSE)-VLOOKUP(zeta!$A36,main!$A$3:$H$102,6,FALSE),0)</f>
        <v>0</v>
      </c>
      <c r="BQ36">
        <f>IF(gamma!BQ36,VLOOKUP(zeta!BQ$1,main!$A$3:$H$102,5,FALSE)-VLOOKUP(zeta!$A36,main!$A$3:$H$102,6,FALSE),0)</f>
        <v>0</v>
      </c>
      <c r="BR36">
        <f>IF(gamma!BR36,VLOOKUP(zeta!BR$1,main!$A$3:$H$102,5,FALSE)-VLOOKUP(zeta!$A36,main!$A$3:$H$102,6,FALSE),0)</f>
        <v>0</v>
      </c>
      <c r="BS36">
        <f>IF(gamma!BS36,VLOOKUP(zeta!BS$1,main!$A$3:$H$102,5,FALSE)-VLOOKUP(zeta!$A36,main!$A$3:$H$102,6,FALSE),0)</f>
        <v>0</v>
      </c>
      <c r="BT36">
        <f>IF(gamma!BT36,VLOOKUP(zeta!BT$1,main!$A$3:$H$102,5,FALSE)-VLOOKUP(zeta!$A36,main!$A$3:$H$102,6,FALSE),0)</f>
        <v>0</v>
      </c>
      <c r="BU36">
        <f>IF(gamma!BU36,VLOOKUP(zeta!BU$1,main!$A$3:$H$102,5,FALSE)-VLOOKUP(zeta!$A36,main!$A$3:$H$102,6,FALSE),0)</f>
        <v>0</v>
      </c>
      <c r="BV36">
        <f>IF(gamma!BV36,VLOOKUP(zeta!BV$1,main!$A$3:$H$102,5,FALSE)-VLOOKUP(zeta!$A36,main!$A$3:$H$102,6,FALSE),0)</f>
        <v>0</v>
      </c>
      <c r="BW36">
        <f>IF(gamma!BW36,VLOOKUP(zeta!BW$1,main!$A$3:$H$102,5,FALSE)-VLOOKUP(zeta!$A36,main!$A$3:$H$102,6,FALSE),0)</f>
        <v>0</v>
      </c>
      <c r="BX36">
        <f>IF(gamma!BX36,VLOOKUP(zeta!BX$1,main!$A$3:$H$102,5,FALSE)-VLOOKUP(zeta!$A36,main!$A$3:$H$102,6,FALSE),0)</f>
        <v>0</v>
      </c>
      <c r="BY36">
        <f>IF(gamma!BY36,VLOOKUP(zeta!BY$1,main!$A$3:$H$102,5,FALSE)-VLOOKUP(zeta!$A36,main!$A$3:$H$102,6,FALSE),0)</f>
        <v>0</v>
      </c>
      <c r="BZ36">
        <f>IF(gamma!BZ36,VLOOKUP(zeta!BZ$1,main!$A$3:$H$102,5,FALSE)-VLOOKUP(zeta!$A36,main!$A$3:$H$102,6,FALSE),0)</f>
        <v>0</v>
      </c>
      <c r="CA36">
        <f>IF(gamma!CA36,VLOOKUP(zeta!CA$1,main!$A$3:$H$102,5,FALSE)-VLOOKUP(zeta!$A36,main!$A$3:$H$102,6,FALSE),0)</f>
        <v>0</v>
      </c>
      <c r="CB36">
        <f>IF(gamma!CB36,VLOOKUP(zeta!CB$1,main!$A$3:$H$102,5,FALSE)-VLOOKUP(zeta!$A36,main!$A$3:$H$102,6,FALSE),0)</f>
        <v>0</v>
      </c>
      <c r="CC36">
        <f>IF(gamma!CC36,VLOOKUP(zeta!CC$1,main!$A$3:$H$102,5,FALSE)-VLOOKUP(zeta!$A36,main!$A$3:$H$102,6,FALSE),0)</f>
        <v>170</v>
      </c>
      <c r="CD36">
        <f>IF(gamma!CD36,VLOOKUP(zeta!CD$1,main!$A$3:$H$102,5,FALSE)-VLOOKUP(zeta!$A36,main!$A$3:$H$102,6,FALSE),0)</f>
        <v>0</v>
      </c>
      <c r="CE36">
        <f>IF(gamma!CE36,VLOOKUP(zeta!CE$1,main!$A$3:$H$102,5,FALSE)-VLOOKUP(zeta!$A36,main!$A$3:$H$102,6,FALSE),0)</f>
        <v>0</v>
      </c>
      <c r="CF36">
        <f>IF(gamma!CF36,VLOOKUP(zeta!CF$1,main!$A$3:$H$102,5,FALSE)-VLOOKUP(zeta!$A36,main!$A$3:$H$102,6,FALSE),0)</f>
        <v>0</v>
      </c>
      <c r="CG36">
        <f>IF(gamma!CG36,VLOOKUP(zeta!CG$1,main!$A$3:$H$102,5,FALSE)-VLOOKUP(zeta!$A36,main!$A$3:$H$102,6,FALSE),0)</f>
        <v>0</v>
      </c>
      <c r="CH36">
        <f>IF(gamma!CH36,VLOOKUP(zeta!CH$1,main!$A$3:$H$102,5,FALSE)-VLOOKUP(zeta!$A36,main!$A$3:$H$102,6,FALSE),0)</f>
        <v>55</v>
      </c>
      <c r="CI36">
        <f>IF(gamma!CI36,VLOOKUP(zeta!CI$1,main!$A$3:$H$102,5,FALSE)-VLOOKUP(zeta!$A36,main!$A$3:$H$102,6,FALSE),0)</f>
        <v>255</v>
      </c>
      <c r="CJ36">
        <f>IF(gamma!CJ36,VLOOKUP(zeta!CJ$1,main!$A$3:$H$102,5,FALSE)-VLOOKUP(zeta!$A36,main!$A$3:$H$102,6,FALSE),0)</f>
        <v>0</v>
      </c>
      <c r="CK36">
        <f>IF(gamma!CK36,VLOOKUP(zeta!CK$1,main!$A$3:$H$102,5,FALSE)-VLOOKUP(zeta!$A36,main!$A$3:$H$102,6,FALSE),0)</f>
        <v>0</v>
      </c>
      <c r="CL36">
        <f>IF(gamma!CL36,VLOOKUP(zeta!CL$1,main!$A$3:$H$102,5,FALSE)-VLOOKUP(zeta!$A36,main!$A$3:$H$102,6,FALSE),0)</f>
        <v>0</v>
      </c>
      <c r="CM36">
        <f>IF(gamma!CM36,VLOOKUP(zeta!CM$1,main!$A$3:$H$102,5,FALSE)-VLOOKUP(zeta!$A36,main!$A$3:$H$102,6,FALSE),0)</f>
        <v>0</v>
      </c>
      <c r="CN36">
        <f>IF(gamma!CN36,VLOOKUP(zeta!CN$1,main!$A$3:$H$102,5,FALSE)-VLOOKUP(zeta!$A36,main!$A$3:$H$102,6,FALSE),0)</f>
        <v>255</v>
      </c>
      <c r="CO36">
        <f>IF(gamma!CO36,VLOOKUP(zeta!CO$1,main!$A$3:$H$102,5,FALSE)-VLOOKUP(zeta!$A36,main!$A$3:$H$102,6,FALSE),0)</f>
        <v>0</v>
      </c>
      <c r="CP36">
        <f>IF(gamma!CP36,VLOOKUP(zeta!CP$1,main!$A$3:$H$102,5,FALSE)-VLOOKUP(zeta!$A36,main!$A$3:$H$102,6,FALSE),0)</f>
        <v>0</v>
      </c>
      <c r="CQ36">
        <f>IF(gamma!CQ36,VLOOKUP(zeta!CQ$1,main!$A$3:$H$102,5,FALSE)-VLOOKUP(zeta!$A36,main!$A$3:$H$102,6,FALSE),0)</f>
        <v>0</v>
      </c>
      <c r="CR36">
        <f>IF(gamma!CR36,VLOOKUP(zeta!CR$1,main!$A$3:$H$102,5,FALSE)-VLOOKUP(zeta!$A36,main!$A$3:$H$102,6,FALSE),0)</f>
        <v>0</v>
      </c>
      <c r="CS36">
        <f>IF(gamma!CS36,VLOOKUP(zeta!CS$1,main!$A$3:$H$102,5,FALSE)-VLOOKUP(zeta!$A36,main!$A$3:$H$102,6,FALSE),0)</f>
        <v>0</v>
      </c>
      <c r="CT36">
        <f>IF(gamma!CT36,VLOOKUP(zeta!CT$1,main!$A$3:$H$102,5,FALSE)-VLOOKUP(zeta!$A36,main!$A$3:$H$102,6,FALSE),0)</f>
        <v>0</v>
      </c>
      <c r="CU36">
        <f>IF(gamma!CU36,VLOOKUP(zeta!CU$1,main!$A$3:$H$102,5,FALSE)-VLOOKUP(zeta!$A36,main!$A$3:$H$102,6,FALSE),0)</f>
        <v>0</v>
      </c>
      <c r="CV36">
        <f>IF(gamma!CV36,VLOOKUP(zeta!CV$1,main!$A$3:$H$102,5,FALSE)-VLOOKUP(zeta!$A36,main!$A$3:$H$102,6,FALSE),0)</f>
        <v>0</v>
      </c>
      <c r="CW36">
        <f>IF(gamma!CW36,VLOOKUP(zeta!CW$1,main!$A$3:$H$102,5,FALSE)-VLOOKUP(zeta!$A36,main!$A$3:$H$102,6,FALSE),0)</f>
        <v>0</v>
      </c>
      <c r="CX36">
        <f>IF(gamma!CX36,VLOOKUP(zeta!CX$1,main!$A$3:$H$102,5,FALSE)-VLOOKUP(zeta!$A36,main!$A$3:$H$102,6,FALSE),0)</f>
        <v>60</v>
      </c>
    </row>
    <row r="37" spans="1:102" x14ac:dyDescent="0.25">
      <c r="A37">
        <f t="shared" si="1"/>
        <v>35</v>
      </c>
      <c r="B37">
        <v>0</v>
      </c>
      <c r="C37">
        <f>IF(gamma!C37,VLOOKUP(zeta!C$1,main!$A$3:$H$102,5,FALSE)-VLOOKUP(zeta!$A37,main!$A$3:$H$102,6,FALSE),0)</f>
        <v>0</v>
      </c>
      <c r="D37">
        <f>IF(gamma!D37,VLOOKUP(zeta!D$1,main!$A$3:$H$102,5,FALSE)-VLOOKUP(zeta!$A37,main!$A$3:$H$102,6,FALSE),0)</f>
        <v>0</v>
      </c>
      <c r="E37">
        <f>IF(gamma!E37,VLOOKUP(zeta!E$1,main!$A$3:$H$102,5,FALSE)-VLOOKUP(zeta!$A37,main!$A$3:$H$102,6,FALSE),0)</f>
        <v>0</v>
      </c>
      <c r="F37">
        <f>IF(gamma!F37,VLOOKUP(zeta!F$1,main!$A$3:$H$102,5,FALSE)-VLOOKUP(zeta!$A37,main!$A$3:$H$102,6,FALSE),0)</f>
        <v>0</v>
      </c>
      <c r="G37">
        <f>IF(gamma!G37,VLOOKUP(zeta!G$1,main!$A$3:$H$102,5,FALSE)-VLOOKUP(zeta!$A37,main!$A$3:$H$102,6,FALSE),0)</f>
        <v>0</v>
      </c>
      <c r="H37">
        <f>IF(gamma!H37,VLOOKUP(zeta!H$1,main!$A$3:$H$102,5,FALSE)-VLOOKUP(zeta!$A37,main!$A$3:$H$102,6,FALSE),0)</f>
        <v>0</v>
      </c>
      <c r="I37">
        <f>IF(gamma!I37,VLOOKUP(zeta!I$1,main!$A$3:$H$102,5,FALSE)-VLOOKUP(zeta!$A37,main!$A$3:$H$102,6,FALSE),0)</f>
        <v>0</v>
      </c>
      <c r="J37">
        <f>IF(gamma!J37,VLOOKUP(zeta!J$1,main!$A$3:$H$102,5,FALSE)-VLOOKUP(zeta!$A37,main!$A$3:$H$102,6,FALSE),0)</f>
        <v>0</v>
      </c>
      <c r="K37">
        <f>IF(gamma!K37,VLOOKUP(zeta!K$1,main!$A$3:$H$102,5,FALSE)-VLOOKUP(zeta!$A37,main!$A$3:$H$102,6,FALSE),0)</f>
        <v>65</v>
      </c>
      <c r="L37">
        <f>IF(gamma!L37,VLOOKUP(zeta!L$1,main!$A$3:$H$102,5,FALSE)-VLOOKUP(zeta!$A37,main!$A$3:$H$102,6,FALSE),0)</f>
        <v>155</v>
      </c>
      <c r="M37">
        <f>IF(gamma!M37,VLOOKUP(zeta!M$1,main!$A$3:$H$102,5,FALSE)-VLOOKUP(zeta!$A37,main!$A$3:$H$102,6,FALSE),0)</f>
        <v>0</v>
      </c>
      <c r="N37">
        <f>IF(gamma!N37,VLOOKUP(zeta!N$1,main!$A$3:$H$102,5,FALSE)-VLOOKUP(zeta!$A37,main!$A$3:$H$102,6,FALSE),0)</f>
        <v>0</v>
      </c>
      <c r="O37">
        <f>IF(gamma!O37,VLOOKUP(zeta!O$1,main!$A$3:$H$102,5,FALSE)-VLOOKUP(zeta!$A37,main!$A$3:$H$102,6,FALSE),0)</f>
        <v>0</v>
      </c>
      <c r="P37">
        <f>IF(gamma!P37,VLOOKUP(zeta!P$1,main!$A$3:$H$102,5,FALSE)-VLOOKUP(zeta!$A37,main!$A$3:$H$102,6,FALSE),0)</f>
        <v>0</v>
      </c>
      <c r="Q37">
        <f>IF(gamma!Q37,VLOOKUP(zeta!Q$1,main!$A$3:$H$102,5,FALSE)-VLOOKUP(zeta!$A37,main!$A$3:$H$102,6,FALSE),0)</f>
        <v>0</v>
      </c>
      <c r="R37">
        <f>IF(gamma!R37,VLOOKUP(zeta!R$1,main!$A$3:$H$102,5,FALSE)-VLOOKUP(zeta!$A37,main!$A$3:$H$102,6,FALSE),0)</f>
        <v>0</v>
      </c>
      <c r="S37">
        <f>IF(gamma!S37,VLOOKUP(zeta!S$1,main!$A$3:$H$102,5,FALSE)-VLOOKUP(zeta!$A37,main!$A$3:$H$102,6,FALSE),0)</f>
        <v>0</v>
      </c>
      <c r="T37">
        <f>IF(gamma!T37,VLOOKUP(zeta!T$1,main!$A$3:$H$102,5,FALSE)-VLOOKUP(zeta!$A37,main!$A$3:$H$102,6,FALSE),0)</f>
        <v>0</v>
      </c>
      <c r="U37">
        <f>IF(gamma!U37,VLOOKUP(zeta!U$1,main!$A$3:$H$102,5,FALSE)-VLOOKUP(zeta!$A37,main!$A$3:$H$102,6,FALSE),0)</f>
        <v>120</v>
      </c>
      <c r="V37">
        <f>IF(gamma!V37,VLOOKUP(zeta!V$1,main!$A$3:$H$102,5,FALSE)-VLOOKUP(zeta!$A37,main!$A$3:$H$102,6,FALSE),0)</f>
        <v>180</v>
      </c>
      <c r="W37">
        <f>IF(gamma!W37,VLOOKUP(zeta!W$1,main!$A$3:$H$102,5,FALSE)-VLOOKUP(zeta!$A37,main!$A$3:$H$102,6,FALSE),0)</f>
        <v>0</v>
      </c>
      <c r="X37">
        <f>IF(gamma!X37,VLOOKUP(zeta!X$1,main!$A$3:$H$102,5,FALSE)-VLOOKUP(zeta!$A37,main!$A$3:$H$102,6,FALSE),0)</f>
        <v>0</v>
      </c>
      <c r="Y37">
        <f>IF(gamma!Y37,VLOOKUP(zeta!Y$1,main!$A$3:$H$102,5,FALSE)-VLOOKUP(zeta!$A37,main!$A$3:$H$102,6,FALSE),0)</f>
        <v>0</v>
      </c>
      <c r="Z37">
        <f>IF(gamma!Z37,VLOOKUP(zeta!Z$1,main!$A$3:$H$102,5,FALSE)-VLOOKUP(zeta!$A37,main!$A$3:$H$102,6,FALSE),0)</f>
        <v>0</v>
      </c>
      <c r="AA37">
        <f>IF(gamma!AA37,VLOOKUP(zeta!AA$1,main!$A$3:$H$102,5,FALSE)-VLOOKUP(zeta!$A37,main!$A$3:$H$102,6,FALSE),0)</f>
        <v>85</v>
      </c>
      <c r="AB37">
        <f>IF(gamma!AB37,VLOOKUP(zeta!AB$1,main!$A$3:$H$102,5,FALSE)-VLOOKUP(zeta!$A37,main!$A$3:$H$102,6,FALSE),0)</f>
        <v>0</v>
      </c>
      <c r="AC37">
        <f>IF(gamma!AC37,VLOOKUP(zeta!AC$1,main!$A$3:$H$102,5,FALSE)-VLOOKUP(zeta!$A37,main!$A$3:$H$102,6,FALSE),0)</f>
        <v>0</v>
      </c>
      <c r="AD37">
        <f>IF(gamma!AD37,VLOOKUP(zeta!AD$1,main!$A$3:$H$102,5,FALSE)-VLOOKUP(zeta!$A37,main!$A$3:$H$102,6,FALSE),0)</f>
        <v>0</v>
      </c>
      <c r="AE37">
        <f>IF(gamma!AE37,VLOOKUP(zeta!AE$1,main!$A$3:$H$102,5,FALSE)-VLOOKUP(zeta!$A37,main!$A$3:$H$102,6,FALSE),0)</f>
        <v>0</v>
      </c>
      <c r="AF37">
        <f>IF(gamma!AF37,VLOOKUP(zeta!AF$1,main!$A$3:$H$102,5,FALSE)-VLOOKUP(zeta!$A37,main!$A$3:$H$102,6,FALSE),0)</f>
        <v>65</v>
      </c>
      <c r="AG37">
        <f>IF(gamma!AG37,VLOOKUP(zeta!AG$1,main!$A$3:$H$102,5,FALSE)-VLOOKUP(zeta!$A37,main!$A$3:$H$102,6,FALSE),0)</f>
        <v>0</v>
      </c>
      <c r="AH37">
        <f>IF(gamma!AH37,VLOOKUP(zeta!AH$1,main!$A$3:$H$102,5,FALSE)-VLOOKUP(zeta!$A37,main!$A$3:$H$102,6,FALSE),0)</f>
        <v>0</v>
      </c>
      <c r="AI37">
        <f>IF(gamma!AI37,VLOOKUP(zeta!AI$1,main!$A$3:$H$102,5,FALSE)-VLOOKUP(zeta!$A37,main!$A$3:$H$102,6,FALSE),0)</f>
        <v>0</v>
      </c>
      <c r="AJ37">
        <f>IF(gamma!AJ37,VLOOKUP(zeta!AJ$1,main!$A$3:$H$102,5,FALSE)-VLOOKUP(zeta!$A37,main!$A$3:$H$102,6,FALSE),0)</f>
        <v>0</v>
      </c>
      <c r="AK37">
        <f>IF(gamma!AK37,VLOOKUP(zeta!AK$1,main!$A$3:$H$102,5,FALSE)-VLOOKUP(zeta!$A37,main!$A$3:$H$102,6,FALSE),0)</f>
        <v>0</v>
      </c>
      <c r="AL37">
        <f>IF(gamma!AL37,VLOOKUP(zeta!AL$1,main!$A$3:$H$102,5,FALSE)-VLOOKUP(zeta!$A37,main!$A$3:$H$102,6,FALSE),0)</f>
        <v>0</v>
      </c>
      <c r="AM37">
        <f>IF(gamma!AM37,VLOOKUP(zeta!AM$1,main!$A$3:$H$102,5,FALSE)-VLOOKUP(zeta!$A37,main!$A$3:$H$102,6,FALSE),0)</f>
        <v>45</v>
      </c>
      <c r="AN37">
        <f>IF(gamma!AN37,VLOOKUP(zeta!AN$1,main!$A$3:$H$102,5,FALSE)-VLOOKUP(zeta!$A37,main!$A$3:$H$102,6,FALSE),0)</f>
        <v>105</v>
      </c>
      <c r="AO37">
        <f>IF(gamma!AO37,VLOOKUP(zeta!AO$1,main!$A$3:$H$102,5,FALSE)-VLOOKUP(zeta!$A37,main!$A$3:$H$102,6,FALSE),0)</f>
        <v>0</v>
      </c>
      <c r="AP37">
        <f>IF(gamma!AP37,VLOOKUP(zeta!AP$1,main!$A$3:$H$102,5,FALSE)-VLOOKUP(zeta!$A37,main!$A$3:$H$102,6,FALSE),0)</f>
        <v>165</v>
      </c>
      <c r="AQ37">
        <f>IF(gamma!AQ37,VLOOKUP(zeta!AQ$1,main!$A$3:$H$102,5,FALSE)-VLOOKUP(zeta!$A37,main!$A$3:$H$102,6,FALSE),0)</f>
        <v>0</v>
      </c>
      <c r="AR37">
        <f>IF(gamma!AR37,VLOOKUP(zeta!AR$1,main!$A$3:$H$102,5,FALSE)-VLOOKUP(zeta!$A37,main!$A$3:$H$102,6,FALSE),0)</f>
        <v>0</v>
      </c>
      <c r="AS37">
        <f>IF(gamma!AS37,VLOOKUP(zeta!AS$1,main!$A$3:$H$102,5,FALSE)-VLOOKUP(zeta!$A37,main!$A$3:$H$102,6,FALSE),0)</f>
        <v>0</v>
      </c>
      <c r="AT37">
        <f>IF(gamma!AT37,VLOOKUP(zeta!AT$1,main!$A$3:$H$102,5,FALSE)-VLOOKUP(zeta!$A37,main!$A$3:$H$102,6,FALSE),0)</f>
        <v>0</v>
      </c>
      <c r="AU37">
        <f>IF(gamma!AU37,VLOOKUP(zeta!AU$1,main!$A$3:$H$102,5,FALSE)-VLOOKUP(zeta!$A37,main!$A$3:$H$102,6,FALSE),0)</f>
        <v>0</v>
      </c>
      <c r="AV37">
        <f>IF(gamma!AV37,VLOOKUP(zeta!AV$1,main!$A$3:$H$102,5,FALSE)-VLOOKUP(zeta!$A37,main!$A$3:$H$102,6,FALSE),0)</f>
        <v>0</v>
      </c>
      <c r="AW37">
        <f>IF(gamma!AW37,VLOOKUP(zeta!AW$1,main!$A$3:$H$102,5,FALSE)-VLOOKUP(zeta!$A37,main!$A$3:$H$102,6,FALSE),0)</f>
        <v>0</v>
      </c>
      <c r="AX37">
        <f>IF(gamma!AX37,VLOOKUP(zeta!AX$1,main!$A$3:$H$102,5,FALSE)-VLOOKUP(zeta!$A37,main!$A$3:$H$102,6,FALSE),0)</f>
        <v>0</v>
      </c>
      <c r="AY37">
        <f>IF(gamma!AY37,VLOOKUP(zeta!AY$1,main!$A$3:$H$102,5,FALSE)-VLOOKUP(zeta!$A37,main!$A$3:$H$102,6,FALSE),0)</f>
        <v>0</v>
      </c>
      <c r="AZ37">
        <f>IF(gamma!AZ37,VLOOKUP(zeta!AZ$1,main!$A$3:$H$102,5,FALSE)-VLOOKUP(zeta!$A37,main!$A$3:$H$102,6,FALSE),0)</f>
        <v>0</v>
      </c>
      <c r="BA37">
        <f>IF(gamma!BA37,VLOOKUP(zeta!BA$1,main!$A$3:$H$102,5,FALSE)-VLOOKUP(zeta!$A37,main!$A$3:$H$102,6,FALSE),0)</f>
        <v>0</v>
      </c>
      <c r="BB37">
        <f>IF(gamma!BB37,VLOOKUP(zeta!BB$1,main!$A$3:$H$102,5,FALSE)-VLOOKUP(zeta!$A37,main!$A$3:$H$102,6,FALSE),0)</f>
        <v>0</v>
      </c>
      <c r="BC37">
        <f>IF(gamma!BC37,VLOOKUP(zeta!BC$1,main!$A$3:$H$102,5,FALSE)-VLOOKUP(zeta!$A37,main!$A$3:$H$102,6,FALSE),0)</f>
        <v>0</v>
      </c>
      <c r="BD37">
        <f>IF(gamma!BD37,VLOOKUP(zeta!BD$1,main!$A$3:$H$102,5,FALSE)-VLOOKUP(zeta!$A37,main!$A$3:$H$102,6,FALSE),0)</f>
        <v>0</v>
      </c>
      <c r="BE37">
        <f>IF(gamma!BE37,VLOOKUP(zeta!BE$1,main!$A$3:$H$102,5,FALSE)-VLOOKUP(zeta!$A37,main!$A$3:$H$102,6,FALSE),0)</f>
        <v>0</v>
      </c>
      <c r="BF37">
        <f>IF(gamma!BF37,VLOOKUP(zeta!BF$1,main!$A$3:$H$102,5,FALSE)-VLOOKUP(zeta!$A37,main!$A$3:$H$102,6,FALSE),0)</f>
        <v>0</v>
      </c>
      <c r="BG37">
        <f>IF(gamma!BG37,VLOOKUP(zeta!BG$1,main!$A$3:$H$102,5,FALSE)-VLOOKUP(zeta!$A37,main!$A$3:$H$102,6,FALSE),0)</f>
        <v>0</v>
      </c>
      <c r="BH37">
        <f>IF(gamma!BH37,VLOOKUP(zeta!BH$1,main!$A$3:$H$102,5,FALSE)-VLOOKUP(zeta!$A37,main!$A$3:$H$102,6,FALSE),0)</f>
        <v>0</v>
      </c>
      <c r="BI37">
        <f>IF(gamma!BI37,VLOOKUP(zeta!BI$1,main!$A$3:$H$102,5,FALSE)-VLOOKUP(zeta!$A37,main!$A$3:$H$102,6,FALSE),0)</f>
        <v>175</v>
      </c>
      <c r="BJ37">
        <f>IF(gamma!BJ37,VLOOKUP(zeta!BJ$1,main!$A$3:$H$102,5,FALSE)-VLOOKUP(zeta!$A37,main!$A$3:$H$102,6,FALSE),0)</f>
        <v>0</v>
      </c>
      <c r="BK37">
        <f>IF(gamma!BK37,VLOOKUP(zeta!BK$1,main!$A$3:$H$102,5,FALSE)-VLOOKUP(zeta!$A37,main!$A$3:$H$102,6,FALSE),0)</f>
        <v>0</v>
      </c>
      <c r="BL37">
        <f>IF(gamma!BL37,VLOOKUP(zeta!BL$1,main!$A$3:$H$102,5,FALSE)-VLOOKUP(zeta!$A37,main!$A$3:$H$102,6,FALSE),0)</f>
        <v>0</v>
      </c>
      <c r="BM37">
        <f>IF(gamma!BM37,VLOOKUP(zeta!BM$1,main!$A$3:$H$102,5,FALSE)-VLOOKUP(zeta!$A37,main!$A$3:$H$102,6,FALSE),0)</f>
        <v>0</v>
      </c>
      <c r="BN37">
        <f>IF(gamma!BN37,VLOOKUP(zeta!BN$1,main!$A$3:$H$102,5,FALSE)-VLOOKUP(zeta!$A37,main!$A$3:$H$102,6,FALSE),0)</f>
        <v>0</v>
      </c>
      <c r="BO37">
        <f>IF(gamma!BO37,VLOOKUP(zeta!BO$1,main!$A$3:$H$102,5,FALSE)-VLOOKUP(zeta!$A37,main!$A$3:$H$102,6,FALSE),0)</f>
        <v>0</v>
      </c>
      <c r="BP37">
        <f>IF(gamma!BP37,VLOOKUP(zeta!BP$1,main!$A$3:$H$102,5,FALSE)-VLOOKUP(zeta!$A37,main!$A$3:$H$102,6,FALSE),0)</f>
        <v>0</v>
      </c>
      <c r="BQ37">
        <f>IF(gamma!BQ37,VLOOKUP(zeta!BQ$1,main!$A$3:$H$102,5,FALSE)-VLOOKUP(zeta!$A37,main!$A$3:$H$102,6,FALSE),0)</f>
        <v>0</v>
      </c>
      <c r="BR37">
        <f>IF(gamma!BR37,VLOOKUP(zeta!BR$1,main!$A$3:$H$102,5,FALSE)-VLOOKUP(zeta!$A37,main!$A$3:$H$102,6,FALSE),0)</f>
        <v>0</v>
      </c>
      <c r="BS37">
        <f>IF(gamma!BS37,VLOOKUP(zeta!BS$1,main!$A$3:$H$102,5,FALSE)-VLOOKUP(zeta!$A37,main!$A$3:$H$102,6,FALSE),0)</f>
        <v>0</v>
      </c>
      <c r="BT37">
        <f>IF(gamma!BT37,VLOOKUP(zeta!BT$1,main!$A$3:$H$102,5,FALSE)-VLOOKUP(zeta!$A37,main!$A$3:$H$102,6,FALSE),0)</f>
        <v>0</v>
      </c>
      <c r="BU37">
        <f>IF(gamma!BU37,VLOOKUP(zeta!BU$1,main!$A$3:$H$102,5,FALSE)-VLOOKUP(zeta!$A37,main!$A$3:$H$102,6,FALSE),0)</f>
        <v>0</v>
      </c>
      <c r="BV37">
        <f>IF(gamma!BV37,VLOOKUP(zeta!BV$1,main!$A$3:$H$102,5,FALSE)-VLOOKUP(zeta!$A37,main!$A$3:$H$102,6,FALSE),0)</f>
        <v>0</v>
      </c>
      <c r="BW37">
        <f>IF(gamma!BW37,VLOOKUP(zeta!BW$1,main!$A$3:$H$102,5,FALSE)-VLOOKUP(zeta!$A37,main!$A$3:$H$102,6,FALSE),0)</f>
        <v>0</v>
      </c>
      <c r="BX37">
        <f>IF(gamma!BX37,VLOOKUP(zeta!BX$1,main!$A$3:$H$102,5,FALSE)-VLOOKUP(zeta!$A37,main!$A$3:$H$102,6,FALSE),0)</f>
        <v>0</v>
      </c>
      <c r="BY37">
        <f>IF(gamma!BY37,VLOOKUP(zeta!BY$1,main!$A$3:$H$102,5,FALSE)-VLOOKUP(zeta!$A37,main!$A$3:$H$102,6,FALSE),0)</f>
        <v>0</v>
      </c>
      <c r="BZ37">
        <f>IF(gamma!BZ37,VLOOKUP(zeta!BZ$1,main!$A$3:$H$102,5,FALSE)-VLOOKUP(zeta!$A37,main!$A$3:$H$102,6,FALSE),0)</f>
        <v>0</v>
      </c>
      <c r="CA37">
        <f>IF(gamma!CA37,VLOOKUP(zeta!CA$1,main!$A$3:$H$102,5,FALSE)-VLOOKUP(zeta!$A37,main!$A$3:$H$102,6,FALSE),0)</f>
        <v>0</v>
      </c>
      <c r="CB37">
        <f>IF(gamma!CB37,VLOOKUP(zeta!CB$1,main!$A$3:$H$102,5,FALSE)-VLOOKUP(zeta!$A37,main!$A$3:$H$102,6,FALSE),0)</f>
        <v>0</v>
      </c>
      <c r="CC37">
        <f>IF(gamma!CC37,VLOOKUP(zeta!CC$1,main!$A$3:$H$102,5,FALSE)-VLOOKUP(zeta!$A37,main!$A$3:$H$102,6,FALSE),0)</f>
        <v>80</v>
      </c>
      <c r="CD37">
        <f>IF(gamma!CD37,VLOOKUP(zeta!CD$1,main!$A$3:$H$102,5,FALSE)-VLOOKUP(zeta!$A37,main!$A$3:$H$102,6,FALSE),0)</f>
        <v>0</v>
      </c>
      <c r="CE37">
        <f>IF(gamma!CE37,VLOOKUP(zeta!CE$1,main!$A$3:$H$102,5,FALSE)-VLOOKUP(zeta!$A37,main!$A$3:$H$102,6,FALSE),0)</f>
        <v>0</v>
      </c>
      <c r="CF37">
        <f>IF(gamma!CF37,VLOOKUP(zeta!CF$1,main!$A$3:$H$102,5,FALSE)-VLOOKUP(zeta!$A37,main!$A$3:$H$102,6,FALSE),0)</f>
        <v>0</v>
      </c>
      <c r="CG37">
        <f>IF(gamma!CG37,VLOOKUP(zeta!CG$1,main!$A$3:$H$102,5,FALSE)-VLOOKUP(zeta!$A37,main!$A$3:$H$102,6,FALSE),0)</f>
        <v>0</v>
      </c>
      <c r="CH37">
        <f>IF(gamma!CH37,VLOOKUP(zeta!CH$1,main!$A$3:$H$102,5,FALSE)-VLOOKUP(zeta!$A37,main!$A$3:$H$102,6,FALSE),0)</f>
        <v>0</v>
      </c>
      <c r="CI37">
        <f>IF(gamma!CI37,VLOOKUP(zeta!CI$1,main!$A$3:$H$102,5,FALSE)-VLOOKUP(zeta!$A37,main!$A$3:$H$102,6,FALSE),0)</f>
        <v>165</v>
      </c>
      <c r="CJ37">
        <f>IF(gamma!CJ37,VLOOKUP(zeta!CJ$1,main!$A$3:$H$102,5,FALSE)-VLOOKUP(zeta!$A37,main!$A$3:$H$102,6,FALSE),0)</f>
        <v>0</v>
      </c>
      <c r="CK37">
        <f>IF(gamma!CK37,VLOOKUP(zeta!CK$1,main!$A$3:$H$102,5,FALSE)-VLOOKUP(zeta!$A37,main!$A$3:$H$102,6,FALSE),0)</f>
        <v>0</v>
      </c>
      <c r="CL37">
        <f>IF(gamma!CL37,VLOOKUP(zeta!CL$1,main!$A$3:$H$102,5,FALSE)-VLOOKUP(zeta!$A37,main!$A$3:$H$102,6,FALSE),0)</f>
        <v>0</v>
      </c>
      <c r="CM37">
        <f>IF(gamma!CM37,VLOOKUP(zeta!CM$1,main!$A$3:$H$102,5,FALSE)-VLOOKUP(zeta!$A37,main!$A$3:$H$102,6,FALSE),0)</f>
        <v>0</v>
      </c>
      <c r="CN37">
        <f>IF(gamma!CN37,VLOOKUP(zeta!CN$1,main!$A$3:$H$102,5,FALSE)-VLOOKUP(zeta!$A37,main!$A$3:$H$102,6,FALSE),0)</f>
        <v>165</v>
      </c>
      <c r="CO37">
        <f>IF(gamma!CO37,VLOOKUP(zeta!CO$1,main!$A$3:$H$102,5,FALSE)-VLOOKUP(zeta!$A37,main!$A$3:$H$102,6,FALSE),0)</f>
        <v>0</v>
      </c>
      <c r="CP37">
        <f>IF(gamma!CP37,VLOOKUP(zeta!CP$1,main!$A$3:$H$102,5,FALSE)-VLOOKUP(zeta!$A37,main!$A$3:$H$102,6,FALSE),0)</f>
        <v>0</v>
      </c>
      <c r="CQ37">
        <f>IF(gamma!CQ37,VLOOKUP(zeta!CQ$1,main!$A$3:$H$102,5,FALSE)-VLOOKUP(zeta!$A37,main!$A$3:$H$102,6,FALSE),0)</f>
        <v>0</v>
      </c>
      <c r="CR37">
        <f>IF(gamma!CR37,VLOOKUP(zeta!CR$1,main!$A$3:$H$102,5,FALSE)-VLOOKUP(zeta!$A37,main!$A$3:$H$102,6,FALSE),0)</f>
        <v>0</v>
      </c>
      <c r="CS37">
        <f>IF(gamma!CS37,VLOOKUP(zeta!CS$1,main!$A$3:$H$102,5,FALSE)-VLOOKUP(zeta!$A37,main!$A$3:$H$102,6,FALSE),0)</f>
        <v>0</v>
      </c>
      <c r="CT37">
        <f>IF(gamma!CT37,VLOOKUP(zeta!CT$1,main!$A$3:$H$102,5,FALSE)-VLOOKUP(zeta!$A37,main!$A$3:$H$102,6,FALSE),0)</f>
        <v>0</v>
      </c>
      <c r="CU37">
        <f>IF(gamma!CU37,VLOOKUP(zeta!CU$1,main!$A$3:$H$102,5,FALSE)-VLOOKUP(zeta!$A37,main!$A$3:$H$102,6,FALSE),0)</f>
        <v>0</v>
      </c>
      <c r="CV37">
        <f>IF(gamma!CV37,VLOOKUP(zeta!CV$1,main!$A$3:$H$102,5,FALSE)-VLOOKUP(zeta!$A37,main!$A$3:$H$102,6,FALSE),0)</f>
        <v>0</v>
      </c>
      <c r="CW37">
        <f>IF(gamma!CW37,VLOOKUP(zeta!CW$1,main!$A$3:$H$102,5,FALSE)-VLOOKUP(zeta!$A37,main!$A$3:$H$102,6,FALSE),0)</f>
        <v>0</v>
      </c>
      <c r="CX37">
        <f>IF(gamma!CX37,VLOOKUP(zeta!CX$1,main!$A$3:$H$102,5,FALSE)-VLOOKUP(zeta!$A37,main!$A$3:$H$102,6,FALSE),0)</f>
        <v>0</v>
      </c>
    </row>
    <row r="38" spans="1:102" x14ac:dyDescent="0.25">
      <c r="A38">
        <f t="shared" si="1"/>
        <v>36</v>
      </c>
      <c r="B38">
        <v>0</v>
      </c>
      <c r="C38">
        <f>IF(gamma!C38,VLOOKUP(zeta!C$1,main!$A$3:$H$102,5,FALSE)-VLOOKUP(zeta!$A38,main!$A$3:$H$102,6,FALSE),0)</f>
        <v>0</v>
      </c>
      <c r="D38">
        <f>IF(gamma!D38,VLOOKUP(zeta!D$1,main!$A$3:$H$102,5,FALSE)-VLOOKUP(zeta!$A38,main!$A$3:$H$102,6,FALSE),0)</f>
        <v>0</v>
      </c>
      <c r="E38">
        <f>IF(gamma!E38,VLOOKUP(zeta!E$1,main!$A$3:$H$102,5,FALSE)-VLOOKUP(zeta!$A38,main!$A$3:$H$102,6,FALSE),0)</f>
        <v>0</v>
      </c>
      <c r="F38">
        <f>IF(gamma!F38,VLOOKUP(zeta!F$1,main!$A$3:$H$102,5,FALSE)-VLOOKUP(zeta!$A38,main!$A$3:$H$102,6,FALSE),0)</f>
        <v>0</v>
      </c>
      <c r="G38">
        <f>IF(gamma!G38,VLOOKUP(zeta!G$1,main!$A$3:$H$102,5,FALSE)-VLOOKUP(zeta!$A38,main!$A$3:$H$102,6,FALSE),0)</f>
        <v>0</v>
      </c>
      <c r="H38">
        <f>IF(gamma!H38,VLOOKUP(zeta!H$1,main!$A$3:$H$102,5,FALSE)-VLOOKUP(zeta!$A38,main!$A$3:$H$102,6,FALSE),0)</f>
        <v>0</v>
      </c>
      <c r="I38">
        <f>IF(gamma!I38,VLOOKUP(zeta!I$1,main!$A$3:$H$102,5,FALSE)-VLOOKUP(zeta!$A38,main!$A$3:$H$102,6,FALSE),0)</f>
        <v>0</v>
      </c>
      <c r="J38">
        <f>IF(gamma!J38,VLOOKUP(zeta!J$1,main!$A$3:$H$102,5,FALSE)-VLOOKUP(zeta!$A38,main!$A$3:$H$102,6,FALSE),0)</f>
        <v>0</v>
      </c>
      <c r="K38">
        <f>IF(gamma!K38,VLOOKUP(zeta!K$1,main!$A$3:$H$102,5,FALSE)-VLOOKUP(zeta!$A38,main!$A$3:$H$102,6,FALSE),0)</f>
        <v>0</v>
      </c>
      <c r="L38">
        <f>IF(gamma!L38,VLOOKUP(zeta!L$1,main!$A$3:$H$102,5,FALSE)-VLOOKUP(zeta!$A38,main!$A$3:$H$102,6,FALSE),0)</f>
        <v>65</v>
      </c>
      <c r="M38">
        <f>IF(gamma!M38,VLOOKUP(zeta!M$1,main!$A$3:$H$102,5,FALSE)-VLOOKUP(zeta!$A38,main!$A$3:$H$102,6,FALSE),0)</f>
        <v>0</v>
      </c>
      <c r="N38">
        <f>IF(gamma!N38,VLOOKUP(zeta!N$1,main!$A$3:$H$102,5,FALSE)-VLOOKUP(zeta!$A38,main!$A$3:$H$102,6,FALSE),0)</f>
        <v>0</v>
      </c>
      <c r="O38">
        <f>IF(gamma!O38,VLOOKUP(zeta!O$1,main!$A$3:$H$102,5,FALSE)-VLOOKUP(zeta!$A38,main!$A$3:$H$102,6,FALSE),0)</f>
        <v>0</v>
      </c>
      <c r="P38">
        <f>IF(gamma!P38,VLOOKUP(zeta!P$1,main!$A$3:$H$102,5,FALSE)-VLOOKUP(zeta!$A38,main!$A$3:$H$102,6,FALSE),0)</f>
        <v>0</v>
      </c>
      <c r="Q38">
        <f>IF(gamma!Q38,VLOOKUP(zeta!Q$1,main!$A$3:$H$102,5,FALSE)-VLOOKUP(zeta!$A38,main!$A$3:$H$102,6,FALSE),0)</f>
        <v>0</v>
      </c>
      <c r="R38">
        <f>IF(gamma!R38,VLOOKUP(zeta!R$1,main!$A$3:$H$102,5,FALSE)-VLOOKUP(zeta!$A38,main!$A$3:$H$102,6,FALSE),0)</f>
        <v>0</v>
      </c>
      <c r="S38">
        <f>IF(gamma!S38,VLOOKUP(zeta!S$1,main!$A$3:$H$102,5,FALSE)-VLOOKUP(zeta!$A38,main!$A$3:$H$102,6,FALSE),0)</f>
        <v>0</v>
      </c>
      <c r="T38">
        <f>IF(gamma!T38,VLOOKUP(zeta!T$1,main!$A$3:$H$102,5,FALSE)-VLOOKUP(zeta!$A38,main!$A$3:$H$102,6,FALSE),0)</f>
        <v>0</v>
      </c>
      <c r="U38">
        <f>IF(gamma!U38,VLOOKUP(zeta!U$1,main!$A$3:$H$102,5,FALSE)-VLOOKUP(zeta!$A38,main!$A$3:$H$102,6,FALSE),0)</f>
        <v>30</v>
      </c>
      <c r="V38">
        <f>IF(gamma!V38,VLOOKUP(zeta!V$1,main!$A$3:$H$102,5,FALSE)-VLOOKUP(zeta!$A38,main!$A$3:$H$102,6,FALSE),0)</f>
        <v>90</v>
      </c>
      <c r="W38">
        <f>IF(gamma!W38,VLOOKUP(zeta!W$1,main!$A$3:$H$102,5,FALSE)-VLOOKUP(zeta!$A38,main!$A$3:$H$102,6,FALSE),0)</f>
        <v>0</v>
      </c>
      <c r="X38">
        <f>IF(gamma!X38,VLOOKUP(zeta!X$1,main!$A$3:$H$102,5,FALSE)-VLOOKUP(zeta!$A38,main!$A$3:$H$102,6,FALSE),0)</f>
        <v>0</v>
      </c>
      <c r="Y38">
        <f>IF(gamma!Y38,VLOOKUP(zeta!Y$1,main!$A$3:$H$102,5,FALSE)-VLOOKUP(zeta!$A38,main!$A$3:$H$102,6,FALSE),0)</f>
        <v>0</v>
      </c>
      <c r="Z38">
        <f>IF(gamma!Z38,VLOOKUP(zeta!Z$1,main!$A$3:$H$102,5,FALSE)-VLOOKUP(zeta!$A38,main!$A$3:$H$102,6,FALSE),0)</f>
        <v>0</v>
      </c>
      <c r="AA38">
        <f>IF(gamma!AA38,VLOOKUP(zeta!AA$1,main!$A$3:$H$102,5,FALSE)-VLOOKUP(zeta!$A38,main!$A$3:$H$102,6,FALSE),0)</f>
        <v>0</v>
      </c>
      <c r="AB38">
        <f>IF(gamma!AB38,VLOOKUP(zeta!AB$1,main!$A$3:$H$102,5,FALSE)-VLOOKUP(zeta!$A38,main!$A$3:$H$102,6,FALSE),0)</f>
        <v>0</v>
      </c>
      <c r="AC38">
        <f>IF(gamma!AC38,VLOOKUP(zeta!AC$1,main!$A$3:$H$102,5,FALSE)-VLOOKUP(zeta!$A38,main!$A$3:$H$102,6,FALSE),0)</f>
        <v>0</v>
      </c>
      <c r="AD38">
        <f>IF(gamma!AD38,VLOOKUP(zeta!AD$1,main!$A$3:$H$102,5,FALSE)-VLOOKUP(zeta!$A38,main!$A$3:$H$102,6,FALSE),0)</f>
        <v>0</v>
      </c>
      <c r="AE38">
        <f>IF(gamma!AE38,VLOOKUP(zeta!AE$1,main!$A$3:$H$102,5,FALSE)-VLOOKUP(zeta!$A38,main!$A$3:$H$102,6,FALSE),0)</f>
        <v>0</v>
      </c>
      <c r="AF38">
        <f>IF(gamma!AF38,VLOOKUP(zeta!AF$1,main!$A$3:$H$102,5,FALSE)-VLOOKUP(zeta!$A38,main!$A$3:$H$102,6,FALSE),0)</f>
        <v>0</v>
      </c>
      <c r="AG38">
        <f>IF(gamma!AG38,VLOOKUP(zeta!AG$1,main!$A$3:$H$102,5,FALSE)-VLOOKUP(zeta!$A38,main!$A$3:$H$102,6,FALSE),0)</f>
        <v>0</v>
      </c>
      <c r="AH38">
        <f>IF(gamma!AH38,VLOOKUP(zeta!AH$1,main!$A$3:$H$102,5,FALSE)-VLOOKUP(zeta!$A38,main!$A$3:$H$102,6,FALSE),0)</f>
        <v>0</v>
      </c>
      <c r="AI38">
        <f>IF(gamma!AI38,VLOOKUP(zeta!AI$1,main!$A$3:$H$102,5,FALSE)-VLOOKUP(zeta!$A38,main!$A$3:$H$102,6,FALSE),0)</f>
        <v>0</v>
      </c>
      <c r="AJ38">
        <f>IF(gamma!AJ38,VLOOKUP(zeta!AJ$1,main!$A$3:$H$102,5,FALSE)-VLOOKUP(zeta!$A38,main!$A$3:$H$102,6,FALSE),0)</f>
        <v>0</v>
      </c>
      <c r="AK38">
        <f>IF(gamma!AK38,VLOOKUP(zeta!AK$1,main!$A$3:$H$102,5,FALSE)-VLOOKUP(zeta!$A38,main!$A$3:$H$102,6,FALSE),0)</f>
        <v>0</v>
      </c>
      <c r="AL38">
        <f>IF(gamma!AL38,VLOOKUP(zeta!AL$1,main!$A$3:$H$102,5,FALSE)-VLOOKUP(zeta!$A38,main!$A$3:$H$102,6,FALSE),0)</f>
        <v>0</v>
      </c>
      <c r="AM38">
        <f>IF(gamma!AM38,VLOOKUP(zeta!AM$1,main!$A$3:$H$102,5,FALSE)-VLOOKUP(zeta!$A38,main!$A$3:$H$102,6,FALSE),0)</f>
        <v>0</v>
      </c>
      <c r="AN38">
        <f>IF(gamma!AN38,VLOOKUP(zeta!AN$1,main!$A$3:$H$102,5,FALSE)-VLOOKUP(zeta!$A38,main!$A$3:$H$102,6,FALSE),0)</f>
        <v>0</v>
      </c>
      <c r="AO38">
        <f>IF(gamma!AO38,VLOOKUP(zeta!AO$1,main!$A$3:$H$102,5,FALSE)-VLOOKUP(zeta!$A38,main!$A$3:$H$102,6,FALSE),0)</f>
        <v>0</v>
      </c>
      <c r="AP38">
        <f>IF(gamma!AP38,VLOOKUP(zeta!AP$1,main!$A$3:$H$102,5,FALSE)-VLOOKUP(zeta!$A38,main!$A$3:$H$102,6,FALSE),0)</f>
        <v>75</v>
      </c>
      <c r="AQ38">
        <f>IF(gamma!AQ38,VLOOKUP(zeta!AQ$1,main!$A$3:$H$102,5,FALSE)-VLOOKUP(zeta!$A38,main!$A$3:$H$102,6,FALSE),0)</f>
        <v>0</v>
      </c>
      <c r="AR38">
        <f>IF(gamma!AR38,VLOOKUP(zeta!AR$1,main!$A$3:$H$102,5,FALSE)-VLOOKUP(zeta!$A38,main!$A$3:$H$102,6,FALSE),0)</f>
        <v>0</v>
      </c>
      <c r="AS38">
        <f>IF(gamma!AS38,VLOOKUP(zeta!AS$1,main!$A$3:$H$102,5,FALSE)-VLOOKUP(zeta!$A38,main!$A$3:$H$102,6,FALSE),0)</f>
        <v>0</v>
      </c>
      <c r="AT38">
        <f>IF(gamma!AT38,VLOOKUP(zeta!AT$1,main!$A$3:$H$102,5,FALSE)-VLOOKUP(zeta!$A38,main!$A$3:$H$102,6,FALSE),0)</f>
        <v>0</v>
      </c>
      <c r="AU38">
        <f>IF(gamma!AU38,VLOOKUP(zeta!AU$1,main!$A$3:$H$102,5,FALSE)-VLOOKUP(zeta!$A38,main!$A$3:$H$102,6,FALSE),0)</f>
        <v>0</v>
      </c>
      <c r="AV38">
        <f>IF(gamma!AV38,VLOOKUP(zeta!AV$1,main!$A$3:$H$102,5,FALSE)-VLOOKUP(zeta!$A38,main!$A$3:$H$102,6,FALSE),0)</f>
        <v>0</v>
      </c>
      <c r="AW38">
        <f>IF(gamma!AW38,VLOOKUP(zeta!AW$1,main!$A$3:$H$102,5,FALSE)-VLOOKUP(zeta!$A38,main!$A$3:$H$102,6,FALSE),0)</f>
        <v>0</v>
      </c>
      <c r="AX38">
        <f>IF(gamma!AX38,VLOOKUP(zeta!AX$1,main!$A$3:$H$102,5,FALSE)-VLOOKUP(zeta!$A38,main!$A$3:$H$102,6,FALSE),0)</f>
        <v>0</v>
      </c>
      <c r="AY38">
        <f>IF(gamma!AY38,VLOOKUP(zeta!AY$1,main!$A$3:$H$102,5,FALSE)-VLOOKUP(zeta!$A38,main!$A$3:$H$102,6,FALSE),0)</f>
        <v>0</v>
      </c>
      <c r="AZ38">
        <f>IF(gamma!AZ38,VLOOKUP(zeta!AZ$1,main!$A$3:$H$102,5,FALSE)-VLOOKUP(zeta!$A38,main!$A$3:$H$102,6,FALSE),0)</f>
        <v>0</v>
      </c>
      <c r="BA38">
        <f>IF(gamma!BA38,VLOOKUP(zeta!BA$1,main!$A$3:$H$102,5,FALSE)-VLOOKUP(zeta!$A38,main!$A$3:$H$102,6,FALSE),0)</f>
        <v>0</v>
      </c>
      <c r="BB38">
        <f>IF(gamma!BB38,VLOOKUP(zeta!BB$1,main!$A$3:$H$102,5,FALSE)-VLOOKUP(zeta!$A38,main!$A$3:$H$102,6,FALSE),0)</f>
        <v>0</v>
      </c>
      <c r="BC38">
        <f>IF(gamma!BC38,VLOOKUP(zeta!BC$1,main!$A$3:$H$102,5,FALSE)-VLOOKUP(zeta!$A38,main!$A$3:$H$102,6,FALSE),0)</f>
        <v>0</v>
      </c>
      <c r="BD38">
        <f>IF(gamma!BD38,VLOOKUP(zeta!BD$1,main!$A$3:$H$102,5,FALSE)-VLOOKUP(zeta!$A38,main!$A$3:$H$102,6,FALSE),0)</f>
        <v>0</v>
      </c>
      <c r="BE38">
        <f>IF(gamma!BE38,VLOOKUP(zeta!BE$1,main!$A$3:$H$102,5,FALSE)-VLOOKUP(zeta!$A38,main!$A$3:$H$102,6,FALSE),0)</f>
        <v>0</v>
      </c>
      <c r="BF38">
        <f>IF(gamma!BF38,VLOOKUP(zeta!BF$1,main!$A$3:$H$102,5,FALSE)-VLOOKUP(zeta!$A38,main!$A$3:$H$102,6,FALSE),0)</f>
        <v>0</v>
      </c>
      <c r="BG38">
        <f>IF(gamma!BG38,VLOOKUP(zeta!BG$1,main!$A$3:$H$102,5,FALSE)-VLOOKUP(zeta!$A38,main!$A$3:$H$102,6,FALSE),0)</f>
        <v>0</v>
      </c>
      <c r="BH38">
        <f>IF(gamma!BH38,VLOOKUP(zeta!BH$1,main!$A$3:$H$102,5,FALSE)-VLOOKUP(zeta!$A38,main!$A$3:$H$102,6,FALSE),0)</f>
        <v>0</v>
      </c>
      <c r="BI38">
        <f>IF(gamma!BI38,VLOOKUP(zeta!BI$1,main!$A$3:$H$102,5,FALSE)-VLOOKUP(zeta!$A38,main!$A$3:$H$102,6,FALSE),0)</f>
        <v>85</v>
      </c>
      <c r="BJ38">
        <f>IF(gamma!BJ38,VLOOKUP(zeta!BJ$1,main!$A$3:$H$102,5,FALSE)-VLOOKUP(zeta!$A38,main!$A$3:$H$102,6,FALSE),0)</f>
        <v>0</v>
      </c>
      <c r="BK38">
        <f>IF(gamma!BK38,VLOOKUP(zeta!BK$1,main!$A$3:$H$102,5,FALSE)-VLOOKUP(zeta!$A38,main!$A$3:$H$102,6,FALSE),0)</f>
        <v>0</v>
      </c>
      <c r="BL38">
        <f>IF(gamma!BL38,VLOOKUP(zeta!BL$1,main!$A$3:$H$102,5,FALSE)-VLOOKUP(zeta!$A38,main!$A$3:$H$102,6,FALSE),0)</f>
        <v>0</v>
      </c>
      <c r="BM38">
        <f>IF(gamma!BM38,VLOOKUP(zeta!BM$1,main!$A$3:$H$102,5,FALSE)-VLOOKUP(zeta!$A38,main!$A$3:$H$102,6,FALSE),0)</f>
        <v>0</v>
      </c>
      <c r="BN38">
        <f>IF(gamma!BN38,VLOOKUP(zeta!BN$1,main!$A$3:$H$102,5,FALSE)-VLOOKUP(zeta!$A38,main!$A$3:$H$102,6,FALSE),0)</f>
        <v>0</v>
      </c>
      <c r="BO38">
        <f>IF(gamma!BO38,VLOOKUP(zeta!BO$1,main!$A$3:$H$102,5,FALSE)-VLOOKUP(zeta!$A38,main!$A$3:$H$102,6,FALSE),0)</f>
        <v>0</v>
      </c>
      <c r="BP38">
        <f>IF(gamma!BP38,VLOOKUP(zeta!BP$1,main!$A$3:$H$102,5,FALSE)-VLOOKUP(zeta!$A38,main!$A$3:$H$102,6,FALSE),0)</f>
        <v>0</v>
      </c>
      <c r="BQ38">
        <f>IF(gamma!BQ38,VLOOKUP(zeta!BQ$1,main!$A$3:$H$102,5,FALSE)-VLOOKUP(zeta!$A38,main!$A$3:$H$102,6,FALSE),0)</f>
        <v>0</v>
      </c>
      <c r="BR38">
        <f>IF(gamma!BR38,VLOOKUP(zeta!BR$1,main!$A$3:$H$102,5,FALSE)-VLOOKUP(zeta!$A38,main!$A$3:$H$102,6,FALSE),0)</f>
        <v>0</v>
      </c>
      <c r="BS38">
        <f>IF(gamma!BS38,VLOOKUP(zeta!BS$1,main!$A$3:$H$102,5,FALSE)-VLOOKUP(zeta!$A38,main!$A$3:$H$102,6,FALSE),0)</f>
        <v>0</v>
      </c>
      <c r="BT38">
        <f>IF(gamma!BT38,VLOOKUP(zeta!BT$1,main!$A$3:$H$102,5,FALSE)-VLOOKUP(zeta!$A38,main!$A$3:$H$102,6,FALSE),0)</f>
        <v>0</v>
      </c>
      <c r="BU38">
        <f>IF(gamma!BU38,VLOOKUP(zeta!BU$1,main!$A$3:$H$102,5,FALSE)-VLOOKUP(zeta!$A38,main!$A$3:$H$102,6,FALSE),0)</f>
        <v>0</v>
      </c>
      <c r="BV38">
        <f>IF(gamma!BV38,VLOOKUP(zeta!BV$1,main!$A$3:$H$102,5,FALSE)-VLOOKUP(zeta!$A38,main!$A$3:$H$102,6,FALSE),0)</f>
        <v>0</v>
      </c>
      <c r="BW38">
        <f>IF(gamma!BW38,VLOOKUP(zeta!BW$1,main!$A$3:$H$102,5,FALSE)-VLOOKUP(zeta!$A38,main!$A$3:$H$102,6,FALSE),0)</f>
        <v>0</v>
      </c>
      <c r="BX38">
        <f>IF(gamma!BX38,VLOOKUP(zeta!BX$1,main!$A$3:$H$102,5,FALSE)-VLOOKUP(zeta!$A38,main!$A$3:$H$102,6,FALSE),0)</f>
        <v>0</v>
      </c>
      <c r="BY38">
        <f>IF(gamma!BY38,VLOOKUP(zeta!BY$1,main!$A$3:$H$102,5,FALSE)-VLOOKUP(zeta!$A38,main!$A$3:$H$102,6,FALSE),0)</f>
        <v>0</v>
      </c>
      <c r="BZ38">
        <f>IF(gamma!BZ38,VLOOKUP(zeta!BZ$1,main!$A$3:$H$102,5,FALSE)-VLOOKUP(zeta!$A38,main!$A$3:$H$102,6,FALSE),0)</f>
        <v>0</v>
      </c>
      <c r="CA38">
        <f>IF(gamma!CA38,VLOOKUP(zeta!CA$1,main!$A$3:$H$102,5,FALSE)-VLOOKUP(zeta!$A38,main!$A$3:$H$102,6,FALSE),0)</f>
        <v>0</v>
      </c>
      <c r="CB38">
        <f>IF(gamma!CB38,VLOOKUP(zeta!CB$1,main!$A$3:$H$102,5,FALSE)-VLOOKUP(zeta!$A38,main!$A$3:$H$102,6,FALSE),0)</f>
        <v>0</v>
      </c>
      <c r="CC38">
        <f>IF(gamma!CC38,VLOOKUP(zeta!CC$1,main!$A$3:$H$102,5,FALSE)-VLOOKUP(zeta!$A38,main!$A$3:$H$102,6,FALSE),0)</f>
        <v>0</v>
      </c>
      <c r="CD38">
        <f>IF(gamma!CD38,VLOOKUP(zeta!CD$1,main!$A$3:$H$102,5,FALSE)-VLOOKUP(zeta!$A38,main!$A$3:$H$102,6,FALSE),0)</f>
        <v>0</v>
      </c>
      <c r="CE38">
        <f>IF(gamma!CE38,VLOOKUP(zeta!CE$1,main!$A$3:$H$102,5,FALSE)-VLOOKUP(zeta!$A38,main!$A$3:$H$102,6,FALSE),0)</f>
        <v>0</v>
      </c>
      <c r="CF38">
        <f>IF(gamma!CF38,VLOOKUP(zeta!CF$1,main!$A$3:$H$102,5,FALSE)-VLOOKUP(zeta!$A38,main!$A$3:$H$102,6,FALSE),0)</f>
        <v>0</v>
      </c>
      <c r="CG38">
        <f>IF(gamma!CG38,VLOOKUP(zeta!CG$1,main!$A$3:$H$102,5,FALSE)-VLOOKUP(zeta!$A38,main!$A$3:$H$102,6,FALSE),0)</f>
        <v>0</v>
      </c>
      <c r="CH38">
        <f>IF(gamma!CH38,VLOOKUP(zeta!CH$1,main!$A$3:$H$102,5,FALSE)-VLOOKUP(zeta!$A38,main!$A$3:$H$102,6,FALSE),0)</f>
        <v>0</v>
      </c>
      <c r="CI38">
        <f>IF(gamma!CI38,VLOOKUP(zeta!CI$1,main!$A$3:$H$102,5,FALSE)-VLOOKUP(zeta!$A38,main!$A$3:$H$102,6,FALSE),0)</f>
        <v>75</v>
      </c>
      <c r="CJ38">
        <f>IF(gamma!CJ38,VLOOKUP(zeta!CJ$1,main!$A$3:$H$102,5,FALSE)-VLOOKUP(zeta!$A38,main!$A$3:$H$102,6,FALSE),0)</f>
        <v>0</v>
      </c>
      <c r="CK38">
        <f>IF(gamma!CK38,VLOOKUP(zeta!CK$1,main!$A$3:$H$102,5,FALSE)-VLOOKUP(zeta!$A38,main!$A$3:$H$102,6,FALSE),0)</f>
        <v>0</v>
      </c>
      <c r="CL38">
        <f>IF(gamma!CL38,VLOOKUP(zeta!CL$1,main!$A$3:$H$102,5,FALSE)-VLOOKUP(zeta!$A38,main!$A$3:$H$102,6,FALSE),0)</f>
        <v>0</v>
      </c>
      <c r="CM38">
        <f>IF(gamma!CM38,VLOOKUP(zeta!CM$1,main!$A$3:$H$102,5,FALSE)-VLOOKUP(zeta!$A38,main!$A$3:$H$102,6,FALSE),0)</f>
        <v>0</v>
      </c>
      <c r="CN38">
        <f>IF(gamma!CN38,VLOOKUP(zeta!CN$1,main!$A$3:$H$102,5,FALSE)-VLOOKUP(zeta!$A38,main!$A$3:$H$102,6,FALSE),0)</f>
        <v>75</v>
      </c>
      <c r="CO38">
        <f>IF(gamma!CO38,VLOOKUP(zeta!CO$1,main!$A$3:$H$102,5,FALSE)-VLOOKUP(zeta!$A38,main!$A$3:$H$102,6,FALSE),0)</f>
        <v>0</v>
      </c>
      <c r="CP38">
        <f>IF(gamma!CP38,VLOOKUP(zeta!CP$1,main!$A$3:$H$102,5,FALSE)-VLOOKUP(zeta!$A38,main!$A$3:$H$102,6,FALSE),0)</f>
        <v>0</v>
      </c>
      <c r="CQ38">
        <f>IF(gamma!CQ38,VLOOKUP(zeta!CQ$1,main!$A$3:$H$102,5,FALSE)-VLOOKUP(zeta!$A38,main!$A$3:$H$102,6,FALSE),0)</f>
        <v>0</v>
      </c>
      <c r="CR38">
        <f>IF(gamma!CR38,VLOOKUP(zeta!CR$1,main!$A$3:$H$102,5,FALSE)-VLOOKUP(zeta!$A38,main!$A$3:$H$102,6,FALSE),0)</f>
        <v>0</v>
      </c>
      <c r="CS38">
        <f>IF(gamma!CS38,VLOOKUP(zeta!CS$1,main!$A$3:$H$102,5,FALSE)-VLOOKUP(zeta!$A38,main!$A$3:$H$102,6,FALSE),0)</f>
        <v>0</v>
      </c>
      <c r="CT38">
        <f>IF(gamma!CT38,VLOOKUP(zeta!CT$1,main!$A$3:$H$102,5,FALSE)-VLOOKUP(zeta!$A38,main!$A$3:$H$102,6,FALSE),0)</f>
        <v>0</v>
      </c>
      <c r="CU38">
        <f>IF(gamma!CU38,VLOOKUP(zeta!CU$1,main!$A$3:$H$102,5,FALSE)-VLOOKUP(zeta!$A38,main!$A$3:$H$102,6,FALSE),0)</f>
        <v>0</v>
      </c>
      <c r="CV38">
        <f>IF(gamma!CV38,VLOOKUP(zeta!CV$1,main!$A$3:$H$102,5,FALSE)-VLOOKUP(zeta!$A38,main!$A$3:$H$102,6,FALSE),0)</f>
        <v>0</v>
      </c>
      <c r="CW38">
        <f>IF(gamma!CW38,VLOOKUP(zeta!CW$1,main!$A$3:$H$102,5,FALSE)-VLOOKUP(zeta!$A38,main!$A$3:$H$102,6,FALSE),0)</f>
        <v>0</v>
      </c>
      <c r="CX38">
        <f>IF(gamma!CX38,VLOOKUP(zeta!CX$1,main!$A$3:$H$102,5,FALSE)-VLOOKUP(zeta!$A38,main!$A$3:$H$102,6,FALSE),0)</f>
        <v>0</v>
      </c>
    </row>
    <row r="39" spans="1:102" x14ac:dyDescent="0.25">
      <c r="A39">
        <f t="shared" si="1"/>
        <v>37</v>
      </c>
      <c r="B39">
        <v>0</v>
      </c>
      <c r="C39">
        <f>IF(gamma!C39,VLOOKUP(zeta!C$1,main!$A$3:$H$102,5,FALSE)-VLOOKUP(zeta!$A39,main!$A$3:$H$102,6,FALSE),0)</f>
        <v>0</v>
      </c>
      <c r="D39">
        <f>IF(gamma!D39,VLOOKUP(zeta!D$1,main!$A$3:$H$102,5,FALSE)-VLOOKUP(zeta!$A39,main!$A$3:$H$102,6,FALSE),0)</f>
        <v>0</v>
      </c>
      <c r="E39">
        <f>IF(gamma!E39,VLOOKUP(zeta!E$1,main!$A$3:$H$102,5,FALSE)-VLOOKUP(zeta!$A39,main!$A$3:$H$102,6,FALSE),0)</f>
        <v>0</v>
      </c>
      <c r="F39">
        <f>IF(gamma!F39,VLOOKUP(zeta!F$1,main!$A$3:$H$102,5,FALSE)-VLOOKUP(zeta!$A39,main!$A$3:$H$102,6,FALSE),0)</f>
        <v>0</v>
      </c>
      <c r="G39">
        <f>IF(gamma!G39,VLOOKUP(zeta!G$1,main!$A$3:$H$102,5,FALSE)-VLOOKUP(zeta!$A39,main!$A$3:$H$102,6,FALSE),0)</f>
        <v>0</v>
      </c>
      <c r="H39">
        <f>IF(gamma!H39,VLOOKUP(zeta!H$1,main!$A$3:$H$102,5,FALSE)-VLOOKUP(zeta!$A39,main!$A$3:$H$102,6,FALSE),0)</f>
        <v>0</v>
      </c>
      <c r="I39">
        <f>IF(gamma!I39,VLOOKUP(zeta!I$1,main!$A$3:$H$102,5,FALSE)-VLOOKUP(zeta!$A39,main!$A$3:$H$102,6,FALSE),0)</f>
        <v>0</v>
      </c>
      <c r="J39">
        <f>IF(gamma!J39,VLOOKUP(zeta!J$1,main!$A$3:$H$102,5,FALSE)-VLOOKUP(zeta!$A39,main!$A$3:$H$102,6,FALSE),0)</f>
        <v>0</v>
      </c>
      <c r="K39">
        <f>IF(gamma!K39,VLOOKUP(zeta!K$1,main!$A$3:$H$102,5,FALSE)-VLOOKUP(zeta!$A39,main!$A$3:$H$102,6,FALSE),0)</f>
        <v>0</v>
      </c>
      <c r="L39">
        <f>IF(gamma!L39,VLOOKUP(zeta!L$1,main!$A$3:$H$102,5,FALSE)-VLOOKUP(zeta!$A39,main!$A$3:$H$102,6,FALSE),0)</f>
        <v>0</v>
      </c>
      <c r="M39">
        <f>IF(gamma!M39,VLOOKUP(zeta!M$1,main!$A$3:$H$102,5,FALSE)-VLOOKUP(zeta!$A39,main!$A$3:$H$102,6,FALSE),0)</f>
        <v>0</v>
      </c>
      <c r="N39">
        <f>IF(gamma!N39,VLOOKUP(zeta!N$1,main!$A$3:$H$102,5,FALSE)-VLOOKUP(zeta!$A39,main!$A$3:$H$102,6,FALSE),0)</f>
        <v>0</v>
      </c>
      <c r="O39">
        <f>IF(gamma!O39,VLOOKUP(zeta!O$1,main!$A$3:$H$102,5,FALSE)-VLOOKUP(zeta!$A39,main!$A$3:$H$102,6,FALSE),0)</f>
        <v>0</v>
      </c>
      <c r="P39">
        <f>IF(gamma!P39,VLOOKUP(zeta!P$1,main!$A$3:$H$102,5,FALSE)-VLOOKUP(zeta!$A39,main!$A$3:$H$102,6,FALSE),0)</f>
        <v>0</v>
      </c>
      <c r="Q39">
        <f>IF(gamma!Q39,VLOOKUP(zeta!Q$1,main!$A$3:$H$102,5,FALSE)-VLOOKUP(zeta!$A39,main!$A$3:$H$102,6,FALSE),0)</f>
        <v>0</v>
      </c>
      <c r="R39">
        <f>IF(gamma!R39,VLOOKUP(zeta!R$1,main!$A$3:$H$102,5,FALSE)-VLOOKUP(zeta!$A39,main!$A$3:$H$102,6,FALSE),0)</f>
        <v>0</v>
      </c>
      <c r="S39">
        <f>IF(gamma!S39,VLOOKUP(zeta!S$1,main!$A$3:$H$102,5,FALSE)-VLOOKUP(zeta!$A39,main!$A$3:$H$102,6,FALSE),0)</f>
        <v>0</v>
      </c>
      <c r="T39">
        <f>IF(gamma!T39,VLOOKUP(zeta!T$1,main!$A$3:$H$102,5,FALSE)-VLOOKUP(zeta!$A39,main!$A$3:$H$102,6,FALSE),0)</f>
        <v>0</v>
      </c>
      <c r="U39">
        <f>IF(gamma!U39,VLOOKUP(zeta!U$1,main!$A$3:$H$102,5,FALSE)-VLOOKUP(zeta!$A39,main!$A$3:$H$102,6,FALSE),0)</f>
        <v>0</v>
      </c>
      <c r="V39">
        <f>IF(gamma!V39,VLOOKUP(zeta!V$1,main!$A$3:$H$102,5,FALSE)-VLOOKUP(zeta!$A39,main!$A$3:$H$102,6,FALSE),0)</f>
        <v>0</v>
      </c>
      <c r="W39">
        <f>IF(gamma!W39,VLOOKUP(zeta!W$1,main!$A$3:$H$102,5,FALSE)-VLOOKUP(zeta!$A39,main!$A$3:$H$102,6,FALSE),0)</f>
        <v>0</v>
      </c>
      <c r="X39">
        <f>IF(gamma!X39,VLOOKUP(zeta!X$1,main!$A$3:$H$102,5,FALSE)-VLOOKUP(zeta!$A39,main!$A$3:$H$102,6,FALSE),0)</f>
        <v>0</v>
      </c>
      <c r="Y39">
        <f>IF(gamma!Y39,VLOOKUP(zeta!Y$1,main!$A$3:$H$102,5,FALSE)-VLOOKUP(zeta!$A39,main!$A$3:$H$102,6,FALSE),0)</f>
        <v>0</v>
      </c>
      <c r="Z39">
        <f>IF(gamma!Z39,VLOOKUP(zeta!Z$1,main!$A$3:$H$102,5,FALSE)-VLOOKUP(zeta!$A39,main!$A$3:$H$102,6,FALSE),0)</f>
        <v>0</v>
      </c>
      <c r="AA39">
        <f>IF(gamma!AA39,VLOOKUP(zeta!AA$1,main!$A$3:$H$102,5,FALSE)-VLOOKUP(zeta!$A39,main!$A$3:$H$102,6,FALSE),0)</f>
        <v>0</v>
      </c>
      <c r="AB39">
        <f>IF(gamma!AB39,VLOOKUP(zeta!AB$1,main!$A$3:$H$102,5,FALSE)-VLOOKUP(zeta!$A39,main!$A$3:$H$102,6,FALSE),0)</f>
        <v>0</v>
      </c>
      <c r="AC39">
        <f>IF(gamma!AC39,VLOOKUP(zeta!AC$1,main!$A$3:$H$102,5,FALSE)-VLOOKUP(zeta!$A39,main!$A$3:$H$102,6,FALSE),0)</f>
        <v>0</v>
      </c>
      <c r="AD39">
        <f>IF(gamma!AD39,VLOOKUP(zeta!AD$1,main!$A$3:$H$102,5,FALSE)-VLOOKUP(zeta!$A39,main!$A$3:$H$102,6,FALSE),0)</f>
        <v>0</v>
      </c>
      <c r="AE39">
        <f>IF(gamma!AE39,VLOOKUP(zeta!AE$1,main!$A$3:$H$102,5,FALSE)-VLOOKUP(zeta!$A39,main!$A$3:$H$102,6,FALSE),0)</f>
        <v>0</v>
      </c>
      <c r="AF39">
        <f>IF(gamma!AF39,VLOOKUP(zeta!AF$1,main!$A$3:$H$102,5,FALSE)-VLOOKUP(zeta!$A39,main!$A$3:$H$102,6,FALSE),0)</f>
        <v>0</v>
      </c>
      <c r="AG39">
        <f>IF(gamma!AG39,VLOOKUP(zeta!AG$1,main!$A$3:$H$102,5,FALSE)-VLOOKUP(zeta!$A39,main!$A$3:$H$102,6,FALSE),0)</f>
        <v>0</v>
      </c>
      <c r="AH39">
        <f>IF(gamma!AH39,VLOOKUP(zeta!AH$1,main!$A$3:$H$102,5,FALSE)-VLOOKUP(zeta!$A39,main!$A$3:$H$102,6,FALSE),0)</f>
        <v>0</v>
      </c>
      <c r="AI39">
        <f>IF(gamma!AI39,VLOOKUP(zeta!AI$1,main!$A$3:$H$102,5,FALSE)-VLOOKUP(zeta!$A39,main!$A$3:$H$102,6,FALSE),0)</f>
        <v>0</v>
      </c>
      <c r="AJ39">
        <f>IF(gamma!AJ39,VLOOKUP(zeta!AJ$1,main!$A$3:$H$102,5,FALSE)-VLOOKUP(zeta!$A39,main!$A$3:$H$102,6,FALSE),0)</f>
        <v>0</v>
      </c>
      <c r="AK39">
        <f>IF(gamma!AK39,VLOOKUP(zeta!AK$1,main!$A$3:$H$102,5,FALSE)-VLOOKUP(zeta!$A39,main!$A$3:$H$102,6,FALSE),0)</f>
        <v>0</v>
      </c>
      <c r="AL39">
        <f>IF(gamma!AL39,VLOOKUP(zeta!AL$1,main!$A$3:$H$102,5,FALSE)-VLOOKUP(zeta!$A39,main!$A$3:$H$102,6,FALSE),0)</f>
        <v>0</v>
      </c>
      <c r="AM39">
        <f>IF(gamma!AM39,VLOOKUP(zeta!AM$1,main!$A$3:$H$102,5,FALSE)-VLOOKUP(zeta!$A39,main!$A$3:$H$102,6,FALSE),0)</f>
        <v>0</v>
      </c>
      <c r="AN39">
        <f>IF(gamma!AN39,VLOOKUP(zeta!AN$1,main!$A$3:$H$102,5,FALSE)-VLOOKUP(zeta!$A39,main!$A$3:$H$102,6,FALSE),0)</f>
        <v>0</v>
      </c>
      <c r="AO39">
        <f>IF(gamma!AO39,VLOOKUP(zeta!AO$1,main!$A$3:$H$102,5,FALSE)-VLOOKUP(zeta!$A39,main!$A$3:$H$102,6,FALSE),0)</f>
        <v>0</v>
      </c>
      <c r="AP39">
        <f>IF(gamma!AP39,VLOOKUP(zeta!AP$1,main!$A$3:$H$102,5,FALSE)-VLOOKUP(zeta!$A39,main!$A$3:$H$102,6,FALSE),0)</f>
        <v>0</v>
      </c>
      <c r="AQ39">
        <f>IF(gamma!AQ39,VLOOKUP(zeta!AQ$1,main!$A$3:$H$102,5,FALSE)-VLOOKUP(zeta!$A39,main!$A$3:$H$102,6,FALSE),0)</f>
        <v>0</v>
      </c>
      <c r="AR39">
        <f>IF(gamma!AR39,VLOOKUP(zeta!AR$1,main!$A$3:$H$102,5,FALSE)-VLOOKUP(zeta!$A39,main!$A$3:$H$102,6,FALSE),0)</f>
        <v>0</v>
      </c>
      <c r="AS39">
        <f>IF(gamma!AS39,VLOOKUP(zeta!AS$1,main!$A$3:$H$102,5,FALSE)-VLOOKUP(zeta!$A39,main!$A$3:$H$102,6,FALSE),0)</f>
        <v>0</v>
      </c>
      <c r="AT39">
        <f>IF(gamma!AT39,VLOOKUP(zeta!AT$1,main!$A$3:$H$102,5,FALSE)-VLOOKUP(zeta!$A39,main!$A$3:$H$102,6,FALSE),0)</f>
        <v>0</v>
      </c>
      <c r="AU39">
        <f>IF(gamma!AU39,VLOOKUP(zeta!AU$1,main!$A$3:$H$102,5,FALSE)-VLOOKUP(zeta!$A39,main!$A$3:$H$102,6,FALSE),0)</f>
        <v>0</v>
      </c>
      <c r="AV39">
        <f>IF(gamma!AV39,VLOOKUP(zeta!AV$1,main!$A$3:$H$102,5,FALSE)-VLOOKUP(zeta!$A39,main!$A$3:$H$102,6,FALSE),0)</f>
        <v>0</v>
      </c>
      <c r="AW39">
        <f>IF(gamma!AW39,VLOOKUP(zeta!AW$1,main!$A$3:$H$102,5,FALSE)-VLOOKUP(zeta!$A39,main!$A$3:$H$102,6,FALSE),0)</f>
        <v>0</v>
      </c>
      <c r="AX39">
        <f>IF(gamma!AX39,VLOOKUP(zeta!AX$1,main!$A$3:$H$102,5,FALSE)-VLOOKUP(zeta!$A39,main!$A$3:$H$102,6,FALSE),0)</f>
        <v>0</v>
      </c>
      <c r="AY39">
        <f>IF(gamma!AY39,VLOOKUP(zeta!AY$1,main!$A$3:$H$102,5,FALSE)-VLOOKUP(zeta!$A39,main!$A$3:$H$102,6,FALSE),0)</f>
        <v>0</v>
      </c>
      <c r="AZ39">
        <f>IF(gamma!AZ39,VLOOKUP(zeta!AZ$1,main!$A$3:$H$102,5,FALSE)-VLOOKUP(zeta!$A39,main!$A$3:$H$102,6,FALSE),0)</f>
        <v>0</v>
      </c>
      <c r="BA39">
        <f>IF(gamma!BA39,VLOOKUP(zeta!BA$1,main!$A$3:$H$102,5,FALSE)-VLOOKUP(zeta!$A39,main!$A$3:$H$102,6,FALSE),0)</f>
        <v>0</v>
      </c>
      <c r="BB39">
        <f>IF(gamma!BB39,VLOOKUP(zeta!BB$1,main!$A$3:$H$102,5,FALSE)-VLOOKUP(zeta!$A39,main!$A$3:$H$102,6,FALSE),0)</f>
        <v>0</v>
      </c>
      <c r="BC39">
        <f>IF(gamma!BC39,VLOOKUP(zeta!BC$1,main!$A$3:$H$102,5,FALSE)-VLOOKUP(zeta!$A39,main!$A$3:$H$102,6,FALSE),0)</f>
        <v>0</v>
      </c>
      <c r="BD39">
        <f>IF(gamma!BD39,VLOOKUP(zeta!BD$1,main!$A$3:$H$102,5,FALSE)-VLOOKUP(zeta!$A39,main!$A$3:$H$102,6,FALSE),0)</f>
        <v>0</v>
      </c>
      <c r="BE39">
        <f>IF(gamma!BE39,VLOOKUP(zeta!BE$1,main!$A$3:$H$102,5,FALSE)-VLOOKUP(zeta!$A39,main!$A$3:$H$102,6,FALSE),0)</f>
        <v>0</v>
      </c>
      <c r="BF39">
        <f>IF(gamma!BF39,VLOOKUP(zeta!BF$1,main!$A$3:$H$102,5,FALSE)-VLOOKUP(zeta!$A39,main!$A$3:$H$102,6,FALSE),0)</f>
        <v>0</v>
      </c>
      <c r="BG39">
        <f>IF(gamma!BG39,VLOOKUP(zeta!BG$1,main!$A$3:$H$102,5,FALSE)-VLOOKUP(zeta!$A39,main!$A$3:$H$102,6,FALSE),0)</f>
        <v>0</v>
      </c>
      <c r="BH39">
        <f>IF(gamma!BH39,VLOOKUP(zeta!BH$1,main!$A$3:$H$102,5,FALSE)-VLOOKUP(zeta!$A39,main!$A$3:$H$102,6,FALSE),0)</f>
        <v>0</v>
      </c>
      <c r="BI39">
        <f>IF(gamma!BI39,VLOOKUP(zeta!BI$1,main!$A$3:$H$102,5,FALSE)-VLOOKUP(zeta!$A39,main!$A$3:$H$102,6,FALSE),0)</f>
        <v>0</v>
      </c>
      <c r="BJ39">
        <f>IF(gamma!BJ39,VLOOKUP(zeta!BJ$1,main!$A$3:$H$102,5,FALSE)-VLOOKUP(zeta!$A39,main!$A$3:$H$102,6,FALSE),0)</f>
        <v>0</v>
      </c>
      <c r="BK39">
        <f>IF(gamma!BK39,VLOOKUP(zeta!BK$1,main!$A$3:$H$102,5,FALSE)-VLOOKUP(zeta!$A39,main!$A$3:$H$102,6,FALSE),0)</f>
        <v>0</v>
      </c>
      <c r="BL39">
        <f>IF(gamma!BL39,VLOOKUP(zeta!BL$1,main!$A$3:$H$102,5,FALSE)-VLOOKUP(zeta!$A39,main!$A$3:$H$102,6,FALSE),0)</f>
        <v>0</v>
      </c>
      <c r="BM39">
        <f>IF(gamma!BM39,VLOOKUP(zeta!BM$1,main!$A$3:$H$102,5,FALSE)-VLOOKUP(zeta!$A39,main!$A$3:$H$102,6,FALSE),0)</f>
        <v>0</v>
      </c>
      <c r="BN39">
        <f>IF(gamma!BN39,VLOOKUP(zeta!BN$1,main!$A$3:$H$102,5,FALSE)-VLOOKUP(zeta!$A39,main!$A$3:$H$102,6,FALSE),0)</f>
        <v>0</v>
      </c>
      <c r="BO39">
        <f>IF(gamma!BO39,VLOOKUP(zeta!BO$1,main!$A$3:$H$102,5,FALSE)-VLOOKUP(zeta!$A39,main!$A$3:$H$102,6,FALSE),0)</f>
        <v>0</v>
      </c>
      <c r="BP39">
        <f>IF(gamma!BP39,VLOOKUP(zeta!BP$1,main!$A$3:$H$102,5,FALSE)-VLOOKUP(zeta!$A39,main!$A$3:$H$102,6,FALSE),0)</f>
        <v>0</v>
      </c>
      <c r="BQ39">
        <f>IF(gamma!BQ39,VLOOKUP(zeta!BQ$1,main!$A$3:$H$102,5,FALSE)-VLOOKUP(zeta!$A39,main!$A$3:$H$102,6,FALSE),0)</f>
        <v>0</v>
      </c>
      <c r="BR39">
        <f>IF(gamma!BR39,VLOOKUP(zeta!BR$1,main!$A$3:$H$102,5,FALSE)-VLOOKUP(zeta!$A39,main!$A$3:$H$102,6,FALSE),0)</f>
        <v>0</v>
      </c>
      <c r="BS39">
        <f>IF(gamma!BS39,VLOOKUP(zeta!BS$1,main!$A$3:$H$102,5,FALSE)-VLOOKUP(zeta!$A39,main!$A$3:$H$102,6,FALSE),0)</f>
        <v>0</v>
      </c>
      <c r="BT39">
        <f>IF(gamma!BT39,VLOOKUP(zeta!BT$1,main!$A$3:$H$102,5,FALSE)-VLOOKUP(zeta!$A39,main!$A$3:$H$102,6,FALSE),0)</f>
        <v>0</v>
      </c>
      <c r="BU39">
        <f>IF(gamma!BU39,VLOOKUP(zeta!BU$1,main!$A$3:$H$102,5,FALSE)-VLOOKUP(zeta!$A39,main!$A$3:$H$102,6,FALSE),0)</f>
        <v>0</v>
      </c>
      <c r="BV39">
        <f>IF(gamma!BV39,VLOOKUP(zeta!BV$1,main!$A$3:$H$102,5,FALSE)-VLOOKUP(zeta!$A39,main!$A$3:$H$102,6,FALSE),0)</f>
        <v>0</v>
      </c>
      <c r="BW39">
        <f>IF(gamma!BW39,VLOOKUP(zeta!BW$1,main!$A$3:$H$102,5,FALSE)-VLOOKUP(zeta!$A39,main!$A$3:$H$102,6,FALSE),0)</f>
        <v>0</v>
      </c>
      <c r="BX39">
        <f>IF(gamma!BX39,VLOOKUP(zeta!BX$1,main!$A$3:$H$102,5,FALSE)-VLOOKUP(zeta!$A39,main!$A$3:$H$102,6,FALSE),0)</f>
        <v>0</v>
      </c>
      <c r="BY39">
        <f>IF(gamma!BY39,VLOOKUP(zeta!BY$1,main!$A$3:$H$102,5,FALSE)-VLOOKUP(zeta!$A39,main!$A$3:$H$102,6,FALSE),0)</f>
        <v>0</v>
      </c>
      <c r="BZ39">
        <f>IF(gamma!BZ39,VLOOKUP(zeta!BZ$1,main!$A$3:$H$102,5,FALSE)-VLOOKUP(zeta!$A39,main!$A$3:$H$102,6,FALSE),0)</f>
        <v>0</v>
      </c>
      <c r="CA39">
        <f>IF(gamma!CA39,VLOOKUP(zeta!CA$1,main!$A$3:$H$102,5,FALSE)-VLOOKUP(zeta!$A39,main!$A$3:$H$102,6,FALSE),0)</f>
        <v>0</v>
      </c>
      <c r="CB39">
        <f>IF(gamma!CB39,VLOOKUP(zeta!CB$1,main!$A$3:$H$102,5,FALSE)-VLOOKUP(zeta!$A39,main!$A$3:$H$102,6,FALSE),0)</f>
        <v>0</v>
      </c>
      <c r="CC39">
        <f>IF(gamma!CC39,VLOOKUP(zeta!CC$1,main!$A$3:$H$102,5,FALSE)-VLOOKUP(zeta!$A39,main!$A$3:$H$102,6,FALSE),0)</f>
        <v>0</v>
      </c>
      <c r="CD39">
        <f>IF(gamma!CD39,VLOOKUP(zeta!CD$1,main!$A$3:$H$102,5,FALSE)-VLOOKUP(zeta!$A39,main!$A$3:$H$102,6,FALSE),0)</f>
        <v>0</v>
      </c>
      <c r="CE39">
        <f>IF(gamma!CE39,VLOOKUP(zeta!CE$1,main!$A$3:$H$102,5,FALSE)-VLOOKUP(zeta!$A39,main!$A$3:$H$102,6,FALSE),0)</f>
        <v>0</v>
      </c>
      <c r="CF39">
        <f>IF(gamma!CF39,VLOOKUP(zeta!CF$1,main!$A$3:$H$102,5,FALSE)-VLOOKUP(zeta!$A39,main!$A$3:$H$102,6,FALSE),0)</f>
        <v>0</v>
      </c>
      <c r="CG39">
        <f>IF(gamma!CG39,VLOOKUP(zeta!CG$1,main!$A$3:$H$102,5,FALSE)-VLOOKUP(zeta!$A39,main!$A$3:$H$102,6,FALSE),0)</f>
        <v>0</v>
      </c>
      <c r="CH39">
        <f>IF(gamma!CH39,VLOOKUP(zeta!CH$1,main!$A$3:$H$102,5,FALSE)-VLOOKUP(zeta!$A39,main!$A$3:$H$102,6,FALSE),0)</f>
        <v>0</v>
      </c>
      <c r="CI39">
        <f>IF(gamma!CI39,VLOOKUP(zeta!CI$1,main!$A$3:$H$102,5,FALSE)-VLOOKUP(zeta!$A39,main!$A$3:$H$102,6,FALSE),0)</f>
        <v>0</v>
      </c>
      <c r="CJ39">
        <f>IF(gamma!CJ39,VLOOKUP(zeta!CJ$1,main!$A$3:$H$102,5,FALSE)-VLOOKUP(zeta!$A39,main!$A$3:$H$102,6,FALSE),0)</f>
        <v>0</v>
      </c>
      <c r="CK39">
        <f>IF(gamma!CK39,VLOOKUP(zeta!CK$1,main!$A$3:$H$102,5,FALSE)-VLOOKUP(zeta!$A39,main!$A$3:$H$102,6,FALSE),0)</f>
        <v>0</v>
      </c>
      <c r="CL39">
        <f>IF(gamma!CL39,VLOOKUP(zeta!CL$1,main!$A$3:$H$102,5,FALSE)-VLOOKUP(zeta!$A39,main!$A$3:$H$102,6,FALSE),0)</f>
        <v>0</v>
      </c>
      <c r="CM39">
        <f>IF(gamma!CM39,VLOOKUP(zeta!CM$1,main!$A$3:$H$102,5,FALSE)-VLOOKUP(zeta!$A39,main!$A$3:$H$102,6,FALSE),0)</f>
        <v>0</v>
      </c>
      <c r="CN39">
        <f>IF(gamma!CN39,VLOOKUP(zeta!CN$1,main!$A$3:$H$102,5,FALSE)-VLOOKUP(zeta!$A39,main!$A$3:$H$102,6,FALSE),0)</f>
        <v>0</v>
      </c>
      <c r="CO39">
        <f>IF(gamma!CO39,VLOOKUP(zeta!CO$1,main!$A$3:$H$102,5,FALSE)-VLOOKUP(zeta!$A39,main!$A$3:$H$102,6,FALSE),0)</f>
        <v>0</v>
      </c>
      <c r="CP39">
        <f>IF(gamma!CP39,VLOOKUP(zeta!CP$1,main!$A$3:$H$102,5,FALSE)-VLOOKUP(zeta!$A39,main!$A$3:$H$102,6,FALSE),0)</f>
        <v>0</v>
      </c>
      <c r="CQ39">
        <f>IF(gamma!CQ39,VLOOKUP(zeta!CQ$1,main!$A$3:$H$102,5,FALSE)-VLOOKUP(zeta!$A39,main!$A$3:$H$102,6,FALSE),0)</f>
        <v>0</v>
      </c>
      <c r="CR39">
        <f>IF(gamma!CR39,VLOOKUP(zeta!CR$1,main!$A$3:$H$102,5,FALSE)-VLOOKUP(zeta!$A39,main!$A$3:$H$102,6,FALSE),0)</f>
        <v>0</v>
      </c>
      <c r="CS39">
        <f>IF(gamma!CS39,VLOOKUP(zeta!CS$1,main!$A$3:$H$102,5,FALSE)-VLOOKUP(zeta!$A39,main!$A$3:$H$102,6,FALSE),0)</f>
        <v>0</v>
      </c>
      <c r="CT39">
        <f>IF(gamma!CT39,VLOOKUP(zeta!CT$1,main!$A$3:$H$102,5,FALSE)-VLOOKUP(zeta!$A39,main!$A$3:$H$102,6,FALSE),0)</f>
        <v>0</v>
      </c>
      <c r="CU39">
        <f>IF(gamma!CU39,VLOOKUP(zeta!CU$1,main!$A$3:$H$102,5,FALSE)-VLOOKUP(zeta!$A39,main!$A$3:$H$102,6,FALSE),0)</f>
        <v>0</v>
      </c>
      <c r="CV39">
        <f>IF(gamma!CV39,VLOOKUP(zeta!CV$1,main!$A$3:$H$102,5,FALSE)-VLOOKUP(zeta!$A39,main!$A$3:$H$102,6,FALSE),0)</f>
        <v>0</v>
      </c>
      <c r="CW39">
        <f>IF(gamma!CW39,VLOOKUP(zeta!CW$1,main!$A$3:$H$102,5,FALSE)-VLOOKUP(zeta!$A39,main!$A$3:$H$102,6,FALSE),0)</f>
        <v>0</v>
      </c>
      <c r="CX39">
        <f>IF(gamma!CX39,VLOOKUP(zeta!CX$1,main!$A$3:$H$102,5,FALSE)-VLOOKUP(zeta!$A39,main!$A$3:$H$102,6,FALSE),0)</f>
        <v>0</v>
      </c>
    </row>
    <row r="40" spans="1:102" x14ac:dyDescent="0.25">
      <c r="A40">
        <f t="shared" si="1"/>
        <v>38</v>
      </c>
      <c r="B40">
        <v>0</v>
      </c>
      <c r="C40">
        <f>IF(gamma!C40,VLOOKUP(zeta!C$1,main!$A$3:$H$102,5,FALSE)-VLOOKUP(zeta!$A40,main!$A$3:$H$102,6,FALSE),0)</f>
        <v>0</v>
      </c>
      <c r="D40">
        <f>IF(gamma!D40,VLOOKUP(zeta!D$1,main!$A$3:$H$102,5,FALSE)-VLOOKUP(zeta!$A40,main!$A$3:$H$102,6,FALSE),0)</f>
        <v>0</v>
      </c>
      <c r="E40">
        <f>IF(gamma!E40,VLOOKUP(zeta!E$1,main!$A$3:$H$102,5,FALSE)-VLOOKUP(zeta!$A40,main!$A$3:$H$102,6,FALSE),0)</f>
        <v>0</v>
      </c>
      <c r="F40">
        <f>IF(gamma!F40,VLOOKUP(zeta!F$1,main!$A$3:$H$102,5,FALSE)-VLOOKUP(zeta!$A40,main!$A$3:$H$102,6,FALSE),0)</f>
        <v>0</v>
      </c>
      <c r="G40">
        <f>IF(gamma!G40,VLOOKUP(zeta!G$1,main!$A$3:$H$102,5,FALSE)-VLOOKUP(zeta!$A40,main!$A$3:$H$102,6,FALSE),0)</f>
        <v>0</v>
      </c>
      <c r="H40">
        <f>IF(gamma!H40,VLOOKUP(zeta!H$1,main!$A$3:$H$102,5,FALSE)-VLOOKUP(zeta!$A40,main!$A$3:$H$102,6,FALSE),0)</f>
        <v>0</v>
      </c>
      <c r="I40">
        <f>IF(gamma!I40,VLOOKUP(zeta!I$1,main!$A$3:$H$102,5,FALSE)-VLOOKUP(zeta!$A40,main!$A$3:$H$102,6,FALSE),0)</f>
        <v>0</v>
      </c>
      <c r="J40">
        <f>IF(gamma!J40,VLOOKUP(zeta!J$1,main!$A$3:$H$102,5,FALSE)-VLOOKUP(zeta!$A40,main!$A$3:$H$102,6,FALSE),0)</f>
        <v>0</v>
      </c>
      <c r="K40">
        <f>IF(gamma!K40,VLOOKUP(zeta!K$1,main!$A$3:$H$102,5,FALSE)-VLOOKUP(zeta!$A40,main!$A$3:$H$102,6,FALSE),0)</f>
        <v>0</v>
      </c>
      <c r="L40">
        <f>IF(gamma!L40,VLOOKUP(zeta!L$1,main!$A$3:$H$102,5,FALSE)-VLOOKUP(zeta!$A40,main!$A$3:$H$102,6,FALSE),0)</f>
        <v>0</v>
      </c>
      <c r="M40">
        <f>IF(gamma!M40,VLOOKUP(zeta!M$1,main!$A$3:$H$102,5,FALSE)-VLOOKUP(zeta!$A40,main!$A$3:$H$102,6,FALSE),0)</f>
        <v>0</v>
      </c>
      <c r="N40">
        <f>IF(gamma!N40,VLOOKUP(zeta!N$1,main!$A$3:$H$102,5,FALSE)-VLOOKUP(zeta!$A40,main!$A$3:$H$102,6,FALSE),0)</f>
        <v>0</v>
      </c>
      <c r="O40">
        <f>IF(gamma!O40,VLOOKUP(zeta!O$1,main!$A$3:$H$102,5,FALSE)-VLOOKUP(zeta!$A40,main!$A$3:$H$102,6,FALSE),0)</f>
        <v>0</v>
      </c>
      <c r="P40">
        <f>IF(gamma!P40,VLOOKUP(zeta!P$1,main!$A$3:$H$102,5,FALSE)-VLOOKUP(zeta!$A40,main!$A$3:$H$102,6,FALSE),0)</f>
        <v>0</v>
      </c>
      <c r="Q40">
        <f>IF(gamma!Q40,VLOOKUP(zeta!Q$1,main!$A$3:$H$102,5,FALSE)-VLOOKUP(zeta!$A40,main!$A$3:$H$102,6,FALSE),0)</f>
        <v>0</v>
      </c>
      <c r="R40">
        <f>IF(gamma!R40,VLOOKUP(zeta!R$1,main!$A$3:$H$102,5,FALSE)-VLOOKUP(zeta!$A40,main!$A$3:$H$102,6,FALSE),0)</f>
        <v>0</v>
      </c>
      <c r="S40">
        <f>IF(gamma!S40,VLOOKUP(zeta!S$1,main!$A$3:$H$102,5,FALSE)-VLOOKUP(zeta!$A40,main!$A$3:$H$102,6,FALSE),0)</f>
        <v>0</v>
      </c>
      <c r="T40">
        <f>IF(gamma!T40,VLOOKUP(zeta!T$1,main!$A$3:$H$102,5,FALSE)-VLOOKUP(zeta!$A40,main!$A$3:$H$102,6,FALSE),0)</f>
        <v>0</v>
      </c>
      <c r="U40">
        <f>IF(gamma!U40,VLOOKUP(zeta!U$1,main!$A$3:$H$102,5,FALSE)-VLOOKUP(zeta!$A40,main!$A$3:$H$102,6,FALSE),0)</f>
        <v>0</v>
      </c>
      <c r="V40">
        <f>IF(gamma!V40,VLOOKUP(zeta!V$1,main!$A$3:$H$102,5,FALSE)-VLOOKUP(zeta!$A40,main!$A$3:$H$102,6,FALSE),0)</f>
        <v>0</v>
      </c>
      <c r="W40">
        <f>IF(gamma!W40,VLOOKUP(zeta!W$1,main!$A$3:$H$102,5,FALSE)-VLOOKUP(zeta!$A40,main!$A$3:$H$102,6,FALSE),0)</f>
        <v>0</v>
      </c>
      <c r="X40">
        <f>IF(gamma!X40,VLOOKUP(zeta!X$1,main!$A$3:$H$102,5,FALSE)-VLOOKUP(zeta!$A40,main!$A$3:$H$102,6,FALSE),0)</f>
        <v>0</v>
      </c>
      <c r="Y40">
        <f>IF(gamma!Y40,VLOOKUP(zeta!Y$1,main!$A$3:$H$102,5,FALSE)-VLOOKUP(zeta!$A40,main!$A$3:$H$102,6,FALSE),0)</f>
        <v>0</v>
      </c>
      <c r="Z40">
        <f>IF(gamma!Z40,VLOOKUP(zeta!Z$1,main!$A$3:$H$102,5,FALSE)-VLOOKUP(zeta!$A40,main!$A$3:$H$102,6,FALSE),0)</f>
        <v>0</v>
      </c>
      <c r="AA40">
        <f>IF(gamma!AA40,VLOOKUP(zeta!AA$1,main!$A$3:$H$102,5,FALSE)-VLOOKUP(zeta!$A40,main!$A$3:$H$102,6,FALSE),0)</f>
        <v>0</v>
      </c>
      <c r="AB40">
        <f>IF(gamma!AB40,VLOOKUP(zeta!AB$1,main!$A$3:$H$102,5,FALSE)-VLOOKUP(zeta!$A40,main!$A$3:$H$102,6,FALSE),0)</f>
        <v>0</v>
      </c>
      <c r="AC40">
        <f>IF(gamma!AC40,VLOOKUP(zeta!AC$1,main!$A$3:$H$102,5,FALSE)-VLOOKUP(zeta!$A40,main!$A$3:$H$102,6,FALSE),0)</f>
        <v>0</v>
      </c>
      <c r="AD40">
        <f>IF(gamma!AD40,VLOOKUP(zeta!AD$1,main!$A$3:$H$102,5,FALSE)-VLOOKUP(zeta!$A40,main!$A$3:$H$102,6,FALSE),0)</f>
        <v>0</v>
      </c>
      <c r="AE40">
        <f>IF(gamma!AE40,VLOOKUP(zeta!AE$1,main!$A$3:$H$102,5,FALSE)-VLOOKUP(zeta!$A40,main!$A$3:$H$102,6,FALSE),0)</f>
        <v>0</v>
      </c>
      <c r="AF40">
        <f>IF(gamma!AF40,VLOOKUP(zeta!AF$1,main!$A$3:$H$102,5,FALSE)-VLOOKUP(zeta!$A40,main!$A$3:$H$102,6,FALSE),0)</f>
        <v>0</v>
      </c>
      <c r="AG40">
        <f>IF(gamma!AG40,VLOOKUP(zeta!AG$1,main!$A$3:$H$102,5,FALSE)-VLOOKUP(zeta!$A40,main!$A$3:$H$102,6,FALSE),0)</f>
        <v>0</v>
      </c>
      <c r="AH40">
        <f>IF(gamma!AH40,VLOOKUP(zeta!AH$1,main!$A$3:$H$102,5,FALSE)-VLOOKUP(zeta!$A40,main!$A$3:$H$102,6,FALSE),0)</f>
        <v>0</v>
      </c>
      <c r="AI40">
        <f>IF(gamma!AI40,VLOOKUP(zeta!AI$1,main!$A$3:$H$102,5,FALSE)-VLOOKUP(zeta!$A40,main!$A$3:$H$102,6,FALSE),0)</f>
        <v>0</v>
      </c>
      <c r="AJ40">
        <f>IF(gamma!AJ40,VLOOKUP(zeta!AJ$1,main!$A$3:$H$102,5,FALSE)-VLOOKUP(zeta!$A40,main!$A$3:$H$102,6,FALSE),0)</f>
        <v>0</v>
      </c>
      <c r="AK40">
        <f>IF(gamma!AK40,VLOOKUP(zeta!AK$1,main!$A$3:$H$102,5,FALSE)-VLOOKUP(zeta!$A40,main!$A$3:$H$102,6,FALSE),0)</f>
        <v>0</v>
      </c>
      <c r="AL40">
        <f>IF(gamma!AL40,VLOOKUP(zeta!AL$1,main!$A$3:$H$102,5,FALSE)-VLOOKUP(zeta!$A40,main!$A$3:$H$102,6,FALSE),0)</f>
        <v>0</v>
      </c>
      <c r="AM40">
        <f>IF(gamma!AM40,VLOOKUP(zeta!AM$1,main!$A$3:$H$102,5,FALSE)-VLOOKUP(zeta!$A40,main!$A$3:$H$102,6,FALSE),0)</f>
        <v>0</v>
      </c>
      <c r="AN40">
        <f>IF(gamma!AN40,VLOOKUP(zeta!AN$1,main!$A$3:$H$102,5,FALSE)-VLOOKUP(zeta!$A40,main!$A$3:$H$102,6,FALSE),0)</f>
        <v>0</v>
      </c>
      <c r="AO40">
        <f>IF(gamma!AO40,VLOOKUP(zeta!AO$1,main!$A$3:$H$102,5,FALSE)-VLOOKUP(zeta!$A40,main!$A$3:$H$102,6,FALSE),0)</f>
        <v>0</v>
      </c>
      <c r="AP40">
        <f>IF(gamma!AP40,VLOOKUP(zeta!AP$1,main!$A$3:$H$102,5,FALSE)-VLOOKUP(zeta!$A40,main!$A$3:$H$102,6,FALSE),0)</f>
        <v>0</v>
      </c>
      <c r="AQ40">
        <f>IF(gamma!AQ40,VLOOKUP(zeta!AQ$1,main!$A$3:$H$102,5,FALSE)-VLOOKUP(zeta!$A40,main!$A$3:$H$102,6,FALSE),0)</f>
        <v>0</v>
      </c>
      <c r="AR40">
        <f>IF(gamma!AR40,VLOOKUP(zeta!AR$1,main!$A$3:$H$102,5,FALSE)-VLOOKUP(zeta!$A40,main!$A$3:$H$102,6,FALSE),0)</f>
        <v>0</v>
      </c>
      <c r="AS40">
        <f>IF(gamma!AS40,VLOOKUP(zeta!AS$1,main!$A$3:$H$102,5,FALSE)-VLOOKUP(zeta!$A40,main!$A$3:$H$102,6,FALSE),0)</f>
        <v>0</v>
      </c>
      <c r="AT40">
        <f>IF(gamma!AT40,VLOOKUP(zeta!AT$1,main!$A$3:$H$102,5,FALSE)-VLOOKUP(zeta!$A40,main!$A$3:$H$102,6,FALSE),0)</f>
        <v>0</v>
      </c>
      <c r="AU40">
        <f>IF(gamma!AU40,VLOOKUP(zeta!AU$1,main!$A$3:$H$102,5,FALSE)-VLOOKUP(zeta!$A40,main!$A$3:$H$102,6,FALSE),0)</f>
        <v>0</v>
      </c>
      <c r="AV40">
        <f>IF(gamma!AV40,VLOOKUP(zeta!AV$1,main!$A$3:$H$102,5,FALSE)-VLOOKUP(zeta!$A40,main!$A$3:$H$102,6,FALSE),0)</f>
        <v>0</v>
      </c>
      <c r="AW40">
        <f>IF(gamma!AW40,VLOOKUP(zeta!AW$1,main!$A$3:$H$102,5,FALSE)-VLOOKUP(zeta!$A40,main!$A$3:$H$102,6,FALSE),0)</f>
        <v>0</v>
      </c>
      <c r="AX40">
        <f>IF(gamma!AX40,VLOOKUP(zeta!AX$1,main!$A$3:$H$102,5,FALSE)-VLOOKUP(zeta!$A40,main!$A$3:$H$102,6,FALSE),0)</f>
        <v>0</v>
      </c>
      <c r="AY40">
        <f>IF(gamma!AY40,VLOOKUP(zeta!AY$1,main!$A$3:$H$102,5,FALSE)-VLOOKUP(zeta!$A40,main!$A$3:$H$102,6,FALSE),0)</f>
        <v>0</v>
      </c>
      <c r="AZ40">
        <f>IF(gamma!AZ40,VLOOKUP(zeta!AZ$1,main!$A$3:$H$102,5,FALSE)-VLOOKUP(zeta!$A40,main!$A$3:$H$102,6,FALSE),0)</f>
        <v>0</v>
      </c>
      <c r="BA40">
        <f>IF(gamma!BA40,VLOOKUP(zeta!BA$1,main!$A$3:$H$102,5,FALSE)-VLOOKUP(zeta!$A40,main!$A$3:$H$102,6,FALSE),0)</f>
        <v>0</v>
      </c>
      <c r="BB40">
        <f>IF(gamma!BB40,VLOOKUP(zeta!BB$1,main!$A$3:$H$102,5,FALSE)-VLOOKUP(zeta!$A40,main!$A$3:$H$102,6,FALSE),0)</f>
        <v>0</v>
      </c>
      <c r="BC40">
        <f>IF(gamma!BC40,VLOOKUP(zeta!BC$1,main!$A$3:$H$102,5,FALSE)-VLOOKUP(zeta!$A40,main!$A$3:$H$102,6,FALSE),0)</f>
        <v>0</v>
      </c>
      <c r="BD40">
        <f>IF(gamma!BD40,VLOOKUP(zeta!BD$1,main!$A$3:$H$102,5,FALSE)-VLOOKUP(zeta!$A40,main!$A$3:$H$102,6,FALSE),0)</f>
        <v>0</v>
      </c>
      <c r="BE40">
        <f>IF(gamma!BE40,VLOOKUP(zeta!BE$1,main!$A$3:$H$102,5,FALSE)-VLOOKUP(zeta!$A40,main!$A$3:$H$102,6,FALSE),0)</f>
        <v>0</v>
      </c>
      <c r="BF40">
        <f>IF(gamma!BF40,VLOOKUP(zeta!BF$1,main!$A$3:$H$102,5,FALSE)-VLOOKUP(zeta!$A40,main!$A$3:$H$102,6,FALSE),0)</f>
        <v>0</v>
      </c>
      <c r="BG40">
        <f>IF(gamma!BG40,VLOOKUP(zeta!BG$1,main!$A$3:$H$102,5,FALSE)-VLOOKUP(zeta!$A40,main!$A$3:$H$102,6,FALSE),0)</f>
        <v>0</v>
      </c>
      <c r="BH40">
        <f>IF(gamma!BH40,VLOOKUP(zeta!BH$1,main!$A$3:$H$102,5,FALSE)-VLOOKUP(zeta!$A40,main!$A$3:$H$102,6,FALSE),0)</f>
        <v>0</v>
      </c>
      <c r="BI40">
        <f>IF(gamma!BI40,VLOOKUP(zeta!BI$1,main!$A$3:$H$102,5,FALSE)-VLOOKUP(zeta!$A40,main!$A$3:$H$102,6,FALSE),0)</f>
        <v>0</v>
      </c>
      <c r="BJ40">
        <f>IF(gamma!BJ40,VLOOKUP(zeta!BJ$1,main!$A$3:$H$102,5,FALSE)-VLOOKUP(zeta!$A40,main!$A$3:$H$102,6,FALSE),0)</f>
        <v>0</v>
      </c>
      <c r="BK40">
        <f>IF(gamma!BK40,VLOOKUP(zeta!BK$1,main!$A$3:$H$102,5,FALSE)-VLOOKUP(zeta!$A40,main!$A$3:$H$102,6,FALSE),0)</f>
        <v>0</v>
      </c>
      <c r="BL40">
        <f>IF(gamma!BL40,VLOOKUP(zeta!BL$1,main!$A$3:$H$102,5,FALSE)-VLOOKUP(zeta!$A40,main!$A$3:$H$102,6,FALSE),0)</f>
        <v>0</v>
      </c>
      <c r="BM40">
        <f>IF(gamma!BM40,VLOOKUP(zeta!BM$1,main!$A$3:$H$102,5,FALSE)-VLOOKUP(zeta!$A40,main!$A$3:$H$102,6,FALSE),0)</f>
        <v>0</v>
      </c>
      <c r="BN40">
        <f>IF(gamma!BN40,VLOOKUP(zeta!BN$1,main!$A$3:$H$102,5,FALSE)-VLOOKUP(zeta!$A40,main!$A$3:$H$102,6,FALSE),0)</f>
        <v>0</v>
      </c>
      <c r="BO40">
        <f>IF(gamma!BO40,VLOOKUP(zeta!BO$1,main!$A$3:$H$102,5,FALSE)-VLOOKUP(zeta!$A40,main!$A$3:$H$102,6,FALSE),0)</f>
        <v>0</v>
      </c>
      <c r="BP40">
        <f>IF(gamma!BP40,VLOOKUP(zeta!BP$1,main!$A$3:$H$102,5,FALSE)-VLOOKUP(zeta!$A40,main!$A$3:$H$102,6,FALSE),0)</f>
        <v>0</v>
      </c>
      <c r="BQ40">
        <f>IF(gamma!BQ40,VLOOKUP(zeta!BQ$1,main!$A$3:$H$102,5,FALSE)-VLOOKUP(zeta!$A40,main!$A$3:$H$102,6,FALSE),0)</f>
        <v>0</v>
      </c>
      <c r="BR40">
        <f>IF(gamma!BR40,VLOOKUP(zeta!BR$1,main!$A$3:$H$102,5,FALSE)-VLOOKUP(zeta!$A40,main!$A$3:$H$102,6,FALSE),0)</f>
        <v>0</v>
      </c>
      <c r="BS40">
        <f>IF(gamma!BS40,VLOOKUP(zeta!BS$1,main!$A$3:$H$102,5,FALSE)-VLOOKUP(zeta!$A40,main!$A$3:$H$102,6,FALSE),0)</f>
        <v>0</v>
      </c>
      <c r="BT40">
        <f>IF(gamma!BT40,VLOOKUP(zeta!BT$1,main!$A$3:$H$102,5,FALSE)-VLOOKUP(zeta!$A40,main!$A$3:$H$102,6,FALSE),0)</f>
        <v>0</v>
      </c>
      <c r="BU40">
        <f>IF(gamma!BU40,VLOOKUP(zeta!BU$1,main!$A$3:$H$102,5,FALSE)-VLOOKUP(zeta!$A40,main!$A$3:$H$102,6,FALSE),0)</f>
        <v>0</v>
      </c>
      <c r="BV40">
        <f>IF(gamma!BV40,VLOOKUP(zeta!BV$1,main!$A$3:$H$102,5,FALSE)-VLOOKUP(zeta!$A40,main!$A$3:$H$102,6,FALSE),0)</f>
        <v>0</v>
      </c>
      <c r="BW40">
        <f>IF(gamma!BW40,VLOOKUP(zeta!BW$1,main!$A$3:$H$102,5,FALSE)-VLOOKUP(zeta!$A40,main!$A$3:$H$102,6,FALSE),0)</f>
        <v>0</v>
      </c>
      <c r="BX40">
        <f>IF(gamma!BX40,VLOOKUP(zeta!BX$1,main!$A$3:$H$102,5,FALSE)-VLOOKUP(zeta!$A40,main!$A$3:$H$102,6,FALSE),0)</f>
        <v>0</v>
      </c>
      <c r="BY40">
        <f>IF(gamma!BY40,VLOOKUP(zeta!BY$1,main!$A$3:$H$102,5,FALSE)-VLOOKUP(zeta!$A40,main!$A$3:$H$102,6,FALSE),0)</f>
        <v>0</v>
      </c>
      <c r="BZ40">
        <f>IF(gamma!BZ40,VLOOKUP(zeta!BZ$1,main!$A$3:$H$102,5,FALSE)-VLOOKUP(zeta!$A40,main!$A$3:$H$102,6,FALSE),0)</f>
        <v>0</v>
      </c>
      <c r="CA40">
        <f>IF(gamma!CA40,VLOOKUP(zeta!CA$1,main!$A$3:$H$102,5,FALSE)-VLOOKUP(zeta!$A40,main!$A$3:$H$102,6,FALSE),0)</f>
        <v>0</v>
      </c>
      <c r="CB40">
        <f>IF(gamma!CB40,VLOOKUP(zeta!CB$1,main!$A$3:$H$102,5,FALSE)-VLOOKUP(zeta!$A40,main!$A$3:$H$102,6,FALSE),0)</f>
        <v>0</v>
      </c>
      <c r="CC40">
        <f>IF(gamma!CC40,VLOOKUP(zeta!CC$1,main!$A$3:$H$102,5,FALSE)-VLOOKUP(zeta!$A40,main!$A$3:$H$102,6,FALSE),0)</f>
        <v>0</v>
      </c>
      <c r="CD40">
        <f>IF(gamma!CD40,VLOOKUP(zeta!CD$1,main!$A$3:$H$102,5,FALSE)-VLOOKUP(zeta!$A40,main!$A$3:$H$102,6,FALSE),0)</f>
        <v>0</v>
      </c>
      <c r="CE40">
        <f>IF(gamma!CE40,VLOOKUP(zeta!CE$1,main!$A$3:$H$102,5,FALSE)-VLOOKUP(zeta!$A40,main!$A$3:$H$102,6,FALSE),0)</f>
        <v>0</v>
      </c>
      <c r="CF40">
        <f>IF(gamma!CF40,VLOOKUP(zeta!CF$1,main!$A$3:$H$102,5,FALSE)-VLOOKUP(zeta!$A40,main!$A$3:$H$102,6,FALSE),0)</f>
        <v>0</v>
      </c>
      <c r="CG40">
        <f>IF(gamma!CG40,VLOOKUP(zeta!CG$1,main!$A$3:$H$102,5,FALSE)-VLOOKUP(zeta!$A40,main!$A$3:$H$102,6,FALSE),0)</f>
        <v>0</v>
      </c>
      <c r="CH40">
        <f>IF(gamma!CH40,VLOOKUP(zeta!CH$1,main!$A$3:$H$102,5,FALSE)-VLOOKUP(zeta!$A40,main!$A$3:$H$102,6,FALSE),0)</f>
        <v>0</v>
      </c>
      <c r="CI40">
        <f>IF(gamma!CI40,VLOOKUP(zeta!CI$1,main!$A$3:$H$102,5,FALSE)-VLOOKUP(zeta!$A40,main!$A$3:$H$102,6,FALSE),0)</f>
        <v>0</v>
      </c>
      <c r="CJ40">
        <f>IF(gamma!CJ40,VLOOKUP(zeta!CJ$1,main!$A$3:$H$102,5,FALSE)-VLOOKUP(zeta!$A40,main!$A$3:$H$102,6,FALSE),0)</f>
        <v>0</v>
      </c>
      <c r="CK40">
        <f>IF(gamma!CK40,VLOOKUP(zeta!CK$1,main!$A$3:$H$102,5,FALSE)-VLOOKUP(zeta!$A40,main!$A$3:$H$102,6,FALSE),0)</f>
        <v>0</v>
      </c>
      <c r="CL40">
        <f>IF(gamma!CL40,VLOOKUP(zeta!CL$1,main!$A$3:$H$102,5,FALSE)-VLOOKUP(zeta!$A40,main!$A$3:$H$102,6,FALSE),0)</f>
        <v>0</v>
      </c>
      <c r="CM40">
        <f>IF(gamma!CM40,VLOOKUP(zeta!CM$1,main!$A$3:$H$102,5,FALSE)-VLOOKUP(zeta!$A40,main!$A$3:$H$102,6,FALSE),0)</f>
        <v>0</v>
      </c>
      <c r="CN40">
        <f>IF(gamma!CN40,VLOOKUP(zeta!CN$1,main!$A$3:$H$102,5,FALSE)-VLOOKUP(zeta!$A40,main!$A$3:$H$102,6,FALSE),0)</f>
        <v>0</v>
      </c>
      <c r="CO40">
        <f>IF(gamma!CO40,VLOOKUP(zeta!CO$1,main!$A$3:$H$102,5,FALSE)-VLOOKUP(zeta!$A40,main!$A$3:$H$102,6,FALSE),0)</f>
        <v>0</v>
      </c>
      <c r="CP40">
        <f>IF(gamma!CP40,VLOOKUP(zeta!CP$1,main!$A$3:$H$102,5,FALSE)-VLOOKUP(zeta!$A40,main!$A$3:$H$102,6,FALSE),0)</f>
        <v>0</v>
      </c>
      <c r="CQ40">
        <f>IF(gamma!CQ40,VLOOKUP(zeta!CQ$1,main!$A$3:$H$102,5,FALSE)-VLOOKUP(zeta!$A40,main!$A$3:$H$102,6,FALSE),0)</f>
        <v>0</v>
      </c>
      <c r="CR40">
        <f>IF(gamma!CR40,VLOOKUP(zeta!CR$1,main!$A$3:$H$102,5,FALSE)-VLOOKUP(zeta!$A40,main!$A$3:$H$102,6,FALSE),0)</f>
        <v>0</v>
      </c>
      <c r="CS40">
        <f>IF(gamma!CS40,VLOOKUP(zeta!CS$1,main!$A$3:$H$102,5,FALSE)-VLOOKUP(zeta!$A40,main!$A$3:$H$102,6,FALSE),0)</f>
        <v>0</v>
      </c>
      <c r="CT40">
        <f>IF(gamma!CT40,VLOOKUP(zeta!CT$1,main!$A$3:$H$102,5,FALSE)-VLOOKUP(zeta!$A40,main!$A$3:$H$102,6,FALSE),0)</f>
        <v>0</v>
      </c>
      <c r="CU40">
        <f>IF(gamma!CU40,VLOOKUP(zeta!CU$1,main!$A$3:$H$102,5,FALSE)-VLOOKUP(zeta!$A40,main!$A$3:$H$102,6,FALSE),0)</f>
        <v>0</v>
      </c>
      <c r="CV40">
        <f>IF(gamma!CV40,VLOOKUP(zeta!CV$1,main!$A$3:$H$102,5,FALSE)-VLOOKUP(zeta!$A40,main!$A$3:$H$102,6,FALSE),0)</f>
        <v>0</v>
      </c>
      <c r="CW40">
        <f>IF(gamma!CW40,VLOOKUP(zeta!CW$1,main!$A$3:$H$102,5,FALSE)-VLOOKUP(zeta!$A40,main!$A$3:$H$102,6,FALSE),0)</f>
        <v>0</v>
      </c>
      <c r="CX40">
        <f>IF(gamma!CX40,VLOOKUP(zeta!CX$1,main!$A$3:$H$102,5,FALSE)-VLOOKUP(zeta!$A40,main!$A$3:$H$102,6,FALSE),0)</f>
        <v>0</v>
      </c>
    </row>
    <row r="41" spans="1:102" x14ac:dyDescent="0.25">
      <c r="A41">
        <f t="shared" si="1"/>
        <v>39</v>
      </c>
      <c r="B41">
        <v>0</v>
      </c>
      <c r="C41">
        <f>IF(gamma!C41,VLOOKUP(zeta!C$1,main!$A$3:$H$102,5,FALSE)-VLOOKUP(zeta!$A41,main!$A$3:$H$102,6,FALSE),0)</f>
        <v>0</v>
      </c>
      <c r="D41">
        <f>IF(gamma!D41,VLOOKUP(zeta!D$1,main!$A$3:$H$102,5,FALSE)-VLOOKUP(zeta!$A41,main!$A$3:$H$102,6,FALSE),0)</f>
        <v>0</v>
      </c>
      <c r="E41">
        <f>IF(gamma!E41,VLOOKUP(zeta!E$1,main!$A$3:$H$102,5,FALSE)-VLOOKUP(zeta!$A41,main!$A$3:$H$102,6,FALSE),0)</f>
        <v>145</v>
      </c>
      <c r="F41">
        <f>IF(gamma!F41,VLOOKUP(zeta!F$1,main!$A$3:$H$102,5,FALSE)-VLOOKUP(zeta!$A41,main!$A$3:$H$102,6,FALSE),0)</f>
        <v>165</v>
      </c>
      <c r="G41">
        <f>IF(gamma!G41,VLOOKUP(zeta!G$1,main!$A$3:$H$102,5,FALSE)-VLOOKUP(zeta!$A41,main!$A$3:$H$102,6,FALSE),0)</f>
        <v>255</v>
      </c>
      <c r="H41">
        <f>IF(gamma!H41,VLOOKUP(zeta!H$1,main!$A$3:$H$102,5,FALSE)-VLOOKUP(zeta!$A41,main!$A$3:$H$102,6,FALSE),0)</f>
        <v>345</v>
      </c>
      <c r="I41">
        <f>IF(gamma!I41,VLOOKUP(zeta!I$1,main!$A$3:$H$102,5,FALSE)-VLOOKUP(zeta!$A41,main!$A$3:$H$102,6,FALSE),0)</f>
        <v>405</v>
      </c>
      <c r="J41">
        <f>IF(gamma!J41,VLOOKUP(zeta!J$1,main!$A$3:$H$102,5,FALSE)-VLOOKUP(zeta!$A41,main!$A$3:$H$102,6,FALSE),0)</f>
        <v>465</v>
      </c>
      <c r="K41">
        <f>IF(gamma!K41,VLOOKUP(zeta!K$1,main!$A$3:$H$102,5,FALSE)-VLOOKUP(zeta!$A41,main!$A$3:$H$102,6,FALSE),0)</f>
        <v>525</v>
      </c>
      <c r="L41">
        <f>IF(gamma!L41,VLOOKUP(zeta!L$1,main!$A$3:$H$102,5,FALSE)-VLOOKUP(zeta!$A41,main!$A$3:$H$102,6,FALSE),0)</f>
        <v>615</v>
      </c>
      <c r="M41">
        <f>IF(gamma!M41,VLOOKUP(zeta!M$1,main!$A$3:$H$102,5,FALSE)-VLOOKUP(zeta!$A41,main!$A$3:$H$102,6,FALSE),0)</f>
        <v>0</v>
      </c>
      <c r="N41">
        <f>IF(gamma!N41,VLOOKUP(zeta!N$1,main!$A$3:$H$102,5,FALSE)-VLOOKUP(zeta!$A41,main!$A$3:$H$102,6,FALSE),0)</f>
        <v>0</v>
      </c>
      <c r="O41">
        <f>IF(gamma!O41,VLOOKUP(zeta!O$1,main!$A$3:$H$102,5,FALSE)-VLOOKUP(zeta!$A41,main!$A$3:$H$102,6,FALSE),0)</f>
        <v>25</v>
      </c>
      <c r="P41">
        <f>IF(gamma!P41,VLOOKUP(zeta!P$1,main!$A$3:$H$102,5,FALSE)-VLOOKUP(zeta!$A41,main!$A$3:$H$102,6,FALSE),0)</f>
        <v>100</v>
      </c>
      <c r="Q41">
        <f>IF(gamma!Q41,VLOOKUP(zeta!Q$1,main!$A$3:$H$102,5,FALSE)-VLOOKUP(zeta!$A41,main!$A$3:$H$102,6,FALSE),0)</f>
        <v>180</v>
      </c>
      <c r="R41">
        <f>IF(gamma!R41,VLOOKUP(zeta!R$1,main!$A$3:$H$102,5,FALSE)-VLOOKUP(zeta!$A41,main!$A$3:$H$102,6,FALSE),0)</f>
        <v>220</v>
      </c>
      <c r="S41">
        <f>IF(gamma!S41,VLOOKUP(zeta!S$1,main!$A$3:$H$102,5,FALSE)-VLOOKUP(zeta!$A41,main!$A$3:$H$102,6,FALSE),0)</f>
        <v>345</v>
      </c>
      <c r="T41">
        <f>IF(gamma!T41,VLOOKUP(zeta!T$1,main!$A$3:$H$102,5,FALSE)-VLOOKUP(zeta!$A41,main!$A$3:$H$102,6,FALSE),0)</f>
        <v>425</v>
      </c>
      <c r="U41">
        <f>IF(gamma!U41,VLOOKUP(zeta!U$1,main!$A$3:$H$102,5,FALSE)-VLOOKUP(zeta!$A41,main!$A$3:$H$102,6,FALSE),0)</f>
        <v>580</v>
      </c>
      <c r="V41">
        <f>IF(gamma!V41,VLOOKUP(zeta!V$1,main!$A$3:$H$102,5,FALSE)-VLOOKUP(zeta!$A41,main!$A$3:$H$102,6,FALSE),0)</f>
        <v>640</v>
      </c>
      <c r="W41">
        <f>IF(gamma!W41,VLOOKUP(zeta!W$1,main!$A$3:$H$102,5,FALSE)-VLOOKUP(zeta!$A41,main!$A$3:$H$102,6,FALSE),0)</f>
        <v>0</v>
      </c>
      <c r="X41">
        <f>IF(gamma!X41,VLOOKUP(zeta!X$1,main!$A$3:$H$102,5,FALSE)-VLOOKUP(zeta!$A41,main!$A$3:$H$102,6,FALSE),0)</f>
        <v>55</v>
      </c>
      <c r="Y41">
        <f>IF(gamma!Y41,VLOOKUP(zeta!Y$1,main!$A$3:$H$102,5,FALSE)-VLOOKUP(zeta!$A41,main!$A$3:$H$102,6,FALSE),0)</f>
        <v>215</v>
      </c>
      <c r="Z41">
        <f>IF(gamma!Z41,VLOOKUP(zeta!Z$1,main!$A$3:$H$102,5,FALSE)-VLOOKUP(zeta!$A41,main!$A$3:$H$102,6,FALSE),0)</f>
        <v>395</v>
      </c>
      <c r="AA41">
        <f>IF(gamma!AA41,VLOOKUP(zeta!AA$1,main!$A$3:$H$102,5,FALSE)-VLOOKUP(zeta!$A41,main!$A$3:$H$102,6,FALSE),0)</f>
        <v>545</v>
      </c>
      <c r="AB41">
        <f>IF(gamma!AB41,VLOOKUP(zeta!AB$1,main!$A$3:$H$102,5,FALSE)-VLOOKUP(zeta!$A41,main!$A$3:$H$102,6,FALSE),0)</f>
        <v>0</v>
      </c>
      <c r="AC41">
        <f>IF(gamma!AC41,VLOOKUP(zeta!AC$1,main!$A$3:$H$102,5,FALSE)-VLOOKUP(zeta!$A41,main!$A$3:$H$102,6,FALSE),0)</f>
        <v>0</v>
      </c>
      <c r="AD41">
        <f>IF(gamma!AD41,VLOOKUP(zeta!AD$1,main!$A$3:$H$102,5,FALSE)-VLOOKUP(zeta!$A41,main!$A$3:$H$102,6,FALSE),0)</f>
        <v>175</v>
      </c>
      <c r="AE41">
        <f>IF(gamma!AE41,VLOOKUP(zeta!AE$1,main!$A$3:$H$102,5,FALSE)-VLOOKUP(zeta!$A41,main!$A$3:$H$102,6,FALSE),0)</f>
        <v>355</v>
      </c>
      <c r="AF41">
        <f>IF(gamma!AF41,VLOOKUP(zeta!AF$1,main!$A$3:$H$102,5,FALSE)-VLOOKUP(zeta!$A41,main!$A$3:$H$102,6,FALSE),0)</f>
        <v>525</v>
      </c>
      <c r="AG41">
        <f>IF(gamma!AG41,VLOOKUP(zeta!AG$1,main!$A$3:$H$102,5,FALSE)-VLOOKUP(zeta!$A41,main!$A$3:$H$102,6,FALSE),0)</f>
        <v>0</v>
      </c>
      <c r="AH41">
        <f>IF(gamma!AH41,VLOOKUP(zeta!AH$1,main!$A$3:$H$102,5,FALSE)-VLOOKUP(zeta!$A41,main!$A$3:$H$102,6,FALSE),0)</f>
        <v>55</v>
      </c>
      <c r="AI41">
        <f>IF(gamma!AI41,VLOOKUP(zeta!AI$1,main!$A$3:$H$102,5,FALSE)-VLOOKUP(zeta!$A41,main!$A$3:$H$102,6,FALSE),0)</f>
        <v>145</v>
      </c>
      <c r="AJ41">
        <f>IF(gamma!AJ41,VLOOKUP(zeta!AJ$1,main!$A$3:$H$102,5,FALSE)-VLOOKUP(zeta!$A41,main!$A$3:$H$102,6,FALSE),0)</f>
        <v>235</v>
      </c>
      <c r="AK41">
        <f>IF(gamma!AK41,VLOOKUP(zeta!AK$1,main!$A$3:$H$102,5,FALSE)-VLOOKUP(zeta!$A41,main!$A$3:$H$102,6,FALSE),0)</f>
        <v>325</v>
      </c>
      <c r="AL41">
        <f>IF(gamma!AL41,VLOOKUP(zeta!AL$1,main!$A$3:$H$102,5,FALSE)-VLOOKUP(zeta!$A41,main!$A$3:$H$102,6,FALSE),0)</f>
        <v>415</v>
      </c>
      <c r="AM41">
        <f>IF(gamma!AM41,VLOOKUP(zeta!AM$1,main!$A$3:$H$102,5,FALSE)-VLOOKUP(zeta!$A41,main!$A$3:$H$102,6,FALSE),0)</f>
        <v>505</v>
      </c>
      <c r="AN41">
        <f>IF(gamma!AN41,VLOOKUP(zeta!AN$1,main!$A$3:$H$102,5,FALSE)-VLOOKUP(zeta!$A41,main!$A$3:$H$102,6,FALSE),0)</f>
        <v>565</v>
      </c>
      <c r="AO41">
        <f>IF(gamma!AO41,VLOOKUP(zeta!AO$1,main!$A$3:$H$102,5,FALSE)-VLOOKUP(zeta!$A41,main!$A$3:$H$102,6,FALSE),0)</f>
        <v>0</v>
      </c>
      <c r="AP41">
        <f>IF(gamma!AP41,VLOOKUP(zeta!AP$1,main!$A$3:$H$102,5,FALSE)-VLOOKUP(zeta!$A41,main!$A$3:$H$102,6,FALSE),0)</f>
        <v>625</v>
      </c>
      <c r="AQ41">
        <f>IF(gamma!AQ41,VLOOKUP(zeta!AQ$1,main!$A$3:$H$102,5,FALSE)-VLOOKUP(zeta!$A41,main!$A$3:$H$102,6,FALSE),0)</f>
        <v>0</v>
      </c>
      <c r="AR41">
        <f>IF(gamma!AR41,VLOOKUP(zeta!AR$1,main!$A$3:$H$102,5,FALSE)-VLOOKUP(zeta!$A41,main!$A$3:$H$102,6,FALSE),0)</f>
        <v>0</v>
      </c>
      <c r="AS41">
        <f>IF(gamma!AS41,VLOOKUP(zeta!AS$1,main!$A$3:$H$102,5,FALSE)-VLOOKUP(zeta!$A41,main!$A$3:$H$102,6,FALSE),0)</f>
        <v>225</v>
      </c>
      <c r="AT41">
        <f>IF(gamma!AT41,VLOOKUP(zeta!AT$1,main!$A$3:$H$102,5,FALSE)-VLOOKUP(zeta!$A41,main!$A$3:$H$102,6,FALSE),0)</f>
        <v>375</v>
      </c>
      <c r="AU41">
        <f>IF(gamma!AU41,VLOOKUP(zeta!AU$1,main!$A$3:$H$102,5,FALSE)-VLOOKUP(zeta!$A41,main!$A$3:$H$102,6,FALSE),0)</f>
        <v>0</v>
      </c>
      <c r="AV41">
        <f>IF(gamma!AV41,VLOOKUP(zeta!AV$1,main!$A$3:$H$102,5,FALSE)-VLOOKUP(zeta!$A41,main!$A$3:$H$102,6,FALSE),0)</f>
        <v>0</v>
      </c>
      <c r="AW41">
        <f>IF(gamma!AW41,VLOOKUP(zeta!AW$1,main!$A$3:$H$102,5,FALSE)-VLOOKUP(zeta!$A41,main!$A$3:$H$102,6,FALSE),0)</f>
        <v>325</v>
      </c>
      <c r="AX41">
        <f>IF(gamma!AX41,VLOOKUP(zeta!AX$1,main!$A$3:$H$102,5,FALSE)-VLOOKUP(zeta!$A41,main!$A$3:$H$102,6,FALSE),0)</f>
        <v>165</v>
      </c>
      <c r="AY41">
        <f>IF(gamma!AY41,VLOOKUP(zeta!AY$1,main!$A$3:$H$102,5,FALSE)-VLOOKUP(zeta!$A41,main!$A$3:$H$102,6,FALSE),0)</f>
        <v>0</v>
      </c>
      <c r="AZ41">
        <f>IF(gamma!AZ41,VLOOKUP(zeta!AZ$1,main!$A$3:$H$102,5,FALSE)-VLOOKUP(zeta!$A41,main!$A$3:$H$102,6,FALSE),0)</f>
        <v>155</v>
      </c>
      <c r="BA41">
        <f>IF(gamma!BA41,VLOOKUP(zeta!BA$1,main!$A$3:$H$102,5,FALSE)-VLOOKUP(zeta!$A41,main!$A$3:$H$102,6,FALSE),0)</f>
        <v>0</v>
      </c>
      <c r="BB41">
        <f>IF(gamma!BB41,VLOOKUP(zeta!BB$1,main!$A$3:$H$102,5,FALSE)-VLOOKUP(zeta!$A41,main!$A$3:$H$102,6,FALSE),0)</f>
        <v>165</v>
      </c>
      <c r="BC41">
        <f>IF(gamma!BC41,VLOOKUP(zeta!BC$1,main!$A$3:$H$102,5,FALSE)-VLOOKUP(zeta!$A41,main!$A$3:$H$102,6,FALSE),0)</f>
        <v>285</v>
      </c>
      <c r="BD41">
        <f>IF(gamma!BD41,VLOOKUP(zeta!BD$1,main!$A$3:$H$102,5,FALSE)-VLOOKUP(zeta!$A41,main!$A$3:$H$102,6,FALSE),0)</f>
        <v>345</v>
      </c>
      <c r="BE41">
        <f>IF(gamma!BE41,VLOOKUP(zeta!BE$1,main!$A$3:$H$102,5,FALSE)-VLOOKUP(zeta!$A41,main!$A$3:$H$102,6,FALSE),0)</f>
        <v>465</v>
      </c>
      <c r="BF41">
        <f>IF(gamma!BF41,VLOOKUP(zeta!BF$1,main!$A$3:$H$102,5,FALSE)-VLOOKUP(zeta!$A41,main!$A$3:$H$102,6,FALSE),0)</f>
        <v>0</v>
      </c>
      <c r="BG41">
        <f>IF(gamma!BG41,VLOOKUP(zeta!BG$1,main!$A$3:$H$102,5,FALSE)-VLOOKUP(zeta!$A41,main!$A$3:$H$102,6,FALSE),0)</f>
        <v>55</v>
      </c>
      <c r="BH41">
        <f>IF(gamma!BH41,VLOOKUP(zeta!BH$1,main!$A$3:$H$102,5,FALSE)-VLOOKUP(zeta!$A41,main!$A$3:$H$102,6,FALSE),0)</f>
        <v>250</v>
      </c>
      <c r="BI41">
        <f>IF(gamma!BI41,VLOOKUP(zeta!BI$1,main!$A$3:$H$102,5,FALSE)-VLOOKUP(zeta!$A41,main!$A$3:$H$102,6,FALSE),0)</f>
        <v>635</v>
      </c>
      <c r="BJ41">
        <f>IF(gamma!BJ41,VLOOKUP(zeta!BJ$1,main!$A$3:$H$102,5,FALSE)-VLOOKUP(zeta!$A41,main!$A$3:$H$102,6,FALSE),0)</f>
        <v>425</v>
      </c>
      <c r="BK41">
        <f>IF(gamma!BK41,VLOOKUP(zeta!BK$1,main!$A$3:$H$102,5,FALSE)-VLOOKUP(zeta!$A41,main!$A$3:$H$102,6,FALSE),0)</f>
        <v>0</v>
      </c>
      <c r="BL41">
        <f>IF(gamma!BL41,VLOOKUP(zeta!BL$1,main!$A$3:$H$102,5,FALSE)-VLOOKUP(zeta!$A41,main!$A$3:$H$102,6,FALSE),0)</f>
        <v>0</v>
      </c>
      <c r="BM41">
        <f>IF(gamma!BM41,VLOOKUP(zeta!BM$1,main!$A$3:$H$102,5,FALSE)-VLOOKUP(zeta!$A41,main!$A$3:$H$102,6,FALSE),0)</f>
        <v>70</v>
      </c>
      <c r="BN41">
        <f>IF(gamma!BN41,VLOOKUP(zeta!BN$1,main!$A$3:$H$102,5,FALSE)-VLOOKUP(zeta!$A41,main!$A$3:$H$102,6,FALSE),0)</f>
        <v>325</v>
      </c>
      <c r="BO41">
        <f>IF(gamma!BO41,VLOOKUP(zeta!BO$1,main!$A$3:$H$102,5,FALSE)-VLOOKUP(zeta!$A41,main!$A$3:$H$102,6,FALSE),0)</f>
        <v>0</v>
      </c>
      <c r="BP41">
        <f>IF(gamma!BP41,VLOOKUP(zeta!BP$1,main!$A$3:$H$102,5,FALSE)-VLOOKUP(zeta!$A41,main!$A$3:$H$102,6,FALSE),0)</f>
        <v>0</v>
      </c>
      <c r="BQ41">
        <f>IF(gamma!BQ41,VLOOKUP(zeta!BQ$1,main!$A$3:$H$102,5,FALSE)-VLOOKUP(zeta!$A41,main!$A$3:$H$102,6,FALSE),0)</f>
        <v>180</v>
      </c>
      <c r="BR41">
        <f>IF(gamma!BR41,VLOOKUP(zeta!BR$1,main!$A$3:$H$102,5,FALSE)-VLOOKUP(zeta!$A41,main!$A$3:$H$102,6,FALSE),0)</f>
        <v>215</v>
      </c>
      <c r="BS41">
        <f>IF(gamma!BS41,VLOOKUP(zeta!BS$1,main!$A$3:$H$102,5,FALSE)-VLOOKUP(zeta!$A41,main!$A$3:$H$102,6,FALSE),0)</f>
        <v>225</v>
      </c>
      <c r="BT41">
        <f>IF(gamma!BT41,VLOOKUP(zeta!BT$1,main!$A$3:$H$102,5,FALSE)-VLOOKUP(zeta!$A41,main!$A$3:$H$102,6,FALSE),0)</f>
        <v>175</v>
      </c>
      <c r="BU41">
        <f>IF(gamma!BU41,VLOOKUP(zeta!BU$1,main!$A$3:$H$102,5,FALSE)-VLOOKUP(zeta!$A41,main!$A$3:$H$102,6,FALSE),0)</f>
        <v>0</v>
      </c>
      <c r="BV41">
        <f>IF(gamma!BV41,VLOOKUP(zeta!BV$1,main!$A$3:$H$102,5,FALSE)-VLOOKUP(zeta!$A41,main!$A$3:$H$102,6,FALSE),0)</f>
        <v>0</v>
      </c>
      <c r="BW41">
        <f>IF(gamma!BW41,VLOOKUP(zeta!BW$1,main!$A$3:$H$102,5,FALSE)-VLOOKUP(zeta!$A41,main!$A$3:$H$102,6,FALSE),0)</f>
        <v>0</v>
      </c>
      <c r="BX41">
        <f>IF(gamma!BX41,VLOOKUP(zeta!BX$1,main!$A$3:$H$102,5,FALSE)-VLOOKUP(zeta!$A41,main!$A$3:$H$102,6,FALSE),0)</f>
        <v>190</v>
      </c>
      <c r="BY41">
        <f>IF(gamma!BY41,VLOOKUP(zeta!BY$1,main!$A$3:$H$102,5,FALSE)-VLOOKUP(zeta!$A41,main!$A$3:$H$102,6,FALSE),0)</f>
        <v>275</v>
      </c>
      <c r="BZ41">
        <f>IF(gamma!BZ41,VLOOKUP(zeta!BZ$1,main!$A$3:$H$102,5,FALSE)-VLOOKUP(zeta!$A41,main!$A$3:$H$102,6,FALSE),0)</f>
        <v>0</v>
      </c>
      <c r="CA41">
        <f>IF(gamma!CA41,VLOOKUP(zeta!CA$1,main!$A$3:$H$102,5,FALSE)-VLOOKUP(zeta!$A41,main!$A$3:$H$102,6,FALSE),0)</f>
        <v>0</v>
      </c>
      <c r="CB41">
        <f>IF(gamma!CB41,VLOOKUP(zeta!CB$1,main!$A$3:$H$102,5,FALSE)-VLOOKUP(zeta!$A41,main!$A$3:$H$102,6,FALSE),0)</f>
        <v>330</v>
      </c>
      <c r="CC41">
        <f>IF(gamma!CC41,VLOOKUP(zeta!CC$1,main!$A$3:$H$102,5,FALSE)-VLOOKUP(zeta!$A41,main!$A$3:$H$102,6,FALSE),0)</f>
        <v>540</v>
      </c>
      <c r="CD41">
        <f>IF(gamma!CD41,VLOOKUP(zeta!CD$1,main!$A$3:$H$102,5,FALSE)-VLOOKUP(zeta!$A41,main!$A$3:$H$102,6,FALSE),0)</f>
        <v>275</v>
      </c>
      <c r="CE41">
        <f>IF(gamma!CE41,VLOOKUP(zeta!CE$1,main!$A$3:$H$102,5,FALSE)-VLOOKUP(zeta!$A41,main!$A$3:$H$102,6,FALSE),0)</f>
        <v>145</v>
      </c>
      <c r="CF41">
        <f>IF(gamma!CF41,VLOOKUP(zeta!CF$1,main!$A$3:$H$102,5,FALSE)-VLOOKUP(zeta!$A41,main!$A$3:$H$102,6,FALSE),0)</f>
        <v>175</v>
      </c>
      <c r="CG41">
        <f>IF(gamma!CG41,VLOOKUP(zeta!CG$1,main!$A$3:$H$102,5,FALSE)-VLOOKUP(zeta!$A41,main!$A$3:$H$102,6,FALSE),0)</f>
        <v>225</v>
      </c>
      <c r="CH41">
        <f>IF(gamma!CH41,VLOOKUP(zeta!CH$1,main!$A$3:$H$102,5,FALSE)-VLOOKUP(zeta!$A41,main!$A$3:$H$102,6,FALSE),0)</f>
        <v>425</v>
      </c>
      <c r="CI41">
        <f>IF(gamma!CI41,VLOOKUP(zeta!CI$1,main!$A$3:$H$102,5,FALSE)-VLOOKUP(zeta!$A41,main!$A$3:$H$102,6,FALSE),0)</f>
        <v>625</v>
      </c>
      <c r="CJ41">
        <f>IF(gamma!CJ41,VLOOKUP(zeta!CJ$1,main!$A$3:$H$102,5,FALSE)-VLOOKUP(zeta!$A41,main!$A$3:$H$102,6,FALSE),0)</f>
        <v>215</v>
      </c>
      <c r="CK41">
        <f>IF(gamma!CK41,VLOOKUP(zeta!CK$1,main!$A$3:$H$102,5,FALSE)-VLOOKUP(zeta!$A41,main!$A$3:$H$102,6,FALSE),0)</f>
        <v>109</v>
      </c>
      <c r="CL41">
        <f>IF(gamma!CL41,VLOOKUP(zeta!CL$1,main!$A$3:$H$102,5,FALSE)-VLOOKUP(zeta!$A41,main!$A$3:$H$102,6,FALSE),0)</f>
        <v>225</v>
      </c>
      <c r="CM41">
        <f>IF(gamma!CM41,VLOOKUP(zeta!CM$1,main!$A$3:$H$102,5,FALSE)-VLOOKUP(zeta!$A41,main!$A$3:$H$102,6,FALSE),0)</f>
        <v>401</v>
      </c>
      <c r="CN41">
        <f>IF(gamma!CN41,VLOOKUP(zeta!CN$1,main!$A$3:$H$102,5,FALSE)-VLOOKUP(zeta!$A41,main!$A$3:$H$102,6,FALSE),0)</f>
        <v>625</v>
      </c>
      <c r="CO41">
        <f>IF(gamma!CO41,VLOOKUP(zeta!CO$1,main!$A$3:$H$102,5,FALSE)-VLOOKUP(zeta!$A41,main!$A$3:$H$102,6,FALSE),0)</f>
        <v>0</v>
      </c>
      <c r="CP41">
        <f>IF(gamma!CP41,VLOOKUP(zeta!CP$1,main!$A$3:$H$102,5,FALSE)-VLOOKUP(zeta!$A41,main!$A$3:$H$102,6,FALSE),0)</f>
        <v>190</v>
      </c>
      <c r="CQ41">
        <f>IF(gamma!CQ41,VLOOKUP(zeta!CQ$1,main!$A$3:$H$102,5,FALSE)-VLOOKUP(zeta!$A41,main!$A$3:$H$102,6,FALSE),0)</f>
        <v>205</v>
      </c>
      <c r="CR41">
        <f>IF(gamma!CR41,VLOOKUP(zeta!CR$1,main!$A$3:$H$102,5,FALSE)-VLOOKUP(zeta!$A41,main!$A$3:$H$102,6,FALSE),0)</f>
        <v>390</v>
      </c>
      <c r="CS41">
        <f>IF(gamma!CS41,VLOOKUP(zeta!CS$1,main!$A$3:$H$102,5,FALSE)-VLOOKUP(zeta!$A41,main!$A$3:$H$102,6,FALSE),0)</f>
        <v>400</v>
      </c>
      <c r="CT41">
        <f>IF(gamma!CT41,VLOOKUP(zeta!CT$1,main!$A$3:$H$102,5,FALSE)-VLOOKUP(zeta!$A41,main!$A$3:$H$102,6,FALSE),0)</f>
        <v>0</v>
      </c>
      <c r="CU41">
        <f>IF(gamma!CU41,VLOOKUP(zeta!CU$1,main!$A$3:$H$102,5,FALSE)-VLOOKUP(zeta!$A41,main!$A$3:$H$102,6,FALSE),0)</f>
        <v>0</v>
      </c>
      <c r="CV41">
        <f>IF(gamma!CV41,VLOOKUP(zeta!CV$1,main!$A$3:$H$102,5,FALSE)-VLOOKUP(zeta!$A41,main!$A$3:$H$102,6,FALSE),0)</f>
        <v>205</v>
      </c>
      <c r="CW41">
        <f>IF(gamma!CW41,VLOOKUP(zeta!CW$1,main!$A$3:$H$102,5,FALSE)-VLOOKUP(zeta!$A41,main!$A$3:$H$102,6,FALSE),0)</f>
        <v>390</v>
      </c>
      <c r="CX41">
        <f>IF(gamma!CX41,VLOOKUP(zeta!CX$1,main!$A$3:$H$102,5,FALSE)-VLOOKUP(zeta!$A41,main!$A$3:$H$102,6,FALSE),0)</f>
        <v>430</v>
      </c>
    </row>
    <row r="42" spans="1:102" x14ac:dyDescent="0.25">
      <c r="A42">
        <f t="shared" si="1"/>
        <v>40</v>
      </c>
      <c r="B42">
        <v>0</v>
      </c>
      <c r="C42">
        <f>IF(gamma!C42,VLOOKUP(zeta!C$1,main!$A$3:$H$102,5,FALSE)-VLOOKUP(zeta!$A42,main!$A$3:$H$102,6,FALSE),0)</f>
        <v>0</v>
      </c>
      <c r="D42">
        <f>IF(gamma!D42,VLOOKUP(zeta!D$1,main!$A$3:$H$102,5,FALSE)-VLOOKUP(zeta!$A42,main!$A$3:$H$102,6,FALSE),0)</f>
        <v>0</v>
      </c>
      <c r="E42">
        <f>IF(gamma!E42,VLOOKUP(zeta!E$1,main!$A$3:$H$102,5,FALSE)-VLOOKUP(zeta!$A42,main!$A$3:$H$102,6,FALSE),0)</f>
        <v>0</v>
      </c>
      <c r="F42">
        <f>IF(gamma!F42,VLOOKUP(zeta!F$1,main!$A$3:$H$102,5,FALSE)-VLOOKUP(zeta!$A42,main!$A$3:$H$102,6,FALSE),0)</f>
        <v>0</v>
      </c>
      <c r="G42">
        <f>IF(gamma!G42,VLOOKUP(zeta!G$1,main!$A$3:$H$102,5,FALSE)-VLOOKUP(zeta!$A42,main!$A$3:$H$102,6,FALSE),0)</f>
        <v>0</v>
      </c>
      <c r="H42">
        <f>IF(gamma!H42,VLOOKUP(zeta!H$1,main!$A$3:$H$102,5,FALSE)-VLOOKUP(zeta!$A42,main!$A$3:$H$102,6,FALSE),0)</f>
        <v>0</v>
      </c>
      <c r="I42">
        <f>IF(gamma!I42,VLOOKUP(zeta!I$1,main!$A$3:$H$102,5,FALSE)-VLOOKUP(zeta!$A42,main!$A$3:$H$102,6,FALSE),0)</f>
        <v>0</v>
      </c>
      <c r="J42">
        <f>IF(gamma!J42,VLOOKUP(zeta!J$1,main!$A$3:$H$102,5,FALSE)-VLOOKUP(zeta!$A42,main!$A$3:$H$102,6,FALSE),0)</f>
        <v>0</v>
      </c>
      <c r="K42">
        <f>IF(gamma!K42,VLOOKUP(zeta!K$1,main!$A$3:$H$102,5,FALSE)-VLOOKUP(zeta!$A42,main!$A$3:$H$102,6,FALSE),0)</f>
        <v>0</v>
      </c>
      <c r="L42">
        <f>IF(gamma!L42,VLOOKUP(zeta!L$1,main!$A$3:$H$102,5,FALSE)-VLOOKUP(zeta!$A42,main!$A$3:$H$102,6,FALSE),0)</f>
        <v>0</v>
      </c>
      <c r="M42">
        <f>IF(gamma!M42,VLOOKUP(zeta!M$1,main!$A$3:$H$102,5,FALSE)-VLOOKUP(zeta!$A42,main!$A$3:$H$102,6,FALSE),0)</f>
        <v>0</v>
      </c>
      <c r="N42">
        <f>IF(gamma!N42,VLOOKUP(zeta!N$1,main!$A$3:$H$102,5,FALSE)-VLOOKUP(zeta!$A42,main!$A$3:$H$102,6,FALSE),0)</f>
        <v>0</v>
      </c>
      <c r="O42">
        <f>IF(gamma!O42,VLOOKUP(zeta!O$1,main!$A$3:$H$102,5,FALSE)-VLOOKUP(zeta!$A42,main!$A$3:$H$102,6,FALSE),0)</f>
        <v>0</v>
      </c>
      <c r="P42">
        <f>IF(gamma!P42,VLOOKUP(zeta!P$1,main!$A$3:$H$102,5,FALSE)-VLOOKUP(zeta!$A42,main!$A$3:$H$102,6,FALSE),0)</f>
        <v>0</v>
      </c>
      <c r="Q42">
        <f>IF(gamma!Q42,VLOOKUP(zeta!Q$1,main!$A$3:$H$102,5,FALSE)-VLOOKUP(zeta!$A42,main!$A$3:$H$102,6,FALSE),0)</f>
        <v>0</v>
      </c>
      <c r="R42">
        <f>IF(gamma!R42,VLOOKUP(zeta!R$1,main!$A$3:$H$102,5,FALSE)-VLOOKUP(zeta!$A42,main!$A$3:$H$102,6,FALSE),0)</f>
        <v>0</v>
      </c>
      <c r="S42">
        <f>IF(gamma!S42,VLOOKUP(zeta!S$1,main!$A$3:$H$102,5,FALSE)-VLOOKUP(zeta!$A42,main!$A$3:$H$102,6,FALSE),0)</f>
        <v>0</v>
      </c>
      <c r="T42">
        <f>IF(gamma!T42,VLOOKUP(zeta!T$1,main!$A$3:$H$102,5,FALSE)-VLOOKUP(zeta!$A42,main!$A$3:$H$102,6,FALSE),0)</f>
        <v>0</v>
      </c>
      <c r="U42">
        <f>IF(gamma!U42,VLOOKUP(zeta!U$1,main!$A$3:$H$102,5,FALSE)-VLOOKUP(zeta!$A42,main!$A$3:$H$102,6,FALSE),0)</f>
        <v>0</v>
      </c>
      <c r="V42">
        <f>IF(gamma!V42,VLOOKUP(zeta!V$1,main!$A$3:$H$102,5,FALSE)-VLOOKUP(zeta!$A42,main!$A$3:$H$102,6,FALSE),0)</f>
        <v>0</v>
      </c>
      <c r="W42">
        <f>IF(gamma!W42,VLOOKUP(zeta!W$1,main!$A$3:$H$102,5,FALSE)-VLOOKUP(zeta!$A42,main!$A$3:$H$102,6,FALSE),0)</f>
        <v>0</v>
      </c>
      <c r="X42">
        <f>IF(gamma!X42,VLOOKUP(zeta!X$1,main!$A$3:$H$102,5,FALSE)-VLOOKUP(zeta!$A42,main!$A$3:$H$102,6,FALSE),0)</f>
        <v>0</v>
      </c>
      <c r="Y42">
        <f>IF(gamma!Y42,VLOOKUP(zeta!Y$1,main!$A$3:$H$102,5,FALSE)-VLOOKUP(zeta!$A42,main!$A$3:$H$102,6,FALSE),0)</f>
        <v>0</v>
      </c>
      <c r="Z42">
        <f>IF(gamma!Z42,VLOOKUP(zeta!Z$1,main!$A$3:$H$102,5,FALSE)-VLOOKUP(zeta!$A42,main!$A$3:$H$102,6,FALSE),0)</f>
        <v>0</v>
      </c>
      <c r="AA42">
        <f>IF(gamma!AA42,VLOOKUP(zeta!AA$1,main!$A$3:$H$102,5,FALSE)-VLOOKUP(zeta!$A42,main!$A$3:$H$102,6,FALSE),0)</f>
        <v>0</v>
      </c>
      <c r="AB42">
        <f>IF(gamma!AB42,VLOOKUP(zeta!AB$1,main!$A$3:$H$102,5,FALSE)-VLOOKUP(zeta!$A42,main!$A$3:$H$102,6,FALSE),0)</f>
        <v>0</v>
      </c>
      <c r="AC42">
        <f>IF(gamma!AC42,VLOOKUP(zeta!AC$1,main!$A$3:$H$102,5,FALSE)-VLOOKUP(zeta!$A42,main!$A$3:$H$102,6,FALSE),0)</f>
        <v>0</v>
      </c>
      <c r="AD42">
        <f>IF(gamma!AD42,VLOOKUP(zeta!AD$1,main!$A$3:$H$102,5,FALSE)-VLOOKUP(zeta!$A42,main!$A$3:$H$102,6,FALSE),0)</f>
        <v>0</v>
      </c>
      <c r="AE42">
        <f>IF(gamma!AE42,VLOOKUP(zeta!AE$1,main!$A$3:$H$102,5,FALSE)-VLOOKUP(zeta!$A42,main!$A$3:$H$102,6,FALSE),0)</f>
        <v>0</v>
      </c>
      <c r="AF42">
        <f>IF(gamma!AF42,VLOOKUP(zeta!AF$1,main!$A$3:$H$102,5,FALSE)-VLOOKUP(zeta!$A42,main!$A$3:$H$102,6,FALSE),0)</f>
        <v>0</v>
      </c>
      <c r="AG42">
        <f>IF(gamma!AG42,VLOOKUP(zeta!AG$1,main!$A$3:$H$102,5,FALSE)-VLOOKUP(zeta!$A42,main!$A$3:$H$102,6,FALSE),0)</f>
        <v>0</v>
      </c>
      <c r="AH42">
        <f>IF(gamma!AH42,VLOOKUP(zeta!AH$1,main!$A$3:$H$102,5,FALSE)-VLOOKUP(zeta!$A42,main!$A$3:$H$102,6,FALSE),0)</f>
        <v>0</v>
      </c>
      <c r="AI42">
        <f>IF(gamma!AI42,VLOOKUP(zeta!AI$1,main!$A$3:$H$102,5,FALSE)-VLOOKUP(zeta!$A42,main!$A$3:$H$102,6,FALSE),0)</f>
        <v>0</v>
      </c>
      <c r="AJ42">
        <f>IF(gamma!AJ42,VLOOKUP(zeta!AJ$1,main!$A$3:$H$102,5,FALSE)-VLOOKUP(zeta!$A42,main!$A$3:$H$102,6,FALSE),0)</f>
        <v>0</v>
      </c>
      <c r="AK42">
        <f>IF(gamma!AK42,VLOOKUP(zeta!AK$1,main!$A$3:$H$102,5,FALSE)-VLOOKUP(zeta!$A42,main!$A$3:$H$102,6,FALSE),0)</f>
        <v>0</v>
      </c>
      <c r="AL42">
        <f>IF(gamma!AL42,VLOOKUP(zeta!AL$1,main!$A$3:$H$102,5,FALSE)-VLOOKUP(zeta!$A42,main!$A$3:$H$102,6,FALSE),0)</f>
        <v>0</v>
      </c>
      <c r="AM42">
        <f>IF(gamma!AM42,VLOOKUP(zeta!AM$1,main!$A$3:$H$102,5,FALSE)-VLOOKUP(zeta!$A42,main!$A$3:$H$102,6,FALSE),0)</f>
        <v>0</v>
      </c>
      <c r="AN42">
        <f>IF(gamma!AN42,VLOOKUP(zeta!AN$1,main!$A$3:$H$102,5,FALSE)-VLOOKUP(zeta!$A42,main!$A$3:$H$102,6,FALSE),0)</f>
        <v>0</v>
      </c>
      <c r="AO42">
        <f>IF(gamma!AO42,VLOOKUP(zeta!AO$1,main!$A$3:$H$102,5,FALSE)-VLOOKUP(zeta!$A42,main!$A$3:$H$102,6,FALSE),0)</f>
        <v>0</v>
      </c>
      <c r="AP42">
        <f>IF(gamma!AP42,VLOOKUP(zeta!AP$1,main!$A$3:$H$102,5,FALSE)-VLOOKUP(zeta!$A42,main!$A$3:$H$102,6,FALSE),0)</f>
        <v>0</v>
      </c>
      <c r="AQ42">
        <f>IF(gamma!AQ42,VLOOKUP(zeta!AQ$1,main!$A$3:$H$102,5,FALSE)-VLOOKUP(zeta!$A42,main!$A$3:$H$102,6,FALSE),0)</f>
        <v>0</v>
      </c>
      <c r="AR42">
        <f>IF(gamma!AR42,VLOOKUP(zeta!AR$1,main!$A$3:$H$102,5,FALSE)-VLOOKUP(zeta!$A42,main!$A$3:$H$102,6,FALSE),0)</f>
        <v>0</v>
      </c>
      <c r="AS42">
        <f>IF(gamma!AS42,VLOOKUP(zeta!AS$1,main!$A$3:$H$102,5,FALSE)-VLOOKUP(zeta!$A42,main!$A$3:$H$102,6,FALSE),0)</f>
        <v>0</v>
      </c>
      <c r="AT42">
        <f>IF(gamma!AT42,VLOOKUP(zeta!AT$1,main!$A$3:$H$102,5,FALSE)-VLOOKUP(zeta!$A42,main!$A$3:$H$102,6,FALSE),0)</f>
        <v>0</v>
      </c>
      <c r="AU42">
        <f>IF(gamma!AU42,VLOOKUP(zeta!AU$1,main!$A$3:$H$102,5,FALSE)-VLOOKUP(zeta!$A42,main!$A$3:$H$102,6,FALSE),0)</f>
        <v>0</v>
      </c>
      <c r="AV42">
        <f>IF(gamma!AV42,VLOOKUP(zeta!AV$1,main!$A$3:$H$102,5,FALSE)-VLOOKUP(zeta!$A42,main!$A$3:$H$102,6,FALSE),0)</f>
        <v>0</v>
      </c>
      <c r="AW42">
        <f>IF(gamma!AW42,VLOOKUP(zeta!AW$1,main!$A$3:$H$102,5,FALSE)-VLOOKUP(zeta!$A42,main!$A$3:$H$102,6,FALSE),0)</f>
        <v>0</v>
      </c>
      <c r="AX42">
        <f>IF(gamma!AX42,VLOOKUP(zeta!AX$1,main!$A$3:$H$102,5,FALSE)-VLOOKUP(zeta!$A42,main!$A$3:$H$102,6,FALSE),0)</f>
        <v>0</v>
      </c>
      <c r="AY42">
        <f>IF(gamma!AY42,VLOOKUP(zeta!AY$1,main!$A$3:$H$102,5,FALSE)-VLOOKUP(zeta!$A42,main!$A$3:$H$102,6,FALSE),0)</f>
        <v>0</v>
      </c>
      <c r="AZ42">
        <f>IF(gamma!AZ42,VLOOKUP(zeta!AZ$1,main!$A$3:$H$102,5,FALSE)-VLOOKUP(zeta!$A42,main!$A$3:$H$102,6,FALSE),0)</f>
        <v>0</v>
      </c>
      <c r="BA42">
        <f>IF(gamma!BA42,VLOOKUP(zeta!BA$1,main!$A$3:$H$102,5,FALSE)-VLOOKUP(zeta!$A42,main!$A$3:$H$102,6,FALSE),0)</f>
        <v>0</v>
      </c>
      <c r="BB42">
        <f>IF(gamma!BB42,VLOOKUP(zeta!BB$1,main!$A$3:$H$102,5,FALSE)-VLOOKUP(zeta!$A42,main!$A$3:$H$102,6,FALSE),0)</f>
        <v>0</v>
      </c>
      <c r="BC42">
        <f>IF(gamma!BC42,VLOOKUP(zeta!BC$1,main!$A$3:$H$102,5,FALSE)-VLOOKUP(zeta!$A42,main!$A$3:$H$102,6,FALSE),0)</f>
        <v>0</v>
      </c>
      <c r="BD42">
        <f>IF(gamma!BD42,VLOOKUP(zeta!BD$1,main!$A$3:$H$102,5,FALSE)-VLOOKUP(zeta!$A42,main!$A$3:$H$102,6,FALSE),0)</f>
        <v>0</v>
      </c>
      <c r="BE42">
        <f>IF(gamma!BE42,VLOOKUP(zeta!BE$1,main!$A$3:$H$102,5,FALSE)-VLOOKUP(zeta!$A42,main!$A$3:$H$102,6,FALSE),0)</f>
        <v>0</v>
      </c>
      <c r="BF42">
        <f>IF(gamma!BF42,VLOOKUP(zeta!BF$1,main!$A$3:$H$102,5,FALSE)-VLOOKUP(zeta!$A42,main!$A$3:$H$102,6,FALSE),0)</f>
        <v>0</v>
      </c>
      <c r="BG42">
        <f>IF(gamma!BG42,VLOOKUP(zeta!BG$1,main!$A$3:$H$102,5,FALSE)-VLOOKUP(zeta!$A42,main!$A$3:$H$102,6,FALSE),0)</f>
        <v>0</v>
      </c>
      <c r="BH42">
        <f>IF(gamma!BH42,VLOOKUP(zeta!BH$1,main!$A$3:$H$102,5,FALSE)-VLOOKUP(zeta!$A42,main!$A$3:$H$102,6,FALSE),0)</f>
        <v>0</v>
      </c>
      <c r="BI42">
        <f>IF(gamma!BI42,VLOOKUP(zeta!BI$1,main!$A$3:$H$102,5,FALSE)-VLOOKUP(zeta!$A42,main!$A$3:$H$102,6,FALSE),0)</f>
        <v>0</v>
      </c>
      <c r="BJ42">
        <f>IF(gamma!BJ42,VLOOKUP(zeta!BJ$1,main!$A$3:$H$102,5,FALSE)-VLOOKUP(zeta!$A42,main!$A$3:$H$102,6,FALSE),0)</f>
        <v>0</v>
      </c>
      <c r="BK42">
        <f>IF(gamma!BK42,VLOOKUP(zeta!BK$1,main!$A$3:$H$102,5,FALSE)-VLOOKUP(zeta!$A42,main!$A$3:$H$102,6,FALSE),0)</f>
        <v>0</v>
      </c>
      <c r="BL42">
        <f>IF(gamma!BL42,VLOOKUP(zeta!BL$1,main!$A$3:$H$102,5,FALSE)-VLOOKUP(zeta!$A42,main!$A$3:$H$102,6,FALSE),0)</f>
        <v>0</v>
      </c>
      <c r="BM42">
        <f>IF(gamma!BM42,VLOOKUP(zeta!BM$1,main!$A$3:$H$102,5,FALSE)-VLOOKUP(zeta!$A42,main!$A$3:$H$102,6,FALSE),0)</f>
        <v>0</v>
      </c>
      <c r="BN42">
        <f>IF(gamma!BN42,VLOOKUP(zeta!BN$1,main!$A$3:$H$102,5,FALSE)-VLOOKUP(zeta!$A42,main!$A$3:$H$102,6,FALSE),0)</f>
        <v>0</v>
      </c>
      <c r="BO42">
        <f>IF(gamma!BO42,VLOOKUP(zeta!BO$1,main!$A$3:$H$102,5,FALSE)-VLOOKUP(zeta!$A42,main!$A$3:$H$102,6,FALSE),0)</f>
        <v>0</v>
      </c>
      <c r="BP42">
        <f>IF(gamma!BP42,VLOOKUP(zeta!BP$1,main!$A$3:$H$102,5,FALSE)-VLOOKUP(zeta!$A42,main!$A$3:$H$102,6,FALSE),0)</f>
        <v>0</v>
      </c>
      <c r="BQ42">
        <f>IF(gamma!BQ42,VLOOKUP(zeta!BQ$1,main!$A$3:$H$102,5,FALSE)-VLOOKUP(zeta!$A42,main!$A$3:$H$102,6,FALSE),0)</f>
        <v>0</v>
      </c>
      <c r="BR42">
        <f>IF(gamma!BR42,VLOOKUP(zeta!BR$1,main!$A$3:$H$102,5,FALSE)-VLOOKUP(zeta!$A42,main!$A$3:$H$102,6,FALSE),0)</f>
        <v>0</v>
      </c>
      <c r="BS42">
        <f>IF(gamma!BS42,VLOOKUP(zeta!BS$1,main!$A$3:$H$102,5,FALSE)-VLOOKUP(zeta!$A42,main!$A$3:$H$102,6,FALSE),0)</f>
        <v>0</v>
      </c>
      <c r="BT42">
        <f>IF(gamma!BT42,VLOOKUP(zeta!BT$1,main!$A$3:$H$102,5,FALSE)-VLOOKUP(zeta!$A42,main!$A$3:$H$102,6,FALSE),0)</f>
        <v>0</v>
      </c>
      <c r="BU42">
        <f>IF(gamma!BU42,VLOOKUP(zeta!BU$1,main!$A$3:$H$102,5,FALSE)-VLOOKUP(zeta!$A42,main!$A$3:$H$102,6,FALSE),0)</f>
        <v>0</v>
      </c>
      <c r="BV42">
        <f>IF(gamma!BV42,VLOOKUP(zeta!BV$1,main!$A$3:$H$102,5,FALSE)-VLOOKUP(zeta!$A42,main!$A$3:$H$102,6,FALSE),0)</f>
        <v>0</v>
      </c>
      <c r="BW42">
        <f>IF(gamma!BW42,VLOOKUP(zeta!BW$1,main!$A$3:$H$102,5,FALSE)-VLOOKUP(zeta!$A42,main!$A$3:$H$102,6,FALSE),0)</f>
        <v>0</v>
      </c>
      <c r="BX42">
        <f>IF(gamma!BX42,VLOOKUP(zeta!BX$1,main!$A$3:$H$102,5,FALSE)-VLOOKUP(zeta!$A42,main!$A$3:$H$102,6,FALSE),0)</f>
        <v>0</v>
      </c>
      <c r="BY42">
        <f>IF(gamma!BY42,VLOOKUP(zeta!BY$1,main!$A$3:$H$102,5,FALSE)-VLOOKUP(zeta!$A42,main!$A$3:$H$102,6,FALSE),0)</f>
        <v>0</v>
      </c>
      <c r="BZ42">
        <f>IF(gamma!BZ42,VLOOKUP(zeta!BZ$1,main!$A$3:$H$102,5,FALSE)-VLOOKUP(zeta!$A42,main!$A$3:$H$102,6,FALSE),0)</f>
        <v>0</v>
      </c>
      <c r="CA42">
        <f>IF(gamma!CA42,VLOOKUP(zeta!CA$1,main!$A$3:$H$102,5,FALSE)-VLOOKUP(zeta!$A42,main!$A$3:$H$102,6,FALSE),0)</f>
        <v>0</v>
      </c>
      <c r="CB42">
        <f>IF(gamma!CB42,VLOOKUP(zeta!CB$1,main!$A$3:$H$102,5,FALSE)-VLOOKUP(zeta!$A42,main!$A$3:$H$102,6,FALSE),0)</f>
        <v>0</v>
      </c>
      <c r="CC42">
        <f>IF(gamma!CC42,VLOOKUP(zeta!CC$1,main!$A$3:$H$102,5,FALSE)-VLOOKUP(zeta!$A42,main!$A$3:$H$102,6,FALSE),0)</f>
        <v>0</v>
      </c>
      <c r="CD42">
        <f>IF(gamma!CD42,VLOOKUP(zeta!CD$1,main!$A$3:$H$102,5,FALSE)-VLOOKUP(zeta!$A42,main!$A$3:$H$102,6,FALSE),0)</f>
        <v>0</v>
      </c>
      <c r="CE42">
        <f>IF(gamma!CE42,VLOOKUP(zeta!CE$1,main!$A$3:$H$102,5,FALSE)-VLOOKUP(zeta!$A42,main!$A$3:$H$102,6,FALSE),0)</f>
        <v>0</v>
      </c>
      <c r="CF42">
        <f>IF(gamma!CF42,VLOOKUP(zeta!CF$1,main!$A$3:$H$102,5,FALSE)-VLOOKUP(zeta!$A42,main!$A$3:$H$102,6,FALSE),0)</f>
        <v>0</v>
      </c>
      <c r="CG42">
        <f>IF(gamma!CG42,VLOOKUP(zeta!CG$1,main!$A$3:$H$102,5,FALSE)-VLOOKUP(zeta!$A42,main!$A$3:$H$102,6,FALSE),0)</f>
        <v>0</v>
      </c>
      <c r="CH42">
        <f>IF(gamma!CH42,VLOOKUP(zeta!CH$1,main!$A$3:$H$102,5,FALSE)-VLOOKUP(zeta!$A42,main!$A$3:$H$102,6,FALSE),0)</f>
        <v>0</v>
      </c>
      <c r="CI42">
        <f>IF(gamma!CI42,VLOOKUP(zeta!CI$1,main!$A$3:$H$102,5,FALSE)-VLOOKUP(zeta!$A42,main!$A$3:$H$102,6,FALSE),0)</f>
        <v>0</v>
      </c>
      <c r="CJ42">
        <f>IF(gamma!CJ42,VLOOKUP(zeta!CJ$1,main!$A$3:$H$102,5,FALSE)-VLOOKUP(zeta!$A42,main!$A$3:$H$102,6,FALSE),0)</f>
        <v>0</v>
      </c>
      <c r="CK42">
        <f>IF(gamma!CK42,VLOOKUP(zeta!CK$1,main!$A$3:$H$102,5,FALSE)-VLOOKUP(zeta!$A42,main!$A$3:$H$102,6,FALSE),0)</f>
        <v>0</v>
      </c>
      <c r="CL42">
        <f>IF(gamma!CL42,VLOOKUP(zeta!CL$1,main!$A$3:$H$102,5,FALSE)-VLOOKUP(zeta!$A42,main!$A$3:$H$102,6,FALSE),0)</f>
        <v>0</v>
      </c>
      <c r="CM42">
        <f>IF(gamma!CM42,VLOOKUP(zeta!CM$1,main!$A$3:$H$102,5,FALSE)-VLOOKUP(zeta!$A42,main!$A$3:$H$102,6,FALSE),0)</f>
        <v>0</v>
      </c>
      <c r="CN42">
        <f>IF(gamma!CN42,VLOOKUP(zeta!CN$1,main!$A$3:$H$102,5,FALSE)-VLOOKUP(zeta!$A42,main!$A$3:$H$102,6,FALSE),0)</f>
        <v>0</v>
      </c>
      <c r="CO42">
        <f>IF(gamma!CO42,VLOOKUP(zeta!CO$1,main!$A$3:$H$102,5,FALSE)-VLOOKUP(zeta!$A42,main!$A$3:$H$102,6,FALSE),0)</f>
        <v>0</v>
      </c>
      <c r="CP42">
        <f>IF(gamma!CP42,VLOOKUP(zeta!CP$1,main!$A$3:$H$102,5,FALSE)-VLOOKUP(zeta!$A42,main!$A$3:$H$102,6,FALSE),0)</f>
        <v>0</v>
      </c>
      <c r="CQ42">
        <f>IF(gamma!CQ42,VLOOKUP(zeta!CQ$1,main!$A$3:$H$102,5,FALSE)-VLOOKUP(zeta!$A42,main!$A$3:$H$102,6,FALSE),0)</f>
        <v>0</v>
      </c>
      <c r="CR42">
        <f>IF(gamma!CR42,VLOOKUP(zeta!CR$1,main!$A$3:$H$102,5,FALSE)-VLOOKUP(zeta!$A42,main!$A$3:$H$102,6,FALSE),0)</f>
        <v>0</v>
      </c>
      <c r="CS42">
        <f>IF(gamma!CS42,VLOOKUP(zeta!CS$1,main!$A$3:$H$102,5,FALSE)-VLOOKUP(zeta!$A42,main!$A$3:$H$102,6,FALSE),0)</f>
        <v>0</v>
      </c>
      <c r="CT42">
        <f>IF(gamma!CT42,VLOOKUP(zeta!CT$1,main!$A$3:$H$102,5,FALSE)-VLOOKUP(zeta!$A42,main!$A$3:$H$102,6,FALSE),0)</f>
        <v>0</v>
      </c>
      <c r="CU42">
        <f>IF(gamma!CU42,VLOOKUP(zeta!CU$1,main!$A$3:$H$102,5,FALSE)-VLOOKUP(zeta!$A42,main!$A$3:$H$102,6,FALSE),0)</f>
        <v>0</v>
      </c>
      <c r="CV42">
        <f>IF(gamma!CV42,VLOOKUP(zeta!CV$1,main!$A$3:$H$102,5,FALSE)-VLOOKUP(zeta!$A42,main!$A$3:$H$102,6,FALSE),0)</f>
        <v>0</v>
      </c>
      <c r="CW42">
        <f>IF(gamma!CW42,VLOOKUP(zeta!CW$1,main!$A$3:$H$102,5,FALSE)-VLOOKUP(zeta!$A42,main!$A$3:$H$102,6,FALSE),0)</f>
        <v>0</v>
      </c>
      <c r="CX42">
        <f>IF(gamma!CX42,VLOOKUP(zeta!CX$1,main!$A$3:$H$102,5,FALSE)-VLOOKUP(zeta!$A42,main!$A$3:$H$102,6,FALSE),0)</f>
        <v>0</v>
      </c>
    </row>
    <row r="43" spans="1:102" x14ac:dyDescent="0.25">
      <c r="A43">
        <f t="shared" si="1"/>
        <v>41</v>
      </c>
      <c r="B43">
        <v>0</v>
      </c>
      <c r="C43">
        <f>IF(gamma!C43,VLOOKUP(zeta!C$1,main!$A$3:$H$102,5,FALSE)-VLOOKUP(zeta!$A43,main!$A$3:$H$102,6,FALSE),0)</f>
        <v>0</v>
      </c>
      <c r="D43">
        <f>IF(gamma!D43,VLOOKUP(zeta!D$1,main!$A$3:$H$102,5,FALSE)-VLOOKUP(zeta!$A43,main!$A$3:$H$102,6,FALSE),0)</f>
        <v>0</v>
      </c>
      <c r="E43">
        <f>IF(gamma!E43,VLOOKUP(zeta!E$1,main!$A$3:$H$102,5,FALSE)-VLOOKUP(zeta!$A43,main!$A$3:$H$102,6,FALSE),0)</f>
        <v>150</v>
      </c>
      <c r="F43">
        <f>IF(gamma!F43,VLOOKUP(zeta!F$1,main!$A$3:$H$102,5,FALSE)-VLOOKUP(zeta!$A43,main!$A$3:$H$102,6,FALSE),0)</f>
        <v>170</v>
      </c>
      <c r="G43">
        <f>IF(gamma!G43,VLOOKUP(zeta!G$1,main!$A$3:$H$102,5,FALSE)-VLOOKUP(zeta!$A43,main!$A$3:$H$102,6,FALSE),0)</f>
        <v>260</v>
      </c>
      <c r="H43">
        <f>IF(gamma!H43,VLOOKUP(zeta!H$1,main!$A$3:$H$102,5,FALSE)-VLOOKUP(zeta!$A43,main!$A$3:$H$102,6,FALSE),0)</f>
        <v>350</v>
      </c>
      <c r="I43">
        <f>IF(gamma!I43,VLOOKUP(zeta!I$1,main!$A$3:$H$102,5,FALSE)-VLOOKUP(zeta!$A43,main!$A$3:$H$102,6,FALSE),0)</f>
        <v>410</v>
      </c>
      <c r="J43">
        <f>IF(gamma!J43,VLOOKUP(zeta!J$1,main!$A$3:$H$102,5,FALSE)-VLOOKUP(zeta!$A43,main!$A$3:$H$102,6,FALSE),0)</f>
        <v>470</v>
      </c>
      <c r="K43">
        <f>IF(gamma!K43,VLOOKUP(zeta!K$1,main!$A$3:$H$102,5,FALSE)-VLOOKUP(zeta!$A43,main!$A$3:$H$102,6,FALSE),0)</f>
        <v>530</v>
      </c>
      <c r="L43">
        <f>IF(gamma!L43,VLOOKUP(zeta!L$1,main!$A$3:$H$102,5,FALSE)-VLOOKUP(zeta!$A43,main!$A$3:$H$102,6,FALSE),0)</f>
        <v>620</v>
      </c>
      <c r="M43">
        <f>IF(gamma!M43,VLOOKUP(zeta!M$1,main!$A$3:$H$102,5,FALSE)-VLOOKUP(zeta!$A43,main!$A$3:$H$102,6,FALSE),0)</f>
        <v>0</v>
      </c>
      <c r="N43">
        <f>IF(gamma!N43,VLOOKUP(zeta!N$1,main!$A$3:$H$102,5,FALSE)-VLOOKUP(zeta!$A43,main!$A$3:$H$102,6,FALSE),0)</f>
        <v>0</v>
      </c>
      <c r="O43">
        <f>IF(gamma!O43,VLOOKUP(zeta!O$1,main!$A$3:$H$102,5,FALSE)-VLOOKUP(zeta!$A43,main!$A$3:$H$102,6,FALSE),0)</f>
        <v>0</v>
      </c>
      <c r="P43">
        <f>IF(gamma!P43,VLOOKUP(zeta!P$1,main!$A$3:$H$102,5,FALSE)-VLOOKUP(zeta!$A43,main!$A$3:$H$102,6,FALSE),0)</f>
        <v>105</v>
      </c>
      <c r="Q43">
        <f>IF(gamma!Q43,VLOOKUP(zeta!Q$1,main!$A$3:$H$102,5,FALSE)-VLOOKUP(zeta!$A43,main!$A$3:$H$102,6,FALSE),0)</f>
        <v>185</v>
      </c>
      <c r="R43">
        <f>IF(gamma!R43,VLOOKUP(zeta!R$1,main!$A$3:$H$102,5,FALSE)-VLOOKUP(zeta!$A43,main!$A$3:$H$102,6,FALSE),0)</f>
        <v>225</v>
      </c>
      <c r="S43">
        <f>IF(gamma!S43,VLOOKUP(zeta!S$1,main!$A$3:$H$102,5,FALSE)-VLOOKUP(zeta!$A43,main!$A$3:$H$102,6,FALSE),0)</f>
        <v>350</v>
      </c>
      <c r="T43">
        <f>IF(gamma!T43,VLOOKUP(zeta!T$1,main!$A$3:$H$102,5,FALSE)-VLOOKUP(zeta!$A43,main!$A$3:$H$102,6,FALSE),0)</f>
        <v>430</v>
      </c>
      <c r="U43">
        <f>IF(gamma!U43,VLOOKUP(zeta!U$1,main!$A$3:$H$102,5,FALSE)-VLOOKUP(zeta!$A43,main!$A$3:$H$102,6,FALSE),0)</f>
        <v>585</v>
      </c>
      <c r="V43">
        <f>IF(gamma!V43,VLOOKUP(zeta!V$1,main!$A$3:$H$102,5,FALSE)-VLOOKUP(zeta!$A43,main!$A$3:$H$102,6,FALSE),0)</f>
        <v>645</v>
      </c>
      <c r="W43">
        <f>IF(gamma!W43,VLOOKUP(zeta!W$1,main!$A$3:$H$102,5,FALSE)-VLOOKUP(zeta!$A43,main!$A$3:$H$102,6,FALSE),0)</f>
        <v>0</v>
      </c>
      <c r="X43">
        <f>IF(gamma!X43,VLOOKUP(zeta!X$1,main!$A$3:$H$102,5,FALSE)-VLOOKUP(zeta!$A43,main!$A$3:$H$102,6,FALSE),0)</f>
        <v>60</v>
      </c>
      <c r="Y43">
        <f>IF(gamma!Y43,VLOOKUP(zeta!Y$1,main!$A$3:$H$102,5,FALSE)-VLOOKUP(zeta!$A43,main!$A$3:$H$102,6,FALSE),0)</f>
        <v>220</v>
      </c>
      <c r="Z43">
        <f>IF(gamma!Z43,VLOOKUP(zeta!Z$1,main!$A$3:$H$102,5,FALSE)-VLOOKUP(zeta!$A43,main!$A$3:$H$102,6,FALSE),0)</f>
        <v>400</v>
      </c>
      <c r="AA43">
        <f>IF(gamma!AA43,VLOOKUP(zeta!AA$1,main!$A$3:$H$102,5,FALSE)-VLOOKUP(zeta!$A43,main!$A$3:$H$102,6,FALSE),0)</f>
        <v>550</v>
      </c>
      <c r="AB43">
        <f>IF(gamma!AB43,VLOOKUP(zeta!AB$1,main!$A$3:$H$102,5,FALSE)-VLOOKUP(zeta!$A43,main!$A$3:$H$102,6,FALSE),0)</f>
        <v>0</v>
      </c>
      <c r="AC43">
        <f>IF(gamma!AC43,VLOOKUP(zeta!AC$1,main!$A$3:$H$102,5,FALSE)-VLOOKUP(zeta!$A43,main!$A$3:$H$102,6,FALSE),0)</f>
        <v>0</v>
      </c>
      <c r="AD43">
        <f>IF(gamma!AD43,VLOOKUP(zeta!AD$1,main!$A$3:$H$102,5,FALSE)-VLOOKUP(zeta!$A43,main!$A$3:$H$102,6,FALSE),0)</f>
        <v>180</v>
      </c>
      <c r="AE43">
        <f>IF(gamma!AE43,VLOOKUP(zeta!AE$1,main!$A$3:$H$102,5,FALSE)-VLOOKUP(zeta!$A43,main!$A$3:$H$102,6,FALSE),0)</f>
        <v>360</v>
      </c>
      <c r="AF43">
        <f>IF(gamma!AF43,VLOOKUP(zeta!AF$1,main!$A$3:$H$102,5,FALSE)-VLOOKUP(zeta!$A43,main!$A$3:$H$102,6,FALSE),0)</f>
        <v>530</v>
      </c>
      <c r="AG43">
        <f>IF(gamma!AG43,VLOOKUP(zeta!AG$1,main!$A$3:$H$102,5,FALSE)-VLOOKUP(zeta!$A43,main!$A$3:$H$102,6,FALSE),0)</f>
        <v>0</v>
      </c>
      <c r="AH43">
        <f>IF(gamma!AH43,VLOOKUP(zeta!AH$1,main!$A$3:$H$102,5,FALSE)-VLOOKUP(zeta!$A43,main!$A$3:$H$102,6,FALSE),0)</f>
        <v>60</v>
      </c>
      <c r="AI43">
        <f>IF(gamma!AI43,VLOOKUP(zeta!AI$1,main!$A$3:$H$102,5,FALSE)-VLOOKUP(zeta!$A43,main!$A$3:$H$102,6,FALSE),0)</f>
        <v>150</v>
      </c>
      <c r="AJ43">
        <f>IF(gamma!AJ43,VLOOKUP(zeta!AJ$1,main!$A$3:$H$102,5,FALSE)-VLOOKUP(zeta!$A43,main!$A$3:$H$102,6,FALSE),0)</f>
        <v>240</v>
      </c>
      <c r="AK43">
        <f>IF(gamma!AK43,VLOOKUP(zeta!AK$1,main!$A$3:$H$102,5,FALSE)-VLOOKUP(zeta!$A43,main!$A$3:$H$102,6,FALSE),0)</f>
        <v>330</v>
      </c>
      <c r="AL43">
        <f>IF(gamma!AL43,VLOOKUP(zeta!AL$1,main!$A$3:$H$102,5,FALSE)-VLOOKUP(zeta!$A43,main!$A$3:$H$102,6,FALSE),0)</f>
        <v>420</v>
      </c>
      <c r="AM43">
        <f>IF(gamma!AM43,VLOOKUP(zeta!AM$1,main!$A$3:$H$102,5,FALSE)-VLOOKUP(zeta!$A43,main!$A$3:$H$102,6,FALSE),0)</f>
        <v>510</v>
      </c>
      <c r="AN43">
        <f>IF(gamma!AN43,VLOOKUP(zeta!AN$1,main!$A$3:$H$102,5,FALSE)-VLOOKUP(zeta!$A43,main!$A$3:$H$102,6,FALSE),0)</f>
        <v>570</v>
      </c>
      <c r="AO43">
        <f>IF(gamma!AO43,VLOOKUP(zeta!AO$1,main!$A$3:$H$102,5,FALSE)-VLOOKUP(zeta!$A43,main!$A$3:$H$102,6,FALSE),0)</f>
        <v>0</v>
      </c>
      <c r="AP43">
        <f>IF(gamma!AP43,VLOOKUP(zeta!AP$1,main!$A$3:$H$102,5,FALSE)-VLOOKUP(zeta!$A43,main!$A$3:$H$102,6,FALSE),0)</f>
        <v>630</v>
      </c>
      <c r="AQ43">
        <f>IF(gamma!AQ43,VLOOKUP(zeta!AQ$1,main!$A$3:$H$102,5,FALSE)-VLOOKUP(zeta!$A43,main!$A$3:$H$102,6,FALSE),0)</f>
        <v>0</v>
      </c>
      <c r="AR43">
        <f>IF(gamma!AR43,VLOOKUP(zeta!AR$1,main!$A$3:$H$102,5,FALSE)-VLOOKUP(zeta!$A43,main!$A$3:$H$102,6,FALSE),0)</f>
        <v>0</v>
      </c>
      <c r="AS43">
        <f>IF(gamma!AS43,VLOOKUP(zeta!AS$1,main!$A$3:$H$102,5,FALSE)-VLOOKUP(zeta!$A43,main!$A$3:$H$102,6,FALSE),0)</f>
        <v>230</v>
      </c>
      <c r="AT43">
        <f>IF(gamma!AT43,VLOOKUP(zeta!AT$1,main!$A$3:$H$102,5,FALSE)-VLOOKUP(zeta!$A43,main!$A$3:$H$102,6,FALSE),0)</f>
        <v>380</v>
      </c>
      <c r="AU43">
        <f>IF(gamma!AU43,VLOOKUP(zeta!AU$1,main!$A$3:$H$102,5,FALSE)-VLOOKUP(zeta!$A43,main!$A$3:$H$102,6,FALSE),0)</f>
        <v>0</v>
      </c>
      <c r="AV43">
        <f>IF(gamma!AV43,VLOOKUP(zeta!AV$1,main!$A$3:$H$102,5,FALSE)-VLOOKUP(zeta!$A43,main!$A$3:$H$102,6,FALSE),0)</f>
        <v>0</v>
      </c>
      <c r="AW43">
        <f>IF(gamma!AW43,VLOOKUP(zeta!AW$1,main!$A$3:$H$102,5,FALSE)-VLOOKUP(zeta!$A43,main!$A$3:$H$102,6,FALSE),0)</f>
        <v>330</v>
      </c>
      <c r="AX43">
        <f>IF(gamma!AX43,VLOOKUP(zeta!AX$1,main!$A$3:$H$102,5,FALSE)-VLOOKUP(zeta!$A43,main!$A$3:$H$102,6,FALSE),0)</f>
        <v>170</v>
      </c>
      <c r="AY43">
        <f>IF(gamma!AY43,VLOOKUP(zeta!AY$1,main!$A$3:$H$102,5,FALSE)-VLOOKUP(zeta!$A43,main!$A$3:$H$102,6,FALSE),0)</f>
        <v>0</v>
      </c>
      <c r="AZ43">
        <f>IF(gamma!AZ43,VLOOKUP(zeta!AZ$1,main!$A$3:$H$102,5,FALSE)-VLOOKUP(zeta!$A43,main!$A$3:$H$102,6,FALSE),0)</f>
        <v>160</v>
      </c>
      <c r="BA43">
        <f>IF(gamma!BA43,VLOOKUP(zeta!BA$1,main!$A$3:$H$102,5,FALSE)-VLOOKUP(zeta!$A43,main!$A$3:$H$102,6,FALSE),0)</f>
        <v>0</v>
      </c>
      <c r="BB43">
        <f>IF(gamma!BB43,VLOOKUP(zeta!BB$1,main!$A$3:$H$102,5,FALSE)-VLOOKUP(zeta!$A43,main!$A$3:$H$102,6,FALSE),0)</f>
        <v>170</v>
      </c>
      <c r="BC43">
        <f>IF(gamma!BC43,VLOOKUP(zeta!BC$1,main!$A$3:$H$102,5,FALSE)-VLOOKUP(zeta!$A43,main!$A$3:$H$102,6,FALSE),0)</f>
        <v>290</v>
      </c>
      <c r="BD43">
        <f>IF(gamma!BD43,VLOOKUP(zeta!BD$1,main!$A$3:$H$102,5,FALSE)-VLOOKUP(zeta!$A43,main!$A$3:$H$102,6,FALSE),0)</f>
        <v>350</v>
      </c>
      <c r="BE43">
        <f>IF(gamma!BE43,VLOOKUP(zeta!BE$1,main!$A$3:$H$102,5,FALSE)-VLOOKUP(zeta!$A43,main!$A$3:$H$102,6,FALSE),0)</f>
        <v>470</v>
      </c>
      <c r="BF43">
        <f>IF(gamma!BF43,VLOOKUP(zeta!BF$1,main!$A$3:$H$102,5,FALSE)-VLOOKUP(zeta!$A43,main!$A$3:$H$102,6,FALSE),0)</f>
        <v>0</v>
      </c>
      <c r="BG43">
        <f>IF(gamma!BG43,VLOOKUP(zeta!BG$1,main!$A$3:$H$102,5,FALSE)-VLOOKUP(zeta!$A43,main!$A$3:$H$102,6,FALSE),0)</f>
        <v>60</v>
      </c>
      <c r="BH43">
        <f>IF(gamma!BH43,VLOOKUP(zeta!BH$1,main!$A$3:$H$102,5,FALSE)-VLOOKUP(zeta!$A43,main!$A$3:$H$102,6,FALSE),0)</f>
        <v>255</v>
      </c>
      <c r="BI43">
        <f>IF(gamma!BI43,VLOOKUP(zeta!BI$1,main!$A$3:$H$102,5,FALSE)-VLOOKUP(zeta!$A43,main!$A$3:$H$102,6,FALSE),0)</f>
        <v>640</v>
      </c>
      <c r="BJ43">
        <f>IF(gamma!BJ43,VLOOKUP(zeta!BJ$1,main!$A$3:$H$102,5,FALSE)-VLOOKUP(zeta!$A43,main!$A$3:$H$102,6,FALSE),0)</f>
        <v>430</v>
      </c>
      <c r="BK43">
        <f>IF(gamma!BK43,VLOOKUP(zeta!BK$1,main!$A$3:$H$102,5,FALSE)-VLOOKUP(zeta!$A43,main!$A$3:$H$102,6,FALSE),0)</f>
        <v>0</v>
      </c>
      <c r="BL43">
        <f>IF(gamma!BL43,VLOOKUP(zeta!BL$1,main!$A$3:$H$102,5,FALSE)-VLOOKUP(zeta!$A43,main!$A$3:$H$102,6,FALSE),0)</f>
        <v>0</v>
      </c>
      <c r="BM43">
        <f>IF(gamma!BM43,VLOOKUP(zeta!BM$1,main!$A$3:$H$102,5,FALSE)-VLOOKUP(zeta!$A43,main!$A$3:$H$102,6,FALSE),0)</f>
        <v>75</v>
      </c>
      <c r="BN43">
        <f>IF(gamma!BN43,VLOOKUP(zeta!BN$1,main!$A$3:$H$102,5,FALSE)-VLOOKUP(zeta!$A43,main!$A$3:$H$102,6,FALSE),0)</f>
        <v>330</v>
      </c>
      <c r="BO43">
        <f>IF(gamma!BO43,VLOOKUP(zeta!BO$1,main!$A$3:$H$102,5,FALSE)-VLOOKUP(zeta!$A43,main!$A$3:$H$102,6,FALSE),0)</f>
        <v>0</v>
      </c>
      <c r="BP43">
        <f>IF(gamma!BP43,VLOOKUP(zeta!BP$1,main!$A$3:$H$102,5,FALSE)-VLOOKUP(zeta!$A43,main!$A$3:$H$102,6,FALSE),0)</f>
        <v>0</v>
      </c>
      <c r="BQ43">
        <f>IF(gamma!BQ43,VLOOKUP(zeta!BQ$1,main!$A$3:$H$102,5,FALSE)-VLOOKUP(zeta!$A43,main!$A$3:$H$102,6,FALSE),0)</f>
        <v>185</v>
      </c>
      <c r="BR43">
        <f>IF(gamma!BR43,VLOOKUP(zeta!BR$1,main!$A$3:$H$102,5,FALSE)-VLOOKUP(zeta!$A43,main!$A$3:$H$102,6,FALSE),0)</f>
        <v>220</v>
      </c>
      <c r="BS43">
        <f>IF(gamma!BS43,VLOOKUP(zeta!BS$1,main!$A$3:$H$102,5,FALSE)-VLOOKUP(zeta!$A43,main!$A$3:$H$102,6,FALSE),0)</f>
        <v>230</v>
      </c>
      <c r="BT43">
        <f>IF(gamma!BT43,VLOOKUP(zeta!BT$1,main!$A$3:$H$102,5,FALSE)-VLOOKUP(zeta!$A43,main!$A$3:$H$102,6,FALSE),0)</f>
        <v>180</v>
      </c>
      <c r="BU43">
        <f>IF(gamma!BU43,VLOOKUP(zeta!BU$1,main!$A$3:$H$102,5,FALSE)-VLOOKUP(zeta!$A43,main!$A$3:$H$102,6,FALSE),0)</f>
        <v>0</v>
      </c>
      <c r="BV43">
        <f>IF(gamma!BV43,VLOOKUP(zeta!BV$1,main!$A$3:$H$102,5,FALSE)-VLOOKUP(zeta!$A43,main!$A$3:$H$102,6,FALSE),0)</f>
        <v>0</v>
      </c>
      <c r="BW43">
        <f>IF(gamma!BW43,VLOOKUP(zeta!BW$1,main!$A$3:$H$102,5,FALSE)-VLOOKUP(zeta!$A43,main!$A$3:$H$102,6,FALSE),0)</f>
        <v>30</v>
      </c>
      <c r="BX43">
        <f>IF(gamma!BX43,VLOOKUP(zeta!BX$1,main!$A$3:$H$102,5,FALSE)-VLOOKUP(zeta!$A43,main!$A$3:$H$102,6,FALSE),0)</f>
        <v>195</v>
      </c>
      <c r="BY43">
        <f>IF(gamma!BY43,VLOOKUP(zeta!BY$1,main!$A$3:$H$102,5,FALSE)-VLOOKUP(zeta!$A43,main!$A$3:$H$102,6,FALSE),0)</f>
        <v>280</v>
      </c>
      <c r="BZ43">
        <f>IF(gamma!BZ43,VLOOKUP(zeta!BZ$1,main!$A$3:$H$102,5,FALSE)-VLOOKUP(zeta!$A43,main!$A$3:$H$102,6,FALSE),0)</f>
        <v>0</v>
      </c>
      <c r="CA43">
        <f>IF(gamma!CA43,VLOOKUP(zeta!CA$1,main!$A$3:$H$102,5,FALSE)-VLOOKUP(zeta!$A43,main!$A$3:$H$102,6,FALSE),0)</f>
        <v>15</v>
      </c>
      <c r="CB43">
        <f>IF(gamma!CB43,VLOOKUP(zeta!CB$1,main!$A$3:$H$102,5,FALSE)-VLOOKUP(zeta!$A43,main!$A$3:$H$102,6,FALSE),0)</f>
        <v>335</v>
      </c>
      <c r="CC43">
        <f>IF(gamma!CC43,VLOOKUP(zeta!CC$1,main!$A$3:$H$102,5,FALSE)-VLOOKUP(zeta!$A43,main!$A$3:$H$102,6,FALSE),0)</f>
        <v>545</v>
      </c>
      <c r="CD43">
        <f>IF(gamma!CD43,VLOOKUP(zeta!CD$1,main!$A$3:$H$102,5,FALSE)-VLOOKUP(zeta!$A43,main!$A$3:$H$102,6,FALSE),0)</f>
        <v>280</v>
      </c>
      <c r="CE43">
        <f>IF(gamma!CE43,VLOOKUP(zeta!CE$1,main!$A$3:$H$102,5,FALSE)-VLOOKUP(zeta!$A43,main!$A$3:$H$102,6,FALSE),0)</f>
        <v>150</v>
      </c>
      <c r="CF43">
        <f>IF(gamma!CF43,VLOOKUP(zeta!CF$1,main!$A$3:$H$102,5,FALSE)-VLOOKUP(zeta!$A43,main!$A$3:$H$102,6,FALSE),0)</f>
        <v>180</v>
      </c>
      <c r="CG43">
        <f>IF(gamma!CG43,VLOOKUP(zeta!CG$1,main!$A$3:$H$102,5,FALSE)-VLOOKUP(zeta!$A43,main!$A$3:$H$102,6,FALSE),0)</f>
        <v>230</v>
      </c>
      <c r="CH43">
        <f>IF(gamma!CH43,VLOOKUP(zeta!CH$1,main!$A$3:$H$102,5,FALSE)-VLOOKUP(zeta!$A43,main!$A$3:$H$102,6,FALSE),0)</f>
        <v>430</v>
      </c>
      <c r="CI43">
        <f>IF(gamma!CI43,VLOOKUP(zeta!CI$1,main!$A$3:$H$102,5,FALSE)-VLOOKUP(zeta!$A43,main!$A$3:$H$102,6,FALSE),0)</f>
        <v>630</v>
      </c>
      <c r="CJ43">
        <f>IF(gamma!CJ43,VLOOKUP(zeta!CJ$1,main!$A$3:$H$102,5,FALSE)-VLOOKUP(zeta!$A43,main!$A$3:$H$102,6,FALSE),0)</f>
        <v>220</v>
      </c>
      <c r="CK43">
        <f>IF(gamma!CK43,VLOOKUP(zeta!CK$1,main!$A$3:$H$102,5,FALSE)-VLOOKUP(zeta!$A43,main!$A$3:$H$102,6,FALSE),0)</f>
        <v>114</v>
      </c>
      <c r="CL43">
        <f>IF(gamma!CL43,VLOOKUP(zeta!CL$1,main!$A$3:$H$102,5,FALSE)-VLOOKUP(zeta!$A43,main!$A$3:$H$102,6,FALSE),0)</f>
        <v>230</v>
      </c>
      <c r="CM43">
        <f>IF(gamma!CM43,VLOOKUP(zeta!CM$1,main!$A$3:$H$102,5,FALSE)-VLOOKUP(zeta!$A43,main!$A$3:$H$102,6,FALSE),0)</f>
        <v>406</v>
      </c>
      <c r="CN43">
        <f>IF(gamma!CN43,VLOOKUP(zeta!CN$1,main!$A$3:$H$102,5,FALSE)-VLOOKUP(zeta!$A43,main!$A$3:$H$102,6,FALSE),0)</f>
        <v>630</v>
      </c>
      <c r="CO43">
        <f>IF(gamma!CO43,VLOOKUP(zeta!CO$1,main!$A$3:$H$102,5,FALSE)-VLOOKUP(zeta!$A43,main!$A$3:$H$102,6,FALSE),0)</f>
        <v>0</v>
      </c>
      <c r="CP43">
        <f>IF(gamma!CP43,VLOOKUP(zeta!CP$1,main!$A$3:$H$102,5,FALSE)-VLOOKUP(zeta!$A43,main!$A$3:$H$102,6,FALSE),0)</f>
        <v>195</v>
      </c>
      <c r="CQ43">
        <f>IF(gamma!CQ43,VLOOKUP(zeta!CQ$1,main!$A$3:$H$102,5,FALSE)-VLOOKUP(zeta!$A43,main!$A$3:$H$102,6,FALSE),0)</f>
        <v>210</v>
      </c>
      <c r="CR43">
        <f>IF(gamma!CR43,VLOOKUP(zeta!CR$1,main!$A$3:$H$102,5,FALSE)-VLOOKUP(zeta!$A43,main!$A$3:$H$102,6,FALSE),0)</f>
        <v>395</v>
      </c>
      <c r="CS43">
        <f>IF(gamma!CS43,VLOOKUP(zeta!CS$1,main!$A$3:$H$102,5,FALSE)-VLOOKUP(zeta!$A43,main!$A$3:$H$102,6,FALSE),0)</f>
        <v>405</v>
      </c>
      <c r="CT43">
        <f>IF(gamma!CT43,VLOOKUP(zeta!CT$1,main!$A$3:$H$102,5,FALSE)-VLOOKUP(zeta!$A43,main!$A$3:$H$102,6,FALSE),0)</f>
        <v>0</v>
      </c>
      <c r="CU43">
        <f>IF(gamma!CU43,VLOOKUP(zeta!CU$1,main!$A$3:$H$102,5,FALSE)-VLOOKUP(zeta!$A43,main!$A$3:$H$102,6,FALSE),0)</f>
        <v>0</v>
      </c>
      <c r="CV43">
        <f>IF(gamma!CV43,VLOOKUP(zeta!CV$1,main!$A$3:$H$102,5,FALSE)-VLOOKUP(zeta!$A43,main!$A$3:$H$102,6,FALSE),0)</f>
        <v>210</v>
      </c>
      <c r="CW43">
        <f>IF(gamma!CW43,VLOOKUP(zeta!CW$1,main!$A$3:$H$102,5,FALSE)-VLOOKUP(zeta!$A43,main!$A$3:$H$102,6,FALSE),0)</f>
        <v>395</v>
      </c>
      <c r="CX43">
        <f>IF(gamma!CX43,VLOOKUP(zeta!CX$1,main!$A$3:$H$102,5,FALSE)-VLOOKUP(zeta!$A43,main!$A$3:$H$102,6,FALSE),0)</f>
        <v>435</v>
      </c>
    </row>
    <row r="44" spans="1:102" x14ac:dyDescent="0.25">
      <c r="A44">
        <f t="shared" si="1"/>
        <v>42</v>
      </c>
      <c r="B44">
        <v>0</v>
      </c>
      <c r="C44">
        <f>IF(gamma!C44,VLOOKUP(zeta!C$1,main!$A$3:$H$102,5,FALSE)-VLOOKUP(zeta!$A44,main!$A$3:$H$102,6,FALSE),0)</f>
        <v>0</v>
      </c>
      <c r="D44">
        <f>IF(gamma!D44,VLOOKUP(zeta!D$1,main!$A$3:$H$102,5,FALSE)-VLOOKUP(zeta!$A44,main!$A$3:$H$102,6,FALSE),0)</f>
        <v>0</v>
      </c>
      <c r="E44">
        <f>IF(gamma!E44,VLOOKUP(zeta!E$1,main!$A$3:$H$102,5,FALSE)-VLOOKUP(zeta!$A44,main!$A$3:$H$102,6,FALSE),0)</f>
        <v>0</v>
      </c>
      <c r="F44">
        <f>IF(gamma!F44,VLOOKUP(zeta!F$1,main!$A$3:$H$102,5,FALSE)-VLOOKUP(zeta!$A44,main!$A$3:$H$102,6,FALSE),0)</f>
        <v>0</v>
      </c>
      <c r="G44">
        <f>IF(gamma!G44,VLOOKUP(zeta!G$1,main!$A$3:$H$102,5,FALSE)-VLOOKUP(zeta!$A44,main!$A$3:$H$102,6,FALSE),0)</f>
        <v>95</v>
      </c>
      <c r="H44">
        <f>IF(gamma!H44,VLOOKUP(zeta!H$1,main!$A$3:$H$102,5,FALSE)-VLOOKUP(zeta!$A44,main!$A$3:$H$102,6,FALSE),0)</f>
        <v>185</v>
      </c>
      <c r="I44">
        <f>IF(gamma!I44,VLOOKUP(zeta!I$1,main!$A$3:$H$102,5,FALSE)-VLOOKUP(zeta!$A44,main!$A$3:$H$102,6,FALSE),0)</f>
        <v>245</v>
      </c>
      <c r="J44">
        <f>IF(gamma!J44,VLOOKUP(zeta!J$1,main!$A$3:$H$102,5,FALSE)-VLOOKUP(zeta!$A44,main!$A$3:$H$102,6,FALSE),0)</f>
        <v>305</v>
      </c>
      <c r="K44">
        <f>IF(gamma!K44,VLOOKUP(zeta!K$1,main!$A$3:$H$102,5,FALSE)-VLOOKUP(zeta!$A44,main!$A$3:$H$102,6,FALSE),0)</f>
        <v>365</v>
      </c>
      <c r="L44">
        <f>IF(gamma!L44,VLOOKUP(zeta!L$1,main!$A$3:$H$102,5,FALSE)-VLOOKUP(zeta!$A44,main!$A$3:$H$102,6,FALSE),0)</f>
        <v>455</v>
      </c>
      <c r="M44">
        <f>IF(gamma!M44,VLOOKUP(zeta!M$1,main!$A$3:$H$102,5,FALSE)-VLOOKUP(zeta!$A44,main!$A$3:$H$102,6,FALSE),0)</f>
        <v>0</v>
      </c>
      <c r="N44">
        <f>IF(gamma!N44,VLOOKUP(zeta!N$1,main!$A$3:$H$102,5,FALSE)-VLOOKUP(zeta!$A44,main!$A$3:$H$102,6,FALSE),0)</f>
        <v>0</v>
      </c>
      <c r="O44">
        <f>IF(gamma!O44,VLOOKUP(zeta!O$1,main!$A$3:$H$102,5,FALSE)-VLOOKUP(zeta!$A44,main!$A$3:$H$102,6,FALSE),0)</f>
        <v>0</v>
      </c>
      <c r="P44">
        <f>IF(gamma!P44,VLOOKUP(zeta!P$1,main!$A$3:$H$102,5,FALSE)-VLOOKUP(zeta!$A44,main!$A$3:$H$102,6,FALSE),0)</f>
        <v>0</v>
      </c>
      <c r="Q44">
        <f>IF(gamma!Q44,VLOOKUP(zeta!Q$1,main!$A$3:$H$102,5,FALSE)-VLOOKUP(zeta!$A44,main!$A$3:$H$102,6,FALSE),0)</f>
        <v>0</v>
      </c>
      <c r="R44">
        <f>IF(gamma!R44,VLOOKUP(zeta!R$1,main!$A$3:$H$102,5,FALSE)-VLOOKUP(zeta!$A44,main!$A$3:$H$102,6,FALSE),0)</f>
        <v>60</v>
      </c>
      <c r="S44">
        <f>IF(gamma!S44,VLOOKUP(zeta!S$1,main!$A$3:$H$102,5,FALSE)-VLOOKUP(zeta!$A44,main!$A$3:$H$102,6,FALSE),0)</f>
        <v>185</v>
      </c>
      <c r="T44">
        <f>IF(gamma!T44,VLOOKUP(zeta!T$1,main!$A$3:$H$102,5,FALSE)-VLOOKUP(zeta!$A44,main!$A$3:$H$102,6,FALSE),0)</f>
        <v>265</v>
      </c>
      <c r="U44">
        <f>IF(gamma!U44,VLOOKUP(zeta!U$1,main!$A$3:$H$102,5,FALSE)-VLOOKUP(zeta!$A44,main!$A$3:$H$102,6,FALSE),0)</f>
        <v>420</v>
      </c>
      <c r="V44">
        <f>IF(gamma!V44,VLOOKUP(zeta!V$1,main!$A$3:$H$102,5,FALSE)-VLOOKUP(zeta!$A44,main!$A$3:$H$102,6,FALSE),0)</f>
        <v>480</v>
      </c>
      <c r="W44">
        <f>IF(gamma!W44,VLOOKUP(zeta!W$1,main!$A$3:$H$102,5,FALSE)-VLOOKUP(zeta!$A44,main!$A$3:$H$102,6,FALSE),0)</f>
        <v>0</v>
      </c>
      <c r="X44">
        <f>IF(gamma!X44,VLOOKUP(zeta!X$1,main!$A$3:$H$102,5,FALSE)-VLOOKUP(zeta!$A44,main!$A$3:$H$102,6,FALSE),0)</f>
        <v>0</v>
      </c>
      <c r="Y44">
        <f>IF(gamma!Y44,VLOOKUP(zeta!Y$1,main!$A$3:$H$102,5,FALSE)-VLOOKUP(zeta!$A44,main!$A$3:$H$102,6,FALSE),0)</f>
        <v>55</v>
      </c>
      <c r="Z44">
        <f>IF(gamma!Z44,VLOOKUP(zeta!Z$1,main!$A$3:$H$102,5,FALSE)-VLOOKUP(zeta!$A44,main!$A$3:$H$102,6,FALSE),0)</f>
        <v>235</v>
      </c>
      <c r="AA44">
        <f>IF(gamma!AA44,VLOOKUP(zeta!AA$1,main!$A$3:$H$102,5,FALSE)-VLOOKUP(zeta!$A44,main!$A$3:$H$102,6,FALSE),0)</f>
        <v>385</v>
      </c>
      <c r="AB44">
        <f>IF(gamma!AB44,VLOOKUP(zeta!AB$1,main!$A$3:$H$102,5,FALSE)-VLOOKUP(zeta!$A44,main!$A$3:$H$102,6,FALSE),0)</f>
        <v>0</v>
      </c>
      <c r="AC44">
        <f>IF(gamma!AC44,VLOOKUP(zeta!AC$1,main!$A$3:$H$102,5,FALSE)-VLOOKUP(zeta!$A44,main!$A$3:$H$102,6,FALSE),0)</f>
        <v>0</v>
      </c>
      <c r="AD44">
        <f>IF(gamma!AD44,VLOOKUP(zeta!AD$1,main!$A$3:$H$102,5,FALSE)-VLOOKUP(zeta!$A44,main!$A$3:$H$102,6,FALSE),0)</f>
        <v>0</v>
      </c>
      <c r="AE44">
        <f>IF(gamma!AE44,VLOOKUP(zeta!AE$1,main!$A$3:$H$102,5,FALSE)-VLOOKUP(zeta!$A44,main!$A$3:$H$102,6,FALSE),0)</f>
        <v>195</v>
      </c>
      <c r="AF44">
        <f>IF(gamma!AF44,VLOOKUP(zeta!AF$1,main!$A$3:$H$102,5,FALSE)-VLOOKUP(zeta!$A44,main!$A$3:$H$102,6,FALSE),0)</f>
        <v>365</v>
      </c>
      <c r="AG44">
        <f>IF(gamma!AG44,VLOOKUP(zeta!AG$1,main!$A$3:$H$102,5,FALSE)-VLOOKUP(zeta!$A44,main!$A$3:$H$102,6,FALSE),0)</f>
        <v>0</v>
      </c>
      <c r="AH44">
        <f>IF(gamma!AH44,VLOOKUP(zeta!AH$1,main!$A$3:$H$102,5,FALSE)-VLOOKUP(zeta!$A44,main!$A$3:$H$102,6,FALSE),0)</f>
        <v>0</v>
      </c>
      <c r="AI44">
        <f>IF(gamma!AI44,VLOOKUP(zeta!AI$1,main!$A$3:$H$102,5,FALSE)-VLOOKUP(zeta!$A44,main!$A$3:$H$102,6,FALSE),0)</f>
        <v>0</v>
      </c>
      <c r="AJ44">
        <f>IF(gamma!AJ44,VLOOKUP(zeta!AJ$1,main!$A$3:$H$102,5,FALSE)-VLOOKUP(zeta!$A44,main!$A$3:$H$102,6,FALSE),0)</f>
        <v>75</v>
      </c>
      <c r="AK44">
        <f>IF(gamma!AK44,VLOOKUP(zeta!AK$1,main!$A$3:$H$102,5,FALSE)-VLOOKUP(zeta!$A44,main!$A$3:$H$102,6,FALSE),0)</f>
        <v>165</v>
      </c>
      <c r="AL44">
        <f>IF(gamma!AL44,VLOOKUP(zeta!AL$1,main!$A$3:$H$102,5,FALSE)-VLOOKUP(zeta!$A44,main!$A$3:$H$102,6,FALSE),0)</f>
        <v>255</v>
      </c>
      <c r="AM44">
        <f>IF(gamma!AM44,VLOOKUP(zeta!AM$1,main!$A$3:$H$102,5,FALSE)-VLOOKUP(zeta!$A44,main!$A$3:$H$102,6,FALSE),0)</f>
        <v>345</v>
      </c>
      <c r="AN44">
        <f>IF(gamma!AN44,VLOOKUP(zeta!AN$1,main!$A$3:$H$102,5,FALSE)-VLOOKUP(zeta!$A44,main!$A$3:$H$102,6,FALSE),0)</f>
        <v>405</v>
      </c>
      <c r="AO44">
        <f>IF(gamma!AO44,VLOOKUP(zeta!AO$1,main!$A$3:$H$102,5,FALSE)-VLOOKUP(zeta!$A44,main!$A$3:$H$102,6,FALSE),0)</f>
        <v>0</v>
      </c>
      <c r="AP44">
        <f>IF(gamma!AP44,VLOOKUP(zeta!AP$1,main!$A$3:$H$102,5,FALSE)-VLOOKUP(zeta!$A44,main!$A$3:$H$102,6,FALSE),0)</f>
        <v>465</v>
      </c>
      <c r="AQ44">
        <f>IF(gamma!AQ44,VLOOKUP(zeta!AQ$1,main!$A$3:$H$102,5,FALSE)-VLOOKUP(zeta!$A44,main!$A$3:$H$102,6,FALSE),0)</f>
        <v>0</v>
      </c>
      <c r="AR44">
        <f>IF(gamma!AR44,VLOOKUP(zeta!AR$1,main!$A$3:$H$102,5,FALSE)-VLOOKUP(zeta!$A44,main!$A$3:$H$102,6,FALSE),0)</f>
        <v>0</v>
      </c>
      <c r="AS44">
        <f>IF(gamma!AS44,VLOOKUP(zeta!AS$1,main!$A$3:$H$102,5,FALSE)-VLOOKUP(zeta!$A44,main!$A$3:$H$102,6,FALSE),0)</f>
        <v>65</v>
      </c>
      <c r="AT44">
        <f>IF(gamma!AT44,VLOOKUP(zeta!AT$1,main!$A$3:$H$102,5,FALSE)-VLOOKUP(zeta!$A44,main!$A$3:$H$102,6,FALSE),0)</f>
        <v>215</v>
      </c>
      <c r="AU44">
        <f>IF(gamma!AU44,VLOOKUP(zeta!AU$1,main!$A$3:$H$102,5,FALSE)-VLOOKUP(zeta!$A44,main!$A$3:$H$102,6,FALSE),0)</f>
        <v>0</v>
      </c>
      <c r="AV44">
        <f>IF(gamma!AV44,VLOOKUP(zeta!AV$1,main!$A$3:$H$102,5,FALSE)-VLOOKUP(zeta!$A44,main!$A$3:$H$102,6,FALSE),0)</f>
        <v>0</v>
      </c>
      <c r="AW44">
        <f>IF(gamma!AW44,VLOOKUP(zeta!AW$1,main!$A$3:$H$102,5,FALSE)-VLOOKUP(zeta!$A44,main!$A$3:$H$102,6,FALSE),0)</f>
        <v>165</v>
      </c>
      <c r="AX44">
        <f>IF(gamma!AX44,VLOOKUP(zeta!AX$1,main!$A$3:$H$102,5,FALSE)-VLOOKUP(zeta!$A44,main!$A$3:$H$102,6,FALSE),0)</f>
        <v>0</v>
      </c>
      <c r="AY44">
        <f>IF(gamma!AY44,VLOOKUP(zeta!AY$1,main!$A$3:$H$102,5,FALSE)-VLOOKUP(zeta!$A44,main!$A$3:$H$102,6,FALSE),0)</f>
        <v>0</v>
      </c>
      <c r="AZ44">
        <f>IF(gamma!AZ44,VLOOKUP(zeta!AZ$1,main!$A$3:$H$102,5,FALSE)-VLOOKUP(zeta!$A44,main!$A$3:$H$102,6,FALSE),0)</f>
        <v>0</v>
      </c>
      <c r="BA44">
        <f>IF(gamma!BA44,VLOOKUP(zeta!BA$1,main!$A$3:$H$102,5,FALSE)-VLOOKUP(zeta!$A44,main!$A$3:$H$102,6,FALSE),0)</f>
        <v>0</v>
      </c>
      <c r="BB44">
        <f>IF(gamma!BB44,VLOOKUP(zeta!BB$1,main!$A$3:$H$102,5,FALSE)-VLOOKUP(zeta!$A44,main!$A$3:$H$102,6,FALSE),0)</f>
        <v>0</v>
      </c>
      <c r="BC44">
        <f>IF(gamma!BC44,VLOOKUP(zeta!BC$1,main!$A$3:$H$102,5,FALSE)-VLOOKUP(zeta!$A44,main!$A$3:$H$102,6,FALSE),0)</f>
        <v>125</v>
      </c>
      <c r="BD44">
        <f>IF(gamma!BD44,VLOOKUP(zeta!BD$1,main!$A$3:$H$102,5,FALSE)-VLOOKUP(zeta!$A44,main!$A$3:$H$102,6,FALSE),0)</f>
        <v>185</v>
      </c>
      <c r="BE44">
        <f>IF(gamma!BE44,VLOOKUP(zeta!BE$1,main!$A$3:$H$102,5,FALSE)-VLOOKUP(zeta!$A44,main!$A$3:$H$102,6,FALSE),0)</f>
        <v>305</v>
      </c>
      <c r="BF44">
        <f>IF(gamma!BF44,VLOOKUP(zeta!BF$1,main!$A$3:$H$102,5,FALSE)-VLOOKUP(zeta!$A44,main!$A$3:$H$102,6,FALSE),0)</f>
        <v>0</v>
      </c>
      <c r="BG44">
        <f>IF(gamma!BG44,VLOOKUP(zeta!BG$1,main!$A$3:$H$102,5,FALSE)-VLOOKUP(zeta!$A44,main!$A$3:$H$102,6,FALSE),0)</f>
        <v>0</v>
      </c>
      <c r="BH44">
        <f>IF(gamma!BH44,VLOOKUP(zeta!BH$1,main!$A$3:$H$102,5,FALSE)-VLOOKUP(zeta!$A44,main!$A$3:$H$102,6,FALSE),0)</f>
        <v>90</v>
      </c>
      <c r="BI44">
        <f>IF(gamma!BI44,VLOOKUP(zeta!BI$1,main!$A$3:$H$102,5,FALSE)-VLOOKUP(zeta!$A44,main!$A$3:$H$102,6,FALSE),0)</f>
        <v>475</v>
      </c>
      <c r="BJ44">
        <f>IF(gamma!BJ44,VLOOKUP(zeta!BJ$1,main!$A$3:$H$102,5,FALSE)-VLOOKUP(zeta!$A44,main!$A$3:$H$102,6,FALSE),0)</f>
        <v>265</v>
      </c>
      <c r="BK44">
        <f>IF(gamma!BK44,VLOOKUP(zeta!BK$1,main!$A$3:$H$102,5,FALSE)-VLOOKUP(zeta!$A44,main!$A$3:$H$102,6,FALSE),0)</f>
        <v>0</v>
      </c>
      <c r="BL44">
        <f>IF(gamma!BL44,VLOOKUP(zeta!BL$1,main!$A$3:$H$102,5,FALSE)-VLOOKUP(zeta!$A44,main!$A$3:$H$102,6,FALSE),0)</f>
        <v>0</v>
      </c>
      <c r="BM44">
        <f>IF(gamma!BM44,VLOOKUP(zeta!BM$1,main!$A$3:$H$102,5,FALSE)-VLOOKUP(zeta!$A44,main!$A$3:$H$102,6,FALSE),0)</f>
        <v>0</v>
      </c>
      <c r="BN44">
        <f>IF(gamma!BN44,VLOOKUP(zeta!BN$1,main!$A$3:$H$102,5,FALSE)-VLOOKUP(zeta!$A44,main!$A$3:$H$102,6,FALSE),0)</f>
        <v>165</v>
      </c>
      <c r="BO44">
        <f>IF(gamma!BO44,VLOOKUP(zeta!BO$1,main!$A$3:$H$102,5,FALSE)-VLOOKUP(zeta!$A44,main!$A$3:$H$102,6,FALSE),0)</f>
        <v>0</v>
      </c>
      <c r="BP44">
        <f>IF(gamma!BP44,VLOOKUP(zeta!BP$1,main!$A$3:$H$102,5,FALSE)-VLOOKUP(zeta!$A44,main!$A$3:$H$102,6,FALSE),0)</f>
        <v>0</v>
      </c>
      <c r="BQ44">
        <f>IF(gamma!BQ44,VLOOKUP(zeta!BQ$1,main!$A$3:$H$102,5,FALSE)-VLOOKUP(zeta!$A44,main!$A$3:$H$102,6,FALSE),0)</f>
        <v>20</v>
      </c>
      <c r="BR44">
        <f>IF(gamma!BR44,VLOOKUP(zeta!BR$1,main!$A$3:$H$102,5,FALSE)-VLOOKUP(zeta!$A44,main!$A$3:$H$102,6,FALSE),0)</f>
        <v>55</v>
      </c>
      <c r="BS44">
        <f>IF(gamma!BS44,VLOOKUP(zeta!BS$1,main!$A$3:$H$102,5,FALSE)-VLOOKUP(zeta!$A44,main!$A$3:$H$102,6,FALSE),0)</f>
        <v>65</v>
      </c>
      <c r="BT44">
        <f>IF(gamma!BT44,VLOOKUP(zeta!BT$1,main!$A$3:$H$102,5,FALSE)-VLOOKUP(zeta!$A44,main!$A$3:$H$102,6,FALSE),0)</f>
        <v>15</v>
      </c>
      <c r="BU44">
        <f>IF(gamma!BU44,VLOOKUP(zeta!BU$1,main!$A$3:$H$102,5,FALSE)-VLOOKUP(zeta!$A44,main!$A$3:$H$102,6,FALSE),0)</f>
        <v>0</v>
      </c>
      <c r="BV44">
        <f>IF(gamma!BV44,VLOOKUP(zeta!BV$1,main!$A$3:$H$102,5,FALSE)-VLOOKUP(zeta!$A44,main!$A$3:$H$102,6,FALSE),0)</f>
        <v>0</v>
      </c>
      <c r="BW44">
        <f>IF(gamma!BW44,VLOOKUP(zeta!BW$1,main!$A$3:$H$102,5,FALSE)-VLOOKUP(zeta!$A44,main!$A$3:$H$102,6,FALSE),0)</f>
        <v>0</v>
      </c>
      <c r="BX44">
        <f>IF(gamma!BX44,VLOOKUP(zeta!BX$1,main!$A$3:$H$102,5,FALSE)-VLOOKUP(zeta!$A44,main!$A$3:$H$102,6,FALSE),0)</f>
        <v>30</v>
      </c>
      <c r="BY44">
        <f>IF(gamma!BY44,VLOOKUP(zeta!BY$1,main!$A$3:$H$102,5,FALSE)-VLOOKUP(zeta!$A44,main!$A$3:$H$102,6,FALSE),0)</f>
        <v>115</v>
      </c>
      <c r="BZ44">
        <f>IF(gamma!BZ44,VLOOKUP(zeta!BZ$1,main!$A$3:$H$102,5,FALSE)-VLOOKUP(zeta!$A44,main!$A$3:$H$102,6,FALSE),0)</f>
        <v>0</v>
      </c>
      <c r="CA44">
        <f>IF(gamma!CA44,VLOOKUP(zeta!CA$1,main!$A$3:$H$102,5,FALSE)-VLOOKUP(zeta!$A44,main!$A$3:$H$102,6,FALSE),0)</f>
        <v>0</v>
      </c>
      <c r="CB44">
        <f>IF(gamma!CB44,VLOOKUP(zeta!CB$1,main!$A$3:$H$102,5,FALSE)-VLOOKUP(zeta!$A44,main!$A$3:$H$102,6,FALSE),0)</f>
        <v>170</v>
      </c>
      <c r="CC44">
        <f>IF(gamma!CC44,VLOOKUP(zeta!CC$1,main!$A$3:$H$102,5,FALSE)-VLOOKUP(zeta!$A44,main!$A$3:$H$102,6,FALSE),0)</f>
        <v>380</v>
      </c>
      <c r="CD44">
        <f>IF(gamma!CD44,VLOOKUP(zeta!CD$1,main!$A$3:$H$102,5,FALSE)-VLOOKUP(zeta!$A44,main!$A$3:$H$102,6,FALSE),0)</f>
        <v>115</v>
      </c>
      <c r="CE44">
        <f>IF(gamma!CE44,VLOOKUP(zeta!CE$1,main!$A$3:$H$102,5,FALSE)-VLOOKUP(zeta!$A44,main!$A$3:$H$102,6,FALSE),0)</f>
        <v>0</v>
      </c>
      <c r="CF44">
        <f>IF(gamma!CF44,VLOOKUP(zeta!CF$1,main!$A$3:$H$102,5,FALSE)-VLOOKUP(zeta!$A44,main!$A$3:$H$102,6,FALSE),0)</f>
        <v>0</v>
      </c>
      <c r="CG44">
        <f>IF(gamma!CG44,VLOOKUP(zeta!CG$1,main!$A$3:$H$102,5,FALSE)-VLOOKUP(zeta!$A44,main!$A$3:$H$102,6,FALSE),0)</f>
        <v>65</v>
      </c>
      <c r="CH44">
        <f>IF(gamma!CH44,VLOOKUP(zeta!CH$1,main!$A$3:$H$102,5,FALSE)-VLOOKUP(zeta!$A44,main!$A$3:$H$102,6,FALSE),0)</f>
        <v>265</v>
      </c>
      <c r="CI44">
        <f>IF(gamma!CI44,VLOOKUP(zeta!CI$1,main!$A$3:$H$102,5,FALSE)-VLOOKUP(zeta!$A44,main!$A$3:$H$102,6,FALSE),0)</f>
        <v>465</v>
      </c>
      <c r="CJ44">
        <f>IF(gamma!CJ44,VLOOKUP(zeta!CJ$1,main!$A$3:$H$102,5,FALSE)-VLOOKUP(zeta!$A44,main!$A$3:$H$102,6,FALSE),0)</f>
        <v>55</v>
      </c>
      <c r="CK44">
        <f>IF(gamma!CK44,VLOOKUP(zeta!CK$1,main!$A$3:$H$102,5,FALSE)-VLOOKUP(zeta!$A44,main!$A$3:$H$102,6,FALSE),0)</f>
        <v>0</v>
      </c>
      <c r="CL44">
        <f>IF(gamma!CL44,VLOOKUP(zeta!CL$1,main!$A$3:$H$102,5,FALSE)-VLOOKUP(zeta!$A44,main!$A$3:$H$102,6,FALSE),0)</f>
        <v>65</v>
      </c>
      <c r="CM44">
        <f>IF(gamma!CM44,VLOOKUP(zeta!CM$1,main!$A$3:$H$102,5,FALSE)-VLOOKUP(zeta!$A44,main!$A$3:$H$102,6,FALSE),0)</f>
        <v>241</v>
      </c>
      <c r="CN44">
        <f>IF(gamma!CN44,VLOOKUP(zeta!CN$1,main!$A$3:$H$102,5,FALSE)-VLOOKUP(zeta!$A44,main!$A$3:$H$102,6,FALSE),0)</f>
        <v>465</v>
      </c>
      <c r="CO44">
        <f>IF(gamma!CO44,VLOOKUP(zeta!CO$1,main!$A$3:$H$102,5,FALSE)-VLOOKUP(zeta!$A44,main!$A$3:$H$102,6,FALSE),0)</f>
        <v>0</v>
      </c>
      <c r="CP44">
        <f>IF(gamma!CP44,VLOOKUP(zeta!CP$1,main!$A$3:$H$102,5,FALSE)-VLOOKUP(zeta!$A44,main!$A$3:$H$102,6,FALSE),0)</f>
        <v>0</v>
      </c>
      <c r="CQ44">
        <f>IF(gamma!CQ44,VLOOKUP(zeta!CQ$1,main!$A$3:$H$102,5,FALSE)-VLOOKUP(zeta!$A44,main!$A$3:$H$102,6,FALSE),0)</f>
        <v>0</v>
      </c>
      <c r="CR44">
        <f>IF(gamma!CR44,VLOOKUP(zeta!CR$1,main!$A$3:$H$102,5,FALSE)-VLOOKUP(zeta!$A44,main!$A$3:$H$102,6,FALSE),0)</f>
        <v>230</v>
      </c>
      <c r="CS44">
        <f>IF(gamma!CS44,VLOOKUP(zeta!CS$1,main!$A$3:$H$102,5,FALSE)-VLOOKUP(zeta!$A44,main!$A$3:$H$102,6,FALSE),0)</f>
        <v>240</v>
      </c>
      <c r="CT44">
        <f>IF(gamma!CT44,VLOOKUP(zeta!CT$1,main!$A$3:$H$102,5,FALSE)-VLOOKUP(zeta!$A44,main!$A$3:$H$102,6,FALSE),0)</f>
        <v>0</v>
      </c>
      <c r="CU44">
        <f>IF(gamma!CU44,VLOOKUP(zeta!CU$1,main!$A$3:$H$102,5,FALSE)-VLOOKUP(zeta!$A44,main!$A$3:$H$102,6,FALSE),0)</f>
        <v>0</v>
      </c>
      <c r="CV44">
        <f>IF(gamma!CV44,VLOOKUP(zeta!CV$1,main!$A$3:$H$102,5,FALSE)-VLOOKUP(zeta!$A44,main!$A$3:$H$102,6,FALSE),0)</f>
        <v>0</v>
      </c>
      <c r="CW44">
        <f>IF(gamma!CW44,VLOOKUP(zeta!CW$1,main!$A$3:$H$102,5,FALSE)-VLOOKUP(zeta!$A44,main!$A$3:$H$102,6,FALSE),0)</f>
        <v>230</v>
      </c>
      <c r="CX44">
        <f>IF(gamma!CX44,VLOOKUP(zeta!CX$1,main!$A$3:$H$102,5,FALSE)-VLOOKUP(zeta!$A44,main!$A$3:$H$102,6,FALSE),0)</f>
        <v>270</v>
      </c>
    </row>
    <row r="45" spans="1:102" x14ac:dyDescent="0.25">
      <c r="A45">
        <f t="shared" si="1"/>
        <v>43</v>
      </c>
      <c r="B45">
        <v>0</v>
      </c>
      <c r="C45">
        <f>IF(gamma!C45,VLOOKUP(zeta!C$1,main!$A$3:$H$102,5,FALSE)-VLOOKUP(zeta!$A45,main!$A$3:$H$102,6,FALSE),0)</f>
        <v>0</v>
      </c>
      <c r="D45">
        <f>IF(gamma!D45,VLOOKUP(zeta!D$1,main!$A$3:$H$102,5,FALSE)-VLOOKUP(zeta!$A45,main!$A$3:$H$102,6,FALSE),0)</f>
        <v>0</v>
      </c>
      <c r="E45">
        <f>IF(gamma!E45,VLOOKUP(zeta!E$1,main!$A$3:$H$102,5,FALSE)-VLOOKUP(zeta!$A45,main!$A$3:$H$102,6,FALSE),0)</f>
        <v>0</v>
      </c>
      <c r="F45">
        <f>IF(gamma!F45,VLOOKUP(zeta!F$1,main!$A$3:$H$102,5,FALSE)-VLOOKUP(zeta!$A45,main!$A$3:$H$102,6,FALSE),0)</f>
        <v>0</v>
      </c>
      <c r="G45">
        <f>IF(gamma!G45,VLOOKUP(zeta!G$1,main!$A$3:$H$102,5,FALSE)-VLOOKUP(zeta!$A45,main!$A$3:$H$102,6,FALSE),0)</f>
        <v>0</v>
      </c>
      <c r="H45">
        <f>IF(gamma!H45,VLOOKUP(zeta!H$1,main!$A$3:$H$102,5,FALSE)-VLOOKUP(zeta!$A45,main!$A$3:$H$102,6,FALSE),0)</f>
        <v>0</v>
      </c>
      <c r="I45">
        <f>IF(gamma!I45,VLOOKUP(zeta!I$1,main!$A$3:$H$102,5,FALSE)-VLOOKUP(zeta!$A45,main!$A$3:$H$102,6,FALSE),0)</f>
        <v>60</v>
      </c>
      <c r="J45">
        <f>IF(gamma!J45,VLOOKUP(zeta!J$1,main!$A$3:$H$102,5,FALSE)-VLOOKUP(zeta!$A45,main!$A$3:$H$102,6,FALSE),0)</f>
        <v>120</v>
      </c>
      <c r="K45">
        <f>IF(gamma!K45,VLOOKUP(zeta!K$1,main!$A$3:$H$102,5,FALSE)-VLOOKUP(zeta!$A45,main!$A$3:$H$102,6,FALSE),0)</f>
        <v>180</v>
      </c>
      <c r="L45">
        <f>IF(gamma!L45,VLOOKUP(zeta!L$1,main!$A$3:$H$102,5,FALSE)-VLOOKUP(zeta!$A45,main!$A$3:$H$102,6,FALSE),0)</f>
        <v>270</v>
      </c>
      <c r="M45">
        <f>IF(gamma!M45,VLOOKUP(zeta!M$1,main!$A$3:$H$102,5,FALSE)-VLOOKUP(zeta!$A45,main!$A$3:$H$102,6,FALSE),0)</f>
        <v>0</v>
      </c>
      <c r="N45">
        <f>IF(gamma!N45,VLOOKUP(zeta!N$1,main!$A$3:$H$102,5,FALSE)-VLOOKUP(zeta!$A45,main!$A$3:$H$102,6,FALSE),0)</f>
        <v>0</v>
      </c>
      <c r="O45">
        <f>IF(gamma!O45,VLOOKUP(zeta!O$1,main!$A$3:$H$102,5,FALSE)-VLOOKUP(zeta!$A45,main!$A$3:$H$102,6,FALSE),0)</f>
        <v>0</v>
      </c>
      <c r="P45">
        <f>IF(gamma!P45,VLOOKUP(zeta!P$1,main!$A$3:$H$102,5,FALSE)-VLOOKUP(zeta!$A45,main!$A$3:$H$102,6,FALSE),0)</f>
        <v>0</v>
      </c>
      <c r="Q45">
        <f>IF(gamma!Q45,VLOOKUP(zeta!Q$1,main!$A$3:$H$102,5,FALSE)-VLOOKUP(zeta!$A45,main!$A$3:$H$102,6,FALSE),0)</f>
        <v>0</v>
      </c>
      <c r="R45">
        <f>IF(gamma!R45,VLOOKUP(zeta!R$1,main!$A$3:$H$102,5,FALSE)-VLOOKUP(zeta!$A45,main!$A$3:$H$102,6,FALSE),0)</f>
        <v>0</v>
      </c>
      <c r="S45">
        <f>IF(gamma!S45,VLOOKUP(zeta!S$1,main!$A$3:$H$102,5,FALSE)-VLOOKUP(zeta!$A45,main!$A$3:$H$102,6,FALSE),0)</f>
        <v>0</v>
      </c>
      <c r="T45">
        <f>IF(gamma!T45,VLOOKUP(zeta!T$1,main!$A$3:$H$102,5,FALSE)-VLOOKUP(zeta!$A45,main!$A$3:$H$102,6,FALSE),0)</f>
        <v>80</v>
      </c>
      <c r="U45">
        <f>IF(gamma!U45,VLOOKUP(zeta!U$1,main!$A$3:$H$102,5,FALSE)-VLOOKUP(zeta!$A45,main!$A$3:$H$102,6,FALSE),0)</f>
        <v>235</v>
      </c>
      <c r="V45">
        <f>IF(gamma!V45,VLOOKUP(zeta!V$1,main!$A$3:$H$102,5,FALSE)-VLOOKUP(zeta!$A45,main!$A$3:$H$102,6,FALSE),0)</f>
        <v>295</v>
      </c>
      <c r="W45">
        <f>IF(gamma!W45,VLOOKUP(zeta!W$1,main!$A$3:$H$102,5,FALSE)-VLOOKUP(zeta!$A45,main!$A$3:$H$102,6,FALSE),0)</f>
        <v>0</v>
      </c>
      <c r="X45">
        <f>IF(gamma!X45,VLOOKUP(zeta!X$1,main!$A$3:$H$102,5,FALSE)-VLOOKUP(zeta!$A45,main!$A$3:$H$102,6,FALSE),0)</f>
        <v>0</v>
      </c>
      <c r="Y45">
        <f>IF(gamma!Y45,VLOOKUP(zeta!Y$1,main!$A$3:$H$102,5,FALSE)-VLOOKUP(zeta!$A45,main!$A$3:$H$102,6,FALSE),0)</f>
        <v>0</v>
      </c>
      <c r="Z45">
        <f>IF(gamma!Z45,VLOOKUP(zeta!Z$1,main!$A$3:$H$102,5,FALSE)-VLOOKUP(zeta!$A45,main!$A$3:$H$102,6,FALSE),0)</f>
        <v>50</v>
      </c>
      <c r="AA45">
        <f>IF(gamma!AA45,VLOOKUP(zeta!AA$1,main!$A$3:$H$102,5,FALSE)-VLOOKUP(zeta!$A45,main!$A$3:$H$102,6,FALSE),0)</f>
        <v>200</v>
      </c>
      <c r="AB45">
        <f>IF(gamma!AB45,VLOOKUP(zeta!AB$1,main!$A$3:$H$102,5,FALSE)-VLOOKUP(zeta!$A45,main!$A$3:$H$102,6,FALSE),0)</f>
        <v>0</v>
      </c>
      <c r="AC45">
        <f>IF(gamma!AC45,VLOOKUP(zeta!AC$1,main!$A$3:$H$102,5,FALSE)-VLOOKUP(zeta!$A45,main!$A$3:$H$102,6,FALSE),0)</f>
        <v>0</v>
      </c>
      <c r="AD45">
        <f>IF(gamma!AD45,VLOOKUP(zeta!AD$1,main!$A$3:$H$102,5,FALSE)-VLOOKUP(zeta!$A45,main!$A$3:$H$102,6,FALSE),0)</f>
        <v>0</v>
      </c>
      <c r="AE45">
        <f>IF(gamma!AE45,VLOOKUP(zeta!AE$1,main!$A$3:$H$102,5,FALSE)-VLOOKUP(zeta!$A45,main!$A$3:$H$102,6,FALSE),0)</f>
        <v>0</v>
      </c>
      <c r="AF45">
        <f>IF(gamma!AF45,VLOOKUP(zeta!AF$1,main!$A$3:$H$102,5,FALSE)-VLOOKUP(zeta!$A45,main!$A$3:$H$102,6,FALSE),0)</f>
        <v>180</v>
      </c>
      <c r="AG45">
        <f>IF(gamma!AG45,VLOOKUP(zeta!AG$1,main!$A$3:$H$102,5,FALSE)-VLOOKUP(zeta!$A45,main!$A$3:$H$102,6,FALSE),0)</f>
        <v>0</v>
      </c>
      <c r="AH45">
        <f>IF(gamma!AH45,VLOOKUP(zeta!AH$1,main!$A$3:$H$102,5,FALSE)-VLOOKUP(zeta!$A45,main!$A$3:$H$102,6,FALSE),0)</f>
        <v>0</v>
      </c>
      <c r="AI45">
        <f>IF(gamma!AI45,VLOOKUP(zeta!AI$1,main!$A$3:$H$102,5,FALSE)-VLOOKUP(zeta!$A45,main!$A$3:$H$102,6,FALSE),0)</f>
        <v>0</v>
      </c>
      <c r="AJ45">
        <f>IF(gamma!AJ45,VLOOKUP(zeta!AJ$1,main!$A$3:$H$102,5,FALSE)-VLOOKUP(zeta!$A45,main!$A$3:$H$102,6,FALSE),0)</f>
        <v>0</v>
      </c>
      <c r="AK45">
        <f>IF(gamma!AK45,VLOOKUP(zeta!AK$1,main!$A$3:$H$102,5,FALSE)-VLOOKUP(zeta!$A45,main!$A$3:$H$102,6,FALSE),0)</f>
        <v>0</v>
      </c>
      <c r="AL45">
        <f>IF(gamma!AL45,VLOOKUP(zeta!AL$1,main!$A$3:$H$102,5,FALSE)-VLOOKUP(zeta!$A45,main!$A$3:$H$102,6,FALSE),0)</f>
        <v>70</v>
      </c>
      <c r="AM45">
        <f>IF(gamma!AM45,VLOOKUP(zeta!AM$1,main!$A$3:$H$102,5,FALSE)-VLOOKUP(zeta!$A45,main!$A$3:$H$102,6,FALSE),0)</f>
        <v>160</v>
      </c>
      <c r="AN45">
        <f>IF(gamma!AN45,VLOOKUP(zeta!AN$1,main!$A$3:$H$102,5,FALSE)-VLOOKUP(zeta!$A45,main!$A$3:$H$102,6,FALSE),0)</f>
        <v>220</v>
      </c>
      <c r="AO45">
        <f>IF(gamma!AO45,VLOOKUP(zeta!AO$1,main!$A$3:$H$102,5,FALSE)-VLOOKUP(zeta!$A45,main!$A$3:$H$102,6,FALSE),0)</f>
        <v>0</v>
      </c>
      <c r="AP45">
        <f>IF(gamma!AP45,VLOOKUP(zeta!AP$1,main!$A$3:$H$102,5,FALSE)-VLOOKUP(zeta!$A45,main!$A$3:$H$102,6,FALSE),0)</f>
        <v>280</v>
      </c>
      <c r="AQ45">
        <f>IF(gamma!AQ45,VLOOKUP(zeta!AQ$1,main!$A$3:$H$102,5,FALSE)-VLOOKUP(zeta!$A45,main!$A$3:$H$102,6,FALSE),0)</f>
        <v>0</v>
      </c>
      <c r="AR45">
        <f>IF(gamma!AR45,VLOOKUP(zeta!AR$1,main!$A$3:$H$102,5,FALSE)-VLOOKUP(zeta!$A45,main!$A$3:$H$102,6,FALSE),0)</f>
        <v>0</v>
      </c>
      <c r="AS45">
        <f>IF(gamma!AS45,VLOOKUP(zeta!AS$1,main!$A$3:$H$102,5,FALSE)-VLOOKUP(zeta!$A45,main!$A$3:$H$102,6,FALSE),0)</f>
        <v>0</v>
      </c>
      <c r="AT45">
        <f>IF(gamma!AT45,VLOOKUP(zeta!AT$1,main!$A$3:$H$102,5,FALSE)-VLOOKUP(zeta!$A45,main!$A$3:$H$102,6,FALSE),0)</f>
        <v>0</v>
      </c>
      <c r="AU45">
        <f>IF(gamma!AU45,VLOOKUP(zeta!AU$1,main!$A$3:$H$102,5,FALSE)-VLOOKUP(zeta!$A45,main!$A$3:$H$102,6,FALSE),0)</f>
        <v>0</v>
      </c>
      <c r="AV45">
        <f>IF(gamma!AV45,VLOOKUP(zeta!AV$1,main!$A$3:$H$102,5,FALSE)-VLOOKUP(zeta!$A45,main!$A$3:$H$102,6,FALSE),0)</f>
        <v>0</v>
      </c>
      <c r="AW45">
        <f>IF(gamma!AW45,VLOOKUP(zeta!AW$1,main!$A$3:$H$102,5,FALSE)-VLOOKUP(zeta!$A45,main!$A$3:$H$102,6,FALSE),0)</f>
        <v>0</v>
      </c>
      <c r="AX45">
        <f>IF(gamma!AX45,VLOOKUP(zeta!AX$1,main!$A$3:$H$102,5,FALSE)-VLOOKUP(zeta!$A45,main!$A$3:$H$102,6,FALSE),0)</f>
        <v>0</v>
      </c>
      <c r="AY45">
        <f>IF(gamma!AY45,VLOOKUP(zeta!AY$1,main!$A$3:$H$102,5,FALSE)-VLOOKUP(zeta!$A45,main!$A$3:$H$102,6,FALSE),0)</f>
        <v>0</v>
      </c>
      <c r="AZ45">
        <f>IF(gamma!AZ45,VLOOKUP(zeta!AZ$1,main!$A$3:$H$102,5,FALSE)-VLOOKUP(zeta!$A45,main!$A$3:$H$102,6,FALSE),0)</f>
        <v>0</v>
      </c>
      <c r="BA45">
        <f>IF(gamma!BA45,VLOOKUP(zeta!BA$1,main!$A$3:$H$102,5,FALSE)-VLOOKUP(zeta!$A45,main!$A$3:$H$102,6,FALSE),0)</f>
        <v>0</v>
      </c>
      <c r="BB45">
        <f>IF(gamma!BB45,VLOOKUP(zeta!BB$1,main!$A$3:$H$102,5,FALSE)-VLOOKUP(zeta!$A45,main!$A$3:$H$102,6,FALSE),0)</f>
        <v>0</v>
      </c>
      <c r="BC45">
        <f>IF(gamma!BC45,VLOOKUP(zeta!BC$1,main!$A$3:$H$102,5,FALSE)-VLOOKUP(zeta!$A45,main!$A$3:$H$102,6,FALSE),0)</f>
        <v>0</v>
      </c>
      <c r="BD45">
        <f>IF(gamma!BD45,VLOOKUP(zeta!BD$1,main!$A$3:$H$102,5,FALSE)-VLOOKUP(zeta!$A45,main!$A$3:$H$102,6,FALSE),0)</f>
        <v>0</v>
      </c>
      <c r="BE45">
        <f>IF(gamma!BE45,VLOOKUP(zeta!BE$1,main!$A$3:$H$102,5,FALSE)-VLOOKUP(zeta!$A45,main!$A$3:$H$102,6,FALSE),0)</f>
        <v>120</v>
      </c>
      <c r="BF45">
        <f>IF(gamma!BF45,VLOOKUP(zeta!BF$1,main!$A$3:$H$102,5,FALSE)-VLOOKUP(zeta!$A45,main!$A$3:$H$102,6,FALSE),0)</f>
        <v>0</v>
      </c>
      <c r="BG45">
        <f>IF(gamma!BG45,VLOOKUP(zeta!BG$1,main!$A$3:$H$102,5,FALSE)-VLOOKUP(zeta!$A45,main!$A$3:$H$102,6,FALSE),0)</f>
        <v>0</v>
      </c>
      <c r="BH45">
        <f>IF(gamma!BH45,VLOOKUP(zeta!BH$1,main!$A$3:$H$102,5,FALSE)-VLOOKUP(zeta!$A45,main!$A$3:$H$102,6,FALSE),0)</f>
        <v>0</v>
      </c>
      <c r="BI45">
        <f>IF(gamma!BI45,VLOOKUP(zeta!BI$1,main!$A$3:$H$102,5,FALSE)-VLOOKUP(zeta!$A45,main!$A$3:$H$102,6,FALSE),0)</f>
        <v>290</v>
      </c>
      <c r="BJ45">
        <f>IF(gamma!BJ45,VLOOKUP(zeta!BJ$1,main!$A$3:$H$102,5,FALSE)-VLOOKUP(zeta!$A45,main!$A$3:$H$102,6,FALSE),0)</f>
        <v>80</v>
      </c>
      <c r="BK45">
        <f>IF(gamma!BK45,VLOOKUP(zeta!BK$1,main!$A$3:$H$102,5,FALSE)-VLOOKUP(zeta!$A45,main!$A$3:$H$102,6,FALSE),0)</f>
        <v>0</v>
      </c>
      <c r="BL45">
        <f>IF(gamma!BL45,VLOOKUP(zeta!BL$1,main!$A$3:$H$102,5,FALSE)-VLOOKUP(zeta!$A45,main!$A$3:$H$102,6,FALSE),0)</f>
        <v>0</v>
      </c>
      <c r="BM45">
        <f>IF(gamma!BM45,VLOOKUP(zeta!BM$1,main!$A$3:$H$102,5,FALSE)-VLOOKUP(zeta!$A45,main!$A$3:$H$102,6,FALSE),0)</f>
        <v>0</v>
      </c>
      <c r="BN45">
        <f>IF(gamma!BN45,VLOOKUP(zeta!BN$1,main!$A$3:$H$102,5,FALSE)-VLOOKUP(zeta!$A45,main!$A$3:$H$102,6,FALSE),0)</f>
        <v>0</v>
      </c>
      <c r="BO45">
        <f>IF(gamma!BO45,VLOOKUP(zeta!BO$1,main!$A$3:$H$102,5,FALSE)-VLOOKUP(zeta!$A45,main!$A$3:$H$102,6,FALSE),0)</f>
        <v>0</v>
      </c>
      <c r="BP45">
        <f>IF(gamma!BP45,VLOOKUP(zeta!BP$1,main!$A$3:$H$102,5,FALSE)-VLOOKUP(zeta!$A45,main!$A$3:$H$102,6,FALSE),0)</f>
        <v>0</v>
      </c>
      <c r="BQ45">
        <f>IF(gamma!BQ45,VLOOKUP(zeta!BQ$1,main!$A$3:$H$102,5,FALSE)-VLOOKUP(zeta!$A45,main!$A$3:$H$102,6,FALSE),0)</f>
        <v>0</v>
      </c>
      <c r="BR45">
        <f>IF(gamma!BR45,VLOOKUP(zeta!BR$1,main!$A$3:$H$102,5,FALSE)-VLOOKUP(zeta!$A45,main!$A$3:$H$102,6,FALSE),0)</f>
        <v>0</v>
      </c>
      <c r="BS45">
        <f>IF(gamma!BS45,VLOOKUP(zeta!BS$1,main!$A$3:$H$102,5,FALSE)-VLOOKUP(zeta!$A45,main!$A$3:$H$102,6,FALSE),0)</f>
        <v>0</v>
      </c>
      <c r="BT45">
        <f>IF(gamma!BT45,VLOOKUP(zeta!BT$1,main!$A$3:$H$102,5,FALSE)-VLOOKUP(zeta!$A45,main!$A$3:$H$102,6,FALSE),0)</f>
        <v>0</v>
      </c>
      <c r="BU45">
        <f>IF(gamma!BU45,VLOOKUP(zeta!BU$1,main!$A$3:$H$102,5,FALSE)-VLOOKUP(zeta!$A45,main!$A$3:$H$102,6,FALSE),0)</f>
        <v>0</v>
      </c>
      <c r="BV45">
        <f>IF(gamma!BV45,VLOOKUP(zeta!BV$1,main!$A$3:$H$102,5,FALSE)-VLOOKUP(zeta!$A45,main!$A$3:$H$102,6,FALSE),0)</f>
        <v>0</v>
      </c>
      <c r="BW45">
        <f>IF(gamma!BW45,VLOOKUP(zeta!BW$1,main!$A$3:$H$102,5,FALSE)-VLOOKUP(zeta!$A45,main!$A$3:$H$102,6,FALSE),0)</f>
        <v>0</v>
      </c>
      <c r="BX45">
        <f>IF(gamma!BX45,VLOOKUP(zeta!BX$1,main!$A$3:$H$102,5,FALSE)-VLOOKUP(zeta!$A45,main!$A$3:$H$102,6,FALSE),0)</f>
        <v>0</v>
      </c>
      <c r="BY45">
        <f>IF(gamma!BY45,VLOOKUP(zeta!BY$1,main!$A$3:$H$102,5,FALSE)-VLOOKUP(zeta!$A45,main!$A$3:$H$102,6,FALSE),0)</f>
        <v>0</v>
      </c>
      <c r="BZ45">
        <f>IF(gamma!BZ45,VLOOKUP(zeta!BZ$1,main!$A$3:$H$102,5,FALSE)-VLOOKUP(zeta!$A45,main!$A$3:$H$102,6,FALSE),0)</f>
        <v>0</v>
      </c>
      <c r="CA45">
        <f>IF(gamma!CA45,VLOOKUP(zeta!CA$1,main!$A$3:$H$102,5,FALSE)-VLOOKUP(zeta!$A45,main!$A$3:$H$102,6,FALSE),0)</f>
        <v>0</v>
      </c>
      <c r="CB45">
        <f>IF(gamma!CB45,VLOOKUP(zeta!CB$1,main!$A$3:$H$102,5,FALSE)-VLOOKUP(zeta!$A45,main!$A$3:$H$102,6,FALSE),0)</f>
        <v>0</v>
      </c>
      <c r="CC45">
        <f>IF(gamma!CC45,VLOOKUP(zeta!CC$1,main!$A$3:$H$102,5,FALSE)-VLOOKUP(zeta!$A45,main!$A$3:$H$102,6,FALSE),0)</f>
        <v>195</v>
      </c>
      <c r="CD45">
        <f>IF(gamma!CD45,VLOOKUP(zeta!CD$1,main!$A$3:$H$102,5,FALSE)-VLOOKUP(zeta!$A45,main!$A$3:$H$102,6,FALSE),0)</f>
        <v>0</v>
      </c>
      <c r="CE45">
        <f>IF(gamma!CE45,VLOOKUP(zeta!CE$1,main!$A$3:$H$102,5,FALSE)-VLOOKUP(zeta!$A45,main!$A$3:$H$102,6,FALSE),0)</f>
        <v>0</v>
      </c>
      <c r="CF45">
        <f>IF(gamma!CF45,VLOOKUP(zeta!CF$1,main!$A$3:$H$102,5,FALSE)-VLOOKUP(zeta!$A45,main!$A$3:$H$102,6,FALSE),0)</f>
        <v>0</v>
      </c>
      <c r="CG45">
        <f>IF(gamma!CG45,VLOOKUP(zeta!CG$1,main!$A$3:$H$102,5,FALSE)-VLOOKUP(zeta!$A45,main!$A$3:$H$102,6,FALSE),0)</f>
        <v>0</v>
      </c>
      <c r="CH45">
        <f>IF(gamma!CH45,VLOOKUP(zeta!CH$1,main!$A$3:$H$102,5,FALSE)-VLOOKUP(zeta!$A45,main!$A$3:$H$102,6,FALSE),0)</f>
        <v>80</v>
      </c>
      <c r="CI45">
        <f>IF(gamma!CI45,VLOOKUP(zeta!CI$1,main!$A$3:$H$102,5,FALSE)-VLOOKUP(zeta!$A45,main!$A$3:$H$102,6,FALSE),0)</f>
        <v>280</v>
      </c>
      <c r="CJ45">
        <f>IF(gamma!CJ45,VLOOKUP(zeta!CJ$1,main!$A$3:$H$102,5,FALSE)-VLOOKUP(zeta!$A45,main!$A$3:$H$102,6,FALSE),0)</f>
        <v>0</v>
      </c>
      <c r="CK45">
        <f>IF(gamma!CK45,VLOOKUP(zeta!CK$1,main!$A$3:$H$102,5,FALSE)-VLOOKUP(zeta!$A45,main!$A$3:$H$102,6,FALSE),0)</f>
        <v>0</v>
      </c>
      <c r="CL45">
        <f>IF(gamma!CL45,VLOOKUP(zeta!CL$1,main!$A$3:$H$102,5,FALSE)-VLOOKUP(zeta!$A45,main!$A$3:$H$102,6,FALSE),0)</f>
        <v>0</v>
      </c>
      <c r="CM45">
        <f>IF(gamma!CM45,VLOOKUP(zeta!CM$1,main!$A$3:$H$102,5,FALSE)-VLOOKUP(zeta!$A45,main!$A$3:$H$102,6,FALSE),0)</f>
        <v>56</v>
      </c>
      <c r="CN45">
        <f>IF(gamma!CN45,VLOOKUP(zeta!CN$1,main!$A$3:$H$102,5,FALSE)-VLOOKUP(zeta!$A45,main!$A$3:$H$102,6,FALSE),0)</f>
        <v>280</v>
      </c>
      <c r="CO45">
        <f>IF(gamma!CO45,VLOOKUP(zeta!CO$1,main!$A$3:$H$102,5,FALSE)-VLOOKUP(zeta!$A45,main!$A$3:$H$102,6,FALSE),0)</f>
        <v>0</v>
      </c>
      <c r="CP45">
        <f>IF(gamma!CP45,VLOOKUP(zeta!CP$1,main!$A$3:$H$102,5,FALSE)-VLOOKUP(zeta!$A45,main!$A$3:$H$102,6,FALSE),0)</f>
        <v>0</v>
      </c>
      <c r="CQ45">
        <f>IF(gamma!CQ45,VLOOKUP(zeta!CQ$1,main!$A$3:$H$102,5,FALSE)-VLOOKUP(zeta!$A45,main!$A$3:$H$102,6,FALSE),0)</f>
        <v>0</v>
      </c>
      <c r="CR45">
        <f>IF(gamma!CR45,VLOOKUP(zeta!CR$1,main!$A$3:$H$102,5,FALSE)-VLOOKUP(zeta!$A45,main!$A$3:$H$102,6,FALSE),0)</f>
        <v>0</v>
      </c>
      <c r="CS45">
        <f>IF(gamma!CS45,VLOOKUP(zeta!CS$1,main!$A$3:$H$102,5,FALSE)-VLOOKUP(zeta!$A45,main!$A$3:$H$102,6,FALSE),0)</f>
        <v>55</v>
      </c>
      <c r="CT45">
        <f>IF(gamma!CT45,VLOOKUP(zeta!CT$1,main!$A$3:$H$102,5,FALSE)-VLOOKUP(zeta!$A45,main!$A$3:$H$102,6,FALSE),0)</f>
        <v>0</v>
      </c>
      <c r="CU45">
        <f>IF(gamma!CU45,VLOOKUP(zeta!CU$1,main!$A$3:$H$102,5,FALSE)-VLOOKUP(zeta!$A45,main!$A$3:$H$102,6,FALSE),0)</f>
        <v>0</v>
      </c>
      <c r="CV45">
        <f>IF(gamma!CV45,VLOOKUP(zeta!CV$1,main!$A$3:$H$102,5,FALSE)-VLOOKUP(zeta!$A45,main!$A$3:$H$102,6,FALSE),0)</f>
        <v>0</v>
      </c>
      <c r="CW45">
        <f>IF(gamma!CW45,VLOOKUP(zeta!CW$1,main!$A$3:$H$102,5,FALSE)-VLOOKUP(zeta!$A45,main!$A$3:$H$102,6,FALSE),0)</f>
        <v>0</v>
      </c>
      <c r="CX45">
        <f>IF(gamma!CX45,VLOOKUP(zeta!CX$1,main!$A$3:$H$102,5,FALSE)-VLOOKUP(zeta!$A45,main!$A$3:$H$102,6,FALSE),0)</f>
        <v>85</v>
      </c>
    </row>
    <row r="46" spans="1:102" x14ac:dyDescent="0.25">
      <c r="A46">
        <f t="shared" si="1"/>
        <v>44</v>
      </c>
      <c r="B46">
        <v>0</v>
      </c>
      <c r="C46">
        <f>IF(gamma!C46,VLOOKUP(zeta!C$1,main!$A$3:$H$102,5,FALSE)-VLOOKUP(zeta!$A46,main!$A$3:$H$102,6,FALSE),0)</f>
        <v>0</v>
      </c>
      <c r="D46">
        <f>IF(gamma!D46,VLOOKUP(zeta!D$1,main!$A$3:$H$102,5,FALSE)-VLOOKUP(zeta!$A46,main!$A$3:$H$102,6,FALSE),0)</f>
        <v>0</v>
      </c>
      <c r="E46">
        <f>IF(gamma!E46,VLOOKUP(zeta!E$1,main!$A$3:$H$102,5,FALSE)-VLOOKUP(zeta!$A46,main!$A$3:$H$102,6,FALSE),0)</f>
        <v>0</v>
      </c>
      <c r="F46">
        <f>IF(gamma!F46,VLOOKUP(zeta!F$1,main!$A$3:$H$102,5,FALSE)-VLOOKUP(zeta!$A46,main!$A$3:$H$102,6,FALSE),0)</f>
        <v>0</v>
      </c>
      <c r="G46">
        <f>IF(gamma!G46,VLOOKUP(zeta!G$1,main!$A$3:$H$102,5,FALSE)-VLOOKUP(zeta!$A46,main!$A$3:$H$102,6,FALSE),0)</f>
        <v>0</v>
      </c>
      <c r="H46">
        <f>IF(gamma!H46,VLOOKUP(zeta!H$1,main!$A$3:$H$102,5,FALSE)-VLOOKUP(zeta!$A46,main!$A$3:$H$102,6,FALSE),0)</f>
        <v>0</v>
      </c>
      <c r="I46">
        <f>IF(gamma!I46,VLOOKUP(zeta!I$1,main!$A$3:$H$102,5,FALSE)-VLOOKUP(zeta!$A46,main!$A$3:$H$102,6,FALSE),0)</f>
        <v>0</v>
      </c>
      <c r="J46">
        <f>IF(gamma!J46,VLOOKUP(zeta!J$1,main!$A$3:$H$102,5,FALSE)-VLOOKUP(zeta!$A46,main!$A$3:$H$102,6,FALSE),0)</f>
        <v>0</v>
      </c>
      <c r="K46">
        <f>IF(gamma!K46,VLOOKUP(zeta!K$1,main!$A$3:$H$102,5,FALSE)-VLOOKUP(zeta!$A46,main!$A$3:$H$102,6,FALSE),0)</f>
        <v>0</v>
      </c>
      <c r="L46">
        <f>IF(gamma!L46,VLOOKUP(zeta!L$1,main!$A$3:$H$102,5,FALSE)-VLOOKUP(zeta!$A46,main!$A$3:$H$102,6,FALSE),0)</f>
        <v>60</v>
      </c>
      <c r="M46">
        <f>IF(gamma!M46,VLOOKUP(zeta!M$1,main!$A$3:$H$102,5,FALSE)-VLOOKUP(zeta!$A46,main!$A$3:$H$102,6,FALSE),0)</f>
        <v>0</v>
      </c>
      <c r="N46">
        <f>IF(gamma!N46,VLOOKUP(zeta!N$1,main!$A$3:$H$102,5,FALSE)-VLOOKUP(zeta!$A46,main!$A$3:$H$102,6,FALSE),0)</f>
        <v>0</v>
      </c>
      <c r="O46">
        <f>IF(gamma!O46,VLOOKUP(zeta!O$1,main!$A$3:$H$102,5,FALSE)-VLOOKUP(zeta!$A46,main!$A$3:$H$102,6,FALSE),0)</f>
        <v>0</v>
      </c>
      <c r="P46">
        <f>IF(gamma!P46,VLOOKUP(zeta!P$1,main!$A$3:$H$102,5,FALSE)-VLOOKUP(zeta!$A46,main!$A$3:$H$102,6,FALSE),0)</f>
        <v>0</v>
      </c>
      <c r="Q46">
        <f>IF(gamma!Q46,VLOOKUP(zeta!Q$1,main!$A$3:$H$102,5,FALSE)-VLOOKUP(zeta!$A46,main!$A$3:$H$102,6,FALSE),0)</f>
        <v>0</v>
      </c>
      <c r="R46">
        <f>IF(gamma!R46,VLOOKUP(zeta!R$1,main!$A$3:$H$102,5,FALSE)-VLOOKUP(zeta!$A46,main!$A$3:$H$102,6,FALSE),0)</f>
        <v>0</v>
      </c>
      <c r="S46">
        <f>IF(gamma!S46,VLOOKUP(zeta!S$1,main!$A$3:$H$102,5,FALSE)-VLOOKUP(zeta!$A46,main!$A$3:$H$102,6,FALSE),0)</f>
        <v>0</v>
      </c>
      <c r="T46">
        <f>IF(gamma!T46,VLOOKUP(zeta!T$1,main!$A$3:$H$102,5,FALSE)-VLOOKUP(zeta!$A46,main!$A$3:$H$102,6,FALSE),0)</f>
        <v>0</v>
      </c>
      <c r="U46">
        <f>IF(gamma!U46,VLOOKUP(zeta!U$1,main!$A$3:$H$102,5,FALSE)-VLOOKUP(zeta!$A46,main!$A$3:$H$102,6,FALSE),0)</f>
        <v>0</v>
      </c>
      <c r="V46">
        <f>IF(gamma!V46,VLOOKUP(zeta!V$1,main!$A$3:$H$102,5,FALSE)-VLOOKUP(zeta!$A46,main!$A$3:$H$102,6,FALSE),0)</f>
        <v>85</v>
      </c>
      <c r="W46">
        <f>IF(gamma!W46,VLOOKUP(zeta!W$1,main!$A$3:$H$102,5,FALSE)-VLOOKUP(zeta!$A46,main!$A$3:$H$102,6,FALSE),0)</f>
        <v>0</v>
      </c>
      <c r="X46">
        <f>IF(gamma!X46,VLOOKUP(zeta!X$1,main!$A$3:$H$102,5,FALSE)-VLOOKUP(zeta!$A46,main!$A$3:$H$102,6,FALSE),0)</f>
        <v>0</v>
      </c>
      <c r="Y46">
        <f>IF(gamma!Y46,VLOOKUP(zeta!Y$1,main!$A$3:$H$102,5,FALSE)-VLOOKUP(zeta!$A46,main!$A$3:$H$102,6,FALSE),0)</f>
        <v>0</v>
      </c>
      <c r="Z46">
        <f>IF(gamma!Z46,VLOOKUP(zeta!Z$1,main!$A$3:$H$102,5,FALSE)-VLOOKUP(zeta!$A46,main!$A$3:$H$102,6,FALSE),0)</f>
        <v>0</v>
      </c>
      <c r="AA46">
        <f>IF(gamma!AA46,VLOOKUP(zeta!AA$1,main!$A$3:$H$102,5,FALSE)-VLOOKUP(zeta!$A46,main!$A$3:$H$102,6,FALSE),0)</f>
        <v>0</v>
      </c>
      <c r="AB46">
        <f>IF(gamma!AB46,VLOOKUP(zeta!AB$1,main!$A$3:$H$102,5,FALSE)-VLOOKUP(zeta!$A46,main!$A$3:$H$102,6,FALSE),0)</f>
        <v>0</v>
      </c>
      <c r="AC46">
        <f>IF(gamma!AC46,VLOOKUP(zeta!AC$1,main!$A$3:$H$102,5,FALSE)-VLOOKUP(zeta!$A46,main!$A$3:$H$102,6,FALSE),0)</f>
        <v>0</v>
      </c>
      <c r="AD46">
        <f>IF(gamma!AD46,VLOOKUP(zeta!AD$1,main!$A$3:$H$102,5,FALSE)-VLOOKUP(zeta!$A46,main!$A$3:$H$102,6,FALSE),0)</f>
        <v>0</v>
      </c>
      <c r="AE46">
        <f>IF(gamma!AE46,VLOOKUP(zeta!AE$1,main!$A$3:$H$102,5,FALSE)-VLOOKUP(zeta!$A46,main!$A$3:$H$102,6,FALSE),0)</f>
        <v>0</v>
      </c>
      <c r="AF46">
        <f>IF(gamma!AF46,VLOOKUP(zeta!AF$1,main!$A$3:$H$102,5,FALSE)-VLOOKUP(zeta!$A46,main!$A$3:$H$102,6,FALSE),0)</f>
        <v>0</v>
      </c>
      <c r="AG46">
        <f>IF(gamma!AG46,VLOOKUP(zeta!AG$1,main!$A$3:$H$102,5,FALSE)-VLOOKUP(zeta!$A46,main!$A$3:$H$102,6,FALSE),0)</f>
        <v>0</v>
      </c>
      <c r="AH46">
        <f>IF(gamma!AH46,VLOOKUP(zeta!AH$1,main!$A$3:$H$102,5,FALSE)-VLOOKUP(zeta!$A46,main!$A$3:$H$102,6,FALSE),0)</f>
        <v>0</v>
      </c>
      <c r="AI46">
        <f>IF(gamma!AI46,VLOOKUP(zeta!AI$1,main!$A$3:$H$102,5,FALSE)-VLOOKUP(zeta!$A46,main!$A$3:$H$102,6,FALSE),0)</f>
        <v>0</v>
      </c>
      <c r="AJ46">
        <f>IF(gamma!AJ46,VLOOKUP(zeta!AJ$1,main!$A$3:$H$102,5,FALSE)-VLOOKUP(zeta!$A46,main!$A$3:$H$102,6,FALSE),0)</f>
        <v>0</v>
      </c>
      <c r="AK46">
        <f>IF(gamma!AK46,VLOOKUP(zeta!AK$1,main!$A$3:$H$102,5,FALSE)-VLOOKUP(zeta!$A46,main!$A$3:$H$102,6,FALSE),0)</f>
        <v>0</v>
      </c>
      <c r="AL46">
        <f>IF(gamma!AL46,VLOOKUP(zeta!AL$1,main!$A$3:$H$102,5,FALSE)-VLOOKUP(zeta!$A46,main!$A$3:$H$102,6,FALSE),0)</f>
        <v>0</v>
      </c>
      <c r="AM46">
        <f>IF(gamma!AM46,VLOOKUP(zeta!AM$1,main!$A$3:$H$102,5,FALSE)-VLOOKUP(zeta!$A46,main!$A$3:$H$102,6,FALSE),0)</f>
        <v>0</v>
      </c>
      <c r="AN46">
        <f>IF(gamma!AN46,VLOOKUP(zeta!AN$1,main!$A$3:$H$102,5,FALSE)-VLOOKUP(zeta!$A46,main!$A$3:$H$102,6,FALSE),0)</f>
        <v>0</v>
      </c>
      <c r="AO46">
        <f>IF(gamma!AO46,VLOOKUP(zeta!AO$1,main!$A$3:$H$102,5,FALSE)-VLOOKUP(zeta!$A46,main!$A$3:$H$102,6,FALSE),0)</f>
        <v>0</v>
      </c>
      <c r="AP46">
        <f>IF(gamma!AP46,VLOOKUP(zeta!AP$1,main!$A$3:$H$102,5,FALSE)-VLOOKUP(zeta!$A46,main!$A$3:$H$102,6,FALSE),0)</f>
        <v>70</v>
      </c>
      <c r="AQ46">
        <f>IF(gamma!AQ46,VLOOKUP(zeta!AQ$1,main!$A$3:$H$102,5,FALSE)-VLOOKUP(zeta!$A46,main!$A$3:$H$102,6,FALSE),0)</f>
        <v>0</v>
      </c>
      <c r="AR46">
        <f>IF(gamma!AR46,VLOOKUP(zeta!AR$1,main!$A$3:$H$102,5,FALSE)-VLOOKUP(zeta!$A46,main!$A$3:$H$102,6,FALSE),0)</f>
        <v>0</v>
      </c>
      <c r="AS46">
        <f>IF(gamma!AS46,VLOOKUP(zeta!AS$1,main!$A$3:$H$102,5,FALSE)-VLOOKUP(zeta!$A46,main!$A$3:$H$102,6,FALSE),0)</f>
        <v>0</v>
      </c>
      <c r="AT46">
        <f>IF(gamma!AT46,VLOOKUP(zeta!AT$1,main!$A$3:$H$102,5,FALSE)-VLOOKUP(zeta!$A46,main!$A$3:$H$102,6,FALSE),0)</f>
        <v>0</v>
      </c>
      <c r="AU46">
        <f>IF(gamma!AU46,VLOOKUP(zeta!AU$1,main!$A$3:$H$102,5,FALSE)-VLOOKUP(zeta!$A46,main!$A$3:$H$102,6,FALSE),0)</f>
        <v>0</v>
      </c>
      <c r="AV46">
        <f>IF(gamma!AV46,VLOOKUP(zeta!AV$1,main!$A$3:$H$102,5,FALSE)-VLOOKUP(zeta!$A46,main!$A$3:$H$102,6,FALSE),0)</f>
        <v>0</v>
      </c>
      <c r="AW46">
        <f>IF(gamma!AW46,VLOOKUP(zeta!AW$1,main!$A$3:$H$102,5,FALSE)-VLOOKUP(zeta!$A46,main!$A$3:$H$102,6,FALSE),0)</f>
        <v>0</v>
      </c>
      <c r="AX46">
        <f>IF(gamma!AX46,VLOOKUP(zeta!AX$1,main!$A$3:$H$102,5,FALSE)-VLOOKUP(zeta!$A46,main!$A$3:$H$102,6,FALSE),0)</f>
        <v>0</v>
      </c>
      <c r="AY46">
        <f>IF(gamma!AY46,VLOOKUP(zeta!AY$1,main!$A$3:$H$102,5,FALSE)-VLOOKUP(zeta!$A46,main!$A$3:$H$102,6,FALSE),0)</f>
        <v>0</v>
      </c>
      <c r="AZ46">
        <f>IF(gamma!AZ46,VLOOKUP(zeta!AZ$1,main!$A$3:$H$102,5,FALSE)-VLOOKUP(zeta!$A46,main!$A$3:$H$102,6,FALSE),0)</f>
        <v>0</v>
      </c>
      <c r="BA46">
        <f>IF(gamma!BA46,VLOOKUP(zeta!BA$1,main!$A$3:$H$102,5,FALSE)-VLOOKUP(zeta!$A46,main!$A$3:$H$102,6,FALSE),0)</f>
        <v>0</v>
      </c>
      <c r="BB46">
        <f>IF(gamma!BB46,VLOOKUP(zeta!BB$1,main!$A$3:$H$102,5,FALSE)-VLOOKUP(zeta!$A46,main!$A$3:$H$102,6,FALSE),0)</f>
        <v>0</v>
      </c>
      <c r="BC46">
        <f>IF(gamma!BC46,VLOOKUP(zeta!BC$1,main!$A$3:$H$102,5,FALSE)-VLOOKUP(zeta!$A46,main!$A$3:$H$102,6,FALSE),0)</f>
        <v>0</v>
      </c>
      <c r="BD46">
        <f>IF(gamma!BD46,VLOOKUP(zeta!BD$1,main!$A$3:$H$102,5,FALSE)-VLOOKUP(zeta!$A46,main!$A$3:$H$102,6,FALSE),0)</f>
        <v>0</v>
      </c>
      <c r="BE46">
        <f>IF(gamma!BE46,VLOOKUP(zeta!BE$1,main!$A$3:$H$102,5,FALSE)-VLOOKUP(zeta!$A46,main!$A$3:$H$102,6,FALSE),0)</f>
        <v>0</v>
      </c>
      <c r="BF46">
        <f>IF(gamma!BF46,VLOOKUP(zeta!BF$1,main!$A$3:$H$102,5,FALSE)-VLOOKUP(zeta!$A46,main!$A$3:$H$102,6,FALSE),0)</f>
        <v>0</v>
      </c>
      <c r="BG46">
        <f>IF(gamma!BG46,VLOOKUP(zeta!BG$1,main!$A$3:$H$102,5,FALSE)-VLOOKUP(zeta!$A46,main!$A$3:$H$102,6,FALSE),0)</f>
        <v>0</v>
      </c>
      <c r="BH46">
        <f>IF(gamma!BH46,VLOOKUP(zeta!BH$1,main!$A$3:$H$102,5,FALSE)-VLOOKUP(zeta!$A46,main!$A$3:$H$102,6,FALSE),0)</f>
        <v>0</v>
      </c>
      <c r="BI46">
        <f>IF(gamma!BI46,VLOOKUP(zeta!BI$1,main!$A$3:$H$102,5,FALSE)-VLOOKUP(zeta!$A46,main!$A$3:$H$102,6,FALSE),0)</f>
        <v>80</v>
      </c>
      <c r="BJ46">
        <f>IF(gamma!BJ46,VLOOKUP(zeta!BJ$1,main!$A$3:$H$102,5,FALSE)-VLOOKUP(zeta!$A46,main!$A$3:$H$102,6,FALSE),0)</f>
        <v>0</v>
      </c>
      <c r="BK46">
        <f>IF(gamma!BK46,VLOOKUP(zeta!BK$1,main!$A$3:$H$102,5,FALSE)-VLOOKUP(zeta!$A46,main!$A$3:$H$102,6,FALSE),0)</f>
        <v>0</v>
      </c>
      <c r="BL46">
        <f>IF(gamma!BL46,VLOOKUP(zeta!BL$1,main!$A$3:$H$102,5,FALSE)-VLOOKUP(zeta!$A46,main!$A$3:$H$102,6,FALSE),0)</f>
        <v>0</v>
      </c>
      <c r="BM46">
        <f>IF(gamma!BM46,VLOOKUP(zeta!BM$1,main!$A$3:$H$102,5,FALSE)-VLOOKUP(zeta!$A46,main!$A$3:$H$102,6,FALSE),0)</f>
        <v>0</v>
      </c>
      <c r="BN46">
        <f>IF(gamma!BN46,VLOOKUP(zeta!BN$1,main!$A$3:$H$102,5,FALSE)-VLOOKUP(zeta!$A46,main!$A$3:$H$102,6,FALSE),0)</f>
        <v>0</v>
      </c>
      <c r="BO46">
        <f>IF(gamma!BO46,VLOOKUP(zeta!BO$1,main!$A$3:$H$102,5,FALSE)-VLOOKUP(zeta!$A46,main!$A$3:$H$102,6,FALSE),0)</f>
        <v>0</v>
      </c>
      <c r="BP46">
        <f>IF(gamma!BP46,VLOOKUP(zeta!BP$1,main!$A$3:$H$102,5,FALSE)-VLOOKUP(zeta!$A46,main!$A$3:$H$102,6,FALSE),0)</f>
        <v>0</v>
      </c>
      <c r="BQ46">
        <f>IF(gamma!BQ46,VLOOKUP(zeta!BQ$1,main!$A$3:$H$102,5,FALSE)-VLOOKUP(zeta!$A46,main!$A$3:$H$102,6,FALSE),0)</f>
        <v>0</v>
      </c>
      <c r="BR46">
        <f>IF(gamma!BR46,VLOOKUP(zeta!BR$1,main!$A$3:$H$102,5,FALSE)-VLOOKUP(zeta!$A46,main!$A$3:$H$102,6,FALSE),0)</f>
        <v>0</v>
      </c>
      <c r="BS46">
        <f>IF(gamma!BS46,VLOOKUP(zeta!BS$1,main!$A$3:$H$102,5,FALSE)-VLOOKUP(zeta!$A46,main!$A$3:$H$102,6,FALSE),0)</f>
        <v>0</v>
      </c>
      <c r="BT46">
        <f>IF(gamma!BT46,VLOOKUP(zeta!BT$1,main!$A$3:$H$102,5,FALSE)-VLOOKUP(zeta!$A46,main!$A$3:$H$102,6,FALSE),0)</f>
        <v>0</v>
      </c>
      <c r="BU46">
        <f>IF(gamma!BU46,VLOOKUP(zeta!BU$1,main!$A$3:$H$102,5,FALSE)-VLOOKUP(zeta!$A46,main!$A$3:$H$102,6,FALSE),0)</f>
        <v>0</v>
      </c>
      <c r="BV46">
        <f>IF(gamma!BV46,VLOOKUP(zeta!BV$1,main!$A$3:$H$102,5,FALSE)-VLOOKUP(zeta!$A46,main!$A$3:$H$102,6,FALSE),0)</f>
        <v>0</v>
      </c>
      <c r="BW46">
        <f>IF(gamma!BW46,VLOOKUP(zeta!BW$1,main!$A$3:$H$102,5,FALSE)-VLOOKUP(zeta!$A46,main!$A$3:$H$102,6,FALSE),0)</f>
        <v>0</v>
      </c>
      <c r="BX46">
        <f>IF(gamma!BX46,VLOOKUP(zeta!BX$1,main!$A$3:$H$102,5,FALSE)-VLOOKUP(zeta!$A46,main!$A$3:$H$102,6,FALSE),0)</f>
        <v>0</v>
      </c>
      <c r="BY46">
        <f>IF(gamma!BY46,VLOOKUP(zeta!BY$1,main!$A$3:$H$102,5,FALSE)-VLOOKUP(zeta!$A46,main!$A$3:$H$102,6,FALSE),0)</f>
        <v>0</v>
      </c>
      <c r="BZ46">
        <f>IF(gamma!BZ46,VLOOKUP(zeta!BZ$1,main!$A$3:$H$102,5,FALSE)-VLOOKUP(zeta!$A46,main!$A$3:$H$102,6,FALSE),0)</f>
        <v>0</v>
      </c>
      <c r="CA46">
        <f>IF(gamma!CA46,VLOOKUP(zeta!CA$1,main!$A$3:$H$102,5,FALSE)-VLOOKUP(zeta!$A46,main!$A$3:$H$102,6,FALSE),0)</f>
        <v>0</v>
      </c>
      <c r="CB46">
        <f>IF(gamma!CB46,VLOOKUP(zeta!CB$1,main!$A$3:$H$102,5,FALSE)-VLOOKUP(zeta!$A46,main!$A$3:$H$102,6,FALSE),0)</f>
        <v>0</v>
      </c>
      <c r="CC46">
        <f>IF(gamma!CC46,VLOOKUP(zeta!CC$1,main!$A$3:$H$102,5,FALSE)-VLOOKUP(zeta!$A46,main!$A$3:$H$102,6,FALSE),0)</f>
        <v>0</v>
      </c>
      <c r="CD46">
        <f>IF(gamma!CD46,VLOOKUP(zeta!CD$1,main!$A$3:$H$102,5,FALSE)-VLOOKUP(zeta!$A46,main!$A$3:$H$102,6,FALSE),0)</f>
        <v>0</v>
      </c>
      <c r="CE46">
        <f>IF(gamma!CE46,VLOOKUP(zeta!CE$1,main!$A$3:$H$102,5,FALSE)-VLOOKUP(zeta!$A46,main!$A$3:$H$102,6,FALSE),0)</f>
        <v>0</v>
      </c>
      <c r="CF46">
        <f>IF(gamma!CF46,VLOOKUP(zeta!CF$1,main!$A$3:$H$102,5,FALSE)-VLOOKUP(zeta!$A46,main!$A$3:$H$102,6,FALSE),0)</f>
        <v>0</v>
      </c>
      <c r="CG46">
        <f>IF(gamma!CG46,VLOOKUP(zeta!CG$1,main!$A$3:$H$102,5,FALSE)-VLOOKUP(zeta!$A46,main!$A$3:$H$102,6,FALSE),0)</f>
        <v>0</v>
      </c>
      <c r="CH46">
        <f>IF(gamma!CH46,VLOOKUP(zeta!CH$1,main!$A$3:$H$102,5,FALSE)-VLOOKUP(zeta!$A46,main!$A$3:$H$102,6,FALSE),0)</f>
        <v>0</v>
      </c>
      <c r="CI46">
        <f>IF(gamma!CI46,VLOOKUP(zeta!CI$1,main!$A$3:$H$102,5,FALSE)-VLOOKUP(zeta!$A46,main!$A$3:$H$102,6,FALSE),0)</f>
        <v>70</v>
      </c>
      <c r="CJ46">
        <f>IF(gamma!CJ46,VLOOKUP(zeta!CJ$1,main!$A$3:$H$102,5,FALSE)-VLOOKUP(zeta!$A46,main!$A$3:$H$102,6,FALSE),0)</f>
        <v>0</v>
      </c>
      <c r="CK46">
        <f>IF(gamma!CK46,VLOOKUP(zeta!CK$1,main!$A$3:$H$102,5,FALSE)-VLOOKUP(zeta!$A46,main!$A$3:$H$102,6,FALSE),0)</f>
        <v>0</v>
      </c>
      <c r="CL46">
        <f>IF(gamma!CL46,VLOOKUP(zeta!CL$1,main!$A$3:$H$102,5,FALSE)-VLOOKUP(zeta!$A46,main!$A$3:$H$102,6,FALSE),0)</f>
        <v>0</v>
      </c>
      <c r="CM46">
        <f>IF(gamma!CM46,VLOOKUP(zeta!CM$1,main!$A$3:$H$102,5,FALSE)-VLOOKUP(zeta!$A46,main!$A$3:$H$102,6,FALSE),0)</f>
        <v>0</v>
      </c>
      <c r="CN46">
        <f>IF(gamma!CN46,VLOOKUP(zeta!CN$1,main!$A$3:$H$102,5,FALSE)-VLOOKUP(zeta!$A46,main!$A$3:$H$102,6,FALSE),0)</f>
        <v>70</v>
      </c>
      <c r="CO46">
        <f>IF(gamma!CO46,VLOOKUP(zeta!CO$1,main!$A$3:$H$102,5,FALSE)-VLOOKUP(zeta!$A46,main!$A$3:$H$102,6,FALSE),0)</f>
        <v>0</v>
      </c>
      <c r="CP46">
        <f>IF(gamma!CP46,VLOOKUP(zeta!CP$1,main!$A$3:$H$102,5,FALSE)-VLOOKUP(zeta!$A46,main!$A$3:$H$102,6,FALSE),0)</f>
        <v>0</v>
      </c>
      <c r="CQ46">
        <f>IF(gamma!CQ46,VLOOKUP(zeta!CQ$1,main!$A$3:$H$102,5,FALSE)-VLOOKUP(zeta!$A46,main!$A$3:$H$102,6,FALSE),0)</f>
        <v>0</v>
      </c>
      <c r="CR46">
        <f>IF(gamma!CR46,VLOOKUP(zeta!CR$1,main!$A$3:$H$102,5,FALSE)-VLOOKUP(zeta!$A46,main!$A$3:$H$102,6,FALSE),0)</f>
        <v>0</v>
      </c>
      <c r="CS46">
        <f>IF(gamma!CS46,VLOOKUP(zeta!CS$1,main!$A$3:$H$102,5,FALSE)-VLOOKUP(zeta!$A46,main!$A$3:$H$102,6,FALSE),0)</f>
        <v>0</v>
      </c>
      <c r="CT46">
        <f>IF(gamma!CT46,VLOOKUP(zeta!CT$1,main!$A$3:$H$102,5,FALSE)-VLOOKUP(zeta!$A46,main!$A$3:$H$102,6,FALSE),0)</f>
        <v>0</v>
      </c>
      <c r="CU46">
        <f>IF(gamma!CU46,VLOOKUP(zeta!CU$1,main!$A$3:$H$102,5,FALSE)-VLOOKUP(zeta!$A46,main!$A$3:$H$102,6,FALSE),0)</f>
        <v>0</v>
      </c>
      <c r="CV46">
        <f>IF(gamma!CV46,VLOOKUP(zeta!CV$1,main!$A$3:$H$102,5,FALSE)-VLOOKUP(zeta!$A46,main!$A$3:$H$102,6,FALSE),0)</f>
        <v>0</v>
      </c>
      <c r="CW46">
        <f>IF(gamma!CW46,VLOOKUP(zeta!CW$1,main!$A$3:$H$102,5,FALSE)-VLOOKUP(zeta!$A46,main!$A$3:$H$102,6,FALSE),0)</f>
        <v>0</v>
      </c>
      <c r="CX46">
        <f>IF(gamma!CX46,VLOOKUP(zeta!CX$1,main!$A$3:$H$102,5,FALSE)-VLOOKUP(zeta!$A46,main!$A$3:$H$102,6,FALSE),0)</f>
        <v>0</v>
      </c>
    </row>
    <row r="47" spans="1:102" x14ac:dyDescent="0.25">
      <c r="A47">
        <f t="shared" si="1"/>
        <v>45</v>
      </c>
      <c r="B47">
        <v>0</v>
      </c>
      <c r="C47">
        <f>IF(gamma!C47,VLOOKUP(zeta!C$1,main!$A$3:$H$102,5,FALSE)-VLOOKUP(zeta!$A47,main!$A$3:$H$102,6,FALSE),0)</f>
        <v>0</v>
      </c>
      <c r="D47">
        <f>IF(gamma!D47,VLOOKUP(zeta!D$1,main!$A$3:$H$102,5,FALSE)-VLOOKUP(zeta!$A47,main!$A$3:$H$102,6,FALSE),0)</f>
        <v>0</v>
      </c>
      <c r="E47">
        <f>IF(gamma!E47,VLOOKUP(zeta!E$1,main!$A$3:$H$102,5,FALSE)-VLOOKUP(zeta!$A47,main!$A$3:$H$102,6,FALSE),0)</f>
        <v>200</v>
      </c>
      <c r="F47">
        <f>IF(gamma!F47,VLOOKUP(zeta!F$1,main!$A$3:$H$102,5,FALSE)-VLOOKUP(zeta!$A47,main!$A$3:$H$102,6,FALSE),0)</f>
        <v>220</v>
      </c>
      <c r="G47">
        <f>IF(gamma!G47,VLOOKUP(zeta!G$1,main!$A$3:$H$102,5,FALSE)-VLOOKUP(zeta!$A47,main!$A$3:$H$102,6,FALSE),0)</f>
        <v>310</v>
      </c>
      <c r="H47">
        <f>IF(gamma!H47,VLOOKUP(zeta!H$1,main!$A$3:$H$102,5,FALSE)-VLOOKUP(zeta!$A47,main!$A$3:$H$102,6,FALSE),0)</f>
        <v>400</v>
      </c>
      <c r="I47">
        <f>IF(gamma!I47,VLOOKUP(zeta!I$1,main!$A$3:$H$102,5,FALSE)-VLOOKUP(zeta!$A47,main!$A$3:$H$102,6,FALSE),0)</f>
        <v>460</v>
      </c>
      <c r="J47">
        <f>IF(gamma!J47,VLOOKUP(zeta!J$1,main!$A$3:$H$102,5,FALSE)-VLOOKUP(zeta!$A47,main!$A$3:$H$102,6,FALSE),0)</f>
        <v>520</v>
      </c>
      <c r="K47">
        <f>IF(gamma!K47,VLOOKUP(zeta!K$1,main!$A$3:$H$102,5,FALSE)-VLOOKUP(zeta!$A47,main!$A$3:$H$102,6,FALSE),0)</f>
        <v>580</v>
      </c>
      <c r="L47">
        <f>IF(gamma!L47,VLOOKUP(zeta!L$1,main!$A$3:$H$102,5,FALSE)-VLOOKUP(zeta!$A47,main!$A$3:$H$102,6,FALSE),0)</f>
        <v>670</v>
      </c>
      <c r="M47">
        <f>IF(gamma!M47,VLOOKUP(zeta!M$1,main!$A$3:$H$102,5,FALSE)-VLOOKUP(zeta!$A47,main!$A$3:$H$102,6,FALSE),0)</f>
        <v>0</v>
      </c>
      <c r="N47">
        <f>IF(gamma!N47,VLOOKUP(zeta!N$1,main!$A$3:$H$102,5,FALSE)-VLOOKUP(zeta!$A47,main!$A$3:$H$102,6,FALSE),0)</f>
        <v>48</v>
      </c>
      <c r="O47">
        <f>IF(gamma!O47,VLOOKUP(zeta!O$1,main!$A$3:$H$102,5,FALSE)-VLOOKUP(zeta!$A47,main!$A$3:$H$102,6,FALSE),0)</f>
        <v>80</v>
      </c>
      <c r="P47">
        <f>IF(gamma!P47,VLOOKUP(zeta!P$1,main!$A$3:$H$102,5,FALSE)-VLOOKUP(zeta!$A47,main!$A$3:$H$102,6,FALSE),0)</f>
        <v>155</v>
      </c>
      <c r="Q47">
        <f>IF(gamma!Q47,VLOOKUP(zeta!Q$1,main!$A$3:$H$102,5,FALSE)-VLOOKUP(zeta!$A47,main!$A$3:$H$102,6,FALSE),0)</f>
        <v>235</v>
      </c>
      <c r="R47">
        <f>IF(gamma!R47,VLOOKUP(zeta!R$1,main!$A$3:$H$102,5,FALSE)-VLOOKUP(zeta!$A47,main!$A$3:$H$102,6,FALSE),0)</f>
        <v>275</v>
      </c>
      <c r="S47">
        <f>IF(gamma!S47,VLOOKUP(zeta!S$1,main!$A$3:$H$102,5,FALSE)-VLOOKUP(zeta!$A47,main!$A$3:$H$102,6,FALSE),0)</f>
        <v>400</v>
      </c>
      <c r="T47">
        <f>IF(gamma!T47,VLOOKUP(zeta!T$1,main!$A$3:$H$102,5,FALSE)-VLOOKUP(zeta!$A47,main!$A$3:$H$102,6,FALSE),0)</f>
        <v>480</v>
      </c>
      <c r="U47">
        <f>IF(gamma!U47,VLOOKUP(zeta!U$1,main!$A$3:$H$102,5,FALSE)-VLOOKUP(zeta!$A47,main!$A$3:$H$102,6,FALSE),0)</f>
        <v>635</v>
      </c>
      <c r="V47">
        <f>IF(gamma!V47,VLOOKUP(zeta!V$1,main!$A$3:$H$102,5,FALSE)-VLOOKUP(zeta!$A47,main!$A$3:$H$102,6,FALSE),0)</f>
        <v>695</v>
      </c>
      <c r="W47">
        <f>IF(gamma!W47,VLOOKUP(zeta!W$1,main!$A$3:$H$102,5,FALSE)-VLOOKUP(zeta!$A47,main!$A$3:$H$102,6,FALSE),0)</f>
        <v>0</v>
      </c>
      <c r="X47">
        <f>IF(gamma!X47,VLOOKUP(zeta!X$1,main!$A$3:$H$102,5,FALSE)-VLOOKUP(zeta!$A47,main!$A$3:$H$102,6,FALSE),0)</f>
        <v>110</v>
      </c>
      <c r="Y47">
        <f>IF(gamma!Y47,VLOOKUP(zeta!Y$1,main!$A$3:$H$102,5,FALSE)-VLOOKUP(zeta!$A47,main!$A$3:$H$102,6,FALSE),0)</f>
        <v>270</v>
      </c>
      <c r="Z47">
        <f>IF(gamma!Z47,VLOOKUP(zeta!Z$1,main!$A$3:$H$102,5,FALSE)-VLOOKUP(zeta!$A47,main!$A$3:$H$102,6,FALSE),0)</f>
        <v>450</v>
      </c>
      <c r="AA47">
        <f>IF(gamma!AA47,VLOOKUP(zeta!AA$1,main!$A$3:$H$102,5,FALSE)-VLOOKUP(zeta!$A47,main!$A$3:$H$102,6,FALSE),0)</f>
        <v>600</v>
      </c>
      <c r="AB47">
        <f>IF(gamma!AB47,VLOOKUP(zeta!AB$1,main!$A$3:$H$102,5,FALSE)-VLOOKUP(zeta!$A47,main!$A$3:$H$102,6,FALSE),0)</f>
        <v>0</v>
      </c>
      <c r="AC47">
        <f>IF(gamma!AC47,VLOOKUP(zeta!AC$1,main!$A$3:$H$102,5,FALSE)-VLOOKUP(zeta!$A47,main!$A$3:$H$102,6,FALSE),0)</f>
        <v>0</v>
      </c>
      <c r="AD47">
        <f>IF(gamma!AD47,VLOOKUP(zeta!AD$1,main!$A$3:$H$102,5,FALSE)-VLOOKUP(zeta!$A47,main!$A$3:$H$102,6,FALSE),0)</f>
        <v>230</v>
      </c>
      <c r="AE47">
        <f>IF(gamma!AE47,VLOOKUP(zeta!AE$1,main!$A$3:$H$102,5,FALSE)-VLOOKUP(zeta!$A47,main!$A$3:$H$102,6,FALSE),0)</f>
        <v>410</v>
      </c>
      <c r="AF47">
        <f>IF(gamma!AF47,VLOOKUP(zeta!AF$1,main!$A$3:$H$102,5,FALSE)-VLOOKUP(zeta!$A47,main!$A$3:$H$102,6,FALSE),0)</f>
        <v>580</v>
      </c>
      <c r="AG47">
        <f>IF(gamma!AG47,VLOOKUP(zeta!AG$1,main!$A$3:$H$102,5,FALSE)-VLOOKUP(zeta!$A47,main!$A$3:$H$102,6,FALSE),0)</f>
        <v>0</v>
      </c>
      <c r="AH47">
        <f>IF(gamma!AH47,VLOOKUP(zeta!AH$1,main!$A$3:$H$102,5,FALSE)-VLOOKUP(zeta!$A47,main!$A$3:$H$102,6,FALSE),0)</f>
        <v>110</v>
      </c>
      <c r="AI47">
        <f>IF(gamma!AI47,VLOOKUP(zeta!AI$1,main!$A$3:$H$102,5,FALSE)-VLOOKUP(zeta!$A47,main!$A$3:$H$102,6,FALSE),0)</f>
        <v>200</v>
      </c>
      <c r="AJ47">
        <f>IF(gamma!AJ47,VLOOKUP(zeta!AJ$1,main!$A$3:$H$102,5,FALSE)-VLOOKUP(zeta!$A47,main!$A$3:$H$102,6,FALSE),0)</f>
        <v>290</v>
      </c>
      <c r="AK47">
        <f>IF(gamma!AK47,VLOOKUP(zeta!AK$1,main!$A$3:$H$102,5,FALSE)-VLOOKUP(zeta!$A47,main!$A$3:$H$102,6,FALSE),0)</f>
        <v>380</v>
      </c>
      <c r="AL47">
        <f>IF(gamma!AL47,VLOOKUP(zeta!AL$1,main!$A$3:$H$102,5,FALSE)-VLOOKUP(zeta!$A47,main!$A$3:$H$102,6,FALSE),0)</f>
        <v>470</v>
      </c>
      <c r="AM47">
        <f>IF(gamma!AM47,VLOOKUP(zeta!AM$1,main!$A$3:$H$102,5,FALSE)-VLOOKUP(zeta!$A47,main!$A$3:$H$102,6,FALSE),0)</f>
        <v>560</v>
      </c>
      <c r="AN47">
        <f>IF(gamma!AN47,VLOOKUP(zeta!AN$1,main!$A$3:$H$102,5,FALSE)-VLOOKUP(zeta!$A47,main!$A$3:$H$102,6,FALSE),0)</f>
        <v>620</v>
      </c>
      <c r="AO47">
        <f>IF(gamma!AO47,VLOOKUP(zeta!AO$1,main!$A$3:$H$102,5,FALSE)-VLOOKUP(zeta!$A47,main!$A$3:$H$102,6,FALSE),0)</f>
        <v>0</v>
      </c>
      <c r="AP47">
        <f>IF(gamma!AP47,VLOOKUP(zeta!AP$1,main!$A$3:$H$102,5,FALSE)-VLOOKUP(zeta!$A47,main!$A$3:$H$102,6,FALSE),0)</f>
        <v>680</v>
      </c>
      <c r="AQ47">
        <f>IF(gamma!AQ47,VLOOKUP(zeta!AQ$1,main!$A$3:$H$102,5,FALSE)-VLOOKUP(zeta!$A47,main!$A$3:$H$102,6,FALSE),0)</f>
        <v>0</v>
      </c>
      <c r="AR47">
        <f>IF(gamma!AR47,VLOOKUP(zeta!AR$1,main!$A$3:$H$102,5,FALSE)-VLOOKUP(zeta!$A47,main!$A$3:$H$102,6,FALSE),0)</f>
        <v>75</v>
      </c>
      <c r="AS47">
        <f>IF(gamma!AS47,VLOOKUP(zeta!AS$1,main!$A$3:$H$102,5,FALSE)-VLOOKUP(zeta!$A47,main!$A$3:$H$102,6,FALSE),0)</f>
        <v>280</v>
      </c>
      <c r="AT47">
        <f>IF(gamma!AT47,VLOOKUP(zeta!AT$1,main!$A$3:$H$102,5,FALSE)-VLOOKUP(zeta!$A47,main!$A$3:$H$102,6,FALSE),0)</f>
        <v>430</v>
      </c>
      <c r="AU47">
        <f>IF(gamma!AU47,VLOOKUP(zeta!AU$1,main!$A$3:$H$102,5,FALSE)-VLOOKUP(zeta!$A47,main!$A$3:$H$102,6,FALSE),0)</f>
        <v>0</v>
      </c>
      <c r="AV47">
        <f>IF(gamma!AV47,VLOOKUP(zeta!AV$1,main!$A$3:$H$102,5,FALSE)-VLOOKUP(zeta!$A47,main!$A$3:$H$102,6,FALSE),0)</f>
        <v>0</v>
      </c>
      <c r="AW47">
        <f>IF(gamma!AW47,VLOOKUP(zeta!AW$1,main!$A$3:$H$102,5,FALSE)-VLOOKUP(zeta!$A47,main!$A$3:$H$102,6,FALSE),0)</f>
        <v>380</v>
      </c>
      <c r="AX47">
        <f>IF(gamma!AX47,VLOOKUP(zeta!AX$1,main!$A$3:$H$102,5,FALSE)-VLOOKUP(zeta!$A47,main!$A$3:$H$102,6,FALSE),0)</f>
        <v>220</v>
      </c>
      <c r="AY47">
        <f>IF(gamma!AY47,VLOOKUP(zeta!AY$1,main!$A$3:$H$102,5,FALSE)-VLOOKUP(zeta!$A47,main!$A$3:$H$102,6,FALSE),0)</f>
        <v>80</v>
      </c>
      <c r="AZ47">
        <f>IF(gamma!AZ47,VLOOKUP(zeta!AZ$1,main!$A$3:$H$102,5,FALSE)-VLOOKUP(zeta!$A47,main!$A$3:$H$102,6,FALSE),0)</f>
        <v>210</v>
      </c>
      <c r="BA47">
        <f>IF(gamma!BA47,VLOOKUP(zeta!BA$1,main!$A$3:$H$102,5,FALSE)-VLOOKUP(zeta!$A47,main!$A$3:$H$102,6,FALSE),0)</f>
        <v>50</v>
      </c>
      <c r="BB47">
        <f>IF(gamma!BB47,VLOOKUP(zeta!BB$1,main!$A$3:$H$102,5,FALSE)-VLOOKUP(zeta!$A47,main!$A$3:$H$102,6,FALSE),0)</f>
        <v>220</v>
      </c>
      <c r="BC47">
        <f>IF(gamma!BC47,VLOOKUP(zeta!BC$1,main!$A$3:$H$102,5,FALSE)-VLOOKUP(zeta!$A47,main!$A$3:$H$102,6,FALSE),0)</f>
        <v>340</v>
      </c>
      <c r="BD47">
        <f>IF(gamma!BD47,VLOOKUP(zeta!BD$1,main!$A$3:$H$102,5,FALSE)-VLOOKUP(zeta!$A47,main!$A$3:$H$102,6,FALSE),0)</f>
        <v>400</v>
      </c>
      <c r="BE47">
        <f>IF(gamma!BE47,VLOOKUP(zeta!BE$1,main!$A$3:$H$102,5,FALSE)-VLOOKUP(zeta!$A47,main!$A$3:$H$102,6,FALSE),0)</f>
        <v>520</v>
      </c>
      <c r="BF47">
        <f>IF(gamma!BF47,VLOOKUP(zeta!BF$1,main!$A$3:$H$102,5,FALSE)-VLOOKUP(zeta!$A47,main!$A$3:$H$102,6,FALSE),0)</f>
        <v>60</v>
      </c>
      <c r="BG47">
        <f>IF(gamma!BG47,VLOOKUP(zeta!BG$1,main!$A$3:$H$102,5,FALSE)-VLOOKUP(zeta!$A47,main!$A$3:$H$102,6,FALSE),0)</f>
        <v>110</v>
      </c>
      <c r="BH47">
        <f>IF(gamma!BH47,VLOOKUP(zeta!BH$1,main!$A$3:$H$102,5,FALSE)-VLOOKUP(zeta!$A47,main!$A$3:$H$102,6,FALSE),0)</f>
        <v>305</v>
      </c>
      <c r="BI47">
        <f>IF(gamma!BI47,VLOOKUP(zeta!BI$1,main!$A$3:$H$102,5,FALSE)-VLOOKUP(zeta!$A47,main!$A$3:$H$102,6,FALSE),0)</f>
        <v>690</v>
      </c>
      <c r="BJ47">
        <f>IF(gamma!BJ47,VLOOKUP(zeta!BJ$1,main!$A$3:$H$102,5,FALSE)-VLOOKUP(zeta!$A47,main!$A$3:$H$102,6,FALSE),0)</f>
        <v>480</v>
      </c>
      <c r="BK47">
        <f>IF(gamma!BK47,VLOOKUP(zeta!BK$1,main!$A$3:$H$102,5,FALSE)-VLOOKUP(zeta!$A47,main!$A$3:$H$102,6,FALSE),0)</f>
        <v>0</v>
      </c>
      <c r="BL47">
        <f>IF(gamma!BL47,VLOOKUP(zeta!BL$1,main!$A$3:$H$102,5,FALSE)-VLOOKUP(zeta!$A47,main!$A$3:$H$102,6,FALSE),0)</f>
        <v>20</v>
      </c>
      <c r="BM47">
        <f>IF(gamma!BM47,VLOOKUP(zeta!BM$1,main!$A$3:$H$102,5,FALSE)-VLOOKUP(zeta!$A47,main!$A$3:$H$102,6,FALSE),0)</f>
        <v>125</v>
      </c>
      <c r="BN47">
        <f>IF(gamma!BN47,VLOOKUP(zeta!BN$1,main!$A$3:$H$102,5,FALSE)-VLOOKUP(zeta!$A47,main!$A$3:$H$102,6,FALSE),0)</f>
        <v>380</v>
      </c>
      <c r="BO47">
        <f>IF(gamma!BO47,VLOOKUP(zeta!BO$1,main!$A$3:$H$102,5,FALSE)-VLOOKUP(zeta!$A47,main!$A$3:$H$102,6,FALSE),0)</f>
        <v>0</v>
      </c>
      <c r="BP47">
        <f>IF(gamma!BP47,VLOOKUP(zeta!BP$1,main!$A$3:$H$102,5,FALSE)-VLOOKUP(zeta!$A47,main!$A$3:$H$102,6,FALSE),0)</f>
        <v>0</v>
      </c>
      <c r="BQ47">
        <f>IF(gamma!BQ47,VLOOKUP(zeta!BQ$1,main!$A$3:$H$102,5,FALSE)-VLOOKUP(zeta!$A47,main!$A$3:$H$102,6,FALSE),0)</f>
        <v>235</v>
      </c>
      <c r="BR47">
        <f>IF(gamma!BR47,VLOOKUP(zeta!BR$1,main!$A$3:$H$102,5,FALSE)-VLOOKUP(zeta!$A47,main!$A$3:$H$102,6,FALSE),0)</f>
        <v>270</v>
      </c>
      <c r="BS47">
        <f>IF(gamma!BS47,VLOOKUP(zeta!BS$1,main!$A$3:$H$102,5,FALSE)-VLOOKUP(zeta!$A47,main!$A$3:$H$102,6,FALSE),0)</f>
        <v>280</v>
      </c>
      <c r="BT47">
        <f>IF(gamma!BT47,VLOOKUP(zeta!BT$1,main!$A$3:$H$102,5,FALSE)-VLOOKUP(zeta!$A47,main!$A$3:$H$102,6,FALSE),0)</f>
        <v>230</v>
      </c>
      <c r="BU47">
        <f>IF(gamma!BU47,VLOOKUP(zeta!BU$1,main!$A$3:$H$102,5,FALSE)-VLOOKUP(zeta!$A47,main!$A$3:$H$102,6,FALSE),0)</f>
        <v>0</v>
      </c>
      <c r="BV47">
        <f>IF(gamma!BV47,VLOOKUP(zeta!BV$1,main!$A$3:$H$102,5,FALSE)-VLOOKUP(zeta!$A47,main!$A$3:$H$102,6,FALSE),0)</f>
        <v>30</v>
      </c>
      <c r="BW47">
        <f>IF(gamma!BW47,VLOOKUP(zeta!BW$1,main!$A$3:$H$102,5,FALSE)-VLOOKUP(zeta!$A47,main!$A$3:$H$102,6,FALSE),0)</f>
        <v>80</v>
      </c>
      <c r="BX47">
        <f>IF(gamma!BX47,VLOOKUP(zeta!BX$1,main!$A$3:$H$102,5,FALSE)-VLOOKUP(zeta!$A47,main!$A$3:$H$102,6,FALSE),0)</f>
        <v>245</v>
      </c>
      <c r="BY47">
        <f>IF(gamma!BY47,VLOOKUP(zeta!BY$1,main!$A$3:$H$102,5,FALSE)-VLOOKUP(zeta!$A47,main!$A$3:$H$102,6,FALSE),0)</f>
        <v>330</v>
      </c>
      <c r="BZ47">
        <f>IF(gamma!BZ47,VLOOKUP(zeta!BZ$1,main!$A$3:$H$102,5,FALSE)-VLOOKUP(zeta!$A47,main!$A$3:$H$102,6,FALSE),0)</f>
        <v>0</v>
      </c>
      <c r="CA47">
        <f>IF(gamma!CA47,VLOOKUP(zeta!CA$1,main!$A$3:$H$102,5,FALSE)-VLOOKUP(zeta!$A47,main!$A$3:$H$102,6,FALSE),0)</f>
        <v>65</v>
      </c>
      <c r="CB47">
        <f>IF(gamma!CB47,VLOOKUP(zeta!CB$1,main!$A$3:$H$102,5,FALSE)-VLOOKUP(zeta!$A47,main!$A$3:$H$102,6,FALSE),0)</f>
        <v>385</v>
      </c>
      <c r="CC47">
        <f>IF(gamma!CC47,VLOOKUP(zeta!CC$1,main!$A$3:$H$102,5,FALSE)-VLOOKUP(zeta!$A47,main!$A$3:$H$102,6,FALSE),0)</f>
        <v>595</v>
      </c>
      <c r="CD47">
        <f>IF(gamma!CD47,VLOOKUP(zeta!CD$1,main!$A$3:$H$102,5,FALSE)-VLOOKUP(zeta!$A47,main!$A$3:$H$102,6,FALSE),0)</f>
        <v>330</v>
      </c>
      <c r="CE47">
        <f>IF(gamma!CE47,VLOOKUP(zeta!CE$1,main!$A$3:$H$102,5,FALSE)-VLOOKUP(zeta!$A47,main!$A$3:$H$102,6,FALSE),0)</f>
        <v>200</v>
      </c>
      <c r="CF47">
        <f>IF(gamma!CF47,VLOOKUP(zeta!CF$1,main!$A$3:$H$102,5,FALSE)-VLOOKUP(zeta!$A47,main!$A$3:$H$102,6,FALSE),0)</f>
        <v>230</v>
      </c>
      <c r="CG47">
        <f>IF(gamma!CG47,VLOOKUP(zeta!CG$1,main!$A$3:$H$102,5,FALSE)-VLOOKUP(zeta!$A47,main!$A$3:$H$102,6,FALSE),0)</f>
        <v>280</v>
      </c>
      <c r="CH47">
        <f>IF(gamma!CH47,VLOOKUP(zeta!CH$1,main!$A$3:$H$102,5,FALSE)-VLOOKUP(zeta!$A47,main!$A$3:$H$102,6,FALSE),0)</f>
        <v>480</v>
      </c>
      <c r="CI47">
        <f>IF(gamma!CI47,VLOOKUP(zeta!CI$1,main!$A$3:$H$102,5,FALSE)-VLOOKUP(zeta!$A47,main!$A$3:$H$102,6,FALSE),0)</f>
        <v>680</v>
      </c>
      <c r="CJ47">
        <f>IF(gamma!CJ47,VLOOKUP(zeta!CJ$1,main!$A$3:$H$102,5,FALSE)-VLOOKUP(zeta!$A47,main!$A$3:$H$102,6,FALSE),0)</f>
        <v>270</v>
      </c>
      <c r="CK47">
        <f>IF(gamma!CK47,VLOOKUP(zeta!CK$1,main!$A$3:$H$102,5,FALSE)-VLOOKUP(zeta!$A47,main!$A$3:$H$102,6,FALSE),0)</f>
        <v>164</v>
      </c>
      <c r="CL47">
        <f>IF(gamma!CL47,VLOOKUP(zeta!CL$1,main!$A$3:$H$102,5,FALSE)-VLOOKUP(zeta!$A47,main!$A$3:$H$102,6,FALSE),0)</f>
        <v>280</v>
      </c>
      <c r="CM47">
        <f>IF(gamma!CM47,VLOOKUP(zeta!CM$1,main!$A$3:$H$102,5,FALSE)-VLOOKUP(zeta!$A47,main!$A$3:$H$102,6,FALSE),0)</f>
        <v>456</v>
      </c>
      <c r="CN47">
        <f>IF(gamma!CN47,VLOOKUP(zeta!CN$1,main!$A$3:$H$102,5,FALSE)-VLOOKUP(zeta!$A47,main!$A$3:$H$102,6,FALSE),0)</f>
        <v>680</v>
      </c>
      <c r="CO47">
        <f>IF(gamma!CO47,VLOOKUP(zeta!CO$1,main!$A$3:$H$102,5,FALSE)-VLOOKUP(zeta!$A47,main!$A$3:$H$102,6,FALSE),0)</f>
        <v>80</v>
      </c>
      <c r="CP47">
        <f>IF(gamma!CP47,VLOOKUP(zeta!CP$1,main!$A$3:$H$102,5,FALSE)-VLOOKUP(zeta!$A47,main!$A$3:$H$102,6,FALSE),0)</f>
        <v>245</v>
      </c>
      <c r="CQ47">
        <f>IF(gamma!CQ47,VLOOKUP(zeta!CQ$1,main!$A$3:$H$102,5,FALSE)-VLOOKUP(zeta!$A47,main!$A$3:$H$102,6,FALSE),0)</f>
        <v>260</v>
      </c>
      <c r="CR47">
        <f>IF(gamma!CR47,VLOOKUP(zeta!CR$1,main!$A$3:$H$102,5,FALSE)-VLOOKUP(zeta!$A47,main!$A$3:$H$102,6,FALSE),0)</f>
        <v>445</v>
      </c>
      <c r="CS47">
        <f>IF(gamma!CS47,VLOOKUP(zeta!CS$1,main!$A$3:$H$102,5,FALSE)-VLOOKUP(zeta!$A47,main!$A$3:$H$102,6,FALSE),0)</f>
        <v>455</v>
      </c>
      <c r="CT47">
        <f>IF(gamma!CT47,VLOOKUP(zeta!CT$1,main!$A$3:$H$102,5,FALSE)-VLOOKUP(zeta!$A47,main!$A$3:$H$102,6,FALSE),0)</f>
        <v>0</v>
      </c>
      <c r="CU47">
        <f>IF(gamma!CU47,VLOOKUP(zeta!CU$1,main!$A$3:$H$102,5,FALSE)-VLOOKUP(zeta!$A47,main!$A$3:$H$102,6,FALSE),0)</f>
        <v>70</v>
      </c>
      <c r="CV47">
        <f>IF(gamma!CV47,VLOOKUP(zeta!CV$1,main!$A$3:$H$102,5,FALSE)-VLOOKUP(zeta!$A47,main!$A$3:$H$102,6,FALSE),0)</f>
        <v>260</v>
      </c>
      <c r="CW47">
        <f>IF(gamma!CW47,VLOOKUP(zeta!CW$1,main!$A$3:$H$102,5,FALSE)-VLOOKUP(zeta!$A47,main!$A$3:$H$102,6,FALSE),0)</f>
        <v>445</v>
      </c>
      <c r="CX47">
        <f>IF(gamma!CX47,VLOOKUP(zeta!CX$1,main!$A$3:$H$102,5,FALSE)-VLOOKUP(zeta!$A47,main!$A$3:$H$102,6,FALSE),0)</f>
        <v>485</v>
      </c>
    </row>
    <row r="48" spans="1:102" x14ac:dyDescent="0.25">
      <c r="A48">
        <f t="shared" si="1"/>
        <v>46</v>
      </c>
      <c r="B48">
        <v>0</v>
      </c>
      <c r="C48">
        <f>IF(gamma!C48,VLOOKUP(zeta!C$1,main!$A$3:$H$102,5,FALSE)-VLOOKUP(zeta!$A48,main!$A$3:$H$102,6,FALSE),0)</f>
        <v>0</v>
      </c>
      <c r="D48">
        <f>IF(gamma!D48,VLOOKUP(zeta!D$1,main!$A$3:$H$102,5,FALSE)-VLOOKUP(zeta!$A48,main!$A$3:$H$102,6,FALSE),0)</f>
        <v>0</v>
      </c>
      <c r="E48">
        <f>IF(gamma!E48,VLOOKUP(zeta!E$1,main!$A$3:$H$102,5,FALSE)-VLOOKUP(zeta!$A48,main!$A$3:$H$102,6,FALSE),0)</f>
        <v>155</v>
      </c>
      <c r="F48">
        <f>IF(gamma!F48,VLOOKUP(zeta!F$1,main!$A$3:$H$102,5,FALSE)-VLOOKUP(zeta!$A48,main!$A$3:$H$102,6,FALSE),0)</f>
        <v>175</v>
      </c>
      <c r="G48">
        <f>IF(gamma!G48,VLOOKUP(zeta!G$1,main!$A$3:$H$102,5,FALSE)-VLOOKUP(zeta!$A48,main!$A$3:$H$102,6,FALSE),0)</f>
        <v>265</v>
      </c>
      <c r="H48">
        <f>IF(gamma!H48,VLOOKUP(zeta!H$1,main!$A$3:$H$102,5,FALSE)-VLOOKUP(zeta!$A48,main!$A$3:$H$102,6,FALSE),0)</f>
        <v>355</v>
      </c>
      <c r="I48">
        <f>IF(gamma!I48,VLOOKUP(zeta!I$1,main!$A$3:$H$102,5,FALSE)-VLOOKUP(zeta!$A48,main!$A$3:$H$102,6,FALSE),0)</f>
        <v>415</v>
      </c>
      <c r="J48">
        <f>IF(gamma!J48,VLOOKUP(zeta!J$1,main!$A$3:$H$102,5,FALSE)-VLOOKUP(zeta!$A48,main!$A$3:$H$102,6,FALSE),0)</f>
        <v>475</v>
      </c>
      <c r="K48">
        <f>IF(gamma!K48,VLOOKUP(zeta!K$1,main!$A$3:$H$102,5,FALSE)-VLOOKUP(zeta!$A48,main!$A$3:$H$102,6,FALSE),0)</f>
        <v>535</v>
      </c>
      <c r="L48">
        <f>IF(gamma!L48,VLOOKUP(zeta!L$1,main!$A$3:$H$102,5,FALSE)-VLOOKUP(zeta!$A48,main!$A$3:$H$102,6,FALSE),0)</f>
        <v>625</v>
      </c>
      <c r="M48">
        <f>IF(gamma!M48,VLOOKUP(zeta!M$1,main!$A$3:$H$102,5,FALSE)-VLOOKUP(zeta!$A48,main!$A$3:$H$102,6,FALSE),0)</f>
        <v>0</v>
      </c>
      <c r="N48">
        <f>IF(gamma!N48,VLOOKUP(zeta!N$1,main!$A$3:$H$102,5,FALSE)-VLOOKUP(zeta!$A48,main!$A$3:$H$102,6,FALSE),0)</f>
        <v>0</v>
      </c>
      <c r="O48">
        <f>IF(gamma!O48,VLOOKUP(zeta!O$1,main!$A$3:$H$102,5,FALSE)-VLOOKUP(zeta!$A48,main!$A$3:$H$102,6,FALSE),0)</f>
        <v>0</v>
      </c>
      <c r="P48">
        <f>IF(gamma!P48,VLOOKUP(zeta!P$1,main!$A$3:$H$102,5,FALSE)-VLOOKUP(zeta!$A48,main!$A$3:$H$102,6,FALSE),0)</f>
        <v>110</v>
      </c>
      <c r="Q48">
        <f>IF(gamma!Q48,VLOOKUP(zeta!Q$1,main!$A$3:$H$102,5,FALSE)-VLOOKUP(zeta!$A48,main!$A$3:$H$102,6,FALSE),0)</f>
        <v>190</v>
      </c>
      <c r="R48">
        <f>IF(gamma!R48,VLOOKUP(zeta!R$1,main!$A$3:$H$102,5,FALSE)-VLOOKUP(zeta!$A48,main!$A$3:$H$102,6,FALSE),0)</f>
        <v>230</v>
      </c>
      <c r="S48">
        <f>IF(gamma!S48,VLOOKUP(zeta!S$1,main!$A$3:$H$102,5,FALSE)-VLOOKUP(zeta!$A48,main!$A$3:$H$102,6,FALSE),0)</f>
        <v>355</v>
      </c>
      <c r="T48">
        <f>IF(gamma!T48,VLOOKUP(zeta!T$1,main!$A$3:$H$102,5,FALSE)-VLOOKUP(zeta!$A48,main!$A$3:$H$102,6,FALSE),0)</f>
        <v>435</v>
      </c>
      <c r="U48">
        <f>IF(gamma!U48,VLOOKUP(zeta!U$1,main!$A$3:$H$102,5,FALSE)-VLOOKUP(zeta!$A48,main!$A$3:$H$102,6,FALSE),0)</f>
        <v>590</v>
      </c>
      <c r="V48">
        <f>IF(gamma!V48,VLOOKUP(zeta!V$1,main!$A$3:$H$102,5,FALSE)-VLOOKUP(zeta!$A48,main!$A$3:$H$102,6,FALSE),0)</f>
        <v>650</v>
      </c>
      <c r="W48">
        <f>IF(gamma!W48,VLOOKUP(zeta!W$1,main!$A$3:$H$102,5,FALSE)-VLOOKUP(zeta!$A48,main!$A$3:$H$102,6,FALSE),0)</f>
        <v>0</v>
      </c>
      <c r="X48">
        <f>IF(gamma!X48,VLOOKUP(zeta!X$1,main!$A$3:$H$102,5,FALSE)-VLOOKUP(zeta!$A48,main!$A$3:$H$102,6,FALSE),0)</f>
        <v>65</v>
      </c>
      <c r="Y48">
        <f>IF(gamma!Y48,VLOOKUP(zeta!Y$1,main!$A$3:$H$102,5,FALSE)-VLOOKUP(zeta!$A48,main!$A$3:$H$102,6,FALSE),0)</f>
        <v>225</v>
      </c>
      <c r="Z48">
        <f>IF(gamma!Z48,VLOOKUP(zeta!Z$1,main!$A$3:$H$102,5,FALSE)-VLOOKUP(zeta!$A48,main!$A$3:$H$102,6,FALSE),0)</f>
        <v>405</v>
      </c>
      <c r="AA48">
        <f>IF(gamma!AA48,VLOOKUP(zeta!AA$1,main!$A$3:$H$102,5,FALSE)-VLOOKUP(zeta!$A48,main!$A$3:$H$102,6,FALSE),0)</f>
        <v>555</v>
      </c>
      <c r="AB48">
        <f>IF(gamma!AB48,VLOOKUP(zeta!AB$1,main!$A$3:$H$102,5,FALSE)-VLOOKUP(zeta!$A48,main!$A$3:$H$102,6,FALSE),0)</f>
        <v>0</v>
      </c>
      <c r="AC48">
        <f>IF(gamma!AC48,VLOOKUP(zeta!AC$1,main!$A$3:$H$102,5,FALSE)-VLOOKUP(zeta!$A48,main!$A$3:$H$102,6,FALSE),0)</f>
        <v>0</v>
      </c>
      <c r="AD48">
        <f>IF(gamma!AD48,VLOOKUP(zeta!AD$1,main!$A$3:$H$102,5,FALSE)-VLOOKUP(zeta!$A48,main!$A$3:$H$102,6,FALSE),0)</f>
        <v>185</v>
      </c>
      <c r="AE48">
        <f>IF(gamma!AE48,VLOOKUP(zeta!AE$1,main!$A$3:$H$102,5,FALSE)-VLOOKUP(zeta!$A48,main!$A$3:$H$102,6,FALSE),0)</f>
        <v>365</v>
      </c>
      <c r="AF48">
        <f>IF(gamma!AF48,VLOOKUP(zeta!AF$1,main!$A$3:$H$102,5,FALSE)-VLOOKUP(zeta!$A48,main!$A$3:$H$102,6,FALSE),0)</f>
        <v>535</v>
      </c>
      <c r="AG48">
        <f>IF(gamma!AG48,VLOOKUP(zeta!AG$1,main!$A$3:$H$102,5,FALSE)-VLOOKUP(zeta!$A48,main!$A$3:$H$102,6,FALSE),0)</f>
        <v>0</v>
      </c>
      <c r="AH48">
        <f>IF(gamma!AH48,VLOOKUP(zeta!AH$1,main!$A$3:$H$102,5,FALSE)-VLOOKUP(zeta!$A48,main!$A$3:$H$102,6,FALSE),0)</f>
        <v>65</v>
      </c>
      <c r="AI48">
        <f>IF(gamma!AI48,VLOOKUP(zeta!AI$1,main!$A$3:$H$102,5,FALSE)-VLOOKUP(zeta!$A48,main!$A$3:$H$102,6,FALSE),0)</f>
        <v>155</v>
      </c>
      <c r="AJ48">
        <f>IF(gamma!AJ48,VLOOKUP(zeta!AJ$1,main!$A$3:$H$102,5,FALSE)-VLOOKUP(zeta!$A48,main!$A$3:$H$102,6,FALSE),0)</f>
        <v>245</v>
      </c>
      <c r="AK48">
        <f>IF(gamma!AK48,VLOOKUP(zeta!AK$1,main!$A$3:$H$102,5,FALSE)-VLOOKUP(zeta!$A48,main!$A$3:$H$102,6,FALSE),0)</f>
        <v>335</v>
      </c>
      <c r="AL48">
        <f>IF(gamma!AL48,VLOOKUP(zeta!AL$1,main!$A$3:$H$102,5,FALSE)-VLOOKUP(zeta!$A48,main!$A$3:$H$102,6,FALSE),0)</f>
        <v>425</v>
      </c>
      <c r="AM48">
        <f>IF(gamma!AM48,VLOOKUP(zeta!AM$1,main!$A$3:$H$102,5,FALSE)-VLOOKUP(zeta!$A48,main!$A$3:$H$102,6,FALSE),0)</f>
        <v>515</v>
      </c>
      <c r="AN48">
        <f>IF(gamma!AN48,VLOOKUP(zeta!AN$1,main!$A$3:$H$102,5,FALSE)-VLOOKUP(zeta!$A48,main!$A$3:$H$102,6,FALSE),0)</f>
        <v>575</v>
      </c>
      <c r="AO48">
        <f>IF(gamma!AO48,VLOOKUP(zeta!AO$1,main!$A$3:$H$102,5,FALSE)-VLOOKUP(zeta!$A48,main!$A$3:$H$102,6,FALSE),0)</f>
        <v>0</v>
      </c>
      <c r="AP48">
        <f>IF(gamma!AP48,VLOOKUP(zeta!AP$1,main!$A$3:$H$102,5,FALSE)-VLOOKUP(zeta!$A48,main!$A$3:$H$102,6,FALSE),0)</f>
        <v>635</v>
      </c>
      <c r="AQ48">
        <f>IF(gamma!AQ48,VLOOKUP(zeta!AQ$1,main!$A$3:$H$102,5,FALSE)-VLOOKUP(zeta!$A48,main!$A$3:$H$102,6,FALSE),0)</f>
        <v>0</v>
      </c>
      <c r="AR48">
        <f>IF(gamma!AR48,VLOOKUP(zeta!AR$1,main!$A$3:$H$102,5,FALSE)-VLOOKUP(zeta!$A48,main!$A$3:$H$102,6,FALSE),0)</f>
        <v>0</v>
      </c>
      <c r="AS48">
        <f>IF(gamma!AS48,VLOOKUP(zeta!AS$1,main!$A$3:$H$102,5,FALSE)-VLOOKUP(zeta!$A48,main!$A$3:$H$102,6,FALSE),0)</f>
        <v>235</v>
      </c>
      <c r="AT48">
        <f>IF(gamma!AT48,VLOOKUP(zeta!AT$1,main!$A$3:$H$102,5,FALSE)-VLOOKUP(zeta!$A48,main!$A$3:$H$102,6,FALSE),0)</f>
        <v>385</v>
      </c>
      <c r="AU48">
        <f>IF(gamma!AU48,VLOOKUP(zeta!AU$1,main!$A$3:$H$102,5,FALSE)-VLOOKUP(zeta!$A48,main!$A$3:$H$102,6,FALSE),0)</f>
        <v>0</v>
      </c>
      <c r="AV48">
        <f>IF(gamma!AV48,VLOOKUP(zeta!AV$1,main!$A$3:$H$102,5,FALSE)-VLOOKUP(zeta!$A48,main!$A$3:$H$102,6,FALSE),0)</f>
        <v>0</v>
      </c>
      <c r="AW48">
        <f>IF(gamma!AW48,VLOOKUP(zeta!AW$1,main!$A$3:$H$102,5,FALSE)-VLOOKUP(zeta!$A48,main!$A$3:$H$102,6,FALSE),0)</f>
        <v>335</v>
      </c>
      <c r="AX48">
        <f>IF(gamma!AX48,VLOOKUP(zeta!AX$1,main!$A$3:$H$102,5,FALSE)-VLOOKUP(zeta!$A48,main!$A$3:$H$102,6,FALSE),0)</f>
        <v>175</v>
      </c>
      <c r="AY48">
        <f>IF(gamma!AY48,VLOOKUP(zeta!AY$1,main!$A$3:$H$102,5,FALSE)-VLOOKUP(zeta!$A48,main!$A$3:$H$102,6,FALSE),0)</f>
        <v>0</v>
      </c>
      <c r="AZ48">
        <f>IF(gamma!AZ48,VLOOKUP(zeta!AZ$1,main!$A$3:$H$102,5,FALSE)-VLOOKUP(zeta!$A48,main!$A$3:$H$102,6,FALSE),0)</f>
        <v>165</v>
      </c>
      <c r="BA48">
        <f>IF(gamma!BA48,VLOOKUP(zeta!BA$1,main!$A$3:$H$102,5,FALSE)-VLOOKUP(zeta!$A48,main!$A$3:$H$102,6,FALSE),0)</f>
        <v>0</v>
      </c>
      <c r="BB48">
        <f>IF(gamma!BB48,VLOOKUP(zeta!BB$1,main!$A$3:$H$102,5,FALSE)-VLOOKUP(zeta!$A48,main!$A$3:$H$102,6,FALSE),0)</f>
        <v>175</v>
      </c>
      <c r="BC48">
        <f>IF(gamma!BC48,VLOOKUP(zeta!BC$1,main!$A$3:$H$102,5,FALSE)-VLOOKUP(zeta!$A48,main!$A$3:$H$102,6,FALSE),0)</f>
        <v>295</v>
      </c>
      <c r="BD48">
        <f>IF(gamma!BD48,VLOOKUP(zeta!BD$1,main!$A$3:$H$102,5,FALSE)-VLOOKUP(zeta!$A48,main!$A$3:$H$102,6,FALSE),0)</f>
        <v>355</v>
      </c>
      <c r="BE48">
        <f>IF(gamma!BE48,VLOOKUP(zeta!BE$1,main!$A$3:$H$102,5,FALSE)-VLOOKUP(zeta!$A48,main!$A$3:$H$102,6,FALSE),0)</f>
        <v>475</v>
      </c>
      <c r="BF48">
        <f>IF(gamma!BF48,VLOOKUP(zeta!BF$1,main!$A$3:$H$102,5,FALSE)-VLOOKUP(zeta!$A48,main!$A$3:$H$102,6,FALSE),0)</f>
        <v>15</v>
      </c>
      <c r="BG48">
        <f>IF(gamma!BG48,VLOOKUP(zeta!BG$1,main!$A$3:$H$102,5,FALSE)-VLOOKUP(zeta!$A48,main!$A$3:$H$102,6,FALSE),0)</f>
        <v>65</v>
      </c>
      <c r="BH48">
        <f>IF(gamma!BH48,VLOOKUP(zeta!BH$1,main!$A$3:$H$102,5,FALSE)-VLOOKUP(zeta!$A48,main!$A$3:$H$102,6,FALSE),0)</f>
        <v>260</v>
      </c>
      <c r="BI48">
        <f>IF(gamma!BI48,VLOOKUP(zeta!BI$1,main!$A$3:$H$102,5,FALSE)-VLOOKUP(zeta!$A48,main!$A$3:$H$102,6,FALSE),0)</f>
        <v>645</v>
      </c>
      <c r="BJ48">
        <f>IF(gamma!BJ48,VLOOKUP(zeta!BJ$1,main!$A$3:$H$102,5,FALSE)-VLOOKUP(zeta!$A48,main!$A$3:$H$102,6,FALSE),0)</f>
        <v>435</v>
      </c>
      <c r="BK48">
        <f>IF(gamma!BK48,VLOOKUP(zeta!BK$1,main!$A$3:$H$102,5,FALSE)-VLOOKUP(zeta!$A48,main!$A$3:$H$102,6,FALSE),0)</f>
        <v>0</v>
      </c>
      <c r="BL48">
        <f>IF(gamma!BL48,VLOOKUP(zeta!BL$1,main!$A$3:$H$102,5,FALSE)-VLOOKUP(zeta!$A48,main!$A$3:$H$102,6,FALSE),0)</f>
        <v>0</v>
      </c>
      <c r="BM48">
        <f>IF(gamma!BM48,VLOOKUP(zeta!BM$1,main!$A$3:$H$102,5,FALSE)-VLOOKUP(zeta!$A48,main!$A$3:$H$102,6,FALSE),0)</f>
        <v>80</v>
      </c>
      <c r="BN48">
        <f>IF(gamma!BN48,VLOOKUP(zeta!BN$1,main!$A$3:$H$102,5,FALSE)-VLOOKUP(zeta!$A48,main!$A$3:$H$102,6,FALSE),0)</f>
        <v>335</v>
      </c>
      <c r="BO48">
        <f>IF(gamma!BO48,VLOOKUP(zeta!BO$1,main!$A$3:$H$102,5,FALSE)-VLOOKUP(zeta!$A48,main!$A$3:$H$102,6,FALSE),0)</f>
        <v>0</v>
      </c>
      <c r="BP48">
        <f>IF(gamma!BP48,VLOOKUP(zeta!BP$1,main!$A$3:$H$102,5,FALSE)-VLOOKUP(zeta!$A48,main!$A$3:$H$102,6,FALSE),0)</f>
        <v>0</v>
      </c>
      <c r="BQ48">
        <f>IF(gamma!BQ48,VLOOKUP(zeta!BQ$1,main!$A$3:$H$102,5,FALSE)-VLOOKUP(zeta!$A48,main!$A$3:$H$102,6,FALSE),0)</f>
        <v>190</v>
      </c>
      <c r="BR48">
        <f>IF(gamma!BR48,VLOOKUP(zeta!BR$1,main!$A$3:$H$102,5,FALSE)-VLOOKUP(zeta!$A48,main!$A$3:$H$102,6,FALSE),0)</f>
        <v>225</v>
      </c>
      <c r="BS48">
        <f>IF(gamma!BS48,VLOOKUP(zeta!BS$1,main!$A$3:$H$102,5,FALSE)-VLOOKUP(zeta!$A48,main!$A$3:$H$102,6,FALSE),0)</f>
        <v>235</v>
      </c>
      <c r="BT48">
        <f>IF(gamma!BT48,VLOOKUP(zeta!BT$1,main!$A$3:$H$102,5,FALSE)-VLOOKUP(zeta!$A48,main!$A$3:$H$102,6,FALSE),0)</f>
        <v>185</v>
      </c>
      <c r="BU48">
        <f>IF(gamma!BU48,VLOOKUP(zeta!BU$1,main!$A$3:$H$102,5,FALSE)-VLOOKUP(zeta!$A48,main!$A$3:$H$102,6,FALSE),0)</f>
        <v>0</v>
      </c>
      <c r="BV48">
        <f>IF(gamma!BV48,VLOOKUP(zeta!BV$1,main!$A$3:$H$102,5,FALSE)-VLOOKUP(zeta!$A48,main!$A$3:$H$102,6,FALSE),0)</f>
        <v>0</v>
      </c>
      <c r="BW48">
        <f>IF(gamma!BW48,VLOOKUP(zeta!BW$1,main!$A$3:$H$102,5,FALSE)-VLOOKUP(zeta!$A48,main!$A$3:$H$102,6,FALSE),0)</f>
        <v>35</v>
      </c>
      <c r="BX48">
        <f>IF(gamma!BX48,VLOOKUP(zeta!BX$1,main!$A$3:$H$102,5,FALSE)-VLOOKUP(zeta!$A48,main!$A$3:$H$102,6,FALSE),0)</f>
        <v>200</v>
      </c>
      <c r="BY48">
        <f>IF(gamma!BY48,VLOOKUP(zeta!BY$1,main!$A$3:$H$102,5,FALSE)-VLOOKUP(zeta!$A48,main!$A$3:$H$102,6,FALSE),0)</f>
        <v>285</v>
      </c>
      <c r="BZ48">
        <f>IF(gamma!BZ48,VLOOKUP(zeta!BZ$1,main!$A$3:$H$102,5,FALSE)-VLOOKUP(zeta!$A48,main!$A$3:$H$102,6,FALSE),0)</f>
        <v>0</v>
      </c>
      <c r="CA48">
        <f>IF(gamma!CA48,VLOOKUP(zeta!CA$1,main!$A$3:$H$102,5,FALSE)-VLOOKUP(zeta!$A48,main!$A$3:$H$102,6,FALSE),0)</f>
        <v>20</v>
      </c>
      <c r="CB48">
        <f>IF(gamma!CB48,VLOOKUP(zeta!CB$1,main!$A$3:$H$102,5,FALSE)-VLOOKUP(zeta!$A48,main!$A$3:$H$102,6,FALSE),0)</f>
        <v>340</v>
      </c>
      <c r="CC48">
        <f>IF(gamma!CC48,VLOOKUP(zeta!CC$1,main!$A$3:$H$102,5,FALSE)-VLOOKUP(zeta!$A48,main!$A$3:$H$102,6,FALSE),0)</f>
        <v>550</v>
      </c>
      <c r="CD48">
        <f>IF(gamma!CD48,VLOOKUP(zeta!CD$1,main!$A$3:$H$102,5,FALSE)-VLOOKUP(zeta!$A48,main!$A$3:$H$102,6,FALSE),0)</f>
        <v>285</v>
      </c>
      <c r="CE48">
        <f>IF(gamma!CE48,VLOOKUP(zeta!CE$1,main!$A$3:$H$102,5,FALSE)-VLOOKUP(zeta!$A48,main!$A$3:$H$102,6,FALSE),0)</f>
        <v>155</v>
      </c>
      <c r="CF48">
        <f>IF(gamma!CF48,VLOOKUP(zeta!CF$1,main!$A$3:$H$102,5,FALSE)-VLOOKUP(zeta!$A48,main!$A$3:$H$102,6,FALSE),0)</f>
        <v>185</v>
      </c>
      <c r="CG48">
        <f>IF(gamma!CG48,VLOOKUP(zeta!CG$1,main!$A$3:$H$102,5,FALSE)-VLOOKUP(zeta!$A48,main!$A$3:$H$102,6,FALSE),0)</f>
        <v>235</v>
      </c>
      <c r="CH48">
        <f>IF(gamma!CH48,VLOOKUP(zeta!CH$1,main!$A$3:$H$102,5,FALSE)-VLOOKUP(zeta!$A48,main!$A$3:$H$102,6,FALSE),0)</f>
        <v>435</v>
      </c>
      <c r="CI48">
        <f>IF(gamma!CI48,VLOOKUP(zeta!CI$1,main!$A$3:$H$102,5,FALSE)-VLOOKUP(zeta!$A48,main!$A$3:$H$102,6,FALSE),0)</f>
        <v>635</v>
      </c>
      <c r="CJ48">
        <f>IF(gamma!CJ48,VLOOKUP(zeta!CJ$1,main!$A$3:$H$102,5,FALSE)-VLOOKUP(zeta!$A48,main!$A$3:$H$102,6,FALSE),0)</f>
        <v>225</v>
      </c>
      <c r="CK48">
        <f>IF(gamma!CK48,VLOOKUP(zeta!CK$1,main!$A$3:$H$102,5,FALSE)-VLOOKUP(zeta!$A48,main!$A$3:$H$102,6,FALSE),0)</f>
        <v>119</v>
      </c>
      <c r="CL48">
        <f>IF(gamma!CL48,VLOOKUP(zeta!CL$1,main!$A$3:$H$102,5,FALSE)-VLOOKUP(zeta!$A48,main!$A$3:$H$102,6,FALSE),0)</f>
        <v>235</v>
      </c>
      <c r="CM48">
        <f>IF(gamma!CM48,VLOOKUP(zeta!CM$1,main!$A$3:$H$102,5,FALSE)-VLOOKUP(zeta!$A48,main!$A$3:$H$102,6,FALSE),0)</f>
        <v>411</v>
      </c>
      <c r="CN48">
        <f>IF(gamma!CN48,VLOOKUP(zeta!CN$1,main!$A$3:$H$102,5,FALSE)-VLOOKUP(zeta!$A48,main!$A$3:$H$102,6,FALSE),0)</f>
        <v>635</v>
      </c>
      <c r="CO48">
        <f>IF(gamma!CO48,VLOOKUP(zeta!CO$1,main!$A$3:$H$102,5,FALSE)-VLOOKUP(zeta!$A48,main!$A$3:$H$102,6,FALSE),0)</f>
        <v>0</v>
      </c>
      <c r="CP48">
        <f>IF(gamma!CP48,VLOOKUP(zeta!CP$1,main!$A$3:$H$102,5,FALSE)-VLOOKUP(zeta!$A48,main!$A$3:$H$102,6,FALSE),0)</f>
        <v>200</v>
      </c>
      <c r="CQ48">
        <f>IF(gamma!CQ48,VLOOKUP(zeta!CQ$1,main!$A$3:$H$102,5,FALSE)-VLOOKUP(zeta!$A48,main!$A$3:$H$102,6,FALSE),0)</f>
        <v>215</v>
      </c>
      <c r="CR48">
        <f>IF(gamma!CR48,VLOOKUP(zeta!CR$1,main!$A$3:$H$102,5,FALSE)-VLOOKUP(zeta!$A48,main!$A$3:$H$102,6,FALSE),0)</f>
        <v>400</v>
      </c>
      <c r="CS48">
        <f>IF(gamma!CS48,VLOOKUP(zeta!CS$1,main!$A$3:$H$102,5,FALSE)-VLOOKUP(zeta!$A48,main!$A$3:$H$102,6,FALSE),0)</f>
        <v>410</v>
      </c>
      <c r="CT48">
        <f>IF(gamma!CT48,VLOOKUP(zeta!CT$1,main!$A$3:$H$102,5,FALSE)-VLOOKUP(zeta!$A48,main!$A$3:$H$102,6,FALSE),0)</f>
        <v>0</v>
      </c>
      <c r="CU48">
        <f>IF(gamma!CU48,VLOOKUP(zeta!CU$1,main!$A$3:$H$102,5,FALSE)-VLOOKUP(zeta!$A48,main!$A$3:$H$102,6,FALSE),0)</f>
        <v>0</v>
      </c>
      <c r="CV48">
        <f>IF(gamma!CV48,VLOOKUP(zeta!CV$1,main!$A$3:$H$102,5,FALSE)-VLOOKUP(zeta!$A48,main!$A$3:$H$102,6,FALSE),0)</f>
        <v>215</v>
      </c>
      <c r="CW48">
        <f>IF(gamma!CW48,VLOOKUP(zeta!CW$1,main!$A$3:$H$102,5,FALSE)-VLOOKUP(zeta!$A48,main!$A$3:$H$102,6,FALSE),0)</f>
        <v>400</v>
      </c>
      <c r="CX48">
        <f>IF(gamma!CX48,VLOOKUP(zeta!CX$1,main!$A$3:$H$102,5,FALSE)-VLOOKUP(zeta!$A48,main!$A$3:$H$102,6,FALSE),0)</f>
        <v>440</v>
      </c>
    </row>
    <row r="49" spans="1:102" x14ac:dyDescent="0.25">
      <c r="A49">
        <f t="shared" si="1"/>
        <v>47</v>
      </c>
      <c r="B49">
        <v>0</v>
      </c>
      <c r="C49">
        <f>IF(gamma!C49,VLOOKUP(zeta!C$1,main!$A$3:$H$102,5,FALSE)-VLOOKUP(zeta!$A49,main!$A$3:$H$102,6,FALSE),0)</f>
        <v>0</v>
      </c>
      <c r="D49">
        <f>IF(gamma!D49,VLOOKUP(zeta!D$1,main!$A$3:$H$102,5,FALSE)-VLOOKUP(zeta!$A49,main!$A$3:$H$102,6,FALSE),0)</f>
        <v>0</v>
      </c>
      <c r="E49">
        <f>IF(gamma!E49,VLOOKUP(zeta!E$1,main!$A$3:$H$102,5,FALSE)-VLOOKUP(zeta!$A49,main!$A$3:$H$102,6,FALSE),0)</f>
        <v>0</v>
      </c>
      <c r="F49">
        <f>IF(gamma!F49,VLOOKUP(zeta!F$1,main!$A$3:$H$102,5,FALSE)-VLOOKUP(zeta!$A49,main!$A$3:$H$102,6,FALSE),0)</f>
        <v>0</v>
      </c>
      <c r="G49">
        <f>IF(gamma!G49,VLOOKUP(zeta!G$1,main!$A$3:$H$102,5,FALSE)-VLOOKUP(zeta!$A49,main!$A$3:$H$102,6,FALSE),0)</f>
        <v>0</v>
      </c>
      <c r="H49">
        <f>IF(gamma!H49,VLOOKUP(zeta!H$1,main!$A$3:$H$102,5,FALSE)-VLOOKUP(zeta!$A49,main!$A$3:$H$102,6,FALSE),0)</f>
        <v>0</v>
      </c>
      <c r="I49">
        <f>IF(gamma!I49,VLOOKUP(zeta!I$1,main!$A$3:$H$102,5,FALSE)-VLOOKUP(zeta!$A49,main!$A$3:$H$102,6,FALSE),0)</f>
        <v>0</v>
      </c>
      <c r="J49">
        <f>IF(gamma!J49,VLOOKUP(zeta!J$1,main!$A$3:$H$102,5,FALSE)-VLOOKUP(zeta!$A49,main!$A$3:$H$102,6,FALSE),0)</f>
        <v>0</v>
      </c>
      <c r="K49">
        <f>IF(gamma!K49,VLOOKUP(zeta!K$1,main!$A$3:$H$102,5,FALSE)-VLOOKUP(zeta!$A49,main!$A$3:$H$102,6,FALSE),0)</f>
        <v>80</v>
      </c>
      <c r="L49">
        <f>IF(gamma!L49,VLOOKUP(zeta!L$1,main!$A$3:$H$102,5,FALSE)-VLOOKUP(zeta!$A49,main!$A$3:$H$102,6,FALSE),0)</f>
        <v>170</v>
      </c>
      <c r="M49">
        <f>IF(gamma!M49,VLOOKUP(zeta!M$1,main!$A$3:$H$102,5,FALSE)-VLOOKUP(zeta!$A49,main!$A$3:$H$102,6,FALSE),0)</f>
        <v>0</v>
      </c>
      <c r="N49">
        <f>IF(gamma!N49,VLOOKUP(zeta!N$1,main!$A$3:$H$102,5,FALSE)-VLOOKUP(zeta!$A49,main!$A$3:$H$102,6,FALSE),0)</f>
        <v>0</v>
      </c>
      <c r="O49">
        <f>IF(gamma!O49,VLOOKUP(zeta!O$1,main!$A$3:$H$102,5,FALSE)-VLOOKUP(zeta!$A49,main!$A$3:$H$102,6,FALSE),0)</f>
        <v>0</v>
      </c>
      <c r="P49">
        <f>IF(gamma!P49,VLOOKUP(zeta!P$1,main!$A$3:$H$102,5,FALSE)-VLOOKUP(zeta!$A49,main!$A$3:$H$102,6,FALSE),0)</f>
        <v>0</v>
      </c>
      <c r="Q49">
        <f>IF(gamma!Q49,VLOOKUP(zeta!Q$1,main!$A$3:$H$102,5,FALSE)-VLOOKUP(zeta!$A49,main!$A$3:$H$102,6,FALSE),0)</f>
        <v>0</v>
      </c>
      <c r="R49">
        <f>IF(gamma!R49,VLOOKUP(zeta!R$1,main!$A$3:$H$102,5,FALSE)-VLOOKUP(zeta!$A49,main!$A$3:$H$102,6,FALSE),0)</f>
        <v>0</v>
      </c>
      <c r="S49">
        <f>IF(gamma!S49,VLOOKUP(zeta!S$1,main!$A$3:$H$102,5,FALSE)-VLOOKUP(zeta!$A49,main!$A$3:$H$102,6,FALSE),0)</f>
        <v>0</v>
      </c>
      <c r="T49">
        <f>IF(gamma!T49,VLOOKUP(zeta!T$1,main!$A$3:$H$102,5,FALSE)-VLOOKUP(zeta!$A49,main!$A$3:$H$102,6,FALSE),0)</f>
        <v>0</v>
      </c>
      <c r="U49">
        <f>IF(gamma!U49,VLOOKUP(zeta!U$1,main!$A$3:$H$102,5,FALSE)-VLOOKUP(zeta!$A49,main!$A$3:$H$102,6,FALSE),0)</f>
        <v>135</v>
      </c>
      <c r="V49">
        <f>IF(gamma!V49,VLOOKUP(zeta!V$1,main!$A$3:$H$102,5,FALSE)-VLOOKUP(zeta!$A49,main!$A$3:$H$102,6,FALSE),0)</f>
        <v>195</v>
      </c>
      <c r="W49">
        <f>IF(gamma!W49,VLOOKUP(zeta!W$1,main!$A$3:$H$102,5,FALSE)-VLOOKUP(zeta!$A49,main!$A$3:$H$102,6,FALSE),0)</f>
        <v>0</v>
      </c>
      <c r="X49">
        <f>IF(gamma!X49,VLOOKUP(zeta!X$1,main!$A$3:$H$102,5,FALSE)-VLOOKUP(zeta!$A49,main!$A$3:$H$102,6,FALSE),0)</f>
        <v>0</v>
      </c>
      <c r="Y49">
        <f>IF(gamma!Y49,VLOOKUP(zeta!Y$1,main!$A$3:$H$102,5,FALSE)-VLOOKUP(zeta!$A49,main!$A$3:$H$102,6,FALSE),0)</f>
        <v>0</v>
      </c>
      <c r="Z49">
        <f>IF(gamma!Z49,VLOOKUP(zeta!Z$1,main!$A$3:$H$102,5,FALSE)-VLOOKUP(zeta!$A49,main!$A$3:$H$102,6,FALSE),0)</f>
        <v>0</v>
      </c>
      <c r="AA49">
        <f>IF(gamma!AA49,VLOOKUP(zeta!AA$1,main!$A$3:$H$102,5,FALSE)-VLOOKUP(zeta!$A49,main!$A$3:$H$102,6,FALSE),0)</f>
        <v>100</v>
      </c>
      <c r="AB49">
        <f>IF(gamma!AB49,VLOOKUP(zeta!AB$1,main!$A$3:$H$102,5,FALSE)-VLOOKUP(zeta!$A49,main!$A$3:$H$102,6,FALSE),0)</f>
        <v>0</v>
      </c>
      <c r="AC49">
        <f>IF(gamma!AC49,VLOOKUP(zeta!AC$1,main!$A$3:$H$102,5,FALSE)-VLOOKUP(zeta!$A49,main!$A$3:$H$102,6,FALSE),0)</f>
        <v>0</v>
      </c>
      <c r="AD49">
        <f>IF(gamma!AD49,VLOOKUP(zeta!AD$1,main!$A$3:$H$102,5,FALSE)-VLOOKUP(zeta!$A49,main!$A$3:$H$102,6,FALSE),0)</f>
        <v>0</v>
      </c>
      <c r="AE49">
        <f>IF(gamma!AE49,VLOOKUP(zeta!AE$1,main!$A$3:$H$102,5,FALSE)-VLOOKUP(zeta!$A49,main!$A$3:$H$102,6,FALSE),0)</f>
        <v>0</v>
      </c>
      <c r="AF49">
        <f>IF(gamma!AF49,VLOOKUP(zeta!AF$1,main!$A$3:$H$102,5,FALSE)-VLOOKUP(zeta!$A49,main!$A$3:$H$102,6,FALSE),0)</f>
        <v>80</v>
      </c>
      <c r="AG49">
        <f>IF(gamma!AG49,VLOOKUP(zeta!AG$1,main!$A$3:$H$102,5,FALSE)-VLOOKUP(zeta!$A49,main!$A$3:$H$102,6,FALSE),0)</f>
        <v>0</v>
      </c>
      <c r="AH49">
        <f>IF(gamma!AH49,VLOOKUP(zeta!AH$1,main!$A$3:$H$102,5,FALSE)-VLOOKUP(zeta!$A49,main!$A$3:$H$102,6,FALSE),0)</f>
        <v>0</v>
      </c>
      <c r="AI49">
        <f>IF(gamma!AI49,VLOOKUP(zeta!AI$1,main!$A$3:$H$102,5,FALSE)-VLOOKUP(zeta!$A49,main!$A$3:$H$102,6,FALSE),0)</f>
        <v>0</v>
      </c>
      <c r="AJ49">
        <f>IF(gamma!AJ49,VLOOKUP(zeta!AJ$1,main!$A$3:$H$102,5,FALSE)-VLOOKUP(zeta!$A49,main!$A$3:$H$102,6,FALSE),0)</f>
        <v>0</v>
      </c>
      <c r="AK49">
        <f>IF(gamma!AK49,VLOOKUP(zeta!AK$1,main!$A$3:$H$102,5,FALSE)-VLOOKUP(zeta!$A49,main!$A$3:$H$102,6,FALSE),0)</f>
        <v>0</v>
      </c>
      <c r="AL49">
        <f>IF(gamma!AL49,VLOOKUP(zeta!AL$1,main!$A$3:$H$102,5,FALSE)-VLOOKUP(zeta!$A49,main!$A$3:$H$102,6,FALSE),0)</f>
        <v>0</v>
      </c>
      <c r="AM49">
        <f>IF(gamma!AM49,VLOOKUP(zeta!AM$1,main!$A$3:$H$102,5,FALSE)-VLOOKUP(zeta!$A49,main!$A$3:$H$102,6,FALSE),0)</f>
        <v>60</v>
      </c>
      <c r="AN49">
        <f>IF(gamma!AN49,VLOOKUP(zeta!AN$1,main!$A$3:$H$102,5,FALSE)-VLOOKUP(zeta!$A49,main!$A$3:$H$102,6,FALSE),0)</f>
        <v>120</v>
      </c>
      <c r="AO49">
        <f>IF(gamma!AO49,VLOOKUP(zeta!AO$1,main!$A$3:$H$102,5,FALSE)-VLOOKUP(zeta!$A49,main!$A$3:$H$102,6,FALSE),0)</f>
        <v>0</v>
      </c>
      <c r="AP49">
        <f>IF(gamma!AP49,VLOOKUP(zeta!AP$1,main!$A$3:$H$102,5,FALSE)-VLOOKUP(zeta!$A49,main!$A$3:$H$102,6,FALSE),0)</f>
        <v>180</v>
      </c>
      <c r="AQ49">
        <f>IF(gamma!AQ49,VLOOKUP(zeta!AQ$1,main!$A$3:$H$102,5,FALSE)-VLOOKUP(zeta!$A49,main!$A$3:$H$102,6,FALSE),0)</f>
        <v>0</v>
      </c>
      <c r="AR49">
        <f>IF(gamma!AR49,VLOOKUP(zeta!AR$1,main!$A$3:$H$102,5,FALSE)-VLOOKUP(zeta!$A49,main!$A$3:$H$102,6,FALSE),0)</f>
        <v>0</v>
      </c>
      <c r="AS49">
        <f>IF(gamma!AS49,VLOOKUP(zeta!AS$1,main!$A$3:$H$102,5,FALSE)-VLOOKUP(zeta!$A49,main!$A$3:$H$102,6,FALSE),0)</f>
        <v>0</v>
      </c>
      <c r="AT49">
        <f>IF(gamma!AT49,VLOOKUP(zeta!AT$1,main!$A$3:$H$102,5,FALSE)-VLOOKUP(zeta!$A49,main!$A$3:$H$102,6,FALSE),0)</f>
        <v>0</v>
      </c>
      <c r="AU49">
        <f>IF(gamma!AU49,VLOOKUP(zeta!AU$1,main!$A$3:$H$102,5,FALSE)-VLOOKUP(zeta!$A49,main!$A$3:$H$102,6,FALSE),0)</f>
        <v>0</v>
      </c>
      <c r="AV49">
        <f>IF(gamma!AV49,VLOOKUP(zeta!AV$1,main!$A$3:$H$102,5,FALSE)-VLOOKUP(zeta!$A49,main!$A$3:$H$102,6,FALSE),0)</f>
        <v>0</v>
      </c>
      <c r="AW49">
        <f>IF(gamma!AW49,VLOOKUP(zeta!AW$1,main!$A$3:$H$102,5,FALSE)-VLOOKUP(zeta!$A49,main!$A$3:$H$102,6,FALSE),0)</f>
        <v>0</v>
      </c>
      <c r="AX49">
        <f>IF(gamma!AX49,VLOOKUP(zeta!AX$1,main!$A$3:$H$102,5,FALSE)-VLOOKUP(zeta!$A49,main!$A$3:$H$102,6,FALSE),0)</f>
        <v>0</v>
      </c>
      <c r="AY49">
        <f>IF(gamma!AY49,VLOOKUP(zeta!AY$1,main!$A$3:$H$102,5,FALSE)-VLOOKUP(zeta!$A49,main!$A$3:$H$102,6,FALSE),0)</f>
        <v>0</v>
      </c>
      <c r="AZ49">
        <f>IF(gamma!AZ49,VLOOKUP(zeta!AZ$1,main!$A$3:$H$102,5,FALSE)-VLOOKUP(zeta!$A49,main!$A$3:$H$102,6,FALSE),0)</f>
        <v>0</v>
      </c>
      <c r="BA49">
        <f>IF(gamma!BA49,VLOOKUP(zeta!BA$1,main!$A$3:$H$102,5,FALSE)-VLOOKUP(zeta!$A49,main!$A$3:$H$102,6,FALSE),0)</f>
        <v>0</v>
      </c>
      <c r="BB49">
        <f>IF(gamma!BB49,VLOOKUP(zeta!BB$1,main!$A$3:$H$102,5,FALSE)-VLOOKUP(zeta!$A49,main!$A$3:$H$102,6,FALSE),0)</f>
        <v>0</v>
      </c>
      <c r="BC49">
        <f>IF(gamma!BC49,VLOOKUP(zeta!BC$1,main!$A$3:$H$102,5,FALSE)-VLOOKUP(zeta!$A49,main!$A$3:$H$102,6,FALSE),0)</f>
        <v>0</v>
      </c>
      <c r="BD49">
        <f>IF(gamma!BD49,VLOOKUP(zeta!BD$1,main!$A$3:$H$102,5,FALSE)-VLOOKUP(zeta!$A49,main!$A$3:$H$102,6,FALSE),0)</f>
        <v>0</v>
      </c>
      <c r="BE49">
        <f>IF(gamma!BE49,VLOOKUP(zeta!BE$1,main!$A$3:$H$102,5,FALSE)-VLOOKUP(zeta!$A49,main!$A$3:$H$102,6,FALSE),0)</f>
        <v>20</v>
      </c>
      <c r="BF49">
        <f>IF(gamma!BF49,VLOOKUP(zeta!BF$1,main!$A$3:$H$102,5,FALSE)-VLOOKUP(zeta!$A49,main!$A$3:$H$102,6,FALSE),0)</f>
        <v>0</v>
      </c>
      <c r="BG49">
        <f>IF(gamma!BG49,VLOOKUP(zeta!BG$1,main!$A$3:$H$102,5,FALSE)-VLOOKUP(zeta!$A49,main!$A$3:$H$102,6,FALSE),0)</f>
        <v>0</v>
      </c>
      <c r="BH49">
        <f>IF(gamma!BH49,VLOOKUP(zeta!BH$1,main!$A$3:$H$102,5,FALSE)-VLOOKUP(zeta!$A49,main!$A$3:$H$102,6,FALSE),0)</f>
        <v>0</v>
      </c>
      <c r="BI49">
        <f>IF(gamma!BI49,VLOOKUP(zeta!BI$1,main!$A$3:$H$102,5,FALSE)-VLOOKUP(zeta!$A49,main!$A$3:$H$102,6,FALSE),0)</f>
        <v>190</v>
      </c>
      <c r="BJ49">
        <f>IF(gamma!BJ49,VLOOKUP(zeta!BJ$1,main!$A$3:$H$102,5,FALSE)-VLOOKUP(zeta!$A49,main!$A$3:$H$102,6,FALSE),0)</f>
        <v>0</v>
      </c>
      <c r="BK49">
        <f>IF(gamma!BK49,VLOOKUP(zeta!BK$1,main!$A$3:$H$102,5,FALSE)-VLOOKUP(zeta!$A49,main!$A$3:$H$102,6,FALSE),0)</f>
        <v>0</v>
      </c>
      <c r="BL49">
        <f>IF(gamma!BL49,VLOOKUP(zeta!BL$1,main!$A$3:$H$102,5,FALSE)-VLOOKUP(zeta!$A49,main!$A$3:$H$102,6,FALSE),0)</f>
        <v>0</v>
      </c>
      <c r="BM49">
        <f>IF(gamma!BM49,VLOOKUP(zeta!BM$1,main!$A$3:$H$102,5,FALSE)-VLOOKUP(zeta!$A49,main!$A$3:$H$102,6,FALSE),0)</f>
        <v>0</v>
      </c>
      <c r="BN49">
        <f>IF(gamma!BN49,VLOOKUP(zeta!BN$1,main!$A$3:$H$102,5,FALSE)-VLOOKUP(zeta!$A49,main!$A$3:$H$102,6,FALSE),0)</f>
        <v>0</v>
      </c>
      <c r="BO49">
        <f>IF(gamma!BO49,VLOOKUP(zeta!BO$1,main!$A$3:$H$102,5,FALSE)-VLOOKUP(zeta!$A49,main!$A$3:$H$102,6,FALSE),0)</f>
        <v>0</v>
      </c>
      <c r="BP49">
        <f>IF(gamma!BP49,VLOOKUP(zeta!BP$1,main!$A$3:$H$102,5,FALSE)-VLOOKUP(zeta!$A49,main!$A$3:$H$102,6,FALSE),0)</f>
        <v>0</v>
      </c>
      <c r="BQ49">
        <f>IF(gamma!BQ49,VLOOKUP(zeta!BQ$1,main!$A$3:$H$102,5,FALSE)-VLOOKUP(zeta!$A49,main!$A$3:$H$102,6,FALSE),0)</f>
        <v>0</v>
      </c>
      <c r="BR49">
        <f>IF(gamma!BR49,VLOOKUP(zeta!BR$1,main!$A$3:$H$102,5,FALSE)-VLOOKUP(zeta!$A49,main!$A$3:$H$102,6,FALSE),0)</f>
        <v>0</v>
      </c>
      <c r="BS49">
        <f>IF(gamma!BS49,VLOOKUP(zeta!BS$1,main!$A$3:$H$102,5,FALSE)-VLOOKUP(zeta!$A49,main!$A$3:$H$102,6,FALSE),0)</f>
        <v>0</v>
      </c>
      <c r="BT49">
        <f>IF(gamma!BT49,VLOOKUP(zeta!BT$1,main!$A$3:$H$102,5,FALSE)-VLOOKUP(zeta!$A49,main!$A$3:$H$102,6,FALSE),0)</f>
        <v>0</v>
      </c>
      <c r="BU49">
        <f>IF(gamma!BU49,VLOOKUP(zeta!BU$1,main!$A$3:$H$102,5,FALSE)-VLOOKUP(zeta!$A49,main!$A$3:$H$102,6,FALSE),0)</f>
        <v>0</v>
      </c>
      <c r="BV49">
        <f>IF(gamma!BV49,VLOOKUP(zeta!BV$1,main!$A$3:$H$102,5,FALSE)-VLOOKUP(zeta!$A49,main!$A$3:$H$102,6,FALSE),0)</f>
        <v>0</v>
      </c>
      <c r="BW49">
        <f>IF(gamma!BW49,VLOOKUP(zeta!BW$1,main!$A$3:$H$102,5,FALSE)-VLOOKUP(zeta!$A49,main!$A$3:$H$102,6,FALSE),0)</f>
        <v>0</v>
      </c>
      <c r="BX49">
        <f>IF(gamma!BX49,VLOOKUP(zeta!BX$1,main!$A$3:$H$102,5,FALSE)-VLOOKUP(zeta!$A49,main!$A$3:$H$102,6,FALSE),0)</f>
        <v>0</v>
      </c>
      <c r="BY49">
        <f>IF(gamma!BY49,VLOOKUP(zeta!BY$1,main!$A$3:$H$102,5,FALSE)-VLOOKUP(zeta!$A49,main!$A$3:$H$102,6,FALSE),0)</f>
        <v>0</v>
      </c>
      <c r="BZ49">
        <f>IF(gamma!BZ49,VLOOKUP(zeta!BZ$1,main!$A$3:$H$102,5,FALSE)-VLOOKUP(zeta!$A49,main!$A$3:$H$102,6,FALSE),0)</f>
        <v>0</v>
      </c>
      <c r="CA49">
        <f>IF(gamma!CA49,VLOOKUP(zeta!CA$1,main!$A$3:$H$102,5,FALSE)-VLOOKUP(zeta!$A49,main!$A$3:$H$102,6,FALSE),0)</f>
        <v>0</v>
      </c>
      <c r="CB49">
        <f>IF(gamma!CB49,VLOOKUP(zeta!CB$1,main!$A$3:$H$102,5,FALSE)-VLOOKUP(zeta!$A49,main!$A$3:$H$102,6,FALSE),0)</f>
        <v>0</v>
      </c>
      <c r="CC49">
        <f>IF(gamma!CC49,VLOOKUP(zeta!CC$1,main!$A$3:$H$102,5,FALSE)-VLOOKUP(zeta!$A49,main!$A$3:$H$102,6,FALSE),0)</f>
        <v>95</v>
      </c>
      <c r="CD49">
        <f>IF(gamma!CD49,VLOOKUP(zeta!CD$1,main!$A$3:$H$102,5,FALSE)-VLOOKUP(zeta!$A49,main!$A$3:$H$102,6,FALSE),0)</f>
        <v>0</v>
      </c>
      <c r="CE49">
        <f>IF(gamma!CE49,VLOOKUP(zeta!CE$1,main!$A$3:$H$102,5,FALSE)-VLOOKUP(zeta!$A49,main!$A$3:$H$102,6,FALSE),0)</f>
        <v>0</v>
      </c>
      <c r="CF49">
        <f>IF(gamma!CF49,VLOOKUP(zeta!CF$1,main!$A$3:$H$102,5,FALSE)-VLOOKUP(zeta!$A49,main!$A$3:$H$102,6,FALSE),0)</f>
        <v>0</v>
      </c>
      <c r="CG49">
        <f>IF(gamma!CG49,VLOOKUP(zeta!CG$1,main!$A$3:$H$102,5,FALSE)-VLOOKUP(zeta!$A49,main!$A$3:$H$102,6,FALSE),0)</f>
        <v>0</v>
      </c>
      <c r="CH49">
        <f>IF(gamma!CH49,VLOOKUP(zeta!CH$1,main!$A$3:$H$102,5,FALSE)-VLOOKUP(zeta!$A49,main!$A$3:$H$102,6,FALSE),0)</f>
        <v>0</v>
      </c>
      <c r="CI49">
        <f>IF(gamma!CI49,VLOOKUP(zeta!CI$1,main!$A$3:$H$102,5,FALSE)-VLOOKUP(zeta!$A49,main!$A$3:$H$102,6,FALSE),0)</f>
        <v>180</v>
      </c>
      <c r="CJ49">
        <f>IF(gamma!CJ49,VLOOKUP(zeta!CJ$1,main!$A$3:$H$102,5,FALSE)-VLOOKUP(zeta!$A49,main!$A$3:$H$102,6,FALSE),0)</f>
        <v>0</v>
      </c>
      <c r="CK49">
        <f>IF(gamma!CK49,VLOOKUP(zeta!CK$1,main!$A$3:$H$102,5,FALSE)-VLOOKUP(zeta!$A49,main!$A$3:$H$102,6,FALSE),0)</f>
        <v>0</v>
      </c>
      <c r="CL49">
        <f>IF(gamma!CL49,VLOOKUP(zeta!CL$1,main!$A$3:$H$102,5,FALSE)-VLOOKUP(zeta!$A49,main!$A$3:$H$102,6,FALSE),0)</f>
        <v>0</v>
      </c>
      <c r="CM49">
        <f>IF(gamma!CM49,VLOOKUP(zeta!CM$1,main!$A$3:$H$102,5,FALSE)-VLOOKUP(zeta!$A49,main!$A$3:$H$102,6,FALSE),0)</f>
        <v>0</v>
      </c>
      <c r="CN49">
        <f>IF(gamma!CN49,VLOOKUP(zeta!CN$1,main!$A$3:$H$102,5,FALSE)-VLOOKUP(zeta!$A49,main!$A$3:$H$102,6,FALSE),0)</f>
        <v>180</v>
      </c>
      <c r="CO49">
        <f>IF(gamma!CO49,VLOOKUP(zeta!CO$1,main!$A$3:$H$102,5,FALSE)-VLOOKUP(zeta!$A49,main!$A$3:$H$102,6,FALSE),0)</f>
        <v>0</v>
      </c>
      <c r="CP49">
        <f>IF(gamma!CP49,VLOOKUP(zeta!CP$1,main!$A$3:$H$102,5,FALSE)-VLOOKUP(zeta!$A49,main!$A$3:$H$102,6,FALSE),0)</f>
        <v>0</v>
      </c>
      <c r="CQ49">
        <f>IF(gamma!CQ49,VLOOKUP(zeta!CQ$1,main!$A$3:$H$102,5,FALSE)-VLOOKUP(zeta!$A49,main!$A$3:$H$102,6,FALSE),0)</f>
        <v>0</v>
      </c>
      <c r="CR49">
        <f>IF(gamma!CR49,VLOOKUP(zeta!CR$1,main!$A$3:$H$102,5,FALSE)-VLOOKUP(zeta!$A49,main!$A$3:$H$102,6,FALSE),0)</f>
        <v>0</v>
      </c>
      <c r="CS49">
        <f>IF(gamma!CS49,VLOOKUP(zeta!CS$1,main!$A$3:$H$102,5,FALSE)-VLOOKUP(zeta!$A49,main!$A$3:$H$102,6,FALSE),0)</f>
        <v>0</v>
      </c>
      <c r="CT49">
        <f>IF(gamma!CT49,VLOOKUP(zeta!CT$1,main!$A$3:$H$102,5,FALSE)-VLOOKUP(zeta!$A49,main!$A$3:$H$102,6,FALSE),0)</f>
        <v>0</v>
      </c>
      <c r="CU49">
        <f>IF(gamma!CU49,VLOOKUP(zeta!CU$1,main!$A$3:$H$102,5,FALSE)-VLOOKUP(zeta!$A49,main!$A$3:$H$102,6,FALSE),0)</f>
        <v>0</v>
      </c>
      <c r="CV49">
        <f>IF(gamma!CV49,VLOOKUP(zeta!CV$1,main!$A$3:$H$102,5,FALSE)-VLOOKUP(zeta!$A49,main!$A$3:$H$102,6,FALSE),0)</f>
        <v>0</v>
      </c>
      <c r="CW49">
        <f>IF(gamma!CW49,VLOOKUP(zeta!CW$1,main!$A$3:$H$102,5,FALSE)-VLOOKUP(zeta!$A49,main!$A$3:$H$102,6,FALSE),0)</f>
        <v>0</v>
      </c>
      <c r="CX49">
        <f>IF(gamma!CX49,VLOOKUP(zeta!CX$1,main!$A$3:$H$102,5,FALSE)-VLOOKUP(zeta!$A49,main!$A$3:$H$102,6,FALSE),0)</f>
        <v>0</v>
      </c>
    </row>
    <row r="50" spans="1:102" x14ac:dyDescent="0.25">
      <c r="A50">
        <f t="shared" si="1"/>
        <v>48</v>
      </c>
      <c r="B50">
        <v>0</v>
      </c>
      <c r="C50">
        <f>IF(gamma!C50,VLOOKUP(zeta!C$1,main!$A$3:$H$102,5,FALSE)-VLOOKUP(zeta!$A50,main!$A$3:$H$102,6,FALSE),0)</f>
        <v>0</v>
      </c>
      <c r="D50">
        <f>IF(gamma!D50,VLOOKUP(zeta!D$1,main!$A$3:$H$102,5,FALSE)-VLOOKUP(zeta!$A50,main!$A$3:$H$102,6,FALSE),0)</f>
        <v>0</v>
      </c>
      <c r="E50">
        <f>IF(gamma!E50,VLOOKUP(zeta!E$1,main!$A$3:$H$102,5,FALSE)-VLOOKUP(zeta!$A50,main!$A$3:$H$102,6,FALSE),0)</f>
        <v>0</v>
      </c>
      <c r="F50">
        <f>IF(gamma!F50,VLOOKUP(zeta!F$1,main!$A$3:$H$102,5,FALSE)-VLOOKUP(zeta!$A50,main!$A$3:$H$102,6,FALSE),0)</f>
        <v>0</v>
      </c>
      <c r="G50">
        <f>IF(gamma!G50,VLOOKUP(zeta!G$1,main!$A$3:$H$102,5,FALSE)-VLOOKUP(zeta!$A50,main!$A$3:$H$102,6,FALSE),0)</f>
        <v>0</v>
      </c>
      <c r="H50">
        <f>IF(gamma!H50,VLOOKUP(zeta!H$1,main!$A$3:$H$102,5,FALSE)-VLOOKUP(zeta!$A50,main!$A$3:$H$102,6,FALSE),0)</f>
        <v>75</v>
      </c>
      <c r="I50">
        <f>IF(gamma!I50,VLOOKUP(zeta!I$1,main!$A$3:$H$102,5,FALSE)-VLOOKUP(zeta!$A50,main!$A$3:$H$102,6,FALSE),0)</f>
        <v>135</v>
      </c>
      <c r="J50">
        <f>IF(gamma!J50,VLOOKUP(zeta!J$1,main!$A$3:$H$102,5,FALSE)-VLOOKUP(zeta!$A50,main!$A$3:$H$102,6,FALSE),0)</f>
        <v>195</v>
      </c>
      <c r="K50">
        <f>IF(gamma!K50,VLOOKUP(zeta!K$1,main!$A$3:$H$102,5,FALSE)-VLOOKUP(zeta!$A50,main!$A$3:$H$102,6,FALSE),0)</f>
        <v>255</v>
      </c>
      <c r="L50">
        <f>IF(gamma!L50,VLOOKUP(zeta!L$1,main!$A$3:$H$102,5,FALSE)-VLOOKUP(zeta!$A50,main!$A$3:$H$102,6,FALSE),0)</f>
        <v>345</v>
      </c>
      <c r="M50">
        <f>IF(gamma!M50,VLOOKUP(zeta!M$1,main!$A$3:$H$102,5,FALSE)-VLOOKUP(zeta!$A50,main!$A$3:$H$102,6,FALSE),0)</f>
        <v>0</v>
      </c>
      <c r="N50">
        <f>IF(gamma!N50,VLOOKUP(zeta!N$1,main!$A$3:$H$102,5,FALSE)-VLOOKUP(zeta!$A50,main!$A$3:$H$102,6,FALSE),0)</f>
        <v>0</v>
      </c>
      <c r="O50">
        <f>IF(gamma!O50,VLOOKUP(zeta!O$1,main!$A$3:$H$102,5,FALSE)-VLOOKUP(zeta!$A50,main!$A$3:$H$102,6,FALSE),0)</f>
        <v>0</v>
      </c>
      <c r="P50">
        <f>IF(gamma!P50,VLOOKUP(zeta!P$1,main!$A$3:$H$102,5,FALSE)-VLOOKUP(zeta!$A50,main!$A$3:$H$102,6,FALSE),0)</f>
        <v>0</v>
      </c>
      <c r="Q50">
        <f>IF(gamma!Q50,VLOOKUP(zeta!Q$1,main!$A$3:$H$102,5,FALSE)-VLOOKUP(zeta!$A50,main!$A$3:$H$102,6,FALSE),0)</f>
        <v>0</v>
      </c>
      <c r="R50">
        <f>IF(gamma!R50,VLOOKUP(zeta!R$1,main!$A$3:$H$102,5,FALSE)-VLOOKUP(zeta!$A50,main!$A$3:$H$102,6,FALSE),0)</f>
        <v>0</v>
      </c>
      <c r="S50">
        <f>IF(gamma!S50,VLOOKUP(zeta!S$1,main!$A$3:$H$102,5,FALSE)-VLOOKUP(zeta!$A50,main!$A$3:$H$102,6,FALSE),0)</f>
        <v>75</v>
      </c>
      <c r="T50">
        <f>IF(gamma!T50,VLOOKUP(zeta!T$1,main!$A$3:$H$102,5,FALSE)-VLOOKUP(zeta!$A50,main!$A$3:$H$102,6,FALSE),0)</f>
        <v>155</v>
      </c>
      <c r="U50">
        <f>IF(gamma!U50,VLOOKUP(zeta!U$1,main!$A$3:$H$102,5,FALSE)-VLOOKUP(zeta!$A50,main!$A$3:$H$102,6,FALSE),0)</f>
        <v>310</v>
      </c>
      <c r="V50">
        <f>IF(gamma!V50,VLOOKUP(zeta!V$1,main!$A$3:$H$102,5,FALSE)-VLOOKUP(zeta!$A50,main!$A$3:$H$102,6,FALSE),0)</f>
        <v>370</v>
      </c>
      <c r="W50">
        <f>IF(gamma!W50,VLOOKUP(zeta!W$1,main!$A$3:$H$102,5,FALSE)-VLOOKUP(zeta!$A50,main!$A$3:$H$102,6,FALSE),0)</f>
        <v>0</v>
      </c>
      <c r="X50">
        <f>IF(gamma!X50,VLOOKUP(zeta!X$1,main!$A$3:$H$102,5,FALSE)-VLOOKUP(zeta!$A50,main!$A$3:$H$102,6,FALSE),0)</f>
        <v>0</v>
      </c>
      <c r="Y50">
        <f>IF(gamma!Y50,VLOOKUP(zeta!Y$1,main!$A$3:$H$102,5,FALSE)-VLOOKUP(zeta!$A50,main!$A$3:$H$102,6,FALSE),0)</f>
        <v>0</v>
      </c>
      <c r="Z50">
        <f>IF(gamma!Z50,VLOOKUP(zeta!Z$1,main!$A$3:$H$102,5,FALSE)-VLOOKUP(zeta!$A50,main!$A$3:$H$102,6,FALSE),0)</f>
        <v>125</v>
      </c>
      <c r="AA50">
        <f>IF(gamma!AA50,VLOOKUP(zeta!AA$1,main!$A$3:$H$102,5,FALSE)-VLOOKUP(zeta!$A50,main!$A$3:$H$102,6,FALSE),0)</f>
        <v>275</v>
      </c>
      <c r="AB50">
        <f>IF(gamma!AB50,VLOOKUP(zeta!AB$1,main!$A$3:$H$102,5,FALSE)-VLOOKUP(zeta!$A50,main!$A$3:$H$102,6,FALSE),0)</f>
        <v>0</v>
      </c>
      <c r="AC50">
        <f>IF(gamma!AC50,VLOOKUP(zeta!AC$1,main!$A$3:$H$102,5,FALSE)-VLOOKUP(zeta!$A50,main!$A$3:$H$102,6,FALSE),0)</f>
        <v>0</v>
      </c>
      <c r="AD50">
        <f>IF(gamma!AD50,VLOOKUP(zeta!AD$1,main!$A$3:$H$102,5,FALSE)-VLOOKUP(zeta!$A50,main!$A$3:$H$102,6,FALSE),0)</f>
        <v>0</v>
      </c>
      <c r="AE50">
        <f>IF(gamma!AE50,VLOOKUP(zeta!AE$1,main!$A$3:$H$102,5,FALSE)-VLOOKUP(zeta!$A50,main!$A$3:$H$102,6,FALSE),0)</f>
        <v>85</v>
      </c>
      <c r="AF50">
        <f>IF(gamma!AF50,VLOOKUP(zeta!AF$1,main!$A$3:$H$102,5,FALSE)-VLOOKUP(zeta!$A50,main!$A$3:$H$102,6,FALSE),0)</f>
        <v>255</v>
      </c>
      <c r="AG50">
        <f>IF(gamma!AG50,VLOOKUP(zeta!AG$1,main!$A$3:$H$102,5,FALSE)-VLOOKUP(zeta!$A50,main!$A$3:$H$102,6,FALSE),0)</f>
        <v>0</v>
      </c>
      <c r="AH50">
        <f>IF(gamma!AH50,VLOOKUP(zeta!AH$1,main!$A$3:$H$102,5,FALSE)-VLOOKUP(zeta!$A50,main!$A$3:$H$102,6,FALSE),0)</f>
        <v>0</v>
      </c>
      <c r="AI50">
        <f>IF(gamma!AI50,VLOOKUP(zeta!AI$1,main!$A$3:$H$102,5,FALSE)-VLOOKUP(zeta!$A50,main!$A$3:$H$102,6,FALSE),0)</f>
        <v>0</v>
      </c>
      <c r="AJ50">
        <f>IF(gamma!AJ50,VLOOKUP(zeta!AJ$1,main!$A$3:$H$102,5,FALSE)-VLOOKUP(zeta!$A50,main!$A$3:$H$102,6,FALSE),0)</f>
        <v>0</v>
      </c>
      <c r="AK50">
        <f>IF(gamma!AK50,VLOOKUP(zeta!AK$1,main!$A$3:$H$102,5,FALSE)-VLOOKUP(zeta!$A50,main!$A$3:$H$102,6,FALSE),0)</f>
        <v>55</v>
      </c>
      <c r="AL50">
        <f>IF(gamma!AL50,VLOOKUP(zeta!AL$1,main!$A$3:$H$102,5,FALSE)-VLOOKUP(zeta!$A50,main!$A$3:$H$102,6,FALSE),0)</f>
        <v>145</v>
      </c>
      <c r="AM50">
        <f>IF(gamma!AM50,VLOOKUP(zeta!AM$1,main!$A$3:$H$102,5,FALSE)-VLOOKUP(zeta!$A50,main!$A$3:$H$102,6,FALSE),0)</f>
        <v>235</v>
      </c>
      <c r="AN50">
        <f>IF(gamma!AN50,VLOOKUP(zeta!AN$1,main!$A$3:$H$102,5,FALSE)-VLOOKUP(zeta!$A50,main!$A$3:$H$102,6,FALSE),0)</f>
        <v>295</v>
      </c>
      <c r="AO50">
        <f>IF(gamma!AO50,VLOOKUP(zeta!AO$1,main!$A$3:$H$102,5,FALSE)-VLOOKUP(zeta!$A50,main!$A$3:$H$102,6,FALSE),0)</f>
        <v>0</v>
      </c>
      <c r="AP50">
        <f>IF(gamma!AP50,VLOOKUP(zeta!AP$1,main!$A$3:$H$102,5,FALSE)-VLOOKUP(zeta!$A50,main!$A$3:$H$102,6,FALSE),0)</f>
        <v>355</v>
      </c>
      <c r="AQ50">
        <f>IF(gamma!AQ50,VLOOKUP(zeta!AQ$1,main!$A$3:$H$102,5,FALSE)-VLOOKUP(zeta!$A50,main!$A$3:$H$102,6,FALSE),0)</f>
        <v>0</v>
      </c>
      <c r="AR50">
        <f>IF(gamma!AR50,VLOOKUP(zeta!AR$1,main!$A$3:$H$102,5,FALSE)-VLOOKUP(zeta!$A50,main!$A$3:$H$102,6,FALSE),0)</f>
        <v>0</v>
      </c>
      <c r="AS50">
        <f>IF(gamma!AS50,VLOOKUP(zeta!AS$1,main!$A$3:$H$102,5,FALSE)-VLOOKUP(zeta!$A50,main!$A$3:$H$102,6,FALSE),0)</f>
        <v>0</v>
      </c>
      <c r="AT50">
        <f>IF(gamma!AT50,VLOOKUP(zeta!AT$1,main!$A$3:$H$102,5,FALSE)-VLOOKUP(zeta!$A50,main!$A$3:$H$102,6,FALSE),0)</f>
        <v>105</v>
      </c>
      <c r="AU50">
        <f>IF(gamma!AU50,VLOOKUP(zeta!AU$1,main!$A$3:$H$102,5,FALSE)-VLOOKUP(zeta!$A50,main!$A$3:$H$102,6,FALSE),0)</f>
        <v>0</v>
      </c>
      <c r="AV50">
        <f>IF(gamma!AV50,VLOOKUP(zeta!AV$1,main!$A$3:$H$102,5,FALSE)-VLOOKUP(zeta!$A50,main!$A$3:$H$102,6,FALSE),0)</f>
        <v>0</v>
      </c>
      <c r="AW50">
        <f>IF(gamma!AW50,VLOOKUP(zeta!AW$1,main!$A$3:$H$102,5,FALSE)-VLOOKUP(zeta!$A50,main!$A$3:$H$102,6,FALSE),0)</f>
        <v>55</v>
      </c>
      <c r="AX50">
        <f>IF(gamma!AX50,VLOOKUP(zeta!AX$1,main!$A$3:$H$102,5,FALSE)-VLOOKUP(zeta!$A50,main!$A$3:$H$102,6,FALSE),0)</f>
        <v>0</v>
      </c>
      <c r="AY50">
        <f>IF(gamma!AY50,VLOOKUP(zeta!AY$1,main!$A$3:$H$102,5,FALSE)-VLOOKUP(zeta!$A50,main!$A$3:$H$102,6,FALSE),0)</f>
        <v>0</v>
      </c>
      <c r="AZ50">
        <f>IF(gamma!AZ50,VLOOKUP(zeta!AZ$1,main!$A$3:$H$102,5,FALSE)-VLOOKUP(zeta!$A50,main!$A$3:$H$102,6,FALSE),0)</f>
        <v>0</v>
      </c>
      <c r="BA50">
        <f>IF(gamma!BA50,VLOOKUP(zeta!BA$1,main!$A$3:$H$102,5,FALSE)-VLOOKUP(zeta!$A50,main!$A$3:$H$102,6,FALSE),0)</f>
        <v>0</v>
      </c>
      <c r="BB50">
        <f>IF(gamma!BB50,VLOOKUP(zeta!BB$1,main!$A$3:$H$102,5,FALSE)-VLOOKUP(zeta!$A50,main!$A$3:$H$102,6,FALSE),0)</f>
        <v>0</v>
      </c>
      <c r="BC50">
        <f>IF(gamma!BC50,VLOOKUP(zeta!BC$1,main!$A$3:$H$102,5,FALSE)-VLOOKUP(zeta!$A50,main!$A$3:$H$102,6,FALSE),0)</f>
        <v>15</v>
      </c>
      <c r="BD50">
        <f>IF(gamma!BD50,VLOOKUP(zeta!BD$1,main!$A$3:$H$102,5,FALSE)-VLOOKUP(zeta!$A50,main!$A$3:$H$102,6,FALSE),0)</f>
        <v>75</v>
      </c>
      <c r="BE50">
        <f>IF(gamma!BE50,VLOOKUP(zeta!BE$1,main!$A$3:$H$102,5,FALSE)-VLOOKUP(zeta!$A50,main!$A$3:$H$102,6,FALSE),0)</f>
        <v>195</v>
      </c>
      <c r="BF50">
        <f>IF(gamma!BF50,VLOOKUP(zeta!BF$1,main!$A$3:$H$102,5,FALSE)-VLOOKUP(zeta!$A50,main!$A$3:$H$102,6,FALSE),0)</f>
        <v>0</v>
      </c>
      <c r="BG50">
        <f>IF(gamma!BG50,VLOOKUP(zeta!BG$1,main!$A$3:$H$102,5,FALSE)-VLOOKUP(zeta!$A50,main!$A$3:$H$102,6,FALSE),0)</f>
        <v>0</v>
      </c>
      <c r="BH50">
        <f>IF(gamma!BH50,VLOOKUP(zeta!BH$1,main!$A$3:$H$102,5,FALSE)-VLOOKUP(zeta!$A50,main!$A$3:$H$102,6,FALSE),0)</f>
        <v>0</v>
      </c>
      <c r="BI50">
        <f>IF(gamma!BI50,VLOOKUP(zeta!BI$1,main!$A$3:$H$102,5,FALSE)-VLOOKUP(zeta!$A50,main!$A$3:$H$102,6,FALSE),0)</f>
        <v>365</v>
      </c>
      <c r="BJ50">
        <f>IF(gamma!BJ50,VLOOKUP(zeta!BJ$1,main!$A$3:$H$102,5,FALSE)-VLOOKUP(zeta!$A50,main!$A$3:$H$102,6,FALSE),0)</f>
        <v>155</v>
      </c>
      <c r="BK50">
        <f>IF(gamma!BK50,VLOOKUP(zeta!BK$1,main!$A$3:$H$102,5,FALSE)-VLOOKUP(zeta!$A50,main!$A$3:$H$102,6,FALSE),0)</f>
        <v>0</v>
      </c>
      <c r="BL50">
        <f>IF(gamma!BL50,VLOOKUP(zeta!BL$1,main!$A$3:$H$102,5,FALSE)-VLOOKUP(zeta!$A50,main!$A$3:$H$102,6,FALSE),0)</f>
        <v>0</v>
      </c>
      <c r="BM50">
        <f>IF(gamma!BM50,VLOOKUP(zeta!BM$1,main!$A$3:$H$102,5,FALSE)-VLOOKUP(zeta!$A50,main!$A$3:$H$102,6,FALSE),0)</f>
        <v>0</v>
      </c>
      <c r="BN50">
        <f>IF(gamma!BN50,VLOOKUP(zeta!BN$1,main!$A$3:$H$102,5,FALSE)-VLOOKUP(zeta!$A50,main!$A$3:$H$102,6,FALSE),0)</f>
        <v>55</v>
      </c>
      <c r="BO50">
        <f>IF(gamma!BO50,VLOOKUP(zeta!BO$1,main!$A$3:$H$102,5,FALSE)-VLOOKUP(zeta!$A50,main!$A$3:$H$102,6,FALSE),0)</f>
        <v>0</v>
      </c>
      <c r="BP50">
        <f>IF(gamma!BP50,VLOOKUP(zeta!BP$1,main!$A$3:$H$102,5,FALSE)-VLOOKUP(zeta!$A50,main!$A$3:$H$102,6,FALSE),0)</f>
        <v>0</v>
      </c>
      <c r="BQ50">
        <f>IF(gamma!BQ50,VLOOKUP(zeta!BQ$1,main!$A$3:$H$102,5,FALSE)-VLOOKUP(zeta!$A50,main!$A$3:$H$102,6,FALSE),0)</f>
        <v>0</v>
      </c>
      <c r="BR50">
        <f>IF(gamma!BR50,VLOOKUP(zeta!BR$1,main!$A$3:$H$102,5,FALSE)-VLOOKUP(zeta!$A50,main!$A$3:$H$102,6,FALSE),0)</f>
        <v>0</v>
      </c>
      <c r="BS50">
        <f>IF(gamma!BS50,VLOOKUP(zeta!BS$1,main!$A$3:$H$102,5,FALSE)-VLOOKUP(zeta!$A50,main!$A$3:$H$102,6,FALSE),0)</f>
        <v>0</v>
      </c>
      <c r="BT50">
        <f>IF(gamma!BT50,VLOOKUP(zeta!BT$1,main!$A$3:$H$102,5,FALSE)-VLOOKUP(zeta!$A50,main!$A$3:$H$102,6,FALSE),0)</f>
        <v>0</v>
      </c>
      <c r="BU50">
        <f>IF(gamma!BU50,VLOOKUP(zeta!BU$1,main!$A$3:$H$102,5,FALSE)-VLOOKUP(zeta!$A50,main!$A$3:$H$102,6,FALSE),0)</f>
        <v>0</v>
      </c>
      <c r="BV50">
        <f>IF(gamma!BV50,VLOOKUP(zeta!BV$1,main!$A$3:$H$102,5,FALSE)-VLOOKUP(zeta!$A50,main!$A$3:$H$102,6,FALSE),0)</f>
        <v>0</v>
      </c>
      <c r="BW50">
        <f>IF(gamma!BW50,VLOOKUP(zeta!BW$1,main!$A$3:$H$102,5,FALSE)-VLOOKUP(zeta!$A50,main!$A$3:$H$102,6,FALSE),0)</f>
        <v>0</v>
      </c>
      <c r="BX50">
        <f>IF(gamma!BX50,VLOOKUP(zeta!BX$1,main!$A$3:$H$102,5,FALSE)-VLOOKUP(zeta!$A50,main!$A$3:$H$102,6,FALSE),0)</f>
        <v>0</v>
      </c>
      <c r="BY50">
        <f>IF(gamma!BY50,VLOOKUP(zeta!BY$1,main!$A$3:$H$102,5,FALSE)-VLOOKUP(zeta!$A50,main!$A$3:$H$102,6,FALSE),0)</f>
        <v>0</v>
      </c>
      <c r="BZ50">
        <f>IF(gamma!BZ50,VLOOKUP(zeta!BZ$1,main!$A$3:$H$102,5,FALSE)-VLOOKUP(zeta!$A50,main!$A$3:$H$102,6,FALSE),0)</f>
        <v>0</v>
      </c>
      <c r="CA50">
        <f>IF(gamma!CA50,VLOOKUP(zeta!CA$1,main!$A$3:$H$102,5,FALSE)-VLOOKUP(zeta!$A50,main!$A$3:$H$102,6,FALSE),0)</f>
        <v>0</v>
      </c>
      <c r="CB50">
        <f>IF(gamma!CB50,VLOOKUP(zeta!CB$1,main!$A$3:$H$102,5,FALSE)-VLOOKUP(zeta!$A50,main!$A$3:$H$102,6,FALSE),0)</f>
        <v>60</v>
      </c>
      <c r="CC50">
        <f>IF(gamma!CC50,VLOOKUP(zeta!CC$1,main!$A$3:$H$102,5,FALSE)-VLOOKUP(zeta!$A50,main!$A$3:$H$102,6,FALSE),0)</f>
        <v>270</v>
      </c>
      <c r="CD50">
        <f>IF(gamma!CD50,VLOOKUP(zeta!CD$1,main!$A$3:$H$102,5,FALSE)-VLOOKUP(zeta!$A50,main!$A$3:$H$102,6,FALSE),0)</f>
        <v>0</v>
      </c>
      <c r="CE50">
        <f>IF(gamma!CE50,VLOOKUP(zeta!CE$1,main!$A$3:$H$102,5,FALSE)-VLOOKUP(zeta!$A50,main!$A$3:$H$102,6,FALSE),0)</f>
        <v>0</v>
      </c>
      <c r="CF50">
        <f>IF(gamma!CF50,VLOOKUP(zeta!CF$1,main!$A$3:$H$102,5,FALSE)-VLOOKUP(zeta!$A50,main!$A$3:$H$102,6,FALSE),0)</f>
        <v>0</v>
      </c>
      <c r="CG50">
        <f>IF(gamma!CG50,VLOOKUP(zeta!CG$1,main!$A$3:$H$102,5,FALSE)-VLOOKUP(zeta!$A50,main!$A$3:$H$102,6,FALSE),0)</f>
        <v>0</v>
      </c>
      <c r="CH50">
        <f>IF(gamma!CH50,VLOOKUP(zeta!CH$1,main!$A$3:$H$102,5,FALSE)-VLOOKUP(zeta!$A50,main!$A$3:$H$102,6,FALSE),0)</f>
        <v>155</v>
      </c>
      <c r="CI50">
        <f>IF(gamma!CI50,VLOOKUP(zeta!CI$1,main!$A$3:$H$102,5,FALSE)-VLOOKUP(zeta!$A50,main!$A$3:$H$102,6,FALSE),0)</f>
        <v>355</v>
      </c>
      <c r="CJ50">
        <f>IF(gamma!CJ50,VLOOKUP(zeta!CJ$1,main!$A$3:$H$102,5,FALSE)-VLOOKUP(zeta!$A50,main!$A$3:$H$102,6,FALSE),0)</f>
        <v>0</v>
      </c>
      <c r="CK50">
        <f>IF(gamma!CK50,VLOOKUP(zeta!CK$1,main!$A$3:$H$102,5,FALSE)-VLOOKUP(zeta!$A50,main!$A$3:$H$102,6,FALSE),0)</f>
        <v>0</v>
      </c>
      <c r="CL50">
        <f>IF(gamma!CL50,VLOOKUP(zeta!CL$1,main!$A$3:$H$102,5,FALSE)-VLOOKUP(zeta!$A50,main!$A$3:$H$102,6,FALSE),0)</f>
        <v>0</v>
      </c>
      <c r="CM50">
        <f>IF(gamma!CM50,VLOOKUP(zeta!CM$1,main!$A$3:$H$102,5,FALSE)-VLOOKUP(zeta!$A50,main!$A$3:$H$102,6,FALSE),0)</f>
        <v>131</v>
      </c>
      <c r="CN50">
        <f>IF(gamma!CN50,VLOOKUP(zeta!CN$1,main!$A$3:$H$102,5,FALSE)-VLOOKUP(zeta!$A50,main!$A$3:$H$102,6,FALSE),0)</f>
        <v>355</v>
      </c>
      <c r="CO50">
        <f>IF(gamma!CO50,VLOOKUP(zeta!CO$1,main!$A$3:$H$102,5,FALSE)-VLOOKUP(zeta!$A50,main!$A$3:$H$102,6,FALSE),0)</f>
        <v>0</v>
      </c>
      <c r="CP50">
        <f>IF(gamma!CP50,VLOOKUP(zeta!CP$1,main!$A$3:$H$102,5,FALSE)-VLOOKUP(zeta!$A50,main!$A$3:$H$102,6,FALSE),0)</f>
        <v>0</v>
      </c>
      <c r="CQ50">
        <f>IF(gamma!CQ50,VLOOKUP(zeta!CQ$1,main!$A$3:$H$102,5,FALSE)-VLOOKUP(zeta!$A50,main!$A$3:$H$102,6,FALSE),0)</f>
        <v>0</v>
      </c>
      <c r="CR50">
        <f>IF(gamma!CR50,VLOOKUP(zeta!CR$1,main!$A$3:$H$102,5,FALSE)-VLOOKUP(zeta!$A50,main!$A$3:$H$102,6,FALSE),0)</f>
        <v>120</v>
      </c>
      <c r="CS50">
        <f>IF(gamma!CS50,VLOOKUP(zeta!CS$1,main!$A$3:$H$102,5,FALSE)-VLOOKUP(zeta!$A50,main!$A$3:$H$102,6,FALSE),0)</f>
        <v>130</v>
      </c>
      <c r="CT50">
        <f>IF(gamma!CT50,VLOOKUP(zeta!CT$1,main!$A$3:$H$102,5,FALSE)-VLOOKUP(zeta!$A50,main!$A$3:$H$102,6,FALSE),0)</f>
        <v>0</v>
      </c>
      <c r="CU50">
        <f>IF(gamma!CU50,VLOOKUP(zeta!CU$1,main!$A$3:$H$102,5,FALSE)-VLOOKUP(zeta!$A50,main!$A$3:$H$102,6,FALSE),0)</f>
        <v>0</v>
      </c>
      <c r="CV50">
        <f>IF(gamma!CV50,VLOOKUP(zeta!CV$1,main!$A$3:$H$102,5,FALSE)-VLOOKUP(zeta!$A50,main!$A$3:$H$102,6,FALSE),0)</f>
        <v>0</v>
      </c>
      <c r="CW50">
        <f>IF(gamma!CW50,VLOOKUP(zeta!CW$1,main!$A$3:$H$102,5,FALSE)-VLOOKUP(zeta!$A50,main!$A$3:$H$102,6,FALSE),0)</f>
        <v>120</v>
      </c>
      <c r="CX50">
        <f>IF(gamma!CX50,VLOOKUP(zeta!CX$1,main!$A$3:$H$102,5,FALSE)-VLOOKUP(zeta!$A50,main!$A$3:$H$102,6,FALSE),0)</f>
        <v>160</v>
      </c>
    </row>
    <row r="51" spans="1:102" x14ac:dyDescent="0.25">
      <c r="A51">
        <f t="shared" si="1"/>
        <v>49</v>
      </c>
      <c r="B51">
        <v>0</v>
      </c>
      <c r="C51">
        <f>IF(gamma!C51,VLOOKUP(zeta!C$1,main!$A$3:$H$102,5,FALSE)-VLOOKUP(zeta!$A51,main!$A$3:$H$102,6,FALSE),0)</f>
        <v>0</v>
      </c>
      <c r="D51">
        <f>IF(gamma!D51,VLOOKUP(zeta!D$1,main!$A$3:$H$102,5,FALSE)-VLOOKUP(zeta!$A51,main!$A$3:$H$102,6,FALSE),0)</f>
        <v>0</v>
      </c>
      <c r="E51">
        <f>IF(gamma!E51,VLOOKUP(zeta!E$1,main!$A$3:$H$102,5,FALSE)-VLOOKUP(zeta!$A51,main!$A$3:$H$102,6,FALSE),0)</f>
        <v>0</v>
      </c>
      <c r="F51">
        <f>IF(gamma!F51,VLOOKUP(zeta!F$1,main!$A$3:$H$102,5,FALSE)-VLOOKUP(zeta!$A51,main!$A$3:$H$102,6,FALSE),0)</f>
        <v>50</v>
      </c>
      <c r="G51">
        <f>IF(gamma!G51,VLOOKUP(zeta!G$1,main!$A$3:$H$102,5,FALSE)-VLOOKUP(zeta!$A51,main!$A$3:$H$102,6,FALSE),0)</f>
        <v>140</v>
      </c>
      <c r="H51">
        <f>IF(gamma!H51,VLOOKUP(zeta!H$1,main!$A$3:$H$102,5,FALSE)-VLOOKUP(zeta!$A51,main!$A$3:$H$102,6,FALSE),0)</f>
        <v>230</v>
      </c>
      <c r="I51">
        <f>IF(gamma!I51,VLOOKUP(zeta!I$1,main!$A$3:$H$102,5,FALSE)-VLOOKUP(zeta!$A51,main!$A$3:$H$102,6,FALSE),0)</f>
        <v>290</v>
      </c>
      <c r="J51">
        <f>IF(gamma!J51,VLOOKUP(zeta!J$1,main!$A$3:$H$102,5,FALSE)-VLOOKUP(zeta!$A51,main!$A$3:$H$102,6,FALSE),0)</f>
        <v>350</v>
      </c>
      <c r="K51">
        <f>IF(gamma!K51,VLOOKUP(zeta!K$1,main!$A$3:$H$102,5,FALSE)-VLOOKUP(zeta!$A51,main!$A$3:$H$102,6,FALSE),0)</f>
        <v>410</v>
      </c>
      <c r="L51">
        <f>IF(gamma!L51,VLOOKUP(zeta!L$1,main!$A$3:$H$102,5,FALSE)-VLOOKUP(zeta!$A51,main!$A$3:$H$102,6,FALSE),0)</f>
        <v>500</v>
      </c>
      <c r="M51">
        <f>IF(gamma!M51,VLOOKUP(zeta!M$1,main!$A$3:$H$102,5,FALSE)-VLOOKUP(zeta!$A51,main!$A$3:$H$102,6,FALSE),0)</f>
        <v>0</v>
      </c>
      <c r="N51">
        <f>IF(gamma!N51,VLOOKUP(zeta!N$1,main!$A$3:$H$102,5,FALSE)-VLOOKUP(zeta!$A51,main!$A$3:$H$102,6,FALSE),0)</f>
        <v>0</v>
      </c>
      <c r="O51">
        <f>IF(gamma!O51,VLOOKUP(zeta!O$1,main!$A$3:$H$102,5,FALSE)-VLOOKUP(zeta!$A51,main!$A$3:$H$102,6,FALSE),0)</f>
        <v>0</v>
      </c>
      <c r="P51">
        <f>IF(gamma!P51,VLOOKUP(zeta!P$1,main!$A$3:$H$102,5,FALSE)-VLOOKUP(zeta!$A51,main!$A$3:$H$102,6,FALSE),0)</f>
        <v>0</v>
      </c>
      <c r="Q51">
        <f>IF(gamma!Q51,VLOOKUP(zeta!Q$1,main!$A$3:$H$102,5,FALSE)-VLOOKUP(zeta!$A51,main!$A$3:$H$102,6,FALSE),0)</f>
        <v>65</v>
      </c>
      <c r="R51">
        <f>IF(gamma!R51,VLOOKUP(zeta!R$1,main!$A$3:$H$102,5,FALSE)-VLOOKUP(zeta!$A51,main!$A$3:$H$102,6,FALSE),0)</f>
        <v>105</v>
      </c>
      <c r="S51">
        <f>IF(gamma!S51,VLOOKUP(zeta!S$1,main!$A$3:$H$102,5,FALSE)-VLOOKUP(zeta!$A51,main!$A$3:$H$102,6,FALSE),0)</f>
        <v>230</v>
      </c>
      <c r="T51">
        <f>IF(gamma!T51,VLOOKUP(zeta!T$1,main!$A$3:$H$102,5,FALSE)-VLOOKUP(zeta!$A51,main!$A$3:$H$102,6,FALSE),0)</f>
        <v>310</v>
      </c>
      <c r="U51">
        <f>IF(gamma!U51,VLOOKUP(zeta!U$1,main!$A$3:$H$102,5,FALSE)-VLOOKUP(zeta!$A51,main!$A$3:$H$102,6,FALSE),0)</f>
        <v>465</v>
      </c>
      <c r="V51">
        <f>IF(gamma!V51,VLOOKUP(zeta!V$1,main!$A$3:$H$102,5,FALSE)-VLOOKUP(zeta!$A51,main!$A$3:$H$102,6,FALSE),0)</f>
        <v>525</v>
      </c>
      <c r="W51">
        <f>IF(gamma!W51,VLOOKUP(zeta!W$1,main!$A$3:$H$102,5,FALSE)-VLOOKUP(zeta!$A51,main!$A$3:$H$102,6,FALSE),0)</f>
        <v>0</v>
      </c>
      <c r="X51">
        <f>IF(gamma!X51,VLOOKUP(zeta!X$1,main!$A$3:$H$102,5,FALSE)-VLOOKUP(zeta!$A51,main!$A$3:$H$102,6,FALSE),0)</f>
        <v>0</v>
      </c>
      <c r="Y51">
        <f>IF(gamma!Y51,VLOOKUP(zeta!Y$1,main!$A$3:$H$102,5,FALSE)-VLOOKUP(zeta!$A51,main!$A$3:$H$102,6,FALSE),0)</f>
        <v>100</v>
      </c>
      <c r="Z51">
        <f>IF(gamma!Z51,VLOOKUP(zeta!Z$1,main!$A$3:$H$102,5,FALSE)-VLOOKUP(zeta!$A51,main!$A$3:$H$102,6,FALSE),0)</f>
        <v>280</v>
      </c>
      <c r="AA51">
        <f>IF(gamma!AA51,VLOOKUP(zeta!AA$1,main!$A$3:$H$102,5,FALSE)-VLOOKUP(zeta!$A51,main!$A$3:$H$102,6,FALSE),0)</f>
        <v>430</v>
      </c>
      <c r="AB51">
        <f>IF(gamma!AB51,VLOOKUP(zeta!AB$1,main!$A$3:$H$102,5,FALSE)-VLOOKUP(zeta!$A51,main!$A$3:$H$102,6,FALSE),0)</f>
        <v>0</v>
      </c>
      <c r="AC51">
        <f>IF(gamma!AC51,VLOOKUP(zeta!AC$1,main!$A$3:$H$102,5,FALSE)-VLOOKUP(zeta!$A51,main!$A$3:$H$102,6,FALSE),0)</f>
        <v>0</v>
      </c>
      <c r="AD51">
        <f>IF(gamma!AD51,VLOOKUP(zeta!AD$1,main!$A$3:$H$102,5,FALSE)-VLOOKUP(zeta!$A51,main!$A$3:$H$102,6,FALSE),0)</f>
        <v>60</v>
      </c>
      <c r="AE51">
        <f>IF(gamma!AE51,VLOOKUP(zeta!AE$1,main!$A$3:$H$102,5,FALSE)-VLOOKUP(zeta!$A51,main!$A$3:$H$102,6,FALSE),0)</f>
        <v>240</v>
      </c>
      <c r="AF51">
        <f>IF(gamma!AF51,VLOOKUP(zeta!AF$1,main!$A$3:$H$102,5,FALSE)-VLOOKUP(zeta!$A51,main!$A$3:$H$102,6,FALSE),0)</f>
        <v>410</v>
      </c>
      <c r="AG51">
        <f>IF(gamma!AG51,VLOOKUP(zeta!AG$1,main!$A$3:$H$102,5,FALSE)-VLOOKUP(zeta!$A51,main!$A$3:$H$102,6,FALSE),0)</f>
        <v>0</v>
      </c>
      <c r="AH51">
        <f>IF(gamma!AH51,VLOOKUP(zeta!AH$1,main!$A$3:$H$102,5,FALSE)-VLOOKUP(zeta!$A51,main!$A$3:$H$102,6,FALSE),0)</f>
        <v>0</v>
      </c>
      <c r="AI51">
        <f>IF(gamma!AI51,VLOOKUP(zeta!AI$1,main!$A$3:$H$102,5,FALSE)-VLOOKUP(zeta!$A51,main!$A$3:$H$102,6,FALSE),0)</f>
        <v>0</v>
      </c>
      <c r="AJ51">
        <f>IF(gamma!AJ51,VLOOKUP(zeta!AJ$1,main!$A$3:$H$102,5,FALSE)-VLOOKUP(zeta!$A51,main!$A$3:$H$102,6,FALSE),0)</f>
        <v>120</v>
      </c>
      <c r="AK51">
        <f>IF(gamma!AK51,VLOOKUP(zeta!AK$1,main!$A$3:$H$102,5,FALSE)-VLOOKUP(zeta!$A51,main!$A$3:$H$102,6,FALSE),0)</f>
        <v>210</v>
      </c>
      <c r="AL51">
        <f>IF(gamma!AL51,VLOOKUP(zeta!AL$1,main!$A$3:$H$102,5,FALSE)-VLOOKUP(zeta!$A51,main!$A$3:$H$102,6,FALSE),0)</f>
        <v>300</v>
      </c>
      <c r="AM51">
        <f>IF(gamma!AM51,VLOOKUP(zeta!AM$1,main!$A$3:$H$102,5,FALSE)-VLOOKUP(zeta!$A51,main!$A$3:$H$102,6,FALSE),0)</f>
        <v>390</v>
      </c>
      <c r="AN51">
        <f>IF(gamma!AN51,VLOOKUP(zeta!AN$1,main!$A$3:$H$102,5,FALSE)-VLOOKUP(zeta!$A51,main!$A$3:$H$102,6,FALSE),0)</f>
        <v>450</v>
      </c>
      <c r="AO51">
        <f>IF(gamma!AO51,VLOOKUP(zeta!AO$1,main!$A$3:$H$102,5,FALSE)-VLOOKUP(zeta!$A51,main!$A$3:$H$102,6,FALSE),0)</f>
        <v>0</v>
      </c>
      <c r="AP51">
        <f>IF(gamma!AP51,VLOOKUP(zeta!AP$1,main!$A$3:$H$102,5,FALSE)-VLOOKUP(zeta!$A51,main!$A$3:$H$102,6,FALSE),0)</f>
        <v>510</v>
      </c>
      <c r="AQ51">
        <f>IF(gamma!AQ51,VLOOKUP(zeta!AQ$1,main!$A$3:$H$102,5,FALSE)-VLOOKUP(zeta!$A51,main!$A$3:$H$102,6,FALSE),0)</f>
        <v>0</v>
      </c>
      <c r="AR51">
        <f>IF(gamma!AR51,VLOOKUP(zeta!AR$1,main!$A$3:$H$102,5,FALSE)-VLOOKUP(zeta!$A51,main!$A$3:$H$102,6,FALSE),0)</f>
        <v>0</v>
      </c>
      <c r="AS51">
        <f>IF(gamma!AS51,VLOOKUP(zeta!AS$1,main!$A$3:$H$102,5,FALSE)-VLOOKUP(zeta!$A51,main!$A$3:$H$102,6,FALSE),0)</f>
        <v>110</v>
      </c>
      <c r="AT51">
        <f>IF(gamma!AT51,VLOOKUP(zeta!AT$1,main!$A$3:$H$102,5,FALSE)-VLOOKUP(zeta!$A51,main!$A$3:$H$102,6,FALSE),0)</f>
        <v>260</v>
      </c>
      <c r="AU51">
        <f>IF(gamma!AU51,VLOOKUP(zeta!AU$1,main!$A$3:$H$102,5,FALSE)-VLOOKUP(zeta!$A51,main!$A$3:$H$102,6,FALSE),0)</f>
        <v>0</v>
      </c>
      <c r="AV51">
        <f>IF(gamma!AV51,VLOOKUP(zeta!AV$1,main!$A$3:$H$102,5,FALSE)-VLOOKUP(zeta!$A51,main!$A$3:$H$102,6,FALSE),0)</f>
        <v>0</v>
      </c>
      <c r="AW51">
        <f>IF(gamma!AW51,VLOOKUP(zeta!AW$1,main!$A$3:$H$102,5,FALSE)-VLOOKUP(zeta!$A51,main!$A$3:$H$102,6,FALSE),0)</f>
        <v>210</v>
      </c>
      <c r="AX51">
        <f>IF(gamma!AX51,VLOOKUP(zeta!AX$1,main!$A$3:$H$102,5,FALSE)-VLOOKUP(zeta!$A51,main!$A$3:$H$102,6,FALSE),0)</f>
        <v>50</v>
      </c>
      <c r="AY51">
        <f>IF(gamma!AY51,VLOOKUP(zeta!AY$1,main!$A$3:$H$102,5,FALSE)-VLOOKUP(zeta!$A51,main!$A$3:$H$102,6,FALSE),0)</f>
        <v>0</v>
      </c>
      <c r="AZ51">
        <f>IF(gamma!AZ51,VLOOKUP(zeta!AZ$1,main!$A$3:$H$102,5,FALSE)-VLOOKUP(zeta!$A51,main!$A$3:$H$102,6,FALSE),0)</f>
        <v>0</v>
      </c>
      <c r="BA51">
        <f>IF(gamma!BA51,VLOOKUP(zeta!BA$1,main!$A$3:$H$102,5,FALSE)-VLOOKUP(zeta!$A51,main!$A$3:$H$102,6,FALSE),0)</f>
        <v>0</v>
      </c>
      <c r="BB51">
        <f>IF(gamma!BB51,VLOOKUP(zeta!BB$1,main!$A$3:$H$102,5,FALSE)-VLOOKUP(zeta!$A51,main!$A$3:$H$102,6,FALSE),0)</f>
        <v>50</v>
      </c>
      <c r="BC51">
        <f>IF(gamma!BC51,VLOOKUP(zeta!BC$1,main!$A$3:$H$102,5,FALSE)-VLOOKUP(zeta!$A51,main!$A$3:$H$102,6,FALSE),0)</f>
        <v>170</v>
      </c>
      <c r="BD51">
        <f>IF(gamma!BD51,VLOOKUP(zeta!BD$1,main!$A$3:$H$102,5,FALSE)-VLOOKUP(zeta!$A51,main!$A$3:$H$102,6,FALSE),0)</f>
        <v>230</v>
      </c>
      <c r="BE51">
        <f>IF(gamma!BE51,VLOOKUP(zeta!BE$1,main!$A$3:$H$102,5,FALSE)-VLOOKUP(zeta!$A51,main!$A$3:$H$102,6,FALSE),0)</f>
        <v>350</v>
      </c>
      <c r="BF51">
        <f>IF(gamma!BF51,VLOOKUP(zeta!BF$1,main!$A$3:$H$102,5,FALSE)-VLOOKUP(zeta!$A51,main!$A$3:$H$102,6,FALSE),0)</f>
        <v>0</v>
      </c>
      <c r="BG51">
        <f>IF(gamma!BG51,VLOOKUP(zeta!BG$1,main!$A$3:$H$102,5,FALSE)-VLOOKUP(zeta!$A51,main!$A$3:$H$102,6,FALSE),0)</f>
        <v>0</v>
      </c>
      <c r="BH51">
        <f>IF(gamma!BH51,VLOOKUP(zeta!BH$1,main!$A$3:$H$102,5,FALSE)-VLOOKUP(zeta!$A51,main!$A$3:$H$102,6,FALSE),0)</f>
        <v>135</v>
      </c>
      <c r="BI51">
        <f>IF(gamma!BI51,VLOOKUP(zeta!BI$1,main!$A$3:$H$102,5,FALSE)-VLOOKUP(zeta!$A51,main!$A$3:$H$102,6,FALSE),0)</f>
        <v>520</v>
      </c>
      <c r="BJ51">
        <f>IF(gamma!BJ51,VLOOKUP(zeta!BJ$1,main!$A$3:$H$102,5,FALSE)-VLOOKUP(zeta!$A51,main!$A$3:$H$102,6,FALSE),0)</f>
        <v>310</v>
      </c>
      <c r="BK51">
        <f>IF(gamma!BK51,VLOOKUP(zeta!BK$1,main!$A$3:$H$102,5,FALSE)-VLOOKUP(zeta!$A51,main!$A$3:$H$102,6,FALSE),0)</f>
        <v>0</v>
      </c>
      <c r="BL51">
        <f>IF(gamma!BL51,VLOOKUP(zeta!BL$1,main!$A$3:$H$102,5,FALSE)-VLOOKUP(zeta!$A51,main!$A$3:$H$102,6,FALSE),0)</f>
        <v>0</v>
      </c>
      <c r="BM51">
        <f>IF(gamma!BM51,VLOOKUP(zeta!BM$1,main!$A$3:$H$102,5,FALSE)-VLOOKUP(zeta!$A51,main!$A$3:$H$102,6,FALSE),0)</f>
        <v>0</v>
      </c>
      <c r="BN51">
        <f>IF(gamma!BN51,VLOOKUP(zeta!BN$1,main!$A$3:$H$102,5,FALSE)-VLOOKUP(zeta!$A51,main!$A$3:$H$102,6,FALSE),0)</f>
        <v>210</v>
      </c>
      <c r="BO51">
        <f>IF(gamma!BO51,VLOOKUP(zeta!BO$1,main!$A$3:$H$102,5,FALSE)-VLOOKUP(zeta!$A51,main!$A$3:$H$102,6,FALSE),0)</f>
        <v>0</v>
      </c>
      <c r="BP51">
        <f>IF(gamma!BP51,VLOOKUP(zeta!BP$1,main!$A$3:$H$102,5,FALSE)-VLOOKUP(zeta!$A51,main!$A$3:$H$102,6,FALSE),0)</f>
        <v>0</v>
      </c>
      <c r="BQ51">
        <f>IF(gamma!BQ51,VLOOKUP(zeta!BQ$1,main!$A$3:$H$102,5,FALSE)-VLOOKUP(zeta!$A51,main!$A$3:$H$102,6,FALSE),0)</f>
        <v>65</v>
      </c>
      <c r="BR51">
        <f>IF(gamma!BR51,VLOOKUP(zeta!BR$1,main!$A$3:$H$102,5,FALSE)-VLOOKUP(zeta!$A51,main!$A$3:$H$102,6,FALSE),0)</f>
        <v>100</v>
      </c>
      <c r="BS51">
        <f>IF(gamma!BS51,VLOOKUP(zeta!BS$1,main!$A$3:$H$102,5,FALSE)-VLOOKUP(zeta!$A51,main!$A$3:$H$102,6,FALSE),0)</f>
        <v>110</v>
      </c>
      <c r="BT51">
        <f>IF(gamma!BT51,VLOOKUP(zeta!BT$1,main!$A$3:$H$102,5,FALSE)-VLOOKUP(zeta!$A51,main!$A$3:$H$102,6,FALSE),0)</f>
        <v>60</v>
      </c>
      <c r="BU51">
        <f>IF(gamma!BU51,VLOOKUP(zeta!BU$1,main!$A$3:$H$102,5,FALSE)-VLOOKUP(zeta!$A51,main!$A$3:$H$102,6,FALSE),0)</f>
        <v>0</v>
      </c>
      <c r="BV51">
        <f>IF(gamma!BV51,VLOOKUP(zeta!BV$1,main!$A$3:$H$102,5,FALSE)-VLOOKUP(zeta!$A51,main!$A$3:$H$102,6,FALSE),0)</f>
        <v>0</v>
      </c>
      <c r="BW51">
        <f>IF(gamma!BW51,VLOOKUP(zeta!BW$1,main!$A$3:$H$102,5,FALSE)-VLOOKUP(zeta!$A51,main!$A$3:$H$102,6,FALSE),0)</f>
        <v>0</v>
      </c>
      <c r="BX51">
        <f>IF(gamma!BX51,VLOOKUP(zeta!BX$1,main!$A$3:$H$102,5,FALSE)-VLOOKUP(zeta!$A51,main!$A$3:$H$102,6,FALSE),0)</f>
        <v>75</v>
      </c>
      <c r="BY51">
        <f>IF(gamma!BY51,VLOOKUP(zeta!BY$1,main!$A$3:$H$102,5,FALSE)-VLOOKUP(zeta!$A51,main!$A$3:$H$102,6,FALSE),0)</f>
        <v>160</v>
      </c>
      <c r="BZ51">
        <f>IF(gamma!BZ51,VLOOKUP(zeta!BZ$1,main!$A$3:$H$102,5,FALSE)-VLOOKUP(zeta!$A51,main!$A$3:$H$102,6,FALSE),0)</f>
        <v>0</v>
      </c>
      <c r="CA51">
        <f>IF(gamma!CA51,VLOOKUP(zeta!CA$1,main!$A$3:$H$102,5,FALSE)-VLOOKUP(zeta!$A51,main!$A$3:$H$102,6,FALSE),0)</f>
        <v>0</v>
      </c>
      <c r="CB51">
        <f>IF(gamma!CB51,VLOOKUP(zeta!CB$1,main!$A$3:$H$102,5,FALSE)-VLOOKUP(zeta!$A51,main!$A$3:$H$102,6,FALSE),0)</f>
        <v>215</v>
      </c>
      <c r="CC51">
        <f>IF(gamma!CC51,VLOOKUP(zeta!CC$1,main!$A$3:$H$102,5,FALSE)-VLOOKUP(zeta!$A51,main!$A$3:$H$102,6,FALSE),0)</f>
        <v>425</v>
      </c>
      <c r="CD51">
        <f>IF(gamma!CD51,VLOOKUP(zeta!CD$1,main!$A$3:$H$102,5,FALSE)-VLOOKUP(zeta!$A51,main!$A$3:$H$102,6,FALSE),0)</f>
        <v>160</v>
      </c>
      <c r="CE51">
        <f>IF(gamma!CE51,VLOOKUP(zeta!CE$1,main!$A$3:$H$102,5,FALSE)-VLOOKUP(zeta!$A51,main!$A$3:$H$102,6,FALSE),0)</f>
        <v>0</v>
      </c>
      <c r="CF51">
        <f>IF(gamma!CF51,VLOOKUP(zeta!CF$1,main!$A$3:$H$102,5,FALSE)-VLOOKUP(zeta!$A51,main!$A$3:$H$102,6,FALSE),0)</f>
        <v>60</v>
      </c>
      <c r="CG51">
        <f>IF(gamma!CG51,VLOOKUP(zeta!CG$1,main!$A$3:$H$102,5,FALSE)-VLOOKUP(zeta!$A51,main!$A$3:$H$102,6,FALSE),0)</f>
        <v>110</v>
      </c>
      <c r="CH51">
        <f>IF(gamma!CH51,VLOOKUP(zeta!CH$1,main!$A$3:$H$102,5,FALSE)-VLOOKUP(zeta!$A51,main!$A$3:$H$102,6,FALSE),0)</f>
        <v>310</v>
      </c>
      <c r="CI51">
        <f>IF(gamma!CI51,VLOOKUP(zeta!CI$1,main!$A$3:$H$102,5,FALSE)-VLOOKUP(zeta!$A51,main!$A$3:$H$102,6,FALSE),0)</f>
        <v>510</v>
      </c>
      <c r="CJ51">
        <f>IF(gamma!CJ51,VLOOKUP(zeta!CJ$1,main!$A$3:$H$102,5,FALSE)-VLOOKUP(zeta!$A51,main!$A$3:$H$102,6,FALSE),0)</f>
        <v>100</v>
      </c>
      <c r="CK51">
        <f>IF(gamma!CK51,VLOOKUP(zeta!CK$1,main!$A$3:$H$102,5,FALSE)-VLOOKUP(zeta!$A51,main!$A$3:$H$102,6,FALSE),0)</f>
        <v>0</v>
      </c>
      <c r="CL51">
        <f>IF(gamma!CL51,VLOOKUP(zeta!CL$1,main!$A$3:$H$102,5,FALSE)-VLOOKUP(zeta!$A51,main!$A$3:$H$102,6,FALSE),0)</f>
        <v>110</v>
      </c>
      <c r="CM51">
        <f>IF(gamma!CM51,VLOOKUP(zeta!CM$1,main!$A$3:$H$102,5,FALSE)-VLOOKUP(zeta!$A51,main!$A$3:$H$102,6,FALSE),0)</f>
        <v>286</v>
      </c>
      <c r="CN51">
        <f>IF(gamma!CN51,VLOOKUP(zeta!CN$1,main!$A$3:$H$102,5,FALSE)-VLOOKUP(zeta!$A51,main!$A$3:$H$102,6,FALSE),0)</f>
        <v>510</v>
      </c>
      <c r="CO51">
        <f>IF(gamma!CO51,VLOOKUP(zeta!CO$1,main!$A$3:$H$102,5,FALSE)-VLOOKUP(zeta!$A51,main!$A$3:$H$102,6,FALSE),0)</f>
        <v>0</v>
      </c>
      <c r="CP51">
        <f>IF(gamma!CP51,VLOOKUP(zeta!CP$1,main!$A$3:$H$102,5,FALSE)-VLOOKUP(zeta!$A51,main!$A$3:$H$102,6,FALSE),0)</f>
        <v>75</v>
      </c>
      <c r="CQ51">
        <f>IF(gamma!CQ51,VLOOKUP(zeta!CQ$1,main!$A$3:$H$102,5,FALSE)-VLOOKUP(zeta!$A51,main!$A$3:$H$102,6,FALSE),0)</f>
        <v>90</v>
      </c>
      <c r="CR51">
        <f>IF(gamma!CR51,VLOOKUP(zeta!CR$1,main!$A$3:$H$102,5,FALSE)-VLOOKUP(zeta!$A51,main!$A$3:$H$102,6,FALSE),0)</f>
        <v>275</v>
      </c>
      <c r="CS51">
        <f>IF(gamma!CS51,VLOOKUP(zeta!CS$1,main!$A$3:$H$102,5,FALSE)-VLOOKUP(zeta!$A51,main!$A$3:$H$102,6,FALSE),0)</f>
        <v>285</v>
      </c>
      <c r="CT51">
        <f>IF(gamma!CT51,VLOOKUP(zeta!CT$1,main!$A$3:$H$102,5,FALSE)-VLOOKUP(zeta!$A51,main!$A$3:$H$102,6,FALSE),0)</f>
        <v>0</v>
      </c>
      <c r="CU51">
        <f>IF(gamma!CU51,VLOOKUP(zeta!CU$1,main!$A$3:$H$102,5,FALSE)-VLOOKUP(zeta!$A51,main!$A$3:$H$102,6,FALSE),0)</f>
        <v>0</v>
      </c>
      <c r="CV51">
        <f>IF(gamma!CV51,VLOOKUP(zeta!CV$1,main!$A$3:$H$102,5,FALSE)-VLOOKUP(zeta!$A51,main!$A$3:$H$102,6,FALSE),0)</f>
        <v>90</v>
      </c>
      <c r="CW51">
        <f>IF(gamma!CW51,VLOOKUP(zeta!CW$1,main!$A$3:$H$102,5,FALSE)-VLOOKUP(zeta!$A51,main!$A$3:$H$102,6,FALSE),0)</f>
        <v>275</v>
      </c>
      <c r="CX51">
        <f>IF(gamma!CX51,VLOOKUP(zeta!CX$1,main!$A$3:$H$102,5,FALSE)-VLOOKUP(zeta!$A51,main!$A$3:$H$102,6,FALSE),0)</f>
        <v>315</v>
      </c>
    </row>
    <row r="52" spans="1:102" x14ac:dyDescent="0.25">
      <c r="A52">
        <f t="shared" si="1"/>
        <v>50</v>
      </c>
      <c r="B52">
        <v>0</v>
      </c>
      <c r="C52">
        <f>IF(gamma!C52,VLOOKUP(zeta!C$1,main!$A$3:$H$102,5,FALSE)-VLOOKUP(zeta!$A52,main!$A$3:$H$102,6,FALSE),0)</f>
        <v>0</v>
      </c>
      <c r="D52">
        <f>IF(gamma!D52,VLOOKUP(zeta!D$1,main!$A$3:$H$102,5,FALSE)-VLOOKUP(zeta!$A52,main!$A$3:$H$102,6,FALSE),0)</f>
        <v>0</v>
      </c>
      <c r="E52">
        <f>IF(gamma!E52,VLOOKUP(zeta!E$1,main!$A$3:$H$102,5,FALSE)-VLOOKUP(zeta!$A52,main!$A$3:$H$102,6,FALSE),0)</f>
        <v>0</v>
      </c>
      <c r="F52">
        <f>IF(gamma!F52,VLOOKUP(zeta!F$1,main!$A$3:$H$102,5,FALSE)-VLOOKUP(zeta!$A52,main!$A$3:$H$102,6,FALSE),0)</f>
        <v>0</v>
      </c>
      <c r="G52">
        <f>IF(gamma!G52,VLOOKUP(zeta!G$1,main!$A$3:$H$102,5,FALSE)-VLOOKUP(zeta!$A52,main!$A$3:$H$102,6,FALSE),0)</f>
        <v>0</v>
      </c>
      <c r="H52">
        <f>IF(gamma!H52,VLOOKUP(zeta!H$1,main!$A$3:$H$102,5,FALSE)-VLOOKUP(zeta!$A52,main!$A$3:$H$102,6,FALSE),0)</f>
        <v>55</v>
      </c>
      <c r="I52">
        <f>IF(gamma!I52,VLOOKUP(zeta!I$1,main!$A$3:$H$102,5,FALSE)-VLOOKUP(zeta!$A52,main!$A$3:$H$102,6,FALSE),0)</f>
        <v>115</v>
      </c>
      <c r="J52">
        <f>IF(gamma!J52,VLOOKUP(zeta!J$1,main!$A$3:$H$102,5,FALSE)-VLOOKUP(zeta!$A52,main!$A$3:$H$102,6,FALSE),0)</f>
        <v>175</v>
      </c>
      <c r="K52">
        <f>IF(gamma!K52,VLOOKUP(zeta!K$1,main!$A$3:$H$102,5,FALSE)-VLOOKUP(zeta!$A52,main!$A$3:$H$102,6,FALSE),0)</f>
        <v>235</v>
      </c>
      <c r="L52">
        <f>IF(gamma!L52,VLOOKUP(zeta!L$1,main!$A$3:$H$102,5,FALSE)-VLOOKUP(zeta!$A52,main!$A$3:$H$102,6,FALSE),0)</f>
        <v>325</v>
      </c>
      <c r="M52">
        <f>IF(gamma!M52,VLOOKUP(zeta!M$1,main!$A$3:$H$102,5,FALSE)-VLOOKUP(zeta!$A52,main!$A$3:$H$102,6,FALSE),0)</f>
        <v>0</v>
      </c>
      <c r="N52">
        <f>IF(gamma!N52,VLOOKUP(zeta!N$1,main!$A$3:$H$102,5,FALSE)-VLOOKUP(zeta!$A52,main!$A$3:$H$102,6,FALSE),0)</f>
        <v>0</v>
      </c>
      <c r="O52">
        <f>IF(gamma!O52,VLOOKUP(zeta!O$1,main!$A$3:$H$102,5,FALSE)-VLOOKUP(zeta!$A52,main!$A$3:$H$102,6,FALSE),0)</f>
        <v>0</v>
      </c>
      <c r="P52">
        <f>IF(gamma!P52,VLOOKUP(zeta!P$1,main!$A$3:$H$102,5,FALSE)-VLOOKUP(zeta!$A52,main!$A$3:$H$102,6,FALSE),0)</f>
        <v>0</v>
      </c>
      <c r="Q52">
        <f>IF(gamma!Q52,VLOOKUP(zeta!Q$1,main!$A$3:$H$102,5,FALSE)-VLOOKUP(zeta!$A52,main!$A$3:$H$102,6,FALSE),0)</f>
        <v>0</v>
      </c>
      <c r="R52">
        <f>IF(gamma!R52,VLOOKUP(zeta!R$1,main!$A$3:$H$102,5,FALSE)-VLOOKUP(zeta!$A52,main!$A$3:$H$102,6,FALSE),0)</f>
        <v>0</v>
      </c>
      <c r="S52">
        <f>IF(gamma!S52,VLOOKUP(zeta!S$1,main!$A$3:$H$102,5,FALSE)-VLOOKUP(zeta!$A52,main!$A$3:$H$102,6,FALSE),0)</f>
        <v>55</v>
      </c>
      <c r="T52">
        <f>IF(gamma!T52,VLOOKUP(zeta!T$1,main!$A$3:$H$102,5,FALSE)-VLOOKUP(zeta!$A52,main!$A$3:$H$102,6,FALSE),0)</f>
        <v>135</v>
      </c>
      <c r="U52">
        <f>IF(gamma!U52,VLOOKUP(zeta!U$1,main!$A$3:$H$102,5,FALSE)-VLOOKUP(zeta!$A52,main!$A$3:$H$102,6,FALSE),0)</f>
        <v>290</v>
      </c>
      <c r="V52">
        <f>IF(gamma!V52,VLOOKUP(zeta!V$1,main!$A$3:$H$102,5,FALSE)-VLOOKUP(zeta!$A52,main!$A$3:$H$102,6,FALSE),0)</f>
        <v>350</v>
      </c>
      <c r="W52">
        <f>IF(gamma!W52,VLOOKUP(zeta!W$1,main!$A$3:$H$102,5,FALSE)-VLOOKUP(zeta!$A52,main!$A$3:$H$102,6,FALSE),0)</f>
        <v>0</v>
      </c>
      <c r="X52">
        <f>IF(gamma!X52,VLOOKUP(zeta!X$1,main!$A$3:$H$102,5,FALSE)-VLOOKUP(zeta!$A52,main!$A$3:$H$102,6,FALSE),0)</f>
        <v>0</v>
      </c>
      <c r="Y52">
        <f>IF(gamma!Y52,VLOOKUP(zeta!Y$1,main!$A$3:$H$102,5,FALSE)-VLOOKUP(zeta!$A52,main!$A$3:$H$102,6,FALSE),0)</f>
        <v>0</v>
      </c>
      <c r="Z52">
        <f>IF(gamma!Z52,VLOOKUP(zeta!Z$1,main!$A$3:$H$102,5,FALSE)-VLOOKUP(zeta!$A52,main!$A$3:$H$102,6,FALSE),0)</f>
        <v>105</v>
      </c>
      <c r="AA52">
        <f>IF(gamma!AA52,VLOOKUP(zeta!AA$1,main!$A$3:$H$102,5,FALSE)-VLOOKUP(zeta!$A52,main!$A$3:$H$102,6,FALSE),0)</f>
        <v>255</v>
      </c>
      <c r="AB52">
        <f>IF(gamma!AB52,VLOOKUP(zeta!AB$1,main!$A$3:$H$102,5,FALSE)-VLOOKUP(zeta!$A52,main!$A$3:$H$102,6,FALSE),0)</f>
        <v>0</v>
      </c>
      <c r="AC52">
        <f>IF(gamma!AC52,VLOOKUP(zeta!AC$1,main!$A$3:$H$102,5,FALSE)-VLOOKUP(zeta!$A52,main!$A$3:$H$102,6,FALSE),0)</f>
        <v>0</v>
      </c>
      <c r="AD52">
        <f>IF(gamma!AD52,VLOOKUP(zeta!AD$1,main!$A$3:$H$102,5,FALSE)-VLOOKUP(zeta!$A52,main!$A$3:$H$102,6,FALSE),0)</f>
        <v>0</v>
      </c>
      <c r="AE52">
        <f>IF(gamma!AE52,VLOOKUP(zeta!AE$1,main!$A$3:$H$102,5,FALSE)-VLOOKUP(zeta!$A52,main!$A$3:$H$102,6,FALSE),0)</f>
        <v>65</v>
      </c>
      <c r="AF52">
        <f>IF(gamma!AF52,VLOOKUP(zeta!AF$1,main!$A$3:$H$102,5,FALSE)-VLOOKUP(zeta!$A52,main!$A$3:$H$102,6,FALSE),0)</f>
        <v>235</v>
      </c>
      <c r="AG52">
        <f>IF(gamma!AG52,VLOOKUP(zeta!AG$1,main!$A$3:$H$102,5,FALSE)-VLOOKUP(zeta!$A52,main!$A$3:$H$102,6,FALSE),0)</f>
        <v>0</v>
      </c>
      <c r="AH52">
        <f>IF(gamma!AH52,VLOOKUP(zeta!AH$1,main!$A$3:$H$102,5,FALSE)-VLOOKUP(zeta!$A52,main!$A$3:$H$102,6,FALSE),0)</f>
        <v>0</v>
      </c>
      <c r="AI52">
        <f>IF(gamma!AI52,VLOOKUP(zeta!AI$1,main!$A$3:$H$102,5,FALSE)-VLOOKUP(zeta!$A52,main!$A$3:$H$102,6,FALSE),0)</f>
        <v>0</v>
      </c>
      <c r="AJ52">
        <f>IF(gamma!AJ52,VLOOKUP(zeta!AJ$1,main!$A$3:$H$102,5,FALSE)-VLOOKUP(zeta!$A52,main!$A$3:$H$102,6,FALSE),0)</f>
        <v>0</v>
      </c>
      <c r="AK52">
        <f>IF(gamma!AK52,VLOOKUP(zeta!AK$1,main!$A$3:$H$102,5,FALSE)-VLOOKUP(zeta!$A52,main!$A$3:$H$102,6,FALSE),0)</f>
        <v>0</v>
      </c>
      <c r="AL52">
        <f>IF(gamma!AL52,VLOOKUP(zeta!AL$1,main!$A$3:$H$102,5,FALSE)-VLOOKUP(zeta!$A52,main!$A$3:$H$102,6,FALSE),0)</f>
        <v>125</v>
      </c>
      <c r="AM52">
        <f>IF(gamma!AM52,VLOOKUP(zeta!AM$1,main!$A$3:$H$102,5,FALSE)-VLOOKUP(zeta!$A52,main!$A$3:$H$102,6,FALSE),0)</f>
        <v>215</v>
      </c>
      <c r="AN52">
        <f>IF(gamma!AN52,VLOOKUP(zeta!AN$1,main!$A$3:$H$102,5,FALSE)-VLOOKUP(zeta!$A52,main!$A$3:$H$102,6,FALSE),0)</f>
        <v>275</v>
      </c>
      <c r="AO52">
        <f>IF(gamma!AO52,VLOOKUP(zeta!AO$1,main!$A$3:$H$102,5,FALSE)-VLOOKUP(zeta!$A52,main!$A$3:$H$102,6,FALSE),0)</f>
        <v>0</v>
      </c>
      <c r="AP52">
        <f>IF(gamma!AP52,VLOOKUP(zeta!AP$1,main!$A$3:$H$102,5,FALSE)-VLOOKUP(zeta!$A52,main!$A$3:$H$102,6,FALSE),0)</f>
        <v>335</v>
      </c>
      <c r="AQ52">
        <f>IF(gamma!AQ52,VLOOKUP(zeta!AQ$1,main!$A$3:$H$102,5,FALSE)-VLOOKUP(zeta!$A52,main!$A$3:$H$102,6,FALSE),0)</f>
        <v>0</v>
      </c>
      <c r="AR52">
        <f>IF(gamma!AR52,VLOOKUP(zeta!AR$1,main!$A$3:$H$102,5,FALSE)-VLOOKUP(zeta!$A52,main!$A$3:$H$102,6,FALSE),0)</f>
        <v>0</v>
      </c>
      <c r="AS52">
        <f>IF(gamma!AS52,VLOOKUP(zeta!AS$1,main!$A$3:$H$102,5,FALSE)-VLOOKUP(zeta!$A52,main!$A$3:$H$102,6,FALSE),0)</f>
        <v>0</v>
      </c>
      <c r="AT52">
        <f>IF(gamma!AT52,VLOOKUP(zeta!AT$1,main!$A$3:$H$102,5,FALSE)-VLOOKUP(zeta!$A52,main!$A$3:$H$102,6,FALSE),0)</f>
        <v>85</v>
      </c>
      <c r="AU52">
        <f>IF(gamma!AU52,VLOOKUP(zeta!AU$1,main!$A$3:$H$102,5,FALSE)-VLOOKUP(zeta!$A52,main!$A$3:$H$102,6,FALSE),0)</f>
        <v>0</v>
      </c>
      <c r="AV52">
        <f>IF(gamma!AV52,VLOOKUP(zeta!AV$1,main!$A$3:$H$102,5,FALSE)-VLOOKUP(zeta!$A52,main!$A$3:$H$102,6,FALSE),0)</f>
        <v>0</v>
      </c>
      <c r="AW52">
        <f>IF(gamma!AW52,VLOOKUP(zeta!AW$1,main!$A$3:$H$102,5,FALSE)-VLOOKUP(zeta!$A52,main!$A$3:$H$102,6,FALSE),0)</f>
        <v>0</v>
      </c>
      <c r="AX52">
        <f>IF(gamma!AX52,VLOOKUP(zeta!AX$1,main!$A$3:$H$102,5,FALSE)-VLOOKUP(zeta!$A52,main!$A$3:$H$102,6,FALSE),0)</f>
        <v>0</v>
      </c>
      <c r="AY52">
        <f>IF(gamma!AY52,VLOOKUP(zeta!AY$1,main!$A$3:$H$102,5,FALSE)-VLOOKUP(zeta!$A52,main!$A$3:$H$102,6,FALSE),0)</f>
        <v>0</v>
      </c>
      <c r="AZ52">
        <f>IF(gamma!AZ52,VLOOKUP(zeta!AZ$1,main!$A$3:$H$102,5,FALSE)-VLOOKUP(zeta!$A52,main!$A$3:$H$102,6,FALSE),0)</f>
        <v>0</v>
      </c>
      <c r="BA52">
        <f>IF(gamma!BA52,VLOOKUP(zeta!BA$1,main!$A$3:$H$102,5,FALSE)-VLOOKUP(zeta!$A52,main!$A$3:$H$102,6,FALSE),0)</f>
        <v>0</v>
      </c>
      <c r="BB52">
        <f>IF(gamma!BB52,VLOOKUP(zeta!BB$1,main!$A$3:$H$102,5,FALSE)-VLOOKUP(zeta!$A52,main!$A$3:$H$102,6,FALSE),0)</f>
        <v>0</v>
      </c>
      <c r="BC52">
        <f>IF(gamma!BC52,VLOOKUP(zeta!BC$1,main!$A$3:$H$102,5,FALSE)-VLOOKUP(zeta!$A52,main!$A$3:$H$102,6,FALSE),0)</f>
        <v>0</v>
      </c>
      <c r="BD52">
        <f>IF(gamma!BD52,VLOOKUP(zeta!BD$1,main!$A$3:$H$102,5,FALSE)-VLOOKUP(zeta!$A52,main!$A$3:$H$102,6,FALSE),0)</f>
        <v>55</v>
      </c>
      <c r="BE52">
        <f>IF(gamma!BE52,VLOOKUP(zeta!BE$1,main!$A$3:$H$102,5,FALSE)-VLOOKUP(zeta!$A52,main!$A$3:$H$102,6,FALSE),0)</f>
        <v>175</v>
      </c>
      <c r="BF52">
        <f>IF(gamma!BF52,VLOOKUP(zeta!BF$1,main!$A$3:$H$102,5,FALSE)-VLOOKUP(zeta!$A52,main!$A$3:$H$102,6,FALSE),0)</f>
        <v>0</v>
      </c>
      <c r="BG52">
        <f>IF(gamma!BG52,VLOOKUP(zeta!BG$1,main!$A$3:$H$102,5,FALSE)-VLOOKUP(zeta!$A52,main!$A$3:$H$102,6,FALSE),0)</f>
        <v>0</v>
      </c>
      <c r="BH52">
        <f>IF(gamma!BH52,VLOOKUP(zeta!BH$1,main!$A$3:$H$102,5,FALSE)-VLOOKUP(zeta!$A52,main!$A$3:$H$102,6,FALSE),0)</f>
        <v>0</v>
      </c>
      <c r="BI52">
        <f>IF(gamma!BI52,VLOOKUP(zeta!BI$1,main!$A$3:$H$102,5,FALSE)-VLOOKUP(zeta!$A52,main!$A$3:$H$102,6,FALSE),0)</f>
        <v>345</v>
      </c>
      <c r="BJ52">
        <f>IF(gamma!BJ52,VLOOKUP(zeta!BJ$1,main!$A$3:$H$102,5,FALSE)-VLOOKUP(zeta!$A52,main!$A$3:$H$102,6,FALSE),0)</f>
        <v>135</v>
      </c>
      <c r="BK52">
        <f>IF(gamma!BK52,VLOOKUP(zeta!BK$1,main!$A$3:$H$102,5,FALSE)-VLOOKUP(zeta!$A52,main!$A$3:$H$102,6,FALSE),0)</f>
        <v>0</v>
      </c>
      <c r="BL52">
        <f>IF(gamma!BL52,VLOOKUP(zeta!BL$1,main!$A$3:$H$102,5,FALSE)-VLOOKUP(zeta!$A52,main!$A$3:$H$102,6,FALSE),0)</f>
        <v>0</v>
      </c>
      <c r="BM52">
        <f>IF(gamma!BM52,VLOOKUP(zeta!BM$1,main!$A$3:$H$102,5,FALSE)-VLOOKUP(zeta!$A52,main!$A$3:$H$102,6,FALSE),0)</f>
        <v>0</v>
      </c>
      <c r="BN52">
        <f>IF(gamma!BN52,VLOOKUP(zeta!BN$1,main!$A$3:$H$102,5,FALSE)-VLOOKUP(zeta!$A52,main!$A$3:$H$102,6,FALSE),0)</f>
        <v>35</v>
      </c>
      <c r="BO52">
        <f>IF(gamma!BO52,VLOOKUP(zeta!BO$1,main!$A$3:$H$102,5,FALSE)-VLOOKUP(zeta!$A52,main!$A$3:$H$102,6,FALSE),0)</f>
        <v>0</v>
      </c>
      <c r="BP52">
        <f>IF(gamma!BP52,VLOOKUP(zeta!BP$1,main!$A$3:$H$102,5,FALSE)-VLOOKUP(zeta!$A52,main!$A$3:$H$102,6,FALSE),0)</f>
        <v>0</v>
      </c>
      <c r="BQ52">
        <f>IF(gamma!BQ52,VLOOKUP(zeta!BQ$1,main!$A$3:$H$102,5,FALSE)-VLOOKUP(zeta!$A52,main!$A$3:$H$102,6,FALSE),0)</f>
        <v>0</v>
      </c>
      <c r="BR52">
        <f>IF(gamma!BR52,VLOOKUP(zeta!BR$1,main!$A$3:$H$102,5,FALSE)-VLOOKUP(zeta!$A52,main!$A$3:$H$102,6,FALSE),0)</f>
        <v>0</v>
      </c>
      <c r="BS52">
        <f>IF(gamma!BS52,VLOOKUP(zeta!BS$1,main!$A$3:$H$102,5,FALSE)-VLOOKUP(zeta!$A52,main!$A$3:$H$102,6,FALSE),0)</f>
        <v>0</v>
      </c>
      <c r="BT52">
        <f>IF(gamma!BT52,VLOOKUP(zeta!BT$1,main!$A$3:$H$102,5,FALSE)-VLOOKUP(zeta!$A52,main!$A$3:$H$102,6,FALSE),0)</f>
        <v>0</v>
      </c>
      <c r="BU52">
        <f>IF(gamma!BU52,VLOOKUP(zeta!BU$1,main!$A$3:$H$102,5,FALSE)-VLOOKUP(zeta!$A52,main!$A$3:$H$102,6,FALSE),0)</f>
        <v>0</v>
      </c>
      <c r="BV52">
        <f>IF(gamma!BV52,VLOOKUP(zeta!BV$1,main!$A$3:$H$102,5,FALSE)-VLOOKUP(zeta!$A52,main!$A$3:$H$102,6,FALSE),0)</f>
        <v>0</v>
      </c>
      <c r="BW52">
        <f>IF(gamma!BW52,VLOOKUP(zeta!BW$1,main!$A$3:$H$102,5,FALSE)-VLOOKUP(zeta!$A52,main!$A$3:$H$102,6,FALSE),0)</f>
        <v>0</v>
      </c>
      <c r="BX52">
        <f>IF(gamma!BX52,VLOOKUP(zeta!BX$1,main!$A$3:$H$102,5,FALSE)-VLOOKUP(zeta!$A52,main!$A$3:$H$102,6,FALSE),0)</f>
        <v>0</v>
      </c>
      <c r="BY52">
        <f>IF(gamma!BY52,VLOOKUP(zeta!BY$1,main!$A$3:$H$102,5,FALSE)-VLOOKUP(zeta!$A52,main!$A$3:$H$102,6,FALSE),0)</f>
        <v>0</v>
      </c>
      <c r="BZ52">
        <f>IF(gamma!BZ52,VLOOKUP(zeta!BZ$1,main!$A$3:$H$102,5,FALSE)-VLOOKUP(zeta!$A52,main!$A$3:$H$102,6,FALSE),0)</f>
        <v>0</v>
      </c>
      <c r="CA52">
        <f>IF(gamma!CA52,VLOOKUP(zeta!CA$1,main!$A$3:$H$102,5,FALSE)-VLOOKUP(zeta!$A52,main!$A$3:$H$102,6,FALSE),0)</f>
        <v>0</v>
      </c>
      <c r="CB52">
        <f>IF(gamma!CB52,VLOOKUP(zeta!CB$1,main!$A$3:$H$102,5,FALSE)-VLOOKUP(zeta!$A52,main!$A$3:$H$102,6,FALSE),0)</f>
        <v>40</v>
      </c>
      <c r="CC52">
        <f>IF(gamma!CC52,VLOOKUP(zeta!CC$1,main!$A$3:$H$102,5,FALSE)-VLOOKUP(zeta!$A52,main!$A$3:$H$102,6,FALSE),0)</f>
        <v>250</v>
      </c>
      <c r="CD52">
        <f>IF(gamma!CD52,VLOOKUP(zeta!CD$1,main!$A$3:$H$102,5,FALSE)-VLOOKUP(zeta!$A52,main!$A$3:$H$102,6,FALSE),0)</f>
        <v>0</v>
      </c>
      <c r="CE52">
        <f>IF(gamma!CE52,VLOOKUP(zeta!CE$1,main!$A$3:$H$102,5,FALSE)-VLOOKUP(zeta!$A52,main!$A$3:$H$102,6,FALSE),0)</f>
        <v>0</v>
      </c>
      <c r="CF52">
        <f>IF(gamma!CF52,VLOOKUP(zeta!CF$1,main!$A$3:$H$102,5,FALSE)-VLOOKUP(zeta!$A52,main!$A$3:$H$102,6,FALSE),0)</f>
        <v>0</v>
      </c>
      <c r="CG52">
        <f>IF(gamma!CG52,VLOOKUP(zeta!CG$1,main!$A$3:$H$102,5,FALSE)-VLOOKUP(zeta!$A52,main!$A$3:$H$102,6,FALSE),0)</f>
        <v>0</v>
      </c>
      <c r="CH52">
        <f>IF(gamma!CH52,VLOOKUP(zeta!CH$1,main!$A$3:$H$102,5,FALSE)-VLOOKUP(zeta!$A52,main!$A$3:$H$102,6,FALSE),0)</f>
        <v>135</v>
      </c>
      <c r="CI52">
        <f>IF(gamma!CI52,VLOOKUP(zeta!CI$1,main!$A$3:$H$102,5,FALSE)-VLOOKUP(zeta!$A52,main!$A$3:$H$102,6,FALSE),0)</f>
        <v>335</v>
      </c>
      <c r="CJ52">
        <f>IF(gamma!CJ52,VLOOKUP(zeta!CJ$1,main!$A$3:$H$102,5,FALSE)-VLOOKUP(zeta!$A52,main!$A$3:$H$102,6,FALSE),0)</f>
        <v>0</v>
      </c>
      <c r="CK52">
        <f>IF(gamma!CK52,VLOOKUP(zeta!CK$1,main!$A$3:$H$102,5,FALSE)-VLOOKUP(zeta!$A52,main!$A$3:$H$102,6,FALSE),0)</f>
        <v>0</v>
      </c>
      <c r="CL52">
        <f>IF(gamma!CL52,VLOOKUP(zeta!CL$1,main!$A$3:$H$102,5,FALSE)-VLOOKUP(zeta!$A52,main!$A$3:$H$102,6,FALSE),0)</f>
        <v>0</v>
      </c>
      <c r="CM52">
        <f>IF(gamma!CM52,VLOOKUP(zeta!CM$1,main!$A$3:$H$102,5,FALSE)-VLOOKUP(zeta!$A52,main!$A$3:$H$102,6,FALSE),0)</f>
        <v>111</v>
      </c>
      <c r="CN52">
        <f>IF(gamma!CN52,VLOOKUP(zeta!CN$1,main!$A$3:$H$102,5,FALSE)-VLOOKUP(zeta!$A52,main!$A$3:$H$102,6,FALSE),0)</f>
        <v>335</v>
      </c>
      <c r="CO52">
        <f>IF(gamma!CO52,VLOOKUP(zeta!CO$1,main!$A$3:$H$102,5,FALSE)-VLOOKUP(zeta!$A52,main!$A$3:$H$102,6,FALSE),0)</f>
        <v>0</v>
      </c>
      <c r="CP52">
        <f>IF(gamma!CP52,VLOOKUP(zeta!CP$1,main!$A$3:$H$102,5,FALSE)-VLOOKUP(zeta!$A52,main!$A$3:$H$102,6,FALSE),0)</f>
        <v>0</v>
      </c>
      <c r="CQ52">
        <f>IF(gamma!CQ52,VLOOKUP(zeta!CQ$1,main!$A$3:$H$102,5,FALSE)-VLOOKUP(zeta!$A52,main!$A$3:$H$102,6,FALSE),0)</f>
        <v>0</v>
      </c>
      <c r="CR52">
        <f>IF(gamma!CR52,VLOOKUP(zeta!CR$1,main!$A$3:$H$102,5,FALSE)-VLOOKUP(zeta!$A52,main!$A$3:$H$102,6,FALSE),0)</f>
        <v>100</v>
      </c>
      <c r="CS52">
        <f>IF(gamma!CS52,VLOOKUP(zeta!CS$1,main!$A$3:$H$102,5,FALSE)-VLOOKUP(zeta!$A52,main!$A$3:$H$102,6,FALSE),0)</f>
        <v>110</v>
      </c>
      <c r="CT52">
        <f>IF(gamma!CT52,VLOOKUP(zeta!CT$1,main!$A$3:$H$102,5,FALSE)-VLOOKUP(zeta!$A52,main!$A$3:$H$102,6,FALSE),0)</f>
        <v>0</v>
      </c>
      <c r="CU52">
        <f>IF(gamma!CU52,VLOOKUP(zeta!CU$1,main!$A$3:$H$102,5,FALSE)-VLOOKUP(zeta!$A52,main!$A$3:$H$102,6,FALSE),0)</f>
        <v>0</v>
      </c>
      <c r="CV52">
        <f>IF(gamma!CV52,VLOOKUP(zeta!CV$1,main!$A$3:$H$102,5,FALSE)-VLOOKUP(zeta!$A52,main!$A$3:$H$102,6,FALSE),0)</f>
        <v>0</v>
      </c>
      <c r="CW52">
        <f>IF(gamma!CW52,VLOOKUP(zeta!CW$1,main!$A$3:$H$102,5,FALSE)-VLOOKUP(zeta!$A52,main!$A$3:$H$102,6,FALSE),0)</f>
        <v>100</v>
      </c>
      <c r="CX52">
        <f>IF(gamma!CX52,VLOOKUP(zeta!CX$1,main!$A$3:$H$102,5,FALSE)-VLOOKUP(zeta!$A52,main!$A$3:$H$102,6,FALSE),0)</f>
        <v>140</v>
      </c>
    </row>
    <row r="53" spans="1:102" x14ac:dyDescent="0.25">
      <c r="A53">
        <f t="shared" si="1"/>
        <v>51</v>
      </c>
      <c r="B53">
        <v>0</v>
      </c>
      <c r="C53">
        <f>IF(gamma!C53,VLOOKUP(zeta!C$1,main!$A$3:$H$102,5,FALSE)-VLOOKUP(zeta!$A53,main!$A$3:$H$102,6,FALSE),0)</f>
        <v>0</v>
      </c>
      <c r="D53">
        <f>IF(gamma!D53,VLOOKUP(zeta!D$1,main!$A$3:$H$102,5,FALSE)-VLOOKUP(zeta!$A53,main!$A$3:$H$102,6,FALSE),0)</f>
        <v>0</v>
      </c>
      <c r="E53">
        <f>IF(gamma!E53,VLOOKUP(zeta!E$1,main!$A$3:$H$102,5,FALSE)-VLOOKUP(zeta!$A53,main!$A$3:$H$102,6,FALSE),0)</f>
        <v>0</v>
      </c>
      <c r="F53">
        <f>IF(gamma!F53,VLOOKUP(zeta!F$1,main!$A$3:$H$102,5,FALSE)-VLOOKUP(zeta!$A53,main!$A$3:$H$102,6,FALSE),0)</f>
        <v>30</v>
      </c>
      <c r="G53">
        <f>IF(gamma!G53,VLOOKUP(zeta!G$1,main!$A$3:$H$102,5,FALSE)-VLOOKUP(zeta!$A53,main!$A$3:$H$102,6,FALSE),0)</f>
        <v>120</v>
      </c>
      <c r="H53">
        <f>IF(gamma!H53,VLOOKUP(zeta!H$1,main!$A$3:$H$102,5,FALSE)-VLOOKUP(zeta!$A53,main!$A$3:$H$102,6,FALSE),0)</f>
        <v>210</v>
      </c>
      <c r="I53">
        <f>IF(gamma!I53,VLOOKUP(zeta!I$1,main!$A$3:$H$102,5,FALSE)-VLOOKUP(zeta!$A53,main!$A$3:$H$102,6,FALSE),0)</f>
        <v>270</v>
      </c>
      <c r="J53">
        <f>IF(gamma!J53,VLOOKUP(zeta!J$1,main!$A$3:$H$102,5,FALSE)-VLOOKUP(zeta!$A53,main!$A$3:$H$102,6,FALSE),0)</f>
        <v>330</v>
      </c>
      <c r="K53">
        <f>IF(gamma!K53,VLOOKUP(zeta!K$1,main!$A$3:$H$102,5,FALSE)-VLOOKUP(zeta!$A53,main!$A$3:$H$102,6,FALSE),0)</f>
        <v>390</v>
      </c>
      <c r="L53">
        <f>IF(gamma!L53,VLOOKUP(zeta!L$1,main!$A$3:$H$102,5,FALSE)-VLOOKUP(zeta!$A53,main!$A$3:$H$102,6,FALSE),0)</f>
        <v>480</v>
      </c>
      <c r="M53">
        <f>IF(gamma!M53,VLOOKUP(zeta!M$1,main!$A$3:$H$102,5,FALSE)-VLOOKUP(zeta!$A53,main!$A$3:$H$102,6,FALSE),0)</f>
        <v>0</v>
      </c>
      <c r="N53">
        <f>IF(gamma!N53,VLOOKUP(zeta!N$1,main!$A$3:$H$102,5,FALSE)-VLOOKUP(zeta!$A53,main!$A$3:$H$102,6,FALSE),0)</f>
        <v>0</v>
      </c>
      <c r="O53">
        <f>IF(gamma!O53,VLOOKUP(zeta!O$1,main!$A$3:$H$102,5,FALSE)-VLOOKUP(zeta!$A53,main!$A$3:$H$102,6,FALSE),0)</f>
        <v>0</v>
      </c>
      <c r="P53">
        <f>IF(gamma!P53,VLOOKUP(zeta!P$1,main!$A$3:$H$102,5,FALSE)-VLOOKUP(zeta!$A53,main!$A$3:$H$102,6,FALSE),0)</f>
        <v>0</v>
      </c>
      <c r="Q53">
        <f>IF(gamma!Q53,VLOOKUP(zeta!Q$1,main!$A$3:$H$102,5,FALSE)-VLOOKUP(zeta!$A53,main!$A$3:$H$102,6,FALSE),0)</f>
        <v>45</v>
      </c>
      <c r="R53">
        <f>IF(gamma!R53,VLOOKUP(zeta!R$1,main!$A$3:$H$102,5,FALSE)-VLOOKUP(zeta!$A53,main!$A$3:$H$102,6,FALSE),0)</f>
        <v>85</v>
      </c>
      <c r="S53">
        <f>IF(gamma!S53,VLOOKUP(zeta!S$1,main!$A$3:$H$102,5,FALSE)-VLOOKUP(zeta!$A53,main!$A$3:$H$102,6,FALSE),0)</f>
        <v>210</v>
      </c>
      <c r="T53">
        <f>IF(gamma!T53,VLOOKUP(zeta!T$1,main!$A$3:$H$102,5,FALSE)-VLOOKUP(zeta!$A53,main!$A$3:$H$102,6,FALSE),0)</f>
        <v>290</v>
      </c>
      <c r="U53">
        <f>IF(gamma!U53,VLOOKUP(zeta!U$1,main!$A$3:$H$102,5,FALSE)-VLOOKUP(zeta!$A53,main!$A$3:$H$102,6,FALSE),0)</f>
        <v>445</v>
      </c>
      <c r="V53">
        <f>IF(gamma!V53,VLOOKUP(zeta!V$1,main!$A$3:$H$102,5,FALSE)-VLOOKUP(zeta!$A53,main!$A$3:$H$102,6,FALSE),0)</f>
        <v>505</v>
      </c>
      <c r="W53">
        <f>IF(gamma!W53,VLOOKUP(zeta!W$1,main!$A$3:$H$102,5,FALSE)-VLOOKUP(zeta!$A53,main!$A$3:$H$102,6,FALSE),0)</f>
        <v>0</v>
      </c>
      <c r="X53">
        <f>IF(gamma!X53,VLOOKUP(zeta!X$1,main!$A$3:$H$102,5,FALSE)-VLOOKUP(zeta!$A53,main!$A$3:$H$102,6,FALSE),0)</f>
        <v>0</v>
      </c>
      <c r="Y53">
        <f>IF(gamma!Y53,VLOOKUP(zeta!Y$1,main!$A$3:$H$102,5,FALSE)-VLOOKUP(zeta!$A53,main!$A$3:$H$102,6,FALSE),0)</f>
        <v>80</v>
      </c>
      <c r="Z53">
        <f>IF(gamma!Z53,VLOOKUP(zeta!Z$1,main!$A$3:$H$102,5,FALSE)-VLOOKUP(zeta!$A53,main!$A$3:$H$102,6,FALSE),0)</f>
        <v>260</v>
      </c>
      <c r="AA53">
        <f>IF(gamma!AA53,VLOOKUP(zeta!AA$1,main!$A$3:$H$102,5,FALSE)-VLOOKUP(zeta!$A53,main!$A$3:$H$102,6,FALSE),0)</f>
        <v>410</v>
      </c>
      <c r="AB53">
        <f>IF(gamma!AB53,VLOOKUP(zeta!AB$1,main!$A$3:$H$102,5,FALSE)-VLOOKUP(zeta!$A53,main!$A$3:$H$102,6,FALSE),0)</f>
        <v>0</v>
      </c>
      <c r="AC53">
        <f>IF(gamma!AC53,VLOOKUP(zeta!AC$1,main!$A$3:$H$102,5,FALSE)-VLOOKUP(zeta!$A53,main!$A$3:$H$102,6,FALSE),0)</f>
        <v>0</v>
      </c>
      <c r="AD53">
        <f>IF(gamma!AD53,VLOOKUP(zeta!AD$1,main!$A$3:$H$102,5,FALSE)-VLOOKUP(zeta!$A53,main!$A$3:$H$102,6,FALSE),0)</f>
        <v>40</v>
      </c>
      <c r="AE53">
        <f>IF(gamma!AE53,VLOOKUP(zeta!AE$1,main!$A$3:$H$102,5,FALSE)-VLOOKUP(zeta!$A53,main!$A$3:$H$102,6,FALSE),0)</f>
        <v>220</v>
      </c>
      <c r="AF53">
        <f>IF(gamma!AF53,VLOOKUP(zeta!AF$1,main!$A$3:$H$102,5,FALSE)-VLOOKUP(zeta!$A53,main!$A$3:$H$102,6,FALSE),0)</f>
        <v>390</v>
      </c>
      <c r="AG53">
        <f>IF(gamma!AG53,VLOOKUP(zeta!AG$1,main!$A$3:$H$102,5,FALSE)-VLOOKUP(zeta!$A53,main!$A$3:$H$102,6,FALSE),0)</f>
        <v>0</v>
      </c>
      <c r="AH53">
        <f>IF(gamma!AH53,VLOOKUP(zeta!AH$1,main!$A$3:$H$102,5,FALSE)-VLOOKUP(zeta!$A53,main!$A$3:$H$102,6,FALSE),0)</f>
        <v>0</v>
      </c>
      <c r="AI53">
        <f>IF(gamma!AI53,VLOOKUP(zeta!AI$1,main!$A$3:$H$102,5,FALSE)-VLOOKUP(zeta!$A53,main!$A$3:$H$102,6,FALSE),0)</f>
        <v>0</v>
      </c>
      <c r="AJ53">
        <f>IF(gamma!AJ53,VLOOKUP(zeta!AJ$1,main!$A$3:$H$102,5,FALSE)-VLOOKUP(zeta!$A53,main!$A$3:$H$102,6,FALSE),0)</f>
        <v>100</v>
      </c>
      <c r="AK53">
        <f>IF(gamma!AK53,VLOOKUP(zeta!AK$1,main!$A$3:$H$102,5,FALSE)-VLOOKUP(zeta!$A53,main!$A$3:$H$102,6,FALSE),0)</f>
        <v>190</v>
      </c>
      <c r="AL53">
        <f>IF(gamma!AL53,VLOOKUP(zeta!AL$1,main!$A$3:$H$102,5,FALSE)-VLOOKUP(zeta!$A53,main!$A$3:$H$102,6,FALSE),0)</f>
        <v>280</v>
      </c>
      <c r="AM53">
        <f>IF(gamma!AM53,VLOOKUP(zeta!AM$1,main!$A$3:$H$102,5,FALSE)-VLOOKUP(zeta!$A53,main!$A$3:$H$102,6,FALSE),0)</f>
        <v>370</v>
      </c>
      <c r="AN53">
        <f>IF(gamma!AN53,VLOOKUP(zeta!AN$1,main!$A$3:$H$102,5,FALSE)-VLOOKUP(zeta!$A53,main!$A$3:$H$102,6,FALSE),0)</f>
        <v>430</v>
      </c>
      <c r="AO53">
        <f>IF(gamma!AO53,VLOOKUP(zeta!AO$1,main!$A$3:$H$102,5,FALSE)-VLOOKUP(zeta!$A53,main!$A$3:$H$102,6,FALSE),0)</f>
        <v>0</v>
      </c>
      <c r="AP53">
        <f>IF(gamma!AP53,VLOOKUP(zeta!AP$1,main!$A$3:$H$102,5,FALSE)-VLOOKUP(zeta!$A53,main!$A$3:$H$102,6,FALSE),0)</f>
        <v>490</v>
      </c>
      <c r="AQ53">
        <f>IF(gamma!AQ53,VLOOKUP(zeta!AQ$1,main!$A$3:$H$102,5,FALSE)-VLOOKUP(zeta!$A53,main!$A$3:$H$102,6,FALSE),0)</f>
        <v>0</v>
      </c>
      <c r="AR53">
        <f>IF(gamma!AR53,VLOOKUP(zeta!AR$1,main!$A$3:$H$102,5,FALSE)-VLOOKUP(zeta!$A53,main!$A$3:$H$102,6,FALSE),0)</f>
        <v>0</v>
      </c>
      <c r="AS53">
        <f>IF(gamma!AS53,VLOOKUP(zeta!AS$1,main!$A$3:$H$102,5,FALSE)-VLOOKUP(zeta!$A53,main!$A$3:$H$102,6,FALSE),0)</f>
        <v>90</v>
      </c>
      <c r="AT53">
        <f>IF(gamma!AT53,VLOOKUP(zeta!AT$1,main!$A$3:$H$102,5,FALSE)-VLOOKUP(zeta!$A53,main!$A$3:$H$102,6,FALSE),0)</f>
        <v>240</v>
      </c>
      <c r="AU53">
        <f>IF(gamma!AU53,VLOOKUP(zeta!AU$1,main!$A$3:$H$102,5,FALSE)-VLOOKUP(zeta!$A53,main!$A$3:$H$102,6,FALSE),0)</f>
        <v>0</v>
      </c>
      <c r="AV53">
        <f>IF(gamma!AV53,VLOOKUP(zeta!AV$1,main!$A$3:$H$102,5,FALSE)-VLOOKUP(zeta!$A53,main!$A$3:$H$102,6,FALSE),0)</f>
        <v>0</v>
      </c>
      <c r="AW53">
        <f>IF(gamma!AW53,VLOOKUP(zeta!AW$1,main!$A$3:$H$102,5,FALSE)-VLOOKUP(zeta!$A53,main!$A$3:$H$102,6,FALSE),0)</f>
        <v>190</v>
      </c>
      <c r="AX53">
        <f>IF(gamma!AX53,VLOOKUP(zeta!AX$1,main!$A$3:$H$102,5,FALSE)-VLOOKUP(zeta!$A53,main!$A$3:$H$102,6,FALSE),0)</f>
        <v>0</v>
      </c>
      <c r="AY53">
        <f>IF(gamma!AY53,VLOOKUP(zeta!AY$1,main!$A$3:$H$102,5,FALSE)-VLOOKUP(zeta!$A53,main!$A$3:$H$102,6,FALSE),0)</f>
        <v>0</v>
      </c>
      <c r="AZ53">
        <f>IF(gamma!AZ53,VLOOKUP(zeta!AZ$1,main!$A$3:$H$102,5,FALSE)-VLOOKUP(zeta!$A53,main!$A$3:$H$102,6,FALSE),0)</f>
        <v>0</v>
      </c>
      <c r="BA53">
        <f>IF(gamma!BA53,VLOOKUP(zeta!BA$1,main!$A$3:$H$102,5,FALSE)-VLOOKUP(zeta!$A53,main!$A$3:$H$102,6,FALSE),0)</f>
        <v>0</v>
      </c>
      <c r="BB53">
        <f>IF(gamma!BB53,VLOOKUP(zeta!BB$1,main!$A$3:$H$102,5,FALSE)-VLOOKUP(zeta!$A53,main!$A$3:$H$102,6,FALSE),0)</f>
        <v>0</v>
      </c>
      <c r="BC53">
        <f>IF(gamma!BC53,VLOOKUP(zeta!BC$1,main!$A$3:$H$102,5,FALSE)-VLOOKUP(zeta!$A53,main!$A$3:$H$102,6,FALSE),0)</f>
        <v>150</v>
      </c>
      <c r="BD53">
        <f>IF(gamma!BD53,VLOOKUP(zeta!BD$1,main!$A$3:$H$102,5,FALSE)-VLOOKUP(zeta!$A53,main!$A$3:$H$102,6,FALSE),0)</f>
        <v>210</v>
      </c>
      <c r="BE53">
        <f>IF(gamma!BE53,VLOOKUP(zeta!BE$1,main!$A$3:$H$102,5,FALSE)-VLOOKUP(zeta!$A53,main!$A$3:$H$102,6,FALSE),0)</f>
        <v>330</v>
      </c>
      <c r="BF53">
        <f>IF(gamma!BF53,VLOOKUP(zeta!BF$1,main!$A$3:$H$102,5,FALSE)-VLOOKUP(zeta!$A53,main!$A$3:$H$102,6,FALSE),0)</f>
        <v>0</v>
      </c>
      <c r="BG53">
        <f>IF(gamma!BG53,VLOOKUP(zeta!BG$1,main!$A$3:$H$102,5,FALSE)-VLOOKUP(zeta!$A53,main!$A$3:$H$102,6,FALSE),0)</f>
        <v>0</v>
      </c>
      <c r="BH53">
        <f>IF(gamma!BH53,VLOOKUP(zeta!BH$1,main!$A$3:$H$102,5,FALSE)-VLOOKUP(zeta!$A53,main!$A$3:$H$102,6,FALSE),0)</f>
        <v>115</v>
      </c>
      <c r="BI53">
        <f>IF(gamma!BI53,VLOOKUP(zeta!BI$1,main!$A$3:$H$102,5,FALSE)-VLOOKUP(zeta!$A53,main!$A$3:$H$102,6,FALSE),0)</f>
        <v>500</v>
      </c>
      <c r="BJ53">
        <f>IF(gamma!BJ53,VLOOKUP(zeta!BJ$1,main!$A$3:$H$102,5,FALSE)-VLOOKUP(zeta!$A53,main!$A$3:$H$102,6,FALSE),0)</f>
        <v>290</v>
      </c>
      <c r="BK53">
        <f>IF(gamma!BK53,VLOOKUP(zeta!BK$1,main!$A$3:$H$102,5,FALSE)-VLOOKUP(zeta!$A53,main!$A$3:$H$102,6,FALSE),0)</f>
        <v>0</v>
      </c>
      <c r="BL53">
        <f>IF(gamma!BL53,VLOOKUP(zeta!BL$1,main!$A$3:$H$102,5,FALSE)-VLOOKUP(zeta!$A53,main!$A$3:$H$102,6,FALSE),0)</f>
        <v>0</v>
      </c>
      <c r="BM53">
        <f>IF(gamma!BM53,VLOOKUP(zeta!BM$1,main!$A$3:$H$102,5,FALSE)-VLOOKUP(zeta!$A53,main!$A$3:$H$102,6,FALSE),0)</f>
        <v>0</v>
      </c>
      <c r="BN53">
        <f>IF(gamma!BN53,VLOOKUP(zeta!BN$1,main!$A$3:$H$102,5,FALSE)-VLOOKUP(zeta!$A53,main!$A$3:$H$102,6,FALSE),0)</f>
        <v>190</v>
      </c>
      <c r="BO53">
        <f>IF(gamma!BO53,VLOOKUP(zeta!BO$1,main!$A$3:$H$102,5,FALSE)-VLOOKUP(zeta!$A53,main!$A$3:$H$102,6,FALSE),0)</f>
        <v>0</v>
      </c>
      <c r="BP53">
        <f>IF(gamma!BP53,VLOOKUP(zeta!BP$1,main!$A$3:$H$102,5,FALSE)-VLOOKUP(zeta!$A53,main!$A$3:$H$102,6,FALSE),0)</f>
        <v>0</v>
      </c>
      <c r="BQ53">
        <f>IF(gamma!BQ53,VLOOKUP(zeta!BQ$1,main!$A$3:$H$102,5,FALSE)-VLOOKUP(zeta!$A53,main!$A$3:$H$102,6,FALSE),0)</f>
        <v>45</v>
      </c>
      <c r="BR53">
        <f>IF(gamma!BR53,VLOOKUP(zeta!BR$1,main!$A$3:$H$102,5,FALSE)-VLOOKUP(zeta!$A53,main!$A$3:$H$102,6,FALSE),0)</f>
        <v>80</v>
      </c>
      <c r="BS53">
        <f>IF(gamma!BS53,VLOOKUP(zeta!BS$1,main!$A$3:$H$102,5,FALSE)-VLOOKUP(zeta!$A53,main!$A$3:$H$102,6,FALSE),0)</f>
        <v>90</v>
      </c>
      <c r="BT53">
        <f>IF(gamma!BT53,VLOOKUP(zeta!BT$1,main!$A$3:$H$102,5,FALSE)-VLOOKUP(zeta!$A53,main!$A$3:$H$102,6,FALSE),0)</f>
        <v>0</v>
      </c>
      <c r="BU53">
        <f>IF(gamma!BU53,VLOOKUP(zeta!BU$1,main!$A$3:$H$102,5,FALSE)-VLOOKUP(zeta!$A53,main!$A$3:$H$102,6,FALSE),0)</f>
        <v>0</v>
      </c>
      <c r="BV53">
        <f>IF(gamma!BV53,VLOOKUP(zeta!BV$1,main!$A$3:$H$102,5,FALSE)-VLOOKUP(zeta!$A53,main!$A$3:$H$102,6,FALSE),0)</f>
        <v>0</v>
      </c>
      <c r="BW53">
        <f>IF(gamma!BW53,VLOOKUP(zeta!BW$1,main!$A$3:$H$102,5,FALSE)-VLOOKUP(zeta!$A53,main!$A$3:$H$102,6,FALSE),0)</f>
        <v>0</v>
      </c>
      <c r="BX53">
        <f>IF(gamma!BX53,VLOOKUP(zeta!BX$1,main!$A$3:$H$102,5,FALSE)-VLOOKUP(zeta!$A53,main!$A$3:$H$102,6,FALSE),0)</f>
        <v>55</v>
      </c>
      <c r="BY53">
        <f>IF(gamma!BY53,VLOOKUP(zeta!BY$1,main!$A$3:$H$102,5,FALSE)-VLOOKUP(zeta!$A53,main!$A$3:$H$102,6,FALSE),0)</f>
        <v>140</v>
      </c>
      <c r="BZ53">
        <f>IF(gamma!BZ53,VLOOKUP(zeta!BZ$1,main!$A$3:$H$102,5,FALSE)-VLOOKUP(zeta!$A53,main!$A$3:$H$102,6,FALSE),0)</f>
        <v>0</v>
      </c>
      <c r="CA53">
        <f>IF(gamma!CA53,VLOOKUP(zeta!CA$1,main!$A$3:$H$102,5,FALSE)-VLOOKUP(zeta!$A53,main!$A$3:$H$102,6,FALSE),0)</f>
        <v>0</v>
      </c>
      <c r="CB53">
        <f>IF(gamma!CB53,VLOOKUP(zeta!CB$1,main!$A$3:$H$102,5,FALSE)-VLOOKUP(zeta!$A53,main!$A$3:$H$102,6,FALSE),0)</f>
        <v>195</v>
      </c>
      <c r="CC53">
        <f>IF(gamma!CC53,VLOOKUP(zeta!CC$1,main!$A$3:$H$102,5,FALSE)-VLOOKUP(zeta!$A53,main!$A$3:$H$102,6,FALSE),0)</f>
        <v>405</v>
      </c>
      <c r="CD53">
        <f>IF(gamma!CD53,VLOOKUP(zeta!CD$1,main!$A$3:$H$102,5,FALSE)-VLOOKUP(zeta!$A53,main!$A$3:$H$102,6,FALSE),0)</f>
        <v>140</v>
      </c>
      <c r="CE53">
        <f>IF(gamma!CE53,VLOOKUP(zeta!CE$1,main!$A$3:$H$102,5,FALSE)-VLOOKUP(zeta!$A53,main!$A$3:$H$102,6,FALSE),0)</f>
        <v>0</v>
      </c>
      <c r="CF53">
        <f>IF(gamma!CF53,VLOOKUP(zeta!CF$1,main!$A$3:$H$102,5,FALSE)-VLOOKUP(zeta!$A53,main!$A$3:$H$102,6,FALSE),0)</f>
        <v>0</v>
      </c>
      <c r="CG53">
        <f>IF(gamma!CG53,VLOOKUP(zeta!CG$1,main!$A$3:$H$102,5,FALSE)-VLOOKUP(zeta!$A53,main!$A$3:$H$102,6,FALSE),0)</f>
        <v>90</v>
      </c>
      <c r="CH53">
        <f>IF(gamma!CH53,VLOOKUP(zeta!CH$1,main!$A$3:$H$102,5,FALSE)-VLOOKUP(zeta!$A53,main!$A$3:$H$102,6,FALSE),0)</f>
        <v>290</v>
      </c>
      <c r="CI53">
        <f>IF(gamma!CI53,VLOOKUP(zeta!CI$1,main!$A$3:$H$102,5,FALSE)-VLOOKUP(zeta!$A53,main!$A$3:$H$102,6,FALSE),0)</f>
        <v>490</v>
      </c>
      <c r="CJ53">
        <f>IF(gamma!CJ53,VLOOKUP(zeta!CJ$1,main!$A$3:$H$102,5,FALSE)-VLOOKUP(zeta!$A53,main!$A$3:$H$102,6,FALSE),0)</f>
        <v>80</v>
      </c>
      <c r="CK53">
        <f>IF(gamma!CK53,VLOOKUP(zeta!CK$1,main!$A$3:$H$102,5,FALSE)-VLOOKUP(zeta!$A53,main!$A$3:$H$102,6,FALSE),0)</f>
        <v>0</v>
      </c>
      <c r="CL53">
        <f>IF(gamma!CL53,VLOOKUP(zeta!CL$1,main!$A$3:$H$102,5,FALSE)-VLOOKUP(zeta!$A53,main!$A$3:$H$102,6,FALSE),0)</f>
        <v>90</v>
      </c>
      <c r="CM53">
        <f>IF(gamma!CM53,VLOOKUP(zeta!CM$1,main!$A$3:$H$102,5,FALSE)-VLOOKUP(zeta!$A53,main!$A$3:$H$102,6,FALSE),0)</f>
        <v>266</v>
      </c>
      <c r="CN53">
        <f>IF(gamma!CN53,VLOOKUP(zeta!CN$1,main!$A$3:$H$102,5,FALSE)-VLOOKUP(zeta!$A53,main!$A$3:$H$102,6,FALSE),0)</f>
        <v>490</v>
      </c>
      <c r="CO53">
        <f>IF(gamma!CO53,VLOOKUP(zeta!CO$1,main!$A$3:$H$102,5,FALSE)-VLOOKUP(zeta!$A53,main!$A$3:$H$102,6,FALSE),0)</f>
        <v>0</v>
      </c>
      <c r="CP53">
        <f>IF(gamma!CP53,VLOOKUP(zeta!CP$1,main!$A$3:$H$102,5,FALSE)-VLOOKUP(zeta!$A53,main!$A$3:$H$102,6,FALSE),0)</f>
        <v>55</v>
      </c>
      <c r="CQ53">
        <f>IF(gamma!CQ53,VLOOKUP(zeta!CQ$1,main!$A$3:$H$102,5,FALSE)-VLOOKUP(zeta!$A53,main!$A$3:$H$102,6,FALSE),0)</f>
        <v>70</v>
      </c>
      <c r="CR53">
        <f>IF(gamma!CR53,VLOOKUP(zeta!CR$1,main!$A$3:$H$102,5,FALSE)-VLOOKUP(zeta!$A53,main!$A$3:$H$102,6,FALSE),0)</f>
        <v>255</v>
      </c>
      <c r="CS53">
        <f>IF(gamma!CS53,VLOOKUP(zeta!CS$1,main!$A$3:$H$102,5,FALSE)-VLOOKUP(zeta!$A53,main!$A$3:$H$102,6,FALSE),0)</f>
        <v>265</v>
      </c>
      <c r="CT53">
        <f>IF(gamma!CT53,VLOOKUP(zeta!CT$1,main!$A$3:$H$102,5,FALSE)-VLOOKUP(zeta!$A53,main!$A$3:$H$102,6,FALSE),0)</f>
        <v>0</v>
      </c>
      <c r="CU53">
        <f>IF(gamma!CU53,VLOOKUP(zeta!CU$1,main!$A$3:$H$102,5,FALSE)-VLOOKUP(zeta!$A53,main!$A$3:$H$102,6,FALSE),0)</f>
        <v>0</v>
      </c>
      <c r="CV53">
        <f>IF(gamma!CV53,VLOOKUP(zeta!CV$1,main!$A$3:$H$102,5,FALSE)-VLOOKUP(zeta!$A53,main!$A$3:$H$102,6,FALSE),0)</f>
        <v>70</v>
      </c>
      <c r="CW53">
        <f>IF(gamma!CW53,VLOOKUP(zeta!CW$1,main!$A$3:$H$102,5,FALSE)-VLOOKUP(zeta!$A53,main!$A$3:$H$102,6,FALSE),0)</f>
        <v>255</v>
      </c>
      <c r="CX53">
        <f>IF(gamma!CX53,VLOOKUP(zeta!CX$1,main!$A$3:$H$102,5,FALSE)-VLOOKUP(zeta!$A53,main!$A$3:$H$102,6,FALSE),0)</f>
        <v>295</v>
      </c>
    </row>
    <row r="54" spans="1:102" x14ac:dyDescent="0.25">
      <c r="A54">
        <f t="shared" si="1"/>
        <v>52</v>
      </c>
      <c r="B54">
        <v>0</v>
      </c>
      <c r="C54">
        <f>IF(gamma!C54,VLOOKUP(zeta!C$1,main!$A$3:$H$102,5,FALSE)-VLOOKUP(zeta!$A54,main!$A$3:$H$102,6,FALSE),0)</f>
        <v>0</v>
      </c>
      <c r="D54">
        <f>IF(gamma!D54,VLOOKUP(zeta!D$1,main!$A$3:$H$102,5,FALSE)-VLOOKUP(zeta!$A54,main!$A$3:$H$102,6,FALSE),0)</f>
        <v>0</v>
      </c>
      <c r="E54">
        <f>IF(gamma!E54,VLOOKUP(zeta!E$1,main!$A$3:$H$102,5,FALSE)-VLOOKUP(zeta!$A54,main!$A$3:$H$102,6,FALSE),0)</f>
        <v>0</v>
      </c>
      <c r="F54">
        <f>IF(gamma!F54,VLOOKUP(zeta!F$1,main!$A$3:$H$102,5,FALSE)-VLOOKUP(zeta!$A54,main!$A$3:$H$102,6,FALSE),0)</f>
        <v>0</v>
      </c>
      <c r="G54">
        <f>IF(gamma!G54,VLOOKUP(zeta!G$1,main!$A$3:$H$102,5,FALSE)-VLOOKUP(zeta!$A54,main!$A$3:$H$102,6,FALSE),0)</f>
        <v>0</v>
      </c>
      <c r="H54">
        <f>IF(gamma!H54,VLOOKUP(zeta!H$1,main!$A$3:$H$102,5,FALSE)-VLOOKUP(zeta!$A54,main!$A$3:$H$102,6,FALSE),0)</f>
        <v>40</v>
      </c>
      <c r="I54">
        <f>IF(gamma!I54,VLOOKUP(zeta!I$1,main!$A$3:$H$102,5,FALSE)-VLOOKUP(zeta!$A54,main!$A$3:$H$102,6,FALSE),0)</f>
        <v>100</v>
      </c>
      <c r="J54">
        <f>IF(gamma!J54,VLOOKUP(zeta!J$1,main!$A$3:$H$102,5,FALSE)-VLOOKUP(zeta!$A54,main!$A$3:$H$102,6,FALSE),0)</f>
        <v>160</v>
      </c>
      <c r="K54">
        <f>IF(gamma!K54,VLOOKUP(zeta!K$1,main!$A$3:$H$102,5,FALSE)-VLOOKUP(zeta!$A54,main!$A$3:$H$102,6,FALSE),0)</f>
        <v>220</v>
      </c>
      <c r="L54">
        <f>IF(gamma!L54,VLOOKUP(zeta!L$1,main!$A$3:$H$102,5,FALSE)-VLOOKUP(zeta!$A54,main!$A$3:$H$102,6,FALSE),0)</f>
        <v>310</v>
      </c>
      <c r="M54">
        <f>IF(gamma!M54,VLOOKUP(zeta!M$1,main!$A$3:$H$102,5,FALSE)-VLOOKUP(zeta!$A54,main!$A$3:$H$102,6,FALSE),0)</f>
        <v>0</v>
      </c>
      <c r="N54">
        <f>IF(gamma!N54,VLOOKUP(zeta!N$1,main!$A$3:$H$102,5,FALSE)-VLOOKUP(zeta!$A54,main!$A$3:$H$102,6,FALSE),0)</f>
        <v>0</v>
      </c>
      <c r="O54">
        <f>IF(gamma!O54,VLOOKUP(zeta!O$1,main!$A$3:$H$102,5,FALSE)-VLOOKUP(zeta!$A54,main!$A$3:$H$102,6,FALSE),0)</f>
        <v>0</v>
      </c>
      <c r="P54">
        <f>IF(gamma!P54,VLOOKUP(zeta!P$1,main!$A$3:$H$102,5,FALSE)-VLOOKUP(zeta!$A54,main!$A$3:$H$102,6,FALSE),0)</f>
        <v>0</v>
      </c>
      <c r="Q54">
        <f>IF(gamma!Q54,VLOOKUP(zeta!Q$1,main!$A$3:$H$102,5,FALSE)-VLOOKUP(zeta!$A54,main!$A$3:$H$102,6,FALSE),0)</f>
        <v>0</v>
      </c>
      <c r="R54">
        <f>IF(gamma!R54,VLOOKUP(zeta!R$1,main!$A$3:$H$102,5,FALSE)-VLOOKUP(zeta!$A54,main!$A$3:$H$102,6,FALSE),0)</f>
        <v>0</v>
      </c>
      <c r="S54">
        <f>IF(gamma!S54,VLOOKUP(zeta!S$1,main!$A$3:$H$102,5,FALSE)-VLOOKUP(zeta!$A54,main!$A$3:$H$102,6,FALSE),0)</f>
        <v>40</v>
      </c>
      <c r="T54">
        <f>IF(gamma!T54,VLOOKUP(zeta!T$1,main!$A$3:$H$102,5,FALSE)-VLOOKUP(zeta!$A54,main!$A$3:$H$102,6,FALSE),0)</f>
        <v>120</v>
      </c>
      <c r="U54">
        <f>IF(gamma!U54,VLOOKUP(zeta!U$1,main!$A$3:$H$102,5,FALSE)-VLOOKUP(zeta!$A54,main!$A$3:$H$102,6,FALSE),0)</f>
        <v>275</v>
      </c>
      <c r="V54">
        <f>IF(gamma!V54,VLOOKUP(zeta!V$1,main!$A$3:$H$102,5,FALSE)-VLOOKUP(zeta!$A54,main!$A$3:$H$102,6,FALSE),0)</f>
        <v>335</v>
      </c>
      <c r="W54">
        <f>IF(gamma!W54,VLOOKUP(zeta!W$1,main!$A$3:$H$102,5,FALSE)-VLOOKUP(zeta!$A54,main!$A$3:$H$102,6,FALSE),0)</f>
        <v>0</v>
      </c>
      <c r="X54">
        <f>IF(gamma!X54,VLOOKUP(zeta!X$1,main!$A$3:$H$102,5,FALSE)-VLOOKUP(zeta!$A54,main!$A$3:$H$102,6,FALSE),0)</f>
        <v>0</v>
      </c>
      <c r="Y54">
        <f>IF(gamma!Y54,VLOOKUP(zeta!Y$1,main!$A$3:$H$102,5,FALSE)-VLOOKUP(zeta!$A54,main!$A$3:$H$102,6,FALSE),0)</f>
        <v>0</v>
      </c>
      <c r="Z54">
        <f>IF(gamma!Z54,VLOOKUP(zeta!Z$1,main!$A$3:$H$102,5,FALSE)-VLOOKUP(zeta!$A54,main!$A$3:$H$102,6,FALSE),0)</f>
        <v>90</v>
      </c>
      <c r="AA54">
        <f>IF(gamma!AA54,VLOOKUP(zeta!AA$1,main!$A$3:$H$102,5,FALSE)-VLOOKUP(zeta!$A54,main!$A$3:$H$102,6,FALSE),0)</f>
        <v>240</v>
      </c>
      <c r="AB54">
        <f>IF(gamma!AB54,VLOOKUP(zeta!AB$1,main!$A$3:$H$102,5,FALSE)-VLOOKUP(zeta!$A54,main!$A$3:$H$102,6,FALSE),0)</f>
        <v>0</v>
      </c>
      <c r="AC54">
        <f>IF(gamma!AC54,VLOOKUP(zeta!AC$1,main!$A$3:$H$102,5,FALSE)-VLOOKUP(zeta!$A54,main!$A$3:$H$102,6,FALSE),0)</f>
        <v>0</v>
      </c>
      <c r="AD54">
        <f>IF(gamma!AD54,VLOOKUP(zeta!AD$1,main!$A$3:$H$102,5,FALSE)-VLOOKUP(zeta!$A54,main!$A$3:$H$102,6,FALSE),0)</f>
        <v>0</v>
      </c>
      <c r="AE54">
        <f>IF(gamma!AE54,VLOOKUP(zeta!AE$1,main!$A$3:$H$102,5,FALSE)-VLOOKUP(zeta!$A54,main!$A$3:$H$102,6,FALSE),0)</f>
        <v>50</v>
      </c>
      <c r="AF54">
        <f>IF(gamma!AF54,VLOOKUP(zeta!AF$1,main!$A$3:$H$102,5,FALSE)-VLOOKUP(zeta!$A54,main!$A$3:$H$102,6,FALSE),0)</f>
        <v>220</v>
      </c>
      <c r="AG54">
        <f>IF(gamma!AG54,VLOOKUP(zeta!AG$1,main!$A$3:$H$102,5,FALSE)-VLOOKUP(zeta!$A54,main!$A$3:$H$102,6,FALSE),0)</f>
        <v>0</v>
      </c>
      <c r="AH54">
        <f>IF(gamma!AH54,VLOOKUP(zeta!AH$1,main!$A$3:$H$102,5,FALSE)-VLOOKUP(zeta!$A54,main!$A$3:$H$102,6,FALSE),0)</f>
        <v>0</v>
      </c>
      <c r="AI54">
        <f>IF(gamma!AI54,VLOOKUP(zeta!AI$1,main!$A$3:$H$102,5,FALSE)-VLOOKUP(zeta!$A54,main!$A$3:$H$102,6,FALSE),0)</f>
        <v>0</v>
      </c>
      <c r="AJ54">
        <f>IF(gamma!AJ54,VLOOKUP(zeta!AJ$1,main!$A$3:$H$102,5,FALSE)-VLOOKUP(zeta!$A54,main!$A$3:$H$102,6,FALSE),0)</f>
        <v>0</v>
      </c>
      <c r="AK54">
        <f>IF(gamma!AK54,VLOOKUP(zeta!AK$1,main!$A$3:$H$102,5,FALSE)-VLOOKUP(zeta!$A54,main!$A$3:$H$102,6,FALSE),0)</f>
        <v>0</v>
      </c>
      <c r="AL54">
        <f>IF(gamma!AL54,VLOOKUP(zeta!AL$1,main!$A$3:$H$102,5,FALSE)-VLOOKUP(zeta!$A54,main!$A$3:$H$102,6,FALSE),0)</f>
        <v>110</v>
      </c>
      <c r="AM54">
        <f>IF(gamma!AM54,VLOOKUP(zeta!AM$1,main!$A$3:$H$102,5,FALSE)-VLOOKUP(zeta!$A54,main!$A$3:$H$102,6,FALSE),0)</f>
        <v>200</v>
      </c>
      <c r="AN54">
        <f>IF(gamma!AN54,VLOOKUP(zeta!AN$1,main!$A$3:$H$102,5,FALSE)-VLOOKUP(zeta!$A54,main!$A$3:$H$102,6,FALSE),0)</f>
        <v>260</v>
      </c>
      <c r="AO54">
        <f>IF(gamma!AO54,VLOOKUP(zeta!AO$1,main!$A$3:$H$102,5,FALSE)-VLOOKUP(zeta!$A54,main!$A$3:$H$102,6,FALSE),0)</f>
        <v>0</v>
      </c>
      <c r="AP54">
        <f>IF(gamma!AP54,VLOOKUP(zeta!AP$1,main!$A$3:$H$102,5,FALSE)-VLOOKUP(zeta!$A54,main!$A$3:$H$102,6,FALSE),0)</f>
        <v>320</v>
      </c>
      <c r="AQ54">
        <f>IF(gamma!AQ54,VLOOKUP(zeta!AQ$1,main!$A$3:$H$102,5,FALSE)-VLOOKUP(zeta!$A54,main!$A$3:$H$102,6,FALSE),0)</f>
        <v>0</v>
      </c>
      <c r="AR54">
        <f>IF(gamma!AR54,VLOOKUP(zeta!AR$1,main!$A$3:$H$102,5,FALSE)-VLOOKUP(zeta!$A54,main!$A$3:$H$102,6,FALSE),0)</f>
        <v>0</v>
      </c>
      <c r="AS54">
        <f>IF(gamma!AS54,VLOOKUP(zeta!AS$1,main!$A$3:$H$102,5,FALSE)-VLOOKUP(zeta!$A54,main!$A$3:$H$102,6,FALSE),0)</f>
        <v>0</v>
      </c>
      <c r="AT54">
        <f>IF(gamma!AT54,VLOOKUP(zeta!AT$1,main!$A$3:$H$102,5,FALSE)-VLOOKUP(zeta!$A54,main!$A$3:$H$102,6,FALSE),0)</f>
        <v>70</v>
      </c>
      <c r="AU54">
        <f>IF(gamma!AU54,VLOOKUP(zeta!AU$1,main!$A$3:$H$102,5,FALSE)-VLOOKUP(zeta!$A54,main!$A$3:$H$102,6,FALSE),0)</f>
        <v>0</v>
      </c>
      <c r="AV54">
        <f>IF(gamma!AV54,VLOOKUP(zeta!AV$1,main!$A$3:$H$102,5,FALSE)-VLOOKUP(zeta!$A54,main!$A$3:$H$102,6,FALSE),0)</f>
        <v>0</v>
      </c>
      <c r="AW54">
        <f>IF(gamma!AW54,VLOOKUP(zeta!AW$1,main!$A$3:$H$102,5,FALSE)-VLOOKUP(zeta!$A54,main!$A$3:$H$102,6,FALSE),0)</f>
        <v>0</v>
      </c>
      <c r="AX54">
        <f>IF(gamma!AX54,VLOOKUP(zeta!AX$1,main!$A$3:$H$102,5,FALSE)-VLOOKUP(zeta!$A54,main!$A$3:$H$102,6,FALSE),0)</f>
        <v>0</v>
      </c>
      <c r="AY54">
        <f>IF(gamma!AY54,VLOOKUP(zeta!AY$1,main!$A$3:$H$102,5,FALSE)-VLOOKUP(zeta!$A54,main!$A$3:$H$102,6,FALSE),0)</f>
        <v>0</v>
      </c>
      <c r="AZ54">
        <f>IF(gamma!AZ54,VLOOKUP(zeta!AZ$1,main!$A$3:$H$102,5,FALSE)-VLOOKUP(zeta!$A54,main!$A$3:$H$102,6,FALSE),0)</f>
        <v>0</v>
      </c>
      <c r="BA54">
        <f>IF(gamma!BA54,VLOOKUP(zeta!BA$1,main!$A$3:$H$102,5,FALSE)-VLOOKUP(zeta!$A54,main!$A$3:$H$102,6,FALSE),0)</f>
        <v>0</v>
      </c>
      <c r="BB54">
        <f>IF(gamma!BB54,VLOOKUP(zeta!BB$1,main!$A$3:$H$102,5,FALSE)-VLOOKUP(zeta!$A54,main!$A$3:$H$102,6,FALSE),0)</f>
        <v>0</v>
      </c>
      <c r="BC54">
        <f>IF(gamma!BC54,VLOOKUP(zeta!BC$1,main!$A$3:$H$102,5,FALSE)-VLOOKUP(zeta!$A54,main!$A$3:$H$102,6,FALSE),0)</f>
        <v>0</v>
      </c>
      <c r="BD54">
        <f>IF(gamma!BD54,VLOOKUP(zeta!BD$1,main!$A$3:$H$102,5,FALSE)-VLOOKUP(zeta!$A54,main!$A$3:$H$102,6,FALSE),0)</f>
        <v>0</v>
      </c>
      <c r="BE54">
        <f>IF(gamma!BE54,VLOOKUP(zeta!BE$1,main!$A$3:$H$102,5,FALSE)-VLOOKUP(zeta!$A54,main!$A$3:$H$102,6,FALSE),0)</f>
        <v>160</v>
      </c>
      <c r="BF54">
        <f>IF(gamma!BF54,VLOOKUP(zeta!BF$1,main!$A$3:$H$102,5,FALSE)-VLOOKUP(zeta!$A54,main!$A$3:$H$102,6,FALSE),0)</f>
        <v>0</v>
      </c>
      <c r="BG54">
        <f>IF(gamma!BG54,VLOOKUP(zeta!BG$1,main!$A$3:$H$102,5,FALSE)-VLOOKUP(zeta!$A54,main!$A$3:$H$102,6,FALSE),0)</f>
        <v>0</v>
      </c>
      <c r="BH54">
        <f>IF(gamma!BH54,VLOOKUP(zeta!BH$1,main!$A$3:$H$102,5,FALSE)-VLOOKUP(zeta!$A54,main!$A$3:$H$102,6,FALSE),0)</f>
        <v>0</v>
      </c>
      <c r="BI54">
        <f>IF(gamma!BI54,VLOOKUP(zeta!BI$1,main!$A$3:$H$102,5,FALSE)-VLOOKUP(zeta!$A54,main!$A$3:$H$102,6,FALSE),0)</f>
        <v>330</v>
      </c>
      <c r="BJ54">
        <f>IF(gamma!BJ54,VLOOKUP(zeta!BJ$1,main!$A$3:$H$102,5,FALSE)-VLOOKUP(zeta!$A54,main!$A$3:$H$102,6,FALSE),0)</f>
        <v>120</v>
      </c>
      <c r="BK54">
        <f>IF(gamma!BK54,VLOOKUP(zeta!BK$1,main!$A$3:$H$102,5,FALSE)-VLOOKUP(zeta!$A54,main!$A$3:$H$102,6,FALSE),0)</f>
        <v>0</v>
      </c>
      <c r="BL54">
        <f>IF(gamma!BL54,VLOOKUP(zeta!BL$1,main!$A$3:$H$102,5,FALSE)-VLOOKUP(zeta!$A54,main!$A$3:$H$102,6,FALSE),0)</f>
        <v>0</v>
      </c>
      <c r="BM54">
        <f>IF(gamma!BM54,VLOOKUP(zeta!BM$1,main!$A$3:$H$102,5,FALSE)-VLOOKUP(zeta!$A54,main!$A$3:$H$102,6,FALSE),0)</f>
        <v>0</v>
      </c>
      <c r="BN54">
        <f>IF(gamma!BN54,VLOOKUP(zeta!BN$1,main!$A$3:$H$102,5,FALSE)-VLOOKUP(zeta!$A54,main!$A$3:$H$102,6,FALSE),0)</f>
        <v>0</v>
      </c>
      <c r="BO54">
        <f>IF(gamma!BO54,VLOOKUP(zeta!BO$1,main!$A$3:$H$102,5,FALSE)-VLOOKUP(zeta!$A54,main!$A$3:$H$102,6,FALSE),0)</f>
        <v>0</v>
      </c>
      <c r="BP54">
        <f>IF(gamma!BP54,VLOOKUP(zeta!BP$1,main!$A$3:$H$102,5,FALSE)-VLOOKUP(zeta!$A54,main!$A$3:$H$102,6,FALSE),0)</f>
        <v>0</v>
      </c>
      <c r="BQ54">
        <f>IF(gamma!BQ54,VLOOKUP(zeta!BQ$1,main!$A$3:$H$102,5,FALSE)-VLOOKUP(zeta!$A54,main!$A$3:$H$102,6,FALSE),0)</f>
        <v>0</v>
      </c>
      <c r="BR54">
        <f>IF(gamma!BR54,VLOOKUP(zeta!BR$1,main!$A$3:$H$102,5,FALSE)-VLOOKUP(zeta!$A54,main!$A$3:$H$102,6,FALSE),0)</f>
        <v>0</v>
      </c>
      <c r="BS54">
        <f>IF(gamma!BS54,VLOOKUP(zeta!BS$1,main!$A$3:$H$102,5,FALSE)-VLOOKUP(zeta!$A54,main!$A$3:$H$102,6,FALSE),0)</f>
        <v>0</v>
      </c>
      <c r="BT54">
        <f>IF(gamma!BT54,VLOOKUP(zeta!BT$1,main!$A$3:$H$102,5,FALSE)-VLOOKUP(zeta!$A54,main!$A$3:$H$102,6,FALSE),0)</f>
        <v>0</v>
      </c>
      <c r="BU54">
        <f>IF(gamma!BU54,VLOOKUP(zeta!BU$1,main!$A$3:$H$102,5,FALSE)-VLOOKUP(zeta!$A54,main!$A$3:$H$102,6,FALSE),0)</f>
        <v>0</v>
      </c>
      <c r="BV54">
        <f>IF(gamma!BV54,VLOOKUP(zeta!BV$1,main!$A$3:$H$102,5,FALSE)-VLOOKUP(zeta!$A54,main!$A$3:$H$102,6,FALSE),0)</f>
        <v>0</v>
      </c>
      <c r="BW54">
        <f>IF(gamma!BW54,VLOOKUP(zeta!BW$1,main!$A$3:$H$102,5,FALSE)-VLOOKUP(zeta!$A54,main!$A$3:$H$102,6,FALSE),0)</f>
        <v>0</v>
      </c>
      <c r="BX54">
        <f>IF(gamma!BX54,VLOOKUP(zeta!BX$1,main!$A$3:$H$102,5,FALSE)-VLOOKUP(zeta!$A54,main!$A$3:$H$102,6,FALSE),0)</f>
        <v>0</v>
      </c>
      <c r="BY54">
        <f>IF(gamma!BY54,VLOOKUP(zeta!BY$1,main!$A$3:$H$102,5,FALSE)-VLOOKUP(zeta!$A54,main!$A$3:$H$102,6,FALSE),0)</f>
        <v>0</v>
      </c>
      <c r="BZ54">
        <f>IF(gamma!BZ54,VLOOKUP(zeta!BZ$1,main!$A$3:$H$102,5,FALSE)-VLOOKUP(zeta!$A54,main!$A$3:$H$102,6,FALSE),0)</f>
        <v>0</v>
      </c>
      <c r="CA54">
        <f>IF(gamma!CA54,VLOOKUP(zeta!CA$1,main!$A$3:$H$102,5,FALSE)-VLOOKUP(zeta!$A54,main!$A$3:$H$102,6,FALSE),0)</f>
        <v>0</v>
      </c>
      <c r="CB54">
        <f>IF(gamma!CB54,VLOOKUP(zeta!CB$1,main!$A$3:$H$102,5,FALSE)-VLOOKUP(zeta!$A54,main!$A$3:$H$102,6,FALSE),0)</f>
        <v>0</v>
      </c>
      <c r="CC54">
        <f>IF(gamma!CC54,VLOOKUP(zeta!CC$1,main!$A$3:$H$102,5,FALSE)-VLOOKUP(zeta!$A54,main!$A$3:$H$102,6,FALSE),0)</f>
        <v>235</v>
      </c>
      <c r="CD54">
        <f>IF(gamma!CD54,VLOOKUP(zeta!CD$1,main!$A$3:$H$102,5,FALSE)-VLOOKUP(zeta!$A54,main!$A$3:$H$102,6,FALSE),0)</f>
        <v>0</v>
      </c>
      <c r="CE54">
        <f>IF(gamma!CE54,VLOOKUP(zeta!CE$1,main!$A$3:$H$102,5,FALSE)-VLOOKUP(zeta!$A54,main!$A$3:$H$102,6,FALSE),0)</f>
        <v>0</v>
      </c>
      <c r="CF54">
        <f>IF(gamma!CF54,VLOOKUP(zeta!CF$1,main!$A$3:$H$102,5,FALSE)-VLOOKUP(zeta!$A54,main!$A$3:$H$102,6,FALSE),0)</f>
        <v>0</v>
      </c>
      <c r="CG54">
        <f>IF(gamma!CG54,VLOOKUP(zeta!CG$1,main!$A$3:$H$102,5,FALSE)-VLOOKUP(zeta!$A54,main!$A$3:$H$102,6,FALSE),0)</f>
        <v>0</v>
      </c>
      <c r="CH54">
        <f>IF(gamma!CH54,VLOOKUP(zeta!CH$1,main!$A$3:$H$102,5,FALSE)-VLOOKUP(zeta!$A54,main!$A$3:$H$102,6,FALSE),0)</f>
        <v>120</v>
      </c>
      <c r="CI54">
        <f>IF(gamma!CI54,VLOOKUP(zeta!CI$1,main!$A$3:$H$102,5,FALSE)-VLOOKUP(zeta!$A54,main!$A$3:$H$102,6,FALSE),0)</f>
        <v>320</v>
      </c>
      <c r="CJ54">
        <f>IF(gamma!CJ54,VLOOKUP(zeta!CJ$1,main!$A$3:$H$102,5,FALSE)-VLOOKUP(zeta!$A54,main!$A$3:$H$102,6,FALSE),0)</f>
        <v>0</v>
      </c>
      <c r="CK54">
        <f>IF(gamma!CK54,VLOOKUP(zeta!CK$1,main!$A$3:$H$102,5,FALSE)-VLOOKUP(zeta!$A54,main!$A$3:$H$102,6,FALSE),0)</f>
        <v>0</v>
      </c>
      <c r="CL54">
        <f>IF(gamma!CL54,VLOOKUP(zeta!CL$1,main!$A$3:$H$102,5,FALSE)-VLOOKUP(zeta!$A54,main!$A$3:$H$102,6,FALSE),0)</f>
        <v>0</v>
      </c>
      <c r="CM54">
        <f>IF(gamma!CM54,VLOOKUP(zeta!CM$1,main!$A$3:$H$102,5,FALSE)-VLOOKUP(zeta!$A54,main!$A$3:$H$102,6,FALSE),0)</f>
        <v>96</v>
      </c>
      <c r="CN54">
        <f>IF(gamma!CN54,VLOOKUP(zeta!CN$1,main!$A$3:$H$102,5,FALSE)-VLOOKUP(zeta!$A54,main!$A$3:$H$102,6,FALSE),0)</f>
        <v>320</v>
      </c>
      <c r="CO54">
        <f>IF(gamma!CO54,VLOOKUP(zeta!CO$1,main!$A$3:$H$102,5,FALSE)-VLOOKUP(zeta!$A54,main!$A$3:$H$102,6,FALSE),0)</f>
        <v>0</v>
      </c>
      <c r="CP54">
        <f>IF(gamma!CP54,VLOOKUP(zeta!CP$1,main!$A$3:$H$102,5,FALSE)-VLOOKUP(zeta!$A54,main!$A$3:$H$102,6,FALSE),0)</f>
        <v>0</v>
      </c>
      <c r="CQ54">
        <f>IF(gamma!CQ54,VLOOKUP(zeta!CQ$1,main!$A$3:$H$102,5,FALSE)-VLOOKUP(zeta!$A54,main!$A$3:$H$102,6,FALSE),0)</f>
        <v>0</v>
      </c>
      <c r="CR54">
        <f>IF(gamma!CR54,VLOOKUP(zeta!CR$1,main!$A$3:$H$102,5,FALSE)-VLOOKUP(zeta!$A54,main!$A$3:$H$102,6,FALSE),0)</f>
        <v>85</v>
      </c>
      <c r="CS54">
        <f>IF(gamma!CS54,VLOOKUP(zeta!CS$1,main!$A$3:$H$102,5,FALSE)-VLOOKUP(zeta!$A54,main!$A$3:$H$102,6,FALSE),0)</f>
        <v>95</v>
      </c>
      <c r="CT54">
        <f>IF(gamma!CT54,VLOOKUP(zeta!CT$1,main!$A$3:$H$102,5,FALSE)-VLOOKUP(zeta!$A54,main!$A$3:$H$102,6,FALSE),0)</f>
        <v>0</v>
      </c>
      <c r="CU54">
        <f>IF(gamma!CU54,VLOOKUP(zeta!CU$1,main!$A$3:$H$102,5,FALSE)-VLOOKUP(zeta!$A54,main!$A$3:$H$102,6,FALSE),0)</f>
        <v>0</v>
      </c>
      <c r="CV54">
        <f>IF(gamma!CV54,VLOOKUP(zeta!CV$1,main!$A$3:$H$102,5,FALSE)-VLOOKUP(zeta!$A54,main!$A$3:$H$102,6,FALSE),0)</f>
        <v>0</v>
      </c>
      <c r="CW54">
        <f>IF(gamma!CW54,VLOOKUP(zeta!CW$1,main!$A$3:$H$102,5,FALSE)-VLOOKUP(zeta!$A54,main!$A$3:$H$102,6,FALSE),0)</f>
        <v>85</v>
      </c>
      <c r="CX54">
        <f>IF(gamma!CX54,VLOOKUP(zeta!CX$1,main!$A$3:$H$102,5,FALSE)-VLOOKUP(zeta!$A54,main!$A$3:$H$102,6,FALSE),0)</f>
        <v>125</v>
      </c>
    </row>
    <row r="55" spans="1:102" x14ac:dyDescent="0.25">
      <c r="A55">
        <f t="shared" si="1"/>
        <v>53</v>
      </c>
      <c r="B55">
        <v>0</v>
      </c>
      <c r="C55">
        <f>IF(gamma!C55,VLOOKUP(zeta!C$1,main!$A$3:$H$102,5,FALSE)-VLOOKUP(zeta!$A55,main!$A$3:$H$102,6,FALSE),0)</f>
        <v>0</v>
      </c>
      <c r="D55">
        <f>IF(gamma!D55,VLOOKUP(zeta!D$1,main!$A$3:$H$102,5,FALSE)-VLOOKUP(zeta!$A55,main!$A$3:$H$102,6,FALSE),0)</f>
        <v>0</v>
      </c>
      <c r="E55">
        <f>IF(gamma!E55,VLOOKUP(zeta!E$1,main!$A$3:$H$102,5,FALSE)-VLOOKUP(zeta!$A55,main!$A$3:$H$102,6,FALSE),0)</f>
        <v>0</v>
      </c>
      <c r="F55">
        <f>IF(gamma!F55,VLOOKUP(zeta!F$1,main!$A$3:$H$102,5,FALSE)-VLOOKUP(zeta!$A55,main!$A$3:$H$102,6,FALSE),0)</f>
        <v>0</v>
      </c>
      <c r="G55">
        <f>IF(gamma!G55,VLOOKUP(zeta!G$1,main!$A$3:$H$102,5,FALSE)-VLOOKUP(zeta!$A55,main!$A$3:$H$102,6,FALSE),0)</f>
        <v>0</v>
      </c>
      <c r="H55">
        <f>IF(gamma!H55,VLOOKUP(zeta!H$1,main!$A$3:$H$102,5,FALSE)-VLOOKUP(zeta!$A55,main!$A$3:$H$102,6,FALSE),0)</f>
        <v>0</v>
      </c>
      <c r="I55">
        <f>IF(gamma!I55,VLOOKUP(zeta!I$1,main!$A$3:$H$102,5,FALSE)-VLOOKUP(zeta!$A55,main!$A$3:$H$102,6,FALSE),0)</f>
        <v>0</v>
      </c>
      <c r="J55">
        <f>IF(gamma!J55,VLOOKUP(zeta!J$1,main!$A$3:$H$102,5,FALSE)-VLOOKUP(zeta!$A55,main!$A$3:$H$102,6,FALSE),0)</f>
        <v>40</v>
      </c>
      <c r="K55">
        <f>IF(gamma!K55,VLOOKUP(zeta!K$1,main!$A$3:$H$102,5,FALSE)-VLOOKUP(zeta!$A55,main!$A$3:$H$102,6,FALSE),0)</f>
        <v>100</v>
      </c>
      <c r="L55">
        <f>IF(gamma!L55,VLOOKUP(zeta!L$1,main!$A$3:$H$102,5,FALSE)-VLOOKUP(zeta!$A55,main!$A$3:$H$102,6,FALSE),0)</f>
        <v>190</v>
      </c>
      <c r="M55">
        <f>IF(gamma!M55,VLOOKUP(zeta!M$1,main!$A$3:$H$102,5,FALSE)-VLOOKUP(zeta!$A55,main!$A$3:$H$102,6,FALSE),0)</f>
        <v>0</v>
      </c>
      <c r="N55">
        <f>IF(gamma!N55,VLOOKUP(zeta!N$1,main!$A$3:$H$102,5,FALSE)-VLOOKUP(zeta!$A55,main!$A$3:$H$102,6,FALSE),0)</f>
        <v>0</v>
      </c>
      <c r="O55">
        <f>IF(gamma!O55,VLOOKUP(zeta!O$1,main!$A$3:$H$102,5,FALSE)-VLOOKUP(zeta!$A55,main!$A$3:$H$102,6,FALSE),0)</f>
        <v>0</v>
      </c>
      <c r="P55">
        <f>IF(gamma!P55,VLOOKUP(zeta!P$1,main!$A$3:$H$102,5,FALSE)-VLOOKUP(zeta!$A55,main!$A$3:$H$102,6,FALSE),0)</f>
        <v>0</v>
      </c>
      <c r="Q55">
        <f>IF(gamma!Q55,VLOOKUP(zeta!Q$1,main!$A$3:$H$102,5,FALSE)-VLOOKUP(zeta!$A55,main!$A$3:$H$102,6,FALSE),0)</f>
        <v>0</v>
      </c>
      <c r="R55">
        <f>IF(gamma!R55,VLOOKUP(zeta!R$1,main!$A$3:$H$102,5,FALSE)-VLOOKUP(zeta!$A55,main!$A$3:$H$102,6,FALSE),0)</f>
        <v>0</v>
      </c>
      <c r="S55">
        <f>IF(gamma!S55,VLOOKUP(zeta!S$1,main!$A$3:$H$102,5,FALSE)-VLOOKUP(zeta!$A55,main!$A$3:$H$102,6,FALSE),0)</f>
        <v>0</v>
      </c>
      <c r="T55">
        <f>IF(gamma!T55,VLOOKUP(zeta!T$1,main!$A$3:$H$102,5,FALSE)-VLOOKUP(zeta!$A55,main!$A$3:$H$102,6,FALSE),0)</f>
        <v>0</v>
      </c>
      <c r="U55">
        <f>IF(gamma!U55,VLOOKUP(zeta!U$1,main!$A$3:$H$102,5,FALSE)-VLOOKUP(zeta!$A55,main!$A$3:$H$102,6,FALSE),0)</f>
        <v>155</v>
      </c>
      <c r="V55">
        <f>IF(gamma!V55,VLOOKUP(zeta!V$1,main!$A$3:$H$102,5,FALSE)-VLOOKUP(zeta!$A55,main!$A$3:$H$102,6,FALSE),0)</f>
        <v>215</v>
      </c>
      <c r="W55">
        <f>IF(gamma!W55,VLOOKUP(zeta!W$1,main!$A$3:$H$102,5,FALSE)-VLOOKUP(zeta!$A55,main!$A$3:$H$102,6,FALSE),0)</f>
        <v>0</v>
      </c>
      <c r="X55">
        <f>IF(gamma!X55,VLOOKUP(zeta!X$1,main!$A$3:$H$102,5,FALSE)-VLOOKUP(zeta!$A55,main!$A$3:$H$102,6,FALSE),0)</f>
        <v>0</v>
      </c>
      <c r="Y55">
        <f>IF(gamma!Y55,VLOOKUP(zeta!Y$1,main!$A$3:$H$102,5,FALSE)-VLOOKUP(zeta!$A55,main!$A$3:$H$102,6,FALSE),0)</f>
        <v>0</v>
      </c>
      <c r="Z55">
        <f>IF(gamma!Z55,VLOOKUP(zeta!Z$1,main!$A$3:$H$102,5,FALSE)-VLOOKUP(zeta!$A55,main!$A$3:$H$102,6,FALSE),0)</f>
        <v>0</v>
      </c>
      <c r="AA55">
        <f>IF(gamma!AA55,VLOOKUP(zeta!AA$1,main!$A$3:$H$102,5,FALSE)-VLOOKUP(zeta!$A55,main!$A$3:$H$102,6,FALSE),0)</f>
        <v>120</v>
      </c>
      <c r="AB55">
        <f>IF(gamma!AB55,VLOOKUP(zeta!AB$1,main!$A$3:$H$102,5,FALSE)-VLOOKUP(zeta!$A55,main!$A$3:$H$102,6,FALSE),0)</f>
        <v>0</v>
      </c>
      <c r="AC55">
        <f>IF(gamma!AC55,VLOOKUP(zeta!AC$1,main!$A$3:$H$102,5,FALSE)-VLOOKUP(zeta!$A55,main!$A$3:$H$102,6,FALSE),0)</f>
        <v>0</v>
      </c>
      <c r="AD55">
        <f>IF(gamma!AD55,VLOOKUP(zeta!AD$1,main!$A$3:$H$102,5,FALSE)-VLOOKUP(zeta!$A55,main!$A$3:$H$102,6,FALSE),0)</f>
        <v>0</v>
      </c>
      <c r="AE55">
        <f>IF(gamma!AE55,VLOOKUP(zeta!AE$1,main!$A$3:$H$102,5,FALSE)-VLOOKUP(zeta!$A55,main!$A$3:$H$102,6,FALSE),0)</f>
        <v>0</v>
      </c>
      <c r="AF55">
        <f>IF(gamma!AF55,VLOOKUP(zeta!AF$1,main!$A$3:$H$102,5,FALSE)-VLOOKUP(zeta!$A55,main!$A$3:$H$102,6,FALSE),0)</f>
        <v>100</v>
      </c>
      <c r="AG55">
        <f>IF(gamma!AG55,VLOOKUP(zeta!AG$1,main!$A$3:$H$102,5,FALSE)-VLOOKUP(zeta!$A55,main!$A$3:$H$102,6,FALSE),0)</f>
        <v>0</v>
      </c>
      <c r="AH55">
        <f>IF(gamma!AH55,VLOOKUP(zeta!AH$1,main!$A$3:$H$102,5,FALSE)-VLOOKUP(zeta!$A55,main!$A$3:$H$102,6,FALSE),0)</f>
        <v>0</v>
      </c>
      <c r="AI55">
        <f>IF(gamma!AI55,VLOOKUP(zeta!AI$1,main!$A$3:$H$102,5,FALSE)-VLOOKUP(zeta!$A55,main!$A$3:$H$102,6,FALSE),0)</f>
        <v>0</v>
      </c>
      <c r="AJ55">
        <f>IF(gamma!AJ55,VLOOKUP(zeta!AJ$1,main!$A$3:$H$102,5,FALSE)-VLOOKUP(zeta!$A55,main!$A$3:$H$102,6,FALSE),0)</f>
        <v>0</v>
      </c>
      <c r="AK55">
        <f>IF(gamma!AK55,VLOOKUP(zeta!AK$1,main!$A$3:$H$102,5,FALSE)-VLOOKUP(zeta!$A55,main!$A$3:$H$102,6,FALSE),0)</f>
        <v>0</v>
      </c>
      <c r="AL55">
        <f>IF(gamma!AL55,VLOOKUP(zeta!AL$1,main!$A$3:$H$102,5,FALSE)-VLOOKUP(zeta!$A55,main!$A$3:$H$102,6,FALSE),0)</f>
        <v>0</v>
      </c>
      <c r="AM55">
        <f>IF(gamma!AM55,VLOOKUP(zeta!AM$1,main!$A$3:$H$102,5,FALSE)-VLOOKUP(zeta!$A55,main!$A$3:$H$102,6,FALSE),0)</f>
        <v>80</v>
      </c>
      <c r="AN55">
        <f>IF(gamma!AN55,VLOOKUP(zeta!AN$1,main!$A$3:$H$102,5,FALSE)-VLOOKUP(zeta!$A55,main!$A$3:$H$102,6,FALSE),0)</f>
        <v>140</v>
      </c>
      <c r="AO55">
        <f>IF(gamma!AO55,VLOOKUP(zeta!AO$1,main!$A$3:$H$102,5,FALSE)-VLOOKUP(zeta!$A55,main!$A$3:$H$102,6,FALSE),0)</f>
        <v>0</v>
      </c>
      <c r="AP55">
        <f>IF(gamma!AP55,VLOOKUP(zeta!AP$1,main!$A$3:$H$102,5,FALSE)-VLOOKUP(zeta!$A55,main!$A$3:$H$102,6,FALSE),0)</f>
        <v>200</v>
      </c>
      <c r="AQ55">
        <f>IF(gamma!AQ55,VLOOKUP(zeta!AQ$1,main!$A$3:$H$102,5,FALSE)-VLOOKUP(zeta!$A55,main!$A$3:$H$102,6,FALSE),0)</f>
        <v>0</v>
      </c>
      <c r="AR55">
        <f>IF(gamma!AR55,VLOOKUP(zeta!AR$1,main!$A$3:$H$102,5,FALSE)-VLOOKUP(zeta!$A55,main!$A$3:$H$102,6,FALSE),0)</f>
        <v>0</v>
      </c>
      <c r="AS55">
        <f>IF(gamma!AS55,VLOOKUP(zeta!AS$1,main!$A$3:$H$102,5,FALSE)-VLOOKUP(zeta!$A55,main!$A$3:$H$102,6,FALSE),0)</f>
        <v>0</v>
      </c>
      <c r="AT55">
        <f>IF(gamma!AT55,VLOOKUP(zeta!AT$1,main!$A$3:$H$102,5,FALSE)-VLOOKUP(zeta!$A55,main!$A$3:$H$102,6,FALSE),0)</f>
        <v>0</v>
      </c>
      <c r="AU55">
        <f>IF(gamma!AU55,VLOOKUP(zeta!AU$1,main!$A$3:$H$102,5,FALSE)-VLOOKUP(zeta!$A55,main!$A$3:$H$102,6,FALSE),0)</f>
        <v>0</v>
      </c>
      <c r="AV55">
        <f>IF(gamma!AV55,VLOOKUP(zeta!AV$1,main!$A$3:$H$102,5,FALSE)-VLOOKUP(zeta!$A55,main!$A$3:$H$102,6,FALSE),0)</f>
        <v>0</v>
      </c>
      <c r="AW55">
        <f>IF(gamma!AW55,VLOOKUP(zeta!AW$1,main!$A$3:$H$102,5,FALSE)-VLOOKUP(zeta!$A55,main!$A$3:$H$102,6,FALSE),0)</f>
        <v>0</v>
      </c>
      <c r="AX55">
        <f>IF(gamma!AX55,VLOOKUP(zeta!AX$1,main!$A$3:$H$102,5,FALSE)-VLOOKUP(zeta!$A55,main!$A$3:$H$102,6,FALSE),0)</f>
        <v>0</v>
      </c>
      <c r="AY55">
        <f>IF(gamma!AY55,VLOOKUP(zeta!AY$1,main!$A$3:$H$102,5,FALSE)-VLOOKUP(zeta!$A55,main!$A$3:$H$102,6,FALSE),0)</f>
        <v>0</v>
      </c>
      <c r="AZ55">
        <f>IF(gamma!AZ55,VLOOKUP(zeta!AZ$1,main!$A$3:$H$102,5,FALSE)-VLOOKUP(zeta!$A55,main!$A$3:$H$102,6,FALSE),0)</f>
        <v>0</v>
      </c>
      <c r="BA55">
        <f>IF(gamma!BA55,VLOOKUP(zeta!BA$1,main!$A$3:$H$102,5,FALSE)-VLOOKUP(zeta!$A55,main!$A$3:$H$102,6,FALSE),0)</f>
        <v>0</v>
      </c>
      <c r="BB55">
        <f>IF(gamma!BB55,VLOOKUP(zeta!BB$1,main!$A$3:$H$102,5,FALSE)-VLOOKUP(zeta!$A55,main!$A$3:$H$102,6,FALSE),0)</f>
        <v>0</v>
      </c>
      <c r="BC55">
        <f>IF(gamma!BC55,VLOOKUP(zeta!BC$1,main!$A$3:$H$102,5,FALSE)-VLOOKUP(zeta!$A55,main!$A$3:$H$102,6,FALSE),0)</f>
        <v>0</v>
      </c>
      <c r="BD55">
        <f>IF(gamma!BD55,VLOOKUP(zeta!BD$1,main!$A$3:$H$102,5,FALSE)-VLOOKUP(zeta!$A55,main!$A$3:$H$102,6,FALSE),0)</f>
        <v>0</v>
      </c>
      <c r="BE55">
        <f>IF(gamma!BE55,VLOOKUP(zeta!BE$1,main!$A$3:$H$102,5,FALSE)-VLOOKUP(zeta!$A55,main!$A$3:$H$102,6,FALSE),0)</f>
        <v>0</v>
      </c>
      <c r="BF55">
        <f>IF(gamma!BF55,VLOOKUP(zeta!BF$1,main!$A$3:$H$102,5,FALSE)-VLOOKUP(zeta!$A55,main!$A$3:$H$102,6,FALSE),0)</f>
        <v>0</v>
      </c>
      <c r="BG55">
        <f>IF(gamma!BG55,VLOOKUP(zeta!BG$1,main!$A$3:$H$102,5,FALSE)-VLOOKUP(zeta!$A55,main!$A$3:$H$102,6,FALSE),0)</f>
        <v>0</v>
      </c>
      <c r="BH55">
        <f>IF(gamma!BH55,VLOOKUP(zeta!BH$1,main!$A$3:$H$102,5,FALSE)-VLOOKUP(zeta!$A55,main!$A$3:$H$102,6,FALSE),0)</f>
        <v>0</v>
      </c>
      <c r="BI55">
        <f>IF(gamma!BI55,VLOOKUP(zeta!BI$1,main!$A$3:$H$102,5,FALSE)-VLOOKUP(zeta!$A55,main!$A$3:$H$102,6,FALSE),0)</f>
        <v>210</v>
      </c>
      <c r="BJ55">
        <f>IF(gamma!BJ55,VLOOKUP(zeta!BJ$1,main!$A$3:$H$102,5,FALSE)-VLOOKUP(zeta!$A55,main!$A$3:$H$102,6,FALSE),0)</f>
        <v>0</v>
      </c>
      <c r="BK55">
        <f>IF(gamma!BK55,VLOOKUP(zeta!BK$1,main!$A$3:$H$102,5,FALSE)-VLOOKUP(zeta!$A55,main!$A$3:$H$102,6,FALSE),0)</f>
        <v>0</v>
      </c>
      <c r="BL55">
        <f>IF(gamma!BL55,VLOOKUP(zeta!BL$1,main!$A$3:$H$102,5,FALSE)-VLOOKUP(zeta!$A55,main!$A$3:$H$102,6,FALSE),0)</f>
        <v>0</v>
      </c>
      <c r="BM55">
        <f>IF(gamma!BM55,VLOOKUP(zeta!BM$1,main!$A$3:$H$102,5,FALSE)-VLOOKUP(zeta!$A55,main!$A$3:$H$102,6,FALSE),0)</f>
        <v>0</v>
      </c>
      <c r="BN55">
        <f>IF(gamma!BN55,VLOOKUP(zeta!BN$1,main!$A$3:$H$102,5,FALSE)-VLOOKUP(zeta!$A55,main!$A$3:$H$102,6,FALSE),0)</f>
        <v>0</v>
      </c>
      <c r="BO55">
        <f>IF(gamma!BO55,VLOOKUP(zeta!BO$1,main!$A$3:$H$102,5,FALSE)-VLOOKUP(zeta!$A55,main!$A$3:$H$102,6,FALSE),0)</f>
        <v>0</v>
      </c>
      <c r="BP55">
        <f>IF(gamma!BP55,VLOOKUP(zeta!BP$1,main!$A$3:$H$102,5,FALSE)-VLOOKUP(zeta!$A55,main!$A$3:$H$102,6,FALSE),0)</f>
        <v>0</v>
      </c>
      <c r="BQ55">
        <f>IF(gamma!BQ55,VLOOKUP(zeta!BQ$1,main!$A$3:$H$102,5,FALSE)-VLOOKUP(zeta!$A55,main!$A$3:$H$102,6,FALSE),0)</f>
        <v>0</v>
      </c>
      <c r="BR55">
        <f>IF(gamma!BR55,VLOOKUP(zeta!BR$1,main!$A$3:$H$102,5,FALSE)-VLOOKUP(zeta!$A55,main!$A$3:$H$102,6,FALSE),0)</f>
        <v>0</v>
      </c>
      <c r="BS55">
        <f>IF(gamma!BS55,VLOOKUP(zeta!BS$1,main!$A$3:$H$102,5,FALSE)-VLOOKUP(zeta!$A55,main!$A$3:$H$102,6,FALSE),0)</f>
        <v>0</v>
      </c>
      <c r="BT55">
        <f>IF(gamma!BT55,VLOOKUP(zeta!BT$1,main!$A$3:$H$102,5,FALSE)-VLOOKUP(zeta!$A55,main!$A$3:$H$102,6,FALSE),0)</f>
        <v>0</v>
      </c>
      <c r="BU55">
        <f>IF(gamma!BU55,VLOOKUP(zeta!BU$1,main!$A$3:$H$102,5,FALSE)-VLOOKUP(zeta!$A55,main!$A$3:$H$102,6,FALSE),0)</f>
        <v>0</v>
      </c>
      <c r="BV55">
        <f>IF(gamma!BV55,VLOOKUP(zeta!BV$1,main!$A$3:$H$102,5,FALSE)-VLOOKUP(zeta!$A55,main!$A$3:$H$102,6,FALSE),0)</f>
        <v>0</v>
      </c>
      <c r="BW55">
        <f>IF(gamma!BW55,VLOOKUP(zeta!BW$1,main!$A$3:$H$102,5,FALSE)-VLOOKUP(zeta!$A55,main!$A$3:$H$102,6,FALSE),0)</f>
        <v>0</v>
      </c>
      <c r="BX55">
        <f>IF(gamma!BX55,VLOOKUP(zeta!BX$1,main!$A$3:$H$102,5,FALSE)-VLOOKUP(zeta!$A55,main!$A$3:$H$102,6,FALSE),0)</f>
        <v>0</v>
      </c>
      <c r="BY55">
        <f>IF(gamma!BY55,VLOOKUP(zeta!BY$1,main!$A$3:$H$102,5,FALSE)-VLOOKUP(zeta!$A55,main!$A$3:$H$102,6,FALSE),0)</f>
        <v>0</v>
      </c>
      <c r="BZ55">
        <f>IF(gamma!BZ55,VLOOKUP(zeta!BZ$1,main!$A$3:$H$102,5,FALSE)-VLOOKUP(zeta!$A55,main!$A$3:$H$102,6,FALSE),0)</f>
        <v>0</v>
      </c>
      <c r="CA55">
        <f>IF(gamma!CA55,VLOOKUP(zeta!CA$1,main!$A$3:$H$102,5,FALSE)-VLOOKUP(zeta!$A55,main!$A$3:$H$102,6,FALSE),0)</f>
        <v>0</v>
      </c>
      <c r="CB55">
        <f>IF(gamma!CB55,VLOOKUP(zeta!CB$1,main!$A$3:$H$102,5,FALSE)-VLOOKUP(zeta!$A55,main!$A$3:$H$102,6,FALSE),0)</f>
        <v>0</v>
      </c>
      <c r="CC55">
        <f>IF(gamma!CC55,VLOOKUP(zeta!CC$1,main!$A$3:$H$102,5,FALSE)-VLOOKUP(zeta!$A55,main!$A$3:$H$102,6,FALSE),0)</f>
        <v>115</v>
      </c>
      <c r="CD55">
        <f>IF(gamma!CD55,VLOOKUP(zeta!CD$1,main!$A$3:$H$102,5,FALSE)-VLOOKUP(zeta!$A55,main!$A$3:$H$102,6,FALSE),0)</f>
        <v>0</v>
      </c>
      <c r="CE55">
        <f>IF(gamma!CE55,VLOOKUP(zeta!CE$1,main!$A$3:$H$102,5,FALSE)-VLOOKUP(zeta!$A55,main!$A$3:$H$102,6,FALSE),0)</f>
        <v>0</v>
      </c>
      <c r="CF55">
        <f>IF(gamma!CF55,VLOOKUP(zeta!CF$1,main!$A$3:$H$102,5,FALSE)-VLOOKUP(zeta!$A55,main!$A$3:$H$102,6,FALSE),0)</f>
        <v>0</v>
      </c>
      <c r="CG55">
        <f>IF(gamma!CG55,VLOOKUP(zeta!CG$1,main!$A$3:$H$102,5,FALSE)-VLOOKUP(zeta!$A55,main!$A$3:$H$102,6,FALSE),0)</f>
        <v>0</v>
      </c>
      <c r="CH55">
        <f>IF(gamma!CH55,VLOOKUP(zeta!CH$1,main!$A$3:$H$102,5,FALSE)-VLOOKUP(zeta!$A55,main!$A$3:$H$102,6,FALSE),0)</f>
        <v>0</v>
      </c>
      <c r="CI55">
        <f>IF(gamma!CI55,VLOOKUP(zeta!CI$1,main!$A$3:$H$102,5,FALSE)-VLOOKUP(zeta!$A55,main!$A$3:$H$102,6,FALSE),0)</f>
        <v>200</v>
      </c>
      <c r="CJ55">
        <f>IF(gamma!CJ55,VLOOKUP(zeta!CJ$1,main!$A$3:$H$102,5,FALSE)-VLOOKUP(zeta!$A55,main!$A$3:$H$102,6,FALSE),0)</f>
        <v>0</v>
      </c>
      <c r="CK55">
        <f>IF(gamma!CK55,VLOOKUP(zeta!CK$1,main!$A$3:$H$102,5,FALSE)-VLOOKUP(zeta!$A55,main!$A$3:$H$102,6,FALSE),0)</f>
        <v>0</v>
      </c>
      <c r="CL55">
        <f>IF(gamma!CL55,VLOOKUP(zeta!CL$1,main!$A$3:$H$102,5,FALSE)-VLOOKUP(zeta!$A55,main!$A$3:$H$102,6,FALSE),0)</f>
        <v>0</v>
      </c>
      <c r="CM55">
        <f>IF(gamma!CM55,VLOOKUP(zeta!CM$1,main!$A$3:$H$102,5,FALSE)-VLOOKUP(zeta!$A55,main!$A$3:$H$102,6,FALSE),0)</f>
        <v>0</v>
      </c>
      <c r="CN55">
        <f>IF(gamma!CN55,VLOOKUP(zeta!CN$1,main!$A$3:$H$102,5,FALSE)-VLOOKUP(zeta!$A55,main!$A$3:$H$102,6,FALSE),0)</f>
        <v>200</v>
      </c>
      <c r="CO55">
        <f>IF(gamma!CO55,VLOOKUP(zeta!CO$1,main!$A$3:$H$102,5,FALSE)-VLOOKUP(zeta!$A55,main!$A$3:$H$102,6,FALSE),0)</f>
        <v>0</v>
      </c>
      <c r="CP55">
        <f>IF(gamma!CP55,VLOOKUP(zeta!CP$1,main!$A$3:$H$102,5,FALSE)-VLOOKUP(zeta!$A55,main!$A$3:$H$102,6,FALSE),0)</f>
        <v>0</v>
      </c>
      <c r="CQ55">
        <f>IF(gamma!CQ55,VLOOKUP(zeta!CQ$1,main!$A$3:$H$102,5,FALSE)-VLOOKUP(zeta!$A55,main!$A$3:$H$102,6,FALSE),0)</f>
        <v>0</v>
      </c>
      <c r="CR55">
        <f>IF(gamma!CR55,VLOOKUP(zeta!CR$1,main!$A$3:$H$102,5,FALSE)-VLOOKUP(zeta!$A55,main!$A$3:$H$102,6,FALSE),0)</f>
        <v>0</v>
      </c>
      <c r="CS55">
        <f>IF(gamma!CS55,VLOOKUP(zeta!CS$1,main!$A$3:$H$102,5,FALSE)-VLOOKUP(zeta!$A55,main!$A$3:$H$102,6,FALSE),0)</f>
        <v>0</v>
      </c>
      <c r="CT55">
        <f>IF(gamma!CT55,VLOOKUP(zeta!CT$1,main!$A$3:$H$102,5,FALSE)-VLOOKUP(zeta!$A55,main!$A$3:$H$102,6,FALSE),0)</f>
        <v>0</v>
      </c>
      <c r="CU55">
        <f>IF(gamma!CU55,VLOOKUP(zeta!CU$1,main!$A$3:$H$102,5,FALSE)-VLOOKUP(zeta!$A55,main!$A$3:$H$102,6,FALSE),0)</f>
        <v>0</v>
      </c>
      <c r="CV55">
        <f>IF(gamma!CV55,VLOOKUP(zeta!CV$1,main!$A$3:$H$102,5,FALSE)-VLOOKUP(zeta!$A55,main!$A$3:$H$102,6,FALSE),0)</f>
        <v>0</v>
      </c>
      <c r="CW55">
        <f>IF(gamma!CW55,VLOOKUP(zeta!CW$1,main!$A$3:$H$102,5,FALSE)-VLOOKUP(zeta!$A55,main!$A$3:$H$102,6,FALSE),0)</f>
        <v>0</v>
      </c>
      <c r="CX55">
        <f>IF(gamma!CX55,VLOOKUP(zeta!CX$1,main!$A$3:$H$102,5,FALSE)-VLOOKUP(zeta!$A55,main!$A$3:$H$102,6,FALSE),0)</f>
        <v>0</v>
      </c>
    </row>
    <row r="56" spans="1:102" x14ac:dyDescent="0.25">
      <c r="A56">
        <f t="shared" si="1"/>
        <v>54</v>
      </c>
      <c r="B56">
        <v>0</v>
      </c>
      <c r="C56">
        <f>IF(gamma!C56,VLOOKUP(zeta!C$1,main!$A$3:$H$102,5,FALSE)-VLOOKUP(zeta!$A56,main!$A$3:$H$102,6,FALSE),0)</f>
        <v>0</v>
      </c>
      <c r="D56">
        <f>IF(gamma!D56,VLOOKUP(zeta!D$1,main!$A$3:$H$102,5,FALSE)-VLOOKUP(zeta!$A56,main!$A$3:$H$102,6,FALSE),0)</f>
        <v>0</v>
      </c>
      <c r="E56">
        <f>IF(gamma!E56,VLOOKUP(zeta!E$1,main!$A$3:$H$102,5,FALSE)-VLOOKUP(zeta!$A56,main!$A$3:$H$102,6,FALSE),0)</f>
        <v>0</v>
      </c>
      <c r="F56">
        <f>IF(gamma!F56,VLOOKUP(zeta!F$1,main!$A$3:$H$102,5,FALSE)-VLOOKUP(zeta!$A56,main!$A$3:$H$102,6,FALSE),0)</f>
        <v>0</v>
      </c>
      <c r="G56">
        <f>IF(gamma!G56,VLOOKUP(zeta!G$1,main!$A$3:$H$102,5,FALSE)-VLOOKUP(zeta!$A56,main!$A$3:$H$102,6,FALSE),0)</f>
        <v>0</v>
      </c>
      <c r="H56">
        <f>IF(gamma!H56,VLOOKUP(zeta!H$1,main!$A$3:$H$102,5,FALSE)-VLOOKUP(zeta!$A56,main!$A$3:$H$102,6,FALSE),0)</f>
        <v>0</v>
      </c>
      <c r="I56">
        <f>IF(gamma!I56,VLOOKUP(zeta!I$1,main!$A$3:$H$102,5,FALSE)-VLOOKUP(zeta!$A56,main!$A$3:$H$102,6,FALSE),0)</f>
        <v>0</v>
      </c>
      <c r="J56">
        <f>IF(gamma!J56,VLOOKUP(zeta!J$1,main!$A$3:$H$102,5,FALSE)-VLOOKUP(zeta!$A56,main!$A$3:$H$102,6,FALSE),0)</f>
        <v>0</v>
      </c>
      <c r="K56">
        <f>IF(gamma!K56,VLOOKUP(zeta!K$1,main!$A$3:$H$102,5,FALSE)-VLOOKUP(zeta!$A56,main!$A$3:$H$102,6,FALSE),0)</f>
        <v>40</v>
      </c>
      <c r="L56">
        <f>IF(gamma!L56,VLOOKUP(zeta!L$1,main!$A$3:$H$102,5,FALSE)-VLOOKUP(zeta!$A56,main!$A$3:$H$102,6,FALSE),0)</f>
        <v>130</v>
      </c>
      <c r="M56">
        <f>IF(gamma!M56,VLOOKUP(zeta!M$1,main!$A$3:$H$102,5,FALSE)-VLOOKUP(zeta!$A56,main!$A$3:$H$102,6,FALSE),0)</f>
        <v>0</v>
      </c>
      <c r="N56">
        <f>IF(gamma!N56,VLOOKUP(zeta!N$1,main!$A$3:$H$102,5,FALSE)-VLOOKUP(zeta!$A56,main!$A$3:$H$102,6,FALSE),0)</f>
        <v>0</v>
      </c>
      <c r="O56">
        <f>IF(gamma!O56,VLOOKUP(zeta!O$1,main!$A$3:$H$102,5,FALSE)-VLOOKUP(zeta!$A56,main!$A$3:$H$102,6,FALSE),0)</f>
        <v>0</v>
      </c>
      <c r="P56">
        <f>IF(gamma!P56,VLOOKUP(zeta!P$1,main!$A$3:$H$102,5,FALSE)-VLOOKUP(zeta!$A56,main!$A$3:$H$102,6,FALSE),0)</f>
        <v>0</v>
      </c>
      <c r="Q56">
        <f>IF(gamma!Q56,VLOOKUP(zeta!Q$1,main!$A$3:$H$102,5,FALSE)-VLOOKUP(zeta!$A56,main!$A$3:$H$102,6,FALSE),0)</f>
        <v>0</v>
      </c>
      <c r="R56">
        <f>IF(gamma!R56,VLOOKUP(zeta!R$1,main!$A$3:$H$102,5,FALSE)-VLOOKUP(zeta!$A56,main!$A$3:$H$102,6,FALSE),0)</f>
        <v>0</v>
      </c>
      <c r="S56">
        <f>IF(gamma!S56,VLOOKUP(zeta!S$1,main!$A$3:$H$102,5,FALSE)-VLOOKUP(zeta!$A56,main!$A$3:$H$102,6,FALSE),0)</f>
        <v>0</v>
      </c>
      <c r="T56">
        <f>IF(gamma!T56,VLOOKUP(zeta!T$1,main!$A$3:$H$102,5,FALSE)-VLOOKUP(zeta!$A56,main!$A$3:$H$102,6,FALSE),0)</f>
        <v>0</v>
      </c>
      <c r="U56">
        <f>IF(gamma!U56,VLOOKUP(zeta!U$1,main!$A$3:$H$102,5,FALSE)-VLOOKUP(zeta!$A56,main!$A$3:$H$102,6,FALSE),0)</f>
        <v>95</v>
      </c>
      <c r="V56">
        <f>IF(gamma!V56,VLOOKUP(zeta!V$1,main!$A$3:$H$102,5,FALSE)-VLOOKUP(zeta!$A56,main!$A$3:$H$102,6,FALSE),0)</f>
        <v>155</v>
      </c>
      <c r="W56">
        <f>IF(gamma!W56,VLOOKUP(zeta!W$1,main!$A$3:$H$102,5,FALSE)-VLOOKUP(zeta!$A56,main!$A$3:$H$102,6,FALSE),0)</f>
        <v>0</v>
      </c>
      <c r="X56">
        <f>IF(gamma!X56,VLOOKUP(zeta!X$1,main!$A$3:$H$102,5,FALSE)-VLOOKUP(zeta!$A56,main!$A$3:$H$102,6,FALSE),0)</f>
        <v>0</v>
      </c>
      <c r="Y56">
        <f>IF(gamma!Y56,VLOOKUP(zeta!Y$1,main!$A$3:$H$102,5,FALSE)-VLOOKUP(zeta!$A56,main!$A$3:$H$102,6,FALSE),0)</f>
        <v>0</v>
      </c>
      <c r="Z56">
        <f>IF(gamma!Z56,VLOOKUP(zeta!Z$1,main!$A$3:$H$102,5,FALSE)-VLOOKUP(zeta!$A56,main!$A$3:$H$102,6,FALSE),0)</f>
        <v>0</v>
      </c>
      <c r="AA56">
        <f>IF(gamma!AA56,VLOOKUP(zeta!AA$1,main!$A$3:$H$102,5,FALSE)-VLOOKUP(zeta!$A56,main!$A$3:$H$102,6,FALSE),0)</f>
        <v>60</v>
      </c>
      <c r="AB56">
        <f>IF(gamma!AB56,VLOOKUP(zeta!AB$1,main!$A$3:$H$102,5,FALSE)-VLOOKUP(zeta!$A56,main!$A$3:$H$102,6,FALSE),0)</f>
        <v>0</v>
      </c>
      <c r="AC56">
        <f>IF(gamma!AC56,VLOOKUP(zeta!AC$1,main!$A$3:$H$102,5,FALSE)-VLOOKUP(zeta!$A56,main!$A$3:$H$102,6,FALSE),0)</f>
        <v>0</v>
      </c>
      <c r="AD56">
        <f>IF(gamma!AD56,VLOOKUP(zeta!AD$1,main!$A$3:$H$102,5,FALSE)-VLOOKUP(zeta!$A56,main!$A$3:$H$102,6,FALSE),0)</f>
        <v>0</v>
      </c>
      <c r="AE56">
        <f>IF(gamma!AE56,VLOOKUP(zeta!AE$1,main!$A$3:$H$102,5,FALSE)-VLOOKUP(zeta!$A56,main!$A$3:$H$102,6,FALSE),0)</f>
        <v>0</v>
      </c>
      <c r="AF56">
        <f>IF(gamma!AF56,VLOOKUP(zeta!AF$1,main!$A$3:$H$102,5,FALSE)-VLOOKUP(zeta!$A56,main!$A$3:$H$102,6,FALSE),0)</f>
        <v>40</v>
      </c>
      <c r="AG56">
        <f>IF(gamma!AG56,VLOOKUP(zeta!AG$1,main!$A$3:$H$102,5,FALSE)-VLOOKUP(zeta!$A56,main!$A$3:$H$102,6,FALSE),0)</f>
        <v>0</v>
      </c>
      <c r="AH56">
        <f>IF(gamma!AH56,VLOOKUP(zeta!AH$1,main!$A$3:$H$102,5,FALSE)-VLOOKUP(zeta!$A56,main!$A$3:$H$102,6,FALSE),0)</f>
        <v>0</v>
      </c>
      <c r="AI56">
        <f>IF(gamma!AI56,VLOOKUP(zeta!AI$1,main!$A$3:$H$102,5,FALSE)-VLOOKUP(zeta!$A56,main!$A$3:$H$102,6,FALSE),0)</f>
        <v>0</v>
      </c>
      <c r="AJ56">
        <f>IF(gamma!AJ56,VLOOKUP(zeta!AJ$1,main!$A$3:$H$102,5,FALSE)-VLOOKUP(zeta!$A56,main!$A$3:$H$102,6,FALSE),0)</f>
        <v>0</v>
      </c>
      <c r="AK56">
        <f>IF(gamma!AK56,VLOOKUP(zeta!AK$1,main!$A$3:$H$102,5,FALSE)-VLOOKUP(zeta!$A56,main!$A$3:$H$102,6,FALSE),0)</f>
        <v>0</v>
      </c>
      <c r="AL56">
        <f>IF(gamma!AL56,VLOOKUP(zeta!AL$1,main!$A$3:$H$102,5,FALSE)-VLOOKUP(zeta!$A56,main!$A$3:$H$102,6,FALSE),0)</f>
        <v>0</v>
      </c>
      <c r="AM56">
        <f>IF(gamma!AM56,VLOOKUP(zeta!AM$1,main!$A$3:$H$102,5,FALSE)-VLOOKUP(zeta!$A56,main!$A$3:$H$102,6,FALSE),0)</f>
        <v>0</v>
      </c>
      <c r="AN56">
        <f>IF(gamma!AN56,VLOOKUP(zeta!AN$1,main!$A$3:$H$102,5,FALSE)-VLOOKUP(zeta!$A56,main!$A$3:$H$102,6,FALSE),0)</f>
        <v>80</v>
      </c>
      <c r="AO56">
        <f>IF(gamma!AO56,VLOOKUP(zeta!AO$1,main!$A$3:$H$102,5,FALSE)-VLOOKUP(zeta!$A56,main!$A$3:$H$102,6,FALSE),0)</f>
        <v>0</v>
      </c>
      <c r="AP56">
        <f>IF(gamma!AP56,VLOOKUP(zeta!AP$1,main!$A$3:$H$102,5,FALSE)-VLOOKUP(zeta!$A56,main!$A$3:$H$102,6,FALSE),0)</f>
        <v>140</v>
      </c>
      <c r="AQ56">
        <f>IF(gamma!AQ56,VLOOKUP(zeta!AQ$1,main!$A$3:$H$102,5,FALSE)-VLOOKUP(zeta!$A56,main!$A$3:$H$102,6,FALSE),0)</f>
        <v>0</v>
      </c>
      <c r="AR56">
        <f>IF(gamma!AR56,VLOOKUP(zeta!AR$1,main!$A$3:$H$102,5,FALSE)-VLOOKUP(zeta!$A56,main!$A$3:$H$102,6,FALSE),0)</f>
        <v>0</v>
      </c>
      <c r="AS56">
        <f>IF(gamma!AS56,VLOOKUP(zeta!AS$1,main!$A$3:$H$102,5,FALSE)-VLOOKUP(zeta!$A56,main!$A$3:$H$102,6,FALSE),0)</f>
        <v>0</v>
      </c>
      <c r="AT56">
        <f>IF(gamma!AT56,VLOOKUP(zeta!AT$1,main!$A$3:$H$102,5,FALSE)-VLOOKUP(zeta!$A56,main!$A$3:$H$102,6,FALSE),0)</f>
        <v>0</v>
      </c>
      <c r="AU56">
        <f>IF(gamma!AU56,VLOOKUP(zeta!AU$1,main!$A$3:$H$102,5,FALSE)-VLOOKUP(zeta!$A56,main!$A$3:$H$102,6,FALSE),0)</f>
        <v>0</v>
      </c>
      <c r="AV56">
        <f>IF(gamma!AV56,VLOOKUP(zeta!AV$1,main!$A$3:$H$102,5,FALSE)-VLOOKUP(zeta!$A56,main!$A$3:$H$102,6,FALSE),0)</f>
        <v>0</v>
      </c>
      <c r="AW56">
        <f>IF(gamma!AW56,VLOOKUP(zeta!AW$1,main!$A$3:$H$102,5,FALSE)-VLOOKUP(zeta!$A56,main!$A$3:$H$102,6,FALSE),0)</f>
        <v>0</v>
      </c>
      <c r="AX56">
        <f>IF(gamma!AX56,VLOOKUP(zeta!AX$1,main!$A$3:$H$102,5,FALSE)-VLOOKUP(zeta!$A56,main!$A$3:$H$102,6,FALSE),0)</f>
        <v>0</v>
      </c>
      <c r="AY56">
        <f>IF(gamma!AY56,VLOOKUP(zeta!AY$1,main!$A$3:$H$102,5,FALSE)-VLOOKUP(zeta!$A56,main!$A$3:$H$102,6,FALSE),0)</f>
        <v>0</v>
      </c>
      <c r="AZ56">
        <f>IF(gamma!AZ56,VLOOKUP(zeta!AZ$1,main!$A$3:$H$102,5,FALSE)-VLOOKUP(zeta!$A56,main!$A$3:$H$102,6,FALSE),0)</f>
        <v>0</v>
      </c>
      <c r="BA56">
        <f>IF(gamma!BA56,VLOOKUP(zeta!BA$1,main!$A$3:$H$102,5,FALSE)-VLOOKUP(zeta!$A56,main!$A$3:$H$102,6,FALSE),0)</f>
        <v>0</v>
      </c>
      <c r="BB56">
        <f>IF(gamma!BB56,VLOOKUP(zeta!BB$1,main!$A$3:$H$102,5,FALSE)-VLOOKUP(zeta!$A56,main!$A$3:$H$102,6,FALSE),0)</f>
        <v>0</v>
      </c>
      <c r="BC56">
        <f>IF(gamma!BC56,VLOOKUP(zeta!BC$1,main!$A$3:$H$102,5,FALSE)-VLOOKUP(zeta!$A56,main!$A$3:$H$102,6,FALSE),0)</f>
        <v>0</v>
      </c>
      <c r="BD56">
        <f>IF(gamma!BD56,VLOOKUP(zeta!BD$1,main!$A$3:$H$102,5,FALSE)-VLOOKUP(zeta!$A56,main!$A$3:$H$102,6,FALSE),0)</f>
        <v>0</v>
      </c>
      <c r="BE56">
        <f>IF(gamma!BE56,VLOOKUP(zeta!BE$1,main!$A$3:$H$102,5,FALSE)-VLOOKUP(zeta!$A56,main!$A$3:$H$102,6,FALSE),0)</f>
        <v>0</v>
      </c>
      <c r="BF56">
        <f>IF(gamma!BF56,VLOOKUP(zeta!BF$1,main!$A$3:$H$102,5,FALSE)-VLOOKUP(zeta!$A56,main!$A$3:$H$102,6,FALSE),0)</f>
        <v>0</v>
      </c>
      <c r="BG56">
        <f>IF(gamma!BG56,VLOOKUP(zeta!BG$1,main!$A$3:$H$102,5,FALSE)-VLOOKUP(zeta!$A56,main!$A$3:$H$102,6,FALSE),0)</f>
        <v>0</v>
      </c>
      <c r="BH56">
        <f>IF(gamma!BH56,VLOOKUP(zeta!BH$1,main!$A$3:$H$102,5,FALSE)-VLOOKUP(zeta!$A56,main!$A$3:$H$102,6,FALSE),0)</f>
        <v>0</v>
      </c>
      <c r="BI56">
        <f>IF(gamma!BI56,VLOOKUP(zeta!BI$1,main!$A$3:$H$102,5,FALSE)-VLOOKUP(zeta!$A56,main!$A$3:$H$102,6,FALSE),0)</f>
        <v>150</v>
      </c>
      <c r="BJ56">
        <f>IF(gamma!BJ56,VLOOKUP(zeta!BJ$1,main!$A$3:$H$102,5,FALSE)-VLOOKUP(zeta!$A56,main!$A$3:$H$102,6,FALSE),0)</f>
        <v>0</v>
      </c>
      <c r="BK56">
        <f>IF(gamma!BK56,VLOOKUP(zeta!BK$1,main!$A$3:$H$102,5,FALSE)-VLOOKUP(zeta!$A56,main!$A$3:$H$102,6,FALSE),0)</f>
        <v>0</v>
      </c>
      <c r="BL56">
        <f>IF(gamma!BL56,VLOOKUP(zeta!BL$1,main!$A$3:$H$102,5,FALSE)-VLOOKUP(zeta!$A56,main!$A$3:$H$102,6,FALSE),0)</f>
        <v>0</v>
      </c>
      <c r="BM56">
        <f>IF(gamma!BM56,VLOOKUP(zeta!BM$1,main!$A$3:$H$102,5,FALSE)-VLOOKUP(zeta!$A56,main!$A$3:$H$102,6,FALSE),0)</f>
        <v>0</v>
      </c>
      <c r="BN56">
        <f>IF(gamma!BN56,VLOOKUP(zeta!BN$1,main!$A$3:$H$102,5,FALSE)-VLOOKUP(zeta!$A56,main!$A$3:$H$102,6,FALSE),0)</f>
        <v>0</v>
      </c>
      <c r="BO56">
        <f>IF(gamma!BO56,VLOOKUP(zeta!BO$1,main!$A$3:$H$102,5,FALSE)-VLOOKUP(zeta!$A56,main!$A$3:$H$102,6,FALSE),0)</f>
        <v>0</v>
      </c>
      <c r="BP56">
        <f>IF(gamma!BP56,VLOOKUP(zeta!BP$1,main!$A$3:$H$102,5,FALSE)-VLOOKUP(zeta!$A56,main!$A$3:$H$102,6,FALSE),0)</f>
        <v>0</v>
      </c>
      <c r="BQ56">
        <f>IF(gamma!BQ56,VLOOKUP(zeta!BQ$1,main!$A$3:$H$102,5,FALSE)-VLOOKUP(zeta!$A56,main!$A$3:$H$102,6,FALSE),0)</f>
        <v>0</v>
      </c>
      <c r="BR56">
        <f>IF(gamma!BR56,VLOOKUP(zeta!BR$1,main!$A$3:$H$102,5,FALSE)-VLOOKUP(zeta!$A56,main!$A$3:$H$102,6,FALSE),0)</f>
        <v>0</v>
      </c>
      <c r="BS56">
        <f>IF(gamma!BS56,VLOOKUP(zeta!BS$1,main!$A$3:$H$102,5,FALSE)-VLOOKUP(zeta!$A56,main!$A$3:$H$102,6,FALSE),0)</f>
        <v>0</v>
      </c>
      <c r="BT56">
        <f>IF(gamma!BT56,VLOOKUP(zeta!BT$1,main!$A$3:$H$102,5,FALSE)-VLOOKUP(zeta!$A56,main!$A$3:$H$102,6,FALSE),0)</f>
        <v>0</v>
      </c>
      <c r="BU56">
        <f>IF(gamma!BU56,VLOOKUP(zeta!BU$1,main!$A$3:$H$102,5,FALSE)-VLOOKUP(zeta!$A56,main!$A$3:$H$102,6,FALSE),0)</f>
        <v>0</v>
      </c>
      <c r="BV56">
        <f>IF(gamma!BV56,VLOOKUP(zeta!BV$1,main!$A$3:$H$102,5,FALSE)-VLOOKUP(zeta!$A56,main!$A$3:$H$102,6,FALSE),0)</f>
        <v>0</v>
      </c>
      <c r="BW56">
        <f>IF(gamma!BW56,VLOOKUP(zeta!BW$1,main!$A$3:$H$102,5,FALSE)-VLOOKUP(zeta!$A56,main!$A$3:$H$102,6,FALSE),0)</f>
        <v>0</v>
      </c>
      <c r="BX56">
        <f>IF(gamma!BX56,VLOOKUP(zeta!BX$1,main!$A$3:$H$102,5,FALSE)-VLOOKUP(zeta!$A56,main!$A$3:$H$102,6,FALSE),0)</f>
        <v>0</v>
      </c>
      <c r="BY56">
        <f>IF(gamma!BY56,VLOOKUP(zeta!BY$1,main!$A$3:$H$102,5,FALSE)-VLOOKUP(zeta!$A56,main!$A$3:$H$102,6,FALSE),0)</f>
        <v>0</v>
      </c>
      <c r="BZ56">
        <f>IF(gamma!BZ56,VLOOKUP(zeta!BZ$1,main!$A$3:$H$102,5,FALSE)-VLOOKUP(zeta!$A56,main!$A$3:$H$102,6,FALSE),0)</f>
        <v>0</v>
      </c>
      <c r="CA56">
        <f>IF(gamma!CA56,VLOOKUP(zeta!CA$1,main!$A$3:$H$102,5,FALSE)-VLOOKUP(zeta!$A56,main!$A$3:$H$102,6,FALSE),0)</f>
        <v>0</v>
      </c>
      <c r="CB56">
        <f>IF(gamma!CB56,VLOOKUP(zeta!CB$1,main!$A$3:$H$102,5,FALSE)-VLOOKUP(zeta!$A56,main!$A$3:$H$102,6,FALSE),0)</f>
        <v>0</v>
      </c>
      <c r="CC56">
        <f>IF(gamma!CC56,VLOOKUP(zeta!CC$1,main!$A$3:$H$102,5,FALSE)-VLOOKUP(zeta!$A56,main!$A$3:$H$102,6,FALSE),0)</f>
        <v>55</v>
      </c>
      <c r="CD56">
        <f>IF(gamma!CD56,VLOOKUP(zeta!CD$1,main!$A$3:$H$102,5,FALSE)-VLOOKUP(zeta!$A56,main!$A$3:$H$102,6,FALSE),0)</f>
        <v>0</v>
      </c>
      <c r="CE56">
        <f>IF(gamma!CE56,VLOOKUP(zeta!CE$1,main!$A$3:$H$102,5,FALSE)-VLOOKUP(zeta!$A56,main!$A$3:$H$102,6,FALSE),0)</f>
        <v>0</v>
      </c>
      <c r="CF56">
        <f>IF(gamma!CF56,VLOOKUP(zeta!CF$1,main!$A$3:$H$102,5,FALSE)-VLOOKUP(zeta!$A56,main!$A$3:$H$102,6,FALSE),0)</f>
        <v>0</v>
      </c>
      <c r="CG56">
        <f>IF(gamma!CG56,VLOOKUP(zeta!CG$1,main!$A$3:$H$102,5,FALSE)-VLOOKUP(zeta!$A56,main!$A$3:$H$102,6,FALSE),0)</f>
        <v>0</v>
      </c>
      <c r="CH56">
        <f>IF(gamma!CH56,VLOOKUP(zeta!CH$1,main!$A$3:$H$102,5,FALSE)-VLOOKUP(zeta!$A56,main!$A$3:$H$102,6,FALSE),0)</f>
        <v>0</v>
      </c>
      <c r="CI56">
        <f>IF(gamma!CI56,VLOOKUP(zeta!CI$1,main!$A$3:$H$102,5,FALSE)-VLOOKUP(zeta!$A56,main!$A$3:$H$102,6,FALSE),0)</f>
        <v>140</v>
      </c>
      <c r="CJ56">
        <f>IF(gamma!CJ56,VLOOKUP(zeta!CJ$1,main!$A$3:$H$102,5,FALSE)-VLOOKUP(zeta!$A56,main!$A$3:$H$102,6,FALSE),0)</f>
        <v>0</v>
      </c>
      <c r="CK56">
        <f>IF(gamma!CK56,VLOOKUP(zeta!CK$1,main!$A$3:$H$102,5,FALSE)-VLOOKUP(zeta!$A56,main!$A$3:$H$102,6,FALSE),0)</f>
        <v>0</v>
      </c>
      <c r="CL56">
        <f>IF(gamma!CL56,VLOOKUP(zeta!CL$1,main!$A$3:$H$102,5,FALSE)-VLOOKUP(zeta!$A56,main!$A$3:$H$102,6,FALSE),0)</f>
        <v>0</v>
      </c>
      <c r="CM56">
        <f>IF(gamma!CM56,VLOOKUP(zeta!CM$1,main!$A$3:$H$102,5,FALSE)-VLOOKUP(zeta!$A56,main!$A$3:$H$102,6,FALSE),0)</f>
        <v>0</v>
      </c>
      <c r="CN56">
        <f>IF(gamma!CN56,VLOOKUP(zeta!CN$1,main!$A$3:$H$102,5,FALSE)-VLOOKUP(zeta!$A56,main!$A$3:$H$102,6,FALSE),0)</f>
        <v>140</v>
      </c>
      <c r="CO56">
        <f>IF(gamma!CO56,VLOOKUP(zeta!CO$1,main!$A$3:$H$102,5,FALSE)-VLOOKUP(zeta!$A56,main!$A$3:$H$102,6,FALSE),0)</f>
        <v>0</v>
      </c>
      <c r="CP56">
        <f>IF(gamma!CP56,VLOOKUP(zeta!CP$1,main!$A$3:$H$102,5,FALSE)-VLOOKUP(zeta!$A56,main!$A$3:$H$102,6,FALSE),0)</f>
        <v>0</v>
      </c>
      <c r="CQ56">
        <f>IF(gamma!CQ56,VLOOKUP(zeta!CQ$1,main!$A$3:$H$102,5,FALSE)-VLOOKUP(zeta!$A56,main!$A$3:$H$102,6,FALSE),0)</f>
        <v>0</v>
      </c>
      <c r="CR56">
        <f>IF(gamma!CR56,VLOOKUP(zeta!CR$1,main!$A$3:$H$102,5,FALSE)-VLOOKUP(zeta!$A56,main!$A$3:$H$102,6,FALSE),0)</f>
        <v>0</v>
      </c>
      <c r="CS56">
        <f>IF(gamma!CS56,VLOOKUP(zeta!CS$1,main!$A$3:$H$102,5,FALSE)-VLOOKUP(zeta!$A56,main!$A$3:$H$102,6,FALSE),0)</f>
        <v>0</v>
      </c>
      <c r="CT56">
        <f>IF(gamma!CT56,VLOOKUP(zeta!CT$1,main!$A$3:$H$102,5,FALSE)-VLOOKUP(zeta!$A56,main!$A$3:$H$102,6,FALSE),0)</f>
        <v>0</v>
      </c>
      <c r="CU56">
        <f>IF(gamma!CU56,VLOOKUP(zeta!CU$1,main!$A$3:$H$102,5,FALSE)-VLOOKUP(zeta!$A56,main!$A$3:$H$102,6,FALSE),0)</f>
        <v>0</v>
      </c>
      <c r="CV56">
        <f>IF(gamma!CV56,VLOOKUP(zeta!CV$1,main!$A$3:$H$102,5,FALSE)-VLOOKUP(zeta!$A56,main!$A$3:$H$102,6,FALSE),0)</f>
        <v>0</v>
      </c>
      <c r="CW56">
        <f>IF(gamma!CW56,VLOOKUP(zeta!CW$1,main!$A$3:$H$102,5,FALSE)-VLOOKUP(zeta!$A56,main!$A$3:$H$102,6,FALSE),0)</f>
        <v>0</v>
      </c>
      <c r="CX56">
        <f>IF(gamma!CX56,VLOOKUP(zeta!CX$1,main!$A$3:$H$102,5,FALSE)-VLOOKUP(zeta!$A56,main!$A$3:$H$102,6,FALSE),0)</f>
        <v>0</v>
      </c>
    </row>
    <row r="57" spans="1:102" x14ac:dyDescent="0.25">
      <c r="A57">
        <f t="shared" si="1"/>
        <v>55</v>
      </c>
      <c r="B57">
        <v>0</v>
      </c>
      <c r="C57">
        <f>IF(gamma!C57,VLOOKUP(zeta!C$1,main!$A$3:$H$102,5,FALSE)-VLOOKUP(zeta!$A57,main!$A$3:$H$102,6,FALSE),0)</f>
        <v>0</v>
      </c>
      <c r="D57">
        <f>IF(gamma!D57,VLOOKUP(zeta!D$1,main!$A$3:$H$102,5,FALSE)-VLOOKUP(zeta!$A57,main!$A$3:$H$102,6,FALSE),0)</f>
        <v>0</v>
      </c>
      <c r="E57">
        <f>IF(gamma!E57,VLOOKUP(zeta!E$1,main!$A$3:$H$102,5,FALSE)-VLOOKUP(zeta!$A57,main!$A$3:$H$102,6,FALSE),0)</f>
        <v>0</v>
      </c>
      <c r="F57">
        <f>IF(gamma!F57,VLOOKUP(zeta!F$1,main!$A$3:$H$102,5,FALSE)-VLOOKUP(zeta!$A57,main!$A$3:$H$102,6,FALSE),0)</f>
        <v>0</v>
      </c>
      <c r="G57">
        <f>IF(gamma!G57,VLOOKUP(zeta!G$1,main!$A$3:$H$102,5,FALSE)-VLOOKUP(zeta!$A57,main!$A$3:$H$102,6,FALSE),0)</f>
        <v>0</v>
      </c>
      <c r="H57">
        <f>IF(gamma!H57,VLOOKUP(zeta!H$1,main!$A$3:$H$102,5,FALSE)-VLOOKUP(zeta!$A57,main!$A$3:$H$102,6,FALSE),0)</f>
        <v>0</v>
      </c>
      <c r="I57">
        <f>IF(gamma!I57,VLOOKUP(zeta!I$1,main!$A$3:$H$102,5,FALSE)-VLOOKUP(zeta!$A57,main!$A$3:$H$102,6,FALSE),0)</f>
        <v>0</v>
      </c>
      <c r="J57">
        <f>IF(gamma!J57,VLOOKUP(zeta!J$1,main!$A$3:$H$102,5,FALSE)-VLOOKUP(zeta!$A57,main!$A$3:$H$102,6,FALSE),0)</f>
        <v>0</v>
      </c>
      <c r="K57">
        <f>IF(gamma!K57,VLOOKUP(zeta!K$1,main!$A$3:$H$102,5,FALSE)-VLOOKUP(zeta!$A57,main!$A$3:$H$102,6,FALSE),0)</f>
        <v>0</v>
      </c>
      <c r="L57">
        <f>IF(gamma!L57,VLOOKUP(zeta!L$1,main!$A$3:$H$102,5,FALSE)-VLOOKUP(zeta!$A57,main!$A$3:$H$102,6,FALSE),0)</f>
        <v>0</v>
      </c>
      <c r="M57">
        <f>IF(gamma!M57,VLOOKUP(zeta!M$1,main!$A$3:$H$102,5,FALSE)-VLOOKUP(zeta!$A57,main!$A$3:$H$102,6,FALSE),0)</f>
        <v>0</v>
      </c>
      <c r="N57">
        <f>IF(gamma!N57,VLOOKUP(zeta!N$1,main!$A$3:$H$102,5,FALSE)-VLOOKUP(zeta!$A57,main!$A$3:$H$102,6,FALSE),0)</f>
        <v>0</v>
      </c>
      <c r="O57">
        <f>IF(gamma!O57,VLOOKUP(zeta!O$1,main!$A$3:$H$102,5,FALSE)-VLOOKUP(zeta!$A57,main!$A$3:$H$102,6,FALSE),0)</f>
        <v>0</v>
      </c>
      <c r="P57">
        <f>IF(gamma!P57,VLOOKUP(zeta!P$1,main!$A$3:$H$102,5,FALSE)-VLOOKUP(zeta!$A57,main!$A$3:$H$102,6,FALSE),0)</f>
        <v>0</v>
      </c>
      <c r="Q57">
        <f>IF(gamma!Q57,VLOOKUP(zeta!Q$1,main!$A$3:$H$102,5,FALSE)-VLOOKUP(zeta!$A57,main!$A$3:$H$102,6,FALSE),0)</f>
        <v>0</v>
      </c>
      <c r="R57">
        <f>IF(gamma!R57,VLOOKUP(zeta!R$1,main!$A$3:$H$102,5,FALSE)-VLOOKUP(zeta!$A57,main!$A$3:$H$102,6,FALSE),0)</f>
        <v>0</v>
      </c>
      <c r="S57">
        <f>IF(gamma!S57,VLOOKUP(zeta!S$1,main!$A$3:$H$102,5,FALSE)-VLOOKUP(zeta!$A57,main!$A$3:$H$102,6,FALSE),0)</f>
        <v>0</v>
      </c>
      <c r="T57">
        <f>IF(gamma!T57,VLOOKUP(zeta!T$1,main!$A$3:$H$102,5,FALSE)-VLOOKUP(zeta!$A57,main!$A$3:$H$102,6,FALSE),0)</f>
        <v>0</v>
      </c>
      <c r="U57">
        <f>IF(gamma!U57,VLOOKUP(zeta!U$1,main!$A$3:$H$102,5,FALSE)-VLOOKUP(zeta!$A57,main!$A$3:$H$102,6,FALSE),0)</f>
        <v>0</v>
      </c>
      <c r="V57">
        <f>IF(gamma!V57,VLOOKUP(zeta!V$1,main!$A$3:$H$102,5,FALSE)-VLOOKUP(zeta!$A57,main!$A$3:$H$102,6,FALSE),0)</f>
        <v>35</v>
      </c>
      <c r="W57">
        <f>IF(gamma!W57,VLOOKUP(zeta!W$1,main!$A$3:$H$102,5,FALSE)-VLOOKUP(zeta!$A57,main!$A$3:$H$102,6,FALSE),0)</f>
        <v>0</v>
      </c>
      <c r="X57">
        <f>IF(gamma!X57,VLOOKUP(zeta!X$1,main!$A$3:$H$102,5,FALSE)-VLOOKUP(zeta!$A57,main!$A$3:$H$102,6,FALSE),0)</f>
        <v>0</v>
      </c>
      <c r="Y57">
        <f>IF(gamma!Y57,VLOOKUP(zeta!Y$1,main!$A$3:$H$102,5,FALSE)-VLOOKUP(zeta!$A57,main!$A$3:$H$102,6,FALSE),0)</f>
        <v>0</v>
      </c>
      <c r="Z57">
        <f>IF(gamma!Z57,VLOOKUP(zeta!Z$1,main!$A$3:$H$102,5,FALSE)-VLOOKUP(zeta!$A57,main!$A$3:$H$102,6,FALSE),0)</f>
        <v>0</v>
      </c>
      <c r="AA57">
        <f>IF(gamma!AA57,VLOOKUP(zeta!AA$1,main!$A$3:$H$102,5,FALSE)-VLOOKUP(zeta!$A57,main!$A$3:$H$102,6,FALSE),0)</f>
        <v>0</v>
      </c>
      <c r="AB57">
        <f>IF(gamma!AB57,VLOOKUP(zeta!AB$1,main!$A$3:$H$102,5,FALSE)-VLOOKUP(zeta!$A57,main!$A$3:$H$102,6,FALSE),0)</f>
        <v>0</v>
      </c>
      <c r="AC57">
        <f>IF(gamma!AC57,VLOOKUP(zeta!AC$1,main!$A$3:$H$102,5,FALSE)-VLOOKUP(zeta!$A57,main!$A$3:$H$102,6,FALSE),0)</f>
        <v>0</v>
      </c>
      <c r="AD57">
        <f>IF(gamma!AD57,VLOOKUP(zeta!AD$1,main!$A$3:$H$102,5,FALSE)-VLOOKUP(zeta!$A57,main!$A$3:$H$102,6,FALSE),0)</f>
        <v>0</v>
      </c>
      <c r="AE57">
        <f>IF(gamma!AE57,VLOOKUP(zeta!AE$1,main!$A$3:$H$102,5,FALSE)-VLOOKUP(zeta!$A57,main!$A$3:$H$102,6,FALSE),0)</f>
        <v>0</v>
      </c>
      <c r="AF57">
        <f>IF(gamma!AF57,VLOOKUP(zeta!AF$1,main!$A$3:$H$102,5,FALSE)-VLOOKUP(zeta!$A57,main!$A$3:$H$102,6,FALSE),0)</f>
        <v>0</v>
      </c>
      <c r="AG57">
        <f>IF(gamma!AG57,VLOOKUP(zeta!AG$1,main!$A$3:$H$102,5,FALSE)-VLOOKUP(zeta!$A57,main!$A$3:$H$102,6,FALSE),0)</f>
        <v>0</v>
      </c>
      <c r="AH57">
        <f>IF(gamma!AH57,VLOOKUP(zeta!AH$1,main!$A$3:$H$102,5,FALSE)-VLOOKUP(zeta!$A57,main!$A$3:$H$102,6,FALSE),0)</f>
        <v>0</v>
      </c>
      <c r="AI57">
        <f>IF(gamma!AI57,VLOOKUP(zeta!AI$1,main!$A$3:$H$102,5,FALSE)-VLOOKUP(zeta!$A57,main!$A$3:$H$102,6,FALSE),0)</f>
        <v>0</v>
      </c>
      <c r="AJ57">
        <f>IF(gamma!AJ57,VLOOKUP(zeta!AJ$1,main!$A$3:$H$102,5,FALSE)-VLOOKUP(zeta!$A57,main!$A$3:$H$102,6,FALSE),0)</f>
        <v>0</v>
      </c>
      <c r="AK57">
        <f>IF(gamma!AK57,VLOOKUP(zeta!AK$1,main!$A$3:$H$102,5,FALSE)-VLOOKUP(zeta!$A57,main!$A$3:$H$102,6,FALSE),0)</f>
        <v>0</v>
      </c>
      <c r="AL57">
        <f>IF(gamma!AL57,VLOOKUP(zeta!AL$1,main!$A$3:$H$102,5,FALSE)-VLOOKUP(zeta!$A57,main!$A$3:$H$102,6,FALSE),0)</f>
        <v>0</v>
      </c>
      <c r="AM57">
        <f>IF(gamma!AM57,VLOOKUP(zeta!AM$1,main!$A$3:$H$102,5,FALSE)-VLOOKUP(zeta!$A57,main!$A$3:$H$102,6,FALSE),0)</f>
        <v>0</v>
      </c>
      <c r="AN57">
        <f>IF(gamma!AN57,VLOOKUP(zeta!AN$1,main!$A$3:$H$102,5,FALSE)-VLOOKUP(zeta!$A57,main!$A$3:$H$102,6,FALSE),0)</f>
        <v>0</v>
      </c>
      <c r="AO57">
        <f>IF(gamma!AO57,VLOOKUP(zeta!AO$1,main!$A$3:$H$102,5,FALSE)-VLOOKUP(zeta!$A57,main!$A$3:$H$102,6,FALSE),0)</f>
        <v>0</v>
      </c>
      <c r="AP57">
        <f>IF(gamma!AP57,VLOOKUP(zeta!AP$1,main!$A$3:$H$102,5,FALSE)-VLOOKUP(zeta!$A57,main!$A$3:$H$102,6,FALSE),0)</f>
        <v>0</v>
      </c>
      <c r="AQ57">
        <f>IF(gamma!AQ57,VLOOKUP(zeta!AQ$1,main!$A$3:$H$102,5,FALSE)-VLOOKUP(zeta!$A57,main!$A$3:$H$102,6,FALSE),0)</f>
        <v>0</v>
      </c>
      <c r="AR57">
        <f>IF(gamma!AR57,VLOOKUP(zeta!AR$1,main!$A$3:$H$102,5,FALSE)-VLOOKUP(zeta!$A57,main!$A$3:$H$102,6,FALSE),0)</f>
        <v>0</v>
      </c>
      <c r="AS57">
        <f>IF(gamma!AS57,VLOOKUP(zeta!AS$1,main!$A$3:$H$102,5,FALSE)-VLOOKUP(zeta!$A57,main!$A$3:$H$102,6,FALSE),0)</f>
        <v>0</v>
      </c>
      <c r="AT57">
        <f>IF(gamma!AT57,VLOOKUP(zeta!AT$1,main!$A$3:$H$102,5,FALSE)-VLOOKUP(zeta!$A57,main!$A$3:$H$102,6,FALSE),0)</f>
        <v>0</v>
      </c>
      <c r="AU57">
        <f>IF(gamma!AU57,VLOOKUP(zeta!AU$1,main!$A$3:$H$102,5,FALSE)-VLOOKUP(zeta!$A57,main!$A$3:$H$102,6,FALSE),0)</f>
        <v>0</v>
      </c>
      <c r="AV57">
        <f>IF(gamma!AV57,VLOOKUP(zeta!AV$1,main!$A$3:$H$102,5,FALSE)-VLOOKUP(zeta!$A57,main!$A$3:$H$102,6,FALSE),0)</f>
        <v>0</v>
      </c>
      <c r="AW57">
        <f>IF(gamma!AW57,VLOOKUP(zeta!AW$1,main!$A$3:$H$102,5,FALSE)-VLOOKUP(zeta!$A57,main!$A$3:$H$102,6,FALSE),0)</f>
        <v>0</v>
      </c>
      <c r="AX57">
        <f>IF(gamma!AX57,VLOOKUP(zeta!AX$1,main!$A$3:$H$102,5,FALSE)-VLOOKUP(zeta!$A57,main!$A$3:$H$102,6,FALSE),0)</f>
        <v>0</v>
      </c>
      <c r="AY57">
        <f>IF(gamma!AY57,VLOOKUP(zeta!AY$1,main!$A$3:$H$102,5,FALSE)-VLOOKUP(zeta!$A57,main!$A$3:$H$102,6,FALSE),0)</f>
        <v>0</v>
      </c>
      <c r="AZ57">
        <f>IF(gamma!AZ57,VLOOKUP(zeta!AZ$1,main!$A$3:$H$102,5,FALSE)-VLOOKUP(zeta!$A57,main!$A$3:$H$102,6,FALSE),0)</f>
        <v>0</v>
      </c>
      <c r="BA57">
        <f>IF(gamma!BA57,VLOOKUP(zeta!BA$1,main!$A$3:$H$102,5,FALSE)-VLOOKUP(zeta!$A57,main!$A$3:$H$102,6,FALSE),0)</f>
        <v>0</v>
      </c>
      <c r="BB57">
        <f>IF(gamma!BB57,VLOOKUP(zeta!BB$1,main!$A$3:$H$102,5,FALSE)-VLOOKUP(zeta!$A57,main!$A$3:$H$102,6,FALSE),0)</f>
        <v>0</v>
      </c>
      <c r="BC57">
        <f>IF(gamma!BC57,VLOOKUP(zeta!BC$1,main!$A$3:$H$102,5,FALSE)-VLOOKUP(zeta!$A57,main!$A$3:$H$102,6,FALSE),0)</f>
        <v>0</v>
      </c>
      <c r="BD57">
        <f>IF(gamma!BD57,VLOOKUP(zeta!BD$1,main!$A$3:$H$102,5,FALSE)-VLOOKUP(zeta!$A57,main!$A$3:$H$102,6,FALSE),0)</f>
        <v>0</v>
      </c>
      <c r="BE57">
        <f>IF(gamma!BE57,VLOOKUP(zeta!BE$1,main!$A$3:$H$102,5,FALSE)-VLOOKUP(zeta!$A57,main!$A$3:$H$102,6,FALSE),0)</f>
        <v>0</v>
      </c>
      <c r="BF57">
        <f>IF(gamma!BF57,VLOOKUP(zeta!BF$1,main!$A$3:$H$102,5,FALSE)-VLOOKUP(zeta!$A57,main!$A$3:$H$102,6,FALSE),0)</f>
        <v>0</v>
      </c>
      <c r="BG57">
        <f>IF(gamma!BG57,VLOOKUP(zeta!BG$1,main!$A$3:$H$102,5,FALSE)-VLOOKUP(zeta!$A57,main!$A$3:$H$102,6,FALSE),0)</f>
        <v>0</v>
      </c>
      <c r="BH57">
        <f>IF(gamma!BH57,VLOOKUP(zeta!BH$1,main!$A$3:$H$102,5,FALSE)-VLOOKUP(zeta!$A57,main!$A$3:$H$102,6,FALSE),0)</f>
        <v>0</v>
      </c>
      <c r="BI57">
        <f>IF(gamma!BI57,VLOOKUP(zeta!BI$1,main!$A$3:$H$102,5,FALSE)-VLOOKUP(zeta!$A57,main!$A$3:$H$102,6,FALSE),0)</f>
        <v>0</v>
      </c>
      <c r="BJ57">
        <f>IF(gamma!BJ57,VLOOKUP(zeta!BJ$1,main!$A$3:$H$102,5,FALSE)-VLOOKUP(zeta!$A57,main!$A$3:$H$102,6,FALSE),0)</f>
        <v>0</v>
      </c>
      <c r="BK57">
        <f>IF(gamma!BK57,VLOOKUP(zeta!BK$1,main!$A$3:$H$102,5,FALSE)-VLOOKUP(zeta!$A57,main!$A$3:$H$102,6,FALSE),0)</f>
        <v>0</v>
      </c>
      <c r="BL57">
        <f>IF(gamma!BL57,VLOOKUP(zeta!BL$1,main!$A$3:$H$102,5,FALSE)-VLOOKUP(zeta!$A57,main!$A$3:$H$102,6,FALSE),0)</f>
        <v>0</v>
      </c>
      <c r="BM57">
        <f>IF(gamma!BM57,VLOOKUP(zeta!BM$1,main!$A$3:$H$102,5,FALSE)-VLOOKUP(zeta!$A57,main!$A$3:$H$102,6,FALSE),0)</f>
        <v>0</v>
      </c>
      <c r="BN57">
        <f>IF(gamma!BN57,VLOOKUP(zeta!BN$1,main!$A$3:$H$102,5,FALSE)-VLOOKUP(zeta!$A57,main!$A$3:$H$102,6,FALSE),0)</f>
        <v>0</v>
      </c>
      <c r="BO57">
        <f>IF(gamma!BO57,VLOOKUP(zeta!BO$1,main!$A$3:$H$102,5,FALSE)-VLOOKUP(zeta!$A57,main!$A$3:$H$102,6,FALSE),0)</f>
        <v>0</v>
      </c>
      <c r="BP57">
        <f>IF(gamma!BP57,VLOOKUP(zeta!BP$1,main!$A$3:$H$102,5,FALSE)-VLOOKUP(zeta!$A57,main!$A$3:$H$102,6,FALSE),0)</f>
        <v>0</v>
      </c>
      <c r="BQ57">
        <f>IF(gamma!BQ57,VLOOKUP(zeta!BQ$1,main!$A$3:$H$102,5,FALSE)-VLOOKUP(zeta!$A57,main!$A$3:$H$102,6,FALSE),0)</f>
        <v>0</v>
      </c>
      <c r="BR57">
        <f>IF(gamma!BR57,VLOOKUP(zeta!BR$1,main!$A$3:$H$102,5,FALSE)-VLOOKUP(zeta!$A57,main!$A$3:$H$102,6,FALSE),0)</f>
        <v>0</v>
      </c>
      <c r="BS57">
        <f>IF(gamma!BS57,VLOOKUP(zeta!BS$1,main!$A$3:$H$102,5,FALSE)-VLOOKUP(zeta!$A57,main!$A$3:$H$102,6,FALSE),0)</f>
        <v>0</v>
      </c>
      <c r="BT57">
        <f>IF(gamma!BT57,VLOOKUP(zeta!BT$1,main!$A$3:$H$102,5,FALSE)-VLOOKUP(zeta!$A57,main!$A$3:$H$102,6,FALSE),0)</f>
        <v>0</v>
      </c>
      <c r="BU57">
        <f>IF(gamma!BU57,VLOOKUP(zeta!BU$1,main!$A$3:$H$102,5,FALSE)-VLOOKUP(zeta!$A57,main!$A$3:$H$102,6,FALSE),0)</f>
        <v>0</v>
      </c>
      <c r="BV57">
        <f>IF(gamma!BV57,VLOOKUP(zeta!BV$1,main!$A$3:$H$102,5,FALSE)-VLOOKUP(zeta!$A57,main!$A$3:$H$102,6,FALSE),0)</f>
        <v>0</v>
      </c>
      <c r="BW57">
        <f>IF(gamma!BW57,VLOOKUP(zeta!BW$1,main!$A$3:$H$102,5,FALSE)-VLOOKUP(zeta!$A57,main!$A$3:$H$102,6,FALSE),0)</f>
        <v>0</v>
      </c>
      <c r="BX57">
        <f>IF(gamma!BX57,VLOOKUP(zeta!BX$1,main!$A$3:$H$102,5,FALSE)-VLOOKUP(zeta!$A57,main!$A$3:$H$102,6,FALSE),0)</f>
        <v>0</v>
      </c>
      <c r="BY57">
        <f>IF(gamma!BY57,VLOOKUP(zeta!BY$1,main!$A$3:$H$102,5,FALSE)-VLOOKUP(zeta!$A57,main!$A$3:$H$102,6,FALSE),0)</f>
        <v>0</v>
      </c>
      <c r="BZ57">
        <f>IF(gamma!BZ57,VLOOKUP(zeta!BZ$1,main!$A$3:$H$102,5,FALSE)-VLOOKUP(zeta!$A57,main!$A$3:$H$102,6,FALSE),0)</f>
        <v>0</v>
      </c>
      <c r="CA57">
        <f>IF(gamma!CA57,VLOOKUP(zeta!CA$1,main!$A$3:$H$102,5,FALSE)-VLOOKUP(zeta!$A57,main!$A$3:$H$102,6,FALSE),0)</f>
        <v>0</v>
      </c>
      <c r="CB57">
        <f>IF(gamma!CB57,VLOOKUP(zeta!CB$1,main!$A$3:$H$102,5,FALSE)-VLOOKUP(zeta!$A57,main!$A$3:$H$102,6,FALSE),0)</f>
        <v>0</v>
      </c>
      <c r="CC57">
        <f>IF(gamma!CC57,VLOOKUP(zeta!CC$1,main!$A$3:$H$102,5,FALSE)-VLOOKUP(zeta!$A57,main!$A$3:$H$102,6,FALSE),0)</f>
        <v>0</v>
      </c>
      <c r="CD57">
        <f>IF(gamma!CD57,VLOOKUP(zeta!CD$1,main!$A$3:$H$102,5,FALSE)-VLOOKUP(zeta!$A57,main!$A$3:$H$102,6,FALSE),0)</f>
        <v>0</v>
      </c>
      <c r="CE57">
        <f>IF(gamma!CE57,VLOOKUP(zeta!CE$1,main!$A$3:$H$102,5,FALSE)-VLOOKUP(zeta!$A57,main!$A$3:$H$102,6,FALSE),0)</f>
        <v>0</v>
      </c>
      <c r="CF57">
        <f>IF(gamma!CF57,VLOOKUP(zeta!CF$1,main!$A$3:$H$102,5,FALSE)-VLOOKUP(zeta!$A57,main!$A$3:$H$102,6,FALSE),0)</f>
        <v>0</v>
      </c>
      <c r="CG57">
        <f>IF(gamma!CG57,VLOOKUP(zeta!CG$1,main!$A$3:$H$102,5,FALSE)-VLOOKUP(zeta!$A57,main!$A$3:$H$102,6,FALSE),0)</f>
        <v>0</v>
      </c>
      <c r="CH57">
        <f>IF(gamma!CH57,VLOOKUP(zeta!CH$1,main!$A$3:$H$102,5,FALSE)-VLOOKUP(zeta!$A57,main!$A$3:$H$102,6,FALSE),0)</f>
        <v>0</v>
      </c>
      <c r="CI57">
        <f>IF(gamma!CI57,VLOOKUP(zeta!CI$1,main!$A$3:$H$102,5,FALSE)-VLOOKUP(zeta!$A57,main!$A$3:$H$102,6,FALSE),0)</f>
        <v>0</v>
      </c>
      <c r="CJ57">
        <f>IF(gamma!CJ57,VLOOKUP(zeta!CJ$1,main!$A$3:$H$102,5,FALSE)-VLOOKUP(zeta!$A57,main!$A$3:$H$102,6,FALSE),0)</f>
        <v>0</v>
      </c>
      <c r="CK57">
        <f>IF(gamma!CK57,VLOOKUP(zeta!CK$1,main!$A$3:$H$102,5,FALSE)-VLOOKUP(zeta!$A57,main!$A$3:$H$102,6,FALSE),0)</f>
        <v>0</v>
      </c>
      <c r="CL57">
        <f>IF(gamma!CL57,VLOOKUP(zeta!CL$1,main!$A$3:$H$102,5,FALSE)-VLOOKUP(zeta!$A57,main!$A$3:$H$102,6,FALSE),0)</f>
        <v>0</v>
      </c>
      <c r="CM57">
        <f>IF(gamma!CM57,VLOOKUP(zeta!CM$1,main!$A$3:$H$102,5,FALSE)-VLOOKUP(zeta!$A57,main!$A$3:$H$102,6,FALSE),0)</f>
        <v>0</v>
      </c>
      <c r="CN57">
        <f>IF(gamma!CN57,VLOOKUP(zeta!CN$1,main!$A$3:$H$102,5,FALSE)-VLOOKUP(zeta!$A57,main!$A$3:$H$102,6,FALSE),0)</f>
        <v>0</v>
      </c>
      <c r="CO57">
        <f>IF(gamma!CO57,VLOOKUP(zeta!CO$1,main!$A$3:$H$102,5,FALSE)-VLOOKUP(zeta!$A57,main!$A$3:$H$102,6,FALSE),0)</f>
        <v>0</v>
      </c>
      <c r="CP57">
        <f>IF(gamma!CP57,VLOOKUP(zeta!CP$1,main!$A$3:$H$102,5,FALSE)-VLOOKUP(zeta!$A57,main!$A$3:$H$102,6,FALSE),0)</f>
        <v>0</v>
      </c>
      <c r="CQ57">
        <f>IF(gamma!CQ57,VLOOKUP(zeta!CQ$1,main!$A$3:$H$102,5,FALSE)-VLOOKUP(zeta!$A57,main!$A$3:$H$102,6,FALSE),0)</f>
        <v>0</v>
      </c>
      <c r="CR57">
        <f>IF(gamma!CR57,VLOOKUP(zeta!CR$1,main!$A$3:$H$102,5,FALSE)-VLOOKUP(zeta!$A57,main!$A$3:$H$102,6,FALSE),0)</f>
        <v>0</v>
      </c>
      <c r="CS57">
        <f>IF(gamma!CS57,VLOOKUP(zeta!CS$1,main!$A$3:$H$102,5,FALSE)-VLOOKUP(zeta!$A57,main!$A$3:$H$102,6,FALSE),0)</f>
        <v>0</v>
      </c>
      <c r="CT57">
        <f>IF(gamma!CT57,VLOOKUP(zeta!CT$1,main!$A$3:$H$102,5,FALSE)-VLOOKUP(zeta!$A57,main!$A$3:$H$102,6,FALSE),0)</f>
        <v>0</v>
      </c>
      <c r="CU57">
        <f>IF(gamma!CU57,VLOOKUP(zeta!CU$1,main!$A$3:$H$102,5,FALSE)-VLOOKUP(zeta!$A57,main!$A$3:$H$102,6,FALSE),0)</f>
        <v>0</v>
      </c>
      <c r="CV57">
        <f>IF(gamma!CV57,VLOOKUP(zeta!CV$1,main!$A$3:$H$102,5,FALSE)-VLOOKUP(zeta!$A57,main!$A$3:$H$102,6,FALSE),0)</f>
        <v>0</v>
      </c>
      <c r="CW57">
        <f>IF(gamma!CW57,VLOOKUP(zeta!CW$1,main!$A$3:$H$102,5,FALSE)-VLOOKUP(zeta!$A57,main!$A$3:$H$102,6,FALSE),0)</f>
        <v>0</v>
      </c>
      <c r="CX57">
        <f>IF(gamma!CX57,VLOOKUP(zeta!CX$1,main!$A$3:$H$102,5,FALSE)-VLOOKUP(zeta!$A57,main!$A$3:$H$102,6,FALSE),0)</f>
        <v>0</v>
      </c>
    </row>
    <row r="58" spans="1:102" x14ac:dyDescent="0.25">
      <c r="A58">
        <f t="shared" si="1"/>
        <v>56</v>
      </c>
      <c r="B58">
        <v>0</v>
      </c>
      <c r="C58">
        <f>IF(gamma!C58,VLOOKUP(zeta!C$1,main!$A$3:$H$102,5,FALSE)-VLOOKUP(zeta!$A58,main!$A$3:$H$102,6,FALSE),0)</f>
        <v>0</v>
      </c>
      <c r="D58">
        <f>IF(gamma!D58,VLOOKUP(zeta!D$1,main!$A$3:$H$102,5,FALSE)-VLOOKUP(zeta!$A58,main!$A$3:$H$102,6,FALSE),0)</f>
        <v>0</v>
      </c>
      <c r="E58">
        <f>IF(gamma!E58,VLOOKUP(zeta!E$1,main!$A$3:$H$102,5,FALSE)-VLOOKUP(zeta!$A58,main!$A$3:$H$102,6,FALSE),0)</f>
        <v>20</v>
      </c>
      <c r="F58">
        <f>IF(gamma!F58,VLOOKUP(zeta!F$1,main!$A$3:$H$102,5,FALSE)-VLOOKUP(zeta!$A58,main!$A$3:$H$102,6,FALSE),0)</f>
        <v>40</v>
      </c>
      <c r="G58">
        <f>IF(gamma!G58,VLOOKUP(zeta!G$1,main!$A$3:$H$102,5,FALSE)-VLOOKUP(zeta!$A58,main!$A$3:$H$102,6,FALSE),0)</f>
        <v>130</v>
      </c>
      <c r="H58">
        <f>IF(gamma!H58,VLOOKUP(zeta!H$1,main!$A$3:$H$102,5,FALSE)-VLOOKUP(zeta!$A58,main!$A$3:$H$102,6,FALSE),0)</f>
        <v>220</v>
      </c>
      <c r="I58">
        <f>IF(gamma!I58,VLOOKUP(zeta!I$1,main!$A$3:$H$102,5,FALSE)-VLOOKUP(zeta!$A58,main!$A$3:$H$102,6,FALSE),0)</f>
        <v>280</v>
      </c>
      <c r="J58">
        <f>IF(gamma!J58,VLOOKUP(zeta!J$1,main!$A$3:$H$102,5,FALSE)-VLOOKUP(zeta!$A58,main!$A$3:$H$102,6,FALSE),0)</f>
        <v>340</v>
      </c>
      <c r="K58">
        <f>IF(gamma!K58,VLOOKUP(zeta!K$1,main!$A$3:$H$102,5,FALSE)-VLOOKUP(zeta!$A58,main!$A$3:$H$102,6,FALSE),0)</f>
        <v>400</v>
      </c>
      <c r="L58">
        <f>IF(gamma!L58,VLOOKUP(zeta!L$1,main!$A$3:$H$102,5,FALSE)-VLOOKUP(zeta!$A58,main!$A$3:$H$102,6,FALSE),0)</f>
        <v>490</v>
      </c>
      <c r="M58">
        <f>IF(gamma!M58,VLOOKUP(zeta!M$1,main!$A$3:$H$102,5,FALSE)-VLOOKUP(zeta!$A58,main!$A$3:$H$102,6,FALSE),0)</f>
        <v>0</v>
      </c>
      <c r="N58">
        <f>IF(gamma!N58,VLOOKUP(zeta!N$1,main!$A$3:$H$102,5,FALSE)-VLOOKUP(zeta!$A58,main!$A$3:$H$102,6,FALSE),0)</f>
        <v>0</v>
      </c>
      <c r="O58">
        <f>IF(gamma!O58,VLOOKUP(zeta!O$1,main!$A$3:$H$102,5,FALSE)-VLOOKUP(zeta!$A58,main!$A$3:$H$102,6,FALSE),0)</f>
        <v>0</v>
      </c>
      <c r="P58">
        <f>IF(gamma!P58,VLOOKUP(zeta!P$1,main!$A$3:$H$102,5,FALSE)-VLOOKUP(zeta!$A58,main!$A$3:$H$102,6,FALSE),0)</f>
        <v>0</v>
      </c>
      <c r="Q58">
        <f>IF(gamma!Q58,VLOOKUP(zeta!Q$1,main!$A$3:$H$102,5,FALSE)-VLOOKUP(zeta!$A58,main!$A$3:$H$102,6,FALSE),0)</f>
        <v>55</v>
      </c>
      <c r="R58">
        <f>IF(gamma!R58,VLOOKUP(zeta!R$1,main!$A$3:$H$102,5,FALSE)-VLOOKUP(zeta!$A58,main!$A$3:$H$102,6,FALSE),0)</f>
        <v>95</v>
      </c>
      <c r="S58">
        <f>IF(gamma!S58,VLOOKUP(zeta!S$1,main!$A$3:$H$102,5,FALSE)-VLOOKUP(zeta!$A58,main!$A$3:$H$102,6,FALSE),0)</f>
        <v>220</v>
      </c>
      <c r="T58">
        <f>IF(gamma!T58,VLOOKUP(zeta!T$1,main!$A$3:$H$102,5,FALSE)-VLOOKUP(zeta!$A58,main!$A$3:$H$102,6,FALSE),0)</f>
        <v>300</v>
      </c>
      <c r="U58">
        <f>IF(gamma!U58,VLOOKUP(zeta!U$1,main!$A$3:$H$102,5,FALSE)-VLOOKUP(zeta!$A58,main!$A$3:$H$102,6,FALSE),0)</f>
        <v>455</v>
      </c>
      <c r="V58">
        <f>IF(gamma!V58,VLOOKUP(zeta!V$1,main!$A$3:$H$102,5,FALSE)-VLOOKUP(zeta!$A58,main!$A$3:$H$102,6,FALSE),0)</f>
        <v>515</v>
      </c>
      <c r="W58">
        <f>IF(gamma!W58,VLOOKUP(zeta!W$1,main!$A$3:$H$102,5,FALSE)-VLOOKUP(zeta!$A58,main!$A$3:$H$102,6,FALSE),0)</f>
        <v>0</v>
      </c>
      <c r="X58">
        <f>IF(gamma!X58,VLOOKUP(zeta!X$1,main!$A$3:$H$102,5,FALSE)-VLOOKUP(zeta!$A58,main!$A$3:$H$102,6,FALSE),0)</f>
        <v>0</v>
      </c>
      <c r="Y58">
        <f>IF(gamma!Y58,VLOOKUP(zeta!Y$1,main!$A$3:$H$102,5,FALSE)-VLOOKUP(zeta!$A58,main!$A$3:$H$102,6,FALSE),0)</f>
        <v>90</v>
      </c>
      <c r="Z58">
        <f>IF(gamma!Z58,VLOOKUP(zeta!Z$1,main!$A$3:$H$102,5,FALSE)-VLOOKUP(zeta!$A58,main!$A$3:$H$102,6,FALSE),0)</f>
        <v>270</v>
      </c>
      <c r="AA58">
        <f>IF(gamma!AA58,VLOOKUP(zeta!AA$1,main!$A$3:$H$102,5,FALSE)-VLOOKUP(zeta!$A58,main!$A$3:$H$102,6,FALSE),0)</f>
        <v>420</v>
      </c>
      <c r="AB58">
        <f>IF(gamma!AB58,VLOOKUP(zeta!AB$1,main!$A$3:$H$102,5,FALSE)-VLOOKUP(zeta!$A58,main!$A$3:$H$102,6,FALSE),0)</f>
        <v>0</v>
      </c>
      <c r="AC58">
        <f>IF(gamma!AC58,VLOOKUP(zeta!AC$1,main!$A$3:$H$102,5,FALSE)-VLOOKUP(zeta!$A58,main!$A$3:$H$102,6,FALSE),0)</f>
        <v>0</v>
      </c>
      <c r="AD58">
        <f>IF(gamma!AD58,VLOOKUP(zeta!AD$1,main!$A$3:$H$102,5,FALSE)-VLOOKUP(zeta!$A58,main!$A$3:$H$102,6,FALSE),0)</f>
        <v>50</v>
      </c>
      <c r="AE58">
        <f>IF(gamma!AE58,VLOOKUP(zeta!AE$1,main!$A$3:$H$102,5,FALSE)-VLOOKUP(zeta!$A58,main!$A$3:$H$102,6,FALSE),0)</f>
        <v>230</v>
      </c>
      <c r="AF58">
        <f>IF(gamma!AF58,VLOOKUP(zeta!AF$1,main!$A$3:$H$102,5,FALSE)-VLOOKUP(zeta!$A58,main!$A$3:$H$102,6,FALSE),0)</f>
        <v>400</v>
      </c>
      <c r="AG58">
        <f>IF(gamma!AG58,VLOOKUP(zeta!AG$1,main!$A$3:$H$102,5,FALSE)-VLOOKUP(zeta!$A58,main!$A$3:$H$102,6,FALSE),0)</f>
        <v>0</v>
      </c>
      <c r="AH58">
        <f>IF(gamma!AH58,VLOOKUP(zeta!AH$1,main!$A$3:$H$102,5,FALSE)-VLOOKUP(zeta!$A58,main!$A$3:$H$102,6,FALSE),0)</f>
        <v>0</v>
      </c>
      <c r="AI58">
        <f>IF(gamma!AI58,VLOOKUP(zeta!AI$1,main!$A$3:$H$102,5,FALSE)-VLOOKUP(zeta!$A58,main!$A$3:$H$102,6,FALSE),0)</f>
        <v>0</v>
      </c>
      <c r="AJ58">
        <f>IF(gamma!AJ58,VLOOKUP(zeta!AJ$1,main!$A$3:$H$102,5,FALSE)-VLOOKUP(zeta!$A58,main!$A$3:$H$102,6,FALSE),0)</f>
        <v>110</v>
      </c>
      <c r="AK58">
        <f>IF(gamma!AK58,VLOOKUP(zeta!AK$1,main!$A$3:$H$102,5,FALSE)-VLOOKUP(zeta!$A58,main!$A$3:$H$102,6,FALSE),0)</f>
        <v>200</v>
      </c>
      <c r="AL58">
        <f>IF(gamma!AL58,VLOOKUP(zeta!AL$1,main!$A$3:$H$102,5,FALSE)-VLOOKUP(zeta!$A58,main!$A$3:$H$102,6,FALSE),0)</f>
        <v>290</v>
      </c>
      <c r="AM58">
        <f>IF(gamma!AM58,VLOOKUP(zeta!AM$1,main!$A$3:$H$102,5,FALSE)-VLOOKUP(zeta!$A58,main!$A$3:$H$102,6,FALSE),0)</f>
        <v>380</v>
      </c>
      <c r="AN58">
        <f>IF(gamma!AN58,VLOOKUP(zeta!AN$1,main!$A$3:$H$102,5,FALSE)-VLOOKUP(zeta!$A58,main!$A$3:$H$102,6,FALSE),0)</f>
        <v>440</v>
      </c>
      <c r="AO58">
        <f>IF(gamma!AO58,VLOOKUP(zeta!AO$1,main!$A$3:$H$102,5,FALSE)-VLOOKUP(zeta!$A58,main!$A$3:$H$102,6,FALSE),0)</f>
        <v>0</v>
      </c>
      <c r="AP58">
        <f>IF(gamma!AP58,VLOOKUP(zeta!AP$1,main!$A$3:$H$102,5,FALSE)-VLOOKUP(zeta!$A58,main!$A$3:$H$102,6,FALSE),0)</f>
        <v>500</v>
      </c>
      <c r="AQ58">
        <f>IF(gamma!AQ58,VLOOKUP(zeta!AQ$1,main!$A$3:$H$102,5,FALSE)-VLOOKUP(zeta!$A58,main!$A$3:$H$102,6,FALSE),0)</f>
        <v>0</v>
      </c>
      <c r="AR58">
        <f>IF(gamma!AR58,VLOOKUP(zeta!AR$1,main!$A$3:$H$102,5,FALSE)-VLOOKUP(zeta!$A58,main!$A$3:$H$102,6,FALSE),0)</f>
        <v>0</v>
      </c>
      <c r="AS58">
        <f>IF(gamma!AS58,VLOOKUP(zeta!AS$1,main!$A$3:$H$102,5,FALSE)-VLOOKUP(zeta!$A58,main!$A$3:$H$102,6,FALSE),0)</f>
        <v>100</v>
      </c>
      <c r="AT58">
        <f>IF(gamma!AT58,VLOOKUP(zeta!AT$1,main!$A$3:$H$102,5,FALSE)-VLOOKUP(zeta!$A58,main!$A$3:$H$102,6,FALSE),0)</f>
        <v>250</v>
      </c>
      <c r="AU58">
        <f>IF(gamma!AU58,VLOOKUP(zeta!AU$1,main!$A$3:$H$102,5,FALSE)-VLOOKUP(zeta!$A58,main!$A$3:$H$102,6,FALSE),0)</f>
        <v>0</v>
      </c>
      <c r="AV58">
        <f>IF(gamma!AV58,VLOOKUP(zeta!AV$1,main!$A$3:$H$102,5,FALSE)-VLOOKUP(zeta!$A58,main!$A$3:$H$102,6,FALSE),0)</f>
        <v>0</v>
      </c>
      <c r="AW58">
        <f>IF(gamma!AW58,VLOOKUP(zeta!AW$1,main!$A$3:$H$102,5,FALSE)-VLOOKUP(zeta!$A58,main!$A$3:$H$102,6,FALSE),0)</f>
        <v>200</v>
      </c>
      <c r="AX58">
        <f>IF(gamma!AX58,VLOOKUP(zeta!AX$1,main!$A$3:$H$102,5,FALSE)-VLOOKUP(zeta!$A58,main!$A$3:$H$102,6,FALSE),0)</f>
        <v>40</v>
      </c>
      <c r="AY58">
        <f>IF(gamma!AY58,VLOOKUP(zeta!AY$1,main!$A$3:$H$102,5,FALSE)-VLOOKUP(zeta!$A58,main!$A$3:$H$102,6,FALSE),0)</f>
        <v>0</v>
      </c>
      <c r="AZ58">
        <f>IF(gamma!AZ58,VLOOKUP(zeta!AZ$1,main!$A$3:$H$102,5,FALSE)-VLOOKUP(zeta!$A58,main!$A$3:$H$102,6,FALSE),0)</f>
        <v>0</v>
      </c>
      <c r="BA58">
        <f>IF(gamma!BA58,VLOOKUP(zeta!BA$1,main!$A$3:$H$102,5,FALSE)-VLOOKUP(zeta!$A58,main!$A$3:$H$102,6,FALSE),0)</f>
        <v>0</v>
      </c>
      <c r="BB58">
        <f>IF(gamma!BB58,VLOOKUP(zeta!BB$1,main!$A$3:$H$102,5,FALSE)-VLOOKUP(zeta!$A58,main!$A$3:$H$102,6,FALSE),0)</f>
        <v>0</v>
      </c>
      <c r="BC58">
        <f>IF(gamma!BC58,VLOOKUP(zeta!BC$1,main!$A$3:$H$102,5,FALSE)-VLOOKUP(zeta!$A58,main!$A$3:$H$102,6,FALSE),0)</f>
        <v>160</v>
      </c>
      <c r="BD58">
        <f>IF(gamma!BD58,VLOOKUP(zeta!BD$1,main!$A$3:$H$102,5,FALSE)-VLOOKUP(zeta!$A58,main!$A$3:$H$102,6,FALSE),0)</f>
        <v>220</v>
      </c>
      <c r="BE58">
        <f>IF(gamma!BE58,VLOOKUP(zeta!BE$1,main!$A$3:$H$102,5,FALSE)-VLOOKUP(zeta!$A58,main!$A$3:$H$102,6,FALSE),0)</f>
        <v>340</v>
      </c>
      <c r="BF58">
        <f>IF(gamma!BF58,VLOOKUP(zeta!BF$1,main!$A$3:$H$102,5,FALSE)-VLOOKUP(zeta!$A58,main!$A$3:$H$102,6,FALSE),0)</f>
        <v>0</v>
      </c>
      <c r="BG58">
        <f>IF(gamma!BG58,VLOOKUP(zeta!BG$1,main!$A$3:$H$102,5,FALSE)-VLOOKUP(zeta!$A58,main!$A$3:$H$102,6,FALSE),0)</f>
        <v>0</v>
      </c>
      <c r="BH58">
        <f>IF(gamma!BH58,VLOOKUP(zeta!BH$1,main!$A$3:$H$102,5,FALSE)-VLOOKUP(zeta!$A58,main!$A$3:$H$102,6,FALSE),0)</f>
        <v>125</v>
      </c>
      <c r="BI58">
        <f>IF(gamma!BI58,VLOOKUP(zeta!BI$1,main!$A$3:$H$102,5,FALSE)-VLOOKUP(zeta!$A58,main!$A$3:$H$102,6,FALSE),0)</f>
        <v>510</v>
      </c>
      <c r="BJ58">
        <f>IF(gamma!BJ58,VLOOKUP(zeta!BJ$1,main!$A$3:$H$102,5,FALSE)-VLOOKUP(zeta!$A58,main!$A$3:$H$102,6,FALSE),0)</f>
        <v>300</v>
      </c>
      <c r="BK58">
        <f>IF(gamma!BK58,VLOOKUP(zeta!BK$1,main!$A$3:$H$102,5,FALSE)-VLOOKUP(zeta!$A58,main!$A$3:$H$102,6,FALSE),0)</f>
        <v>0</v>
      </c>
      <c r="BL58">
        <f>IF(gamma!BL58,VLOOKUP(zeta!BL$1,main!$A$3:$H$102,5,FALSE)-VLOOKUP(zeta!$A58,main!$A$3:$H$102,6,FALSE),0)</f>
        <v>0</v>
      </c>
      <c r="BM58">
        <f>IF(gamma!BM58,VLOOKUP(zeta!BM$1,main!$A$3:$H$102,5,FALSE)-VLOOKUP(zeta!$A58,main!$A$3:$H$102,6,FALSE),0)</f>
        <v>0</v>
      </c>
      <c r="BN58">
        <f>IF(gamma!BN58,VLOOKUP(zeta!BN$1,main!$A$3:$H$102,5,FALSE)-VLOOKUP(zeta!$A58,main!$A$3:$H$102,6,FALSE),0)</f>
        <v>200</v>
      </c>
      <c r="BO58">
        <f>IF(gamma!BO58,VLOOKUP(zeta!BO$1,main!$A$3:$H$102,5,FALSE)-VLOOKUP(zeta!$A58,main!$A$3:$H$102,6,FALSE),0)</f>
        <v>0</v>
      </c>
      <c r="BP58">
        <f>IF(gamma!BP58,VLOOKUP(zeta!BP$1,main!$A$3:$H$102,5,FALSE)-VLOOKUP(zeta!$A58,main!$A$3:$H$102,6,FALSE),0)</f>
        <v>0</v>
      </c>
      <c r="BQ58">
        <f>IF(gamma!BQ58,VLOOKUP(zeta!BQ$1,main!$A$3:$H$102,5,FALSE)-VLOOKUP(zeta!$A58,main!$A$3:$H$102,6,FALSE),0)</f>
        <v>55</v>
      </c>
      <c r="BR58">
        <f>IF(gamma!BR58,VLOOKUP(zeta!BR$1,main!$A$3:$H$102,5,FALSE)-VLOOKUP(zeta!$A58,main!$A$3:$H$102,6,FALSE),0)</f>
        <v>90</v>
      </c>
      <c r="BS58">
        <f>IF(gamma!BS58,VLOOKUP(zeta!BS$1,main!$A$3:$H$102,5,FALSE)-VLOOKUP(zeta!$A58,main!$A$3:$H$102,6,FALSE),0)</f>
        <v>100</v>
      </c>
      <c r="BT58">
        <f>IF(gamma!BT58,VLOOKUP(zeta!BT$1,main!$A$3:$H$102,5,FALSE)-VLOOKUP(zeta!$A58,main!$A$3:$H$102,6,FALSE),0)</f>
        <v>50</v>
      </c>
      <c r="BU58">
        <f>IF(gamma!BU58,VLOOKUP(zeta!BU$1,main!$A$3:$H$102,5,FALSE)-VLOOKUP(zeta!$A58,main!$A$3:$H$102,6,FALSE),0)</f>
        <v>0</v>
      </c>
      <c r="BV58">
        <f>IF(gamma!BV58,VLOOKUP(zeta!BV$1,main!$A$3:$H$102,5,FALSE)-VLOOKUP(zeta!$A58,main!$A$3:$H$102,6,FALSE),0)</f>
        <v>0</v>
      </c>
      <c r="BW58">
        <f>IF(gamma!BW58,VLOOKUP(zeta!BW$1,main!$A$3:$H$102,5,FALSE)-VLOOKUP(zeta!$A58,main!$A$3:$H$102,6,FALSE),0)</f>
        <v>0</v>
      </c>
      <c r="BX58">
        <f>IF(gamma!BX58,VLOOKUP(zeta!BX$1,main!$A$3:$H$102,5,FALSE)-VLOOKUP(zeta!$A58,main!$A$3:$H$102,6,FALSE),0)</f>
        <v>65</v>
      </c>
      <c r="BY58">
        <f>IF(gamma!BY58,VLOOKUP(zeta!BY$1,main!$A$3:$H$102,5,FALSE)-VLOOKUP(zeta!$A58,main!$A$3:$H$102,6,FALSE),0)</f>
        <v>150</v>
      </c>
      <c r="BZ58">
        <f>IF(gamma!BZ58,VLOOKUP(zeta!BZ$1,main!$A$3:$H$102,5,FALSE)-VLOOKUP(zeta!$A58,main!$A$3:$H$102,6,FALSE),0)</f>
        <v>0</v>
      </c>
      <c r="CA58">
        <f>IF(gamma!CA58,VLOOKUP(zeta!CA$1,main!$A$3:$H$102,5,FALSE)-VLOOKUP(zeta!$A58,main!$A$3:$H$102,6,FALSE),0)</f>
        <v>0</v>
      </c>
      <c r="CB58">
        <f>IF(gamma!CB58,VLOOKUP(zeta!CB$1,main!$A$3:$H$102,5,FALSE)-VLOOKUP(zeta!$A58,main!$A$3:$H$102,6,FALSE),0)</f>
        <v>205</v>
      </c>
      <c r="CC58">
        <f>IF(gamma!CC58,VLOOKUP(zeta!CC$1,main!$A$3:$H$102,5,FALSE)-VLOOKUP(zeta!$A58,main!$A$3:$H$102,6,FALSE),0)</f>
        <v>415</v>
      </c>
      <c r="CD58">
        <f>IF(gamma!CD58,VLOOKUP(zeta!CD$1,main!$A$3:$H$102,5,FALSE)-VLOOKUP(zeta!$A58,main!$A$3:$H$102,6,FALSE),0)</f>
        <v>150</v>
      </c>
      <c r="CE58">
        <f>IF(gamma!CE58,VLOOKUP(zeta!CE$1,main!$A$3:$H$102,5,FALSE)-VLOOKUP(zeta!$A58,main!$A$3:$H$102,6,FALSE),0)</f>
        <v>0</v>
      </c>
      <c r="CF58">
        <f>IF(gamma!CF58,VLOOKUP(zeta!CF$1,main!$A$3:$H$102,5,FALSE)-VLOOKUP(zeta!$A58,main!$A$3:$H$102,6,FALSE),0)</f>
        <v>50</v>
      </c>
      <c r="CG58">
        <f>IF(gamma!CG58,VLOOKUP(zeta!CG$1,main!$A$3:$H$102,5,FALSE)-VLOOKUP(zeta!$A58,main!$A$3:$H$102,6,FALSE),0)</f>
        <v>100</v>
      </c>
      <c r="CH58">
        <f>IF(gamma!CH58,VLOOKUP(zeta!CH$1,main!$A$3:$H$102,5,FALSE)-VLOOKUP(zeta!$A58,main!$A$3:$H$102,6,FALSE),0)</f>
        <v>300</v>
      </c>
      <c r="CI58">
        <f>IF(gamma!CI58,VLOOKUP(zeta!CI$1,main!$A$3:$H$102,5,FALSE)-VLOOKUP(zeta!$A58,main!$A$3:$H$102,6,FALSE),0)</f>
        <v>500</v>
      </c>
      <c r="CJ58">
        <f>IF(gamma!CJ58,VLOOKUP(zeta!CJ$1,main!$A$3:$H$102,5,FALSE)-VLOOKUP(zeta!$A58,main!$A$3:$H$102,6,FALSE),0)</f>
        <v>90</v>
      </c>
      <c r="CK58">
        <f>IF(gamma!CK58,VLOOKUP(zeta!CK$1,main!$A$3:$H$102,5,FALSE)-VLOOKUP(zeta!$A58,main!$A$3:$H$102,6,FALSE),0)</f>
        <v>0</v>
      </c>
      <c r="CL58">
        <f>IF(gamma!CL58,VLOOKUP(zeta!CL$1,main!$A$3:$H$102,5,FALSE)-VLOOKUP(zeta!$A58,main!$A$3:$H$102,6,FALSE),0)</f>
        <v>100</v>
      </c>
      <c r="CM58">
        <f>IF(gamma!CM58,VLOOKUP(zeta!CM$1,main!$A$3:$H$102,5,FALSE)-VLOOKUP(zeta!$A58,main!$A$3:$H$102,6,FALSE),0)</f>
        <v>276</v>
      </c>
      <c r="CN58">
        <f>IF(gamma!CN58,VLOOKUP(zeta!CN$1,main!$A$3:$H$102,5,FALSE)-VLOOKUP(zeta!$A58,main!$A$3:$H$102,6,FALSE),0)</f>
        <v>500</v>
      </c>
      <c r="CO58">
        <f>IF(gamma!CO58,VLOOKUP(zeta!CO$1,main!$A$3:$H$102,5,FALSE)-VLOOKUP(zeta!$A58,main!$A$3:$H$102,6,FALSE),0)</f>
        <v>0</v>
      </c>
      <c r="CP58">
        <f>IF(gamma!CP58,VLOOKUP(zeta!CP$1,main!$A$3:$H$102,5,FALSE)-VLOOKUP(zeta!$A58,main!$A$3:$H$102,6,FALSE),0)</f>
        <v>65</v>
      </c>
      <c r="CQ58">
        <f>IF(gamma!CQ58,VLOOKUP(zeta!CQ$1,main!$A$3:$H$102,5,FALSE)-VLOOKUP(zeta!$A58,main!$A$3:$H$102,6,FALSE),0)</f>
        <v>80</v>
      </c>
      <c r="CR58">
        <f>IF(gamma!CR58,VLOOKUP(zeta!CR$1,main!$A$3:$H$102,5,FALSE)-VLOOKUP(zeta!$A58,main!$A$3:$H$102,6,FALSE),0)</f>
        <v>265</v>
      </c>
      <c r="CS58">
        <f>IF(gamma!CS58,VLOOKUP(zeta!CS$1,main!$A$3:$H$102,5,FALSE)-VLOOKUP(zeta!$A58,main!$A$3:$H$102,6,FALSE),0)</f>
        <v>275</v>
      </c>
      <c r="CT58">
        <f>IF(gamma!CT58,VLOOKUP(zeta!CT$1,main!$A$3:$H$102,5,FALSE)-VLOOKUP(zeta!$A58,main!$A$3:$H$102,6,FALSE),0)</f>
        <v>0</v>
      </c>
      <c r="CU58">
        <f>IF(gamma!CU58,VLOOKUP(zeta!CU$1,main!$A$3:$H$102,5,FALSE)-VLOOKUP(zeta!$A58,main!$A$3:$H$102,6,FALSE),0)</f>
        <v>0</v>
      </c>
      <c r="CV58">
        <f>IF(gamma!CV58,VLOOKUP(zeta!CV$1,main!$A$3:$H$102,5,FALSE)-VLOOKUP(zeta!$A58,main!$A$3:$H$102,6,FALSE),0)</f>
        <v>80</v>
      </c>
      <c r="CW58">
        <f>IF(gamma!CW58,VLOOKUP(zeta!CW$1,main!$A$3:$H$102,5,FALSE)-VLOOKUP(zeta!$A58,main!$A$3:$H$102,6,FALSE),0)</f>
        <v>265</v>
      </c>
      <c r="CX58">
        <f>IF(gamma!CX58,VLOOKUP(zeta!CX$1,main!$A$3:$H$102,5,FALSE)-VLOOKUP(zeta!$A58,main!$A$3:$H$102,6,FALSE),0)</f>
        <v>305</v>
      </c>
    </row>
    <row r="59" spans="1:102" x14ac:dyDescent="0.25">
      <c r="A59">
        <f t="shared" si="1"/>
        <v>57</v>
      </c>
      <c r="B59">
        <v>0</v>
      </c>
      <c r="C59">
        <f>IF(gamma!C59,VLOOKUP(zeta!C$1,main!$A$3:$H$102,5,FALSE)-VLOOKUP(zeta!$A59,main!$A$3:$H$102,6,FALSE),0)</f>
        <v>0</v>
      </c>
      <c r="D59">
        <f>IF(gamma!D59,VLOOKUP(zeta!D$1,main!$A$3:$H$102,5,FALSE)-VLOOKUP(zeta!$A59,main!$A$3:$H$102,6,FALSE),0)</f>
        <v>0</v>
      </c>
      <c r="E59">
        <f>IF(gamma!E59,VLOOKUP(zeta!E$1,main!$A$3:$H$102,5,FALSE)-VLOOKUP(zeta!$A59,main!$A$3:$H$102,6,FALSE),0)</f>
        <v>0</v>
      </c>
      <c r="F59">
        <f>IF(gamma!F59,VLOOKUP(zeta!F$1,main!$A$3:$H$102,5,FALSE)-VLOOKUP(zeta!$A59,main!$A$3:$H$102,6,FALSE),0)</f>
        <v>0</v>
      </c>
      <c r="G59">
        <f>IF(gamma!G59,VLOOKUP(zeta!G$1,main!$A$3:$H$102,5,FALSE)-VLOOKUP(zeta!$A59,main!$A$3:$H$102,6,FALSE),0)</f>
        <v>85</v>
      </c>
      <c r="H59">
        <f>IF(gamma!H59,VLOOKUP(zeta!H$1,main!$A$3:$H$102,5,FALSE)-VLOOKUP(zeta!$A59,main!$A$3:$H$102,6,FALSE),0)</f>
        <v>175</v>
      </c>
      <c r="I59">
        <f>IF(gamma!I59,VLOOKUP(zeta!I$1,main!$A$3:$H$102,5,FALSE)-VLOOKUP(zeta!$A59,main!$A$3:$H$102,6,FALSE),0)</f>
        <v>235</v>
      </c>
      <c r="J59">
        <f>IF(gamma!J59,VLOOKUP(zeta!J$1,main!$A$3:$H$102,5,FALSE)-VLOOKUP(zeta!$A59,main!$A$3:$H$102,6,FALSE),0)</f>
        <v>295</v>
      </c>
      <c r="K59">
        <f>IF(gamma!K59,VLOOKUP(zeta!K$1,main!$A$3:$H$102,5,FALSE)-VLOOKUP(zeta!$A59,main!$A$3:$H$102,6,FALSE),0)</f>
        <v>355</v>
      </c>
      <c r="L59">
        <f>IF(gamma!L59,VLOOKUP(zeta!L$1,main!$A$3:$H$102,5,FALSE)-VLOOKUP(zeta!$A59,main!$A$3:$H$102,6,FALSE),0)</f>
        <v>445</v>
      </c>
      <c r="M59">
        <f>IF(gamma!M59,VLOOKUP(zeta!M$1,main!$A$3:$H$102,5,FALSE)-VLOOKUP(zeta!$A59,main!$A$3:$H$102,6,FALSE),0)</f>
        <v>0</v>
      </c>
      <c r="N59">
        <f>IF(gamma!N59,VLOOKUP(zeta!N$1,main!$A$3:$H$102,5,FALSE)-VLOOKUP(zeta!$A59,main!$A$3:$H$102,6,FALSE),0)</f>
        <v>0</v>
      </c>
      <c r="O59">
        <f>IF(gamma!O59,VLOOKUP(zeta!O$1,main!$A$3:$H$102,5,FALSE)-VLOOKUP(zeta!$A59,main!$A$3:$H$102,6,FALSE),0)</f>
        <v>0</v>
      </c>
      <c r="P59">
        <f>IF(gamma!P59,VLOOKUP(zeta!P$1,main!$A$3:$H$102,5,FALSE)-VLOOKUP(zeta!$A59,main!$A$3:$H$102,6,FALSE),0)</f>
        <v>0</v>
      </c>
      <c r="Q59">
        <f>IF(gamma!Q59,VLOOKUP(zeta!Q$1,main!$A$3:$H$102,5,FALSE)-VLOOKUP(zeta!$A59,main!$A$3:$H$102,6,FALSE),0)</f>
        <v>0</v>
      </c>
      <c r="R59">
        <f>IF(gamma!R59,VLOOKUP(zeta!R$1,main!$A$3:$H$102,5,FALSE)-VLOOKUP(zeta!$A59,main!$A$3:$H$102,6,FALSE),0)</f>
        <v>50</v>
      </c>
      <c r="S59">
        <f>IF(gamma!S59,VLOOKUP(zeta!S$1,main!$A$3:$H$102,5,FALSE)-VLOOKUP(zeta!$A59,main!$A$3:$H$102,6,FALSE),0)</f>
        <v>175</v>
      </c>
      <c r="T59">
        <f>IF(gamma!T59,VLOOKUP(zeta!T$1,main!$A$3:$H$102,5,FALSE)-VLOOKUP(zeta!$A59,main!$A$3:$H$102,6,FALSE),0)</f>
        <v>255</v>
      </c>
      <c r="U59">
        <f>IF(gamma!U59,VLOOKUP(zeta!U$1,main!$A$3:$H$102,5,FALSE)-VLOOKUP(zeta!$A59,main!$A$3:$H$102,6,FALSE),0)</f>
        <v>410</v>
      </c>
      <c r="V59">
        <f>IF(gamma!V59,VLOOKUP(zeta!V$1,main!$A$3:$H$102,5,FALSE)-VLOOKUP(zeta!$A59,main!$A$3:$H$102,6,FALSE),0)</f>
        <v>470</v>
      </c>
      <c r="W59">
        <f>IF(gamma!W59,VLOOKUP(zeta!W$1,main!$A$3:$H$102,5,FALSE)-VLOOKUP(zeta!$A59,main!$A$3:$H$102,6,FALSE),0)</f>
        <v>0</v>
      </c>
      <c r="X59">
        <f>IF(gamma!X59,VLOOKUP(zeta!X$1,main!$A$3:$H$102,5,FALSE)-VLOOKUP(zeta!$A59,main!$A$3:$H$102,6,FALSE),0)</f>
        <v>0</v>
      </c>
      <c r="Y59">
        <f>IF(gamma!Y59,VLOOKUP(zeta!Y$1,main!$A$3:$H$102,5,FALSE)-VLOOKUP(zeta!$A59,main!$A$3:$H$102,6,FALSE),0)</f>
        <v>45</v>
      </c>
      <c r="Z59">
        <f>IF(gamma!Z59,VLOOKUP(zeta!Z$1,main!$A$3:$H$102,5,FALSE)-VLOOKUP(zeta!$A59,main!$A$3:$H$102,6,FALSE),0)</f>
        <v>225</v>
      </c>
      <c r="AA59">
        <f>IF(gamma!AA59,VLOOKUP(zeta!AA$1,main!$A$3:$H$102,5,FALSE)-VLOOKUP(zeta!$A59,main!$A$3:$H$102,6,FALSE),0)</f>
        <v>375</v>
      </c>
      <c r="AB59">
        <f>IF(gamma!AB59,VLOOKUP(zeta!AB$1,main!$A$3:$H$102,5,FALSE)-VLOOKUP(zeta!$A59,main!$A$3:$H$102,6,FALSE),0)</f>
        <v>0</v>
      </c>
      <c r="AC59">
        <f>IF(gamma!AC59,VLOOKUP(zeta!AC$1,main!$A$3:$H$102,5,FALSE)-VLOOKUP(zeta!$A59,main!$A$3:$H$102,6,FALSE),0)</f>
        <v>0</v>
      </c>
      <c r="AD59">
        <f>IF(gamma!AD59,VLOOKUP(zeta!AD$1,main!$A$3:$H$102,5,FALSE)-VLOOKUP(zeta!$A59,main!$A$3:$H$102,6,FALSE),0)</f>
        <v>0</v>
      </c>
      <c r="AE59">
        <f>IF(gamma!AE59,VLOOKUP(zeta!AE$1,main!$A$3:$H$102,5,FALSE)-VLOOKUP(zeta!$A59,main!$A$3:$H$102,6,FALSE),0)</f>
        <v>185</v>
      </c>
      <c r="AF59">
        <f>IF(gamma!AF59,VLOOKUP(zeta!AF$1,main!$A$3:$H$102,5,FALSE)-VLOOKUP(zeta!$A59,main!$A$3:$H$102,6,FALSE),0)</f>
        <v>355</v>
      </c>
      <c r="AG59">
        <f>IF(gamma!AG59,VLOOKUP(zeta!AG$1,main!$A$3:$H$102,5,FALSE)-VLOOKUP(zeta!$A59,main!$A$3:$H$102,6,FALSE),0)</f>
        <v>0</v>
      </c>
      <c r="AH59">
        <f>IF(gamma!AH59,VLOOKUP(zeta!AH$1,main!$A$3:$H$102,5,FALSE)-VLOOKUP(zeta!$A59,main!$A$3:$H$102,6,FALSE),0)</f>
        <v>0</v>
      </c>
      <c r="AI59">
        <f>IF(gamma!AI59,VLOOKUP(zeta!AI$1,main!$A$3:$H$102,5,FALSE)-VLOOKUP(zeta!$A59,main!$A$3:$H$102,6,FALSE),0)</f>
        <v>0</v>
      </c>
      <c r="AJ59">
        <f>IF(gamma!AJ59,VLOOKUP(zeta!AJ$1,main!$A$3:$H$102,5,FALSE)-VLOOKUP(zeta!$A59,main!$A$3:$H$102,6,FALSE),0)</f>
        <v>65</v>
      </c>
      <c r="AK59">
        <f>IF(gamma!AK59,VLOOKUP(zeta!AK$1,main!$A$3:$H$102,5,FALSE)-VLOOKUP(zeta!$A59,main!$A$3:$H$102,6,FALSE),0)</f>
        <v>155</v>
      </c>
      <c r="AL59">
        <f>IF(gamma!AL59,VLOOKUP(zeta!AL$1,main!$A$3:$H$102,5,FALSE)-VLOOKUP(zeta!$A59,main!$A$3:$H$102,6,FALSE),0)</f>
        <v>245</v>
      </c>
      <c r="AM59">
        <f>IF(gamma!AM59,VLOOKUP(zeta!AM$1,main!$A$3:$H$102,5,FALSE)-VLOOKUP(zeta!$A59,main!$A$3:$H$102,6,FALSE),0)</f>
        <v>335</v>
      </c>
      <c r="AN59">
        <f>IF(gamma!AN59,VLOOKUP(zeta!AN$1,main!$A$3:$H$102,5,FALSE)-VLOOKUP(zeta!$A59,main!$A$3:$H$102,6,FALSE),0)</f>
        <v>395</v>
      </c>
      <c r="AO59">
        <f>IF(gamma!AO59,VLOOKUP(zeta!AO$1,main!$A$3:$H$102,5,FALSE)-VLOOKUP(zeta!$A59,main!$A$3:$H$102,6,FALSE),0)</f>
        <v>0</v>
      </c>
      <c r="AP59">
        <f>IF(gamma!AP59,VLOOKUP(zeta!AP$1,main!$A$3:$H$102,5,FALSE)-VLOOKUP(zeta!$A59,main!$A$3:$H$102,6,FALSE),0)</f>
        <v>455</v>
      </c>
      <c r="AQ59">
        <f>IF(gamma!AQ59,VLOOKUP(zeta!AQ$1,main!$A$3:$H$102,5,FALSE)-VLOOKUP(zeta!$A59,main!$A$3:$H$102,6,FALSE),0)</f>
        <v>0</v>
      </c>
      <c r="AR59">
        <f>IF(gamma!AR59,VLOOKUP(zeta!AR$1,main!$A$3:$H$102,5,FALSE)-VLOOKUP(zeta!$A59,main!$A$3:$H$102,6,FALSE),0)</f>
        <v>0</v>
      </c>
      <c r="AS59">
        <f>IF(gamma!AS59,VLOOKUP(zeta!AS$1,main!$A$3:$H$102,5,FALSE)-VLOOKUP(zeta!$A59,main!$A$3:$H$102,6,FALSE),0)</f>
        <v>55</v>
      </c>
      <c r="AT59">
        <f>IF(gamma!AT59,VLOOKUP(zeta!AT$1,main!$A$3:$H$102,5,FALSE)-VLOOKUP(zeta!$A59,main!$A$3:$H$102,6,FALSE),0)</f>
        <v>205</v>
      </c>
      <c r="AU59">
        <f>IF(gamma!AU59,VLOOKUP(zeta!AU$1,main!$A$3:$H$102,5,FALSE)-VLOOKUP(zeta!$A59,main!$A$3:$H$102,6,FALSE),0)</f>
        <v>0</v>
      </c>
      <c r="AV59">
        <f>IF(gamma!AV59,VLOOKUP(zeta!AV$1,main!$A$3:$H$102,5,FALSE)-VLOOKUP(zeta!$A59,main!$A$3:$H$102,6,FALSE),0)</f>
        <v>0</v>
      </c>
      <c r="AW59">
        <f>IF(gamma!AW59,VLOOKUP(zeta!AW$1,main!$A$3:$H$102,5,FALSE)-VLOOKUP(zeta!$A59,main!$A$3:$H$102,6,FALSE),0)</f>
        <v>155</v>
      </c>
      <c r="AX59">
        <f>IF(gamma!AX59,VLOOKUP(zeta!AX$1,main!$A$3:$H$102,5,FALSE)-VLOOKUP(zeta!$A59,main!$A$3:$H$102,6,FALSE),0)</f>
        <v>0</v>
      </c>
      <c r="AY59">
        <f>IF(gamma!AY59,VLOOKUP(zeta!AY$1,main!$A$3:$H$102,5,FALSE)-VLOOKUP(zeta!$A59,main!$A$3:$H$102,6,FALSE),0)</f>
        <v>0</v>
      </c>
      <c r="AZ59">
        <f>IF(gamma!AZ59,VLOOKUP(zeta!AZ$1,main!$A$3:$H$102,5,FALSE)-VLOOKUP(zeta!$A59,main!$A$3:$H$102,6,FALSE),0)</f>
        <v>0</v>
      </c>
      <c r="BA59">
        <f>IF(gamma!BA59,VLOOKUP(zeta!BA$1,main!$A$3:$H$102,5,FALSE)-VLOOKUP(zeta!$A59,main!$A$3:$H$102,6,FALSE),0)</f>
        <v>0</v>
      </c>
      <c r="BB59">
        <f>IF(gamma!BB59,VLOOKUP(zeta!BB$1,main!$A$3:$H$102,5,FALSE)-VLOOKUP(zeta!$A59,main!$A$3:$H$102,6,FALSE),0)</f>
        <v>0</v>
      </c>
      <c r="BC59">
        <f>IF(gamma!BC59,VLOOKUP(zeta!BC$1,main!$A$3:$H$102,5,FALSE)-VLOOKUP(zeta!$A59,main!$A$3:$H$102,6,FALSE),0)</f>
        <v>115</v>
      </c>
      <c r="BD59">
        <f>IF(gamma!BD59,VLOOKUP(zeta!BD$1,main!$A$3:$H$102,5,FALSE)-VLOOKUP(zeta!$A59,main!$A$3:$H$102,6,FALSE),0)</f>
        <v>175</v>
      </c>
      <c r="BE59">
        <f>IF(gamma!BE59,VLOOKUP(zeta!BE$1,main!$A$3:$H$102,5,FALSE)-VLOOKUP(zeta!$A59,main!$A$3:$H$102,6,FALSE),0)</f>
        <v>295</v>
      </c>
      <c r="BF59">
        <f>IF(gamma!BF59,VLOOKUP(zeta!BF$1,main!$A$3:$H$102,5,FALSE)-VLOOKUP(zeta!$A59,main!$A$3:$H$102,6,FALSE),0)</f>
        <v>0</v>
      </c>
      <c r="BG59">
        <f>IF(gamma!BG59,VLOOKUP(zeta!BG$1,main!$A$3:$H$102,5,FALSE)-VLOOKUP(zeta!$A59,main!$A$3:$H$102,6,FALSE),0)</f>
        <v>0</v>
      </c>
      <c r="BH59">
        <f>IF(gamma!BH59,VLOOKUP(zeta!BH$1,main!$A$3:$H$102,5,FALSE)-VLOOKUP(zeta!$A59,main!$A$3:$H$102,6,FALSE),0)</f>
        <v>80</v>
      </c>
      <c r="BI59">
        <f>IF(gamma!BI59,VLOOKUP(zeta!BI$1,main!$A$3:$H$102,5,FALSE)-VLOOKUP(zeta!$A59,main!$A$3:$H$102,6,FALSE),0)</f>
        <v>465</v>
      </c>
      <c r="BJ59">
        <f>IF(gamma!BJ59,VLOOKUP(zeta!BJ$1,main!$A$3:$H$102,5,FALSE)-VLOOKUP(zeta!$A59,main!$A$3:$H$102,6,FALSE),0)</f>
        <v>255</v>
      </c>
      <c r="BK59">
        <f>IF(gamma!BK59,VLOOKUP(zeta!BK$1,main!$A$3:$H$102,5,FALSE)-VLOOKUP(zeta!$A59,main!$A$3:$H$102,6,FALSE),0)</f>
        <v>0</v>
      </c>
      <c r="BL59">
        <f>IF(gamma!BL59,VLOOKUP(zeta!BL$1,main!$A$3:$H$102,5,FALSE)-VLOOKUP(zeta!$A59,main!$A$3:$H$102,6,FALSE),0)</f>
        <v>0</v>
      </c>
      <c r="BM59">
        <f>IF(gamma!BM59,VLOOKUP(zeta!BM$1,main!$A$3:$H$102,5,FALSE)-VLOOKUP(zeta!$A59,main!$A$3:$H$102,6,FALSE),0)</f>
        <v>0</v>
      </c>
      <c r="BN59">
        <f>IF(gamma!BN59,VLOOKUP(zeta!BN$1,main!$A$3:$H$102,5,FALSE)-VLOOKUP(zeta!$A59,main!$A$3:$H$102,6,FALSE),0)</f>
        <v>155</v>
      </c>
      <c r="BO59">
        <f>IF(gamma!BO59,VLOOKUP(zeta!BO$1,main!$A$3:$H$102,5,FALSE)-VLOOKUP(zeta!$A59,main!$A$3:$H$102,6,FALSE),0)</f>
        <v>0</v>
      </c>
      <c r="BP59">
        <f>IF(gamma!BP59,VLOOKUP(zeta!BP$1,main!$A$3:$H$102,5,FALSE)-VLOOKUP(zeta!$A59,main!$A$3:$H$102,6,FALSE),0)</f>
        <v>0</v>
      </c>
      <c r="BQ59">
        <f>IF(gamma!BQ59,VLOOKUP(zeta!BQ$1,main!$A$3:$H$102,5,FALSE)-VLOOKUP(zeta!$A59,main!$A$3:$H$102,6,FALSE),0)</f>
        <v>0</v>
      </c>
      <c r="BR59">
        <f>IF(gamma!BR59,VLOOKUP(zeta!BR$1,main!$A$3:$H$102,5,FALSE)-VLOOKUP(zeta!$A59,main!$A$3:$H$102,6,FALSE),0)</f>
        <v>45</v>
      </c>
      <c r="BS59">
        <f>IF(gamma!BS59,VLOOKUP(zeta!BS$1,main!$A$3:$H$102,5,FALSE)-VLOOKUP(zeta!$A59,main!$A$3:$H$102,6,FALSE),0)</f>
        <v>55</v>
      </c>
      <c r="BT59">
        <f>IF(gamma!BT59,VLOOKUP(zeta!BT$1,main!$A$3:$H$102,5,FALSE)-VLOOKUP(zeta!$A59,main!$A$3:$H$102,6,FALSE),0)</f>
        <v>0</v>
      </c>
      <c r="BU59">
        <f>IF(gamma!BU59,VLOOKUP(zeta!BU$1,main!$A$3:$H$102,5,FALSE)-VLOOKUP(zeta!$A59,main!$A$3:$H$102,6,FALSE),0)</f>
        <v>0</v>
      </c>
      <c r="BV59">
        <f>IF(gamma!BV59,VLOOKUP(zeta!BV$1,main!$A$3:$H$102,5,FALSE)-VLOOKUP(zeta!$A59,main!$A$3:$H$102,6,FALSE),0)</f>
        <v>0</v>
      </c>
      <c r="BW59">
        <f>IF(gamma!BW59,VLOOKUP(zeta!BW$1,main!$A$3:$H$102,5,FALSE)-VLOOKUP(zeta!$A59,main!$A$3:$H$102,6,FALSE),0)</f>
        <v>0</v>
      </c>
      <c r="BX59">
        <f>IF(gamma!BX59,VLOOKUP(zeta!BX$1,main!$A$3:$H$102,5,FALSE)-VLOOKUP(zeta!$A59,main!$A$3:$H$102,6,FALSE),0)</f>
        <v>0</v>
      </c>
      <c r="BY59">
        <f>IF(gamma!BY59,VLOOKUP(zeta!BY$1,main!$A$3:$H$102,5,FALSE)-VLOOKUP(zeta!$A59,main!$A$3:$H$102,6,FALSE),0)</f>
        <v>105</v>
      </c>
      <c r="BZ59">
        <f>IF(gamma!BZ59,VLOOKUP(zeta!BZ$1,main!$A$3:$H$102,5,FALSE)-VLOOKUP(zeta!$A59,main!$A$3:$H$102,6,FALSE),0)</f>
        <v>0</v>
      </c>
      <c r="CA59">
        <f>IF(gamma!CA59,VLOOKUP(zeta!CA$1,main!$A$3:$H$102,5,FALSE)-VLOOKUP(zeta!$A59,main!$A$3:$H$102,6,FALSE),0)</f>
        <v>0</v>
      </c>
      <c r="CB59">
        <f>IF(gamma!CB59,VLOOKUP(zeta!CB$1,main!$A$3:$H$102,5,FALSE)-VLOOKUP(zeta!$A59,main!$A$3:$H$102,6,FALSE),0)</f>
        <v>160</v>
      </c>
      <c r="CC59">
        <f>IF(gamma!CC59,VLOOKUP(zeta!CC$1,main!$A$3:$H$102,5,FALSE)-VLOOKUP(zeta!$A59,main!$A$3:$H$102,6,FALSE),0)</f>
        <v>370</v>
      </c>
      <c r="CD59">
        <f>IF(gamma!CD59,VLOOKUP(zeta!CD$1,main!$A$3:$H$102,5,FALSE)-VLOOKUP(zeta!$A59,main!$A$3:$H$102,6,FALSE),0)</f>
        <v>105</v>
      </c>
      <c r="CE59">
        <f>IF(gamma!CE59,VLOOKUP(zeta!CE$1,main!$A$3:$H$102,5,FALSE)-VLOOKUP(zeta!$A59,main!$A$3:$H$102,6,FALSE),0)</f>
        <v>0</v>
      </c>
      <c r="CF59">
        <f>IF(gamma!CF59,VLOOKUP(zeta!CF$1,main!$A$3:$H$102,5,FALSE)-VLOOKUP(zeta!$A59,main!$A$3:$H$102,6,FALSE),0)</f>
        <v>0</v>
      </c>
      <c r="CG59">
        <f>IF(gamma!CG59,VLOOKUP(zeta!CG$1,main!$A$3:$H$102,5,FALSE)-VLOOKUP(zeta!$A59,main!$A$3:$H$102,6,FALSE),0)</f>
        <v>55</v>
      </c>
      <c r="CH59">
        <f>IF(gamma!CH59,VLOOKUP(zeta!CH$1,main!$A$3:$H$102,5,FALSE)-VLOOKUP(zeta!$A59,main!$A$3:$H$102,6,FALSE),0)</f>
        <v>255</v>
      </c>
      <c r="CI59">
        <f>IF(gamma!CI59,VLOOKUP(zeta!CI$1,main!$A$3:$H$102,5,FALSE)-VLOOKUP(zeta!$A59,main!$A$3:$H$102,6,FALSE),0)</f>
        <v>455</v>
      </c>
      <c r="CJ59">
        <f>IF(gamma!CJ59,VLOOKUP(zeta!CJ$1,main!$A$3:$H$102,5,FALSE)-VLOOKUP(zeta!$A59,main!$A$3:$H$102,6,FALSE),0)</f>
        <v>0</v>
      </c>
      <c r="CK59">
        <f>IF(gamma!CK59,VLOOKUP(zeta!CK$1,main!$A$3:$H$102,5,FALSE)-VLOOKUP(zeta!$A59,main!$A$3:$H$102,6,FALSE),0)</f>
        <v>0</v>
      </c>
      <c r="CL59">
        <f>IF(gamma!CL59,VLOOKUP(zeta!CL$1,main!$A$3:$H$102,5,FALSE)-VLOOKUP(zeta!$A59,main!$A$3:$H$102,6,FALSE),0)</f>
        <v>55</v>
      </c>
      <c r="CM59">
        <f>IF(gamma!CM59,VLOOKUP(zeta!CM$1,main!$A$3:$H$102,5,FALSE)-VLOOKUP(zeta!$A59,main!$A$3:$H$102,6,FALSE),0)</f>
        <v>231</v>
      </c>
      <c r="CN59">
        <f>IF(gamma!CN59,VLOOKUP(zeta!CN$1,main!$A$3:$H$102,5,FALSE)-VLOOKUP(zeta!$A59,main!$A$3:$H$102,6,FALSE),0)</f>
        <v>455</v>
      </c>
      <c r="CO59">
        <f>IF(gamma!CO59,VLOOKUP(zeta!CO$1,main!$A$3:$H$102,5,FALSE)-VLOOKUP(zeta!$A59,main!$A$3:$H$102,6,FALSE),0)</f>
        <v>0</v>
      </c>
      <c r="CP59">
        <f>IF(gamma!CP59,VLOOKUP(zeta!CP$1,main!$A$3:$H$102,5,FALSE)-VLOOKUP(zeta!$A59,main!$A$3:$H$102,6,FALSE),0)</f>
        <v>0</v>
      </c>
      <c r="CQ59">
        <f>IF(gamma!CQ59,VLOOKUP(zeta!CQ$1,main!$A$3:$H$102,5,FALSE)-VLOOKUP(zeta!$A59,main!$A$3:$H$102,6,FALSE),0)</f>
        <v>0</v>
      </c>
      <c r="CR59">
        <f>IF(gamma!CR59,VLOOKUP(zeta!CR$1,main!$A$3:$H$102,5,FALSE)-VLOOKUP(zeta!$A59,main!$A$3:$H$102,6,FALSE),0)</f>
        <v>220</v>
      </c>
      <c r="CS59">
        <f>IF(gamma!CS59,VLOOKUP(zeta!CS$1,main!$A$3:$H$102,5,FALSE)-VLOOKUP(zeta!$A59,main!$A$3:$H$102,6,FALSE),0)</f>
        <v>230</v>
      </c>
      <c r="CT59">
        <f>IF(gamma!CT59,VLOOKUP(zeta!CT$1,main!$A$3:$H$102,5,FALSE)-VLOOKUP(zeta!$A59,main!$A$3:$H$102,6,FALSE),0)</f>
        <v>0</v>
      </c>
      <c r="CU59">
        <f>IF(gamma!CU59,VLOOKUP(zeta!CU$1,main!$A$3:$H$102,5,FALSE)-VLOOKUP(zeta!$A59,main!$A$3:$H$102,6,FALSE),0)</f>
        <v>0</v>
      </c>
      <c r="CV59">
        <f>IF(gamma!CV59,VLOOKUP(zeta!CV$1,main!$A$3:$H$102,5,FALSE)-VLOOKUP(zeta!$A59,main!$A$3:$H$102,6,FALSE),0)</f>
        <v>0</v>
      </c>
      <c r="CW59">
        <f>IF(gamma!CW59,VLOOKUP(zeta!CW$1,main!$A$3:$H$102,5,FALSE)-VLOOKUP(zeta!$A59,main!$A$3:$H$102,6,FALSE),0)</f>
        <v>220</v>
      </c>
      <c r="CX59">
        <f>IF(gamma!CX59,VLOOKUP(zeta!CX$1,main!$A$3:$H$102,5,FALSE)-VLOOKUP(zeta!$A59,main!$A$3:$H$102,6,FALSE),0)</f>
        <v>260</v>
      </c>
    </row>
    <row r="60" spans="1:102" x14ac:dyDescent="0.25">
      <c r="A60">
        <f t="shared" si="1"/>
        <v>58</v>
      </c>
      <c r="B60">
        <v>0</v>
      </c>
      <c r="C60">
        <f>IF(gamma!C60,VLOOKUP(zeta!C$1,main!$A$3:$H$102,5,FALSE)-VLOOKUP(zeta!$A60,main!$A$3:$H$102,6,FALSE),0)</f>
        <v>0</v>
      </c>
      <c r="D60">
        <f>IF(gamma!D60,VLOOKUP(zeta!D$1,main!$A$3:$H$102,5,FALSE)-VLOOKUP(zeta!$A60,main!$A$3:$H$102,6,FALSE),0)</f>
        <v>0</v>
      </c>
      <c r="E60">
        <f>IF(gamma!E60,VLOOKUP(zeta!E$1,main!$A$3:$H$102,5,FALSE)-VLOOKUP(zeta!$A60,main!$A$3:$H$102,6,FALSE),0)</f>
        <v>0</v>
      </c>
      <c r="F60">
        <f>IF(gamma!F60,VLOOKUP(zeta!F$1,main!$A$3:$H$102,5,FALSE)-VLOOKUP(zeta!$A60,main!$A$3:$H$102,6,FALSE),0)</f>
        <v>0</v>
      </c>
      <c r="G60">
        <f>IF(gamma!G60,VLOOKUP(zeta!G$1,main!$A$3:$H$102,5,FALSE)-VLOOKUP(zeta!$A60,main!$A$3:$H$102,6,FALSE),0)</f>
        <v>0</v>
      </c>
      <c r="H60">
        <f>IF(gamma!H60,VLOOKUP(zeta!H$1,main!$A$3:$H$102,5,FALSE)-VLOOKUP(zeta!$A60,main!$A$3:$H$102,6,FALSE),0)</f>
        <v>0</v>
      </c>
      <c r="I60">
        <f>IF(gamma!I60,VLOOKUP(zeta!I$1,main!$A$3:$H$102,5,FALSE)-VLOOKUP(zeta!$A60,main!$A$3:$H$102,6,FALSE),0)</f>
        <v>30</v>
      </c>
      <c r="J60">
        <f>IF(gamma!J60,VLOOKUP(zeta!J$1,main!$A$3:$H$102,5,FALSE)-VLOOKUP(zeta!$A60,main!$A$3:$H$102,6,FALSE),0)</f>
        <v>90</v>
      </c>
      <c r="K60">
        <f>IF(gamma!K60,VLOOKUP(zeta!K$1,main!$A$3:$H$102,5,FALSE)-VLOOKUP(zeta!$A60,main!$A$3:$H$102,6,FALSE),0)</f>
        <v>150</v>
      </c>
      <c r="L60">
        <f>IF(gamma!L60,VLOOKUP(zeta!L$1,main!$A$3:$H$102,5,FALSE)-VLOOKUP(zeta!$A60,main!$A$3:$H$102,6,FALSE),0)</f>
        <v>240</v>
      </c>
      <c r="M60">
        <f>IF(gamma!M60,VLOOKUP(zeta!M$1,main!$A$3:$H$102,5,FALSE)-VLOOKUP(zeta!$A60,main!$A$3:$H$102,6,FALSE),0)</f>
        <v>0</v>
      </c>
      <c r="N60">
        <f>IF(gamma!N60,VLOOKUP(zeta!N$1,main!$A$3:$H$102,5,FALSE)-VLOOKUP(zeta!$A60,main!$A$3:$H$102,6,FALSE),0)</f>
        <v>0</v>
      </c>
      <c r="O60">
        <f>IF(gamma!O60,VLOOKUP(zeta!O$1,main!$A$3:$H$102,5,FALSE)-VLOOKUP(zeta!$A60,main!$A$3:$H$102,6,FALSE),0)</f>
        <v>0</v>
      </c>
      <c r="P60">
        <f>IF(gamma!P60,VLOOKUP(zeta!P$1,main!$A$3:$H$102,5,FALSE)-VLOOKUP(zeta!$A60,main!$A$3:$H$102,6,FALSE),0)</f>
        <v>0</v>
      </c>
      <c r="Q60">
        <f>IF(gamma!Q60,VLOOKUP(zeta!Q$1,main!$A$3:$H$102,5,FALSE)-VLOOKUP(zeta!$A60,main!$A$3:$H$102,6,FALSE),0)</f>
        <v>0</v>
      </c>
      <c r="R60">
        <f>IF(gamma!R60,VLOOKUP(zeta!R$1,main!$A$3:$H$102,5,FALSE)-VLOOKUP(zeta!$A60,main!$A$3:$H$102,6,FALSE),0)</f>
        <v>0</v>
      </c>
      <c r="S60">
        <f>IF(gamma!S60,VLOOKUP(zeta!S$1,main!$A$3:$H$102,5,FALSE)-VLOOKUP(zeta!$A60,main!$A$3:$H$102,6,FALSE),0)</f>
        <v>0</v>
      </c>
      <c r="T60">
        <f>IF(gamma!T60,VLOOKUP(zeta!T$1,main!$A$3:$H$102,5,FALSE)-VLOOKUP(zeta!$A60,main!$A$3:$H$102,6,FALSE),0)</f>
        <v>50</v>
      </c>
      <c r="U60">
        <f>IF(gamma!U60,VLOOKUP(zeta!U$1,main!$A$3:$H$102,5,FALSE)-VLOOKUP(zeta!$A60,main!$A$3:$H$102,6,FALSE),0)</f>
        <v>205</v>
      </c>
      <c r="V60">
        <f>IF(gamma!V60,VLOOKUP(zeta!V$1,main!$A$3:$H$102,5,FALSE)-VLOOKUP(zeta!$A60,main!$A$3:$H$102,6,FALSE),0)</f>
        <v>265</v>
      </c>
      <c r="W60">
        <f>IF(gamma!W60,VLOOKUP(zeta!W$1,main!$A$3:$H$102,5,FALSE)-VLOOKUP(zeta!$A60,main!$A$3:$H$102,6,FALSE),0)</f>
        <v>0</v>
      </c>
      <c r="X60">
        <f>IF(gamma!X60,VLOOKUP(zeta!X$1,main!$A$3:$H$102,5,FALSE)-VLOOKUP(zeta!$A60,main!$A$3:$H$102,6,FALSE),0)</f>
        <v>0</v>
      </c>
      <c r="Y60">
        <f>IF(gamma!Y60,VLOOKUP(zeta!Y$1,main!$A$3:$H$102,5,FALSE)-VLOOKUP(zeta!$A60,main!$A$3:$H$102,6,FALSE),0)</f>
        <v>0</v>
      </c>
      <c r="Z60">
        <f>IF(gamma!Z60,VLOOKUP(zeta!Z$1,main!$A$3:$H$102,5,FALSE)-VLOOKUP(zeta!$A60,main!$A$3:$H$102,6,FALSE),0)</f>
        <v>20</v>
      </c>
      <c r="AA60">
        <f>IF(gamma!AA60,VLOOKUP(zeta!AA$1,main!$A$3:$H$102,5,FALSE)-VLOOKUP(zeta!$A60,main!$A$3:$H$102,6,FALSE),0)</f>
        <v>170</v>
      </c>
      <c r="AB60">
        <f>IF(gamma!AB60,VLOOKUP(zeta!AB$1,main!$A$3:$H$102,5,FALSE)-VLOOKUP(zeta!$A60,main!$A$3:$H$102,6,FALSE),0)</f>
        <v>0</v>
      </c>
      <c r="AC60">
        <f>IF(gamma!AC60,VLOOKUP(zeta!AC$1,main!$A$3:$H$102,5,FALSE)-VLOOKUP(zeta!$A60,main!$A$3:$H$102,6,FALSE),0)</f>
        <v>0</v>
      </c>
      <c r="AD60">
        <f>IF(gamma!AD60,VLOOKUP(zeta!AD$1,main!$A$3:$H$102,5,FALSE)-VLOOKUP(zeta!$A60,main!$A$3:$H$102,6,FALSE),0)</f>
        <v>0</v>
      </c>
      <c r="AE60">
        <f>IF(gamma!AE60,VLOOKUP(zeta!AE$1,main!$A$3:$H$102,5,FALSE)-VLOOKUP(zeta!$A60,main!$A$3:$H$102,6,FALSE),0)</f>
        <v>0</v>
      </c>
      <c r="AF60">
        <f>IF(gamma!AF60,VLOOKUP(zeta!AF$1,main!$A$3:$H$102,5,FALSE)-VLOOKUP(zeta!$A60,main!$A$3:$H$102,6,FALSE),0)</f>
        <v>150</v>
      </c>
      <c r="AG60">
        <f>IF(gamma!AG60,VLOOKUP(zeta!AG$1,main!$A$3:$H$102,5,FALSE)-VLOOKUP(zeta!$A60,main!$A$3:$H$102,6,FALSE),0)</f>
        <v>0</v>
      </c>
      <c r="AH60">
        <f>IF(gamma!AH60,VLOOKUP(zeta!AH$1,main!$A$3:$H$102,5,FALSE)-VLOOKUP(zeta!$A60,main!$A$3:$H$102,6,FALSE),0)</f>
        <v>0</v>
      </c>
      <c r="AI60">
        <f>IF(gamma!AI60,VLOOKUP(zeta!AI$1,main!$A$3:$H$102,5,FALSE)-VLOOKUP(zeta!$A60,main!$A$3:$H$102,6,FALSE),0)</f>
        <v>0</v>
      </c>
      <c r="AJ60">
        <f>IF(gamma!AJ60,VLOOKUP(zeta!AJ$1,main!$A$3:$H$102,5,FALSE)-VLOOKUP(zeta!$A60,main!$A$3:$H$102,6,FALSE),0)</f>
        <v>0</v>
      </c>
      <c r="AK60">
        <f>IF(gamma!AK60,VLOOKUP(zeta!AK$1,main!$A$3:$H$102,5,FALSE)-VLOOKUP(zeta!$A60,main!$A$3:$H$102,6,FALSE),0)</f>
        <v>0</v>
      </c>
      <c r="AL60">
        <f>IF(gamma!AL60,VLOOKUP(zeta!AL$1,main!$A$3:$H$102,5,FALSE)-VLOOKUP(zeta!$A60,main!$A$3:$H$102,6,FALSE),0)</f>
        <v>40</v>
      </c>
      <c r="AM60">
        <f>IF(gamma!AM60,VLOOKUP(zeta!AM$1,main!$A$3:$H$102,5,FALSE)-VLOOKUP(zeta!$A60,main!$A$3:$H$102,6,FALSE),0)</f>
        <v>130</v>
      </c>
      <c r="AN60">
        <f>IF(gamma!AN60,VLOOKUP(zeta!AN$1,main!$A$3:$H$102,5,FALSE)-VLOOKUP(zeta!$A60,main!$A$3:$H$102,6,FALSE),0)</f>
        <v>190</v>
      </c>
      <c r="AO60">
        <f>IF(gamma!AO60,VLOOKUP(zeta!AO$1,main!$A$3:$H$102,5,FALSE)-VLOOKUP(zeta!$A60,main!$A$3:$H$102,6,FALSE),0)</f>
        <v>0</v>
      </c>
      <c r="AP60">
        <f>IF(gamma!AP60,VLOOKUP(zeta!AP$1,main!$A$3:$H$102,5,FALSE)-VLOOKUP(zeta!$A60,main!$A$3:$H$102,6,FALSE),0)</f>
        <v>250</v>
      </c>
      <c r="AQ60">
        <f>IF(gamma!AQ60,VLOOKUP(zeta!AQ$1,main!$A$3:$H$102,5,FALSE)-VLOOKUP(zeta!$A60,main!$A$3:$H$102,6,FALSE),0)</f>
        <v>0</v>
      </c>
      <c r="AR60">
        <f>IF(gamma!AR60,VLOOKUP(zeta!AR$1,main!$A$3:$H$102,5,FALSE)-VLOOKUP(zeta!$A60,main!$A$3:$H$102,6,FALSE),0)</f>
        <v>0</v>
      </c>
      <c r="AS60">
        <f>IF(gamma!AS60,VLOOKUP(zeta!AS$1,main!$A$3:$H$102,5,FALSE)-VLOOKUP(zeta!$A60,main!$A$3:$H$102,6,FALSE),0)</f>
        <v>0</v>
      </c>
      <c r="AT60">
        <f>IF(gamma!AT60,VLOOKUP(zeta!AT$1,main!$A$3:$H$102,5,FALSE)-VLOOKUP(zeta!$A60,main!$A$3:$H$102,6,FALSE),0)</f>
        <v>0</v>
      </c>
      <c r="AU60">
        <f>IF(gamma!AU60,VLOOKUP(zeta!AU$1,main!$A$3:$H$102,5,FALSE)-VLOOKUP(zeta!$A60,main!$A$3:$H$102,6,FALSE),0)</f>
        <v>0</v>
      </c>
      <c r="AV60">
        <f>IF(gamma!AV60,VLOOKUP(zeta!AV$1,main!$A$3:$H$102,5,FALSE)-VLOOKUP(zeta!$A60,main!$A$3:$H$102,6,FALSE),0)</f>
        <v>0</v>
      </c>
      <c r="AW60">
        <f>IF(gamma!AW60,VLOOKUP(zeta!AW$1,main!$A$3:$H$102,5,FALSE)-VLOOKUP(zeta!$A60,main!$A$3:$H$102,6,FALSE),0)</f>
        <v>0</v>
      </c>
      <c r="AX60">
        <f>IF(gamma!AX60,VLOOKUP(zeta!AX$1,main!$A$3:$H$102,5,FALSE)-VLOOKUP(zeta!$A60,main!$A$3:$H$102,6,FALSE),0)</f>
        <v>0</v>
      </c>
      <c r="AY60">
        <f>IF(gamma!AY60,VLOOKUP(zeta!AY$1,main!$A$3:$H$102,5,FALSE)-VLOOKUP(zeta!$A60,main!$A$3:$H$102,6,FALSE),0)</f>
        <v>0</v>
      </c>
      <c r="AZ60">
        <f>IF(gamma!AZ60,VLOOKUP(zeta!AZ$1,main!$A$3:$H$102,5,FALSE)-VLOOKUP(zeta!$A60,main!$A$3:$H$102,6,FALSE),0)</f>
        <v>0</v>
      </c>
      <c r="BA60">
        <f>IF(gamma!BA60,VLOOKUP(zeta!BA$1,main!$A$3:$H$102,5,FALSE)-VLOOKUP(zeta!$A60,main!$A$3:$H$102,6,FALSE),0)</f>
        <v>0</v>
      </c>
      <c r="BB60">
        <f>IF(gamma!BB60,VLOOKUP(zeta!BB$1,main!$A$3:$H$102,5,FALSE)-VLOOKUP(zeta!$A60,main!$A$3:$H$102,6,FALSE),0)</f>
        <v>0</v>
      </c>
      <c r="BC60">
        <f>IF(gamma!BC60,VLOOKUP(zeta!BC$1,main!$A$3:$H$102,5,FALSE)-VLOOKUP(zeta!$A60,main!$A$3:$H$102,6,FALSE),0)</f>
        <v>0</v>
      </c>
      <c r="BD60">
        <f>IF(gamma!BD60,VLOOKUP(zeta!BD$1,main!$A$3:$H$102,5,FALSE)-VLOOKUP(zeta!$A60,main!$A$3:$H$102,6,FALSE),0)</f>
        <v>0</v>
      </c>
      <c r="BE60">
        <f>IF(gamma!BE60,VLOOKUP(zeta!BE$1,main!$A$3:$H$102,5,FALSE)-VLOOKUP(zeta!$A60,main!$A$3:$H$102,6,FALSE),0)</f>
        <v>90</v>
      </c>
      <c r="BF60">
        <f>IF(gamma!BF60,VLOOKUP(zeta!BF$1,main!$A$3:$H$102,5,FALSE)-VLOOKUP(zeta!$A60,main!$A$3:$H$102,6,FALSE),0)</f>
        <v>0</v>
      </c>
      <c r="BG60">
        <f>IF(gamma!BG60,VLOOKUP(zeta!BG$1,main!$A$3:$H$102,5,FALSE)-VLOOKUP(zeta!$A60,main!$A$3:$H$102,6,FALSE),0)</f>
        <v>0</v>
      </c>
      <c r="BH60">
        <f>IF(gamma!BH60,VLOOKUP(zeta!BH$1,main!$A$3:$H$102,5,FALSE)-VLOOKUP(zeta!$A60,main!$A$3:$H$102,6,FALSE),0)</f>
        <v>0</v>
      </c>
      <c r="BI60">
        <f>IF(gamma!BI60,VLOOKUP(zeta!BI$1,main!$A$3:$H$102,5,FALSE)-VLOOKUP(zeta!$A60,main!$A$3:$H$102,6,FALSE),0)</f>
        <v>260</v>
      </c>
      <c r="BJ60">
        <f>IF(gamma!BJ60,VLOOKUP(zeta!BJ$1,main!$A$3:$H$102,5,FALSE)-VLOOKUP(zeta!$A60,main!$A$3:$H$102,6,FALSE),0)</f>
        <v>50</v>
      </c>
      <c r="BK60">
        <f>IF(gamma!BK60,VLOOKUP(zeta!BK$1,main!$A$3:$H$102,5,FALSE)-VLOOKUP(zeta!$A60,main!$A$3:$H$102,6,FALSE),0)</f>
        <v>0</v>
      </c>
      <c r="BL60">
        <f>IF(gamma!BL60,VLOOKUP(zeta!BL$1,main!$A$3:$H$102,5,FALSE)-VLOOKUP(zeta!$A60,main!$A$3:$H$102,6,FALSE),0)</f>
        <v>0</v>
      </c>
      <c r="BM60">
        <f>IF(gamma!BM60,VLOOKUP(zeta!BM$1,main!$A$3:$H$102,5,FALSE)-VLOOKUP(zeta!$A60,main!$A$3:$H$102,6,FALSE),0)</f>
        <v>0</v>
      </c>
      <c r="BN60">
        <f>IF(gamma!BN60,VLOOKUP(zeta!BN$1,main!$A$3:$H$102,5,FALSE)-VLOOKUP(zeta!$A60,main!$A$3:$H$102,6,FALSE),0)</f>
        <v>0</v>
      </c>
      <c r="BO60">
        <f>IF(gamma!BO60,VLOOKUP(zeta!BO$1,main!$A$3:$H$102,5,FALSE)-VLOOKUP(zeta!$A60,main!$A$3:$H$102,6,FALSE),0)</f>
        <v>0</v>
      </c>
      <c r="BP60">
        <f>IF(gamma!BP60,VLOOKUP(zeta!BP$1,main!$A$3:$H$102,5,FALSE)-VLOOKUP(zeta!$A60,main!$A$3:$H$102,6,FALSE),0)</f>
        <v>0</v>
      </c>
      <c r="BQ60">
        <f>IF(gamma!BQ60,VLOOKUP(zeta!BQ$1,main!$A$3:$H$102,5,FALSE)-VLOOKUP(zeta!$A60,main!$A$3:$H$102,6,FALSE),0)</f>
        <v>0</v>
      </c>
      <c r="BR60">
        <f>IF(gamma!BR60,VLOOKUP(zeta!BR$1,main!$A$3:$H$102,5,FALSE)-VLOOKUP(zeta!$A60,main!$A$3:$H$102,6,FALSE),0)</f>
        <v>0</v>
      </c>
      <c r="BS60">
        <f>IF(gamma!BS60,VLOOKUP(zeta!BS$1,main!$A$3:$H$102,5,FALSE)-VLOOKUP(zeta!$A60,main!$A$3:$H$102,6,FALSE),0)</f>
        <v>0</v>
      </c>
      <c r="BT60">
        <f>IF(gamma!BT60,VLOOKUP(zeta!BT$1,main!$A$3:$H$102,5,FALSE)-VLOOKUP(zeta!$A60,main!$A$3:$H$102,6,FALSE),0)</f>
        <v>0</v>
      </c>
      <c r="BU60">
        <f>IF(gamma!BU60,VLOOKUP(zeta!BU$1,main!$A$3:$H$102,5,FALSE)-VLOOKUP(zeta!$A60,main!$A$3:$H$102,6,FALSE),0)</f>
        <v>0</v>
      </c>
      <c r="BV60">
        <f>IF(gamma!BV60,VLOOKUP(zeta!BV$1,main!$A$3:$H$102,5,FALSE)-VLOOKUP(zeta!$A60,main!$A$3:$H$102,6,FALSE),0)</f>
        <v>0</v>
      </c>
      <c r="BW60">
        <f>IF(gamma!BW60,VLOOKUP(zeta!BW$1,main!$A$3:$H$102,5,FALSE)-VLOOKUP(zeta!$A60,main!$A$3:$H$102,6,FALSE),0)</f>
        <v>0</v>
      </c>
      <c r="BX60">
        <f>IF(gamma!BX60,VLOOKUP(zeta!BX$1,main!$A$3:$H$102,5,FALSE)-VLOOKUP(zeta!$A60,main!$A$3:$H$102,6,FALSE),0)</f>
        <v>0</v>
      </c>
      <c r="BY60">
        <f>IF(gamma!BY60,VLOOKUP(zeta!BY$1,main!$A$3:$H$102,5,FALSE)-VLOOKUP(zeta!$A60,main!$A$3:$H$102,6,FALSE),0)</f>
        <v>0</v>
      </c>
      <c r="BZ60">
        <f>IF(gamma!BZ60,VLOOKUP(zeta!BZ$1,main!$A$3:$H$102,5,FALSE)-VLOOKUP(zeta!$A60,main!$A$3:$H$102,6,FALSE),0)</f>
        <v>0</v>
      </c>
      <c r="CA60">
        <f>IF(gamma!CA60,VLOOKUP(zeta!CA$1,main!$A$3:$H$102,5,FALSE)-VLOOKUP(zeta!$A60,main!$A$3:$H$102,6,FALSE),0)</f>
        <v>0</v>
      </c>
      <c r="CB60">
        <f>IF(gamma!CB60,VLOOKUP(zeta!CB$1,main!$A$3:$H$102,5,FALSE)-VLOOKUP(zeta!$A60,main!$A$3:$H$102,6,FALSE),0)</f>
        <v>0</v>
      </c>
      <c r="CC60">
        <f>IF(gamma!CC60,VLOOKUP(zeta!CC$1,main!$A$3:$H$102,5,FALSE)-VLOOKUP(zeta!$A60,main!$A$3:$H$102,6,FALSE),0)</f>
        <v>165</v>
      </c>
      <c r="CD60">
        <f>IF(gamma!CD60,VLOOKUP(zeta!CD$1,main!$A$3:$H$102,5,FALSE)-VLOOKUP(zeta!$A60,main!$A$3:$H$102,6,FALSE),0)</f>
        <v>0</v>
      </c>
      <c r="CE60">
        <f>IF(gamma!CE60,VLOOKUP(zeta!CE$1,main!$A$3:$H$102,5,FALSE)-VLOOKUP(zeta!$A60,main!$A$3:$H$102,6,FALSE),0)</f>
        <v>0</v>
      </c>
      <c r="CF60">
        <f>IF(gamma!CF60,VLOOKUP(zeta!CF$1,main!$A$3:$H$102,5,FALSE)-VLOOKUP(zeta!$A60,main!$A$3:$H$102,6,FALSE),0)</f>
        <v>0</v>
      </c>
      <c r="CG60">
        <f>IF(gamma!CG60,VLOOKUP(zeta!CG$1,main!$A$3:$H$102,5,FALSE)-VLOOKUP(zeta!$A60,main!$A$3:$H$102,6,FALSE),0)</f>
        <v>0</v>
      </c>
      <c r="CH60">
        <f>IF(gamma!CH60,VLOOKUP(zeta!CH$1,main!$A$3:$H$102,5,FALSE)-VLOOKUP(zeta!$A60,main!$A$3:$H$102,6,FALSE),0)</f>
        <v>50</v>
      </c>
      <c r="CI60">
        <f>IF(gamma!CI60,VLOOKUP(zeta!CI$1,main!$A$3:$H$102,5,FALSE)-VLOOKUP(zeta!$A60,main!$A$3:$H$102,6,FALSE),0)</f>
        <v>250</v>
      </c>
      <c r="CJ60">
        <f>IF(gamma!CJ60,VLOOKUP(zeta!CJ$1,main!$A$3:$H$102,5,FALSE)-VLOOKUP(zeta!$A60,main!$A$3:$H$102,6,FALSE),0)</f>
        <v>0</v>
      </c>
      <c r="CK60">
        <f>IF(gamma!CK60,VLOOKUP(zeta!CK$1,main!$A$3:$H$102,5,FALSE)-VLOOKUP(zeta!$A60,main!$A$3:$H$102,6,FALSE),0)</f>
        <v>0</v>
      </c>
      <c r="CL60">
        <f>IF(gamma!CL60,VLOOKUP(zeta!CL$1,main!$A$3:$H$102,5,FALSE)-VLOOKUP(zeta!$A60,main!$A$3:$H$102,6,FALSE),0)</f>
        <v>0</v>
      </c>
      <c r="CM60">
        <f>IF(gamma!CM60,VLOOKUP(zeta!CM$1,main!$A$3:$H$102,5,FALSE)-VLOOKUP(zeta!$A60,main!$A$3:$H$102,6,FALSE),0)</f>
        <v>0</v>
      </c>
      <c r="CN60">
        <f>IF(gamma!CN60,VLOOKUP(zeta!CN$1,main!$A$3:$H$102,5,FALSE)-VLOOKUP(zeta!$A60,main!$A$3:$H$102,6,FALSE),0)</f>
        <v>250</v>
      </c>
      <c r="CO60">
        <f>IF(gamma!CO60,VLOOKUP(zeta!CO$1,main!$A$3:$H$102,5,FALSE)-VLOOKUP(zeta!$A60,main!$A$3:$H$102,6,FALSE),0)</f>
        <v>0</v>
      </c>
      <c r="CP60">
        <f>IF(gamma!CP60,VLOOKUP(zeta!CP$1,main!$A$3:$H$102,5,FALSE)-VLOOKUP(zeta!$A60,main!$A$3:$H$102,6,FALSE),0)</f>
        <v>0</v>
      </c>
      <c r="CQ60">
        <f>IF(gamma!CQ60,VLOOKUP(zeta!CQ$1,main!$A$3:$H$102,5,FALSE)-VLOOKUP(zeta!$A60,main!$A$3:$H$102,6,FALSE),0)</f>
        <v>0</v>
      </c>
      <c r="CR60">
        <f>IF(gamma!CR60,VLOOKUP(zeta!CR$1,main!$A$3:$H$102,5,FALSE)-VLOOKUP(zeta!$A60,main!$A$3:$H$102,6,FALSE),0)</f>
        <v>0</v>
      </c>
      <c r="CS60">
        <f>IF(gamma!CS60,VLOOKUP(zeta!CS$1,main!$A$3:$H$102,5,FALSE)-VLOOKUP(zeta!$A60,main!$A$3:$H$102,6,FALSE),0)</f>
        <v>0</v>
      </c>
      <c r="CT60">
        <f>IF(gamma!CT60,VLOOKUP(zeta!CT$1,main!$A$3:$H$102,5,FALSE)-VLOOKUP(zeta!$A60,main!$A$3:$H$102,6,FALSE),0)</f>
        <v>0</v>
      </c>
      <c r="CU60">
        <f>IF(gamma!CU60,VLOOKUP(zeta!CU$1,main!$A$3:$H$102,5,FALSE)-VLOOKUP(zeta!$A60,main!$A$3:$H$102,6,FALSE),0)</f>
        <v>0</v>
      </c>
      <c r="CV60">
        <f>IF(gamma!CV60,VLOOKUP(zeta!CV$1,main!$A$3:$H$102,5,FALSE)-VLOOKUP(zeta!$A60,main!$A$3:$H$102,6,FALSE),0)</f>
        <v>0</v>
      </c>
      <c r="CW60">
        <f>IF(gamma!CW60,VLOOKUP(zeta!CW$1,main!$A$3:$H$102,5,FALSE)-VLOOKUP(zeta!$A60,main!$A$3:$H$102,6,FALSE),0)</f>
        <v>0</v>
      </c>
      <c r="CX60">
        <f>IF(gamma!CX60,VLOOKUP(zeta!CX$1,main!$A$3:$H$102,5,FALSE)-VLOOKUP(zeta!$A60,main!$A$3:$H$102,6,FALSE),0)</f>
        <v>55</v>
      </c>
    </row>
    <row r="61" spans="1:102" x14ac:dyDescent="0.25">
      <c r="A61">
        <f t="shared" si="1"/>
        <v>59</v>
      </c>
      <c r="B61">
        <v>0</v>
      </c>
      <c r="C61">
        <f>IF(gamma!C61,VLOOKUP(zeta!C$1,main!$A$3:$H$102,5,FALSE)-VLOOKUP(zeta!$A61,main!$A$3:$H$102,6,FALSE),0)</f>
        <v>0</v>
      </c>
      <c r="D61">
        <f>IF(gamma!D61,VLOOKUP(zeta!D$1,main!$A$3:$H$102,5,FALSE)-VLOOKUP(zeta!$A61,main!$A$3:$H$102,6,FALSE),0)</f>
        <v>0</v>
      </c>
      <c r="E61">
        <f>IF(gamma!E61,VLOOKUP(zeta!E$1,main!$A$3:$H$102,5,FALSE)-VLOOKUP(zeta!$A61,main!$A$3:$H$102,6,FALSE),0)</f>
        <v>0</v>
      </c>
      <c r="F61">
        <f>IF(gamma!F61,VLOOKUP(zeta!F$1,main!$A$3:$H$102,5,FALSE)-VLOOKUP(zeta!$A61,main!$A$3:$H$102,6,FALSE),0)</f>
        <v>0</v>
      </c>
      <c r="G61">
        <f>IF(gamma!G61,VLOOKUP(zeta!G$1,main!$A$3:$H$102,5,FALSE)-VLOOKUP(zeta!$A61,main!$A$3:$H$102,6,FALSE),0)</f>
        <v>0</v>
      </c>
      <c r="H61">
        <f>IF(gamma!H61,VLOOKUP(zeta!H$1,main!$A$3:$H$102,5,FALSE)-VLOOKUP(zeta!$A61,main!$A$3:$H$102,6,FALSE),0)</f>
        <v>0</v>
      </c>
      <c r="I61">
        <f>IF(gamma!I61,VLOOKUP(zeta!I$1,main!$A$3:$H$102,5,FALSE)-VLOOKUP(zeta!$A61,main!$A$3:$H$102,6,FALSE),0)</f>
        <v>0</v>
      </c>
      <c r="J61">
        <f>IF(gamma!J61,VLOOKUP(zeta!J$1,main!$A$3:$H$102,5,FALSE)-VLOOKUP(zeta!$A61,main!$A$3:$H$102,6,FALSE),0)</f>
        <v>0</v>
      </c>
      <c r="K61">
        <f>IF(gamma!K61,VLOOKUP(zeta!K$1,main!$A$3:$H$102,5,FALSE)-VLOOKUP(zeta!$A61,main!$A$3:$H$102,6,FALSE),0)</f>
        <v>0</v>
      </c>
      <c r="L61">
        <f>IF(gamma!L61,VLOOKUP(zeta!L$1,main!$A$3:$H$102,5,FALSE)-VLOOKUP(zeta!$A61,main!$A$3:$H$102,6,FALSE),0)</f>
        <v>0</v>
      </c>
      <c r="M61">
        <f>IF(gamma!M61,VLOOKUP(zeta!M$1,main!$A$3:$H$102,5,FALSE)-VLOOKUP(zeta!$A61,main!$A$3:$H$102,6,FALSE),0)</f>
        <v>0</v>
      </c>
      <c r="N61">
        <f>IF(gamma!N61,VLOOKUP(zeta!N$1,main!$A$3:$H$102,5,FALSE)-VLOOKUP(zeta!$A61,main!$A$3:$H$102,6,FALSE),0)</f>
        <v>0</v>
      </c>
      <c r="O61">
        <f>IF(gamma!O61,VLOOKUP(zeta!O$1,main!$A$3:$H$102,5,FALSE)-VLOOKUP(zeta!$A61,main!$A$3:$H$102,6,FALSE),0)</f>
        <v>0</v>
      </c>
      <c r="P61">
        <f>IF(gamma!P61,VLOOKUP(zeta!P$1,main!$A$3:$H$102,5,FALSE)-VLOOKUP(zeta!$A61,main!$A$3:$H$102,6,FALSE),0)</f>
        <v>0</v>
      </c>
      <c r="Q61">
        <f>IF(gamma!Q61,VLOOKUP(zeta!Q$1,main!$A$3:$H$102,5,FALSE)-VLOOKUP(zeta!$A61,main!$A$3:$H$102,6,FALSE),0)</f>
        <v>0</v>
      </c>
      <c r="R61">
        <f>IF(gamma!R61,VLOOKUP(zeta!R$1,main!$A$3:$H$102,5,FALSE)-VLOOKUP(zeta!$A61,main!$A$3:$H$102,6,FALSE),0)</f>
        <v>0</v>
      </c>
      <c r="S61">
        <f>IF(gamma!S61,VLOOKUP(zeta!S$1,main!$A$3:$H$102,5,FALSE)-VLOOKUP(zeta!$A61,main!$A$3:$H$102,6,FALSE),0)</f>
        <v>0</v>
      </c>
      <c r="T61">
        <f>IF(gamma!T61,VLOOKUP(zeta!T$1,main!$A$3:$H$102,5,FALSE)-VLOOKUP(zeta!$A61,main!$A$3:$H$102,6,FALSE),0)</f>
        <v>0</v>
      </c>
      <c r="U61">
        <f>IF(gamma!U61,VLOOKUP(zeta!U$1,main!$A$3:$H$102,5,FALSE)-VLOOKUP(zeta!$A61,main!$A$3:$H$102,6,FALSE),0)</f>
        <v>0</v>
      </c>
      <c r="V61">
        <f>IF(gamma!V61,VLOOKUP(zeta!V$1,main!$A$3:$H$102,5,FALSE)-VLOOKUP(zeta!$A61,main!$A$3:$H$102,6,FALSE),0)</f>
        <v>0</v>
      </c>
      <c r="W61">
        <f>IF(gamma!W61,VLOOKUP(zeta!W$1,main!$A$3:$H$102,5,FALSE)-VLOOKUP(zeta!$A61,main!$A$3:$H$102,6,FALSE),0)</f>
        <v>0</v>
      </c>
      <c r="X61">
        <f>IF(gamma!X61,VLOOKUP(zeta!X$1,main!$A$3:$H$102,5,FALSE)-VLOOKUP(zeta!$A61,main!$A$3:$H$102,6,FALSE),0)</f>
        <v>0</v>
      </c>
      <c r="Y61">
        <f>IF(gamma!Y61,VLOOKUP(zeta!Y$1,main!$A$3:$H$102,5,FALSE)-VLOOKUP(zeta!$A61,main!$A$3:$H$102,6,FALSE),0)</f>
        <v>0</v>
      </c>
      <c r="Z61">
        <f>IF(gamma!Z61,VLOOKUP(zeta!Z$1,main!$A$3:$H$102,5,FALSE)-VLOOKUP(zeta!$A61,main!$A$3:$H$102,6,FALSE),0)</f>
        <v>0</v>
      </c>
      <c r="AA61">
        <f>IF(gamma!AA61,VLOOKUP(zeta!AA$1,main!$A$3:$H$102,5,FALSE)-VLOOKUP(zeta!$A61,main!$A$3:$H$102,6,FALSE),0)</f>
        <v>0</v>
      </c>
      <c r="AB61">
        <f>IF(gamma!AB61,VLOOKUP(zeta!AB$1,main!$A$3:$H$102,5,FALSE)-VLOOKUP(zeta!$A61,main!$A$3:$H$102,6,FALSE),0)</f>
        <v>0</v>
      </c>
      <c r="AC61">
        <f>IF(gamma!AC61,VLOOKUP(zeta!AC$1,main!$A$3:$H$102,5,FALSE)-VLOOKUP(zeta!$A61,main!$A$3:$H$102,6,FALSE),0)</f>
        <v>0</v>
      </c>
      <c r="AD61">
        <f>IF(gamma!AD61,VLOOKUP(zeta!AD$1,main!$A$3:$H$102,5,FALSE)-VLOOKUP(zeta!$A61,main!$A$3:$H$102,6,FALSE),0)</f>
        <v>0</v>
      </c>
      <c r="AE61">
        <f>IF(gamma!AE61,VLOOKUP(zeta!AE$1,main!$A$3:$H$102,5,FALSE)-VLOOKUP(zeta!$A61,main!$A$3:$H$102,6,FALSE),0)</f>
        <v>0</v>
      </c>
      <c r="AF61">
        <f>IF(gamma!AF61,VLOOKUP(zeta!AF$1,main!$A$3:$H$102,5,FALSE)-VLOOKUP(zeta!$A61,main!$A$3:$H$102,6,FALSE),0)</f>
        <v>0</v>
      </c>
      <c r="AG61">
        <f>IF(gamma!AG61,VLOOKUP(zeta!AG$1,main!$A$3:$H$102,5,FALSE)-VLOOKUP(zeta!$A61,main!$A$3:$H$102,6,FALSE),0)</f>
        <v>0</v>
      </c>
      <c r="AH61">
        <f>IF(gamma!AH61,VLOOKUP(zeta!AH$1,main!$A$3:$H$102,5,FALSE)-VLOOKUP(zeta!$A61,main!$A$3:$H$102,6,FALSE),0)</f>
        <v>0</v>
      </c>
      <c r="AI61">
        <f>IF(gamma!AI61,VLOOKUP(zeta!AI$1,main!$A$3:$H$102,5,FALSE)-VLOOKUP(zeta!$A61,main!$A$3:$H$102,6,FALSE),0)</f>
        <v>0</v>
      </c>
      <c r="AJ61">
        <f>IF(gamma!AJ61,VLOOKUP(zeta!AJ$1,main!$A$3:$H$102,5,FALSE)-VLOOKUP(zeta!$A61,main!$A$3:$H$102,6,FALSE),0)</f>
        <v>0</v>
      </c>
      <c r="AK61">
        <f>IF(gamma!AK61,VLOOKUP(zeta!AK$1,main!$A$3:$H$102,5,FALSE)-VLOOKUP(zeta!$A61,main!$A$3:$H$102,6,FALSE),0)</f>
        <v>0</v>
      </c>
      <c r="AL61">
        <f>IF(gamma!AL61,VLOOKUP(zeta!AL$1,main!$A$3:$H$102,5,FALSE)-VLOOKUP(zeta!$A61,main!$A$3:$H$102,6,FALSE),0)</f>
        <v>0</v>
      </c>
      <c r="AM61">
        <f>IF(gamma!AM61,VLOOKUP(zeta!AM$1,main!$A$3:$H$102,5,FALSE)-VLOOKUP(zeta!$A61,main!$A$3:$H$102,6,FALSE),0)</f>
        <v>0</v>
      </c>
      <c r="AN61">
        <f>IF(gamma!AN61,VLOOKUP(zeta!AN$1,main!$A$3:$H$102,5,FALSE)-VLOOKUP(zeta!$A61,main!$A$3:$H$102,6,FALSE),0)</f>
        <v>0</v>
      </c>
      <c r="AO61">
        <f>IF(gamma!AO61,VLOOKUP(zeta!AO$1,main!$A$3:$H$102,5,FALSE)-VLOOKUP(zeta!$A61,main!$A$3:$H$102,6,FALSE),0)</f>
        <v>0</v>
      </c>
      <c r="AP61">
        <f>IF(gamma!AP61,VLOOKUP(zeta!AP$1,main!$A$3:$H$102,5,FALSE)-VLOOKUP(zeta!$A61,main!$A$3:$H$102,6,FALSE),0)</f>
        <v>0</v>
      </c>
      <c r="AQ61">
        <f>IF(gamma!AQ61,VLOOKUP(zeta!AQ$1,main!$A$3:$H$102,5,FALSE)-VLOOKUP(zeta!$A61,main!$A$3:$H$102,6,FALSE),0)</f>
        <v>0</v>
      </c>
      <c r="AR61">
        <f>IF(gamma!AR61,VLOOKUP(zeta!AR$1,main!$A$3:$H$102,5,FALSE)-VLOOKUP(zeta!$A61,main!$A$3:$H$102,6,FALSE),0)</f>
        <v>0</v>
      </c>
      <c r="AS61">
        <f>IF(gamma!AS61,VLOOKUP(zeta!AS$1,main!$A$3:$H$102,5,FALSE)-VLOOKUP(zeta!$A61,main!$A$3:$H$102,6,FALSE),0)</f>
        <v>0</v>
      </c>
      <c r="AT61">
        <f>IF(gamma!AT61,VLOOKUP(zeta!AT$1,main!$A$3:$H$102,5,FALSE)-VLOOKUP(zeta!$A61,main!$A$3:$H$102,6,FALSE),0)</f>
        <v>0</v>
      </c>
      <c r="AU61">
        <f>IF(gamma!AU61,VLOOKUP(zeta!AU$1,main!$A$3:$H$102,5,FALSE)-VLOOKUP(zeta!$A61,main!$A$3:$H$102,6,FALSE),0)</f>
        <v>0</v>
      </c>
      <c r="AV61">
        <f>IF(gamma!AV61,VLOOKUP(zeta!AV$1,main!$A$3:$H$102,5,FALSE)-VLOOKUP(zeta!$A61,main!$A$3:$H$102,6,FALSE),0)</f>
        <v>0</v>
      </c>
      <c r="AW61">
        <f>IF(gamma!AW61,VLOOKUP(zeta!AW$1,main!$A$3:$H$102,5,FALSE)-VLOOKUP(zeta!$A61,main!$A$3:$H$102,6,FALSE),0)</f>
        <v>0</v>
      </c>
      <c r="AX61">
        <f>IF(gamma!AX61,VLOOKUP(zeta!AX$1,main!$A$3:$H$102,5,FALSE)-VLOOKUP(zeta!$A61,main!$A$3:$H$102,6,FALSE),0)</f>
        <v>0</v>
      </c>
      <c r="AY61">
        <f>IF(gamma!AY61,VLOOKUP(zeta!AY$1,main!$A$3:$H$102,5,FALSE)-VLOOKUP(zeta!$A61,main!$A$3:$H$102,6,FALSE),0)</f>
        <v>0</v>
      </c>
      <c r="AZ61">
        <f>IF(gamma!AZ61,VLOOKUP(zeta!AZ$1,main!$A$3:$H$102,5,FALSE)-VLOOKUP(zeta!$A61,main!$A$3:$H$102,6,FALSE),0)</f>
        <v>0</v>
      </c>
      <c r="BA61">
        <f>IF(gamma!BA61,VLOOKUP(zeta!BA$1,main!$A$3:$H$102,5,FALSE)-VLOOKUP(zeta!$A61,main!$A$3:$H$102,6,FALSE),0)</f>
        <v>0</v>
      </c>
      <c r="BB61">
        <f>IF(gamma!BB61,VLOOKUP(zeta!BB$1,main!$A$3:$H$102,5,FALSE)-VLOOKUP(zeta!$A61,main!$A$3:$H$102,6,FALSE),0)</f>
        <v>0</v>
      </c>
      <c r="BC61">
        <f>IF(gamma!BC61,VLOOKUP(zeta!BC$1,main!$A$3:$H$102,5,FALSE)-VLOOKUP(zeta!$A61,main!$A$3:$H$102,6,FALSE),0)</f>
        <v>0</v>
      </c>
      <c r="BD61">
        <f>IF(gamma!BD61,VLOOKUP(zeta!BD$1,main!$A$3:$H$102,5,FALSE)-VLOOKUP(zeta!$A61,main!$A$3:$H$102,6,FALSE),0)</f>
        <v>0</v>
      </c>
      <c r="BE61">
        <f>IF(gamma!BE61,VLOOKUP(zeta!BE$1,main!$A$3:$H$102,5,FALSE)-VLOOKUP(zeta!$A61,main!$A$3:$H$102,6,FALSE),0)</f>
        <v>0</v>
      </c>
      <c r="BF61">
        <f>IF(gamma!BF61,VLOOKUP(zeta!BF$1,main!$A$3:$H$102,5,FALSE)-VLOOKUP(zeta!$A61,main!$A$3:$H$102,6,FALSE),0)</f>
        <v>0</v>
      </c>
      <c r="BG61">
        <f>IF(gamma!BG61,VLOOKUP(zeta!BG$1,main!$A$3:$H$102,5,FALSE)-VLOOKUP(zeta!$A61,main!$A$3:$H$102,6,FALSE),0)</f>
        <v>0</v>
      </c>
      <c r="BH61">
        <f>IF(gamma!BH61,VLOOKUP(zeta!BH$1,main!$A$3:$H$102,5,FALSE)-VLOOKUP(zeta!$A61,main!$A$3:$H$102,6,FALSE),0)</f>
        <v>0</v>
      </c>
      <c r="BI61">
        <f>IF(gamma!BI61,VLOOKUP(zeta!BI$1,main!$A$3:$H$102,5,FALSE)-VLOOKUP(zeta!$A61,main!$A$3:$H$102,6,FALSE),0)</f>
        <v>0</v>
      </c>
      <c r="BJ61">
        <f>IF(gamma!BJ61,VLOOKUP(zeta!BJ$1,main!$A$3:$H$102,5,FALSE)-VLOOKUP(zeta!$A61,main!$A$3:$H$102,6,FALSE),0)</f>
        <v>0</v>
      </c>
      <c r="BK61">
        <f>IF(gamma!BK61,VLOOKUP(zeta!BK$1,main!$A$3:$H$102,5,FALSE)-VLOOKUP(zeta!$A61,main!$A$3:$H$102,6,FALSE),0)</f>
        <v>0</v>
      </c>
      <c r="BL61">
        <f>IF(gamma!BL61,VLOOKUP(zeta!BL$1,main!$A$3:$H$102,5,FALSE)-VLOOKUP(zeta!$A61,main!$A$3:$H$102,6,FALSE),0)</f>
        <v>0</v>
      </c>
      <c r="BM61">
        <f>IF(gamma!BM61,VLOOKUP(zeta!BM$1,main!$A$3:$H$102,5,FALSE)-VLOOKUP(zeta!$A61,main!$A$3:$H$102,6,FALSE),0)</f>
        <v>0</v>
      </c>
      <c r="BN61">
        <f>IF(gamma!BN61,VLOOKUP(zeta!BN$1,main!$A$3:$H$102,5,FALSE)-VLOOKUP(zeta!$A61,main!$A$3:$H$102,6,FALSE),0)</f>
        <v>0</v>
      </c>
      <c r="BO61">
        <f>IF(gamma!BO61,VLOOKUP(zeta!BO$1,main!$A$3:$H$102,5,FALSE)-VLOOKUP(zeta!$A61,main!$A$3:$H$102,6,FALSE),0)</f>
        <v>0</v>
      </c>
      <c r="BP61">
        <f>IF(gamma!BP61,VLOOKUP(zeta!BP$1,main!$A$3:$H$102,5,FALSE)-VLOOKUP(zeta!$A61,main!$A$3:$H$102,6,FALSE),0)</f>
        <v>0</v>
      </c>
      <c r="BQ61">
        <f>IF(gamma!BQ61,VLOOKUP(zeta!BQ$1,main!$A$3:$H$102,5,FALSE)-VLOOKUP(zeta!$A61,main!$A$3:$H$102,6,FALSE),0)</f>
        <v>0</v>
      </c>
      <c r="BR61">
        <f>IF(gamma!BR61,VLOOKUP(zeta!BR$1,main!$A$3:$H$102,5,FALSE)-VLOOKUP(zeta!$A61,main!$A$3:$H$102,6,FALSE),0)</f>
        <v>0</v>
      </c>
      <c r="BS61">
        <f>IF(gamma!BS61,VLOOKUP(zeta!BS$1,main!$A$3:$H$102,5,FALSE)-VLOOKUP(zeta!$A61,main!$A$3:$H$102,6,FALSE),0)</f>
        <v>0</v>
      </c>
      <c r="BT61">
        <f>IF(gamma!BT61,VLOOKUP(zeta!BT$1,main!$A$3:$H$102,5,FALSE)-VLOOKUP(zeta!$A61,main!$A$3:$H$102,6,FALSE),0)</f>
        <v>0</v>
      </c>
      <c r="BU61">
        <f>IF(gamma!BU61,VLOOKUP(zeta!BU$1,main!$A$3:$H$102,5,FALSE)-VLOOKUP(zeta!$A61,main!$A$3:$H$102,6,FALSE),0)</f>
        <v>0</v>
      </c>
      <c r="BV61">
        <f>IF(gamma!BV61,VLOOKUP(zeta!BV$1,main!$A$3:$H$102,5,FALSE)-VLOOKUP(zeta!$A61,main!$A$3:$H$102,6,FALSE),0)</f>
        <v>0</v>
      </c>
      <c r="BW61">
        <f>IF(gamma!BW61,VLOOKUP(zeta!BW$1,main!$A$3:$H$102,5,FALSE)-VLOOKUP(zeta!$A61,main!$A$3:$H$102,6,FALSE),0)</f>
        <v>0</v>
      </c>
      <c r="BX61">
        <f>IF(gamma!BX61,VLOOKUP(zeta!BX$1,main!$A$3:$H$102,5,FALSE)-VLOOKUP(zeta!$A61,main!$A$3:$H$102,6,FALSE),0)</f>
        <v>0</v>
      </c>
      <c r="BY61">
        <f>IF(gamma!BY61,VLOOKUP(zeta!BY$1,main!$A$3:$H$102,5,FALSE)-VLOOKUP(zeta!$A61,main!$A$3:$H$102,6,FALSE),0)</f>
        <v>0</v>
      </c>
      <c r="BZ61">
        <f>IF(gamma!BZ61,VLOOKUP(zeta!BZ$1,main!$A$3:$H$102,5,FALSE)-VLOOKUP(zeta!$A61,main!$A$3:$H$102,6,FALSE),0)</f>
        <v>0</v>
      </c>
      <c r="CA61">
        <f>IF(gamma!CA61,VLOOKUP(zeta!CA$1,main!$A$3:$H$102,5,FALSE)-VLOOKUP(zeta!$A61,main!$A$3:$H$102,6,FALSE),0)</f>
        <v>0</v>
      </c>
      <c r="CB61">
        <f>IF(gamma!CB61,VLOOKUP(zeta!CB$1,main!$A$3:$H$102,5,FALSE)-VLOOKUP(zeta!$A61,main!$A$3:$H$102,6,FALSE),0)</f>
        <v>0</v>
      </c>
      <c r="CC61">
        <f>IF(gamma!CC61,VLOOKUP(zeta!CC$1,main!$A$3:$H$102,5,FALSE)-VLOOKUP(zeta!$A61,main!$A$3:$H$102,6,FALSE),0)</f>
        <v>0</v>
      </c>
      <c r="CD61">
        <f>IF(gamma!CD61,VLOOKUP(zeta!CD$1,main!$A$3:$H$102,5,FALSE)-VLOOKUP(zeta!$A61,main!$A$3:$H$102,6,FALSE),0)</f>
        <v>0</v>
      </c>
      <c r="CE61">
        <f>IF(gamma!CE61,VLOOKUP(zeta!CE$1,main!$A$3:$H$102,5,FALSE)-VLOOKUP(zeta!$A61,main!$A$3:$H$102,6,FALSE),0)</f>
        <v>0</v>
      </c>
      <c r="CF61">
        <f>IF(gamma!CF61,VLOOKUP(zeta!CF$1,main!$A$3:$H$102,5,FALSE)-VLOOKUP(zeta!$A61,main!$A$3:$H$102,6,FALSE),0)</f>
        <v>0</v>
      </c>
      <c r="CG61">
        <f>IF(gamma!CG61,VLOOKUP(zeta!CG$1,main!$A$3:$H$102,5,FALSE)-VLOOKUP(zeta!$A61,main!$A$3:$H$102,6,FALSE),0)</f>
        <v>0</v>
      </c>
      <c r="CH61">
        <f>IF(gamma!CH61,VLOOKUP(zeta!CH$1,main!$A$3:$H$102,5,FALSE)-VLOOKUP(zeta!$A61,main!$A$3:$H$102,6,FALSE),0)</f>
        <v>0</v>
      </c>
      <c r="CI61">
        <f>IF(gamma!CI61,VLOOKUP(zeta!CI$1,main!$A$3:$H$102,5,FALSE)-VLOOKUP(zeta!$A61,main!$A$3:$H$102,6,FALSE),0)</f>
        <v>0</v>
      </c>
      <c r="CJ61">
        <f>IF(gamma!CJ61,VLOOKUP(zeta!CJ$1,main!$A$3:$H$102,5,FALSE)-VLOOKUP(zeta!$A61,main!$A$3:$H$102,6,FALSE),0)</f>
        <v>0</v>
      </c>
      <c r="CK61">
        <f>IF(gamma!CK61,VLOOKUP(zeta!CK$1,main!$A$3:$H$102,5,FALSE)-VLOOKUP(zeta!$A61,main!$A$3:$H$102,6,FALSE),0)</f>
        <v>0</v>
      </c>
      <c r="CL61">
        <f>IF(gamma!CL61,VLOOKUP(zeta!CL$1,main!$A$3:$H$102,5,FALSE)-VLOOKUP(zeta!$A61,main!$A$3:$H$102,6,FALSE),0)</f>
        <v>0</v>
      </c>
      <c r="CM61">
        <f>IF(gamma!CM61,VLOOKUP(zeta!CM$1,main!$A$3:$H$102,5,FALSE)-VLOOKUP(zeta!$A61,main!$A$3:$H$102,6,FALSE),0)</f>
        <v>0</v>
      </c>
      <c r="CN61">
        <f>IF(gamma!CN61,VLOOKUP(zeta!CN$1,main!$A$3:$H$102,5,FALSE)-VLOOKUP(zeta!$A61,main!$A$3:$H$102,6,FALSE),0)</f>
        <v>0</v>
      </c>
      <c r="CO61">
        <f>IF(gamma!CO61,VLOOKUP(zeta!CO$1,main!$A$3:$H$102,5,FALSE)-VLOOKUP(zeta!$A61,main!$A$3:$H$102,6,FALSE),0)</f>
        <v>0</v>
      </c>
      <c r="CP61">
        <f>IF(gamma!CP61,VLOOKUP(zeta!CP$1,main!$A$3:$H$102,5,FALSE)-VLOOKUP(zeta!$A61,main!$A$3:$H$102,6,FALSE),0)</f>
        <v>0</v>
      </c>
      <c r="CQ61">
        <f>IF(gamma!CQ61,VLOOKUP(zeta!CQ$1,main!$A$3:$H$102,5,FALSE)-VLOOKUP(zeta!$A61,main!$A$3:$H$102,6,FALSE),0)</f>
        <v>0</v>
      </c>
      <c r="CR61">
        <f>IF(gamma!CR61,VLOOKUP(zeta!CR$1,main!$A$3:$H$102,5,FALSE)-VLOOKUP(zeta!$A61,main!$A$3:$H$102,6,FALSE),0)</f>
        <v>0</v>
      </c>
      <c r="CS61">
        <f>IF(gamma!CS61,VLOOKUP(zeta!CS$1,main!$A$3:$H$102,5,FALSE)-VLOOKUP(zeta!$A61,main!$A$3:$H$102,6,FALSE),0)</f>
        <v>0</v>
      </c>
      <c r="CT61">
        <f>IF(gamma!CT61,VLOOKUP(zeta!CT$1,main!$A$3:$H$102,5,FALSE)-VLOOKUP(zeta!$A61,main!$A$3:$H$102,6,FALSE),0)</f>
        <v>0</v>
      </c>
      <c r="CU61">
        <f>IF(gamma!CU61,VLOOKUP(zeta!CU$1,main!$A$3:$H$102,5,FALSE)-VLOOKUP(zeta!$A61,main!$A$3:$H$102,6,FALSE),0)</f>
        <v>0</v>
      </c>
      <c r="CV61">
        <f>IF(gamma!CV61,VLOOKUP(zeta!CV$1,main!$A$3:$H$102,5,FALSE)-VLOOKUP(zeta!$A61,main!$A$3:$H$102,6,FALSE),0)</f>
        <v>0</v>
      </c>
      <c r="CW61">
        <f>IF(gamma!CW61,VLOOKUP(zeta!CW$1,main!$A$3:$H$102,5,FALSE)-VLOOKUP(zeta!$A61,main!$A$3:$H$102,6,FALSE),0)</f>
        <v>0</v>
      </c>
      <c r="CX61">
        <f>IF(gamma!CX61,VLOOKUP(zeta!CX$1,main!$A$3:$H$102,5,FALSE)-VLOOKUP(zeta!$A61,main!$A$3:$H$102,6,FALSE),0)</f>
        <v>0</v>
      </c>
    </row>
    <row r="62" spans="1:102" x14ac:dyDescent="0.25">
      <c r="A62">
        <f t="shared" si="1"/>
        <v>60</v>
      </c>
      <c r="B62">
        <v>0</v>
      </c>
      <c r="C62">
        <f>IF(gamma!C62,VLOOKUP(zeta!C$1,main!$A$3:$H$102,5,FALSE)-VLOOKUP(zeta!$A62,main!$A$3:$H$102,6,FALSE),0)</f>
        <v>0</v>
      </c>
      <c r="D62">
        <f>IF(gamma!D62,VLOOKUP(zeta!D$1,main!$A$3:$H$102,5,FALSE)-VLOOKUP(zeta!$A62,main!$A$3:$H$102,6,FALSE),0)</f>
        <v>0</v>
      </c>
      <c r="E62">
        <f>IF(gamma!E62,VLOOKUP(zeta!E$1,main!$A$3:$H$102,5,FALSE)-VLOOKUP(zeta!$A62,main!$A$3:$H$102,6,FALSE),0)</f>
        <v>0</v>
      </c>
      <c r="F62">
        <f>IF(gamma!F62,VLOOKUP(zeta!F$1,main!$A$3:$H$102,5,FALSE)-VLOOKUP(zeta!$A62,main!$A$3:$H$102,6,FALSE),0)</f>
        <v>0</v>
      </c>
      <c r="G62">
        <f>IF(gamma!G62,VLOOKUP(zeta!G$1,main!$A$3:$H$102,5,FALSE)-VLOOKUP(zeta!$A62,main!$A$3:$H$102,6,FALSE),0)</f>
        <v>0</v>
      </c>
      <c r="H62">
        <f>IF(gamma!H62,VLOOKUP(zeta!H$1,main!$A$3:$H$102,5,FALSE)-VLOOKUP(zeta!$A62,main!$A$3:$H$102,6,FALSE),0)</f>
        <v>0</v>
      </c>
      <c r="I62">
        <f>IF(gamma!I62,VLOOKUP(zeta!I$1,main!$A$3:$H$102,5,FALSE)-VLOOKUP(zeta!$A62,main!$A$3:$H$102,6,FALSE),0)</f>
        <v>0</v>
      </c>
      <c r="J62">
        <f>IF(gamma!J62,VLOOKUP(zeta!J$1,main!$A$3:$H$102,5,FALSE)-VLOOKUP(zeta!$A62,main!$A$3:$H$102,6,FALSE),0)</f>
        <v>0</v>
      </c>
      <c r="K62">
        <f>IF(gamma!K62,VLOOKUP(zeta!K$1,main!$A$3:$H$102,5,FALSE)-VLOOKUP(zeta!$A62,main!$A$3:$H$102,6,FALSE),0)</f>
        <v>0</v>
      </c>
      <c r="L62">
        <f>IF(gamma!L62,VLOOKUP(zeta!L$1,main!$A$3:$H$102,5,FALSE)-VLOOKUP(zeta!$A62,main!$A$3:$H$102,6,FALSE),0)</f>
        <v>100</v>
      </c>
      <c r="M62">
        <f>IF(gamma!M62,VLOOKUP(zeta!M$1,main!$A$3:$H$102,5,FALSE)-VLOOKUP(zeta!$A62,main!$A$3:$H$102,6,FALSE),0)</f>
        <v>0</v>
      </c>
      <c r="N62">
        <f>IF(gamma!N62,VLOOKUP(zeta!N$1,main!$A$3:$H$102,5,FALSE)-VLOOKUP(zeta!$A62,main!$A$3:$H$102,6,FALSE),0)</f>
        <v>0</v>
      </c>
      <c r="O62">
        <f>IF(gamma!O62,VLOOKUP(zeta!O$1,main!$A$3:$H$102,5,FALSE)-VLOOKUP(zeta!$A62,main!$A$3:$H$102,6,FALSE),0)</f>
        <v>0</v>
      </c>
      <c r="P62">
        <f>IF(gamma!P62,VLOOKUP(zeta!P$1,main!$A$3:$H$102,5,FALSE)-VLOOKUP(zeta!$A62,main!$A$3:$H$102,6,FALSE),0)</f>
        <v>0</v>
      </c>
      <c r="Q62">
        <f>IF(gamma!Q62,VLOOKUP(zeta!Q$1,main!$A$3:$H$102,5,FALSE)-VLOOKUP(zeta!$A62,main!$A$3:$H$102,6,FALSE),0)</f>
        <v>0</v>
      </c>
      <c r="R62">
        <f>IF(gamma!R62,VLOOKUP(zeta!R$1,main!$A$3:$H$102,5,FALSE)-VLOOKUP(zeta!$A62,main!$A$3:$H$102,6,FALSE),0)</f>
        <v>0</v>
      </c>
      <c r="S62">
        <f>IF(gamma!S62,VLOOKUP(zeta!S$1,main!$A$3:$H$102,5,FALSE)-VLOOKUP(zeta!$A62,main!$A$3:$H$102,6,FALSE),0)</f>
        <v>0</v>
      </c>
      <c r="T62">
        <f>IF(gamma!T62,VLOOKUP(zeta!T$1,main!$A$3:$H$102,5,FALSE)-VLOOKUP(zeta!$A62,main!$A$3:$H$102,6,FALSE),0)</f>
        <v>0</v>
      </c>
      <c r="U62">
        <f>IF(gamma!U62,VLOOKUP(zeta!U$1,main!$A$3:$H$102,5,FALSE)-VLOOKUP(zeta!$A62,main!$A$3:$H$102,6,FALSE),0)</f>
        <v>65</v>
      </c>
      <c r="V62">
        <f>IF(gamma!V62,VLOOKUP(zeta!V$1,main!$A$3:$H$102,5,FALSE)-VLOOKUP(zeta!$A62,main!$A$3:$H$102,6,FALSE),0)</f>
        <v>125</v>
      </c>
      <c r="W62">
        <f>IF(gamma!W62,VLOOKUP(zeta!W$1,main!$A$3:$H$102,5,FALSE)-VLOOKUP(zeta!$A62,main!$A$3:$H$102,6,FALSE),0)</f>
        <v>0</v>
      </c>
      <c r="X62">
        <f>IF(gamma!X62,VLOOKUP(zeta!X$1,main!$A$3:$H$102,5,FALSE)-VLOOKUP(zeta!$A62,main!$A$3:$H$102,6,FALSE),0)</f>
        <v>0</v>
      </c>
      <c r="Y62">
        <f>IF(gamma!Y62,VLOOKUP(zeta!Y$1,main!$A$3:$H$102,5,FALSE)-VLOOKUP(zeta!$A62,main!$A$3:$H$102,6,FALSE),0)</f>
        <v>0</v>
      </c>
      <c r="Z62">
        <f>IF(gamma!Z62,VLOOKUP(zeta!Z$1,main!$A$3:$H$102,5,FALSE)-VLOOKUP(zeta!$A62,main!$A$3:$H$102,6,FALSE),0)</f>
        <v>0</v>
      </c>
      <c r="AA62">
        <f>IF(gamma!AA62,VLOOKUP(zeta!AA$1,main!$A$3:$H$102,5,FALSE)-VLOOKUP(zeta!$A62,main!$A$3:$H$102,6,FALSE),0)</f>
        <v>30</v>
      </c>
      <c r="AB62">
        <f>IF(gamma!AB62,VLOOKUP(zeta!AB$1,main!$A$3:$H$102,5,FALSE)-VLOOKUP(zeta!$A62,main!$A$3:$H$102,6,FALSE),0)</f>
        <v>0</v>
      </c>
      <c r="AC62">
        <f>IF(gamma!AC62,VLOOKUP(zeta!AC$1,main!$A$3:$H$102,5,FALSE)-VLOOKUP(zeta!$A62,main!$A$3:$H$102,6,FALSE),0)</f>
        <v>0</v>
      </c>
      <c r="AD62">
        <f>IF(gamma!AD62,VLOOKUP(zeta!AD$1,main!$A$3:$H$102,5,FALSE)-VLOOKUP(zeta!$A62,main!$A$3:$H$102,6,FALSE),0)</f>
        <v>0</v>
      </c>
      <c r="AE62">
        <f>IF(gamma!AE62,VLOOKUP(zeta!AE$1,main!$A$3:$H$102,5,FALSE)-VLOOKUP(zeta!$A62,main!$A$3:$H$102,6,FALSE),0)</f>
        <v>0</v>
      </c>
      <c r="AF62">
        <f>IF(gamma!AF62,VLOOKUP(zeta!AF$1,main!$A$3:$H$102,5,FALSE)-VLOOKUP(zeta!$A62,main!$A$3:$H$102,6,FALSE),0)</f>
        <v>0</v>
      </c>
      <c r="AG62">
        <f>IF(gamma!AG62,VLOOKUP(zeta!AG$1,main!$A$3:$H$102,5,FALSE)-VLOOKUP(zeta!$A62,main!$A$3:$H$102,6,FALSE),0)</f>
        <v>0</v>
      </c>
      <c r="AH62">
        <f>IF(gamma!AH62,VLOOKUP(zeta!AH$1,main!$A$3:$H$102,5,FALSE)-VLOOKUP(zeta!$A62,main!$A$3:$H$102,6,FALSE),0)</f>
        <v>0</v>
      </c>
      <c r="AI62">
        <f>IF(gamma!AI62,VLOOKUP(zeta!AI$1,main!$A$3:$H$102,5,FALSE)-VLOOKUP(zeta!$A62,main!$A$3:$H$102,6,FALSE),0)</f>
        <v>0</v>
      </c>
      <c r="AJ62">
        <f>IF(gamma!AJ62,VLOOKUP(zeta!AJ$1,main!$A$3:$H$102,5,FALSE)-VLOOKUP(zeta!$A62,main!$A$3:$H$102,6,FALSE),0)</f>
        <v>0</v>
      </c>
      <c r="AK62">
        <f>IF(gamma!AK62,VLOOKUP(zeta!AK$1,main!$A$3:$H$102,5,FALSE)-VLOOKUP(zeta!$A62,main!$A$3:$H$102,6,FALSE),0)</f>
        <v>0</v>
      </c>
      <c r="AL62">
        <f>IF(gamma!AL62,VLOOKUP(zeta!AL$1,main!$A$3:$H$102,5,FALSE)-VLOOKUP(zeta!$A62,main!$A$3:$H$102,6,FALSE),0)</f>
        <v>0</v>
      </c>
      <c r="AM62">
        <f>IF(gamma!AM62,VLOOKUP(zeta!AM$1,main!$A$3:$H$102,5,FALSE)-VLOOKUP(zeta!$A62,main!$A$3:$H$102,6,FALSE),0)</f>
        <v>0</v>
      </c>
      <c r="AN62">
        <f>IF(gamma!AN62,VLOOKUP(zeta!AN$1,main!$A$3:$H$102,5,FALSE)-VLOOKUP(zeta!$A62,main!$A$3:$H$102,6,FALSE),0)</f>
        <v>50</v>
      </c>
      <c r="AO62">
        <f>IF(gamma!AO62,VLOOKUP(zeta!AO$1,main!$A$3:$H$102,5,FALSE)-VLOOKUP(zeta!$A62,main!$A$3:$H$102,6,FALSE),0)</f>
        <v>0</v>
      </c>
      <c r="AP62">
        <f>IF(gamma!AP62,VLOOKUP(zeta!AP$1,main!$A$3:$H$102,5,FALSE)-VLOOKUP(zeta!$A62,main!$A$3:$H$102,6,FALSE),0)</f>
        <v>110</v>
      </c>
      <c r="AQ62">
        <f>IF(gamma!AQ62,VLOOKUP(zeta!AQ$1,main!$A$3:$H$102,5,FALSE)-VLOOKUP(zeta!$A62,main!$A$3:$H$102,6,FALSE),0)</f>
        <v>0</v>
      </c>
      <c r="AR62">
        <f>IF(gamma!AR62,VLOOKUP(zeta!AR$1,main!$A$3:$H$102,5,FALSE)-VLOOKUP(zeta!$A62,main!$A$3:$H$102,6,FALSE),0)</f>
        <v>0</v>
      </c>
      <c r="AS62">
        <f>IF(gamma!AS62,VLOOKUP(zeta!AS$1,main!$A$3:$H$102,5,FALSE)-VLOOKUP(zeta!$A62,main!$A$3:$H$102,6,FALSE),0)</f>
        <v>0</v>
      </c>
      <c r="AT62">
        <f>IF(gamma!AT62,VLOOKUP(zeta!AT$1,main!$A$3:$H$102,5,FALSE)-VLOOKUP(zeta!$A62,main!$A$3:$H$102,6,FALSE),0)</f>
        <v>0</v>
      </c>
      <c r="AU62">
        <f>IF(gamma!AU62,VLOOKUP(zeta!AU$1,main!$A$3:$H$102,5,FALSE)-VLOOKUP(zeta!$A62,main!$A$3:$H$102,6,FALSE),0)</f>
        <v>0</v>
      </c>
      <c r="AV62">
        <f>IF(gamma!AV62,VLOOKUP(zeta!AV$1,main!$A$3:$H$102,5,FALSE)-VLOOKUP(zeta!$A62,main!$A$3:$H$102,6,FALSE),0)</f>
        <v>0</v>
      </c>
      <c r="AW62">
        <f>IF(gamma!AW62,VLOOKUP(zeta!AW$1,main!$A$3:$H$102,5,FALSE)-VLOOKUP(zeta!$A62,main!$A$3:$H$102,6,FALSE),0)</f>
        <v>0</v>
      </c>
      <c r="AX62">
        <f>IF(gamma!AX62,VLOOKUP(zeta!AX$1,main!$A$3:$H$102,5,FALSE)-VLOOKUP(zeta!$A62,main!$A$3:$H$102,6,FALSE),0)</f>
        <v>0</v>
      </c>
      <c r="AY62">
        <f>IF(gamma!AY62,VLOOKUP(zeta!AY$1,main!$A$3:$H$102,5,FALSE)-VLOOKUP(zeta!$A62,main!$A$3:$H$102,6,FALSE),0)</f>
        <v>0</v>
      </c>
      <c r="AZ62">
        <f>IF(gamma!AZ62,VLOOKUP(zeta!AZ$1,main!$A$3:$H$102,5,FALSE)-VLOOKUP(zeta!$A62,main!$A$3:$H$102,6,FALSE),0)</f>
        <v>0</v>
      </c>
      <c r="BA62">
        <f>IF(gamma!BA62,VLOOKUP(zeta!BA$1,main!$A$3:$H$102,5,FALSE)-VLOOKUP(zeta!$A62,main!$A$3:$H$102,6,FALSE),0)</f>
        <v>0</v>
      </c>
      <c r="BB62">
        <f>IF(gamma!BB62,VLOOKUP(zeta!BB$1,main!$A$3:$H$102,5,FALSE)-VLOOKUP(zeta!$A62,main!$A$3:$H$102,6,FALSE),0)</f>
        <v>0</v>
      </c>
      <c r="BC62">
        <f>IF(gamma!BC62,VLOOKUP(zeta!BC$1,main!$A$3:$H$102,5,FALSE)-VLOOKUP(zeta!$A62,main!$A$3:$H$102,6,FALSE),0)</f>
        <v>0</v>
      </c>
      <c r="BD62">
        <f>IF(gamma!BD62,VLOOKUP(zeta!BD$1,main!$A$3:$H$102,5,FALSE)-VLOOKUP(zeta!$A62,main!$A$3:$H$102,6,FALSE),0)</f>
        <v>0</v>
      </c>
      <c r="BE62">
        <f>IF(gamma!BE62,VLOOKUP(zeta!BE$1,main!$A$3:$H$102,5,FALSE)-VLOOKUP(zeta!$A62,main!$A$3:$H$102,6,FALSE),0)</f>
        <v>0</v>
      </c>
      <c r="BF62">
        <f>IF(gamma!BF62,VLOOKUP(zeta!BF$1,main!$A$3:$H$102,5,FALSE)-VLOOKUP(zeta!$A62,main!$A$3:$H$102,6,FALSE),0)</f>
        <v>0</v>
      </c>
      <c r="BG62">
        <f>IF(gamma!BG62,VLOOKUP(zeta!BG$1,main!$A$3:$H$102,5,FALSE)-VLOOKUP(zeta!$A62,main!$A$3:$H$102,6,FALSE),0)</f>
        <v>0</v>
      </c>
      <c r="BH62">
        <f>IF(gamma!BH62,VLOOKUP(zeta!BH$1,main!$A$3:$H$102,5,FALSE)-VLOOKUP(zeta!$A62,main!$A$3:$H$102,6,FALSE),0)</f>
        <v>0</v>
      </c>
      <c r="BI62">
        <f>IF(gamma!BI62,VLOOKUP(zeta!BI$1,main!$A$3:$H$102,5,FALSE)-VLOOKUP(zeta!$A62,main!$A$3:$H$102,6,FALSE),0)</f>
        <v>120</v>
      </c>
      <c r="BJ62">
        <f>IF(gamma!BJ62,VLOOKUP(zeta!BJ$1,main!$A$3:$H$102,5,FALSE)-VLOOKUP(zeta!$A62,main!$A$3:$H$102,6,FALSE),0)</f>
        <v>0</v>
      </c>
      <c r="BK62">
        <f>IF(gamma!BK62,VLOOKUP(zeta!BK$1,main!$A$3:$H$102,5,FALSE)-VLOOKUP(zeta!$A62,main!$A$3:$H$102,6,FALSE),0)</f>
        <v>0</v>
      </c>
      <c r="BL62">
        <f>IF(gamma!BL62,VLOOKUP(zeta!BL$1,main!$A$3:$H$102,5,FALSE)-VLOOKUP(zeta!$A62,main!$A$3:$H$102,6,FALSE),0)</f>
        <v>0</v>
      </c>
      <c r="BM62">
        <f>IF(gamma!BM62,VLOOKUP(zeta!BM$1,main!$A$3:$H$102,5,FALSE)-VLOOKUP(zeta!$A62,main!$A$3:$H$102,6,FALSE),0)</f>
        <v>0</v>
      </c>
      <c r="BN62">
        <f>IF(gamma!BN62,VLOOKUP(zeta!BN$1,main!$A$3:$H$102,5,FALSE)-VLOOKUP(zeta!$A62,main!$A$3:$H$102,6,FALSE),0)</f>
        <v>0</v>
      </c>
      <c r="BO62">
        <f>IF(gamma!BO62,VLOOKUP(zeta!BO$1,main!$A$3:$H$102,5,FALSE)-VLOOKUP(zeta!$A62,main!$A$3:$H$102,6,FALSE),0)</f>
        <v>0</v>
      </c>
      <c r="BP62">
        <f>IF(gamma!BP62,VLOOKUP(zeta!BP$1,main!$A$3:$H$102,5,FALSE)-VLOOKUP(zeta!$A62,main!$A$3:$H$102,6,FALSE),0)</f>
        <v>0</v>
      </c>
      <c r="BQ62">
        <f>IF(gamma!BQ62,VLOOKUP(zeta!BQ$1,main!$A$3:$H$102,5,FALSE)-VLOOKUP(zeta!$A62,main!$A$3:$H$102,6,FALSE),0)</f>
        <v>0</v>
      </c>
      <c r="BR62">
        <f>IF(gamma!BR62,VLOOKUP(zeta!BR$1,main!$A$3:$H$102,5,FALSE)-VLOOKUP(zeta!$A62,main!$A$3:$H$102,6,FALSE),0)</f>
        <v>0</v>
      </c>
      <c r="BS62">
        <f>IF(gamma!BS62,VLOOKUP(zeta!BS$1,main!$A$3:$H$102,5,FALSE)-VLOOKUP(zeta!$A62,main!$A$3:$H$102,6,FALSE),0)</f>
        <v>0</v>
      </c>
      <c r="BT62">
        <f>IF(gamma!BT62,VLOOKUP(zeta!BT$1,main!$A$3:$H$102,5,FALSE)-VLOOKUP(zeta!$A62,main!$A$3:$H$102,6,FALSE),0)</f>
        <v>0</v>
      </c>
      <c r="BU62">
        <f>IF(gamma!BU62,VLOOKUP(zeta!BU$1,main!$A$3:$H$102,5,FALSE)-VLOOKUP(zeta!$A62,main!$A$3:$H$102,6,FALSE),0)</f>
        <v>0</v>
      </c>
      <c r="BV62">
        <f>IF(gamma!BV62,VLOOKUP(zeta!BV$1,main!$A$3:$H$102,5,FALSE)-VLOOKUP(zeta!$A62,main!$A$3:$H$102,6,FALSE),0)</f>
        <v>0</v>
      </c>
      <c r="BW62">
        <f>IF(gamma!BW62,VLOOKUP(zeta!BW$1,main!$A$3:$H$102,5,FALSE)-VLOOKUP(zeta!$A62,main!$A$3:$H$102,6,FALSE),0)</f>
        <v>0</v>
      </c>
      <c r="BX62">
        <f>IF(gamma!BX62,VLOOKUP(zeta!BX$1,main!$A$3:$H$102,5,FALSE)-VLOOKUP(zeta!$A62,main!$A$3:$H$102,6,FALSE),0)</f>
        <v>0</v>
      </c>
      <c r="BY62">
        <f>IF(gamma!BY62,VLOOKUP(zeta!BY$1,main!$A$3:$H$102,5,FALSE)-VLOOKUP(zeta!$A62,main!$A$3:$H$102,6,FALSE),0)</f>
        <v>0</v>
      </c>
      <c r="BZ62">
        <f>IF(gamma!BZ62,VLOOKUP(zeta!BZ$1,main!$A$3:$H$102,5,FALSE)-VLOOKUP(zeta!$A62,main!$A$3:$H$102,6,FALSE),0)</f>
        <v>0</v>
      </c>
      <c r="CA62">
        <f>IF(gamma!CA62,VLOOKUP(zeta!CA$1,main!$A$3:$H$102,5,FALSE)-VLOOKUP(zeta!$A62,main!$A$3:$H$102,6,FALSE),0)</f>
        <v>0</v>
      </c>
      <c r="CB62">
        <f>IF(gamma!CB62,VLOOKUP(zeta!CB$1,main!$A$3:$H$102,5,FALSE)-VLOOKUP(zeta!$A62,main!$A$3:$H$102,6,FALSE),0)</f>
        <v>0</v>
      </c>
      <c r="CC62">
        <f>IF(gamma!CC62,VLOOKUP(zeta!CC$1,main!$A$3:$H$102,5,FALSE)-VLOOKUP(zeta!$A62,main!$A$3:$H$102,6,FALSE),0)</f>
        <v>0</v>
      </c>
      <c r="CD62">
        <f>IF(gamma!CD62,VLOOKUP(zeta!CD$1,main!$A$3:$H$102,5,FALSE)-VLOOKUP(zeta!$A62,main!$A$3:$H$102,6,FALSE),0)</f>
        <v>0</v>
      </c>
      <c r="CE62">
        <f>IF(gamma!CE62,VLOOKUP(zeta!CE$1,main!$A$3:$H$102,5,FALSE)-VLOOKUP(zeta!$A62,main!$A$3:$H$102,6,FALSE),0)</f>
        <v>0</v>
      </c>
      <c r="CF62">
        <f>IF(gamma!CF62,VLOOKUP(zeta!CF$1,main!$A$3:$H$102,5,FALSE)-VLOOKUP(zeta!$A62,main!$A$3:$H$102,6,FALSE),0)</f>
        <v>0</v>
      </c>
      <c r="CG62">
        <f>IF(gamma!CG62,VLOOKUP(zeta!CG$1,main!$A$3:$H$102,5,FALSE)-VLOOKUP(zeta!$A62,main!$A$3:$H$102,6,FALSE),0)</f>
        <v>0</v>
      </c>
      <c r="CH62">
        <f>IF(gamma!CH62,VLOOKUP(zeta!CH$1,main!$A$3:$H$102,5,FALSE)-VLOOKUP(zeta!$A62,main!$A$3:$H$102,6,FALSE),0)</f>
        <v>0</v>
      </c>
      <c r="CI62">
        <f>IF(gamma!CI62,VLOOKUP(zeta!CI$1,main!$A$3:$H$102,5,FALSE)-VLOOKUP(zeta!$A62,main!$A$3:$H$102,6,FALSE),0)</f>
        <v>110</v>
      </c>
      <c r="CJ62">
        <f>IF(gamma!CJ62,VLOOKUP(zeta!CJ$1,main!$A$3:$H$102,5,FALSE)-VLOOKUP(zeta!$A62,main!$A$3:$H$102,6,FALSE),0)</f>
        <v>0</v>
      </c>
      <c r="CK62">
        <f>IF(gamma!CK62,VLOOKUP(zeta!CK$1,main!$A$3:$H$102,5,FALSE)-VLOOKUP(zeta!$A62,main!$A$3:$H$102,6,FALSE),0)</f>
        <v>0</v>
      </c>
      <c r="CL62">
        <f>IF(gamma!CL62,VLOOKUP(zeta!CL$1,main!$A$3:$H$102,5,FALSE)-VLOOKUP(zeta!$A62,main!$A$3:$H$102,6,FALSE),0)</f>
        <v>0</v>
      </c>
      <c r="CM62">
        <f>IF(gamma!CM62,VLOOKUP(zeta!CM$1,main!$A$3:$H$102,5,FALSE)-VLOOKUP(zeta!$A62,main!$A$3:$H$102,6,FALSE),0)</f>
        <v>0</v>
      </c>
      <c r="CN62">
        <f>IF(gamma!CN62,VLOOKUP(zeta!CN$1,main!$A$3:$H$102,5,FALSE)-VLOOKUP(zeta!$A62,main!$A$3:$H$102,6,FALSE),0)</f>
        <v>110</v>
      </c>
      <c r="CO62">
        <f>IF(gamma!CO62,VLOOKUP(zeta!CO$1,main!$A$3:$H$102,5,FALSE)-VLOOKUP(zeta!$A62,main!$A$3:$H$102,6,FALSE),0)</f>
        <v>0</v>
      </c>
      <c r="CP62">
        <f>IF(gamma!CP62,VLOOKUP(zeta!CP$1,main!$A$3:$H$102,5,FALSE)-VLOOKUP(zeta!$A62,main!$A$3:$H$102,6,FALSE),0)</f>
        <v>0</v>
      </c>
      <c r="CQ62">
        <f>IF(gamma!CQ62,VLOOKUP(zeta!CQ$1,main!$A$3:$H$102,5,FALSE)-VLOOKUP(zeta!$A62,main!$A$3:$H$102,6,FALSE),0)</f>
        <v>0</v>
      </c>
      <c r="CR62">
        <f>IF(gamma!CR62,VLOOKUP(zeta!CR$1,main!$A$3:$H$102,5,FALSE)-VLOOKUP(zeta!$A62,main!$A$3:$H$102,6,FALSE),0)</f>
        <v>0</v>
      </c>
      <c r="CS62">
        <f>IF(gamma!CS62,VLOOKUP(zeta!CS$1,main!$A$3:$H$102,5,FALSE)-VLOOKUP(zeta!$A62,main!$A$3:$H$102,6,FALSE),0)</f>
        <v>0</v>
      </c>
      <c r="CT62">
        <f>IF(gamma!CT62,VLOOKUP(zeta!CT$1,main!$A$3:$H$102,5,FALSE)-VLOOKUP(zeta!$A62,main!$A$3:$H$102,6,FALSE),0)</f>
        <v>0</v>
      </c>
      <c r="CU62">
        <f>IF(gamma!CU62,VLOOKUP(zeta!CU$1,main!$A$3:$H$102,5,FALSE)-VLOOKUP(zeta!$A62,main!$A$3:$H$102,6,FALSE),0)</f>
        <v>0</v>
      </c>
      <c r="CV62">
        <f>IF(gamma!CV62,VLOOKUP(zeta!CV$1,main!$A$3:$H$102,5,FALSE)-VLOOKUP(zeta!$A62,main!$A$3:$H$102,6,FALSE),0)</f>
        <v>0</v>
      </c>
      <c r="CW62">
        <f>IF(gamma!CW62,VLOOKUP(zeta!CW$1,main!$A$3:$H$102,5,FALSE)-VLOOKUP(zeta!$A62,main!$A$3:$H$102,6,FALSE),0)</f>
        <v>0</v>
      </c>
      <c r="CX62">
        <f>IF(gamma!CX62,VLOOKUP(zeta!CX$1,main!$A$3:$H$102,5,FALSE)-VLOOKUP(zeta!$A62,main!$A$3:$H$102,6,FALSE),0)</f>
        <v>0</v>
      </c>
    </row>
    <row r="63" spans="1:102" x14ac:dyDescent="0.25">
      <c r="A63">
        <f t="shared" si="1"/>
        <v>61</v>
      </c>
      <c r="B63">
        <v>0</v>
      </c>
      <c r="C63">
        <f>IF(gamma!C63,VLOOKUP(zeta!C$1,main!$A$3:$H$102,5,FALSE)-VLOOKUP(zeta!$A63,main!$A$3:$H$102,6,FALSE),0)</f>
        <v>0</v>
      </c>
      <c r="D63">
        <f>IF(gamma!D63,VLOOKUP(zeta!D$1,main!$A$3:$H$102,5,FALSE)-VLOOKUP(zeta!$A63,main!$A$3:$H$102,6,FALSE),0)</f>
        <v>140</v>
      </c>
      <c r="E63">
        <f>IF(gamma!E63,VLOOKUP(zeta!E$1,main!$A$3:$H$102,5,FALSE)-VLOOKUP(zeta!$A63,main!$A$3:$H$102,6,FALSE),0)</f>
        <v>300</v>
      </c>
      <c r="F63">
        <f>IF(gamma!F63,VLOOKUP(zeta!F$1,main!$A$3:$H$102,5,FALSE)-VLOOKUP(zeta!$A63,main!$A$3:$H$102,6,FALSE),0)</f>
        <v>320</v>
      </c>
      <c r="G63">
        <f>IF(gamma!G63,VLOOKUP(zeta!G$1,main!$A$3:$H$102,5,FALSE)-VLOOKUP(zeta!$A63,main!$A$3:$H$102,6,FALSE),0)</f>
        <v>410</v>
      </c>
      <c r="H63">
        <f>IF(gamma!H63,VLOOKUP(zeta!H$1,main!$A$3:$H$102,5,FALSE)-VLOOKUP(zeta!$A63,main!$A$3:$H$102,6,FALSE),0)</f>
        <v>500</v>
      </c>
      <c r="I63">
        <f>IF(gamma!I63,VLOOKUP(zeta!I$1,main!$A$3:$H$102,5,FALSE)-VLOOKUP(zeta!$A63,main!$A$3:$H$102,6,FALSE),0)</f>
        <v>560</v>
      </c>
      <c r="J63">
        <f>IF(gamma!J63,VLOOKUP(zeta!J$1,main!$A$3:$H$102,5,FALSE)-VLOOKUP(zeta!$A63,main!$A$3:$H$102,6,FALSE),0)</f>
        <v>620</v>
      </c>
      <c r="K63">
        <f>IF(gamma!K63,VLOOKUP(zeta!K$1,main!$A$3:$H$102,5,FALSE)-VLOOKUP(zeta!$A63,main!$A$3:$H$102,6,FALSE),0)</f>
        <v>680</v>
      </c>
      <c r="L63">
        <f>IF(gamma!L63,VLOOKUP(zeta!L$1,main!$A$3:$H$102,5,FALSE)-VLOOKUP(zeta!$A63,main!$A$3:$H$102,6,FALSE),0)</f>
        <v>770</v>
      </c>
      <c r="M63">
        <f>IF(gamma!M63,VLOOKUP(zeta!M$1,main!$A$3:$H$102,5,FALSE)-VLOOKUP(zeta!$A63,main!$A$3:$H$102,6,FALSE),0)</f>
        <v>135</v>
      </c>
      <c r="N63">
        <f>IF(gamma!N63,VLOOKUP(zeta!N$1,main!$A$3:$H$102,5,FALSE)-VLOOKUP(zeta!$A63,main!$A$3:$H$102,6,FALSE),0)</f>
        <v>148</v>
      </c>
      <c r="O63">
        <f>IF(gamma!O63,VLOOKUP(zeta!O$1,main!$A$3:$H$102,5,FALSE)-VLOOKUP(zeta!$A63,main!$A$3:$H$102,6,FALSE),0)</f>
        <v>180</v>
      </c>
      <c r="P63">
        <f>IF(gamma!P63,VLOOKUP(zeta!P$1,main!$A$3:$H$102,5,FALSE)-VLOOKUP(zeta!$A63,main!$A$3:$H$102,6,FALSE),0)</f>
        <v>255</v>
      </c>
      <c r="Q63">
        <f>IF(gamma!Q63,VLOOKUP(zeta!Q$1,main!$A$3:$H$102,5,FALSE)-VLOOKUP(zeta!$A63,main!$A$3:$H$102,6,FALSE),0)</f>
        <v>335</v>
      </c>
      <c r="R63">
        <f>IF(gamma!R63,VLOOKUP(zeta!R$1,main!$A$3:$H$102,5,FALSE)-VLOOKUP(zeta!$A63,main!$A$3:$H$102,6,FALSE),0)</f>
        <v>375</v>
      </c>
      <c r="S63">
        <f>IF(gamma!S63,VLOOKUP(zeta!S$1,main!$A$3:$H$102,5,FALSE)-VLOOKUP(zeta!$A63,main!$A$3:$H$102,6,FALSE),0)</f>
        <v>500</v>
      </c>
      <c r="T63">
        <f>IF(gamma!T63,VLOOKUP(zeta!T$1,main!$A$3:$H$102,5,FALSE)-VLOOKUP(zeta!$A63,main!$A$3:$H$102,6,FALSE),0)</f>
        <v>580</v>
      </c>
      <c r="U63">
        <f>IF(gamma!U63,VLOOKUP(zeta!U$1,main!$A$3:$H$102,5,FALSE)-VLOOKUP(zeta!$A63,main!$A$3:$H$102,6,FALSE),0)</f>
        <v>735</v>
      </c>
      <c r="V63">
        <f>IF(gamma!V63,VLOOKUP(zeta!V$1,main!$A$3:$H$102,5,FALSE)-VLOOKUP(zeta!$A63,main!$A$3:$H$102,6,FALSE),0)</f>
        <v>795</v>
      </c>
      <c r="W63">
        <f>IF(gamma!W63,VLOOKUP(zeta!W$1,main!$A$3:$H$102,5,FALSE)-VLOOKUP(zeta!$A63,main!$A$3:$H$102,6,FALSE),0)</f>
        <v>140</v>
      </c>
      <c r="X63">
        <f>IF(gamma!X63,VLOOKUP(zeta!X$1,main!$A$3:$H$102,5,FALSE)-VLOOKUP(zeta!$A63,main!$A$3:$H$102,6,FALSE),0)</f>
        <v>210</v>
      </c>
      <c r="Y63">
        <f>IF(gamma!Y63,VLOOKUP(zeta!Y$1,main!$A$3:$H$102,5,FALSE)-VLOOKUP(zeta!$A63,main!$A$3:$H$102,6,FALSE),0)</f>
        <v>370</v>
      </c>
      <c r="Z63">
        <f>IF(gamma!Z63,VLOOKUP(zeta!Z$1,main!$A$3:$H$102,5,FALSE)-VLOOKUP(zeta!$A63,main!$A$3:$H$102,6,FALSE),0)</f>
        <v>550</v>
      </c>
      <c r="AA63">
        <f>IF(gamma!AA63,VLOOKUP(zeta!AA$1,main!$A$3:$H$102,5,FALSE)-VLOOKUP(zeta!$A63,main!$A$3:$H$102,6,FALSE),0)</f>
        <v>700</v>
      </c>
      <c r="AB63">
        <f>IF(gamma!AB63,VLOOKUP(zeta!AB$1,main!$A$3:$H$102,5,FALSE)-VLOOKUP(zeta!$A63,main!$A$3:$H$102,6,FALSE),0)</f>
        <v>60</v>
      </c>
      <c r="AC63">
        <f>IF(gamma!AC63,VLOOKUP(zeta!AC$1,main!$A$3:$H$102,5,FALSE)-VLOOKUP(zeta!$A63,main!$A$3:$H$102,6,FALSE),0)</f>
        <v>80</v>
      </c>
      <c r="AD63">
        <f>IF(gamma!AD63,VLOOKUP(zeta!AD$1,main!$A$3:$H$102,5,FALSE)-VLOOKUP(zeta!$A63,main!$A$3:$H$102,6,FALSE),0)</f>
        <v>330</v>
      </c>
      <c r="AE63">
        <f>IF(gamma!AE63,VLOOKUP(zeta!AE$1,main!$A$3:$H$102,5,FALSE)-VLOOKUP(zeta!$A63,main!$A$3:$H$102,6,FALSE),0)</f>
        <v>510</v>
      </c>
      <c r="AF63">
        <f>IF(gamma!AF63,VLOOKUP(zeta!AF$1,main!$A$3:$H$102,5,FALSE)-VLOOKUP(zeta!$A63,main!$A$3:$H$102,6,FALSE),0)</f>
        <v>680</v>
      </c>
      <c r="AG63">
        <f>IF(gamma!AG63,VLOOKUP(zeta!AG$1,main!$A$3:$H$102,5,FALSE)-VLOOKUP(zeta!$A63,main!$A$3:$H$102,6,FALSE),0)</f>
        <v>120</v>
      </c>
      <c r="AH63">
        <f>IF(gamma!AH63,VLOOKUP(zeta!AH$1,main!$A$3:$H$102,5,FALSE)-VLOOKUP(zeta!$A63,main!$A$3:$H$102,6,FALSE),0)</f>
        <v>210</v>
      </c>
      <c r="AI63">
        <f>IF(gamma!AI63,VLOOKUP(zeta!AI$1,main!$A$3:$H$102,5,FALSE)-VLOOKUP(zeta!$A63,main!$A$3:$H$102,6,FALSE),0)</f>
        <v>300</v>
      </c>
      <c r="AJ63">
        <f>IF(gamma!AJ63,VLOOKUP(zeta!AJ$1,main!$A$3:$H$102,5,FALSE)-VLOOKUP(zeta!$A63,main!$A$3:$H$102,6,FALSE),0)</f>
        <v>390</v>
      </c>
      <c r="AK63">
        <f>IF(gamma!AK63,VLOOKUP(zeta!AK$1,main!$A$3:$H$102,5,FALSE)-VLOOKUP(zeta!$A63,main!$A$3:$H$102,6,FALSE),0)</f>
        <v>480</v>
      </c>
      <c r="AL63">
        <f>IF(gamma!AL63,VLOOKUP(zeta!AL$1,main!$A$3:$H$102,5,FALSE)-VLOOKUP(zeta!$A63,main!$A$3:$H$102,6,FALSE),0)</f>
        <v>570</v>
      </c>
      <c r="AM63">
        <f>IF(gamma!AM63,VLOOKUP(zeta!AM$1,main!$A$3:$H$102,5,FALSE)-VLOOKUP(zeta!$A63,main!$A$3:$H$102,6,FALSE),0)</f>
        <v>660</v>
      </c>
      <c r="AN63">
        <f>IF(gamma!AN63,VLOOKUP(zeta!AN$1,main!$A$3:$H$102,5,FALSE)-VLOOKUP(zeta!$A63,main!$A$3:$H$102,6,FALSE),0)</f>
        <v>720</v>
      </c>
      <c r="AO63">
        <f>IF(gamma!AO63,VLOOKUP(zeta!AO$1,main!$A$3:$H$102,5,FALSE)-VLOOKUP(zeta!$A63,main!$A$3:$H$102,6,FALSE),0)</f>
        <v>20</v>
      </c>
      <c r="AP63">
        <f>IF(gamma!AP63,VLOOKUP(zeta!AP$1,main!$A$3:$H$102,5,FALSE)-VLOOKUP(zeta!$A63,main!$A$3:$H$102,6,FALSE),0)</f>
        <v>780</v>
      </c>
      <c r="AQ63">
        <f>IF(gamma!AQ63,VLOOKUP(zeta!AQ$1,main!$A$3:$H$102,5,FALSE)-VLOOKUP(zeta!$A63,main!$A$3:$H$102,6,FALSE),0)</f>
        <v>15</v>
      </c>
      <c r="AR63">
        <f>IF(gamma!AR63,VLOOKUP(zeta!AR$1,main!$A$3:$H$102,5,FALSE)-VLOOKUP(zeta!$A63,main!$A$3:$H$102,6,FALSE),0)</f>
        <v>175</v>
      </c>
      <c r="AS63">
        <f>IF(gamma!AS63,VLOOKUP(zeta!AS$1,main!$A$3:$H$102,5,FALSE)-VLOOKUP(zeta!$A63,main!$A$3:$H$102,6,FALSE),0)</f>
        <v>380</v>
      </c>
      <c r="AT63">
        <f>IF(gamma!AT63,VLOOKUP(zeta!AT$1,main!$A$3:$H$102,5,FALSE)-VLOOKUP(zeta!$A63,main!$A$3:$H$102,6,FALSE),0)</f>
        <v>530</v>
      </c>
      <c r="AU63">
        <f>IF(gamma!AU63,VLOOKUP(zeta!AU$1,main!$A$3:$H$102,5,FALSE)-VLOOKUP(zeta!$A63,main!$A$3:$H$102,6,FALSE),0)</f>
        <v>30</v>
      </c>
      <c r="AV63">
        <f>IF(gamma!AV63,VLOOKUP(zeta!AV$1,main!$A$3:$H$102,5,FALSE)-VLOOKUP(zeta!$A63,main!$A$3:$H$102,6,FALSE),0)</f>
        <v>85</v>
      </c>
      <c r="AW63">
        <f>IF(gamma!AW63,VLOOKUP(zeta!AW$1,main!$A$3:$H$102,5,FALSE)-VLOOKUP(zeta!$A63,main!$A$3:$H$102,6,FALSE),0)</f>
        <v>480</v>
      </c>
      <c r="AX63">
        <f>IF(gamma!AX63,VLOOKUP(zeta!AX$1,main!$A$3:$H$102,5,FALSE)-VLOOKUP(zeta!$A63,main!$A$3:$H$102,6,FALSE),0)</f>
        <v>320</v>
      </c>
      <c r="AY63">
        <f>IF(gamma!AY63,VLOOKUP(zeta!AY$1,main!$A$3:$H$102,5,FALSE)-VLOOKUP(zeta!$A63,main!$A$3:$H$102,6,FALSE),0)</f>
        <v>180</v>
      </c>
      <c r="AZ63">
        <f>IF(gamma!AZ63,VLOOKUP(zeta!AZ$1,main!$A$3:$H$102,5,FALSE)-VLOOKUP(zeta!$A63,main!$A$3:$H$102,6,FALSE),0)</f>
        <v>310</v>
      </c>
      <c r="BA63">
        <f>IF(gamma!BA63,VLOOKUP(zeta!BA$1,main!$A$3:$H$102,5,FALSE)-VLOOKUP(zeta!$A63,main!$A$3:$H$102,6,FALSE),0)</f>
        <v>150</v>
      </c>
      <c r="BB63">
        <f>IF(gamma!BB63,VLOOKUP(zeta!BB$1,main!$A$3:$H$102,5,FALSE)-VLOOKUP(zeta!$A63,main!$A$3:$H$102,6,FALSE),0)</f>
        <v>320</v>
      </c>
      <c r="BC63">
        <f>IF(gamma!BC63,VLOOKUP(zeta!BC$1,main!$A$3:$H$102,5,FALSE)-VLOOKUP(zeta!$A63,main!$A$3:$H$102,6,FALSE),0)</f>
        <v>440</v>
      </c>
      <c r="BD63">
        <f>IF(gamma!BD63,VLOOKUP(zeta!BD$1,main!$A$3:$H$102,5,FALSE)-VLOOKUP(zeta!$A63,main!$A$3:$H$102,6,FALSE),0)</f>
        <v>500</v>
      </c>
      <c r="BE63">
        <f>IF(gamma!BE63,VLOOKUP(zeta!BE$1,main!$A$3:$H$102,5,FALSE)-VLOOKUP(zeta!$A63,main!$A$3:$H$102,6,FALSE),0)</f>
        <v>620</v>
      </c>
      <c r="BF63">
        <f>IF(gamma!BF63,VLOOKUP(zeta!BF$1,main!$A$3:$H$102,5,FALSE)-VLOOKUP(zeta!$A63,main!$A$3:$H$102,6,FALSE),0)</f>
        <v>160</v>
      </c>
      <c r="BG63">
        <f>IF(gamma!BG63,VLOOKUP(zeta!BG$1,main!$A$3:$H$102,5,FALSE)-VLOOKUP(zeta!$A63,main!$A$3:$H$102,6,FALSE),0)</f>
        <v>210</v>
      </c>
      <c r="BH63">
        <f>IF(gamma!BH63,VLOOKUP(zeta!BH$1,main!$A$3:$H$102,5,FALSE)-VLOOKUP(zeta!$A63,main!$A$3:$H$102,6,FALSE),0)</f>
        <v>405</v>
      </c>
      <c r="BI63">
        <f>IF(gamma!BI63,VLOOKUP(zeta!BI$1,main!$A$3:$H$102,5,FALSE)-VLOOKUP(zeta!$A63,main!$A$3:$H$102,6,FALSE),0)</f>
        <v>790</v>
      </c>
      <c r="BJ63">
        <f>IF(gamma!BJ63,VLOOKUP(zeta!BJ$1,main!$A$3:$H$102,5,FALSE)-VLOOKUP(zeta!$A63,main!$A$3:$H$102,6,FALSE),0)</f>
        <v>580</v>
      </c>
      <c r="BK63">
        <f>IF(gamma!BK63,VLOOKUP(zeta!BK$1,main!$A$3:$H$102,5,FALSE)-VLOOKUP(zeta!$A63,main!$A$3:$H$102,6,FALSE),0)</f>
        <v>0</v>
      </c>
      <c r="BL63">
        <f>IF(gamma!BL63,VLOOKUP(zeta!BL$1,main!$A$3:$H$102,5,FALSE)-VLOOKUP(zeta!$A63,main!$A$3:$H$102,6,FALSE),0)</f>
        <v>120</v>
      </c>
      <c r="BM63">
        <f>IF(gamma!BM63,VLOOKUP(zeta!BM$1,main!$A$3:$H$102,5,FALSE)-VLOOKUP(zeta!$A63,main!$A$3:$H$102,6,FALSE),0)</f>
        <v>225</v>
      </c>
      <c r="BN63">
        <f>IF(gamma!BN63,VLOOKUP(zeta!BN$1,main!$A$3:$H$102,5,FALSE)-VLOOKUP(zeta!$A63,main!$A$3:$H$102,6,FALSE),0)</f>
        <v>480</v>
      </c>
      <c r="BO63">
        <f>IF(gamma!BO63,VLOOKUP(zeta!BO$1,main!$A$3:$H$102,5,FALSE)-VLOOKUP(zeta!$A63,main!$A$3:$H$102,6,FALSE),0)</f>
        <v>0</v>
      </c>
      <c r="BP63">
        <f>IF(gamma!BP63,VLOOKUP(zeta!BP$1,main!$A$3:$H$102,5,FALSE)-VLOOKUP(zeta!$A63,main!$A$3:$H$102,6,FALSE),0)</f>
        <v>110</v>
      </c>
      <c r="BQ63">
        <f>IF(gamma!BQ63,VLOOKUP(zeta!BQ$1,main!$A$3:$H$102,5,FALSE)-VLOOKUP(zeta!$A63,main!$A$3:$H$102,6,FALSE),0)</f>
        <v>335</v>
      </c>
      <c r="BR63">
        <f>IF(gamma!BR63,VLOOKUP(zeta!BR$1,main!$A$3:$H$102,5,FALSE)-VLOOKUP(zeta!$A63,main!$A$3:$H$102,6,FALSE),0)</f>
        <v>370</v>
      </c>
      <c r="BS63">
        <f>IF(gamma!BS63,VLOOKUP(zeta!BS$1,main!$A$3:$H$102,5,FALSE)-VLOOKUP(zeta!$A63,main!$A$3:$H$102,6,FALSE),0)</f>
        <v>380</v>
      </c>
      <c r="BT63">
        <f>IF(gamma!BT63,VLOOKUP(zeta!BT$1,main!$A$3:$H$102,5,FALSE)-VLOOKUP(zeta!$A63,main!$A$3:$H$102,6,FALSE),0)</f>
        <v>330</v>
      </c>
      <c r="BU63">
        <f>IF(gamma!BU63,VLOOKUP(zeta!BU$1,main!$A$3:$H$102,5,FALSE)-VLOOKUP(zeta!$A63,main!$A$3:$H$102,6,FALSE),0)</f>
        <v>0</v>
      </c>
      <c r="BV63">
        <f>IF(gamma!BV63,VLOOKUP(zeta!BV$1,main!$A$3:$H$102,5,FALSE)-VLOOKUP(zeta!$A63,main!$A$3:$H$102,6,FALSE),0)</f>
        <v>130</v>
      </c>
      <c r="BW63">
        <f>IF(gamma!BW63,VLOOKUP(zeta!BW$1,main!$A$3:$H$102,5,FALSE)-VLOOKUP(zeta!$A63,main!$A$3:$H$102,6,FALSE),0)</f>
        <v>180</v>
      </c>
      <c r="BX63">
        <f>IF(gamma!BX63,VLOOKUP(zeta!BX$1,main!$A$3:$H$102,5,FALSE)-VLOOKUP(zeta!$A63,main!$A$3:$H$102,6,FALSE),0)</f>
        <v>345</v>
      </c>
      <c r="BY63">
        <f>IF(gamma!BY63,VLOOKUP(zeta!BY$1,main!$A$3:$H$102,5,FALSE)-VLOOKUP(zeta!$A63,main!$A$3:$H$102,6,FALSE),0)</f>
        <v>430</v>
      </c>
      <c r="BZ63">
        <f>IF(gamma!BZ63,VLOOKUP(zeta!BZ$1,main!$A$3:$H$102,5,FALSE)-VLOOKUP(zeta!$A63,main!$A$3:$H$102,6,FALSE),0)</f>
        <v>60</v>
      </c>
      <c r="CA63">
        <f>IF(gamma!CA63,VLOOKUP(zeta!CA$1,main!$A$3:$H$102,5,FALSE)-VLOOKUP(zeta!$A63,main!$A$3:$H$102,6,FALSE),0)</f>
        <v>165</v>
      </c>
      <c r="CB63">
        <f>IF(gamma!CB63,VLOOKUP(zeta!CB$1,main!$A$3:$H$102,5,FALSE)-VLOOKUP(zeta!$A63,main!$A$3:$H$102,6,FALSE),0)</f>
        <v>485</v>
      </c>
      <c r="CC63">
        <f>IF(gamma!CC63,VLOOKUP(zeta!CC$1,main!$A$3:$H$102,5,FALSE)-VLOOKUP(zeta!$A63,main!$A$3:$H$102,6,FALSE),0)</f>
        <v>695</v>
      </c>
      <c r="CD63">
        <f>IF(gamma!CD63,VLOOKUP(zeta!CD$1,main!$A$3:$H$102,5,FALSE)-VLOOKUP(zeta!$A63,main!$A$3:$H$102,6,FALSE),0)</f>
        <v>430</v>
      </c>
      <c r="CE63">
        <f>IF(gamma!CE63,VLOOKUP(zeta!CE$1,main!$A$3:$H$102,5,FALSE)-VLOOKUP(zeta!$A63,main!$A$3:$H$102,6,FALSE),0)</f>
        <v>300</v>
      </c>
      <c r="CF63">
        <f>IF(gamma!CF63,VLOOKUP(zeta!CF$1,main!$A$3:$H$102,5,FALSE)-VLOOKUP(zeta!$A63,main!$A$3:$H$102,6,FALSE),0)</f>
        <v>330</v>
      </c>
      <c r="CG63">
        <f>IF(gamma!CG63,VLOOKUP(zeta!CG$1,main!$A$3:$H$102,5,FALSE)-VLOOKUP(zeta!$A63,main!$A$3:$H$102,6,FALSE),0)</f>
        <v>380</v>
      </c>
      <c r="CH63">
        <f>IF(gamma!CH63,VLOOKUP(zeta!CH$1,main!$A$3:$H$102,5,FALSE)-VLOOKUP(zeta!$A63,main!$A$3:$H$102,6,FALSE),0)</f>
        <v>580</v>
      </c>
      <c r="CI63">
        <f>IF(gamma!CI63,VLOOKUP(zeta!CI$1,main!$A$3:$H$102,5,FALSE)-VLOOKUP(zeta!$A63,main!$A$3:$H$102,6,FALSE),0)</f>
        <v>780</v>
      </c>
      <c r="CJ63">
        <f>IF(gamma!CJ63,VLOOKUP(zeta!CJ$1,main!$A$3:$H$102,5,FALSE)-VLOOKUP(zeta!$A63,main!$A$3:$H$102,6,FALSE),0)</f>
        <v>370</v>
      </c>
      <c r="CK63">
        <f>IF(gamma!CK63,VLOOKUP(zeta!CK$1,main!$A$3:$H$102,5,FALSE)-VLOOKUP(zeta!$A63,main!$A$3:$H$102,6,FALSE),0)</f>
        <v>264</v>
      </c>
      <c r="CL63">
        <f>IF(gamma!CL63,VLOOKUP(zeta!CL$1,main!$A$3:$H$102,5,FALSE)-VLOOKUP(zeta!$A63,main!$A$3:$H$102,6,FALSE),0)</f>
        <v>380</v>
      </c>
      <c r="CM63">
        <f>IF(gamma!CM63,VLOOKUP(zeta!CM$1,main!$A$3:$H$102,5,FALSE)-VLOOKUP(zeta!$A63,main!$A$3:$H$102,6,FALSE),0)</f>
        <v>556</v>
      </c>
      <c r="CN63">
        <f>IF(gamma!CN63,VLOOKUP(zeta!CN$1,main!$A$3:$H$102,5,FALSE)-VLOOKUP(zeta!$A63,main!$A$3:$H$102,6,FALSE),0)</f>
        <v>780</v>
      </c>
      <c r="CO63">
        <f>IF(gamma!CO63,VLOOKUP(zeta!CO$1,main!$A$3:$H$102,5,FALSE)-VLOOKUP(zeta!$A63,main!$A$3:$H$102,6,FALSE),0)</f>
        <v>180</v>
      </c>
      <c r="CP63">
        <f>IF(gamma!CP63,VLOOKUP(zeta!CP$1,main!$A$3:$H$102,5,FALSE)-VLOOKUP(zeta!$A63,main!$A$3:$H$102,6,FALSE),0)</f>
        <v>345</v>
      </c>
      <c r="CQ63">
        <f>IF(gamma!CQ63,VLOOKUP(zeta!CQ$1,main!$A$3:$H$102,5,FALSE)-VLOOKUP(zeta!$A63,main!$A$3:$H$102,6,FALSE),0)</f>
        <v>360</v>
      </c>
      <c r="CR63">
        <f>IF(gamma!CR63,VLOOKUP(zeta!CR$1,main!$A$3:$H$102,5,FALSE)-VLOOKUP(zeta!$A63,main!$A$3:$H$102,6,FALSE),0)</f>
        <v>545</v>
      </c>
      <c r="CS63">
        <f>IF(gamma!CS63,VLOOKUP(zeta!CS$1,main!$A$3:$H$102,5,FALSE)-VLOOKUP(zeta!$A63,main!$A$3:$H$102,6,FALSE),0)</f>
        <v>555</v>
      </c>
      <c r="CT63">
        <f>IF(gamma!CT63,VLOOKUP(zeta!CT$1,main!$A$3:$H$102,5,FALSE)-VLOOKUP(zeta!$A63,main!$A$3:$H$102,6,FALSE),0)</f>
        <v>113</v>
      </c>
      <c r="CU63">
        <f>IF(gamma!CU63,VLOOKUP(zeta!CU$1,main!$A$3:$H$102,5,FALSE)-VLOOKUP(zeta!$A63,main!$A$3:$H$102,6,FALSE),0)</f>
        <v>170</v>
      </c>
      <c r="CV63">
        <f>IF(gamma!CV63,VLOOKUP(zeta!CV$1,main!$A$3:$H$102,5,FALSE)-VLOOKUP(zeta!$A63,main!$A$3:$H$102,6,FALSE),0)</f>
        <v>360</v>
      </c>
      <c r="CW63">
        <f>IF(gamma!CW63,VLOOKUP(zeta!CW$1,main!$A$3:$H$102,5,FALSE)-VLOOKUP(zeta!$A63,main!$A$3:$H$102,6,FALSE),0)</f>
        <v>545</v>
      </c>
      <c r="CX63">
        <f>IF(gamma!CX63,VLOOKUP(zeta!CX$1,main!$A$3:$H$102,5,FALSE)-VLOOKUP(zeta!$A63,main!$A$3:$H$102,6,FALSE),0)</f>
        <v>585</v>
      </c>
    </row>
    <row r="64" spans="1:102" x14ac:dyDescent="0.25">
      <c r="A64">
        <f t="shared" si="1"/>
        <v>62</v>
      </c>
      <c r="B64">
        <v>0</v>
      </c>
      <c r="C64">
        <f>IF(gamma!C64,VLOOKUP(zeta!C$1,main!$A$3:$H$102,5,FALSE)-VLOOKUP(zeta!$A64,main!$A$3:$H$102,6,FALSE),0)</f>
        <v>0</v>
      </c>
      <c r="D64">
        <f>IF(gamma!D64,VLOOKUP(zeta!D$1,main!$A$3:$H$102,5,FALSE)-VLOOKUP(zeta!$A64,main!$A$3:$H$102,6,FALSE),0)</f>
        <v>0</v>
      </c>
      <c r="E64">
        <f>IF(gamma!E64,VLOOKUP(zeta!E$1,main!$A$3:$H$102,5,FALSE)-VLOOKUP(zeta!$A64,main!$A$3:$H$102,6,FALSE),0)</f>
        <v>40</v>
      </c>
      <c r="F64">
        <f>IF(gamma!F64,VLOOKUP(zeta!F$1,main!$A$3:$H$102,5,FALSE)-VLOOKUP(zeta!$A64,main!$A$3:$H$102,6,FALSE),0)</f>
        <v>60</v>
      </c>
      <c r="G64">
        <f>IF(gamma!G64,VLOOKUP(zeta!G$1,main!$A$3:$H$102,5,FALSE)-VLOOKUP(zeta!$A64,main!$A$3:$H$102,6,FALSE),0)</f>
        <v>150</v>
      </c>
      <c r="H64">
        <f>IF(gamma!H64,VLOOKUP(zeta!H$1,main!$A$3:$H$102,5,FALSE)-VLOOKUP(zeta!$A64,main!$A$3:$H$102,6,FALSE),0)</f>
        <v>240</v>
      </c>
      <c r="I64">
        <f>IF(gamma!I64,VLOOKUP(zeta!I$1,main!$A$3:$H$102,5,FALSE)-VLOOKUP(zeta!$A64,main!$A$3:$H$102,6,FALSE),0)</f>
        <v>300</v>
      </c>
      <c r="J64">
        <f>IF(gamma!J64,VLOOKUP(zeta!J$1,main!$A$3:$H$102,5,FALSE)-VLOOKUP(zeta!$A64,main!$A$3:$H$102,6,FALSE),0)</f>
        <v>360</v>
      </c>
      <c r="K64">
        <f>IF(gamma!K64,VLOOKUP(zeta!K$1,main!$A$3:$H$102,5,FALSE)-VLOOKUP(zeta!$A64,main!$A$3:$H$102,6,FALSE),0)</f>
        <v>420</v>
      </c>
      <c r="L64">
        <f>IF(gamma!L64,VLOOKUP(zeta!L$1,main!$A$3:$H$102,5,FALSE)-VLOOKUP(zeta!$A64,main!$A$3:$H$102,6,FALSE),0)</f>
        <v>510</v>
      </c>
      <c r="M64">
        <f>IF(gamma!M64,VLOOKUP(zeta!M$1,main!$A$3:$H$102,5,FALSE)-VLOOKUP(zeta!$A64,main!$A$3:$H$102,6,FALSE),0)</f>
        <v>0</v>
      </c>
      <c r="N64">
        <f>IF(gamma!N64,VLOOKUP(zeta!N$1,main!$A$3:$H$102,5,FALSE)-VLOOKUP(zeta!$A64,main!$A$3:$H$102,6,FALSE),0)</f>
        <v>0</v>
      </c>
      <c r="O64">
        <f>IF(gamma!O64,VLOOKUP(zeta!O$1,main!$A$3:$H$102,5,FALSE)-VLOOKUP(zeta!$A64,main!$A$3:$H$102,6,FALSE),0)</f>
        <v>0</v>
      </c>
      <c r="P64">
        <f>IF(gamma!P64,VLOOKUP(zeta!P$1,main!$A$3:$H$102,5,FALSE)-VLOOKUP(zeta!$A64,main!$A$3:$H$102,6,FALSE),0)</f>
        <v>0</v>
      </c>
      <c r="Q64">
        <f>IF(gamma!Q64,VLOOKUP(zeta!Q$1,main!$A$3:$H$102,5,FALSE)-VLOOKUP(zeta!$A64,main!$A$3:$H$102,6,FALSE),0)</f>
        <v>75</v>
      </c>
      <c r="R64">
        <f>IF(gamma!R64,VLOOKUP(zeta!R$1,main!$A$3:$H$102,5,FALSE)-VLOOKUP(zeta!$A64,main!$A$3:$H$102,6,FALSE),0)</f>
        <v>115</v>
      </c>
      <c r="S64">
        <f>IF(gamma!S64,VLOOKUP(zeta!S$1,main!$A$3:$H$102,5,FALSE)-VLOOKUP(zeta!$A64,main!$A$3:$H$102,6,FALSE),0)</f>
        <v>240</v>
      </c>
      <c r="T64">
        <f>IF(gamma!T64,VLOOKUP(zeta!T$1,main!$A$3:$H$102,5,FALSE)-VLOOKUP(zeta!$A64,main!$A$3:$H$102,6,FALSE),0)</f>
        <v>320</v>
      </c>
      <c r="U64">
        <f>IF(gamma!U64,VLOOKUP(zeta!U$1,main!$A$3:$H$102,5,FALSE)-VLOOKUP(zeta!$A64,main!$A$3:$H$102,6,FALSE),0)</f>
        <v>475</v>
      </c>
      <c r="V64">
        <f>IF(gamma!V64,VLOOKUP(zeta!V$1,main!$A$3:$H$102,5,FALSE)-VLOOKUP(zeta!$A64,main!$A$3:$H$102,6,FALSE),0)</f>
        <v>535</v>
      </c>
      <c r="W64">
        <f>IF(gamma!W64,VLOOKUP(zeta!W$1,main!$A$3:$H$102,5,FALSE)-VLOOKUP(zeta!$A64,main!$A$3:$H$102,6,FALSE),0)</f>
        <v>0</v>
      </c>
      <c r="X64">
        <f>IF(gamma!X64,VLOOKUP(zeta!X$1,main!$A$3:$H$102,5,FALSE)-VLOOKUP(zeta!$A64,main!$A$3:$H$102,6,FALSE),0)</f>
        <v>0</v>
      </c>
      <c r="Y64">
        <f>IF(gamma!Y64,VLOOKUP(zeta!Y$1,main!$A$3:$H$102,5,FALSE)-VLOOKUP(zeta!$A64,main!$A$3:$H$102,6,FALSE),0)</f>
        <v>110</v>
      </c>
      <c r="Z64">
        <f>IF(gamma!Z64,VLOOKUP(zeta!Z$1,main!$A$3:$H$102,5,FALSE)-VLOOKUP(zeta!$A64,main!$A$3:$H$102,6,FALSE),0)</f>
        <v>290</v>
      </c>
      <c r="AA64">
        <f>IF(gamma!AA64,VLOOKUP(zeta!AA$1,main!$A$3:$H$102,5,FALSE)-VLOOKUP(zeta!$A64,main!$A$3:$H$102,6,FALSE),0)</f>
        <v>440</v>
      </c>
      <c r="AB64">
        <f>IF(gamma!AB64,VLOOKUP(zeta!AB$1,main!$A$3:$H$102,5,FALSE)-VLOOKUP(zeta!$A64,main!$A$3:$H$102,6,FALSE),0)</f>
        <v>0</v>
      </c>
      <c r="AC64">
        <f>IF(gamma!AC64,VLOOKUP(zeta!AC$1,main!$A$3:$H$102,5,FALSE)-VLOOKUP(zeta!$A64,main!$A$3:$H$102,6,FALSE),0)</f>
        <v>0</v>
      </c>
      <c r="AD64">
        <f>IF(gamma!AD64,VLOOKUP(zeta!AD$1,main!$A$3:$H$102,5,FALSE)-VLOOKUP(zeta!$A64,main!$A$3:$H$102,6,FALSE),0)</f>
        <v>70</v>
      </c>
      <c r="AE64">
        <f>IF(gamma!AE64,VLOOKUP(zeta!AE$1,main!$A$3:$H$102,5,FALSE)-VLOOKUP(zeta!$A64,main!$A$3:$H$102,6,FALSE),0)</f>
        <v>250</v>
      </c>
      <c r="AF64">
        <f>IF(gamma!AF64,VLOOKUP(zeta!AF$1,main!$A$3:$H$102,5,FALSE)-VLOOKUP(zeta!$A64,main!$A$3:$H$102,6,FALSE),0)</f>
        <v>420</v>
      </c>
      <c r="AG64">
        <f>IF(gamma!AG64,VLOOKUP(zeta!AG$1,main!$A$3:$H$102,5,FALSE)-VLOOKUP(zeta!$A64,main!$A$3:$H$102,6,FALSE),0)</f>
        <v>0</v>
      </c>
      <c r="AH64">
        <f>IF(gamma!AH64,VLOOKUP(zeta!AH$1,main!$A$3:$H$102,5,FALSE)-VLOOKUP(zeta!$A64,main!$A$3:$H$102,6,FALSE),0)</f>
        <v>0</v>
      </c>
      <c r="AI64">
        <f>IF(gamma!AI64,VLOOKUP(zeta!AI$1,main!$A$3:$H$102,5,FALSE)-VLOOKUP(zeta!$A64,main!$A$3:$H$102,6,FALSE),0)</f>
        <v>40</v>
      </c>
      <c r="AJ64">
        <f>IF(gamma!AJ64,VLOOKUP(zeta!AJ$1,main!$A$3:$H$102,5,FALSE)-VLOOKUP(zeta!$A64,main!$A$3:$H$102,6,FALSE),0)</f>
        <v>130</v>
      </c>
      <c r="AK64">
        <f>IF(gamma!AK64,VLOOKUP(zeta!AK$1,main!$A$3:$H$102,5,FALSE)-VLOOKUP(zeta!$A64,main!$A$3:$H$102,6,FALSE),0)</f>
        <v>220</v>
      </c>
      <c r="AL64">
        <f>IF(gamma!AL64,VLOOKUP(zeta!AL$1,main!$A$3:$H$102,5,FALSE)-VLOOKUP(zeta!$A64,main!$A$3:$H$102,6,FALSE),0)</f>
        <v>310</v>
      </c>
      <c r="AM64">
        <f>IF(gamma!AM64,VLOOKUP(zeta!AM$1,main!$A$3:$H$102,5,FALSE)-VLOOKUP(zeta!$A64,main!$A$3:$H$102,6,FALSE),0)</f>
        <v>400</v>
      </c>
      <c r="AN64">
        <f>IF(gamma!AN64,VLOOKUP(zeta!AN$1,main!$A$3:$H$102,5,FALSE)-VLOOKUP(zeta!$A64,main!$A$3:$H$102,6,FALSE),0)</f>
        <v>460</v>
      </c>
      <c r="AO64">
        <f>IF(gamma!AO64,VLOOKUP(zeta!AO$1,main!$A$3:$H$102,5,FALSE)-VLOOKUP(zeta!$A64,main!$A$3:$H$102,6,FALSE),0)</f>
        <v>0</v>
      </c>
      <c r="AP64">
        <f>IF(gamma!AP64,VLOOKUP(zeta!AP$1,main!$A$3:$H$102,5,FALSE)-VLOOKUP(zeta!$A64,main!$A$3:$H$102,6,FALSE),0)</f>
        <v>520</v>
      </c>
      <c r="AQ64">
        <f>IF(gamma!AQ64,VLOOKUP(zeta!AQ$1,main!$A$3:$H$102,5,FALSE)-VLOOKUP(zeta!$A64,main!$A$3:$H$102,6,FALSE),0)</f>
        <v>0</v>
      </c>
      <c r="AR64">
        <f>IF(gamma!AR64,VLOOKUP(zeta!AR$1,main!$A$3:$H$102,5,FALSE)-VLOOKUP(zeta!$A64,main!$A$3:$H$102,6,FALSE),0)</f>
        <v>0</v>
      </c>
      <c r="AS64">
        <f>IF(gamma!AS64,VLOOKUP(zeta!AS$1,main!$A$3:$H$102,5,FALSE)-VLOOKUP(zeta!$A64,main!$A$3:$H$102,6,FALSE),0)</f>
        <v>120</v>
      </c>
      <c r="AT64">
        <f>IF(gamma!AT64,VLOOKUP(zeta!AT$1,main!$A$3:$H$102,5,FALSE)-VLOOKUP(zeta!$A64,main!$A$3:$H$102,6,FALSE),0)</f>
        <v>270</v>
      </c>
      <c r="AU64">
        <f>IF(gamma!AU64,VLOOKUP(zeta!AU$1,main!$A$3:$H$102,5,FALSE)-VLOOKUP(zeta!$A64,main!$A$3:$H$102,6,FALSE),0)</f>
        <v>0</v>
      </c>
      <c r="AV64">
        <f>IF(gamma!AV64,VLOOKUP(zeta!AV$1,main!$A$3:$H$102,5,FALSE)-VLOOKUP(zeta!$A64,main!$A$3:$H$102,6,FALSE),0)</f>
        <v>0</v>
      </c>
      <c r="AW64">
        <f>IF(gamma!AW64,VLOOKUP(zeta!AW$1,main!$A$3:$H$102,5,FALSE)-VLOOKUP(zeta!$A64,main!$A$3:$H$102,6,FALSE),0)</f>
        <v>220</v>
      </c>
      <c r="AX64">
        <f>IF(gamma!AX64,VLOOKUP(zeta!AX$1,main!$A$3:$H$102,5,FALSE)-VLOOKUP(zeta!$A64,main!$A$3:$H$102,6,FALSE),0)</f>
        <v>60</v>
      </c>
      <c r="AY64">
        <f>IF(gamma!AY64,VLOOKUP(zeta!AY$1,main!$A$3:$H$102,5,FALSE)-VLOOKUP(zeta!$A64,main!$A$3:$H$102,6,FALSE),0)</f>
        <v>0</v>
      </c>
      <c r="AZ64">
        <f>IF(gamma!AZ64,VLOOKUP(zeta!AZ$1,main!$A$3:$H$102,5,FALSE)-VLOOKUP(zeta!$A64,main!$A$3:$H$102,6,FALSE),0)</f>
        <v>50</v>
      </c>
      <c r="BA64">
        <f>IF(gamma!BA64,VLOOKUP(zeta!BA$1,main!$A$3:$H$102,5,FALSE)-VLOOKUP(zeta!$A64,main!$A$3:$H$102,6,FALSE),0)</f>
        <v>0</v>
      </c>
      <c r="BB64">
        <f>IF(gamma!BB64,VLOOKUP(zeta!BB$1,main!$A$3:$H$102,5,FALSE)-VLOOKUP(zeta!$A64,main!$A$3:$H$102,6,FALSE),0)</f>
        <v>60</v>
      </c>
      <c r="BC64">
        <f>IF(gamma!BC64,VLOOKUP(zeta!BC$1,main!$A$3:$H$102,5,FALSE)-VLOOKUP(zeta!$A64,main!$A$3:$H$102,6,FALSE),0)</f>
        <v>180</v>
      </c>
      <c r="BD64">
        <f>IF(gamma!BD64,VLOOKUP(zeta!BD$1,main!$A$3:$H$102,5,FALSE)-VLOOKUP(zeta!$A64,main!$A$3:$H$102,6,FALSE),0)</f>
        <v>240</v>
      </c>
      <c r="BE64">
        <f>IF(gamma!BE64,VLOOKUP(zeta!BE$1,main!$A$3:$H$102,5,FALSE)-VLOOKUP(zeta!$A64,main!$A$3:$H$102,6,FALSE),0)</f>
        <v>360</v>
      </c>
      <c r="BF64">
        <f>IF(gamma!BF64,VLOOKUP(zeta!BF$1,main!$A$3:$H$102,5,FALSE)-VLOOKUP(zeta!$A64,main!$A$3:$H$102,6,FALSE),0)</f>
        <v>0</v>
      </c>
      <c r="BG64">
        <f>IF(gamma!BG64,VLOOKUP(zeta!BG$1,main!$A$3:$H$102,5,FALSE)-VLOOKUP(zeta!$A64,main!$A$3:$H$102,6,FALSE),0)</f>
        <v>0</v>
      </c>
      <c r="BH64">
        <f>IF(gamma!BH64,VLOOKUP(zeta!BH$1,main!$A$3:$H$102,5,FALSE)-VLOOKUP(zeta!$A64,main!$A$3:$H$102,6,FALSE),0)</f>
        <v>145</v>
      </c>
      <c r="BI64">
        <f>IF(gamma!BI64,VLOOKUP(zeta!BI$1,main!$A$3:$H$102,5,FALSE)-VLOOKUP(zeta!$A64,main!$A$3:$H$102,6,FALSE),0)</f>
        <v>530</v>
      </c>
      <c r="BJ64">
        <f>IF(gamma!BJ64,VLOOKUP(zeta!BJ$1,main!$A$3:$H$102,5,FALSE)-VLOOKUP(zeta!$A64,main!$A$3:$H$102,6,FALSE),0)</f>
        <v>320</v>
      </c>
      <c r="BK64">
        <f>IF(gamma!BK64,VLOOKUP(zeta!BK$1,main!$A$3:$H$102,5,FALSE)-VLOOKUP(zeta!$A64,main!$A$3:$H$102,6,FALSE),0)</f>
        <v>0</v>
      </c>
      <c r="BL64">
        <f>IF(gamma!BL64,VLOOKUP(zeta!BL$1,main!$A$3:$H$102,5,FALSE)-VLOOKUP(zeta!$A64,main!$A$3:$H$102,6,FALSE),0)</f>
        <v>0</v>
      </c>
      <c r="BM64">
        <f>IF(gamma!BM64,VLOOKUP(zeta!BM$1,main!$A$3:$H$102,5,FALSE)-VLOOKUP(zeta!$A64,main!$A$3:$H$102,6,FALSE),0)</f>
        <v>0</v>
      </c>
      <c r="BN64">
        <f>IF(gamma!BN64,VLOOKUP(zeta!BN$1,main!$A$3:$H$102,5,FALSE)-VLOOKUP(zeta!$A64,main!$A$3:$H$102,6,FALSE),0)</f>
        <v>220</v>
      </c>
      <c r="BO64">
        <f>IF(gamma!BO64,VLOOKUP(zeta!BO$1,main!$A$3:$H$102,5,FALSE)-VLOOKUP(zeta!$A64,main!$A$3:$H$102,6,FALSE),0)</f>
        <v>0</v>
      </c>
      <c r="BP64">
        <f>IF(gamma!BP64,VLOOKUP(zeta!BP$1,main!$A$3:$H$102,5,FALSE)-VLOOKUP(zeta!$A64,main!$A$3:$H$102,6,FALSE),0)</f>
        <v>0</v>
      </c>
      <c r="BQ64">
        <f>IF(gamma!BQ64,VLOOKUP(zeta!BQ$1,main!$A$3:$H$102,5,FALSE)-VLOOKUP(zeta!$A64,main!$A$3:$H$102,6,FALSE),0)</f>
        <v>75</v>
      </c>
      <c r="BR64">
        <f>IF(gamma!BR64,VLOOKUP(zeta!BR$1,main!$A$3:$H$102,5,FALSE)-VLOOKUP(zeta!$A64,main!$A$3:$H$102,6,FALSE),0)</f>
        <v>110</v>
      </c>
      <c r="BS64">
        <f>IF(gamma!BS64,VLOOKUP(zeta!BS$1,main!$A$3:$H$102,5,FALSE)-VLOOKUP(zeta!$A64,main!$A$3:$H$102,6,FALSE),0)</f>
        <v>120</v>
      </c>
      <c r="BT64">
        <f>IF(gamma!BT64,VLOOKUP(zeta!BT$1,main!$A$3:$H$102,5,FALSE)-VLOOKUP(zeta!$A64,main!$A$3:$H$102,6,FALSE),0)</f>
        <v>70</v>
      </c>
      <c r="BU64">
        <f>IF(gamma!BU64,VLOOKUP(zeta!BU$1,main!$A$3:$H$102,5,FALSE)-VLOOKUP(zeta!$A64,main!$A$3:$H$102,6,FALSE),0)</f>
        <v>0</v>
      </c>
      <c r="BV64">
        <f>IF(gamma!BV64,VLOOKUP(zeta!BV$1,main!$A$3:$H$102,5,FALSE)-VLOOKUP(zeta!$A64,main!$A$3:$H$102,6,FALSE),0)</f>
        <v>0</v>
      </c>
      <c r="BW64">
        <f>IF(gamma!BW64,VLOOKUP(zeta!BW$1,main!$A$3:$H$102,5,FALSE)-VLOOKUP(zeta!$A64,main!$A$3:$H$102,6,FALSE),0)</f>
        <v>0</v>
      </c>
      <c r="BX64">
        <f>IF(gamma!BX64,VLOOKUP(zeta!BX$1,main!$A$3:$H$102,5,FALSE)-VLOOKUP(zeta!$A64,main!$A$3:$H$102,6,FALSE),0)</f>
        <v>85</v>
      </c>
      <c r="BY64">
        <f>IF(gamma!BY64,VLOOKUP(zeta!BY$1,main!$A$3:$H$102,5,FALSE)-VLOOKUP(zeta!$A64,main!$A$3:$H$102,6,FALSE),0)</f>
        <v>170</v>
      </c>
      <c r="BZ64">
        <f>IF(gamma!BZ64,VLOOKUP(zeta!BZ$1,main!$A$3:$H$102,5,FALSE)-VLOOKUP(zeta!$A64,main!$A$3:$H$102,6,FALSE),0)</f>
        <v>0</v>
      </c>
      <c r="CA64">
        <f>IF(gamma!CA64,VLOOKUP(zeta!CA$1,main!$A$3:$H$102,5,FALSE)-VLOOKUP(zeta!$A64,main!$A$3:$H$102,6,FALSE),0)</f>
        <v>0</v>
      </c>
      <c r="CB64">
        <f>IF(gamma!CB64,VLOOKUP(zeta!CB$1,main!$A$3:$H$102,5,FALSE)-VLOOKUP(zeta!$A64,main!$A$3:$H$102,6,FALSE),0)</f>
        <v>225</v>
      </c>
      <c r="CC64">
        <f>IF(gamma!CC64,VLOOKUP(zeta!CC$1,main!$A$3:$H$102,5,FALSE)-VLOOKUP(zeta!$A64,main!$A$3:$H$102,6,FALSE),0)</f>
        <v>435</v>
      </c>
      <c r="CD64">
        <f>IF(gamma!CD64,VLOOKUP(zeta!CD$1,main!$A$3:$H$102,5,FALSE)-VLOOKUP(zeta!$A64,main!$A$3:$H$102,6,FALSE),0)</f>
        <v>170</v>
      </c>
      <c r="CE64">
        <f>IF(gamma!CE64,VLOOKUP(zeta!CE$1,main!$A$3:$H$102,5,FALSE)-VLOOKUP(zeta!$A64,main!$A$3:$H$102,6,FALSE),0)</f>
        <v>0</v>
      </c>
      <c r="CF64">
        <f>IF(gamma!CF64,VLOOKUP(zeta!CF$1,main!$A$3:$H$102,5,FALSE)-VLOOKUP(zeta!$A64,main!$A$3:$H$102,6,FALSE),0)</f>
        <v>70</v>
      </c>
      <c r="CG64">
        <f>IF(gamma!CG64,VLOOKUP(zeta!CG$1,main!$A$3:$H$102,5,FALSE)-VLOOKUP(zeta!$A64,main!$A$3:$H$102,6,FALSE),0)</f>
        <v>120</v>
      </c>
      <c r="CH64">
        <f>IF(gamma!CH64,VLOOKUP(zeta!CH$1,main!$A$3:$H$102,5,FALSE)-VLOOKUP(zeta!$A64,main!$A$3:$H$102,6,FALSE),0)</f>
        <v>320</v>
      </c>
      <c r="CI64">
        <f>IF(gamma!CI64,VLOOKUP(zeta!CI$1,main!$A$3:$H$102,5,FALSE)-VLOOKUP(zeta!$A64,main!$A$3:$H$102,6,FALSE),0)</f>
        <v>520</v>
      </c>
      <c r="CJ64">
        <f>IF(gamma!CJ64,VLOOKUP(zeta!CJ$1,main!$A$3:$H$102,5,FALSE)-VLOOKUP(zeta!$A64,main!$A$3:$H$102,6,FALSE),0)</f>
        <v>110</v>
      </c>
      <c r="CK64">
        <f>IF(gamma!CK64,VLOOKUP(zeta!CK$1,main!$A$3:$H$102,5,FALSE)-VLOOKUP(zeta!$A64,main!$A$3:$H$102,6,FALSE),0)</f>
        <v>0</v>
      </c>
      <c r="CL64">
        <f>IF(gamma!CL64,VLOOKUP(zeta!CL$1,main!$A$3:$H$102,5,FALSE)-VLOOKUP(zeta!$A64,main!$A$3:$H$102,6,FALSE),0)</f>
        <v>120</v>
      </c>
      <c r="CM64">
        <f>IF(gamma!CM64,VLOOKUP(zeta!CM$1,main!$A$3:$H$102,5,FALSE)-VLOOKUP(zeta!$A64,main!$A$3:$H$102,6,FALSE),0)</f>
        <v>296</v>
      </c>
      <c r="CN64">
        <f>IF(gamma!CN64,VLOOKUP(zeta!CN$1,main!$A$3:$H$102,5,FALSE)-VLOOKUP(zeta!$A64,main!$A$3:$H$102,6,FALSE),0)</f>
        <v>520</v>
      </c>
      <c r="CO64">
        <f>IF(gamma!CO64,VLOOKUP(zeta!CO$1,main!$A$3:$H$102,5,FALSE)-VLOOKUP(zeta!$A64,main!$A$3:$H$102,6,FALSE),0)</f>
        <v>0</v>
      </c>
      <c r="CP64">
        <f>IF(gamma!CP64,VLOOKUP(zeta!CP$1,main!$A$3:$H$102,5,FALSE)-VLOOKUP(zeta!$A64,main!$A$3:$H$102,6,FALSE),0)</f>
        <v>85</v>
      </c>
      <c r="CQ64">
        <f>IF(gamma!CQ64,VLOOKUP(zeta!CQ$1,main!$A$3:$H$102,5,FALSE)-VLOOKUP(zeta!$A64,main!$A$3:$H$102,6,FALSE),0)</f>
        <v>100</v>
      </c>
      <c r="CR64">
        <f>IF(gamma!CR64,VLOOKUP(zeta!CR$1,main!$A$3:$H$102,5,FALSE)-VLOOKUP(zeta!$A64,main!$A$3:$H$102,6,FALSE),0)</f>
        <v>285</v>
      </c>
      <c r="CS64">
        <f>IF(gamma!CS64,VLOOKUP(zeta!CS$1,main!$A$3:$H$102,5,FALSE)-VLOOKUP(zeta!$A64,main!$A$3:$H$102,6,FALSE),0)</f>
        <v>295</v>
      </c>
      <c r="CT64">
        <f>IF(gamma!CT64,VLOOKUP(zeta!CT$1,main!$A$3:$H$102,5,FALSE)-VLOOKUP(zeta!$A64,main!$A$3:$H$102,6,FALSE),0)</f>
        <v>0</v>
      </c>
      <c r="CU64">
        <f>IF(gamma!CU64,VLOOKUP(zeta!CU$1,main!$A$3:$H$102,5,FALSE)-VLOOKUP(zeta!$A64,main!$A$3:$H$102,6,FALSE),0)</f>
        <v>0</v>
      </c>
      <c r="CV64">
        <f>IF(gamma!CV64,VLOOKUP(zeta!CV$1,main!$A$3:$H$102,5,FALSE)-VLOOKUP(zeta!$A64,main!$A$3:$H$102,6,FALSE),0)</f>
        <v>100</v>
      </c>
      <c r="CW64">
        <f>IF(gamma!CW64,VLOOKUP(zeta!CW$1,main!$A$3:$H$102,5,FALSE)-VLOOKUP(zeta!$A64,main!$A$3:$H$102,6,FALSE),0)</f>
        <v>285</v>
      </c>
      <c r="CX64">
        <f>IF(gamma!CX64,VLOOKUP(zeta!CX$1,main!$A$3:$H$102,5,FALSE)-VLOOKUP(zeta!$A64,main!$A$3:$H$102,6,FALSE),0)</f>
        <v>325</v>
      </c>
    </row>
    <row r="65" spans="1:102" x14ac:dyDescent="0.25">
      <c r="A65">
        <f t="shared" si="1"/>
        <v>63</v>
      </c>
      <c r="B65">
        <v>0</v>
      </c>
      <c r="C65">
        <f>IF(gamma!C65,VLOOKUP(zeta!C$1,main!$A$3:$H$102,5,FALSE)-VLOOKUP(zeta!$A65,main!$A$3:$H$102,6,FALSE),0)</f>
        <v>0</v>
      </c>
      <c r="D65">
        <f>IF(gamma!D65,VLOOKUP(zeta!D$1,main!$A$3:$H$102,5,FALSE)-VLOOKUP(zeta!$A65,main!$A$3:$H$102,6,FALSE),0)</f>
        <v>0</v>
      </c>
      <c r="E65">
        <f>IF(gamma!E65,VLOOKUP(zeta!E$1,main!$A$3:$H$102,5,FALSE)-VLOOKUP(zeta!$A65,main!$A$3:$H$102,6,FALSE),0)</f>
        <v>0</v>
      </c>
      <c r="F65">
        <f>IF(gamma!F65,VLOOKUP(zeta!F$1,main!$A$3:$H$102,5,FALSE)-VLOOKUP(zeta!$A65,main!$A$3:$H$102,6,FALSE),0)</f>
        <v>0</v>
      </c>
      <c r="G65">
        <f>IF(gamma!G65,VLOOKUP(zeta!G$1,main!$A$3:$H$102,5,FALSE)-VLOOKUP(zeta!$A65,main!$A$3:$H$102,6,FALSE),0)</f>
        <v>45</v>
      </c>
      <c r="H65">
        <f>IF(gamma!H65,VLOOKUP(zeta!H$1,main!$A$3:$H$102,5,FALSE)-VLOOKUP(zeta!$A65,main!$A$3:$H$102,6,FALSE),0)</f>
        <v>135</v>
      </c>
      <c r="I65">
        <f>IF(gamma!I65,VLOOKUP(zeta!I$1,main!$A$3:$H$102,5,FALSE)-VLOOKUP(zeta!$A65,main!$A$3:$H$102,6,FALSE),0)</f>
        <v>195</v>
      </c>
      <c r="J65">
        <f>IF(gamma!J65,VLOOKUP(zeta!J$1,main!$A$3:$H$102,5,FALSE)-VLOOKUP(zeta!$A65,main!$A$3:$H$102,6,FALSE),0)</f>
        <v>255</v>
      </c>
      <c r="K65">
        <f>IF(gamma!K65,VLOOKUP(zeta!K$1,main!$A$3:$H$102,5,FALSE)-VLOOKUP(zeta!$A65,main!$A$3:$H$102,6,FALSE),0)</f>
        <v>315</v>
      </c>
      <c r="L65">
        <f>IF(gamma!L65,VLOOKUP(zeta!L$1,main!$A$3:$H$102,5,FALSE)-VLOOKUP(zeta!$A65,main!$A$3:$H$102,6,FALSE),0)</f>
        <v>405</v>
      </c>
      <c r="M65">
        <f>IF(gamma!M65,VLOOKUP(zeta!M$1,main!$A$3:$H$102,5,FALSE)-VLOOKUP(zeta!$A65,main!$A$3:$H$102,6,FALSE),0)</f>
        <v>0</v>
      </c>
      <c r="N65">
        <f>IF(gamma!N65,VLOOKUP(zeta!N$1,main!$A$3:$H$102,5,FALSE)-VLOOKUP(zeta!$A65,main!$A$3:$H$102,6,FALSE),0)</f>
        <v>0</v>
      </c>
      <c r="O65">
        <f>IF(gamma!O65,VLOOKUP(zeta!O$1,main!$A$3:$H$102,5,FALSE)-VLOOKUP(zeta!$A65,main!$A$3:$H$102,6,FALSE),0)</f>
        <v>0</v>
      </c>
      <c r="P65">
        <f>IF(gamma!P65,VLOOKUP(zeta!P$1,main!$A$3:$H$102,5,FALSE)-VLOOKUP(zeta!$A65,main!$A$3:$H$102,6,FALSE),0)</f>
        <v>0</v>
      </c>
      <c r="Q65">
        <f>IF(gamma!Q65,VLOOKUP(zeta!Q$1,main!$A$3:$H$102,5,FALSE)-VLOOKUP(zeta!$A65,main!$A$3:$H$102,6,FALSE),0)</f>
        <v>0</v>
      </c>
      <c r="R65">
        <f>IF(gamma!R65,VLOOKUP(zeta!R$1,main!$A$3:$H$102,5,FALSE)-VLOOKUP(zeta!$A65,main!$A$3:$H$102,6,FALSE),0)</f>
        <v>0</v>
      </c>
      <c r="S65">
        <f>IF(gamma!S65,VLOOKUP(zeta!S$1,main!$A$3:$H$102,5,FALSE)-VLOOKUP(zeta!$A65,main!$A$3:$H$102,6,FALSE),0)</f>
        <v>135</v>
      </c>
      <c r="T65">
        <f>IF(gamma!T65,VLOOKUP(zeta!T$1,main!$A$3:$H$102,5,FALSE)-VLOOKUP(zeta!$A65,main!$A$3:$H$102,6,FALSE),0)</f>
        <v>215</v>
      </c>
      <c r="U65">
        <f>IF(gamma!U65,VLOOKUP(zeta!U$1,main!$A$3:$H$102,5,FALSE)-VLOOKUP(zeta!$A65,main!$A$3:$H$102,6,FALSE),0)</f>
        <v>370</v>
      </c>
      <c r="V65">
        <f>IF(gamma!V65,VLOOKUP(zeta!V$1,main!$A$3:$H$102,5,FALSE)-VLOOKUP(zeta!$A65,main!$A$3:$H$102,6,FALSE),0)</f>
        <v>430</v>
      </c>
      <c r="W65">
        <f>IF(gamma!W65,VLOOKUP(zeta!W$1,main!$A$3:$H$102,5,FALSE)-VLOOKUP(zeta!$A65,main!$A$3:$H$102,6,FALSE),0)</f>
        <v>0</v>
      </c>
      <c r="X65">
        <f>IF(gamma!X65,VLOOKUP(zeta!X$1,main!$A$3:$H$102,5,FALSE)-VLOOKUP(zeta!$A65,main!$A$3:$H$102,6,FALSE),0)</f>
        <v>0</v>
      </c>
      <c r="Y65">
        <f>IF(gamma!Y65,VLOOKUP(zeta!Y$1,main!$A$3:$H$102,5,FALSE)-VLOOKUP(zeta!$A65,main!$A$3:$H$102,6,FALSE),0)</f>
        <v>0</v>
      </c>
      <c r="Z65">
        <f>IF(gamma!Z65,VLOOKUP(zeta!Z$1,main!$A$3:$H$102,5,FALSE)-VLOOKUP(zeta!$A65,main!$A$3:$H$102,6,FALSE),0)</f>
        <v>185</v>
      </c>
      <c r="AA65">
        <f>IF(gamma!AA65,VLOOKUP(zeta!AA$1,main!$A$3:$H$102,5,FALSE)-VLOOKUP(zeta!$A65,main!$A$3:$H$102,6,FALSE),0)</f>
        <v>335</v>
      </c>
      <c r="AB65">
        <f>IF(gamma!AB65,VLOOKUP(zeta!AB$1,main!$A$3:$H$102,5,FALSE)-VLOOKUP(zeta!$A65,main!$A$3:$H$102,6,FALSE),0)</f>
        <v>0</v>
      </c>
      <c r="AC65">
        <f>IF(gamma!AC65,VLOOKUP(zeta!AC$1,main!$A$3:$H$102,5,FALSE)-VLOOKUP(zeta!$A65,main!$A$3:$H$102,6,FALSE),0)</f>
        <v>0</v>
      </c>
      <c r="AD65">
        <f>IF(gamma!AD65,VLOOKUP(zeta!AD$1,main!$A$3:$H$102,5,FALSE)-VLOOKUP(zeta!$A65,main!$A$3:$H$102,6,FALSE),0)</f>
        <v>0</v>
      </c>
      <c r="AE65">
        <f>IF(gamma!AE65,VLOOKUP(zeta!AE$1,main!$A$3:$H$102,5,FALSE)-VLOOKUP(zeta!$A65,main!$A$3:$H$102,6,FALSE),0)</f>
        <v>145</v>
      </c>
      <c r="AF65">
        <f>IF(gamma!AF65,VLOOKUP(zeta!AF$1,main!$A$3:$H$102,5,FALSE)-VLOOKUP(zeta!$A65,main!$A$3:$H$102,6,FALSE),0)</f>
        <v>315</v>
      </c>
      <c r="AG65">
        <f>IF(gamma!AG65,VLOOKUP(zeta!AG$1,main!$A$3:$H$102,5,FALSE)-VLOOKUP(zeta!$A65,main!$A$3:$H$102,6,FALSE),0)</f>
        <v>0</v>
      </c>
      <c r="AH65">
        <f>IF(gamma!AH65,VLOOKUP(zeta!AH$1,main!$A$3:$H$102,5,FALSE)-VLOOKUP(zeta!$A65,main!$A$3:$H$102,6,FALSE),0)</f>
        <v>0</v>
      </c>
      <c r="AI65">
        <f>IF(gamma!AI65,VLOOKUP(zeta!AI$1,main!$A$3:$H$102,5,FALSE)-VLOOKUP(zeta!$A65,main!$A$3:$H$102,6,FALSE),0)</f>
        <v>0</v>
      </c>
      <c r="AJ65">
        <f>IF(gamma!AJ65,VLOOKUP(zeta!AJ$1,main!$A$3:$H$102,5,FALSE)-VLOOKUP(zeta!$A65,main!$A$3:$H$102,6,FALSE),0)</f>
        <v>25</v>
      </c>
      <c r="AK65">
        <f>IF(gamma!AK65,VLOOKUP(zeta!AK$1,main!$A$3:$H$102,5,FALSE)-VLOOKUP(zeta!$A65,main!$A$3:$H$102,6,FALSE),0)</f>
        <v>115</v>
      </c>
      <c r="AL65">
        <f>IF(gamma!AL65,VLOOKUP(zeta!AL$1,main!$A$3:$H$102,5,FALSE)-VLOOKUP(zeta!$A65,main!$A$3:$H$102,6,FALSE),0)</f>
        <v>205</v>
      </c>
      <c r="AM65">
        <f>IF(gamma!AM65,VLOOKUP(zeta!AM$1,main!$A$3:$H$102,5,FALSE)-VLOOKUP(zeta!$A65,main!$A$3:$H$102,6,FALSE),0)</f>
        <v>295</v>
      </c>
      <c r="AN65">
        <f>IF(gamma!AN65,VLOOKUP(zeta!AN$1,main!$A$3:$H$102,5,FALSE)-VLOOKUP(zeta!$A65,main!$A$3:$H$102,6,FALSE),0)</f>
        <v>355</v>
      </c>
      <c r="AO65">
        <f>IF(gamma!AO65,VLOOKUP(zeta!AO$1,main!$A$3:$H$102,5,FALSE)-VLOOKUP(zeta!$A65,main!$A$3:$H$102,6,FALSE),0)</f>
        <v>0</v>
      </c>
      <c r="AP65">
        <f>IF(gamma!AP65,VLOOKUP(zeta!AP$1,main!$A$3:$H$102,5,FALSE)-VLOOKUP(zeta!$A65,main!$A$3:$H$102,6,FALSE),0)</f>
        <v>415</v>
      </c>
      <c r="AQ65">
        <f>IF(gamma!AQ65,VLOOKUP(zeta!AQ$1,main!$A$3:$H$102,5,FALSE)-VLOOKUP(zeta!$A65,main!$A$3:$H$102,6,FALSE),0)</f>
        <v>0</v>
      </c>
      <c r="AR65">
        <f>IF(gamma!AR65,VLOOKUP(zeta!AR$1,main!$A$3:$H$102,5,FALSE)-VLOOKUP(zeta!$A65,main!$A$3:$H$102,6,FALSE),0)</f>
        <v>0</v>
      </c>
      <c r="AS65">
        <f>IF(gamma!AS65,VLOOKUP(zeta!AS$1,main!$A$3:$H$102,5,FALSE)-VLOOKUP(zeta!$A65,main!$A$3:$H$102,6,FALSE),0)</f>
        <v>15</v>
      </c>
      <c r="AT65">
        <f>IF(gamma!AT65,VLOOKUP(zeta!AT$1,main!$A$3:$H$102,5,FALSE)-VLOOKUP(zeta!$A65,main!$A$3:$H$102,6,FALSE),0)</f>
        <v>165</v>
      </c>
      <c r="AU65">
        <f>IF(gamma!AU65,VLOOKUP(zeta!AU$1,main!$A$3:$H$102,5,FALSE)-VLOOKUP(zeta!$A65,main!$A$3:$H$102,6,FALSE),0)</f>
        <v>0</v>
      </c>
      <c r="AV65">
        <f>IF(gamma!AV65,VLOOKUP(zeta!AV$1,main!$A$3:$H$102,5,FALSE)-VLOOKUP(zeta!$A65,main!$A$3:$H$102,6,FALSE),0)</f>
        <v>0</v>
      </c>
      <c r="AW65">
        <f>IF(gamma!AW65,VLOOKUP(zeta!AW$1,main!$A$3:$H$102,5,FALSE)-VLOOKUP(zeta!$A65,main!$A$3:$H$102,6,FALSE),0)</f>
        <v>115</v>
      </c>
      <c r="AX65">
        <f>IF(gamma!AX65,VLOOKUP(zeta!AX$1,main!$A$3:$H$102,5,FALSE)-VLOOKUP(zeta!$A65,main!$A$3:$H$102,6,FALSE),0)</f>
        <v>0</v>
      </c>
      <c r="AY65">
        <f>IF(gamma!AY65,VLOOKUP(zeta!AY$1,main!$A$3:$H$102,5,FALSE)-VLOOKUP(zeta!$A65,main!$A$3:$H$102,6,FALSE),0)</f>
        <v>0</v>
      </c>
      <c r="AZ65">
        <f>IF(gamma!AZ65,VLOOKUP(zeta!AZ$1,main!$A$3:$H$102,5,FALSE)-VLOOKUP(zeta!$A65,main!$A$3:$H$102,6,FALSE),0)</f>
        <v>0</v>
      </c>
      <c r="BA65">
        <f>IF(gamma!BA65,VLOOKUP(zeta!BA$1,main!$A$3:$H$102,5,FALSE)-VLOOKUP(zeta!$A65,main!$A$3:$H$102,6,FALSE),0)</f>
        <v>0</v>
      </c>
      <c r="BB65">
        <f>IF(gamma!BB65,VLOOKUP(zeta!BB$1,main!$A$3:$H$102,5,FALSE)-VLOOKUP(zeta!$A65,main!$A$3:$H$102,6,FALSE),0)</f>
        <v>0</v>
      </c>
      <c r="BC65">
        <f>IF(gamma!BC65,VLOOKUP(zeta!BC$1,main!$A$3:$H$102,5,FALSE)-VLOOKUP(zeta!$A65,main!$A$3:$H$102,6,FALSE),0)</f>
        <v>75</v>
      </c>
      <c r="BD65">
        <f>IF(gamma!BD65,VLOOKUP(zeta!BD$1,main!$A$3:$H$102,5,FALSE)-VLOOKUP(zeta!$A65,main!$A$3:$H$102,6,FALSE),0)</f>
        <v>135</v>
      </c>
      <c r="BE65">
        <f>IF(gamma!BE65,VLOOKUP(zeta!BE$1,main!$A$3:$H$102,5,FALSE)-VLOOKUP(zeta!$A65,main!$A$3:$H$102,6,FALSE),0)</f>
        <v>255</v>
      </c>
      <c r="BF65">
        <f>IF(gamma!BF65,VLOOKUP(zeta!BF$1,main!$A$3:$H$102,5,FALSE)-VLOOKUP(zeta!$A65,main!$A$3:$H$102,6,FALSE),0)</f>
        <v>0</v>
      </c>
      <c r="BG65">
        <f>IF(gamma!BG65,VLOOKUP(zeta!BG$1,main!$A$3:$H$102,5,FALSE)-VLOOKUP(zeta!$A65,main!$A$3:$H$102,6,FALSE),0)</f>
        <v>0</v>
      </c>
      <c r="BH65">
        <f>IF(gamma!BH65,VLOOKUP(zeta!BH$1,main!$A$3:$H$102,5,FALSE)-VLOOKUP(zeta!$A65,main!$A$3:$H$102,6,FALSE),0)</f>
        <v>0</v>
      </c>
      <c r="BI65">
        <f>IF(gamma!BI65,VLOOKUP(zeta!BI$1,main!$A$3:$H$102,5,FALSE)-VLOOKUP(zeta!$A65,main!$A$3:$H$102,6,FALSE),0)</f>
        <v>425</v>
      </c>
      <c r="BJ65">
        <f>IF(gamma!BJ65,VLOOKUP(zeta!BJ$1,main!$A$3:$H$102,5,FALSE)-VLOOKUP(zeta!$A65,main!$A$3:$H$102,6,FALSE),0)</f>
        <v>215</v>
      </c>
      <c r="BK65">
        <f>IF(gamma!BK65,VLOOKUP(zeta!BK$1,main!$A$3:$H$102,5,FALSE)-VLOOKUP(zeta!$A65,main!$A$3:$H$102,6,FALSE),0)</f>
        <v>0</v>
      </c>
      <c r="BL65">
        <f>IF(gamma!BL65,VLOOKUP(zeta!BL$1,main!$A$3:$H$102,5,FALSE)-VLOOKUP(zeta!$A65,main!$A$3:$H$102,6,FALSE),0)</f>
        <v>0</v>
      </c>
      <c r="BM65">
        <f>IF(gamma!BM65,VLOOKUP(zeta!BM$1,main!$A$3:$H$102,5,FALSE)-VLOOKUP(zeta!$A65,main!$A$3:$H$102,6,FALSE),0)</f>
        <v>0</v>
      </c>
      <c r="BN65">
        <f>IF(gamma!BN65,VLOOKUP(zeta!BN$1,main!$A$3:$H$102,5,FALSE)-VLOOKUP(zeta!$A65,main!$A$3:$H$102,6,FALSE),0)</f>
        <v>115</v>
      </c>
      <c r="BO65">
        <f>IF(gamma!BO65,VLOOKUP(zeta!BO$1,main!$A$3:$H$102,5,FALSE)-VLOOKUP(zeta!$A65,main!$A$3:$H$102,6,FALSE),0)</f>
        <v>0</v>
      </c>
      <c r="BP65">
        <f>IF(gamma!BP65,VLOOKUP(zeta!BP$1,main!$A$3:$H$102,5,FALSE)-VLOOKUP(zeta!$A65,main!$A$3:$H$102,6,FALSE),0)</f>
        <v>0</v>
      </c>
      <c r="BQ65">
        <f>IF(gamma!BQ65,VLOOKUP(zeta!BQ$1,main!$A$3:$H$102,5,FALSE)-VLOOKUP(zeta!$A65,main!$A$3:$H$102,6,FALSE),0)</f>
        <v>0</v>
      </c>
      <c r="BR65">
        <f>IF(gamma!BR65,VLOOKUP(zeta!BR$1,main!$A$3:$H$102,5,FALSE)-VLOOKUP(zeta!$A65,main!$A$3:$H$102,6,FALSE),0)</f>
        <v>0</v>
      </c>
      <c r="BS65">
        <f>IF(gamma!BS65,VLOOKUP(zeta!BS$1,main!$A$3:$H$102,5,FALSE)-VLOOKUP(zeta!$A65,main!$A$3:$H$102,6,FALSE),0)</f>
        <v>0</v>
      </c>
      <c r="BT65">
        <f>IF(gamma!BT65,VLOOKUP(zeta!BT$1,main!$A$3:$H$102,5,FALSE)-VLOOKUP(zeta!$A65,main!$A$3:$H$102,6,FALSE),0)</f>
        <v>0</v>
      </c>
      <c r="BU65">
        <f>IF(gamma!BU65,VLOOKUP(zeta!BU$1,main!$A$3:$H$102,5,FALSE)-VLOOKUP(zeta!$A65,main!$A$3:$H$102,6,FALSE),0)</f>
        <v>0</v>
      </c>
      <c r="BV65">
        <f>IF(gamma!BV65,VLOOKUP(zeta!BV$1,main!$A$3:$H$102,5,FALSE)-VLOOKUP(zeta!$A65,main!$A$3:$H$102,6,FALSE),0)</f>
        <v>0</v>
      </c>
      <c r="BW65">
        <f>IF(gamma!BW65,VLOOKUP(zeta!BW$1,main!$A$3:$H$102,5,FALSE)-VLOOKUP(zeta!$A65,main!$A$3:$H$102,6,FALSE),0)</f>
        <v>0</v>
      </c>
      <c r="BX65">
        <f>IF(gamma!BX65,VLOOKUP(zeta!BX$1,main!$A$3:$H$102,5,FALSE)-VLOOKUP(zeta!$A65,main!$A$3:$H$102,6,FALSE),0)</f>
        <v>0</v>
      </c>
      <c r="BY65">
        <f>IF(gamma!BY65,VLOOKUP(zeta!BY$1,main!$A$3:$H$102,5,FALSE)-VLOOKUP(zeta!$A65,main!$A$3:$H$102,6,FALSE),0)</f>
        <v>65</v>
      </c>
      <c r="BZ65">
        <f>IF(gamma!BZ65,VLOOKUP(zeta!BZ$1,main!$A$3:$H$102,5,FALSE)-VLOOKUP(zeta!$A65,main!$A$3:$H$102,6,FALSE),0)</f>
        <v>0</v>
      </c>
      <c r="CA65">
        <f>IF(gamma!CA65,VLOOKUP(zeta!CA$1,main!$A$3:$H$102,5,FALSE)-VLOOKUP(zeta!$A65,main!$A$3:$H$102,6,FALSE),0)</f>
        <v>0</v>
      </c>
      <c r="CB65">
        <f>IF(gamma!CB65,VLOOKUP(zeta!CB$1,main!$A$3:$H$102,5,FALSE)-VLOOKUP(zeta!$A65,main!$A$3:$H$102,6,FALSE),0)</f>
        <v>120</v>
      </c>
      <c r="CC65">
        <f>IF(gamma!CC65,VLOOKUP(zeta!CC$1,main!$A$3:$H$102,5,FALSE)-VLOOKUP(zeta!$A65,main!$A$3:$H$102,6,FALSE),0)</f>
        <v>330</v>
      </c>
      <c r="CD65">
        <f>IF(gamma!CD65,VLOOKUP(zeta!CD$1,main!$A$3:$H$102,5,FALSE)-VLOOKUP(zeta!$A65,main!$A$3:$H$102,6,FALSE),0)</f>
        <v>65</v>
      </c>
      <c r="CE65">
        <f>IF(gamma!CE65,VLOOKUP(zeta!CE$1,main!$A$3:$H$102,5,FALSE)-VLOOKUP(zeta!$A65,main!$A$3:$H$102,6,FALSE),0)</f>
        <v>0</v>
      </c>
      <c r="CF65">
        <f>IF(gamma!CF65,VLOOKUP(zeta!CF$1,main!$A$3:$H$102,5,FALSE)-VLOOKUP(zeta!$A65,main!$A$3:$H$102,6,FALSE),0)</f>
        <v>0</v>
      </c>
      <c r="CG65">
        <f>IF(gamma!CG65,VLOOKUP(zeta!CG$1,main!$A$3:$H$102,5,FALSE)-VLOOKUP(zeta!$A65,main!$A$3:$H$102,6,FALSE),0)</f>
        <v>0</v>
      </c>
      <c r="CH65">
        <f>IF(gamma!CH65,VLOOKUP(zeta!CH$1,main!$A$3:$H$102,5,FALSE)-VLOOKUP(zeta!$A65,main!$A$3:$H$102,6,FALSE),0)</f>
        <v>215</v>
      </c>
      <c r="CI65">
        <f>IF(gamma!CI65,VLOOKUP(zeta!CI$1,main!$A$3:$H$102,5,FALSE)-VLOOKUP(zeta!$A65,main!$A$3:$H$102,6,FALSE),0)</f>
        <v>415</v>
      </c>
      <c r="CJ65">
        <f>IF(gamma!CJ65,VLOOKUP(zeta!CJ$1,main!$A$3:$H$102,5,FALSE)-VLOOKUP(zeta!$A65,main!$A$3:$H$102,6,FALSE),0)</f>
        <v>0</v>
      </c>
      <c r="CK65">
        <f>IF(gamma!CK65,VLOOKUP(zeta!CK$1,main!$A$3:$H$102,5,FALSE)-VLOOKUP(zeta!$A65,main!$A$3:$H$102,6,FALSE),0)</f>
        <v>0</v>
      </c>
      <c r="CL65">
        <f>IF(gamma!CL65,VLOOKUP(zeta!CL$1,main!$A$3:$H$102,5,FALSE)-VLOOKUP(zeta!$A65,main!$A$3:$H$102,6,FALSE),0)</f>
        <v>0</v>
      </c>
      <c r="CM65">
        <f>IF(gamma!CM65,VLOOKUP(zeta!CM$1,main!$A$3:$H$102,5,FALSE)-VLOOKUP(zeta!$A65,main!$A$3:$H$102,6,FALSE),0)</f>
        <v>191</v>
      </c>
      <c r="CN65">
        <f>IF(gamma!CN65,VLOOKUP(zeta!CN$1,main!$A$3:$H$102,5,FALSE)-VLOOKUP(zeta!$A65,main!$A$3:$H$102,6,FALSE),0)</f>
        <v>415</v>
      </c>
      <c r="CO65">
        <f>IF(gamma!CO65,VLOOKUP(zeta!CO$1,main!$A$3:$H$102,5,FALSE)-VLOOKUP(zeta!$A65,main!$A$3:$H$102,6,FALSE),0)</f>
        <v>0</v>
      </c>
      <c r="CP65">
        <f>IF(gamma!CP65,VLOOKUP(zeta!CP$1,main!$A$3:$H$102,5,FALSE)-VLOOKUP(zeta!$A65,main!$A$3:$H$102,6,FALSE),0)</f>
        <v>0</v>
      </c>
      <c r="CQ65">
        <f>IF(gamma!CQ65,VLOOKUP(zeta!CQ$1,main!$A$3:$H$102,5,FALSE)-VLOOKUP(zeta!$A65,main!$A$3:$H$102,6,FALSE),0)</f>
        <v>0</v>
      </c>
      <c r="CR65">
        <f>IF(gamma!CR65,VLOOKUP(zeta!CR$1,main!$A$3:$H$102,5,FALSE)-VLOOKUP(zeta!$A65,main!$A$3:$H$102,6,FALSE),0)</f>
        <v>180</v>
      </c>
      <c r="CS65">
        <f>IF(gamma!CS65,VLOOKUP(zeta!CS$1,main!$A$3:$H$102,5,FALSE)-VLOOKUP(zeta!$A65,main!$A$3:$H$102,6,FALSE),0)</f>
        <v>190</v>
      </c>
      <c r="CT65">
        <f>IF(gamma!CT65,VLOOKUP(zeta!CT$1,main!$A$3:$H$102,5,FALSE)-VLOOKUP(zeta!$A65,main!$A$3:$H$102,6,FALSE),0)</f>
        <v>0</v>
      </c>
      <c r="CU65">
        <f>IF(gamma!CU65,VLOOKUP(zeta!CU$1,main!$A$3:$H$102,5,FALSE)-VLOOKUP(zeta!$A65,main!$A$3:$H$102,6,FALSE),0)</f>
        <v>0</v>
      </c>
      <c r="CV65">
        <f>IF(gamma!CV65,VLOOKUP(zeta!CV$1,main!$A$3:$H$102,5,FALSE)-VLOOKUP(zeta!$A65,main!$A$3:$H$102,6,FALSE),0)</f>
        <v>0</v>
      </c>
      <c r="CW65">
        <f>IF(gamma!CW65,VLOOKUP(zeta!CW$1,main!$A$3:$H$102,5,FALSE)-VLOOKUP(zeta!$A65,main!$A$3:$H$102,6,FALSE),0)</f>
        <v>180</v>
      </c>
      <c r="CX65">
        <f>IF(gamma!CX65,VLOOKUP(zeta!CX$1,main!$A$3:$H$102,5,FALSE)-VLOOKUP(zeta!$A65,main!$A$3:$H$102,6,FALSE),0)</f>
        <v>220</v>
      </c>
    </row>
    <row r="66" spans="1:102" x14ac:dyDescent="0.25">
      <c r="A66">
        <f t="shared" si="1"/>
        <v>64</v>
      </c>
      <c r="B66">
        <v>0</v>
      </c>
      <c r="C66">
        <f>IF(gamma!C66,VLOOKUP(zeta!C$1,main!$A$3:$H$102,5,FALSE)-VLOOKUP(zeta!$A66,main!$A$3:$H$102,6,FALSE),0)</f>
        <v>0</v>
      </c>
      <c r="D66">
        <f>IF(gamma!D66,VLOOKUP(zeta!D$1,main!$A$3:$H$102,5,FALSE)-VLOOKUP(zeta!$A66,main!$A$3:$H$102,6,FALSE),0)</f>
        <v>0</v>
      </c>
      <c r="E66">
        <f>IF(gamma!E66,VLOOKUP(zeta!E$1,main!$A$3:$H$102,5,FALSE)-VLOOKUP(zeta!$A66,main!$A$3:$H$102,6,FALSE),0)</f>
        <v>0</v>
      </c>
      <c r="F66">
        <f>IF(gamma!F66,VLOOKUP(zeta!F$1,main!$A$3:$H$102,5,FALSE)-VLOOKUP(zeta!$A66,main!$A$3:$H$102,6,FALSE),0)</f>
        <v>0</v>
      </c>
      <c r="G66">
        <f>IF(gamma!G66,VLOOKUP(zeta!G$1,main!$A$3:$H$102,5,FALSE)-VLOOKUP(zeta!$A66,main!$A$3:$H$102,6,FALSE),0)</f>
        <v>0</v>
      </c>
      <c r="H66">
        <f>IF(gamma!H66,VLOOKUP(zeta!H$1,main!$A$3:$H$102,5,FALSE)-VLOOKUP(zeta!$A66,main!$A$3:$H$102,6,FALSE),0)</f>
        <v>0</v>
      </c>
      <c r="I66">
        <f>IF(gamma!I66,VLOOKUP(zeta!I$1,main!$A$3:$H$102,5,FALSE)-VLOOKUP(zeta!$A66,main!$A$3:$H$102,6,FALSE),0)</f>
        <v>0</v>
      </c>
      <c r="J66">
        <f>IF(gamma!J66,VLOOKUP(zeta!J$1,main!$A$3:$H$102,5,FALSE)-VLOOKUP(zeta!$A66,main!$A$3:$H$102,6,FALSE),0)</f>
        <v>0</v>
      </c>
      <c r="K66">
        <f>IF(gamma!K66,VLOOKUP(zeta!K$1,main!$A$3:$H$102,5,FALSE)-VLOOKUP(zeta!$A66,main!$A$3:$H$102,6,FALSE),0)</f>
        <v>80</v>
      </c>
      <c r="L66">
        <f>IF(gamma!L66,VLOOKUP(zeta!L$1,main!$A$3:$H$102,5,FALSE)-VLOOKUP(zeta!$A66,main!$A$3:$H$102,6,FALSE),0)</f>
        <v>170</v>
      </c>
      <c r="M66">
        <f>IF(gamma!M66,VLOOKUP(zeta!M$1,main!$A$3:$H$102,5,FALSE)-VLOOKUP(zeta!$A66,main!$A$3:$H$102,6,FALSE),0)</f>
        <v>0</v>
      </c>
      <c r="N66">
        <f>IF(gamma!N66,VLOOKUP(zeta!N$1,main!$A$3:$H$102,5,FALSE)-VLOOKUP(zeta!$A66,main!$A$3:$H$102,6,FALSE),0)</f>
        <v>0</v>
      </c>
      <c r="O66">
        <f>IF(gamma!O66,VLOOKUP(zeta!O$1,main!$A$3:$H$102,5,FALSE)-VLOOKUP(zeta!$A66,main!$A$3:$H$102,6,FALSE),0)</f>
        <v>0</v>
      </c>
      <c r="P66">
        <f>IF(gamma!P66,VLOOKUP(zeta!P$1,main!$A$3:$H$102,5,FALSE)-VLOOKUP(zeta!$A66,main!$A$3:$H$102,6,FALSE),0)</f>
        <v>0</v>
      </c>
      <c r="Q66">
        <f>IF(gamma!Q66,VLOOKUP(zeta!Q$1,main!$A$3:$H$102,5,FALSE)-VLOOKUP(zeta!$A66,main!$A$3:$H$102,6,FALSE),0)</f>
        <v>0</v>
      </c>
      <c r="R66">
        <f>IF(gamma!R66,VLOOKUP(zeta!R$1,main!$A$3:$H$102,5,FALSE)-VLOOKUP(zeta!$A66,main!$A$3:$H$102,6,FALSE),0)</f>
        <v>0</v>
      </c>
      <c r="S66">
        <f>IF(gamma!S66,VLOOKUP(zeta!S$1,main!$A$3:$H$102,5,FALSE)-VLOOKUP(zeta!$A66,main!$A$3:$H$102,6,FALSE),0)</f>
        <v>0</v>
      </c>
      <c r="T66">
        <f>IF(gamma!T66,VLOOKUP(zeta!T$1,main!$A$3:$H$102,5,FALSE)-VLOOKUP(zeta!$A66,main!$A$3:$H$102,6,FALSE),0)</f>
        <v>0</v>
      </c>
      <c r="U66">
        <f>IF(gamma!U66,VLOOKUP(zeta!U$1,main!$A$3:$H$102,5,FALSE)-VLOOKUP(zeta!$A66,main!$A$3:$H$102,6,FALSE),0)</f>
        <v>135</v>
      </c>
      <c r="V66">
        <f>IF(gamma!V66,VLOOKUP(zeta!V$1,main!$A$3:$H$102,5,FALSE)-VLOOKUP(zeta!$A66,main!$A$3:$H$102,6,FALSE),0)</f>
        <v>195</v>
      </c>
      <c r="W66">
        <f>IF(gamma!W66,VLOOKUP(zeta!W$1,main!$A$3:$H$102,5,FALSE)-VLOOKUP(zeta!$A66,main!$A$3:$H$102,6,FALSE),0)</f>
        <v>0</v>
      </c>
      <c r="X66">
        <f>IF(gamma!X66,VLOOKUP(zeta!X$1,main!$A$3:$H$102,5,FALSE)-VLOOKUP(zeta!$A66,main!$A$3:$H$102,6,FALSE),0)</f>
        <v>0</v>
      </c>
      <c r="Y66">
        <f>IF(gamma!Y66,VLOOKUP(zeta!Y$1,main!$A$3:$H$102,5,FALSE)-VLOOKUP(zeta!$A66,main!$A$3:$H$102,6,FALSE),0)</f>
        <v>0</v>
      </c>
      <c r="Z66">
        <f>IF(gamma!Z66,VLOOKUP(zeta!Z$1,main!$A$3:$H$102,5,FALSE)-VLOOKUP(zeta!$A66,main!$A$3:$H$102,6,FALSE),0)</f>
        <v>0</v>
      </c>
      <c r="AA66">
        <f>IF(gamma!AA66,VLOOKUP(zeta!AA$1,main!$A$3:$H$102,5,FALSE)-VLOOKUP(zeta!$A66,main!$A$3:$H$102,6,FALSE),0)</f>
        <v>100</v>
      </c>
      <c r="AB66">
        <f>IF(gamma!AB66,VLOOKUP(zeta!AB$1,main!$A$3:$H$102,5,FALSE)-VLOOKUP(zeta!$A66,main!$A$3:$H$102,6,FALSE),0)</f>
        <v>0</v>
      </c>
      <c r="AC66">
        <f>IF(gamma!AC66,VLOOKUP(zeta!AC$1,main!$A$3:$H$102,5,FALSE)-VLOOKUP(zeta!$A66,main!$A$3:$H$102,6,FALSE),0)</f>
        <v>0</v>
      </c>
      <c r="AD66">
        <f>IF(gamma!AD66,VLOOKUP(zeta!AD$1,main!$A$3:$H$102,5,FALSE)-VLOOKUP(zeta!$A66,main!$A$3:$H$102,6,FALSE),0)</f>
        <v>0</v>
      </c>
      <c r="AE66">
        <f>IF(gamma!AE66,VLOOKUP(zeta!AE$1,main!$A$3:$H$102,5,FALSE)-VLOOKUP(zeta!$A66,main!$A$3:$H$102,6,FALSE),0)</f>
        <v>0</v>
      </c>
      <c r="AF66">
        <f>IF(gamma!AF66,VLOOKUP(zeta!AF$1,main!$A$3:$H$102,5,FALSE)-VLOOKUP(zeta!$A66,main!$A$3:$H$102,6,FALSE),0)</f>
        <v>80</v>
      </c>
      <c r="AG66">
        <f>IF(gamma!AG66,VLOOKUP(zeta!AG$1,main!$A$3:$H$102,5,FALSE)-VLOOKUP(zeta!$A66,main!$A$3:$H$102,6,FALSE),0)</f>
        <v>0</v>
      </c>
      <c r="AH66">
        <f>IF(gamma!AH66,VLOOKUP(zeta!AH$1,main!$A$3:$H$102,5,FALSE)-VLOOKUP(zeta!$A66,main!$A$3:$H$102,6,FALSE),0)</f>
        <v>0</v>
      </c>
      <c r="AI66">
        <f>IF(gamma!AI66,VLOOKUP(zeta!AI$1,main!$A$3:$H$102,5,FALSE)-VLOOKUP(zeta!$A66,main!$A$3:$H$102,6,FALSE),0)</f>
        <v>0</v>
      </c>
      <c r="AJ66">
        <f>IF(gamma!AJ66,VLOOKUP(zeta!AJ$1,main!$A$3:$H$102,5,FALSE)-VLOOKUP(zeta!$A66,main!$A$3:$H$102,6,FALSE),0)</f>
        <v>0</v>
      </c>
      <c r="AK66">
        <f>IF(gamma!AK66,VLOOKUP(zeta!AK$1,main!$A$3:$H$102,5,FALSE)-VLOOKUP(zeta!$A66,main!$A$3:$H$102,6,FALSE),0)</f>
        <v>0</v>
      </c>
      <c r="AL66">
        <f>IF(gamma!AL66,VLOOKUP(zeta!AL$1,main!$A$3:$H$102,5,FALSE)-VLOOKUP(zeta!$A66,main!$A$3:$H$102,6,FALSE),0)</f>
        <v>0</v>
      </c>
      <c r="AM66">
        <f>IF(gamma!AM66,VLOOKUP(zeta!AM$1,main!$A$3:$H$102,5,FALSE)-VLOOKUP(zeta!$A66,main!$A$3:$H$102,6,FALSE),0)</f>
        <v>60</v>
      </c>
      <c r="AN66">
        <f>IF(gamma!AN66,VLOOKUP(zeta!AN$1,main!$A$3:$H$102,5,FALSE)-VLOOKUP(zeta!$A66,main!$A$3:$H$102,6,FALSE),0)</f>
        <v>120</v>
      </c>
      <c r="AO66">
        <f>IF(gamma!AO66,VLOOKUP(zeta!AO$1,main!$A$3:$H$102,5,FALSE)-VLOOKUP(zeta!$A66,main!$A$3:$H$102,6,FALSE),0)</f>
        <v>0</v>
      </c>
      <c r="AP66">
        <f>IF(gamma!AP66,VLOOKUP(zeta!AP$1,main!$A$3:$H$102,5,FALSE)-VLOOKUP(zeta!$A66,main!$A$3:$H$102,6,FALSE),0)</f>
        <v>180</v>
      </c>
      <c r="AQ66">
        <f>IF(gamma!AQ66,VLOOKUP(zeta!AQ$1,main!$A$3:$H$102,5,FALSE)-VLOOKUP(zeta!$A66,main!$A$3:$H$102,6,FALSE),0)</f>
        <v>0</v>
      </c>
      <c r="AR66">
        <f>IF(gamma!AR66,VLOOKUP(zeta!AR$1,main!$A$3:$H$102,5,FALSE)-VLOOKUP(zeta!$A66,main!$A$3:$H$102,6,FALSE),0)</f>
        <v>0</v>
      </c>
      <c r="AS66">
        <f>IF(gamma!AS66,VLOOKUP(zeta!AS$1,main!$A$3:$H$102,5,FALSE)-VLOOKUP(zeta!$A66,main!$A$3:$H$102,6,FALSE),0)</f>
        <v>0</v>
      </c>
      <c r="AT66">
        <f>IF(gamma!AT66,VLOOKUP(zeta!AT$1,main!$A$3:$H$102,5,FALSE)-VLOOKUP(zeta!$A66,main!$A$3:$H$102,6,FALSE),0)</f>
        <v>0</v>
      </c>
      <c r="AU66">
        <f>IF(gamma!AU66,VLOOKUP(zeta!AU$1,main!$A$3:$H$102,5,FALSE)-VLOOKUP(zeta!$A66,main!$A$3:$H$102,6,FALSE),0)</f>
        <v>0</v>
      </c>
      <c r="AV66">
        <f>IF(gamma!AV66,VLOOKUP(zeta!AV$1,main!$A$3:$H$102,5,FALSE)-VLOOKUP(zeta!$A66,main!$A$3:$H$102,6,FALSE),0)</f>
        <v>0</v>
      </c>
      <c r="AW66">
        <f>IF(gamma!AW66,VLOOKUP(zeta!AW$1,main!$A$3:$H$102,5,FALSE)-VLOOKUP(zeta!$A66,main!$A$3:$H$102,6,FALSE),0)</f>
        <v>0</v>
      </c>
      <c r="AX66">
        <f>IF(gamma!AX66,VLOOKUP(zeta!AX$1,main!$A$3:$H$102,5,FALSE)-VLOOKUP(zeta!$A66,main!$A$3:$H$102,6,FALSE),0)</f>
        <v>0</v>
      </c>
      <c r="AY66">
        <f>IF(gamma!AY66,VLOOKUP(zeta!AY$1,main!$A$3:$H$102,5,FALSE)-VLOOKUP(zeta!$A66,main!$A$3:$H$102,6,FALSE),0)</f>
        <v>0</v>
      </c>
      <c r="AZ66">
        <f>IF(gamma!AZ66,VLOOKUP(zeta!AZ$1,main!$A$3:$H$102,5,FALSE)-VLOOKUP(zeta!$A66,main!$A$3:$H$102,6,FALSE),0)</f>
        <v>0</v>
      </c>
      <c r="BA66">
        <f>IF(gamma!BA66,VLOOKUP(zeta!BA$1,main!$A$3:$H$102,5,FALSE)-VLOOKUP(zeta!$A66,main!$A$3:$H$102,6,FALSE),0)</f>
        <v>0</v>
      </c>
      <c r="BB66">
        <f>IF(gamma!BB66,VLOOKUP(zeta!BB$1,main!$A$3:$H$102,5,FALSE)-VLOOKUP(zeta!$A66,main!$A$3:$H$102,6,FALSE),0)</f>
        <v>0</v>
      </c>
      <c r="BC66">
        <f>IF(gamma!BC66,VLOOKUP(zeta!BC$1,main!$A$3:$H$102,5,FALSE)-VLOOKUP(zeta!$A66,main!$A$3:$H$102,6,FALSE),0)</f>
        <v>0</v>
      </c>
      <c r="BD66">
        <f>IF(gamma!BD66,VLOOKUP(zeta!BD$1,main!$A$3:$H$102,5,FALSE)-VLOOKUP(zeta!$A66,main!$A$3:$H$102,6,FALSE),0)</f>
        <v>0</v>
      </c>
      <c r="BE66">
        <f>IF(gamma!BE66,VLOOKUP(zeta!BE$1,main!$A$3:$H$102,5,FALSE)-VLOOKUP(zeta!$A66,main!$A$3:$H$102,6,FALSE),0)</f>
        <v>0</v>
      </c>
      <c r="BF66">
        <f>IF(gamma!BF66,VLOOKUP(zeta!BF$1,main!$A$3:$H$102,5,FALSE)-VLOOKUP(zeta!$A66,main!$A$3:$H$102,6,FALSE),0)</f>
        <v>0</v>
      </c>
      <c r="BG66">
        <f>IF(gamma!BG66,VLOOKUP(zeta!BG$1,main!$A$3:$H$102,5,FALSE)-VLOOKUP(zeta!$A66,main!$A$3:$H$102,6,FALSE),0)</f>
        <v>0</v>
      </c>
      <c r="BH66">
        <f>IF(gamma!BH66,VLOOKUP(zeta!BH$1,main!$A$3:$H$102,5,FALSE)-VLOOKUP(zeta!$A66,main!$A$3:$H$102,6,FALSE),0)</f>
        <v>0</v>
      </c>
      <c r="BI66">
        <f>IF(gamma!BI66,VLOOKUP(zeta!BI$1,main!$A$3:$H$102,5,FALSE)-VLOOKUP(zeta!$A66,main!$A$3:$H$102,6,FALSE),0)</f>
        <v>190</v>
      </c>
      <c r="BJ66">
        <f>IF(gamma!BJ66,VLOOKUP(zeta!BJ$1,main!$A$3:$H$102,5,FALSE)-VLOOKUP(zeta!$A66,main!$A$3:$H$102,6,FALSE),0)</f>
        <v>0</v>
      </c>
      <c r="BK66">
        <f>IF(gamma!BK66,VLOOKUP(zeta!BK$1,main!$A$3:$H$102,5,FALSE)-VLOOKUP(zeta!$A66,main!$A$3:$H$102,6,FALSE),0)</f>
        <v>0</v>
      </c>
      <c r="BL66">
        <f>IF(gamma!BL66,VLOOKUP(zeta!BL$1,main!$A$3:$H$102,5,FALSE)-VLOOKUP(zeta!$A66,main!$A$3:$H$102,6,FALSE),0)</f>
        <v>0</v>
      </c>
      <c r="BM66">
        <f>IF(gamma!BM66,VLOOKUP(zeta!BM$1,main!$A$3:$H$102,5,FALSE)-VLOOKUP(zeta!$A66,main!$A$3:$H$102,6,FALSE),0)</f>
        <v>0</v>
      </c>
      <c r="BN66">
        <f>IF(gamma!BN66,VLOOKUP(zeta!BN$1,main!$A$3:$H$102,5,FALSE)-VLOOKUP(zeta!$A66,main!$A$3:$H$102,6,FALSE),0)</f>
        <v>0</v>
      </c>
      <c r="BO66">
        <f>IF(gamma!BO66,VLOOKUP(zeta!BO$1,main!$A$3:$H$102,5,FALSE)-VLOOKUP(zeta!$A66,main!$A$3:$H$102,6,FALSE),0)</f>
        <v>0</v>
      </c>
      <c r="BP66">
        <f>IF(gamma!BP66,VLOOKUP(zeta!BP$1,main!$A$3:$H$102,5,FALSE)-VLOOKUP(zeta!$A66,main!$A$3:$H$102,6,FALSE),0)</f>
        <v>0</v>
      </c>
      <c r="BQ66">
        <f>IF(gamma!BQ66,VLOOKUP(zeta!BQ$1,main!$A$3:$H$102,5,FALSE)-VLOOKUP(zeta!$A66,main!$A$3:$H$102,6,FALSE),0)</f>
        <v>0</v>
      </c>
      <c r="BR66">
        <f>IF(gamma!BR66,VLOOKUP(zeta!BR$1,main!$A$3:$H$102,5,FALSE)-VLOOKUP(zeta!$A66,main!$A$3:$H$102,6,FALSE),0)</f>
        <v>0</v>
      </c>
      <c r="BS66">
        <f>IF(gamma!BS66,VLOOKUP(zeta!BS$1,main!$A$3:$H$102,5,FALSE)-VLOOKUP(zeta!$A66,main!$A$3:$H$102,6,FALSE),0)</f>
        <v>0</v>
      </c>
      <c r="BT66">
        <f>IF(gamma!BT66,VLOOKUP(zeta!BT$1,main!$A$3:$H$102,5,FALSE)-VLOOKUP(zeta!$A66,main!$A$3:$H$102,6,FALSE),0)</f>
        <v>0</v>
      </c>
      <c r="BU66">
        <f>IF(gamma!BU66,VLOOKUP(zeta!BU$1,main!$A$3:$H$102,5,FALSE)-VLOOKUP(zeta!$A66,main!$A$3:$H$102,6,FALSE),0)</f>
        <v>0</v>
      </c>
      <c r="BV66">
        <f>IF(gamma!BV66,VLOOKUP(zeta!BV$1,main!$A$3:$H$102,5,FALSE)-VLOOKUP(zeta!$A66,main!$A$3:$H$102,6,FALSE),0)</f>
        <v>0</v>
      </c>
      <c r="BW66">
        <f>IF(gamma!BW66,VLOOKUP(zeta!BW$1,main!$A$3:$H$102,5,FALSE)-VLOOKUP(zeta!$A66,main!$A$3:$H$102,6,FALSE),0)</f>
        <v>0</v>
      </c>
      <c r="BX66">
        <f>IF(gamma!BX66,VLOOKUP(zeta!BX$1,main!$A$3:$H$102,5,FALSE)-VLOOKUP(zeta!$A66,main!$A$3:$H$102,6,FALSE),0)</f>
        <v>0</v>
      </c>
      <c r="BY66">
        <f>IF(gamma!BY66,VLOOKUP(zeta!BY$1,main!$A$3:$H$102,5,FALSE)-VLOOKUP(zeta!$A66,main!$A$3:$H$102,6,FALSE),0)</f>
        <v>0</v>
      </c>
      <c r="BZ66">
        <f>IF(gamma!BZ66,VLOOKUP(zeta!BZ$1,main!$A$3:$H$102,5,FALSE)-VLOOKUP(zeta!$A66,main!$A$3:$H$102,6,FALSE),0)</f>
        <v>0</v>
      </c>
      <c r="CA66">
        <f>IF(gamma!CA66,VLOOKUP(zeta!CA$1,main!$A$3:$H$102,5,FALSE)-VLOOKUP(zeta!$A66,main!$A$3:$H$102,6,FALSE),0)</f>
        <v>0</v>
      </c>
      <c r="CB66">
        <f>IF(gamma!CB66,VLOOKUP(zeta!CB$1,main!$A$3:$H$102,5,FALSE)-VLOOKUP(zeta!$A66,main!$A$3:$H$102,6,FALSE),0)</f>
        <v>0</v>
      </c>
      <c r="CC66">
        <f>IF(gamma!CC66,VLOOKUP(zeta!CC$1,main!$A$3:$H$102,5,FALSE)-VLOOKUP(zeta!$A66,main!$A$3:$H$102,6,FALSE),0)</f>
        <v>95</v>
      </c>
      <c r="CD66">
        <f>IF(gamma!CD66,VLOOKUP(zeta!CD$1,main!$A$3:$H$102,5,FALSE)-VLOOKUP(zeta!$A66,main!$A$3:$H$102,6,FALSE),0)</f>
        <v>0</v>
      </c>
      <c r="CE66">
        <f>IF(gamma!CE66,VLOOKUP(zeta!CE$1,main!$A$3:$H$102,5,FALSE)-VLOOKUP(zeta!$A66,main!$A$3:$H$102,6,FALSE),0)</f>
        <v>0</v>
      </c>
      <c r="CF66">
        <f>IF(gamma!CF66,VLOOKUP(zeta!CF$1,main!$A$3:$H$102,5,FALSE)-VLOOKUP(zeta!$A66,main!$A$3:$H$102,6,FALSE),0)</f>
        <v>0</v>
      </c>
      <c r="CG66">
        <f>IF(gamma!CG66,VLOOKUP(zeta!CG$1,main!$A$3:$H$102,5,FALSE)-VLOOKUP(zeta!$A66,main!$A$3:$H$102,6,FALSE),0)</f>
        <v>0</v>
      </c>
      <c r="CH66">
        <f>IF(gamma!CH66,VLOOKUP(zeta!CH$1,main!$A$3:$H$102,5,FALSE)-VLOOKUP(zeta!$A66,main!$A$3:$H$102,6,FALSE),0)</f>
        <v>0</v>
      </c>
      <c r="CI66">
        <f>IF(gamma!CI66,VLOOKUP(zeta!CI$1,main!$A$3:$H$102,5,FALSE)-VLOOKUP(zeta!$A66,main!$A$3:$H$102,6,FALSE),0)</f>
        <v>180</v>
      </c>
      <c r="CJ66">
        <f>IF(gamma!CJ66,VLOOKUP(zeta!CJ$1,main!$A$3:$H$102,5,FALSE)-VLOOKUP(zeta!$A66,main!$A$3:$H$102,6,FALSE),0)</f>
        <v>0</v>
      </c>
      <c r="CK66">
        <f>IF(gamma!CK66,VLOOKUP(zeta!CK$1,main!$A$3:$H$102,5,FALSE)-VLOOKUP(zeta!$A66,main!$A$3:$H$102,6,FALSE),0)</f>
        <v>0</v>
      </c>
      <c r="CL66">
        <f>IF(gamma!CL66,VLOOKUP(zeta!CL$1,main!$A$3:$H$102,5,FALSE)-VLOOKUP(zeta!$A66,main!$A$3:$H$102,6,FALSE),0)</f>
        <v>0</v>
      </c>
      <c r="CM66">
        <f>IF(gamma!CM66,VLOOKUP(zeta!CM$1,main!$A$3:$H$102,5,FALSE)-VLOOKUP(zeta!$A66,main!$A$3:$H$102,6,FALSE),0)</f>
        <v>0</v>
      </c>
      <c r="CN66">
        <f>IF(gamma!CN66,VLOOKUP(zeta!CN$1,main!$A$3:$H$102,5,FALSE)-VLOOKUP(zeta!$A66,main!$A$3:$H$102,6,FALSE),0)</f>
        <v>180</v>
      </c>
      <c r="CO66">
        <f>IF(gamma!CO66,VLOOKUP(zeta!CO$1,main!$A$3:$H$102,5,FALSE)-VLOOKUP(zeta!$A66,main!$A$3:$H$102,6,FALSE),0)</f>
        <v>0</v>
      </c>
      <c r="CP66">
        <f>IF(gamma!CP66,VLOOKUP(zeta!CP$1,main!$A$3:$H$102,5,FALSE)-VLOOKUP(zeta!$A66,main!$A$3:$H$102,6,FALSE),0)</f>
        <v>0</v>
      </c>
      <c r="CQ66">
        <f>IF(gamma!CQ66,VLOOKUP(zeta!CQ$1,main!$A$3:$H$102,5,FALSE)-VLOOKUP(zeta!$A66,main!$A$3:$H$102,6,FALSE),0)</f>
        <v>0</v>
      </c>
      <c r="CR66">
        <f>IF(gamma!CR66,VLOOKUP(zeta!CR$1,main!$A$3:$H$102,5,FALSE)-VLOOKUP(zeta!$A66,main!$A$3:$H$102,6,FALSE),0)</f>
        <v>0</v>
      </c>
      <c r="CS66">
        <f>IF(gamma!CS66,VLOOKUP(zeta!CS$1,main!$A$3:$H$102,5,FALSE)-VLOOKUP(zeta!$A66,main!$A$3:$H$102,6,FALSE),0)</f>
        <v>0</v>
      </c>
      <c r="CT66">
        <f>IF(gamma!CT66,VLOOKUP(zeta!CT$1,main!$A$3:$H$102,5,FALSE)-VLOOKUP(zeta!$A66,main!$A$3:$H$102,6,FALSE),0)</f>
        <v>0</v>
      </c>
      <c r="CU66">
        <f>IF(gamma!CU66,VLOOKUP(zeta!CU$1,main!$A$3:$H$102,5,FALSE)-VLOOKUP(zeta!$A66,main!$A$3:$H$102,6,FALSE),0)</f>
        <v>0</v>
      </c>
      <c r="CV66">
        <f>IF(gamma!CV66,VLOOKUP(zeta!CV$1,main!$A$3:$H$102,5,FALSE)-VLOOKUP(zeta!$A66,main!$A$3:$H$102,6,FALSE),0)</f>
        <v>0</v>
      </c>
      <c r="CW66">
        <f>IF(gamma!CW66,VLOOKUP(zeta!CW$1,main!$A$3:$H$102,5,FALSE)-VLOOKUP(zeta!$A66,main!$A$3:$H$102,6,FALSE),0)</f>
        <v>0</v>
      </c>
      <c r="CX66">
        <f>IF(gamma!CX66,VLOOKUP(zeta!CX$1,main!$A$3:$H$102,5,FALSE)-VLOOKUP(zeta!$A66,main!$A$3:$H$102,6,FALSE),0)</f>
        <v>0</v>
      </c>
    </row>
    <row r="67" spans="1:102" x14ac:dyDescent="0.25">
      <c r="A67">
        <f t="shared" ref="A67:A102" si="2">A66+1</f>
        <v>65</v>
      </c>
      <c r="B67">
        <v>0</v>
      </c>
      <c r="C67">
        <f>IF(gamma!C67,VLOOKUP(zeta!C$1,main!$A$3:$H$102,5,FALSE)-VLOOKUP(zeta!$A67,main!$A$3:$H$102,6,FALSE),0)</f>
        <v>0</v>
      </c>
      <c r="D67">
        <f>IF(gamma!D67,VLOOKUP(zeta!D$1,main!$A$3:$H$102,5,FALSE)-VLOOKUP(zeta!$A67,main!$A$3:$H$102,6,FALSE),0)</f>
        <v>40</v>
      </c>
      <c r="E67">
        <f>IF(gamma!E67,VLOOKUP(zeta!E$1,main!$A$3:$H$102,5,FALSE)-VLOOKUP(zeta!$A67,main!$A$3:$H$102,6,FALSE),0)</f>
        <v>200</v>
      </c>
      <c r="F67">
        <f>IF(gamma!F67,VLOOKUP(zeta!F$1,main!$A$3:$H$102,5,FALSE)-VLOOKUP(zeta!$A67,main!$A$3:$H$102,6,FALSE),0)</f>
        <v>220</v>
      </c>
      <c r="G67">
        <f>IF(gamma!G67,VLOOKUP(zeta!G$1,main!$A$3:$H$102,5,FALSE)-VLOOKUP(zeta!$A67,main!$A$3:$H$102,6,FALSE),0)</f>
        <v>310</v>
      </c>
      <c r="H67">
        <f>IF(gamma!H67,VLOOKUP(zeta!H$1,main!$A$3:$H$102,5,FALSE)-VLOOKUP(zeta!$A67,main!$A$3:$H$102,6,FALSE),0)</f>
        <v>400</v>
      </c>
      <c r="I67">
        <f>IF(gamma!I67,VLOOKUP(zeta!I$1,main!$A$3:$H$102,5,FALSE)-VLOOKUP(zeta!$A67,main!$A$3:$H$102,6,FALSE),0)</f>
        <v>460</v>
      </c>
      <c r="J67">
        <f>IF(gamma!J67,VLOOKUP(zeta!J$1,main!$A$3:$H$102,5,FALSE)-VLOOKUP(zeta!$A67,main!$A$3:$H$102,6,FALSE),0)</f>
        <v>520</v>
      </c>
      <c r="K67">
        <f>IF(gamma!K67,VLOOKUP(zeta!K$1,main!$A$3:$H$102,5,FALSE)-VLOOKUP(zeta!$A67,main!$A$3:$H$102,6,FALSE),0)</f>
        <v>580</v>
      </c>
      <c r="L67">
        <f>IF(gamma!L67,VLOOKUP(zeta!L$1,main!$A$3:$H$102,5,FALSE)-VLOOKUP(zeta!$A67,main!$A$3:$H$102,6,FALSE),0)</f>
        <v>670</v>
      </c>
      <c r="M67">
        <f>IF(gamma!M67,VLOOKUP(zeta!M$1,main!$A$3:$H$102,5,FALSE)-VLOOKUP(zeta!$A67,main!$A$3:$H$102,6,FALSE),0)</f>
        <v>0</v>
      </c>
      <c r="N67">
        <f>IF(gamma!N67,VLOOKUP(zeta!N$1,main!$A$3:$H$102,5,FALSE)-VLOOKUP(zeta!$A67,main!$A$3:$H$102,6,FALSE),0)</f>
        <v>48</v>
      </c>
      <c r="O67">
        <f>IF(gamma!O67,VLOOKUP(zeta!O$1,main!$A$3:$H$102,5,FALSE)-VLOOKUP(zeta!$A67,main!$A$3:$H$102,6,FALSE),0)</f>
        <v>80</v>
      </c>
      <c r="P67">
        <f>IF(gamma!P67,VLOOKUP(zeta!P$1,main!$A$3:$H$102,5,FALSE)-VLOOKUP(zeta!$A67,main!$A$3:$H$102,6,FALSE),0)</f>
        <v>155</v>
      </c>
      <c r="Q67">
        <f>IF(gamma!Q67,VLOOKUP(zeta!Q$1,main!$A$3:$H$102,5,FALSE)-VLOOKUP(zeta!$A67,main!$A$3:$H$102,6,FALSE),0)</f>
        <v>235</v>
      </c>
      <c r="R67">
        <f>IF(gamma!R67,VLOOKUP(zeta!R$1,main!$A$3:$H$102,5,FALSE)-VLOOKUP(zeta!$A67,main!$A$3:$H$102,6,FALSE),0)</f>
        <v>275</v>
      </c>
      <c r="S67">
        <f>IF(gamma!S67,VLOOKUP(zeta!S$1,main!$A$3:$H$102,5,FALSE)-VLOOKUP(zeta!$A67,main!$A$3:$H$102,6,FALSE),0)</f>
        <v>400</v>
      </c>
      <c r="T67">
        <f>IF(gamma!T67,VLOOKUP(zeta!T$1,main!$A$3:$H$102,5,FALSE)-VLOOKUP(zeta!$A67,main!$A$3:$H$102,6,FALSE),0)</f>
        <v>480</v>
      </c>
      <c r="U67">
        <f>IF(gamma!U67,VLOOKUP(zeta!U$1,main!$A$3:$H$102,5,FALSE)-VLOOKUP(zeta!$A67,main!$A$3:$H$102,6,FALSE),0)</f>
        <v>635</v>
      </c>
      <c r="V67">
        <f>IF(gamma!V67,VLOOKUP(zeta!V$1,main!$A$3:$H$102,5,FALSE)-VLOOKUP(zeta!$A67,main!$A$3:$H$102,6,FALSE),0)</f>
        <v>695</v>
      </c>
      <c r="W67">
        <f>IF(gamma!W67,VLOOKUP(zeta!W$1,main!$A$3:$H$102,5,FALSE)-VLOOKUP(zeta!$A67,main!$A$3:$H$102,6,FALSE),0)</f>
        <v>40</v>
      </c>
      <c r="X67">
        <f>IF(gamma!X67,VLOOKUP(zeta!X$1,main!$A$3:$H$102,5,FALSE)-VLOOKUP(zeta!$A67,main!$A$3:$H$102,6,FALSE),0)</f>
        <v>110</v>
      </c>
      <c r="Y67">
        <f>IF(gamma!Y67,VLOOKUP(zeta!Y$1,main!$A$3:$H$102,5,FALSE)-VLOOKUP(zeta!$A67,main!$A$3:$H$102,6,FALSE),0)</f>
        <v>270</v>
      </c>
      <c r="Z67">
        <f>IF(gamma!Z67,VLOOKUP(zeta!Z$1,main!$A$3:$H$102,5,FALSE)-VLOOKUP(zeta!$A67,main!$A$3:$H$102,6,FALSE),0)</f>
        <v>450</v>
      </c>
      <c r="AA67">
        <f>IF(gamma!AA67,VLOOKUP(zeta!AA$1,main!$A$3:$H$102,5,FALSE)-VLOOKUP(zeta!$A67,main!$A$3:$H$102,6,FALSE),0)</f>
        <v>600</v>
      </c>
      <c r="AB67">
        <f>IF(gamma!AB67,VLOOKUP(zeta!AB$1,main!$A$3:$H$102,5,FALSE)-VLOOKUP(zeta!$A67,main!$A$3:$H$102,6,FALSE),0)</f>
        <v>0</v>
      </c>
      <c r="AC67">
        <f>IF(gamma!AC67,VLOOKUP(zeta!AC$1,main!$A$3:$H$102,5,FALSE)-VLOOKUP(zeta!$A67,main!$A$3:$H$102,6,FALSE),0)</f>
        <v>0</v>
      </c>
      <c r="AD67">
        <f>IF(gamma!AD67,VLOOKUP(zeta!AD$1,main!$A$3:$H$102,5,FALSE)-VLOOKUP(zeta!$A67,main!$A$3:$H$102,6,FALSE),0)</f>
        <v>230</v>
      </c>
      <c r="AE67">
        <f>IF(gamma!AE67,VLOOKUP(zeta!AE$1,main!$A$3:$H$102,5,FALSE)-VLOOKUP(zeta!$A67,main!$A$3:$H$102,6,FALSE),0)</f>
        <v>410</v>
      </c>
      <c r="AF67">
        <f>IF(gamma!AF67,VLOOKUP(zeta!AF$1,main!$A$3:$H$102,5,FALSE)-VLOOKUP(zeta!$A67,main!$A$3:$H$102,6,FALSE),0)</f>
        <v>580</v>
      </c>
      <c r="AG67">
        <f>IF(gamma!AG67,VLOOKUP(zeta!AG$1,main!$A$3:$H$102,5,FALSE)-VLOOKUP(zeta!$A67,main!$A$3:$H$102,6,FALSE),0)</f>
        <v>20</v>
      </c>
      <c r="AH67">
        <f>IF(gamma!AH67,VLOOKUP(zeta!AH$1,main!$A$3:$H$102,5,FALSE)-VLOOKUP(zeta!$A67,main!$A$3:$H$102,6,FALSE),0)</f>
        <v>110</v>
      </c>
      <c r="AI67">
        <f>IF(gamma!AI67,VLOOKUP(zeta!AI$1,main!$A$3:$H$102,5,FALSE)-VLOOKUP(zeta!$A67,main!$A$3:$H$102,6,FALSE),0)</f>
        <v>200</v>
      </c>
      <c r="AJ67">
        <f>IF(gamma!AJ67,VLOOKUP(zeta!AJ$1,main!$A$3:$H$102,5,FALSE)-VLOOKUP(zeta!$A67,main!$A$3:$H$102,6,FALSE),0)</f>
        <v>290</v>
      </c>
      <c r="AK67">
        <f>IF(gamma!AK67,VLOOKUP(zeta!AK$1,main!$A$3:$H$102,5,FALSE)-VLOOKUP(zeta!$A67,main!$A$3:$H$102,6,FALSE),0)</f>
        <v>380</v>
      </c>
      <c r="AL67">
        <f>IF(gamma!AL67,VLOOKUP(zeta!AL$1,main!$A$3:$H$102,5,FALSE)-VLOOKUP(zeta!$A67,main!$A$3:$H$102,6,FALSE),0)</f>
        <v>470</v>
      </c>
      <c r="AM67">
        <f>IF(gamma!AM67,VLOOKUP(zeta!AM$1,main!$A$3:$H$102,5,FALSE)-VLOOKUP(zeta!$A67,main!$A$3:$H$102,6,FALSE),0)</f>
        <v>560</v>
      </c>
      <c r="AN67">
        <f>IF(gamma!AN67,VLOOKUP(zeta!AN$1,main!$A$3:$H$102,5,FALSE)-VLOOKUP(zeta!$A67,main!$A$3:$H$102,6,FALSE),0)</f>
        <v>620</v>
      </c>
      <c r="AO67">
        <f>IF(gamma!AO67,VLOOKUP(zeta!AO$1,main!$A$3:$H$102,5,FALSE)-VLOOKUP(zeta!$A67,main!$A$3:$H$102,6,FALSE),0)</f>
        <v>0</v>
      </c>
      <c r="AP67">
        <f>IF(gamma!AP67,VLOOKUP(zeta!AP$1,main!$A$3:$H$102,5,FALSE)-VLOOKUP(zeta!$A67,main!$A$3:$H$102,6,FALSE),0)</f>
        <v>680</v>
      </c>
      <c r="AQ67">
        <f>IF(gamma!AQ67,VLOOKUP(zeta!AQ$1,main!$A$3:$H$102,5,FALSE)-VLOOKUP(zeta!$A67,main!$A$3:$H$102,6,FALSE),0)</f>
        <v>0</v>
      </c>
      <c r="AR67">
        <f>IF(gamma!AR67,VLOOKUP(zeta!AR$1,main!$A$3:$H$102,5,FALSE)-VLOOKUP(zeta!$A67,main!$A$3:$H$102,6,FALSE),0)</f>
        <v>75</v>
      </c>
      <c r="AS67">
        <f>IF(gamma!AS67,VLOOKUP(zeta!AS$1,main!$A$3:$H$102,5,FALSE)-VLOOKUP(zeta!$A67,main!$A$3:$H$102,6,FALSE),0)</f>
        <v>280</v>
      </c>
      <c r="AT67">
        <f>IF(gamma!AT67,VLOOKUP(zeta!AT$1,main!$A$3:$H$102,5,FALSE)-VLOOKUP(zeta!$A67,main!$A$3:$H$102,6,FALSE),0)</f>
        <v>430</v>
      </c>
      <c r="AU67">
        <f>IF(gamma!AU67,VLOOKUP(zeta!AU$1,main!$A$3:$H$102,5,FALSE)-VLOOKUP(zeta!$A67,main!$A$3:$H$102,6,FALSE),0)</f>
        <v>0</v>
      </c>
      <c r="AV67">
        <f>IF(gamma!AV67,VLOOKUP(zeta!AV$1,main!$A$3:$H$102,5,FALSE)-VLOOKUP(zeta!$A67,main!$A$3:$H$102,6,FALSE),0)</f>
        <v>0</v>
      </c>
      <c r="AW67">
        <f>IF(gamma!AW67,VLOOKUP(zeta!AW$1,main!$A$3:$H$102,5,FALSE)-VLOOKUP(zeta!$A67,main!$A$3:$H$102,6,FALSE),0)</f>
        <v>380</v>
      </c>
      <c r="AX67">
        <f>IF(gamma!AX67,VLOOKUP(zeta!AX$1,main!$A$3:$H$102,5,FALSE)-VLOOKUP(zeta!$A67,main!$A$3:$H$102,6,FALSE),0)</f>
        <v>220</v>
      </c>
      <c r="AY67">
        <f>IF(gamma!AY67,VLOOKUP(zeta!AY$1,main!$A$3:$H$102,5,FALSE)-VLOOKUP(zeta!$A67,main!$A$3:$H$102,6,FALSE),0)</f>
        <v>80</v>
      </c>
      <c r="AZ67">
        <f>IF(gamma!AZ67,VLOOKUP(zeta!AZ$1,main!$A$3:$H$102,5,FALSE)-VLOOKUP(zeta!$A67,main!$A$3:$H$102,6,FALSE),0)</f>
        <v>210</v>
      </c>
      <c r="BA67">
        <f>IF(gamma!BA67,VLOOKUP(zeta!BA$1,main!$A$3:$H$102,5,FALSE)-VLOOKUP(zeta!$A67,main!$A$3:$H$102,6,FALSE),0)</f>
        <v>50</v>
      </c>
      <c r="BB67">
        <f>IF(gamma!BB67,VLOOKUP(zeta!BB$1,main!$A$3:$H$102,5,FALSE)-VLOOKUP(zeta!$A67,main!$A$3:$H$102,6,FALSE),0)</f>
        <v>220</v>
      </c>
      <c r="BC67">
        <f>IF(gamma!BC67,VLOOKUP(zeta!BC$1,main!$A$3:$H$102,5,FALSE)-VLOOKUP(zeta!$A67,main!$A$3:$H$102,6,FALSE),0)</f>
        <v>340</v>
      </c>
      <c r="BD67">
        <f>IF(gamma!BD67,VLOOKUP(zeta!BD$1,main!$A$3:$H$102,5,FALSE)-VLOOKUP(zeta!$A67,main!$A$3:$H$102,6,FALSE),0)</f>
        <v>400</v>
      </c>
      <c r="BE67">
        <f>IF(gamma!BE67,VLOOKUP(zeta!BE$1,main!$A$3:$H$102,5,FALSE)-VLOOKUP(zeta!$A67,main!$A$3:$H$102,6,FALSE),0)</f>
        <v>520</v>
      </c>
      <c r="BF67">
        <f>IF(gamma!BF67,VLOOKUP(zeta!BF$1,main!$A$3:$H$102,5,FALSE)-VLOOKUP(zeta!$A67,main!$A$3:$H$102,6,FALSE),0)</f>
        <v>60</v>
      </c>
      <c r="BG67">
        <f>IF(gamma!BG67,VLOOKUP(zeta!BG$1,main!$A$3:$H$102,5,FALSE)-VLOOKUP(zeta!$A67,main!$A$3:$H$102,6,FALSE),0)</f>
        <v>110</v>
      </c>
      <c r="BH67">
        <f>IF(gamma!BH67,VLOOKUP(zeta!BH$1,main!$A$3:$H$102,5,FALSE)-VLOOKUP(zeta!$A67,main!$A$3:$H$102,6,FALSE),0)</f>
        <v>305</v>
      </c>
      <c r="BI67">
        <f>IF(gamma!BI67,VLOOKUP(zeta!BI$1,main!$A$3:$H$102,5,FALSE)-VLOOKUP(zeta!$A67,main!$A$3:$H$102,6,FALSE),0)</f>
        <v>690</v>
      </c>
      <c r="BJ67">
        <f>IF(gamma!BJ67,VLOOKUP(zeta!BJ$1,main!$A$3:$H$102,5,FALSE)-VLOOKUP(zeta!$A67,main!$A$3:$H$102,6,FALSE),0)</f>
        <v>480</v>
      </c>
      <c r="BK67">
        <f>IF(gamma!BK67,VLOOKUP(zeta!BK$1,main!$A$3:$H$102,5,FALSE)-VLOOKUP(zeta!$A67,main!$A$3:$H$102,6,FALSE),0)</f>
        <v>0</v>
      </c>
      <c r="BL67">
        <f>IF(gamma!BL67,VLOOKUP(zeta!BL$1,main!$A$3:$H$102,5,FALSE)-VLOOKUP(zeta!$A67,main!$A$3:$H$102,6,FALSE),0)</f>
        <v>0</v>
      </c>
      <c r="BM67">
        <f>IF(gamma!BM67,VLOOKUP(zeta!BM$1,main!$A$3:$H$102,5,FALSE)-VLOOKUP(zeta!$A67,main!$A$3:$H$102,6,FALSE),0)</f>
        <v>125</v>
      </c>
      <c r="BN67">
        <f>IF(gamma!BN67,VLOOKUP(zeta!BN$1,main!$A$3:$H$102,5,FALSE)-VLOOKUP(zeta!$A67,main!$A$3:$H$102,6,FALSE),0)</f>
        <v>380</v>
      </c>
      <c r="BO67">
        <f>IF(gamma!BO67,VLOOKUP(zeta!BO$1,main!$A$3:$H$102,5,FALSE)-VLOOKUP(zeta!$A67,main!$A$3:$H$102,6,FALSE),0)</f>
        <v>0</v>
      </c>
      <c r="BP67">
        <f>IF(gamma!BP67,VLOOKUP(zeta!BP$1,main!$A$3:$H$102,5,FALSE)-VLOOKUP(zeta!$A67,main!$A$3:$H$102,6,FALSE),0)</f>
        <v>0</v>
      </c>
      <c r="BQ67">
        <f>IF(gamma!BQ67,VLOOKUP(zeta!BQ$1,main!$A$3:$H$102,5,FALSE)-VLOOKUP(zeta!$A67,main!$A$3:$H$102,6,FALSE),0)</f>
        <v>235</v>
      </c>
      <c r="BR67">
        <f>IF(gamma!BR67,VLOOKUP(zeta!BR$1,main!$A$3:$H$102,5,FALSE)-VLOOKUP(zeta!$A67,main!$A$3:$H$102,6,FALSE),0)</f>
        <v>270</v>
      </c>
      <c r="BS67">
        <f>IF(gamma!BS67,VLOOKUP(zeta!BS$1,main!$A$3:$H$102,5,FALSE)-VLOOKUP(zeta!$A67,main!$A$3:$H$102,6,FALSE),0)</f>
        <v>280</v>
      </c>
      <c r="BT67">
        <f>IF(gamma!BT67,VLOOKUP(zeta!BT$1,main!$A$3:$H$102,5,FALSE)-VLOOKUP(zeta!$A67,main!$A$3:$H$102,6,FALSE),0)</f>
        <v>230</v>
      </c>
      <c r="BU67">
        <f>IF(gamma!BU67,VLOOKUP(zeta!BU$1,main!$A$3:$H$102,5,FALSE)-VLOOKUP(zeta!$A67,main!$A$3:$H$102,6,FALSE),0)</f>
        <v>0</v>
      </c>
      <c r="BV67">
        <f>IF(gamma!BV67,VLOOKUP(zeta!BV$1,main!$A$3:$H$102,5,FALSE)-VLOOKUP(zeta!$A67,main!$A$3:$H$102,6,FALSE),0)</f>
        <v>0</v>
      </c>
      <c r="BW67">
        <f>IF(gamma!BW67,VLOOKUP(zeta!BW$1,main!$A$3:$H$102,5,FALSE)-VLOOKUP(zeta!$A67,main!$A$3:$H$102,6,FALSE),0)</f>
        <v>80</v>
      </c>
      <c r="BX67">
        <f>IF(gamma!BX67,VLOOKUP(zeta!BX$1,main!$A$3:$H$102,5,FALSE)-VLOOKUP(zeta!$A67,main!$A$3:$H$102,6,FALSE),0)</f>
        <v>245</v>
      </c>
      <c r="BY67">
        <f>IF(gamma!BY67,VLOOKUP(zeta!BY$1,main!$A$3:$H$102,5,FALSE)-VLOOKUP(zeta!$A67,main!$A$3:$H$102,6,FALSE),0)</f>
        <v>330</v>
      </c>
      <c r="BZ67">
        <f>IF(gamma!BZ67,VLOOKUP(zeta!BZ$1,main!$A$3:$H$102,5,FALSE)-VLOOKUP(zeta!$A67,main!$A$3:$H$102,6,FALSE),0)</f>
        <v>0</v>
      </c>
      <c r="CA67">
        <f>IF(gamma!CA67,VLOOKUP(zeta!CA$1,main!$A$3:$H$102,5,FALSE)-VLOOKUP(zeta!$A67,main!$A$3:$H$102,6,FALSE),0)</f>
        <v>65</v>
      </c>
      <c r="CB67">
        <f>IF(gamma!CB67,VLOOKUP(zeta!CB$1,main!$A$3:$H$102,5,FALSE)-VLOOKUP(zeta!$A67,main!$A$3:$H$102,6,FALSE),0)</f>
        <v>385</v>
      </c>
      <c r="CC67">
        <f>IF(gamma!CC67,VLOOKUP(zeta!CC$1,main!$A$3:$H$102,5,FALSE)-VLOOKUP(zeta!$A67,main!$A$3:$H$102,6,FALSE),0)</f>
        <v>595</v>
      </c>
      <c r="CD67">
        <f>IF(gamma!CD67,VLOOKUP(zeta!CD$1,main!$A$3:$H$102,5,FALSE)-VLOOKUP(zeta!$A67,main!$A$3:$H$102,6,FALSE),0)</f>
        <v>330</v>
      </c>
      <c r="CE67">
        <f>IF(gamma!CE67,VLOOKUP(zeta!CE$1,main!$A$3:$H$102,5,FALSE)-VLOOKUP(zeta!$A67,main!$A$3:$H$102,6,FALSE),0)</f>
        <v>200</v>
      </c>
      <c r="CF67">
        <f>IF(gamma!CF67,VLOOKUP(zeta!CF$1,main!$A$3:$H$102,5,FALSE)-VLOOKUP(zeta!$A67,main!$A$3:$H$102,6,FALSE),0)</f>
        <v>230</v>
      </c>
      <c r="CG67">
        <f>IF(gamma!CG67,VLOOKUP(zeta!CG$1,main!$A$3:$H$102,5,FALSE)-VLOOKUP(zeta!$A67,main!$A$3:$H$102,6,FALSE),0)</f>
        <v>280</v>
      </c>
      <c r="CH67">
        <f>IF(gamma!CH67,VLOOKUP(zeta!CH$1,main!$A$3:$H$102,5,FALSE)-VLOOKUP(zeta!$A67,main!$A$3:$H$102,6,FALSE),0)</f>
        <v>480</v>
      </c>
      <c r="CI67">
        <f>IF(gamma!CI67,VLOOKUP(zeta!CI$1,main!$A$3:$H$102,5,FALSE)-VLOOKUP(zeta!$A67,main!$A$3:$H$102,6,FALSE),0)</f>
        <v>680</v>
      </c>
      <c r="CJ67">
        <f>IF(gamma!CJ67,VLOOKUP(zeta!CJ$1,main!$A$3:$H$102,5,FALSE)-VLOOKUP(zeta!$A67,main!$A$3:$H$102,6,FALSE),0)</f>
        <v>270</v>
      </c>
      <c r="CK67">
        <f>IF(gamma!CK67,VLOOKUP(zeta!CK$1,main!$A$3:$H$102,5,FALSE)-VLOOKUP(zeta!$A67,main!$A$3:$H$102,6,FALSE),0)</f>
        <v>164</v>
      </c>
      <c r="CL67">
        <f>IF(gamma!CL67,VLOOKUP(zeta!CL$1,main!$A$3:$H$102,5,FALSE)-VLOOKUP(zeta!$A67,main!$A$3:$H$102,6,FALSE),0)</f>
        <v>280</v>
      </c>
      <c r="CM67">
        <f>IF(gamma!CM67,VLOOKUP(zeta!CM$1,main!$A$3:$H$102,5,FALSE)-VLOOKUP(zeta!$A67,main!$A$3:$H$102,6,FALSE),0)</f>
        <v>456</v>
      </c>
      <c r="CN67">
        <f>IF(gamma!CN67,VLOOKUP(zeta!CN$1,main!$A$3:$H$102,5,FALSE)-VLOOKUP(zeta!$A67,main!$A$3:$H$102,6,FALSE),0)</f>
        <v>680</v>
      </c>
      <c r="CO67">
        <f>IF(gamma!CO67,VLOOKUP(zeta!CO$1,main!$A$3:$H$102,5,FALSE)-VLOOKUP(zeta!$A67,main!$A$3:$H$102,6,FALSE),0)</f>
        <v>80</v>
      </c>
      <c r="CP67">
        <f>IF(gamma!CP67,VLOOKUP(zeta!CP$1,main!$A$3:$H$102,5,FALSE)-VLOOKUP(zeta!$A67,main!$A$3:$H$102,6,FALSE),0)</f>
        <v>245</v>
      </c>
      <c r="CQ67">
        <f>IF(gamma!CQ67,VLOOKUP(zeta!CQ$1,main!$A$3:$H$102,5,FALSE)-VLOOKUP(zeta!$A67,main!$A$3:$H$102,6,FALSE),0)</f>
        <v>260</v>
      </c>
      <c r="CR67">
        <f>IF(gamma!CR67,VLOOKUP(zeta!CR$1,main!$A$3:$H$102,5,FALSE)-VLOOKUP(zeta!$A67,main!$A$3:$H$102,6,FALSE),0)</f>
        <v>445</v>
      </c>
      <c r="CS67">
        <f>IF(gamma!CS67,VLOOKUP(zeta!CS$1,main!$A$3:$H$102,5,FALSE)-VLOOKUP(zeta!$A67,main!$A$3:$H$102,6,FALSE),0)</f>
        <v>455</v>
      </c>
      <c r="CT67">
        <f>IF(gamma!CT67,VLOOKUP(zeta!CT$1,main!$A$3:$H$102,5,FALSE)-VLOOKUP(zeta!$A67,main!$A$3:$H$102,6,FALSE),0)</f>
        <v>0</v>
      </c>
      <c r="CU67">
        <f>IF(gamma!CU67,VLOOKUP(zeta!CU$1,main!$A$3:$H$102,5,FALSE)-VLOOKUP(zeta!$A67,main!$A$3:$H$102,6,FALSE),0)</f>
        <v>70</v>
      </c>
      <c r="CV67">
        <f>IF(gamma!CV67,VLOOKUP(zeta!CV$1,main!$A$3:$H$102,5,FALSE)-VLOOKUP(zeta!$A67,main!$A$3:$H$102,6,FALSE),0)</f>
        <v>260</v>
      </c>
      <c r="CW67">
        <f>IF(gamma!CW67,VLOOKUP(zeta!CW$1,main!$A$3:$H$102,5,FALSE)-VLOOKUP(zeta!$A67,main!$A$3:$H$102,6,FALSE),0)</f>
        <v>445</v>
      </c>
      <c r="CX67">
        <f>IF(gamma!CX67,VLOOKUP(zeta!CX$1,main!$A$3:$H$102,5,FALSE)-VLOOKUP(zeta!$A67,main!$A$3:$H$102,6,FALSE),0)</f>
        <v>485</v>
      </c>
    </row>
    <row r="68" spans="1:102" x14ac:dyDescent="0.25">
      <c r="A68">
        <f t="shared" si="2"/>
        <v>66</v>
      </c>
      <c r="B68">
        <v>0</v>
      </c>
      <c r="C68">
        <f>IF(gamma!C68,VLOOKUP(zeta!C$1,main!$A$3:$H$102,5,FALSE)-VLOOKUP(zeta!$A68,main!$A$3:$H$102,6,FALSE),0)</f>
        <v>0</v>
      </c>
      <c r="D68">
        <f>IF(gamma!D68,VLOOKUP(zeta!D$1,main!$A$3:$H$102,5,FALSE)-VLOOKUP(zeta!$A68,main!$A$3:$H$102,6,FALSE),0)</f>
        <v>0</v>
      </c>
      <c r="E68">
        <f>IF(gamma!E68,VLOOKUP(zeta!E$1,main!$A$3:$H$102,5,FALSE)-VLOOKUP(zeta!$A68,main!$A$3:$H$102,6,FALSE),0)</f>
        <v>50</v>
      </c>
      <c r="F68">
        <f>IF(gamma!F68,VLOOKUP(zeta!F$1,main!$A$3:$H$102,5,FALSE)-VLOOKUP(zeta!$A68,main!$A$3:$H$102,6,FALSE),0)</f>
        <v>70</v>
      </c>
      <c r="G68">
        <f>IF(gamma!G68,VLOOKUP(zeta!G$1,main!$A$3:$H$102,5,FALSE)-VLOOKUP(zeta!$A68,main!$A$3:$H$102,6,FALSE),0)</f>
        <v>160</v>
      </c>
      <c r="H68">
        <f>IF(gamma!H68,VLOOKUP(zeta!H$1,main!$A$3:$H$102,5,FALSE)-VLOOKUP(zeta!$A68,main!$A$3:$H$102,6,FALSE),0)</f>
        <v>250</v>
      </c>
      <c r="I68">
        <f>IF(gamma!I68,VLOOKUP(zeta!I$1,main!$A$3:$H$102,5,FALSE)-VLOOKUP(zeta!$A68,main!$A$3:$H$102,6,FALSE),0)</f>
        <v>310</v>
      </c>
      <c r="J68">
        <f>IF(gamma!J68,VLOOKUP(zeta!J$1,main!$A$3:$H$102,5,FALSE)-VLOOKUP(zeta!$A68,main!$A$3:$H$102,6,FALSE),0)</f>
        <v>370</v>
      </c>
      <c r="K68">
        <f>IF(gamma!K68,VLOOKUP(zeta!K$1,main!$A$3:$H$102,5,FALSE)-VLOOKUP(zeta!$A68,main!$A$3:$H$102,6,FALSE),0)</f>
        <v>430</v>
      </c>
      <c r="L68">
        <f>IF(gamma!L68,VLOOKUP(zeta!L$1,main!$A$3:$H$102,5,FALSE)-VLOOKUP(zeta!$A68,main!$A$3:$H$102,6,FALSE),0)</f>
        <v>520</v>
      </c>
      <c r="M68">
        <f>IF(gamma!M68,VLOOKUP(zeta!M$1,main!$A$3:$H$102,5,FALSE)-VLOOKUP(zeta!$A68,main!$A$3:$H$102,6,FALSE),0)</f>
        <v>0</v>
      </c>
      <c r="N68">
        <f>IF(gamma!N68,VLOOKUP(zeta!N$1,main!$A$3:$H$102,5,FALSE)-VLOOKUP(zeta!$A68,main!$A$3:$H$102,6,FALSE),0)</f>
        <v>0</v>
      </c>
      <c r="O68">
        <f>IF(gamma!O68,VLOOKUP(zeta!O$1,main!$A$3:$H$102,5,FALSE)-VLOOKUP(zeta!$A68,main!$A$3:$H$102,6,FALSE),0)</f>
        <v>0</v>
      </c>
      <c r="P68">
        <f>IF(gamma!P68,VLOOKUP(zeta!P$1,main!$A$3:$H$102,5,FALSE)-VLOOKUP(zeta!$A68,main!$A$3:$H$102,6,FALSE),0)</f>
        <v>0</v>
      </c>
      <c r="Q68">
        <f>IF(gamma!Q68,VLOOKUP(zeta!Q$1,main!$A$3:$H$102,5,FALSE)-VLOOKUP(zeta!$A68,main!$A$3:$H$102,6,FALSE),0)</f>
        <v>85</v>
      </c>
      <c r="R68">
        <f>IF(gamma!R68,VLOOKUP(zeta!R$1,main!$A$3:$H$102,5,FALSE)-VLOOKUP(zeta!$A68,main!$A$3:$H$102,6,FALSE),0)</f>
        <v>125</v>
      </c>
      <c r="S68">
        <f>IF(gamma!S68,VLOOKUP(zeta!S$1,main!$A$3:$H$102,5,FALSE)-VLOOKUP(zeta!$A68,main!$A$3:$H$102,6,FALSE),0)</f>
        <v>250</v>
      </c>
      <c r="T68">
        <f>IF(gamma!T68,VLOOKUP(zeta!T$1,main!$A$3:$H$102,5,FALSE)-VLOOKUP(zeta!$A68,main!$A$3:$H$102,6,FALSE),0)</f>
        <v>330</v>
      </c>
      <c r="U68">
        <f>IF(gamma!U68,VLOOKUP(zeta!U$1,main!$A$3:$H$102,5,FALSE)-VLOOKUP(zeta!$A68,main!$A$3:$H$102,6,FALSE),0)</f>
        <v>485</v>
      </c>
      <c r="V68">
        <f>IF(gamma!V68,VLOOKUP(zeta!V$1,main!$A$3:$H$102,5,FALSE)-VLOOKUP(zeta!$A68,main!$A$3:$H$102,6,FALSE),0)</f>
        <v>545</v>
      </c>
      <c r="W68">
        <f>IF(gamma!W68,VLOOKUP(zeta!W$1,main!$A$3:$H$102,5,FALSE)-VLOOKUP(zeta!$A68,main!$A$3:$H$102,6,FALSE),0)</f>
        <v>0</v>
      </c>
      <c r="X68">
        <f>IF(gamma!X68,VLOOKUP(zeta!X$1,main!$A$3:$H$102,5,FALSE)-VLOOKUP(zeta!$A68,main!$A$3:$H$102,6,FALSE),0)</f>
        <v>0</v>
      </c>
      <c r="Y68">
        <f>IF(gamma!Y68,VLOOKUP(zeta!Y$1,main!$A$3:$H$102,5,FALSE)-VLOOKUP(zeta!$A68,main!$A$3:$H$102,6,FALSE),0)</f>
        <v>120</v>
      </c>
      <c r="Z68">
        <f>IF(gamma!Z68,VLOOKUP(zeta!Z$1,main!$A$3:$H$102,5,FALSE)-VLOOKUP(zeta!$A68,main!$A$3:$H$102,6,FALSE),0)</f>
        <v>300</v>
      </c>
      <c r="AA68">
        <f>IF(gamma!AA68,VLOOKUP(zeta!AA$1,main!$A$3:$H$102,5,FALSE)-VLOOKUP(zeta!$A68,main!$A$3:$H$102,6,FALSE),0)</f>
        <v>450</v>
      </c>
      <c r="AB68">
        <f>IF(gamma!AB68,VLOOKUP(zeta!AB$1,main!$A$3:$H$102,5,FALSE)-VLOOKUP(zeta!$A68,main!$A$3:$H$102,6,FALSE),0)</f>
        <v>0</v>
      </c>
      <c r="AC68">
        <f>IF(gamma!AC68,VLOOKUP(zeta!AC$1,main!$A$3:$H$102,5,FALSE)-VLOOKUP(zeta!$A68,main!$A$3:$H$102,6,FALSE),0)</f>
        <v>0</v>
      </c>
      <c r="AD68">
        <f>IF(gamma!AD68,VLOOKUP(zeta!AD$1,main!$A$3:$H$102,5,FALSE)-VLOOKUP(zeta!$A68,main!$A$3:$H$102,6,FALSE),0)</f>
        <v>80</v>
      </c>
      <c r="AE68">
        <f>IF(gamma!AE68,VLOOKUP(zeta!AE$1,main!$A$3:$H$102,5,FALSE)-VLOOKUP(zeta!$A68,main!$A$3:$H$102,6,FALSE),0)</f>
        <v>260</v>
      </c>
      <c r="AF68">
        <f>IF(gamma!AF68,VLOOKUP(zeta!AF$1,main!$A$3:$H$102,5,FALSE)-VLOOKUP(zeta!$A68,main!$A$3:$H$102,6,FALSE),0)</f>
        <v>430</v>
      </c>
      <c r="AG68">
        <f>IF(gamma!AG68,VLOOKUP(zeta!AG$1,main!$A$3:$H$102,5,FALSE)-VLOOKUP(zeta!$A68,main!$A$3:$H$102,6,FALSE),0)</f>
        <v>0</v>
      </c>
      <c r="AH68">
        <f>IF(gamma!AH68,VLOOKUP(zeta!AH$1,main!$A$3:$H$102,5,FALSE)-VLOOKUP(zeta!$A68,main!$A$3:$H$102,6,FALSE),0)</f>
        <v>0</v>
      </c>
      <c r="AI68">
        <f>IF(gamma!AI68,VLOOKUP(zeta!AI$1,main!$A$3:$H$102,5,FALSE)-VLOOKUP(zeta!$A68,main!$A$3:$H$102,6,FALSE),0)</f>
        <v>50</v>
      </c>
      <c r="AJ68">
        <f>IF(gamma!AJ68,VLOOKUP(zeta!AJ$1,main!$A$3:$H$102,5,FALSE)-VLOOKUP(zeta!$A68,main!$A$3:$H$102,6,FALSE),0)</f>
        <v>140</v>
      </c>
      <c r="AK68">
        <f>IF(gamma!AK68,VLOOKUP(zeta!AK$1,main!$A$3:$H$102,5,FALSE)-VLOOKUP(zeta!$A68,main!$A$3:$H$102,6,FALSE),0)</f>
        <v>230</v>
      </c>
      <c r="AL68">
        <f>IF(gamma!AL68,VLOOKUP(zeta!AL$1,main!$A$3:$H$102,5,FALSE)-VLOOKUP(zeta!$A68,main!$A$3:$H$102,6,FALSE),0)</f>
        <v>320</v>
      </c>
      <c r="AM68">
        <f>IF(gamma!AM68,VLOOKUP(zeta!AM$1,main!$A$3:$H$102,5,FALSE)-VLOOKUP(zeta!$A68,main!$A$3:$H$102,6,FALSE),0)</f>
        <v>410</v>
      </c>
      <c r="AN68">
        <f>IF(gamma!AN68,VLOOKUP(zeta!AN$1,main!$A$3:$H$102,5,FALSE)-VLOOKUP(zeta!$A68,main!$A$3:$H$102,6,FALSE),0)</f>
        <v>470</v>
      </c>
      <c r="AO68">
        <f>IF(gamma!AO68,VLOOKUP(zeta!AO$1,main!$A$3:$H$102,5,FALSE)-VLOOKUP(zeta!$A68,main!$A$3:$H$102,6,FALSE),0)</f>
        <v>0</v>
      </c>
      <c r="AP68">
        <f>IF(gamma!AP68,VLOOKUP(zeta!AP$1,main!$A$3:$H$102,5,FALSE)-VLOOKUP(zeta!$A68,main!$A$3:$H$102,6,FALSE),0)</f>
        <v>530</v>
      </c>
      <c r="AQ68">
        <f>IF(gamma!AQ68,VLOOKUP(zeta!AQ$1,main!$A$3:$H$102,5,FALSE)-VLOOKUP(zeta!$A68,main!$A$3:$H$102,6,FALSE),0)</f>
        <v>0</v>
      </c>
      <c r="AR68">
        <f>IF(gamma!AR68,VLOOKUP(zeta!AR$1,main!$A$3:$H$102,5,FALSE)-VLOOKUP(zeta!$A68,main!$A$3:$H$102,6,FALSE),0)</f>
        <v>0</v>
      </c>
      <c r="AS68">
        <f>IF(gamma!AS68,VLOOKUP(zeta!AS$1,main!$A$3:$H$102,5,FALSE)-VLOOKUP(zeta!$A68,main!$A$3:$H$102,6,FALSE),0)</f>
        <v>130</v>
      </c>
      <c r="AT68">
        <f>IF(gamma!AT68,VLOOKUP(zeta!AT$1,main!$A$3:$H$102,5,FALSE)-VLOOKUP(zeta!$A68,main!$A$3:$H$102,6,FALSE),0)</f>
        <v>280</v>
      </c>
      <c r="AU68">
        <f>IF(gamma!AU68,VLOOKUP(zeta!AU$1,main!$A$3:$H$102,5,FALSE)-VLOOKUP(zeta!$A68,main!$A$3:$H$102,6,FALSE),0)</f>
        <v>0</v>
      </c>
      <c r="AV68">
        <f>IF(gamma!AV68,VLOOKUP(zeta!AV$1,main!$A$3:$H$102,5,FALSE)-VLOOKUP(zeta!$A68,main!$A$3:$H$102,6,FALSE),0)</f>
        <v>0</v>
      </c>
      <c r="AW68">
        <f>IF(gamma!AW68,VLOOKUP(zeta!AW$1,main!$A$3:$H$102,5,FALSE)-VLOOKUP(zeta!$A68,main!$A$3:$H$102,6,FALSE),0)</f>
        <v>230</v>
      </c>
      <c r="AX68">
        <f>IF(gamma!AX68,VLOOKUP(zeta!AX$1,main!$A$3:$H$102,5,FALSE)-VLOOKUP(zeta!$A68,main!$A$3:$H$102,6,FALSE),0)</f>
        <v>70</v>
      </c>
      <c r="AY68">
        <f>IF(gamma!AY68,VLOOKUP(zeta!AY$1,main!$A$3:$H$102,5,FALSE)-VLOOKUP(zeta!$A68,main!$A$3:$H$102,6,FALSE),0)</f>
        <v>0</v>
      </c>
      <c r="AZ68">
        <f>IF(gamma!AZ68,VLOOKUP(zeta!AZ$1,main!$A$3:$H$102,5,FALSE)-VLOOKUP(zeta!$A68,main!$A$3:$H$102,6,FALSE),0)</f>
        <v>60</v>
      </c>
      <c r="BA68">
        <f>IF(gamma!BA68,VLOOKUP(zeta!BA$1,main!$A$3:$H$102,5,FALSE)-VLOOKUP(zeta!$A68,main!$A$3:$H$102,6,FALSE),0)</f>
        <v>0</v>
      </c>
      <c r="BB68">
        <f>IF(gamma!BB68,VLOOKUP(zeta!BB$1,main!$A$3:$H$102,5,FALSE)-VLOOKUP(zeta!$A68,main!$A$3:$H$102,6,FALSE),0)</f>
        <v>70</v>
      </c>
      <c r="BC68">
        <f>IF(gamma!BC68,VLOOKUP(zeta!BC$1,main!$A$3:$H$102,5,FALSE)-VLOOKUP(zeta!$A68,main!$A$3:$H$102,6,FALSE),0)</f>
        <v>190</v>
      </c>
      <c r="BD68">
        <f>IF(gamma!BD68,VLOOKUP(zeta!BD$1,main!$A$3:$H$102,5,FALSE)-VLOOKUP(zeta!$A68,main!$A$3:$H$102,6,FALSE),0)</f>
        <v>250</v>
      </c>
      <c r="BE68">
        <f>IF(gamma!BE68,VLOOKUP(zeta!BE$1,main!$A$3:$H$102,5,FALSE)-VLOOKUP(zeta!$A68,main!$A$3:$H$102,6,FALSE),0)</f>
        <v>370</v>
      </c>
      <c r="BF68">
        <f>IF(gamma!BF68,VLOOKUP(zeta!BF$1,main!$A$3:$H$102,5,FALSE)-VLOOKUP(zeta!$A68,main!$A$3:$H$102,6,FALSE),0)</f>
        <v>0</v>
      </c>
      <c r="BG68">
        <f>IF(gamma!BG68,VLOOKUP(zeta!BG$1,main!$A$3:$H$102,5,FALSE)-VLOOKUP(zeta!$A68,main!$A$3:$H$102,6,FALSE),0)</f>
        <v>0</v>
      </c>
      <c r="BH68">
        <f>IF(gamma!BH68,VLOOKUP(zeta!BH$1,main!$A$3:$H$102,5,FALSE)-VLOOKUP(zeta!$A68,main!$A$3:$H$102,6,FALSE),0)</f>
        <v>155</v>
      </c>
      <c r="BI68">
        <f>IF(gamma!BI68,VLOOKUP(zeta!BI$1,main!$A$3:$H$102,5,FALSE)-VLOOKUP(zeta!$A68,main!$A$3:$H$102,6,FALSE),0)</f>
        <v>540</v>
      </c>
      <c r="BJ68">
        <f>IF(gamma!BJ68,VLOOKUP(zeta!BJ$1,main!$A$3:$H$102,5,FALSE)-VLOOKUP(zeta!$A68,main!$A$3:$H$102,6,FALSE),0)</f>
        <v>330</v>
      </c>
      <c r="BK68">
        <f>IF(gamma!BK68,VLOOKUP(zeta!BK$1,main!$A$3:$H$102,5,FALSE)-VLOOKUP(zeta!$A68,main!$A$3:$H$102,6,FALSE),0)</f>
        <v>0</v>
      </c>
      <c r="BL68">
        <f>IF(gamma!BL68,VLOOKUP(zeta!BL$1,main!$A$3:$H$102,5,FALSE)-VLOOKUP(zeta!$A68,main!$A$3:$H$102,6,FALSE),0)</f>
        <v>0</v>
      </c>
      <c r="BM68">
        <f>IF(gamma!BM68,VLOOKUP(zeta!BM$1,main!$A$3:$H$102,5,FALSE)-VLOOKUP(zeta!$A68,main!$A$3:$H$102,6,FALSE),0)</f>
        <v>0</v>
      </c>
      <c r="BN68">
        <f>IF(gamma!BN68,VLOOKUP(zeta!BN$1,main!$A$3:$H$102,5,FALSE)-VLOOKUP(zeta!$A68,main!$A$3:$H$102,6,FALSE),0)</f>
        <v>230</v>
      </c>
      <c r="BO68">
        <f>IF(gamma!BO68,VLOOKUP(zeta!BO$1,main!$A$3:$H$102,5,FALSE)-VLOOKUP(zeta!$A68,main!$A$3:$H$102,6,FALSE),0)</f>
        <v>0</v>
      </c>
      <c r="BP68">
        <f>IF(gamma!BP68,VLOOKUP(zeta!BP$1,main!$A$3:$H$102,5,FALSE)-VLOOKUP(zeta!$A68,main!$A$3:$H$102,6,FALSE),0)</f>
        <v>0</v>
      </c>
      <c r="BQ68">
        <f>IF(gamma!BQ68,VLOOKUP(zeta!BQ$1,main!$A$3:$H$102,5,FALSE)-VLOOKUP(zeta!$A68,main!$A$3:$H$102,6,FALSE),0)</f>
        <v>85</v>
      </c>
      <c r="BR68">
        <f>IF(gamma!BR68,VLOOKUP(zeta!BR$1,main!$A$3:$H$102,5,FALSE)-VLOOKUP(zeta!$A68,main!$A$3:$H$102,6,FALSE),0)</f>
        <v>120</v>
      </c>
      <c r="BS68">
        <f>IF(gamma!BS68,VLOOKUP(zeta!BS$1,main!$A$3:$H$102,5,FALSE)-VLOOKUP(zeta!$A68,main!$A$3:$H$102,6,FALSE),0)</f>
        <v>130</v>
      </c>
      <c r="BT68">
        <f>IF(gamma!BT68,VLOOKUP(zeta!BT$1,main!$A$3:$H$102,5,FALSE)-VLOOKUP(zeta!$A68,main!$A$3:$H$102,6,FALSE),0)</f>
        <v>80</v>
      </c>
      <c r="BU68">
        <f>IF(gamma!BU68,VLOOKUP(zeta!BU$1,main!$A$3:$H$102,5,FALSE)-VLOOKUP(zeta!$A68,main!$A$3:$H$102,6,FALSE),0)</f>
        <v>0</v>
      </c>
      <c r="BV68">
        <f>IF(gamma!BV68,VLOOKUP(zeta!BV$1,main!$A$3:$H$102,5,FALSE)-VLOOKUP(zeta!$A68,main!$A$3:$H$102,6,FALSE),0)</f>
        <v>0</v>
      </c>
      <c r="BW68">
        <f>IF(gamma!BW68,VLOOKUP(zeta!BW$1,main!$A$3:$H$102,5,FALSE)-VLOOKUP(zeta!$A68,main!$A$3:$H$102,6,FALSE),0)</f>
        <v>0</v>
      </c>
      <c r="BX68">
        <f>IF(gamma!BX68,VLOOKUP(zeta!BX$1,main!$A$3:$H$102,5,FALSE)-VLOOKUP(zeta!$A68,main!$A$3:$H$102,6,FALSE),0)</f>
        <v>95</v>
      </c>
      <c r="BY68">
        <f>IF(gamma!BY68,VLOOKUP(zeta!BY$1,main!$A$3:$H$102,5,FALSE)-VLOOKUP(zeta!$A68,main!$A$3:$H$102,6,FALSE),0)</f>
        <v>180</v>
      </c>
      <c r="BZ68">
        <f>IF(gamma!BZ68,VLOOKUP(zeta!BZ$1,main!$A$3:$H$102,5,FALSE)-VLOOKUP(zeta!$A68,main!$A$3:$H$102,6,FALSE),0)</f>
        <v>0</v>
      </c>
      <c r="CA68">
        <f>IF(gamma!CA68,VLOOKUP(zeta!CA$1,main!$A$3:$H$102,5,FALSE)-VLOOKUP(zeta!$A68,main!$A$3:$H$102,6,FALSE),0)</f>
        <v>0</v>
      </c>
      <c r="CB68">
        <f>IF(gamma!CB68,VLOOKUP(zeta!CB$1,main!$A$3:$H$102,5,FALSE)-VLOOKUP(zeta!$A68,main!$A$3:$H$102,6,FALSE),0)</f>
        <v>235</v>
      </c>
      <c r="CC68">
        <f>IF(gamma!CC68,VLOOKUP(zeta!CC$1,main!$A$3:$H$102,5,FALSE)-VLOOKUP(zeta!$A68,main!$A$3:$H$102,6,FALSE),0)</f>
        <v>445</v>
      </c>
      <c r="CD68">
        <f>IF(gamma!CD68,VLOOKUP(zeta!CD$1,main!$A$3:$H$102,5,FALSE)-VLOOKUP(zeta!$A68,main!$A$3:$H$102,6,FALSE),0)</f>
        <v>180</v>
      </c>
      <c r="CE68">
        <f>IF(gamma!CE68,VLOOKUP(zeta!CE$1,main!$A$3:$H$102,5,FALSE)-VLOOKUP(zeta!$A68,main!$A$3:$H$102,6,FALSE),0)</f>
        <v>0</v>
      </c>
      <c r="CF68">
        <f>IF(gamma!CF68,VLOOKUP(zeta!CF$1,main!$A$3:$H$102,5,FALSE)-VLOOKUP(zeta!$A68,main!$A$3:$H$102,6,FALSE),0)</f>
        <v>80</v>
      </c>
      <c r="CG68">
        <f>IF(gamma!CG68,VLOOKUP(zeta!CG$1,main!$A$3:$H$102,5,FALSE)-VLOOKUP(zeta!$A68,main!$A$3:$H$102,6,FALSE),0)</f>
        <v>130</v>
      </c>
      <c r="CH68">
        <f>IF(gamma!CH68,VLOOKUP(zeta!CH$1,main!$A$3:$H$102,5,FALSE)-VLOOKUP(zeta!$A68,main!$A$3:$H$102,6,FALSE),0)</f>
        <v>330</v>
      </c>
      <c r="CI68">
        <f>IF(gamma!CI68,VLOOKUP(zeta!CI$1,main!$A$3:$H$102,5,FALSE)-VLOOKUP(zeta!$A68,main!$A$3:$H$102,6,FALSE),0)</f>
        <v>530</v>
      </c>
      <c r="CJ68">
        <f>IF(gamma!CJ68,VLOOKUP(zeta!CJ$1,main!$A$3:$H$102,5,FALSE)-VLOOKUP(zeta!$A68,main!$A$3:$H$102,6,FALSE),0)</f>
        <v>120</v>
      </c>
      <c r="CK68">
        <f>IF(gamma!CK68,VLOOKUP(zeta!CK$1,main!$A$3:$H$102,5,FALSE)-VLOOKUP(zeta!$A68,main!$A$3:$H$102,6,FALSE),0)</f>
        <v>0</v>
      </c>
      <c r="CL68">
        <f>IF(gamma!CL68,VLOOKUP(zeta!CL$1,main!$A$3:$H$102,5,FALSE)-VLOOKUP(zeta!$A68,main!$A$3:$H$102,6,FALSE),0)</f>
        <v>130</v>
      </c>
      <c r="CM68">
        <f>IF(gamma!CM68,VLOOKUP(zeta!CM$1,main!$A$3:$H$102,5,FALSE)-VLOOKUP(zeta!$A68,main!$A$3:$H$102,6,FALSE),0)</f>
        <v>306</v>
      </c>
      <c r="CN68">
        <f>IF(gamma!CN68,VLOOKUP(zeta!CN$1,main!$A$3:$H$102,5,FALSE)-VLOOKUP(zeta!$A68,main!$A$3:$H$102,6,FALSE),0)</f>
        <v>530</v>
      </c>
      <c r="CO68">
        <f>IF(gamma!CO68,VLOOKUP(zeta!CO$1,main!$A$3:$H$102,5,FALSE)-VLOOKUP(zeta!$A68,main!$A$3:$H$102,6,FALSE),0)</f>
        <v>0</v>
      </c>
      <c r="CP68">
        <f>IF(gamma!CP68,VLOOKUP(zeta!CP$1,main!$A$3:$H$102,5,FALSE)-VLOOKUP(zeta!$A68,main!$A$3:$H$102,6,FALSE),0)</f>
        <v>95</v>
      </c>
      <c r="CQ68">
        <f>IF(gamma!CQ68,VLOOKUP(zeta!CQ$1,main!$A$3:$H$102,5,FALSE)-VLOOKUP(zeta!$A68,main!$A$3:$H$102,6,FALSE),0)</f>
        <v>110</v>
      </c>
      <c r="CR68">
        <f>IF(gamma!CR68,VLOOKUP(zeta!CR$1,main!$A$3:$H$102,5,FALSE)-VLOOKUP(zeta!$A68,main!$A$3:$H$102,6,FALSE),0)</f>
        <v>295</v>
      </c>
      <c r="CS68">
        <f>IF(gamma!CS68,VLOOKUP(zeta!CS$1,main!$A$3:$H$102,5,FALSE)-VLOOKUP(zeta!$A68,main!$A$3:$H$102,6,FALSE),0)</f>
        <v>305</v>
      </c>
      <c r="CT68">
        <f>IF(gamma!CT68,VLOOKUP(zeta!CT$1,main!$A$3:$H$102,5,FALSE)-VLOOKUP(zeta!$A68,main!$A$3:$H$102,6,FALSE),0)</f>
        <v>0</v>
      </c>
      <c r="CU68">
        <f>IF(gamma!CU68,VLOOKUP(zeta!CU$1,main!$A$3:$H$102,5,FALSE)-VLOOKUP(zeta!$A68,main!$A$3:$H$102,6,FALSE),0)</f>
        <v>0</v>
      </c>
      <c r="CV68">
        <f>IF(gamma!CV68,VLOOKUP(zeta!CV$1,main!$A$3:$H$102,5,FALSE)-VLOOKUP(zeta!$A68,main!$A$3:$H$102,6,FALSE),0)</f>
        <v>110</v>
      </c>
      <c r="CW68">
        <f>IF(gamma!CW68,VLOOKUP(zeta!CW$1,main!$A$3:$H$102,5,FALSE)-VLOOKUP(zeta!$A68,main!$A$3:$H$102,6,FALSE),0)</f>
        <v>295</v>
      </c>
      <c r="CX68">
        <f>IF(gamma!CX68,VLOOKUP(zeta!CX$1,main!$A$3:$H$102,5,FALSE)-VLOOKUP(zeta!$A68,main!$A$3:$H$102,6,FALSE),0)</f>
        <v>335</v>
      </c>
    </row>
    <row r="69" spans="1:102" x14ac:dyDescent="0.25">
      <c r="A69">
        <f t="shared" si="2"/>
        <v>67</v>
      </c>
      <c r="B69">
        <v>0</v>
      </c>
      <c r="C69">
        <f>IF(gamma!C69,VLOOKUP(zeta!C$1,main!$A$3:$H$102,5,FALSE)-VLOOKUP(zeta!$A69,main!$A$3:$H$102,6,FALSE),0)</f>
        <v>0</v>
      </c>
      <c r="D69">
        <f>IF(gamma!D69,VLOOKUP(zeta!D$1,main!$A$3:$H$102,5,FALSE)-VLOOKUP(zeta!$A69,main!$A$3:$H$102,6,FALSE),0)</f>
        <v>0</v>
      </c>
      <c r="E69">
        <f>IF(gamma!E69,VLOOKUP(zeta!E$1,main!$A$3:$H$102,5,FALSE)-VLOOKUP(zeta!$A69,main!$A$3:$H$102,6,FALSE),0)</f>
        <v>0</v>
      </c>
      <c r="F69">
        <f>IF(gamma!F69,VLOOKUP(zeta!F$1,main!$A$3:$H$102,5,FALSE)-VLOOKUP(zeta!$A69,main!$A$3:$H$102,6,FALSE),0)</f>
        <v>0</v>
      </c>
      <c r="G69">
        <f>IF(gamma!G69,VLOOKUP(zeta!G$1,main!$A$3:$H$102,5,FALSE)-VLOOKUP(zeta!$A69,main!$A$3:$H$102,6,FALSE),0)</f>
        <v>0</v>
      </c>
      <c r="H69">
        <f>IF(gamma!H69,VLOOKUP(zeta!H$1,main!$A$3:$H$102,5,FALSE)-VLOOKUP(zeta!$A69,main!$A$3:$H$102,6,FALSE),0)</f>
        <v>0</v>
      </c>
      <c r="I69">
        <f>IF(gamma!I69,VLOOKUP(zeta!I$1,main!$A$3:$H$102,5,FALSE)-VLOOKUP(zeta!$A69,main!$A$3:$H$102,6,FALSE),0)</f>
        <v>85</v>
      </c>
      <c r="J69">
        <f>IF(gamma!J69,VLOOKUP(zeta!J$1,main!$A$3:$H$102,5,FALSE)-VLOOKUP(zeta!$A69,main!$A$3:$H$102,6,FALSE),0)</f>
        <v>145</v>
      </c>
      <c r="K69">
        <f>IF(gamma!K69,VLOOKUP(zeta!K$1,main!$A$3:$H$102,5,FALSE)-VLOOKUP(zeta!$A69,main!$A$3:$H$102,6,FALSE),0)</f>
        <v>205</v>
      </c>
      <c r="L69">
        <f>IF(gamma!L69,VLOOKUP(zeta!L$1,main!$A$3:$H$102,5,FALSE)-VLOOKUP(zeta!$A69,main!$A$3:$H$102,6,FALSE),0)</f>
        <v>295</v>
      </c>
      <c r="M69">
        <f>IF(gamma!M69,VLOOKUP(zeta!M$1,main!$A$3:$H$102,5,FALSE)-VLOOKUP(zeta!$A69,main!$A$3:$H$102,6,FALSE),0)</f>
        <v>0</v>
      </c>
      <c r="N69">
        <f>IF(gamma!N69,VLOOKUP(zeta!N$1,main!$A$3:$H$102,5,FALSE)-VLOOKUP(zeta!$A69,main!$A$3:$H$102,6,FALSE),0)</f>
        <v>0</v>
      </c>
      <c r="O69">
        <f>IF(gamma!O69,VLOOKUP(zeta!O$1,main!$A$3:$H$102,5,FALSE)-VLOOKUP(zeta!$A69,main!$A$3:$H$102,6,FALSE),0)</f>
        <v>0</v>
      </c>
      <c r="P69">
        <f>IF(gamma!P69,VLOOKUP(zeta!P$1,main!$A$3:$H$102,5,FALSE)-VLOOKUP(zeta!$A69,main!$A$3:$H$102,6,FALSE),0)</f>
        <v>0</v>
      </c>
      <c r="Q69">
        <f>IF(gamma!Q69,VLOOKUP(zeta!Q$1,main!$A$3:$H$102,5,FALSE)-VLOOKUP(zeta!$A69,main!$A$3:$H$102,6,FALSE),0)</f>
        <v>0</v>
      </c>
      <c r="R69">
        <f>IF(gamma!R69,VLOOKUP(zeta!R$1,main!$A$3:$H$102,5,FALSE)-VLOOKUP(zeta!$A69,main!$A$3:$H$102,6,FALSE),0)</f>
        <v>0</v>
      </c>
      <c r="S69">
        <f>IF(gamma!S69,VLOOKUP(zeta!S$1,main!$A$3:$H$102,5,FALSE)-VLOOKUP(zeta!$A69,main!$A$3:$H$102,6,FALSE),0)</f>
        <v>0</v>
      </c>
      <c r="T69">
        <f>IF(gamma!T69,VLOOKUP(zeta!T$1,main!$A$3:$H$102,5,FALSE)-VLOOKUP(zeta!$A69,main!$A$3:$H$102,6,FALSE),0)</f>
        <v>105</v>
      </c>
      <c r="U69">
        <f>IF(gamma!U69,VLOOKUP(zeta!U$1,main!$A$3:$H$102,5,FALSE)-VLOOKUP(zeta!$A69,main!$A$3:$H$102,6,FALSE),0)</f>
        <v>260</v>
      </c>
      <c r="V69">
        <f>IF(gamma!V69,VLOOKUP(zeta!V$1,main!$A$3:$H$102,5,FALSE)-VLOOKUP(zeta!$A69,main!$A$3:$H$102,6,FALSE),0)</f>
        <v>320</v>
      </c>
      <c r="W69">
        <f>IF(gamma!W69,VLOOKUP(zeta!W$1,main!$A$3:$H$102,5,FALSE)-VLOOKUP(zeta!$A69,main!$A$3:$H$102,6,FALSE),0)</f>
        <v>0</v>
      </c>
      <c r="X69">
        <f>IF(gamma!X69,VLOOKUP(zeta!X$1,main!$A$3:$H$102,5,FALSE)-VLOOKUP(zeta!$A69,main!$A$3:$H$102,6,FALSE),0)</f>
        <v>0</v>
      </c>
      <c r="Y69">
        <f>IF(gamma!Y69,VLOOKUP(zeta!Y$1,main!$A$3:$H$102,5,FALSE)-VLOOKUP(zeta!$A69,main!$A$3:$H$102,6,FALSE),0)</f>
        <v>0</v>
      </c>
      <c r="Z69">
        <f>IF(gamma!Z69,VLOOKUP(zeta!Z$1,main!$A$3:$H$102,5,FALSE)-VLOOKUP(zeta!$A69,main!$A$3:$H$102,6,FALSE),0)</f>
        <v>75</v>
      </c>
      <c r="AA69">
        <f>IF(gamma!AA69,VLOOKUP(zeta!AA$1,main!$A$3:$H$102,5,FALSE)-VLOOKUP(zeta!$A69,main!$A$3:$H$102,6,FALSE),0)</f>
        <v>225</v>
      </c>
      <c r="AB69">
        <f>IF(gamma!AB69,VLOOKUP(zeta!AB$1,main!$A$3:$H$102,5,FALSE)-VLOOKUP(zeta!$A69,main!$A$3:$H$102,6,FALSE),0)</f>
        <v>0</v>
      </c>
      <c r="AC69">
        <f>IF(gamma!AC69,VLOOKUP(zeta!AC$1,main!$A$3:$H$102,5,FALSE)-VLOOKUP(zeta!$A69,main!$A$3:$H$102,6,FALSE),0)</f>
        <v>0</v>
      </c>
      <c r="AD69">
        <f>IF(gamma!AD69,VLOOKUP(zeta!AD$1,main!$A$3:$H$102,5,FALSE)-VLOOKUP(zeta!$A69,main!$A$3:$H$102,6,FALSE),0)</f>
        <v>0</v>
      </c>
      <c r="AE69">
        <f>IF(gamma!AE69,VLOOKUP(zeta!AE$1,main!$A$3:$H$102,5,FALSE)-VLOOKUP(zeta!$A69,main!$A$3:$H$102,6,FALSE),0)</f>
        <v>0</v>
      </c>
      <c r="AF69">
        <f>IF(gamma!AF69,VLOOKUP(zeta!AF$1,main!$A$3:$H$102,5,FALSE)-VLOOKUP(zeta!$A69,main!$A$3:$H$102,6,FALSE),0)</f>
        <v>205</v>
      </c>
      <c r="AG69">
        <f>IF(gamma!AG69,VLOOKUP(zeta!AG$1,main!$A$3:$H$102,5,FALSE)-VLOOKUP(zeta!$A69,main!$A$3:$H$102,6,FALSE),0)</f>
        <v>0</v>
      </c>
      <c r="AH69">
        <f>IF(gamma!AH69,VLOOKUP(zeta!AH$1,main!$A$3:$H$102,5,FALSE)-VLOOKUP(zeta!$A69,main!$A$3:$H$102,6,FALSE),0)</f>
        <v>0</v>
      </c>
      <c r="AI69">
        <f>IF(gamma!AI69,VLOOKUP(zeta!AI$1,main!$A$3:$H$102,5,FALSE)-VLOOKUP(zeta!$A69,main!$A$3:$H$102,6,FALSE),0)</f>
        <v>0</v>
      </c>
      <c r="AJ69">
        <f>IF(gamma!AJ69,VLOOKUP(zeta!AJ$1,main!$A$3:$H$102,5,FALSE)-VLOOKUP(zeta!$A69,main!$A$3:$H$102,6,FALSE),0)</f>
        <v>0</v>
      </c>
      <c r="AK69">
        <f>IF(gamma!AK69,VLOOKUP(zeta!AK$1,main!$A$3:$H$102,5,FALSE)-VLOOKUP(zeta!$A69,main!$A$3:$H$102,6,FALSE),0)</f>
        <v>0</v>
      </c>
      <c r="AL69">
        <f>IF(gamma!AL69,VLOOKUP(zeta!AL$1,main!$A$3:$H$102,5,FALSE)-VLOOKUP(zeta!$A69,main!$A$3:$H$102,6,FALSE),0)</f>
        <v>95</v>
      </c>
      <c r="AM69">
        <f>IF(gamma!AM69,VLOOKUP(zeta!AM$1,main!$A$3:$H$102,5,FALSE)-VLOOKUP(zeta!$A69,main!$A$3:$H$102,6,FALSE),0)</f>
        <v>185</v>
      </c>
      <c r="AN69">
        <f>IF(gamma!AN69,VLOOKUP(zeta!AN$1,main!$A$3:$H$102,5,FALSE)-VLOOKUP(zeta!$A69,main!$A$3:$H$102,6,FALSE),0)</f>
        <v>245</v>
      </c>
      <c r="AO69">
        <f>IF(gamma!AO69,VLOOKUP(zeta!AO$1,main!$A$3:$H$102,5,FALSE)-VLOOKUP(zeta!$A69,main!$A$3:$H$102,6,FALSE),0)</f>
        <v>0</v>
      </c>
      <c r="AP69">
        <f>IF(gamma!AP69,VLOOKUP(zeta!AP$1,main!$A$3:$H$102,5,FALSE)-VLOOKUP(zeta!$A69,main!$A$3:$H$102,6,FALSE),0)</f>
        <v>305</v>
      </c>
      <c r="AQ69">
        <f>IF(gamma!AQ69,VLOOKUP(zeta!AQ$1,main!$A$3:$H$102,5,FALSE)-VLOOKUP(zeta!$A69,main!$A$3:$H$102,6,FALSE),0)</f>
        <v>0</v>
      </c>
      <c r="AR69">
        <f>IF(gamma!AR69,VLOOKUP(zeta!AR$1,main!$A$3:$H$102,5,FALSE)-VLOOKUP(zeta!$A69,main!$A$3:$H$102,6,FALSE),0)</f>
        <v>0</v>
      </c>
      <c r="AS69">
        <f>IF(gamma!AS69,VLOOKUP(zeta!AS$1,main!$A$3:$H$102,5,FALSE)-VLOOKUP(zeta!$A69,main!$A$3:$H$102,6,FALSE),0)</f>
        <v>0</v>
      </c>
      <c r="AT69">
        <f>IF(gamma!AT69,VLOOKUP(zeta!AT$1,main!$A$3:$H$102,5,FALSE)-VLOOKUP(zeta!$A69,main!$A$3:$H$102,6,FALSE),0)</f>
        <v>55</v>
      </c>
      <c r="AU69">
        <f>IF(gamma!AU69,VLOOKUP(zeta!AU$1,main!$A$3:$H$102,5,FALSE)-VLOOKUP(zeta!$A69,main!$A$3:$H$102,6,FALSE),0)</f>
        <v>0</v>
      </c>
      <c r="AV69">
        <f>IF(gamma!AV69,VLOOKUP(zeta!AV$1,main!$A$3:$H$102,5,FALSE)-VLOOKUP(zeta!$A69,main!$A$3:$H$102,6,FALSE),0)</f>
        <v>0</v>
      </c>
      <c r="AW69">
        <f>IF(gamma!AW69,VLOOKUP(zeta!AW$1,main!$A$3:$H$102,5,FALSE)-VLOOKUP(zeta!$A69,main!$A$3:$H$102,6,FALSE),0)</f>
        <v>0</v>
      </c>
      <c r="AX69">
        <f>IF(gamma!AX69,VLOOKUP(zeta!AX$1,main!$A$3:$H$102,5,FALSE)-VLOOKUP(zeta!$A69,main!$A$3:$H$102,6,FALSE),0)</f>
        <v>0</v>
      </c>
      <c r="AY69">
        <f>IF(gamma!AY69,VLOOKUP(zeta!AY$1,main!$A$3:$H$102,5,FALSE)-VLOOKUP(zeta!$A69,main!$A$3:$H$102,6,FALSE),0)</f>
        <v>0</v>
      </c>
      <c r="AZ69">
        <f>IF(gamma!AZ69,VLOOKUP(zeta!AZ$1,main!$A$3:$H$102,5,FALSE)-VLOOKUP(zeta!$A69,main!$A$3:$H$102,6,FALSE),0)</f>
        <v>0</v>
      </c>
      <c r="BA69">
        <f>IF(gamma!BA69,VLOOKUP(zeta!BA$1,main!$A$3:$H$102,5,FALSE)-VLOOKUP(zeta!$A69,main!$A$3:$H$102,6,FALSE),0)</f>
        <v>0</v>
      </c>
      <c r="BB69">
        <f>IF(gamma!BB69,VLOOKUP(zeta!BB$1,main!$A$3:$H$102,5,FALSE)-VLOOKUP(zeta!$A69,main!$A$3:$H$102,6,FALSE),0)</f>
        <v>0</v>
      </c>
      <c r="BC69">
        <f>IF(gamma!BC69,VLOOKUP(zeta!BC$1,main!$A$3:$H$102,5,FALSE)-VLOOKUP(zeta!$A69,main!$A$3:$H$102,6,FALSE),0)</f>
        <v>0</v>
      </c>
      <c r="BD69">
        <f>IF(gamma!BD69,VLOOKUP(zeta!BD$1,main!$A$3:$H$102,5,FALSE)-VLOOKUP(zeta!$A69,main!$A$3:$H$102,6,FALSE),0)</f>
        <v>0</v>
      </c>
      <c r="BE69">
        <f>IF(gamma!BE69,VLOOKUP(zeta!BE$1,main!$A$3:$H$102,5,FALSE)-VLOOKUP(zeta!$A69,main!$A$3:$H$102,6,FALSE),0)</f>
        <v>145</v>
      </c>
      <c r="BF69">
        <f>IF(gamma!BF69,VLOOKUP(zeta!BF$1,main!$A$3:$H$102,5,FALSE)-VLOOKUP(zeta!$A69,main!$A$3:$H$102,6,FALSE),0)</f>
        <v>0</v>
      </c>
      <c r="BG69">
        <f>IF(gamma!BG69,VLOOKUP(zeta!BG$1,main!$A$3:$H$102,5,FALSE)-VLOOKUP(zeta!$A69,main!$A$3:$H$102,6,FALSE),0)</f>
        <v>0</v>
      </c>
      <c r="BH69">
        <f>IF(gamma!BH69,VLOOKUP(zeta!BH$1,main!$A$3:$H$102,5,FALSE)-VLOOKUP(zeta!$A69,main!$A$3:$H$102,6,FALSE),0)</f>
        <v>0</v>
      </c>
      <c r="BI69">
        <f>IF(gamma!BI69,VLOOKUP(zeta!BI$1,main!$A$3:$H$102,5,FALSE)-VLOOKUP(zeta!$A69,main!$A$3:$H$102,6,FALSE),0)</f>
        <v>315</v>
      </c>
      <c r="BJ69">
        <f>IF(gamma!BJ69,VLOOKUP(zeta!BJ$1,main!$A$3:$H$102,5,FALSE)-VLOOKUP(zeta!$A69,main!$A$3:$H$102,6,FALSE),0)</f>
        <v>105</v>
      </c>
      <c r="BK69">
        <f>IF(gamma!BK69,VLOOKUP(zeta!BK$1,main!$A$3:$H$102,5,FALSE)-VLOOKUP(zeta!$A69,main!$A$3:$H$102,6,FALSE),0)</f>
        <v>0</v>
      </c>
      <c r="BL69">
        <f>IF(gamma!BL69,VLOOKUP(zeta!BL$1,main!$A$3:$H$102,5,FALSE)-VLOOKUP(zeta!$A69,main!$A$3:$H$102,6,FALSE),0)</f>
        <v>0</v>
      </c>
      <c r="BM69">
        <f>IF(gamma!BM69,VLOOKUP(zeta!BM$1,main!$A$3:$H$102,5,FALSE)-VLOOKUP(zeta!$A69,main!$A$3:$H$102,6,FALSE),0)</f>
        <v>0</v>
      </c>
      <c r="BN69">
        <f>IF(gamma!BN69,VLOOKUP(zeta!BN$1,main!$A$3:$H$102,5,FALSE)-VLOOKUP(zeta!$A69,main!$A$3:$H$102,6,FALSE),0)</f>
        <v>0</v>
      </c>
      <c r="BO69">
        <f>IF(gamma!BO69,VLOOKUP(zeta!BO$1,main!$A$3:$H$102,5,FALSE)-VLOOKUP(zeta!$A69,main!$A$3:$H$102,6,FALSE),0)</f>
        <v>0</v>
      </c>
      <c r="BP69">
        <f>IF(gamma!BP69,VLOOKUP(zeta!BP$1,main!$A$3:$H$102,5,FALSE)-VLOOKUP(zeta!$A69,main!$A$3:$H$102,6,FALSE),0)</f>
        <v>0</v>
      </c>
      <c r="BQ69">
        <f>IF(gamma!BQ69,VLOOKUP(zeta!BQ$1,main!$A$3:$H$102,5,FALSE)-VLOOKUP(zeta!$A69,main!$A$3:$H$102,6,FALSE),0)</f>
        <v>0</v>
      </c>
      <c r="BR69">
        <f>IF(gamma!BR69,VLOOKUP(zeta!BR$1,main!$A$3:$H$102,5,FALSE)-VLOOKUP(zeta!$A69,main!$A$3:$H$102,6,FALSE),0)</f>
        <v>0</v>
      </c>
      <c r="BS69">
        <f>IF(gamma!BS69,VLOOKUP(zeta!BS$1,main!$A$3:$H$102,5,FALSE)-VLOOKUP(zeta!$A69,main!$A$3:$H$102,6,FALSE),0)</f>
        <v>0</v>
      </c>
      <c r="BT69">
        <f>IF(gamma!BT69,VLOOKUP(zeta!BT$1,main!$A$3:$H$102,5,FALSE)-VLOOKUP(zeta!$A69,main!$A$3:$H$102,6,FALSE),0)</f>
        <v>0</v>
      </c>
      <c r="BU69">
        <f>IF(gamma!BU69,VLOOKUP(zeta!BU$1,main!$A$3:$H$102,5,FALSE)-VLOOKUP(zeta!$A69,main!$A$3:$H$102,6,FALSE),0)</f>
        <v>0</v>
      </c>
      <c r="BV69">
        <f>IF(gamma!BV69,VLOOKUP(zeta!BV$1,main!$A$3:$H$102,5,FALSE)-VLOOKUP(zeta!$A69,main!$A$3:$H$102,6,FALSE),0)</f>
        <v>0</v>
      </c>
      <c r="BW69">
        <f>IF(gamma!BW69,VLOOKUP(zeta!BW$1,main!$A$3:$H$102,5,FALSE)-VLOOKUP(zeta!$A69,main!$A$3:$H$102,6,FALSE),0)</f>
        <v>0</v>
      </c>
      <c r="BX69">
        <f>IF(gamma!BX69,VLOOKUP(zeta!BX$1,main!$A$3:$H$102,5,FALSE)-VLOOKUP(zeta!$A69,main!$A$3:$H$102,6,FALSE),0)</f>
        <v>0</v>
      </c>
      <c r="BY69">
        <f>IF(gamma!BY69,VLOOKUP(zeta!BY$1,main!$A$3:$H$102,5,FALSE)-VLOOKUP(zeta!$A69,main!$A$3:$H$102,6,FALSE),0)</f>
        <v>0</v>
      </c>
      <c r="BZ69">
        <f>IF(gamma!BZ69,VLOOKUP(zeta!BZ$1,main!$A$3:$H$102,5,FALSE)-VLOOKUP(zeta!$A69,main!$A$3:$H$102,6,FALSE),0)</f>
        <v>0</v>
      </c>
      <c r="CA69">
        <f>IF(gamma!CA69,VLOOKUP(zeta!CA$1,main!$A$3:$H$102,5,FALSE)-VLOOKUP(zeta!$A69,main!$A$3:$H$102,6,FALSE),0)</f>
        <v>0</v>
      </c>
      <c r="CB69">
        <f>IF(gamma!CB69,VLOOKUP(zeta!CB$1,main!$A$3:$H$102,5,FALSE)-VLOOKUP(zeta!$A69,main!$A$3:$H$102,6,FALSE),0)</f>
        <v>0</v>
      </c>
      <c r="CC69">
        <f>IF(gamma!CC69,VLOOKUP(zeta!CC$1,main!$A$3:$H$102,5,FALSE)-VLOOKUP(zeta!$A69,main!$A$3:$H$102,6,FALSE),0)</f>
        <v>220</v>
      </c>
      <c r="CD69">
        <f>IF(gamma!CD69,VLOOKUP(zeta!CD$1,main!$A$3:$H$102,5,FALSE)-VLOOKUP(zeta!$A69,main!$A$3:$H$102,6,FALSE),0)</f>
        <v>0</v>
      </c>
      <c r="CE69">
        <f>IF(gamma!CE69,VLOOKUP(zeta!CE$1,main!$A$3:$H$102,5,FALSE)-VLOOKUP(zeta!$A69,main!$A$3:$H$102,6,FALSE),0)</f>
        <v>0</v>
      </c>
      <c r="CF69">
        <f>IF(gamma!CF69,VLOOKUP(zeta!CF$1,main!$A$3:$H$102,5,FALSE)-VLOOKUP(zeta!$A69,main!$A$3:$H$102,6,FALSE),0)</f>
        <v>0</v>
      </c>
      <c r="CG69">
        <f>IF(gamma!CG69,VLOOKUP(zeta!CG$1,main!$A$3:$H$102,5,FALSE)-VLOOKUP(zeta!$A69,main!$A$3:$H$102,6,FALSE),0)</f>
        <v>0</v>
      </c>
      <c r="CH69">
        <f>IF(gamma!CH69,VLOOKUP(zeta!CH$1,main!$A$3:$H$102,5,FALSE)-VLOOKUP(zeta!$A69,main!$A$3:$H$102,6,FALSE),0)</f>
        <v>105</v>
      </c>
      <c r="CI69">
        <f>IF(gamma!CI69,VLOOKUP(zeta!CI$1,main!$A$3:$H$102,5,FALSE)-VLOOKUP(zeta!$A69,main!$A$3:$H$102,6,FALSE),0)</f>
        <v>305</v>
      </c>
      <c r="CJ69">
        <f>IF(gamma!CJ69,VLOOKUP(zeta!CJ$1,main!$A$3:$H$102,5,FALSE)-VLOOKUP(zeta!$A69,main!$A$3:$H$102,6,FALSE),0)</f>
        <v>0</v>
      </c>
      <c r="CK69">
        <f>IF(gamma!CK69,VLOOKUP(zeta!CK$1,main!$A$3:$H$102,5,FALSE)-VLOOKUP(zeta!$A69,main!$A$3:$H$102,6,FALSE),0)</f>
        <v>0</v>
      </c>
      <c r="CL69">
        <f>IF(gamma!CL69,VLOOKUP(zeta!CL$1,main!$A$3:$H$102,5,FALSE)-VLOOKUP(zeta!$A69,main!$A$3:$H$102,6,FALSE),0)</f>
        <v>0</v>
      </c>
      <c r="CM69">
        <f>IF(gamma!CM69,VLOOKUP(zeta!CM$1,main!$A$3:$H$102,5,FALSE)-VLOOKUP(zeta!$A69,main!$A$3:$H$102,6,FALSE),0)</f>
        <v>81</v>
      </c>
      <c r="CN69">
        <f>IF(gamma!CN69,VLOOKUP(zeta!CN$1,main!$A$3:$H$102,5,FALSE)-VLOOKUP(zeta!$A69,main!$A$3:$H$102,6,FALSE),0)</f>
        <v>305</v>
      </c>
      <c r="CO69">
        <f>IF(gamma!CO69,VLOOKUP(zeta!CO$1,main!$A$3:$H$102,5,FALSE)-VLOOKUP(zeta!$A69,main!$A$3:$H$102,6,FALSE),0)</f>
        <v>0</v>
      </c>
      <c r="CP69">
        <f>IF(gamma!CP69,VLOOKUP(zeta!CP$1,main!$A$3:$H$102,5,FALSE)-VLOOKUP(zeta!$A69,main!$A$3:$H$102,6,FALSE),0)</f>
        <v>0</v>
      </c>
      <c r="CQ69">
        <f>IF(gamma!CQ69,VLOOKUP(zeta!CQ$1,main!$A$3:$H$102,5,FALSE)-VLOOKUP(zeta!$A69,main!$A$3:$H$102,6,FALSE),0)</f>
        <v>0</v>
      </c>
      <c r="CR69">
        <f>IF(gamma!CR69,VLOOKUP(zeta!CR$1,main!$A$3:$H$102,5,FALSE)-VLOOKUP(zeta!$A69,main!$A$3:$H$102,6,FALSE),0)</f>
        <v>70</v>
      </c>
      <c r="CS69">
        <f>IF(gamma!CS69,VLOOKUP(zeta!CS$1,main!$A$3:$H$102,5,FALSE)-VLOOKUP(zeta!$A69,main!$A$3:$H$102,6,FALSE),0)</f>
        <v>80</v>
      </c>
      <c r="CT69">
        <f>IF(gamma!CT69,VLOOKUP(zeta!CT$1,main!$A$3:$H$102,5,FALSE)-VLOOKUP(zeta!$A69,main!$A$3:$H$102,6,FALSE),0)</f>
        <v>0</v>
      </c>
      <c r="CU69">
        <f>IF(gamma!CU69,VLOOKUP(zeta!CU$1,main!$A$3:$H$102,5,FALSE)-VLOOKUP(zeta!$A69,main!$A$3:$H$102,6,FALSE),0)</f>
        <v>0</v>
      </c>
      <c r="CV69">
        <f>IF(gamma!CV69,VLOOKUP(zeta!CV$1,main!$A$3:$H$102,5,FALSE)-VLOOKUP(zeta!$A69,main!$A$3:$H$102,6,FALSE),0)</f>
        <v>0</v>
      </c>
      <c r="CW69">
        <f>IF(gamma!CW69,VLOOKUP(zeta!CW$1,main!$A$3:$H$102,5,FALSE)-VLOOKUP(zeta!$A69,main!$A$3:$H$102,6,FALSE),0)</f>
        <v>70</v>
      </c>
      <c r="CX69">
        <f>IF(gamma!CX69,VLOOKUP(zeta!CX$1,main!$A$3:$H$102,5,FALSE)-VLOOKUP(zeta!$A69,main!$A$3:$H$102,6,FALSE),0)</f>
        <v>110</v>
      </c>
    </row>
    <row r="70" spans="1:102" x14ac:dyDescent="0.25">
      <c r="A70">
        <f t="shared" si="2"/>
        <v>68</v>
      </c>
      <c r="B70">
        <v>0</v>
      </c>
      <c r="C70">
        <f>IF(gamma!C70,VLOOKUP(zeta!C$1,main!$A$3:$H$102,5,FALSE)-VLOOKUP(zeta!$A70,main!$A$3:$H$102,6,FALSE),0)</f>
        <v>0</v>
      </c>
      <c r="D70">
        <f>IF(gamma!D70,VLOOKUP(zeta!D$1,main!$A$3:$H$102,5,FALSE)-VLOOKUP(zeta!$A70,main!$A$3:$H$102,6,FALSE),0)</f>
        <v>0</v>
      </c>
      <c r="E70">
        <f>IF(gamma!E70,VLOOKUP(zeta!E$1,main!$A$3:$H$102,5,FALSE)-VLOOKUP(zeta!$A70,main!$A$3:$H$102,6,FALSE),0)</f>
        <v>0</v>
      </c>
      <c r="F70">
        <f>IF(gamma!F70,VLOOKUP(zeta!F$1,main!$A$3:$H$102,5,FALSE)-VLOOKUP(zeta!$A70,main!$A$3:$H$102,6,FALSE),0)</f>
        <v>0</v>
      </c>
      <c r="G70">
        <f>IF(gamma!G70,VLOOKUP(zeta!G$1,main!$A$3:$H$102,5,FALSE)-VLOOKUP(zeta!$A70,main!$A$3:$H$102,6,FALSE),0)</f>
        <v>0</v>
      </c>
      <c r="H70">
        <f>IF(gamma!H70,VLOOKUP(zeta!H$1,main!$A$3:$H$102,5,FALSE)-VLOOKUP(zeta!$A70,main!$A$3:$H$102,6,FALSE),0)</f>
        <v>0</v>
      </c>
      <c r="I70">
        <f>IF(gamma!I70,VLOOKUP(zeta!I$1,main!$A$3:$H$102,5,FALSE)-VLOOKUP(zeta!$A70,main!$A$3:$H$102,6,FALSE),0)</f>
        <v>90</v>
      </c>
      <c r="J70">
        <f>IF(gamma!J70,VLOOKUP(zeta!J$1,main!$A$3:$H$102,5,FALSE)-VLOOKUP(zeta!$A70,main!$A$3:$H$102,6,FALSE),0)</f>
        <v>150</v>
      </c>
      <c r="K70">
        <f>IF(gamma!K70,VLOOKUP(zeta!K$1,main!$A$3:$H$102,5,FALSE)-VLOOKUP(zeta!$A70,main!$A$3:$H$102,6,FALSE),0)</f>
        <v>210</v>
      </c>
      <c r="L70">
        <f>IF(gamma!L70,VLOOKUP(zeta!L$1,main!$A$3:$H$102,5,FALSE)-VLOOKUP(zeta!$A70,main!$A$3:$H$102,6,FALSE),0)</f>
        <v>300</v>
      </c>
      <c r="M70">
        <f>IF(gamma!M70,VLOOKUP(zeta!M$1,main!$A$3:$H$102,5,FALSE)-VLOOKUP(zeta!$A70,main!$A$3:$H$102,6,FALSE),0)</f>
        <v>0</v>
      </c>
      <c r="N70">
        <f>IF(gamma!N70,VLOOKUP(zeta!N$1,main!$A$3:$H$102,5,FALSE)-VLOOKUP(zeta!$A70,main!$A$3:$H$102,6,FALSE),0)</f>
        <v>0</v>
      </c>
      <c r="O70">
        <f>IF(gamma!O70,VLOOKUP(zeta!O$1,main!$A$3:$H$102,5,FALSE)-VLOOKUP(zeta!$A70,main!$A$3:$H$102,6,FALSE),0)</f>
        <v>0</v>
      </c>
      <c r="P70">
        <f>IF(gamma!P70,VLOOKUP(zeta!P$1,main!$A$3:$H$102,5,FALSE)-VLOOKUP(zeta!$A70,main!$A$3:$H$102,6,FALSE),0)</f>
        <v>0</v>
      </c>
      <c r="Q70">
        <f>IF(gamma!Q70,VLOOKUP(zeta!Q$1,main!$A$3:$H$102,5,FALSE)-VLOOKUP(zeta!$A70,main!$A$3:$H$102,6,FALSE),0)</f>
        <v>0</v>
      </c>
      <c r="R70">
        <f>IF(gamma!R70,VLOOKUP(zeta!R$1,main!$A$3:$H$102,5,FALSE)-VLOOKUP(zeta!$A70,main!$A$3:$H$102,6,FALSE),0)</f>
        <v>0</v>
      </c>
      <c r="S70">
        <f>IF(gamma!S70,VLOOKUP(zeta!S$1,main!$A$3:$H$102,5,FALSE)-VLOOKUP(zeta!$A70,main!$A$3:$H$102,6,FALSE),0)</f>
        <v>0</v>
      </c>
      <c r="T70">
        <f>IF(gamma!T70,VLOOKUP(zeta!T$1,main!$A$3:$H$102,5,FALSE)-VLOOKUP(zeta!$A70,main!$A$3:$H$102,6,FALSE),0)</f>
        <v>110</v>
      </c>
      <c r="U70">
        <f>IF(gamma!U70,VLOOKUP(zeta!U$1,main!$A$3:$H$102,5,FALSE)-VLOOKUP(zeta!$A70,main!$A$3:$H$102,6,FALSE),0)</f>
        <v>265</v>
      </c>
      <c r="V70">
        <f>IF(gamma!V70,VLOOKUP(zeta!V$1,main!$A$3:$H$102,5,FALSE)-VLOOKUP(zeta!$A70,main!$A$3:$H$102,6,FALSE),0)</f>
        <v>325</v>
      </c>
      <c r="W70">
        <f>IF(gamma!W70,VLOOKUP(zeta!W$1,main!$A$3:$H$102,5,FALSE)-VLOOKUP(zeta!$A70,main!$A$3:$H$102,6,FALSE),0)</f>
        <v>0</v>
      </c>
      <c r="X70">
        <f>IF(gamma!X70,VLOOKUP(zeta!X$1,main!$A$3:$H$102,5,FALSE)-VLOOKUP(zeta!$A70,main!$A$3:$H$102,6,FALSE),0)</f>
        <v>0</v>
      </c>
      <c r="Y70">
        <f>IF(gamma!Y70,VLOOKUP(zeta!Y$1,main!$A$3:$H$102,5,FALSE)-VLOOKUP(zeta!$A70,main!$A$3:$H$102,6,FALSE),0)</f>
        <v>0</v>
      </c>
      <c r="Z70">
        <f>IF(gamma!Z70,VLOOKUP(zeta!Z$1,main!$A$3:$H$102,5,FALSE)-VLOOKUP(zeta!$A70,main!$A$3:$H$102,6,FALSE),0)</f>
        <v>80</v>
      </c>
      <c r="AA70">
        <f>IF(gamma!AA70,VLOOKUP(zeta!AA$1,main!$A$3:$H$102,5,FALSE)-VLOOKUP(zeta!$A70,main!$A$3:$H$102,6,FALSE),0)</f>
        <v>230</v>
      </c>
      <c r="AB70">
        <f>IF(gamma!AB70,VLOOKUP(zeta!AB$1,main!$A$3:$H$102,5,FALSE)-VLOOKUP(zeta!$A70,main!$A$3:$H$102,6,FALSE),0)</f>
        <v>0</v>
      </c>
      <c r="AC70">
        <f>IF(gamma!AC70,VLOOKUP(zeta!AC$1,main!$A$3:$H$102,5,FALSE)-VLOOKUP(zeta!$A70,main!$A$3:$H$102,6,FALSE),0)</f>
        <v>0</v>
      </c>
      <c r="AD70">
        <f>IF(gamma!AD70,VLOOKUP(zeta!AD$1,main!$A$3:$H$102,5,FALSE)-VLOOKUP(zeta!$A70,main!$A$3:$H$102,6,FALSE),0)</f>
        <v>0</v>
      </c>
      <c r="AE70">
        <f>IF(gamma!AE70,VLOOKUP(zeta!AE$1,main!$A$3:$H$102,5,FALSE)-VLOOKUP(zeta!$A70,main!$A$3:$H$102,6,FALSE),0)</f>
        <v>40</v>
      </c>
      <c r="AF70">
        <f>IF(gamma!AF70,VLOOKUP(zeta!AF$1,main!$A$3:$H$102,5,FALSE)-VLOOKUP(zeta!$A70,main!$A$3:$H$102,6,FALSE),0)</f>
        <v>210</v>
      </c>
      <c r="AG70">
        <f>IF(gamma!AG70,VLOOKUP(zeta!AG$1,main!$A$3:$H$102,5,FALSE)-VLOOKUP(zeta!$A70,main!$A$3:$H$102,6,FALSE),0)</f>
        <v>0</v>
      </c>
      <c r="AH70">
        <f>IF(gamma!AH70,VLOOKUP(zeta!AH$1,main!$A$3:$H$102,5,FALSE)-VLOOKUP(zeta!$A70,main!$A$3:$H$102,6,FALSE),0)</f>
        <v>0</v>
      </c>
      <c r="AI70">
        <f>IF(gamma!AI70,VLOOKUP(zeta!AI$1,main!$A$3:$H$102,5,FALSE)-VLOOKUP(zeta!$A70,main!$A$3:$H$102,6,FALSE),0)</f>
        <v>0</v>
      </c>
      <c r="AJ70">
        <f>IF(gamma!AJ70,VLOOKUP(zeta!AJ$1,main!$A$3:$H$102,5,FALSE)-VLOOKUP(zeta!$A70,main!$A$3:$H$102,6,FALSE),0)</f>
        <v>0</v>
      </c>
      <c r="AK70">
        <f>IF(gamma!AK70,VLOOKUP(zeta!AK$1,main!$A$3:$H$102,5,FALSE)-VLOOKUP(zeta!$A70,main!$A$3:$H$102,6,FALSE),0)</f>
        <v>0</v>
      </c>
      <c r="AL70">
        <f>IF(gamma!AL70,VLOOKUP(zeta!AL$1,main!$A$3:$H$102,5,FALSE)-VLOOKUP(zeta!$A70,main!$A$3:$H$102,6,FALSE),0)</f>
        <v>100</v>
      </c>
      <c r="AM70">
        <f>IF(gamma!AM70,VLOOKUP(zeta!AM$1,main!$A$3:$H$102,5,FALSE)-VLOOKUP(zeta!$A70,main!$A$3:$H$102,6,FALSE),0)</f>
        <v>190</v>
      </c>
      <c r="AN70">
        <f>IF(gamma!AN70,VLOOKUP(zeta!AN$1,main!$A$3:$H$102,5,FALSE)-VLOOKUP(zeta!$A70,main!$A$3:$H$102,6,FALSE),0)</f>
        <v>250</v>
      </c>
      <c r="AO70">
        <f>IF(gamma!AO70,VLOOKUP(zeta!AO$1,main!$A$3:$H$102,5,FALSE)-VLOOKUP(zeta!$A70,main!$A$3:$H$102,6,FALSE),0)</f>
        <v>0</v>
      </c>
      <c r="AP70">
        <f>IF(gamma!AP70,VLOOKUP(zeta!AP$1,main!$A$3:$H$102,5,FALSE)-VLOOKUP(zeta!$A70,main!$A$3:$H$102,6,FALSE),0)</f>
        <v>310</v>
      </c>
      <c r="AQ70">
        <f>IF(gamma!AQ70,VLOOKUP(zeta!AQ$1,main!$A$3:$H$102,5,FALSE)-VLOOKUP(zeta!$A70,main!$A$3:$H$102,6,FALSE),0)</f>
        <v>0</v>
      </c>
      <c r="AR70">
        <f>IF(gamma!AR70,VLOOKUP(zeta!AR$1,main!$A$3:$H$102,5,FALSE)-VLOOKUP(zeta!$A70,main!$A$3:$H$102,6,FALSE),0)</f>
        <v>0</v>
      </c>
      <c r="AS70">
        <f>IF(gamma!AS70,VLOOKUP(zeta!AS$1,main!$A$3:$H$102,5,FALSE)-VLOOKUP(zeta!$A70,main!$A$3:$H$102,6,FALSE),0)</f>
        <v>0</v>
      </c>
      <c r="AT70">
        <f>IF(gamma!AT70,VLOOKUP(zeta!AT$1,main!$A$3:$H$102,5,FALSE)-VLOOKUP(zeta!$A70,main!$A$3:$H$102,6,FALSE),0)</f>
        <v>60</v>
      </c>
      <c r="AU70">
        <f>IF(gamma!AU70,VLOOKUP(zeta!AU$1,main!$A$3:$H$102,5,FALSE)-VLOOKUP(zeta!$A70,main!$A$3:$H$102,6,FALSE),0)</f>
        <v>0</v>
      </c>
      <c r="AV70">
        <f>IF(gamma!AV70,VLOOKUP(zeta!AV$1,main!$A$3:$H$102,5,FALSE)-VLOOKUP(zeta!$A70,main!$A$3:$H$102,6,FALSE),0)</f>
        <v>0</v>
      </c>
      <c r="AW70">
        <f>IF(gamma!AW70,VLOOKUP(zeta!AW$1,main!$A$3:$H$102,5,FALSE)-VLOOKUP(zeta!$A70,main!$A$3:$H$102,6,FALSE),0)</f>
        <v>0</v>
      </c>
      <c r="AX70">
        <f>IF(gamma!AX70,VLOOKUP(zeta!AX$1,main!$A$3:$H$102,5,FALSE)-VLOOKUP(zeta!$A70,main!$A$3:$H$102,6,FALSE),0)</f>
        <v>0</v>
      </c>
      <c r="AY70">
        <f>IF(gamma!AY70,VLOOKUP(zeta!AY$1,main!$A$3:$H$102,5,FALSE)-VLOOKUP(zeta!$A70,main!$A$3:$H$102,6,FALSE),0)</f>
        <v>0</v>
      </c>
      <c r="AZ70">
        <f>IF(gamma!AZ70,VLOOKUP(zeta!AZ$1,main!$A$3:$H$102,5,FALSE)-VLOOKUP(zeta!$A70,main!$A$3:$H$102,6,FALSE),0)</f>
        <v>0</v>
      </c>
      <c r="BA70">
        <f>IF(gamma!BA70,VLOOKUP(zeta!BA$1,main!$A$3:$H$102,5,FALSE)-VLOOKUP(zeta!$A70,main!$A$3:$H$102,6,FALSE),0)</f>
        <v>0</v>
      </c>
      <c r="BB70">
        <f>IF(gamma!BB70,VLOOKUP(zeta!BB$1,main!$A$3:$H$102,5,FALSE)-VLOOKUP(zeta!$A70,main!$A$3:$H$102,6,FALSE),0)</f>
        <v>0</v>
      </c>
      <c r="BC70">
        <f>IF(gamma!BC70,VLOOKUP(zeta!BC$1,main!$A$3:$H$102,5,FALSE)-VLOOKUP(zeta!$A70,main!$A$3:$H$102,6,FALSE),0)</f>
        <v>0</v>
      </c>
      <c r="BD70">
        <f>IF(gamma!BD70,VLOOKUP(zeta!BD$1,main!$A$3:$H$102,5,FALSE)-VLOOKUP(zeta!$A70,main!$A$3:$H$102,6,FALSE),0)</f>
        <v>0</v>
      </c>
      <c r="BE70">
        <f>IF(gamma!BE70,VLOOKUP(zeta!BE$1,main!$A$3:$H$102,5,FALSE)-VLOOKUP(zeta!$A70,main!$A$3:$H$102,6,FALSE),0)</f>
        <v>150</v>
      </c>
      <c r="BF70">
        <f>IF(gamma!BF70,VLOOKUP(zeta!BF$1,main!$A$3:$H$102,5,FALSE)-VLOOKUP(zeta!$A70,main!$A$3:$H$102,6,FALSE),0)</f>
        <v>0</v>
      </c>
      <c r="BG70">
        <f>IF(gamma!BG70,VLOOKUP(zeta!BG$1,main!$A$3:$H$102,5,FALSE)-VLOOKUP(zeta!$A70,main!$A$3:$H$102,6,FALSE),0)</f>
        <v>0</v>
      </c>
      <c r="BH70">
        <f>IF(gamma!BH70,VLOOKUP(zeta!BH$1,main!$A$3:$H$102,5,FALSE)-VLOOKUP(zeta!$A70,main!$A$3:$H$102,6,FALSE),0)</f>
        <v>0</v>
      </c>
      <c r="BI70">
        <f>IF(gamma!BI70,VLOOKUP(zeta!BI$1,main!$A$3:$H$102,5,FALSE)-VLOOKUP(zeta!$A70,main!$A$3:$H$102,6,FALSE),0)</f>
        <v>320</v>
      </c>
      <c r="BJ70">
        <f>IF(gamma!BJ70,VLOOKUP(zeta!BJ$1,main!$A$3:$H$102,5,FALSE)-VLOOKUP(zeta!$A70,main!$A$3:$H$102,6,FALSE),0)</f>
        <v>110</v>
      </c>
      <c r="BK70">
        <f>IF(gamma!BK70,VLOOKUP(zeta!BK$1,main!$A$3:$H$102,5,FALSE)-VLOOKUP(zeta!$A70,main!$A$3:$H$102,6,FALSE),0)</f>
        <v>0</v>
      </c>
      <c r="BL70">
        <f>IF(gamma!BL70,VLOOKUP(zeta!BL$1,main!$A$3:$H$102,5,FALSE)-VLOOKUP(zeta!$A70,main!$A$3:$H$102,6,FALSE),0)</f>
        <v>0</v>
      </c>
      <c r="BM70">
        <f>IF(gamma!BM70,VLOOKUP(zeta!BM$1,main!$A$3:$H$102,5,FALSE)-VLOOKUP(zeta!$A70,main!$A$3:$H$102,6,FALSE),0)</f>
        <v>0</v>
      </c>
      <c r="BN70">
        <f>IF(gamma!BN70,VLOOKUP(zeta!BN$1,main!$A$3:$H$102,5,FALSE)-VLOOKUP(zeta!$A70,main!$A$3:$H$102,6,FALSE),0)</f>
        <v>0</v>
      </c>
      <c r="BO70">
        <f>IF(gamma!BO70,VLOOKUP(zeta!BO$1,main!$A$3:$H$102,5,FALSE)-VLOOKUP(zeta!$A70,main!$A$3:$H$102,6,FALSE),0)</f>
        <v>0</v>
      </c>
      <c r="BP70">
        <f>IF(gamma!BP70,VLOOKUP(zeta!BP$1,main!$A$3:$H$102,5,FALSE)-VLOOKUP(zeta!$A70,main!$A$3:$H$102,6,FALSE),0)</f>
        <v>0</v>
      </c>
      <c r="BQ70">
        <f>IF(gamma!BQ70,VLOOKUP(zeta!BQ$1,main!$A$3:$H$102,5,FALSE)-VLOOKUP(zeta!$A70,main!$A$3:$H$102,6,FALSE),0)</f>
        <v>0</v>
      </c>
      <c r="BR70">
        <f>IF(gamma!BR70,VLOOKUP(zeta!BR$1,main!$A$3:$H$102,5,FALSE)-VLOOKUP(zeta!$A70,main!$A$3:$H$102,6,FALSE),0)</f>
        <v>0</v>
      </c>
      <c r="BS70">
        <f>IF(gamma!BS70,VLOOKUP(zeta!BS$1,main!$A$3:$H$102,5,FALSE)-VLOOKUP(zeta!$A70,main!$A$3:$H$102,6,FALSE),0)</f>
        <v>0</v>
      </c>
      <c r="BT70">
        <f>IF(gamma!BT70,VLOOKUP(zeta!BT$1,main!$A$3:$H$102,5,FALSE)-VLOOKUP(zeta!$A70,main!$A$3:$H$102,6,FALSE),0)</f>
        <v>0</v>
      </c>
      <c r="BU70">
        <f>IF(gamma!BU70,VLOOKUP(zeta!BU$1,main!$A$3:$H$102,5,FALSE)-VLOOKUP(zeta!$A70,main!$A$3:$H$102,6,FALSE),0)</f>
        <v>0</v>
      </c>
      <c r="BV70">
        <f>IF(gamma!BV70,VLOOKUP(zeta!BV$1,main!$A$3:$H$102,5,FALSE)-VLOOKUP(zeta!$A70,main!$A$3:$H$102,6,FALSE),0)</f>
        <v>0</v>
      </c>
      <c r="BW70">
        <f>IF(gamma!BW70,VLOOKUP(zeta!BW$1,main!$A$3:$H$102,5,FALSE)-VLOOKUP(zeta!$A70,main!$A$3:$H$102,6,FALSE),0)</f>
        <v>0</v>
      </c>
      <c r="BX70">
        <f>IF(gamma!BX70,VLOOKUP(zeta!BX$1,main!$A$3:$H$102,5,FALSE)-VLOOKUP(zeta!$A70,main!$A$3:$H$102,6,FALSE),0)</f>
        <v>0</v>
      </c>
      <c r="BY70">
        <f>IF(gamma!BY70,VLOOKUP(zeta!BY$1,main!$A$3:$H$102,5,FALSE)-VLOOKUP(zeta!$A70,main!$A$3:$H$102,6,FALSE),0)</f>
        <v>0</v>
      </c>
      <c r="BZ70">
        <f>IF(gamma!BZ70,VLOOKUP(zeta!BZ$1,main!$A$3:$H$102,5,FALSE)-VLOOKUP(zeta!$A70,main!$A$3:$H$102,6,FALSE),0)</f>
        <v>0</v>
      </c>
      <c r="CA70">
        <f>IF(gamma!CA70,VLOOKUP(zeta!CA$1,main!$A$3:$H$102,5,FALSE)-VLOOKUP(zeta!$A70,main!$A$3:$H$102,6,FALSE),0)</f>
        <v>0</v>
      </c>
      <c r="CB70">
        <f>IF(gamma!CB70,VLOOKUP(zeta!CB$1,main!$A$3:$H$102,5,FALSE)-VLOOKUP(zeta!$A70,main!$A$3:$H$102,6,FALSE),0)</f>
        <v>0</v>
      </c>
      <c r="CC70">
        <f>IF(gamma!CC70,VLOOKUP(zeta!CC$1,main!$A$3:$H$102,5,FALSE)-VLOOKUP(zeta!$A70,main!$A$3:$H$102,6,FALSE),0)</f>
        <v>225</v>
      </c>
      <c r="CD70">
        <f>IF(gamma!CD70,VLOOKUP(zeta!CD$1,main!$A$3:$H$102,5,FALSE)-VLOOKUP(zeta!$A70,main!$A$3:$H$102,6,FALSE),0)</f>
        <v>0</v>
      </c>
      <c r="CE70">
        <f>IF(gamma!CE70,VLOOKUP(zeta!CE$1,main!$A$3:$H$102,5,FALSE)-VLOOKUP(zeta!$A70,main!$A$3:$H$102,6,FALSE),0)</f>
        <v>0</v>
      </c>
      <c r="CF70">
        <f>IF(gamma!CF70,VLOOKUP(zeta!CF$1,main!$A$3:$H$102,5,FALSE)-VLOOKUP(zeta!$A70,main!$A$3:$H$102,6,FALSE),0)</f>
        <v>0</v>
      </c>
      <c r="CG70">
        <f>IF(gamma!CG70,VLOOKUP(zeta!CG$1,main!$A$3:$H$102,5,FALSE)-VLOOKUP(zeta!$A70,main!$A$3:$H$102,6,FALSE),0)</f>
        <v>0</v>
      </c>
      <c r="CH70">
        <f>IF(gamma!CH70,VLOOKUP(zeta!CH$1,main!$A$3:$H$102,5,FALSE)-VLOOKUP(zeta!$A70,main!$A$3:$H$102,6,FALSE),0)</f>
        <v>110</v>
      </c>
      <c r="CI70">
        <f>IF(gamma!CI70,VLOOKUP(zeta!CI$1,main!$A$3:$H$102,5,FALSE)-VLOOKUP(zeta!$A70,main!$A$3:$H$102,6,FALSE),0)</f>
        <v>310</v>
      </c>
      <c r="CJ70">
        <f>IF(gamma!CJ70,VLOOKUP(zeta!CJ$1,main!$A$3:$H$102,5,FALSE)-VLOOKUP(zeta!$A70,main!$A$3:$H$102,6,FALSE),0)</f>
        <v>0</v>
      </c>
      <c r="CK70">
        <f>IF(gamma!CK70,VLOOKUP(zeta!CK$1,main!$A$3:$H$102,5,FALSE)-VLOOKUP(zeta!$A70,main!$A$3:$H$102,6,FALSE),0)</f>
        <v>0</v>
      </c>
      <c r="CL70">
        <f>IF(gamma!CL70,VLOOKUP(zeta!CL$1,main!$A$3:$H$102,5,FALSE)-VLOOKUP(zeta!$A70,main!$A$3:$H$102,6,FALSE),0)</f>
        <v>0</v>
      </c>
      <c r="CM70">
        <f>IF(gamma!CM70,VLOOKUP(zeta!CM$1,main!$A$3:$H$102,5,FALSE)-VLOOKUP(zeta!$A70,main!$A$3:$H$102,6,FALSE),0)</f>
        <v>86</v>
      </c>
      <c r="CN70">
        <f>IF(gamma!CN70,VLOOKUP(zeta!CN$1,main!$A$3:$H$102,5,FALSE)-VLOOKUP(zeta!$A70,main!$A$3:$H$102,6,FALSE),0)</f>
        <v>310</v>
      </c>
      <c r="CO70">
        <f>IF(gamma!CO70,VLOOKUP(zeta!CO$1,main!$A$3:$H$102,5,FALSE)-VLOOKUP(zeta!$A70,main!$A$3:$H$102,6,FALSE),0)</f>
        <v>0</v>
      </c>
      <c r="CP70">
        <f>IF(gamma!CP70,VLOOKUP(zeta!CP$1,main!$A$3:$H$102,5,FALSE)-VLOOKUP(zeta!$A70,main!$A$3:$H$102,6,FALSE),0)</f>
        <v>0</v>
      </c>
      <c r="CQ70">
        <f>IF(gamma!CQ70,VLOOKUP(zeta!CQ$1,main!$A$3:$H$102,5,FALSE)-VLOOKUP(zeta!$A70,main!$A$3:$H$102,6,FALSE),0)</f>
        <v>0</v>
      </c>
      <c r="CR70">
        <f>IF(gamma!CR70,VLOOKUP(zeta!CR$1,main!$A$3:$H$102,5,FALSE)-VLOOKUP(zeta!$A70,main!$A$3:$H$102,6,FALSE),0)</f>
        <v>75</v>
      </c>
      <c r="CS70">
        <f>IF(gamma!CS70,VLOOKUP(zeta!CS$1,main!$A$3:$H$102,5,FALSE)-VLOOKUP(zeta!$A70,main!$A$3:$H$102,6,FALSE),0)</f>
        <v>85</v>
      </c>
      <c r="CT70">
        <f>IF(gamma!CT70,VLOOKUP(zeta!CT$1,main!$A$3:$H$102,5,FALSE)-VLOOKUP(zeta!$A70,main!$A$3:$H$102,6,FALSE),0)</f>
        <v>0</v>
      </c>
      <c r="CU70">
        <f>IF(gamma!CU70,VLOOKUP(zeta!CU$1,main!$A$3:$H$102,5,FALSE)-VLOOKUP(zeta!$A70,main!$A$3:$H$102,6,FALSE),0)</f>
        <v>0</v>
      </c>
      <c r="CV70">
        <f>IF(gamma!CV70,VLOOKUP(zeta!CV$1,main!$A$3:$H$102,5,FALSE)-VLOOKUP(zeta!$A70,main!$A$3:$H$102,6,FALSE),0)</f>
        <v>0</v>
      </c>
      <c r="CW70">
        <f>IF(gamma!CW70,VLOOKUP(zeta!CW$1,main!$A$3:$H$102,5,FALSE)-VLOOKUP(zeta!$A70,main!$A$3:$H$102,6,FALSE),0)</f>
        <v>75</v>
      </c>
      <c r="CX70">
        <f>IF(gamma!CX70,VLOOKUP(zeta!CX$1,main!$A$3:$H$102,5,FALSE)-VLOOKUP(zeta!$A70,main!$A$3:$H$102,6,FALSE),0)</f>
        <v>115</v>
      </c>
    </row>
    <row r="71" spans="1:102" x14ac:dyDescent="0.25">
      <c r="A71">
        <f t="shared" si="2"/>
        <v>69</v>
      </c>
      <c r="B71">
        <v>0</v>
      </c>
      <c r="C71">
        <f>IF(gamma!C71,VLOOKUP(zeta!C$1,main!$A$3:$H$102,5,FALSE)-VLOOKUP(zeta!$A71,main!$A$3:$H$102,6,FALSE),0)</f>
        <v>0</v>
      </c>
      <c r="D71">
        <f>IF(gamma!D71,VLOOKUP(zeta!D$1,main!$A$3:$H$102,5,FALSE)-VLOOKUP(zeta!$A71,main!$A$3:$H$102,6,FALSE),0)</f>
        <v>0</v>
      </c>
      <c r="E71">
        <f>IF(gamma!E71,VLOOKUP(zeta!E$1,main!$A$3:$H$102,5,FALSE)-VLOOKUP(zeta!$A71,main!$A$3:$H$102,6,FALSE),0)</f>
        <v>0</v>
      </c>
      <c r="F71">
        <f>IF(gamma!F71,VLOOKUP(zeta!F$1,main!$A$3:$H$102,5,FALSE)-VLOOKUP(zeta!$A71,main!$A$3:$H$102,6,FALSE),0)</f>
        <v>0</v>
      </c>
      <c r="G71">
        <f>IF(gamma!G71,VLOOKUP(zeta!G$1,main!$A$3:$H$102,5,FALSE)-VLOOKUP(zeta!$A71,main!$A$3:$H$102,6,FALSE),0)</f>
        <v>0</v>
      </c>
      <c r="H71">
        <f>IF(gamma!H71,VLOOKUP(zeta!H$1,main!$A$3:$H$102,5,FALSE)-VLOOKUP(zeta!$A71,main!$A$3:$H$102,6,FALSE),0)</f>
        <v>0</v>
      </c>
      <c r="I71">
        <f>IF(gamma!I71,VLOOKUP(zeta!I$1,main!$A$3:$H$102,5,FALSE)-VLOOKUP(zeta!$A71,main!$A$3:$H$102,6,FALSE),0)</f>
        <v>79</v>
      </c>
      <c r="J71">
        <f>IF(gamma!J71,VLOOKUP(zeta!J$1,main!$A$3:$H$102,5,FALSE)-VLOOKUP(zeta!$A71,main!$A$3:$H$102,6,FALSE),0)</f>
        <v>139</v>
      </c>
      <c r="K71">
        <f>IF(gamma!K71,VLOOKUP(zeta!K$1,main!$A$3:$H$102,5,FALSE)-VLOOKUP(zeta!$A71,main!$A$3:$H$102,6,FALSE),0)</f>
        <v>199</v>
      </c>
      <c r="L71">
        <f>IF(gamma!L71,VLOOKUP(zeta!L$1,main!$A$3:$H$102,5,FALSE)-VLOOKUP(zeta!$A71,main!$A$3:$H$102,6,FALSE),0)</f>
        <v>289</v>
      </c>
      <c r="M71">
        <f>IF(gamma!M71,VLOOKUP(zeta!M$1,main!$A$3:$H$102,5,FALSE)-VLOOKUP(zeta!$A71,main!$A$3:$H$102,6,FALSE),0)</f>
        <v>0</v>
      </c>
      <c r="N71">
        <f>IF(gamma!N71,VLOOKUP(zeta!N$1,main!$A$3:$H$102,5,FALSE)-VLOOKUP(zeta!$A71,main!$A$3:$H$102,6,FALSE),0)</f>
        <v>0</v>
      </c>
      <c r="O71">
        <f>IF(gamma!O71,VLOOKUP(zeta!O$1,main!$A$3:$H$102,5,FALSE)-VLOOKUP(zeta!$A71,main!$A$3:$H$102,6,FALSE),0)</f>
        <v>0</v>
      </c>
      <c r="P71">
        <f>IF(gamma!P71,VLOOKUP(zeta!P$1,main!$A$3:$H$102,5,FALSE)-VLOOKUP(zeta!$A71,main!$A$3:$H$102,6,FALSE),0)</f>
        <v>0</v>
      </c>
      <c r="Q71">
        <f>IF(gamma!Q71,VLOOKUP(zeta!Q$1,main!$A$3:$H$102,5,FALSE)-VLOOKUP(zeta!$A71,main!$A$3:$H$102,6,FALSE),0)</f>
        <v>0</v>
      </c>
      <c r="R71">
        <f>IF(gamma!R71,VLOOKUP(zeta!R$1,main!$A$3:$H$102,5,FALSE)-VLOOKUP(zeta!$A71,main!$A$3:$H$102,6,FALSE),0)</f>
        <v>0</v>
      </c>
      <c r="S71">
        <f>IF(gamma!S71,VLOOKUP(zeta!S$1,main!$A$3:$H$102,5,FALSE)-VLOOKUP(zeta!$A71,main!$A$3:$H$102,6,FALSE),0)</f>
        <v>0</v>
      </c>
      <c r="T71">
        <f>IF(gamma!T71,VLOOKUP(zeta!T$1,main!$A$3:$H$102,5,FALSE)-VLOOKUP(zeta!$A71,main!$A$3:$H$102,6,FALSE),0)</f>
        <v>99</v>
      </c>
      <c r="U71">
        <f>IF(gamma!U71,VLOOKUP(zeta!U$1,main!$A$3:$H$102,5,FALSE)-VLOOKUP(zeta!$A71,main!$A$3:$H$102,6,FALSE),0)</f>
        <v>254</v>
      </c>
      <c r="V71">
        <f>IF(gamma!V71,VLOOKUP(zeta!V$1,main!$A$3:$H$102,5,FALSE)-VLOOKUP(zeta!$A71,main!$A$3:$H$102,6,FALSE),0)</f>
        <v>314</v>
      </c>
      <c r="W71">
        <f>IF(gamma!W71,VLOOKUP(zeta!W$1,main!$A$3:$H$102,5,FALSE)-VLOOKUP(zeta!$A71,main!$A$3:$H$102,6,FALSE),0)</f>
        <v>0</v>
      </c>
      <c r="X71">
        <f>IF(gamma!X71,VLOOKUP(zeta!X$1,main!$A$3:$H$102,5,FALSE)-VLOOKUP(zeta!$A71,main!$A$3:$H$102,6,FALSE),0)</f>
        <v>0</v>
      </c>
      <c r="Y71">
        <f>IF(gamma!Y71,VLOOKUP(zeta!Y$1,main!$A$3:$H$102,5,FALSE)-VLOOKUP(zeta!$A71,main!$A$3:$H$102,6,FALSE),0)</f>
        <v>0</v>
      </c>
      <c r="Z71">
        <f>IF(gamma!Z71,VLOOKUP(zeta!Z$1,main!$A$3:$H$102,5,FALSE)-VLOOKUP(zeta!$A71,main!$A$3:$H$102,6,FALSE),0)</f>
        <v>69</v>
      </c>
      <c r="AA71">
        <f>IF(gamma!AA71,VLOOKUP(zeta!AA$1,main!$A$3:$H$102,5,FALSE)-VLOOKUP(zeta!$A71,main!$A$3:$H$102,6,FALSE),0)</f>
        <v>219</v>
      </c>
      <c r="AB71">
        <f>IF(gamma!AB71,VLOOKUP(zeta!AB$1,main!$A$3:$H$102,5,FALSE)-VLOOKUP(zeta!$A71,main!$A$3:$H$102,6,FALSE),0)</f>
        <v>0</v>
      </c>
      <c r="AC71">
        <f>IF(gamma!AC71,VLOOKUP(zeta!AC$1,main!$A$3:$H$102,5,FALSE)-VLOOKUP(zeta!$A71,main!$A$3:$H$102,6,FALSE),0)</f>
        <v>0</v>
      </c>
      <c r="AD71">
        <f>IF(gamma!AD71,VLOOKUP(zeta!AD$1,main!$A$3:$H$102,5,FALSE)-VLOOKUP(zeta!$A71,main!$A$3:$H$102,6,FALSE),0)</f>
        <v>0</v>
      </c>
      <c r="AE71">
        <f>IF(gamma!AE71,VLOOKUP(zeta!AE$1,main!$A$3:$H$102,5,FALSE)-VLOOKUP(zeta!$A71,main!$A$3:$H$102,6,FALSE),0)</f>
        <v>0</v>
      </c>
      <c r="AF71">
        <f>IF(gamma!AF71,VLOOKUP(zeta!AF$1,main!$A$3:$H$102,5,FALSE)-VLOOKUP(zeta!$A71,main!$A$3:$H$102,6,FALSE),0)</f>
        <v>199</v>
      </c>
      <c r="AG71">
        <f>IF(gamma!AG71,VLOOKUP(zeta!AG$1,main!$A$3:$H$102,5,FALSE)-VLOOKUP(zeta!$A71,main!$A$3:$H$102,6,FALSE),0)</f>
        <v>0</v>
      </c>
      <c r="AH71">
        <f>IF(gamma!AH71,VLOOKUP(zeta!AH$1,main!$A$3:$H$102,5,FALSE)-VLOOKUP(zeta!$A71,main!$A$3:$H$102,6,FALSE),0)</f>
        <v>0</v>
      </c>
      <c r="AI71">
        <f>IF(gamma!AI71,VLOOKUP(zeta!AI$1,main!$A$3:$H$102,5,FALSE)-VLOOKUP(zeta!$A71,main!$A$3:$H$102,6,FALSE),0)</f>
        <v>0</v>
      </c>
      <c r="AJ71">
        <f>IF(gamma!AJ71,VLOOKUP(zeta!AJ$1,main!$A$3:$H$102,5,FALSE)-VLOOKUP(zeta!$A71,main!$A$3:$H$102,6,FALSE),0)</f>
        <v>0</v>
      </c>
      <c r="AK71">
        <f>IF(gamma!AK71,VLOOKUP(zeta!AK$1,main!$A$3:$H$102,5,FALSE)-VLOOKUP(zeta!$A71,main!$A$3:$H$102,6,FALSE),0)</f>
        <v>0</v>
      </c>
      <c r="AL71">
        <f>IF(gamma!AL71,VLOOKUP(zeta!AL$1,main!$A$3:$H$102,5,FALSE)-VLOOKUP(zeta!$A71,main!$A$3:$H$102,6,FALSE),0)</f>
        <v>89</v>
      </c>
      <c r="AM71">
        <f>IF(gamma!AM71,VLOOKUP(zeta!AM$1,main!$A$3:$H$102,5,FALSE)-VLOOKUP(zeta!$A71,main!$A$3:$H$102,6,FALSE),0)</f>
        <v>179</v>
      </c>
      <c r="AN71">
        <f>IF(gamma!AN71,VLOOKUP(zeta!AN$1,main!$A$3:$H$102,5,FALSE)-VLOOKUP(zeta!$A71,main!$A$3:$H$102,6,FALSE),0)</f>
        <v>239</v>
      </c>
      <c r="AO71">
        <f>IF(gamma!AO71,VLOOKUP(zeta!AO$1,main!$A$3:$H$102,5,FALSE)-VLOOKUP(zeta!$A71,main!$A$3:$H$102,6,FALSE),0)</f>
        <v>0</v>
      </c>
      <c r="AP71">
        <f>IF(gamma!AP71,VLOOKUP(zeta!AP$1,main!$A$3:$H$102,5,FALSE)-VLOOKUP(zeta!$A71,main!$A$3:$H$102,6,FALSE),0)</f>
        <v>299</v>
      </c>
      <c r="AQ71">
        <f>IF(gamma!AQ71,VLOOKUP(zeta!AQ$1,main!$A$3:$H$102,5,FALSE)-VLOOKUP(zeta!$A71,main!$A$3:$H$102,6,FALSE),0)</f>
        <v>0</v>
      </c>
      <c r="AR71">
        <f>IF(gamma!AR71,VLOOKUP(zeta!AR$1,main!$A$3:$H$102,5,FALSE)-VLOOKUP(zeta!$A71,main!$A$3:$H$102,6,FALSE),0)</f>
        <v>0</v>
      </c>
      <c r="AS71">
        <f>IF(gamma!AS71,VLOOKUP(zeta!AS$1,main!$A$3:$H$102,5,FALSE)-VLOOKUP(zeta!$A71,main!$A$3:$H$102,6,FALSE),0)</f>
        <v>0</v>
      </c>
      <c r="AT71">
        <f>IF(gamma!AT71,VLOOKUP(zeta!AT$1,main!$A$3:$H$102,5,FALSE)-VLOOKUP(zeta!$A71,main!$A$3:$H$102,6,FALSE),0)</f>
        <v>49</v>
      </c>
      <c r="AU71">
        <f>IF(gamma!AU71,VLOOKUP(zeta!AU$1,main!$A$3:$H$102,5,FALSE)-VLOOKUP(zeta!$A71,main!$A$3:$H$102,6,FALSE),0)</f>
        <v>0</v>
      </c>
      <c r="AV71">
        <f>IF(gamma!AV71,VLOOKUP(zeta!AV$1,main!$A$3:$H$102,5,FALSE)-VLOOKUP(zeta!$A71,main!$A$3:$H$102,6,FALSE),0)</f>
        <v>0</v>
      </c>
      <c r="AW71">
        <f>IF(gamma!AW71,VLOOKUP(zeta!AW$1,main!$A$3:$H$102,5,FALSE)-VLOOKUP(zeta!$A71,main!$A$3:$H$102,6,FALSE),0)</f>
        <v>0</v>
      </c>
      <c r="AX71">
        <f>IF(gamma!AX71,VLOOKUP(zeta!AX$1,main!$A$3:$H$102,5,FALSE)-VLOOKUP(zeta!$A71,main!$A$3:$H$102,6,FALSE),0)</f>
        <v>0</v>
      </c>
      <c r="AY71">
        <f>IF(gamma!AY71,VLOOKUP(zeta!AY$1,main!$A$3:$H$102,5,FALSE)-VLOOKUP(zeta!$A71,main!$A$3:$H$102,6,FALSE),0)</f>
        <v>0</v>
      </c>
      <c r="AZ71">
        <f>IF(gamma!AZ71,VLOOKUP(zeta!AZ$1,main!$A$3:$H$102,5,FALSE)-VLOOKUP(zeta!$A71,main!$A$3:$H$102,6,FALSE),0)</f>
        <v>0</v>
      </c>
      <c r="BA71">
        <f>IF(gamma!BA71,VLOOKUP(zeta!BA$1,main!$A$3:$H$102,5,FALSE)-VLOOKUP(zeta!$A71,main!$A$3:$H$102,6,FALSE),0)</f>
        <v>0</v>
      </c>
      <c r="BB71">
        <f>IF(gamma!BB71,VLOOKUP(zeta!BB$1,main!$A$3:$H$102,5,FALSE)-VLOOKUP(zeta!$A71,main!$A$3:$H$102,6,FALSE),0)</f>
        <v>0</v>
      </c>
      <c r="BC71">
        <f>IF(gamma!BC71,VLOOKUP(zeta!BC$1,main!$A$3:$H$102,5,FALSE)-VLOOKUP(zeta!$A71,main!$A$3:$H$102,6,FALSE),0)</f>
        <v>0</v>
      </c>
      <c r="BD71">
        <f>IF(gamma!BD71,VLOOKUP(zeta!BD$1,main!$A$3:$H$102,5,FALSE)-VLOOKUP(zeta!$A71,main!$A$3:$H$102,6,FALSE),0)</f>
        <v>0</v>
      </c>
      <c r="BE71">
        <f>IF(gamma!BE71,VLOOKUP(zeta!BE$1,main!$A$3:$H$102,5,FALSE)-VLOOKUP(zeta!$A71,main!$A$3:$H$102,6,FALSE),0)</f>
        <v>139</v>
      </c>
      <c r="BF71">
        <f>IF(gamma!BF71,VLOOKUP(zeta!BF$1,main!$A$3:$H$102,5,FALSE)-VLOOKUP(zeta!$A71,main!$A$3:$H$102,6,FALSE),0)</f>
        <v>0</v>
      </c>
      <c r="BG71">
        <f>IF(gamma!BG71,VLOOKUP(zeta!BG$1,main!$A$3:$H$102,5,FALSE)-VLOOKUP(zeta!$A71,main!$A$3:$H$102,6,FALSE),0)</f>
        <v>0</v>
      </c>
      <c r="BH71">
        <f>IF(gamma!BH71,VLOOKUP(zeta!BH$1,main!$A$3:$H$102,5,FALSE)-VLOOKUP(zeta!$A71,main!$A$3:$H$102,6,FALSE),0)</f>
        <v>0</v>
      </c>
      <c r="BI71">
        <f>IF(gamma!BI71,VLOOKUP(zeta!BI$1,main!$A$3:$H$102,5,FALSE)-VLOOKUP(zeta!$A71,main!$A$3:$H$102,6,FALSE),0)</f>
        <v>309</v>
      </c>
      <c r="BJ71">
        <f>IF(gamma!BJ71,VLOOKUP(zeta!BJ$1,main!$A$3:$H$102,5,FALSE)-VLOOKUP(zeta!$A71,main!$A$3:$H$102,6,FALSE),0)</f>
        <v>99</v>
      </c>
      <c r="BK71">
        <f>IF(gamma!BK71,VLOOKUP(zeta!BK$1,main!$A$3:$H$102,5,FALSE)-VLOOKUP(zeta!$A71,main!$A$3:$H$102,6,FALSE),0)</f>
        <v>0</v>
      </c>
      <c r="BL71">
        <f>IF(gamma!BL71,VLOOKUP(zeta!BL$1,main!$A$3:$H$102,5,FALSE)-VLOOKUP(zeta!$A71,main!$A$3:$H$102,6,FALSE),0)</f>
        <v>0</v>
      </c>
      <c r="BM71">
        <f>IF(gamma!BM71,VLOOKUP(zeta!BM$1,main!$A$3:$H$102,5,FALSE)-VLOOKUP(zeta!$A71,main!$A$3:$H$102,6,FALSE),0)</f>
        <v>0</v>
      </c>
      <c r="BN71">
        <f>IF(gamma!BN71,VLOOKUP(zeta!BN$1,main!$A$3:$H$102,5,FALSE)-VLOOKUP(zeta!$A71,main!$A$3:$H$102,6,FALSE),0)</f>
        <v>0</v>
      </c>
      <c r="BO71">
        <f>IF(gamma!BO71,VLOOKUP(zeta!BO$1,main!$A$3:$H$102,5,FALSE)-VLOOKUP(zeta!$A71,main!$A$3:$H$102,6,FALSE),0)</f>
        <v>0</v>
      </c>
      <c r="BP71">
        <f>IF(gamma!BP71,VLOOKUP(zeta!BP$1,main!$A$3:$H$102,5,FALSE)-VLOOKUP(zeta!$A71,main!$A$3:$H$102,6,FALSE),0)</f>
        <v>0</v>
      </c>
      <c r="BQ71">
        <f>IF(gamma!BQ71,VLOOKUP(zeta!BQ$1,main!$A$3:$H$102,5,FALSE)-VLOOKUP(zeta!$A71,main!$A$3:$H$102,6,FALSE),0)</f>
        <v>0</v>
      </c>
      <c r="BR71">
        <f>IF(gamma!BR71,VLOOKUP(zeta!BR$1,main!$A$3:$H$102,5,FALSE)-VLOOKUP(zeta!$A71,main!$A$3:$H$102,6,FALSE),0)</f>
        <v>0</v>
      </c>
      <c r="BS71">
        <f>IF(gamma!BS71,VLOOKUP(zeta!BS$1,main!$A$3:$H$102,5,FALSE)-VLOOKUP(zeta!$A71,main!$A$3:$H$102,6,FALSE),0)</f>
        <v>0</v>
      </c>
      <c r="BT71">
        <f>IF(gamma!BT71,VLOOKUP(zeta!BT$1,main!$A$3:$H$102,5,FALSE)-VLOOKUP(zeta!$A71,main!$A$3:$H$102,6,FALSE),0)</f>
        <v>0</v>
      </c>
      <c r="BU71">
        <f>IF(gamma!BU71,VLOOKUP(zeta!BU$1,main!$A$3:$H$102,5,FALSE)-VLOOKUP(zeta!$A71,main!$A$3:$H$102,6,FALSE),0)</f>
        <v>0</v>
      </c>
      <c r="BV71">
        <f>IF(gamma!BV71,VLOOKUP(zeta!BV$1,main!$A$3:$H$102,5,FALSE)-VLOOKUP(zeta!$A71,main!$A$3:$H$102,6,FALSE),0)</f>
        <v>0</v>
      </c>
      <c r="BW71">
        <f>IF(gamma!BW71,VLOOKUP(zeta!BW$1,main!$A$3:$H$102,5,FALSE)-VLOOKUP(zeta!$A71,main!$A$3:$H$102,6,FALSE),0)</f>
        <v>0</v>
      </c>
      <c r="BX71">
        <f>IF(gamma!BX71,VLOOKUP(zeta!BX$1,main!$A$3:$H$102,5,FALSE)-VLOOKUP(zeta!$A71,main!$A$3:$H$102,6,FALSE),0)</f>
        <v>0</v>
      </c>
      <c r="BY71">
        <f>IF(gamma!BY71,VLOOKUP(zeta!BY$1,main!$A$3:$H$102,5,FALSE)-VLOOKUP(zeta!$A71,main!$A$3:$H$102,6,FALSE),0)</f>
        <v>0</v>
      </c>
      <c r="BZ71">
        <f>IF(gamma!BZ71,VLOOKUP(zeta!BZ$1,main!$A$3:$H$102,5,FALSE)-VLOOKUP(zeta!$A71,main!$A$3:$H$102,6,FALSE),0)</f>
        <v>0</v>
      </c>
      <c r="CA71">
        <f>IF(gamma!CA71,VLOOKUP(zeta!CA$1,main!$A$3:$H$102,5,FALSE)-VLOOKUP(zeta!$A71,main!$A$3:$H$102,6,FALSE),0)</f>
        <v>0</v>
      </c>
      <c r="CB71">
        <f>IF(gamma!CB71,VLOOKUP(zeta!CB$1,main!$A$3:$H$102,5,FALSE)-VLOOKUP(zeta!$A71,main!$A$3:$H$102,6,FALSE),0)</f>
        <v>0</v>
      </c>
      <c r="CC71">
        <f>IF(gamma!CC71,VLOOKUP(zeta!CC$1,main!$A$3:$H$102,5,FALSE)-VLOOKUP(zeta!$A71,main!$A$3:$H$102,6,FALSE),0)</f>
        <v>214</v>
      </c>
      <c r="CD71">
        <f>IF(gamma!CD71,VLOOKUP(zeta!CD$1,main!$A$3:$H$102,5,FALSE)-VLOOKUP(zeta!$A71,main!$A$3:$H$102,6,FALSE),0)</f>
        <v>0</v>
      </c>
      <c r="CE71">
        <f>IF(gamma!CE71,VLOOKUP(zeta!CE$1,main!$A$3:$H$102,5,FALSE)-VLOOKUP(zeta!$A71,main!$A$3:$H$102,6,FALSE),0)</f>
        <v>0</v>
      </c>
      <c r="CF71">
        <f>IF(gamma!CF71,VLOOKUP(zeta!CF$1,main!$A$3:$H$102,5,FALSE)-VLOOKUP(zeta!$A71,main!$A$3:$H$102,6,FALSE),0)</f>
        <v>0</v>
      </c>
      <c r="CG71">
        <f>IF(gamma!CG71,VLOOKUP(zeta!CG$1,main!$A$3:$H$102,5,FALSE)-VLOOKUP(zeta!$A71,main!$A$3:$H$102,6,FALSE),0)</f>
        <v>0</v>
      </c>
      <c r="CH71">
        <f>IF(gamma!CH71,VLOOKUP(zeta!CH$1,main!$A$3:$H$102,5,FALSE)-VLOOKUP(zeta!$A71,main!$A$3:$H$102,6,FALSE),0)</f>
        <v>99</v>
      </c>
      <c r="CI71">
        <f>IF(gamma!CI71,VLOOKUP(zeta!CI$1,main!$A$3:$H$102,5,FALSE)-VLOOKUP(zeta!$A71,main!$A$3:$H$102,6,FALSE),0)</f>
        <v>299</v>
      </c>
      <c r="CJ71">
        <f>IF(gamma!CJ71,VLOOKUP(zeta!CJ$1,main!$A$3:$H$102,5,FALSE)-VLOOKUP(zeta!$A71,main!$A$3:$H$102,6,FALSE),0)</f>
        <v>0</v>
      </c>
      <c r="CK71">
        <f>IF(gamma!CK71,VLOOKUP(zeta!CK$1,main!$A$3:$H$102,5,FALSE)-VLOOKUP(zeta!$A71,main!$A$3:$H$102,6,FALSE),0)</f>
        <v>0</v>
      </c>
      <c r="CL71">
        <f>IF(gamma!CL71,VLOOKUP(zeta!CL$1,main!$A$3:$H$102,5,FALSE)-VLOOKUP(zeta!$A71,main!$A$3:$H$102,6,FALSE),0)</f>
        <v>0</v>
      </c>
      <c r="CM71">
        <f>IF(gamma!CM71,VLOOKUP(zeta!CM$1,main!$A$3:$H$102,5,FALSE)-VLOOKUP(zeta!$A71,main!$A$3:$H$102,6,FALSE),0)</f>
        <v>75</v>
      </c>
      <c r="CN71">
        <f>IF(gamma!CN71,VLOOKUP(zeta!CN$1,main!$A$3:$H$102,5,FALSE)-VLOOKUP(zeta!$A71,main!$A$3:$H$102,6,FALSE),0)</f>
        <v>299</v>
      </c>
      <c r="CO71">
        <f>IF(gamma!CO71,VLOOKUP(zeta!CO$1,main!$A$3:$H$102,5,FALSE)-VLOOKUP(zeta!$A71,main!$A$3:$H$102,6,FALSE),0)</f>
        <v>0</v>
      </c>
      <c r="CP71">
        <f>IF(gamma!CP71,VLOOKUP(zeta!CP$1,main!$A$3:$H$102,5,FALSE)-VLOOKUP(zeta!$A71,main!$A$3:$H$102,6,FALSE),0)</f>
        <v>0</v>
      </c>
      <c r="CQ71">
        <f>IF(gamma!CQ71,VLOOKUP(zeta!CQ$1,main!$A$3:$H$102,5,FALSE)-VLOOKUP(zeta!$A71,main!$A$3:$H$102,6,FALSE),0)</f>
        <v>0</v>
      </c>
      <c r="CR71">
        <f>IF(gamma!CR71,VLOOKUP(zeta!CR$1,main!$A$3:$H$102,5,FALSE)-VLOOKUP(zeta!$A71,main!$A$3:$H$102,6,FALSE),0)</f>
        <v>64</v>
      </c>
      <c r="CS71">
        <f>IF(gamma!CS71,VLOOKUP(zeta!CS$1,main!$A$3:$H$102,5,FALSE)-VLOOKUP(zeta!$A71,main!$A$3:$H$102,6,FALSE),0)</f>
        <v>74</v>
      </c>
      <c r="CT71">
        <f>IF(gamma!CT71,VLOOKUP(zeta!CT$1,main!$A$3:$H$102,5,FALSE)-VLOOKUP(zeta!$A71,main!$A$3:$H$102,6,FALSE),0)</f>
        <v>0</v>
      </c>
      <c r="CU71">
        <f>IF(gamma!CU71,VLOOKUP(zeta!CU$1,main!$A$3:$H$102,5,FALSE)-VLOOKUP(zeta!$A71,main!$A$3:$H$102,6,FALSE),0)</f>
        <v>0</v>
      </c>
      <c r="CV71">
        <f>IF(gamma!CV71,VLOOKUP(zeta!CV$1,main!$A$3:$H$102,5,FALSE)-VLOOKUP(zeta!$A71,main!$A$3:$H$102,6,FALSE),0)</f>
        <v>0</v>
      </c>
      <c r="CW71">
        <f>IF(gamma!CW71,VLOOKUP(zeta!CW$1,main!$A$3:$H$102,5,FALSE)-VLOOKUP(zeta!$A71,main!$A$3:$H$102,6,FALSE),0)</f>
        <v>64</v>
      </c>
      <c r="CX71">
        <f>IF(gamma!CX71,VLOOKUP(zeta!CX$1,main!$A$3:$H$102,5,FALSE)-VLOOKUP(zeta!$A71,main!$A$3:$H$102,6,FALSE),0)</f>
        <v>104</v>
      </c>
    </row>
    <row r="72" spans="1:102" x14ac:dyDescent="0.25">
      <c r="A72">
        <f t="shared" si="2"/>
        <v>70</v>
      </c>
      <c r="B72">
        <v>0</v>
      </c>
      <c r="C72">
        <f>IF(gamma!C72,VLOOKUP(zeta!C$1,main!$A$3:$H$102,5,FALSE)-VLOOKUP(zeta!$A72,main!$A$3:$H$102,6,FALSE),0)</f>
        <v>0</v>
      </c>
      <c r="D72">
        <f>IF(gamma!D72,VLOOKUP(zeta!D$1,main!$A$3:$H$102,5,FALSE)-VLOOKUP(zeta!$A72,main!$A$3:$H$102,6,FALSE),0)</f>
        <v>0</v>
      </c>
      <c r="E72">
        <f>IF(gamma!E72,VLOOKUP(zeta!E$1,main!$A$3:$H$102,5,FALSE)-VLOOKUP(zeta!$A72,main!$A$3:$H$102,6,FALSE),0)</f>
        <v>0</v>
      </c>
      <c r="F72">
        <f>IF(gamma!F72,VLOOKUP(zeta!F$1,main!$A$3:$H$102,5,FALSE)-VLOOKUP(zeta!$A72,main!$A$3:$H$102,6,FALSE),0)</f>
        <v>0</v>
      </c>
      <c r="G72">
        <f>IF(gamma!G72,VLOOKUP(zeta!G$1,main!$A$3:$H$102,5,FALSE)-VLOOKUP(zeta!$A72,main!$A$3:$H$102,6,FALSE),0)</f>
        <v>0</v>
      </c>
      <c r="H72">
        <f>IF(gamma!H72,VLOOKUP(zeta!H$1,main!$A$3:$H$102,5,FALSE)-VLOOKUP(zeta!$A72,main!$A$3:$H$102,6,FALSE),0)</f>
        <v>0</v>
      </c>
      <c r="I72">
        <f>IF(gamma!I72,VLOOKUP(zeta!I$1,main!$A$3:$H$102,5,FALSE)-VLOOKUP(zeta!$A72,main!$A$3:$H$102,6,FALSE),0)</f>
        <v>0</v>
      </c>
      <c r="J72">
        <f>IF(gamma!J72,VLOOKUP(zeta!J$1,main!$A$3:$H$102,5,FALSE)-VLOOKUP(zeta!$A72,main!$A$3:$H$102,6,FALSE),0)</f>
        <v>0</v>
      </c>
      <c r="K72">
        <f>IF(gamma!K72,VLOOKUP(zeta!K$1,main!$A$3:$H$102,5,FALSE)-VLOOKUP(zeta!$A72,main!$A$3:$H$102,6,FALSE),0)</f>
        <v>80</v>
      </c>
      <c r="L72">
        <f>IF(gamma!L72,VLOOKUP(zeta!L$1,main!$A$3:$H$102,5,FALSE)-VLOOKUP(zeta!$A72,main!$A$3:$H$102,6,FALSE),0)</f>
        <v>170</v>
      </c>
      <c r="M72">
        <f>IF(gamma!M72,VLOOKUP(zeta!M$1,main!$A$3:$H$102,5,FALSE)-VLOOKUP(zeta!$A72,main!$A$3:$H$102,6,FALSE),0)</f>
        <v>0</v>
      </c>
      <c r="N72">
        <f>IF(gamma!N72,VLOOKUP(zeta!N$1,main!$A$3:$H$102,5,FALSE)-VLOOKUP(zeta!$A72,main!$A$3:$H$102,6,FALSE),0)</f>
        <v>0</v>
      </c>
      <c r="O72">
        <f>IF(gamma!O72,VLOOKUP(zeta!O$1,main!$A$3:$H$102,5,FALSE)-VLOOKUP(zeta!$A72,main!$A$3:$H$102,6,FALSE),0)</f>
        <v>0</v>
      </c>
      <c r="P72">
        <f>IF(gamma!P72,VLOOKUP(zeta!P$1,main!$A$3:$H$102,5,FALSE)-VLOOKUP(zeta!$A72,main!$A$3:$H$102,6,FALSE),0)</f>
        <v>0</v>
      </c>
      <c r="Q72">
        <f>IF(gamma!Q72,VLOOKUP(zeta!Q$1,main!$A$3:$H$102,5,FALSE)-VLOOKUP(zeta!$A72,main!$A$3:$H$102,6,FALSE),0)</f>
        <v>0</v>
      </c>
      <c r="R72">
        <f>IF(gamma!R72,VLOOKUP(zeta!R$1,main!$A$3:$H$102,5,FALSE)-VLOOKUP(zeta!$A72,main!$A$3:$H$102,6,FALSE),0)</f>
        <v>0</v>
      </c>
      <c r="S72">
        <f>IF(gamma!S72,VLOOKUP(zeta!S$1,main!$A$3:$H$102,5,FALSE)-VLOOKUP(zeta!$A72,main!$A$3:$H$102,6,FALSE),0)</f>
        <v>0</v>
      </c>
      <c r="T72">
        <f>IF(gamma!T72,VLOOKUP(zeta!T$1,main!$A$3:$H$102,5,FALSE)-VLOOKUP(zeta!$A72,main!$A$3:$H$102,6,FALSE),0)</f>
        <v>0</v>
      </c>
      <c r="U72">
        <f>IF(gamma!U72,VLOOKUP(zeta!U$1,main!$A$3:$H$102,5,FALSE)-VLOOKUP(zeta!$A72,main!$A$3:$H$102,6,FALSE),0)</f>
        <v>135</v>
      </c>
      <c r="V72">
        <f>IF(gamma!V72,VLOOKUP(zeta!V$1,main!$A$3:$H$102,5,FALSE)-VLOOKUP(zeta!$A72,main!$A$3:$H$102,6,FALSE),0)</f>
        <v>195</v>
      </c>
      <c r="W72">
        <f>IF(gamma!W72,VLOOKUP(zeta!W$1,main!$A$3:$H$102,5,FALSE)-VLOOKUP(zeta!$A72,main!$A$3:$H$102,6,FALSE),0)</f>
        <v>0</v>
      </c>
      <c r="X72">
        <f>IF(gamma!X72,VLOOKUP(zeta!X$1,main!$A$3:$H$102,5,FALSE)-VLOOKUP(zeta!$A72,main!$A$3:$H$102,6,FALSE),0)</f>
        <v>0</v>
      </c>
      <c r="Y72">
        <f>IF(gamma!Y72,VLOOKUP(zeta!Y$1,main!$A$3:$H$102,5,FALSE)-VLOOKUP(zeta!$A72,main!$A$3:$H$102,6,FALSE),0)</f>
        <v>0</v>
      </c>
      <c r="Z72">
        <f>IF(gamma!Z72,VLOOKUP(zeta!Z$1,main!$A$3:$H$102,5,FALSE)-VLOOKUP(zeta!$A72,main!$A$3:$H$102,6,FALSE),0)</f>
        <v>0</v>
      </c>
      <c r="AA72">
        <f>IF(gamma!AA72,VLOOKUP(zeta!AA$1,main!$A$3:$H$102,5,FALSE)-VLOOKUP(zeta!$A72,main!$A$3:$H$102,6,FALSE),0)</f>
        <v>100</v>
      </c>
      <c r="AB72">
        <f>IF(gamma!AB72,VLOOKUP(zeta!AB$1,main!$A$3:$H$102,5,FALSE)-VLOOKUP(zeta!$A72,main!$A$3:$H$102,6,FALSE),0)</f>
        <v>0</v>
      </c>
      <c r="AC72">
        <f>IF(gamma!AC72,VLOOKUP(zeta!AC$1,main!$A$3:$H$102,5,FALSE)-VLOOKUP(zeta!$A72,main!$A$3:$H$102,6,FALSE),0)</f>
        <v>0</v>
      </c>
      <c r="AD72">
        <f>IF(gamma!AD72,VLOOKUP(zeta!AD$1,main!$A$3:$H$102,5,FALSE)-VLOOKUP(zeta!$A72,main!$A$3:$H$102,6,FALSE),0)</f>
        <v>0</v>
      </c>
      <c r="AE72">
        <f>IF(gamma!AE72,VLOOKUP(zeta!AE$1,main!$A$3:$H$102,5,FALSE)-VLOOKUP(zeta!$A72,main!$A$3:$H$102,6,FALSE),0)</f>
        <v>0</v>
      </c>
      <c r="AF72">
        <f>IF(gamma!AF72,VLOOKUP(zeta!AF$1,main!$A$3:$H$102,5,FALSE)-VLOOKUP(zeta!$A72,main!$A$3:$H$102,6,FALSE),0)</f>
        <v>80</v>
      </c>
      <c r="AG72">
        <f>IF(gamma!AG72,VLOOKUP(zeta!AG$1,main!$A$3:$H$102,5,FALSE)-VLOOKUP(zeta!$A72,main!$A$3:$H$102,6,FALSE),0)</f>
        <v>0</v>
      </c>
      <c r="AH72">
        <f>IF(gamma!AH72,VLOOKUP(zeta!AH$1,main!$A$3:$H$102,5,FALSE)-VLOOKUP(zeta!$A72,main!$A$3:$H$102,6,FALSE),0)</f>
        <v>0</v>
      </c>
      <c r="AI72">
        <f>IF(gamma!AI72,VLOOKUP(zeta!AI$1,main!$A$3:$H$102,5,FALSE)-VLOOKUP(zeta!$A72,main!$A$3:$H$102,6,FALSE),0)</f>
        <v>0</v>
      </c>
      <c r="AJ72">
        <f>IF(gamma!AJ72,VLOOKUP(zeta!AJ$1,main!$A$3:$H$102,5,FALSE)-VLOOKUP(zeta!$A72,main!$A$3:$H$102,6,FALSE),0)</f>
        <v>0</v>
      </c>
      <c r="AK72">
        <f>IF(gamma!AK72,VLOOKUP(zeta!AK$1,main!$A$3:$H$102,5,FALSE)-VLOOKUP(zeta!$A72,main!$A$3:$H$102,6,FALSE),0)</f>
        <v>0</v>
      </c>
      <c r="AL72">
        <f>IF(gamma!AL72,VLOOKUP(zeta!AL$1,main!$A$3:$H$102,5,FALSE)-VLOOKUP(zeta!$A72,main!$A$3:$H$102,6,FALSE),0)</f>
        <v>0</v>
      </c>
      <c r="AM72">
        <f>IF(gamma!AM72,VLOOKUP(zeta!AM$1,main!$A$3:$H$102,5,FALSE)-VLOOKUP(zeta!$A72,main!$A$3:$H$102,6,FALSE),0)</f>
        <v>60</v>
      </c>
      <c r="AN72">
        <f>IF(gamma!AN72,VLOOKUP(zeta!AN$1,main!$A$3:$H$102,5,FALSE)-VLOOKUP(zeta!$A72,main!$A$3:$H$102,6,FALSE),0)</f>
        <v>120</v>
      </c>
      <c r="AO72">
        <f>IF(gamma!AO72,VLOOKUP(zeta!AO$1,main!$A$3:$H$102,5,FALSE)-VLOOKUP(zeta!$A72,main!$A$3:$H$102,6,FALSE),0)</f>
        <v>0</v>
      </c>
      <c r="AP72">
        <f>IF(gamma!AP72,VLOOKUP(zeta!AP$1,main!$A$3:$H$102,5,FALSE)-VLOOKUP(zeta!$A72,main!$A$3:$H$102,6,FALSE),0)</f>
        <v>180</v>
      </c>
      <c r="AQ72">
        <f>IF(gamma!AQ72,VLOOKUP(zeta!AQ$1,main!$A$3:$H$102,5,FALSE)-VLOOKUP(zeta!$A72,main!$A$3:$H$102,6,FALSE),0)</f>
        <v>0</v>
      </c>
      <c r="AR72">
        <f>IF(gamma!AR72,VLOOKUP(zeta!AR$1,main!$A$3:$H$102,5,FALSE)-VLOOKUP(zeta!$A72,main!$A$3:$H$102,6,FALSE),0)</f>
        <v>0</v>
      </c>
      <c r="AS72">
        <f>IF(gamma!AS72,VLOOKUP(zeta!AS$1,main!$A$3:$H$102,5,FALSE)-VLOOKUP(zeta!$A72,main!$A$3:$H$102,6,FALSE),0)</f>
        <v>0</v>
      </c>
      <c r="AT72">
        <f>IF(gamma!AT72,VLOOKUP(zeta!AT$1,main!$A$3:$H$102,5,FALSE)-VLOOKUP(zeta!$A72,main!$A$3:$H$102,6,FALSE),0)</f>
        <v>0</v>
      </c>
      <c r="AU72">
        <f>IF(gamma!AU72,VLOOKUP(zeta!AU$1,main!$A$3:$H$102,5,FALSE)-VLOOKUP(zeta!$A72,main!$A$3:$H$102,6,FALSE),0)</f>
        <v>0</v>
      </c>
      <c r="AV72">
        <f>IF(gamma!AV72,VLOOKUP(zeta!AV$1,main!$A$3:$H$102,5,FALSE)-VLOOKUP(zeta!$A72,main!$A$3:$H$102,6,FALSE),0)</f>
        <v>0</v>
      </c>
      <c r="AW72">
        <f>IF(gamma!AW72,VLOOKUP(zeta!AW$1,main!$A$3:$H$102,5,FALSE)-VLOOKUP(zeta!$A72,main!$A$3:$H$102,6,FALSE),0)</f>
        <v>0</v>
      </c>
      <c r="AX72">
        <f>IF(gamma!AX72,VLOOKUP(zeta!AX$1,main!$A$3:$H$102,5,FALSE)-VLOOKUP(zeta!$A72,main!$A$3:$H$102,6,FALSE),0)</f>
        <v>0</v>
      </c>
      <c r="AY72">
        <f>IF(gamma!AY72,VLOOKUP(zeta!AY$1,main!$A$3:$H$102,5,FALSE)-VLOOKUP(zeta!$A72,main!$A$3:$H$102,6,FALSE),0)</f>
        <v>0</v>
      </c>
      <c r="AZ72">
        <f>IF(gamma!AZ72,VLOOKUP(zeta!AZ$1,main!$A$3:$H$102,5,FALSE)-VLOOKUP(zeta!$A72,main!$A$3:$H$102,6,FALSE),0)</f>
        <v>0</v>
      </c>
      <c r="BA72">
        <f>IF(gamma!BA72,VLOOKUP(zeta!BA$1,main!$A$3:$H$102,5,FALSE)-VLOOKUP(zeta!$A72,main!$A$3:$H$102,6,FALSE),0)</f>
        <v>0</v>
      </c>
      <c r="BB72">
        <f>IF(gamma!BB72,VLOOKUP(zeta!BB$1,main!$A$3:$H$102,5,FALSE)-VLOOKUP(zeta!$A72,main!$A$3:$H$102,6,FALSE),0)</f>
        <v>0</v>
      </c>
      <c r="BC72">
        <f>IF(gamma!BC72,VLOOKUP(zeta!BC$1,main!$A$3:$H$102,5,FALSE)-VLOOKUP(zeta!$A72,main!$A$3:$H$102,6,FALSE),0)</f>
        <v>0</v>
      </c>
      <c r="BD72">
        <f>IF(gamma!BD72,VLOOKUP(zeta!BD$1,main!$A$3:$H$102,5,FALSE)-VLOOKUP(zeta!$A72,main!$A$3:$H$102,6,FALSE),0)</f>
        <v>0</v>
      </c>
      <c r="BE72">
        <f>IF(gamma!BE72,VLOOKUP(zeta!BE$1,main!$A$3:$H$102,5,FALSE)-VLOOKUP(zeta!$A72,main!$A$3:$H$102,6,FALSE),0)</f>
        <v>0</v>
      </c>
      <c r="BF72">
        <f>IF(gamma!BF72,VLOOKUP(zeta!BF$1,main!$A$3:$H$102,5,FALSE)-VLOOKUP(zeta!$A72,main!$A$3:$H$102,6,FALSE),0)</f>
        <v>0</v>
      </c>
      <c r="BG72">
        <f>IF(gamma!BG72,VLOOKUP(zeta!BG$1,main!$A$3:$H$102,5,FALSE)-VLOOKUP(zeta!$A72,main!$A$3:$H$102,6,FALSE),0)</f>
        <v>0</v>
      </c>
      <c r="BH72">
        <f>IF(gamma!BH72,VLOOKUP(zeta!BH$1,main!$A$3:$H$102,5,FALSE)-VLOOKUP(zeta!$A72,main!$A$3:$H$102,6,FALSE),0)</f>
        <v>0</v>
      </c>
      <c r="BI72">
        <f>IF(gamma!BI72,VLOOKUP(zeta!BI$1,main!$A$3:$H$102,5,FALSE)-VLOOKUP(zeta!$A72,main!$A$3:$H$102,6,FALSE),0)</f>
        <v>190</v>
      </c>
      <c r="BJ72">
        <f>IF(gamma!BJ72,VLOOKUP(zeta!BJ$1,main!$A$3:$H$102,5,FALSE)-VLOOKUP(zeta!$A72,main!$A$3:$H$102,6,FALSE),0)</f>
        <v>0</v>
      </c>
      <c r="BK72">
        <f>IF(gamma!BK72,VLOOKUP(zeta!BK$1,main!$A$3:$H$102,5,FALSE)-VLOOKUP(zeta!$A72,main!$A$3:$H$102,6,FALSE),0)</f>
        <v>0</v>
      </c>
      <c r="BL72">
        <f>IF(gamma!BL72,VLOOKUP(zeta!BL$1,main!$A$3:$H$102,5,FALSE)-VLOOKUP(zeta!$A72,main!$A$3:$H$102,6,FALSE),0)</f>
        <v>0</v>
      </c>
      <c r="BM72">
        <f>IF(gamma!BM72,VLOOKUP(zeta!BM$1,main!$A$3:$H$102,5,FALSE)-VLOOKUP(zeta!$A72,main!$A$3:$H$102,6,FALSE),0)</f>
        <v>0</v>
      </c>
      <c r="BN72">
        <f>IF(gamma!BN72,VLOOKUP(zeta!BN$1,main!$A$3:$H$102,5,FALSE)-VLOOKUP(zeta!$A72,main!$A$3:$H$102,6,FALSE),0)</f>
        <v>0</v>
      </c>
      <c r="BO72">
        <f>IF(gamma!BO72,VLOOKUP(zeta!BO$1,main!$A$3:$H$102,5,FALSE)-VLOOKUP(zeta!$A72,main!$A$3:$H$102,6,FALSE),0)</f>
        <v>0</v>
      </c>
      <c r="BP72">
        <f>IF(gamma!BP72,VLOOKUP(zeta!BP$1,main!$A$3:$H$102,5,FALSE)-VLOOKUP(zeta!$A72,main!$A$3:$H$102,6,FALSE),0)</f>
        <v>0</v>
      </c>
      <c r="BQ72">
        <f>IF(gamma!BQ72,VLOOKUP(zeta!BQ$1,main!$A$3:$H$102,5,FALSE)-VLOOKUP(zeta!$A72,main!$A$3:$H$102,6,FALSE),0)</f>
        <v>0</v>
      </c>
      <c r="BR72">
        <f>IF(gamma!BR72,VLOOKUP(zeta!BR$1,main!$A$3:$H$102,5,FALSE)-VLOOKUP(zeta!$A72,main!$A$3:$H$102,6,FALSE),0)</f>
        <v>0</v>
      </c>
      <c r="BS72">
        <f>IF(gamma!BS72,VLOOKUP(zeta!BS$1,main!$A$3:$H$102,5,FALSE)-VLOOKUP(zeta!$A72,main!$A$3:$H$102,6,FALSE),0)</f>
        <v>0</v>
      </c>
      <c r="BT72">
        <f>IF(gamma!BT72,VLOOKUP(zeta!BT$1,main!$A$3:$H$102,5,FALSE)-VLOOKUP(zeta!$A72,main!$A$3:$H$102,6,FALSE),0)</f>
        <v>0</v>
      </c>
      <c r="BU72">
        <f>IF(gamma!BU72,VLOOKUP(zeta!BU$1,main!$A$3:$H$102,5,FALSE)-VLOOKUP(zeta!$A72,main!$A$3:$H$102,6,FALSE),0)</f>
        <v>0</v>
      </c>
      <c r="BV72">
        <f>IF(gamma!BV72,VLOOKUP(zeta!BV$1,main!$A$3:$H$102,5,FALSE)-VLOOKUP(zeta!$A72,main!$A$3:$H$102,6,FALSE),0)</f>
        <v>0</v>
      </c>
      <c r="BW72">
        <f>IF(gamma!BW72,VLOOKUP(zeta!BW$1,main!$A$3:$H$102,5,FALSE)-VLOOKUP(zeta!$A72,main!$A$3:$H$102,6,FALSE),0)</f>
        <v>0</v>
      </c>
      <c r="BX72">
        <f>IF(gamma!BX72,VLOOKUP(zeta!BX$1,main!$A$3:$H$102,5,FALSE)-VLOOKUP(zeta!$A72,main!$A$3:$H$102,6,FALSE),0)</f>
        <v>0</v>
      </c>
      <c r="BY72">
        <f>IF(gamma!BY72,VLOOKUP(zeta!BY$1,main!$A$3:$H$102,5,FALSE)-VLOOKUP(zeta!$A72,main!$A$3:$H$102,6,FALSE),0)</f>
        <v>0</v>
      </c>
      <c r="BZ72">
        <f>IF(gamma!BZ72,VLOOKUP(zeta!BZ$1,main!$A$3:$H$102,5,FALSE)-VLOOKUP(zeta!$A72,main!$A$3:$H$102,6,FALSE),0)</f>
        <v>0</v>
      </c>
      <c r="CA72">
        <f>IF(gamma!CA72,VLOOKUP(zeta!CA$1,main!$A$3:$H$102,5,FALSE)-VLOOKUP(zeta!$A72,main!$A$3:$H$102,6,FALSE),0)</f>
        <v>0</v>
      </c>
      <c r="CB72">
        <f>IF(gamma!CB72,VLOOKUP(zeta!CB$1,main!$A$3:$H$102,5,FALSE)-VLOOKUP(zeta!$A72,main!$A$3:$H$102,6,FALSE),0)</f>
        <v>0</v>
      </c>
      <c r="CC72">
        <f>IF(gamma!CC72,VLOOKUP(zeta!CC$1,main!$A$3:$H$102,5,FALSE)-VLOOKUP(zeta!$A72,main!$A$3:$H$102,6,FALSE),0)</f>
        <v>95</v>
      </c>
      <c r="CD72">
        <f>IF(gamma!CD72,VLOOKUP(zeta!CD$1,main!$A$3:$H$102,5,FALSE)-VLOOKUP(zeta!$A72,main!$A$3:$H$102,6,FALSE),0)</f>
        <v>0</v>
      </c>
      <c r="CE72">
        <f>IF(gamma!CE72,VLOOKUP(zeta!CE$1,main!$A$3:$H$102,5,FALSE)-VLOOKUP(zeta!$A72,main!$A$3:$H$102,6,FALSE),0)</f>
        <v>0</v>
      </c>
      <c r="CF72">
        <f>IF(gamma!CF72,VLOOKUP(zeta!CF$1,main!$A$3:$H$102,5,FALSE)-VLOOKUP(zeta!$A72,main!$A$3:$H$102,6,FALSE),0)</f>
        <v>0</v>
      </c>
      <c r="CG72">
        <f>IF(gamma!CG72,VLOOKUP(zeta!CG$1,main!$A$3:$H$102,5,FALSE)-VLOOKUP(zeta!$A72,main!$A$3:$H$102,6,FALSE),0)</f>
        <v>0</v>
      </c>
      <c r="CH72">
        <f>IF(gamma!CH72,VLOOKUP(zeta!CH$1,main!$A$3:$H$102,5,FALSE)-VLOOKUP(zeta!$A72,main!$A$3:$H$102,6,FALSE),0)</f>
        <v>0</v>
      </c>
      <c r="CI72">
        <f>IF(gamma!CI72,VLOOKUP(zeta!CI$1,main!$A$3:$H$102,5,FALSE)-VLOOKUP(zeta!$A72,main!$A$3:$H$102,6,FALSE),0)</f>
        <v>180</v>
      </c>
      <c r="CJ72">
        <f>IF(gamma!CJ72,VLOOKUP(zeta!CJ$1,main!$A$3:$H$102,5,FALSE)-VLOOKUP(zeta!$A72,main!$A$3:$H$102,6,FALSE),0)</f>
        <v>0</v>
      </c>
      <c r="CK72">
        <f>IF(gamma!CK72,VLOOKUP(zeta!CK$1,main!$A$3:$H$102,5,FALSE)-VLOOKUP(zeta!$A72,main!$A$3:$H$102,6,FALSE),0)</f>
        <v>0</v>
      </c>
      <c r="CL72">
        <f>IF(gamma!CL72,VLOOKUP(zeta!CL$1,main!$A$3:$H$102,5,FALSE)-VLOOKUP(zeta!$A72,main!$A$3:$H$102,6,FALSE),0)</f>
        <v>0</v>
      </c>
      <c r="CM72">
        <f>IF(gamma!CM72,VLOOKUP(zeta!CM$1,main!$A$3:$H$102,5,FALSE)-VLOOKUP(zeta!$A72,main!$A$3:$H$102,6,FALSE),0)</f>
        <v>0</v>
      </c>
      <c r="CN72">
        <f>IF(gamma!CN72,VLOOKUP(zeta!CN$1,main!$A$3:$H$102,5,FALSE)-VLOOKUP(zeta!$A72,main!$A$3:$H$102,6,FALSE),0)</f>
        <v>180</v>
      </c>
      <c r="CO72">
        <f>IF(gamma!CO72,VLOOKUP(zeta!CO$1,main!$A$3:$H$102,5,FALSE)-VLOOKUP(zeta!$A72,main!$A$3:$H$102,6,FALSE),0)</f>
        <v>0</v>
      </c>
      <c r="CP72">
        <f>IF(gamma!CP72,VLOOKUP(zeta!CP$1,main!$A$3:$H$102,5,FALSE)-VLOOKUP(zeta!$A72,main!$A$3:$H$102,6,FALSE),0)</f>
        <v>0</v>
      </c>
      <c r="CQ72">
        <f>IF(gamma!CQ72,VLOOKUP(zeta!CQ$1,main!$A$3:$H$102,5,FALSE)-VLOOKUP(zeta!$A72,main!$A$3:$H$102,6,FALSE),0)</f>
        <v>0</v>
      </c>
      <c r="CR72">
        <f>IF(gamma!CR72,VLOOKUP(zeta!CR$1,main!$A$3:$H$102,5,FALSE)-VLOOKUP(zeta!$A72,main!$A$3:$H$102,6,FALSE),0)</f>
        <v>0</v>
      </c>
      <c r="CS72">
        <f>IF(gamma!CS72,VLOOKUP(zeta!CS$1,main!$A$3:$H$102,5,FALSE)-VLOOKUP(zeta!$A72,main!$A$3:$H$102,6,FALSE),0)</f>
        <v>0</v>
      </c>
      <c r="CT72">
        <f>IF(gamma!CT72,VLOOKUP(zeta!CT$1,main!$A$3:$H$102,5,FALSE)-VLOOKUP(zeta!$A72,main!$A$3:$H$102,6,FALSE),0)</f>
        <v>0</v>
      </c>
      <c r="CU72">
        <f>IF(gamma!CU72,VLOOKUP(zeta!CU$1,main!$A$3:$H$102,5,FALSE)-VLOOKUP(zeta!$A72,main!$A$3:$H$102,6,FALSE),0)</f>
        <v>0</v>
      </c>
      <c r="CV72">
        <f>IF(gamma!CV72,VLOOKUP(zeta!CV$1,main!$A$3:$H$102,5,FALSE)-VLOOKUP(zeta!$A72,main!$A$3:$H$102,6,FALSE),0)</f>
        <v>0</v>
      </c>
      <c r="CW72">
        <f>IF(gamma!CW72,VLOOKUP(zeta!CW$1,main!$A$3:$H$102,5,FALSE)-VLOOKUP(zeta!$A72,main!$A$3:$H$102,6,FALSE),0)</f>
        <v>0</v>
      </c>
      <c r="CX72">
        <f>IF(gamma!CX72,VLOOKUP(zeta!CX$1,main!$A$3:$H$102,5,FALSE)-VLOOKUP(zeta!$A72,main!$A$3:$H$102,6,FALSE),0)</f>
        <v>0</v>
      </c>
    </row>
    <row r="73" spans="1:102" x14ac:dyDescent="0.25">
      <c r="A73">
        <f t="shared" si="2"/>
        <v>71</v>
      </c>
      <c r="B73">
        <v>0</v>
      </c>
      <c r="C73">
        <f>IF(gamma!C73,VLOOKUP(zeta!C$1,main!$A$3:$H$102,5,FALSE)-VLOOKUP(zeta!$A73,main!$A$3:$H$102,6,FALSE),0)</f>
        <v>0</v>
      </c>
      <c r="D73">
        <f>IF(gamma!D73,VLOOKUP(zeta!D$1,main!$A$3:$H$102,5,FALSE)-VLOOKUP(zeta!$A73,main!$A$3:$H$102,6,FALSE),0)</f>
        <v>0</v>
      </c>
      <c r="E73">
        <f>IF(gamma!E73,VLOOKUP(zeta!E$1,main!$A$3:$H$102,5,FALSE)-VLOOKUP(zeta!$A73,main!$A$3:$H$102,6,FALSE),0)</f>
        <v>135</v>
      </c>
      <c r="F73">
        <f>IF(gamma!F73,VLOOKUP(zeta!F$1,main!$A$3:$H$102,5,FALSE)-VLOOKUP(zeta!$A73,main!$A$3:$H$102,6,FALSE),0)</f>
        <v>155</v>
      </c>
      <c r="G73">
        <f>IF(gamma!G73,VLOOKUP(zeta!G$1,main!$A$3:$H$102,5,FALSE)-VLOOKUP(zeta!$A73,main!$A$3:$H$102,6,FALSE),0)</f>
        <v>245</v>
      </c>
      <c r="H73">
        <f>IF(gamma!H73,VLOOKUP(zeta!H$1,main!$A$3:$H$102,5,FALSE)-VLOOKUP(zeta!$A73,main!$A$3:$H$102,6,FALSE),0)</f>
        <v>335</v>
      </c>
      <c r="I73">
        <f>IF(gamma!I73,VLOOKUP(zeta!I$1,main!$A$3:$H$102,5,FALSE)-VLOOKUP(zeta!$A73,main!$A$3:$H$102,6,FALSE),0)</f>
        <v>395</v>
      </c>
      <c r="J73">
        <f>IF(gamma!J73,VLOOKUP(zeta!J$1,main!$A$3:$H$102,5,FALSE)-VLOOKUP(zeta!$A73,main!$A$3:$H$102,6,FALSE),0)</f>
        <v>455</v>
      </c>
      <c r="K73">
        <f>IF(gamma!K73,VLOOKUP(zeta!K$1,main!$A$3:$H$102,5,FALSE)-VLOOKUP(zeta!$A73,main!$A$3:$H$102,6,FALSE),0)</f>
        <v>515</v>
      </c>
      <c r="L73">
        <f>IF(gamma!L73,VLOOKUP(zeta!L$1,main!$A$3:$H$102,5,FALSE)-VLOOKUP(zeta!$A73,main!$A$3:$H$102,6,FALSE),0)</f>
        <v>605</v>
      </c>
      <c r="M73">
        <f>IF(gamma!M73,VLOOKUP(zeta!M$1,main!$A$3:$H$102,5,FALSE)-VLOOKUP(zeta!$A73,main!$A$3:$H$102,6,FALSE),0)</f>
        <v>0</v>
      </c>
      <c r="N73">
        <f>IF(gamma!N73,VLOOKUP(zeta!N$1,main!$A$3:$H$102,5,FALSE)-VLOOKUP(zeta!$A73,main!$A$3:$H$102,6,FALSE),0)</f>
        <v>0</v>
      </c>
      <c r="O73">
        <f>IF(gamma!O73,VLOOKUP(zeta!O$1,main!$A$3:$H$102,5,FALSE)-VLOOKUP(zeta!$A73,main!$A$3:$H$102,6,FALSE),0)</f>
        <v>0</v>
      </c>
      <c r="P73">
        <f>IF(gamma!P73,VLOOKUP(zeta!P$1,main!$A$3:$H$102,5,FALSE)-VLOOKUP(zeta!$A73,main!$A$3:$H$102,6,FALSE),0)</f>
        <v>90</v>
      </c>
      <c r="Q73">
        <f>IF(gamma!Q73,VLOOKUP(zeta!Q$1,main!$A$3:$H$102,5,FALSE)-VLOOKUP(zeta!$A73,main!$A$3:$H$102,6,FALSE),0)</f>
        <v>170</v>
      </c>
      <c r="R73">
        <f>IF(gamma!R73,VLOOKUP(zeta!R$1,main!$A$3:$H$102,5,FALSE)-VLOOKUP(zeta!$A73,main!$A$3:$H$102,6,FALSE),0)</f>
        <v>210</v>
      </c>
      <c r="S73">
        <f>IF(gamma!S73,VLOOKUP(zeta!S$1,main!$A$3:$H$102,5,FALSE)-VLOOKUP(zeta!$A73,main!$A$3:$H$102,6,FALSE),0)</f>
        <v>335</v>
      </c>
      <c r="T73">
        <f>IF(gamma!T73,VLOOKUP(zeta!T$1,main!$A$3:$H$102,5,FALSE)-VLOOKUP(zeta!$A73,main!$A$3:$H$102,6,FALSE),0)</f>
        <v>415</v>
      </c>
      <c r="U73">
        <f>IF(gamma!U73,VLOOKUP(zeta!U$1,main!$A$3:$H$102,5,FALSE)-VLOOKUP(zeta!$A73,main!$A$3:$H$102,6,FALSE),0)</f>
        <v>570</v>
      </c>
      <c r="V73">
        <f>IF(gamma!V73,VLOOKUP(zeta!V$1,main!$A$3:$H$102,5,FALSE)-VLOOKUP(zeta!$A73,main!$A$3:$H$102,6,FALSE),0)</f>
        <v>630</v>
      </c>
      <c r="W73">
        <f>IF(gamma!W73,VLOOKUP(zeta!W$1,main!$A$3:$H$102,5,FALSE)-VLOOKUP(zeta!$A73,main!$A$3:$H$102,6,FALSE),0)</f>
        <v>0</v>
      </c>
      <c r="X73">
        <f>IF(gamma!X73,VLOOKUP(zeta!X$1,main!$A$3:$H$102,5,FALSE)-VLOOKUP(zeta!$A73,main!$A$3:$H$102,6,FALSE),0)</f>
        <v>0</v>
      </c>
      <c r="Y73">
        <f>IF(gamma!Y73,VLOOKUP(zeta!Y$1,main!$A$3:$H$102,5,FALSE)-VLOOKUP(zeta!$A73,main!$A$3:$H$102,6,FALSE),0)</f>
        <v>205</v>
      </c>
      <c r="Z73">
        <f>IF(gamma!Z73,VLOOKUP(zeta!Z$1,main!$A$3:$H$102,5,FALSE)-VLOOKUP(zeta!$A73,main!$A$3:$H$102,6,FALSE),0)</f>
        <v>385</v>
      </c>
      <c r="AA73">
        <f>IF(gamma!AA73,VLOOKUP(zeta!AA$1,main!$A$3:$H$102,5,FALSE)-VLOOKUP(zeta!$A73,main!$A$3:$H$102,6,FALSE),0)</f>
        <v>535</v>
      </c>
      <c r="AB73">
        <f>IF(gamma!AB73,VLOOKUP(zeta!AB$1,main!$A$3:$H$102,5,FALSE)-VLOOKUP(zeta!$A73,main!$A$3:$H$102,6,FALSE),0)</f>
        <v>0</v>
      </c>
      <c r="AC73">
        <f>IF(gamma!AC73,VLOOKUP(zeta!AC$1,main!$A$3:$H$102,5,FALSE)-VLOOKUP(zeta!$A73,main!$A$3:$H$102,6,FALSE),0)</f>
        <v>0</v>
      </c>
      <c r="AD73">
        <f>IF(gamma!AD73,VLOOKUP(zeta!AD$1,main!$A$3:$H$102,5,FALSE)-VLOOKUP(zeta!$A73,main!$A$3:$H$102,6,FALSE),0)</f>
        <v>165</v>
      </c>
      <c r="AE73">
        <f>IF(gamma!AE73,VLOOKUP(zeta!AE$1,main!$A$3:$H$102,5,FALSE)-VLOOKUP(zeta!$A73,main!$A$3:$H$102,6,FALSE),0)</f>
        <v>345</v>
      </c>
      <c r="AF73">
        <f>IF(gamma!AF73,VLOOKUP(zeta!AF$1,main!$A$3:$H$102,5,FALSE)-VLOOKUP(zeta!$A73,main!$A$3:$H$102,6,FALSE),0)</f>
        <v>515</v>
      </c>
      <c r="AG73">
        <f>IF(gamma!AG73,VLOOKUP(zeta!AG$1,main!$A$3:$H$102,5,FALSE)-VLOOKUP(zeta!$A73,main!$A$3:$H$102,6,FALSE),0)</f>
        <v>0</v>
      </c>
      <c r="AH73">
        <f>IF(gamma!AH73,VLOOKUP(zeta!AH$1,main!$A$3:$H$102,5,FALSE)-VLOOKUP(zeta!$A73,main!$A$3:$H$102,6,FALSE),0)</f>
        <v>0</v>
      </c>
      <c r="AI73">
        <f>IF(gamma!AI73,VLOOKUP(zeta!AI$1,main!$A$3:$H$102,5,FALSE)-VLOOKUP(zeta!$A73,main!$A$3:$H$102,6,FALSE),0)</f>
        <v>135</v>
      </c>
      <c r="AJ73">
        <f>IF(gamma!AJ73,VLOOKUP(zeta!AJ$1,main!$A$3:$H$102,5,FALSE)-VLOOKUP(zeta!$A73,main!$A$3:$H$102,6,FALSE),0)</f>
        <v>225</v>
      </c>
      <c r="AK73">
        <f>IF(gamma!AK73,VLOOKUP(zeta!AK$1,main!$A$3:$H$102,5,FALSE)-VLOOKUP(zeta!$A73,main!$A$3:$H$102,6,FALSE),0)</f>
        <v>315</v>
      </c>
      <c r="AL73">
        <f>IF(gamma!AL73,VLOOKUP(zeta!AL$1,main!$A$3:$H$102,5,FALSE)-VLOOKUP(zeta!$A73,main!$A$3:$H$102,6,FALSE),0)</f>
        <v>405</v>
      </c>
      <c r="AM73">
        <f>IF(gamma!AM73,VLOOKUP(zeta!AM$1,main!$A$3:$H$102,5,FALSE)-VLOOKUP(zeta!$A73,main!$A$3:$H$102,6,FALSE),0)</f>
        <v>495</v>
      </c>
      <c r="AN73">
        <f>IF(gamma!AN73,VLOOKUP(zeta!AN$1,main!$A$3:$H$102,5,FALSE)-VLOOKUP(zeta!$A73,main!$A$3:$H$102,6,FALSE),0)</f>
        <v>555</v>
      </c>
      <c r="AO73">
        <f>IF(gamma!AO73,VLOOKUP(zeta!AO$1,main!$A$3:$H$102,5,FALSE)-VLOOKUP(zeta!$A73,main!$A$3:$H$102,6,FALSE),0)</f>
        <v>0</v>
      </c>
      <c r="AP73">
        <f>IF(gamma!AP73,VLOOKUP(zeta!AP$1,main!$A$3:$H$102,5,FALSE)-VLOOKUP(zeta!$A73,main!$A$3:$H$102,6,FALSE),0)</f>
        <v>615</v>
      </c>
      <c r="AQ73">
        <f>IF(gamma!AQ73,VLOOKUP(zeta!AQ$1,main!$A$3:$H$102,5,FALSE)-VLOOKUP(zeta!$A73,main!$A$3:$H$102,6,FALSE),0)</f>
        <v>0</v>
      </c>
      <c r="AR73">
        <f>IF(gamma!AR73,VLOOKUP(zeta!AR$1,main!$A$3:$H$102,5,FALSE)-VLOOKUP(zeta!$A73,main!$A$3:$H$102,6,FALSE),0)</f>
        <v>0</v>
      </c>
      <c r="AS73">
        <f>IF(gamma!AS73,VLOOKUP(zeta!AS$1,main!$A$3:$H$102,5,FALSE)-VLOOKUP(zeta!$A73,main!$A$3:$H$102,6,FALSE),0)</f>
        <v>215</v>
      </c>
      <c r="AT73">
        <f>IF(gamma!AT73,VLOOKUP(zeta!AT$1,main!$A$3:$H$102,5,FALSE)-VLOOKUP(zeta!$A73,main!$A$3:$H$102,6,FALSE),0)</f>
        <v>365</v>
      </c>
      <c r="AU73">
        <f>IF(gamma!AU73,VLOOKUP(zeta!AU$1,main!$A$3:$H$102,5,FALSE)-VLOOKUP(zeta!$A73,main!$A$3:$H$102,6,FALSE),0)</f>
        <v>0</v>
      </c>
      <c r="AV73">
        <f>IF(gamma!AV73,VLOOKUP(zeta!AV$1,main!$A$3:$H$102,5,FALSE)-VLOOKUP(zeta!$A73,main!$A$3:$H$102,6,FALSE),0)</f>
        <v>0</v>
      </c>
      <c r="AW73">
        <f>IF(gamma!AW73,VLOOKUP(zeta!AW$1,main!$A$3:$H$102,5,FALSE)-VLOOKUP(zeta!$A73,main!$A$3:$H$102,6,FALSE),0)</f>
        <v>315</v>
      </c>
      <c r="AX73">
        <f>IF(gamma!AX73,VLOOKUP(zeta!AX$1,main!$A$3:$H$102,5,FALSE)-VLOOKUP(zeta!$A73,main!$A$3:$H$102,6,FALSE),0)</f>
        <v>155</v>
      </c>
      <c r="AY73">
        <f>IF(gamma!AY73,VLOOKUP(zeta!AY$1,main!$A$3:$H$102,5,FALSE)-VLOOKUP(zeta!$A73,main!$A$3:$H$102,6,FALSE),0)</f>
        <v>0</v>
      </c>
      <c r="AZ73">
        <f>IF(gamma!AZ73,VLOOKUP(zeta!AZ$1,main!$A$3:$H$102,5,FALSE)-VLOOKUP(zeta!$A73,main!$A$3:$H$102,6,FALSE),0)</f>
        <v>145</v>
      </c>
      <c r="BA73">
        <f>IF(gamma!BA73,VLOOKUP(zeta!BA$1,main!$A$3:$H$102,5,FALSE)-VLOOKUP(zeta!$A73,main!$A$3:$H$102,6,FALSE),0)</f>
        <v>0</v>
      </c>
      <c r="BB73">
        <f>IF(gamma!BB73,VLOOKUP(zeta!BB$1,main!$A$3:$H$102,5,FALSE)-VLOOKUP(zeta!$A73,main!$A$3:$H$102,6,FALSE),0)</f>
        <v>155</v>
      </c>
      <c r="BC73">
        <f>IF(gamma!BC73,VLOOKUP(zeta!BC$1,main!$A$3:$H$102,5,FALSE)-VLOOKUP(zeta!$A73,main!$A$3:$H$102,6,FALSE),0)</f>
        <v>275</v>
      </c>
      <c r="BD73">
        <f>IF(gamma!BD73,VLOOKUP(zeta!BD$1,main!$A$3:$H$102,5,FALSE)-VLOOKUP(zeta!$A73,main!$A$3:$H$102,6,FALSE),0)</f>
        <v>335</v>
      </c>
      <c r="BE73">
        <f>IF(gamma!BE73,VLOOKUP(zeta!BE$1,main!$A$3:$H$102,5,FALSE)-VLOOKUP(zeta!$A73,main!$A$3:$H$102,6,FALSE),0)</f>
        <v>455</v>
      </c>
      <c r="BF73">
        <f>IF(gamma!BF73,VLOOKUP(zeta!BF$1,main!$A$3:$H$102,5,FALSE)-VLOOKUP(zeta!$A73,main!$A$3:$H$102,6,FALSE),0)</f>
        <v>0</v>
      </c>
      <c r="BG73">
        <f>IF(gamma!BG73,VLOOKUP(zeta!BG$1,main!$A$3:$H$102,5,FALSE)-VLOOKUP(zeta!$A73,main!$A$3:$H$102,6,FALSE),0)</f>
        <v>0</v>
      </c>
      <c r="BH73">
        <f>IF(gamma!BH73,VLOOKUP(zeta!BH$1,main!$A$3:$H$102,5,FALSE)-VLOOKUP(zeta!$A73,main!$A$3:$H$102,6,FALSE),0)</f>
        <v>240</v>
      </c>
      <c r="BI73">
        <f>IF(gamma!BI73,VLOOKUP(zeta!BI$1,main!$A$3:$H$102,5,FALSE)-VLOOKUP(zeta!$A73,main!$A$3:$H$102,6,FALSE),0)</f>
        <v>625</v>
      </c>
      <c r="BJ73">
        <f>IF(gamma!BJ73,VLOOKUP(zeta!BJ$1,main!$A$3:$H$102,5,FALSE)-VLOOKUP(zeta!$A73,main!$A$3:$H$102,6,FALSE),0)</f>
        <v>415</v>
      </c>
      <c r="BK73">
        <f>IF(gamma!BK73,VLOOKUP(zeta!BK$1,main!$A$3:$H$102,5,FALSE)-VLOOKUP(zeta!$A73,main!$A$3:$H$102,6,FALSE),0)</f>
        <v>0</v>
      </c>
      <c r="BL73">
        <f>IF(gamma!BL73,VLOOKUP(zeta!BL$1,main!$A$3:$H$102,5,FALSE)-VLOOKUP(zeta!$A73,main!$A$3:$H$102,6,FALSE),0)</f>
        <v>0</v>
      </c>
      <c r="BM73">
        <f>IF(gamma!BM73,VLOOKUP(zeta!BM$1,main!$A$3:$H$102,5,FALSE)-VLOOKUP(zeta!$A73,main!$A$3:$H$102,6,FALSE),0)</f>
        <v>60</v>
      </c>
      <c r="BN73">
        <f>IF(gamma!BN73,VLOOKUP(zeta!BN$1,main!$A$3:$H$102,5,FALSE)-VLOOKUP(zeta!$A73,main!$A$3:$H$102,6,FALSE),0)</f>
        <v>315</v>
      </c>
      <c r="BO73">
        <f>IF(gamma!BO73,VLOOKUP(zeta!BO$1,main!$A$3:$H$102,5,FALSE)-VLOOKUP(zeta!$A73,main!$A$3:$H$102,6,FALSE),0)</f>
        <v>0</v>
      </c>
      <c r="BP73">
        <f>IF(gamma!BP73,VLOOKUP(zeta!BP$1,main!$A$3:$H$102,5,FALSE)-VLOOKUP(zeta!$A73,main!$A$3:$H$102,6,FALSE),0)</f>
        <v>0</v>
      </c>
      <c r="BQ73">
        <f>IF(gamma!BQ73,VLOOKUP(zeta!BQ$1,main!$A$3:$H$102,5,FALSE)-VLOOKUP(zeta!$A73,main!$A$3:$H$102,6,FALSE),0)</f>
        <v>170</v>
      </c>
      <c r="BR73">
        <f>IF(gamma!BR73,VLOOKUP(zeta!BR$1,main!$A$3:$H$102,5,FALSE)-VLOOKUP(zeta!$A73,main!$A$3:$H$102,6,FALSE),0)</f>
        <v>205</v>
      </c>
      <c r="BS73">
        <f>IF(gamma!BS73,VLOOKUP(zeta!BS$1,main!$A$3:$H$102,5,FALSE)-VLOOKUP(zeta!$A73,main!$A$3:$H$102,6,FALSE),0)</f>
        <v>215</v>
      </c>
      <c r="BT73">
        <f>IF(gamma!BT73,VLOOKUP(zeta!BT$1,main!$A$3:$H$102,5,FALSE)-VLOOKUP(zeta!$A73,main!$A$3:$H$102,6,FALSE),0)</f>
        <v>165</v>
      </c>
      <c r="BU73">
        <f>IF(gamma!BU73,VLOOKUP(zeta!BU$1,main!$A$3:$H$102,5,FALSE)-VLOOKUP(zeta!$A73,main!$A$3:$H$102,6,FALSE),0)</f>
        <v>0</v>
      </c>
      <c r="BV73">
        <f>IF(gamma!BV73,VLOOKUP(zeta!BV$1,main!$A$3:$H$102,5,FALSE)-VLOOKUP(zeta!$A73,main!$A$3:$H$102,6,FALSE),0)</f>
        <v>0</v>
      </c>
      <c r="BW73">
        <f>IF(gamma!BW73,VLOOKUP(zeta!BW$1,main!$A$3:$H$102,5,FALSE)-VLOOKUP(zeta!$A73,main!$A$3:$H$102,6,FALSE),0)</f>
        <v>0</v>
      </c>
      <c r="BX73">
        <f>IF(gamma!BX73,VLOOKUP(zeta!BX$1,main!$A$3:$H$102,5,FALSE)-VLOOKUP(zeta!$A73,main!$A$3:$H$102,6,FALSE),0)</f>
        <v>180</v>
      </c>
      <c r="BY73">
        <f>IF(gamma!BY73,VLOOKUP(zeta!BY$1,main!$A$3:$H$102,5,FALSE)-VLOOKUP(zeta!$A73,main!$A$3:$H$102,6,FALSE),0)</f>
        <v>265</v>
      </c>
      <c r="BZ73">
        <f>IF(gamma!BZ73,VLOOKUP(zeta!BZ$1,main!$A$3:$H$102,5,FALSE)-VLOOKUP(zeta!$A73,main!$A$3:$H$102,6,FALSE),0)</f>
        <v>0</v>
      </c>
      <c r="CA73">
        <f>IF(gamma!CA73,VLOOKUP(zeta!CA$1,main!$A$3:$H$102,5,FALSE)-VLOOKUP(zeta!$A73,main!$A$3:$H$102,6,FALSE),0)</f>
        <v>0</v>
      </c>
      <c r="CB73">
        <f>IF(gamma!CB73,VLOOKUP(zeta!CB$1,main!$A$3:$H$102,5,FALSE)-VLOOKUP(zeta!$A73,main!$A$3:$H$102,6,FALSE),0)</f>
        <v>320</v>
      </c>
      <c r="CC73">
        <f>IF(gamma!CC73,VLOOKUP(zeta!CC$1,main!$A$3:$H$102,5,FALSE)-VLOOKUP(zeta!$A73,main!$A$3:$H$102,6,FALSE),0)</f>
        <v>530</v>
      </c>
      <c r="CD73">
        <f>IF(gamma!CD73,VLOOKUP(zeta!CD$1,main!$A$3:$H$102,5,FALSE)-VLOOKUP(zeta!$A73,main!$A$3:$H$102,6,FALSE),0)</f>
        <v>265</v>
      </c>
      <c r="CE73">
        <f>IF(gamma!CE73,VLOOKUP(zeta!CE$1,main!$A$3:$H$102,5,FALSE)-VLOOKUP(zeta!$A73,main!$A$3:$H$102,6,FALSE),0)</f>
        <v>135</v>
      </c>
      <c r="CF73">
        <f>IF(gamma!CF73,VLOOKUP(zeta!CF$1,main!$A$3:$H$102,5,FALSE)-VLOOKUP(zeta!$A73,main!$A$3:$H$102,6,FALSE),0)</f>
        <v>165</v>
      </c>
      <c r="CG73">
        <f>IF(gamma!CG73,VLOOKUP(zeta!CG$1,main!$A$3:$H$102,5,FALSE)-VLOOKUP(zeta!$A73,main!$A$3:$H$102,6,FALSE),0)</f>
        <v>215</v>
      </c>
      <c r="CH73">
        <f>IF(gamma!CH73,VLOOKUP(zeta!CH$1,main!$A$3:$H$102,5,FALSE)-VLOOKUP(zeta!$A73,main!$A$3:$H$102,6,FALSE),0)</f>
        <v>415</v>
      </c>
      <c r="CI73">
        <f>IF(gamma!CI73,VLOOKUP(zeta!CI$1,main!$A$3:$H$102,5,FALSE)-VLOOKUP(zeta!$A73,main!$A$3:$H$102,6,FALSE),0)</f>
        <v>615</v>
      </c>
      <c r="CJ73">
        <f>IF(gamma!CJ73,VLOOKUP(zeta!CJ$1,main!$A$3:$H$102,5,FALSE)-VLOOKUP(zeta!$A73,main!$A$3:$H$102,6,FALSE),0)</f>
        <v>205</v>
      </c>
      <c r="CK73">
        <f>IF(gamma!CK73,VLOOKUP(zeta!CK$1,main!$A$3:$H$102,5,FALSE)-VLOOKUP(zeta!$A73,main!$A$3:$H$102,6,FALSE),0)</f>
        <v>99</v>
      </c>
      <c r="CL73">
        <f>IF(gamma!CL73,VLOOKUP(zeta!CL$1,main!$A$3:$H$102,5,FALSE)-VLOOKUP(zeta!$A73,main!$A$3:$H$102,6,FALSE),0)</f>
        <v>215</v>
      </c>
      <c r="CM73">
        <f>IF(gamma!CM73,VLOOKUP(zeta!CM$1,main!$A$3:$H$102,5,FALSE)-VLOOKUP(zeta!$A73,main!$A$3:$H$102,6,FALSE),0)</f>
        <v>391</v>
      </c>
      <c r="CN73">
        <f>IF(gamma!CN73,VLOOKUP(zeta!CN$1,main!$A$3:$H$102,5,FALSE)-VLOOKUP(zeta!$A73,main!$A$3:$H$102,6,FALSE),0)</f>
        <v>615</v>
      </c>
      <c r="CO73">
        <f>IF(gamma!CO73,VLOOKUP(zeta!CO$1,main!$A$3:$H$102,5,FALSE)-VLOOKUP(zeta!$A73,main!$A$3:$H$102,6,FALSE),0)</f>
        <v>15</v>
      </c>
      <c r="CP73">
        <f>IF(gamma!CP73,VLOOKUP(zeta!CP$1,main!$A$3:$H$102,5,FALSE)-VLOOKUP(zeta!$A73,main!$A$3:$H$102,6,FALSE),0)</f>
        <v>180</v>
      </c>
      <c r="CQ73">
        <f>IF(gamma!CQ73,VLOOKUP(zeta!CQ$1,main!$A$3:$H$102,5,FALSE)-VLOOKUP(zeta!$A73,main!$A$3:$H$102,6,FALSE),0)</f>
        <v>195</v>
      </c>
      <c r="CR73">
        <f>IF(gamma!CR73,VLOOKUP(zeta!CR$1,main!$A$3:$H$102,5,FALSE)-VLOOKUP(zeta!$A73,main!$A$3:$H$102,6,FALSE),0)</f>
        <v>380</v>
      </c>
      <c r="CS73">
        <f>IF(gamma!CS73,VLOOKUP(zeta!CS$1,main!$A$3:$H$102,5,FALSE)-VLOOKUP(zeta!$A73,main!$A$3:$H$102,6,FALSE),0)</f>
        <v>390</v>
      </c>
      <c r="CT73">
        <f>IF(gamma!CT73,VLOOKUP(zeta!CT$1,main!$A$3:$H$102,5,FALSE)-VLOOKUP(zeta!$A73,main!$A$3:$H$102,6,FALSE),0)</f>
        <v>0</v>
      </c>
      <c r="CU73">
        <f>IF(gamma!CU73,VLOOKUP(zeta!CU$1,main!$A$3:$H$102,5,FALSE)-VLOOKUP(zeta!$A73,main!$A$3:$H$102,6,FALSE),0)</f>
        <v>0</v>
      </c>
      <c r="CV73">
        <f>IF(gamma!CV73,VLOOKUP(zeta!CV$1,main!$A$3:$H$102,5,FALSE)-VLOOKUP(zeta!$A73,main!$A$3:$H$102,6,FALSE),0)</f>
        <v>195</v>
      </c>
      <c r="CW73">
        <f>IF(gamma!CW73,VLOOKUP(zeta!CW$1,main!$A$3:$H$102,5,FALSE)-VLOOKUP(zeta!$A73,main!$A$3:$H$102,6,FALSE),0)</f>
        <v>380</v>
      </c>
      <c r="CX73">
        <f>IF(gamma!CX73,VLOOKUP(zeta!CX$1,main!$A$3:$H$102,5,FALSE)-VLOOKUP(zeta!$A73,main!$A$3:$H$102,6,FALSE),0)</f>
        <v>420</v>
      </c>
    </row>
    <row r="74" spans="1:102" x14ac:dyDescent="0.25">
      <c r="A74">
        <f t="shared" si="2"/>
        <v>72</v>
      </c>
      <c r="B74">
        <v>0</v>
      </c>
      <c r="C74">
        <f>IF(gamma!C74,VLOOKUP(zeta!C$1,main!$A$3:$H$102,5,FALSE)-VLOOKUP(zeta!$A74,main!$A$3:$H$102,6,FALSE),0)</f>
        <v>0</v>
      </c>
      <c r="D74">
        <f>IF(gamma!D74,VLOOKUP(zeta!D$1,main!$A$3:$H$102,5,FALSE)-VLOOKUP(zeta!$A74,main!$A$3:$H$102,6,FALSE),0)</f>
        <v>0</v>
      </c>
      <c r="E74">
        <f>IF(gamma!E74,VLOOKUP(zeta!E$1,main!$A$3:$H$102,5,FALSE)-VLOOKUP(zeta!$A74,main!$A$3:$H$102,6,FALSE),0)</f>
        <v>0</v>
      </c>
      <c r="F74">
        <f>IF(gamma!F74,VLOOKUP(zeta!F$1,main!$A$3:$H$102,5,FALSE)-VLOOKUP(zeta!$A74,main!$A$3:$H$102,6,FALSE),0)</f>
        <v>55</v>
      </c>
      <c r="G74">
        <f>IF(gamma!G74,VLOOKUP(zeta!G$1,main!$A$3:$H$102,5,FALSE)-VLOOKUP(zeta!$A74,main!$A$3:$H$102,6,FALSE),0)</f>
        <v>145</v>
      </c>
      <c r="H74">
        <f>IF(gamma!H74,VLOOKUP(zeta!H$1,main!$A$3:$H$102,5,FALSE)-VLOOKUP(zeta!$A74,main!$A$3:$H$102,6,FALSE),0)</f>
        <v>235</v>
      </c>
      <c r="I74">
        <f>IF(gamma!I74,VLOOKUP(zeta!I$1,main!$A$3:$H$102,5,FALSE)-VLOOKUP(zeta!$A74,main!$A$3:$H$102,6,FALSE),0)</f>
        <v>295</v>
      </c>
      <c r="J74">
        <f>IF(gamma!J74,VLOOKUP(zeta!J$1,main!$A$3:$H$102,5,FALSE)-VLOOKUP(zeta!$A74,main!$A$3:$H$102,6,FALSE),0)</f>
        <v>355</v>
      </c>
      <c r="K74">
        <f>IF(gamma!K74,VLOOKUP(zeta!K$1,main!$A$3:$H$102,5,FALSE)-VLOOKUP(zeta!$A74,main!$A$3:$H$102,6,FALSE),0)</f>
        <v>415</v>
      </c>
      <c r="L74">
        <f>IF(gamma!L74,VLOOKUP(zeta!L$1,main!$A$3:$H$102,5,FALSE)-VLOOKUP(zeta!$A74,main!$A$3:$H$102,6,FALSE),0)</f>
        <v>505</v>
      </c>
      <c r="M74">
        <f>IF(gamma!M74,VLOOKUP(zeta!M$1,main!$A$3:$H$102,5,FALSE)-VLOOKUP(zeta!$A74,main!$A$3:$H$102,6,FALSE),0)</f>
        <v>0</v>
      </c>
      <c r="N74">
        <f>IF(gamma!N74,VLOOKUP(zeta!N$1,main!$A$3:$H$102,5,FALSE)-VLOOKUP(zeta!$A74,main!$A$3:$H$102,6,FALSE),0)</f>
        <v>0</v>
      </c>
      <c r="O74">
        <f>IF(gamma!O74,VLOOKUP(zeta!O$1,main!$A$3:$H$102,5,FALSE)-VLOOKUP(zeta!$A74,main!$A$3:$H$102,6,FALSE),0)</f>
        <v>0</v>
      </c>
      <c r="P74">
        <f>IF(gamma!P74,VLOOKUP(zeta!P$1,main!$A$3:$H$102,5,FALSE)-VLOOKUP(zeta!$A74,main!$A$3:$H$102,6,FALSE),0)</f>
        <v>0</v>
      </c>
      <c r="Q74">
        <f>IF(gamma!Q74,VLOOKUP(zeta!Q$1,main!$A$3:$H$102,5,FALSE)-VLOOKUP(zeta!$A74,main!$A$3:$H$102,6,FALSE),0)</f>
        <v>70</v>
      </c>
      <c r="R74">
        <f>IF(gamma!R74,VLOOKUP(zeta!R$1,main!$A$3:$H$102,5,FALSE)-VLOOKUP(zeta!$A74,main!$A$3:$H$102,6,FALSE),0)</f>
        <v>110</v>
      </c>
      <c r="S74">
        <f>IF(gamma!S74,VLOOKUP(zeta!S$1,main!$A$3:$H$102,5,FALSE)-VLOOKUP(zeta!$A74,main!$A$3:$H$102,6,FALSE),0)</f>
        <v>235</v>
      </c>
      <c r="T74">
        <f>IF(gamma!T74,VLOOKUP(zeta!T$1,main!$A$3:$H$102,5,FALSE)-VLOOKUP(zeta!$A74,main!$A$3:$H$102,6,FALSE),0)</f>
        <v>315</v>
      </c>
      <c r="U74">
        <f>IF(gamma!U74,VLOOKUP(zeta!U$1,main!$A$3:$H$102,5,FALSE)-VLOOKUP(zeta!$A74,main!$A$3:$H$102,6,FALSE),0)</f>
        <v>470</v>
      </c>
      <c r="V74">
        <f>IF(gamma!V74,VLOOKUP(zeta!V$1,main!$A$3:$H$102,5,FALSE)-VLOOKUP(zeta!$A74,main!$A$3:$H$102,6,FALSE),0)</f>
        <v>530</v>
      </c>
      <c r="W74">
        <f>IF(gamma!W74,VLOOKUP(zeta!W$1,main!$A$3:$H$102,5,FALSE)-VLOOKUP(zeta!$A74,main!$A$3:$H$102,6,FALSE),0)</f>
        <v>0</v>
      </c>
      <c r="X74">
        <f>IF(gamma!X74,VLOOKUP(zeta!X$1,main!$A$3:$H$102,5,FALSE)-VLOOKUP(zeta!$A74,main!$A$3:$H$102,6,FALSE),0)</f>
        <v>0</v>
      </c>
      <c r="Y74">
        <f>IF(gamma!Y74,VLOOKUP(zeta!Y$1,main!$A$3:$H$102,5,FALSE)-VLOOKUP(zeta!$A74,main!$A$3:$H$102,6,FALSE),0)</f>
        <v>105</v>
      </c>
      <c r="Z74">
        <f>IF(gamma!Z74,VLOOKUP(zeta!Z$1,main!$A$3:$H$102,5,FALSE)-VLOOKUP(zeta!$A74,main!$A$3:$H$102,6,FALSE),0)</f>
        <v>285</v>
      </c>
      <c r="AA74">
        <f>IF(gamma!AA74,VLOOKUP(zeta!AA$1,main!$A$3:$H$102,5,FALSE)-VLOOKUP(zeta!$A74,main!$A$3:$H$102,6,FALSE),0)</f>
        <v>435</v>
      </c>
      <c r="AB74">
        <f>IF(gamma!AB74,VLOOKUP(zeta!AB$1,main!$A$3:$H$102,5,FALSE)-VLOOKUP(zeta!$A74,main!$A$3:$H$102,6,FALSE),0)</f>
        <v>0</v>
      </c>
      <c r="AC74">
        <f>IF(gamma!AC74,VLOOKUP(zeta!AC$1,main!$A$3:$H$102,5,FALSE)-VLOOKUP(zeta!$A74,main!$A$3:$H$102,6,FALSE),0)</f>
        <v>0</v>
      </c>
      <c r="AD74">
        <f>IF(gamma!AD74,VLOOKUP(zeta!AD$1,main!$A$3:$H$102,5,FALSE)-VLOOKUP(zeta!$A74,main!$A$3:$H$102,6,FALSE),0)</f>
        <v>65</v>
      </c>
      <c r="AE74">
        <f>IF(gamma!AE74,VLOOKUP(zeta!AE$1,main!$A$3:$H$102,5,FALSE)-VLOOKUP(zeta!$A74,main!$A$3:$H$102,6,FALSE),0)</f>
        <v>245</v>
      </c>
      <c r="AF74">
        <f>IF(gamma!AF74,VLOOKUP(zeta!AF$1,main!$A$3:$H$102,5,FALSE)-VLOOKUP(zeta!$A74,main!$A$3:$H$102,6,FALSE),0)</f>
        <v>415</v>
      </c>
      <c r="AG74">
        <f>IF(gamma!AG74,VLOOKUP(zeta!AG$1,main!$A$3:$H$102,5,FALSE)-VLOOKUP(zeta!$A74,main!$A$3:$H$102,6,FALSE),0)</f>
        <v>0</v>
      </c>
      <c r="AH74">
        <f>IF(gamma!AH74,VLOOKUP(zeta!AH$1,main!$A$3:$H$102,5,FALSE)-VLOOKUP(zeta!$A74,main!$A$3:$H$102,6,FALSE),0)</f>
        <v>0</v>
      </c>
      <c r="AI74">
        <f>IF(gamma!AI74,VLOOKUP(zeta!AI$1,main!$A$3:$H$102,5,FALSE)-VLOOKUP(zeta!$A74,main!$A$3:$H$102,6,FALSE),0)</f>
        <v>0</v>
      </c>
      <c r="AJ74">
        <f>IF(gamma!AJ74,VLOOKUP(zeta!AJ$1,main!$A$3:$H$102,5,FALSE)-VLOOKUP(zeta!$A74,main!$A$3:$H$102,6,FALSE),0)</f>
        <v>125</v>
      </c>
      <c r="AK74">
        <f>IF(gamma!AK74,VLOOKUP(zeta!AK$1,main!$A$3:$H$102,5,FALSE)-VLOOKUP(zeta!$A74,main!$A$3:$H$102,6,FALSE),0)</f>
        <v>215</v>
      </c>
      <c r="AL74">
        <f>IF(gamma!AL74,VLOOKUP(zeta!AL$1,main!$A$3:$H$102,5,FALSE)-VLOOKUP(zeta!$A74,main!$A$3:$H$102,6,FALSE),0)</f>
        <v>305</v>
      </c>
      <c r="AM74">
        <f>IF(gamma!AM74,VLOOKUP(zeta!AM$1,main!$A$3:$H$102,5,FALSE)-VLOOKUP(zeta!$A74,main!$A$3:$H$102,6,FALSE),0)</f>
        <v>395</v>
      </c>
      <c r="AN74">
        <f>IF(gamma!AN74,VLOOKUP(zeta!AN$1,main!$A$3:$H$102,5,FALSE)-VLOOKUP(zeta!$A74,main!$A$3:$H$102,6,FALSE),0)</f>
        <v>455</v>
      </c>
      <c r="AO74">
        <f>IF(gamma!AO74,VLOOKUP(zeta!AO$1,main!$A$3:$H$102,5,FALSE)-VLOOKUP(zeta!$A74,main!$A$3:$H$102,6,FALSE),0)</f>
        <v>0</v>
      </c>
      <c r="AP74">
        <f>IF(gamma!AP74,VLOOKUP(zeta!AP$1,main!$A$3:$H$102,5,FALSE)-VLOOKUP(zeta!$A74,main!$A$3:$H$102,6,FALSE),0)</f>
        <v>515</v>
      </c>
      <c r="AQ74">
        <f>IF(gamma!AQ74,VLOOKUP(zeta!AQ$1,main!$A$3:$H$102,5,FALSE)-VLOOKUP(zeta!$A74,main!$A$3:$H$102,6,FALSE),0)</f>
        <v>0</v>
      </c>
      <c r="AR74">
        <f>IF(gamma!AR74,VLOOKUP(zeta!AR$1,main!$A$3:$H$102,5,FALSE)-VLOOKUP(zeta!$A74,main!$A$3:$H$102,6,FALSE),0)</f>
        <v>0</v>
      </c>
      <c r="AS74">
        <f>IF(gamma!AS74,VLOOKUP(zeta!AS$1,main!$A$3:$H$102,5,FALSE)-VLOOKUP(zeta!$A74,main!$A$3:$H$102,6,FALSE),0)</f>
        <v>115</v>
      </c>
      <c r="AT74">
        <f>IF(gamma!AT74,VLOOKUP(zeta!AT$1,main!$A$3:$H$102,5,FALSE)-VLOOKUP(zeta!$A74,main!$A$3:$H$102,6,FALSE),0)</f>
        <v>265</v>
      </c>
      <c r="AU74">
        <f>IF(gamma!AU74,VLOOKUP(zeta!AU$1,main!$A$3:$H$102,5,FALSE)-VLOOKUP(zeta!$A74,main!$A$3:$H$102,6,FALSE),0)</f>
        <v>0</v>
      </c>
      <c r="AV74">
        <f>IF(gamma!AV74,VLOOKUP(zeta!AV$1,main!$A$3:$H$102,5,FALSE)-VLOOKUP(zeta!$A74,main!$A$3:$H$102,6,FALSE),0)</f>
        <v>0</v>
      </c>
      <c r="AW74">
        <f>IF(gamma!AW74,VLOOKUP(zeta!AW$1,main!$A$3:$H$102,5,FALSE)-VLOOKUP(zeta!$A74,main!$A$3:$H$102,6,FALSE),0)</f>
        <v>215</v>
      </c>
      <c r="AX74">
        <f>IF(gamma!AX74,VLOOKUP(zeta!AX$1,main!$A$3:$H$102,5,FALSE)-VLOOKUP(zeta!$A74,main!$A$3:$H$102,6,FALSE),0)</f>
        <v>55</v>
      </c>
      <c r="AY74">
        <f>IF(gamma!AY74,VLOOKUP(zeta!AY$1,main!$A$3:$H$102,5,FALSE)-VLOOKUP(zeta!$A74,main!$A$3:$H$102,6,FALSE),0)</f>
        <v>0</v>
      </c>
      <c r="AZ74">
        <f>IF(gamma!AZ74,VLOOKUP(zeta!AZ$1,main!$A$3:$H$102,5,FALSE)-VLOOKUP(zeta!$A74,main!$A$3:$H$102,6,FALSE),0)</f>
        <v>0</v>
      </c>
      <c r="BA74">
        <f>IF(gamma!BA74,VLOOKUP(zeta!BA$1,main!$A$3:$H$102,5,FALSE)-VLOOKUP(zeta!$A74,main!$A$3:$H$102,6,FALSE),0)</f>
        <v>0</v>
      </c>
      <c r="BB74">
        <f>IF(gamma!BB74,VLOOKUP(zeta!BB$1,main!$A$3:$H$102,5,FALSE)-VLOOKUP(zeta!$A74,main!$A$3:$H$102,6,FALSE),0)</f>
        <v>55</v>
      </c>
      <c r="BC74">
        <f>IF(gamma!BC74,VLOOKUP(zeta!BC$1,main!$A$3:$H$102,5,FALSE)-VLOOKUP(zeta!$A74,main!$A$3:$H$102,6,FALSE),0)</f>
        <v>175</v>
      </c>
      <c r="BD74">
        <f>IF(gamma!BD74,VLOOKUP(zeta!BD$1,main!$A$3:$H$102,5,FALSE)-VLOOKUP(zeta!$A74,main!$A$3:$H$102,6,FALSE),0)</f>
        <v>235</v>
      </c>
      <c r="BE74">
        <f>IF(gamma!BE74,VLOOKUP(zeta!BE$1,main!$A$3:$H$102,5,FALSE)-VLOOKUP(zeta!$A74,main!$A$3:$H$102,6,FALSE),0)</f>
        <v>355</v>
      </c>
      <c r="BF74">
        <f>IF(gamma!BF74,VLOOKUP(zeta!BF$1,main!$A$3:$H$102,5,FALSE)-VLOOKUP(zeta!$A74,main!$A$3:$H$102,6,FALSE),0)</f>
        <v>0</v>
      </c>
      <c r="BG74">
        <f>IF(gamma!BG74,VLOOKUP(zeta!BG$1,main!$A$3:$H$102,5,FALSE)-VLOOKUP(zeta!$A74,main!$A$3:$H$102,6,FALSE),0)</f>
        <v>0</v>
      </c>
      <c r="BH74">
        <f>IF(gamma!BH74,VLOOKUP(zeta!BH$1,main!$A$3:$H$102,5,FALSE)-VLOOKUP(zeta!$A74,main!$A$3:$H$102,6,FALSE),0)</f>
        <v>140</v>
      </c>
      <c r="BI74">
        <f>IF(gamma!BI74,VLOOKUP(zeta!BI$1,main!$A$3:$H$102,5,FALSE)-VLOOKUP(zeta!$A74,main!$A$3:$H$102,6,FALSE),0)</f>
        <v>525</v>
      </c>
      <c r="BJ74">
        <f>IF(gamma!BJ74,VLOOKUP(zeta!BJ$1,main!$A$3:$H$102,5,FALSE)-VLOOKUP(zeta!$A74,main!$A$3:$H$102,6,FALSE),0)</f>
        <v>315</v>
      </c>
      <c r="BK74">
        <f>IF(gamma!BK74,VLOOKUP(zeta!BK$1,main!$A$3:$H$102,5,FALSE)-VLOOKUP(zeta!$A74,main!$A$3:$H$102,6,FALSE),0)</f>
        <v>0</v>
      </c>
      <c r="BL74">
        <f>IF(gamma!BL74,VLOOKUP(zeta!BL$1,main!$A$3:$H$102,5,FALSE)-VLOOKUP(zeta!$A74,main!$A$3:$H$102,6,FALSE),0)</f>
        <v>0</v>
      </c>
      <c r="BM74">
        <f>IF(gamma!BM74,VLOOKUP(zeta!BM$1,main!$A$3:$H$102,5,FALSE)-VLOOKUP(zeta!$A74,main!$A$3:$H$102,6,FALSE),0)</f>
        <v>0</v>
      </c>
      <c r="BN74">
        <f>IF(gamma!BN74,VLOOKUP(zeta!BN$1,main!$A$3:$H$102,5,FALSE)-VLOOKUP(zeta!$A74,main!$A$3:$H$102,6,FALSE),0)</f>
        <v>215</v>
      </c>
      <c r="BO74">
        <f>IF(gamma!BO74,VLOOKUP(zeta!BO$1,main!$A$3:$H$102,5,FALSE)-VLOOKUP(zeta!$A74,main!$A$3:$H$102,6,FALSE),0)</f>
        <v>0</v>
      </c>
      <c r="BP74">
        <f>IF(gamma!BP74,VLOOKUP(zeta!BP$1,main!$A$3:$H$102,5,FALSE)-VLOOKUP(zeta!$A74,main!$A$3:$H$102,6,FALSE),0)</f>
        <v>0</v>
      </c>
      <c r="BQ74">
        <f>IF(gamma!BQ74,VLOOKUP(zeta!BQ$1,main!$A$3:$H$102,5,FALSE)-VLOOKUP(zeta!$A74,main!$A$3:$H$102,6,FALSE),0)</f>
        <v>70</v>
      </c>
      <c r="BR74">
        <f>IF(gamma!BR74,VLOOKUP(zeta!BR$1,main!$A$3:$H$102,5,FALSE)-VLOOKUP(zeta!$A74,main!$A$3:$H$102,6,FALSE),0)</f>
        <v>105</v>
      </c>
      <c r="BS74">
        <f>IF(gamma!BS74,VLOOKUP(zeta!BS$1,main!$A$3:$H$102,5,FALSE)-VLOOKUP(zeta!$A74,main!$A$3:$H$102,6,FALSE),0)</f>
        <v>115</v>
      </c>
      <c r="BT74">
        <f>IF(gamma!BT74,VLOOKUP(zeta!BT$1,main!$A$3:$H$102,5,FALSE)-VLOOKUP(zeta!$A74,main!$A$3:$H$102,6,FALSE),0)</f>
        <v>65</v>
      </c>
      <c r="BU74">
        <f>IF(gamma!BU74,VLOOKUP(zeta!BU$1,main!$A$3:$H$102,5,FALSE)-VLOOKUP(zeta!$A74,main!$A$3:$H$102,6,FALSE),0)</f>
        <v>0</v>
      </c>
      <c r="BV74">
        <f>IF(gamma!BV74,VLOOKUP(zeta!BV$1,main!$A$3:$H$102,5,FALSE)-VLOOKUP(zeta!$A74,main!$A$3:$H$102,6,FALSE),0)</f>
        <v>0</v>
      </c>
      <c r="BW74">
        <f>IF(gamma!BW74,VLOOKUP(zeta!BW$1,main!$A$3:$H$102,5,FALSE)-VLOOKUP(zeta!$A74,main!$A$3:$H$102,6,FALSE),0)</f>
        <v>0</v>
      </c>
      <c r="BX74">
        <f>IF(gamma!BX74,VLOOKUP(zeta!BX$1,main!$A$3:$H$102,5,FALSE)-VLOOKUP(zeta!$A74,main!$A$3:$H$102,6,FALSE),0)</f>
        <v>80</v>
      </c>
      <c r="BY74">
        <f>IF(gamma!BY74,VLOOKUP(zeta!BY$1,main!$A$3:$H$102,5,FALSE)-VLOOKUP(zeta!$A74,main!$A$3:$H$102,6,FALSE),0)</f>
        <v>165</v>
      </c>
      <c r="BZ74">
        <f>IF(gamma!BZ74,VLOOKUP(zeta!BZ$1,main!$A$3:$H$102,5,FALSE)-VLOOKUP(zeta!$A74,main!$A$3:$H$102,6,FALSE),0)</f>
        <v>0</v>
      </c>
      <c r="CA74">
        <f>IF(gamma!CA74,VLOOKUP(zeta!CA$1,main!$A$3:$H$102,5,FALSE)-VLOOKUP(zeta!$A74,main!$A$3:$H$102,6,FALSE),0)</f>
        <v>0</v>
      </c>
      <c r="CB74">
        <f>IF(gamma!CB74,VLOOKUP(zeta!CB$1,main!$A$3:$H$102,5,FALSE)-VLOOKUP(zeta!$A74,main!$A$3:$H$102,6,FALSE),0)</f>
        <v>220</v>
      </c>
      <c r="CC74">
        <f>IF(gamma!CC74,VLOOKUP(zeta!CC$1,main!$A$3:$H$102,5,FALSE)-VLOOKUP(zeta!$A74,main!$A$3:$H$102,6,FALSE),0)</f>
        <v>430</v>
      </c>
      <c r="CD74">
        <f>IF(gamma!CD74,VLOOKUP(zeta!CD$1,main!$A$3:$H$102,5,FALSE)-VLOOKUP(zeta!$A74,main!$A$3:$H$102,6,FALSE),0)</f>
        <v>165</v>
      </c>
      <c r="CE74">
        <f>IF(gamma!CE74,VLOOKUP(zeta!CE$1,main!$A$3:$H$102,5,FALSE)-VLOOKUP(zeta!$A74,main!$A$3:$H$102,6,FALSE),0)</f>
        <v>35</v>
      </c>
      <c r="CF74">
        <f>IF(gamma!CF74,VLOOKUP(zeta!CF$1,main!$A$3:$H$102,5,FALSE)-VLOOKUP(zeta!$A74,main!$A$3:$H$102,6,FALSE),0)</f>
        <v>65</v>
      </c>
      <c r="CG74">
        <f>IF(gamma!CG74,VLOOKUP(zeta!CG$1,main!$A$3:$H$102,5,FALSE)-VLOOKUP(zeta!$A74,main!$A$3:$H$102,6,FALSE),0)</f>
        <v>115</v>
      </c>
      <c r="CH74">
        <f>IF(gamma!CH74,VLOOKUP(zeta!CH$1,main!$A$3:$H$102,5,FALSE)-VLOOKUP(zeta!$A74,main!$A$3:$H$102,6,FALSE),0)</f>
        <v>315</v>
      </c>
      <c r="CI74">
        <f>IF(gamma!CI74,VLOOKUP(zeta!CI$1,main!$A$3:$H$102,5,FALSE)-VLOOKUP(zeta!$A74,main!$A$3:$H$102,6,FALSE),0)</f>
        <v>515</v>
      </c>
      <c r="CJ74">
        <f>IF(gamma!CJ74,VLOOKUP(zeta!CJ$1,main!$A$3:$H$102,5,FALSE)-VLOOKUP(zeta!$A74,main!$A$3:$H$102,6,FALSE),0)</f>
        <v>105</v>
      </c>
      <c r="CK74">
        <f>IF(gamma!CK74,VLOOKUP(zeta!CK$1,main!$A$3:$H$102,5,FALSE)-VLOOKUP(zeta!$A74,main!$A$3:$H$102,6,FALSE),0)</f>
        <v>0</v>
      </c>
      <c r="CL74">
        <f>IF(gamma!CL74,VLOOKUP(zeta!CL$1,main!$A$3:$H$102,5,FALSE)-VLOOKUP(zeta!$A74,main!$A$3:$H$102,6,FALSE),0)</f>
        <v>115</v>
      </c>
      <c r="CM74">
        <f>IF(gamma!CM74,VLOOKUP(zeta!CM$1,main!$A$3:$H$102,5,FALSE)-VLOOKUP(zeta!$A74,main!$A$3:$H$102,6,FALSE),0)</f>
        <v>291</v>
      </c>
      <c r="CN74">
        <f>IF(gamma!CN74,VLOOKUP(zeta!CN$1,main!$A$3:$H$102,5,FALSE)-VLOOKUP(zeta!$A74,main!$A$3:$H$102,6,FALSE),0)</f>
        <v>515</v>
      </c>
      <c r="CO74">
        <f>IF(gamma!CO74,VLOOKUP(zeta!CO$1,main!$A$3:$H$102,5,FALSE)-VLOOKUP(zeta!$A74,main!$A$3:$H$102,6,FALSE),0)</f>
        <v>0</v>
      </c>
      <c r="CP74">
        <f>IF(gamma!CP74,VLOOKUP(zeta!CP$1,main!$A$3:$H$102,5,FALSE)-VLOOKUP(zeta!$A74,main!$A$3:$H$102,6,FALSE),0)</f>
        <v>80</v>
      </c>
      <c r="CQ74">
        <f>IF(gamma!CQ74,VLOOKUP(zeta!CQ$1,main!$A$3:$H$102,5,FALSE)-VLOOKUP(zeta!$A74,main!$A$3:$H$102,6,FALSE),0)</f>
        <v>95</v>
      </c>
      <c r="CR74">
        <f>IF(gamma!CR74,VLOOKUP(zeta!CR$1,main!$A$3:$H$102,5,FALSE)-VLOOKUP(zeta!$A74,main!$A$3:$H$102,6,FALSE),0)</f>
        <v>280</v>
      </c>
      <c r="CS74">
        <f>IF(gamma!CS74,VLOOKUP(zeta!CS$1,main!$A$3:$H$102,5,FALSE)-VLOOKUP(zeta!$A74,main!$A$3:$H$102,6,FALSE),0)</f>
        <v>290</v>
      </c>
      <c r="CT74">
        <f>IF(gamma!CT74,VLOOKUP(zeta!CT$1,main!$A$3:$H$102,5,FALSE)-VLOOKUP(zeta!$A74,main!$A$3:$H$102,6,FALSE),0)</f>
        <v>0</v>
      </c>
      <c r="CU74">
        <f>IF(gamma!CU74,VLOOKUP(zeta!CU$1,main!$A$3:$H$102,5,FALSE)-VLOOKUP(zeta!$A74,main!$A$3:$H$102,6,FALSE),0)</f>
        <v>0</v>
      </c>
      <c r="CV74">
        <f>IF(gamma!CV74,VLOOKUP(zeta!CV$1,main!$A$3:$H$102,5,FALSE)-VLOOKUP(zeta!$A74,main!$A$3:$H$102,6,FALSE),0)</f>
        <v>95</v>
      </c>
      <c r="CW74">
        <f>IF(gamma!CW74,VLOOKUP(zeta!CW$1,main!$A$3:$H$102,5,FALSE)-VLOOKUP(zeta!$A74,main!$A$3:$H$102,6,FALSE),0)</f>
        <v>280</v>
      </c>
      <c r="CX74">
        <f>IF(gamma!CX74,VLOOKUP(zeta!CX$1,main!$A$3:$H$102,5,FALSE)-VLOOKUP(zeta!$A74,main!$A$3:$H$102,6,FALSE),0)</f>
        <v>320</v>
      </c>
    </row>
    <row r="75" spans="1:102" x14ac:dyDescent="0.25">
      <c r="A75">
        <f t="shared" si="2"/>
        <v>73</v>
      </c>
      <c r="B75">
        <v>0</v>
      </c>
      <c r="C75">
        <f>IF(gamma!C75,VLOOKUP(zeta!C$1,main!$A$3:$H$102,5,FALSE)-VLOOKUP(zeta!$A75,main!$A$3:$H$102,6,FALSE),0)</f>
        <v>0</v>
      </c>
      <c r="D75">
        <f>IF(gamma!D75,VLOOKUP(zeta!D$1,main!$A$3:$H$102,5,FALSE)-VLOOKUP(zeta!$A75,main!$A$3:$H$102,6,FALSE),0)</f>
        <v>0</v>
      </c>
      <c r="E75">
        <f>IF(gamma!E75,VLOOKUP(zeta!E$1,main!$A$3:$H$102,5,FALSE)-VLOOKUP(zeta!$A75,main!$A$3:$H$102,6,FALSE),0)</f>
        <v>0</v>
      </c>
      <c r="F75">
        <f>IF(gamma!F75,VLOOKUP(zeta!F$1,main!$A$3:$H$102,5,FALSE)-VLOOKUP(zeta!$A75,main!$A$3:$H$102,6,FALSE),0)</f>
        <v>0</v>
      </c>
      <c r="G75">
        <f>IF(gamma!G75,VLOOKUP(zeta!G$1,main!$A$3:$H$102,5,FALSE)-VLOOKUP(zeta!$A75,main!$A$3:$H$102,6,FALSE),0)</f>
        <v>95</v>
      </c>
      <c r="H75">
        <f>IF(gamma!H75,VLOOKUP(zeta!H$1,main!$A$3:$H$102,5,FALSE)-VLOOKUP(zeta!$A75,main!$A$3:$H$102,6,FALSE),0)</f>
        <v>185</v>
      </c>
      <c r="I75">
        <f>IF(gamma!I75,VLOOKUP(zeta!I$1,main!$A$3:$H$102,5,FALSE)-VLOOKUP(zeta!$A75,main!$A$3:$H$102,6,FALSE),0)</f>
        <v>245</v>
      </c>
      <c r="J75">
        <f>IF(gamma!J75,VLOOKUP(zeta!J$1,main!$A$3:$H$102,5,FALSE)-VLOOKUP(zeta!$A75,main!$A$3:$H$102,6,FALSE),0)</f>
        <v>305</v>
      </c>
      <c r="K75">
        <f>IF(gamma!K75,VLOOKUP(zeta!K$1,main!$A$3:$H$102,5,FALSE)-VLOOKUP(zeta!$A75,main!$A$3:$H$102,6,FALSE),0)</f>
        <v>365</v>
      </c>
      <c r="L75">
        <f>IF(gamma!L75,VLOOKUP(zeta!L$1,main!$A$3:$H$102,5,FALSE)-VLOOKUP(zeta!$A75,main!$A$3:$H$102,6,FALSE),0)</f>
        <v>455</v>
      </c>
      <c r="M75">
        <f>IF(gamma!M75,VLOOKUP(zeta!M$1,main!$A$3:$H$102,5,FALSE)-VLOOKUP(zeta!$A75,main!$A$3:$H$102,6,FALSE),0)</f>
        <v>0</v>
      </c>
      <c r="N75">
        <f>IF(gamma!N75,VLOOKUP(zeta!N$1,main!$A$3:$H$102,5,FALSE)-VLOOKUP(zeta!$A75,main!$A$3:$H$102,6,FALSE),0)</f>
        <v>0</v>
      </c>
      <c r="O75">
        <f>IF(gamma!O75,VLOOKUP(zeta!O$1,main!$A$3:$H$102,5,FALSE)-VLOOKUP(zeta!$A75,main!$A$3:$H$102,6,FALSE),0)</f>
        <v>0</v>
      </c>
      <c r="P75">
        <f>IF(gamma!P75,VLOOKUP(zeta!P$1,main!$A$3:$H$102,5,FALSE)-VLOOKUP(zeta!$A75,main!$A$3:$H$102,6,FALSE),0)</f>
        <v>0</v>
      </c>
      <c r="Q75">
        <f>IF(gamma!Q75,VLOOKUP(zeta!Q$1,main!$A$3:$H$102,5,FALSE)-VLOOKUP(zeta!$A75,main!$A$3:$H$102,6,FALSE),0)</f>
        <v>0</v>
      </c>
      <c r="R75">
        <f>IF(gamma!R75,VLOOKUP(zeta!R$1,main!$A$3:$H$102,5,FALSE)-VLOOKUP(zeta!$A75,main!$A$3:$H$102,6,FALSE),0)</f>
        <v>60</v>
      </c>
      <c r="S75">
        <f>IF(gamma!S75,VLOOKUP(zeta!S$1,main!$A$3:$H$102,5,FALSE)-VLOOKUP(zeta!$A75,main!$A$3:$H$102,6,FALSE),0)</f>
        <v>185</v>
      </c>
      <c r="T75">
        <f>IF(gamma!T75,VLOOKUP(zeta!T$1,main!$A$3:$H$102,5,FALSE)-VLOOKUP(zeta!$A75,main!$A$3:$H$102,6,FALSE),0)</f>
        <v>265</v>
      </c>
      <c r="U75">
        <f>IF(gamma!U75,VLOOKUP(zeta!U$1,main!$A$3:$H$102,5,FALSE)-VLOOKUP(zeta!$A75,main!$A$3:$H$102,6,FALSE),0)</f>
        <v>420</v>
      </c>
      <c r="V75">
        <f>IF(gamma!V75,VLOOKUP(zeta!V$1,main!$A$3:$H$102,5,FALSE)-VLOOKUP(zeta!$A75,main!$A$3:$H$102,6,FALSE),0)</f>
        <v>480</v>
      </c>
      <c r="W75">
        <f>IF(gamma!W75,VLOOKUP(zeta!W$1,main!$A$3:$H$102,5,FALSE)-VLOOKUP(zeta!$A75,main!$A$3:$H$102,6,FALSE),0)</f>
        <v>0</v>
      </c>
      <c r="X75">
        <f>IF(gamma!X75,VLOOKUP(zeta!X$1,main!$A$3:$H$102,5,FALSE)-VLOOKUP(zeta!$A75,main!$A$3:$H$102,6,FALSE),0)</f>
        <v>0</v>
      </c>
      <c r="Y75">
        <f>IF(gamma!Y75,VLOOKUP(zeta!Y$1,main!$A$3:$H$102,5,FALSE)-VLOOKUP(zeta!$A75,main!$A$3:$H$102,6,FALSE),0)</f>
        <v>55</v>
      </c>
      <c r="Z75">
        <f>IF(gamma!Z75,VLOOKUP(zeta!Z$1,main!$A$3:$H$102,5,FALSE)-VLOOKUP(zeta!$A75,main!$A$3:$H$102,6,FALSE),0)</f>
        <v>235</v>
      </c>
      <c r="AA75">
        <f>IF(gamma!AA75,VLOOKUP(zeta!AA$1,main!$A$3:$H$102,5,FALSE)-VLOOKUP(zeta!$A75,main!$A$3:$H$102,6,FALSE),0)</f>
        <v>385</v>
      </c>
      <c r="AB75">
        <f>IF(gamma!AB75,VLOOKUP(zeta!AB$1,main!$A$3:$H$102,5,FALSE)-VLOOKUP(zeta!$A75,main!$A$3:$H$102,6,FALSE),0)</f>
        <v>0</v>
      </c>
      <c r="AC75">
        <f>IF(gamma!AC75,VLOOKUP(zeta!AC$1,main!$A$3:$H$102,5,FALSE)-VLOOKUP(zeta!$A75,main!$A$3:$H$102,6,FALSE),0)</f>
        <v>0</v>
      </c>
      <c r="AD75">
        <f>IF(gamma!AD75,VLOOKUP(zeta!AD$1,main!$A$3:$H$102,5,FALSE)-VLOOKUP(zeta!$A75,main!$A$3:$H$102,6,FALSE),0)</f>
        <v>0</v>
      </c>
      <c r="AE75">
        <f>IF(gamma!AE75,VLOOKUP(zeta!AE$1,main!$A$3:$H$102,5,FALSE)-VLOOKUP(zeta!$A75,main!$A$3:$H$102,6,FALSE),0)</f>
        <v>195</v>
      </c>
      <c r="AF75">
        <f>IF(gamma!AF75,VLOOKUP(zeta!AF$1,main!$A$3:$H$102,5,FALSE)-VLOOKUP(zeta!$A75,main!$A$3:$H$102,6,FALSE),0)</f>
        <v>365</v>
      </c>
      <c r="AG75">
        <f>IF(gamma!AG75,VLOOKUP(zeta!AG$1,main!$A$3:$H$102,5,FALSE)-VLOOKUP(zeta!$A75,main!$A$3:$H$102,6,FALSE),0)</f>
        <v>0</v>
      </c>
      <c r="AH75">
        <f>IF(gamma!AH75,VLOOKUP(zeta!AH$1,main!$A$3:$H$102,5,FALSE)-VLOOKUP(zeta!$A75,main!$A$3:$H$102,6,FALSE),0)</f>
        <v>0</v>
      </c>
      <c r="AI75">
        <f>IF(gamma!AI75,VLOOKUP(zeta!AI$1,main!$A$3:$H$102,5,FALSE)-VLOOKUP(zeta!$A75,main!$A$3:$H$102,6,FALSE),0)</f>
        <v>0</v>
      </c>
      <c r="AJ75">
        <f>IF(gamma!AJ75,VLOOKUP(zeta!AJ$1,main!$A$3:$H$102,5,FALSE)-VLOOKUP(zeta!$A75,main!$A$3:$H$102,6,FALSE),0)</f>
        <v>75</v>
      </c>
      <c r="AK75">
        <f>IF(gamma!AK75,VLOOKUP(zeta!AK$1,main!$A$3:$H$102,5,FALSE)-VLOOKUP(zeta!$A75,main!$A$3:$H$102,6,FALSE),0)</f>
        <v>165</v>
      </c>
      <c r="AL75">
        <f>IF(gamma!AL75,VLOOKUP(zeta!AL$1,main!$A$3:$H$102,5,FALSE)-VLOOKUP(zeta!$A75,main!$A$3:$H$102,6,FALSE),0)</f>
        <v>255</v>
      </c>
      <c r="AM75">
        <f>IF(gamma!AM75,VLOOKUP(zeta!AM$1,main!$A$3:$H$102,5,FALSE)-VLOOKUP(zeta!$A75,main!$A$3:$H$102,6,FALSE),0)</f>
        <v>345</v>
      </c>
      <c r="AN75">
        <f>IF(gamma!AN75,VLOOKUP(zeta!AN$1,main!$A$3:$H$102,5,FALSE)-VLOOKUP(zeta!$A75,main!$A$3:$H$102,6,FALSE),0)</f>
        <v>405</v>
      </c>
      <c r="AO75">
        <f>IF(gamma!AO75,VLOOKUP(zeta!AO$1,main!$A$3:$H$102,5,FALSE)-VLOOKUP(zeta!$A75,main!$A$3:$H$102,6,FALSE),0)</f>
        <v>0</v>
      </c>
      <c r="AP75">
        <f>IF(gamma!AP75,VLOOKUP(zeta!AP$1,main!$A$3:$H$102,5,FALSE)-VLOOKUP(zeta!$A75,main!$A$3:$H$102,6,FALSE),0)</f>
        <v>465</v>
      </c>
      <c r="AQ75">
        <f>IF(gamma!AQ75,VLOOKUP(zeta!AQ$1,main!$A$3:$H$102,5,FALSE)-VLOOKUP(zeta!$A75,main!$A$3:$H$102,6,FALSE),0)</f>
        <v>0</v>
      </c>
      <c r="AR75">
        <f>IF(gamma!AR75,VLOOKUP(zeta!AR$1,main!$A$3:$H$102,5,FALSE)-VLOOKUP(zeta!$A75,main!$A$3:$H$102,6,FALSE),0)</f>
        <v>0</v>
      </c>
      <c r="AS75">
        <f>IF(gamma!AS75,VLOOKUP(zeta!AS$1,main!$A$3:$H$102,5,FALSE)-VLOOKUP(zeta!$A75,main!$A$3:$H$102,6,FALSE),0)</f>
        <v>65</v>
      </c>
      <c r="AT75">
        <f>IF(gamma!AT75,VLOOKUP(zeta!AT$1,main!$A$3:$H$102,5,FALSE)-VLOOKUP(zeta!$A75,main!$A$3:$H$102,6,FALSE),0)</f>
        <v>215</v>
      </c>
      <c r="AU75">
        <f>IF(gamma!AU75,VLOOKUP(zeta!AU$1,main!$A$3:$H$102,5,FALSE)-VLOOKUP(zeta!$A75,main!$A$3:$H$102,6,FALSE),0)</f>
        <v>0</v>
      </c>
      <c r="AV75">
        <f>IF(gamma!AV75,VLOOKUP(zeta!AV$1,main!$A$3:$H$102,5,FALSE)-VLOOKUP(zeta!$A75,main!$A$3:$H$102,6,FALSE),0)</f>
        <v>0</v>
      </c>
      <c r="AW75">
        <f>IF(gamma!AW75,VLOOKUP(zeta!AW$1,main!$A$3:$H$102,5,FALSE)-VLOOKUP(zeta!$A75,main!$A$3:$H$102,6,FALSE),0)</f>
        <v>165</v>
      </c>
      <c r="AX75">
        <f>IF(gamma!AX75,VLOOKUP(zeta!AX$1,main!$A$3:$H$102,5,FALSE)-VLOOKUP(zeta!$A75,main!$A$3:$H$102,6,FALSE),0)</f>
        <v>0</v>
      </c>
      <c r="AY75">
        <f>IF(gamma!AY75,VLOOKUP(zeta!AY$1,main!$A$3:$H$102,5,FALSE)-VLOOKUP(zeta!$A75,main!$A$3:$H$102,6,FALSE),0)</f>
        <v>0</v>
      </c>
      <c r="AZ75">
        <f>IF(gamma!AZ75,VLOOKUP(zeta!AZ$1,main!$A$3:$H$102,5,FALSE)-VLOOKUP(zeta!$A75,main!$A$3:$H$102,6,FALSE),0)</f>
        <v>0</v>
      </c>
      <c r="BA75">
        <f>IF(gamma!BA75,VLOOKUP(zeta!BA$1,main!$A$3:$H$102,5,FALSE)-VLOOKUP(zeta!$A75,main!$A$3:$H$102,6,FALSE),0)</f>
        <v>0</v>
      </c>
      <c r="BB75">
        <f>IF(gamma!BB75,VLOOKUP(zeta!BB$1,main!$A$3:$H$102,5,FALSE)-VLOOKUP(zeta!$A75,main!$A$3:$H$102,6,FALSE),0)</f>
        <v>0</v>
      </c>
      <c r="BC75">
        <f>IF(gamma!BC75,VLOOKUP(zeta!BC$1,main!$A$3:$H$102,5,FALSE)-VLOOKUP(zeta!$A75,main!$A$3:$H$102,6,FALSE),0)</f>
        <v>125</v>
      </c>
      <c r="BD75">
        <f>IF(gamma!BD75,VLOOKUP(zeta!BD$1,main!$A$3:$H$102,5,FALSE)-VLOOKUP(zeta!$A75,main!$A$3:$H$102,6,FALSE),0)</f>
        <v>185</v>
      </c>
      <c r="BE75">
        <f>IF(gamma!BE75,VLOOKUP(zeta!BE$1,main!$A$3:$H$102,5,FALSE)-VLOOKUP(zeta!$A75,main!$A$3:$H$102,6,FALSE),0)</f>
        <v>305</v>
      </c>
      <c r="BF75">
        <f>IF(gamma!BF75,VLOOKUP(zeta!BF$1,main!$A$3:$H$102,5,FALSE)-VLOOKUP(zeta!$A75,main!$A$3:$H$102,6,FALSE),0)</f>
        <v>0</v>
      </c>
      <c r="BG75">
        <f>IF(gamma!BG75,VLOOKUP(zeta!BG$1,main!$A$3:$H$102,5,FALSE)-VLOOKUP(zeta!$A75,main!$A$3:$H$102,6,FALSE),0)</f>
        <v>0</v>
      </c>
      <c r="BH75">
        <f>IF(gamma!BH75,VLOOKUP(zeta!BH$1,main!$A$3:$H$102,5,FALSE)-VLOOKUP(zeta!$A75,main!$A$3:$H$102,6,FALSE),0)</f>
        <v>90</v>
      </c>
      <c r="BI75">
        <f>IF(gamma!BI75,VLOOKUP(zeta!BI$1,main!$A$3:$H$102,5,FALSE)-VLOOKUP(zeta!$A75,main!$A$3:$H$102,6,FALSE),0)</f>
        <v>475</v>
      </c>
      <c r="BJ75">
        <f>IF(gamma!BJ75,VLOOKUP(zeta!BJ$1,main!$A$3:$H$102,5,FALSE)-VLOOKUP(zeta!$A75,main!$A$3:$H$102,6,FALSE),0)</f>
        <v>265</v>
      </c>
      <c r="BK75">
        <f>IF(gamma!BK75,VLOOKUP(zeta!BK$1,main!$A$3:$H$102,5,FALSE)-VLOOKUP(zeta!$A75,main!$A$3:$H$102,6,FALSE),0)</f>
        <v>0</v>
      </c>
      <c r="BL75">
        <f>IF(gamma!BL75,VLOOKUP(zeta!BL$1,main!$A$3:$H$102,5,FALSE)-VLOOKUP(zeta!$A75,main!$A$3:$H$102,6,FALSE),0)</f>
        <v>0</v>
      </c>
      <c r="BM75">
        <f>IF(gamma!BM75,VLOOKUP(zeta!BM$1,main!$A$3:$H$102,5,FALSE)-VLOOKUP(zeta!$A75,main!$A$3:$H$102,6,FALSE),0)</f>
        <v>0</v>
      </c>
      <c r="BN75">
        <f>IF(gamma!BN75,VLOOKUP(zeta!BN$1,main!$A$3:$H$102,5,FALSE)-VLOOKUP(zeta!$A75,main!$A$3:$H$102,6,FALSE),0)</f>
        <v>165</v>
      </c>
      <c r="BO75">
        <f>IF(gamma!BO75,VLOOKUP(zeta!BO$1,main!$A$3:$H$102,5,FALSE)-VLOOKUP(zeta!$A75,main!$A$3:$H$102,6,FALSE),0)</f>
        <v>0</v>
      </c>
      <c r="BP75">
        <f>IF(gamma!BP75,VLOOKUP(zeta!BP$1,main!$A$3:$H$102,5,FALSE)-VLOOKUP(zeta!$A75,main!$A$3:$H$102,6,FALSE),0)</f>
        <v>0</v>
      </c>
      <c r="BQ75">
        <f>IF(gamma!BQ75,VLOOKUP(zeta!BQ$1,main!$A$3:$H$102,5,FALSE)-VLOOKUP(zeta!$A75,main!$A$3:$H$102,6,FALSE),0)</f>
        <v>0</v>
      </c>
      <c r="BR75">
        <f>IF(gamma!BR75,VLOOKUP(zeta!BR$1,main!$A$3:$H$102,5,FALSE)-VLOOKUP(zeta!$A75,main!$A$3:$H$102,6,FALSE),0)</f>
        <v>55</v>
      </c>
      <c r="BS75">
        <f>IF(gamma!BS75,VLOOKUP(zeta!BS$1,main!$A$3:$H$102,5,FALSE)-VLOOKUP(zeta!$A75,main!$A$3:$H$102,6,FALSE),0)</f>
        <v>65</v>
      </c>
      <c r="BT75">
        <f>IF(gamma!BT75,VLOOKUP(zeta!BT$1,main!$A$3:$H$102,5,FALSE)-VLOOKUP(zeta!$A75,main!$A$3:$H$102,6,FALSE),0)</f>
        <v>0</v>
      </c>
      <c r="BU75">
        <f>IF(gamma!BU75,VLOOKUP(zeta!BU$1,main!$A$3:$H$102,5,FALSE)-VLOOKUP(zeta!$A75,main!$A$3:$H$102,6,FALSE),0)</f>
        <v>0</v>
      </c>
      <c r="BV75">
        <f>IF(gamma!BV75,VLOOKUP(zeta!BV$1,main!$A$3:$H$102,5,FALSE)-VLOOKUP(zeta!$A75,main!$A$3:$H$102,6,FALSE),0)</f>
        <v>0</v>
      </c>
      <c r="BW75">
        <f>IF(gamma!BW75,VLOOKUP(zeta!BW$1,main!$A$3:$H$102,5,FALSE)-VLOOKUP(zeta!$A75,main!$A$3:$H$102,6,FALSE),0)</f>
        <v>0</v>
      </c>
      <c r="BX75">
        <f>IF(gamma!BX75,VLOOKUP(zeta!BX$1,main!$A$3:$H$102,5,FALSE)-VLOOKUP(zeta!$A75,main!$A$3:$H$102,6,FALSE),0)</f>
        <v>0</v>
      </c>
      <c r="BY75">
        <f>IF(gamma!BY75,VLOOKUP(zeta!BY$1,main!$A$3:$H$102,5,FALSE)-VLOOKUP(zeta!$A75,main!$A$3:$H$102,6,FALSE),0)</f>
        <v>115</v>
      </c>
      <c r="BZ75">
        <f>IF(gamma!BZ75,VLOOKUP(zeta!BZ$1,main!$A$3:$H$102,5,FALSE)-VLOOKUP(zeta!$A75,main!$A$3:$H$102,6,FALSE),0)</f>
        <v>0</v>
      </c>
      <c r="CA75">
        <f>IF(gamma!CA75,VLOOKUP(zeta!CA$1,main!$A$3:$H$102,5,FALSE)-VLOOKUP(zeta!$A75,main!$A$3:$H$102,6,FALSE),0)</f>
        <v>0</v>
      </c>
      <c r="CB75">
        <f>IF(gamma!CB75,VLOOKUP(zeta!CB$1,main!$A$3:$H$102,5,FALSE)-VLOOKUP(zeta!$A75,main!$A$3:$H$102,6,FALSE),0)</f>
        <v>170</v>
      </c>
      <c r="CC75">
        <f>IF(gamma!CC75,VLOOKUP(zeta!CC$1,main!$A$3:$H$102,5,FALSE)-VLOOKUP(zeta!$A75,main!$A$3:$H$102,6,FALSE),0)</f>
        <v>380</v>
      </c>
      <c r="CD75">
        <f>IF(gamma!CD75,VLOOKUP(zeta!CD$1,main!$A$3:$H$102,5,FALSE)-VLOOKUP(zeta!$A75,main!$A$3:$H$102,6,FALSE),0)</f>
        <v>115</v>
      </c>
      <c r="CE75">
        <f>IF(gamma!CE75,VLOOKUP(zeta!CE$1,main!$A$3:$H$102,5,FALSE)-VLOOKUP(zeta!$A75,main!$A$3:$H$102,6,FALSE),0)</f>
        <v>0</v>
      </c>
      <c r="CF75">
        <f>IF(gamma!CF75,VLOOKUP(zeta!CF$1,main!$A$3:$H$102,5,FALSE)-VLOOKUP(zeta!$A75,main!$A$3:$H$102,6,FALSE),0)</f>
        <v>15</v>
      </c>
      <c r="CG75">
        <f>IF(gamma!CG75,VLOOKUP(zeta!CG$1,main!$A$3:$H$102,5,FALSE)-VLOOKUP(zeta!$A75,main!$A$3:$H$102,6,FALSE),0)</f>
        <v>65</v>
      </c>
      <c r="CH75">
        <f>IF(gamma!CH75,VLOOKUP(zeta!CH$1,main!$A$3:$H$102,5,FALSE)-VLOOKUP(zeta!$A75,main!$A$3:$H$102,6,FALSE),0)</f>
        <v>265</v>
      </c>
      <c r="CI75">
        <f>IF(gamma!CI75,VLOOKUP(zeta!CI$1,main!$A$3:$H$102,5,FALSE)-VLOOKUP(zeta!$A75,main!$A$3:$H$102,6,FALSE),0)</f>
        <v>465</v>
      </c>
      <c r="CJ75">
        <f>IF(gamma!CJ75,VLOOKUP(zeta!CJ$1,main!$A$3:$H$102,5,FALSE)-VLOOKUP(zeta!$A75,main!$A$3:$H$102,6,FALSE),0)</f>
        <v>55</v>
      </c>
      <c r="CK75">
        <f>IF(gamma!CK75,VLOOKUP(zeta!CK$1,main!$A$3:$H$102,5,FALSE)-VLOOKUP(zeta!$A75,main!$A$3:$H$102,6,FALSE),0)</f>
        <v>0</v>
      </c>
      <c r="CL75">
        <f>IF(gamma!CL75,VLOOKUP(zeta!CL$1,main!$A$3:$H$102,5,FALSE)-VLOOKUP(zeta!$A75,main!$A$3:$H$102,6,FALSE),0)</f>
        <v>65</v>
      </c>
      <c r="CM75">
        <f>IF(gamma!CM75,VLOOKUP(zeta!CM$1,main!$A$3:$H$102,5,FALSE)-VLOOKUP(zeta!$A75,main!$A$3:$H$102,6,FALSE),0)</f>
        <v>241</v>
      </c>
      <c r="CN75">
        <f>IF(gamma!CN75,VLOOKUP(zeta!CN$1,main!$A$3:$H$102,5,FALSE)-VLOOKUP(zeta!$A75,main!$A$3:$H$102,6,FALSE),0)</f>
        <v>465</v>
      </c>
      <c r="CO75">
        <f>IF(gamma!CO75,VLOOKUP(zeta!CO$1,main!$A$3:$H$102,5,FALSE)-VLOOKUP(zeta!$A75,main!$A$3:$H$102,6,FALSE),0)</f>
        <v>0</v>
      </c>
      <c r="CP75">
        <f>IF(gamma!CP75,VLOOKUP(zeta!CP$1,main!$A$3:$H$102,5,FALSE)-VLOOKUP(zeta!$A75,main!$A$3:$H$102,6,FALSE),0)</f>
        <v>30</v>
      </c>
      <c r="CQ75">
        <f>IF(gamma!CQ75,VLOOKUP(zeta!CQ$1,main!$A$3:$H$102,5,FALSE)-VLOOKUP(zeta!$A75,main!$A$3:$H$102,6,FALSE),0)</f>
        <v>45</v>
      </c>
      <c r="CR75">
        <f>IF(gamma!CR75,VLOOKUP(zeta!CR$1,main!$A$3:$H$102,5,FALSE)-VLOOKUP(zeta!$A75,main!$A$3:$H$102,6,FALSE),0)</f>
        <v>230</v>
      </c>
      <c r="CS75">
        <f>IF(gamma!CS75,VLOOKUP(zeta!CS$1,main!$A$3:$H$102,5,FALSE)-VLOOKUP(zeta!$A75,main!$A$3:$H$102,6,FALSE),0)</f>
        <v>240</v>
      </c>
      <c r="CT75">
        <f>IF(gamma!CT75,VLOOKUP(zeta!CT$1,main!$A$3:$H$102,5,FALSE)-VLOOKUP(zeta!$A75,main!$A$3:$H$102,6,FALSE),0)</f>
        <v>0</v>
      </c>
      <c r="CU75">
        <f>IF(gamma!CU75,VLOOKUP(zeta!CU$1,main!$A$3:$H$102,5,FALSE)-VLOOKUP(zeta!$A75,main!$A$3:$H$102,6,FALSE),0)</f>
        <v>0</v>
      </c>
      <c r="CV75">
        <f>IF(gamma!CV75,VLOOKUP(zeta!CV$1,main!$A$3:$H$102,5,FALSE)-VLOOKUP(zeta!$A75,main!$A$3:$H$102,6,FALSE),0)</f>
        <v>45</v>
      </c>
      <c r="CW75">
        <f>IF(gamma!CW75,VLOOKUP(zeta!CW$1,main!$A$3:$H$102,5,FALSE)-VLOOKUP(zeta!$A75,main!$A$3:$H$102,6,FALSE),0)</f>
        <v>230</v>
      </c>
      <c r="CX75">
        <f>IF(gamma!CX75,VLOOKUP(zeta!CX$1,main!$A$3:$H$102,5,FALSE)-VLOOKUP(zeta!$A75,main!$A$3:$H$102,6,FALSE),0)</f>
        <v>270</v>
      </c>
    </row>
    <row r="76" spans="1:102" x14ac:dyDescent="0.25">
      <c r="A76">
        <f t="shared" si="2"/>
        <v>74</v>
      </c>
      <c r="B76">
        <v>0</v>
      </c>
      <c r="C76">
        <f>IF(gamma!C76,VLOOKUP(zeta!C$1,main!$A$3:$H$102,5,FALSE)-VLOOKUP(zeta!$A76,main!$A$3:$H$102,6,FALSE),0)</f>
        <v>0</v>
      </c>
      <c r="D76">
        <f>IF(gamma!D76,VLOOKUP(zeta!D$1,main!$A$3:$H$102,5,FALSE)-VLOOKUP(zeta!$A76,main!$A$3:$H$102,6,FALSE),0)</f>
        <v>0</v>
      </c>
      <c r="E76">
        <f>IF(gamma!E76,VLOOKUP(zeta!E$1,main!$A$3:$H$102,5,FALSE)-VLOOKUP(zeta!$A76,main!$A$3:$H$102,6,FALSE),0)</f>
        <v>0</v>
      </c>
      <c r="F76">
        <f>IF(gamma!F76,VLOOKUP(zeta!F$1,main!$A$3:$H$102,5,FALSE)-VLOOKUP(zeta!$A76,main!$A$3:$H$102,6,FALSE),0)</f>
        <v>0</v>
      </c>
      <c r="G76">
        <f>IF(gamma!G76,VLOOKUP(zeta!G$1,main!$A$3:$H$102,5,FALSE)-VLOOKUP(zeta!$A76,main!$A$3:$H$102,6,FALSE),0)</f>
        <v>0</v>
      </c>
      <c r="H76">
        <f>IF(gamma!H76,VLOOKUP(zeta!H$1,main!$A$3:$H$102,5,FALSE)-VLOOKUP(zeta!$A76,main!$A$3:$H$102,6,FALSE),0)</f>
        <v>0</v>
      </c>
      <c r="I76">
        <f>IF(gamma!I76,VLOOKUP(zeta!I$1,main!$A$3:$H$102,5,FALSE)-VLOOKUP(zeta!$A76,main!$A$3:$H$102,6,FALSE),0)</f>
        <v>80</v>
      </c>
      <c r="J76">
        <f>IF(gamma!J76,VLOOKUP(zeta!J$1,main!$A$3:$H$102,5,FALSE)-VLOOKUP(zeta!$A76,main!$A$3:$H$102,6,FALSE),0)</f>
        <v>140</v>
      </c>
      <c r="K76">
        <f>IF(gamma!K76,VLOOKUP(zeta!K$1,main!$A$3:$H$102,5,FALSE)-VLOOKUP(zeta!$A76,main!$A$3:$H$102,6,FALSE),0)</f>
        <v>200</v>
      </c>
      <c r="L76">
        <f>IF(gamma!L76,VLOOKUP(zeta!L$1,main!$A$3:$H$102,5,FALSE)-VLOOKUP(zeta!$A76,main!$A$3:$H$102,6,FALSE),0)</f>
        <v>290</v>
      </c>
      <c r="M76">
        <f>IF(gamma!M76,VLOOKUP(zeta!M$1,main!$A$3:$H$102,5,FALSE)-VLOOKUP(zeta!$A76,main!$A$3:$H$102,6,FALSE),0)</f>
        <v>0</v>
      </c>
      <c r="N76">
        <f>IF(gamma!N76,VLOOKUP(zeta!N$1,main!$A$3:$H$102,5,FALSE)-VLOOKUP(zeta!$A76,main!$A$3:$H$102,6,FALSE),0)</f>
        <v>0</v>
      </c>
      <c r="O76">
        <f>IF(gamma!O76,VLOOKUP(zeta!O$1,main!$A$3:$H$102,5,FALSE)-VLOOKUP(zeta!$A76,main!$A$3:$H$102,6,FALSE),0)</f>
        <v>0</v>
      </c>
      <c r="P76">
        <f>IF(gamma!P76,VLOOKUP(zeta!P$1,main!$A$3:$H$102,5,FALSE)-VLOOKUP(zeta!$A76,main!$A$3:$H$102,6,FALSE),0)</f>
        <v>0</v>
      </c>
      <c r="Q76">
        <f>IF(gamma!Q76,VLOOKUP(zeta!Q$1,main!$A$3:$H$102,5,FALSE)-VLOOKUP(zeta!$A76,main!$A$3:$H$102,6,FALSE),0)</f>
        <v>0</v>
      </c>
      <c r="R76">
        <f>IF(gamma!R76,VLOOKUP(zeta!R$1,main!$A$3:$H$102,5,FALSE)-VLOOKUP(zeta!$A76,main!$A$3:$H$102,6,FALSE),0)</f>
        <v>0</v>
      </c>
      <c r="S76">
        <f>IF(gamma!S76,VLOOKUP(zeta!S$1,main!$A$3:$H$102,5,FALSE)-VLOOKUP(zeta!$A76,main!$A$3:$H$102,6,FALSE),0)</f>
        <v>0</v>
      </c>
      <c r="T76">
        <f>IF(gamma!T76,VLOOKUP(zeta!T$1,main!$A$3:$H$102,5,FALSE)-VLOOKUP(zeta!$A76,main!$A$3:$H$102,6,FALSE),0)</f>
        <v>100</v>
      </c>
      <c r="U76">
        <f>IF(gamma!U76,VLOOKUP(zeta!U$1,main!$A$3:$H$102,5,FALSE)-VLOOKUP(zeta!$A76,main!$A$3:$H$102,6,FALSE),0)</f>
        <v>255</v>
      </c>
      <c r="V76">
        <f>IF(gamma!V76,VLOOKUP(zeta!V$1,main!$A$3:$H$102,5,FALSE)-VLOOKUP(zeta!$A76,main!$A$3:$H$102,6,FALSE),0)</f>
        <v>315</v>
      </c>
      <c r="W76">
        <f>IF(gamma!W76,VLOOKUP(zeta!W$1,main!$A$3:$H$102,5,FALSE)-VLOOKUP(zeta!$A76,main!$A$3:$H$102,6,FALSE),0)</f>
        <v>0</v>
      </c>
      <c r="X76">
        <f>IF(gamma!X76,VLOOKUP(zeta!X$1,main!$A$3:$H$102,5,FALSE)-VLOOKUP(zeta!$A76,main!$A$3:$H$102,6,FALSE),0)</f>
        <v>0</v>
      </c>
      <c r="Y76">
        <f>IF(gamma!Y76,VLOOKUP(zeta!Y$1,main!$A$3:$H$102,5,FALSE)-VLOOKUP(zeta!$A76,main!$A$3:$H$102,6,FALSE),0)</f>
        <v>0</v>
      </c>
      <c r="Z76">
        <f>IF(gamma!Z76,VLOOKUP(zeta!Z$1,main!$A$3:$H$102,5,FALSE)-VLOOKUP(zeta!$A76,main!$A$3:$H$102,6,FALSE),0)</f>
        <v>70</v>
      </c>
      <c r="AA76">
        <f>IF(gamma!AA76,VLOOKUP(zeta!AA$1,main!$A$3:$H$102,5,FALSE)-VLOOKUP(zeta!$A76,main!$A$3:$H$102,6,FALSE),0)</f>
        <v>220</v>
      </c>
      <c r="AB76">
        <f>IF(gamma!AB76,VLOOKUP(zeta!AB$1,main!$A$3:$H$102,5,FALSE)-VLOOKUP(zeta!$A76,main!$A$3:$H$102,6,FALSE),0)</f>
        <v>0</v>
      </c>
      <c r="AC76">
        <f>IF(gamma!AC76,VLOOKUP(zeta!AC$1,main!$A$3:$H$102,5,FALSE)-VLOOKUP(zeta!$A76,main!$A$3:$H$102,6,FALSE),0)</f>
        <v>0</v>
      </c>
      <c r="AD76">
        <f>IF(gamma!AD76,VLOOKUP(zeta!AD$1,main!$A$3:$H$102,5,FALSE)-VLOOKUP(zeta!$A76,main!$A$3:$H$102,6,FALSE),0)</f>
        <v>0</v>
      </c>
      <c r="AE76">
        <f>IF(gamma!AE76,VLOOKUP(zeta!AE$1,main!$A$3:$H$102,5,FALSE)-VLOOKUP(zeta!$A76,main!$A$3:$H$102,6,FALSE),0)</f>
        <v>0</v>
      </c>
      <c r="AF76">
        <f>IF(gamma!AF76,VLOOKUP(zeta!AF$1,main!$A$3:$H$102,5,FALSE)-VLOOKUP(zeta!$A76,main!$A$3:$H$102,6,FALSE),0)</f>
        <v>200</v>
      </c>
      <c r="AG76">
        <f>IF(gamma!AG76,VLOOKUP(zeta!AG$1,main!$A$3:$H$102,5,FALSE)-VLOOKUP(zeta!$A76,main!$A$3:$H$102,6,FALSE),0)</f>
        <v>0</v>
      </c>
      <c r="AH76">
        <f>IF(gamma!AH76,VLOOKUP(zeta!AH$1,main!$A$3:$H$102,5,FALSE)-VLOOKUP(zeta!$A76,main!$A$3:$H$102,6,FALSE),0)</f>
        <v>0</v>
      </c>
      <c r="AI76">
        <f>IF(gamma!AI76,VLOOKUP(zeta!AI$1,main!$A$3:$H$102,5,FALSE)-VLOOKUP(zeta!$A76,main!$A$3:$H$102,6,FALSE),0)</f>
        <v>0</v>
      </c>
      <c r="AJ76">
        <f>IF(gamma!AJ76,VLOOKUP(zeta!AJ$1,main!$A$3:$H$102,5,FALSE)-VLOOKUP(zeta!$A76,main!$A$3:$H$102,6,FALSE),0)</f>
        <v>0</v>
      </c>
      <c r="AK76">
        <f>IF(gamma!AK76,VLOOKUP(zeta!AK$1,main!$A$3:$H$102,5,FALSE)-VLOOKUP(zeta!$A76,main!$A$3:$H$102,6,FALSE),0)</f>
        <v>0</v>
      </c>
      <c r="AL76">
        <f>IF(gamma!AL76,VLOOKUP(zeta!AL$1,main!$A$3:$H$102,5,FALSE)-VLOOKUP(zeta!$A76,main!$A$3:$H$102,6,FALSE),0)</f>
        <v>90</v>
      </c>
      <c r="AM76">
        <f>IF(gamma!AM76,VLOOKUP(zeta!AM$1,main!$A$3:$H$102,5,FALSE)-VLOOKUP(zeta!$A76,main!$A$3:$H$102,6,FALSE),0)</f>
        <v>180</v>
      </c>
      <c r="AN76">
        <f>IF(gamma!AN76,VLOOKUP(zeta!AN$1,main!$A$3:$H$102,5,FALSE)-VLOOKUP(zeta!$A76,main!$A$3:$H$102,6,FALSE),0)</f>
        <v>240</v>
      </c>
      <c r="AO76">
        <f>IF(gamma!AO76,VLOOKUP(zeta!AO$1,main!$A$3:$H$102,5,FALSE)-VLOOKUP(zeta!$A76,main!$A$3:$H$102,6,FALSE),0)</f>
        <v>0</v>
      </c>
      <c r="AP76">
        <f>IF(gamma!AP76,VLOOKUP(zeta!AP$1,main!$A$3:$H$102,5,FALSE)-VLOOKUP(zeta!$A76,main!$A$3:$H$102,6,FALSE),0)</f>
        <v>300</v>
      </c>
      <c r="AQ76">
        <f>IF(gamma!AQ76,VLOOKUP(zeta!AQ$1,main!$A$3:$H$102,5,FALSE)-VLOOKUP(zeta!$A76,main!$A$3:$H$102,6,FALSE),0)</f>
        <v>0</v>
      </c>
      <c r="AR76">
        <f>IF(gamma!AR76,VLOOKUP(zeta!AR$1,main!$A$3:$H$102,5,FALSE)-VLOOKUP(zeta!$A76,main!$A$3:$H$102,6,FALSE),0)</f>
        <v>0</v>
      </c>
      <c r="AS76">
        <f>IF(gamma!AS76,VLOOKUP(zeta!AS$1,main!$A$3:$H$102,5,FALSE)-VLOOKUP(zeta!$A76,main!$A$3:$H$102,6,FALSE),0)</f>
        <v>0</v>
      </c>
      <c r="AT76">
        <f>IF(gamma!AT76,VLOOKUP(zeta!AT$1,main!$A$3:$H$102,5,FALSE)-VLOOKUP(zeta!$A76,main!$A$3:$H$102,6,FALSE),0)</f>
        <v>0</v>
      </c>
      <c r="AU76">
        <f>IF(gamma!AU76,VLOOKUP(zeta!AU$1,main!$A$3:$H$102,5,FALSE)-VLOOKUP(zeta!$A76,main!$A$3:$H$102,6,FALSE),0)</f>
        <v>0</v>
      </c>
      <c r="AV76">
        <f>IF(gamma!AV76,VLOOKUP(zeta!AV$1,main!$A$3:$H$102,5,FALSE)-VLOOKUP(zeta!$A76,main!$A$3:$H$102,6,FALSE),0)</f>
        <v>0</v>
      </c>
      <c r="AW76">
        <f>IF(gamma!AW76,VLOOKUP(zeta!AW$1,main!$A$3:$H$102,5,FALSE)-VLOOKUP(zeta!$A76,main!$A$3:$H$102,6,FALSE),0)</f>
        <v>0</v>
      </c>
      <c r="AX76">
        <f>IF(gamma!AX76,VLOOKUP(zeta!AX$1,main!$A$3:$H$102,5,FALSE)-VLOOKUP(zeta!$A76,main!$A$3:$H$102,6,FALSE),0)</f>
        <v>0</v>
      </c>
      <c r="AY76">
        <f>IF(gamma!AY76,VLOOKUP(zeta!AY$1,main!$A$3:$H$102,5,FALSE)-VLOOKUP(zeta!$A76,main!$A$3:$H$102,6,FALSE),0)</f>
        <v>0</v>
      </c>
      <c r="AZ76">
        <f>IF(gamma!AZ76,VLOOKUP(zeta!AZ$1,main!$A$3:$H$102,5,FALSE)-VLOOKUP(zeta!$A76,main!$A$3:$H$102,6,FALSE),0)</f>
        <v>0</v>
      </c>
      <c r="BA76">
        <f>IF(gamma!BA76,VLOOKUP(zeta!BA$1,main!$A$3:$H$102,5,FALSE)-VLOOKUP(zeta!$A76,main!$A$3:$H$102,6,FALSE),0)</f>
        <v>0</v>
      </c>
      <c r="BB76">
        <f>IF(gamma!BB76,VLOOKUP(zeta!BB$1,main!$A$3:$H$102,5,FALSE)-VLOOKUP(zeta!$A76,main!$A$3:$H$102,6,FALSE),0)</f>
        <v>0</v>
      </c>
      <c r="BC76">
        <f>IF(gamma!BC76,VLOOKUP(zeta!BC$1,main!$A$3:$H$102,5,FALSE)-VLOOKUP(zeta!$A76,main!$A$3:$H$102,6,FALSE),0)</f>
        <v>0</v>
      </c>
      <c r="BD76">
        <f>IF(gamma!BD76,VLOOKUP(zeta!BD$1,main!$A$3:$H$102,5,FALSE)-VLOOKUP(zeta!$A76,main!$A$3:$H$102,6,FALSE),0)</f>
        <v>0</v>
      </c>
      <c r="BE76">
        <f>IF(gamma!BE76,VLOOKUP(zeta!BE$1,main!$A$3:$H$102,5,FALSE)-VLOOKUP(zeta!$A76,main!$A$3:$H$102,6,FALSE),0)</f>
        <v>140</v>
      </c>
      <c r="BF76">
        <f>IF(gamma!BF76,VLOOKUP(zeta!BF$1,main!$A$3:$H$102,5,FALSE)-VLOOKUP(zeta!$A76,main!$A$3:$H$102,6,FALSE),0)</f>
        <v>0</v>
      </c>
      <c r="BG76">
        <f>IF(gamma!BG76,VLOOKUP(zeta!BG$1,main!$A$3:$H$102,5,FALSE)-VLOOKUP(zeta!$A76,main!$A$3:$H$102,6,FALSE),0)</f>
        <v>0</v>
      </c>
      <c r="BH76">
        <f>IF(gamma!BH76,VLOOKUP(zeta!BH$1,main!$A$3:$H$102,5,FALSE)-VLOOKUP(zeta!$A76,main!$A$3:$H$102,6,FALSE),0)</f>
        <v>0</v>
      </c>
      <c r="BI76">
        <f>IF(gamma!BI76,VLOOKUP(zeta!BI$1,main!$A$3:$H$102,5,FALSE)-VLOOKUP(zeta!$A76,main!$A$3:$H$102,6,FALSE),0)</f>
        <v>310</v>
      </c>
      <c r="BJ76">
        <f>IF(gamma!BJ76,VLOOKUP(zeta!BJ$1,main!$A$3:$H$102,5,FALSE)-VLOOKUP(zeta!$A76,main!$A$3:$H$102,6,FALSE),0)</f>
        <v>100</v>
      </c>
      <c r="BK76">
        <f>IF(gamma!BK76,VLOOKUP(zeta!BK$1,main!$A$3:$H$102,5,FALSE)-VLOOKUP(zeta!$A76,main!$A$3:$H$102,6,FALSE),0)</f>
        <v>0</v>
      </c>
      <c r="BL76">
        <f>IF(gamma!BL76,VLOOKUP(zeta!BL$1,main!$A$3:$H$102,5,FALSE)-VLOOKUP(zeta!$A76,main!$A$3:$H$102,6,FALSE),0)</f>
        <v>0</v>
      </c>
      <c r="BM76">
        <f>IF(gamma!BM76,VLOOKUP(zeta!BM$1,main!$A$3:$H$102,5,FALSE)-VLOOKUP(zeta!$A76,main!$A$3:$H$102,6,FALSE),0)</f>
        <v>0</v>
      </c>
      <c r="BN76">
        <f>IF(gamma!BN76,VLOOKUP(zeta!BN$1,main!$A$3:$H$102,5,FALSE)-VLOOKUP(zeta!$A76,main!$A$3:$H$102,6,FALSE),0)</f>
        <v>0</v>
      </c>
      <c r="BO76">
        <f>IF(gamma!BO76,VLOOKUP(zeta!BO$1,main!$A$3:$H$102,5,FALSE)-VLOOKUP(zeta!$A76,main!$A$3:$H$102,6,FALSE),0)</f>
        <v>0</v>
      </c>
      <c r="BP76">
        <f>IF(gamma!BP76,VLOOKUP(zeta!BP$1,main!$A$3:$H$102,5,FALSE)-VLOOKUP(zeta!$A76,main!$A$3:$H$102,6,FALSE),0)</f>
        <v>0</v>
      </c>
      <c r="BQ76">
        <f>IF(gamma!BQ76,VLOOKUP(zeta!BQ$1,main!$A$3:$H$102,5,FALSE)-VLOOKUP(zeta!$A76,main!$A$3:$H$102,6,FALSE),0)</f>
        <v>0</v>
      </c>
      <c r="BR76">
        <f>IF(gamma!BR76,VLOOKUP(zeta!BR$1,main!$A$3:$H$102,5,FALSE)-VLOOKUP(zeta!$A76,main!$A$3:$H$102,6,FALSE),0)</f>
        <v>0</v>
      </c>
      <c r="BS76">
        <f>IF(gamma!BS76,VLOOKUP(zeta!BS$1,main!$A$3:$H$102,5,FALSE)-VLOOKUP(zeta!$A76,main!$A$3:$H$102,6,FALSE),0)</f>
        <v>0</v>
      </c>
      <c r="BT76">
        <f>IF(gamma!BT76,VLOOKUP(zeta!BT$1,main!$A$3:$H$102,5,FALSE)-VLOOKUP(zeta!$A76,main!$A$3:$H$102,6,FALSE),0)</f>
        <v>0</v>
      </c>
      <c r="BU76">
        <f>IF(gamma!BU76,VLOOKUP(zeta!BU$1,main!$A$3:$H$102,5,FALSE)-VLOOKUP(zeta!$A76,main!$A$3:$H$102,6,FALSE),0)</f>
        <v>0</v>
      </c>
      <c r="BV76">
        <f>IF(gamma!BV76,VLOOKUP(zeta!BV$1,main!$A$3:$H$102,5,FALSE)-VLOOKUP(zeta!$A76,main!$A$3:$H$102,6,FALSE),0)</f>
        <v>0</v>
      </c>
      <c r="BW76">
        <f>IF(gamma!BW76,VLOOKUP(zeta!BW$1,main!$A$3:$H$102,5,FALSE)-VLOOKUP(zeta!$A76,main!$A$3:$H$102,6,FALSE),0)</f>
        <v>0</v>
      </c>
      <c r="BX76">
        <f>IF(gamma!BX76,VLOOKUP(zeta!BX$1,main!$A$3:$H$102,5,FALSE)-VLOOKUP(zeta!$A76,main!$A$3:$H$102,6,FALSE),0)</f>
        <v>0</v>
      </c>
      <c r="BY76">
        <f>IF(gamma!BY76,VLOOKUP(zeta!BY$1,main!$A$3:$H$102,5,FALSE)-VLOOKUP(zeta!$A76,main!$A$3:$H$102,6,FALSE),0)</f>
        <v>0</v>
      </c>
      <c r="BZ76">
        <f>IF(gamma!BZ76,VLOOKUP(zeta!BZ$1,main!$A$3:$H$102,5,FALSE)-VLOOKUP(zeta!$A76,main!$A$3:$H$102,6,FALSE),0)</f>
        <v>0</v>
      </c>
      <c r="CA76">
        <f>IF(gamma!CA76,VLOOKUP(zeta!CA$1,main!$A$3:$H$102,5,FALSE)-VLOOKUP(zeta!$A76,main!$A$3:$H$102,6,FALSE),0)</f>
        <v>0</v>
      </c>
      <c r="CB76">
        <f>IF(gamma!CB76,VLOOKUP(zeta!CB$1,main!$A$3:$H$102,5,FALSE)-VLOOKUP(zeta!$A76,main!$A$3:$H$102,6,FALSE),0)</f>
        <v>0</v>
      </c>
      <c r="CC76">
        <f>IF(gamma!CC76,VLOOKUP(zeta!CC$1,main!$A$3:$H$102,5,FALSE)-VLOOKUP(zeta!$A76,main!$A$3:$H$102,6,FALSE),0)</f>
        <v>215</v>
      </c>
      <c r="CD76">
        <f>IF(gamma!CD76,VLOOKUP(zeta!CD$1,main!$A$3:$H$102,5,FALSE)-VLOOKUP(zeta!$A76,main!$A$3:$H$102,6,FALSE),0)</f>
        <v>0</v>
      </c>
      <c r="CE76">
        <f>IF(gamma!CE76,VLOOKUP(zeta!CE$1,main!$A$3:$H$102,5,FALSE)-VLOOKUP(zeta!$A76,main!$A$3:$H$102,6,FALSE),0)</f>
        <v>0</v>
      </c>
      <c r="CF76">
        <f>IF(gamma!CF76,VLOOKUP(zeta!CF$1,main!$A$3:$H$102,5,FALSE)-VLOOKUP(zeta!$A76,main!$A$3:$H$102,6,FALSE),0)</f>
        <v>0</v>
      </c>
      <c r="CG76">
        <f>IF(gamma!CG76,VLOOKUP(zeta!CG$1,main!$A$3:$H$102,5,FALSE)-VLOOKUP(zeta!$A76,main!$A$3:$H$102,6,FALSE),0)</f>
        <v>0</v>
      </c>
      <c r="CH76">
        <f>IF(gamma!CH76,VLOOKUP(zeta!CH$1,main!$A$3:$H$102,5,FALSE)-VLOOKUP(zeta!$A76,main!$A$3:$H$102,6,FALSE),0)</f>
        <v>100</v>
      </c>
      <c r="CI76">
        <f>IF(gamma!CI76,VLOOKUP(zeta!CI$1,main!$A$3:$H$102,5,FALSE)-VLOOKUP(zeta!$A76,main!$A$3:$H$102,6,FALSE),0)</f>
        <v>300</v>
      </c>
      <c r="CJ76">
        <f>IF(gamma!CJ76,VLOOKUP(zeta!CJ$1,main!$A$3:$H$102,5,FALSE)-VLOOKUP(zeta!$A76,main!$A$3:$H$102,6,FALSE),0)</f>
        <v>0</v>
      </c>
      <c r="CK76">
        <f>IF(gamma!CK76,VLOOKUP(zeta!CK$1,main!$A$3:$H$102,5,FALSE)-VLOOKUP(zeta!$A76,main!$A$3:$H$102,6,FALSE),0)</f>
        <v>0</v>
      </c>
      <c r="CL76">
        <f>IF(gamma!CL76,VLOOKUP(zeta!CL$1,main!$A$3:$H$102,5,FALSE)-VLOOKUP(zeta!$A76,main!$A$3:$H$102,6,FALSE),0)</f>
        <v>0</v>
      </c>
      <c r="CM76">
        <f>IF(gamma!CM76,VLOOKUP(zeta!CM$1,main!$A$3:$H$102,5,FALSE)-VLOOKUP(zeta!$A76,main!$A$3:$H$102,6,FALSE),0)</f>
        <v>76</v>
      </c>
      <c r="CN76">
        <f>IF(gamma!CN76,VLOOKUP(zeta!CN$1,main!$A$3:$H$102,5,FALSE)-VLOOKUP(zeta!$A76,main!$A$3:$H$102,6,FALSE),0)</f>
        <v>300</v>
      </c>
      <c r="CO76">
        <f>IF(gamma!CO76,VLOOKUP(zeta!CO$1,main!$A$3:$H$102,5,FALSE)-VLOOKUP(zeta!$A76,main!$A$3:$H$102,6,FALSE),0)</f>
        <v>0</v>
      </c>
      <c r="CP76">
        <f>IF(gamma!CP76,VLOOKUP(zeta!CP$1,main!$A$3:$H$102,5,FALSE)-VLOOKUP(zeta!$A76,main!$A$3:$H$102,6,FALSE),0)</f>
        <v>0</v>
      </c>
      <c r="CQ76">
        <f>IF(gamma!CQ76,VLOOKUP(zeta!CQ$1,main!$A$3:$H$102,5,FALSE)-VLOOKUP(zeta!$A76,main!$A$3:$H$102,6,FALSE),0)</f>
        <v>0</v>
      </c>
      <c r="CR76">
        <f>IF(gamma!CR76,VLOOKUP(zeta!CR$1,main!$A$3:$H$102,5,FALSE)-VLOOKUP(zeta!$A76,main!$A$3:$H$102,6,FALSE),0)</f>
        <v>65</v>
      </c>
      <c r="CS76">
        <f>IF(gamma!CS76,VLOOKUP(zeta!CS$1,main!$A$3:$H$102,5,FALSE)-VLOOKUP(zeta!$A76,main!$A$3:$H$102,6,FALSE),0)</f>
        <v>75</v>
      </c>
      <c r="CT76">
        <f>IF(gamma!CT76,VLOOKUP(zeta!CT$1,main!$A$3:$H$102,5,FALSE)-VLOOKUP(zeta!$A76,main!$A$3:$H$102,6,FALSE),0)</f>
        <v>0</v>
      </c>
      <c r="CU76">
        <f>IF(gamma!CU76,VLOOKUP(zeta!CU$1,main!$A$3:$H$102,5,FALSE)-VLOOKUP(zeta!$A76,main!$A$3:$H$102,6,FALSE),0)</f>
        <v>0</v>
      </c>
      <c r="CV76">
        <f>IF(gamma!CV76,VLOOKUP(zeta!CV$1,main!$A$3:$H$102,5,FALSE)-VLOOKUP(zeta!$A76,main!$A$3:$H$102,6,FALSE),0)</f>
        <v>0</v>
      </c>
      <c r="CW76">
        <f>IF(gamma!CW76,VLOOKUP(zeta!CW$1,main!$A$3:$H$102,5,FALSE)-VLOOKUP(zeta!$A76,main!$A$3:$H$102,6,FALSE),0)</f>
        <v>65</v>
      </c>
      <c r="CX76">
        <f>IF(gamma!CX76,VLOOKUP(zeta!CX$1,main!$A$3:$H$102,5,FALSE)-VLOOKUP(zeta!$A76,main!$A$3:$H$102,6,FALSE),0)</f>
        <v>105</v>
      </c>
    </row>
    <row r="77" spans="1:102" x14ac:dyDescent="0.25">
      <c r="A77">
        <f t="shared" si="2"/>
        <v>75</v>
      </c>
      <c r="B77">
        <v>0</v>
      </c>
      <c r="C77">
        <f>IF(gamma!C77,VLOOKUP(zeta!C$1,main!$A$3:$H$102,5,FALSE)-VLOOKUP(zeta!$A77,main!$A$3:$H$102,6,FALSE),0)</f>
        <v>0</v>
      </c>
      <c r="D77">
        <f>IF(gamma!D77,VLOOKUP(zeta!D$1,main!$A$3:$H$102,5,FALSE)-VLOOKUP(zeta!$A77,main!$A$3:$H$102,6,FALSE),0)</f>
        <v>0</v>
      </c>
      <c r="E77">
        <f>IF(gamma!E77,VLOOKUP(zeta!E$1,main!$A$3:$H$102,5,FALSE)-VLOOKUP(zeta!$A77,main!$A$3:$H$102,6,FALSE),0)</f>
        <v>0</v>
      </c>
      <c r="F77">
        <f>IF(gamma!F77,VLOOKUP(zeta!F$1,main!$A$3:$H$102,5,FALSE)-VLOOKUP(zeta!$A77,main!$A$3:$H$102,6,FALSE),0)</f>
        <v>0</v>
      </c>
      <c r="G77">
        <f>IF(gamma!G77,VLOOKUP(zeta!G$1,main!$A$3:$H$102,5,FALSE)-VLOOKUP(zeta!$A77,main!$A$3:$H$102,6,FALSE),0)</f>
        <v>0</v>
      </c>
      <c r="H77">
        <f>IF(gamma!H77,VLOOKUP(zeta!H$1,main!$A$3:$H$102,5,FALSE)-VLOOKUP(zeta!$A77,main!$A$3:$H$102,6,FALSE),0)</f>
        <v>0</v>
      </c>
      <c r="I77">
        <f>IF(gamma!I77,VLOOKUP(zeta!I$1,main!$A$3:$H$102,5,FALSE)-VLOOKUP(zeta!$A77,main!$A$3:$H$102,6,FALSE),0)</f>
        <v>0</v>
      </c>
      <c r="J77">
        <f>IF(gamma!J77,VLOOKUP(zeta!J$1,main!$A$3:$H$102,5,FALSE)-VLOOKUP(zeta!$A77,main!$A$3:$H$102,6,FALSE),0)</f>
        <v>70</v>
      </c>
      <c r="K77">
        <f>IF(gamma!K77,VLOOKUP(zeta!K$1,main!$A$3:$H$102,5,FALSE)-VLOOKUP(zeta!$A77,main!$A$3:$H$102,6,FALSE),0)</f>
        <v>130</v>
      </c>
      <c r="L77">
        <f>IF(gamma!L77,VLOOKUP(zeta!L$1,main!$A$3:$H$102,5,FALSE)-VLOOKUP(zeta!$A77,main!$A$3:$H$102,6,FALSE),0)</f>
        <v>220</v>
      </c>
      <c r="M77">
        <f>IF(gamma!M77,VLOOKUP(zeta!M$1,main!$A$3:$H$102,5,FALSE)-VLOOKUP(zeta!$A77,main!$A$3:$H$102,6,FALSE),0)</f>
        <v>0</v>
      </c>
      <c r="N77">
        <f>IF(gamma!N77,VLOOKUP(zeta!N$1,main!$A$3:$H$102,5,FALSE)-VLOOKUP(zeta!$A77,main!$A$3:$H$102,6,FALSE),0)</f>
        <v>0</v>
      </c>
      <c r="O77">
        <f>IF(gamma!O77,VLOOKUP(zeta!O$1,main!$A$3:$H$102,5,FALSE)-VLOOKUP(zeta!$A77,main!$A$3:$H$102,6,FALSE),0)</f>
        <v>0</v>
      </c>
      <c r="P77">
        <f>IF(gamma!P77,VLOOKUP(zeta!P$1,main!$A$3:$H$102,5,FALSE)-VLOOKUP(zeta!$A77,main!$A$3:$H$102,6,FALSE),0)</f>
        <v>0</v>
      </c>
      <c r="Q77">
        <f>IF(gamma!Q77,VLOOKUP(zeta!Q$1,main!$A$3:$H$102,5,FALSE)-VLOOKUP(zeta!$A77,main!$A$3:$H$102,6,FALSE),0)</f>
        <v>0</v>
      </c>
      <c r="R77">
        <f>IF(gamma!R77,VLOOKUP(zeta!R$1,main!$A$3:$H$102,5,FALSE)-VLOOKUP(zeta!$A77,main!$A$3:$H$102,6,FALSE),0)</f>
        <v>0</v>
      </c>
      <c r="S77">
        <f>IF(gamma!S77,VLOOKUP(zeta!S$1,main!$A$3:$H$102,5,FALSE)-VLOOKUP(zeta!$A77,main!$A$3:$H$102,6,FALSE),0)</f>
        <v>0</v>
      </c>
      <c r="T77">
        <f>IF(gamma!T77,VLOOKUP(zeta!T$1,main!$A$3:$H$102,5,FALSE)-VLOOKUP(zeta!$A77,main!$A$3:$H$102,6,FALSE),0)</f>
        <v>0</v>
      </c>
      <c r="U77">
        <f>IF(gamma!U77,VLOOKUP(zeta!U$1,main!$A$3:$H$102,5,FALSE)-VLOOKUP(zeta!$A77,main!$A$3:$H$102,6,FALSE),0)</f>
        <v>185</v>
      </c>
      <c r="V77">
        <f>IF(gamma!V77,VLOOKUP(zeta!V$1,main!$A$3:$H$102,5,FALSE)-VLOOKUP(zeta!$A77,main!$A$3:$H$102,6,FALSE),0)</f>
        <v>245</v>
      </c>
      <c r="W77">
        <f>IF(gamma!W77,VLOOKUP(zeta!W$1,main!$A$3:$H$102,5,FALSE)-VLOOKUP(zeta!$A77,main!$A$3:$H$102,6,FALSE),0)</f>
        <v>0</v>
      </c>
      <c r="X77">
        <f>IF(gamma!X77,VLOOKUP(zeta!X$1,main!$A$3:$H$102,5,FALSE)-VLOOKUP(zeta!$A77,main!$A$3:$H$102,6,FALSE),0)</f>
        <v>0</v>
      </c>
      <c r="Y77">
        <f>IF(gamma!Y77,VLOOKUP(zeta!Y$1,main!$A$3:$H$102,5,FALSE)-VLOOKUP(zeta!$A77,main!$A$3:$H$102,6,FALSE),0)</f>
        <v>0</v>
      </c>
      <c r="Z77">
        <f>IF(gamma!Z77,VLOOKUP(zeta!Z$1,main!$A$3:$H$102,5,FALSE)-VLOOKUP(zeta!$A77,main!$A$3:$H$102,6,FALSE),0)</f>
        <v>0</v>
      </c>
      <c r="AA77">
        <f>IF(gamma!AA77,VLOOKUP(zeta!AA$1,main!$A$3:$H$102,5,FALSE)-VLOOKUP(zeta!$A77,main!$A$3:$H$102,6,FALSE),0)</f>
        <v>150</v>
      </c>
      <c r="AB77">
        <f>IF(gamma!AB77,VLOOKUP(zeta!AB$1,main!$A$3:$H$102,5,FALSE)-VLOOKUP(zeta!$A77,main!$A$3:$H$102,6,FALSE),0)</f>
        <v>0</v>
      </c>
      <c r="AC77">
        <f>IF(gamma!AC77,VLOOKUP(zeta!AC$1,main!$A$3:$H$102,5,FALSE)-VLOOKUP(zeta!$A77,main!$A$3:$H$102,6,FALSE),0)</f>
        <v>0</v>
      </c>
      <c r="AD77">
        <f>IF(gamma!AD77,VLOOKUP(zeta!AD$1,main!$A$3:$H$102,5,FALSE)-VLOOKUP(zeta!$A77,main!$A$3:$H$102,6,FALSE),0)</f>
        <v>0</v>
      </c>
      <c r="AE77">
        <f>IF(gamma!AE77,VLOOKUP(zeta!AE$1,main!$A$3:$H$102,5,FALSE)-VLOOKUP(zeta!$A77,main!$A$3:$H$102,6,FALSE),0)</f>
        <v>0</v>
      </c>
      <c r="AF77">
        <f>IF(gamma!AF77,VLOOKUP(zeta!AF$1,main!$A$3:$H$102,5,FALSE)-VLOOKUP(zeta!$A77,main!$A$3:$H$102,6,FALSE),0)</f>
        <v>130</v>
      </c>
      <c r="AG77">
        <f>IF(gamma!AG77,VLOOKUP(zeta!AG$1,main!$A$3:$H$102,5,FALSE)-VLOOKUP(zeta!$A77,main!$A$3:$H$102,6,FALSE),0)</f>
        <v>0</v>
      </c>
      <c r="AH77">
        <f>IF(gamma!AH77,VLOOKUP(zeta!AH$1,main!$A$3:$H$102,5,FALSE)-VLOOKUP(zeta!$A77,main!$A$3:$H$102,6,FALSE),0)</f>
        <v>0</v>
      </c>
      <c r="AI77">
        <f>IF(gamma!AI77,VLOOKUP(zeta!AI$1,main!$A$3:$H$102,5,FALSE)-VLOOKUP(zeta!$A77,main!$A$3:$H$102,6,FALSE),0)</f>
        <v>0</v>
      </c>
      <c r="AJ77">
        <f>IF(gamma!AJ77,VLOOKUP(zeta!AJ$1,main!$A$3:$H$102,5,FALSE)-VLOOKUP(zeta!$A77,main!$A$3:$H$102,6,FALSE),0)</f>
        <v>0</v>
      </c>
      <c r="AK77">
        <f>IF(gamma!AK77,VLOOKUP(zeta!AK$1,main!$A$3:$H$102,5,FALSE)-VLOOKUP(zeta!$A77,main!$A$3:$H$102,6,FALSE),0)</f>
        <v>0</v>
      </c>
      <c r="AL77">
        <f>IF(gamma!AL77,VLOOKUP(zeta!AL$1,main!$A$3:$H$102,5,FALSE)-VLOOKUP(zeta!$A77,main!$A$3:$H$102,6,FALSE),0)</f>
        <v>0</v>
      </c>
      <c r="AM77">
        <f>IF(gamma!AM77,VLOOKUP(zeta!AM$1,main!$A$3:$H$102,5,FALSE)-VLOOKUP(zeta!$A77,main!$A$3:$H$102,6,FALSE),0)</f>
        <v>110</v>
      </c>
      <c r="AN77">
        <f>IF(gamma!AN77,VLOOKUP(zeta!AN$1,main!$A$3:$H$102,5,FALSE)-VLOOKUP(zeta!$A77,main!$A$3:$H$102,6,FALSE),0)</f>
        <v>170</v>
      </c>
      <c r="AO77">
        <f>IF(gamma!AO77,VLOOKUP(zeta!AO$1,main!$A$3:$H$102,5,FALSE)-VLOOKUP(zeta!$A77,main!$A$3:$H$102,6,FALSE),0)</f>
        <v>0</v>
      </c>
      <c r="AP77">
        <f>IF(gamma!AP77,VLOOKUP(zeta!AP$1,main!$A$3:$H$102,5,FALSE)-VLOOKUP(zeta!$A77,main!$A$3:$H$102,6,FALSE),0)</f>
        <v>230</v>
      </c>
      <c r="AQ77">
        <f>IF(gamma!AQ77,VLOOKUP(zeta!AQ$1,main!$A$3:$H$102,5,FALSE)-VLOOKUP(zeta!$A77,main!$A$3:$H$102,6,FALSE),0)</f>
        <v>0</v>
      </c>
      <c r="AR77">
        <f>IF(gamma!AR77,VLOOKUP(zeta!AR$1,main!$A$3:$H$102,5,FALSE)-VLOOKUP(zeta!$A77,main!$A$3:$H$102,6,FALSE),0)</f>
        <v>0</v>
      </c>
      <c r="AS77">
        <f>IF(gamma!AS77,VLOOKUP(zeta!AS$1,main!$A$3:$H$102,5,FALSE)-VLOOKUP(zeta!$A77,main!$A$3:$H$102,6,FALSE),0)</f>
        <v>0</v>
      </c>
      <c r="AT77">
        <f>IF(gamma!AT77,VLOOKUP(zeta!AT$1,main!$A$3:$H$102,5,FALSE)-VLOOKUP(zeta!$A77,main!$A$3:$H$102,6,FALSE),0)</f>
        <v>0</v>
      </c>
      <c r="AU77">
        <f>IF(gamma!AU77,VLOOKUP(zeta!AU$1,main!$A$3:$H$102,5,FALSE)-VLOOKUP(zeta!$A77,main!$A$3:$H$102,6,FALSE),0)</f>
        <v>0</v>
      </c>
      <c r="AV77">
        <f>IF(gamma!AV77,VLOOKUP(zeta!AV$1,main!$A$3:$H$102,5,FALSE)-VLOOKUP(zeta!$A77,main!$A$3:$H$102,6,FALSE),0)</f>
        <v>0</v>
      </c>
      <c r="AW77">
        <f>IF(gamma!AW77,VLOOKUP(zeta!AW$1,main!$A$3:$H$102,5,FALSE)-VLOOKUP(zeta!$A77,main!$A$3:$H$102,6,FALSE),0)</f>
        <v>0</v>
      </c>
      <c r="AX77">
        <f>IF(gamma!AX77,VLOOKUP(zeta!AX$1,main!$A$3:$H$102,5,FALSE)-VLOOKUP(zeta!$A77,main!$A$3:$H$102,6,FALSE),0)</f>
        <v>0</v>
      </c>
      <c r="AY77">
        <f>IF(gamma!AY77,VLOOKUP(zeta!AY$1,main!$A$3:$H$102,5,FALSE)-VLOOKUP(zeta!$A77,main!$A$3:$H$102,6,FALSE),0)</f>
        <v>0</v>
      </c>
      <c r="AZ77">
        <f>IF(gamma!AZ77,VLOOKUP(zeta!AZ$1,main!$A$3:$H$102,5,FALSE)-VLOOKUP(zeta!$A77,main!$A$3:$H$102,6,FALSE),0)</f>
        <v>0</v>
      </c>
      <c r="BA77">
        <f>IF(gamma!BA77,VLOOKUP(zeta!BA$1,main!$A$3:$H$102,5,FALSE)-VLOOKUP(zeta!$A77,main!$A$3:$H$102,6,FALSE),0)</f>
        <v>0</v>
      </c>
      <c r="BB77">
        <f>IF(gamma!BB77,VLOOKUP(zeta!BB$1,main!$A$3:$H$102,5,FALSE)-VLOOKUP(zeta!$A77,main!$A$3:$H$102,6,FALSE),0)</f>
        <v>0</v>
      </c>
      <c r="BC77">
        <f>IF(gamma!BC77,VLOOKUP(zeta!BC$1,main!$A$3:$H$102,5,FALSE)-VLOOKUP(zeta!$A77,main!$A$3:$H$102,6,FALSE),0)</f>
        <v>0</v>
      </c>
      <c r="BD77">
        <f>IF(gamma!BD77,VLOOKUP(zeta!BD$1,main!$A$3:$H$102,5,FALSE)-VLOOKUP(zeta!$A77,main!$A$3:$H$102,6,FALSE),0)</f>
        <v>0</v>
      </c>
      <c r="BE77">
        <f>IF(gamma!BE77,VLOOKUP(zeta!BE$1,main!$A$3:$H$102,5,FALSE)-VLOOKUP(zeta!$A77,main!$A$3:$H$102,6,FALSE),0)</f>
        <v>70</v>
      </c>
      <c r="BF77">
        <f>IF(gamma!BF77,VLOOKUP(zeta!BF$1,main!$A$3:$H$102,5,FALSE)-VLOOKUP(zeta!$A77,main!$A$3:$H$102,6,FALSE),0)</f>
        <v>0</v>
      </c>
      <c r="BG77">
        <f>IF(gamma!BG77,VLOOKUP(zeta!BG$1,main!$A$3:$H$102,5,FALSE)-VLOOKUP(zeta!$A77,main!$A$3:$H$102,6,FALSE),0)</f>
        <v>0</v>
      </c>
      <c r="BH77">
        <f>IF(gamma!BH77,VLOOKUP(zeta!BH$1,main!$A$3:$H$102,5,FALSE)-VLOOKUP(zeta!$A77,main!$A$3:$H$102,6,FALSE),0)</f>
        <v>0</v>
      </c>
      <c r="BI77">
        <f>IF(gamma!BI77,VLOOKUP(zeta!BI$1,main!$A$3:$H$102,5,FALSE)-VLOOKUP(zeta!$A77,main!$A$3:$H$102,6,FALSE),0)</f>
        <v>240</v>
      </c>
      <c r="BJ77">
        <f>IF(gamma!BJ77,VLOOKUP(zeta!BJ$1,main!$A$3:$H$102,5,FALSE)-VLOOKUP(zeta!$A77,main!$A$3:$H$102,6,FALSE),0)</f>
        <v>0</v>
      </c>
      <c r="BK77">
        <f>IF(gamma!BK77,VLOOKUP(zeta!BK$1,main!$A$3:$H$102,5,FALSE)-VLOOKUP(zeta!$A77,main!$A$3:$H$102,6,FALSE),0)</f>
        <v>0</v>
      </c>
      <c r="BL77">
        <f>IF(gamma!BL77,VLOOKUP(zeta!BL$1,main!$A$3:$H$102,5,FALSE)-VLOOKUP(zeta!$A77,main!$A$3:$H$102,6,FALSE),0)</f>
        <v>0</v>
      </c>
      <c r="BM77">
        <f>IF(gamma!BM77,VLOOKUP(zeta!BM$1,main!$A$3:$H$102,5,FALSE)-VLOOKUP(zeta!$A77,main!$A$3:$H$102,6,FALSE),0)</f>
        <v>0</v>
      </c>
      <c r="BN77">
        <f>IF(gamma!BN77,VLOOKUP(zeta!BN$1,main!$A$3:$H$102,5,FALSE)-VLOOKUP(zeta!$A77,main!$A$3:$H$102,6,FALSE),0)</f>
        <v>0</v>
      </c>
      <c r="BO77">
        <f>IF(gamma!BO77,VLOOKUP(zeta!BO$1,main!$A$3:$H$102,5,FALSE)-VLOOKUP(zeta!$A77,main!$A$3:$H$102,6,FALSE),0)</f>
        <v>0</v>
      </c>
      <c r="BP77">
        <f>IF(gamma!BP77,VLOOKUP(zeta!BP$1,main!$A$3:$H$102,5,FALSE)-VLOOKUP(zeta!$A77,main!$A$3:$H$102,6,FALSE),0)</f>
        <v>0</v>
      </c>
      <c r="BQ77">
        <f>IF(gamma!BQ77,VLOOKUP(zeta!BQ$1,main!$A$3:$H$102,5,FALSE)-VLOOKUP(zeta!$A77,main!$A$3:$H$102,6,FALSE),0)</f>
        <v>0</v>
      </c>
      <c r="BR77">
        <f>IF(gamma!BR77,VLOOKUP(zeta!BR$1,main!$A$3:$H$102,5,FALSE)-VLOOKUP(zeta!$A77,main!$A$3:$H$102,6,FALSE),0)</f>
        <v>0</v>
      </c>
      <c r="BS77">
        <f>IF(gamma!BS77,VLOOKUP(zeta!BS$1,main!$A$3:$H$102,5,FALSE)-VLOOKUP(zeta!$A77,main!$A$3:$H$102,6,FALSE),0)</f>
        <v>0</v>
      </c>
      <c r="BT77">
        <f>IF(gamma!BT77,VLOOKUP(zeta!BT$1,main!$A$3:$H$102,5,FALSE)-VLOOKUP(zeta!$A77,main!$A$3:$H$102,6,FALSE),0)</f>
        <v>0</v>
      </c>
      <c r="BU77">
        <f>IF(gamma!BU77,VLOOKUP(zeta!BU$1,main!$A$3:$H$102,5,FALSE)-VLOOKUP(zeta!$A77,main!$A$3:$H$102,6,FALSE),0)</f>
        <v>0</v>
      </c>
      <c r="BV77">
        <f>IF(gamma!BV77,VLOOKUP(zeta!BV$1,main!$A$3:$H$102,5,FALSE)-VLOOKUP(zeta!$A77,main!$A$3:$H$102,6,FALSE),0)</f>
        <v>0</v>
      </c>
      <c r="BW77">
        <f>IF(gamma!BW77,VLOOKUP(zeta!BW$1,main!$A$3:$H$102,5,FALSE)-VLOOKUP(zeta!$A77,main!$A$3:$H$102,6,FALSE),0)</f>
        <v>0</v>
      </c>
      <c r="BX77">
        <f>IF(gamma!BX77,VLOOKUP(zeta!BX$1,main!$A$3:$H$102,5,FALSE)-VLOOKUP(zeta!$A77,main!$A$3:$H$102,6,FALSE),0)</f>
        <v>0</v>
      </c>
      <c r="BY77">
        <f>IF(gamma!BY77,VLOOKUP(zeta!BY$1,main!$A$3:$H$102,5,FALSE)-VLOOKUP(zeta!$A77,main!$A$3:$H$102,6,FALSE),0)</f>
        <v>0</v>
      </c>
      <c r="BZ77">
        <f>IF(gamma!BZ77,VLOOKUP(zeta!BZ$1,main!$A$3:$H$102,5,FALSE)-VLOOKUP(zeta!$A77,main!$A$3:$H$102,6,FALSE),0)</f>
        <v>0</v>
      </c>
      <c r="CA77">
        <f>IF(gamma!CA77,VLOOKUP(zeta!CA$1,main!$A$3:$H$102,5,FALSE)-VLOOKUP(zeta!$A77,main!$A$3:$H$102,6,FALSE),0)</f>
        <v>0</v>
      </c>
      <c r="CB77">
        <f>IF(gamma!CB77,VLOOKUP(zeta!CB$1,main!$A$3:$H$102,5,FALSE)-VLOOKUP(zeta!$A77,main!$A$3:$H$102,6,FALSE),0)</f>
        <v>0</v>
      </c>
      <c r="CC77">
        <f>IF(gamma!CC77,VLOOKUP(zeta!CC$1,main!$A$3:$H$102,5,FALSE)-VLOOKUP(zeta!$A77,main!$A$3:$H$102,6,FALSE),0)</f>
        <v>145</v>
      </c>
      <c r="CD77">
        <f>IF(gamma!CD77,VLOOKUP(zeta!CD$1,main!$A$3:$H$102,5,FALSE)-VLOOKUP(zeta!$A77,main!$A$3:$H$102,6,FALSE),0)</f>
        <v>0</v>
      </c>
      <c r="CE77">
        <f>IF(gamma!CE77,VLOOKUP(zeta!CE$1,main!$A$3:$H$102,5,FALSE)-VLOOKUP(zeta!$A77,main!$A$3:$H$102,6,FALSE),0)</f>
        <v>0</v>
      </c>
      <c r="CF77">
        <f>IF(gamma!CF77,VLOOKUP(zeta!CF$1,main!$A$3:$H$102,5,FALSE)-VLOOKUP(zeta!$A77,main!$A$3:$H$102,6,FALSE),0)</f>
        <v>0</v>
      </c>
      <c r="CG77">
        <f>IF(gamma!CG77,VLOOKUP(zeta!CG$1,main!$A$3:$H$102,5,FALSE)-VLOOKUP(zeta!$A77,main!$A$3:$H$102,6,FALSE),0)</f>
        <v>0</v>
      </c>
      <c r="CH77">
        <f>IF(gamma!CH77,VLOOKUP(zeta!CH$1,main!$A$3:$H$102,5,FALSE)-VLOOKUP(zeta!$A77,main!$A$3:$H$102,6,FALSE),0)</f>
        <v>30</v>
      </c>
      <c r="CI77">
        <f>IF(gamma!CI77,VLOOKUP(zeta!CI$1,main!$A$3:$H$102,5,FALSE)-VLOOKUP(zeta!$A77,main!$A$3:$H$102,6,FALSE),0)</f>
        <v>230</v>
      </c>
      <c r="CJ77">
        <f>IF(gamma!CJ77,VLOOKUP(zeta!CJ$1,main!$A$3:$H$102,5,FALSE)-VLOOKUP(zeta!$A77,main!$A$3:$H$102,6,FALSE),0)</f>
        <v>0</v>
      </c>
      <c r="CK77">
        <f>IF(gamma!CK77,VLOOKUP(zeta!CK$1,main!$A$3:$H$102,5,FALSE)-VLOOKUP(zeta!$A77,main!$A$3:$H$102,6,FALSE),0)</f>
        <v>0</v>
      </c>
      <c r="CL77">
        <f>IF(gamma!CL77,VLOOKUP(zeta!CL$1,main!$A$3:$H$102,5,FALSE)-VLOOKUP(zeta!$A77,main!$A$3:$H$102,6,FALSE),0)</f>
        <v>0</v>
      </c>
      <c r="CM77">
        <f>IF(gamma!CM77,VLOOKUP(zeta!CM$1,main!$A$3:$H$102,5,FALSE)-VLOOKUP(zeta!$A77,main!$A$3:$H$102,6,FALSE),0)</f>
        <v>0</v>
      </c>
      <c r="CN77">
        <f>IF(gamma!CN77,VLOOKUP(zeta!CN$1,main!$A$3:$H$102,5,FALSE)-VLOOKUP(zeta!$A77,main!$A$3:$H$102,6,FALSE),0)</f>
        <v>230</v>
      </c>
      <c r="CO77">
        <f>IF(gamma!CO77,VLOOKUP(zeta!CO$1,main!$A$3:$H$102,5,FALSE)-VLOOKUP(zeta!$A77,main!$A$3:$H$102,6,FALSE),0)</f>
        <v>0</v>
      </c>
      <c r="CP77">
        <f>IF(gamma!CP77,VLOOKUP(zeta!CP$1,main!$A$3:$H$102,5,FALSE)-VLOOKUP(zeta!$A77,main!$A$3:$H$102,6,FALSE),0)</f>
        <v>0</v>
      </c>
      <c r="CQ77">
        <f>IF(gamma!CQ77,VLOOKUP(zeta!CQ$1,main!$A$3:$H$102,5,FALSE)-VLOOKUP(zeta!$A77,main!$A$3:$H$102,6,FALSE),0)</f>
        <v>0</v>
      </c>
      <c r="CR77">
        <f>IF(gamma!CR77,VLOOKUP(zeta!CR$1,main!$A$3:$H$102,5,FALSE)-VLOOKUP(zeta!$A77,main!$A$3:$H$102,6,FALSE),0)</f>
        <v>0</v>
      </c>
      <c r="CS77">
        <f>IF(gamma!CS77,VLOOKUP(zeta!CS$1,main!$A$3:$H$102,5,FALSE)-VLOOKUP(zeta!$A77,main!$A$3:$H$102,6,FALSE),0)</f>
        <v>0</v>
      </c>
      <c r="CT77">
        <f>IF(gamma!CT77,VLOOKUP(zeta!CT$1,main!$A$3:$H$102,5,FALSE)-VLOOKUP(zeta!$A77,main!$A$3:$H$102,6,FALSE),0)</f>
        <v>0</v>
      </c>
      <c r="CU77">
        <f>IF(gamma!CU77,VLOOKUP(zeta!CU$1,main!$A$3:$H$102,5,FALSE)-VLOOKUP(zeta!$A77,main!$A$3:$H$102,6,FALSE),0)</f>
        <v>0</v>
      </c>
      <c r="CV77">
        <f>IF(gamma!CV77,VLOOKUP(zeta!CV$1,main!$A$3:$H$102,5,FALSE)-VLOOKUP(zeta!$A77,main!$A$3:$H$102,6,FALSE),0)</f>
        <v>0</v>
      </c>
      <c r="CW77">
        <f>IF(gamma!CW77,VLOOKUP(zeta!CW$1,main!$A$3:$H$102,5,FALSE)-VLOOKUP(zeta!$A77,main!$A$3:$H$102,6,FALSE),0)</f>
        <v>0</v>
      </c>
      <c r="CX77">
        <f>IF(gamma!CX77,VLOOKUP(zeta!CX$1,main!$A$3:$H$102,5,FALSE)-VLOOKUP(zeta!$A77,main!$A$3:$H$102,6,FALSE),0)</f>
        <v>35</v>
      </c>
    </row>
    <row r="78" spans="1:102" x14ac:dyDescent="0.25">
      <c r="A78">
        <f t="shared" si="2"/>
        <v>76</v>
      </c>
      <c r="B78">
        <v>0</v>
      </c>
      <c r="C78">
        <f>IF(gamma!C78,VLOOKUP(zeta!C$1,main!$A$3:$H$102,5,FALSE)-VLOOKUP(zeta!$A78,main!$A$3:$H$102,6,FALSE),0)</f>
        <v>0</v>
      </c>
      <c r="D78">
        <f>IF(gamma!D78,VLOOKUP(zeta!D$1,main!$A$3:$H$102,5,FALSE)-VLOOKUP(zeta!$A78,main!$A$3:$H$102,6,FALSE),0)</f>
        <v>0</v>
      </c>
      <c r="E78">
        <f>IF(gamma!E78,VLOOKUP(zeta!E$1,main!$A$3:$H$102,5,FALSE)-VLOOKUP(zeta!$A78,main!$A$3:$H$102,6,FALSE),0)</f>
        <v>100</v>
      </c>
      <c r="F78">
        <f>IF(gamma!F78,VLOOKUP(zeta!F$1,main!$A$3:$H$102,5,FALSE)-VLOOKUP(zeta!$A78,main!$A$3:$H$102,6,FALSE),0)</f>
        <v>120</v>
      </c>
      <c r="G78">
        <f>IF(gamma!G78,VLOOKUP(zeta!G$1,main!$A$3:$H$102,5,FALSE)-VLOOKUP(zeta!$A78,main!$A$3:$H$102,6,FALSE),0)</f>
        <v>210</v>
      </c>
      <c r="H78">
        <f>IF(gamma!H78,VLOOKUP(zeta!H$1,main!$A$3:$H$102,5,FALSE)-VLOOKUP(zeta!$A78,main!$A$3:$H$102,6,FALSE),0)</f>
        <v>300</v>
      </c>
      <c r="I78">
        <f>IF(gamma!I78,VLOOKUP(zeta!I$1,main!$A$3:$H$102,5,FALSE)-VLOOKUP(zeta!$A78,main!$A$3:$H$102,6,FALSE),0)</f>
        <v>360</v>
      </c>
      <c r="J78">
        <f>IF(gamma!J78,VLOOKUP(zeta!J$1,main!$A$3:$H$102,5,FALSE)-VLOOKUP(zeta!$A78,main!$A$3:$H$102,6,FALSE),0)</f>
        <v>420</v>
      </c>
      <c r="K78">
        <f>IF(gamma!K78,VLOOKUP(zeta!K$1,main!$A$3:$H$102,5,FALSE)-VLOOKUP(zeta!$A78,main!$A$3:$H$102,6,FALSE),0)</f>
        <v>480</v>
      </c>
      <c r="L78">
        <f>IF(gamma!L78,VLOOKUP(zeta!L$1,main!$A$3:$H$102,5,FALSE)-VLOOKUP(zeta!$A78,main!$A$3:$H$102,6,FALSE),0)</f>
        <v>570</v>
      </c>
      <c r="M78">
        <f>IF(gamma!M78,VLOOKUP(zeta!M$1,main!$A$3:$H$102,5,FALSE)-VLOOKUP(zeta!$A78,main!$A$3:$H$102,6,FALSE),0)</f>
        <v>0</v>
      </c>
      <c r="N78">
        <f>IF(gamma!N78,VLOOKUP(zeta!N$1,main!$A$3:$H$102,5,FALSE)-VLOOKUP(zeta!$A78,main!$A$3:$H$102,6,FALSE),0)</f>
        <v>0</v>
      </c>
      <c r="O78">
        <f>IF(gamma!O78,VLOOKUP(zeta!O$1,main!$A$3:$H$102,5,FALSE)-VLOOKUP(zeta!$A78,main!$A$3:$H$102,6,FALSE),0)</f>
        <v>0</v>
      </c>
      <c r="P78">
        <f>IF(gamma!P78,VLOOKUP(zeta!P$1,main!$A$3:$H$102,5,FALSE)-VLOOKUP(zeta!$A78,main!$A$3:$H$102,6,FALSE),0)</f>
        <v>55</v>
      </c>
      <c r="Q78">
        <f>IF(gamma!Q78,VLOOKUP(zeta!Q$1,main!$A$3:$H$102,5,FALSE)-VLOOKUP(zeta!$A78,main!$A$3:$H$102,6,FALSE),0)</f>
        <v>135</v>
      </c>
      <c r="R78">
        <f>IF(gamma!R78,VLOOKUP(zeta!R$1,main!$A$3:$H$102,5,FALSE)-VLOOKUP(zeta!$A78,main!$A$3:$H$102,6,FALSE),0)</f>
        <v>175</v>
      </c>
      <c r="S78">
        <f>IF(gamma!S78,VLOOKUP(zeta!S$1,main!$A$3:$H$102,5,FALSE)-VLOOKUP(zeta!$A78,main!$A$3:$H$102,6,FALSE),0)</f>
        <v>300</v>
      </c>
      <c r="T78">
        <f>IF(gamma!T78,VLOOKUP(zeta!T$1,main!$A$3:$H$102,5,FALSE)-VLOOKUP(zeta!$A78,main!$A$3:$H$102,6,FALSE),0)</f>
        <v>380</v>
      </c>
      <c r="U78">
        <f>IF(gamma!U78,VLOOKUP(zeta!U$1,main!$A$3:$H$102,5,FALSE)-VLOOKUP(zeta!$A78,main!$A$3:$H$102,6,FALSE),0)</f>
        <v>535</v>
      </c>
      <c r="V78">
        <f>IF(gamma!V78,VLOOKUP(zeta!V$1,main!$A$3:$H$102,5,FALSE)-VLOOKUP(zeta!$A78,main!$A$3:$H$102,6,FALSE),0)</f>
        <v>595</v>
      </c>
      <c r="W78">
        <f>IF(gamma!W78,VLOOKUP(zeta!W$1,main!$A$3:$H$102,5,FALSE)-VLOOKUP(zeta!$A78,main!$A$3:$H$102,6,FALSE),0)</f>
        <v>0</v>
      </c>
      <c r="X78">
        <f>IF(gamma!X78,VLOOKUP(zeta!X$1,main!$A$3:$H$102,5,FALSE)-VLOOKUP(zeta!$A78,main!$A$3:$H$102,6,FALSE),0)</f>
        <v>0</v>
      </c>
      <c r="Y78">
        <f>IF(gamma!Y78,VLOOKUP(zeta!Y$1,main!$A$3:$H$102,5,FALSE)-VLOOKUP(zeta!$A78,main!$A$3:$H$102,6,FALSE),0)</f>
        <v>170</v>
      </c>
      <c r="Z78">
        <f>IF(gamma!Z78,VLOOKUP(zeta!Z$1,main!$A$3:$H$102,5,FALSE)-VLOOKUP(zeta!$A78,main!$A$3:$H$102,6,FALSE),0)</f>
        <v>350</v>
      </c>
      <c r="AA78">
        <f>IF(gamma!AA78,VLOOKUP(zeta!AA$1,main!$A$3:$H$102,5,FALSE)-VLOOKUP(zeta!$A78,main!$A$3:$H$102,6,FALSE),0)</f>
        <v>500</v>
      </c>
      <c r="AB78">
        <f>IF(gamma!AB78,VLOOKUP(zeta!AB$1,main!$A$3:$H$102,5,FALSE)-VLOOKUP(zeta!$A78,main!$A$3:$H$102,6,FALSE),0)</f>
        <v>0</v>
      </c>
      <c r="AC78">
        <f>IF(gamma!AC78,VLOOKUP(zeta!AC$1,main!$A$3:$H$102,5,FALSE)-VLOOKUP(zeta!$A78,main!$A$3:$H$102,6,FALSE),0)</f>
        <v>0</v>
      </c>
      <c r="AD78">
        <f>IF(gamma!AD78,VLOOKUP(zeta!AD$1,main!$A$3:$H$102,5,FALSE)-VLOOKUP(zeta!$A78,main!$A$3:$H$102,6,FALSE),0)</f>
        <v>130</v>
      </c>
      <c r="AE78">
        <f>IF(gamma!AE78,VLOOKUP(zeta!AE$1,main!$A$3:$H$102,5,FALSE)-VLOOKUP(zeta!$A78,main!$A$3:$H$102,6,FALSE),0)</f>
        <v>310</v>
      </c>
      <c r="AF78">
        <f>IF(gamma!AF78,VLOOKUP(zeta!AF$1,main!$A$3:$H$102,5,FALSE)-VLOOKUP(zeta!$A78,main!$A$3:$H$102,6,FALSE),0)</f>
        <v>480</v>
      </c>
      <c r="AG78">
        <f>IF(gamma!AG78,VLOOKUP(zeta!AG$1,main!$A$3:$H$102,5,FALSE)-VLOOKUP(zeta!$A78,main!$A$3:$H$102,6,FALSE),0)</f>
        <v>0</v>
      </c>
      <c r="AH78">
        <f>IF(gamma!AH78,VLOOKUP(zeta!AH$1,main!$A$3:$H$102,5,FALSE)-VLOOKUP(zeta!$A78,main!$A$3:$H$102,6,FALSE),0)</f>
        <v>0</v>
      </c>
      <c r="AI78">
        <f>IF(gamma!AI78,VLOOKUP(zeta!AI$1,main!$A$3:$H$102,5,FALSE)-VLOOKUP(zeta!$A78,main!$A$3:$H$102,6,FALSE),0)</f>
        <v>100</v>
      </c>
      <c r="AJ78">
        <f>IF(gamma!AJ78,VLOOKUP(zeta!AJ$1,main!$A$3:$H$102,5,FALSE)-VLOOKUP(zeta!$A78,main!$A$3:$H$102,6,FALSE),0)</f>
        <v>190</v>
      </c>
      <c r="AK78">
        <f>IF(gamma!AK78,VLOOKUP(zeta!AK$1,main!$A$3:$H$102,5,FALSE)-VLOOKUP(zeta!$A78,main!$A$3:$H$102,6,FALSE),0)</f>
        <v>280</v>
      </c>
      <c r="AL78">
        <f>IF(gamma!AL78,VLOOKUP(zeta!AL$1,main!$A$3:$H$102,5,FALSE)-VLOOKUP(zeta!$A78,main!$A$3:$H$102,6,FALSE),0)</f>
        <v>370</v>
      </c>
      <c r="AM78">
        <f>IF(gamma!AM78,VLOOKUP(zeta!AM$1,main!$A$3:$H$102,5,FALSE)-VLOOKUP(zeta!$A78,main!$A$3:$H$102,6,FALSE),0)</f>
        <v>460</v>
      </c>
      <c r="AN78">
        <f>IF(gamma!AN78,VLOOKUP(zeta!AN$1,main!$A$3:$H$102,5,FALSE)-VLOOKUP(zeta!$A78,main!$A$3:$H$102,6,FALSE),0)</f>
        <v>520</v>
      </c>
      <c r="AO78">
        <f>IF(gamma!AO78,VLOOKUP(zeta!AO$1,main!$A$3:$H$102,5,FALSE)-VLOOKUP(zeta!$A78,main!$A$3:$H$102,6,FALSE),0)</f>
        <v>0</v>
      </c>
      <c r="AP78">
        <f>IF(gamma!AP78,VLOOKUP(zeta!AP$1,main!$A$3:$H$102,5,FALSE)-VLOOKUP(zeta!$A78,main!$A$3:$H$102,6,FALSE),0)</f>
        <v>580</v>
      </c>
      <c r="AQ78">
        <f>IF(gamma!AQ78,VLOOKUP(zeta!AQ$1,main!$A$3:$H$102,5,FALSE)-VLOOKUP(zeta!$A78,main!$A$3:$H$102,6,FALSE),0)</f>
        <v>0</v>
      </c>
      <c r="AR78">
        <f>IF(gamma!AR78,VLOOKUP(zeta!AR$1,main!$A$3:$H$102,5,FALSE)-VLOOKUP(zeta!$A78,main!$A$3:$H$102,6,FALSE),0)</f>
        <v>0</v>
      </c>
      <c r="AS78">
        <f>IF(gamma!AS78,VLOOKUP(zeta!AS$1,main!$A$3:$H$102,5,FALSE)-VLOOKUP(zeta!$A78,main!$A$3:$H$102,6,FALSE),0)</f>
        <v>180</v>
      </c>
      <c r="AT78">
        <f>IF(gamma!AT78,VLOOKUP(zeta!AT$1,main!$A$3:$H$102,5,FALSE)-VLOOKUP(zeta!$A78,main!$A$3:$H$102,6,FALSE),0)</f>
        <v>330</v>
      </c>
      <c r="AU78">
        <f>IF(gamma!AU78,VLOOKUP(zeta!AU$1,main!$A$3:$H$102,5,FALSE)-VLOOKUP(zeta!$A78,main!$A$3:$H$102,6,FALSE),0)</f>
        <v>0</v>
      </c>
      <c r="AV78">
        <f>IF(gamma!AV78,VLOOKUP(zeta!AV$1,main!$A$3:$H$102,5,FALSE)-VLOOKUP(zeta!$A78,main!$A$3:$H$102,6,FALSE),0)</f>
        <v>0</v>
      </c>
      <c r="AW78">
        <f>IF(gamma!AW78,VLOOKUP(zeta!AW$1,main!$A$3:$H$102,5,FALSE)-VLOOKUP(zeta!$A78,main!$A$3:$H$102,6,FALSE),0)</f>
        <v>280</v>
      </c>
      <c r="AX78">
        <f>IF(gamma!AX78,VLOOKUP(zeta!AX$1,main!$A$3:$H$102,5,FALSE)-VLOOKUP(zeta!$A78,main!$A$3:$H$102,6,FALSE),0)</f>
        <v>120</v>
      </c>
      <c r="AY78">
        <f>IF(gamma!AY78,VLOOKUP(zeta!AY$1,main!$A$3:$H$102,5,FALSE)-VLOOKUP(zeta!$A78,main!$A$3:$H$102,6,FALSE),0)</f>
        <v>0</v>
      </c>
      <c r="AZ78">
        <f>IF(gamma!AZ78,VLOOKUP(zeta!AZ$1,main!$A$3:$H$102,5,FALSE)-VLOOKUP(zeta!$A78,main!$A$3:$H$102,6,FALSE),0)</f>
        <v>110</v>
      </c>
      <c r="BA78">
        <f>IF(gamma!BA78,VLOOKUP(zeta!BA$1,main!$A$3:$H$102,5,FALSE)-VLOOKUP(zeta!$A78,main!$A$3:$H$102,6,FALSE),0)</f>
        <v>0</v>
      </c>
      <c r="BB78">
        <f>IF(gamma!BB78,VLOOKUP(zeta!BB$1,main!$A$3:$H$102,5,FALSE)-VLOOKUP(zeta!$A78,main!$A$3:$H$102,6,FALSE),0)</f>
        <v>120</v>
      </c>
      <c r="BC78">
        <f>IF(gamma!BC78,VLOOKUP(zeta!BC$1,main!$A$3:$H$102,5,FALSE)-VLOOKUP(zeta!$A78,main!$A$3:$H$102,6,FALSE),0)</f>
        <v>240</v>
      </c>
      <c r="BD78">
        <f>IF(gamma!BD78,VLOOKUP(zeta!BD$1,main!$A$3:$H$102,5,FALSE)-VLOOKUP(zeta!$A78,main!$A$3:$H$102,6,FALSE),0)</f>
        <v>300</v>
      </c>
      <c r="BE78">
        <f>IF(gamma!BE78,VLOOKUP(zeta!BE$1,main!$A$3:$H$102,5,FALSE)-VLOOKUP(zeta!$A78,main!$A$3:$H$102,6,FALSE),0)</f>
        <v>420</v>
      </c>
      <c r="BF78">
        <f>IF(gamma!BF78,VLOOKUP(zeta!BF$1,main!$A$3:$H$102,5,FALSE)-VLOOKUP(zeta!$A78,main!$A$3:$H$102,6,FALSE),0)</f>
        <v>0</v>
      </c>
      <c r="BG78">
        <f>IF(gamma!BG78,VLOOKUP(zeta!BG$1,main!$A$3:$H$102,5,FALSE)-VLOOKUP(zeta!$A78,main!$A$3:$H$102,6,FALSE),0)</f>
        <v>0</v>
      </c>
      <c r="BH78">
        <f>IF(gamma!BH78,VLOOKUP(zeta!BH$1,main!$A$3:$H$102,5,FALSE)-VLOOKUP(zeta!$A78,main!$A$3:$H$102,6,FALSE),0)</f>
        <v>205</v>
      </c>
      <c r="BI78">
        <f>IF(gamma!BI78,VLOOKUP(zeta!BI$1,main!$A$3:$H$102,5,FALSE)-VLOOKUP(zeta!$A78,main!$A$3:$H$102,6,FALSE),0)</f>
        <v>590</v>
      </c>
      <c r="BJ78">
        <f>IF(gamma!BJ78,VLOOKUP(zeta!BJ$1,main!$A$3:$H$102,5,FALSE)-VLOOKUP(zeta!$A78,main!$A$3:$H$102,6,FALSE),0)</f>
        <v>380</v>
      </c>
      <c r="BK78">
        <f>IF(gamma!BK78,VLOOKUP(zeta!BK$1,main!$A$3:$H$102,5,FALSE)-VLOOKUP(zeta!$A78,main!$A$3:$H$102,6,FALSE),0)</f>
        <v>0</v>
      </c>
      <c r="BL78">
        <f>IF(gamma!BL78,VLOOKUP(zeta!BL$1,main!$A$3:$H$102,5,FALSE)-VLOOKUP(zeta!$A78,main!$A$3:$H$102,6,FALSE),0)</f>
        <v>0</v>
      </c>
      <c r="BM78">
        <f>IF(gamma!BM78,VLOOKUP(zeta!BM$1,main!$A$3:$H$102,5,FALSE)-VLOOKUP(zeta!$A78,main!$A$3:$H$102,6,FALSE),0)</f>
        <v>0</v>
      </c>
      <c r="BN78">
        <f>IF(gamma!BN78,VLOOKUP(zeta!BN$1,main!$A$3:$H$102,5,FALSE)-VLOOKUP(zeta!$A78,main!$A$3:$H$102,6,FALSE),0)</f>
        <v>280</v>
      </c>
      <c r="BO78">
        <f>IF(gamma!BO78,VLOOKUP(zeta!BO$1,main!$A$3:$H$102,5,FALSE)-VLOOKUP(zeta!$A78,main!$A$3:$H$102,6,FALSE),0)</f>
        <v>0</v>
      </c>
      <c r="BP78">
        <f>IF(gamma!BP78,VLOOKUP(zeta!BP$1,main!$A$3:$H$102,5,FALSE)-VLOOKUP(zeta!$A78,main!$A$3:$H$102,6,FALSE),0)</f>
        <v>0</v>
      </c>
      <c r="BQ78">
        <f>IF(gamma!BQ78,VLOOKUP(zeta!BQ$1,main!$A$3:$H$102,5,FALSE)-VLOOKUP(zeta!$A78,main!$A$3:$H$102,6,FALSE),0)</f>
        <v>135</v>
      </c>
      <c r="BR78">
        <f>IF(gamma!BR78,VLOOKUP(zeta!BR$1,main!$A$3:$H$102,5,FALSE)-VLOOKUP(zeta!$A78,main!$A$3:$H$102,6,FALSE),0)</f>
        <v>170</v>
      </c>
      <c r="BS78">
        <f>IF(gamma!BS78,VLOOKUP(zeta!BS$1,main!$A$3:$H$102,5,FALSE)-VLOOKUP(zeta!$A78,main!$A$3:$H$102,6,FALSE),0)</f>
        <v>180</v>
      </c>
      <c r="BT78">
        <f>IF(gamma!BT78,VLOOKUP(zeta!BT$1,main!$A$3:$H$102,5,FALSE)-VLOOKUP(zeta!$A78,main!$A$3:$H$102,6,FALSE),0)</f>
        <v>130</v>
      </c>
      <c r="BU78">
        <f>IF(gamma!BU78,VLOOKUP(zeta!BU$1,main!$A$3:$H$102,5,FALSE)-VLOOKUP(zeta!$A78,main!$A$3:$H$102,6,FALSE),0)</f>
        <v>0</v>
      </c>
      <c r="BV78">
        <f>IF(gamma!BV78,VLOOKUP(zeta!BV$1,main!$A$3:$H$102,5,FALSE)-VLOOKUP(zeta!$A78,main!$A$3:$H$102,6,FALSE),0)</f>
        <v>0</v>
      </c>
      <c r="BW78">
        <f>IF(gamma!BW78,VLOOKUP(zeta!BW$1,main!$A$3:$H$102,5,FALSE)-VLOOKUP(zeta!$A78,main!$A$3:$H$102,6,FALSE),0)</f>
        <v>0</v>
      </c>
      <c r="BX78">
        <f>IF(gamma!BX78,VLOOKUP(zeta!BX$1,main!$A$3:$H$102,5,FALSE)-VLOOKUP(zeta!$A78,main!$A$3:$H$102,6,FALSE),0)</f>
        <v>145</v>
      </c>
      <c r="BY78">
        <f>IF(gamma!BY78,VLOOKUP(zeta!BY$1,main!$A$3:$H$102,5,FALSE)-VLOOKUP(zeta!$A78,main!$A$3:$H$102,6,FALSE),0)</f>
        <v>230</v>
      </c>
      <c r="BZ78">
        <f>IF(gamma!BZ78,VLOOKUP(zeta!BZ$1,main!$A$3:$H$102,5,FALSE)-VLOOKUP(zeta!$A78,main!$A$3:$H$102,6,FALSE),0)</f>
        <v>0</v>
      </c>
      <c r="CA78">
        <f>IF(gamma!CA78,VLOOKUP(zeta!CA$1,main!$A$3:$H$102,5,FALSE)-VLOOKUP(zeta!$A78,main!$A$3:$H$102,6,FALSE),0)</f>
        <v>0</v>
      </c>
      <c r="CB78">
        <f>IF(gamma!CB78,VLOOKUP(zeta!CB$1,main!$A$3:$H$102,5,FALSE)-VLOOKUP(zeta!$A78,main!$A$3:$H$102,6,FALSE),0)</f>
        <v>285</v>
      </c>
      <c r="CC78">
        <f>IF(gamma!CC78,VLOOKUP(zeta!CC$1,main!$A$3:$H$102,5,FALSE)-VLOOKUP(zeta!$A78,main!$A$3:$H$102,6,FALSE),0)</f>
        <v>495</v>
      </c>
      <c r="CD78">
        <f>IF(gamma!CD78,VLOOKUP(zeta!CD$1,main!$A$3:$H$102,5,FALSE)-VLOOKUP(zeta!$A78,main!$A$3:$H$102,6,FALSE),0)</f>
        <v>230</v>
      </c>
      <c r="CE78">
        <f>IF(gamma!CE78,VLOOKUP(zeta!CE$1,main!$A$3:$H$102,5,FALSE)-VLOOKUP(zeta!$A78,main!$A$3:$H$102,6,FALSE),0)</f>
        <v>100</v>
      </c>
      <c r="CF78">
        <f>IF(gamma!CF78,VLOOKUP(zeta!CF$1,main!$A$3:$H$102,5,FALSE)-VLOOKUP(zeta!$A78,main!$A$3:$H$102,6,FALSE),0)</f>
        <v>130</v>
      </c>
      <c r="CG78">
        <f>IF(gamma!CG78,VLOOKUP(zeta!CG$1,main!$A$3:$H$102,5,FALSE)-VLOOKUP(zeta!$A78,main!$A$3:$H$102,6,FALSE),0)</f>
        <v>180</v>
      </c>
      <c r="CH78">
        <f>IF(gamma!CH78,VLOOKUP(zeta!CH$1,main!$A$3:$H$102,5,FALSE)-VLOOKUP(zeta!$A78,main!$A$3:$H$102,6,FALSE),0)</f>
        <v>380</v>
      </c>
      <c r="CI78">
        <f>IF(gamma!CI78,VLOOKUP(zeta!CI$1,main!$A$3:$H$102,5,FALSE)-VLOOKUP(zeta!$A78,main!$A$3:$H$102,6,FALSE),0)</f>
        <v>580</v>
      </c>
      <c r="CJ78">
        <f>IF(gamma!CJ78,VLOOKUP(zeta!CJ$1,main!$A$3:$H$102,5,FALSE)-VLOOKUP(zeta!$A78,main!$A$3:$H$102,6,FALSE),0)</f>
        <v>170</v>
      </c>
      <c r="CK78">
        <f>IF(gamma!CK78,VLOOKUP(zeta!CK$1,main!$A$3:$H$102,5,FALSE)-VLOOKUP(zeta!$A78,main!$A$3:$H$102,6,FALSE),0)</f>
        <v>64</v>
      </c>
      <c r="CL78">
        <f>IF(gamma!CL78,VLOOKUP(zeta!CL$1,main!$A$3:$H$102,5,FALSE)-VLOOKUP(zeta!$A78,main!$A$3:$H$102,6,FALSE),0)</f>
        <v>180</v>
      </c>
      <c r="CM78">
        <f>IF(gamma!CM78,VLOOKUP(zeta!CM$1,main!$A$3:$H$102,5,FALSE)-VLOOKUP(zeta!$A78,main!$A$3:$H$102,6,FALSE),0)</f>
        <v>356</v>
      </c>
      <c r="CN78">
        <f>IF(gamma!CN78,VLOOKUP(zeta!CN$1,main!$A$3:$H$102,5,FALSE)-VLOOKUP(zeta!$A78,main!$A$3:$H$102,6,FALSE),0)</f>
        <v>580</v>
      </c>
      <c r="CO78">
        <f>IF(gamma!CO78,VLOOKUP(zeta!CO$1,main!$A$3:$H$102,5,FALSE)-VLOOKUP(zeta!$A78,main!$A$3:$H$102,6,FALSE),0)</f>
        <v>0</v>
      </c>
      <c r="CP78">
        <f>IF(gamma!CP78,VLOOKUP(zeta!CP$1,main!$A$3:$H$102,5,FALSE)-VLOOKUP(zeta!$A78,main!$A$3:$H$102,6,FALSE),0)</f>
        <v>145</v>
      </c>
      <c r="CQ78">
        <f>IF(gamma!CQ78,VLOOKUP(zeta!CQ$1,main!$A$3:$H$102,5,FALSE)-VLOOKUP(zeta!$A78,main!$A$3:$H$102,6,FALSE),0)</f>
        <v>160</v>
      </c>
      <c r="CR78">
        <f>IF(gamma!CR78,VLOOKUP(zeta!CR$1,main!$A$3:$H$102,5,FALSE)-VLOOKUP(zeta!$A78,main!$A$3:$H$102,6,FALSE),0)</f>
        <v>345</v>
      </c>
      <c r="CS78">
        <f>IF(gamma!CS78,VLOOKUP(zeta!CS$1,main!$A$3:$H$102,5,FALSE)-VLOOKUP(zeta!$A78,main!$A$3:$H$102,6,FALSE),0)</f>
        <v>355</v>
      </c>
      <c r="CT78">
        <f>IF(gamma!CT78,VLOOKUP(zeta!CT$1,main!$A$3:$H$102,5,FALSE)-VLOOKUP(zeta!$A78,main!$A$3:$H$102,6,FALSE),0)</f>
        <v>0</v>
      </c>
      <c r="CU78">
        <f>IF(gamma!CU78,VLOOKUP(zeta!CU$1,main!$A$3:$H$102,5,FALSE)-VLOOKUP(zeta!$A78,main!$A$3:$H$102,6,FALSE),0)</f>
        <v>0</v>
      </c>
      <c r="CV78">
        <f>IF(gamma!CV78,VLOOKUP(zeta!CV$1,main!$A$3:$H$102,5,FALSE)-VLOOKUP(zeta!$A78,main!$A$3:$H$102,6,FALSE),0)</f>
        <v>160</v>
      </c>
      <c r="CW78">
        <f>IF(gamma!CW78,VLOOKUP(zeta!CW$1,main!$A$3:$H$102,5,FALSE)-VLOOKUP(zeta!$A78,main!$A$3:$H$102,6,FALSE),0)</f>
        <v>345</v>
      </c>
      <c r="CX78">
        <f>IF(gamma!CX78,VLOOKUP(zeta!CX$1,main!$A$3:$H$102,5,FALSE)-VLOOKUP(zeta!$A78,main!$A$3:$H$102,6,FALSE),0)</f>
        <v>385</v>
      </c>
    </row>
    <row r="79" spans="1:102" x14ac:dyDescent="0.25">
      <c r="A79">
        <f t="shared" si="2"/>
        <v>77</v>
      </c>
      <c r="B79">
        <v>0</v>
      </c>
      <c r="C79">
        <f>IF(gamma!C79,VLOOKUP(zeta!C$1,main!$A$3:$H$102,5,FALSE)-VLOOKUP(zeta!$A79,main!$A$3:$H$102,6,FALSE),0)</f>
        <v>0</v>
      </c>
      <c r="D79">
        <f>IF(gamma!D79,VLOOKUP(zeta!D$1,main!$A$3:$H$102,5,FALSE)-VLOOKUP(zeta!$A79,main!$A$3:$H$102,6,FALSE),0)</f>
        <v>0</v>
      </c>
      <c r="E79">
        <f>IF(gamma!E79,VLOOKUP(zeta!E$1,main!$A$3:$H$102,5,FALSE)-VLOOKUP(zeta!$A79,main!$A$3:$H$102,6,FALSE),0)</f>
        <v>60</v>
      </c>
      <c r="F79">
        <f>IF(gamma!F79,VLOOKUP(zeta!F$1,main!$A$3:$H$102,5,FALSE)-VLOOKUP(zeta!$A79,main!$A$3:$H$102,6,FALSE),0)</f>
        <v>80</v>
      </c>
      <c r="G79">
        <f>IF(gamma!G79,VLOOKUP(zeta!G$1,main!$A$3:$H$102,5,FALSE)-VLOOKUP(zeta!$A79,main!$A$3:$H$102,6,FALSE),0)</f>
        <v>170</v>
      </c>
      <c r="H79">
        <f>IF(gamma!H79,VLOOKUP(zeta!H$1,main!$A$3:$H$102,5,FALSE)-VLOOKUP(zeta!$A79,main!$A$3:$H$102,6,FALSE),0)</f>
        <v>260</v>
      </c>
      <c r="I79">
        <f>IF(gamma!I79,VLOOKUP(zeta!I$1,main!$A$3:$H$102,5,FALSE)-VLOOKUP(zeta!$A79,main!$A$3:$H$102,6,FALSE),0)</f>
        <v>320</v>
      </c>
      <c r="J79">
        <f>IF(gamma!J79,VLOOKUP(zeta!J$1,main!$A$3:$H$102,5,FALSE)-VLOOKUP(zeta!$A79,main!$A$3:$H$102,6,FALSE),0)</f>
        <v>380</v>
      </c>
      <c r="K79">
        <f>IF(gamma!K79,VLOOKUP(zeta!K$1,main!$A$3:$H$102,5,FALSE)-VLOOKUP(zeta!$A79,main!$A$3:$H$102,6,FALSE),0)</f>
        <v>440</v>
      </c>
      <c r="L79">
        <f>IF(gamma!L79,VLOOKUP(zeta!L$1,main!$A$3:$H$102,5,FALSE)-VLOOKUP(zeta!$A79,main!$A$3:$H$102,6,FALSE),0)</f>
        <v>530</v>
      </c>
      <c r="M79">
        <f>IF(gamma!M79,VLOOKUP(zeta!M$1,main!$A$3:$H$102,5,FALSE)-VLOOKUP(zeta!$A79,main!$A$3:$H$102,6,FALSE),0)</f>
        <v>0</v>
      </c>
      <c r="N79">
        <f>IF(gamma!N79,VLOOKUP(zeta!N$1,main!$A$3:$H$102,5,FALSE)-VLOOKUP(zeta!$A79,main!$A$3:$H$102,6,FALSE),0)</f>
        <v>0</v>
      </c>
      <c r="O79">
        <f>IF(gamma!O79,VLOOKUP(zeta!O$1,main!$A$3:$H$102,5,FALSE)-VLOOKUP(zeta!$A79,main!$A$3:$H$102,6,FALSE),0)</f>
        <v>0</v>
      </c>
      <c r="P79">
        <f>IF(gamma!P79,VLOOKUP(zeta!P$1,main!$A$3:$H$102,5,FALSE)-VLOOKUP(zeta!$A79,main!$A$3:$H$102,6,FALSE),0)</f>
        <v>0</v>
      </c>
      <c r="Q79">
        <f>IF(gamma!Q79,VLOOKUP(zeta!Q$1,main!$A$3:$H$102,5,FALSE)-VLOOKUP(zeta!$A79,main!$A$3:$H$102,6,FALSE),0)</f>
        <v>95</v>
      </c>
      <c r="R79">
        <f>IF(gamma!R79,VLOOKUP(zeta!R$1,main!$A$3:$H$102,5,FALSE)-VLOOKUP(zeta!$A79,main!$A$3:$H$102,6,FALSE),0)</f>
        <v>135</v>
      </c>
      <c r="S79">
        <f>IF(gamma!S79,VLOOKUP(zeta!S$1,main!$A$3:$H$102,5,FALSE)-VLOOKUP(zeta!$A79,main!$A$3:$H$102,6,FALSE),0)</f>
        <v>260</v>
      </c>
      <c r="T79">
        <f>IF(gamma!T79,VLOOKUP(zeta!T$1,main!$A$3:$H$102,5,FALSE)-VLOOKUP(zeta!$A79,main!$A$3:$H$102,6,FALSE),0)</f>
        <v>340</v>
      </c>
      <c r="U79">
        <f>IF(gamma!U79,VLOOKUP(zeta!U$1,main!$A$3:$H$102,5,FALSE)-VLOOKUP(zeta!$A79,main!$A$3:$H$102,6,FALSE),0)</f>
        <v>495</v>
      </c>
      <c r="V79">
        <f>IF(gamma!V79,VLOOKUP(zeta!V$1,main!$A$3:$H$102,5,FALSE)-VLOOKUP(zeta!$A79,main!$A$3:$H$102,6,FALSE),0)</f>
        <v>555</v>
      </c>
      <c r="W79">
        <f>IF(gamma!W79,VLOOKUP(zeta!W$1,main!$A$3:$H$102,5,FALSE)-VLOOKUP(zeta!$A79,main!$A$3:$H$102,6,FALSE),0)</f>
        <v>0</v>
      </c>
      <c r="X79">
        <f>IF(gamma!X79,VLOOKUP(zeta!X$1,main!$A$3:$H$102,5,FALSE)-VLOOKUP(zeta!$A79,main!$A$3:$H$102,6,FALSE),0)</f>
        <v>0</v>
      </c>
      <c r="Y79">
        <f>IF(gamma!Y79,VLOOKUP(zeta!Y$1,main!$A$3:$H$102,5,FALSE)-VLOOKUP(zeta!$A79,main!$A$3:$H$102,6,FALSE),0)</f>
        <v>130</v>
      </c>
      <c r="Z79">
        <f>IF(gamma!Z79,VLOOKUP(zeta!Z$1,main!$A$3:$H$102,5,FALSE)-VLOOKUP(zeta!$A79,main!$A$3:$H$102,6,FALSE),0)</f>
        <v>310</v>
      </c>
      <c r="AA79">
        <f>IF(gamma!AA79,VLOOKUP(zeta!AA$1,main!$A$3:$H$102,5,FALSE)-VLOOKUP(zeta!$A79,main!$A$3:$H$102,6,FALSE),0)</f>
        <v>460</v>
      </c>
      <c r="AB79">
        <f>IF(gamma!AB79,VLOOKUP(zeta!AB$1,main!$A$3:$H$102,5,FALSE)-VLOOKUP(zeta!$A79,main!$A$3:$H$102,6,FALSE),0)</f>
        <v>0</v>
      </c>
      <c r="AC79">
        <f>IF(gamma!AC79,VLOOKUP(zeta!AC$1,main!$A$3:$H$102,5,FALSE)-VLOOKUP(zeta!$A79,main!$A$3:$H$102,6,FALSE),0)</f>
        <v>0</v>
      </c>
      <c r="AD79">
        <f>IF(gamma!AD79,VLOOKUP(zeta!AD$1,main!$A$3:$H$102,5,FALSE)-VLOOKUP(zeta!$A79,main!$A$3:$H$102,6,FALSE),0)</f>
        <v>90</v>
      </c>
      <c r="AE79">
        <f>IF(gamma!AE79,VLOOKUP(zeta!AE$1,main!$A$3:$H$102,5,FALSE)-VLOOKUP(zeta!$A79,main!$A$3:$H$102,6,FALSE),0)</f>
        <v>270</v>
      </c>
      <c r="AF79">
        <f>IF(gamma!AF79,VLOOKUP(zeta!AF$1,main!$A$3:$H$102,5,FALSE)-VLOOKUP(zeta!$A79,main!$A$3:$H$102,6,FALSE),0)</f>
        <v>440</v>
      </c>
      <c r="AG79">
        <f>IF(gamma!AG79,VLOOKUP(zeta!AG$1,main!$A$3:$H$102,5,FALSE)-VLOOKUP(zeta!$A79,main!$A$3:$H$102,6,FALSE),0)</f>
        <v>0</v>
      </c>
      <c r="AH79">
        <f>IF(gamma!AH79,VLOOKUP(zeta!AH$1,main!$A$3:$H$102,5,FALSE)-VLOOKUP(zeta!$A79,main!$A$3:$H$102,6,FALSE),0)</f>
        <v>0</v>
      </c>
      <c r="AI79">
        <f>IF(gamma!AI79,VLOOKUP(zeta!AI$1,main!$A$3:$H$102,5,FALSE)-VLOOKUP(zeta!$A79,main!$A$3:$H$102,6,FALSE),0)</f>
        <v>60</v>
      </c>
      <c r="AJ79">
        <f>IF(gamma!AJ79,VLOOKUP(zeta!AJ$1,main!$A$3:$H$102,5,FALSE)-VLOOKUP(zeta!$A79,main!$A$3:$H$102,6,FALSE),0)</f>
        <v>150</v>
      </c>
      <c r="AK79">
        <f>IF(gamma!AK79,VLOOKUP(zeta!AK$1,main!$A$3:$H$102,5,FALSE)-VLOOKUP(zeta!$A79,main!$A$3:$H$102,6,FALSE),0)</f>
        <v>240</v>
      </c>
      <c r="AL79">
        <f>IF(gamma!AL79,VLOOKUP(zeta!AL$1,main!$A$3:$H$102,5,FALSE)-VLOOKUP(zeta!$A79,main!$A$3:$H$102,6,FALSE),0)</f>
        <v>330</v>
      </c>
      <c r="AM79">
        <f>IF(gamma!AM79,VLOOKUP(zeta!AM$1,main!$A$3:$H$102,5,FALSE)-VLOOKUP(zeta!$A79,main!$A$3:$H$102,6,FALSE),0)</f>
        <v>420</v>
      </c>
      <c r="AN79">
        <f>IF(gamma!AN79,VLOOKUP(zeta!AN$1,main!$A$3:$H$102,5,FALSE)-VLOOKUP(zeta!$A79,main!$A$3:$H$102,6,FALSE),0)</f>
        <v>480</v>
      </c>
      <c r="AO79">
        <f>IF(gamma!AO79,VLOOKUP(zeta!AO$1,main!$A$3:$H$102,5,FALSE)-VLOOKUP(zeta!$A79,main!$A$3:$H$102,6,FALSE),0)</f>
        <v>0</v>
      </c>
      <c r="AP79">
        <f>IF(gamma!AP79,VLOOKUP(zeta!AP$1,main!$A$3:$H$102,5,FALSE)-VLOOKUP(zeta!$A79,main!$A$3:$H$102,6,FALSE),0)</f>
        <v>540</v>
      </c>
      <c r="AQ79">
        <f>IF(gamma!AQ79,VLOOKUP(zeta!AQ$1,main!$A$3:$H$102,5,FALSE)-VLOOKUP(zeta!$A79,main!$A$3:$H$102,6,FALSE),0)</f>
        <v>0</v>
      </c>
      <c r="AR79">
        <f>IF(gamma!AR79,VLOOKUP(zeta!AR$1,main!$A$3:$H$102,5,FALSE)-VLOOKUP(zeta!$A79,main!$A$3:$H$102,6,FALSE),0)</f>
        <v>0</v>
      </c>
      <c r="AS79">
        <f>IF(gamma!AS79,VLOOKUP(zeta!AS$1,main!$A$3:$H$102,5,FALSE)-VLOOKUP(zeta!$A79,main!$A$3:$H$102,6,FALSE),0)</f>
        <v>140</v>
      </c>
      <c r="AT79">
        <f>IF(gamma!AT79,VLOOKUP(zeta!AT$1,main!$A$3:$H$102,5,FALSE)-VLOOKUP(zeta!$A79,main!$A$3:$H$102,6,FALSE),0)</f>
        <v>290</v>
      </c>
      <c r="AU79">
        <f>IF(gamma!AU79,VLOOKUP(zeta!AU$1,main!$A$3:$H$102,5,FALSE)-VLOOKUP(zeta!$A79,main!$A$3:$H$102,6,FALSE),0)</f>
        <v>0</v>
      </c>
      <c r="AV79">
        <f>IF(gamma!AV79,VLOOKUP(zeta!AV$1,main!$A$3:$H$102,5,FALSE)-VLOOKUP(zeta!$A79,main!$A$3:$H$102,6,FALSE),0)</f>
        <v>0</v>
      </c>
      <c r="AW79">
        <f>IF(gamma!AW79,VLOOKUP(zeta!AW$1,main!$A$3:$H$102,5,FALSE)-VLOOKUP(zeta!$A79,main!$A$3:$H$102,6,FALSE),0)</f>
        <v>240</v>
      </c>
      <c r="AX79">
        <f>IF(gamma!AX79,VLOOKUP(zeta!AX$1,main!$A$3:$H$102,5,FALSE)-VLOOKUP(zeta!$A79,main!$A$3:$H$102,6,FALSE),0)</f>
        <v>80</v>
      </c>
      <c r="AY79">
        <f>IF(gamma!AY79,VLOOKUP(zeta!AY$1,main!$A$3:$H$102,5,FALSE)-VLOOKUP(zeta!$A79,main!$A$3:$H$102,6,FALSE),0)</f>
        <v>0</v>
      </c>
      <c r="AZ79">
        <f>IF(gamma!AZ79,VLOOKUP(zeta!AZ$1,main!$A$3:$H$102,5,FALSE)-VLOOKUP(zeta!$A79,main!$A$3:$H$102,6,FALSE),0)</f>
        <v>70</v>
      </c>
      <c r="BA79">
        <f>IF(gamma!BA79,VLOOKUP(zeta!BA$1,main!$A$3:$H$102,5,FALSE)-VLOOKUP(zeta!$A79,main!$A$3:$H$102,6,FALSE),0)</f>
        <v>0</v>
      </c>
      <c r="BB79">
        <f>IF(gamma!BB79,VLOOKUP(zeta!BB$1,main!$A$3:$H$102,5,FALSE)-VLOOKUP(zeta!$A79,main!$A$3:$H$102,6,FALSE),0)</f>
        <v>80</v>
      </c>
      <c r="BC79">
        <f>IF(gamma!BC79,VLOOKUP(zeta!BC$1,main!$A$3:$H$102,5,FALSE)-VLOOKUP(zeta!$A79,main!$A$3:$H$102,6,FALSE),0)</f>
        <v>200</v>
      </c>
      <c r="BD79">
        <f>IF(gamma!BD79,VLOOKUP(zeta!BD$1,main!$A$3:$H$102,5,FALSE)-VLOOKUP(zeta!$A79,main!$A$3:$H$102,6,FALSE),0)</f>
        <v>260</v>
      </c>
      <c r="BE79">
        <f>IF(gamma!BE79,VLOOKUP(zeta!BE$1,main!$A$3:$H$102,5,FALSE)-VLOOKUP(zeta!$A79,main!$A$3:$H$102,6,FALSE),0)</f>
        <v>380</v>
      </c>
      <c r="BF79">
        <f>IF(gamma!BF79,VLOOKUP(zeta!BF$1,main!$A$3:$H$102,5,FALSE)-VLOOKUP(zeta!$A79,main!$A$3:$H$102,6,FALSE),0)</f>
        <v>0</v>
      </c>
      <c r="BG79">
        <f>IF(gamma!BG79,VLOOKUP(zeta!BG$1,main!$A$3:$H$102,5,FALSE)-VLOOKUP(zeta!$A79,main!$A$3:$H$102,6,FALSE),0)</f>
        <v>0</v>
      </c>
      <c r="BH79">
        <f>IF(gamma!BH79,VLOOKUP(zeta!BH$1,main!$A$3:$H$102,5,FALSE)-VLOOKUP(zeta!$A79,main!$A$3:$H$102,6,FALSE),0)</f>
        <v>165</v>
      </c>
      <c r="BI79">
        <f>IF(gamma!BI79,VLOOKUP(zeta!BI$1,main!$A$3:$H$102,5,FALSE)-VLOOKUP(zeta!$A79,main!$A$3:$H$102,6,FALSE),0)</f>
        <v>550</v>
      </c>
      <c r="BJ79">
        <f>IF(gamma!BJ79,VLOOKUP(zeta!BJ$1,main!$A$3:$H$102,5,FALSE)-VLOOKUP(zeta!$A79,main!$A$3:$H$102,6,FALSE),0)</f>
        <v>340</v>
      </c>
      <c r="BK79">
        <f>IF(gamma!BK79,VLOOKUP(zeta!BK$1,main!$A$3:$H$102,5,FALSE)-VLOOKUP(zeta!$A79,main!$A$3:$H$102,6,FALSE),0)</f>
        <v>0</v>
      </c>
      <c r="BL79">
        <f>IF(gamma!BL79,VLOOKUP(zeta!BL$1,main!$A$3:$H$102,5,FALSE)-VLOOKUP(zeta!$A79,main!$A$3:$H$102,6,FALSE),0)</f>
        <v>0</v>
      </c>
      <c r="BM79">
        <f>IF(gamma!BM79,VLOOKUP(zeta!BM$1,main!$A$3:$H$102,5,FALSE)-VLOOKUP(zeta!$A79,main!$A$3:$H$102,6,FALSE),0)</f>
        <v>0</v>
      </c>
      <c r="BN79">
        <f>IF(gamma!BN79,VLOOKUP(zeta!BN$1,main!$A$3:$H$102,5,FALSE)-VLOOKUP(zeta!$A79,main!$A$3:$H$102,6,FALSE),0)</f>
        <v>240</v>
      </c>
      <c r="BO79">
        <f>IF(gamma!BO79,VLOOKUP(zeta!BO$1,main!$A$3:$H$102,5,FALSE)-VLOOKUP(zeta!$A79,main!$A$3:$H$102,6,FALSE),0)</f>
        <v>0</v>
      </c>
      <c r="BP79">
        <f>IF(gamma!BP79,VLOOKUP(zeta!BP$1,main!$A$3:$H$102,5,FALSE)-VLOOKUP(zeta!$A79,main!$A$3:$H$102,6,FALSE),0)</f>
        <v>0</v>
      </c>
      <c r="BQ79">
        <f>IF(gamma!BQ79,VLOOKUP(zeta!BQ$1,main!$A$3:$H$102,5,FALSE)-VLOOKUP(zeta!$A79,main!$A$3:$H$102,6,FALSE),0)</f>
        <v>95</v>
      </c>
      <c r="BR79">
        <f>IF(gamma!BR79,VLOOKUP(zeta!BR$1,main!$A$3:$H$102,5,FALSE)-VLOOKUP(zeta!$A79,main!$A$3:$H$102,6,FALSE),0)</f>
        <v>130</v>
      </c>
      <c r="BS79">
        <f>IF(gamma!BS79,VLOOKUP(zeta!BS$1,main!$A$3:$H$102,5,FALSE)-VLOOKUP(zeta!$A79,main!$A$3:$H$102,6,FALSE),0)</f>
        <v>140</v>
      </c>
      <c r="BT79">
        <f>IF(gamma!BT79,VLOOKUP(zeta!BT$1,main!$A$3:$H$102,5,FALSE)-VLOOKUP(zeta!$A79,main!$A$3:$H$102,6,FALSE),0)</f>
        <v>90</v>
      </c>
      <c r="BU79">
        <f>IF(gamma!BU79,VLOOKUP(zeta!BU$1,main!$A$3:$H$102,5,FALSE)-VLOOKUP(zeta!$A79,main!$A$3:$H$102,6,FALSE),0)</f>
        <v>0</v>
      </c>
      <c r="BV79">
        <f>IF(gamma!BV79,VLOOKUP(zeta!BV$1,main!$A$3:$H$102,5,FALSE)-VLOOKUP(zeta!$A79,main!$A$3:$H$102,6,FALSE),0)</f>
        <v>0</v>
      </c>
      <c r="BW79">
        <f>IF(gamma!BW79,VLOOKUP(zeta!BW$1,main!$A$3:$H$102,5,FALSE)-VLOOKUP(zeta!$A79,main!$A$3:$H$102,6,FALSE),0)</f>
        <v>0</v>
      </c>
      <c r="BX79">
        <f>IF(gamma!BX79,VLOOKUP(zeta!BX$1,main!$A$3:$H$102,5,FALSE)-VLOOKUP(zeta!$A79,main!$A$3:$H$102,6,FALSE),0)</f>
        <v>105</v>
      </c>
      <c r="BY79">
        <f>IF(gamma!BY79,VLOOKUP(zeta!BY$1,main!$A$3:$H$102,5,FALSE)-VLOOKUP(zeta!$A79,main!$A$3:$H$102,6,FALSE),0)</f>
        <v>190</v>
      </c>
      <c r="BZ79">
        <f>IF(gamma!BZ79,VLOOKUP(zeta!BZ$1,main!$A$3:$H$102,5,FALSE)-VLOOKUP(zeta!$A79,main!$A$3:$H$102,6,FALSE),0)</f>
        <v>0</v>
      </c>
      <c r="CA79">
        <f>IF(gamma!CA79,VLOOKUP(zeta!CA$1,main!$A$3:$H$102,5,FALSE)-VLOOKUP(zeta!$A79,main!$A$3:$H$102,6,FALSE),0)</f>
        <v>0</v>
      </c>
      <c r="CB79">
        <f>IF(gamma!CB79,VLOOKUP(zeta!CB$1,main!$A$3:$H$102,5,FALSE)-VLOOKUP(zeta!$A79,main!$A$3:$H$102,6,FALSE),0)</f>
        <v>245</v>
      </c>
      <c r="CC79">
        <f>IF(gamma!CC79,VLOOKUP(zeta!CC$1,main!$A$3:$H$102,5,FALSE)-VLOOKUP(zeta!$A79,main!$A$3:$H$102,6,FALSE),0)</f>
        <v>455</v>
      </c>
      <c r="CD79">
        <f>IF(gamma!CD79,VLOOKUP(zeta!CD$1,main!$A$3:$H$102,5,FALSE)-VLOOKUP(zeta!$A79,main!$A$3:$H$102,6,FALSE),0)</f>
        <v>190</v>
      </c>
      <c r="CE79">
        <f>IF(gamma!CE79,VLOOKUP(zeta!CE$1,main!$A$3:$H$102,5,FALSE)-VLOOKUP(zeta!$A79,main!$A$3:$H$102,6,FALSE),0)</f>
        <v>60</v>
      </c>
      <c r="CF79">
        <f>IF(gamma!CF79,VLOOKUP(zeta!CF$1,main!$A$3:$H$102,5,FALSE)-VLOOKUP(zeta!$A79,main!$A$3:$H$102,6,FALSE),0)</f>
        <v>90</v>
      </c>
      <c r="CG79">
        <f>IF(gamma!CG79,VLOOKUP(zeta!CG$1,main!$A$3:$H$102,5,FALSE)-VLOOKUP(zeta!$A79,main!$A$3:$H$102,6,FALSE),0)</f>
        <v>140</v>
      </c>
      <c r="CH79">
        <f>IF(gamma!CH79,VLOOKUP(zeta!CH$1,main!$A$3:$H$102,5,FALSE)-VLOOKUP(zeta!$A79,main!$A$3:$H$102,6,FALSE),0)</f>
        <v>340</v>
      </c>
      <c r="CI79">
        <f>IF(gamma!CI79,VLOOKUP(zeta!CI$1,main!$A$3:$H$102,5,FALSE)-VLOOKUP(zeta!$A79,main!$A$3:$H$102,6,FALSE),0)</f>
        <v>540</v>
      </c>
      <c r="CJ79">
        <f>IF(gamma!CJ79,VLOOKUP(zeta!CJ$1,main!$A$3:$H$102,5,FALSE)-VLOOKUP(zeta!$A79,main!$A$3:$H$102,6,FALSE),0)</f>
        <v>130</v>
      </c>
      <c r="CK79">
        <f>IF(gamma!CK79,VLOOKUP(zeta!CK$1,main!$A$3:$H$102,5,FALSE)-VLOOKUP(zeta!$A79,main!$A$3:$H$102,6,FALSE),0)</f>
        <v>24</v>
      </c>
      <c r="CL79">
        <f>IF(gamma!CL79,VLOOKUP(zeta!CL$1,main!$A$3:$H$102,5,FALSE)-VLOOKUP(zeta!$A79,main!$A$3:$H$102,6,FALSE),0)</f>
        <v>140</v>
      </c>
      <c r="CM79">
        <f>IF(gamma!CM79,VLOOKUP(zeta!CM$1,main!$A$3:$H$102,5,FALSE)-VLOOKUP(zeta!$A79,main!$A$3:$H$102,6,FALSE),0)</f>
        <v>316</v>
      </c>
      <c r="CN79">
        <f>IF(gamma!CN79,VLOOKUP(zeta!CN$1,main!$A$3:$H$102,5,FALSE)-VLOOKUP(zeta!$A79,main!$A$3:$H$102,6,FALSE),0)</f>
        <v>540</v>
      </c>
      <c r="CO79">
        <f>IF(gamma!CO79,VLOOKUP(zeta!CO$1,main!$A$3:$H$102,5,FALSE)-VLOOKUP(zeta!$A79,main!$A$3:$H$102,6,FALSE),0)</f>
        <v>0</v>
      </c>
      <c r="CP79">
        <f>IF(gamma!CP79,VLOOKUP(zeta!CP$1,main!$A$3:$H$102,5,FALSE)-VLOOKUP(zeta!$A79,main!$A$3:$H$102,6,FALSE),0)</f>
        <v>105</v>
      </c>
      <c r="CQ79">
        <f>IF(gamma!CQ79,VLOOKUP(zeta!CQ$1,main!$A$3:$H$102,5,FALSE)-VLOOKUP(zeta!$A79,main!$A$3:$H$102,6,FALSE),0)</f>
        <v>120</v>
      </c>
      <c r="CR79">
        <f>IF(gamma!CR79,VLOOKUP(zeta!CR$1,main!$A$3:$H$102,5,FALSE)-VLOOKUP(zeta!$A79,main!$A$3:$H$102,6,FALSE),0)</f>
        <v>305</v>
      </c>
      <c r="CS79">
        <f>IF(gamma!CS79,VLOOKUP(zeta!CS$1,main!$A$3:$H$102,5,FALSE)-VLOOKUP(zeta!$A79,main!$A$3:$H$102,6,FALSE),0)</f>
        <v>315</v>
      </c>
      <c r="CT79">
        <f>IF(gamma!CT79,VLOOKUP(zeta!CT$1,main!$A$3:$H$102,5,FALSE)-VLOOKUP(zeta!$A79,main!$A$3:$H$102,6,FALSE),0)</f>
        <v>0</v>
      </c>
      <c r="CU79">
        <f>IF(gamma!CU79,VLOOKUP(zeta!CU$1,main!$A$3:$H$102,5,FALSE)-VLOOKUP(zeta!$A79,main!$A$3:$H$102,6,FALSE),0)</f>
        <v>0</v>
      </c>
      <c r="CV79">
        <f>IF(gamma!CV79,VLOOKUP(zeta!CV$1,main!$A$3:$H$102,5,FALSE)-VLOOKUP(zeta!$A79,main!$A$3:$H$102,6,FALSE),0)</f>
        <v>120</v>
      </c>
      <c r="CW79">
        <f>IF(gamma!CW79,VLOOKUP(zeta!CW$1,main!$A$3:$H$102,5,FALSE)-VLOOKUP(zeta!$A79,main!$A$3:$H$102,6,FALSE),0)</f>
        <v>305</v>
      </c>
      <c r="CX79">
        <f>IF(gamma!CX79,VLOOKUP(zeta!CX$1,main!$A$3:$H$102,5,FALSE)-VLOOKUP(zeta!$A79,main!$A$3:$H$102,6,FALSE),0)</f>
        <v>345</v>
      </c>
    </row>
    <row r="80" spans="1:102" x14ac:dyDescent="0.25">
      <c r="A80">
        <f t="shared" si="2"/>
        <v>78</v>
      </c>
      <c r="B80">
        <v>0</v>
      </c>
      <c r="C80">
        <f>IF(gamma!C80,VLOOKUP(zeta!C$1,main!$A$3:$H$102,5,FALSE)-VLOOKUP(zeta!$A80,main!$A$3:$H$102,6,FALSE),0)</f>
        <v>0</v>
      </c>
      <c r="D80">
        <f>IF(gamma!D80,VLOOKUP(zeta!D$1,main!$A$3:$H$102,5,FALSE)-VLOOKUP(zeta!$A80,main!$A$3:$H$102,6,FALSE),0)</f>
        <v>0</v>
      </c>
      <c r="E80">
        <f>IF(gamma!E80,VLOOKUP(zeta!E$1,main!$A$3:$H$102,5,FALSE)-VLOOKUP(zeta!$A80,main!$A$3:$H$102,6,FALSE),0)</f>
        <v>0</v>
      </c>
      <c r="F80">
        <f>IF(gamma!F80,VLOOKUP(zeta!F$1,main!$A$3:$H$102,5,FALSE)-VLOOKUP(zeta!$A80,main!$A$3:$H$102,6,FALSE),0)</f>
        <v>0</v>
      </c>
      <c r="G80">
        <f>IF(gamma!G80,VLOOKUP(zeta!G$1,main!$A$3:$H$102,5,FALSE)-VLOOKUP(zeta!$A80,main!$A$3:$H$102,6,FALSE),0)</f>
        <v>0</v>
      </c>
      <c r="H80">
        <f>IF(gamma!H80,VLOOKUP(zeta!H$1,main!$A$3:$H$102,5,FALSE)-VLOOKUP(zeta!$A80,main!$A$3:$H$102,6,FALSE),0)</f>
        <v>0</v>
      </c>
      <c r="I80">
        <f>IF(gamma!I80,VLOOKUP(zeta!I$1,main!$A$3:$H$102,5,FALSE)-VLOOKUP(zeta!$A80,main!$A$3:$H$102,6,FALSE),0)</f>
        <v>0</v>
      </c>
      <c r="J80">
        <f>IF(gamma!J80,VLOOKUP(zeta!J$1,main!$A$3:$H$102,5,FALSE)-VLOOKUP(zeta!$A80,main!$A$3:$H$102,6,FALSE),0)</f>
        <v>70</v>
      </c>
      <c r="K80">
        <f>IF(gamma!K80,VLOOKUP(zeta!K$1,main!$A$3:$H$102,5,FALSE)-VLOOKUP(zeta!$A80,main!$A$3:$H$102,6,FALSE),0)</f>
        <v>130</v>
      </c>
      <c r="L80">
        <f>IF(gamma!L80,VLOOKUP(zeta!L$1,main!$A$3:$H$102,5,FALSE)-VLOOKUP(zeta!$A80,main!$A$3:$H$102,6,FALSE),0)</f>
        <v>220</v>
      </c>
      <c r="M80">
        <f>IF(gamma!M80,VLOOKUP(zeta!M$1,main!$A$3:$H$102,5,FALSE)-VLOOKUP(zeta!$A80,main!$A$3:$H$102,6,FALSE),0)</f>
        <v>0</v>
      </c>
      <c r="N80">
        <f>IF(gamma!N80,VLOOKUP(zeta!N$1,main!$A$3:$H$102,5,FALSE)-VLOOKUP(zeta!$A80,main!$A$3:$H$102,6,FALSE),0)</f>
        <v>0</v>
      </c>
      <c r="O80">
        <f>IF(gamma!O80,VLOOKUP(zeta!O$1,main!$A$3:$H$102,5,FALSE)-VLOOKUP(zeta!$A80,main!$A$3:$H$102,6,FALSE),0)</f>
        <v>0</v>
      </c>
      <c r="P80">
        <f>IF(gamma!P80,VLOOKUP(zeta!P$1,main!$A$3:$H$102,5,FALSE)-VLOOKUP(zeta!$A80,main!$A$3:$H$102,6,FALSE),0)</f>
        <v>0</v>
      </c>
      <c r="Q80">
        <f>IF(gamma!Q80,VLOOKUP(zeta!Q$1,main!$A$3:$H$102,5,FALSE)-VLOOKUP(zeta!$A80,main!$A$3:$H$102,6,FALSE),0)</f>
        <v>0</v>
      </c>
      <c r="R80">
        <f>IF(gamma!R80,VLOOKUP(zeta!R$1,main!$A$3:$H$102,5,FALSE)-VLOOKUP(zeta!$A80,main!$A$3:$H$102,6,FALSE),0)</f>
        <v>0</v>
      </c>
      <c r="S80">
        <f>IF(gamma!S80,VLOOKUP(zeta!S$1,main!$A$3:$H$102,5,FALSE)-VLOOKUP(zeta!$A80,main!$A$3:$H$102,6,FALSE),0)</f>
        <v>0</v>
      </c>
      <c r="T80">
        <f>IF(gamma!T80,VLOOKUP(zeta!T$1,main!$A$3:$H$102,5,FALSE)-VLOOKUP(zeta!$A80,main!$A$3:$H$102,6,FALSE),0)</f>
        <v>0</v>
      </c>
      <c r="U80">
        <f>IF(gamma!U80,VLOOKUP(zeta!U$1,main!$A$3:$H$102,5,FALSE)-VLOOKUP(zeta!$A80,main!$A$3:$H$102,6,FALSE),0)</f>
        <v>185</v>
      </c>
      <c r="V80">
        <f>IF(gamma!V80,VLOOKUP(zeta!V$1,main!$A$3:$H$102,5,FALSE)-VLOOKUP(zeta!$A80,main!$A$3:$H$102,6,FALSE),0)</f>
        <v>245</v>
      </c>
      <c r="W80">
        <f>IF(gamma!W80,VLOOKUP(zeta!W$1,main!$A$3:$H$102,5,FALSE)-VLOOKUP(zeta!$A80,main!$A$3:$H$102,6,FALSE),0)</f>
        <v>0</v>
      </c>
      <c r="X80">
        <f>IF(gamma!X80,VLOOKUP(zeta!X$1,main!$A$3:$H$102,5,FALSE)-VLOOKUP(zeta!$A80,main!$A$3:$H$102,6,FALSE),0)</f>
        <v>0</v>
      </c>
      <c r="Y80">
        <f>IF(gamma!Y80,VLOOKUP(zeta!Y$1,main!$A$3:$H$102,5,FALSE)-VLOOKUP(zeta!$A80,main!$A$3:$H$102,6,FALSE),0)</f>
        <v>0</v>
      </c>
      <c r="Z80">
        <f>IF(gamma!Z80,VLOOKUP(zeta!Z$1,main!$A$3:$H$102,5,FALSE)-VLOOKUP(zeta!$A80,main!$A$3:$H$102,6,FALSE),0)</f>
        <v>0</v>
      </c>
      <c r="AA80">
        <f>IF(gamma!AA80,VLOOKUP(zeta!AA$1,main!$A$3:$H$102,5,FALSE)-VLOOKUP(zeta!$A80,main!$A$3:$H$102,6,FALSE),0)</f>
        <v>150</v>
      </c>
      <c r="AB80">
        <f>IF(gamma!AB80,VLOOKUP(zeta!AB$1,main!$A$3:$H$102,5,FALSE)-VLOOKUP(zeta!$A80,main!$A$3:$H$102,6,FALSE),0)</f>
        <v>0</v>
      </c>
      <c r="AC80">
        <f>IF(gamma!AC80,VLOOKUP(zeta!AC$1,main!$A$3:$H$102,5,FALSE)-VLOOKUP(zeta!$A80,main!$A$3:$H$102,6,FALSE),0)</f>
        <v>0</v>
      </c>
      <c r="AD80">
        <f>IF(gamma!AD80,VLOOKUP(zeta!AD$1,main!$A$3:$H$102,5,FALSE)-VLOOKUP(zeta!$A80,main!$A$3:$H$102,6,FALSE),0)</f>
        <v>0</v>
      </c>
      <c r="AE80">
        <f>IF(gamma!AE80,VLOOKUP(zeta!AE$1,main!$A$3:$H$102,5,FALSE)-VLOOKUP(zeta!$A80,main!$A$3:$H$102,6,FALSE),0)</f>
        <v>0</v>
      </c>
      <c r="AF80">
        <f>IF(gamma!AF80,VLOOKUP(zeta!AF$1,main!$A$3:$H$102,5,FALSE)-VLOOKUP(zeta!$A80,main!$A$3:$H$102,6,FALSE),0)</f>
        <v>130</v>
      </c>
      <c r="AG80">
        <f>IF(gamma!AG80,VLOOKUP(zeta!AG$1,main!$A$3:$H$102,5,FALSE)-VLOOKUP(zeta!$A80,main!$A$3:$H$102,6,FALSE),0)</f>
        <v>0</v>
      </c>
      <c r="AH80">
        <f>IF(gamma!AH80,VLOOKUP(zeta!AH$1,main!$A$3:$H$102,5,FALSE)-VLOOKUP(zeta!$A80,main!$A$3:$H$102,6,FALSE),0)</f>
        <v>0</v>
      </c>
      <c r="AI80">
        <f>IF(gamma!AI80,VLOOKUP(zeta!AI$1,main!$A$3:$H$102,5,FALSE)-VLOOKUP(zeta!$A80,main!$A$3:$H$102,6,FALSE),0)</f>
        <v>0</v>
      </c>
      <c r="AJ80">
        <f>IF(gamma!AJ80,VLOOKUP(zeta!AJ$1,main!$A$3:$H$102,5,FALSE)-VLOOKUP(zeta!$A80,main!$A$3:$H$102,6,FALSE),0)</f>
        <v>0</v>
      </c>
      <c r="AK80">
        <f>IF(gamma!AK80,VLOOKUP(zeta!AK$1,main!$A$3:$H$102,5,FALSE)-VLOOKUP(zeta!$A80,main!$A$3:$H$102,6,FALSE),0)</f>
        <v>0</v>
      </c>
      <c r="AL80">
        <f>IF(gamma!AL80,VLOOKUP(zeta!AL$1,main!$A$3:$H$102,5,FALSE)-VLOOKUP(zeta!$A80,main!$A$3:$H$102,6,FALSE),0)</f>
        <v>0</v>
      </c>
      <c r="AM80">
        <f>IF(gamma!AM80,VLOOKUP(zeta!AM$1,main!$A$3:$H$102,5,FALSE)-VLOOKUP(zeta!$A80,main!$A$3:$H$102,6,FALSE),0)</f>
        <v>110</v>
      </c>
      <c r="AN80">
        <f>IF(gamma!AN80,VLOOKUP(zeta!AN$1,main!$A$3:$H$102,5,FALSE)-VLOOKUP(zeta!$A80,main!$A$3:$H$102,6,FALSE),0)</f>
        <v>170</v>
      </c>
      <c r="AO80">
        <f>IF(gamma!AO80,VLOOKUP(zeta!AO$1,main!$A$3:$H$102,5,FALSE)-VLOOKUP(zeta!$A80,main!$A$3:$H$102,6,FALSE),0)</f>
        <v>0</v>
      </c>
      <c r="AP80">
        <f>IF(gamma!AP80,VLOOKUP(zeta!AP$1,main!$A$3:$H$102,5,FALSE)-VLOOKUP(zeta!$A80,main!$A$3:$H$102,6,FALSE),0)</f>
        <v>230</v>
      </c>
      <c r="AQ80">
        <f>IF(gamma!AQ80,VLOOKUP(zeta!AQ$1,main!$A$3:$H$102,5,FALSE)-VLOOKUP(zeta!$A80,main!$A$3:$H$102,6,FALSE),0)</f>
        <v>0</v>
      </c>
      <c r="AR80">
        <f>IF(gamma!AR80,VLOOKUP(zeta!AR$1,main!$A$3:$H$102,5,FALSE)-VLOOKUP(zeta!$A80,main!$A$3:$H$102,6,FALSE),0)</f>
        <v>0</v>
      </c>
      <c r="AS80">
        <f>IF(gamma!AS80,VLOOKUP(zeta!AS$1,main!$A$3:$H$102,5,FALSE)-VLOOKUP(zeta!$A80,main!$A$3:$H$102,6,FALSE),0)</f>
        <v>0</v>
      </c>
      <c r="AT80">
        <f>IF(gamma!AT80,VLOOKUP(zeta!AT$1,main!$A$3:$H$102,5,FALSE)-VLOOKUP(zeta!$A80,main!$A$3:$H$102,6,FALSE),0)</f>
        <v>0</v>
      </c>
      <c r="AU80">
        <f>IF(gamma!AU80,VLOOKUP(zeta!AU$1,main!$A$3:$H$102,5,FALSE)-VLOOKUP(zeta!$A80,main!$A$3:$H$102,6,FALSE),0)</f>
        <v>0</v>
      </c>
      <c r="AV80">
        <f>IF(gamma!AV80,VLOOKUP(zeta!AV$1,main!$A$3:$H$102,5,FALSE)-VLOOKUP(zeta!$A80,main!$A$3:$H$102,6,FALSE),0)</f>
        <v>0</v>
      </c>
      <c r="AW80">
        <f>IF(gamma!AW80,VLOOKUP(zeta!AW$1,main!$A$3:$H$102,5,FALSE)-VLOOKUP(zeta!$A80,main!$A$3:$H$102,6,FALSE),0)</f>
        <v>0</v>
      </c>
      <c r="AX80">
        <f>IF(gamma!AX80,VLOOKUP(zeta!AX$1,main!$A$3:$H$102,5,FALSE)-VLOOKUP(zeta!$A80,main!$A$3:$H$102,6,FALSE),0)</f>
        <v>0</v>
      </c>
      <c r="AY80">
        <f>IF(gamma!AY80,VLOOKUP(zeta!AY$1,main!$A$3:$H$102,5,FALSE)-VLOOKUP(zeta!$A80,main!$A$3:$H$102,6,FALSE),0)</f>
        <v>0</v>
      </c>
      <c r="AZ80">
        <f>IF(gamma!AZ80,VLOOKUP(zeta!AZ$1,main!$A$3:$H$102,5,FALSE)-VLOOKUP(zeta!$A80,main!$A$3:$H$102,6,FALSE),0)</f>
        <v>0</v>
      </c>
      <c r="BA80">
        <f>IF(gamma!BA80,VLOOKUP(zeta!BA$1,main!$A$3:$H$102,5,FALSE)-VLOOKUP(zeta!$A80,main!$A$3:$H$102,6,FALSE),0)</f>
        <v>0</v>
      </c>
      <c r="BB80">
        <f>IF(gamma!BB80,VLOOKUP(zeta!BB$1,main!$A$3:$H$102,5,FALSE)-VLOOKUP(zeta!$A80,main!$A$3:$H$102,6,FALSE),0)</f>
        <v>0</v>
      </c>
      <c r="BC80">
        <f>IF(gamma!BC80,VLOOKUP(zeta!BC$1,main!$A$3:$H$102,5,FALSE)-VLOOKUP(zeta!$A80,main!$A$3:$H$102,6,FALSE),0)</f>
        <v>0</v>
      </c>
      <c r="BD80">
        <f>IF(gamma!BD80,VLOOKUP(zeta!BD$1,main!$A$3:$H$102,5,FALSE)-VLOOKUP(zeta!$A80,main!$A$3:$H$102,6,FALSE),0)</f>
        <v>0</v>
      </c>
      <c r="BE80">
        <f>IF(gamma!BE80,VLOOKUP(zeta!BE$1,main!$A$3:$H$102,5,FALSE)-VLOOKUP(zeta!$A80,main!$A$3:$H$102,6,FALSE),0)</f>
        <v>70</v>
      </c>
      <c r="BF80">
        <f>IF(gamma!BF80,VLOOKUP(zeta!BF$1,main!$A$3:$H$102,5,FALSE)-VLOOKUP(zeta!$A80,main!$A$3:$H$102,6,FALSE),0)</f>
        <v>0</v>
      </c>
      <c r="BG80">
        <f>IF(gamma!BG80,VLOOKUP(zeta!BG$1,main!$A$3:$H$102,5,FALSE)-VLOOKUP(zeta!$A80,main!$A$3:$H$102,6,FALSE),0)</f>
        <v>0</v>
      </c>
      <c r="BH80">
        <f>IF(gamma!BH80,VLOOKUP(zeta!BH$1,main!$A$3:$H$102,5,FALSE)-VLOOKUP(zeta!$A80,main!$A$3:$H$102,6,FALSE),0)</f>
        <v>0</v>
      </c>
      <c r="BI80">
        <f>IF(gamma!BI80,VLOOKUP(zeta!BI$1,main!$A$3:$H$102,5,FALSE)-VLOOKUP(zeta!$A80,main!$A$3:$H$102,6,FALSE),0)</f>
        <v>240</v>
      </c>
      <c r="BJ80">
        <f>IF(gamma!BJ80,VLOOKUP(zeta!BJ$1,main!$A$3:$H$102,5,FALSE)-VLOOKUP(zeta!$A80,main!$A$3:$H$102,6,FALSE),0)</f>
        <v>0</v>
      </c>
      <c r="BK80">
        <f>IF(gamma!BK80,VLOOKUP(zeta!BK$1,main!$A$3:$H$102,5,FALSE)-VLOOKUP(zeta!$A80,main!$A$3:$H$102,6,FALSE),0)</f>
        <v>0</v>
      </c>
      <c r="BL80">
        <f>IF(gamma!BL80,VLOOKUP(zeta!BL$1,main!$A$3:$H$102,5,FALSE)-VLOOKUP(zeta!$A80,main!$A$3:$H$102,6,FALSE),0)</f>
        <v>0</v>
      </c>
      <c r="BM80">
        <f>IF(gamma!BM80,VLOOKUP(zeta!BM$1,main!$A$3:$H$102,5,FALSE)-VLOOKUP(zeta!$A80,main!$A$3:$H$102,6,FALSE),0)</f>
        <v>0</v>
      </c>
      <c r="BN80">
        <f>IF(gamma!BN80,VLOOKUP(zeta!BN$1,main!$A$3:$H$102,5,FALSE)-VLOOKUP(zeta!$A80,main!$A$3:$H$102,6,FALSE),0)</f>
        <v>0</v>
      </c>
      <c r="BO80">
        <f>IF(gamma!BO80,VLOOKUP(zeta!BO$1,main!$A$3:$H$102,5,FALSE)-VLOOKUP(zeta!$A80,main!$A$3:$H$102,6,FALSE),0)</f>
        <v>0</v>
      </c>
      <c r="BP80">
        <f>IF(gamma!BP80,VLOOKUP(zeta!BP$1,main!$A$3:$H$102,5,FALSE)-VLOOKUP(zeta!$A80,main!$A$3:$H$102,6,FALSE),0)</f>
        <v>0</v>
      </c>
      <c r="BQ80">
        <f>IF(gamma!BQ80,VLOOKUP(zeta!BQ$1,main!$A$3:$H$102,5,FALSE)-VLOOKUP(zeta!$A80,main!$A$3:$H$102,6,FALSE),0)</f>
        <v>0</v>
      </c>
      <c r="BR80">
        <f>IF(gamma!BR80,VLOOKUP(zeta!BR$1,main!$A$3:$H$102,5,FALSE)-VLOOKUP(zeta!$A80,main!$A$3:$H$102,6,FALSE),0)</f>
        <v>0</v>
      </c>
      <c r="BS80">
        <f>IF(gamma!BS80,VLOOKUP(zeta!BS$1,main!$A$3:$H$102,5,FALSE)-VLOOKUP(zeta!$A80,main!$A$3:$H$102,6,FALSE),0)</f>
        <v>0</v>
      </c>
      <c r="BT80">
        <f>IF(gamma!BT80,VLOOKUP(zeta!BT$1,main!$A$3:$H$102,5,FALSE)-VLOOKUP(zeta!$A80,main!$A$3:$H$102,6,FALSE),0)</f>
        <v>0</v>
      </c>
      <c r="BU80">
        <f>IF(gamma!BU80,VLOOKUP(zeta!BU$1,main!$A$3:$H$102,5,FALSE)-VLOOKUP(zeta!$A80,main!$A$3:$H$102,6,FALSE),0)</f>
        <v>0</v>
      </c>
      <c r="BV80">
        <f>IF(gamma!BV80,VLOOKUP(zeta!BV$1,main!$A$3:$H$102,5,FALSE)-VLOOKUP(zeta!$A80,main!$A$3:$H$102,6,FALSE),0)</f>
        <v>0</v>
      </c>
      <c r="BW80">
        <f>IF(gamma!BW80,VLOOKUP(zeta!BW$1,main!$A$3:$H$102,5,FALSE)-VLOOKUP(zeta!$A80,main!$A$3:$H$102,6,FALSE),0)</f>
        <v>0</v>
      </c>
      <c r="BX80">
        <f>IF(gamma!BX80,VLOOKUP(zeta!BX$1,main!$A$3:$H$102,5,FALSE)-VLOOKUP(zeta!$A80,main!$A$3:$H$102,6,FALSE),0)</f>
        <v>0</v>
      </c>
      <c r="BY80">
        <f>IF(gamma!BY80,VLOOKUP(zeta!BY$1,main!$A$3:$H$102,5,FALSE)-VLOOKUP(zeta!$A80,main!$A$3:$H$102,6,FALSE),0)</f>
        <v>0</v>
      </c>
      <c r="BZ80">
        <f>IF(gamma!BZ80,VLOOKUP(zeta!BZ$1,main!$A$3:$H$102,5,FALSE)-VLOOKUP(zeta!$A80,main!$A$3:$H$102,6,FALSE),0)</f>
        <v>0</v>
      </c>
      <c r="CA80">
        <f>IF(gamma!CA80,VLOOKUP(zeta!CA$1,main!$A$3:$H$102,5,FALSE)-VLOOKUP(zeta!$A80,main!$A$3:$H$102,6,FALSE),0)</f>
        <v>0</v>
      </c>
      <c r="CB80">
        <f>IF(gamma!CB80,VLOOKUP(zeta!CB$1,main!$A$3:$H$102,5,FALSE)-VLOOKUP(zeta!$A80,main!$A$3:$H$102,6,FALSE),0)</f>
        <v>0</v>
      </c>
      <c r="CC80">
        <f>IF(gamma!CC80,VLOOKUP(zeta!CC$1,main!$A$3:$H$102,5,FALSE)-VLOOKUP(zeta!$A80,main!$A$3:$H$102,6,FALSE),0)</f>
        <v>145</v>
      </c>
      <c r="CD80">
        <f>IF(gamma!CD80,VLOOKUP(zeta!CD$1,main!$A$3:$H$102,5,FALSE)-VLOOKUP(zeta!$A80,main!$A$3:$H$102,6,FALSE),0)</f>
        <v>0</v>
      </c>
      <c r="CE80">
        <f>IF(gamma!CE80,VLOOKUP(zeta!CE$1,main!$A$3:$H$102,5,FALSE)-VLOOKUP(zeta!$A80,main!$A$3:$H$102,6,FALSE),0)</f>
        <v>0</v>
      </c>
      <c r="CF80">
        <f>IF(gamma!CF80,VLOOKUP(zeta!CF$1,main!$A$3:$H$102,5,FALSE)-VLOOKUP(zeta!$A80,main!$A$3:$H$102,6,FALSE),0)</f>
        <v>0</v>
      </c>
      <c r="CG80">
        <f>IF(gamma!CG80,VLOOKUP(zeta!CG$1,main!$A$3:$H$102,5,FALSE)-VLOOKUP(zeta!$A80,main!$A$3:$H$102,6,FALSE),0)</f>
        <v>0</v>
      </c>
      <c r="CH80">
        <f>IF(gamma!CH80,VLOOKUP(zeta!CH$1,main!$A$3:$H$102,5,FALSE)-VLOOKUP(zeta!$A80,main!$A$3:$H$102,6,FALSE),0)</f>
        <v>30</v>
      </c>
      <c r="CI80">
        <f>IF(gamma!CI80,VLOOKUP(zeta!CI$1,main!$A$3:$H$102,5,FALSE)-VLOOKUP(zeta!$A80,main!$A$3:$H$102,6,FALSE),0)</f>
        <v>230</v>
      </c>
      <c r="CJ80">
        <f>IF(gamma!CJ80,VLOOKUP(zeta!CJ$1,main!$A$3:$H$102,5,FALSE)-VLOOKUP(zeta!$A80,main!$A$3:$H$102,6,FALSE),0)</f>
        <v>0</v>
      </c>
      <c r="CK80">
        <f>IF(gamma!CK80,VLOOKUP(zeta!CK$1,main!$A$3:$H$102,5,FALSE)-VLOOKUP(zeta!$A80,main!$A$3:$H$102,6,FALSE),0)</f>
        <v>0</v>
      </c>
      <c r="CL80">
        <f>IF(gamma!CL80,VLOOKUP(zeta!CL$1,main!$A$3:$H$102,5,FALSE)-VLOOKUP(zeta!$A80,main!$A$3:$H$102,6,FALSE),0)</f>
        <v>0</v>
      </c>
      <c r="CM80">
        <f>IF(gamma!CM80,VLOOKUP(zeta!CM$1,main!$A$3:$H$102,5,FALSE)-VLOOKUP(zeta!$A80,main!$A$3:$H$102,6,FALSE),0)</f>
        <v>0</v>
      </c>
      <c r="CN80">
        <f>IF(gamma!CN80,VLOOKUP(zeta!CN$1,main!$A$3:$H$102,5,FALSE)-VLOOKUP(zeta!$A80,main!$A$3:$H$102,6,FALSE),0)</f>
        <v>230</v>
      </c>
      <c r="CO80">
        <f>IF(gamma!CO80,VLOOKUP(zeta!CO$1,main!$A$3:$H$102,5,FALSE)-VLOOKUP(zeta!$A80,main!$A$3:$H$102,6,FALSE),0)</f>
        <v>0</v>
      </c>
      <c r="CP80">
        <f>IF(gamma!CP80,VLOOKUP(zeta!CP$1,main!$A$3:$H$102,5,FALSE)-VLOOKUP(zeta!$A80,main!$A$3:$H$102,6,FALSE),0)</f>
        <v>0</v>
      </c>
      <c r="CQ80">
        <f>IF(gamma!CQ80,VLOOKUP(zeta!CQ$1,main!$A$3:$H$102,5,FALSE)-VLOOKUP(zeta!$A80,main!$A$3:$H$102,6,FALSE),0)</f>
        <v>0</v>
      </c>
      <c r="CR80">
        <f>IF(gamma!CR80,VLOOKUP(zeta!CR$1,main!$A$3:$H$102,5,FALSE)-VLOOKUP(zeta!$A80,main!$A$3:$H$102,6,FALSE),0)</f>
        <v>0</v>
      </c>
      <c r="CS80">
        <f>IF(gamma!CS80,VLOOKUP(zeta!CS$1,main!$A$3:$H$102,5,FALSE)-VLOOKUP(zeta!$A80,main!$A$3:$H$102,6,FALSE),0)</f>
        <v>0</v>
      </c>
      <c r="CT80">
        <f>IF(gamma!CT80,VLOOKUP(zeta!CT$1,main!$A$3:$H$102,5,FALSE)-VLOOKUP(zeta!$A80,main!$A$3:$H$102,6,FALSE),0)</f>
        <v>0</v>
      </c>
      <c r="CU80">
        <f>IF(gamma!CU80,VLOOKUP(zeta!CU$1,main!$A$3:$H$102,5,FALSE)-VLOOKUP(zeta!$A80,main!$A$3:$H$102,6,FALSE),0)</f>
        <v>0</v>
      </c>
      <c r="CV80">
        <f>IF(gamma!CV80,VLOOKUP(zeta!CV$1,main!$A$3:$H$102,5,FALSE)-VLOOKUP(zeta!$A80,main!$A$3:$H$102,6,FALSE),0)</f>
        <v>0</v>
      </c>
      <c r="CW80">
        <f>IF(gamma!CW80,VLOOKUP(zeta!CW$1,main!$A$3:$H$102,5,FALSE)-VLOOKUP(zeta!$A80,main!$A$3:$H$102,6,FALSE),0)</f>
        <v>0</v>
      </c>
      <c r="CX80">
        <f>IF(gamma!CX80,VLOOKUP(zeta!CX$1,main!$A$3:$H$102,5,FALSE)-VLOOKUP(zeta!$A80,main!$A$3:$H$102,6,FALSE),0)</f>
        <v>35</v>
      </c>
    </row>
    <row r="81" spans="1:102" x14ac:dyDescent="0.25">
      <c r="A81">
        <f t="shared" si="2"/>
        <v>79</v>
      </c>
      <c r="B81">
        <v>0</v>
      </c>
      <c r="C81">
        <f>IF(gamma!C81,VLOOKUP(zeta!C$1,main!$A$3:$H$102,5,FALSE)-VLOOKUP(zeta!$A81,main!$A$3:$H$102,6,FALSE),0)</f>
        <v>0</v>
      </c>
      <c r="D81">
        <f>IF(gamma!D81,VLOOKUP(zeta!D$1,main!$A$3:$H$102,5,FALSE)-VLOOKUP(zeta!$A81,main!$A$3:$H$102,6,FALSE),0)</f>
        <v>0</v>
      </c>
      <c r="E81">
        <f>IF(gamma!E81,VLOOKUP(zeta!E$1,main!$A$3:$H$102,5,FALSE)-VLOOKUP(zeta!$A81,main!$A$3:$H$102,6,FALSE),0)</f>
        <v>0</v>
      </c>
      <c r="F81">
        <f>IF(gamma!F81,VLOOKUP(zeta!F$1,main!$A$3:$H$102,5,FALSE)-VLOOKUP(zeta!$A81,main!$A$3:$H$102,6,FALSE),0)</f>
        <v>0</v>
      </c>
      <c r="G81">
        <f>IF(gamma!G81,VLOOKUP(zeta!G$1,main!$A$3:$H$102,5,FALSE)-VLOOKUP(zeta!$A81,main!$A$3:$H$102,6,FALSE),0)</f>
        <v>0</v>
      </c>
      <c r="H81">
        <f>IF(gamma!H81,VLOOKUP(zeta!H$1,main!$A$3:$H$102,5,FALSE)-VLOOKUP(zeta!$A81,main!$A$3:$H$102,6,FALSE),0)</f>
        <v>0</v>
      </c>
      <c r="I81">
        <f>IF(gamma!I81,VLOOKUP(zeta!I$1,main!$A$3:$H$102,5,FALSE)-VLOOKUP(zeta!$A81,main!$A$3:$H$102,6,FALSE),0)</f>
        <v>0</v>
      </c>
      <c r="J81">
        <f>IF(gamma!J81,VLOOKUP(zeta!J$1,main!$A$3:$H$102,5,FALSE)-VLOOKUP(zeta!$A81,main!$A$3:$H$102,6,FALSE),0)</f>
        <v>0</v>
      </c>
      <c r="K81">
        <f>IF(gamma!K81,VLOOKUP(zeta!K$1,main!$A$3:$H$102,5,FALSE)-VLOOKUP(zeta!$A81,main!$A$3:$H$102,6,FALSE),0)</f>
        <v>0</v>
      </c>
      <c r="L81">
        <f>IF(gamma!L81,VLOOKUP(zeta!L$1,main!$A$3:$H$102,5,FALSE)-VLOOKUP(zeta!$A81,main!$A$3:$H$102,6,FALSE),0)</f>
        <v>0</v>
      </c>
      <c r="M81">
        <f>IF(gamma!M81,VLOOKUP(zeta!M$1,main!$A$3:$H$102,5,FALSE)-VLOOKUP(zeta!$A81,main!$A$3:$H$102,6,FALSE),0)</f>
        <v>0</v>
      </c>
      <c r="N81">
        <f>IF(gamma!N81,VLOOKUP(zeta!N$1,main!$A$3:$H$102,5,FALSE)-VLOOKUP(zeta!$A81,main!$A$3:$H$102,6,FALSE),0)</f>
        <v>0</v>
      </c>
      <c r="O81">
        <f>IF(gamma!O81,VLOOKUP(zeta!O$1,main!$A$3:$H$102,5,FALSE)-VLOOKUP(zeta!$A81,main!$A$3:$H$102,6,FALSE),0)</f>
        <v>0</v>
      </c>
      <c r="P81">
        <f>IF(gamma!P81,VLOOKUP(zeta!P$1,main!$A$3:$H$102,5,FALSE)-VLOOKUP(zeta!$A81,main!$A$3:$H$102,6,FALSE),0)</f>
        <v>0</v>
      </c>
      <c r="Q81">
        <f>IF(gamma!Q81,VLOOKUP(zeta!Q$1,main!$A$3:$H$102,5,FALSE)-VLOOKUP(zeta!$A81,main!$A$3:$H$102,6,FALSE),0)</f>
        <v>0</v>
      </c>
      <c r="R81">
        <f>IF(gamma!R81,VLOOKUP(zeta!R$1,main!$A$3:$H$102,5,FALSE)-VLOOKUP(zeta!$A81,main!$A$3:$H$102,6,FALSE),0)</f>
        <v>0</v>
      </c>
      <c r="S81">
        <f>IF(gamma!S81,VLOOKUP(zeta!S$1,main!$A$3:$H$102,5,FALSE)-VLOOKUP(zeta!$A81,main!$A$3:$H$102,6,FALSE),0)</f>
        <v>0</v>
      </c>
      <c r="T81">
        <f>IF(gamma!T81,VLOOKUP(zeta!T$1,main!$A$3:$H$102,5,FALSE)-VLOOKUP(zeta!$A81,main!$A$3:$H$102,6,FALSE),0)</f>
        <v>0</v>
      </c>
      <c r="U81">
        <f>IF(gamma!U81,VLOOKUP(zeta!U$1,main!$A$3:$H$102,5,FALSE)-VLOOKUP(zeta!$A81,main!$A$3:$H$102,6,FALSE),0)</f>
        <v>0</v>
      </c>
      <c r="V81">
        <f>IF(gamma!V81,VLOOKUP(zeta!V$1,main!$A$3:$H$102,5,FALSE)-VLOOKUP(zeta!$A81,main!$A$3:$H$102,6,FALSE),0)</f>
        <v>0</v>
      </c>
      <c r="W81">
        <f>IF(gamma!W81,VLOOKUP(zeta!W$1,main!$A$3:$H$102,5,FALSE)-VLOOKUP(zeta!$A81,main!$A$3:$H$102,6,FALSE),0)</f>
        <v>0</v>
      </c>
      <c r="X81">
        <f>IF(gamma!X81,VLOOKUP(zeta!X$1,main!$A$3:$H$102,5,FALSE)-VLOOKUP(zeta!$A81,main!$A$3:$H$102,6,FALSE),0)</f>
        <v>0</v>
      </c>
      <c r="Y81">
        <f>IF(gamma!Y81,VLOOKUP(zeta!Y$1,main!$A$3:$H$102,5,FALSE)-VLOOKUP(zeta!$A81,main!$A$3:$H$102,6,FALSE),0)</f>
        <v>0</v>
      </c>
      <c r="Z81">
        <f>IF(gamma!Z81,VLOOKUP(zeta!Z$1,main!$A$3:$H$102,5,FALSE)-VLOOKUP(zeta!$A81,main!$A$3:$H$102,6,FALSE),0)</f>
        <v>0</v>
      </c>
      <c r="AA81">
        <f>IF(gamma!AA81,VLOOKUP(zeta!AA$1,main!$A$3:$H$102,5,FALSE)-VLOOKUP(zeta!$A81,main!$A$3:$H$102,6,FALSE),0)</f>
        <v>0</v>
      </c>
      <c r="AB81">
        <f>IF(gamma!AB81,VLOOKUP(zeta!AB$1,main!$A$3:$H$102,5,FALSE)-VLOOKUP(zeta!$A81,main!$A$3:$H$102,6,FALSE),0)</f>
        <v>0</v>
      </c>
      <c r="AC81">
        <f>IF(gamma!AC81,VLOOKUP(zeta!AC$1,main!$A$3:$H$102,5,FALSE)-VLOOKUP(zeta!$A81,main!$A$3:$H$102,6,FALSE),0)</f>
        <v>0</v>
      </c>
      <c r="AD81">
        <f>IF(gamma!AD81,VLOOKUP(zeta!AD$1,main!$A$3:$H$102,5,FALSE)-VLOOKUP(zeta!$A81,main!$A$3:$H$102,6,FALSE),0)</f>
        <v>0</v>
      </c>
      <c r="AE81">
        <f>IF(gamma!AE81,VLOOKUP(zeta!AE$1,main!$A$3:$H$102,5,FALSE)-VLOOKUP(zeta!$A81,main!$A$3:$H$102,6,FALSE),0)</f>
        <v>0</v>
      </c>
      <c r="AF81">
        <f>IF(gamma!AF81,VLOOKUP(zeta!AF$1,main!$A$3:$H$102,5,FALSE)-VLOOKUP(zeta!$A81,main!$A$3:$H$102,6,FALSE),0)</f>
        <v>0</v>
      </c>
      <c r="AG81">
        <f>IF(gamma!AG81,VLOOKUP(zeta!AG$1,main!$A$3:$H$102,5,FALSE)-VLOOKUP(zeta!$A81,main!$A$3:$H$102,6,FALSE),0)</f>
        <v>0</v>
      </c>
      <c r="AH81">
        <f>IF(gamma!AH81,VLOOKUP(zeta!AH$1,main!$A$3:$H$102,5,FALSE)-VLOOKUP(zeta!$A81,main!$A$3:$H$102,6,FALSE),0)</f>
        <v>0</v>
      </c>
      <c r="AI81">
        <f>IF(gamma!AI81,VLOOKUP(zeta!AI$1,main!$A$3:$H$102,5,FALSE)-VLOOKUP(zeta!$A81,main!$A$3:$H$102,6,FALSE),0)</f>
        <v>0</v>
      </c>
      <c r="AJ81">
        <f>IF(gamma!AJ81,VLOOKUP(zeta!AJ$1,main!$A$3:$H$102,5,FALSE)-VLOOKUP(zeta!$A81,main!$A$3:$H$102,6,FALSE),0)</f>
        <v>0</v>
      </c>
      <c r="AK81">
        <f>IF(gamma!AK81,VLOOKUP(zeta!AK$1,main!$A$3:$H$102,5,FALSE)-VLOOKUP(zeta!$A81,main!$A$3:$H$102,6,FALSE),0)</f>
        <v>0</v>
      </c>
      <c r="AL81">
        <f>IF(gamma!AL81,VLOOKUP(zeta!AL$1,main!$A$3:$H$102,5,FALSE)-VLOOKUP(zeta!$A81,main!$A$3:$H$102,6,FALSE),0)</f>
        <v>0</v>
      </c>
      <c r="AM81">
        <f>IF(gamma!AM81,VLOOKUP(zeta!AM$1,main!$A$3:$H$102,5,FALSE)-VLOOKUP(zeta!$A81,main!$A$3:$H$102,6,FALSE),0)</f>
        <v>0</v>
      </c>
      <c r="AN81">
        <f>IF(gamma!AN81,VLOOKUP(zeta!AN$1,main!$A$3:$H$102,5,FALSE)-VLOOKUP(zeta!$A81,main!$A$3:$H$102,6,FALSE),0)</f>
        <v>0</v>
      </c>
      <c r="AO81">
        <f>IF(gamma!AO81,VLOOKUP(zeta!AO$1,main!$A$3:$H$102,5,FALSE)-VLOOKUP(zeta!$A81,main!$A$3:$H$102,6,FALSE),0)</f>
        <v>0</v>
      </c>
      <c r="AP81">
        <f>IF(gamma!AP81,VLOOKUP(zeta!AP$1,main!$A$3:$H$102,5,FALSE)-VLOOKUP(zeta!$A81,main!$A$3:$H$102,6,FALSE),0)</f>
        <v>0</v>
      </c>
      <c r="AQ81">
        <f>IF(gamma!AQ81,VLOOKUP(zeta!AQ$1,main!$A$3:$H$102,5,FALSE)-VLOOKUP(zeta!$A81,main!$A$3:$H$102,6,FALSE),0)</f>
        <v>0</v>
      </c>
      <c r="AR81">
        <f>IF(gamma!AR81,VLOOKUP(zeta!AR$1,main!$A$3:$H$102,5,FALSE)-VLOOKUP(zeta!$A81,main!$A$3:$H$102,6,FALSE),0)</f>
        <v>0</v>
      </c>
      <c r="AS81">
        <f>IF(gamma!AS81,VLOOKUP(zeta!AS$1,main!$A$3:$H$102,5,FALSE)-VLOOKUP(zeta!$A81,main!$A$3:$H$102,6,FALSE),0)</f>
        <v>0</v>
      </c>
      <c r="AT81">
        <f>IF(gamma!AT81,VLOOKUP(zeta!AT$1,main!$A$3:$H$102,5,FALSE)-VLOOKUP(zeta!$A81,main!$A$3:$H$102,6,FALSE),0)</f>
        <v>0</v>
      </c>
      <c r="AU81">
        <f>IF(gamma!AU81,VLOOKUP(zeta!AU$1,main!$A$3:$H$102,5,FALSE)-VLOOKUP(zeta!$A81,main!$A$3:$H$102,6,FALSE),0)</f>
        <v>0</v>
      </c>
      <c r="AV81">
        <f>IF(gamma!AV81,VLOOKUP(zeta!AV$1,main!$A$3:$H$102,5,FALSE)-VLOOKUP(zeta!$A81,main!$A$3:$H$102,6,FALSE),0)</f>
        <v>0</v>
      </c>
      <c r="AW81">
        <f>IF(gamma!AW81,VLOOKUP(zeta!AW$1,main!$A$3:$H$102,5,FALSE)-VLOOKUP(zeta!$A81,main!$A$3:$H$102,6,FALSE),0)</f>
        <v>0</v>
      </c>
      <c r="AX81">
        <f>IF(gamma!AX81,VLOOKUP(zeta!AX$1,main!$A$3:$H$102,5,FALSE)-VLOOKUP(zeta!$A81,main!$A$3:$H$102,6,FALSE),0)</f>
        <v>0</v>
      </c>
      <c r="AY81">
        <f>IF(gamma!AY81,VLOOKUP(zeta!AY$1,main!$A$3:$H$102,5,FALSE)-VLOOKUP(zeta!$A81,main!$A$3:$H$102,6,FALSE),0)</f>
        <v>0</v>
      </c>
      <c r="AZ81">
        <f>IF(gamma!AZ81,VLOOKUP(zeta!AZ$1,main!$A$3:$H$102,5,FALSE)-VLOOKUP(zeta!$A81,main!$A$3:$H$102,6,FALSE),0)</f>
        <v>0</v>
      </c>
      <c r="BA81">
        <f>IF(gamma!BA81,VLOOKUP(zeta!BA$1,main!$A$3:$H$102,5,FALSE)-VLOOKUP(zeta!$A81,main!$A$3:$H$102,6,FALSE),0)</f>
        <v>0</v>
      </c>
      <c r="BB81">
        <f>IF(gamma!BB81,VLOOKUP(zeta!BB$1,main!$A$3:$H$102,5,FALSE)-VLOOKUP(zeta!$A81,main!$A$3:$H$102,6,FALSE),0)</f>
        <v>0</v>
      </c>
      <c r="BC81">
        <f>IF(gamma!BC81,VLOOKUP(zeta!BC$1,main!$A$3:$H$102,5,FALSE)-VLOOKUP(zeta!$A81,main!$A$3:$H$102,6,FALSE),0)</f>
        <v>0</v>
      </c>
      <c r="BD81">
        <f>IF(gamma!BD81,VLOOKUP(zeta!BD$1,main!$A$3:$H$102,5,FALSE)-VLOOKUP(zeta!$A81,main!$A$3:$H$102,6,FALSE),0)</f>
        <v>0</v>
      </c>
      <c r="BE81">
        <f>IF(gamma!BE81,VLOOKUP(zeta!BE$1,main!$A$3:$H$102,5,FALSE)-VLOOKUP(zeta!$A81,main!$A$3:$H$102,6,FALSE),0)</f>
        <v>0</v>
      </c>
      <c r="BF81">
        <f>IF(gamma!BF81,VLOOKUP(zeta!BF$1,main!$A$3:$H$102,5,FALSE)-VLOOKUP(zeta!$A81,main!$A$3:$H$102,6,FALSE),0)</f>
        <v>0</v>
      </c>
      <c r="BG81">
        <f>IF(gamma!BG81,VLOOKUP(zeta!BG$1,main!$A$3:$H$102,5,FALSE)-VLOOKUP(zeta!$A81,main!$A$3:$H$102,6,FALSE),0)</f>
        <v>0</v>
      </c>
      <c r="BH81">
        <f>IF(gamma!BH81,VLOOKUP(zeta!BH$1,main!$A$3:$H$102,5,FALSE)-VLOOKUP(zeta!$A81,main!$A$3:$H$102,6,FALSE),0)</f>
        <v>0</v>
      </c>
      <c r="BI81">
        <f>IF(gamma!BI81,VLOOKUP(zeta!BI$1,main!$A$3:$H$102,5,FALSE)-VLOOKUP(zeta!$A81,main!$A$3:$H$102,6,FALSE),0)</f>
        <v>0</v>
      </c>
      <c r="BJ81">
        <f>IF(gamma!BJ81,VLOOKUP(zeta!BJ$1,main!$A$3:$H$102,5,FALSE)-VLOOKUP(zeta!$A81,main!$A$3:$H$102,6,FALSE),0)</f>
        <v>0</v>
      </c>
      <c r="BK81">
        <f>IF(gamma!BK81,VLOOKUP(zeta!BK$1,main!$A$3:$H$102,5,FALSE)-VLOOKUP(zeta!$A81,main!$A$3:$H$102,6,FALSE),0)</f>
        <v>0</v>
      </c>
      <c r="BL81">
        <f>IF(gamma!BL81,VLOOKUP(zeta!BL$1,main!$A$3:$H$102,5,FALSE)-VLOOKUP(zeta!$A81,main!$A$3:$H$102,6,FALSE),0)</f>
        <v>0</v>
      </c>
      <c r="BM81">
        <f>IF(gamma!BM81,VLOOKUP(zeta!BM$1,main!$A$3:$H$102,5,FALSE)-VLOOKUP(zeta!$A81,main!$A$3:$H$102,6,FALSE),0)</f>
        <v>0</v>
      </c>
      <c r="BN81">
        <f>IF(gamma!BN81,VLOOKUP(zeta!BN$1,main!$A$3:$H$102,5,FALSE)-VLOOKUP(zeta!$A81,main!$A$3:$H$102,6,FALSE),0)</f>
        <v>0</v>
      </c>
      <c r="BO81">
        <f>IF(gamma!BO81,VLOOKUP(zeta!BO$1,main!$A$3:$H$102,5,FALSE)-VLOOKUP(zeta!$A81,main!$A$3:$H$102,6,FALSE),0)</f>
        <v>0</v>
      </c>
      <c r="BP81">
        <f>IF(gamma!BP81,VLOOKUP(zeta!BP$1,main!$A$3:$H$102,5,FALSE)-VLOOKUP(zeta!$A81,main!$A$3:$H$102,6,FALSE),0)</f>
        <v>0</v>
      </c>
      <c r="BQ81">
        <f>IF(gamma!BQ81,VLOOKUP(zeta!BQ$1,main!$A$3:$H$102,5,FALSE)-VLOOKUP(zeta!$A81,main!$A$3:$H$102,6,FALSE),0)</f>
        <v>0</v>
      </c>
      <c r="BR81">
        <f>IF(gamma!BR81,VLOOKUP(zeta!BR$1,main!$A$3:$H$102,5,FALSE)-VLOOKUP(zeta!$A81,main!$A$3:$H$102,6,FALSE),0)</f>
        <v>0</v>
      </c>
      <c r="BS81">
        <f>IF(gamma!BS81,VLOOKUP(zeta!BS$1,main!$A$3:$H$102,5,FALSE)-VLOOKUP(zeta!$A81,main!$A$3:$H$102,6,FALSE),0)</f>
        <v>0</v>
      </c>
      <c r="BT81">
        <f>IF(gamma!BT81,VLOOKUP(zeta!BT$1,main!$A$3:$H$102,5,FALSE)-VLOOKUP(zeta!$A81,main!$A$3:$H$102,6,FALSE),0)</f>
        <v>0</v>
      </c>
      <c r="BU81">
        <f>IF(gamma!BU81,VLOOKUP(zeta!BU$1,main!$A$3:$H$102,5,FALSE)-VLOOKUP(zeta!$A81,main!$A$3:$H$102,6,FALSE),0)</f>
        <v>0</v>
      </c>
      <c r="BV81">
        <f>IF(gamma!BV81,VLOOKUP(zeta!BV$1,main!$A$3:$H$102,5,FALSE)-VLOOKUP(zeta!$A81,main!$A$3:$H$102,6,FALSE),0)</f>
        <v>0</v>
      </c>
      <c r="BW81">
        <f>IF(gamma!BW81,VLOOKUP(zeta!BW$1,main!$A$3:$H$102,5,FALSE)-VLOOKUP(zeta!$A81,main!$A$3:$H$102,6,FALSE),0)</f>
        <v>0</v>
      </c>
      <c r="BX81">
        <f>IF(gamma!BX81,VLOOKUP(zeta!BX$1,main!$A$3:$H$102,5,FALSE)-VLOOKUP(zeta!$A81,main!$A$3:$H$102,6,FALSE),0)</f>
        <v>0</v>
      </c>
      <c r="BY81">
        <f>IF(gamma!BY81,VLOOKUP(zeta!BY$1,main!$A$3:$H$102,5,FALSE)-VLOOKUP(zeta!$A81,main!$A$3:$H$102,6,FALSE),0)</f>
        <v>0</v>
      </c>
      <c r="BZ81">
        <f>IF(gamma!BZ81,VLOOKUP(zeta!BZ$1,main!$A$3:$H$102,5,FALSE)-VLOOKUP(zeta!$A81,main!$A$3:$H$102,6,FALSE),0)</f>
        <v>0</v>
      </c>
      <c r="CA81">
        <f>IF(gamma!CA81,VLOOKUP(zeta!CA$1,main!$A$3:$H$102,5,FALSE)-VLOOKUP(zeta!$A81,main!$A$3:$H$102,6,FALSE),0)</f>
        <v>0</v>
      </c>
      <c r="CB81">
        <f>IF(gamma!CB81,VLOOKUP(zeta!CB$1,main!$A$3:$H$102,5,FALSE)-VLOOKUP(zeta!$A81,main!$A$3:$H$102,6,FALSE),0)</f>
        <v>0</v>
      </c>
      <c r="CC81">
        <f>IF(gamma!CC81,VLOOKUP(zeta!CC$1,main!$A$3:$H$102,5,FALSE)-VLOOKUP(zeta!$A81,main!$A$3:$H$102,6,FALSE),0)</f>
        <v>0</v>
      </c>
      <c r="CD81">
        <f>IF(gamma!CD81,VLOOKUP(zeta!CD$1,main!$A$3:$H$102,5,FALSE)-VLOOKUP(zeta!$A81,main!$A$3:$H$102,6,FALSE),0)</f>
        <v>0</v>
      </c>
      <c r="CE81">
        <f>IF(gamma!CE81,VLOOKUP(zeta!CE$1,main!$A$3:$H$102,5,FALSE)-VLOOKUP(zeta!$A81,main!$A$3:$H$102,6,FALSE),0)</f>
        <v>0</v>
      </c>
      <c r="CF81">
        <f>IF(gamma!CF81,VLOOKUP(zeta!CF$1,main!$A$3:$H$102,5,FALSE)-VLOOKUP(zeta!$A81,main!$A$3:$H$102,6,FALSE),0)</f>
        <v>0</v>
      </c>
      <c r="CG81">
        <f>IF(gamma!CG81,VLOOKUP(zeta!CG$1,main!$A$3:$H$102,5,FALSE)-VLOOKUP(zeta!$A81,main!$A$3:$H$102,6,FALSE),0)</f>
        <v>0</v>
      </c>
      <c r="CH81">
        <f>IF(gamma!CH81,VLOOKUP(zeta!CH$1,main!$A$3:$H$102,5,FALSE)-VLOOKUP(zeta!$A81,main!$A$3:$H$102,6,FALSE),0)</f>
        <v>0</v>
      </c>
      <c r="CI81">
        <f>IF(gamma!CI81,VLOOKUP(zeta!CI$1,main!$A$3:$H$102,5,FALSE)-VLOOKUP(zeta!$A81,main!$A$3:$H$102,6,FALSE),0)</f>
        <v>30</v>
      </c>
      <c r="CJ81">
        <f>IF(gamma!CJ81,VLOOKUP(zeta!CJ$1,main!$A$3:$H$102,5,FALSE)-VLOOKUP(zeta!$A81,main!$A$3:$H$102,6,FALSE),0)</f>
        <v>0</v>
      </c>
      <c r="CK81">
        <f>IF(gamma!CK81,VLOOKUP(zeta!CK$1,main!$A$3:$H$102,5,FALSE)-VLOOKUP(zeta!$A81,main!$A$3:$H$102,6,FALSE),0)</f>
        <v>0</v>
      </c>
      <c r="CL81">
        <f>IF(gamma!CL81,VLOOKUP(zeta!CL$1,main!$A$3:$H$102,5,FALSE)-VLOOKUP(zeta!$A81,main!$A$3:$H$102,6,FALSE),0)</f>
        <v>0</v>
      </c>
      <c r="CM81">
        <f>IF(gamma!CM81,VLOOKUP(zeta!CM$1,main!$A$3:$H$102,5,FALSE)-VLOOKUP(zeta!$A81,main!$A$3:$H$102,6,FALSE),0)</f>
        <v>0</v>
      </c>
      <c r="CN81">
        <f>IF(gamma!CN81,VLOOKUP(zeta!CN$1,main!$A$3:$H$102,5,FALSE)-VLOOKUP(zeta!$A81,main!$A$3:$H$102,6,FALSE),0)</f>
        <v>30</v>
      </c>
      <c r="CO81">
        <f>IF(gamma!CO81,VLOOKUP(zeta!CO$1,main!$A$3:$H$102,5,FALSE)-VLOOKUP(zeta!$A81,main!$A$3:$H$102,6,FALSE),0)</f>
        <v>0</v>
      </c>
      <c r="CP81">
        <f>IF(gamma!CP81,VLOOKUP(zeta!CP$1,main!$A$3:$H$102,5,FALSE)-VLOOKUP(zeta!$A81,main!$A$3:$H$102,6,FALSE),0)</f>
        <v>0</v>
      </c>
      <c r="CQ81">
        <f>IF(gamma!CQ81,VLOOKUP(zeta!CQ$1,main!$A$3:$H$102,5,FALSE)-VLOOKUP(zeta!$A81,main!$A$3:$H$102,6,FALSE),0)</f>
        <v>0</v>
      </c>
      <c r="CR81">
        <f>IF(gamma!CR81,VLOOKUP(zeta!CR$1,main!$A$3:$H$102,5,FALSE)-VLOOKUP(zeta!$A81,main!$A$3:$H$102,6,FALSE),0)</f>
        <v>0</v>
      </c>
      <c r="CS81">
        <f>IF(gamma!CS81,VLOOKUP(zeta!CS$1,main!$A$3:$H$102,5,FALSE)-VLOOKUP(zeta!$A81,main!$A$3:$H$102,6,FALSE),0)</f>
        <v>0</v>
      </c>
      <c r="CT81">
        <f>IF(gamma!CT81,VLOOKUP(zeta!CT$1,main!$A$3:$H$102,5,FALSE)-VLOOKUP(zeta!$A81,main!$A$3:$H$102,6,FALSE),0)</f>
        <v>0</v>
      </c>
      <c r="CU81">
        <f>IF(gamma!CU81,VLOOKUP(zeta!CU$1,main!$A$3:$H$102,5,FALSE)-VLOOKUP(zeta!$A81,main!$A$3:$H$102,6,FALSE),0)</f>
        <v>0</v>
      </c>
      <c r="CV81">
        <f>IF(gamma!CV81,VLOOKUP(zeta!CV$1,main!$A$3:$H$102,5,FALSE)-VLOOKUP(zeta!$A81,main!$A$3:$H$102,6,FALSE),0)</f>
        <v>0</v>
      </c>
      <c r="CW81">
        <f>IF(gamma!CW81,VLOOKUP(zeta!CW$1,main!$A$3:$H$102,5,FALSE)-VLOOKUP(zeta!$A81,main!$A$3:$H$102,6,FALSE),0)</f>
        <v>0</v>
      </c>
      <c r="CX81">
        <f>IF(gamma!CX81,VLOOKUP(zeta!CX$1,main!$A$3:$H$102,5,FALSE)-VLOOKUP(zeta!$A81,main!$A$3:$H$102,6,FALSE),0)</f>
        <v>0</v>
      </c>
    </row>
    <row r="82" spans="1:102" x14ac:dyDescent="0.25">
      <c r="A82">
        <f t="shared" si="2"/>
        <v>80</v>
      </c>
      <c r="B82">
        <v>0</v>
      </c>
      <c r="C82">
        <f>IF(gamma!C82,VLOOKUP(zeta!C$1,main!$A$3:$H$102,5,FALSE)-VLOOKUP(zeta!$A82,main!$A$3:$H$102,6,FALSE),0)</f>
        <v>0</v>
      </c>
      <c r="D82">
        <f>IF(gamma!D82,VLOOKUP(zeta!D$1,main!$A$3:$H$102,5,FALSE)-VLOOKUP(zeta!$A82,main!$A$3:$H$102,6,FALSE),0)</f>
        <v>0</v>
      </c>
      <c r="E82">
        <f>IF(gamma!E82,VLOOKUP(zeta!E$1,main!$A$3:$H$102,5,FALSE)-VLOOKUP(zeta!$A82,main!$A$3:$H$102,6,FALSE),0)</f>
        <v>0</v>
      </c>
      <c r="F82">
        <f>IF(gamma!F82,VLOOKUP(zeta!F$1,main!$A$3:$H$102,5,FALSE)-VLOOKUP(zeta!$A82,main!$A$3:$H$102,6,FALSE),0)</f>
        <v>0</v>
      </c>
      <c r="G82">
        <f>IF(gamma!G82,VLOOKUP(zeta!G$1,main!$A$3:$H$102,5,FALSE)-VLOOKUP(zeta!$A82,main!$A$3:$H$102,6,FALSE),0)</f>
        <v>0</v>
      </c>
      <c r="H82">
        <f>IF(gamma!H82,VLOOKUP(zeta!H$1,main!$A$3:$H$102,5,FALSE)-VLOOKUP(zeta!$A82,main!$A$3:$H$102,6,FALSE),0)</f>
        <v>0</v>
      </c>
      <c r="I82">
        <f>IF(gamma!I82,VLOOKUP(zeta!I$1,main!$A$3:$H$102,5,FALSE)-VLOOKUP(zeta!$A82,main!$A$3:$H$102,6,FALSE),0)</f>
        <v>0</v>
      </c>
      <c r="J82">
        <f>IF(gamma!J82,VLOOKUP(zeta!J$1,main!$A$3:$H$102,5,FALSE)-VLOOKUP(zeta!$A82,main!$A$3:$H$102,6,FALSE),0)</f>
        <v>76</v>
      </c>
      <c r="K82">
        <f>IF(gamma!K82,VLOOKUP(zeta!K$1,main!$A$3:$H$102,5,FALSE)-VLOOKUP(zeta!$A82,main!$A$3:$H$102,6,FALSE),0)</f>
        <v>136</v>
      </c>
      <c r="L82">
        <f>IF(gamma!L82,VLOOKUP(zeta!L$1,main!$A$3:$H$102,5,FALSE)-VLOOKUP(zeta!$A82,main!$A$3:$H$102,6,FALSE),0)</f>
        <v>226</v>
      </c>
      <c r="M82">
        <f>IF(gamma!M82,VLOOKUP(zeta!M$1,main!$A$3:$H$102,5,FALSE)-VLOOKUP(zeta!$A82,main!$A$3:$H$102,6,FALSE),0)</f>
        <v>0</v>
      </c>
      <c r="N82">
        <f>IF(gamma!N82,VLOOKUP(zeta!N$1,main!$A$3:$H$102,5,FALSE)-VLOOKUP(zeta!$A82,main!$A$3:$H$102,6,FALSE),0)</f>
        <v>0</v>
      </c>
      <c r="O82">
        <f>IF(gamma!O82,VLOOKUP(zeta!O$1,main!$A$3:$H$102,5,FALSE)-VLOOKUP(zeta!$A82,main!$A$3:$H$102,6,FALSE),0)</f>
        <v>0</v>
      </c>
      <c r="P82">
        <f>IF(gamma!P82,VLOOKUP(zeta!P$1,main!$A$3:$H$102,5,FALSE)-VLOOKUP(zeta!$A82,main!$A$3:$H$102,6,FALSE),0)</f>
        <v>0</v>
      </c>
      <c r="Q82">
        <f>IF(gamma!Q82,VLOOKUP(zeta!Q$1,main!$A$3:$H$102,5,FALSE)-VLOOKUP(zeta!$A82,main!$A$3:$H$102,6,FALSE),0)</f>
        <v>0</v>
      </c>
      <c r="R82">
        <f>IF(gamma!R82,VLOOKUP(zeta!R$1,main!$A$3:$H$102,5,FALSE)-VLOOKUP(zeta!$A82,main!$A$3:$H$102,6,FALSE),0)</f>
        <v>0</v>
      </c>
      <c r="S82">
        <f>IF(gamma!S82,VLOOKUP(zeta!S$1,main!$A$3:$H$102,5,FALSE)-VLOOKUP(zeta!$A82,main!$A$3:$H$102,6,FALSE),0)</f>
        <v>0</v>
      </c>
      <c r="T82">
        <f>IF(gamma!T82,VLOOKUP(zeta!T$1,main!$A$3:$H$102,5,FALSE)-VLOOKUP(zeta!$A82,main!$A$3:$H$102,6,FALSE),0)</f>
        <v>0</v>
      </c>
      <c r="U82">
        <f>IF(gamma!U82,VLOOKUP(zeta!U$1,main!$A$3:$H$102,5,FALSE)-VLOOKUP(zeta!$A82,main!$A$3:$H$102,6,FALSE),0)</f>
        <v>191</v>
      </c>
      <c r="V82">
        <f>IF(gamma!V82,VLOOKUP(zeta!V$1,main!$A$3:$H$102,5,FALSE)-VLOOKUP(zeta!$A82,main!$A$3:$H$102,6,FALSE),0)</f>
        <v>251</v>
      </c>
      <c r="W82">
        <f>IF(gamma!W82,VLOOKUP(zeta!W$1,main!$A$3:$H$102,5,FALSE)-VLOOKUP(zeta!$A82,main!$A$3:$H$102,6,FALSE),0)</f>
        <v>0</v>
      </c>
      <c r="X82">
        <f>IF(gamma!X82,VLOOKUP(zeta!X$1,main!$A$3:$H$102,5,FALSE)-VLOOKUP(zeta!$A82,main!$A$3:$H$102,6,FALSE),0)</f>
        <v>0</v>
      </c>
      <c r="Y82">
        <f>IF(gamma!Y82,VLOOKUP(zeta!Y$1,main!$A$3:$H$102,5,FALSE)-VLOOKUP(zeta!$A82,main!$A$3:$H$102,6,FALSE),0)</f>
        <v>0</v>
      </c>
      <c r="Z82">
        <f>IF(gamma!Z82,VLOOKUP(zeta!Z$1,main!$A$3:$H$102,5,FALSE)-VLOOKUP(zeta!$A82,main!$A$3:$H$102,6,FALSE),0)</f>
        <v>0</v>
      </c>
      <c r="AA82">
        <f>IF(gamma!AA82,VLOOKUP(zeta!AA$1,main!$A$3:$H$102,5,FALSE)-VLOOKUP(zeta!$A82,main!$A$3:$H$102,6,FALSE),0)</f>
        <v>156</v>
      </c>
      <c r="AB82">
        <f>IF(gamma!AB82,VLOOKUP(zeta!AB$1,main!$A$3:$H$102,5,FALSE)-VLOOKUP(zeta!$A82,main!$A$3:$H$102,6,FALSE),0)</f>
        <v>0</v>
      </c>
      <c r="AC82">
        <f>IF(gamma!AC82,VLOOKUP(zeta!AC$1,main!$A$3:$H$102,5,FALSE)-VLOOKUP(zeta!$A82,main!$A$3:$H$102,6,FALSE),0)</f>
        <v>0</v>
      </c>
      <c r="AD82">
        <f>IF(gamma!AD82,VLOOKUP(zeta!AD$1,main!$A$3:$H$102,5,FALSE)-VLOOKUP(zeta!$A82,main!$A$3:$H$102,6,FALSE),0)</f>
        <v>0</v>
      </c>
      <c r="AE82">
        <f>IF(gamma!AE82,VLOOKUP(zeta!AE$1,main!$A$3:$H$102,5,FALSE)-VLOOKUP(zeta!$A82,main!$A$3:$H$102,6,FALSE),0)</f>
        <v>0</v>
      </c>
      <c r="AF82">
        <f>IF(gamma!AF82,VLOOKUP(zeta!AF$1,main!$A$3:$H$102,5,FALSE)-VLOOKUP(zeta!$A82,main!$A$3:$H$102,6,FALSE),0)</f>
        <v>136</v>
      </c>
      <c r="AG82">
        <f>IF(gamma!AG82,VLOOKUP(zeta!AG$1,main!$A$3:$H$102,5,FALSE)-VLOOKUP(zeta!$A82,main!$A$3:$H$102,6,FALSE),0)</f>
        <v>0</v>
      </c>
      <c r="AH82">
        <f>IF(gamma!AH82,VLOOKUP(zeta!AH$1,main!$A$3:$H$102,5,FALSE)-VLOOKUP(zeta!$A82,main!$A$3:$H$102,6,FALSE),0)</f>
        <v>0</v>
      </c>
      <c r="AI82">
        <f>IF(gamma!AI82,VLOOKUP(zeta!AI$1,main!$A$3:$H$102,5,FALSE)-VLOOKUP(zeta!$A82,main!$A$3:$H$102,6,FALSE),0)</f>
        <v>0</v>
      </c>
      <c r="AJ82">
        <f>IF(gamma!AJ82,VLOOKUP(zeta!AJ$1,main!$A$3:$H$102,5,FALSE)-VLOOKUP(zeta!$A82,main!$A$3:$H$102,6,FALSE),0)</f>
        <v>0</v>
      </c>
      <c r="AK82">
        <f>IF(gamma!AK82,VLOOKUP(zeta!AK$1,main!$A$3:$H$102,5,FALSE)-VLOOKUP(zeta!$A82,main!$A$3:$H$102,6,FALSE),0)</f>
        <v>0</v>
      </c>
      <c r="AL82">
        <f>IF(gamma!AL82,VLOOKUP(zeta!AL$1,main!$A$3:$H$102,5,FALSE)-VLOOKUP(zeta!$A82,main!$A$3:$H$102,6,FALSE),0)</f>
        <v>0</v>
      </c>
      <c r="AM82">
        <f>IF(gamma!AM82,VLOOKUP(zeta!AM$1,main!$A$3:$H$102,5,FALSE)-VLOOKUP(zeta!$A82,main!$A$3:$H$102,6,FALSE),0)</f>
        <v>116</v>
      </c>
      <c r="AN82">
        <f>IF(gamma!AN82,VLOOKUP(zeta!AN$1,main!$A$3:$H$102,5,FALSE)-VLOOKUP(zeta!$A82,main!$A$3:$H$102,6,FALSE),0)</f>
        <v>176</v>
      </c>
      <c r="AO82">
        <f>IF(gamma!AO82,VLOOKUP(zeta!AO$1,main!$A$3:$H$102,5,FALSE)-VLOOKUP(zeta!$A82,main!$A$3:$H$102,6,FALSE),0)</f>
        <v>0</v>
      </c>
      <c r="AP82">
        <f>IF(gamma!AP82,VLOOKUP(zeta!AP$1,main!$A$3:$H$102,5,FALSE)-VLOOKUP(zeta!$A82,main!$A$3:$H$102,6,FALSE),0)</f>
        <v>236</v>
      </c>
      <c r="AQ82">
        <f>IF(gamma!AQ82,VLOOKUP(zeta!AQ$1,main!$A$3:$H$102,5,FALSE)-VLOOKUP(zeta!$A82,main!$A$3:$H$102,6,FALSE),0)</f>
        <v>0</v>
      </c>
      <c r="AR82">
        <f>IF(gamma!AR82,VLOOKUP(zeta!AR$1,main!$A$3:$H$102,5,FALSE)-VLOOKUP(zeta!$A82,main!$A$3:$H$102,6,FALSE),0)</f>
        <v>0</v>
      </c>
      <c r="AS82">
        <f>IF(gamma!AS82,VLOOKUP(zeta!AS$1,main!$A$3:$H$102,5,FALSE)-VLOOKUP(zeta!$A82,main!$A$3:$H$102,6,FALSE),0)</f>
        <v>0</v>
      </c>
      <c r="AT82">
        <f>IF(gamma!AT82,VLOOKUP(zeta!AT$1,main!$A$3:$H$102,5,FALSE)-VLOOKUP(zeta!$A82,main!$A$3:$H$102,6,FALSE),0)</f>
        <v>0</v>
      </c>
      <c r="AU82">
        <f>IF(gamma!AU82,VLOOKUP(zeta!AU$1,main!$A$3:$H$102,5,FALSE)-VLOOKUP(zeta!$A82,main!$A$3:$H$102,6,FALSE),0)</f>
        <v>0</v>
      </c>
      <c r="AV82">
        <f>IF(gamma!AV82,VLOOKUP(zeta!AV$1,main!$A$3:$H$102,5,FALSE)-VLOOKUP(zeta!$A82,main!$A$3:$H$102,6,FALSE),0)</f>
        <v>0</v>
      </c>
      <c r="AW82">
        <f>IF(gamma!AW82,VLOOKUP(zeta!AW$1,main!$A$3:$H$102,5,FALSE)-VLOOKUP(zeta!$A82,main!$A$3:$H$102,6,FALSE),0)</f>
        <v>0</v>
      </c>
      <c r="AX82">
        <f>IF(gamma!AX82,VLOOKUP(zeta!AX$1,main!$A$3:$H$102,5,FALSE)-VLOOKUP(zeta!$A82,main!$A$3:$H$102,6,FALSE),0)</f>
        <v>0</v>
      </c>
      <c r="AY82">
        <f>IF(gamma!AY82,VLOOKUP(zeta!AY$1,main!$A$3:$H$102,5,FALSE)-VLOOKUP(zeta!$A82,main!$A$3:$H$102,6,FALSE),0)</f>
        <v>0</v>
      </c>
      <c r="AZ82">
        <f>IF(gamma!AZ82,VLOOKUP(zeta!AZ$1,main!$A$3:$H$102,5,FALSE)-VLOOKUP(zeta!$A82,main!$A$3:$H$102,6,FALSE),0)</f>
        <v>0</v>
      </c>
      <c r="BA82">
        <f>IF(gamma!BA82,VLOOKUP(zeta!BA$1,main!$A$3:$H$102,5,FALSE)-VLOOKUP(zeta!$A82,main!$A$3:$H$102,6,FALSE),0)</f>
        <v>0</v>
      </c>
      <c r="BB82">
        <f>IF(gamma!BB82,VLOOKUP(zeta!BB$1,main!$A$3:$H$102,5,FALSE)-VLOOKUP(zeta!$A82,main!$A$3:$H$102,6,FALSE),0)</f>
        <v>0</v>
      </c>
      <c r="BC82">
        <f>IF(gamma!BC82,VLOOKUP(zeta!BC$1,main!$A$3:$H$102,5,FALSE)-VLOOKUP(zeta!$A82,main!$A$3:$H$102,6,FALSE),0)</f>
        <v>0</v>
      </c>
      <c r="BD82">
        <f>IF(gamma!BD82,VLOOKUP(zeta!BD$1,main!$A$3:$H$102,5,FALSE)-VLOOKUP(zeta!$A82,main!$A$3:$H$102,6,FALSE),0)</f>
        <v>0</v>
      </c>
      <c r="BE82">
        <f>IF(gamma!BE82,VLOOKUP(zeta!BE$1,main!$A$3:$H$102,5,FALSE)-VLOOKUP(zeta!$A82,main!$A$3:$H$102,6,FALSE),0)</f>
        <v>76</v>
      </c>
      <c r="BF82">
        <f>IF(gamma!BF82,VLOOKUP(zeta!BF$1,main!$A$3:$H$102,5,FALSE)-VLOOKUP(zeta!$A82,main!$A$3:$H$102,6,FALSE),0)</f>
        <v>0</v>
      </c>
      <c r="BG82">
        <f>IF(gamma!BG82,VLOOKUP(zeta!BG$1,main!$A$3:$H$102,5,FALSE)-VLOOKUP(zeta!$A82,main!$A$3:$H$102,6,FALSE),0)</f>
        <v>0</v>
      </c>
      <c r="BH82">
        <f>IF(gamma!BH82,VLOOKUP(zeta!BH$1,main!$A$3:$H$102,5,FALSE)-VLOOKUP(zeta!$A82,main!$A$3:$H$102,6,FALSE),0)</f>
        <v>0</v>
      </c>
      <c r="BI82">
        <f>IF(gamma!BI82,VLOOKUP(zeta!BI$1,main!$A$3:$H$102,5,FALSE)-VLOOKUP(zeta!$A82,main!$A$3:$H$102,6,FALSE),0)</f>
        <v>246</v>
      </c>
      <c r="BJ82">
        <f>IF(gamma!BJ82,VLOOKUP(zeta!BJ$1,main!$A$3:$H$102,5,FALSE)-VLOOKUP(zeta!$A82,main!$A$3:$H$102,6,FALSE),0)</f>
        <v>0</v>
      </c>
      <c r="BK82">
        <f>IF(gamma!BK82,VLOOKUP(zeta!BK$1,main!$A$3:$H$102,5,FALSE)-VLOOKUP(zeta!$A82,main!$A$3:$H$102,6,FALSE),0)</f>
        <v>0</v>
      </c>
      <c r="BL82">
        <f>IF(gamma!BL82,VLOOKUP(zeta!BL$1,main!$A$3:$H$102,5,FALSE)-VLOOKUP(zeta!$A82,main!$A$3:$H$102,6,FALSE),0)</f>
        <v>0</v>
      </c>
      <c r="BM82">
        <f>IF(gamma!BM82,VLOOKUP(zeta!BM$1,main!$A$3:$H$102,5,FALSE)-VLOOKUP(zeta!$A82,main!$A$3:$H$102,6,FALSE),0)</f>
        <v>0</v>
      </c>
      <c r="BN82">
        <f>IF(gamma!BN82,VLOOKUP(zeta!BN$1,main!$A$3:$H$102,5,FALSE)-VLOOKUP(zeta!$A82,main!$A$3:$H$102,6,FALSE),0)</f>
        <v>0</v>
      </c>
      <c r="BO82">
        <f>IF(gamma!BO82,VLOOKUP(zeta!BO$1,main!$A$3:$H$102,5,FALSE)-VLOOKUP(zeta!$A82,main!$A$3:$H$102,6,FALSE),0)</f>
        <v>0</v>
      </c>
      <c r="BP82">
        <f>IF(gamma!BP82,VLOOKUP(zeta!BP$1,main!$A$3:$H$102,5,FALSE)-VLOOKUP(zeta!$A82,main!$A$3:$H$102,6,FALSE),0)</f>
        <v>0</v>
      </c>
      <c r="BQ82">
        <f>IF(gamma!BQ82,VLOOKUP(zeta!BQ$1,main!$A$3:$H$102,5,FALSE)-VLOOKUP(zeta!$A82,main!$A$3:$H$102,6,FALSE),0)</f>
        <v>0</v>
      </c>
      <c r="BR82">
        <f>IF(gamma!BR82,VLOOKUP(zeta!BR$1,main!$A$3:$H$102,5,FALSE)-VLOOKUP(zeta!$A82,main!$A$3:$H$102,6,FALSE),0)</f>
        <v>0</v>
      </c>
      <c r="BS82">
        <f>IF(gamma!BS82,VLOOKUP(zeta!BS$1,main!$A$3:$H$102,5,FALSE)-VLOOKUP(zeta!$A82,main!$A$3:$H$102,6,FALSE),0)</f>
        <v>0</v>
      </c>
      <c r="BT82">
        <f>IF(gamma!BT82,VLOOKUP(zeta!BT$1,main!$A$3:$H$102,5,FALSE)-VLOOKUP(zeta!$A82,main!$A$3:$H$102,6,FALSE),0)</f>
        <v>0</v>
      </c>
      <c r="BU82">
        <f>IF(gamma!BU82,VLOOKUP(zeta!BU$1,main!$A$3:$H$102,5,FALSE)-VLOOKUP(zeta!$A82,main!$A$3:$H$102,6,FALSE),0)</f>
        <v>0</v>
      </c>
      <c r="BV82">
        <f>IF(gamma!BV82,VLOOKUP(zeta!BV$1,main!$A$3:$H$102,5,FALSE)-VLOOKUP(zeta!$A82,main!$A$3:$H$102,6,FALSE),0)</f>
        <v>0</v>
      </c>
      <c r="BW82">
        <f>IF(gamma!BW82,VLOOKUP(zeta!BW$1,main!$A$3:$H$102,5,FALSE)-VLOOKUP(zeta!$A82,main!$A$3:$H$102,6,FALSE),0)</f>
        <v>0</v>
      </c>
      <c r="BX82">
        <f>IF(gamma!BX82,VLOOKUP(zeta!BX$1,main!$A$3:$H$102,5,FALSE)-VLOOKUP(zeta!$A82,main!$A$3:$H$102,6,FALSE),0)</f>
        <v>0</v>
      </c>
      <c r="BY82">
        <f>IF(gamma!BY82,VLOOKUP(zeta!BY$1,main!$A$3:$H$102,5,FALSE)-VLOOKUP(zeta!$A82,main!$A$3:$H$102,6,FALSE),0)</f>
        <v>0</v>
      </c>
      <c r="BZ82">
        <f>IF(gamma!BZ82,VLOOKUP(zeta!BZ$1,main!$A$3:$H$102,5,FALSE)-VLOOKUP(zeta!$A82,main!$A$3:$H$102,6,FALSE),0)</f>
        <v>0</v>
      </c>
      <c r="CA82">
        <f>IF(gamma!CA82,VLOOKUP(zeta!CA$1,main!$A$3:$H$102,5,FALSE)-VLOOKUP(zeta!$A82,main!$A$3:$H$102,6,FALSE),0)</f>
        <v>0</v>
      </c>
      <c r="CB82">
        <f>IF(gamma!CB82,VLOOKUP(zeta!CB$1,main!$A$3:$H$102,5,FALSE)-VLOOKUP(zeta!$A82,main!$A$3:$H$102,6,FALSE),0)</f>
        <v>0</v>
      </c>
      <c r="CC82">
        <f>IF(gamma!CC82,VLOOKUP(zeta!CC$1,main!$A$3:$H$102,5,FALSE)-VLOOKUP(zeta!$A82,main!$A$3:$H$102,6,FALSE),0)</f>
        <v>151</v>
      </c>
      <c r="CD82">
        <f>IF(gamma!CD82,VLOOKUP(zeta!CD$1,main!$A$3:$H$102,5,FALSE)-VLOOKUP(zeta!$A82,main!$A$3:$H$102,6,FALSE),0)</f>
        <v>0</v>
      </c>
      <c r="CE82">
        <f>IF(gamma!CE82,VLOOKUP(zeta!CE$1,main!$A$3:$H$102,5,FALSE)-VLOOKUP(zeta!$A82,main!$A$3:$H$102,6,FALSE),0)</f>
        <v>0</v>
      </c>
      <c r="CF82">
        <f>IF(gamma!CF82,VLOOKUP(zeta!CF$1,main!$A$3:$H$102,5,FALSE)-VLOOKUP(zeta!$A82,main!$A$3:$H$102,6,FALSE),0)</f>
        <v>0</v>
      </c>
      <c r="CG82">
        <f>IF(gamma!CG82,VLOOKUP(zeta!CG$1,main!$A$3:$H$102,5,FALSE)-VLOOKUP(zeta!$A82,main!$A$3:$H$102,6,FALSE),0)</f>
        <v>0</v>
      </c>
      <c r="CH82">
        <f>IF(gamma!CH82,VLOOKUP(zeta!CH$1,main!$A$3:$H$102,5,FALSE)-VLOOKUP(zeta!$A82,main!$A$3:$H$102,6,FALSE),0)</f>
        <v>36</v>
      </c>
      <c r="CI82">
        <f>IF(gamma!CI82,VLOOKUP(zeta!CI$1,main!$A$3:$H$102,5,FALSE)-VLOOKUP(zeta!$A82,main!$A$3:$H$102,6,FALSE),0)</f>
        <v>236</v>
      </c>
      <c r="CJ82">
        <f>IF(gamma!CJ82,VLOOKUP(zeta!CJ$1,main!$A$3:$H$102,5,FALSE)-VLOOKUP(zeta!$A82,main!$A$3:$H$102,6,FALSE),0)</f>
        <v>0</v>
      </c>
      <c r="CK82">
        <f>IF(gamma!CK82,VLOOKUP(zeta!CK$1,main!$A$3:$H$102,5,FALSE)-VLOOKUP(zeta!$A82,main!$A$3:$H$102,6,FALSE),0)</f>
        <v>0</v>
      </c>
      <c r="CL82">
        <f>IF(gamma!CL82,VLOOKUP(zeta!CL$1,main!$A$3:$H$102,5,FALSE)-VLOOKUP(zeta!$A82,main!$A$3:$H$102,6,FALSE),0)</f>
        <v>0</v>
      </c>
      <c r="CM82">
        <f>IF(gamma!CM82,VLOOKUP(zeta!CM$1,main!$A$3:$H$102,5,FALSE)-VLOOKUP(zeta!$A82,main!$A$3:$H$102,6,FALSE),0)</f>
        <v>0</v>
      </c>
      <c r="CN82">
        <f>IF(gamma!CN82,VLOOKUP(zeta!CN$1,main!$A$3:$H$102,5,FALSE)-VLOOKUP(zeta!$A82,main!$A$3:$H$102,6,FALSE),0)</f>
        <v>236</v>
      </c>
      <c r="CO82">
        <f>IF(gamma!CO82,VLOOKUP(zeta!CO$1,main!$A$3:$H$102,5,FALSE)-VLOOKUP(zeta!$A82,main!$A$3:$H$102,6,FALSE),0)</f>
        <v>0</v>
      </c>
      <c r="CP82">
        <f>IF(gamma!CP82,VLOOKUP(zeta!CP$1,main!$A$3:$H$102,5,FALSE)-VLOOKUP(zeta!$A82,main!$A$3:$H$102,6,FALSE),0)</f>
        <v>0</v>
      </c>
      <c r="CQ82">
        <f>IF(gamma!CQ82,VLOOKUP(zeta!CQ$1,main!$A$3:$H$102,5,FALSE)-VLOOKUP(zeta!$A82,main!$A$3:$H$102,6,FALSE),0)</f>
        <v>0</v>
      </c>
      <c r="CR82">
        <f>IF(gamma!CR82,VLOOKUP(zeta!CR$1,main!$A$3:$H$102,5,FALSE)-VLOOKUP(zeta!$A82,main!$A$3:$H$102,6,FALSE),0)</f>
        <v>0</v>
      </c>
      <c r="CS82">
        <f>IF(gamma!CS82,VLOOKUP(zeta!CS$1,main!$A$3:$H$102,5,FALSE)-VLOOKUP(zeta!$A82,main!$A$3:$H$102,6,FALSE),0)</f>
        <v>0</v>
      </c>
      <c r="CT82">
        <f>IF(gamma!CT82,VLOOKUP(zeta!CT$1,main!$A$3:$H$102,5,FALSE)-VLOOKUP(zeta!$A82,main!$A$3:$H$102,6,FALSE),0)</f>
        <v>0</v>
      </c>
      <c r="CU82">
        <f>IF(gamma!CU82,VLOOKUP(zeta!CU$1,main!$A$3:$H$102,5,FALSE)-VLOOKUP(zeta!$A82,main!$A$3:$H$102,6,FALSE),0)</f>
        <v>0</v>
      </c>
      <c r="CV82">
        <f>IF(gamma!CV82,VLOOKUP(zeta!CV$1,main!$A$3:$H$102,5,FALSE)-VLOOKUP(zeta!$A82,main!$A$3:$H$102,6,FALSE),0)</f>
        <v>0</v>
      </c>
      <c r="CW82">
        <f>IF(gamma!CW82,VLOOKUP(zeta!CW$1,main!$A$3:$H$102,5,FALSE)-VLOOKUP(zeta!$A82,main!$A$3:$H$102,6,FALSE),0)</f>
        <v>0</v>
      </c>
      <c r="CX82">
        <f>IF(gamma!CX82,VLOOKUP(zeta!CX$1,main!$A$3:$H$102,5,FALSE)-VLOOKUP(zeta!$A82,main!$A$3:$H$102,6,FALSE),0)</f>
        <v>41</v>
      </c>
    </row>
    <row r="83" spans="1:102" x14ac:dyDescent="0.25">
      <c r="A83">
        <f t="shared" si="2"/>
        <v>81</v>
      </c>
      <c r="B83">
        <v>0</v>
      </c>
      <c r="C83">
        <f>IF(gamma!C83,VLOOKUP(zeta!C$1,main!$A$3:$H$102,5,FALSE)-VLOOKUP(zeta!$A83,main!$A$3:$H$102,6,FALSE),0)</f>
        <v>0</v>
      </c>
      <c r="D83">
        <f>IF(gamma!D83,VLOOKUP(zeta!D$1,main!$A$3:$H$102,5,FALSE)-VLOOKUP(zeta!$A83,main!$A$3:$H$102,6,FALSE),0)</f>
        <v>0</v>
      </c>
      <c r="E83">
        <f>IF(gamma!E83,VLOOKUP(zeta!E$1,main!$A$3:$H$102,5,FALSE)-VLOOKUP(zeta!$A83,main!$A$3:$H$102,6,FALSE),0)</f>
        <v>0</v>
      </c>
      <c r="F83">
        <f>IF(gamma!F83,VLOOKUP(zeta!F$1,main!$A$3:$H$102,5,FALSE)-VLOOKUP(zeta!$A83,main!$A$3:$H$102,6,FALSE),0)</f>
        <v>0</v>
      </c>
      <c r="G83">
        <f>IF(gamma!G83,VLOOKUP(zeta!G$1,main!$A$3:$H$102,5,FALSE)-VLOOKUP(zeta!$A83,main!$A$3:$H$102,6,FALSE),0)</f>
        <v>0</v>
      </c>
      <c r="H83">
        <f>IF(gamma!H83,VLOOKUP(zeta!H$1,main!$A$3:$H$102,5,FALSE)-VLOOKUP(zeta!$A83,main!$A$3:$H$102,6,FALSE),0)</f>
        <v>60</v>
      </c>
      <c r="I83">
        <f>IF(gamma!I83,VLOOKUP(zeta!I$1,main!$A$3:$H$102,5,FALSE)-VLOOKUP(zeta!$A83,main!$A$3:$H$102,6,FALSE),0)</f>
        <v>120</v>
      </c>
      <c r="J83">
        <f>IF(gamma!J83,VLOOKUP(zeta!J$1,main!$A$3:$H$102,5,FALSE)-VLOOKUP(zeta!$A83,main!$A$3:$H$102,6,FALSE),0)</f>
        <v>180</v>
      </c>
      <c r="K83">
        <f>IF(gamma!K83,VLOOKUP(zeta!K$1,main!$A$3:$H$102,5,FALSE)-VLOOKUP(zeta!$A83,main!$A$3:$H$102,6,FALSE),0)</f>
        <v>240</v>
      </c>
      <c r="L83">
        <f>IF(gamma!L83,VLOOKUP(zeta!L$1,main!$A$3:$H$102,5,FALSE)-VLOOKUP(zeta!$A83,main!$A$3:$H$102,6,FALSE),0)</f>
        <v>330</v>
      </c>
      <c r="M83">
        <f>IF(gamma!M83,VLOOKUP(zeta!M$1,main!$A$3:$H$102,5,FALSE)-VLOOKUP(zeta!$A83,main!$A$3:$H$102,6,FALSE),0)</f>
        <v>0</v>
      </c>
      <c r="N83">
        <f>IF(gamma!N83,VLOOKUP(zeta!N$1,main!$A$3:$H$102,5,FALSE)-VLOOKUP(zeta!$A83,main!$A$3:$H$102,6,FALSE),0)</f>
        <v>0</v>
      </c>
      <c r="O83">
        <f>IF(gamma!O83,VLOOKUP(zeta!O$1,main!$A$3:$H$102,5,FALSE)-VLOOKUP(zeta!$A83,main!$A$3:$H$102,6,FALSE),0)</f>
        <v>0</v>
      </c>
      <c r="P83">
        <f>IF(gamma!P83,VLOOKUP(zeta!P$1,main!$A$3:$H$102,5,FALSE)-VLOOKUP(zeta!$A83,main!$A$3:$H$102,6,FALSE),0)</f>
        <v>0</v>
      </c>
      <c r="Q83">
        <f>IF(gamma!Q83,VLOOKUP(zeta!Q$1,main!$A$3:$H$102,5,FALSE)-VLOOKUP(zeta!$A83,main!$A$3:$H$102,6,FALSE),0)</f>
        <v>0</v>
      </c>
      <c r="R83">
        <f>IF(gamma!R83,VLOOKUP(zeta!R$1,main!$A$3:$H$102,5,FALSE)-VLOOKUP(zeta!$A83,main!$A$3:$H$102,6,FALSE),0)</f>
        <v>0</v>
      </c>
      <c r="S83">
        <f>IF(gamma!S83,VLOOKUP(zeta!S$1,main!$A$3:$H$102,5,FALSE)-VLOOKUP(zeta!$A83,main!$A$3:$H$102,6,FALSE),0)</f>
        <v>60</v>
      </c>
      <c r="T83">
        <f>IF(gamma!T83,VLOOKUP(zeta!T$1,main!$A$3:$H$102,5,FALSE)-VLOOKUP(zeta!$A83,main!$A$3:$H$102,6,FALSE),0)</f>
        <v>140</v>
      </c>
      <c r="U83">
        <f>IF(gamma!U83,VLOOKUP(zeta!U$1,main!$A$3:$H$102,5,FALSE)-VLOOKUP(zeta!$A83,main!$A$3:$H$102,6,FALSE),0)</f>
        <v>295</v>
      </c>
      <c r="V83">
        <f>IF(gamma!V83,VLOOKUP(zeta!V$1,main!$A$3:$H$102,5,FALSE)-VLOOKUP(zeta!$A83,main!$A$3:$H$102,6,FALSE),0)</f>
        <v>355</v>
      </c>
      <c r="W83">
        <f>IF(gamma!W83,VLOOKUP(zeta!W$1,main!$A$3:$H$102,5,FALSE)-VLOOKUP(zeta!$A83,main!$A$3:$H$102,6,FALSE),0)</f>
        <v>0</v>
      </c>
      <c r="X83">
        <f>IF(gamma!X83,VLOOKUP(zeta!X$1,main!$A$3:$H$102,5,FALSE)-VLOOKUP(zeta!$A83,main!$A$3:$H$102,6,FALSE),0)</f>
        <v>0</v>
      </c>
      <c r="Y83">
        <f>IF(gamma!Y83,VLOOKUP(zeta!Y$1,main!$A$3:$H$102,5,FALSE)-VLOOKUP(zeta!$A83,main!$A$3:$H$102,6,FALSE),0)</f>
        <v>0</v>
      </c>
      <c r="Z83">
        <f>IF(gamma!Z83,VLOOKUP(zeta!Z$1,main!$A$3:$H$102,5,FALSE)-VLOOKUP(zeta!$A83,main!$A$3:$H$102,6,FALSE),0)</f>
        <v>110</v>
      </c>
      <c r="AA83">
        <f>IF(gamma!AA83,VLOOKUP(zeta!AA$1,main!$A$3:$H$102,5,FALSE)-VLOOKUP(zeta!$A83,main!$A$3:$H$102,6,FALSE),0)</f>
        <v>260</v>
      </c>
      <c r="AB83">
        <f>IF(gamma!AB83,VLOOKUP(zeta!AB$1,main!$A$3:$H$102,5,FALSE)-VLOOKUP(zeta!$A83,main!$A$3:$H$102,6,FALSE),0)</f>
        <v>0</v>
      </c>
      <c r="AC83">
        <f>IF(gamma!AC83,VLOOKUP(zeta!AC$1,main!$A$3:$H$102,5,FALSE)-VLOOKUP(zeta!$A83,main!$A$3:$H$102,6,FALSE),0)</f>
        <v>0</v>
      </c>
      <c r="AD83">
        <f>IF(gamma!AD83,VLOOKUP(zeta!AD$1,main!$A$3:$H$102,5,FALSE)-VLOOKUP(zeta!$A83,main!$A$3:$H$102,6,FALSE),0)</f>
        <v>0</v>
      </c>
      <c r="AE83">
        <f>IF(gamma!AE83,VLOOKUP(zeta!AE$1,main!$A$3:$H$102,5,FALSE)-VLOOKUP(zeta!$A83,main!$A$3:$H$102,6,FALSE),0)</f>
        <v>70</v>
      </c>
      <c r="AF83">
        <f>IF(gamma!AF83,VLOOKUP(zeta!AF$1,main!$A$3:$H$102,5,FALSE)-VLOOKUP(zeta!$A83,main!$A$3:$H$102,6,FALSE),0)</f>
        <v>240</v>
      </c>
      <c r="AG83">
        <f>IF(gamma!AG83,VLOOKUP(zeta!AG$1,main!$A$3:$H$102,5,FALSE)-VLOOKUP(zeta!$A83,main!$A$3:$H$102,6,FALSE),0)</f>
        <v>0</v>
      </c>
      <c r="AH83">
        <f>IF(gamma!AH83,VLOOKUP(zeta!AH$1,main!$A$3:$H$102,5,FALSE)-VLOOKUP(zeta!$A83,main!$A$3:$H$102,6,FALSE),0)</f>
        <v>0</v>
      </c>
      <c r="AI83">
        <f>IF(gamma!AI83,VLOOKUP(zeta!AI$1,main!$A$3:$H$102,5,FALSE)-VLOOKUP(zeta!$A83,main!$A$3:$H$102,6,FALSE),0)</f>
        <v>0</v>
      </c>
      <c r="AJ83">
        <f>IF(gamma!AJ83,VLOOKUP(zeta!AJ$1,main!$A$3:$H$102,5,FALSE)-VLOOKUP(zeta!$A83,main!$A$3:$H$102,6,FALSE),0)</f>
        <v>0</v>
      </c>
      <c r="AK83">
        <f>IF(gamma!AK83,VLOOKUP(zeta!AK$1,main!$A$3:$H$102,5,FALSE)-VLOOKUP(zeta!$A83,main!$A$3:$H$102,6,FALSE),0)</f>
        <v>40</v>
      </c>
      <c r="AL83">
        <f>IF(gamma!AL83,VLOOKUP(zeta!AL$1,main!$A$3:$H$102,5,FALSE)-VLOOKUP(zeta!$A83,main!$A$3:$H$102,6,FALSE),0)</f>
        <v>130</v>
      </c>
      <c r="AM83">
        <f>IF(gamma!AM83,VLOOKUP(zeta!AM$1,main!$A$3:$H$102,5,FALSE)-VLOOKUP(zeta!$A83,main!$A$3:$H$102,6,FALSE),0)</f>
        <v>220</v>
      </c>
      <c r="AN83">
        <f>IF(gamma!AN83,VLOOKUP(zeta!AN$1,main!$A$3:$H$102,5,FALSE)-VLOOKUP(zeta!$A83,main!$A$3:$H$102,6,FALSE),0)</f>
        <v>280</v>
      </c>
      <c r="AO83">
        <f>IF(gamma!AO83,VLOOKUP(zeta!AO$1,main!$A$3:$H$102,5,FALSE)-VLOOKUP(zeta!$A83,main!$A$3:$H$102,6,FALSE),0)</f>
        <v>0</v>
      </c>
      <c r="AP83">
        <f>IF(gamma!AP83,VLOOKUP(zeta!AP$1,main!$A$3:$H$102,5,FALSE)-VLOOKUP(zeta!$A83,main!$A$3:$H$102,6,FALSE),0)</f>
        <v>340</v>
      </c>
      <c r="AQ83">
        <f>IF(gamma!AQ83,VLOOKUP(zeta!AQ$1,main!$A$3:$H$102,5,FALSE)-VLOOKUP(zeta!$A83,main!$A$3:$H$102,6,FALSE),0)</f>
        <v>0</v>
      </c>
      <c r="AR83">
        <f>IF(gamma!AR83,VLOOKUP(zeta!AR$1,main!$A$3:$H$102,5,FALSE)-VLOOKUP(zeta!$A83,main!$A$3:$H$102,6,FALSE),0)</f>
        <v>0</v>
      </c>
      <c r="AS83">
        <f>IF(gamma!AS83,VLOOKUP(zeta!AS$1,main!$A$3:$H$102,5,FALSE)-VLOOKUP(zeta!$A83,main!$A$3:$H$102,6,FALSE),0)</f>
        <v>0</v>
      </c>
      <c r="AT83">
        <f>IF(gamma!AT83,VLOOKUP(zeta!AT$1,main!$A$3:$H$102,5,FALSE)-VLOOKUP(zeta!$A83,main!$A$3:$H$102,6,FALSE),0)</f>
        <v>90</v>
      </c>
      <c r="AU83">
        <f>IF(gamma!AU83,VLOOKUP(zeta!AU$1,main!$A$3:$H$102,5,FALSE)-VLOOKUP(zeta!$A83,main!$A$3:$H$102,6,FALSE),0)</f>
        <v>0</v>
      </c>
      <c r="AV83">
        <f>IF(gamma!AV83,VLOOKUP(zeta!AV$1,main!$A$3:$H$102,5,FALSE)-VLOOKUP(zeta!$A83,main!$A$3:$H$102,6,FALSE),0)</f>
        <v>0</v>
      </c>
      <c r="AW83">
        <f>IF(gamma!AW83,VLOOKUP(zeta!AW$1,main!$A$3:$H$102,5,FALSE)-VLOOKUP(zeta!$A83,main!$A$3:$H$102,6,FALSE),0)</f>
        <v>40</v>
      </c>
      <c r="AX83">
        <f>IF(gamma!AX83,VLOOKUP(zeta!AX$1,main!$A$3:$H$102,5,FALSE)-VLOOKUP(zeta!$A83,main!$A$3:$H$102,6,FALSE),0)</f>
        <v>0</v>
      </c>
      <c r="AY83">
        <f>IF(gamma!AY83,VLOOKUP(zeta!AY$1,main!$A$3:$H$102,5,FALSE)-VLOOKUP(zeta!$A83,main!$A$3:$H$102,6,FALSE),0)</f>
        <v>0</v>
      </c>
      <c r="AZ83">
        <f>IF(gamma!AZ83,VLOOKUP(zeta!AZ$1,main!$A$3:$H$102,5,FALSE)-VLOOKUP(zeta!$A83,main!$A$3:$H$102,6,FALSE),0)</f>
        <v>0</v>
      </c>
      <c r="BA83">
        <f>IF(gamma!BA83,VLOOKUP(zeta!BA$1,main!$A$3:$H$102,5,FALSE)-VLOOKUP(zeta!$A83,main!$A$3:$H$102,6,FALSE),0)</f>
        <v>0</v>
      </c>
      <c r="BB83">
        <f>IF(gamma!BB83,VLOOKUP(zeta!BB$1,main!$A$3:$H$102,5,FALSE)-VLOOKUP(zeta!$A83,main!$A$3:$H$102,6,FALSE),0)</f>
        <v>0</v>
      </c>
      <c r="BC83">
        <f>IF(gamma!BC83,VLOOKUP(zeta!BC$1,main!$A$3:$H$102,5,FALSE)-VLOOKUP(zeta!$A83,main!$A$3:$H$102,6,FALSE),0)</f>
        <v>0</v>
      </c>
      <c r="BD83">
        <f>IF(gamma!BD83,VLOOKUP(zeta!BD$1,main!$A$3:$H$102,5,FALSE)-VLOOKUP(zeta!$A83,main!$A$3:$H$102,6,FALSE),0)</f>
        <v>60</v>
      </c>
      <c r="BE83">
        <f>IF(gamma!BE83,VLOOKUP(zeta!BE$1,main!$A$3:$H$102,5,FALSE)-VLOOKUP(zeta!$A83,main!$A$3:$H$102,6,FALSE),0)</f>
        <v>180</v>
      </c>
      <c r="BF83">
        <f>IF(gamma!BF83,VLOOKUP(zeta!BF$1,main!$A$3:$H$102,5,FALSE)-VLOOKUP(zeta!$A83,main!$A$3:$H$102,6,FALSE),0)</f>
        <v>0</v>
      </c>
      <c r="BG83">
        <f>IF(gamma!BG83,VLOOKUP(zeta!BG$1,main!$A$3:$H$102,5,FALSE)-VLOOKUP(zeta!$A83,main!$A$3:$H$102,6,FALSE),0)</f>
        <v>0</v>
      </c>
      <c r="BH83">
        <f>IF(gamma!BH83,VLOOKUP(zeta!BH$1,main!$A$3:$H$102,5,FALSE)-VLOOKUP(zeta!$A83,main!$A$3:$H$102,6,FALSE),0)</f>
        <v>0</v>
      </c>
      <c r="BI83">
        <f>IF(gamma!BI83,VLOOKUP(zeta!BI$1,main!$A$3:$H$102,5,FALSE)-VLOOKUP(zeta!$A83,main!$A$3:$H$102,6,FALSE),0)</f>
        <v>350</v>
      </c>
      <c r="BJ83">
        <f>IF(gamma!BJ83,VLOOKUP(zeta!BJ$1,main!$A$3:$H$102,5,FALSE)-VLOOKUP(zeta!$A83,main!$A$3:$H$102,6,FALSE),0)</f>
        <v>140</v>
      </c>
      <c r="BK83">
        <f>IF(gamma!BK83,VLOOKUP(zeta!BK$1,main!$A$3:$H$102,5,FALSE)-VLOOKUP(zeta!$A83,main!$A$3:$H$102,6,FALSE),0)</f>
        <v>0</v>
      </c>
      <c r="BL83">
        <f>IF(gamma!BL83,VLOOKUP(zeta!BL$1,main!$A$3:$H$102,5,FALSE)-VLOOKUP(zeta!$A83,main!$A$3:$H$102,6,FALSE),0)</f>
        <v>0</v>
      </c>
      <c r="BM83">
        <f>IF(gamma!BM83,VLOOKUP(zeta!BM$1,main!$A$3:$H$102,5,FALSE)-VLOOKUP(zeta!$A83,main!$A$3:$H$102,6,FALSE),0)</f>
        <v>0</v>
      </c>
      <c r="BN83">
        <f>IF(gamma!BN83,VLOOKUP(zeta!BN$1,main!$A$3:$H$102,5,FALSE)-VLOOKUP(zeta!$A83,main!$A$3:$H$102,6,FALSE),0)</f>
        <v>0</v>
      </c>
      <c r="BO83">
        <f>IF(gamma!BO83,VLOOKUP(zeta!BO$1,main!$A$3:$H$102,5,FALSE)-VLOOKUP(zeta!$A83,main!$A$3:$H$102,6,FALSE),0)</f>
        <v>0</v>
      </c>
      <c r="BP83">
        <f>IF(gamma!BP83,VLOOKUP(zeta!BP$1,main!$A$3:$H$102,5,FALSE)-VLOOKUP(zeta!$A83,main!$A$3:$H$102,6,FALSE),0)</f>
        <v>0</v>
      </c>
      <c r="BQ83">
        <f>IF(gamma!BQ83,VLOOKUP(zeta!BQ$1,main!$A$3:$H$102,5,FALSE)-VLOOKUP(zeta!$A83,main!$A$3:$H$102,6,FALSE),0)</f>
        <v>0</v>
      </c>
      <c r="BR83">
        <f>IF(gamma!BR83,VLOOKUP(zeta!BR$1,main!$A$3:$H$102,5,FALSE)-VLOOKUP(zeta!$A83,main!$A$3:$H$102,6,FALSE),0)</f>
        <v>0</v>
      </c>
      <c r="BS83">
        <f>IF(gamma!BS83,VLOOKUP(zeta!BS$1,main!$A$3:$H$102,5,FALSE)-VLOOKUP(zeta!$A83,main!$A$3:$H$102,6,FALSE),0)</f>
        <v>0</v>
      </c>
      <c r="BT83">
        <f>IF(gamma!BT83,VLOOKUP(zeta!BT$1,main!$A$3:$H$102,5,FALSE)-VLOOKUP(zeta!$A83,main!$A$3:$H$102,6,FALSE),0)</f>
        <v>0</v>
      </c>
      <c r="BU83">
        <f>IF(gamma!BU83,VLOOKUP(zeta!BU$1,main!$A$3:$H$102,5,FALSE)-VLOOKUP(zeta!$A83,main!$A$3:$H$102,6,FALSE),0)</f>
        <v>0</v>
      </c>
      <c r="BV83">
        <f>IF(gamma!BV83,VLOOKUP(zeta!BV$1,main!$A$3:$H$102,5,FALSE)-VLOOKUP(zeta!$A83,main!$A$3:$H$102,6,FALSE),0)</f>
        <v>0</v>
      </c>
      <c r="BW83">
        <f>IF(gamma!BW83,VLOOKUP(zeta!BW$1,main!$A$3:$H$102,5,FALSE)-VLOOKUP(zeta!$A83,main!$A$3:$H$102,6,FALSE),0)</f>
        <v>0</v>
      </c>
      <c r="BX83">
        <f>IF(gamma!BX83,VLOOKUP(zeta!BX$1,main!$A$3:$H$102,5,FALSE)-VLOOKUP(zeta!$A83,main!$A$3:$H$102,6,FALSE),0)</f>
        <v>0</v>
      </c>
      <c r="BY83">
        <f>IF(gamma!BY83,VLOOKUP(zeta!BY$1,main!$A$3:$H$102,5,FALSE)-VLOOKUP(zeta!$A83,main!$A$3:$H$102,6,FALSE),0)</f>
        <v>0</v>
      </c>
      <c r="BZ83">
        <f>IF(gamma!BZ83,VLOOKUP(zeta!BZ$1,main!$A$3:$H$102,5,FALSE)-VLOOKUP(zeta!$A83,main!$A$3:$H$102,6,FALSE),0)</f>
        <v>0</v>
      </c>
      <c r="CA83">
        <f>IF(gamma!CA83,VLOOKUP(zeta!CA$1,main!$A$3:$H$102,5,FALSE)-VLOOKUP(zeta!$A83,main!$A$3:$H$102,6,FALSE),0)</f>
        <v>0</v>
      </c>
      <c r="CB83">
        <f>IF(gamma!CB83,VLOOKUP(zeta!CB$1,main!$A$3:$H$102,5,FALSE)-VLOOKUP(zeta!$A83,main!$A$3:$H$102,6,FALSE),0)</f>
        <v>45</v>
      </c>
      <c r="CC83">
        <f>IF(gamma!CC83,VLOOKUP(zeta!CC$1,main!$A$3:$H$102,5,FALSE)-VLOOKUP(zeta!$A83,main!$A$3:$H$102,6,FALSE),0)</f>
        <v>255</v>
      </c>
      <c r="CD83">
        <f>IF(gamma!CD83,VLOOKUP(zeta!CD$1,main!$A$3:$H$102,5,FALSE)-VLOOKUP(zeta!$A83,main!$A$3:$H$102,6,FALSE),0)</f>
        <v>0</v>
      </c>
      <c r="CE83">
        <f>IF(gamma!CE83,VLOOKUP(zeta!CE$1,main!$A$3:$H$102,5,FALSE)-VLOOKUP(zeta!$A83,main!$A$3:$H$102,6,FALSE),0)</f>
        <v>0</v>
      </c>
      <c r="CF83">
        <f>IF(gamma!CF83,VLOOKUP(zeta!CF$1,main!$A$3:$H$102,5,FALSE)-VLOOKUP(zeta!$A83,main!$A$3:$H$102,6,FALSE),0)</f>
        <v>0</v>
      </c>
      <c r="CG83">
        <f>IF(gamma!CG83,VLOOKUP(zeta!CG$1,main!$A$3:$H$102,5,FALSE)-VLOOKUP(zeta!$A83,main!$A$3:$H$102,6,FALSE),0)</f>
        <v>0</v>
      </c>
      <c r="CH83">
        <f>IF(gamma!CH83,VLOOKUP(zeta!CH$1,main!$A$3:$H$102,5,FALSE)-VLOOKUP(zeta!$A83,main!$A$3:$H$102,6,FALSE),0)</f>
        <v>140</v>
      </c>
      <c r="CI83">
        <f>IF(gamma!CI83,VLOOKUP(zeta!CI$1,main!$A$3:$H$102,5,FALSE)-VLOOKUP(zeta!$A83,main!$A$3:$H$102,6,FALSE),0)</f>
        <v>340</v>
      </c>
      <c r="CJ83">
        <f>IF(gamma!CJ83,VLOOKUP(zeta!CJ$1,main!$A$3:$H$102,5,FALSE)-VLOOKUP(zeta!$A83,main!$A$3:$H$102,6,FALSE),0)</f>
        <v>0</v>
      </c>
      <c r="CK83">
        <f>IF(gamma!CK83,VLOOKUP(zeta!CK$1,main!$A$3:$H$102,5,FALSE)-VLOOKUP(zeta!$A83,main!$A$3:$H$102,6,FALSE),0)</f>
        <v>0</v>
      </c>
      <c r="CL83">
        <f>IF(gamma!CL83,VLOOKUP(zeta!CL$1,main!$A$3:$H$102,5,FALSE)-VLOOKUP(zeta!$A83,main!$A$3:$H$102,6,FALSE),0)</f>
        <v>0</v>
      </c>
      <c r="CM83">
        <f>IF(gamma!CM83,VLOOKUP(zeta!CM$1,main!$A$3:$H$102,5,FALSE)-VLOOKUP(zeta!$A83,main!$A$3:$H$102,6,FALSE),0)</f>
        <v>116</v>
      </c>
      <c r="CN83">
        <f>IF(gamma!CN83,VLOOKUP(zeta!CN$1,main!$A$3:$H$102,5,FALSE)-VLOOKUP(zeta!$A83,main!$A$3:$H$102,6,FALSE),0)</f>
        <v>340</v>
      </c>
      <c r="CO83">
        <f>IF(gamma!CO83,VLOOKUP(zeta!CO$1,main!$A$3:$H$102,5,FALSE)-VLOOKUP(zeta!$A83,main!$A$3:$H$102,6,FALSE),0)</f>
        <v>0</v>
      </c>
      <c r="CP83">
        <f>IF(gamma!CP83,VLOOKUP(zeta!CP$1,main!$A$3:$H$102,5,FALSE)-VLOOKUP(zeta!$A83,main!$A$3:$H$102,6,FALSE),0)</f>
        <v>0</v>
      </c>
      <c r="CQ83">
        <f>IF(gamma!CQ83,VLOOKUP(zeta!CQ$1,main!$A$3:$H$102,5,FALSE)-VLOOKUP(zeta!$A83,main!$A$3:$H$102,6,FALSE),0)</f>
        <v>0</v>
      </c>
      <c r="CR83">
        <f>IF(gamma!CR83,VLOOKUP(zeta!CR$1,main!$A$3:$H$102,5,FALSE)-VLOOKUP(zeta!$A83,main!$A$3:$H$102,6,FALSE),0)</f>
        <v>105</v>
      </c>
      <c r="CS83">
        <f>IF(gamma!CS83,VLOOKUP(zeta!CS$1,main!$A$3:$H$102,5,FALSE)-VLOOKUP(zeta!$A83,main!$A$3:$H$102,6,FALSE),0)</f>
        <v>115</v>
      </c>
      <c r="CT83">
        <f>IF(gamma!CT83,VLOOKUP(zeta!CT$1,main!$A$3:$H$102,5,FALSE)-VLOOKUP(zeta!$A83,main!$A$3:$H$102,6,FALSE),0)</f>
        <v>0</v>
      </c>
      <c r="CU83">
        <f>IF(gamma!CU83,VLOOKUP(zeta!CU$1,main!$A$3:$H$102,5,FALSE)-VLOOKUP(zeta!$A83,main!$A$3:$H$102,6,FALSE),0)</f>
        <v>0</v>
      </c>
      <c r="CV83">
        <f>IF(gamma!CV83,VLOOKUP(zeta!CV$1,main!$A$3:$H$102,5,FALSE)-VLOOKUP(zeta!$A83,main!$A$3:$H$102,6,FALSE),0)</f>
        <v>0</v>
      </c>
      <c r="CW83">
        <f>IF(gamma!CW83,VLOOKUP(zeta!CW$1,main!$A$3:$H$102,5,FALSE)-VLOOKUP(zeta!$A83,main!$A$3:$H$102,6,FALSE),0)</f>
        <v>105</v>
      </c>
      <c r="CX83">
        <f>IF(gamma!CX83,VLOOKUP(zeta!CX$1,main!$A$3:$H$102,5,FALSE)-VLOOKUP(zeta!$A83,main!$A$3:$H$102,6,FALSE),0)</f>
        <v>145</v>
      </c>
    </row>
    <row r="84" spans="1:102" x14ac:dyDescent="0.25">
      <c r="A84">
        <f t="shared" si="2"/>
        <v>82</v>
      </c>
      <c r="B84">
        <v>0</v>
      </c>
      <c r="C84">
        <f>IF(gamma!C84,VLOOKUP(zeta!C$1,main!$A$3:$H$102,5,FALSE)-VLOOKUP(zeta!$A84,main!$A$3:$H$102,6,FALSE),0)</f>
        <v>0</v>
      </c>
      <c r="D84">
        <f>IF(gamma!D84,VLOOKUP(zeta!D$1,main!$A$3:$H$102,5,FALSE)-VLOOKUP(zeta!$A84,main!$A$3:$H$102,6,FALSE),0)</f>
        <v>0</v>
      </c>
      <c r="E84">
        <f>IF(gamma!E84,VLOOKUP(zeta!E$1,main!$A$3:$H$102,5,FALSE)-VLOOKUP(zeta!$A84,main!$A$3:$H$102,6,FALSE),0)</f>
        <v>0</v>
      </c>
      <c r="F84">
        <f>IF(gamma!F84,VLOOKUP(zeta!F$1,main!$A$3:$H$102,5,FALSE)-VLOOKUP(zeta!$A84,main!$A$3:$H$102,6,FALSE),0)</f>
        <v>0</v>
      </c>
      <c r="G84">
        <f>IF(gamma!G84,VLOOKUP(zeta!G$1,main!$A$3:$H$102,5,FALSE)-VLOOKUP(zeta!$A84,main!$A$3:$H$102,6,FALSE),0)</f>
        <v>0</v>
      </c>
      <c r="H84">
        <f>IF(gamma!H84,VLOOKUP(zeta!H$1,main!$A$3:$H$102,5,FALSE)-VLOOKUP(zeta!$A84,main!$A$3:$H$102,6,FALSE),0)</f>
        <v>35</v>
      </c>
      <c r="I84">
        <f>IF(gamma!I84,VLOOKUP(zeta!I$1,main!$A$3:$H$102,5,FALSE)-VLOOKUP(zeta!$A84,main!$A$3:$H$102,6,FALSE),0)</f>
        <v>95</v>
      </c>
      <c r="J84">
        <f>IF(gamma!J84,VLOOKUP(zeta!J$1,main!$A$3:$H$102,5,FALSE)-VLOOKUP(zeta!$A84,main!$A$3:$H$102,6,FALSE),0)</f>
        <v>155</v>
      </c>
      <c r="K84">
        <f>IF(gamma!K84,VLOOKUP(zeta!K$1,main!$A$3:$H$102,5,FALSE)-VLOOKUP(zeta!$A84,main!$A$3:$H$102,6,FALSE),0)</f>
        <v>215</v>
      </c>
      <c r="L84">
        <f>IF(gamma!L84,VLOOKUP(zeta!L$1,main!$A$3:$H$102,5,FALSE)-VLOOKUP(zeta!$A84,main!$A$3:$H$102,6,FALSE),0)</f>
        <v>305</v>
      </c>
      <c r="M84">
        <f>IF(gamma!M84,VLOOKUP(zeta!M$1,main!$A$3:$H$102,5,FALSE)-VLOOKUP(zeta!$A84,main!$A$3:$H$102,6,FALSE),0)</f>
        <v>0</v>
      </c>
      <c r="N84">
        <f>IF(gamma!N84,VLOOKUP(zeta!N$1,main!$A$3:$H$102,5,FALSE)-VLOOKUP(zeta!$A84,main!$A$3:$H$102,6,FALSE),0)</f>
        <v>0</v>
      </c>
      <c r="O84">
        <f>IF(gamma!O84,VLOOKUP(zeta!O$1,main!$A$3:$H$102,5,FALSE)-VLOOKUP(zeta!$A84,main!$A$3:$H$102,6,FALSE),0)</f>
        <v>0</v>
      </c>
      <c r="P84">
        <f>IF(gamma!P84,VLOOKUP(zeta!P$1,main!$A$3:$H$102,5,FALSE)-VLOOKUP(zeta!$A84,main!$A$3:$H$102,6,FALSE),0)</f>
        <v>0</v>
      </c>
      <c r="Q84">
        <f>IF(gamma!Q84,VLOOKUP(zeta!Q$1,main!$A$3:$H$102,5,FALSE)-VLOOKUP(zeta!$A84,main!$A$3:$H$102,6,FALSE),0)</f>
        <v>0</v>
      </c>
      <c r="R84">
        <f>IF(gamma!R84,VLOOKUP(zeta!R$1,main!$A$3:$H$102,5,FALSE)-VLOOKUP(zeta!$A84,main!$A$3:$H$102,6,FALSE),0)</f>
        <v>0</v>
      </c>
      <c r="S84">
        <f>IF(gamma!S84,VLOOKUP(zeta!S$1,main!$A$3:$H$102,5,FALSE)-VLOOKUP(zeta!$A84,main!$A$3:$H$102,6,FALSE),0)</f>
        <v>35</v>
      </c>
      <c r="T84">
        <f>IF(gamma!T84,VLOOKUP(zeta!T$1,main!$A$3:$H$102,5,FALSE)-VLOOKUP(zeta!$A84,main!$A$3:$H$102,6,FALSE),0)</f>
        <v>115</v>
      </c>
      <c r="U84">
        <f>IF(gamma!U84,VLOOKUP(zeta!U$1,main!$A$3:$H$102,5,FALSE)-VLOOKUP(zeta!$A84,main!$A$3:$H$102,6,FALSE),0)</f>
        <v>270</v>
      </c>
      <c r="V84">
        <f>IF(gamma!V84,VLOOKUP(zeta!V$1,main!$A$3:$H$102,5,FALSE)-VLOOKUP(zeta!$A84,main!$A$3:$H$102,6,FALSE),0)</f>
        <v>330</v>
      </c>
      <c r="W84">
        <f>IF(gamma!W84,VLOOKUP(zeta!W$1,main!$A$3:$H$102,5,FALSE)-VLOOKUP(zeta!$A84,main!$A$3:$H$102,6,FALSE),0)</f>
        <v>0</v>
      </c>
      <c r="X84">
        <f>IF(gamma!X84,VLOOKUP(zeta!X$1,main!$A$3:$H$102,5,FALSE)-VLOOKUP(zeta!$A84,main!$A$3:$H$102,6,FALSE),0)</f>
        <v>0</v>
      </c>
      <c r="Y84">
        <f>IF(gamma!Y84,VLOOKUP(zeta!Y$1,main!$A$3:$H$102,5,FALSE)-VLOOKUP(zeta!$A84,main!$A$3:$H$102,6,FALSE),0)</f>
        <v>0</v>
      </c>
      <c r="Z84">
        <f>IF(gamma!Z84,VLOOKUP(zeta!Z$1,main!$A$3:$H$102,5,FALSE)-VLOOKUP(zeta!$A84,main!$A$3:$H$102,6,FALSE),0)</f>
        <v>85</v>
      </c>
      <c r="AA84">
        <f>IF(gamma!AA84,VLOOKUP(zeta!AA$1,main!$A$3:$H$102,5,FALSE)-VLOOKUP(zeta!$A84,main!$A$3:$H$102,6,FALSE),0)</f>
        <v>235</v>
      </c>
      <c r="AB84">
        <f>IF(gamma!AB84,VLOOKUP(zeta!AB$1,main!$A$3:$H$102,5,FALSE)-VLOOKUP(zeta!$A84,main!$A$3:$H$102,6,FALSE),0)</f>
        <v>0</v>
      </c>
      <c r="AC84">
        <f>IF(gamma!AC84,VLOOKUP(zeta!AC$1,main!$A$3:$H$102,5,FALSE)-VLOOKUP(zeta!$A84,main!$A$3:$H$102,6,FALSE),0)</f>
        <v>0</v>
      </c>
      <c r="AD84">
        <f>IF(gamma!AD84,VLOOKUP(zeta!AD$1,main!$A$3:$H$102,5,FALSE)-VLOOKUP(zeta!$A84,main!$A$3:$H$102,6,FALSE),0)</f>
        <v>0</v>
      </c>
      <c r="AE84">
        <f>IF(gamma!AE84,VLOOKUP(zeta!AE$1,main!$A$3:$H$102,5,FALSE)-VLOOKUP(zeta!$A84,main!$A$3:$H$102,6,FALSE),0)</f>
        <v>45</v>
      </c>
      <c r="AF84">
        <f>IF(gamma!AF84,VLOOKUP(zeta!AF$1,main!$A$3:$H$102,5,FALSE)-VLOOKUP(zeta!$A84,main!$A$3:$H$102,6,FALSE),0)</f>
        <v>215</v>
      </c>
      <c r="AG84">
        <f>IF(gamma!AG84,VLOOKUP(zeta!AG$1,main!$A$3:$H$102,5,FALSE)-VLOOKUP(zeta!$A84,main!$A$3:$H$102,6,FALSE),0)</f>
        <v>0</v>
      </c>
      <c r="AH84">
        <f>IF(gamma!AH84,VLOOKUP(zeta!AH$1,main!$A$3:$H$102,5,FALSE)-VLOOKUP(zeta!$A84,main!$A$3:$H$102,6,FALSE),0)</f>
        <v>0</v>
      </c>
      <c r="AI84">
        <f>IF(gamma!AI84,VLOOKUP(zeta!AI$1,main!$A$3:$H$102,5,FALSE)-VLOOKUP(zeta!$A84,main!$A$3:$H$102,6,FALSE),0)</f>
        <v>0</v>
      </c>
      <c r="AJ84">
        <f>IF(gamma!AJ84,VLOOKUP(zeta!AJ$1,main!$A$3:$H$102,5,FALSE)-VLOOKUP(zeta!$A84,main!$A$3:$H$102,6,FALSE),0)</f>
        <v>0</v>
      </c>
      <c r="AK84">
        <f>IF(gamma!AK84,VLOOKUP(zeta!AK$1,main!$A$3:$H$102,5,FALSE)-VLOOKUP(zeta!$A84,main!$A$3:$H$102,6,FALSE),0)</f>
        <v>0</v>
      </c>
      <c r="AL84">
        <f>IF(gamma!AL84,VLOOKUP(zeta!AL$1,main!$A$3:$H$102,5,FALSE)-VLOOKUP(zeta!$A84,main!$A$3:$H$102,6,FALSE),0)</f>
        <v>105</v>
      </c>
      <c r="AM84">
        <f>IF(gamma!AM84,VLOOKUP(zeta!AM$1,main!$A$3:$H$102,5,FALSE)-VLOOKUP(zeta!$A84,main!$A$3:$H$102,6,FALSE),0)</f>
        <v>195</v>
      </c>
      <c r="AN84">
        <f>IF(gamma!AN84,VLOOKUP(zeta!AN$1,main!$A$3:$H$102,5,FALSE)-VLOOKUP(zeta!$A84,main!$A$3:$H$102,6,FALSE),0)</f>
        <v>255</v>
      </c>
      <c r="AO84">
        <f>IF(gamma!AO84,VLOOKUP(zeta!AO$1,main!$A$3:$H$102,5,FALSE)-VLOOKUP(zeta!$A84,main!$A$3:$H$102,6,FALSE),0)</f>
        <v>0</v>
      </c>
      <c r="AP84">
        <f>IF(gamma!AP84,VLOOKUP(zeta!AP$1,main!$A$3:$H$102,5,FALSE)-VLOOKUP(zeta!$A84,main!$A$3:$H$102,6,FALSE),0)</f>
        <v>315</v>
      </c>
      <c r="AQ84">
        <f>IF(gamma!AQ84,VLOOKUP(zeta!AQ$1,main!$A$3:$H$102,5,FALSE)-VLOOKUP(zeta!$A84,main!$A$3:$H$102,6,FALSE),0)</f>
        <v>0</v>
      </c>
      <c r="AR84">
        <f>IF(gamma!AR84,VLOOKUP(zeta!AR$1,main!$A$3:$H$102,5,FALSE)-VLOOKUP(zeta!$A84,main!$A$3:$H$102,6,FALSE),0)</f>
        <v>0</v>
      </c>
      <c r="AS84">
        <f>IF(gamma!AS84,VLOOKUP(zeta!AS$1,main!$A$3:$H$102,5,FALSE)-VLOOKUP(zeta!$A84,main!$A$3:$H$102,6,FALSE),0)</f>
        <v>0</v>
      </c>
      <c r="AT84">
        <f>IF(gamma!AT84,VLOOKUP(zeta!AT$1,main!$A$3:$H$102,5,FALSE)-VLOOKUP(zeta!$A84,main!$A$3:$H$102,6,FALSE),0)</f>
        <v>65</v>
      </c>
      <c r="AU84">
        <f>IF(gamma!AU84,VLOOKUP(zeta!AU$1,main!$A$3:$H$102,5,FALSE)-VLOOKUP(zeta!$A84,main!$A$3:$H$102,6,FALSE),0)</f>
        <v>0</v>
      </c>
      <c r="AV84">
        <f>IF(gamma!AV84,VLOOKUP(zeta!AV$1,main!$A$3:$H$102,5,FALSE)-VLOOKUP(zeta!$A84,main!$A$3:$H$102,6,FALSE),0)</f>
        <v>0</v>
      </c>
      <c r="AW84">
        <f>IF(gamma!AW84,VLOOKUP(zeta!AW$1,main!$A$3:$H$102,5,FALSE)-VLOOKUP(zeta!$A84,main!$A$3:$H$102,6,FALSE),0)</f>
        <v>0</v>
      </c>
      <c r="AX84">
        <f>IF(gamma!AX84,VLOOKUP(zeta!AX$1,main!$A$3:$H$102,5,FALSE)-VLOOKUP(zeta!$A84,main!$A$3:$H$102,6,FALSE),0)</f>
        <v>0</v>
      </c>
      <c r="AY84">
        <f>IF(gamma!AY84,VLOOKUP(zeta!AY$1,main!$A$3:$H$102,5,FALSE)-VLOOKUP(zeta!$A84,main!$A$3:$H$102,6,FALSE),0)</f>
        <v>0</v>
      </c>
      <c r="AZ84">
        <f>IF(gamma!AZ84,VLOOKUP(zeta!AZ$1,main!$A$3:$H$102,5,FALSE)-VLOOKUP(zeta!$A84,main!$A$3:$H$102,6,FALSE),0)</f>
        <v>0</v>
      </c>
      <c r="BA84">
        <f>IF(gamma!BA84,VLOOKUP(zeta!BA$1,main!$A$3:$H$102,5,FALSE)-VLOOKUP(zeta!$A84,main!$A$3:$H$102,6,FALSE),0)</f>
        <v>0</v>
      </c>
      <c r="BB84">
        <f>IF(gamma!BB84,VLOOKUP(zeta!BB$1,main!$A$3:$H$102,5,FALSE)-VLOOKUP(zeta!$A84,main!$A$3:$H$102,6,FALSE),0)</f>
        <v>0</v>
      </c>
      <c r="BC84">
        <f>IF(gamma!BC84,VLOOKUP(zeta!BC$1,main!$A$3:$H$102,5,FALSE)-VLOOKUP(zeta!$A84,main!$A$3:$H$102,6,FALSE),0)</f>
        <v>0</v>
      </c>
      <c r="BD84">
        <f>IF(gamma!BD84,VLOOKUP(zeta!BD$1,main!$A$3:$H$102,5,FALSE)-VLOOKUP(zeta!$A84,main!$A$3:$H$102,6,FALSE),0)</f>
        <v>0</v>
      </c>
      <c r="BE84">
        <f>IF(gamma!BE84,VLOOKUP(zeta!BE$1,main!$A$3:$H$102,5,FALSE)-VLOOKUP(zeta!$A84,main!$A$3:$H$102,6,FALSE),0)</f>
        <v>155</v>
      </c>
      <c r="BF84">
        <f>IF(gamma!BF84,VLOOKUP(zeta!BF$1,main!$A$3:$H$102,5,FALSE)-VLOOKUP(zeta!$A84,main!$A$3:$H$102,6,FALSE),0)</f>
        <v>0</v>
      </c>
      <c r="BG84">
        <f>IF(gamma!BG84,VLOOKUP(zeta!BG$1,main!$A$3:$H$102,5,FALSE)-VLOOKUP(zeta!$A84,main!$A$3:$H$102,6,FALSE),0)</f>
        <v>0</v>
      </c>
      <c r="BH84">
        <f>IF(gamma!BH84,VLOOKUP(zeta!BH$1,main!$A$3:$H$102,5,FALSE)-VLOOKUP(zeta!$A84,main!$A$3:$H$102,6,FALSE),0)</f>
        <v>0</v>
      </c>
      <c r="BI84">
        <f>IF(gamma!BI84,VLOOKUP(zeta!BI$1,main!$A$3:$H$102,5,FALSE)-VLOOKUP(zeta!$A84,main!$A$3:$H$102,6,FALSE),0)</f>
        <v>325</v>
      </c>
      <c r="BJ84">
        <f>IF(gamma!BJ84,VLOOKUP(zeta!BJ$1,main!$A$3:$H$102,5,FALSE)-VLOOKUP(zeta!$A84,main!$A$3:$H$102,6,FALSE),0)</f>
        <v>115</v>
      </c>
      <c r="BK84">
        <f>IF(gamma!BK84,VLOOKUP(zeta!BK$1,main!$A$3:$H$102,5,FALSE)-VLOOKUP(zeta!$A84,main!$A$3:$H$102,6,FALSE),0)</f>
        <v>0</v>
      </c>
      <c r="BL84">
        <f>IF(gamma!BL84,VLOOKUP(zeta!BL$1,main!$A$3:$H$102,5,FALSE)-VLOOKUP(zeta!$A84,main!$A$3:$H$102,6,FALSE),0)</f>
        <v>0</v>
      </c>
      <c r="BM84">
        <f>IF(gamma!BM84,VLOOKUP(zeta!BM$1,main!$A$3:$H$102,5,FALSE)-VLOOKUP(zeta!$A84,main!$A$3:$H$102,6,FALSE),0)</f>
        <v>0</v>
      </c>
      <c r="BN84">
        <f>IF(gamma!BN84,VLOOKUP(zeta!BN$1,main!$A$3:$H$102,5,FALSE)-VLOOKUP(zeta!$A84,main!$A$3:$H$102,6,FALSE),0)</f>
        <v>0</v>
      </c>
      <c r="BO84">
        <f>IF(gamma!BO84,VLOOKUP(zeta!BO$1,main!$A$3:$H$102,5,FALSE)-VLOOKUP(zeta!$A84,main!$A$3:$H$102,6,FALSE),0)</f>
        <v>0</v>
      </c>
      <c r="BP84">
        <f>IF(gamma!BP84,VLOOKUP(zeta!BP$1,main!$A$3:$H$102,5,FALSE)-VLOOKUP(zeta!$A84,main!$A$3:$H$102,6,FALSE),0)</f>
        <v>0</v>
      </c>
      <c r="BQ84">
        <f>IF(gamma!BQ84,VLOOKUP(zeta!BQ$1,main!$A$3:$H$102,5,FALSE)-VLOOKUP(zeta!$A84,main!$A$3:$H$102,6,FALSE),0)</f>
        <v>0</v>
      </c>
      <c r="BR84">
        <f>IF(gamma!BR84,VLOOKUP(zeta!BR$1,main!$A$3:$H$102,5,FALSE)-VLOOKUP(zeta!$A84,main!$A$3:$H$102,6,FALSE),0)</f>
        <v>0</v>
      </c>
      <c r="BS84">
        <f>IF(gamma!BS84,VLOOKUP(zeta!BS$1,main!$A$3:$H$102,5,FALSE)-VLOOKUP(zeta!$A84,main!$A$3:$H$102,6,FALSE),0)</f>
        <v>0</v>
      </c>
      <c r="BT84">
        <f>IF(gamma!BT84,VLOOKUP(zeta!BT$1,main!$A$3:$H$102,5,FALSE)-VLOOKUP(zeta!$A84,main!$A$3:$H$102,6,FALSE),0)</f>
        <v>0</v>
      </c>
      <c r="BU84">
        <f>IF(gamma!BU84,VLOOKUP(zeta!BU$1,main!$A$3:$H$102,5,FALSE)-VLOOKUP(zeta!$A84,main!$A$3:$H$102,6,FALSE),0)</f>
        <v>0</v>
      </c>
      <c r="BV84">
        <f>IF(gamma!BV84,VLOOKUP(zeta!BV$1,main!$A$3:$H$102,5,FALSE)-VLOOKUP(zeta!$A84,main!$A$3:$H$102,6,FALSE),0)</f>
        <v>0</v>
      </c>
      <c r="BW84">
        <f>IF(gamma!BW84,VLOOKUP(zeta!BW$1,main!$A$3:$H$102,5,FALSE)-VLOOKUP(zeta!$A84,main!$A$3:$H$102,6,FALSE),0)</f>
        <v>0</v>
      </c>
      <c r="BX84">
        <f>IF(gamma!BX84,VLOOKUP(zeta!BX$1,main!$A$3:$H$102,5,FALSE)-VLOOKUP(zeta!$A84,main!$A$3:$H$102,6,FALSE),0)</f>
        <v>0</v>
      </c>
      <c r="BY84">
        <f>IF(gamma!BY84,VLOOKUP(zeta!BY$1,main!$A$3:$H$102,5,FALSE)-VLOOKUP(zeta!$A84,main!$A$3:$H$102,6,FALSE),0)</f>
        <v>0</v>
      </c>
      <c r="BZ84">
        <f>IF(gamma!BZ84,VLOOKUP(zeta!BZ$1,main!$A$3:$H$102,5,FALSE)-VLOOKUP(zeta!$A84,main!$A$3:$H$102,6,FALSE),0)</f>
        <v>0</v>
      </c>
      <c r="CA84">
        <f>IF(gamma!CA84,VLOOKUP(zeta!CA$1,main!$A$3:$H$102,5,FALSE)-VLOOKUP(zeta!$A84,main!$A$3:$H$102,6,FALSE),0)</f>
        <v>0</v>
      </c>
      <c r="CB84">
        <f>IF(gamma!CB84,VLOOKUP(zeta!CB$1,main!$A$3:$H$102,5,FALSE)-VLOOKUP(zeta!$A84,main!$A$3:$H$102,6,FALSE),0)</f>
        <v>0</v>
      </c>
      <c r="CC84">
        <f>IF(gamma!CC84,VLOOKUP(zeta!CC$1,main!$A$3:$H$102,5,FALSE)-VLOOKUP(zeta!$A84,main!$A$3:$H$102,6,FALSE),0)</f>
        <v>230</v>
      </c>
      <c r="CD84">
        <f>IF(gamma!CD84,VLOOKUP(zeta!CD$1,main!$A$3:$H$102,5,FALSE)-VLOOKUP(zeta!$A84,main!$A$3:$H$102,6,FALSE),0)</f>
        <v>0</v>
      </c>
      <c r="CE84">
        <f>IF(gamma!CE84,VLOOKUP(zeta!CE$1,main!$A$3:$H$102,5,FALSE)-VLOOKUP(zeta!$A84,main!$A$3:$H$102,6,FALSE),0)</f>
        <v>0</v>
      </c>
      <c r="CF84">
        <f>IF(gamma!CF84,VLOOKUP(zeta!CF$1,main!$A$3:$H$102,5,FALSE)-VLOOKUP(zeta!$A84,main!$A$3:$H$102,6,FALSE),0)</f>
        <v>0</v>
      </c>
      <c r="CG84">
        <f>IF(gamma!CG84,VLOOKUP(zeta!CG$1,main!$A$3:$H$102,5,FALSE)-VLOOKUP(zeta!$A84,main!$A$3:$H$102,6,FALSE),0)</f>
        <v>0</v>
      </c>
      <c r="CH84">
        <f>IF(gamma!CH84,VLOOKUP(zeta!CH$1,main!$A$3:$H$102,5,FALSE)-VLOOKUP(zeta!$A84,main!$A$3:$H$102,6,FALSE),0)</f>
        <v>115</v>
      </c>
      <c r="CI84">
        <f>IF(gamma!CI84,VLOOKUP(zeta!CI$1,main!$A$3:$H$102,5,FALSE)-VLOOKUP(zeta!$A84,main!$A$3:$H$102,6,FALSE),0)</f>
        <v>315</v>
      </c>
      <c r="CJ84">
        <f>IF(gamma!CJ84,VLOOKUP(zeta!CJ$1,main!$A$3:$H$102,5,FALSE)-VLOOKUP(zeta!$A84,main!$A$3:$H$102,6,FALSE),0)</f>
        <v>0</v>
      </c>
      <c r="CK84">
        <f>IF(gamma!CK84,VLOOKUP(zeta!CK$1,main!$A$3:$H$102,5,FALSE)-VLOOKUP(zeta!$A84,main!$A$3:$H$102,6,FALSE),0)</f>
        <v>0</v>
      </c>
      <c r="CL84">
        <f>IF(gamma!CL84,VLOOKUP(zeta!CL$1,main!$A$3:$H$102,5,FALSE)-VLOOKUP(zeta!$A84,main!$A$3:$H$102,6,FALSE),0)</f>
        <v>0</v>
      </c>
      <c r="CM84">
        <f>IF(gamma!CM84,VLOOKUP(zeta!CM$1,main!$A$3:$H$102,5,FALSE)-VLOOKUP(zeta!$A84,main!$A$3:$H$102,6,FALSE),0)</f>
        <v>91</v>
      </c>
      <c r="CN84">
        <f>IF(gamma!CN84,VLOOKUP(zeta!CN$1,main!$A$3:$H$102,5,FALSE)-VLOOKUP(zeta!$A84,main!$A$3:$H$102,6,FALSE),0)</f>
        <v>315</v>
      </c>
      <c r="CO84">
        <f>IF(gamma!CO84,VLOOKUP(zeta!CO$1,main!$A$3:$H$102,5,FALSE)-VLOOKUP(zeta!$A84,main!$A$3:$H$102,6,FALSE),0)</f>
        <v>0</v>
      </c>
      <c r="CP84">
        <f>IF(gamma!CP84,VLOOKUP(zeta!CP$1,main!$A$3:$H$102,5,FALSE)-VLOOKUP(zeta!$A84,main!$A$3:$H$102,6,FALSE),0)</f>
        <v>0</v>
      </c>
      <c r="CQ84">
        <f>IF(gamma!CQ84,VLOOKUP(zeta!CQ$1,main!$A$3:$H$102,5,FALSE)-VLOOKUP(zeta!$A84,main!$A$3:$H$102,6,FALSE),0)</f>
        <v>0</v>
      </c>
      <c r="CR84">
        <f>IF(gamma!CR84,VLOOKUP(zeta!CR$1,main!$A$3:$H$102,5,FALSE)-VLOOKUP(zeta!$A84,main!$A$3:$H$102,6,FALSE),0)</f>
        <v>80</v>
      </c>
      <c r="CS84">
        <f>IF(gamma!CS84,VLOOKUP(zeta!CS$1,main!$A$3:$H$102,5,FALSE)-VLOOKUP(zeta!$A84,main!$A$3:$H$102,6,FALSE),0)</f>
        <v>90</v>
      </c>
      <c r="CT84">
        <f>IF(gamma!CT84,VLOOKUP(zeta!CT$1,main!$A$3:$H$102,5,FALSE)-VLOOKUP(zeta!$A84,main!$A$3:$H$102,6,FALSE),0)</f>
        <v>0</v>
      </c>
      <c r="CU84">
        <f>IF(gamma!CU84,VLOOKUP(zeta!CU$1,main!$A$3:$H$102,5,FALSE)-VLOOKUP(zeta!$A84,main!$A$3:$H$102,6,FALSE),0)</f>
        <v>0</v>
      </c>
      <c r="CV84">
        <f>IF(gamma!CV84,VLOOKUP(zeta!CV$1,main!$A$3:$H$102,5,FALSE)-VLOOKUP(zeta!$A84,main!$A$3:$H$102,6,FALSE),0)</f>
        <v>0</v>
      </c>
      <c r="CW84">
        <f>IF(gamma!CW84,VLOOKUP(zeta!CW$1,main!$A$3:$H$102,5,FALSE)-VLOOKUP(zeta!$A84,main!$A$3:$H$102,6,FALSE),0)</f>
        <v>80</v>
      </c>
      <c r="CX84">
        <f>IF(gamma!CX84,VLOOKUP(zeta!CX$1,main!$A$3:$H$102,5,FALSE)-VLOOKUP(zeta!$A84,main!$A$3:$H$102,6,FALSE),0)</f>
        <v>120</v>
      </c>
    </row>
    <row r="85" spans="1:102" x14ac:dyDescent="0.25">
      <c r="A85">
        <f t="shared" si="2"/>
        <v>83</v>
      </c>
      <c r="B85">
        <v>0</v>
      </c>
      <c r="C85">
        <f>IF(gamma!C85,VLOOKUP(zeta!C$1,main!$A$3:$H$102,5,FALSE)-VLOOKUP(zeta!$A85,main!$A$3:$H$102,6,FALSE),0)</f>
        <v>0</v>
      </c>
      <c r="D85">
        <f>IF(gamma!D85,VLOOKUP(zeta!D$1,main!$A$3:$H$102,5,FALSE)-VLOOKUP(zeta!$A85,main!$A$3:$H$102,6,FALSE),0)</f>
        <v>0</v>
      </c>
      <c r="E85">
        <f>IF(gamma!E85,VLOOKUP(zeta!E$1,main!$A$3:$H$102,5,FALSE)-VLOOKUP(zeta!$A85,main!$A$3:$H$102,6,FALSE),0)</f>
        <v>0</v>
      </c>
      <c r="F85">
        <f>IF(gamma!F85,VLOOKUP(zeta!F$1,main!$A$3:$H$102,5,FALSE)-VLOOKUP(zeta!$A85,main!$A$3:$H$102,6,FALSE),0)</f>
        <v>0</v>
      </c>
      <c r="G85">
        <f>IF(gamma!G85,VLOOKUP(zeta!G$1,main!$A$3:$H$102,5,FALSE)-VLOOKUP(zeta!$A85,main!$A$3:$H$102,6,FALSE),0)</f>
        <v>0</v>
      </c>
      <c r="H85">
        <f>IF(gamma!H85,VLOOKUP(zeta!H$1,main!$A$3:$H$102,5,FALSE)-VLOOKUP(zeta!$A85,main!$A$3:$H$102,6,FALSE),0)</f>
        <v>0</v>
      </c>
      <c r="I85">
        <f>IF(gamma!I85,VLOOKUP(zeta!I$1,main!$A$3:$H$102,5,FALSE)-VLOOKUP(zeta!$A85,main!$A$3:$H$102,6,FALSE),0)</f>
        <v>40</v>
      </c>
      <c r="J85">
        <f>IF(gamma!J85,VLOOKUP(zeta!J$1,main!$A$3:$H$102,5,FALSE)-VLOOKUP(zeta!$A85,main!$A$3:$H$102,6,FALSE),0)</f>
        <v>100</v>
      </c>
      <c r="K85">
        <f>IF(gamma!K85,VLOOKUP(zeta!K$1,main!$A$3:$H$102,5,FALSE)-VLOOKUP(zeta!$A85,main!$A$3:$H$102,6,FALSE),0)</f>
        <v>160</v>
      </c>
      <c r="L85">
        <f>IF(gamma!L85,VLOOKUP(zeta!L$1,main!$A$3:$H$102,5,FALSE)-VLOOKUP(zeta!$A85,main!$A$3:$H$102,6,FALSE),0)</f>
        <v>250</v>
      </c>
      <c r="M85">
        <f>IF(gamma!M85,VLOOKUP(zeta!M$1,main!$A$3:$H$102,5,FALSE)-VLOOKUP(zeta!$A85,main!$A$3:$H$102,6,FALSE),0)</f>
        <v>0</v>
      </c>
      <c r="N85">
        <f>IF(gamma!N85,VLOOKUP(zeta!N$1,main!$A$3:$H$102,5,FALSE)-VLOOKUP(zeta!$A85,main!$A$3:$H$102,6,FALSE),0)</f>
        <v>0</v>
      </c>
      <c r="O85">
        <f>IF(gamma!O85,VLOOKUP(zeta!O$1,main!$A$3:$H$102,5,FALSE)-VLOOKUP(zeta!$A85,main!$A$3:$H$102,6,FALSE),0)</f>
        <v>0</v>
      </c>
      <c r="P85">
        <f>IF(gamma!P85,VLOOKUP(zeta!P$1,main!$A$3:$H$102,5,FALSE)-VLOOKUP(zeta!$A85,main!$A$3:$H$102,6,FALSE),0)</f>
        <v>0</v>
      </c>
      <c r="Q85">
        <f>IF(gamma!Q85,VLOOKUP(zeta!Q$1,main!$A$3:$H$102,5,FALSE)-VLOOKUP(zeta!$A85,main!$A$3:$H$102,6,FALSE),0)</f>
        <v>0</v>
      </c>
      <c r="R85">
        <f>IF(gamma!R85,VLOOKUP(zeta!R$1,main!$A$3:$H$102,5,FALSE)-VLOOKUP(zeta!$A85,main!$A$3:$H$102,6,FALSE),0)</f>
        <v>0</v>
      </c>
      <c r="S85">
        <f>IF(gamma!S85,VLOOKUP(zeta!S$1,main!$A$3:$H$102,5,FALSE)-VLOOKUP(zeta!$A85,main!$A$3:$H$102,6,FALSE),0)</f>
        <v>0</v>
      </c>
      <c r="T85">
        <f>IF(gamma!T85,VLOOKUP(zeta!T$1,main!$A$3:$H$102,5,FALSE)-VLOOKUP(zeta!$A85,main!$A$3:$H$102,6,FALSE),0)</f>
        <v>60</v>
      </c>
      <c r="U85">
        <f>IF(gamma!U85,VLOOKUP(zeta!U$1,main!$A$3:$H$102,5,FALSE)-VLOOKUP(zeta!$A85,main!$A$3:$H$102,6,FALSE),0)</f>
        <v>215</v>
      </c>
      <c r="V85">
        <f>IF(gamma!V85,VLOOKUP(zeta!V$1,main!$A$3:$H$102,5,FALSE)-VLOOKUP(zeta!$A85,main!$A$3:$H$102,6,FALSE),0)</f>
        <v>275</v>
      </c>
      <c r="W85">
        <f>IF(gamma!W85,VLOOKUP(zeta!W$1,main!$A$3:$H$102,5,FALSE)-VLOOKUP(zeta!$A85,main!$A$3:$H$102,6,FALSE),0)</f>
        <v>0</v>
      </c>
      <c r="X85">
        <f>IF(gamma!X85,VLOOKUP(zeta!X$1,main!$A$3:$H$102,5,FALSE)-VLOOKUP(zeta!$A85,main!$A$3:$H$102,6,FALSE),0)</f>
        <v>0</v>
      </c>
      <c r="Y85">
        <f>IF(gamma!Y85,VLOOKUP(zeta!Y$1,main!$A$3:$H$102,5,FALSE)-VLOOKUP(zeta!$A85,main!$A$3:$H$102,6,FALSE),0)</f>
        <v>0</v>
      </c>
      <c r="Z85">
        <f>IF(gamma!Z85,VLOOKUP(zeta!Z$1,main!$A$3:$H$102,5,FALSE)-VLOOKUP(zeta!$A85,main!$A$3:$H$102,6,FALSE),0)</f>
        <v>30</v>
      </c>
      <c r="AA85">
        <f>IF(gamma!AA85,VLOOKUP(zeta!AA$1,main!$A$3:$H$102,5,FALSE)-VLOOKUP(zeta!$A85,main!$A$3:$H$102,6,FALSE),0)</f>
        <v>180</v>
      </c>
      <c r="AB85">
        <f>IF(gamma!AB85,VLOOKUP(zeta!AB$1,main!$A$3:$H$102,5,FALSE)-VLOOKUP(zeta!$A85,main!$A$3:$H$102,6,FALSE),0)</f>
        <v>0</v>
      </c>
      <c r="AC85">
        <f>IF(gamma!AC85,VLOOKUP(zeta!AC$1,main!$A$3:$H$102,5,FALSE)-VLOOKUP(zeta!$A85,main!$A$3:$H$102,6,FALSE),0)</f>
        <v>0</v>
      </c>
      <c r="AD85">
        <f>IF(gamma!AD85,VLOOKUP(zeta!AD$1,main!$A$3:$H$102,5,FALSE)-VLOOKUP(zeta!$A85,main!$A$3:$H$102,6,FALSE),0)</f>
        <v>0</v>
      </c>
      <c r="AE85">
        <f>IF(gamma!AE85,VLOOKUP(zeta!AE$1,main!$A$3:$H$102,5,FALSE)-VLOOKUP(zeta!$A85,main!$A$3:$H$102,6,FALSE),0)</f>
        <v>0</v>
      </c>
      <c r="AF85">
        <f>IF(gamma!AF85,VLOOKUP(zeta!AF$1,main!$A$3:$H$102,5,FALSE)-VLOOKUP(zeta!$A85,main!$A$3:$H$102,6,FALSE),0)</f>
        <v>160</v>
      </c>
      <c r="AG85">
        <f>IF(gamma!AG85,VLOOKUP(zeta!AG$1,main!$A$3:$H$102,5,FALSE)-VLOOKUP(zeta!$A85,main!$A$3:$H$102,6,FALSE),0)</f>
        <v>0</v>
      </c>
      <c r="AH85">
        <f>IF(gamma!AH85,VLOOKUP(zeta!AH$1,main!$A$3:$H$102,5,FALSE)-VLOOKUP(zeta!$A85,main!$A$3:$H$102,6,FALSE),0)</f>
        <v>0</v>
      </c>
      <c r="AI85">
        <f>IF(gamma!AI85,VLOOKUP(zeta!AI$1,main!$A$3:$H$102,5,FALSE)-VLOOKUP(zeta!$A85,main!$A$3:$H$102,6,FALSE),0)</f>
        <v>0</v>
      </c>
      <c r="AJ85">
        <f>IF(gamma!AJ85,VLOOKUP(zeta!AJ$1,main!$A$3:$H$102,5,FALSE)-VLOOKUP(zeta!$A85,main!$A$3:$H$102,6,FALSE),0)</f>
        <v>0</v>
      </c>
      <c r="AK85">
        <f>IF(gamma!AK85,VLOOKUP(zeta!AK$1,main!$A$3:$H$102,5,FALSE)-VLOOKUP(zeta!$A85,main!$A$3:$H$102,6,FALSE),0)</f>
        <v>0</v>
      </c>
      <c r="AL85">
        <f>IF(gamma!AL85,VLOOKUP(zeta!AL$1,main!$A$3:$H$102,5,FALSE)-VLOOKUP(zeta!$A85,main!$A$3:$H$102,6,FALSE),0)</f>
        <v>50</v>
      </c>
      <c r="AM85">
        <f>IF(gamma!AM85,VLOOKUP(zeta!AM$1,main!$A$3:$H$102,5,FALSE)-VLOOKUP(zeta!$A85,main!$A$3:$H$102,6,FALSE),0)</f>
        <v>140</v>
      </c>
      <c r="AN85">
        <f>IF(gamma!AN85,VLOOKUP(zeta!AN$1,main!$A$3:$H$102,5,FALSE)-VLOOKUP(zeta!$A85,main!$A$3:$H$102,6,FALSE),0)</f>
        <v>200</v>
      </c>
      <c r="AO85">
        <f>IF(gamma!AO85,VLOOKUP(zeta!AO$1,main!$A$3:$H$102,5,FALSE)-VLOOKUP(zeta!$A85,main!$A$3:$H$102,6,FALSE),0)</f>
        <v>0</v>
      </c>
      <c r="AP85">
        <f>IF(gamma!AP85,VLOOKUP(zeta!AP$1,main!$A$3:$H$102,5,FALSE)-VLOOKUP(zeta!$A85,main!$A$3:$H$102,6,FALSE),0)</f>
        <v>260</v>
      </c>
      <c r="AQ85">
        <f>IF(gamma!AQ85,VLOOKUP(zeta!AQ$1,main!$A$3:$H$102,5,FALSE)-VLOOKUP(zeta!$A85,main!$A$3:$H$102,6,FALSE),0)</f>
        <v>0</v>
      </c>
      <c r="AR85">
        <f>IF(gamma!AR85,VLOOKUP(zeta!AR$1,main!$A$3:$H$102,5,FALSE)-VLOOKUP(zeta!$A85,main!$A$3:$H$102,6,FALSE),0)</f>
        <v>0</v>
      </c>
      <c r="AS85">
        <f>IF(gamma!AS85,VLOOKUP(zeta!AS$1,main!$A$3:$H$102,5,FALSE)-VLOOKUP(zeta!$A85,main!$A$3:$H$102,6,FALSE),0)</f>
        <v>0</v>
      </c>
      <c r="AT85">
        <f>IF(gamma!AT85,VLOOKUP(zeta!AT$1,main!$A$3:$H$102,5,FALSE)-VLOOKUP(zeta!$A85,main!$A$3:$H$102,6,FALSE),0)</f>
        <v>0</v>
      </c>
      <c r="AU85">
        <f>IF(gamma!AU85,VLOOKUP(zeta!AU$1,main!$A$3:$H$102,5,FALSE)-VLOOKUP(zeta!$A85,main!$A$3:$H$102,6,FALSE),0)</f>
        <v>0</v>
      </c>
      <c r="AV85">
        <f>IF(gamma!AV85,VLOOKUP(zeta!AV$1,main!$A$3:$H$102,5,FALSE)-VLOOKUP(zeta!$A85,main!$A$3:$H$102,6,FALSE),0)</f>
        <v>0</v>
      </c>
      <c r="AW85">
        <f>IF(gamma!AW85,VLOOKUP(zeta!AW$1,main!$A$3:$H$102,5,FALSE)-VLOOKUP(zeta!$A85,main!$A$3:$H$102,6,FALSE),0)</f>
        <v>0</v>
      </c>
      <c r="AX85">
        <f>IF(gamma!AX85,VLOOKUP(zeta!AX$1,main!$A$3:$H$102,5,FALSE)-VLOOKUP(zeta!$A85,main!$A$3:$H$102,6,FALSE),0)</f>
        <v>0</v>
      </c>
      <c r="AY85">
        <f>IF(gamma!AY85,VLOOKUP(zeta!AY$1,main!$A$3:$H$102,5,FALSE)-VLOOKUP(zeta!$A85,main!$A$3:$H$102,6,FALSE),0)</f>
        <v>0</v>
      </c>
      <c r="AZ85">
        <f>IF(gamma!AZ85,VLOOKUP(zeta!AZ$1,main!$A$3:$H$102,5,FALSE)-VLOOKUP(zeta!$A85,main!$A$3:$H$102,6,FALSE),0)</f>
        <v>0</v>
      </c>
      <c r="BA85">
        <f>IF(gamma!BA85,VLOOKUP(zeta!BA$1,main!$A$3:$H$102,5,FALSE)-VLOOKUP(zeta!$A85,main!$A$3:$H$102,6,FALSE),0)</f>
        <v>0</v>
      </c>
      <c r="BB85">
        <f>IF(gamma!BB85,VLOOKUP(zeta!BB$1,main!$A$3:$H$102,5,FALSE)-VLOOKUP(zeta!$A85,main!$A$3:$H$102,6,FALSE),0)</f>
        <v>0</v>
      </c>
      <c r="BC85">
        <f>IF(gamma!BC85,VLOOKUP(zeta!BC$1,main!$A$3:$H$102,5,FALSE)-VLOOKUP(zeta!$A85,main!$A$3:$H$102,6,FALSE),0)</f>
        <v>0</v>
      </c>
      <c r="BD85">
        <f>IF(gamma!BD85,VLOOKUP(zeta!BD$1,main!$A$3:$H$102,5,FALSE)-VLOOKUP(zeta!$A85,main!$A$3:$H$102,6,FALSE),0)</f>
        <v>0</v>
      </c>
      <c r="BE85">
        <f>IF(gamma!BE85,VLOOKUP(zeta!BE$1,main!$A$3:$H$102,5,FALSE)-VLOOKUP(zeta!$A85,main!$A$3:$H$102,6,FALSE),0)</f>
        <v>100</v>
      </c>
      <c r="BF85">
        <f>IF(gamma!BF85,VLOOKUP(zeta!BF$1,main!$A$3:$H$102,5,FALSE)-VLOOKUP(zeta!$A85,main!$A$3:$H$102,6,FALSE),0)</f>
        <v>0</v>
      </c>
      <c r="BG85">
        <f>IF(gamma!BG85,VLOOKUP(zeta!BG$1,main!$A$3:$H$102,5,FALSE)-VLOOKUP(zeta!$A85,main!$A$3:$H$102,6,FALSE),0)</f>
        <v>0</v>
      </c>
      <c r="BH85">
        <f>IF(gamma!BH85,VLOOKUP(zeta!BH$1,main!$A$3:$H$102,5,FALSE)-VLOOKUP(zeta!$A85,main!$A$3:$H$102,6,FALSE),0)</f>
        <v>0</v>
      </c>
      <c r="BI85">
        <f>IF(gamma!BI85,VLOOKUP(zeta!BI$1,main!$A$3:$H$102,5,FALSE)-VLOOKUP(zeta!$A85,main!$A$3:$H$102,6,FALSE),0)</f>
        <v>270</v>
      </c>
      <c r="BJ85">
        <f>IF(gamma!BJ85,VLOOKUP(zeta!BJ$1,main!$A$3:$H$102,5,FALSE)-VLOOKUP(zeta!$A85,main!$A$3:$H$102,6,FALSE),0)</f>
        <v>60</v>
      </c>
      <c r="BK85">
        <f>IF(gamma!BK85,VLOOKUP(zeta!BK$1,main!$A$3:$H$102,5,FALSE)-VLOOKUP(zeta!$A85,main!$A$3:$H$102,6,FALSE),0)</f>
        <v>0</v>
      </c>
      <c r="BL85">
        <f>IF(gamma!BL85,VLOOKUP(zeta!BL$1,main!$A$3:$H$102,5,FALSE)-VLOOKUP(zeta!$A85,main!$A$3:$H$102,6,FALSE),0)</f>
        <v>0</v>
      </c>
      <c r="BM85">
        <f>IF(gamma!BM85,VLOOKUP(zeta!BM$1,main!$A$3:$H$102,5,FALSE)-VLOOKUP(zeta!$A85,main!$A$3:$H$102,6,FALSE),0)</f>
        <v>0</v>
      </c>
      <c r="BN85">
        <f>IF(gamma!BN85,VLOOKUP(zeta!BN$1,main!$A$3:$H$102,5,FALSE)-VLOOKUP(zeta!$A85,main!$A$3:$H$102,6,FALSE),0)</f>
        <v>0</v>
      </c>
      <c r="BO85">
        <f>IF(gamma!BO85,VLOOKUP(zeta!BO$1,main!$A$3:$H$102,5,FALSE)-VLOOKUP(zeta!$A85,main!$A$3:$H$102,6,FALSE),0)</f>
        <v>0</v>
      </c>
      <c r="BP85">
        <f>IF(gamma!BP85,VLOOKUP(zeta!BP$1,main!$A$3:$H$102,5,FALSE)-VLOOKUP(zeta!$A85,main!$A$3:$H$102,6,FALSE),0)</f>
        <v>0</v>
      </c>
      <c r="BQ85">
        <f>IF(gamma!BQ85,VLOOKUP(zeta!BQ$1,main!$A$3:$H$102,5,FALSE)-VLOOKUP(zeta!$A85,main!$A$3:$H$102,6,FALSE),0)</f>
        <v>0</v>
      </c>
      <c r="BR85">
        <f>IF(gamma!BR85,VLOOKUP(zeta!BR$1,main!$A$3:$H$102,5,FALSE)-VLOOKUP(zeta!$A85,main!$A$3:$H$102,6,FALSE),0)</f>
        <v>0</v>
      </c>
      <c r="BS85">
        <f>IF(gamma!BS85,VLOOKUP(zeta!BS$1,main!$A$3:$H$102,5,FALSE)-VLOOKUP(zeta!$A85,main!$A$3:$H$102,6,FALSE),0)</f>
        <v>0</v>
      </c>
      <c r="BT85">
        <f>IF(gamma!BT85,VLOOKUP(zeta!BT$1,main!$A$3:$H$102,5,FALSE)-VLOOKUP(zeta!$A85,main!$A$3:$H$102,6,FALSE),0)</f>
        <v>0</v>
      </c>
      <c r="BU85">
        <f>IF(gamma!BU85,VLOOKUP(zeta!BU$1,main!$A$3:$H$102,5,FALSE)-VLOOKUP(zeta!$A85,main!$A$3:$H$102,6,FALSE),0)</f>
        <v>0</v>
      </c>
      <c r="BV85">
        <f>IF(gamma!BV85,VLOOKUP(zeta!BV$1,main!$A$3:$H$102,5,FALSE)-VLOOKUP(zeta!$A85,main!$A$3:$H$102,6,FALSE),0)</f>
        <v>0</v>
      </c>
      <c r="BW85">
        <f>IF(gamma!BW85,VLOOKUP(zeta!BW$1,main!$A$3:$H$102,5,FALSE)-VLOOKUP(zeta!$A85,main!$A$3:$H$102,6,FALSE),0)</f>
        <v>0</v>
      </c>
      <c r="BX85">
        <f>IF(gamma!BX85,VLOOKUP(zeta!BX$1,main!$A$3:$H$102,5,FALSE)-VLOOKUP(zeta!$A85,main!$A$3:$H$102,6,FALSE),0)</f>
        <v>0</v>
      </c>
      <c r="BY85">
        <f>IF(gamma!BY85,VLOOKUP(zeta!BY$1,main!$A$3:$H$102,5,FALSE)-VLOOKUP(zeta!$A85,main!$A$3:$H$102,6,FALSE),0)</f>
        <v>0</v>
      </c>
      <c r="BZ85">
        <f>IF(gamma!BZ85,VLOOKUP(zeta!BZ$1,main!$A$3:$H$102,5,FALSE)-VLOOKUP(zeta!$A85,main!$A$3:$H$102,6,FALSE),0)</f>
        <v>0</v>
      </c>
      <c r="CA85">
        <f>IF(gamma!CA85,VLOOKUP(zeta!CA$1,main!$A$3:$H$102,5,FALSE)-VLOOKUP(zeta!$A85,main!$A$3:$H$102,6,FALSE),0)</f>
        <v>0</v>
      </c>
      <c r="CB85">
        <f>IF(gamma!CB85,VLOOKUP(zeta!CB$1,main!$A$3:$H$102,5,FALSE)-VLOOKUP(zeta!$A85,main!$A$3:$H$102,6,FALSE),0)</f>
        <v>0</v>
      </c>
      <c r="CC85">
        <f>IF(gamma!CC85,VLOOKUP(zeta!CC$1,main!$A$3:$H$102,5,FALSE)-VLOOKUP(zeta!$A85,main!$A$3:$H$102,6,FALSE),0)</f>
        <v>175</v>
      </c>
      <c r="CD85">
        <f>IF(gamma!CD85,VLOOKUP(zeta!CD$1,main!$A$3:$H$102,5,FALSE)-VLOOKUP(zeta!$A85,main!$A$3:$H$102,6,FALSE),0)</f>
        <v>0</v>
      </c>
      <c r="CE85">
        <f>IF(gamma!CE85,VLOOKUP(zeta!CE$1,main!$A$3:$H$102,5,FALSE)-VLOOKUP(zeta!$A85,main!$A$3:$H$102,6,FALSE),0)</f>
        <v>0</v>
      </c>
      <c r="CF85">
        <f>IF(gamma!CF85,VLOOKUP(zeta!CF$1,main!$A$3:$H$102,5,FALSE)-VLOOKUP(zeta!$A85,main!$A$3:$H$102,6,FALSE),0)</f>
        <v>0</v>
      </c>
      <c r="CG85">
        <f>IF(gamma!CG85,VLOOKUP(zeta!CG$1,main!$A$3:$H$102,5,FALSE)-VLOOKUP(zeta!$A85,main!$A$3:$H$102,6,FALSE),0)</f>
        <v>0</v>
      </c>
      <c r="CH85">
        <f>IF(gamma!CH85,VLOOKUP(zeta!CH$1,main!$A$3:$H$102,5,FALSE)-VLOOKUP(zeta!$A85,main!$A$3:$H$102,6,FALSE),0)</f>
        <v>60</v>
      </c>
      <c r="CI85">
        <f>IF(gamma!CI85,VLOOKUP(zeta!CI$1,main!$A$3:$H$102,5,FALSE)-VLOOKUP(zeta!$A85,main!$A$3:$H$102,6,FALSE),0)</f>
        <v>260</v>
      </c>
      <c r="CJ85">
        <f>IF(gamma!CJ85,VLOOKUP(zeta!CJ$1,main!$A$3:$H$102,5,FALSE)-VLOOKUP(zeta!$A85,main!$A$3:$H$102,6,FALSE),0)</f>
        <v>0</v>
      </c>
      <c r="CK85">
        <f>IF(gamma!CK85,VLOOKUP(zeta!CK$1,main!$A$3:$H$102,5,FALSE)-VLOOKUP(zeta!$A85,main!$A$3:$H$102,6,FALSE),0)</f>
        <v>0</v>
      </c>
      <c r="CL85">
        <f>IF(gamma!CL85,VLOOKUP(zeta!CL$1,main!$A$3:$H$102,5,FALSE)-VLOOKUP(zeta!$A85,main!$A$3:$H$102,6,FALSE),0)</f>
        <v>0</v>
      </c>
      <c r="CM85">
        <f>IF(gamma!CM85,VLOOKUP(zeta!CM$1,main!$A$3:$H$102,5,FALSE)-VLOOKUP(zeta!$A85,main!$A$3:$H$102,6,FALSE),0)</f>
        <v>0</v>
      </c>
      <c r="CN85">
        <f>IF(gamma!CN85,VLOOKUP(zeta!CN$1,main!$A$3:$H$102,5,FALSE)-VLOOKUP(zeta!$A85,main!$A$3:$H$102,6,FALSE),0)</f>
        <v>260</v>
      </c>
      <c r="CO85">
        <f>IF(gamma!CO85,VLOOKUP(zeta!CO$1,main!$A$3:$H$102,5,FALSE)-VLOOKUP(zeta!$A85,main!$A$3:$H$102,6,FALSE),0)</f>
        <v>0</v>
      </c>
      <c r="CP85">
        <f>IF(gamma!CP85,VLOOKUP(zeta!CP$1,main!$A$3:$H$102,5,FALSE)-VLOOKUP(zeta!$A85,main!$A$3:$H$102,6,FALSE),0)</f>
        <v>0</v>
      </c>
      <c r="CQ85">
        <f>IF(gamma!CQ85,VLOOKUP(zeta!CQ$1,main!$A$3:$H$102,5,FALSE)-VLOOKUP(zeta!$A85,main!$A$3:$H$102,6,FALSE),0)</f>
        <v>0</v>
      </c>
      <c r="CR85">
        <f>IF(gamma!CR85,VLOOKUP(zeta!CR$1,main!$A$3:$H$102,5,FALSE)-VLOOKUP(zeta!$A85,main!$A$3:$H$102,6,FALSE),0)</f>
        <v>0</v>
      </c>
      <c r="CS85">
        <f>IF(gamma!CS85,VLOOKUP(zeta!CS$1,main!$A$3:$H$102,5,FALSE)-VLOOKUP(zeta!$A85,main!$A$3:$H$102,6,FALSE),0)</f>
        <v>0</v>
      </c>
      <c r="CT85">
        <f>IF(gamma!CT85,VLOOKUP(zeta!CT$1,main!$A$3:$H$102,5,FALSE)-VLOOKUP(zeta!$A85,main!$A$3:$H$102,6,FALSE),0)</f>
        <v>0</v>
      </c>
      <c r="CU85">
        <f>IF(gamma!CU85,VLOOKUP(zeta!CU$1,main!$A$3:$H$102,5,FALSE)-VLOOKUP(zeta!$A85,main!$A$3:$H$102,6,FALSE),0)</f>
        <v>0</v>
      </c>
      <c r="CV85">
        <f>IF(gamma!CV85,VLOOKUP(zeta!CV$1,main!$A$3:$H$102,5,FALSE)-VLOOKUP(zeta!$A85,main!$A$3:$H$102,6,FALSE),0)</f>
        <v>0</v>
      </c>
      <c r="CW85">
        <f>IF(gamma!CW85,VLOOKUP(zeta!CW$1,main!$A$3:$H$102,5,FALSE)-VLOOKUP(zeta!$A85,main!$A$3:$H$102,6,FALSE),0)</f>
        <v>0</v>
      </c>
      <c r="CX85">
        <f>IF(gamma!CX85,VLOOKUP(zeta!CX$1,main!$A$3:$H$102,5,FALSE)-VLOOKUP(zeta!$A85,main!$A$3:$H$102,6,FALSE),0)</f>
        <v>65</v>
      </c>
    </row>
    <row r="86" spans="1:102" x14ac:dyDescent="0.25">
      <c r="A86">
        <f t="shared" si="2"/>
        <v>84</v>
      </c>
      <c r="B86">
        <v>0</v>
      </c>
      <c r="C86">
        <f>IF(gamma!C86,VLOOKUP(zeta!C$1,main!$A$3:$H$102,5,FALSE)-VLOOKUP(zeta!$A86,main!$A$3:$H$102,6,FALSE),0)</f>
        <v>0</v>
      </c>
      <c r="D86">
        <f>IF(gamma!D86,VLOOKUP(zeta!D$1,main!$A$3:$H$102,5,FALSE)-VLOOKUP(zeta!$A86,main!$A$3:$H$102,6,FALSE),0)</f>
        <v>0</v>
      </c>
      <c r="E86">
        <f>IF(gamma!E86,VLOOKUP(zeta!E$1,main!$A$3:$H$102,5,FALSE)-VLOOKUP(zeta!$A86,main!$A$3:$H$102,6,FALSE),0)</f>
        <v>0</v>
      </c>
      <c r="F86">
        <f>IF(gamma!F86,VLOOKUP(zeta!F$1,main!$A$3:$H$102,5,FALSE)-VLOOKUP(zeta!$A86,main!$A$3:$H$102,6,FALSE),0)</f>
        <v>0</v>
      </c>
      <c r="G86">
        <f>IF(gamma!G86,VLOOKUP(zeta!G$1,main!$A$3:$H$102,5,FALSE)-VLOOKUP(zeta!$A86,main!$A$3:$H$102,6,FALSE),0)</f>
        <v>0</v>
      </c>
      <c r="H86">
        <f>IF(gamma!H86,VLOOKUP(zeta!H$1,main!$A$3:$H$102,5,FALSE)-VLOOKUP(zeta!$A86,main!$A$3:$H$102,6,FALSE),0)</f>
        <v>0</v>
      </c>
      <c r="I86">
        <f>IF(gamma!I86,VLOOKUP(zeta!I$1,main!$A$3:$H$102,5,FALSE)-VLOOKUP(zeta!$A86,main!$A$3:$H$102,6,FALSE),0)</f>
        <v>0</v>
      </c>
      <c r="J86">
        <f>IF(gamma!J86,VLOOKUP(zeta!J$1,main!$A$3:$H$102,5,FALSE)-VLOOKUP(zeta!$A86,main!$A$3:$H$102,6,FALSE),0)</f>
        <v>0</v>
      </c>
      <c r="K86">
        <f>IF(gamma!K86,VLOOKUP(zeta!K$1,main!$A$3:$H$102,5,FALSE)-VLOOKUP(zeta!$A86,main!$A$3:$H$102,6,FALSE),0)</f>
        <v>0</v>
      </c>
      <c r="L86">
        <f>IF(gamma!L86,VLOOKUP(zeta!L$1,main!$A$3:$H$102,5,FALSE)-VLOOKUP(zeta!$A86,main!$A$3:$H$102,6,FALSE),0)</f>
        <v>50</v>
      </c>
      <c r="M86">
        <f>IF(gamma!M86,VLOOKUP(zeta!M$1,main!$A$3:$H$102,5,FALSE)-VLOOKUP(zeta!$A86,main!$A$3:$H$102,6,FALSE),0)</f>
        <v>0</v>
      </c>
      <c r="N86">
        <f>IF(gamma!N86,VLOOKUP(zeta!N$1,main!$A$3:$H$102,5,FALSE)-VLOOKUP(zeta!$A86,main!$A$3:$H$102,6,FALSE),0)</f>
        <v>0</v>
      </c>
      <c r="O86">
        <f>IF(gamma!O86,VLOOKUP(zeta!O$1,main!$A$3:$H$102,5,FALSE)-VLOOKUP(zeta!$A86,main!$A$3:$H$102,6,FALSE),0)</f>
        <v>0</v>
      </c>
      <c r="P86">
        <f>IF(gamma!P86,VLOOKUP(zeta!P$1,main!$A$3:$H$102,5,FALSE)-VLOOKUP(zeta!$A86,main!$A$3:$H$102,6,FALSE),0)</f>
        <v>0</v>
      </c>
      <c r="Q86">
        <f>IF(gamma!Q86,VLOOKUP(zeta!Q$1,main!$A$3:$H$102,5,FALSE)-VLOOKUP(zeta!$A86,main!$A$3:$H$102,6,FALSE),0)</f>
        <v>0</v>
      </c>
      <c r="R86">
        <f>IF(gamma!R86,VLOOKUP(zeta!R$1,main!$A$3:$H$102,5,FALSE)-VLOOKUP(zeta!$A86,main!$A$3:$H$102,6,FALSE),0)</f>
        <v>0</v>
      </c>
      <c r="S86">
        <f>IF(gamma!S86,VLOOKUP(zeta!S$1,main!$A$3:$H$102,5,FALSE)-VLOOKUP(zeta!$A86,main!$A$3:$H$102,6,FALSE),0)</f>
        <v>0</v>
      </c>
      <c r="T86">
        <f>IF(gamma!T86,VLOOKUP(zeta!T$1,main!$A$3:$H$102,5,FALSE)-VLOOKUP(zeta!$A86,main!$A$3:$H$102,6,FALSE),0)</f>
        <v>0</v>
      </c>
      <c r="U86">
        <f>IF(gamma!U86,VLOOKUP(zeta!U$1,main!$A$3:$H$102,5,FALSE)-VLOOKUP(zeta!$A86,main!$A$3:$H$102,6,FALSE),0)</f>
        <v>15</v>
      </c>
      <c r="V86">
        <f>IF(gamma!V86,VLOOKUP(zeta!V$1,main!$A$3:$H$102,5,FALSE)-VLOOKUP(zeta!$A86,main!$A$3:$H$102,6,FALSE),0)</f>
        <v>75</v>
      </c>
      <c r="W86">
        <f>IF(gamma!W86,VLOOKUP(zeta!W$1,main!$A$3:$H$102,5,FALSE)-VLOOKUP(zeta!$A86,main!$A$3:$H$102,6,FALSE),0)</f>
        <v>0</v>
      </c>
      <c r="X86">
        <f>IF(gamma!X86,VLOOKUP(zeta!X$1,main!$A$3:$H$102,5,FALSE)-VLOOKUP(zeta!$A86,main!$A$3:$H$102,6,FALSE),0)</f>
        <v>0</v>
      </c>
      <c r="Y86">
        <f>IF(gamma!Y86,VLOOKUP(zeta!Y$1,main!$A$3:$H$102,5,FALSE)-VLOOKUP(zeta!$A86,main!$A$3:$H$102,6,FALSE),0)</f>
        <v>0</v>
      </c>
      <c r="Z86">
        <f>IF(gamma!Z86,VLOOKUP(zeta!Z$1,main!$A$3:$H$102,5,FALSE)-VLOOKUP(zeta!$A86,main!$A$3:$H$102,6,FALSE),0)</f>
        <v>0</v>
      </c>
      <c r="AA86">
        <f>IF(gamma!AA86,VLOOKUP(zeta!AA$1,main!$A$3:$H$102,5,FALSE)-VLOOKUP(zeta!$A86,main!$A$3:$H$102,6,FALSE),0)</f>
        <v>0</v>
      </c>
      <c r="AB86">
        <f>IF(gamma!AB86,VLOOKUP(zeta!AB$1,main!$A$3:$H$102,5,FALSE)-VLOOKUP(zeta!$A86,main!$A$3:$H$102,6,FALSE),0)</f>
        <v>0</v>
      </c>
      <c r="AC86">
        <f>IF(gamma!AC86,VLOOKUP(zeta!AC$1,main!$A$3:$H$102,5,FALSE)-VLOOKUP(zeta!$A86,main!$A$3:$H$102,6,FALSE),0)</f>
        <v>0</v>
      </c>
      <c r="AD86">
        <f>IF(gamma!AD86,VLOOKUP(zeta!AD$1,main!$A$3:$H$102,5,FALSE)-VLOOKUP(zeta!$A86,main!$A$3:$H$102,6,FALSE),0)</f>
        <v>0</v>
      </c>
      <c r="AE86">
        <f>IF(gamma!AE86,VLOOKUP(zeta!AE$1,main!$A$3:$H$102,5,FALSE)-VLOOKUP(zeta!$A86,main!$A$3:$H$102,6,FALSE),0)</f>
        <v>0</v>
      </c>
      <c r="AF86">
        <f>IF(gamma!AF86,VLOOKUP(zeta!AF$1,main!$A$3:$H$102,5,FALSE)-VLOOKUP(zeta!$A86,main!$A$3:$H$102,6,FALSE),0)</f>
        <v>0</v>
      </c>
      <c r="AG86">
        <f>IF(gamma!AG86,VLOOKUP(zeta!AG$1,main!$A$3:$H$102,5,FALSE)-VLOOKUP(zeta!$A86,main!$A$3:$H$102,6,FALSE),0)</f>
        <v>0</v>
      </c>
      <c r="AH86">
        <f>IF(gamma!AH86,VLOOKUP(zeta!AH$1,main!$A$3:$H$102,5,FALSE)-VLOOKUP(zeta!$A86,main!$A$3:$H$102,6,FALSE),0)</f>
        <v>0</v>
      </c>
      <c r="AI86">
        <f>IF(gamma!AI86,VLOOKUP(zeta!AI$1,main!$A$3:$H$102,5,FALSE)-VLOOKUP(zeta!$A86,main!$A$3:$H$102,6,FALSE),0)</f>
        <v>0</v>
      </c>
      <c r="AJ86">
        <f>IF(gamma!AJ86,VLOOKUP(zeta!AJ$1,main!$A$3:$H$102,5,FALSE)-VLOOKUP(zeta!$A86,main!$A$3:$H$102,6,FALSE),0)</f>
        <v>0</v>
      </c>
      <c r="AK86">
        <f>IF(gamma!AK86,VLOOKUP(zeta!AK$1,main!$A$3:$H$102,5,FALSE)-VLOOKUP(zeta!$A86,main!$A$3:$H$102,6,FALSE),0)</f>
        <v>0</v>
      </c>
      <c r="AL86">
        <f>IF(gamma!AL86,VLOOKUP(zeta!AL$1,main!$A$3:$H$102,5,FALSE)-VLOOKUP(zeta!$A86,main!$A$3:$H$102,6,FALSE),0)</f>
        <v>0</v>
      </c>
      <c r="AM86">
        <f>IF(gamma!AM86,VLOOKUP(zeta!AM$1,main!$A$3:$H$102,5,FALSE)-VLOOKUP(zeta!$A86,main!$A$3:$H$102,6,FALSE),0)</f>
        <v>0</v>
      </c>
      <c r="AN86">
        <f>IF(gamma!AN86,VLOOKUP(zeta!AN$1,main!$A$3:$H$102,5,FALSE)-VLOOKUP(zeta!$A86,main!$A$3:$H$102,6,FALSE),0)</f>
        <v>0</v>
      </c>
      <c r="AO86">
        <f>IF(gamma!AO86,VLOOKUP(zeta!AO$1,main!$A$3:$H$102,5,FALSE)-VLOOKUP(zeta!$A86,main!$A$3:$H$102,6,FALSE),0)</f>
        <v>0</v>
      </c>
      <c r="AP86">
        <f>IF(gamma!AP86,VLOOKUP(zeta!AP$1,main!$A$3:$H$102,5,FALSE)-VLOOKUP(zeta!$A86,main!$A$3:$H$102,6,FALSE),0)</f>
        <v>60</v>
      </c>
      <c r="AQ86">
        <f>IF(gamma!AQ86,VLOOKUP(zeta!AQ$1,main!$A$3:$H$102,5,FALSE)-VLOOKUP(zeta!$A86,main!$A$3:$H$102,6,FALSE),0)</f>
        <v>0</v>
      </c>
      <c r="AR86">
        <f>IF(gamma!AR86,VLOOKUP(zeta!AR$1,main!$A$3:$H$102,5,FALSE)-VLOOKUP(zeta!$A86,main!$A$3:$H$102,6,FALSE),0)</f>
        <v>0</v>
      </c>
      <c r="AS86">
        <f>IF(gamma!AS86,VLOOKUP(zeta!AS$1,main!$A$3:$H$102,5,FALSE)-VLOOKUP(zeta!$A86,main!$A$3:$H$102,6,FALSE),0)</f>
        <v>0</v>
      </c>
      <c r="AT86">
        <f>IF(gamma!AT86,VLOOKUP(zeta!AT$1,main!$A$3:$H$102,5,FALSE)-VLOOKUP(zeta!$A86,main!$A$3:$H$102,6,FALSE),0)</f>
        <v>0</v>
      </c>
      <c r="AU86">
        <f>IF(gamma!AU86,VLOOKUP(zeta!AU$1,main!$A$3:$H$102,5,FALSE)-VLOOKUP(zeta!$A86,main!$A$3:$H$102,6,FALSE),0)</f>
        <v>0</v>
      </c>
      <c r="AV86">
        <f>IF(gamma!AV86,VLOOKUP(zeta!AV$1,main!$A$3:$H$102,5,FALSE)-VLOOKUP(zeta!$A86,main!$A$3:$H$102,6,FALSE),0)</f>
        <v>0</v>
      </c>
      <c r="AW86">
        <f>IF(gamma!AW86,VLOOKUP(zeta!AW$1,main!$A$3:$H$102,5,FALSE)-VLOOKUP(zeta!$A86,main!$A$3:$H$102,6,FALSE),0)</f>
        <v>0</v>
      </c>
      <c r="AX86">
        <f>IF(gamma!AX86,VLOOKUP(zeta!AX$1,main!$A$3:$H$102,5,FALSE)-VLOOKUP(zeta!$A86,main!$A$3:$H$102,6,FALSE),0)</f>
        <v>0</v>
      </c>
      <c r="AY86">
        <f>IF(gamma!AY86,VLOOKUP(zeta!AY$1,main!$A$3:$H$102,5,FALSE)-VLOOKUP(zeta!$A86,main!$A$3:$H$102,6,FALSE),0)</f>
        <v>0</v>
      </c>
      <c r="AZ86">
        <f>IF(gamma!AZ86,VLOOKUP(zeta!AZ$1,main!$A$3:$H$102,5,FALSE)-VLOOKUP(zeta!$A86,main!$A$3:$H$102,6,FALSE),0)</f>
        <v>0</v>
      </c>
      <c r="BA86">
        <f>IF(gamma!BA86,VLOOKUP(zeta!BA$1,main!$A$3:$H$102,5,FALSE)-VLOOKUP(zeta!$A86,main!$A$3:$H$102,6,FALSE),0)</f>
        <v>0</v>
      </c>
      <c r="BB86">
        <f>IF(gamma!BB86,VLOOKUP(zeta!BB$1,main!$A$3:$H$102,5,FALSE)-VLOOKUP(zeta!$A86,main!$A$3:$H$102,6,FALSE),0)</f>
        <v>0</v>
      </c>
      <c r="BC86">
        <f>IF(gamma!BC86,VLOOKUP(zeta!BC$1,main!$A$3:$H$102,5,FALSE)-VLOOKUP(zeta!$A86,main!$A$3:$H$102,6,FALSE),0)</f>
        <v>0</v>
      </c>
      <c r="BD86">
        <f>IF(gamma!BD86,VLOOKUP(zeta!BD$1,main!$A$3:$H$102,5,FALSE)-VLOOKUP(zeta!$A86,main!$A$3:$H$102,6,FALSE),0)</f>
        <v>0</v>
      </c>
      <c r="BE86">
        <f>IF(gamma!BE86,VLOOKUP(zeta!BE$1,main!$A$3:$H$102,5,FALSE)-VLOOKUP(zeta!$A86,main!$A$3:$H$102,6,FALSE),0)</f>
        <v>0</v>
      </c>
      <c r="BF86">
        <f>IF(gamma!BF86,VLOOKUP(zeta!BF$1,main!$A$3:$H$102,5,FALSE)-VLOOKUP(zeta!$A86,main!$A$3:$H$102,6,FALSE),0)</f>
        <v>0</v>
      </c>
      <c r="BG86">
        <f>IF(gamma!BG86,VLOOKUP(zeta!BG$1,main!$A$3:$H$102,5,FALSE)-VLOOKUP(zeta!$A86,main!$A$3:$H$102,6,FALSE),0)</f>
        <v>0</v>
      </c>
      <c r="BH86">
        <f>IF(gamma!BH86,VLOOKUP(zeta!BH$1,main!$A$3:$H$102,5,FALSE)-VLOOKUP(zeta!$A86,main!$A$3:$H$102,6,FALSE),0)</f>
        <v>0</v>
      </c>
      <c r="BI86">
        <f>IF(gamma!BI86,VLOOKUP(zeta!BI$1,main!$A$3:$H$102,5,FALSE)-VLOOKUP(zeta!$A86,main!$A$3:$H$102,6,FALSE),0)</f>
        <v>70</v>
      </c>
      <c r="BJ86">
        <f>IF(gamma!BJ86,VLOOKUP(zeta!BJ$1,main!$A$3:$H$102,5,FALSE)-VLOOKUP(zeta!$A86,main!$A$3:$H$102,6,FALSE),0)</f>
        <v>0</v>
      </c>
      <c r="BK86">
        <f>IF(gamma!BK86,VLOOKUP(zeta!BK$1,main!$A$3:$H$102,5,FALSE)-VLOOKUP(zeta!$A86,main!$A$3:$H$102,6,FALSE),0)</f>
        <v>0</v>
      </c>
      <c r="BL86">
        <f>IF(gamma!BL86,VLOOKUP(zeta!BL$1,main!$A$3:$H$102,5,FALSE)-VLOOKUP(zeta!$A86,main!$A$3:$H$102,6,FALSE),0)</f>
        <v>0</v>
      </c>
      <c r="BM86">
        <f>IF(gamma!BM86,VLOOKUP(zeta!BM$1,main!$A$3:$H$102,5,FALSE)-VLOOKUP(zeta!$A86,main!$A$3:$H$102,6,FALSE),0)</f>
        <v>0</v>
      </c>
      <c r="BN86">
        <f>IF(gamma!BN86,VLOOKUP(zeta!BN$1,main!$A$3:$H$102,5,FALSE)-VLOOKUP(zeta!$A86,main!$A$3:$H$102,6,FALSE),0)</f>
        <v>0</v>
      </c>
      <c r="BO86">
        <f>IF(gamma!BO86,VLOOKUP(zeta!BO$1,main!$A$3:$H$102,5,FALSE)-VLOOKUP(zeta!$A86,main!$A$3:$H$102,6,FALSE),0)</f>
        <v>0</v>
      </c>
      <c r="BP86">
        <f>IF(gamma!BP86,VLOOKUP(zeta!BP$1,main!$A$3:$H$102,5,FALSE)-VLOOKUP(zeta!$A86,main!$A$3:$H$102,6,FALSE),0)</f>
        <v>0</v>
      </c>
      <c r="BQ86">
        <f>IF(gamma!BQ86,VLOOKUP(zeta!BQ$1,main!$A$3:$H$102,5,FALSE)-VLOOKUP(zeta!$A86,main!$A$3:$H$102,6,FALSE),0)</f>
        <v>0</v>
      </c>
      <c r="BR86">
        <f>IF(gamma!BR86,VLOOKUP(zeta!BR$1,main!$A$3:$H$102,5,FALSE)-VLOOKUP(zeta!$A86,main!$A$3:$H$102,6,FALSE),0)</f>
        <v>0</v>
      </c>
      <c r="BS86">
        <f>IF(gamma!BS86,VLOOKUP(zeta!BS$1,main!$A$3:$H$102,5,FALSE)-VLOOKUP(zeta!$A86,main!$A$3:$H$102,6,FALSE),0)</f>
        <v>0</v>
      </c>
      <c r="BT86">
        <f>IF(gamma!BT86,VLOOKUP(zeta!BT$1,main!$A$3:$H$102,5,FALSE)-VLOOKUP(zeta!$A86,main!$A$3:$H$102,6,FALSE),0)</f>
        <v>0</v>
      </c>
      <c r="BU86">
        <f>IF(gamma!BU86,VLOOKUP(zeta!BU$1,main!$A$3:$H$102,5,FALSE)-VLOOKUP(zeta!$A86,main!$A$3:$H$102,6,FALSE),0)</f>
        <v>0</v>
      </c>
      <c r="BV86">
        <f>IF(gamma!BV86,VLOOKUP(zeta!BV$1,main!$A$3:$H$102,5,FALSE)-VLOOKUP(zeta!$A86,main!$A$3:$H$102,6,FALSE),0)</f>
        <v>0</v>
      </c>
      <c r="BW86">
        <f>IF(gamma!BW86,VLOOKUP(zeta!BW$1,main!$A$3:$H$102,5,FALSE)-VLOOKUP(zeta!$A86,main!$A$3:$H$102,6,FALSE),0)</f>
        <v>0</v>
      </c>
      <c r="BX86">
        <f>IF(gamma!BX86,VLOOKUP(zeta!BX$1,main!$A$3:$H$102,5,FALSE)-VLOOKUP(zeta!$A86,main!$A$3:$H$102,6,FALSE),0)</f>
        <v>0</v>
      </c>
      <c r="BY86">
        <f>IF(gamma!BY86,VLOOKUP(zeta!BY$1,main!$A$3:$H$102,5,FALSE)-VLOOKUP(zeta!$A86,main!$A$3:$H$102,6,FALSE),0)</f>
        <v>0</v>
      </c>
      <c r="BZ86">
        <f>IF(gamma!BZ86,VLOOKUP(zeta!BZ$1,main!$A$3:$H$102,5,FALSE)-VLOOKUP(zeta!$A86,main!$A$3:$H$102,6,FALSE),0)</f>
        <v>0</v>
      </c>
      <c r="CA86">
        <f>IF(gamma!CA86,VLOOKUP(zeta!CA$1,main!$A$3:$H$102,5,FALSE)-VLOOKUP(zeta!$A86,main!$A$3:$H$102,6,FALSE),0)</f>
        <v>0</v>
      </c>
      <c r="CB86">
        <f>IF(gamma!CB86,VLOOKUP(zeta!CB$1,main!$A$3:$H$102,5,FALSE)-VLOOKUP(zeta!$A86,main!$A$3:$H$102,6,FALSE),0)</f>
        <v>0</v>
      </c>
      <c r="CC86">
        <f>IF(gamma!CC86,VLOOKUP(zeta!CC$1,main!$A$3:$H$102,5,FALSE)-VLOOKUP(zeta!$A86,main!$A$3:$H$102,6,FALSE),0)</f>
        <v>0</v>
      </c>
      <c r="CD86">
        <f>IF(gamma!CD86,VLOOKUP(zeta!CD$1,main!$A$3:$H$102,5,FALSE)-VLOOKUP(zeta!$A86,main!$A$3:$H$102,6,FALSE),0)</f>
        <v>0</v>
      </c>
      <c r="CE86">
        <f>IF(gamma!CE86,VLOOKUP(zeta!CE$1,main!$A$3:$H$102,5,FALSE)-VLOOKUP(zeta!$A86,main!$A$3:$H$102,6,FALSE),0)</f>
        <v>0</v>
      </c>
      <c r="CF86">
        <f>IF(gamma!CF86,VLOOKUP(zeta!CF$1,main!$A$3:$H$102,5,FALSE)-VLOOKUP(zeta!$A86,main!$A$3:$H$102,6,FALSE),0)</f>
        <v>0</v>
      </c>
      <c r="CG86">
        <f>IF(gamma!CG86,VLOOKUP(zeta!CG$1,main!$A$3:$H$102,5,FALSE)-VLOOKUP(zeta!$A86,main!$A$3:$H$102,6,FALSE),0)</f>
        <v>0</v>
      </c>
      <c r="CH86">
        <f>IF(gamma!CH86,VLOOKUP(zeta!CH$1,main!$A$3:$H$102,5,FALSE)-VLOOKUP(zeta!$A86,main!$A$3:$H$102,6,FALSE),0)</f>
        <v>0</v>
      </c>
      <c r="CI86">
        <f>IF(gamma!CI86,VLOOKUP(zeta!CI$1,main!$A$3:$H$102,5,FALSE)-VLOOKUP(zeta!$A86,main!$A$3:$H$102,6,FALSE),0)</f>
        <v>60</v>
      </c>
      <c r="CJ86">
        <f>IF(gamma!CJ86,VLOOKUP(zeta!CJ$1,main!$A$3:$H$102,5,FALSE)-VLOOKUP(zeta!$A86,main!$A$3:$H$102,6,FALSE),0)</f>
        <v>0</v>
      </c>
      <c r="CK86">
        <f>IF(gamma!CK86,VLOOKUP(zeta!CK$1,main!$A$3:$H$102,5,FALSE)-VLOOKUP(zeta!$A86,main!$A$3:$H$102,6,FALSE),0)</f>
        <v>0</v>
      </c>
      <c r="CL86">
        <f>IF(gamma!CL86,VLOOKUP(zeta!CL$1,main!$A$3:$H$102,5,FALSE)-VLOOKUP(zeta!$A86,main!$A$3:$H$102,6,FALSE),0)</f>
        <v>0</v>
      </c>
      <c r="CM86">
        <f>IF(gamma!CM86,VLOOKUP(zeta!CM$1,main!$A$3:$H$102,5,FALSE)-VLOOKUP(zeta!$A86,main!$A$3:$H$102,6,FALSE),0)</f>
        <v>0</v>
      </c>
      <c r="CN86">
        <f>IF(gamma!CN86,VLOOKUP(zeta!CN$1,main!$A$3:$H$102,5,FALSE)-VLOOKUP(zeta!$A86,main!$A$3:$H$102,6,FALSE),0)</f>
        <v>60</v>
      </c>
      <c r="CO86">
        <f>IF(gamma!CO86,VLOOKUP(zeta!CO$1,main!$A$3:$H$102,5,FALSE)-VLOOKUP(zeta!$A86,main!$A$3:$H$102,6,FALSE),0)</f>
        <v>0</v>
      </c>
      <c r="CP86">
        <f>IF(gamma!CP86,VLOOKUP(zeta!CP$1,main!$A$3:$H$102,5,FALSE)-VLOOKUP(zeta!$A86,main!$A$3:$H$102,6,FALSE),0)</f>
        <v>0</v>
      </c>
      <c r="CQ86">
        <f>IF(gamma!CQ86,VLOOKUP(zeta!CQ$1,main!$A$3:$H$102,5,FALSE)-VLOOKUP(zeta!$A86,main!$A$3:$H$102,6,FALSE),0)</f>
        <v>0</v>
      </c>
      <c r="CR86">
        <f>IF(gamma!CR86,VLOOKUP(zeta!CR$1,main!$A$3:$H$102,5,FALSE)-VLOOKUP(zeta!$A86,main!$A$3:$H$102,6,FALSE),0)</f>
        <v>0</v>
      </c>
      <c r="CS86">
        <f>IF(gamma!CS86,VLOOKUP(zeta!CS$1,main!$A$3:$H$102,5,FALSE)-VLOOKUP(zeta!$A86,main!$A$3:$H$102,6,FALSE),0)</f>
        <v>0</v>
      </c>
      <c r="CT86">
        <f>IF(gamma!CT86,VLOOKUP(zeta!CT$1,main!$A$3:$H$102,5,FALSE)-VLOOKUP(zeta!$A86,main!$A$3:$H$102,6,FALSE),0)</f>
        <v>0</v>
      </c>
      <c r="CU86">
        <f>IF(gamma!CU86,VLOOKUP(zeta!CU$1,main!$A$3:$H$102,5,FALSE)-VLOOKUP(zeta!$A86,main!$A$3:$H$102,6,FALSE),0)</f>
        <v>0</v>
      </c>
      <c r="CV86">
        <f>IF(gamma!CV86,VLOOKUP(zeta!CV$1,main!$A$3:$H$102,5,FALSE)-VLOOKUP(zeta!$A86,main!$A$3:$H$102,6,FALSE),0)</f>
        <v>0</v>
      </c>
      <c r="CW86">
        <f>IF(gamma!CW86,VLOOKUP(zeta!CW$1,main!$A$3:$H$102,5,FALSE)-VLOOKUP(zeta!$A86,main!$A$3:$H$102,6,FALSE),0)</f>
        <v>0</v>
      </c>
      <c r="CX86">
        <f>IF(gamma!CX86,VLOOKUP(zeta!CX$1,main!$A$3:$H$102,5,FALSE)-VLOOKUP(zeta!$A86,main!$A$3:$H$102,6,FALSE),0)</f>
        <v>0</v>
      </c>
    </row>
    <row r="87" spans="1:102" x14ac:dyDescent="0.25">
      <c r="A87">
        <f t="shared" si="2"/>
        <v>85</v>
      </c>
      <c r="B87">
        <v>0</v>
      </c>
      <c r="C87">
        <f>IF(gamma!C87,VLOOKUP(zeta!C$1,main!$A$3:$H$102,5,FALSE)-VLOOKUP(zeta!$A87,main!$A$3:$H$102,6,FALSE),0)</f>
        <v>0</v>
      </c>
      <c r="D87">
        <f>IF(gamma!D87,VLOOKUP(zeta!D$1,main!$A$3:$H$102,5,FALSE)-VLOOKUP(zeta!$A87,main!$A$3:$H$102,6,FALSE),0)</f>
        <v>0</v>
      </c>
      <c r="E87">
        <f>IF(gamma!E87,VLOOKUP(zeta!E$1,main!$A$3:$H$102,5,FALSE)-VLOOKUP(zeta!$A87,main!$A$3:$H$102,6,FALSE),0)</f>
        <v>0</v>
      </c>
      <c r="F87">
        <f>IF(gamma!F87,VLOOKUP(zeta!F$1,main!$A$3:$H$102,5,FALSE)-VLOOKUP(zeta!$A87,main!$A$3:$H$102,6,FALSE),0)</f>
        <v>0</v>
      </c>
      <c r="G87">
        <f>IF(gamma!G87,VLOOKUP(zeta!G$1,main!$A$3:$H$102,5,FALSE)-VLOOKUP(zeta!$A87,main!$A$3:$H$102,6,FALSE),0)</f>
        <v>0</v>
      </c>
      <c r="H87">
        <f>IF(gamma!H87,VLOOKUP(zeta!H$1,main!$A$3:$H$102,5,FALSE)-VLOOKUP(zeta!$A87,main!$A$3:$H$102,6,FALSE),0)</f>
        <v>0</v>
      </c>
      <c r="I87">
        <f>IF(gamma!I87,VLOOKUP(zeta!I$1,main!$A$3:$H$102,5,FALSE)-VLOOKUP(zeta!$A87,main!$A$3:$H$102,6,FALSE),0)</f>
        <v>0</v>
      </c>
      <c r="J87">
        <f>IF(gamma!J87,VLOOKUP(zeta!J$1,main!$A$3:$H$102,5,FALSE)-VLOOKUP(zeta!$A87,main!$A$3:$H$102,6,FALSE),0)</f>
        <v>0</v>
      </c>
      <c r="K87">
        <f>IF(gamma!K87,VLOOKUP(zeta!K$1,main!$A$3:$H$102,5,FALSE)-VLOOKUP(zeta!$A87,main!$A$3:$H$102,6,FALSE),0)</f>
        <v>0</v>
      </c>
      <c r="L87">
        <f>IF(gamma!L87,VLOOKUP(zeta!L$1,main!$A$3:$H$102,5,FALSE)-VLOOKUP(zeta!$A87,main!$A$3:$H$102,6,FALSE),0)</f>
        <v>0</v>
      </c>
      <c r="M87">
        <f>IF(gamma!M87,VLOOKUP(zeta!M$1,main!$A$3:$H$102,5,FALSE)-VLOOKUP(zeta!$A87,main!$A$3:$H$102,6,FALSE),0)</f>
        <v>0</v>
      </c>
      <c r="N87">
        <f>IF(gamma!N87,VLOOKUP(zeta!N$1,main!$A$3:$H$102,5,FALSE)-VLOOKUP(zeta!$A87,main!$A$3:$H$102,6,FALSE),0)</f>
        <v>0</v>
      </c>
      <c r="O87">
        <f>IF(gamma!O87,VLOOKUP(zeta!O$1,main!$A$3:$H$102,5,FALSE)-VLOOKUP(zeta!$A87,main!$A$3:$H$102,6,FALSE),0)</f>
        <v>0</v>
      </c>
      <c r="P87">
        <f>IF(gamma!P87,VLOOKUP(zeta!P$1,main!$A$3:$H$102,5,FALSE)-VLOOKUP(zeta!$A87,main!$A$3:$H$102,6,FALSE),0)</f>
        <v>0</v>
      </c>
      <c r="Q87">
        <f>IF(gamma!Q87,VLOOKUP(zeta!Q$1,main!$A$3:$H$102,5,FALSE)-VLOOKUP(zeta!$A87,main!$A$3:$H$102,6,FALSE),0)</f>
        <v>0</v>
      </c>
      <c r="R87">
        <f>IF(gamma!R87,VLOOKUP(zeta!R$1,main!$A$3:$H$102,5,FALSE)-VLOOKUP(zeta!$A87,main!$A$3:$H$102,6,FALSE),0)</f>
        <v>0</v>
      </c>
      <c r="S87">
        <f>IF(gamma!S87,VLOOKUP(zeta!S$1,main!$A$3:$H$102,5,FALSE)-VLOOKUP(zeta!$A87,main!$A$3:$H$102,6,FALSE),0)</f>
        <v>0</v>
      </c>
      <c r="T87">
        <f>IF(gamma!T87,VLOOKUP(zeta!T$1,main!$A$3:$H$102,5,FALSE)-VLOOKUP(zeta!$A87,main!$A$3:$H$102,6,FALSE),0)</f>
        <v>0</v>
      </c>
      <c r="U87">
        <f>IF(gamma!U87,VLOOKUP(zeta!U$1,main!$A$3:$H$102,5,FALSE)-VLOOKUP(zeta!$A87,main!$A$3:$H$102,6,FALSE),0)</f>
        <v>0</v>
      </c>
      <c r="V87">
        <f>IF(gamma!V87,VLOOKUP(zeta!V$1,main!$A$3:$H$102,5,FALSE)-VLOOKUP(zeta!$A87,main!$A$3:$H$102,6,FALSE),0)</f>
        <v>0</v>
      </c>
      <c r="W87">
        <f>IF(gamma!W87,VLOOKUP(zeta!W$1,main!$A$3:$H$102,5,FALSE)-VLOOKUP(zeta!$A87,main!$A$3:$H$102,6,FALSE),0)</f>
        <v>0</v>
      </c>
      <c r="X87">
        <f>IF(gamma!X87,VLOOKUP(zeta!X$1,main!$A$3:$H$102,5,FALSE)-VLOOKUP(zeta!$A87,main!$A$3:$H$102,6,FALSE),0)</f>
        <v>0</v>
      </c>
      <c r="Y87">
        <f>IF(gamma!Y87,VLOOKUP(zeta!Y$1,main!$A$3:$H$102,5,FALSE)-VLOOKUP(zeta!$A87,main!$A$3:$H$102,6,FALSE),0)</f>
        <v>0</v>
      </c>
      <c r="Z87">
        <f>IF(gamma!Z87,VLOOKUP(zeta!Z$1,main!$A$3:$H$102,5,FALSE)-VLOOKUP(zeta!$A87,main!$A$3:$H$102,6,FALSE),0)</f>
        <v>0</v>
      </c>
      <c r="AA87">
        <f>IF(gamma!AA87,VLOOKUP(zeta!AA$1,main!$A$3:$H$102,5,FALSE)-VLOOKUP(zeta!$A87,main!$A$3:$H$102,6,FALSE),0)</f>
        <v>0</v>
      </c>
      <c r="AB87">
        <f>IF(gamma!AB87,VLOOKUP(zeta!AB$1,main!$A$3:$H$102,5,FALSE)-VLOOKUP(zeta!$A87,main!$A$3:$H$102,6,FALSE),0)</f>
        <v>0</v>
      </c>
      <c r="AC87">
        <f>IF(gamma!AC87,VLOOKUP(zeta!AC$1,main!$A$3:$H$102,5,FALSE)-VLOOKUP(zeta!$A87,main!$A$3:$H$102,6,FALSE),0)</f>
        <v>0</v>
      </c>
      <c r="AD87">
        <f>IF(gamma!AD87,VLOOKUP(zeta!AD$1,main!$A$3:$H$102,5,FALSE)-VLOOKUP(zeta!$A87,main!$A$3:$H$102,6,FALSE),0)</f>
        <v>0</v>
      </c>
      <c r="AE87">
        <f>IF(gamma!AE87,VLOOKUP(zeta!AE$1,main!$A$3:$H$102,5,FALSE)-VLOOKUP(zeta!$A87,main!$A$3:$H$102,6,FALSE),0)</f>
        <v>0</v>
      </c>
      <c r="AF87">
        <f>IF(gamma!AF87,VLOOKUP(zeta!AF$1,main!$A$3:$H$102,5,FALSE)-VLOOKUP(zeta!$A87,main!$A$3:$H$102,6,FALSE),0)</f>
        <v>0</v>
      </c>
      <c r="AG87">
        <f>IF(gamma!AG87,VLOOKUP(zeta!AG$1,main!$A$3:$H$102,5,FALSE)-VLOOKUP(zeta!$A87,main!$A$3:$H$102,6,FALSE),0)</f>
        <v>0</v>
      </c>
      <c r="AH87">
        <f>IF(gamma!AH87,VLOOKUP(zeta!AH$1,main!$A$3:$H$102,5,FALSE)-VLOOKUP(zeta!$A87,main!$A$3:$H$102,6,FALSE),0)</f>
        <v>0</v>
      </c>
      <c r="AI87">
        <f>IF(gamma!AI87,VLOOKUP(zeta!AI$1,main!$A$3:$H$102,5,FALSE)-VLOOKUP(zeta!$A87,main!$A$3:$H$102,6,FALSE),0)</f>
        <v>0</v>
      </c>
      <c r="AJ87">
        <f>IF(gamma!AJ87,VLOOKUP(zeta!AJ$1,main!$A$3:$H$102,5,FALSE)-VLOOKUP(zeta!$A87,main!$A$3:$H$102,6,FALSE),0)</f>
        <v>0</v>
      </c>
      <c r="AK87">
        <f>IF(gamma!AK87,VLOOKUP(zeta!AK$1,main!$A$3:$H$102,5,FALSE)-VLOOKUP(zeta!$A87,main!$A$3:$H$102,6,FALSE),0)</f>
        <v>0</v>
      </c>
      <c r="AL87">
        <f>IF(gamma!AL87,VLOOKUP(zeta!AL$1,main!$A$3:$H$102,5,FALSE)-VLOOKUP(zeta!$A87,main!$A$3:$H$102,6,FALSE),0)</f>
        <v>0</v>
      </c>
      <c r="AM87">
        <f>IF(gamma!AM87,VLOOKUP(zeta!AM$1,main!$A$3:$H$102,5,FALSE)-VLOOKUP(zeta!$A87,main!$A$3:$H$102,6,FALSE),0)</f>
        <v>0</v>
      </c>
      <c r="AN87">
        <f>IF(gamma!AN87,VLOOKUP(zeta!AN$1,main!$A$3:$H$102,5,FALSE)-VLOOKUP(zeta!$A87,main!$A$3:$H$102,6,FALSE),0)</f>
        <v>0</v>
      </c>
      <c r="AO87">
        <f>IF(gamma!AO87,VLOOKUP(zeta!AO$1,main!$A$3:$H$102,5,FALSE)-VLOOKUP(zeta!$A87,main!$A$3:$H$102,6,FALSE),0)</f>
        <v>0</v>
      </c>
      <c r="AP87">
        <f>IF(gamma!AP87,VLOOKUP(zeta!AP$1,main!$A$3:$H$102,5,FALSE)-VLOOKUP(zeta!$A87,main!$A$3:$H$102,6,FALSE),0)</f>
        <v>0</v>
      </c>
      <c r="AQ87">
        <f>IF(gamma!AQ87,VLOOKUP(zeta!AQ$1,main!$A$3:$H$102,5,FALSE)-VLOOKUP(zeta!$A87,main!$A$3:$H$102,6,FALSE),0)</f>
        <v>0</v>
      </c>
      <c r="AR87">
        <f>IF(gamma!AR87,VLOOKUP(zeta!AR$1,main!$A$3:$H$102,5,FALSE)-VLOOKUP(zeta!$A87,main!$A$3:$H$102,6,FALSE),0)</f>
        <v>0</v>
      </c>
      <c r="AS87">
        <f>IF(gamma!AS87,VLOOKUP(zeta!AS$1,main!$A$3:$H$102,5,FALSE)-VLOOKUP(zeta!$A87,main!$A$3:$H$102,6,FALSE),0)</f>
        <v>0</v>
      </c>
      <c r="AT87">
        <f>IF(gamma!AT87,VLOOKUP(zeta!AT$1,main!$A$3:$H$102,5,FALSE)-VLOOKUP(zeta!$A87,main!$A$3:$H$102,6,FALSE),0)</f>
        <v>0</v>
      </c>
      <c r="AU87">
        <f>IF(gamma!AU87,VLOOKUP(zeta!AU$1,main!$A$3:$H$102,5,FALSE)-VLOOKUP(zeta!$A87,main!$A$3:$H$102,6,FALSE),0)</f>
        <v>0</v>
      </c>
      <c r="AV87">
        <f>IF(gamma!AV87,VLOOKUP(zeta!AV$1,main!$A$3:$H$102,5,FALSE)-VLOOKUP(zeta!$A87,main!$A$3:$H$102,6,FALSE),0)</f>
        <v>0</v>
      </c>
      <c r="AW87">
        <f>IF(gamma!AW87,VLOOKUP(zeta!AW$1,main!$A$3:$H$102,5,FALSE)-VLOOKUP(zeta!$A87,main!$A$3:$H$102,6,FALSE),0)</f>
        <v>0</v>
      </c>
      <c r="AX87">
        <f>IF(gamma!AX87,VLOOKUP(zeta!AX$1,main!$A$3:$H$102,5,FALSE)-VLOOKUP(zeta!$A87,main!$A$3:$H$102,6,FALSE),0)</f>
        <v>0</v>
      </c>
      <c r="AY87">
        <f>IF(gamma!AY87,VLOOKUP(zeta!AY$1,main!$A$3:$H$102,5,FALSE)-VLOOKUP(zeta!$A87,main!$A$3:$H$102,6,FALSE),0)</f>
        <v>0</v>
      </c>
      <c r="AZ87">
        <f>IF(gamma!AZ87,VLOOKUP(zeta!AZ$1,main!$A$3:$H$102,5,FALSE)-VLOOKUP(zeta!$A87,main!$A$3:$H$102,6,FALSE),0)</f>
        <v>0</v>
      </c>
      <c r="BA87">
        <f>IF(gamma!BA87,VLOOKUP(zeta!BA$1,main!$A$3:$H$102,5,FALSE)-VLOOKUP(zeta!$A87,main!$A$3:$H$102,6,FALSE),0)</f>
        <v>0</v>
      </c>
      <c r="BB87">
        <f>IF(gamma!BB87,VLOOKUP(zeta!BB$1,main!$A$3:$H$102,5,FALSE)-VLOOKUP(zeta!$A87,main!$A$3:$H$102,6,FALSE),0)</f>
        <v>0</v>
      </c>
      <c r="BC87">
        <f>IF(gamma!BC87,VLOOKUP(zeta!BC$1,main!$A$3:$H$102,5,FALSE)-VLOOKUP(zeta!$A87,main!$A$3:$H$102,6,FALSE),0)</f>
        <v>0</v>
      </c>
      <c r="BD87">
        <f>IF(gamma!BD87,VLOOKUP(zeta!BD$1,main!$A$3:$H$102,5,FALSE)-VLOOKUP(zeta!$A87,main!$A$3:$H$102,6,FALSE),0)</f>
        <v>0</v>
      </c>
      <c r="BE87">
        <f>IF(gamma!BE87,VLOOKUP(zeta!BE$1,main!$A$3:$H$102,5,FALSE)-VLOOKUP(zeta!$A87,main!$A$3:$H$102,6,FALSE),0)</f>
        <v>0</v>
      </c>
      <c r="BF87">
        <f>IF(gamma!BF87,VLOOKUP(zeta!BF$1,main!$A$3:$H$102,5,FALSE)-VLOOKUP(zeta!$A87,main!$A$3:$H$102,6,FALSE),0)</f>
        <v>0</v>
      </c>
      <c r="BG87">
        <f>IF(gamma!BG87,VLOOKUP(zeta!BG$1,main!$A$3:$H$102,5,FALSE)-VLOOKUP(zeta!$A87,main!$A$3:$H$102,6,FALSE),0)</f>
        <v>0</v>
      </c>
      <c r="BH87">
        <f>IF(gamma!BH87,VLOOKUP(zeta!BH$1,main!$A$3:$H$102,5,FALSE)-VLOOKUP(zeta!$A87,main!$A$3:$H$102,6,FALSE),0)</f>
        <v>0</v>
      </c>
      <c r="BI87">
        <f>IF(gamma!BI87,VLOOKUP(zeta!BI$1,main!$A$3:$H$102,5,FALSE)-VLOOKUP(zeta!$A87,main!$A$3:$H$102,6,FALSE),0)</f>
        <v>0</v>
      </c>
      <c r="BJ87">
        <f>IF(gamma!BJ87,VLOOKUP(zeta!BJ$1,main!$A$3:$H$102,5,FALSE)-VLOOKUP(zeta!$A87,main!$A$3:$H$102,6,FALSE),0)</f>
        <v>0</v>
      </c>
      <c r="BK87">
        <f>IF(gamma!BK87,VLOOKUP(zeta!BK$1,main!$A$3:$H$102,5,FALSE)-VLOOKUP(zeta!$A87,main!$A$3:$H$102,6,FALSE),0)</f>
        <v>0</v>
      </c>
      <c r="BL87">
        <f>IF(gamma!BL87,VLOOKUP(zeta!BL$1,main!$A$3:$H$102,5,FALSE)-VLOOKUP(zeta!$A87,main!$A$3:$H$102,6,FALSE),0)</f>
        <v>0</v>
      </c>
      <c r="BM87">
        <f>IF(gamma!BM87,VLOOKUP(zeta!BM$1,main!$A$3:$H$102,5,FALSE)-VLOOKUP(zeta!$A87,main!$A$3:$H$102,6,FALSE),0)</f>
        <v>0</v>
      </c>
      <c r="BN87">
        <f>IF(gamma!BN87,VLOOKUP(zeta!BN$1,main!$A$3:$H$102,5,FALSE)-VLOOKUP(zeta!$A87,main!$A$3:$H$102,6,FALSE),0)</f>
        <v>0</v>
      </c>
      <c r="BO87">
        <f>IF(gamma!BO87,VLOOKUP(zeta!BO$1,main!$A$3:$H$102,5,FALSE)-VLOOKUP(zeta!$A87,main!$A$3:$H$102,6,FALSE),0)</f>
        <v>0</v>
      </c>
      <c r="BP87">
        <f>IF(gamma!BP87,VLOOKUP(zeta!BP$1,main!$A$3:$H$102,5,FALSE)-VLOOKUP(zeta!$A87,main!$A$3:$H$102,6,FALSE),0)</f>
        <v>0</v>
      </c>
      <c r="BQ87">
        <f>IF(gamma!BQ87,VLOOKUP(zeta!BQ$1,main!$A$3:$H$102,5,FALSE)-VLOOKUP(zeta!$A87,main!$A$3:$H$102,6,FALSE),0)</f>
        <v>0</v>
      </c>
      <c r="BR87">
        <f>IF(gamma!BR87,VLOOKUP(zeta!BR$1,main!$A$3:$H$102,5,FALSE)-VLOOKUP(zeta!$A87,main!$A$3:$H$102,6,FALSE),0)</f>
        <v>0</v>
      </c>
      <c r="BS87">
        <f>IF(gamma!BS87,VLOOKUP(zeta!BS$1,main!$A$3:$H$102,5,FALSE)-VLOOKUP(zeta!$A87,main!$A$3:$H$102,6,FALSE),0)</f>
        <v>0</v>
      </c>
      <c r="BT87">
        <f>IF(gamma!BT87,VLOOKUP(zeta!BT$1,main!$A$3:$H$102,5,FALSE)-VLOOKUP(zeta!$A87,main!$A$3:$H$102,6,FALSE),0)</f>
        <v>0</v>
      </c>
      <c r="BU87">
        <f>IF(gamma!BU87,VLOOKUP(zeta!BU$1,main!$A$3:$H$102,5,FALSE)-VLOOKUP(zeta!$A87,main!$A$3:$H$102,6,FALSE),0)</f>
        <v>0</v>
      </c>
      <c r="BV87">
        <f>IF(gamma!BV87,VLOOKUP(zeta!BV$1,main!$A$3:$H$102,5,FALSE)-VLOOKUP(zeta!$A87,main!$A$3:$H$102,6,FALSE),0)</f>
        <v>0</v>
      </c>
      <c r="BW87">
        <f>IF(gamma!BW87,VLOOKUP(zeta!BW$1,main!$A$3:$H$102,5,FALSE)-VLOOKUP(zeta!$A87,main!$A$3:$H$102,6,FALSE),0)</f>
        <v>0</v>
      </c>
      <c r="BX87">
        <f>IF(gamma!BX87,VLOOKUP(zeta!BX$1,main!$A$3:$H$102,5,FALSE)-VLOOKUP(zeta!$A87,main!$A$3:$H$102,6,FALSE),0)</f>
        <v>0</v>
      </c>
      <c r="BY87">
        <f>IF(gamma!BY87,VLOOKUP(zeta!BY$1,main!$A$3:$H$102,5,FALSE)-VLOOKUP(zeta!$A87,main!$A$3:$H$102,6,FALSE),0)</f>
        <v>0</v>
      </c>
      <c r="BZ87">
        <f>IF(gamma!BZ87,VLOOKUP(zeta!BZ$1,main!$A$3:$H$102,5,FALSE)-VLOOKUP(zeta!$A87,main!$A$3:$H$102,6,FALSE),0)</f>
        <v>0</v>
      </c>
      <c r="CA87">
        <f>IF(gamma!CA87,VLOOKUP(zeta!CA$1,main!$A$3:$H$102,5,FALSE)-VLOOKUP(zeta!$A87,main!$A$3:$H$102,6,FALSE),0)</f>
        <v>0</v>
      </c>
      <c r="CB87">
        <f>IF(gamma!CB87,VLOOKUP(zeta!CB$1,main!$A$3:$H$102,5,FALSE)-VLOOKUP(zeta!$A87,main!$A$3:$H$102,6,FALSE),0)</f>
        <v>0</v>
      </c>
      <c r="CC87">
        <f>IF(gamma!CC87,VLOOKUP(zeta!CC$1,main!$A$3:$H$102,5,FALSE)-VLOOKUP(zeta!$A87,main!$A$3:$H$102,6,FALSE),0)</f>
        <v>0</v>
      </c>
      <c r="CD87">
        <f>IF(gamma!CD87,VLOOKUP(zeta!CD$1,main!$A$3:$H$102,5,FALSE)-VLOOKUP(zeta!$A87,main!$A$3:$H$102,6,FALSE),0)</f>
        <v>0</v>
      </c>
      <c r="CE87">
        <f>IF(gamma!CE87,VLOOKUP(zeta!CE$1,main!$A$3:$H$102,5,FALSE)-VLOOKUP(zeta!$A87,main!$A$3:$H$102,6,FALSE),0)</f>
        <v>0</v>
      </c>
      <c r="CF87">
        <f>IF(gamma!CF87,VLOOKUP(zeta!CF$1,main!$A$3:$H$102,5,FALSE)-VLOOKUP(zeta!$A87,main!$A$3:$H$102,6,FALSE),0)</f>
        <v>0</v>
      </c>
      <c r="CG87">
        <f>IF(gamma!CG87,VLOOKUP(zeta!CG$1,main!$A$3:$H$102,5,FALSE)-VLOOKUP(zeta!$A87,main!$A$3:$H$102,6,FALSE),0)</f>
        <v>0</v>
      </c>
      <c r="CH87">
        <f>IF(gamma!CH87,VLOOKUP(zeta!CH$1,main!$A$3:$H$102,5,FALSE)-VLOOKUP(zeta!$A87,main!$A$3:$H$102,6,FALSE),0)</f>
        <v>0</v>
      </c>
      <c r="CI87">
        <f>IF(gamma!CI87,VLOOKUP(zeta!CI$1,main!$A$3:$H$102,5,FALSE)-VLOOKUP(zeta!$A87,main!$A$3:$H$102,6,FALSE),0)</f>
        <v>0</v>
      </c>
      <c r="CJ87">
        <f>IF(gamma!CJ87,VLOOKUP(zeta!CJ$1,main!$A$3:$H$102,5,FALSE)-VLOOKUP(zeta!$A87,main!$A$3:$H$102,6,FALSE),0)</f>
        <v>0</v>
      </c>
      <c r="CK87">
        <f>IF(gamma!CK87,VLOOKUP(zeta!CK$1,main!$A$3:$H$102,5,FALSE)-VLOOKUP(zeta!$A87,main!$A$3:$H$102,6,FALSE),0)</f>
        <v>0</v>
      </c>
      <c r="CL87">
        <f>IF(gamma!CL87,VLOOKUP(zeta!CL$1,main!$A$3:$H$102,5,FALSE)-VLOOKUP(zeta!$A87,main!$A$3:$H$102,6,FALSE),0)</f>
        <v>0</v>
      </c>
      <c r="CM87">
        <f>IF(gamma!CM87,VLOOKUP(zeta!CM$1,main!$A$3:$H$102,5,FALSE)-VLOOKUP(zeta!$A87,main!$A$3:$H$102,6,FALSE),0)</f>
        <v>0</v>
      </c>
      <c r="CN87">
        <f>IF(gamma!CN87,VLOOKUP(zeta!CN$1,main!$A$3:$H$102,5,FALSE)-VLOOKUP(zeta!$A87,main!$A$3:$H$102,6,FALSE),0)</f>
        <v>0</v>
      </c>
      <c r="CO87">
        <f>IF(gamma!CO87,VLOOKUP(zeta!CO$1,main!$A$3:$H$102,5,FALSE)-VLOOKUP(zeta!$A87,main!$A$3:$H$102,6,FALSE),0)</f>
        <v>0</v>
      </c>
      <c r="CP87">
        <f>IF(gamma!CP87,VLOOKUP(zeta!CP$1,main!$A$3:$H$102,5,FALSE)-VLOOKUP(zeta!$A87,main!$A$3:$H$102,6,FALSE),0)</f>
        <v>0</v>
      </c>
      <c r="CQ87">
        <f>IF(gamma!CQ87,VLOOKUP(zeta!CQ$1,main!$A$3:$H$102,5,FALSE)-VLOOKUP(zeta!$A87,main!$A$3:$H$102,6,FALSE),0)</f>
        <v>0</v>
      </c>
      <c r="CR87">
        <f>IF(gamma!CR87,VLOOKUP(zeta!CR$1,main!$A$3:$H$102,5,FALSE)-VLOOKUP(zeta!$A87,main!$A$3:$H$102,6,FALSE),0)</f>
        <v>0</v>
      </c>
      <c r="CS87">
        <f>IF(gamma!CS87,VLOOKUP(zeta!CS$1,main!$A$3:$H$102,5,FALSE)-VLOOKUP(zeta!$A87,main!$A$3:$H$102,6,FALSE),0)</f>
        <v>0</v>
      </c>
      <c r="CT87">
        <f>IF(gamma!CT87,VLOOKUP(zeta!CT$1,main!$A$3:$H$102,5,FALSE)-VLOOKUP(zeta!$A87,main!$A$3:$H$102,6,FALSE),0)</f>
        <v>0</v>
      </c>
      <c r="CU87">
        <f>IF(gamma!CU87,VLOOKUP(zeta!CU$1,main!$A$3:$H$102,5,FALSE)-VLOOKUP(zeta!$A87,main!$A$3:$H$102,6,FALSE),0)</f>
        <v>0</v>
      </c>
      <c r="CV87">
        <f>IF(gamma!CV87,VLOOKUP(zeta!CV$1,main!$A$3:$H$102,5,FALSE)-VLOOKUP(zeta!$A87,main!$A$3:$H$102,6,FALSE),0)</f>
        <v>0</v>
      </c>
      <c r="CW87">
        <f>IF(gamma!CW87,VLOOKUP(zeta!CW$1,main!$A$3:$H$102,5,FALSE)-VLOOKUP(zeta!$A87,main!$A$3:$H$102,6,FALSE),0)</f>
        <v>0</v>
      </c>
      <c r="CX87">
        <f>IF(gamma!CX87,VLOOKUP(zeta!CX$1,main!$A$3:$H$102,5,FALSE)-VLOOKUP(zeta!$A87,main!$A$3:$H$102,6,FALSE),0)</f>
        <v>0</v>
      </c>
    </row>
    <row r="88" spans="1:102" x14ac:dyDescent="0.25">
      <c r="A88">
        <f t="shared" si="2"/>
        <v>86</v>
      </c>
      <c r="B88">
        <v>0</v>
      </c>
      <c r="C88">
        <f>IF(gamma!C88,VLOOKUP(zeta!C$1,main!$A$3:$H$102,5,FALSE)-VLOOKUP(zeta!$A88,main!$A$3:$H$102,6,FALSE),0)</f>
        <v>0</v>
      </c>
      <c r="D88">
        <f>IF(gamma!D88,VLOOKUP(zeta!D$1,main!$A$3:$H$102,5,FALSE)-VLOOKUP(zeta!$A88,main!$A$3:$H$102,6,FALSE),0)</f>
        <v>0</v>
      </c>
      <c r="E88">
        <f>IF(gamma!E88,VLOOKUP(zeta!E$1,main!$A$3:$H$102,5,FALSE)-VLOOKUP(zeta!$A88,main!$A$3:$H$102,6,FALSE),0)</f>
        <v>0</v>
      </c>
      <c r="F88">
        <f>IF(gamma!F88,VLOOKUP(zeta!F$1,main!$A$3:$H$102,5,FALSE)-VLOOKUP(zeta!$A88,main!$A$3:$H$102,6,FALSE),0)</f>
        <v>0</v>
      </c>
      <c r="G88">
        <f>IF(gamma!G88,VLOOKUP(zeta!G$1,main!$A$3:$H$102,5,FALSE)-VLOOKUP(zeta!$A88,main!$A$3:$H$102,6,FALSE),0)</f>
        <v>0</v>
      </c>
      <c r="H88">
        <f>IF(gamma!H88,VLOOKUP(zeta!H$1,main!$A$3:$H$102,5,FALSE)-VLOOKUP(zeta!$A88,main!$A$3:$H$102,6,FALSE),0)</f>
        <v>62</v>
      </c>
      <c r="I88">
        <f>IF(gamma!I88,VLOOKUP(zeta!I$1,main!$A$3:$H$102,5,FALSE)-VLOOKUP(zeta!$A88,main!$A$3:$H$102,6,FALSE),0)</f>
        <v>122</v>
      </c>
      <c r="J88">
        <f>IF(gamma!J88,VLOOKUP(zeta!J$1,main!$A$3:$H$102,5,FALSE)-VLOOKUP(zeta!$A88,main!$A$3:$H$102,6,FALSE),0)</f>
        <v>182</v>
      </c>
      <c r="K88">
        <f>IF(gamma!K88,VLOOKUP(zeta!K$1,main!$A$3:$H$102,5,FALSE)-VLOOKUP(zeta!$A88,main!$A$3:$H$102,6,FALSE),0)</f>
        <v>242</v>
      </c>
      <c r="L88">
        <f>IF(gamma!L88,VLOOKUP(zeta!L$1,main!$A$3:$H$102,5,FALSE)-VLOOKUP(zeta!$A88,main!$A$3:$H$102,6,FALSE),0)</f>
        <v>332</v>
      </c>
      <c r="M88">
        <f>IF(gamma!M88,VLOOKUP(zeta!M$1,main!$A$3:$H$102,5,FALSE)-VLOOKUP(zeta!$A88,main!$A$3:$H$102,6,FALSE),0)</f>
        <v>0</v>
      </c>
      <c r="N88">
        <f>IF(gamma!N88,VLOOKUP(zeta!N$1,main!$A$3:$H$102,5,FALSE)-VLOOKUP(zeta!$A88,main!$A$3:$H$102,6,FALSE),0)</f>
        <v>0</v>
      </c>
      <c r="O88">
        <f>IF(gamma!O88,VLOOKUP(zeta!O$1,main!$A$3:$H$102,5,FALSE)-VLOOKUP(zeta!$A88,main!$A$3:$H$102,6,FALSE),0)</f>
        <v>0</v>
      </c>
      <c r="P88">
        <f>IF(gamma!P88,VLOOKUP(zeta!P$1,main!$A$3:$H$102,5,FALSE)-VLOOKUP(zeta!$A88,main!$A$3:$H$102,6,FALSE),0)</f>
        <v>0</v>
      </c>
      <c r="Q88">
        <f>IF(gamma!Q88,VLOOKUP(zeta!Q$1,main!$A$3:$H$102,5,FALSE)-VLOOKUP(zeta!$A88,main!$A$3:$H$102,6,FALSE),0)</f>
        <v>0</v>
      </c>
      <c r="R88">
        <f>IF(gamma!R88,VLOOKUP(zeta!R$1,main!$A$3:$H$102,5,FALSE)-VLOOKUP(zeta!$A88,main!$A$3:$H$102,6,FALSE),0)</f>
        <v>0</v>
      </c>
      <c r="S88">
        <f>IF(gamma!S88,VLOOKUP(zeta!S$1,main!$A$3:$H$102,5,FALSE)-VLOOKUP(zeta!$A88,main!$A$3:$H$102,6,FALSE),0)</f>
        <v>62</v>
      </c>
      <c r="T88">
        <f>IF(gamma!T88,VLOOKUP(zeta!T$1,main!$A$3:$H$102,5,FALSE)-VLOOKUP(zeta!$A88,main!$A$3:$H$102,6,FALSE),0)</f>
        <v>142</v>
      </c>
      <c r="U88">
        <f>IF(gamma!U88,VLOOKUP(zeta!U$1,main!$A$3:$H$102,5,FALSE)-VLOOKUP(zeta!$A88,main!$A$3:$H$102,6,FALSE),0)</f>
        <v>297</v>
      </c>
      <c r="V88">
        <f>IF(gamma!V88,VLOOKUP(zeta!V$1,main!$A$3:$H$102,5,FALSE)-VLOOKUP(zeta!$A88,main!$A$3:$H$102,6,FALSE),0)</f>
        <v>357</v>
      </c>
      <c r="W88">
        <f>IF(gamma!W88,VLOOKUP(zeta!W$1,main!$A$3:$H$102,5,FALSE)-VLOOKUP(zeta!$A88,main!$A$3:$H$102,6,FALSE),0)</f>
        <v>0</v>
      </c>
      <c r="X88">
        <f>IF(gamma!X88,VLOOKUP(zeta!X$1,main!$A$3:$H$102,5,FALSE)-VLOOKUP(zeta!$A88,main!$A$3:$H$102,6,FALSE),0)</f>
        <v>0</v>
      </c>
      <c r="Y88">
        <f>IF(gamma!Y88,VLOOKUP(zeta!Y$1,main!$A$3:$H$102,5,FALSE)-VLOOKUP(zeta!$A88,main!$A$3:$H$102,6,FALSE),0)</f>
        <v>0</v>
      </c>
      <c r="Z88">
        <f>IF(gamma!Z88,VLOOKUP(zeta!Z$1,main!$A$3:$H$102,5,FALSE)-VLOOKUP(zeta!$A88,main!$A$3:$H$102,6,FALSE),0)</f>
        <v>112</v>
      </c>
      <c r="AA88">
        <f>IF(gamma!AA88,VLOOKUP(zeta!AA$1,main!$A$3:$H$102,5,FALSE)-VLOOKUP(zeta!$A88,main!$A$3:$H$102,6,FALSE),0)</f>
        <v>262</v>
      </c>
      <c r="AB88">
        <f>IF(gamma!AB88,VLOOKUP(zeta!AB$1,main!$A$3:$H$102,5,FALSE)-VLOOKUP(zeta!$A88,main!$A$3:$H$102,6,FALSE),0)</f>
        <v>0</v>
      </c>
      <c r="AC88">
        <f>IF(gamma!AC88,VLOOKUP(zeta!AC$1,main!$A$3:$H$102,5,FALSE)-VLOOKUP(zeta!$A88,main!$A$3:$H$102,6,FALSE),0)</f>
        <v>0</v>
      </c>
      <c r="AD88">
        <f>IF(gamma!AD88,VLOOKUP(zeta!AD$1,main!$A$3:$H$102,5,FALSE)-VLOOKUP(zeta!$A88,main!$A$3:$H$102,6,FALSE),0)</f>
        <v>0</v>
      </c>
      <c r="AE88">
        <f>IF(gamma!AE88,VLOOKUP(zeta!AE$1,main!$A$3:$H$102,5,FALSE)-VLOOKUP(zeta!$A88,main!$A$3:$H$102,6,FALSE),0)</f>
        <v>72</v>
      </c>
      <c r="AF88">
        <f>IF(gamma!AF88,VLOOKUP(zeta!AF$1,main!$A$3:$H$102,5,FALSE)-VLOOKUP(zeta!$A88,main!$A$3:$H$102,6,FALSE),0)</f>
        <v>242</v>
      </c>
      <c r="AG88">
        <f>IF(gamma!AG88,VLOOKUP(zeta!AG$1,main!$A$3:$H$102,5,FALSE)-VLOOKUP(zeta!$A88,main!$A$3:$H$102,6,FALSE),0)</f>
        <v>0</v>
      </c>
      <c r="AH88">
        <f>IF(gamma!AH88,VLOOKUP(zeta!AH$1,main!$A$3:$H$102,5,FALSE)-VLOOKUP(zeta!$A88,main!$A$3:$H$102,6,FALSE),0)</f>
        <v>0</v>
      </c>
      <c r="AI88">
        <f>IF(gamma!AI88,VLOOKUP(zeta!AI$1,main!$A$3:$H$102,5,FALSE)-VLOOKUP(zeta!$A88,main!$A$3:$H$102,6,FALSE),0)</f>
        <v>0</v>
      </c>
      <c r="AJ88">
        <f>IF(gamma!AJ88,VLOOKUP(zeta!AJ$1,main!$A$3:$H$102,5,FALSE)-VLOOKUP(zeta!$A88,main!$A$3:$H$102,6,FALSE),0)</f>
        <v>0</v>
      </c>
      <c r="AK88">
        <f>IF(gamma!AK88,VLOOKUP(zeta!AK$1,main!$A$3:$H$102,5,FALSE)-VLOOKUP(zeta!$A88,main!$A$3:$H$102,6,FALSE),0)</f>
        <v>42</v>
      </c>
      <c r="AL88">
        <f>IF(gamma!AL88,VLOOKUP(zeta!AL$1,main!$A$3:$H$102,5,FALSE)-VLOOKUP(zeta!$A88,main!$A$3:$H$102,6,FALSE),0)</f>
        <v>132</v>
      </c>
      <c r="AM88">
        <f>IF(gamma!AM88,VLOOKUP(zeta!AM$1,main!$A$3:$H$102,5,FALSE)-VLOOKUP(zeta!$A88,main!$A$3:$H$102,6,FALSE),0)</f>
        <v>222</v>
      </c>
      <c r="AN88">
        <f>IF(gamma!AN88,VLOOKUP(zeta!AN$1,main!$A$3:$H$102,5,FALSE)-VLOOKUP(zeta!$A88,main!$A$3:$H$102,6,FALSE),0)</f>
        <v>282</v>
      </c>
      <c r="AO88">
        <f>IF(gamma!AO88,VLOOKUP(zeta!AO$1,main!$A$3:$H$102,5,FALSE)-VLOOKUP(zeta!$A88,main!$A$3:$H$102,6,FALSE),0)</f>
        <v>0</v>
      </c>
      <c r="AP88">
        <f>IF(gamma!AP88,VLOOKUP(zeta!AP$1,main!$A$3:$H$102,5,FALSE)-VLOOKUP(zeta!$A88,main!$A$3:$H$102,6,FALSE),0)</f>
        <v>342</v>
      </c>
      <c r="AQ88">
        <f>IF(gamma!AQ88,VLOOKUP(zeta!AQ$1,main!$A$3:$H$102,5,FALSE)-VLOOKUP(zeta!$A88,main!$A$3:$H$102,6,FALSE),0)</f>
        <v>0</v>
      </c>
      <c r="AR88">
        <f>IF(gamma!AR88,VLOOKUP(zeta!AR$1,main!$A$3:$H$102,5,FALSE)-VLOOKUP(zeta!$A88,main!$A$3:$H$102,6,FALSE),0)</f>
        <v>0</v>
      </c>
      <c r="AS88">
        <f>IF(gamma!AS88,VLOOKUP(zeta!AS$1,main!$A$3:$H$102,5,FALSE)-VLOOKUP(zeta!$A88,main!$A$3:$H$102,6,FALSE),0)</f>
        <v>0</v>
      </c>
      <c r="AT88">
        <f>IF(gamma!AT88,VLOOKUP(zeta!AT$1,main!$A$3:$H$102,5,FALSE)-VLOOKUP(zeta!$A88,main!$A$3:$H$102,6,FALSE),0)</f>
        <v>92</v>
      </c>
      <c r="AU88">
        <f>IF(gamma!AU88,VLOOKUP(zeta!AU$1,main!$A$3:$H$102,5,FALSE)-VLOOKUP(zeta!$A88,main!$A$3:$H$102,6,FALSE),0)</f>
        <v>0</v>
      </c>
      <c r="AV88">
        <f>IF(gamma!AV88,VLOOKUP(zeta!AV$1,main!$A$3:$H$102,5,FALSE)-VLOOKUP(zeta!$A88,main!$A$3:$H$102,6,FALSE),0)</f>
        <v>0</v>
      </c>
      <c r="AW88">
        <f>IF(gamma!AW88,VLOOKUP(zeta!AW$1,main!$A$3:$H$102,5,FALSE)-VLOOKUP(zeta!$A88,main!$A$3:$H$102,6,FALSE),0)</f>
        <v>42</v>
      </c>
      <c r="AX88">
        <f>IF(gamma!AX88,VLOOKUP(zeta!AX$1,main!$A$3:$H$102,5,FALSE)-VLOOKUP(zeta!$A88,main!$A$3:$H$102,6,FALSE),0)</f>
        <v>0</v>
      </c>
      <c r="AY88">
        <f>IF(gamma!AY88,VLOOKUP(zeta!AY$1,main!$A$3:$H$102,5,FALSE)-VLOOKUP(zeta!$A88,main!$A$3:$H$102,6,FALSE),0)</f>
        <v>0</v>
      </c>
      <c r="AZ88">
        <f>IF(gamma!AZ88,VLOOKUP(zeta!AZ$1,main!$A$3:$H$102,5,FALSE)-VLOOKUP(zeta!$A88,main!$A$3:$H$102,6,FALSE),0)</f>
        <v>0</v>
      </c>
      <c r="BA88">
        <f>IF(gamma!BA88,VLOOKUP(zeta!BA$1,main!$A$3:$H$102,5,FALSE)-VLOOKUP(zeta!$A88,main!$A$3:$H$102,6,FALSE),0)</f>
        <v>0</v>
      </c>
      <c r="BB88">
        <f>IF(gamma!BB88,VLOOKUP(zeta!BB$1,main!$A$3:$H$102,5,FALSE)-VLOOKUP(zeta!$A88,main!$A$3:$H$102,6,FALSE),0)</f>
        <v>0</v>
      </c>
      <c r="BC88">
        <f>IF(gamma!BC88,VLOOKUP(zeta!BC$1,main!$A$3:$H$102,5,FALSE)-VLOOKUP(zeta!$A88,main!$A$3:$H$102,6,FALSE),0)</f>
        <v>0</v>
      </c>
      <c r="BD88">
        <f>IF(gamma!BD88,VLOOKUP(zeta!BD$1,main!$A$3:$H$102,5,FALSE)-VLOOKUP(zeta!$A88,main!$A$3:$H$102,6,FALSE),0)</f>
        <v>62</v>
      </c>
      <c r="BE88">
        <f>IF(gamma!BE88,VLOOKUP(zeta!BE$1,main!$A$3:$H$102,5,FALSE)-VLOOKUP(zeta!$A88,main!$A$3:$H$102,6,FALSE),0)</f>
        <v>182</v>
      </c>
      <c r="BF88">
        <f>IF(gamma!BF88,VLOOKUP(zeta!BF$1,main!$A$3:$H$102,5,FALSE)-VLOOKUP(zeta!$A88,main!$A$3:$H$102,6,FALSE),0)</f>
        <v>0</v>
      </c>
      <c r="BG88">
        <f>IF(gamma!BG88,VLOOKUP(zeta!BG$1,main!$A$3:$H$102,5,FALSE)-VLOOKUP(zeta!$A88,main!$A$3:$H$102,6,FALSE),0)</f>
        <v>0</v>
      </c>
      <c r="BH88">
        <f>IF(gamma!BH88,VLOOKUP(zeta!BH$1,main!$A$3:$H$102,5,FALSE)-VLOOKUP(zeta!$A88,main!$A$3:$H$102,6,FALSE),0)</f>
        <v>0</v>
      </c>
      <c r="BI88">
        <f>IF(gamma!BI88,VLOOKUP(zeta!BI$1,main!$A$3:$H$102,5,FALSE)-VLOOKUP(zeta!$A88,main!$A$3:$H$102,6,FALSE),0)</f>
        <v>352</v>
      </c>
      <c r="BJ88">
        <f>IF(gamma!BJ88,VLOOKUP(zeta!BJ$1,main!$A$3:$H$102,5,FALSE)-VLOOKUP(zeta!$A88,main!$A$3:$H$102,6,FALSE),0)</f>
        <v>142</v>
      </c>
      <c r="BK88">
        <f>IF(gamma!BK88,VLOOKUP(zeta!BK$1,main!$A$3:$H$102,5,FALSE)-VLOOKUP(zeta!$A88,main!$A$3:$H$102,6,FALSE),0)</f>
        <v>0</v>
      </c>
      <c r="BL88">
        <f>IF(gamma!BL88,VLOOKUP(zeta!BL$1,main!$A$3:$H$102,5,FALSE)-VLOOKUP(zeta!$A88,main!$A$3:$H$102,6,FALSE),0)</f>
        <v>0</v>
      </c>
      <c r="BM88">
        <f>IF(gamma!BM88,VLOOKUP(zeta!BM$1,main!$A$3:$H$102,5,FALSE)-VLOOKUP(zeta!$A88,main!$A$3:$H$102,6,FALSE),0)</f>
        <v>0</v>
      </c>
      <c r="BN88">
        <f>IF(gamma!BN88,VLOOKUP(zeta!BN$1,main!$A$3:$H$102,5,FALSE)-VLOOKUP(zeta!$A88,main!$A$3:$H$102,6,FALSE),0)</f>
        <v>0</v>
      </c>
      <c r="BO88">
        <f>IF(gamma!BO88,VLOOKUP(zeta!BO$1,main!$A$3:$H$102,5,FALSE)-VLOOKUP(zeta!$A88,main!$A$3:$H$102,6,FALSE),0)</f>
        <v>0</v>
      </c>
      <c r="BP88">
        <f>IF(gamma!BP88,VLOOKUP(zeta!BP$1,main!$A$3:$H$102,5,FALSE)-VLOOKUP(zeta!$A88,main!$A$3:$H$102,6,FALSE),0)</f>
        <v>0</v>
      </c>
      <c r="BQ88">
        <f>IF(gamma!BQ88,VLOOKUP(zeta!BQ$1,main!$A$3:$H$102,5,FALSE)-VLOOKUP(zeta!$A88,main!$A$3:$H$102,6,FALSE),0)</f>
        <v>0</v>
      </c>
      <c r="BR88">
        <f>IF(gamma!BR88,VLOOKUP(zeta!BR$1,main!$A$3:$H$102,5,FALSE)-VLOOKUP(zeta!$A88,main!$A$3:$H$102,6,FALSE),0)</f>
        <v>0</v>
      </c>
      <c r="BS88">
        <f>IF(gamma!BS88,VLOOKUP(zeta!BS$1,main!$A$3:$H$102,5,FALSE)-VLOOKUP(zeta!$A88,main!$A$3:$H$102,6,FALSE),0)</f>
        <v>0</v>
      </c>
      <c r="BT88">
        <f>IF(gamma!BT88,VLOOKUP(zeta!BT$1,main!$A$3:$H$102,5,FALSE)-VLOOKUP(zeta!$A88,main!$A$3:$H$102,6,FALSE),0)</f>
        <v>0</v>
      </c>
      <c r="BU88">
        <f>IF(gamma!BU88,VLOOKUP(zeta!BU$1,main!$A$3:$H$102,5,FALSE)-VLOOKUP(zeta!$A88,main!$A$3:$H$102,6,FALSE),0)</f>
        <v>0</v>
      </c>
      <c r="BV88">
        <f>IF(gamma!BV88,VLOOKUP(zeta!BV$1,main!$A$3:$H$102,5,FALSE)-VLOOKUP(zeta!$A88,main!$A$3:$H$102,6,FALSE),0)</f>
        <v>0</v>
      </c>
      <c r="BW88">
        <f>IF(gamma!BW88,VLOOKUP(zeta!BW$1,main!$A$3:$H$102,5,FALSE)-VLOOKUP(zeta!$A88,main!$A$3:$H$102,6,FALSE),0)</f>
        <v>0</v>
      </c>
      <c r="BX88">
        <f>IF(gamma!BX88,VLOOKUP(zeta!BX$1,main!$A$3:$H$102,5,FALSE)-VLOOKUP(zeta!$A88,main!$A$3:$H$102,6,FALSE),0)</f>
        <v>0</v>
      </c>
      <c r="BY88">
        <f>IF(gamma!BY88,VLOOKUP(zeta!BY$1,main!$A$3:$H$102,5,FALSE)-VLOOKUP(zeta!$A88,main!$A$3:$H$102,6,FALSE),0)</f>
        <v>0</v>
      </c>
      <c r="BZ88">
        <f>IF(gamma!BZ88,VLOOKUP(zeta!BZ$1,main!$A$3:$H$102,5,FALSE)-VLOOKUP(zeta!$A88,main!$A$3:$H$102,6,FALSE),0)</f>
        <v>0</v>
      </c>
      <c r="CA88">
        <f>IF(gamma!CA88,VLOOKUP(zeta!CA$1,main!$A$3:$H$102,5,FALSE)-VLOOKUP(zeta!$A88,main!$A$3:$H$102,6,FALSE),0)</f>
        <v>0</v>
      </c>
      <c r="CB88">
        <f>IF(gamma!CB88,VLOOKUP(zeta!CB$1,main!$A$3:$H$102,5,FALSE)-VLOOKUP(zeta!$A88,main!$A$3:$H$102,6,FALSE),0)</f>
        <v>47</v>
      </c>
      <c r="CC88">
        <f>IF(gamma!CC88,VLOOKUP(zeta!CC$1,main!$A$3:$H$102,5,FALSE)-VLOOKUP(zeta!$A88,main!$A$3:$H$102,6,FALSE),0)</f>
        <v>257</v>
      </c>
      <c r="CD88">
        <f>IF(gamma!CD88,VLOOKUP(zeta!CD$1,main!$A$3:$H$102,5,FALSE)-VLOOKUP(zeta!$A88,main!$A$3:$H$102,6,FALSE),0)</f>
        <v>0</v>
      </c>
      <c r="CE88">
        <f>IF(gamma!CE88,VLOOKUP(zeta!CE$1,main!$A$3:$H$102,5,FALSE)-VLOOKUP(zeta!$A88,main!$A$3:$H$102,6,FALSE),0)</f>
        <v>0</v>
      </c>
      <c r="CF88">
        <f>IF(gamma!CF88,VLOOKUP(zeta!CF$1,main!$A$3:$H$102,5,FALSE)-VLOOKUP(zeta!$A88,main!$A$3:$H$102,6,FALSE),0)</f>
        <v>0</v>
      </c>
      <c r="CG88">
        <f>IF(gamma!CG88,VLOOKUP(zeta!CG$1,main!$A$3:$H$102,5,FALSE)-VLOOKUP(zeta!$A88,main!$A$3:$H$102,6,FALSE),0)</f>
        <v>0</v>
      </c>
      <c r="CH88">
        <f>IF(gamma!CH88,VLOOKUP(zeta!CH$1,main!$A$3:$H$102,5,FALSE)-VLOOKUP(zeta!$A88,main!$A$3:$H$102,6,FALSE),0)</f>
        <v>142</v>
      </c>
      <c r="CI88">
        <f>IF(gamma!CI88,VLOOKUP(zeta!CI$1,main!$A$3:$H$102,5,FALSE)-VLOOKUP(zeta!$A88,main!$A$3:$H$102,6,FALSE),0)</f>
        <v>342</v>
      </c>
      <c r="CJ88">
        <f>IF(gamma!CJ88,VLOOKUP(zeta!CJ$1,main!$A$3:$H$102,5,FALSE)-VLOOKUP(zeta!$A88,main!$A$3:$H$102,6,FALSE),0)</f>
        <v>0</v>
      </c>
      <c r="CK88">
        <f>IF(gamma!CK88,VLOOKUP(zeta!CK$1,main!$A$3:$H$102,5,FALSE)-VLOOKUP(zeta!$A88,main!$A$3:$H$102,6,FALSE),0)</f>
        <v>0</v>
      </c>
      <c r="CL88">
        <f>IF(gamma!CL88,VLOOKUP(zeta!CL$1,main!$A$3:$H$102,5,FALSE)-VLOOKUP(zeta!$A88,main!$A$3:$H$102,6,FALSE),0)</f>
        <v>0</v>
      </c>
      <c r="CM88">
        <f>IF(gamma!CM88,VLOOKUP(zeta!CM$1,main!$A$3:$H$102,5,FALSE)-VLOOKUP(zeta!$A88,main!$A$3:$H$102,6,FALSE),0)</f>
        <v>118</v>
      </c>
      <c r="CN88">
        <f>IF(gamma!CN88,VLOOKUP(zeta!CN$1,main!$A$3:$H$102,5,FALSE)-VLOOKUP(zeta!$A88,main!$A$3:$H$102,6,FALSE),0)</f>
        <v>342</v>
      </c>
      <c r="CO88">
        <f>IF(gamma!CO88,VLOOKUP(zeta!CO$1,main!$A$3:$H$102,5,FALSE)-VLOOKUP(zeta!$A88,main!$A$3:$H$102,6,FALSE),0)</f>
        <v>0</v>
      </c>
      <c r="CP88">
        <f>IF(gamma!CP88,VLOOKUP(zeta!CP$1,main!$A$3:$H$102,5,FALSE)-VLOOKUP(zeta!$A88,main!$A$3:$H$102,6,FALSE),0)</f>
        <v>0</v>
      </c>
      <c r="CQ88">
        <f>IF(gamma!CQ88,VLOOKUP(zeta!CQ$1,main!$A$3:$H$102,5,FALSE)-VLOOKUP(zeta!$A88,main!$A$3:$H$102,6,FALSE),0)</f>
        <v>0</v>
      </c>
      <c r="CR88">
        <f>IF(gamma!CR88,VLOOKUP(zeta!CR$1,main!$A$3:$H$102,5,FALSE)-VLOOKUP(zeta!$A88,main!$A$3:$H$102,6,FALSE),0)</f>
        <v>107</v>
      </c>
      <c r="CS88">
        <f>IF(gamma!CS88,VLOOKUP(zeta!CS$1,main!$A$3:$H$102,5,FALSE)-VLOOKUP(zeta!$A88,main!$A$3:$H$102,6,FALSE),0)</f>
        <v>117</v>
      </c>
      <c r="CT88">
        <f>IF(gamma!CT88,VLOOKUP(zeta!CT$1,main!$A$3:$H$102,5,FALSE)-VLOOKUP(zeta!$A88,main!$A$3:$H$102,6,FALSE),0)</f>
        <v>0</v>
      </c>
      <c r="CU88">
        <f>IF(gamma!CU88,VLOOKUP(zeta!CU$1,main!$A$3:$H$102,5,FALSE)-VLOOKUP(zeta!$A88,main!$A$3:$H$102,6,FALSE),0)</f>
        <v>0</v>
      </c>
      <c r="CV88">
        <f>IF(gamma!CV88,VLOOKUP(zeta!CV$1,main!$A$3:$H$102,5,FALSE)-VLOOKUP(zeta!$A88,main!$A$3:$H$102,6,FALSE),0)</f>
        <v>0</v>
      </c>
      <c r="CW88">
        <f>IF(gamma!CW88,VLOOKUP(zeta!CW$1,main!$A$3:$H$102,5,FALSE)-VLOOKUP(zeta!$A88,main!$A$3:$H$102,6,FALSE),0)</f>
        <v>107</v>
      </c>
      <c r="CX88">
        <f>IF(gamma!CX88,VLOOKUP(zeta!CX$1,main!$A$3:$H$102,5,FALSE)-VLOOKUP(zeta!$A88,main!$A$3:$H$102,6,FALSE),0)</f>
        <v>147</v>
      </c>
    </row>
    <row r="89" spans="1:102" x14ac:dyDescent="0.25">
      <c r="A89">
        <f t="shared" si="2"/>
        <v>87</v>
      </c>
      <c r="B89">
        <v>0</v>
      </c>
      <c r="C89">
        <f>IF(gamma!C89,VLOOKUP(zeta!C$1,main!$A$3:$H$102,5,FALSE)-VLOOKUP(zeta!$A89,main!$A$3:$H$102,6,FALSE),0)</f>
        <v>0</v>
      </c>
      <c r="D89">
        <f>IF(gamma!D89,VLOOKUP(zeta!D$1,main!$A$3:$H$102,5,FALSE)-VLOOKUP(zeta!$A89,main!$A$3:$H$102,6,FALSE),0)</f>
        <v>0</v>
      </c>
      <c r="E89">
        <f>IF(gamma!E89,VLOOKUP(zeta!E$1,main!$A$3:$H$102,5,FALSE)-VLOOKUP(zeta!$A89,main!$A$3:$H$102,6,FALSE),0)</f>
        <v>0</v>
      </c>
      <c r="F89">
        <f>IF(gamma!F89,VLOOKUP(zeta!F$1,main!$A$3:$H$102,5,FALSE)-VLOOKUP(zeta!$A89,main!$A$3:$H$102,6,FALSE),0)</f>
        <v>0</v>
      </c>
      <c r="G89">
        <f>IF(gamma!G89,VLOOKUP(zeta!G$1,main!$A$3:$H$102,5,FALSE)-VLOOKUP(zeta!$A89,main!$A$3:$H$102,6,FALSE),0)</f>
        <v>71</v>
      </c>
      <c r="H89">
        <f>IF(gamma!H89,VLOOKUP(zeta!H$1,main!$A$3:$H$102,5,FALSE)-VLOOKUP(zeta!$A89,main!$A$3:$H$102,6,FALSE),0)</f>
        <v>161</v>
      </c>
      <c r="I89">
        <f>IF(gamma!I89,VLOOKUP(zeta!I$1,main!$A$3:$H$102,5,FALSE)-VLOOKUP(zeta!$A89,main!$A$3:$H$102,6,FALSE),0)</f>
        <v>221</v>
      </c>
      <c r="J89">
        <f>IF(gamma!J89,VLOOKUP(zeta!J$1,main!$A$3:$H$102,5,FALSE)-VLOOKUP(zeta!$A89,main!$A$3:$H$102,6,FALSE),0)</f>
        <v>281</v>
      </c>
      <c r="K89">
        <f>IF(gamma!K89,VLOOKUP(zeta!K$1,main!$A$3:$H$102,5,FALSE)-VLOOKUP(zeta!$A89,main!$A$3:$H$102,6,FALSE),0)</f>
        <v>341</v>
      </c>
      <c r="L89">
        <f>IF(gamma!L89,VLOOKUP(zeta!L$1,main!$A$3:$H$102,5,FALSE)-VLOOKUP(zeta!$A89,main!$A$3:$H$102,6,FALSE),0)</f>
        <v>431</v>
      </c>
      <c r="M89">
        <f>IF(gamma!M89,VLOOKUP(zeta!M$1,main!$A$3:$H$102,5,FALSE)-VLOOKUP(zeta!$A89,main!$A$3:$H$102,6,FALSE),0)</f>
        <v>0</v>
      </c>
      <c r="N89">
        <f>IF(gamma!N89,VLOOKUP(zeta!N$1,main!$A$3:$H$102,5,FALSE)-VLOOKUP(zeta!$A89,main!$A$3:$H$102,6,FALSE),0)</f>
        <v>0</v>
      </c>
      <c r="O89">
        <f>IF(gamma!O89,VLOOKUP(zeta!O$1,main!$A$3:$H$102,5,FALSE)-VLOOKUP(zeta!$A89,main!$A$3:$H$102,6,FALSE),0)</f>
        <v>0</v>
      </c>
      <c r="P89">
        <f>IF(gamma!P89,VLOOKUP(zeta!P$1,main!$A$3:$H$102,5,FALSE)-VLOOKUP(zeta!$A89,main!$A$3:$H$102,6,FALSE),0)</f>
        <v>0</v>
      </c>
      <c r="Q89">
        <f>IF(gamma!Q89,VLOOKUP(zeta!Q$1,main!$A$3:$H$102,5,FALSE)-VLOOKUP(zeta!$A89,main!$A$3:$H$102,6,FALSE),0)</f>
        <v>0</v>
      </c>
      <c r="R89">
        <f>IF(gamma!R89,VLOOKUP(zeta!R$1,main!$A$3:$H$102,5,FALSE)-VLOOKUP(zeta!$A89,main!$A$3:$H$102,6,FALSE),0)</f>
        <v>36</v>
      </c>
      <c r="S89">
        <f>IF(gamma!S89,VLOOKUP(zeta!S$1,main!$A$3:$H$102,5,FALSE)-VLOOKUP(zeta!$A89,main!$A$3:$H$102,6,FALSE),0)</f>
        <v>161</v>
      </c>
      <c r="T89">
        <f>IF(gamma!T89,VLOOKUP(zeta!T$1,main!$A$3:$H$102,5,FALSE)-VLOOKUP(zeta!$A89,main!$A$3:$H$102,6,FALSE),0)</f>
        <v>241</v>
      </c>
      <c r="U89">
        <f>IF(gamma!U89,VLOOKUP(zeta!U$1,main!$A$3:$H$102,5,FALSE)-VLOOKUP(zeta!$A89,main!$A$3:$H$102,6,FALSE),0)</f>
        <v>396</v>
      </c>
      <c r="V89">
        <f>IF(gamma!V89,VLOOKUP(zeta!V$1,main!$A$3:$H$102,5,FALSE)-VLOOKUP(zeta!$A89,main!$A$3:$H$102,6,FALSE),0)</f>
        <v>456</v>
      </c>
      <c r="W89">
        <f>IF(gamma!W89,VLOOKUP(zeta!W$1,main!$A$3:$H$102,5,FALSE)-VLOOKUP(zeta!$A89,main!$A$3:$H$102,6,FALSE),0)</f>
        <v>0</v>
      </c>
      <c r="X89">
        <f>IF(gamma!X89,VLOOKUP(zeta!X$1,main!$A$3:$H$102,5,FALSE)-VLOOKUP(zeta!$A89,main!$A$3:$H$102,6,FALSE),0)</f>
        <v>0</v>
      </c>
      <c r="Y89">
        <f>IF(gamma!Y89,VLOOKUP(zeta!Y$1,main!$A$3:$H$102,5,FALSE)-VLOOKUP(zeta!$A89,main!$A$3:$H$102,6,FALSE),0)</f>
        <v>31</v>
      </c>
      <c r="Z89">
        <f>IF(gamma!Z89,VLOOKUP(zeta!Z$1,main!$A$3:$H$102,5,FALSE)-VLOOKUP(zeta!$A89,main!$A$3:$H$102,6,FALSE),0)</f>
        <v>211</v>
      </c>
      <c r="AA89">
        <f>IF(gamma!AA89,VLOOKUP(zeta!AA$1,main!$A$3:$H$102,5,FALSE)-VLOOKUP(zeta!$A89,main!$A$3:$H$102,6,FALSE),0)</f>
        <v>361</v>
      </c>
      <c r="AB89">
        <f>IF(gamma!AB89,VLOOKUP(zeta!AB$1,main!$A$3:$H$102,5,FALSE)-VLOOKUP(zeta!$A89,main!$A$3:$H$102,6,FALSE),0)</f>
        <v>0</v>
      </c>
      <c r="AC89">
        <f>IF(gamma!AC89,VLOOKUP(zeta!AC$1,main!$A$3:$H$102,5,FALSE)-VLOOKUP(zeta!$A89,main!$A$3:$H$102,6,FALSE),0)</f>
        <v>0</v>
      </c>
      <c r="AD89">
        <f>IF(gamma!AD89,VLOOKUP(zeta!AD$1,main!$A$3:$H$102,5,FALSE)-VLOOKUP(zeta!$A89,main!$A$3:$H$102,6,FALSE),0)</f>
        <v>0</v>
      </c>
      <c r="AE89">
        <f>IF(gamma!AE89,VLOOKUP(zeta!AE$1,main!$A$3:$H$102,5,FALSE)-VLOOKUP(zeta!$A89,main!$A$3:$H$102,6,FALSE),0)</f>
        <v>171</v>
      </c>
      <c r="AF89">
        <f>IF(gamma!AF89,VLOOKUP(zeta!AF$1,main!$A$3:$H$102,5,FALSE)-VLOOKUP(zeta!$A89,main!$A$3:$H$102,6,FALSE),0)</f>
        <v>341</v>
      </c>
      <c r="AG89">
        <f>IF(gamma!AG89,VLOOKUP(zeta!AG$1,main!$A$3:$H$102,5,FALSE)-VLOOKUP(zeta!$A89,main!$A$3:$H$102,6,FALSE),0)</f>
        <v>0</v>
      </c>
      <c r="AH89">
        <f>IF(gamma!AH89,VLOOKUP(zeta!AH$1,main!$A$3:$H$102,5,FALSE)-VLOOKUP(zeta!$A89,main!$A$3:$H$102,6,FALSE),0)</f>
        <v>0</v>
      </c>
      <c r="AI89">
        <f>IF(gamma!AI89,VLOOKUP(zeta!AI$1,main!$A$3:$H$102,5,FALSE)-VLOOKUP(zeta!$A89,main!$A$3:$H$102,6,FALSE),0)</f>
        <v>0</v>
      </c>
      <c r="AJ89">
        <f>IF(gamma!AJ89,VLOOKUP(zeta!AJ$1,main!$A$3:$H$102,5,FALSE)-VLOOKUP(zeta!$A89,main!$A$3:$H$102,6,FALSE),0)</f>
        <v>51</v>
      </c>
      <c r="AK89">
        <f>IF(gamma!AK89,VLOOKUP(zeta!AK$1,main!$A$3:$H$102,5,FALSE)-VLOOKUP(zeta!$A89,main!$A$3:$H$102,6,FALSE),0)</f>
        <v>141</v>
      </c>
      <c r="AL89">
        <f>IF(gamma!AL89,VLOOKUP(zeta!AL$1,main!$A$3:$H$102,5,FALSE)-VLOOKUP(zeta!$A89,main!$A$3:$H$102,6,FALSE),0)</f>
        <v>231</v>
      </c>
      <c r="AM89">
        <f>IF(gamma!AM89,VLOOKUP(zeta!AM$1,main!$A$3:$H$102,5,FALSE)-VLOOKUP(zeta!$A89,main!$A$3:$H$102,6,FALSE),0)</f>
        <v>321</v>
      </c>
      <c r="AN89">
        <f>IF(gamma!AN89,VLOOKUP(zeta!AN$1,main!$A$3:$H$102,5,FALSE)-VLOOKUP(zeta!$A89,main!$A$3:$H$102,6,FALSE),0)</f>
        <v>381</v>
      </c>
      <c r="AO89">
        <f>IF(gamma!AO89,VLOOKUP(zeta!AO$1,main!$A$3:$H$102,5,FALSE)-VLOOKUP(zeta!$A89,main!$A$3:$H$102,6,FALSE),0)</f>
        <v>0</v>
      </c>
      <c r="AP89">
        <f>IF(gamma!AP89,VLOOKUP(zeta!AP$1,main!$A$3:$H$102,5,FALSE)-VLOOKUP(zeta!$A89,main!$A$3:$H$102,6,FALSE),0)</f>
        <v>441</v>
      </c>
      <c r="AQ89">
        <f>IF(gamma!AQ89,VLOOKUP(zeta!AQ$1,main!$A$3:$H$102,5,FALSE)-VLOOKUP(zeta!$A89,main!$A$3:$H$102,6,FALSE),0)</f>
        <v>0</v>
      </c>
      <c r="AR89">
        <f>IF(gamma!AR89,VLOOKUP(zeta!AR$1,main!$A$3:$H$102,5,FALSE)-VLOOKUP(zeta!$A89,main!$A$3:$H$102,6,FALSE),0)</f>
        <v>0</v>
      </c>
      <c r="AS89">
        <f>IF(gamma!AS89,VLOOKUP(zeta!AS$1,main!$A$3:$H$102,5,FALSE)-VLOOKUP(zeta!$A89,main!$A$3:$H$102,6,FALSE),0)</f>
        <v>41</v>
      </c>
      <c r="AT89">
        <f>IF(gamma!AT89,VLOOKUP(zeta!AT$1,main!$A$3:$H$102,5,FALSE)-VLOOKUP(zeta!$A89,main!$A$3:$H$102,6,FALSE),0)</f>
        <v>191</v>
      </c>
      <c r="AU89">
        <f>IF(gamma!AU89,VLOOKUP(zeta!AU$1,main!$A$3:$H$102,5,FALSE)-VLOOKUP(zeta!$A89,main!$A$3:$H$102,6,FALSE),0)</f>
        <v>0</v>
      </c>
      <c r="AV89">
        <f>IF(gamma!AV89,VLOOKUP(zeta!AV$1,main!$A$3:$H$102,5,FALSE)-VLOOKUP(zeta!$A89,main!$A$3:$H$102,6,FALSE),0)</f>
        <v>0</v>
      </c>
      <c r="AW89">
        <f>IF(gamma!AW89,VLOOKUP(zeta!AW$1,main!$A$3:$H$102,5,FALSE)-VLOOKUP(zeta!$A89,main!$A$3:$H$102,6,FALSE),0)</f>
        <v>141</v>
      </c>
      <c r="AX89">
        <f>IF(gamma!AX89,VLOOKUP(zeta!AX$1,main!$A$3:$H$102,5,FALSE)-VLOOKUP(zeta!$A89,main!$A$3:$H$102,6,FALSE),0)</f>
        <v>0</v>
      </c>
      <c r="AY89">
        <f>IF(gamma!AY89,VLOOKUP(zeta!AY$1,main!$A$3:$H$102,5,FALSE)-VLOOKUP(zeta!$A89,main!$A$3:$H$102,6,FALSE),0)</f>
        <v>0</v>
      </c>
      <c r="AZ89">
        <f>IF(gamma!AZ89,VLOOKUP(zeta!AZ$1,main!$A$3:$H$102,5,FALSE)-VLOOKUP(zeta!$A89,main!$A$3:$H$102,6,FALSE),0)</f>
        <v>0</v>
      </c>
      <c r="BA89">
        <f>IF(gamma!BA89,VLOOKUP(zeta!BA$1,main!$A$3:$H$102,5,FALSE)-VLOOKUP(zeta!$A89,main!$A$3:$H$102,6,FALSE),0)</f>
        <v>0</v>
      </c>
      <c r="BB89">
        <f>IF(gamma!BB89,VLOOKUP(zeta!BB$1,main!$A$3:$H$102,5,FALSE)-VLOOKUP(zeta!$A89,main!$A$3:$H$102,6,FALSE),0)</f>
        <v>0</v>
      </c>
      <c r="BC89">
        <f>IF(gamma!BC89,VLOOKUP(zeta!BC$1,main!$A$3:$H$102,5,FALSE)-VLOOKUP(zeta!$A89,main!$A$3:$H$102,6,FALSE),0)</f>
        <v>101</v>
      </c>
      <c r="BD89">
        <f>IF(gamma!BD89,VLOOKUP(zeta!BD$1,main!$A$3:$H$102,5,FALSE)-VLOOKUP(zeta!$A89,main!$A$3:$H$102,6,FALSE),0)</f>
        <v>161</v>
      </c>
      <c r="BE89">
        <f>IF(gamma!BE89,VLOOKUP(zeta!BE$1,main!$A$3:$H$102,5,FALSE)-VLOOKUP(zeta!$A89,main!$A$3:$H$102,6,FALSE),0)</f>
        <v>281</v>
      </c>
      <c r="BF89">
        <f>IF(gamma!BF89,VLOOKUP(zeta!BF$1,main!$A$3:$H$102,5,FALSE)-VLOOKUP(zeta!$A89,main!$A$3:$H$102,6,FALSE),0)</f>
        <v>0</v>
      </c>
      <c r="BG89">
        <f>IF(gamma!BG89,VLOOKUP(zeta!BG$1,main!$A$3:$H$102,5,FALSE)-VLOOKUP(zeta!$A89,main!$A$3:$H$102,6,FALSE),0)</f>
        <v>0</v>
      </c>
      <c r="BH89">
        <f>IF(gamma!BH89,VLOOKUP(zeta!BH$1,main!$A$3:$H$102,5,FALSE)-VLOOKUP(zeta!$A89,main!$A$3:$H$102,6,FALSE),0)</f>
        <v>66</v>
      </c>
      <c r="BI89">
        <f>IF(gamma!BI89,VLOOKUP(zeta!BI$1,main!$A$3:$H$102,5,FALSE)-VLOOKUP(zeta!$A89,main!$A$3:$H$102,6,FALSE),0)</f>
        <v>451</v>
      </c>
      <c r="BJ89">
        <f>IF(gamma!BJ89,VLOOKUP(zeta!BJ$1,main!$A$3:$H$102,5,FALSE)-VLOOKUP(zeta!$A89,main!$A$3:$H$102,6,FALSE),0)</f>
        <v>241</v>
      </c>
      <c r="BK89">
        <f>IF(gamma!BK89,VLOOKUP(zeta!BK$1,main!$A$3:$H$102,5,FALSE)-VLOOKUP(zeta!$A89,main!$A$3:$H$102,6,FALSE),0)</f>
        <v>0</v>
      </c>
      <c r="BL89">
        <f>IF(gamma!BL89,VLOOKUP(zeta!BL$1,main!$A$3:$H$102,5,FALSE)-VLOOKUP(zeta!$A89,main!$A$3:$H$102,6,FALSE),0)</f>
        <v>0</v>
      </c>
      <c r="BM89">
        <f>IF(gamma!BM89,VLOOKUP(zeta!BM$1,main!$A$3:$H$102,5,FALSE)-VLOOKUP(zeta!$A89,main!$A$3:$H$102,6,FALSE),0)</f>
        <v>0</v>
      </c>
      <c r="BN89">
        <f>IF(gamma!BN89,VLOOKUP(zeta!BN$1,main!$A$3:$H$102,5,FALSE)-VLOOKUP(zeta!$A89,main!$A$3:$H$102,6,FALSE),0)</f>
        <v>141</v>
      </c>
      <c r="BO89">
        <f>IF(gamma!BO89,VLOOKUP(zeta!BO$1,main!$A$3:$H$102,5,FALSE)-VLOOKUP(zeta!$A89,main!$A$3:$H$102,6,FALSE),0)</f>
        <v>0</v>
      </c>
      <c r="BP89">
        <f>IF(gamma!BP89,VLOOKUP(zeta!BP$1,main!$A$3:$H$102,5,FALSE)-VLOOKUP(zeta!$A89,main!$A$3:$H$102,6,FALSE),0)</f>
        <v>0</v>
      </c>
      <c r="BQ89">
        <f>IF(gamma!BQ89,VLOOKUP(zeta!BQ$1,main!$A$3:$H$102,5,FALSE)-VLOOKUP(zeta!$A89,main!$A$3:$H$102,6,FALSE),0)</f>
        <v>0</v>
      </c>
      <c r="BR89">
        <f>IF(gamma!BR89,VLOOKUP(zeta!BR$1,main!$A$3:$H$102,5,FALSE)-VLOOKUP(zeta!$A89,main!$A$3:$H$102,6,FALSE),0)</f>
        <v>0</v>
      </c>
      <c r="BS89">
        <f>IF(gamma!BS89,VLOOKUP(zeta!BS$1,main!$A$3:$H$102,5,FALSE)-VLOOKUP(zeta!$A89,main!$A$3:$H$102,6,FALSE),0)</f>
        <v>0</v>
      </c>
      <c r="BT89">
        <f>IF(gamma!BT89,VLOOKUP(zeta!BT$1,main!$A$3:$H$102,5,FALSE)-VLOOKUP(zeta!$A89,main!$A$3:$H$102,6,FALSE),0)</f>
        <v>0</v>
      </c>
      <c r="BU89">
        <f>IF(gamma!BU89,VLOOKUP(zeta!BU$1,main!$A$3:$H$102,5,FALSE)-VLOOKUP(zeta!$A89,main!$A$3:$H$102,6,FALSE),0)</f>
        <v>0</v>
      </c>
      <c r="BV89">
        <f>IF(gamma!BV89,VLOOKUP(zeta!BV$1,main!$A$3:$H$102,5,FALSE)-VLOOKUP(zeta!$A89,main!$A$3:$H$102,6,FALSE),0)</f>
        <v>0</v>
      </c>
      <c r="BW89">
        <f>IF(gamma!BW89,VLOOKUP(zeta!BW$1,main!$A$3:$H$102,5,FALSE)-VLOOKUP(zeta!$A89,main!$A$3:$H$102,6,FALSE),0)</f>
        <v>0</v>
      </c>
      <c r="BX89">
        <f>IF(gamma!BX89,VLOOKUP(zeta!BX$1,main!$A$3:$H$102,5,FALSE)-VLOOKUP(zeta!$A89,main!$A$3:$H$102,6,FALSE),0)</f>
        <v>0</v>
      </c>
      <c r="BY89">
        <f>IF(gamma!BY89,VLOOKUP(zeta!BY$1,main!$A$3:$H$102,5,FALSE)-VLOOKUP(zeta!$A89,main!$A$3:$H$102,6,FALSE),0)</f>
        <v>91</v>
      </c>
      <c r="BZ89">
        <f>IF(gamma!BZ89,VLOOKUP(zeta!BZ$1,main!$A$3:$H$102,5,FALSE)-VLOOKUP(zeta!$A89,main!$A$3:$H$102,6,FALSE),0)</f>
        <v>0</v>
      </c>
      <c r="CA89">
        <f>IF(gamma!CA89,VLOOKUP(zeta!CA$1,main!$A$3:$H$102,5,FALSE)-VLOOKUP(zeta!$A89,main!$A$3:$H$102,6,FALSE),0)</f>
        <v>0</v>
      </c>
      <c r="CB89">
        <f>IF(gamma!CB89,VLOOKUP(zeta!CB$1,main!$A$3:$H$102,5,FALSE)-VLOOKUP(zeta!$A89,main!$A$3:$H$102,6,FALSE),0)</f>
        <v>146</v>
      </c>
      <c r="CC89">
        <f>IF(gamma!CC89,VLOOKUP(zeta!CC$1,main!$A$3:$H$102,5,FALSE)-VLOOKUP(zeta!$A89,main!$A$3:$H$102,6,FALSE),0)</f>
        <v>356</v>
      </c>
      <c r="CD89">
        <f>IF(gamma!CD89,VLOOKUP(zeta!CD$1,main!$A$3:$H$102,5,FALSE)-VLOOKUP(zeta!$A89,main!$A$3:$H$102,6,FALSE),0)</f>
        <v>91</v>
      </c>
      <c r="CE89">
        <f>IF(gamma!CE89,VLOOKUP(zeta!CE$1,main!$A$3:$H$102,5,FALSE)-VLOOKUP(zeta!$A89,main!$A$3:$H$102,6,FALSE),0)</f>
        <v>0</v>
      </c>
      <c r="CF89">
        <f>IF(gamma!CF89,VLOOKUP(zeta!CF$1,main!$A$3:$H$102,5,FALSE)-VLOOKUP(zeta!$A89,main!$A$3:$H$102,6,FALSE),0)</f>
        <v>0</v>
      </c>
      <c r="CG89">
        <f>IF(gamma!CG89,VLOOKUP(zeta!CG$1,main!$A$3:$H$102,5,FALSE)-VLOOKUP(zeta!$A89,main!$A$3:$H$102,6,FALSE),0)</f>
        <v>0</v>
      </c>
      <c r="CH89">
        <f>IF(gamma!CH89,VLOOKUP(zeta!CH$1,main!$A$3:$H$102,5,FALSE)-VLOOKUP(zeta!$A89,main!$A$3:$H$102,6,FALSE),0)</f>
        <v>241</v>
      </c>
      <c r="CI89">
        <f>IF(gamma!CI89,VLOOKUP(zeta!CI$1,main!$A$3:$H$102,5,FALSE)-VLOOKUP(zeta!$A89,main!$A$3:$H$102,6,FALSE),0)</f>
        <v>441</v>
      </c>
      <c r="CJ89">
        <f>IF(gamma!CJ89,VLOOKUP(zeta!CJ$1,main!$A$3:$H$102,5,FALSE)-VLOOKUP(zeta!$A89,main!$A$3:$H$102,6,FALSE),0)</f>
        <v>0</v>
      </c>
      <c r="CK89">
        <f>IF(gamma!CK89,VLOOKUP(zeta!CK$1,main!$A$3:$H$102,5,FALSE)-VLOOKUP(zeta!$A89,main!$A$3:$H$102,6,FALSE),0)</f>
        <v>0</v>
      </c>
      <c r="CL89">
        <f>IF(gamma!CL89,VLOOKUP(zeta!CL$1,main!$A$3:$H$102,5,FALSE)-VLOOKUP(zeta!$A89,main!$A$3:$H$102,6,FALSE),0)</f>
        <v>0</v>
      </c>
      <c r="CM89">
        <f>IF(gamma!CM89,VLOOKUP(zeta!CM$1,main!$A$3:$H$102,5,FALSE)-VLOOKUP(zeta!$A89,main!$A$3:$H$102,6,FALSE),0)</f>
        <v>217</v>
      </c>
      <c r="CN89">
        <f>IF(gamma!CN89,VLOOKUP(zeta!CN$1,main!$A$3:$H$102,5,FALSE)-VLOOKUP(zeta!$A89,main!$A$3:$H$102,6,FALSE),0)</f>
        <v>441</v>
      </c>
      <c r="CO89">
        <f>IF(gamma!CO89,VLOOKUP(zeta!CO$1,main!$A$3:$H$102,5,FALSE)-VLOOKUP(zeta!$A89,main!$A$3:$H$102,6,FALSE),0)</f>
        <v>0</v>
      </c>
      <c r="CP89">
        <f>IF(gamma!CP89,VLOOKUP(zeta!CP$1,main!$A$3:$H$102,5,FALSE)-VLOOKUP(zeta!$A89,main!$A$3:$H$102,6,FALSE),0)</f>
        <v>0</v>
      </c>
      <c r="CQ89">
        <f>IF(gamma!CQ89,VLOOKUP(zeta!CQ$1,main!$A$3:$H$102,5,FALSE)-VLOOKUP(zeta!$A89,main!$A$3:$H$102,6,FALSE),0)</f>
        <v>0</v>
      </c>
      <c r="CR89">
        <f>IF(gamma!CR89,VLOOKUP(zeta!CR$1,main!$A$3:$H$102,5,FALSE)-VLOOKUP(zeta!$A89,main!$A$3:$H$102,6,FALSE),0)</f>
        <v>206</v>
      </c>
      <c r="CS89">
        <f>IF(gamma!CS89,VLOOKUP(zeta!CS$1,main!$A$3:$H$102,5,FALSE)-VLOOKUP(zeta!$A89,main!$A$3:$H$102,6,FALSE),0)</f>
        <v>216</v>
      </c>
      <c r="CT89">
        <f>IF(gamma!CT89,VLOOKUP(zeta!CT$1,main!$A$3:$H$102,5,FALSE)-VLOOKUP(zeta!$A89,main!$A$3:$H$102,6,FALSE),0)</f>
        <v>0</v>
      </c>
      <c r="CU89">
        <f>IF(gamma!CU89,VLOOKUP(zeta!CU$1,main!$A$3:$H$102,5,FALSE)-VLOOKUP(zeta!$A89,main!$A$3:$H$102,6,FALSE),0)</f>
        <v>0</v>
      </c>
      <c r="CV89">
        <f>IF(gamma!CV89,VLOOKUP(zeta!CV$1,main!$A$3:$H$102,5,FALSE)-VLOOKUP(zeta!$A89,main!$A$3:$H$102,6,FALSE),0)</f>
        <v>0</v>
      </c>
      <c r="CW89">
        <f>IF(gamma!CW89,VLOOKUP(zeta!CW$1,main!$A$3:$H$102,5,FALSE)-VLOOKUP(zeta!$A89,main!$A$3:$H$102,6,FALSE),0)</f>
        <v>206</v>
      </c>
      <c r="CX89">
        <f>IF(gamma!CX89,VLOOKUP(zeta!CX$1,main!$A$3:$H$102,5,FALSE)-VLOOKUP(zeta!$A89,main!$A$3:$H$102,6,FALSE),0)</f>
        <v>246</v>
      </c>
    </row>
    <row r="90" spans="1:102" x14ac:dyDescent="0.25">
      <c r="A90">
        <f t="shared" si="2"/>
        <v>88</v>
      </c>
      <c r="B90">
        <v>0</v>
      </c>
      <c r="C90">
        <f>IF(gamma!C90,VLOOKUP(zeta!C$1,main!$A$3:$H$102,5,FALSE)-VLOOKUP(zeta!$A90,main!$A$3:$H$102,6,FALSE),0)</f>
        <v>0</v>
      </c>
      <c r="D90">
        <f>IF(gamma!D90,VLOOKUP(zeta!D$1,main!$A$3:$H$102,5,FALSE)-VLOOKUP(zeta!$A90,main!$A$3:$H$102,6,FALSE),0)</f>
        <v>0</v>
      </c>
      <c r="E90">
        <f>IF(gamma!E90,VLOOKUP(zeta!E$1,main!$A$3:$H$102,5,FALSE)-VLOOKUP(zeta!$A90,main!$A$3:$H$102,6,FALSE),0)</f>
        <v>0</v>
      </c>
      <c r="F90">
        <f>IF(gamma!F90,VLOOKUP(zeta!F$1,main!$A$3:$H$102,5,FALSE)-VLOOKUP(zeta!$A90,main!$A$3:$H$102,6,FALSE),0)</f>
        <v>0</v>
      </c>
      <c r="G90">
        <f>IF(gamma!G90,VLOOKUP(zeta!G$1,main!$A$3:$H$102,5,FALSE)-VLOOKUP(zeta!$A90,main!$A$3:$H$102,6,FALSE),0)</f>
        <v>0</v>
      </c>
      <c r="H90">
        <f>IF(gamma!H90,VLOOKUP(zeta!H$1,main!$A$3:$H$102,5,FALSE)-VLOOKUP(zeta!$A90,main!$A$3:$H$102,6,FALSE),0)</f>
        <v>40</v>
      </c>
      <c r="I90">
        <f>IF(gamma!I90,VLOOKUP(zeta!I$1,main!$A$3:$H$102,5,FALSE)-VLOOKUP(zeta!$A90,main!$A$3:$H$102,6,FALSE),0)</f>
        <v>100</v>
      </c>
      <c r="J90">
        <f>IF(gamma!J90,VLOOKUP(zeta!J$1,main!$A$3:$H$102,5,FALSE)-VLOOKUP(zeta!$A90,main!$A$3:$H$102,6,FALSE),0)</f>
        <v>160</v>
      </c>
      <c r="K90">
        <f>IF(gamma!K90,VLOOKUP(zeta!K$1,main!$A$3:$H$102,5,FALSE)-VLOOKUP(zeta!$A90,main!$A$3:$H$102,6,FALSE),0)</f>
        <v>220</v>
      </c>
      <c r="L90">
        <f>IF(gamma!L90,VLOOKUP(zeta!L$1,main!$A$3:$H$102,5,FALSE)-VLOOKUP(zeta!$A90,main!$A$3:$H$102,6,FALSE),0)</f>
        <v>310</v>
      </c>
      <c r="M90">
        <f>IF(gamma!M90,VLOOKUP(zeta!M$1,main!$A$3:$H$102,5,FALSE)-VLOOKUP(zeta!$A90,main!$A$3:$H$102,6,FALSE),0)</f>
        <v>0</v>
      </c>
      <c r="N90">
        <f>IF(gamma!N90,VLOOKUP(zeta!N$1,main!$A$3:$H$102,5,FALSE)-VLOOKUP(zeta!$A90,main!$A$3:$H$102,6,FALSE),0)</f>
        <v>0</v>
      </c>
      <c r="O90">
        <f>IF(gamma!O90,VLOOKUP(zeta!O$1,main!$A$3:$H$102,5,FALSE)-VLOOKUP(zeta!$A90,main!$A$3:$H$102,6,FALSE),0)</f>
        <v>0</v>
      </c>
      <c r="P90">
        <f>IF(gamma!P90,VLOOKUP(zeta!P$1,main!$A$3:$H$102,5,FALSE)-VLOOKUP(zeta!$A90,main!$A$3:$H$102,6,FALSE),0)</f>
        <v>0</v>
      </c>
      <c r="Q90">
        <f>IF(gamma!Q90,VLOOKUP(zeta!Q$1,main!$A$3:$H$102,5,FALSE)-VLOOKUP(zeta!$A90,main!$A$3:$H$102,6,FALSE),0)</f>
        <v>0</v>
      </c>
      <c r="R90">
        <f>IF(gamma!R90,VLOOKUP(zeta!R$1,main!$A$3:$H$102,5,FALSE)-VLOOKUP(zeta!$A90,main!$A$3:$H$102,6,FALSE),0)</f>
        <v>0</v>
      </c>
      <c r="S90">
        <f>IF(gamma!S90,VLOOKUP(zeta!S$1,main!$A$3:$H$102,5,FALSE)-VLOOKUP(zeta!$A90,main!$A$3:$H$102,6,FALSE),0)</f>
        <v>40</v>
      </c>
      <c r="T90">
        <f>IF(gamma!T90,VLOOKUP(zeta!T$1,main!$A$3:$H$102,5,FALSE)-VLOOKUP(zeta!$A90,main!$A$3:$H$102,6,FALSE),0)</f>
        <v>120</v>
      </c>
      <c r="U90">
        <f>IF(gamma!U90,VLOOKUP(zeta!U$1,main!$A$3:$H$102,5,FALSE)-VLOOKUP(zeta!$A90,main!$A$3:$H$102,6,FALSE),0)</f>
        <v>275</v>
      </c>
      <c r="V90">
        <f>IF(gamma!V90,VLOOKUP(zeta!V$1,main!$A$3:$H$102,5,FALSE)-VLOOKUP(zeta!$A90,main!$A$3:$H$102,6,FALSE),0)</f>
        <v>335</v>
      </c>
      <c r="W90">
        <f>IF(gamma!W90,VLOOKUP(zeta!W$1,main!$A$3:$H$102,5,FALSE)-VLOOKUP(zeta!$A90,main!$A$3:$H$102,6,FALSE),0)</f>
        <v>0</v>
      </c>
      <c r="X90">
        <f>IF(gamma!X90,VLOOKUP(zeta!X$1,main!$A$3:$H$102,5,FALSE)-VLOOKUP(zeta!$A90,main!$A$3:$H$102,6,FALSE),0)</f>
        <v>0</v>
      </c>
      <c r="Y90">
        <f>IF(gamma!Y90,VLOOKUP(zeta!Y$1,main!$A$3:$H$102,5,FALSE)-VLOOKUP(zeta!$A90,main!$A$3:$H$102,6,FALSE),0)</f>
        <v>0</v>
      </c>
      <c r="Z90">
        <f>IF(gamma!Z90,VLOOKUP(zeta!Z$1,main!$A$3:$H$102,5,FALSE)-VLOOKUP(zeta!$A90,main!$A$3:$H$102,6,FALSE),0)</f>
        <v>90</v>
      </c>
      <c r="AA90">
        <f>IF(gamma!AA90,VLOOKUP(zeta!AA$1,main!$A$3:$H$102,5,FALSE)-VLOOKUP(zeta!$A90,main!$A$3:$H$102,6,FALSE),0)</f>
        <v>240</v>
      </c>
      <c r="AB90">
        <f>IF(gamma!AB90,VLOOKUP(zeta!AB$1,main!$A$3:$H$102,5,FALSE)-VLOOKUP(zeta!$A90,main!$A$3:$H$102,6,FALSE),0)</f>
        <v>0</v>
      </c>
      <c r="AC90">
        <f>IF(gamma!AC90,VLOOKUP(zeta!AC$1,main!$A$3:$H$102,5,FALSE)-VLOOKUP(zeta!$A90,main!$A$3:$H$102,6,FALSE),0)</f>
        <v>0</v>
      </c>
      <c r="AD90">
        <f>IF(gamma!AD90,VLOOKUP(zeta!AD$1,main!$A$3:$H$102,5,FALSE)-VLOOKUP(zeta!$A90,main!$A$3:$H$102,6,FALSE),0)</f>
        <v>0</v>
      </c>
      <c r="AE90">
        <f>IF(gamma!AE90,VLOOKUP(zeta!AE$1,main!$A$3:$H$102,5,FALSE)-VLOOKUP(zeta!$A90,main!$A$3:$H$102,6,FALSE),0)</f>
        <v>50</v>
      </c>
      <c r="AF90">
        <f>IF(gamma!AF90,VLOOKUP(zeta!AF$1,main!$A$3:$H$102,5,FALSE)-VLOOKUP(zeta!$A90,main!$A$3:$H$102,6,FALSE),0)</f>
        <v>220</v>
      </c>
      <c r="AG90">
        <f>IF(gamma!AG90,VLOOKUP(zeta!AG$1,main!$A$3:$H$102,5,FALSE)-VLOOKUP(zeta!$A90,main!$A$3:$H$102,6,FALSE),0)</f>
        <v>0</v>
      </c>
      <c r="AH90">
        <f>IF(gamma!AH90,VLOOKUP(zeta!AH$1,main!$A$3:$H$102,5,FALSE)-VLOOKUP(zeta!$A90,main!$A$3:$H$102,6,FALSE),0)</f>
        <v>0</v>
      </c>
      <c r="AI90">
        <f>IF(gamma!AI90,VLOOKUP(zeta!AI$1,main!$A$3:$H$102,5,FALSE)-VLOOKUP(zeta!$A90,main!$A$3:$H$102,6,FALSE),0)</f>
        <v>0</v>
      </c>
      <c r="AJ90">
        <f>IF(gamma!AJ90,VLOOKUP(zeta!AJ$1,main!$A$3:$H$102,5,FALSE)-VLOOKUP(zeta!$A90,main!$A$3:$H$102,6,FALSE),0)</f>
        <v>0</v>
      </c>
      <c r="AK90">
        <f>IF(gamma!AK90,VLOOKUP(zeta!AK$1,main!$A$3:$H$102,5,FALSE)-VLOOKUP(zeta!$A90,main!$A$3:$H$102,6,FALSE),0)</f>
        <v>0</v>
      </c>
      <c r="AL90">
        <f>IF(gamma!AL90,VLOOKUP(zeta!AL$1,main!$A$3:$H$102,5,FALSE)-VLOOKUP(zeta!$A90,main!$A$3:$H$102,6,FALSE),0)</f>
        <v>110</v>
      </c>
      <c r="AM90">
        <f>IF(gamma!AM90,VLOOKUP(zeta!AM$1,main!$A$3:$H$102,5,FALSE)-VLOOKUP(zeta!$A90,main!$A$3:$H$102,6,FALSE),0)</f>
        <v>200</v>
      </c>
      <c r="AN90">
        <f>IF(gamma!AN90,VLOOKUP(zeta!AN$1,main!$A$3:$H$102,5,FALSE)-VLOOKUP(zeta!$A90,main!$A$3:$H$102,6,FALSE),0)</f>
        <v>260</v>
      </c>
      <c r="AO90">
        <f>IF(gamma!AO90,VLOOKUP(zeta!AO$1,main!$A$3:$H$102,5,FALSE)-VLOOKUP(zeta!$A90,main!$A$3:$H$102,6,FALSE),0)</f>
        <v>0</v>
      </c>
      <c r="AP90">
        <f>IF(gamma!AP90,VLOOKUP(zeta!AP$1,main!$A$3:$H$102,5,FALSE)-VLOOKUP(zeta!$A90,main!$A$3:$H$102,6,FALSE),0)</f>
        <v>320</v>
      </c>
      <c r="AQ90">
        <f>IF(gamma!AQ90,VLOOKUP(zeta!AQ$1,main!$A$3:$H$102,5,FALSE)-VLOOKUP(zeta!$A90,main!$A$3:$H$102,6,FALSE),0)</f>
        <v>0</v>
      </c>
      <c r="AR90">
        <f>IF(gamma!AR90,VLOOKUP(zeta!AR$1,main!$A$3:$H$102,5,FALSE)-VLOOKUP(zeta!$A90,main!$A$3:$H$102,6,FALSE),0)</f>
        <v>0</v>
      </c>
      <c r="AS90">
        <f>IF(gamma!AS90,VLOOKUP(zeta!AS$1,main!$A$3:$H$102,5,FALSE)-VLOOKUP(zeta!$A90,main!$A$3:$H$102,6,FALSE),0)</f>
        <v>0</v>
      </c>
      <c r="AT90">
        <f>IF(gamma!AT90,VLOOKUP(zeta!AT$1,main!$A$3:$H$102,5,FALSE)-VLOOKUP(zeta!$A90,main!$A$3:$H$102,6,FALSE),0)</f>
        <v>70</v>
      </c>
      <c r="AU90">
        <f>IF(gamma!AU90,VLOOKUP(zeta!AU$1,main!$A$3:$H$102,5,FALSE)-VLOOKUP(zeta!$A90,main!$A$3:$H$102,6,FALSE),0)</f>
        <v>0</v>
      </c>
      <c r="AV90">
        <f>IF(gamma!AV90,VLOOKUP(zeta!AV$1,main!$A$3:$H$102,5,FALSE)-VLOOKUP(zeta!$A90,main!$A$3:$H$102,6,FALSE),0)</f>
        <v>0</v>
      </c>
      <c r="AW90">
        <f>IF(gamma!AW90,VLOOKUP(zeta!AW$1,main!$A$3:$H$102,5,FALSE)-VLOOKUP(zeta!$A90,main!$A$3:$H$102,6,FALSE),0)</f>
        <v>0</v>
      </c>
      <c r="AX90">
        <f>IF(gamma!AX90,VLOOKUP(zeta!AX$1,main!$A$3:$H$102,5,FALSE)-VLOOKUP(zeta!$A90,main!$A$3:$H$102,6,FALSE),0)</f>
        <v>0</v>
      </c>
      <c r="AY90">
        <f>IF(gamma!AY90,VLOOKUP(zeta!AY$1,main!$A$3:$H$102,5,FALSE)-VLOOKUP(zeta!$A90,main!$A$3:$H$102,6,FALSE),0)</f>
        <v>0</v>
      </c>
      <c r="AZ90">
        <f>IF(gamma!AZ90,VLOOKUP(zeta!AZ$1,main!$A$3:$H$102,5,FALSE)-VLOOKUP(zeta!$A90,main!$A$3:$H$102,6,FALSE),0)</f>
        <v>0</v>
      </c>
      <c r="BA90">
        <f>IF(gamma!BA90,VLOOKUP(zeta!BA$1,main!$A$3:$H$102,5,FALSE)-VLOOKUP(zeta!$A90,main!$A$3:$H$102,6,FALSE),0)</f>
        <v>0</v>
      </c>
      <c r="BB90">
        <f>IF(gamma!BB90,VLOOKUP(zeta!BB$1,main!$A$3:$H$102,5,FALSE)-VLOOKUP(zeta!$A90,main!$A$3:$H$102,6,FALSE),0)</f>
        <v>0</v>
      </c>
      <c r="BC90">
        <f>IF(gamma!BC90,VLOOKUP(zeta!BC$1,main!$A$3:$H$102,5,FALSE)-VLOOKUP(zeta!$A90,main!$A$3:$H$102,6,FALSE),0)</f>
        <v>0</v>
      </c>
      <c r="BD90">
        <f>IF(gamma!BD90,VLOOKUP(zeta!BD$1,main!$A$3:$H$102,5,FALSE)-VLOOKUP(zeta!$A90,main!$A$3:$H$102,6,FALSE),0)</f>
        <v>0</v>
      </c>
      <c r="BE90">
        <f>IF(gamma!BE90,VLOOKUP(zeta!BE$1,main!$A$3:$H$102,5,FALSE)-VLOOKUP(zeta!$A90,main!$A$3:$H$102,6,FALSE),0)</f>
        <v>160</v>
      </c>
      <c r="BF90">
        <f>IF(gamma!BF90,VLOOKUP(zeta!BF$1,main!$A$3:$H$102,5,FALSE)-VLOOKUP(zeta!$A90,main!$A$3:$H$102,6,FALSE),0)</f>
        <v>0</v>
      </c>
      <c r="BG90">
        <f>IF(gamma!BG90,VLOOKUP(zeta!BG$1,main!$A$3:$H$102,5,FALSE)-VLOOKUP(zeta!$A90,main!$A$3:$H$102,6,FALSE),0)</f>
        <v>0</v>
      </c>
      <c r="BH90">
        <f>IF(gamma!BH90,VLOOKUP(zeta!BH$1,main!$A$3:$H$102,5,FALSE)-VLOOKUP(zeta!$A90,main!$A$3:$H$102,6,FALSE),0)</f>
        <v>0</v>
      </c>
      <c r="BI90">
        <f>IF(gamma!BI90,VLOOKUP(zeta!BI$1,main!$A$3:$H$102,5,FALSE)-VLOOKUP(zeta!$A90,main!$A$3:$H$102,6,FALSE),0)</f>
        <v>330</v>
      </c>
      <c r="BJ90">
        <f>IF(gamma!BJ90,VLOOKUP(zeta!BJ$1,main!$A$3:$H$102,5,FALSE)-VLOOKUP(zeta!$A90,main!$A$3:$H$102,6,FALSE),0)</f>
        <v>120</v>
      </c>
      <c r="BK90">
        <f>IF(gamma!BK90,VLOOKUP(zeta!BK$1,main!$A$3:$H$102,5,FALSE)-VLOOKUP(zeta!$A90,main!$A$3:$H$102,6,FALSE),0)</f>
        <v>0</v>
      </c>
      <c r="BL90">
        <f>IF(gamma!BL90,VLOOKUP(zeta!BL$1,main!$A$3:$H$102,5,FALSE)-VLOOKUP(zeta!$A90,main!$A$3:$H$102,6,FALSE),0)</f>
        <v>0</v>
      </c>
      <c r="BM90">
        <f>IF(gamma!BM90,VLOOKUP(zeta!BM$1,main!$A$3:$H$102,5,FALSE)-VLOOKUP(zeta!$A90,main!$A$3:$H$102,6,FALSE),0)</f>
        <v>0</v>
      </c>
      <c r="BN90">
        <f>IF(gamma!BN90,VLOOKUP(zeta!BN$1,main!$A$3:$H$102,5,FALSE)-VLOOKUP(zeta!$A90,main!$A$3:$H$102,6,FALSE),0)</f>
        <v>0</v>
      </c>
      <c r="BO90">
        <f>IF(gamma!BO90,VLOOKUP(zeta!BO$1,main!$A$3:$H$102,5,FALSE)-VLOOKUP(zeta!$A90,main!$A$3:$H$102,6,FALSE),0)</f>
        <v>0</v>
      </c>
      <c r="BP90">
        <f>IF(gamma!BP90,VLOOKUP(zeta!BP$1,main!$A$3:$H$102,5,FALSE)-VLOOKUP(zeta!$A90,main!$A$3:$H$102,6,FALSE),0)</f>
        <v>0</v>
      </c>
      <c r="BQ90">
        <f>IF(gamma!BQ90,VLOOKUP(zeta!BQ$1,main!$A$3:$H$102,5,FALSE)-VLOOKUP(zeta!$A90,main!$A$3:$H$102,6,FALSE),0)</f>
        <v>0</v>
      </c>
      <c r="BR90">
        <f>IF(gamma!BR90,VLOOKUP(zeta!BR$1,main!$A$3:$H$102,5,FALSE)-VLOOKUP(zeta!$A90,main!$A$3:$H$102,6,FALSE),0)</f>
        <v>0</v>
      </c>
      <c r="BS90">
        <f>IF(gamma!BS90,VLOOKUP(zeta!BS$1,main!$A$3:$H$102,5,FALSE)-VLOOKUP(zeta!$A90,main!$A$3:$H$102,6,FALSE),0)</f>
        <v>0</v>
      </c>
      <c r="BT90">
        <f>IF(gamma!BT90,VLOOKUP(zeta!BT$1,main!$A$3:$H$102,5,FALSE)-VLOOKUP(zeta!$A90,main!$A$3:$H$102,6,FALSE),0)</f>
        <v>0</v>
      </c>
      <c r="BU90">
        <f>IF(gamma!BU90,VLOOKUP(zeta!BU$1,main!$A$3:$H$102,5,FALSE)-VLOOKUP(zeta!$A90,main!$A$3:$H$102,6,FALSE),0)</f>
        <v>0</v>
      </c>
      <c r="BV90">
        <f>IF(gamma!BV90,VLOOKUP(zeta!BV$1,main!$A$3:$H$102,5,FALSE)-VLOOKUP(zeta!$A90,main!$A$3:$H$102,6,FALSE),0)</f>
        <v>0</v>
      </c>
      <c r="BW90">
        <f>IF(gamma!BW90,VLOOKUP(zeta!BW$1,main!$A$3:$H$102,5,FALSE)-VLOOKUP(zeta!$A90,main!$A$3:$H$102,6,FALSE),0)</f>
        <v>0</v>
      </c>
      <c r="BX90">
        <f>IF(gamma!BX90,VLOOKUP(zeta!BX$1,main!$A$3:$H$102,5,FALSE)-VLOOKUP(zeta!$A90,main!$A$3:$H$102,6,FALSE),0)</f>
        <v>0</v>
      </c>
      <c r="BY90">
        <f>IF(gamma!BY90,VLOOKUP(zeta!BY$1,main!$A$3:$H$102,5,FALSE)-VLOOKUP(zeta!$A90,main!$A$3:$H$102,6,FALSE),0)</f>
        <v>0</v>
      </c>
      <c r="BZ90">
        <f>IF(gamma!BZ90,VLOOKUP(zeta!BZ$1,main!$A$3:$H$102,5,FALSE)-VLOOKUP(zeta!$A90,main!$A$3:$H$102,6,FALSE),0)</f>
        <v>0</v>
      </c>
      <c r="CA90">
        <f>IF(gamma!CA90,VLOOKUP(zeta!CA$1,main!$A$3:$H$102,5,FALSE)-VLOOKUP(zeta!$A90,main!$A$3:$H$102,6,FALSE),0)</f>
        <v>0</v>
      </c>
      <c r="CB90">
        <f>IF(gamma!CB90,VLOOKUP(zeta!CB$1,main!$A$3:$H$102,5,FALSE)-VLOOKUP(zeta!$A90,main!$A$3:$H$102,6,FALSE),0)</f>
        <v>0</v>
      </c>
      <c r="CC90">
        <f>IF(gamma!CC90,VLOOKUP(zeta!CC$1,main!$A$3:$H$102,5,FALSE)-VLOOKUP(zeta!$A90,main!$A$3:$H$102,6,FALSE),0)</f>
        <v>235</v>
      </c>
      <c r="CD90">
        <f>IF(gamma!CD90,VLOOKUP(zeta!CD$1,main!$A$3:$H$102,5,FALSE)-VLOOKUP(zeta!$A90,main!$A$3:$H$102,6,FALSE),0)</f>
        <v>0</v>
      </c>
      <c r="CE90">
        <f>IF(gamma!CE90,VLOOKUP(zeta!CE$1,main!$A$3:$H$102,5,FALSE)-VLOOKUP(zeta!$A90,main!$A$3:$H$102,6,FALSE),0)</f>
        <v>0</v>
      </c>
      <c r="CF90">
        <f>IF(gamma!CF90,VLOOKUP(zeta!CF$1,main!$A$3:$H$102,5,FALSE)-VLOOKUP(zeta!$A90,main!$A$3:$H$102,6,FALSE),0)</f>
        <v>0</v>
      </c>
      <c r="CG90">
        <f>IF(gamma!CG90,VLOOKUP(zeta!CG$1,main!$A$3:$H$102,5,FALSE)-VLOOKUP(zeta!$A90,main!$A$3:$H$102,6,FALSE),0)</f>
        <v>0</v>
      </c>
      <c r="CH90">
        <f>IF(gamma!CH90,VLOOKUP(zeta!CH$1,main!$A$3:$H$102,5,FALSE)-VLOOKUP(zeta!$A90,main!$A$3:$H$102,6,FALSE),0)</f>
        <v>120</v>
      </c>
      <c r="CI90">
        <f>IF(gamma!CI90,VLOOKUP(zeta!CI$1,main!$A$3:$H$102,5,FALSE)-VLOOKUP(zeta!$A90,main!$A$3:$H$102,6,FALSE),0)</f>
        <v>320</v>
      </c>
      <c r="CJ90">
        <f>IF(gamma!CJ90,VLOOKUP(zeta!CJ$1,main!$A$3:$H$102,5,FALSE)-VLOOKUP(zeta!$A90,main!$A$3:$H$102,6,FALSE),0)</f>
        <v>0</v>
      </c>
      <c r="CK90">
        <f>IF(gamma!CK90,VLOOKUP(zeta!CK$1,main!$A$3:$H$102,5,FALSE)-VLOOKUP(zeta!$A90,main!$A$3:$H$102,6,FALSE),0)</f>
        <v>0</v>
      </c>
      <c r="CL90">
        <f>IF(gamma!CL90,VLOOKUP(zeta!CL$1,main!$A$3:$H$102,5,FALSE)-VLOOKUP(zeta!$A90,main!$A$3:$H$102,6,FALSE),0)</f>
        <v>0</v>
      </c>
      <c r="CM90">
        <f>IF(gamma!CM90,VLOOKUP(zeta!CM$1,main!$A$3:$H$102,5,FALSE)-VLOOKUP(zeta!$A90,main!$A$3:$H$102,6,FALSE),0)</f>
        <v>96</v>
      </c>
      <c r="CN90">
        <f>IF(gamma!CN90,VLOOKUP(zeta!CN$1,main!$A$3:$H$102,5,FALSE)-VLOOKUP(zeta!$A90,main!$A$3:$H$102,6,FALSE),0)</f>
        <v>320</v>
      </c>
      <c r="CO90">
        <f>IF(gamma!CO90,VLOOKUP(zeta!CO$1,main!$A$3:$H$102,5,FALSE)-VLOOKUP(zeta!$A90,main!$A$3:$H$102,6,FALSE),0)</f>
        <v>0</v>
      </c>
      <c r="CP90">
        <f>IF(gamma!CP90,VLOOKUP(zeta!CP$1,main!$A$3:$H$102,5,FALSE)-VLOOKUP(zeta!$A90,main!$A$3:$H$102,6,FALSE),0)</f>
        <v>0</v>
      </c>
      <c r="CQ90">
        <f>IF(gamma!CQ90,VLOOKUP(zeta!CQ$1,main!$A$3:$H$102,5,FALSE)-VLOOKUP(zeta!$A90,main!$A$3:$H$102,6,FALSE),0)</f>
        <v>0</v>
      </c>
      <c r="CR90">
        <f>IF(gamma!CR90,VLOOKUP(zeta!CR$1,main!$A$3:$H$102,5,FALSE)-VLOOKUP(zeta!$A90,main!$A$3:$H$102,6,FALSE),0)</f>
        <v>85</v>
      </c>
      <c r="CS90">
        <f>IF(gamma!CS90,VLOOKUP(zeta!CS$1,main!$A$3:$H$102,5,FALSE)-VLOOKUP(zeta!$A90,main!$A$3:$H$102,6,FALSE),0)</f>
        <v>95</v>
      </c>
      <c r="CT90">
        <f>IF(gamma!CT90,VLOOKUP(zeta!CT$1,main!$A$3:$H$102,5,FALSE)-VLOOKUP(zeta!$A90,main!$A$3:$H$102,6,FALSE),0)</f>
        <v>0</v>
      </c>
      <c r="CU90">
        <f>IF(gamma!CU90,VLOOKUP(zeta!CU$1,main!$A$3:$H$102,5,FALSE)-VLOOKUP(zeta!$A90,main!$A$3:$H$102,6,FALSE),0)</f>
        <v>0</v>
      </c>
      <c r="CV90">
        <f>IF(gamma!CV90,VLOOKUP(zeta!CV$1,main!$A$3:$H$102,5,FALSE)-VLOOKUP(zeta!$A90,main!$A$3:$H$102,6,FALSE),0)</f>
        <v>0</v>
      </c>
      <c r="CW90">
        <f>IF(gamma!CW90,VLOOKUP(zeta!CW$1,main!$A$3:$H$102,5,FALSE)-VLOOKUP(zeta!$A90,main!$A$3:$H$102,6,FALSE),0)</f>
        <v>85</v>
      </c>
      <c r="CX90">
        <f>IF(gamma!CX90,VLOOKUP(zeta!CX$1,main!$A$3:$H$102,5,FALSE)-VLOOKUP(zeta!$A90,main!$A$3:$H$102,6,FALSE),0)</f>
        <v>125</v>
      </c>
    </row>
    <row r="91" spans="1:102" x14ac:dyDescent="0.25">
      <c r="A91">
        <f t="shared" si="2"/>
        <v>89</v>
      </c>
      <c r="B91">
        <v>0</v>
      </c>
      <c r="C91">
        <f>IF(gamma!C91,VLOOKUP(zeta!C$1,main!$A$3:$H$102,5,FALSE)-VLOOKUP(zeta!$A91,main!$A$3:$H$102,6,FALSE),0)</f>
        <v>0</v>
      </c>
      <c r="D91">
        <f>IF(gamma!D91,VLOOKUP(zeta!D$1,main!$A$3:$H$102,5,FALSE)-VLOOKUP(zeta!$A91,main!$A$3:$H$102,6,FALSE),0)</f>
        <v>0</v>
      </c>
      <c r="E91">
        <f>IF(gamma!E91,VLOOKUP(zeta!E$1,main!$A$3:$H$102,5,FALSE)-VLOOKUP(zeta!$A91,main!$A$3:$H$102,6,FALSE),0)</f>
        <v>0</v>
      </c>
      <c r="F91">
        <f>IF(gamma!F91,VLOOKUP(zeta!F$1,main!$A$3:$H$102,5,FALSE)-VLOOKUP(zeta!$A91,main!$A$3:$H$102,6,FALSE),0)</f>
        <v>0</v>
      </c>
      <c r="G91">
        <f>IF(gamma!G91,VLOOKUP(zeta!G$1,main!$A$3:$H$102,5,FALSE)-VLOOKUP(zeta!$A91,main!$A$3:$H$102,6,FALSE),0)</f>
        <v>0</v>
      </c>
      <c r="H91">
        <f>IF(gamma!H91,VLOOKUP(zeta!H$1,main!$A$3:$H$102,5,FALSE)-VLOOKUP(zeta!$A91,main!$A$3:$H$102,6,FALSE),0)</f>
        <v>0</v>
      </c>
      <c r="I91">
        <f>IF(gamma!I91,VLOOKUP(zeta!I$1,main!$A$3:$H$102,5,FALSE)-VLOOKUP(zeta!$A91,main!$A$3:$H$102,6,FALSE),0)</f>
        <v>0</v>
      </c>
      <c r="J91">
        <f>IF(gamma!J91,VLOOKUP(zeta!J$1,main!$A$3:$H$102,5,FALSE)-VLOOKUP(zeta!$A91,main!$A$3:$H$102,6,FALSE),0)</f>
        <v>0</v>
      </c>
      <c r="K91">
        <f>IF(gamma!K91,VLOOKUP(zeta!K$1,main!$A$3:$H$102,5,FALSE)-VLOOKUP(zeta!$A91,main!$A$3:$H$102,6,FALSE),0)</f>
        <v>24</v>
      </c>
      <c r="L91">
        <f>IF(gamma!L91,VLOOKUP(zeta!L$1,main!$A$3:$H$102,5,FALSE)-VLOOKUP(zeta!$A91,main!$A$3:$H$102,6,FALSE),0)</f>
        <v>114</v>
      </c>
      <c r="M91">
        <f>IF(gamma!M91,VLOOKUP(zeta!M$1,main!$A$3:$H$102,5,FALSE)-VLOOKUP(zeta!$A91,main!$A$3:$H$102,6,FALSE),0)</f>
        <v>0</v>
      </c>
      <c r="N91">
        <f>IF(gamma!N91,VLOOKUP(zeta!N$1,main!$A$3:$H$102,5,FALSE)-VLOOKUP(zeta!$A91,main!$A$3:$H$102,6,FALSE),0)</f>
        <v>0</v>
      </c>
      <c r="O91">
        <f>IF(gamma!O91,VLOOKUP(zeta!O$1,main!$A$3:$H$102,5,FALSE)-VLOOKUP(zeta!$A91,main!$A$3:$H$102,6,FALSE),0)</f>
        <v>0</v>
      </c>
      <c r="P91">
        <f>IF(gamma!P91,VLOOKUP(zeta!P$1,main!$A$3:$H$102,5,FALSE)-VLOOKUP(zeta!$A91,main!$A$3:$H$102,6,FALSE),0)</f>
        <v>0</v>
      </c>
      <c r="Q91">
        <f>IF(gamma!Q91,VLOOKUP(zeta!Q$1,main!$A$3:$H$102,5,FALSE)-VLOOKUP(zeta!$A91,main!$A$3:$H$102,6,FALSE),0)</f>
        <v>0</v>
      </c>
      <c r="R91">
        <f>IF(gamma!R91,VLOOKUP(zeta!R$1,main!$A$3:$H$102,5,FALSE)-VLOOKUP(zeta!$A91,main!$A$3:$H$102,6,FALSE),0)</f>
        <v>0</v>
      </c>
      <c r="S91">
        <f>IF(gamma!S91,VLOOKUP(zeta!S$1,main!$A$3:$H$102,5,FALSE)-VLOOKUP(zeta!$A91,main!$A$3:$H$102,6,FALSE),0)</f>
        <v>0</v>
      </c>
      <c r="T91">
        <f>IF(gamma!T91,VLOOKUP(zeta!T$1,main!$A$3:$H$102,5,FALSE)-VLOOKUP(zeta!$A91,main!$A$3:$H$102,6,FALSE),0)</f>
        <v>0</v>
      </c>
      <c r="U91">
        <f>IF(gamma!U91,VLOOKUP(zeta!U$1,main!$A$3:$H$102,5,FALSE)-VLOOKUP(zeta!$A91,main!$A$3:$H$102,6,FALSE),0)</f>
        <v>79</v>
      </c>
      <c r="V91">
        <f>IF(gamma!V91,VLOOKUP(zeta!V$1,main!$A$3:$H$102,5,FALSE)-VLOOKUP(zeta!$A91,main!$A$3:$H$102,6,FALSE),0)</f>
        <v>139</v>
      </c>
      <c r="W91">
        <f>IF(gamma!W91,VLOOKUP(zeta!W$1,main!$A$3:$H$102,5,FALSE)-VLOOKUP(zeta!$A91,main!$A$3:$H$102,6,FALSE),0)</f>
        <v>0</v>
      </c>
      <c r="X91">
        <f>IF(gamma!X91,VLOOKUP(zeta!X$1,main!$A$3:$H$102,5,FALSE)-VLOOKUP(zeta!$A91,main!$A$3:$H$102,6,FALSE),0)</f>
        <v>0</v>
      </c>
      <c r="Y91">
        <f>IF(gamma!Y91,VLOOKUP(zeta!Y$1,main!$A$3:$H$102,5,FALSE)-VLOOKUP(zeta!$A91,main!$A$3:$H$102,6,FALSE),0)</f>
        <v>0</v>
      </c>
      <c r="Z91">
        <f>IF(gamma!Z91,VLOOKUP(zeta!Z$1,main!$A$3:$H$102,5,FALSE)-VLOOKUP(zeta!$A91,main!$A$3:$H$102,6,FALSE),0)</f>
        <v>0</v>
      </c>
      <c r="AA91">
        <f>IF(gamma!AA91,VLOOKUP(zeta!AA$1,main!$A$3:$H$102,5,FALSE)-VLOOKUP(zeta!$A91,main!$A$3:$H$102,6,FALSE),0)</f>
        <v>44</v>
      </c>
      <c r="AB91">
        <f>IF(gamma!AB91,VLOOKUP(zeta!AB$1,main!$A$3:$H$102,5,FALSE)-VLOOKUP(zeta!$A91,main!$A$3:$H$102,6,FALSE),0)</f>
        <v>0</v>
      </c>
      <c r="AC91">
        <f>IF(gamma!AC91,VLOOKUP(zeta!AC$1,main!$A$3:$H$102,5,FALSE)-VLOOKUP(zeta!$A91,main!$A$3:$H$102,6,FALSE),0)</f>
        <v>0</v>
      </c>
      <c r="AD91">
        <f>IF(gamma!AD91,VLOOKUP(zeta!AD$1,main!$A$3:$H$102,5,FALSE)-VLOOKUP(zeta!$A91,main!$A$3:$H$102,6,FALSE),0)</f>
        <v>0</v>
      </c>
      <c r="AE91">
        <f>IF(gamma!AE91,VLOOKUP(zeta!AE$1,main!$A$3:$H$102,5,FALSE)-VLOOKUP(zeta!$A91,main!$A$3:$H$102,6,FALSE),0)</f>
        <v>0</v>
      </c>
      <c r="AF91">
        <f>IF(gamma!AF91,VLOOKUP(zeta!AF$1,main!$A$3:$H$102,5,FALSE)-VLOOKUP(zeta!$A91,main!$A$3:$H$102,6,FALSE),0)</f>
        <v>24</v>
      </c>
      <c r="AG91">
        <f>IF(gamma!AG91,VLOOKUP(zeta!AG$1,main!$A$3:$H$102,5,FALSE)-VLOOKUP(zeta!$A91,main!$A$3:$H$102,6,FALSE),0)</f>
        <v>0</v>
      </c>
      <c r="AH91">
        <f>IF(gamma!AH91,VLOOKUP(zeta!AH$1,main!$A$3:$H$102,5,FALSE)-VLOOKUP(zeta!$A91,main!$A$3:$H$102,6,FALSE),0)</f>
        <v>0</v>
      </c>
      <c r="AI91">
        <f>IF(gamma!AI91,VLOOKUP(zeta!AI$1,main!$A$3:$H$102,5,FALSE)-VLOOKUP(zeta!$A91,main!$A$3:$H$102,6,FALSE),0)</f>
        <v>0</v>
      </c>
      <c r="AJ91">
        <f>IF(gamma!AJ91,VLOOKUP(zeta!AJ$1,main!$A$3:$H$102,5,FALSE)-VLOOKUP(zeta!$A91,main!$A$3:$H$102,6,FALSE),0)</f>
        <v>0</v>
      </c>
      <c r="AK91">
        <f>IF(gamma!AK91,VLOOKUP(zeta!AK$1,main!$A$3:$H$102,5,FALSE)-VLOOKUP(zeta!$A91,main!$A$3:$H$102,6,FALSE),0)</f>
        <v>0</v>
      </c>
      <c r="AL91">
        <f>IF(gamma!AL91,VLOOKUP(zeta!AL$1,main!$A$3:$H$102,5,FALSE)-VLOOKUP(zeta!$A91,main!$A$3:$H$102,6,FALSE),0)</f>
        <v>0</v>
      </c>
      <c r="AM91">
        <f>IF(gamma!AM91,VLOOKUP(zeta!AM$1,main!$A$3:$H$102,5,FALSE)-VLOOKUP(zeta!$A91,main!$A$3:$H$102,6,FALSE),0)</f>
        <v>0</v>
      </c>
      <c r="AN91">
        <f>IF(gamma!AN91,VLOOKUP(zeta!AN$1,main!$A$3:$H$102,5,FALSE)-VLOOKUP(zeta!$A91,main!$A$3:$H$102,6,FALSE),0)</f>
        <v>64</v>
      </c>
      <c r="AO91">
        <f>IF(gamma!AO91,VLOOKUP(zeta!AO$1,main!$A$3:$H$102,5,FALSE)-VLOOKUP(zeta!$A91,main!$A$3:$H$102,6,FALSE),0)</f>
        <v>0</v>
      </c>
      <c r="AP91">
        <f>IF(gamma!AP91,VLOOKUP(zeta!AP$1,main!$A$3:$H$102,5,FALSE)-VLOOKUP(zeta!$A91,main!$A$3:$H$102,6,FALSE),0)</f>
        <v>124</v>
      </c>
      <c r="AQ91">
        <f>IF(gamma!AQ91,VLOOKUP(zeta!AQ$1,main!$A$3:$H$102,5,FALSE)-VLOOKUP(zeta!$A91,main!$A$3:$H$102,6,FALSE),0)</f>
        <v>0</v>
      </c>
      <c r="AR91">
        <f>IF(gamma!AR91,VLOOKUP(zeta!AR$1,main!$A$3:$H$102,5,FALSE)-VLOOKUP(zeta!$A91,main!$A$3:$H$102,6,FALSE),0)</f>
        <v>0</v>
      </c>
      <c r="AS91">
        <f>IF(gamma!AS91,VLOOKUP(zeta!AS$1,main!$A$3:$H$102,5,FALSE)-VLOOKUP(zeta!$A91,main!$A$3:$H$102,6,FALSE),0)</f>
        <v>0</v>
      </c>
      <c r="AT91">
        <f>IF(gamma!AT91,VLOOKUP(zeta!AT$1,main!$A$3:$H$102,5,FALSE)-VLOOKUP(zeta!$A91,main!$A$3:$H$102,6,FALSE),0)</f>
        <v>0</v>
      </c>
      <c r="AU91">
        <f>IF(gamma!AU91,VLOOKUP(zeta!AU$1,main!$A$3:$H$102,5,FALSE)-VLOOKUP(zeta!$A91,main!$A$3:$H$102,6,FALSE),0)</f>
        <v>0</v>
      </c>
      <c r="AV91">
        <f>IF(gamma!AV91,VLOOKUP(zeta!AV$1,main!$A$3:$H$102,5,FALSE)-VLOOKUP(zeta!$A91,main!$A$3:$H$102,6,FALSE),0)</f>
        <v>0</v>
      </c>
      <c r="AW91">
        <f>IF(gamma!AW91,VLOOKUP(zeta!AW$1,main!$A$3:$H$102,5,FALSE)-VLOOKUP(zeta!$A91,main!$A$3:$H$102,6,FALSE),0)</f>
        <v>0</v>
      </c>
      <c r="AX91">
        <f>IF(gamma!AX91,VLOOKUP(zeta!AX$1,main!$A$3:$H$102,5,FALSE)-VLOOKUP(zeta!$A91,main!$A$3:$H$102,6,FALSE),0)</f>
        <v>0</v>
      </c>
      <c r="AY91">
        <f>IF(gamma!AY91,VLOOKUP(zeta!AY$1,main!$A$3:$H$102,5,FALSE)-VLOOKUP(zeta!$A91,main!$A$3:$H$102,6,FALSE),0)</f>
        <v>0</v>
      </c>
      <c r="AZ91">
        <f>IF(gamma!AZ91,VLOOKUP(zeta!AZ$1,main!$A$3:$H$102,5,FALSE)-VLOOKUP(zeta!$A91,main!$A$3:$H$102,6,FALSE),0)</f>
        <v>0</v>
      </c>
      <c r="BA91">
        <f>IF(gamma!BA91,VLOOKUP(zeta!BA$1,main!$A$3:$H$102,5,FALSE)-VLOOKUP(zeta!$A91,main!$A$3:$H$102,6,FALSE),0)</f>
        <v>0</v>
      </c>
      <c r="BB91">
        <f>IF(gamma!BB91,VLOOKUP(zeta!BB$1,main!$A$3:$H$102,5,FALSE)-VLOOKUP(zeta!$A91,main!$A$3:$H$102,6,FALSE),0)</f>
        <v>0</v>
      </c>
      <c r="BC91">
        <f>IF(gamma!BC91,VLOOKUP(zeta!BC$1,main!$A$3:$H$102,5,FALSE)-VLOOKUP(zeta!$A91,main!$A$3:$H$102,6,FALSE),0)</f>
        <v>0</v>
      </c>
      <c r="BD91">
        <f>IF(gamma!BD91,VLOOKUP(zeta!BD$1,main!$A$3:$H$102,5,FALSE)-VLOOKUP(zeta!$A91,main!$A$3:$H$102,6,FALSE),0)</f>
        <v>0</v>
      </c>
      <c r="BE91">
        <f>IF(gamma!BE91,VLOOKUP(zeta!BE$1,main!$A$3:$H$102,5,FALSE)-VLOOKUP(zeta!$A91,main!$A$3:$H$102,6,FALSE),0)</f>
        <v>0</v>
      </c>
      <c r="BF91">
        <f>IF(gamma!BF91,VLOOKUP(zeta!BF$1,main!$A$3:$H$102,5,FALSE)-VLOOKUP(zeta!$A91,main!$A$3:$H$102,6,FALSE),0)</f>
        <v>0</v>
      </c>
      <c r="BG91">
        <f>IF(gamma!BG91,VLOOKUP(zeta!BG$1,main!$A$3:$H$102,5,FALSE)-VLOOKUP(zeta!$A91,main!$A$3:$H$102,6,FALSE),0)</f>
        <v>0</v>
      </c>
      <c r="BH91">
        <f>IF(gamma!BH91,VLOOKUP(zeta!BH$1,main!$A$3:$H$102,5,FALSE)-VLOOKUP(zeta!$A91,main!$A$3:$H$102,6,FALSE),0)</f>
        <v>0</v>
      </c>
      <c r="BI91">
        <f>IF(gamma!BI91,VLOOKUP(zeta!BI$1,main!$A$3:$H$102,5,FALSE)-VLOOKUP(zeta!$A91,main!$A$3:$H$102,6,FALSE),0)</f>
        <v>134</v>
      </c>
      <c r="BJ91">
        <f>IF(gamma!BJ91,VLOOKUP(zeta!BJ$1,main!$A$3:$H$102,5,FALSE)-VLOOKUP(zeta!$A91,main!$A$3:$H$102,6,FALSE),0)</f>
        <v>0</v>
      </c>
      <c r="BK91">
        <f>IF(gamma!BK91,VLOOKUP(zeta!BK$1,main!$A$3:$H$102,5,FALSE)-VLOOKUP(zeta!$A91,main!$A$3:$H$102,6,FALSE),0)</f>
        <v>0</v>
      </c>
      <c r="BL91">
        <f>IF(gamma!BL91,VLOOKUP(zeta!BL$1,main!$A$3:$H$102,5,FALSE)-VLOOKUP(zeta!$A91,main!$A$3:$H$102,6,FALSE),0)</f>
        <v>0</v>
      </c>
      <c r="BM91">
        <f>IF(gamma!BM91,VLOOKUP(zeta!BM$1,main!$A$3:$H$102,5,FALSE)-VLOOKUP(zeta!$A91,main!$A$3:$H$102,6,FALSE),0)</f>
        <v>0</v>
      </c>
      <c r="BN91">
        <f>IF(gamma!BN91,VLOOKUP(zeta!BN$1,main!$A$3:$H$102,5,FALSE)-VLOOKUP(zeta!$A91,main!$A$3:$H$102,6,FALSE),0)</f>
        <v>0</v>
      </c>
      <c r="BO91">
        <f>IF(gamma!BO91,VLOOKUP(zeta!BO$1,main!$A$3:$H$102,5,FALSE)-VLOOKUP(zeta!$A91,main!$A$3:$H$102,6,FALSE),0)</f>
        <v>0</v>
      </c>
      <c r="BP91">
        <f>IF(gamma!BP91,VLOOKUP(zeta!BP$1,main!$A$3:$H$102,5,FALSE)-VLOOKUP(zeta!$A91,main!$A$3:$H$102,6,FALSE),0)</f>
        <v>0</v>
      </c>
      <c r="BQ91">
        <f>IF(gamma!BQ91,VLOOKUP(zeta!BQ$1,main!$A$3:$H$102,5,FALSE)-VLOOKUP(zeta!$A91,main!$A$3:$H$102,6,FALSE),0)</f>
        <v>0</v>
      </c>
      <c r="BR91">
        <f>IF(gamma!BR91,VLOOKUP(zeta!BR$1,main!$A$3:$H$102,5,FALSE)-VLOOKUP(zeta!$A91,main!$A$3:$H$102,6,FALSE),0)</f>
        <v>0</v>
      </c>
      <c r="BS91">
        <f>IF(gamma!BS91,VLOOKUP(zeta!BS$1,main!$A$3:$H$102,5,FALSE)-VLOOKUP(zeta!$A91,main!$A$3:$H$102,6,FALSE),0)</f>
        <v>0</v>
      </c>
      <c r="BT91">
        <f>IF(gamma!BT91,VLOOKUP(zeta!BT$1,main!$A$3:$H$102,5,FALSE)-VLOOKUP(zeta!$A91,main!$A$3:$H$102,6,FALSE),0)</f>
        <v>0</v>
      </c>
      <c r="BU91">
        <f>IF(gamma!BU91,VLOOKUP(zeta!BU$1,main!$A$3:$H$102,5,FALSE)-VLOOKUP(zeta!$A91,main!$A$3:$H$102,6,FALSE),0)</f>
        <v>0</v>
      </c>
      <c r="BV91">
        <f>IF(gamma!BV91,VLOOKUP(zeta!BV$1,main!$A$3:$H$102,5,FALSE)-VLOOKUP(zeta!$A91,main!$A$3:$H$102,6,FALSE),0)</f>
        <v>0</v>
      </c>
      <c r="BW91">
        <f>IF(gamma!BW91,VLOOKUP(zeta!BW$1,main!$A$3:$H$102,5,FALSE)-VLOOKUP(zeta!$A91,main!$A$3:$H$102,6,FALSE),0)</f>
        <v>0</v>
      </c>
      <c r="BX91">
        <f>IF(gamma!BX91,VLOOKUP(zeta!BX$1,main!$A$3:$H$102,5,FALSE)-VLOOKUP(zeta!$A91,main!$A$3:$H$102,6,FALSE),0)</f>
        <v>0</v>
      </c>
      <c r="BY91">
        <f>IF(gamma!BY91,VLOOKUP(zeta!BY$1,main!$A$3:$H$102,5,FALSE)-VLOOKUP(zeta!$A91,main!$A$3:$H$102,6,FALSE),0)</f>
        <v>0</v>
      </c>
      <c r="BZ91">
        <f>IF(gamma!BZ91,VLOOKUP(zeta!BZ$1,main!$A$3:$H$102,5,FALSE)-VLOOKUP(zeta!$A91,main!$A$3:$H$102,6,FALSE),0)</f>
        <v>0</v>
      </c>
      <c r="CA91">
        <f>IF(gamma!CA91,VLOOKUP(zeta!CA$1,main!$A$3:$H$102,5,FALSE)-VLOOKUP(zeta!$A91,main!$A$3:$H$102,6,FALSE),0)</f>
        <v>0</v>
      </c>
      <c r="CB91">
        <f>IF(gamma!CB91,VLOOKUP(zeta!CB$1,main!$A$3:$H$102,5,FALSE)-VLOOKUP(zeta!$A91,main!$A$3:$H$102,6,FALSE),0)</f>
        <v>0</v>
      </c>
      <c r="CC91">
        <f>IF(gamma!CC91,VLOOKUP(zeta!CC$1,main!$A$3:$H$102,5,FALSE)-VLOOKUP(zeta!$A91,main!$A$3:$H$102,6,FALSE),0)</f>
        <v>0</v>
      </c>
      <c r="CD91">
        <f>IF(gamma!CD91,VLOOKUP(zeta!CD$1,main!$A$3:$H$102,5,FALSE)-VLOOKUP(zeta!$A91,main!$A$3:$H$102,6,FALSE),0)</f>
        <v>0</v>
      </c>
      <c r="CE91">
        <f>IF(gamma!CE91,VLOOKUP(zeta!CE$1,main!$A$3:$H$102,5,FALSE)-VLOOKUP(zeta!$A91,main!$A$3:$H$102,6,FALSE),0)</f>
        <v>0</v>
      </c>
      <c r="CF91">
        <f>IF(gamma!CF91,VLOOKUP(zeta!CF$1,main!$A$3:$H$102,5,FALSE)-VLOOKUP(zeta!$A91,main!$A$3:$H$102,6,FALSE),0)</f>
        <v>0</v>
      </c>
      <c r="CG91">
        <f>IF(gamma!CG91,VLOOKUP(zeta!CG$1,main!$A$3:$H$102,5,FALSE)-VLOOKUP(zeta!$A91,main!$A$3:$H$102,6,FALSE),0)</f>
        <v>0</v>
      </c>
      <c r="CH91">
        <f>IF(gamma!CH91,VLOOKUP(zeta!CH$1,main!$A$3:$H$102,5,FALSE)-VLOOKUP(zeta!$A91,main!$A$3:$H$102,6,FALSE),0)</f>
        <v>0</v>
      </c>
      <c r="CI91">
        <f>IF(gamma!CI91,VLOOKUP(zeta!CI$1,main!$A$3:$H$102,5,FALSE)-VLOOKUP(zeta!$A91,main!$A$3:$H$102,6,FALSE),0)</f>
        <v>124</v>
      </c>
      <c r="CJ91">
        <f>IF(gamma!CJ91,VLOOKUP(zeta!CJ$1,main!$A$3:$H$102,5,FALSE)-VLOOKUP(zeta!$A91,main!$A$3:$H$102,6,FALSE),0)</f>
        <v>0</v>
      </c>
      <c r="CK91">
        <f>IF(gamma!CK91,VLOOKUP(zeta!CK$1,main!$A$3:$H$102,5,FALSE)-VLOOKUP(zeta!$A91,main!$A$3:$H$102,6,FALSE),0)</f>
        <v>0</v>
      </c>
      <c r="CL91">
        <f>IF(gamma!CL91,VLOOKUP(zeta!CL$1,main!$A$3:$H$102,5,FALSE)-VLOOKUP(zeta!$A91,main!$A$3:$H$102,6,FALSE),0)</f>
        <v>0</v>
      </c>
      <c r="CM91">
        <f>IF(gamma!CM91,VLOOKUP(zeta!CM$1,main!$A$3:$H$102,5,FALSE)-VLOOKUP(zeta!$A91,main!$A$3:$H$102,6,FALSE),0)</f>
        <v>0</v>
      </c>
      <c r="CN91">
        <f>IF(gamma!CN91,VLOOKUP(zeta!CN$1,main!$A$3:$H$102,5,FALSE)-VLOOKUP(zeta!$A91,main!$A$3:$H$102,6,FALSE),0)</f>
        <v>124</v>
      </c>
      <c r="CO91">
        <f>IF(gamma!CO91,VLOOKUP(zeta!CO$1,main!$A$3:$H$102,5,FALSE)-VLOOKUP(zeta!$A91,main!$A$3:$H$102,6,FALSE),0)</f>
        <v>0</v>
      </c>
      <c r="CP91">
        <f>IF(gamma!CP91,VLOOKUP(zeta!CP$1,main!$A$3:$H$102,5,FALSE)-VLOOKUP(zeta!$A91,main!$A$3:$H$102,6,FALSE),0)</f>
        <v>0</v>
      </c>
      <c r="CQ91">
        <f>IF(gamma!CQ91,VLOOKUP(zeta!CQ$1,main!$A$3:$H$102,5,FALSE)-VLOOKUP(zeta!$A91,main!$A$3:$H$102,6,FALSE),0)</f>
        <v>0</v>
      </c>
      <c r="CR91">
        <f>IF(gamma!CR91,VLOOKUP(zeta!CR$1,main!$A$3:$H$102,5,FALSE)-VLOOKUP(zeta!$A91,main!$A$3:$H$102,6,FALSE),0)</f>
        <v>0</v>
      </c>
      <c r="CS91">
        <f>IF(gamma!CS91,VLOOKUP(zeta!CS$1,main!$A$3:$H$102,5,FALSE)-VLOOKUP(zeta!$A91,main!$A$3:$H$102,6,FALSE),0)</f>
        <v>0</v>
      </c>
      <c r="CT91">
        <f>IF(gamma!CT91,VLOOKUP(zeta!CT$1,main!$A$3:$H$102,5,FALSE)-VLOOKUP(zeta!$A91,main!$A$3:$H$102,6,FALSE),0)</f>
        <v>0</v>
      </c>
      <c r="CU91">
        <f>IF(gamma!CU91,VLOOKUP(zeta!CU$1,main!$A$3:$H$102,5,FALSE)-VLOOKUP(zeta!$A91,main!$A$3:$H$102,6,FALSE),0)</f>
        <v>0</v>
      </c>
      <c r="CV91">
        <f>IF(gamma!CV91,VLOOKUP(zeta!CV$1,main!$A$3:$H$102,5,FALSE)-VLOOKUP(zeta!$A91,main!$A$3:$H$102,6,FALSE),0)</f>
        <v>0</v>
      </c>
      <c r="CW91">
        <f>IF(gamma!CW91,VLOOKUP(zeta!CW$1,main!$A$3:$H$102,5,FALSE)-VLOOKUP(zeta!$A91,main!$A$3:$H$102,6,FALSE),0)</f>
        <v>0</v>
      </c>
      <c r="CX91">
        <f>IF(gamma!CX91,VLOOKUP(zeta!CX$1,main!$A$3:$H$102,5,FALSE)-VLOOKUP(zeta!$A91,main!$A$3:$H$102,6,FALSE),0)</f>
        <v>0</v>
      </c>
    </row>
    <row r="92" spans="1:102" x14ac:dyDescent="0.25">
      <c r="A92">
        <f t="shared" si="2"/>
        <v>90</v>
      </c>
      <c r="B92">
        <v>0</v>
      </c>
      <c r="C92">
        <f>IF(gamma!C92,VLOOKUP(zeta!C$1,main!$A$3:$H$102,5,FALSE)-VLOOKUP(zeta!$A92,main!$A$3:$H$102,6,FALSE),0)</f>
        <v>0</v>
      </c>
      <c r="D92">
        <f>IF(gamma!D92,VLOOKUP(zeta!D$1,main!$A$3:$H$102,5,FALSE)-VLOOKUP(zeta!$A92,main!$A$3:$H$102,6,FALSE),0)</f>
        <v>0</v>
      </c>
      <c r="E92">
        <f>IF(gamma!E92,VLOOKUP(zeta!E$1,main!$A$3:$H$102,5,FALSE)-VLOOKUP(zeta!$A92,main!$A$3:$H$102,6,FALSE),0)</f>
        <v>0</v>
      </c>
      <c r="F92">
        <f>IF(gamma!F92,VLOOKUP(zeta!F$1,main!$A$3:$H$102,5,FALSE)-VLOOKUP(zeta!$A92,main!$A$3:$H$102,6,FALSE),0)</f>
        <v>0</v>
      </c>
      <c r="G92">
        <f>IF(gamma!G92,VLOOKUP(zeta!G$1,main!$A$3:$H$102,5,FALSE)-VLOOKUP(zeta!$A92,main!$A$3:$H$102,6,FALSE),0)</f>
        <v>0</v>
      </c>
      <c r="H92">
        <f>IF(gamma!H92,VLOOKUP(zeta!H$1,main!$A$3:$H$102,5,FALSE)-VLOOKUP(zeta!$A92,main!$A$3:$H$102,6,FALSE),0)</f>
        <v>0</v>
      </c>
      <c r="I92">
        <f>IF(gamma!I92,VLOOKUP(zeta!I$1,main!$A$3:$H$102,5,FALSE)-VLOOKUP(zeta!$A92,main!$A$3:$H$102,6,FALSE),0)</f>
        <v>0</v>
      </c>
      <c r="J92">
        <f>IF(gamma!J92,VLOOKUP(zeta!J$1,main!$A$3:$H$102,5,FALSE)-VLOOKUP(zeta!$A92,main!$A$3:$H$102,6,FALSE),0)</f>
        <v>0</v>
      </c>
      <c r="K92">
        <f>IF(gamma!K92,VLOOKUP(zeta!K$1,main!$A$3:$H$102,5,FALSE)-VLOOKUP(zeta!$A92,main!$A$3:$H$102,6,FALSE),0)</f>
        <v>0</v>
      </c>
      <c r="L92">
        <f>IF(gamma!L92,VLOOKUP(zeta!L$1,main!$A$3:$H$102,5,FALSE)-VLOOKUP(zeta!$A92,main!$A$3:$H$102,6,FALSE),0)</f>
        <v>0</v>
      </c>
      <c r="M92">
        <f>IF(gamma!M92,VLOOKUP(zeta!M$1,main!$A$3:$H$102,5,FALSE)-VLOOKUP(zeta!$A92,main!$A$3:$H$102,6,FALSE),0)</f>
        <v>0</v>
      </c>
      <c r="N92">
        <f>IF(gamma!N92,VLOOKUP(zeta!N$1,main!$A$3:$H$102,5,FALSE)-VLOOKUP(zeta!$A92,main!$A$3:$H$102,6,FALSE),0)</f>
        <v>0</v>
      </c>
      <c r="O92">
        <f>IF(gamma!O92,VLOOKUP(zeta!O$1,main!$A$3:$H$102,5,FALSE)-VLOOKUP(zeta!$A92,main!$A$3:$H$102,6,FALSE),0)</f>
        <v>0</v>
      </c>
      <c r="P92">
        <f>IF(gamma!P92,VLOOKUP(zeta!P$1,main!$A$3:$H$102,5,FALSE)-VLOOKUP(zeta!$A92,main!$A$3:$H$102,6,FALSE),0)</f>
        <v>0</v>
      </c>
      <c r="Q92">
        <f>IF(gamma!Q92,VLOOKUP(zeta!Q$1,main!$A$3:$H$102,5,FALSE)-VLOOKUP(zeta!$A92,main!$A$3:$H$102,6,FALSE),0)</f>
        <v>0</v>
      </c>
      <c r="R92">
        <f>IF(gamma!R92,VLOOKUP(zeta!R$1,main!$A$3:$H$102,5,FALSE)-VLOOKUP(zeta!$A92,main!$A$3:$H$102,6,FALSE),0)</f>
        <v>0</v>
      </c>
      <c r="S92">
        <f>IF(gamma!S92,VLOOKUP(zeta!S$1,main!$A$3:$H$102,5,FALSE)-VLOOKUP(zeta!$A92,main!$A$3:$H$102,6,FALSE),0)</f>
        <v>0</v>
      </c>
      <c r="T92">
        <f>IF(gamma!T92,VLOOKUP(zeta!T$1,main!$A$3:$H$102,5,FALSE)-VLOOKUP(zeta!$A92,main!$A$3:$H$102,6,FALSE),0)</f>
        <v>0</v>
      </c>
      <c r="U92">
        <f>IF(gamma!U92,VLOOKUP(zeta!U$1,main!$A$3:$H$102,5,FALSE)-VLOOKUP(zeta!$A92,main!$A$3:$H$102,6,FALSE),0)</f>
        <v>0</v>
      </c>
      <c r="V92">
        <f>IF(gamma!V92,VLOOKUP(zeta!V$1,main!$A$3:$H$102,5,FALSE)-VLOOKUP(zeta!$A92,main!$A$3:$H$102,6,FALSE),0)</f>
        <v>0</v>
      </c>
      <c r="W92">
        <f>IF(gamma!W92,VLOOKUP(zeta!W$1,main!$A$3:$H$102,5,FALSE)-VLOOKUP(zeta!$A92,main!$A$3:$H$102,6,FALSE),0)</f>
        <v>0</v>
      </c>
      <c r="X92">
        <f>IF(gamma!X92,VLOOKUP(zeta!X$1,main!$A$3:$H$102,5,FALSE)-VLOOKUP(zeta!$A92,main!$A$3:$H$102,6,FALSE),0)</f>
        <v>0</v>
      </c>
      <c r="Y92">
        <f>IF(gamma!Y92,VLOOKUP(zeta!Y$1,main!$A$3:$H$102,5,FALSE)-VLOOKUP(zeta!$A92,main!$A$3:$H$102,6,FALSE),0)</f>
        <v>0</v>
      </c>
      <c r="Z92">
        <f>IF(gamma!Z92,VLOOKUP(zeta!Z$1,main!$A$3:$H$102,5,FALSE)-VLOOKUP(zeta!$A92,main!$A$3:$H$102,6,FALSE),0)</f>
        <v>0</v>
      </c>
      <c r="AA92">
        <f>IF(gamma!AA92,VLOOKUP(zeta!AA$1,main!$A$3:$H$102,5,FALSE)-VLOOKUP(zeta!$A92,main!$A$3:$H$102,6,FALSE),0)</f>
        <v>0</v>
      </c>
      <c r="AB92">
        <f>IF(gamma!AB92,VLOOKUP(zeta!AB$1,main!$A$3:$H$102,5,FALSE)-VLOOKUP(zeta!$A92,main!$A$3:$H$102,6,FALSE),0)</f>
        <v>0</v>
      </c>
      <c r="AC92">
        <f>IF(gamma!AC92,VLOOKUP(zeta!AC$1,main!$A$3:$H$102,5,FALSE)-VLOOKUP(zeta!$A92,main!$A$3:$H$102,6,FALSE),0)</f>
        <v>0</v>
      </c>
      <c r="AD92">
        <f>IF(gamma!AD92,VLOOKUP(zeta!AD$1,main!$A$3:$H$102,5,FALSE)-VLOOKUP(zeta!$A92,main!$A$3:$H$102,6,FALSE),0)</f>
        <v>0</v>
      </c>
      <c r="AE92">
        <f>IF(gamma!AE92,VLOOKUP(zeta!AE$1,main!$A$3:$H$102,5,FALSE)-VLOOKUP(zeta!$A92,main!$A$3:$H$102,6,FALSE),0)</f>
        <v>0</v>
      </c>
      <c r="AF92">
        <f>IF(gamma!AF92,VLOOKUP(zeta!AF$1,main!$A$3:$H$102,5,FALSE)-VLOOKUP(zeta!$A92,main!$A$3:$H$102,6,FALSE),0)</f>
        <v>0</v>
      </c>
      <c r="AG92">
        <f>IF(gamma!AG92,VLOOKUP(zeta!AG$1,main!$A$3:$H$102,5,FALSE)-VLOOKUP(zeta!$A92,main!$A$3:$H$102,6,FALSE),0)</f>
        <v>0</v>
      </c>
      <c r="AH92">
        <f>IF(gamma!AH92,VLOOKUP(zeta!AH$1,main!$A$3:$H$102,5,FALSE)-VLOOKUP(zeta!$A92,main!$A$3:$H$102,6,FALSE),0)</f>
        <v>0</v>
      </c>
      <c r="AI92">
        <f>IF(gamma!AI92,VLOOKUP(zeta!AI$1,main!$A$3:$H$102,5,FALSE)-VLOOKUP(zeta!$A92,main!$A$3:$H$102,6,FALSE),0)</f>
        <v>0</v>
      </c>
      <c r="AJ92">
        <f>IF(gamma!AJ92,VLOOKUP(zeta!AJ$1,main!$A$3:$H$102,5,FALSE)-VLOOKUP(zeta!$A92,main!$A$3:$H$102,6,FALSE),0)</f>
        <v>0</v>
      </c>
      <c r="AK92">
        <f>IF(gamma!AK92,VLOOKUP(zeta!AK$1,main!$A$3:$H$102,5,FALSE)-VLOOKUP(zeta!$A92,main!$A$3:$H$102,6,FALSE),0)</f>
        <v>0</v>
      </c>
      <c r="AL92">
        <f>IF(gamma!AL92,VLOOKUP(zeta!AL$1,main!$A$3:$H$102,5,FALSE)-VLOOKUP(zeta!$A92,main!$A$3:$H$102,6,FALSE),0)</f>
        <v>0</v>
      </c>
      <c r="AM92">
        <f>IF(gamma!AM92,VLOOKUP(zeta!AM$1,main!$A$3:$H$102,5,FALSE)-VLOOKUP(zeta!$A92,main!$A$3:$H$102,6,FALSE),0)</f>
        <v>0</v>
      </c>
      <c r="AN92">
        <f>IF(gamma!AN92,VLOOKUP(zeta!AN$1,main!$A$3:$H$102,5,FALSE)-VLOOKUP(zeta!$A92,main!$A$3:$H$102,6,FALSE),0)</f>
        <v>0</v>
      </c>
      <c r="AO92">
        <f>IF(gamma!AO92,VLOOKUP(zeta!AO$1,main!$A$3:$H$102,5,FALSE)-VLOOKUP(zeta!$A92,main!$A$3:$H$102,6,FALSE),0)</f>
        <v>0</v>
      </c>
      <c r="AP92">
        <f>IF(gamma!AP92,VLOOKUP(zeta!AP$1,main!$A$3:$H$102,5,FALSE)-VLOOKUP(zeta!$A92,main!$A$3:$H$102,6,FALSE),0)</f>
        <v>0</v>
      </c>
      <c r="AQ92">
        <f>IF(gamma!AQ92,VLOOKUP(zeta!AQ$1,main!$A$3:$H$102,5,FALSE)-VLOOKUP(zeta!$A92,main!$A$3:$H$102,6,FALSE),0)</f>
        <v>0</v>
      </c>
      <c r="AR92">
        <f>IF(gamma!AR92,VLOOKUP(zeta!AR$1,main!$A$3:$H$102,5,FALSE)-VLOOKUP(zeta!$A92,main!$A$3:$H$102,6,FALSE),0)</f>
        <v>0</v>
      </c>
      <c r="AS92">
        <f>IF(gamma!AS92,VLOOKUP(zeta!AS$1,main!$A$3:$H$102,5,FALSE)-VLOOKUP(zeta!$A92,main!$A$3:$H$102,6,FALSE),0)</f>
        <v>0</v>
      </c>
      <c r="AT92">
        <f>IF(gamma!AT92,VLOOKUP(zeta!AT$1,main!$A$3:$H$102,5,FALSE)-VLOOKUP(zeta!$A92,main!$A$3:$H$102,6,FALSE),0)</f>
        <v>0</v>
      </c>
      <c r="AU92">
        <f>IF(gamma!AU92,VLOOKUP(zeta!AU$1,main!$A$3:$H$102,5,FALSE)-VLOOKUP(zeta!$A92,main!$A$3:$H$102,6,FALSE),0)</f>
        <v>0</v>
      </c>
      <c r="AV92">
        <f>IF(gamma!AV92,VLOOKUP(zeta!AV$1,main!$A$3:$H$102,5,FALSE)-VLOOKUP(zeta!$A92,main!$A$3:$H$102,6,FALSE),0)</f>
        <v>0</v>
      </c>
      <c r="AW92">
        <f>IF(gamma!AW92,VLOOKUP(zeta!AW$1,main!$A$3:$H$102,5,FALSE)-VLOOKUP(zeta!$A92,main!$A$3:$H$102,6,FALSE),0)</f>
        <v>0</v>
      </c>
      <c r="AX92">
        <f>IF(gamma!AX92,VLOOKUP(zeta!AX$1,main!$A$3:$H$102,5,FALSE)-VLOOKUP(zeta!$A92,main!$A$3:$H$102,6,FALSE),0)</f>
        <v>0</v>
      </c>
      <c r="AY92">
        <f>IF(gamma!AY92,VLOOKUP(zeta!AY$1,main!$A$3:$H$102,5,FALSE)-VLOOKUP(zeta!$A92,main!$A$3:$H$102,6,FALSE),0)</f>
        <v>0</v>
      </c>
      <c r="AZ92">
        <f>IF(gamma!AZ92,VLOOKUP(zeta!AZ$1,main!$A$3:$H$102,5,FALSE)-VLOOKUP(zeta!$A92,main!$A$3:$H$102,6,FALSE),0)</f>
        <v>0</v>
      </c>
      <c r="BA92">
        <f>IF(gamma!BA92,VLOOKUP(zeta!BA$1,main!$A$3:$H$102,5,FALSE)-VLOOKUP(zeta!$A92,main!$A$3:$H$102,6,FALSE),0)</f>
        <v>0</v>
      </c>
      <c r="BB92">
        <f>IF(gamma!BB92,VLOOKUP(zeta!BB$1,main!$A$3:$H$102,5,FALSE)-VLOOKUP(zeta!$A92,main!$A$3:$H$102,6,FALSE),0)</f>
        <v>0</v>
      </c>
      <c r="BC92">
        <f>IF(gamma!BC92,VLOOKUP(zeta!BC$1,main!$A$3:$H$102,5,FALSE)-VLOOKUP(zeta!$A92,main!$A$3:$H$102,6,FALSE),0)</f>
        <v>0</v>
      </c>
      <c r="BD92">
        <f>IF(gamma!BD92,VLOOKUP(zeta!BD$1,main!$A$3:$H$102,5,FALSE)-VLOOKUP(zeta!$A92,main!$A$3:$H$102,6,FALSE),0)</f>
        <v>0</v>
      </c>
      <c r="BE92">
        <f>IF(gamma!BE92,VLOOKUP(zeta!BE$1,main!$A$3:$H$102,5,FALSE)-VLOOKUP(zeta!$A92,main!$A$3:$H$102,6,FALSE),0)</f>
        <v>0</v>
      </c>
      <c r="BF92">
        <f>IF(gamma!BF92,VLOOKUP(zeta!BF$1,main!$A$3:$H$102,5,FALSE)-VLOOKUP(zeta!$A92,main!$A$3:$H$102,6,FALSE),0)</f>
        <v>0</v>
      </c>
      <c r="BG92">
        <f>IF(gamma!BG92,VLOOKUP(zeta!BG$1,main!$A$3:$H$102,5,FALSE)-VLOOKUP(zeta!$A92,main!$A$3:$H$102,6,FALSE),0)</f>
        <v>0</v>
      </c>
      <c r="BH92">
        <f>IF(gamma!BH92,VLOOKUP(zeta!BH$1,main!$A$3:$H$102,5,FALSE)-VLOOKUP(zeta!$A92,main!$A$3:$H$102,6,FALSE),0)</f>
        <v>0</v>
      </c>
      <c r="BI92">
        <f>IF(gamma!BI92,VLOOKUP(zeta!BI$1,main!$A$3:$H$102,5,FALSE)-VLOOKUP(zeta!$A92,main!$A$3:$H$102,6,FALSE),0)</f>
        <v>0</v>
      </c>
      <c r="BJ92">
        <f>IF(gamma!BJ92,VLOOKUP(zeta!BJ$1,main!$A$3:$H$102,5,FALSE)-VLOOKUP(zeta!$A92,main!$A$3:$H$102,6,FALSE),0)</f>
        <v>0</v>
      </c>
      <c r="BK92">
        <f>IF(gamma!BK92,VLOOKUP(zeta!BK$1,main!$A$3:$H$102,5,FALSE)-VLOOKUP(zeta!$A92,main!$A$3:$H$102,6,FALSE),0)</f>
        <v>0</v>
      </c>
      <c r="BL92">
        <f>IF(gamma!BL92,VLOOKUP(zeta!BL$1,main!$A$3:$H$102,5,FALSE)-VLOOKUP(zeta!$A92,main!$A$3:$H$102,6,FALSE),0)</f>
        <v>0</v>
      </c>
      <c r="BM92">
        <f>IF(gamma!BM92,VLOOKUP(zeta!BM$1,main!$A$3:$H$102,5,FALSE)-VLOOKUP(zeta!$A92,main!$A$3:$H$102,6,FALSE),0)</f>
        <v>0</v>
      </c>
      <c r="BN92">
        <f>IF(gamma!BN92,VLOOKUP(zeta!BN$1,main!$A$3:$H$102,5,FALSE)-VLOOKUP(zeta!$A92,main!$A$3:$H$102,6,FALSE),0)</f>
        <v>0</v>
      </c>
      <c r="BO92">
        <f>IF(gamma!BO92,VLOOKUP(zeta!BO$1,main!$A$3:$H$102,5,FALSE)-VLOOKUP(zeta!$A92,main!$A$3:$H$102,6,FALSE),0)</f>
        <v>0</v>
      </c>
      <c r="BP92">
        <f>IF(gamma!BP92,VLOOKUP(zeta!BP$1,main!$A$3:$H$102,5,FALSE)-VLOOKUP(zeta!$A92,main!$A$3:$H$102,6,FALSE),0)</f>
        <v>0</v>
      </c>
      <c r="BQ92">
        <f>IF(gamma!BQ92,VLOOKUP(zeta!BQ$1,main!$A$3:$H$102,5,FALSE)-VLOOKUP(zeta!$A92,main!$A$3:$H$102,6,FALSE),0)</f>
        <v>0</v>
      </c>
      <c r="BR92">
        <f>IF(gamma!BR92,VLOOKUP(zeta!BR$1,main!$A$3:$H$102,5,FALSE)-VLOOKUP(zeta!$A92,main!$A$3:$H$102,6,FALSE),0)</f>
        <v>0</v>
      </c>
      <c r="BS92">
        <f>IF(gamma!BS92,VLOOKUP(zeta!BS$1,main!$A$3:$H$102,5,FALSE)-VLOOKUP(zeta!$A92,main!$A$3:$H$102,6,FALSE),0)</f>
        <v>0</v>
      </c>
      <c r="BT92">
        <f>IF(gamma!BT92,VLOOKUP(zeta!BT$1,main!$A$3:$H$102,5,FALSE)-VLOOKUP(zeta!$A92,main!$A$3:$H$102,6,FALSE),0)</f>
        <v>0</v>
      </c>
      <c r="BU92">
        <f>IF(gamma!BU92,VLOOKUP(zeta!BU$1,main!$A$3:$H$102,5,FALSE)-VLOOKUP(zeta!$A92,main!$A$3:$H$102,6,FALSE),0)</f>
        <v>0</v>
      </c>
      <c r="BV92">
        <f>IF(gamma!BV92,VLOOKUP(zeta!BV$1,main!$A$3:$H$102,5,FALSE)-VLOOKUP(zeta!$A92,main!$A$3:$H$102,6,FALSE),0)</f>
        <v>0</v>
      </c>
      <c r="BW92">
        <f>IF(gamma!BW92,VLOOKUP(zeta!BW$1,main!$A$3:$H$102,5,FALSE)-VLOOKUP(zeta!$A92,main!$A$3:$H$102,6,FALSE),0)</f>
        <v>0</v>
      </c>
      <c r="BX92">
        <f>IF(gamma!BX92,VLOOKUP(zeta!BX$1,main!$A$3:$H$102,5,FALSE)-VLOOKUP(zeta!$A92,main!$A$3:$H$102,6,FALSE),0)</f>
        <v>0</v>
      </c>
      <c r="BY92">
        <f>IF(gamma!BY92,VLOOKUP(zeta!BY$1,main!$A$3:$H$102,5,FALSE)-VLOOKUP(zeta!$A92,main!$A$3:$H$102,6,FALSE),0)</f>
        <v>0</v>
      </c>
      <c r="BZ92">
        <f>IF(gamma!BZ92,VLOOKUP(zeta!BZ$1,main!$A$3:$H$102,5,FALSE)-VLOOKUP(zeta!$A92,main!$A$3:$H$102,6,FALSE),0)</f>
        <v>0</v>
      </c>
      <c r="CA92">
        <f>IF(gamma!CA92,VLOOKUP(zeta!CA$1,main!$A$3:$H$102,5,FALSE)-VLOOKUP(zeta!$A92,main!$A$3:$H$102,6,FALSE),0)</f>
        <v>0</v>
      </c>
      <c r="CB92">
        <f>IF(gamma!CB92,VLOOKUP(zeta!CB$1,main!$A$3:$H$102,5,FALSE)-VLOOKUP(zeta!$A92,main!$A$3:$H$102,6,FALSE),0)</f>
        <v>0</v>
      </c>
      <c r="CC92">
        <f>IF(gamma!CC92,VLOOKUP(zeta!CC$1,main!$A$3:$H$102,5,FALSE)-VLOOKUP(zeta!$A92,main!$A$3:$H$102,6,FALSE),0)</f>
        <v>0</v>
      </c>
      <c r="CD92">
        <f>IF(gamma!CD92,VLOOKUP(zeta!CD$1,main!$A$3:$H$102,5,FALSE)-VLOOKUP(zeta!$A92,main!$A$3:$H$102,6,FALSE),0)</f>
        <v>0</v>
      </c>
      <c r="CE92">
        <f>IF(gamma!CE92,VLOOKUP(zeta!CE$1,main!$A$3:$H$102,5,FALSE)-VLOOKUP(zeta!$A92,main!$A$3:$H$102,6,FALSE),0)</f>
        <v>0</v>
      </c>
      <c r="CF92">
        <f>IF(gamma!CF92,VLOOKUP(zeta!CF$1,main!$A$3:$H$102,5,FALSE)-VLOOKUP(zeta!$A92,main!$A$3:$H$102,6,FALSE),0)</f>
        <v>0</v>
      </c>
      <c r="CG92">
        <f>IF(gamma!CG92,VLOOKUP(zeta!CG$1,main!$A$3:$H$102,5,FALSE)-VLOOKUP(zeta!$A92,main!$A$3:$H$102,6,FALSE),0)</f>
        <v>0</v>
      </c>
      <c r="CH92">
        <f>IF(gamma!CH92,VLOOKUP(zeta!CH$1,main!$A$3:$H$102,5,FALSE)-VLOOKUP(zeta!$A92,main!$A$3:$H$102,6,FALSE),0)</f>
        <v>0</v>
      </c>
      <c r="CI92">
        <f>IF(gamma!CI92,VLOOKUP(zeta!CI$1,main!$A$3:$H$102,5,FALSE)-VLOOKUP(zeta!$A92,main!$A$3:$H$102,6,FALSE),0)</f>
        <v>0</v>
      </c>
      <c r="CJ92">
        <f>IF(gamma!CJ92,VLOOKUP(zeta!CJ$1,main!$A$3:$H$102,5,FALSE)-VLOOKUP(zeta!$A92,main!$A$3:$H$102,6,FALSE),0)</f>
        <v>0</v>
      </c>
      <c r="CK92">
        <f>IF(gamma!CK92,VLOOKUP(zeta!CK$1,main!$A$3:$H$102,5,FALSE)-VLOOKUP(zeta!$A92,main!$A$3:$H$102,6,FALSE),0)</f>
        <v>0</v>
      </c>
      <c r="CL92">
        <f>IF(gamma!CL92,VLOOKUP(zeta!CL$1,main!$A$3:$H$102,5,FALSE)-VLOOKUP(zeta!$A92,main!$A$3:$H$102,6,FALSE),0)</f>
        <v>0</v>
      </c>
      <c r="CM92">
        <f>IF(gamma!CM92,VLOOKUP(zeta!CM$1,main!$A$3:$H$102,5,FALSE)-VLOOKUP(zeta!$A92,main!$A$3:$H$102,6,FALSE),0)</f>
        <v>0</v>
      </c>
      <c r="CN92">
        <f>IF(gamma!CN92,VLOOKUP(zeta!CN$1,main!$A$3:$H$102,5,FALSE)-VLOOKUP(zeta!$A92,main!$A$3:$H$102,6,FALSE),0)</f>
        <v>0</v>
      </c>
      <c r="CO92">
        <f>IF(gamma!CO92,VLOOKUP(zeta!CO$1,main!$A$3:$H$102,5,FALSE)-VLOOKUP(zeta!$A92,main!$A$3:$H$102,6,FALSE),0)</f>
        <v>0</v>
      </c>
      <c r="CP92">
        <f>IF(gamma!CP92,VLOOKUP(zeta!CP$1,main!$A$3:$H$102,5,FALSE)-VLOOKUP(zeta!$A92,main!$A$3:$H$102,6,FALSE),0)</f>
        <v>0</v>
      </c>
      <c r="CQ92">
        <f>IF(gamma!CQ92,VLOOKUP(zeta!CQ$1,main!$A$3:$H$102,5,FALSE)-VLOOKUP(zeta!$A92,main!$A$3:$H$102,6,FALSE),0)</f>
        <v>0</v>
      </c>
      <c r="CR92">
        <f>IF(gamma!CR92,VLOOKUP(zeta!CR$1,main!$A$3:$H$102,5,FALSE)-VLOOKUP(zeta!$A92,main!$A$3:$H$102,6,FALSE),0)</f>
        <v>0</v>
      </c>
      <c r="CS92">
        <f>IF(gamma!CS92,VLOOKUP(zeta!CS$1,main!$A$3:$H$102,5,FALSE)-VLOOKUP(zeta!$A92,main!$A$3:$H$102,6,FALSE),0)</f>
        <v>0</v>
      </c>
      <c r="CT92">
        <f>IF(gamma!CT92,VLOOKUP(zeta!CT$1,main!$A$3:$H$102,5,FALSE)-VLOOKUP(zeta!$A92,main!$A$3:$H$102,6,FALSE),0)</f>
        <v>0</v>
      </c>
      <c r="CU92">
        <f>IF(gamma!CU92,VLOOKUP(zeta!CU$1,main!$A$3:$H$102,5,FALSE)-VLOOKUP(zeta!$A92,main!$A$3:$H$102,6,FALSE),0)</f>
        <v>0</v>
      </c>
      <c r="CV92">
        <f>IF(gamma!CV92,VLOOKUP(zeta!CV$1,main!$A$3:$H$102,5,FALSE)-VLOOKUP(zeta!$A92,main!$A$3:$H$102,6,FALSE),0)</f>
        <v>0</v>
      </c>
      <c r="CW92">
        <f>IF(gamma!CW92,VLOOKUP(zeta!CW$1,main!$A$3:$H$102,5,FALSE)-VLOOKUP(zeta!$A92,main!$A$3:$H$102,6,FALSE),0)</f>
        <v>0</v>
      </c>
      <c r="CX92">
        <f>IF(gamma!CX92,VLOOKUP(zeta!CX$1,main!$A$3:$H$102,5,FALSE)-VLOOKUP(zeta!$A92,main!$A$3:$H$102,6,FALSE),0)</f>
        <v>0</v>
      </c>
    </row>
    <row r="93" spans="1:102" x14ac:dyDescent="0.25">
      <c r="A93">
        <f t="shared" si="2"/>
        <v>91</v>
      </c>
      <c r="B93">
        <v>0</v>
      </c>
      <c r="C93">
        <f>IF(gamma!C93,VLOOKUP(zeta!C$1,main!$A$3:$H$102,5,FALSE)-VLOOKUP(zeta!$A93,main!$A$3:$H$102,6,FALSE),0)</f>
        <v>0</v>
      </c>
      <c r="D93">
        <f>IF(gamma!D93,VLOOKUP(zeta!D$1,main!$A$3:$H$102,5,FALSE)-VLOOKUP(zeta!$A93,main!$A$3:$H$102,6,FALSE),0)</f>
        <v>0</v>
      </c>
      <c r="E93">
        <f>IF(gamma!E93,VLOOKUP(zeta!E$1,main!$A$3:$H$102,5,FALSE)-VLOOKUP(zeta!$A93,main!$A$3:$H$102,6,FALSE),0)</f>
        <v>0</v>
      </c>
      <c r="F93">
        <f>IF(gamma!F93,VLOOKUP(zeta!F$1,main!$A$3:$H$102,5,FALSE)-VLOOKUP(zeta!$A93,main!$A$3:$H$102,6,FALSE),0)</f>
        <v>0</v>
      </c>
      <c r="G93">
        <f>IF(gamma!G93,VLOOKUP(zeta!G$1,main!$A$3:$H$102,5,FALSE)-VLOOKUP(zeta!$A93,main!$A$3:$H$102,6,FALSE),0)</f>
        <v>90</v>
      </c>
      <c r="H93">
        <f>IF(gamma!H93,VLOOKUP(zeta!H$1,main!$A$3:$H$102,5,FALSE)-VLOOKUP(zeta!$A93,main!$A$3:$H$102,6,FALSE),0)</f>
        <v>180</v>
      </c>
      <c r="I93">
        <f>IF(gamma!I93,VLOOKUP(zeta!I$1,main!$A$3:$H$102,5,FALSE)-VLOOKUP(zeta!$A93,main!$A$3:$H$102,6,FALSE),0)</f>
        <v>240</v>
      </c>
      <c r="J93">
        <f>IF(gamma!J93,VLOOKUP(zeta!J$1,main!$A$3:$H$102,5,FALSE)-VLOOKUP(zeta!$A93,main!$A$3:$H$102,6,FALSE),0)</f>
        <v>300</v>
      </c>
      <c r="K93">
        <f>IF(gamma!K93,VLOOKUP(zeta!K$1,main!$A$3:$H$102,5,FALSE)-VLOOKUP(zeta!$A93,main!$A$3:$H$102,6,FALSE),0)</f>
        <v>360</v>
      </c>
      <c r="L93">
        <f>IF(gamma!L93,VLOOKUP(zeta!L$1,main!$A$3:$H$102,5,FALSE)-VLOOKUP(zeta!$A93,main!$A$3:$H$102,6,FALSE),0)</f>
        <v>450</v>
      </c>
      <c r="M93">
        <f>IF(gamma!M93,VLOOKUP(zeta!M$1,main!$A$3:$H$102,5,FALSE)-VLOOKUP(zeta!$A93,main!$A$3:$H$102,6,FALSE),0)</f>
        <v>0</v>
      </c>
      <c r="N93">
        <f>IF(gamma!N93,VLOOKUP(zeta!N$1,main!$A$3:$H$102,5,FALSE)-VLOOKUP(zeta!$A93,main!$A$3:$H$102,6,FALSE),0)</f>
        <v>0</v>
      </c>
      <c r="O93">
        <f>IF(gamma!O93,VLOOKUP(zeta!O$1,main!$A$3:$H$102,5,FALSE)-VLOOKUP(zeta!$A93,main!$A$3:$H$102,6,FALSE),0)</f>
        <v>0</v>
      </c>
      <c r="P93">
        <f>IF(gamma!P93,VLOOKUP(zeta!P$1,main!$A$3:$H$102,5,FALSE)-VLOOKUP(zeta!$A93,main!$A$3:$H$102,6,FALSE),0)</f>
        <v>0</v>
      </c>
      <c r="Q93">
        <f>IF(gamma!Q93,VLOOKUP(zeta!Q$1,main!$A$3:$H$102,5,FALSE)-VLOOKUP(zeta!$A93,main!$A$3:$H$102,6,FALSE),0)</f>
        <v>0</v>
      </c>
      <c r="R93">
        <f>IF(gamma!R93,VLOOKUP(zeta!R$1,main!$A$3:$H$102,5,FALSE)-VLOOKUP(zeta!$A93,main!$A$3:$H$102,6,FALSE),0)</f>
        <v>55</v>
      </c>
      <c r="S93">
        <f>IF(gamma!S93,VLOOKUP(zeta!S$1,main!$A$3:$H$102,5,FALSE)-VLOOKUP(zeta!$A93,main!$A$3:$H$102,6,FALSE),0)</f>
        <v>180</v>
      </c>
      <c r="T93">
        <f>IF(gamma!T93,VLOOKUP(zeta!T$1,main!$A$3:$H$102,5,FALSE)-VLOOKUP(zeta!$A93,main!$A$3:$H$102,6,FALSE),0)</f>
        <v>260</v>
      </c>
      <c r="U93">
        <f>IF(gamma!U93,VLOOKUP(zeta!U$1,main!$A$3:$H$102,5,FALSE)-VLOOKUP(zeta!$A93,main!$A$3:$H$102,6,FALSE),0)</f>
        <v>415</v>
      </c>
      <c r="V93">
        <f>IF(gamma!V93,VLOOKUP(zeta!V$1,main!$A$3:$H$102,5,FALSE)-VLOOKUP(zeta!$A93,main!$A$3:$H$102,6,FALSE),0)</f>
        <v>475</v>
      </c>
      <c r="W93">
        <f>IF(gamma!W93,VLOOKUP(zeta!W$1,main!$A$3:$H$102,5,FALSE)-VLOOKUP(zeta!$A93,main!$A$3:$H$102,6,FALSE),0)</f>
        <v>0</v>
      </c>
      <c r="X93">
        <f>IF(gamma!X93,VLOOKUP(zeta!X$1,main!$A$3:$H$102,5,FALSE)-VLOOKUP(zeta!$A93,main!$A$3:$H$102,6,FALSE),0)</f>
        <v>0</v>
      </c>
      <c r="Y93">
        <f>IF(gamma!Y93,VLOOKUP(zeta!Y$1,main!$A$3:$H$102,5,FALSE)-VLOOKUP(zeta!$A93,main!$A$3:$H$102,6,FALSE),0)</f>
        <v>50</v>
      </c>
      <c r="Z93">
        <f>IF(gamma!Z93,VLOOKUP(zeta!Z$1,main!$A$3:$H$102,5,FALSE)-VLOOKUP(zeta!$A93,main!$A$3:$H$102,6,FALSE),0)</f>
        <v>230</v>
      </c>
      <c r="AA93">
        <f>IF(gamma!AA93,VLOOKUP(zeta!AA$1,main!$A$3:$H$102,5,FALSE)-VLOOKUP(zeta!$A93,main!$A$3:$H$102,6,FALSE),0)</f>
        <v>380</v>
      </c>
      <c r="AB93">
        <f>IF(gamma!AB93,VLOOKUP(zeta!AB$1,main!$A$3:$H$102,5,FALSE)-VLOOKUP(zeta!$A93,main!$A$3:$H$102,6,FALSE),0)</f>
        <v>0</v>
      </c>
      <c r="AC93">
        <f>IF(gamma!AC93,VLOOKUP(zeta!AC$1,main!$A$3:$H$102,5,FALSE)-VLOOKUP(zeta!$A93,main!$A$3:$H$102,6,FALSE),0)</f>
        <v>0</v>
      </c>
      <c r="AD93">
        <f>IF(gamma!AD93,VLOOKUP(zeta!AD$1,main!$A$3:$H$102,5,FALSE)-VLOOKUP(zeta!$A93,main!$A$3:$H$102,6,FALSE),0)</f>
        <v>0</v>
      </c>
      <c r="AE93">
        <f>IF(gamma!AE93,VLOOKUP(zeta!AE$1,main!$A$3:$H$102,5,FALSE)-VLOOKUP(zeta!$A93,main!$A$3:$H$102,6,FALSE),0)</f>
        <v>190</v>
      </c>
      <c r="AF93">
        <f>IF(gamma!AF93,VLOOKUP(zeta!AF$1,main!$A$3:$H$102,5,FALSE)-VLOOKUP(zeta!$A93,main!$A$3:$H$102,6,FALSE),0)</f>
        <v>360</v>
      </c>
      <c r="AG93">
        <f>IF(gamma!AG93,VLOOKUP(zeta!AG$1,main!$A$3:$H$102,5,FALSE)-VLOOKUP(zeta!$A93,main!$A$3:$H$102,6,FALSE),0)</f>
        <v>0</v>
      </c>
      <c r="AH93">
        <f>IF(gamma!AH93,VLOOKUP(zeta!AH$1,main!$A$3:$H$102,5,FALSE)-VLOOKUP(zeta!$A93,main!$A$3:$H$102,6,FALSE),0)</f>
        <v>0</v>
      </c>
      <c r="AI93">
        <f>IF(gamma!AI93,VLOOKUP(zeta!AI$1,main!$A$3:$H$102,5,FALSE)-VLOOKUP(zeta!$A93,main!$A$3:$H$102,6,FALSE),0)</f>
        <v>0</v>
      </c>
      <c r="AJ93">
        <f>IF(gamma!AJ93,VLOOKUP(zeta!AJ$1,main!$A$3:$H$102,5,FALSE)-VLOOKUP(zeta!$A93,main!$A$3:$H$102,6,FALSE),0)</f>
        <v>70</v>
      </c>
      <c r="AK93">
        <f>IF(gamma!AK93,VLOOKUP(zeta!AK$1,main!$A$3:$H$102,5,FALSE)-VLOOKUP(zeta!$A93,main!$A$3:$H$102,6,FALSE),0)</f>
        <v>160</v>
      </c>
      <c r="AL93">
        <f>IF(gamma!AL93,VLOOKUP(zeta!AL$1,main!$A$3:$H$102,5,FALSE)-VLOOKUP(zeta!$A93,main!$A$3:$H$102,6,FALSE),0)</f>
        <v>250</v>
      </c>
      <c r="AM93">
        <f>IF(gamma!AM93,VLOOKUP(zeta!AM$1,main!$A$3:$H$102,5,FALSE)-VLOOKUP(zeta!$A93,main!$A$3:$H$102,6,FALSE),0)</f>
        <v>340</v>
      </c>
      <c r="AN93">
        <f>IF(gamma!AN93,VLOOKUP(zeta!AN$1,main!$A$3:$H$102,5,FALSE)-VLOOKUP(zeta!$A93,main!$A$3:$H$102,6,FALSE),0)</f>
        <v>400</v>
      </c>
      <c r="AO93">
        <f>IF(gamma!AO93,VLOOKUP(zeta!AO$1,main!$A$3:$H$102,5,FALSE)-VLOOKUP(zeta!$A93,main!$A$3:$H$102,6,FALSE),0)</f>
        <v>0</v>
      </c>
      <c r="AP93">
        <f>IF(gamma!AP93,VLOOKUP(zeta!AP$1,main!$A$3:$H$102,5,FALSE)-VLOOKUP(zeta!$A93,main!$A$3:$H$102,6,FALSE),0)</f>
        <v>460</v>
      </c>
      <c r="AQ93">
        <f>IF(gamma!AQ93,VLOOKUP(zeta!AQ$1,main!$A$3:$H$102,5,FALSE)-VLOOKUP(zeta!$A93,main!$A$3:$H$102,6,FALSE),0)</f>
        <v>0</v>
      </c>
      <c r="AR93">
        <f>IF(gamma!AR93,VLOOKUP(zeta!AR$1,main!$A$3:$H$102,5,FALSE)-VLOOKUP(zeta!$A93,main!$A$3:$H$102,6,FALSE),0)</f>
        <v>0</v>
      </c>
      <c r="AS93">
        <f>IF(gamma!AS93,VLOOKUP(zeta!AS$1,main!$A$3:$H$102,5,FALSE)-VLOOKUP(zeta!$A93,main!$A$3:$H$102,6,FALSE),0)</f>
        <v>60</v>
      </c>
      <c r="AT93">
        <f>IF(gamma!AT93,VLOOKUP(zeta!AT$1,main!$A$3:$H$102,5,FALSE)-VLOOKUP(zeta!$A93,main!$A$3:$H$102,6,FALSE),0)</f>
        <v>210</v>
      </c>
      <c r="AU93">
        <f>IF(gamma!AU93,VLOOKUP(zeta!AU$1,main!$A$3:$H$102,5,FALSE)-VLOOKUP(zeta!$A93,main!$A$3:$H$102,6,FALSE),0)</f>
        <v>0</v>
      </c>
      <c r="AV93">
        <f>IF(gamma!AV93,VLOOKUP(zeta!AV$1,main!$A$3:$H$102,5,FALSE)-VLOOKUP(zeta!$A93,main!$A$3:$H$102,6,FALSE),0)</f>
        <v>0</v>
      </c>
      <c r="AW93">
        <f>IF(gamma!AW93,VLOOKUP(zeta!AW$1,main!$A$3:$H$102,5,FALSE)-VLOOKUP(zeta!$A93,main!$A$3:$H$102,6,FALSE),0)</f>
        <v>160</v>
      </c>
      <c r="AX93">
        <f>IF(gamma!AX93,VLOOKUP(zeta!AX$1,main!$A$3:$H$102,5,FALSE)-VLOOKUP(zeta!$A93,main!$A$3:$H$102,6,FALSE),0)</f>
        <v>0</v>
      </c>
      <c r="AY93">
        <f>IF(gamma!AY93,VLOOKUP(zeta!AY$1,main!$A$3:$H$102,5,FALSE)-VLOOKUP(zeta!$A93,main!$A$3:$H$102,6,FALSE),0)</f>
        <v>0</v>
      </c>
      <c r="AZ93">
        <f>IF(gamma!AZ93,VLOOKUP(zeta!AZ$1,main!$A$3:$H$102,5,FALSE)-VLOOKUP(zeta!$A93,main!$A$3:$H$102,6,FALSE),0)</f>
        <v>0</v>
      </c>
      <c r="BA93">
        <f>IF(gamma!BA93,VLOOKUP(zeta!BA$1,main!$A$3:$H$102,5,FALSE)-VLOOKUP(zeta!$A93,main!$A$3:$H$102,6,FALSE),0)</f>
        <v>0</v>
      </c>
      <c r="BB93">
        <f>IF(gamma!BB93,VLOOKUP(zeta!BB$1,main!$A$3:$H$102,5,FALSE)-VLOOKUP(zeta!$A93,main!$A$3:$H$102,6,FALSE),0)</f>
        <v>0</v>
      </c>
      <c r="BC93">
        <f>IF(gamma!BC93,VLOOKUP(zeta!BC$1,main!$A$3:$H$102,5,FALSE)-VLOOKUP(zeta!$A93,main!$A$3:$H$102,6,FALSE),0)</f>
        <v>120</v>
      </c>
      <c r="BD93">
        <f>IF(gamma!BD93,VLOOKUP(zeta!BD$1,main!$A$3:$H$102,5,FALSE)-VLOOKUP(zeta!$A93,main!$A$3:$H$102,6,FALSE),0)</f>
        <v>180</v>
      </c>
      <c r="BE93">
        <f>IF(gamma!BE93,VLOOKUP(zeta!BE$1,main!$A$3:$H$102,5,FALSE)-VLOOKUP(zeta!$A93,main!$A$3:$H$102,6,FALSE),0)</f>
        <v>300</v>
      </c>
      <c r="BF93">
        <f>IF(gamma!BF93,VLOOKUP(zeta!BF$1,main!$A$3:$H$102,5,FALSE)-VLOOKUP(zeta!$A93,main!$A$3:$H$102,6,FALSE),0)</f>
        <v>0</v>
      </c>
      <c r="BG93">
        <f>IF(gamma!BG93,VLOOKUP(zeta!BG$1,main!$A$3:$H$102,5,FALSE)-VLOOKUP(zeta!$A93,main!$A$3:$H$102,6,FALSE),0)</f>
        <v>0</v>
      </c>
      <c r="BH93">
        <f>IF(gamma!BH93,VLOOKUP(zeta!BH$1,main!$A$3:$H$102,5,FALSE)-VLOOKUP(zeta!$A93,main!$A$3:$H$102,6,FALSE),0)</f>
        <v>85</v>
      </c>
      <c r="BI93">
        <f>IF(gamma!BI93,VLOOKUP(zeta!BI$1,main!$A$3:$H$102,5,FALSE)-VLOOKUP(zeta!$A93,main!$A$3:$H$102,6,FALSE),0)</f>
        <v>470</v>
      </c>
      <c r="BJ93">
        <f>IF(gamma!BJ93,VLOOKUP(zeta!BJ$1,main!$A$3:$H$102,5,FALSE)-VLOOKUP(zeta!$A93,main!$A$3:$H$102,6,FALSE),0)</f>
        <v>260</v>
      </c>
      <c r="BK93">
        <f>IF(gamma!BK93,VLOOKUP(zeta!BK$1,main!$A$3:$H$102,5,FALSE)-VLOOKUP(zeta!$A93,main!$A$3:$H$102,6,FALSE),0)</f>
        <v>0</v>
      </c>
      <c r="BL93">
        <f>IF(gamma!BL93,VLOOKUP(zeta!BL$1,main!$A$3:$H$102,5,FALSE)-VLOOKUP(zeta!$A93,main!$A$3:$H$102,6,FALSE),0)</f>
        <v>0</v>
      </c>
      <c r="BM93">
        <f>IF(gamma!BM93,VLOOKUP(zeta!BM$1,main!$A$3:$H$102,5,FALSE)-VLOOKUP(zeta!$A93,main!$A$3:$H$102,6,FALSE),0)</f>
        <v>0</v>
      </c>
      <c r="BN93">
        <f>IF(gamma!BN93,VLOOKUP(zeta!BN$1,main!$A$3:$H$102,5,FALSE)-VLOOKUP(zeta!$A93,main!$A$3:$H$102,6,FALSE),0)</f>
        <v>160</v>
      </c>
      <c r="BO93">
        <f>IF(gamma!BO93,VLOOKUP(zeta!BO$1,main!$A$3:$H$102,5,FALSE)-VLOOKUP(zeta!$A93,main!$A$3:$H$102,6,FALSE),0)</f>
        <v>0</v>
      </c>
      <c r="BP93">
        <f>IF(gamma!BP93,VLOOKUP(zeta!BP$1,main!$A$3:$H$102,5,FALSE)-VLOOKUP(zeta!$A93,main!$A$3:$H$102,6,FALSE),0)</f>
        <v>0</v>
      </c>
      <c r="BQ93">
        <f>IF(gamma!BQ93,VLOOKUP(zeta!BQ$1,main!$A$3:$H$102,5,FALSE)-VLOOKUP(zeta!$A93,main!$A$3:$H$102,6,FALSE),0)</f>
        <v>15</v>
      </c>
      <c r="BR93">
        <f>IF(gamma!BR93,VLOOKUP(zeta!BR$1,main!$A$3:$H$102,5,FALSE)-VLOOKUP(zeta!$A93,main!$A$3:$H$102,6,FALSE),0)</f>
        <v>50</v>
      </c>
      <c r="BS93">
        <f>IF(gamma!BS93,VLOOKUP(zeta!BS$1,main!$A$3:$H$102,5,FALSE)-VLOOKUP(zeta!$A93,main!$A$3:$H$102,6,FALSE),0)</f>
        <v>60</v>
      </c>
      <c r="BT93">
        <f>IF(gamma!BT93,VLOOKUP(zeta!BT$1,main!$A$3:$H$102,5,FALSE)-VLOOKUP(zeta!$A93,main!$A$3:$H$102,6,FALSE),0)</f>
        <v>0</v>
      </c>
      <c r="BU93">
        <f>IF(gamma!BU93,VLOOKUP(zeta!BU$1,main!$A$3:$H$102,5,FALSE)-VLOOKUP(zeta!$A93,main!$A$3:$H$102,6,FALSE),0)</f>
        <v>0</v>
      </c>
      <c r="BV93">
        <f>IF(gamma!BV93,VLOOKUP(zeta!BV$1,main!$A$3:$H$102,5,FALSE)-VLOOKUP(zeta!$A93,main!$A$3:$H$102,6,FALSE),0)</f>
        <v>0</v>
      </c>
      <c r="BW93">
        <f>IF(gamma!BW93,VLOOKUP(zeta!BW$1,main!$A$3:$H$102,5,FALSE)-VLOOKUP(zeta!$A93,main!$A$3:$H$102,6,FALSE),0)</f>
        <v>0</v>
      </c>
      <c r="BX93">
        <f>IF(gamma!BX93,VLOOKUP(zeta!BX$1,main!$A$3:$H$102,5,FALSE)-VLOOKUP(zeta!$A93,main!$A$3:$H$102,6,FALSE),0)</f>
        <v>25</v>
      </c>
      <c r="BY93">
        <f>IF(gamma!BY93,VLOOKUP(zeta!BY$1,main!$A$3:$H$102,5,FALSE)-VLOOKUP(zeta!$A93,main!$A$3:$H$102,6,FALSE),0)</f>
        <v>110</v>
      </c>
      <c r="BZ93">
        <f>IF(gamma!BZ93,VLOOKUP(zeta!BZ$1,main!$A$3:$H$102,5,FALSE)-VLOOKUP(zeta!$A93,main!$A$3:$H$102,6,FALSE),0)</f>
        <v>0</v>
      </c>
      <c r="CA93">
        <f>IF(gamma!CA93,VLOOKUP(zeta!CA$1,main!$A$3:$H$102,5,FALSE)-VLOOKUP(zeta!$A93,main!$A$3:$H$102,6,FALSE),0)</f>
        <v>0</v>
      </c>
      <c r="CB93">
        <f>IF(gamma!CB93,VLOOKUP(zeta!CB$1,main!$A$3:$H$102,5,FALSE)-VLOOKUP(zeta!$A93,main!$A$3:$H$102,6,FALSE),0)</f>
        <v>165</v>
      </c>
      <c r="CC93">
        <f>IF(gamma!CC93,VLOOKUP(zeta!CC$1,main!$A$3:$H$102,5,FALSE)-VLOOKUP(zeta!$A93,main!$A$3:$H$102,6,FALSE),0)</f>
        <v>375</v>
      </c>
      <c r="CD93">
        <f>IF(gamma!CD93,VLOOKUP(zeta!CD$1,main!$A$3:$H$102,5,FALSE)-VLOOKUP(zeta!$A93,main!$A$3:$H$102,6,FALSE),0)</f>
        <v>110</v>
      </c>
      <c r="CE93">
        <f>IF(gamma!CE93,VLOOKUP(zeta!CE$1,main!$A$3:$H$102,5,FALSE)-VLOOKUP(zeta!$A93,main!$A$3:$H$102,6,FALSE),0)</f>
        <v>0</v>
      </c>
      <c r="CF93">
        <f>IF(gamma!CF93,VLOOKUP(zeta!CF$1,main!$A$3:$H$102,5,FALSE)-VLOOKUP(zeta!$A93,main!$A$3:$H$102,6,FALSE),0)</f>
        <v>0</v>
      </c>
      <c r="CG93">
        <f>IF(gamma!CG93,VLOOKUP(zeta!CG$1,main!$A$3:$H$102,5,FALSE)-VLOOKUP(zeta!$A93,main!$A$3:$H$102,6,FALSE),0)</f>
        <v>60</v>
      </c>
      <c r="CH93">
        <f>IF(gamma!CH93,VLOOKUP(zeta!CH$1,main!$A$3:$H$102,5,FALSE)-VLOOKUP(zeta!$A93,main!$A$3:$H$102,6,FALSE),0)</f>
        <v>260</v>
      </c>
      <c r="CI93">
        <f>IF(gamma!CI93,VLOOKUP(zeta!CI$1,main!$A$3:$H$102,5,FALSE)-VLOOKUP(zeta!$A93,main!$A$3:$H$102,6,FALSE),0)</f>
        <v>460</v>
      </c>
      <c r="CJ93">
        <f>IF(gamma!CJ93,VLOOKUP(zeta!CJ$1,main!$A$3:$H$102,5,FALSE)-VLOOKUP(zeta!$A93,main!$A$3:$H$102,6,FALSE),0)</f>
        <v>50</v>
      </c>
      <c r="CK93">
        <f>IF(gamma!CK93,VLOOKUP(zeta!CK$1,main!$A$3:$H$102,5,FALSE)-VLOOKUP(zeta!$A93,main!$A$3:$H$102,6,FALSE),0)</f>
        <v>0</v>
      </c>
      <c r="CL93">
        <f>IF(gamma!CL93,VLOOKUP(zeta!CL$1,main!$A$3:$H$102,5,FALSE)-VLOOKUP(zeta!$A93,main!$A$3:$H$102,6,FALSE),0)</f>
        <v>60</v>
      </c>
      <c r="CM93">
        <f>IF(gamma!CM93,VLOOKUP(zeta!CM$1,main!$A$3:$H$102,5,FALSE)-VLOOKUP(zeta!$A93,main!$A$3:$H$102,6,FALSE),0)</f>
        <v>236</v>
      </c>
      <c r="CN93">
        <f>IF(gamma!CN93,VLOOKUP(zeta!CN$1,main!$A$3:$H$102,5,FALSE)-VLOOKUP(zeta!$A93,main!$A$3:$H$102,6,FALSE),0)</f>
        <v>460</v>
      </c>
      <c r="CO93">
        <f>IF(gamma!CO93,VLOOKUP(zeta!CO$1,main!$A$3:$H$102,5,FALSE)-VLOOKUP(zeta!$A93,main!$A$3:$H$102,6,FALSE),0)</f>
        <v>0</v>
      </c>
      <c r="CP93">
        <f>IF(gamma!CP93,VLOOKUP(zeta!CP$1,main!$A$3:$H$102,5,FALSE)-VLOOKUP(zeta!$A93,main!$A$3:$H$102,6,FALSE),0)</f>
        <v>0</v>
      </c>
      <c r="CQ93">
        <f>IF(gamma!CQ93,VLOOKUP(zeta!CQ$1,main!$A$3:$H$102,5,FALSE)-VLOOKUP(zeta!$A93,main!$A$3:$H$102,6,FALSE),0)</f>
        <v>0</v>
      </c>
      <c r="CR93">
        <f>IF(gamma!CR93,VLOOKUP(zeta!CR$1,main!$A$3:$H$102,5,FALSE)-VLOOKUP(zeta!$A93,main!$A$3:$H$102,6,FALSE),0)</f>
        <v>225</v>
      </c>
      <c r="CS93">
        <f>IF(gamma!CS93,VLOOKUP(zeta!CS$1,main!$A$3:$H$102,5,FALSE)-VLOOKUP(zeta!$A93,main!$A$3:$H$102,6,FALSE),0)</f>
        <v>235</v>
      </c>
      <c r="CT93">
        <f>IF(gamma!CT93,VLOOKUP(zeta!CT$1,main!$A$3:$H$102,5,FALSE)-VLOOKUP(zeta!$A93,main!$A$3:$H$102,6,FALSE),0)</f>
        <v>0</v>
      </c>
      <c r="CU93">
        <f>IF(gamma!CU93,VLOOKUP(zeta!CU$1,main!$A$3:$H$102,5,FALSE)-VLOOKUP(zeta!$A93,main!$A$3:$H$102,6,FALSE),0)</f>
        <v>0</v>
      </c>
      <c r="CV93">
        <f>IF(gamma!CV93,VLOOKUP(zeta!CV$1,main!$A$3:$H$102,5,FALSE)-VLOOKUP(zeta!$A93,main!$A$3:$H$102,6,FALSE),0)</f>
        <v>0</v>
      </c>
      <c r="CW93">
        <f>IF(gamma!CW93,VLOOKUP(zeta!CW$1,main!$A$3:$H$102,5,FALSE)-VLOOKUP(zeta!$A93,main!$A$3:$H$102,6,FALSE),0)</f>
        <v>225</v>
      </c>
      <c r="CX93">
        <f>IF(gamma!CX93,VLOOKUP(zeta!CX$1,main!$A$3:$H$102,5,FALSE)-VLOOKUP(zeta!$A93,main!$A$3:$H$102,6,FALSE),0)</f>
        <v>265</v>
      </c>
    </row>
    <row r="94" spans="1:102" x14ac:dyDescent="0.25">
      <c r="A94">
        <f t="shared" si="2"/>
        <v>92</v>
      </c>
      <c r="B94">
        <v>0</v>
      </c>
      <c r="C94">
        <f>IF(gamma!C94,VLOOKUP(zeta!C$1,main!$A$3:$H$102,5,FALSE)-VLOOKUP(zeta!$A94,main!$A$3:$H$102,6,FALSE),0)</f>
        <v>0</v>
      </c>
      <c r="D94">
        <f>IF(gamma!D94,VLOOKUP(zeta!D$1,main!$A$3:$H$102,5,FALSE)-VLOOKUP(zeta!$A94,main!$A$3:$H$102,6,FALSE),0)</f>
        <v>0</v>
      </c>
      <c r="E94">
        <f>IF(gamma!E94,VLOOKUP(zeta!E$1,main!$A$3:$H$102,5,FALSE)-VLOOKUP(zeta!$A94,main!$A$3:$H$102,6,FALSE),0)</f>
        <v>0</v>
      </c>
      <c r="F94">
        <f>IF(gamma!F94,VLOOKUP(zeta!F$1,main!$A$3:$H$102,5,FALSE)-VLOOKUP(zeta!$A94,main!$A$3:$H$102,6,FALSE),0)</f>
        <v>0</v>
      </c>
      <c r="G94">
        <f>IF(gamma!G94,VLOOKUP(zeta!G$1,main!$A$3:$H$102,5,FALSE)-VLOOKUP(zeta!$A94,main!$A$3:$H$102,6,FALSE),0)</f>
        <v>0</v>
      </c>
      <c r="H94">
        <f>IF(gamma!H94,VLOOKUP(zeta!H$1,main!$A$3:$H$102,5,FALSE)-VLOOKUP(zeta!$A94,main!$A$3:$H$102,6,FALSE),0)</f>
        <v>0</v>
      </c>
      <c r="I94">
        <f>IF(gamma!I94,VLOOKUP(zeta!I$1,main!$A$3:$H$102,5,FALSE)-VLOOKUP(zeta!$A94,main!$A$3:$H$102,6,FALSE),0)</f>
        <v>95</v>
      </c>
      <c r="J94">
        <f>IF(gamma!J94,VLOOKUP(zeta!J$1,main!$A$3:$H$102,5,FALSE)-VLOOKUP(zeta!$A94,main!$A$3:$H$102,6,FALSE),0)</f>
        <v>155</v>
      </c>
      <c r="K94">
        <f>IF(gamma!K94,VLOOKUP(zeta!K$1,main!$A$3:$H$102,5,FALSE)-VLOOKUP(zeta!$A94,main!$A$3:$H$102,6,FALSE),0)</f>
        <v>215</v>
      </c>
      <c r="L94">
        <f>IF(gamma!L94,VLOOKUP(zeta!L$1,main!$A$3:$H$102,5,FALSE)-VLOOKUP(zeta!$A94,main!$A$3:$H$102,6,FALSE),0)</f>
        <v>305</v>
      </c>
      <c r="M94">
        <f>IF(gamma!M94,VLOOKUP(zeta!M$1,main!$A$3:$H$102,5,FALSE)-VLOOKUP(zeta!$A94,main!$A$3:$H$102,6,FALSE),0)</f>
        <v>0</v>
      </c>
      <c r="N94">
        <f>IF(gamma!N94,VLOOKUP(zeta!N$1,main!$A$3:$H$102,5,FALSE)-VLOOKUP(zeta!$A94,main!$A$3:$H$102,6,FALSE),0)</f>
        <v>0</v>
      </c>
      <c r="O94">
        <f>IF(gamma!O94,VLOOKUP(zeta!O$1,main!$A$3:$H$102,5,FALSE)-VLOOKUP(zeta!$A94,main!$A$3:$H$102,6,FALSE),0)</f>
        <v>0</v>
      </c>
      <c r="P94">
        <f>IF(gamma!P94,VLOOKUP(zeta!P$1,main!$A$3:$H$102,5,FALSE)-VLOOKUP(zeta!$A94,main!$A$3:$H$102,6,FALSE),0)</f>
        <v>0</v>
      </c>
      <c r="Q94">
        <f>IF(gamma!Q94,VLOOKUP(zeta!Q$1,main!$A$3:$H$102,5,FALSE)-VLOOKUP(zeta!$A94,main!$A$3:$H$102,6,FALSE),0)</f>
        <v>0</v>
      </c>
      <c r="R94">
        <f>IF(gamma!R94,VLOOKUP(zeta!R$1,main!$A$3:$H$102,5,FALSE)-VLOOKUP(zeta!$A94,main!$A$3:$H$102,6,FALSE),0)</f>
        <v>0</v>
      </c>
      <c r="S94">
        <f>IF(gamma!S94,VLOOKUP(zeta!S$1,main!$A$3:$H$102,5,FALSE)-VLOOKUP(zeta!$A94,main!$A$3:$H$102,6,FALSE),0)</f>
        <v>0</v>
      </c>
      <c r="T94">
        <f>IF(gamma!T94,VLOOKUP(zeta!T$1,main!$A$3:$H$102,5,FALSE)-VLOOKUP(zeta!$A94,main!$A$3:$H$102,6,FALSE),0)</f>
        <v>115</v>
      </c>
      <c r="U94">
        <f>IF(gamma!U94,VLOOKUP(zeta!U$1,main!$A$3:$H$102,5,FALSE)-VLOOKUP(zeta!$A94,main!$A$3:$H$102,6,FALSE),0)</f>
        <v>270</v>
      </c>
      <c r="V94">
        <f>IF(gamma!V94,VLOOKUP(zeta!V$1,main!$A$3:$H$102,5,FALSE)-VLOOKUP(zeta!$A94,main!$A$3:$H$102,6,FALSE),0)</f>
        <v>330</v>
      </c>
      <c r="W94">
        <f>IF(gamma!W94,VLOOKUP(zeta!W$1,main!$A$3:$H$102,5,FALSE)-VLOOKUP(zeta!$A94,main!$A$3:$H$102,6,FALSE),0)</f>
        <v>0</v>
      </c>
      <c r="X94">
        <f>IF(gamma!X94,VLOOKUP(zeta!X$1,main!$A$3:$H$102,5,FALSE)-VLOOKUP(zeta!$A94,main!$A$3:$H$102,6,FALSE),0)</f>
        <v>0</v>
      </c>
      <c r="Y94">
        <f>IF(gamma!Y94,VLOOKUP(zeta!Y$1,main!$A$3:$H$102,5,FALSE)-VLOOKUP(zeta!$A94,main!$A$3:$H$102,6,FALSE),0)</f>
        <v>0</v>
      </c>
      <c r="Z94">
        <f>IF(gamma!Z94,VLOOKUP(zeta!Z$1,main!$A$3:$H$102,5,FALSE)-VLOOKUP(zeta!$A94,main!$A$3:$H$102,6,FALSE),0)</f>
        <v>85</v>
      </c>
      <c r="AA94">
        <f>IF(gamma!AA94,VLOOKUP(zeta!AA$1,main!$A$3:$H$102,5,FALSE)-VLOOKUP(zeta!$A94,main!$A$3:$H$102,6,FALSE),0)</f>
        <v>235</v>
      </c>
      <c r="AB94">
        <f>IF(gamma!AB94,VLOOKUP(zeta!AB$1,main!$A$3:$H$102,5,FALSE)-VLOOKUP(zeta!$A94,main!$A$3:$H$102,6,FALSE),0)</f>
        <v>0</v>
      </c>
      <c r="AC94">
        <f>IF(gamma!AC94,VLOOKUP(zeta!AC$1,main!$A$3:$H$102,5,FALSE)-VLOOKUP(zeta!$A94,main!$A$3:$H$102,6,FALSE),0)</f>
        <v>0</v>
      </c>
      <c r="AD94">
        <f>IF(gamma!AD94,VLOOKUP(zeta!AD$1,main!$A$3:$H$102,5,FALSE)-VLOOKUP(zeta!$A94,main!$A$3:$H$102,6,FALSE),0)</f>
        <v>0</v>
      </c>
      <c r="AE94">
        <f>IF(gamma!AE94,VLOOKUP(zeta!AE$1,main!$A$3:$H$102,5,FALSE)-VLOOKUP(zeta!$A94,main!$A$3:$H$102,6,FALSE),0)</f>
        <v>45</v>
      </c>
      <c r="AF94">
        <f>IF(gamma!AF94,VLOOKUP(zeta!AF$1,main!$A$3:$H$102,5,FALSE)-VLOOKUP(zeta!$A94,main!$A$3:$H$102,6,FALSE),0)</f>
        <v>215</v>
      </c>
      <c r="AG94">
        <f>IF(gamma!AG94,VLOOKUP(zeta!AG$1,main!$A$3:$H$102,5,FALSE)-VLOOKUP(zeta!$A94,main!$A$3:$H$102,6,FALSE),0)</f>
        <v>0</v>
      </c>
      <c r="AH94">
        <f>IF(gamma!AH94,VLOOKUP(zeta!AH$1,main!$A$3:$H$102,5,FALSE)-VLOOKUP(zeta!$A94,main!$A$3:$H$102,6,FALSE),0)</f>
        <v>0</v>
      </c>
      <c r="AI94">
        <f>IF(gamma!AI94,VLOOKUP(zeta!AI$1,main!$A$3:$H$102,5,FALSE)-VLOOKUP(zeta!$A94,main!$A$3:$H$102,6,FALSE),0)</f>
        <v>0</v>
      </c>
      <c r="AJ94">
        <f>IF(gamma!AJ94,VLOOKUP(zeta!AJ$1,main!$A$3:$H$102,5,FALSE)-VLOOKUP(zeta!$A94,main!$A$3:$H$102,6,FALSE),0)</f>
        <v>0</v>
      </c>
      <c r="AK94">
        <f>IF(gamma!AK94,VLOOKUP(zeta!AK$1,main!$A$3:$H$102,5,FALSE)-VLOOKUP(zeta!$A94,main!$A$3:$H$102,6,FALSE),0)</f>
        <v>0</v>
      </c>
      <c r="AL94">
        <f>IF(gamma!AL94,VLOOKUP(zeta!AL$1,main!$A$3:$H$102,5,FALSE)-VLOOKUP(zeta!$A94,main!$A$3:$H$102,6,FALSE),0)</f>
        <v>105</v>
      </c>
      <c r="AM94">
        <f>IF(gamma!AM94,VLOOKUP(zeta!AM$1,main!$A$3:$H$102,5,FALSE)-VLOOKUP(zeta!$A94,main!$A$3:$H$102,6,FALSE),0)</f>
        <v>195</v>
      </c>
      <c r="AN94">
        <f>IF(gamma!AN94,VLOOKUP(zeta!AN$1,main!$A$3:$H$102,5,FALSE)-VLOOKUP(zeta!$A94,main!$A$3:$H$102,6,FALSE),0)</f>
        <v>255</v>
      </c>
      <c r="AO94">
        <f>IF(gamma!AO94,VLOOKUP(zeta!AO$1,main!$A$3:$H$102,5,FALSE)-VLOOKUP(zeta!$A94,main!$A$3:$H$102,6,FALSE),0)</f>
        <v>0</v>
      </c>
      <c r="AP94">
        <f>IF(gamma!AP94,VLOOKUP(zeta!AP$1,main!$A$3:$H$102,5,FALSE)-VLOOKUP(zeta!$A94,main!$A$3:$H$102,6,FALSE),0)</f>
        <v>315</v>
      </c>
      <c r="AQ94">
        <f>IF(gamma!AQ94,VLOOKUP(zeta!AQ$1,main!$A$3:$H$102,5,FALSE)-VLOOKUP(zeta!$A94,main!$A$3:$H$102,6,FALSE),0)</f>
        <v>0</v>
      </c>
      <c r="AR94">
        <f>IF(gamma!AR94,VLOOKUP(zeta!AR$1,main!$A$3:$H$102,5,FALSE)-VLOOKUP(zeta!$A94,main!$A$3:$H$102,6,FALSE),0)</f>
        <v>0</v>
      </c>
      <c r="AS94">
        <f>IF(gamma!AS94,VLOOKUP(zeta!AS$1,main!$A$3:$H$102,5,FALSE)-VLOOKUP(zeta!$A94,main!$A$3:$H$102,6,FALSE),0)</f>
        <v>0</v>
      </c>
      <c r="AT94">
        <f>IF(gamma!AT94,VLOOKUP(zeta!AT$1,main!$A$3:$H$102,5,FALSE)-VLOOKUP(zeta!$A94,main!$A$3:$H$102,6,FALSE),0)</f>
        <v>65</v>
      </c>
      <c r="AU94">
        <f>IF(gamma!AU94,VLOOKUP(zeta!AU$1,main!$A$3:$H$102,5,FALSE)-VLOOKUP(zeta!$A94,main!$A$3:$H$102,6,FALSE),0)</f>
        <v>0</v>
      </c>
      <c r="AV94">
        <f>IF(gamma!AV94,VLOOKUP(zeta!AV$1,main!$A$3:$H$102,5,FALSE)-VLOOKUP(zeta!$A94,main!$A$3:$H$102,6,FALSE),0)</f>
        <v>0</v>
      </c>
      <c r="AW94">
        <f>IF(gamma!AW94,VLOOKUP(zeta!AW$1,main!$A$3:$H$102,5,FALSE)-VLOOKUP(zeta!$A94,main!$A$3:$H$102,6,FALSE),0)</f>
        <v>0</v>
      </c>
      <c r="AX94">
        <f>IF(gamma!AX94,VLOOKUP(zeta!AX$1,main!$A$3:$H$102,5,FALSE)-VLOOKUP(zeta!$A94,main!$A$3:$H$102,6,FALSE),0)</f>
        <v>0</v>
      </c>
      <c r="AY94">
        <f>IF(gamma!AY94,VLOOKUP(zeta!AY$1,main!$A$3:$H$102,5,FALSE)-VLOOKUP(zeta!$A94,main!$A$3:$H$102,6,FALSE),0)</f>
        <v>0</v>
      </c>
      <c r="AZ94">
        <f>IF(gamma!AZ94,VLOOKUP(zeta!AZ$1,main!$A$3:$H$102,5,FALSE)-VLOOKUP(zeta!$A94,main!$A$3:$H$102,6,FALSE),0)</f>
        <v>0</v>
      </c>
      <c r="BA94">
        <f>IF(gamma!BA94,VLOOKUP(zeta!BA$1,main!$A$3:$H$102,5,FALSE)-VLOOKUP(zeta!$A94,main!$A$3:$H$102,6,FALSE),0)</f>
        <v>0</v>
      </c>
      <c r="BB94">
        <f>IF(gamma!BB94,VLOOKUP(zeta!BB$1,main!$A$3:$H$102,5,FALSE)-VLOOKUP(zeta!$A94,main!$A$3:$H$102,6,FALSE),0)</f>
        <v>0</v>
      </c>
      <c r="BC94">
        <f>IF(gamma!BC94,VLOOKUP(zeta!BC$1,main!$A$3:$H$102,5,FALSE)-VLOOKUP(zeta!$A94,main!$A$3:$H$102,6,FALSE),0)</f>
        <v>0</v>
      </c>
      <c r="BD94">
        <f>IF(gamma!BD94,VLOOKUP(zeta!BD$1,main!$A$3:$H$102,5,FALSE)-VLOOKUP(zeta!$A94,main!$A$3:$H$102,6,FALSE),0)</f>
        <v>35</v>
      </c>
      <c r="BE94">
        <f>IF(gamma!BE94,VLOOKUP(zeta!BE$1,main!$A$3:$H$102,5,FALSE)-VLOOKUP(zeta!$A94,main!$A$3:$H$102,6,FALSE),0)</f>
        <v>155</v>
      </c>
      <c r="BF94">
        <f>IF(gamma!BF94,VLOOKUP(zeta!BF$1,main!$A$3:$H$102,5,FALSE)-VLOOKUP(zeta!$A94,main!$A$3:$H$102,6,FALSE),0)</f>
        <v>0</v>
      </c>
      <c r="BG94">
        <f>IF(gamma!BG94,VLOOKUP(zeta!BG$1,main!$A$3:$H$102,5,FALSE)-VLOOKUP(zeta!$A94,main!$A$3:$H$102,6,FALSE),0)</f>
        <v>0</v>
      </c>
      <c r="BH94">
        <f>IF(gamma!BH94,VLOOKUP(zeta!BH$1,main!$A$3:$H$102,5,FALSE)-VLOOKUP(zeta!$A94,main!$A$3:$H$102,6,FALSE),0)</f>
        <v>0</v>
      </c>
      <c r="BI94">
        <f>IF(gamma!BI94,VLOOKUP(zeta!BI$1,main!$A$3:$H$102,5,FALSE)-VLOOKUP(zeta!$A94,main!$A$3:$H$102,6,FALSE),0)</f>
        <v>325</v>
      </c>
      <c r="BJ94">
        <f>IF(gamma!BJ94,VLOOKUP(zeta!BJ$1,main!$A$3:$H$102,5,FALSE)-VLOOKUP(zeta!$A94,main!$A$3:$H$102,6,FALSE),0)</f>
        <v>115</v>
      </c>
      <c r="BK94">
        <f>IF(gamma!BK94,VLOOKUP(zeta!BK$1,main!$A$3:$H$102,5,FALSE)-VLOOKUP(zeta!$A94,main!$A$3:$H$102,6,FALSE),0)</f>
        <v>0</v>
      </c>
      <c r="BL94">
        <f>IF(gamma!BL94,VLOOKUP(zeta!BL$1,main!$A$3:$H$102,5,FALSE)-VLOOKUP(zeta!$A94,main!$A$3:$H$102,6,FALSE),0)</f>
        <v>0</v>
      </c>
      <c r="BM94">
        <f>IF(gamma!BM94,VLOOKUP(zeta!BM$1,main!$A$3:$H$102,5,FALSE)-VLOOKUP(zeta!$A94,main!$A$3:$H$102,6,FALSE),0)</f>
        <v>0</v>
      </c>
      <c r="BN94">
        <f>IF(gamma!BN94,VLOOKUP(zeta!BN$1,main!$A$3:$H$102,5,FALSE)-VLOOKUP(zeta!$A94,main!$A$3:$H$102,6,FALSE),0)</f>
        <v>15</v>
      </c>
      <c r="BO94">
        <f>IF(gamma!BO94,VLOOKUP(zeta!BO$1,main!$A$3:$H$102,5,FALSE)-VLOOKUP(zeta!$A94,main!$A$3:$H$102,6,FALSE),0)</f>
        <v>0</v>
      </c>
      <c r="BP94">
        <f>IF(gamma!BP94,VLOOKUP(zeta!BP$1,main!$A$3:$H$102,5,FALSE)-VLOOKUP(zeta!$A94,main!$A$3:$H$102,6,FALSE),0)</f>
        <v>0</v>
      </c>
      <c r="BQ94">
        <f>IF(gamma!BQ94,VLOOKUP(zeta!BQ$1,main!$A$3:$H$102,5,FALSE)-VLOOKUP(zeta!$A94,main!$A$3:$H$102,6,FALSE),0)</f>
        <v>0</v>
      </c>
      <c r="BR94">
        <f>IF(gamma!BR94,VLOOKUP(zeta!BR$1,main!$A$3:$H$102,5,FALSE)-VLOOKUP(zeta!$A94,main!$A$3:$H$102,6,FALSE),0)</f>
        <v>0</v>
      </c>
      <c r="BS94">
        <f>IF(gamma!BS94,VLOOKUP(zeta!BS$1,main!$A$3:$H$102,5,FALSE)-VLOOKUP(zeta!$A94,main!$A$3:$H$102,6,FALSE),0)</f>
        <v>0</v>
      </c>
      <c r="BT94">
        <f>IF(gamma!BT94,VLOOKUP(zeta!BT$1,main!$A$3:$H$102,5,FALSE)-VLOOKUP(zeta!$A94,main!$A$3:$H$102,6,FALSE),0)</f>
        <v>0</v>
      </c>
      <c r="BU94">
        <f>IF(gamma!BU94,VLOOKUP(zeta!BU$1,main!$A$3:$H$102,5,FALSE)-VLOOKUP(zeta!$A94,main!$A$3:$H$102,6,FALSE),0)</f>
        <v>0</v>
      </c>
      <c r="BV94">
        <f>IF(gamma!BV94,VLOOKUP(zeta!BV$1,main!$A$3:$H$102,5,FALSE)-VLOOKUP(zeta!$A94,main!$A$3:$H$102,6,FALSE),0)</f>
        <v>0</v>
      </c>
      <c r="BW94">
        <f>IF(gamma!BW94,VLOOKUP(zeta!BW$1,main!$A$3:$H$102,5,FALSE)-VLOOKUP(zeta!$A94,main!$A$3:$H$102,6,FALSE),0)</f>
        <v>0</v>
      </c>
      <c r="BX94">
        <f>IF(gamma!BX94,VLOOKUP(zeta!BX$1,main!$A$3:$H$102,5,FALSE)-VLOOKUP(zeta!$A94,main!$A$3:$H$102,6,FALSE),0)</f>
        <v>0</v>
      </c>
      <c r="BY94">
        <f>IF(gamma!BY94,VLOOKUP(zeta!BY$1,main!$A$3:$H$102,5,FALSE)-VLOOKUP(zeta!$A94,main!$A$3:$H$102,6,FALSE),0)</f>
        <v>0</v>
      </c>
      <c r="BZ94">
        <f>IF(gamma!BZ94,VLOOKUP(zeta!BZ$1,main!$A$3:$H$102,5,FALSE)-VLOOKUP(zeta!$A94,main!$A$3:$H$102,6,FALSE),0)</f>
        <v>0</v>
      </c>
      <c r="CA94">
        <f>IF(gamma!CA94,VLOOKUP(zeta!CA$1,main!$A$3:$H$102,5,FALSE)-VLOOKUP(zeta!$A94,main!$A$3:$H$102,6,FALSE),0)</f>
        <v>0</v>
      </c>
      <c r="CB94">
        <f>IF(gamma!CB94,VLOOKUP(zeta!CB$1,main!$A$3:$H$102,5,FALSE)-VLOOKUP(zeta!$A94,main!$A$3:$H$102,6,FALSE),0)</f>
        <v>20</v>
      </c>
      <c r="CC94">
        <f>IF(gamma!CC94,VLOOKUP(zeta!CC$1,main!$A$3:$H$102,5,FALSE)-VLOOKUP(zeta!$A94,main!$A$3:$H$102,6,FALSE),0)</f>
        <v>230</v>
      </c>
      <c r="CD94">
        <f>IF(gamma!CD94,VLOOKUP(zeta!CD$1,main!$A$3:$H$102,5,FALSE)-VLOOKUP(zeta!$A94,main!$A$3:$H$102,6,FALSE),0)</f>
        <v>0</v>
      </c>
      <c r="CE94">
        <f>IF(gamma!CE94,VLOOKUP(zeta!CE$1,main!$A$3:$H$102,5,FALSE)-VLOOKUP(zeta!$A94,main!$A$3:$H$102,6,FALSE),0)</f>
        <v>0</v>
      </c>
      <c r="CF94">
        <f>IF(gamma!CF94,VLOOKUP(zeta!CF$1,main!$A$3:$H$102,5,FALSE)-VLOOKUP(zeta!$A94,main!$A$3:$H$102,6,FALSE),0)</f>
        <v>0</v>
      </c>
      <c r="CG94">
        <f>IF(gamma!CG94,VLOOKUP(zeta!CG$1,main!$A$3:$H$102,5,FALSE)-VLOOKUP(zeta!$A94,main!$A$3:$H$102,6,FALSE),0)</f>
        <v>0</v>
      </c>
      <c r="CH94">
        <f>IF(gamma!CH94,VLOOKUP(zeta!CH$1,main!$A$3:$H$102,5,FALSE)-VLOOKUP(zeta!$A94,main!$A$3:$H$102,6,FALSE),0)</f>
        <v>115</v>
      </c>
      <c r="CI94">
        <f>IF(gamma!CI94,VLOOKUP(zeta!CI$1,main!$A$3:$H$102,5,FALSE)-VLOOKUP(zeta!$A94,main!$A$3:$H$102,6,FALSE),0)</f>
        <v>315</v>
      </c>
      <c r="CJ94">
        <f>IF(gamma!CJ94,VLOOKUP(zeta!CJ$1,main!$A$3:$H$102,5,FALSE)-VLOOKUP(zeta!$A94,main!$A$3:$H$102,6,FALSE),0)</f>
        <v>0</v>
      </c>
      <c r="CK94">
        <f>IF(gamma!CK94,VLOOKUP(zeta!CK$1,main!$A$3:$H$102,5,FALSE)-VLOOKUP(zeta!$A94,main!$A$3:$H$102,6,FALSE),0)</f>
        <v>0</v>
      </c>
      <c r="CL94">
        <f>IF(gamma!CL94,VLOOKUP(zeta!CL$1,main!$A$3:$H$102,5,FALSE)-VLOOKUP(zeta!$A94,main!$A$3:$H$102,6,FALSE),0)</f>
        <v>0</v>
      </c>
      <c r="CM94">
        <f>IF(gamma!CM94,VLOOKUP(zeta!CM$1,main!$A$3:$H$102,5,FALSE)-VLOOKUP(zeta!$A94,main!$A$3:$H$102,6,FALSE),0)</f>
        <v>91</v>
      </c>
      <c r="CN94">
        <f>IF(gamma!CN94,VLOOKUP(zeta!CN$1,main!$A$3:$H$102,5,FALSE)-VLOOKUP(zeta!$A94,main!$A$3:$H$102,6,FALSE),0)</f>
        <v>315</v>
      </c>
      <c r="CO94">
        <f>IF(gamma!CO94,VLOOKUP(zeta!CO$1,main!$A$3:$H$102,5,FALSE)-VLOOKUP(zeta!$A94,main!$A$3:$H$102,6,FALSE),0)</f>
        <v>0</v>
      </c>
      <c r="CP94">
        <f>IF(gamma!CP94,VLOOKUP(zeta!CP$1,main!$A$3:$H$102,5,FALSE)-VLOOKUP(zeta!$A94,main!$A$3:$H$102,6,FALSE),0)</f>
        <v>0</v>
      </c>
      <c r="CQ94">
        <f>IF(gamma!CQ94,VLOOKUP(zeta!CQ$1,main!$A$3:$H$102,5,FALSE)-VLOOKUP(zeta!$A94,main!$A$3:$H$102,6,FALSE),0)</f>
        <v>0</v>
      </c>
      <c r="CR94">
        <f>IF(gamma!CR94,VLOOKUP(zeta!CR$1,main!$A$3:$H$102,5,FALSE)-VLOOKUP(zeta!$A94,main!$A$3:$H$102,6,FALSE),0)</f>
        <v>80</v>
      </c>
      <c r="CS94">
        <f>IF(gamma!CS94,VLOOKUP(zeta!CS$1,main!$A$3:$H$102,5,FALSE)-VLOOKUP(zeta!$A94,main!$A$3:$H$102,6,FALSE),0)</f>
        <v>90</v>
      </c>
      <c r="CT94">
        <f>IF(gamma!CT94,VLOOKUP(zeta!CT$1,main!$A$3:$H$102,5,FALSE)-VLOOKUP(zeta!$A94,main!$A$3:$H$102,6,FALSE),0)</f>
        <v>0</v>
      </c>
      <c r="CU94">
        <f>IF(gamma!CU94,VLOOKUP(zeta!CU$1,main!$A$3:$H$102,5,FALSE)-VLOOKUP(zeta!$A94,main!$A$3:$H$102,6,FALSE),0)</f>
        <v>0</v>
      </c>
      <c r="CV94">
        <f>IF(gamma!CV94,VLOOKUP(zeta!CV$1,main!$A$3:$H$102,5,FALSE)-VLOOKUP(zeta!$A94,main!$A$3:$H$102,6,FALSE),0)</f>
        <v>0</v>
      </c>
      <c r="CW94">
        <f>IF(gamma!CW94,VLOOKUP(zeta!CW$1,main!$A$3:$H$102,5,FALSE)-VLOOKUP(zeta!$A94,main!$A$3:$H$102,6,FALSE),0)</f>
        <v>80</v>
      </c>
      <c r="CX94">
        <f>IF(gamma!CX94,VLOOKUP(zeta!CX$1,main!$A$3:$H$102,5,FALSE)-VLOOKUP(zeta!$A94,main!$A$3:$H$102,6,FALSE),0)</f>
        <v>120</v>
      </c>
    </row>
    <row r="95" spans="1:102" x14ac:dyDescent="0.25">
      <c r="A95">
        <f t="shared" si="2"/>
        <v>93</v>
      </c>
      <c r="B95">
        <v>0</v>
      </c>
      <c r="C95">
        <f>IF(gamma!C95,VLOOKUP(zeta!C$1,main!$A$3:$H$102,5,FALSE)-VLOOKUP(zeta!$A95,main!$A$3:$H$102,6,FALSE),0)</f>
        <v>0</v>
      </c>
      <c r="D95">
        <f>IF(gamma!D95,VLOOKUP(zeta!D$1,main!$A$3:$H$102,5,FALSE)-VLOOKUP(zeta!$A95,main!$A$3:$H$102,6,FALSE),0)</f>
        <v>0</v>
      </c>
      <c r="E95">
        <f>IF(gamma!E95,VLOOKUP(zeta!E$1,main!$A$3:$H$102,5,FALSE)-VLOOKUP(zeta!$A95,main!$A$3:$H$102,6,FALSE),0)</f>
        <v>0</v>
      </c>
      <c r="F95">
        <f>IF(gamma!F95,VLOOKUP(zeta!F$1,main!$A$3:$H$102,5,FALSE)-VLOOKUP(zeta!$A95,main!$A$3:$H$102,6,FALSE),0)</f>
        <v>0</v>
      </c>
      <c r="G95">
        <f>IF(gamma!G95,VLOOKUP(zeta!G$1,main!$A$3:$H$102,5,FALSE)-VLOOKUP(zeta!$A95,main!$A$3:$H$102,6,FALSE),0)</f>
        <v>0</v>
      </c>
      <c r="H95">
        <f>IF(gamma!H95,VLOOKUP(zeta!H$1,main!$A$3:$H$102,5,FALSE)-VLOOKUP(zeta!$A95,main!$A$3:$H$102,6,FALSE),0)</f>
        <v>0</v>
      </c>
      <c r="I95">
        <f>IF(gamma!I95,VLOOKUP(zeta!I$1,main!$A$3:$H$102,5,FALSE)-VLOOKUP(zeta!$A95,main!$A$3:$H$102,6,FALSE),0)</f>
        <v>80</v>
      </c>
      <c r="J95">
        <f>IF(gamma!J95,VLOOKUP(zeta!J$1,main!$A$3:$H$102,5,FALSE)-VLOOKUP(zeta!$A95,main!$A$3:$H$102,6,FALSE),0)</f>
        <v>140</v>
      </c>
      <c r="K95">
        <f>IF(gamma!K95,VLOOKUP(zeta!K$1,main!$A$3:$H$102,5,FALSE)-VLOOKUP(zeta!$A95,main!$A$3:$H$102,6,FALSE),0)</f>
        <v>200</v>
      </c>
      <c r="L95">
        <f>IF(gamma!L95,VLOOKUP(zeta!L$1,main!$A$3:$H$102,5,FALSE)-VLOOKUP(zeta!$A95,main!$A$3:$H$102,6,FALSE),0)</f>
        <v>290</v>
      </c>
      <c r="M95">
        <f>IF(gamma!M95,VLOOKUP(zeta!M$1,main!$A$3:$H$102,5,FALSE)-VLOOKUP(zeta!$A95,main!$A$3:$H$102,6,FALSE),0)</f>
        <v>0</v>
      </c>
      <c r="N95">
        <f>IF(gamma!N95,VLOOKUP(zeta!N$1,main!$A$3:$H$102,5,FALSE)-VLOOKUP(zeta!$A95,main!$A$3:$H$102,6,FALSE),0)</f>
        <v>0</v>
      </c>
      <c r="O95">
        <f>IF(gamma!O95,VLOOKUP(zeta!O$1,main!$A$3:$H$102,5,FALSE)-VLOOKUP(zeta!$A95,main!$A$3:$H$102,6,FALSE),0)</f>
        <v>0</v>
      </c>
      <c r="P95">
        <f>IF(gamma!P95,VLOOKUP(zeta!P$1,main!$A$3:$H$102,5,FALSE)-VLOOKUP(zeta!$A95,main!$A$3:$H$102,6,FALSE),0)</f>
        <v>0</v>
      </c>
      <c r="Q95">
        <f>IF(gamma!Q95,VLOOKUP(zeta!Q$1,main!$A$3:$H$102,5,FALSE)-VLOOKUP(zeta!$A95,main!$A$3:$H$102,6,FALSE),0)</f>
        <v>0</v>
      </c>
      <c r="R95">
        <f>IF(gamma!R95,VLOOKUP(zeta!R$1,main!$A$3:$H$102,5,FALSE)-VLOOKUP(zeta!$A95,main!$A$3:$H$102,6,FALSE),0)</f>
        <v>0</v>
      </c>
      <c r="S95">
        <f>IF(gamma!S95,VLOOKUP(zeta!S$1,main!$A$3:$H$102,5,FALSE)-VLOOKUP(zeta!$A95,main!$A$3:$H$102,6,FALSE),0)</f>
        <v>0</v>
      </c>
      <c r="T95">
        <f>IF(gamma!T95,VLOOKUP(zeta!T$1,main!$A$3:$H$102,5,FALSE)-VLOOKUP(zeta!$A95,main!$A$3:$H$102,6,FALSE),0)</f>
        <v>100</v>
      </c>
      <c r="U95">
        <f>IF(gamma!U95,VLOOKUP(zeta!U$1,main!$A$3:$H$102,5,FALSE)-VLOOKUP(zeta!$A95,main!$A$3:$H$102,6,FALSE),0)</f>
        <v>255</v>
      </c>
      <c r="V95">
        <f>IF(gamma!V95,VLOOKUP(zeta!V$1,main!$A$3:$H$102,5,FALSE)-VLOOKUP(zeta!$A95,main!$A$3:$H$102,6,FALSE),0)</f>
        <v>315</v>
      </c>
      <c r="W95">
        <f>IF(gamma!W95,VLOOKUP(zeta!W$1,main!$A$3:$H$102,5,FALSE)-VLOOKUP(zeta!$A95,main!$A$3:$H$102,6,FALSE),0)</f>
        <v>0</v>
      </c>
      <c r="X95">
        <f>IF(gamma!X95,VLOOKUP(zeta!X$1,main!$A$3:$H$102,5,FALSE)-VLOOKUP(zeta!$A95,main!$A$3:$H$102,6,FALSE),0)</f>
        <v>0</v>
      </c>
      <c r="Y95">
        <f>IF(gamma!Y95,VLOOKUP(zeta!Y$1,main!$A$3:$H$102,5,FALSE)-VLOOKUP(zeta!$A95,main!$A$3:$H$102,6,FALSE),0)</f>
        <v>0</v>
      </c>
      <c r="Z95">
        <f>IF(gamma!Z95,VLOOKUP(zeta!Z$1,main!$A$3:$H$102,5,FALSE)-VLOOKUP(zeta!$A95,main!$A$3:$H$102,6,FALSE),0)</f>
        <v>70</v>
      </c>
      <c r="AA95">
        <f>IF(gamma!AA95,VLOOKUP(zeta!AA$1,main!$A$3:$H$102,5,FALSE)-VLOOKUP(zeta!$A95,main!$A$3:$H$102,6,FALSE),0)</f>
        <v>220</v>
      </c>
      <c r="AB95">
        <f>IF(gamma!AB95,VLOOKUP(zeta!AB$1,main!$A$3:$H$102,5,FALSE)-VLOOKUP(zeta!$A95,main!$A$3:$H$102,6,FALSE),0)</f>
        <v>0</v>
      </c>
      <c r="AC95">
        <f>IF(gamma!AC95,VLOOKUP(zeta!AC$1,main!$A$3:$H$102,5,FALSE)-VLOOKUP(zeta!$A95,main!$A$3:$H$102,6,FALSE),0)</f>
        <v>0</v>
      </c>
      <c r="AD95">
        <f>IF(gamma!AD95,VLOOKUP(zeta!AD$1,main!$A$3:$H$102,5,FALSE)-VLOOKUP(zeta!$A95,main!$A$3:$H$102,6,FALSE),0)</f>
        <v>0</v>
      </c>
      <c r="AE95">
        <f>IF(gamma!AE95,VLOOKUP(zeta!AE$1,main!$A$3:$H$102,5,FALSE)-VLOOKUP(zeta!$A95,main!$A$3:$H$102,6,FALSE),0)</f>
        <v>0</v>
      </c>
      <c r="AF95">
        <f>IF(gamma!AF95,VLOOKUP(zeta!AF$1,main!$A$3:$H$102,5,FALSE)-VLOOKUP(zeta!$A95,main!$A$3:$H$102,6,FALSE),0)</f>
        <v>200</v>
      </c>
      <c r="AG95">
        <f>IF(gamma!AG95,VLOOKUP(zeta!AG$1,main!$A$3:$H$102,5,FALSE)-VLOOKUP(zeta!$A95,main!$A$3:$H$102,6,FALSE),0)</f>
        <v>0</v>
      </c>
      <c r="AH95">
        <f>IF(gamma!AH95,VLOOKUP(zeta!AH$1,main!$A$3:$H$102,5,FALSE)-VLOOKUP(zeta!$A95,main!$A$3:$H$102,6,FALSE),0)</f>
        <v>0</v>
      </c>
      <c r="AI95">
        <f>IF(gamma!AI95,VLOOKUP(zeta!AI$1,main!$A$3:$H$102,5,FALSE)-VLOOKUP(zeta!$A95,main!$A$3:$H$102,6,FALSE),0)</f>
        <v>0</v>
      </c>
      <c r="AJ95">
        <f>IF(gamma!AJ95,VLOOKUP(zeta!AJ$1,main!$A$3:$H$102,5,FALSE)-VLOOKUP(zeta!$A95,main!$A$3:$H$102,6,FALSE),0)</f>
        <v>0</v>
      </c>
      <c r="AK95">
        <f>IF(gamma!AK95,VLOOKUP(zeta!AK$1,main!$A$3:$H$102,5,FALSE)-VLOOKUP(zeta!$A95,main!$A$3:$H$102,6,FALSE),0)</f>
        <v>0</v>
      </c>
      <c r="AL95">
        <f>IF(gamma!AL95,VLOOKUP(zeta!AL$1,main!$A$3:$H$102,5,FALSE)-VLOOKUP(zeta!$A95,main!$A$3:$H$102,6,FALSE),0)</f>
        <v>90</v>
      </c>
      <c r="AM95">
        <f>IF(gamma!AM95,VLOOKUP(zeta!AM$1,main!$A$3:$H$102,5,FALSE)-VLOOKUP(zeta!$A95,main!$A$3:$H$102,6,FALSE),0)</f>
        <v>180</v>
      </c>
      <c r="AN95">
        <f>IF(gamma!AN95,VLOOKUP(zeta!AN$1,main!$A$3:$H$102,5,FALSE)-VLOOKUP(zeta!$A95,main!$A$3:$H$102,6,FALSE),0)</f>
        <v>240</v>
      </c>
      <c r="AO95">
        <f>IF(gamma!AO95,VLOOKUP(zeta!AO$1,main!$A$3:$H$102,5,FALSE)-VLOOKUP(zeta!$A95,main!$A$3:$H$102,6,FALSE),0)</f>
        <v>0</v>
      </c>
      <c r="AP95">
        <f>IF(gamma!AP95,VLOOKUP(zeta!AP$1,main!$A$3:$H$102,5,FALSE)-VLOOKUP(zeta!$A95,main!$A$3:$H$102,6,FALSE),0)</f>
        <v>300</v>
      </c>
      <c r="AQ95">
        <f>IF(gamma!AQ95,VLOOKUP(zeta!AQ$1,main!$A$3:$H$102,5,FALSE)-VLOOKUP(zeta!$A95,main!$A$3:$H$102,6,FALSE),0)</f>
        <v>0</v>
      </c>
      <c r="AR95">
        <f>IF(gamma!AR95,VLOOKUP(zeta!AR$1,main!$A$3:$H$102,5,FALSE)-VLOOKUP(zeta!$A95,main!$A$3:$H$102,6,FALSE),0)</f>
        <v>0</v>
      </c>
      <c r="AS95">
        <f>IF(gamma!AS95,VLOOKUP(zeta!AS$1,main!$A$3:$H$102,5,FALSE)-VLOOKUP(zeta!$A95,main!$A$3:$H$102,6,FALSE),0)</f>
        <v>0</v>
      </c>
      <c r="AT95">
        <f>IF(gamma!AT95,VLOOKUP(zeta!AT$1,main!$A$3:$H$102,5,FALSE)-VLOOKUP(zeta!$A95,main!$A$3:$H$102,6,FALSE),0)</f>
        <v>50</v>
      </c>
      <c r="AU95">
        <f>IF(gamma!AU95,VLOOKUP(zeta!AU$1,main!$A$3:$H$102,5,FALSE)-VLOOKUP(zeta!$A95,main!$A$3:$H$102,6,FALSE),0)</f>
        <v>0</v>
      </c>
      <c r="AV95">
        <f>IF(gamma!AV95,VLOOKUP(zeta!AV$1,main!$A$3:$H$102,5,FALSE)-VLOOKUP(zeta!$A95,main!$A$3:$H$102,6,FALSE),0)</f>
        <v>0</v>
      </c>
      <c r="AW95">
        <f>IF(gamma!AW95,VLOOKUP(zeta!AW$1,main!$A$3:$H$102,5,FALSE)-VLOOKUP(zeta!$A95,main!$A$3:$H$102,6,FALSE),0)</f>
        <v>0</v>
      </c>
      <c r="AX95">
        <f>IF(gamma!AX95,VLOOKUP(zeta!AX$1,main!$A$3:$H$102,5,FALSE)-VLOOKUP(zeta!$A95,main!$A$3:$H$102,6,FALSE),0)</f>
        <v>0</v>
      </c>
      <c r="AY95">
        <f>IF(gamma!AY95,VLOOKUP(zeta!AY$1,main!$A$3:$H$102,5,FALSE)-VLOOKUP(zeta!$A95,main!$A$3:$H$102,6,FALSE),0)</f>
        <v>0</v>
      </c>
      <c r="AZ95">
        <f>IF(gamma!AZ95,VLOOKUP(zeta!AZ$1,main!$A$3:$H$102,5,FALSE)-VLOOKUP(zeta!$A95,main!$A$3:$H$102,6,FALSE),0)</f>
        <v>0</v>
      </c>
      <c r="BA95">
        <f>IF(gamma!BA95,VLOOKUP(zeta!BA$1,main!$A$3:$H$102,5,FALSE)-VLOOKUP(zeta!$A95,main!$A$3:$H$102,6,FALSE),0)</f>
        <v>0</v>
      </c>
      <c r="BB95">
        <f>IF(gamma!BB95,VLOOKUP(zeta!BB$1,main!$A$3:$H$102,5,FALSE)-VLOOKUP(zeta!$A95,main!$A$3:$H$102,6,FALSE),0)</f>
        <v>0</v>
      </c>
      <c r="BC95">
        <f>IF(gamma!BC95,VLOOKUP(zeta!BC$1,main!$A$3:$H$102,5,FALSE)-VLOOKUP(zeta!$A95,main!$A$3:$H$102,6,FALSE),0)</f>
        <v>0</v>
      </c>
      <c r="BD95">
        <f>IF(gamma!BD95,VLOOKUP(zeta!BD$1,main!$A$3:$H$102,5,FALSE)-VLOOKUP(zeta!$A95,main!$A$3:$H$102,6,FALSE),0)</f>
        <v>20</v>
      </c>
      <c r="BE95">
        <f>IF(gamma!BE95,VLOOKUP(zeta!BE$1,main!$A$3:$H$102,5,FALSE)-VLOOKUP(zeta!$A95,main!$A$3:$H$102,6,FALSE),0)</f>
        <v>140</v>
      </c>
      <c r="BF95">
        <f>IF(gamma!BF95,VLOOKUP(zeta!BF$1,main!$A$3:$H$102,5,FALSE)-VLOOKUP(zeta!$A95,main!$A$3:$H$102,6,FALSE),0)</f>
        <v>0</v>
      </c>
      <c r="BG95">
        <f>IF(gamma!BG95,VLOOKUP(zeta!BG$1,main!$A$3:$H$102,5,FALSE)-VLOOKUP(zeta!$A95,main!$A$3:$H$102,6,FALSE),0)</f>
        <v>0</v>
      </c>
      <c r="BH95">
        <f>IF(gamma!BH95,VLOOKUP(zeta!BH$1,main!$A$3:$H$102,5,FALSE)-VLOOKUP(zeta!$A95,main!$A$3:$H$102,6,FALSE),0)</f>
        <v>0</v>
      </c>
      <c r="BI95">
        <f>IF(gamma!BI95,VLOOKUP(zeta!BI$1,main!$A$3:$H$102,5,FALSE)-VLOOKUP(zeta!$A95,main!$A$3:$H$102,6,FALSE),0)</f>
        <v>310</v>
      </c>
      <c r="BJ95">
        <f>IF(gamma!BJ95,VLOOKUP(zeta!BJ$1,main!$A$3:$H$102,5,FALSE)-VLOOKUP(zeta!$A95,main!$A$3:$H$102,6,FALSE),0)</f>
        <v>100</v>
      </c>
      <c r="BK95">
        <f>IF(gamma!BK95,VLOOKUP(zeta!BK$1,main!$A$3:$H$102,5,FALSE)-VLOOKUP(zeta!$A95,main!$A$3:$H$102,6,FALSE),0)</f>
        <v>0</v>
      </c>
      <c r="BL95">
        <f>IF(gamma!BL95,VLOOKUP(zeta!BL$1,main!$A$3:$H$102,5,FALSE)-VLOOKUP(zeta!$A95,main!$A$3:$H$102,6,FALSE),0)</f>
        <v>0</v>
      </c>
      <c r="BM95">
        <f>IF(gamma!BM95,VLOOKUP(zeta!BM$1,main!$A$3:$H$102,5,FALSE)-VLOOKUP(zeta!$A95,main!$A$3:$H$102,6,FALSE),0)</f>
        <v>0</v>
      </c>
      <c r="BN95">
        <f>IF(gamma!BN95,VLOOKUP(zeta!BN$1,main!$A$3:$H$102,5,FALSE)-VLOOKUP(zeta!$A95,main!$A$3:$H$102,6,FALSE),0)</f>
        <v>0</v>
      </c>
      <c r="BO95">
        <f>IF(gamma!BO95,VLOOKUP(zeta!BO$1,main!$A$3:$H$102,5,FALSE)-VLOOKUP(zeta!$A95,main!$A$3:$H$102,6,FALSE),0)</f>
        <v>0</v>
      </c>
      <c r="BP95">
        <f>IF(gamma!BP95,VLOOKUP(zeta!BP$1,main!$A$3:$H$102,5,FALSE)-VLOOKUP(zeta!$A95,main!$A$3:$H$102,6,FALSE),0)</f>
        <v>0</v>
      </c>
      <c r="BQ95">
        <f>IF(gamma!BQ95,VLOOKUP(zeta!BQ$1,main!$A$3:$H$102,5,FALSE)-VLOOKUP(zeta!$A95,main!$A$3:$H$102,6,FALSE),0)</f>
        <v>0</v>
      </c>
      <c r="BR95">
        <f>IF(gamma!BR95,VLOOKUP(zeta!BR$1,main!$A$3:$H$102,5,FALSE)-VLOOKUP(zeta!$A95,main!$A$3:$H$102,6,FALSE),0)</f>
        <v>0</v>
      </c>
      <c r="BS95">
        <f>IF(gamma!BS95,VLOOKUP(zeta!BS$1,main!$A$3:$H$102,5,FALSE)-VLOOKUP(zeta!$A95,main!$A$3:$H$102,6,FALSE),0)</f>
        <v>0</v>
      </c>
      <c r="BT95">
        <f>IF(gamma!BT95,VLOOKUP(zeta!BT$1,main!$A$3:$H$102,5,FALSE)-VLOOKUP(zeta!$A95,main!$A$3:$H$102,6,FALSE),0)</f>
        <v>0</v>
      </c>
      <c r="BU95">
        <f>IF(gamma!BU95,VLOOKUP(zeta!BU$1,main!$A$3:$H$102,5,FALSE)-VLOOKUP(zeta!$A95,main!$A$3:$H$102,6,FALSE),0)</f>
        <v>0</v>
      </c>
      <c r="BV95">
        <f>IF(gamma!BV95,VLOOKUP(zeta!BV$1,main!$A$3:$H$102,5,FALSE)-VLOOKUP(zeta!$A95,main!$A$3:$H$102,6,FALSE),0)</f>
        <v>0</v>
      </c>
      <c r="BW95">
        <f>IF(gamma!BW95,VLOOKUP(zeta!BW$1,main!$A$3:$H$102,5,FALSE)-VLOOKUP(zeta!$A95,main!$A$3:$H$102,6,FALSE),0)</f>
        <v>0</v>
      </c>
      <c r="BX95">
        <f>IF(gamma!BX95,VLOOKUP(zeta!BX$1,main!$A$3:$H$102,5,FALSE)-VLOOKUP(zeta!$A95,main!$A$3:$H$102,6,FALSE),0)</f>
        <v>0</v>
      </c>
      <c r="BY95">
        <f>IF(gamma!BY95,VLOOKUP(zeta!BY$1,main!$A$3:$H$102,5,FALSE)-VLOOKUP(zeta!$A95,main!$A$3:$H$102,6,FALSE),0)</f>
        <v>0</v>
      </c>
      <c r="BZ95">
        <f>IF(gamma!BZ95,VLOOKUP(zeta!BZ$1,main!$A$3:$H$102,5,FALSE)-VLOOKUP(zeta!$A95,main!$A$3:$H$102,6,FALSE),0)</f>
        <v>0</v>
      </c>
      <c r="CA95">
        <f>IF(gamma!CA95,VLOOKUP(zeta!CA$1,main!$A$3:$H$102,5,FALSE)-VLOOKUP(zeta!$A95,main!$A$3:$H$102,6,FALSE),0)</f>
        <v>0</v>
      </c>
      <c r="CB95">
        <f>IF(gamma!CB95,VLOOKUP(zeta!CB$1,main!$A$3:$H$102,5,FALSE)-VLOOKUP(zeta!$A95,main!$A$3:$H$102,6,FALSE),0)</f>
        <v>0</v>
      </c>
      <c r="CC95">
        <f>IF(gamma!CC95,VLOOKUP(zeta!CC$1,main!$A$3:$H$102,5,FALSE)-VLOOKUP(zeta!$A95,main!$A$3:$H$102,6,FALSE),0)</f>
        <v>215</v>
      </c>
      <c r="CD95">
        <f>IF(gamma!CD95,VLOOKUP(zeta!CD$1,main!$A$3:$H$102,5,FALSE)-VLOOKUP(zeta!$A95,main!$A$3:$H$102,6,FALSE),0)</f>
        <v>0</v>
      </c>
      <c r="CE95">
        <f>IF(gamma!CE95,VLOOKUP(zeta!CE$1,main!$A$3:$H$102,5,FALSE)-VLOOKUP(zeta!$A95,main!$A$3:$H$102,6,FALSE),0)</f>
        <v>0</v>
      </c>
      <c r="CF95">
        <f>IF(gamma!CF95,VLOOKUP(zeta!CF$1,main!$A$3:$H$102,5,FALSE)-VLOOKUP(zeta!$A95,main!$A$3:$H$102,6,FALSE),0)</f>
        <v>0</v>
      </c>
      <c r="CG95">
        <f>IF(gamma!CG95,VLOOKUP(zeta!CG$1,main!$A$3:$H$102,5,FALSE)-VLOOKUP(zeta!$A95,main!$A$3:$H$102,6,FALSE),0)</f>
        <v>0</v>
      </c>
      <c r="CH95">
        <f>IF(gamma!CH95,VLOOKUP(zeta!CH$1,main!$A$3:$H$102,5,FALSE)-VLOOKUP(zeta!$A95,main!$A$3:$H$102,6,FALSE),0)</f>
        <v>100</v>
      </c>
      <c r="CI95">
        <f>IF(gamma!CI95,VLOOKUP(zeta!CI$1,main!$A$3:$H$102,5,FALSE)-VLOOKUP(zeta!$A95,main!$A$3:$H$102,6,FALSE),0)</f>
        <v>300</v>
      </c>
      <c r="CJ95">
        <f>IF(gamma!CJ95,VLOOKUP(zeta!CJ$1,main!$A$3:$H$102,5,FALSE)-VLOOKUP(zeta!$A95,main!$A$3:$H$102,6,FALSE),0)</f>
        <v>0</v>
      </c>
      <c r="CK95">
        <f>IF(gamma!CK95,VLOOKUP(zeta!CK$1,main!$A$3:$H$102,5,FALSE)-VLOOKUP(zeta!$A95,main!$A$3:$H$102,6,FALSE),0)</f>
        <v>0</v>
      </c>
      <c r="CL95">
        <f>IF(gamma!CL95,VLOOKUP(zeta!CL$1,main!$A$3:$H$102,5,FALSE)-VLOOKUP(zeta!$A95,main!$A$3:$H$102,6,FALSE),0)</f>
        <v>0</v>
      </c>
      <c r="CM95">
        <f>IF(gamma!CM95,VLOOKUP(zeta!CM$1,main!$A$3:$H$102,5,FALSE)-VLOOKUP(zeta!$A95,main!$A$3:$H$102,6,FALSE),0)</f>
        <v>76</v>
      </c>
      <c r="CN95">
        <f>IF(gamma!CN95,VLOOKUP(zeta!CN$1,main!$A$3:$H$102,5,FALSE)-VLOOKUP(zeta!$A95,main!$A$3:$H$102,6,FALSE),0)</f>
        <v>300</v>
      </c>
      <c r="CO95">
        <f>IF(gamma!CO95,VLOOKUP(zeta!CO$1,main!$A$3:$H$102,5,FALSE)-VLOOKUP(zeta!$A95,main!$A$3:$H$102,6,FALSE),0)</f>
        <v>0</v>
      </c>
      <c r="CP95">
        <f>IF(gamma!CP95,VLOOKUP(zeta!CP$1,main!$A$3:$H$102,5,FALSE)-VLOOKUP(zeta!$A95,main!$A$3:$H$102,6,FALSE),0)</f>
        <v>0</v>
      </c>
      <c r="CQ95">
        <f>IF(gamma!CQ95,VLOOKUP(zeta!CQ$1,main!$A$3:$H$102,5,FALSE)-VLOOKUP(zeta!$A95,main!$A$3:$H$102,6,FALSE),0)</f>
        <v>0</v>
      </c>
      <c r="CR95">
        <f>IF(gamma!CR95,VLOOKUP(zeta!CR$1,main!$A$3:$H$102,5,FALSE)-VLOOKUP(zeta!$A95,main!$A$3:$H$102,6,FALSE),0)</f>
        <v>65</v>
      </c>
      <c r="CS95">
        <f>IF(gamma!CS95,VLOOKUP(zeta!CS$1,main!$A$3:$H$102,5,FALSE)-VLOOKUP(zeta!$A95,main!$A$3:$H$102,6,FALSE),0)</f>
        <v>75</v>
      </c>
      <c r="CT95">
        <f>IF(gamma!CT95,VLOOKUP(zeta!CT$1,main!$A$3:$H$102,5,FALSE)-VLOOKUP(zeta!$A95,main!$A$3:$H$102,6,FALSE),0)</f>
        <v>0</v>
      </c>
      <c r="CU95">
        <f>IF(gamma!CU95,VLOOKUP(zeta!CU$1,main!$A$3:$H$102,5,FALSE)-VLOOKUP(zeta!$A95,main!$A$3:$H$102,6,FALSE),0)</f>
        <v>0</v>
      </c>
      <c r="CV95">
        <f>IF(gamma!CV95,VLOOKUP(zeta!CV$1,main!$A$3:$H$102,5,FALSE)-VLOOKUP(zeta!$A95,main!$A$3:$H$102,6,FALSE),0)</f>
        <v>0</v>
      </c>
      <c r="CW95">
        <f>IF(gamma!CW95,VLOOKUP(zeta!CW$1,main!$A$3:$H$102,5,FALSE)-VLOOKUP(zeta!$A95,main!$A$3:$H$102,6,FALSE),0)</f>
        <v>65</v>
      </c>
      <c r="CX95">
        <f>IF(gamma!CX95,VLOOKUP(zeta!CX$1,main!$A$3:$H$102,5,FALSE)-VLOOKUP(zeta!$A95,main!$A$3:$H$102,6,FALSE),0)</f>
        <v>105</v>
      </c>
    </row>
    <row r="96" spans="1:102" x14ac:dyDescent="0.25">
      <c r="A96">
        <f t="shared" si="2"/>
        <v>94</v>
      </c>
      <c r="B96">
        <v>0</v>
      </c>
      <c r="C96">
        <f>IF(gamma!C96,VLOOKUP(zeta!C$1,main!$A$3:$H$102,5,FALSE)-VLOOKUP(zeta!$A96,main!$A$3:$H$102,6,FALSE),0)</f>
        <v>0</v>
      </c>
      <c r="D96">
        <f>IF(gamma!D96,VLOOKUP(zeta!D$1,main!$A$3:$H$102,5,FALSE)-VLOOKUP(zeta!$A96,main!$A$3:$H$102,6,FALSE),0)</f>
        <v>0</v>
      </c>
      <c r="E96">
        <f>IF(gamma!E96,VLOOKUP(zeta!E$1,main!$A$3:$H$102,5,FALSE)-VLOOKUP(zeta!$A96,main!$A$3:$H$102,6,FALSE),0)</f>
        <v>0</v>
      </c>
      <c r="F96">
        <f>IF(gamma!F96,VLOOKUP(zeta!F$1,main!$A$3:$H$102,5,FALSE)-VLOOKUP(zeta!$A96,main!$A$3:$H$102,6,FALSE),0)</f>
        <v>0</v>
      </c>
      <c r="G96">
        <f>IF(gamma!G96,VLOOKUP(zeta!G$1,main!$A$3:$H$102,5,FALSE)-VLOOKUP(zeta!$A96,main!$A$3:$H$102,6,FALSE),0)</f>
        <v>0</v>
      </c>
      <c r="H96">
        <f>IF(gamma!H96,VLOOKUP(zeta!H$1,main!$A$3:$H$102,5,FALSE)-VLOOKUP(zeta!$A96,main!$A$3:$H$102,6,FALSE),0)</f>
        <v>0</v>
      </c>
      <c r="I96">
        <f>IF(gamma!I96,VLOOKUP(zeta!I$1,main!$A$3:$H$102,5,FALSE)-VLOOKUP(zeta!$A96,main!$A$3:$H$102,6,FALSE),0)</f>
        <v>0</v>
      </c>
      <c r="J96">
        <f>IF(gamma!J96,VLOOKUP(zeta!J$1,main!$A$3:$H$102,5,FALSE)-VLOOKUP(zeta!$A96,main!$A$3:$H$102,6,FALSE),0)</f>
        <v>0</v>
      </c>
      <c r="K96">
        <f>IF(gamma!K96,VLOOKUP(zeta!K$1,main!$A$3:$H$102,5,FALSE)-VLOOKUP(zeta!$A96,main!$A$3:$H$102,6,FALSE),0)</f>
        <v>0</v>
      </c>
      <c r="L96">
        <f>IF(gamma!L96,VLOOKUP(zeta!L$1,main!$A$3:$H$102,5,FALSE)-VLOOKUP(zeta!$A96,main!$A$3:$H$102,6,FALSE),0)</f>
        <v>90</v>
      </c>
      <c r="M96">
        <f>IF(gamma!M96,VLOOKUP(zeta!M$1,main!$A$3:$H$102,5,FALSE)-VLOOKUP(zeta!$A96,main!$A$3:$H$102,6,FALSE),0)</f>
        <v>0</v>
      </c>
      <c r="N96">
        <f>IF(gamma!N96,VLOOKUP(zeta!N$1,main!$A$3:$H$102,5,FALSE)-VLOOKUP(zeta!$A96,main!$A$3:$H$102,6,FALSE),0)</f>
        <v>0</v>
      </c>
      <c r="O96">
        <f>IF(gamma!O96,VLOOKUP(zeta!O$1,main!$A$3:$H$102,5,FALSE)-VLOOKUP(zeta!$A96,main!$A$3:$H$102,6,FALSE),0)</f>
        <v>0</v>
      </c>
      <c r="P96">
        <f>IF(gamma!P96,VLOOKUP(zeta!P$1,main!$A$3:$H$102,5,FALSE)-VLOOKUP(zeta!$A96,main!$A$3:$H$102,6,FALSE),0)</f>
        <v>0</v>
      </c>
      <c r="Q96">
        <f>IF(gamma!Q96,VLOOKUP(zeta!Q$1,main!$A$3:$H$102,5,FALSE)-VLOOKUP(zeta!$A96,main!$A$3:$H$102,6,FALSE),0)</f>
        <v>0</v>
      </c>
      <c r="R96">
        <f>IF(gamma!R96,VLOOKUP(zeta!R$1,main!$A$3:$H$102,5,FALSE)-VLOOKUP(zeta!$A96,main!$A$3:$H$102,6,FALSE),0)</f>
        <v>0</v>
      </c>
      <c r="S96">
        <f>IF(gamma!S96,VLOOKUP(zeta!S$1,main!$A$3:$H$102,5,FALSE)-VLOOKUP(zeta!$A96,main!$A$3:$H$102,6,FALSE),0)</f>
        <v>0</v>
      </c>
      <c r="T96">
        <f>IF(gamma!T96,VLOOKUP(zeta!T$1,main!$A$3:$H$102,5,FALSE)-VLOOKUP(zeta!$A96,main!$A$3:$H$102,6,FALSE),0)</f>
        <v>0</v>
      </c>
      <c r="U96">
        <f>IF(gamma!U96,VLOOKUP(zeta!U$1,main!$A$3:$H$102,5,FALSE)-VLOOKUP(zeta!$A96,main!$A$3:$H$102,6,FALSE),0)</f>
        <v>55</v>
      </c>
      <c r="V96">
        <f>IF(gamma!V96,VLOOKUP(zeta!V$1,main!$A$3:$H$102,5,FALSE)-VLOOKUP(zeta!$A96,main!$A$3:$H$102,6,FALSE),0)</f>
        <v>115</v>
      </c>
      <c r="W96">
        <f>IF(gamma!W96,VLOOKUP(zeta!W$1,main!$A$3:$H$102,5,FALSE)-VLOOKUP(zeta!$A96,main!$A$3:$H$102,6,FALSE),0)</f>
        <v>0</v>
      </c>
      <c r="X96">
        <f>IF(gamma!X96,VLOOKUP(zeta!X$1,main!$A$3:$H$102,5,FALSE)-VLOOKUP(zeta!$A96,main!$A$3:$H$102,6,FALSE),0)</f>
        <v>0</v>
      </c>
      <c r="Y96">
        <f>IF(gamma!Y96,VLOOKUP(zeta!Y$1,main!$A$3:$H$102,5,FALSE)-VLOOKUP(zeta!$A96,main!$A$3:$H$102,6,FALSE),0)</f>
        <v>0</v>
      </c>
      <c r="Z96">
        <f>IF(gamma!Z96,VLOOKUP(zeta!Z$1,main!$A$3:$H$102,5,FALSE)-VLOOKUP(zeta!$A96,main!$A$3:$H$102,6,FALSE),0)</f>
        <v>0</v>
      </c>
      <c r="AA96">
        <f>IF(gamma!AA96,VLOOKUP(zeta!AA$1,main!$A$3:$H$102,5,FALSE)-VLOOKUP(zeta!$A96,main!$A$3:$H$102,6,FALSE),0)</f>
        <v>0</v>
      </c>
      <c r="AB96">
        <f>IF(gamma!AB96,VLOOKUP(zeta!AB$1,main!$A$3:$H$102,5,FALSE)-VLOOKUP(zeta!$A96,main!$A$3:$H$102,6,FALSE),0)</f>
        <v>0</v>
      </c>
      <c r="AC96">
        <f>IF(gamma!AC96,VLOOKUP(zeta!AC$1,main!$A$3:$H$102,5,FALSE)-VLOOKUP(zeta!$A96,main!$A$3:$H$102,6,FALSE),0)</f>
        <v>0</v>
      </c>
      <c r="AD96">
        <f>IF(gamma!AD96,VLOOKUP(zeta!AD$1,main!$A$3:$H$102,5,FALSE)-VLOOKUP(zeta!$A96,main!$A$3:$H$102,6,FALSE),0)</f>
        <v>0</v>
      </c>
      <c r="AE96">
        <f>IF(gamma!AE96,VLOOKUP(zeta!AE$1,main!$A$3:$H$102,5,FALSE)-VLOOKUP(zeta!$A96,main!$A$3:$H$102,6,FALSE),0)</f>
        <v>0</v>
      </c>
      <c r="AF96">
        <f>IF(gamma!AF96,VLOOKUP(zeta!AF$1,main!$A$3:$H$102,5,FALSE)-VLOOKUP(zeta!$A96,main!$A$3:$H$102,6,FALSE),0)</f>
        <v>0</v>
      </c>
      <c r="AG96">
        <f>IF(gamma!AG96,VLOOKUP(zeta!AG$1,main!$A$3:$H$102,5,FALSE)-VLOOKUP(zeta!$A96,main!$A$3:$H$102,6,FALSE),0)</f>
        <v>0</v>
      </c>
      <c r="AH96">
        <f>IF(gamma!AH96,VLOOKUP(zeta!AH$1,main!$A$3:$H$102,5,FALSE)-VLOOKUP(zeta!$A96,main!$A$3:$H$102,6,FALSE),0)</f>
        <v>0</v>
      </c>
      <c r="AI96">
        <f>IF(gamma!AI96,VLOOKUP(zeta!AI$1,main!$A$3:$H$102,5,FALSE)-VLOOKUP(zeta!$A96,main!$A$3:$H$102,6,FALSE),0)</f>
        <v>0</v>
      </c>
      <c r="AJ96">
        <f>IF(gamma!AJ96,VLOOKUP(zeta!AJ$1,main!$A$3:$H$102,5,FALSE)-VLOOKUP(zeta!$A96,main!$A$3:$H$102,6,FALSE),0)</f>
        <v>0</v>
      </c>
      <c r="AK96">
        <f>IF(gamma!AK96,VLOOKUP(zeta!AK$1,main!$A$3:$H$102,5,FALSE)-VLOOKUP(zeta!$A96,main!$A$3:$H$102,6,FALSE),0)</f>
        <v>0</v>
      </c>
      <c r="AL96">
        <f>IF(gamma!AL96,VLOOKUP(zeta!AL$1,main!$A$3:$H$102,5,FALSE)-VLOOKUP(zeta!$A96,main!$A$3:$H$102,6,FALSE),0)</f>
        <v>0</v>
      </c>
      <c r="AM96">
        <f>IF(gamma!AM96,VLOOKUP(zeta!AM$1,main!$A$3:$H$102,5,FALSE)-VLOOKUP(zeta!$A96,main!$A$3:$H$102,6,FALSE),0)</f>
        <v>0</v>
      </c>
      <c r="AN96">
        <f>IF(gamma!AN96,VLOOKUP(zeta!AN$1,main!$A$3:$H$102,5,FALSE)-VLOOKUP(zeta!$A96,main!$A$3:$H$102,6,FALSE),0)</f>
        <v>0</v>
      </c>
      <c r="AO96">
        <f>IF(gamma!AO96,VLOOKUP(zeta!AO$1,main!$A$3:$H$102,5,FALSE)-VLOOKUP(zeta!$A96,main!$A$3:$H$102,6,FALSE),0)</f>
        <v>0</v>
      </c>
      <c r="AP96">
        <f>IF(gamma!AP96,VLOOKUP(zeta!AP$1,main!$A$3:$H$102,5,FALSE)-VLOOKUP(zeta!$A96,main!$A$3:$H$102,6,FALSE),0)</f>
        <v>100</v>
      </c>
      <c r="AQ96">
        <f>IF(gamma!AQ96,VLOOKUP(zeta!AQ$1,main!$A$3:$H$102,5,FALSE)-VLOOKUP(zeta!$A96,main!$A$3:$H$102,6,FALSE),0)</f>
        <v>0</v>
      </c>
      <c r="AR96">
        <f>IF(gamma!AR96,VLOOKUP(zeta!AR$1,main!$A$3:$H$102,5,FALSE)-VLOOKUP(zeta!$A96,main!$A$3:$H$102,6,FALSE),0)</f>
        <v>0</v>
      </c>
      <c r="AS96">
        <f>IF(gamma!AS96,VLOOKUP(zeta!AS$1,main!$A$3:$H$102,5,FALSE)-VLOOKUP(zeta!$A96,main!$A$3:$H$102,6,FALSE),0)</f>
        <v>0</v>
      </c>
      <c r="AT96">
        <f>IF(gamma!AT96,VLOOKUP(zeta!AT$1,main!$A$3:$H$102,5,FALSE)-VLOOKUP(zeta!$A96,main!$A$3:$H$102,6,FALSE),0)</f>
        <v>0</v>
      </c>
      <c r="AU96">
        <f>IF(gamma!AU96,VLOOKUP(zeta!AU$1,main!$A$3:$H$102,5,FALSE)-VLOOKUP(zeta!$A96,main!$A$3:$H$102,6,FALSE),0)</f>
        <v>0</v>
      </c>
      <c r="AV96">
        <f>IF(gamma!AV96,VLOOKUP(zeta!AV$1,main!$A$3:$H$102,5,FALSE)-VLOOKUP(zeta!$A96,main!$A$3:$H$102,6,FALSE),0)</f>
        <v>0</v>
      </c>
      <c r="AW96">
        <f>IF(gamma!AW96,VLOOKUP(zeta!AW$1,main!$A$3:$H$102,5,FALSE)-VLOOKUP(zeta!$A96,main!$A$3:$H$102,6,FALSE),0)</f>
        <v>0</v>
      </c>
      <c r="AX96">
        <f>IF(gamma!AX96,VLOOKUP(zeta!AX$1,main!$A$3:$H$102,5,FALSE)-VLOOKUP(zeta!$A96,main!$A$3:$H$102,6,FALSE),0)</f>
        <v>0</v>
      </c>
      <c r="AY96">
        <f>IF(gamma!AY96,VLOOKUP(zeta!AY$1,main!$A$3:$H$102,5,FALSE)-VLOOKUP(zeta!$A96,main!$A$3:$H$102,6,FALSE),0)</f>
        <v>0</v>
      </c>
      <c r="AZ96">
        <f>IF(gamma!AZ96,VLOOKUP(zeta!AZ$1,main!$A$3:$H$102,5,FALSE)-VLOOKUP(zeta!$A96,main!$A$3:$H$102,6,FALSE),0)</f>
        <v>0</v>
      </c>
      <c r="BA96">
        <f>IF(gamma!BA96,VLOOKUP(zeta!BA$1,main!$A$3:$H$102,5,FALSE)-VLOOKUP(zeta!$A96,main!$A$3:$H$102,6,FALSE),0)</f>
        <v>0</v>
      </c>
      <c r="BB96">
        <f>IF(gamma!BB96,VLOOKUP(zeta!BB$1,main!$A$3:$H$102,5,FALSE)-VLOOKUP(zeta!$A96,main!$A$3:$H$102,6,FALSE),0)</f>
        <v>0</v>
      </c>
      <c r="BC96">
        <f>IF(gamma!BC96,VLOOKUP(zeta!BC$1,main!$A$3:$H$102,5,FALSE)-VLOOKUP(zeta!$A96,main!$A$3:$H$102,6,FALSE),0)</f>
        <v>0</v>
      </c>
      <c r="BD96">
        <f>IF(gamma!BD96,VLOOKUP(zeta!BD$1,main!$A$3:$H$102,5,FALSE)-VLOOKUP(zeta!$A96,main!$A$3:$H$102,6,FALSE),0)</f>
        <v>0</v>
      </c>
      <c r="BE96">
        <f>IF(gamma!BE96,VLOOKUP(zeta!BE$1,main!$A$3:$H$102,5,FALSE)-VLOOKUP(zeta!$A96,main!$A$3:$H$102,6,FALSE),0)</f>
        <v>0</v>
      </c>
      <c r="BF96">
        <f>IF(gamma!BF96,VLOOKUP(zeta!BF$1,main!$A$3:$H$102,5,FALSE)-VLOOKUP(zeta!$A96,main!$A$3:$H$102,6,FALSE),0)</f>
        <v>0</v>
      </c>
      <c r="BG96">
        <f>IF(gamma!BG96,VLOOKUP(zeta!BG$1,main!$A$3:$H$102,5,FALSE)-VLOOKUP(zeta!$A96,main!$A$3:$H$102,6,FALSE),0)</f>
        <v>0</v>
      </c>
      <c r="BH96">
        <f>IF(gamma!BH96,VLOOKUP(zeta!BH$1,main!$A$3:$H$102,5,FALSE)-VLOOKUP(zeta!$A96,main!$A$3:$H$102,6,FALSE),0)</f>
        <v>0</v>
      </c>
      <c r="BI96">
        <f>IF(gamma!BI96,VLOOKUP(zeta!BI$1,main!$A$3:$H$102,5,FALSE)-VLOOKUP(zeta!$A96,main!$A$3:$H$102,6,FALSE),0)</f>
        <v>110</v>
      </c>
      <c r="BJ96">
        <f>IF(gamma!BJ96,VLOOKUP(zeta!BJ$1,main!$A$3:$H$102,5,FALSE)-VLOOKUP(zeta!$A96,main!$A$3:$H$102,6,FALSE),0)</f>
        <v>0</v>
      </c>
      <c r="BK96">
        <f>IF(gamma!BK96,VLOOKUP(zeta!BK$1,main!$A$3:$H$102,5,FALSE)-VLOOKUP(zeta!$A96,main!$A$3:$H$102,6,FALSE),0)</f>
        <v>0</v>
      </c>
      <c r="BL96">
        <f>IF(gamma!BL96,VLOOKUP(zeta!BL$1,main!$A$3:$H$102,5,FALSE)-VLOOKUP(zeta!$A96,main!$A$3:$H$102,6,FALSE),0)</f>
        <v>0</v>
      </c>
      <c r="BM96">
        <f>IF(gamma!BM96,VLOOKUP(zeta!BM$1,main!$A$3:$H$102,5,FALSE)-VLOOKUP(zeta!$A96,main!$A$3:$H$102,6,FALSE),0)</f>
        <v>0</v>
      </c>
      <c r="BN96">
        <f>IF(gamma!BN96,VLOOKUP(zeta!BN$1,main!$A$3:$H$102,5,FALSE)-VLOOKUP(zeta!$A96,main!$A$3:$H$102,6,FALSE),0)</f>
        <v>0</v>
      </c>
      <c r="BO96">
        <f>IF(gamma!BO96,VLOOKUP(zeta!BO$1,main!$A$3:$H$102,5,FALSE)-VLOOKUP(zeta!$A96,main!$A$3:$H$102,6,FALSE),0)</f>
        <v>0</v>
      </c>
      <c r="BP96">
        <f>IF(gamma!BP96,VLOOKUP(zeta!BP$1,main!$A$3:$H$102,5,FALSE)-VLOOKUP(zeta!$A96,main!$A$3:$H$102,6,FALSE),0)</f>
        <v>0</v>
      </c>
      <c r="BQ96">
        <f>IF(gamma!BQ96,VLOOKUP(zeta!BQ$1,main!$A$3:$H$102,5,FALSE)-VLOOKUP(zeta!$A96,main!$A$3:$H$102,6,FALSE),0)</f>
        <v>0</v>
      </c>
      <c r="BR96">
        <f>IF(gamma!BR96,VLOOKUP(zeta!BR$1,main!$A$3:$H$102,5,FALSE)-VLOOKUP(zeta!$A96,main!$A$3:$H$102,6,FALSE),0)</f>
        <v>0</v>
      </c>
      <c r="BS96">
        <f>IF(gamma!BS96,VLOOKUP(zeta!BS$1,main!$A$3:$H$102,5,FALSE)-VLOOKUP(zeta!$A96,main!$A$3:$H$102,6,FALSE),0)</f>
        <v>0</v>
      </c>
      <c r="BT96">
        <f>IF(gamma!BT96,VLOOKUP(zeta!BT$1,main!$A$3:$H$102,5,FALSE)-VLOOKUP(zeta!$A96,main!$A$3:$H$102,6,FALSE),0)</f>
        <v>0</v>
      </c>
      <c r="BU96">
        <f>IF(gamma!BU96,VLOOKUP(zeta!BU$1,main!$A$3:$H$102,5,FALSE)-VLOOKUP(zeta!$A96,main!$A$3:$H$102,6,FALSE),0)</f>
        <v>0</v>
      </c>
      <c r="BV96">
        <f>IF(gamma!BV96,VLOOKUP(zeta!BV$1,main!$A$3:$H$102,5,FALSE)-VLOOKUP(zeta!$A96,main!$A$3:$H$102,6,FALSE),0)</f>
        <v>0</v>
      </c>
      <c r="BW96">
        <f>IF(gamma!BW96,VLOOKUP(zeta!BW$1,main!$A$3:$H$102,5,FALSE)-VLOOKUP(zeta!$A96,main!$A$3:$H$102,6,FALSE),0)</f>
        <v>0</v>
      </c>
      <c r="BX96">
        <f>IF(gamma!BX96,VLOOKUP(zeta!BX$1,main!$A$3:$H$102,5,FALSE)-VLOOKUP(zeta!$A96,main!$A$3:$H$102,6,FALSE),0)</f>
        <v>0</v>
      </c>
      <c r="BY96">
        <f>IF(gamma!BY96,VLOOKUP(zeta!BY$1,main!$A$3:$H$102,5,FALSE)-VLOOKUP(zeta!$A96,main!$A$3:$H$102,6,FALSE),0)</f>
        <v>0</v>
      </c>
      <c r="BZ96">
        <f>IF(gamma!BZ96,VLOOKUP(zeta!BZ$1,main!$A$3:$H$102,5,FALSE)-VLOOKUP(zeta!$A96,main!$A$3:$H$102,6,FALSE),0)</f>
        <v>0</v>
      </c>
      <c r="CA96">
        <f>IF(gamma!CA96,VLOOKUP(zeta!CA$1,main!$A$3:$H$102,5,FALSE)-VLOOKUP(zeta!$A96,main!$A$3:$H$102,6,FALSE),0)</f>
        <v>0</v>
      </c>
      <c r="CB96">
        <f>IF(gamma!CB96,VLOOKUP(zeta!CB$1,main!$A$3:$H$102,5,FALSE)-VLOOKUP(zeta!$A96,main!$A$3:$H$102,6,FALSE),0)</f>
        <v>0</v>
      </c>
      <c r="CC96">
        <f>IF(gamma!CC96,VLOOKUP(zeta!CC$1,main!$A$3:$H$102,5,FALSE)-VLOOKUP(zeta!$A96,main!$A$3:$H$102,6,FALSE),0)</f>
        <v>15</v>
      </c>
      <c r="CD96">
        <f>IF(gamma!CD96,VLOOKUP(zeta!CD$1,main!$A$3:$H$102,5,FALSE)-VLOOKUP(zeta!$A96,main!$A$3:$H$102,6,FALSE),0)</f>
        <v>0</v>
      </c>
      <c r="CE96">
        <f>IF(gamma!CE96,VLOOKUP(zeta!CE$1,main!$A$3:$H$102,5,FALSE)-VLOOKUP(zeta!$A96,main!$A$3:$H$102,6,FALSE),0)</f>
        <v>0</v>
      </c>
      <c r="CF96">
        <f>IF(gamma!CF96,VLOOKUP(zeta!CF$1,main!$A$3:$H$102,5,FALSE)-VLOOKUP(zeta!$A96,main!$A$3:$H$102,6,FALSE),0)</f>
        <v>0</v>
      </c>
      <c r="CG96">
        <f>IF(gamma!CG96,VLOOKUP(zeta!CG$1,main!$A$3:$H$102,5,FALSE)-VLOOKUP(zeta!$A96,main!$A$3:$H$102,6,FALSE),0)</f>
        <v>0</v>
      </c>
      <c r="CH96">
        <f>IF(gamma!CH96,VLOOKUP(zeta!CH$1,main!$A$3:$H$102,5,FALSE)-VLOOKUP(zeta!$A96,main!$A$3:$H$102,6,FALSE),0)</f>
        <v>0</v>
      </c>
      <c r="CI96">
        <f>IF(gamma!CI96,VLOOKUP(zeta!CI$1,main!$A$3:$H$102,5,FALSE)-VLOOKUP(zeta!$A96,main!$A$3:$H$102,6,FALSE),0)</f>
        <v>100</v>
      </c>
      <c r="CJ96">
        <f>IF(gamma!CJ96,VLOOKUP(zeta!CJ$1,main!$A$3:$H$102,5,FALSE)-VLOOKUP(zeta!$A96,main!$A$3:$H$102,6,FALSE),0)</f>
        <v>0</v>
      </c>
      <c r="CK96">
        <f>IF(gamma!CK96,VLOOKUP(zeta!CK$1,main!$A$3:$H$102,5,FALSE)-VLOOKUP(zeta!$A96,main!$A$3:$H$102,6,FALSE),0)</f>
        <v>0</v>
      </c>
      <c r="CL96">
        <f>IF(gamma!CL96,VLOOKUP(zeta!CL$1,main!$A$3:$H$102,5,FALSE)-VLOOKUP(zeta!$A96,main!$A$3:$H$102,6,FALSE),0)</f>
        <v>0</v>
      </c>
      <c r="CM96">
        <f>IF(gamma!CM96,VLOOKUP(zeta!CM$1,main!$A$3:$H$102,5,FALSE)-VLOOKUP(zeta!$A96,main!$A$3:$H$102,6,FALSE),0)</f>
        <v>0</v>
      </c>
      <c r="CN96">
        <f>IF(gamma!CN96,VLOOKUP(zeta!CN$1,main!$A$3:$H$102,5,FALSE)-VLOOKUP(zeta!$A96,main!$A$3:$H$102,6,FALSE),0)</f>
        <v>100</v>
      </c>
      <c r="CO96">
        <f>IF(gamma!CO96,VLOOKUP(zeta!CO$1,main!$A$3:$H$102,5,FALSE)-VLOOKUP(zeta!$A96,main!$A$3:$H$102,6,FALSE),0)</f>
        <v>0</v>
      </c>
      <c r="CP96">
        <f>IF(gamma!CP96,VLOOKUP(zeta!CP$1,main!$A$3:$H$102,5,FALSE)-VLOOKUP(zeta!$A96,main!$A$3:$H$102,6,FALSE),0)</f>
        <v>0</v>
      </c>
      <c r="CQ96">
        <f>IF(gamma!CQ96,VLOOKUP(zeta!CQ$1,main!$A$3:$H$102,5,FALSE)-VLOOKUP(zeta!$A96,main!$A$3:$H$102,6,FALSE),0)</f>
        <v>0</v>
      </c>
      <c r="CR96">
        <f>IF(gamma!CR96,VLOOKUP(zeta!CR$1,main!$A$3:$H$102,5,FALSE)-VLOOKUP(zeta!$A96,main!$A$3:$H$102,6,FALSE),0)</f>
        <v>0</v>
      </c>
      <c r="CS96">
        <f>IF(gamma!CS96,VLOOKUP(zeta!CS$1,main!$A$3:$H$102,5,FALSE)-VLOOKUP(zeta!$A96,main!$A$3:$H$102,6,FALSE),0)</f>
        <v>0</v>
      </c>
      <c r="CT96">
        <f>IF(gamma!CT96,VLOOKUP(zeta!CT$1,main!$A$3:$H$102,5,FALSE)-VLOOKUP(zeta!$A96,main!$A$3:$H$102,6,FALSE),0)</f>
        <v>0</v>
      </c>
      <c r="CU96">
        <f>IF(gamma!CU96,VLOOKUP(zeta!CU$1,main!$A$3:$H$102,5,FALSE)-VLOOKUP(zeta!$A96,main!$A$3:$H$102,6,FALSE),0)</f>
        <v>0</v>
      </c>
      <c r="CV96">
        <f>IF(gamma!CV96,VLOOKUP(zeta!CV$1,main!$A$3:$H$102,5,FALSE)-VLOOKUP(zeta!$A96,main!$A$3:$H$102,6,FALSE),0)</f>
        <v>0</v>
      </c>
      <c r="CW96">
        <f>IF(gamma!CW96,VLOOKUP(zeta!CW$1,main!$A$3:$H$102,5,FALSE)-VLOOKUP(zeta!$A96,main!$A$3:$H$102,6,FALSE),0)</f>
        <v>0</v>
      </c>
      <c r="CX96">
        <f>IF(gamma!CX96,VLOOKUP(zeta!CX$1,main!$A$3:$H$102,5,FALSE)-VLOOKUP(zeta!$A96,main!$A$3:$H$102,6,FALSE),0)</f>
        <v>0</v>
      </c>
    </row>
    <row r="97" spans="1:102" x14ac:dyDescent="0.25">
      <c r="A97">
        <f t="shared" si="2"/>
        <v>95</v>
      </c>
      <c r="B97">
        <v>0</v>
      </c>
      <c r="C97">
        <f>IF(gamma!C97,VLOOKUP(zeta!C$1,main!$A$3:$H$102,5,FALSE)-VLOOKUP(zeta!$A97,main!$A$3:$H$102,6,FALSE),0)</f>
        <v>0</v>
      </c>
      <c r="D97">
        <f>IF(gamma!D97,VLOOKUP(zeta!D$1,main!$A$3:$H$102,5,FALSE)-VLOOKUP(zeta!$A97,main!$A$3:$H$102,6,FALSE),0)</f>
        <v>0</v>
      </c>
      <c r="E97">
        <f>IF(gamma!E97,VLOOKUP(zeta!E$1,main!$A$3:$H$102,5,FALSE)-VLOOKUP(zeta!$A97,main!$A$3:$H$102,6,FALSE),0)</f>
        <v>0</v>
      </c>
      <c r="F97">
        <f>IF(gamma!F97,VLOOKUP(zeta!F$1,main!$A$3:$H$102,5,FALSE)-VLOOKUP(zeta!$A97,main!$A$3:$H$102,6,FALSE),0)</f>
        <v>0</v>
      </c>
      <c r="G97">
        <f>IF(gamma!G97,VLOOKUP(zeta!G$1,main!$A$3:$H$102,5,FALSE)-VLOOKUP(zeta!$A97,main!$A$3:$H$102,6,FALSE),0)</f>
        <v>0</v>
      </c>
      <c r="H97">
        <f>IF(gamma!H97,VLOOKUP(zeta!H$1,main!$A$3:$H$102,5,FALSE)-VLOOKUP(zeta!$A97,main!$A$3:$H$102,6,FALSE),0)</f>
        <v>0</v>
      </c>
      <c r="I97">
        <f>IF(gamma!I97,VLOOKUP(zeta!I$1,main!$A$3:$H$102,5,FALSE)-VLOOKUP(zeta!$A97,main!$A$3:$H$102,6,FALSE),0)</f>
        <v>0</v>
      </c>
      <c r="J97">
        <f>IF(gamma!J97,VLOOKUP(zeta!J$1,main!$A$3:$H$102,5,FALSE)-VLOOKUP(zeta!$A97,main!$A$3:$H$102,6,FALSE),0)</f>
        <v>0</v>
      </c>
      <c r="K97">
        <f>IF(gamma!K97,VLOOKUP(zeta!K$1,main!$A$3:$H$102,5,FALSE)-VLOOKUP(zeta!$A97,main!$A$3:$H$102,6,FALSE),0)</f>
        <v>0</v>
      </c>
      <c r="L97">
        <f>IF(gamma!L97,VLOOKUP(zeta!L$1,main!$A$3:$H$102,5,FALSE)-VLOOKUP(zeta!$A97,main!$A$3:$H$102,6,FALSE),0)</f>
        <v>80</v>
      </c>
      <c r="M97">
        <f>IF(gamma!M97,VLOOKUP(zeta!M$1,main!$A$3:$H$102,5,FALSE)-VLOOKUP(zeta!$A97,main!$A$3:$H$102,6,FALSE),0)</f>
        <v>0</v>
      </c>
      <c r="N97">
        <f>IF(gamma!N97,VLOOKUP(zeta!N$1,main!$A$3:$H$102,5,FALSE)-VLOOKUP(zeta!$A97,main!$A$3:$H$102,6,FALSE),0)</f>
        <v>0</v>
      </c>
      <c r="O97">
        <f>IF(gamma!O97,VLOOKUP(zeta!O$1,main!$A$3:$H$102,5,FALSE)-VLOOKUP(zeta!$A97,main!$A$3:$H$102,6,FALSE),0)</f>
        <v>0</v>
      </c>
      <c r="P97">
        <f>IF(gamma!P97,VLOOKUP(zeta!P$1,main!$A$3:$H$102,5,FALSE)-VLOOKUP(zeta!$A97,main!$A$3:$H$102,6,FALSE),0)</f>
        <v>0</v>
      </c>
      <c r="Q97">
        <f>IF(gamma!Q97,VLOOKUP(zeta!Q$1,main!$A$3:$H$102,5,FALSE)-VLOOKUP(zeta!$A97,main!$A$3:$H$102,6,FALSE),0)</f>
        <v>0</v>
      </c>
      <c r="R97">
        <f>IF(gamma!R97,VLOOKUP(zeta!R$1,main!$A$3:$H$102,5,FALSE)-VLOOKUP(zeta!$A97,main!$A$3:$H$102,6,FALSE),0)</f>
        <v>0</v>
      </c>
      <c r="S97">
        <f>IF(gamma!S97,VLOOKUP(zeta!S$1,main!$A$3:$H$102,5,FALSE)-VLOOKUP(zeta!$A97,main!$A$3:$H$102,6,FALSE),0)</f>
        <v>0</v>
      </c>
      <c r="T97">
        <f>IF(gamma!T97,VLOOKUP(zeta!T$1,main!$A$3:$H$102,5,FALSE)-VLOOKUP(zeta!$A97,main!$A$3:$H$102,6,FALSE),0)</f>
        <v>0</v>
      </c>
      <c r="U97">
        <f>IF(gamma!U97,VLOOKUP(zeta!U$1,main!$A$3:$H$102,5,FALSE)-VLOOKUP(zeta!$A97,main!$A$3:$H$102,6,FALSE),0)</f>
        <v>45</v>
      </c>
      <c r="V97">
        <f>IF(gamma!V97,VLOOKUP(zeta!V$1,main!$A$3:$H$102,5,FALSE)-VLOOKUP(zeta!$A97,main!$A$3:$H$102,6,FALSE),0)</f>
        <v>105</v>
      </c>
      <c r="W97">
        <f>IF(gamma!W97,VLOOKUP(zeta!W$1,main!$A$3:$H$102,5,FALSE)-VLOOKUP(zeta!$A97,main!$A$3:$H$102,6,FALSE),0)</f>
        <v>0</v>
      </c>
      <c r="X97">
        <f>IF(gamma!X97,VLOOKUP(zeta!X$1,main!$A$3:$H$102,5,FALSE)-VLOOKUP(zeta!$A97,main!$A$3:$H$102,6,FALSE),0)</f>
        <v>0</v>
      </c>
      <c r="Y97">
        <f>IF(gamma!Y97,VLOOKUP(zeta!Y$1,main!$A$3:$H$102,5,FALSE)-VLOOKUP(zeta!$A97,main!$A$3:$H$102,6,FALSE),0)</f>
        <v>0</v>
      </c>
      <c r="Z97">
        <f>IF(gamma!Z97,VLOOKUP(zeta!Z$1,main!$A$3:$H$102,5,FALSE)-VLOOKUP(zeta!$A97,main!$A$3:$H$102,6,FALSE),0)</f>
        <v>0</v>
      </c>
      <c r="AA97">
        <f>IF(gamma!AA97,VLOOKUP(zeta!AA$1,main!$A$3:$H$102,5,FALSE)-VLOOKUP(zeta!$A97,main!$A$3:$H$102,6,FALSE),0)</f>
        <v>0</v>
      </c>
      <c r="AB97">
        <f>IF(gamma!AB97,VLOOKUP(zeta!AB$1,main!$A$3:$H$102,5,FALSE)-VLOOKUP(zeta!$A97,main!$A$3:$H$102,6,FALSE),0)</f>
        <v>0</v>
      </c>
      <c r="AC97">
        <f>IF(gamma!AC97,VLOOKUP(zeta!AC$1,main!$A$3:$H$102,5,FALSE)-VLOOKUP(zeta!$A97,main!$A$3:$H$102,6,FALSE),0)</f>
        <v>0</v>
      </c>
      <c r="AD97">
        <f>IF(gamma!AD97,VLOOKUP(zeta!AD$1,main!$A$3:$H$102,5,FALSE)-VLOOKUP(zeta!$A97,main!$A$3:$H$102,6,FALSE),0)</f>
        <v>0</v>
      </c>
      <c r="AE97">
        <f>IF(gamma!AE97,VLOOKUP(zeta!AE$1,main!$A$3:$H$102,5,FALSE)-VLOOKUP(zeta!$A97,main!$A$3:$H$102,6,FALSE),0)</f>
        <v>0</v>
      </c>
      <c r="AF97">
        <f>IF(gamma!AF97,VLOOKUP(zeta!AF$1,main!$A$3:$H$102,5,FALSE)-VLOOKUP(zeta!$A97,main!$A$3:$H$102,6,FALSE),0)</f>
        <v>0</v>
      </c>
      <c r="AG97">
        <f>IF(gamma!AG97,VLOOKUP(zeta!AG$1,main!$A$3:$H$102,5,FALSE)-VLOOKUP(zeta!$A97,main!$A$3:$H$102,6,FALSE),0)</f>
        <v>0</v>
      </c>
      <c r="AH97">
        <f>IF(gamma!AH97,VLOOKUP(zeta!AH$1,main!$A$3:$H$102,5,FALSE)-VLOOKUP(zeta!$A97,main!$A$3:$H$102,6,FALSE),0)</f>
        <v>0</v>
      </c>
      <c r="AI97">
        <f>IF(gamma!AI97,VLOOKUP(zeta!AI$1,main!$A$3:$H$102,5,FALSE)-VLOOKUP(zeta!$A97,main!$A$3:$H$102,6,FALSE),0)</f>
        <v>0</v>
      </c>
      <c r="AJ97">
        <f>IF(gamma!AJ97,VLOOKUP(zeta!AJ$1,main!$A$3:$H$102,5,FALSE)-VLOOKUP(zeta!$A97,main!$A$3:$H$102,6,FALSE),0)</f>
        <v>0</v>
      </c>
      <c r="AK97">
        <f>IF(gamma!AK97,VLOOKUP(zeta!AK$1,main!$A$3:$H$102,5,FALSE)-VLOOKUP(zeta!$A97,main!$A$3:$H$102,6,FALSE),0)</f>
        <v>0</v>
      </c>
      <c r="AL97">
        <f>IF(gamma!AL97,VLOOKUP(zeta!AL$1,main!$A$3:$H$102,5,FALSE)-VLOOKUP(zeta!$A97,main!$A$3:$H$102,6,FALSE),0)</f>
        <v>0</v>
      </c>
      <c r="AM97">
        <f>IF(gamma!AM97,VLOOKUP(zeta!AM$1,main!$A$3:$H$102,5,FALSE)-VLOOKUP(zeta!$A97,main!$A$3:$H$102,6,FALSE),0)</f>
        <v>0</v>
      </c>
      <c r="AN97">
        <f>IF(gamma!AN97,VLOOKUP(zeta!AN$1,main!$A$3:$H$102,5,FALSE)-VLOOKUP(zeta!$A97,main!$A$3:$H$102,6,FALSE),0)</f>
        <v>0</v>
      </c>
      <c r="AO97">
        <f>IF(gamma!AO97,VLOOKUP(zeta!AO$1,main!$A$3:$H$102,5,FALSE)-VLOOKUP(zeta!$A97,main!$A$3:$H$102,6,FALSE),0)</f>
        <v>0</v>
      </c>
      <c r="AP97">
        <f>IF(gamma!AP97,VLOOKUP(zeta!AP$1,main!$A$3:$H$102,5,FALSE)-VLOOKUP(zeta!$A97,main!$A$3:$H$102,6,FALSE),0)</f>
        <v>90</v>
      </c>
      <c r="AQ97">
        <f>IF(gamma!AQ97,VLOOKUP(zeta!AQ$1,main!$A$3:$H$102,5,FALSE)-VLOOKUP(zeta!$A97,main!$A$3:$H$102,6,FALSE),0)</f>
        <v>0</v>
      </c>
      <c r="AR97">
        <f>IF(gamma!AR97,VLOOKUP(zeta!AR$1,main!$A$3:$H$102,5,FALSE)-VLOOKUP(zeta!$A97,main!$A$3:$H$102,6,FALSE),0)</f>
        <v>0</v>
      </c>
      <c r="AS97">
        <f>IF(gamma!AS97,VLOOKUP(zeta!AS$1,main!$A$3:$H$102,5,FALSE)-VLOOKUP(zeta!$A97,main!$A$3:$H$102,6,FALSE),0)</f>
        <v>0</v>
      </c>
      <c r="AT97">
        <f>IF(gamma!AT97,VLOOKUP(zeta!AT$1,main!$A$3:$H$102,5,FALSE)-VLOOKUP(zeta!$A97,main!$A$3:$H$102,6,FALSE),0)</f>
        <v>0</v>
      </c>
      <c r="AU97">
        <f>IF(gamma!AU97,VLOOKUP(zeta!AU$1,main!$A$3:$H$102,5,FALSE)-VLOOKUP(zeta!$A97,main!$A$3:$H$102,6,FALSE),0)</f>
        <v>0</v>
      </c>
      <c r="AV97">
        <f>IF(gamma!AV97,VLOOKUP(zeta!AV$1,main!$A$3:$H$102,5,FALSE)-VLOOKUP(zeta!$A97,main!$A$3:$H$102,6,FALSE),0)</f>
        <v>0</v>
      </c>
      <c r="AW97">
        <f>IF(gamma!AW97,VLOOKUP(zeta!AW$1,main!$A$3:$H$102,5,FALSE)-VLOOKUP(zeta!$A97,main!$A$3:$H$102,6,FALSE),0)</f>
        <v>0</v>
      </c>
      <c r="AX97">
        <f>IF(gamma!AX97,VLOOKUP(zeta!AX$1,main!$A$3:$H$102,5,FALSE)-VLOOKUP(zeta!$A97,main!$A$3:$H$102,6,FALSE),0)</f>
        <v>0</v>
      </c>
      <c r="AY97">
        <f>IF(gamma!AY97,VLOOKUP(zeta!AY$1,main!$A$3:$H$102,5,FALSE)-VLOOKUP(zeta!$A97,main!$A$3:$H$102,6,FALSE),0)</f>
        <v>0</v>
      </c>
      <c r="AZ97">
        <f>IF(gamma!AZ97,VLOOKUP(zeta!AZ$1,main!$A$3:$H$102,5,FALSE)-VLOOKUP(zeta!$A97,main!$A$3:$H$102,6,FALSE),0)</f>
        <v>0</v>
      </c>
      <c r="BA97">
        <f>IF(gamma!BA97,VLOOKUP(zeta!BA$1,main!$A$3:$H$102,5,FALSE)-VLOOKUP(zeta!$A97,main!$A$3:$H$102,6,FALSE),0)</f>
        <v>0</v>
      </c>
      <c r="BB97">
        <f>IF(gamma!BB97,VLOOKUP(zeta!BB$1,main!$A$3:$H$102,5,FALSE)-VLOOKUP(zeta!$A97,main!$A$3:$H$102,6,FALSE),0)</f>
        <v>0</v>
      </c>
      <c r="BC97">
        <f>IF(gamma!BC97,VLOOKUP(zeta!BC$1,main!$A$3:$H$102,5,FALSE)-VLOOKUP(zeta!$A97,main!$A$3:$H$102,6,FALSE),0)</f>
        <v>0</v>
      </c>
      <c r="BD97">
        <f>IF(gamma!BD97,VLOOKUP(zeta!BD$1,main!$A$3:$H$102,5,FALSE)-VLOOKUP(zeta!$A97,main!$A$3:$H$102,6,FALSE),0)</f>
        <v>0</v>
      </c>
      <c r="BE97">
        <f>IF(gamma!BE97,VLOOKUP(zeta!BE$1,main!$A$3:$H$102,5,FALSE)-VLOOKUP(zeta!$A97,main!$A$3:$H$102,6,FALSE),0)</f>
        <v>0</v>
      </c>
      <c r="BF97">
        <f>IF(gamma!BF97,VLOOKUP(zeta!BF$1,main!$A$3:$H$102,5,FALSE)-VLOOKUP(zeta!$A97,main!$A$3:$H$102,6,FALSE),0)</f>
        <v>0</v>
      </c>
      <c r="BG97">
        <f>IF(gamma!BG97,VLOOKUP(zeta!BG$1,main!$A$3:$H$102,5,FALSE)-VLOOKUP(zeta!$A97,main!$A$3:$H$102,6,FALSE),0)</f>
        <v>0</v>
      </c>
      <c r="BH97">
        <f>IF(gamma!BH97,VLOOKUP(zeta!BH$1,main!$A$3:$H$102,5,FALSE)-VLOOKUP(zeta!$A97,main!$A$3:$H$102,6,FALSE),0)</f>
        <v>0</v>
      </c>
      <c r="BI97">
        <f>IF(gamma!BI97,VLOOKUP(zeta!BI$1,main!$A$3:$H$102,5,FALSE)-VLOOKUP(zeta!$A97,main!$A$3:$H$102,6,FALSE),0)</f>
        <v>100</v>
      </c>
      <c r="BJ97">
        <f>IF(gamma!BJ97,VLOOKUP(zeta!BJ$1,main!$A$3:$H$102,5,FALSE)-VLOOKUP(zeta!$A97,main!$A$3:$H$102,6,FALSE),0)</f>
        <v>0</v>
      </c>
      <c r="BK97">
        <f>IF(gamma!BK97,VLOOKUP(zeta!BK$1,main!$A$3:$H$102,5,FALSE)-VLOOKUP(zeta!$A97,main!$A$3:$H$102,6,FALSE),0)</f>
        <v>0</v>
      </c>
      <c r="BL97">
        <f>IF(gamma!BL97,VLOOKUP(zeta!BL$1,main!$A$3:$H$102,5,FALSE)-VLOOKUP(zeta!$A97,main!$A$3:$H$102,6,FALSE),0)</f>
        <v>0</v>
      </c>
      <c r="BM97">
        <f>IF(gamma!BM97,VLOOKUP(zeta!BM$1,main!$A$3:$H$102,5,FALSE)-VLOOKUP(zeta!$A97,main!$A$3:$H$102,6,FALSE),0)</f>
        <v>0</v>
      </c>
      <c r="BN97">
        <f>IF(gamma!BN97,VLOOKUP(zeta!BN$1,main!$A$3:$H$102,5,FALSE)-VLOOKUP(zeta!$A97,main!$A$3:$H$102,6,FALSE),0)</f>
        <v>0</v>
      </c>
      <c r="BO97">
        <f>IF(gamma!BO97,VLOOKUP(zeta!BO$1,main!$A$3:$H$102,5,FALSE)-VLOOKUP(zeta!$A97,main!$A$3:$H$102,6,FALSE),0)</f>
        <v>0</v>
      </c>
      <c r="BP97">
        <f>IF(gamma!BP97,VLOOKUP(zeta!BP$1,main!$A$3:$H$102,5,FALSE)-VLOOKUP(zeta!$A97,main!$A$3:$H$102,6,FALSE),0)</f>
        <v>0</v>
      </c>
      <c r="BQ97">
        <f>IF(gamma!BQ97,VLOOKUP(zeta!BQ$1,main!$A$3:$H$102,5,FALSE)-VLOOKUP(zeta!$A97,main!$A$3:$H$102,6,FALSE),0)</f>
        <v>0</v>
      </c>
      <c r="BR97">
        <f>IF(gamma!BR97,VLOOKUP(zeta!BR$1,main!$A$3:$H$102,5,FALSE)-VLOOKUP(zeta!$A97,main!$A$3:$H$102,6,FALSE),0)</f>
        <v>0</v>
      </c>
      <c r="BS97">
        <f>IF(gamma!BS97,VLOOKUP(zeta!BS$1,main!$A$3:$H$102,5,FALSE)-VLOOKUP(zeta!$A97,main!$A$3:$H$102,6,FALSE),0)</f>
        <v>0</v>
      </c>
      <c r="BT97">
        <f>IF(gamma!BT97,VLOOKUP(zeta!BT$1,main!$A$3:$H$102,5,FALSE)-VLOOKUP(zeta!$A97,main!$A$3:$H$102,6,FALSE),0)</f>
        <v>0</v>
      </c>
      <c r="BU97">
        <f>IF(gamma!BU97,VLOOKUP(zeta!BU$1,main!$A$3:$H$102,5,FALSE)-VLOOKUP(zeta!$A97,main!$A$3:$H$102,6,FALSE),0)</f>
        <v>0</v>
      </c>
      <c r="BV97">
        <f>IF(gamma!BV97,VLOOKUP(zeta!BV$1,main!$A$3:$H$102,5,FALSE)-VLOOKUP(zeta!$A97,main!$A$3:$H$102,6,FALSE),0)</f>
        <v>0</v>
      </c>
      <c r="BW97">
        <f>IF(gamma!BW97,VLOOKUP(zeta!BW$1,main!$A$3:$H$102,5,FALSE)-VLOOKUP(zeta!$A97,main!$A$3:$H$102,6,FALSE),0)</f>
        <v>0</v>
      </c>
      <c r="BX97">
        <f>IF(gamma!BX97,VLOOKUP(zeta!BX$1,main!$A$3:$H$102,5,FALSE)-VLOOKUP(zeta!$A97,main!$A$3:$H$102,6,FALSE),0)</f>
        <v>0</v>
      </c>
      <c r="BY97">
        <f>IF(gamma!BY97,VLOOKUP(zeta!BY$1,main!$A$3:$H$102,5,FALSE)-VLOOKUP(zeta!$A97,main!$A$3:$H$102,6,FALSE),0)</f>
        <v>0</v>
      </c>
      <c r="BZ97">
        <f>IF(gamma!BZ97,VLOOKUP(zeta!BZ$1,main!$A$3:$H$102,5,FALSE)-VLOOKUP(zeta!$A97,main!$A$3:$H$102,6,FALSE),0)</f>
        <v>0</v>
      </c>
      <c r="CA97">
        <f>IF(gamma!CA97,VLOOKUP(zeta!CA$1,main!$A$3:$H$102,5,FALSE)-VLOOKUP(zeta!$A97,main!$A$3:$H$102,6,FALSE),0)</f>
        <v>0</v>
      </c>
      <c r="CB97">
        <f>IF(gamma!CB97,VLOOKUP(zeta!CB$1,main!$A$3:$H$102,5,FALSE)-VLOOKUP(zeta!$A97,main!$A$3:$H$102,6,FALSE),0)</f>
        <v>0</v>
      </c>
      <c r="CC97">
        <f>IF(gamma!CC97,VLOOKUP(zeta!CC$1,main!$A$3:$H$102,5,FALSE)-VLOOKUP(zeta!$A97,main!$A$3:$H$102,6,FALSE),0)</f>
        <v>0</v>
      </c>
      <c r="CD97">
        <f>IF(gamma!CD97,VLOOKUP(zeta!CD$1,main!$A$3:$H$102,5,FALSE)-VLOOKUP(zeta!$A97,main!$A$3:$H$102,6,FALSE),0)</f>
        <v>0</v>
      </c>
      <c r="CE97">
        <f>IF(gamma!CE97,VLOOKUP(zeta!CE$1,main!$A$3:$H$102,5,FALSE)-VLOOKUP(zeta!$A97,main!$A$3:$H$102,6,FALSE),0)</f>
        <v>0</v>
      </c>
      <c r="CF97">
        <f>IF(gamma!CF97,VLOOKUP(zeta!CF$1,main!$A$3:$H$102,5,FALSE)-VLOOKUP(zeta!$A97,main!$A$3:$H$102,6,FALSE),0)</f>
        <v>0</v>
      </c>
      <c r="CG97">
        <f>IF(gamma!CG97,VLOOKUP(zeta!CG$1,main!$A$3:$H$102,5,FALSE)-VLOOKUP(zeta!$A97,main!$A$3:$H$102,6,FALSE),0)</f>
        <v>0</v>
      </c>
      <c r="CH97">
        <f>IF(gamma!CH97,VLOOKUP(zeta!CH$1,main!$A$3:$H$102,5,FALSE)-VLOOKUP(zeta!$A97,main!$A$3:$H$102,6,FALSE),0)</f>
        <v>0</v>
      </c>
      <c r="CI97">
        <f>IF(gamma!CI97,VLOOKUP(zeta!CI$1,main!$A$3:$H$102,5,FALSE)-VLOOKUP(zeta!$A97,main!$A$3:$H$102,6,FALSE),0)</f>
        <v>90</v>
      </c>
      <c r="CJ97">
        <f>IF(gamma!CJ97,VLOOKUP(zeta!CJ$1,main!$A$3:$H$102,5,FALSE)-VLOOKUP(zeta!$A97,main!$A$3:$H$102,6,FALSE),0)</f>
        <v>0</v>
      </c>
      <c r="CK97">
        <f>IF(gamma!CK97,VLOOKUP(zeta!CK$1,main!$A$3:$H$102,5,FALSE)-VLOOKUP(zeta!$A97,main!$A$3:$H$102,6,FALSE),0)</f>
        <v>0</v>
      </c>
      <c r="CL97">
        <f>IF(gamma!CL97,VLOOKUP(zeta!CL$1,main!$A$3:$H$102,5,FALSE)-VLOOKUP(zeta!$A97,main!$A$3:$H$102,6,FALSE),0)</f>
        <v>0</v>
      </c>
      <c r="CM97">
        <f>IF(gamma!CM97,VLOOKUP(zeta!CM$1,main!$A$3:$H$102,5,FALSE)-VLOOKUP(zeta!$A97,main!$A$3:$H$102,6,FALSE),0)</f>
        <v>0</v>
      </c>
      <c r="CN97">
        <f>IF(gamma!CN97,VLOOKUP(zeta!CN$1,main!$A$3:$H$102,5,FALSE)-VLOOKUP(zeta!$A97,main!$A$3:$H$102,6,FALSE),0)</f>
        <v>90</v>
      </c>
      <c r="CO97">
        <f>IF(gamma!CO97,VLOOKUP(zeta!CO$1,main!$A$3:$H$102,5,FALSE)-VLOOKUP(zeta!$A97,main!$A$3:$H$102,6,FALSE),0)</f>
        <v>0</v>
      </c>
      <c r="CP97">
        <f>IF(gamma!CP97,VLOOKUP(zeta!CP$1,main!$A$3:$H$102,5,FALSE)-VLOOKUP(zeta!$A97,main!$A$3:$H$102,6,FALSE),0)</f>
        <v>0</v>
      </c>
      <c r="CQ97">
        <f>IF(gamma!CQ97,VLOOKUP(zeta!CQ$1,main!$A$3:$H$102,5,FALSE)-VLOOKUP(zeta!$A97,main!$A$3:$H$102,6,FALSE),0)</f>
        <v>0</v>
      </c>
      <c r="CR97">
        <f>IF(gamma!CR97,VLOOKUP(zeta!CR$1,main!$A$3:$H$102,5,FALSE)-VLOOKUP(zeta!$A97,main!$A$3:$H$102,6,FALSE),0)</f>
        <v>0</v>
      </c>
      <c r="CS97">
        <f>IF(gamma!CS97,VLOOKUP(zeta!CS$1,main!$A$3:$H$102,5,FALSE)-VLOOKUP(zeta!$A97,main!$A$3:$H$102,6,FALSE),0)</f>
        <v>0</v>
      </c>
      <c r="CT97">
        <f>IF(gamma!CT97,VLOOKUP(zeta!CT$1,main!$A$3:$H$102,5,FALSE)-VLOOKUP(zeta!$A97,main!$A$3:$H$102,6,FALSE),0)</f>
        <v>0</v>
      </c>
      <c r="CU97">
        <f>IF(gamma!CU97,VLOOKUP(zeta!CU$1,main!$A$3:$H$102,5,FALSE)-VLOOKUP(zeta!$A97,main!$A$3:$H$102,6,FALSE),0)</f>
        <v>0</v>
      </c>
      <c r="CV97">
        <f>IF(gamma!CV97,VLOOKUP(zeta!CV$1,main!$A$3:$H$102,5,FALSE)-VLOOKUP(zeta!$A97,main!$A$3:$H$102,6,FALSE),0)</f>
        <v>0</v>
      </c>
      <c r="CW97">
        <f>IF(gamma!CW97,VLOOKUP(zeta!CW$1,main!$A$3:$H$102,5,FALSE)-VLOOKUP(zeta!$A97,main!$A$3:$H$102,6,FALSE),0)</f>
        <v>0</v>
      </c>
      <c r="CX97">
        <f>IF(gamma!CX97,VLOOKUP(zeta!CX$1,main!$A$3:$H$102,5,FALSE)-VLOOKUP(zeta!$A97,main!$A$3:$H$102,6,FALSE),0)</f>
        <v>0</v>
      </c>
    </row>
    <row r="98" spans="1:102" x14ac:dyDescent="0.25">
      <c r="A98">
        <f t="shared" si="2"/>
        <v>96</v>
      </c>
      <c r="B98">
        <v>0</v>
      </c>
      <c r="C98">
        <f>IF(gamma!C98,VLOOKUP(zeta!C$1,main!$A$3:$H$102,5,FALSE)-VLOOKUP(zeta!$A98,main!$A$3:$H$102,6,FALSE),0)</f>
        <v>0</v>
      </c>
      <c r="D98">
        <f>IF(gamma!D98,VLOOKUP(zeta!D$1,main!$A$3:$H$102,5,FALSE)-VLOOKUP(zeta!$A98,main!$A$3:$H$102,6,FALSE),0)</f>
        <v>0</v>
      </c>
      <c r="E98">
        <f>IF(gamma!E98,VLOOKUP(zeta!E$1,main!$A$3:$H$102,5,FALSE)-VLOOKUP(zeta!$A98,main!$A$3:$H$102,6,FALSE),0)</f>
        <v>67</v>
      </c>
      <c r="F98">
        <f>IF(gamma!F98,VLOOKUP(zeta!F$1,main!$A$3:$H$102,5,FALSE)-VLOOKUP(zeta!$A98,main!$A$3:$H$102,6,FALSE),0)</f>
        <v>87</v>
      </c>
      <c r="G98">
        <f>IF(gamma!G98,VLOOKUP(zeta!G$1,main!$A$3:$H$102,5,FALSE)-VLOOKUP(zeta!$A98,main!$A$3:$H$102,6,FALSE),0)</f>
        <v>177</v>
      </c>
      <c r="H98">
        <f>IF(gamma!H98,VLOOKUP(zeta!H$1,main!$A$3:$H$102,5,FALSE)-VLOOKUP(zeta!$A98,main!$A$3:$H$102,6,FALSE),0)</f>
        <v>267</v>
      </c>
      <c r="I98">
        <f>IF(gamma!I98,VLOOKUP(zeta!I$1,main!$A$3:$H$102,5,FALSE)-VLOOKUP(zeta!$A98,main!$A$3:$H$102,6,FALSE),0)</f>
        <v>327</v>
      </c>
      <c r="J98">
        <f>IF(gamma!J98,VLOOKUP(zeta!J$1,main!$A$3:$H$102,5,FALSE)-VLOOKUP(zeta!$A98,main!$A$3:$H$102,6,FALSE),0)</f>
        <v>387</v>
      </c>
      <c r="K98">
        <f>IF(gamma!K98,VLOOKUP(zeta!K$1,main!$A$3:$H$102,5,FALSE)-VLOOKUP(zeta!$A98,main!$A$3:$H$102,6,FALSE),0)</f>
        <v>447</v>
      </c>
      <c r="L98">
        <f>IF(gamma!L98,VLOOKUP(zeta!L$1,main!$A$3:$H$102,5,FALSE)-VLOOKUP(zeta!$A98,main!$A$3:$H$102,6,FALSE),0)</f>
        <v>537</v>
      </c>
      <c r="M98">
        <f>IF(gamma!M98,VLOOKUP(zeta!M$1,main!$A$3:$H$102,5,FALSE)-VLOOKUP(zeta!$A98,main!$A$3:$H$102,6,FALSE),0)</f>
        <v>0</v>
      </c>
      <c r="N98">
        <f>IF(gamma!N98,VLOOKUP(zeta!N$1,main!$A$3:$H$102,5,FALSE)-VLOOKUP(zeta!$A98,main!$A$3:$H$102,6,FALSE),0)</f>
        <v>0</v>
      </c>
      <c r="O98">
        <f>IF(gamma!O98,VLOOKUP(zeta!O$1,main!$A$3:$H$102,5,FALSE)-VLOOKUP(zeta!$A98,main!$A$3:$H$102,6,FALSE),0)</f>
        <v>0</v>
      </c>
      <c r="P98">
        <f>IF(gamma!P98,VLOOKUP(zeta!P$1,main!$A$3:$H$102,5,FALSE)-VLOOKUP(zeta!$A98,main!$A$3:$H$102,6,FALSE),0)</f>
        <v>0</v>
      </c>
      <c r="Q98">
        <f>IF(gamma!Q98,VLOOKUP(zeta!Q$1,main!$A$3:$H$102,5,FALSE)-VLOOKUP(zeta!$A98,main!$A$3:$H$102,6,FALSE),0)</f>
        <v>102</v>
      </c>
      <c r="R98">
        <f>IF(gamma!R98,VLOOKUP(zeta!R$1,main!$A$3:$H$102,5,FALSE)-VLOOKUP(zeta!$A98,main!$A$3:$H$102,6,FALSE),0)</f>
        <v>142</v>
      </c>
      <c r="S98">
        <f>IF(gamma!S98,VLOOKUP(zeta!S$1,main!$A$3:$H$102,5,FALSE)-VLOOKUP(zeta!$A98,main!$A$3:$H$102,6,FALSE),0)</f>
        <v>267</v>
      </c>
      <c r="T98">
        <f>IF(gamma!T98,VLOOKUP(zeta!T$1,main!$A$3:$H$102,5,FALSE)-VLOOKUP(zeta!$A98,main!$A$3:$H$102,6,FALSE),0)</f>
        <v>347</v>
      </c>
      <c r="U98">
        <f>IF(gamma!U98,VLOOKUP(zeta!U$1,main!$A$3:$H$102,5,FALSE)-VLOOKUP(zeta!$A98,main!$A$3:$H$102,6,FALSE),0)</f>
        <v>502</v>
      </c>
      <c r="V98">
        <f>IF(gamma!V98,VLOOKUP(zeta!V$1,main!$A$3:$H$102,5,FALSE)-VLOOKUP(zeta!$A98,main!$A$3:$H$102,6,FALSE),0)</f>
        <v>562</v>
      </c>
      <c r="W98">
        <f>IF(gamma!W98,VLOOKUP(zeta!W$1,main!$A$3:$H$102,5,FALSE)-VLOOKUP(zeta!$A98,main!$A$3:$H$102,6,FALSE),0)</f>
        <v>0</v>
      </c>
      <c r="X98">
        <f>IF(gamma!X98,VLOOKUP(zeta!X$1,main!$A$3:$H$102,5,FALSE)-VLOOKUP(zeta!$A98,main!$A$3:$H$102,6,FALSE),0)</f>
        <v>0</v>
      </c>
      <c r="Y98">
        <f>IF(gamma!Y98,VLOOKUP(zeta!Y$1,main!$A$3:$H$102,5,FALSE)-VLOOKUP(zeta!$A98,main!$A$3:$H$102,6,FALSE),0)</f>
        <v>137</v>
      </c>
      <c r="Z98">
        <f>IF(gamma!Z98,VLOOKUP(zeta!Z$1,main!$A$3:$H$102,5,FALSE)-VLOOKUP(zeta!$A98,main!$A$3:$H$102,6,FALSE),0)</f>
        <v>317</v>
      </c>
      <c r="AA98">
        <f>IF(gamma!AA98,VLOOKUP(zeta!AA$1,main!$A$3:$H$102,5,FALSE)-VLOOKUP(zeta!$A98,main!$A$3:$H$102,6,FALSE),0)</f>
        <v>467</v>
      </c>
      <c r="AB98">
        <f>IF(gamma!AB98,VLOOKUP(zeta!AB$1,main!$A$3:$H$102,5,FALSE)-VLOOKUP(zeta!$A98,main!$A$3:$H$102,6,FALSE),0)</f>
        <v>0</v>
      </c>
      <c r="AC98">
        <f>IF(gamma!AC98,VLOOKUP(zeta!AC$1,main!$A$3:$H$102,5,FALSE)-VLOOKUP(zeta!$A98,main!$A$3:$H$102,6,FALSE),0)</f>
        <v>0</v>
      </c>
      <c r="AD98">
        <f>IF(gamma!AD98,VLOOKUP(zeta!AD$1,main!$A$3:$H$102,5,FALSE)-VLOOKUP(zeta!$A98,main!$A$3:$H$102,6,FALSE),0)</f>
        <v>97</v>
      </c>
      <c r="AE98">
        <f>IF(gamma!AE98,VLOOKUP(zeta!AE$1,main!$A$3:$H$102,5,FALSE)-VLOOKUP(zeta!$A98,main!$A$3:$H$102,6,FALSE),0)</f>
        <v>277</v>
      </c>
      <c r="AF98">
        <f>IF(gamma!AF98,VLOOKUP(zeta!AF$1,main!$A$3:$H$102,5,FALSE)-VLOOKUP(zeta!$A98,main!$A$3:$H$102,6,FALSE),0)</f>
        <v>447</v>
      </c>
      <c r="AG98">
        <f>IF(gamma!AG98,VLOOKUP(zeta!AG$1,main!$A$3:$H$102,5,FALSE)-VLOOKUP(zeta!$A98,main!$A$3:$H$102,6,FALSE),0)</f>
        <v>0</v>
      </c>
      <c r="AH98">
        <f>IF(gamma!AH98,VLOOKUP(zeta!AH$1,main!$A$3:$H$102,5,FALSE)-VLOOKUP(zeta!$A98,main!$A$3:$H$102,6,FALSE),0)</f>
        <v>0</v>
      </c>
      <c r="AI98">
        <f>IF(gamma!AI98,VLOOKUP(zeta!AI$1,main!$A$3:$H$102,5,FALSE)-VLOOKUP(zeta!$A98,main!$A$3:$H$102,6,FALSE),0)</f>
        <v>67</v>
      </c>
      <c r="AJ98">
        <f>IF(gamma!AJ98,VLOOKUP(zeta!AJ$1,main!$A$3:$H$102,5,FALSE)-VLOOKUP(zeta!$A98,main!$A$3:$H$102,6,FALSE),0)</f>
        <v>157</v>
      </c>
      <c r="AK98">
        <f>IF(gamma!AK98,VLOOKUP(zeta!AK$1,main!$A$3:$H$102,5,FALSE)-VLOOKUP(zeta!$A98,main!$A$3:$H$102,6,FALSE),0)</f>
        <v>247</v>
      </c>
      <c r="AL98">
        <f>IF(gamma!AL98,VLOOKUP(zeta!AL$1,main!$A$3:$H$102,5,FALSE)-VLOOKUP(zeta!$A98,main!$A$3:$H$102,6,FALSE),0)</f>
        <v>337</v>
      </c>
      <c r="AM98">
        <f>IF(gamma!AM98,VLOOKUP(zeta!AM$1,main!$A$3:$H$102,5,FALSE)-VLOOKUP(zeta!$A98,main!$A$3:$H$102,6,FALSE),0)</f>
        <v>427</v>
      </c>
      <c r="AN98">
        <f>IF(gamma!AN98,VLOOKUP(zeta!AN$1,main!$A$3:$H$102,5,FALSE)-VLOOKUP(zeta!$A98,main!$A$3:$H$102,6,FALSE),0)</f>
        <v>487</v>
      </c>
      <c r="AO98">
        <f>IF(gamma!AO98,VLOOKUP(zeta!AO$1,main!$A$3:$H$102,5,FALSE)-VLOOKUP(zeta!$A98,main!$A$3:$H$102,6,FALSE),0)</f>
        <v>0</v>
      </c>
      <c r="AP98">
        <f>IF(gamma!AP98,VLOOKUP(zeta!AP$1,main!$A$3:$H$102,5,FALSE)-VLOOKUP(zeta!$A98,main!$A$3:$H$102,6,FALSE),0)</f>
        <v>547</v>
      </c>
      <c r="AQ98">
        <f>IF(gamma!AQ98,VLOOKUP(zeta!AQ$1,main!$A$3:$H$102,5,FALSE)-VLOOKUP(zeta!$A98,main!$A$3:$H$102,6,FALSE),0)</f>
        <v>0</v>
      </c>
      <c r="AR98">
        <f>IF(gamma!AR98,VLOOKUP(zeta!AR$1,main!$A$3:$H$102,5,FALSE)-VLOOKUP(zeta!$A98,main!$A$3:$H$102,6,FALSE),0)</f>
        <v>0</v>
      </c>
      <c r="AS98">
        <f>IF(gamma!AS98,VLOOKUP(zeta!AS$1,main!$A$3:$H$102,5,FALSE)-VLOOKUP(zeta!$A98,main!$A$3:$H$102,6,FALSE),0)</f>
        <v>147</v>
      </c>
      <c r="AT98">
        <f>IF(gamma!AT98,VLOOKUP(zeta!AT$1,main!$A$3:$H$102,5,FALSE)-VLOOKUP(zeta!$A98,main!$A$3:$H$102,6,FALSE),0)</f>
        <v>297</v>
      </c>
      <c r="AU98">
        <f>IF(gamma!AU98,VLOOKUP(zeta!AU$1,main!$A$3:$H$102,5,FALSE)-VLOOKUP(zeta!$A98,main!$A$3:$H$102,6,FALSE),0)</f>
        <v>0</v>
      </c>
      <c r="AV98">
        <f>IF(gamma!AV98,VLOOKUP(zeta!AV$1,main!$A$3:$H$102,5,FALSE)-VLOOKUP(zeta!$A98,main!$A$3:$H$102,6,FALSE),0)</f>
        <v>0</v>
      </c>
      <c r="AW98">
        <f>IF(gamma!AW98,VLOOKUP(zeta!AW$1,main!$A$3:$H$102,5,FALSE)-VLOOKUP(zeta!$A98,main!$A$3:$H$102,6,FALSE),0)</f>
        <v>247</v>
      </c>
      <c r="AX98">
        <f>IF(gamma!AX98,VLOOKUP(zeta!AX$1,main!$A$3:$H$102,5,FALSE)-VLOOKUP(zeta!$A98,main!$A$3:$H$102,6,FALSE),0)</f>
        <v>87</v>
      </c>
      <c r="AY98">
        <f>IF(gamma!AY98,VLOOKUP(zeta!AY$1,main!$A$3:$H$102,5,FALSE)-VLOOKUP(zeta!$A98,main!$A$3:$H$102,6,FALSE),0)</f>
        <v>0</v>
      </c>
      <c r="AZ98">
        <f>IF(gamma!AZ98,VLOOKUP(zeta!AZ$1,main!$A$3:$H$102,5,FALSE)-VLOOKUP(zeta!$A98,main!$A$3:$H$102,6,FALSE),0)</f>
        <v>77</v>
      </c>
      <c r="BA98">
        <f>IF(gamma!BA98,VLOOKUP(zeta!BA$1,main!$A$3:$H$102,5,FALSE)-VLOOKUP(zeta!$A98,main!$A$3:$H$102,6,FALSE),0)</f>
        <v>0</v>
      </c>
      <c r="BB98">
        <f>IF(gamma!BB98,VLOOKUP(zeta!BB$1,main!$A$3:$H$102,5,FALSE)-VLOOKUP(zeta!$A98,main!$A$3:$H$102,6,FALSE),0)</f>
        <v>87</v>
      </c>
      <c r="BC98">
        <f>IF(gamma!BC98,VLOOKUP(zeta!BC$1,main!$A$3:$H$102,5,FALSE)-VLOOKUP(zeta!$A98,main!$A$3:$H$102,6,FALSE),0)</f>
        <v>207</v>
      </c>
      <c r="BD98">
        <f>IF(gamma!BD98,VLOOKUP(zeta!BD$1,main!$A$3:$H$102,5,FALSE)-VLOOKUP(zeta!$A98,main!$A$3:$H$102,6,FALSE),0)</f>
        <v>267</v>
      </c>
      <c r="BE98">
        <f>IF(gamma!BE98,VLOOKUP(zeta!BE$1,main!$A$3:$H$102,5,FALSE)-VLOOKUP(zeta!$A98,main!$A$3:$H$102,6,FALSE),0)</f>
        <v>387</v>
      </c>
      <c r="BF98">
        <f>IF(gamma!BF98,VLOOKUP(zeta!BF$1,main!$A$3:$H$102,5,FALSE)-VLOOKUP(zeta!$A98,main!$A$3:$H$102,6,FALSE),0)</f>
        <v>0</v>
      </c>
      <c r="BG98">
        <f>IF(gamma!BG98,VLOOKUP(zeta!BG$1,main!$A$3:$H$102,5,FALSE)-VLOOKUP(zeta!$A98,main!$A$3:$H$102,6,FALSE),0)</f>
        <v>0</v>
      </c>
      <c r="BH98">
        <f>IF(gamma!BH98,VLOOKUP(zeta!BH$1,main!$A$3:$H$102,5,FALSE)-VLOOKUP(zeta!$A98,main!$A$3:$H$102,6,FALSE),0)</f>
        <v>172</v>
      </c>
      <c r="BI98">
        <f>IF(gamma!BI98,VLOOKUP(zeta!BI$1,main!$A$3:$H$102,5,FALSE)-VLOOKUP(zeta!$A98,main!$A$3:$H$102,6,FALSE),0)</f>
        <v>557</v>
      </c>
      <c r="BJ98">
        <f>IF(gamma!BJ98,VLOOKUP(zeta!BJ$1,main!$A$3:$H$102,5,FALSE)-VLOOKUP(zeta!$A98,main!$A$3:$H$102,6,FALSE),0)</f>
        <v>347</v>
      </c>
      <c r="BK98">
        <f>IF(gamma!BK98,VLOOKUP(zeta!BK$1,main!$A$3:$H$102,5,FALSE)-VLOOKUP(zeta!$A98,main!$A$3:$H$102,6,FALSE),0)</f>
        <v>0</v>
      </c>
      <c r="BL98">
        <f>IF(gamma!BL98,VLOOKUP(zeta!BL$1,main!$A$3:$H$102,5,FALSE)-VLOOKUP(zeta!$A98,main!$A$3:$H$102,6,FALSE),0)</f>
        <v>0</v>
      </c>
      <c r="BM98">
        <f>IF(gamma!BM98,VLOOKUP(zeta!BM$1,main!$A$3:$H$102,5,FALSE)-VLOOKUP(zeta!$A98,main!$A$3:$H$102,6,FALSE),0)</f>
        <v>0</v>
      </c>
      <c r="BN98">
        <f>IF(gamma!BN98,VLOOKUP(zeta!BN$1,main!$A$3:$H$102,5,FALSE)-VLOOKUP(zeta!$A98,main!$A$3:$H$102,6,FALSE),0)</f>
        <v>247</v>
      </c>
      <c r="BO98">
        <f>IF(gamma!BO98,VLOOKUP(zeta!BO$1,main!$A$3:$H$102,5,FALSE)-VLOOKUP(zeta!$A98,main!$A$3:$H$102,6,FALSE),0)</f>
        <v>0</v>
      </c>
      <c r="BP98">
        <f>IF(gamma!BP98,VLOOKUP(zeta!BP$1,main!$A$3:$H$102,5,FALSE)-VLOOKUP(zeta!$A98,main!$A$3:$H$102,6,FALSE),0)</f>
        <v>0</v>
      </c>
      <c r="BQ98">
        <f>IF(gamma!BQ98,VLOOKUP(zeta!BQ$1,main!$A$3:$H$102,5,FALSE)-VLOOKUP(zeta!$A98,main!$A$3:$H$102,6,FALSE),0)</f>
        <v>102</v>
      </c>
      <c r="BR98">
        <f>IF(gamma!BR98,VLOOKUP(zeta!BR$1,main!$A$3:$H$102,5,FALSE)-VLOOKUP(zeta!$A98,main!$A$3:$H$102,6,FALSE),0)</f>
        <v>137</v>
      </c>
      <c r="BS98">
        <f>IF(gamma!BS98,VLOOKUP(zeta!BS$1,main!$A$3:$H$102,5,FALSE)-VLOOKUP(zeta!$A98,main!$A$3:$H$102,6,FALSE),0)</f>
        <v>147</v>
      </c>
      <c r="BT98">
        <f>IF(gamma!BT98,VLOOKUP(zeta!BT$1,main!$A$3:$H$102,5,FALSE)-VLOOKUP(zeta!$A98,main!$A$3:$H$102,6,FALSE),0)</f>
        <v>97</v>
      </c>
      <c r="BU98">
        <f>IF(gamma!BU98,VLOOKUP(zeta!BU$1,main!$A$3:$H$102,5,FALSE)-VLOOKUP(zeta!$A98,main!$A$3:$H$102,6,FALSE),0)</f>
        <v>0</v>
      </c>
      <c r="BV98">
        <f>IF(gamma!BV98,VLOOKUP(zeta!BV$1,main!$A$3:$H$102,5,FALSE)-VLOOKUP(zeta!$A98,main!$A$3:$H$102,6,FALSE),0)</f>
        <v>0</v>
      </c>
      <c r="BW98">
        <f>IF(gamma!BW98,VLOOKUP(zeta!BW$1,main!$A$3:$H$102,5,FALSE)-VLOOKUP(zeta!$A98,main!$A$3:$H$102,6,FALSE),0)</f>
        <v>0</v>
      </c>
      <c r="BX98">
        <f>IF(gamma!BX98,VLOOKUP(zeta!BX$1,main!$A$3:$H$102,5,FALSE)-VLOOKUP(zeta!$A98,main!$A$3:$H$102,6,FALSE),0)</f>
        <v>112</v>
      </c>
      <c r="BY98">
        <f>IF(gamma!BY98,VLOOKUP(zeta!BY$1,main!$A$3:$H$102,5,FALSE)-VLOOKUP(zeta!$A98,main!$A$3:$H$102,6,FALSE),0)</f>
        <v>197</v>
      </c>
      <c r="BZ98">
        <f>IF(gamma!BZ98,VLOOKUP(zeta!BZ$1,main!$A$3:$H$102,5,FALSE)-VLOOKUP(zeta!$A98,main!$A$3:$H$102,6,FALSE),0)</f>
        <v>0</v>
      </c>
      <c r="CA98">
        <f>IF(gamma!CA98,VLOOKUP(zeta!CA$1,main!$A$3:$H$102,5,FALSE)-VLOOKUP(zeta!$A98,main!$A$3:$H$102,6,FALSE),0)</f>
        <v>0</v>
      </c>
      <c r="CB98">
        <f>IF(gamma!CB98,VLOOKUP(zeta!CB$1,main!$A$3:$H$102,5,FALSE)-VLOOKUP(zeta!$A98,main!$A$3:$H$102,6,FALSE),0)</f>
        <v>252</v>
      </c>
      <c r="CC98">
        <f>IF(gamma!CC98,VLOOKUP(zeta!CC$1,main!$A$3:$H$102,5,FALSE)-VLOOKUP(zeta!$A98,main!$A$3:$H$102,6,FALSE),0)</f>
        <v>462</v>
      </c>
      <c r="CD98">
        <f>IF(gamma!CD98,VLOOKUP(zeta!CD$1,main!$A$3:$H$102,5,FALSE)-VLOOKUP(zeta!$A98,main!$A$3:$H$102,6,FALSE),0)</f>
        <v>197</v>
      </c>
      <c r="CE98">
        <f>IF(gamma!CE98,VLOOKUP(zeta!CE$1,main!$A$3:$H$102,5,FALSE)-VLOOKUP(zeta!$A98,main!$A$3:$H$102,6,FALSE),0)</f>
        <v>67</v>
      </c>
      <c r="CF98">
        <f>IF(gamma!CF98,VLOOKUP(zeta!CF$1,main!$A$3:$H$102,5,FALSE)-VLOOKUP(zeta!$A98,main!$A$3:$H$102,6,FALSE),0)</f>
        <v>97</v>
      </c>
      <c r="CG98">
        <f>IF(gamma!CG98,VLOOKUP(zeta!CG$1,main!$A$3:$H$102,5,FALSE)-VLOOKUP(zeta!$A98,main!$A$3:$H$102,6,FALSE),0)</f>
        <v>147</v>
      </c>
      <c r="CH98">
        <f>IF(gamma!CH98,VLOOKUP(zeta!CH$1,main!$A$3:$H$102,5,FALSE)-VLOOKUP(zeta!$A98,main!$A$3:$H$102,6,FALSE),0)</f>
        <v>347</v>
      </c>
      <c r="CI98">
        <f>IF(gamma!CI98,VLOOKUP(zeta!CI$1,main!$A$3:$H$102,5,FALSE)-VLOOKUP(zeta!$A98,main!$A$3:$H$102,6,FALSE),0)</f>
        <v>547</v>
      </c>
      <c r="CJ98">
        <f>IF(gamma!CJ98,VLOOKUP(zeta!CJ$1,main!$A$3:$H$102,5,FALSE)-VLOOKUP(zeta!$A98,main!$A$3:$H$102,6,FALSE),0)</f>
        <v>137</v>
      </c>
      <c r="CK98">
        <f>IF(gamma!CK98,VLOOKUP(zeta!CK$1,main!$A$3:$H$102,5,FALSE)-VLOOKUP(zeta!$A98,main!$A$3:$H$102,6,FALSE),0)</f>
        <v>0</v>
      </c>
      <c r="CL98">
        <f>IF(gamma!CL98,VLOOKUP(zeta!CL$1,main!$A$3:$H$102,5,FALSE)-VLOOKUP(zeta!$A98,main!$A$3:$H$102,6,FALSE),0)</f>
        <v>147</v>
      </c>
      <c r="CM98">
        <f>IF(gamma!CM98,VLOOKUP(zeta!CM$1,main!$A$3:$H$102,5,FALSE)-VLOOKUP(zeta!$A98,main!$A$3:$H$102,6,FALSE),0)</f>
        <v>323</v>
      </c>
      <c r="CN98">
        <f>IF(gamma!CN98,VLOOKUP(zeta!CN$1,main!$A$3:$H$102,5,FALSE)-VLOOKUP(zeta!$A98,main!$A$3:$H$102,6,FALSE),0)</f>
        <v>547</v>
      </c>
      <c r="CO98">
        <f>IF(gamma!CO98,VLOOKUP(zeta!CO$1,main!$A$3:$H$102,5,FALSE)-VLOOKUP(zeta!$A98,main!$A$3:$H$102,6,FALSE),0)</f>
        <v>0</v>
      </c>
      <c r="CP98">
        <f>IF(gamma!CP98,VLOOKUP(zeta!CP$1,main!$A$3:$H$102,5,FALSE)-VLOOKUP(zeta!$A98,main!$A$3:$H$102,6,FALSE),0)</f>
        <v>112</v>
      </c>
      <c r="CQ98">
        <f>IF(gamma!CQ98,VLOOKUP(zeta!CQ$1,main!$A$3:$H$102,5,FALSE)-VLOOKUP(zeta!$A98,main!$A$3:$H$102,6,FALSE),0)</f>
        <v>127</v>
      </c>
      <c r="CR98">
        <f>IF(gamma!CR98,VLOOKUP(zeta!CR$1,main!$A$3:$H$102,5,FALSE)-VLOOKUP(zeta!$A98,main!$A$3:$H$102,6,FALSE),0)</f>
        <v>312</v>
      </c>
      <c r="CS98">
        <f>IF(gamma!CS98,VLOOKUP(zeta!CS$1,main!$A$3:$H$102,5,FALSE)-VLOOKUP(zeta!$A98,main!$A$3:$H$102,6,FALSE),0)</f>
        <v>322</v>
      </c>
      <c r="CT98">
        <f>IF(gamma!CT98,VLOOKUP(zeta!CT$1,main!$A$3:$H$102,5,FALSE)-VLOOKUP(zeta!$A98,main!$A$3:$H$102,6,FALSE),0)</f>
        <v>0</v>
      </c>
      <c r="CU98">
        <f>IF(gamma!CU98,VLOOKUP(zeta!CU$1,main!$A$3:$H$102,5,FALSE)-VLOOKUP(zeta!$A98,main!$A$3:$H$102,6,FALSE),0)</f>
        <v>0</v>
      </c>
      <c r="CV98">
        <f>IF(gamma!CV98,VLOOKUP(zeta!CV$1,main!$A$3:$H$102,5,FALSE)-VLOOKUP(zeta!$A98,main!$A$3:$H$102,6,FALSE),0)</f>
        <v>127</v>
      </c>
      <c r="CW98">
        <f>IF(gamma!CW98,VLOOKUP(zeta!CW$1,main!$A$3:$H$102,5,FALSE)-VLOOKUP(zeta!$A98,main!$A$3:$H$102,6,FALSE),0)</f>
        <v>312</v>
      </c>
      <c r="CX98">
        <f>IF(gamma!CX98,VLOOKUP(zeta!CX$1,main!$A$3:$H$102,5,FALSE)-VLOOKUP(zeta!$A98,main!$A$3:$H$102,6,FALSE),0)</f>
        <v>352</v>
      </c>
    </row>
    <row r="99" spans="1:102" x14ac:dyDescent="0.25">
      <c r="A99">
        <f t="shared" si="2"/>
        <v>97</v>
      </c>
      <c r="B99">
        <v>0</v>
      </c>
      <c r="C99">
        <f>IF(gamma!C99,VLOOKUP(zeta!C$1,main!$A$3:$H$102,5,FALSE)-VLOOKUP(zeta!$A99,main!$A$3:$H$102,6,FALSE),0)</f>
        <v>0</v>
      </c>
      <c r="D99">
        <f>IF(gamma!D99,VLOOKUP(zeta!D$1,main!$A$3:$H$102,5,FALSE)-VLOOKUP(zeta!$A99,main!$A$3:$H$102,6,FALSE),0)</f>
        <v>0</v>
      </c>
      <c r="E99">
        <f>IF(gamma!E99,VLOOKUP(zeta!E$1,main!$A$3:$H$102,5,FALSE)-VLOOKUP(zeta!$A99,main!$A$3:$H$102,6,FALSE),0)</f>
        <v>60</v>
      </c>
      <c r="F99">
        <f>IF(gamma!F99,VLOOKUP(zeta!F$1,main!$A$3:$H$102,5,FALSE)-VLOOKUP(zeta!$A99,main!$A$3:$H$102,6,FALSE),0)</f>
        <v>80</v>
      </c>
      <c r="G99">
        <f>IF(gamma!G99,VLOOKUP(zeta!G$1,main!$A$3:$H$102,5,FALSE)-VLOOKUP(zeta!$A99,main!$A$3:$H$102,6,FALSE),0)</f>
        <v>170</v>
      </c>
      <c r="H99">
        <f>IF(gamma!H99,VLOOKUP(zeta!H$1,main!$A$3:$H$102,5,FALSE)-VLOOKUP(zeta!$A99,main!$A$3:$H$102,6,FALSE),0)</f>
        <v>260</v>
      </c>
      <c r="I99">
        <f>IF(gamma!I99,VLOOKUP(zeta!I$1,main!$A$3:$H$102,5,FALSE)-VLOOKUP(zeta!$A99,main!$A$3:$H$102,6,FALSE),0)</f>
        <v>320</v>
      </c>
      <c r="J99">
        <f>IF(gamma!J99,VLOOKUP(zeta!J$1,main!$A$3:$H$102,5,FALSE)-VLOOKUP(zeta!$A99,main!$A$3:$H$102,6,FALSE),0)</f>
        <v>380</v>
      </c>
      <c r="K99">
        <f>IF(gamma!K99,VLOOKUP(zeta!K$1,main!$A$3:$H$102,5,FALSE)-VLOOKUP(zeta!$A99,main!$A$3:$H$102,6,FALSE),0)</f>
        <v>440</v>
      </c>
      <c r="L99">
        <f>IF(gamma!L99,VLOOKUP(zeta!L$1,main!$A$3:$H$102,5,FALSE)-VLOOKUP(zeta!$A99,main!$A$3:$H$102,6,FALSE),0)</f>
        <v>530</v>
      </c>
      <c r="M99">
        <f>IF(gamma!M99,VLOOKUP(zeta!M$1,main!$A$3:$H$102,5,FALSE)-VLOOKUP(zeta!$A99,main!$A$3:$H$102,6,FALSE),0)</f>
        <v>0</v>
      </c>
      <c r="N99">
        <f>IF(gamma!N99,VLOOKUP(zeta!N$1,main!$A$3:$H$102,5,FALSE)-VLOOKUP(zeta!$A99,main!$A$3:$H$102,6,FALSE),0)</f>
        <v>0</v>
      </c>
      <c r="O99">
        <f>IF(gamma!O99,VLOOKUP(zeta!O$1,main!$A$3:$H$102,5,FALSE)-VLOOKUP(zeta!$A99,main!$A$3:$H$102,6,FALSE),0)</f>
        <v>0</v>
      </c>
      <c r="P99">
        <f>IF(gamma!P99,VLOOKUP(zeta!P$1,main!$A$3:$H$102,5,FALSE)-VLOOKUP(zeta!$A99,main!$A$3:$H$102,6,FALSE),0)</f>
        <v>0</v>
      </c>
      <c r="Q99">
        <f>IF(gamma!Q99,VLOOKUP(zeta!Q$1,main!$A$3:$H$102,5,FALSE)-VLOOKUP(zeta!$A99,main!$A$3:$H$102,6,FALSE),0)</f>
        <v>95</v>
      </c>
      <c r="R99">
        <f>IF(gamma!R99,VLOOKUP(zeta!R$1,main!$A$3:$H$102,5,FALSE)-VLOOKUP(zeta!$A99,main!$A$3:$H$102,6,FALSE),0)</f>
        <v>135</v>
      </c>
      <c r="S99">
        <f>IF(gamma!S99,VLOOKUP(zeta!S$1,main!$A$3:$H$102,5,FALSE)-VLOOKUP(zeta!$A99,main!$A$3:$H$102,6,FALSE),0)</f>
        <v>260</v>
      </c>
      <c r="T99">
        <f>IF(gamma!T99,VLOOKUP(zeta!T$1,main!$A$3:$H$102,5,FALSE)-VLOOKUP(zeta!$A99,main!$A$3:$H$102,6,FALSE),0)</f>
        <v>340</v>
      </c>
      <c r="U99">
        <f>IF(gamma!U99,VLOOKUP(zeta!U$1,main!$A$3:$H$102,5,FALSE)-VLOOKUP(zeta!$A99,main!$A$3:$H$102,6,FALSE),0)</f>
        <v>495</v>
      </c>
      <c r="V99">
        <f>IF(gamma!V99,VLOOKUP(zeta!V$1,main!$A$3:$H$102,5,FALSE)-VLOOKUP(zeta!$A99,main!$A$3:$H$102,6,FALSE),0)</f>
        <v>555</v>
      </c>
      <c r="W99">
        <f>IF(gamma!W99,VLOOKUP(zeta!W$1,main!$A$3:$H$102,5,FALSE)-VLOOKUP(zeta!$A99,main!$A$3:$H$102,6,FALSE),0)</f>
        <v>0</v>
      </c>
      <c r="X99">
        <f>IF(gamma!X99,VLOOKUP(zeta!X$1,main!$A$3:$H$102,5,FALSE)-VLOOKUP(zeta!$A99,main!$A$3:$H$102,6,FALSE),0)</f>
        <v>0</v>
      </c>
      <c r="Y99">
        <f>IF(gamma!Y99,VLOOKUP(zeta!Y$1,main!$A$3:$H$102,5,FALSE)-VLOOKUP(zeta!$A99,main!$A$3:$H$102,6,FALSE),0)</f>
        <v>130</v>
      </c>
      <c r="Z99">
        <f>IF(gamma!Z99,VLOOKUP(zeta!Z$1,main!$A$3:$H$102,5,FALSE)-VLOOKUP(zeta!$A99,main!$A$3:$H$102,6,FALSE),0)</f>
        <v>310</v>
      </c>
      <c r="AA99">
        <f>IF(gamma!AA99,VLOOKUP(zeta!AA$1,main!$A$3:$H$102,5,FALSE)-VLOOKUP(zeta!$A99,main!$A$3:$H$102,6,FALSE),0)</f>
        <v>460</v>
      </c>
      <c r="AB99">
        <f>IF(gamma!AB99,VLOOKUP(zeta!AB$1,main!$A$3:$H$102,5,FALSE)-VLOOKUP(zeta!$A99,main!$A$3:$H$102,6,FALSE),0)</f>
        <v>0</v>
      </c>
      <c r="AC99">
        <f>IF(gamma!AC99,VLOOKUP(zeta!AC$1,main!$A$3:$H$102,5,FALSE)-VLOOKUP(zeta!$A99,main!$A$3:$H$102,6,FALSE),0)</f>
        <v>0</v>
      </c>
      <c r="AD99">
        <f>IF(gamma!AD99,VLOOKUP(zeta!AD$1,main!$A$3:$H$102,5,FALSE)-VLOOKUP(zeta!$A99,main!$A$3:$H$102,6,FALSE),0)</f>
        <v>90</v>
      </c>
      <c r="AE99">
        <f>IF(gamma!AE99,VLOOKUP(zeta!AE$1,main!$A$3:$H$102,5,FALSE)-VLOOKUP(zeta!$A99,main!$A$3:$H$102,6,FALSE),0)</f>
        <v>270</v>
      </c>
      <c r="AF99">
        <f>IF(gamma!AF99,VLOOKUP(zeta!AF$1,main!$A$3:$H$102,5,FALSE)-VLOOKUP(zeta!$A99,main!$A$3:$H$102,6,FALSE),0)</f>
        <v>440</v>
      </c>
      <c r="AG99">
        <f>IF(gamma!AG99,VLOOKUP(zeta!AG$1,main!$A$3:$H$102,5,FALSE)-VLOOKUP(zeta!$A99,main!$A$3:$H$102,6,FALSE),0)</f>
        <v>0</v>
      </c>
      <c r="AH99">
        <f>IF(gamma!AH99,VLOOKUP(zeta!AH$1,main!$A$3:$H$102,5,FALSE)-VLOOKUP(zeta!$A99,main!$A$3:$H$102,6,FALSE),0)</f>
        <v>0</v>
      </c>
      <c r="AI99">
        <f>IF(gamma!AI99,VLOOKUP(zeta!AI$1,main!$A$3:$H$102,5,FALSE)-VLOOKUP(zeta!$A99,main!$A$3:$H$102,6,FALSE),0)</f>
        <v>60</v>
      </c>
      <c r="AJ99">
        <f>IF(gamma!AJ99,VLOOKUP(zeta!AJ$1,main!$A$3:$H$102,5,FALSE)-VLOOKUP(zeta!$A99,main!$A$3:$H$102,6,FALSE),0)</f>
        <v>150</v>
      </c>
      <c r="AK99">
        <f>IF(gamma!AK99,VLOOKUP(zeta!AK$1,main!$A$3:$H$102,5,FALSE)-VLOOKUP(zeta!$A99,main!$A$3:$H$102,6,FALSE),0)</f>
        <v>240</v>
      </c>
      <c r="AL99">
        <f>IF(gamma!AL99,VLOOKUP(zeta!AL$1,main!$A$3:$H$102,5,FALSE)-VLOOKUP(zeta!$A99,main!$A$3:$H$102,6,FALSE),0)</f>
        <v>330</v>
      </c>
      <c r="AM99">
        <f>IF(gamma!AM99,VLOOKUP(zeta!AM$1,main!$A$3:$H$102,5,FALSE)-VLOOKUP(zeta!$A99,main!$A$3:$H$102,6,FALSE),0)</f>
        <v>420</v>
      </c>
      <c r="AN99">
        <f>IF(gamma!AN99,VLOOKUP(zeta!AN$1,main!$A$3:$H$102,5,FALSE)-VLOOKUP(zeta!$A99,main!$A$3:$H$102,6,FALSE),0)</f>
        <v>480</v>
      </c>
      <c r="AO99">
        <f>IF(gamma!AO99,VLOOKUP(zeta!AO$1,main!$A$3:$H$102,5,FALSE)-VLOOKUP(zeta!$A99,main!$A$3:$H$102,6,FALSE),0)</f>
        <v>0</v>
      </c>
      <c r="AP99">
        <f>IF(gamma!AP99,VLOOKUP(zeta!AP$1,main!$A$3:$H$102,5,FALSE)-VLOOKUP(zeta!$A99,main!$A$3:$H$102,6,FALSE),0)</f>
        <v>540</v>
      </c>
      <c r="AQ99">
        <f>IF(gamma!AQ99,VLOOKUP(zeta!AQ$1,main!$A$3:$H$102,5,FALSE)-VLOOKUP(zeta!$A99,main!$A$3:$H$102,6,FALSE),0)</f>
        <v>0</v>
      </c>
      <c r="AR99">
        <f>IF(gamma!AR99,VLOOKUP(zeta!AR$1,main!$A$3:$H$102,5,FALSE)-VLOOKUP(zeta!$A99,main!$A$3:$H$102,6,FALSE),0)</f>
        <v>0</v>
      </c>
      <c r="AS99">
        <f>IF(gamma!AS99,VLOOKUP(zeta!AS$1,main!$A$3:$H$102,5,FALSE)-VLOOKUP(zeta!$A99,main!$A$3:$H$102,6,FALSE),0)</f>
        <v>140</v>
      </c>
      <c r="AT99">
        <f>IF(gamma!AT99,VLOOKUP(zeta!AT$1,main!$A$3:$H$102,5,FALSE)-VLOOKUP(zeta!$A99,main!$A$3:$H$102,6,FALSE),0)</f>
        <v>290</v>
      </c>
      <c r="AU99">
        <f>IF(gamma!AU99,VLOOKUP(zeta!AU$1,main!$A$3:$H$102,5,FALSE)-VLOOKUP(zeta!$A99,main!$A$3:$H$102,6,FALSE),0)</f>
        <v>0</v>
      </c>
      <c r="AV99">
        <f>IF(gamma!AV99,VLOOKUP(zeta!AV$1,main!$A$3:$H$102,5,FALSE)-VLOOKUP(zeta!$A99,main!$A$3:$H$102,6,FALSE),0)</f>
        <v>0</v>
      </c>
      <c r="AW99">
        <f>IF(gamma!AW99,VLOOKUP(zeta!AW$1,main!$A$3:$H$102,5,FALSE)-VLOOKUP(zeta!$A99,main!$A$3:$H$102,6,FALSE),0)</f>
        <v>240</v>
      </c>
      <c r="AX99">
        <f>IF(gamma!AX99,VLOOKUP(zeta!AX$1,main!$A$3:$H$102,5,FALSE)-VLOOKUP(zeta!$A99,main!$A$3:$H$102,6,FALSE),0)</f>
        <v>80</v>
      </c>
      <c r="AY99">
        <f>IF(gamma!AY99,VLOOKUP(zeta!AY$1,main!$A$3:$H$102,5,FALSE)-VLOOKUP(zeta!$A99,main!$A$3:$H$102,6,FALSE),0)</f>
        <v>0</v>
      </c>
      <c r="AZ99">
        <f>IF(gamma!AZ99,VLOOKUP(zeta!AZ$1,main!$A$3:$H$102,5,FALSE)-VLOOKUP(zeta!$A99,main!$A$3:$H$102,6,FALSE),0)</f>
        <v>70</v>
      </c>
      <c r="BA99">
        <f>IF(gamma!BA99,VLOOKUP(zeta!BA$1,main!$A$3:$H$102,5,FALSE)-VLOOKUP(zeta!$A99,main!$A$3:$H$102,6,FALSE),0)</f>
        <v>0</v>
      </c>
      <c r="BB99">
        <f>IF(gamma!BB99,VLOOKUP(zeta!BB$1,main!$A$3:$H$102,5,FALSE)-VLOOKUP(zeta!$A99,main!$A$3:$H$102,6,FALSE),0)</f>
        <v>80</v>
      </c>
      <c r="BC99">
        <f>IF(gamma!BC99,VLOOKUP(zeta!BC$1,main!$A$3:$H$102,5,FALSE)-VLOOKUP(zeta!$A99,main!$A$3:$H$102,6,FALSE),0)</f>
        <v>200</v>
      </c>
      <c r="BD99">
        <f>IF(gamma!BD99,VLOOKUP(zeta!BD$1,main!$A$3:$H$102,5,FALSE)-VLOOKUP(zeta!$A99,main!$A$3:$H$102,6,FALSE),0)</f>
        <v>260</v>
      </c>
      <c r="BE99">
        <f>IF(gamma!BE99,VLOOKUP(zeta!BE$1,main!$A$3:$H$102,5,FALSE)-VLOOKUP(zeta!$A99,main!$A$3:$H$102,6,FALSE),0)</f>
        <v>380</v>
      </c>
      <c r="BF99">
        <f>IF(gamma!BF99,VLOOKUP(zeta!BF$1,main!$A$3:$H$102,5,FALSE)-VLOOKUP(zeta!$A99,main!$A$3:$H$102,6,FALSE),0)</f>
        <v>0</v>
      </c>
      <c r="BG99">
        <f>IF(gamma!BG99,VLOOKUP(zeta!BG$1,main!$A$3:$H$102,5,FALSE)-VLOOKUP(zeta!$A99,main!$A$3:$H$102,6,FALSE),0)</f>
        <v>0</v>
      </c>
      <c r="BH99">
        <f>IF(gamma!BH99,VLOOKUP(zeta!BH$1,main!$A$3:$H$102,5,FALSE)-VLOOKUP(zeta!$A99,main!$A$3:$H$102,6,FALSE),0)</f>
        <v>165</v>
      </c>
      <c r="BI99">
        <f>IF(gamma!BI99,VLOOKUP(zeta!BI$1,main!$A$3:$H$102,5,FALSE)-VLOOKUP(zeta!$A99,main!$A$3:$H$102,6,FALSE),0)</f>
        <v>550</v>
      </c>
      <c r="BJ99">
        <f>IF(gamma!BJ99,VLOOKUP(zeta!BJ$1,main!$A$3:$H$102,5,FALSE)-VLOOKUP(zeta!$A99,main!$A$3:$H$102,6,FALSE),0)</f>
        <v>340</v>
      </c>
      <c r="BK99">
        <f>IF(gamma!BK99,VLOOKUP(zeta!BK$1,main!$A$3:$H$102,5,FALSE)-VLOOKUP(zeta!$A99,main!$A$3:$H$102,6,FALSE),0)</f>
        <v>0</v>
      </c>
      <c r="BL99">
        <f>IF(gamma!BL99,VLOOKUP(zeta!BL$1,main!$A$3:$H$102,5,FALSE)-VLOOKUP(zeta!$A99,main!$A$3:$H$102,6,FALSE),0)</f>
        <v>0</v>
      </c>
      <c r="BM99">
        <f>IF(gamma!BM99,VLOOKUP(zeta!BM$1,main!$A$3:$H$102,5,FALSE)-VLOOKUP(zeta!$A99,main!$A$3:$H$102,6,FALSE),0)</f>
        <v>0</v>
      </c>
      <c r="BN99">
        <f>IF(gamma!BN99,VLOOKUP(zeta!BN$1,main!$A$3:$H$102,5,FALSE)-VLOOKUP(zeta!$A99,main!$A$3:$H$102,6,FALSE),0)</f>
        <v>240</v>
      </c>
      <c r="BO99">
        <f>IF(gamma!BO99,VLOOKUP(zeta!BO$1,main!$A$3:$H$102,5,FALSE)-VLOOKUP(zeta!$A99,main!$A$3:$H$102,6,FALSE),0)</f>
        <v>0</v>
      </c>
      <c r="BP99">
        <f>IF(gamma!BP99,VLOOKUP(zeta!BP$1,main!$A$3:$H$102,5,FALSE)-VLOOKUP(zeta!$A99,main!$A$3:$H$102,6,FALSE),0)</f>
        <v>0</v>
      </c>
      <c r="BQ99">
        <f>IF(gamma!BQ99,VLOOKUP(zeta!BQ$1,main!$A$3:$H$102,5,FALSE)-VLOOKUP(zeta!$A99,main!$A$3:$H$102,6,FALSE),0)</f>
        <v>95</v>
      </c>
      <c r="BR99">
        <f>IF(gamma!BR99,VLOOKUP(zeta!BR$1,main!$A$3:$H$102,5,FALSE)-VLOOKUP(zeta!$A99,main!$A$3:$H$102,6,FALSE),0)</f>
        <v>130</v>
      </c>
      <c r="BS99">
        <f>IF(gamma!BS99,VLOOKUP(zeta!BS$1,main!$A$3:$H$102,5,FALSE)-VLOOKUP(zeta!$A99,main!$A$3:$H$102,6,FALSE),0)</f>
        <v>140</v>
      </c>
      <c r="BT99">
        <f>IF(gamma!BT99,VLOOKUP(zeta!BT$1,main!$A$3:$H$102,5,FALSE)-VLOOKUP(zeta!$A99,main!$A$3:$H$102,6,FALSE),0)</f>
        <v>90</v>
      </c>
      <c r="BU99">
        <f>IF(gamma!BU99,VLOOKUP(zeta!BU$1,main!$A$3:$H$102,5,FALSE)-VLOOKUP(zeta!$A99,main!$A$3:$H$102,6,FALSE),0)</f>
        <v>0</v>
      </c>
      <c r="BV99">
        <f>IF(gamma!BV99,VLOOKUP(zeta!BV$1,main!$A$3:$H$102,5,FALSE)-VLOOKUP(zeta!$A99,main!$A$3:$H$102,6,FALSE),0)</f>
        <v>0</v>
      </c>
      <c r="BW99">
        <f>IF(gamma!BW99,VLOOKUP(zeta!BW$1,main!$A$3:$H$102,5,FALSE)-VLOOKUP(zeta!$A99,main!$A$3:$H$102,6,FALSE),0)</f>
        <v>0</v>
      </c>
      <c r="BX99">
        <f>IF(gamma!BX99,VLOOKUP(zeta!BX$1,main!$A$3:$H$102,5,FALSE)-VLOOKUP(zeta!$A99,main!$A$3:$H$102,6,FALSE),0)</f>
        <v>105</v>
      </c>
      <c r="BY99">
        <f>IF(gamma!BY99,VLOOKUP(zeta!BY$1,main!$A$3:$H$102,5,FALSE)-VLOOKUP(zeta!$A99,main!$A$3:$H$102,6,FALSE),0)</f>
        <v>190</v>
      </c>
      <c r="BZ99">
        <f>IF(gamma!BZ99,VLOOKUP(zeta!BZ$1,main!$A$3:$H$102,5,FALSE)-VLOOKUP(zeta!$A99,main!$A$3:$H$102,6,FALSE),0)</f>
        <v>0</v>
      </c>
      <c r="CA99">
        <f>IF(gamma!CA99,VLOOKUP(zeta!CA$1,main!$A$3:$H$102,5,FALSE)-VLOOKUP(zeta!$A99,main!$A$3:$H$102,6,FALSE),0)</f>
        <v>0</v>
      </c>
      <c r="CB99">
        <f>IF(gamma!CB99,VLOOKUP(zeta!CB$1,main!$A$3:$H$102,5,FALSE)-VLOOKUP(zeta!$A99,main!$A$3:$H$102,6,FALSE),0)</f>
        <v>245</v>
      </c>
      <c r="CC99">
        <f>IF(gamma!CC99,VLOOKUP(zeta!CC$1,main!$A$3:$H$102,5,FALSE)-VLOOKUP(zeta!$A99,main!$A$3:$H$102,6,FALSE),0)</f>
        <v>455</v>
      </c>
      <c r="CD99">
        <f>IF(gamma!CD99,VLOOKUP(zeta!CD$1,main!$A$3:$H$102,5,FALSE)-VLOOKUP(zeta!$A99,main!$A$3:$H$102,6,FALSE),0)</f>
        <v>190</v>
      </c>
      <c r="CE99">
        <f>IF(gamma!CE99,VLOOKUP(zeta!CE$1,main!$A$3:$H$102,5,FALSE)-VLOOKUP(zeta!$A99,main!$A$3:$H$102,6,FALSE),0)</f>
        <v>60</v>
      </c>
      <c r="CF99">
        <f>IF(gamma!CF99,VLOOKUP(zeta!CF$1,main!$A$3:$H$102,5,FALSE)-VLOOKUP(zeta!$A99,main!$A$3:$H$102,6,FALSE),0)</f>
        <v>90</v>
      </c>
      <c r="CG99">
        <f>IF(gamma!CG99,VLOOKUP(zeta!CG$1,main!$A$3:$H$102,5,FALSE)-VLOOKUP(zeta!$A99,main!$A$3:$H$102,6,FALSE),0)</f>
        <v>140</v>
      </c>
      <c r="CH99">
        <f>IF(gamma!CH99,VLOOKUP(zeta!CH$1,main!$A$3:$H$102,5,FALSE)-VLOOKUP(zeta!$A99,main!$A$3:$H$102,6,FALSE),0)</f>
        <v>340</v>
      </c>
      <c r="CI99">
        <f>IF(gamma!CI99,VLOOKUP(zeta!CI$1,main!$A$3:$H$102,5,FALSE)-VLOOKUP(zeta!$A99,main!$A$3:$H$102,6,FALSE),0)</f>
        <v>540</v>
      </c>
      <c r="CJ99">
        <f>IF(gamma!CJ99,VLOOKUP(zeta!CJ$1,main!$A$3:$H$102,5,FALSE)-VLOOKUP(zeta!$A99,main!$A$3:$H$102,6,FALSE),0)</f>
        <v>130</v>
      </c>
      <c r="CK99">
        <f>IF(gamma!CK99,VLOOKUP(zeta!CK$1,main!$A$3:$H$102,5,FALSE)-VLOOKUP(zeta!$A99,main!$A$3:$H$102,6,FALSE),0)</f>
        <v>0</v>
      </c>
      <c r="CL99">
        <f>IF(gamma!CL99,VLOOKUP(zeta!CL$1,main!$A$3:$H$102,5,FALSE)-VLOOKUP(zeta!$A99,main!$A$3:$H$102,6,FALSE),0)</f>
        <v>140</v>
      </c>
      <c r="CM99">
        <f>IF(gamma!CM99,VLOOKUP(zeta!CM$1,main!$A$3:$H$102,5,FALSE)-VLOOKUP(zeta!$A99,main!$A$3:$H$102,6,FALSE),0)</f>
        <v>316</v>
      </c>
      <c r="CN99">
        <f>IF(gamma!CN99,VLOOKUP(zeta!CN$1,main!$A$3:$H$102,5,FALSE)-VLOOKUP(zeta!$A99,main!$A$3:$H$102,6,FALSE),0)</f>
        <v>540</v>
      </c>
      <c r="CO99">
        <f>IF(gamma!CO99,VLOOKUP(zeta!CO$1,main!$A$3:$H$102,5,FALSE)-VLOOKUP(zeta!$A99,main!$A$3:$H$102,6,FALSE),0)</f>
        <v>0</v>
      </c>
      <c r="CP99">
        <f>IF(gamma!CP99,VLOOKUP(zeta!CP$1,main!$A$3:$H$102,5,FALSE)-VLOOKUP(zeta!$A99,main!$A$3:$H$102,6,FALSE),0)</f>
        <v>105</v>
      </c>
      <c r="CQ99">
        <f>IF(gamma!CQ99,VLOOKUP(zeta!CQ$1,main!$A$3:$H$102,5,FALSE)-VLOOKUP(zeta!$A99,main!$A$3:$H$102,6,FALSE),0)</f>
        <v>120</v>
      </c>
      <c r="CR99">
        <f>IF(gamma!CR99,VLOOKUP(zeta!CR$1,main!$A$3:$H$102,5,FALSE)-VLOOKUP(zeta!$A99,main!$A$3:$H$102,6,FALSE),0)</f>
        <v>305</v>
      </c>
      <c r="CS99">
        <f>IF(gamma!CS99,VLOOKUP(zeta!CS$1,main!$A$3:$H$102,5,FALSE)-VLOOKUP(zeta!$A99,main!$A$3:$H$102,6,FALSE),0)</f>
        <v>315</v>
      </c>
      <c r="CT99">
        <f>IF(gamma!CT99,VLOOKUP(zeta!CT$1,main!$A$3:$H$102,5,FALSE)-VLOOKUP(zeta!$A99,main!$A$3:$H$102,6,FALSE),0)</f>
        <v>0</v>
      </c>
      <c r="CU99">
        <f>IF(gamma!CU99,VLOOKUP(zeta!CU$1,main!$A$3:$H$102,5,FALSE)-VLOOKUP(zeta!$A99,main!$A$3:$H$102,6,FALSE),0)</f>
        <v>0</v>
      </c>
      <c r="CV99">
        <f>IF(gamma!CV99,VLOOKUP(zeta!CV$1,main!$A$3:$H$102,5,FALSE)-VLOOKUP(zeta!$A99,main!$A$3:$H$102,6,FALSE),0)</f>
        <v>120</v>
      </c>
      <c r="CW99">
        <f>IF(gamma!CW99,VLOOKUP(zeta!CW$1,main!$A$3:$H$102,5,FALSE)-VLOOKUP(zeta!$A99,main!$A$3:$H$102,6,FALSE),0)</f>
        <v>305</v>
      </c>
      <c r="CX99">
        <f>IF(gamma!CX99,VLOOKUP(zeta!CX$1,main!$A$3:$H$102,5,FALSE)-VLOOKUP(zeta!$A99,main!$A$3:$H$102,6,FALSE),0)</f>
        <v>345</v>
      </c>
    </row>
    <row r="100" spans="1:102" x14ac:dyDescent="0.25">
      <c r="A100">
        <f t="shared" si="2"/>
        <v>98</v>
      </c>
      <c r="B100">
        <v>0</v>
      </c>
      <c r="C100">
        <f>IF(gamma!C100,VLOOKUP(zeta!C$1,main!$A$3:$H$102,5,FALSE)-VLOOKUP(zeta!$A100,main!$A$3:$H$102,6,FALSE),0)</f>
        <v>0</v>
      </c>
      <c r="D100">
        <f>IF(gamma!D100,VLOOKUP(zeta!D$1,main!$A$3:$H$102,5,FALSE)-VLOOKUP(zeta!$A100,main!$A$3:$H$102,6,FALSE),0)</f>
        <v>0</v>
      </c>
      <c r="E100">
        <f>IF(gamma!E100,VLOOKUP(zeta!E$1,main!$A$3:$H$102,5,FALSE)-VLOOKUP(zeta!$A100,main!$A$3:$H$102,6,FALSE),0)</f>
        <v>0</v>
      </c>
      <c r="F100">
        <f>IF(gamma!F100,VLOOKUP(zeta!F$1,main!$A$3:$H$102,5,FALSE)-VLOOKUP(zeta!$A100,main!$A$3:$H$102,6,FALSE),0)</f>
        <v>0</v>
      </c>
      <c r="G100">
        <f>IF(gamma!G100,VLOOKUP(zeta!G$1,main!$A$3:$H$102,5,FALSE)-VLOOKUP(zeta!$A100,main!$A$3:$H$102,6,FALSE),0)</f>
        <v>0</v>
      </c>
      <c r="H100">
        <f>IF(gamma!H100,VLOOKUP(zeta!H$1,main!$A$3:$H$102,5,FALSE)-VLOOKUP(zeta!$A100,main!$A$3:$H$102,6,FALSE),0)</f>
        <v>60</v>
      </c>
      <c r="I100">
        <f>IF(gamma!I100,VLOOKUP(zeta!I$1,main!$A$3:$H$102,5,FALSE)-VLOOKUP(zeta!$A100,main!$A$3:$H$102,6,FALSE),0)</f>
        <v>120</v>
      </c>
      <c r="J100">
        <f>IF(gamma!J100,VLOOKUP(zeta!J$1,main!$A$3:$H$102,5,FALSE)-VLOOKUP(zeta!$A100,main!$A$3:$H$102,6,FALSE),0)</f>
        <v>180</v>
      </c>
      <c r="K100">
        <f>IF(gamma!K100,VLOOKUP(zeta!K$1,main!$A$3:$H$102,5,FALSE)-VLOOKUP(zeta!$A100,main!$A$3:$H$102,6,FALSE),0)</f>
        <v>240</v>
      </c>
      <c r="L100">
        <f>IF(gamma!L100,VLOOKUP(zeta!L$1,main!$A$3:$H$102,5,FALSE)-VLOOKUP(zeta!$A100,main!$A$3:$H$102,6,FALSE),0)</f>
        <v>330</v>
      </c>
      <c r="M100">
        <f>IF(gamma!M100,VLOOKUP(zeta!M$1,main!$A$3:$H$102,5,FALSE)-VLOOKUP(zeta!$A100,main!$A$3:$H$102,6,FALSE),0)</f>
        <v>0</v>
      </c>
      <c r="N100">
        <f>IF(gamma!N100,VLOOKUP(zeta!N$1,main!$A$3:$H$102,5,FALSE)-VLOOKUP(zeta!$A100,main!$A$3:$H$102,6,FALSE),0)</f>
        <v>0</v>
      </c>
      <c r="O100">
        <f>IF(gamma!O100,VLOOKUP(zeta!O$1,main!$A$3:$H$102,5,FALSE)-VLOOKUP(zeta!$A100,main!$A$3:$H$102,6,FALSE),0)</f>
        <v>0</v>
      </c>
      <c r="P100">
        <f>IF(gamma!P100,VLOOKUP(zeta!P$1,main!$A$3:$H$102,5,FALSE)-VLOOKUP(zeta!$A100,main!$A$3:$H$102,6,FALSE),0)</f>
        <v>0</v>
      </c>
      <c r="Q100">
        <f>IF(gamma!Q100,VLOOKUP(zeta!Q$1,main!$A$3:$H$102,5,FALSE)-VLOOKUP(zeta!$A100,main!$A$3:$H$102,6,FALSE),0)</f>
        <v>0</v>
      </c>
      <c r="R100">
        <f>IF(gamma!R100,VLOOKUP(zeta!R$1,main!$A$3:$H$102,5,FALSE)-VLOOKUP(zeta!$A100,main!$A$3:$H$102,6,FALSE),0)</f>
        <v>0</v>
      </c>
      <c r="S100">
        <f>IF(gamma!S100,VLOOKUP(zeta!S$1,main!$A$3:$H$102,5,FALSE)-VLOOKUP(zeta!$A100,main!$A$3:$H$102,6,FALSE),0)</f>
        <v>60</v>
      </c>
      <c r="T100">
        <f>IF(gamma!T100,VLOOKUP(zeta!T$1,main!$A$3:$H$102,5,FALSE)-VLOOKUP(zeta!$A100,main!$A$3:$H$102,6,FALSE),0)</f>
        <v>140</v>
      </c>
      <c r="U100">
        <f>IF(gamma!U100,VLOOKUP(zeta!U$1,main!$A$3:$H$102,5,FALSE)-VLOOKUP(zeta!$A100,main!$A$3:$H$102,6,FALSE),0)</f>
        <v>295</v>
      </c>
      <c r="V100">
        <f>IF(gamma!V100,VLOOKUP(zeta!V$1,main!$A$3:$H$102,5,FALSE)-VLOOKUP(zeta!$A100,main!$A$3:$H$102,6,FALSE),0)</f>
        <v>355</v>
      </c>
      <c r="W100">
        <f>IF(gamma!W100,VLOOKUP(zeta!W$1,main!$A$3:$H$102,5,FALSE)-VLOOKUP(zeta!$A100,main!$A$3:$H$102,6,FALSE),0)</f>
        <v>0</v>
      </c>
      <c r="X100">
        <f>IF(gamma!X100,VLOOKUP(zeta!X$1,main!$A$3:$H$102,5,FALSE)-VLOOKUP(zeta!$A100,main!$A$3:$H$102,6,FALSE),0)</f>
        <v>0</v>
      </c>
      <c r="Y100">
        <f>IF(gamma!Y100,VLOOKUP(zeta!Y$1,main!$A$3:$H$102,5,FALSE)-VLOOKUP(zeta!$A100,main!$A$3:$H$102,6,FALSE),0)</f>
        <v>0</v>
      </c>
      <c r="Z100">
        <f>IF(gamma!Z100,VLOOKUP(zeta!Z$1,main!$A$3:$H$102,5,FALSE)-VLOOKUP(zeta!$A100,main!$A$3:$H$102,6,FALSE),0)</f>
        <v>110</v>
      </c>
      <c r="AA100">
        <f>IF(gamma!AA100,VLOOKUP(zeta!AA$1,main!$A$3:$H$102,5,FALSE)-VLOOKUP(zeta!$A100,main!$A$3:$H$102,6,FALSE),0)</f>
        <v>260</v>
      </c>
      <c r="AB100">
        <f>IF(gamma!AB100,VLOOKUP(zeta!AB$1,main!$A$3:$H$102,5,FALSE)-VLOOKUP(zeta!$A100,main!$A$3:$H$102,6,FALSE),0)</f>
        <v>0</v>
      </c>
      <c r="AC100">
        <f>IF(gamma!AC100,VLOOKUP(zeta!AC$1,main!$A$3:$H$102,5,FALSE)-VLOOKUP(zeta!$A100,main!$A$3:$H$102,6,FALSE),0)</f>
        <v>0</v>
      </c>
      <c r="AD100">
        <f>IF(gamma!AD100,VLOOKUP(zeta!AD$1,main!$A$3:$H$102,5,FALSE)-VLOOKUP(zeta!$A100,main!$A$3:$H$102,6,FALSE),0)</f>
        <v>0</v>
      </c>
      <c r="AE100">
        <f>IF(gamma!AE100,VLOOKUP(zeta!AE$1,main!$A$3:$H$102,5,FALSE)-VLOOKUP(zeta!$A100,main!$A$3:$H$102,6,FALSE),0)</f>
        <v>70</v>
      </c>
      <c r="AF100">
        <f>IF(gamma!AF100,VLOOKUP(zeta!AF$1,main!$A$3:$H$102,5,FALSE)-VLOOKUP(zeta!$A100,main!$A$3:$H$102,6,FALSE),0)</f>
        <v>240</v>
      </c>
      <c r="AG100">
        <f>IF(gamma!AG100,VLOOKUP(zeta!AG$1,main!$A$3:$H$102,5,FALSE)-VLOOKUP(zeta!$A100,main!$A$3:$H$102,6,FALSE),0)</f>
        <v>0</v>
      </c>
      <c r="AH100">
        <f>IF(gamma!AH100,VLOOKUP(zeta!AH$1,main!$A$3:$H$102,5,FALSE)-VLOOKUP(zeta!$A100,main!$A$3:$H$102,6,FALSE),0)</f>
        <v>0</v>
      </c>
      <c r="AI100">
        <f>IF(gamma!AI100,VLOOKUP(zeta!AI$1,main!$A$3:$H$102,5,FALSE)-VLOOKUP(zeta!$A100,main!$A$3:$H$102,6,FALSE),0)</f>
        <v>0</v>
      </c>
      <c r="AJ100">
        <f>IF(gamma!AJ100,VLOOKUP(zeta!AJ$1,main!$A$3:$H$102,5,FALSE)-VLOOKUP(zeta!$A100,main!$A$3:$H$102,6,FALSE),0)</f>
        <v>0</v>
      </c>
      <c r="AK100">
        <f>IF(gamma!AK100,VLOOKUP(zeta!AK$1,main!$A$3:$H$102,5,FALSE)-VLOOKUP(zeta!$A100,main!$A$3:$H$102,6,FALSE),0)</f>
        <v>0</v>
      </c>
      <c r="AL100">
        <f>IF(gamma!AL100,VLOOKUP(zeta!AL$1,main!$A$3:$H$102,5,FALSE)-VLOOKUP(zeta!$A100,main!$A$3:$H$102,6,FALSE),0)</f>
        <v>130</v>
      </c>
      <c r="AM100">
        <f>IF(gamma!AM100,VLOOKUP(zeta!AM$1,main!$A$3:$H$102,5,FALSE)-VLOOKUP(zeta!$A100,main!$A$3:$H$102,6,FALSE),0)</f>
        <v>220</v>
      </c>
      <c r="AN100">
        <f>IF(gamma!AN100,VLOOKUP(zeta!AN$1,main!$A$3:$H$102,5,FALSE)-VLOOKUP(zeta!$A100,main!$A$3:$H$102,6,FALSE),0)</f>
        <v>280</v>
      </c>
      <c r="AO100">
        <f>IF(gamma!AO100,VLOOKUP(zeta!AO$1,main!$A$3:$H$102,5,FALSE)-VLOOKUP(zeta!$A100,main!$A$3:$H$102,6,FALSE),0)</f>
        <v>0</v>
      </c>
      <c r="AP100">
        <f>IF(gamma!AP100,VLOOKUP(zeta!AP$1,main!$A$3:$H$102,5,FALSE)-VLOOKUP(zeta!$A100,main!$A$3:$H$102,6,FALSE),0)</f>
        <v>340</v>
      </c>
      <c r="AQ100">
        <f>IF(gamma!AQ100,VLOOKUP(zeta!AQ$1,main!$A$3:$H$102,5,FALSE)-VLOOKUP(zeta!$A100,main!$A$3:$H$102,6,FALSE),0)</f>
        <v>0</v>
      </c>
      <c r="AR100">
        <f>IF(gamma!AR100,VLOOKUP(zeta!AR$1,main!$A$3:$H$102,5,FALSE)-VLOOKUP(zeta!$A100,main!$A$3:$H$102,6,FALSE),0)</f>
        <v>0</v>
      </c>
      <c r="AS100">
        <f>IF(gamma!AS100,VLOOKUP(zeta!AS$1,main!$A$3:$H$102,5,FALSE)-VLOOKUP(zeta!$A100,main!$A$3:$H$102,6,FALSE),0)</f>
        <v>0</v>
      </c>
      <c r="AT100">
        <f>IF(gamma!AT100,VLOOKUP(zeta!AT$1,main!$A$3:$H$102,5,FALSE)-VLOOKUP(zeta!$A100,main!$A$3:$H$102,6,FALSE),0)</f>
        <v>90</v>
      </c>
      <c r="AU100">
        <f>IF(gamma!AU100,VLOOKUP(zeta!AU$1,main!$A$3:$H$102,5,FALSE)-VLOOKUP(zeta!$A100,main!$A$3:$H$102,6,FALSE),0)</f>
        <v>0</v>
      </c>
      <c r="AV100">
        <f>IF(gamma!AV100,VLOOKUP(zeta!AV$1,main!$A$3:$H$102,5,FALSE)-VLOOKUP(zeta!$A100,main!$A$3:$H$102,6,FALSE),0)</f>
        <v>0</v>
      </c>
      <c r="AW100">
        <f>IF(gamma!AW100,VLOOKUP(zeta!AW$1,main!$A$3:$H$102,5,FALSE)-VLOOKUP(zeta!$A100,main!$A$3:$H$102,6,FALSE),0)</f>
        <v>0</v>
      </c>
      <c r="AX100">
        <f>IF(gamma!AX100,VLOOKUP(zeta!AX$1,main!$A$3:$H$102,5,FALSE)-VLOOKUP(zeta!$A100,main!$A$3:$H$102,6,FALSE),0)</f>
        <v>0</v>
      </c>
      <c r="AY100">
        <f>IF(gamma!AY100,VLOOKUP(zeta!AY$1,main!$A$3:$H$102,5,FALSE)-VLOOKUP(zeta!$A100,main!$A$3:$H$102,6,FALSE),0)</f>
        <v>0</v>
      </c>
      <c r="AZ100">
        <f>IF(gamma!AZ100,VLOOKUP(zeta!AZ$1,main!$A$3:$H$102,5,FALSE)-VLOOKUP(zeta!$A100,main!$A$3:$H$102,6,FALSE),0)</f>
        <v>0</v>
      </c>
      <c r="BA100">
        <f>IF(gamma!BA100,VLOOKUP(zeta!BA$1,main!$A$3:$H$102,5,FALSE)-VLOOKUP(zeta!$A100,main!$A$3:$H$102,6,FALSE),0)</f>
        <v>0</v>
      </c>
      <c r="BB100">
        <f>IF(gamma!BB100,VLOOKUP(zeta!BB$1,main!$A$3:$H$102,5,FALSE)-VLOOKUP(zeta!$A100,main!$A$3:$H$102,6,FALSE),0)</f>
        <v>0</v>
      </c>
      <c r="BC100">
        <f>IF(gamma!BC100,VLOOKUP(zeta!BC$1,main!$A$3:$H$102,5,FALSE)-VLOOKUP(zeta!$A100,main!$A$3:$H$102,6,FALSE),0)</f>
        <v>0</v>
      </c>
      <c r="BD100">
        <f>IF(gamma!BD100,VLOOKUP(zeta!BD$1,main!$A$3:$H$102,5,FALSE)-VLOOKUP(zeta!$A100,main!$A$3:$H$102,6,FALSE),0)</f>
        <v>60</v>
      </c>
      <c r="BE100">
        <f>IF(gamma!BE100,VLOOKUP(zeta!BE$1,main!$A$3:$H$102,5,FALSE)-VLOOKUP(zeta!$A100,main!$A$3:$H$102,6,FALSE),0)</f>
        <v>180</v>
      </c>
      <c r="BF100">
        <f>IF(gamma!BF100,VLOOKUP(zeta!BF$1,main!$A$3:$H$102,5,FALSE)-VLOOKUP(zeta!$A100,main!$A$3:$H$102,6,FALSE),0)</f>
        <v>0</v>
      </c>
      <c r="BG100">
        <f>IF(gamma!BG100,VLOOKUP(zeta!BG$1,main!$A$3:$H$102,5,FALSE)-VLOOKUP(zeta!$A100,main!$A$3:$H$102,6,FALSE),0)</f>
        <v>0</v>
      </c>
      <c r="BH100">
        <f>IF(gamma!BH100,VLOOKUP(zeta!BH$1,main!$A$3:$H$102,5,FALSE)-VLOOKUP(zeta!$A100,main!$A$3:$H$102,6,FALSE),0)</f>
        <v>0</v>
      </c>
      <c r="BI100">
        <f>IF(gamma!BI100,VLOOKUP(zeta!BI$1,main!$A$3:$H$102,5,FALSE)-VLOOKUP(zeta!$A100,main!$A$3:$H$102,6,FALSE),0)</f>
        <v>350</v>
      </c>
      <c r="BJ100">
        <f>IF(gamma!BJ100,VLOOKUP(zeta!BJ$1,main!$A$3:$H$102,5,FALSE)-VLOOKUP(zeta!$A100,main!$A$3:$H$102,6,FALSE),0)</f>
        <v>140</v>
      </c>
      <c r="BK100">
        <f>IF(gamma!BK100,VLOOKUP(zeta!BK$1,main!$A$3:$H$102,5,FALSE)-VLOOKUP(zeta!$A100,main!$A$3:$H$102,6,FALSE),0)</f>
        <v>0</v>
      </c>
      <c r="BL100">
        <f>IF(gamma!BL100,VLOOKUP(zeta!BL$1,main!$A$3:$H$102,5,FALSE)-VLOOKUP(zeta!$A100,main!$A$3:$H$102,6,FALSE),0)</f>
        <v>0</v>
      </c>
      <c r="BM100">
        <f>IF(gamma!BM100,VLOOKUP(zeta!BM$1,main!$A$3:$H$102,5,FALSE)-VLOOKUP(zeta!$A100,main!$A$3:$H$102,6,FALSE),0)</f>
        <v>0</v>
      </c>
      <c r="BN100">
        <f>IF(gamma!BN100,VLOOKUP(zeta!BN$1,main!$A$3:$H$102,5,FALSE)-VLOOKUP(zeta!$A100,main!$A$3:$H$102,6,FALSE),0)</f>
        <v>40</v>
      </c>
      <c r="BO100">
        <f>IF(gamma!BO100,VLOOKUP(zeta!BO$1,main!$A$3:$H$102,5,FALSE)-VLOOKUP(zeta!$A100,main!$A$3:$H$102,6,FALSE),0)</f>
        <v>0</v>
      </c>
      <c r="BP100">
        <f>IF(gamma!BP100,VLOOKUP(zeta!BP$1,main!$A$3:$H$102,5,FALSE)-VLOOKUP(zeta!$A100,main!$A$3:$H$102,6,FALSE),0)</f>
        <v>0</v>
      </c>
      <c r="BQ100">
        <f>IF(gamma!BQ100,VLOOKUP(zeta!BQ$1,main!$A$3:$H$102,5,FALSE)-VLOOKUP(zeta!$A100,main!$A$3:$H$102,6,FALSE),0)</f>
        <v>0</v>
      </c>
      <c r="BR100">
        <f>IF(gamma!BR100,VLOOKUP(zeta!BR$1,main!$A$3:$H$102,5,FALSE)-VLOOKUP(zeta!$A100,main!$A$3:$H$102,6,FALSE),0)</f>
        <v>0</v>
      </c>
      <c r="BS100">
        <f>IF(gamma!BS100,VLOOKUP(zeta!BS$1,main!$A$3:$H$102,5,FALSE)-VLOOKUP(zeta!$A100,main!$A$3:$H$102,6,FALSE),0)</f>
        <v>0</v>
      </c>
      <c r="BT100">
        <f>IF(gamma!BT100,VLOOKUP(zeta!BT$1,main!$A$3:$H$102,5,FALSE)-VLOOKUP(zeta!$A100,main!$A$3:$H$102,6,FALSE),0)</f>
        <v>0</v>
      </c>
      <c r="BU100">
        <f>IF(gamma!BU100,VLOOKUP(zeta!BU$1,main!$A$3:$H$102,5,FALSE)-VLOOKUP(zeta!$A100,main!$A$3:$H$102,6,FALSE),0)</f>
        <v>0</v>
      </c>
      <c r="BV100">
        <f>IF(gamma!BV100,VLOOKUP(zeta!BV$1,main!$A$3:$H$102,5,FALSE)-VLOOKUP(zeta!$A100,main!$A$3:$H$102,6,FALSE),0)</f>
        <v>0</v>
      </c>
      <c r="BW100">
        <f>IF(gamma!BW100,VLOOKUP(zeta!BW$1,main!$A$3:$H$102,5,FALSE)-VLOOKUP(zeta!$A100,main!$A$3:$H$102,6,FALSE),0)</f>
        <v>0</v>
      </c>
      <c r="BX100">
        <f>IF(gamma!BX100,VLOOKUP(zeta!BX$1,main!$A$3:$H$102,5,FALSE)-VLOOKUP(zeta!$A100,main!$A$3:$H$102,6,FALSE),0)</f>
        <v>0</v>
      </c>
      <c r="BY100">
        <f>IF(gamma!BY100,VLOOKUP(zeta!BY$1,main!$A$3:$H$102,5,FALSE)-VLOOKUP(zeta!$A100,main!$A$3:$H$102,6,FALSE),0)</f>
        <v>0</v>
      </c>
      <c r="BZ100">
        <f>IF(gamma!BZ100,VLOOKUP(zeta!BZ$1,main!$A$3:$H$102,5,FALSE)-VLOOKUP(zeta!$A100,main!$A$3:$H$102,6,FALSE),0)</f>
        <v>0</v>
      </c>
      <c r="CA100">
        <f>IF(gamma!CA100,VLOOKUP(zeta!CA$1,main!$A$3:$H$102,5,FALSE)-VLOOKUP(zeta!$A100,main!$A$3:$H$102,6,FALSE),0)</f>
        <v>0</v>
      </c>
      <c r="CB100">
        <f>IF(gamma!CB100,VLOOKUP(zeta!CB$1,main!$A$3:$H$102,5,FALSE)-VLOOKUP(zeta!$A100,main!$A$3:$H$102,6,FALSE),0)</f>
        <v>45</v>
      </c>
      <c r="CC100">
        <f>IF(gamma!CC100,VLOOKUP(zeta!CC$1,main!$A$3:$H$102,5,FALSE)-VLOOKUP(zeta!$A100,main!$A$3:$H$102,6,FALSE),0)</f>
        <v>255</v>
      </c>
      <c r="CD100">
        <f>IF(gamma!CD100,VLOOKUP(zeta!CD$1,main!$A$3:$H$102,5,FALSE)-VLOOKUP(zeta!$A100,main!$A$3:$H$102,6,FALSE),0)</f>
        <v>0</v>
      </c>
      <c r="CE100">
        <f>IF(gamma!CE100,VLOOKUP(zeta!CE$1,main!$A$3:$H$102,5,FALSE)-VLOOKUP(zeta!$A100,main!$A$3:$H$102,6,FALSE),0)</f>
        <v>0</v>
      </c>
      <c r="CF100">
        <f>IF(gamma!CF100,VLOOKUP(zeta!CF$1,main!$A$3:$H$102,5,FALSE)-VLOOKUP(zeta!$A100,main!$A$3:$H$102,6,FALSE),0)</f>
        <v>0</v>
      </c>
      <c r="CG100">
        <f>IF(gamma!CG100,VLOOKUP(zeta!CG$1,main!$A$3:$H$102,5,FALSE)-VLOOKUP(zeta!$A100,main!$A$3:$H$102,6,FALSE),0)</f>
        <v>0</v>
      </c>
      <c r="CH100">
        <f>IF(gamma!CH100,VLOOKUP(zeta!CH$1,main!$A$3:$H$102,5,FALSE)-VLOOKUP(zeta!$A100,main!$A$3:$H$102,6,FALSE),0)</f>
        <v>140</v>
      </c>
      <c r="CI100">
        <f>IF(gamma!CI100,VLOOKUP(zeta!CI$1,main!$A$3:$H$102,5,FALSE)-VLOOKUP(zeta!$A100,main!$A$3:$H$102,6,FALSE),0)</f>
        <v>340</v>
      </c>
      <c r="CJ100">
        <f>IF(gamma!CJ100,VLOOKUP(zeta!CJ$1,main!$A$3:$H$102,5,FALSE)-VLOOKUP(zeta!$A100,main!$A$3:$H$102,6,FALSE),0)</f>
        <v>0</v>
      </c>
      <c r="CK100">
        <f>IF(gamma!CK100,VLOOKUP(zeta!CK$1,main!$A$3:$H$102,5,FALSE)-VLOOKUP(zeta!$A100,main!$A$3:$H$102,6,FALSE),0)</f>
        <v>0</v>
      </c>
      <c r="CL100">
        <f>IF(gamma!CL100,VLOOKUP(zeta!CL$1,main!$A$3:$H$102,5,FALSE)-VLOOKUP(zeta!$A100,main!$A$3:$H$102,6,FALSE),0)</f>
        <v>0</v>
      </c>
      <c r="CM100">
        <f>IF(gamma!CM100,VLOOKUP(zeta!CM$1,main!$A$3:$H$102,5,FALSE)-VLOOKUP(zeta!$A100,main!$A$3:$H$102,6,FALSE),0)</f>
        <v>116</v>
      </c>
      <c r="CN100">
        <f>IF(gamma!CN100,VLOOKUP(zeta!CN$1,main!$A$3:$H$102,5,FALSE)-VLOOKUP(zeta!$A100,main!$A$3:$H$102,6,FALSE),0)</f>
        <v>340</v>
      </c>
      <c r="CO100">
        <f>IF(gamma!CO100,VLOOKUP(zeta!CO$1,main!$A$3:$H$102,5,FALSE)-VLOOKUP(zeta!$A100,main!$A$3:$H$102,6,FALSE),0)</f>
        <v>0</v>
      </c>
      <c r="CP100">
        <f>IF(gamma!CP100,VLOOKUP(zeta!CP$1,main!$A$3:$H$102,5,FALSE)-VLOOKUP(zeta!$A100,main!$A$3:$H$102,6,FALSE),0)</f>
        <v>0</v>
      </c>
      <c r="CQ100">
        <f>IF(gamma!CQ100,VLOOKUP(zeta!CQ$1,main!$A$3:$H$102,5,FALSE)-VLOOKUP(zeta!$A100,main!$A$3:$H$102,6,FALSE),0)</f>
        <v>0</v>
      </c>
      <c r="CR100">
        <f>IF(gamma!CR100,VLOOKUP(zeta!CR$1,main!$A$3:$H$102,5,FALSE)-VLOOKUP(zeta!$A100,main!$A$3:$H$102,6,FALSE),0)</f>
        <v>105</v>
      </c>
      <c r="CS100">
        <f>IF(gamma!CS100,VLOOKUP(zeta!CS$1,main!$A$3:$H$102,5,FALSE)-VLOOKUP(zeta!$A100,main!$A$3:$H$102,6,FALSE),0)</f>
        <v>115</v>
      </c>
      <c r="CT100">
        <f>IF(gamma!CT100,VLOOKUP(zeta!CT$1,main!$A$3:$H$102,5,FALSE)-VLOOKUP(zeta!$A100,main!$A$3:$H$102,6,FALSE),0)</f>
        <v>0</v>
      </c>
      <c r="CU100">
        <f>IF(gamma!CU100,VLOOKUP(zeta!CU$1,main!$A$3:$H$102,5,FALSE)-VLOOKUP(zeta!$A100,main!$A$3:$H$102,6,FALSE),0)</f>
        <v>0</v>
      </c>
      <c r="CV100">
        <f>IF(gamma!CV100,VLOOKUP(zeta!CV$1,main!$A$3:$H$102,5,FALSE)-VLOOKUP(zeta!$A100,main!$A$3:$H$102,6,FALSE),0)</f>
        <v>0</v>
      </c>
      <c r="CW100">
        <f>IF(gamma!CW100,VLOOKUP(zeta!CW$1,main!$A$3:$H$102,5,FALSE)-VLOOKUP(zeta!$A100,main!$A$3:$H$102,6,FALSE),0)</f>
        <v>105</v>
      </c>
      <c r="CX100">
        <f>IF(gamma!CX100,VLOOKUP(zeta!CX$1,main!$A$3:$H$102,5,FALSE)-VLOOKUP(zeta!$A100,main!$A$3:$H$102,6,FALSE),0)</f>
        <v>145</v>
      </c>
    </row>
    <row r="101" spans="1:102" x14ac:dyDescent="0.25">
      <c r="A101">
        <f t="shared" si="2"/>
        <v>99</v>
      </c>
      <c r="B101">
        <v>0</v>
      </c>
      <c r="C101">
        <f>IF(gamma!C101,VLOOKUP(zeta!C$1,main!$A$3:$H$102,5,FALSE)-VLOOKUP(zeta!$A101,main!$A$3:$H$102,6,FALSE),0)</f>
        <v>0</v>
      </c>
      <c r="D101">
        <f>IF(gamma!D101,VLOOKUP(zeta!D$1,main!$A$3:$H$102,5,FALSE)-VLOOKUP(zeta!$A101,main!$A$3:$H$102,6,FALSE),0)</f>
        <v>0</v>
      </c>
      <c r="E101">
        <f>IF(gamma!E101,VLOOKUP(zeta!E$1,main!$A$3:$H$102,5,FALSE)-VLOOKUP(zeta!$A101,main!$A$3:$H$102,6,FALSE),0)</f>
        <v>0</v>
      </c>
      <c r="F101">
        <f>IF(gamma!F101,VLOOKUP(zeta!F$1,main!$A$3:$H$102,5,FALSE)-VLOOKUP(zeta!$A101,main!$A$3:$H$102,6,FALSE),0)</f>
        <v>0</v>
      </c>
      <c r="G101">
        <f>IF(gamma!G101,VLOOKUP(zeta!G$1,main!$A$3:$H$102,5,FALSE)-VLOOKUP(zeta!$A101,main!$A$3:$H$102,6,FALSE),0)</f>
        <v>0</v>
      </c>
      <c r="H101">
        <f>IF(gamma!H101,VLOOKUP(zeta!H$1,main!$A$3:$H$102,5,FALSE)-VLOOKUP(zeta!$A101,main!$A$3:$H$102,6,FALSE),0)</f>
        <v>0</v>
      </c>
      <c r="I101">
        <f>IF(gamma!I101,VLOOKUP(zeta!I$1,main!$A$3:$H$102,5,FALSE)-VLOOKUP(zeta!$A101,main!$A$3:$H$102,6,FALSE),0)</f>
        <v>0</v>
      </c>
      <c r="J101">
        <f>IF(gamma!J101,VLOOKUP(zeta!J$1,main!$A$3:$H$102,5,FALSE)-VLOOKUP(zeta!$A101,main!$A$3:$H$102,6,FALSE),0)</f>
        <v>0</v>
      </c>
      <c r="K101">
        <f>IF(gamma!K101,VLOOKUP(zeta!K$1,main!$A$3:$H$102,5,FALSE)-VLOOKUP(zeta!$A101,main!$A$3:$H$102,6,FALSE),0)</f>
        <v>0</v>
      </c>
      <c r="L101">
        <f>IF(gamma!L101,VLOOKUP(zeta!L$1,main!$A$3:$H$102,5,FALSE)-VLOOKUP(zeta!$A101,main!$A$3:$H$102,6,FALSE),0)</f>
        <v>130</v>
      </c>
      <c r="M101">
        <f>IF(gamma!M101,VLOOKUP(zeta!M$1,main!$A$3:$H$102,5,FALSE)-VLOOKUP(zeta!$A101,main!$A$3:$H$102,6,FALSE),0)</f>
        <v>0</v>
      </c>
      <c r="N101">
        <f>IF(gamma!N101,VLOOKUP(zeta!N$1,main!$A$3:$H$102,5,FALSE)-VLOOKUP(zeta!$A101,main!$A$3:$H$102,6,FALSE),0)</f>
        <v>0</v>
      </c>
      <c r="O101">
        <f>IF(gamma!O101,VLOOKUP(zeta!O$1,main!$A$3:$H$102,5,FALSE)-VLOOKUP(zeta!$A101,main!$A$3:$H$102,6,FALSE),0)</f>
        <v>0</v>
      </c>
      <c r="P101">
        <f>IF(gamma!P101,VLOOKUP(zeta!P$1,main!$A$3:$H$102,5,FALSE)-VLOOKUP(zeta!$A101,main!$A$3:$H$102,6,FALSE),0)</f>
        <v>0</v>
      </c>
      <c r="Q101">
        <f>IF(gamma!Q101,VLOOKUP(zeta!Q$1,main!$A$3:$H$102,5,FALSE)-VLOOKUP(zeta!$A101,main!$A$3:$H$102,6,FALSE),0)</f>
        <v>0</v>
      </c>
      <c r="R101">
        <f>IF(gamma!R101,VLOOKUP(zeta!R$1,main!$A$3:$H$102,5,FALSE)-VLOOKUP(zeta!$A101,main!$A$3:$H$102,6,FALSE),0)</f>
        <v>0</v>
      </c>
      <c r="S101">
        <f>IF(gamma!S101,VLOOKUP(zeta!S$1,main!$A$3:$H$102,5,FALSE)-VLOOKUP(zeta!$A101,main!$A$3:$H$102,6,FALSE),0)</f>
        <v>0</v>
      </c>
      <c r="T101">
        <f>IF(gamma!T101,VLOOKUP(zeta!T$1,main!$A$3:$H$102,5,FALSE)-VLOOKUP(zeta!$A101,main!$A$3:$H$102,6,FALSE),0)</f>
        <v>0</v>
      </c>
      <c r="U101">
        <f>IF(gamma!U101,VLOOKUP(zeta!U$1,main!$A$3:$H$102,5,FALSE)-VLOOKUP(zeta!$A101,main!$A$3:$H$102,6,FALSE),0)</f>
        <v>95</v>
      </c>
      <c r="V101">
        <f>IF(gamma!V101,VLOOKUP(zeta!V$1,main!$A$3:$H$102,5,FALSE)-VLOOKUP(zeta!$A101,main!$A$3:$H$102,6,FALSE),0)</f>
        <v>155</v>
      </c>
      <c r="W101">
        <f>IF(gamma!W101,VLOOKUP(zeta!W$1,main!$A$3:$H$102,5,FALSE)-VLOOKUP(zeta!$A101,main!$A$3:$H$102,6,FALSE),0)</f>
        <v>0</v>
      </c>
      <c r="X101">
        <f>IF(gamma!X101,VLOOKUP(zeta!X$1,main!$A$3:$H$102,5,FALSE)-VLOOKUP(zeta!$A101,main!$A$3:$H$102,6,FALSE),0)</f>
        <v>0</v>
      </c>
      <c r="Y101">
        <f>IF(gamma!Y101,VLOOKUP(zeta!Y$1,main!$A$3:$H$102,5,FALSE)-VLOOKUP(zeta!$A101,main!$A$3:$H$102,6,FALSE),0)</f>
        <v>0</v>
      </c>
      <c r="Z101">
        <f>IF(gamma!Z101,VLOOKUP(zeta!Z$1,main!$A$3:$H$102,5,FALSE)-VLOOKUP(zeta!$A101,main!$A$3:$H$102,6,FALSE),0)</f>
        <v>0</v>
      </c>
      <c r="AA101">
        <f>IF(gamma!AA101,VLOOKUP(zeta!AA$1,main!$A$3:$H$102,5,FALSE)-VLOOKUP(zeta!$A101,main!$A$3:$H$102,6,FALSE),0)</f>
        <v>60</v>
      </c>
      <c r="AB101">
        <f>IF(gamma!AB101,VLOOKUP(zeta!AB$1,main!$A$3:$H$102,5,FALSE)-VLOOKUP(zeta!$A101,main!$A$3:$H$102,6,FALSE),0)</f>
        <v>0</v>
      </c>
      <c r="AC101">
        <f>IF(gamma!AC101,VLOOKUP(zeta!AC$1,main!$A$3:$H$102,5,FALSE)-VLOOKUP(zeta!$A101,main!$A$3:$H$102,6,FALSE),0)</f>
        <v>0</v>
      </c>
      <c r="AD101">
        <f>IF(gamma!AD101,VLOOKUP(zeta!AD$1,main!$A$3:$H$102,5,FALSE)-VLOOKUP(zeta!$A101,main!$A$3:$H$102,6,FALSE),0)</f>
        <v>0</v>
      </c>
      <c r="AE101">
        <f>IF(gamma!AE101,VLOOKUP(zeta!AE$1,main!$A$3:$H$102,5,FALSE)-VLOOKUP(zeta!$A101,main!$A$3:$H$102,6,FALSE),0)</f>
        <v>0</v>
      </c>
      <c r="AF101">
        <f>IF(gamma!AF101,VLOOKUP(zeta!AF$1,main!$A$3:$H$102,5,FALSE)-VLOOKUP(zeta!$A101,main!$A$3:$H$102,6,FALSE),0)</f>
        <v>0</v>
      </c>
      <c r="AG101">
        <f>IF(gamma!AG101,VLOOKUP(zeta!AG$1,main!$A$3:$H$102,5,FALSE)-VLOOKUP(zeta!$A101,main!$A$3:$H$102,6,FALSE),0)</f>
        <v>0</v>
      </c>
      <c r="AH101">
        <f>IF(gamma!AH101,VLOOKUP(zeta!AH$1,main!$A$3:$H$102,5,FALSE)-VLOOKUP(zeta!$A101,main!$A$3:$H$102,6,FALSE),0)</f>
        <v>0</v>
      </c>
      <c r="AI101">
        <f>IF(gamma!AI101,VLOOKUP(zeta!AI$1,main!$A$3:$H$102,5,FALSE)-VLOOKUP(zeta!$A101,main!$A$3:$H$102,6,FALSE),0)</f>
        <v>0</v>
      </c>
      <c r="AJ101">
        <f>IF(gamma!AJ101,VLOOKUP(zeta!AJ$1,main!$A$3:$H$102,5,FALSE)-VLOOKUP(zeta!$A101,main!$A$3:$H$102,6,FALSE),0)</f>
        <v>0</v>
      </c>
      <c r="AK101">
        <f>IF(gamma!AK101,VLOOKUP(zeta!AK$1,main!$A$3:$H$102,5,FALSE)-VLOOKUP(zeta!$A101,main!$A$3:$H$102,6,FALSE),0)</f>
        <v>0</v>
      </c>
      <c r="AL101">
        <f>IF(gamma!AL101,VLOOKUP(zeta!AL$1,main!$A$3:$H$102,5,FALSE)-VLOOKUP(zeta!$A101,main!$A$3:$H$102,6,FALSE),0)</f>
        <v>0</v>
      </c>
      <c r="AM101">
        <f>IF(gamma!AM101,VLOOKUP(zeta!AM$1,main!$A$3:$H$102,5,FALSE)-VLOOKUP(zeta!$A101,main!$A$3:$H$102,6,FALSE),0)</f>
        <v>0</v>
      </c>
      <c r="AN101">
        <f>IF(gamma!AN101,VLOOKUP(zeta!AN$1,main!$A$3:$H$102,5,FALSE)-VLOOKUP(zeta!$A101,main!$A$3:$H$102,6,FALSE),0)</f>
        <v>80</v>
      </c>
      <c r="AO101">
        <f>IF(gamma!AO101,VLOOKUP(zeta!AO$1,main!$A$3:$H$102,5,FALSE)-VLOOKUP(zeta!$A101,main!$A$3:$H$102,6,FALSE),0)</f>
        <v>0</v>
      </c>
      <c r="AP101">
        <f>IF(gamma!AP101,VLOOKUP(zeta!AP$1,main!$A$3:$H$102,5,FALSE)-VLOOKUP(zeta!$A101,main!$A$3:$H$102,6,FALSE),0)</f>
        <v>140</v>
      </c>
      <c r="AQ101">
        <f>IF(gamma!AQ101,VLOOKUP(zeta!AQ$1,main!$A$3:$H$102,5,FALSE)-VLOOKUP(zeta!$A101,main!$A$3:$H$102,6,FALSE),0)</f>
        <v>0</v>
      </c>
      <c r="AR101">
        <f>IF(gamma!AR101,VLOOKUP(zeta!AR$1,main!$A$3:$H$102,5,FALSE)-VLOOKUP(zeta!$A101,main!$A$3:$H$102,6,FALSE),0)</f>
        <v>0</v>
      </c>
      <c r="AS101">
        <f>IF(gamma!AS101,VLOOKUP(zeta!AS$1,main!$A$3:$H$102,5,FALSE)-VLOOKUP(zeta!$A101,main!$A$3:$H$102,6,FALSE),0)</f>
        <v>0</v>
      </c>
      <c r="AT101">
        <f>IF(gamma!AT101,VLOOKUP(zeta!AT$1,main!$A$3:$H$102,5,FALSE)-VLOOKUP(zeta!$A101,main!$A$3:$H$102,6,FALSE),0)</f>
        <v>0</v>
      </c>
      <c r="AU101">
        <f>IF(gamma!AU101,VLOOKUP(zeta!AU$1,main!$A$3:$H$102,5,FALSE)-VLOOKUP(zeta!$A101,main!$A$3:$H$102,6,FALSE),0)</f>
        <v>0</v>
      </c>
      <c r="AV101">
        <f>IF(gamma!AV101,VLOOKUP(zeta!AV$1,main!$A$3:$H$102,5,FALSE)-VLOOKUP(zeta!$A101,main!$A$3:$H$102,6,FALSE),0)</f>
        <v>0</v>
      </c>
      <c r="AW101">
        <f>IF(gamma!AW101,VLOOKUP(zeta!AW$1,main!$A$3:$H$102,5,FALSE)-VLOOKUP(zeta!$A101,main!$A$3:$H$102,6,FALSE),0)</f>
        <v>0</v>
      </c>
      <c r="AX101">
        <f>IF(gamma!AX101,VLOOKUP(zeta!AX$1,main!$A$3:$H$102,5,FALSE)-VLOOKUP(zeta!$A101,main!$A$3:$H$102,6,FALSE),0)</f>
        <v>0</v>
      </c>
      <c r="AY101">
        <f>IF(gamma!AY101,VLOOKUP(zeta!AY$1,main!$A$3:$H$102,5,FALSE)-VLOOKUP(zeta!$A101,main!$A$3:$H$102,6,FALSE),0)</f>
        <v>0</v>
      </c>
      <c r="AZ101">
        <f>IF(gamma!AZ101,VLOOKUP(zeta!AZ$1,main!$A$3:$H$102,5,FALSE)-VLOOKUP(zeta!$A101,main!$A$3:$H$102,6,FALSE),0)</f>
        <v>0</v>
      </c>
      <c r="BA101">
        <f>IF(gamma!BA101,VLOOKUP(zeta!BA$1,main!$A$3:$H$102,5,FALSE)-VLOOKUP(zeta!$A101,main!$A$3:$H$102,6,FALSE),0)</f>
        <v>0</v>
      </c>
      <c r="BB101">
        <f>IF(gamma!BB101,VLOOKUP(zeta!BB$1,main!$A$3:$H$102,5,FALSE)-VLOOKUP(zeta!$A101,main!$A$3:$H$102,6,FALSE),0)</f>
        <v>0</v>
      </c>
      <c r="BC101">
        <f>IF(gamma!BC101,VLOOKUP(zeta!BC$1,main!$A$3:$H$102,5,FALSE)-VLOOKUP(zeta!$A101,main!$A$3:$H$102,6,FALSE),0)</f>
        <v>0</v>
      </c>
      <c r="BD101">
        <f>IF(gamma!BD101,VLOOKUP(zeta!BD$1,main!$A$3:$H$102,5,FALSE)-VLOOKUP(zeta!$A101,main!$A$3:$H$102,6,FALSE),0)</f>
        <v>0</v>
      </c>
      <c r="BE101">
        <f>IF(gamma!BE101,VLOOKUP(zeta!BE$1,main!$A$3:$H$102,5,FALSE)-VLOOKUP(zeta!$A101,main!$A$3:$H$102,6,FALSE),0)</f>
        <v>0</v>
      </c>
      <c r="BF101">
        <f>IF(gamma!BF101,VLOOKUP(zeta!BF$1,main!$A$3:$H$102,5,FALSE)-VLOOKUP(zeta!$A101,main!$A$3:$H$102,6,FALSE),0)</f>
        <v>0</v>
      </c>
      <c r="BG101">
        <f>IF(gamma!BG101,VLOOKUP(zeta!BG$1,main!$A$3:$H$102,5,FALSE)-VLOOKUP(zeta!$A101,main!$A$3:$H$102,6,FALSE),0)</f>
        <v>0</v>
      </c>
      <c r="BH101">
        <f>IF(gamma!BH101,VLOOKUP(zeta!BH$1,main!$A$3:$H$102,5,FALSE)-VLOOKUP(zeta!$A101,main!$A$3:$H$102,6,FALSE),0)</f>
        <v>0</v>
      </c>
      <c r="BI101">
        <f>IF(gamma!BI101,VLOOKUP(zeta!BI$1,main!$A$3:$H$102,5,FALSE)-VLOOKUP(zeta!$A101,main!$A$3:$H$102,6,FALSE),0)</f>
        <v>150</v>
      </c>
      <c r="BJ101">
        <f>IF(gamma!BJ101,VLOOKUP(zeta!BJ$1,main!$A$3:$H$102,5,FALSE)-VLOOKUP(zeta!$A101,main!$A$3:$H$102,6,FALSE),0)</f>
        <v>0</v>
      </c>
      <c r="BK101">
        <f>IF(gamma!BK101,VLOOKUP(zeta!BK$1,main!$A$3:$H$102,5,FALSE)-VLOOKUP(zeta!$A101,main!$A$3:$H$102,6,FALSE),0)</f>
        <v>0</v>
      </c>
      <c r="BL101">
        <f>IF(gamma!BL101,VLOOKUP(zeta!BL$1,main!$A$3:$H$102,5,FALSE)-VLOOKUP(zeta!$A101,main!$A$3:$H$102,6,FALSE),0)</f>
        <v>0</v>
      </c>
      <c r="BM101">
        <f>IF(gamma!BM101,VLOOKUP(zeta!BM$1,main!$A$3:$H$102,5,FALSE)-VLOOKUP(zeta!$A101,main!$A$3:$H$102,6,FALSE),0)</f>
        <v>0</v>
      </c>
      <c r="BN101">
        <f>IF(gamma!BN101,VLOOKUP(zeta!BN$1,main!$A$3:$H$102,5,FALSE)-VLOOKUP(zeta!$A101,main!$A$3:$H$102,6,FALSE),0)</f>
        <v>0</v>
      </c>
      <c r="BO101">
        <f>IF(gamma!BO101,VLOOKUP(zeta!BO$1,main!$A$3:$H$102,5,FALSE)-VLOOKUP(zeta!$A101,main!$A$3:$H$102,6,FALSE),0)</f>
        <v>0</v>
      </c>
      <c r="BP101">
        <f>IF(gamma!BP101,VLOOKUP(zeta!BP$1,main!$A$3:$H$102,5,FALSE)-VLOOKUP(zeta!$A101,main!$A$3:$H$102,6,FALSE),0)</f>
        <v>0</v>
      </c>
      <c r="BQ101">
        <f>IF(gamma!BQ101,VLOOKUP(zeta!BQ$1,main!$A$3:$H$102,5,FALSE)-VLOOKUP(zeta!$A101,main!$A$3:$H$102,6,FALSE),0)</f>
        <v>0</v>
      </c>
      <c r="BR101">
        <f>IF(gamma!BR101,VLOOKUP(zeta!BR$1,main!$A$3:$H$102,5,FALSE)-VLOOKUP(zeta!$A101,main!$A$3:$H$102,6,FALSE),0)</f>
        <v>0</v>
      </c>
      <c r="BS101">
        <f>IF(gamma!BS101,VLOOKUP(zeta!BS$1,main!$A$3:$H$102,5,FALSE)-VLOOKUP(zeta!$A101,main!$A$3:$H$102,6,FALSE),0)</f>
        <v>0</v>
      </c>
      <c r="BT101">
        <f>IF(gamma!BT101,VLOOKUP(zeta!BT$1,main!$A$3:$H$102,5,FALSE)-VLOOKUP(zeta!$A101,main!$A$3:$H$102,6,FALSE),0)</f>
        <v>0</v>
      </c>
      <c r="BU101">
        <f>IF(gamma!BU101,VLOOKUP(zeta!BU$1,main!$A$3:$H$102,5,FALSE)-VLOOKUP(zeta!$A101,main!$A$3:$H$102,6,FALSE),0)</f>
        <v>0</v>
      </c>
      <c r="BV101">
        <f>IF(gamma!BV101,VLOOKUP(zeta!BV$1,main!$A$3:$H$102,5,FALSE)-VLOOKUP(zeta!$A101,main!$A$3:$H$102,6,FALSE),0)</f>
        <v>0</v>
      </c>
      <c r="BW101">
        <f>IF(gamma!BW101,VLOOKUP(zeta!BW$1,main!$A$3:$H$102,5,FALSE)-VLOOKUP(zeta!$A101,main!$A$3:$H$102,6,FALSE),0)</f>
        <v>0</v>
      </c>
      <c r="BX101">
        <f>IF(gamma!BX101,VLOOKUP(zeta!BX$1,main!$A$3:$H$102,5,FALSE)-VLOOKUP(zeta!$A101,main!$A$3:$H$102,6,FALSE),0)</f>
        <v>0</v>
      </c>
      <c r="BY101">
        <f>IF(gamma!BY101,VLOOKUP(zeta!BY$1,main!$A$3:$H$102,5,FALSE)-VLOOKUP(zeta!$A101,main!$A$3:$H$102,6,FALSE),0)</f>
        <v>0</v>
      </c>
      <c r="BZ101">
        <f>IF(gamma!BZ101,VLOOKUP(zeta!BZ$1,main!$A$3:$H$102,5,FALSE)-VLOOKUP(zeta!$A101,main!$A$3:$H$102,6,FALSE),0)</f>
        <v>0</v>
      </c>
      <c r="CA101">
        <f>IF(gamma!CA101,VLOOKUP(zeta!CA$1,main!$A$3:$H$102,5,FALSE)-VLOOKUP(zeta!$A101,main!$A$3:$H$102,6,FALSE),0)</f>
        <v>0</v>
      </c>
      <c r="CB101">
        <f>IF(gamma!CB101,VLOOKUP(zeta!CB$1,main!$A$3:$H$102,5,FALSE)-VLOOKUP(zeta!$A101,main!$A$3:$H$102,6,FALSE),0)</f>
        <v>0</v>
      </c>
      <c r="CC101">
        <f>IF(gamma!CC101,VLOOKUP(zeta!CC$1,main!$A$3:$H$102,5,FALSE)-VLOOKUP(zeta!$A101,main!$A$3:$H$102,6,FALSE),0)</f>
        <v>55</v>
      </c>
      <c r="CD101">
        <f>IF(gamma!CD101,VLOOKUP(zeta!CD$1,main!$A$3:$H$102,5,FALSE)-VLOOKUP(zeta!$A101,main!$A$3:$H$102,6,FALSE),0)</f>
        <v>0</v>
      </c>
      <c r="CE101">
        <f>IF(gamma!CE101,VLOOKUP(zeta!CE$1,main!$A$3:$H$102,5,FALSE)-VLOOKUP(zeta!$A101,main!$A$3:$H$102,6,FALSE),0)</f>
        <v>0</v>
      </c>
      <c r="CF101">
        <f>IF(gamma!CF101,VLOOKUP(zeta!CF$1,main!$A$3:$H$102,5,FALSE)-VLOOKUP(zeta!$A101,main!$A$3:$H$102,6,FALSE),0)</f>
        <v>0</v>
      </c>
      <c r="CG101">
        <f>IF(gamma!CG101,VLOOKUP(zeta!CG$1,main!$A$3:$H$102,5,FALSE)-VLOOKUP(zeta!$A101,main!$A$3:$H$102,6,FALSE),0)</f>
        <v>0</v>
      </c>
      <c r="CH101">
        <f>IF(gamma!CH101,VLOOKUP(zeta!CH$1,main!$A$3:$H$102,5,FALSE)-VLOOKUP(zeta!$A101,main!$A$3:$H$102,6,FALSE),0)</f>
        <v>0</v>
      </c>
      <c r="CI101">
        <f>IF(gamma!CI101,VLOOKUP(zeta!CI$1,main!$A$3:$H$102,5,FALSE)-VLOOKUP(zeta!$A101,main!$A$3:$H$102,6,FALSE),0)</f>
        <v>140</v>
      </c>
      <c r="CJ101">
        <f>IF(gamma!CJ101,VLOOKUP(zeta!CJ$1,main!$A$3:$H$102,5,FALSE)-VLOOKUP(zeta!$A101,main!$A$3:$H$102,6,FALSE),0)</f>
        <v>0</v>
      </c>
      <c r="CK101">
        <f>IF(gamma!CK101,VLOOKUP(zeta!CK$1,main!$A$3:$H$102,5,FALSE)-VLOOKUP(zeta!$A101,main!$A$3:$H$102,6,FALSE),0)</f>
        <v>0</v>
      </c>
      <c r="CL101">
        <f>IF(gamma!CL101,VLOOKUP(zeta!CL$1,main!$A$3:$H$102,5,FALSE)-VLOOKUP(zeta!$A101,main!$A$3:$H$102,6,FALSE),0)</f>
        <v>0</v>
      </c>
      <c r="CM101">
        <f>IF(gamma!CM101,VLOOKUP(zeta!CM$1,main!$A$3:$H$102,5,FALSE)-VLOOKUP(zeta!$A101,main!$A$3:$H$102,6,FALSE),0)</f>
        <v>0</v>
      </c>
      <c r="CN101">
        <f>IF(gamma!CN101,VLOOKUP(zeta!CN$1,main!$A$3:$H$102,5,FALSE)-VLOOKUP(zeta!$A101,main!$A$3:$H$102,6,FALSE),0)</f>
        <v>140</v>
      </c>
      <c r="CO101">
        <f>IF(gamma!CO101,VLOOKUP(zeta!CO$1,main!$A$3:$H$102,5,FALSE)-VLOOKUP(zeta!$A101,main!$A$3:$H$102,6,FALSE),0)</f>
        <v>0</v>
      </c>
      <c r="CP101">
        <f>IF(gamma!CP101,VLOOKUP(zeta!CP$1,main!$A$3:$H$102,5,FALSE)-VLOOKUP(zeta!$A101,main!$A$3:$H$102,6,FALSE),0)</f>
        <v>0</v>
      </c>
      <c r="CQ101">
        <f>IF(gamma!CQ101,VLOOKUP(zeta!CQ$1,main!$A$3:$H$102,5,FALSE)-VLOOKUP(zeta!$A101,main!$A$3:$H$102,6,FALSE),0)</f>
        <v>0</v>
      </c>
      <c r="CR101">
        <f>IF(gamma!CR101,VLOOKUP(zeta!CR$1,main!$A$3:$H$102,5,FALSE)-VLOOKUP(zeta!$A101,main!$A$3:$H$102,6,FALSE),0)</f>
        <v>0</v>
      </c>
      <c r="CS101">
        <f>IF(gamma!CS101,VLOOKUP(zeta!CS$1,main!$A$3:$H$102,5,FALSE)-VLOOKUP(zeta!$A101,main!$A$3:$H$102,6,FALSE),0)</f>
        <v>0</v>
      </c>
      <c r="CT101">
        <f>IF(gamma!CT101,VLOOKUP(zeta!CT$1,main!$A$3:$H$102,5,FALSE)-VLOOKUP(zeta!$A101,main!$A$3:$H$102,6,FALSE),0)</f>
        <v>0</v>
      </c>
      <c r="CU101">
        <f>IF(gamma!CU101,VLOOKUP(zeta!CU$1,main!$A$3:$H$102,5,FALSE)-VLOOKUP(zeta!$A101,main!$A$3:$H$102,6,FALSE),0)</f>
        <v>0</v>
      </c>
      <c r="CV101">
        <f>IF(gamma!CV101,VLOOKUP(zeta!CV$1,main!$A$3:$H$102,5,FALSE)-VLOOKUP(zeta!$A101,main!$A$3:$H$102,6,FALSE),0)</f>
        <v>0</v>
      </c>
      <c r="CW101">
        <f>IF(gamma!CW101,VLOOKUP(zeta!CW$1,main!$A$3:$H$102,5,FALSE)-VLOOKUP(zeta!$A101,main!$A$3:$H$102,6,FALSE),0)</f>
        <v>0</v>
      </c>
      <c r="CX101">
        <f>IF(gamma!CX101,VLOOKUP(zeta!CX$1,main!$A$3:$H$102,5,FALSE)-VLOOKUP(zeta!$A101,main!$A$3:$H$102,6,FALSE),0)</f>
        <v>0</v>
      </c>
    </row>
    <row r="102" spans="1:102" x14ac:dyDescent="0.25">
      <c r="A102">
        <f t="shared" si="2"/>
        <v>100</v>
      </c>
      <c r="B102">
        <v>0</v>
      </c>
      <c r="C102">
        <f>IF(gamma!C102,VLOOKUP(zeta!C$1,main!$A$3:$H$102,5,FALSE)-VLOOKUP(zeta!$A102,main!$A$3:$H$102,6,FALSE),0)</f>
        <v>0</v>
      </c>
      <c r="D102">
        <f>IF(gamma!D102,VLOOKUP(zeta!D$1,main!$A$3:$H$102,5,FALSE)-VLOOKUP(zeta!$A102,main!$A$3:$H$102,6,FALSE),0)</f>
        <v>0</v>
      </c>
      <c r="E102">
        <f>IF(gamma!E102,VLOOKUP(zeta!E$1,main!$A$3:$H$102,5,FALSE)-VLOOKUP(zeta!$A102,main!$A$3:$H$102,6,FALSE),0)</f>
        <v>0</v>
      </c>
      <c r="F102">
        <f>IF(gamma!F102,VLOOKUP(zeta!F$1,main!$A$3:$H$102,5,FALSE)-VLOOKUP(zeta!$A102,main!$A$3:$H$102,6,FALSE),0)</f>
        <v>0</v>
      </c>
      <c r="G102">
        <f>IF(gamma!G102,VLOOKUP(zeta!G$1,main!$A$3:$H$102,5,FALSE)-VLOOKUP(zeta!$A102,main!$A$3:$H$102,6,FALSE),0)</f>
        <v>0</v>
      </c>
      <c r="H102">
        <f>IF(gamma!H102,VLOOKUP(zeta!H$1,main!$A$3:$H$102,5,FALSE)-VLOOKUP(zeta!$A102,main!$A$3:$H$102,6,FALSE),0)</f>
        <v>0</v>
      </c>
      <c r="I102">
        <f>IF(gamma!I102,VLOOKUP(zeta!I$1,main!$A$3:$H$102,5,FALSE)-VLOOKUP(zeta!$A102,main!$A$3:$H$102,6,FALSE),0)</f>
        <v>0</v>
      </c>
      <c r="J102">
        <f>IF(gamma!J102,VLOOKUP(zeta!J$1,main!$A$3:$H$102,5,FALSE)-VLOOKUP(zeta!$A102,main!$A$3:$H$102,6,FALSE),0)</f>
        <v>0</v>
      </c>
      <c r="K102">
        <f>IF(gamma!K102,VLOOKUP(zeta!K$1,main!$A$3:$H$102,5,FALSE)-VLOOKUP(zeta!$A102,main!$A$3:$H$102,6,FALSE),0)</f>
        <v>0</v>
      </c>
      <c r="L102">
        <f>IF(gamma!L102,VLOOKUP(zeta!L$1,main!$A$3:$H$102,5,FALSE)-VLOOKUP(zeta!$A102,main!$A$3:$H$102,6,FALSE),0)</f>
        <v>100</v>
      </c>
      <c r="M102">
        <f>IF(gamma!M102,VLOOKUP(zeta!M$1,main!$A$3:$H$102,5,FALSE)-VLOOKUP(zeta!$A102,main!$A$3:$H$102,6,FALSE),0)</f>
        <v>0</v>
      </c>
      <c r="N102">
        <f>IF(gamma!N102,VLOOKUP(zeta!N$1,main!$A$3:$H$102,5,FALSE)-VLOOKUP(zeta!$A102,main!$A$3:$H$102,6,FALSE),0)</f>
        <v>0</v>
      </c>
      <c r="O102">
        <f>IF(gamma!O102,VLOOKUP(zeta!O$1,main!$A$3:$H$102,5,FALSE)-VLOOKUP(zeta!$A102,main!$A$3:$H$102,6,FALSE),0)</f>
        <v>0</v>
      </c>
      <c r="P102">
        <f>IF(gamma!P102,VLOOKUP(zeta!P$1,main!$A$3:$H$102,5,FALSE)-VLOOKUP(zeta!$A102,main!$A$3:$H$102,6,FALSE),0)</f>
        <v>0</v>
      </c>
      <c r="Q102">
        <f>IF(gamma!Q102,VLOOKUP(zeta!Q$1,main!$A$3:$H$102,5,FALSE)-VLOOKUP(zeta!$A102,main!$A$3:$H$102,6,FALSE),0)</f>
        <v>0</v>
      </c>
      <c r="R102">
        <f>IF(gamma!R102,VLOOKUP(zeta!R$1,main!$A$3:$H$102,5,FALSE)-VLOOKUP(zeta!$A102,main!$A$3:$H$102,6,FALSE),0)</f>
        <v>0</v>
      </c>
      <c r="S102">
        <f>IF(gamma!S102,VLOOKUP(zeta!S$1,main!$A$3:$H$102,5,FALSE)-VLOOKUP(zeta!$A102,main!$A$3:$H$102,6,FALSE),0)</f>
        <v>0</v>
      </c>
      <c r="T102">
        <f>IF(gamma!T102,VLOOKUP(zeta!T$1,main!$A$3:$H$102,5,FALSE)-VLOOKUP(zeta!$A102,main!$A$3:$H$102,6,FALSE),0)</f>
        <v>0</v>
      </c>
      <c r="U102">
        <f>IF(gamma!U102,VLOOKUP(zeta!U$1,main!$A$3:$H$102,5,FALSE)-VLOOKUP(zeta!$A102,main!$A$3:$H$102,6,FALSE),0)</f>
        <v>65</v>
      </c>
      <c r="V102">
        <f>IF(gamma!V102,VLOOKUP(zeta!V$1,main!$A$3:$H$102,5,FALSE)-VLOOKUP(zeta!$A102,main!$A$3:$H$102,6,FALSE),0)</f>
        <v>125</v>
      </c>
      <c r="W102">
        <f>IF(gamma!W102,VLOOKUP(zeta!W$1,main!$A$3:$H$102,5,FALSE)-VLOOKUP(zeta!$A102,main!$A$3:$H$102,6,FALSE),0)</f>
        <v>0</v>
      </c>
      <c r="X102">
        <f>IF(gamma!X102,VLOOKUP(zeta!X$1,main!$A$3:$H$102,5,FALSE)-VLOOKUP(zeta!$A102,main!$A$3:$H$102,6,FALSE),0)</f>
        <v>0</v>
      </c>
      <c r="Y102">
        <f>IF(gamma!Y102,VLOOKUP(zeta!Y$1,main!$A$3:$H$102,5,FALSE)-VLOOKUP(zeta!$A102,main!$A$3:$H$102,6,FALSE),0)</f>
        <v>0</v>
      </c>
      <c r="Z102">
        <f>IF(gamma!Z102,VLOOKUP(zeta!Z$1,main!$A$3:$H$102,5,FALSE)-VLOOKUP(zeta!$A102,main!$A$3:$H$102,6,FALSE),0)</f>
        <v>0</v>
      </c>
      <c r="AA102">
        <f>IF(gamma!AA102,VLOOKUP(zeta!AA$1,main!$A$3:$H$102,5,FALSE)-VLOOKUP(zeta!$A102,main!$A$3:$H$102,6,FALSE),0)</f>
        <v>0</v>
      </c>
      <c r="AB102">
        <f>IF(gamma!AB102,VLOOKUP(zeta!AB$1,main!$A$3:$H$102,5,FALSE)-VLOOKUP(zeta!$A102,main!$A$3:$H$102,6,FALSE),0)</f>
        <v>0</v>
      </c>
      <c r="AC102">
        <f>IF(gamma!AC102,VLOOKUP(zeta!AC$1,main!$A$3:$H$102,5,FALSE)-VLOOKUP(zeta!$A102,main!$A$3:$H$102,6,FALSE),0)</f>
        <v>0</v>
      </c>
      <c r="AD102">
        <f>IF(gamma!AD102,VLOOKUP(zeta!AD$1,main!$A$3:$H$102,5,FALSE)-VLOOKUP(zeta!$A102,main!$A$3:$H$102,6,FALSE),0)</f>
        <v>0</v>
      </c>
      <c r="AE102">
        <f>IF(gamma!AE102,VLOOKUP(zeta!AE$1,main!$A$3:$H$102,5,FALSE)-VLOOKUP(zeta!$A102,main!$A$3:$H$102,6,FALSE),0)</f>
        <v>0</v>
      </c>
      <c r="AF102">
        <f>IF(gamma!AF102,VLOOKUP(zeta!AF$1,main!$A$3:$H$102,5,FALSE)-VLOOKUP(zeta!$A102,main!$A$3:$H$102,6,FALSE),0)</f>
        <v>0</v>
      </c>
      <c r="AG102">
        <f>IF(gamma!AG102,VLOOKUP(zeta!AG$1,main!$A$3:$H$102,5,FALSE)-VLOOKUP(zeta!$A102,main!$A$3:$H$102,6,FALSE),0)</f>
        <v>0</v>
      </c>
      <c r="AH102">
        <f>IF(gamma!AH102,VLOOKUP(zeta!AH$1,main!$A$3:$H$102,5,FALSE)-VLOOKUP(zeta!$A102,main!$A$3:$H$102,6,FALSE),0)</f>
        <v>0</v>
      </c>
      <c r="AI102">
        <f>IF(gamma!AI102,VLOOKUP(zeta!AI$1,main!$A$3:$H$102,5,FALSE)-VLOOKUP(zeta!$A102,main!$A$3:$H$102,6,FALSE),0)</f>
        <v>0</v>
      </c>
      <c r="AJ102">
        <f>IF(gamma!AJ102,VLOOKUP(zeta!AJ$1,main!$A$3:$H$102,5,FALSE)-VLOOKUP(zeta!$A102,main!$A$3:$H$102,6,FALSE),0)</f>
        <v>0</v>
      </c>
      <c r="AK102">
        <f>IF(gamma!AK102,VLOOKUP(zeta!AK$1,main!$A$3:$H$102,5,FALSE)-VLOOKUP(zeta!$A102,main!$A$3:$H$102,6,FALSE),0)</f>
        <v>0</v>
      </c>
      <c r="AL102">
        <f>IF(gamma!AL102,VLOOKUP(zeta!AL$1,main!$A$3:$H$102,5,FALSE)-VLOOKUP(zeta!$A102,main!$A$3:$H$102,6,FALSE),0)</f>
        <v>0</v>
      </c>
      <c r="AM102">
        <f>IF(gamma!AM102,VLOOKUP(zeta!AM$1,main!$A$3:$H$102,5,FALSE)-VLOOKUP(zeta!$A102,main!$A$3:$H$102,6,FALSE),0)</f>
        <v>0</v>
      </c>
      <c r="AN102">
        <f>IF(gamma!AN102,VLOOKUP(zeta!AN$1,main!$A$3:$H$102,5,FALSE)-VLOOKUP(zeta!$A102,main!$A$3:$H$102,6,FALSE),0)</f>
        <v>50</v>
      </c>
      <c r="AO102">
        <f>IF(gamma!AO102,VLOOKUP(zeta!AO$1,main!$A$3:$H$102,5,FALSE)-VLOOKUP(zeta!$A102,main!$A$3:$H$102,6,FALSE),0)</f>
        <v>0</v>
      </c>
      <c r="AP102">
        <f>IF(gamma!AP102,VLOOKUP(zeta!AP$1,main!$A$3:$H$102,5,FALSE)-VLOOKUP(zeta!$A102,main!$A$3:$H$102,6,FALSE),0)</f>
        <v>110</v>
      </c>
      <c r="AQ102">
        <f>IF(gamma!AQ102,VLOOKUP(zeta!AQ$1,main!$A$3:$H$102,5,FALSE)-VLOOKUP(zeta!$A102,main!$A$3:$H$102,6,FALSE),0)</f>
        <v>0</v>
      </c>
      <c r="AR102">
        <f>IF(gamma!AR102,VLOOKUP(zeta!AR$1,main!$A$3:$H$102,5,FALSE)-VLOOKUP(zeta!$A102,main!$A$3:$H$102,6,FALSE),0)</f>
        <v>0</v>
      </c>
      <c r="AS102">
        <f>IF(gamma!AS102,VLOOKUP(zeta!AS$1,main!$A$3:$H$102,5,FALSE)-VLOOKUP(zeta!$A102,main!$A$3:$H$102,6,FALSE),0)</f>
        <v>0</v>
      </c>
      <c r="AT102">
        <f>IF(gamma!AT102,VLOOKUP(zeta!AT$1,main!$A$3:$H$102,5,FALSE)-VLOOKUP(zeta!$A102,main!$A$3:$H$102,6,FALSE),0)</f>
        <v>0</v>
      </c>
      <c r="AU102">
        <f>IF(gamma!AU102,VLOOKUP(zeta!AU$1,main!$A$3:$H$102,5,FALSE)-VLOOKUP(zeta!$A102,main!$A$3:$H$102,6,FALSE),0)</f>
        <v>0</v>
      </c>
      <c r="AV102">
        <f>IF(gamma!AV102,VLOOKUP(zeta!AV$1,main!$A$3:$H$102,5,FALSE)-VLOOKUP(zeta!$A102,main!$A$3:$H$102,6,FALSE),0)</f>
        <v>0</v>
      </c>
      <c r="AW102">
        <f>IF(gamma!AW102,VLOOKUP(zeta!AW$1,main!$A$3:$H$102,5,FALSE)-VLOOKUP(zeta!$A102,main!$A$3:$H$102,6,FALSE),0)</f>
        <v>0</v>
      </c>
      <c r="AX102">
        <f>IF(gamma!AX102,VLOOKUP(zeta!AX$1,main!$A$3:$H$102,5,FALSE)-VLOOKUP(zeta!$A102,main!$A$3:$H$102,6,FALSE),0)</f>
        <v>0</v>
      </c>
      <c r="AY102">
        <f>IF(gamma!AY102,VLOOKUP(zeta!AY$1,main!$A$3:$H$102,5,FALSE)-VLOOKUP(zeta!$A102,main!$A$3:$H$102,6,FALSE),0)</f>
        <v>0</v>
      </c>
      <c r="AZ102">
        <f>IF(gamma!AZ102,VLOOKUP(zeta!AZ$1,main!$A$3:$H$102,5,FALSE)-VLOOKUP(zeta!$A102,main!$A$3:$H$102,6,FALSE),0)</f>
        <v>0</v>
      </c>
      <c r="BA102">
        <f>IF(gamma!BA102,VLOOKUP(zeta!BA$1,main!$A$3:$H$102,5,FALSE)-VLOOKUP(zeta!$A102,main!$A$3:$H$102,6,FALSE),0)</f>
        <v>0</v>
      </c>
      <c r="BB102">
        <f>IF(gamma!BB102,VLOOKUP(zeta!BB$1,main!$A$3:$H$102,5,FALSE)-VLOOKUP(zeta!$A102,main!$A$3:$H$102,6,FALSE),0)</f>
        <v>0</v>
      </c>
      <c r="BC102">
        <f>IF(gamma!BC102,VLOOKUP(zeta!BC$1,main!$A$3:$H$102,5,FALSE)-VLOOKUP(zeta!$A102,main!$A$3:$H$102,6,FALSE),0)</f>
        <v>0</v>
      </c>
      <c r="BD102">
        <f>IF(gamma!BD102,VLOOKUP(zeta!BD$1,main!$A$3:$H$102,5,FALSE)-VLOOKUP(zeta!$A102,main!$A$3:$H$102,6,FALSE),0)</f>
        <v>0</v>
      </c>
      <c r="BE102">
        <f>IF(gamma!BE102,VLOOKUP(zeta!BE$1,main!$A$3:$H$102,5,FALSE)-VLOOKUP(zeta!$A102,main!$A$3:$H$102,6,FALSE),0)</f>
        <v>0</v>
      </c>
      <c r="BF102">
        <f>IF(gamma!BF102,VLOOKUP(zeta!BF$1,main!$A$3:$H$102,5,FALSE)-VLOOKUP(zeta!$A102,main!$A$3:$H$102,6,FALSE),0)</f>
        <v>0</v>
      </c>
      <c r="BG102">
        <f>IF(gamma!BG102,VLOOKUP(zeta!BG$1,main!$A$3:$H$102,5,FALSE)-VLOOKUP(zeta!$A102,main!$A$3:$H$102,6,FALSE),0)</f>
        <v>0</v>
      </c>
      <c r="BH102">
        <f>IF(gamma!BH102,VLOOKUP(zeta!BH$1,main!$A$3:$H$102,5,FALSE)-VLOOKUP(zeta!$A102,main!$A$3:$H$102,6,FALSE),0)</f>
        <v>0</v>
      </c>
      <c r="BI102">
        <f>IF(gamma!BI102,VLOOKUP(zeta!BI$1,main!$A$3:$H$102,5,FALSE)-VLOOKUP(zeta!$A102,main!$A$3:$H$102,6,FALSE),0)</f>
        <v>120</v>
      </c>
      <c r="BJ102">
        <f>IF(gamma!BJ102,VLOOKUP(zeta!BJ$1,main!$A$3:$H$102,5,FALSE)-VLOOKUP(zeta!$A102,main!$A$3:$H$102,6,FALSE),0)</f>
        <v>0</v>
      </c>
      <c r="BK102">
        <f>IF(gamma!BK102,VLOOKUP(zeta!BK$1,main!$A$3:$H$102,5,FALSE)-VLOOKUP(zeta!$A102,main!$A$3:$H$102,6,FALSE),0)</f>
        <v>0</v>
      </c>
      <c r="BL102">
        <f>IF(gamma!BL102,VLOOKUP(zeta!BL$1,main!$A$3:$H$102,5,FALSE)-VLOOKUP(zeta!$A102,main!$A$3:$H$102,6,FALSE),0)</f>
        <v>0</v>
      </c>
      <c r="BM102">
        <f>IF(gamma!BM102,VLOOKUP(zeta!BM$1,main!$A$3:$H$102,5,FALSE)-VLOOKUP(zeta!$A102,main!$A$3:$H$102,6,FALSE),0)</f>
        <v>0</v>
      </c>
      <c r="BN102">
        <f>IF(gamma!BN102,VLOOKUP(zeta!BN$1,main!$A$3:$H$102,5,FALSE)-VLOOKUP(zeta!$A102,main!$A$3:$H$102,6,FALSE),0)</f>
        <v>0</v>
      </c>
      <c r="BO102">
        <f>IF(gamma!BO102,VLOOKUP(zeta!BO$1,main!$A$3:$H$102,5,FALSE)-VLOOKUP(zeta!$A102,main!$A$3:$H$102,6,FALSE),0)</f>
        <v>0</v>
      </c>
      <c r="BP102">
        <f>IF(gamma!BP102,VLOOKUP(zeta!BP$1,main!$A$3:$H$102,5,FALSE)-VLOOKUP(zeta!$A102,main!$A$3:$H$102,6,FALSE),0)</f>
        <v>0</v>
      </c>
      <c r="BQ102">
        <f>IF(gamma!BQ102,VLOOKUP(zeta!BQ$1,main!$A$3:$H$102,5,FALSE)-VLOOKUP(zeta!$A102,main!$A$3:$H$102,6,FALSE),0)</f>
        <v>0</v>
      </c>
      <c r="BR102">
        <f>IF(gamma!BR102,VLOOKUP(zeta!BR$1,main!$A$3:$H$102,5,FALSE)-VLOOKUP(zeta!$A102,main!$A$3:$H$102,6,FALSE),0)</f>
        <v>0</v>
      </c>
      <c r="BS102">
        <f>IF(gamma!BS102,VLOOKUP(zeta!BS$1,main!$A$3:$H$102,5,FALSE)-VLOOKUP(zeta!$A102,main!$A$3:$H$102,6,FALSE),0)</f>
        <v>0</v>
      </c>
      <c r="BT102">
        <f>IF(gamma!BT102,VLOOKUP(zeta!BT$1,main!$A$3:$H$102,5,FALSE)-VLOOKUP(zeta!$A102,main!$A$3:$H$102,6,FALSE),0)</f>
        <v>0</v>
      </c>
      <c r="BU102">
        <f>IF(gamma!BU102,VLOOKUP(zeta!BU$1,main!$A$3:$H$102,5,FALSE)-VLOOKUP(zeta!$A102,main!$A$3:$H$102,6,FALSE),0)</f>
        <v>0</v>
      </c>
      <c r="BV102">
        <f>IF(gamma!BV102,VLOOKUP(zeta!BV$1,main!$A$3:$H$102,5,FALSE)-VLOOKUP(zeta!$A102,main!$A$3:$H$102,6,FALSE),0)</f>
        <v>0</v>
      </c>
      <c r="BW102">
        <f>IF(gamma!BW102,VLOOKUP(zeta!BW$1,main!$A$3:$H$102,5,FALSE)-VLOOKUP(zeta!$A102,main!$A$3:$H$102,6,FALSE),0)</f>
        <v>0</v>
      </c>
      <c r="BX102">
        <f>IF(gamma!BX102,VLOOKUP(zeta!BX$1,main!$A$3:$H$102,5,FALSE)-VLOOKUP(zeta!$A102,main!$A$3:$H$102,6,FALSE),0)</f>
        <v>0</v>
      </c>
      <c r="BY102">
        <f>IF(gamma!BY102,VLOOKUP(zeta!BY$1,main!$A$3:$H$102,5,FALSE)-VLOOKUP(zeta!$A102,main!$A$3:$H$102,6,FALSE),0)</f>
        <v>0</v>
      </c>
      <c r="BZ102">
        <f>IF(gamma!BZ102,VLOOKUP(zeta!BZ$1,main!$A$3:$H$102,5,FALSE)-VLOOKUP(zeta!$A102,main!$A$3:$H$102,6,FALSE),0)</f>
        <v>0</v>
      </c>
      <c r="CA102">
        <f>IF(gamma!CA102,VLOOKUP(zeta!CA$1,main!$A$3:$H$102,5,FALSE)-VLOOKUP(zeta!$A102,main!$A$3:$H$102,6,FALSE),0)</f>
        <v>0</v>
      </c>
      <c r="CB102">
        <f>IF(gamma!CB102,VLOOKUP(zeta!CB$1,main!$A$3:$H$102,5,FALSE)-VLOOKUP(zeta!$A102,main!$A$3:$H$102,6,FALSE),0)</f>
        <v>0</v>
      </c>
      <c r="CC102">
        <f>IF(gamma!CC102,VLOOKUP(zeta!CC$1,main!$A$3:$H$102,5,FALSE)-VLOOKUP(zeta!$A102,main!$A$3:$H$102,6,FALSE),0)</f>
        <v>25</v>
      </c>
      <c r="CD102">
        <f>IF(gamma!CD102,VLOOKUP(zeta!CD$1,main!$A$3:$H$102,5,FALSE)-VLOOKUP(zeta!$A102,main!$A$3:$H$102,6,FALSE),0)</f>
        <v>0</v>
      </c>
      <c r="CE102">
        <f>IF(gamma!CE102,VLOOKUP(zeta!CE$1,main!$A$3:$H$102,5,FALSE)-VLOOKUP(zeta!$A102,main!$A$3:$H$102,6,FALSE),0)</f>
        <v>0</v>
      </c>
      <c r="CF102">
        <f>IF(gamma!CF102,VLOOKUP(zeta!CF$1,main!$A$3:$H$102,5,FALSE)-VLOOKUP(zeta!$A102,main!$A$3:$H$102,6,FALSE),0)</f>
        <v>0</v>
      </c>
      <c r="CG102">
        <f>IF(gamma!CG102,VLOOKUP(zeta!CG$1,main!$A$3:$H$102,5,FALSE)-VLOOKUP(zeta!$A102,main!$A$3:$H$102,6,FALSE),0)</f>
        <v>0</v>
      </c>
      <c r="CH102">
        <f>IF(gamma!CH102,VLOOKUP(zeta!CH$1,main!$A$3:$H$102,5,FALSE)-VLOOKUP(zeta!$A102,main!$A$3:$H$102,6,FALSE),0)</f>
        <v>0</v>
      </c>
      <c r="CI102">
        <f>IF(gamma!CI102,VLOOKUP(zeta!CI$1,main!$A$3:$H$102,5,FALSE)-VLOOKUP(zeta!$A102,main!$A$3:$H$102,6,FALSE),0)</f>
        <v>110</v>
      </c>
      <c r="CJ102">
        <f>IF(gamma!CJ102,VLOOKUP(zeta!CJ$1,main!$A$3:$H$102,5,FALSE)-VLOOKUP(zeta!$A102,main!$A$3:$H$102,6,FALSE),0)</f>
        <v>0</v>
      </c>
      <c r="CK102">
        <f>IF(gamma!CK102,VLOOKUP(zeta!CK$1,main!$A$3:$H$102,5,FALSE)-VLOOKUP(zeta!$A102,main!$A$3:$H$102,6,FALSE),0)</f>
        <v>0</v>
      </c>
      <c r="CL102">
        <f>IF(gamma!CL102,VLOOKUP(zeta!CL$1,main!$A$3:$H$102,5,FALSE)-VLOOKUP(zeta!$A102,main!$A$3:$H$102,6,FALSE),0)</f>
        <v>0</v>
      </c>
      <c r="CM102">
        <f>IF(gamma!CM102,VLOOKUP(zeta!CM$1,main!$A$3:$H$102,5,FALSE)-VLOOKUP(zeta!$A102,main!$A$3:$H$102,6,FALSE),0)</f>
        <v>0</v>
      </c>
      <c r="CN102">
        <f>IF(gamma!CN102,VLOOKUP(zeta!CN$1,main!$A$3:$H$102,5,FALSE)-VLOOKUP(zeta!$A102,main!$A$3:$H$102,6,FALSE),0)</f>
        <v>110</v>
      </c>
      <c r="CO102">
        <f>IF(gamma!CO102,VLOOKUP(zeta!CO$1,main!$A$3:$H$102,5,FALSE)-VLOOKUP(zeta!$A102,main!$A$3:$H$102,6,FALSE),0)</f>
        <v>0</v>
      </c>
      <c r="CP102">
        <f>IF(gamma!CP102,VLOOKUP(zeta!CP$1,main!$A$3:$H$102,5,FALSE)-VLOOKUP(zeta!$A102,main!$A$3:$H$102,6,FALSE),0)</f>
        <v>0</v>
      </c>
      <c r="CQ102">
        <f>IF(gamma!CQ102,VLOOKUP(zeta!CQ$1,main!$A$3:$H$102,5,FALSE)-VLOOKUP(zeta!$A102,main!$A$3:$H$102,6,FALSE),0)</f>
        <v>0</v>
      </c>
      <c r="CR102">
        <f>IF(gamma!CR102,VLOOKUP(zeta!CR$1,main!$A$3:$H$102,5,FALSE)-VLOOKUP(zeta!$A102,main!$A$3:$H$102,6,FALSE),0)</f>
        <v>0</v>
      </c>
      <c r="CS102">
        <f>IF(gamma!CS102,VLOOKUP(zeta!CS$1,main!$A$3:$H$102,5,FALSE)-VLOOKUP(zeta!$A102,main!$A$3:$H$102,6,FALSE),0)</f>
        <v>0</v>
      </c>
      <c r="CT102">
        <f>IF(gamma!CT102,VLOOKUP(zeta!CT$1,main!$A$3:$H$102,5,FALSE)-VLOOKUP(zeta!$A102,main!$A$3:$H$102,6,FALSE),0)</f>
        <v>0</v>
      </c>
      <c r="CU102">
        <f>IF(gamma!CU102,VLOOKUP(zeta!CU$1,main!$A$3:$H$102,5,FALSE)-VLOOKUP(zeta!$A102,main!$A$3:$H$102,6,FALSE),0)</f>
        <v>0</v>
      </c>
      <c r="CV102">
        <f>IF(gamma!CV102,VLOOKUP(zeta!CV$1,main!$A$3:$H$102,5,FALSE)-VLOOKUP(zeta!$A102,main!$A$3:$H$102,6,FALSE),0)</f>
        <v>0</v>
      </c>
      <c r="CW102">
        <f>IF(gamma!CW102,VLOOKUP(zeta!CW$1,main!$A$3:$H$102,5,FALSE)-VLOOKUP(zeta!$A102,main!$A$3:$H$102,6,FALSE),0)</f>
        <v>0</v>
      </c>
      <c r="CX102">
        <f>IF(gamma!CX102,VLOOKUP(zeta!CX$1,main!$A$3:$H$102,5,FALSE)-VLOOKUP(zeta!$A102,main!$A$3:$H$102,6,FALSE),0)</f>
        <v>0</v>
      </c>
    </row>
  </sheetData>
  <conditionalFormatting sqref="C3:CX10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gamma</vt:lpstr>
      <vt:lpstr>delta</vt:lpstr>
      <vt:lpstr>phi</vt:lpstr>
      <vt:lpstr>zeta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Dicky Sentosa Gozali</cp:lastModifiedBy>
  <dcterms:created xsi:type="dcterms:W3CDTF">2025-04-04T04:18:17Z</dcterms:created>
  <dcterms:modified xsi:type="dcterms:W3CDTF">2025-06-18T01:32:59Z</dcterms:modified>
</cp:coreProperties>
</file>